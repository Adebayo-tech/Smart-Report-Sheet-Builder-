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760" tabRatio="837" firstSheet="0" activeTab="0" autoFilterDateGrouping="1"/>
  </bookViews>
  <sheets>
    <sheet xmlns:r="http://schemas.openxmlformats.org/officeDocument/2006/relationships" name="STUDENTS" sheetId="1" state="visible" r:id="rId1"/>
    <sheet xmlns:r="http://schemas.openxmlformats.org/officeDocument/2006/relationships" name="SUBJECTS" sheetId="2" state="visible" r:id="rId2"/>
    <sheet xmlns:r="http://schemas.openxmlformats.org/officeDocument/2006/relationships" name="All_Students_Scores" sheetId="3" state="hidden" r:id="rId3"/>
    <sheet xmlns:r="http://schemas.openxmlformats.org/officeDocument/2006/relationships" name="Append1" sheetId="4" state="hidden" r:id="rId4"/>
    <sheet xmlns:r="http://schemas.openxmlformats.org/officeDocument/2006/relationships" name="SCORE_SHEET" sheetId="5" state="visible" r:id="rId5"/>
    <sheet xmlns:r="http://schemas.openxmlformats.org/officeDocument/2006/relationships" name="PreviousTerms" sheetId="6" state="hidden" r:id="rId6"/>
    <sheet xmlns:r="http://schemas.openxmlformats.org/officeDocument/2006/relationships" name="Other_Performances" sheetId="7" state="visible" r:id="rId7"/>
    <sheet xmlns:r="http://schemas.openxmlformats.org/officeDocument/2006/relationships" name="REPORT_TEMPLATE" sheetId="8" state="visible" r:id="rId8"/>
    <sheet xmlns:r="http://schemas.openxmlformats.org/officeDocument/2006/relationships" name="SETTINGS" sheetId="9" state="visible" r:id="rId9"/>
  </sheets>
  <definedNames>
    <definedName name="ExternalData_2" localSheetId="2" hidden="1">All_Students_Scores!$A$1:$V$98</definedName>
    <definedName name="ExternalData_1" localSheetId="3" hidden="1">Append1!$A$1:$R$96</definedName>
    <definedName name="_xlnm.Print_Area" localSheetId="7">'REPORT_TEMPLATE'!$B$1:$L$66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[$-F800]dddd\,\ mmmm\ dd\,\ yyyy"/>
  </numFmts>
  <fonts count="54">
    <font>
      <name val="Calibri"/>
      <family val="2"/>
      <color theme="1"/>
      <sz val="11"/>
      <scheme val="minor"/>
    </font>
    <font>
      <name val="Arial"/>
      <family val="2"/>
      <b val="1"/>
      <color rgb="FFFFFFFF"/>
      <sz val="14"/>
    </font>
    <font>
      <name val="Arial"/>
      <family val="2"/>
      <i val="1"/>
      <color rgb="FF2C2C2C"/>
      <sz val="10"/>
    </font>
    <font>
      <name val="Arial"/>
      <family val="2"/>
      <b val="1"/>
      <color rgb="FFFFFFFF"/>
      <sz val="10"/>
    </font>
    <font>
      <name val="Arial"/>
      <family val="2"/>
      <b val="1"/>
      <color rgb="FF1A3C6E"/>
      <sz val="9"/>
    </font>
    <font>
      <name val="Arial"/>
      <family val="2"/>
      <color rgb="FF2C2C2C"/>
      <sz val="9"/>
    </font>
    <font>
      <name val="Arial"/>
      <family val="2"/>
      <b val="1"/>
      <color rgb="FFFFFFFF"/>
      <sz val="9"/>
    </font>
    <font>
      <name val="Arial"/>
      <family val="2"/>
      <i val="1"/>
      <color rgb="FF6D6D6D"/>
      <sz val="8"/>
    </font>
    <font>
      <name val="Arial"/>
      <family val="2"/>
      <i val="1"/>
      <color rgb="FF6D6D6D"/>
      <sz val="9"/>
    </font>
    <font>
      <name val="Arial"/>
      <family val="2"/>
      <b val="1"/>
      <color rgb="FFFFFFFF"/>
      <sz val="11"/>
    </font>
    <font>
      <name val="Arial"/>
      <family val="2"/>
      <b val="1"/>
      <color rgb="FF2C2C2C"/>
      <sz val="9"/>
    </font>
    <font>
      <name val="Arial"/>
      <family val="2"/>
      <b val="1"/>
      <color rgb="FFFFFFFF"/>
      <sz val="8"/>
    </font>
    <font>
      <name val="Arial"/>
      <family val="2"/>
      <b val="1"/>
      <color rgb="FF1A3C6E"/>
      <sz val="10"/>
    </font>
    <font>
      <name val="Arial"/>
      <family val="2"/>
      <b val="1"/>
      <color rgb="FFB71C1C"/>
      <sz val="10"/>
    </font>
    <font>
      <name val="Arial"/>
      <family val="2"/>
      <b val="1"/>
      <color rgb="FF1A3C6E"/>
      <sz val="18"/>
    </font>
    <font>
      <name val="Arial"/>
      <family val="2"/>
      <i val="1"/>
      <color rgb="FF1A3C6E"/>
      <sz val="9"/>
    </font>
    <font>
      <name val="Calibri"/>
      <family val="2"/>
      <color theme="1"/>
      <sz val="12"/>
      <scheme val="minor"/>
    </font>
    <font>
      <name val="Calibri"/>
      <family val="2"/>
      <color theme="1" tint="0.3499862666707358"/>
      <sz val="11"/>
      <scheme val="minor"/>
    </font>
    <font>
      <name val="Arial"/>
      <family val="2"/>
      <color theme="3" tint="-0.249977111117893"/>
      <sz val="9"/>
    </font>
    <font>
      <name val="Calibri"/>
      <family val="2"/>
      <color theme="3" tint="-0.249977111117893"/>
      <sz val="9"/>
      <scheme val="minor"/>
    </font>
    <font>
      <name val="Arial"/>
      <family val="2"/>
      <b val="1"/>
      <color theme="0" tint="-0.0499893185216834"/>
      <sz val="11"/>
    </font>
    <font>
      <name val="Arial"/>
      <family val="2"/>
      <b val="1"/>
      <color theme="0" tint="-0.0499893185216834"/>
      <sz val="10"/>
    </font>
    <font>
      <name val="Arial"/>
      <family val="2"/>
      <b val="1"/>
      <color theme="0"/>
      <sz val="10"/>
    </font>
    <font>
      <name val="Calibri"/>
      <family val="2"/>
      <color theme="1" tint="0.249977111117893"/>
      <sz val="10"/>
      <scheme val="minor"/>
    </font>
    <font>
      <name val="Calibri"/>
      <family val="2"/>
      <b val="1"/>
      <color theme="1" tint="0.249977111117893"/>
      <sz val="10"/>
      <scheme val="minor"/>
    </font>
    <font>
      <name val="Arial"/>
      <family val="2"/>
      <b val="1"/>
      <color theme="4" tint="-0.499984740745262"/>
      <sz val="11"/>
    </font>
    <font>
      <name val="Calibri"/>
      <family val="2"/>
      <color theme="4" tint="-0.499984740745262"/>
      <sz val="11"/>
      <scheme val="minor"/>
    </font>
    <font>
      <name val="Calibri"/>
      <family val="2"/>
      <color theme="1" tint="0.3499862666707358"/>
      <sz val="10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0" tint="-0.0499893185216834"/>
      <sz val="11"/>
      <scheme val="minor"/>
    </font>
    <font>
      <name val="Calibri"/>
      <family val="2"/>
      <b val="1"/>
      <color theme="2" tint="-0.499984740745262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b val="1"/>
      <color theme="2" tint="-0.749992370372631"/>
      <sz val="11"/>
      <scheme val="minor"/>
    </font>
    <font>
      <name val="Calibri"/>
      <family val="2"/>
      <color theme="9" tint="-0.249977111117893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4" tint="-0.249977111117893"/>
      <sz val="11"/>
      <scheme val="minor"/>
    </font>
    <font>
      <name val="Arial"/>
      <family val="2"/>
      <b val="1"/>
      <color theme="4" tint="-0.249977111117893"/>
      <sz val="11"/>
    </font>
    <font>
      <name val="Calibri"/>
      <family val="2"/>
      <color theme="4" tint="-0.249977111117893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 tint="0.249977111117893"/>
      <sz val="11"/>
      <scheme val="minor"/>
    </font>
    <font>
      <name val="Franklin Gothic Demi"/>
      <family val="2"/>
      <color theme="1"/>
      <sz val="11"/>
    </font>
    <font>
      <name val="Aptos Narrow"/>
      <family val="2"/>
      <color rgb="FF2C2C2C"/>
      <sz val="9"/>
    </font>
    <font>
      <name val="Arial"/>
      <family val="2"/>
      <color rgb="FF2C2C2C"/>
      <sz val="10.35"/>
    </font>
    <font>
      <name val="Arial"/>
      <family val="2"/>
      <i val="1"/>
      <color theme="2" tint="-0.749992370372631"/>
      <sz val="9"/>
    </font>
    <font>
      <name val="Calibri"/>
      <family val="2"/>
      <i val="1"/>
      <color theme="2" tint="-0.749992370372631"/>
      <sz val="11"/>
      <scheme val="minor"/>
    </font>
    <font>
      <name val="Arial"/>
      <family val="2"/>
      <i val="1"/>
      <color theme="2" tint="-0.749992370372631"/>
      <sz val="10.5"/>
    </font>
    <font>
      <name val="Times New Roman"/>
      <family val="1"/>
      <b val="1"/>
      <i val="1"/>
      <color theme="2" tint="-0.749992370372631"/>
      <sz val="11"/>
    </font>
    <font>
      <name val="Times New Roman"/>
      <family val="1"/>
      <color theme="1"/>
      <sz val="12"/>
    </font>
    <font>
      <name val="Arial"/>
      <family val="2"/>
      <color rgb="FF2C2C2C"/>
      <sz val="10"/>
    </font>
    <font>
      <name val="Arial"/>
      <family val="2"/>
      <b val="1"/>
      <color rgb="FF2C2C2C"/>
      <sz val="10"/>
    </font>
    <font>
      <name val="Arial"/>
      <family val="2"/>
      <b val="1"/>
      <i val="1"/>
      <color rgb="FF2C2C2C"/>
      <sz val="10"/>
    </font>
    <font>
      <name val="Calibri"/>
      <family val="2"/>
      <b val="1"/>
      <color rgb="FF000000"/>
      <sz val="10"/>
    </font>
  </fonts>
  <fills count="23">
    <fill>
      <patternFill/>
    </fill>
    <fill>
      <patternFill patternType="gray125"/>
    </fill>
    <fill>
      <patternFill patternType="solid">
        <fgColor rgb="FF1A3C6E"/>
      </patternFill>
    </fill>
    <fill>
      <patternFill patternType="solid">
        <fgColor rgb="FFF5E6C0"/>
      </patternFill>
    </fill>
    <fill>
      <patternFill patternType="solid">
        <fgColor rgb="FFD6E4F0"/>
      </patternFill>
    </fill>
    <fill>
      <patternFill patternType="solid">
        <fgColor rgb="FFFFFFFF"/>
      </patternFill>
    </fill>
    <fill>
      <patternFill patternType="solid">
        <fgColor rgb="FFC9A84C"/>
      </patternFill>
    </fill>
    <fill>
      <patternFill patternType="solid">
        <fgColor rgb="FFE8F5E9"/>
      </patternFill>
    </fill>
    <fill>
      <patternFill patternType="solid">
        <fgColor rgb="FFF2F2F2"/>
      </patternFill>
    </fill>
    <fill>
      <patternFill patternType="solid">
        <fgColor rgb="FF2C2C2C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3999755851924192"/>
        <bgColor indexed="64"/>
      </patternFill>
    </fill>
  </fills>
  <borders count="8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1A3C6E"/>
      </left>
      <right style="medium">
        <color rgb="FF1A3C6E"/>
      </right>
      <top style="medium">
        <color rgb="FF1A3C6E"/>
      </top>
      <bottom style="medium">
        <color rgb="FF1A3C6E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theme="3" tint="0.3999450666829432"/>
      </left>
      <right style="thin">
        <color theme="3" tint="0.3999450666829432"/>
      </right>
      <top style="thin">
        <color theme="3" tint="0.3999450666829432"/>
      </top>
      <bottom style="thin">
        <color theme="3" tint="0.3999450666829432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theme="3" tint="0.5999633777886288"/>
      </left>
      <right/>
      <top style="thin">
        <color theme="3" tint="0.5999633777886288"/>
      </top>
      <bottom style="thin">
        <color theme="3" tint="0.5999633777886288"/>
      </bottom>
      <diagonal/>
    </border>
    <border>
      <left/>
      <right style="thin">
        <color theme="3" tint="0.5999633777886288"/>
      </right>
      <top style="thin">
        <color theme="3" tint="0.5999633777886288"/>
      </top>
      <bottom style="thin">
        <color theme="3" tint="0.5999633777886288"/>
      </bottom>
      <diagonal/>
    </border>
    <border>
      <left/>
      <right/>
      <top style="thin">
        <color theme="3" tint="0.5999633777886288"/>
      </top>
      <bottom style="thin">
        <color theme="3" tint="0.5999633777886288"/>
      </bottom>
      <diagonal/>
    </border>
    <border>
      <left style="thin">
        <color theme="3" tint="0.7999816888943144"/>
      </left>
      <right style="thin">
        <color rgb="FFCCCCCC"/>
      </right>
      <top style="thin">
        <color theme="3" tint="0.7999816888943144"/>
      </top>
      <bottom style="thin">
        <color theme="3" tint="0.7999816888943144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 style="thin">
        <color theme="3" tint="0.7999816888943144"/>
      </right>
      <top style="thin">
        <color theme="3" tint="0.7999816888943144"/>
      </top>
      <bottom style="thin">
        <color theme="3" tint="0.7999816888943144"/>
      </bottom>
      <diagonal/>
    </border>
    <border>
      <left/>
      <right style="medium">
        <color rgb="FF1A3C6E"/>
      </right>
      <top style="medium">
        <color rgb="FF1A3C6E"/>
      </top>
      <bottom style="medium">
        <color rgb="FF1A3C6E"/>
      </bottom>
      <diagonal/>
    </border>
    <border>
      <left style="thin">
        <color theme="4" tint="0.7999816888943144"/>
      </left>
      <right style="thin">
        <color theme="4" tint="0.7999816888943144"/>
      </right>
      <top style="thin">
        <color theme="4" tint="0.7999816888943144"/>
      </top>
      <bottom style="thin">
        <color theme="4" tint="0.799981688894314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theme="4" tint="0.5999633777886288"/>
      </left>
      <right/>
      <top style="thin">
        <color theme="4" tint="0.5999633777886288"/>
      </top>
      <bottom style="thin">
        <color theme="4" tint="0.5999633777886288"/>
      </bottom>
      <diagonal/>
    </border>
    <border>
      <left/>
      <right/>
      <top style="thin">
        <color theme="4" tint="0.5999633777886288"/>
      </top>
      <bottom style="thin">
        <color theme="4" tint="0.5999633777886288"/>
      </bottom>
      <diagonal/>
    </border>
    <border>
      <left/>
      <right style="thin">
        <color theme="4" tint="0.5999633777886288"/>
      </right>
      <top style="thin">
        <color theme="4" tint="0.5999633777886288"/>
      </top>
      <bottom style="thin">
        <color theme="4" tint="0.5999633777886288"/>
      </bottom>
      <diagonal/>
    </border>
    <border>
      <left style="thin">
        <color theme="5" tint="0.3999450666829432"/>
      </left>
      <right style="thin">
        <color theme="5" tint="0.3999450666829432"/>
      </right>
      <top style="thin">
        <color theme="5" tint="0.3999450666829432"/>
      </top>
      <bottom style="thin">
        <color theme="5" tint="0.3999450666829432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/>
      <top/>
      <bottom style="medium">
        <color theme="4" tint="0.3999450666829432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 style="thin">
        <color theme="5" tint="0.3999450666829432"/>
      </left>
      <right style="thin">
        <color theme="5" tint="0.3999450666829432"/>
      </right>
      <top/>
      <bottom style="thin">
        <color theme="5" tint="0.3999450666829432"/>
      </bottom>
      <diagonal/>
    </border>
    <border>
      <left style="thin">
        <color rgb="FFCCCCCC"/>
      </left>
      <right style="thin">
        <color rgb="FFCCCCCC"/>
      </right>
      <top/>
      <bottom style="medium">
        <color theme="4" tint="0.3999450666829432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/>
      <bottom style="medium">
        <color theme="4" tint="0.3999450666829432"/>
      </bottom>
      <diagonal/>
    </border>
    <border>
      <left/>
      <right style="thin">
        <color theme="5" tint="0.3999450666829432"/>
      </right>
      <top/>
      <bottom style="thin">
        <color theme="5" tint="0.3999450666829432"/>
      </bottom>
      <diagonal/>
    </border>
    <border>
      <left/>
      <right style="thin">
        <color theme="5" tint="0.3999450666829432"/>
      </right>
      <top style="thin">
        <color theme="5" tint="0.3999450666829432"/>
      </top>
      <bottom style="thin">
        <color theme="5" tint="0.3999450666829432"/>
      </bottom>
      <diagonal/>
    </border>
    <border>
      <left style="thin">
        <color theme="4" tint="-0.249946592608417"/>
      </left>
      <right/>
      <top style="thin">
        <color rgb="FFCCCCCC"/>
      </top>
      <bottom/>
      <diagonal/>
    </border>
    <border>
      <left/>
      <right style="thin">
        <color theme="4" tint="-0.249946592608417"/>
      </right>
      <top style="thin">
        <color rgb="FFCCCCCC"/>
      </top>
      <bottom/>
      <diagonal/>
    </border>
    <border>
      <left style="thin">
        <color theme="4" tint="-0.249946592608417"/>
      </left>
      <right/>
      <top/>
      <bottom style="medium">
        <color theme="4" tint="0.3999450666829432"/>
      </bottom>
      <diagonal/>
    </border>
    <border>
      <left/>
      <right style="thin">
        <color theme="4" tint="-0.249946592608417"/>
      </right>
      <top/>
      <bottom style="medium">
        <color theme="4" tint="0.3999450666829432"/>
      </bottom>
      <diagonal/>
    </border>
    <border>
      <left style="thin">
        <color theme="4" tint="-0.249946592608417"/>
      </left>
      <right style="thin">
        <color theme="5" tint="0.3999450666829432"/>
      </right>
      <top/>
      <bottom style="thin">
        <color theme="5" tint="0.3999450666829432"/>
      </bottom>
      <diagonal/>
    </border>
    <border>
      <left style="thin">
        <color theme="5" tint="0.3999450666829432"/>
      </left>
      <right style="thin">
        <color theme="4" tint="-0.249946592608417"/>
      </right>
      <top/>
      <bottom style="thin">
        <color theme="5" tint="0.3999450666829432"/>
      </bottom>
      <diagonal/>
    </border>
    <border>
      <left style="thin">
        <color theme="4" tint="-0.249946592608417"/>
      </left>
      <right style="thin">
        <color theme="5" tint="0.3999450666829432"/>
      </right>
      <top style="thin">
        <color theme="5" tint="0.3999450666829432"/>
      </top>
      <bottom style="thin">
        <color theme="5" tint="0.3999450666829432"/>
      </bottom>
      <diagonal/>
    </border>
    <border>
      <left style="thin">
        <color theme="5" tint="0.3999450666829432"/>
      </left>
      <right style="thin">
        <color theme="4" tint="-0.249946592608417"/>
      </right>
      <top style="thin">
        <color theme="5" tint="0.3999450666829432"/>
      </top>
      <bottom style="thin">
        <color theme="5" tint="0.3999450666829432"/>
      </bottom>
      <diagonal/>
    </border>
    <border>
      <left style="thin">
        <color theme="5" tint="0.3999450666829432"/>
      </left>
      <right/>
      <top/>
      <bottom style="thin">
        <color theme="5" tint="0.3999450666829432"/>
      </bottom>
      <diagonal/>
    </border>
    <border>
      <left style="thin">
        <color theme="5" tint="0.3999450666829432"/>
      </left>
      <right/>
      <top style="thin">
        <color theme="5" tint="0.3999450666829432"/>
      </top>
      <bottom style="thin">
        <color theme="5" tint="0.3999450666829432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rgb="FFCCCCCC"/>
      </left>
      <right/>
      <top/>
      <bottom/>
      <diagonal/>
    </border>
    <border>
      <left style="thin">
        <color theme="3" tint="0.7999816888943144"/>
      </left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thin">
        <color theme="3" tint="0.399945066682943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3" tint="0.7999816888943144"/>
      </left>
      <right style="thin">
        <color rgb="FFCCCCCC"/>
      </right>
      <top style="medium">
        <color theme="3" tint="0.7999816888943144"/>
      </top>
      <bottom style="medium">
        <color theme="3" tint="0.7999816888943144"/>
      </bottom>
      <diagonal/>
    </border>
    <border>
      <left/>
      <right style="medium">
        <color theme="3" tint="0.7999816888943144"/>
      </right>
      <top style="medium">
        <color theme="3" tint="0.7999816888943144"/>
      </top>
      <bottom style="medium">
        <color theme="3" tint="0.7999816888943144"/>
      </bottom>
      <diagonal/>
    </border>
    <border>
      <left style="thin">
        <color theme="4" tint="0.5999633777886288"/>
      </left>
      <right style="thin">
        <color theme="4" tint="0.5999633777886288"/>
      </right>
      <top style="thin">
        <color theme="4" tint="0.5999633777886288"/>
      </top>
      <bottom style="thin">
        <color theme="4" tint="0.5999633777886288"/>
      </bottom>
      <diagonal/>
    </border>
    <border>
      <left/>
      <right/>
      <top style="thin">
        <color theme="4" tint="0.5999633777886288"/>
      </top>
      <bottom/>
      <diagonal/>
    </border>
    <border>
      <left/>
      <right style="thin">
        <color theme="4" tint="0.5999633777886288"/>
      </right>
      <top style="thin">
        <color theme="4" tint="0.5999633777886288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medium">
        <color theme="4" tint="0.3999450666829432"/>
      </bottom>
      <diagonal/>
    </border>
    <border>
      <left style="thin">
        <color rgb="FFCCCCCC"/>
      </left>
      <right/>
      <top style="thin">
        <color rgb="FFCCCCCC"/>
      </top>
      <bottom style="medium">
        <color theme="4" tint="0.3999450666829432"/>
      </bottom>
      <diagonal/>
    </border>
    <border>
      <left style="thin">
        <color theme="4" tint="-0.249946592608417"/>
      </left>
      <right style="thin">
        <color theme="4" tint="-0.249946592608417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/>
      <right/>
      <top style="thin">
        <color theme="4" tint="0.7999816888943144"/>
      </top>
      <bottom/>
      <diagonal/>
    </border>
    <border>
      <left/>
      <right style="thin">
        <color theme="4" tint="0.7999816888943144"/>
      </right>
      <top style="thin">
        <color theme="4" tint="0.7999816888943144"/>
      </top>
      <bottom/>
      <diagonal/>
    </border>
    <border>
      <left/>
      <right style="thin">
        <color theme="4" tint="0.7999816888943144"/>
      </right>
      <top style="thin">
        <color theme="4" tint="0.7999816888943144"/>
      </top>
      <bottom style="thin">
        <color theme="4" tint="0.7999816888943144"/>
      </bottom>
      <diagonal/>
    </border>
    <border>
      <left style="thin">
        <color theme="3" tint="0.7999816888943144"/>
      </left>
      <right style="thin">
        <color theme="3" tint="0.7999816888943144"/>
      </right>
      <top style="thin">
        <color theme="3" tint="0.7999816888943144"/>
      </top>
      <bottom style="thin">
        <color theme="3" tint="0.7999816888943144"/>
      </bottom>
      <diagonal/>
    </border>
    <border>
      <left/>
      <right/>
      <top style="thin">
        <color theme="3" tint="0.7999816888943144"/>
      </top>
      <bottom/>
      <diagonal/>
    </border>
    <border>
      <left/>
      <right style="thin">
        <color theme="3" tint="0.7999816888943144"/>
      </right>
      <top style="thin">
        <color theme="3" tint="0.7999816888943144"/>
      </top>
      <bottom/>
      <diagonal/>
    </border>
    <border>
      <left/>
      <right style="thin">
        <color rgb="FFCCCCCC"/>
      </right>
      <top style="thin">
        <color theme="3" tint="0.7999816888943144"/>
      </top>
      <bottom/>
      <diagonal/>
    </border>
    <border>
      <left/>
      <right style="thin">
        <color rgb="FFCCCCCC"/>
      </right>
      <top style="thin">
        <color theme="3" tint="0.7999816888943144"/>
      </top>
      <bottom style="thin">
        <color theme="3" tint="0.7999816888943144"/>
      </bottom>
      <diagonal/>
    </border>
    <border>
      <left/>
      <right/>
      <top style="medium">
        <color rgb="FF1A3C6E"/>
      </top>
      <bottom/>
      <diagonal/>
    </border>
    <border>
      <left/>
      <right style="medium">
        <color rgb="FF1A3C6E"/>
      </right>
      <top style="medium">
        <color rgb="FF1A3C6E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theme="3" tint="0.7999816888943144"/>
      </top>
      <bottom/>
      <diagonal/>
    </border>
    <border>
      <left/>
      <right style="thin">
        <color rgb="FFCCCCCC"/>
      </right>
      <top style="medium">
        <color theme="3" tint="0.7999816888943144"/>
      </top>
      <bottom/>
      <diagonal/>
    </border>
    <border>
      <left/>
      <right style="thin">
        <color rgb="FFCCCCCC"/>
      </right>
      <top style="medium">
        <color theme="3" tint="0.7999816888943144"/>
      </top>
      <bottom style="medium">
        <color theme="3" tint="0.7999816888943144"/>
      </bottom>
      <diagonal/>
    </border>
    <border>
      <left style="thin">
        <color theme="3" tint="0.5999633777886288"/>
      </left>
      <right style="thin">
        <color theme="3" tint="0.5999633777886288"/>
      </right>
      <top style="thin">
        <color theme="3" tint="0.5999633777886288"/>
      </top>
      <bottom style="thin">
        <color theme="3" tint="0.5999633777886288"/>
      </bottom>
      <diagonal/>
    </border>
    <border>
      <left/>
      <right/>
      <top style="thin">
        <color theme="3" tint="0.5999633777886288"/>
      </top>
      <bottom/>
      <diagonal/>
    </border>
    <border>
      <left/>
      <right style="thin">
        <color theme="3" tint="0.5999633777886288"/>
      </right>
      <top style="thin">
        <color theme="3" tint="0.5999633777886288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17">
    <xf numFmtId="0" fontId="0" fillId="0" borderId="0" pivotButton="0" quotePrefix="0" xfId="0"/>
    <xf numFmtId="0" fontId="6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left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0" fontId="4" fillId="4" borderId="1" applyAlignment="1" pivotButton="0" quotePrefix="0" xfId="0">
      <alignment horizontal="left" vertical="center"/>
    </xf>
    <xf numFmtId="0" fontId="6" fillId="6" borderId="1" applyAlignment="1" pivotButton="0" quotePrefix="0" xfId="0">
      <alignment horizontal="center" vertical="center"/>
    </xf>
    <xf numFmtId="0" fontId="5" fillId="7" borderId="1" applyAlignment="1" pivotButton="0" quotePrefix="0" xfId="0">
      <alignment horizontal="center" vertical="center"/>
    </xf>
    <xf numFmtId="0" fontId="7" fillId="5" borderId="1" applyAlignment="1" pivotButton="0" quotePrefix="0" xfId="0">
      <alignment horizontal="left" vertical="center"/>
    </xf>
    <xf numFmtId="0" fontId="7" fillId="8" borderId="1" applyAlignment="1" pivotButton="0" quotePrefix="0" xfId="0">
      <alignment horizontal="left" vertical="center"/>
    </xf>
    <xf numFmtId="0" fontId="0" fillId="6" borderId="0" pivotButton="0" quotePrefix="0" xfId="0"/>
    <xf numFmtId="0" fontId="10" fillId="6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0" fontId="16" fillId="0" borderId="0" pivotButton="0" quotePrefix="0" xfId="0"/>
    <xf numFmtId="0" fontId="5" fillId="11" borderId="6" applyAlignment="1" pivotButton="0" quotePrefix="0" xfId="0">
      <alignment horizontal="center" vertical="center"/>
    </xf>
    <xf numFmtId="0" fontId="5" fillId="12" borderId="6" applyAlignment="1" pivotButton="0" quotePrefix="0" xfId="0">
      <alignment horizontal="center" vertical="center"/>
    </xf>
    <xf numFmtId="0" fontId="5" fillId="11" borderId="6" applyAlignment="1" pivotButton="0" quotePrefix="0" xfId="0">
      <alignment horizontal="left" vertical="center"/>
    </xf>
    <xf numFmtId="0" fontId="5" fillId="12" borderId="6" applyAlignment="1" pivotButton="0" quotePrefix="0" xfId="0">
      <alignment horizontal="left" vertical="center"/>
    </xf>
    <xf numFmtId="0" fontId="5" fillId="12" borderId="0" applyAlignment="1" pivotButton="0" quotePrefix="0" xfId="0">
      <alignment horizontal="center" vertical="center"/>
    </xf>
    <xf numFmtId="0" fontId="5" fillId="12" borderId="0" applyAlignment="1" pivotButton="0" quotePrefix="0" xfId="0">
      <alignment horizontal="left" vertical="center"/>
    </xf>
    <xf numFmtId="0" fontId="4" fillId="12" borderId="0" applyAlignment="1" pivotButton="0" quotePrefix="0" xfId="0">
      <alignment horizontal="center" vertical="center"/>
    </xf>
    <xf numFmtId="0" fontId="0" fillId="12" borderId="0" pivotButton="0" quotePrefix="0" xfId="0"/>
    <xf numFmtId="0" fontId="4" fillId="12" borderId="0" applyAlignment="1" pivotButton="0" quotePrefix="0" xfId="0">
      <alignment horizontal="left" vertical="center"/>
    </xf>
    <xf numFmtId="0" fontId="5" fillId="12" borderId="0" applyAlignment="1" pivotButton="0" quotePrefix="0" xfId="0">
      <alignment vertical="center"/>
    </xf>
    <xf numFmtId="0" fontId="4" fillId="12" borderId="0" applyAlignment="1" pivotButton="0" quotePrefix="0" xfId="0">
      <alignment vertical="center"/>
    </xf>
    <xf numFmtId="0" fontId="0" fillId="0" borderId="0" applyAlignment="1" pivotButton="0" quotePrefix="0" xfId="0">
      <alignment wrapText="1"/>
    </xf>
    <xf numFmtId="0" fontId="23" fillId="12" borderId="6" applyAlignment="1" pivotButton="0" quotePrefix="0" xfId="0">
      <alignment horizontal="left"/>
    </xf>
    <xf numFmtId="0" fontId="23" fillId="11" borderId="6" applyAlignment="1" pivotButton="0" quotePrefix="0" xfId="0">
      <alignment horizontal="left"/>
    </xf>
    <xf numFmtId="0" fontId="5" fillId="11" borderId="16" applyAlignment="1" pivotButton="0" quotePrefix="0" xfId="0">
      <alignment horizontal="center" vertical="center"/>
    </xf>
    <xf numFmtId="0" fontId="5" fillId="12" borderId="16" applyAlignment="1" pivotButton="0" quotePrefix="0" xfId="0">
      <alignment horizontal="center" vertical="center"/>
    </xf>
    <xf numFmtId="0" fontId="10" fillId="12" borderId="16" applyAlignment="1" pivotButton="0" quotePrefix="0" xfId="0">
      <alignment horizontal="center" vertical="center"/>
    </xf>
    <xf numFmtId="0" fontId="5" fillId="8" borderId="5" applyAlignment="1" pivotButton="0" quotePrefix="0" xfId="0">
      <alignment horizontal="center" vertical="center"/>
    </xf>
    <xf numFmtId="0" fontId="25" fillId="17" borderId="0" applyAlignment="1" pivotButton="0" quotePrefix="0" xfId="0">
      <alignment horizontal="center" vertical="center"/>
    </xf>
    <xf numFmtId="0" fontId="26" fillId="17" borderId="0" pivotButton="0" quotePrefix="0" xfId="0"/>
    <xf numFmtId="0" fontId="10" fillId="6" borderId="1" applyAlignment="1" pivotButton="0" quotePrefix="0" xfId="0">
      <alignment horizontal="center" vertical="center" wrapText="1"/>
    </xf>
    <xf numFmtId="0" fontId="27" fillId="11" borderId="6" pivotButton="0" quotePrefix="0" xfId="0"/>
    <xf numFmtId="0" fontId="27" fillId="12" borderId="6" pivotButton="0" quotePrefix="0" xfId="0"/>
    <xf numFmtId="0" fontId="28" fillId="17" borderId="0" pivotButton="0" quotePrefix="0" xfId="0"/>
    <xf numFmtId="0" fontId="29" fillId="0" borderId="0" pivotButton="0" quotePrefix="0" xfId="0"/>
    <xf numFmtId="0" fontId="5" fillId="5" borderId="8" applyAlignment="1" pivotButton="0" quotePrefix="0" xfId="0">
      <alignment horizontal="left" vertical="center"/>
    </xf>
    <xf numFmtId="0" fontId="0" fillId="0" borderId="21" pivotButton="0" quotePrefix="0" xfId="0"/>
    <xf numFmtId="0" fontId="0" fillId="11" borderId="21" pivotButton="0" quotePrefix="0" xfId="0"/>
    <xf numFmtId="0" fontId="29" fillId="0" borderId="7" pivotButton="0" quotePrefix="0" xfId="0"/>
    <xf numFmtId="0" fontId="5" fillId="5" borderId="24" applyAlignment="1" pivotButton="0" quotePrefix="0" xfId="0">
      <alignment horizontal="left" vertical="center"/>
    </xf>
    <xf numFmtId="0" fontId="0" fillId="0" borderId="25" pivotButton="0" quotePrefix="0" xfId="0"/>
    <xf numFmtId="0" fontId="34" fillId="19" borderId="23" applyAlignment="1" pivotButton="0" quotePrefix="0" xfId="0">
      <alignment horizontal="center"/>
    </xf>
    <xf numFmtId="0" fontId="32" fillId="18" borderId="23" applyAlignment="1" pivotButton="0" quotePrefix="0" xfId="0">
      <alignment horizontal="center"/>
    </xf>
    <xf numFmtId="0" fontId="0" fillId="11" borderId="30" pivotButton="0" quotePrefix="0" xfId="0"/>
    <xf numFmtId="0" fontId="0" fillId="0" borderId="30" pivotButton="0" quotePrefix="0" xfId="0"/>
    <xf numFmtId="0" fontId="34" fillId="19" borderId="33" applyAlignment="1" pivotButton="0" quotePrefix="0" xfId="0">
      <alignment horizontal="center"/>
    </xf>
    <xf numFmtId="0" fontId="32" fillId="18" borderId="34" applyAlignment="1" pivotButton="0" quotePrefix="0" xfId="0">
      <alignment horizontal="center"/>
    </xf>
    <xf numFmtId="0" fontId="35" fillId="0" borderId="35" pivotButton="0" quotePrefix="0" xfId="0"/>
    <xf numFmtId="0" fontId="33" fillId="0" borderId="36" pivotButton="0" quotePrefix="0" xfId="0"/>
    <xf numFmtId="0" fontId="35" fillId="11" borderId="37" pivotButton="0" quotePrefix="0" xfId="0"/>
    <xf numFmtId="0" fontId="33" fillId="11" borderId="38" pivotButton="0" quotePrefix="0" xfId="0"/>
    <xf numFmtId="0" fontId="35" fillId="0" borderId="37" pivotButton="0" quotePrefix="0" xfId="0"/>
    <xf numFmtId="0" fontId="33" fillId="0" borderId="38" pivotButton="0" quotePrefix="0" xfId="0"/>
    <xf numFmtId="0" fontId="0" fillId="11" borderId="40" pivotButton="0" quotePrefix="0" xfId="0"/>
    <xf numFmtId="0" fontId="0" fillId="0" borderId="40" pivotButton="0" quotePrefix="0" xfId="0"/>
    <xf numFmtId="0" fontId="0" fillId="0" borderId="35" pivotButton="0" quotePrefix="0" xfId="0"/>
    <xf numFmtId="0" fontId="0" fillId="0" borderId="36" pivotButton="0" quotePrefix="0" xfId="0"/>
    <xf numFmtId="0" fontId="0" fillId="11" borderId="37" pivotButton="0" quotePrefix="0" xfId="0"/>
    <xf numFmtId="0" fontId="0" fillId="11" borderId="38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13" borderId="29" pivotButton="0" quotePrefix="0" xfId="0"/>
    <xf numFmtId="0" fontId="0" fillId="13" borderId="39" pivotButton="0" quotePrefix="0" xfId="0"/>
    <xf numFmtId="0" fontId="8" fillId="5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1" fillId="16" borderId="41" pivotButton="0" quotePrefix="0" xfId="0"/>
    <xf numFmtId="0" fontId="34" fillId="19" borderId="33" applyAlignment="1" pivotButton="0" quotePrefix="0" xfId="0">
      <alignment horizontal="center" wrapText="1"/>
    </xf>
    <xf numFmtId="0" fontId="32" fillId="18" borderId="34" applyAlignment="1" pivotButton="0" quotePrefix="0" xfId="0">
      <alignment horizontal="center" wrapText="1"/>
    </xf>
    <xf numFmtId="0" fontId="6" fillId="2" borderId="5" applyAlignment="1" pivotButton="0" quotePrefix="0" xfId="0">
      <alignment horizontal="center" vertical="center"/>
    </xf>
    <xf numFmtId="0" fontId="4" fillId="4" borderId="0" applyAlignment="1" pivotButton="0" quotePrefix="0" xfId="0">
      <alignment horizontal="left" vertical="center"/>
    </xf>
    <xf numFmtId="0" fontId="4" fillId="4" borderId="42" applyAlignment="1" pivotButton="0" quotePrefix="0" xfId="0">
      <alignment horizontal="left" vertical="center"/>
    </xf>
    <xf numFmtId="0" fontId="40" fillId="0" borderId="0" pivotButton="0" quotePrefix="0" xfId="0"/>
    <xf numFmtId="0" fontId="0" fillId="0" borderId="0" applyAlignment="1" pivotButton="0" quotePrefix="0" xfId="0">
      <alignment horizontal="center"/>
    </xf>
    <xf numFmtId="0" fontId="15" fillId="5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22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23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 vertical="center"/>
    </xf>
    <xf numFmtId="0" fontId="24" fillId="0" borderId="0" applyAlignment="1" pivotButton="0" quotePrefix="0" xfId="0">
      <alignment horizontal="left"/>
    </xf>
    <xf numFmtId="0" fontId="41" fillId="11" borderId="6" applyAlignment="1" pivotButton="0" quotePrefix="0" xfId="0">
      <alignment horizontal="center"/>
    </xf>
    <xf numFmtId="0" fontId="41" fillId="12" borderId="6" applyAlignment="1" pivotButton="0" quotePrefix="0" xfId="0">
      <alignment horizontal="center"/>
    </xf>
    <xf numFmtId="164" fontId="5" fillId="5" borderId="1" applyAlignment="1" pivotButton="0" quotePrefix="0" xfId="0">
      <alignment horizontal="left" vertical="center"/>
    </xf>
    <xf numFmtId="0" fontId="42" fillId="0" borderId="0" applyAlignment="1" pivotButton="0" quotePrefix="0" xfId="0">
      <alignment horizontal="right"/>
    </xf>
    <xf numFmtId="0" fontId="0" fillId="21" borderId="0" pivotButton="0" quotePrefix="0" xfId="0"/>
    <xf numFmtId="0" fontId="0" fillId="0" borderId="0" applyAlignment="1" pivotButton="0" quotePrefix="0" xfId="0">
      <alignment horizontal="center" vertical="center"/>
    </xf>
    <xf numFmtId="0" fontId="50" fillId="5" borderId="1" applyAlignment="1" pivotButton="0" quotePrefix="0" xfId="0">
      <alignment horizontal="center" vertical="center"/>
    </xf>
    <xf numFmtId="0" fontId="50" fillId="5" borderId="1" applyAlignment="1" pivotButton="0" quotePrefix="0" xfId="0">
      <alignment horizontal="left" vertical="center"/>
    </xf>
    <xf numFmtId="0" fontId="50" fillId="8" borderId="1" applyAlignment="1" pivotButton="0" quotePrefix="0" xfId="0">
      <alignment horizontal="center" vertical="center"/>
    </xf>
    <xf numFmtId="0" fontId="50" fillId="8" borderId="1" applyAlignment="1" pivotButton="0" quotePrefix="0" xfId="0">
      <alignment horizontal="left" vertical="center"/>
    </xf>
    <xf numFmtId="0" fontId="50" fillId="12" borderId="0" applyAlignment="1" pivotButton="0" quotePrefix="0" xfId="0">
      <alignment horizontal="center" vertical="center"/>
    </xf>
    <xf numFmtId="0" fontId="22" fillId="15" borderId="0" applyAlignment="1" pivotButton="0" quotePrefix="0" xfId="0">
      <alignment horizontal="center" vertical="center"/>
    </xf>
    <xf numFmtId="0" fontId="51" fillId="13" borderId="0" applyAlignment="1" pivotButton="0" quotePrefix="0" xfId="0">
      <alignment horizontal="center" vertical="center"/>
    </xf>
    <xf numFmtId="0" fontId="52" fillId="5" borderId="1" applyAlignment="1" pivotButton="0" quotePrefix="0" xfId="0">
      <alignment horizontal="center" vertical="center"/>
    </xf>
    <xf numFmtId="0" fontId="52" fillId="8" borderId="1" applyAlignment="1" pivotButton="0" quotePrefix="0" xfId="0">
      <alignment horizontal="center" vertical="center"/>
    </xf>
    <xf numFmtId="0" fontId="52" fillId="13" borderId="0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50" fillId="5" borderId="8" applyAlignment="1" pivotButton="0" quotePrefix="0" xfId="0">
      <alignment horizontal="center" vertical="center"/>
    </xf>
    <xf numFmtId="0" fontId="50" fillId="5" borderId="4" applyAlignment="1" pivotButton="0" quotePrefix="0" xfId="0">
      <alignment horizontal="center" vertical="center"/>
    </xf>
    <xf numFmtId="0" fontId="50" fillId="8" borderId="8" applyAlignment="1" pivotButton="0" quotePrefix="0" xfId="0">
      <alignment horizontal="center" vertical="center"/>
    </xf>
    <xf numFmtId="0" fontId="50" fillId="8" borderId="4" applyAlignment="1" pivotButton="0" quotePrefix="0" xfId="0">
      <alignment horizontal="center" vertical="center"/>
    </xf>
    <xf numFmtId="0" fontId="5" fillId="12" borderId="9" applyAlignment="1" pivotButton="0" quotePrefix="0" xfId="0">
      <alignment horizontal="center" vertical="center"/>
    </xf>
    <xf numFmtId="0" fontId="5" fillId="12" borderId="11" applyAlignment="1" pivotButton="0" quotePrefix="0" xfId="0">
      <alignment horizontal="center" vertical="center"/>
    </xf>
    <xf numFmtId="0" fontId="5" fillId="12" borderId="10" applyAlignment="1" pivotButton="0" quotePrefix="0" xfId="0">
      <alignment horizontal="center" vertical="center"/>
    </xf>
    <xf numFmtId="0" fontId="4" fillId="4" borderId="51" applyAlignment="1" pivotButton="0" quotePrefix="0" xfId="0">
      <alignment horizontal="center" vertical="center"/>
    </xf>
    <xf numFmtId="0" fontId="0" fillId="0" borderId="52" applyAlignment="1" pivotButton="0" quotePrefix="0" xfId="0">
      <alignment horizontal="center"/>
    </xf>
    <xf numFmtId="0" fontId="0" fillId="0" borderId="48" applyAlignment="1" pivotButton="0" quotePrefix="0" xfId="0">
      <alignment wrapText="1"/>
    </xf>
    <xf numFmtId="0" fontId="0" fillId="0" borderId="49" applyAlignment="1" pivotButton="0" quotePrefix="0" xfId="0">
      <alignment wrapText="1"/>
    </xf>
    <xf numFmtId="0" fontId="0" fillId="0" borderId="50" applyAlignment="1" pivotButton="0" quotePrefix="0" xfId="0">
      <alignment wrapText="1"/>
    </xf>
    <xf numFmtId="0" fontId="47" fillId="21" borderId="0" applyAlignment="1" pivotButton="0" quotePrefix="0" xfId="0">
      <alignment horizontal="center" wrapText="1"/>
    </xf>
    <xf numFmtId="0" fontId="22" fillId="10" borderId="44" applyAlignment="1" pivotButton="0" quotePrefix="0" xfId="0">
      <alignment horizontal="center" vertical="center"/>
    </xf>
    <xf numFmtId="0" fontId="0" fillId="12" borderId="43" applyAlignment="1" pivotButton="0" quotePrefix="0" xfId="0">
      <alignment horizontal="center"/>
    </xf>
    <xf numFmtId="0" fontId="0" fillId="12" borderId="14" applyAlignment="1" pivotButton="0" quotePrefix="0" xfId="0">
      <alignment horizontal="center"/>
    </xf>
    <xf numFmtId="0" fontId="10" fillId="6" borderId="8" applyAlignment="1" pivotButton="0" quotePrefix="0" xfId="0">
      <alignment horizontal="center" vertical="center" wrapText="1"/>
    </xf>
    <xf numFmtId="0" fontId="10" fillId="6" borderId="4" applyAlignment="1" pivotButton="0" quotePrefix="0" xfId="0">
      <alignment horizontal="center" vertical="center" wrapText="1"/>
    </xf>
    <xf numFmtId="0" fontId="29" fillId="0" borderId="43" applyAlignment="1" pivotButton="0" quotePrefix="0" xfId="0">
      <alignment horizontal="center"/>
    </xf>
    <xf numFmtId="0" fontId="29" fillId="0" borderId="14" applyAlignment="1" pivotButton="0" quotePrefix="0" xfId="0">
      <alignment horizontal="center"/>
    </xf>
    <xf numFmtId="0" fontId="0" fillId="0" borderId="43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51" fillId="13" borderId="7" applyAlignment="1" pivotButton="0" quotePrefix="0" xfId="0">
      <alignment horizontal="center" vertical="center"/>
    </xf>
    <xf numFmtId="0" fontId="18" fillId="14" borderId="0" applyAlignment="1" pivotButton="0" quotePrefix="0" xfId="0">
      <alignment horizontal="center" vertical="center"/>
    </xf>
    <xf numFmtId="0" fontId="0" fillId="11" borderId="16" applyAlignment="1" pivotButton="0" quotePrefix="0" xfId="0">
      <alignment horizontal="center"/>
    </xf>
    <xf numFmtId="0" fontId="7" fillId="3" borderId="0" applyAlignment="1" pivotButton="0" quotePrefix="0" xfId="0">
      <alignment horizontal="center" vertical="center"/>
    </xf>
    <xf numFmtId="0" fontId="0" fillId="0" borderId="0" pivotButton="0" quotePrefix="0" xfId="0"/>
    <xf numFmtId="0" fontId="45" fillId="3" borderId="0" applyAlignment="1" pivotButton="0" quotePrefix="0" xfId="0">
      <alignment horizontal="center" vertical="center"/>
    </xf>
    <xf numFmtId="0" fontId="46" fillId="0" borderId="0" pivotButton="0" quotePrefix="0" xfId="0"/>
    <xf numFmtId="0" fontId="4" fillId="4" borderId="0" applyAlignment="1" pivotButton="0" quotePrefix="0" xfId="0">
      <alignment horizontal="right" vertical="center"/>
    </xf>
    <xf numFmtId="0" fontId="17" fillId="12" borderId="16" applyAlignment="1" pivotButton="0" quotePrefix="0" xfId="0">
      <alignment horizontal="center"/>
    </xf>
    <xf numFmtId="0" fontId="19" fillId="14" borderId="0" applyAlignment="1" pivotButton="0" quotePrefix="0" xfId="0">
      <alignment horizontal="left"/>
    </xf>
    <xf numFmtId="0" fontId="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wrapText="1"/>
    </xf>
    <xf numFmtId="0" fontId="14" fillId="5" borderId="0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26" fillId="0" borderId="0" pivotButton="0" quotePrefix="0" xfId="0"/>
    <xf numFmtId="0" fontId="10" fillId="5" borderId="12" applyAlignment="1" pivotButton="0" quotePrefix="0" xfId="0">
      <alignment horizontal="left" vertical="center"/>
    </xf>
    <xf numFmtId="0" fontId="29" fillId="0" borderId="13" pivotButton="0" quotePrefix="0" xfId="0"/>
    <xf numFmtId="0" fontId="29" fillId="0" borderId="14" pivotButton="0" quotePrefix="0" xfId="0"/>
    <xf numFmtId="0" fontId="5" fillId="5" borderId="12" applyAlignment="1" pivotButton="0" quotePrefix="0" xfId="0">
      <alignment horizontal="left" vertical="center"/>
    </xf>
    <xf numFmtId="0" fontId="0" fillId="0" borderId="13" pivotButton="0" quotePrefix="0" xfId="0"/>
    <xf numFmtId="0" fontId="0" fillId="0" borderId="14" pivotButton="0" quotePrefix="0" xfId="0"/>
    <xf numFmtId="0" fontId="15" fillId="5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wrapText="1"/>
    </xf>
    <xf numFmtId="0" fontId="3" fillId="9" borderId="0" applyAlignment="1" pivotButton="0" quotePrefix="0" xfId="0">
      <alignment horizontal="center" vertical="center"/>
    </xf>
    <xf numFmtId="0" fontId="38" fillId="5" borderId="12" applyAlignment="1" pivotButton="0" quotePrefix="0" xfId="0">
      <alignment horizontal="center" vertical="center"/>
    </xf>
    <xf numFmtId="0" fontId="37" fillId="0" borderId="13" applyAlignment="1" pivotButton="0" quotePrefix="0" xfId="0">
      <alignment horizontal="center"/>
    </xf>
    <xf numFmtId="0" fontId="37" fillId="0" borderId="14" applyAlignment="1" pivotButton="0" quotePrefix="0" xfId="0">
      <alignment horizontal="center"/>
    </xf>
    <xf numFmtId="0" fontId="13" fillId="8" borderId="0" applyAlignment="1" pivotButton="0" quotePrefix="0" xfId="0">
      <alignment horizontal="left" vertical="center"/>
    </xf>
    <xf numFmtId="0" fontId="7" fillId="8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left" vertical="center"/>
    </xf>
    <xf numFmtId="0" fontId="12" fillId="3" borderId="2" applyAlignment="1" pivotButton="0" quotePrefix="0" xfId="0">
      <alignment horizontal="left" vertical="center"/>
    </xf>
    <xf numFmtId="0" fontId="0" fillId="0" borderId="15" pivotButton="0" quotePrefix="0" xfId="0"/>
    <xf numFmtId="0" fontId="10" fillId="6" borderId="8" applyAlignment="1" pivotButton="0" quotePrefix="0" xfId="0">
      <alignment horizontal="center" vertical="center"/>
    </xf>
    <xf numFmtId="0" fontId="10" fillId="6" borderId="3" applyAlignment="1" pivotButton="0" quotePrefix="0" xfId="0">
      <alignment horizontal="center" vertical="center"/>
    </xf>
    <xf numFmtId="0" fontId="48" fillId="22" borderId="0" applyAlignment="1" pivotButton="0" quotePrefix="0" xfId="0">
      <alignment horizontal="center"/>
    </xf>
    <xf numFmtId="0" fontId="3" fillId="20" borderId="45" applyAlignment="1" pivotButton="0" quotePrefix="0" xfId="0">
      <alignment horizontal="center" vertical="center"/>
    </xf>
    <xf numFmtId="0" fontId="0" fillId="20" borderId="46" pivotButton="0" quotePrefix="0" xfId="0"/>
    <xf numFmtId="0" fontId="0" fillId="20" borderId="47" pivotButton="0" quotePrefix="0" xfId="0"/>
    <xf numFmtId="0" fontId="18" fillId="14" borderId="0" applyAlignment="1" pivotButton="0" quotePrefix="0" xfId="0">
      <alignment horizontal="left" vertical="center"/>
    </xf>
    <xf numFmtId="0" fontId="21" fillId="10" borderId="0" applyAlignment="1" pivotButton="0" quotePrefix="0" xfId="0">
      <alignment horizontal="center" vertical="center"/>
    </xf>
    <xf numFmtId="0" fontId="20" fillId="10" borderId="0" applyAlignment="1" pivotButton="0" quotePrefix="0" xfId="0">
      <alignment horizontal="center" vertical="center"/>
    </xf>
    <xf numFmtId="0" fontId="9" fillId="2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left" vertical="center"/>
    </xf>
    <xf numFmtId="0" fontId="30" fillId="10" borderId="18" applyAlignment="1" pivotButton="0" quotePrefix="0" xfId="0">
      <alignment horizontal="center"/>
    </xf>
    <xf numFmtId="0" fontId="30" fillId="10" borderId="19" applyAlignment="1" pivotButton="0" quotePrefix="0" xfId="0">
      <alignment horizontal="center"/>
    </xf>
    <xf numFmtId="0" fontId="30" fillId="10" borderId="20" applyAlignment="1" pivotButton="0" quotePrefix="0" xfId="0">
      <alignment horizontal="center"/>
    </xf>
    <xf numFmtId="0" fontId="29" fillId="0" borderId="22" applyAlignment="1" pivotButton="0" quotePrefix="0" xfId="0">
      <alignment horizontal="center"/>
    </xf>
    <xf numFmtId="0" fontId="29" fillId="0" borderId="7" applyAlignment="1" pivotButton="0" quotePrefix="0" xfId="0">
      <alignment horizontal="center"/>
    </xf>
    <xf numFmtId="0" fontId="31" fillId="15" borderId="22" applyAlignment="1" pivotButton="0" quotePrefix="0" xfId="0">
      <alignment horizontal="center"/>
    </xf>
    <xf numFmtId="0" fontId="31" fillId="15" borderId="7" applyAlignment="1" pivotButton="0" quotePrefix="0" xfId="0">
      <alignment horizontal="center"/>
    </xf>
    <xf numFmtId="0" fontId="31" fillId="16" borderId="22" applyAlignment="1" pivotButton="0" quotePrefix="0" xfId="0">
      <alignment horizontal="center"/>
    </xf>
    <xf numFmtId="0" fontId="31" fillId="16" borderId="7" applyAlignment="1" pivotButton="0" quotePrefix="0" xfId="0">
      <alignment horizontal="center"/>
    </xf>
    <xf numFmtId="0" fontId="9" fillId="2" borderId="27" applyAlignment="1" pivotButton="0" quotePrefix="0" xfId="0">
      <alignment horizontal="center" vertical="center"/>
    </xf>
    <xf numFmtId="0" fontId="20" fillId="10" borderId="17" applyAlignment="1" pivotButton="0" quotePrefix="0" xfId="0">
      <alignment horizontal="center" vertical="center"/>
    </xf>
    <xf numFmtId="0" fontId="20" fillId="10" borderId="26" applyAlignment="1" pivotButton="0" quotePrefix="0" xfId="0">
      <alignment horizontal="center" vertical="center"/>
    </xf>
    <xf numFmtId="0" fontId="20" fillId="10" borderId="22" applyAlignment="1" pivotButton="0" quotePrefix="0" xfId="0">
      <alignment horizontal="center" vertical="center"/>
    </xf>
    <xf numFmtId="0" fontId="20" fillId="10" borderId="28" applyAlignment="1" pivotButton="0" quotePrefix="0" xfId="0">
      <alignment horizontal="center" vertical="center"/>
    </xf>
    <xf numFmtId="0" fontId="31" fillId="16" borderId="31" applyAlignment="1" pivotButton="0" quotePrefix="0" xfId="0">
      <alignment horizontal="center"/>
    </xf>
    <xf numFmtId="0" fontId="31" fillId="16" borderId="32" applyAlignment="1" pivotButton="0" quotePrefix="0" xfId="0">
      <alignment horizontal="center"/>
    </xf>
    <xf numFmtId="0" fontId="1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30" fillId="10" borderId="53" applyAlignment="1" pivotButton="0" quotePrefix="0" xfId="0">
      <alignment horizontal="center"/>
    </xf>
    <xf numFmtId="0" fontId="0" fillId="0" borderId="19" pivotButton="0" quotePrefix="0" xfId="0"/>
    <xf numFmtId="0" fontId="0" fillId="0" borderId="20" pivotButton="0" quotePrefix="0" xfId="0"/>
    <xf numFmtId="0" fontId="0" fillId="0" borderId="27" pivotButton="0" quotePrefix="0" xfId="0"/>
    <xf numFmtId="0" fontId="20" fillId="10" borderId="56" applyAlignment="1" pivotButton="0" quotePrefix="0" xfId="0">
      <alignment horizontal="center" vertical="center"/>
    </xf>
    <xf numFmtId="0" fontId="20" fillId="10" borderId="57" applyAlignment="1" pivotButton="0" quotePrefix="0" xfId="0">
      <alignment horizontal="center" vertical="center"/>
    </xf>
    <xf numFmtId="0" fontId="31" fillId="16" borderId="58" applyAlignment="1" pivotButton="0" quotePrefix="0" xfId="0">
      <alignment horizontal="center"/>
    </xf>
    <xf numFmtId="0" fontId="0" fillId="0" borderId="32" pivotButton="0" quotePrefix="0" xfId="0"/>
    <xf numFmtId="0" fontId="0" fillId="0" borderId="7" pivotButton="0" quotePrefix="0" xfId="0"/>
    <xf numFmtId="0" fontId="0" fillId="0" borderId="26" pivotButton="0" quotePrefix="0" xfId="0"/>
    <xf numFmtId="0" fontId="0" fillId="0" borderId="28" pivotButton="0" quotePrefix="0" xfId="0"/>
    <xf numFmtId="0" fontId="29" fillId="0" borderId="66" applyAlignment="1" pivotButton="0" quotePrefix="0" xfId="0">
      <alignment horizontal="center"/>
    </xf>
    <xf numFmtId="0" fontId="0" fillId="0" borderId="70" pivotButton="0" quotePrefix="0" xfId="0"/>
    <xf numFmtId="0" fontId="0" fillId="0" borderId="66" applyAlignment="1" pivotButton="0" quotePrefix="0" xfId="0">
      <alignment horizontal="center"/>
    </xf>
    <xf numFmtId="0" fontId="0" fillId="0" borderId="4" pivotButton="0" quotePrefix="0" xfId="0"/>
    <xf numFmtId="0" fontId="0" fillId="0" borderId="3" pivotButton="0" quotePrefix="0" xfId="0"/>
    <xf numFmtId="0" fontId="0" fillId="0" borderId="44" pivotButton="0" quotePrefix="0" xfId="0"/>
    <xf numFmtId="0" fontId="0" fillId="0" borderId="65" pivotButton="0" quotePrefix="0" xfId="0"/>
    <xf numFmtId="0" fontId="0" fillId="12" borderId="66" applyAlignment="1" pivotButton="0" quotePrefix="0" xfId="0">
      <alignment horizontal="center"/>
    </xf>
    <xf numFmtId="0" fontId="5" fillId="12" borderId="78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0" pivotButton="0" quotePrefix="0" xfId="0"/>
    <xf numFmtId="0" fontId="3" fillId="20" borderId="60" applyAlignment="1" pivotButton="0" quotePrefix="0" xfId="0">
      <alignment horizontal="center" vertical="center"/>
    </xf>
    <xf numFmtId="0" fontId="0" fillId="0" borderId="46" pivotButton="0" quotePrefix="0" xfId="0"/>
    <xf numFmtId="0" fontId="0" fillId="0" borderId="47" pivotButton="0" quotePrefix="0" xfId="0"/>
    <xf numFmtId="0" fontId="0" fillId="0" borderId="7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81" applyAlignment="1" pivotButton="0" quotePrefix="0" xfId="0">
      <alignment wrapText="1"/>
    </xf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1</col>
      <colOff>932732</colOff>
      <row>1</row>
      <rowOff>37023</rowOff>
    </from>
    <to>
      <col>2</col>
      <colOff>1304207</colOff>
      <row>8</row>
      <rowOff>8986</rowOff>
    </to>
    <pic>
      <nvPicPr>
        <cNvPr id="13" name="Picture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121435" y="72966"/>
          <a:ext cx="1737324" cy="127491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All_Students_Scores" displayName="All_Students_Scores" ref="A1:V98" tableType="queryTable" headerRowCount="1" totalsRowShown="0">
  <autoFilter ref="A1:V98"/>
  <tableColumns count="22">
    <tableColumn id="1" uniqueName="1" name="Reg/No" queryTableFieldId="1" dataDxfId="29"/>
    <tableColumn id="2" uniqueName="2" name="Student Name" queryTableFieldId="2" dataDxfId="28"/>
    <tableColumn id="3" uniqueName="3" name="English Language" queryTableFieldId="3" dataDxfId="27"/>
    <tableColumn id="4" uniqueName="4" name="Column1" queryTableFieldId="4" dataDxfId="26"/>
    <tableColumn id="5" uniqueName="5" name="Mathematics" queryTableFieldId="5" dataDxfId="25"/>
    <tableColumn id="6" uniqueName="6" name="_1" queryTableFieldId="6" dataDxfId="24"/>
    <tableColumn id="7" uniqueName="7" name="Basic Digital Literacy" queryTableFieldId="7" dataDxfId="23"/>
    <tableColumn id="8" uniqueName="8" name="_2" queryTableFieldId="8" dataDxfId="22"/>
    <tableColumn id="9" uniqueName="9" name="Nigeria History" queryTableFieldId="9" dataDxfId="21"/>
    <tableColumn id="10" uniqueName="10" name="_3" queryTableFieldId="10" dataDxfId="20"/>
    <tableColumn id="11" uniqueName="11" name="Prevocational Studies" queryTableFieldId="11" dataDxfId="19"/>
    <tableColumn id="12" uniqueName="12" name="_4" queryTableFieldId="12" dataDxfId="18"/>
    <tableColumn id="13" uniqueName="13" name="Social and Citizenship" queryTableFieldId="13" dataDxfId="17"/>
    <tableColumn id="14" uniqueName="14" name="_5" queryTableFieldId="14" dataDxfId="16"/>
    <tableColumn id="15" uniqueName="15" name="Cultural and Creative Art" queryTableFieldId="15" dataDxfId="15"/>
    <tableColumn id="16" uniqueName="16" name="_6" queryTableFieldId="16" dataDxfId="14"/>
    <tableColumn id="17" uniqueName="17" name="Islamic Religious Studies" queryTableFieldId="17" dataDxfId="13"/>
    <tableColumn id="18" uniqueName="18" name="_7" queryTableFieldId="18" dataDxfId="12"/>
    <tableColumn id="19" uniqueName="19" name="Physical Health Education" queryTableFieldId="19" dataDxfId="11"/>
    <tableColumn id="20" uniqueName="20" name="_8" queryTableFieldId="20" dataDxfId="10"/>
    <tableColumn id="21" uniqueName="21" name="Basic Science" queryTableFieldId="21" dataDxfId="9"/>
    <tableColumn id="22" uniqueName="22" name="_9" queryTableFieldId="22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All_Students_Info" displayName="All_Students_Info" ref="A1:R96" tableType="queryTable" headerRowCount="1" totalsRowShown="0">
  <autoFilter ref="A1:R96"/>
  <tableColumns count="18">
    <tableColumn id="1" uniqueName="1" name="Reg No." queryTableFieldId="1" dataDxfId="7"/>
    <tableColumn id="2" uniqueName="2" name="Full Name" queryTableFieldId="2" dataDxfId="6"/>
    <tableColumn id="3" uniqueName="3" name="Class" queryTableFieldId="3" dataDxfId="5"/>
    <tableColumn id="4" uniqueName="4" name="Class Type" queryTableFieldId="4" dataDxfId="4"/>
    <tableColumn id="5" uniqueName="5" name="Gender" queryTableFieldId="5" dataDxfId="3"/>
    <tableColumn id="6" uniqueName="6" name="Days Present" queryTableFieldId="6"/>
    <tableColumn id="7" uniqueName="7" name="Days Absent" queryTableFieldId="7"/>
    <tableColumn id="8" uniqueName="8" name="House" queryTableFieldId="8" dataDxfId="2"/>
    <tableColumn id="9" uniqueName="9" name="Parent Phone" queryTableFieldId="9" dataDxfId="1"/>
    <tableColumn id="10" uniqueName="10" name="Parents Email" queryTableFieldId="10" dataDxfId="0"/>
    <tableColumn id="11" uniqueName="11" name="Relationship with Peers" queryTableFieldId="11"/>
    <tableColumn id="12" uniqueName="12" name="Neatness" queryTableFieldId="12"/>
    <tableColumn id="13" uniqueName="13" name="Honesty" queryTableFieldId="13"/>
    <tableColumn id="14" uniqueName="14" name="Punctuality" queryTableFieldId="14"/>
    <tableColumn id="15" uniqueName="15" name="Respect" queryTableFieldId="15"/>
    <tableColumn id="16" uniqueName="16" name="Handwriting" queryTableFieldId="16"/>
    <tableColumn id="17" uniqueName="17" name="Games and Sport" queryTableFieldId="17"/>
    <tableColumn id="18" uniqueName="18" name="Clubs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9.xml.rels><Relationships xmlns="http://schemas.openxmlformats.org/package/2006/relationships"><Relationship Type="http://schemas.openxmlformats.org/officeDocument/2006/relationships/hyperlink" Target="mailto:sodeeqadebayo1@gmail.com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:O1007"/>
  <sheetViews>
    <sheetView showGridLines="0" tabSelected="1" zoomScale="110" zoomScaleNormal="110" workbookViewId="0">
      <pane xSplit="1" ySplit="2" topLeftCell="G3" activePane="bottomRight" state="frozen"/>
      <selection pane="topRight" activeCell="A1" sqref="A1"/>
      <selection pane="bottomLeft" activeCell="A1" sqref="A1"/>
      <selection pane="bottomRight" activeCell="O25" sqref="O25"/>
    </sheetView>
  </sheetViews>
  <sheetFormatPr baseColWidth="8" defaultRowHeight="15"/>
  <cols>
    <col width="3" customWidth="1" style="130" min="1" max="1"/>
    <col width="8" customWidth="1" style="130" min="2" max="2"/>
    <col width="22" customWidth="1" style="130" min="3" max="3"/>
    <col width="10.85546875" customWidth="1" style="130" min="4" max="5"/>
    <col width="10" customWidth="1" style="130" min="6" max="6"/>
    <col width="12" customWidth="1" style="130" min="7" max="8"/>
    <col width="16" customWidth="1" style="130" min="9" max="10"/>
    <col width="14" customWidth="1" style="130" min="11" max="13"/>
    <col width="41.28515625" customWidth="1" style="130" min="14" max="14"/>
    <col width="25" bestFit="1" customWidth="1" style="91" min="15" max="15"/>
  </cols>
  <sheetData>
    <row r="1" ht="20.1" customHeight="1" s="130">
      <c r="B1" s="167" t="inlineStr">
        <is>
          <t>👥  STUDENT DATABASE — Enter all students here. One row per student.</t>
        </is>
      </c>
    </row>
    <row r="2" ht="18" customHeight="1" s="130">
      <c r="B2" s="1" t="inlineStr">
        <is>
          <t>Reg No.</t>
        </is>
      </c>
      <c r="C2" s="1" t="inlineStr">
        <is>
          <t>Full Name</t>
        </is>
      </c>
      <c r="D2" s="1" t="inlineStr">
        <is>
          <t>Class</t>
        </is>
      </c>
      <c r="E2" s="1" t="inlineStr">
        <is>
          <t>Class Type</t>
        </is>
      </c>
      <c r="F2" s="1" t="inlineStr">
        <is>
          <t>Gender</t>
        </is>
      </c>
      <c r="G2" s="1" t="inlineStr">
        <is>
          <t>Days Present</t>
        </is>
      </c>
      <c r="H2" s="1" t="inlineStr">
        <is>
          <t>Days Absent</t>
        </is>
      </c>
      <c r="I2" s="1" t="inlineStr">
        <is>
          <t>House</t>
        </is>
      </c>
      <c r="J2" s="1" t="inlineStr">
        <is>
          <t>Parent Phone</t>
        </is>
      </c>
      <c r="K2" s="1" t="inlineStr">
        <is>
          <t>Behavioural Avg</t>
        </is>
      </c>
      <c r="L2" s="1" t="inlineStr">
        <is>
          <t>Co-curr Avg</t>
        </is>
      </c>
      <c r="M2" s="1" t="inlineStr">
        <is>
          <t>Position in Class</t>
        </is>
      </c>
      <c r="N2" s="74" t="inlineStr">
        <is>
          <t>Parents Email</t>
        </is>
      </c>
      <c r="O2" s="74" t="inlineStr">
        <is>
          <t>Total Score For Current Term</t>
        </is>
      </c>
    </row>
    <row r="3" ht="15" customHeight="1" s="130">
      <c r="B3" s="2">
        <f t="array" ref="B3:J3">IF(Append1!A2:I2="","",Append1!A2:I2)</f>
        <v/>
      </c>
      <c r="C3" s="3" t="inlineStr">
        <is>
          <t>Student 01</t>
        </is>
      </c>
      <c r="D3" s="2" t="inlineStr">
        <is>
          <t>Basic 1</t>
        </is>
      </c>
      <c r="E3" s="2" t="inlineStr">
        <is>
          <t>B</t>
        </is>
      </c>
      <c r="F3" s="2" t="inlineStr">
        <is>
          <t>M</t>
        </is>
      </c>
      <c r="G3" s="2" t="n">
        <v>53</v>
      </c>
      <c r="H3" s="2" t="n">
        <v>2</v>
      </c>
      <c r="I3" s="2" t="inlineStr">
        <is>
          <t>Nil</t>
        </is>
      </c>
      <c r="J3" s="2" t="inlineStr">
        <is>
          <t>234700000001</t>
        </is>
      </c>
      <c r="K3" s="2" t="n"/>
      <c r="L3" s="2" t="n"/>
      <c r="M3" s="2">
        <f>_xlfn.RANK.EQ(O3,$O$3:$O$14)</f>
        <v/>
      </c>
      <c r="N3" s="2" t="inlineStr">
        <is>
          <t>student01.parent@example.com</t>
        </is>
      </c>
      <c r="O3" s="2">
        <f>SUM(SCORE_SHEET!D4:Y4)</f>
        <v/>
      </c>
    </row>
    <row r="4" ht="15" customHeight="1" s="130">
      <c r="B4" s="2">
        <f t="array" ref="B4:J4">IF(Append1!A3:I3="","",Append1!A3:I3)</f>
        <v/>
      </c>
      <c r="C4" s="3" t="inlineStr">
        <is>
          <t>Student 02</t>
        </is>
      </c>
      <c r="D4" s="2" t="inlineStr">
        <is>
          <t>Basic 1</t>
        </is>
      </c>
      <c r="E4" s="2" t="inlineStr">
        <is>
          <t>B</t>
        </is>
      </c>
      <c r="F4" s="2" t="inlineStr">
        <is>
          <t>M</t>
        </is>
      </c>
      <c r="G4" s="2" t="n">
        <v>55</v>
      </c>
      <c r="H4" s="2" t="n">
        <v>1</v>
      </c>
      <c r="I4" s="2" t="inlineStr">
        <is>
          <t>Blue</t>
        </is>
      </c>
      <c r="J4" s="2" t="inlineStr">
        <is>
          <t>234700000002</t>
        </is>
      </c>
      <c r="K4" s="4" t="n"/>
      <c r="L4" s="4" t="n"/>
      <c r="M4" s="4">
        <f>_xlfn.RANK.EQ(O4,$O$3:$O$14)</f>
        <v/>
      </c>
      <c r="N4" s="2" t="inlineStr">
        <is>
          <t>student02.parent@example.com</t>
        </is>
      </c>
      <c r="O4" s="4">
        <f>SUM(SCORE_SHEET!D5:Y5)</f>
        <v/>
      </c>
    </row>
    <row r="5" ht="15" customHeight="1" s="130">
      <c r="B5" s="2">
        <f t="array" ref="B5:J5">IF(Append1!A4:I4="","",Append1!A4:I4)</f>
        <v/>
      </c>
      <c r="C5" s="3" t="inlineStr">
        <is>
          <t>Student 03</t>
        </is>
      </c>
      <c r="D5" s="2" t="inlineStr">
        <is>
          <t>Basic 1</t>
        </is>
      </c>
      <c r="E5" s="2" t="inlineStr">
        <is>
          <t>Silver</t>
        </is>
      </c>
      <c r="F5" s="2" t="inlineStr">
        <is>
          <t>M</t>
        </is>
      </c>
      <c r="G5" s="2" t="n">
        <v>57</v>
      </c>
      <c r="H5" s="2" t="n">
        <v>14</v>
      </c>
      <c r="I5" s="2" t="inlineStr">
        <is>
          <t>Blue</t>
        </is>
      </c>
      <c r="J5" s="2" t="inlineStr">
        <is>
          <t>234700000003</t>
        </is>
      </c>
      <c r="K5" s="2" t="n"/>
      <c r="L5" s="2" t="n"/>
      <c r="M5" s="2">
        <f>_xlfn.RANK.EQ(O5,$O$3:$O$14)</f>
        <v/>
      </c>
      <c r="N5" s="2" t="inlineStr">
        <is>
          <t>student03.parent@example.com</t>
        </is>
      </c>
      <c r="O5" s="2">
        <f>SUM(SCORE_SHEET!D6:Y6)</f>
        <v/>
      </c>
    </row>
    <row r="6" ht="15" customHeight="1" s="130">
      <c r="B6" s="2">
        <f t="array" ref="B6:J6">IF(Append1!A5:I5="","",Append1!A5:I5)</f>
        <v/>
      </c>
      <c r="C6" s="3" t="inlineStr">
        <is>
          <t>Student 04</t>
        </is>
      </c>
      <c r="D6" s="2" t="inlineStr">
        <is>
          <t>Basic 1</t>
        </is>
      </c>
      <c r="E6" s="2" t="inlineStr">
        <is>
          <t>Silver</t>
        </is>
      </c>
      <c r="F6" s="2" t="inlineStr">
        <is>
          <t>F</t>
        </is>
      </c>
      <c r="G6" s="2" t="n">
        <v>56</v>
      </c>
      <c r="H6" s="2" t="n">
        <v>7</v>
      </c>
      <c r="I6" s="2" t="inlineStr">
        <is>
          <t>Blue</t>
        </is>
      </c>
      <c r="J6" s="2" t="inlineStr">
        <is>
          <t>234700000004</t>
        </is>
      </c>
      <c r="K6" s="4" t="n"/>
      <c r="L6" s="4" t="n"/>
      <c r="M6" s="4">
        <f>_xlfn.RANK.EQ(O6,$O$3:$O$14)</f>
        <v/>
      </c>
      <c r="N6" s="2" t="inlineStr">
        <is>
          <t>student04.parent@example.com</t>
        </is>
      </c>
      <c r="O6" s="4">
        <f>SUM(SCORE_SHEET!D7:Y7)</f>
        <v/>
      </c>
    </row>
    <row r="7" ht="15" customHeight="1" s="130">
      <c r="B7" s="2">
        <f t="array" ref="B7:J7">IF(Append1!A6:I6="","",Append1!A6:I6)</f>
        <v/>
      </c>
      <c r="C7" s="3" t="inlineStr">
        <is>
          <t>Student 05</t>
        </is>
      </c>
      <c r="D7" s="2" t="inlineStr">
        <is>
          <t>Basic 1</t>
        </is>
      </c>
      <c r="E7" s="2" t="inlineStr">
        <is>
          <t>A</t>
        </is>
      </c>
      <c r="F7" s="2" t="inlineStr">
        <is>
          <t>M</t>
        </is>
      </c>
      <c r="G7" s="2" t="n">
        <v>57</v>
      </c>
      <c r="H7" s="2" t="n">
        <v>12</v>
      </c>
      <c r="I7" s="2" t="inlineStr">
        <is>
          <t>Nil</t>
        </is>
      </c>
      <c r="J7" s="2" t="inlineStr">
        <is>
          <t>234700000005</t>
        </is>
      </c>
      <c r="K7" s="2" t="n"/>
      <c r="L7" s="2" t="n"/>
      <c r="M7" s="2">
        <f>_xlfn.RANK.EQ(O7,$O$3:$O$14)</f>
        <v/>
      </c>
      <c r="N7" s="2" t="inlineStr">
        <is>
          <t>student05.parent@example.com</t>
        </is>
      </c>
      <c r="O7" s="2">
        <f>SUM(SCORE_SHEET!D8:Y8)</f>
        <v/>
      </c>
    </row>
    <row r="8" ht="15" customHeight="1" s="130">
      <c r="B8" s="2">
        <f t="array" ref="B8:J8">IF(Append1!A7:I7="","",Append1!A7:I7)</f>
        <v/>
      </c>
      <c r="C8" s="3" t="inlineStr">
        <is>
          <t>Student 06</t>
        </is>
      </c>
      <c r="D8" s="2" t="inlineStr">
        <is>
          <t>Basic 1</t>
        </is>
      </c>
      <c r="E8" s="2" t="inlineStr">
        <is>
          <t>A</t>
        </is>
      </c>
      <c r="F8" s="2" t="inlineStr">
        <is>
          <t>M</t>
        </is>
      </c>
      <c r="G8" s="2" t="n">
        <v>54</v>
      </c>
      <c r="H8" s="2" t="n">
        <v>13</v>
      </c>
      <c r="I8" s="2" t="inlineStr">
        <is>
          <t>Blue</t>
        </is>
      </c>
      <c r="J8" s="2" t="inlineStr">
        <is>
          <t>234700000006</t>
        </is>
      </c>
      <c r="K8" s="4" t="n"/>
      <c r="L8" s="4" t="n"/>
      <c r="M8" s="4">
        <f>_xlfn.RANK.EQ(O8,$O$3:$O$14)</f>
        <v/>
      </c>
      <c r="N8" s="2" t="inlineStr">
        <is>
          <t>student06.parent@example.com</t>
        </is>
      </c>
      <c r="O8" s="4">
        <f>SUM(SCORE_SHEET!D9:Y9)</f>
        <v/>
      </c>
    </row>
    <row r="9" ht="15" customHeight="1" s="130">
      <c r="B9" s="2">
        <f t="array" ref="B9:J9">IF(Append1!A8:I8="","",Append1!A8:I8)</f>
        <v/>
      </c>
      <c r="C9" s="3" t="inlineStr">
        <is>
          <t>Student 07</t>
        </is>
      </c>
      <c r="D9" s="2" t="inlineStr">
        <is>
          <t>Basic 1</t>
        </is>
      </c>
      <c r="E9" s="2" t="inlineStr">
        <is>
          <t>Science</t>
        </is>
      </c>
      <c r="F9" s="2" t="inlineStr">
        <is>
          <t>F</t>
        </is>
      </c>
      <c r="G9" s="2" t="n">
        <v>51</v>
      </c>
      <c r="H9" s="2" t="n">
        <v>4</v>
      </c>
      <c r="I9" s="2" t="inlineStr">
        <is>
          <t>Red</t>
        </is>
      </c>
      <c r="J9" s="2" t="inlineStr">
        <is>
          <t>234700000007</t>
        </is>
      </c>
      <c r="K9" s="2" t="n"/>
      <c r="L9" s="2" t="n"/>
      <c r="M9" s="2">
        <f>_xlfn.RANK.EQ(O9,$O$3:$O$14)</f>
        <v/>
      </c>
      <c r="N9" s="2" t="inlineStr">
        <is>
          <t>student07.parent@example.com</t>
        </is>
      </c>
      <c r="O9" s="2">
        <f>SUM(SCORE_SHEET!D10:Y10)</f>
        <v/>
      </c>
    </row>
    <row r="10" ht="15" customHeight="1" s="130">
      <c r="B10" s="2">
        <f t="array" ref="B10:J10">IF(Append1!A9:I9="","",Append1!A9:I9)</f>
        <v/>
      </c>
      <c r="C10" s="3" t="inlineStr">
        <is>
          <t>Student 08</t>
        </is>
      </c>
      <c r="D10" s="2" t="inlineStr">
        <is>
          <t>Basic 1</t>
        </is>
      </c>
      <c r="E10" s="2" t="inlineStr">
        <is>
          <t>A</t>
        </is>
      </c>
      <c r="F10" s="2" t="inlineStr">
        <is>
          <t>F</t>
        </is>
      </c>
      <c r="G10" s="2" t="n">
        <v>56</v>
      </c>
      <c r="H10" s="2" t="n">
        <v>9</v>
      </c>
      <c r="I10" s="2" t="inlineStr">
        <is>
          <t>Blue</t>
        </is>
      </c>
      <c r="J10" s="2" t="inlineStr">
        <is>
          <t>234700000008</t>
        </is>
      </c>
      <c r="K10" s="4" t="n"/>
      <c r="L10" s="4" t="n"/>
      <c r="M10" s="4">
        <f>_xlfn.RANK.EQ(O10,$O$3:$O$14)</f>
        <v/>
      </c>
      <c r="N10" s="2" t="inlineStr">
        <is>
          <t>student08.parent@example.com</t>
        </is>
      </c>
      <c r="O10" s="4">
        <f>SUM(SCORE_SHEET!D11:Y11)</f>
        <v/>
      </c>
    </row>
    <row r="11" ht="15" customHeight="1" s="130">
      <c r="B11" s="2">
        <f t="array" ref="B11:J11">IF(Append1!A10:I10="","",Append1!A10:I10)</f>
        <v/>
      </c>
      <c r="C11" s="3" t="inlineStr">
        <is>
          <t>Student 09</t>
        </is>
      </c>
      <c r="D11" s="2" t="inlineStr">
        <is>
          <t>Basic 1</t>
        </is>
      </c>
      <c r="E11" s="2" t="inlineStr">
        <is>
          <t>B</t>
        </is>
      </c>
      <c r="F11" s="2" t="inlineStr">
        <is>
          <t>F</t>
        </is>
      </c>
      <c r="G11" s="2" t="n">
        <v>60</v>
      </c>
      <c r="H11" s="2" t="n">
        <v>5</v>
      </c>
      <c r="I11" s="2" t="inlineStr">
        <is>
          <t>Red</t>
        </is>
      </c>
      <c r="J11" s="2" t="inlineStr">
        <is>
          <t>234700000009</t>
        </is>
      </c>
      <c r="K11" s="2" t="n"/>
      <c r="L11" s="2" t="n"/>
      <c r="M11" s="2">
        <f>_xlfn.RANK.EQ(O11,$O$3:$O$14)</f>
        <v/>
      </c>
      <c r="N11" s="2" t="inlineStr">
        <is>
          <t>student09.parent@example.com</t>
        </is>
      </c>
      <c r="O11" s="2">
        <f>SUM(SCORE_SHEET!D12:Y12)</f>
        <v/>
      </c>
    </row>
    <row r="12" ht="15" customHeight="1" s="130">
      <c r="B12" s="2">
        <f t="array" ref="B12:J12">IF(Append1!A11:I11="","",Append1!A11:I11)</f>
        <v/>
      </c>
      <c r="C12" s="3" t="inlineStr">
        <is>
          <t>Student 10</t>
        </is>
      </c>
      <c r="D12" s="2" t="inlineStr">
        <is>
          <t>Basic 1</t>
        </is>
      </c>
      <c r="E12" s="2" t="inlineStr">
        <is>
          <t>Silver</t>
        </is>
      </c>
      <c r="F12" s="2" t="inlineStr">
        <is>
          <t>M</t>
        </is>
      </c>
      <c r="G12" s="2" t="n">
        <v>59</v>
      </c>
      <c r="H12" s="2" t="n">
        <v>3</v>
      </c>
      <c r="I12" s="2" t="inlineStr">
        <is>
          <t>Blue</t>
        </is>
      </c>
      <c r="J12" s="2" t="inlineStr">
        <is>
          <t>234700000010</t>
        </is>
      </c>
      <c r="K12" s="4" t="n"/>
      <c r="L12" s="4" t="n"/>
      <c r="M12" s="4">
        <f>_xlfn.RANK.EQ(O12,$O$3:$O$14)</f>
        <v/>
      </c>
      <c r="N12" s="2" t="inlineStr">
        <is>
          <t>student10.parent@example.com</t>
        </is>
      </c>
      <c r="O12" s="4">
        <f>SUM(SCORE_SHEET!D13:Y13)</f>
        <v/>
      </c>
    </row>
    <row r="13">
      <c r="B13" s="2">
        <f t="array" ref="B13:J13">IF(Append1!A12:I12="","",Append1!A12:I12)</f>
        <v/>
      </c>
      <c r="C13" s="3" t="inlineStr">
        <is>
          <t>Student 11</t>
        </is>
      </c>
      <c r="D13" s="2" t="inlineStr">
        <is>
          <t>Basic 1</t>
        </is>
      </c>
      <c r="E13" s="2" t="inlineStr">
        <is>
          <t>A</t>
        </is>
      </c>
      <c r="F13" s="2" t="inlineStr">
        <is>
          <t>M</t>
        </is>
      </c>
      <c r="G13" s="2" t="n">
        <v>47</v>
      </c>
      <c r="H13" s="2" t="n">
        <v>1</v>
      </c>
      <c r="I13" s="2" t="inlineStr">
        <is>
          <t>Blue</t>
        </is>
      </c>
      <c r="J13" s="2" t="inlineStr">
        <is>
          <t>234700000011</t>
        </is>
      </c>
      <c r="K13" s="13" t="n"/>
      <c r="L13" s="13" t="n"/>
      <c r="M13" s="13">
        <f>_xlfn.RANK.EQ(O13,$O$3:$O$14)</f>
        <v/>
      </c>
      <c r="N13" s="2" t="inlineStr">
        <is>
          <t>student11.parent@example.com</t>
        </is>
      </c>
      <c r="O13" s="13">
        <f>SUM(SCORE_SHEET!D14:Y14)</f>
        <v/>
      </c>
    </row>
    <row r="14">
      <c r="B14" s="2">
        <f t="array" ref="B14:J14">IF(Append1!A13:I13="","",Append1!A13:I13)</f>
        <v/>
      </c>
      <c r="C14" s="3" t="inlineStr">
        <is>
          <t>Student 12</t>
        </is>
      </c>
      <c r="D14" s="2" t="inlineStr">
        <is>
          <t>Basic 1</t>
        </is>
      </c>
      <c r="E14" s="2" t="inlineStr">
        <is>
          <t>Science</t>
        </is>
      </c>
      <c r="F14" s="2" t="inlineStr">
        <is>
          <t>M</t>
        </is>
      </c>
      <c r="G14" s="2" t="n">
        <v>49</v>
      </c>
      <c r="H14" s="2" t="n">
        <v>15</v>
      </c>
      <c r="I14" s="2" t="inlineStr">
        <is>
          <t>Blue</t>
        </is>
      </c>
      <c r="J14" s="2" t="inlineStr">
        <is>
          <t>234700000012</t>
        </is>
      </c>
      <c r="K14" s="32" t="n"/>
      <c r="L14" s="32" t="n"/>
      <c r="M14" s="32">
        <f>_xlfn.RANK.EQ(O14,$O$3:$O$14)</f>
        <v/>
      </c>
      <c r="N14" s="2" t="inlineStr">
        <is>
          <t>student12.parent@example.com</t>
        </is>
      </c>
      <c r="O14" s="32">
        <f>SUM(SCORE_SHEET!D15:Y15)</f>
        <v/>
      </c>
    </row>
    <row r="15">
      <c r="B15" s="2">
        <f t="array" ref="B15:J15">IF(Append1!A14:I14="","",Append1!A14:I14)</f>
        <v/>
      </c>
      <c r="C15" s="3" t="inlineStr">
        <is>
          <t>Student 13</t>
        </is>
      </c>
      <c r="D15" s="2" t="inlineStr">
        <is>
          <t>Basic 1</t>
        </is>
      </c>
      <c r="E15" s="2" t="inlineStr">
        <is>
          <t>Silver</t>
        </is>
      </c>
      <c r="F15" s="2" t="inlineStr">
        <is>
          <t>F</t>
        </is>
      </c>
      <c r="G15" s="2" t="n">
        <v>59</v>
      </c>
      <c r="H15" s="2" t="n">
        <v>1</v>
      </c>
      <c r="I15" s="2" t="inlineStr">
        <is>
          <t>Green</t>
        </is>
      </c>
      <c r="J15" s="2" t="inlineStr">
        <is>
          <t>234700000013</t>
        </is>
      </c>
      <c r="K15" s="13" t="n"/>
      <c r="L15" s="13" t="n"/>
      <c r="M15" s="13">
        <f>_xlfn.RANK.EQ(O15,$O$3:$O$14)</f>
        <v/>
      </c>
      <c r="N15" s="2" t="inlineStr">
        <is>
          <t>student13.parent@example.com</t>
        </is>
      </c>
      <c r="O15" s="13">
        <f>SUM(SCORE_SHEET!D16:Y16)</f>
        <v/>
      </c>
    </row>
    <row r="16">
      <c r="B16" s="2">
        <f t="array" ref="B16:J16">IF(Append1!A15:I15="","",Append1!A15:I15)</f>
        <v/>
      </c>
      <c r="C16" s="3" t="inlineStr">
        <is>
          <t>Student 14</t>
        </is>
      </c>
      <c r="D16" s="2" t="inlineStr">
        <is>
          <t>Basic 1</t>
        </is>
      </c>
      <c r="E16" s="2" t="inlineStr">
        <is>
          <t>B</t>
        </is>
      </c>
      <c r="F16" s="2" t="inlineStr">
        <is>
          <t>M</t>
        </is>
      </c>
      <c r="G16" s="2" t="n">
        <v>58</v>
      </c>
      <c r="H16" s="2" t="n">
        <v>5</v>
      </c>
      <c r="I16" s="2" t="inlineStr">
        <is>
          <t>Red</t>
        </is>
      </c>
      <c r="J16" s="2" t="inlineStr">
        <is>
          <t>234700000014</t>
        </is>
      </c>
      <c r="K16" s="2" t="n"/>
      <c r="L16" s="2" t="n"/>
      <c r="M16" s="2" t="n"/>
      <c r="N16" s="2" t="inlineStr">
        <is>
          <t>student14.parent@example.com</t>
        </is>
      </c>
      <c r="O16" s="2" t="n"/>
    </row>
    <row r="17">
      <c r="B17" s="2">
        <f t="array" ref="B17:J17">IF(Append1!A16:I16="","",Append1!A16:I16)</f>
        <v/>
      </c>
      <c r="C17" s="3" t="inlineStr">
        <is>
          <t>Student 15</t>
        </is>
      </c>
      <c r="D17" s="2" t="inlineStr">
        <is>
          <t>Basic 1</t>
        </is>
      </c>
      <c r="E17" s="2" t="inlineStr">
        <is>
          <t>A</t>
        </is>
      </c>
      <c r="F17" s="2" t="inlineStr">
        <is>
          <t>F</t>
        </is>
      </c>
      <c r="G17" s="2" t="n">
        <v>52</v>
      </c>
      <c r="H17" s="2" t="n">
        <v>5</v>
      </c>
      <c r="I17" s="2" t="inlineStr">
        <is>
          <t>Gold</t>
        </is>
      </c>
      <c r="J17" s="2" t="inlineStr">
        <is>
          <t>234700000015</t>
        </is>
      </c>
      <c r="N17" s="2" t="inlineStr">
        <is>
          <t>student15.parent@example.com</t>
        </is>
      </c>
    </row>
    <row r="18">
      <c r="B18" s="2">
        <f t="array" ref="B18:J18">IF(Append1!A17:I17="","",Append1!A17:I17)</f>
        <v/>
      </c>
      <c r="C18" s="3" t="inlineStr">
        <is>
          <t>Student 16</t>
        </is>
      </c>
      <c r="D18" s="2" t="inlineStr">
        <is>
          <t>Basic 1</t>
        </is>
      </c>
      <c r="E18" s="2" t="inlineStr">
        <is>
          <t>Gold</t>
        </is>
      </c>
      <c r="F18" s="2" t="inlineStr">
        <is>
          <t>M</t>
        </is>
      </c>
      <c r="G18" s="2" t="n">
        <v>59</v>
      </c>
      <c r="H18" s="2" t="n">
        <v>9</v>
      </c>
      <c r="I18" s="2" t="inlineStr">
        <is>
          <t>Gold</t>
        </is>
      </c>
      <c r="J18" s="2" t="inlineStr">
        <is>
          <t>234700000016</t>
        </is>
      </c>
      <c r="N18" s="2" t="inlineStr">
        <is>
          <t>student16.parent@example.com</t>
        </is>
      </c>
    </row>
    <row r="19">
      <c r="B19" s="2">
        <f t="array" ref="B19:J19">IF(Append1!A18:I18="","",Append1!A18:I18)</f>
        <v/>
      </c>
      <c r="C19" s="3" t="inlineStr">
        <is>
          <t>Student 17</t>
        </is>
      </c>
      <c r="D19" s="2" t="inlineStr">
        <is>
          <t>Basic 1</t>
        </is>
      </c>
      <c r="E19" s="2" t="inlineStr">
        <is>
          <t>Science</t>
        </is>
      </c>
      <c r="F19" s="2" t="inlineStr">
        <is>
          <t>M</t>
        </is>
      </c>
      <c r="G19" s="2" t="n">
        <v>46</v>
      </c>
      <c r="H19" s="2" t="n">
        <v>10</v>
      </c>
      <c r="I19" s="2" t="inlineStr">
        <is>
          <t>Green</t>
        </is>
      </c>
      <c r="J19" s="2" t="inlineStr">
        <is>
          <t>234700000017</t>
        </is>
      </c>
      <c r="N19" s="2" t="inlineStr">
        <is>
          <t>student17.parent@example.com</t>
        </is>
      </c>
    </row>
    <row r="20">
      <c r="B20" s="2">
        <f t="array" ref="B20:J20">IF(Append1!A19:I19="","",Append1!A19:I19)</f>
        <v/>
      </c>
      <c r="C20" s="3" t="inlineStr">
        <is>
          <t>Student 18</t>
        </is>
      </c>
      <c r="D20" s="2" t="inlineStr">
        <is>
          <t>Basic 1</t>
        </is>
      </c>
      <c r="E20" s="2" t="inlineStr">
        <is>
          <t>B</t>
        </is>
      </c>
      <c r="F20" s="2" t="inlineStr">
        <is>
          <t>M</t>
        </is>
      </c>
      <c r="G20" s="2" t="n">
        <v>47</v>
      </c>
      <c r="H20" s="2" t="n">
        <v>2</v>
      </c>
      <c r="I20" s="2" t="inlineStr">
        <is>
          <t>Blue</t>
        </is>
      </c>
      <c r="J20" s="2" t="inlineStr">
        <is>
          <t>234700000018</t>
        </is>
      </c>
      <c r="N20" s="2" t="inlineStr">
        <is>
          <t>student18.parent@example.com</t>
        </is>
      </c>
    </row>
    <row r="21">
      <c r="B21" s="2">
        <f t="array" ref="B21:J21">IF(Append1!A20:I20="","",Append1!A20:I20)</f>
        <v/>
      </c>
      <c r="C21" s="3" t="inlineStr">
        <is>
          <t>Student 19</t>
        </is>
      </c>
      <c r="D21" s="2" t="inlineStr">
        <is>
          <t>Basic 1</t>
        </is>
      </c>
      <c r="E21" s="2" t="inlineStr">
        <is>
          <t>Silver</t>
        </is>
      </c>
      <c r="F21" s="2" t="inlineStr">
        <is>
          <t>F</t>
        </is>
      </c>
      <c r="G21" s="2" t="n">
        <v>55</v>
      </c>
      <c r="H21" s="2" t="n">
        <v>8</v>
      </c>
      <c r="I21" s="2" t="inlineStr">
        <is>
          <t>Blue</t>
        </is>
      </c>
      <c r="J21" s="2" t="inlineStr">
        <is>
          <t>234700000019</t>
        </is>
      </c>
      <c r="N21" s="2" t="inlineStr">
        <is>
          <t>student19.parent@example.com</t>
        </is>
      </c>
    </row>
    <row r="22">
      <c r="B22" s="2">
        <f t="array" ref="B22:J22">IF(Append1!A21:I21="","",Append1!A21:I21)</f>
        <v/>
      </c>
      <c r="C22" s="3" t="inlineStr">
        <is>
          <t>Student 20</t>
        </is>
      </c>
      <c r="D22" s="2" t="inlineStr">
        <is>
          <t>Basic 1</t>
        </is>
      </c>
      <c r="E22" s="2" t="inlineStr">
        <is>
          <t>A</t>
        </is>
      </c>
      <c r="F22" s="2" t="inlineStr">
        <is>
          <t>M</t>
        </is>
      </c>
      <c r="G22" s="2" t="n">
        <v>45</v>
      </c>
      <c r="H22" s="2" t="n">
        <v>14</v>
      </c>
      <c r="I22" s="2" t="inlineStr">
        <is>
          <t>Nil</t>
        </is>
      </c>
      <c r="J22" s="2" t="inlineStr">
        <is>
          <t>234700000020</t>
        </is>
      </c>
      <c r="N22" s="2" t="inlineStr">
        <is>
          <t>student20.parent@example.com</t>
        </is>
      </c>
    </row>
    <row r="23">
      <c r="B23" s="2">
        <f t="array" ref="B23:J23">IF(Append1!A22:I22="","",Append1!A22:I22)</f>
        <v/>
      </c>
      <c r="C23" s="3" t="inlineStr">
        <is>
          <t>Student 21</t>
        </is>
      </c>
      <c r="D23" s="2" t="inlineStr">
        <is>
          <t>Basic 2</t>
        </is>
      </c>
      <c r="E23" s="2" t="inlineStr">
        <is>
          <t>Silver</t>
        </is>
      </c>
      <c r="F23" s="2" t="inlineStr">
        <is>
          <t>F</t>
        </is>
      </c>
      <c r="G23" s="2" t="n">
        <v>54</v>
      </c>
      <c r="H23" s="2" t="n">
        <v>12</v>
      </c>
      <c r="I23" s="2" t="inlineStr">
        <is>
          <t>Red</t>
        </is>
      </c>
      <c r="J23" s="2" t="inlineStr">
        <is>
          <t>234700000021</t>
        </is>
      </c>
      <c r="N23" s="2" t="inlineStr">
        <is>
          <t>student21.parent@example.com</t>
        </is>
      </c>
    </row>
    <row r="24">
      <c r="B24" s="2">
        <f t="array" ref="B24:J24">IF(Append1!A23:I23="","",Append1!A23:I23)</f>
        <v/>
      </c>
      <c r="C24" s="3" t="inlineStr">
        <is>
          <t>Student 22</t>
        </is>
      </c>
      <c r="D24" s="2" t="inlineStr">
        <is>
          <t>Basic 2</t>
        </is>
      </c>
      <c r="E24" s="2" t="inlineStr">
        <is>
          <t>Science</t>
        </is>
      </c>
      <c r="F24" s="2" t="inlineStr">
        <is>
          <t>M</t>
        </is>
      </c>
      <c r="G24" s="2" t="n">
        <v>53</v>
      </c>
      <c r="H24" s="2" t="n">
        <v>0</v>
      </c>
      <c r="I24" s="2" t="inlineStr">
        <is>
          <t>Green</t>
        </is>
      </c>
      <c r="J24" s="2" t="inlineStr">
        <is>
          <t>234700000022</t>
        </is>
      </c>
      <c r="N24" s="2" t="inlineStr">
        <is>
          <t>student22.parent@example.com</t>
        </is>
      </c>
    </row>
    <row r="25">
      <c r="B25" s="2">
        <f t="array" ref="B25:J25">IF(Append1!A24:I24="","",Append1!A24:I24)</f>
        <v/>
      </c>
      <c r="C25" s="3" t="inlineStr">
        <is>
          <t>Student 23</t>
        </is>
      </c>
      <c r="D25" s="2" t="inlineStr">
        <is>
          <t>Basic 2</t>
        </is>
      </c>
      <c r="E25" s="2" t="inlineStr">
        <is>
          <t>Science</t>
        </is>
      </c>
      <c r="F25" s="2" t="inlineStr">
        <is>
          <t>M</t>
        </is>
      </c>
      <c r="G25" s="2" t="n">
        <v>59</v>
      </c>
      <c r="H25" s="2" t="n">
        <v>8</v>
      </c>
      <c r="I25" s="2" t="inlineStr">
        <is>
          <t>Blue</t>
        </is>
      </c>
      <c r="J25" s="2" t="inlineStr">
        <is>
          <t>234700000023</t>
        </is>
      </c>
      <c r="N25" s="2" t="inlineStr">
        <is>
          <t>student23.parent@example.com</t>
        </is>
      </c>
    </row>
    <row r="26">
      <c r="B26" s="2">
        <f t="array" ref="B26:J26">IF(Append1!A25:I25="","",Append1!A25:I25)</f>
        <v/>
      </c>
      <c r="C26" s="3" t="inlineStr">
        <is>
          <t>Student 24</t>
        </is>
      </c>
      <c r="D26" s="2" t="inlineStr">
        <is>
          <t>Basic 2</t>
        </is>
      </c>
      <c r="E26" s="2" t="inlineStr">
        <is>
          <t>A</t>
        </is>
      </c>
      <c r="F26" s="2" t="inlineStr">
        <is>
          <t>F</t>
        </is>
      </c>
      <c r="G26" s="2" t="n">
        <v>50</v>
      </c>
      <c r="H26" s="2" t="n">
        <v>10</v>
      </c>
      <c r="I26" s="2" t="inlineStr">
        <is>
          <t>Gold</t>
        </is>
      </c>
      <c r="J26" s="2" t="inlineStr">
        <is>
          <t>234700000024</t>
        </is>
      </c>
      <c r="N26" s="2" t="inlineStr">
        <is>
          <t>student24.parent@example.com</t>
        </is>
      </c>
    </row>
    <row r="27">
      <c r="B27" s="2">
        <f t="array" ref="B27:J27">IF(Append1!A26:I26="","",Append1!A26:I26)</f>
        <v/>
      </c>
      <c r="C27" s="3" t="inlineStr">
        <is>
          <t>Student 25</t>
        </is>
      </c>
      <c r="D27" s="2" t="inlineStr">
        <is>
          <t>Basic 2</t>
        </is>
      </c>
      <c r="E27" s="2" t="inlineStr">
        <is>
          <t>Gold</t>
        </is>
      </c>
      <c r="F27" s="2" t="inlineStr">
        <is>
          <t>F</t>
        </is>
      </c>
      <c r="G27" s="2" t="n">
        <v>55</v>
      </c>
      <c r="H27" s="2" t="n">
        <v>3</v>
      </c>
      <c r="I27" s="2" t="inlineStr">
        <is>
          <t>Gold</t>
        </is>
      </c>
      <c r="J27" s="2" t="inlineStr">
        <is>
          <t>234700000025</t>
        </is>
      </c>
      <c r="N27" s="2" t="inlineStr">
        <is>
          <t>student25.parent@example.com</t>
        </is>
      </c>
    </row>
    <row r="28">
      <c r="B28" s="2">
        <f t="array" ref="B28:J28">IF(Append1!A27:I27="","",Append1!A27:I27)</f>
        <v/>
      </c>
      <c r="C28" s="3" t="inlineStr">
        <is>
          <t>Student 26</t>
        </is>
      </c>
      <c r="D28" s="2" t="inlineStr">
        <is>
          <t>Basic 2</t>
        </is>
      </c>
      <c r="E28" s="2" t="inlineStr">
        <is>
          <t>Science</t>
        </is>
      </c>
      <c r="F28" s="2" t="inlineStr">
        <is>
          <t>M</t>
        </is>
      </c>
      <c r="G28" s="2" t="n">
        <v>60</v>
      </c>
      <c r="H28" s="2" t="n">
        <v>14</v>
      </c>
      <c r="I28" s="2" t="inlineStr">
        <is>
          <t>Green</t>
        </is>
      </c>
      <c r="J28" s="2" t="inlineStr">
        <is>
          <t>234700000026</t>
        </is>
      </c>
      <c r="N28" s="2" t="inlineStr">
        <is>
          <t>student26.parent@example.com</t>
        </is>
      </c>
    </row>
    <row r="29">
      <c r="B29" s="2">
        <f t="array" ref="B29:J29">IF(Append1!A28:I28="","",Append1!A28:I28)</f>
        <v/>
      </c>
      <c r="C29" s="3" t="inlineStr">
        <is>
          <t>Student 27</t>
        </is>
      </c>
      <c r="D29" s="2" t="inlineStr">
        <is>
          <t>Basic 2</t>
        </is>
      </c>
      <c r="E29" s="2" t="inlineStr">
        <is>
          <t>Science</t>
        </is>
      </c>
      <c r="F29" s="2" t="inlineStr">
        <is>
          <t>M</t>
        </is>
      </c>
      <c r="G29" s="2" t="n">
        <v>52</v>
      </c>
      <c r="H29" s="2" t="n">
        <v>5</v>
      </c>
      <c r="I29" s="2" t="inlineStr">
        <is>
          <t>Red</t>
        </is>
      </c>
      <c r="J29" s="2" t="inlineStr">
        <is>
          <t>234700000027</t>
        </is>
      </c>
      <c r="N29" s="2" t="inlineStr">
        <is>
          <t>student27.parent@example.com</t>
        </is>
      </c>
    </row>
    <row r="30">
      <c r="B30" s="2">
        <f t="array" ref="B30:J30">IF(Append1!A29:I29="","",Append1!A29:I29)</f>
        <v/>
      </c>
      <c r="C30" s="3" t="inlineStr">
        <is>
          <t>Student 28</t>
        </is>
      </c>
      <c r="D30" s="2" t="inlineStr">
        <is>
          <t>Basic 2</t>
        </is>
      </c>
      <c r="E30" s="2" t="inlineStr">
        <is>
          <t>B</t>
        </is>
      </c>
      <c r="F30" s="2" t="inlineStr">
        <is>
          <t>M</t>
        </is>
      </c>
      <c r="G30" s="2" t="n">
        <v>60</v>
      </c>
      <c r="H30" s="2" t="n">
        <v>9</v>
      </c>
      <c r="I30" s="2" t="inlineStr">
        <is>
          <t>Nil</t>
        </is>
      </c>
      <c r="J30" s="2" t="inlineStr">
        <is>
          <t>234700000028</t>
        </is>
      </c>
      <c r="N30" s="2" t="inlineStr">
        <is>
          <t>student28.parent@example.com</t>
        </is>
      </c>
    </row>
    <row r="31">
      <c r="B31" s="2">
        <f t="array" ref="B31:J31">IF(Append1!A30:I30="","",Append1!A30:I30)</f>
        <v/>
      </c>
      <c r="C31" s="3" t="inlineStr">
        <is>
          <t>Student 29</t>
        </is>
      </c>
      <c r="D31" s="2" t="inlineStr">
        <is>
          <t>Basic 2</t>
        </is>
      </c>
      <c r="E31" s="2" t="inlineStr">
        <is>
          <t>Silver</t>
        </is>
      </c>
      <c r="F31" s="2" t="inlineStr">
        <is>
          <t>M</t>
        </is>
      </c>
      <c r="G31" s="2" t="n">
        <v>51</v>
      </c>
      <c r="H31" s="2" t="n">
        <v>4</v>
      </c>
      <c r="I31" s="2" t="inlineStr">
        <is>
          <t>Green</t>
        </is>
      </c>
      <c r="J31" s="2" t="inlineStr">
        <is>
          <t>234700000029</t>
        </is>
      </c>
      <c r="N31" s="2" t="inlineStr">
        <is>
          <t>student29.parent@example.com</t>
        </is>
      </c>
    </row>
    <row r="32">
      <c r="B32" s="2">
        <f t="array" ref="B32:J32">IF(Append1!A31:I31="","",Append1!A31:I31)</f>
        <v/>
      </c>
      <c r="C32" s="3" t="inlineStr">
        <is>
          <t>Student 30</t>
        </is>
      </c>
      <c r="D32" s="2" t="inlineStr">
        <is>
          <t>Basic 2</t>
        </is>
      </c>
      <c r="E32" s="2" t="inlineStr">
        <is>
          <t>Science</t>
        </is>
      </c>
      <c r="F32" s="2" t="inlineStr">
        <is>
          <t>M</t>
        </is>
      </c>
      <c r="G32" s="2" t="n">
        <v>60</v>
      </c>
      <c r="H32" s="2" t="n">
        <v>4</v>
      </c>
      <c r="I32" s="2" t="inlineStr">
        <is>
          <t>Gold</t>
        </is>
      </c>
      <c r="J32" s="2" t="inlineStr">
        <is>
          <t>234700000030</t>
        </is>
      </c>
      <c r="N32" s="2" t="inlineStr">
        <is>
          <t>student30.parent@example.com</t>
        </is>
      </c>
    </row>
    <row r="33">
      <c r="B33" s="2">
        <f t="array" ref="B33:J33">IF(Append1!A32:I32="","",Append1!A32:I32)</f>
        <v/>
      </c>
      <c r="C33" s="3" t="inlineStr">
        <is>
          <t>Student 31</t>
        </is>
      </c>
      <c r="D33" s="2" t="inlineStr">
        <is>
          <t>Basic 2</t>
        </is>
      </c>
      <c r="E33" s="2" t="inlineStr">
        <is>
          <t>B</t>
        </is>
      </c>
      <c r="F33" s="2" t="inlineStr">
        <is>
          <t>F</t>
        </is>
      </c>
      <c r="G33" s="2" t="n">
        <v>52</v>
      </c>
      <c r="H33" s="2" t="n">
        <v>12</v>
      </c>
      <c r="I33" s="2" t="inlineStr">
        <is>
          <t>Blue</t>
        </is>
      </c>
      <c r="J33" s="2" t="inlineStr">
        <is>
          <t>234700000031</t>
        </is>
      </c>
      <c r="N33" s="2" t="inlineStr">
        <is>
          <t>student31.parent@example.com</t>
        </is>
      </c>
    </row>
    <row r="34">
      <c r="B34" s="2">
        <f t="array" ref="B34:J34">IF(Append1!A33:I33="","",Append1!A33:I33)</f>
        <v/>
      </c>
      <c r="C34" s="3" t="inlineStr">
        <is>
          <t>Student 32</t>
        </is>
      </c>
      <c r="D34" s="2" t="inlineStr">
        <is>
          <t>Basic 2</t>
        </is>
      </c>
      <c r="E34" s="2" t="inlineStr">
        <is>
          <t>A</t>
        </is>
      </c>
      <c r="F34" s="2" t="inlineStr">
        <is>
          <t>F</t>
        </is>
      </c>
      <c r="G34" s="2" t="n">
        <v>49</v>
      </c>
      <c r="H34" s="2" t="n">
        <v>10</v>
      </c>
      <c r="I34" s="2" t="inlineStr">
        <is>
          <t>Green</t>
        </is>
      </c>
      <c r="J34" s="2" t="inlineStr">
        <is>
          <t>234700000032</t>
        </is>
      </c>
      <c r="N34" s="2" t="inlineStr">
        <is>
          <t>student32.parent@example.com</t>
        </is>
      </c>
    </row>
    <row r="35">
      <c r="B35" s="2">
        <f t="array" ref="B35:J35">IF(Append1!A34:I34="","",Append1!A34:I34)</f>
        <v/>
      </c>
      <c r="C35" s="3" t="inlineStr">
        <is>
          <t>Student 33</t>
        </is>
      </c>
      <c r="D35" s="2" t="inlineStr">
        <is>
          <t>Basic 2</t>
        </is>
      </c>
      <c r="E35" s="2" t="inlineStr">
        <is>
          <t>Silver</t>
        </is>
      </c>
      <c r="F35" s="2" t="inlineStr">
        <is>
          <t>F</t>
        </is>
      </c>
      <c r="G35" s="2" t="n">
        <v>53</v>
      </c>
      <c r="H35" s="2" t="n">
        <v>10</v>
      </c>
      <c r="I35" s="2" t="inlineStr">
        <is>
          <t>Nil</t>
        </is>
      </c>
      <c r="J35" s="2" t="inlineStr">
        <is>
          <t>234700000033</t>
        </is>
      </c>
      <c r="N35" s="2" t="inlineStr">
        <is>
          <t>student33.parent@example.com</t>
        </is>
      </c>
    </row>
    <row r="36">
      <c r="B36" s="2">
        <f t="array" ref="B36:J36">IF(Append1!A35:I35="","",Append1!A35:I35)</f>
        <v/>
      </c>
      <c r="C36" s="3" t="inlineStr">
        <is>
          <t>Student 34</t>
        </is>
      </c>
      <c r="D36" s="2" t="inlineStr">
        <is>
          <t>Basic 2</t>
        </is>
      </c>
      <c r="E36" s="2" t="inlineStr">
        <is>
          <t>A</t>
        </is>
      </c>
      <c r="F36" s="2" t="inlineStr">
        <is>
          <t>M</t>
        </is>
      </c>
      <c r="G36" s="2" t="n">
        <v>47</v>
      </c>
      <c r="H36" s="2" t="n">
        <v>7</v>
      </c>
      <c r="I36" s="2" t="inlineStr">
        <is>
          <t>Red</t>
        </is>
      </c>
      <c r="J36" s="2" t="inlineStr">
        <is>
          <t>234700000034</t>
        </is>
      </c>
      <c r="N36" s="2" t="inlineStr">
        <is>
          <t>student34.parent@example.com</t>
        </is>
      </c>
    </row>
    <row r="37">
      <c r="B37" s="2">
        <f t="array" ref="B37:J37">IF(Append1!A36:I36="","",Append1!A36:I36)</f>
        <v/>
      </c>
      <c r="C37" s="3" t="inlineStr">
        <is>
          <t>Student 35</t>
        </is>
      </c>
      <c r="D37" s="2" t="inlineStr">
        <is>
          <t>Basic 2</t>
        </is>
      </c>
      <c r="E37" s="2" t="inlineStr">
        <is>
          <t>A</t>
        </is>
      </c>
      <c r="F37" s="2" t="inlineStr">
        <is>
          <t>M</t>
        </is>
      </c>
      <c r="G37" s="2" t="n">
        <v>55</v>
      </c>
      <c r="H37" s="2" t="n">
        <v>1</v>
      </c>
      <c r="I37" s="2" t="inlineStr">
        <is>
          <t>Red</t>
        </is>
      </c>
      <c r="J37" s="2" t="inlineStr">
        <is>
          <t>234700000035</t>
        </is>
      </c>
      <c r="N37" s="2" t="inlineStr">
        <is>
          <t>student35.parent@example.com</t>
        </is>
      </c>
    </row>
    <row r="38">
      <c r="B38" s="2">
        <f t="array" ref="B38:J38">IF(Append1!A37:I37="","",Append1!A37:I37)</f>
        <v/>
      </c>
      <c r="C38" s="3" t="inlineStr">
        <is>
          <t>Student 36</t>
        </is>
      </c>
      <c r="D38" s="2" t="inlineStr">
        <is>
          <t>Basic 2</t>
        </is>
      </c>
      <c r="E38" s="2" t="inlineStr">
        <is>
          <t>B</t>
        </is>
      </c>
      <c r="F38" s="2" t="inlineStr">
        <is>
          <t>M</t>
        </is>
      </c>
      <c r="G38" s="2" t="n">
        <v>50</v>
      </c>
      <c r="H38" s="2" t="n">
        <v>2</v>
      </c>
      <c r="I38" s="2" t="inlineStr">
        <is>
          <t>Nil</t>
        </is>
      </c>
      <c r="J38" s="2" t="inlineStr">
        <is>
          <t>234700000036</t>
        </is>
      </c>
      <c r="N38" s="2" t="inlineStr">
        <is>
          <t>student36.parent@example.com</t>
        </is>
      </c>
    </row>
    <row r="39">
      <c r="B39" s="2">
        <f t="array" ref="B39:J39">IF(Append1!A38:I38="","",Append1!A38:I38)</f>
        <v/>
      </c>
      <c r="C39" s="3" t="inlineStr">
        <is>
          <t>Student 37</t>
        </is>
      </c>
      <c r="D39" s="2" t="inlineStr">
        <is>
          <t>Basic 2</t>
        </is>
      </c>
      <c r="E39" s="2" t="inlineStr">
        <is>
          <t>Silver</t>
        </is>
      </c>
      <c r="F39" s="2" t="inlineStr">
        <is>
          <t>M</t>
        </is>
      </c>
      <c r="G39" s="2" t="n">
        <v>53</v>
      </c>
      <c r="H39" s="2" t="n">
        <v>0</v>
      </c>
      <c r="I39" s="2" t="inlineStr">
        <is>
          <t>Gold</t>
        </is>
      </c>
      <c r="J39" s="2" t="inlineStr">
        <is>
          <t>234700000037</t>
        </is>
      </c>
      <c r="N39" s="2" t="inlineStr">
        <is>
          <t>student37.parent@example.com</t>
        </is>
      </c>
    </row>
    <row r="40">
      <c r="B40" s="2">
        <f t="array" ref="B40:J40">IF(Append1!A39:I39="","",Append1!A39:I39)</f>
        <v/>
      </c>
      <c r="C40" s="3" t="inlineStr">
        <is>
          <t>Student 38</t>
        </is>
      </c>
      <c r="D40" s="2" t="inlineStr">
        <is>
          <t>Basic 2</t>
        </is>
      </c>
      <c r="E40" s="2" t="inlineStr">
        <is>
          <t>Gold</t>
        </is>
      </c>
      <c r="F40" s="2" t="inlineStr">
        <is>
          <t>M</t>
        </is>
      </c>
      <c r="G40" s="2" t="n">
        <v>59</v>
      </c>
      <c r="H40" s="2" t="n">
        <v>9</v>
      </c>
      <c r="I40" s="2" t="inlineStr">
        <is>
          <t>Blue</t>
        </is>
      </c>
      <c r="J40" s="2" t="inlineStr">
        <is>
          <t>234700000038</t>
        </is>
      </c>
      <c r="N40" s="2" t="inlineStr">
        <is>
          <t>student38.parent@example.com</t>
        </is>
      </c>
    </row>
    <row r="41">
      <c r="B41" s="2">
        <f t="array" ref="B41:J41">IF(Append1!A40:I40="","",Append1!A40:I40)</f>
        <v/>
      </c>
      <c r="C41" s="3" t="inlineStr">
        <is>
          <t>Student 39</t>
        </is>
      </c>
      <c r="D41" s="2" t="inlineStr">
        <is>
          <t>Basic 2</t>
        </is>
      </c>
      <c r="E41" s="2" t="inlineStr">
        <is>
          <t>Gold</t>
        </is>
      </c>
      <c r="F41" s="2" t="inlineStr">
        <is>
          <t>F</t>
        </is>
      </c>
      <c r="G41" s="2" t="n">
        <v>45</v>
      </c>
      <c r="H41" s="2" t="n">
        <v>12</v>
      </c>
      <c r="I41" s="2" t="inlineStr">
        <is>
          <t>Red</t>
        </is>
      </c>
      <c r="J41" s="2" t="inlineStr">
        <is>
          <t>234700000039</t>
        </is>
      </c>
      <c r="N41" s="2" t="inlineStr">
        <is>
          <t>student39.parent@example.com</t>
        </is>
      </c>
    </row>
    <row r="42">
      <c r="B42" s="2">
        <f t="array" ref="B42:J42">IF(Append1!A41:I41="","",Append1!A41:I41)</f>
        <v/>
      </c>
      <c r="C42" s="3" t="inlineStr">
        <is>
          <t>Student 40</t>
        </is>
      </c>
      <c r="D42" s="2" t="inlineStr">
        <is>
          <t>Basic 3</t>
        </is>
      </c>
      <c r="E42" s="2" t="inlineStr">
        <is>
          <t>Science</t>
        </is>
      </c>
      <c r="F42" s="2" t="inlineStr">
        <is>
          <t>M</t>
        </is>
      </c>
      <c r="G42" s="2" t="n">
        <v>49</v>
      </c>
      <c r="H42" s="2" t="n">
        <v>8</v>
      </c>
      <c r="I42" s="2" t="inlineStr">
        <is>
          <t>Green</t>
        </is>
      </c>
      <c r="J42" s="2" t="inlineStr">
        <is>
          <t>234700000040</t>
        </is>
      </c>
      <c r="N42" s="2" t="inlineStr">
        <is>
          <t>student40.parent@example.com</t>
        </is>
      </c>
    </row>
    <row r="43">
      <c r="B43" s="2">
        <f t="array" ref="B43:J43">IF(Append1!A42:I42="","",Append1!A42:I42)</f>
        <v/>
      </c>
      <c r="C43" s="3" t="inlineStr">
        <is>
          <t>Student 41</t>
        </is>
      </c>
      <c r="D43" s="2" t="inlineStr">
        <is>
          <t>Basic 3</t>
        </is>
      </c>
      <c r="E43" s="2" t="inlineStr">
        <is>
          <t>B</t>
        </is>
      </c>
      <c r="F43" s="2" t="inlineStr">
        <is>
          <t>F</t>
        </is>
      </c>
      <c r="G43" s="2" t="n">
        <v>53</v>
      </c>
      <c r="H43" s="2" t="n">
        <v>14</v>
      </c>
      <c r="I43" s="2" t="inlineStr">
        <is>
          <t>Nil</t>
        </is>
      </c>
      <c r="J43" s="2" t="inlineStr">
        <is>
          <t>234700000041</t>
        </is>
      </c>
      <c r="N43" s="2" t="inlineStr">
        <is>
          <t>student41.parent@example.com</t>
        </is>
      </c>
    </row>
    <row r="44">
      <c r="B44" s="2">
        <f t="array" ref="B44:J44">IF(Append1!A43:I43="","",Append1!A43:I43)</f>
        <v/>
      </c>
      <c r="C44" s="3" t="inlineStr">
        <is>
          <t>Student 42</t>
        </is>
      </c>
      <c r="D44" s="2" t="inlineStr">
        <is>
          <t>Basic 3</t>
        </is>
      </c>
      <c r="E44" s="2" t="inlineStr">
        <is>
          <t>Silver</t>
        </is>
      </c>
      <c r="F44" s="2" t="inlineStr">
        <is>
          <t>M</t>
        </is>
      </c>
      <c r="G44" s="2" t="n">
        <v>56</v>
      </c>
      <c r="H44" s="2" t="n">
        <v>7</v>
      </c>
      <c r="I44" s="2" t="inlineStr">
        <is>
          <t>Gold</t>
        </is>
      </c>
      <c r="J44" s="2" t="inlineStr">
        <is>
          <t>234700000042</t>
        </is>
      </c>
      <c r="N44" s="2" t="inlineStr">
        <is>
          <t>student42.parent@example.com</t>
        </is>
      </c>
    </row>
    <row r="45">
      <c r="B45" s="2">
        <f t="array" ref="B45:J45">IF(Append1!A44:I44="","",Append1!A44:I44)</f>
        <v/>
      </c>
      <c r="C45" s="3" t="inlineStr">
        <is>
          <t>Student 43</t>
        </is>
      </c>
      <c r="D45" s="2" t="inlineStr">
        <is>
          <t>Basic 3</t>
        </is>
      </c>
      <c r="E45" s="2" t="inlineStr">
        <is>
          <t>A</t>
        </is>
      </c>
      <c r="F45" s="2" t="inlineStr">
        <is>
          <t>F</t>
        </is>
      </c>
      <c r="G45" s="2" t="n">
        <v>54</v>
      </c>
      <c r="H45" s="2" t="n">
        <v>15</v>
      </c>
      <c r="I45" s="2" t="inlineStr">
        <is>
          <t>Blue</t>
        </is>
      </c>
      <c r="J45" s="2" t="inlineStr">
        <is>
          <t>234700000043</t>
        </is>
      </c>
      <c r="N45" s="2" t="inlineStr">
        <is>
          <t>student43.parent@example.com</t>
        </is>
      </c>
    </row>
    <row r="46">
      <c r="B46" s="2">
        <f t="array" ref="B46:J46">IF(Append1!A45:I45="","",Append1!A45:I45)</f>
        <v/>
      </c>
      <c r="C46" s="3" t="inlineStr">
        <is>
          <t>Student 44</t>
        </is>
      </c>
      <c r="D46" s="2" t="inlineStr">
        <is>
          <t>Basic 3</t>
        </is>
      </c>
      <c r="E46" s="2" t="inlineStr">
        <is>
          <t>B</t>
        </is>
      </c>
      <c r="F46" s="2" t="inlineStr">
        <is>
          <t>F</t>
        </is>
      </c>
      <c r="G46" s="2" t="n">
        <v>58</v>
      </c>
      <c r="H46" s="2" t="n">
        <v>3</v>
      </c>
      <c r="I46" s="2" t="inlineStr">
        <is>
          <t>Red</t>
        </is>
      </c>
      <c r="J46" s="2" t="inlineStr">
        <is>
          <t>234700000044</t>
        </is>
      </c>
      <c r="N46" s="2" t="inlineStr">
        <is>
          <t>student44.parent@example.com</t>
        </is>
      </c>
    </row>
    <row r="47">
      <c r="B47" s="2">
        <f t="array" ref="B47:J47">IF(Append1!A46:I46="","",Append1!A46:I46)</f>
        <v/>
      </c>
      <c r="C47" s="3" t="inlineStr">
        <is>
          <t>Student 45</t>
        </is>
      </c>
      <c r="D47" s="2" t="inlineStr">
        <is>
          <t>Basic 3</t>
        </is>
      </c>
      <c r="E47" s="2" t="inlineStr">
        <is>
          <t>A</t>
        </is>
      </c>
      <c r="F47" s="2" t="inlineStr">
        <is>
          <t>F</t>
        </is>
      </c>
      <c r="G47" s="2" t="n">
        <v>60</v>
      </c>
      <c r="H47" s="2" t="n">
        <v>0</v>
      </c>
      <c r="I47" s="2" t="inlineStr">
        <is>
          <t>Nil</t>
        </is>
      </c>
      <c r="J47" s="2" t="inlineStr">
        <is>
          <t>234700000045</t>
        </is>
      </c>
      <c r="N47" s="2" t="inlineStr">
        <is>
          <t>student45.parent@example.com</t>
        </is>
      </c>
    </row>
    <row r="48">
      <c r="B48" s="2">
        <f t="array" ref="B48:J48">IF(Append1!A47:I47="","",Append1!A47:I47)</f>
        <v/>
      </c>
      <c r="C48" s="3" t="inlineStr">
        <is>
          <t>Student 46</t>
        </is>
      </c>
      <c r="D48" s="2" t="inlineStr">
        <is>
          <t>Basic 3</t>
        </is>
      </c>
      <c r="E48" s="2" t="inlineStr">
        <is>
          <t>Science</t>
        </is>
      </c>
      <c r="F48" s="2" t="inlineStr">
        <is>
          <t>M</t>
        </is>
      </c>
      <c r="G48" s="2" t="n">
        <v>58</v>
      </c>
      <c r="H48" s="2" t="n">
        <v>5</v>
      </c>
      <c r="I48" s="2" t="inlineStr">
        <is>
          <t>Green</t>
        </is>
      </c>
      <c r="J48" s="2" t="inlineStr">
        <is>
          <t>234700000046</t>
        </is>
      </c>
      <c r="N48" s="2" t="inlineStr">
        <is>
          <t>student46.parent@example.com</t>
        </is>
      </c>
    </row>
    <row r="49">
      <c r="B49" s="2">
        <f t="array" ref="B49:J49">IF(Append1!A48:I48="","",Append1!A48:I48)</f>
        <v/>
      </c>
      <c r="C49" s="3" t="inlineStr">
        <is>
          <t>Student 47</t>
        </is>
      </c>
      <c r="D49" s="2" t="inlineStr">
        <is>
          <t>Basic 3</t>
        </is>
      </c>
      <c r="E49" s="2" t="inlineStr">
        <is>
          <t>Silver</t>
        </is>
      </c>
      <c r="F49" s="2" t="inlineStr">
        <is>
          <t>M</t>
        </is>
      </c>
      <c r="G49" s="2" t="n">
        <v>60</v>
      </c>
      <c r="H49" s="2" t="n">
        <v>1</v>
      </c>
      <c r="I49" s="2" t="inlineStr">
        <is>
          <t>Gold</t>
        </is>
      </c>
      <c r="J49" s="2" t="inlineStr">
        <is>
          <t>234700000047</t>
        </is>
      </c>
      <c r="N49" s="2" t="inlineStr">
        <is>
          <t>student47.parent@example.com</t>
        </is>
      </c>
    </row>
    <row r="50">
      <c r="B50" s="2">
        <f t="array" ref="B50:J50">IF(Append1!A49:I49="","",Append1!A49:I49)</f>
        <v/>
      </c>
      <c r="C50" s="3" t="inlineStr">
        <is>
          <t>Student 48</t>
        </is>
      </c>
      <c r="D50" s="2" t="inlineStr">
        <is>
          <t>Basic 3</t>
        </is>
      </c>
      <c r="E50" s="2" t="inlineStr">
        <is>
          <t>Gold</t>
        </is>
      </c>
      <c r="F50" s="2" t="inlineStr">
        <is>
          <t>M</t>
        </is>
      </c>
      <c r="G50" s="2" t="n">
        <v>49</v>
      </c>
      <c r="H50" s="2" t="n">
        <v>1</v>
      </c>
      <c r="I50" s="2" t="inlineStr">
        <is>
          <t>Red</t>
        </is>
      </c>
      <c r="J50" s="2" t="inlineStr">
        <is>
          <t>234700000048</t>
        </is>
      </c>
      <c r="N50" s="2" t="inlineStr">
        <is>
          <t>student48.parent@example.com</t>
        </is>
      </c>
    </row>
    <row r="51">
      <c r="B51" s="2">
        <f t="array" ref="B51:J51">IF(Append1!A50:I50="","",Append1!A50:I50)</f>
        <v/>
      </c>
      <c r="C51" s="3" t="inlineStr">
        <is>
          <t>Student 49</t>
        </is>
      </c>
      <c r="D51" s="2" t="inlineStr">
        <is>
          <t>Basic 3</t>
        </is>
      </c>
      <c r="E51" s="2" t="inlineStr">
        <is>
          <t>A</t>
        </is>
      </c>
      <c r="F51" s="2" t="inlineStr">
        <is>
          <t>M</t>
        </is>
      </c>
      <c r="G51" s="2" t="n">
        <v>54</v>
      </c>
      <c r="H51" s="2" t="n">
        <v>6</v>
      </c>
      <c r="I51" s="2" t="inlineStr">
        <is>
          <t>Green</t>
        </is>
      </c>
      <c r="J51" s="2" t="inlineStr">
        <is>
          <t>234700000049</t>
        </is>
      </c>
      <c r="N51" s="2" t="inlineStr">
        <is>
          <t>student49.parent@example.com</t>
        </is>
      </c>
    </row>
    <row r="52">
      <c r="B52" s="2">
        <f t="array" ref="B52:J52">IF(Append1!A51:I51="","",Append1!A51:I51)</f>
        <v/>
      </c>
      <c r="C52" s="3" t="inlineStr">
        <is>
          <t>Student 50</t>
        </is>
      </c>
      <c r="D52" s="2" t="inlineStr">
        <is>
          <t>Basic 3</t>
        </is>
      </c>
      <c r="E52" s="2" t="inlineStr">
        <is>
          <t>Gold</t>
        </is>
      </c>
      <c r="F52" s="2" t="inlineStr">
        <is>
          <t>M</t>
        </is>
      </c>
      <c r="G52" s="2" t="n">
        <v>46</v>
      </c>
      <c r="H52" s="2" t="n">
        <v>6</v>
      </c>
      <c r="I52" s="2" t="inlineStr">
        <is>
          <t>Red</t>
        </is>
      </c>
      <c r="J52" s="2" t="inlineStr">
        <is>
          <t>234700000050</t>
        </is>
      </c>
      <c r="N52" s="2" t="inlineStr">
        <is>
          <t>student50.parent@example.com</t>
        </is>
      </c>
    </row>
    <row r="53">
      <c r="B53" s="2">
        <f t="array" ref="B53:J53">IF(Append1!A52:I52="","",Append1!A52:I52)</f>
        <v/>
      </c>
      <c r="C53" s="3" t="inlineStr">
        <is>
          <t>Student 51</t>
        </is>
      </c>
      <c r="D53" s="2" t="inlineStr">
        <is>
          <t>Basic 3</t>
        </is>
      </c>
      <c r="E53" s="2" t="inlineStr">
        <is>
          <t>Silver</t>
        </is>
      </c>
      <c r="F53" s="2" t="inlineStr">
        <is>
          <t>M</t>
        </is>
      </c>
      <c r="G53" s="2" t="n">
        <v>55</v>
      </c>
      <c r="H53" s="2" t="n">
        <v>5</v>
      </c>
      <c r="I53" s="2" t="inlineStr">
        <is>
          <t>Gold</t>
        </is>
      </c>
      <c r="J53" s="2" t="inlineStr">
        <is>
          <t>234700000051</t>
        </is>
      </c>
      <c r="N53" s="2" t="inlineStr">
        <is>
          <t>student51.parent@example.com</t>
        </is>
      </c>
    </row>
    <row r="54">
      <c r="B54" s="2">
        <f t="array" ref="B54:J54">IF(Append1!A53:I53="","",Append1!A53:I53)</f>
        <v/>
      </c>
      <c r="C54" s="3" t="inlineStr">
        <is>
          <t>Student 52</t>
        </is>
      </c>
      <c r="D54" s="2" t="inlineStr">
        <is>
          <t>Basic 3</t>
        </is>
      </c>
      <c r="E54" s="2" t="inlineStr">
        <is>
          <t>Science</t>
        </is>
      </c>
      <c r="F54" s="2" t="inlineStr">
        <is>
          <t>F</t>
        </is>
      </c>
      <c r="G54" s="2" t="n">
        <v>50</v>
      </c>
      <c r="H54" s="2" t="n">
        <v>9</v>
      </c>
      <c r="I54" s="2" t="inlineStr">
        <is>
          <t>Red</t>
        </is>
      </c>
      <c r="J54" s="2" t="inlineStr">
        <is>
          <t>234700000052</t>
        </is>
      </c>
      <c r="N54" s="2" t="inlineStr">
        <is>
          <t>student52.parent@example.com</t>
        </is>
      </c>
    </row>
    <row r="55">
      <c r="B55" s="2">
        <f t="array" ref="B55:J55">IF(Append1!A54:I54="","",Append1!A54:I54)</f>
        <v/>
      </c>
      <c r="C55" s="3" t="inlineStr">
        <is>
          <t>Student 53</t>
        </is>
      </c>
      <c r="D55" s="2" t="inlineStr">
        <is>
          <t>Basic 3</t>
        </is>
      </c>
      <c r="E55" s="2" t="inlineStr">
        <is>
          <t>Silver</t>
        </is>
      </c>
      <c r="F55" s="2" t="inlineStr">
        <is>
          <t>F</t>
        </is>
      </c>
      <c r="G55" s="2" t="n">
        <v>56</v>
      </c>
      <c r="H55" s="2" t="n">
        <v>14</v>
      </c>
      <c r="I55" s="2" t="inlineStr">
        <is>
          <t>Green</t>
        </is>
      </c>
      <c r="J55" s="2" t="inlineStr">
        <is>
          <t>234700000053</t>
        </is>
      </c>
      <c r="N55" s="2" t="inlineStr">
        <is>
          <t>student53.parent@example.com</t>
        </is>
      </c>
    </row>
    <row r="56">
      <c r="B56" s="2">
        <f t="array" ref="B56:J56">IF(Append1!A55:I55="","",Append1!A55:I55)</f>
        <v/>
      </c>
      <c r="C56" s="3" t="inlineStr">
        <is>
          <t>Student 54</t>
        </is>
      </c>
      <c r="D56" s="2" t="inlineStr">
        <is>
          <t>Basic 3</t>
        </is>
      </c>
      <c r="E56" s="2" t="inlineStr">
        <is>
          <t>Science</t>
        </is>
      </c>
      <c r="F56" s="2" t="inlineStr">
        <is>
          <t>F</t>
        </is>
      </c>
      <c r="G56" s="2" t="n">
        <v>50</v>
      </c>
      <c r="H56" s="2" t="n">
        <v>0</v>
      </c>
      <c r="I56" s="2" t="inlineStr">
        <is>
          <t>Blue</t>
        </is>
      </c>
      <c r="J56" s="2" t="inlineStr">
        <is>
          <t>234700000054</t>
        </is>
      </c>
      <c r="N56" s="2" t="inlineStr">
        <is>
          <t>student54.parent@example.com</t>
        </is>
      </c>
    </row>
    <row r="57">
      <c r="B57" s="2">
        <f t="array" ref="B57:J57">IF(Append1!A56:I56="","",Append1!A56:I56)</f>
        <v/>
      </c>
      <c r="C57" s="3" t="inlineStr">
        <is>
          <t>Student 55</t>
        </is>
      </c>
      <c r="D57" s="2" t="inlineStr">
        <is>
          <t>Basic 3</t>
        </is>
      </c>
      <c r="E57" s="2" t="inlineStr">
        <is>
          <t>Science</t>
        </is>
      </c>
      <c r="F57" s="2" t="inlineStr">
        <is>
          <t>M</t>
        </is>
      </c>
      <c r="G57" s="2" t="n">
        <v>46</v>
      </c>
      <c r="H57" s="2" t="n">
        <v>4</v>
      </c>
      <c r="I57" s="2" t="inlineStr">
        <is>
          <t>Gold</t>
        </is>
      </c>
      <c r="J57" s="2" t="inlineStr">
        <is>
          <t>234700000055</t>
        </is>
      </c>
      <c r="N57" s="2" t="inlineStr">
        <is>
          <t>student55.parent@example.com</t>
        </is>
      </c>
    </row>
    <row r="58">
      <c r="B58" s="2">
        <f t="array" ref="B58:J58">IF(Append1!A57:I57="","",Append1!A57:I57)</f>
        <v/>
      </c>
      <c r="C58" s="3" t="inlineStr">
        <is>
          <t>Student 56</t>
        </is>
      </c>
      <c r="D58" s="2" t="inlineStr">
        <is>
          <t>Basic 3</t>
        </is>
      </c>
      <c r="E58" s="2" t="inlineStr">
        <is>
          <t>Gold</t>
        </is>
      </c>
      <c r="F58" s="2" t="inlineStr">
        <is>
          <t>M</t>
        </is>
      </c>
      <c r="G58" s="2" t="n">
        <v>53</v>
      </c>
      <c r="H58" s="2" t="n">
        <v>7</v>
      </c>
      <c r="I58" s="2" t="inlineStr">
        <is>
          <t>Green</t>
        </is>
      </c>
      <c r="J58" s="2" t="inlineStr">
        <is>
          <t>234700000056</t>
        </is>
      </c>
      <c r="N58" s="2" t="inlineStr">
        <is>
          <t>student56.parent@example.com</t>
        </is>
      </c>
    </row>
    <row r="59">
      <c r="B59" s="2">
        <f t="array" ref="B59:J59">IF(Append1!A58:I58="","",Append1!A58:I58)</f>
        <v/>
      </c>
      <c r="C59" s="3" t="inlineStr">
        <is>
          <t>Student 57</t>
        </is>
      </c>
      <c r="D59" s="2" t="inlineStr">
        <is>
          <t>Basic 3</t>
        </is>
      </c>
      <c r="E59" s="2" t="inlineStr">
        <is>
          <t>Silver</t>
        </is>
      </c>
      <c r="F59" s="2" t="inlineStr">
        <is>
          <t>F</t>
        </is>
      </c>
      <c r="G59" s="2" t="n">
        <v>51</v>
      </c>
      <c r="H59" s="2" t="n">
        <v>9</v>
      </c>
      <c r="I59" s="2" t="inlineStr">
        <is>
          <t>Gold</t>
        </is>
      </c>
      <c r="J59" s="2" t="inlineStr">
        <is>
          <t>234700000057</t>
        </is>
      </c>
      <c r="N59" s="2" t="inlineStr">
        <is>
          <t>student57.parent@example.com</t>
        </is>
      </c>
    </row>
    <row r="60">
      <c r="B60" s="2">
        <f t="array" ref="B60:J60">IF(Append1!A59:I59="","",Append1!A59:I59)</f>
        <v/>
      </c>
      <c r="C60" s="3" t="inlineStr">
        <is>
          <t>Student 58</t>
        </is>
      </c>
      <c r="D60" s="2" t="inlineStr">
        <is>
          <t>Basic 3</t>
        </is>
      </c>
      <c r="E60" s="2" t="inlineStr">
        <is>
          <t>Gold</t>
        </is>
      </c>
      <c r="F60" s="2" t="inlineStr">
        <is>
          <t>F</t>
        </is>
      </c>
      <c r="G60" s="2" t="n">
        <v>47</v>
      </c>
      <c r="H60" s="2" t="n">
        <v>9</v>
      </c>
      <c r="I60" s="2" t="inlineStr">
        <is>
          <t>Red</t>
        </is>
      </c>
      <c r="J60" s="2" t="inlineStr">
        <is>
          <t>234700000058</t>
        </is>
      </c>
      <c r="N60" s="2" t="inlineStr">
        <is>
          <t>student58.parent@example.com</t>
        </is>
      </c>
    </row>
    <row r="61">
      <c r="B61" s="2">
        <f t="array" ref="B61:J61">IF(Append1!A60:I60="","",Append1!A60:I60)</f>
        <v/>
      </c>
      <c r="C61" s="3" t="inlineStr">
        <is>
          <t>Student 59</t>
        </is>
      </c>
      <c r="D61" s="2" t="inlineStr">
        <is>
          <t>Basic 3</t>
        </is>
      </c>
      <c r="E61" s="2" t="inlineStr">
        <is>
          <t>Silver</t>
        </is>
      </c>
      <c r="F61" s="2" t="inlineStr">
        <is>
          <t>F</t>
        </is>
      </c>
      <c r="G61" s="2" t="n">
        <v>45</v>
      </c>
      <c r="H61" s="2" t="n">
        <v>11</v>
      </c>
      <c r="I61" s="2" t="inlineStr">
        <is>
          <t>Nil</t>
        </is>
      </c>
      <c r="J61" s="2" t="inlineStr">
        <is>
          <t>234700000059</t>
        </is>
      </c>
      <c r="N61" s="2" t="inlineStr">
        <is>
          <t>student59.parent@example.com</t>
        </is>
      </c>
    </row>
    <row r="62">
      <c r="B62" s="2">
        <f t="array" ref="B62:J62">IF(Append1!A61:I61="","",Append1!A61:I61)</f>
        <v/>
      </c>
      <c r="C62" s="3" t="inlineStr">
        <is>
          <t>Student 60</t>
        </is>
      </c>
      <c r="D62" s="2" t="inlineStr">
        <is>
          <t>Basic 4</t>
        </is>
      </c>
      <c r="E62" s="2" t="inlineStr">
        <is>
          <t>Silver</t>
        </is>
      </c>
      <c r="F62" s="2" t="inlineStr">
        <is>
          <t>F</t>
        </is>
      </c>
      <c r="G62" s="2" t="n">
        <v>46</v>
      </c>
      <c r="H62" s="2" t="n">
        <v>11</v>
      </c>
      <c r="I62" s="2" t="inlineStr">
        <is>
          <t>Gold</t>
        </is>
      </c>
      <c r="J62" s="2" t="inlineStr">
        <is>
          <t>234700000060</t>
        </is>
      </c>
      <c r="N62" s="2" t="inlineStr">
        <is>
          <t>student60.parent@example.com</t>
        </is>
      </c>
    </row>
    <row r="63">
      <c r="B63" s="2">
        <f t="array" ref="B63:J63">IF(Append1!A62:I62="","",Append1!A62:I62)</f>
        <v/>
      </c>
      <c r="C63" s="3" t="inlineStr">
        <is>
          <t>Student 61</t>
        </is>
      </c>
      <c r="D63" s="2" t="inlineStr">
        <is>
          <t>Basic 4</t>
        </is>
      </c>
      <c r="E63" s="2" t="inlineStr">
        <is>
          <t>Science</t>
        </is>
      </c>
      <c r="F63" s="2" t="inlineStr">
        <is>
          <t>M</t>
        </is>
      </c>
      <c r="G63" s="2" t="n">
        <v>60</v>
      </c>
      <c r="H63" s="2" t="n">
        <v>7</v>
      </c>
      <c r="I63" s="2" t="inlineStr">
        <is>
          <t>Blue</t>
        </is>
      </c>
      <c r="J63" s="2" t="inlineStr">
        <is>
          <t>234700000061</t>
        </is>
      </c>
      <c r="N63" s="2" t="inlineStr">
        <is>
          <t>student61.parent@example.com</t>
        </is>
      </c>
    </row>
    <row r="64">
      <c r="B64" s="2">
        <f t="array" ref="B64:J64">IF(Append1!A63:I63="","",Append1!A63:I63)</f>
        <v/>
      </c>
      <c r="C64" s="3" t="inlineStr">
        <is>
          <t>Student 62</t>
        </is>
      </c>
      <c r="D64" s="2" t="inlineStr">
        <is>
          <t>Basic 4</t>
        </is>
      </c>
      <c r="E64" s="2" t="inlineStr">
        <is>
          <t>B</t>
        </is>
      </c>
      <c r="F64" s="2" t="inlineStr">
        <is>
          <t>F</t>
        </is>
      </c>
      <c r="G64" s="2" t="n">
        <v>57</v>
      </c>
      <c r="H64" s="2" t="n">
        <v>7</v>
      </c>
      <c r="I64" s="2" t="inlineStr">
        <is>
          <t>Red</t>
        </is>
      </c>
      <c r="J64" s="2" t="inlineStr">
        <is>
          <t>234700000062</t>
        </is>
      </c>
      <c r="N64" s="2" t="inlineStr">
        <is>
          <t>student62.parent@example.com</t>
        </is>
      </c>
    </row>
    <row r="65">
      <c r="B65" s="2">
        <f t="array" ref="B65:J65">IF(Append1!A64:I64="","",Append1!A64:I64)</f>
        <v/>
      </c>
      <c r="C65" s="3" t="inlineStr">
        <is>
          <t>Student 63</t>
        </is>
      </c>
      <c r="D65" s="2" t="inlineStr">
        <is>
          <t>Basic 4</t>
        </is>
      </c>
      <c r="E65" s="2" t="inlineStr">
        <is>
          <t>Gold</t>
        </is>
      </c>
      <c r="F65" s="2" t="inlineStr">
        <is>
          <t>M</t>
        </is>
      </c>
      <c r="G65" s="2" t="n">
        <v>57</v>
      </c>
      <c r="H65" s="2" t="n">
        <v>1</v>
      </c>
      <c r="I65" s="2" t="inlineStr">
        <is>
          <t>Green</t>
        </is>
      </c>
      <c r="J65" s="2" t="inlineStr">
        <is>
          <t>234700000063</t>
        </is>
      </c>
      <c r="N65" s="2" t="inlineStr">
        <is>
          <t>student63.parent@example.com</t>
        </is>
      </c>
    </row>
    <row r="66">
      <c r="B66" s="2">
        <f t="array" ref="B66:J66">IF(Append1!A65:I65="","",Append1!A65:I65)</f>
        <v/>
      </c>
      <c r="C66" s="3" t="inlineStr">
        <is>
          <t>Student 64</t>
        </is>
      </c>
      <c r="D66" s="2" t="inlineStr">
        <is>
          <t>Basic 4</t>
        </is>
      </c>
      <c r="E66" s="2" t="inlineStr">
        <is>
          <t>B</t>
        </is>
      </c>
      <c r="F66" s="2" t="inlineStr">
        <is>
          <t>F</t>
        </is>
      </c>
      <c r="G66" s="2" t="n">
        <v>51</v>
      </c>
      <c r="H66" s="2" t="n">
        <v>3</v>
      </c>
      <c r="I66" s="2" t="inlineStr">
        <is>
          <t>Gold</t>
        </is>
      </c>
      <c r="J66" s="2" t="inlineStr">
        <is>
          <t>234700000064</t>
        </is>
      </c>
      <c r="N66" s="2" t="inlineStr">
        <is>
          <t>student64.parent@example.com</t>
        </is>
      </c>
    </row>
    <row r="67">
      <c r="B67" s="2">
        <f t="array" ref="B67:J67">IF(Append1!A66:I66="","",Append1!A66:I66)</f>
        <v/>
      </c>
      <c r="C67" s="3" t="inlineStr">
        <is>
          <t>Student 65</t>
        </is>
      </c>
      <c r="D67" s="2" t="inlineStr">
        <is>
          <t>Basic 4</t>
        </is>
      </c>
      <c r="E67" s="2" t="inlineStr">
        <is>
          <t>Silver</t>
        </is>
      </c>
      <c r="F67" s="2" t="inlineStr">
        <is>
          <t>M</t>
        </is>
      </c>
      <c r="G67" s="2" t="n">
        <v>56</v>
      </c>
      <c r="H67" s="2" t="n">
        <v>9</v>
      </c>
      <c r="I67" s="2" t="inlineStr">
        <is>
          <t>Red</t>
        </is>
      </c>
      <c r="J67" s="2" t="inlineStr">
        <is>
          <t>234700000065</t>
        </is>
      </c>
      <c r="N67" s="2" t="inlineStr">
        <is>
          <t>student65.parent@example.com</t>
        </is>
      </c>
    </row>
    <row r="68">
      <c r="B68" s="2">
        <f t="array" ref="B68:J68">IF(Append1!A67:I67="","",Append1!A67:I67)</f>
        <v/>
      </c>
      <c r="C68" s="3" t="inlineStr">
        <is>
          <t>Student 66</t>
        </is>
      </c>
      <c r="D68" s="2" t="inlineStr">
        <is>
          <t>Basic 4</t>
        </is>
      </c>
      <c r="E68" s="2" t="inlineStr">
        <is>
          <t>Gold</t>
        </is>
      </c>
      <c r="F68" s="2" t="inlineStr">
        <is>
          <t>M</t>
        </is>
      </c>
      <c r="G68" s="2" t="n">
        <v>58</v>
      </c>
      <c r="H68" s="2" t="n">
        <v>1</v>
      </c>
      <c r="I68" s="2" t="inlineStr">
        <is>
          <t>Nil</t>
        </is>
      </c>
      <c r="J68" s="2" t="inlineStr">
        <is>
          <t>234700000066</t>
        </is>
      </c>
      <c r="N68" s="2" t="inlineStr">
        <is>
          <t>student66.parent@example.com</t>
        </is>
      </c>
    </row>
    <row r="69">
      <c r="B69" s="2">
        <f t="array" ref="B69:J69">IF(Append1!A68:I68="","",Append1!A68:I68)</f>
        <v/>
      </c>
      <c r="C69" s="3" t="inlineStr">
        <is>
          <t>Student 67</t>
        </is>
      </c>
      <c r="D69" s="2" t="inlineStr">
        <is>
          <t>Basic 4</t>
        </is>
      </c>
      <c r="E69" s="2" t="inlineStr">
        <is>
          <t>B</t>
        </is>
      </c>
      <c r="F69" s="2" t="inlineStr">
        <is>
          <t>F</t>
        </is>
      </c>
      <c r="G69" s="2" t="n">
        <v>51</v>
      </c>
      <c r="H69" s="2" t="n">
        <v>10</v>
      </c>
      <c r="I69" s="2" t="inlineStr">
        <is>
          <t>Blue</t>
        </is>
      </c>
      <c r="J69" s="2" t="inlineStr">
        <is>
          <t>234700000067</t>
        </is>
      </c>
      <c r="N69" s="2" t="inlineStr">
        <is>
          <t>student67.parent@example.com</t>
        </is>
      </c>
    </row>
    <row r="70">
      <c r="B70" s="2">
        <f t="array" ref="B70:J70">IF(Append1!A69:I69="","",Append1!A69:I69)</f>
        <v/>
      </c>
      <c r="C70" s="3" t="inlineStr">
        <is>
          <t>Student 68</t>
        </is>
      </c>
      <c r="D70" s="2" t="inlineStr">
        <is>
          <t>Basic 4</t>
        </is>
      </c>
      <c r="E70" s="2" t="inlineStr">
        <is>
          <t>Silver</t>
        </is>
      </c>
      <c r="F70" s="2" t="inlineStr">
        <is>
          <t>M</t>
        </is>
      </c>
      <c r="G70" s="2" t="n">
        <v>50</v>
      </c>
      <c r="H70" s="2" t="n">
        <v>11</v>
      </c>
      <c r="I70" s="2" t="inlineStr">
        <is>
          <t>Blue</t>
        </is>
      </c>
      <c r="J70" s="2" t="inlineStr">
        <is>
          <t>234700000068</t>
        </is>
      </c>
      <c r="N70" s="2" t="inlineStr">
        <is>
          <t>student68.parent@example.com</t>
        </is>
      </c>
    </row>
    <row r="71">
      <c r="B71" s="2">
        <f t="array" ref="B71:J71">IF(Append1!A70:I70="","",Append1!A70:I70)</f>
        <v/>
      </c>
      <c r="C71" s="3" t="inlineStr">
        <is>
          <t>Student 69</t>
        </is>
      </c>
      <c r="D71" s="2" t="inlineStr">
        <is>
          <t>Basic 4</t>
        </is>
      </c>
      <c r="E71" s="2" t="inlineStr">
        <is>
          <t>A</t>
        </is>
      </c>
      <c r="F71" s="2" t="inlineStr">
        <is>
          <t>F</t>
        </is>
      </c>
      <c r="G71" s="2" t="n">
        <v>45</v>
      </c>
      <c r="H71" s="2" t="n">
        <v>13</v>
      </c>
      <c r="I71" s="2" t="inlineStr">
        <is>
          <t>Blue</t>
        </is>
      </c>
      <c r="J71" s="2" t="inlineStr">
        <is>
          <t>234700000069</t>
        </is>
      </c>
      <c r="N71" s="2" t="inlineStr">
        <is>
          <t>student69.parent@example.com</t>
        </is>
      </c>
    </row>
    <row r="72">
      <c r="B72" s="2">
        <f t="array" ref="B72:J72">IF(Append1!A71:I71="","",Append1!A71:I71)</f>
        <v/>
      </c>
      <c r="C72" s="3" t="inlineStr">
        <is>
          <t>Student 70</t>
        </is>
      </c>
      <c r="D72" s="2" t="inlineStr">
        <is>
          <t>Basic 4</t>
        </is>
      </c>
      <c r="E72" s="2" t="inlineStr">
        <is>
          <t>A</t>
        </is>
      </c>
      <c r="F72" s="2" t="inlineStr">
        <is>
          <t>M</t>
        </is>
      </c>
      <c r="G72" s="2" t="n">
        <v>60</v>
      </c>
      <c r="H72" s="2" t="n">
        <v>15</v>
      </c>
      <c r="I72" s="2" t="inlineStr">
        <is>
          <t>Green</t>
        </is>
      </c>
      <c r="J72" s="2" t="inlineStr">
        <is>
          <t>234700000070</t>
        </is>
      </c>
      <c r="N72" s="2" t="inlineStr">
        <is>
          <t>student70.parent@example.com</t>
        </is>
      </c>
    </row>
    <row r="73">
      <c r="B73" s="2">
        <f t="array" ref="B73:J73">IF(Append1!A72:I72="","",Append1!A72:I72)</f>
        <v/>
      </c>
      <c r="C73" s="3" t="inlineStr">
        <is>
          <t>Student 71</t>
        </is>
      </c>
      <c r="D73" s="2" t="inlineStr">
        <is>
          <t>Basic 4</t>
        </is>
      </c>
      <c r="E73" s="2" t="inlineStr">
        <is>
          <t>Gold</t>
        </is>
      </c>
      <c r="F73" s="2" t="inlineStr">
        <is>
          <t>F</t>
        </is>
      </c>
      <c r="G73" s="2" t="n">
        <v>45</v>
      </c>
      <c r="H73" s="2" t="n">
        <v>13</v>
      </c>
      <c r="I73" s="2" t="inlineStr">
        <is>
          <t>Blue</t>
        </is>
      </c>
      <c r="J73" s="2" t="inlineStr">
        <is>
          <t>234700000071</t>
        </is>
      </c>
      <c r="N73" s="2" t="inlineStr">
        <is>
          <t>student71.parent@example.com</t>
        </is>
      </c>
    </row>
    <row r="74">
      <c r="B74" s="2">
        <f t="array" ref="B74:J74">IF(Append1!A73:I73="","",Append1!A73:I73)</f>
        <v/>
      </c>
      <c r="C74" s="3" t="inlineStr">
        <is>
          <t>Student 72</t>
        </is>
      </c>
      <c r="D74" s="2" t="inlineStr">
        <is>
          <t>Basic 4</t>
        </is>
      </c>
      <c r="E74" s="2" t="inlineStr">
        <is>
          <t>Gold</t>
        </is>
      </c>
      <c r="F74" s="2" t="inlineStr">
        <is>
          <t>F</t>
        </is>
      </c>
      <c r="G74" s="2" t="n">
        <v>53</v>
      </c>
      <c r="H74" s="2" t="n">
        <v>12</v>
      </c>
      <c r="I74" s="2" t="inlineStr">
        <is>
          <t>Green</t>
        </is>
      </c>
      <c r="J74" s="2" t="inlineStr">
        <is>
          <t>234700000072</t>
        </is>
      </c>
      <c r="N74" s="2" t="inlineStr">
        <is>
          <t>student72.parent@example.com</t>
        </is>
      </c>
    </row>
    <row r="75">
      <c r="B75" s="2">
        <f t="array" ref="B75:J75">IF(Append1!A74:I74="","",Append1!A74:I74)</f>
        <v/>
      </c>
      <c r="C75" s="3" t="inlineStr">
        <is>
          <t>Student 73</t>
        </is>
      </c>
      <c r="D75" s="2" t="inlineStr">
        <is>
          <t>Basic 4</t>
        </is>
      </c>
      <c r="E75" s="2" t="inlineStr">
        <is>
          <t>A</t>
        </is>
      </c>
      <c r="F75" s="2" t="inlineStr">
        <is>
          <t>F</t>
        </is>
      </c>
      <c r="G75" s="2" t="n">
        <v>57</v>
      </c>
      <c r="H75" s="2" t="n">
        <v>12</v>
      </c>
      <c r="I75" s="2" t="inlineStr">
        <is>
          <t>Gold</t>
        </is>
      </c>
      <c r="J75" s="2" t="inlineStr">
        <is>
          <t>234700000073</t>
        </is>
      </c>
      <c r="N75" s="2" t="inlineStr">
        <is>
          <t>student73.parent@example.com</t>
        </is>
      </c>
    </row>
    <row r="76">
      <c r="B76" s="2">
        <f t="array" ref="B76:J76">IF(Append1!A75:I75="","",Append1!A75:I75)</f>
        <v/>
      </c>
      <c r="C76" s="3" t="inlineStr">
        <is>
          <t>Student 74</t>
        </is>
      </c>
      <c r="D76" s="2" t="inlineStr">
        <is>
          <t>Basic 4</t>
        </is>
      </c>
      <c r="E76" s="2" t="inlineStr">
        <is>
          <t>Science</t>
        </is>
      </c>
      <c r="F76" s="2" t="inlineStr">
        <is>
          <t>M</t>
        </is>
      </c>
      <c r="G76" s="2" t="n">
        <v>48</v>
      </c>
      <c r="H76" s="2" t="n">
        <v>1</v>
      </c>
      <c r="I76" s="2" t="inlineStr">
        <is>
          <t>Blue</t>
        </is>
      </c>
      <c r="J76" s="2" t="inlineStr">
        <is>
          <t>234700000074</t>
        </is>
      </c>
      <c r="N76" s="2" t="inlineStr">
        <is>
          <t>student74.parent@example.com</t>
        </is>
      </c>
    </row>
    <row r="77">
      <c r="B77" s="2">
        <f t="array" ref="B77:J77">IF(Append1!A76:I76="","",Append1!A76:I76)</f>
        <v/>
      </c>
      <c r="C77" s="3" t="inlineStr">
        <is>
          <t>Student 75</t>
        </is>
      </c>
      <c r="D77" s="2" t="inlineStr">
        <is>
          <t>Basic 4</t>
        </is>
      </c>
      <c r="E77" s="2" t="inlineStr">
        <is>
          <t>A</t>
        </is>
      </c>
      <c r="F77" s="2" t="inlineStr">
        <is>
          <t>F</t>
        </is>
      </c>
      <c r="G77" s="2" t="n">
        <v>50</v>
      </c>
      <c r="H77" s="2" t="n">
        <v>10</v>
      </c>
      <c r="I77" s="2" t="inlineStr">
        <is>
          <t>Green</t>
        </is>
      </c>
      <c r="J77" s="2" t="inlineStr">
        <is>
          <t>234700000075</t>
        </is>
      </c>
      <c r="N77" s="2" t="inlineStr">
        <is>
          <t>student75.parent@example.com</t>
        </is>
      </c>
    </row>
    <row r="78">
      <c r="B78" s="2">
        <f t="array" ref="B78:J78">IF(Append1!A77:I77="","",Append1!A77:I77)</f>
        <v/>
      </c>
      <c r="C78" s="3" t="inlineStr">
        <is>
          <t>Student 76</t>
        </is>
      </c>
      <c r="D78" s="2" t="inlineStr">
        <is>
          <t>Basic 4</t>
        </is>
      </c>
      <c r="E78" s="2" t="inlineStr">
        <is>
          <t>Science</t>
        </is>
      </c>
      <c r="F78" s="2" t="inlineStr">
        <is>
          <t>M</t>
        </is>
      </c>
      <c r="G78" s="2" t="n">
        <v>57</v>
      </c>
      <c r="H78" s="2" t="n">
        <v>10</v>
      </c>
      <c r="I78" s="2" t="inlineStr">
        <is>
          <t>Gold</t>
        </is>
      </c>
      <c r="J78" s="2" t="inlineStr">
        <is>
          <t>234700000076</t>
        </is>
      </c>
      <c r="N78" s="2" t="inlineStr">
        <is>
          <t>student76.parent@example.com</t>
        </is>
      </c>
    </row>
    <row r="79">
      <c r="B79" s="2">
        <f t="array" ref="B79:J79">IF(Append1!A78:I78="","",Append1!A78:I78)</f>
        <v/>
      </c>
      <c r="C79" s="3" t="inlineStr">
        <is>
          <t>Student 77</t>
        </is>
      </c>
      <c r="D79" s="2" t="inlineStr">
        <is>
          <t>Basic 4</t>
        </is>
      </c>
      <c r="E79" s="2" t="inlineStr">
        <is>
          <t>A</t>
        </is>
      </c>
      <c r="F79" s="2" t="inlineStr">
        <is>
          <t>M</t>
        </is>
      </c>
      <c r="G79" s="2" t="n">
        <v>55</v>
      </c>
      <c r="H79" s="2" t="n">
        <v>12</v>
      </c>
      <c r="I79" s="2" t="inlineStr">
        <is>
          <t>Red</t>
        </is>
      </c>
      <c r="J79" s="2" t="inlineStr">
        <is>
          <t>234700000077</t>
        </is>
      </c>
      <c r="N79" s="2" t="inlineStr">
        <is>
          <t>student77.parent@example.com</t>
        </is>
      </c>
    </row>
    <row r="80">
      <c r="B80" s="2">
        <f t="array" ref="B80:J80">IF(Append1!A79:I79="","",Append1!A79:I79)</f>
        <v/>
      </c>
      <c r="C80" s="3" t="inlineStr">
        <is>
          <t>Student 78</t>
        </is>
      </c>
      <c r="D80" s="2" t="inlineStr">
        <is>
          <t>Basic 5</t>
        </is>
      </c>
      <c r="E80" s="2" t="inlineStr">
        <is>
          <t>A</t>
        </is>
      </c>
      <c r="F80" s="2" t="inlineStr">
        <is>
          <t>M</t>
        </is>
      </c>
      <c r="G80" s="2" t="n">
        <v>52</v>
      </c>
      <c r="H80" s="2" t="n">
        <v>15</v>
      </c>
      <c r="I80" s="2" t="inlineStr">
        <is>
          <t>Gold</t>
        </is>
      </c>
      <c r="J80" s="2" t="inlineStr">
        <is>
          <t>234700000078</t>
        </is>
      </c>
      <c r="N80" s="2" t="inlineStr">
        <is>
          <t>student78.parent@example.com</t>
        </is>
      </c>
    </row>
    <row r="81">
      <c r="B81" s="2">
        <f t="array" ref="B81:J81">IF(Append1!A80:I80="","",Append1!A80:I80)</f>
        <v/>
      </c>
      <c r="C81" s="3" t="inlineStr">
        <is>
          <t>Student 79</t>
        </is>
      </c>
      <c r="D81" s="2" t="inlineStr">
        <is>
          <t>Basic 5</t>
        </is>
      </c>
      <c r="E81" s="2" t="inlineStr">
        <is>
          <t>B</t>
        </is>
      </c>
      <c r="F81" s="2" t="inlineStr">
        <is>
          <t>M</t>
        </is>
      </c>
      <c r="G81" s="2" t="n">
        <v>57</v>
      </c>
      <c r="H81" s="2" t="n">
        <v>13</v>
      </c>
      <c r="I81" s="2" t="inlineStr">
        <is>
          <t>Red</t>
        </is>
      </c>
      <c r="J81" s="2" t="inlineStr">
        <is>
          <t>234700000079</t>
        </is>
      </c>
      <c r="N81" s="2" t="inlineStr">
        <is>
          <t>student79.parent@example.com</t>
        </is>
      </c>
    </row>
    <row r="82">
      <c r="B82" s="2">
        <f t="array" ref="B82:J82">IF(Append1!A81:I81="","",Append1!A81:I81)</f>
        <v/>
      </c>
      <c r="C82" s="3" t="inlineStr">
        <is>
          <t>Student 80</t>
        </is>
      </c>
      <c r="D82" s="2" t="inlineStr">
        <is>
          <t>Basic 5</t>
        </is>
      </c>
      <c r="E82" s="2" t="inlineStr">
        <is>
          <t>B</t>
        </is>
      </c>
      <c r="F82" s="2" t="inlineStr">
        <is>
          <t>F</t>
        </is>
      </c>
      <c r="G82" s="2" t="n">
        <v>46</v>
      </c>
      <c r="H82" s="2" t="n">
        <v>1</v>
      </c>
      <c r="I82" s="2" t="inlineStr">
        <is>
          <t>Gold</t>
        </is>
      </c>
      <c r="J82" s="2" t="inlineStr">
        <is>
          <t>234700000080</t>
        </is>
      </c>
      <c r="N82" s="2" t="inlineStr">
        <is>
          <t>student80.parent@example.com</t>
        </is>
      </c>
    </row>
    <row r="83">
      <c r="B83" s="2">
        <f t="array" ref="B83:J83">IF(Append1!A82:I82="","",Append1!A82:I82)</f>
        <v/>
      </c>
      <c r="C83" s="3" t="inlineStr">
        <is>
          <t>Student 81</t>
        </is>
      </c>
      <c r="D83" s="2" t="inlineStr">
        <is>
          <t>Basic 5</t>
        </is>
      </c>
      <c r="E83" s="2" t="inlineStr">
        <is>
          <t>Science</t>
        </is>
      </c>
      <c r="F83" s="2" t="inlineStr">
        <is>
          <t>F</t>
        </is>
      </c>
      <c r="G83" s="2" t="n">
        <v>49</v>
      </c>
      <c r="H83" s="2" t="n">
        <v>8</v>
      </c>
      <c r="I83" s="2" t="inlineStr">
        <is>
          <t>Green</t>
        </is>
      </c>
      <c r="J83" s="2" t="inlineStr">
        <is>
          <t>234700000081</t>
        </is>
      </c>
      <c r="N83" s="2" t="inlineStr">
        <is>
          <t>student81.parent@example.com</t>
        </is>
      </c>
    </row>
    <row r="84">
      <c r="B84" s="2">
        <f t="array" ref="B84:J84">IF(Append1!A83:I83="","",Append1!A83:I83)</f>
        <v/>
      </c>
      <c r="C84" s="3" t="inlineStr">
        <is>
          <t>Student 82</t>
        </is>
      </c>
      <c r="D84" s="2" t="inlineStr">
        <is>
          <t>Basic 5</t>
        </is>
      </c>
      <c r="E84" s="2" t="inlineStr">
        <is>
          <t>A</t>
        </is>
      </c>
      <c r="F84" s="2" t="inlineStr">
        <is>
          <t>M</t>
        </is>
      </c>
      <c r="G84" s="2" t="n">
        <v>54</v>
      </c>
      <c r="H84" s="2" t="n">
        <v>13</v>
      </c>
      <c r="I84" s="2" t="inlineStr">
        <is>
          <t>Blue</t>
        </is>
      </c>
      <c r="J84" s="2" t="inlineStr">
        <is>
          <t>234700000082</t>
        </is>
      </c>
      <c r="N84" s="2" t="inlineStr">
        <is>
          <t>student82.parent@example.com</t>
        </is>
      </c>
    </row>
    <row r="85">
      <c r="B85" s="2">
        <f t="array" ref="B85:J85">IF(Append1!A84:I84="","",Append1!A84:I84)</f>
        <v/>
      </c>
      <c r="C85" s="3" t="inlineStr">
        <is>
          <t>Student 83</t>
        </is>
      </c>
      <c r="D85" s="2" t="inlineStr">
        <is>
          <t>Basic 5</t>
        </is>
      </c>
      <c r="E85" s="2" t="inlineStr">
        <is>
          <t>Gold</t>
        </is>
      </c>
      <c r="F85" s="2" t="inlineStr">
        <is>
          <t>F</t>
        </is>
      </c>
      <c r="G85" s="2" t="n">
        <v>50</v>
      </c>
      <c r="H85" s="2" t="n">
        <v>3</v>
      </c>
      <c r="I85" s="2" t="inlineStr">
        <is>
          <t>Green</t>
        </is>
      </c>
      <c r="J85" s="2" t="inlineStr">
        <is>
          <t>234700000083</t>
        </is>
      </c>
      <c r="N85" s="2" t="inlineStr">
        <is>
          <t>student83.parent@example.com</t>
        </is>
      </c>
    </row>
    <row r="86">
      <c r="B86" s="2">
        <f t="array" ref="B86:J86">IF(Append1!A85:I85="","",Append1!A85:I85)</f>
        <v/>
      </c>
      <c r="C86" s="3" t="inlineStr">
        <is>
          <t>Student 84</t>
        </is>
      </c>
      <c r="D86" s="2" t="inlineStr">
        <is>
          <t>Basic 5</t>
        </is>
      </c>
      <c r="E86" s="2" t="inlineStr">
        <is>
          <t>B</t>
        </is>
      </c>
      <c r="F86" s="2" t="inlineStr">
        <is>
          <t>M</t>
        </is>
      </c>
      <c r="G86" s="2" t="n">
        <v>56</v>
      </c>
      <c r="H86" s="2" t="n">
        <v>4</v>
      </c>
      <c r="I86" s="2" t="inlineStr">
        <is>
          <t>Red</t>
        </is>
      </c>
      <c r="J86" s="2" t="inlineStr">
        <is>
          <t>234700000084</t>
        </is>
      </c>
      <c r="N86" s="2" t="inlineStr">
        <is>
          <t>student84.parent@example.com</t>
        </is>
      </c>
    </row>
    <row r="87">
      <c r="B87" s="2">
        <f t="array" ref="B87:J87">IF(Append1!A86:I86="","",Append1!A86:I86)</f>
        <v/>
      </c>
      <c r="C87" s="3" t="inlineStr">
        <is>
          <t>Student 85</t>
        </is>
      </c>
      <c r="D87" s="2" t="inlineStr">
        <is>
          <t>Basic 5</t>
        </is>
      </c>
      <c r="E87" s="2" t="inlineStr">
        <is>
          <t>Science</t>
        </is>
      </c>
      <c r="F87" s="2" t="inlineStr">
        <is>
          <t>M</t>
        </is>
      </c>
      <c r="G87" s="2" t="n">
        <v>47</v>
      </c>
      <c r="H87" s="2" t="n">
        <v>15</v>
      </c>
      <c r="I87" s="2" t="inlineStr">
        <is>
          <t>Gold</t>
        </is>
      </c>
      <c r="J87" s="2" t="inlineStr">
        <is>
          <t>234700000085</t>
        </is>
      </c>
      <c r="N87" s="2" t="inlineStr">
        <is>
          <t>student85.parent@example.com</t>
        </is>
      </c>
    </row>
    <row r="88">
      <c r="B88" s="2">
        <f t="array" ref="B88:J88">IF(Append1!A87:I87="","",Append1!A87:I87)</f>
        <v/>
      </c>
      <c r="C88" s="3" t="inlineStr">
        <is>
          <t>Student 86</t>
        </is>
      </c>
      <c r="D88" s="2" t="inlineStr">
        <is>
          <t>Basic 5</t>
        </is>
      </c>
      <c r="E88" s="2" t="inlineStr">
        <is>
          <t>A</t>
        </is>
      </c>
      <c r="F88" s="2" t="inlineStr">
        <is>
          <t>F</t>
        </is>
      </c>
      <c r="G88" s="2" t="n">
        <v>48</v>
      </c>
      <c r="H88" s="2" t="n">
        <v>7</v>
      </c>
      <c r="I88" s="2" t="inlineStr">
        <is>
          <t>Nil</t>
        </is>
      </c>
      <c r="J88" s="2" t="inlineStr">
        <is>
          <t>234700000086</t>
        </is>
      </c>
      <c r="N88" s="2" t="inlineStr">
        <is>
          <t>student86.parent@example.com</t>
        </is>
      </c>
    </row>
    <row r="89">
      <c r="B89" s="2">
        <f t="array" ref="B89:J89">IF(Append1!A88:I88="","",Append1!A88:I88)</f>
        <v/>
      </c>
      <c r="C89" s="3" t="inlineStr">
        <is>
          <t>Student 87</t>
        </is>
      </c>
      <c r="D89" s="2" t="inlineStr">
        <is>
          <t>Basic 5</t>
        </is>
      </c>
      <c r="E89" s="2" t="inlineStr">
        <is>
          <t>B</t>
        </is>
      </c>
      <c r="F89" s="2" t="inlineStr">
        <is>
          <t>M</t>
        </is>
      </c>
      <c r="G89" s="2" t="n">
        <v>46</v>
      </c>
      <c r="H89" s="2" t="n">
        <v>13</v>
      </c>
      <c r="I89" s="2" t="inlineStr">
        <is>
          <t>Blue</t>
        </is>
      </c>
      <c r="J89" s="2" t="inlineStr">
        <is>
          <t>234700000087</t>
        </is>
      </c>
      <c r="N89" s="2" t="inlineStr">
        <is>
          <t>student87.parent@example.com</t>
        </is>
      </c>
    </row>
    <row r="90">
      <c r="B90" s="2">
        <f t="array" ref="B90:J90">IF(Append1!A89:I89="","",Append1!A89:I89)</f>
        <v/>
      </c>
      <c r="C90" s="3" t="inlineStr">
        <is>
          <t>Student 88</t>
        </is>
      </c>
      <c r="D90" s="2" t="inlineStr">
        <is>
          <t>Basic 5</t>
        </is>
      </c>
      <c r="E90" s="2" t="inlineStr">
        <is>
          <t>Science</t>
        </is>
      </c>
      <c r="F90" s="2" t="inlineStr">
        <is>
          <t>F</t>
        </is>
      </c>
      <c r="G90" s="2" t="n">
        <v>46</v>
      </c>
      <c r="H90" s="2" t="n">
        <v>5</v>
      </c>
      <c r="I90" s="2" t="inlineStr">
        <is>
          <t>Blue</t>
        </is>
      </c>
      <c r="J90" s="2" t="inlineStr">
        <is>
          <t>234700000088</t>
        </is>
      </c>
      <c r="N90" s="2" t="inlineStr">
        <is>
          <t>student88.parent@example.com</t>
        </is>
      </c>
    </row>
    <row r="91">
      <c r="B91" s="2">
        <f t="array" ref="B91:J91">IF(Append1!A90:I90="","",Append1!A90:I90)</f>
        <v/>
      </c>
      <c r="C91" s="3" t="inlineStr">
        <is>
          <t>Student 89</t>
        </is>
      </c>
      <c r="D91" s="2" t="inlineStr">
        <is>
          <t>Basic 5</t>
        </is>
      </c>
      <c r="E91" s="2" t="inlineStr">
        <is>
          <t>A</t>
        </is>
      </c>
      <c r="F91" s="2" t="inlineStr">
        <is>
          <t>M</t>
        </is>
      </c>
      <c r="G91" s="2" t="n">
        <v>59</v>
      </c>
      <c r="H91" s="2" t="n">
        <v>0</v>
      </c>
      <c r="I91" s="2" t="inlineStr">
        <is>
          <t>Red</t>
        </is>
      </c>
      <c r="J91" s="2" t="inlineStr">
        <is>
          <t>234700000089</t>
        </is>
      </c>
      <c r="N91" s="2" t="inlineStr">
        <is>
          <t>student89.parent@example.com</t>
        </is>
      </c>
    </row>
    <row r="92">
      <c r="B92" s="2">
        <f t="array" ref="B92:J92">IF(Append1!A91:I91="","",Append1!A91:I91)</f>
        <v/>
      </c>
      <c r="C92" s="3" t="inlineStr">
        <is>
          <t>Student 90</t>
        </is>
      </c>
      <c r="D92" s="2" t="inlineStr">
        <is>
          <t>Basic 5</t>
        </is>
      </c>
      <c r="E92" s="2" t="inlineStr">
        <is>
          <t>Silver</t>
        </is>
      </c>
      <c r="F92" s="2" t="inlineStr">
        <is>
          <t>F</t>
        </is>
      </c>
      <c r="G92" s="2" t="n">
        <v>51</v>
      </c>
      <c r="H92" s="2" t="n">
        <v>7</v>
      </c>
      <c r="I92" s="2" t="inlineStr">
        <is>
          <t>Blue</t>
        </is>
      </c>
      <c r="J92" s="2" t="inlineStr">
        <is>
          <t>234700000090</t>
        </is>
      </c>
      <c r="N92" s="2" t="inlineStr">
        <is>
          <t>student90.parent@example.com</t>
        </is>
      </c>
    </row>
    <row r="93">
      <c r="B93" s="2">
        <f t="array" ref="B93:J93">IF(Append1!A92:I92="","",Append1!A92:I92)</f>
        <v/>
      </c>
      <c r="C93" s="3" t="inlineStr">
        <is>
          <t>Student 91</t>
        </is>
      </c>
      <c r="D93" s="2" t="inlineStr">
        <is>
          <t>Basic 5</t>
        </is>
      </c>
      <c r="E93" s="2" t="inlineStr">
        <is>
          <t>Silver</t>
        </is>
      </c>
      <c r="F93" s="2" t="inlineStr">
        <is>
          <t>F</t>
        </is>
      </c>
      <c r="G93" s="2" t="n">
        <v>54</v>
      </c>
      <c r="H93" s="2" t="n">
        <v>3</v>
      </c>
      <c r="I93" s="2" t="inlineStr">
        <is>
          <t>Blue</t>
        </is>
      </c>
      <c r="J93" s="2" t="inlineStr">
        <is>
          <t>234700000091</t>
        </is>
      </c>
      <c r="N93" s="2" t="inlineStr">
        <is>
          <t>student91.parent@example.com</t>
        </is>
      </c>
    </row>
    <row r="94">
      <c r="B94" s="2">
        <f t="array" ref="B94:J94">IF(Append1!A93:I93="","",Append1!A93:I93)</f>
        <v/>
      </c>
      <c r="C94" s="3" t="inlineStr">
        <is>
          <t>Student 92</t>
        </is>
      </c>
      <c r="D94" s="2" t="inlineStr">
        <is>
          <t>Basic 5</t>
        </is>
      </c>
      <c r="E94" s="2" t="inlineStr">
        <is>
          <t>B</t>
        </is>
      </c>
      <c r="F94" s="2" t="inlineStr">
        <is>
          <t>F</t>
        </is>
      </c>
      <c r="G94" s="2" t="n">
        <v>58</v>
      </c>
      <c r="H94" s="2" t="n">
        <v>11</v>
      </c>
      <c r="I94" s="2" t="inlineStr">
        <is>
          <t>Gold</t>
        </is>
      </c>
      <c r="J94" s="2" t="inlineStr">
        <is>
          <t>234700000092</t>
        </is>
      </c>
      <c r="N94" s="2" t="inlineStr">
        <is>
          <t>student92.parent@example.com</t>
        </is>
      </c>
    </row>
    <row r="95">
      <c r="B95" s="2">
        <f t="array" ref="B95:J95">IF(Append1!A94:I94="","",Append1!A94:I94)</f>
        <v/>
      </c>
      <c r="C95" s="3" t="inlineStr">
        <is>
          <t>Student 93</t>
        </is>
      </c>
      <c r="D95" s="2" t="inlineStr">
        <is>
          <t>Basic 5</t>
        </is>
      </c>
      <c r="E95" s="2" t="inlineStr">
        <is>
          <t>Science</t>
        </is>
      </c>
      <c r="F95" s="2" t="inlineStr">
        <is>
          <t>F</t>
        </is>
      </c>
      <c r="G95" s="2" t="n">
        <v>46</v>
      </c>
      <c r="H95" s="2" t="n">
        <v>13</v>
      </c>
      <c r="I95" s="2" t="inlineStr">
        <is>
          <t>Blue</t>
        </is>
      </c>
      <c r="J95" s="2" t="inlineStr">
        <is>
          <t>234700000093</t>
        </is>
      </c>
      <c r="N95" s="2" t="inlineStr">
        <is>
          <t>student93.parent@example.com</t>
        </is>
      </c>
    </row>
    <row r="96">
      <c r="B96" s="2">
        <f t="array" ref="B96:J96">IF(Append1!A95:I95="","",Append1!A95:I95)</f>
        <v/>
      </c>
      <c r="C96" s="3" t="inlineStr">
        <is>
          <t>Student 94</t>
        </is>
      </c>
      <c r="D96" s="2" t="inlineStr">
        <is>
          <t>Basic 5</t>
        </is>
      </c>
      <c r="E96" s="2" t="inlineStr">
        <is>
          <t>B</t>
        </is>
      </c>
      <c r="F96" s="2" t="inlineStr">
        <is>
          <t>M</t>
        </is>
      </c>
      <c r="G96" s="2" t="n">
        <v>47</v>
      </c>
      <c r="H96" s="2" t="n">
        <v>6</v>
      </c>
      <c r="I96" s="2" t="inlineStr">
        <is>
          <t>Blue</t>
        </is>
      </c>
      <c r="J96" s="2" t="inlineStr">
        <is>
          <t>234700000094</t>
        </is>
      </c>
      <c r="N96" s="2" t="inlineStr">
        <is>
          <t>student94.parent@example.com</t>
        </is>
      </c>
    </row>
    <row r="97">
      <c r="B97" s="2">
        <f t="array" ref="B97:J97">IF(Append1!A96:I96="","",Append1!A96:I96)</f>
        <v/>
      </c>
      <c r="C97" s="3" t="inlineStr">
        <is>
          <t>Student 95</t>
        </is>
      </c>
      <c r="D97" s="2" t="inlineStr">
        <is>
          <t>Basic 5</t>
        </is>
      </c>
      <c r="E97" s="2" t="inlineStr">
        <is>
          <t>Silver</t>
        </is>
      </c>
      <c r="F97" s="2" t="inlineStr">
        <is>
          <t>M</t>
        </is>
      </c>
      <c r="G97" s="2" t="n">
        <v>48</v>
      </c>
      <c r="H97" s="2" t="n">
        <v>11</v>
      </c>
      <c r="I97" s="2" t="inlineStr">
        <is>
          <t>Blue</t>
        </is>
      </c>
      <c r="J97" s="2" t="inlineStr">
        <is>
          <t>234700000095</t>
        </is>
      </c>
      <c r="N97" s="2" t="inlineStr">
        <is>
          <t>student95.parent@example.com</t>
        </is>
      </c>
    </row>
    <row r="98">
      <c r="B98" s="2">
        <f t="array" ref="B98:J98">IF(Append1!A97:I97="","",Append1!A97:I97)</f>
        <v/>
      </c>
      <c r="C98" s="3" t="str"/>
      <c r="D98" s="2" t="str"/>
      <c r="E98" s="2" t="str"/>
      <c r="F98" s="2" t="str"/>
      <c r="G98" s="2" t="str"/>
      <c r="H98" s="2" t="str"/>
      <c r="I98" s="2" t="str"/>
      <c r="J98" s="2" t="str"/>
      <c r="N98" s="2">
        <f>IF(Append1!J97="","",Append1!J97)</f>
        <v/>
      </c>
    </row>
    <row r="99">
      <c r="B99" s="2">
        <f t="array" ref="B99:J99">IF(Append1!A98:I98="","",Append1!A98:I98)</f>
        <v/>
      </c>
      <c r="C99" s="3" t="str"/>
      <c r="D99" s="2" t="str"/>
      <c r="E99" s="2" t="str"/>
      <c r="F99" s="2" t="str"/>
      <c r="G99" s="2" t="str"/>
      <c r="H99" s="2" t="str"/>
      <c r="I99" s="2" t="str"/>
      <c r="J99" s="2" t="str"/>
      <c r="N99" s="2">
        <f>IF(Append1!J98="","",Append1!J98)</f>
        <v/>
      </c>
    </row>
    <row r="100">
      <c r="B100" s="2">
        <f t="array" ref="B100:J100">IF(Append1!A99:I99="","",Append1!A99:I99)</f>
        <v/>
      </c>
      <c r="C100" s="3" t="str"/>
      <c r="D100" s="2" t="str"/>
      <c r="E100" s="2" t="str"/>
      <c r="F100" s="2" t="str"/>
      <c r="G100" s="2" t="str"/>
      <c r="H100" s="2" t="str"/>
      <c r="I100" s="2" t="str"/>
      <c r="J100" s="2" t="str"/>
      <c r="N100" s="2">
        <f>IF(Append1!J99="","",Append1!J99)</f>
        <v/>
      </c>
    </row>
    <row r="101">
      <c r="B101" s="2">
        <f t="array" ref="B101:J101">IF(Append1!A100:I100="","",Append1!A100:I100)</f>
        <v/>
      </c>
      <c r="C101" s="3" t="str"/>
      <c r="D101" s="2" t="str"/>
      <c r="E101" s="2" t="str"/>
      <c r="F101" s="2" t="str"/>
      <c r="G101" s="2" t="str"/>
      <c r="H101" s="2" t="str"/>
      <c r="I101" s="2" t="str"/>
      <c r="J101" s="2" t="str"/>
      <c r="N101" s="2">
        <f>IF(Append1!J100="","",Append1!J100)</f>
        <v/>
      </c>
    </row>
    <row r="102">
      <c r="B102" s="2">
        <f t="array" ref="B102:J102">IF(Append1!A101:I101="","",Append1!A101:I101)</f>
        <v/>
      </c>
      <c r="C102" s="3" t="str"/>
      <c r="D102" s="2" t="str"/>
      <c r="E102" s="2" t="str"/>
      <c r="F102" s="2" t="str"/>
      <c r="G102" s="2" t="str"/>
      <c r="H102" s="2" t="str"/>
      <c r="I102" s="2" t="str"/>
      <c r="J102" s="2" t="str"/>
      <c r="N102" s="2">
        <f>IF(Append1!J101="","",Append1!J101)</f>
        <v/>
      </c>
    </row>
    <row r="103">
      <c r="B103" s="2">
        <f t="array" ref="B103:J103">IF(Append1!A102:I102="","",Append1!A102:I102)</f>
        <v/>
      </c>
      <c r="C103" s="3" t="str"/>
      <c r="D103" s="2" t="str"/>
      <c r="E103" s="2" t="str"/>
      <c r="F103" s="2" t="str"/>
      <c r="G103" s="2" t="str"/>
      <c r="H103" s="2" t="str"/>
      <c r="I103" s="2" t="str"/>
      <c r="J103" s="2" t="str"/>
      <c r="N103" s="2">
        <f>IF(Append1!J102="","",Append1!J102)</f>
        <v/>
      </c>
    </row>
    <row r="104">
      <c r="B104" s="2">
        <f t="array" ref="B104:J104">IF(Append1!A103:I103="","",Append1!A103:I103)</f>
        <v/>
      </c>
      <c r="C104" s="3" t="str"/>
      <c r="D104" s="2" t="str"/>
      <c r="E104" s="2" t="str"/>
      <c r="F104" s="2" t="str"/>
      <c r="G104" s="2" t="str"/>
      <c r="H104" s="2" t="str"/>
      <c r="I104" s="2" t="str"/>
      <c r="J104" s="2" t="str"/>
      <c r="N104" s="2">
        <f>IF(Append1!J103="","",Append1!J103)</f>
        <v/>
      </c>
    </row>
    <row r="105">
      <c r="B105" s="2">
        <f t="array" ref="B105:J105">IF(Append1!A104:I104="","",Append1!A104:I104)</f>
        <v/>
      </c>
      <c r="C105" s="3" t="str"/>
      <c r="D105" s="2" t="str"/>
      <c r="E105" s="2" t="str"/>
      <c r="F105" s="2" t="str"/>
      <c r="G105" s="2" t="str"/>
      <c r="H105" s="2" t="str"/>
      <c r="I105" s="2" t="str"/>
      <c r="J105" s="2" t="str"/>
      <c r="N105" s="2">
        <f>IF(Append1!J104="","",Append1!J104)</f>
        <v/>
      </c>
    </row>
    <row r="106">
      <c r="B106" s="2">
        <f t="array" ref="B106:J106">IF(Append1!A105:I105="","",Append1!A105:I105)</f>
        <v/>
      </c>
      <c r="C106" s="3" t="str"/>
      <c r="D106" s="2" t="str"/>
      <c r="E106" s="2" t="str"/>
      <c r="F106" s="2" t="str"/>
      <c r="G106" s="2" t="str"/>
      <c r="H106" s="2" t="str"/>
      <c r="I106" s="2" t="str"/>
      <c r="J106" s="2" t="str"/>
      <c r="N106" s="2">
        <f>IF(Append1!J105="","",Append1!J105)</f>
        <v/>
      </c>
    </row>
    <row r="107">
      <c r="B107" s="2">
        <f t="array" ref="B107:J107">IF(Append1!A106:I106="","",Append1!A106:I106)</f>
        <v/>
      </c>
      <c r="C107" s="3" t="str"/>
      <c r="D107" s="2" t="str"/>
      <c r="E107" s="2" t="str"/>
      <c r="F107" s="2" t="str"/>
      <c r="G107" s="2" t="str"/>
      <c r="H107" s="2" t="str"/>
      <c r="I107" s="2" t="str"/>
      <c r="J107" s="2" t="str"/>
      <c r="N107" s="2">
        <f>IF(Append1!J106="","",Append1!J106)</f>
        <v/>
      </c>
    </row>
    <row r="108">
      <c r="B108" s="2">
        <f t="array" ref="B108:J108">IF(Append1!A107:I107="","",Append1!A107:I107)</f>
        <v/>
      </c>
      <c r="C108" s="3" t="str"/>
      <c r="D108" s="2" t="str"/>
      <c r="E108" s="2" t="str"/>
      <c r="F108" s="2" t="str"/>
      <c r="G108" s="2" t="str"/>
      <c r="H108" s="2" t="str"/>
      <c r="I108" s="2" t="str"/>
      <c r="J108" s="2" t="str"/>
      <c r="N108" s="2">
        <f>IF(Append1!J107="","",Append1!J107)</f>
        <v/>
      </c>
    </row>
    <row r="109">
      <c r="B109" s="2">
        <f t="array" ref="B109:J109">IF(Append1!A108:I108="","",Append1!A108:I108)</f>
        <v/>
      </c>
      <c r="C109" s="3" t="str"/>
      <c r="D109" s="2" t="str"/>
      <c r="E109" s="2" t="str"/>
      <c r="F109" s="2" t="str"/>
      <c r="G109" s="2" t="str"/>
      <c r="H109" s="2" t="str"/>
      <c r="I109" s="2" t="str"/>
      <c r="J109" s="2" t="str"/>
      <c r="N109" s="2">
        <f>IF(Append1!J108="","",Append1!J108)</f>
        <v/>
      </c>
    </row>
    <row r="110">
      <c r="B110" s="2">
        <f t="array" ref="B110:J110">IF(Append1!A109:I109="","",Append1!A109:I109)</f>
        <v/>
      </c>
      <c r="C110" s="3" t="str"/>
      <c r="D110" s="2" t="str"/>
      <c r="E110" s="2" t="str"/>
      <c r="F110" s="2" t="str"/>
      <c r="G110" s="2" t="str"/>
      <c r="H110" s="2" t="str"/>
      <c r="I110" s="2" t="str"/>
      <c r="J110" s="2" t="str"/>
      <c r="N110" s="2">
        <f>IF(Append1!J109="","",Append1!J109)</f>
        <v/>
      </c>
    </row>
    <row r="111">
      <c r="B111" s="2">
        <f t="array" ref="B111:J111">IF(Append1!A110:I110="","",Append1!A110:I110)</f>
        <v/>
      </c>
      <c r="C111" s="3" t="str"/>
      <c r="D111" s="2" t="str"/>
      <c r="E111" s="2" t="str"/>
      <c r="F111" s="2" t="str"/>
      <c r="G111" s="2" t="str"/>
      <c r="H111" s="2" t="str"/>
      <c r="I111" s="2" t="str"/>
      <c r="J111" s="2" t="str"/>
      <c r="N111" s="2">
        <f>IF(Append1!J110="","",Append1!J110)</f>
        <v/>
      </c>
    </row>
    <row r="112">
      <c r="B112" s="2">
        <f t="array" ref="B112:J112">IF(Append1!A111:I111="","",Append1!A111:I111)</f>
        <v/>
      </c>
      <c r="C112" s="3" t="str"/>
      <c r="D112" s="2" t="str"/>
      <c r="E112" s="2" t="str"/>
      <c r="F112" s="2" t="str"/>
      <c r="G112" s="2" t="str"/>
      <c r="H112" s="2" t="str"/>
      <c r="I112" s="2" t="str"/>
      <c r="J112" s="2" t="str"/>
      <c r="N112" s="2">
        <f>IF(Append1!J111="","",Append1!J111)</f>
        <v/>
      </c>
    </row>
    <row r="113">
      <c r="B113" s="2">
        <f t="array" ref="B113:J113">IF(Append1!A112:I112="","",Append1!A112:I112)</f>
        <v/>
      </c>
      <c r="C113" s="3" t="str"/>
      <c r="D113" s="2" t="str"/>
      <c r="E113" s="2" t="str"/>
      <c r="F113" s="2" t="str"/>
      <c r="G113" s="2" t="str"/>
      <c r="H113" s="2" t="str"/>
      <c r="I113" s="2" t="str"/>
      <c r="J113" s="2" t="str"/>
      <c r="N113" s="2">
        <f>IF(Append1!J112="","",Append1!J112)</f>
        <v/>
      </c>
    </row>
    <row r="114">
      <c r="B114" s="2">
        <f t="array" ref="B114:J114">IF(Append1!A113:I113="","",Append1!A113:I113)</f>
        <v/>
      </c>
      <c r="C114" s="3" t="str"/>
      <c r="D114" s="2" t="str"/>
      <c r="E114" s="2" t="str"/>
      <c r="F114" s="2" t="str"/>
      <c r="G114" s="2" t="str"/>
      <c r="H114" s="2" t="str"/>
      <c r="I114" s="2" t="str"/>
      <c r="J114" s="2" t="str"/>
      <c r="N114" s="2">
        <f>IF(Append1!J113="","",Append1!J113)</f>
        <v/>
      </c>
    </row>
    <row r="115">
      <c r="B115" s="2">
        <f t="array" ref="B115:J115">IF(Append1!A114:I114="","",Append1!A114:I114)</f>
        <v/>
      </c>
      <c r="C115" s="3" t="str"/>
      <c r="D115" s="2" t="str"/>
      <c r="E115" s="2" t="str"/>
      <c r="F115" s="2" t="str"/>
      <c r="G115" s="2" t="str"/>
      <c r="H115" s="2" t="str"/>
      <c r="I115" s="2" t="str"/>
      <c r="J115" s="2" t="str"/>
      <c r="N115" s="2">
        <f>IF(Append1!J114="","",Append1!J114)</f>
        <v/>
      </c>
    </row>
    <row r="116">
      <c r="B116" s="2">
        <f t="array" ref="B116:J116">IF(Append1!A115:I115="","",Append1!A115:I115)</f>
        <v/>
      </c>
      <c r="C116" s="3" t="str"/>
      <c r="D116" s="2" t="str"/>
      <c r="E116" s="2" t="str"/>
      <c r="F116" s="2" t="str"/>
      <c r="G116" s="2" t="str"/>
      <c r="H116" s="2" t="str"/>
      <c r="I116" s="2" t="str"/>
      <c r="J116" s="2" t="str"/>
      <c r="N116" s="2">
        <f>IF(Append1!J115="","",Append1!J115)</f>
        <v/>
      </c>
    </row>
    <row r="117">
      <c r="B117" s="2">
        <f t="array" ref="B117:J117">IF(Append1!A116:I116="","",Append1!A116:I116)</f>
        <v/>
      </c>
      <c r="C117" s="3" t="str"/>
      <c r="D117" s="2" t="str"/>
      <c r="E117" s="2" t="str"/>
      <c r="F117" s="2" t="str"/>
      <c r="G117" s="2" t="str"/>
      <c r="H117" s="2" t="str"/>
      <c r="I117" s="2" t="str"/>
      <c r="J117" s="2" t="str"/>
      <c r="N117" s="2">
        <f>IF(Append1!J116="","",Append1!J116)</f>
        <v/>
      </c>
    </row>
    <row r="118">
      <c r="B118" s="2">
        <f t="array" ref="B118:J118">IF(Append1!A117:I117="","",Append1!A117:I117)</f>
        <v/>
      </c>
      <c r="C118" s="3" t="str"/>
      <c r="D118" s="2" t="str"/>
      <c r="E118" s="2" t="str"/>
      <c r="F118" s="2" t="str"/>
      <c r="G118" s="2" t="str"/>
      <c r="H118" s="2" t="str"/>
      <c r="I118" s="2" t="str"/>
      <c r="J118" s="2" t="str"/>
      <c r="N118" s="2">
        <f>IF(Append1!J117="","",Append1!J117)</f>
        <v/>
      </c>
    </row>
    <row r="119">
      <c r="B119" s="2">
        <f t="array" ref="B119:J119">IF(Append1!A118:I118="","",Append1!A118:I118)</f>
        <v/>
      </c>
      <c r="C119" s="3" t="str"/>
      <c r="D119" s="2" t="str"/>
      <c r="E119" s="2" t="str"/>
      <c r="F119" s="2" t="str"/>
      <c r="G119" s="2" t="str"/>
      <c r="H119" s="2" t="str"/>
      <c r="I119" s="2" t="str"/>
      <c r="J119" s="2" t="str"/>
      <c r="N119" s="2">
        <f>IF(Append1!J118="","",Append1!J118)</f>
        <v/>
      </c>
    </row>
    <row r="120">
      <c r="B120" s="2">
        <f t="array" ref="B120:J120">IF(Append1!A119:I119="","",Append1!A119:I119)</f>
        <v/>
      </c>
      <c r="C120" s="3" t="str"/>
      <c r="D120" s="2" t="str"/>
      <c r="E120" s="2" t="str"/>
      <c r="F120" s="2" t="str"/>
      <c r="G120" s="2" t="str"/>
      <c r="H120" s="2" t="str"/>
      <c r="I120" s="2" t="str"/>
      <c r="J120" s="2" t="str"/>
      <c r="N120" s="2">
        <f>IF(Append1!J119="","",Append1!J119)</f>
        <v/>
      </c>
    </row>
    <row r="121">
      <c r="B121" s="2">
        <f t="array" ref="B121:J121">IF(Append1!A120:I120="","",Append1!A120:I120)</f>
        <v/>
      </c>
      <c r="C121" s="3" t="str"/>
      <c r="D121" s="2" t="str"/>
      <c r="E121" s="2" t="str"/>
      <c r="F121" s="2" t="str"/>
      <c r="G121" s="2" t="str"/>
      <c r="H121" s="2" t="str"/>
      <c r="I121" s="2" t="str"/>
      <c r="J121" s="2" t="str"/>
      <c r="N121" s="2">
        <f>IF(Append1!J120="","",Append1!J120)</f>
        <v/>
      </c>
    </row>
    <row r="122">
      <c r="B122" s="2">
        <f t="array" ref="B122:J122">IF(Append1!A121:I121="","",Append1!A121:I121)</f>
        <v/>
      </c>
      <c r="C122" s="3" t="str"/>
      <c r="D122" s="2" t="str"/>
      <c r="E122" s="2" t="str"/>
      <c r="F122" s="2" t="str"/>
      <c r="G122" s="2" t="str"/>
      <c r="H122" s="2" t="str"/>
      <c r="I122" s="2" t="str"/>
      <c r="J122" s="2" t="str"/>
      <c r="N122" s="2">
        <f>IF(Append1!J121="","",Append1!J121)</f>
        <v/>
      </c>
    </row>
    <row r="123">
      <c r="B123" s="2">
        <f t="array" ref="B123:J123">IF(Append1!A122:I122="","",Append1!A122:I122)</f>
        <v/>
      </c>
      <c r="C123" s="3" t="str"/>
      <c r="D123" s="2" t="str"/>
      <c r="E123" s="2" t="str"/>
      <c r="F123" s="2" t="str"/>
      <c r="G123" s="2" t="str"/>
      <c r="H123" s="2" t="str"/>
      <c r="I123" s="2" t="str"/>
      <c r="J123" s="2" t="str"/>
      <c r="N123" s="2">
        <f>IF(Append1!J122="","",Append1!J122)</f>
        <v/>
      </c>
    </row>
    <row r="124">
      <c r="B124" s="2">
        <f t="array" ref="B124:J124">IF(Append1!A123:I123="","",Append1!A123:I123)</f>
        <v/>
      </c>
      <c r="C124" s="3" t="str"/>
      <c r="D124" s="2" t="str"/>
      <c r="E124" s="2" t="str"/>
      <c r="F124" s="2" t="str"/>
      <c r="G124" s="2" t="str"/>
      <c r="H124" s="2" t="str"/>
      <c r="I124" s="2" t="str"/>
      <c r="J124" s="2" t="str"/>
      <c r="N124" s="2">
        <f>IF(Append1!J123="","",Append1!J123)</f>
        <v/>
      </c>
    </row>
    <row r="125">
      <c r="B125" s="2">
        <f t="array" ref="B125:J125">IF(Append1!A124:I124="","",Append1!A124:I124)</f>
        <v/>
      </c>
      <c r="C125" s="3" t="str"/>
      <c r="D125" s="2" t="str"/>
      <c r="E125" s="2" t="str"/>
      <c r="F125" s="2" t="str"/>
      <c r="G125" s="2" t="str"/>
      <c r="H125" s="2" t="str"/>
      <c r="I125" s="2" t="str"/>
      <c r="J125" s="2" t="str"/>
      <c r="N125" s="2">
        <f>IF(Append1!J124="","",Append1!J124)</f>
        <v/>
      </c>
    </row>
    <row r="126">
      <c r="B126" s="2">
        <f t="array" ref="B126:J126">IF(Append1!A125:I125="","",Append1!A125:I125)</f>
        <v/>
      </c>
      <c r="C126" s="3" t="str"/>
      <c r="D126" s="2" t="str"/>
      <c r="E126" s="2" t="str"/>
      <c r="F126" s="2" t="str"/>
      <c r="G126" s="2" t="str"/>
      <c r="H126" s="2" t="str"/>
      <c r="I126" s="2" t="str"/>
      <c r="J126" s="2" t="str"/>
      <c r="N126" s="2">
        <f>IF(Append1!J125="","",Append1!J125)</f>
        <v/>
      </c>
    </row>
    <row r="127">
      <c r="B127" s="2">
        <f t="array" ref="B127:J127">IF(Append1!A126:I126="","",Append1!A126:I126)</f>
        <v/>
      </c>
      <c r="C127" s="3" t="str"/>
      <c r="D127" s="2" t="str"/>
      <c r="E127" s="2" t="str"/>
      <c r="F127" s="2" t="str"/>
      <c r="G127" s="2" t="str"/>
      <c r="H127" s="2" t="str"/>
      <c r="I127" s="2" t="str"/>
      <c r="J127" s="2" t="str"/>
      <c r="N127" s="2">
        <f>IF(Append1!J126="","",Append1!J126)</f>
        <v/>
      </c>
    </row>
    <row r="128">
      <c r="B128" s="2">
        <f t="array" ref="B128:J128">IF(Append1!A127:I127="","",Append1!A127:I127)</f>
        <v/>
      </c>
      <c r="C128" s="3" t="str"/>
      <c r="D128" s="2" t="str"/>
      <c r="E128" s="2" t="str"/>
      <c r="F128" s="2" t="str"/>
      <c r="G128" s="2" t="str"/>
      <c r="H128" s="2" t="str"/>
      <c r="I128" s="2" t="str"/>
      <c r="J128" s="2" t="str"/>
      <c r="N128" s="2">
        <f>IF(Append1!J127="","",Append1!J127)</f>
        <v/>
      </c>
    </row>
    <row r="129">
      <c r="B129" s="2">
        <f t="array" ref="B129:J129">IF(Append1!A128:I128="","",Append1!A128:I128)</f>
        <v/>
      </c>
      <c r="C129" s="3" t="str"/>
      <c r="D129" s="2" t="str"/>
      <c r="E129" s="2" t="str"/>
      <c r="F129" s="2" t="str"/>
      <c r="G129" s="2" t="str"/>
      <c r="H129" s="2" t="str"/>
      <c r="I129" s="2" t="str"/>
      <c r="J129" s="2" t="str"/>
      <c r="N129" s="2">
        <f>IF(Append1!J128="","",Append1!J128)</f>
        <v/>
      </c>
    </row>
    <row r="130">
      <c r="B130" s="2">
        <f t="array" ref="B130:J130">IF(Append1!A129:I129="","",Append1!A129:I129)</f>
        <v/>
      </c>
      <c r="C130" s="3" t="str"/>
      <c r="D130" s="2" t="str"/>
      <c r="E130" s="2" t="str"/>
      <c r="F130" s="2" t="str"/>
      <c r="G130" s="2" t="str"/>
      <c r="H130" s="2" t="str"/>
      <c r="I130" s="2" t="str"/>
      <c r="J130" s="2" t="str"/>
      <c r="N130" s="2">
        <f>IF(Append1!J129="","",Append1!J129)</f>
        <v/>
      </c>
    </row>
    <row r="131">
      <c r="B131" s="2">
        <f t="array" ref="B131:J131">IF(Append1!A130:I130="","",Append1!A130:I130)</f>
        <v/>
      </c>
      <c r="C131" s="3" t="str"/>
      <c r="D131" s="2" t="str"/>
      <c r="E131" s="2" t="str"/>
      <c r="F131" s="2" t="str"/>
      <c r="G131" s="2" t="str"/>
      <c r="H131" s="2" t="str"/>
      <c r="I131" s="2" t="str"/>
      <c r="J131" s="2" t="str"/>
      <c r="N131" s="2">
        <f>IF(Append1!J130="","",Append1!J130)</f>
        <v/>
      </c>
    </row>
    <row r="132">
      <c r="B132" s="2">
        <f t="array" ref="B132:J132">IF(Append1!A131:I131="","",Append1!A131:I131)</f>
        <v/>
      </c>
      <c r="C132" s="3" t="str"/>
      <c r="D132" s="2" t="str"/>
      <c r="E132" s="2" t="str"/>
      <c r="F132" s="2" t="str"/>
      <c r="G132" s="2" t="str"/>
      <c r="H132" s="2" t="str"/>
      <c r="I132" s="2" t="str"/>
      <c r="J132" s="2" t="str"/>
      <c r="N132" s="2">
        <f>IF(Append1!J131="","",Append1!J131)</f>
        <v/>
      </c>
    </row>
    <row r="133">
      <c r="B133" s="2">
        <f t="array" ref="B133:J133">IF(Append1!A132:I132="","",Append1!A132:I132)</f>
        <v/>
      </c>
      <c r="C133" s="3" t="str"/>
      <c r="D133" s="2" t="str"/>
      <c r="E133" s="2" t="str"/>
      <c r="F133" s="2" t="str"/>
      <c r="G133" s="2" t="str"/>
      <c r="H133" s="2" t="str"/>
      <c r="I133" s="2" t="str"/>
      <c r="J133" s="2" t="str"/>
      <c r="N133" s="2">
        <f>IF(Append1!J132="","",Append1!J132)</f>
        <v/>
      </c>
    </row>
    <row r="134">
      <c r="B134" s="2">
        <f t="array" ref="B134:J134">IF(Append1!A133:I133="","",Append1!A133:I133)</f>
        <v/>
      </c>
      <c r="C134" s="3" t="str"/>
      <c r="D134" s="2" t="str"/>
      <c r="E134" s="2" t="str"/>
      <c r="F134" s="2" t="str"/>
      <c r="G134" s="2" t="str"/>
      <c r="H134" s="2" t="str"/>
      <c r="I134" s="2" t="str"/>
      <c r="J134" s="2" t="str"/>
      <c r="N134" s="2">
        <f>IF(Append1!J133="","",Append1!J133)</f>
        <v/>
      </c>
    </row>
    <row r="135">
      <c r="B135" s="2">
        <f t="array" ref="B135:J135">IF(Append1!A134:I134="","",Append1!A134:I134)</f>
        <v/>
      </c>
      <c r="C135" s="3" t="str"/>
      <c r="D135" s="2" t="str"/>
      <c r="E135" s="2" t="str"/>
      <c r="F135" s="2" t="str"/>
      <c r="G135" s="2" t="str"/>
      <c r="H135" s="2" t="str"/>
      <c r="I135" s="2" t="str"/>
      <c r="J135" s="2" t="str"/>
      <c r="N135" s="2">
        <f>IF(Append1!J134="","",Append1!J134)</f>
        <v/>
      </c>
    </row>
    <row r="136">
      <c r="B136" s="2">
        <f t="array" ref="B136:J136">IF(Append1!A135:I135="","",Append1!A135:I135)</f>
        <v/>
      </c>
      <c r="C136" s="3" t="str"/>
      <c r="D136" s="2" t="str"/>
      <c r="E136" s="2" t="str"/>
      <c r="F136" s="2" t="str"/>
      <c r="G136" s="2" t="str"/>
      <c r="H136" s="2" t="str"/>
      <c r="I136" s="2" t="str"/>
      <c r="J136" s="2" t="str"/>
      <c r="N136" s="2">
        <f>IF(Append1!J135="","",Append1!J135)</f>
        <v/>
      </c>
    </row>
    <row r="137">
      <c r="B137" s="2">
        <f t="array" ref="B137:J137">IF(Append1!A136:I136="","",Append1!A136:I136)</f>
        <v/>
      </c>
      <c r="C137" s="3" t="str"/>
      <c r="D137" s="2" t="str"/>
      <c r="E137" s="2" t="str"/>
      <c r="F137" s="2" t="str"/>
      <c r="G137" s="2" t="str"/>
      <c r="H137" s="2" t="str"/>
      <c r="I137" s="2" t="str"/>
      <c r="J137" s="2" t="str"/>
      <c r="N137" s="2">
        <f>IF(Append1!J136="","",Append1!J136)</f>
        <v/>
      </c>
    </row>
    <row r="138">
      <c r="B138" s="2">
        <f t="array" ref="B138:J138">IF(Append1!A137:I137="","",Append1!A137:I137)</f>
        <v/>
      </c>
      <c r="C138" s="3" t="str"/>
      <c r="D138" s="2" t="str"/>
      <c r="E138" s="2" t="str"/>
      <c r="F138" s="2" t="str"/>
      <c r="G138" s="2" t="str"/>
      <c r="H138" s="2" t="str"/>
      <c r="I138" s="2" t="str"/>
      <c r="J138" s="2" t="str"/>
      <c r="N138" s="2">
        <f>IF(Append1!J137="","",Append1!J137)</f>
        <v/>
      </c>
    </row>
    <row r="139">
      <c r="B139" s="2">
        <f t="array" ref="B139:J139">IF(Append1!A138:I138="","",Append1!A138:I138)</f>
        <v/>
      </c>
      <c r="C139" s="3" t="str"/>
      <c r="D139" s="2" t="str"/>
      <c r="E139" s="2" t="str"/>
      <c r="F139" s="2" t="str"/>
      <c r="G139" s="2" t="str"/>
      <c r="H139" s="2" t="str"/>
      <c r="I139" s="2" t="str"/>
      <c r="J139" s="2" t="str"/>
      <c r="N139" s="2">
        <f>IF(Append1!J138="","",Append1!J138)</f>
        <v/>
      </c>
    </row>
    <row r="140">
      <c r="B140" s="2">
        <f t="array" ref="B140:J140">IF(Append1!A139:I139="","",Append1!A139:I139)</f>
        <v/>
      </c>
      <c r="C140" s="3" t="str"/>
      <c r="D140" s="2" t="str"/>
      <c r="E140" s="2" t="str"/>
      <c r="F140" s="2" t="str"/>
      <c r="G140" s="2" t="str"/>
      <c r="H140" s="2" t="str"/>
      <c r="I140" s="2" t="str"/>
      <c r="J140" s="2" t="str"/>
      <c r="N140" s="2">
        <f>IF(Append1!J139="","",Append1!J139)</f>
        <v/>
      </c>
    </row>
    <row r="141">
      <c r="B141" s="2">
        <f t="array" ref="B141:J141">IF(Append1!A140:I140="","",Append1!A140:I140)</f>
        <v/>
      </c>
      <c r="C141" s="3" t="str"/>
      <c r="D141" s="2" t="str"/>
      <c r="E141" s="2" t="str"/>
      <c r="F141" s="2" t="str"/>
      <c r="G141" s="2" t="str"/>
      <c r="H141" s="2" t="str"/>
      <c r="I141" s="2" t="str"/>
      <c r="J141" s="2" t="str"/>
      <c r="N141" s="2">
        <f>IF(Append1!J140="","",Append1!J140)</f>
        <v/>
      </c>
    </row>
    <row r="142">
      <c r="B142" s="2">
        <f t="array" ref="B142:J142">IF(Append1!A141:I141="","",Append1!A141:I141)</f>
        <v/>
      </c>
      <c r="C142" s="3" t="str"/>
      <c r="D142" s="2" t="str"/>
      <c r="E142" s="2" t="str"/>
      <c r="F142" s="2" t="str"/>
      <c r="G142" s="2" t="str"/>
      <c r="H142" s="2" t="str"/>
      <c r="I142" s="2" t="str"/>
      <c r="J142" s="2" t="str"/>
      <c r="N142" s="2">
        <f>IF(Append1!J141="","",Append1!J141)</f>
        <v/>
      </c>
    </row>
    <row r="143">
      <c r="B143" s="2">
        <f t="array" ref="B143:J143">IF(Append1!A142:I142="","",Append1!A142:I142)</f>
        <v/>
      </c>
      <c r="C143" s="3" t="str"/>
      <c r="D143" s="2" t="str"/>
      <c r="E143" s="2" t="str"/>
      <c r="F143" s="2" t="str"/>
      <c r="G143" s="2" t="str"/>
      <c r="H143" s="2" t="str"/>
      <c r="I143" s="2" t="str"/>
      <c r="J143" s="2" t="str"/>
      <c r="N143" s="2">
        <f>IF(Append1!J142="","",Append1!J142)</f>
        <v/>
      </c>
    </row>
    <row r="144">
      <c r="B144" s="2">
        <f t="array" ref="B144:J144">IF(Append1!A143:I143="","",Append1!A143:I143)</f>
        <v/>
      </c>
      <c r="C144" s="3" t="str"/>
      <c r="D144" s="2" t="str"/>
      <c r="E144" s="2" t="str"/>
      <c r="F144" s="2" t="str"/>
      <c r="G144" s="2" t="str"/>
      <c r="H144" s="2" t="str"/>
      <c r="I144" s="2" t="str"/>
      <c r="J144" s="2" t="str"/>
      <c r="N144" s="2">
        <f>IF(Append1!J143="","",Append1!J143)</f>
        <v/>
      </c>
    </row>
    <row r="145">
      <c r="B145" s="2">
        <f t="array" ref="B145:J145">IF(Append1!A144:I144="","",Append1!A144:I144)</f>
        <v/>
      </c>
      <c r="C145" s="3" t="str"/>
      <c r="D145" s="2" t="str"/>
      <c r="E145" s="2" t="str"/>
      <c r="F145" s="2" t="str"/>
      <c r="G145" s="2" t="str"/>
      <c r="H145" s="2" t="str"/>
      <c r="I145" s="2" t="str"/>
      <c r="J145" s="2" t="str"/>
      <c r="N145" s="2">
        <f>IF(Append1!J144="","",Append1!J144)</f>
        <v/>
      </c>
    </row>
    <row r="146">
      <c r="B146" s="2">
        <f t="array" ref="B146:J146">IF(Append1!A145:I145="","",Append1!A145:I145)</f>
        <v/>
      </c>
      <c r="C146" s="3" t="str"/>
      <c r="D146" s="2" t="str"/>
      <c r="E146" s="2" t="str"/>
      <c r="F146" s="2" t="str"/>
      <c r="G146" s="2" t="str"/>
      <c r="H146" s="2" t="str"/>
      <c r="I146" s="2" t="str"/>
      <c r="J146" s="2" t="str"/>
      <c r="N146" s="2">
        <f>IF(Append1!J145="","",Append1!J145)</f>
        <v/>
      </c>
    </row>
    <row r="147">
      <c r="B147" s="2">
        <f t="array" ref="B147:J147">IF(Append1!A146:I146="","",Append1!A146:I146)</f>
        <v/>
      </c>
      <c r="C147" s="3" t="str"/>
      <c r="D147" s="2" t="str"/>
      <c r="E147" s="2" t="str"/>
      <c r="F147" s="2" t="str"/>
      <c r="G147" s="2" t="str"/>
      <c r="H147" s="2" t="str"/>
      <c r="I147" s="2" t="str"/>
      <c r="J147" s="2" t="str"/>
      <c r="N147" s="2">
        <f>IF(Append1!J146="","",Append1!J146)</f>
        <v/>
      </c>
    </row>
    <row r="148">
      <c r="B148" s="2">
        <f t="array" ref="B148:J148">IF(Append1!A147:I147="","",Append1!A147:I147)</f>
        <v/>
      </c>
      <c r="C148" s="3" t="str"/>
      <c r="D148" s="2" t="str"/>
      <c r="E148" s="2" t="str"/>
      <c r="F148" s="2" t="str"/>
      <c r="G148" s="2" t="str"/>
      <c r="H148" s="2" t="str"/>
      <c r="I148" s="2" t="str"/>
      <c r="J148" s="2" t="str"/>
      <c r="N148" s="2">
        <f>IF(Append1!J147="","",Append1!J147)</f>
        <v/>
      </c>
    </row>
    <row r="149">
      <c r="B149" s="2">
        <f t="array" ref="B149:J149">IF(Append1!A148:I148="","",Append1!A148:I148)</f>
        <v/>
      </c>
      <c r="C149" s="3" t="str"/>
      <c r="D149" s="2" t="str"/>
      <c r="E149" s="2" t="str"/>
      <c r="F149" s="2" t="str"/>
      <c r="G149" s="2" t="str"/>
      <c r="H149" s="2" t="str"/>
      <c r="I149" s="2" t="str"/>
      <c r="J149" s="2" t="str"/>
      <c r="N149" s="2">
        <f>IF(Append1!J148="","",Append1!J148)</f>
        <v/>
      </c>
    </row>
    <row r="150">
      <c r="B150" s="2">
        <f t="array" ref="B150:J150">IF(Append1!A149:I149="","",Append1!A149:I149)</f>
        <v/>
      </c>
      <c r="C150" s="3" t="str"/>
      <c r="D150" s="2" t="str"/>
      <c r="E150" s="2" t="str"/>
      <c r="F150" s="2" t="str"/>
      <c r="G150" s="2" t="str"/>
      <c r="H150" s="2" t="str"/>
      <c r="I150" s="2" t="str"/>
      <c r="J150" s="2" t="str"/>
      <c r="N150" s="2">
        <f>IF(Append1!J149="","",Append1!J149)</f>
        <v/>
      </c>
    </row>
    <row r="151">
      <c r="B151" s="2">
        <f t="array" ref="B151:J151">IF(Append1!A150:I150="","",Append1!A150:I150)</f>
        <v/>
      </c>
      <c r="C151" s="3" t="str"/>
      <c r="D151" s="2" t="str"/>
      <c r="E151" s="2" t="str"/>
      <c r="F151" s="2" t="str"/>
      <c r="G151" s="2" t="str"/>
      <c r="H151" s="2" t="str"/>
      <c r="I151" s="2" t="str"/>
      <c r="J151" s="2" t="str"/>
      <c r="N151" s="2">
        <f>IF(Append1!J150="","",Append1!J150)</f>
        <v/>
      </c>
    </row>
    <row r="152">
      <c r="B152" s="2">
        <f t="array" ref="B152:J152">IF(Append1!A151:I151="","",Append1!A151:I151)</f>
        <v/>
      </c>
      <c r="C152" s="3" t="str"/>
      <c r="D152" s="2" t="str"/>
      <c r="E152" s="2" t="str"/>
      <c r="F152" s="2" t="str"/>
      <c r="G152" s="2" t="str"/>
      <c r="H152" s="2" t="str"/>
      <c r="I152" s="2" t="str"/>
      <c r="J152" s="2" t="str"/>
      <c r="N152" s="2">
        <f>IF(Append1!J151="","",Append1!J151)</f>
        <v/>
      </c>
    </row>
    <row r="153">
      <c r="B153" s="2">
        <f t="array" ref="B153:J153">IF(Append1!A152:I152="","",Append1!A152:I152)</f>
        <v/>
      </c>
      <c r="C153" s="3" t="str"/>
      <c r="D153" s="2" t="str"/>
      <c r="E153" s="2" t="str"/>
      <c r="F153" s="2" t="str"/>
      <c r="G153" s="2" t="str"/>
      <c r="H153" s="2" t="str"/>
      <c r="I153" s="2" t="str"/>
      <c r="J153" s="2" t="str"/>
      <c r="N153" s="2">
        <f>IF(Append1!J152="","",Append1!J152)</f>
        <v/>
      </c>
    </row>
    <row r="154">
      <c r="B154" s="2">
        <f t="array" ref="B154:J154">IF(Append1!A153:I153="","",Append1!A153:I153)</f>
        <v/>
      </c>
      <c r="C154" s="3" t="str"/>
      <c r="D154" s="2" t="str"/>
      <c r="E154" s="2" t="str"/>
      <c r="F154" s="2" t="str"/>
      <c r="G154" s="2" t="str"/>
      <c r="H154" s="2" t="str"/>
      <c r="I154" s="2" t="str"/>
      <c r="J154" s="2" t="str"/>
      <c r="N154" s="2">
        <f>IF(Append1!J153="","",Append1!J153)</f>
        <v/>
      </c>
    </row>
    <row r="155">
      <c r="B155" s="2">
        <f t="array" ref="B155:J155">IF(Append1!A154:I154="","",Append1!A154:I154)</f>
        <v/>
      </c>
      <c r="C155" s="3" t="str"/>
      <c r="D155" s="2" t="str"/>
      <c r="E155" s="2" t="str"/>
      <c r="F155" s="2" t="str"/>
      <c r="G155" s="2" t="str"/>
      <c r="H155" s="2" t="str"/>
      <c r="I155" s="2" t="str"/>
      <c r="J155" s="2" t="str"/>
      <c r="N155" s="2">
        <f>IF(Append1!J154="","",Append1!J154)</f>
        <v/>
      </c>
    </row>
    <row r="156">
      <c r="B156" s="2">
        <f t="array" ref="B156:J156">IF(Append1!A155:I155="","",Append1!A155:I155)</f>
        <v/>
      </c>
      <c r="C156" s="3" t="str"/>
      <c r="D156" s="2" t="str"/>
      <c r="E156" s="2" t="str"/>
      <c r="F156" s="2" t="str"/>
      <c r="G156" s="2" t="str"/>
      <c r="H156" s="2" t="str"/>
      <c r="I156" s="2" t="str"/>
      <c r="J156" s="2" t="str"/>
      <c r="N156" s="2">
        <f>IF(Append1!J155="","",Append1!J155)</f>
        <v/>
      </c>
    </row>
    <row r="157">
      <c r="B157" s="2">
        <f t="array" ref="B157:J157">IF(Append1!A156:I156="","",Append1!A156:I156)</f>
        <v/>
      </c>
      <c r="C157" s="3" t="str"/>
      <c r="D157" s="2" t="str"/>
      <c r="E157" s="2" t="str"/>
      <c r="F157" s="2" t="str"/>
      <c r="G157" s="2" t="str"/>
      <c r="H157" s="2" t="str"/>
      <c r="I157" s="2" t="str"/>
      <c r="J157" s="2" t="str"/>
      <c r="N157" s="2">
        <f>IF(Append1!J156="","",Append1!J156)</f>
        <v/>
      </c>
    </row>
    <row r="158">
      <c r="B158" s="2">
        <f t="array" ref="B158:J158">IF(Append1!A157:I157="","",Append1!A157:I157)</f>
        <v/>
      </c>
      <c r="C158" s="3" t="str"/>
      <c r="D158" s="2" t="str"/>
      <c r="E158" s="2" t="str"/>
      <c r="F158" s="2" t="str"/>
      <c r="G158" s="2" t="str"/>
      <c r="H158" s="2" t="str"/>
      <c r="I158" s="2" t="str"/>
      <c r="J158" s="2" t="str"/>
      <c r="N158" s="2">
        <f>IF(Append1!J157="","",Append1!J157)</f>
        <v/>
      </c>
    </row>
    <row r="159">
      <c r="B159" s="2">
        <f t="array" ref="B159:J159">IF(Append1!A158:I158="","",Append1!A158:I158)</f>
        <v/>
      </c>
      <c r="C159" s="3" t="str"/>
      <c r="D159" s="2" t="str"/>
      <c r="E159" s="2" t="str"/>
      <c r="F159" s="2" t="str"/>
      <c r="G159" s="2" t="str"/>
      <c r="H159" s="2" t="str"/>
      <c r="I159" s="2" t="str"/>
      <c r="J159" s="2" t="str"/>
      <c r="N159" s="2">
        <f>IF(Append1!J158="","",Append1!J158)</f>
        <v/>
      </c>
    </row>
    <row r="160">
      <c r="B160" s="2">
        <f t="array" ref="B160:J160">IF(Append1!A159:I159="","",Append1!A159:I159)</f>
        <v/>
      </c>
      <c r="C160" s="3" t="str"/>
      <c r="D160" s="2" t="str"/>
      <c r="E160" s="2" t="str"/>
      <c r="F160" s="2" t="str"/>
      <c r="G160" s="2" t="str"/>
      <c r="H160" s="2" t="str"/>
      <c r="I160" s="2" t="str"/>
      <c r="J160" s="2" t="str"/>
      <c r="N160" s="2">
        <f>IF(Append1!J159="","",Append1!J159)</f>
        <v/>
      </c>
    </row>
    <row r="161">
      <c r="B161" s="2">
        <f t="array" ref="B161:J161">IF(Append1!A160:I160="","",Append1!A160:I160)</f>
        <v/>
      </c>
      <c r="C161" s="3" t="str"/>
      <c r="D161" s="2" t="str"/>
      <c r="E161" s="2" t="str"/>
      <c r="F161" s="2" t="str"/>
      <c r="G161" s="2" t="str"/>
      <c r="H161" s="2" t="str"/>
      <c r="I161" s="2" t="str"/>
      <c r="J161" s="2" t="str"/>
      <c r="N161" s="2">
        <f>IF(Append1!J160="","",Append1!J160)</f>
        <v/>
      </c>
    </row>
    <row r="162">
      <c r="B162" s="2">
        <f t="array" ref="B162:J162">IF(Append1!A161:I161="","",Append1!A161:I161)</f>
        <v/>
      </c>
      <c r="C162" s="3" t="str"/>
      <c r="D162" s="2" t="str"/>
      <c r="E162" s="2" t="str"/>
      <c r="F162" s="2" t="str"/>
      <c r="G162" s="2" t="str"/>
      <c r="H162" s="2" t="str"/>
      <c r="I162" s="2" t="str"/>
      <c r="J162" s="2" t="str"/>
      <c r="N162" s="2">
        <f>IF(Append1!J161="","",Append1!J161)</f>
        <v/>
      </c>
    </row>
    <row r="163">
      <c r="B163" s="2">
        <f t="array" ref="B163:J163">IF(Append1!A162:I162="","",Append1!A162:I162)</f>
        <v/>
      </c>
      <c r="C163" s="3" t="str"/>
      <c r="D163" s="2" t="str"/>
      <c r="E163" s="2" t="str"/>
      <c r="F163" s="2" t="str"/>
      <c r="G163" s="2" t="str"/>
      <c r="H163" s="2" t="str"/>
      <c r="I163" s="2" t="str"/>
      <c r="J163" s="2" t="str"/>
      <c r="N163" s="2">
        <f>IF(Append1!J162="","",Append1!J162)</f>
        <v/>
      </c>
    </row>
    <row r="164">
      <c r="B164" s="2">
        <f t="array" ref="B164:J164">IF(Append1!A163:I163="","",Append1!A163:I163)</f>
        <v/>
      </c>
      <c r="C164" s="3" t="str"/>
      <c r="D164" s="2" t="str"/>
      <c r="E164" s="2" t="str"/>
      <c r="F164" s="2" t="str"/>
      <c r="G164" s="2" t="str"/>
      <c r="H164" s="2" t="str"/>
      <c r="I164" s="2" t="str"/>
      <c r="J164" s="2" t="str"/>
      <c r="N164" s="2">
        <f>IF(Append1!J163="","",Append1!J163)</f>
        <v/>
      </c>
    </row>
    <row r="165">
      <c r="B165" s="2">
        <f t="array" ref="B165:J165">IF(Append1!A164:I164="","",Append1!A164:I164)</f>
        <v/>
      </c>
      <c r="C165" s="3" t="str"/>
      <c r="D165" s="2" t="str"/>
      <c r="E165" s="2" t="str"/>
      <c r="F165" s="2" t="str"/>
      <c r="G165" s="2" t="str"/>
      <c r="H165" s="2" t="str"/>
      <c r="I165" s="2" t="str"/>
      <c r="J165" s="2" t="str"/>
      <c r="N165" s="2">
        <f>IF(Append1!J164="","",Append1!J164)</f>
        <v/>
      </c>
    </row>
    <row r="166">
      <c r="B166" s="2">
        <f t="array" ref="B166:J166">IF(Append1!A165:I165="","",Append1!A165:I165)</f>
        <v/>
      </c>
      <c r="C166" s="3" t="str"/>
      <c r="D166" s="2" t="str"/>
      <c r="E166" s="2" t="str"/>
      <c r="F166" s="2" t="str"/>
      <c r="G166" s="2" t="str"/>
      <c r="H166" s="2" t="str"/>
      <c r="I166" s="2" t="str"/>
      <c r="J166" s="2" t="str"/>
      <c r="N166" s="2">
        <f>IF(Append1!J165="","",Append1!J165)</f>
        <v/>
      </c>
    </row>
    <row r="167">
      <c r="B167" s="2">
        <f t="array" ref="B167:J167">IF(Append1!A166:I166="","",Append1!A166:I166)</f>
        <v/>
      </c>
      <c r="C167" s="3" t="str"/>
      <c r="D167" s="2" t="str"/>
      <c r="E167" s="2" t="str"/>
      <c r="F167" s="2" t="str"/>
      <c r="G167" s="2" t="str"/>
      <c r="H167" s="2" t="str"/>
      <c r="I167" s="2" t="str"/>
      <c r="J167" s="2" t="str"/>
      <c r="N167" s="2">
        <f>IF(Append1!J166="","",Append1!J166)</f>
        <v/>
      </c>
    </row>
    <row r="168">
      <c r="B168" s="2">
        <f t="array" ref="B168:J168">IF(Append1!A167:I167="","",Append1!A167:I167)</f>
        <v/>
      </c>
      <c r="C168" s="3" t="str"/>
      <c r="D168" s="2" t="str"/>
      <c r="E168" s="2" t="str"/>
      <c r="F168" s="2" t="str"/>
      <c r="G168" s="2" t="str"/>
      <c r="H168" s="2" t="str"/>
      <c r="I168" s="2" t="str"/>
      <c r="J168" s="2" t="str"/>
      <c r="N168" s="2">
        <f>IF(Append1!J167="","",Append1!J167)</f>
        <v/>
      </c>
    </row>
    <row r="169">
      <c r="B169" s="2">
        <f t="array" ref="B169:J169">IF(Append1!A168:I168="","",Append1!A168:I168)</f>
        <v/>
      </c>
      <c r="C169" s="3" t="str"/>
      <c r="D169" s="2" t="str"/>
      <c r="E169" s="2" t="str"/>
      <c r="F169" s="2" t="str"/>
      <c r="G169" s="2" t="str"/>
      <c r="H169" s="2" t="str"/>
      <c r="I169" s="2" t="str"/>
      <c r="J169" s="2" t="str"/>
      <c r="N169" s="2">
        <f>IF(Append1!J168="","",Append1!J168)</f>
        <v/>
      </c>
    </row>
    <row r="170">
      <c r="B170" s="2">
        <f t="array" ref="B170:J170">IF(Append1!A169:I169="","",Append1!A169:I169)</f>
        <v/>
      </c>
      <c r="C170" s="3" t="str"/>
      <c r="D170" s="2" t="str"/>
      <c r="E170" s="2" t="str"/>
      <c r="F170" s="2" t="str"/>
      <c r="G170" s="2" t="str"/>
      <c r="H170" s="2" t="str"/>
      <c r="I170" s="2" t="str"/>
      <c r="J170" s="2" t="str"/>
      <c r="N170" s="2">
        <f>IF(Append1!J169="","",Append1!J169)</f>
        <v/>
      </c>
    </row>
    <row r="171">
      <c r="B171" s="2">
        <f t="array" ref="B171:J171">IF(Append1!A170:I170="","",Append1!A170:I170)</f>
        <v/>
      </c>
      <c r="C171" s="3" t="str"/>
      <c r="D171" s="2" t="str"/>
      <c r="E171" s="2" t="str"/>
      <c r="F171" s="2" t="str"/>
      <c r="G171" s="2" t="str"/>
      <c r="H171" s="2" t="str"/>
      <c r="I171" s="2" t="str"/>
      <c r="J171" s="2" t="str"/>
      <c r="N171" s="2">
        <f>IF(Append1!J170="","",Append1!J170)</f>
        <v/>
      </c>
    </row>
    <row r="172">
      <c r="B172" s="2">
        <f t="array" ref="B172:J172">IF(Append1!A171:I171="","",Append1!A171:I171)</f>
        <v/>
      </c>
      <c r="C172" s="3" t="str"/>
      <c r="D172" s="2" t="str"/>
      <c r="E172" s="2" t="str"/>
      <c r="F172" s="2" t="str"/>
      <c r="G172" s="2" t="str"/>
      <c r="H172" s="2" t="str"/>
      <c r="I172" s="2" t="str"/>
      <c r="J172" s="2" t="str"/>
      <c r="N172" s="2">
        <f>IF(Append1!J171="","",Append1!J171)</f>
        <v/>
      </c>
    </row>
    <row r="173">
      <c r="B173" s="2">
        <f t="array" ref="B173:J173">IF(Append1!A172:I172="","",Append1!A172:I172)</f>
        <v/>
      </c>
      <c r="C173" s="3" t="str"/>
      <c r="D173" s="2" t="str"/>
      <c r="E173" s="2" t="str"/>
      <c r="F173" s="2" t="str"/>
      <c r="G173" s="2" t="str"/>
      <c r="H173" s="2" t="str"/>
      <c r="I173" s="2" t="str"/>
      <c r="J173" s="2" t="str"/>
      <c r="N173" s="2">
        <f>IF(Append1!J172="","",Append1!J172)</f>
        <v/>
      </c>
    </row>
    <row r="174">
      <c r="B174" s="2">
        <f t="array" ref="B174:J174">IF(Append1!A173:I173="","",Append1!A173:I173)</f>
        <v/>
      </c>
      <c r="C174" s="3" t="str"/>
      <c r="D174" s="2" t="str"/>
      <c r="E174" s="2" t="str"/>
      <c r="F174" s="2" t="str"/>
      <c r="G174" s="2" t="str"/>
      <c r="H174" s="2" t="str"/>
      <c r="I174" s="2" t="str"/>
      <c r="J174" s="2" t="str"/>
      <c r="N174" s="2">
        <f>IF(Append1!J173="","",Append1!J173)</f>
        <v/>
      </c>
    </row>
    <row r="175">
      <c r="B175" s="2">
        <f t="array" ref="B175:J175">IF(Append1!A174:I174="","",Append1!A174:I174)</f>
        <v/>
      </c>
      <c r="C175" s="3" t="str"/>
      <c r="D175" s="2" t="str"/>
      <c r="E175" s="2" t="str"/>
      <c r="F175" s="2" t="str"/>
      <c r="G175" s="2" t="str"/>
      <c r="H175" s="2" t="str"/>
      <c r="I175" s="2" t="str"/>
      <c r="J175" s="2" t="str"/>
      <c r="N175" s="2">
        <f>IF(Append1!J174="","",Append1!J174)</f>
        <v/>
      </c>
    </row>
    <row r="176">
      <c r="B176" s="2">
        <f t="array" ref="B176:J176">IF(Append1!A175:I175="","",Append1!A175:I175)</f>
        <v/>
      </c>
      <c r="C176" s="3" t="str"/>
      <c r="D176" s="2" t="str"/>
      <c r="E176" s="2" t="str"/>
      <c r="F176" s="2" t="str"/>
      <c r="G176" s="2" t="str"/>
      <c r="H176" s="2" t="str"/>
      <c r="I176" s="2" t="str"/>
      <c r="J176" s="2" t="str"/>
      <c r="N176" s="2">
        <f>IF(Append1!J175="","",Append1!J175)</f>
        <v/>
      </c>
    </row>
    <row r="177">
      <c r="B177" s="2">
        <f t="array" ref="B177:J177">IF(Append1!A176:I176="","",Append1!A176:I176)</f>
        <v/>
      </c>
      <c r="C177" s="3" t="str"/>
      <c r="D177" s="2" t="str"/>
      <c r="E177" s="2" t="str"/>
      <c r="F177" s="2" t="str"/>
      <c r="G177" s="2" t="str"/>
      <c r="H177" s="2" t="str"/>
      <c r="I177" s="2" t="str"/>
      <c r="J177" s="2" t="str"/>
      <c r="N177" s="2">
        <f>IF(Append1!J176="","",Append1!J176)</f>
        <v/>
      </c>
    </row>
    <row r="178">
      <c r="B178" s="2">
        <f t="array" ref="B178:J178">IF(Append1!A177:I177="","",Append1!A177:I177)</f>
        <v/>
      </c>
      <c r="C178" s="3" t="str"/>
      <c r="D178" s="2" t="str"/>
      <c r="E178" s="2" t="str"/>
      <c r="F178" s="2" t="str"/>
      <c r="G178" s="2" t="str"/>
      <c r="H178" s="2" t="str"/>
      <c r="I178" s="2" t="str"/>
      <c r="J178" s="2" t="str"/>
      <c r="N178" s="2">
        <f>IF(Append1!J177="","",Append1!J177)</f>
        <v/>
      </c>
    </row>
    <row r="179">
      <c r="B179" s="2">
        <f t="array" ref="B179:J179">IF(Append1!A178:I178="","",Append1!A178:I178)</f>
        <v/>
      </c>
      <c r="C179" s="3" t="str"/>
      <c r="D179" s="2" t="str"/>
      <c r="E179" s="2" t="str"/>
      <c r="F179" s="2" t="str"/>
      <c r="G179" s="2" t="str"/>
      <c r="H179" s="2" t="str"/>
      <c r="I179" s="2" t="str"/>
      <c r="J179" s="2" t="str"/>
      <c r="N179" s="2">
        <f>IF(Append1!J178="","",Append1!J178)</f>
        <v/>
      </c>
    </row>
    <row r="180">
      <c r="B180" s="2">
        <f t="array" ref="B180:J180">IF(Append1!A179:I179="","",Append1!A179:I179)</f>
        <v/>
      </c>
      <c r="C180" s="3" t="str"/>
      <c r="D180" s="2" t="str"/>
      <c r="E180" s="2" t="str"/>
      <c r="F180" s="2" t="str"/>
      <c r="G180" s="2" t="str"/>
      <c r="H180" s="2" t="str"/>
      <c r="I180" s="2" t="str"/>
      <c r="J180" s="2" t="str"/>
      <c r="N180" s="2">
        <f>IF(Append1!J179="","",Append1!J179)</f>
        <v/>
      </c>
    </row>
    <row r="181">
      <c r="B181" s="2">
        <f t="array" ref="B181:J181">IF(Append1!A180:I180="","",Append1!A180:I180)</f>
        <v/>
      </c>
      <c r="C181" s="3" t="str"/>
      <c r="D181" s="2" t="str"/>
      <c r="E181" s="2" t="str"/>
      <c r="F181" s="2" t="str"/>
      <c r="G181" s="2" t="str"/>
      <c r="H181" s="2" t="str"/>
      <c r="I181" s="2" t="str"/>
      <c r="J181" s="2" t="str"/>
      <c r="N181" s="2">
        <f>IF(Append1!J180="","",Append1!J180)</f>
        <v/>
      </c>
    </row>
    <row r="182">
      <c r="B182" s="2">
        <f t="array" ref="B182:J182">IF(Append1!A181:I181="","",Append1!A181:I181)</f>
        <v/>
      </c>
      <c r="C182" s="3" t="str"/>
      <c r="D182" s="2" t="str"/>
      <c r="E182" s="2" t="str"/>
      <c r="F182" s="2" t="str"/>
      <c r="G182" s="2" t="str"/>
      <c r="H182" s="2" t="str"/>
      <c r="I182" s="2" t="str"/>
      <c r="J182" s="2" t="str"/>
      <c r="N182" s="2">
        <f>IF(Append1!J181="","",Append1!J181)</f>
        <v/>
      </c>
    </row>
    <row r="183">
      <c r="B183" s="2">
        <f t="array" ref="B183:J183">IF(Append1!A182:I182="","",Append1!A182:I182)</f>
        <v/>
      </c>
      <c r="C183" s="3" t="str"/>
      <c r="D183" s="2" t="str"/>
      <c r="E183" s="2" t="str"/>
      <c r="F183" s="2" t="str"/>
      <c r="G183" s="2" t="str"/>
      <c r="H183" s="2" t="str"/>
      <c r="I183" s="2" t="str"/>
      <c r="J183" s="2" t="str"/>
      <c r="N183" s="2">
        <f>IF(Append1!J182="","",Append1!J182)</f>
        <v/>
      </c>
    </row>
    <row r="184">
      <c r="B184" s="2">
        <f t="array" ref="B184:J184">IF(Append1!A183:I183="","",Append1!A183:I183)</f>
        <v/>
      </c>
      <c r="C184" s="3" t="str"/>
      <c r="D184" s="2" t="str"/>
      <c r="E184" s="2" t="str"/>
      <c r="F184" s="2" t="str"/>
      <c r="G184" s="2" t="str"/>
      <c r="H184" s="2" t="str"/>
      <c r="I184" s="2" t="str"/>
      <c r="J184" s="2" t="str"/>
      <c r="N184" s="2">
        <f>IF(Append1!J183="","",Append1!J183)</f>
        <v/>
      </c>
    </row>
    <row r="185">
      <c r="B185" s="2">
        <f t="array" ref="B185:J185">IF(Append1!A184:I184="","",Append1!A184:I184)</f>
        <v/>
      </c>
      <c r="C185" s="3" t="str"/>
      <c r="D185" s="2" t="str"/>
      <c r="E185" s="2" t="str"/>
      <c r="F185" s="2" t="str"/>
      <c r="G185" s="2" t="str"/>
      <c r="H185" s="2" t="str"/>
      <c r="I185" s="2" t="str"/>
      <c r="J185" s="2" t="str"/>
      <c r="N185" s="2">
        <f>IF(Append1!J184="","",Append1!J184)</f>
        <v/>
      </c>
    </row>
    <row r="186">
      <c r="B186" s="2">
        <f t="array" ref="B186:J186">IF(Append1!A185:I185="","",Append1!A185:I185)</f>
        <v/>
      </c>
      <c r="C186" s="3" t="str"/>
      <c r="D186" s="2" t="str"/>
      <c r="E186" s="2" t="str"/>
      <c r="F186" s="2" t="str"/>
      <c r="G186" s="2" t="str"/>
      <c r="H186" s="2" t="str"/>
      <c r="I186" s="2" t="str"/>
      <c r="J186" s="2" t="str"/>
      <c r="N186" s="2">
        <f>IF(Append1!J185="","",Append1!J185)</f>
        <v/>
      </c>
    </row>
    <row r="187">
      <c r="B187" s="2">
        <f t="array" ref="B187:J187">IF(Append1!A186:I186="","",Append1!A186:I186)</f>
        <v/>
      </c>
      <c r="C187" s="3" t="str"/>
      <c r="D187" s="2" t="str"/>
      <c r="E187" s="2" t="str"/>
      <c r="F187" s="2" t="str"/>
      <c r="G187" s="2" t="str"/>
      <c r="H187" s="2" t="str"/>
      <c r="I187" s="2" t="str"/>
      <c r="J187" s="2" t="str"/>
      <c r="N187" s="2">
        <f>IF(Append1!J186="","",Append1!J186)</f>
        <v/>
      </c>
    </row>
    <row r="188">
      <c r="B188" s="2">
        <f t="array" ref="B188:J188">IF(Append1!A187:I187="","",Append1!A187:I187)</f>
        <v/>
      </c>
      <c r="C188" s="3" t="str"/>
      <c r="D188" s="2" t="str"/>
      <c r="E188" s="2" t="str"/>
      <c r="F188" s="2" t="str"/>
      <c r="G188" s="2" t="str"/>
      <c r="H188" s="2" t="str"/>
      <c r="I188" s="2" t="str"/>
      <c r="J188" s="2" t="str"/>
      <c r="N188" s="2">
        <f>IF(Append1!J187="","",Append1!J187)</f>
        <v/>
      </c>
    </row>
    <row r="189">
      <c r="B189" s="2">
        <f t="array" ref="B189:J189">IF(Append1!A188:I188="","",Append1!A188:I188)</f>
        <v/>
      </c>
      <c r="C189" s="3" t="str"/>
      <c r="D189" s="2" t="str"/>
      <c r="E189" s="2" t="str"/>
      <c r="F189" s="2" t="str"/>
      <c r="G189" s="2" t="str"/>
      <c r="H189" s="2" t="str"/>
      <c r="I189" s="2" t="str"/>
      <c r="J189" s="2" t="str"/>
      <c r="N189" s="2">
        <f>IF(Append1!J188="","",Append1!J188)</f>
        <v/>
      </c>
    </row>
    <row r="190">
      <c r="B190" s="2">
        <f t="array" ref="B190:J190">IF(Append1!A189:I189="","",Append1!A189:I189)</f>
        <v/>
      </c>
      <c r="C190" s="3" t="str"/>
      <c r="D190" s="2" t="str"/>
      <c r="E190" s="2" t="str"/>
      <c r="F190" s="2" t="str"/>
      <c r="G190" s="2" t="str"/>
      <c r="H190" s="2" t="str"/>
      <c r="I190" s="2" t="str"/>
      <c r="J190" s="2" t="str"/>
      <c r="N190" s="2">
        <f>IF(Append1!J189="","",Append1!J189)</f>
        <v/>
      </c>
    </row>
    <row r="191">
      <c r="B191" s="2">
        <f t="array" ref="B191:J191">IF(Append1!A190:I190="","",Append1!A190:I190)</f>
        <v/>
      </c>
      <c r="C191" s="3" t="str"/>
      <c r="D191" s="2" t="str"/>
      <c r="E191" s="2" t="str"/>
      <c r="F191" s="2" t="str"/>
      <c r="G191" s="2" t="str"/>
      <c r="H191" s="2" t="str"/>
      <c r="I191" s="2" t="str"/>
      <c r="J191" s="2" t="str"/>
      <c r="N191" s="2">
        <f>IF(Append1!J190="","",Append1!J190)</f>
        <v/>
      </c>
    </row>
    <row r="192">
      <c r="B192" s="2">
        <f t="array" ref="B192:J192">IF(Append1!A191:I191="","",Append1!A191:I191)</f>
        <v/>
      </c>
      <c r="C192" s="3" t="str"/>
      <c r="D192" s="2" t="str"/>
      <c r="E192" s="2" t="str"/>
      <c r="F192" s="2" t="str"/>
      <c r="G192" s="2" t="str"/>
      <c r="H192" s="2" t="str"/>
      <c r="I192" s="2" t="str"/>
      <c r="J192" s="2" t="str"/>
      <c r="N192" s="2">
        <f>IF(Append1!J191="","",Append1!J191)</f>
        <v/>
      </c>
    </row>
    <row r="193">
      <c r="B193" s="2">
        <f t="array" ref="B193:J193">IF(Append1!A192:I192="","",Append1!A192:I192)</f>
        <v/>
      </c>
      <c r="C193" s="3" t="str"/>
      <c r="D193" s="2" t="str"/>
      <c r="E193" s="2" t="str"/>
      <c r="F193" s="2" t="str"/>
      <c r="G193" s="2" t="str"/>
      <c r="H193" s="2" t="str"/>
      <c r="I193" s="2" t="str"/>
      <c r="J193" s="2" t="str"/>
      <c r="N193" s="2">
        <f>IF(Append1!J192="","",Append1!J192)</f>
        <v/>
      </c>
    </row>
    <row r="194">
      <c r="B194" s="2">
        <f t="array" ref="B194:J194">IF(Append1!A193:I193="","",Append1!A193:I193)</f>
        <v/>
      </c>
      <c r="C194" s="3" t="str"/>
      <c r="D194" s="2" t="str"/>
      <c r="E194" s="2" t="str"/>
      <c r="F194" s="2" t="str"/>
      <c r="G194" s="2" t="str"/>
      <c r="H194" s="2" t="str"/>
      <c r="I194" s="2" t="str"/>
      <c r="J194" s="2" t="str"/>
      <c r="N194" s="2">
        <f>IF(Append1!J193="","",Append1!J193)</f>
        <v/>
      </c>
    </row>
    <row r="195">
      <c r="B195" s="2">
        <f t="array" ref="B195:J195">IF(Append1!A194:I194="","",Append1!A194:I194)</f>
        <v/>
      </c>
      <c r="C195" s="3" t="str"/>
      <c r="D195" s="2" t="str"/>
      <c r="E195" s="2" t="str"/>
      <c r="F195" s="2" t="str"/>
      <c r="G195" s="2" t="str"/>
      <c r="H195" s="2" t="str"/>
      <c r="I195" s="2" t="str"/>
      <c r="J195" s="2" t="str"/>
      <c r="N195" s="2">
        <f>IF(Append1!J194="","",Append1!J194)</f>
        <v/>
      </c>
    </row>
    <row r="196">
      <c r="B196" s="2">
        <f t="array" ref="B196:J196">IF(Append1!A195:I195="","",Append1!A195:I195)</f>
        <v/>
      </c>
      <c r="C196" s="3" t="str"/>
      <c r="D196" s="2" t="str"/>
      <c r="E196" s="2" t="str"/>
      <c r="F196" s="2" t="str"/>
      <c r="G196" s="2" t="str"/>
      <c r="H196" s="2" t="str"/>
      <c r="I196" s="2" t="str"/>
      <c r="J196" s="2" t="str"/>
      <c r="N196" s="2">
        <f>IF(Append1!J195="","",Append1!J195)</f>
        <v/>
      </c>
    </row>
    <row r="197">
      <c r="B197" s="2">
        <f t="array" ref="B197:J197">IF(Append1!A196:I196="","",Append1!A196:I196)</f>
        <v/>
      </c>
      <c r="C197" s="3" t="str"/>
      <c r="D197" s="2" t="str"/>
      <c r="E197" s="2" t="str"/>
      <c r="F197" s="2" t="str"/>
      <c r="G197" s="2" t="str"/>
      <c r="H197" s="2" t="str"/>
      <c r="I197" s="2" t="str"/>
      <c r="J197" s="2" t="str"/>
      <c r="N197" s="2">
        <f>IF(Append1!J196="","",Append1!J196)</f>
        <v/>
      </c>
    </row>
    <row r="198">
      <c r="B198" s="2">
        <f t="array" ref="B198:J198">IF(Append1!A197:I197="","",Append1!A197:I197)</f>
        <v/>
      </c>
      <c r="C198" s="3" t="str"/>
      <c r="D198" s="2" t="str"/>
      <c r="E198" s="2" t="str"/>
      <c r="F198" s="2" t="str"/>
      <c r="G198" s="2" t="str"/>
      <c r="H198" s="2" t="str"/>
      <c r="I198" s="2" t="str"/>
      <c r="J198" s="2" t="str"/>
      <c r="N198" s="2">
        <f>IF(Append1!J197="","",Append1!J197)</f>
        <v/>
      </c>
    </row>
    <row r="199">
      <c r="B199" s="2">
        <f t="array" ref="B199:J199">IF(Append1!A198:I198="","",Append1!A198:I198)</f>
        <v/>
      </c>
      <c r="C199" s="3" t="str"/>
      <c r="D199" s="2" t="str"/>
      <c r="E199" s="2" t="str"/>
      <c r="F199" s="2" t="str"/>
      <c r="G199" s="2" t="str"/>
      <c r="H199" s="2" t="str"/>
      <c r="I199" s="2" t="str"/>
      <c r="J199" s="2" t="str"/>
      <c r="N199" s="2">
        <f>IF(Append1!J198="","",Append1!J198)</f>
        <v/>
      </c>
    </row>
    <row r="200">
      <c r="B200" s="2">
        <f t="array" ref="B200:J200">IF(Append1!A199:I199="","",Append1!A199:I199)</f>
        <v/>
      </c>
      <c r="C200" s="3" t="str"/>
      <c r="D200" s="2" t="str"/>
      <c r="E200" s="2" t="str"/>
      <c r="F200" s="2" t="str"/>
      <c r="G200" s="2" t="str"/>
      <c r="H200" s="2" t="str"/>
      <c r="I200" s="2" t="str"/>
      <c r="J200" s="2" t="str"/>
      <c r="N200" s="2">
        <f>IF(Append1!J199="","",Append1!J199)</f>
        <v/>
      </c>
    </row>
    <row r="201">
      <c r="B201" s="2">
        <f t="array" ref="B201:J201">IF(Append1!A200:I200="","",Append1!A200:I200)</f>
        <v/>
      </c>
      <c r="C201" s="3" t="str"/>
      <c r="D201" s="2" t="str"/>
      <c r="E201" s="2" t="str"/>
      <c r="F201" s="2" t="str"/>
      <c r="G201" s="2" t="str"/>
      <c r="H201" s="2" t="str"/>
      <c r="I201" s="2" t="str"/>
      <c r="J201" s="2" t="str"/>
      <c r="N201" s="2">
        <f>IF(Append1!J200="","",Append1!J200)</f>
        <v/>
      </c>
    </row>
    <row r="202">
      <c r="B202" s="2">
        <f t="array" ref="B202:J202">IF(Append1!A201:I201="","",Append1!A201:I201)</f>
        <v/>
      </c>
      <c r="C202" s="3" t="str"/>
      <c r="D202" s="2" t="str"/>
      <c r="E202" s="2" t="str"/>
      <c r="F202" s="2" t="str"/>
      <c r="G202" s="2" t="str"/>
      <c r="H202" s="2" t="str"/>
      <c r="I202" s="2" t="str"/>
      <c r="J202" s="2" t="str"/>
      <c r="N202" s="2">
        <f>IF(Append1!J201="","",Append1!J201)</f>
        <v/>
      </c>
    </row>
    <row r="203">
      <c r="B203" s="2">
        <f t="array" ref="B203:J203">IF(Append1!A202:I202="","",Append1!A202:I202)</f>
        <v/>
      </c>
      <c r="C203" s="3" t="str"/>
      <c r="D203" s="2" t="str"/>
      <c r="E203" s="2" t="str"/>
      <c r="F203" s="2" t="str"/>
      <c r="G203" s="2" t="str"/>
      <c r="H203" s="2" t="str"/>
      <c r="I203" s="2" t="str"/>
      <c r="J203" s="2" t="str"/>
      <c r="N203" s="2">
        <f>IF(Append1!J202="","",Append1!J202)</f>
        <v/>
      </c>
    </row>
    <row r="204">
      <c r="B204" s="2">
        <f t="array" ref="B204:J204">IF(Append1!A203:I203="","",Append1!A203:I203)</f>
        <v/>
      </c>
      <c r="C204" s="3" t="str"/>
      <c r="D204" s="2" t="str"/>
      <c r="E204" s="2" t="str"/>
      <c r="F204" s="2" t="str"/>
      <c r="G204" s="2" t="str"/>
      <c r="H204" s="2" t="str"/>
      <c r="I204" s="2" t="str"/>
      <c r="J204" s="2" t="str"/>
      <c r="N204" s="2">
        <f>IF(Append1!J203="","",Append1!J203)</f>
        <v/>
      </c>
    </row>
    <row r="205">
      <c r="B205" s="2">
        <f t="array" ref="B205:J205">IF(Append1!A204:I204="","",Append1!A204:I204)</f>
        <v/>
      </c>
      <c r="C205" s="3" t="str"/>
      <c r="D205" s="2" t="str"/>
      <c r="E205" s="2" t="str"/>
      <c r="F205" s="2" t="str"/>
      <c r="G205" s="2" t="str"/>
      <c r="H205" s="2" t="str"/>
      <c r="I205" s="2" t="str"/>
      <c r="J205" s="2" t="str"/>
      <c r="N205" s="2">
        <f>IF(Append1!J204="","",Append1!J204)</f>
        <v/>
      </c>
    </row>
    <row r="206">
      <c r="B206" s="2">
        <f t="array" ref="B206:J206">IF(Append1!A205:I205="","",Append1!A205:I205)</f>
        <v/>
      </c>
      <c r="C206" s="3" t="str"/>
      <c r="D206" s="2" t="str"/>
      <c r="E206" s="2" t="str"/>
      <c r="F206" s="2" t="str"/>
      <c r="G206" s="2" t="str"/>
      <c r="H206" s="2" t="str"/>
      <c r="I206" s="2" t="str"/>
      <c r="J206" s="2" t="str"/>
      <c r="N206" s="2">
        <f>IF(Append1!J205="","",Append1!J205)</f>
        <v/>
      </c>
    </row>
    <row r="207">
      <c r="B207" s="2">
        <f t="array" ref="B207:J207">IF(Append1!A206:I206="","",Append1!A206:I206)</f>
        <v/>
      </c>
      <c r="C207" s="3" t="str"/>
      <c r="D207" s="2" t="str"/>
      <c r="E207" s="2" t="str"/>
      <c r="F207" s="2" t="str"/>
      <c r="G207" s="2" t="str"/>
      <c r="H207" s="2" t="str"/>
      <c r="I207" s="2" t="str"/>
      <c r="J207" s="2" t="str"/>
      <c r="N207" s="2">
        <f>IF(Append1!J206="","",Append1!J206)</f>
        <v/>
      </c>
    </row>
    <row r="208">
      <c r="B208" s="2">
        <f t="array" ref="B208:J208">IF(Append1!A207:I207="","",Append1!A207:I207)</f>
        <v/>
      </c>
      <c r="C208" s="3" t="str"/>
      <c r="D208" s="2" t="str"/>
      <c r="E208" s="2" t="str"/>
      <c r="F208" s="2" t="str"/>
      <c r="G208" s="2" t="str"/>
      <c r="H208" s="2" t="str"/>
      <c r="I208" s="2" t="str"/>
      <c r="J208" s="2" t="str"/>
      <c r="N208" s="2">
        <f>IF(Append1!J207="","",Append1!J207)</f>
        <v/>
      </c>
    </row>
    <row r="209">
      <c r="B209" s="2">
        <f t="array" ref="B209:J209">IF(Append1!A208:I208="","",Append1!A208:I208)</f>
        <v/>
      </c>
      <c r="C209" s="3" t="str"/>
      <c r="D209" s="2" t="str"/>
      <c r="E209" s="2" t="str"/>
      <c r="F209" s="2" t="str"/>
      <c r="G209" s="2" t="str"/>
      <c r="H209" s="2" t="str"/>
      <c r="I209" s="2" t="str"/>
      <c r="J209" s="2" t="str"/>
      <c r="N209" s="2">
        <f>IF(Append1!J208="","",Append1!J208)</f>
        <v/>
      </c>
    </row>
    <row r="210">
      <c r="B210" s="2">
        <f t="array" ref="B210:J210">IF(Append1!A209:I209="","",Append1!A209:I209)</f>
        <v/>
      </c>
      <c r="C210" s="3" t="str"/>
      <c r="D210" s="2" t="str"/>
      <c r="E210" s="2" t="str"/>
      <c r="F210" s="2" t="str"/>
      <c r="G210" s="2" t="str"/>
      <c r="H210" s="2" t="str"/>
      <c r="I210" s="2" t="str"/>
      <c r="J210" s="2" t="str"/>
      <c r="N210" s="2">
        <f>IF(Append1!J209="","",Append1!J209)</f>
        <v/>
      </c>
    </row>
    <row r="211">
      <c r="B211" s="2">
        <f t="array" ref="B211:J211">IF(Append1!A210:I210="","",Append1!A210:I210)</f>
        <v/>
      </c>
      <c r="C211" s="3" t="str"/>
      <c r="D211" s="2" t="str"/>
      <c r="E211" s="2" t="str"/>
      <c r="F211" s="2" t="str"/>
      <c r="G211" s="2" t="str"/>
      <c r="H211" s="2" t="str"/>
      <c r="I211" s="2" t="str"/>
      <c r="J211" s="2" t="str"/>
      <c r="N211" s="2">
        <f>IF(Append1!J210="","",Append1!J210)</f>
        <v/>
      </c>
    </row>
    <row r="212">
      <c r="B212" s="2">
        <f t="array" ref="B212:J212">IF(Append1!A211:I211="","",Append1!A211:I211)</f>
        <v/>
      </c>
      <c r="C212" s="3" t="str"/>
      <c r="D212" s="2" t="str"/>
      <c r="E212" s="2" t="str"/>
      <c r="F212" s="2" t="str"/>
      <c r="G212" s="2" t="str"/>
      <c r="H212" s="2" t="str"/>
      <c r="I212" s="2" t="str"/>
      <c r="J212" s="2" t="str"/>
      <c r="N212" s="2">
        <f>IF(Append1!J211="","",Append1!J211)</f>
        <v/>
      </c>
    </row>
    <row r="213">
      <c r="B213" s="2">
        <f t="array" ref="B213:J213">IF(Append1!A212:I212="","",Append1!A212:I212)</f>
        <v/>
      </c>
      <c r="C213" s="3" t="str"/>
      <c r="D213" s="2" t="str"/>
      <c r="E213" s="2" t="str"/>
      <c r="F213" s="2" t="str"/>
      <c r="G213" s="2" t="str"/>
      <c r="H213" s="2" t="str"/>
      <c r="I213" s="2" t="str"/>
      <c r="J213" s="2" t="str"/>
      <c r="N213" s="2">
        <f>IF(Append1!J212="","",Append1!J212)</f>
        <v/>
      </c>
    </row>
    <row r="214">
      <c r="B214" s="2">
        <f t="array" ref="B214:J214">IF(Append1!A213:I213="","",Append1!A213:I213)</f>
        <v/>
      </c>
      <c r="C214" s="3" t="str"/>
      <c r="D214" s="2" t="str"/>
      <c r="E214" s="2" t="str"/>
      <c r="F214" s="2" t="str"/>
      <c r="G214" s="2" t="str"/>
      <c r="H214" s="2" t="str"/>
      <c r="I214" s="2" t="str"/>
      <c r="J214" s="2" t="str"/>
      <c r="N214" s="2">
        <f>IF(Append1!J213="","",Append1!J213)</f>
        <v/>
      </c>
    </row>
    <row r="215">
      <c r="B215" s="2">
        <f t="array" ref="B215:J215">IF(Append1!A214:I214="","",Append1!A214:I214)</f>
        <v/>
      </c>
      <c r="C215" s="3" t="str"/>
      <c r="D215" s="2" t="str"/>
      <c r="E215" s="2" t="str"/>
      <c r="F215" s="2" t="str"/>
      <c r="G215" s="2" t="str"/>
      <c r="H215" s="2" t="str"/>
      <c r="I215" s="2" t="str"/>
      <c r="J215" s="2" t="str"/>
      <c r="N215" s="2">
        <f>IF(Append1!J214="","",Append1!J214)</f>
        <v/>
      </c>
    </row>
    <row r="216">
      <c r="B216" s="2">
        <f t="array" ref="B216:J216">IF(Append1!A215:I215="","",Append1!A215:I215)</f>
        <v/>
      </c>
      <c r="C216" s="3" t="str"/>
      <c r="D216" s="2" t="str"/>
      <c r="E216" s="2" t="str"/>
      <c r="F216" s="2" t="str"/>
      <c r="G216" s="2" t="str"/>
      <c r="H216" s="2" t="str"/>
      <c r="I216" s="2" t="str"/>
      <c r="J216" s="2" t="str"/>
      <c r="N216" s="2">
        <f>IF(Append1!J215="","",Append1!J215)</f>
        <v/>
      </c>
    </row>
    <row r="217">
      <c r="B217" s="2">
        <f t="array" ref="B217:J217">IF(Append1!A216:I216="","",Append1!A216:I216)</f>
        <v/>
      </c>
      <c r="C217" s="3" t="str"/>
      <c r="D217" s="2" t="str"/>
      <c r="E217" s="2" t="str"/>
      <c r="F217" s="2" t="str"/>
      <c r="G217" s="2" t="str"/>
      <c r="H217" s="2" t="str"/>
      <c r="I217" s="2" t="str"/>
      <c r="J217" s="2" t="str"/>
      <c r="N217" s="2">
        <f>IF(Append1!J216="","",Append1!J216)</f>
        <v/>
      </c>
    </row>
    <row r="218">
      <c r="B218" s="2">
        <f t="array" ref="B218:J218">IF(Append1!A217:I217="","",Append1!A217:I217)</f>
        <v/>
      </c>
      <c r="C218" s="3" t="str"/>
      <c r="D218" s="2" t="str"/>
      <c r="E218" s="2" t="str"/>
      <c r="F218" s="2" t="str"/>
      <c r="G218" s="2" t="str"/>
      <c r="H218" s="2" t="str"/>
      <c r="I218" s="2" t="str"/>
      <c r="J218" s="2" t="str"/>
      <c r="N218" s="2">
        <f>IF(Append1!J217="","",Append1!J217)</f>
        <v/>
      </c>
    </row>
    <row r="219">
      <c r="B219" s="2">
        <f t="array" ref="B219:J219">IF(Append1!A218:I218="","",Append1!A218:I218)</f>
        <v/>
      </c>
      <c r="C219" s="3" t="str"/>
      <c r="D219" s="2" t="str"/>
      <c r="E219" s="2" t="str"/>
      <c r="F219" s="2" t="str"/>
      <c r="G219" s="2" t="str"/>
      <c r="H219" s="2" t="str"/>
      <c r="I219" s="2" t="str"/>
      <c r="J219" s="2" t="str"/>
      <c r="N219" s="2">
        <f>IF(Append1!J218="","",Append1!J218)</f>
        <v/>
      </c>
    </row>
    <row r="220">
      <c r="B220" s="2">
        <f t="array" ref="B220:J220">IF(Append1!A219:I219="","",Append1!A219:I219)</f>
        <v/>
      </c>
      <c r="C220" s="3" t="str"/>
      <c r="D220" s="2" t="str"/>
      <c r="E220" s="2" t="str"/>
      <c r="F220" s="2" t="str"/>
      <c r="G220" s="2" t="str"/>
      <c r="H220" s="2" t="str"/>
      <c r="I220" s="2" t="str"/>
      <c r="J220" s="2" t="str"/>
      <c r="N220" s="2">
        <f>IF(Append1!J219="","",Append1!J219)</f>
        <v/>
      </c>
    </row>
    <row r="221">
      <c r="B221" s="2">
        <f t="array" ref="B221:J221">IF(Append1!A220:I220="","",Append1!A220:I220)</f>
        <v/>
      </c>
      <c r="C221" s="3" t="str"/>
      <c r="D221" s="2" t="str"/>
      <c r="E221" s="2" t="str"/>
      <c r="F221" s="2" t="str"/>
      <c r="G221" s="2" t="str"/>
      <c r="H221" s="2" t="str"/>
      <c r="I221" s="2" t="str"/>
      <c r="J221" s="2" t="str"/>
      <c r="N221" s="2">
        <f>IF(Append1!J220="","",Append1!J220)</f>
        <v/>
      </c>
    </row>
    <row r="222">
      <c r="B222" s="2">
        <f t="array" ref="B222:J222">IF(Append1!A221:I221="","",Append1!A221:I221)</f>
        <v/>
      </c>
      <c r="C222" s="3" t="str"/>
      <c r="D222" s="2" t="str"/>
      <c r="E222" s="2" t="str"/>
      <c r="F222" s="2" t="str"/>
      <c r="G222" s="2" t="str"/>
      <c r="H222" s="2" t="str"/>
      <c r="I222" s="2" t="str"/>
      <c r="J222" s="2" t="str"/>
      <c r="N222" s="2">
        <f>IF(Append1!J221="","",Append1!J221)</f>
        <v/>
      </c>
    </row>
    <row r="223">
      <c r="B223" s="2">
        <f t="array" ref="B223:J223">IF(Append1!A222:I222="","",Append1!A222:I222)</f>
        <v/>
      </c>
      <c r="C223" s="3" t="str"/>
      <c r="D223" s="2" t="str"/>
      <c r="E223" s="2" t="str"/>
      <c r="F223" s="2" t="str"/>
      <c r="G223" s="2" t="str"/>
      <c r="H223" s="2" t="str"/>
      <c r="I223" s="2" t="str"/>
      <c r="J223" s="2" t="str"/>
      <c r="N223" s="2">
        <f>IF(Append1!J222="","",Append1!J222)</f>
        <v/>
      </c>
    </row>
    <row r="224">
      <c r="B224" s="2">
        <f t="array" ref="B224:J224">IF(Append1!A223:I223="","",Append1!A223:I223)</f>
        <v/>
      </c>
      <c r="C224" s="3" t="str"/>
      <c r="D224" s="2" t="str"/>
      <c r="E224" s="2" t="str"/>
      <c r="F224" s="2" t="str"/>
      <c r="G224" s="2" t="str"/>
      <c r="H224" s="2" t="str"/>
      <c r="I224" s="2" t="str"/>
      <c r="J224" s="2" t="str"/>
      <c r="N224" s="2">
        <f>IF(Append1!J223="","",Append1!J223)</f>
        <v/>
      </c>
    </row>
    <row r="225">
      <c r="B225" s="2">
        <f t="array" ref="B225:J225">IF(Append1!A224:I224="","",Append1!A224:I224)</f>
        <v/>
      </c>
      <c r="C225" s="3" t="str"/>
      <c r="D225" s="2" t="str"/>
      <c r="E225" s="2" t="str"/>
      <c r="F225" s="2" t="str"/>
      <c r="G225" s="2" t="str"/>
      <c r="H225" s="2" t="str"/>
      <c r="I225" s="2" t="str"/>
      <c r="J225" s="2" t="str"/>
      <c r="N225" s="2">
        <f>IF(Append1!J224="","",Append1!J224)</f>
        <v/>
      </c>
    </row>
    <row r="226">
      <c r="B226" s="2">
        <f t="array" ref="B226:J226">IF(Append1!A225:I225="","",Append1!A225:I225)</f>
        <v/>
      </c>
      <c r="C226" s="3" t="str"/>
      <c r="D226" s="2" t="str"/>
      <c r="E226" s="2" t="str"/>
      <c r="F226" s="2" t="str"/>
      <c r="G226" s="2" t="str"/>
      <c r="H226" s="2" t="str"/>
      <c r="I226" s="2" t="str"/>
      <c r="J226" s="2" t="str"/>
      <c r="N226" s="2">
        <f>IF(Append1!J225="","",Append1!J225)</f>
        <v/>
      </c>
    </row>
    <row r="227">
      <c r="B227" s="2">
        <f t="array" ref="B227:J227">IF(Append1!A226:I226="","",Append1!A226:I226)</f>
        <v/>
      </c>
      <c r="C227" s="3" t="str"/>
      <c r="D227" s="2" t="str"/>
      <c r="E227" s="2" t="str"/>
      <c r="F227" s="2" t="str"/>
      <c r="G227" s="2" t="str"/>
      <c r="H227" s="2" t="str"/>
      <c r="I227" s="2" t="str"/>
      <c r="J227" s="2" t="str"/>
      <c r="N227" s="2">
        <f>IF(Append1!J226="","",Append1!J226)</f>
        <v/>
      </c>
    </row>
    <row r="228">
      <c r="B228" s="2">
        <f t="array" ref="B228:J228">IF(Append1!A227:I227="","",Append1!A227:I227)</f>
        <v/>
      </c>
      <c r="C228" s="3" t="str"/>
      <c r="D228" s="2" t="str"/>
      <c r="E228" s="2" t="str"/>
      <c r="F228" s="2" t="str"/>
      <c r="G228" s="2" t="str"/>
      <c r="H228" s="2" t="str"/>
      <c r="I228" s="2" t="str"/>
      <c r="J228" s="2" t="str"/>
      <c r="N228" s="2">
        <f>IF(Append1!J227="","",Append1!J227)</f>
        <v/>
      </c>
    </row>
    <row r="229">
      <c r="B229" s="2">
        <f t="array" ref="B229:J229">IF(Append1!A228:I228="","",Append1!A228:I228)</f>
        <v/>
      </c>
      <c r="C229" s="3" t="str"/>
      <c r="D229" s="2" t="str"/>
      <c r="E229" s="2" t="str"/>
      <c r="F229" s="2" t="str"/>
      <c r="G229" s="2" t="str"/>
      <c r="H229" s="2" t="str"/>
      <c r="I229" s="2" t="str"/>
      <c r="J229" s="2" t="str"/>
      <c r="N229" s="2">
        <f>IF(Append1!J228="","",Append1!J228)</f>
        <v/>
      </c>
    </row>
    <row r="230">
      <c r="B230" s="2">
        <f t="array" ref="B230:J230">IF(Append1!A229:I229="","",Append1!A229:I229)</f>
        <v/>
      </c>
      <c r="C230" s="3" t="str"/>
      <c r="D230" s="2" t="str"/>
      <c r="E230" s="2" t="str"/>
      <c r="F230" s="2" t="str"/>
      <c r="G230" s="2" t="str"/>
      <c r="H230" s="2" t="str"/>
      <c r="I230" s="2" t="str"/>
      <c r="J230" s="2" t="str"/>
      <c r="N230" s="2">
        <f>IF(Append1!J229="","",Append1!J229)</f>
        <v/>
      </c>
    </row>
    <row r="231">
      <c r="B231" s="2">
        <f t="array" ref="B231:J231">IF(Append1!A230:I230="","",Append1!A230:I230)</f>
        <v/>
      </c>
      <c r="C231" s="3" t="str"/>
      <c r="D231" s="2" t="str"/>
      <c r="E231" s="2" t="str"/>
      <c r="F231" s="2" t="str"/>
      <c r="G231" s="2" t="str"/>
      <c r="H231" s="2" t="str"/>
      <c r="I231" s="2" t="str"/>
      <c r="J231" s="2" t="str"/>
      <c r="N231" s="2">
        <f>IF(Append1!J230="","",Append1!J230)</f>
        <v/>
      </c>
    </row>
    <row r="232">
      <c r="B232" s="2">
        <f t="array" ref="B232:J232">IF(Append1!A231:I231="","",Append1!A231:I231)</f>
        <v/>
      </c>
      <c r="C232" s="3" t="str"/>
      <c r="D232" s="2" t="str"/>
      <c r="E232" s="2" t="str"/>
      <c r="F232" s="2" t="str"/>
      <c r="G232" s="2" t="str"/>
      <c r="H232" s="2" t="str"/>
      <c r="I232" s="2" t="str"/>
      <c r="J232" s="2" t="str"/>
      <c r="N232" s="2">
        <f>IF(Append1!J231="","",Append1!J231)</f>
        <v/>
      </c>
    </row>
    <row r="233">
      <c r="B233" s="2">
        <f t="array" ref="B233:J233">IF(Append1!A232:I232="","",Append1!A232:I232)</f>
        <v/>
      </c>
      <c r="C233" s="3" t="str"/>
      <c r="D233" s="2" t="str"/>
      <c r="E233" s="2" t="str"/>
      <c r="F233" s="2" t="str"/>
      <c r="G233" s="2" t="str"/>
      <c r="H233" s="2" t="str"/>
      <c r="I233" s="2" t="str"/>
      <c r="J233" s="2" t="str"/>
      <c r="N233" s="2">
        <f>IF(Append1!J232="","",Append1!J232)</f>
        <v/>
      </c>
    </row>
    <row r="234">
      <c r="B234" s="2">
        <f t="array" ref="B234:J234">IF(Append1!A233:I233="","",Append1!A233:I233)</f>
        <v/>
      </c>
      <c r="C234" s="3" t="str"/>
      <c r="D234" s="2" t="str"/>
      <c r="E234" s="2" t="str"/>
      <c r="F234" s="2" t="str"/>
      <c r="G234" s="2" t="str"/>
      <c r="H234" s="2" t="str"/>
      <c r="I234" s="2" t="str"/>
      <c r="J234" s="2" t="str"/>
      <c r="N234" s="2">
        <f>IF(Append1!J233="","",Append1!J233)</f>
        <v/>
      </c>
    </row>
    <row r="235">
      <c r="B235" s="2">
        <f t="array" ref="B235:J235">IF(Append1!A234:I234="","",Append1!A234:I234)</f>
        <v/>
      </c>
      <c r="C235" s="3" t="str"/>
      <c r="D235" s="2" t="str"/>
      <c r="E235" s="2" t="str"/>
      <c r="F235" s="2" t="str"/>
      <c r="G235" s="2" t="str"/>
      <c r="H235" s="2" t="str"/>
      <c r="I235" s="2" t="str"/>
      <c r="J235" s="2" t="str"/>
      <c r="N235" s="2">
        <f>IF(Append1!J234="","",Append1!J234)</f>
        <v/>
      </c>
    </row>
    <row r="236">
      <c r="B236" s="2">
        <f t="array" ref="B236:J236">IF(Append1!A235:I235="","",Append1!A235:I235)</f>
        <v/>
      </c>
      <c r="C236" s="3" t="str"/>
      <c r="D236" s="2" t="str"/>
      <c r="E236" s="2" t="str"/>
      <c r="F236" s="2" t="str"/>
      <c r="G236" s="2" t="str"/>
      <c r="H236" s="2" t="str"/>
      <c r="I236" s="2" t="str"/>
      <c r="J236" s="2" t="str"/>
      <c r="N236" s="2">
        <f>IF(Append1!J235="","",Append1!J235)</f>
        <v/>
      </c>
    </row>
    <row r="237">
      <c r="B237" s="2">
        <f t="array" ref="B237:J237">IF(Append1!A236:I236="","",Append1!A236:I236)</f>
        <v/>
      </c>
      <c r="C237" s="3" t="str"/>
      <c r="D237" s="2" t="str"/>
      <c r="E237" s="2" t="str"/>
      <c r="F237" s="2" t="str"/>
      <c r="G237" s="2" t="str"/>
      <c r="H237" s="2" t="str"/>
      <c r="I237" s="2" t="str"/>
      <c r="J237" s="2" t="str"/>
      <c r="N237" s="2">
        <f>IF(Append1!J236="","",Append1!J236)</f>
        <v/>
      </c>
    </row>
    <row r="238">
      <c r="B238" s="2">
        <f t="array" ref="B238:J238">IF(Append1!A237:I237="","",Append1!A237:I237)</f>
        <v/>
      </c>
      <c r="C238" s="3" t="str"/>
      <c r="D238" s="2" t="str"/>
      <c r="E238" s="2" t="str"/>
      <c r="F238" s="2" t="str"/>
      <c r="G238" s="2" t="str"/>
      <c r="H238" s="2" t="str"/>
      <c r="I238" s="2" t="str"/>
      <c r="J238" s="2" t="str"/>
      <c r="N238" s="2">
        <f>IF(Append1!J237="","",Append1!J237)</f>
        <v/>
      </c>
    </row>
    <row r="239">
      <c r="B239" s="2">
        <f t="array" ref="B239:J239">IF(Append1!A238:I238="","",Append1!A238:I238)</f>
        <v/>
      </c>
      <c r="C239" s="3" t="str"/>
      <c r="D239" s="2" t="str"/>
      <c r="E239" s="2" t="str"/>
      <c r="F239" s="2" t="str"/>
      <c r="G239" s="2" t="str"/>
      <c r="H239" s="2" t="str"/>
      <c r="I239" s="2" t="str"/>
      <c r="J239" s="2" t="str"/>
      <c r="N239" s="2">
        <f>IF(Append1!J238="","",Append1!J238)</f>
        <v/>
      </c>
    </row>
    <row r="240">
      <c r="B240" s="2">
        <f t="array" ref="B240:J240">IF(Append1!A239:I239="","",Append1!A239:I239)</f>
        <v/>
      </c>
      <c r="C240" s="3" t="str"/>
      <c r="D240" s="2" t="str"/>
      <c r="E240" s="2" t="str"/>
      <c r="F240" s="2" t="str"/>
      <c r="G240" s="2" t="str"/>
      <c r="H240" s="2" t="str"/>
      <c r="I240" s="2" t="str"/>
      <c r="J240" s="2" t="str"/>
      <c r="N240" s="2">
        <f>IF(Append1!J239="","",Append1!J239)</f>
        <v/>
      </c>
    </row>
    <row r="241">
      <c r="B241" s="2">
        <f t="array" ref="B241:J241">IF(Append1!A240:I240="","",Append1!A240:I240)</f>
        <v/>
      </c>
      <c r="C241" s="3" t="str"/>
      <c r="D241" s="2" t="str"/>
      <c r="E241" s="2" t="str"/>
      <c r="F241" s="2" t="str"/>
      <c r="G241" s="2" t="str"/>
      <c r="H241" s="2" t="str"/>
      <c r="I241" s="2" t="str"/>
      <c r="J241" s="2" t="str"/>
      <c r="N241" s="2">
        <f>IF(Append1!J240="","",Append1!J240)</f>
        <v/>
      </c>
    </row>
    <row r="242">
      <c r="B242" s="2">
        <f t="array" ref="B242:J242">IF(Append1!A241:I241="","",Append1!A241:I241)</f>
        <v/>
      </c>
      <c r="C242" s="3" t="str"/>
      <c r="D242" s="2" t="str"/>
      <c r="E242" s="2" t="str"/>
      <c r="F242" s="2" t="str"/>
      <c r="G242" s="2" t="str"/>
      <c r="H242" s="2" t="str"/>
      <c r="I242" s="2" t="str"/>
      <c r="J242" s="2" t="str"/>
      <c r="N242" s="2">
        <f>IF(Append1!J241="","",Append1!J241)</f>
        <v/>
      </c>
    </row>
    <row r="243">
      <c r="B243" s="2">
        <f t="array" ref="B243:J243">IF(Append1!A242:I242="","",Append1!A242:I242)</f>
        <v/>
      </c>
      <c r="C243" s="3" t="str"/>
      <c r="D243" s="2" t="str"/>
      <c r="E243" s="2" t="str"/>
      <c r="F243" s="2" t="str"/>
      <c r="G243" s="2" t="str"/>
      <c r="H243" s="2" t="str"/>
      <c r="I243" s="2" t="str"/>
      <c r="J243" s="2" t="str"/>
      <c r="N243" s="2">
        <f>IF(Append1!J242="","",Append1!J242)</f>
        <v/>
      </c>
    </row>
    <row r="244">
      <c r="B244" s="2">
        <f t="array" ref="B244:J244">IF(Append1!A243:I243="","",Append1!A243:I243)</f>
        <v/>
      </c>
      <c r="C244" s="3" t="str"/>
      <c r="D244" s="2" t="str"/>
      <c r="E244" s="2" t="str"/>
      <c r="F244" s="2" t="str"/>
      <c r="G244" s="2" t="str"/>
      <c r="H244" s="2" t="str"/>
      <c r="I244" s="2" t="str"/>
      <c r="J244" s="2" t="str"/>
      <c r="N244" s="2">
        <f>IF(Append1!J243="","",Append1!J243)</f>
        <v/>
      </c>
    </row>
    <row r="245">
      <c r="B245" s="2">
        <f t="array" ref="B245:J245">IF(Append1!A244:I244="","",Append1!A244:I244)</f>
        <v/>
      </c>
      <c r="C245" s="3" t="str"/>
      <c r="D245" s="2" t="str"/>
      <c r="E245" s="2" t="str"/>
      <c r="F245" s="2" t="str"/>
      <c r="G245" s="2" t="str"/>
      <c r="H245" s="2" t="str"/>
      <c r="I245" s="2" t="str"/>
      <c r="J245" s="2" t="str"/>
      <c r="N245" s="2">
        <f>IF(Append1!J244="","",Append1!J244)</f>
        <v/>
      </c>
    </row>
    <row r="246">
      <c r="B246" s="2">
        <f t="array" ref="B246:J246">IF(Append1!A245:I245="","",Append1!A245:I245)</f>
        <v/>
      </c>
      <c r="C246" s="3" t="str"/>
      <c r="D246" s="2" t="str"/>
      <c r="E246" s="2" t="str"/>
      <c r="F246" s="2" t="str"/>
      <c r="G246" s="2" t="str"/>
      <c r="H246" s="2" t="str"/>
      <c r="I246" s="2" t="str"/>
      <c r="J246" s="2" t="str"/>
      <c r="N246" s="2">
        <f>IF(Append1!J245="","",Append1!J245)</f>
        <v/>
      </c>
    </row>
    <row r="247">
      <c r="B247" s="2">
        <f t="array" ref="B247:J247">IF(Append1!A246:I246="","",Append1!A246:I246)</f>
        <v/>
      </c>
      <c r="C247" s="3" t="str"/>
      <c r="D247" s="2" t="str"/>
      <c r="E247" s="2" t="str"/>
      <c r="F247" s="2" t="str"/>
      <c r="G247" s="2" t="str"/>
      <c r="H247" s="2" t="str"/>
      <c r="I247" s="2" t="str"/>
      <c r="J247" s="2" t="str"/>
      <c r="N247" s="2">
        <f>IF(Append1!J246="","",Append1!J246)</f>
        <v/>
      </c>
    </row>
    <row r="248">
      <c r="B248" s="2">
        <f t="array" ref="B248:J248">IF(Append1!A247:I247="","",Append1!A247:I247)</f>
        <v/>
      </c>
      <c r="C248" s="3" t="str"/>
      <c r="D248" s="2" t="str"/>
      <c r="E248" s="2" t="str"/>
      <c r="F248" s="2" t="str"/>
      <c r="G248" s="2" t="str"/>
      <c r="H248" s="2" t="str"/>
      <c r="I248" s="2" t="str"/>
      <c r="J248" s="2" t="str"/>
      <c r="N248" s="2">
        <f>IF(Append1!J247="","",Append1!J247)</f>
        <v/>
      </c>
    </row>
    <row r="249">
      <c r="B249" s="2">
        <f t="array" ref="B249:J249">IF(Append1!A248:I248="","",Append1!A248:I248)</f>
        <v/>
      </c>
      <c r="C249" s="3" t="str"/>
      <c r="D249" s="2" t="str"/>
      <c r="E249" s="2" t="str"/>
      <c r="F249" s="2" t="str"/>
      <c r="G249" s="2" t="str"/>
      <c r="H249" s="2" t="str"/>
      <c r="I249" s="2" t="str"/>
      <c r="J249" s="2" t="str"/>
      <c r="N249" s="2">
        <f>IF(Append1!J248="","",Append1!J248)</f>
        <v/>
      </c>
    </row>
    <row r="250">
      <c r="B250" s="2">
        <f t="array" ref="B250:J250">IF(Append1!A249:I249="","",Append1!A249:I249)</f>
        <v/>
      </c>
      <c r="C250" s="3" t="str"/>
      <c r="D250" s="2" t="str"/>
      <c r="E250" s="2" t="str"/>
      <c r="F250" s="2" t="str"/>
      <c r="G250" s="2" t="str"/>
      <c r="H250" s="2" t="str"/>
      <c r="I250" s="2" t="str"/>
      <c r="J250" s="2" t="str"/>
      <c r="N250" s="2">
        <f>IF(Append1!J249="","",Append1!J249)</f>
        <v/>
      </c>
    </row>
    <row r="251">
      <c r="B251" s="2">
        <f t="array" ref="B251:J251">IF(Append1!A250:I250="","",Append1!A250:I250)</f>
        <v/>
      </c>
      <c r="C251" s="3" t="str"/>
      <c r="D251" s="2" t="str"/>
      <c r="E251" s="2" t="str"/>
      <c r="F251" s="2" t="str"/>
      <c r="G251" s="2" t="str"/>
      <c r="H251" s="2" t="str"/>
      <c r="I251" s="2" t="str"/>
      <c r="J251" s="2" t="str"/>
      <c r="N251" s="2">
        <f>IF(Append1!J250="","",Append1!J250)</f>
        <v/>
      </c>
    </row>
    <row r="252">
      <c r="B252" s="2">
        <f t="array" ref="B252:J252">IF(Append1!A251:I251="","",Append1!A251:I251)</f>
        <v/>
      </c>
      <c r="C252" s="3" t="str"/>
      <c r="D252" s="2" t="str"/>
      <c r="E252" s="2" t="str"/>
      <c r="F252" s="2" t="str"/>
      <c r="G252" s="2" t="str"/>
      <c r="H252" s="2" t="str"/>
      <c r="I252" s="2" t="str"/>
      <c r="J252" s="2" t="str"/>
      <c r="N252" s="2">
        <f>IF(Append1!J251="","",Append1!J251)</f>
        <v/>
      </c>
    </row>
    <row r="253">
      <c r="B253" s="2">
        <f t="array" ref="B253:J253">IF(Append1!A252:I252="","",Append1!A252:I252)</f>
        <v/>
      </c>
      <c r="C253" s="3" t="str"/>
      <c r="D253" s="2" t="str"/>
      <c r="E253" s="2" t="str"/>
      <c r="F253" s="2" t="str"/>
      <c r="G253" s="2" t="str"/>
      <c r="H253" s="2" t="str"/>
      <c r="I253" s="2" t="str"/>
      <c r="J253" s="2" t="str"/>
      <c r="N253" s="2">
        <f>IF(Append1!J252="","",Append1!J252)</f>
        <v/>
      </c>
    </row>
    <row r="254">
      <c r="B254" s="2">
        <f t="array" ref="B254:J254">IF(Append1!A253:I253="","",Append1!A253:I253)</f>
        <v/>
      </c>
      <c r="C254" s="3" t="str"/>
      <c r="D254" s="2" t="str"/>
      <c r="E254" s="2" t="str"/>
      <c r="F254" s="2" t="str"/>
      <c r="G254" s="2" t="str"/>
      <c r="H254" s="2" t="str"/>
      <c r="I254" s="2" t="str"/>
      <c r="J254" s="2" t="str"/>
      <c r="N254" s="2">
        <f>IF(Append1!J253="","",Append1!J253)</f>
        <v/>
      </c>
    </row>
    <row r="255">
      <c r="B255" s="2">
        <f t="array" ref="B255:J255">IF(Append1!A254:I254="","",Append1!A254:I254)</f>
        <v/>
      </c>
      <c r="C255" s="3" t="str"/>
      <c r="D255" s="2" t="str"/>
      <c r="E255" s="2" t="str"/>
      <c r="F255" s="2" t="str"/>
      <c r="G255" s="2" t="str"/>
      <c r="H255" s="2" t="str"/>
      <c r="I255" s="2" t="str"/>
      <c r="J255" s="2" t="str"/>
      <c r="N255" s="2">
        <f>IF(Append1!J254="","",Append1!J254)</f>
        <v/>
      </c>
    </row>
    <row r="256">
      <c r="B256" s="2">
        <f t="array" ref="B256:J256">IF(Append1!A255:I255="","",Append1!A255:I255)</f>
        <v/>
      </c>
      <c r="C256" s="3" t="str"/>
      <c r="D256" s="2" t="str"/>
      <c r="E256" s="2" t="str"/>
      <c r="F256" s="2" t="str"/>
      <c r="G256" s="2" t="str"/>
      <c r="H256" s="2" t="str"/>
      <c r="I256" s="2" t="str"/>
      <c r="J256" s="2" t="str"/>
      <c r="N256" s="2">
        <f>IF(Append1!J255="","",Append1!J255)</f>
        <v/>
      </c>
    </row>
    <row r="257">
      <c r="B257" s="2">
        <f t="array" ref="B257:J257">IF(Append1!A256:I256="","",Append1!A256:I256)</f>
        <v/>
      </c>
      <c r="C257" s="3" t="str"/>
      <c r="D257" s="2" t="str"/>
      <c r="E257" s="2" t="str"/>
      <c r="F257" s="2" t="str"/>
      <c r="G257" s="2" t="str"/>
      <c r="H257" s="2" t="str"/>
      <c r="I257" s="2" t="str"/>
      <c r="J257" s="2" t="str"/>
      <c r="N257" s="2">
        <f>IF(Append1!J256="","",Append1!J256)</f>
        <v/>
      </c>
    </row>
    <row r="258">
      <c r="B258" s="2">
        <f t="array" ref="B258:J258">IF(Append1!A257:I257="","",Append1!A257:I257)</f>
        <v/>
      </c>
      <c r="C258" s="3" t="str"/>
      <c r="D258" s="2" t="str"/>
      <c r="E258" s="2" t="str"/>
      <c r="F258" s="2" t="str"/>
      <c r="G258" s="2" t="str"/>
      <c r="H258" s="2" t="str"/>
      <c r="I258" s="2" t="str"/>
      <c r="J258" s="2" t="str"/>
      <c r="N258" s="2">
        <f>IF(Append1!J257="","",Append1!J257)</f>
        <v/>
      </c>
    </row>
    <row r="259">
      <c r="B259" s="2">
        <f t="array" ref="B259:J259">IF(Append1!A258:I258="","",Append1!A258:I258)</f>
        <v/>
      </c>
      <c r="C259" s="3" t="str"/>
      <c r="D259" s="2" t="str"/>
      <c r="E259" s="2" t="str"/>
      <c r="F259" s="2" t="str"/>
      <c r="G259" s="2" t="str"/>
      <c r="H259" s="2" t="str"/>
      <c r="I259" s="2" t="str"/>
      <c r="J259" s="2" t="str"/>
      <c r="N259" s="2">
        <f>IF(Append1!J258="","",Append1!J258)</f>
        <v/>
      </c>
    </row>
    <row r="260">
      <c r="B260" s="2">
        <f t="array" ref="B260:J260">IF(Append1!A259:I259="","",Append1!A259:I259)</f>
        <v/>
      </c>
      <c r="C260" s="3" t="str"/>
      <c r="D260" s="2" t="str"/>
      <c r="E260" s="2" t="str"/>
      <c r="F260" s="2" t="str"/>
      <c r="G260" s="2" t="str"/>
      <c r="H260" s="2" t="str"/>
      <c r="I260" s="2" t="str"/>
      <c r="J260" s="2" t="str"/>
      <c r="N260" s="2">
        <f>IF(Append1!J259="","",Append1!J259)</f>
        <v/>
      </c>
    </row>
    <row r="261">
      <c r="B261" s="2">
        <f t="array" ref="B261:J261">IF(Append1!A260:I260="","",Append1!A260:I260)</f>
        <v/>
      </c>
      <c r="C261" s="3" t="str"/>
      <c r="D261" s="2" t="str"/>
      <c r="E261" s="2" t="str"/>
      <c r="F261" s="2" t="str"/>
      <c r="G261" s="2" t="str"/>
      <c r="H261" s="2" t="str"/>
      <c r="I261" s="2" t="str"/>
      <c r="J261" s="2" t="str"/>
      <c r="N261" s="2">
        <f>IF(Append1!J260="","",Append1!J260)</f>
        <v/>
      </c>
    </row>
    <row r="262">
      <c r="B262" s="2">
        <f t="array" ref="B262:J262">IF(Append1!A261:I261="","",Append1!A261:I261)</f>
        <v/>
      </c>
      <c r="C262" s="3" t="str"/>
      <c r="D262" s="2" t="str"/>
      <c r="E262" s="2" t="str"/>
      <c r="F262" s="2" t="str"/>
      <c r="G262" s="2" t="str"/>
      <c r="H262" s="2" t="str"/>
      <c r="I262" s="2" t="str"/>
      <c r="J262" s="2" t="str"/>
      <c r="N262" s="2">
        <f>IF(Append1!J261="","",Append1!J261)</f>
        <v/>
      </c>
    </row>
    <row r="263">
      <c r="B263" s="2">
        <f t="array" ref="B263:J263">IF(Append1!A262:I262="","",Append1!A262:I262)</f>
        <v/>
      </c>
      <c r="C263" s="3" t="str"/>
      <c r="D263" s="2" t="str"/>
      <c r="E263" s="2" t="str"/>
      <c r="F263" s="2" t="str"/>
      <c r="G263" s="2" t="str"/>
      <c r="H263" s="2" t="str"/>
      <c r="I263" s="2" t="str"/>
      <c r="J263" s="2" t="str"/>
      <c r="N263" s="2">
        <f>IF(Append1!J262="","",Append1!J262)</f>
        <v/>
      </c>
    </row>
    <row r="264">
      <c r="B264" s="2">
        <f t="array" ref="B264:J264">IF(Append1!A263:I263="","",Append1!A263:I263)</f>
        <v/>
      </c>
      <c r="C264" s="3" t="str"/>
      <c r="D264" s="2" t="str"/>
      <c r="E264" s="2" t="str"/>
      <c r="F264" s="2" t="str"/>
      <c r="G264" s="2" t="str"/>
      <c r="H264" s="2" t="str"/>
      <c r="I264" s="2" t="str"/>
      <c r="J264" s="2" t="str"/>
      <c r="N264" s="2">
        <f>IF(Append1!J263="","",Append1!J263)</f>
        <v/>
      </c>
    </row>
    <row r="265">
      <c r="B265" s="2">
        <f t="array" ref="B265:J265">IF(Append1!A264:I264="","",Append1!A264:I264)</f>
        <v/>
      </c>
      <c r="C265" s="3" t="str"/>
      <c r="D265" s="2" t="str"/>
      <c r="E265" s="2" t="str"/>
      <c r="F265" s="2" t="str"/>
      <c r="G265" s="2" t="str"/>
      <c r="H265" s="2" t="str"/>
      <c r="I265" s="2" t="str"/>
      <c r="J265" s="2" t="str"/>
      <c r="N265" s="2">
        <f>IF(Append1!J264="","",Append1!J264)</f>
        <v/>
      </c>
    </row>
    <row r="266">
      <c r="B266" s="2">
        <f t="array" ref="B266:J266">IF(Append1!A265:I265="","",Append1!A265:I265)</f>
        <v/>
      </c>
      <c r="C266" s="3" t="str"/>
      <c r="D266" s="2" t="str"/>
      <c r="E266" s="2" t="str"/>
      <c r="F266" s="2" t="str"/>
      <c r="G266" s="2" t="str"/>
      <c r="H266" s="2" t="str"/>
      <c r="I266" s="2" t="str"/>
      <c r="J266" s="2" t="str"/>
      <c r="N266" s="2">
        <f>IF(Append1!J265="","",Append1!J265)</f>
        <v/>
      </c>
    </row>
    <row r="267">
      <c r="B267" s="2">
        <f t="array" ref="B267:J267">IF(Append1!A266:I266="","",Append1!A266:I266)</f>
        <v/>
      </c>
      <c r="C267" s="3" t="str"/>
      <c r="D267" s="2" t="str"/>
      <c r="E267" s="2" t="str"/>
      <c r="F267" s="2" t="str"/>
      <c r="G267" s="2" t="str"/>
      <c r="H267" s="2" t="str"/>
      <c r="I267" s="2" t="str"/>
      <c r="J267" s="2" t="str"/>
      <c r="N267" s="2">
        <f>IF(Append1!J266="","",Append1!J266)</f>
        <v/>
      </c>
    </row>
    <row r="268">
      <c r="B268" s="2">
        <f t="array" ref="B268:J268">IF(Append1!A267:I267="","",Append1!A267:I267)</f>
        <v/>
      </c>
      <c r="C268" s="3" t="str"/>
      <c r="D268" s="2" t="str"/>
      <c r="E268" s="2" t="str"/>
      <c r="F268" s="2" t="str"/>
      <c r="G268" s="2" t="str"/>
      <c r="H268" s="2" t="str"/>
      <c r="I268" s="2" t="str"/>
      <c r="J268" s="2" t="str"/>
      <c r="N268" s="2">
        <f>IF(Append1!J267="","",Append1!J267)</f>
        <v/>
      </c>
    </row>
    <row r="269">
      <c r="B269" s="2">
        <f t="array" ref="B269:J269">IF(Append1!A268:I268="","",Append1!A268:I268)</f>
        <v/>
      </c>
      <c r="C269" s="3" t="str"/>
      <c r="D269" s="2" t="str"/>
      <c r="E269" s="2" t="str"/>
      <c r="F269" s="2" t="str"/>
      <c r="G269" s="2" t="str"/>
      <c r="H269" s="2" t="str"/>
      <c r="I269" s="2" t="str"/>
      <c r="J269" s="2" t="str"/>
      <c r="N269" s="2">
        <f>IF(Append1!J268="","",Append1!J268)</f>
        <v/>
      </c>
    </row>
    <row r="270">
      <c r="B270" s="2">
        <f t="array" ref="B270:J270">IF(Append1!A269:I269="","",Append1!A269:I269)</f>
        <v/>
      </c>
      <c r="C270" s="3" t="str"/>
      <c r="D270" s="2" t="str"/>
      <c r="E270" s="2" t="str"/>
      <c r="F270" s="2" t="str"/>
      <c r="G270" s="2" t="str"/>
      <c r="H270" s="2" t="str"/>
      <c r="I270" s="2" t="str"/>
      <c r="J270" s="2" t="str"/>
      <c r="N270" s="2">
        <f>IF(Append1!J269="","",Append1!J269)</f>
        <v/>
      </c>
    </row>
    <row r="271">
      <c r="B271" s="2">
        <f t="array" ref="B271:J271">IF(Append1!A270:I270="","",Append1!A270:I270)</f>
        <v/>
      </c>
      <c r="C271" s="3" t="str"/>
      <c r="D271" s="2" t="str"/>
      <c r="E271" s="2" t="str"/>
      <c r="F271" s="2" t="str"/>
      <c r="G271" s="2" t="str"/>
      <c r="H271" s="2" t="str"/>
      <c r="I271" s="2" t="str"/>
      <c r="J271" s="2" t="str"/>
      <c r="N271" s="2">
        <f>IF(Append1!J270="","",Append1!J270)</f>
        <v/>
      </c>
    </row>
    <row r="272">
      <c r="B272" s="2">
        <f t="array" ref="B272:J272">IF(Append1!A271:I271="","",Append1!A271:I271)</f>
        <v/>
      </c>
      <c r="C272" s="3" t="str"/>
      <c r="D272" s="2" t="str"/>
      <c r="E272" s="2" t="str"/>
      <c r="F272" s="2" t="str"/>
      <c r="G272" s="2" t="str"/>
      <c r="H272" s="2" t="str"/>
      <c r="I272" s="2" t="str"/>
      <c r="J272" s="2" t="str"/>
      <c r="N272" s="2">
        <f>IF(Append1!J271="","",Append1!J271)</f>
        <v/>
      </c>
    </row>
    <row r="273">
      <c r="B273" s="2">
        <f t="array" ref="B273:J273">IF(Append1!A272:I272="","",Append1!A272:I272)</f>
        <v/>
      </c>
      <c r="C273" s="3" t="str"/>
      <c r="D273" s="2" t="str"/>
      <c r="E273" s="2" t="str"/>
      <c r="F273" s="2" t="str"/>
      <c r="G273" s="2" t="str"/>
      <c r="H273" s="2" t="str"/>
      <c r="I273" s="2" t="str"/>
      <c r="J273" s="2" t="str"/>
      <c r="N273" s="2">
        <f>IF(Append1!J272="","",Append1!J272)</f>
        <v/>
      </c>
    </row>
    <row r="274">
      <c r="B274" s="2">
        <f t="array" ref="B274:J274">IF(Append1!A273:I273="","",Append1!A273:I273)</f>
        <v/>
      </c>
      <c r="C274" s="3" t="str"/>
      <c r="D274" s="2" t="str"/>
      <c r="E274" s="2" t="str"/>
      <c r="F274" s="2" t="str"/>
      <c r="G274" s="2" t="str"/>
      <c r="H274" s="2" t="str"/>
      <c r="I274" s="2" t="str"/>
      <c r="J274" s="2" t="str"/>
      <c r="N274" s="2">
        <f>IF(Append1!J273="","",Append1!J273)</f>
        <v/>
      </c>
    </row>
    <row r="275">
      <c r="B275" s="2">
        <f t="array" ref="B275:J275">IF(Append1!A274:I274="","",Append1!A274:I274)</f>
        <v/>
      </c>
      <c r="C275" s="3" t="str"/>
      <c r="D275" s="2" t="str"/>
      <c r="E275" s="2" t="str"/>
      <c r="F275" s="2" t="str"/>
      <c r="G275" s="2" t="str"/>
      <c r="H275" s="2" t="str"/>
      <c r="I275" s="2" t="str"/>
      <c r="J275" s="2" t="str"/>
      <c r="N275" s="2">
        <f>IF(Append1!J274="","",Append1!J274)</f>
        <v/>
      </c>
    </row>
    <row r="276">
      <c r="B276" s="2">
        <f t="array" ref="B276:J276">IF(Append1!A275:I275="","",Append1!A275:I275)</f>
        <v/>
      </c>
      <c r="C276" s="3" t="str"/>
      <c r="D276" s="2" t="str"/>
      <c r="E276" s="2" t="str"/>
      <c r="F276" s="2" t="str"/>
      <c r="G276" s="2" t="str"/>
      <c r="H276" s="2" t="str"/>
      <c r="I276" s="2" t="str"/>
      <c r="J276" s="2" t="str"/>
      <c r="N276" s="2">
        <f>IF(Append1!J275="","",Append1!J275)</f>
        <v/>
      </c>
    </row>
    <row r="277">
      <c r="B277" s="2">
        <f t="array" ref="B277:J277">IF(Append1!A276:I276="","",Append1!A276:I276)</f>
        <v/>
      </c>
      <c r="C277" s="3" t="str"/>
      <c r="D277" s="2" t="str"/>
      <c r="E277" s="2" t="str"/>
      <c r="F277" s="2" t="str"/>
      <c r="G277" s="2" t="str"/>
      <c r="H277" s="2" t="str"/>
      <c r="I277" s="2" t="str"/>
      <c r="J277" s="2" t="str"/>
      <c r="N277" s="2">
        <f>IF(Append1!J276="","",Append1!J276)</f>
        <v/>
      </c>
    </row>
    <row r="278">
      <c r="B278" s="2">
        <f t="array" ref="B278:J278">IF(Append1!A277:I277="","",Append1!A277:I277)</f>
        <v/>
      </c>
      <c r="C278" s="3" t="str"/>
      <c r="D278" s="2" t="str"/>
      <c r="E278" s="2" t="str"/>
      <c r="F278" s="2" t="str"/>
      <c r="G278" s="2" t="str"/>
      <c r="H278" s="2" t="str"/>
      <c r="I278" s="2" t="str"/>
      <c r="J278" s="2" t="str"/>
      <c r="N278" s="2">
        <f>IF(Append1!J277="","",Append1!J277)</f>
        <v/>
      </c>
    </row>
    <row r="279">
      <c r="B279" s="2">
        <f t="array" ref="B279:J279">IF(Append1!A278:I278="","",Append1!A278:I278)</f>
        <v/>
      </c>
      <c r="C279" s="3" t="str"/>
      <c r="D279" s="2" t="str"/>
      <c r="E279" s="2" t="str"/>
      <c r="F279" s="2" t="str"/>
      <c r="G279" s="2" t="str"/>
      <c r="H279" s="2" t="str"/>
      <c r="I279" s="2" t="str"/>
      <c r="J279" s="2" t="str"/>
      <c r="N279" s="2">
        <f>IF(Append1!J278="","",Append1!J278)</f>
        <v/>
      </c>
    </row>
    <row r="280">
      <c r="B280" s="2">
        <f t="array" ref="B280:J280">IF(Append1!A279:I279="","",Append1!A279:I279)</f>
        <v/>
      </c>
      <c r="C280" s="3" t="str"/>
      <c r="D280" s="2" t="str"/>
      <c r="E280" s="2" t="str"/>
      <c r="F280" s="2" t="str"/>
      <c r="G280" s="2" t="str"/>
      <c r="H280" s="2" t="str"/>
      <c r="I280" s="2" t="str"/>
      <c r="J280" s="2" t="str"/>
      <c r="N280" s="2">
        <f>IF(Append1!J279="","",Append1!J279)</f>
        <v/>
      </c>
    </row>
    <row r="281">
      <c r="B281" s="2">
        <f t="array" ref="B281:J281">IF(Append1!A280:I280="","",Append1!A280:I280)</f>
        <v/>
      </c>
      <c r="C281" s="3" t="str"/>
      <c r="D281" s="2" t="str"/>
      <c r="E281" s="2" t="str"/>
      <c r="F281" s="2" t="str"/>
      <c r="G281" s="2" t="str"/>
      <c r="H281" s="2" t="str"/>
      <c r="I281" s="2" t="str"/>
      <c r="J281" s="2" t="str"/>
      <c r="N281" s="2">
        <f>IF(Append1!J280="","",Append1!J280)</f>
        <v/>
      </c>
    </row>
    <row r="282">
      <c r="B282" s="2">
        <f t="array" ref="B282:J282">IF(Append1!A281:I281="","",Append1!A281:I281)</f>
        <v/>
      </c>
      <c r="C282" s="3" t="str"/>
      <c r="D282" s="2" t="str"/>
      <c r="E282" s="2" t="str"/>
      <c r="F282" s="2" t="str"/>
      <c r="G282" s="2" t="str"/>
      <c r="H282" s="2" t="str"/>
      <c r="I282" s="2" t="str"/>
      <c r="J282" s="2" t="str"/>
      <c r="N282" s="2">
        <f>IF(Append1!J281="","",Append1!J281)</f>
        <v/>
      </c>
    </row>
    <row r="283">
      <c r="B283" s="2">
        <f t="array" ref="B283:J283">IF(Append1!A282:I282="","",Append1!A282:I282)</f>
        <v/>
      </c>
      <c r="C283" s="3" t="str"/>
      <c r="D283" s="2" t="str"/>
      <c r="E283" s="2" t="str"/>
      <c r="F283" s="2" t="str"/>
      <c r="G283" s="2" t="str"/>
      <c r="H283" s="2" t="str"/>
      <c r="I283" s="2" t="str"/>
      <c r="J283" s="2" t="str"/>
      <c r="N283" s="2">
        <f>IF(Append1!J282="","",Append1!J282)</f>
        <v/>
      </c>
    </row>
    <row r="284">
      <c r="B284" s="2">
        <f t="array" ref="B284:J284">IF(Append1!A283:I283="","",Append1!A283:I283)</f>
        <v/>
      </c>
      <c r="C284" s="3" t="str"/>
      <c r="D284" s="2" t="str"/>
      <c r="E284" s="2" t="str"/>
      <c r="F284" s="2" t="str"/>
      <c r="G284" s="2" t="str"/>
      <c r="H284" s="2" t="str"/>
      <c r="I284" s="2" t="str"/>
      <c r="J284" s="2" t="str"/>
      <c r="N284" s="2">
        <f>IF(Append1!J283="","",Append1!J283)</f>
        <v/>
      </c>
    </row>
    <row r="285">
      <c r="B285" s="2">
        <f t="array" ref="B285:J285">IF(Append1!A284:I284="","",Append1!A284:I284)</f>
        <v/>
      </c>
      <c r="C285" s="3" t="str"/>
      <c r="D285" s="2" t="str"/>
      <c r="E285" s="2" t="str"/>
      <c r="F285" s="2" t="str"/>
      <c r="G285" s="2" t="str"/>
      <c r="H285" s="2" t="str"/>
      <c r="I285" s="2" t="str"/>
      <c r="J285" s="2" t="str"/>
      <c r="N285" s="2">
        <f>IF(Append1!J284="","",Append1!J284)</f>
        <v/>
      </c>
    </row>
    <row r="286">
      <c r="B286" s="2">
        <f t="array" ref="B286:J286">IF(Append1!A285:I285="","",Append1!A285:I285)</f>
        <v/>
      </c>
      <c r="C286" s="3" t="str"/>
      <c r="D286" s="2" t="str"/>
      <c r="E286" s="2" t="str"/>
      <c r="F286" s="2" t="str"/>
      <c r="G286" s="2" t="str"/>
      <c r="H286" s="2" t="str"/>
      <c r="I286" s="2" t="str"/>
      <c r="J286" s="2" t="str"/>
      <c r="N286" s="2">
        <f>IF(Append1!J285="","",Append1!J285)</f>
        <v/>
      </c>
    </row>
    <row r="287">
      <c r="B287" s="2">
        <f t="array" ref="B287:J287">IF(Append1!A286:I286="","",Append1!A286:I286)</f>
        <v/>
      </c>
      <c r="C287" s="3" t="str"/>
      <c r="D287" s="2" t="str"/>
      <c r="E287" s="2" t="str"/>
      <c r="F287" s="2" t="str"/>
      <c r="G287" s="2" t="str"/>
      <c r="H287" s="2" t="str"/>
      <c r="I287" s="2" t="str"/>
      <c r="J287" s="2" t="str"/>
      <c r="N287" s="2">
        <f>IF(Append1!J286="","",Append1!J286)</f>
        <v/>
      </c>
    </row>
    <row r="288">
      <c r="B288" s="2">
        <f t="array" ref="B288:J288">IF(Append1!A287:I287="","",Append1!A287:I287)</f>
        <v/>
      </c>
      <c r="C288" s="3" t="str"/>
      <c r="D288" s="2" t="str"/>
      <c r="E288" s="2" t="str"/>
      <c r="F288" s="2" t="str"/>
      <c r="G288" s="2" t="str"/>
      <c r="H288" s="2" t="str"/>
      <c r="I288" s="2" t="str"/>
      <c r="J288" s="2" t="str"/>
      <c r="N288" s="2">
        <f>IF(Append1!J287="","",Append1!J287)</f>
        <v/>
      </c>
    </row>
    <row r="289">
      <c r="B289" s="2">
        <f t="array" ref="B289:J289">IF(Append1!A288:I288="","",Append1!A288:I288)</f>
        <v/>
      </c>
      <c r="C289" s="3" t="str"/>
      <c r="D289" s="2" t="str"/>
      <c r="E289" s="2" t="str"/>
      <c r="F289" s="2" t="str"/>
      <c r="G289" s="2" t="str"/>
      <c r="H289" s="2" t="str"/>
      <c r="I289" s="2" t="str"/>
      <c r="J289" s="2" t="str"/>
      <c r="N289" s="2">
        <f>IF(Append1!J288="","",Append1!J288)</f>
        <v/>
      </c>
    </row>
    <row r="290">
      <c r="B290" s="2">
        <f t="array" ref="B290:J290">IF(Append1!A289:I289="","",Append1!A289:I289)</f>
        <v/>
      </c>
      <c r="C290" s="3" t="str"/>
      <c r="D290" s="2" t="str"/>
      <c r="E290" s="2" t="str"/>
      <c r="F290" s="2" t="str"/>
      <c r="G290" s="2" t="str"/>
      <c r="H290" s="2" t="str"/>
      <c r="I290" s="2" t="str"/>
      <c r="J290" s="2" t="str"/>
      <c r="N290" s="2">
        <f>IF(Append1!J289="","",Append1!J289)</f>
        <v/>
      </c>
    </row>
    <row r="291">
      <c r="B291" s="2">
        <f t="array" ref="B291:J291">IF(Append1!A290:I290="","",Append1!A290:I290)</f>
        <v/>
      </c>
      <c r="C291" s="3" t="str"/>
      <c r="D291" s="2" t="str"/>
      <c r="E291" s="2" t="str"/>
      <c r="F291" s="2" t="str"/>
      <c r="G291" s="2" t="str"/>
      <c r="H291" s="2" t="str"/>
      <c r="I291" s="2" t="str"/>
      <c r="J291" s="2" t="str"/>
      <c r="N291" s="2">
        <f>IF(Append1!J290="","",Append1!J290)</f>
        <v/>
      </c>
    </row>
    <row r="292">
      <c r="B292" s="2">
        <f t="array" ref="B292:J292">IF(Append1!A291:I291="","",Append1!A291:I291)</f>
        <v/>
      </c>
      <c r="C292" s="3" t="str"/>
      <c r="D292" s="2" t="str"/>
      <c r="E292" s="2" t="str"/>
      <c r="F292" s="2" t="str"/>
      <c r="G292" s="2" t="str"/>
      <c r="H292" s="2" t="str"/>
      <c r="I292" s="2" t="str"/>
      <c r="J292" s="2" t="str"/>
      <c r="N292" s="2">
        <f>IF(Append1!J291="","",Append1!J291)</f>
        <v/>
      </c>
    </row>
    <row r="293">
      <c r="B293" s="2">
        <f t="array" ref="B293:J293">IF(Append1!A292:I292="","",Append1!A292:I292)</f>
        <v/>
      </c>
      <c r="C293" s="3" t="str"/>
      <c r="D293" s="2" t="str"/>
      <c r="E293" s="2" t="str"/>
      <c r="F293" s="2" t="str"/>
      <c r="G293" s="2" t="str"/>
      <c r="H293" s="2" t="str"/>
      <c r="I293" s="2" t="str"/>
      <c r="J293" s="2" t="str"/>
      <c r="N293" s="2">
        <f>IF(Append1!J292="","",Append1!J292)</f>
        <v/>
      </c>
    </row>
    <row r="294">
      <c r="B294" s="2">
        <f t="array" ref="B294:J294">IF(Append1!A293:I293="","",Append1!A293:I293)</f>
        <v/>
      </c>
      <c r="C294" s="3" t="str"/>
      <c r="D294" s="2" t="str"/>
      <c r="E294" s="2" t="str"/>
      <c r="F294" s="2" t="str"/>
      <c r="G294" s="2" t="str"/>
      <c r="H294" s="2" t="str"/>
      <c r="I294" s="2" t="str"/>
      <c r="J294" s="2" t="str"/>
      <c r="N294" s="2">
        <f>IF(Append1!J293="","",Append1!J293)</f>
        <v/>
      </c>
    </row>
    <row r="295">
      <c r="B295" s="2">
        <f t="array" ref="B295:J295">IF(Append1!A294:I294="","",Append1!A294:I294)</f>
        <v/>
      </c>
      <c r="C295" s="3" t="str"/>
      <c r="D295" s="2" t="str"/>
      <c r="E295" s="2" t="str"/>
      <c r="F295" s="2" t="str"/>
      <c r="G295" s="2" t="str"/>
      <c r="H295" s="2" t="str"/>
      <c r="I295" s="2" t="str"/>
      <c r="J295" s="2" t="str"/>
      <c r="N295" s="2">
        <f>IF(Append1!J294="","",Append1!J294)</f>
        <v/>
      </c>
    </row>
    <row r="296">
      <c r="B296" s="2">
        <f t="array" ref="B296:J296">IF(Append1!A295:I295="","",Append1!A295:I295)</f>
        <v/>
      </c>
      <c r="C296" s="3" t="str"/>
      <c r="D296" s="2" t="str"/>
      <c r="E296" s="2" t="str"/>
      <c r="F296" s="2" t="str"/>
      <c r="G296" s="2" t="str"/>
      <c r="H296" s="2" t="str"/>
      <c r="I296" s="2" t="str"/>
      <c r="J296" s="2" t="str"/>
      <c r="N296" s="2">
        <f>IF(Append1!J295="","",Append1!J295)</f>
        <v/>
      </c>
    </row>
    <row r="297">
      <c r="B297" s="2">
        <f t="array" ref="B297:J297">IF(Append1!A296:I296="","",Append1!A296:I296)</f>
        <v/>
      </c>
      <c r="C297" s="3" t="str"/>
      <c r="D297" s="2" t="str"/>
      <c r="E297" s="2" t="str"/>
      <c r="F297" s="2" t="str"/>
      <c r="G297" s="2" t="str"/>
      <c r="H297" s="2" t="str"/>
      <c r="I297" s="2" t="str"/>
      <c r="J297" s="2" t="str"/>
      <c r="N297" s="2">
        <f>IF(Append1!J296="","",Append1!J296)</f>
        <v/>
      </c>
    </row>
    <row r="298">
      <c r="B298" s="2">
        <f t="array" ref="B298:J298">IF(Append1!A297:I297="","",Append1!A297:I297)</f>
        <v/>
      </c>
      <c r="C298" s="3" t="str"/>
      <c r="D298" s="2" t="str"/>
      <c r="E298" s="2" t="str"/>
      <c r="F298" s="2" t="str"/>
      <c r="G298" s="2" t="str"/>
      <c r="H298" s="2" t="str"/>
      <c r="I298" s="2" t="str"/>
      <c r="J298" s="2" t="str"/>
      <c r="N298" s="2">
        <f>IF(Append1!J297="","",Append1!J297)</f>
        <v/>
      </c>
    </row>
    <row r="299">
      <c r="B299" s="2">
        <f t="array" ref="B299:J299">IF(Append1!A298:I298="","",Append1!A298:I298)</f>
        <v/>
      </c>
      <c r="C299" s="3" t="str"/>
      <c r="D299" s="2" t="str"/>
      <c r="E299" s="2" t="str"/>
      <c r="F299" s="2" t="str"/>
      <c r="G299" s="2" t="str"/>
      <c r="H299" s="2" t="str"/>
      <c r="I299" s="2" t="str"/>
      <c r="J299" s="2" t="str"/>
      <c r="N299" s="2">
        <f>IF(Append1!J298="","",Append1!J298)</f>
        <v/>
      </c>
    </row>
    <row r="300">
      <c r="B300" s="2">
        <f t="array" ref="B300:J300">IF(Append1!A299:I299="","",Append1!A299:I299)</f>
        <v/>
      </c>
      <c r="C300" s="3" t="str"/>
      <c r="D300" s="2" t="str"/>
      <c r="E300" s="2" t="str"/>
      <c r="F300" s="2" t="str"/>
      <c r="G300" s="2" t="str"/>
      <c r="H300" s="2" t="str"/>
      <c r="I300" s="2" t="str"/>
      <c r="J300" s="2" t="str"/>
      <c r="N300" s="2">
        <f>IF(Append1!J299="","",Append1!J299)</f>
        <v/>
      </c>
    </row>
    <row r="301">
      <c r="B301" s="2">
        <f t="array" ref="B301:J301">IF(Append1!A300:I300="","",Append1!A300:I300)</f>
        <v/>
      </c>
      <c r="C301" s="3" t="str"/>
      <c r="D301" s="2" t="str"/>
      <c r="E301" s="2" t="str"/>
      <c r="F301" s="2" t="str"/>
      <c r="G301" s="2" t="str"/>
      <c r="H301" s="2" t="str"/>
      <c r="I301" s="2" t="str"/>
      <c r="J301" s="2" t="str"/>
      <c r="N301" s="2">
        <f>IF(Append1!J300="","",Append1!J300)</f>
        <v/>
      </c>
    </row>
    <row r="302">
      <c r="B302" s="2">
        <f t="array" ref="B302:J302">IF(Append1!A301:I301="","",Append1!A301:I301)</f>
        <v/>
      </c>
      <c r="C302" s="3" t="str"/>
      <c r="D302" s="2" t="str"/>
      <c r="E302" s="2" t="str"/>
      <c r="F302" s="2" t="str"/>
      <c r="G302" s="2" t="str"/>
      <c r="H302" s="2" t="str"/>
      <c r="I302" s="2" t="str"/>
      <c r="J302" s="2" t="str"/>
      <c r="N302" s="2">
        <f>IF(Append1!J301="","",Append1!J301)</f>
        <v/>
      </c>
    </row>
    <row r="303">
      <c r="B303" s="2">
        <f t="array" ref="B303:J303">IF(Append1!A302:I302="","",Append1!A302:I302)</f>
        <v/>
      </c>
      <c r="C303" s="3" t="str"/>
      <c r="D303" s="2" t="str"/>
      <c r="E303" s="2" t="str"/>
      <c r="F303" s="2" t="str"/>
      <c r="G303" s="2" t="str"/>
      <c r="H303" s="2" t="str"/>
      <c r="I303" s="2" t="str"/>
      <c r="J303" s="2" t="str"/>
      <c r="N303" s="2">
        <f>IF(Append1!J302="","",Append1!J302)</f>
        <v/>
      </c>
    </row>
    <row r="304">
      <c r="B304" s="2">
        <f t="array" ref="B304:J304">IF(Append1!A303:I303="","",Append1!A303:I303)</f>
        <v/>
      </c>
      <c r="C304" s="3" t="str"/>
      <c r="D304" s="2" t="str"/>
      <c r="E304" s="2" t="str"/>
      <c r="F304" s="2" t="str"/>
      <c r="G304" s="2" t="str"/>
      <c r="H304" s="2" t="str"/>
      <c r="I304" s="2" t="str"/>
      <c r="J304" s="2" t="str"/>
      <c r="N304" s="2">
        <f>IF(Append1!J303="","",Append1!J303)</f>
        <v/>
      </c>
    </row>
    <row r="305">
      <c r="B305" s="2">
        <f t="array" ref="B305:J305">IF(Append1!A304:I304="","",Append1!A304:I304)</f>
        <v/>
      </c>
      <c r="C305" s="3" t="str"/>
      <c r="D305" s="2" t="str"/>
      <c r="E305" s="2" t="str"/>
      <c r="F305" s="2" t="str"/>
      <c r="G305" s="2" t="str"/>
      <c r="H305" s="2" t="str"/>
      <c r="I305" s="2" t="str"/>
      <c r="J305" s="2" t="str"/>
      <c r="N305" s="2">
        <f>IF(Append1!J304="","",Append1!J304)</f>
        <v/>
      </c>
    </row>
    <row r="306">
      <c r="B306" s="2">
        <f t="array" ref="B306:J306">IF(Append1!A305:I305="","",Append1!A305:I305)</f>
        <v/>
      </c>
      <c r="C306" s="3" t="str"/>
      <c r="D306" s="2" t="str"/>
      <c r="E306" s="2" t="str"/>
      <c r="F306" s="2" t="str"/>
      <c r="G306" s="2" t="str"/>
      <c r="H306" s="2" t="str"/>
      <c r="I306" s="2" t="str"/>
      <c r="J306" s="2" t="str"/>
      <c r="N306" s="2">
        <f>IF(Append1!J305="","",Append1!J305)</f>
        <v/>
      </c>
    </row>
    <row r="307">
      <c r="B307" s="2">
        <f t="array" ref="B307:J307">IF(Append1!A306:I306="","",Append1!A306:I306)</f>
        <v/>
      </c>
      <c r="C307" s="3" t="str"/>
      <c r="D307" s="2" t="str"/>
      <c r="E307" s="2" t="str"/>
      <c r="F307" s="2" t="str"/>
      <c r="G307" s="2" t="str"/>
      <c r="H307" s="2" t="str"/>
      <c r="I307" s="2" t="str"/>
      <c r="J307" s="2" t="str"/>
      <c r="N307" s="2">
        <f>IF(Append1!J306="","",Append1!J306)</f>
        <v/>
      </c>
    </row>
    <row r="308">
      <c r="B308" s="2">
        <f t="array" ref="B308:J308">IF(Append1!A307:I307="","",Append1!A307:I307)</f>
        <v/>
      </c>
      <c r="C308" s="3" t="str"/>
      <c r="D308" s="2" t="str"/>
      <c r="E308" s="2" t="str"/>
      <c r="F308" s="2" t="str"/>
      <c r="G308" s="2" t="str"/>
      <c r="H308" s="2" t="str"/>
      <c r="I308" s="2" t="str"/>
      <c r="J308" s="2" t="str"/>
      <c r="N308" s="2">
        <f>IF(Append1!J307="","",Append1!J307)</f>
        <v/>
      </c>
    </row>
    <row r="309">
      <c r="B309" s="2">
        <f t="array" ref="B309:J309">IF(Append1!A308:I308="","",Append1!A308:I308)</f>
        <v/>
      </c>
      <c r="C309" s="3" t="str"/>
      <c r="D309" s="2" t="str"/>
      <c r="E309" s="2" t="str"/>
      <c r="F309" s="2" t="str"/>
      <c r="G309" s="2" t="str"/>
      <c r="H309" s="2" t="str"/>
      <c r="I309" s="2" t="str"/>
      <c r="J309" s="2" t="str"/>
      <c r="N309" s="2">
        <f>IF(Append1!J308="","",Append1!J308)</f>
        <v/>
      </c>
    </row>
    <row r="310">
      <c r="B310" s="2">
        <f t="array" ref="B310:J310">IF(Append1!A309:I309="","",Append1!A309:I309)</f>
        <v/>
      </c>
      <c r="C310" s="3" t="str"/>
      <c r="D310" s="2" t="str"/>
      <c r="E310" s="2" t="str"/>
      <c r="F310" s="2" t="str"/>
      <c r="G310" s="2" t="str"/>
      <c r="H310" s="2" t="str"/>
      <c r="I310" s="2" t="str"/>
      <c r="J310" s="2" t="str"/>
      <c r="N310" s="2">
        <f>IF(Append1!J309="","",Append1!J309)</f>
        <v/>
      </c>
    </row>
    <row r="311">
      <c r="B311" s="2">
        <f t="array" ref="B311:J311">IF(Append1!A310:I310="","",Append1!A310:I310)</f>
        <v/>
      </c>
      <c r="C311" s="3" t="str"/>
      <c r="D311" s="2" t="str"/>
      <c r="E311" s="2" t="str"/>
      <c r="F311" s="2" t="str"/>
      <c r="G311" s="2" t="str"/>
      <c r="H311" s="2" t="str"/>
      <c r="I311" s="2" t="str"/>
      <c r="J311" s="2" t="str"/>
      <c r="N311" s="2">
        <f>IF(Append1!J310="","",Append1!J310)</f>
        <v/>
      </c>
    </row>
    <row r="312">
      <c r="B312" s="2">
        <f t="array" ref="B312:J312">IF(Append1!A311:I311="","",Append1!A311:I311)</f>
        <v/>
      </c>
      <c r="C312" s="3" t="str"/>
      <c r="D312" s="2" t="str"/>
      <c r="E312" s="2" t="str"/>
      <c r="F312" s="2" t="str"/>
      <c r="G312" s="2" t="str"/>
      <c r="H312" s="2" t="str"/>
      <c r="I312" s="2" t="str"/>
      <c r="J312" s="2" t="str"/>
      <c r="N312" s="2">
        <f>IF(Append1!J311="","",Append1!J311)</f>
        <v/>
      </c>
    </row>
    <row r="313">
      <c r="B313" s="2">
        <f t="array" ref="B313:J313">IF(Append1!A312:I312="","",Append1!A312:I312)</f>
        <v/>
      </c>
      <c r="C313" s="3" t="str"/>
      <c r="D313" s="2" t="str"/>
      <c r="E313" s="2" t="str"/>
      <c r="F313" s="2" t="str"/>
      <c r="G313" s="2" t="str"/>
      <c r="H313" s="2" t="str"/>
      <c r="I313" s="2" t="str"/>
      <c r="J313" s="2" t="str"/>
      <c r="N313" s="2">
        <f>IF(Append1!J312="","",Append1!J312)</f>
        <v/>
      </c>
    </row>
    <row r="314">
      <c r="B314" s="2">
        <f t="array" ref="B314:J314">IF(Append1!A313:I313="","",Append1!A313:I313)</f>
        <v/>
      </c>
      <c r="C314" s="3" t="str"/>
      <c r="D314" s="2" t="str"/>
      <c r="E314" s="2" t="str"/>
      <c r="F314" s="2" t="str"/>
      <c r="G314" s="2" t="str"/>
      <c r="H314" s="2" t="str"/>
      <c r="I314" s="2" t="str"/>
      <c r="J314" s="2" t="str"/>
      <c r="N314" s="2">
        <f>IF(Append1!J313="","",Append1!J313)</f>
        <v/>
      </c>
    </row>
    <row r="315">
      <c r="B315" s="2">
        <f t="array" ref="B315:J315">IF(Append1!A314:I314="","",Append1!A314:I314)</f>
        <v/>
      </c>
      <c r="C315" s="3" t="str"/>
      <c r="D315" s="2" t="str"/>
      <c r="E315" s="2" t="str"/>
      <c r="F315" s="2" t="str"/>
      <c r="G315" s="2" t="str"/>
      <c r="H315" s="2" t="str"/>
      <c r="I315" s="2" t="str"/>
      <c r="J315" s="2" t="str"/>
      <c r="N315" s="2">
        <f>IF(Append1!J314="","",Append1!J314)</f>
        <v/>
      </c>
    </row>
    <row r="316">
      <c r="B316" s="2">
        <f t="array" ref="B316:J316">IF(Append1!A315:I315="","",Append1!A315:I315)</f>
        <v/>
      </c>
      <c r="C316" s="3" t="str"/>
      <c r="D316" s="2" t="str"/>
      <c r="E316" s="2" t="str"/>
      <c r="F316" s="2" t="str"/>
      <c r="G316" s="2" t="str"/>
      <c r="H316" s="2" t="str"/>
      <c r="I316" s="2" t="str"/>
      <c r="J316" s="2" t="str"/>
      <c r="N316" s="2">
        <f>IF(Append1!J315="","",Append1!J315)</f>
        <v/>
      </c>
    </row>
    <row r="317">
      <c r="B317" s="2">
        <f t="array" ref="B317:J317">IF(Append1!A316:I316="","",Append1!A316:I316)</f>
        <v/>
      </c>
      <c r="C317" s="3" t="str"/>
      <c r="D317" s="2" t="str"/>
      <c r="E317" s="2" t="str"/>
      <c r="F317" s="2" t="str"/>
      <c r="G317" s="2" t="str"/>
      <c r="H317" s="2" t="str"/>
      <c r="I317" s="2" t="str"/>
      <c r="J317" s="2" t="str"/>
      <c r="N317" s="2">
        <f>IF(Append1!J316="","",Append1!J316)</f>
        <v/>
      </c>
    </row>
    <row r="318">
      <c r="B318" s="2">
        <f t="array" ref="B318:J318">IF(Append1!A317:I317="","",Append1!A317:I317)</f>
        <v/>
      </c>
      <c r="C318" s="3" t="str"/>
      <c r="D318" s="2" t="str"/>
      <c r="E318" s="2" t="str"/>
      <c r="F318" s="2" t="str"/>
      <c r="G318" s="2" t="str"/>
      <c r="H318" s="2" t="str"/>
      <c r="I318" s="2" t="str"/>
      <c r="J318" s="2" t="str"/>
      <c r="N318" s="2">
        <f>IF(Append1!J317="","",Append1!J317)</f>
        <v/>
      </c>
    </row>
    <row r="319">
      <c r="B319" s="2">
        <f t="array" ref="B319:J319">IF(Append1!A318:I318="","",Append1!A318:I318)</f>
        <v/>
      </c>
      <c r="C319" s="3" t="str"/>
      <c r="D319" s="2" t="str"/>
      <c r="E319" s="2" t="str"/>
      <c r="F319" s="2" t="str"/>
      <c r="G319" s="2" t="str"/>
      <c r="H319" s="2" t="str"/>
      <c r="I319" s="2" t="str"/>
      <c r="J319" s="2" t="str"/>
      <c r="N319" s="2">
        <f>IF(Append1!J318="","",Append1!J318)</f>
        <v/>
      </c>
    </row>
    <row r="320">
      <c r="B320" s="2">
        <f t="array" ref="B320:J320">IF(Append1!A319:I319="","",Append1!A319:I319)</f>
        <v/>
      </c>
      <c r="C320" s="3" t="str"/>
      <c r="D320" s="2" t="str"/>
      <c r="E320" s="2" t="str"/>
      <c r="F320" s="2" t="str"/>
      <c r="G320" s="2" t="str"/>
      <c r="H320" s="2" t="str"/>
      <c r="I320" s="2" t="str"/>
      <c r="J320" s="2" t="str"/>
      <c r="N320" s="2">
        <f>IF(Append1!J319="","",Append1!J319)</f>
        <v/>
      </c>
    </row>
    <row r="321">
      <c r="B321" s="2">
        <f t="array" ref="B321:J321">IF(Append1!A320:I320="","",Append1!A320:I320)</f>
        <v/>
      </c>
      <c r="C321" s="3" t="str"/>
      <c r="D321" s="2" t="str"/>
      <c r="E321" s="2" t="str"/>
      <c r="F321" s="2" t="str"/>
      <c r="G321" s="2" t="str"/>
      <c r="H321" s="2" t="str"/>
      <c r="I321" s="2" t="str"/>
      <c r="J321" s="2" t="str"/>
      <c r="N321" s="2">
        <f>IF(Append1!J320="","",Append1!J320)</f>
        <v/>
      </c>
    </row>
    <row r="322">
      <c r="B322" s="2">
        <f t="array" ref="B322:J322">IF(Append1!A321:I321="","",Append1!A321:I321)</f>
        <v/>
      </c>
      <c r="C322" s="3" t="str"/>
      <c r="D322" s="2" t="str"/>
      <c r="E322" s="2" t="str"/>
      <c r="F322" s="2" t="str"/>
      <c r="G322" s="2" t="str"/>
      <c r="H322" s="2" t="str"/>
      <c r="I322" s="2" t="str"/>
      <c r="J322" s="2" t="str"/>
      <c r="N322" s="2">
        <f>IF(Append1!J321="","",Append1!J321)</f>
        <v/>
      </c>
    </row>
    <row r="323">
      <c r="B323" s="2">
        <f t="array" ref="B323:J323">IF(Append1!A322:I322="","",Append1!A322:I322)</f>
        <v/>
      </c>
      <c r="C323" s="3" t="str"/>
      <c r="D323" s="2" t="str"/>
      <c r="E323" s="2" t="str"/>
      <c r="F323" s="2" t="str"/>
      <c r="G323" s="2" t="str"/>
      <c r="H323" s="2" t="str"/>
      <c r="I323" s="2" t="str"/>
      <c r="J323" s="2" t="str"/>
      <c r="N323" s="2">
        <f>IF(Append1!J322="","",Append1!J322)</f>
        <v/>
      </c>
    </row>
    <row r="324">
      <c r="B324" s="2">
        <f t="array" ref="B324:J324">IF(Append1!A323:I323="","",Append1!A323:I323)</f>
        <v/>
      </c>
      <c r="C324" s="3" t="str"/>
      <c r="D324" s="2" t="str"/>
      <c r="E324" s="2" t="str"/>
      <c r="F324" s="2" t="str"/>
      <c r="G324" s="2" t="str"/>
      <c r="H324" s="2" t="str"/>
      <c r="I324" s="2" t="str"/>
      <c r="J324" s="2" t="str"/>
      <c r="N324" s="2">
        <f>IF(Append1!J323="","",Append1!J323)</f>
        <v/>
      </c>
    </row>
    <row r="325">
      <c r="B325" s="2">
        <f t="array" ref="B325:J325">IF(Append1!A324:I324="","",Append1!A324:I324)</f>
        <v/>
      </c>
      <c r="C325" s="3" t="str"/>
      <c r="D325" s="2" t="str"/>
      <c r="E325" s="2" t="str"/>
      <c r="F325" s="2" t="str"/>
      <c r="G325" s="2" t="str"/>
      <c r="H325" s="2" t="str"/>
      <c r="I325" s="2" t="str"/>
      <c r="J325" s="2" t="str"/>
      <c r="N325" s="2">
        <f>IF(Append1!J324="","",Append1!J324)</f>
        <v/>
      </c>
    </row>
    <row r="326">
      <c r="B326" s="2">
        <f t="array" ref="B326:J326">IF(Append1!A325:I325="","",Append1!A325:I325)</f>
        <v/>
      </c>
      <c r="C326" s="3" t="str"/>
      <c r="D326" s="2" t="str"/>
      <c r="E326" s="2" t="str"/>
      <c r="F326" s="2" t="str"/>
      <c r="G326" s="2" t="str"/>
      <c r="H326" s="2" t="str"/>
      <c r="I326" s="2" t="str"/>
      <c r="J326" s="2" t="str"/>
      <c r="N326" s="2">
        <f>IF(Append1!J325="","",Append1!J325)</f>
        <v/>
      </c>
    </row>
    <row r="327">
      <c r="B327" s="2">
        <f t="array" ref="B327:J327">IF(Append1!A326:I326="","",Append1!A326:I326)</f>
        <v/>
      </c>
      <c r="C327" s="3" t="str"/>
      <c r="D327" s="2" t="str"/>
      <c r="E327" s="2" t="str"/>
      <c r="F327" s="2" t="str"/>
      <c r="G327" s="2" t="str"/>
      <c r="H327" s="2" t="str"/>
      <c r="I327" s="2" t="str"/>
      <c r="J327" s="2" t="str"/>
      <c r="N327" s="2">
        <f>IF(Append1!J326="","",Append1!J326)</f>
        <v/>
      </c>
    </row>
    <row r="328">
      <c r="B328" s="2">
        <f t="array" ref="B328:J328">IF(Append1!A327:I327="","",Append1!A327:I327)</f>
        <v/>
      </c>
      <c r="C328" s="3" t="str"/>
      <c r="D328" s="2" t="str"/>
      <c r="E328" s="2" t="str"/>
      <c r="F328" s="2" t="str"/>
      <c r="G328" s="2" t="str"/>
      <c r="H328" s="2" t="str"/>
      <c r="I328" s="2" t="str"/>
      <c r="J328" s="2" t="str"/>
      <c r="N328" s="2">
        <f>IF(Append1!J327="","",Append1!J327)</f>
        <v/>
      </c>
    </row>
    <row r="329">
      <c r="B329" s="2">
        <f t="array" ref="B329:J329">IF(Append1!A328:I328="","",Append1!A328:I328)</f>
        <v/>
      </c>
      <c r="C329" s="3" t="str"/>
      <c r="D329" s="2" t="str"/>
      <c r="E329" s="2" t="str"/>
      <c r="F329" s="2" t="str"/>
      <c r="G329" s="2" t="str"/>
      <c r="H329" s="2" t="str"/>
      <c r="I329" s="2" t="str"/>
      <c r="J329" s="2" t="str"/>
      <c r="N329" s="2">
        <f>IF(Append1!J328="","",Append1!J328)</f>
        <v/>
      </c>
    </row>
    <row r="330">
      <c r="B330" s="2">
        <f t="array" ref="B330:J330">IF(Append1!A329:I329="","",Append1!A329:I329)</f>
        <v/>
      </c>
      <c r="C330" s="3" t="str"/>
      <c r="D330" s="2" t="str"/>
      <c r="E330" s="2" t="str"/>
      <c r="F330" s="2" t="str"/>
      <c r="G330" s="2" t="str"/>
      <c r="H330" s="2" t="str"/>
      <c r="I330" s="2" t="str"/>
      <c r="J330" s="2" t="str"/>
      <c r="N330" s="2">
        <f>IF(Append1!J329="","",Append1!J329)</f>
        <v/>
      </c>
    </row>
    <row r="331">
      <c r="B331" s="2">
        <f t="array" ref="B331:J331">IF(Append1!A330:I330="","",Append1!A330:I330)</f>
        <v/>
      </c>
      <c r="C331" s="3" t="str"/>
      <c r="D331" s="2" t="str"/>
      <c r="E331" s="2" t="str"/>
      <c r="F331" s="2" t="str"/>
      <c r="G331" s="2" t="str"/>
      <c r="H331" s="2" t="str"/>
      <c r="I331" s="2" t="str"/>
      <c r="J331" s="2" t="str"/>
      <c r="N331" s="2">
        <f>IF(Append1!J330="","",Append1!J330)</f>
        <v/>
      </c>
    </row>
    <row r="332">
      <c r="B332" s="2">
        <f t="array" ref="B332:J332">IF(Append1!A331:I331="","",Append1!A331:I331)</f>
        <v/>
      </c>
      <c r="C332" s="3" t="str"/>
      <c r="D332" s="2" t="str"/>
      <c r="E332" s="2" t="str"/>
      <c r="F332" s="2" t="str"/>
      <c r="G332" s="2" t="str"/>
      <c r="H332" s="2" t="str"/>
      <c r="I332" s="2" t="str"/>
      <c r="J332" s="2" t="str"/>
      <c r="N332" s="2">
        <f>IF(Append1!J331="","",Append1!J331)</f>
        <v/>
      </c>
    </row>
    <row r="333">
      <c r="B333" s="2">
        <f t="array" ref="B333:J333">IF(Append1!A332:I332="","",Append1!A332:I332)</f>
        <v/>
      </c>
      <c r="C333" s="3" t="str"/>
      <c r="D333" s="2" t="str"/>
      <c r="E333" s="2" t="str"/>
      <c r="F333" s="2" t="str"/>
      <c r="G333" s="2" t="str"/>
      <c r="H333" s="2" t="str"/>
      <c r="I333" s="2" t="str"/>
      <c r="J333" s="2" t="str"/>
      <c r="N333" s="2">
        <f>IF(Append1!J332="","",Append1!J332)</f>
        <v/>
      </c>
    </row>
    <row r="334">
      <c r="B334" s="2">
        <f t="array" ref="B334:J334">IF(Append1!A333:I333="","",Append1!A333:I333)</f>
        <v/>
      </c>
      <c r="C334" s="3" t="str"/>
      <c r="D334" s="2" t="str"/>
      <c r="E334" s="2" t="str"/>
      <c r="F334" s="2" t="str"/>
      <c r="G334" s="2" t="str"/>
      <c r="H334" s="2" t="str"/>
      <c r="I334" s="2" t="str"/>
      <c r="J334" s="2" t="str"/>
      <c r="N334" s="2">
        <f>IF(Append1!J333="","",Append1!J333)</f>
        <v/>
      </c>
    </row>
    <row r="335">
      <c r="B335" s="2">
        <f t="array" ref="B335:J335">IF(Append1!A334:I334="","",Append1!A334:I334)</f>
        <v/>
      </c>
      <c r="C335" s="3" t="str"/>
      <c r="D335" s="2" t="str"/>
      <c r="E335" s="2" t="str"/>
      <c r="F335" s="2" t="str"/>
      <c r="G335" s="2" t="str"/>
      <c r="H335" s="2" t="str"/>
      <c r="I335" s="2" t="str"/>
      <c r="J335" s="2" t="str"/>
      <c r="N335" s="2">
        <f>IF(Append1!J334="","",Append1!J334)</f>
        <v/>
      </c>
    </row>
    <row r="336">
      <c r="B336" s="2">
        <f t="array" ref="B336:J336">IF(Append1!A335:I335="","",Append1!A335:I335)</f>
        <v/>
      </c>
      <c r="C336" s="3" t="str"/>
      <c r="D336" s="2" t="str"/>
      <c r="E336" s="2" t="str"/>
      <c r="F336" s="2" t="str"/>
      <c r="G336" s="2" t="str"/>
      <c r="H336" s="2" t="str"/>
      <c r="I336" s="2" t="str"/>
      <c r="J336" s="2" t="str"/>
      <c r="N336" s="2">
        <f>IF(Append1!J335="","",Append1!J335)</f>
        <v/>
      </c>
    </row>
    <row r="337">
      <c r="B337" s="2">
        <f t="array" ref="B337:J337">IF(Append1!A336:I336="","",Append1!A336:I336)</f>
        <v/>
      </c>
      <c r="C337" s="3" t="str"/>
      <c r="D337" s="2" t="str"/>
      <c r="E337" s="2" t="str"/>
      <c r="F337" s="2" t="str"/>
      <c r="G337" s="2" t="str"/>
      <c r="H337" s="2" t="str"/>
      <c r="I337" s="2" t="str"/>
      <c r="J337" s="2" t="str"/>
      <c r="N337" s="2">
        <f>IF(Append1!J336="","",Append1!J336)</f>
        <v/>
      </c>
    </row>
    <row r="338">
      <c r="B338" s="2">
        <f t="array" ref="B338:J338">IF(Append1!A337:I337="","",Append1!A337:I337)</f>
        <v/>
      </c>
      <c r="C338" s="3" t="str"/>
      <c r="D338" s="2" t="str"/>
      <c r="E338" s="2" t="str"/>
      <c r="F338" s="2" t="str"/>
      <c r="G338" s="2" t="str"/>
      <c r="H338" s="2" t="str"/>
      <c r="I338" s="2" t="str"/>
      <c r="J338" s="2" t="str"/>
      <c r="N338" s="2">
        <f>IF(Append1!J337="","",Append1!J337)</f>
        <v/>
      </c>
    </row>
    <row r="339">
      <c r="B339" s="2">
        <f t="array" ref="B339:J339">IF(Append1!A338:I338="","",Append1!A338:I338)</f>
        <v/>
      </c>
      <c r="C339" s="3" t="str"/>
      <c r="D339" s="2" t="str"/>
      <c r="E339" s="2" t="str"/>
      <c r="F339" s="2" t="str"/>
      <c r="G339" s="2" t="str"/>
      <c r="H339" s="2" t="str"/>
      <c r="I339" s="2" t="str"/>
      <c r="J339" s="2" t="str"/>
      <c r="N339" s="2">
        <f>IF(Append1!J338="","",Append1!J338)</f>
        <v/>
      </c>
    </row>
    <row r="340">
      <c r="B340" s="2">
        <f t="array" ref="B340:J340">IF(Append1!A339:I339="","",Append1!A339:I339)</f>
        <v/>
      </c>
      <c r="C340" s="3" t="str"/>
      <c r="D340" s="2" t="str"/>
      <c r="E340" s="2" t="str"/>
      <c r="F340" s="2" t="str"/>
      <c r="G340" s="2" t="str"/>
      <c r="H340" s="2" t="str"/>
      <c r="I340" s="2" t="str"/>
      <c r="J340" s="2" t="str"/>
      <c r="N340" s="2">
        <f>IF(Append1!J339="","",Append1!J339)</f>
        <v/>
      </c>
    </row>
    <row r="341">
      <c r="B341" s="2">
        <f t="array" ref="B341:J341">IF(Append1!A340:I340="","",Append1!A340:I340)</f>
        <v/>
      </c>
      <c r="C341" s="3" t="str"/>
      <c r="D341" s="2" t="str"/>
      <c r="E341" s="2" t="str"/>
      <c r="F341" s="2" t="str"/>
      <c r="G341" s="2" t="str"/>
      <c r="H341" s="2" t="str"/>
      <c r="I341" s="2" t="str"/>
      <c r="J341" s="2" t="str"/>
      <c r="N341" s="2">
        <f>IF(Append1!J340="","",Append1!J340)</f>
        <v/>
      </c>
    </row>
    <row r="342">
      <c r="B342" s="2">
        <f t="array" ref="B342:J342">IF(Append1!A341:I341="","",Append1!A341:I341)</f>
        <v/>
      </c>
      <c r="C342" s="3" t="str"/>
      <c r="D342" s="2" t="str"/>
      <c r="E342" s="2" t="str"/>
      <c r="F342" s="2" t="str"/>
      <c r="G342" s="2" t="str"/>
      <c r="H342" s="2" t="str"/>
      <c r="I342" s="2" t="str"/>
      <c r="J342" s="2" t="str"/>
      <c r="N342" s="2">
        <f>IF(Append1!J341="","",Append1!J341)</f>
        <v/>
      </c>
    </row>
    <row r="343">
      <c r="B343" s="2">
        <f t="array" ref="B343:J343">IF(Append1!A342:I342="","",Append1!A342:I342)</f>
        <v/>
      </c>
      <c r="C343" s="3" t="str"/>
      <c r="D343" s="2" t="str"/>
      <c r="E343" s="2" t="str"/>
      <c r="F343" s="2" t="str"/>
      <c r="G343" s="2" t="str"/>
      <c r="H343" s="2" t="str"/>
      <c r="I343" s="2" t="str"/>
      <c r="J343" s="2" t="str"/>
      <c r="N343" s="2">
        <f>IF(Append1!J342="","",Append1!J342)</f>
        <v/>
      </c>
    </row>
    <row r="344">
      <c r="B344" s="2">
        <f t="array" ref="B344:J344">IF(Append1!A343:I343="","",Append1!A343:I343)</f>
        <v/>
      </c>
      <c r="C344" s="3" t="str"/>
      <c r="D344" s="2" t="str"/>
      <c r="E344" s="2" t="str"/>
      <c r="F344" s="2" t="str"/>
      <c r="G344" s="2" t="str"/>
      <c r="H344" s="2" t="str"/>
      <c r="I344" s="2" t="str"/>
      <c r="J344" s="2" t="str"/>
      <c r="N344" s="2">
        <f>IF(Append1!J343="","",Append1!J343)</f>
        <v/>
      </c>
    </row>
    <row r="345">
      <c r="B345" s="2">
        <f t="array" ref="B345:J345">IF(Append1!A344:I344="","",Append1!A344:I344)</f>
        <v/>
      </c>
      <c r="C345" s="3" t="str"/>
      <c r="D345" s="2" t="str"/>
      <c r="E345" s="2" t="str"/>
      <c r="F345" s="2" t="str"/>
      <c r="G345" s="2" t="str"/>
      <c r="H345" s="2" t="str"/>
      <c r="I345" s="2" t="str"/>
      <c r="J345" s="2" t="str"/>
      <c r="N345" s="2">
        <f>IF(Append1!J344="","",Append1!J344)</f>
        <v/>
      </c>
    </row>
    <row r="346">
      <c r="B346" s="2">
        <f t="array" ref="B346:J346">IF(Append1!A345:I345="","",Append1!A345:I345)</f>
        <v/>
      </c>
      <c r="C346" s="3" t="str"/>
      <c r="D346" s="2" t="str"/>
      <c r="E346" s="2" t="str"/>
      <c r="F346" s="2" t="str"/>
      <c r="G346" s="2" t="str"/>
      <c r="H346" s="2" t="str"/>
      <c r="I346" s="2" t="str"/>
      <c r="J346" s="2" t="str"/>
      <c r="N346" s="2">
        <f>IF(Append1!J345="","",Append1!J345)</f>
        <v/>
      </c>
    </row>
    <row r="347">
      <c r="B347" s="2">
        <f t="array" ref="B347:J347">IF(Append1!A346:I346="","",Append1!A346:I346)</f>
        <v/>
      </c>
      <c r="C347" s="3" t="str"/>
      <c r="D347" s="2" t="str"/>
      <c r="E347" s="2" t="str"/>
      <c r="F347" s="2" t="str"/>
      <c r="G347" s="2" t="str"/>
      <c r="H347" s="2" t="str"/>
      <c r="I347" s="2" t="str"/>
      <c r="J347" s="2" t="str"/>
      <c r="N347" s="2">
        <f>IF(Append1!J346="","",Append1!J346)</f>
        <v/>
      </c>
    </row>
    <row r="348">
      <c r="B348" s="2">
        <f t="array" ref="B348:J348">IF(Append1!A347:I347="","",Append1!A347:I347)</f>
        <v/>
      </c>
      <c r="C348" s="3" t="str"/>
      <c r="D348" s="2" t="str"/>
      <c r="E348" s="2" t="str"/>
      <c r="F348" s="2" t="str"/>
      <c r="G348" s="2" t="str"/>
      <c r="H348" s="2" t="str"/>
      <c r="I348" s="2" t="str"/>
      <c r="J348" s="2" t="str"/>
      <c r="N348" s="2">
        <f>IF(Append1!J347="","",Append1!J347)</f>
        <v/>
      </c>
    </row>
    <row r="349">
      <c r="B349" s="2">
        <f t="array" ref="B349:J349">IF(Append1!A348:I348="","",Append1!A348:I348)</f>
        <v/>
      </c>
      <c r="C349" s="3" t="str"/>
      <c r="D349" s="2" t="str"/>
      <c r="E349" s="2" t="str"/>
      <c r="F349" s="2" t="str"/>
      <c r="G349" s="2" t="str"/>
      <c r="H349" s="2" t="str"/>
      <c r="I349" s="2" t="str"/>
      <c r="J349" s="2" t="str"/>
      <c r="N349" s="2">
        <f>IF(Append1!J348="","",Append1!J348)</f>
        <v/>
      </c>
    </row>
    <row r="350">
      <c r="B350" s="2">
        <f t="array" ref="B350:J350">IF(Append1!A349:I349="","",Append1!A349:I349)</f>
        <v/>
      </c>
      <c r="C350" s="3" t="str"/>
      <c r="D350" s="2" t="str"/>
      <c r="E350" s="2" t="str"/>
      <c r="F350" s="2" t="str"/>
      <c r="G350" s="2" t="str"/>
      <c r="H350" s="2" t="str"/>
      <c r="I350" s="2" t="str"/>
      <c r="J350" s="2" t="str"/>
      <c r="N350" s="2">
        <f>IF(Append1!J349="","",Append1!J349)</f>
        <v/>
      </c>
    </row>
    <row r="351">
      <c r="B351" s="2">
        <f t="array" ref="B351:J351">IF(Append1!A350:I350="","",Append1!A350:I350)</f>
        <v/>
      </c>
      <c r="C351" s="3" t="str"/>
      <c r="D351" s="2" t="str"/>
      <c r="E351" s="2" t="str"/>
      <c r="F351" s="2" t="str"/>
      <c r="G351" s="2" t="str"/>
      <c r="H351" s="2" t="str"/>
      <c r="I351" s="2" t="str"/>
      <c r="J351" s="2" t="str"/>
      <c r="N351" s="2">
        <f>IF(Append1!J350="","",Append1!J350)</f>
        <v/>
      </c>
    </row>
    <row r="352">
      <c r="B352" s="2">
        <f t="array" ref="B352:J352">IF(Append1!A351:I351="","",Append1!A351:I351)</f>
        <v/>
      </c>
      <c r="C352" s="3" t="str"/>
      <c r="D352" s="2" t="str"/>
      <c r="E352" s="2" t="str"/>
      <c r="F352" s="2" t="str"/>
      <c r="G352" s="2" t="str"/>
      <c r="H352" s="2" t="str"/>
      <c r="I352" s="2" t="str"/>
      <c r="J352" s="2" t="str"/>
      <c r="N352" s="2">
        <f>IF(Append1!J351="","",Append1!J351)</f>
        <v/>
      </c>
    </row>
    <row r="353">
      <c r="B353" s="2">
        <f t="array" ref="B353:J353">IF(Append1!A352:I352="","",Append1!A352:I352)</f>
        <v/>
      </c>
      <c r="C353" s="3" t="str"/>
      <c r="D353" s="2" t="str"/>
      <c r="E353" s="2" t="str"/>
      <c r="F353" s="2" t="str"/>
      <c r="G353" s="2" t="str"/>
      <c r="H353" s="2" t="str"/>
      <c r="I353" s="2" t="str"/>
      <c r="J353" s="2" t="str"/>
      <c r="N353" s="2">
        <f>IF(Append1!J352="","",Append1!J352)</f>
        <v/>
      </c>
    </row>
    <row r="354">
      <c r="B354" s="2">
        <f t="array" ref="B354:J354">IF(Append1!A353:I353="","",Append1!A353:I353)</f>
        <v/>
      </c>
      <c r="C354" s="3" t="str"/>
      <c r="D354" s="2" t="str"/>
      <c r="E354" s="2" t="str"/>
      <c r="F354" s="2" t="str"/>
      <c r="G354" s="2" t="str"/>
      <c r="H354" s="2" t="str"/>
      <c r="I354" s="2" t="str"/>
      <c r="J354" s="2" t="str"/>
      <c r="N354" s="2">
        <f>IF(Append1!J353="","",Append1!J353)</f>
        <v/>
      </c>
    </row>
    <row r="355">
      <c r="B355" s="2">
        <f t="array" ref="B355:J355">IF(Append1!A354:I354="","",Append1!A354:I354)</f>
        <v/>
      </c>
      <c r="C355" s="3" t="str"/>
      <c r="D355" s="2" t="str"/>
      <c r="E355" s="2" t="str"/>
      <c r="F355" s="2" t="str"/>
      <c r="G355" s="2" t="str"/>
      <c r="H355" s="2" t="str"/>
      <c r="I355" s="2" t="str"/>
      <c r="J355" s="2" t="str"/>
      <c r="N355" s="2">
        <f>IF(Append1!J354="","",Append1!J354)</f>
        <v/>
      </c>
    </row>
    <row r="356">
      <c r="B356" s="2">
        <f t="array" ref="B356:J356">IF(Append1!A355:I355="","",Append1!A355:I355)</f>
        <v/>
      </c>
      <c r="C356" s="3" t="str"/>
      <c r="D356" s="2" t="str"/>
      <c r="E356" s="2" t="str"/>
      <c r="F356" s="2" t="str"/>
      <c r="G356" s="2" t="str"/>
      <c r="H356" s="2" t="str"/>
      <c r="I356" s="2" t="str"/>
      <c r="J356" s="2" t="str"/>
      <c r="N356" s="2">
        <f>IF(Append1!J355="","",Append1!J355)</f>
        <v/>
      </c>
    </row>
    <row r="357">
      <c r="B357" s="2">
        <f t="array" ref="B357:J357">IF(Append1!A356:I356="","",Append1!A356:I356)</f>
        <v/>
      </c>
      <c r="C357" s="3" t="str"/>
      <c r="D357" s="2" t="str"/>
      <c r="E357" s="2" t="str"/>
      <c r="F357" s="2" t="str"/>
      <c r="G357" s="2" t="str"/>
      <c r="H357" s="2" t="str"/>
      <c r="I357" s="2" t="str"/>
      <c r="J357" s="2" t="str"/>
      <c r="N357" s="2">
        <f>IF(Append1!J356="","",Append1!J356)</f>
        <v/>
      </c>
    </row>
    <row r="358">
      <c r="B358" s="2">
        <f t="array" ref="B358:J358">IF(Append1!A357:I357="","",Append1!A357:I357)</f>
        <v/>
      </c>
      <c r="C358" s="3" t="str"/>
      <c r="D358" s="2" t="str"/>
      <c r="E358" s="2" t="str"/>
      <c r="F358" s="2" t="str"/>
      <c r="G358" s="2" t="str"/>
      <c r="H358" s="2" t="str"/>
      <c r="I358" s="2" t="str"/>
      <c r="J358" s="2" t="str"/>
      <c r="N358" s="2">
        <f>IF(Append1!J357="","",Append1!J357)</f>
        <v/>
      </c>
    </row>
    <row r="359">
      <c r="B359" s="2">
        <f t="array" ref="B359:J359">IF(Append1!A358:I358="","",Append1!A358:I358)</f>
        <v/>
      </c>
      <c r="C359" s="3" t="str"/>
      <c r="D359" s="2" t="str"/>
      <c r="E359" s="2" t="str"/>
      <c r="F359" s="2" t="str"/>
      <c r="G359" s="2" t="str"/>
      <c r="H359" s="2" t="str"/>
      <c r="I359" s="2" t="str"/>
      <c r="J359" s="2" t="str"/>
      <c r="N359" s="2">
        <f>IF(Append1!J358="","",Append1!J358)</f>
        <v/>
      </c>
    </row>
    <row r="360">
      <c r="B360" s="2">
        <f t="array" ref="B360:J360">IF(Append1!A359:I359="","",Append1!A359:I359)</f>
        <v/>
      </c>
      <c r="C360" s="3" t="str"/>
      <c r="D360" s="2" t="str"/>
      <c r="E360" s="2" t="str"/>
      <c r="F360" s="2" t="str"/>
      <c r="G360" s="2" t="str"/>
      <c r="H360" s="2" t="str"/>
      <c r="I360" s="2" t="str"/>
      <c r="J360" s="2" t="str"/>
      <c r="N360" s="2">
        <f>IF(Append1!J359="","",Append1!J359)</f>
        <v/>
      </c>
    </row>
    <row r="361">
      <c r="B361" s="2">
        <f t="array" ref="B361:J361">IF(Append1!A360:I360="","",Append1!A360:I360)</f>
        <v/>
      </c>
      <c r="C361" s="3" t="str"/>
      <c r="D361" s="2" t="str"/>
      <c r="E361" s="2" t="str"/>
      <c r="F361" s="2" t="str"/>
      <c r="G361" s="2" t="str"/>
      <c r="H361" s="2" t="str"/>
      <c r="I361" s="2" t="str"/>
      <c r="J361" s="2" t="str"/>
      <c r="N361" s="2">
        <f>IF(Append1!J360="","",Append1!J360)</f>
        <v/>
      </c>
    </row>
    <row r="362">
      <c r="B362" s="2">
        <f t="array" ref="B362:J362">IF(Append1!A361:I361="","",Append1!A361:I361)</f>
        <v/>
      </c>
      <c r="C362" s="3" t="str"/>
      <c r="D362" s="2" t="str"/>
      <c r="E362" s="2" t="str"/>
      <c r="F362" s="2" t="str"/>
      <c r="G362" s="2" t="str"/>
      <c r="H362" s="2" t="str"/>
      <c r="I362" s="2" t="str"/>
      <c r="J362" s="2" t="str"/>
      <c r="N362" s="2">
        <f>IF(Append1!J361="","",Append1!J361)</f>
        <v/>
      </c>
    </row>
    <row r="363">
      <c r="B363" s="2">
        <f t="array" ref="B363:J363">IF(Append1!A362:I362="","",Append1!A362:I362)</f>
        <v/>
      </c>
      <c r="C363" s="3" t="str"/>
      <c r="D363" s="2" t="str"/>
      <c r="E363" s="2" t="str"/>
      <c r="F363" s="2" t="str"/>
      <c r="G363" s="2" t="str"/>
      <c r="H363" s="2" t="str"/>
      <c r="I363" s="2" t="str"/>
      <c r="J363" s="2" t="str"/>
      <c r="N363" s="2">
        <f>IF(Append1!J362="","",Append1!J362)</f>
        <v/>
      </c>
    </row>
    <row r="364">
      <c r="B364" s="2">
        <f t="array" ref="B364:J364">IF(Append1!A363:I363="","",Append1!A363:I363)</f>
        <v/>
      </c>
      <c r="C364" s="3" t="str"/>
      <c r="D364" s="2" t="str"/>
      <c r="E364" s="2" t="str"/>
      <c r="F364" s="2" t="str"/>
      <c r="G364" s="2" t="str"/>
      <c r="H364" s="2" t="str"/>
      <c r="I364" s="2" t="str"/>
      <c r="J364" s="2" t="str"/>
      <c r="N364" s="2">
        <f>IF(Append1!J363="","",Append1!J363)</f>
        <v/>
      </c>
    </row>
    <row r="365">
      <c r="B365" s="2">
        <f t="array" ref="B365:J365">IF(Append1!A364:I364="","",Append1!A364:I364)</f>
        <v/>
      </c>
      <c r="C365" s="3" t="str"/>
      <c r="D365" s="2" t="str"/>
      <c r="E365" s="2" t="str"/>
      <c r="F365" s="2" t="str"/>
      <c r="G365" s="2" t="str"/>
      <c r="H365" s="2" t="str"/>
      <c r="I365" s="2" t="str"/>
      <c r="J365" s="2" t="str"/>
      <c r="N365" s="2">
        <f>IF(Append1!J364="","",Append1!J364)</f>
        <v/>
      </c>
    </row>
    <row r="366">
      <c r="B366" s="2">
        <f t="array" ref="B366:J366">IF(Append1!A365:I365="","",Append1!A365:I365)</f>
        <v/>
      </c>
      <c r="C366" s="3" t="str"/>
      <c r="D366" s="2" t="str"/>
      <c r="E366" s="2" t="str"/>
      <c r="F366" s="2" t="str"/>
      <c r="G366" s="2" t="str"/>
      <c r="H366" s="2" t="str"/>
      <c r="I366" s="2" t="str"/>
      <c r="J366" s="2" t="str"/>
      <c r="N366" s="2">
        <f>IF(Append1!J365="","",Append1!J365)</f>
        <v/>
      </c>
    </row>
    <row r="367">
      <c r="B367" s="2">
        <f t="array" ref="B367:J367">IF(Append1!A366:I366="","",Append1!A366:I366)</f>
        <v/>
      </c>
      <c r="C367" s="3" t="str"/>
      <c r="D367" s="2" t="str"/>
      <c r="E367" s="2" t="str"/>
      <c r="F367" s="2" t="str"/>
      <c r="G367" s="2" t="str"/>
      <c r="H367" s="2" t="str"/>
      <c r="I367" s="2" t="str"/>
      <c r="J367" s="2" t="str"/>
      <c r="N367" s="2">
        <f>IF(Append1!J366="","",Append1!J366)</f>
        <v/>
      </c>
    </row>
    <row r="368">
      <c r="B368" s="2">
        <f t="array" ref="B368:J368">IF(Append1!A367:I367="","",Append1!A367:I367)</f>
        <v/>
      </c>
      <c r="C368" s="3" t="str"/>
      <c r="D368" s="2" t="str"/>
      <c r="E368" s="2" t="str"/>
      <c r="F368" s="2" t="str"/>
      <c r="G368" s="2" t="str"/>
      <c r="H368" s="2" t="str"/>
      <c r="I368" s="2" t="str"/>
      <c r="J368" s="2" t="str"/>
      <c r="N368" s="2">
        <f>IF(Append1!J367="","",Append1!J367)</f>
        <v/>
      </c>
    </row>
    <row r="369">
      <c r="B369" s="2">
        <f t="array" ref="B369:J369">IF(Append1!A368:I368="","",Append1!A368:I368)</f>
        <v/>
      </c>
      <c r="C369" s="3" t="str"/>
      <c r="D369" s="2" t="str"/>
      <c r="E369" s="2" t="str"/>
      <c r="F369" s="2" t="str"/>
      <c r="G369" s="2" t="str"/>
      <c r="H369" s="2" t="str"/>
      <c r="I369" s="2" t="str"/>
      <c r="J369" s="2" t="str"/>
      <c r="N369" s="2">
        <f>IF(Append1!J368="","",Append1!J368)</f>
        <v/>
      </c>
    </row>
    <row r="370">
      <c r="B370" s="2">
        <f t="array" ref="B370:J370">IF(Append1!A369:I369="","",Append1!A369:I369)</f>
        <v/>
      </c>
      <c r="C370" s="3" t="str"/>
      <c r="D370" s="2" t="str"/>
      <c r="E370" s="2" t="str"/>
      <c r="F370" s="2" t="str"/>
      <c r="G370" s="2" t="str"/>
      <c r="H370" s="2" t="str"/>
      <c r="I370" s="2" t="str"/>
      <c r="J370" s="2" t="str"/>
      <c r="N370" s="2">
        <f>IF(Append1!J369="","",Append1!J369)</f>
        <v/>
      </c>
    </row>
    <row r="371">
      <c r="B371" s="2">
        <f t="array" ref="B371:J371">IF(Append1!A370:I370="","",Append1!A370:I370)</f>
        <v/>
      </c>
      <c r="C371" s="3" t="str"/>
      <c r="D371" s="2" t="str"/>
      <c r="E371" s="2" t="str"/>
      <c r="F371" s="2" t="str"/>
      <c r="G371" s="2" t="str"/>
      <c r="H371" s="2" t="str"/>
      <c r="I371" s="2" t="str"/>
      <c r="J371" s="2" t="str"/>
      <c r="N371" s="2">
        <f>IF(Append1!J370="","",Append1!J370)</f>
        <v/>
      </c>
    </row>
    <row r="372">
      <c r="B372" s="2">
        <f t="array" ref="B372:J372">IF(Append1!A371:I371="","",Append1!A371:I371)</f>
        <v/>
      </c>
      <c r="C372" s="3" t="str"/>
      <c r="D372" s="2" t="str"/>
      <c r="E372" s="2" t="str"/>
      <c r="F372" s="2" t="str"/>
      <c r="G372" s="2" t="str"/>
      <c r="H372" s="2" t="str"/>
      <c r="I372" s="2" t="str"/>
      <c r="J372" s="2" t="str"/>
      <c r="N372" s="2">
        <f>IF(Append1!J371="","",Append1!J371)</f>
        <v/>
      </c>
    </row>
    <row r="373">
      <c r="B373" s="2">
        <f t="array" ref="B373:J373">IF(Append1!A372:I372="","",Append1!A372:I372)</f>
        <v/>
      </c>
      <c r="C373" s="3" t="str"/>
      <c r="D373" s="2" t="str"/>
      <c r="E373" s="2" t="str"/>
      <c r="F373" s="2" t="str"/>
      <c r="G373" s="2" t="str"/>
      <c r="H373" s="2" t="str"/>
      <c r="I373" s="2" t="str"/>
      <c r="J373" s="2" t="str"/>
      <c r="N373" s="2">
        <f>IF(Append1!J372="","",Append1!J372)</f>
        <v/>
      </c>
    </row>
    <row r="374">
      <c r="B374" s="2">
        <f t="array" ref="B374:J374">IF(Append1!A373:I373="","",Append1!A373:I373)</f>
        <v/>
      </c>
      <c r="C374" s="3" t="str"/>
      <c r="D374" s="2" t="str"/>
      <c r="E374" s="2" t="str"/>
      <c r="F374" s="2" t="str"/>
      <c r="G374" s="2" t="str"/>
      <c r="H374" s="2" t="str"/>
      <c r="I374" s="2" t="str"/>
      <c r="J374" s="2" t="str"/>
      <c r="N374" s="2">
        <f>IF(Append1!J373="","",Append1!J373)</f>
        <v/>
      </c>
    </row>
    <row r="375">
      <c r="B375" s="2">
        <f t="array" ref="B375:J375">IF(Append1!A374:I374="","",Append1!A374:I374)</f>
        <v/>
      </c>
      <c r="C375" s="3" t="str"/>
      <c r="D375" s="2" t="str"/>
      <c r="E375" s="2" t="str"/>
      <c r="F375" s="2" t="str"/>
      <c r="G375" s="2" t="str"/>
      <c r="H375" s="2" t="str"/>
      <c r="I375" s="2" t="str"/>
      <c r="J375" s="2" t="str"/>
      <c r="N375" s="2">
        <f>IF(Append1!J374="","",Append1!J374)</f>
        <v/>
      </c>
    </row>
    <row r="376">
      <c r="B376" s="2">
        <f t="array" ref="B376:J376">IF(Append1!A375:I375="","",Append1!A375:I375)</f>
        <v/>
      </c>
      <c r="C376" s="3" t="str"/>
      <c r="D376" s="2" t="str"/>
      <c r="E376" s="2" t="str"/>
      <c r="F376" s="2" t="str"/>
      <c r="G376" s="2" t="str"/>
      <c r="H376" s="2" t="str"/>
      <c r="I376" s="2" t="str"/>
      <c r="J376" s="2" t="str"/>
      <c r="N376" s="2">
        <f>IF(Append1!J375="","",Append1!J375)</f>
        <v/>
      </c>
    </row>
    <row r="377">
      <c r="B377" s="2">
        <f t="array" ref="B377:J377">IF(Append1!A376:I376="","",Append1!A376:I376)</f>
        <v/>
      </c>
      <c r="C377" s="3" t="str"/>
      <c r="D377" s="2" t="str"/>
      <c r="E377" s="2" t="str"/>
      <c r="F377" s="2" t="str"/>
      <c r="G377" s="2" t="str"/>
      <c r="H377" s="2" t="str"/>
      <c r="I377" s="2" t="str"/>
      <c r="J377" s="2" t="str"/>
      <c r="N377" s="2">
        <f>IF(Append1!J376="","",Append1!J376)</f>
        <v/>
      </c>
    </row>
    <row r="378">
      <c r="B378" s="2">
        <f t="array" ref="B378:J378">IF(Append1!A377:I377="","",Append1!A377:I377)</f>
        <v/>
      </c>
      <c r="C378" s="3" t="str"/>
      <c r="D378" s="2" t="str"/>
      <c r="E378" s="2" t="str"/>
      <c r="F378" s="2" t="str"/>
      <c r="G378" s="2" t="str"/>
      <c r="H378" s="2" t="str"/>
      <c r="I378" s="2" t="str"/>
      <c r="J378" s="2" t="str"/>
      <c r="N378" s="2">
        <f>IF(Append1!J377="","",Append1!J377)</f>
        <v/>
      </c>
    </row>
    <row r="379">
      <c r="B379" s="2">
        <f t="array" ref="B379:J379">IF(Append1!A378:I378="","",Append1!A378:I378)</f>
        <v/>
      </c>
      <c r="C379" s="3" t="str"/>
      <c r="D379" s="2" t="str"/>
      <c r="E379" s="2" t="str"/>
      <c r="F379" s="2" t="str"/>
      <c r="G379" s="2" t="str"/>
      <c r="H379" s="2" t="str"/>
      <c r="I379" s="2" t="str"/>
      <c r="J379" s="2" t="str"/>
      <c r="N379" s="2">
        <f>IF(Append1!J378="","",Append1!J378)</f>
        <v/>
      </c>
    </row>
    <row r="380">
      <c r="B380" s="2">
        <f t="array" ref="B380:J380">IF(Append1!A379:I379="","",Append1!A379:I379)</f>
        <v/>
      </c>
      <c r="C380" s="3" t="str"/>
      <c r="D380" s="2" t="str"/>
      <c r="E380" s="2" t="str"/>
      <c r="F380" s="2" t="str"/>
      <c r="G380" s="2" t="str"/>
      <c r="H380" s="2" t="str"/>
      <c r="I380" s="2" t="str"/>
      <c r="J380" s="2" t="str"/>
      <c r="N380" s="2">
        <f>IF(Append1!J379="","",Append1!J379)</f>
        <v/>
      </c>
    </row>
    <row r="381">
      <c r="B381" s="2">
        <f t="array" ref="B381:J381">IF(Append1!A380:I380="","",Append1!A380:I380)</f>
        <v/>
      </c>
      <c r="C381" s="3" t="str"/>
      <c r="D381" s="2" t="str"/>
      <c r="E381" s="2" t="str"/>
      <c r="F381" s="2" t="str"/>
      <c r="G381" s="2" t="str"/>
      <c r="H381" s="2" t="str"/>
      <c r="I381" s="2" t="str"/>
      <c r="J381" s="2" t="str"/>
      <c r="N381" s="2">
        <f>IF(Append1!J380="","",Append1!J380)</f>
        <v/>
      </c>
    </row>
    <row r="382">
      <c r="B382" s="2">
        <f t="array" ref="B382:J382">IF(Append1!A381:I381="","",Append1!A381:I381)</f>
        <v/>
      </c>
      <c r="C382" s="3" t="str"/>
      <c r="D382" s="2" t="str"/>
      <c r="E382" s="2" t="str"/>
      <c r="F382" s="2" t="str"/>
      <c r="G382" s="2" t="str"/>
      <c r="H382" s="2" t="str"/>
      <c r="I382" s="2" t="str"/>
      <c r="J382" s="2" t="str"/>
      <c r="N382" s="2">
        <f>IF(Append1!J381="","",Append1!J381)</f>
        <v/>
      </c>
    </row>
    <row r="383">
      <c r="B383" s="2">
        <f t="array" ref="B383:J383">IF(Append1!A382:I382="","",Append1!A382:I382)</f>
        <v/>
      </c>
      <c r="C383" s="3" t="str"/>
      <c r="D383" s="2" t="str"/>
      <c r="E383" s="2" t="str"/>
      <c r="F383" s="2" t="str"/>
      <c r="G383" s="2" t="str"/>
      <c r="H383" s="2" t="str"/>
      <c r="I383" s="2" t="str"/>
      <c r="J383" s="2" t="str"/>
      <c r="N383" s="2">
        <f>IF(Append1!J382="","",Append1!J382)</f>
        <v/>
      </c>
    </row>
    <row r="384">
      <c r="B384" s="2">
        <f t="array" ref="B384:J384">IF(Append1!A383:I383="","",Append1!A383:I383)</f>
        <v/>
      </c>
      <c r="C384" s="3" t="str"/>
      <c r="D384" s="2" t="str"/>
      <c r="E384" s="2" t="str"/>
      <c r="F384" s="2" t="str"/>
      <c r="G384" s="2" t="str"/>
      <c r="H384" s="2" t="str"/>
      <c r="I384" s="2" t="str"/>
      <c r="J384" s="2" t="str"/>
      <c r="N384" s="2">
        <f>IF(Append1!J383="","",Append1!J383)</f>
        <v/>
      </c>
    </row>
    <row r="385">
      <c r="B385" s="2">
        <f t="array" ref="B385:J385">IF(Append1!A384:I384="","",Append1!A384:I384)</f>
        <v/>
      </c>
      <c r="C385" s="3" t="str"/>
      <c r="D385" s="2" t="str"/>
      <c r="E385" s="2" t="str"/>
      <c r="F385" s="2" t="str"/>
      <c r="G385" s="2" t="str"/>
      <c r="H385" s="2" t="str"/>
      <c r="I385" s="2" t="str"/>
      <c r="J385" s="2" t="str"/>
      <c r="N385" s="2">
        <f>IF(Append1!J384="","",Append1!J384)</f>
        <v/>
      </c>
    </row>
    <row r="386">
      <c r="B386" s="2">
        <f t="array" ref="B386:J386">IF(Append1!A385:I385="","",Append1!A385:I385)</f>
        <v/>
      </c>
      <c r="C386" s="3" t="str"/>
      <c r="D386" s="2" t="str"/>
      <c r="E386" s="2" t="str"/>
      <c r="F386" s="2" t="str"/>
      <c r="G386" s="2" t="str"/>
      <c r="H386" s="2" t="str"/>
      <c r="I386" s="2" t="str"/>
      <c r="J386" s="2" t="str"/>
      <c r="N386" s="2">
        <f>IF(Append1!J385="","",Append1!J385)</f>
        <v/>
      </c>
    </row>
    <row r="387">
      <c r="B387" s="2">
        <f t="array" ref="B387:J387">IF(Append1!A386:I386="","",Append1!A386:I386)</f>
        <v/>
      </c>
      <c r="C387" s="3" t="str"/>
      <c r="D387" s="2" t="str"/>
      <c r="E387" s="2" t="str"/>
      <c r="F387" s="2" t="str"/>
      <c r="G387" s="2" t="str"/>
      <c r="H387" s="2" t="str"/>
      <c r="I387" s="2" t="str"/>
      <c r="J387" s="2" t="str"/>
      <c r="N387" s="2">
        <f>IF(Append1!J386="","",Append1!J386)</f>
        <v/>
      </c>
    </row>
    <row r="388">
      <c r="B388" s="2">
        <f t="array" ref="B388:J388">IF(Append1!A387:I387="","",Append1!A387:I387)</f>
        <v/>
      </c>
      <c r="C388" s="3" t="str"/>
      <c r="D388" s="2" t="str"/>
      <c r="E388" s="2" t="str"/>
      <c r="F388" s="2" t="str"/>
      <c r="G388" s="2" t="str"/>
      <c r="H388" s="2" t="str"/>
      <c r="I388" s="2" t="str"/>
      <c r="J388" s="2" t="str"/>
      <c r="N388" s="2">
        <f>IF(Append1!J387="","",Append1!J387)</f>
        <v/>
      </c>
    </row>
    <row r="389">
      <c r="B389" s="2">
        <f t="array" ref="B389:J389">IF(Append1!A388:I388="","",Append1!A388:I388)</f>
        <v/>
      </c>
      <c r="C389" s="3" t="str"/>
      <c r="D389" s="2" t="str"/>
      <c r="E389" s="2" t="str"/>
      <c r="F389" s="2" t="str"/>
      <c r="G389" s="2" t="str"/>
      <c r="H389" s="2" t="str"/>
      <c r="I389" s="2" t="str"/>
      <c r="J389" s="2" t="str"/>
      <c r="N389" s="2">
        <f>IF(Append1!J388="","",Append1!J388)</f>
        <v/>
      </c>
    </row>
    <row r="390">
      <c r="B390" s="2">
        <f t="array" ref="B390:J390">IF(Append1!A389:I389="","",Append1!A389:I389)</f>
        <v/>
      </c>
      <c r="C390" s="3" t="str"/>
      <c r="D390" s="2" t="str"/>
      <c r="E390" s="2" t="str"/>
      <c r="F390" s="2" t="str"/>
      <c r="G390" s="2" t="str"/>
      <c r="H390" s="2" t="str"/>
      <c r="I390" s="2" t="str"/>
      <c r="J390" s="2" t="str"/>
      <c r="N390" s="2">
        <f>IF(Append1!J389="","",Append1!J389)</f>
        <v/>
      </c>
    </row>
    <row r="391">
      <c r="B391" s="2">
        <f t="array" ref="B391:J391">IF(Append1!A390:I390="","",Append1!A390:I390)</f>
        <v/>
      </c>
      <c r="C391" s="3" t="str"/>
      <c r="D391" s="2" t="str"/>
      <c r="E391" s="2" t="str"/>
      <c r="F391" s="2" t="str"/>
      <c r="G391" s="2" t="str"/>
      <c r="H391" s="2" t="str"/>
      <c r="I391" s="2" t="str"/>
      <c r="J391" s="2" t="str"/>
      <c r="N391" s="2">
        <f>IF(Append1!J390="","",Append1!J390)</f>
        <v/>
      </c>
    </row>
    <row r="392">
      <c r="B392" s="2">
        <f t="array" ref="B392:J392">IF(Append1!A391:I391="","",Append1!A391:I391)</f>
        <v/>
      </c>
      <c r="C392" s="3" t="str"/>
      <c r="D392" s="2" t="str"/>
      <c r="E392" s="2" t="str"/>
      <c r="F392" s="2" t="str"/>
      <c r="G392" s="2" t="str"/>
      <c r="H392" s="2" t="str"/>
      <c r="I392" s="2" t="str"/>
      <c r="J392" s="2" t="str"/>
      <c r="N392" s="2">
        <f>IF(Append1!J391="","",Append1!J391)</f>
        <v/>
      </c>
    </row>
    <row r="393">
      <c r="B393" s="2">
        <f t="array" ref="B393:J393">IF(Append1!A392:I392="","",Append1!A392:I392)</f>
        <v/>
      </c>
      <c r="C393" s="3" t="str"/>
      <c r="D393" s="2" t="str"/>
      <c r="E393" s="2" t="str"/>
      <c r="F393" s="2" t="str"/>
      <c r="G393" s="2" t="str"/>
      <c r="H393" s="2" t="str"/>
      <c r="I393" s="2" t="str"/>
      <c r="J393" s="2" t="str"/>
      <c r="N393" s="2">
        <f>IF(Append1!J392="","",Append1!J392)</f>
        <v/>
      </c>
    </row>
    <row r="394">
      <c r="B394" s="2">
        <f t="array" ref="B394:J394">IF(Append1!A393:I393="","",Append1!A393:I393)</f>
        <v/>
      </c>
      <c r="C394" s="3" t="str"/>
      <c r="D394" s="2" t="str"/>
      <c r="E394" s="2" t="str"/>
      <c r="F394" s="2" t="str"/>
      <c r="G394" s="2" t="str"/>
      <c r="H394" s="2" t="str"/>
      <c r="I394" s="2" t="str"/>
      <c r="J394" s="2" t="str"/>
      <c r="N394" s="2">
        <f>IF(Append1!J393="","",Append1!J393)</f>
        <v/>
      </c>
    </row>
    <row r="395">
      <c r="B395" s="2">
        <f t="array" ref="B395:J395">IF(Append1!A394:I394="","",Append1!A394:I394)</f>
        <v/>
      </c>
      <c r="C395" s="3" t="str"/>
      <c r="D395" s="2" t="str"/>
      <c r="E395" s="2" t="str"/>
      <c r="F395" s="2" t="str"/>
      <c r="G395" s="2" t="str"/>
      <c r="H395" s="2" t="str"/>
      <c r="I395" s="2" t="str"/>
      <c r="J395" s="2" t="str"/>
      <c r="N395" s="2">
        <f>IF(Append1!J394="","",Append1!J394)</f>
        <v/>
      </c>
    </row>
    <row r="396">
      <c r="B396" s="2">
        <f t="array" ref="B396:J396">IF(Append1!A395:I395="","",Append1!A395:I395)</f>
        <v/>
      </c>
      <c r="C396" s="3" t="str"/>
      <c r="D396" s="2" t="str"/>
      <c r="E396" s="2" t="str"/>
      <c r="F396" s="2" t="str"/>
      <c r="G396" s="2" t="str"/>
      <c r="H396" s="2" t="str"/>
      <c r="I396" s="2" t="str"/>
      <c r="J396" s="2" t="str"/>
      <c r="N396" s="2">
        <f>IF(Append1!J395="","",Append1!J395)</f>
        <v/>
      </c>
    </row>
    <row r="397">
      <c r="B397" s="2">
        <f t="array" ref="B397:J397">IF(Append1!A396:I396="","",Append1!A396:I396)</f>
        <v/>
      </c>
      <c r="C397" s="3" t="str"/>
      <c r="D397" s="2" t="str"/>
      <c r="E397" s="2" t="str"/>
      <c r="F397" s="2" t="str"/>
      <c r="G397" s="2" t="str"/>
      <c r="H397" s="2" t="str"/>
      <c r="I397" s="2" t="str"/>
      <c r="J397" s="2" t="str"/>
      <c r="N397" s="2">
        <f>IF(Append1!J396="","",Append1!J396)</f>
        <v/>
      </c>
    </row>
    <row r="398">
      <c r="B398" s="2">
        <f t="array" ref="B398:J398">IF(Append1!A397:I397="","",Append1!A397:I397)</f>
        <v/>
      </c>
      <c r="C398" s="3" t="str"/>
      <c r="D398" s="2" t="str"/>
      <c r="E398" s="2" t="str"/>
      <c r="F398" s="2" t="str"/>
      <c r="G398" s="2" t="str"/>
      <c r="H398" s="2" t="str"/>
      <c r="I398" s="2" t="str"/>
      <c r="J398" s="2" t="str"/>
      <c r="N398" s="2">
        <f>IF(Append1!J397="","",Append1!J397)</f>
        <v/>
      </c>
    </row>
    <row r="399">
      <c r="B399" s="2">
        <f t="array" ref="B399:J399">IF(Append1!A398:I398="","",Append1!A398:I398)</f>
        <v/>
      </c>
      <c r="C399" s="3" t="str"/>
      <c r="D399" s="2" t="str"/>
      <c r="E399" s="2" t="str"/>
      <c r="F399" s="2" t="str"/>
      <c r="G399" s="2" t="str"/>
      <c r="H399" s="2" t="str"/>
      <c r="I399" s="2" t="str"/>
      <c r="J399" s="2" t="str"/>
      <c r="N399" s="2">
        <f>IF(Append1!J398="","",Append1!J398)</f>
        <v/>
      </c>
    </row>
    <row r="400">
      <c r="B400" s="2">
        <f t="array" ref="B400:J400">IF(Append1!A399:I399="","",Append1!A399:I399)</f>
        <v/>
      </c>
      <c r="C400" s="3" t="str"/>
      <c r="D400" s="2" t="str"/>
      <c r="E400" s="2" t="str"/>
      <c r="F400" s="2" t="str"/>
      <c r="G400" s="2" t="str"/>
      <c r="H400" s="2" t="str"/>
      <c r="I400" s="2" t="str"/>
      <c r="J400" s="2" t="str"/>
      <c r="N400" s="2">
        <f>IF(Append1!J399="","",Append1!J399)</f>
        <v/>
      </c>
    </row>
    <row r="401">
      <c r="B401" s="2">
        <f t="array" ref="B401:J401">IF(Append1!A400:I400="","",Append1!A400:I400)</f>
        <v/>
      </c>
      <c r="C401" s="3" t="str"/>
      <c r="D401" s="2" t="str"/>
      <c r="E401" s="2" t="str"/>
      <c r="F401" s="2" t="str"/>
      <c r="G401" s="2" t="str"/>
      <c r="H401" s="2" t="str"/>
      <c r="I401" s="2" t="str"/>
      <c r="J401" s="2" t="str"/>
      <c r="N401" s="2">
        <f>IF(Append1!J400="","",Append1!J400)</f>
        <v/>
      </c>
    </row>
    <row r="402">
      <c r="B402" s="2">
        <f t="array" ref="B402:J402">IF(Append1!A401:I401="","",Append1!A401:I401)</f>
        <v/>
      </c>
      <c r="C402" s="3" t="str"/>
      <c r="D402" s="2" t="str"/>
      <c r="E402" s="2" t="str"/>
      <c r="F402" s="2" t="str"/>
      <c r="G402" s="2" t="str"/>
      <c r="H402" s="2" t="str"/>
      <c r="I402" s="2" t="str"/>
      <c r="J402" s="2" t="str"/>
      <c r="N402" s="2">
        <f>IF(Append1!J401="","",Append1!J401)</f>
        <v/>
      </c>
    </row>
    <row r="403">
      <c r="B403" s="2">
        <f t="array" ref="B403:J403">IF(Append1!A402:I402="","",Append1!A402:I402)</f>
        <v/>
      </c>
      <c r="C403" s="3" t="str"/>
      <c r="D403" s="2" t="str"/>
      <c r="E403" s="2" t="str"/>
      <c r="F403" s="2" t="str"/>
      <c r="G403" s="2" t="str"/>
      <c r="H403" s="2" t="str"/>
      <c r="I403" s="2" t="str"/>
      <c r="J403" s="2" t="str"/>
      <c r="N403" s="2">
        <f>IF(Append1!J402="","",Append1!J402)</f>
        <v/>
      </c>
    </row>
    <row r="404">
      <c r="B404" s="2">
        <f t="array" ref="B404:J404">IF(Append1!A403:I403="","",Append1!A403:I403)</f>
        <v/>
      </c>
      <c r="C404" s="3" t="str"/>
      <c r="D404" s="2" t="str"/>
      <c r="E404" s="2" t="str"/>
      <c r="F404" s="2" t="str"/>
      <c r="G404" s="2" t="str"/>
      <c r="H404" s="2" t="str"/>
      <c r="I404" s="2" t="str"/>
      <c r="J404" s="2" t="str"/>
      <c r="N404" s="2">
        <f>IF(Append1!J403="","",Append1!J403)</f>
        <v/>
      </c>
    </row>
    <row r="405">
      <c r="B405" s="2">
        <f t="array" ref="B405:J405">IF(Append1!A404:I404="","",Append1!A404:I404)</f>
        <v/>
      </c>
      <c r="C405" s="3" t="str"/>
      <c r="D405" s="2" t="str"/>
      <c r="E405" s="2" t="str"/>
      <c r="F405" s="2" t="str"/>
      <c r="G405" s="2" t="str"/>
      <c r="H405" s="2" t="str"/>
      <c r="I405" s="2" t="str"/>
      <c r="J405" s="2" t="str"/>
      <c r="N405" s="2">
        <f>IF(Append1!J404="","",Append1!J404)</f>
        <v/>
      </c>
    </row>
    <row r="406">
      <c r="B406" s="2">
        <f t="array" ref="B406:J406">IF(Append1!A405:I405="","",Append1!A405:I405)</f>
        <v/>
      </c>
      <c r="C406" s="3" t="str"/>
      <c r="D406" s="2" t="str"/>
      <c r="E406" s="2" t="str"/>
      <c r="F406" s="2" t="str"/>
      <c r="G406" s="2" t="str"/>
      <c r="H406" s="2" t="str"/>
      <c r="I406" s="2" t="str"/>
      <c r="J406" s="2" t="str"/>
      <c r="N406" s="2">
        <f>IF(Append1!J405="","",Append1!J405)</f>
        <v/>
      </c>
    </row>
    <row r="407">
      <c r="B407" s="2">
        <f t="array" ref="B407:J407">IF(Append1!A406:I406="","",Append1!A406:I406)</f>
        <v/>
      </c>
      <c r="C407" s="3" t="str"/>
      <c r="D407" s="2" t="str"/>
      <c r="E407" s="2" t="str"/>
      <c r="F407" s="2" t="str"/>
      <c r="G407" s="2" t="str"/>
      <c r="H407" s="2" t="str"/>
      <c r="I407" s="2" t="str"/>
      <c r="J407" s="2" t="str"/>
      <c r="N407" s="2">
        <f>IF(Append1!J406="","",Append1!J406)</f>
        <v/>
      </c>
    </row>
    <row r="408">
      <c r="B408" s="2">
        <f t="array" ref="B408:J408">IF(Append1!A407:I407="","",Append1!A407:I407)</f>
        <v/>
      </c>
      <c r="C408" s="3" t="str"/>
      <c r="D408" s="2" t="str"/>
      <c r="E408" s="2" t="str"/>
      <c r="F408" s="2" t="str"/>
      <c r="G408" s="2" t="str"/>
      <c r="H408" s="2" t="str"/>
      <c r="I408" s="2" t="str"/>
      <c r="J408" s="2" t="str"/>
      <c r="N408" s="2">
        <f>IF(Append1!J407="","",Append1!J407)</f>
        <v/>
      </c>
    </row>
    <row r="409">
      <c r="B409" s="2">
        <f t="array" ref="B409:J409">IF(Append1!A408:I408="","",Append1!A408:I408)</f>
        <v/>
      </c>
      <c r="C409" s="3" t="str"/>
      <c r="D409" s="2" t="str"/>
      <c r="E409" s="2" t="str"/>
      <c r="F409" s="2" t="str"/>
      <c r="G409" s="2" t="str"/>
      <c r="H409" s="2" t="str"/>
      <c r="I409" s="2" t="str"/>
      <c r="J409" s="2" t="str"/>
      <c r="N409" s="2">
        <f>IF(Append1!J408="","",Append1!J408)</f>
        <v/>
      </c>
    </row>
    <row r="410">
      <c r="B410" s="2">
        <f t="array" ref="B410:J410">IF(Append1!A409:I409="","",Append1!A409:I409)</f>
        <v/>
      </c>
      <c r="C410" s="3" t="str"/>
      <c r="D410" s="2" t="str"/>
      <c r="E410" s="2" t="str"/>
      <c r="F410" s="2" t="str"/>
      <c r="G410" s="2" t="str"/>
      <c r="H410" s="2" t="str"/>
      <c r="I410" s="2" t="str"/>
      <c r="J410" s="2" t="str"/>
      <c r="N410" s="2">
        <f>IF(Append1!J409="","",Append1!J409)</f>
        <v/>
      </c>
    </row>
    <row r="411">
      <c r="B411" s="2">
        <f t="array" ref="B411:J411">IF(Append1!A410:I410="","",Append1!A410:I410)</f>
        <v/>
      </c>
      <c r="C411" s="3" t="str"/>
      <c r="D411" s="2" t="str"/>
      <c r="E411" s="2" t="str"/>
      <c r="F411" s="2" t="str"/>
      <c r="G411" s="2" t="str"/>
      <c r="H411" s="2" t="str"/>
      <c r="I411" s="2" t="str"/>
      <c r="J411" s="2" t="str"/>
      <c r="N411" s="2">
        <f>IF(Append1!J410="","",Append1!J410)</f>
        <v/>
      </c>
    </row>
    <row r="412">
      <c r="B412" s="2">
        <f t="array" ref="B412:J412">IF(Append1!A411:I411="","",Append1!A411:I411)</f>
        <v/>
      </c>
      <c r="C412" s="3" t="str"/>
      <c r="D412" s="2" t="str"/>
      <c r="E412" s="2" t="str"/>
      <c r="F412" s="2" t="str"/>
      <c r="G412" s="2" t="str"/>
      <c r="H412" s="2" t="str"/>
      <c r="I412" s="2" t="str"/>
      <c r="J412" s="2" t="str"/>
      <c r="N412" s="2">
        <f>IF(Append1!J411="","",Append1!J411)</f>
        <v/>
      </c>
    </row>
    <row r="413">
      <c r="B413" s="2">
        <f t="array" ref="B413:J413">IF(Append1!A412:I412="","",Append1!A412:I412)</f>
        <v/>
      </c>
      <c r="C413" s="3" t="str"/>
      <c r="D413" s="2" t="str"/>
      <c r="E413" s="2" t="str"/>
      <c r="F413" s="2" t="str"/>
      <c r="G413" s="2" t="str"/>
      <c r="H413" s="2" t="str"/>
      <c r="I413" s="2" t="str"/>
      <c r="J413" s="2" t="str"/>
      <c r="N413" s="2">
        <f>IF(Append1!J412="","",Append1!J412)</f>
        <v/>
      </c>
    </row>
    <row r="414">
      <c r="B414" s="2">
        <f t="array" ref="B414:J414">IF(Append1!A413:I413="","",Append1!A413:I413)</f>
        <v/>
      </c>
      <c r="C414" s="3" t="str"/>
      <c r="D414" s="2" t="str"/>
      <c r="E414" s="2" t="str"/>
      <c r="F414" s="2" t="str"/>
      <c r="G414" s="2" t="str"/>
      <c r="H414" s="2" t="str"/>
      <c r="I414" s="2" t="str"/>
      <c r="J414" s="2" t="str"/>
      <c r="N414" s="2">
        <f>IF(Append1!J413="","",Append1!J413)</f>
        <v/>
      </c>
    </row>
    <row r="415">
      <c r="B415" s="2">
        <f t="array" ref="B415:J415">IF(Append1!A414:I414="","",Append1!A414:I414)</f>
        <v/>
      </c>
      <c r="C415" s="3" t="str"/>
      <c r="D415" s="2" t="str"/>
      <c r="E415" s="2" t="str"/>
      <c r="F415" s="2" t="str"/>
      <c r="G415" s="2" t="str"/>
      <c r="H415" s="2" t="str"/>
      <c r="I415" s="2" t="str"/>
      <c r="J415" s="2" t="str"/>
      <c r="N415" s="2">
        <f>IF(Append1!J414="","",Append1!J414)</f>
        <v/>
      </c>
    </row>
    <row r="416">
      <c r="B416" s="2">
        <f t="array" ref="B416:J416">IF(Append1!A415:I415="","",Append1!A415:I415)</f>
        <v/>
      </c>
      <c r="C416" s="3" t="str"/>
      <c r="D416" s="2" t="str"/>
      <c r="E416" s="2" t="str"/>
      <c r="F416" s="2" t="str"/>
      <c r="G416" s="2" t="str"/>
      <c r="H416" s="2" t="str"/>
      <c r="I416" s="2" t="str"/>
      <c r="J416" s="2" t="str"/>
      <c r="N416" s="2">
        <f>IF(Append1!J415="","",Append1!J415)</f>
        <v/>
      </c>
    </row>
    <row r="417">
      <c r="B417" s="2">
        <f t="array" ref="B417:J417">IF(Append1!A416:I416="","",Append1!A416:I416)</f>
        <v/>
      </c>
      <c r="C417" s="3" t="str"/>
      <c r="D417" s="2" t="str"/>
      <c r="E417" s="2" t="str"/>
      <c r="F417" s="2" t="str"/>
      <c r="G417" s="2" t="str"/>
      <c r="H417" s="2" t="str"/>
      <c r="I417" s="2" t="str"/>
      <c r="J417" s="2" t="str"/>
      <c r="N417" s="2">
        <f>IF(Append1!J416="","",Append1!J416)</f>
        <v/>
      </c>
    </row>
    <row r="418">
      <c r="B418" s="2">
        <f t="array" ref="B418:J418">IF(Append1!A417:I417="","",Append1!A417:I417)</f>
        <v/>
      </c>
      <c r="C418" s="3" t="str"/>
      <c r="D418" s="2" t="str"/>
      <c r="E418" s="2" t="str"/>
      <c r="F418" s="2" t="str"/>
      <c r="G418" s="2" t="str"/>
      <c r="H418" s="2" t="str"/>
      <c r="I418" s="2" t="str"/>
      <c r="J418" s="2" t="str"/>
      <c r="N418" s="2">
        <f>IF(Append1!J417="","",Append1!J417)</f>
        <v/>
      </c>
    </row>
    <row r="419">
      <c r="B419" s="2">
        <f t="array" ref="B419:J419">IF(Append1!A418:I418="","",Append1!A418:I418)</f>
        <v/>
      </c>
      <c r="C419" s="3" t="str"/>
      <c r="D419" s="2" t="str"/>
      <c r="E419" s="2" t="str"/>
      <c r="F419" s="2" t="str"/>
      <c r="G419" s="2" t="str"/>
      <c r="H419" s="2" t="str"/>
      <c r="I419" s="2" t="str"/>
      <c r="J419" s="2" t="str"/>
      <c r="N419" s="2">
        <f>IF(Append1!J418="","",Append1!J418)</f>
        <v/>
      </c>
    </row>
    <row r="420">
      <c r="B420" s="2">
        <f t="array" ref="B420:J420">IF(Append1!A419:I419="","",Append1!A419:I419)</f>
        <v/>
      </c>
      <c r="C420" s="3" t="str"/>
      <c r="D420" s="2" t="str"/>
      <c r="E420" s="2" t="str"/>
      <c r="F420" s="2" t="str"/>
      <c r="G420" s="2" t="str"/>
      <c r="H420" s="2" t="str"/>
      <c r="I420" s="2" t="str"/>
      <c r="J420" s="2" t="str"/>
      <c r="N420" s="2">
        <f>IF(Append1!J419="","",Append1!J419)</f>
        <v/>
      </c>
    </row>
    <row r="421">
      <c r="B421" s="2">
        <f t="array" ref="B421:J421">IF(Append1!A420:I420="","",Append1!A420:I420)</f>
        <v/>
      </c>
      <c r="C421" s="3" t="str"/>
      <c r="D421" s="2" t="str"/>
      <c r="E421" s="2" t="str"/>
      <c r="F421" s="2" t="str"/>
      <c r="G421" s="2" t="str"/>
      <c r="H421" s="2" t="str"/>
      <c r="I421" s="2" t="str"/>
      <c r="J421" s="2" t="str"/>
      <c r="N421" s="2">
        <f>IF(Append1!J420="","",Append1!J420)</f>
        <v/>
      </c>
    </row>
    <row r="422">
      <c r="B422" s="2">
        <f t="array" ref="B422:J422">IF(Append1!A421:I421="","",Append1!A421:I421)</f>
        <v/>
      </c>
      <c r="C422" s="3" t="str"/>
      <c r="D422" s="2" t="str"/>
      <c r="E422" s="2" t="str"/>
      <c r="F422" s="2" t="str"/>
      <c r="G422" s="2" t="str"/>
      <c r="H422" s="2" t="str"/>
      <c r="I422" s="2" t="str"/>
      <c r="J422" s="2" t="str"/>
      <c r="N422" s="2">
        <f>IF(Append1!J421="","",Append1!J421)</f>
        <v/>
      </c>
    </row>
    <row r="423">
      <c r="B423" s="2">
        <f t="array" ref="B423:J423">IF(Append1!A422:I422="","",Append1!A422:I422)</f>
        <v/>
      </c>
      <c r="C423" s="3" t="str"/>
      <c r="D423" s="2" t="str"/>
      <c r="E423" s="2" t="str"/>
      <c r="F423" s="2" t="str"/>
      <c r="G423" s="2" t="str"/>
      <c r="H423" s="2" t="str"/>
      <c r="I423" s="2" t="str"/>
      <c r="J423" s="2" t="str"/>
      <c r="N423" s="2">
        <f>IF(Append1!J422="","",Append1!J422)</f>
        <v/>
      </c>
    </row>
    <row r="424">
      <c r="B424" s="2">
        <f t="array" ref="B424:J424">IF(Append1!A423:I423="","",Append1!A423:I423)</f>
        <v/>
      </c>
      <c r="C424" s="3" t="str"/>
      <c r="D424" s="2" t="str"/>
      <c r="E424" s="2" t="str"/>
      <c r="F424" s="2" t="str"/>
      <c r="G424" s="2" t="str"/>
      <c r="H424" s="2" t="str"/>
      <c r="I424" s="2" t="str"/>
      <c r="J424" s="2" t="str"/>
      <c r="N424" s="2">
        <f>IF(Append1!J423="","",Append1!J423)</f>
        <v/>
      </c>
    </row>
    <row r="425">
      <c r="B425" s="2">
        <f t="array" ref="B425:J425">IF(Append1!A424:I424="","",Append1!A424:I424)</f>
        <v/>
      </c>
      <c r="C425" s="3" t="str"/>
      <c r="D425" s="2" t="str"/>
      <c r="E425" s="2" t="str"/>
      <c r="F425" s="2" t="str"/>
      <c r="G425" s="2" t="str"/>
      <c r="H425" s="2" t="str"/>
      <c r="I425" s="2" t="str"/>
      <c r="J425" s="2" t="str"/>
      <c r="N425" s="2">
        <f>IF(Append1!J424="","",Append1!J424)</f>
        <v/>
      </c>
    </row>
    <row r="426">
      <c r="B426" s="2">
        <f t="array" ref="B426:J426">IF(Append1!A425:I425="","",Append1!A425:I425)</f>
        <v/>
      </c>
      <c r="C426" s="3" t="str"/>
      <c r="D426" s="2" t="str"/>
      <c r="E426" s="2" t="str"/>
      <c r="F426" s="2" t="str"/>
      <c r="G426" s="2" t="str"/>
      <c r="H426" s="2" t="str"/>
      <c r="I426" s="2" t="str"/>
      <c r="J426" s="2" t="str"/>
      <c r="N426" s="2">
        <f>IF(Append1!J425="","",Append1!J425)</f>
        <v/>
      </c>
    </row>
    <row r="427">
      <c r="B427" s="2">
        <f t="array" ref="B427:J427">IF(Append1!A426:I426="","",Append1!A426:I426)</f>
        <v/>
      </c>
      <c r="C427" s="3" t="str"/>
      <c r="D427" s="2" t="str"/>
      <c r="E427" s="2" t="str"/>
      <c r="F427" s="2" t="str"/>
      <c r="G427" s="2" t="str"/>
      <c r="H427" s="2" t="str"/>
      <c r="I427" s="2" t="str"/>
      <c r="J427" s="2" t="str"/>
      <c r="N427" s="2">
        <f>IF(Append1!J426="","",Append1!J426)</f>
        <v/>
      </c>
    </row>
    <row r="428">
      <c r="B428" s="2">
        <f t="array" ref="B428:J428">IF(Append1!A427:I427="","",Append1!A427:I427)</f>
        <v/>
      </c>
      <c r="C428" s="3" t="str"/>
      <c r="D428" s="2" t="str"/>
      <c r="E428" s="2" t="str"/>
      <c r="F428" s="2" t="str"/>
      <c r="G428" s="2" t="str"/>
      <c r="H428" s="2" t="str"/>
      <c r="I428" s="2" t="str"/>
      <c r="J428" s="2" t="str"/>
      <c r="N428" s="2">
        <f>IF(Append1!J427="","",Append1!J427)</f>
        <v/>
      </c>
    </row>
    <row r="429">
      <c r="B429" s="2">
        <f t="array" ref="B429:J429">IF(Append1!A428:I428="","",Append1!A428:I428)</f>
        <v/>
      </c>
      <c r="C429" s="3" t="str"/>
      <c r="D429" s="2" t="str"/>
      <c r="E429" s="2" t="str"/>
      <c r="F429" s="2" t="str"/>
      <c r="G429" s="2" t="str"/>
      <c r="H429" s="2" t="str"/>
      <c r="I429" s="2" t="str"/>
      <c r="J429" s="2" t="str"/>
      <c r="N429" s="2">
        <f>IF(Append1!J428="","",Append1!J428)</f>
        <v/>
      </c>
    </row>
    <row r="430">
      <c r="B430" s="2">
        <f t="array" ref="B430:J430">IF(Append1!A429:I429="","",Append1!A429:I429)</f>
        <v/>
      </c>
      <c r="C430" s="3" t="str"/>
      <c r="D430" s="2" t="str"/>
      <c r="E430" s="2" t="str"/>
      <c r="F430" s="2" t="str"/>
      <c r="G430" s="2" t="str"/>
      <c r="H430" s="2" t="str"/>
      <c r="I430" s="2" t="str"/>
      <c r="J430" s="2" t="str"/>
      <c r="N430" s="2">
        <f>IF(Append1!J429="","",Append1!J429)</f>
        <v/>
      </c>
    </row>
    <row r="431">
      <c r="B431" s="2">
        <f t="array" ref="B431:J431">IF(Append1!A430:I430="","",Append1!A430:I430)</f>
        <v/>
      </c>
      <c r="C431" s="3" t="str"/>
      <c r="D431" s="2" t="str"/>
      <c r="E431" s="2" t="str"/>
      <c r="F431" s="2" t="str"/>
      <c r="G431" s="2" t="str"/>
      <c r="H431" s="2" t="str"/>
      <c r="I431" s="2" t="str"/>
      <c r="J431" s="2" t="str"/>
      <c r="N431" s="2">
        <f>IF(Append1!J430="","",Append1!J430)</f>
        <v/>
      </c>
    </row>
    <row r="432">
      <c r="B432" s="2">
        <f t="array" ref="B432:J432">IF(Append1!A431:I431="","",Append1!A431:I431)</f>
        <v/>
      </c>
      <c r="C432" s="3" t="str"/>
      <c r="D432" s="2" t="str"/>
      <c r="E432" s="2" t="str"/>
      <c r="F432" s="2" t="str"/>
      <c r="G432" s="2" t="str"/>
      <c r="H432" s="2" t="str"/>
      <c r="I432" s="2" t="str"/>
      <c r="J432" s="2" t="str"/>
      <c r="N432" s="2">
        <f>IF(Append1!J431="","",Append1!J431)</f>
        <v/>
      </c>
    </row>
    <row r="433">
      <c r="B433" s="2">
        <f t="array" ref="B433:J433">IF(Append1!A432:I432="","",Append1!A432:I432)</f>
        <v/>
      </c>
      <c r="C433" s="3" t="str"/>
      <c r="D433" s="2" t="str"/>
      <c r="E433" s="2" t="str"/>
      <c r="F433" s="2" t="str"/>
      <c r="G433" s="2" t="str"/>
      <c r="H433" s="2" t="str"/>
      <c r="I433" s="2" t="str"/>
      <c r="J433" s="2" t="str"/>
      <c r="N433" s="2">
        <f>IF(Append1!J432="","",Append1!J432)</f>
        <v/>
      </c>
    </row>
    <row r="434">
      <c r="B434" s="2">
        <f t="array" ref="B434:J434">IF(Append1!A433:I433="","",Append1!A433:I433)</f>
        <v/>
      </c>
      <c r="C434" s="3" t="str"/>
      <c r="D434" s="2" t="str"/>
      <c r="E434" s="2" t="str"/>
      <c r="F434" s="2" t="str"/>
      <c r="G434" s="2" t="str"/>
      <c r="H434" s="2" t="str"/>
      <c r="I434" s="2" t="str"/>
      <c r="J434" s="2" t="str"/>
      <c r="N434" s="2">
        <f>IF(Append1!J433="","",Append1!J433)</f>
        <v/>
      </c>
    </row>
    <row r="435">
      <c r="B435" s="2">
        <f t="array" ref="B435:J435">IF(Append1!A434:I434="","",Append1!A434:I434)</f>
        <v/>
      </c>
      <c r="C435" s="3" t="str"/>
      <c r="D435" s="2" t="str"/>
      <c r="E435" s="2" t="str"/>
      <c r="F435" s="2" t="str"/>
      <c r="G435" s="2" t="str"/>
      <c r="H435" s="2" t="str"/>
      <c r="I435" s="2" t="str"/>
      <c r="J435" s="2" t="str"/>
      <c r="N435" s="2">
        <f>IF(Append1!J434="","",Append1!J434)</f>
        <v/>
      </c>
    </row>
    <row r="436">
      <c r="B436" s="2">
        <f t="array" ref="B436:J436">IF(Append1!A435:I435="","",Append1!A435:I435)</f>
        <v/>
      </c>
      <c r="C436" s="3" t="str"/>
      <c r="D436" s="2" t="str"/>
      <c r="E436" s="2" t="str"/>
      <c r="F436" s="2" t="str"/>
      <c r="G436" s="2" t="str"/>
      <c r="H436" s="2" t="str"/>
      <c r="I436" s="2" t="str"/>
      <c r="J436" s="2" t="str"/>
      <c r="N436" s="2">
        <f>IF(Append1!J435="","",Append1!J435)</f>
        <v/>
      </c>
    </row>
    <row r="437">
      <c r="B437" s="2">
        <f t="array" ref="B437:J437">IF(Append1!A436:I436="","",Append1!A436:I436)</f>
        <v/>
      </c>
      <c r="C437" s="3" t="str"/>
      <c r="D437" s="2" t="str"/>
      <c r="E437" s="2" t="str"/>
      <c r="F437" s="2" t="str"/>
      <c r="G437" s="2" t="str"/>
      <c r="H437" s="2" t="str"/>
      <c r="I437" s="2" t="str"/>
      <c r="J437" s="2" t="str"/>
      <c r="N437" s="2">
        <f>IF(Append1!J436="","",Append1!J436)</f>
        <v/>
      </c>
    </row>
    <row r="438">
      <c r="B438" s="2">
        <f t="array" ref="B438:J438">IF(Append1!A437:I437="","",Append1!A437:I437)</f>
        <v/>
      </c>
      <c r="C438" s="3" t="str"/>
      <c r="D438" s="2" t="str"/>
      <c r="E438" s="2" t="str"/>
      <c r="F438" s="2" t="str"/>
      <c r="G438" s="2" t="str"/>
      <c r="H438" s="2" t="str"/>
      <c r="I438" s="2" t="str"/>
      <c r="J438" s="2" t="str"/>
      <c r="N438" s="2">
        <f>IF(Append1!J437="","",Append1!J437)</f>
        <v/>
      </c>
    </row>
    <row r="439">
      <c r="B439" s="2">
        <f t="array" ref="B439:J439">IF(Append1!A438:I438="","",Append1!A438:I438)</f>
        <v/>
      </c>
      <c r="C439" s="3" t="str"/>
      <c r="D439" s="2" t="str"/>
      <c r="E439" s="2" t="str"/>
      <c r="F439" s="2" t="str"/>
      <c r="G439" s="2" t="str"/>
      <c r="H439" s="2" t="str"/>
      <c r="I439" s="2" t="str"/>
      <c r="J439" s="2" t="str"/>
      <c r="N439" s="2">
        <f>IF(Append1!J438="","",Append1!J438)</f>
        <v/>
      </c>
    </row>
    <row r="440">
      <c r="B440" s="2">
        <f t="array" ref="B440:J440">IF(Append1!A439:I439="","",Append1!A439:I439)</f>
        <v/>
      </c>
      <c r="C440" s="3" t="str"/>
      <c r="D440" s="2" t="str"/>
      <c r="E440" s="2" t="str"/>
      <c r="F440" s="2" t="str"/>
      <c r="G440" s="2" t="str"/>
      <c r="H440" s="2" t="str"/>
      <c r="I440" s="2" t="str"/>
      <c r="J440" s="2" t="str"/>
      <c r="N440" s="2">
        <f>IF(Append1!J439="","",Append1!J439)</f>
        <v/>
      </c>
    </row>
    <row r="441">
      <c r="B441" s="2">
        <f t="array" ref="B441:J441">IF(Append1!A440:I440="","",Append1!A440:I440)</f>
        <v/>
      </c>
      <c r="C441" s="3" t="str"/>
      <c r="D441" s="2" t="str"/>
      <c r="E441" s="2" t="str"/>
      <c r="F441" s="2" t="str"/>
      <c r="G441" s="2" t="str"/>
      <c r="H441" s="2" t="str"/>
      <c r="I441" s="2" t="str"/>
      <c r="J441" s="2" t="str"/>
      <c r="N441" s="2">
        <f>IF(Append1!J440="","",Append1!J440)</f>
        <v/>
      </c>
    </row>
    <row r="442">
      <c r="B442" s="2">
        <f t="array" ref="B442:J442">IF(Append1!A441:I441="","",Append1!A441:I441)</f>
        <v/>
      </c>
      <c r="C442" s="3" t="str"/>
      <c r="D442" s="2" t="str"/>
      <c r="E442" s="2" t="str"/>
      <c r="F442" s="2" t="str"/>
      <c r="G442" s="2" t="str"/>
      <c r="H442" s="2" t="str"/>
      <c r="I442" s="2" t="str"/>
      <c r="J442" s="2" t="str"/>
      <c r="N442" s="2">
        <f>IF(Append1!J441="","",Append1!J441)</f>
        <v/>
      </c>
    </row>
    <row r="443">
      <c r="B443" s="2">
        <f t="array" ref="B443:J443">IF(Append1!A442:I442="","",Append1!A442:I442)</f>
        <v/>
      </c>
      <c r="C443" s="3" t="str"/>
      <c r="D443" s="2" t="str"/>
      <c r="E443" s="2" t="str"/>
      <c r="F443" s="2" t="str"/>
      <c r="G443" s="2" t="str"/>
      <c r="H443" s="2" t="str"/>
      <c r="I443" s="2" t="str"/>
      <c r="J443" s="2" t="str"/>
      <c r="N443" s="2">
        <f>IF(Append1!J442="","",Append1!J442)</f>
        <v/>
      </c>
    </row>
    <row r="444">
      <c r="B444" s="2">
        <f t="array" ref="B444:J444">IF(Append1!A443:I443="","",Append1!A443:I443)</f>
        <v/>
      </c>
      <c r="C444" s="3" t="str"/>
      <c r="D444" s="2" t="str"/>
      <c r="E444" s="2" t="str"/>
      <c r="F444" s="2" t="str"/>
      <c r="G444" s="2" t="str"/>
      <c r="H444" s="2" t="str"/>
      <c r="I444" s="2" t="str"/>
      <c r="J444" s="2" t="str"/>
      <c r="N444" s="2">
        <f>IF(Append1!J443="","",Append1!J443)</f>
        <v/>
      </c>
    </row>
    <row r="445">
      <c r="B445" s="2">
        <f t="array" ref="B445:J445">IF(Append1!A444:I444="","",Append1!A444:I444)</f>
        <v/>
      </c>
      <c r="C445" s="3" t="str"/>
      <c r="D445" s="2" t="str"/>
      <c r="E445" s="2" t="str"/>
      <c r="F445" s="2" t="str"/>
      <c r="G445" s="2" t="str"/>
      <c r="H445" s="2" t="str"/>
      <c r="I445" s="2" t="str"/>
      <c r="J445" s="2" t="str"/>
      <c r="N445" s="2">
        <f>IF(Append1!J444="","",Append1!J444)</f>
        <v/>
      </c>
    </row>
    <row r="446">
      <c r="B446" s="2">
        <f t="array" ref="B446:J446">IF(Append1!A445:I445="","",Append1!A445:I445)</f>
        <v/>
      </c>
      <c r="C446" s="3" t="str"/>
      <c r="D446" s="2" t="str"/>
      <c r="E446" s="2" t="str"/>
      <c r="F446" s="2" t="str"/>
      <c r="G446" s="2" t="str"/>
      <c r="H446" s="2" t="str"/>
      <c r="I446" s="2" t="str"/>
      <c r="J446" s="2" t="str"/>
      <c r="N446" s="2">
        <f>IF(Append1!J445="","",Append1!J445)</f>
        <v/>
      </c>
    </row>
    <row r="447">
      <c r="B447" s="2">
        <f t="array" ref="B447:J447">IF(Append1!A446:I446="","",Append1!A446:I446)</f>
        <v/>
      </c>
      <c r="C447" s="3" t="str"/>
      <c r="D447" s="2" t="str"/>
      <c r="E447" s="2" t="str"/>
      <c r="F447" s="2" t="str"/>
      <c r="G447" s="2" t="str"/>
      <c r="H447" s="2" t="str"/>
      <c r="I447" s="2" t="str"/>
      <c r="J447" s="2" t="str"/>
      <c r="N447" s="2">
        <f>IF(Append1!J446="","",Append1!J446)</f>
        <v/>
      </c>
    </row>
    <row r="448">
      <c r="B448" s="2">
        <f t="array" ref="B448:J448">IF(Append1!A447:I447="","",Append1!A447:I447)</f>
        <v/>
      </c>
      <c r="C448" s="3" t="str"/>
      <c r="D448" s="2" t="str"/>
      <c r="E448" s="2" t="str"/>
      <c r="F448" s="2" t="str"/>
      <c r="G448" s="2" t="str"/>
      <c r="H448" s="2" t="str"/>
      <c r="I448" s="2" t="str"/>
      <c r="J448" s="2" t="str"/>
      <c r="N448" s="2">
        <f>IF(Append1!J447="","",Append1!J447)</f>
        <v/>
      </c>
    </row>
    <row r="449">
      <c r="B449" s="2">
        <f t="array" ref="B449:J449">IF(Append1!A448:I448="","",Append1!A448:I448)</f>
        <v/>
      </c>
      <c r="C449" s="3" t="str"/>
      <c r="D449" s="2" t="str"/>
      <c r="E449" s="2" t="str"/>
      <c r="F449" s="2" t="str"/>
      <c r="G449" s="2" t="str"/>
      <c r="H449" s="2" t="str"/>
      <c r="I449" s="2" t="str"/>
      <c r="J449" s="2" t="str"/>
      <c r="N449" s="2">
        <f>IF(Append1!J448="","",Append1!J448)</f>
        <v/>
      </c>
    </row>
    <row r="450">
      <c r="B450" s="2">
        <f t="array" ref="B450:J450">IF(Append1!A449:I449="","",Append1!A449:I449)</f>
        <v/>
      </c>
      <c r="C450" s="3" t="str"/>
      <c r="D450" s="2" t="str"/>
      <c r="E450" s="2" t="str"/>
      <c r="F450" s="2" t="str"/>
      <c r="G450" s="2" t="str"/>
      <c r="H450" s="2" t="str"/>
      <c r="I450" s="2" t="str"/>
      <c r="J450" s="2" t="str"/>
      <c r="N450" s="2">
        <f>IF(Append1!J449="","",Append1!J449)</f>
        <v/>
      </c>
    </row>
    <row r="451">
      <c r="B451" s="2">
        <f t="array" ref="B451:J451">IF(Append1!A450:I450="","",Append1!A450:I450)</f>
        <v/>
      </c>
      <c r="C451" s="3" t="str"/>
      <c r="D451" s="2" t="str"/>
      <c r="E451" s="2" t="str"/>
      <c r="F451" s="2" t="str"/>
      <c r="G451" s="2" t="str"/>
      <c r="H451" s="2" t="str"/>
      <c r="I451" s="2" t="str"/>
      <c r="J451" s="2" t="str"/>
      <c r="N451" s="2">
        <f>IF(Append1!J450="","",Append1!J450)</f>
        <v/>
      </c>
    </row>
    <row r="452">
      <c r="B452" s="2">
        <f t="array" ref="B452:J452">IF(Append1!A451:I451="","",Append1!A451:I451)</f>
        <v/>
      </c>
      <c r="C452" s="3" t="str"/>
      <c r="D452" s="2" t="str"/>
      <c r="E452" s="2" t="str"/>
      <c r="F452" s="2" t="str"/>
      <c r="G452" s="2" t="str"/>
      <c r="H452" s="2" t="str"/>
      <c r="I452" s="2" t="str"/>
      <c r="J452" s="2" t="str"/>
      <c r="N452" s="2">
        <f>IF(Append1!J451="","",Append1!J451)</f>
        <v/>
      </c>
    </row>
    <row r="453">
      <c r="B453" s="2">
        <f t="array" ref="B453:J453">IF(Append1!A452:I452="","",Append1!A452:I452)</f>
        <v/>
      </c>
      <c r="C453" s="3" t="str"/>
      <c r="D453" s="2" t="str"/>
      <c r="E453" s="2" t="str"/>
      <c r="F453" s="2" t="str"/>
      <c r="G453" s="2" t="str"/>
      <c r="H453" s="2" t="str"/>
      <c r="I453" s="2" t="str"/>
      <c r="J453" s="2" t="str"/>
      <c r="N453" s="2">
        <f>IF(Append1!J452="","",Append1!J452)</f>
        <v/>
      </c>
    </row>
    <row r="454">
      <c r="B454" s="2">
        <f t="array" ref="B454:J454">IF(Append1!A453:I453="","",Append1!A453:I453)</f>
        <v/>
      </c>
      <c r="C454" s="3" t="str"/>
      <c r="D454" s="2" t="str"/>
      <c r="E454" s="2" t="str"/>
      <c r="F454" s="2" t="str"/>
      <c r="G454" s="2" t="str"/>
      <c r="H454" s="2" t="str"/>
      <c r="I454" s="2" t="str"/>
      <c r="J454" s="2" t="str"/>
      <c r="N454" s="2">
        <f>IF(Append1!J453="","",Append1!J453)</f>
        <v/>
      </c>
    </row>
    <row r="455">
      <c r="B455" s="2">
        <f t="array" ref="B455:J455">IF(Append1!A454:I454="","",Append1!A454:I454)</f>
        <v/>
      </c>
      <c r="C455" s="3" t="str"/>
      <c r="D455" s="2" t="str"/>
      <c r="E455" s="2" t="str"/>
      <c r="F455" s="2" t="str"/>
      <c r="G455" s="2" t="str"/>
      <c r="H455" s="2" t="str"/>
      <c r="I455" s="2" t="str"/>
      <c r="J455" s="2" t="str"/>
      <c r="N455" s="2">
        <f>IF(Append1!J454="","",Append1!J454)</f>
        <v/>
      </c>
    </row>
    <row r="456">
      <c r="B456" s="2">
        <f t="array" ref="B456:J456">IF(Append1!A455:I455="","",Append1!A455:I455)</f>
        <v/>
      </c>
      <c r="C456" s="3" t="str"/>
      <c r="D456" s="2" t="str"/>
      <c r="E456" s="2" t="str"/>
      <c r="F456" s="2" t="str"/>
      <c r="G456" s="2" t="str"/>
      <c r="H456" s="2" t="str"/>
      <c r="I456" s="2" t="str"/>
      <c r="J456" s="2" t="str"/>
      <c r="N456" s="2">
        <f>IF(Append1!J455="","",Append1!J455)</f>
        <v/>
      </c>
    </row>
    <row r="457">
      <c r="B457" s="2">
        <f t="array" ref="B457:J457">IF(Append1!A456:I456="","",Append1!A456:I456)</f>
        <v/>
      </c>
      <c r="C457" s="3" t="str"/>
      <c r="D457" s="2" t="str"/>
      <c r="E457" s="2" t="str"/>
      <c r="F457" s="2" t="str"/>
      <c r="G457" s="2" t="str"/>
      <c r="H457" s="2" t="str"/>
      <c r="I457" s="2" t="str"/>
      <c r="J457" s="2" t="str"/>
      <c r="N457" s="2">
        <f>IF(Append1!J456="","",Append1!J456)</f>
        <v/>
      </c>
    </row>
    <row r="458">
      <c r="B458" s="2">
        <f t="array" ref="B458:J458">IF(Append1!A457:I457="","",Append1!A457:I457)</f>
        <v/>
      </c>
      <c r="C458" s="3" t="str"/>
      <c r="D458" s="2" t="str"/>
      <c r="E458" s="2" t="str"/>
      <c r="F458" s="2" t="str"/>
      <c r="G458" s="2" t="str"/>
      <c r="H458" s="2" t="str"/>
      <c r="I458" s="2" t="str"/>
      <c r="J458" s="2" t="str"/>
      <c r="N458" s="2">
        <f>IF(Append1!J457="","",Append1!J457)</f>
        <v/>
      </c>
    </row>
    <row r="459">
      <c r="B459" s="2">
        <f t="array" ref="B459:J459">IF(Append1!A458:I458="","",Append1!A458:I458)</f>
        <v/>
      </c>
      <c r="C459" s="3" t="str"/>
      <c r="D459" s="2" t="str"/>
      <c r="E459" s="2" t="str"/>
      <c r="F459" s="2" t="str"/>
      <c r="G459" s="2" t="str"/>
      <c r="H459" s="2" t="str"/>
      <c r="I459" s="2" t="str"/>
      <c r="J459" s="2" t="str"/>
      <c r="N459" s="2">
        <f>IF(Append1!J458="","",Append1!J458)</f>
        <v/>
      </c>
    </row>
    <row r="460">
      <c r="B460" s="2">
        <f t="array" ref="B460:J460">IF(Append1!A459:I459="","",Append1!A459:I459)</f>
        <v/>
      </c>
      <c r="C460" s="3" t="str"/>
      <c r="D460" s="2" t="str"/>
      <c r="E460" s="2" t="str"/>
      <c r="F460" s="2" t="str"/>
      <c r="G460" s="2" t="str"/>
      <c r="H460" s="2" t="str"/>
      <c r="I460" s="2" t="str"/>
      <c r="J460" s="2" t="str"/>
      <c r="N460" s="2">
        <f>IF(Append1!J459="","",Append1!J459)</f>
        <v/>
      </c>
    </row>
    <row r="461">
      <c r="B461" s="2">
        <f t="array" ref="B461:J461">IF(Append1!A460:I460="","",Append1!A460:I460)</f>
        <v/>
      </c>
      <c r="C461" s="3" t="str"/>
      <c r="D461" s="2" t="str"/>
      <c r="E461" s="2" t="str"/>
      <c r="F461" s="2" t="str"/>
      <c r="G461" s="2" t="str"/>
      <c r="H461" s="2" t="str"/>
      <c r="I461" s="2" t="str"/>
      <c r="J461" s="2" t="str"/>
      <c r="N461" s="2">
        <f>IF(Append1!J460="","",Append1!J460)</f>
        <v/>
      </c>
    </row>
    <row r="462">
      <c r="B462" s="2">
        <f t="array" ref="B462:J462">IF(Append1!A461:I461="","",Append1!A461:I461)</f>
        <v/>
      </c>
      <c r="C462" s="3" t="str"/>
      <c r="D462" s="2" t="str"/>
      <c r="E462" s="2" t="str"/>
      <c r="F462" s="2" t="str"/>
      <c r="G462" s="2" t="str"/>
      <c r="H462" s="2" t="str"/>
      <c r="I462" s="2" t="str"/>
      <c r="J462" s="2" t="str"/>
      <c r="N462" s="2">
        <f>IF(Append1!J461="","",Append1!J461)</f>
        <v/>
      </c>
    </row>
    <row r="463">
      <c r="B463" s="2">
        <f t="array" ref="B463:J463">IF(Append1!A462:I462="","",Append1!A462:I462)</f>
        <v/>
      </c>
      <c r="C463" s="3" t="str"/>
      <c r="D463" s="2" t="str"/>
      <c r="E463" s="2" t="str"/>
      <c r="F463" s="2" t="str"/>
      <c r="G463" s="2" t="str"/>
      <c r="H463" s="2" t="str"/>
      <c r="I463" s="2" t="str"/>
      <c r="J463" s="2" t="str"/>
      <c r="N463" s="2">
        <f>IF(Append1!J462="","",Append1!J462)</f>
        <v/>
      </c>
    </row>
    <row r="464">
      <c r="B464" s="2">
        <f t="array" ref="B464:J464">IF(Append1!A463:I463="","",Append1!A463:I463)</f>
        <v/>
      </c>
      <c r="C464" s="3" t="str"/>
      <c r="D464" s="2" t="str"/>
      <c r="E464" s="2" t="str"/>
      <c r="F464" s="2" t="str"/>
      <c r="G464" s="2" t="str"/>
      <c r="H464" s="2" t="str"/>
      <c r="I464" s="2" t="str"/>
      <c r="J464" s="2" t="str"/>
      <c r="N464" s="2">
        <f>IF(Append1!J463="","",Append1!J463)</f>
        <v/>
      </c>
    </row>
    <row r="465">
      <c r="B465" s="2">
        <f t="array" ref="B465:J465">IF(Append1!A464:I464="","",Append1!A464:I464)</f>
        <v/>
      </c>
      <c r="C465" s="3" t="str"/>
      <c r="D465" s="2" t="str"/>
      <c r="E465" s="2" t="str"/>
      <c r="F465" s="2" t="str"/>
      <c r="G465" s="2" t="str"/>
      <c r="H465" s="2" t="str"/>
      <c r="I465" s="2" t="str"/>
      <c r="J465" s="2" t="str"/>
      <c r="N465" s="2">
        <f>IF(Append1!J464="","",Append1!J464)</f>
        <v/>
      </c>
    </row>
    <row r="466">
      <c r="B466" s="2">
        <f t="array" ref="B466:J466">IF(Append1!A465:I465="","",Append1!A465:I465)</f>
        <v/>
      </c>
      <c r="C466" s="3" t="str"/>
      <c r="D466" s="2" t="str"/>
      <c r="E466" s="2" t="str"/>
      <c r="F466" s="2" t="str"/>
      <c r="G466" s="2" t="str"/>
      <c r="H466" s="2" t="str"/>
      <c r="I466" s="2" t="str"/>
      <c r="J466" s="2" t="str"/>
      <c r="N466" s="2">
        <f>IF(Append1!J465="","",Append1!J465)</f>
        <v/>
      </c>
    </row>
    <row r="467">
      <c r="B467" s="2">
        <f t="array" ref="B467:J467">IF(Append1!A466:I466="","",Append1!A466:I466)</f>
        <v/>
      </c>
      <c r="C467" s="3" t="str"/>
      <c r="D467" s="2" t="str"/>
      <c r="E467" s="2" t="str"/>
      <c r="F467" s="2" t="str"/>
      <c r="G467" s="2" t="str"/>
      <c r="H467" s="2" t="str"/>
      <c r="I467" s="2" t="str"/>
      <c r="J467" s="2" t="str"/>
      <c r="N467" s="2">
        <f>IF(Append1!J466="","",Append1!J466)</f>
        <v/>
      </c>
    </row>
    <row r="468">
      <c r="B468" s="2">
        <f t="array" ref="B468:J468">IF(Append1!A467:I467="","",Append1!A467:I467)</f>
        <v/>
      </c>
      <c r="C468" s="3" t="str"/>
      <c r="D468" s="2" t="str"/>
      <c r="E468" s="2" t="str"/>
      <c r="F468" s="2" t="str"/>
      <c r="G468" s="2" t="str"/>
      <c r="H468" s="2" t="str"/>
      <c r="I468" s="2" t="str"/>
      <c r="J468" s="2" t="str"/>
      <c r="N468" s="2">
        <f>IF(Append1!J467="","",Append1!J467)</f>
        <v/>
      </c>
    </row>
    <row r="469">
      <c r="B469" s="2">
        <f t="array" ref="B469:J469">IF(Append1!A468:I468="","",Append1!A468:I468)</f>
        <v/>
      </c>
      <c r="C469" s="3" t="str"/>
      <c r="D469" s="2" t="str"/>
      <c r="E469" s="2" t="str"/>
      <c r="F469" s="2" t="str"/>
      <c r="G469" s="2" t="str"/>
      <c r="H469" s="2" t="str"/>
      <c r="I469" s="2" t="str"/>
      <c r="J469" s="2" t="str"/>
      <c r="N469" s="2">
        <f>IF(Append1!J468="","",Append1!J468)</f>
        <v/>
      </c>
    </row>
    <row r="470">
      <c r="B470" s="2">
        <f t="array" ref="B470:J470">IF(Append1!A469:I469="","",Append1!A469:I469)</f>
        <v/>
      </c>
      <c r="C470" s="3" t="str"/>
      <c r="D470" s="2" t="str"/>
      <c r="E470" s="2" t="str"/>
      <c r="F470" s="2" t="str"/>
      <c r="G470" s="2" t="str"/>
      <c r="H470" s="2" t="str"/>
      <c r="I470" s="2" t="str"/>
      <c r="J470" s="2" t="str"/>
      <c r="N470" s="2">
        <f>IF(Append1!J469="","",Append1!J469)</f>
        <v/>
      </c>
    </row>
    <row r="471">
      <c r="B471" s="2">
        <f t="array" ref="B471:J471">IF(Append1!A470:I470="","",Append1!A470:I470)</f>
        <v/>
      </c>
      <c r="C471" s="3" t="str"/>
      <c r="D471" s="2" t="str"/>
      <c r="E471" s="2" t="str"/>
      <c r="F471" s="2" t="str"/>
      <c r="G471" s="2" t="str"/>
      <c r="H471" s="2" t="str"/>
      <c r="I471" s="2" t="str"/>
      <c r="J471" s="2" t="str"/>
      <c r="N471" s="2">
        <f>IF(Append1!J470="","",Append1!J470)</f>
        <v/>
      </c>
    </row>
    <row r="472">
      <c r="B472" s="2">
        <f t="array" ref="B472:J472">IF(Append1!A471:I471="","",Append1!A471:I471)</f>
        <v/>
      </c>
      <c r="C472" s="3" t="str"/>
      <c r="D472" s="2" t="str"/>
      <c r="E472" s="2" t="str"/>
      <c r="F472" s="2" t="str"/>
      <c r="G472" s="2" t="str"/>
      <c r="H472" s="2" t="str"/>
      <c r="I472" s="2" t="str"/>
      <c r="J472" s="2" t="str"/>
      <c r="N472" s="2">
        <f>IF(Append1!J471="","",Append1!J471)</f>
        <v/>
      </c>
    </row>
    <row r="473">
      <c r="B473" s="2">
        <f t="array" ref="B473:J473">IF(Append1!A472:I472="","",Append1!A472:I472)</f>
        <v/>
      </c>
      <c r="C473" s="3" t="str"/>
      <c r="D473" s="2" t="str"/>
      <c r="E473" s="2" t="str"/>
      <c r="F473" s="2" t="str"/>
      <c r="G473" s="2" t="str"/>
      <c r="H473" s="2" t="str"/>
      <c r="I473" s="2" t="str"/>
      <c r="J473" s="2" t="str"/>
      <c r="N473" s="2">
        <f>IF(Append1!J472="","",Append1!J472)</f>
        <v/>
      </c>
    </row>
    <row r="474">
      <c r="B474" s="2">
        <f t="array" ref="B474:J474">IF(Append1!A473:I473="","",Append1!A473:I473)</f>
        <v/>
      </c>
      <c r="C474" s="3" t="str"/>
      <c r="D474" s="2" t="str"/>
      <c r="E474" s="2" t="str"/>
      <c r="F474" s="2" t="str"/>
      <c r="G474" s="2" t="str"/>
      <c r="H474" s="2" t="str"/>
      <c r="I474" s="2" t="str"/>
      <c r="J474" s="2" t="str"/>
      <c r="N474" s="2">
        <f>IF(Append1!J473="","",Append1!J473)</f>
        <v/>
      </c>
    </row>
    <row r="475">
      <c r="B475" s="2">
        <f t="array" ref="B475:J475">IF(Append1!A474:I474="","",Append1!A474:I474)</f>
        <v/>
      </c>
      <c r="C475" s="3" t="str"/>
      <c r="D475" s="2" t="str"/>
      <c r="E475" s="2" t="str"/>
      <c r="F475" s="2" t="str"/>
      <c r="G475" s="2" t="str"/>
      <c r="H475" s="2" t="str"/>
      <c r="I475" s="2" t="str"/>
      <c r="J475" s="2" t="str"/>
      <c r="N475" s="2">
        <f>IF(Append1!J474="","",Append1!J474)</f>
        <v/>
      </c>
    </row>
    <row r="476">
      <c r="B476" s="2">
        <f t="array" ref="B476:J476">IF(Append1!A475:I475="","",Append1!A475:I475)</f>
        <v/>
      </c>
      <c r="C476" s="3" t="str"/>
      <c r="D476" s="2" t="str"/>
      <c r="E476" s="2" t="str"/>
      <c r="F476" s="2" t="str"/>
      <c r="G476" s="2" t="str"/>
      <c r="H476" s="2" t="str"/>
      <c r="I476" s="2" t="str"/>
      <c r="J476" s="2" t="str"/>
      <c r="N476" s="2">
        <f>IF(Append1!J475="","",Append1!J475)</f>
        <v/>
      </c>
    </row>
    <row r="477">
      <c r="B477" s="2">
        <f t="array" ref="B477:J477">IF(Append1!A476:I476="","",Append1!A476:I476)</f>
        <v/>
      </c>
      <c r="C477" s="3" t="str"/>
      <c r="D477" s="2" t="str"/>
      <c r="E477" s="2" t="str"/>
      <c r="F477" s="2" t="str"/>
      <c r="G477" s="2" t="str"/>
      <c r="H477" s="2" t="str"/>
      <c r="I477" s="2" t="str"/>
      <c r="J477" s="2" t="str"/>
      <c r="N477" s="2">
        <f>IF(Append1!J476="","",Append1!J476)</f>
        <v/>
      </c>
    </row>
    <row r="478">
      <c r="B478" s="2">
        <f t="array" ref="B478:J478">IF(Append1!A477:I477="","",Append1!A477:I477)</f>
        <v/>
      </c>
      <c r="C478" s="3" t="str"/>
      <c r="D478" s="2" t="str"/>
      <c r="E478" s="2" t="str"/>
      <c r="F478" s="2" t="str"/>
      <c r="G478" s="2" t="str"/>
      <c r="H478" s="2" t="str"/>
      <c r="I478" s="2" t="str"/>
      <c r="J478" s="2" t="str"/>
      <c r="N478" s="2">
        <f>IF(Append1!J477="","",Append1!J477)</f>
        <v/>
      </c>
    </row>
    <row r="479">
      <c r="B479" s="2">
        <f t="array" ref="B479:J479">IF(Append1!A478:I478="","",Append1!A478:I478)</f>
        <v/>
      </c>
      <c r="C479" s="3" t="str"/>
      <c r="D479" s="2" t="str"/>
      <c r="E479" s="2" t="str"/>
      <c r="F479" s="2" t="str"/>
      <c r="G479" s="2" t="str"/>
      <c r="H479" s="2" t="str"/>
      <c r="I479" s="2" t="str"/>
      <c r="J479" s="2" t="str"/>
      <c r="N479" s="2">
        <f>IF(Append1!J478="","",Append1!J478)</f>
        <v/>
      </c>
    </row>
    <row r="480">
      <c r="B480" s="2">
        <f t="array" ref="B480:J480">IF(Append1!A479:I479="","",Append1!A479:I479)</f>
        <v/>
      </c>
      <c r="C480" s="3" t="str"/>
      <c r="D480" s="2" t="str"/>
      <c r="E480" s="2" t="str"/>
      <c r="F480" s="2" t="str"/>
      <c r="G480" s="2" t="str"/>
      <c r="H480" s="2" t="str"/>
      <c r="I480" s="2" t="str"/>
      <c r="J480" s="2" t="str"/>
      <c r="N480" s="2">
        <f>IF(Append1!J479="","",Append1!J479)</f>
        <v/>
      </c>
    </row>
    <row r="481">
      <c r="B481" s="2">
        <f t="array" ref="B481:J481">IF(Append1!A480:I480="","",Append1!A480:I480)</f>
        <v/>
      </c>
      <c r="C481" s="3" t="str"/>
      <c r="D481" s="2" t="str"/>
      <c r="E481" s="2" t="str"/>
      <c r="F481" s="2" t="str"/>
      <c r="G481" s="2" t="str"/>
      <c r="H481" s="2" t="str"/>
      <c r="I481" s="2" t="str"/>
      <c r="J481" s="2" t="str"/>
      <c r="N481" s="2">
        <f>IF(Append1!J480="","",Append1!J480)</f>
        <v/>
      </c>
    </row>
    <row r="482">
      <c r="B482" s="2">
        <f t="array" ref="B482:J482">IF(Append1!A481:I481="","",Append1!A481:I481)</f>
        <v/>
      </c>
      <c r="C482" s="3" t="str"/>
      <c r="D482" s="2" t="str"/>
      <c r="E482" s="2" t="str"/>
      <c r="F482" s="2" t="str"/>
      <c r="G482" s="2" t="str"/>
      <c r="H482" s="2" t="str"/>
      <c r="I482" s="2" t="str"/>
      <c r="J482" s="2" t="str"/>
      <c r="N482" s="2">
        <f>IF(Append1!J481="","",Append1!J481)</f>
        <v/>
      </c>
    </row>
    <row r="483">
      <c r="B483" s="2">
        <f t="array" ref="B483:J483">IF(Append1!A482:I482="","",Append1!A482:I482)</f>
        <v/>
      </c>
      <c r="C483" s="3" t="str"/>
      <c r="D483" s="2" t="str"/>
      <c r="E483" s="2" t="str"/>
      <c r="F483" s="2" t="str"/>
      <c r="G483" s="2" t="str"/>
      <c r="H483" s="2" t="str"/>
      <c r="I483" s="2" t="str"/>
      <c r="J483" s="2" t="str"/>
      <c r="N483" s="2">
        <f>IF(Append1!J482="","",Append1!J482)</f>
        <v/>
      </c>
    </row>
    <row r="484">
      <c r="B484" s="2">
        <f t="array" ref="B484:J484">IF(Append1!A483:I483="","",Append1!A483:I483)</f>
        <v/>
      </c>
      <c r="C484" s="3" t="str"/>
      <c r="D484" s="2" t="str"/>
      <c r="E484" s="2" t="str"/>
      <c r="F484" s="2" t="str"/>
      <c r="G484" s="2" t="str"/>
      <c r="H484" s="2" t="str"/>
      <c r="I484" s="2" t="str"/>
      <c r="J484" s="2" t="str"/>
      <c r="N484" s="2">
        <f>IF(Append1!J483="","",Append1!J483)</f>
        <v/>
      </c>
    </row>
    <row r="485">
      <c r="B485" s="2">
        <f t="array" ref="B485:J485">IF(Append1!A484:I484="","",Append1!A484:I484)</f>
        <v/>
      </c>
      <c r="C485" s="3" t="str"/>
      <c r="D485" s="2" t="str"/>
      <c r="E485" s="2" t="str"/>
      <c r="F485" s="2" t="str"/>
      <c r="G485" s="2" t="str"/>
      <c r="H485" s="2" t="str"/>
      <c r="I485" s="2" t="str"/>
      <c r="J485" s="2" t="str"/>
      <c r="N485" s="2">
        <f>IF(Append1!J484="","",Append1!J484)</f>
        <v/>
      </c>
    </row>
    <row r="486">
      <c r="B486" s="2">
        <f t="array" ref="B486:J486">IF(Append1!A485:I485="","",Append1!A485:I485)</f>
        <v/>
      </c>
      <c r="C486" s="3" t="str"/>
      <c r="D486" s="2" t="str"/>
      <c r="E486" s="2" t="str"/>
      <c r="F486" s="2" t="str"/>
      <c r="G486" s="2" t="str"/>
      <c r="H486" s="2" t="str"/>
      <c r="I486" s="2" t="str"/>
      <c r="J486" s="2" t="str"/>
      <c r="N486" s="2">
        <f>IF(Append1!J485="","",Append1!J485)</f>
        <v/>
      </c>
    </row>
    <row r="487">
      <c r="B487" s="2">
        <f t="array" ref="B487:J487">IF(Append1!A486:I486="","",Append1!A486:I486)</f>
        <v/>
      </c>
      <c r="C487" s="3" t="str"/>
      <c r="D487" s="2" t="str"/>
      <c r="E487" s="2" t="str"/>
      <c r="F487" s="2" t="str"/>
      <c r="G487" s="2" t="str"/>
      <c r="H487" s="2" t="str"/>
      <c r="I487" s="2" t="str"/>
      <c r="J487" s="2" t="str"/>
      <c r="N487" s="2">
        <f>IF(Append1!J486="","",Append1!J486)</f>
        <v/>
      </c>
    </row>
    <row r="488">
      <c r="B488" s="2">
        <f t="array" ref="B488:J488">IF(Append1!A487:I487="","",Append1!A487:I487)</f>
        <v/>
      </c>
      <c r="C488" s="3" t="str"/>
      <c r="D488" s="2" t="str"/>
      <c r="E488" s="2" t="str"/>
      <c r="F488" s="2" t="str"/>
      <c r="G488" s="2" t="str"/>
      <c r="H488" s="2" t="str"/>
      <c r="I488" s="2" t="str"/>
      <c r="J488" s="2" t="str"/>
      <c r="N488" s="2">
        <f>IF(Append1!J487="","",Append1!J487)</f>
        <v/>
      </c>
    </row>
    <row r="489">
      <c r="B489" s="2">
        <f t="array" ref="B489:J489">IF(Append1!A488:I488="","",Append1!A488:I488)</f>
        <v/>
      </c>
      <c r="C489" s="3" t="str"/>
      <c r="D489" s="2" t="str"/>
      <c r="E489" s="2" t="str"/>
      <c r="F489" s="2" t="str"/>
      <c r="G489" s="2" t="str"/>
      <c r="H489" s="2" t="str"/>
      <c r="I489" s="2" t="str"/>
      <c r="J489" s="2" t="str"/>
      <c r="N489" s="2">
        <f>IF(Append1!J488="","",Append1!J488)</f>
        <v/>
      </c>
    </row>
    <row r="490">
      <c r="B490" s="2">
        <f t="array" ref="B490:J490">IF(Append1!A489:I489="","",Append1!A489:I489)</f>
        <v/>
      </c>
      <c r="C490" s="3" t="str"/>
      <c r="D490" s="2" t="str"/>
      <c r="E490" s="2" t="str"/>
      <c r="F490" s="2" t="str"/>
      <c r="G490" s="2" t="str"/>
      <c r="H490" s="2" t="str"/>
      <c r="I490" s="2" t="str"/>
      <c r="J490" s="2" t="str"/>
      <c r="N490" s="2">
        <f>IF(Append1!J489="","",Append1!J489)</f>
        <v/>
      </c>
    </row>
    <row r="491">
      <c r="B491" s="2">
        <f t="array" ref="B491:J491">IF(Append1!A490:I490="","",Append1!A490:I490)</f>
        <v/>
      </c>
      <c r="C491" s="3" t="str"/>
      <c r="D491" s="2" t="str"/>
      <c r="E491" s="2" t="str"/>
      <c r="F491" s="2" t="str"/>
      <c r="G491" s="2" t="str"/>
      <c r="H491" s="2" t="str"/>
      <c r="I491" s="2" t="str"/>
      <c r="J491" s="2" t="str"/>
      <c r="N491" s="2">
        <f>IF(Append1!J490="","",Append1!J490)</f>
        <v/>
      </c>
    </row>
    <row r="492">
      <c r="B492" s="2">
        <f t="array" ref="B492:J492">IF(Append1!A491:I491="","",Append1!A491:I491)</f>
        <v/>
      </c>
      <c r="C492" s="3" t="str"/>
      <c r="D492" s="2" t="str"/>
      <c r="E492" s="2" t="str"/>
      <c r="F492" s="2" t="str"/>
      <c r="G492" s="2" t="str"/>
      <c r="H492" s="2" t="str"/>
      <c r="I492" s="2" t="str"/>
      <c r="J492" s="2" t="str"/>
      <c r="N492" s="2">
        <f>IF(Append1!J491="","",Append1!J491)</f>
        <v/>
      </c>
    </row>
    <row r="493">
      <c r="B493" s="2">
        <f t="array" ref="B493:J493">IF(Append1!A492:I492="","",Append1!A492:I492)</f>
        <v/>
      </c>
      <c r="C493" s="3" t="str"/>
      <c r="D493" s="2" t="str"/>
      <c r="E493" s="2" t="str"/>
      <c r="F493" s="2" t="str"/>
      <c r="G493" s="2" t="str"/>
      <c r="H493" s="2" t="str"/>
      <c r="I493" s="2" t="str"/>
      <c r="J493" s="2" t="str"/>
      <c r="N493" s="2">
        <f>IF(Append1!J492="","",Append1!J492)</f>
        <v/>
      </c>
    </row>
    <row r="494">
      <c r="B494" s="2">
        <f t="array" ref="B494:J494">IF(Append1!A493:I493="","",Append1!A493:I493)</f>
        <v/>
      </c>
      <c r="C494" s="3" t="str"/>
      <c r="D494" s="2" t="str"/>
      <c r="E494" s="2" t="str"/>
      <c r="F494" s="2" t="str"/>
      <c r="G494" s="2" t="str"/>
      <c r="H494" s="2" t="str"/>
      <c r="I494" s="2" t="str"/>
      <c r="J494" s="2" t="str"/>
      <c r="N494" s="2">
        <f>IF(Append1!J493="","",Append1!J493)</f>
        <v/>
      </c>
    </row>
    <row r="495">
      <c r="B495" s="2">
        <f t="array" ref="B495:J495">IF(Append1!A494:I494="","",Append1!A494:I494)</f>
        <v/>
      </c>
      <c r="C495" s="3" t="str"/>
      <c r="D495" s="2" t="str"/>
      <c r="E495" s="2" t="str"/>
      <c r="F495" s="2" t="str"/>
      <c r="G495" s="2" t="str"/>
      <c r="H495" s="2" t="str"/>
      <c r="I495" s="2" t="str"/>
      <c r="J495" s="2" t="str"/>
      <c r="N495" s="2">
        <f>IF(Append1!J494="","",Append1!J494)</f>
        <v/>
      </c>
    </row>
    <row r="496">
      <c r="B496" s="2">
        <f t="array" ref="B496:J496">IF(Append1!A495:I495="","",Append1!A495:I495)</f>
        <v/>
      </c>
      <c r="C496" s="3" t="str"/>
      <c r="D496" s="2" t="str"/>
      <c r="E496" s="2" t="str"/>
      <c r="F496" s="2" t="str"/>
      <c r="G496" s="2" t="str"/>
      <c r="H496" s="2" t="str"/>
      <c r="I496" s="2" t="str"/>
      <c r="J496" s="2" t="str"/>
      <c r="N496" s="2">
        <f>IF(Append1!J495="","",Append1!J495)</f>
        <v/>
      </c>
    </row>
    <row r="497">
      <c r="B497" s="2">
        <f t="array" ref="B497:J497">IF(Append1!A496:I496="","",Append1!A496:I496)</f>
        <v/>
      </c>
      <c r="C497" s="3" t="str"/>
      <c r="D497" s="2" t="str"/>
      <c r="E497" s="2" t="str"/>
      <c r="F497" s="2" t="str"/>
      <c r="G497" s="2" t="str"/>
      <c r="H497" s="2" t="str"/>
      <c r="I497" s="2" t="str"/>
      <c r="J497" s="2" t="str"/>
      <c r="N497" s="2">
        <f>IF(Append1!J496="","",Append1!J496)</f>
        <v/>
      </c>
    </row>
    <row r="498">
      <c r="B498" s="2">
        <f t="array" ref="B498:J498">IF(Append1!A497:I497="","",Append1!A497:I497)</f>
        <v/>
      </c>
      <c r="C498" s="3" t="str"/>
      <c r="D498" s="2" t="str"/>
      <c r="E498" s="2" t="str"/>
      <c r="F498" s="2" t="str"/>
      <c r="G498" s="2" t="str"/>
      <c r="H498" s="2" t="str"/>
      <c r="I498" s="2" t="str"/>
      <c r="J498" s="2" t="str"/>
      <c r="N498" s="2">
        <f>IF(Append1!J497="","",Append1!J497)</f>
        <v/>
      </c>
    </row>
    <row r="499">
      <c r="B499" s="2">
        <f t="array" ref="B499:J499">IF(Append1!A498:I498="","",Append1!A498:I498)</f>
        <v/>
      </c>
      <c r="C499" s="3" t="str"/>
      <c r="D499" s="2" t="str"/>
      <c r="E499" s="2" t="str"/>
      <c r="F499" s="2" t="str"/>
      <c r="G499" s="2" t="str"/>
      <c r="H499" s="2" t="str"/>
      <c r="I499" s="2" t="str"/>
      <c r="J499" s="2" t="str"/>
      <c r="N499" s="2">
        <f>IF(Append1!J498="","",Append1!J498)</f>
        <v/>
      </c>
    </row>
    <row r="500">
      <c r="B500" s="2">
        <f t="array" ref="B500:J500">IF(Append1!A499:I499="","",Append1!A499:I499)</f>
        <v/>
      </c>
      <c r="C500" s="3" t="str"/>
      <c r="D500" s="2" t="str"/>
      <c r="E500" s="2" t="str"/>
      <c r="F500" s="2" t="str"/>
      <c r="G500" s="2" t="str"/>
      <c r="H500" s="2" t="str"/>
      <c r="I500" s="2" t="str"/>
      <c r="J500" s="2" t="str"/>
      <c r="N500" s="2">
        <f>IF(Append1!J499="","",Append1!J499)</f>
        <v/>
      </c>
    </row>
    <row r="501">
      <c r="B501" s="2">
        <f t="array" ref="B501:J501">IF(Append1!A500:I500="","",Append1!A500:I500)</f>
        <v/>
      </c>
      <c r="C501" s="3" t="str"/>
      <c r="D501" s="2" t="str"/>
      <c r="E501" s="2" t="str"/>
      <c r="F501" s="2" t="str"/>
      <c r="G501" s="2" t="str"/>
      <c r="H501" s="2" t="str"/>
      <c r="I501" s="2" t="str"/>
      <c r="J501" s="2" t="str"/>
      <c r="N501" s="2">
        <f>IF(Append1!J500="","",Append1!J500)</f>
        <v/>
      </c>
    </row>
    <row r="502">
      <c r="B502" s="2">
        <f t="array" ref="B502:J502">IF(Append1!A501:I501="","",Append1!A501:I501)</f>
        <v/>
      </c>
      <c r="C502" s="3" t="str"/>
      <c r="D502" s="2" t="str"/>
      <c r="E502" s="2" t="str"/>
      <c r="F502" s="2" t="str"/>
      <c r="G502" s="2" t="str"/>
      <c r="H502" s="2" t="str"/>
      <c r="I502" s="2" t="str"/>
      <c r="J502" s="2" t="str"/>
      <c r="N502" s="2">
        <f>IF(Append1!J501="","",Append1!J501)</f>
        <v/>
      </c>
    </row>
    <row r="503">
      <c r="B503" s="2">
        <f t="array" ref="B503:J503">IF(Append1!A502:I502="","",Append1!A502:I502)</f>
        <v/>
      </c>
      <c r="C503" s="3" t="str"/>
      <c r="D503" s="2" t="str"/>
      <c r="E503" s="2" t="str"/>
      <c r="F503" s="2" t="str"/>
      <c r="G503" s="2" t="str"/>
      <c r="H503" s="2" t="str"/>
      <c r="I503" s="2" t="str"/>
      <c r="J503" s="2" t="str"/>
      <c r="N503" s="2">
        <f>IF(Append1!J502="","",Append1!J502)</f>
        <v/>
      </c>
    </row>
    <row r="504">
      <c r="B504" s="2">
        <f t="array" ref="B504:J504">IF(Append1!A503:I503="","",Append1!A503:I503)</f>
        <v/>
      </c>
      <c r="C504" s="3" t="str"/>
      <c r="D504" s="2" t="str"/>
      <c r="E504" s="2" t="str"/>
      <c r="F504" s="2" t="str"/>
      <c r="G504" s="2" t="str"/>
      <c r="H504" s="2" t="str"/>
      <c r="I504" s="2" t="str"/>
      <c r="J504" s="2" t="str"/>
      <c r="N504" s="2">
        <f>IF(Append1!J503="","",Append1!J503)</f>
        <v/>
      </c>
    </row>
    <row r="505">
      <c r="B505" s="2">
        <f t="array" ref="B505:J505">IF(Append1!A504:I504="","",Append1!A504:I504)</f>
        <v/>
      </c>
      <c r="C505" s="3" t="str"/>
      <c r="D505" s="2" t="str"/>
      <c r="E505" s="2" t="str"/>
      <c r="F505" s="2" t="str"/>
      <c r="G505" s="2" t="str"/>
      <c r="H505" s="2" t="str"/>
      <c r="I505" s="2" t="str"/>
      <c r="J505" s="2" t="str"/>
      <c r="N505" s="2">
        <f>IF(Append1!J504="","",Append1!J504)</f>
        <v/>
      </c>
    </row>
    <row r="506">
      <c r="B506" s="2">
        <f t="array" ref="B506:J506">IF(Append1!A505:I505="","",Append1!A505:I505)</f>
        <v/>
      </c>
      <c r="C506" s="3" t="str"/>
      <c r="D506" s="2" t="str"/>
      <c r="E506" s="2" t="str"/>
      <c r="F506" s="2" t="str"/>
      <c r="G506" s="2" t="str"/>
      <c r="H506" s="2" t="str"/>
      <c r="I506" s="2" t="str"/>
      <c r="J506" s="2" t="str"/>
      <c r="N506" s="2">
        <f>IF(Append1!J505="","",Append1!J505)</f>
        <v/>
      </c>
    </row>
    <row r="507">
      <c r="B507" s="2">
        <f t="array" ref="B507:J507">IF(Append1!A506:I506="","",Append1!A506:I506)</f>
        <v/>
      </c>
      <c r="C507" s="3" t="str"/>
      <c r="D507" s="2" t="str"/>
      <c r="E507" s="2" t="str"/>
      <c r="F507" s="2" t="str"/>
      <c r="G507" s="2" t="str"/>
      <c r="H507" s="2" t="str"/>
      <c r="I507" s="2" t="str"/>
      <c r="J507" s="2" t="str"/>
      <c r="N507" s="2">
        <f>IF(Append1!J506="","",Append1!J506)</f>
        <v/>
      </c>
    </row>
    <row r="508">
      <c r="B508" s="2">
        <f t="array" ref="B508:J508">IF(Append1!A507:I507="","",Append1!A507:I507)</f>
        <v/>
      </c>
      <c r="C508" s="3" t="str"/>
      <c r="D508" s="2" t="str"/>
      <c r="E508" s="2" t="str"/>
      <c r="F508" s="2" t="str"/>
      <c r="G508" s="2" t="str"/>
      <c r="H508" s="2" t="str"/>
      <c r="I508" s="2" t="str"/>
      <c r="J508" s="2" t="str"/>
      <c r="N508" s="2">
        <f>IF(Append1!J507="","",Append1!J507)</f>
        <v/>
      </c>
    </row>
    <row r="509">
      <c r="B509" s="2">
        <f t="array" ref="B509:J509">IF(Append1!A508:I508="","",Append1!A508:I508)</f>
        <v/>
      </c>
      <c r="C509" s="3" t="str"/>
      <c r="D509" s="2" t="str"/>
      <c r="E509" s="2" t="str"/>
      <c r="F509" s="2" t="str"/>
      <c r="G509" s="2" t="str"/>
      <c r="H509" s="2" t="str"/>
      <c r="I509" s="2" t="str"/>
      <c r="J509" s="2" t="str"/>
      <c r="N509" s="2">
        <f>IF(Append1!J508="","",Append1!J508)</f>
        <v/>
      </c>
    </row>
    <row r="510">
      <c r="B510" s="2">
        <f t="array" ref="B510:J510">IF(Append1!A509:I509="","",Append1!A509:I509)</f>
        <v/>
      </c>
      <c r="C510" s="3" t="str"/>
      <c r="D510" s="2" t="str"/>
      <c r="E510" s="2" t="str"/>
      <c r="F510" s="2" t="str"/>
      <c r="G510" s="2" t="str"/>
      <c r="H510" s="2" t="str"/>
      <c r="I510" s="2" t="str"/>
      <c r="J510" s="2" t="str"/>
      <c r="N510" s="2">
        <f>IF(Append1!J509="","",Append1!J509)</f>
        <v/>
      </c>
    </row>
    <row r="511">
      <c r="B511" s="2">
        <f t="array" ref="B511:J511">IF(Append1!A510:I510="","",Append1!A510:I510)</f>
        <v/>
      </c>
      <c r="C511" s="3" t="str"/>
      <c r="D511" s="2" t="str"/>
      <c r="E511" s="2" t="str"/>
      <c r="F511" s="2" t="str"/>
      <c r="G511" s="2" t="str"/>
      <c r="H511" s="2" t="str"/>
      <c r="I511" s="2" t="str"/>
      <c r="J511" s="2" t="str"/>
      <c r="N511" s="2">
        <f>IF(Append1!J510="","",Append1!J510)</f>
        <v/>
      </c>
    </row>
    <row r="512">
      <c r="B512" s="2">
        <f t="array" ref="B512:J512">IF(Append1!A511:I511="","",Append1!A511:I511)</f>
        <v/>
      </c>
      <c r="C512" s="3" t="str"/>
      <c r="D512" s="2" t="str"/>
      <c r="E512" s="2" t="str"/>
      <c r="F512" s="2" t="str"/>
      <c r="G512" s="2" t="str"/>
      <c r="H512" s="2" t="str"/>
      <c r="I512" s="2" t="str"/>
      <c r="J512" s="2" t="str"/>
      <c r="N512" s="2">
        <f>IF(Append1!J511="","",Append1!J511)</f>
        <v/>
      </c>
    </row>
    <row r="513">
      <c r="B513" s="2">
        <f t="array" ref="B513:J513">IF(Append1!A512:I512="","",Append1!A512:I512)</f>
        <v/>
      </c>
      <c r="C513" s="3" t="str"/>
      <c r="D513" s="2" t="str"/>
      <c r="E513" s="2" t="str"/>
      <c r="F513" s="2" t="str"/>
      <c r="G513" s="2" t="str"/>
      <c r="H513" s="2" t="str"/>
      <c r="I513" s="2" t="str"/>
      <c r="J513" s="2" t="str"/>
      <c r="N513" s="2">
        <f>IF(Append1!J512="","",Append1!J512)</f>
        <v/>
      </c>
    </row>
    <row r="514">
      <c r="B514" s="2">
        <f t="array" ref="B514:J514">IF(Append1!A513:I513="","",Append1!A513:I513)</f>
        <v/>
      </c>
      <c r="C514" s="3" t="str"/>
      <c r="D514" s="2" t="str"/>
      <c r="E514" s="2" t="str"/>
      <c r="F514" s="2" t="str"/>
      <c r="G514" s="2" t="str"/>
      <c r="H514" s="2" t="str"/>
      <c r="I514" s="2" t="str"/>
      <c r="J514" s="2" t="str"/>
      <c r="N514" s="2">
        <f>IF(Append1!J513="","",Append1!J513)</f>
        <v/>
      </c>
    </row>
    <row r="515">
      <c r="B515" s="2">
        <f t="array" ref="B515:J515">IF(Append1!A514:I514="","",Append1!A514:I514)</f>
        <v/>
      </c>
      <c r="C515" s="3" t="str"/>
      <c r="D515" s="2" t="str"/>
      <c r="E515" s="2" t="str"/>
      <c r="F515" s="2" t="str"/>
      <c r="G515" s="2" t="str"/>
      <c r="H515" s="2" t="str"/>
      <c r="I515" s="2" t="str"/>
      <c r="J515" s="2" t="str"/>
      <c r="N515" s="2">
        <f>IF(Append1!J514="","",Append1!J514)</f>
        <v/>
      </c>
    </row>
    <row r="516">
      <c r="B516" s="2">
        <f t="array" ref="B516:J516">IF(Append1!A515:I515="","",Append1!A515:I515)</f>
        <v/>
      </c>
      <c r="C516" s="3" t="str"/>
      <c r="D516" s="2" t="str"/>
      <c r="E516" s="2" t="str"/>
      <c r="F516" s="2" t="str"/>
      <c r="G516" s="2" t="str"/>
      <c r="H516" s="2" t="str"/>
      <c r="I516" s="2" t="str"/>
      <c r="J516" s="2" t="str"/>
      <c r="N516" s="2">
        <f>IF(Append1!J515="","",Append1!J515)</f>
        <v/>
      </c>
    </row>
    <row r="517">
      <c r="B517" s="2">
        <f t="array" ref="B517:J517">IF(Append1!A516:I516="","",Append1!A516:I516)</f>
        <v/>
      </c>
      <c r="C517" s="3" t="str"/>
      <c r="D517" s="2" t="str"/>
      <c r="E517" s="2" t="str"/>
      <c r="F517" s="2" t="str"/>
      <c r="G517" s="2" t="str"/>
      <c r="H517" s="2" t="str"/>
      <c r="I517" s="2" t="str"/>
      <c r="J517" s="2" t="str"/>
      <c r="N517" s="2">
        <f>IF(Append1!J516="","",Append1!J516)</f>
        <v/>
      </c>
    </row>
    <row r="518">
      <c r="B518" s="2">
        <f t="array" ref="B518:J518">IF(Append1!A517:I517="","",Append1!A517:I517)</f>
        <v/>
      </c>
      <c r="C518" s="3" t="str"/>
      <c r="D518" s="2" t="str"/>
      <c r="E518" s="2" t="str"/>
      <c r="F518" s="2" t="str"/>
      <c r="G518" s="2" t="str"/>
      <c r="H518" s="2" t="str"/>
      <c r="I518" s="2" t="str"/>
      <c r="J518" s="2" t="str"/>
      <c r="N518" s="2">
        <f>IF(Append1!J517="","",Append1!J517)</f>
        <v/>
      </c>
    </row>
    <row r="519">
      <c r="B519" s="2">
        <f t="array" ref="B519:J519">IF(Append1!A518:I518="","",Append1!A518:I518)</f>
        <v/>
      </c>
      <c r="C519" s="3" t="str"/>
      <c r="D519" s="2" t="str"/>
      <c r="E519" s="2" t="str"/>
      <c r="F519" s="2" t="str"/>
      <c r="G519" s="2" t="str"/>
      <c r="H519" s="2" t="str"/>
      <c r="I519" s="2" t="str"/>
      <c r="J519" s="2" t="str"/>
      <c r="N519" s="2">
        <f>IF(Append1!J518="","",Append1!J518)</f>
        <v/>
      </c>
    </row>
    <row r="520">
      <c r="B520" s="2">
        <f t="array" ref="B520:J520">IF(Append1!A519:I519="","",Append1!A519:I519)</f>
        <v/>
      </c>
      <c r="C520" s="3" t="str"/>
      <c r="D520" s="2" t="str"/>
      <c r="E520" s="2" t="str"/>
      <c r="F520" s="2" t="str"/>
      <c r="G520" s="2" t="str"/>
      <c r="H520" s="2" t="str"/>
      <c r="I520" s="2" t="str"/>
      <c r="J520" s="2" t="str"/>
      <c r="N520" s="2">
        <f>IF(Append1!J519="","",Append1!J519)</f>
        <v/>
      </c>
    </row>
    <row r="521">
      <c r="B521" s="2">
        <f t="array" ref="B521:J521">IF(Append1!A520:I520="","",Append1!A520:I520)</f>
        <v/>
      </c>
      <c r="C521" s="3" t="str"/>
      <c r="D521" s="2" t="str"/>
      <c r="E521" s="2" t="str"/>
      <c r="F521" s="2" t="str"/>
      <c r="G521" s="2" t="str"/>
      <c r="H521" s="2" t="str"/>
      <c r="I521" s="2" t="str"/>
      <c r="J521" s="2" t="str"/>
      <c r="N521" s="2">
        <f>IF(Append1!J520="","",Append1!J520)</f>
        <v/>
      </c>
    </row>
    <row r="522">
      <c r="B522" s="2">
        <f t="array" ref="B522:J522">IF(Append1!A521:I521="","",Append1!A521:I521)</f>
        <v/>
      </c>
      <c r="C522" s="3" t="str"/>
      <c r="D522" s="2" t="str"/>
      <c r="E522" s="2" t="str"/>
      <c r="F522" s="2" t="str"/>
      <c r="G522" s="2" t="str"/>
      <c r="H522" s="2" t="str"/>
      <c r="I522" s="2" t="str"/>
      <c r="J522" s="2" t="str"/>
      <c r="N522" s="2">
        <f>IF(Append1!J521="","",Append1!J521)</f>
        <v/>
      </c>
    </row>
    <row r="523">
      <c r="B523" s="2">
        <f t="array" ref="B523:J523">IF(Append1!A522:I522="","",Append1!A522:I522)</f>
        <v/>
      </c>
      <c r="C523" s="3" t="str"/>
      <c r="D523" s="2" t="str"/>
      <c r="E523" s="2" t="str"/>
      <c r="F523" s="2" t="str"/>
      <c r="G523" s="2" t="str"/>
      <c r="H523" s="2" t="str"/>
      <c r="I523" s="2" t="str"/>
      <c r="J523" s="2" t="str"/>
      <c r="N523" s="2">
        <f>IF(Append1!J522="","",Append1!J522)</f>
        <v/>
      </c>
    </row>
    <row r="524">
      <c r="B524" s="2">
        <f t="array" ref="B524:J524">IF(Append1!A523:I523="","",Append1!A523:I523)</f>
        <v/>
      </c>
      <c r="C524" s="3" t="str"/>
      <c r="D524" s="2" t="str"/>
      <c r="E524" s="2" t="str"/>
      <c r="F524" s="2" t="str"/>
      <c r="G524" s="2" t="str"/>
      <c r="H524" s="2" t="str"/>
      <c r="I524" s="2" t="str"/>
      <c r="J524" s="2" t="str"/>
      <c r="N524" s="2">
        <f>IF(Append1!J523="","",Append1!J523)</f>
        <v/>
      </c>
    </row>
    <row r="525">
      <c r="B525" s="2">
        <f t="array" ref="B525:J525">IF(Append1!A524:I524="","",Append1!A524:I524)</f>
        <v/>
      </c>
      <c r="C525" s="3" t="str"/>
      <c r="D525" s="2" t="str"/>
      <c r="E525" s="2" t="str"/>
      <c r="F525" s="2" t="str"/>
      <c r="G525" s="2" t="str"/>
      <c r="H525" s="2" t="str"/>
      <c r="I525" s="2" t="str"/>
      <c r="J525" s="2" t="str"/>
      <c r="N525" s="2">
        <f>IF(Append1!J524="","",Append1!J524)</f>
        <v/>
      </c>
    </row>
    <row r="526">
      <c r="B526" s="2">
        <f t="array" ref="B526:J526">IF(Append1!A525:I525="","",Append1!A525:I525)</f>
        <v/>
      </c>
      <c r="C526" s="3" t="str"/>
      <c r="D526" s="2" t="str"/>
      <c r="E526" s="2" t="str"/>
      <c r="F526" s="2" t="str"/>
      <c r="G526" s="2" t="str"/>
      <c r="H526" s="2" t="str"/>
      <c r="I526" s="2" t="str"/>
      <c r="J526" s="2" t="str"/>
      <c r="N526" s="2">
        <f>IF(Append1!J525="","",Append1!J525)</f>
        <v/>
      </c>
    </row>
    <row r="527">
      <c r="B527" s="2">
        <f t="array" ref="B527:J527">IF(Append1!A526:I526="","",Append1!A526:I526)</f>
        <v/>
      </c>
      <c r="C527" s="3" t="str"/>
      <c r="D527" s="2" t="str"/>
      <c r="E527" s="2" t="str"/>
      <c r="F527" s="2" t="str"/>
      <c r="G527" s="2" t="str"/>
      <c r="H527" s="2" t="str"/>
      <c r="I527" s="2" t="str"/>
      <c r="J527" s="2" t="str"/>
      <c r="N527" s="2">
        <f>IF(Append1!J526="","",Append1!J526)</f>
        <v/>
      </c>
    </row>
    <row r="528">
      <c r="B528" s="2">
        <f t="array" ref="B528:J528">IF(Append1!A527:I527="","",Append1!A527:I527)</f>
        <v/>
      </c>
      <c r="C528" s="3" t="str"/>
      <c r="D528" s="2" t="str"/>
      <c r="E528" s="2" t="str"/>
      <c r="F528" s="2" t="str"/>
      <c r="G528" s="2" t="str"/>
      <c r="H528" s="2" t="str"/>
      <c r="I528" s="2" t="str"/>
      <c r="J528" s="2" t="str"/>
      <c r="N528" s="2">
        <f>IF(Append1!J527="","",Append1!J527)</f>
        <v/>
      </c>
    </row>
    <row r="529">
      <c r="B529" s="2">
        <f t="array" ref="B529:J529">IF(Append1!A528:I528="","",Append1!A528:I528)</f>
        <v/>
      </c>
      <c r="C529" s="3" t="str"/>
      <c r="D529" s="2" t="str"/>
      <c r="E529" s="2" t="str"/>
      <c r="F529" s="2" t="str"/>
      <c r="G529" s="2" t="str"/>
      <c r="H529" s="2" t="str"/>
      <c r="I529" s="2" t="str"/>
      <c r="J529" s="2" t="str"/>
      <c r="N529" s="2">
        <f>IF(Append1!J528="","",Append1!J528)</f>
        <v/>
      </c>
    </row>
    <row r="530">
      <c r="B530" s="2">
        <f t="array" ref="B530:J530">IF(Append1!A529:I529="","",Append1!A529:I529)</f>
        <v/>
      </c>
      <c r="C530" s="3" t="str"/>
      <c r="D530" s="2" t="str"/>
      <c r="E530" s="2" t="str"/>
      <c r="F530" s="2" t="str"/>
      <c r="G530" s="2" t="str"/>
      <c r="H530" s="2" t="str"/>
      <c r="I530" s="2" t="str"/>
      <c r="J530" s="2" t="str"/>
      <c r="N530" s="2">
        <f>IF(Append1!J529="","",Append1!J529)</f>
        <v/>
      </c>
    </row>
    <row r="531">
      <c r="B531" s="2">
        <f t="array" ref="B531:J531">IF(Append1!A530:I530="","",Append1!A530:I530)</f>
        <v/>
      </c>
      <c r="C531" s="3" t="str"/>
      <c r="D531" s="2" t="str"/>
      <c r="E531" s="2" t="str"/>
      <c r="F531" s="2" t="str"/>
      <c r="G531" s="2" t="str"/>
      <c r="H531" s="2" t="str"/>
      <c r="I531" s="2" t="str"/>
      <c r="J531" s="2" t="str"/>
      <c r="N531" s="2">
        <f>IF(Append1!J530="","",Append1!J530)</f>
        <v/>
      </c>
    </row>
    <row r="532">
      <c r="B532" s="2">
        <f t="array" ref="B532:J532">IF(Append1!A531:I531="","",Append1!A531:I531)</f>
        <v/>
      </c>
      <c r="C532" s="3" t="str"/>
      <c r="D532" s="2" t="str"/>
      <c r="E532" s="2" t="str"/>
      <c r="F532" s="2" t="str"/>
      <c r="G532" s="2" t="str"/>
      <c r="H532" s="2" t="str"/>
      <c r="I532" s="2" t="str"/>
      <c r="J532" s="2" t="str"/>
      <c r="N532" s="2">
        <f>IF(Append1!J531="","",Append1!J531)</f>
        <v/>
      </c>
    </row>
    <row r="533">
      <c r="B533" s="2">
        <f t="array" ref="B533:J533">IF(Append1!A532:I532="","",Append1!A532:I532)</f>
        <v/>
      </c>
      <c r="C533" s="3" t="str"/>
      <c r="D533" s="2" t="str"/>
      <c r="E533" s="2" t="str"/>
      <c r="F533" s="2" t="str"/>
      <c r="G533" s="2" t="str"/>
      <c r="H533" s="2" t="str"/>
      <c r="I533" s="2" t="str"/>
      <c r="J533" s="2" t="str"/>
      <c r="N533" s="2">
        <f>IF(Append1!J532="","",Append1!J532)</f>
        <v/>
      </c>
    </row>
    <row r="534">
      <c r="B534" s="2">
        <f t="array" ref="B534:J534">IF(Append1!A533:I533="","",Append1!A533:I533)</f>
        <v/>
      </c>
      <c r="C534" s="3" t="str"/>
      <c r="D534" s="2" t="str"/>
      <c r="E534" s="2" t="str"/>
      <c r="F534" s="2" t="str"/>
      <c r="G534" s="2" t="str"/>
      <c r="H534" s="2" t="str"/>
      <c r="I534" s="2" t="str"/>
      <c r="J534" s="2" t="str"/>
      <c r="N534" s="2">
        <f>IF(Append1!J533="","",Append1!J533)</f>
        <v/>
      </c>
    </row>
    <row r="535">
      <c r="B535" s="2">
        <f t="array" ref="B535:J535">IF(Append1!A534:I534="","",Append1!A534:I534)</f>
        <v/>
      </c>
      <c r="C535" s="3" t="str"/>
      <c r="D535" s="2" t="str"/>
      <c r="E535" s="2" t="str"/>
      <c r="F535" s="2" t="str"/>
      <c r="G535" s="2" t="str"/>
      <c r="H535" s="2" t="str"/>
      <c r="I535" s="2" t="str"/>
      <c r="J535" s="2" t="str"/>
      <c r="N535" s="2">
        <f>IF(Append1!J534="","",Append1!J534)</f>
        <v/>
      </c>
    </row>
    <row r="536">
      <c r="B536" s="2">
        <f t="array" ref="B536:J536">IF(Append1!A535:I535="","",Append1!A535:I535)</f>
        <v/>
      </c>
      <c r="C536" s="3" t="str"/>
      <c r="D536" s="2" t="str"/>
      <c r="E536" s="2" t="str"/>
      <c r="F536" s="2" t="str"/>
      <c r="G536" s="2" t="str"/>
      <c r="H536" s="2" t="str"/>
      <c r="I536" s="2" t="str"/>
      <c r="J536" s="2" t="str"/>
      <c r="N536" s="2">
        <f>IF(Append1!J535="","",Append1!J535)</f>
        <v/>
      </c>
    </row>
    <row r="537">
      <c r="B537" s="2">
        <f t="array" ref="B537:J537">IF(Append1!A536:I536="","",Append1!A536:I536)</f>
        <v/>
      </c>
      <c r="C537" s="3" t="str"/>
      <c r="D537" s="2" t="str"/>
      <c r="E537" s="2" t="str"/>
      <c r="F537" s="2" t="str"/>
      <c r="G537" s="2" t="str"/>
      <c r="H537" s="2" t="str"/>
      <c r="I537" s="2" t="str"/>
      <c r="J537" s="2" t="str"/>
      <c r="N537" s="2">
        <f>IF(Append1!J536="","",Append1!J536)</f>
        <v/>
      </c>
    </row>
    <row r="538">
      <c r="B538" s="2">
        <f t="array" ref="B538:J538">IF(Append1!A537:I537="","",Append1!A537:I537)</f>
        <v/>
      </c>
      <c r="C538" s="3" t="str"/>
      <c r="D538" s="2" t="str"/>
      <c r="E538" s="2" t="str"/>
      <c r="F538" s="2" t="str"/>
      <c r="G538" s="2" t="str"/>
      <c r="H538" s="2" t="str"/>
      <c r="I538" s="2" t="str"/>
      <c r="J538" s="2" t="str"/>
      <c r="N538" s="2">
        <f>IF(Append1!J537="","",Append1!J537)</f>
        <v/>
      </c>
    </row>
    <row r="539">
      <c r="B539" s="2">
        <f t="array" ref="B539:J539">IF(Append1!A538:I538="","",Append1!A538:I538)</f>
        <v/>
      </c>
      <c r="C539" s="3" t="str"/>
      <c r="D539" s="2" t="str"/>
      <c r="E539" s="2" t="str"/>
      <c r="F539" s="2" t="str"/>
      <c r="G539" s="2" t="str"/>
      <c r="H539" s="2" t="str"/>
      <c r="I539" s="2" t="str"/>
      <c r="J539" s="2" t="str"/>
      <c r="N539" s="2">
        <f>IF(Append1!J538="","",Append1!J538)</f>
        <v/>
      </c>
    </row>
    <row r="540">
      <c r="B540" s="2">
        <f t="array" ref="B540:J540">IF(Append1!A539:I539="","",Append1!A539:I539)</f>
        <v/>
      </c>
      <c r="C540" s="3" t="str"/>
      <c r="D540" s="2" t="str"/>
      <c r="E540" s="2" t="str"/>
      <c r="F540" s="2" t="str"/>
      <c r="G540" s="2" t="str"/>
      <c r="H540" s="2" t="str"/>
      <c r="I540" s="2" t="str"/>
      <c r="J540" s="2" t="str"/>
      <c r="N540" s="2">
        <f>IF(Append1!J539="","",Append1!J539)</f>
        <v/>
      </c>
    </row>
    <row r="541">
      <c r="B541" s="2">
        <f t="array" ref="B541:J541">IF(Append1!A540:I540="","",Append1!A540:I540)</f>
        <v/>
      </c>
      <c r="C541" s="3" t="str"/>
      <c r="D541" s="2" t="str"/>
      <c r="E541" s="2" t="str"/>
      <c r="F541" s="2" t="str"/>
      <c r="G541" s="2" t="str"/>
      <c r="H541" s="2" t="str"/>
      <c r="I541" s="2" t="str"/>
      <c r="J541" s="2" t="str"/>
      <c r="N541" s="2">
        <f>IF(Append1!J540="","",Append1!J540)</f>
        <v/>
      </c>
    </row>
    <row r="542">
      <c r="B542" s="2">
        <f t="array" ref="B542:J542">IF(Append1!A541:I541="","",Append1!A541:I541)</f>
        <v/>
      </c>
      <c r="C542" s="3" t="str"/>
      <c r="D542" s="2" t="str"/>
      <c r="E542" s="2" t="str"/>
      <c r="F542" s="2" t="str"/>
      <c r="G542" s="2" t="str"/>
      <c r="H542" s="2" t="str"/>
      <c r="I542" s="2" t="str"/>
      <c r="J542" s="2" t="str"/>
      <c r="N542" s="2">
        <f>IF(Append1!J541="","",Append1!J541)</f>
        <v/>
      </c>
    </row>
    <row r="543">
      <c r="B543" s="2">
        <f t="array" ref="B543:J543">IF(Append1!A542:I542="","",Append1!A542:I542)</f>
        <v/>
      </c>
      <c r="C543" s="3" t="str"/>
      <c r="D543" s="2" t="str"/>
      <c r="E543" s="2" t="str"/>
      <c r="F543" s="2" t="str"/>
      <c r="G543" s="2" t="str"/>
      <c r="H543" s="2" t="str"/>
      <c r="I543" s="2" t="str"/>
      <c r="J543" s="2" t="str"/>
      <c r="N543" s="2">
        <f>IF(Append1!J542="","",Append1!J542)</f>
        <v/>
      </c>
    </row>
    <row r="544">
      <c r="B544" s="2">
        <f t="array" ref="B544:J544">IF(Append1!A543:I543="","",Append1!A543:I543)</f>
        <v/>
      </c>
      <c r="C544" s="3" t="str"/>
      <c r="D544" s="2" t="str"/>
      <c r="E544" s="2" t="str"/>
      <c r="F544" s="2" t="str"/>
      <c r="G544" s="2" t="str"/>
      <c r="H544" s="2" t="str"/>
      <c r="I544" s="2" t="str"/>
      <c r="J544" s="2" t="str"/>
      <c r="N544" s="2">
        <f>IF(Append1!J543="","",Append1!J543)</f>
        <v/>
      </c>
    </row>
    <row r="545">
      <c r="B545" s="2">
        <f t="array" ref="B545:J545">IF(Append1!A544:I544="","",Append1!A544:I544)</f>
        <v/>
      </c>
      <c r="C545" s="3" t="str"/>
      <c r="D545" s="2" t="str"/>
      <c r="E545" s="2" t="str"/>
      <c r="F545" s="2" t="str"/>
      <c r="G545" s="2" t="str"/>
      <c r="H545" s="2" t="str"/>
      <c r="I545" s="2" t="str"/>
      <c r="J545" s="2" t="str"/>
      <c r="N545" s="2">
        <f>IF(Append1!J544="","",Append1!J544)</f>
        <v/>
      </c>
    </row>
    <row r="546">
      <c r="B546" s="2">
        <f t="array" ref="B546:J546">IF(Append1!A545:I545="","",Append1!A545:I545)</f>
        <v/>
      </c>
      <c r="C546" s="3" t="str"/>
      <c r="D546" s="2" t="str"/>
      <c r="E546" s="2" t="str"/>
      <c r="F546" s="2" t="str"/>
      <c r="G546" s="2" t="str"/>
      <c r="H546" s="2" t="str"/>
      <c r="I546" s="2" t="str"/>
      <c r="J546" s="2" t="str"/>
      <c r="N546" s="2">
        <f>IF(Append1!J545="","",Append1!J545)</f>
        <v/>
      </c>
    </row>
    <row r="547">
      <c r="B547" s="2">
        <f t="array" ref="B547:J547">IF(Append1!A546:I546="","",Append1!A546:I546)</f>
        <v/>
      </c>
      <c r="C547" s="3" t="str"/>
      <c r="D547" s="2" t="str"/>
      <c r="E547" s="2" t="str"/>
      <c r="F547" s="2" t="str"/>
      <c r="G547" s="2" t="str"/>
      <c r="H547" s="2" t="str"/>
      <c r="I547" s="2" t="str"/>
      <c r="J547" s="2" t="str"/>
      <c r="N547" s="2">
        <f>IF(Append1!J546="","",Append1!J546)</f>
        <v/>
      </c>
    </row>
    <row r="548">
      <c r="B548" s="2">
        <f t="array" ref="B548:J548">IF(Append1!A547:I547="","",Append1!A547:I547)</f>
        <v/>
      </c>
      <c r="C548" s="3" t="str"/>
      <c r="D548" s="2" t="str"/>
      <c r="E548" s="2" t="str"/>
      <c r="F548" s="2" t="str"/>
      <c r="G548" s="2" t="str"/>
      <c r="H548" s="2" t="str"/>
      <c r="I548" s="2" t="str"/>
      <c r="J548" s="2" t="str"/>
      <c r="N548" s="2">
        <f>IF(Append1!J547="","",Append1!J547)</f>
        <v/>
      </c>
    </row>
    <row r="549">
      <c r="B549" s="2">
        <f t="array" ref="B549:J549">IF(Append1!A548:I548="","",Append1!A548:I548)</f>
        <v/>
      </c>
      <c r="C549" s="3" t="str"/>
      <c r="D549" s="2" t="str"/>
      <c r="E549" s="2" t="str"/>
      <c r="F549" s="2" t="str"/>
      <c r="G549" s="2" t="str"/>
      <c r="H549" s="2" t="str"/>
      <c r="I549" s="2" t="str"/>
      <c r="J549" s="2" t="str"/>
      <c r="N549" s="2">
        <f>IF(Append1!J548="","",Append1!J548)</f>
        <v/>
      </c>
    </row>
    <row r="550">
      <c r="B550" s="2">
        <f t="array" ref="B550:J550">IF(Append1!A549:I549="","",Append1!A549:I549)</f>
        <v/>
      </c>
      <c r="C550" s="3" t="str"/>
      <c r="D550" s="2" t="str"/>
      <c r="E550" s="2" t="str"/>
      <c r="F550" s="2" t="str"/>
      <c r="G550" s="2" t="str"/>
      <c r="H550" s="2" t="str"/>
      <c r="I550" s="2" t="str"/>
      <c r="J550" s="2" t="str"/>
      <c r="N550" s="2">
        <f>IF(Append1!J549="","",Append1!J549)</f>
        <v/>
      </c>
    </row>
    <row r="551">
      <c r="B551" s="2">
        <f t="array" ref="B551:J551">IF(Append1!A550:I550="","",Append1!A550:I550)</f>
        <v/>
      </c>
      <c r="C551" s="3" t="str"/>
      <c r="D551" s="2" t="str"/>
      <c r="E551" s="2" t="str"/>
      <c r="F551" s="2" t="str"/>
      <c r="G551" s="2" t="str"/>
      <c r="H551" s="2" t="str"/>
      <c r="I551" s="2" t="str"/>
      <c r="J551" s="2" t="str"/>
      <c r="N551" s="2">
        <f>IF(Append1!J550="","",Append1!J550)</f>
        <v/>
      </c>
    </row>
    <row r="552">
      <c r="B552" s="2">
        <f t="array" ref="B552:J552">IF(Append1!A551:I551="","",Append1!A551:I551)</f>
        <v/>
      </c>
      <c r="C552" s="3" t="str"/>
      <c r="D552" s="2" t="str"/>
      <c r="E552" s="2" t="str"/>
      <c r="F552" s="2" t="str"/>
      <c r="G552" s="2" t="str"/>
      <c r="H552" s="2" t="str"/>
      <c r="I552" s="2" t="str"/>
      <c r="J552" s="2" t="str"/>
      <c r="N552" s="2">
        <f>IF(Append1!J551="","",Append1!J551)</f>
        <v/>
      </c>
    </row>
    <row r="553">
      <c r="B553" s="2">
        <f t="array" ref="B553:J553">IF(Append1!A552:I552="","",Append1!A552:I552)</f>
        <v/>
      </c>
      <c r="C553" s="3" t="str"/>
      <c r="D553" s="2" t="str"/>
      <c r="E553" s="2" t="str"/>
      <c r="F553" s="2" t="str"/>
      <c r="G553" s="2" t="str"/>
      <c r="H553" s="2" t="str"/>
      <c r="I553" s="2" t="str"/>
      <c r="J553" s="2" t="str"/>
      <c r="N553" s="2">
        <f>IF(Append1!J552="","",Append1!J552)</f>
        <v/>
      </c>
    </row>
    <row r="554">
      <c r="B554" s="2">
        <f t="array" ref="B554:J554">IF(Append1!A553:I553="","",Append1!A553:I553)</f>
        <v/>
      </c>
      <c r="C554" s="3" t="str"/>
      <c r="D554" s="2" t="str"/>
      <c r="E554" s="2" t="str"/>
      <c r="F554" s="2" t="str"/>
      <c r="G554" s="2" t="str"/>
      <c r="H554" s="2" t="str"/>
      <c r="I554" s="2" t="str"/>
      <c r="J554" s="2" t="str"/>
      <c r="N554" s="2">
        <f>IF(Append1!J553="","",Append1!J553)</f>
        <v/>
      </c>
    </row>
    <row r="555">
      <c r="B555" s="2">
        <f t="array" ref="B555:J555">IF(Append1!A554:I554="","",Append1!A554:I554)</f>
        <v/>
      </c>
      <c r="C555" s="3" t="str"/>
      <c r="D555" s="2" t="str"/>
      <c r="E555" s="2" t="str"/>
      <c r="F555" s="2" t="str"/>
      <c r="G555" s="2" t="str"/>
      <c r="H555" s="2" t="str"/>
      <c r="I555" s="2" t="str"/>
      <c r="J555" s="2" t="str"/>
      <c r="N555" s="2">
        <f>IF(Append1!J554="","",Append1!J554)</f>
        <v/>
      </c>
    </row>
    <row r="556">
      <c r="B556" s="2">
        <f t="array" ref="B556:J556">IF(Append1!A555:I555="","",Append1!A555:I555)</f>
        <v/>
      </c>
      <c r="C556" s="3" t="str"/>
      <c r="D556" s="2" t="str"/>
      <c r="E556" s="2" t="str"/>
      <c r="F556" s="2" t="str"/>
      <c r="G556" s="2" t="str"/>
      <c r="H556" s="2" t="str"/>
      <c r="I556" s="2" t="str"/>
      <c r="J556" s="2" t="str"/>
      <c r="N556" s="2">
        <f>IF(Append1!J555="","",Append1!J555)</f>
        <v/>
      </c>
    </row>
    <row r="557">
      <c r="B557" s="2">
        <f t="array" ref="B557:J557">IF(Append1!A556:I556="","",Append1!A556:I556)</f>
        <v/>
      </c>
      <c r="C557" s="3" t="str"/>
      <c r="D557" s="2" t="str"/>
      <c r="E557" s="2" t="str"/>
      <c r="F557" s="2" t="str"/>
      <c r="G557" s="2" t="str"/>
      <c r="H557" s="2" t="str"/>
      <c r="I557" s="2" t="str"/>
      <c r="J557" s="2" t="str"/>
      <c r="N557" s="2">
        <f>IF(Append1!J556="","",Append1!J556)</f>
        <v/>
      </c>
    </row>
    <row r="558">
      <c r="B558" s="2">
        <f t="array" ref="B558:J558">IF(Append1!A557:I557="","",Append1!A557:I557)</f>
        <v/>
      </c>
      <c r="C558" s="3" t="str"/>
      <c r="D558" s="2" t="str"/>
      <c r="E558" s="2" t="str"/>
      <c r="F558" s="2" t="str"/>
      <c r="G558" s="2" t="str"/>
      <c r="H558" s="2" t="str"/>
      <c r="I558" s="2" t="str"/>
      <c r="J558" s="2" t="str"/>
      <c r="N558" s="2">
        <f>IF(Append1!J557="","",Append1!J557)</f>
        <v/>
      </c>
    </row>
    <row r="559">
      <c r="B559" s="2">
        <f t="array" ref="B559:J559">IF(Append1!A558:I558="","",Append1!A558:I558)</f>
        <v/>
      </c>
      <c r="C559" s="3" t="str"/>
      <c r="D559" s="2" t="str"/>
      <c r="E559" s="2" t="str"/>
      <c r="F559" s="2" t="str"/>
      <c r="G559" s="2" t="str"/>
      <c r="H559" s="2" t="str"/>
      <c r="I559" s="2" t="str"/>
      <c r="J559" s="2" t="str"/>
      <c r="N559" s="2">
        <f>IF(Append1!J558="","",Append1!J558)</f>
        <v/>
      </c>
    </row>
    <row r="560">
      <c r="B560" s="2">
        <f t="array" ref="B560:J560">IF(Append1!A559:I559="","",Append1!A559:I559)</f>
        <v/>
      </c>
      <c r="C560" s="3" t="str"/>
      <c r="D560" s="2" t="str"/>
      <c r="E560" s="2" t="str"/>
      <c r="F560" s="2" t="str"/>
      <c r="G560" s="2" t="str"/>
      <c r="H560" s="2" t="str"/>
      <c r="I560" s="2" t="str"/>
      <c r="J560" s="2" t="str"/>
      <c r="N560" s="2">
        <f>IF(Append1!J559="","",Append1!J559)</f>
        <v/>
      </c>
    </row>
    <row r="561">
      <c r="B561" s="2">
        <f t="array" ref="B561:J561">IF(Append1!A560:I560="","",Append1!A560:I560)</f>
        <v/>
      </c>
      <c r="C561" s="3" t="str"/>
      <c r="D561" s="2" t="str"/>
      <c r="E561" s="2" t="str"/>
      <c r="F561" s="2" t="str"/>
      <c r="G561" s="2" t="str"/>
      <c r="H561" s="2" t="str"/>
      <c r="I561" s="2" t="str"/>
      <c r="J561" s="2" t="str"/>
      <c r="N561" s="2">
        <f>IF(Append1!J560="","",Append1!J560)</f>
        <v/>
      </c>
    </row>
    <row r="562">
      <c r="B562" s="2">
        <f t="array" ref="B562:J562">IF(Append1!A561:I561="","",Append1!A561:I561)</f>
        <v/>
      </c>
      <c r="C562" s="3" t="str"/>
      <c r="D562" s="2" t="str"/>
      <c r="E562" s="2" t="str"/>
      <c r="F562" s="2" t="str"/>
      <c r="G562" s="2" t="str"/>
      <c r="H562" s="2" t="str"/>
      <c r="I562" s="2" t="str"/>
      <c r="J562" s="2" t="str"/>
      <c r="N562" s="2">
        <f>IF(Append1!J561="","",Append1!J561)</f>
        <v/>
      </c>
    </row>
    <row r="563">
      <c r="B563" s="2">
        <f t="array" ref="B563:J563">IF(Append1!A562:I562="","",Append1!A562:I562)</f>
        <v/>
      </c>
      <c r="C563" s="3" t="str"/>
      <c r="D563" s="2" t="str"/>
      <c r="E563" s="2" t="str"/>
      <c r="F563" s="2" t="str"/>
      <c r="G563" s="2" t="str"/>
      <c r="H563" s="2" t="str"/>
      <c r="I563" s="2" t="str"/>
      <c r="J563" s="2" t="str"/>
      <c r="N563" s="2">
        <f>IF(Append1!J562="","",Append1!J562)</f>
        <v/>
      </c>
    </row>
    <row r="564">
      <c r="B564" s="2">
        <f t="array" ref="B564:J564">IF(Append1!A563:I563="","",Append1!A563:I563)</f>
        <v/>
      </c>
      <c r="C564" s="3" t="str"/>
      <c r="D564" s="2" t="str"/>
      <c r="E564" s="2" t="str"/>
      <c r="F564" s="2" t="str"/>
      <c r="G564" s="2" t="str"/>
      <c r="H564" s="2" t="str"/>
      <c r="I564" s="2" t="str"/>
      <c r="J564" s="2" t="str"/>
      <c r="N564" s="2">
        <f>IF(Append1!J563="","",Append1!J563)</f>
        <v/>
      </c>
    </row>
    <row r="565">
      <c r="B565" s="2">
        <f t="array" ref="B565:J565">IF(Append1!A564:I564="","",Append1!A564:I564)</f>
        <v/>
      </c>
      <c r="C565" s="3" t="str"/>
      <c r="D565" s="2" t="str"/>
      <c r="E565" s="2" t="str"/>
      <c r="F565" s="2" t="str"/>
      <c r="G565" s="2" t="str"/>
      <c r="H565" s="2" t="str"/>
      <c r="I565" s="2" t="str"/>
      <c r="J565" s="2" t="str"/>
      <c r="N565" s="2">
        <f>IF(Append1!J564="","",Append1!J564)</f>
        <v/>
      </c>
    </row>
    <row r="566">
      <c r="B566" s="2">
        <f t="array" ref="B566:J566">IF(Append1!A565:I565="","",Append1!A565:I565)</f>
        <v/>
      </c>
      <c r="C566" s="3" t="str"/>
      <c r="D566" s="2" t="str"/>
      <c r="E566" s="2" t="str"/>
      <c r="F566" s="2" t="str"/>
      <c r="G566" s="2" t="str"/>
      <c r="H566" s="2" t="str"/>
      <c r="I566" s="2" t="str"/>
      <c r="J566" s="2" t="str"/>
      <c r="N566" s="2">
        <f>IF(Append1!J565="","",Append1!J565)</f>
        <v/>
      </c>
    </row>
    <row r="567">
      <c r="B567" s="2">
        <f t="array" ref="B567:J567">IF(Append1!A566:I566="","",Append1!A566:I566)</f>
        <v/>
      </c>
      <c r="C567" s="3" t="str"/>
      <c r="D567" s="2" t="str"/>
      <c r="E567" s="2" t="str"/>
      <c r="F567" s="2" t="str"/>
      <c r="G567" s="2" t="str"/>
      <c r="H567" s="2" t="str"/>
      <c r="I567" s="2" t="str"/>
      <c r="J567" s="2" t="str"/>
      <c r="N567" s="2">
        <f>IF(Append1!J566="","",Append1!J566)</f>
        <v/>
      </c>
    </row>
    <row r="568">
      <c r="B568" s="2">
        <f t="array" ref="B568:J568">IF(Append1!A567:I567="","",Append1!A567:I567)</f>
        <v/>
      </c>
      <c r="C568" s="3" t="str"/>
      <c r="D568" s="2" t="str"/>
      <c r="E568" s="2" t="str"/>
      <c r="F568" s="2" t="str"/>
      <c r="G568" s="2" t="str"/>
      <c r="H568" s="2" t="str"/>
      <c r="I568" s="2" t="str"/>
      <c r="J568" s="2" t="str"/>
      <c r="N568" s="2">
        <f>IF(Append1!J567="","",Append1!J567)</f>
        <v/>
      </c>
    </row>
    <row r="569">
      <c r="B569" s="2">
        <f t="array" ref="B569:J569">IF(Append1!A568:I568="","",Append1!A568:I568)</f>
        <v/>
      </c>
      <c r="C569" s="3" t="str"/>
      <c r="D569" s="2" t="str"/>
      <c r="E569" s="2" t="str"/>
      <c r="F569" s="2" t="str"/>
      <c r="G569" s="2" t="str"/>
      <c r="H569" s="2" t="str"/>
      <c r="I569" s="2" t="str"/>
      <c r="J569" s="2" t="str"/>
      <c r="N569" s="2">
        <f>IF(Append1!J568="","",Append1!J568)</f>
        <v/>
      </c>
    </row>
    <row r="570">
      <c r="B570" s="2">
        <f t="array" ref="B570:J570">IF(Append1!A569:I569="","",Append1!A569:I569)</f>
        <v/>
      </c>
      <c r="C570" s="3" t="str"/>
      <c r="D570" s="2" t="str"/>
      <c r="E570" s="2" t="str"/>
      <c r="F570" s="2" t="str"/>
      <c r="G570" s="2" t="str"/>
      <c r="H570" s="2" t="str"/>
      <c r="I570" s="2" t="str"/>
      <c r="J570" s="2" t="str"/>
      <c r="N570" s="2">
        <f>IF(Append1!J569="","",Append1!J569)</f>
        <v/>
      </c>
    </row>
    <row r="571">
      <c r="B571" s="2">
        <f t="array" ref="B571:J571">IF(Append1!A570:I570="","",Append1!A570:I570)</f>
        <v/>
      </c>
      <c r="C571" s="3" t="str"/>
      <c r="D571" s="2" t="str"/>
      <c r="E571" s="2" t="str"/>
      <c r="F571" s="2" t="str"/>
      <c r="G571" s="2" t="str"/>
      <c r="H571" s="2" t="str"/>
      <c r="I571" s="2" t="str"/>
      <c r="J571" s="2" t="str"/>
      <c r="N571" s="2">
        <f>IF(Append1!J570="","",Append1!J570)</f>
        <v/>
      </c>
    </row>
    <row r="572">
      <c r="B572" s="2">
        <f t="array" ref="B572:J572">IF(Append1!A571:I571="","",Append1!A571:I571)</f>
        <v/>
      </c>
      <c r="C572" s="3" t="str"/>
      <c r="D572" s="2" t="str"/>
      <c r="E572" s="2" t="str"/>
      <c r="F572" s="2" t="str"/>
      <c r="G572" s="2" t="str"/>
      <c r="H572" s="2" t="str"/>
      <c r="I572" s="2" t="str"/>
      <c r="J572" s="2" t="str"/>
      <c r="N572" s="2">
        <f>IF(Append1!J571="","",Append1!J571)</f>
        <v/>
      </c>
    </row>
    <row r="573">
      <c r="B573" s="2">
        <f t="array" ref="B573:J573">IF(Append1!A572:I572="","",Append1!A572:I572)</f>
        <v/>
      </c>
      <c r="C573" s="3" t="str"/>
      <c r="D573" s="2" t="str"/>
      <c r="E573" s="2" t="str"/>
      <c r="F573" s="2" t="str"/>
      <c r="G573" s="2" t="str"/>
      <c r="H573" s="2" t="str"/>
      <c r="I573" s="2" t="str"/>
      <c r="J573" s="2" t="str"/>
      <c r="N573" s="2">
        <f>IF(Append1!J572="","",Append1!J572)</f>
        <v/>
      </c>
    </row>
    <row r="574">
      <c r="B574" s="2">
        <f t="array" ref="B574:J574">IF(Append1!A573:I573="","",Append1!A573:I573)</f>
        <v/>
      </c>
      <c r="C574" s="3" t="str"/>
      <c r="D574" s="2" t="str"/>
      <c r="E574" s="2" t="str"/>
      <c r="F574" s="2" t="str"/>
      <c r="G574" s="2" t="str"/>
      <c r="H574" s="2" t="str"/>
      <c r="I574" s="2" t="str"/>
      <c r="J574" s="2" t="str"/>
      <c r="N574" s="2">
        <f>IF(Append1!J573="","",Append1!J573)</f>
        <v/>
      </c>
    </row>
    <row r="575">
      <c r="B575" s="2">
        <f t="array" ref="B575:J575">IF(Append1!A574:I574="","",Append1!A574:I574)</f>
        <v/>
      </c>
      <c r="C575" s="3" t="str"/>
      <c r="D575" s="2" t="str"/>
      <c r="E575" s="2" t="str"/>
      <c r="F575" s="2" t="str"/>
      <c r="G575" s="2" t="str"/>
      <c r="H575" s="2" t="str"/>
      <c r="I575" s="2" t="str"/>
      <c r="J575" s="2" t="str"/>
      <c r="N575" s="2">
        <f>IF(Append1!J574="","",Append1!J574)</f>
        <v/>
      </c>
    </row>
    <row r="576">
      <c r="B576" s="2">
        <f t="array" ref="B576:J576">IF(Append1!A575:I575="","",Append1!A575:I575)</f>
        <v/>
      </c>
      <c r="C576" s="3" t="str"/>
      <c r="D576" s="2" t="str"/>
      <c r="E576" s="2" t="str"/>
      <c r="F576" s="2" t="str"/>
      <c r="G576" s="2" t="str"/>
      <c r="H576" s="2" t="str"/>
      <c r="I576" s="2" t="str"/>
      <c r="J576" s="2" t="str"/>
      <c r="N576" s="2">
        <f>IF(Append1!J575="","",Append1!J575)</f>
        <v/>
      </c>
    </row>
    <row r="577">
      <c r="B577" s="2">
        <f t="array" ref="B577:J577">IF(Append1!A576:I576="","",Append1!A576:I576)</f>
        <v/>
      </c>
      <c r="C577" s="3" t="str"/>
      <c r="D577" s="2" t="str"/>
      <c r="E577" s="2" t="str"/>
      <c r="F577" s="2" t="str"/>
      <c r="G577" s="2" t="str"/>
      <c r="H577" s="2" t="str"/>
      <c r="I577" s="2" t="str"/>
      <c r="J577" s="2" t="str"/>
      <c r="N577" s="2">
        <f>IF(Append1!J576="","",Append1!J576)</f>
        <v/>
      </c>
    </row>
    <row r="578">
      <c r="B578" s="2">
        <f t="array" ref="B578:J578">IF(Append1!A577:I577="","",Append1!A577:I577)</f>
        <v/>
      </c>
      <c r="C578" s="3" t="str"/>
      <c r="D578" s="2" t="str"/>
      <c r="E578" s="2" t="str"/>
      <c r="F578" s="2" t="str"/>
      <c r="G578" s="2" t="str"/>
      <c r="H578" s="2" t="str"/>
      <c r="I578" s="2" t="str"/>
      <c r="J578" s="2" t="str"/>
      <c r="N578" s="2">
        <f>IF(Append1!J577="","",Append1!J577)</f>
        <v/>
      </c>
    </row>
    <row r="579">
      <c r="B579" s="2">
        <f t="array" ref="B579:J579">IF(Append1!A578:I578="","",Append1!A578:I578)</f>
        <v/>
      </c>
      <c r="C579" s="3" t="str"/>
      <c r="D579" s="2" t="str"/>
      <c r="E579" s="2" t="str"/>
      <c r="F579" s="2" t="str"/>
      <c r="G579" s="2" t="str"/>
      <c r="H579" s="2" t="str"/>
      <c r="I579" s="2" t="str"/>
      <c r="J579" s="2" t="str"/>
      <c r="N579" s="2">
        <f>IF(Append1!J578="","",Append1!J578)</f>
        <v/>
      </c>
    </row>
    <row r="580">
      <c r="B580" s="2">
        <f t="array" ref="B580:J580">IF(Append1!A579:I579="","",Append1!A579:I579)</f>
        <v/>
      </c>
      <c r="C580" s="3" t="str"/>
      <c r="D580" s="2" t="str"/>
      <c r="E580" s="2" t="str"/>
      <c r="F580" s="2" t="str"/>
      <c r="G580" s="2" t="str"/>
      <c r="H580" s="2" t="str"/>
      <c r="I580" s="2" t="str"/>
      <c r="J580" s="2" t="str"/>
      <c r="N580" s="2">
        <f>IF(Append1!J579="","",Append1!J579)</f>
        <v/>
      </c>
    </row>
    <row r="581">
      <c r="B581" s="2">
        <f t="array" ref="B581:J581">IF(Append1!A580:I580="","",Append1!A580:I580)</f>
        <v/>
      </c>
      <c r="C581" s="3" t="str"/>
      <c r="D581" s="2" t="str"/>
      <c r="E581" s="2" t="str"/>
      <c r="F581" s="2" t="str"/>
      <c r="G581" s="2" t="str"/>
      <c r="H581" s="2" t="str"/>
      <c r="I581" s="2" t="str"/>
      <c r="J581" s="2" t="str"/>
      <c r="N581" s="2">
        <f>IF(Append1!J580="","",Append1!J580)</f>
        <v/>
      </c>
    </row>
    <row r="582">
      <c r="B582" s="2">
        <f t="array" ref="B582:J582">IF(Append1!A581:I581="","",Append1!A581:I581)</f>
        <v/>
      </c>
      <c r="C582" s="3" t="str"/>
      <c r="D582" s="2" t="str"/>
      <c r="E582" s="2" t="str"/>
      <c r="F582" s="2" t="str"/>
      <c r="G582" s="2" t="str"/>
      <c r="H582" s="2" t="str"/>
      <c r="I582" s="2" t="str"/>
      <c r="J582" s="2" t="str"/>
      <c r="N582" s="2">
        <f>IF(Append1!J581="","",Append1!J581)</f>
        <v/>
      </c>
    </row>
    <row r="583">
      <c r="B583" s="2">
        <f t="array" ref="B583:J583">IF(Append1!A582:I582="","",Append1!A582:I582)</f>
        <v/>
      </c>
      <c r="C583" s="3" t="str"/>
      <c r="D583" s="2" t="str"/>
      <c r="E583" s="2" t="str"/>
      <c r="F583" s="2" t="str"/>
      <c r="G583" s="2" t="str"/>
      <c r="H583" s="2" t="str"/>
      <c r="I583" s="2" t="str"/>
      <c r="J583" s="2" t="str"/>
      <c r="N583" s="2">
        <f>IF(Append1!J582="","",Append1!J582)</f>
        <v/>
      </c>
    </row>
    <row r="584">
      <c r="B584" s="2">
        <f t="array" ref="B584:J584">IF(Append1!A583:I583="","",Append1!A583:I583)</f>
        <v/>
      </c>
      <c r="C584" s="3" t="str"/>
      <c r="D584" s="2" t="str"/>
      <c r="E584" s="2" t="str"/>
      <c r="F584" s="2" t="str"/>
      <c r="G584" s="2" t="str"/>
      <c r="H584" s="2" t="str"/>
      <c r="I584" s="2" t="str"/>
      <c r="J584" s="2" t="str"/>
      <c r="N584" s="2">
        <f>IF(Append1!J583="","",Append1!J583)</f>
        <v/>
      </c>
    </row>
    <row r="585">
      <c r="B585" s="2">
        <f t="array" ref="B585:J585">IF(Append1!A584:I584="","",Append1!A584:I584)</f>
        <v/>
      </c>
      <c r="C585" s="3" t="str"/>
      <c r="D585" s="2" t="str"/>
      <c r="E585" s="2" t="str"/>
      <c r="F585" s="2" t="str"/>
      <c r="G585" s="2" t="str"/>
      <c r="H585" s="2" t="str"/>
      <c r="I585" s="2" t="str"/>
      <c r="J585" s="2" t="str"/>
      <c r="N585" s="2">
        <f>IF(Append1!J584="","",Append1!J584)</f>
        <v/>
      </c>
    </row>
    <row r="586">
      <c r="B586" s="2">
        <f t="array" ref="B586:J586">IF(Append1!A585:I585="","",Append1!A585:I585)</f>
        <v/>
      </c>
      <c r="C586" s="3" t="str"/>
      <c r="D586" s="2" t="str"/>
      <c r="E586" s="2" t="str"/>
      <c r="F586" s="2" t="str"/>
      <c r="G586" s="2" t="str"/>
      <c r="H586" s="2" t="str"/>
      <c r="I586" s="2" t="str"/>
      <c r="J586" s="2" t="str"/>
      <c r="N586" s="2">
        <f>IF(Append1!J585="","",Append1!J585)</f>
        <v/>
      </c>
    </row>
    <row r="587">
      <c r="B587" s="2">
        <f t="array" ref="B587:J587">IF(Append1!A586:I586="","",Append1!A586:I586)</f>
        <v/>
      </c>
      <c r="C587" s="3" t="str"/>
      <c r="D587" s="2" t="str"/>
      <c r="E587" s="2" t="str"/>
      <c r="F587" s="2" t="str"/>
      <c r="G587" s="2" t="str"/>
      <c r="H587" s="2" t="str"/>
      <c r="I587" s="2" t="str"/>
      <c r="J587" s="2" t="str"/>
      <c r="N587" s="2">
        <f>IF(Append1!J586="","",Append1!J586)</f>
        <v/>
      </c>
    </row>
    <row r="588">
      <c r="B588" s="2">
        <f t="array" ref="B588:J588">IF(Append1!A587:I587="","",Append1!A587:I587)</f>
        <v/>
      </c>
      <c r="C588" s="3" t="str"/>
      <c r="D588" s="2" t="str"/>
      <c r="E588" s="2" t="str"/>
      <c r="F588" s="2" t="str"/>
      <c r="G588" s="2" t="str"/>
      <c r="H588" s="2" t="str"/>
      <c r="I588" s="2" t="str"/>
      <c r="J588" s="2" t="str"/>
      <c r="N588" s="2">
        <f>IF(Append1!J587="","",Append1!J587)</f>
        <v/>
      </c>
    </row>
    <row r="589">
      <c r="B589" s="2">
        <f t="array" ref="B589:J589">IF(Append1!A588:I588="","",Append1!A588:I588)</f>
        <v/>
      </c>
      <c r="C589" s="3" t="str"/>
      <c r="D589" s="2" t="str"/>
      <c r="E589" s="2" t="str"/>
      <c r="F589" s="2" t="str"/>
      <c r="G589" s="2" t="str"/>
      <c r="H589" s="2" t="str"/>
      <c r="I589" s="2" t="str"/>
      <c r="J589" s="2" t="str"/>
      <c r="N589" s="2">
        <f>IF(Append1!J588="","",Append1!J588)</f>
        <v/>
      </c>
    </row>
    <row r="590">
      <c r="B590" s="2">
        <f t="array" ref="B590:J590">IF(Append1!A589:I589="","",Append1!A589:I589)</f>
        <v/>
      </c>
      <c r="C590" s="3" t="str"/>
      <c r="D590" s="2" t="str"/>
      <c r="E590" s="2" t="str"/>
      <c r="F590" s="2" t="str"/>
      <c r="G590" s="2" t="str"/>
      <c r="H590" s="2" t="str"/>
      <c r="I590" s="2" t="str"/>
      <c r="J590" s="2" t="str"/>
      <c r="N590" s="2">
        <f>IF(Append1!J589="","",Append1!J589)</f>
        <v/>
      </c>
    </row>
    <row r="591">
      <c r="B591" s="2">
        <f t="array" ref="B591:J591">IF(Append1!A590:I590="","",Append1!A590:I590)</f>
        <v/>
      </c>
      <c r="C591" s="3" t="str"/>
      <c r="D591" s="2" t="str"/>
      <c r="E591" s="2" t="str"/>
      <c r="F591" s="2" t="str"/>
      <c r="G591" s="2" t="str"/>
      <c r="H591" s="2" t="str"/>
      <c r="I591" s="2" t="str"/>
      <c r="J591" s="2" t="str"/>
      <c r="N591" s="2">
        <f>IF(Append1!J590="","",Append1!J590)</f>
        <v/>
      </c>
    </row>
    <row r="592">
      <c r="B592" s="2">
        <f t="array" ref="B592:J592">IF(Append1!A591:I591="","",Append1!A591:I591)</f>
        <v/>
      </c>
      <c r="C592" s="3" t="str"/>
      <c r="D592" s="2" t="str"/>
      <c r="E592" s="2" t="str"/>
      <c r="F592" s="2" t="str"/>
      <c r="G592" s="2" t="str"/>
      <c r="H592" s="2" t="str"/>
      <c r="I592" s="2" t="str"/>
      <c r="J592" s="2" t="str"/>
      <c r="N592" s="2">
        <f>IF(Append1!J591="","",Append1!J591)</f>
        <v/>
      </c>
    </row>
    <row r="593">
      <c r="B593" s="2">
        <f t="array" ref="B593:J593">IF(Append1!A592:I592="","",Append1!A592:I592)</f>
        <v/>
      </c>
      <c r="C593" s="3" t="str"/>
      <c r="D593" s="2" t="str"/>
      <c r="E593" s="2" t="str"/>
      <c r="F593" s="2" t="str"/>
      <c r="G593" s="2" t="str"/>
      <c r="H593" s="2" t="str"/>
      <c r="I593" s="2" t="str"/>
      <c r="J593" s="2" t="str"/>
      <c r="N593" s="2">
        <f>IF(Append1!J592="","",Append1!J592)</f>
        <v/>
      </c>
    </row>
    <row r="594">
      <c r="B594" s="2">
        <f t="array" ref="B594:J594">IF(Append1!A593:I593="","",Append1!A593:I593)</f>
        <v/>
      </c>
      <c r="C594" s="3" t="str"/>
      <c r="D594" s="2" t="str"/>
      <c r="E594" s="2" t="str"/>
      <c r="F594" s="2" t="str"/>
      <c r="G594" s="2" t="str"/>
      <c r="H594" s="2" t="str"/>
      <c r="I594" s="2" t="str"/>
      <c r="J594" s="2" t="str"/>
      <c r="N594" s="2">
        <f>IF(Append1!J593="","",Append1!J593)</f>
        <v/>
      </c>
    </row>
    <row r="595">
      <c r="B595" s="2">
        <f t="array" ref="B595:J595">IF(Append1!A594:I594="","",Append1!A594:I594)</f>
        <v/>
      </c>
      <c r="C595" s="3" t="str"/>
      <c r="D595" s="2" t="str"/>
      <c r="E595" s="2" t="str"/>
      <c r="F595" s="2" t="str"/>
      <c r="G595" s="2" t="str"/>
      <c r="H595" s="2" t="str"/>
      <c r="I595" s="2" t="str"/>
      <c r="J595" s="2" t="str"/>
      <c r="N595" s="2">
        <f>IF(Append1!J594="","",Append1!J594)</f>
        <v/>
      </c>
    </row>
    <row r="596">
      <c r="B596" s="2">
        <f t="array" ref="B596:J596">IF(Append1!A595:I595="","",Append1!A595:I595)</f>
        <v/>
      </c>
      <c r="C596" s="3" t="str"/>
      <c r="D596" s="2" t="str"/>
      <c r="E596" s="2" t="str"/>
      <c r="F596" s="2" t="str"/>
      <c r="G596" s="2" t="str"/>
      <c r="H596" s="2" t="str"/>
      <c r="I596" s="2" t="str"/>
      <c r="J596" s="2" t="str"/>
      <c r="N596" s="2">
        <f>IF(Append1!J595="","",Append1!J595)</f>
        <v/>
      </c>
    </row>
    <row r="597">
      <c r="B597" s="2">
        <f t="array" ref="B597:J597">IF(Append1!A596:I596="","",Append1!A596:I596)</f>
        <v/>
      </c>
      <c r="C597" s="3" t="str"/>
      <c r="D597" s="2" t="str"/>
      <c r="E597" s="2" t="str"/>
      <c r="F597" s="2" t="str"/>
      <c r="G597" s="2" t="str"/>
      <c r="H597" s="2" t="str"/>
      <c r="I597" s="2" t="str"/>
      <c r="J597" s="2" t="str"/>
      <c r="N597" s="2">
        <f>IF(Append1!J596="","",Append1!J596)</f>
        <v/>
      </c>
    </row>
    <row r="598">
      <c r="B598" s="2">
        <f t="array" ref="B598:J598">IF(Append1!A597:I597="","",Append1!A597:I597)</f>
        <v/>
      </c>
      <c r="C598" s="3" t="str"/>
      <c r="D598" s="2" t="str"/>
      <c r="E598" s="2" t="str"/>
      <c r="F598" s="2" t="str"/>
      <c r="G598" s="2" t="str"/>
      <c r="H598" s="2" t="str"/>
      <c r="I598" s="2" t="str"/>
      <c r="J598" s="2" t="str"/>
      <c r="N598" s="2">
        <f>IF(Append1!J597="","",Append1!J597)</f>
        <v/>
      </c>
    </row>
    <row r="599">
      <c r="B599" s="2">
        <f t="array" ref="B599:J599">IF(Append1!A598:I598="","",Append1!A598:I598)</f>
        <v/>
      </c>
      <c r="C599" s="3" t="str"/>
      <c r="D599" s="2" t="str"/>
      <c r="E599" s="2" t="str"/>
      <c r="F599" s="2" t="str"/>
      <c r="G599" s="2" t="str"/>
      <c r="H599" s="2" t="str"/>
      <c r="I599" s="2" t="str"/>
      <c r="J599" s="2" t="str"/>
      <c r="N599" s="2">
        <f>IF(Append1!J598="","",Append1!J598)</f>
        <v/>
      </c>
    </row>
    <row r="600">
      <c r="B600" s="2">
        <f t="array" ref="B600:J600">IF(Append1!A599:I599="","",Append1!A599:I599)</f>
        <v/>
      </c>
      <c r="C600" s="3" t="str"/>
      <c r="D600" s="2" t="str"/>
      <c r="E600" s="2" t="str"/>
      <c r="F600" s="2" t="str"/>
      <c r="G600" s="2" t="str"/>
      <c r="H600" s="2" t="str"/>
      <c r="I600" s="2" t="str"/>
      <c r="J600" s="2" t="str"/>
      <c r="N600" s="2">
        <f>IF(Append1!J599="","",Append1!J599)</f>
        <v/>
      </c>
    </row>
    <row r="601">
      <c r="B601" s="2">
        <f t="array" ref="B601:J601">IF(Append1!A600:I600="","",Append1!A600:I600)</f>
        <v/>
      </c>
      <c r="C601" s="3" t="str"/>
      <c r="D601" s="2" t="str"/>
      <c r="E601" s="2" t="str"/>
      <c r="F601" s="2" t="str"/>
      <c r="G601" s="2" t="str"/>
      <c r="H601" s="2" t="str"/>
      <c r="I601" s="2" t="str"/>
      <c r="J601" s="2" t="str"/>
      <c r="N601" s="2">
        <f>IF(Append1!J600="","",Append1!J600)</f>
        <v/>
      </c>
    </row>
    <row r="602">
      <c r="B602" s="2">
        <f t="array" ref="B602:J602">IF(Append1!A601:I601="","",Append1!A601:I601)</f>
        <v/>
      </c>
      <c r="C602" s="3" t="str"/>
      <c r="D602" s="2" t="str"/>
      <c r="E602" s="2" t="str"/>
      <c r="F602" s="2" t="str"/>
      <c r="G602" s="2" t="str"/>
      <c r="H602" s="2" t="str"/>
      <c r="I602" s="2" t="str"/>
      <c r="J602" s="2" t="str"/>
      <c r="N602" s="2">
        <f>IF(Append1!J601="","",Append1!J601)</f>
        <v/>
      </c>
    </row>
    <row r="603">
      <c r="B603" s="2">
        <f t="array" ref="B603:J603">IF(Append1!A602:I602="","",Append1!A602:I602)</f>
        <v/>
      </c>
      <c r="C603" s="3" t="str"/>
      <c r="D603" s="2" t="str"/>
      <c r="E603" s="2" t="str"/>
      <c r="F603" s="2" t="str"/>
      <c r="G603" s="2" t="str"/>
      <c r="H603" s="2" t="str"/>
      <c r="I603" s="2" t="str"/>
      <c r="J603" s="2" t="str"/>
      <c r="N603" s="2">
        <f>IF(Append1!J602="","",Append1!J602)</f>
        <v/>
      </c>
    </row>
    <row r="604">
      <c r="B604" s="2">
        <f t="array" ref="B604:J604">IF(Append1!A603:I603="","",Append1!A603:I603)</f>
        <v/>
      </c>
      <c r="C604" s="3" t="str"/>
      <c r="D604" s="2" t="str"/>
      <c r="E604" s="2" t="str"/>
      <c r="F604" s="2" t="str"/>
      <c r="G604" s="2" t="str"/>
      <c r="H604" s="2" t="str"/>
      <c r="I604" s="2" t="str"/>
      <c r="J604" s="2" t="str"/>
      <c r="N604" s="2">
        <f>IF(Append1!J603="","",Append1!J603)</f>
        <v/>
      </c>
    </row>
    <row r="605">
      <c r="B605" s="2">
        <f t="array" ref="B605:J605">IF(Append1!A604:I604="","",Append1!A604:I604)</f>
        <v/>
      </c>
      <c r="C605" s="3" t="str"/>
      <c r="D605" s="2" t="str"/>
      <c r="E605" s="2" t="str"/>
      <c r="F605" s="2" t="str"/>
      <c r="G605" s="2" t="str"/>
      <c r="H605" s="2" t="str"/>
      <c r="I605" s="2" t="str"/>
      <c r="J605" s="2" t="str"/>
      <c r="N605" s="2">
        <f>IF(Append1!J604="","",Append1!J604)</f>
        <v/>
      </c>
    </row>
    <row r="606">
      <c r="B606" s="2">
        <f t="array" ref="B606:J606">IF(Append1!A605:I605="","",Append1!A605:I605)</f>
        <v/>
      </c>
      <c r="C606" s="3" t="str"/>
      <c r="D606" s="2" t="str"/>
      <c r="E606" s="2" t="str"/>
      <c r="F606" s="2" t="str"/>
      <c r="G606" s="2" t="str"/>
      <c r="H606" s="2" t="str"/>
      <c r="I606" s="2" t="str"/>
      <c r="J606" s="2" t="str"/>
      <c r="N606" s="2">
        <f>IF(Append1!J605="","",Append1!J605)</f>
        <v/>
      </c>
    </row>
    <row r="607">
      <c r="B607" s="2">
        <f t="array" ref="B607:J607">IF(Append1!A606:I606="","",Append1!A606:I606)</f>
        <v/>
      </c>
      <c r="C607" s="3" t="str"/>
      <c r="D607" s="2" t="str"/>
      <c r="E607" s="2" t="str"/>
      <c r="F607" s="2" t="str"/>
      <c r="G607" s="2" t="str"/>
      <c r="H607" s="2" t="str"/>
      <c r="I607" s="2" t="str"/>
      <c r="J607" s="2" t="str"/>
      <c r="N607" s="2">
        <f>IF(Append1!J606="","",Append1!J606)</f>
        <v/>
      </c>
    </row>
    <row r="608">
      <c r="B608" s="2">
        <f t="array" ref="B608:J608">IF(Append1!A607:I607="","",Append1!A607:I607)</f>
        <v/>
      </c>
      <c r="C608" s="3" t="str"/>
      <c r="D608" s="2" t="str"/>
      <c r="E608" s="2" t="str"/>
      <c r="F608" s="2" t="str"/>
      <c r="G608" s="2" t="str"/>
      <c r="H608" s="2" t="str"/>
      <c r="I608" s="2" t="str"/>
      <c r="J608" s="2" t="str"/>
      <c r="N608" s="2">
        <f>IF(Append1!J607="","",Append1!J607)</f>
        <v/>
      </c>
    </row>
    <row r="609">
      <c r="B609" s="2">
        <f t="array" ref="B609:J609">IF(Append1!A608:I608="","",Append1!A608:I608)</f>
        <v/>
      </c>
      <c r="C609" s="3" t="str"/>
      <c r="D609" s="2" t="str"/>
      <c r="E609" s="2" t="str"/>
      <c r="F609" s="2" t="str"/>
      <c r="G609" s="2" t="str"/>
      <c r="H609" s="2" t="str"/>
      <c r="I609" s="2" t="str"/>
      <c r="J609" s="2" t="str"/>
      <c r="N609" s="2">
        <f>IF(Append1!J608="","",Append1!J608)</f>
        <v/>
      </c>
    </row>
    <row r="610">
      <c r="B610" s="2">
        <f t="array" ref="B610:J610">IF(Append1!A609:I609="","",Append1!A609:I609)</f>
        <v/>
      </c>
      <c r="C610" s="3" t="str"/>
      <c r="D610" s="2" t="str"/>
      <c r="E610" s="2" t="str"/>
      <c r="F610" s="2" t="str"/>
      <c r="G610" s="2" t="str"/>
      <c r="H610" s="2" t="str"/>
      <c r="I610" s="2" t="str"/>
      <c r="J610" s="2" t="str"/>
      <c r="N610" s="2">
        <f>IF(Append1!J609="","",Append1!J609)</f>
        <v/>
      </c>
    </row>
    <row r="611">
      <c r="B611" s="2">
        <f t="array" ref="B611:J611">IF(Append1!A610:I610="","",Append1!A610:I610)</f>
        <v/>
      </c>
      <c r="C611" s="3" t="str"/>
      <c r="D611" s="2" t="str"/>
      <c r="E611" s="2" t="str"/>
      <c r="F611" s="2" t="str"/>
      <c r="G611" s="2" t="str"/>
      <c r="H611" s="2" t="str"/>
      <c r="I611" s="2" t="str"/>
      <c r="J611" s="2" t="str"/>
      <c r="N611" s="2">
        <f>IF(Append1!J610="","",Append1!J610)</f>
        <v/>
      </c>
    </row>
    <row r="612">
      <c r="B612" s="2">
        <f t="array" ref="B612:J612">IF(Append1!A611:I611="","",Append1!A611:I611)</f>
        <v/>
      </c>
      <c r="C612" s="3" t="str"/>
      <c r="D612" s="2" t="str"/>
      <c r="E612" s="2" t="str"/>
      <c r="F612" s="2" t="str"/>
      <c r="G612" s="2" t="str"/>
      <c r="H612" s="2" t="str"/>
      <c r="I612" s="2" t="str"/>
      <c r="J612" s="2" t="str"/>
      <c r="N612" s="2">
        <f>IF(Append1!J611="","",Append1!J611)</f>
        <v/>
      </c>
    </row>
    <row r="613">
      <c r="B613" s="2">
        <f t="array" ref="B613:J613">IF(Append1!A612:I612="","",Append1!A612:I612)</f>
        <v/>
      </c>
      <c r="C613" s="3" t="str"/>
      <c r="D613" s="2" t="str"/>
      <c r="E613" s="2" t="str"/>
      <c r="F613" s="2" t="str"/>
      <c r="G613" s="2" t="str"/>
      <c r="H613" s="2" t="str"/>
      <c r="I613" s="2" t="str"/>
      <c r="J613" s="2" t="str"/>
      <c r="N613" s="2">
        <f>IF(Append1!J612="","",Append1!J612)</f>
        <v/>
      </c>
    </row>
    <row r="614">
      <c r="B614" s="2">
        <f t="array" ref="B614:J614">IF(Append1!A613:I613="","",Append1!A613:I613)</f>
        <v/>
      </c>
      <c r="C614" s="3" t="str"/>
      <c r="D614" s="2" t="str"/>
      <c r="E614" s="2" t="str"/>
      <c r="F614" s="2" t="str"/>
      <c r="G614" s="2" t="str"/>
      <c r="H614" s="2" t="str"/>
      <c r="I614" s="2" t="str"/>
      <c r="J614" s="2" t="str"/>
      <c r="N614" s="2">
        <f>IF(Append1!J613="","",Append1!J613)</f>
        <v/>
      </c>
    </row>
    <row r="615">
      <c r="B615" s="2">
        <f t="array" ref="B615:J615">IF(Append1!A614:I614="","",Append1!A614:I614)</f>
        <v/>
      </c>
      <c r="C615" s="3" t="str"/>
      <c r="D615" s="2" t="str"/>
      <c r="E615" s="2" t="str"/>
      <c r="F615" s="2" t="str"/>
      <c r="G615" s="2" t="str"/>
      <c r="H615" s="2" t="str"/>
      <c r="I615" s="2" t="str"/>
      <c r="J615" s="2" t="str"/>
      <c r="N615" s="2">
        <f>IF(Append1!J614="","",Append1!J614)</f>
        <v/>
      </c>
    </row>
    <row r="616">
      <c r="B616" s="2">
        <f t="array" ref="B616:J616">IF(Append1!A615:I615="","",Append1!A615:I615)</f>
        <v/>
      </c>
      <c r="C616" s="3" t="str"/>
      <c r="D616" s="2" t="str"/>
      <c r="E616" s="2" t="str"/>
      <c r="F616" s="2" t="str"/>
      <c r="G616" s="2" t="str"/>
      <c r="H616" s="2" t="str"/>
      <c r="I616" s="2" t="str"/>
      <c r="J616" s="2" t="str"/>
      <c r="N616" s="2">
        <f>IF(Append1!J615="","",Append1!J615)</f>
        <v/>
      </c>
    </row>
    <row r="617">
      <c r="B617" s="2">
        <f t="array" ref="B617:J617">IF(Append1!A616:I616="","",Append1!A616:I616)</f>
        <v/>
      </c>
      <c r="C617" s="3" t="str"/>
      <c r="D617" s="2" t="str"/>
      <c r="E617" s="2" t="str"/>
      <c r="F617" s="2" t="str"/>
      <c r="G617" s="2" t="str"/>
      <c r="H617" s="2" t="str"/>
      <c r="I617" s="2" t="str"/>
      <c r="J617" s="2" t="str"/>
      <c r="N617" s="2">
        <f>IF(Append1!J616="","",Append1!J616)</f>
        <v/>
      </c>
    </row>
    <row r="618">
      <c r="B618" s="2">
        <f t="array" ref="B618:J618">IF(Append1!A617:I617="","",Append1!A617:I617)</f>
        <v/>
      </c>
      <c r="C618" s="3" t="str"/>
      <c r="D618" s="2" t="str"/>
      <c r="E618" s="2" t="str"/>
      <c r="F618" s="2" t="str"/>
      <c r="G618" s="2" t="str"/>
      <c r="H618" s="2" t="str"/>
      <c r="I618" s="2" t="str"/>
      <c r="J618" s="2" t="str"/>
      <c r="N618" s="2">
        <f>IF(Append1!J617="","",Append1!J617)</f>
        <v/>
      </c>
    </row>
    <row r="619">
      <c r="B619" s="2">
        <f t="array" ref="B619:J619">IF(Append1!A618:I618="","",Append1!A618:I618)</f>
        <v/>
      </c>
      <c r="C619" s="3" t="str"/>
      <c r="D619" s="2" t="str"/>
      <c r="E619" s="2" t="str"/>
      <c r="F619" s="2" t="str"/>
      <c r="G619" s="2" t="str"/>
      <c r="H619" s="2" t="str"/>
      <c r="I619" s="2" t="str"/>
      <c r="J619" s="2" t="str"/>
      <c r="N619" s="2">
        <f>IF(Append1!J618="","",Append1!J618)</f>
        <v/>
      </c>
    </row>
    <row r="620">
      <c r="B620" s="2">
        <f t="array" ref="B620:J620">IF(Append1!A619:I619="","",Append1!A619:I619)</f>
        <v/>
      </c>
      <c r="C620" s="3" t="str"/>
      <c r="D620" s="2" t="str"/>
      <c r="E620" s="2" t="str"/>
      <c r="F620" s="2" t="str"/>
      <c r="G620" s="2" t="str"/>
      <c r="H620" s="2" t="str"/>
      <c r="I620" s="2" t="str"/>
      <c r="J620" s="2" t="str"/>
      <c r="N620" s="2">
        <f>IF(Append1!J619="","",Append1!J619)</f>
        <v/>
      </c>
    </row>
    <row r="621">
      <c r="B621" s="2">
        <f t="array" ref="B621:J621">IF(Append1!A620:I620="","",Append1!A620:I620)</f>
        <v/>
      </c>
      <c r="C621" s="3" t="str"/>
      <c r="D621" s="2" t="str"/>
      <c r="E621" s="2" t="str"/>
      <c r="F621" s="2" t="str"/>
      <c r="G621" s="2" t="str"/>
      <c r="H621" s="2" t="str"/>
      <c r="I621" s="2" t="str"/>
      <c r="J621" s="2" t="str"/>
      <c r="N621" s="2">
        <f>IF(Append1!J620="","",Append1!J620)</f>
        <v/>
      </c>
    </row>
    <row r="622">
      <c r="B622" s="2">
        <f t="array" ref="B622:J622">IF(Append1!A621:I621="","",Append1!A621:I621)</f>
        <v/>
      </c>
      <c r="C622" s="3" t="str"/>
      <c r="D622" s="2" t="str"/>
      <c r="E622" s="2" t="str"/>
      <c r="F622" s="2" t="str"/>
      <c r="G622" s="2" t="str"/>
      <c r="H622" s="2" t="str"/>
      <c r="I622" s="2" t="str"/>
      <c r="J622" s="2" t="str"/>
      <c r="N622" s="2">
        <f>IF(Append1!J621="","",Append1!J621)</f>
        <v/>
      </c>
    </row>
    <row r="623">
      <c r="B623" s="2">
        <f t="array" ref="B623:J623">IF(Append1!A622:I622="","",Append1!A622:I622)</f>
        <v/>
      </c>
      <c r="C623" s="3" t="str"/>
      <c r="D623" s="2" t="str"/>
      <c r="E623" s="2" t="str"/>
      <c r="F623" s="2" t="str"/>
      <c r="G623" s="2" t="str"/>
      <c r="H623" s="2" t="str"/>
      <c r="I623" s="2" t="str"/>
      <c r="J623" s="2" t="str"/>
      <c r="N623" s="2">
        <f>IF(Append1!J622="","",Append1!J622)</f>
        <v/>
      </c>
    </row>
    <row r="624">
      <c r="B624" s="2">
        <f t="array" ref="B624:J624">IF(Append1!A623:I623="","",Append1!A623:I623)</f>
        <v/>
      </c>
      <c r="C624" s="3" t="str"/>
      <c r="D624" s="2" t="str"/>
      <c r="E624" s="2" t="str"/>
      <c r="F624" s="2" t="str"/>
      <c r="G624" s="2" t="str"/>
      <c r="H624" s="2" t="str"/>
      <c r="I624" s="2" t="str"/>
      <c r="J624" s="2" t="str"/>
      <c r="N624" s="2">
        <f>IF(Append1!J623="","",Append1!J623)</f>
        <v/>
      </c>
    </row>
    <row r="625">
      <c r="B625" s="2">
        <f t="array" ref="B625:J625">IF(Append1!A624:I624="","",Append1!A624:I624)</f>
        <v/>
      </c>
      <c r="C625" s="3" t="str"/>
      <c r="D625" s="2" t="str"/>
      <c r="E625" s="2" t="str"/>
      <c r="F625" s="2" t="str"/>
      <c r="G625" s="2" t="str"/>
      <c r="H625" s="2" t="str"/>
      <c r="I625" s="2" t="str"/>
      <c r="J625" s="2" t="str"/>
      <c r="N625" s="2">
        <f>IF(Append1!J624="","",Append1!J624)</f>
        <v/>
      </c>
    </row>
    <row r="626">
      <c r="B626" s="2">
        <f t="array" ref="B626:J626">IF(Append1!A625:I625="","",Append1!A625:I625)</f>
        <v/>
      </c>
      <c r="C626" s="3" t="str"/>
      <c r="D626" s="2" t="str"/>
      <c r="E626" s="2" t="str"/>
      <c r="F626" s="2" t="str"/>
      <c r="G626" s="2" t="str"/>
      <c r="H626" s="2" t="str"/>
      <c r="I626" s="2" t="str"/>
      <c r="J626" s="2" t="str"/>
      <c r="N626" s="2">
        <f>IF(Append1!J625="","",Append1!J625)</f>
        <v/>
      </c>
    </row>
    <row r="627">
      <c r="B627" s="2">
        <f t="array" ref="B627:J627">IF(Append1!A626:I626="","",Append1!A626:I626)</f>
        <v/>
      </c>
      <c r="C627" s="3" t="str"/>
      <c r="D627" s="2" t="str"/>
      <c r="E627" s="2" t="str"/>
      <c r="F627" s="2" t="str"/>
      <c r="G627" s="2" t="str"/>
      <c r="H627" s="2" t="str"/>
      <c r="I627" s="2" t="str"/>
      <c r="J627" s="2" t="str"/>
      <c r="N627" s="2">
        <f>IF(Append1!J626="","",Append1!J626)</f>
        <v/>
      </c>
    </row>
    <row r="628">
      <c r="B628" s="2">
        <f t="array" ref="B628:J628">IF(Append1!A627:I627="","",Append1!A627:I627)</f>
        <v/>
      </c>
      <c r="C628" s="3" t="str"/>
      <c r="D628" s="2" t="str"/>
      <c r="E628" s="2" t="str"/>
      <c r="F628" s="2" t="str"/>
      <c r="G628" s="2" t="str"/>
      <c r="H628" s="2" t="str"/>
      <c r="I628" s="2" t="str"/>
      <c r="J628" s="2" t="str"/>
      <c r="N628" s="2">
        <f>IF(Append1!J627="","",Append1!J627)</f>
        <v/>
      </c>
    </row>
    <row r="629">
      <c r="B629" s="2">
        <f t="array" ref="B629:J629">IF(Append1!A628:I628="","",Append1!A628:I628)</f>
        <v/>
      </c>
      <c r="C629" s="3" t="str"/>
      <c r="D629" s="2" t="str"/>
      <c r="E629" s="2" t="str"/>
      <c r="F629" s="2" t="str"/>
      <c r="G629" s="2" t="str"/>
      <c r="H629" s="2" t="str"/>
      <c r="I629" s="2" t="str"/>
      <c r="J629" s="2" t="str"/>
      <c r="N629" s="2">
        <f>IF(Append1!J628="","",Append1!J628)</f>
        <v/>
      </c>
    </row>
    <row r="630">
      <c r="B630" s="2">
        <f t="array" ref="B630:J630">IF(Append1!A629:I629="","",Append1!A629:I629)</f>
        <v/>
      </c>
      <c r="C630" s="3" t="str"/>
      <c r="D630" s="2" t="str"/>
      <c r="E630" s="2" t="str"/>
      <c r="F630" s="2" t="str"/>
      <c r="G630" s="2" t="str"/>
      <c r="H630" s="2" t="str"/>
      <c r="I630" s="2" t="str"/>
      <c r="J630" s="2" t="str"/>
      <c r="N630" s="2">
        <f>IF(Append1!J629="","",Append1!J629)</f>
        <v/>
      </c>
    </row>
    <row r="631">
      <c r="B631" s="2">
        <f t="array" ref="B631:J631">IF(Append1!A630:I630="","",Append1!A630:I630)</f>
        <v/>
      </c>
      <c r="C631" s="3" t="str"/>
      <c r="D631" s="2" t="str"/>
      <c r="E631" s="2" t="str"/>
      <c r="F631" s="2" t="str"/>
      <c r="G631" s="2" t="str"/>
      <c r="H631" s="2" t="str"/>
      <c r="I631" s="2" t="str"/>
      <c r="J631" s="2" t="str"/>
      <c r="N631" s="2">
        <f>IF(Append1!J630="","",Append1!J630)</f>
        <v/>
      </c>
    </row>
    <row r="632">
      <c r="B632" s="2">
        <f t="array" ref="B632:J632">IF(Append1!A631:I631="","",Append1!A631:I631)</f>
        <v/>
      </c>
      <c r="C632" s="3" t="str"/>
      <c r="D632" s="2" t="str"/>
      <c r="E632" s="2" t="str"/>
      <c r="F632" s="2" t="str"/>
      <c r="G632" s="2" t="str"/>
      <c r="H632" s="2" t="str"/>
      <c r="I632" s="2" t="str"/>
      <c r="J632" s="2" t="str"/>
      <c r="N632" s="2">
        <f>IF(Append1!J631="","",Append1!J631)</f>
        <v/>
      </c>
    </row>
    <row r="633">
      <c r="B633" s="2">
        <f t="array" ref="B633:J633">IF(Append1!A632:I632="","",Append1!A632:I632)</f>
        <v/>
      </c>
      <c r="C633" s="3" t="str"/>
      <c r="D633" s="2" t="str"/>
      <c r="E633" s="2" t="str"/>
      <c r="F633" s="2" t="str"/>
      <c r="G633" s="2" t="str"/>
      <c r="H633" s="2" t="str"/>
      <c r="I633" s="2" t="str"/>
      <c r="J633" s="2" t="str"/>
      <c r="N633" s="2">
        <f>IF(Append1!J632="","",Append1!J632)</f>
        <v/>
      </c>
    </row>
    <row r="634">
      <c r="B634" s="2">
        <f t="array" ref="B634:J634">IF(Append1!A633:I633="","",Append1!A633:I633)</f>
        <v/>
      </c>
      <c r="C634" s="3" t="str"/>
      <c r="D634" s="2" t="str"/>
      <c r="E634" s="2" t="str"/>
      <c r="F634" s="2" t="str"/>
      <c r="G634" s="2" t="str"/>
      <c r="H634" s="2" t="str"/>
      <c r="I634" s="2" t="str"/>
      <c r="J634" s="2" t="str"/>
      <c r="N634" s="2">
        <f>IF(Append1!J633="","",Append1!J633)</f>
        <v/>
      </c>
    </row>
    <row r="635">
      <c r="B635" s="2">
        <f t="array" ref="B635:J635">IF(Append1!A634:I634="","",Append1!A634:I634)</f>
        <v/>
      </c>
      <c r="C635" s="3" t="str"/>
      <c r="D635" s="2" t="str"/>
      <c r="E635" s="2" t="str"/>
      <c r="F635" s="2" t="str"/>
      <c r="G635" s="2" t="str"/>
      <c r="H635" s="2" t="str"/>
      <c r="I635" s="2" t="str"/>
      <c r="J635" s="2" t="str"/>
      <c r="N635" s="2">
        <f>IF(Append1!J634="","",Append1!J634)</f>
        <v/>
      </c>
    </row>
    <row r="636">
      <c r="B636" s="2">
        <f t="array" ref="B636:J636">IF(Append1!A635:I635="","",Append1!A635:I635)</f>
        <v/>
      </c>
      <c r="C636" s="3" t="str"/>
      <c r="D636" s="2" t="str"/>
      <c r="E636" s="2" t="str"/>
      <c r="F636" s="2" t="str"/>
      <c r="G636" s="2" t="str"/>
      <c r="H636" s="2" t="str"/>
      <c r="I636" s="2" t="str"/>
      <c r="J636" s="2" t="str"/>
      <c r="N636" s="2">
        <f>IF(Append1!J635="","",Append1!J635)</f>
        <v/>
      </c>
    </row>
    <row r="637">
      <c r="B637" s="2">
        <f t="array" ref="B637:J637">IF(Append1!A636:I636="","",Append1!A636:I636)</f>
        <v/>
      </c>
      <c r="C637" s="3" t="str"/>
      <c r="D637" s="2" t="str"/>
      <c r="E637" s="2" t="str"/>
      <c r="F637" s="2" t="str"/>
      <c r="G637" s="2" t="str"/>
      <c r="H637" s="2" t="str"/>
      <c r="I637" s="2" t="str"/>
      <c r="J637" s="2" t="str"/>
      <c r="N637" s="2">
        <f>IF(Append1!J636="","",Append1!J636)</f>
        <v/>
      </c>
    </row>
    <row r="638">
      <c r="B638" s="2">
        <f t="array" ref="B638:J638">IF(Append1!A637:I637="","",Append1!A637:I637)</f>
        <v/>
      </c>
      <c r="C638" s="3" t="str"/>
      <c r="D638" s="2" t="str"/>
      <c r="E638" s="2" t="str"/>
      <c r="F638" s="2" t="str"/>
      <c r="G638" s="2" t="str"/>
      <c r="H638" s="2" t="str"/>
      <c r="I638" s="2" t="str"/>
      <c r="J638" s="2" t="str"/>
      <c r="N638" s="2">
        <f>IF(Append1!J637="","",Append1!J637)</f>
        <v/>
      </c>
    </row>
    <row r="639">
      <c r="B639" s="2">
        <f t="array" ref="B639:J639">IF(Append1!A638:I638="","",Append1!A638:I638)</f>
        <v/>
      </c>
      <c r="C639" s="3" t="str"/>
      <c r="D639" s="2" t="str"/>
      <c r="E639" s="2" t="str"/>
      <c r="F639" s="2" t="str"/>
      <c r="G639" s="2" t="str"/>
      <c r="H639" s="2" t="str"/>
      <c r="I639" s="2" t="str"/>
      <c r="J639" s="2" t="str"/>
      <c r="N639" s="2">
        <f>IF(Append1!J638="","",Append1!J638)</f>
        <v/>
      </c>
    </row>
    <row r="640">
      <c r="B640" s="2">
        <f t="array" ref="B640:J640">IF(Append1!A639:I639="","",Append1!A639:I639)</f>
        <v/>
      </c>
      <c r="C640" s="3" t="str"/>
      <c r="D640" s="2" t="str"/>
      <c r="E640" s="2" t="str"/>
      <c r="F640" s="2" t="str"/>
      <c r="G640" s="2" t="str"/>
      <c r="H640" s="2" t="str"/>
      <c r="I640" s="2" t="str"/>
      <c r="J640" s="2" t="str"/>
      <c r="N640" s="2">
        <f>IF(Append1!J639="","",Append1!J639)</f>
        <v/>
      </c>
    </row>
    <row r="641">
      <c r="B641" s="2">
        <f t="array" ref="B641:J641">IF(Append1!A640:I640="","",Append1!A640:I640)</f>
        <v/>
      </c>
      <c r="C641" s="3" t="str"/>
      <c r="D641" s="2" t="str"/>
      <c r="E641" s="2" t="str"/>
      <c r="F641" s="2" t="str"/>
      <c r="G641" s="2" t="str"/>
      <c r="H641" s="2" t="str"/>
      <c r="I641" s="2" t="str"/>
      <c r="J641" s="2" t="str"/>
      <c r="N641" s="2">
        <f>IF(Append1!J640="","",Append1!J640)</f>
        <v/>
      </c>
    </row>
    <row r="642">
      <c r="B642" s="2">
        <f t="array" ref="B642:J642">IF(Append1!A641:I641="","",Append1!A641:I641)</f>
        <v/>
      </c>
      <c r="C642" s="3" t="str"/>
      <c r="D642" s="2" t="str"/>
      <c r="E642" s="2" t="str"/>
      <c r="F642" s="2" t="str"/>
      <c r="G642" s="2" t="str"/>
      <c r="H642" s="2" t="str"/>
      <c r="I642" s="2" t="str"/>
      <c r="J642" s="2" t="str"/>
      <c r="N642" s="2">
        <f>IF(Append1!J641="","",Append1!J641)</f>
        <v/>
      </c>
    </row>
    <row r="643">
      <c r="B643" s="2">
        <f t="array" ref="B643:J643">IF(Append1!A642:I642="","",Append1!A642:I642)</f>
        <v/>
      </c>
      <c r="C643" s="3" t="str"/>
      <c r="D643" s="2" t="str"/>
      <c r="E643" s="2" t="str"/>
      <c r="F643" s="2" t="str"/>
      <c r="G643" s="2" t="str"/>
      <c r="H643" s="2" t="str"/>
      <c r="I643" s="2" t="str"/>
      <c r="J643" s="2" t="str"/>
      <c r="N643" s="2">
        <f>IF(Append1!J642="","",Append1!J642)</f>
        <v/>
      </c>
    </row>
    <row r="644">
      <c r="B644" s="2">
        <f t="array" ref="B644:J644">IF(Append1!A643:I643="","",Append1!A643:I643)</f>
        <v/>
      </c>
      <c r="C644" s="3" t="str"/>
      <c r="D644" s="2" t="str"/>
      <c r="E644" s="2" t="str"/>
      <c r="F644" s="2" t="str"/>
      <c r="G644" s="2" t="str"/>
      <c r="H644" s="2" t="str"/>
      <c r="I644" s="2" t="str"/>
      <c r="J644" s="2" t="str"/>
      <c r="N644" s="2">
        <f>IF(Append1!J643="","",Append1!J643)</f>
        <v/>
      </c>
    </row>
    <row r="645">
      <c r="B645" s="2">
        <f t="array" ref="B645:J645">IF(Append1!A644:I644="","",Append1!A644:I644)</f>
        <v/>
      </c>
      <c r="C645" s="3" t="str"/>
      <c r="D645" s="2" t="str"/>
      <c r="E645" s="2" t="str"/>
      <c r="F645" s="2" t="str"/>
      <c r="G645" s="2" t="str"/>
      <c r="H645" s="2" t="str"/>
      <c r="I645" s="2" t="str"/>
      <c r="J645" s="2" t="str"/>
      <c r="N645" s="2">
        <f>IF(Append1!J644="","",Append1!J644)</f>
        <v/>
      </c>
    </row>
    <row r="646">
      <c r="B646" s="2">
        <f t="array" ref="B646:J646">IF(Append1!A645:I645="","",Append1!A645:I645)</f>
        <v/>
      </c>
      <c r="C646" s="3" t="str"/>
      <c r="D646" s="2" t="str"/>
      <c r="E646" s="2" t="str"/>
      <c r="F646" s="2" t="str"/>
      <c r="G646" s="2" t="str"/>
      <c r="H646" s="2" t="str"/>
      <c r="I646" s="2" t="str"/>
      <c r="J646" s="2" t="str"/>
      <c r="N646" s="2">
        <f>IF(Append1!J645="","",Append1!J645)</f>
        <v/>
      </c>
    </row>
    <row r="647">
      <c r="B647" s="2">
        <f t="array" ref="B647:J647">IF(Append1!A646:I646="","",Append1!A646:I646)</f>
        <v/>
      </c>
      <c r="C647" s="3" t="str"/>
      <c r="D647" s="2" t="str"/>
      <c r="E647" s="2" t="str"/>
      <c r="F647" s="2" t="str"/>
      <c r="G647" s="2" t="str"/>
      <c r="H647" s="2" t="str"/>
      <c r="I647" s="2" t="str"/>
      <c r="J647" s="2" t="str"/>
      <c r="N647" s="2">
        <f>IF(Append1!J646="","",Append1!J646)</f>
        <v/>
      </c>
    </row>
    <row r="648">
      <c r="B648" s="2">
        <f t="array" ref="B648:J648">IF(Append1!A647:I647="","",Append1!A647:I647)</f>
        <v/>
      </c>
      <c r="C648" s="3" t="str"/>
      <c r="D648" s="2" t="str"/>
      <c r="E648" s="2" t="str"/>
      <c r="F648" s="2" t="str"/>
      <c r="G648" s="2" t="str"/>
      <c r="H648" s="2" t="str"/>
      <c r="I648" s="2" t="str"/>
      <c r="J648" s="2" t="str"/>
      <c r="N648" s="2">
        <f>IF(Append1!J647="","",Append1!J647)</f>
        <v/>
      </c>
    </row>
    <row r="649">
      <c r="B649" s="2">
        <f t="array" ref="B649:J649">IF(Append1!A648:I648="","",Append1!A648:I648)</f>
        <v/>
      </c>
      <c r="C649" s="3" t="str"/>
      <c r="D649" s="2" t="str"/>
      <c r="E649" s="2" t="str"/>
      <c r="F649" s="2" t="str"/>
      <c r="G649" s="2" t="str"/>
      <c r="H649" s="2" t="str"/>
      <c r="I649" s="2" t="str"/>
      <c r="J649" s="2" t="str"/>
      <c r="N649" s="2">
        <f>IF(Append1!J648="","",Append1!J648)</f>
        <v/>
      </c>
    </row>
    <row r="650">
      <c r="B650" s="2">
        <f t="array" ref="B650:J650">IF(Append1!A649:I649="","",Append1!A649:I649)</f>
        <v/>
      </c>
      <c r="C650" s="3" t="str"/>
      <c r="D650" s="2" t="str"/>
      <c r="E650" s="2" t="str"/>
      <c r="F650" s="2" t="str"/>
      <c r="G650" s="2" t="str"/>
      <c r="H650" s="2" t="str"/>
      <c r="I650" s="2" t="str"/>
      <c r="J650" s="2" t="str"/>
      <c r="N650" s="2">
        <f>IF(Append1!J649="","",Append1!J649)</f>
        <v/>
      </c>
    </row>
    <row r="651">
      <c r="B651" s="2">
        <f t="array" ref="B651:J651">IF(Append1!A650:I650="","",Append1!A650:I650)</f>
        <v/>
      </c>
      <c r="C651" s="3" t="str"/>
      <c r="D651" s="2" t="str"/>
      <c r="E651" s="2" t="str"/>
      <c r="F651" s="2" t="str"/>
      <c r="G651" s="2" t="str"/>
      <c r="H651" s="2" t="str"/>
      <c r="I651" s="2" t="str"/>
      <c r="J651" s="2" t="str"/>
      <c r="N651" s="2">
        <f>IF(Append1!J650="","",Append1!J650)</f>
        <v/>
      </c>
    </row>
    <row r="652">
      <c r="B652" s="2">
        <f t="array" ref="B652:J652">IF(Append1!A651:I651="","",Append1!A651:I651)</f>
        <v/>
      </c>
      <c r="C652" s="3" t="str"/>
      <c r="D652" s="2" t="str"/>
      <c r="E652" s="2" t="str"/>
      <c r="F652" s="2" t="str"/>
      <c r="G652" s="2" t="str"/>
      <c r="H652" s="2" t="str"/>
      <c r="I652" s="2" t="str"/>
      <c r="J652" s="2" t="str"/>
      <c r="N652" s="2">
        <f>IF(Append1!J651="","",Append1!J651)</f>
        <v/>
      </c>
    </row>
    <row r="653">
      <c r="B653" s="2">
        <f t="array" ref="B653:J653">IF(Append1!A652:I652="","",Append1!A652:I652)</f>
        <v/>
      </c>
      <c r="C653" s="3" t="str"/>
      <c r="D653" s="2" t="str"/>
      <c r="E653" s="2" t="str"/>
      <c r="F653" s="2" t="str"/>
      <c r="G653" s="2" t="str"/>
      <c r="H653" s="2" t="str"/>
      <c r="I653" s="2" t="str"/>
      <c r="J653" s="2" t="str"/>
      <c r="N653" s="2">
        <f>IF(Append1!J652="","",Append1!J652)</f>
        <v/>
      </c>
    </row>
    <row r="654">
      <c r="B654" s="2">
        <f t="array" ref="B654:J654">IF(Append1!A653:I653="","",Append1!A653:I653)</f>
        <v/>
      </c>
      <c r="C654" s="3" t="str"/>
      <c r="D654" s="2" t="str"/>
      <c r="E654" s="2" t="str"/>
      <c r="F654" s="2" t="str"/>
      <c r="G654" s="2" t="str"/>
      <c r="H654" s="2" t="str"/>
      <c r="I654" s="2" t="str"/>
      <c r="J654" s="2" t="str"/>
      <c r="N654" s="2">
        <f>IF(Append1!J653="","",Append1!J653)</f>
        <v/>
      </c>
    </row>
    <row r="655">
      <c r="B655" s="2">
        <f t="array" ref="B655:J655">IF(Append1!A654:I654="","",Append1!A654:I654)</f>
        <v/>
      </c>
      <c r="C655" s="3" t="str"/>
      <c r="D655" s="2" t="str"/>
      <c r="E655" s="2" t="str"/>
      <c r="F655" s="2" t="str"/>
      <c r="G655" s="2" t="str"/>
      <c r="H655" s="2" t="str"/>
      <c r="I655" s="2" t="str"/>
      <c r="J655" s="2" t="str"/>
      <c r="N655" s="2">
        <f>IF(Append1!J654="","",Append1!J654)</f>
        <v/>
      </c>
    </row>
    <row r="656">
      <c r="B656" s="2">
        <f t="array" ref="B656:J656">IF(Append1!A655:I655="","",Append1!A655:I655)</f>
        <v/>
      </c>
      <c r="C656" s="3" t="str"/>
      <c r="D656" s="2" t="str"/>
      <c r="E656" s="2" t="str"/>
      <c r="F656" s="2" t="str"/>
      <c r="G656" s="2" t="str"/>
      <c r="H656" s="2" t="str"/>
      <c r="I656" s="2" t="str"/>
      <c r="J656" s="2" t="str"/>
      <c r="N656" s="2">
        <f>IF(Append1!J655="","",Append1!J655)</f>
        <v/>
      </c>
    </row>
    <row r="657">
      <c r="B657" s="2">
        <f t="array" ref="B657:J657">IF(Append1!A656:I656="","",Append1!A656:I656)</f>
        <v/>
      </c>
      <c r="C657" s="3" t="str"/>
      <c r="D657" s="2" t="str"/>
      <c r="E657" s="2" t="str"/>
      <c r="F657" s="2" t="str"/>
      <c r="G657" s="2" t="str"/>
      <c r="H657" s="2" t="str"/>
      <c r="I657" s="2" t="str"/>
      <c r="J657" s="2" t="str"/>
      <c r="N657" s="2">
        <f>IF(Append1!J656="","",Append1!J656)</f>
        <v/>
      </c>
    </row>
    <row r="658">
      <c r="B658" s="2">
        <f t="array" ref="B658:J658">IF(Append1!A657:I657="","",Append1!A657:I657)</f>
        <v/>
      </c>
      <c r="C658" s="3" t="str"/>
      <c r="D658" s="2" t="str"/>
      <c r="E658" s="2" t="str"/>
      <c r="F658" s="2" t="str"/>
      <c r="G658" s="2" t="str"/>
      <c r="H658" s="2" t="str"/>
      <c r="I658" s="2" t="str"/>
      <c r="J658" s="2" t="str"/>
      <c r="N658" s="2">
        <f>IF(Append1!J657="","",Append1!J657)</f>
        <v/>
      </c>
    </row>
    <row r="659">
      <c r="B659" s="2">
        <f t="array" ref="B659:J659">IF(Append1!A658:I658="","",Append1!A658:I658)</f>
        <v/>
      </c>
      <c r="C659" s="3" t="str"/>
      <c r="D659" s="2" t="str"/>
      <c r="E659" s="2" t="str"/>
      <c r="F659" s="2" t="str"/>
      <c r="G659" s="2" t="str"/>
      <c r="H659" s="2" t="str"/>
      <c r="I659" s="2" t="str"/>
      <c r="J659" s="2" t="str"/>
      <c r="N659" s="2">
        <f>IF(Append1!J658="","",Append1!J658)</f>
        <v/>
      </c>
    </row>
    <row r="660">
      <c r="B660" s="2">
        <f t="array" ref="B660:J660">IF(Append1!A659:I659="","",Append1!A659:I659)</f>
        <v/>
      </c>
      <c r="C660" s="3" t="str"/>
      <c r="D660" s="2" t="str"/>
      <c r="E660" s="2" t="str"/>
      <c r="F660" s="2" t="str"/>
      <c r="G660" s="2" t="str"/>
      <c r="H660" s="2" t="str"/>
      <c r="I660" s="2" t="str"/>
      <c r="J660" s="2" t="str"/>
      <c r="N660" s="2">
        <f>IF(Append1!J659="","",Append1!J659)</f>
        <v/>
      </c>
    </row>
    <row r="661">
      <c r="B661" s="2">
        <f t="array" ref="B661:J661">IF(Append1!A660:I660="","",Append1!A660:I660)</f>
        <v/>
      </c>
      <c r="C661" s="3" t="str"/>
      <c r="D661" s="2" t="str"/>
      <c r="E661" s="2" t="str"/>
      <c r="F661" s="2" t="str"/>
      <c r="G661" s="2" t="str"/>
      <c r="H661" s="2" t="str"/>
      <c r="I661" s="2" t="str"/>
      <c r="J661" s="2" t="str"/>
      <c r="N661" s="2">
        <f>IF(Append1!J660="","",Append1!J660)</f>
        <v/>
      </c>
    </row>
    <row r="662">
      <c r="B662" s="2">
        <f t="array" ref="B662:J662">IF(Append1!A661:I661="","",Append1!A661:I661)</f>
        <v/>
      </c>
      <c r="C662" s="3" t="str"/>
      <c r="D662" s="2" t="str"/>
      <c r="E662" s="2" t="str"/>
      <c r="F662" s="2" t="str"/>
      <c r="G662" s="2" t="str"/>
      <c r="H662" s="2" t="str"/>
      <c r="I662" s="2" t="str"/>
      <c r="J662" s="2" t="str"/>
      <c r="N662" s="2">
        <f>IF(Append1!J661="","",Append1!J661)</f>
        <v/>
      </c>
    </row>
    <row r="663">
      <c r="B663" s="2">
        <f t="array" ref="B663:J663">IF(Append1!A662:I662="","",Append1!A662:I662)</f>
        <v/>
      </c>
      <c r="C663" s="3" t="str"/>
      <c r="D663" s="2" t="str"/>
      <c r="E663" s="2" t="str"/>
      <c r="F663" s="2" t="str"/>
      <c r="G663" s="2" t="str"/>
      <c r="H663" s="2" t="str"/>
      <c r="I663" s="2" t="str"/>
      <c r="J663" s="2" t="str"/>
      <c r="N663" s="2">
        <f>IF(Append1!J662="","",Append1!J662)</f>
        <v/>
      </c>
    </row>
    <row r="664">
      <c r="B664" s="2">
        <f t="array" ref="B664:J664">IF(Append1!A663:I663="","",Append1!A663:I663)</f>
        <v/>
      </c>
      <c r="C664" s="3" t="str"/>
      <c r="D664" s="2" t="str"/>
      <c r="E664" s="2" t="str"/>
      <c r="F664" s="2" t="str"/>
      <c r="G664" s="2" t="str"/>
      <c r="H664" s="2" t="str"/>
      <c r="I664" s="2" t="str"/>
      <c r="J664" s="2" t="str"/>
      <c r="N664" s="2">
        <f>IF(Append1!J663="","",Append1!J663)</f>
        <v/>
      </c>
    </row>
    <row r="665">
      <c r="B665" s="2">
        <f t="array" ref="B665:J665">IF(Append1!A664:I664="","",Append1!A664:I664)</f>
        <v/>
      </c>
      <c r="C665" s="3" t="str"/>
      <c r="D665" s="2" t="str"/>
      <c r="E665" s="2" t="str"/>
      <c r="F665" s="2" t="str"/>
      <c r="G665" s="2" t="str"/>
      <c r="H665" s="2" t="str"/>
      <c r="I665" s="2" t="str"/>
      <c r="J665" s="2" t="str"/>
      <c r="N665" s="2">
        <f>IF(Append1!J664="","",Append1!J664)</f>
        <v/>
      </c>
    </row>
    <row r="666">
      <c r="B666" s="2">
        <f t="array" ref="B666:J666">IF(Append1!A665:I665="","",Append1!A665:I665)</f>
        <v/>
      </c>
      <c r="C666" s="3" t="str"/>
      <c r="D666" s="2" t="str"/>
      <c r="E666" s="2" t="str"/>
      <c r="F666" s="2" t="str"/>
      <c r="G666" s="2" t="str"/>
      <c r="H666" s="2" t="str"/>
      <c r="I666" s="2" t="str"/>
      <c r="J666" s="2" t="str"/>
      <c r="N666" s="2">
        <f>IF(Append1!J665="","",Append1!J665)</f>
        <v/>
      </c>
    </row>
    <row r="667">
      <c r="B667" s="2">
        <f t="array" ref="B667:J667">IF(Append1!A666:I666="","",Append1!A666:I666)</f>
        <v/>
      </c>
      <c r="C667" s="3" t="str"/>
      <c r="D667" s="2" t="str"/>
      <c r="E667" s="2" t="str"/>
      <c r="F667" s="2" t="str"/>
      <c r="G667" s="2" t="str"/>
      <c r="H667" s="2" t="str"/>
      <c r="I667" s="2" t="str"/>
      <c r="J667" s="2" t="str"/>
      <c r="N667" s="2">
        <f>IF(Append1!J666="","",Append1!J666)</f>
        <v/>
      </c>
    </row>
    <row r="668">
      <c r="B668" s="2">
        <f t="array" ref="B668:J668">IF(Append1!A667:I667="","",Append1!A667:I667)</f>
        <v/>
      </c>
      <c r="C668" s="3" t="str"/>
      <c r="D668" s="2" t="str"/>
      <c r="E668" s="2" t="str"/>
      <c r="F668" s="2" t="str"/>
      <c r="G668" s="2" t="str"/>
      <c r="H668" s="2" t="str"/>
      <c r="I668" s="2" t="str"/>
      <c r="J668" s="2" t="str"/>
      <c r="N668" s="2">
        <f>IF(Append1!J667="","",Append1!J667)</f>
        <v/>
      </c>
    </row>
    <row r="669">
      <c r="B669" s="2">
        <f t="array" ref="B669:J669">IF(Append1!A668:I668="","",Append1!A668:I668)</f>
        <v/>
      </c>
      <c r="C669" s="3" t="str"/>
      <c r="D669" s="2" t="str"/>
      <c r="E669" s="2" t="str"/>
      <c r="F669" s="2" t="str"/>
      <c r="G669" s="2" t="str"/>
      <c r="H669" s="2" t="str"/>
      <c r="I669" s="2" t="str"/>
      <c r="J669" s="2" t="str"/>
      <c r="N669" s="2">
        <f>IF(Append1!J668="","",Append1!J668)</f>
        <v/>
      </c>
    </row>
    <row r="670">
      <c r="B670" s="2">
        <f t="array" ref="B670:J670">IF(Append1!A669:I669="","",Append1!A669:I669)</f>
        <v/>
      </c>
      <c r="C670" s="3" t="str"/>
      <c r="D670" s="2" t="str"/>
      <c r="E670" s="2" t="str"/>
      <c r="F670" s="2" t="str"/>
      <c r="G670" s="2" t="str"/>
      <c r="H670" s="2" t="str"/>
      <c r="I670" s="2" t="str"/>
      <c r="J670" s="2" t="str"/>
      <c r="N670" s="2">
        <f>IF(Append1!J669="","",Append1!J669)</f>
        <v/>
      </c>
    </row>
    <row r="671">
      <c r="B671" s="2">
        <f t="array" ref="B671:J671">IF(Append1!A670:I670="","",Append1!A670:I670)</f>
        <v/>
      </c>
      <c r="C671" s="3" t="str"/>
      <c r="D671" s="2" t="str"/>
      <c r="E671" s="2" t="str"/>
      <c r="F671" s="2" t="str"/>
      <c r="G671" s="2" t="str"/>
      <c r="H671" s="2" t="str"/>
      <c r="I671" s="2" t="str"/>
      <c r="J671" s="2" t="str"/>
      <c r="N671" s="2">
        <f>IF(Append1!J670="","",Append1!J670)</f>
        <v/>
      </c>
    </row>
    <row r="672">
      <c r="B672" s="2">
        <f t="array" ref="B672:J672">IF(Append1!A671:I671="","",Append1!A671:I671)</f>
        <v/>
      </c>
      <c r="C672" s="3" t="str"/>
      <c r="D672" s="2" t="str"/>
      <c r="E672" s="2" t="str"/>
      <c r="F672" s="2" t="str"/>
      <c r="G672" s="2" t="str"/>
      <c r="H672" s="2" t="str"/>
      <c r="I672" s="2" t="str"/>
      <c r="J672" s="2" t="str"/>
      <c r="N672" s="2">
        <f>IF(Append1!J671="","",Append1!J671)</f>
        <v/>
      </c>
    </row>
    <row r="673">
      <c r="B673" s="2">
        <f t="array" ref="B673:J673">IF(Append1!A672:I672="","",Append1!A672:I672)</f>
        <v/>
      </c>
      <c r="C673" s="3" t="str"/>
      <c r="D673" s="2" t="str"/>
      <c r="E673" s="2" t="str"/>
      <c r="F673" s="2" t="str"/>
      <c r="G673" s="2" t="str"/>
      <c r="H673" s="2" t="str"/>
      <c r="I673" s="2" t="str"/>
      <c r="J673" s="2" t="str"/>
      <c r="N673" s="2">
        <f>IF(Append1!J672="","",Append1!J672)</f>
        <v/>
      </c>
    </row>
    <row r="674">
      <c r="B674" s="2">
        <f t="array" ref="B674:J674">IF(Append1!A673:I673="","",Append1!A673:I673)</f>
        <v/>
      </c>
      <c r="C674" s="3" t="str"/>
      <c r="D674" s="2" t="str"/>
      <c r="E674" s="2" t="str"/>
      <c r="F674" s="2" t="str"/>
      <c r="G674" s="2" t="str"/>
      <c r="H674" s="2" t="str"/>
      <c r="I674" s="2" t="str"/>
      <c r="J674" s="2" t="str"/>
      <c r="N674" s="2">
        <f>IF(Append1!J673="","",Append1!J673)</f>
        <v/>
      </c>
    </row>
    <row r="675">
      <c r="B675" s="2">
        <f t="array" ref="B675:J675">IF(Append1!A674:I674="","",Append1!A674:I674)</f>
        <v/>
      </c>
      <c r="C675" s="3" t="str"/>
      <c r="D675" s="2" t="str"/>
      <c r="E675" s="2" t="str"/>
      <c r="F675" s="2" t="str"/>
      <c r="G675" s="2" t="str"/>
      <c r="H675" s="2" t="str"/>
      <c r="I675" s="2" t="str"/>
      <c r="J675" s="2" t="str"/>
      <c r="N675" s="2">
        <f>IF(Append1!J674="","",Append1!J674)</f>
        <v/>
      </c>
    </row>
    <row r="676">
      <c r="B676" s="2">
        <f t="array" ref="B676:J676">IF(Append1!A675:I675="","",Append1!A675:I675)</f>
        <v/>
      </c>
      <c r="C676" s="3" t="str"/>
      <c r="D676" s="2" t="str"/>
      <c r="E676" s="2" t="str"/>
      <c r="F676" s="2" t="str"/>
      <c r="G676" s="2" t="str"/>
      <c r="H676" s="2" t="str"/>
      <c r="I676" s="2" t="str"/>
      <c r="J676" s="2" t="str"/>
      <c r="N676" s="2">
        <f>IF(Append1!J675="","",Append1!J675)</f>
        <v/>
      </c>
    </row>
    <row r="677">
      <c r="B677" s="2">
        <f t="array" ref="B677:J677">IF(Append1!A676:I676="","",Append1!A676:I676)</f>
        <v/>
      </c>
      <c r="C677" s="3" t="str"/>
      <c r="D677" s="2" t="str"/>
      <c r="E677" s="2" t="str"/>
      <c r="F677" s="2" t="str"/>
      <c r="G677" s="2" t="str"/>
      <c r="H677" s="2" t="str"/>
      <c r="I677" s="2" t="str"/>
      <c r="J677" s="2" t="str"/>
      <c r="N677" s="2">
        <f>IF(Append1!J676="","",Append1!J676)</f>
        <v/>
      </c>
    </row>
    <row r="678">
      <c r="B678" s="2">
        <f t="array" ref="B678:J678">IF(Append1!A677:I677="","",Append1!A677:I677)</f>
        <v/>
      </c>
      <c r="C678" s="3" t="str"/>
      <c r="D678" s="2" t="str"/>
      <c r="E678" s="2" t="str"/>
      <c r="F678" s="2" t="str"/>
      <c r="G678" s="2" t="str"/>
      <c r="H678" s="2" t="str"/>
      <c r="I678" s="2" t="str"/>
      <c r="J678" s="2" t="str"/>
      <c r="N678" s="2">
        <f>IF(Append1!J677="","",Append1!J677)</f>
        <v/>
      </c>
    </row>
    <row r="679">
      <c r="B679" s="2">
        <f t="array" ref="B679:J679">IF(Append1!A678:I678="","",Append1!A678:I678)</f>
        <v/>
      </c>
      <c r="C679" s="3" t="str"/>
      <c r="D679" s="2" t="str"/>
      <c r="E679" s="2" t="str"/>
      <c r="F679" s="2" t="str"/>
      <c r="G679" s="2" t="str"/>
      <c r="H679" s="2" t="str"/>
      <c r="I679" s="2" t="str"/>
      <c r="J679" s="2" t="str"/>
      <c r="N679" s="2">
        <f>IF(Append1!J678="","",Append1!J678)</f>
        <v/>
      </c>
    </row>
    <row r="680">
      <c r="B680" s="2">
        <f t="array" ref="B680:J680">IF(Append1!A679:I679="","",Append1!A679:I679)</f>
        <v/>
      </c>
      <c r="C680" s="3" t="str"/>
      <c r="D680" s="2" t="str"/>
      <c r="E680" s="2" t="str"/>
      <c r="F680" s="2" t="str"/>
      <c r="G680" s="2" t="str"/>
      <c r="H680" s="2" t="str"/>
      <c r="I680" s="2" t="str"/>
      <c r="J680" s="2" t="str"/>
      <c r="N680" s="2">
        <f>IF(Append1!J679="","",Append1!J679)</f>
        <v/>
      </c>
    </row>
    <row r="681">
      <c r="B681" s="2">
        <f t="array" ref="B681:J681">IF(Append1!A680:I680="","",Append1!A680:I680)</f>
        <v/>
      </c>
      <c r="C681" s="3" t="str"/>
      <c r="D681" s="2" t="str"/>
      <c r="E681" s="2" t="str"/>
      <c r="F681" s="2" t="str"/>
      <c r="G681" s="2" t="str"/>
      <c r="H681" s="2" t="str"/>
      <c r="I681" s="2" t="str"/>
      <c r="J681" s="2" t="str"/>
      <c r="N681" s="2">
        <f>IF(Append1!J680="","",Append1!J680)</f>
        <v/>
      </c>
    </row>
    <row r="682">
      <c r="B682" s="2">
        <f t="array" ref="B682:J682">IF(Append1!A681:I681="","",Append1!A681:I681)</f>
        <v/>
      </c>
      <c r="C682" s="3" t="str"/>
      <c r="D682" s="2" t="str"/>
      <c r="E682" s="2" t="str"/>
      <c r="F682" s="2" t="str"/>
      <c r="G682" s="2" t="str"/>
      <c r="H682" s="2" t="str"/>
      <c r="I682" s="2" t="str"/>
      <c r="J682" s="2" t="str"/>
      <c r="N682" s="2">
        <f>IF(Append1!J681="","",Append1!J681)</f>
        <v/>
      </c>
    </row>
    <row r="683">
      <c r="B683" s="2">
        <f t="array" ref="B683:J683">IF(Append1!A682:I682="","",Append1!A682:I682)</f>
        <v/>
      </c>
      <c r="C683" s="3" t="str"/>
      <c r="D683" s="2" t="str"/>
      <c r="E683" s="2" t="str"/>
      <c r="F683" s="2" t="str"/>
      <c r="G683" s="2" t="str"/>
      <c r="H683" s="2" t="str"/>
      <c r="I683" s="2" t="str"/>
      <c r="J683" s="2" t="str"/>
      <c r="N683" s="2">
        <f>IF(Append1!J682="","",Append1!J682)</f>
        <v/>
      </c>
    </row>
    <row r="684">
      <c r="B684" s="2">
        <f t="array" ref="B684:J684">IF(Append1!A683:I683="","",Append1!A683:I683)</f>
        <v/>
      </c>
      <c r="C684" s="3" t="str"/>
      <c r="D684" s="2" t="str"/>
      <c r="E684" s="2" t="str"/>
      <c r="F684" s="2" t="str"/>
      <c r="G684" s="2" t="str"/>
      <c r="H684" s="2" t="str"/>
      <c r="I684" s="2" t="str"/>
      <c r="J684" s="2" t="str"/>
      <c r="N684" s="2">
        <f>IF(Append1!J683="","",Append1!J683)</f>
        <v/>
      </c>
    </row>
    <row r="685">
      <c r="B685" s="2">
        <f t="array" ref="B685:J685">IF(Append1!A684:I684="","",Append1!A684:I684)</f>
        <v/>
      </c>
      <c r="C685" s="3" t="str"/>
      <c r="D685" s="2" t="str"/>
      <c r="E685" s="2" t="str"/>
      <c r="F685" s="2" t="str"/>
      <c r="G685" s="2" t="str"/>
      <c r="H685" s="2" t="str"/>
      <c r="I685" s="2" t="str"/>
      <c r="J685" s="2" t="str"/>
      <c r="N685" s="2">
        <f>IF(Append1!J684="","",Append1!J684)</f>
        <v/>
      </c>
    </row>
    <row r="686">
      <c r="B686" s="2">
        <f t="array" ref="B686:J686">IF(Append1!A685:I685="","",Append1!A685:I685)</f>
        <v/>
      </c>
      <c r="C686" s="3" t="str"/>
      <c r="D686" s="2" t="str"/>
      <c r="E686" s="2" t="str"/>
      <c r="F686" s="2" t="str"/>
      <c r="G686" s="2" t="str"/>
      <c r="H686" s="2" t="str"/>
      <c r="I686" s="2" t="str"/>
      <c r="J686" s="2" t="str"/>
      <c r="N686" s="2">
        <f>IF(Append1!J685="","",Append1!J685)</f>
        <v/>
      </c>
    </row>
    <row r="687">
      <c r="B687" s="2">
        <f t="array" ref="B687:J687">IF(Append1!A686:I686="","",Append1!A686:I686)</f>
        <v/>
      </c>
      <c r="C687" s="3" t="str"/>
      <c r="D687" s="2" t="str"/>
      <c r="E687" s="2" t="str"/>
      <c r="F687" s="2" t="str"/>
      <c r="G687" s="2" t="str"/>
      <c r="H687" s="2" t="str"/>
      <c r="I687" s="2" t="str"/>
      <c r="J687" s="2" t="str"/>
      <c r="N687" s="2">
        <f>IF(Append1!J686="","",Append1!J686)</f>
        <v/>
      </c>
    </row>
    <row r="688">
      <c r="B688" s="2">
        <f t="array" ref="B688:J688">IF(Append1!A687:I687="","",Append1!A687:I687)</f>
        <v/>
      </c>
      <c r="C688" s="3" t="str"/>
      <c r="D688" s="2" t="str"/>
      <c r="E688" s="2" t="str"/>
      <c r="F688" s="2" t="str"/>
      <c r="G688" s="2" t="str"/>
      <c r="H688" s="2" t="str"/>
      <c r="I688" s="2" t="str"/>
      <c r="J688" s="2" t="str"/>
      <c r="N688" s="2">
        <f>IF(Append1!J687="","",Append1!J687)</f>
        <v/>
      </c>
    </row>
    <row r="689">
      <c r="B689" s="2">
        <f t="array" ref="B689:J689">IF(Append1!A688:I688="","",Append1!A688:I688)</f>
        <v/>
      </c>
      <c r="C689" s="3" t="str"/>
      <c r="D689" s="2" t="str"/>
      <c r="E689" s="2" t="str"/>
      <c r="F689" s="2" t="str"/>
      <c r="G689" s="2" t="str"/>
      <c r="H689" s="2" t="str"/>
      <c r="I689" s="2" t="str"/>
      <c r="J689" s="2" t="str"/>
      <c r="N689" s="2">
        <f>IF(Append1!J688="","",Append1!J688)</f>
        <v/>
      </c>
    </row>
    <row r="690">
      <c r="B690" s="2">
        <f t="array" ref="B690:J690">IF(Append1!A689:I689="","",Append1!A689:I689)</f>
        <v/>
      </c>
      <c r="C690" s="3" t="str"/>
      <c r="D690" s="2" t="str"/>
      <c r="E690" s="2" t="str"/>
      <c r="F690" s="2" t="str"/>
      <c r="G690" s="2" t="str"/>
      <c r="H690" s="2" t="str"/>
      <c r="I690" s="2" t="str"/>
      <c r="J690" s="2" t="str"/>
      <c r="N690" s="2">
        <f>IF(Append1!J689="","",Append1!J689)</f>
        <v/>
      </c>
    </row>
    <row r="691">
      <c r="B691" s="2">
        <f t="array" ref="B691:J691">IF(Append1!A690:I690="","",Append1!A690:I690)</f>
        <v/>
      </c>
      <c r="C691" s="3" t="str"/>
      <c r="D691" s="2" t="str"/>
      <c r="E691" s="2" t="str"/>
      <c r="F691" s="2" t="str"/>
      <c r="G691" s="2" t="str"/>
      <c r="H691" s="2" t="str"/>
      <c r="I691" s="2" t="str"/>
      <c r="J691" s="2" t="str"/>
      <c r="N691" s="2">
        <f>IF(Append1!J690="","",Append1!J690)</f>
        <v/>
      </c>
    </row>
    <row r="692">
      <c r="B692" s="2">
        <f t="array" ref="B692:J692">IF(Append1!A691:I691="","",Append1!A691:I691)</f>
        <v/>
      </c>
      <c r="C692" s="3" t="str"/>
      <c r="D692" s="2" t="str"/>
      <c r="E692" s="2" t="str"/>
      <c r="F692" s="2" t="str"/>
      <c r="G692" s="2" t="str"/>
      <c r="H692" s="2" t="str"/>
      <c r="I692" s="2" t="str"/>
      <c r="J692" s="2" t="str"/>
      <c r="N692" s="2">
        <f>IF(Append1!J691="","",Append1!J691)</f>
        <v/>
      </c>
    </row>
    <row r="693">
      <c r="B693" s="2">
        <f t="array" ref="B693:J693">IF(Append1!A692:I692="","",Append1!A692:I692)</f>
        <v/>
      </c>
      <c r="C693" s="3" t="str"/>
      <c r="D693" s="2" t="str"/>
      <c r="E693" s="2" t="str"/>
      <c r="F693" s="2" t="str"/>
      <c r="G693" s="2" t="str"/>
      <c r="H693" s="2" t="str"/>
      <c r="I693" s="2" t="str"/>
      <c r="J693" s="2" t="str"/>
      <c r="N693" s="2">
        <f>IF(Append1!J692="","",Append1!J692)</f>
        <v/>
      </c>
    </row>
    <row r="694">
      <c r="B694" s="2">
        <f t="array" ref="B694:J694">IF(Append1!A693:I693="","",Append1!A693:I693)</f>
        <v/>
      </c>
      <c r="C694" s="3" t="str"/>
      <c r="D694" s="2" t="str"/>
      <c r="E694" s="2" t="str"/>
      <c r="F694" s="2" t="str"/>
      <c r="G694" s="2" t="str"/>
      <c r="H694" s="2" t="str"/>
      <c r="I694" s="2" t="str"/>
      <c r="J694" s="2" t="str"/>
      <c r="N694" s="2">
        <f>IF(Append1!J693="","",Append1!J693)</f>
        <v/>
      </c>
    </row>
    <row r="695">
      <c r="B695" s="2">
        <f t="array" ref="B695:J695">IF(Append1!A694:I694="","",Append1!A694:I694)</f>
        <v/>
      </c>
      <c r="C695" s="3" t="str"/>
      <c r="D695" s="2" t="str"/>
      <c r="E695" s="2" t="str"/>
      <c r="F695" s="2" t="str"/>
      <c r="G695" s="2" t="str"/>
      <c r="H695" s="2" t="str"/>
      <c r="I695" s="2" t="str"/>
      <c r="J695" s="2" t="str"/>
      <c r="N695" s="2">
        <f>IF(Append1!J694="","",Append1!J694)</f>
        <v/>
      </c>
    </row>
    <row r="696">
      <c r="B696" s="2">
        <f t="array" ref="B696:J696">IF(Append1!A695:I695="","",Append1!A695:I695)</f>
        <v/>
      </c>
      <c r="C696" s="3" t="str"/>
      <c r="D696" s="2" t="str"/>
      <c r="E696" s="2" t="str"/>
      <c r="F696" s="2" t="str"/>
      <c r="G696" s="2" t="str"/>
      <c r="H696" s="2" t="str"/>
      <c r="I696" s="2" t="str"/>
      <c r="J696" s="2" t="str"/>
      <c r="N696" s="2">
        <f>IF(Append1!J695="","",Append1!J695)</f>
        <v/>
      </c>
    </row>
    <row r="697">
      <c r="B697" s="2">
        <f t="array" ref="B697:J697">IF(Append1!A696:I696="","",Append1!A696:I696)</f>
        <v/>
      </c>
      <c r="C697" s="3" t="str"/>
      <c r="D697" s="2" t="str"/>
      <c r="E697" s="2" t="str"/>
      <c r="F697" s="2" t="str"/>
      <c r="G697" s="2" t="str"/>
      <c r="H697" s="2" t="str"/>
      <c r="I697" s="2" t="str"/>
      <c r="J697" s="2" t="str"/>
      <c r="N697" s="2">
        <f>IF(Append1!J696="","",Append1!J696)</f>
        <v/>
      </c>
    </row>
    <row r="698">
      <c r="B698" s="2">
        <f t="array" ref="B698:J698">IF(Append1!A697:I697="","",Append1!A697:I697)</f>
        <v/>
      </c>
      <c r="C698" s="3" t="str"/>
      <c r="D698" s="2" t="str"/>
      <c r="E698" s="2" t="str"/>
      <c r="F698" s="2" t="str"/>
      <c r="G698" s="2" t="str"/>
      <c r="H698" s="2" t="str"/>
      <c r="I698" s="2" t="str"/>
      <c r="J698" s="2" t="str"/>
      <c r="N698" s="2">
        <f>IF(Append1!J697="","",Append1!J697)</f>
        <v/>
      </c>
    </row>
    <row r="699">
      <c r="B699" s="2">
        <f t="array" ref="B699:J699">IF(Append1!A698:I698="","",Append1!A698:I698)</f>
        <v/>
      </c>
      <c r="C699" s="3" t="str"/>
      <c r="D699" s="2" t="str"/>
      <c r="E699" s="2" t="str"/>
      <c r="F699" s="2" t="str"/>
      <c r="G699" s="2" t="str"/>
      <c r="H699" s="2" t="str"/>
      <c r="I699" s="2" t="str"/>
      <c r="J699" s="2" t="str"/>
      <c r="N699" s="2">
        <f>IF(Append1!J698="","",Append1!J698)</f>
        <v/>
      </c>
    </row>
    <row r="700">
      <c r="B700" s="2">
        <f t="array" ref="B700:J700">IF(Append1!A699:I699="","",Append1!A699:I699)</f>
        <v/>
      </c>
      <c r="C700" s="3" t="str"/>
      <c r="D700" s="2" t="str"/>
      <c r="E700" s="2" t="str"/>
      <c r="F700" s="2" t="str"/>
      <c r="G700" s="2" t="str"/>
      <c r="H700" s="2" t="str"/>
      <c r="I700" s="2" t="str"/>
      <c r="J700" s="2" t="str"/>
      <c r="N700" s="2">
        <f>IF(Append1!J699="","",Append1!J699)</f>
        <v/>
      </c>
    </row>
    <row r="701">
      <c r="B701" s="2">
        <f t="array" ref="B701:J701">IF(Append1!A700:I700="","",Append1!A700:I700)</f>
        <v/>
      </c>
      <c r="C701" s="3" t="str"/>
      <c r="D701" s="2" t="str"/>
      <c r="E701" s="2" t="str"/>
      <c r="F701" s="2" t="str"/>
      <c r="G701" s="2" t="str"/>
      <c r="H701" s="2" t="str"/>
      <c r="I701" s="2" t="str"/>
      <c r="J701" s="2" t="str"/>
      <c r="N701" s="2">
        <f>IF(Append1!J700="","",Append1!J700)</f>
        <v/>
      </c>
    </row>
    <row r="702">
      <c r="B702" s="2">
        <f t="array" ref="B702:J702">IF(Append1!A701:I701="","",Append1!A701:I701)</f>
        <v/>
      </c>
      <c r="C702" s="3" t="str"/>
      <c r="D702" s="2" t="str"/>
      <c r="E702" s="2" t="str"/>
      <c r="F702" s="2" t="str"/>
      <c r="G702" s="2" t="str"/>
      <c r="H702" s="2" t="str"/>
      <c r="I702" s="2" t="str"/>
      <c r="J702" s="2" t="str"/>
      <c r="N702" s="2">
        <f>IF(Append1!J701="","",Append1!J701)</f>
        <v/>
      </c>
    </row>
    <row r="703">
      <c r="B703" s="2">
        <f t="array" ref="B703:J703">IF(Append1!A702:I702="","",Append1!A702:I702)</f>
        <v/>
      </c>
      <c r="C703" s="3" t="str"/>
      <c r="D703" s="2" t="str"/>
      <c r="E703" s="2" t="str"/>
      <c r="F703" s="2" t="str"/>
      <c r="G703" s="2" t="str"/>
      <c r="H703" s="2" t="str"/>
      <c r="I703" s="2" t="str"/>
      <c r="J703" s="2" t="str"/>
      <c r="N703" s="2">
        <f>IF(Append1!J702="","",Append1!J702)</f>
        <v/>
      </c>
    </row>
    <row r="704">
      <c r="B704" s="2">
        <f t="array" ref="B704:J704">IF(Append1!A703:I703="","",Append1!A703:I703)</f>
        <v/>
      </c>
      <c r="C704" s="3" t="str"/>
      <c r="D704" s="2" t="str"/>
      <c r="E704" s="2" t="str"/>
      <c r="F704" s="2" t="str"/>
      <c r="G704" s="2" t="str"/>
      <c r="H704" s="2" t="str"/>
      <c r="I704" s="2" t="str"/>
      <c r="J704" s="2" t="str"/>
      <c r="N704" s="2">
        <f>IF(Append1!J703="","",Append1!J703)</f>
        <v/>
      </c>
    </row>
    <row r="705">
      <c r="B705" s="2">
        <f t="array" ref="B705:J705">IF(Append1!A704:I704="","",Append1!A704:I704)</f>
        <v/>
      </c>
      <c r="C705" s="3" t="str"/>
      <c r="D705" s="2" t="str"/>
      <c r="E705" s="2" t="str"/>
      <c r="F705" s="2" t="str"/>
      <c r="G705" s="2" t="str"/>
      <c r="H705" s="2" t="str"/>
      <c r="I705" s="2" t="str"/>
      <c r="J705" s="2" t="str"/>
      <c r="N705" s="2">
        <f>IF(Append1!J704="","",Append1!J704)</f>
        <v/>
      </c>
    </row>
    <row r="706">
      <c r="B706" s="2">
        <f t="array" ref="B706:J706">IF(Append1!A705:I705="","",Append1!A705:I705)</f>
        <v/>
      </c>
      <c r="C706" s="3" t="str"/>
      <c r="D706" s="2" t="str"/>
      <c r="E706" s="2" t="str"/>
      <c r="F706" s="2" t="str"/>
      <c r="G706" s="2" t="str"/>
      <c r="H706" s="2" t="str"/>
      <c r="I706" s="2" t="str"/>
      <c r="J706" s="2" t="str"/>
      <c r="N706" s="2">
        <f>IF(Append1!J705="","",Append1!J705)</f>
        <v/>
      </c>
    </row>
    <row r="707">
      <c r="B707" s="2">
        <f t="array" ref="B707:J707">IF(Append1!A706:I706="","",Append1!A706:I706)</f>
        <v/>
      </c>
      <c r="C707" s="3" t="str"/>
      <c r="D707" s="2" t="str"/>
      <c r="E707" s="2" t="str"/>
      <c r="F707" s="2" t="str"/>
      <c r="G707" s="2" t="str"/>
      <c r="H707" s="2" t="str"/>
      <c r="I707" s="2" t="str"/>
      <c r="J707" s="2" t="str"/>
      <c r="N707" s="2">
        <f>IF(Append1!J706="","",Append1!J706)</f>
        <v/>
      </c>
    </row>
    <row r="708">
      <c r="B708" s="2">
        <f t="array" ref="B708:J708">IF(Append1!A707:I707="","",Append1!A707:I707)</f>
        <v/>
      </c>
      <c r="C708" s="3" t="str"/>
      <c r="D708" s="2" t="str"/>
      <c r="E708" s="2" t="str"/>
      <c r="F708" s="2" t="str"/>
      <c r="G708" s="2" t="str"/>
      <c r="H708" s="2" t="str"/>
      <c r="I708" s="2" t="str"/>
      <c r="J708" s="2" t="str"/>
      <c r="N708" s="2">
        <f>IF(Append1!J707="","",Append1!J707)</f>
        <v/>
      </c>
    </row>
    <row r="709">
      <c r="B709" s="2">
        <f t="array" ref="B709:J709">IF(Append1!A708:I708="","",Append1!A708:I708)</f>
        <v/>
      </c>
      <c r="C709" s="3" t="str"/>
      <c r="D709" s="2" t="str"/>
      <c r="E709" s="2" t="str"/>
      <c r="F709" s="2" t="str"/>
      <c r="G709" s="2" t="str"/>
      <c r="H709" s="2" t="str"/>
      <c r="I709" s="2" t="str"/>
      <c r="J709" s="2" t="str"/>
      <c r="N709" s="2">
        <f>IF(Append1!J708="","",Append1!J708)</f>
        <v/>
      </c>
    </row>
    <row r="710">
      <c r="B710" s="2">
        <f t="array" ref="B710:J710">IF(Append1!A709:I709="","",Append1!A709:I709)</f>
        <v/>
      </c>
      <c r="C710" s="3" t="str"/>
      <c r="D710" s="2" t="str"/>
      <c r="E710" s="2" t="str"/>
      <c r="F710" s="2" t="str"/>
      <c r="G710" s="2" t="str"/>
      <c r="H710" s="2" t="str"/>
      <c r="I710" s="2" t="str"/>
      <c r="J710" s="2" t="str"/>
      <c r="N710" s="2">
        <f>IF(Append1!J709="","",Append1!J709)</f>
        <v/>
      </c>
    </row>
    <row r="711">
      <c r="B711" s="2">
        <f t="array" ref="B711:J711">IF(Append1!A710:I710="","",Append1!A710:I710)</f>
        <v/>
      </c>
      <c r="C711" s="3" t="str"/>
      <c r="D711" s="2" t="str"/>
      <c r="E711" s="2" t="str"/>
      <c r="F711" s="2" t="str"/>
      <c r="G711" s="2" t="str"/>
      <c r="H711" s="2" t="str"/>
      <c r="I711" s="2" t="str"/>
      <c r="J711" s="2" t="str"/>
      <c r="N711" s="2">
        <f>IF(Append1!J710="","",Append1!J710)</f>
        <v/>
      </c>
    </row>
    <row r="712">
      <c r="B712" s="2">
        <f t="array" ref="B712:J712">IF(Append1!A711:I711="","",Append1!A711:I711)</f>
        <v/>
      </c>
      <c r="C712" s="3" t="str"/>
      <c r="D712" s="2" t="str"/>
      <c r="E712" s="2" t="str"/>
      <c r="F712" s="2" t="str"/>
      <c r="G712" s="2" t="str"/>
      <c r="H712" s="2" t="str"/>
      <c r="I712" s="2" t="str"/>
      <c r="J712" s="2" t="str"/>
      <c r="N712" s="2">
        <f>IF(Append1!J711="","",Append1!J711)</f>
        <v/>
      </c>
    </row>
    <row r="713">
      <c r="B713" s="2">
        <f t="array" ref="B713:J713">IF(Append1!A712:I712="","",Append1!A712:I712)</f>
        <v/>
      </c>
      <c r="C713" s="3" t="str"/>
      <c r="D713" s="2" t="str"/>
      <c r="E713" s="2" t="str"/>
      <c r="F713" s="2" t="str"/>
      <c r="G713" s="2" t="str"/>
      <c r="H713" s="2" t="str"/>
      <c r="I713" s="2" t="str"/>
      <c r="J713" s="2" t="str"/>
      <c r="N713" s="2">
        <f>IF(Append1!J712="","",Append1!J712)</f>
        <v/>
      </c>
    </row>
    <row r="714">
      <c r="B714" s="2">
        <f t="array" ref="B714:J714">IF(Append1!A713:I713="","",Append1!A713:I713)</f>
        <v/>
      </c>
      <c r="C714" s="3" t="str"/>
      <c r="D714" s="2" t="str"/>
      <c r="E714" s="2" t="str"/>
      <c r="F714" s="2" t="str"/>
      <c r="G714" s="2" t="str"/>
      <c r="H714" s="2" t="str"/>
      <c r="I714" s="2" t="str"/>
      <c r="J714" s="2" t="str"/>
      <c r="N714" s="2">
        <f>IF(Append1!J713="","",Append1!J713)</f>
        <v/>
      </c>
    </row>
    <row r="715">
      <c r="B715" s="2">
        <f t="array" ref="B715:J715">IF(Append1!A714:I714="","",Append1!A714:I714)</f>
        <v/>
      </c>
      <c r="C715" s="3" t="str"/>
      <c r="D715" s="2" t="str"/>
      <c r="E715" s="2" t="str"/>
      <c r="F715" s="2" t="str"/>
      <c r="G715" s="2" t="str"/>
      <c r="H715" s="2" t="str"/>
      <c r="I715" s="2" t="str"/>
      <c r="J715" s="2" t="str"/>
      <c r="N715" s="2">
        <f>IF(Append1!J714="","",Append1!J714)</f>
        <v/>
      </c>
    </row>
    <row r="716">
      <c r="B716" s="2">
        <f t="array" ref="B716:J716">IF(Append1!A715:I715="","",Append1!A715:I715)</f>
        <v/>
      </c>
      <c r="C716" s="3" t="str"/>
      <c r="D716" s="2" t="str"/>
      <c r="E716" s="2" t="str"/>
      <c r="F716" s="2" t="str"/>
      <c r="G716" s="2" t="str"/>
      <c r="H716" s="2" t="str"/>
      <c r="I716" s="2" t="str"/>
      <c r="J716" s="2" t="str"/>
      <c r="N716" s="2">
        <f>IF(Append1!J715="","",Append1!J715)</f>
        <v/>
      </c>
    </row>
    <row r="717">
      <c r="B717" s="2">
        <f t="array" ref="B717:J717">IF(Append1!A716:I716="","",Append1!A716:I716)</f>
        <v/>
      </c>
      <c r="C717" s="3" t="str"/>
      <c r="D717" s="2" t="str"/>
      <c r="E717" s="2" t="str"/>
      <c r="F717" s="2" t="str"/>
      <c r="G717" s="2" t="str"/>
      <c r="H717" s="2" t="str"/>
      <c r="I717" s="2" t="str"/>
      <c r="J717" s="2" t="str"/>
      <c r="N717" s="2">
        <f>IF(Append1!J716="","",Append1!J716)</f>
        <v/>
      </c>
    </row>
    <row r="718">
      <c r="B718" s="2">
        <f t="array" ref="B718:J718">IF(Append1!A717:I717="","",Append1!A717:I717)</f>
        <v/>
      </c>
      <c r="C718" s="3" t="str"/>
      <c r="D718" s="2" t="str"/>
      <c r="E718" s="2" t="str"/>
      <c r="F718" s="2" t="str"/>
      <c r="G718" s="2" t="str"/>
      <c r="H718" s="2" t="str"/>
      <c r="I718" s="2" t="str"/>
      <c r="J718" s="2" t="str"/>
      <c r="N718" s="2">
        <f>IF(Append1!J717="","",Append1!J717)</f>
        <v/>
      </c>
    </row>
    <row r="719">
      <c r="B719" s="2">
        <f t="array" ref="B719:J719">IF(Append1!A718:I718="","",Append1!A718:I718)</f>
        <v/>
      </c>
      <c r="C719" s="3" t="str"/>
      <c r="D719" s="2" t="str"/>
      <c r="E719" s="2" t="str"/>
      <c r="F719" s="2" t="str"/>
      <c r="G719" s="2" t="str"/>
      <c r="H719" s="2" t="str"/>
      <c r="I719" s="2" t="str"/>
      <c r="J719" s="2" t="str"/>
      <c r="N719" s="2">
        <f>IF(Append1!J718="","",Append1!J718)</f>
        <v/>
      </c>
    </row>
    <row r="720">
      <c r="B720" s="2">
        <f t="array" ref="B720:J720">IF(Append1!A719:I719="","",Append1!A719:I719)</f>
        <v/>
      </c>
      <c r="C720" s="3" t="str"/>
      <c r="D720" s="2" t="str"/>
      <c r="E720" s="2" t="str"/>
      <c r="F720" s="2" t="str"/>
      <c r="G720" s="2" t="str"/>
      <c r="H720" s="2" t="str"/>
      <c r="I720" s="2" t="str"/>
      <c r="J720" s="2" t="str"/>
      <c r="N720" s="2">
        <f>IF(Append1!J719="","",Append1!J719)</f>
        <v/>
      </c>
    </row>
    <row r="721">
      <c r="B721" s="2">
        <f t="array" ref="B721:J721">IF(Append1!A720:I720="","",Append1!A720:I720)</f>
        <v/>
      </c>
      <c r="C721" s="3" t="str"/>
      <c r="D721" s="2" t="str"/>
      <c r="E721" s="2" t="str"/>
      <c r="F721" s="2" t="str"/>
      <c r="G721" s="2" t="str"/>
      <c r="H721" s="2" t="str"/>
      <c r="I721" s="2" t="str"/>
      <c r="J721" s="2" t="str"/>
      <c r="N721" s="2">
        <f>IF(Append1!J720="","",Append1!J720)</f>
        <v/>
      </c>
    </row>
    <row r="722">
      <c r="B722" s="2">
        <f t="array" ref="B722:J722">IF(Append1!A721:I721="","",Append1!A721:I721)</f>
        <v/>
      </c>
      <c r="C722" s="3" t="str"/>
      <c r="D722" s="2" t="str"/>
      <c r="E722" s="2" t="str"/>
      <c r="F722" s="2" t="str"/>
      <c r="G722" s="2" t="str"/>
      <c r="H722" s="2" t="str"/>
      <c r="I722" s="2" t="str"/>
      <c r="J722" s="2" t="str"/>
      <c r="N722" s="2">
        <f>IF(Append1!J721="","",Append1!J721)</f>
        <v/>
      </c>
    </row>
    <row r="723">
      <c r="B723" s="2">
        <f t="array" ref="B723:J723">IF(Append1!A722:I722="","",Append1!A722:I722)</f>
        <v/>
      </c>
      <c r="C723" s="3" t="str"/>
      <c r="D723" s="2" t="str"/>
      <c r="E723" s="2" t="str"/>
      <c r="F723" s="2" t="str"/>
      <c r="G723" s="2" t="str"/>
      <c r="H723" s="2" t="str"/>
      <c r="I723" s="2" t="str"/>
      <c r="J723" s="2" t="str"/>
      <c r="N723" s="2">
        <f>IF(Append1!J722="","",Append1!J722)</f>
        <v/>
      </c>
    </row>
    <row r="724">
      <c r="B724" s="2">
        <f t="array" ref="B724:J724">IF(Append1!A723:I723="","",Append1!A723:I723)</f>
        <v/>
      </c>
      <c r="C724" s="3" t="str"/>
      <c r="D724" s="2" t="str"/>
      <c r="E724" s="2" t="str"/>
      <c r="F724" s="2" t="str"/>
      <c r="G724" s="2" t="str"/>
      <c r="H724" s="2" t="str"/>
      <c r="I724" s="2" t="str"/>
      <c r="J724" s="2" t="str"/>
      <c r="N724" s="2">
        <f>IF(Append1!J723="","",Append1!J723)</f>
        <v/>
      </c>
    </row>
    <row r="725">
      <c r="B725" s="2">
        <f t="array" ref="B725:J725">IF(Append1!A724:I724="","",Append1!A724:I724)</f>
        <v/>
      </c>
      <c r="C725" s="3" t="str"/>
      <c r="D725" s="2" t="str"/>
      <c r="E725" s="2" t="str"/>
      <c r="F725" s="2" t="str"/>
      <c r="G725" s="2" t="str"/>
      <c r="H725" s="2" t="str"/>
      <c r="I725" s="2" t="str"/>
      <c r="J725" s="2" t="str"/>
      <c r="N725" s="2">
        <f>IF(Append1!J724="","",Append1!J724)</f>
        <v/>
      </c>
    </row>
    <row r="726">
      <c r="B726" s="2">
        <f t="array" ref="B726:J726">IF(Append1!A725:I725="","",Append1!A725:I725)</f>
        <v/>
      </c>
      <c r="C726" s="3" t="str"/>
      <c r="D726" s="2" t="str"/>
      <c r="E726" s="2" t="str"/>
      <c r="F726" s="2" t="str"/>
      <c r="G726" s="2" t="str"/>
      <c r="H726" s="2" t="str"/>
      <c r="I726" s="2" t="str"/>
      <c r="J726" s="2" t="str"/>
      <c r="N726" s="2">
        <f>IF(Append1!J725="","",Append1!J725)</f>
        <v/>
      </c>
    </row>
    <row r="727">
      <c r="B727" s="2">
        <f t="array" ref="B727:J727">IF(Append1!A726:I726="","",Append1!A726:I726)</f>
        <v/>
      </c>
      <c r="C727" s="3" t="str"/>
      <c r="D727" s="2" t="str"/>
      <c r="E727" s="2" t="str"/>
      <c r="F727" s="2" t="str"/>
      <c r="G727" s="2" t="str"/>
      <c r="H727" s="2" t="str"/>
      <c r="I727" s="2" t="str"/>
      <c r="J727" s="2" t="str"/>
      <c r="N727" s="2">
        <f>IF(Append1!J726="","",Append1!J726)</f>
        <v/>
      </c>
    </row>
    <row r="728">
      <c r="B728" s="2">
        <f t="array" ref="B728:J728">IF(Append1!A727:I727="","",Append1!A727:I727)</f>
        <v/>
      </c>
      <c r="C728" s="3" t="str"/>
      <c r="D728" s="2" t="str"/>
      <c r="E728" s="2" t="str"/>
      <c r="F728" s="2" t="str"/>
      <c r="G728" s="2" t="str"/>
      <c r="H728" s="2" t="str"/>
      <c r="I728" s="2" t="str"/>
      <c r="J728" s="2" t="str"/>
      <c r="N728" s="2">
        <f>IF(Append1!J727="","",Append1!J727)</f>
        <v/>
      </c>
    </row>
    <row r="729">
      <c r="B729" s="2">
        <f t="array" ref="B729:J729">IF(Append1!A728:I728="","",Append1!A728:I728)</f>
        <v/>
      </c>
      <c r="C729" s="3" t="str"/>
      <c r="D729" s="2" t="str"/>
      <c r="E729" s="2" t="str"/>
      <c r="F729" s="2" t="str"/>
      <c r="G729" s="2" t="str"/>
      <c r="H729" s="2" t="str"/>
      <c r="I729" s="2" t="str"/>
      <c r="J729" s="2" t="str"/>
      <c r="N729" s="2">
        <f>IF(Append1!J728="","",Append1!J728)</f>
        <v/>
      </c>
    </row>
    <row r="730">
      <c r="B730" s="2">
        <f t="array" ref="B730:J730">IF(Append1!A729:I729="","",Append1!A729:I729)</f>
        <v/>
      </c>
      <c r="C730" s="3" t="str"/>
      <c r="D730" s="2" t="str"/>
      <c r="E730" s="2" t="str"/>
      <c r="F730" s="2" t="str"/>
      <c r="G730" s="2" t="str"/>
      <c r="H730" s="2" t="str"/>
      <c r="I730" s="2" t="str"/>
      <c r="J730" s="2" t="str"/>
      <c r="N730" s="2">
        <f>IF(Append1!J729="","",Append1!J729)</f>
        <v/>
      </c>
    </row>
    <row r="731">
      <c r="B731" s="2">
        <f t="array" ref="B731:J731">IF(Append1!A730:I730="","",Append1!A730:I730)</f>
        <v/>
      </c>
      <c r="C731" s="3" t="str"/>
      <c r="D731" s="2" t="str"/>
      <c r="E731" s="2" t="str"/>
      <c r="F731" s="2" t="str"/>
      <c r="G731" s="2" t="str"/>
      <c r="H731" s="2" t="str"/>
      <c r="I731" s="2" t="str"/>
      <c r="J731" s="2" t="str"/>
      <c r="N731" s="2">
        <f>IF(Append1!J730="","",Append1!J730)</f>
        <v/>
      </c>
    </row>
    <row r="732">
      <c r="B732" s="2">
        <f t="array" ref="B732:J732">IF(Append1!A731:I731="","",Append1!A731:I731)</f>
        <v/>
      </c>
      <c r="C732" s="3" t="str"/>
      <c r="D732" s="2" t="str"/>
      <c r="E732" s="2" t="str"/>
      <c r="F732" s="2" t="str"/>
      <c r="G732" s="2" t="str"/>
      <c r="H732" s="2" t="str"/>
      <c r="I732" s="2" t="str"/>
      <c r="J732" s="2" t="str"/>
      <c r="N732" s="2">
        <f>IF(Append1!J731="","",Append1!J731)</f>
        <v/>
      </c>
    </row>
    <row r="733">
      <c r="B733" s="2">
        <f t="array" ref="B733:J733">IF(Append1!A732:I732="","",Append1!A732:I732)</f>
        <v/>
      </c>
      <c r="C733" s="3" t="str"/>
      <c r="D733" s="2" t="str"/>
      <c r="E733" s="2" t="str"/>
      <c r="F733" s="2" t="str"/>
      <c r="G733" s="2" t="str"/>
      <c r="H733" s="2" t="str"/>
      <c r="I733" s="2" t="str"/>
      <c r="J733" s="2" t="str"/>
      <c r="N733" s="2">
        <f>IF(Append1!J732="","",Append1!J732)</f>
        <v/>
      </c>
    </row>
    <row r="734">
      <c r="B734" s="2">
        <f t="array" ref="B734:J734">IF(Append1!A733:I733="","",Append1!A733:I733)</f>
        <v/>
      </c>
      <c r="C734" s="3" t="str"/>
      <c r="D734" s="2" t="str"/>
      <c r="E734" s="2" t="str"/>
      <c r="F734" s="2" t="str"/>
      <c r="G734" s="2" t="str"/>
      <c r="H734" s="2" t="str"/>
      <c r="I734" s="2" t="str"/>
      <c r="J734" s="2" t="str"/>
      <c r="N734" s="2">
        <f>IF(Append1!J733="","",Append1!J733)</f>
        <v/>
      </c>
    </row>
    <row r="735">
      <c r="B735" s="2">
        <f t="array" ref="B735:J735">IF(Append1!A734:I734="","",Append1!A734:I734)</f>
        <v/>
      </c>
      <c r="C735" s="3" t="str"/>
      <c r="D735" s="2" t="str"/>
      <c r="E735" s="2" t="str"/>
      <c r="F735" s="2" t="str"/>
      <c r="G735" s="2" t="str"/>
      <c r="H735" s="2" t="str"/>
      <c r="I735" s="2" t="str"/>
      <c r="J735" s="2" t="str"/>
      <c r="N735" s="2">
        <f>IF(Append1!J734="","",Append1!J734)</f>
        <v/>
      </c>
    </row>
    <row r="736">
      <c r="B736" s="2">
        <f t="array" ref="B736:J736">IF(Append1!A735:I735="","",Append1!A735:I735)</f>
        <v/>
      </c>
      <c r="C736" s="3" t="str"/>
      <c r="D736" s="2" t="str"/>
      <c r="E736" s="2" t="str"/>
      <c r="F736" s="2" t="str"/>
      <c r="G736" s="2" t="str"/>
      <c r="H736" s="2" t="str"/>
      <c r="I736" s="2" t="str"/>
      <c r="J736" s="2" t="str"/>
      <c r="N736" s="2">
        <f>IF(Append1!J735="","",Append1!J735)</f>
        <v/>
      </c>
    </row>
    <row r="737">
      <c r="B737" s="2">
        <f t="array" ref="B737:J737">IF(Append1!A736:I736="","",Append1!A736:I736)</f>
        <v/>
      </c>
      <c r="C737" s="3" t="str"/>
      <c r="D737" s="2" t="str"/>
      <c r="E737" s="2" t="str"/>
      <c r="F737" s="2" t="str"/>
      <c r="G737" s="2" t="str"/>
      <c r="H737" s="2" t="str"/>
      <c r="I737" s="2" t="str"/>
      <c r="J737" s="2" t="str"/>
      <c r="N737" s="2">
        <f>IF(Append1!J736="","",Append1!J736)</f>
        <v/>
      </c>
    </row>
    <row r="738">
      <c r="B738" s="2">
        <f t="array" ref="B738:J738">IF(Append1!A737:I737="","",Append1!A737:I737)</f>
        <v/>
      </c>
      <c r="C738" s="3" t="str"/>
      <c r="D738" s="2" t="str"/>
      <c r="E738" s="2" t="str"/>
      <c r="F738" s="2" t="str"/>
      <c r="G738" s="2" t="str"/>
      <c r="H738" s="2" t="str"/>
      <c r="I738" s="2" t="str"/>
      <c r="J738" s="2" t="str"/>
      <c r="N738" s="2">
        <f>IF(Append1!J737="","",Append1!J737)</f>
        <v/>
      </c>
    </row>
    <row r="739">
      <c r="B739" s="2">
        <f t="array" ref="B739:J739">IF(Append1!A738:I738="","",Append1!A738:I738)</f>
        <v/>
      </c>
      <c r="C739" s="3" t="str"/>
      <c r="D739" s="2" t="str"/>
      <c r="E739" s="2" t="str"/>
      <c r="F739" s="2" t="str"/>
      <c r="G739" s="2" t="str"/>
      <c r="H739" s="2" t="str"/>
      <c r="I739" s="2" t="str"/>
      <c r="J739" s="2" t="str"/>
      <c r="N739" s="2">
        <f>IF(Append1!J738="","",Append1!J738)</f>
        <v/>
      </c>
    </row>
    <row r="740">
      <c r="B740" s="2">
        <f t="array" ref="B740:J740">IF(Append1!A739:I739="","",Append1!A739:I739)</f>
        <v/>
      </c>
      <c r="C740" s="3" t="str"/>
      <c r="D740" s="2" t="str"/>
      <c r="E740" s="2" t="str"/>
      <c r="F740" s="2" t="str"/>
      <c r="G740" s="2" t="str"/>
      <c r="H740" s="2" t="str"/>
      <c r="I740" s="2" t="str"/>
      <c r="J740" s="2" t="str"/>
      <c r="N740" s="2">
        <f>IF(Append1!J739="","",Append1!J739)</f>
        <v/>
      </c>
    </row>
    <row r="741">
      <c r="B741" s="2">
        <f t="array" ref="B741:J741">IF(Append1!A740:I740="","",Append1!A740:I740)</f>
        <v/>
      </c>
      <c r="C741" s="3" t="str"/>
      <c r="D741" s="2" t="str"/>
      <c r="E741" s="2" t="str"/>
      <c r="F741" s="2" t="str"/>
      <c r="G741" s="2" t="str"/>
      <c r="H741" s="2" t="str"/>
      <c r="I741" s="2" t="str"/>
      <c r="J741" s="2" t="str"/>
      <c r="N741" s="2">
        <f>IF(Append1!J740="","",Append1!J740)</f>
        <v/>
      </c>
    </row>
    <row r="742">
      <c r="B742" s="2">
        <f t="array" ref="B742:J742">IF(Append1!A741:I741="","",Append1!A741:I741)</f>
        <v/>
      </c>
      <c r="C742" s="3" t="str"/>
      <c r="D742" s="2" t="str"/>
      <c r="E742" s="2" t="str"/>
      <c r="F742" s="2" t="str"/>
      <c r="G742" s="2" t="str"/>
      <c r="H742" s="2" t="str"/>
      <c r="I742" s="2" t="str"/>
      <c r="J742" s="2" t="str"/>
      <c r="N742" s="2">
        <f>IF(Append1!J741="","",Append1!J741)</f>
        <v/>
      </c>
    </row>
    <row r="743">
      <c r="B743" s="2">
        <f t="array" ref="B743:J743">IF(Append1!A742:I742="","",Append1!A742:I742)</f>
        <v/>
      </c>
      <c r="C743" s="3" t="str"/>
      <c r="D743" s="2" t="str"/>
      <c r="E743" s="2" t="str"/>
      <c r="F743" s="2" t="str"/>
      <c r="G743" s="2" t="str"/>
      <c r="H743" s="2" t="str"/>
      <c r="I743" s="2" t="str"/>
      <c r="J743" s="2" t="str"/>
      <c r="N743" s="2">
        <f>IF(Append1!J742="","",Append1!J742)</f>
        <v/>
      </c>
    </row>
    <row r="744">
      <c r="B744" s="2">
        <f t="array" ref="B744:J744">IF(Append1!A743:I743="","",Append1!A743:I743)</f>
        <v/>
      </c>
      <c r="C744" s="3" t="str"/>
      <c r="D744" s="2" t="str"/>
      <c r="E744" s="2" t="str"/>
      <c r="F744" s="2" t="str"/>
      <c r="G744" s="2" t="str"/>
      <c r="H744" s="2" t="str"/>
      <c r="I744" s="2" t="str"/>
      <c r="J744" s="2" t="str"/>
      <c r="N744" s="2">
        <f>IF(Append1!J743="","",Append1!J743)</f>
        <v/>
      </c>
    </row>
    <row r="745">
      <c r="B745" s="2">
        <f t="array" ref="B745:J745">IF(Append1!A744:I744="","",Append1!A744:I744)</f>
        <v/>
      </c>
      <c r="C745" s="3" t="str"/>
      <c r="D745" s="2" t="str"/>
      <c r="E745" s="2" t="str"/>
      <c r="F745" s="2" t="str"/>
      <c r="G745" s="2" t="str"/>
      <c r="H745" s="2" t="str"/>
      <c r="I745" s="2" t="str"/>
      <c r="J745" s="2" t="str"/>
      <c r="N745" s="2">
        <f>IF(Append1!J744="","",Append1!J744)</f>
        <v/>
      </c>
    </row>
    <row r="746">
      <c r="B746" s="2">
        <f t="array" ref="B746:J746">IF(Append1!A745:I745="","",Append1!A745:I745)</f>
        <v/>
      </c>
      <c r="C746" s="3" t="str"/>
      <c r="D746" s="2" t="str"/>
      <c r="E746" s="2" t="str"/>
      <c r="F746" s="2" t="str"/>
      <c r="G746" s="2" t="str"/>
      <c r="H746" s="2" t="str"/>
      <c r="I746" s="2" t="str"/>
      <c r="J746" s="2" t="str"/>
      <c r="N746" s="2">
        <f>IF(Append1!J745="","",Append1!J745)</f>
        <v/>
      </c>
    </row>
    <row r="747">
      <c r="B747" s="2">
        <f t="array" ref="B747:J747">IF(Append1!A746:I746="","",Append1!A746:I746)</f>
        <v/>
      </c>
      <c r="C747" s="3" t="str"/>
      <c r="D747" s="2" t="str"/>
      <c r="E747" s="2" t="str"/>
      <c r="F747" s="2" t="str"/>
      <c r="G747" s="2" t="str"/>
      <c r="H747" s="2" t="str"/>
      <c r="I747" s="2" t="str"/>
      <c r="J747" s="2" t="str"/>
      <c r="N747" s="2">
        <f>IF(Append1!J746="","",Append1!J746)</f>
        <v/>
      </c>
    </row>
    <row r="748">
      <c r="B748" s="2">
        <f t="array" ref="B748:J748">IF(Append1!A747:I747="","",Append1!A747:I747)</f>
        <v/>
      </c>
      <c r="C748" s="3" t="str"/>
      <c r="D748" s="2" t="str"/>
      <c r="E748" s="2" t="str"/>
      <c r="F748" s="2" t="str"/>
      <c r="G748" s="2" t="str"/>
      <c r="H748" s="2" t="str"/>
      <c r="I748" s="2" t="str"/>
      <c r="J748" s="2" t="str"/>
      <c r="N748" s="2">
        <f>IF(Append1!J747="","",Append1!J747)</f>
        <v/>
      </c>
    </row>
    <row r="749">
      <c r="B749" s="2">
        <f t="array" ref="B749:J749">IF(Append1!A748:I748="","",Append1!A748:I748)</f>
        <v/>
      </c>
      <c r="C749" s="3" t="str"/>
      <c r="D749" s="2" t="str"/>
      <c r="E749" s="2" t="str"/>
      <c r="F749" s="2" t="str"/>
      <c r="G749" s="2" t="str"/>
      <c r="H749" s="2" t="str"/>
      <c r="I749" s="2" t="str"/>
      <c r="J749" s="2" t="str"/>
      <c r="N749" s="2">
        <f>IF(Append1!J748="","",Append1!J748)</f>
        <v/>
      </c>
    </row>
    <row r="750">
      <c r="B750" s="2">
        <f t="array" ref="B750:J750">IF(Append1!A749:I749="","",Append1!A749:I749)</f>
        <v/>
      </c>
      <c r="C750" s="3" t="str"/>
      <c r="D750" s="2" t="str"/>
      <c r="E750" s="2" t="str"/>
      <c r="F750" s="2" t="str"/>
      <c r="G750" s="2" t="str"/>
      <c r="H750" s="2" t="str"/>
      <c r="I750" s="2" t="str"/>
      <c r="J750" s="2" t="str"/>
      <c r="N750" s="2">
        <f>IF(Append1!J749="","",Append1!J749)</f>
        <v/>
      </c>
    </row>
    <row r="751">
      <c r="B751" s="2">
        <f t="array" ref="B751:J751">IF(Append1!A750:I750="","",Append1!A750:I750)</f>
        <v/>
      </c>
      <c r="C751" s="3" t="str"/>
      <c r="D751" s="2" t="str"/>
      <c r="E751" s="2" t="str"/>
      <c r="F751" s="2" t="str"/>
      <c r="G751" s="2" t="str"/>
      <c r="H751" s="2" t="str"/>
      <c r="I751" s="2" t="str"/>
      <c r="J751" s="2" t="str"/>
      <c r="N751" s="2">
        <f>IF(Append1!J750="","",Append1!J750)</f>
        <v/>
      </c>
    </row>
    <row r="752">
      <c r="B752" s="2">
        <f t="array" ref="B752:J752">IF(Append1!A751:I751="","",Append1!A751:I751)</f>
        <v/>
      </c>
      <c r="C752" s="3" t="str"/>
      <c r="D752" s="2" t="str"/>
      <c r="E752" s="2" t="str"/>
      <c r="F752" s="2" t="str"/>
      <c r="G752" s="2" t="str"/>
      <c r="H752" s="2" t="str"/>
      <c r="I752" s="2" t="str"/>
      <c r="J752" s="2" t="str"/>
      <c r="N752" s="2">
        <f>IF(Append1!J751="","",Append1!J751)</f>
        <v/>
      </c>
    </row>
    <row r="753">
      <c r="B753" s="2">
        <f t="array" ref="B753:J753">IF(Append1!A752:I752="","",Append1!A752:I752)</f>
        <v/>
      </c>
      <c r="C753" s="3" t="str"/>
      <c r="D753" s="2" t="str"/>
      <c r="E753" s="2" t="str"/>
      <c r="F753" s="2" t="str"/>
      <c r="G753" s="2" t="str"/>
      <c r="H753" s="2" t="str"/>
      <c r="I753" s="2" t="str"/>
      <c r="J753" s="2" t="str"/>
      <c r="N753" s="2">
        <f>IF(Append1!J752="","",Append1!J752)</f>
        <v/>
      </c>
    </row>
    <row r="754">
      <c r="B754" s="2">
        <f t="array" ref="B754:J754">IF(Append1!A753:I753="","",Append1!A753:I753)</f>
        <v/>
      </c>
      <c r="C754" s="3" t="str"/>
      <c r="D754" s="2" t="str"/>
      <c r="E754" s="2" t="str"/>
      <c r="F754" s="2" t="str"/>
      <c r="G754" s="2" t="str"/>
      <c r="H754" s="2" t="str"/>
      <c r="I754" s="2" t="str"/>
      <c r="J754" s="2" t="str"/>
      <c r="N754" s="2">
        <f>IF(Append1!J753="","",Append1!J753)</f>
        <v/>
      </c>
    </row>
    <row r="755">
      <c r="B755" s="2">
        <f t="array" ref="B755:J755">IF(Append1!A754:I754="","",Append1!A754:I754)</f>
        <v/>
      </c>
      <c r="C755" s="3" t="str"/>
      <c r="D755" s="2" t="str"/>
      <c r="E755" s="2" t="str"/>
      <c r="F755" s="2" t="str"/>
      <c r="G755" s="2" t="str"/>
      <c r="H755" s="2" t="str"/>
      <c r="I755" s="2" t="str"/>
      <c r="J755" s="2" t="str"/>
      <c r="N755" s="2">
        <f>IF(Append1!J754="","",Append1!J754)</f>
        <v/>
      </c>
    </row>
    <row r="756">
      <c r="B756" s="2">
        <f t="array" ref="B756:J756">IF(Append1!A755:I755="","",Append1!A755:I755)</f>
        <v/>
      </c>
      <c r="C756" s="3" t="str"/>
      <c r="D756" s="2" t="str"/>
      <c r="E756" s="2" t="str"/>
      <c r="F756" s="2" t="str"/>
      <c r="G756" s="2" t="str"/>
      <c r="H756" s="2" t="str"/>
      <c r="I756" s="2" t="str"/>
      <c r="J756" s="2" t="str"/>
      <c r="N756" s="2">
        <f>IF(Append1!J755="","",Append1!J755)</f>
        <v/>
      </c>
    </row>
    <row r="757">
      <c r="B757" s="2">
        <f t="array" ref="B757:J757">IF(Append1!A756:I756="","",Append1!A756:I756)</f>
        <v/>
      </c>
      <c r="C757" s="3" t="str"/>
      <c r="D757" s="2" t="str"/>
      <c r="E757" s="2" t="str"/>
      <c r="F757" s="2" t="str"/>
      <c r="G757" s="2" t="str"/>
      <c r="H757" s="2" t="str"/>
      <c r="I757" s="2" t="str"/>
      <c r="J757" s="2" t="str"/>
      <c r="N757" s="2">
        <f>IF(Append1!J756="","",Append1!J756)</f>
        <v/>
      </c>
    </row>
    <row r="758">
      <c r="B758" s="2">
        <f t="array" ref="B758:J758">IF(Append1!A757:I757="","",Append1!A757:I757)</f>
        <v/>
      </c>
      <c r="C758" s="3" t="str"/>
      <c r="D758" s="2" t="str"/>
      <c r="E758" s="2" t="str"/>
      <c r="F758" s="2" t="str"/>
      <c r="G758" s="2" t="str"/>
      <c r="H758" s="2" t="str"/>
      <c r="I758" s="2" t="str"/>
      <c r="J758" s="2" t="str"/>
      <c r="N758" s="2">
        <f>IF(Append1!J757="","",Append1!J757)</f>
        <v/>
      </c>
    </row>
    <row r="759">
      <c r="B759" s="2">
        <f t="array" ref="B759:J759">IF(Append1!A758:I758="","",Append1!A758:I758)</f>
        <v/>
      </c>
      <c r="C759" s="3" t="str"/>
      <c r="D759" s="2" t="str"/>
      <c r="E759" s="2" t="str"/>
      <c r="F759" s="2" t="str"/>
      <c r="G759" s="2" t="str"/>
      <c r="H759" s="2" t="str"/>
      <c r="I759" s="2" t="str"/>
      <c r="J759" s="2" t="str"/>
      <c r="N759" s="2">
        <f>IF(Append1!J758="","",Append1!J758)</f>
        <v/>
      </c>
    </row>
    <row r="760">
      <c r="B760" s="2">
        <f t="array" ref="B760:J760">IF(Append1!A759:I759="","",Append1!A759:I759)</f>
        <v/>
      </c>
      <c r="C760" s="3" t="str"/>
      <c r="D760" s="2" t="str"/>
      <c r="E760" s="2" t="str"/>
      <c r="F760" s="2" t="str"/>
      <c r="G760" s="2" t="str"/>
      <c r="H760" s="2" t="str"/>
      <c r="I760" s="2" t="str"/>
      <c r="J760" s="2" t="str"/>
      <c r="N760" s="2">
        <f>IF(Append1!J759="","",Append1!J759)</f>
        <v/>
      </c>
    </row>
    <row r="761">
      <c r="B761" s="2">
        <f t="array" ref="B761:J761">IF(Append1!A760:I760="","",Append1!A760:I760)</f>
        <v/>
      </c>
      <c r="C761" s="3" t="str"/>
      <c r="D761" s="2" t="str"/>
      <c r="E761" s="2" t="str"/>
      <c r="F761" s="2" t="str"/>
      <c r="G761" s="2" t="str"/>
      <c r="H761" s="2" t="str"/>
      <c r="I761" s="2" t="str"/>
      <c r="J761" s="2" t="str"/>
      <c r="N761" s="2">
        <f>IF(Append1!J760="","",Append1!J760)</f>
        <v/>
      </c>
    </row>
    <row r="762">
      <c r="B762" s="2">
        <f t="array" ref="B762:J762">IF(Append1!A761:I761="","",Append1!A761:I761)</f>
        <v/>
      </c>
      <c r="C762" s="3" t="str"/>
      <c r="D762" s="2" t="str"/>
      <c r="E762" s="2" t="str"/>
      <c r="F762" s="2" t="str"/>
      <c r="G762" s="2" t="str"/>
      <c r="H762" s="2" t="str"/>
      <c r="I762" s="2" t="str"/>
      <c r="J762" s="2" t="str"/>
      <c r="N762" s="2">
        <f>IF(Append1!J761="","",Append1!J761)</f>
        <v/>
      </c>
    </row>
    <row r="763">
      <c r="B763" s="2">
        <f t="array" ref="B763:J763">IF(Append1!A762:I762="","",Append1!A762:I762)</f>
        <v/>
      </c>
      <c r="C763" s="3" t="str"/>
      <c r="D763" s="2" t="str"/>
      <c r="E763" s="2" t="str"/>
      <c r="F763" s="2" t="str"/>
      <c r="G763" s="2" t="str"/>
      <c r="H763" s="2" t="str"/>
      <c r="I763" s="2" t="str"/>
      <c r="J763" s="2" t="str"/>
      <c r="N763" s="2">
        <f>IF(Append1!J762="","",Append1!J762)</f>
        <v/>
      </c>
    </row>
    <row r="764">
      <c r="B764" s="2">
        <f t="array" ref="B764:J764">IF(Append1!A763:I763="","",Append1!A763:I763)</f>
        <v/>
      </c>
      <c r="C764" s="3" t="str"/>
      <c r="D764" s="2" t="str"/>
      <c r="E764" s="2" t="str"/>
      <c r="F764" s="2" t="str"/>
      <c r="G764" s="2" t="str"/>
      <c r="H764" s="2" t="str"/>
      <c r="I764" s="2" t="str"/>
      <c r="J764" s="2" t="str"/>
      <c r="N764" s="2">
        <f>IF(Append1!J763="","",Append1!J763)</f>
        <v/>
      </c>
    </row>
    <row r="765">
      <c r="B765" s="2">
        <f t="array" ref="B765:J765">IF(Append1!A764:I764="","",Append1!A764:I764)</f>
        <v/>
      </c>
      <c r="C765" s="3" t="str"/>
      <c r="D765" s="2" t="str"/>
      <c r="E765" s="2" t="str"/>
      <c r="F765" s="2" t="str"/>
      <c r="G765" s="2" t="str"/>
      <c r="H765" s="2" t="str"/>
      <c r="I765" s="2" t="str"/>
      <c r="J765" s="2" t="str"/>
      <c r="N765" s="2">
        <f>IF(Append1!J764="","",Append1!J764)</f>
        <v/>
      </c>
    </row>
    <row r="766">
      <c r="B766" s="2">
        <f t="array" ref="B766:J766">IF(Append1!A765:I765="","",Append1!A765:I765)</f>
        <v/>
      </c>
      <c r="C766" s="3" t="str"/>
      <c r="D766" s="2" t="str"/>
      <c r="E766" s="2" t="str"/>
      <c r="F766" s="2" t="str"/>
      <c r="G766" s="2" t="str"/>
      <c r="H766" s="2" t="str"/>
      <c r="I766" s="2" t="str"/>
      <c r="J766" s="2" t="str"/>
      <c r="N766" s="2">
        <f>IF(Append1!J765="","",Append1!J765)</f>
        <v/>
      </c>
    </row>
    <row r="767">
      <c r="B767" s="2">
        <f t="array" ref="B767:J767">IF(Append1!A766:I766="","",Append1!A766:I766)</f>
        <v/>
      </c>
      <c r="C767" s="3" t="str"/>
      <c r="D767" s="2" t="str"/>
      <c r="E767" s="2" t="str"/>
      <c r="F767" s="2" t="str"/>
      <c r="G767" s="2" t="str"/>
      <c r="H767" s="2" t="str"/>
      <c r="I767" s="2" t="str"/>
      <c r="J767" s="2" t="str"/>
      <c r="N767" s="2">
        <f>IF(Append1!J766="","",Append1!J766)</f>
        <v/>
      </c>
    </row>
    <row r="768">
      <c r="B768" s="2">
        <f t="array" ref="B768:J768">IF(Append1!A767:I767="","",Append1!A767:I767)</f>
        <v/>
      </c>
      <c r="C768" s="3" t="str"/>
      <c r="D768" s="2" t="str"/>
      <c r="E768" s="2" t="str"/>
      <c r="F768" s="2" t="str"/>
      <c r="G768" s="2" t="str"/>
      <c r="H768" s="2" t="str"/>
      <c r="I768" s="2" t="str"/>
      <c r="J768" s="2" t="str"/>
      <c r="N768" s="2">
        <f>IF(Append1!J767="","",Append1!J767)</f>
        <v/>
      </c>
    </row>
    <row r="769">
      <c r="B769" s="2">
        <f t="array" ref="B769:J769">IF(Append1!A768:I768="","",Append1!A768:I768)</f>
        <v/>
      </c>
      <c r="C769" s="3" t="str"/>
      <c r="D769" s="2" t="str"/>
      <c r="E769" s="2" t="str"/>
      <c r="F769" s="2" t="str"/>
      <c r="G769" s="2" t="str"/>
      <c r="H769" s="2" t="str"/>
      <c r="I769" s="2" t="str"/>
      <c r="J769" s="2" t="str"/>
      <c r="N769" s="2">
        <f>IF(Append1!J768="","",Append1!J768)</f>
        <v/>
      </c>
    </row>
    <row r="770">
      <c r="B770" s="2">
        <f t="array" ref="B770:J770">IF(Append1!A769:I769="","",Append1!A769:I769)</f>
        <v/>
      </c>
      <c r="C770" s="3" t="str"/>
      <c r="D770" s="2" t="str"/>
      <c r="E770" s="2" t="str"/>
      <c r="F770" s="2" t="str"/>
      <c r="G770" s="2" t="str"/>
      <c r="H770" s="2" t="str"/>
      <c r="I770" s="2" t="str"/>
      <c r="J770" s="2" t="str"/>
      <c r="N770" s="2">
        <f>IF(Append1!J769="","",Append1!J769)</f>
        <v/>
      </c>
    </row>
    <row r="771">
      <c r="B771" s="2">
        <f t="array" ref="B771:J771">IF(Append1!A770:I770="","",Append1!A770:I770)</f>
        <v/>
      </c>
      <c r="C771" s="3" t="str"/>
      <c r="D771" s="2" t="str"/>
      <c r="E771" s="2" t="str"/>
      <c r="F771" s="2" t="str"/>
      <c r="G771" s="2" t="str"/>
      <c r="H771" s="2" t="str"/>
      <c r="I771" s="2" t="str"/>
      <c r="J771" s="2" t="str"/>
      <c r="N771" s="2">
        <f>IF(Append1!J770="","",Append1!J770)</f>
        <v/>
      </c>
    </row>
    <row r="772">
      <c r="B772" s="2">
        <f t="array" ref="B772:J772">IF(Append1!A771:I771="","",Append1!A771:I771)</f>
        <v/>
      </c>
      <c r="C772" s="3" t="str"/>
      <c r="D772" s="2" t="str"/>
      <c r="E772" s="2" t="str"/>
      <c r="F772" s="2" t="str"/>
      <c r="G772" s="2" t="str"/>
      <c r="H772" s="2" t="str"/>
      <c r="I772" s="2" t="str"/>
      <c r="J772" s="2" t="str"/>
      <c r="N772" s="2">
        <f>IF(Append1!J771="","",Append1!J771)</f>
        <v/>
      </c>
    </row>
    <row r="773">
      <c r="B773" s="2">
        <f t="array" ref="B773:J773">IF(Append1!A772:I772="","",Append1!A772:I772)</f>
        <v/>
      </c>
      <c r="C773" s="3" t="str"/>
      <c r="D773" s="2" t="str"/>
      <c r="E773" s="2" t="str"/>
      <c r="F773" s="2" t="str"/>
      <c r="G773" s="2" t="str"/>
      <c r="H773" s="2" t="str"/>
      <c r="I773" s="2" t="str"/>
      <c r="J773" s="2" t="str"/>
      <c r="N773" s="2">
        <f>IF(Append1!J772="","",Append1!J772)</f>
        <v/>
      </c>
    </row>
    <row r="774">
      <c r="B774" s="2">
        <f t="array" ref="B774:J774">IF(Append1!A773:I773="","",Append1!A773:I773)</f>
        <v/>
      </c>
      <c r="C774" s="3" t="str"/>
      <c r="D774" s="2" t="str"/>
      <c r="E774" s="2" t="str"/>
      <c r="F774" s="2" t="str"/>
      <c r="G774" s="2" t="str"/>
      <c r="H774" s="2" t="str"/>
      <c r="I774" s="2" t="str"/>
      <c r="J774" s="2" t="str"/>
      <c r="N774" s="2">
        <f>IF(Append1!J773="","",Append1!J773)</f>
        <v/>
      </c>
    </row>
    <row r="775">
      <c r="B775" s="2">
        <f t="array" ref="B775:J775">IF(Append1!A774:I774="","",Append1!A774:I774)</f>
        <v/>
      </c>
      <c r="C775" s="3" t="str"/>
      <c r="D775" s="2" t="str"/>
      <c r="E775" s="2" t="str"/>
      <c r="F775" s="2" t="str"/>
      <c r="G775" s="2" t="str"/>
      <c r="H775" s="2" t="str"/>
      <c r="I775" s="2" t="str"/>
      <c r="J775" s="2" t="str"/>
      <c r="N775" s="2">
        <f>IF(Append1!J774="","",Append1!J774)</f>
        <v/>
      </c>
    </row>
    <row r="776">
      <c r="B776" s="2">
        <f t="array" ref="B776:J776">IF(Append1!A775:I775="","",Append1!A775:I775)</f>
        <v/>
      </c>
      <c r="C776" s="3" t="str"/>
      <c r="D776" s="2" t="str"/>
      <c r="E776" s="2" t="str"/>
      <c r="F776" s="2" t="str"/>
      <c r="G776" s="2" t="str"/>
      <c r="H776" s="2" t="str"/>
      <c r="I776" s="2" t="str"/>
      <c r="J776" s="2" t="str"/>
      <c r="N776" s="2">
        <f>IF(Append1!J775="","",Append1!J775)</f>
        <v/>
      </c>
    </row>
    <row r="777">
      <c r="B777" s="2">
        <f t="array" ref="B777:J777">IF(Append1!A776:I776="","",Append1!A776:I776)</f>
        <v/>
      </c>
      <c r="C777" s="3" t="str"/>
      <c r="D777" s="2" t="str"/>
      <c r="E777" s="2" t="str"/>
      <c r="F777" s="2" t="str"/>
      <c r="G777" s="2" t="str"/>
      <c r="H777" s="2" t="str"/>
      <c r="I777" s="2" t="str"/>
      <c r="J777" s="2" t="str"/>
      <c r="N777" s="2">
        <f>IF(Append1!J776="","",Append1!J776)</f>
        <v/>
      </c>
    </row>
    <row r="778">
      <c r="B778" s="2">
        <f t="array" ref="B778:J778">IF(Append1!A777:I777="","",Append1!A777:I777)</f>
        <v/>
      </c>
      <c r="C778" s="3" t="str"/>
      <c r="D778" s="2" t="str"/>
      <c r="E778" s="2" t="str"/>
      <c r="F778" s="2" t="str"/>
      <c r="G778" s="2" t="str"/>
      <c r="H778" s="2" t="str"/>
      <c r="I778" s="2" t="str"/>
      <c r="J778" s="2" t="str"/>
      <c r="N778" s="2">
        <f>IF(Append1!J777="","",Append1!J777)</f>
        <v/>
      </c>
    </row>
    <row r="779">
      <c r="B779" s="2">
        <f t="array" ref="B779:J779">IF(Append1!A778:I778="","",Append1!A778:I778)</f>
        <v/>
      </c>
      <c r="C779" s="3" t="str"/>
      <c r="D779" s="2" t="str"/>
      <c r="E779" s="2" t="str"/>
      <c r="F779" s="2" t="str"/>
      <c r="G779" s="2" t="str"/>
      <c r="H779" s="2" t="str"/>
      <c r="I779" s="2" t="str"/>
      <c r="J779" s="2" t="str"/>
      <c r="N779" s="2">
        <f>IF(Append1!J778="","",Append1!J778)</f>
        <v/>
      </c>
    </row>
    <row r="780">
      <c r="B780" s="2">
        <f t="array" ref="B780:J780">IF(Append1!A779:I779="","",Append1!A779:I779)</f>
        <v/>
      </c>
      <c r="C780" s="3" t="str"/>
      <c r="D780" s="2" t="str"/>
      <c r="E780" s="2" t="str"/>
      <c r="F780" s="2" t="str"/>
      <c r="G780" s="2" t="str"/>
      <c r="H780" s="2" t="str"/>
      <c r="I780" s="2" t="str"/>
      <c r="J780" s="2" t="str"/>
      <c r="N780" s="2">
        <f>IF(Append1!J779="","",Append1!J779)</f>
        <v/>
      </c>
    </row>
    <row r="781">
      <c r="B781" s="2">
        <f t="array" ref="B781:J781">IF(Append1!A780:I780="","",Append1!A780:I780)</f>
        <v/>
      </c>
      <c r="C781" s="3" t="str"/>
      <c r="D781" s="2" t="str"/>
      <c r="E781" s="2" t="str"/>
      <c r="F781" s="2" t="str"/>
      <c r="G781" s="2" t="str"/>
      <c r="H781" s="2" t="str"/>
      <c r="I781" s="2" t="str"/>
      <c r="J781" s="2" t="str"/>
      <c r="N781" s="2">
        <f>IF(Append1!J780="","",Append1!J780)</f>
        <v/>
      </c>
    </row>
    <row r="782">
      <c r="B782" s="2">
        <f t="array" ref="B782:J782">IF(Append1!A781:I781="","",Append1!A781:I781)</f>
        <v/>
      </c>
      <c r="C782" s="3" t="str"/>
      <c r="D782" s="2" t="str"/>
      <c r="E782" s="2" t="str"/>
      <c r="F782" s="2" t="str"/>
      <c r="G782" s="2" t="str"/>
      <c r="H782" s="2" t="str"/>
      <c r="I782" s="2" t="str"/>
      <c r="J782" s="2" t="str"/>
      <c r="N782" s="2">
        <f>IF(Append1!J781="","",Append1!J781)</f>
        <v/>
      </c>
    </row>
    <row r="783">
      <c r="B783" s="2">
        <f t="array" ref="B783:J783">IF(Append1!A782:I782="","",Append1!A782:I782)</f>
        <v/>
      </c>
      <c r="C783" s="3" t="str"/>
      <c r="D783" s="2" t="str"/>
      <c r="E783" s="2" t="str"/>
      <c r="F783" s="2" t="str"/>
      <c r="G783" s="2" t="str"/>
      <c r="H783" s="2" t="str"/>
      <c r="I783" s="2" t="str"/>
      <c r="J783" s="2" t="str"/>
      <c r="N783" s="2">
        <f>IF(Append1!J782="","",Append1!J782)</f>
        <v/>
      </c>
    </row>
    <row r="784">
      <c r="B784" s="2">
        <f t="array" ref="B784:J784">IF(Append1!A783:I783="","",Append1!A783:I783)</f>
        <v/>
      </c>
      <c r="C784" s="3" t="str"/>
      <c r="D784" s="2" t="str"/>
      <c r="E784" s="2" t="str"/>
      <c r="F784" s="2" t="str"/>
      <c r="G784" s="2" t="str"/>
      <c r="H784" s="2" t="str"/>
      <c r="I784" s="2" t="str"/>
      <c r="J784" s="2" t="str"/>
      <c r="N784" s="2">
        <f>IF(Append1!J783="","",Append1!J783)</f>
        <v/>
      </c>
    </row>
    <row r="785">
      <c r="B785" s="2">
        <f t="array" ref="B785:J785">IF(Append1!A784:I784="","",Append1!A784:I784)</f>
        <v/>
      </c>
      <c r="C785" s="3" t="str"/>
      <c r="D785" s="2" t="str"/>
      <c r="E785" s="2" t="str"/>
      <c r="F785" s="2" t="str"/>
      <c r="G785" s="2" t="str"/>
      <c r="H785" s="2" t="str"/>
      <c r="I785" s="2" t="str"/>
      <c r="J785" s="2" t="str"/>
      <c r="N785" s="2">
        <f>IF(Append1!J784="","",Append1!J784)</f>
        <v/>
      </c>
    </row>
    <row r="786">
      <c r="B786" s="2">
        <f t="array" ref="B786:J786">IF(Append1!A785:I785="","",Append1!A785:I785)</f>
        <v/>
      </c>
      <c r="C786" s="3" t="str"/>
      <c r="D786" s="2" t="str"/>
      <c r="E786" s="2" t="str"/>
      <c r="F786" s="2" t="str"/>
      <c r="G786" s="2" t="str"/>
      <c r="H786" s="2" t="str"/>
      <c r="I786" s="2" t="str"/>
      <c r="J786" s="2" t="str"/>
      <c r="N786" s="2">
        <f>IF(Append1!J785="","",Append1!J785)</f>
        <v/>
      </c>
    </row>
    <row r="787">
      <c r="B787" s="2">
        <f t="array" ref="B787:J787">IF(Append1!A786:I786="","",Append1!A786:I786)</f>
        <v/>
      </c>
      <c r="C787" s="3" t="str"/>
      <c r="D787" s="2" t="str"/>
      <c r="E787" s="2" t="str"/>
      <c r="F787" s="2" t="str"/>
      <c r="G787" s="2" t="str"/>
      <c r="H787" s="2" t="str"/>
      <c r="I787" s="2" t="str"/>
      <c r="J787" s="2" t="str"/>
      <c r="N787" s="2">
        <f>IF(Append1!J786="","",Append1!J786)</f>
        <v/>
      </c>
    </row>
    <row r="788">
      <c r="B788" s="2">
        <f t="array" ref="B788:J788">IF(Append1!A787:I787="","",Append1!A787:I787)</f>
        <v/>
      </c>
      <c r="C788" s="3" t="str"/>
      <c r="D788" s="2" t="str"/>
      <c r="E788" s="2" t="str"/>
      <c r="F788" s="2" t="str"/>
      <c r="G788" s="2" t="str"/>
      <c r="H788" s="2" t="str"/>
      <c r="I788" s="2" t="str"/>
      <c r="J788" s="2" t="str"/>
      <c r="N788" s="2">
        <f>IF(Append1!J787="","",Append1!J787)</f>
        <v/>
      </c>
    </row>
    <row r="789">
      <c r="B789" s="2">
        <f t="array" ref="B789:J789">IF(Append1!A788:I788="","",Append1!A788:I788)</f>
        <v/>
      </c>
      <c r="C789" s="3" t="str"/>
      <c r="D789" s="2" t="str"/>
      <c r="E789" s="2" t="str"/>
      <c r="F789" s="2" t="str"/>
      <c r="G789" s="2" t="str"/>
      <c r="H789" s="2" t="str"/>
      <c r="I789" s="2" t="str"/>
      <c r="J789" s="2" t="str"/>
      <c r="N789" s="2">
        <f>IF(Append1!J788="","",Append1!J788)</f>
        <v/>
      </c>
    </row>
    <row r="790">
      <c r="B790" s="2">
        <f t="array" ref="B790:J790">IF(Append1!A789:I789="","",Append1!A789:I789)</f>
        <v/>
      </c>
      <c r="C790" s="3" t="str"/>
      <c r="D790" s="2" t="str"/>
      <c r="E790" s="2" t="str"/>
      <c r="F790" s="2" t="str"/>
      <c r="G790" s="2" t="str"/>
      <c r="H790" s="2" t="str"/>
      <c r="I790" s="2" t="str"/>
      <c r="J790" s="2" t="str"/>
      <c r="N790" s="2">
        <f>IF(Append1!J789="","",Append1!J789)</f>
        <v/>
      </c>
    </row>
    <row r="791">
      <c r="B791" s="2">
        <f t="array" ref="B791:J791">IF(Append1!A790:I790="","",Append1!A790:I790)</f>
        <v/>
      </c>
      <c r="C791" s="3" t="str"/>
      <c r="D791" s="2" t="str"/>
      <c r="E791" s="2" t="str"/>
      <c r="F791" s="2" t="str"/>
      <c r="G791" s="2" t="str"/>
      <c r="H791" s="2" t="str"/>
      <c r="I791" s="2" t="str"/>
      <c r="J791" s="2" t="str"/>
      <c r="N791" s="2">
        <f>IF(Append1!J790="","",Append1!J790)</f>
        <v/>
      </c>
    </row>
    <row r="792">
      <c r="B792" s="2">
        <f t="array" ref="B792:J792">IF(Append1!A791:I791="","",Append1!A791:I791)</f>
        <v/>
      </c>
      <c r="C792" s="3" t="str"/>
      <c r="D792" s="2" t="str"/>
      <c r="E792" s="2" t="str"/>
      <c r="F792" s="2" t="str"/>
      <c r="G792" s="2" t="str"/>
      <c r="H792" s="2" t="str"/>
      <c r="I792" s="2" t="str"/>
      <c r="J792" s="2" t="str"/>
      <c r="N792" s="2">
        <f>IF(Append1!J791="","",Append1!J791)</f>
        <v/>
      </c>
    </row>
    <row r="793">
      <c r="B793" s="2">
        <f t="array" ref="B793:J793">IF(Append1!A792:I792="","",Append1!A792:I792)</f>
        <v/>
      </c>
      <c r="C793" s="3" t="str"/>
      <c r="D793" s="2" t="str"/>
      <c r="E793" s="2" t="str"/>
      <c r="F793" s="2" t="str"/>
      <c r="G793" s="2" t="str"/>
      <c r="H793" s="2" t="str"/>
      <c r="I793" s="2" t="str"/>
      <c r="J793" s="2" t="str"/>
      <c r="N793" s="2">
        <f>IF(Append1!J792="","",Append1!J792)</f>
        <v/>
      </c>
    </row>
    <row r="794">
      <c r="B794" s="2">
        <f t="array" ref="B794:J794">IF(Append1!A793:I793="","",Append1!A793:I793)</f>
        <v/>
      </c>
      <c r="C794" s="3" t="str"/>
      <c r="D794" s="2" t="str"/>
      <c r="E794" s="2" t="str"/>
      <c r="F794" s="2" t="str"/>
      <c r="G794" s="2" t="str"/>
      <c r="H794" s="2" t="str"/>
      <c r="I794" s="2" t="str"/>
      <c r="J794" s="2" t="str"/>
      <c r="N794" s="2">
        <f>IF(Append1!J793="","",Append1!J793)</f>
        <v/>
      </c>
    </row>
    <row r="795">
      <c r="B795" s="2">
        <f t="array" ref="B795:J795">IF(Append1!A794:I794="","",Append1!A794:I794)</f>
        <v/>
      </c>
      <c r="C795" s="3" t="str"/>
      <c r="D795" s="2" t="str"/>
      <c r="E795" s="2" t="str"/>
      <c r="F795" s="2" t="str"/>
      <c r="G795" s="2" t="str"/>
      <c r="H795" s="2" t="str"/>
      <c r="I795" s="2" t="str"/>
      <c r="J795" s="2" t="str"/>
      <c r="N795" s="2">
        <f>IF(Append1!J794="","",Append1!J794)</f>
        <v/>
      </c>
    </row>
    <row r="796">
      <c r="B796" s="2">
        <f t="array" ref="B796:J796">IF(Append1!A795:I795="","",Append1!A795:I795)</f>
        <v/>
      </c>
      <c r="C796" s="3" t="str"/>
      <c r="D796" s="2" t="str"/>
      <c r="E796" s="2" t="str"/>
      <c r="F796" s="2" t="str"/>
      <c r="G796" s="2" t="str"/>
      <c r="H796" s="2" t="str"/>
      <c r="I796" s="2" t="str"/>
      <c r="J796" s="2" t="str"/>
      <c r="N796" s="2">
        <f>IF(Append1!J795="","",Append1!J795)</f>
        <v/>
      </c>
    </row>
    <row r="797">
      <c r="B797" s="2">
        <f t="array" ref="B797:J797">IF(Append1!A796:I796="","",Append1!A796:I796)</f>
        <v/>
      </c>
      <c r="C797" s="3" t="str"/>
      <c r="D797" s="2" t="str"/>
      <c r="E797" s="2" t="str"/>
      <c r="F797" s="2" t="str"/>
      <c r="G797" s="2" t="str"/>
      <c r="H797" s="2" t="str"/>
      <c r="I797" s="2" t="str"/>
      <c r="J797" s="2" t="str"/>
      <c r="N797" s="2">
        <f>IF(Append1!J796="","",Append1!J796)</f>
        <v/>
      </c>
    </row>
    <row r="798">
      <c r="B798" s="2">
        <f t="array" ref="B798:J798">IF(Append1!A797:I797="","",Append1!A797:I797)</f>
        <v/>
      </c>
      <c r="C798" s="3" t="str"/>
      <c r="D798" s="2" t="str"/>
      <c r="E798" s="2" t="str"/>
      <c r="F798" s="2" t="str"/>
      <c r="G798" s="2" t="str"/>
      <c r="H798" s="2" t="str"/>
      <c r="I798" s="2" t="str"/>
      <c r="J798" s="2" t="str"/>
      <c r="N798" s="2">
        <f>IF(Append1!J797="","",Append1!J797)</f>
        <v/>
      </c>
    </row>
    <row r="799">
      <c r="B799" s="2">
        <f t="array" ref="B799:J799">IF(Append1!A798:I798="","",Append1!A798:I798)</f>
        <v/>
      </c>
      <c r="C799" s="3" t="str"/>
      <c r="D799" s="2" t="str"/>
      <c r="E799" s="2" t="str"/>
      <c r="F799" s="2" t="str"/>
      <c r="G799" s="2" t="str"/>
      <c r="H799" s="2" t="str"/>
      <c r="I799" s="2" t="str"/>
      <c r="J799" s="2" t="str"/>
      <c r="N799" s="2">
        <f>IF(Append1!J798="","",Append1!J798)</f>
        <v/>
      </c>
    </row>
    <row r="800">
      <c r="B800" s="2">
        <f t="array" ref="B800:J800">IF(Append1!A799:I799="","",Append1!A799:I799)</f>
        <v/>
      </c>
      <c r="C800" s="3" t="str"/>
      <c r="D800" s="2" t="str"/>
      <c r="E800" s="2" t="str"/>
      <c r="F800" s="2" t="str"/>
      <c r="G800" s="2" t="str"/>
      <c r="H800" s="2" t="str"/>
      <c r="I800" s="2" t="str"/>
      <c r="J800" s="2" t="str"/>
      <c r="N800" s="2">
        <f>IF(Append1!J799="","",Append1!J799)</f>
        <v/>
      </c>
    </row>
    <row r="801">
      <c r="B801" s="2">
        <f t="array" ref="B801:J801">IF(Append1!A800:I800="","",Append1!A800:I800)</f>
        <v/>
      </c>
      <c r="C801" s="3" t="str"/>
      <c r="D801" s="2" t="str"/>
      <c r="E801" s="2" t="str"/>
      <c r="F801" s="2" t="str"/>
      <c r="G801" s="2" t="str"/>
      <c r="H801" s="2" t="str"/>
      <c r="I801" s="2" t="str"/>
      <c r="J801" s="2" t="str"/>
      <c r="N801" s="2">
        <f>IF(Append1!J800="","",Append1!J800)</f>
        <v/>
      </c>
    </row>
    <row r="802">
      <c r="B802" s="2">
        <f t="array" ref="B802:J802">IF(Append1!A801:I801="","",Append1!A801:I801)</f>
        <v/>
      </c>
      <c r="C802" s="3" t="str"/>
      <c r="D802" s="2" t="str"/>
      <c r="E802" s="2" t="str"/>
      <c r="F802" s="2" t="str"/>
      <c r="G802" s="2" t="str"/>
      <c r="H802" s="2" t="str"/>
      <c r="I802" s="2" t="str"/>
      <c r="J802" s="2" t="str"/>
      <c r="N802" s="2">
        <f>IF(Append1!J801="","",Append1!J801)</f>
        <v/>
      </c>
    </row>
    <row r="803">
      <c r="B803" s="2">
        <f t="array" ref="B803:J803">IF(Append1!A802:I802="","",Append1!A802:I802)</f>
        <v/>
      </c>
      <c r="C803" s="3" t="str"/>
      <c r="D803" s="2" t="str"/>
      <c r="E803" s="2" t="str"/>
      <c r="F803" s="2" t="str"/>
      <c r="G803" s="2" t="str"/>
      <c r="H803" s="2" t="str"/>
      <c r="I803" s="2" t="str"/>
      <c r="J803" s="2" t="str"/>
      <c r="N803" s="2">
        <f>IF(Append1!J802="","",Append1!J802)</f>
        <v/>
      </c>
    </row>
    <row r="804">
      <c r="B804" s="2">
        <f t="array" ref="B804:J804">IF(Append1!A803:I803="","",Append1!A803:I803)</f>
        <v/>
      </c>
      <c r="C804" s="3" t="str"/>
      <c r="D804" s="2" t="str"/>
      <c r="E804" s="2" t="str"/>
      <c r="F804" s="2" t="str"/>
      <c r="G804" s="2" t="str"/>
      <c r="H804" s="2" t="str"/>
      <c r="I804" s="2" t="str"/>
      <c r="J804" s="2" t="str"/>
      <c r="N804" s="2">
        <f>IF(Append1!J803="","",Append1!J803)</f>
        <v/>
      </c>
    </row>
    <row r="805">
      <c r="B805" s="2">
        <f t="array" ref="B805:J805">IF(Append1!A804:I804="","",Append1!A804:I804)</f>
        <v/>
      </c>
      <c r="C805" s="3" t="str"/>
      <c r="D805" s="2" t="str"/>
      <c r="E805" s="2" t="str"/>
      <c r="F805" s="2" t="str"/>
      <c r="G805" s="2" t="str"/>
      <c r="H805" s="2" t="str"/>
      <c r="I805" s="2" t="str"/>
      <c r="J805" s="2" t="str"/>
      <c r="N805" s="2">
        <f>IF(Append1!J804="","",Append1!J804)</f>
        <v/>
      </c>
    </row>
    <row r="806">
      <c r="B806" s="2">
        <f t="array" ref="B806:J806">IF(Append1!A805:I805="","",Append1!A805:I805)</f>
        <v/>
      </c>
      <c r="C806" s="3" t="str"/>
      <c r="D806" s="2" t="str"/>
      <c r="E806" s="2" t="str"/>
      <c r="F806" s="2" t="str"/>
      <c r="G806" s="2" t="str"/>
      <c r="H806" s="2" t="str"/>
      <c r="I806" s="2" t="str"/>
      <c r="J806" s="2" t="str"/>
      <c r="N806" s="2">
        <f>IF(Append1!J805="","",Append1!J805)</f>
        <v/>
      </c>
    </row>
    <row r="807">
      <c r="B807" s="2">
        <f t="array" ref="B807:J807">IF(Append1!A806:I806="","",Append1!A806:I806)</f>
        <v/>
      </c>
      <c r="C807" s="3" t="str"/>
      <c r="D807" s="2" t="str"/>
      <c r="E807" s="2" t="str"/>
      <c r="F807" s="2" t="str"/>
      <c r="G807" s="2" t="str"/>
      <c r="H807" s="2" t="str"/>
      <c r="I807" s="2" t="str"/>
      <c r="J807" s="2" t="str"/>
      <c r="N807" s="2">
        <f>IF(Append1!J806="","",Append1!J806)</f>
        <v/>
      </c>
    </row>
    <row r="808">
      <c r="B808" s="2">
        <f t="array" ref="B808:J808">IF(Append1!A807:I807="","",Append1!A807:I807)</f>
        <v/>
      </c>
      <c r="C808" s="3" t="str"/>
      <c r="D808" s="2" t="str"/>
      <c r="E808" s="2" t="str"/>
      <c r="F808" s="2" t="str"/>
      <c r="G808" s="2" t="str"/>
      <c r="H808" s="2" t="str"/>
      <c r="I808" s="2" t="str"/>
      <c r="J808" s="2" t="str"/>
      <c r="N808" s="2">
        <f>IF(Append1!J807="","",Append1!J807)</f>
        <v/>
      </c>
    </row>
    <row r="809">
      <c r="B809" s="2">
        <f t="array" ref="B809:J809">IF(Append1!A808:I808="","",Append1!A808:I808)</f>
        <v/>
      </c>
      <c r="C809" s="3" t="str"/>
      <c r="D809" s="2" t="str"/>
      <c r="E809" s="2" t="str"/>
      <c r="F809" s="2" t="str"/>
      <c r="G809" s="2" t="str"/>
      <c r="H809" s="2" t="str"/>
      <c r="I809" s="2" t="str"/>
      <c r="J809" s="2" t="str"/>
      <c r="N809" s="2">
        <f>IF(Append1!J808="","",Append1!J808)</f>
        <v/>
      </c>
    </row>
    <row r="810">
      <c r="B810" s="2">
        <f t="array" ref="B810:J810">IF(Append1!A809:I809="","",Append1!A809:I809)</f>
        <v/>
      </c>
      <c r="C810" s="3" t="str"/>
      <c r="D810" s="2" t="str"/>
      <c r="E810" s="2" t="str"/>
      <c r="F810" s="2" t="str"/>
      <c r="G810" s="2" t="str"/>
      <c r="H810" s="2" t="str"/>
      <c r="I810" s="2" t="str"/>
      <c r="J810" s="2" t="str"/>
      <c r="N810" s="2">
        <f>IF(Append1!J809="","",Append1!J809)</f>
        <v/>
      </c>
    </row>
    <row r="811">
      <c r="B811" s="2">
        <f t="array" ref="B811:J811">IF(Append1!A810:I810="","",Append1!A810:I810)</f>
        <v/>
      </c>
      <c r="C811" s="3" t="str"/>
      <c r="D811" s="2" t="str"/>
      <c r="E811" s="2" t="str"/>
      <c r="F811" s="2" t="str"/>
      <c r="G811" s="2" t="str"/>
      <c r="H811" s="2" t="str"/>
      <c r="I811" s="2" t="str"/>
      <c r="J811" s="2" t="str"/>
      <c r="N811" s="2">
        <f>IF(Append1!J810="","",Append1!J810)</f>
        <v/>
      </c>
    </row>
    <row r="812">
      <c r="B812" s="2">
        <f t="array" ref="B812:J812">IF(Append1!A811:I811="","",Append1!A811:I811)</f>
        <v/>
      </c>
      <c r="C812" s="3" t="str"/>
      <c r="D812" s="2" t="str"/>
      <c r="E812" s="2" t="str"/>
      <c r="F812" s="2" t="str"/>
      <c r="G812" s="2" t="str"/>
      <c r="H812" s="2" t="str"/>
      <c r="I812" s="2" t="str"/>
      <c r="J812" s="2" t="str"/>
      <c r="N812" s="2">
        <f>IF(Append1!J811="","",Append1!J811)</f>
        <v/>
      </c>
    </row>
    <row r="813">
      <c r="B813" s="2">
        <f t="array" ref="B813:J813">IF(Append1!A812:I812="","",Append1!A812:I812)</f>
        <v/>
      </c>
      <c r="C813" s="3" t="str"/>
      <c r="D813" s="2" t="str"/>
      <c r="E813" s="2" t="str"/>
      <c r="F813" s="2" t="str"/>
      <c r="G813" s="2" t="str"/>
      <c r="H813" s="2" t="str"/>
      <c r="I813" s="2" t="str"/>
      <c r="J813" s="2" t="str"/>
      <c r="N813" s="2">
        <f>IF(Append1!J812="","",Append1!J812)</f>
        <v/>
      </c>
    </row>
    <row r="814">
      <c r="B814" s="2">
        <f t="array" ref="B814:J814">IF(Append1!A813:I813="","",Append1!A813:I813)</f>
        <v/>
      </c>
      <c r="C814" s="3" t="str"/>
      <c r="D814" s="2" t="str"/>
      <c r="E814" s="2" t="str"/>
      <c r="F814" s="2" t="str"/>
      <c r="G814" s="2" t="str"/>
      <c r="H814" s="2" t="str"/>
      <c r="I814" s="2" t="str"/>
      <c r="J814" s="2" t="str"/>
      <c r="N814" s="2">
        <f>IF(Append1!J813="","",Append1!J813)</f>
        <v/>
      </c>
    </row>
    <row r="815">
      <c r="B815" s="2">
        <f t="array" ref="B815:J815">IF(Append1!A814:I814="","",Append1!A814:I814)</f>
        <v/>
      </c>
      <c r="C815" s="3" t="str"/>
      <c r="D815" s="2" t="str"/>
      <c r="E815" s="2" t="str"/>
      <c r="F815" s="2" t="str"/>
      <c r="G815" s="2" t="str"/>
      <c r="H815" s="2" t="str"/>
      <c r="I815" s="2" t="str"/>
      <c r="J815" s="2" t="str"/>
      <c r="N815" s="2">
        <f>IF(Append1!J814="","",Append1!J814)</f>
        <v/>
      </c>
    </row>
    <row r="816">
      <c r="B816" s="2">
        <f t="array" ref="B816:J816">IF(Append1!A815:I815="","",Append1!A815:I815)</f>
        <v/>
      </c>
      <c r="C816" s="3" t="str"/>
      <c r="D816" s="2" t="str"/>
      <c r="E816" s="2" t="str"/>
      <c r="F816" s="2" t="str"/>
      <c r="G816" s="2" t="str"/>
      <c r="H816" s="2" t="str"/>
      <c r="I816" s="2" t="str"/>
      <c r="J816" s="2" t="str"/>
      <c r="N816" s="2">
        <f>IF(Append1!J815="","",Append1!J815)</f>
        <v/>
      </c>
    </row>
    <row r="817">
      <c r="B817" s="2">
        <f t="array" ref="B817:J817">IF(Append1!A816:I816="","",Append1!A816:I816)</f>
        <v/>
      </c>
      <c r="C817" s="3" t="str"/>
      <c r="D817" s="2" t="str"/>
      <c r="E817" s="2" t="str"/>
      <c r="F817" s="2" t="str"/>
      <c r="G817" s="2" t="str"/>
      <c r="H817" s="2" t="str"/>
      <c r="I817" s="2" t="str"/>
      <c r="J817" s="2" t="str"/>
      <c r="N817" s="2">
        <f>IF(Append1!J816="","",Append1!J816)</f>
        <v/>
      </c>
    </row>
    <row r="818">
      <c r="B818" s="2">
        <f t="array" ref="B818:J818">IF(Append1!A817:I817="","",Append1!A817:I817)</f>
        <v/>
      </c>
      <c r="C818" s="3" t="str"/>
      <c r="D818" s="2" t="str"/>
      <c r="E818" s="2" t="str"/>
      <c r="F818" s="2" t="str"/>
      <c r="G818" s="2" t="str"/>
      <c r="H818" s="2" t="str"/>
      <c r="I818" s="2" t="str"/>
      <c r="J818" s="2" t="str"/>
      <c r="N818" s="2">
        <f>IF(Append1!J817="","",Append1!J817)</f>
        <v/>
      </c>
    </row>
    <row r="819">
      <c r="B819" s="2">
        <f t="array" ref="B819:J819">IF(Append1!A818:I818="","",Append1!A818:I818)</f>
        <v/>
      </c>
      <c r="C819" s="3" t="str"/>
      <c r="D819" s="2" t="str"/>
      <c r="E819" s="2" t="str"/>
      <c r="F819" s="2" t="str"/>
      <c r="G819" s="2" t="str"/>
      <c r="H819" s="2" t="str"/>
      <c r="I819" s="2" t="str"/>
      <c r="J819" s="2" t="str"/>
      <c r="N819" s="2">
        <f>IF(Append1!J818="","",Append1!J818)</f>
        <v/>
      </c>
    </row>
    <row r="820">
      <c r="B820" s="2">
        <f t="array" ref="B820:J820">IF(Append1!A819:I819="","",Append1!A819:I819)</f>
        <v/>
      </c>
      <c r="C820" s="3" t="str"/>
      <c r="D820" s="2" t="str"/>
      <c r="E820" s="2" t="str"/>
      <c r="F820" s="2" t="str"/>
      <c r="G820" s="2" t="str"/>
      <c r="H820" s="2" t="str"/>
      <c r="I820" s="2" t="str"/>
      <c r="J820" s="2" t="str"/>
      <c r="N820" s="2">
        <f>IF(Append1!J819="","",Append1!J819)</f>
        <v/>
      </c>
    </row>
    <row r="821">
      <c r="B821" s="2">
        <f t="array" ref="B821:J821">IF(Append1!A820:I820="","",Append1!A820:I820)</f>
        <v/>
      </c>
      <c r="C821" s="3" t="str"/>
      <c r="D821" s="2" t="str"/>
      <c r="E821" s="2" t="str"/>
      <c r="F821" s="2" t="str"/>
      <c r="G821" s="2" t="str"/>
      <c r="H821" s="2" t="str"/>
      <c r="I821" s="2" t="str"/>
      <c r="J821" s="2" t="str"/>
      <c r="N821" s="2">
        <f>IF(Append1!J820="","",Append1!J820)</f>
        <v/>
      </c>
    </row>
    <row r="822">
      <c r="B822" s="2">
        <f t="array" ref="B822:J822">IF(Append1!A821:I821="","",Append1!A821:I821)</f>
        <v/>
      </c>
      <c r="C822" s="3" t="str"/>
      <c r="D822" s="2" t="str"/>
      <c r="E822" s="2" t="str"/>
      <c r="F822" s="2" t="str"/>
      <c r="G822" s="2" t="str"/>
      <c r="H822" s="2" t="str"/>
      <c r="I822" s="2" t="str"/>
      <c r="J822" s="2" t="str"/>
      <c r="N822" s="2">
        <f>IF(Append1!J821="","",Append1!J821)</f>
        <v/>
      </c>
    </row>
    <row r="823">
      <c r="B823" s="2">
        <f t="array" ref="B823:J823">IF(Append1!A822:I822="","",Append1!A822:I822)</f>
        <v/>
      </c>
      <c r="C823" s="3" t="str"/>
      <c r="D823" s="2" t="str"/>
      <c r="E823" s="2" t="str"/>
      <c r="F823" s="2" t="str"/>
      <c r="G823" s="2" t="str"/>
      <c r="H823" s="2" t="str"/>
      <c r="I823" s="2" t="str"/>
      <c r="J823" s="2" t="str"/>
      <c r="N823" s="2">
        <f>IF(Append1!J822="","",Append1!J822)</f>
        <v/>
      </c>
    </row>
    <row r="824">
      <c r="B824" s="2">
        <f t="array" ref="B824:J824">IF(Append1!A823:I823="","",Append1!A823:I823)</f>
        <v/>
      </c>
      <c r="C824" s="3" t="str"/>
      <c r="D824" s="2" t="str"/>
      <c r="E824" s="2" t="str"/>
      <c r="F824" s="2" t="str"/>
      <c r="G824" s="2" t="str"/>
      <c r="H824" s="2" t="str"/>
      <c r="I824" s="2" t="str"/>
      <c r="J824" s="2" t="str"/>
      <c r="N824" s="2">
        <f>IF(Append1!J823="","",Append1!J823)</f>
        <v/>
      </c>
    </row>
    <row r="825">
      <c r="B825" s="2">
        <f t="array" ref="B825:J825">IF(Append1!A824:I824="","",Append1!A824:I824)</f>
        <v/>
      </c>
      <c r="C825" s="3" t="str"/>
      <c r="D825" s="2" t="str"/>
      <c r="E825" s="2" t="str"/>
      <c r="F825" s="2" t="str"/>
      <c r="G825" s="2" t="str"/>
      <c r="H825" s="2" t="str"/>
      <c r="I825" s="2" t="str"/>
      <c r="J825" s="2" t="str"/>
      <c r="N825" s="2">
        <f>IF(Append1!J824="","",Append1!J824)</f>
        <v/>
      </c>
    </row>
    <row r="826">
      <c r="B826" s="2">
        <f t="array" ref="B826:J826">IF(Append1!A825:I825="","",Append1!A825:I825)</f>
        <v/>
      </c>
      <c r="C826" s="3" t="str"/>
      <c r="D826" s="2" t="str"/>
      <c r="E826" s="2" t="str"/>
      <c r="F826" s="2" t="str"/>
      <c r="G826" s="2" t="str"/>
      <c r="H826" s="2" t="str"/>
      <c r="I826" s="2" t="str"/>
      <c r="J826" s="2" t="str"/>
      <c r="N826" s="2">
        <f>IF(Append1!J825="","",Append1!J825)</f>
        <v/>
      </c>
    </row>
    <row r="827">
      <c r="B827" s="2">
        <f t="array" ref="B827:J827">IF(Append1!A826:I826="","",Append1!A826:I826)</f>
        <v/>
      </c>
      <c r="C827" s="3" t="str"/>
      <c r="D827" s="2" t="str"/>
      <c r="E827" s="2" t="str"/>
      <c r="F827" s="2" t="str"/>
      <c r="G827" s="2" t="str"/>
      <c r="H827" s="2" t="str"/>
      <c r="I827" s="2" t="str"/>
      <c r="J827" s="2" t="str"/>
      <c r="N827" s="2">
        <f>IF(Append1!J826="","",Append1!J826)</f>
        <v/>
      </c>
    </row>
    <row r="828">
      <c r="B828" s="2">
        <f t="array" ref="B828:J828">IF(Append1!A827:I827="","",Append1!A827:I827)</f>
        <v/>
      </c>
      <c r="C828" s="3" t="str"/>
      <c r="D828" s="2" t="str"/>
      <c r="E828" s="2" t="str"/>
      <c r="F828" s="2" t="str"/>
      <c r="G828" s="2" t="str"/>
      <c r="H828" s="2" t="str"/>
      <c r="I828" s="2" t="str"/>
      <c r="J828" s="2" t="str"/>
      <c r="N828" s="2">
        <f>IF(Append1!J827="","",Append1!J827)</f>
        <v/>
      </c>
    </row>
    <row r="829">
      <c r="B829" s="2">
        <f t="array" ref="B829:J829">IF(Append1!A828:I828="","",Append1!A828:I828)</f>
        <v/>
      </c>
      <c r="C829" s="3" t="str"/>
      <c r="D829" s="2" t="str"/>
      <c r="E829" s="2" t="str"/>
      <c r="F829" s="2" t="str"/>
      <c r="G829" s="2" t="str"/>
      <c r="H829" s="2" t="str"/>
      <c r="I829" s="2" t="str"/>
      <c r="J829" s="2" t="str"/>
      <c r="N829" s="2">
        <f>IF(Append1!J828="","",Append1!J828)</f>
        <v/>
      </c>
    </row>
    <row r="830">
      <c r="B830" s="2">
        <f t="array" ref="B830:J830">IF(Append1!A829:I829="","",Append1!A829:I829)</f>
        <v/>
      </c>
      <c r="C830" s="3" t="str"/>
      <c r="D830" s="2" t="str"/>
      <c r="E830" s="2" t="str"/>
      <c r="F830" s="2" t="str"/>
      <c r="G830" s="2" t="str"/>
      <c r="H830" s="2" t="str"/>
      <c r="I830" s="2" t="str"/>
      <c r="J830" s="2" t="str"/>
      <c r="N830" s="2">
        <f>IF(Append1!J829="","",Append1!J829)</f>
        <v/>
      </c>
    </row>
    <row r="831">
      <c r="B831" s="2">
        <f t="array" ref="B831:J831">IF(Append1!A830:I830="","",Append1!A830:I830)</f>
        <v/>
      </c>
      <c r="C831" s="3" t="str"/>
      <c r="D831" s="2" t="str"/>
      <c r="E831" s="2" t="str"/>
      <c r="F831" s="2" t="str"/>
      <c r="G831" s="2" t="str"/>
      <c r="H831" s="2" t="str"/>
      <c r="I831" s="2" t="str"/>
      <c r="J831" s="2" t="str"/>
      <c r="N831" s="2">
        <f>IF(Append1!J830="","",Append1!J830)</f>
        <v/>
      </c>
    </row>
    <row r="832">
      <c r="B832" s="2">
        <f t="array" ref="B832:J832">IF(Append1!A831:I831="","",Append1!A831:I831)</f>
        <v/>
      </c>
      <c r="C832" s="3" t="str"/>
      <c r="D832" s="2" t="str"/>
      <c r="E832" s="2" t="str"/>
      <c r="F832" s="2" t="str"/>
      <c r="G832" s="2" t="str"/>
      <c r="H832" s="2" t="str"/>
      <c r="I832" s="2" t="str"/>
      <c r="J832" s="2" t="str"/>
      <c r="N832" s="2">
        <f>IF(Append1!J831="","",Append1!J831)</f>
        <v/>
      </c>
    </row>
    <row r="833">
      <c r="B833" s="2">
        <f t="array" ref="B833:J833">IF(Append1!A832:I832="","",Append1!A832:I832)</f>
        <v/>
      </c>
      <c r="C833" s="3" t="str"/>
      <c r="D833" s="2" t="str"/>
      <c r="E833" s="2" t="str"/>
      <c r="F833" s="2" t="str"/>
      <c r="G833" s="2" t="str"/>
      <c r="H833" s="2" t="str"/>
      <c r="I833" s="2" t="str"/>
      <c r="J833" s="2" t="str"/>
      <c r="N833" s="2">
        <f>IF(Append1!J832="","",Append1!J832)</f>
        <v/>
      </c>
    </row>
    <row r="834">
      <c r="B834" s="2">
        <f t="array" ref="B834:J834">IF(Append1!A833:I833="","",Append1!A833:I833)</f>
        <v/>
      </c>
      <c r="C834" s="3" t="str"/>
      <c r="D834" s="2" t="str"/>
      <c r="E834" s="2" t="str"/>
      <c r="F834" s="2" t="str"/>
      <c r="G834" s="2" t="str"/>
      <c r="H834" s="2" t="str"/>
      <c r="I834" s="2" t="str"/>
      <c r="J834" s="2" t="str"/>
      <c r="N834" s="2">
        <f>IF(Append1!J833="","",Append1!J833)</f>
        <v/>
      </c>
    </row>
    <row r="835">
      <c r="B835" s="2">
        <f t="array" ref="B835:J835">IF(Append1!A834:I834="","",Append1!A834:I834)</f>
        <v/>
      </c>
      <c r="C835" s="3" t="str"/>
      <c r="D835" s="2" t="str"/>
      <c r="E835" s="2" t="str"/>
      <c r="F835" s="2" t="str"/>
      <c r="G835" s="2" t="str"/>
      <c r="H835" s="2" t="str"/>
      <c r="I835" s="2" t="str"/>
      <c r="J835" s="2" t="str"/>
      <c r="N835" s="2">
        <f>IF(Append1!J834="","",Append1!J834)</f>
        <v/>
      </c>
    </row>
    <row r="836">
      <c r="B836" s="2">
        <f t="array" ref="B836:J836">IF(Append1!A835:I835="","",Append1!A835:I835)</f>
        <v/>
      </c>
      <c r="C836" s="3" t="str"/>
      <c r="D836" s="2" t="str"/>
      <c r="E836" s="2" t="str"/>
      <c r="F836" s="2" t="str"/>
      <c r="G836" s="2" t="str"/>
      <c r="H836" s="2" t="str"/>
      <c r="I836" s="2" t="str"/>
      <c r="J836" s="2" t="str"/>
      <c r="N836" s="2">
        <f>IF(Append1!J835="","",Append1!J835)</f>
        <v/>
      </c>
    </row>
    <row r="837">
      <c r="B837" s="2">
        <f t="array" ref="B837:J837">IF(Append1!A836:I836="","",Append1!A836:I836)</f>
        <v/>
      </c>
      <c r="C837" s="3" t="str"/>
      <c r="D837" s="2" t="str"/>
      <c r="E837" s="2" t="str"/>
      <c r="F837" s="2" t="str"/>
      <c r="G837" s="2" t="str"/>
      <c r="H837" s="2" t="str"/>
      <c r="I837" s="2" t="str"/>
      <c r="J837" s="2" t="str"/>
      <c r="N837" s="2">
        <f>IF(Append1!J836="","",Append1!J836)</f>
        <v/>
      </c>
    </row>
    <row r="838">
      <c r="B838" s="2">
        <f t="array" ref="B838:J838">IF(Append1!A837:I837="","",Append1!A837:I837)</f>
        <v/>
      </c>
      <c r="C838" s="3" t="str"/>
      <c r="D838" s="2" t="str"/>
      <c r="E838" s="2" t="str"/>
      <c r="F838" s="2" t="str"/>
      <c r="G838" s="2" t="str"/>
      <c r="H838" s="2" t="str"/>
      <c r="I838" s="2" t="str"/>
      <c r="J838" s="2" t="str"/>
      <c r="N838" s="2">
        <f>IF(Append1!J837="","",Append1!J837)</f>
        <v/>
      </c>
    </row>
    <row r="839">
      <c r="B839" s="2">
        <f t="array" ref="B839:J839">IF(Append1!A838:I838="","",Append1!A838:I838)</f>
        <v/>
      </c>
      <c r="C839" s="3" t="str"/>
      <c r="D839" s="2" t="str"/>
      <c r="E839" s="2" t="str"/>
      <c r="F839" s="2" t="str"/>
      <c r="G839" s="2" t="str"/>
      <c r="H839" s="2" t="str"/>
      <c r="I839" s="2" t="str"/>
      <c r="J839" s="2" t="str"/>
      <c r="N839" s="2">
        <f>IF(Append1!J838="","",Append1!J838)</f>
        <v/>
      </c>
    </row>
    <row r="840">
      <c r="B840" s="2">
        <f t="array" ref="B840:J840">IF(Append1!A839:I839="","",Append1!A839:I839)</f>
        <v/>
      </c>
      <c r="C840" s="3" t="str"/>
      <c r="D840" s="2" t="str"/>
      <c r="E840" s="2" t="str"/>
      <c r="F840" s="2" t="str"/>
      <c r="G840" s="2" t="str"/>
      <c r="H840" s="2" t="str"/>
      <c r="I840" s="2" t="str"/>
      <c r="J840" s="2" t="str"/>
      <c r="N840" s="2">
        <f>IF(Append1!J839="","",Append1!J839)</f>
        <v/>
      </c>
    </row>
    <row r="841">
      <c r="B841" s="2">
        <f t="array" ref="B841:J841">IF(Append1!A840:I840="","",Append1!A840:I840)</f>
        <v/>
      </c>
      <c r="C841" s="3" t="str"/>
      <c r="D841" s="2" t="str"/>
      <c r="E841" s="2" t="str"/>
      <c r="F841" s="2" t="str"/>
      <c r="G841" s="2" t="str"/>
      <c r="H841" s="2" t="str"/>
      <c r="I841" s="2" t="str"/>
      <c r="J841" s="2" t="str"/>
      <c r="N841" s="2">
        <f>IF(Append1!J840="","",Append1!J840)</f>
        <v/>
      </c>
    </row>
    <row r="842">
      <c r="B842" s="2">
        <f t="array" ref="B842:J842">IF(Append1!A841:I841="","",Append1!A841:I841)</f>
        <v/>
      </c>
      <c r="C842" s="3" t="str"/>
      <c r="D842" s="2" t="str"/>
      <c r="E842" s="2" t="str"/>
      <c r="F842" s="2" t="str"/>
      <c r="G842" s="2" t="str"/>
      <c r="H842" s="2" t="str"/>
      <c r="I842" s="2" t="str"/>
      <c r="J842" s="2" t="str"/>
      <c r="N842" s="2">
        <f>IF(Append1!J841="","",Append1!J841)</f>
        <v/>
      </c>
    </row>
    <row r="843">
      <c r="B843" s="2">
        <f t="array" ref="B843:J843">IF(Append1!A842:I842="","",Append1!A842:I842)</f>
        <v/>
      </c>
      <c r="C843" s="3" t="str"/>
      <c r="D843" s="2" t="str"/>
      <c r="E843" s="2" t="str"/>
      <c r="F843" s="2" t="str"/>
      <c r="G843" s="2" t="str"/>
      <c r="H843" s="2" t="str"/>
      <c r="I843" s="2" t="str"/>
      <c r="J843" s="2" t="str"/>
      <c r="N843" s="2">
        <f>IF(Append1!J842="","",Append1!J842)</f>
        <v/>
      </c>
    </row>
    <row r="844">
      <c r="B844" s="2">
        <f t="array" ref="B844:J844">IF(Append1!A843:I843="","",Append1!A843:I843)</f>
        <v/>
      </c>
      <c r="C844" s="3" t="str"/>
      <c r="D844" s="2" t="str"/>
      <c r="E844" s="2" t="str"/>
      <c r="F844" s="2" t="str"/>
      <c r="G844" s="2" t="str"/>
      <c r="H844" s="2" t="str"/>
      <c r="I844" s="2" t="str"/>
      <c r="J844" s="2" t="str"/>
      <c r="N844" s="2">
        <f>IF(Append1!J843="","",Append1!J843)</f>
        <v/>
      </c>
    </row>
    <row r="845">
      <c r="B845" s="2">
        <f t="array" ref="B845:J845">IF(Append1!A844:I844="","",Append1!A844:I844)</f>
        <v/>
      </c>
      <c r="C845" s="3" t="str"/>
      <c r="D845" s="2" t="str"/>
      <c r="E845" s="2" t="str"/>
      <c r="F845" s="2" t="str"/>
      <c r="G845" s="2" t="str"/>
      <c r="H845" s="2" t="str"/>
      <c r="I845" s="2" t="str"/>
      <c r="J845" s="2" t="str"/>
      <c r="N845" s="2">
        <f>IF(Append1!J844="","",Append1!J844)</f>
        <v/>
      </c>
    </row>
    <row r="846">
      <c r="B846" s="2">
        <f t="array" ref="B846:J846">IF(Append1!A845:I845="","",Append1!A845:I845)</f>
        <v/>
      </c>
      <c r="C846" s="3" t="str"/>
      <c r="D846" s="2" t="str"/>
      <c r="E846" s="2" t="str"/>
      <c r="F846" s="2" t="str"/>
      <c r="G846" s="2" t="str"/>
      <c r="H846" s="2" t="str"/>
      <c r="I846" s="2" t="str"/>
      <c r="J846" s="2" t="str"/>
      <c r="N846" s="2">
        <f>IF(Append1!J845="","",Append1!J845)</f>
        <v/>
      </c>
    </row>
    <row r="847">
      <c r="B847" s="2">
        <f t="array" ref="B847:J847">IF(Append1!A846:I846="","",Append1!A846:I846)</f>
        <v/>
      </c>
      <c r="C847" s="3" t="str"/>
      <c r="D847" s="2" t="str"/>
      <c r="E847" s="2" t="str"/>
      <c r="F847" s="2" t="str"/>
      <c r="G847" s="2" t="str"/>
      <c r="H847" s="2" t="str"/>
      <c r="I847" s="2" t="str"/>
      <c r="J847" s="2" t="str"/>
      <c r="N847" s="2">
        <f>IF(Append1!J846="","",Append1!J846)</f>
        <v/>
      </c>
    </row>
    <row r="848">
      <c r="B848" s="2">
        <f t="array" ref="B848:J848">IF(Append1!A847:I847="","",Append1!A847:I847)</f>
        <v/>
      </c>
      <c r="C848" s="3" t="str"/>
      <c r="D848" s="2" t="str"/>
      <c r="E848" s="2" t="str"/>
      <c r="F848" s="2" t="str"/>
      <c r="G848" s="2" t="str"/>
      <c r="H848" s="2" t="str"/>
      <c r="I848" s="2" t="str"/>
      <c r="J848" s="2" t="str"/>
      <c r="N848" s="2">
        <f>IF(Append1!J847="","",Append1!J847)</f>
        <v/>
      </c>
    </row>
    <row r="849">
      <c r="B849" s="2">
        <f t="array" ref="B849:J849">IF(Append1!A848:I848="","",Append1!A848:I848)</f>
        <v/>
      </c>
      <c r="C849" s="3" t="str"/>
      <c r="D849" s="2" t="str"/>
      <c r="E849" s="2" t="str"/>
      <c r="F849" s="2" t="str"/>
      <c r="G849" s="2" t="str"/>
      <c r="H849" s="2" t="str"/>
      <c r="I849" s="2" t="str"/>
      <c r="J849" s="2" t="str"/>
      <c r="N849" s="2">
        <f>IF(Append1!J848="","",Append1!J848)</f>
        <v/>
      </c>
    </row>
    <row r="850">
      <c r="B850" s="2">
        <f t="array" ref="B850:J850">IF(Append1!A849:I849="","",Append1!A849:I849)</f>
        <v/>
      </c>
      <c r="C850" s="3" t="str"/>
      <c r="D850" s="2" t="str"/>
      <c r="E850" s="2" t="str"/>
      <c r="F850" s="2" t="str"/>
      <c r="G850" s="2" t="str"/>
      <c r="H850" s="2" t="str"/>
      <c r="I850" s="2" t="str"/>
      <c r="J850" s="2" t="str"/>
      <c r="N850" s="2">
        <f>IF(Append1!J849="","",Append1!J849)</f>
        <v/>
      </c>
    </row>
    <row r="851">
      <c r="B851" s="2">
        <f t="array" ref="B851:J851">IF(Append1!A850:I850="","",Append1!A850:I850)</f>
        <v/>
      </c>
      <c r="C851" s="3" t="str"/>
      <c r="D851" s="2" t="str"/>
      <c r="E851" s="2" t="str"/>
      <c r="F851" s="2" t="str"/>
      <c r="G851" s="2" t="str"/>
      <c r="H851" s="2" t="str"/>
      <c r="I851" s="2" t="str"/>
      <c r="J851" s="2" t="str"/>
      <c r="N851" s="2">
        <f>IF(Append1!J850="","",Append1!J850)</f>
        <v/>
      </c>
    </row>
    <row r="852">
      <c r="B852" s="2">
        <f t="array" ref="B852:J852">IF(Append1!A851:I851="","",Append1!A851:I851)</f>
        <v/>
      </c>
      <c r="C852" s="3" t="str"/>
      <c r="D852" s="2" t="str"/>
      <c r="E852" s="2" t="str"/>
      <c r="F852" s="2" t="str"/>
      <c r="G852" s="2" t="str"/>
      <c r="H852" s="2" t="str"/>
      <c r="I852" s="2" t="str"/>
      <c r="J852" s="2" t="str"/>
      <c r="N852" s="2">
        <f>IF(Append1!J851="","",Append1!J851)</f>
        <v/>
      </c>
    </row>
    <row r="853">
      <c r="B853" s="2">
        <f t="array" ref="B853:J853">IF(Append1!A852:I852="","",Append1!A852:I852)</f>
        <v/>
      </c>
      <c r="C853" s="3" t="str"/>
      <c r="D853" s="2" t="str"/>
      <c r="E853" s="2" t="str"/>
      <c r="F853" s="2" t="str"/>
      <c r="G853" s="2" t="str"/>
      <c r="H853" s="2" t="str"/>
      <c r="I853" s="2" t="str"/>
      <c r="J853" s="2" t="str"/>
      <c r="N853" s="2">
        <f>IF(Append1!J852="","",Append1!J852)</f>
        <v/>
      </c>
    </row>
    <row r="854">
      <c r="B854" s="2">
        <f t="array" ref="B854:J854">IF(Append1!A853:I853="","",Append1!A853:I853)</f>
        <v/>
      </c>
      <c r="C854" s="3" t="str"/>
      <c r="D854" s="2" t="str"/>
      <c r="E854" s="2" t="str"/>
      <c r="F854" s="2" t="str"/>
      <c r="G854" s="2" t="str"/>
      <c r="H854" s="2" t="str"/>
      <c r="I854" s="2" t="str"/>
      <c r="J854" s="2" t="str"/>
      <c r="N854" s="2">
        <f>IF(Append1!J853="","",Append1!J853)</f>
        <v/>
      </c>
    </row>
    <row r="855">
      <c r="B855" s="2">
        <f t="array" ref="B855:J855">IF(Append1!A854:I854="","",Append1!A854:I854)</f>
        <v/>
      </c>
      <c r="C855" s="3" t="str"/>
      <c r="D855" s="2" t="str"/>
      <c r="E855" s="2" t="str"/>
      <c r="F855" s="2" t="str"/>
      <c r="G855" s="2" t="str"/>
      <c r="H855" s="2" t="str"/>
      <c r="I855" s="2" t="str"/>
      <c r="J855" s="2" t="str"/>
      <c r="N855" s="2">
        <f>IF(Append1!J854="","",Append1!J854)</f>
        <v/>
      </c>
    </row>
    <row r="856">
      <c r="B856" s="2">
        <f t="array" ref="B856:J856">IF(Append1!A855:I855="","",Append1!A855:I855)</f>
        <v/>
      </c>
      <c r="C856" s="3" t="str"/>
      <c r="D856" s="2" t="str"/>
      <c r="E856" s="2" t="str"/>
      <c r="F856" s="2" t="str"/>
      <c r="G856" s="2" t="str"/>
      <c r="H856" s="2" t="str"/>
      <c r="I856" s="2" t="str"/>
      <c r="J856" s="2" t="str"/>
      <c r="N856" s="2">
        <f>IF(Append1!J855="","",Append1!J855)</f>
        <v/>
      </c>
    </row>
    <row r="857">
      <c r="B857" s="2">
        <f t="array" ref="B857:J857">IF(Append1!A856:I856="","",Append1!A856:I856)</f>
        <v/>
      </c>
      <c r="C857" s="3" t="str"/>
      <c r="D857" s="2" t="str"/>
      <c r="E857" s="2" t="str"/>
      <c r="F857" s="2" t="str"/>
      <c r="G857" s="2" t="str"/>
      <c r="H857" s="2" t="str"/>
      <c r="I857" s="2" t="str"/>
      <c r="J857" s="2" t="str"/>
      <c r="N857" s="2">
        <f>IF(Append1!J856="","",Append1!J856)</f>
        <v/>
      </c>
    </row>
    <row r="858">
      <c r="B858" s="2">
        <f t="array" ref="B858:J858">IF(Append1!A857:I857="","",Append1!A857:I857)</f>
        <v/>
      </c>
      <c r="C858" s="3" t="str"/>
      <c r="D858" s="2" t="str"/>
      <c r="E858" s="2" t="str"/>
      <c r="F858" s="2" t="str"/>
      <c r="G858" s="2" t="str"/>
      <c r="H858" s="2" t="str"/>
      <c r="I858" s="2" t="str"/>
      <c r="J858" s="2" t="str"/>
      <c r="N858" s="2">
        <f>IF(Append1!J857="","",Append1!J857)</f>
        <v/>
      </c>
    </row>
    <row r="859">
      <c r="B859" s="2">
        <f t="array" ref="B859:J859">IF(Append1!A858:I858="","",Append1!A858:I858)</f>
        <v/>
      </c>
      <c r="C859" s="3" t="str"/>
      <c r="D859" s="2" t="str"/>
      <c r="E859" s="2" t="str"/>
      <c r="F859" s="2" t="str"/>
      <c r="G859" s="2" t="str"/>
      <c r="H859" s="2" t="str"/>
      <c r="I859" s="2" t="str"/>
      <c r="J859" s="2" t="str"/>
      <c r="N859" s="2">
        <f>IF(Append1!J858="","",Append1!J858)</f>
        <v/>
      </c>
    </row>
    <row r="860">
      <c r="B860" s="2">
        <f t="array" ref="B860:J860">IF(Append1!A859:I859="","",Append1!A859:I859)</f>
        <v/>
      </c>
      <c r="C860" s="3" t="str"/>
      <c r="D860" s="2" t="str"/>
      <c r="E860" s="2" t="str"/>
      <c r="F860" s="2" t="str"/>
      <c r="G860" s="2" t="str"/>
      <c r="H860" s="2" t="str"/>
      <c r="I860" s="2" t="str"/>
      <c r="J860" s="2" t="str"/>
      <c r="N860" s="2">
        <f>IF(Append1!J859="","",Append1!J859)</f>
        <v/>
      </c>
    </row>
    <row r="861">
      <c r="B861" s="2">
        <f t="array" ref="B861:J861">IF(Append1!A860:I860="","",Append1!A860:I860)</f>
        <v/>
      </c>
      <c r="C861" s="3" t="str"/>
      <c r="D861" s="2" t="str"/>
      <c r="E861" s="2" t="str"/>
      <c r="F861" s="2" t="str"/>
      <c r="G861" s="2" t="str"/>
      <c r="H861" s="2" t="str"/>
      <c r="I861" s="2" t="str"/>
      <c r="J861" s="2" t="str"/>
      <c r="N861" s="2">
        <f>IF(Append1!J860="","",Append1!J860)</f>
        <v/>
      </c>
    </row>
    <row r="862">
      <c r="B862" s="2">
        <f t="array" ref="B862:J862">IF(Append1!A861:I861="","",Append1!A861:I861)</f>
        <v/>
      </c>
      <c r="C862" s="3" t="str"/>
      <c r="D862" s="2" t="str"/>
      <c r="E862" s="2" t="str"/>
      <c r="F862" s="2" t="str"/>
      <c r="G862" s="2" t="str"/>
      <c r="H862" s="2" t="str"/>
      <c r="I862" s="2" t="str"/>
      <c r="J862" s="2" t="str"/>
      <c r="N862" s="2">
        <f>IF(Append1!J861="","",Append1!J861)</f>
        <v/>
      </c>
    </row>
    <row r="863">
      <c r="B863" s="2">
        <f t="array" ref="B863:J863">IF(Append1!A862:I862="","",Append1!A862:I862)</f>
        <v/>
      </c>
      <c r="C863" s="3" t="str"/>
      <c r="D863" s="2" t="str"/>
      <c r="E863" s="2" t="str"/>
      <c r="F863" s="2" t="str"/>
      <c r="G863" s="2" t="str"/>
      <c r="H863" s="2" t="str"/>
      <c r="I863" s="2" t="str"/>
      <c r="J863" s="2" t="str"/>
      <c r="N863" s="2">
        <f>IF(Append1!J862="","",Append1!J862)</f>
        <v/>
      </c>
    </row>
    <row r="864">
      <c r="B864" s="2">
        <f t="array" ref="B864:J864">IF(Append1!A863:I863="","",Append1!A863:I863)</f>
        <v/>
      </c>
      <c r="C864" s="3" t="str"/>
      <c r="D864" s="2" t="str"/>
      <c r="E864" s="2" t="str"/>
      <c r="F864" s="2" t="str"/>
      <c r="G864" s="2" t="str"/>
      <c r="H864" s="2" t="str"/>
      <c r="I864" s="2" t="str"/>
      <c r="J864" s="2" t="str"/>
      <c r="N864" s="2">
        <f>IF(Append1!J863="","",Append1!J863)</f>
        <v/>
      </c>
    </row>
    <row r="865">
      <c r="B865" s="2">
        <f t="array" ref="B865:J865">IF(Append1!A864:I864="","",Append1!A864:I864)</f>
        <v/>
      </c>
      <c r="C865" s="3" t="str"/>
      <c r="D865" s="2" t="str"/>
      <c r="E865" s="2" t="str"/>
      <c r="F865" s="2" t="str"/>
      <c r="G865" s="2" t="str"/>
      <c r="H865" s="2" t="str"/>
      <c r="I865" s="2" t="str"/>
      <c r="J865" s="2" t="str"/>
      <c r="N865" s="2">
        <f>IF(Append1!J864="","",Append1!J864)</f>
        <v/>
      </c>
    </row>
    <row r="866">
      <c r="B866" s="2">
        <f t="array" ref="B866:J866">IF(Append1!A865:I865="","",Append1!A865:I865)</f>
        <v/>
      </c>
      <c r="C866" s="3" t="str"/>
      <c r="D866" s="2" t="str"/>
      <c r="E866" s="2" t="str"/>
      <c r="F866" s="2" t="str"/>
      <c r="G866" s="2" t="str"/>
      <c r="H866" s="2" t="str"/>
      <c r="I866" s="2" t="str"/>
      <c r="J866" s="2" t="str"/>
      <c r="N866" s="2">
        <f>IF(Append1!J865="","",Append1!J865)</f>
        <v/>
      </c>
    </row>
    <row r="867">
      <c r="B867" s="2">
        <f t="array" ref="B867:J867">IF(Append1!A866:I866="","",Append1!A866:I866)</f>
        <v/>
      </c>
      <c r="C867" s="3" t="str"/>
      <c r="D867" s="2" t="str"/>
      <c r="E867" s="2" t="str"/>
      <c r="F867" s="2" t="str"/>
      <c r="G867" s="2" t="str"/>
      <c r="H867" s="2" t="str"/>
      <c r="I867" s="2" t="str"/>
      <c r="J867" s="2" t="str"/>
      <c r="N867" s="2">
        <f>IF(Append1!J866="","",Append1!J866)</f>
        <v/>
      </c>
    </row>
    <row r="868">
      <c r="B868" s="2">
        <f t="array" ref="B868:J868">IF(Append1!A867:I867="","",Append1!A867:I867)</f>
        <v/>
      </c>
      <c r="C868" s="3" t="str"/>
      <c r="D868" s="2" t="str"/>
      <c r="E868" s="2" t="str"/>
      <c r="F868" s="2" t="str"/>
      <c r="G868" s="2" t="str"/>
      <c r="H868" s="2" t="str"/>
      <c r="I868" s="2" t="str"/>
      <c r="J868" s="2" t="str"/>
      <c r="N868" s="2">
        <f>IF(Append1!J867="","",Append1!J867)</f>
        <v/>
      </c>
    </row>
    <row r="869">
      <c r="B869" s="2">
        <f t="array" ref="B869:J869">IF(Append1!A868:I868="","",Append1!A868:I868)</f>
        <v/>
      </c>
      <c r="C869" s="3" t="str"/>
      <c r="D869" s="2" t="str"/>
      <c r="E869" s="2" t="str"/>
      <c r="F869" s="2" t="str"/>
      <c r="G869" s="2" t="str"/>
      <c r="H869" s="2" t="str"/>
      <c r="I869" s="2" t="str"/>
      <c r="J869" s="2" t="str"/>
      <c r="N869" s="2">
        <f>IF(Append1!J868="","",Append1!J868)</f>
        <v/>
      </c>
    </row>
    <row r="870">
      <c r="B870" s="2">
        <f t="array" ref="B870:J870">IF(Append1!A869:I869="","",Append1!A869:I869)</f>
        <v/>
      </c>
      <c r="C870" s="3" t="str"/>
      <c r="D870" s="2" t="str"/>
      <c r="E870" s="2" t="str"/>
      <c r="F870" s="2" t="str"/>
      <c r="G870" s="2" t="str"/>
      <c r="H870" s="2" t="str"/>
      <c r="I870" s="2" t="str"/>
      <c r="J870" s="2" t="str"/>
      <c r="N870" s="2">
        <f>IF(Append1!J869="","",Append1!J869)</f>
        <v/>
      </c>
    </row>
    <row r="871">
      <c r="B871" s="2">
        <f t="array" ref="B871:J871">IF(Append1!A870:I870="","",Append1!A870:I870)</f>
        <v/>
      </c>
      <c r="C871" s="3" t="str"/>
      <c r="D871" s="2" t="str"/>
      <c r="E871" s="2" t="str"/>
      <c r="F871" s="2" t="str"/>
      <c r="G871" s="2" t="str"/>
      <c r="H871" s="2" t="str"/>
      <c r="I871" s="2" t="str"/>
      <c r="J871" s="2" t="str"/>
      <c r="N871" s="2">
        <f>IF(Append1!J870="","",Append1!J870)</f>
        <v/>
      </c>
    </row>
    <row r="872">
      <c r="B872" s="2">
        <f t="array" ref="B872:J872">IF(Append1!A871:I871="","",Append1!A871:I871)</f>
        <v/>
      </c>
      <c r="C872" s="3" t="str"/>
      <c r="D872" s="2" t="str"/>
      <c r="E872" s="2" t="str"/>
      <c r="F872" s="2" t="str"/>
      <c r="G872" s="2" t="str"/>
      <c r="H872" s="2" t="str"/>
      <c r="I872" s="2" t="str"/>
      <c r="J872" s="2" t="str"/>
      <c r="N872" s="2">
        <f>IF(Append1!J871="","",Append1!J871)</f>
        <v/>
      </c>
    </row>
    <row r="873">
      <c r="B873" s="2">
        <f t="array" ref="B873:J873">IF(Append1!A872:I872="","",Append1!A872:I872)</f>
        <v/>
      </c>
      <c r="C873" s="3" t="str"/>
      <c r="D873" s="2" t="str"/>
      <c r="E873" s="2" t="str"/>
      <c r="F873" s="2" t="str"/>
      <c r="G873" s="2" t="str"/>
      <c r="H873" s="2" t="str"/>
      <c r="I873" s="2" t="str"/>
      <c r="J873" s="2" t="str"/>
      <c r="N873" s="2">
        <f>IF(Append1!J872="","",Append1!J872)</f>
        <v/>
      </c>
    </row>
    <row r="874">
      <c r="B874" s="2">
        <f t="array" ref="B874:J874">IF(Append1!A873:I873="","",Append1!A873:I873)</f>
        <v/>
      </c>
      <c r="C874" s="3" t="str"/>
      <c r="D874" s="2" t="str"/>
      <c r="E874" s="2" t="str"/>
      <c r="F874" s="2" t="str"/>
      <c r="G874" s="2" t="str"/>
      <c r="H874" s="2" t="str"/>
      <c r="I874" s="2" t="str"/>
      <c r="J874" s="2" t="str"/>
      <c r="N874" s="2">
        <f>IF(Append1!J873="","",Append1!J873)</f>
        <v/>
      </c>
    </row>
    <row r="875">
      <c r="B875" s="2">
        <f t="array" ref="B875:J875">IF(Append1!A874:I874="","",Append1!A874:I874)</f>
        <v/>
      </c>
      <c r="C875" s="3" t="str"/>
      <c r="D875" s="2" t="str"/>
      <c r="E875" s="2" t="str"/>
      <c r="F875" s="2" t="str"/>
      <c r="G875" s="2" t="str"/>
      <c r="H875" s="2" t="str"/>
      <c r="I875" s="2" t="str"/>
      <c r="J875" s="2" t="str"/>
      <c r="N875" s="2">
        <f>IF(Append1!J874="","",Append1!J874)</f>
        <v/>
      </c>
    </row>
    <row r="876">
      <c r="B876" s="2">
        <f t="array" ref="B876:J876">IF(Append1!A875:I875="","",Append1!A875:I875)</f>
        <v/>
      </c>
      <c r="C876" s="3" t="str"/>
      <c r="D876" s="2" t="str"/>
      <c r="E876" s="2" t="str"/>
      <c r="F876" s="2" t="str"/>
      <c r="G876" s="2" t="str"/>
      <c r="H876" s="2" t="str"/>
      <c r="I876" s="2" t="str"/>
      <c r="J876" s="2" t="str"/>
      <c r="N876" s="2">
        <f>IF(Append1!J875="","",Append1!J875)</f>
        <v/>
      </c>
    </row>
    <row r="877">
      <c r="B877" s="2">
        <f t="array" ref="B877:J877">IF(Append1!A876:I876="","",Append1!A876:I876)</f>
        <v/>
      </c>
      <c r="C877" s="3" t="str"/>
      <c r="D877" s="2" t="str"/>
      <c r="E877" s="2" t="str"/>
      <c r="F877" s="2" t="str"/>
      <c r="G877" s="2" t="str"/>
      <c r="H877" s="2" t="str"/>
      <c r="I877" s="2" t="str"/>
      <c r="J877" s="2" t="str"/>
      <c r="N877" s="2">
        <f>IF(Append1!J876="","",Append1!J876)</f>
        <v/>
      </c>
    </row>
    <row r="878">
      <c r="B878" s="2">
        <f t="array" ref="B878:J878">IF(Append1!A877:I877="","",Append1!A877:I877)</f>
        <v/>
      </c>
      <c r="C878" s="3" t="str"/>
      <c r="D878" s="2" t="str"/>
      <c r="E878" s="2" t="str"/>
      <c r="F878" s="2" t="str"/>
      <c r="G878" s="2" t="str"/>
      <c r="H878" s="2" t="str"/>
      <c r="I878" s="2" t="str"/>
      <c r="J878" s="2" t="str"/>
      <c r="N878" s="2">
        <f>IF(Append1!J877="","",Append1!J877)</f>
        <v/>
      </c>
    </row>
    <row r="879">
      <c r="B879" s="2">
        <f t="array" ref="B879:J879">IF(Append1!A878:I878="","",Append1!A878:I878)</f>
        <v/>
      </c>
      <c r="C879" s="3" t="str"/>
      <c r="D879" s="2" t="str"/>
      <c r="E879" s="2" t="str"/>
      <c r="F879" s="2" t="str"/>
      <c r="G879" s="2" t="str"/>
      <c r="H879" s="2" t="str"/>
      <c r="I879" s="2" t="str"/>
      <c r="J879" s="2" t="str"/>
      <c r="N879" s="2">
        <f>IF(Append1!J878="","",Append1!J878)</f>
        <v/>
      </c>
    </row>
    <row r="880">
      <c r="B880" s="2">
        <f t="array" ref="B880:J880">IF(Append1!A879:I879="","",Append1!A879:I879)</f>
        <v/>
      </c>
      <c r="C880" s="3" t="str"/>
      <c r="D880" s="2" t="str"/>
      <c r="E880" s="2" t="str"/>
      <c r="F880" s="2" t="str"/>
      <c r="G880" s="2" t="str"/>
      <c r="H880" s="2" t="str"/>
      <c r="I880" s="2" t="str"/>
      <c r="J880" s="2" t="str"/>
      <c r="N880" s="2">
        <f>IF(Append1!J879="","",Append1!J879)</f>
        <v/>
      </c>
    </row>
    <row r="881">
      <c r="B881" s="2">
        <f t="array" ref="B881:J881">IF(Append1!A880:I880="","",Append1!A880:I880)</f>
        <v/>
      </c>
      <c r="C881" s="3" t="str"/>
      <c r="D881" s="2" t="str"/>
      <c r="E881" s="2" t="str"/>
      <c r="F881" s="2" t="str"/>
      <c r="G881" s="2" t="str"/>
      <c r="H881" s="2" t="str"/>
      <c r="I881" s="2" t="str"/>
      <c r="J881" s="2" t="str"/>
      <c r="N881" s="2">
        <f>IF(Append1!J880="","",Append1!J880)</f>
        <v/>
      </c>
    </row>
    <row r="882">
      <c r="B882" s="2">
        <f t="array" ref="B882:J882">IF(Append1!A881:I881="","",Append1!A881:I881)</f>
        <v/>
      </c>
      <c r="C882" s="3" t="str"/>
      <c r="D882" s="2" t="str"/>
      <c r="E882" s="2" t="str"/>
      <c r="F882" s="2" t="str"/>
      <c r="G882" s="2" t="str"/>
      <c r="H882" s="2" t="str"/>
      <c r="I882" s="2" t="str"/>
      <c r="J882" s="2" t="str"/>
      <c r="N882" s="2">
        <f>IF(Append1!J881="","",Append1!J881)</f>
        <v/>
      </c>
    </row>
    <row r="883">
      <c r="B883" s="2">
        <f t="array" ref="B883:J883">IF(Append1!A882:I882="","",Append1!A882:I882)</f>
        <v/>
      </c>
      <c r="C883" s="3" t="str"/>
      <c r="D883" s="2" t="str"/>
      <c r="E883" s="2" t="str"/>
      <c r="F883" s="2" t="str"/>
      <c r="G883" s="2" t="str"/>
      <c r="H883" s="2" t="str"/>
      <c r="I883" s="2" t="str"/>
      <c r="J883" s="2" t="str"/>
      <c r="N883" s="2">
        <f>IF(Append1!J882="","",Append1!J882)</f>
        <v/>
      </c>
    </row>
    <row r="884">
      <c r="B884" s="2">
        <f t="array" ref="B884:J884">IF(Append1!A883:I883="","",Append1!A883:I883)</f>
        <v/>
      </c>
      <c r="C884" s="3" t="str"/>
      <c r="D884" s="2" t="str"/>
      <c r="E884" s="2" t="str"/>
      <c r="F884" s="2" t="str"/>
      <c r="G884" s="2" t="str"/>
      <c r="H884" s="2" t="str"/>
      <c r="I884" s="2" t="str"/>
      <c r="J884" s="2" t="str"/>
      <c r="N884" s="2">
        <f>IF(Append1!J883="","",Append1!J883)</f>
        <v/>
      </c>
    </row>
    <row r="885">
      <c r="B885" s="2">
        <f t="array" ref="B885:J885">IF(Append1!A884:I884="","",Append1!A884:I884)</f>
        <v/>
      </c>
      <c r="C885" s="3" t="str"/>
      <c r="D885" s="2" t="str"/>
      <c r="E885" s="2" t="str"/>
      <c r="F885" s="2" t="str"/>
      <c r="G885" s="2" t="str"/>
      <c r="H885" s="2" t="str"/>
      <c r="I885" s="2" t="str"/>
      <c r="J885" s="2" t="str"/>
      <c r="N885" s="2">
        <f>IF(Append1!J884="","",Append1!J884)</f>
        <v/>
      </c>
    </row>
    <row r="886">
      <c r="B886" s="2">
        <f t="array" ref="B886:J886">IF(Append1!A885:I885="","",Append1!A885:I885)</f>
        <v/>
      </c>
      <c r="C886" s="3" t="str"/>
      <c r="D886" s="2" t="str"/>
      <c r="E886" s="2" t="str"/>
      <c r="F886" s="2" t="str"/>
      <c r="G886" s="2" t="str"/>
      <c r="H886" s="2" t="str"/>
      <c r="I886" s="2" t="str"/>
      <c r="J886" s="2" t="str"/>
      <c r="N886" s="2">
        <f>IF(Append1!J885="","",Append1!J885)</f>
        <v/>
      </c>
    </row>
    <row r="887">
      <c r="B887" s="2">
        <f t="array" ref="B887:J887">IF(Append1!A886:I886="","",Append1!A886:I886)</f>
        <v/>
      </c>
      <c r="C887" s="3" t="str"/>
      <c r="D887" s="2" t="str"/>
      <c r="E887" s="2" t="str"/>
      <c r="F887" s="2" t="str"/>
      <c r="G887" s="2" t="str"/>
      <c r="H887" s="2" t="str"/>
      <c r="I887" s="2" t="str"/>
      <c r="J887" s="2" t="str"/>
      <c r="N887" s="2">
        <f>IF(Append1!J886="","",Append1!J886)</f>
        <v/>
      </c>
    </row>
    <row r="888">
      <c r="B888" s="2">
        <f t="array" ref="B888:J888">IF(Append1!A887:I887="","",Append1!A887:I887)</f>
        <v/>
      </c>
      <c r="C888" s="3" t="str"/>
      <c r="D888" s="2" t="str"/>
      <c r="E888" s="2" t="str"/>
      <c r="F888" s="2" t="str"/>
      <c r="G888" s="2" t="str"/>
      <c r="H888" s="2" t="str"/>
      <c r="I888" s="2" t="str"/>
      <c r="J888" s="2" t="str"/>
      <c r="N888" s="2">
        <f>IF(Append1!J887="","",Append1!J887)</f>
        <v/>
      </c>
    </row>
    <row r="889">
      <c r="B889" s="2">
        <f t="array" ref="B889:J889">IF(Append1!A888:I888="","",Append1!A888:I888)</f>
        <v/>
      </c>
      <c r="C889" s="3" t="str"/>
      <c r="D889" s="2" t="str"/>
      <c r="E889" s="2" t="str"/>
      <c r="F889" s="2" t="str"/>
      <c r="G889" s="2" t="str"/>
      <c r="H889" s="2" t="str"/>
      <c r="I889" s="2" t="str"/>
      <c r="J889" s="2" t="str"/>
      <c r="N889" s="2">
        <f>IF(Append1!J888="","",Append1!J888)</f>
        <v/>
      </c>
    </row>
    <row r="890">
      <c r="B890" s="2">
        <f t="array" ref="B890:J890">IF(Append1!A889:I889="","",Append1!A889:I889)</f>
        <v/>
      </c>
      <c r="C890" s="3" t="str"/>
      <c r="D890" s="2" t="str"/>
      <c r="E890" s="2" t="str"/>
      <c r="F890" s="2" t="str"/>
      <c r="G890" s="2" t="str"/>
      <c r="H890" s="2" t="str"/>
      <c r="I890" s="2" t="str"/>
      <c r="J890" s="2" t="str"/>
      <c r="N890" s="2">
        <f>IF(Append1!J889="","",Append1!J889)</f>
        <v/>
      </c>
    </row>
    <row r="891">
      <c r="B891" s="2">
        <f t="array" ref="B891:J891">IF(Append1!A890:I890="","",Append1!A890:I890)</f>
        <v/>
      </c>
      <c r="C891" s="3" t="str"/>
      <c r="D891" s="2" t="str"/>
      <c r="E891" s="2" t="str"/>
      <c r="F891" s="2" t="str"/>
      <c r="G891" s="2" t="str"/>
      <c r="H891" s="2" t="str"/>
      <c r="I891" s="2" t="str"/>
      <c r="J891" s="2" t="str"/>
      <c r="N891" s="2">
        <f>IF(Append1!J890="","",Append1!J890)</f>
        <v/>
      </c>
    </row>
    <row r="892">
      <c r="B892" s="2">
        <f t="array" ref="B892:J892">IF(Append1!A891:I891="","",Append1!A891:I891)</f>
        <v/>
      </c>
      <c r="C892" s="3" t="str"/>
      <c r="D892" s="2" t="str"/>
      <c r="E892" s="2" t="str"/>
      <c r="F892" s="2" t="str"/>
      <c r="G892" s="2" t="str"/>
      <c r="H892" s="2" t="str"/>
      <c r="I892" s="2" t="str"/>
      <c r="J892" s="2" t="str"/>
      <c r="N892" s="2">
        <f>IF(Append1!J891="","",Append1!J891)</f>
        <v/>
      </c>
    </row>
    <row r="893">
      <c r="B893" s="2">
        <f t="array" ref="B893:J893">IF(Append1!A892:I892="","",Append1!A892:I892)</f>
        <v/>
      </c>
      <c r="C893" s="3" t="str"/>
      <c r="D893" s="2" t="str"/>
      <c r="E893" s="2" t="str"/>
      <c r="F893" s="2" t="str"/>
      <c r="G893" s="2" t="str"/>
      <c r="H893" s="2" t="str"/>
      <c r="I893" s="2" t="str"/>
      <c r="J893" s="2" t="str"/>
      <c r="N893" s="2">
        <f>IF(Append1!J892="","",Append1!J892)</f>
        <v/>
      </c>
    </row>
    <row r="894">
      <c r="B894" s="2">
        <f t="array" ref="B894:J894">IF(Append1!A893:I893="","",Append1!A893:I893)</f>
        <v/>
      </c>
      <c r="C894" s="3" t="str"/>
      <c r="D894" s="2" t="str"/>
      <c r="E894" s="2" t="str"/>
      <c r="F894" s="2" t="str"/>
      <c r="G894" s="2" t="str"/>
      <c r="H894" s="2" t="str"/>
      <c r="I894" s="2" t="str"/>
      <c r="J894" s="2" t="str"/>
      <c r="N894" s="2">
        <f>IF(Append1!J893="","",Append1!J893)</f>
        <v/>
      </c>
    </row>
    <row r="895">
      <c r="B895" s="2">
        <f t="array" ref="B895:J895">IF(Append1!A894:I894="","",Append1!A894:I894)</f>
        <v/>
      </c>
      <c r="C895" s="3" t="str"/>
      <c r="D895" s="2" t="str"/>
      <c r="E895" s="2" t="str"/>
      <c r="F895" s="2" t="str"/>
      <c r="G895" s="2" t="str"/>
      <c r="H895" s="2" t="str"/>
      <c r="I895" s="2" t="str"/>
      <c r="J895" s="2" t="str"/>
      <c r="N895" s="2">
        <f>IF(Append1!J894="","",Append1!J894)</f>
        <v/>
      </c>
    </row>
    <row r="896">
      <c r="B896" s="2">
        <f t="array" ref="B896:J896">IF(Append1!A895:I895="","",Append1!A895:I895)</f>
        <v/>
      </c>
      <c r="C896" s="3" t="str"/>
      <c r="D896" s="2" t="str"/>
      <c r="E896" s="2" t="str"/>
      <c r="F896" s="2" t="str"/>
      <c r="G896" s="2" t="str"/>
      <c r="H896" s="2" t="str"/>
      <c r="I896" s="2" t="str"/>
      <c r="J896" s="2" t="str"/>
      <c r="N896" s="2">
        <f>IF(Append1!J895="","",Append1!J895)</f>
        <v/>
      </c>
    </row>
    <row r="897">
      <c r="B897" s="2">
        <f t="array" ref="B897:J897">IF(Append1!A896:I896="","",Append1!A896:I896)</f>
        <v/>
      </c>
      <c r="C897" s="3" t="str"/>
      <c r="D897" s="2" t="str"/>
      <c r="E897" s="2" t="str"/>
      <c r="F897" s="2" t="str"/>
      <c r="G897" s="2" t="str"/>
      <c r="H897" s="2" t="str"/>
      <c r="I897" s="2" t="str"/>
      <c r="J897" s="2" t="str"/>
      <c r="N897" s="2">
        <f>IF(Append1!J896="","",Append1!J896)</f>
        <v/>
      </c>
    </row>
    <row r="898">
      <c r="B898" s="2">
        <f t="array" ref="B898:J898">IF(Append1!A897:I897="","",Append1!A897:I897)</f>
        <v/>
      </c>
      <c r="C898" s="3" t="str"/>
      <c r="D898" s="2" t="str"/>
      <c r="E898" s="2" t="str"/>
      <c r="F898" s="2" t="str"/>
      <c r="G898" s="2" t="str"/>
      <c r="H898" s="2" t="str"/>
      <c r="I898" s="2" t="str"/>
      <c r="J898" s="2" t="str"/>
      <c r="N898" s="2">
        <f>IF(Append1!J897="","",Append1!J897)</f>
        <v/>
      </c>
    </row>
    <row r="899">
      <c r="B899" s="2">
        <f t="array" ref="B899:J899">IF(Append1!A898:I898="","",Append1!A898:I898)</f>
        <v/>
      </c>
      <c r="C899" s="3" t="str"/>
      <c r="D899" s="2" t="str"/>
      <c r="E899" s="2" t="str"/>
      <c r="F899" s="2" t="str"/>
      <c r="G899" s="2" t="str"/>
      <c r="H899" s="2" t="str"/>
      <c r="I899" s="2" t="str"/>
      <c r="J899" s="2" t="str"/>
      <c r="N899" s="2">
        <f>IF(Append1!J898="","",Append1!J898)</f>
        <v/>
      </c>
    </row>
    <row r="900">
      <c r="B900" s="2">
        <f t="array" ref="B900:J900">IF(Append1!A899:I899="","",Append1!A899:I899)</f>
        <v/>
      </c>
      <c r="C900" s="3" t="str"/>
      <c r="D900" s="2" t="str"/>
      <c r="E900" s="2" t="str"/>
      <c r="F900" s="2" t="str"/>
      <c r="G900" s="2" t="str"/>
      <c r="H900" s="2" t="str"/>
      <c r="I900" s="2" t="str"/>
      <c r="J900" s="2" t="str"/>
      <c r="N900" s="2">
        <f>IF(Append1!J899="","",Append1!J899)</f>
        <v/>
      </c>
    </row>
    <row r="901">
      <c r="B901" s="2">
        <f t="array" ref="B901:J901">IF(Append1!A900:I900="","",Append1!A900:I900)</f>
        <v/>
      </c>
      <c r="C901" s="3" t="str"/>
      <c r="D901" s="2" t="str"/>
      <c r="E901" s="2" t="str"/>
      <c r="F901" s="2" t="str"/>
      <c r="G901" s="2" t="str"/>
      <c r="H901" s="2" t="str"/>
      <c r="I901" s="2" t="str"/>
      <c r="J901" s="2" t="str"/>
      <c r="N901" s="2">
        <f>IF(Append1!J900="","",Append1!J900)</f>
        <v/>
      </c>
    </row>
    <row r="902">
      <c r="B902" s="2">
        <f t="array" ref="B902:J902">IF(Append1!A901:I901="","",Append1!A901:I901)</f>
        <v/>
      </c>
      <c r="C902" s="3" t="str"/>
      <c r="D902" s="2" t="str"/>
      <c r="E902" s="2" t="str"/>
      <c r="F902" s="2" t="str"/>
      <c r="G902" s="2" t="str"/>
      <c r="H902" s="2" t="str"/>
      <c r="I902" s="2" t="str"/>
      <c r="J902" s="2" t="str"/>
      <c r="N902" s="2">
        <f>IF(Append1!J901="","",Append1!J901)</f>
        <v/>
      </c>
    </row>
    <row r="903">
      <c r="B903" s="2">
        <f t="array" ref="B903:J903">IF(Append1!A902:I902="","",Append1!A902:I902)</f>
        <v/>
      </c>
      <c r="C903" s="3" t="str"/>
      <c r="D903" s="2" t="str"/>
      <c r="E903" s="2" t="str"/>
      <c r="F903" s="2" t="str"/>
      <c r="G903" s="2" t="str"/>
      <c r="H903" s="2" t="str"/>
      <c r="I903" s="2" t="str"/>
      <c r="J903" s="2" t="str"/>
      <c r="N903" s="2">
        <f>IF(Append1!J902="","",Append1!J902)</f>
        <v/>
      </c>
    </row>
    <row r="904">
      <c r="B904" s="2">
        <f t="array" ref="B904:J904">IF(Append1!A903:I903="","",Append1!A903:I903)</f>
        <v/>
      </c>
      <c r="C904" s="3" t="str"/>
      <c r="D904" s="2" t="str"/>
      <c r="E904" s="2" t="str"/>
      <c r="F904" s="2" t="str"/>
      <c r="G904" s="2" t="str"/>
      <c r="H904" s="2" t="str"/>
      <c r="I904" s="2" t="str"/>
      <c r="J904" s="2" t="str"/>
      <c r="N904" s="2">
        <f>IF(Append1!J903="","",Append1!J903)</f>
        <v/>
      </c>
    </row>
    <row r="905">
      <c r="B905" s="2">
        <f t="array" ref="B905:J905">IF(Append1!A904:I904="","",Append1!A904:I904)</f>
        <v/>
      </c>
      <c r="C905" s="3" t="str"/>
      <c r="D905" s="2" t="str"/>
      <c r="E905" s="2" t="str"/>
      <c r="F905" s="2" t="str"/>
      <c r="G905" s="2" t="str"/>
      <c r="H905" s="2" t="str"/>
      <c r="I905" s="2" t="str"/>
      <c r="J905" s="2" t="str"/>
      <c r="N905" s="2">
        <f>IF(Append1!J904="","",Append1!J904)</f>
        <v/>
      </c>
    </row>
    <row r="906">
      <c r="B906" s="2">
        <f t="array" ref="B906:J906">IF(Append1!A905:I905="","",Append1!A905:I905)</f>
        <v/>
      </c>
      <c r="C906" s="3" t="str"/>
      <c r="D906" s="2" t="str"/>
      <c r="E906" s="2" t="str"/>
      <c r="F906" s="2" t="str"/>
      <c r="G906" s="2" t="str"/>
      <c r="H906" s="2" t="str"/>
      <c r="I906" s="2" t="str"/>
      <c r="J906" s="2" t="str"/>
      <c r="N906" s="2">
        <f>IF(Append1!J905="","",Append1!J905)</f>
        <v/>
      </c>
    </row>
    <row r="907">
      <c r="B907" s="2">
        <f t="array" ref="B907:J907">IF(Append1!A906:I906="","",Append1!A906:I906)</f>
        <v/>
      </c>
      <c r="C907" s="3" t="str"/>
      <c r="D907" s="2" t="str"/>
      <c r="E907" s="2" t="str"/>
      <c r="F907" s="2" t="str"/>
      <c r="G907" s="2" t="str"/>
      <c r="H907" s="2" t="str"/>
      <c r="I907" s="2" t="str"/>
      <c r="J907" s="2" t="str"/>
      <c r="N907" s="2">
        <f>IF(Append1!J906="","",Append1!J906)</f>
        <v/>
      </c>
    </row>
    <row r="908">
      <c r="B908" s="2">
        <f t="array" ref="B908:J908">IF(Append1!A907:I907="","",Append1!A907:I907)</f>
        <v/>
      </c>
      <c r="C908" s="3" t="str"/>
      <c r="D908" s="2" t="str"/>
      <c r="E908" s="2" t="str"/>
      <c r="F908" s="2" t="str"/>
      <c r="G908" s="2" t="str"/>
      <c r="H908" s="2" t="str"/>
      <c r="I908" s="2" t="str"/>
      <c r="J908" s="2" t="str"/>
      <c r="N908" s="2">
        <f>IF(Append1!J907="","",Append1!J907)</f>
        <v/>
      </c>
    </row>
    <row r="909">
      <c r="B909" s="2">
        <f t="array" ref="B909:J909">IF(Append1!A908:I908="","",Append1!A908:I908)</f>
        <v/>
      </c>
      <c r="C909" s="3" t="str"/>
      <c r="D909" s="2" t="str"/>
      <c r="E909" s="2" t="str"/>
      <c r="F909" s="2" t="str"/>
      <c r="G909" s="2" t="str"/>
      <c r="H909" s="2" t="str"/>
      <c r="I909" s="2" t="str"/>
      <c r="J909" s="2" t="str"/>
      <c r="N909" s="2">
        <f>IF(Append1!J908="","",Append1!J908)</f>
        <v/>
      </c>
    </row>
    <row r="910">
      <c r="B910" s="2">
        <f t="array" ref="B910:J910">IF(Append1!A909:I909="","",Append1!A909:I909)</f>
        <v/>
      </c>
      <c r="C910" s="3" t="str"/>
      <c r="D910" s="2" t="str"/>
      <c r="E910" s="2" t="str"/>
      <c r="F910" s="2" t="str"/>
      <c r="G910" s="2" t="str"/>
      <c r="H910" s="2" t="str"/>
      <c r="I910" s="2" t="str"/>
      <c r="J910" s="2" t="str"/>
      <c r="N910" s="2">
        <f>IF(Append1!J909="","",Append1!J909)</f>
        <v/>
      </c>
    </row>
    <row r="911">
      <c r="B911" s="2">
        <f t="array" ref="B911:J911">IF(Append1!A910:I910="","",Append1!A910:I910)</f>
        <v/>
      </c>
      <c r="C911" s="3" t="str"/>
      <c r="D911" s="2" t="str"/>
      <c r="E911" s="2" t="str"/>
      <c r="F911" s="2" t="str"/>
      <c r="G911" s="2" t="str"/>
      <c r="H911" s="2" t="str"/>
      <c r="I911" s="2" t="str"/>
      <c r="J911" s="2" t="str"/>
      <c r="N911" s="2">
        <f>IF(Append1!J910="","",Append1!J910)</f>
        <v/>
      </c>
    </row>
    <row r="912">
      <c r="B912" s="2">
        <f t="array" ref="B912:J912">IF(Append1!A911:I911="","",Append1!A911:I911)</f>
        <v/>
      </c>
      <c r="C912" s="3" t="str"/>
      <c r="D912" s="2" t="str"/>
      <c r="E912" s="2" t="str"/>
      <c r="F912" s="2" t="str"/>
      <c r="G912" s="2" t="str"/>
      <c r="H912" s="2" t="str"/>
      <c r="I912" s="2" t="str"/>
      <c r="J912" s="2" t="str"/>
      <c r="N912" s="2">
        <f>IF(Append1!J911="","",Append1!J911)</f>
        <v/>
      </c>
    </row>
    <row r="913">
      <c r="B913" s="2">
        <f t="array" ref="B913:J913">IF(Append1!A912:I912="","",Append1!A912:I912)</f>
        <v/>
      </c>
      <c r="C913" s="3" t="str"/>
      <c r="D913" s="2" t="str"/>
      <c r="E913" s="2" t="str"/>
      <c r="F913" s="2" t="str"/>
      <c r="G913" s="2" t="str"/>
      <c r="H913" s="2" t="str"/>
      <c r="I913" s="2" t="str"/>
      <c r="J913" s="2" t="str"/>
      <c r="N913" s="2">
        <f>IF(Append1!J912="","",Append1!J912)</f>
        <v/>
      </c>
    </row>
    <row r="914">
      <c r="B914" s="2">
        <f t="array" ref="B914:J914">IF(Append1!A913:I913="","",Append1!A913:I913)</f>
        <v/>
      </c>
      <c r="C914" s="3" t="str"/>
      <c r="D914" s="2" t="str"/>
      <c r="E914" s="2" t="str"/>
      <c r="F914" s="2" t="str"/>
      <c r="G914" s="2" t="str"/>
      <c r="H914" s="2" t="str"/>
      <c r="I914" s="2" t="str"/>
      <c r="J914" s="2" t="str"/>
      <c r="N914" s="2">
        <f>IF(Append1!J913="","",Append1!J913)</f>
        <v/>
      </c>
    </row>
    <row r="915">
      <c r="B915" s="2">
        <f t="array" ref="B915:J915">IF(Append1!A914:I914="","",Append1!A914:I914)</f>
        <v/>
      </c>
      <c r="C915" s="3" t="str"/>
      <c r="D915" s="2" t="str"/>
      <c r="E915" s="2" t="str"/>
      <c r="F915" s="2" t="str"/>
      <c r="G915" s="2" t="str"/>
      <c r="H915" s="2" t="str"/>
      <c r="I915" s="2" t="str"/>
      <c r="J915" s="2" t="str"/>
      <c r="N915" s="2">
        <f>IF(Append1!J914="","",Append1!J914)</f>
        <v/>
      </c>
    </row>
    <row r="916">
      <c r="B916" s="2">
        <f t="array" ref="B916:J916">IF(Append1!A915:I915="","",Append1!A915:I915)</f>
        <v/>
      </c>
      <c r="C916" s="3" t="str"/>
      <c r="D916" s="2" t="str"/>
      <c r="E916" s="2" t="str"/>
      <c r="F916" s="2" t="str"/>
      <c r="G916" s="2" t="str"/>
      <c r="H916" s="2" t="str"/>
      <c r="I916" s="2" t="str"/>
      <c r="J916" s="2" t="str"/>
      <c r="N916" s="2">
        <f>IF(Append1!J915="","",Append1!J915)</f>
        <v/>
      </c>
    </row>
    <row r="917">
      <c r="B917" s="2">
        <f t="array" ref="B917:J917">IF(Append1!A916:I916="","",Append1!A916:I916)</f>
        <v/>
      </c>
      <c r="C917" s="3" t="str"/>
      <c r="D917" s="2" t="str"/>
      <c r="E917" s="2" t="str"/>
      <c r="F917" s="2" t="str"/>
      <c r="G917" s="2" t="str"/>
      <c r="H917" s="2" t="str"/>
      <c r="I917" s="2" t="str"/>
      <c r="J917" s="2" t="str"/>
      <c r="N917" s="2">
        <f>IF(Append1!J916="","",Append1!J916)</f>
        <v/>
      </c>
    </row>
    <row r="918">
      <c r="B918" s="2">
        <f t="array" ref="B918:J918">IF(Append1!A917:I917="","",Append1!A917:I917)</f>
        <v/>
      </c>
      <c r="C918" s="3" t="str"/>
      <c r="D918" s="2" t="str"/>
      <c r="E918" s="2" t="str"/>
      <c r="F918" s="2" t="str"/>
      <c r="G918" s="2" t="str"/>
      <c r="H918" s="2" t="str"/>
      <c r="I918" s="2" t="str"/>
      <c r="J918" s="2" t="str"/>
      <c r="N918" s="2">
        <f>IF(Append1!J917="","",Append1!J917)</f>
        <v/>
      </c>
    </row>
    <row r="919">
      <c r="B919" s="2">
        <f t="array" ref="B919:J919">IF(Append1!A918:I918="","",Append1!A918:I918)</f>
        <v/>
      </c>
      <c r="C919" s="3" t="str"/>
      <c r="D919" s="2" t="str"/>
      <c r="E919" s="2" t="str"/>
      <c r="F919" s="2" t="str"/>
      <c r="G919" s="2" t="str"/>
      <c r="H919" s="2" t="str"/>
      <c r="I919" s="2" t="str"/>
      <c r="J919" s="2" t="str"/>
      <c r="N919" s="2">
        <f>IF(Append1!J918="","",Append1!J918)</f>
        <v/>
      </c>
    </row>
    <row r="920">
      <c r="B920" s="2">
        <f t="array" ref="B920:J920">IF(Append1!A919:I919="","",Append1!A919:I919)</f>
        <v/>
      </c>
      <c r="C920" s="3" t="str"/>
      <c r="D920" s="2" t="str"/>
      <c r="E920" s="2" t="str"/>
      <c r="F920" s="2" t="str"/>
      <c r="G920" s="2" t="str"/>
      <c r="H920" s="2" t="str"/>
      <c r="I920" s="2" t="str"/>
      <c r="J920" s="2" t="str"/>
      <c r="N920" s="2">
        <f>IF(Append1!J919="","",Append1!J919)</f>
        <v/>
      </c>
    </row>
    <row r="921">
      <c r="B921" s="2">
        <f t="array" ref="B921:J921">IF(Append1!A920:I920="","",Append1!A920:I920)</f>
        <v/>
      </c>
      <c r="C921" s="3" t="str"/>
      <c r="D921" s="2" t="str"/>
      <c r="E921" s="2" t="str"/>
      <c r="F921" s="2" t="str"/>
      <c r="G921" s="2" t="str"/>
      <c r="H921" s="2" t="str"/>
      <c r="I921" s="2" t="str"/>
      <c r="J921" s="2" t="str"/>
      <c r="N921" s="2">
        <f>IF(Append1!J920="","",Append1!J920)</f>
        <v/>
      </c>
    </row>
    <row r="922">
      <c r="B922" s="2">
        <f t="array" ref="B922:J922">IF(Append1!A921:I921="","",Append1!A921:I921)</f>
        <v/>
      </c>
      <c r="C922" s="3" t="str"/>
      <c r="D922" s="2" t="str"/>
      <c r="E922" s="2" t="str"/>
      <c r="F922" s="2" t="str"/>
      <c r="G922" s="2" t="str"/>
      <c r="H922" s="2" t="str"/>
      <c r="I922" s="2" t="str"/>
      <c r="J922" s="2" t="str"/>
      <c r="N922" s="2">
        <f>IF(Append1!J921="","",Append1!J921)</f>
        <v/>
      </c>
    </row>
    <row r="923">
      <c r="B923" s="2">
        <f t="array" ref="B923:J923">IF(Append1!A922:I922="","",Append1!A922:I922)</f>
        <v/>
      </c>
      <c r="C923" s="3" t="str"/>
      <c r="D923" s="2" t="str"/>
      <c r="E923" s="2" t="str"/>
      <c r="F923" s="2" t="str"/>
      <c r="G923" s="2" t="str"/>
      <c r="H923" s="2" t="str"/>
      <c r="I923" s="2" t="str"/>
      <c r="J923" s="2" t="str"/>
      <c r="N923" s="2">
        <f>IF(Append1!J922="","",Append1!J922)</f>
        <v/>
      </c>
    </row>
    <row r="924">
      <c r="B924" s="2">
        <f t="array" ref="B924:J924">IF(Append1!A923:I923="","",Append1!A923:I923)</f>
        <v/>
      </c>
      <c r="C924" s="3" t="str"/>
      <c r="D924" s="2" t="str"/>
      <c r="E924" s="2" t="str"/>
      <c r="F924" s="2" t="str"/>
      <c r="G924" s="2" t="str"/>
      <c r="H924" s="2" t="str"/>
      <c r="I924" s="2" t="str"/>
      <c r="J924" s="2" t="str"/>
      <c r="N924" s="2">
        <f>IF(Append1!J923="","",Append1!J923)</f>
        <v/>
      </c>
    </row>
    <row r="925">
      <c r="B925" s="2">
        <f t="array" ref="B925:J925">IF(Append1!A924:I924="","",Append1!A924:I924)</f>
        <v/>
      </c>
      <c r="C925" s="3" t="str"/>
      <c r="D925" s="2" t="str"/>
      <c r="E925" s="2" t="str"/>
      <c r="F925" s="2" t="str"/>
      <c r="G925" s="2" t="str"/>
      <c r="H925" s="2" t="str"/>
      <c r="I925" s="2" t="str"/>
      <c r="J925" s="2" t="str"/>
      <c r="N925" s="2">
        <f>IF(Append1!J924="","",Append1!J924)</f>
        <v/>
      </c>
    </row>
    <row r="926">
      <c r="B926" s="2">
        <f t="array" ref="B926:J926">IF(Append1!A925:I925="","",Append1!A925:I925)</f>
        <v/>
      </c>
      <c r="C926" s="3" t="str"/>
      <c r="D926" s="2" t="str"/>
      <c r="E926" s="2" t="str"/>
      <c r="F926" s="2" t="str"/>
      <c r="G926" s="2" t="str"/>
      <c r="H926" s="2" t="str"/>
      <c r="I926" s="2" t="str"/>
      <c r="J926" s="2" t="str"/>
      <c r="N926" s="2">
        <f>IF(Append1!J925="","",Append1!J925)</f>
        <v/>
      </c>
    </row>
    <row r="927">
      <c r="B927" s="2">
        <f t="array" ref="B927:J927">IF(Append1!A926:I926="","",Append1!A926:I926)</f>
        <v/>
      </c>
      <c r="C927" s="3" t="str"/>
      <c r="D927" s="2" t="str"/>
      <c r="E927" s="2" t="str"/>
      <c r="F927" s="2" t="str"/>
      <c r="G927" s="2" t="str"/>
      <c r="H927" s="2" t="str"/>
      <c r="I927" s="2" t="str"/>
      <c r="J927" s="2" t="str"/>
      <c r="N927" s="2">
        <f>IF(Append1!J926="","",Append1!J926)</f>
        <v/>
      </c>
    </row>
    <row r="928">
      <c r="B928" s="2">
        <f t="array" ref="B928:J928">IF(Append1!A927:I927="","",Append1!A927:I927)</f>
        <v/>
      </c>
      <c r="C928" s="3" t="str"/>
      <c r="D928" s="2" t="str"/>
      <c r="E928" s="2" t="str"/>
      <c r="F928" s="2" t="str"/>
      <c r="G928" s="2" t="str"/>
      <c r="H928" s="2" t="str"/>
      <c r="I928" s="2" t="str"/>
      <c r="J928" s="2" t="str"/>
      <c r="N928" s="2">
        <f>IF(Append1!J927="","",Append1!J927)</f>
        <v/>
      </c>
    </row>
    <row r="929">
      <c r="B929" s="2">
        <f t="array" ref="B929:J929">IF(Append1!A928:I928="","",Append1!A928:I928)</f>
        <v/>
      </c>
      <c r="C929" s="3" t="str"/>
      <c r="D929" s="2" t="str"/>
      <c r="E929" s="2" t="str"/>
      <c r="F929" s="2" t="str"/>
      <c r="G929" s="2" t="str"/>
      <c r="H929" s="2" t="str"/>
      <c r="I929" s="2" t="str"/>
      <c r="J929" s="2" t="str"/>
      <c r="N929" s="2">
        <f>IF(Append1!J928="","",Append1!J928)</f>
        <v/>
      </c>
    </row>
    <row r="930">
      <c r="B930" s="2">
        <f t="array" ref="B930:J930">IF(Append1!A929:I929="","",Append1!A929:I929)</f>
        <v/>
      </c>
      <c r="C930" s="3" t="str"/>
      <c r="D930" s="2" t="str"/>
      <c r="E930" s="2" t="str"/>
      <c r="F930" s="2" t="str"/>
      <c r="G930" s="2" t="str"/>
      <c r="H930" s="2" t="str"/>
      <c r="I930" s="2" t="str"/>
      <c r="J930" s="2" t="str"/>
      <c r="N930" s="2">
        <f>IF(Append1!J929="","",Append1!J929)</f>
        <v/>
      </c>
    </row>
    <row r="931">
      <c r="B931" s="2">
        <f t="array" ref="B931:J931">IF(Append1!A930:I930="","",Append1!A930:I930)</f>
        <v/>
      </c>
      <c r="C931" s="3" t="str"/>
      <c r="D931" s="2" t="str"/>
      <c r="E931" s="2" t="str"/>
      <c r="F931" s="2" t="str"/>
      <c r="G931" s="2" t="str"/>
      <c r="H931" s="2" t="str"/>
      <c r="I931" s="2" t="str"/>
      <c r="J931" s="2" t="str"/>
      <c r="N931" s="2">
        <f>IF(Append1!J930="","",Append1!J930)</f>
        <v/>
      </c>
    </row>
    <row r="932">
      <c r="B932" s="2">
        <f t="array" ref="B932:J932">IF(Append1!A931:I931="","",Append1!A931:I931)</f>
        <v/>
      </c>
      <c r="C932" s="3" t="str"/>
      <c r="D932" s="2" t="str"/>
      <c r="E932" s="2" t="str"/>
      <c r="F932" s="2" t="str"/>
      <c r="G932" s="2" t="str"/>
      <c r="H932" s="2" t="str"/>
      <c r="I932" s="2" t="str"/>
      <c r="J932" s="2" t="str"/>
      <c r="N932" s="2">
        <f>IF(Append1!J931="","",Append1!J931)</f>
        <v/>
      </c>
    </row>
    <row r="933">
      <c r="B933" s="2">
        <f t="array" ref="B933:J933">IF(Append1!A932:I932="","",Append1!A932:I932)</f>
        <v/>
      </c>
      <c r="C933" s="3" t="str"/>
      <c r="D933" s="2" t="str"/>
      <c r="E933" s="2" t="str"/>
      <c r="F933" s="2" t="str"/>
      <c r="G933" s="2" t="str"/>
      <c r="H933" s="2" t="str"/>
      <c r="I933" s="2" t="str"/>
      <c r="J933" s="2" t="str"/>
      <c r="N933" s="2">
        <f>IF(Append1!J932="","",Append1!J932)</f>
        <v/>
      </c>
    </row>
    <row r="934">
      <c r="B934" s="2">
        <f t="array" ref="B934:J934">IF(Append1!A933:I933="","",Append1!A933:I933)</f>
        <v/>
      </c>
      <c r="C934" s="3" t="str"/>
      <c r="D934" s="2" t="str"/>
      <c r="E934" s="2" t="str"/>
      <c r="F934" s="2" t="str"/>
      <c r="G934" s="2" t="str"/>
      <c r="H934" s="2" t="str"/>
      <c r="I934" s="2" t="str"/>
      <c r="J934" s="2" t="str"/>
      <c r="N934" s="2">
        <f>IF(Append1!J933="","",Append1!J933)</f>
        <v/>
      </c>
    </row>
    <row r="935">
      <c r="B935" s="2">
        <f t="array" ref="B935:J935">IF(Append1!A934:I934="","",Append1!A934:I934)</f>
        <v/>
      </c>
      <c r="C935" s="3" t="str"/>
      <c r="D935" s="2" t="str"/>
      <c r="E935" s="2" t="str"/>
      <c r="F935" s="2" t="str"/>
      <c r="G935" s="2" t="str"/>
      <c r="H935" s="2" t="str"/>
      <c r="I935" s="2" t="str"/>
      <c r="J935" s="2" t="str"/>
      <c r="N935" s="2">
        <f>IF(Append1!J934="","",Append1!J934)</f>
        <v/>
      </c>
    </row>
    <row r="936">
      <c r="B936" s="2">
        <f t="array" ref="B936:J936">IF(Append1!A935:I935="","",Append1!A935:I935)</f>
        <v/>
      </c>
      <c r="C936" s="3" t="str"/>
      <c r="D936" s="2" t="str"/>
      <c r="E936" s="2" t="str"/>
      <c r="F936" s="2" t="str"/>
      <c r="G936" s="2" t="str"/>
      <c r="H936" s="2" t="str"/>
      <c r="I936" s="2" t="str"/>
      <c r="J936" s="2" t="str"/>
      <c r="N936" s="2">
        <f>IF(Append1!J935="","",Append1!J935)</f>
        <v/>
      </c>
    </row>
    <row r="937">
      <c r="B937" s="2">
        <f t="array" ref="B937:J937">IF(Append1!A936:I936="","",Append1!A936:I936)</f>
        <v/>
      </c>
      <c r="C937" s="3" t="str"/>
      <c r="D937" s="2" t="str"/>
      <c r="E937" s="2" t="str"/>
      <c r="F937" s="2" t="str"/>
      <c r="G937" s="2" t="str"/>
      <c r="H937" s="2" t="str"/>
      <c r="I937" s="2" t="str"/>
      <c r="J937" s="2" t="str"/>
      <c r="N937" s="2">
        <f>IF(Append1!J936="","",Append1!J936)</f>
        <v/>
      </c>
    </row>
    <row r="938">
      <c r="B938" s="2">
        <f t="array" ref="B938:J938">IF(Append1!A937:I937="","",Append1!A937:I937)</f>
        <v/>
      </c>
      <c r="C938" s="3" t="str"/>
      <c r="D938" s="2" t="str"/>
      <c r="E938" s="2" t="str"/>
      <c r="F938" s="2" t="str"/>
      <c r="G938" s="2" t="str"/>
      <c r="H938" s="2" t="str"/>
      <c r="I938" s="2" t="str"/>
      <c r="J938" s="2" t="str"/>
      <c r="N938" s="2">
        <f>IF(Append1!J937="","",Append1!J937)</f>
        <v/>
      </c>
    </row>
    <row r="939">
      <c r="B939" s="2">
        <f t="array" ref="B939:J939">IF(Append1!A938:I938="","",Append1!A938:I938)</f>
        <v/>
      </c>
      <c r="C939" s="3" t="str"/>
      <c r="D939" s="2" t="str"/>
      <c r="E939" s="2" t="str"/>
      <c r="F939" s="2" t="str"/>
      <c r="G939" s="2" t="str"/>
      <c r="H939" s="2" t="str"/>
      <c r="I939" s="2" t="str"/>
      <c r="J939" s="2" t="str"/>
      <c r="N939" s="2">
        <f>IF(Append1!J938="","",Append1!J938)</f>
        <v/>
      </c>
    </row>
    <row r="940">
      <c r="B940" s="2">
        <f t="array" ref="B940:J940">IF(Append1!A939:I939="","",Append1!A939:I939)</f>
        <v/>
      </c>
      <c r="C940" s="3" t="str"/>
      <c r="D940" s="2" t="str"/>
      <c r="E940" s="2" t="str"/>
      <c r="F940" s="2" t="str"/>
      <c r="G940" s="2" t="str"/>
      <c r="H940" s="2" t="str"/>
      <c r="I940" s="2" t="str"/>
      <c r="J940" s="2" t="str"/>
      <c r="N940" s="2">
        <f>IF(Append1!J939="","",Append1!J939)</f>
        <v/>
      </c>
    </row>
    <row r="941">
      <c r="B941" s="2">
        <f t="array" ref="B941:J941">IF(Append1!A940:I940="","",Append1!A940:I940)</f>
        <v/>
      </c>
      <c r="C941" s="3" t="str"/>
      <c r="D941" s="2" t="str"/>
      <c r="E941" s="2" t="str"/>
      <c r="F941" s="2" t="str"/>
      <c r="G941" s="2" t="str"/>
      <c r="H941" s="2" t="str"/>
      <c r="I941" s="2" t="str"/>
      <c r="J941" s="2" t="str"/>
      <c r="N941" s="2">
        <f>IF(Append1!J940="","",Append1!J940)</f>
        <v/>
      </c>
    </row>
    <row r="942">
      <c r="B942" s="2">
        <f t="array" ref="B942:J942">IF(Append1!A941:I941="","",Append1!A941:I941)</f>
        <v/>
      </c>
      <c r="C942" s="3" t="str"/>
      <c r="D942" s="2" t="str"/>
      <c r="E942" s="2" t="str"/>
      <c r="F942" s="2" t="str"/>
      <c r="G942" s="2" t="str"/>
      <c r="H942" s="2" t="str"/>
      <c r="I942" s="2" t="str"/>
      <c r="J942" s="2" t="str"/>
      <c r="N942" s="2">
        <f>IF(Append1!J941="","",Append1!J941)</f>
        <v/>
      </c>
    </row>
    <row r="943">
      <c r="B943" s="2">
        <f t="array" ref="B943:J943">IF(Append1!A942:I942="","",Append1!A942:I942)</f>
        <v/>
      </c>
      <c r="C943" s="3" t="str"/>
      <c r="D943" s="2" t="str"/>
      <c r="E943" s="2" t="str"/>
      <c r="F943" s="2" t="str"/>
      <c r="G943" s="2" t="str"/>
      <c r="H943" s="2" t="str"/>
      <c r="I943" s="2" t="str"/>
      <c r="J943" s="2" t="str"/>
      <c r="N943" s="2">
        <f>IF(Append1!J942="","",Append1!J942)</f>
        <v/>
      </c>
    </row>
    <row r="944">
      <c r="B944" s="2">
        <f t="array" ref="B944:J944">IF(Append1!A943:I943="","",Append1!A943:I943)</f>
        <v/>
      </c>
      <c r="C944" s="3" t="str"/>
      <c r="D944" s="2" t="str"/>
      <c r="E944" s="2" t="str"/>
      <c r="F944" s="2" t="str"/>
      <c r="G944" s="2" t="str"/>
      <c r="H944" s="2" t="str"/>
      <c r="I944" s="2" t="str"/>
      <c r="J944" s="2" t="str"/>
      <c r="N944" s="2">
        <f>IF(Append1!J943="","",Append1!J943)</f>
        <v/>
      </c>
    </row>
    <row r="945">
      <c r="B945" s="2">
        <f t="array" ref="B945:J945">IF(Append1!A944:I944="","",Append1!A944:I944)</f>
        <v/>
      </c>
      <c r="C945" s="3" t="str"/>
      <c r="D945" s="2" t="str"/>
      <c r="E945" s="2" t="str"/>
      <c r="F945" s="2" t="str"/>
      <c r="G945" s="2" t="str"/>
      <c r="H945" s="2" t="str"/>
      <c r="I945" s="2" t="str"/>
      <c r="J945" s="2" t="str"/>
      <c r="N945" s="2">
        <f>IF(Append1!J944="","",Append1!J944)</f>
        <v/>
      </c>
    </row>
    <row r="946">
      <c r="B946" s="2">
        <f t="array" ref="B946:J946">IF(Append1!A945:I945="","",Append1!A945:I945)</f>
        <v/>
      </c>
      <c r="C946" s="3" t="str"/>
      <c r="D946" s="2" t="str"/>
      <c r="E946" s="2" t="str"/>
      <c r="F946" s="2" t="str"/>
      <c r="G946" s="2" t="str"/>
      <c r="H946" s="2" t="str"/>
      <c r="I946" s="2" t="str"/>
      <c r="J946" s="2" t="str"/>
      <c r="N946" s="2">
        <f>IF(Append1!J945="","",Append1!J945)</f>
        <v/>
      </c>
    </row>
    <row r="947">
      <c r="B947" s="2">
        <f t="array" ref="B947:J947">IF(Append1!A946:I946="","",Append1!A946:I946)</f>
        <v/>
      </c>
      <c r="C947" s="3" t="str"/>
      <c r="D947" s="2" t="str"/>
      <c r="E947" s="2" t="str"/>
      <c r="F947" s="2" t="str"/>
      <c r="G947" s="2" t="str"/>
      <c r="H947" s="2" t="str"/>
      <c r="I947" s="2" t="str"/>
      <c r="J947" s="2" t="str"/>
      <c r="N947" s="2">
        <f>IF(Append1!J946="","",Append1!J946)</f>
        <v/>
      </c>
    </row>
    <row r="948">
      <c r="B948" s="2">
        <f t="array" ref="B948:J948">IF(Append1!A947:I947="","",Append1!A947:I947)</f>
        <v/>
      </c>
      <c r="C948" s="3" t="str"/>
      <c r="D948" s="2" t="str"/>
      <c r="E948" s="2" t="str"/>
      <c r="F948" s="2" t="str"/>
      <c r="G948" s="2" t="str"/>
      <c r="H948" s="2" t="str"/>
      <c r="I948" s="2" t="str"/>
      <c r="J948" s="2" t="str"/>
      <c r="N948" s="2">
        <f>IF(Append1!J947="","",Append1!J947)</f>
        <v/>
      </c>
    </row>
    <row r="949">
      <c r="B949" s="2">
        <f t="array" ref="B949:J949">IF(Append1!A948:I948="","",Append1!A948:I948)</f>
        <v/>
      </c>
      <c r="C949" s="3" t="str"/>
      <c r="D949" s="2" t="str"/>
      <c r="E949" s="2" t="str"/>
      <c r="F949" s="2" t="str"/>
      <c r="G949" s="2" t="str"/>
      <c r="H949" s="2" t="str"/>
      <c r="I949" s="2" t="str"/>
      <c r="J949" s="2" t="str"/>
      <c r="N949" s="2">
        <f>IF(Append1!J948="","",Append1!J948)</f>
        <v/>
      </c>
    </row>
    <row r="950">
      <c r="B950" s="2">
        <f t="array" ref="B950:J950">IF(Append1!A949:I949="","",Append1!A949:I949)</f>
        <v/>
      </c>
      <c r="C950" s="3" t="str"/>
      <c r="D950" s="2" t="str"/>
      <c r="E950" s="2" t="str"/>
      <c r="F950" s="2" t="str"/>
      <c r="G950" s="2" t="str"/>
      <c r="H950" s="2" t="str"/>
      <c r="I950" s="2" t="str"/>
      <c r="J950" s="2" t="str"/>
      <c r="N950" s="2">
        <f>IF(Append1!J949="","",Append1!J949)</f>
        <v/>
      </c>
    </row>
    <row r="951">
      <c r="B951" s="2">
        <f t="array" ref="B951:J951">IF(Append1!A950:I950="","",Append1!A950:I950)</f>
        <v/>
      </c>
      <c r="C951" s="3" t="str"/>
      <c r="D951" s="2" t="str"/>
      <c r="E951" s="2" t="str"/>
      <c r="F951" s="2" t="str"/>
      <c r="G951" s="2" t="str"/>
      <c r="H951" s="2" t="str"/>
      <c r="I951" s="2" t="str"/>
      <c r="J951" s="2" t="str"/>
      <c r="N951" s="2">
        <f>IF(Append1!J950="","",Append1!J950)</f>
        <v/>
      </c>
    </row>
    <row r="952">
      <c r="B952" s="2">
        <f t="array" ref="B952:J952">IF(Append1!A951:I951="","",Append1!A951:I951)</f>
        <v/>
      </c>
      <c r="C952" s="3" t="str"/>
      <c r="D952" s="2" t="str"/>
      <c r="E952" s="2" t="str"/>
      <c r="F952" s="2" t="str"/>
      <c r="G952" s="2" t="str"/>
      <c r="H952" s="2" t="str"/>
      <c r="I952" s="2" t="str"/>
      <c r="J952" s="2" t="str"/>
      <c r="N952" s="2">
        <f>IF(Append1!J951="","",Append1!J951)</f>
        <v/>
      </c>
    </row>
    <row r="953">
      <c r="B953" s="2">
        <f t="array" ref="B953:J953">IF(Append1!A952:I952="","",Append1!A952:I952)</f>
        <v/>
      </c>
      <c r="C953" s="3" t="str"/>
      <c r="D953" s="2" t="str"/>
      <c r="E953" s="2" t="str"/>
      <c r="F953" s="2" t="str"/>
      <c r="G953" s="2" t="str"/>
      <c r="H953" s="2" t="str"/>
      <c r="I953" s="2" t="str"/>
      <c r="J953" s="2" t="str"/>
      <c r="N953" s="2">
        <f>IF(Append1!J952="","",Append1!J952)</f>
        <v/>
      </c>
    </row>
    <row r="954">
      <c r="B954" s="2">
        <f t="array" ref="B954:J954">IF(Append1!A953:I953="","",Append1!A953:I953)</f>
        <v/>
      </c>
      <c r="C954" s="3" t="str"/>
      <c r="D954" s="2" t="str"/>
      <c r="E954" s="2" t="str"/>
      <c r="F954" s="2" t="str"/>
      <c r="G954" s="2" t="str"/>
      <c r="H954" s="2" t="str"/>
      <c r="I954" s="2" t="str"/>
      <c r="J954" s="2" t="str"/>
      <c r="N954" s="2">
        <f>IF(Append1!J953="","",Append1!J953)</f>
        <v/>
      </c>
    </row>
    <row r="955">
      <c r="B955" s="2">
        <f t="array" ref="B955:J955">IF(Append1!A954:I954="","",Append1!A954:I954)</f>
        <v/>
      </c>
      <c r="C955" s="3" t="str"/>
      <c r="D955" s="2" t="str"/>
      <c r="E955" s="2" t="str"/>
      <c r="F955" s="2" t="str"/>
      <c r="G955" s="2" t="str"/>
      <c r="H955" s="2" t="str"/>
      <c r="I955" s="2" t="str"/>
      <c r="J955" s="2" t="str"/>
      <c r="N955" s="2">
        <f>IF(Append1!J954="","",Append1!J954)</f>
        <v/>
      </c>
    </row>
    <row r="956">
      <c r="B956" s="2">
        <f t="array" ref="B956:J956">IF(Append1!A955:I955="","",Append1!A955:I955)</f>
        <v/>
      </c>
      <c r="C956" s="3" t="str"/>
      <c r="D956" s="2" t="str"/>
      <c r="E956" s="2" t="str"/>
      <c r="F956" s="2" t="str"/>
      <c r="G956" s="2" t="str"/>
      <c r="H956" s="2" t="str"/>
      <c r="I956" s="2" t="str"/>
      <c r="J956" s="2" t="str"/>
      <c r="N956" s="2">
        <f>IF(Append1!J955="","",Append1!J955)</f>
        <v/>
      </c>
    </row>
    <row r="957">
      <c r="B957" s="2">
        <f t="array" ref="B957:J957">IF(Append1!A956:I956="","",Append1!A956:I956)</f>
        <v/>
      </c>
      <c r="C957" s="3" t="str"/>
      <c r="D957" s="2" t="str"/>
      <c r="E957" s="2" t="str"/>
      <c r="F957" s="2" t="str"/>
      <c r="G957" s="2" t="str"/>
      <c r="H957" s="2" t="str"/>
      <c r="I957" s="2" t="str"/>
      <c r="J957" s="2" t="str"/>
      <c r="N957" s="2">
        <f>IF(Append1!J956="","",Append1!J956)</f>
        <v/>
      </c>
    </row>
    <row r="958">
      <c r="B958" s="2">
        <f t="array" ref="B958:J958">IF(Append1!A957:I957="","",Append1!A957:I957)</f>
        <v/>
      </c>
      <c r="C958" s="3" t="str"/>
      <c r="D958" s="2" t="str"/>
      <c r="E958" s="2" t="str"/>
      <c r="F958" s="2" t="str"/>
      <c r="G958" s="2" t="str"/>
      <c r="H958" s="2" t="str"/>
      <c r="I958" s="2" t="str"/>
      <c r="J958" s="2" t="str"/>
      <c r="N958" s="2">
        <f>IF(Append1!J957="","",Append1!J957)</f>
        <v/>
      </c>
    </row>
    <row r="959">
      <c r="B959" s="2">
        <f t="array" ref="B959:J959">IF(Append1!A958:I958="","",Append1!A958:I958)</f>
        <v/>
      </c>
      <c r="C959" s="3" t="str"/>
      <c r="D959" s="2" t="str"/>
      <c r="E959" s="2" t="str"/>
      <c r="F959" s="2" t="str"/>
      <c r="G959" s="2" t="str"/>
      <c r="H959" s="2" t="str"/>
      <c r="I959" s="2" t="str"/>
      <c r="J959" s="2" t="str"/>
      <c r="N959" s="2">
        <f>IF(Append1!J958="","",Append1!J958)</f>
        <v/>
      </c>
    </row>
    <row r="960">
      <c r="B960" s="2">
        <f t="array" ref="B960:J960">IF(Append1!A959:I959="","",Append1!A959:I959)</f>
        <v/>
      </c>
      <c r="C960" s="3" t="str"/>
      <c r="D960" s="2" t="str"/>
      <c r="E960" s="2" t="str"/>
      <c r="F960" s="2" t="str"/>
      <c r="G960" s="2" t="str"/>
      <c r="H960" s="2" t="str"/>
      <c r="I960" s="2" t="str"/>
      <c r="J960" s="2" t="str"/>
      <c r="N960" s="2">
        <f>IF(Append1!J959="","",Append1!J959)</f>
        <v/>
      </c>
    </row>
    <row r="961">
      <c r="B961" s="2">
        <f t="array" ref="B961:J961">IF(Append1!A960:I960="","",Append1!A960:I960)</f>
        <v/>
      </c>
      <c r="C961" s="3" t="str"/>
      <c r="D961" s="2" t="str"/>
      <c r="E961" s="2" t="str"/>
      <c r="F961" s="2" t="str"/>
      <c r="G961" s="2" t="str"/>
      <c r="H961" s="2" t="str"/>
      <c r="I961" s="2" t="str"/>
      <c r="J961" s="2" t="str"/>
      <c r="N961" s="2">
        <f>IF(Append1!J960="","",Append1!J960)</f>
        <v/>
      </c>
    </row>
    <row r="962">
      <c r="B962" s="2">
        <f t="array" ref="B962:J962">IF(Append1!A961:I961="","",Append1!A961:I961)</f>
        <v/>
      </c>
      <c r="C962" s="3" t="str"/>
      <c r="D962" s="2" t="str"/>
      <c r="E962" s="2" t="str"/>
      <c r="F962" s="2" t="str"/>
      <c r="G962" s="2" t="str"/>
      <c r="H962" s="2" t="str"/>
      <c r="I962" s="2" t="str"/>
      <c r="J962" s="2" t="str"/>
      <c r="N962" s="2">
        <f>IF(Append1!J961="","",Append1!J961)</f>
        <v/>
      </c>
    </row>
    <row r="963">
      <c r="B963" s="2">
        <f t="array" ref="B963:J963">IF(Append1!A962:I962="","",Append1!A962:I962)</f>
        <v/>
      </c>
      <c r="C963" s="3" t="str"/>
      <c r="D963" s="2" t="str"/>
      <c r="E963" s="2" t="str"/>
      <c r="F963" s="2" t="str"/>
      <c r="G963" s="2" t="str"/>
      <c r="H963" s="2" t="str"/>
      <c r="I963" s="2" t="str"/>
      <c r="J963" s="2" t="str"/>
      <c r="N963" s="2">
        <f>IF(Append1!J962="","",Append1!J962)</f>
        <v/>
      </c>
    </row>
    <row r="964">
      <c r="B964" s="2">
        <f t="array" ref="B964:J964">IF(Append1!A963:I963="","",Append1!A963:I963)</f>
        <v/>
      </c>
      <c r="C964" s="3" t="str"/>
      <c r="D964" s="2" t="str"/>
      <c r="E964" s="2" t="str"/>
      <c r="F964" s="2" t="str"/>
      <c r="G964" s="2" t="str"/>
      <c r="H964" s="2" t="str"/>
      <c r="I964" s="2" t="str"/>
      <c r="J964" s="2" t="str"/>
      <c r="N964" s="2">
        <f>IF(Append1!J963="","",Append1!J963)</f>
        <v/>
      </c>
    </row>
    <row r="965">
      <c r="B965" s="2">
        <f t="array" ref="B965:J965">IF(Append1!A964:I964="","",Append1!A964:I964)</f>
        <v/>
      </c>
      <c r="C965" s="3" t="str"/>
      <c r="D965" s="2" t="str"/>
      <c r="E965" s="2" t="str"/>
      <c r="F965" s="2" t="str"/>
      <c r="G965" s="2" t="str"/>
      <c r="H965" s="2" t="str"/>
      <c r="I965" s="2" t="str"/>
      <c r="J965" s="2" t="str"/>
      <c r="N965" s="2">
        <f>IF(Append1!J964="","",Append1!J964)</f>
        <v/>
      </c>
    </row>
    <row r="966">
      <c r="B966" s="2">
        <f t="array" ref="B966:J966">IF(Append1!A965:I965="","",Append1!A965:I965)</f>
        <v/>
      </c>
      <c r="C966" s="3" t="str"/>
      <c r="D966" s="2" t="str"/>
      <c r="E966" s="2" t="str"/>
      <c r="F966" s="2" t="str"/>
      <c r="G966" s="2" t="str"/>
      <c r="H966" s="2" t="str"/>
      <c r="I966" s="2" t="str"/>
      <c r="J966" s="2" t="str"/>
      <c r="N966" s="2">
        <f>IF(Append1!J965="","",Append1!J965)</f>
        <v/>
      </c>
    </row>
    <row r="967">
      <c r="B967" s="2">
        <f t="array" ref="B967:J967">IF(Append1!A966:I966="","",Append1!A966:I966)</f>
        <v/>
      </c>
      <c r="C967" s="3" t="str"/>
      <c r="D967" s="2" t="str"/>
      <c r="E967" s="2" t="str"/>
      <c r="F967" s="2" t="str"/>
      <c r="G967" s="2" t="str"/>
      <c r="H967" s="2" t="str"/>
      <c r="I967" s="2" t="str"/>
      <c r="J967" s="2" t="str"/>
      <c r="N967" s="2">
        <f>IF(Append1!J966="","",Append1!J966)</f>
        <v/>
      </c>
    </row>
    <row r="968">
      <c r="B968" s="2">
        <f t="array" ref="B968:J968">IF(Append1!A967:I967="","",Append1!A967:I967)</f>
        <v/>
      </c>
      <c r="C968" s="3" t="str"/>
      <c r="D968" s="2" t="str"/>
      <c r="E968" s="2" t="str"/>
      <c r="F968" s="2" t="str"/>
      <c r="G968" s="2" t="str"/>
      <c r="H968" s="2" t="str"/>
      <c r="I968" s="2" t="str"/>
      <c r="J968" s="2" t="str"/>
      <c r="N968" s="2">
        <f>IF(Append1!J967="","",Append1!J967)</f>
        <v/>
      </c>
    </row>
    <row r="969">
      <c r="B969" s="2">
        <f t="array" ref="B969:J969">IF(Append1!A968:I968="","",Append1!A968:I968)</f>
        <v/>
      </c>
      <c r="C969" s="3" t="str"/>
      <c r="D969" s="2" t="str"/>
      <c r="E969" s="2" t="str"/>
      <c r="F969" s="2" t="str"/>
      <c r="G969" s="2" t="str"/>
      <c r="H969" s="2" t="str"/>
      <c r="I969" s="2" t="str"/>
      <c r="J969" s="2" t="str"/>
      <c r="N969" s="2">
        <f>IF(Append1!J968="","",Append1!J968)</f>
        <v/>
      </c>
    </row>
    <row r="970">
      <c r="B970" s="2">
        <f t="array" ref="B970:J970">IF(Append1!A969:I969="","",Append1!A969:I969)</f>
        <v/>
      </c>
      <c r="C970" s="3" t="str"/>
      <c r="D970" s="2" t="str"/>
      <c r="E970" s="2" t="str"/>
      <c r="F970" s="2" t="str"/>
      <c r="G970" s="2" t="str"/>
      <c r="H970" s="2" t="str"/>
      <c r="I970" s="2" t="str"/>
      <c r="J970" s="2" t="str"/>
      <c r="N970" s="2">
        <f>IF(Append1!J969="","",Append1!J969)</f>
        <v/>
      </c>
    </row>
    <row r="971">
      <c r="B971" s="2">
        <f t="array" ref="B971:J971">IF(Append1!A970:I970="","",Append1!A970:I970)</f>
        <v/>
      </c>
      <c r="C971" s="3" t="str"/>
      <c r="D971" s="2" t="str"/>
      <c r="E971" s="2" t="str"/>
      <c r="F971" s="2" t="str"/>
      <c r="G971" s="2" t="str"/>
      <c r="H971" s="2" t="str"/>
      <c r="I971" s="2" t="str"/>
      <c r="J971" s="2" t="str"/>
      <c r="N971" s="2">
        <f>IF(Append1!J970="","",Append1!J970)</f>
        <v/>
      </c>
    </row>
    <row r="972">
      <c r="B972" s="2">
        <f t="array" ref="B972:J972">IF(Append1!A971:I971="","",Append1!A971:I971)</f>
        <v/>
      </c>
      <c r="C972" s="3" t="str"/>
      <c r="D972" s="2" t="str"/>
      <c r="E972" s="2" t="str"/>
      <c r="F972" s="2" t="str"/>
      <c r="G972" s="2" t="str"/>
      <c r="H972" s="2" t="str"/>
      <c r="I972" s="2" t="str"/>
      <c r="J972" s="2" t="str"/>
      <c r="N972" s="2">
        <f>IF(Append1!J971="","",Append1!J971)</f>
        <v/>
      </c>
    </row>
    <row r="973">
      <c r="B973" s="2">
        <f t="array" ref="B973:J973">IF(Append1!A972:I972="","",Append1!A972:I972)</f>
        <v/>
      </c>
      <c r="C973" s="3" t="str"/>
      <c r="D973" s="2" t="str"/>
      <c r="E973" s="2" t="str"/>
      <c r="F973" s="2" t="str"/>
      <c r="G973" s="2" t="str"/>
      <c r="H973" s="2" t="str"/>
      <c r="I973" s="2" t="str"/>
      <c r="J973" s="2" t="str"/>
      <c r="N973" s="2">
        <f>IF(Append1!J972="","",Append1!J972)</f>
        <v/>
      </c>
    </row>
    <row r="974">
      <c r="B974" s="2">
        <f t="array" ref="B974:J974">IF(Append1!A973:I973="","",Append1!A973:I973)</f>
        <v/>
      </c>
      <c r="C974" s="3" t="str"/>
      <c r="D974" s="2" t="str"/>
      <c r="E974" s="2" t="str"/>
      <c r="F974" s="2" t="str"/>
      <c r="G974" s="2" t="str"/>
      <c r="H974" s="2" t="str"/>
      <c r="I974" s="2" t="str"/>
      <c r="J974" s="2" t="str"/>
      <c r="N974" s="2">
        <f>IF(Append1!J973="","",Append1!J973)</f>
        <v/>
      </c>
    </row>
    <row r="975">
      <c r="B975" s="2">
        <f t="array" ref="B975:J975">IF(Append1!A974:I974="","",Append1!A974:I974)</f>
        <v/>
      </c>
      <c r="C975" s="3" t="str"/>
      <c r="D975" s="2" t="str"/>
      <c r="E975" s="2" t="str"/>
      <c r="F975" s="2" t="str"/>
      <c r="G975" s="2" t="str"/>
      <c r="H975" s="2" t="str"/>
      <c r="I975" s="2" t="str"/>
      <c r="J975" s="2" t="str"/>
      <c r="N975" s="2">
        <f>IF(Append1!J974="","",Append1!J974)</f>
        <v/>
      </c>
    </row>
    <row r="976">
      <c r="B976" s="2">
        <f t="array" ref="B976:J976">IF(Append1!A975:I975="","",Append1!A975:I975)</f>
        <v/>
      </c>
      <c r="C976" s="3" t="str"/>
      <c r="D976" s="2" t="str"/>
      <c r="E976" s="2" t="str"/>
      <c r="F976" s="2" t="str"/>
      <c r="G976" s="2" t="str"/>
      <c r="H976" s="2" t="str"/>
      <c r="I976" s="2" t="str"/>
      <c r="J976" s="2" t="str"/>
      <c r="N976" s="2">
        <f>IF(Append1!J975="","",Append1!J975)</f>
        <v/>
      </c>
    </row>
    <row r="977">
      <c r="B977" s="2">
        <f t="array" ref="B977:J977">IF(Append1!A976:I976="","",Append1!A976:I976)</f>
        <v/>
      </c>
      <c r="C977" s="3" t="str"/>
      <c r="D977" s="2" t="str"/>
      <c r="E977" s="2" t="str"/>
      <c r="F977" s="2" t="str"/>
      <c r="G977" s="2" t="str"/>
      <c r="H977" s="2" t="str"/>
      <c r="I977" s="2" t="str"/>
      <c r="J977" s="2" t="str"/>
      <c r="N977" s="2">
        <f>IF(Append1!J976="","",Append1!J976)</f>
        <v/>
      </c>
    </row>
    <row r="978">
      <c r="B978" s="2">
        <f t="array" ref="B978:J978">IF(Append1!A977:I977="","",Append1!A977:I977)</f>
        <v/>
      </c>
      <c r="C978" s="3" t="str"/>
      <c r="D978" s="2" t="str"/>
      <c r="E978" s="2" t="str"/>
      <c r="F978" s="2" t="str"/>
      <c r="G978" s="2" t="str"/>
      <c r="H978" s="2" t="str"/>
      <c r="I978" s="2" t="str"/>
      <c r="J978" s="2" t="str"/>
      <c r="N978" s="2">
        <f>IF(Append1!J977="","",Append1!J977)</f>
        <v/>
      </c>
    </row>
    <row r="979">
      <c r="B979" s="2">
        <f t="array" ref="B979:J979">IF(Append1!A978:I978="","",Append1!A978:I978)</f>
        <v/>
      </c>
      <c r="C979" s="3" t="str"/>
      <c r="D979" s="2" t="str"/>
      <c r="E979" s="2" t="str"/>
      <c r="F979" s="2" t="str"/>
      <c r="G979" s="2" t="str"/>
      <c r="H979" s="2" t="str"/>
      <c r="I979" s="2" t="str"/>
      <c r="J979" s="2" t="str"/>
      <c r="N979" s="2">
        <f>IF(Append1!J978="","",Append1!J978)</f>
        <v/>
      </c>
    </row>
    <row r="980">
      <c r="B980" s="2">
        <f t="array" ref="B980:J980">IF(Append1!A979:I979="","",Append1!A979:I979)</f>
        <v/>
      </c>
      <c r="C980" s="3" t="str"/>
      <c r="D980" s="2" t="str"/>
      <c r="E980" s="2" t="str"/>
      <c r="F980" s="2" t="str"/>
      <c r="G980" s="2" t="str"/>
      <c r="H980" s="2" t="str"/>
      <c r="I980" s="2" t="str"/>
      <c r="J980" s="2" t="str"/>
      <c r="N980" s="2">
        <f>IF(Append1!J979="","",Append1!J979)</f>
        <v/>
      </c>
    </row>
    <row r="981">
      <c r="B981" s="2">
        <f t="array" ref="B981:J981">IF(Append1!A980:I980="","",Append1!A980:I980)</f>
        <v/>
      </c>
      <c r="C981" s="3" t="str"/>
      <c r="D981" s="2" t="str"/>
      <c r="E981" s="2" t="str"/>
      <c r="F981" s="2" t="str"/>
      <c r="G981" s="2" t="str"/>
      <c r="H981" s="2" t="str"/>
      <c r="I981" s="2" t="str"/>
      <c r="J981" s="2" t="str"/>
      <c r="N981" s="2">
        <f>IF(Append1!J980="","",Append1!J980)</f>
        <v/>
      </c>
    </row>
    <row r="982">
      <c r="B982" s="2">
        <f t="array" ref="B982:J982">IF(Append1!A981:I981="","",Append1!A981:I981)</f>
        <v/>
      </c>
      <c r="C982" s="3" t="str"/>
      <c r="D982" s="2" t="str"/>
      <c r="E982" s="2" t="str"/>
      <c r="F982" s="2" t="str"/>
      <c r="G982" s="2" t="str"/>
      <c r="H982" s="2" t="str"/>
      <c r="I982" s="2" t="str"/>
      <c r="J982" s="2" t="str"/>
      <c r="N982" s="2">
        <f>IF(Append1!J981="","",Append1!J981)</f>
        <v/>
      </c>
    </row>
    <row r="983">
      <c r="B983" s="2">
        <f t="array" ref="B983:J983">IF(Append1!A982:I982="","",Append1!A982:I982)</f>
        <v/>
      </c>
      <c r="C983" s="3" t="str"/>
      <c r="D983" s="2" t="str"/>
      <c r="E983" s="2" t="str"/>
      <c r="F983" s="2" t="str"/>
      <c r="G983" s="2" t="str"/>
      <c r="H983" s="2" t="str"/>
      <c r="I983" s="2" t="str"/>
      <c r="J983" s="2" t="str"/>
      <c r="N983" s="2">
        <f>IF(Append1!J982="","",Append1!J982)</f>
        <v/>
      </c>
    </row>
    <row r="984">
      <c r="B984" s="2">
        <f t="array" ref="B984:J984">IF(Append1!A983:I983="","",Append1!A983:I983)</f>
        <v/>
      </c>
      <c r="C984" s="3" t="str"/>
      <c r="D984" s="2" t="str"/>
      <c r="E984" s="2" t="str"/>
      <c r="F984" s="2" t="str"/>
      <c r="G984" s="2" t="str"/>
      <c r="H984" s="2" t="str"/>
      <c r="I984" s="2" t="str"/>
      <c r="J984" s="2" t="str"/>
      <c r="N984" s="2">
        <f>IF(Append1!J983="","",Append1!J983)</f>
        <v/>
      </c>
    </row>
    <row r="985">
      <c r="B985" s="2">
        <f t="array" ref="B985:J985">IF(Append1!A984:I984="","",Append1!A984:I984)</f>
        <v/>
      </c>
      <c r="C985" s="3" t="str"/>
      <c r="D985" s="2" t="str"/>
      <c r="E985" s="2" t="str"/>
      <c r="F985" s="2" t="str"/>
      <c r="G985" s="2" t="str"/>
      <c r="H985" s="2" t="str"/>
      <c r="I985" s="2" t="str"/>
      <c r="J985" s="2" t="str"/>
      <c r="N985" s="2">
        <f>IF(Append1!J984="","",Append1!J984)</f>
        <v/>
      </c>
    </row>
    <row r="986">
      <c r="B986" s="2">
        <f t="array" ref="B986:J986">IF(Append1!A985:I985="","",Append1!A985:I985)</f>
        <v/>
      </c>
      <c r="C986" s="3" t="str"/>
      <c r="D986" s="2" t="str"/>
      <c r="E986" s="2" t="str"/>
      <c r="F986" s="2" t="str"/>
      <c r="G986" s="2" t="str"/>
      <c r="H986" s="2" t="str"/>
      <c r="I986" s="2" t="str"/>
      <c r="J986" s="2" t="str"/>
      <c r="N986" s="2">
        <f>IF(Append1!J985="","",Append1!J985)</f>
        <v/>
      </c>
    </row>
    <row r="987">
      <c r="B987" s="2">
        <f t="array" ref="B987:J987">IF(Append1!A986:I986="","",Append1!A986:I986)</f>
        <v/>
      </c>
      <c r="C987" s="3" t="str"/>
      <c r="D987" s="2" t="str"/>
      <c r="E987" s="2" t="str"/>
      <c r="F987" s="2" t="str"/>
      <c r="G987" s="2" t="str"/>
      <c r="H987" s="2" t="str"/>
      <c r="I987" s="2" t="str"/>
      <c r="J987" s="2" t="str"/>
      <c r="N987" s="2">
        <f>IF(Append1!J986="","",Append1!J986)</f>
        <v/>
      </c>
    </row>
    <row r="988">
      <c r="B988" s="2">
        <f t="array" ref="B988:J988">IF(Append1!A987:I987="","",Append1!A987:I987)</f>
        <v/>
      </c>
      <c r="C988" s="3" t="str"/>
      <c r="D988" s="2" t="str"/>
      <c r="E988" s="2" t="str"/>
      <c r="F988" s="2" t="str"/>
      <c r="G988" s="2" t="str"/>
      <c r="H988" s="2" t="str"/>
      <c r="I988" s="2" t="str"/>
      <c r="J988" s="2" t="str"/>
      <c r="N988" s="2">
        <f>IF(Append1!J987="","",Append1!J987)</f>
        <v/>
      </c>
    </row>
    <row r="989">
      <c r="B989" s="2">
        <f t="array" ref="B989:J989">IF(Append1!A988:I988="","",Append1!A988:I988)</f>
        <v/>
      </c>
      <c r="C989" s="3" t="str"/>
      <c r="D989" s="2" t="str"/>
      <c r="E989" s="2" t="str"/>
      <c r="F989" s="2" t="str"/>
      <c r="G989" s="2" t="str"/>
      <c r="H989" s="2" t="str"/>
      <c r="I989" s="2" t="str"/>
      <c r="J989" s="2" t="str"/>
      <c r="N989" s="2">
        <f>IF(Append1!J988="","",Append1!J988)</f>
        <v/>
      </c>
    </row>
    <row r="990">
      <c r="B990" s="2">
        <f t="array" ref="B990:J990">IF(Append1!A989:I989="","",Append1!A989:I989)</f>
        <v/>
      </c>
      <c r="C990" s="3" t="str"/>
      <c r="D990" s="2" t="str"/>
      <c r="E990" s="2" t="str"/>
      <c r="F990" s="2" t="str"/>
      <c r="G990" s="2" t="str"/>
      <c r="H990" s="2" t="str"/>
      <c r="I990" s="2" t="str"/>
      <c r="J990" s="2" t="str"/>
      <c r="N990" s="2">
        <f>IF(Append1!J989="","",Append1!J989)</f>
        <v/>
      </c>
    </row>
    <row r="991">
      <c r="B991" s="2">
        <f t="array" ref="B991:J991">IF(Append1!A990:I990="","",Append1!A990:I990)</f>
        <v/>
      </c>
      <c r="C991" s="3" t="str"/>
      <c r="D991" s="2" t="str"/>
      <c r="E991" s="2" t="str"/>
      <c r="F991" s="2" t="str"/>
      <c r="G991" s="2" t="str"/>
      <c r="H991" s="2" t="str"/>
      <c r="I991" s="2" t="str"/>
      <c r="J991" s="2" t="str"/>
      <c r="N991" s="2">
        <f>IF(Append1!J990="","",Append1!J990)</f>
        <v/>
      </c>
    </row>
    <row r="992">
      <c r="B992" s="2">
        <f t="array" ref="B992:J992">IF(Append1!A991:I991="","",Append1!A991:I991)</f>
        <v/>
      </c>
      <c r="C992" s="3" t="str"/>
      <c r="D992" s="2" t="str"/>
      <c r="E992" s="2" t="str"/>
      <c r="F992" s="2" t="str"/>
      <c r="G992" s="2" t="str"/>
      <c r="H992" s="2" t="str"/>
      <c r="I992" s="2" t="str"/>
      <c r="J992" s="2" t="str"/>
      <c r="N992" s="2">
        <f>IF(Append1!J991="","",Append1!J991)</f>
        <v/>
      </c>
    </row>
    <row r="993">
      <c r="B993" s="2">
        <f t="array" ref="B993:J993">IF(Append1!A992:I992="","",Append1!A992:I992)</f>
        <v/>
      </c>
      <c r="C993" s="3" t="str"/>
      <c r="D993" s="2" t="str"/>
      <c r="E993" s="2" t="str"/>
      <c r="F993" s="2" t="str"/>
      <c r="G993" s="2" t="str"/>
      <c r="H993" s="2" t="str"/>
      <c r="I993" s="2" t="str"/>
      <c r="J993" s="2" t="str"/>
      <c r="N993" s="2">
        <f>IF(Append1!J992="","",Append1!J992)</f>
        <v/>
      </c>
    </row>
    <row r="994">
      <c r="B994" s="2">
        <f t="array" ref="B994:J994">IF(Append1!A993:I993="","",Append1!A993:I993)</f>
        <v/>
      </c>
      <c r="C994" s="3" t="str"/>
      <c r="D994" s="2" t="str"/>
      <c r="E994" s="2" t="str"/>
      <c r="F994" s="2" t="str"/>
      <c r="G994" s="2" t="str"/>
      <c r="H994" s="2" t="str"/>
      <c r="I994" s="2" t="str"/>
      <c r="J994" s="2" t="str"/>
      <c r="N994" s="2">
        <f>IF(Append1!J993="","",Append1!J993)</f>
        <v/>
      </c>
    </row>
    <row r="995">
      <c r="B995" s="2">
        <f t="array" ref="B995:J995">IF(Append1!A994:I994="","",Append1!A994:I994)</f>
        <v/>
      </c>
      <c r="C995" s="3" t="str"/>
      <c r="D995" s="2" t="str"/>
      <c r="E995" s="2" t="str"/>
      <c r="F995" s="2" t="str"/>
      <c r="G995" s="2" t="str"/>
      <c r="H995" s="2" t="str"/>
      <c r="I995" s="2" t="str"/>
      <c r="J995" s="2" t="str"/>
      <c r="N995" s="2">
        <f>IF(Append1!J994="","",Append1!J994)</f>
        <v/>
      </c>
    </row>
    <row r="996">
      <c r="B996" s="2">
        <f t="array" ref="B996:J996">IF(Append1!A995:I995="","",Append1!A995:I995)</f>
        <v/>
      </c>
      <c r="C996" s="3" t="str"/>
      <c r="D996" s="2" t="str"/>
      <c r="E996" s="2" t="str"/>
      <c r="F996" s="2" t="str"/>
      <c r="G996" s="2" t="str"/>
      <c r="H996" s="2" t="str"/>
      <c r="I996" s="2" t="str"/>
      <c r="J996" s="2" t="str"/>
      <c r="N996" s="2">
        <f>IF(Append1!J995="","",Append1!J995)</f>
        <v/>
      </c>
    </row>
    <row r="997">
      <c r="B997" s="2">
        <f t="array" ref="B997:J997">IF(Append1!A996:I996="","",Append1!A996:I996)</f>
        <v/>
      </c>
      <c r="C997" s="3" t="str"/>
      <c r="D997" s="2" t="str"/>
      <c r="E997" s="2" t="str"/>
      <c r="F997" s="2" t="str"/>
      <c r="G997" s="2" t="str"/>
      <c r="H997" s="2" t="str"/>
      <c r="I997" s="2" t="str"/>
      <c r="J997" s="2" t="str"/>
      <c r="N997" s="2">
        <f>IF(Append1!J996="","",Append1!J996)</f>
        <v/>
      </c>
    </row>
    <row r="998">
      <c r="B998" s="2">
        <f t="array" ref="B998:J998">IF(Append1!A997:I997="","",Append1!A997:I997)</f>
        <v/>
      </c>
      <c r="C998" s="3" t="str"/>
      <c r="D998" s="2" t="str"/>
      <c r="E998" s="2" t="str"/>
      <c r="F998" s="2" t="str"/>
      <c r="G998" s="2" t="str"/>
      <c r="H998" s="2" t="str"/>
      <c r="I998" s="2" t="str"/>
      <c r="J998" s="2" t="str"/>
      <c r="N998" s="2">
        <f>IF(Append1!J997="","",Append1!J997)</f>
        <v/>
      </c>
    </row>
    <row r="999">
      <c r="B999" s="2">
        <f t="array" ref="B999:J999">IF(Append1!A998:I998="","",Append1!A998:I998)</f>
        <v/>
      </c>
      <c r="C999" s="3" t="str"/>
      <c r="D999" s="2" t="str"/>
      <c r="E999" s="2" t="str"/>
      <c r="F999" s="2" t="str"/>
      <c r="G999" s="2" t="str"/>
      <c r="H999" s="2" t="str"/>
      <c r="I999" s="2" t="str"/>
      <c r="J999" s="2" t="str"/>
      <c r="N999" s="2">
        <f>IF(Append1!J998="","",Append1!J998)</f>
        <v/>
      </c>
    </row>
    <row r="1000">
      <c r="B1000" s="2">
        <f t="array" ref="B1000:J1000">IF(Append1!A999:I999="","",Append1!A999:I999)</f>
        <v/>
      </c>
      <c r="C1000" s="3" t="str"/>
      <c r="D1000" s="2" t="str"/>
      <c r="E1000" s="2" t="str"/>
      <c r="F1000" s="2" t="str"/>
      <c r="G1000" s="2" t="str"/>
      <c r="H1000" s="2" t="str"/>
      <c r="I1000" s="2" t="str"/>
      <c r="J1000" s="2" t="str"/>
      <c r="N1000" s="2">
        <f>IF(Append1!J999="","",Append1!J999)</f>
        <v/>
      </c>
    </row>
    <row r="1001">
      <c r="B1001" s="2">
        <f t="array" ref="B1001:J1001">IF(Append1!A1000:I1000="","",Append1!A1000:I1000)</f>
        <v/>
      </c>
      <c r="C1001" s="3" t="str"/>
      <c r="D1001" s="2" t="str"/>
      <c r="E1001" s="2" t="str"/>
      <c r="F1001" s="2" t="str"/>
      <c r="G1001" s="2" t="str"/>
      <c r="H1001" s="2" t="str"/>
      <c r="I1001" s="2" t="str"/>
      <c r="J1001" s="2" t="str"/>
      <c r="N1001" s="2">
        <f>IF(Append1!J1000="","",Append1!J1000)</f>
        <v/>
      </c>
    </row>
    <row r="1002">
      <c r="B1002" s="2">
        <f t="array" ref="B1002:J1002">IF(Append1!A1001:I1001="","",Append1!A1001:I1001)</f>
        <v/>
      </c>
      <c r="C1002" s="3" t="str"/>
      <c r="D1002" s="2" t="str"/>
      <c r="E1002" s="2" t="str"/>
      <c r="F1002" s="2" t="str"/>
      <c r="G1002" s="2" t="str"/>
      <c r="H1002" s="2" t="str"/>
      <c r="I1002" s="2" t="str"/>
      <c r="J1002" s="2" t="str"/>
      <c r="N1002" s="2">
        <f>IF(Append1!J1001="","",Append1!J1001)</f>
        <v/>
      </c>
    </row>
    <row r="1003">
      <c r="B1003" s="2">
        <f t="array" ref="B1003:J1003">IF(Append1!A1002:I1002="","",Append1!A1002:I1002)</f>
        <v/>
      </c>
      <c r="C1003" s="3" t="str"/>
      <c r="D1003" s="2" t="str"/>
      <c r="E1003" s="2" t="str"/>
      <c r="F1003" s="2" t="str"/>
      <c r="G1003" s="2" t="str"/>
      <c r="H1003" s="2" t="str"/>
      <c r="I1003" s="2" t="str"/>
      <c r="J1003" s="2" t="str"/>
      <c r="N1003" s="2">
        <f>IF(Append1!J1002="","",Append1!J1002)</f>
        <v/>
      </c>
    </row>
    <row r="1004">
      <c r="B1004" s="2">
        <f t="array" ref="B1004:J1004">IF(Append1!A1003:I1003="","",Append1!A1003:I1003)</f>
        <v/>
      </c>
      <c r="C1004" s="3" t="str"/>
      <c r="D1004" s="2" t="str"/>
      <c r="E1004" s="2" t="str"/>
      <c r="F1004" s="2" t="str"/>
      <c r="G1004" s="2" t="str"/>
      <c r="H1004" s="2" t="str"/>
      <c r="I1004" s="2" t="str"/>
      <c r="J1004" s="2" t="str"/>
      <c r="N1004" s="2">
        <f>IF(Append1!J1003="","",Append1!J1003)</f>
        <v/>
      </c>
    </row>
    <row r="1005">
      <c r="B1005" s="2">
        <f t="array" ref="B1005:J1005">IF(Append1!A1004:I1004="","",Append1!A1004:I1004)</f>
        <v/>
      </c>
      <c r="C1005" s="3" t="str"/>
      <c r="D1005" s="2" t="str"/>
      <c r="E1005" s="2" t="str"/>
      <c r="F1005" s="2" t="str"/>
      <c r="G1005" s="2" t="str"/>
      <c r="H1005" s="2" t="str"/>
      <c r="I1005" s="2" t="str"/>
      <c r="J1005" s="2" t="str"/>
      <c r="N1005" s="2">
        <f>IF(Append1!J1004="","",Append1!J1004)</f>
        <v/>
      </c>
    </row>
    <row r="1006">
      <c r="B1006" s="2">
        <f t="array" ref="B1006:J1006">IF(Append1!A1005:I1005="","",Append1!A1005:I1005)</f>
        <v/>
      </c>
      <c r="C1006" s="3" t="str"/>
      <c r="D1006" s="2" t="str"/>
      <c r="E1006" s="2" t="str"/>
      <c r="F1006" s="2" t="str"/>
      <c r="G1006" s="2" t="str"/>
      <c r="H1006" s="2" t="str"/>
      <c r="I1006" s="2" t="str"/>
      <c r="J1006" s="2" t="str"/>
      <c r="N1006" s="2">
        <f>IF(Append1!J1005="","",Append1!J1005)</f>
        <v/>
      </c>
    </row>
    <row r="1007">
      <c r="B1007" s="2">
        <f t="array" ref="B1007:J1007">IF(Append1!A1006:I1006="","",Append1!A1006:I1006)</f>
        <v/>
      </c>
      <c r="C1007" s="3" t="str"/>
      <c r="D1007" s="2" t="str"/>
      <c r="E1007" s="2" t="str"/>
      <c r="F1007" s="2" t="str"/>
      <c r="G1007" s="2" t="str"/>
      <c r="H1007" s="2" t="str"/>
      <c r="I1007" s="2" t="str"/>
      <c r="J1007" s="2" t="str"/>
      <c r="N1007" s="2">
        <f>IF(Append1!J1006="","",Append1!J1006)</f>
        <v/>
      </c>
    </row>
  </sheetData>
  <mergeCells count="1">
    <mergeCell ref="B1:M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B3:E21"/>
  <sheetViews>
    <sheetView showGridLines="0" showRowColHeaders="0" workbookViewId="0">
      <selection activeCell="C16" sqref="C16"/>
    </sheetView>
  </sheetViews>
  <sheetFormatPr baseColWidth="8" defaultRowHeight="15"/>
  <cols>
    <col width="3" bestFit="1" customWidth="1" style="130" min="2" max="2"/>
    <col width="24.42578125" bestFit="1" customWidth="1" style="130" min="3" max="3"/>
    <col width="6.7109375" bestFit="1" customWidth="1" style="130" min="4" max="4"/>
    <col width="12.42578125" bestFit="1" customWidth="1" style="130" min="5" max="5"/>
  </cols>
  <sheetData>
    <row r="3" ht="18.75" customHeight="1" s="130">
      <c r="C3" s="188" t="inlineStr">
        <is>
          <t>JSS2</t>
        </is>
      </c>
      <c r="D3" s="189" t="n"/>
      <c r="E3" s="190" t="n"/>
    </row>
    <row r="4">
      <c r="B4" s="168" t="inlineStr">
        <is>
          <t xml:space="preserve">  📚  SUBJECTS LIST  (add/remove as needed)</t>
        </is>
      </c>
    </row>
    <row r="5">
      <c r="B5" s="7" t="inlineStr">
        <is>
          <t>#</t>
        </is>
      </c>
      <c r="C5" s="7" t="inlineStr">
        <is>
          <t>Subject Name</t>
        </is>
      </c>
      <c r="D5" s="7" t="inlineStr">
        <is>
          <t>Code</t>
        </is>
      </c>
      <c r="E5" s="7" t="inlineStr">
        <is>
          <t>Max CA Score</t>
        </is>
      </c>
    </row>
    <row r="6">
      <c r="B6" s="2" t="n">
        <v>1</v>
      </c>
      <c r="C6" s="3" t="inlineStr">
        <is>
          <t>English Language</t>
        </is>
      </c>
      <c r="D6" s="2" t="inlineStr">
        <is>
          <t>ENG</t>
        </is>
      </c>
      <c r="E6" s="2" t="n">
        <v>40</v>
      </c>
    </row>
    <row r="7">
      <c r="B7" s="4" t="n">
        <v>2</v>
      </c>
      <c r="C7" s="5" t="inlineStr">
        <is>
          <t>Mathematics</t>
        </is>
      </c>
      <c r="D7" s="4" t="inlineStr">
        <is>
          <t>MTH</t>
        </is>
      </c>
      <c r="E7" s="4" t="n">
        <v>40</v>
      </c>
    </row>
    <row r="8">
      <c r="B8" s="2" t="n">
        <v>3</v>
      </c>
      <c r="C8" s="3" t="inlineStr">
        <is>
          <t>Basic Digital Literacy</t>
        </is>
      </c>
      <c r="D8" s="2" t="n"/>
      <c r="E8" s="2" t="n"/>
    </row>
    <row r="9">
      <c r="B9" s="4" t="n">
        <v>4</v>
      </c>
      <c r="C9" s="5" t="inlineStr">
        <is>
          <t>Nigeria History</t>
        </is>
      </c>
      <c r="D9" s="4" t="n"/>
      <c r="E9" s="4" t="n"/>
    </row>
    <row r="10">
      <c r="B10" s="2" t="n">
        <v>5</v>
      </c>
      <c r="C10" s="3" t="inlineStr">
        <is>
          <t>Prevocational Studies</t>
        </is>
      </c>
      <c r="D10" s="2" t="n"/>
      <c r="E10" s="2" t="n"/>
    </row>
    <row r="11">
      <c r="B11" s="4" t="n">
        <v>6</v>
      </c>
      <c r="C11" s="5" t="inlineStr">
        <is>
          <t>Social and Citizenship</t>
        </is>
      </c>
      <c r="D11" s="4" t="n"/>
      <c r="E11" s="4" t="n"/>
    </row>
    <row r="12">
      <c r="B12" s="2" t="n">
        <v>7</v>
      </c>
      <c r="C12" s="3" t="inlineStr">
        <is>
          <t>Cultural and Creative Art</t>
        </is>
      </c>
      <c r="D12" s="2" t="n"/>
      <c r="E12" s="2" t="n"/>
    </row>
    <row r="13">
      <c r="B13" s="4" t="n">
        <v>8</v>
      </c>
      <c r="C13" s="5" t="inlineStr">
        <is>
          <t>Islamic Religious Studies</t>
        </is>
      </c>
      <c r="D13" s="4" t="n"/>
      <c r="E13" s="4" t="n"/>
    </row>
    <row r="14">
      <c r="B14" s="2" t="n">
        <v>9</v>
      </c>
      <c r="C14" s="3" t="inlineStr">
        <is>
          <t>Physical Health Education</t>
        </is>
      </c>
      <c r="D14" s="2" t="n"/>
      <c r="E14" s="2" t="n"/>
    </row>
    <row r="15">
      <c r="B15" s="4" t="n">
        <v>10</v>
      </c>
      <c r="C15" s="5" t="inlineStr">
        <is>
          <t>Basic Science</t>
        </is>
      </c>
      <c r="D15" s="4" t="n"/>
      <c r="E15" s="4" t="n"/>
    </row>
    <row r="16">
      <c r="B16" s="2" t="n">
        <v>11</v>
      </c>
      <c r="C16" s="3" t="n"/>
      <c r="D16" s="2" t="n"/>
      <c r="E16" s="2" t="n"/>
    </row>
    <row r="17">
      <c r="B17" s="4" t="n">
        <v>12</v>
      </c>
      <c r="C17" s="5" t="n"/>
      <c r="D17" s="4" t="n"/>
      <c r="E17" s="4" t="n"/>
    </row>
    <row r="18">
      <c r="B18" s="2" t="n">
        <v>13</v>
      </c>
      <c r="C18" s="3" t="n"/>
      <c r="D18" s="2" t="n"/>
      <c r="E18" s="2" t="n"/>
    </row>
    <row r="19">
      <c r="B19" s="4" t="n">
        <v>14</v>
      </c>
      <c r="C19" s="5" t="n"/>
      <c r="D19" s="4" t="n"/>
      <c r="E19" s="4" t="n"/>
    </row>
    <row r="20">
      <c r="B20" s="2" t="n">
        <v>15</v>
      </c>
      <c r="C20" s="3" t="n"/>
      <c r="D20" s="2" t="n"/>
      <c r="E20" s="2" t="n"/>
    </row>
    <row r="21">
      <c r="B21" s="4" t="n">
        <v>16</v>
      </c>
      <c r="C21" s="5" t="n"/>
      <c r="D21" s="4" t="n"/>
      <c r="E21" s="4" t="n"/>
    </row>
  </sheetData>
  <mergeCells count="2">
    <mergeCell ref="C3:E3"/>
    <mergeCell ref="B4:E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outlinePr summaryBelow="1" summaryRight="1"/>
    <pageSetUpPr/>
  </sheetPr>
  <dimension ref="A1:V98"/>
  <sheetViews>
    <sheetView workbookViewId="0">
      <selection activeCell="N1" sqref="N1"/>
    </sheetView>
  </sheetViews>
  <sheetFormatPr baseColWidth="8" defaultRowHeight="15"/>
  <cols>
    <col width="10" bestFit="1" customWidth="1" style="130" min="1" max="1"/>
    <col width="18.7109375" bestFit="1" customWidth="1" style="130" min="2" max="2"/>
    <col width="18.42578125" bestFit="1" customWidth="1" style="130" min="3" max="3"/>
    <col width="11.140625" bestFit="1" customWidth="1" style="130" min="4" max="4"/>
    <col width="14.85546875" bestFit="1" customWidth="1" style="130" min="5" max="5"/>
    <col width="5.5703125" bestFit="1" customWidth="1" style="130" min="6" max="6"/>
    <col width="21.42578125" bestFit="1" customWidth="1" style="130" min="7" max="7"/>
    <col width="5.5703125" bestFit="1" customWidth="1" style="130" min="8" max="8"/>
    <col width="16.5703125" bestFit="1" customWidth="1" style="130" min="9" max="9"/>
    <col width="5.5703125" bestFit="1" customWidth="1" style="130" min="10" max="10"/>
    <col width="22.7109375" bestFit="1" customWidth="1" style="130" min="11" max="11"/>
    <col width="5.5703125" bestFit="1" customWidth="1" style="130" min="12" max="12"/>
    <col width="23.85546875" customWidth="1" style="130" min="13" max="13"/>
    <col width="11.7109375" customWidth="1" style="130" min="14" max="14"/>
    <col width="25.42578125" bestFit="1" customWidth="1" style="130" min="15" max="15"/>
    <col width="5.28515625" bestFit="1" customWidth="1" style="130" min="16" max="16"/>
    <col width="25.42578125" bestFit="1" customWidth="1" style="130" min="17" max="17"/>
    <col width="5.28515625" bestFit="1" customWidth="1" style="130" min="18" max="18"/>
    <col width="26.28515625" bestFit="1" customWidth="1" style="130" min="19" max="19"/>
    <col width="5.28515625" bestFit="1" customWidth="1" style="130" min="20" max="20"/>
    <col width="14.85546875" bestFit="1" customWidth="1" style="130" min="21" max="21"/>
    <col width="5.28515625" bestFit="1" customWidth="1" style="130" min="22" max="22"/>
  </cols>
  <sheetData>
    <row r="1">
      <c r="A1" t="inlineStr">
        <is>
          <t>Reg/No</t>
        </is>
      </c>
      <c r="B1" t="inlineStr">
        <is>
          <t>Student Name</t>
        </is>
      </c>
      <c r="C1" t="inlineStr">
        <is>
          <t>English Language</t>
        </is>
      </c>
      <c r="D1" t="inlineStr">
        <is>
          <t>Column1</t>
        </is>
      </c>
      <c r="E1" t="inlineStr">
        <is>
          <t>Mathematics</t>
        </is>
      </c>
      <c r="F1" t="inlineStr">
        <is>
          <t>_1</t>
        </is>
      </c>
      <c r="G1" t="inlineStr">
        <is>
          <t>Basic Digital Literacy</t>
        </is>
      </c>
      <c r="H1" t="inlineStr">
        <is>
          <t>_2</t>
        </is>
      </c>
      <c r="I1" t="inlineStr">
        <is>
          <t>Nigeria History</t>
        </is>
      </c>
      <c r="J1" t="inlineStr">
        <is>
          <t>_3</t>
        </is>
      </c>
      <c r="K1" t="inlineStr">
        <is>
          <t>Prevocational Studies</t>
        </is>
      </c>
      <c r="L1" t="inlineStr">
        <is>
          <t>_4</t>
        </is>
      </c>
      <c r="M1" t="inlineStr">
        <is>
          <t>Social and Citizenship</t>
        </is>
      </c>
      <c r="N1" t="inlineStr">
        <is>
          <t>_5</t>
        </is>
      </c>
      <c r="O1" t="inlineStr">
        <is>
          <t>Cultural and Creative Art</t>
        </is>
      </c>
      <c r="P1" t="inlineStr">
        <is>
          <t>_6</t>
        </is>
      </c>
      <c r="Q1" t="inlineStr">
        <is>
          <t>Islamic Religious Studies</t>
        </is>
      </c>
      <c r="R1" t="inlineStr">
        <is>
          <t>_7</t>
        </is>
      </c>
      <c r="S1" t="inlineStr">
        <is>
          <t>Physical Health Education</t>
        </is>
      </c>
      <c r="T1" t="inlineStr">
        <is>
          <t>_8</t>
        </is>
      </c>
      <c r="U1" t="inlineStr">
        <is>
          <t>Basic Science</t>
        </is>
      </c>
      <c r="V1" t="inlineStr">
        <is>
          <t>_9</t>
        </is>
      </c>
    </row>
    <row r="2">
      <c r="A2" t="inlineStr">
        <is>
          <t>DEC/001</t>
        </is>
      </c>
      <c r="B2" t="inlineStr">
        <is>
          <t>Legacy Student 01</t>
        </is>
      </c>
      <c r="C2" t="inlineStr">
        <is>
          <t>33.00</t>
        </is>
      </c>
      <c r="D2" t="inlineStr">
        <is>
          <t>50.00</t>
        </is>
      </c>
      <c r="E2" t="inlineStr">
        <is>
          <t>28.00</t>
        </is>
      </c>
      <c r="F2" t="inlineStr">
        <is>
          <t>34.00</t>
        </is>
      </c>
      <c r="G2" t="inlineStr">
        <is>
          <t>21.00</t>
        </is>
      </c>
      <c r="H2" t="inlineStr">
        <is>
          <t>45.00</t>
        </is>
      </c>
      <c r="I2" t="inlineStr">
        <is>
          <t>39.00</t>
        </is>
      </c>
      <c r="J2" t="inlineStr">
        <is>
          <t>56.00</t>
        </is>
      </c>
      <c r="K2" t="inlineStr"/>
      <c r="L2" t="inlineStr"/>
      <c r="M2" t="inlineStr"/>
      <c r="N2" t="inlineStr"/>
      <c r="O2" t="inlineStr"/>
      <c r="P2" t="inlineStr"/>
      <c r="Q2" t="inlineStr"/>
      <c r="R2" t="inlineStr"/>
      <c r="S2" t="inlineStr"/>
      <c r="T2" t="inlineStr"/>
      <c r="U2" t="inlineStr"/>
      <c r="V2" t="inlineStr"/>
    </row>
    <row r="3">
      <c r="A3" t="inlineStr">
        <is>
          <t>DEC/002</t>
        </is>
      </c>
      <c r="B3" t="inlineStr">
        <is>
          <t>Legacy Student 02</t>
        </is>
      </c>
      <c r="C3" t="inlineStr">
        <is>
          <t>21.00</t>
        </is>
      </c>
      <c r="D3" t="inlineStr">
        <is>
          <t>45.00</t>
        </is>
      </c>
      <c r="E3" t="inlineStr">
        <is>
          <t>21.00</t>
        </is>
      </c>
      <c r="F3" t="inlineStr">
        <is>
          <t>56.00</t>
        </is>
      </c>
      <c r="G3" t="inlineStr">
        <is>
          <t>23.00</t>
        </is>
      </c>
      <c r="H3" t="inlineStr">
        <is>
          <t>45.00</t>
        </is>
      </c>
      <c r="I3" t="inlineStr">
        <is>
          <t>22.00</t>
        </is>
      </c>
      <c r="J3" t="inlineStr">
        <is>
          <t>34.00</t>
        </is>
      </c>
      <c r="K3" t="inlineStr">
        <is>
          <t>12.00</t>
        </is>
      </c>
      <c r="L3" t="inlineStr">
        <is>
          <t>35.00</t>
        </is>
      </c>
      <c r="M3" t="inlineStr">
        <is>
          <t>34.00</t>
        </is>
      </c>
      <c r="N3" t="inlineStr">
        <is>
          <t>55.00</t>
        </is>
      </c>
      <c r="O3" t="inlineStr"/>
      <c r="P3" t="inlineStr"/>
      <c r="Q3" t="inlineStr"/>
      <c r="R3" t="inlineStr"/>
      <c r="S3" t="inlineStr"/>
      <c r="T3" t="inlineStr"/>
      <c r="U3" t="inlineStr"/>
      <c r="V3" t="inlineStr"/>
    </row>
    <row r="4">
      <c r="A4" t="inlineStr">
        <is>
          <t>BSC1/001</t>
        </is>
      </c>
      <c r="B4" t="inlineStr">
        <is>
          <t>Student 01</t>
        </is>
      </c>
      <c r="C4" t="inlineStr"/>
      <c r="D4" t="inlineStr"/>
      <c r="E4" t="inlineStr"/>
      <c r="F4" t="inlineStr"/>
      <c r="G4" t="inlineStr"/>
      <c r="H4" t="inlineStr"/>
      <c r="I4" t="inlineStr"/>
      <c r="J4" t="inlineStr"/>
      <c r="K4" t="inlineStr"/>
      <c r="L4" t="inlineStr"/>
      <c r="M4" t="inlineStr"/>
      <c r="N4" t="inlineStr"/>
      <c r="O4" t="inlineStr"/>
      <c r="P4" t="inlineStr"/>
      <c r="Q4" t="inlineStr"/>
      <c r="R4" t="inlineStr"/>
      <c r="S4" t="inlineStr"/>
      <c r="T4" t="inlineStr"/>
      <c r="U4" t="inlineStr"/>
      <c r="V4" t="inlineStr"/>
    </row>
    <row r="5">
      <c r="A5" t="inlineStr">
        <is>
          <t>BSC1/002</t>
        </is>
      </c>
      <c r="B5" t="inlineStr">
        <is>
          <t>Student 02</t>
        </is>
      </c>
      <c r="C5" t="inlineStr"/>
      <c r="D5" t="inlineStr"/>
      <c r="E5" t="inlineStr"/>
      <c r="F5" t="inlineStr"/>
      <c r="G5" t="inlineStr"/>
      <c r="H5" t="inlineStr"/>
      <c r="I5" t="inlineStr"/>
      <c r="J5" t="inlineStr"/>
      <c r="K5" t="inlineStr"/>
      <c r="L5" t="inlineStr"/>
      <c r="M5" t="inlineStr"/>
      <c r="N5" t="inlineStr"/>
      <c r="O5" t="inlineStr"/>
      <c r="P5" t="inlineStr"/>
      <c r="Q5" t="inlineStr"/>
      <c r="R5" t="inlineStr"/>
      <c r="S5" t="inlineStr"/>
      <c r="T5" t="inlineStr"/>
      <c r="U5" t="inlineStr"/>
      <c r="V5" t="inlineStr"/>
    </row>
    <row r="6">
      <c r="A6" t="inlineStr">
        <is>
          <t>BSC1/003</t>
        </is>
      </c>
      <c r="B6" t="inlineStr">
        <is>
          <t>Student 03</t>
        </is>
      </c>
      <c r="C6" t="inlineStr"/>
      <c r="D6" t="inlineStr"/>
      <c r="E6" t="inlineStr"/>
      <c r="F6" t="inlineStr"/>
      <c r="G6" t="inlineStr"/>
      <c r="H6" t="inlineStr"/>
      <c r="I6" t="inlineStr"/>
      <c r="J6" t="inlineStr"/>
      <c r="K6" t="inlineStr"/>
      <c r="L6" t="inlineStr"/>
      <c r="M6" t="inlineStr"/>
      <c r="N6" t="inlineStr"/>
      <c r="O6" t="inlineStr"/>
      <c r="P6" t="inlineStr"/>
      <c r="Q6" t="inlineStr"/>
      <c r="R6" t="inlineStr"/>
      <c r="S6" t="inlineStr"/>
      <c r="T6" t="inlineStr"/>
      <c r="U6" t="inlineStr"/>
      <c r="V6" t="inlineStr"/>
    </row>
    <row r="7">
      <c r="A7" t="inlineStr">
        <is>
          <t>BSC1/004</t>
        </is>
      </c>
      <c r="B7" t="inlineStr">
        <is>
          <t>Student 04</t>
        </is>
      </c>
      <c r="C7" t="inlineStr"/>
      <c r="D7" t="inlineStr"/>
      <c r="E7" t="inlineStr"/>
      <c r="F7" t="inlineStr"/>
      <c r="G7" t="inlineStr"/>
      <c r="H7" t="inlineStr"/>
      <c r="I7" t="inlineStr"/>
      <c r="J7" t="inlineStr"/>
      <c r="K7" t="inlineStr"/>
      <c r="L7" t="inlineStr"/>
      <c r="M7" t="inlineStr"/>
      <c r="N7" t="inlineStr"/>
      <c r="O7" t="inlineStr"/>
      <c r="P7" t="inlineStr"/>
      <c r="Q7" t="inlineStr"/>
      <c r="R7" t="inlineStr"/>
      <c r="S7" t="inlineStr"/>
      <c r="T7" t="inlineStr"/>
      <c r="U7" t="inlineStr"/>
      <c r="V7" t="inlineStr"/>
    </row>
    <row r="8">
      <c r="A8" t="inlineStr">
        <is>
          <t>BSC1/005</t>
        </is>
      </c>
      <c r="B8" t="inlineStr">
        <is>
          <t>Student 05</t>
        </is>
      </c>
      <c r="C8" t="inlineStr"/>
      <c r="D8" t="inlineStr"/>
      <c r="E8" t="inlineStr"/>
      <c r="F8" t="inlineStr"/>
      <c r="G8" t="inlineStr"/>
      <c r="H8" t="inlineStr"/>
      <c r="I8" t="inlineStr"/>
      <c r="J8" t="inlineStr"/>
      <c r="K8" t="inlineStr"/>
      <c r="L8" t="inlineStr"/>
      <c r="M8" t="inlineStr"/>
      <c r="N8" t="inlineStr"/>
      <c r="O8" t="inlineStr"/>
      <c r="P8" t="inlineStr"/>
      <c r="Q8" t="inlineStr"/>
      <c r="R8" t="inlineStr"/>
      <c r="S8" t="inlineStr"/>
      <c r="T8" t="inlineStr"/>
      <c r="U8" t="inlineStr"/>
      <c r="V8" t="inlineStr"/>
    </row>
    <row r="9">
      <c r="A9" t="inlineStr">
        <is>
          <t>BSC1/006</t>
        </is>
      </c>
      <c r="B9" t="inlineStr">
        <is>
          <t>Student 06</t>
        </is>
      </c>
      <c r="C9" t="inlineStr"/>
      <c r="D9" t="inlineStr"/>
      <c r="E9" t="inlineStr"/>
      <c r="F9" t="inlineStr"/>
      <c r="G9" t="inlineStr"/>
      <c r="H9" t="inlineStr"/>
      <c r="I9" t="inlineStr"/>
      <c r="J9" t="inlineStr"/>
      <c r="K9" t="inlineStr"/>
      <c r="L9" t="inlineStr"/>
      <c r="M9" t="inlineStr"/>
      <c r="N9" t="inlineStr"/>
      <c r="O9" t="inlineStr"/>
      <c r="P9" t="inlineStr"/>
      <c r="Q9" t="inlineStr"/>
      <c r="R9" t="inlineStr"/>
      <c r="S9" t="inlineStr"/>
      <c r="T9" t="inlineStr"/>
      <c r="U9" t="inlineStr"/>
      <c r="V9" t="inlineStr"/>
    </row>
    <row r="10">
      <c r="A10" t="inlineStr">
        <is>
          <t>BSC1/007</t>
        </is>
      </c>
      <c r="B10" t="inlineStr">
        <is>
          <t>Student 07</t>
        </is>
      </c>
      <c r="C10" t="inlineStr"/>
      <c r="D10" t="inlineStr"/>
      <c r="E10" t="inlineStr"/>
      <c r="F10" t="inlineStr"/>
      <c r="G10" t="inlineStr"/>
      <c r="H10" t="inlineStr"/>
      <c r="I10" t="inlineStr"/>
      <c r="J10" t="inlineStr"/>
      <c r="K10" t="inlineStr"/>
      <c r="L10" t="inlineStr"/>
      <c r="M10" t="inlineStr"/>
      <c r="N10" t="inlineStr"/>
      <c r="O10" t="inlineStr"/>
      <c r="P10" t="inlineStr"/>
      <c r="Q10" t="inlineStr"/>
      <c r="R10" t="inlineStr"/>
      <c r="S10" t="inlineStr"/>
      <c r="T10" t="inlineStr"/>
      <c r="U10" t="inlineStr"/>
      <c r="V10" t="inlineStr"/>
    </row>
    <row r="11">
      <c r="A11" t="inlineStr">
        <is>
          <t>BSC1/008</t>
        </is>
      </c>
      <c r="B11" t="inlineStr">
        <is>
          <t>Student 08</t>
        </is>
      </c>
      <c r="C11" t="inlineStr"/>
      <c r="D11" t="inlineStr"/>
      <c r="E11" t="inlineStr"/>
      <c r="F11" t="inlineStr"/>
      <c r="G11" t="inlineStr"/>
      <c r="H11" t="inlineStr"/>
      <c r="I11" t="inlineStr"/>
      <c r="J11" t="inlineStr"/>
      <c r="K11" t="inlineStr"/>
      <c r="L11" t="inlineStr"/>
      <c r="M11" t="inlineStr"/>
      <c r="N11" t="inlineStr"/>
      <c r="O11" t="inlineStr"/>
      <c r="P11" t="inlineStr"/>
      <c r="Q11" t="inlineStr"/>
      <c r="R11" t="inlineStr"/>
      <c r="S11" t="inlineStr"/>
      <c r="T11" t="inlineStr"/>
      <c r="U11" t="inlineStr"/>
      <c r="V11" t="inlineStr"/>
    </row>
    <row r="12">
      <c r="A12" t="inlineStr">
        <is>
          <t>BSC1/009</t>
        </is>
      </c>
      <c r="B12" t="inlineStr">
        <is>
          <t>Student 09</t>
        </is>
      </c>
      <c r="C12" t="inlineStr"/>
      <c r="D12" t="inlineStr"/>
      <c r="E12" t="inlineStr"/>
      <c r="F12" t="inlineStr"/>
      <c r="G12" t="inlineStr"/>
      <c r="H12" t="inlineStr"/>
      <c r="I12" t="inlineStr"/>
      <c r="J12" t="inlineStr"/>
      <c r="K12" t="inlineStr"/>
      <c r="L12" t="inlineStr"/>
      <c r="M12" t="inlineStr"/>
      <c r="N12" t="inlineStr"/>
      <c r="O12" t="inlineStr"/>
      <c r="P12" t="inlineStr"/>
      <c r="Q12" t="inlineStr"/>
      <c r="R12" t="inlineStr"/>
      <c r="S12" t="inlineStr"/>
      <c r="T12" t="inlineStr"/>
      <c r="U12" t="inlineStr"/>
      <c r="V12" t="inlineStr"/>
    </row>
    <row r="13">
      <c r="A13" t="inlineStr">
        <is>
          <t>BSC1/010</t>
        </is>
      </c>
      <c r="B13" t="inlineStr">
        <is>
          <t>Student 10</t>
        </is>
      </c>
      <c r="C13" t="inlineStr"/>
      <c r="D13" t="inlineStr"/>
      <c r="E13" t="inlineStr"/>
      <c r="F13" t="inlineStr"/>
      <c r="G13" t="inlineStr"/>
      <c r="H13" t="inlineStr"/>
      <c r="I13" t="inlineStr"/>
      <c r="J13" t="inlineStr"/>
      <c r="K13" t="inlineStr"/>
      <c r="L13" t="inlineStr"/>
      <c r="M13" t="inlineStr"/>
      <c r="N13" t="inlineStr"/>
      <c r="O13" t="inlineStr"/>
      <c r="P13" t="inlineStr"/>
      <c r="Q13" t="inlineStr"/>
      <c r="R13" t="inlineStr"/>
      <c r="S13" t="inlineStr"/>
      <c r="T13" t="inlineStr"/>
      <c r="U13" t="inlineStr"/>
      <c r="V13" t="inlineStr"/>
    </row>
    <row r="14">
      <c r="A14" t="inlineStr">
        <is>
          <t>BSC1/011</t>
        </is>
      </c>
      <c r="B14" t="inlineStr">
        <is>
          <t>Student 11</t>
        </is>
      </c>
      <c r="C14" t="inlineStr"/>
      <c r="D14" t="inlineStr"/>
      <c r="E14" t="inlineStr"/>
      <c r="F14" t="inlineStr"/>
      <c r="G14" t="inlineStr"/>
      <c r="H14" t="inlineStr"/>
      <c r="I14" t="inlineStr"/>
      <c r="J14" t="inlineStr"/>
      <c r="K14" t="inlineStr"/>
      <c r="L14" t="inlineStr"/>
      <c r="M14" t="inlineStr"/>
      <c r="N14" t="inlineStr"/>
      <c r="O14" t="inlineStr"/>
      <c r="P14" t="inlineStr"/>
      <c r="Q14" t="inlineStr"/>
      <c r="R14" t="inlineStr"/>
      <c r="S14" t="inlineStr"/>
      <c r="T14" t="inlineStr"/>
      <c r="U14" t="inlineStr"/>
      <c r="V14" t="inlineStr"/>
    </row>
    <row r="15">
      <c r="A15" t="inlineStr">
        <is>
          <t>BSC1/012</t>
        </is>
      </c>
      <c r="B15" t="inlineStr">
        <is>
          <t>Student 12</t>
        </is>
      </c>
      <c r="C15" t="inlineStr"/>
      <c r="D15" t="inlineStr"/>
      <c r="E15" t="inlineStr"/>
      <c r="F15" t="inlineStr"/>
      <c r="G15" t="inlineStr"/>
      <c r="H15" t="inlineStr"/>
      <c r="I15" t="inlineStr"/>
      <c r="J15" t="inlineStr"/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</row>
    <row r="16">
      <c r="A16" t="inlineStr">
        <is>
          <t>BSC1/013</t>
        </is>
      </c>
      <c r="B16" t="inlineStr">
        <is>
          <t>Student 13</t>
        </is>
      </c>
      <c r="C16" t="inlineStr"/>
      <c r="D16" t="inlineStr"/>
      <c r="E16" t="inlineStr"/>
      <c r="F16" t="inlineStr"/>
      <c r="G16" t="inlineStr"/>
      <c r="H16" t="inlineStr"/>
      <c r="I16" t="inlineStr"/>
      <c r="J16" t="inlineStr"/>
      <c r="K16" t="inlineStr"/>
      <c r="L16" t="inlineStr"/>
      <c r="M16" t="inlineStr"/>
      <c r="N16" t="inlineStr"/>
      <c r="O16" t="inlineStr"/>
      <c r="P16" t="inlineStr"/>
      <c r="Q16" t="inlineStr"/>
      <c r="R16" t="inlineStr"/>
      <c r="S16" t="inlineStr"/>
      <c r="T16" t="inlineStr"/>
      <c r="U16" t="inlineStr"/>
      <c r="V16" t="inlineStr"/>
    </row>
    <row r="17">
      <c r="A17" t="inlineStr">
        <is>
          <t>BSC1/014</t>
        </is>
      </c>
      <c r="B17" t="inlineStr">
        <is>
          <t>Student 14</t>
        </is>
      </c>
      <c r="C17" t="inlineStr"/>
      <c r="D17" t="inlineStr"/>
      <c r="E17" t="inlineStr"/>
      <c r="F17" t="inlineStr"/>
      <c r="G17" t="inlineStr"/>
      <c r="H17" t="inlineStr"/>
      <c r="I17" t="inlineStr"/>
      <c r="J17" t="inlineStr"/>
      <c r="K17" t="inlineStr"/>
      <c r="L17" t="inlineStr"/>
      <c r="M17" t="inlineStr"/>
      <c r="N17" t="inlineStr"/>
      <c r="O17" t="inlineStr"/>
      <c r="P17" t="inlineStr"/>
      <c r="Q17" t="inlineStr"/>
      <c r="R17" t="inlineStr"/>
      <c r="S17" t="inlineStr"/>
      <c r="T17" t="inlineStr"/>
      <c r="U17" t="inlineStr"/>
      <c r="V17" t="inlineStr"/>
    </row>
    <row r="18">
      <c r="A18" t="inlineStr">
        <is>
          <t>BSC1/015</t>
        </is>
      </c>
      <c r="B18" t="inlineStr">
        <is>
          <t>Student 15</t>
        </is>
      </c>
      <c r="C18" t="inlineStr"/>
      <c r="D18" t="inlineStr"/>
      <c r="E18" t="inlineStr"/>
      <c r="F18" t="inlineStr"/>
      <c r="G18" t="inlineStr"/>
      <c r="H18" t="inlineStr"/>
      <c r="I18" t="inlineStr"/>
      <c r="J18" t="inlineStr"/>
      <c r="K18" t="inlineStr"/>
      <c r="L18" t="inlineStr"/>
      <c r="M18" t="inlineStr"/>
      <c r="N18" t="inlineStr"/>
      <c r="O18" t="inlineStr"/>
      <c r="P18" t="inlineStr"/>
      <c r="Q18" t="inlineStr"/>
      <c r="R18" t="inlineStr"/>
      <c r="S18" t="inlineStr"/>
      <c r="T18" t="inlineStr"/>
      <c r="U18" t="inlineStr"/>
      <c r="V18" t="inlineStr"/>
    </row>
    <row r="19">
      <c r="A19" t="inlineStr">
        <is>
          <t>BSC1/016</t>
        </is>
      </c>
      <c r="B19" t="inlineStr">
        <is>
          <t>Student 16</t>
        </is>
      </c>
      <c r="C19" t="inlineStr"/>
      <c r="D19" t="inlineStr"/>
      <c r="E19" t="inlineStr"/>
      <c r="F19" t="inlineStr"/>
      <c r="G19" t="inlineStr"/>
      <c r="H19" t="inlineStr"/>
      <c r="I19" t="inlineStr"/>
      <c r="J19" t="inlineStr"/>
      <c r="K19" t="inlineStr"/>
      <c r="L19" t="inlineStr"/>
      <c r="M19" t="inlineStr"/>
      <c r="N19" t="inlineStr"/>
      <c r="O19" t="inlineStr"/>
      <c r="P19" t="inlineStr"/>
      <c r="Q19" t="inlineStr"/>
      <c r="R19" t="inlineStr"/>
      <c r="S19" t="inlineStr"/>
      <c r="T19" t="inlineStr"/>
      <c r="U19" t="inlineStr"/>
      <c r="V19" t="inlineStr"/>
    </row>
    <row r="20">
      <c r="A20" t="inlineStr">
        <is>
          <t>BSC1/017</t>
        </is>
      </c>
      <c r="B20" t="inlineStr">
        <is>
          <t>Student 17</t>
        </is>
      </c>
      <c r="C20" t="inlineStr"/>
      <c r="D20" t="inlineStr"/>
      <c r="E20" t="inlineStr"/>
      <c r="F20" t="inlineStr"/>
      <c r="G20" t="inlineStr"/>
      <c r="H20" t="inlineStr"/>
      <c r="I20" t="inlineStr"/>
      <c r="J20" t="inlineStr"/>
      <c r="K20" t="inlineStr"/>
      <c r="L20" t="inlineStr"/>
      <c r="M20" t="inlineStr"/>
      <c r="N20" t="inlineStr"/>
      <c r="O20" t="inlineStr"/>
      <c r="P20" t="inlineStr"/>
      <c r="Q20" t="inlineStr"/>
      <c r="R20" t="inlineStr"/>
      <c r="S20" t="inlineStr"/>
      <c r="T20" t="inlineStr"/>
      <c r="U20" t="inlineStr"/>
      <c r="V20" t="inlineStr"/>
    </row>
    <row r="21">
      <c r="A21" t="inlineStr">
        <is>
          <t>BSC1/018</t>
        </is>
      </c>
      <c r="B21" t="inlineStr">
        <is>
          <t>Student 18</t>
        </is>
      </c>
      <c r="C21" t="inlineStr"/>
      <c r="D21" t="inlineStr"/>
      <c r="E21" t="inlineStr"/>
      <c r="F21" t="inlineStr"/>
      <c r="G21" t="inlineStr"/>
      <c r="H21" t="inlineStr"/>
      <c r="I21" t="inlineStr"/>
      <c r="J21" t="inlineStr"/>
      <c r="K21" t="inlineStr"/>
      <c r="L21" t="inlineStr"/>
      <c r="M21" t="inlineStr"/>
      <c r="N21" t="inlineStr"/>
      <c r="O21" t="inlineStr"/>
      <c r="P21" t="inlineStr"/>
      <c r="Q21" t="inlineStr"/>
      <c r="R21" t="inlineStr"/>
      <c r="S21" t="inlineStr"/>
      <c r="T21" t="inlineStr"/>
      <c r="U21" t="inlineStr"/>
      <c r="V21" t="inlineStr"/>
    </row>
    <row r="22">
      <c r="A22" t="inlineStr">
        <is>
          <t>BSC1/019</t>
        </is>
      </c>
      <c r="B22" t="inlineStr">
        <is>
          <t>Student 19</t>
        </is>
      </c>
      <c r="C22" t="inlineStr"/>
      <c r="D22" t="inlineStr"/>
      <c r="E22" t="inlineStr"/>
      <c r="F22" t="inlineStr"/>
      <c r="G22" t="inlineStr"/>
      <c r="H22" t="inlineStr"/>
      <c r="I22" t="inlineStr"/>
      <c r="J22" t="inlineStr"/>
      <c r="K22" t="inlineStr"/>
      <c r="L22" t="inlineStr"/>
      <c r="M22" t="inlineStr"/>
      <c r="N22" t="inlineStr"/>
      <c r="O22" t="inlineStr"/>
      <c r="P22" t="inlineStr"/>
      <c r="Q22" t="inlineStr"/>
      <c r="R22" t="inlineStr"/>
      <c r="S22" t="inlineStr"/>
      <c r="T22" t="inlineStr"/>
      <c r="U22" t="inlineStr"/>
      <c r="V22" t="inlineStr"/>
    </row>
    <row r="23">
      <c r="A23" t="inlineStr">
        <is>
          <t>BSC1/020</t>
        </is>
      </c>
      <c r="B23" t="inlineStr">
        <is>
          <t>Student 20</t>
        </is>
      </c>
      <c r="C23" t="inlineStr"/>
      <c r="D23" t="inlineStr"/>
      <c r="E23" t="inlineStr"/>
      <c r="F23" t="inlineStr"/>
      <c r="G23" t="inlineStr"/>
      <c r="H23" t="inlineStr"/>
      <c r="I23" t="inlineStr"/>
      <c r="J23" t="inlineStr"/>
      <c r="K23" t="inlineStr"/>
      <c r="L23" t="inlineStr"/>
      <c r="M23" t="inlineStr"/>
      <c r="N23" t="inlineStr"/>
      <c r="O23" t="inlineStr"/>
      <c r="P23" t="inlineStr"/>
      <c r="Q23" t="inlineStr"/>
      <c r="R23" t="inlineStr"/>
      <c r="S23" t="inlineStr"/>
      <c r="T23" t="inlineStr"/>
      <c r="U23" t="inlineStr"/>
      <c r="V23" t="inlineStr"/>
    </row>
    <row r="24">
      <c r="A24" t="inlineStr">
        <is>
          <t>BSC2/001</t>
        </is>
      </c>
      <c r="B24" t="inlineStr">
        <is>
          <t>Student 21</t>
        </is>
      </c>
      <c r="C24" t="inlineStr"/>
      <c r="D24" t="inlineStr"/>
      <c r="E24" t="inlineStr"/>
      <c r="F24" t="inlineStr"/>
      <c r="G24" t="inlineStr"/>
      <c r="H24" t="inlineStr"/>
      <c r="I24" t="inlineStr"/>
      <c r="J24" t="inlineStr"/>
      <c r="K24" t="inlineStr"/>
      <c r="L24" t="inlineStr"/>
      <c r="M24" t="inlineStr"/>
      <c r="N24" t="inlineStr"/>
      <c r="O24" t="inlineStr"/>
      <c r="P24" t="inlineStr"/>
      <c r="Q24" t="inlineStr"/>
      <c r="R24" t="inlineStr"/>
      <c r="S24" t="inlineStr"/>
      <c r="T24" t="inlineStr"/>
      <c r="U24" t="inlineStr"/>
      <c r="V24" t="inlineStr"/>
    </row>
    <row r="25">
      <c r="A25" t="inlineStr">
        <is>
          <t>BSC2/002</t>
        </is>
      </c>
      <c r="B25" t="inlineStr">
        <is>
          <t>Student 22</t>
        </is>
      </c>
      <c r="C25" t="inlineStr"/>
      <c r="D25" t="inlineStr"/>
      <c r="E25" t="inlineStr"/>
      <c r="F25" t="inlineStr"/>
      <c r="G25" t="inlineStr"/>
      <c r="H25" t="inlineStr"/>
      <c r="I25" t="inlineStr"/>
      <c r="J25" t="inlineStr"/>
      <c r="K25" t="inlineStr"/>
      <c r="L25" t="inlineStr"/>
      <c r="M25" t="inlineStr"/>
      <c r="N25" t="inlineStr"/>
      <c r="O25" t="inlineStr"/>
      <c r="P25" t="inlineStr"/>
      <c r="Q25" t="inlineStr"/>
      <c r="R25" t="inlineStr"/>
      <c r="S25" t="inlineStr"/>
      <c r="T25" t="inlineStr"/>
      <c r="U25" t="inlineStr"/>
      <c r="V25" t="inlineStr"/>
    </row>
    <row r="26">
      <c r="A26" t="inlineStr">
        <is>
          <t>BSC2/003</t>
        </is>
      </c>
      <c r="B26" t="inlineStr">
        <is>
          <t>Student 23</t>
        </is>
      </c>
      <c r="C26" t="inlineStr"/>
      <c r="D26" t="inlineStr"/>
      <c r="E26" t="inlineStr"/>
      <c r="F26" t="inlineStr"/>
      <c r="G26" t="inlineStr"/>
      <c r="H26" t="inlineStr"/>
      <c r="I26" t="inlineStr"/>
      <c r="J26" t="inlineStr"/>
      <c r="K26" t="inlineStr"/>
      <c r="L26" t="inlineStr"/>
      <c r="M26" t="inlineStr"/>
      <c r="N26" t="inlineStr"/>
      <c r="O26" t="inlineStr"/>
      <c r="P26" t="inlineStr"/>
      <c r="Q26" t="inlineStr"/>
      <c r="R26" t="inlineStr"/>
      <c r="S26" t="inlineStr"/>
      <c r="T26" t="inlineStr"/>
      <c r="U26" t="inlineStr"/>
      <c r="V26" t="inlineStr"/>
    </row>
    <row r="27">
      <c r="A27" t="inlineStr">
        <is>
          <t>BSC2/004</t>
        </is>
      </c>
      <c r="B27" t="inlineStr">
        <is>
          <t>Student 24</t>
        </is>
      </c>
      <c r="C27" t="inlineStr"/>
      <c r="D27" t="inlineStr"/>
      <c r="E27" t="inlineStr"/>
      <c r="F27" t="inlineStr"/>
      <c r="G27" t="inlineStr"/>
      <c r="H27" t="inlineStr"/>
      <c r="I27" t="inlineStr"/>
      <c r="J27" t="inlineStr"/>
      <c r="K27" t="inlineStr"/>
      <c r="L27" t="inlineStr"/>
      <c r="M27" t="inlineStr"/>
      <c r="N27" t="inlineStr"/>
      <c r="O27" t="inlineStr"/>
      <c r="P27" t="inlineStr"/>
      <c r="Q27" t="inlineStr"/>
      <c r="R27" t="inlineStr"/>
      <c r="S27" t="inlineStr"/>
      <c r="T27" t="inlineStr"/>
      <c r="U27" t="inlineStr"/>
      <c r="V27" t="inlineStr"/>
    </row>
    <row r="28">
      <c r="A28" t="inlineStr">
        <is>
          <t>BSC2/005</t>
        </is>
      </c>
      <c r="B28" t="inlineStr">
        <is>
          <t>Student 25</t>
        </is>
      </c>
      <c r="C28" t="inlineStr"/>
      <c r="D28" t="inlineStr"/>
      <c r="E28" t="inlineStr"/>
      <c r="F28" t="inlineStr"/>
      <c r="G28" t="inlineStr"/>
      <c r="H28" t="inlineStr"/>
      <c r="I28" t="inlineStr"/>
      <c r="J28" t="inlineStr"/>
      <c r="K28" t="inlineStr"/>
      <c r="L28" t="inlineStr"/>
      <c r="M28" t="inlineStr"/>
      <c r="N28" t="inlineStr"/>
      <c r="O28" t="inlineStr"/>
      <c r="P28" t="inlineStr"/>
      <c r="Q28" t="inlineStr"/>
      <c r="R28" t="inlineStr"/>
      <c r="S28" t="inlineStr"/>
      <c r="T28" t="inlineStr"/>
      <c r="U28" t="inlineStr"/>
      <c r="V28" t="inlineStr"/>
    </row>
    <row r="29">
      <c r="A29" t="inlineStr">
        <is>
          <t>BSC2/006</t>
        </is>
      </c>
      <c r="B29" t="inlineStr">
        <is>
          <t>Student 26</t>
        </is>
      </c>
      <c r="C29" t="inlineStr"/>
      <c r="D29" t="inlineStr"/>
      <c r="E29" t="inlineStr"/>
      <c r="F29" t="inlineStr"/>
      <c r="G29" t="inlineStr"/>
      <c r="H29" t="inlineStr"/>
      <c r="I29" t="inlineStr"/>
      <c r="J29" t="inlineStr"/>
      <c r="K29" t="inlineStr"/>
      <c r="L29" t="inlineStr"/>
      <c r="M29" t="inlineStr"/>
      <c r="N29" t="inlineStr"/>
      <c r="O29" t="inlineStr"/>
      <c r="P29" t="inlineStr"/>
      <c r="Q29" t="inlineStr"/>
      <c r="R29" t="inlineStr"/>
      <c r="S29" t="inlineStr"/>
      <c r="T29" t="inlineStr"/>
      <c r="U29" t="inlineStr"/>
      <c r="V29" t="inlineStr"/>
    </row>
    <row r="30">
      <c r="A30" t="inlineStr">
        <is>
          <t>BSC2/007</t>
        </is>
      </c>
      <c r="B30" t="inlineStr">
        <is>
          <t>Student 27</t>
        </is>
      </c>
      <c r="C30" t="inlineStr"/>
      <c r="D30" t="inlineStr"/>
      <c r="E30" t="inlineStr"/>
      <c r="F30" t="inlineStr"/>
      <c r="G30" t="inlineStr"/>
      <c r="H30" t="inlineStr"/>
      <c r="I30" t="inlineStr"/>
      <c r="J30" t="inlineStr"/>
      <c r="K30" t="inlineStr"/>
      <c r="L30" t="inlineStr"/>
      <c r="M30" t="inlineStr"/>
      <c r="N30" t="inlineStr"/>
      <c r="O30" t="inlineStr"/>
      <c r="P30" t="inlineStr"/>
      <c r="Q30" t="inlineStr"/>
      <c r="R30" t="inlineStr"/>
      <c r="S30" t="inlineStr"/>
      <c r="T30" t="inlineStr"/>
      <c r="U30" t="inlineStr"/>
      <c r="V30" t="inlineStr"/>
    </row>
    <row r="31">
      <c r="A31" t="inlineStr">
        <is>
          <t>BSC2/008</t>
        </is>
      </c>
      <c r="B31" t="inlineStr">
        <is>
          <t>Student 28</t>
        </is>
      </c>
      <c r="C31" t="inlineStr"/>
      <c r="D31" t="inlineStr"/>
      <c r="E31" t="inlineStr"/>
      <c r="F31" t="inlineStr"/>
      <c r="G31" t="inlineStr"/>
      <c r="H31" t="inlineStr"/>
      <c r="I31" t="inlineStr"/>
      <c r="J31" t="inlineStr"/>
      <c r="K31" t="inlineStr"/>
      <c r="L31" t="inlineStr"/>
      <c r="M31" t="inlineStr"/>
      <c r="N31" t="inlineStr"/>
      <c r="O31" t="inlineStr"/>
      <c r="P31" t="inlineStr"/>
      <c r="Q31" t="inlineStr"/>
      <c r="R31" t="inlineStr"/>
      <c r="S31" t="inlineStr"/>
      <c r="T31" t="inlineStr"/>
      <c r="U31" t="inlineStr"/>
      <c r="V31" t="inlineStr"/>
    </row>
    <row r="32">
      <c r="A32" t="inlineStr">
        <is>
          <t>BSC2/009</t>
        </is>
      </c>
      <c r="B32" t="inlineStr">
        <is>
          <t>Student 29</t>
        </is>
      </c>
      <c r="C32" t="inlineStr"/>
      <c r="D32" t="inlineStr"/>
      <c r="E32" t="inlineStr"/>
      <c r="F32" t="inlineStr"/>
      <c r="G32" t="inlineStr"/>
      <c r="H32" t="inlineStr"/>
      <c r="I32" t="inlineStr"/>
      <c r="J32" t="inlineStr"/>
      <c r="K32" t="inlineStr"/>
      <c r="L32" t="inlineStr"/>
      <c r="M32" t="inlineStr"/>
      <c r="N32" t="inlineStr"/>
      <c r="O32" t="inlineStr"/>
      <c r="P32" t="inlineStr"/>
      <c r="Q32" t="inlineStr"/>
      <c r="R32" t="inlineStr"/>
      <c r="S32" t="inlineStr"/>
      <c r="T32" t="inlineStr"/>
      <c r="U32" t="inlineStr"/>
      <c r="V32" t="inlineStr"/>
    </row>
    <row r="33">
      <c r="A33" t="inlineStr">
        <is>
          <t>BSC2/010</t>
        </is>
      </c>
      <c r="B33" t="inlineStr">
        <is>
          <t>Student 30</t>
        </is>
      </c>
      <c r="C33" t="inlineStr"/>
      <c r="D33" t="inlineStr"/>
      <c r="E33" t="inlineStr"/>
      <c r="F33" t="inlineStr"/>
      <c r="G33" t="inlineStr"/>
      <c r="H33" t="inlineStr"/>
      <c r="I33" t="inlineStr"/>
      <c r="J33" t="inlineStr"/>
      <c r="K33" t="inlineStr"/>
      <c r="L33" t="inlineStr"/>
      <c r="M33" t="inlineStr"/>
      <c r="N33" t="inlineStr"/>
      <c r="O33" t="inlineStr"/>
      <c r="P33" t="inlineStr"/>
      <c r="Q33" t="inlineStr"/>
      <c r="R33" t="inlineStr"/>
      <c r="S33" t="inlineStr"/>
      <c r="T33" t="inlineStr"/>
      <c r="U33" t="inlineStr"/>
      <c r="V33" t="inlineStr"/>
    </row>
    <row r="34">
      <c r="A34" t="inlineStr">
        <is>
          <t>BSC2/011</t>
        </is>
      </c>
      <c r="B34" t="inlineStr">
        <is>
          <t>Student 31</t>
        </is>
      </c>
      <c r="C34" t="inlineStr"/>
      <c r="D34" t="inlineStr"/>
      <c r="E34" t="inlineStr"/>
      <c r="F34" t="inlineStr"/>
      <c r="G34" t="inlineStr"/>
      <c r="H34" t="inlineStr"/>
      <c r="I34" t="inlineStr"/>
      <c r="J34" t="inlineStr"/>
      <c r="K34" t="inlineStr"/>
      <c r="L34" t="inlineStr"/>
      <c r="M34" t="inlineStr"/>
      <c r="N34" t="inlineStr"/>
      <c r="O34" t="inlineStr"/>
      <c r="P34" t="inlineStr"/>
      <c r="Q34" t="inlineStr"/>
      <c r="R34" t="inlineStr"/>
      <c r="S34" t="inlineStr"/>
      <c r="T34" t="inlineStr"/>
      <c r="U34" t="inlineStr"/>
      <c r="V34" t="inlineStr"/>
    </row>
    <row r="35">
      <c r="A35" t="inlineStr">
        <is>
          <t>BSC2/012</t>
        </is>
      </c>
      <c r="B35" t="inlineStr">
        <is>
          <t>Student 32</t>
        </is>
      </c>
      <c r="C35" t="inlineStr"/>
      <c r="D35" t="inlineStr"/>
      <c r="E35" t="inlineStr"/>
      <c r="F35" t="inlineStr"/>
      <c r="G35" t="inlineStr"/>
      <c r="H35" t="inlineStr"/>
      <c r="I35" t="inlineStr"/>
      <c r="J35" t="inlineStr"/>
      <c r="K35" t="inlineStr"/>
      <c r="L35" t="inlineStr"/>
      <c r="M35" t="inlineStr"/>
      <c r="N35" t="inlineStr"/>
      <c r="O35" t="inlineStr"/>
      <c r="P35" t="inlineStr"/>
      <c r="Q35" t="inlineStr"/>
      <c r="R35" t="inlineStr"/>
      <c r="S35" t="inlineStr"/>
      <c r="T35" t="inlineStr"/>
      <c r="U35" t="inlineStr"/>
      <c r="V35" t="inlineStr"/>
    </row>
    <row r="36">
      <c r="A36" t="inlineStr">
        <is>
          <t>BSC2/013</t>
        </is>
      </c>
      <c r="B36" t="inlineStr">
        <is>
          <t>Student 33</t>
        </is>
      </c>
      <c r="C36" t="inlineStr"/>
      <c r="D36" t="inlineStr"/>
      <c r="E36" t="inlineStr"/>
      <c r="F36" t="inlineStr"/>
      <c r="G36" t="inlineStr"/>
      <c r="H36" t="inlineStr"/>
      <c r="I36" t="inlineStr"/>
      <c r="J36" t="inlineStr"/>
      <c r="K36" t="inlineStr"/>
      <c r="L36" t="inlineStr"/>
      <c r="M36" t="inlineStr"/>
      <c r="N36" t="inlineStr"/>
      <c r="O36" t="inlineStr"/>
      <c r="P36" t="inlineStr"/>
      <c r="Q36" t="inlineStr"/>
      <c r="R36" t="inlineStr"/>
      <c r="S36" t="inlineStr"/>
      <c r="T36" t="inlineStr"/>
      <c r="U36" t="inlineStr"/>
      <c r="V36" t="inlineStr"/>
    </row>
    <row r="37">
      <c r="A37" t="inlineStr">
        <is>
          <t>BSC2/014</t>
        </is>
      </c>
      <c r="B37" t="inlineStr">
        <is>
          <t>Student 34</t>
        </is>
      </c>
      <c r="C37" t="inlineStr"/>
      <c r="D37" t="inlineStr"/>
      <c r="E37" t="inlineStr"/>
      <c r="F37" t="inlineStr"/>
      <c r="G37" t="inlineStr"/>
      <c r="H37" t="inlineStr"/>
      <c r="I37" t="inlineStr"/>
      <c r="J37" t="inlineStr"/>
      <c r="K37" t="inlineStr"/>
      <c r="L37" t="inlineStr"/>
      <c r="M37" t="inlineStr"/>
      <c r="N37" t="inlineStr"/>
      <c r="O37" t="inlineStr"/>
      <c r="P37" t="inlineStr"/>
      <c r="Q37" t="inlineStr"/>
      <c r="R37" t="inlineStr"/>
      <c r="S37" t="inlineStr"/>
      <c r="T37" t="inlineStr"/>
      <c r="U37" t="inlineStr"/>
      <c r="V37" t="inlineStr"/>
    </row>
    <row r="38">
      <c r="A38" t="inlineStr">
        <is>
          <t>BSC2/015</t>
        </is>
      </c>
      <c r="B38" t="inlineStr">
        <is>
          <t>Student 35</t>
        </is>
      </c>
      <c r="C38" t="inlineStr"/>
      <c r="D38" t="inlineStr"/>
      <c r="E38" t="inlineStr"/>
      <c r="F38" t="inlineStr"/>
      <c r="G38" t="inlineStr"/>
      <c r="H38" t="inlineStr"/>
      <c r="I38" t="inlineStr"/>
      <c r="J38" t="inlineStr"/>
      <c r="K38" t="inlineStr"/>
      <c r="L38" t="inlineStr"/>
      <c r="M38" t="inlineStr"/>
      <c r="N38" t="inlineStr"/>
      <c r="O38" t="inlineStr"/>
      <c r="P38" t="inlineStr"/>
      <c r="Q38" t="inlineStr"/>
      <c r="R38" t="inlineStr"/>
      <c r="S38" t="inlineStr"/>
      <c r="T38" t="inlineStr"/>
      <c r="U38" t="inlineStr"/>
      <c r="V38" t="inlineStr"/>
    </row>
    <row r="39">
      <c r="A39" t="inlineStr">
        <is>
          <t>BSC2/016</t>
        </is>
      </c>
      <c r="B39" t="inlineStr">
        <is>
          <t>Student 36</t>
        </is>
      </c>
      <c r="C39" t="inlineStr"/>
      <c r="D39" t="inlineStr"/>
      <c r="E39" t="inlineStr"/>
      <c r="F39" t="inlineStr"/>
      <c r="G39" t="inlineStr"/>
      <c r="H39" t="inlineStr"/>
      <c r="I39" t="inlineStr"/>
      <c r="J39" t="inlineStr"/>
      <c r="K39" t="inlineStr"/>
      <c r="L39" t="inlineStr"/>
      <c r="M39" t="inlineStr"/>
      <c r="N39" t="inlineStr"/>
      <c r="O39" t="inlineStr"/>
      <c r="P39" t="inlineStr"/>
      <c r="Q39" t="inlineStr"/>
      <c r="R39" t="inlineStr"/>
      <c r="S39" t="inlineStr"/>
      <c r="T39" t="inlineStr"/>
      <c r="U39" t="inlineStr"/>
      <c r="V39" t="inlineStr"/>
    </row>
    <row r="40">
      <c r="A40" t="inlineStr">
        <is>
          <t>BSC2/017</t>
        </is>
      </c>
      <c r="B40" t="inlineStr">
        <is>
          <t>Student 37</t>
        </is>
      </c>
      <c r="C40" t="inlineStr"/>
      <c r="D40" t="inlineStr"/>
      <c r="E40" t="inlineStr"/>
      <c r="F40" t="inlineStr"/>
      <c r="G40" t="inlineStr"/>
      <c r="H40" t="inlineStr"/>
      <c r="I40" t="inlineStr"/>
      <c r="J40" t="inlineStr"/>
      <c r="K40" t="inlineStr"/>
      <c r="L40" t="inlineStr"/>
      <c r="M40" t="inlineStr"/>
      <c r="N40" t="inlineStr"/>
      <c r="O40" t="inlineStr"/>
      <c r="P40" t="inlineStr"/>
      <c r="Q40" t="inlineStr"/>
      <c r="R40" t="inlineStr"/>
      <c r="S40" t="inlineStr"/>
      <c r="T40" t="inlineStr"/>
      <c r="U40" t="inlineStr"/>
      <c r="V40" t="inlineStr"/>
    </row>
    <row r="41">
      <c r="A41" t="inlineStr">
        <is>
          <t>BSC2/018</t>
        </is>
      </c>
      <c r="B41" t="inlineStr">
        <is>
          <t>Student 38</t>
        </is>
      </c>
      <c r="C41" t="inlineStr"/>
      <c r="D41" t="inlineStr"/>
      <c r="E41" t="inlineStr"/>
      <c r="F41" t="inlineStr"/>
      <c r="G41" t="inlineStr"/>
      <c r="H41" t="inlineStr"/>
      <c r="I41" t="inlineStr"/>
      <c r="J41" t="inlineStr"/>
      <c r="K41" t="inlineStr"/>
      <c r="L41" t="inlineStr"/>
      <c r="M41" t="inlineStr"/>
      <c r="N41" t="inlineStr"/>
      <c r="O41" t="inlineStr"/>
      <c r="P41" t="inlineStr"/>
      <c r="Q41" t="inlineStr"/>
      <c r="R41" t="inlineStr"/>
      <c r="S41" t="inlineStr"/>
      <c r="T41" t="inlineStr"/>
      <c r="U41" t="inlineStr"/>
      <c r="V41" t="inlineStr"/>
    </row>
    <row r="42">
      <c r="A42" t="inlineStr">
        <is>
          <t>BSC2/019</t>
        </is>
      </c>
      <c r="B42" t="inlineStr">
        <is>
          <t>Student 39</t>
        </is>
      </c>
      <c r="C42" t="inlineStr"/>
      <c r="D42" t="inlineStr"/>
      <c r="E42" t="inlineStr"/>
      <c r="F42" t="inlineStr"/>
      <c r="G42" t="inlineStr"/>
      <c r="H42" t="inlineStr"/>
      <c r="I42" t="inlineStr"/>
      <c r="J42" t="inlineStr"/>
      <c r="K42" t="inlineStr"/>
      <c r="L42" t="inlineStr"/>
      <c r="M42" t="inlineStr"/>
      <c r="N42" t="inlineStr"/>
      <c r="O42" t="inlineStr"/>
      <c r="P42" t="inlineStr"/>
      <c r="Q42" t="inlineStr"/>
      <c r="R42" t="inlineStr"/>
      <c r="S42" t="inlineStr"/>
      <c r="T42" t="inlineStr"/>
      <c r="U42" t="inlineStr"/>
      <c r="V42" t="inlineStr"/>
    </row>
    <row r="43">
      <c r="A43" t="inlineStr">
        <is>
          <t>BSC3/001</t>
        </is>
      </c>
      <c r="B43" t="inlineStr">
        <is>
          <t>Student 40</t>
        </is>
      </c>
      <c r="C43" t="inlineStr"/>
      <c r="D43" t="inlineStr"/>
      <c r="E43" t="inlineStr"/>
      <c r="F43" t="inlineStr"/>
      <c r="G43" t="inlineStr"/>
      <c r="H43" t="inlineStr"/>
      <c r="I43" t="inlineStr"/>
      <c r="J43" t="inlineStr"/>
      <c r="K43" t="inlineStr"/>
      <c r="L43" t="inlineStr"/>
      <c r="M43" t="inlineStr"/>
      <c r="N43" t="inlineStr"/>
      <c r="O43" t="inlineStr"/>
      <c r="P43" t="inlineStr"/>
      <c r="Q43" t="inlineStr"/>
      <c r="R43" t="inlineStr"/>
      <c r="S43" t="inlineStr"/>
      <c r="T43" t="inlineStr"/>
      <c r="U43" t="inlineStr"/>
      <c r="V43" t="inlineStr"/>
    </row>
    <row r="44">
      <c r="A44" t="inlineStr">
        <is>
          <t>BSC3/002</t>
        </is>
      </c>
      <c r="B44" t="inlineStr">
        <is>
          <t>Student 41</t>
        </is>
      </c>
      <c r="C44" t="inlineStr"/>
      <c r="D44" t="inlineStr"/>
      <c r="E44" t="inlineStr"/>
      <c r="F44" t="inlineStr"/>
      <c r="G44" t="inlineStr"/>
      <c r="H44" t="inlineStr"/>
      <c r="I44" t="inlineStr"/>
      <c r="J44" t="inlineStr"/>
      <c r="K44" t="inlineStr"/>
      <c r="L44" t="inlineStr"/>
      <c r="M44" t="inlineStr"/>
      <c r="N44" t="inlineStr"/>
      <c r="O44" t="inlineStr"/>
      <c r="P44" t="inlineStr"/>
      <c r="Q44" t="inlineStr"/>
      <c r="R44" t="inlineStr"/>
      <c r="S44" t="inlineStr"/>
      <c r="T44" t="inlineStr"/>
      <c r="U44" t="inlineStr"/>
      <c r="V44" t="inlineStr"/>
    </row>
    <row r="45">
      <c r="A45" t="inlineStr">
        <is>
          <t>BSC3/003</t>
        </is>
      </c>
      <c r="B45" t="inlineStr">
        <is>
          <t>Student 42</t>
        </is>
      </c>
      <c r="C45" t="inlineStr"/>
      <c r="D45" t="inlineStr"/>
      <c r="E45" t="inlineStr"/>
      <c r="F45" t="inlineStr"/>
      <c r="G45" t="inlineStr"/>
      <c r="H45" t="inlineStr"/>
      <c r="I45" t="inlineStr"/>
      <c r="J45" t="inlineStr"/>
      <c r="K45" t="inlineStr"/>
      <c r="L45" t="inlineStr"/>
      <c r="M45" t="inlineStr"/>
      <c r="N45" t="inlineStr"/>
      <c r="O45" t="inlineStr"/>
      <c r="P45" t="inlineStr"/>
      <c r="Q45" t="inlineStr"/>
      <c r="R45" t="inlineStr"/>
      <c r="S45" t="inlineStr"/>
      <c r="T45" t="inlineStr"/>
      <c r="U45" t="inlineStr"/>
      <c r="V45" t="inlineStr"/>
    </row>
    <row r="46">
      <c r="A46" t="inlineStr">
        <is>
          <t>BSC3/004</t>
        </is>
      </c>
      <c r="B46" t="inlineStr">
        <is>
          <t>Student 43</t>
        </is>
      </c>
      <c r="C46" t="inlineStr"/>
      <c r="D46" t="inlineStr"/>
      <c r="E46" t="inlineStr"/>
      <c r="F46" t="inlineStr"/>
      <c r="G46" t="inlineStr"/>
      <c r="H46" t="inlineStr"/>
      <c r="I46" t="inlineStr"/>
      <c r="J46" t="inlineStr"/>
      <c r="K46" t="inlineStr"/>
      <c r="L46" t="inlineStr"/>
      <c r="M46" t="inlineStr"/>
      <c r="N46" t="inlineStr"/>
      <c r="O46" t="inlineStr"/>
      <c r="P46" t="inlineStr"/>
      <c r="Q46" t="inlineStr"/>
      <c r="R46" t="inlineStr"/>
      <c r="S46" t="inlineStr"/>
      <c r="T46" t="inlineStr"/>
      <c r="U46" t="inlineStr"/>
      <c r="V46" t="inlineStr"/>
    </row>
    <row r="47">
      <c r="A47" t="inlineStr">
        <is>
          <t>BSC3/005</t>
        </is>
      </c>
      <c r="B47" t="inlineStr">
        <is>
          <t>Student 44</t>
        </is>
      </c>
      <c r="C47" t="inlineStr"/>
      <c r="D47" t="inlineStr"/>
      <c r="E47" t="inlineStr"/>
      <c r="F47" t="inlineStr"/>
      <c r="G47" t="inlineStr"/>
      <c r="H47" t="inlineStr"/>
      <c r="I47" t="inlineStr"/>
      <c r="J47" t="inlineStr"/>
      <c r="K47" t="inlineStr"/>
      <c r="L47" t="inlineStr"/>
      <c r="M47" t="inlineStr"/>
      <c r="N47" t="inlineStr"/>
      <c r="O47" t="inlineStr"/>
      <c r="P47" t="inlineStr"/>
      <c r="Q47" t="inlineStr"/>
      <c r="R47" t="inlineStr"/>
      <c r="S47" t="inlineStr"/>
      <c r="T47" t="inlineStr"/>
      <c r="U47" t="inlineStr"/>
      <c r="V47" t="inlineStr"/>
    </row>
    <row r="48">
      <c r="A48" t="inlineStr">
        <is>
          <t>BSC3/006</t>
        </is>
      </c>
      <c r="B48" t="inlineStr">
        <is>
          <t>Student 45</t>
        </is>
      </c>
      <c r="C48" t="inlineStr"/>
      <c r="D48" t="inlineStr"/>
      <c r="E48" t="inlineStr"/>
      <c r="F48" t="inlineStr"/>
      <c r="G48" t="inlineStr"/>
      <c r="H48" t="inlineStr"/>
      <c r="I48" t="inlineStr"/>
      <c r="J48" t="inlineStr"/>
      <c r="K48" t="inlineStr"/>
      <c r="L48" t="inlineStr"/>
      <c r="M48" t="inlineStr"/>
      <c r="N48" t="inlineStr"/>
      <c r="O48" t="inlineStr"/>
      <c r="P48" t="inlineStr"/>
      <c r="Q48" t="inlineStr"/>
      <c r="R48" t="inlineStr"/>
      <c r="S48" t="inlineStr"/>
      <c r="T48" t="inlineStr"/>
      <c r="U48" t="inlineStr"/>
      <c r="V48" t="inlineStr"/>
    </row>
    <row r="49">
      <c r="A49" t="inlineStr">
        <is>
          <t>BSC3/007</t>
        </is>
      </c>
      <c r="B49" t="inlineStr">
        <is>
          <t>Student 46</t>
        </is>
      </c>
      <c r="C49" t="inlineStr"/>
      <c r="D49" t="inlineStr"/>
      <c r="E49" t="inlineStr"/>
      <c r="F49" t="inlineStr"/>
      <c r="G49" t="inlineStr"/>
      <c r="H49" t="inlineStr"/>
      <c r="I49" t="inlineStr"/>
      <c r="J49" t="inlineStr"/>
      <c r="K49" t="inlineStr"/>
      <c r="L49" t="inlineStr"/>
      <c r="M49" t="inlineStr"/>
      <c r="N49" t="inlineStr"/>
      <c r="O49" t="inlineStr"/>
      <c r="P49" t="inlineStr"/>
      <c r="Q49" t="inlineStr"/>
      <c r="R49" t="inlineStr"/>
      <c r="S49" t="inlineStr"/>
      <c r="T49" t="inlineStr"/>
      <c r="U49" t="inlineStr"/>
      <c r="V49" t="inlineStr"/>
    </row>
    <row r="50">
      <c r="A50" t="inlineStr">
        <is>
          <t>BSC3/008</t>
        </is>
      </c>
      <c r="B50" t="inlineStr">
        <is>
          <t>Student 47</t>
        </is>
      </c>
      <c r="C50" t="inlineStr"/>
      <c r="D50" t="inlineStr"/>
      <c r="E50" t="inlineStr"/>
      <c r="F50" t="inlineStr"/>
      <c r="G50" t="inlineStr"/>
      <c r="H50" t="inlineStr"/>
      <c r="I50" t="inlineStr"/>
      <c r="J50" t="inlineStr"/>
      <c r="K50" t="inlineStr"/>
      <c r="L50" t="inlineStr"/>
      <c r="M50" t="inlineStr"/>
      <c r="N50" t="inlineStr"/>
      <c r="O50" t="inlineStr"/>
      <c r="P50" t="inlineStr"/>
      <c r="Q50" t="inlineStr"/>
      <c r="R50" t="inlineStr"/>
      <c r="S50" t="inlineStr"/>
      <c r="T50" t="inlineStr"/>
      <c r="U50" t="inlineStr"/>
      <c r="V50" t="inlineStr"/>
    </row>
    <row r="51">
      <c r="A51" t="inlineStr">
        <is>
          <t>BSC3/009</t>
        </is>
      </c>
      <c r="B51" t="inlineStr">
        <is>
          <t>Student 48</t>
        </is>
      </c>
      <c r="C51" t="inlineStr"/>
      <c r="D51" t="inlineStr"/>
      <c r="E51" t="inlineStr"/>
      <c r="F51" t="inlineStr"/>
      <c r="G51" t="inlineStr"/>
      <c r="H51" t="inlineStr"/>
      <c r="I51" t="inlineStr"/>
      <c r="J51" t="inlineStr"/>
      <c r="K51" t="inlineStr"/>
      <c r="L51" t="inlineStr"/>
      <c r="M51" t="inlineStr"/>
      <c r="N51" t="inlineStr"/>
      <c r="O51" t="inlineStr"/>
      <c r="P51" t="inlineStr"/>
      <c r="Q51" t="inlineStr"/>
      <c r="R51" t="inlineStr"/>
      <c r="S51" t="inlineStr"/>
      <c r="T51" t="inlineStr"/>
      <c r="U51" t="inlineStr"/>
      <c r="V51" t="inlineStr"/>
    </row>
    <row r="52">
      <c r="A52" t="inlineStr">
        <is>
          <t>BSC3/010</t>
        </is>
      </c>
      <c r="B52" t="inlineStr">
        <is>
          <t>Student 49</t>
        </is>
      </c>
      <c r="C52" t="inlineStr"/>
      <c r="D52" t="inlineStr"/>
      <c r="E52" t="inlineStr"/>
      <c r="F52" t="inlineStr"/>
      <c r="G52" t="inlineStr"/>
      <c r="H52" t="inlineStr"/>
      <c r="I52" t="inlineStr"/>
      <c r="J52" t="inlineStr"/>
      <c r="K52" t="inlineStr"/>
      <c r="L52" t="inlineStr"/>
      <c r="M52" t="inlineStr"/>
      <c r="N52" t="inlineStr"/>
      <c r="O52" t="inlineStr"/>
      <c r="P52" t="inlineStr"/>
      <c r="Q52" t="inlineStr"/>
      <c r="R52" t="inlineStr"/>
      <c r="S52" t="inlineStr"/>
      <c r="T52" t="inlineStr"/>
      <c r="U52" t="inlineStr"/>
      <c r="V52" t="inlineStr"/>
    </row>
    <row r="53">
      <c r="A53" t="inlineStr">
        <is>
          <t>BSC3/011</t>
        </is>
      </c>
      <c r="B53" t="inlineStr">
        <is>
          <t>Student 50</t>
        </is>
      </c>
      <c r="C53" t="inlineStr"/>
      <c r="D53" t="inlineStr"/>
      <c r="E53" t="inlineStr"/>
      <c r="F53" t="inlineStr"/>
      <c r="G53" t="inlineStr"/>
      <c r="H53" t="inlineStr"/>
      <c r="I53" t="inlineStr"/>
      <c r="J53" t="inlineStr"/>
      <c r="K53" t="inlineStr"/>
      <c r="L53" t="inlineStr"/>
      <c r="M53" t="inlineStr"/>
      <c r="N53" t="inlineStr"/>
      <c r="O53" t="inlineStr"/>
      <c r="P53" t="inlineStr"/>
      <c r="Q53" t="inlineStr"/>
      <c r="R53" t="inlineStr"/>
      <c r="S53" t="inlineStr"/>
      <c r="T53" t="inlineStr"/>
      <c r="U53" t="inlineStr"/>
      <c r="V53" t="inlineStr"/>
    </row>
    <row r="54">
      <c r="A54" t="inlineStr">
        <is>
          <t>BSC3/012</t>
        </is>
      </c>
      <c r="B54" t="inlineStr">
        <is>
          <t>Student 51</t>
        </is>
      </c>
      <c r="C54" t="inlineStr"/>
      <c r="D54" t="inlineStr"/>
      <c r="E54" t="inlineStr"/>
      <c r="F54" t="inlineStr"/>
      <c r="G54" t="inlineStr"/>
      <c r="H54" t="inlineStr"/>
      <c r="I54" t="inlineStr"/>
      <c r="J54" t="inlineStr"/>
      <c r="K54" t="inlineStr"/>
      <c r="L54" t="inlineStr"/>
      <c r="M54" t="inlineStr"/>
      <c r="N54" t="inlineStr"/>
      <c r="O54" t="inlineStr"/>
      <c r="P54" t="inlineStr"/>
      <c r="Q54" t="inlineStr"/>
      <c r="R54" t="inlineStr"/>
      <c r="S54" t="inlineStr"/>
      <c r="T54" t="inlineStr"/>
      <c r="U54" t="inlineStr"/>
      <c r="V54" t="inlineStr"/>
    </row>
    <row r="55">
      <c r="A55" t="inlineStr">
        <is>
          <t>BSC3/013</t>
        </is>
      </c>
      <c r="B55" t="inlineStr">
        <is>
          <t>Student 52</t>
        </is>
      </c>
      <c r="C55" t="inlineStr"/>
      <c r="D55" t="inlineStr"/>
      <c r="E55" t="inlineStr"/>
      <c r="F55" t="inlineStr"/>
      <c r="G55" t="inlineStr"/>
      <c r="H55" t="inlineStr"/>
      <c r="I55" t="inlineStr"/>
      <c r="J55" t="inlineStr"/>
      <c r="K55" t="inlineStr"/>
      <c r="L55" t="inlineStr"/>
      <c r="M55" t="inlineStr"/>
      <c r="N55" t="inlineStr"/>
      <c r="O55" t="inlineStr"/>
      <c r="P55" t="inlineStr"/>
      <c r="Q55" t="inlineStr"/>
      <c r="R55" t="inlineStr"/>
      <c r="S55" t="inlineStr"/>
      <c r="T55" t="inlineStr"/>
      <c r="U55" t="inlineStr"/>
      <c r="V55" t="inlineStr"/>
    </row>
    <row r="56">
      <c r="A56" t="inlineStr">
        <is>
          <t>BSC3/014</t>
        </is>
      </c>
      <c r="B56" t="inlineStr">
        <is>
          <t>Student 53</t>
        </is>
      </c>
      <c r="C56" t="inlineStr"/>
      <c r="D56" t="inlineStr"/>
      <c r="E56" t="inlineStr"/>
      <c r="F56" t="inlineStr"/>
      <c r="G56" t="inlineStr"/>
      <c r="H56" t="inlineStr"/>
      <c r="I56" t="inlineStr"/>
      <c r="J56" t="inlineStr"/>
      <c r="K56" t="inlineStr"/>
      <c r="L56" t="inlineStr"/>
      <c r="M56" t="inlineStr"/>
      <c r="N56" t="inlineStr"/>
      <c r="O56" t="inlineStr"/>
      <c r="P56" t="inlineStr"/>
      <c r="Q56" t="inlineStr"/>
      <c r="R56" t="inlineStr"/>
      <c r="S56" t="inlineStr"/>
      <c r="T56" t="inlineStr"/>
      <c r="U56" t="inlineStr"/>
      <c r="V56" t="inlineStr"/>
    </row>
    <row r="57">
      <c r="A57" t="inlineStr">
        <is>
          <t>BSC3/015</t>
        </is>
      </c>
      <c r="B57" t="inlineStr">
        <is>
          <t>Student 54</t>
        </is>
      </c>
      <c r="C57" t="inlineStr"/>
      <c r="D57" t="inlineStr"/>
      <c r="E57" t="inlineStr"/>
      <c r="F57" t="inlineStr"/>
      <c r="G57" t="inlineStr"/>
      <c r="H57" t="inlineStr"/>
      <c r="I57" t="inlineStr"/>
      <c r="J57" t="inlineStr"/>
      <c r="K57" t="inlineStr"/>
      <c r="L57" t="inlineStr"/>
      <c r="M57" t="inlineStr"/>
      <c r="N57" t="inlineStr"/>
      <c r="O57" t="inlineStr"/>
      <c r="P57" t="inlineStr"/>
      <c r="Q57" t="inlineStr"/>
      <c r="R57" t="inlineStr"/>
      <c r="S57" t="inlineStr"/>
      <c r="T57" t="inlineStr"/>
      <c r="U57" t="inlineStr"/>
      <c r="V57" t="inlineStr"/>
    </row>
    <row r="58">
      <c r="A58" t="inlineStr">
        <is>
          <t>BSC3/016</t>
        </is>
      </c>
      <c r="B58" t="inlineStr">
        <is>
          <t>Student 55</t>
        </is>
      </c>
      <c r="C58" t="inlineStr"/>
      <c r="D58" t="inlineStr"/>
      <c r="E58" t="inlineStr"/>
      <c r="F58" t="inlineStr"/>
      <c r="G58" t="inlineStr"/>
      <c r="H58" t="inlineStr"/>
      <c r="I58" t="inlineStr"/>
      <c r="J58" t="inlineStr"/>
      <c r="K58" t="inlineStr"/>
      <c r="L58" t="inlineStr"/>
      <c r="M58" t="inlineStr"/>
      <c r="N58" t="inlineStr"/>
      <c r="O58" t="inlineStr"/>
      <c r="P58" t="inlineStr"/>
      <c r="Q58" t="inlineStr"/>
      <c r="R58" t="inlineStr"/>
      <c r="S58" t="inlineStr"/>
      <c r="T58" t="inlineStr"/>
      <c r="U58" t="inlineStr"/>
      <c r="V58" t="inlineStr"/>
    </row>
    <row r="59">
      <c r="A59" t="inlineStr">
        <is>
          <t>BSC3/017</t>
        </is>
      </c>
      <c r="B59" t="inlineStr">
        <is>
          <t>Student 56</t>
        </is>
      </c>
      <c r="C59" t="inlineStr"/>
      <c r="D59" t="inlineStr"/>
      <c r="E59" t="inlineStr"/>
      <c r="F59" t="inlineStr"/>
      <c r="G59" t="inlineStr"/>
      <c r="H59" t="inlineStr"/>
      <c r="I59" t="inlineStr"/>
      <c r="J59" t="inlineStr"/>
      <c r="K59" t="inlineStr"/>
      <c r="L59" t="inlineStr"/>
      <c r="M59" t="inlineStr"/>
      <c r="N59" t="inlineStr"/>
      <c r="O59" t="inlineStr"/>
      <c r="P59" t="inlineStr"/>
      <c r="Q59" t="inlineStr"/>
      <c r="R59" t="inlineStr"/>
      <c r="S59" t="inlineStr"/>
      <c r="T59" t="inlineStr"/>
      <c r="U59" t="inlineStr"/>
      <c r="V59" t="inlineStr"/>
    </row>
    <row r="60">
      <c r="A60" t="inlineStr">
        <is>
          <t>BSC3/018</t>
        </is>
      </c>
      <c r="B60" t="inlineStr">
        <is>
          <t>Student 57</t>
        </is>
      </c>
      <c r="C60" t="inlineStr"/>
      <c r="D60" t="inlineStr"/>
      <c r="E60" t="inlineStr"/>
      <c r="F60" t="inlineStr"/>
      <c r="G60" t="inlineStr"/>
      <c r="H60" t="inlineStr"/>
      <c r="I60" t="inlineStr"/>
      <c r="J60" t="inlineStr"/>
      <c r="K60" t="inlineStr"/>
      <c r="L60" t="inlineStr"/>
      <c r="M60" t="inlineStr"/>
      <c r="N60" t="inlineStr"/>
      <c r="O60" t="inlineStr"/>
      <c r="P60" t="inlineStr"/>
      <c r="Q60" t="inlineStr"/>
      <c r="R60" t="inlineStr"/>
      <c r="S60" t="inlineStr"/>
      <c r="T60" t="inlineStr"/>
      <c r="U60" t="inlineStr"/>
      <c r="V60" t="inlineStr"/>
    </row>
    <row r="61">
      <c r="A61" t="inlineStr">
        <is>
          <t>BSC3/019</t>
        </is>
      </c>
      <c r="B61" t="inlineStr">
        <is>
          <t>Student 58</t>
        </is>
      </c>
      <c r="C61" t="inlineStr"/>
      <c r="D61" t="inlineStr"/>
      <c r="E61" t="inlineStr"/>
      <c r="F61" t="inlineStr"/>
      <c r="G61" t="inlineStr"/>
      <c r="H61" t="inlineStr"/>
      <c r="I61" t="inlineStr"/>
      <c r="J61" t="inlineStr"/>
      <c r="K61" t="inlineStr"/>
      <c r="L61" t="inlineStr"/>
      <c r="M61" t="inlineStr"/>
      <c r="N61" t="inlineStr"/>
      <c r="O61" t="inlineStr"/>
      <c r="P61" t="inlineStr"/>
      <c r="Q61" t="inlineStr"/>
      <c r="R61" t="inlineStr"/>
      <c r="S61" t="inlineStr"/>
      <c r="T61" t="inlineStr"/>
      <c r="U61" t="inlineStr"/>
      <c r="V61" t="inlineStr"/>
    </row>
    <row r="62">
      <c r="A62" t="inlineStr">
        <is>
          <t>BSC3/020</t>
        </is>
      </c>
      <c r="B62" t="inlineStr">
        <is>
          <t>Student 59</t>
        </is>
      </c>
      <c r="C62" t="inlineStr"/>
      <c r="D62" t="inlineStr"/>
      <c r="E62" t="inlineStr"/>
      <c r="F62" t="inlineStr"/>
      <c r="G62" t="inlineStr"/>
      <c r="H62" t="inlineStr"/>
      <c r="I62" t="inlineStr"/>
      <c r="J62" t="inlineStr"/>
      <c r="K62" t="inlineStr"/>
      <c r="L62" t="inlineStr"/>
      <c r="M62" t="inlineStr"/>
      <c r="N62" t="inlineStr"/>
      <c r="O62" t="inlineStr"/>
      <c r="P62" t="inlineStr"/>
      <c r="Q62" t="inlineStr"/>
      <c r="R62" t="inlineStr"/>
      <c r="S62" t="inlineStr"/>
      <c r="T62" t="inlineStr"/>
      <c r="U62" t="inlineStr"/>
      <c r="V62" t="inlineStr"/>
    </row>
    <row r="63">
      <c r="A63" t="inlineStr">
        <is>
          <t>BSC4/001</t>
        </is>
      </c>
      <c r="B63" t="inlineStr">
        <is>
          <t>Student 60</t>
        </is>
      </c>
      <c r="C63" t="inlineStr"/>
      <c r="D63" t="inlineStr"/>
      <c r="E63" t="inlineStr"/>
      <c r="F63" t="inlineStr"/>
      <c r="G63" t="inlineStr"/>
      <c r="H63" t="inlineStr"/>
      <c r="I63" t="inlineStr"/>
      <c r="J63" t="inlineStr"/>
      <c r="K63" t="inlineStr"/>
      <c r="L63" t="inlineStr"/>
      <c r="M63" t="inlineStr"/>
      <c r="N63" t="inlineStr"/>
      <c r="O63" t="inlineStr"/>
      <c r="P63" t="inlineStr"/>
      <c r="Q63" t="inlineStr"/>
      <c r="R63" t="inlineStr"/>
      <c r="S63" t="inlineStr"/>
      <c r="T63" t="inlineStr"/>
      <c r="U63" t="inlineStr"/>
      <c r="V63" t="inlineStr"/>
    </row>
    <row r="64">
      <c r="A64" t="inlineStr">
        <is>
          <t>BSC4/002</t>
        </is>
      </c>
      <c r="B64" t="inlineStr">
        <is>
          <t>Student 61</t>
        </is>
      </c>
      <c r="C64" t="inlineStr"/>
      <c r="D64" t="inlineStr"/>
      <c r="E64" t="inlineStr"/>
      <c r="F64" t="inlineStr"/>
      <c r="G64" t="inlineStr"/>
      <c r="H64" t="inlineStr"/>
      <c r="I64" t="inlineStr"/>
      <c r="J64" t="inlineStr"/>
      <c r="K64" t="inlineStr"/>
      <c r="L64" t="inlineStr"/>
      <c r="M64" t="inlineStr"/>
      <c r="N64" t="inlineStr"/>
      <c r="O64" t="inlineStr"/>
      <c r="P64" t="inlineStr"/>
      <c r="Q64" t="inlineStr"/>
      <c r="R64" t="inlineStr"/>
      <c r="S64" t="inlineStr"/>
      <c r="T64" t="inlineStr"/>
      <c r="U64" t="inlineStr"/>
      <c r="V64" t="inlineStr"/>
    </row>
    <row r="65">
      <c r="A65" t="inlineStr">
        <is>
          <t>BSC4/003</t>
        </is>
      </c>
      <c r="B65" t="inlineStr">
        <is>
          <t>Student 62</t>
        </is>
      </c>
      <c r="C65" t="inlineStr"/>
      <c r="D65" t="inlineStr"/>
      <c r="E65" t="inlineStr"/>
      <c r="F65" t="inlineStr"/>
      <c r="G65" t="inlineStr"/>
      <c r="H65" t="inlineStr"/>
      <c r="I65" t="inlineStr"/>
      <c r="J65" t="inlineStr"/>
      <c r="K65" t="inlineStr"/>
      <c r="L65" t="inlineStr"/>
      <c r="M65" t="inlineStr"/>
      <c r="N65" t="inlineStr"/>
      <c r="O65" t="inlineStr"/>
      <c r="P65" t="inlineStr"/>
      <c r="Q65" t="inlineStr"/>
      <c r="R65" t="inlineStr"/>
      <c r="S65" t="inlineStr"/>
      <c r="T65" t="inlineStr"/>
      <c r="U65" t="inlineStr"/>
      <c r="V65" t="inlineStr"/>
    </row>
    <row r="66">
      <c r="A66" t="inlineStr">
        <is>
          <t>BSC4/004</t>
        </is>
      </c>
      <c r="B66" t="inlineStr">
        <is>
          <t>Student 63</t>
        </is>
      </c>
      <c r="C66" t="inlineStr"/>
      <c r="D66" t="inlineStr"/>
      <c r="E66" t="inlineStr"/>
      <c r="F66" t="inlineStr"/>
      <c r="G66" t="inlineStr"/>
      <c r="H66" t="inlineStr"/>
      <c r="I66" t="inlineStr"/>
      <c r="J66" t="inlineStr"/>
      <c r="K66" t="inlineStr"/>
      <c r="L66" t="inlineStr"/>
      <c r="M66" t="inlineStr"/>
      <c r="N66" t="inlineStr"/>
      <c r="O66" t="inlineStr"/>
      <c r="P66" t="inlineStr"/>
      <c r="Q66" t="inlineStr"/>
      <c r="R66" t="inlineStr"/>
      <c r="S66" t="inlineStr"/>
      <c r="T66" t="inlineStr"/>
      <c r="U66" t="inlineStr"/>
      <c r="V66" t="inlineStr"/>
    </row>
    <row r="67">
      <c r="A67" t="inlineStr">
        <is>
          <t>BSC4/005</t>
        </is>
      </c>
      <c r="B67" t="inlineStr">
        <is>
          <t>Student 64</t>
        </is>
      </c>
      <c r="C67" t="inlineStr"/>
      <c r="D67" t="inlineStr"/>
      <c r="E67" t="inlineStr"/>
      <c r="F67" t="inlineStr"/>
      <c r="G67" t="inlineStr"/>
      <c r="H67" t="inlineStr"/>
      <c r="I67" t="inlineStr"/>
      <c r="J67" t="inlineStr"/>
      <c r="K67" t="inlineStr"/>
      <c r="L67" t="inlineStr"/>
      <c r="M67" t="inlineStr"/>
      <c r="N67" t="inlineStr"/>
      <c r="O67" t="inlineStr"/>
      <c r="P67" t="inlineStr"/>
      <c r="Q67" t="inlineStr"/>
      <c r="R67" t="inlineStr"/>
      <c r="S67" t="inlineStr"/>
      <c r="T67" t="inlineStr"/>
      <c r="U67" t="inlineStr"/>
      <c r="V67" t="inlineStr"/>
    </row>
    <row r="68">
      <c r="A68" t="inlineStr">
        <is>
          <t>BSC4/006</t>
        </is>
      </c>
      <c r="B68" t="inlineStr">
        <is>
          <t>Student 65</t>
        </is>
      </c>
      <c r="C68" t="inlineStr"/>
      <c r="D68" t="inlineStr"/>
      <c r="E68" t="inlineStr"/>
      <c r="F68" t="inlineStr"/>
      <c r="G68" t="inlineStr"/>
      <c r="H68" t="inlineStr"/>
      <c r="I68" t="inlineStr"/>
      <c r="J68" t="inlineStr"/>
      <c r="K68" t="inlineStr"/>
      <c r="L68" t="inlineStr"/>
      <c r="M68" t="inlineStr"/>
      <c r="N68" t="inlineStr"/>
      <c r="O68" t="inlineStr"/>
      <c r="P68" t="inlineStr"/>
      <c r="Q68" t="inlineStr"/>
      <c r="R68" t="inlineStr"/>
      <c r="S68" t="inlineStr"/>
      <c r="T68" t="inlineStr"/>
      <c r="U68" t="inlineStr"/>
      <c r="V68" t="inlineStr"/>
    </row>
    <row r="69">
      <c r="A69" t="inlineStr">
        <is>
          <t>BSC4/007</t>
        </is>
      </c>
      <c r="B69" t="inlineStr">
        <is>
          <t>Student 66</t>
        </is>
      </c>
      <c r="C69" t="inlineStr"/>
      <c r="D69" t="inlineStr"/>
      <c r="E69" t="inlineStr"/>
      <c r="F69" t="inlineStr"/>
      <c r="G69" t="inlineStr"/>
      <c r="H69" t="inlineStr"/>
      <c r="I69" t="inlineStr"/>
      <c r="J69" t="inlineStr"/>
      <c r="K69" t="inlineStr"/>
      <c r="L69" t="inlineStr"/>
      <c r="M69" t="inlineStr"/>
      <c r="N69" t="inlineStr"/>
      <c r="O69" t="inlineStr"/>
      <c r="P69" t="inlineStr"/>
      <c r="Q69" t="inlineStr"/>
      <c r="R69" t="inlineStr"/>
      <c r="S69" t="inlineStr"/>
      <c r="T69" t="inlineStr"/>
      <c r="U69" t="inlineStr"/>
      <c r="V69" t="inlineStr"/>
    </row>
    <row r="70">
      <c r="A70" t="inlineStr">
        <is>
          <t>BSC4/008</t>
        </is>
      </c>
      <c r="B70" t="inlineStr">
        <is>
          <t>Student 67</t>
        </is>
      </c>
      <c r="C70" t="inlineStr"/>
      <c r="D70" t="inlineStr"/>
      <c r="E70" t="inlineStr"/>
      <c r="F70" t="inlineStr"/>
      <c r="G70" t="inlineStr"/>
      <c r="H70" t="inlineStr"/>
      <c r="I70" t="inlineStr"/>
      <c r="J70" t="inlineStr"/>
      <c r="K70" t="inlineStr"/>
      <c r="L70" t="inlineStr"/>
      <c r="M70" t="inlineStr"/>
      <c r="N70" t="inlineStr"/>
      <c r="O70" t="inlineStr"/>
      <c r="P70" t="inlineStr"/>
      <c r="Q70" t="inlineStr"/>
      <c r="R70" t="inlineStr"/>
      <c r="S70" t="inlineStr"/>
      <c r="T70" t="inlineStr"/>
      <c r="U70" t="inlineStr"/>
      <c r="V70" t="inlineStr"/>
    </row>
    <row r="71">
      <c r="A71" t="inlineStr">
        <is>
          <t>BSC4/009</t>
        </is>
      </c>
      <c r="B71" t="inlineStr">
        <is>
          <t>Student 68</t>
        </is>
      </c>
      <c r="C71" t="inlineStr"/>
      <c r="D71" t="inlineStr"/>
      <c r="E71" t="inlineStr"/>
      <c r="F71" t="inlineStr"/>
      <c r="G71" t="inlineStr"/>
      <c r="H71" t="inlineStr"/>
      <c r="I71" t="inlineStr"/>
      <c r="J71" t="inlineStr"/>
      <c r="K71" t="inlineStr"/>
      <c r="L71" t="inlineStr"/>
      <c r="M71" t="inlineStr"/>
      <c r="N71" t="inlineStr"/>
      <c r="O71" t="inlineStr"/>
      <c r="P71" t="inlineStr"/>
      <c r="Q71" t="inlineStr"/>
      <c r="R71" t="inlineStr"/>
      <c r="S71" t="inlineStr"/>
      <c r="T71" t="inlineStr"/>
      <c r="U71" t="inlineStr"/>
      <c r="V71" t="inlineStr"/>
    </row>
    <row r="72">
      <c r="A72" t="inlineStr">
        <is>
          <t>BSC4/010</t>
        </is>
      </c>
      <c r="B72" t="inlineStr">
        <is>
          <t>Student 69</t>
        </is>
      </c>
      <c r="C72" t="inlineStr"/>
      <c r="D72" t="inlineStr"/>
      <c r="E72" t="inlineStr"/>
      <c r="F72" t="inlineStr"/>
      <c r="G72" t="inlineStr"/>
      <c r="H72" t="inlineStr"/>
      <c r="I72" t="inlineStr"/>
      <c r="J72" t="inlineStr"/>
      <c r="K72" t="inlineStr"/>
      <c r="L72" t="inlineStr"/>
      <c r="M72" t="inlineStr"/>
      <c r="N72" t="inlineStr"/>
      <c r="O72" t="inlineStr"/>
      <c r="P72" t="inlineStr"/>
      <c r="Q72" t="inlineStr"/>
      <c r="R72" t="inlineStr"/>
      <c r="S72" t="inlineStr"/>
      <c r="T72" t="inlineStr"/>
      <c r="U72" t="inlineStr"/>
      <c r="V72" t="inlineStr"/>
    </row>
    <row r="73">
      <c r="A73" t="inlineStr">
        <is>
          <t>BSC4/011</t>
        </is>
      </c>
      <c r="B73" t="inlineStr">
        <is>
          <t>Student 70</t>
        </is>
      </c>
      <c r="C73" t="inlineStr"/>
      <c r="D73" t="inlineStr"/>
      <c r="E73" t="inlineStr"/>
      <c r="F73" t="inlineStr"/>
      <c r="G73" t="inlineStr"/>
      <c r="H73" t="inlineStr"/>
      <c r="I73" t="inlineStr"/>
      <c r="J73" t="inlineStr"/>
      <c r="K73" t="inlineStr"/>
      <c r="L73" t="inlineStr"/>
      <c r="M73" t="inlineStr"/>
      <c r="N73" t="inlineStr"/>
      <c r="O73" t="inlineStr"/>
      <c r="P73" t="inlineStr"/>
      <c r="Q73" t="inlineStr"/>
      <c r="R73" t="inlineStr"/>
      <c r="S73" t="inlineStr"/>
      <c r="T73" t="inlineStr"/>
      <c r="U73" t="inlineStr"/>
      <c r="V73" t="inlineStr"/>
    </row>
    <row r="74">
      <c r="A74" t="inlineStr">
        <is>
          <t>BSC4/012</t>
        </is>
      </c>
      <c r="B74" t="inlineStr">
        <is>
          <t>Student 71</t>
        </is>
      </c>
      <c r="C74" t="inlineStr"/>
      <c r="D74" t="inlineStr"/>
      <c r="E74" t="inlineStr"/>
      <c r="F74" t="inlineStr"/>
      <c r="G74" t="inlineStr"/>
      <c r="H74" t="inlineStr"/>
      <c r="I74" t="inlineStr"/>
      <c r="J74" t="inlineStr"/>
      <c r="K74" t="inlineStr"/>
      <c r="L74" t="inlineStr"/>
      <c r="M74" t="inlineStr"/>
      <c r="N74" t="inlineStr"/>
      <c r="O74" t="inlineStr"/>
      <c r="P74" t="inlineStr"/>
      <c r="Q74" t="inlineStr"/>
      <c r="R74" t="inlineStr"/>
      <c r="S74" t="inlineStr"/>
      <c r="T74" t="inlineStr"/>
      <c r="U74" t="inlineStr"/>
      <c r="V74" t="inlineStr"/>
    </row>
    <row r="75">
      <c r="A75" t="inlineStr">
        <is>
          <t>BSC4/013</t>
        </is>
      </c>
      <c r="B75" t="inlineStr">
        <is>
          <t>Student 72</t>
        </is>
      </c>
      <c r="C75" t="inlineStr"/>
      <c r="D75" t="inlineStr"/>
      <c r="E75" t="inlineStr"/>
      <c r="F75" t="inlineStr"/>
      <c r="G75" t="inlineStr"/>
      <c r="H75" t="inlineStr"/>
      <c r="I75" t="inlineStr"/>
      <c r="J75" t="inlineStr"/>
      <c r="K75" t="inlineStr"/>
      <c r="L75" t="inlineStr"/>
      <c r="M75" t="inlineStr"/>
      <c r="N75" t="inlineStr"/>
      <c r="O75" t="inlineStr"/>
      <c r="P75" t="inlineStr"/>
      <c r="Q75" t="inlineStr"/>
      <c r="R75" t="inlineStr"/>
      <c r="S75" t="inlineStr"/>
      <c r="T75" t="inlineStr"/>
      <c r="U75" t="inlineStr"/>
      <c r="V75" t="inlineStr"/>
    </row>
    <row r="76">
      <c r="A76" t="inlineStr">
        <is>
          <t>BSC4/014</t>
        </is>
      </c>
      <c r="B76" t="inlineStr">
        <is>
          <t>Student 73</t>
        </is>
      </c>
      <c r="C76" t="inlineStr"/>
      <c r="D76" t="inlineStr"/>
      <c r="E76" t="inlineStr"/>
      <c r="F76" t="inlineStr"/>
      <c r="G76" t="inlineStr"/>
      <c r="H76" t="inlineStr"/>
      <c r="I76" t="inlineStr"/>
      <c r="J76" t="inlineStr"/>
      <c r="K76" t="inlineStr"/>
      <c r="L76" t="inlineStr"/>
      <c r="M76" t="inlineStr"/>
      <c r="N76" t="inlineStr"/>
      <c r="O76" t="inlineStr"/>
      <c r="P76" t="inlineStr"/>
      <c r="Q76" t="inlineStr"/>
      <c r="R76" t="inlineStr"/>
      <c r="S76" t="inlineStr"/>
      <c r="T76" t="inlineStr"/>
      <c r="U76" t="inlineStr"/>
      <c r="V76" t="inlineStr"/>
    </row>
    <row r="77">
      <c r="A77" t="inlineStr">
        <is>
          <t>BSC4/015</t>
        </is>
      </c>
      <c r="B77" t="inlineStr">
        <is>
          <t>Student 74</t>
        </is>
      </c>
      <c r="C77" t="inlineStr"/>
      <c r="D77" t="inlineStr"/>
      <c r="E77" t="inlineStr"/>
      <c r="F77" t="inlineStr"/>
      <c r="G77" t="inlineStr"/>
      <c r="H77" t="inlineStr"/>
      <c r="I77" t="inlineStr"/>
      <c r="J77" t="inlineStr"/>
      <c r="K77" t="inlineStr"/>
      <c r="L77" t="inlineStr"/>
      <c r="M77" t="inlineStr"/>
      <c r="N77" t="inlineStr"/>
      <c r="O77" t="inlineStr"/>
      <c r="P77" t="inlineStr"/>
      <c r="Q77" t="inlineStr"/>
      <c r="R77" t="inlineStr"/>
      <c r="S77" t="inlineStr"/>
      <c r="T77" t="inlineStr"/>
      <c r="U77" t="inlineStr"/>
      <c r="V77" t="inlineStr"/>
    </row>
    <row r="78">
      <c r="A78" t="inlineStr">
        <is>
          <t>BSC4/016</t>
        </is>
      </c>
      <c r="B78" t="inlineStr">
        <is>
          <t>Student 75</t>
        </is>
      </c>
      <c r="C78" t="inlineStr"/>
      <c r="D78" t="inlineStr"/>
      <c r="E78" t="inlineStr"/>
      <c r="F78" t="inlineStr"/>
      <c r="G78" t="inlineStr"/>
      <c r="H78" t="inlineStr"/>
      <c r="I78" t="inlineStr"/>
      <c r="J78" t="inlineStr"/>
      <c r="K78" t="inlineStr"/>
      <c r="L78" t="inlineStr"/>
      <c r="M78" t="inlineStr"/>
      <c r="N78" t="inlineStr"/>
      <c r="O78" t="inlineStr"/>
      <c r="P78" t="inlineStr"/>
      <c r="Q78" t="inlineStr"/>
      <c r="R78" t="inlineStr"/>
      <c r="S78" t="inlineStr"/>
      <c r="T78" t="inlineStr"/>
      <c r="U78" t="inlineStr"/>
      <c r="V78" t="inlineStr"/>
    </row>
    <row r="79">
      <c r="A79" t="inlineStr">
        <is>
          <t>BSC4/017</t>
        </is>
      </c>
      <c r="B79" t="inlineStr">
        <is>
          <t>Student 76</t>
        </is>
      </c>
      <c r="C79" t="inlineStr"/>
      <c r="D79" t="inlineStr"/>
      <c r="E79" t="inlineStr"/>
      <c r="F79" t="inlineStr"/>
      <c r="G79" t="inlineStr"/>
      <c r="H79" t="inlineStr"/>
      <c r="I79" t="inlineStr"/>
      <c r="J79" t="inlineStr"/>
      <c r="K79" t="inlineStr"/>
      <c r="L79" t="inlineStr"/>
      <c r="M79" t="inlineStr"/>
      <c r="N79" t="inlineStr"/>
      <c r="O79" t="inlineStr"/>
      <c r="P79" t="inlineStr"/>
      <c r="Q79" t="inlineStr"/>
      <c r="R79" t="inlineStr"/>
      <c r="S79" t="inlineStr"/>
      <c r="T79" t="inlineStr"/>
      <c r="U79" t="inlineStr"/>
      <c r="V79" t="inlineStr"/>
    </row>
    <row r="80">
      <c r="A80" t="inlineStr">
        <is>
          <t>BSC4/018</t>
        </is>
      </c>
      <c r="B80" t="inlineStr">
        <is>
          <t>Student 77</t>
        </is>
      </c>
      <c r="C80" t="inlineStr"/>
      <c r="D80" t="inlineStr"/>
      <c r="E80" t="inlineStr"/>
      <c r="F80" t="inlineStr"/>
      <c r="G80" t="inlineStr"/>
      <c r="H80" t="inlineStr"/>
      <c r="I80" t="inlineStr"/>
      <c r="J80" t="inlineStr"/>
      <c r="K80" t="inlineStr"/>
      <c r="L80" t="inlineStr"/>
      <c r="M80" t="inlineStr"/>
      <c r="N80" t="inlineStr"/>
      <c r="O80" t="inlineStr"/>
      <c r="P80" t="inlineStr"/>
      <c r="Q80" t="inlineStr"/>
      <c r="R80" t="inlineStr"/>
      <c r="S80" t="inlineStr"/>
      <c r="T80" t="inlineStr"/>
      <c r="U80" t="inlineStr"/>
      <c r="V80" t="inlineStr"/>
    </row>
    <row r="81">
      <c r="A81" t="inlineStr">
        <is>
          <t>BSC5/001</t>
        </is>
      </c>
      <c r="B81" t="inlineStr">
        <is>
          <t>Student 78</t>
        </is>
      </c>
      <c r="C81" t="inlineStr"/>
      <c r="D81" t="inlineStr"/>
      <c r="E81" t="inlineStr"/>
      <c r="F81" t="inlineStr"/>
      <c r="G81" t="inlineStr"/>
      <c r="H81" t="inlineStr"/>
      <c r="I81" t="inlineStr"/>
      <c r="J81" t="inlineStr"/>
      <c r="K81" t="inlineStr"/>
      <c r="L81" t="inlineStr"/>
      <c r="M81" t="inlineStr"/>
      <c r="N81" t="inlineStr"/>
      <c r="O81" t="inlineStr"/>
      <c r="P81" t="inlineStr"/>
      <c r="Q81" t="inlineStr"/>
      <c r="R81" t="inlineStr"/>
      <c r="S81" t="inlineStr"/>
      <c r="T81" t="inlineStr"/>
      <c r="U81" t="inlineStr"/>
      <c r="V81" t="inlineStr"/>
    </row>
    <row r="82">
      <c r="A82" t="inlineStr">
        <is>
          <t>BSC5/002</t>
        </is>
      </c>
      <c r="B82" t="inlineStr">
        <is>
          <t>Student 79</t>
        </is>
      </c>
      <c r="C82" t="inlineStr"/>
      <c r="D82" t="inlineStr"/>
      <c r="E82" t="inlineStr"/>
      <c r="F82" t="inlineStr"/>
      <c r="G82" t="inlineStr"/>
      <c r="H82" t="inlineStr"/>
      <c r="I82" t="inlineStr"/>
      <c r="J82" t="inlineStr"/>
      <c r="K82" t="inlineStr"/>
      <c r="L82" t="inlineStr"/>
      <c r="M82" t="inlineStr"/>
      <c r="N82" t="inlineStr"/>
      <c r="O82" t="inlineStr"/>
      <c r="P82" t="inlineStr"/>
      <c r="Q82" t="inlineStr"/>
      <c r="R82" t="inlineStr"/>
      <c r="S82" t="inlineStr"/>
      <c r="T82" t="inlineStr"/>
      <c r="U82" t="inlineStr"/>
      <c r="V82" t="inlineStr"/>
    </row>
    <row r="83">
      <c r="A83" t="inlineStr">
        <is>
          <t>BSC5/003</t>
        </is>
      </c>
      <c r="B83" t="inlineStr">
        <is>
          <t>Student 80</t>
        </is>
      </c>
      <c r="C83" t="inlineStr"/>
      <c r="D83" t="inlineStr"/>
      <c r="E83" t="inlineStr"/>
      <c r="F83" t="inlineStr"/>
      <c r="G83" t="inlineStr"/>
      <c r="H83" t="inlineStr"/>
      <c r="I83" t="inlineStr"/>
      <c r="J83" t="inlineStr"/>
      <c r="K83" t="inlineStr"/>
      <c r="L83" t="inlineStr"/>
      <c r="M83" t="inlineStr"/>
      <c r="N83" t="inlineStr"/>
      <c r="O83" t="inlineStr"/>
      <c r="P83" t="inlineStr"/>
      <c r="Q83" t="inlineStr"/>
      <c r="R83" t="inlineStr"/>
      <c r="S83" t="inlineStr"/>
      <c r="T83" t="inlineStr"/>
      <c r="U83" t="inlineStr"/>
      <c r="V83" t="inlineStr"/>
    </row>
    <row r="84">
      <c r="A84" t="inlineStr">
        <is>
          <t>BSC5/004</t>
        </is>
      </c>
      <c r="B84" t="inlineStr">
        <is>
          <t>Student 81</t>
        </is>
      </c>
      <c r="C84" t="inlineStr"/>
      <c r="D84" t="inlineStr"/>
      <c r="E84" t="inlineStr"/>
      <c r="F84" t="inlineStr"/>
      <c r="G84" t="inlineStr"/>
      <c r="H84" t="inlineStr"/>
      <c r="I84" t="inlineStr"/>
      <c r="J84" t="inlineStr"/>
      <c r="K84" t="inlineStr"/>
      <c r="L84" t="inlineStr"/>
      <c r="M84" t="inlineStr"/>
      <c r="N84" t="inlineStr"/>
      <c r="O84" t="inlineStr"/>
      <c r="P84" t="inlineStr"/>
      <c r="Q84" t="inlineStr"/>
      <c r="R84" t="inlineStr"/>
      <c r="S84" t="inlineStr"/>
      <c r="T84" t="inlineStr"/>
      <c r="U84" t="inlineStr"/>
      <c r="V84" t="inlineStr"/>
    </row>
    <row r="85">
      <c r="A85" t="inlineStr">
        <is>
          <t>BSC5/005</t>
        </is>
      </c>
      <c r="B85" t="inlineStr">
        <is>
          <t>Student 82</t>
        </is>
      </c>
      <c r="C85" t="inlineStr"/>
      <c r="D85" t="inlineStr"/>
      <c r="E85" t="inlineStr"/>
      <c r="F85" t="inlineStr"/>
      <c r="G85" t="inlineStr"/>
      <c r="H85" t="inlineStr"/>
      <c r="I85" t="inlineStr"/>
      <c r="J85" t="inlineStr"/>
      <c r="K85" t="inlineStr"/>
      <c r="L85" t="inlineStr"/>
      <c r="M85" t="inlineStr"/>
      <c r="N85" t="inlineStr"/>
      <c r="O85" t="inlineStr"/>
      <c r="P85" t="inlineStr"/>
      <c r="Q85" t="inlineStr"/>
      <c r="R85" t="inlineStr"/>
      <c r="S85" t="inlineStr"/>
      <c r="T85" t="inlineStr"/>
      <c r="U85" t="inlineStr"/>
      <c r="V85" t="inlineStr"/>
    </row>
    <row r="86">
      <c r="A86" t="inlineStr">
        <is>
          <t>BSC5/006</t>
        </is>
      </c>
      <c r="B86" t="inlineStr">
        <is>
          <t>Student 83</t>
        </is>
      </c>
      <c r="C86" t="inlineStr"/>
      <c r="D86" t="inlineStr"/>
      <c r="E86" t="inlineStr"/>
      <c r="F86" t="inlineStr"/>
      <c r="G86" t="inlineStr"/>
      <c r="H86" t="inlineStr"/>
      <c r="I86" t="inlineStr"/>
      <c r="J86" t="inlineStr"/>
      <c r="K86" t="inlineStr"/>
      <c r="L86" t="inlineStr"/>
      <c r="M86" t="inlineStr"/>
      <c r="N86" t="inlineStr"/>
      <c r="O86" t="inlineStr"/>
      <c r="P86" t="inlineStr"/>
      <c r="Q86" t="inlineStr"/>
      <c r="R86" t="inlineStr"/>
      <c r="S86" t="inlineStr"/>
      <c r="T86" t="inlineStr"/>
      <c r="U86" t="inlineStr"/>
      <c r="V86" t="inlineStr"/>
    </row>
    <row r="87">
      <c r="A87" t="inlineStr">
        <is>
          <t>BSC5/007</t>
        </is>
      </c>
      <c r="B87" t="inlineStr">
        <is>
          <t>Student 84</t>
        </is>
      </c>
      <c r="C87" t="inlineStr"/>
      <c r="D87" t="inlineStr"/>
      <c r="E87" t="inlineStr"/>
      <c r="F87" t="inlineStr"/>
      <c r="G87" t="inlineStr"/>
      <c r="H87" t="inlineStr"/>
      <c r="I87" t="inlineStr"/>
      <c r="J87" t="inlineStr"/>
      <c r="K87" t="inlineStr"/>
      <c r="L87" t="inlineStr"/>
      <c r="M87" t="inlineStr"/>
      <c r="N87" t="inlineStr"/>
      <c r="O87" t="inlineStr"/>
      <c r="P87" t="inlineStr"/>
      <c r="Q87" t="inlineStr"/>
      <c r="R87" t="inlineStr"/>
      <c r="S87" t="inlineStr"/>
      <c r="T87" t="inlineStr"/>
      <c r="U87" t="inlineStr"/>
      <c r="V87" t="inlineStr"/>
    </row>
    <row r="88">
      <c r="A88" t="inlineStr">
        <is>
          <t>BSC5/008</t>
        </is>
      </c>
      <c r="B88" t="inlineStr">
        <is>
          <t>Student 85</t>
        </is>
      </c>
      <c r="C88" t="inlineStr"/>
      <c r="D88" t="inlineStr"/>
      <c r="E88" t="inlineStr"/>
      <c r="F88" t="inlineStr"/>
      <c r="G88" t="inlineStr"/>
      <c r="H88" t="inlineStr"/>
      <c r="I88" t="inlineStr"/>
      <c r="J88" t="inlineStr"/>
      <c r="K88" t="inlineStr"/>
      <c r="L88" t="inlineStr"/>
      <c r="M88" t="inlineStr"/>
      <c r="N88" t="inlineStr"/>
      <c r="O88" t="inlineStr"/>
      <c r="P88" t="inlineStr"/>
      <c r="Q88" t="inlineStr"/>
      <c r="R88" t="inlineStr"/>
      <c r="S88" t="inlineStr"/>
      <c r="T88" t="inlineStr"/>
      <c r="U88" t="inlineStr"/>
      <c r="V88" t="inlineStr"/>
    </row>
    <row r="89">
      <c r="A89" t="inlineStr">
        <is>
          <t>BSC5/009</t>
        </is>
      </c>
      <c r="B89" t="inlineStr">
        <is>
          <t>Student 86</t>
        </is>
      </c>
      <c r="C89" t="inlineStr"/>
      <c r="D89" t="inlineStr"/>
      <c r="E89" t="inlineStr"/>
      <c r="F89" t="inlineStr"/>
      <c r="G89" t="inlineStr"/>
      <c r="H89" t="inlineStr"/>
      <c r="I89" t="inlineStr"/>
      <c r="J89" t="inlineStr"/>
      <c r="K89" t="inlineStr"/>
      <c r="L89" t="inlineStr"/>
      <c r="M89" t="inlineStr"/>
      <c r="N89" t="inlineStr"/>
      <c r="O89" t="inlineStr"/>
      <c r="P89" t="inlineStr"/>
      <c r="Q89" t="inlineStr"/>
      <c r="R89" t="inlineStr"/>
      <c r="S89" t="inlineStr"/>
      <c r="T89" t="inlineStr"/>
      <c r="U89" t="inlineStr"/>
      <c r="V89" t="inlineStr"/>
    </row>
    <row r="90">
      <c r="A90" t="inlineStr">
        <is>
          <t>BSC5/010</t>
        </is>
      </c>
      <c r="B90" t="inlineStr">
        <is>
          <t>Student 87</t>
        </is>
      </c>
      <c r="C90" t="inlineStr"/>
      <c r="D90" t="inlineStr"/>
      <c r="E90" t="inlineStr"/>
      <c r="F90" t="inlineStr"/>
      <c r="G90" t="inlineStr"/>
      <c r="H90" t="inlineStr"/>
      <c r="I90" t="inlineStr"/>
      <c r="J90" t="inlineStr"/>
      <c r="K90" t="inlineStr"/>
      <c r="L90" t="inlineStr"/>
      <c r="M90" t="inlineStr"/>
      <c r="N90" t="inlineStr"/>
      <c r="O90" t="inlineStr"/>
      <c r="P90" t="inlineStr"/>
      <c r="Q90" t="inlineStr"/>
      <c r="R90" t="inlineStr"/>
      <c r="S90" t="inlineStr"/>
      <c r="T90" t="inlineStr"/>
      <c r="U90" t="inlineStr"/>
      <c r="V90" t="inlineStr"/>
    </row>
    <row r="91">
      <c r="A91" t="inlineStr">
        <is>
          <t>BSC5/011</t>
        </is>
      </c>
      <c r="B91" t="inlineStr">
        <is>
          <t>Student 88</t>
        </is>
      </c>
      <c r="C91" t="inlineStr"/>
      <c r="D91" t="inlineStr"/>
      <c r="E91" t="inlineStr"/>
      <c r="F91" t="inlineStr"/>
      <c r="G91" t="inlineStr"/>
      <c r="H91" t="inlineStr"/>
      <c r="I91" t="inlineStr"/>
      <c r="J91" t="inlineStr"/>
      <c r="K91" t="inlineStr"/>
      <c r="L91" t="inlineStr"/>
      <c r="M91" t="inlineStr"/>
      <c r="N91" t="inlineStr"/>
      <c r="O91" t="inlineStr"/>
      <c r="P91" t="inlineStr"/>
      <c r="Q91" t="inlineStr"/>
      <c r="R91" t="inlineStr"/>
      <c r="S91" t="inlineStr"/>
      <c r="T91" t="inlineStr"/>
      <c r="U91" t="inlineStr"/>
      <c r="V91" t="inlineStr"/>
    </row>
    <row r="92">
      <c r="A92" t="inlineStr">
        <is>
          <t>BSC5/012</t>
        </is>
      </c>
      <c r="B92" t="inlineStr">
        <is>
          <t>Student 89</t>
        </is>
      </c>
      <c r="C92" t="inlineStr"/>
      <c r="D92" t="inlineStr"/>
      <c r="E92" t="inlineStr"/>
      <c r="F92" t="inlineStr"/>
      <c r="G92" t="inlineStr"/>
      <c r="H92" t="inlineStr"/>
      <c r="I92" t="inlineStr"/>
      <c r="J92" t="inlineStr"/>
      <c r="K92" t="inlineStr"/>
      <c r="L92" t="inlineStr"/>
      <c r="M92" t="inlineStr"/>
      <c r="N92" t="inlineStr"/>
      <c r="O92" t="inlineStr"/>
      <c r="P92" t="inlineStr"/>
      <c r="Q92" t="inlineStr"/>
      <c r="R92" t="inlineStr"/>
      <c r="S92" t="inlineStr"/>
      <c r="T92" t="inlineStr"/>
      <c r="U92" t="inlineStr"/>
      <c r="V92" t="inlineStr"/>
    </row>
    <row r="93">
      <c r="A93" t="inlineStr">
        <is>
          <t>BSC5/013</t>
        </is>
      </c>
      <c r="B93" t="inlineStr">
        <is>
          <t>Student 90</t>
        </is>
      </c>
      <c r="C93" t="inlineStr"/>
      <c r="D93" t="inlineStr"/>
      <c r="E93" t="inlineStr"/>
      <c r="F93" t="inlineStr"/>
      <c r="G93" t="inlineStr"/>
      <c r="H93" t="inlineStr"/>
      <c r="I93" t="inlineStr"/>
      <c r="J93" t="inlineStr"/>
      <c r="K93" t="inlineStr"/>
      <c r="L93" t="inlineStr"/>
      <c r="M93" t="inlineStr"/>
      <c r="N93" t="inlineStr"/>
      <c r="O93" t="inlineStr"/>
      <c r="P93" t="inlineStr"/>
      <c r="Q93" t="inlineStr"/>
      <c r="R93" t="inlineStr"/>
      <c r="S93" t="inlineStr"/>
      <c r="T93" t="inlineStr"/>
      <c r="U93" t="inlineStr"/>
      <c r="V93" t="inlineStr"/>
    </row>
    <row r="94">
      <c r="A94" t="inlineStr">
        <is>
          <t>BSC5/014</t>
        </is>
      </c>
      <c r="B94" t="inlineStr">
        <is>
          <t>Student 91</t>
        </is>
      </c>
      <c r="C94" t="inlineStr"/>
      <c r="D94" t="inlineStr"/>
      <c r="E94" t="inlineStr"/>
      <c r="F94" t="inlineStr"/>
      <c r="G94" t="inlineStr"/>
      <c r="H94" t="inlineStr"/>
      <c r="I94" t="inlineStr"/>
      <c r="J94" t="inlineStr"/>
      <c r="K94" t="inlineStr"/>
      <c r="L94" t="inlineStr"/>
      <c r="M94" t="inlineStr"/>
      <c r="N94" t="inlineStr"/>
      <c r="O94" t="inlineStr"/>
      <c r="P94" t="inlineStr"/>
      <c r="Q94" t="inlineStr"/>
      <c r="R94" t="inlineStr"/>
      <c r="S94" t="inlineStr"/>
      <c r="T94" t="inlineStr"/>
      <c r="U94" t="inlineStr"/>
      <c r="V94" t="inlineStr"/>
    </row>
    <row r="95">
      <c r="A95" t="inlineStr">
        <is>
          <t>BSC5/015</t>
        </is>
      </c>
      <c r="B95" t="inlineStr">
        <is>
          <t>Student 92</t>
        </is>
      </c>
      <c r="C95" t="inlineStr"/>
      <c r="D95" t="inlineStr"/>
      <c r="E95" t="inlineStr"/>
      <c r="F95" t="inlineStr"/>
      <c r="G95" t="inlineStr"/>
      <c r="H95" t="inlineStr"/>
      <c r="I95" t="inlineStr"/>
      <c r="J95" t="inlineStr"/>
      <c r="K95" t="inlineStr"/>
      <c r="L95" t="inlineStr"/>
      <c r="M95" t="inlineStr"/>
      <c r="N95" t="inlineStr"/>
      <c r="O95" t="inlineStr"/>
      <c r="P95" t="inlineStr"/>
      <c r="Q95" t="inlineStr"/>
      <c r="R95" t="inlineStr"/>
      <c r="S95" t="inlineStr"/>
      <c r="T95" t="inlineStr"/>
      <c r="U95" t="inlineStr"/>
      <c r="V95" t="inlineStr"/>
    </row>
    <row r="96">
      <c r="A96" t="inlineStr">
        <is>
          <t>BSC5/016</t>
        </is>
      </c>
      <c r="B96" t="inlineStr">
        <is>
          <t>Student 93</t>
        </is>
      </c>
      <c r="C96" t="inlineStr"/>
      <c r="D96" t="inlineStr"/>
      <c r="E96" t="inlineStr"/>
      <c r="F96" t="inlineStr"/>
      <c r="G96" t="inlineStr"/>
      <c r="H96" t="inlineStr"/>
      <c r="I96" t="inlineStr"/>
      <c r="J96" t="inlineStr"/>
      <c r="K96" t="inlineStr"/>
      <c r="L96" t="inlineStr"/>
      <c r="M96" t="inlineStr"/>
      <c r="N96" t="inlineStr"/>
      <c r="O96" t="inlineStr"/>
      <c r="P96" t="inlineStr"/>
      <c r="Q96" t="inlineStr"/>
      <c r="R96" t="inlineStr"/>
      <c r="S96" t="inlineStr"/>
      <c r="T96" t="inlineStr"/>
      <c r="U96" t="inlineStr"/>
      <c r="V96" t="inlineStr"/>
    </row>
    <row r="97">
      <c r="A97" t="inlineStr">
        <is>
          <t>BSC5/017</t>
        </is>
      </c>
      <c r="B97" t="inlineStr">
        <is>
          <t>Student 94</t>
        </is>
      </c>
      <c r="C97" t="inlineStr"/>
      <c r="D97" t="inlineStr"/>
      <c r="E97" t="inlineStr"/>
      <c r="F97" t="inlineStr"/>
      <c r="G97" t="inlineStr"/>
      <c r="H97" t="inlineStr"/>
      <c r="I97" t="inlineStr"/>
      <c r="J97" t="inlineStr"/>
      <c r="K97" t="inlineStr"/>
      <c r="L97" t="inlineStr"/>
      <c r="M97" t="inlineStr"/>
      <c r="N97" t="inlineStr"/>
      <c r="O97" t="inlineStr"/>
      <c r="P97" t="inlineStr"/>
      <c r="Q97" t="inlineStr"/>
      <c r="R97" t="inlineStr"/>
      <c r="S97" t="inlineStr"/>
      <c r="T97" t="inlineStr"/>
      <c r="U97" t="inlineStr"/>
      <c r="V97" t="inlineStr"/>
    </row>
    <row r="98">
      <c r="A98" t="inlineStr">
        <is>
          <t>BSC5/018</t>
        </is>
      </c>
      <c r="B98" t="inlineStr">
        <is>
          <t>Student 95</t>
        </is>
      </c>
      <c r="C98" t="inlineStr"/>
      <c r="D98" t="inlineStr"/>
      <c r="E98" t="inlineStr"/>
      <c r="F98" t="inlineStr"/>
      <c r="G98" t="inlineStr"/>
      <c r="H98" t="inlineStr"/>
      <c r="I98" t="inlineStr"/>
      <c r="J98" t="inlineStr"/>
      <c r="K98" t="inlineStr"/>
      <c r="L98" t="inlineStr"/>
      <c r="M98" t="inlineStr"/>
      <c r="N98" t="inlineStr"/>
      <c r="O98" t="inlineStr"/>
      <c r="P98" t="inlineStr"/>
      <c r="Q98" t="inlineStr"/>
      <c r="R98" t="inlineStr"/>
      <c r="S98" t="inlineStr"/>
      <c r="T98" t="inlineStr"/>
      <c r="U98" t="inlineStr"/>
      <c r="V98" t="inlineStr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R96"/>
  <sheetViews>
    <sheetView topLeftCell="A10" workbookViewId="0">
      <selection activeCell="C97" sqref="C97"/>
    </sheetView>
  </sheetViews>
  <sheetFormatPr baseColWidth="8" defaultRowHeight="15"/>
  <cols>
    <col width="10.140625" bestFit="1" customWidth="1" style="130" min="1" max="1"/>
    <col width="18.7109375" bestFit="1" customWidth="1" style="130" min="2" max="2"/>
    <col width="7.7109375" bestFit="1" customWidth="1" style="130" min="3" max="3"/>
    <col width="12.42578125" bestFit="1" customWidth="1" style="130" min="4" max="4"/>
    <col width="10" bestFit="1" customWidth="1" style="130" min="5" max="5"/>
    <col width="14.7109375" bestFit="1" customWidth="1" style="130" min="6" max="6"/>
    <col width="14.140625" bestFit="1" customWidth="1" style="130" min="7" max="7"/>
    <col width="8.85546875" bestFit="1" customWidth="1" style="130" min="8" max="8"/>
    <col width="15.42578125" bestFit="1" customWidth="1" style="130" min="9" max="9"/>
    <col width="32.28515625" bestFit="1" customWidth="1" style="130" min="10" max="10"/>
    <col width="24.7109375" bestFit="1" customWidth="1" style="130" min="11" max="11"/>
    <col width="11.5703125" bestFit="1" customWidth="1" style="130" min="12" max="12"/>
    <col width="10.5703125" bestFit="1" customWidth="1" style="130" min="13" max="13"/>
    <col width="13.28515625" bestFit="1" customWidth="1" style="130" min="14" max="14"/>
    <col width="10.28515625" bestFit="1" customWidth="1" style="130" min="15" max="15"/>
    <col width="14.140625" bestFit="1" customWidth="1" style="130" min="16" max="16"/>
    <col width="18.42578125" bestFit="1" customWidth="1" style="130" min="17" max="17"/>
    <col width="8.140625" bestFit="1" customWidth="1" style="130" min="18" max="18"/>
  </cols>
  <sheetData>
    <row r="1">
      <c r="A1" t="inlineStr">
        <is>
          <t>Reg No.</t>
        </is>
      </c>
      <c r="B1" t="inlineStr">
        <is>
          <t>Full Name</t>
        </is>
      </c>
      <c r="C1" t="inlineStr">
        <is>
          <t>Class</t>
        </is>
      </c>
      <c r="D1" t="inlineStr">
        <is>
          <t>Class Type</t>
        </is>
      </c>
      <c r="E1" t="inlineStr">
        <is>
          <t>Gender</t>
        </is>
      </c>
      <c r="F1" t="inlineStr">
        <is>
          <t>Days Present</t>
        </is>
      </c>
      <c r="G1" t="inlineStr">
        <is>
          <t>Days Absent</t>
        </is>
      </c>
      <c r="H1" t="inlineStr">
        <is>
          <t>House</t>
        </is>
      </c>
      <c r="I1" t="inlineStr">
        <is>
          <t>Parent Phone</t>
        </is>
      </c>
      <c r="J1" t="inlineStr">
        <is>
          <t>Parents Email</t>
        </is>
      </c>
      <c r="K1" t="inlineStr">
        <is>
          <t>Relationship with Peers</t>
        </is>
      </c>
      <c r="L1" t="inlineStr">
        <is>
          <t>Neatness</t>
        </is>
      </c>
      <c r="M1" t="inlineStr">
        <is>
          <t>Honesty</t>
        </is>
      </c>
      <c r="N1" t="inlineStr">
        <is>
          <t>Punctuality</t>
        </is>
      </c>
      <c r="O1" t="inlineStr">
        <is>
          <t>Respect</t>
        </is>
      </c>
      <c r="P1" t="inlineStr">
        <is>
          <t>Handwriting</t>
        </is>
      </c>
      <c r="Q1" t="inlineStr">
        <is>
          <t>Games and Sport</t>
        </is>
      </c>
      <c r="R1" t="inlineStr">
        <is>
          <t>Clubs</t>
        </is>
      </c>
    </row>
    <row r="2">
      <c r="A2" t="inlineStr">
        <is>
          <t>BSC1/001</t>
        </is>
      </c>
      <c r="B2" t="inlineStr">
        <is>
          <t>Student 01</t>
        </is>
      </c>
      <c r="C2" t="inlineStr">
        <is>
          <t>Basic 1</t>
        </is>
      </c>
      <c r="D2" t="inlineStr">
        <is>
          <t>B</t>
        </is>
      </c>
      <c r="E2" t="inlineStr">
        <is>
          <t>M</t>
        </is>
      </c>
      <c r="F2" t="n">
        <v>53</v>
      </c>
      <c r="G2" t="n">
        <v>2</v>
      </c>
      <c r="H2" t="inlineStr">
        <is>
          <t>Nil</t>
        </is>
      </c>
      <c r="I2" t="inlineStr">
        <is>
          <t>234700000001</t>
        </is>
      </c>
      <c r="J2" t="inlineStr">
        <is>
          <t>student01.parent@example.com</t>
        </is>
      </c>
      <c r="K2" t="n">
        <v>2</v>
      </c>
      <c r="L2" t="n">
        <v>5</v>
      </c>
      <c r="M2" t="n">
        <v>2</v>
      </c>
      <c r="N2" t="n">
        <v>2</v>
      </c>
      <c r="O2" t="n">
        <v>4</v>
      </c>
      <c r="P2" t="n">
        <v>4</v>
      </c>
      <c r="Q2" t="n">
        <v>3</v>
      </c>
      <c r="R2" t="n">
        <v>5</v>
      </c>
    </row>
    <row r="3">
      <c r="A3" t="inlineStr">
        <is>
          <t>BSC1/002</t>
        </is>
      </c>
      <c r="B3" t="inlineStr">
        <is>
          <t>Student 02</t>
        </is>
      </c>
      <c r="C3" t="inlineStr">
        <is>
          <t>Basic 1</t>
        </is>
      </c>
      <c r="D3" t="inlineStr">
        <is>
          <t>B</t>
        </is>
      </c>
      <c r="E3" t="inlineStr">
        <is>
          <t>M</t>
        </is>
      </c>
      <c r="F3" t="n">
        <v>55</v>
      </c>
      <c r="G3" t="n">
        <v>1</v>
      </c>
      <c r="H3" t="inlineStr">
        <is>
          <t>Blue</t>
        </is>
      </c>
      <c r="I3" t="inlineStr">
        <is>
          <t>234700000002</t>
        </is>
      </c>
      <c r="J3" t="inlineStr">
        <is>
          <t>student02.parent@example.com</t>
        </is>
      </c>
      <c r="K3" t="n">
        <v>3</v>
      </c>
      <c r="L3" t="n">
        <v>4</v>
      </c>
      <c r="M3" t="n">
        <v>3</v>
      </c>
      <c r="N3" t="n">
        <v>1</v>
      </c>
      <c r="O3" t="n">
        <v>2</v>
      </c>
      <c r="P3" t="n">
        <v>5</v>
      </c>
      <c r="Q3" t="n">
        <v>3</v>
      </c>
      <c r="R3" t="n">
        <v>2</v>
      </c>
    </row>
    <row r="4">
      <c r="A4" t="inlineStr">
        <is>
          <t>BSC1/003</t>
        </is>
      </c>
      <c r="B4" t="inlineStr">
        <is>
          <t>Student 03</t>
        </is>
      </c>
      <c r="C4" t="inlineStr">
        <is>
          <t>Basic 1</t>
        </is>
      </c>
      <c r="D4" t="inlineStr">
        <is>
          <t>Silver</t>
        </is>
      </c>
      <c r="E4" t="inlineStr">
        <is>
          <t>M</t>
        </is>
      </c>
      <c r="F4" t="n">
        <v>57</v>
      </c>
      <c r="G4" t="n">
        <v>14</v>
      </c>
      <c r="H4" t="inlineStr">
        <is>
          <t>Blue</t>
        </is>
      </c>
      <c r="I4" t="inlineStr">
        <is>
          <t>234700000003</t>
        </is>
      </c>
      <c r="J4" t="inlineStr">
        <is>
          <t>student03.parent@example.com</t>
        </is>
      </c>
      <c r="K4" t="n">
        <v>2</v>
      </c>
      <c r="L4" t="n">
        <v>2</v>
      </c>
      <c r="M4" t="n">
        <v>5</v>
      </c>
      <c r="N4" t="n">
        <v>5</v>
      </c>
      <c r="O4" t="n">
        <v>3</v>
      </c>
      <c r="P4" t="n">
        <v>5</v>
      </c>
      <c r="Q4" t="n">
        <v>4</v>
      </c>
      <c r="R4" t="n">
        <v>5</v>
      </c>
    </row>
    <row r="5">
      <c r="A5" t="inlineStr">
        <is>
          <t>BSC1/004</t>
        </is>
      </c>
      <c r="B5" t="inlineStr">
        <is>
          <t>Student 04</t>
        </is>
      </c>
      <c r="C5" t="inlineStr">
        <is>
          <t>Basic 1</t>
        </is>
      </c>
      <c r="D5" t="inlineStr">
        <is>
          <t>Silver</t>
        </is>
      </c>
      <c r="E5" t="inlineStr">
        <is>
          <t>F</t>
        </is>
      </c>
      <c r="F5" t="n">
        <v>56</v>
      </c>
      <c r="G5" t="n">
        <v>7</v>
      </c>
      <c r="H5" t="inlineStr">
        <is>
          <t>Blue</t>
        </is>
      </c>
      <c r="I5" t="inlineStr">
        <is>
          <t>234700000004</t>
        </is>
      </c>
      <c r="J5" t="inlineStr">
        <is>
          <t>student04.parent@example.com</t>
        </is>
      </c>
      <c r="K5" t="n">
        <v>4</v>
      </c>
      <c r="L5" t="n">
        <v>1</v>
      </c>
      <c r="M5" t="n">
        <v>1</v>
      </c>
      <c r="N5" t="n">
        <v>1</v>
      </c>
      <c r="O5" t="n">
        <v>2</v>
      </c>
      <c r="P5" t="n">
        <v>2</v>
      </c>
      <c r="Q5" t="n">
        <v>4</v>
      </c>
      <c r="R5" t="n">
        <v>5</v>
      </c>
    </row>
    <row r="6">
      <c r="A6" t="inlineStr">
        <is>
          <t>BSC1/005</t>
        </is>
      </c>
      <c r="B6" t="inlineStr">
        <is>
          <t>Student 05</t>
        </is>
      </c>
      <c r="C6" t="inlineStr">
        <is>
          <t>Basic 1</t>
        </is>
      </c>
      <c r="D6" t="inlineStr">
        <is>
          <t>A</t>
        </is>
      </c>
      <c r="E6" t="inlineStr">
        <is>
          <t>M</t>
        </is>
      </c>
      <c r="F6" t="n">
        <v>57</v>
      </c>
      <c r="G6" t="n">
        <v>12</v>
      </c>
      <c r="H6" t="inlineStr">
        <is>
          <t>Nil</t>
        </is>
      </c>
      <c r="I6" t="inlineStr">
        <is>
          <t>234700000005</t>
        </is>
      </c>
      <c r="J6" t="inlineStr">
        <is>
          <t>student05.parent@example.com</t>
        </is>
      </c>
      <c r="K6" t="n">
        <v>5</v>
      </c>
      <c r="L6" t="n">
        <v>3</v>
      </c>
      <c r="M6" t="n">
        <v>5</v>
      </c>
      <c r="N6" t="n">
        <v>1</v>
      </c>
      <c r="O6" t="n">
        <v>1</v>
      </c>
      <c r="P6" t="n">
        <v>5</v>
      </c>
      <c r="Q6" t="n">
        <v>3</v>
      </c>
      <c r="R6" t="n">
        <v>3</v>
      </c>
    </row>
    <row r="7">
      <c r="A7" t="inlineStr">
        <is>
          <t>BSC1/006</t>
        </is>
      </c>
      <c r="B7" t="inlineStr">
        <is>
          <t>Student 06</t>
        </is>
      </c>
      <c r="C7" t="inlineStr">
        <is>
          <t>Basic 1</t>
        </is>
      </c>
      <c r="D7" t="inlineStr">
        <is>
          <t>A</t>
        </is>
      </c>
      <c r="E7" t="inlineStr">
        <is>
          <t>M</t>
        </is>
      </c>
      <c r="F7" t="n">
        <v>54</v>
      </c>
      <c r="G7" t="n">
        <v>13</v>
      </c>
      <c r="H7" t="inlineStr">
        <is>
          <t>Blue</t>
        </is>
      </c>
      <c r="I7" t="inlineStr">
        <is>
          <t>234700000006</t>
        </is>
      </c>
      <c r="J7" t="inlineStr">
        <is>
          <t>student06.parent@example.com</t>
        </is>
      </c>
      <c r="K7" t="n">
        <v>1</v>
      </c>
      <c r="L7" t="n">
        <v>3</v>
      </c>
      <c r="M7" t="n">
        <v>5</v>
      </c>
      <c r="N7" t="n">
        <v>2</v>
      </c>
      <c r="O7" t="n">
        <v>5</v>
      </c>
      <c r="P7" t="n">
        <v>1</v>
      </c>
      <c r="Q7" t="n">
        <v>3</v>
      </c>
      <c r="R7" t="n">
        <v>5</v>
      </c>
    </row>
    <row r="8">
      <c r="A8" t="inlineStr">
        <is>
          <t>BSC1/007</t>
        </is>
      </c>
      <c r="B8" t="inlineStr">
        <is>
          <t>Student 07</t>
        </is>
      </c>
      <c r="C8" t="inlineStr">
        <is>
          <t>Basic 1</t>
        </is>
      </c>
      <c r="D8" t="inlineStr">
        <is>
          <t>Science</t>
        </is>
      </c>
      <c r="E8" t="inlineStr">
        <is>
          <t>F</t>
        </is>
      </c>
      <c r="F8" t="n">
        <v>51</v>
      </c>
      <c r="G8" t="n">
        <v>4</v>
      </c>
      <c r="H8" t="inlineStr">
        <is>
          <t>Red</t>
        </is>
      </c>
      <c r="I8" t="inlineStr">
        <is>
          <t>234700000007</t>
        </is>
      </c>
      <c r="J8" t="inlineStr">
        <is>
          <t>student07.parent@example.com</t>
        </is>
      </c>
      <c r="K8" t="n">
        <v>2</v>
      </c>
      <c r="L8" t="n">
        <v>5</v>
      </c>
      <c r="M8" t="n">
        <v>5</v>
      </c>
      <c r="N8" t="n">
        <v>1</v>
      </c>
      <c r="O8" t="n">
        <v>5</v>
      </c>
      <c r="P8" t="n">
        <v>3</v>
      </c>
      <c r="Q8" t="n">
        <v>4</v>
      </c>
      <c r="R8" t="n">
        <v>1</v>
      </c>
    </row>
    <row r="9">
      <c r="A9" t="inlineStr">
        <is>
          <t>BSC1/008</t>
        </is>
      </c>
      <c r="B9" t="inlineStr">
        <is>
          <t>Student 08</t>
        </is>
      </c>
      <c r="C9" t="inlineStr">
        <is>
          <t>Basic 1</t>
        </is>
      </c>
      <c r="D9" t="inlineStr">
        <is>
          <t>A</t>
        </is>
      </c>
      <c r="E9" t="inlineStr">
        <is>
          <t>F</t>
        </is>
      </c>
      <c r="F9" t="n">
        <v>56</v>
      </c>
      <c r="G9" t="n">
        <v>9</v>
      </c>
      <c r="H9" t="inlineStr">
        <is>
          <t>Blue</t>
        </is>
      </c>
      <c r="I9" t="inlineStr">
        <is>
          <t>234700000008</t>
        </is>
      </c>
      <c r="J9" t="inlineStr">
        <is>
          <t>student08.parent@example.com</t>
        </is>
      </c>
      <c r="K9" t="n">
        <v>2</v>
      </c>
      <c r="L9" t="n">
        <v>5</v>
      </c>
      <c r="M9" t="n">
        <v>1</v>
      </c>
      <c r="N9" t="n">
        <v>1</v>
      </c>
      <c r="O9" t="n">
        <v>4</v>
      </c>
      <c r="P9" t="n">
        <v>1</v>
      </c>
      <c r="Q9" t="n">
        <v>5</v>
      </c>
      <c r="R9" t="n">
        <v>2</v>
      </c>
    </row>
    <row r="10">
      <c r="A10" t="inlineStr">
        <is>
          <t>BSC1/009</t>
        </is>
      </c>
      <c r="B10" t="inlineStr">
        <is>
          <t>Student 09</t>
        </is>
      </c>
      <c r="C10" t="inlineStr">
        <is>
          <t>Basic 1</t>
        </is>
      </c>
      <c r="D10" t="inlineStr">
        <is>
          <t>B</t>
        </is>
      </c>
      <c r="E10" t="inlineStr">
        <is>
          <t>F</t>
        </is>
      </c>
      <c r="F10" t="n">
        <v>60</v>
      </c>
      <c r="G10" t="n">
        <v>5</v>
      </c>
      <c r="H10" t="inlineStr">
        <is>
          <t>Red</t>
        </is>
      </c>
      <c r="I10" t="inlineStr">
        <is>
          <t>234700000009</t>
        </is>
      </c>
      <c r="J10" t="inlineStr">
        <is>
          <t>student09.parent@example.com</t>
        </is>
      </c>
      <c r="K10" t="n">
        <v>5</v>
      </c>
      <c r="L10" t="n">
        <v>4</v>
      </c>
      <c r="M10" t="n">
        <v>2</v>
      </c>
      <c r="N10" t="n">
        <v>5</v>
      </c>
      <c r="O10" t="n">
        <v>2</v>
      </c>
      <c r="P10" t="n">
        <v>3</v>
      </c>
      <c r="Q10" t="n">
        <v>4</v>
      </c>
      <c r="R10" t="n">
        <v>3</v>
      </c>
    </row>
    <row r="11">
      <c r="A11" t="inlineStr">
        <is>
          <t>BSC1/010</t>
        </is>
      </c>
      <c r="B11" t="inlineStr">
        <is>
          <t>Student 10</t>
        </is>
      </c>
      <c r="C11" t="inlineStr">
        <is>
          <t>Basic 1</t>
        </is>
      </c>
      <c r="D11" t="inlineStr">
        <is>
          <t>Silver</t>
        </is>
      </c>
      <c r="E11" t="inlineStr">
        <is>
          <t>M</t>
        </is>
      </c>
      <c r="F11" t="n">
        <v>59</v>
      </c>
      <c r="G11" t="n">
        <v>3</v>
      </c>
      <c r="H11" t="inlineStr">
        <is>
          <t>Blue</t>
        </is>
      </c>
      <c r="I11" t="inlineStr">
        <is>
          <t>234700000010</t>
        </is>
      </c>
      <c r="J11" t="inlineStr">
        <is>
          <t>student10.parent@example.com</t>
        </is>
      </c>
      <c r="K11" t="n">
        <v>1</v>
      </c>
      <c r="L11" t="n">
        <v>3</v>
      </c>
      <c r="M11" t="n">
        <v>1</v>
      </c>
      <c r="N11" t="n">
        <v>5</v>
      </c>
      <c r="O11" t="n">
        <v>5</v>
      </c>
      <c r="P11" t="n">
        <v>2</v>
      </c>
      <c r="Q11" t="n">
        <v>5</v>
      </c>
      <c r="R11" t="n">
        <v>2</v>
      </c>
    </row>
    <row r="12">
      <c r="A12" t="inlineStr">
        <is>
          <t>BSC1/011</t>
        </is>
      </c>
      <c r="B12" t="inlineStr">
        <is>
          <t>Student 11</t>
        </is>
      </c>
      <c r="C12" t="inlineStr">
        <is>
          <t>Basic 1</t>
        </is>
      </c>
      <c r="D12" t="inlineStr">
        <is>
          <t>A</t>
        </is>
      </c>
      <c r="E12" t="inlineStr">
        <is>
          <t>M</t>
        </is>
      </c>
      <c r="F12" t="n">
        <v>47</v>
      </c>
      <c r="G12" t="n">
        <v>1</v>
      </c>
      <c r="H12" t="inlineStr">
        <is>
          <t>Blue</t>
        </is>
      </c>
      <c r="I12" t="inlineStr">
        <is>
          <t>234700000011</t>
        </is>
      </c>
      <c r="J12" t="inlineStr">
        <is>
          <t>student11.parent@example.com</t>
        </is>
      </c>
      <c r="K12" t="n">
        <v>1</v>
      </c>
      <c r="L12" t="n">
        <v>3</v>
      </c>
      <c r="M12" t="n">
        <v>1</v>
      </c>
      <c r="N12" t="n">
        <v>5</v>
      </c>
      <c r="O12" t="n">
        <v>2</v>
      </c>
      <c r="P12" t="n">
        <v>3</v>
      </c>
      <c r="Q12" t="n">
        <v>4</v>
      </c>
      <c r="R12" t="n">
        <v>2</v>
      </c>
    </row>
    <row r="13">
      <c r="A13" t="inlineStr">
        <is>
          <t>BSC1/012</t>
        </is>
      </c>
      <c r="B13" t="inlineStr">
        <is>
          <t>Student 12</t>
        </is>
      </c>
      <c r="C13" t="inlineStr">
        <is>
          <t>Basic 1</t>
        </is>
      </c>
      <c r="D13" t="inlineStr">
        <is>
          <t>Science</t>
        </is>
      </c>
      <c r="E13" t="inlineStr">
        <is>
          <t>M</t>
        </is>
      </c>
      <c r="F13" t="n">
        <v>49</v>
      </c>
      <c r="G13" t="n">
        <v>15</v>
      </c>
      <c r="H13" t="inlineStr">
        <is>
          <t>Blue</t>
        </is>
      </c>
      <c r="I13" t="inlineStr">
        <is>
          <t>234700000012</t>
        </is>
      </c>
      <c r="J13" t="inlineStr">
        <is>
          <t>student12.parent@example.com</t>
        </is>
      </c>
      <c r="K13" t="n">
        <v>4</v>
      </c>
      <c r="L13" t="n">
        <v>4</v>
      </c>
      <c r="M13" t="n">
        <v>2</v>
      </c>
      <c r="N13" t="n">
        <v>1</v>
      </c>
      <c r="O13" t="n">
        <v>1</v>
      </c>
      <c r="P13" t="n">
        <v>4</v>
      </c>
      <c r="Q13" t="n">
        <v>3</v>
      </c>
      <c r="R13" t="n">
        <v>4</v>
      </c>
    </row>
    <row r="14">
      <c r="A14" t="inlineStr">
        <is>
          <t>BSC1/013</t>
        </is>
      </c>
      <c r="B14" t="inlineStr">
        <is>
          <t>Student 13</t>
        </is>
      </c>
      <c r="C14" t="inlineStr">
        <is>
          <t>Basic 1</t>
        </is>
      </c>
      <c r="D14" t="inlineStr">
        <is>
          <t>Silver</t>
        </is>
      </c>
      <c r="E14" t="inlineStr">
        <is>
          <t>F</t>
        </is>
      </c>
      <c r="F14" t="n">
        <v>59</v>
      </c>
      <c r="G14" t="n">
        <v>1</v>
      </c>
      <c r="H14" t="inlineStr">
        <is>
          <t>Green</t>
        </is>
      </c>
      <c r="I14" t="inlineStr">
        <is>
          <t>234700000013</t>
        </is>
      </c>
      <c r="J14" t="inlineStr">
        <is>
          <t>student13.parent@example.com</t>
        </is>
      </c>
      <c r="K14" t="n">
        <v>4</v>
      </c>
      <c r="L14" t="n">
        <v>3</v>
      </c>
      <c r="M14" t="n">
        <v>1</v>
      </c>
      <c r="N14" t="n">
        <v>2</v>
      </c>
      <c r="O14" t="n">
        <v>2</v>
      </c>
      <c r="P14" t="n">
        <v>2</v>
      </c>
      <c r="Q14" t="n">
        <v>5</v>
      </c>
      <c r="R14" t="n">
        <v>4</v>
      </c>
    </row>
    <row r="15">
      <c r="A15" t="inlineStr">
        <is>
          <t>BSC1/014</t>
        </is>
      </c>
      <c r="B15" t="inlineStr">
        <is>
          <t>Student 14</t>
        </is>
      </c>
      <c r="C15" t="inlineStr">
        <is>
          <t>Basic 1</t>
        </is>
      </c>
      <c r="D15" t="inlineStr">
        <is>
          <t>B</t>
        </is>
      </c>
      <c r="E15" t="inlineStr">
        <is>
          <t>M</t>
        </is>
      </c>
      <c r="F15" t="n">
        <v>58</v>
      </c>
      <c r="G15" t="n">
        <v>5</v>
      </c>
      <c r="H15" t="inlineStr">
        <is>
          <t>Red</t>
        </is>
      </c>
      <c r="I15" t="inlineStr">
        <is>
          <t>234700000014</t>
        </is>
      </c>
      <c r="J15" t="inlineStr">
        <is>
          <t>student14.parent@example.com</t>
        </is>
      </c>
      <c r="K15" t="n">
        <v>2</v>
      </c>
      <c r="L15" t="n">
        <v>1</v>
      </c>
      <c r="M15" t="n">
        <v>4</v>
      </c>
      <c r="N15" t="n">
        <v>5</v>
      </c>
      <c r="O15" t="n">
        <v>1</v>
      </c>
      <c r="P15" t="n">
        <v>1</v>
      </c>
      <c r="Q15" t="n">
        <v>5</v>
      </c>
      <c r="R15" t="n">
        <v>1</v>
      </c>
    </row>
    <row r="16">
      <c r="A16" t="inlineStr">
        <is>
          <t>BSC1/015</t>
        </is>
      </c>
      <c r="B16" t="inlineStr">
        <is>
          <t>Student 15</t>
        </is>
      </c>
      <c r="C16" t="inlineStr">
        <is>
          <t>Basic 1</t>
        </is>
      </c>
      <c r="D16" t="inlineStr">
        <is>
          <t>A</t>
        </is>
      </c>
      <c r="E16" t="inlineStr">
        <is>
          <t>F</t>
        </is>
      </c>
      <c r="F16" t="n">
        <v>52</v>
      </c>
      <c r="G16" t="n">
        <v>5</v>
      </c>
      <c r="H16" t="inlineStr">
        <is>
          <t>Gold</t>
        </is>
      </c>
      <c r="I16" t="inlineStr">
        <is>
          <t>234700000015</t>
        </is>
      </c>
      <c r="J16" t="inlineStr">
        <is>
          <t>student15.parent@example.com</t>
        </is>
      </c>
      <c r="K16" t="n">
        <v>4</v>
      </c>
      <c r="L16" t="n">
        <v>2</v>
      </c>
      <c r="M16" t="n">
        <v>4</v>
      </c>
      <c r="N16" t="n">
        <v>1</v>
      </c>
      <c r="O16" t="n">
        <v>2</v>
      </c>
      <c r="P16" t="n">
        <v>4</v>
      </c>
      <c r="Q16" t="n">
        <v>1</v>
      </c>
      <c r="R16" t="n">
        <v>4</v>
      </c>
    </row>
    <row r="17">
      <c r="A17" t="inlineStr">
        <is>
          <t>BSC1/016</t>
        </is>
      </c>
      <c r="B17" t="inlineStr">
        <is>
          <t>Student 16</t>
        </is>
      </c>
      <c r="C17" t="inlineStr">
        <is>
          <t>Basic 1</t>
        </is>
      </c>
      <c r="D17" t="inlineStr">
        <is>
          <t>Gold</t>
        </is>
      </c>
      <c r="E17" t="inlineStr">
        <is>
          <t>M</t>
        </is>
      </c>
      <c r="F17" t="n">
        <v>59</v>
      </c>
      <c r="G17" t="n">
        <v>9</v>
      </c>
      <c r="H17" t="inlineStr">
        <is>
          <t>Gold</t>
        </is>
      </c>
      <c r="I17" t="inlineStr">
        <is>
          <t>234700000016</t>
        </is>
      </c>
      <c r="J17" t="inlineStr">
        <is>
          <t>student16.parent@example.com</t>
        </is>
      </c>
      <c r="K17" t="n">
        <v>5</v>
      </c>
      <c r="L17" t="n">
        <v>4</v>
      </c>
      <c r="M17" t="n">
        <v>2</v>
      </c>
      <c r="N17" t="n">
        <v>2</v>
      </c>
      <c r="O17" t="n">
        <v>3</v>
      </c>
      <c r="P17" t="n">
        <v>2</v>
      </c>
      <c r="Q17" t="n">
        <v>1</v>
      </c>
      <c r="R17" t="n">
        <v>5</v>
      </c>
    </row>
    <row r="18">
      <c r="A18" t="inlineStr">
        <is>
          <t>BSC1/017</t>
        </is>
      </c>
      <c r="B18" t="inlineStr">
        <is>
          <t>Student 17</t>
        </is>
      </c>
      <c r="C18" t="inlineStr">
        <is>
          <t>Basic 1</t>
        </is>
      </c>
      <c r="D18" t="inlineStr">
        <is>
          <t>Science</t>
        </is>
      </c>
      <c r="E18" t="inlineStr">
        <is>
          <t>M</t>
        </is>
      </c>
      <c r="F18" t="n">
        <v>46</v>
      </c>
      <c r="G18" t="n">
        <v>10</v>
      </c>
      <c r="H18" t="inlineStr">
        <is>
          <t>Green</t>
        </is>
      </c>
      <c r="I18" t="inlineStr">
        <is>
          <t>234700000017</t>
        </is>
      </c>
      <c r="J18" t="inlineStr">
        <is>
          <t>student17.parent@example.com</t>
        </is>
      </c>
      <c r="K18" t="n">
        <v>5</v>
      </c>
      <c r="L18" t="n">
        <v>4</v>
      </c>
      <c r="M18" t="n">
        <v>5</v>
      </c>
      <c r="N18" t="n">
        <v>5</v>
      </c>
      <c r="O18" t="n">
        <v>2</v>
      </c>
      <c r="P18" t="n">
        <v>1</v>
      </c>
      <c r="Q18" t="n">
        <v>5</v>
      </c>
      <c r="R18" t="n">
        <v>1</v>
      </c>
    </row>
    <row r="19">
      <c r="A19" t="inlineStr">
        <is>
          <t>BSC1/018</t>
        </is>
      </c>
      <c r="B19" t="inlineStr">
        <is>
          <t>Student 18</t>
        </is>
      </c>
      <c r="C19" t="inlineStr">
        <is>
          <t>Basic 1</t>
        </is>
      </c>
      <c r="D19" t="inlineStr">
        <is>
          <t>B</t>
        </is>
      </c>
      <c r="E19" t="inlineStr">
        <is>
          <t>M</t>
        </is>
      </c>
      <c r="F19" t="n">
        <v>47</v>
      </c>
      <c r="G19" t="n">
        <v>2</v>
      </c>
      <c r="H19" t="inlineStr">
        <is>
          <t>Blue</t>
        </is>
      </c>
      <c r="I19" t="inlineStr">
        <is>
          <t>234700000018</t>
        </is>
      </c>
      <c r="J19" t="inlineStr">
        <is>
          <t>student18.parent@example.com</t>
        </is>
      </c>
      <c r="K19" t="n">
        <v>1</v>
      </c>
      <c r="L19" t="n">
        <v>5</v>
      </c>
      <c r="M19" t="n">
        <v>2</v>
      </c>
      <c r="N19" t="n">
        <v>5</v>
      </c>
      <c r="O19" t="n">
        <v>5</v>
      </c>
      <c r="P19" t="n">
        <v>1</v>
      </c>
      <c r="Q19" t="n">
        <v>5</v>
      </c>
      <c r="R19" t="n">
        <v>1</v>
      </c>
    </row>
    <row r="20">
      <c r="A20" t="inlineStr">
        <is>
          <t>BSC1/019</t>
        </is>
      </c>
      <c r="B20" t="inlineStr">
        <is>
          <t>Student 19</t>
        </is>
      </c>
      <c r="C20" t="inlineStr">
        <is>
          <t>Basic 1</t>
        </is>
      </c>
      <c r="D20" t="inlineStr">
        <is>
          <t>Silver</t>
        </is>
      </c>
      <c r="E20" t="inlineStr">
        <is>
          <t>F</t>
        </is>
      </c>
      <c r="F20" t="n">
        <v>55</v>
      </c>
      <c r="G20" t="n">
        <v>8</v>
      </c>
      <c r="H20" t="inlineStr">
        <is>
          <t>Blue</t>
        </is>
      </c>
      <c r="I20" t="inlineStr">
        <is>
          <t>234700000019</t>
        </is>
      </c>
      <c r="J20" t="inlineStr">
        <is>
          <t>student19.parent@example.com</t>
        </is>
      </c>
      <c r="K20" t="n">
        <v>3</v>
      </c>
      <c r="L20" t="n">
        <v>2</v>
      </c>
      <c r="M20" t="n">
        <v>3</v>
      </c>
      <c r="N20" t="n">
        <v>4</v>
      </c>
      <c r="O20" t="n">
        <v>2</v>
      </c>
      <c r="P20" t="n">
        <v>3</v>
      </c>
      <c r="Q20" t="n">
        <v>4</v>
      </c>
      <c r="R20" t="n">
        <v>3</v>
      </c>
    </row>
    <row r="21">
      <c r="A21" t="inlineStr">
        <is>
          <t>BSC1/020</t>
        </is>
      </c>
      <c r="B21" t="inlineStr">
        <is>
          <t>Student 20</t>
        </is>
      </c>
      <c r="C21" t="inlineStr">
        <is>
          <t>Basic 1</t>
        </is>
      </c>
      <c r="D21" t="inlineStr">
        <is>
          <t>A</t>
        </is>
      </c>
      <c r="E21" t="inlineStr">
        <is>
          <t>M</t>
        </is>
      </c>
      <c r="F21" t="n">
        <v>45</v>
      </c>
      <c r="G21" t="n">
        <v>14</v>
      </c>
      <c r="H21" t="inlineStr">
        <is>
          <t>Nil</t>
        </is>
      </c>
      <c r="I21" t="inlineStr">
        <is>
          <t>234700000020</t>
        </is>
      </c>
      <c r="J21" t="inlineStr">
        <is>
          <t>student20.parent@example.com</t>
        </is>
      </c>
      <c r="K21" t="n">
        <v>1</v>
      </c>
      <c r="L21" t="n">
        <v>1</v>
      </c>
      <c r="M21" t="n">
        <v>5</v>
      </c>
      <c r="N21" t="n">
        <v>2</v>
      </c>
      <c r="O21" t="n">
        <v>5</v>
      </c>
      <c r="P21" t="n">
        <v>3</v>
      </c>
      <c r="Q21" t="n">
        <v>2</v>
      </c>
      <c r="R21" t="n">
        <v>3</v>
      </c>
    </row>
    <row r="22">
      <c r="A22" t="inlineStr">
        <is>
          <t>BSC2/001</t>
        </is>
      </c>
      <c r="B22" t="inlineStr">
        <is>
          <t>Student 21</t>
        </is>
      </c>
      <c r="C22" t="inlineStr">
        <is>
          <t>Basic 2</t>
        </is>
      </c>
      <c r="D22" t="inlineStr">
        <is>
          <t>Silver</t>
        </is>
      </c>
      <c r="E22" t="inlineStr">
        <is>
          <t>F</t>
        </is>
      </c>
      <c r="F22" t="n">
        <v>54</v>
      </c>
      <c r="G22" t="n">
        <v>12</v>
      </c>
      <c r="H22" t="inlineStr">
        <is>
          <t>Red</t>
        </is>
      </c>
      <c r="I22" t="inlineStr">
        <is>
          <t>234700000021</t>
        </is>
      </c>
      <c r="J22" t="inlineStr">
        <is>
          <t>student21.parent@example.com</t>
        </is>
      </c>
      <c r="K22" t="n">
        <v>5</v>
      </c>
      <c r="L22" t="n">
        <v>4</v>
      </c>
      <c r="M22" t="n">
        <v>4</v>
      </c>
      <c r="N22" t="n">
        <v>1</v>
      </c>
      <c r="O22" t="n">
        <v>5</v>
      </c>
      <c r="P22" t="n">
        <v>1</v>
      </c>
      <c r="Q22" t="n">
        <v>4</v>
      </c>
      <c r="R22" t="n">
        <v>3</v>
      </c>
    </row>
    <row r="23">
      <c r="A23" t="inlineStr">
        <is>
          <t>BSC2/002</t>
        </is>
      </c>
      <c r="B23" t="inlineStr">
        <is>
          <t>Student 22</t>
        </is>
      </c>
      <c r="C23" t="inlineStr">
        <is>
          <t>Basic 2</t>
        </is>
      </c>
      <c r="D23" t="inlineStr">
        <is>
          <t>Science</t>
        </is>
      </c>
      <c r="E23" t="inlineStr">
        <is>
          <t>M</t>
        </is>
      </c>
      <c r="F23" t="n">
        <v>53</v>
      </c>
      <c r="G23" t="n">
        <v>0</v>
      </c>
      <c r="H23" t="inlineStr">
        <is>
          <t>Green</t>
        </is>
      </c>
      <c r="I23" t="inlineStr">
        <is>
          <t>234700000022</t>
        </is>
      </c>
      <c r="J23" t="inlineStr">
        <is>
          <t>student22.parent@example.com</t>
        </is>
      </c>
      <c r="K23" t="n">
        <v>5</v>
      </c>
      <c r="L23" t="n">
        <v>5</v>
      </c>
      <c r="M23" t="n">
        <v>1</v>
      </c>
      <c r="N23" t="n">
        <v>3</v>
      </c>
      <c r="O23" t="n">
        <v>5</v>
      </c>
      <c r="P23" t="n">
        <v>1</v>
      </c>
      <c r="Q23" t="n">
        <v>2</v>
      </c>
      <c r="R23" t="n">
        <v>4</v>
      </c>
    </row>
    <row r="24">
      <c r="A24" t="inlineStr">
        <is>
          <t>BSC2/003</t>
        </is>
      </c>
      <c r="B24" t="inlineStr">
        <is>
          <t>Student 23</t>
        </is>
      </c>
      <c r="C24" t="inlineStr">
        <is>
          <t>Basic 2</t>
        </is>
      </c>
      <c r="D24" t="inlineStr">
        <is>
          <t>Science</t>
        </is>
      </c>
      <c r="E24" t="inlineStr">
        <is>
          <t>M</t>
        </is>
      </c>
      <c r="F24" t="n">
        <v>59</v>
      </c>
      <c r="G24" t="n">
        <v>8</v>
      </c>
      <c r="H24" t="inlineStr">
        <is>
          <t>Blue</t>
        </is>
      </c>
      <c r="I24" t="inlineStr">
        <is>
          <t>234700000023</t>
        </is>
      </c>
      <c r="J24" t="inlineStr">
        <is>
          <t>student23.parent@example.com</t>
        </is>
      </c>
      <c r="K24" t="n">
        <v>4</v>
      </c>
      <c r="L24" t="n">
        <v>4</v>
      </c>
      <c r="M24" t="n">
        <v>1</v>
      </c>
      <c r="N24" t="n">
        <v>4</v>
      </c>
      <c r="O24" t="n">
        <v>3</v>
      </c>
      <c r="P24" t="n">
        <v>4</v>
      </c>
      <c r="Q24" t="n">
        <v>3</v>
      </c>
      <c r="R24" t="n">
        <v>3</v>
      </c>
    </row>
    <row r="25">
      <c r="A25" t="inlineStr">
        <is>
          <t>BSC2/004</t>
        </is>
      </c>
      <c r="B25" t="inlineStr">
        <is>
          <t>Student 24</t>
        </is>
      </c>
      <c r="C25" t="inlineStr">
        <is>
          <t>Basic 2</t>
        </is>
      </c>
      <c r="D25" t="inlineStr">
        <is>
          <t>A</t>
        </is>
      </c>
      <c r="E25" t="inlineStr">
        <is>
          <t>F</t>
        </is>
      </c>
      <c r="F25" t="n">
        <v>50</v>
      </c>
      <c r="G25" t="n">
        <v>10</v>
      </c>
      <c r="H25" t="inlineStr">
        <is>
          <t>Gold</t>
        </is>
      </c>
      <c r="I25" t="inlineStr">
        <is>
          <t>234700000024</t>
        </is>
      </c>
      <c r="J25" t="inlineStr">
        <is>
          <t>student24.parent@example.com</t>
        </is>
      </c>
      <c r="K25" t="n">
        <v>4</v>
      </c>
      <c r="L25" t="n">
        <v>3</v>
      </c>
      <c r="M25" t="n">
        <v>4</v>
      </c>
      <c r="N25" t="n">
        <v>5</v>
      </c>
      <c r="O25" t="n">
        <v>1</v>
      </c>
      <c r="P25" t="n">
        <v>4</v>
      </c>
      <c r="Q25" t="n">
        <v>1</v>
      </c>
      <c r="R25" t="n">
        <v>3</v>
      </c>
    </row>
    <row r="26">
      <c r="A26" t="inlineStr">
        <is>
          <t>BSC2/005</t>
        </is>
      </c>
      <c r="B26" t="inlineStr">
        <is>
          <t>Student 25</t>
        </is>
      </c>
      <c r="C26" t="inlineStr">
        <is>
          <t>Basic 2</t>
        </is>
      </c>
      <c r="D26" t="inlineStr">
        <is>
          <t>Gold</t>
        </is>
      </c>
      <c r="E26" t="inlineStr">
        <is>
          <t>F</t>
        </is>
      </c>
      <c r="F26" t="n">
        <v>55</v>
      </c>
      <c r="G26" t="n">
        <v>3</v>
      </c>
      <c r="H26" t="inlineStr">
        <is>
          <t>Gold</t>
        </is>
      </c>
      <c r="I26" t="inlineStr">
        <is>
          <t>234700000025</t>
        </is>
      </c>
      <c r="J26" t="inlineStr">
        <is>
          <t>student25.parent@example.com</t>
        </is>
      </c>
      <c r="K26" t="n">
        <v>1</v>
      </c>
      <c r="L26" t="n">
        <v>5</v>
      </c>
      <c r="M26" t="n">
        <v>4</v>
      </c>
      <c r="N26" t="n">
        <v>4</v>
      </c>
      <c r="O26" t="n">
        <v>1</v>
      </c>
      <c r="P26" t="n">
        <v>2</v>
      </c>
      <c r="Q26" t="n">
        <v>5</v>
      </c>
      <c r="R26" t="n">
        <v>3</v>
      </c>
    </row>
    <row r="27">
      <c r="A27" t="inlineStr">
        <is>
          <t>BSC2/006</t>
        </is>
      </c>
      <c r="B27" t="inlineStr">
        <is>
          <t>Student 26</t>
        </is>
      </c>
      <c r="C27" t="inlineStr">
        <is>
          <t>Basic 2</t>
        </is>
      </c>
      <c r="D27" t="inlineStr">
        <is>
          <t>Science</t>
        </is>
      </c>
      <c r="E27" t="inlineStr">
        <is>
          <t>M</t>
        </is>
      </c>
      <c r="F27" t="n">
        <v>60</v>
      </c>
      <c r="G27" t="n">
        <v>14</v>
      </c>
      <c r="H27" t="inlineStr">
        <is>
          <t>Green</t>
        </is>
      </c>
      <c r="I27" t="inlineStr">
        <is>
          <t>234700000026</t>
        </is>
      </c>
      <c r="J27" t="inlineStr">
        <is>
          <t>student26.parent@example.com</t>
        </is>
      </c>
      <c r="K27" t="n">
        <v>3</v>
      </c>
      <c r="L27" t="n">
        <v>5</v>
      </c>
      <c r="M27" t="n">
        <v>2</v>
      </c>
      <c r="N27" t="n">
        <v>3</v>
      </c>
      <c r="O27" t="n">
        <v>4</v>
      </c>
      <c r="P27" t="n">
        <v>4</v>
      </c>
      <c r="Q27" t="n">
        <v>1</v>
      </c>
      <c r="R27" t="n">
        <v>1</v>
      </c>
    </row>
    <row r="28">
      <c r="A28" t="inlineStr">
        <is>
          <t>BSC2/007</t>
        </is>
      </c>
      <c r="B28" t="inlineStr">
        <is>
          <t>Student 27</t>
        </is>
      </c>
      <c r="C28" t="inlineStr">
        <is>
          <t>Basic 2</t>
        </is>
      </c>
      <c r="D28" t="inlineStr">
        <is>
          <t>Science</t>
        </is>
      </c>
      <c r="E28" t="inlineStr">
        <is>
          <t>M</t>
        </is>
      </c>
      <c r="F28" t="n">
        <v>52</v>
      </c>
      <c r="G28" t="n">
        <v>5</v>
      </c>
      <c r="H28" t="inlineStr">
        <is>
          <t>Red</t>
        </is>
      </c>
      <c r="I28" t="inlineStr">
        <is>
          <t>234700000027</t>
        </is>
      </c>
      <c r="J28" t="inlineStr">
        <is>
          <t>student27.parent@example.com</t>
        </is>
      </c>
      <c r="K28" t="n">
        <v>1</v>
      </c>
      <c r="L28" t="n">
        <v>5</v>
      </c>
      <c r="M28" t="n">
        <v>4</v>
      </c>
      <c r="N28" t="n">
        <v>1</v>
      </c>
      <c r="O28" t="n">
        <v>2</v>
      </c>
      <c r="P28" t="n">
        <v>1</v>
      </c>
      <c r="Q28" t="n">
        <v>4</v>
      </c>
      <c r="R28" t="n">
        <v>1</v>
      </c>
    </row>
    <row r="29">
      <c r="A29" t="inlineStr">
        <is>
          <t>BSC2/008</t>
        </is>
      </c>
      <c r="B29" t="inlineStr">
        <is>
          <t>Student 28</t>
        </is>
      </c>
      <c r="C29" t="inlineStr">
        <is>
          <t>Basic 2</t>
        </is>
      </c>
      <c r="D29" t="inlineStr">
        <is>
          <t>B</t>
        </is>
      </c>
      <c r="E29" t="inlineStr">
        <is>
          <t>M</t>
        </is>
      </c>
      <c r="F29" t="n">
        <v>60</v>
      </c>
      <c r="G29" t="n">
        <v>9</v>
      </c>
      <c r="H29" t="inlineStr">
        <is>
          <t>Nil</t>
        </is>
      </c>
      <c r="I29" t="inlineStr">
        <is>
          <t>234700000028</t>
        </is>
      </c>
      <c r="J29" t="inlineStr">
        <is>
          <t>student28.parent@example.com</t>
        </is>
      </c>
      <c r="K29" t="n">
        <v>3</v>
      </c>
      <c r="L29" t="n">
        <v>4</v>
      </c>
      <c r="M29" t="n">
        <v>4</v>
      </c>
      <c r="N29" t="n">
        <v>4</v>
      </c>
      <c r="O29" t="n">
        <v>2</v>
      </c>
      <c r="P29" t="n">
        <v>4</v>
      </c>
      <c r="Q29" t="n">
        <v>5</v>
      </c>
      <c r="R29" t="n">
        <v>2</v>
      </c>
    </row>
    <row r="30">
      <c r="A30" t="inlineStr">
        <is>
          <t>BSC2/009</t>
        </is>
      </c>
      <c r="B30" t="inlineStr">
        <is>
          <t>Student 29</t>
        </is>
      </c>
      <c r="C30" t="inlineStr">
        <is>
          <t>Basic 2</t>
        </is>
      </c>
      <c r="D30" t="inlineStr">
        <is>
          <t>Silver</t>
        </is>
      </c>
      <c r="E30" t="inlineStr">
        <is>
          <t>M</t>
        </is>
      </c>
      <c r="F30" t="n">
        <v>51</v>
      </c>
      <c r="G30" t="n">
        <v>4</v>
      </c>
      <c r="H30" t="inlineStr">
        <is>
          <t>Green</t>
        </is>
      </c>
      <c r="I30" t="inlineStr">
        <is>
          <t>234700000029</t>
        </is>
      </c>
      <c r="J30" t="inlineStr">
        <is>
          <t>student29.parent@example.com</t>
        </is>
      </c>
      <c r="K30" t="n">
        <v>4</v>
      </c>
      <c r="L30" t="n">
        <v>3</v>
      </c>
      <c r="M30" t="n">
        <v>5</v>
      </c>
      <c r="N30" t="n">
        <v>3</v>
      </c>
      <c r="O30" t="n">
        <v>1</v>
      </c>
      <c r="P30" t="n">
        <v>3</v>
      </c>
      <c r="Q30" t="n">
        <v>3</v>
      </c>
      <c r="R30" t="n">
        <v>5</v>
      </c>
    </row>
    <row r="31">
      <c r="A31" t="inlineStr">
        <is>
          <t>BSC2/010</t>
        </is>
      </c>
      <c r="B31" t="inlineStr">
        <is>
          <t>Student 30</t>
        </is>
      </c>
      <c r="C31" t="inlineStr">
        <is>
          <t>Basic 2</t>
        </is>
      </c>
      <c r="D31" t="inlineStr">
        <is>
          <t>Science</t>
        </is>
      </c>
      <c r="E31" t="inlineStr">
        <is>
          <t>M</t>
        </is>
      </c>
      <c r="F31" t="n">
        <v>60</v>
      </c>
      <c r="G31" t="n">
        <v>4</v>
      </c>
      <c r="H31" t="inlineStr">
        <is>
          <t>Gold</t>
        </is>
      </c>
      <c r="I31" t="inlineStr">
        <is>
          <t>234700000030</t>
        </is>
      </c>
      <c r="J31" t="inlineStr">
        <is>
          <t>student30.parent@example.com</t>
        </is>
      </c>
      <c r="K31" t="n">
        <v>4</v>
      </c>
      <c r="L31" t="n">
        <v>3</v>
      </c>
      <c r="M31" t="n">
        <v>3</v>
      </c>
      <c r="N31" t="n">
        <v>5</v>
      </c>
      <c r="O31" t="n">
        <v>5</v>
      </c>
      <c r="P31" t="n">
        <v>4</v>
      </c>
      <c r="Q31" t="n">
        <v>4</v>
      </c>
      <c r="R31" t="n">
        <v>3</v>
      </c>
    </row>
    <row r="32">
      <c r="A32" t="inlineStr">
        <is>
          <t>BSC2/011</t>
        </is>
      </c>
      <c r="B32" t="inlineStr">
        <is>
          <t>Student 31</t>
        </is>
      </c>
      <c r="C32" t="inlineStr">
        <is>
          <t>Basic 2</t>
        </is>
      </c>
      <c r="D32" t="inlineStr">
        <is>
          <t>B</t>
        </is>
      </c>
      <c r="E32" t="inlineStr">
        <is>
          <t>F</t>
        </is>
      </c>
      <c r="F32" t="n">
        <v>52</v>
      </c>
      <c r="G32" t="n">
        <v>12</v>
      </c>
      <c r="H32" t="inlineStr">
        <is>
          <t>Blue</t>
        </is>
      </c>
      <c r="I32" t="inlineStr">
        <is>
          <t>234700000031</t>
        </is>
      </c>
      <c r="J32" t="inlineStr">
        <is>
          <t>student31.parent@example.com</t>
        </is>
      </c>
      <c r="K32" t="n">
        <v>4</v>
      </c>
      <c r="L32" t="n">
        <v>1</v>
      </c>
      <c r="M32" t="n">
        <v>3</v>
      </c>
      <c r="N32" t="n">
        <v>4</v>
      </c>
      <c r="O32" t="n">
        <v>4</v>
      </c>
      <c r="P32" t="n">
        <v>4</v>
      </c>
      <c r="Q32" t="n">
        <v>2</v>
      </c>
      <c r="R32" t="n">
        <v>4</v>
      </c>
    </row>
    <row r="33">
      <c r="A33" t="inlineStr">
        <is>
          <t>BSC2/012</t>
        </is>
      </c>
      <c r="B33" t="inlineStr">
        <is>
          <t>Student 32</t>
        </is>
      </c>
      <c r="C33" t="inlineStr">
        <is>
          <t>Basic 2</t>
        </is>
      </c>
      <c r="D33" t="inlineStr">
        <is>
          <t>A</t>
        </is>
      </c>
      <c r="E33" t="inlineStr">
        <is>
          <t>F</t>
        </is>
      </c>
      <c r="F33" t="n">
        <v>49</v>
      </c>
      <c r="G33" t="n">
        <v>10</v>
      </c>
      <c r="H33" t="inlineStr">
        <is>
          <t>Green</t>
        </is>
      </c>
      <c r="I33" t="inlineStr">
        <is>
          <t>234700000032</t>
        </is>
      </c>
      <c r="J33" t="inlineStr">
        <is>
          <t>student32.parent@example.com</t>
        </is>
      </c>
      <c r="K33" t="n">
        <v>1</v>
      </c>
      <c r="L33" t="n">
        <v>5</v>
      </c>
      <c r="M33" t="n">
        <v>4</v>
      </c>
      <c r="N33" t="n">
        <v>1</v>
      </c>
      <c r="O33" t="n">
        <v>2</v>
      </c>
      <c r="P33" t="n">
        <v>4</v>
      </c>
      <c r="Q33" t="n">
        <v>2</v>
      </c>
      <c r="R33" t="n">
        <v>1</v>
      </c>
    </row>
    <row r="34">
      <c r="A34" t="inlineStr">
        <is>
          <t>BSC2/013</t>
        </is>
      </c>
      <c r="B34" t="inlineStr">
        <is>
          <t>Student 33</t>
        </is>
      </c>
      <c r="C34" t="inlineStr">
        <is>
          <t>Basic 2</t>
        </is>
      </c>
      <c r="D34" t="inlineStr">
        <is>
          <t>Silver</t>
        </is>
      </c>
      <c r="E34" t="inlineStr">
        <is>
          <t>F</t>
        </is>
      </c>
      <c r="F34" t="n">
        <v>53</v>
      </c>
      <c r="G34" t="n">
        <v>10</v>
      </c>
      <c r="H34" t="inlineStr">
        <is>
          <t>Nil</t>
        </is>
      </c>
      <c r="I34" t="inlineStr">
        <is>
          <t>234700000033</t>
        </is>
      </c>
      <c r="J34" t="inlineStr">
        <is>
          <t>student33.parent@example.com</t>
        </is>
      </c>
      <c r="K34" t="n">
        <v>4</v>
      </c>
      <c r="L34" t="n">
        <v>1</v>
      </c>
      <c r="M34" t="n">
        <v>3</v>
      </c>
      <c r="N34" t="n">
        <v>5</v>
      </c>
      <c r="O34" t="n">
        <v>4</v>
      </c>
      <c r="P34" t="n">
        <v>3</v>
      </c>
      <c r="Q34" t="n">
        <v>4</v>
      </c>
      <c r="R34" t="n">
        <v>5</v>
      </c>
    </row>
    <row r="35">
      <c r="A35" t="inlineStr">
        <is>
          <t>BSC2/014</t>
        </is>
      </c>
      <c r="B35" t="inlineStr">
        <is>
          <t>Student 34</t>
        </is>
      </c>
      <c r="C35" t="inlineStr">
        <is>
          <t>Basic 2</t>
        </is>
      </c>
      <c r="D35" t="inlineStr">
        <is>
          <t>A</t>
        </is>
      </c>
      <c r="E35" t="inlineStr">
        <is>
          <t>M</t>
        </is>
      </c>
      <c r="F35" t="n">
        <v>47</v>
      </c>
      <c r="G35" t="n">
        <v>7</v>
      </c>
      <c r="H35" t="inlineStr">
        <is>
          <t>Red</t>
        </is>
      </c>
      <c r="I35" t="inlineStr">
        <is>
          <t>234700000034</t>
        </is>
      </c>
      <c r="J35" t="inlineStr">
        <is>
          <t>student34.parent@example.com</t>
        </is>
      </c>
      <c r="K35" t="n">
        <v>1</v>
      </c>
      <c r="L35" t="n">
        <v>4</v>
      </c>
      <c r="M35" t="n">
        <v>1</v>
      </c>
      <c r="N35" t="n">
        <v>1</v>
      </c>
      <c r="O35" t="n">
        <v>4</v>
      </c>
      <c r="P35" t="n">
        <v>2</v>
      </c>
      <c r="Q35" t="n">
        <v>3</v>
      </c>
      <c r="R35" t="n">
        <v>1</v>
      </c>
    </row>
    <row r="36">
      <c r="A36" t="inlineStr">
        <is>
          <t>BSC2/015</t>
        </is>
      </c>
      <c r="B36" t="inlineStr">
        <is>
          <t>Student 35</t>
        </is>
      </c>
      <c r="C36" t="inlineStr">
        <is>
          <t>Basic 2</t>
        </is>
      </c>
      <c r="D36" t="inlineStr">
        <is>
          <t>A</t>
        </is>
      </c>
      <c r="E36" t="inlineStr">
        <is>
          <t>M</t>
        </is>
      </c>
      <c r="F36" t="n">
        <v>55</v>
      </c>
      <c r="G36" t="n">
        <v>1</v>
      </c>
      <c r="H36" t="inlineStr">
        <is>
          <t>Red</t>
        </is>
      </c>
      <c r="I36" t="inlineStr">
        <is>
          <t>234700000035</t>
        </is>
      </c>
      <c r="J36" t="inlineStr">
        <is>
          <t>student35.parent@example.com</t>
        </is>
      </c>
      <c r="K36" t="n">
        <v>3</v>
      </c>
      <c r="L36" t="n">
        <v>4</v>
      </c>
      <c r="M36" t="n">
        <v>2</v>
      </c>
      <c r="N36" t="n">
        <v>2</v>
      </c>
      <c r="O36" t="n">
        <v>5</v>
      </c>
      <c r="P36" t="n">
        <v>4</v>
      </c>
      <c r="Q36" t="n">
        <v>5</v>
      </c>
      <c r="R36" t="n">
        <v>2</v>
      </c>
    </row>
    <row r="37">
      <c r="A37" t="inlineStr">
        <is>
          <t>BSC2/016</t>
        </is>
      </c>
      <c r="B37" t="inlineStr">
        <is>
          <t>Student 36</t>
        </is>
      </c>
      <c r="C37" t="inlineStr">
        <is>
          <t>Basic 2</t>
        </is>
      </c>
      <c r="D37" t="inlineStr">
        <is>
          <t>B</t>
        </is>
      </c>
      <c r="E37" t="inlineStr">
        <is>
          <t>M</t>
        </is>
      </c>
      <c r="F37" t="n">
        <v>50</v>
      </c>
      <c r="G37" t="n">
        <v>2</v>
      </c>
      <c r="H37" t="inlineStr">
        <is>
          <t>Nil</t>
        </is>
      </c>
      <c r="I37" t="inlineStr">
        <is>
          <t>234700000036</t>
        </is>
      </c>
      <c r="J37" t="inlineStr">
        <is>
          <t>student36.parent@example.com</t>
        </is>
      </c>
      <c r="K37" t="n">
        <v>5</v>
      </c>
      <c r="L37" t="n">
        <v>2</v>
      </c>
      <c r="M37" t="n">
        <v>4</v>
      </c>
      <c r="N37" t="n">
        <v>5</v>
      </c>
      <c r="O37" t="n">
        <v>2</v>
      </c>
      <c r="P37" t="n">
        <v>2</v>
      </c>
      <c r="Q37" t="n">
        <v>4</v>
      </c>
      <c r="R37" t="n">
        <v>3</v>
      </c>
    </row>
    <row r="38">
      <c r="A38" t="inlineStr">
        <is>
          <t>BSC2/017</t>
        </is>
      </c>
      <c r="B38" t="inlineStr">
        <is>
          <t>Student 37</t>
        </is>
      </c>
      <c r="C38" t="inlineStr">
        <is>
          <t>Basic 2</t>
        </is>
      </c>
      <c r="D38" t="inlineStr">
        <is>
          <t>Silver</t>
        </is>
      </c>
      <c r="E38" t="inlineStr">
        <is>
          <t>M</t>
        </is>
      </c>
      <c r="F38" t="n">
        <v>53</v>
      </c>
      <c r="G38" t="n">
        <v>0</v>
      </c>
      <c r="H38" t="inlineStr">
        <is>
          <t>Gold</t>
        </is>
      </c>
      <c r="I38" t="inlineStr">
        <is>
          <t>234700000037</t>
        </is>
      </c>
      <c r="J38" t="inlineStr">
        <is>
          <t>student37.parent@example.com</t>
        </is>
      </c>
      <c r="K38" t="n">
        <v>5</v>
      </c>
      <c r="L38" t="n">
        <v>2</v>
      </c>
      <c r="M38" t="n">
        <v>1</v>
      </c>
      <c r="N38" t="n">
        <v>4</v>
      </c>
      <c r="O38" t="n">
        <v>3</v>
      </c>
      <c r="P38" t="n">
        <v>5</v>
      </c>
      <c r="Q38" t="n">
        <v>3</v>
      </c>
      <c r="R38" t="n">
        <v>4</v>
      </c>
    </row>
    <row r="39">
      <c r="A39" t="inlineStr">
        <is>
          <t>BSC2/018</t>
        </is>
      </c>
      <c r="B39" t="inlineStr">
        <is>
          <t>Student 38</t>
        </is>
      </c>
      <c r="C39" t="inlineStr">
        <is>
          <t>Basic 2</t>
        </is>
      </c>
      <c r="D39" t="inlineStr">
        <is>
          <t>Gold</t>
        </is>
      </c>
      <c r="E39" t="inlineStr">
        <is>
          <t>M</t>
        </is>
      </c>
      <c r="F39" t="n">
        <v>59</v>
      </c>
      <c r="G39" t="n">
        <v>9</v>
      </c>
      <c r="H39" t="inlineStr">
        <is>
          <t>Blue</t>
        </is>
      </c>
      <c r="I39" t="inlineStr">
        <is>
          <t>234700000038</t>
        </is>
      </c>
      <c r="J39" t="inlineStr">
        <is>
          <t>student38.parent@example.com</t>
        </is>
      </c>
      <c r="K39" t="n">
        <v>4</v>
      </c>
      <c r="L39" t="n">
        <v>1</v>
      </c>
      <c r="M39" t="n">
        <v>2</v>
      </c>
      <c r="N39" t="n">
        <v>4</v>
      </c>
      <c r="O39" t="n">
        <v>5</v>
      </c>
      <c r="P39" t="n">
        <v>3</v>
      </c>
      <c r="Q39" t="n">
        <v>5</v>
      </c>
      <c r="R39" t="n">
        <v>3</v>
      </c>
    </row>
    <row r="40">
      <c r="A40" t="inlineStr">
        <is>
          <t>BSC2/019</t>
        </is>
      </c>
      <c r="B40" t="inlineStr">
        <is>
          <t>Student 39</t>
        </is>
      </c>
      <c r="C40" t="inlineStr">
        <is>
          <t>Basic 2</t>
        </is>
      </c>
      <c r="D40" t="inlineStr">
        <is>
          <t>Gold</t>
        </is>
      </c>
      <c r="E40" t="inlineStr">
        <is>
          <t>F</t>
        </is>
      </c>
      <c r="F40" t="n">
        <v>45</v>
      </c>
      <c r="G40" t="n">
        <v>12</v>
      </c>
      <c r="H40" t="inlineStr">
        <is>
          <t>Red</t>
        </is>
      </c>
      <c r="I40" t="inlineStr">
        <is>
          <t>234700000039</t>
        </is>
      </c>
      <c r="J40" t="inlineStr">
        <is>
          <t>student39.parent@example.com</t>
        </is>
      </c>
      <c r="K40" t="n">
        <v>5</v>
      </c>
      <c r="L40" t="n">
        <v>1</v>
      </c>
      <c r="M40" t="n">
        <v>5</v>
      </c>
      <c r="N40" t="n">
        <v>4</v>
      </c>
      <c r="O40" t="n">
        <v>3</v>
      </c>
      <c r="P40" t="n">
        <v>2</v>
      </c>
      <c r="Q40" t="n">
        <v>5</v>
      </c>
      <c r="R40" t="n">
        <v>3</v>
      </c>
    </row>
    <row r="41">
      <c r="A41" t="inlineStr">
        <is>
          <t>BSC3/001</t>
        </is>
      </c>
      <c r="B41" t="inlineStr">
        <is>
          <t>Student 40</t>
        </is>
      </c>
      <c r="C41" t="inlineStr">
        <is>
          <t>Basic 3</t>
        </is>
      </c>
      <c r="D41" t="inlineStr">
        <is>
          <t>Science</t>
        </is>
      </c>
      <c r="E41" t="inlineStr">
        <is>
          <t>M</t>
        </is>
      </c>
      <c r="F41" t="n">
        <v>49</v>
      </c>
      <c r="G41" t="n">
        <v>8</v>
      </c>
      <c r="H41" t="inlineStr">
        <is>
          <t>Green</t>
        </is>
      </c>
      <c r="I41" t="inlineStr">
        <is>
          <t>234700000040</t>
        </is>
      </c>
      <c r="J41" t="inlineStr">
        <is>
          <t>student40.parent@example.com</t>
        </is>
      </c>
      <c r="K41" t="n">
        <v>4</v>
      </c>
      <c r="L41" t="n">
        <v>3</v>
      </c>
      <c r="M41" t="n">
        <v>5</v>
      </c>
      <c r="N41" t="n">
        <v>1</v>
      </c>
      <c r="O41" t="n">
        <v>5</v>
      </c>
      <c r="P41" t="n">
        <v>1</v>
      </c>
      <c r="Q41" t="n">
        <v>3</v>
      </c>
      <c r="R41" t="n">
        <v>1</v>
      </c>
    </row>
    <row r="42">
      <c r="A42" t="inlineStr">
        <is>
          <t>BSC3/002</t>
        </is>
      </c>
      <c r="B42" t="inlineStr">
        <is>
          <t>Student 41</t>
        </is>
      </c>
      <c r="C42" t="inlineStr">
        <is>
          <t>Basic 3</t>
        </is>
      </c>
      <c r="D42" t="inlineStr">
        <is>
          <t>B</t>
        </is>
      </c>
      <c r="E42" t="inlineStr">
        <is>
          <t>F</t>
        </is>
      </c>
      <c r="F42" t="n">
        <v>53</v>
      </c>
      <c r="G42" t="n">
        <v>14</v>
      </c>
      <c r="H42" t="inlineStr">
        <is>
          <t>Nil</t>
        </is>
      </c>
      <c r="I42" t="inlineStr">
        <is>
          <t>234700000041</t>
        </is>
      </c>
      <c r="J42" t="inlineStr">
        <is>
          <t>student41.parent@example.com</t>
        </is>
      </c>
      <c r="K42" t="n">
        <v>4</v>
      </c>
      <c r="L42" t="n">
        <v>1</v>
      </c>
      <c r="M42" t="n">
        <v>2</v>
      </c>
      <c r="N42" t="n">
        <v>4</v>
      </c>
      <c r="O42" t="n">
        <v>3</v>
      </c>
      <c r="P42" t="n">
        <v>1</v>
      </c>
      <c r="Q42" t="n">
        <v>4</v>
      </c>
      <c r="R42" t="n">
        <v>1</v>
      </c>
    </row>
    <row r="43">
      <c r="A43" t="inlineStr">
        <is>
          <t>BSC3/003</t>
        </is>
      </c>
      <c r="B43" t="inlineStr">
        <is>
          <t>Student 42</t>
        </is>
      </c>
      <c r="C43" t="inlineStr">
        <is>
          <t>Basic 3</t>
        </is>
      </c>
      <c r="D43" t="inlineStr">
        <is>
          <t>Silver</t>
        </is>
      </c>
      <c r="E43" t="inlineStr">
        <is>
          <t>M</t>
        </is>
      </c>
      <c r="F43" t="n">
        <v>56</v>
      </c>
      <c r="G43" t="n">
        <v>7</v>
      </c>
      <c r="H43" t="inlineStr">
        <is>
          <t>Gold</t>
        </is>
      </c>
      <c r="I43" t="inlineStr">
        <is>
          <t>234700000042</t>
        </is>
      </c>
      <c r="J43" t="inlineStr">
        <is>
          <t>student42.parent@example.com</t>
        </is>
      </c>
      <c r="K43" t="n">
        <v>3</v>
      </c>
      <c r="L43" t="n">
        <v>2</v>
      </c>
      <c r="M43" t="n">
        <v>1</v>
      </c>
      <c r="N43" t="n">
        <v>3</v>
      </c>
      <c r="O43" t="n">
        <v>1</v>
      </c>
      <c r="P43" t="n">
        <v>3</v>
      </c>
      <c r="Q43" t="n">
        <v>2</v>
      </c>
      <c r="R43" t="n">
        <v>2</v>
      </c>
    </row>
    <row r="44">
      <c r="A44" t="inlineStr">
        <is>
          <t>BSC3/004</t>
        </is>
      </c>
      <c r="B44" t="inlineStr">
        <is>
          <t>Student 43</t>
        </is>
      </c>
      <c r="C44" t="inlineStr">
        <is>
          <t>Basic 3</t>
        </is>
      </c>
      <c r="D44" t="inlineStr">
        <is>
          <t>A</t>
        </is>
      </c>
      <c r="E44" t="inlineStr">
        <is>
          <t>F</t>
        </is>
      </c>
      <c r="F44" t="n">
        <v>54</v>
      </c>
      <c r="G44" t="n">
        <v>15</v>
      </c>
      <c r="H44" t="inlineStr">
        <is>
          <t>Blue</t>
        </is>
      </c>
      <c r="I44" t="inlineStr">
        <is>
          <t>234700000043</t>
        </is>
      </c>
      <c r="J44" t="inlineStr">
        <is>
          <t>student43.parent@example.com</t>
        </is>
      </c>
      <c r="K44" t="n">
        <v>4</v>
      </c>
      <c r="L44" t="n">
        <v>4</v>
      </c>
      <c r="M44" t="n">
        <v>5</v>
      </c>
      <c r="N44" t="n">
        <v>1</v>
      </c>
      <c r="O44" t="n">
        <v>1</v>
      </c>
      <c r="P44" t="n">
        <v>1</v>
      </c>
      <c r="Q44" t="n">
        <v>3</v>
      </c>
      <c r="R44" t="n">
        <v>2</v>
      </c>
    </row>
    <row r="45">
      <c r="A45" t="inlineStr">
        <is>
          <t>BSC3/005</t>
        </is>
      </c>
      <c r="B45" t="inlineStr">
        <is>
          <t>Student 44</t>
        </is>
      </c>
      <c r="C45" t="inlineStr">
        <is>
          <t>Basic 3</t>
        </is>
      </c>
      <c r="D45" t="inlineStr">
        <is>
          <t>B</t>
        </is>
      </c>
      <c r="E45" t="inlineStr">
        <is>
          <t>F</t>
        </is>
      </c>
      <c r="F45" t="n">
        <v>58</v>
      </c>
      <c r="G45" t="n">
        <v>3</v>
      </c>
      <c r="H45" t="inlineStr">
        <is>
          <t>Red</t>
        </is>
      </c>
      <c r="I45" t="inlineStr">
        <is>
          <t>234700000044</t>
        </is>
      </c>
      <c r="J45" t="inlineStr">
        <is>
          <t>student44.parent@example.com</t>
        </is>
      </c>
      <c r="K45" t="n">
        <v>3</v>
      </c>
      <c r="L45" t="n">
        <v>1</v>
      </c>
      <c r="M45" t="n">
        <v>1</v>
      </c>
      <c r="N45" t="n">
        <v>2</v>
      </c>
      <c r="O45" t="n">
        <v>4</v>
      </c>
      <c r="P45" t="n">
        <v>5</v>
      </c>
      <c r="Q45" t="n">
        <v>4</v>
      </c>
      <c r="R45" t="n">
        <v>1</v>
      </c>
    </row>
    <row r="46">
      <c r="A46" t="inlineStr">
        <is>
          <t>BSC3/006</t>
        </is>
      </c>
      <c r="B46" t="inlineStr">
        <is>
          <t>Student 45</t>
        </is>
      </c>
      <c r="C46" t="inlineStr">
        <is>
          <t>Basic 3</t>
        </is>
      </c>
      <c r="D46" t="inlineStr">
        <is>
          <t>A</t>
        </is>
      </c>
      <c r="E46" t="inlineStr">
        <is>
          <t>F</t>
        </is>
      </c>
      <c r="F46" t="n">
        <v>60</v>
      </c>
      <c r="G46" t="n">
        <v>0</v>
      </c>
      <c r="H46" t="inlineStr">
        <is>
          <t>Nil</t>
        </is>
      </c>
      <c r="I46" t="inlineStr">
        <is>
          <t>234700000045</t>
        </is>
      </c>
      <c r="J46" t="inlineStr">
        <is>
          <t>student45.parent@example.com</t>
        </is>
      </c>
      <c r="K46" t="n">
        <v>2</v>
      </c>
      <c r="L46" t="n">
        <v>2</v>
      </c>
      <c r="M46" t="n">
        <v>3</v>
      </c>
      <c r="N46" t="n">
        <v>4</v>
      </c>
      <c r="O46" t="n">
        <v>1</v>
      </c>
      <c r="P46" t="n">
        <v>5</v>
      </c>
      <c r="Q46" t="n">
        <v>3</v>
      </c>
      <c r="R46" t="n">
        <v>2</v>
      </c>
    </row>
    <row r="47">
      <c r="A47" t="inlineStr">
        <is>
          <t>BSC3/007</t>
        </is>
      </c>
      <c r="B47" t="inlineStr">
        <is>
          <t>Student 46</t>
        </is>
      </c>
      <c r="C47" t="inlineStr">
        <is>
          <t>Basic 3</t>
        </is>
      </c>
      <c r="D47" t="inlineStr">
        <is>
          <t>Science</t>
        </is>
      </c>
      <c r="E47" t="inlineStr">
        <is>
          <t>M</t>
        </is>
      </c>
      <c r="F47" t="n">
        <v>58</v>
      </c>
      <c r="G47" t="n">
        <v>5</v>
      </c>
      <c r="H47" t="inlineStr">
        <is>
          <t>Green</t>
        </is>
      </c>
      <c r="I47" t="inlineStr">
        <is>
          <t>234700000046</t>
        </is>
      </c>
      <c r="J47" t="inlineStr">
        <is>
          <t>student46.parent@example.com</t>
        </is>
      </c>
      <c r="K47" t="n">
        <v>3</v>
      </c>
      <c r="L47" t="n">
        <v>1</v>
      </c>
      <c r="M47" t="n">
        <v>5</v>
      </c>
      <c r="N47" t="n">
        <v>5</v>
      </c>
      <c r="O47" t="n">
        <v>5</v>
      </c>
      <c r="P47" t="n">
        <v>5</v>
      </c>
      <c r="Q47" t="n">
        <v>5</v>
      </c>
      <c r="R47" t="n">
        <v>1</v>
      </c>
    </row>
    <row r="48">
      <c r="A48" t="inlineStr">
        <is>
          <t>BSC3/008</t>
        </is>
      </c>
      <c r="B48" t="inlineStr">
        <is>
          <t>Student 47</t>
        </is>
      </c>
      <c r="C48" t="inlineStr">
        <is>
          <t>Basic 3</t>
        </is>
      </c>
      <c r="D48" t="inlineStr">
        <is>
          <t>Silver</t>
        </is>
      </c>
      <c r="E48" t="inlineStr">
        <is>
          <t>M</t>
        </is>
      </c>
      <c r="F48" t="n">
        <v>60</v>
      </c>
      <c r="G48" t="n">
        <v>1</v>
      </c>
      <c r="H48" t="inlineStr">
        <is>
          <t>Gold</t>
        </is>
      </c>
      <c r="I48" t="inlineStr">
        <is>
          <t>234700000047</t>
        </is>
      </c>
      <c r="J48" t="inlineStr">
        <is>
          <t>student47.parent@example.com</t>
        </is>
      </c>
      <c r="K48" t="n">
        <v>3</v>
      </c>
      <c r="L48" t="n">
        <v>1</v>
      </c>
      <c r="M48" t="n">
        <v>3</v>
      </c>
      <c r="N48" t="n">
        <v>1</v>
      </c>
      <c r="O48" t="n">
        <v>3</v>
      </c>
      <c r="P48" t="n">
        <v>2</v>
      </c>
      <c r="Q48" t="n">
        <v>1</v>
      </c>
      <c r="R48" t="n">
        <v>5</v>
      </c>
    </row>
    <row r="49">
      <c r="A49" t="inlineStr">
        <is>
          <t>BSC3/009</t>
        </is>
      </c>
      <c r="B49" t="inlineStr">
        <is>
          <t>Student 48</t>
        </is>
      </c>
      <c r="C49" t="inlineStr">
        <is>
          <t>Basic 3</t>
        </is>
      </c>
      <c r="D49" t="inlineStr">
        <is>
          <t>Gold</t>
        </is>
      </c>
      <c r="E49" t="inlineStr">
        <is>
          <t>M</t>
        </is>
      </c>
      <c r="F49" t="n">
        <v>49</v>
      </c>
      <c r="G49" t="n">
        <v>1</v>
      </c>
      <c r="H49" t="inlineStr">
        <is>
          <t>Red</t>
        </is>
      </c>
      <c r="I49" t="inlineStr">
        <is>
          <t>234700000048</t>
        </is>
      </c>
      <c r="J49" t="inlineStr">
        <is>
          <t>student48.parent@example.com</t>
        </is>
      </c>
      <c r="K49" t="n">
        <v>3</v>
      </c>
      <c r="L49" t="n">
        <v>2</v>
      </c>
      <c r="M49" t="n">
        <v>4</v>
      </c>
      <c r="N49" t="n">
        <v>4</v>
      </c>
      <c r="O49" t="n">
        <v>2</v>
      </c>
      <c r="P49" t="n">
        <v>2</v>
      </c>
      <c r="Q49" t="n">
        <v>1</v>
      </c>
      <c r="R49" t="n">
        <v>4</v>
      </c>
    </row>
    <row r="50">
      <c r="A50" t="inlineStr">
        <is>
          <t>BSC3/010</t>
        </is>
      </c>
      <c r="B50" t="inlineStr">
        <is>
          <t>Student 49</t>
        </is>
      </c>
      <c r="C50" t="inlineStr">
        <is>
          <t>Basic 3</t>
        </is>
      </c>
      <c r="D50" t="inlineStr">
        <is>
          <t>A</t>
        </is>
      </c>
      <c r="E50" t="inlineStr">
        <is>
          <t>M</t>
        </is>
      </c>
      <c r="F50" t="n">
        <v>54</v>
      </c>
      <c r="G50" t="n">
        <v>6</v>
      </c>
      <c r="H50" t="inlineStr">
        <is>
          <t>Green</t>
        </is>
      </c>
      <c r="I50" t="inlineStr">
        <is>
          <t>234700000049</t>
        </is>
      </c>
      <c r="J50" t="inlineStr">
        <is>
          <t>student49.parent@example.com</t>
        </is>
      </c>
      <c r="K50" t="n">
        <v>2</v>
      </c>
      <c r="L50" t="n">
        <v>1</v>
      </c>
      <c r="M50" t="n">
        <v>3</v>
      </c>
      <c r="N50" t="n">
        <v>3</v>
      </c>
      <c r="O50" t="n">
        <v>5</v>
      </c>
      <c r="P50" t="n">
        <v>4</v>
      </c>
      <c r="Q50" t="n">
        <v>5</v>
      </c>
      <c r="R50" t="n">
        <v>4</v>
      </c>
    </row>
    <row r="51">
      <c r="A51" t="inlineStr">
        <is>
          <t>BSC3/011</t>
        </is>
      </c>
      <c r="B51" t="inlineStr">
        <is>
          <t>Student 50</t>
        </is>
      </c>
      <c r="C51" t="inlineStr">
        <is>
          <t>Basic 3</t>
        </is>
      </c>
      <c r="D51" t="inlineStr">
        <is>
          <t>Gold</t>
        </is>
      </c>
      <c r="E51" t="inlineStr">
        <is>
          <t>M</t>
        </is>
      </c>
      <c r="F51" t="n">
        <v>46</v>
      </c>
      <c r="G51" t="n">
        <v>6</v>
      </c>
      <c r="H51" t="inlineStr">
        <is>
          <t>Red</t>
        </is>
      </c>
      <c r="I51" t="inlineStr">
        <is>
          <t>234700000050</t>
        </is>
      </c>
      <c r="J51" t="inlineStr">
        <is>
          <t>student50.parent@example.com</t>
        </is>
      </c>
      <c r="K51" t="n">
        <v>1</v>
      </c>
      <c r="L51" t="n">
        <v>3</v>
      </c>
      <c r="M51" t="n">
        <v>3</v>
      </c>
      <c r="N51" t="n">
        <v>1</v>
      </c>
      <c r="O51" t="n">
        <v>3</v>
      </c>
      <c r="P51" t="n">
        <v>4</v>
      </c>
      <c r="Q51" t="n">
        <v>4</v>
      </c>
      <c r="R51" t="n">
        <v>4</v>
      </c>
    </row>
    <row r="52">
      <c r="A52" t="inlineStr">
        <is>
          <t>BSC3/012</t>
        </is>
      </c>
      <c r="B52" t="inlineStr">
        <is>
          <t>Student 51</t>
        </is>
      </c>
      <c r="C52" t="inlineStr">
        <is>
          <t>Basic 3</t>
        </is>
      </c>
      <c r="D52" t="inlineStr">
        <is>
          <t>Silver</t>
        </is>
      </c>
      <c r="E52" t="inlineStr">
        <is>
          <t>M</t>
        </is>
      </c>
      <c r="F52" t="n">
        <v>55</v>
      </c>
      <c r="G52" t="n">
        <v>5</v>
      </c>
      <c r="H52" t="inlineStr">
        <is>
          <t>Gold</t>
        </is>
      </c>
      <c r="I52" t="inlineStr">
        <is>
          <t>234700000051</t>
        </is>
      </c>
      <c r="J52" t="inlineStr">
        <is>
          <t>student51.parent@example.com</t>
        </is>
      </c>
      <c r="K52" t="n">
        <v>4</v>
      </c>
      <c r="L52" t="n">
        <v>3</v>
      </c>
      <c r="M52" t="n">
        <v>5</v>
      </c>
      <c r="N52" t="n">
        <v>3</v>
      </c>
      <c r="O52" t="n">
        <v>1</v>
      </c>
      <c r="P52" t="n">
        <v>4</v>
      </c>
      <c r="Q52" t="n">
        <v>1</v>
      </c>
      <c r="R52" t="n">
        <v>4</v>
      </c>
    </row>
    <row r="53">
      <c r="A53" t="inlineStr">
        <is>
          <t>BSC3/013</t>
        </is>
      </c>
      <c r="B53" t="inlineStr">
        <is>
          <t>Student 52</t>
        </is>
      </c>
      <c r="C53" t="inlineStr">
        <is>
          <t>Basic 3</t>
        </is>
      </c>
      <c r="D53" t="inlineStr">
        <is>
          <t>Science</t>
        </is>
      </c>
      <c r="E53" t="inlineStr">
        <is>
          <t>F</t>
        </is>
      </c>
      <c r="F53" t="n">
        <v>50</v>
      </c>
      <c r="G53" t="n">
        <v>9</v>
      </c>
      <c r="H53" t="inlineStr">
        <is>
          <t>Red</t>
        </is>
      </c>
      <c r="I53" t="inlineStr">
        <is>
          <t>234700000052</t>
        </is>
      </c>
      <c r="J53" t="inlineStr">
        <is>
          <t>student52.parent@example.com</t>
        </is>
      </c>
      <c r="K53" t="n">
        <v>1</v>
      </c>
      <c r="L53" t="n">
        <v>3</v>
      </c>
      <c r="M53" t="n">
        <v>3</v>
      </c>
      <c r="N53" t="n">
        <v>3</v>
      </c>
      <c r="O53" t="n">
        <v>4</v>
      </c>
      <c r="P53" t="n">
        <v>5</v>
      </c>
      <c r="Q53" t="n">
        <v>4</v>
      </c>
      <c r="R53" t="n">
        <v>2</v>
      </c>
    </row>
    <row r="54">
      <c r="A54" t="inlineStr">
        <is>
          <t>BSC3/014</t>
        </is>
      </c>
      <c r="B54" t="inlineStr">
        <is>
          <t>Student 53</t>
        </is>
      </c>
      <c r="C54" t="inlineStr">
        <is>
          <t>Basic 3</t>
        </is>
      </c>
      <c r="D54" t="inlineStr">
        <is>
          <t>Silver</t>
        </is>
      </c>
      <c r="E54" t="inlineStr">
        <is>
          <t>F</t>
        </is>
      </c>
      <c r="F54" t="n">
        <v>56</v>
      </c>
      <c r="G54" t="n">
        <v>14</v>
      </c>
      <c r="H54" t="inlineStr">
        <is>
          <t>Green</t>
        </is>
      </c>
      <c r="I54" t="inlineStr">
        <is>
          <t>234700000053</t>
        </is>
      </c>
      <c r="J54" t="inlineStr">
        <is>
          <t>student53.parent@example.com</t>
        </is>
      </c>
      <c r="K54" t="n">
        <v>3</v>
      </c>
      <c r="L54" t="n">
        <v>5</v>
      </c>
      <c r="M54" t="n">
        <v>4</v>
      </c>
      <c r="N54" t="n">
        <v>3</v>
      </c>
      <c r="O54" t="n">
        <v>1</v>
      </c>
      <c r="P54" t="n">
        <v>1</v>
      </c>
      <c r="Q54" t="n">
        <v>4</v>
      </c>
      <c r="R54" t="n">
        <v>3</v>
      </c>
    </row>
    <row r="55">
      <c r="A55" t="inlineStr">
        <is>
          <t>BSC3/015</t>
        </is>
      </c>
      <c r="B55" t="inlineStr">
        <is>
          <t>Student 54</t>
        </is>
      </c>
      <c r="C55" t="inlineStr">
        <is>
          <t>Basic 3</t>
        </is>
      </c>
      <c r="D55" t="inlineStr">
        <is>
          <t>Science</t>
        </is>
      </c>
      <c r="E55" t="inlineStr">
        <is>
          <t>F</t>
        </is>
      </c>
      <c r="F55" t="n">
        <v>50</v>
      </c>
      <c r="G55" t="n">
        <v>0</v>
      </c>
      <c r="H55" t="inlineStr">
        <is>
          <t>Blue</t>
        </is>
      </c>
      <c r="I55" t="inlineStr">
        <is>
          <t>234700000054</t>
        </is>
      </c>
      <c r="J55" t="inlineStr">
        <is>
          <t>student54.parent@example.com</t>
        </is>
      </c>
      <c r="K55" t="n">
        <v>4</v>
      </c>
      <c r="L55" t="n">
        <v>1</v>
      </c>
      <c r="M55" t="n">
        <v>2</v>
      </c>
      <c r="N55" t="n">
        <v>1</v>
      </c>
      <c r="O55" t="n">
        <v>2</v>
      </c>
      <c r="P55" t="n">
        <v>3</v>
      </c>
      <c r="Q55" t="n">
        <v>3</v>
      </c>
      <c r="R55" t="n">
        <v>4</v>
      </c>
    </row>
    <row r="56">
      <c r="A56" t="inlineStr">
        <is>
          <t>BSC3/016</t>
        </is>
      </c>
      <c r="B56" t="inlineStr">
        <is>
          <t>Student 55</t>
        </is>
      </c>
      <c r="C56" t="inlineStr">
        <is>
          <t>Basic 3</t>
        </is>
      </c>
      <c r="D56" t="inlineStr">
        <is>
          <t>Science</t>
        </is>
      </c>
      <c r="E56" t="inlineStr">
        <is>
          <t>M</t>
        </is>
      </c>
      <c r="F56" t="n">
        <v>46</v>
      </c>
      <c r="G56" t="n">
        <v>4</v>
      </c>
      <c r="H56" t="inlineStr">
        <is>
          <t>Gold</t>
        </is>
      </c>
      <c r="I56" t="inlineStr">
        <is>
          <t>234700000055</t>
        </is>
      </c>
      <c r="J56" t="inlineStr">
        <is>
          <t>student55.parent@example.com</t>
        </is>
      </c>
      <c r="K56" t="n">
        <v>3</v>
      </c>
      <c r="L56" t="n">
        <v>4</v>
      </c>
      <c r="M56" t="n">
        <v>1</v>
      </c>
      <c r="N56" t="n">
        <v>5</v>
      </c>
      <c r="O56" t="n">
        <v>2</v>
      </c>
      <c r="P56" t="n">
        <v>5</v>
      </c>
      <c r="Q56" t="n">
        <v>3</v>
      </c>
      <c r="R56" t="n">
        <v>4</v>
      </c>
    </row>
    <row r="57">
      <c r="A57" t="inlineStr">
        <is>
          <t>BSC3/017</t>
        </is>
      </c>
      <c r="B57" t="inlineStr">
        <is>
          <t>Student 56</t>
        </is>
      </c>
      <c r="C57" t="inlineStr">
        <is>
          <t>Basic 3</t>
        </is>
      </c>
      <c r="D57" t="inlineStr">
        <is>
          <t>Gold</t>
        </is>
      </c>
      <c r="E57" t="inlineStr">
        <is>
          <t>M</t>
        </is>
      </c>
      <c r="F57" t="n">
        <v>53</v>
      </c>
      <c r="G57" t="n">
        <v>7</v>
      </c>
      <c r="H57" t="inlineStr">
        <is>
          <t>Green</t>
        </is>
      </c>
      <c r="I57" t="inlineStr">
        <is>
          <t>234700000056</t>
        </is>
      </c>
      <c r="J57" t="inlineStr">
        <is>
          <t>student56.parent@example.com</t>
        </is>
      </c>
      <c r="K57" t="n">
        <v>2</v>
      </c>
      <c r="L57" t="n">
        <v>4</v>
      </c>
      <c r="M57" t="n">
        <v>5</v>
      </c>
      <c r="N57" t="n">
        <v>4</v>
      </c>
      <c r="O57" t="n">
        <v>5</v>
      </c>
      <c r="P57" t="n">
        <v>1</v>
      </c>
      <c r="Q57" t="n">
        <v>3</v>
      </c>
      <c r="R57" t="n">
        <v>3</v>
      </c>
    </row>
    <row r="58">
      <c r="A58" t="inlineStr">
        <is>
          <t>BSC3/018</t>
        </is>
      </c>
      <c r="B58" t="inlineStr">
        <is>
          <t>Student 57</t>
        </is>
      </c>
      <c r="C58" t="inlineStr">
        <is>
          <t>Basic 3</t>
        </is>
      </c>
      <c r="D58" t="inlineStr">
        <is>
          <t>Silver</t>
        </is>
      </c>
      <c r="E58" t="inlineStr">
        <is>
          <t>F</t>
        </is>
      </c>
      <c r="F58" t="n">
        <v>51</v>
      </c>
      <c r="G58" t="n">
        <v>9</v>
      </c>
      <c r="H58" t="inlineStr">
        <is>
          <t>Gold</t>
        </is>
      </c>
      <c r="I58" t="inlineStr">
        <is>
          <t>234700000057</t>
        </is>
      </c>
      <c r="J58" t="inlineStr">
        <is>
          <t>student57.parent@example.com</t>
        </is>
      </c>
      <c r="K58" t="n">
        <v>1</v>
      </c>
      <c r="L58" t="n">
        <v>2</v>
      </c>
      <c r="M58" t="n">
        <v>1</v>
      </c>
      <c r="N58" t="n">
        <v>4</v>
      </c>
      <c r="O58" t="n">
        <v>2</v>
      </c>
      <c r="P58" t="n">
        <v>4</v>
      </c>
      <c r="Q58" t="n">
        <v>1</v>
      </c>
      <c r="R58" t="n">
        <v>3</v>
      </c>
    </row>
    <row r="59">
      <c r="A59" t="inlineStr">
        <is>
          <t>BSC3/019</t>
        </is>
      </c>
      <c r="B59" t="inlineStr">
        <is>
          <t>Student 58</t>
        </is>
      </c>
      <c r="C59" t="inlineStr">
        <is>
          <t>Basic 3</t>
        </is>
      </c>
      <c r="D59" t="inlineStr">
        <is>
          <t>Gold</t>
        </is>
      </c>
      <c r="E59" t="inlineStr">
        <is>
          <t>F</t>
        </is>
      </c>
      <c r="F59" t="n">
        <v>47</v>
      </c>
      <c r="G59" t="n">
        <v>9</v>
      </c>
      <c r="H59" t="inlineStr">
        <is>
          <t>Red</t>
        </is>
      </c>
      <c r="I59" t="inlineStr">
        <is>
          <t>234700000058</t>
        </is>
      </c>
      <c r="J59" t="inlineStr">
        <is>
          <t>student58.parent@example.com</t>
        </is>
      </c>
      <c r="K59" t="n">
        <v>2</v>
      </c>
      <c r="L59" t="n">
        <v>3</v>
      </c>
      <c r="M59" t="n">
        <v>5</v>
      </c>
      <c r="N59" t="n">
        <v>2</v>
      </c>
      <c r="O59" t="n">
        <v>1</v>
      </c>
      <c r="P59" t="n">
        <v>2</v>
      </c>
      <c r="Q59" t="n">
        <v>2</v>
      </c>
      <c r="R59" t="n">
        <v>2</v>
      </c>
    </row>
    <row r="60">
      <c r="A60" t="inlineStr">
        <is>
          <t>BSC3/020</t>
        </is>
      </c>
      <c r="B60" t="inlineStr">
        <is>
          <t>Student 59</t>
        </is>
      </c>
      <c r="C60" t="inlineStr">
        <is>
          <t>Basic 3</t>
        </is>
      </c>
      <c r="D60" t="inlineStr">
        <is>
          <t>Silver</t>
        </is>
      </c>
      <c r="E60" t="inlineStr">
        <is>
          <t>F</t>
        </is>
      </c>
      <c r="F60" t="n">
        <v>45</v>
      </c>
      <c r="G60" t="n">
        <v>11</v>
      </c>
      <c r="H60" t="inlineStr">
        <is>
          <t>Nil</t>
        </is>
      </c>
      <c r="I60" t="inlineStr">
        <is>
          <t>234700000059</t>
        </is>
      </c>
      <c r="J60" t="inlineStr">
        <is>
          <t>student59.parent@example.com</t>
        </is>
      </c>
      <c r="K60" t="n">
        <v>3</v>
      </c>
      <c r="L60" t="n">
        <v>4</v>
      </c>
      <c r="M60" t="n">
        <v>5</v>
      </c>
      <c r="N60" t="n">
        <v>2</v>
      </c>
      <c r="O60" t="n">
        <v>5</v>
      </c>
      <c r="P60" t="n">
        <v>1</v>
      </c>
      <c r="Q60" t="n">
        <v>1</v>
      </c>
      <c r="R60" t="n">
        <v>3</v>
      </c>
    </row>
    <row r="61">
      <c r="A61" t="inlineStr">
        <is>
          <t>BSC4/001</t>
        </is>
      </c>
      <c r="B61" t="inlineStr">
        <is>
          <t>Student 60</t>
        </is>
      </c>
      <c r="C61" t="inlineStr">
        <is>
          <t>Basic 4</t>
        </is>
      </c>
      <c r="D61" t="inlineStr">
        <is>
          <t>Silver</t>
        </is>
      </c>
      <c r="E61" t="inlineStr">
        <is>
          <t>F</t>
        </is>
      </c>
      <c r="F61" t="n">
        <v>46</v>
      </c>
      <c r="G61" t="n">
        <v>11</v>
      </c>
      <c r="H61" t="inlineStr">
        <is>
          <t>Gold</t>
        </is>
      </c>
      <c r="I61" t="inlineStr">
        <is>
          <t>234700000060</t>
        </is>
      </c>
      <c r="J61" t="inlineStr">
        <is>
          <t>student60.parent@example.com</t>
        </is>
      </c>
      <c r="K61" t="n">
        <v>5</v>
      </c>
      <c r="L61" t="n">
        <v>3</v>
      </c>
      <c r="M61" t="n">
        <v>4</v>
      </c>
      <c r="N61" t="n">
        <v>4</v>
      </c>
      <c r="O61" t="n">
        <v>2</v>
      </c>
      <c r="P61" t="n">
        <v>3</v>
      </c>
      <c r="Q61" t="n">
        <v>4</v>
      </c>
      <c r="R61" t="n">
        <v>2</v>
      </c>
    </row>
    <row r="62">
      <c r="A62" t="inlineStr">
        <is>
          <t>BSC4/002</t>
        </is>
      </c>
      <c r="B62" t="inlineStr">
        <is>
          <t>Student 61</t>
        </is>
      </c>
      <c r="C62" t="inlineStr">
        <is>
          <t>Basic 4</t>
        </is>
      </c>
      <c r="D62" t="inlineStr">
        <is>
          <t>Science</t>
        </is>
      </c>
      <c r="E62" t="inlineStr">
        <is>
          <t>M</t>
        </is>
      </c>
      <c r="F62" t="n">
        <v>60</v>
      </c>
      <c r="G62" t="n">
        <v>7</v>
      </c>
      <c r="H62" t="inlineStr">
        <is>
          <t>Blue</t>
        </is>
      </c>
      <c r="I62" t="inlineStr">
        <is>
          <t>234700000061</t>
        </is>
      </c>
      <c r="J62" t="inlineStr">
        <is>
          <t>student61.parent@example.com</t>
        </is>
      </c>
      <c r="K62" t="n">
        <v>2</v>
      </c>
      <c r="L62" t="n">
        <v>4</v>
      </c>
      <c r="M62" t="n">
        <v>1</v>
      </c>
      <c r="N62" t="n">
        <v>5</v>
      </c>
      <c r="O62" t="n">
        <v>4</v>
      </c>
      <c r="P62" t="n">
        <v>4</v>
      </c>
      <c r="Q62" t="n">
        <v>5</v>
      </c>
      <c r="R62" t="n">
        <v>5</v>
      </c>
    </row>
    <row r="63">
      <c r="A63" t="inlineStr">
        <is>
          <t>BSC4/003</t>
        </is>
      </c>
      <c r="B63" t="inlineStr">
        <is>
          <t>Student 62</t>
        </is>
      </c>
      <c r="C63" t="inlineStr">
        <is>
          <t>Basic 4</t>
        </is>
      </c>
      <c r="D63" t="inlineStr">
        <is>
          <t>B</t>
        </is>
      </c>
      <c r="E63" t="inlineStr">
        <is>
          <t>F</t>
        </is>
      </c>
      <c r="F63" t="n">
        <v>57</v>
      </c>
      <c r="G63" t="n">
        <v>7</v>
      </c>
      <c r="H63" t="inlineStr">
        <is>
          <t>Red</t>
        </is>
      </c>
      <c r="I63" t="inlineStr">
        <is>
          <t>234700000062</t>
        </is>
      </c>
      <c r="J63" t="inlineStr">
        <is>
          <t>student62.parent@example.com</t>
        </is>
      </c>
      <c r="K63" t="n">
        <v>3</v>
      </c>
      <c r="L63" t="n">
        <v>1</v>
      </c>
      <c r="M63" t="n">
        <v>4</v>
      </c>
      <c r="N63" t="n">
        <v>3</v>
      </c>
      <c r="O63" t="n">
        <v>1</v>
      </c>
      <c r="P63" t="n">
        <v>5</v>
      </c>
      <c r="Q63" t="n">
        <v>2</v>
      </c>
      <c r="R63" t="n">
        <v>1</v>
      </c>
    </row>
    <row r="64">
      <c r="A64" t="inlineStr">
        <is>
          <t>BSC4/004</t>
        </is>
      </c>
      <c r="B64" t="inlineStr">
        <is>
          <t>Student 63</t>
        </is>
      </c>
      <c r="C64" t="inlineStr">
        <is>
          <t>Basic 4</t>
        </is>
      </c>
      <c r="D64" t="inlineStr">
        <is>
          <t>Gold</t>
        </is>
      </c>
      <c r="E64" t="inlineStr">
        <is>
          <t>M</t>
        </is>
      </c>
      <c r="F64" t="n">
        <v>57</v>
      </c>
      <c r="G64" t="n">
        <v>1</v>
      </c>
      <c r="H64" t="inlineStr">
        <is>
          <t>Green</t>
        </is>
      </c>
      <c r="I64" t="inlineStr">
        <is>
          <t>234700000063</t>
        </is>
      </c>
      <c r="J64" t="inlineStr">
        <is>
          <t>student63.parent@example.com</t>
        </is>
      </c>
      <c r="K64" t="n">
        <v>5</v>
      </c>
      <c r="L64" t="n">
        <v>5</v>
      </c>
      <c r="M64" t="n">
        <v>2</v>
      </c>
      <c r="N64" t="n">
        <v>4</v>
      </c>
      <c r="O64" t="n">
        <v>2</v>
      </c>
      <c r="P64" t="n">
        <v>3</v>
      </c>
      <c r="Q64" t="n">
        <v>3</v>
      </c>
      <c r="R64" t="n">
        <v>1</v>
      </c>
    </row>
    <row r="65">
      <c r="A65" t="inlineStr">
        <is>
          <t>BSC4/005</t>
        </is>
      </c>
      <c r="B65" t="inlineStr">
        <is>
          <t>Student 64</t>
        </is>
      </c>
      <c r="C65" t="inlineStr">
        <is>
          <t>Basic 4</t>
        </is>
      </c>
      <c r="D65" t="inlineStr">
        <is>
          <t>B</t>
        </is>
      </c>
      <c r="E65" t="inlineStr">
        <is>
          <t>F</t>
        </is>
      </c>
      <c r="F65" t="n">
        <v>51</v>
      </c>
      <c r="G65" t="n">
        <v>3</v>
      </c>
      <c r="H65" t="inlineStr">
        <is>
          <t>Gold</t>
        </is>
      </c>
      <c r="I65" t="inlineStr">
        <is>
          <t>234700000064</t>
        </is>
      </c>
      <c r="J65" t="inlineStr">
        <is>
          <t>student64.parent@example.com</t>
        </is>
      </c>
      <c r="K65" t="n">
        <v>5</v>
      </c>
      <c r="L65" t="n">
        <v>2</v>
      </c>
      <c r="M65" t="n">
        <v>4</v>
      </c>
      <c r="N65" t="n">
        <v>2</v>
      </c>
      <c r="O65" t="n">
        <v>5</v>
      </c>
      <c r="P65" t="n">
        <v>3</v>
      </c>
      <c r="Q65" t="n">
        <v>3</v>
      </c>
      <c r="R65" t="n">
        <v>4</v>
      </c>
    </row>
    <row r="66">
      <c r="A66" t="inlineStr">
        <is>
          <t>BSC4/006</t>
        </is>
      </c>
      <c r="B66" t="inlineStr">
        <is>
          <t>Student 65</t>
        </is>
      </c>
      <c r="C66" t="inlineStr">
        <is>
          <t>Basic 4</t>
        </is>
      </c>
      <c r="D66" t="inlineStr">
        <is>
          <t>Silver</t>
        </is>
      </c>
      <c r="E66" t="inlineStr">
        <is>
          <t>M</t>
        </is>
      </c>
      <c r="F66" t="n">
        <v>56</v>
      </c>
      <c r="G66" t="n">
        <v>9</v>
      </c>
      <c r="H66" t="inlineStr">
        <is>
          <t>Red</t>
        </is>
      </c>
      <c r="I66" t="inlineStr">
        <is>
          <t>234700000065</t>
        </is>
      </c>
      <c r="J66" t="inlineStr">
        <is>
          <t>student65.parent@example.com</t>
        </is>
      </c>
      <c r="K66" t="n">
        <v>5</v>
      </c>
      <c r="L66" t="n">
        <v>4</v>
      </c>
      <c r="M66" t="n">
        <v>4</v>
      </c>
      <c r="N66" t="n">
        <v>1</v>
      </c>
      <c r="O66" t="n">
        <v>4</v>
      </c>
      <c r="P66" t="n">
        <v>3</v>
      </c>
      <c r="Q66" t="n">
        <v>2</v>
      </c>
      <c r="R66" t="n">
        <v>3</v>
      </c>
    </row>
    <row r="67">
      <c r="A67" t="inlineStr">
        <is>
          <t>BSC4/007</t>
        </is>
      </c>
      <c r="B67" t="inlineStr">
        <is>
          <t>Student 66</t>
        </is>
      </c>
      <c r="C67" t="inlineStr">
        <is>
          <t>Basic 4</t>
        </is>
      </c>
      <c r="D67" t="inlineStr">
        <is>
          <t>Gold</t>
        </is>
      </c>
      <c r="E67" t="inlineStr">
        <is>
          <t>M</t>
        </is>
      </c>
      <c r="F67" t="n">
        <v>58</v>
      </c>
      <c r="G67" t="n">
        <v>1</v>
      </c>
      <c r="H67" t="inlineStr">
        <is>
          <t>Nil</t>
        </is>
      </c>
      <c r="I67" t="inlineStr">
        <is>
          <t>234700000066</t>
        </is>
      </c>
      <c r="J67" t="inlineStr">
        <is>
          <t>student66.parent@example.com</t>
        </is>
      </c>
      <c r="K67" t="n">
        <v>2</v>
      </c>
      <c r="L67" t="n">
        <v>1</v>
      </c>
      <c r="M67" t="n">
        <v>3</v>
      </c>
      <c r="N67" t="n">
        <v>5</v>
      </c>
      <c r="O67" t="n">
        <v>5</v>
      </c>
      <c r="P67" t="n">
        <v>5</v>
      </c>
      <c r="Q67" t="n">
        <v>4</v>
      </c>
      <c r="R67" t="n">
        <v>3</v>
      </c>
    </row>
    <row r="68">
      <c r="A68" t="inlineStr">
        <is>
          <t>BSC4/008</t>
        </is>
      </c>
      <c r="B68" t="inlineStr">
        <is>
          <t>Student 67</t>
        </is>
      </c>
      <c r="C68" t="inlineStr">
        <is>
          <t>Basic 4</t>
        </is>
      </c>
      <c r="D68" t="inlineStr">
        <is>
          <t>B</t>
        </is>
      </c>
      <c r="E68" t="inlineStr">
        <is>
          <t>F</t>
        </is>
      </c>
      <c r="F68" t="n">
        <v>51</v>
      </c>
      <c r="G68" t="n">
        <v>10</v>
      </c>
      <c r="H68" t="inlineStr">
        <is>
          <t>Blue</t>
        </is>
      </c>
      <c r="I68" t="inlineStr">
        <is>
          <t>234700000067</t>
        </is>
      </c>
      <c r="J68" t="inlineStr">
        <is>
          <t>student67.parent@example.com</t>
        </is>
      </c>
      <c r="K68" t="n">
        <v>5</v>
      </c>
      <c r="L68" t="n">
        <v>2</v>
      </c>
      <c r="M68" t="n">
        <v>4</v>
      </c>
      <c r="N68" t="n">
        <v>5</v>
      </c>
      <c r="O68" t="n">
        <v>3</v>
      </c>
      <c r="P68" t="n">
        <v>3</v>
      </c>
      <c r="Q68" t="n">
        <v>4</v>
      </c>
      <c r="R68" t="n">
        <v>4</v>
      </c>
    </row>
    <row r="69">
      <c r="A69" t="inlineStr">
        <is>
          <t>BSC4/009</t>
        </is>
      </c>
      <c r="B69" t="inlineStr">
        <is>
          <t>Student 68</t>
        </is>
      </c>
      <c r="C69" t="inlineStr">
        <is>
          <t>Basic 4</t>
        </is>
      </c>
      <c r="D69" t="inlineStr">
        <is>
          <t>Silver</t>
        </is>
      </c>
      <c r="E69" t="inlineStr">
        <is>
          <t>M</t>
        </is>
      </c>
      <c r="F69" t="n">
        <v>50</v>
      </c>
      <c r="G69" t="n">
        <v>11</v>
      </c>
      <c r="H69" t="inlineStr">
        <is>
          <t>Blue</t>
        </is>
      </c>
      <c r="I69" t="inlineStr">
        <is>
          <t>234700000068</t>
        </is>
      </c>
      <c r="J69" t="inlineStr">
        <is>
          <t>student68.parent@example.com</t>
        </is>
      </c>
      <c r="K69" t="n">
        <v>5</v>
      </c>
      <c r="L69" t="n">
        <v>4</v>
      </c>
      <c r="M69" t="n">
        <v>2</v>
      </c>
      <c r="N69" t="n">
        <v>5</v>
      </c>
      <c r="O69" t="n">
        <v>1</v>
      </c>
      <c r="P69" t="n">
        <v>5</v>
      </c>
      <c r="Q69" t="n">
        <v>1</v>
      </c>
      <c r="R69" t="n">
        <v>1</v>
      </c>
    </row>
    <row r="70">
      <c r="A70" t="inlineStr">
        <is>
          <t>BSC4/010</t>
        </is>
      </c>
      <c r="B70" t="inlineStr">
        <is>
          <t>Student 69</t>
        </is>
      </c>
      <c r="C70" t="inlineStr">
        <is>
          <t>Basic 4</t>
        </is>
      </c>
      <c r="D70" t="inlineStr">
        <is>
          <t>A</t>
        </is>
      </c>
      <c r="E70" t="inlineStr">
        <is>
          <t>F</t>
        </is>
      </c>
      <c r="F70" t="n">
        <v>45</v>
      </c>
      <c r="G70" t="n">
        <v>13</v>
      </c>
      <c r="H70" t="inlineStr">
        <is>
          <t>Blue</t>
        </is>
      </c>
      <c r="I70" t="inlineStr">
        <is>
          <t>234700000069</t>
        </is>
      </c>
      <c r="J70" t="inlineStr">
        <is>
          <t>student69.parent@example.com</t>
        </is>
      </c>
      <c r="K70" t="n">
        <v>2</v>
      </c>
      <c r="L70" t="n">
        <v>1</v>
      </c>
      <c r="M70" t="n">
        <v>2</v>
      </c>
      <c r="N70" t="n">
        <v>1</v>
      </c>
      <c r="O70" t="n">
        <v>2</v>
      </c>
      <c r="P70" t="n">
        <v>5</v>
      </c>
      <c r="Q70" t="n">
        <v>4</v>
      </c>
      <c r="R70" t="n">
        <v>3</v>
      </c>
    </row>
    <row r="71">
      <c r="A71" t="inlineStr">
        <is>
          <t>BSC4/011</t>
        </is>
      </c>
      <c r="B71" t="inlineStr">
        <is>
          <t>Student 70</t>
        </is>
      </c>
      <c r="C71" t="inlineStr">
        <is>
          <t>Basic 4</t>
        </is>
      </c>
      <c r="D71" t="inlineStr">
        <is>
          <t>A</t>
        </is>
      </c>
      <c r="E71" t="inlineStr">
        <is>
          <t>M</t>
        </is>
      </c>
      <c r="F71" t="n">
        <v>60</v>
      </c>
      <c r="G71" t="n">
        <v>15</v>
      </c>
      <c r="H71" t="inlineStr">
        <is>
          <t>Green</t>
        </is>
      </c>
      <c r="I71" t="inlineStr">
        <is>
          <t>234700000070</t>
        </is>
      </c>
      <c r="J71" t="inlineStr">
        <is>
          <t>student70.parent@example.com</t>
        </is>
      </c>
      <c r="K71" t="n">
        <v>5</v>
      </c>
      <c r="L71" t="n">
        <v>5</v>
      </c>
      <c r="M71" t="n">
        <v>4</v>
      </c>
      <c r="N71" t="n">
        <v>1</v>
      </c>
      <c r="O71" t="n">
        <v>1</v>
      </c>
      <c r="P71" t="n">
        <v>5</v>
      </c>
      <c r="Q71" t="n">
        <v>3</v>
      </c>
      <c r="R71" t="n">
        <v>5</v>
      </c>
    </row>
    <row r="72">
      <c r="A72" t="inlineStr">
        <is>
          <t>BSC4/012</t>
        </is>
      </c>
      <c r="B72" t="inlineStr">
        <is>
          <t>Student 71</t>
        </is>
      </c>
      <c r="C72" t="inlineStr">
        <is>
          <t>Basic 4</t>
        </is>
      </c>
      <c r="D72" t="inlineStr">
        <is>
          <t>Gold</t>
        </is>
      </c>
      <c r="E72" t="inlineStr">
        <is>
          <t>F</t>
        </is>
      </c>
      <c r="F72" t="n">
        <v>45</v>
      </c>
      <c r="G72" t="n">
        <v>13</v>
      </c>
      <c r="H72" t="inlineStr">
        <is>
          <t>Blue</t>
        </is>
      </c>
      <c r="I72" t="inlineStr">
        <is>
          <t>234700000071</t>
        </is>
      </c>
      <c r="J72" t="inlineStr">
        <is>
          <t>student71.parent@example.com</t>
        </is>
      </c>
      <c r="K72" t="n">
        <v>1</v>
      </c>
      <c r="L72" t="n">
        <v>5</v>
      </c>
      <c r="M72" t="n">
        <v>2</v>
      </c>
      <c r="N72" t="n">
        <v>2</v>
      </c>
      <c r="O72" t="n">
        <v>2</v>
      </c>
      <c r="P72" t="n">
        <v>5</v>
      </c>
      <c r="Q72" t="n">
        <v>5</v>
      </c>
      <c r="R72" t="n">
        <v>3</v>
      </c>
    </row>
    <row r="73">
      <c r="A73" t="inlineStr">
        <is>
          <t>BSC4/013</t>
        </is>
      </c>
      <c r="B73" t="inlineStr">
        <is>
          <t>Student 72</t>
        </is>
      </c>
      <c r="C73" t="inlineStr">
        <is>
          <t>Basic 4</t>
        </is>
      </c>
      <c r="D73" t="inlineStr">
        <is>
          <t>Gold</t>
        </is>
      </c>
      <c r="E73" t="inlineStr">
        <is>
          <t>F</t>
        </is>
      </c>
      <c r="F73" t="n">
        <v>53</v>
      </c>
      <c r="G73" t="n">
        <v>12</v>
      </c>
      <c r="H73" t="inlineStr">
        <is>
          <t>Green</t>
        </is>
      </c>
      <c r="I73" t="inlineStr">
        <is>
          <t>234700000072</t>
        </is>
      </c>
      <c r="J73" t="inlineStr">
        <is>
          <t>student72.parent@example.com</t>
        </is>
      </c>
      <c r="K73" t="n">
        <v>4</v>
      </c>
      <c r="L73" t="n">
        <v>4</v>
      </c>
      <c r="M73" t="n">
        <v>5</v>
      </c>
      <c r="N73" t="n">
        <v>2</v>
      </c>
      <c r="O73" t="n">
        <v>2</v>
      </c>
      <c r="P73" t="n">
        <v>3</v>
      </c>
      <c r="Q73" t="n">
        <v>1</v>
      </c>
      <c r="R73" t="n">
        <v>1</v>
      </c>
    </row>
    <row r="74">
      <c r="A74" t="inlineStr">
        <is>
          <t>BSC4/014</t>
        </is>
      </c>
      <c r="B74" t="inlineStr">
        <is>
          <t>Student 73</t>
        </is>
      </c>
      <c r="C74" t="inlineStr">
        <is>
          <t>Basic 4</t>
        </is>
      </c>
      <c r="D74" t="inlineStr">
        <is>
          <t>A</t>
        </is>
      </c>
      <c r="E74" t="inlineStr">
        <is>
          <t>F</t>
        </is>
      </c>
      <c r="F74" t="n">
        <v>57</v>
      </c>
      <c r="G74" t="n">
        <v>12</v>
      </c>
      <c r="H74" t="inlineStr">
        <is>
          <t>Gold</t>
        </is>
      </c>
      <c r="I74" t="inlineStr">
        <is>
          <t>234700000073</t>
        </is>
      </c>
      <c r="J74" t="inlineStr">
        <is>
          <t>student73.parent@example.com</t>
        </is>
      </c>
      <c r="K74" t="n">
        <v>4</v>
      </c>
      <c r="L74" t="n">
        <v>1</v>
      </c>
      <c r="M74" t="n">
        <v>1</v>
      </c>
      <c r="N74" t="n">
        <v>2</v>
      </c>
      <c r="O74" t="n">
        <v>1</v>
      </c>
      <c r="P74" t="n">
        <v>4</v>
      </c>
      <c r="Q74" t="n">
        <v>4</v>
      </c>
      <c r="R74" t="n">
        <v>3</v>
      </c>
    </row>
    <row r="75">
      <c r="A75" t="inlineStr">
        <is>
          <t>BSC4/015</t>
        </is>
      </c>
      <c r="B75" t="inlineStr">
        <is>
          <t>Student 74</t>
        </is>
      </c>
      <c r="C75" t="inlineStr">
        <is>
          <t>Basic 4</t>
        </is>
      </c>
      <c r="D75" t="inlineStr">
        <is>
          <t>Science</t>
        </is>
      </c>
      <c r="E75" t="inlineStr">
        <is>
          <t>M</t>
        </is>
      </c>
      <c r="F75" t="n">
        <v>48</v>
      </c>
      <c r="G75" t="n">
        <v>1</v>
      </c>
      <c r="H75" t="inlineStr">
        <is>
          <t>Blue</t>
        </is>
      </c>
      <c r="I75" t="inlineStr">
        <is>
          <t>234700000074</t>
        </is>
      </c>
      <c r="J75" t="inlineStr">
        <is>
          <t>student74.parent@example.com</t>
        </is>
      </c>
      <c r="K75" t="n">
        <v>5</v>
      </c>
      <c r="L75" t="n">
        <v>4</v>
      </c>
      <c r="M75" t="n">
        <v>3</v>
      </c>
      <c r="N75" t="n">
        <v>1</v>
      </c>
      <c r="O75" t="n">
        <v>1</v>
      </c>
      <c r="P75" t="n">
        <v>3</v>
      </c>
      <c r="Q75" t="n">
        <v>5</v>
      </c>
      <c r="R75" t="n">
        <v>5</v>
      </c>
    </row>
    <row r="76">
      <c r="A76" t="inlineStr">
        <is>
          <t>BSC4/016</t>
        </is>
      </c>
      <c r="B76" t="inlineStr">
        <is>
          <t>Student 75</t>
        </is>
      </c>
      <c r="C76" t="inlineStr">
        <is>
          <t>Basic 4</t>
        </is>
      </c>
      <c r="D76" t="inlineStr">
        <is>
          <t>A</t>
        </is>
      </c>
      <c r="E76" t="inlineStr">
        <is>
          <t>F</t>
        </is>
      </c>
      <c r="F76" t="n">
        <v>50</v>
      </c>
      <c r="G76" t="n">
        <v>10</v>
      </c>
      <c r="H76" t="inlineStr">
        <is>
          <t>Green</t>
        </is>
      </c>
      <c r="I76" t="inlineStr">
        <is>
          <t>234700000075</t>
        </is>
      </c>
      <c r="J76" t="inlineStr">
        <is>
          <t>student75.parent@example.com</t>
        </is>
      </c>
      <c r="K76" t="n">
        <v>5</v>
      </c>
      <c r="L76" t="n">
        <v>2</v>
      </c>
      <c r="M76" t="n">
        <v>4</v>
      </c>
      <c r="N76" t="n">
        <v>1</v>
      </c>
      <c r="O76" t="n">
        <v>3</v>
      </c>
      <c r="P76" t="n">
        <v>2</v>
      </c>
      <c r="Q76" t="n">
        <v>5</v>
      </c>
      <c r="R76" t="n">
        <v>2</v>
      </c>
    </row>
    <row r="77">
      <c r="A77" t="inlineStr">
        <is>
          <t>BSC4/017</t>
        </is>
      </c>
      <c r="B77" t="inlineStr">
        <is>
          <t>Student 76</t>
        </is>
      </c>
      <c r="C77" t="inlineStr">
        <is>
          <t>Basic 4</t>
        </is>
      </c>
      <c r="D77" t="inlineStr">
        <is>
          <t>Science</t>
        </is>
      </c>
      <c r="E77" t="inlineStr">
        <is>
          <t>M</t>
        </is>
      </c>
      <c r="F77" t="n">
        <v>57</v>
      </c>
      <c r="G77" t="n">
        <v>10</v>
      </c>
      <c r="H77" t="inlineStr">
        <is>
          <t>Gold</t>
        </is>
      </c>
      <c r="I77" t="inlineStr">
        <is>
          <t>234700000076</t>
        </is>
      </c>
      <c r="J77" t="inlineStr">
        <is>
          <t>student76.parent@example.com</t>
        </is>
      </c>
      <c r="K77" t="n">
        <v>2</v>
      </c>
      <c r="L77" t="n">
        <v>1</v>
      </c>
      <c r="M77" t="n">
        <v>5</v>
      </c>
      <c r="N77" t="n">
        <v>3</v>
      </c>
      <c r="O77" t="n">
        <v>1</v>
      </c>
      <c r="P77" t="n">
        <v>1</v>
      </c>
      <c r="Q77" t="n">
        <v>4</v>
      </c>
      <c r="R77" t="n">
        <v>2</v>
      </c>
    </row>
    <row r="78">
      <c r="A78" t="inlineStr">
        <is>
          <t>BSC4/018</t>
        </is>
      </c>
      <c r="B78" t="inlineStr">
        <is>
          <t>Student 77</t>
        </is>
      </c>
      <c r="C78" t="inlineStr">
        <is>
          <t>Basic 4</t>
        </is>
      </c>
      <c r="D78" t="inlineStr">
        <is>
          <t>A</t>
        </is>
      </c>
      <c r="E78" t="inlineStr">
        <is>
          <t>M</t>
        </is>
      </c>
      <c r="F78" t="n">
        <v>55</v>
      </c>
      <c r="G78" t="n">
        <v>12</v>
      </c>
      <c r="H78" t="inlineStr">
        <is>
          <t>Red</t>
        </is>
      </c>
      <c r="I78" t="inlineStr">
        <is>
          <t>234700000077</t>
        </is>
      </c>
      <c r="J78" t="inlineStr">
        <is>
          <t>student77.parent@example.com</t>
        </is>
      </c>
      <c r="K78" t="n">
        <v>3</v>
      </c>
      <c r="L78" t="n">
        <v>4</v>
      </c>
      <c r="M78" t="n">
        <v>4</v>
      </c>
      <c r="N78" t="n">
        <v>2</v>
      </c>
      <c r="O78" t="n">
        <v>3</v>
      </c>
      <c r="P78" t="n">
        <v>5</v>
      </c>
      <c r="Q78" t="n">
        <v>4</v>
      </c>
      <c r="R78" t="n">
        <v>4</v>
      </c>
    </row>
    <row r="79">
      <c r="A79" t="inlineStr">
        <is>
          <t>BSC5/001</t>
        </is>
      </c>
      <c r="B79" t="inlineStr">
        <is>
          <t>Student 78</t>
        </is>
      </c>
      <c r="C79" t="inlineStr">
        <is>
          <t>Basic 5</t>
        </is>
      </c>
      <c r="D79" t="inlineStr">
        <is>
          <t>A</t>
        </is>
      </c>
      <c r="E79" t="inlineStr">
        <is>
          <t>M</t>
        </is>
      </c>
      <c r="F79" t="n">
        <v>52</v>
      </c>
      <c r="G79" t="n">
        <v>15</v>
      </c>
      <c r="H79" t="inlineStr">
        <is>
          <t>Gold</t>
        </is>
      </c>
      <c r="I79" t="inlineStr">
        <is>
          <t>234700000078</t>
        </is>
      </c>
      <c r="J79" t="inlineStr">
        <is>
          <t>student78.parent@example.com</t>
        </is>
      </c>
      <c r="K79" t="n">
        <v>2</v>
      </c>
      <c r="L79" t="n">
        <v>4</v>
      </c>
      <c r="M79" t="n">
        <v>5</v>
      </c>
      <c r="N79" t="n">
        <v>1</v>
      </c>
      <c r="O79" t="n">
        <v>5</v>
      </c>
      <c r="P79" t="n">
        <v>1</v>
      </c>
      <c r="Q79" t="n">
        <v>3</v>
      </c>
      <c r="R79" t="n">
        <v>3</v>
      </c>
    </row>
    <row r="80">
      <c r="A80" t="inlineStr">
        <is>
          <t>BSC5/002</t>
        </is>
      </c>
      <c r="B80" t="inlineStr">
        <is>
          <t>Student 79</t>
        </is>
      </c>
      <c r="C80" t="inlineStr">
        <is>
          <t>Basic 5</t>
        </is>
      </c>
      <c r="D80" t="inlineStr">
        <is>
          <t>B</t>
        </is>
      </c>
      <c r="E80" t="inlineStr">
        <is>
          <t>M</t>
        </is>
      </c>
      <c r="F80" t="n">
        <v>57</v>
      </c>
      <c r="G80" t="n">
        <v>13</v>
      </c>
      <c r="H80" t="inlineStr">
        <is>
          <t>Red</t>
        </is>
      </c>
      <c r="I80" t="inlineStr">
        <is>
          <t>234700000079</t>
        </is>
      </c>
      <c r="J80" t="inlineStr">
        <is>
          <t>student79.parent@example.com</t>
        </is>
      </c>
      <c r="K80" t="n">
        <v>2</v>
      </c>
      <c r="L80" t="n">
        <v>4</v>
      </c>
      <c r="M80" t="n">
        <v>1</v>
      </c>
      <c r="N80" t="n">
        <v>1</v>
      </c>
      <c r="O80" t="n">
        <v>5</v>
      </c>
      <c r="P80" t="n">
        <v>1</v>
      </c>
      <c r="Q80" t="n">
        <v>1</v>
      </c>
      <c r="R80" t="n">
        <v>3</v>
      </c>
    </row>
    <row r="81">
      <c r="A81" t="inlineStr">
        <is>
          <t>BSC5/003</t>
        </is>
      </c>
      <c r="B81" t="inlineStr">
        <is>
          <t>Student 80</t>
        </is>
      </c>
      <c r="C81" t="inlineStr">
        <is>
          <t>Basic 5</t>
        </is>
      </c>
      <c r="D81" t="inlineStr">
        <is>
          <t>B</t>
        </is>
      </c>
      <c r="E81" t="inlineStr">
        <is>
          <t>F</t>
        </is>
      </c>
      <c r="F81" t="n">
        <v>46</v>
      </c>
      <c r="G81" t="n">
        <v>1</v>
      </c>
      <c r="H81" t="inlineStr">
        <is>
          <t>Gold</t>
        </is>
      </c>
      <c r="I81" t="inlineStr">
        <is>
          <t>234700000080</t>
        </is>
      </c>
      <c r="J81" t="inlineStr">
        <is>
          <t>student80.parent@example.com</t>
        </is>
      </c>
      <c r="K81" t="n">
        <v>3</v>
      </c>
      <c r="L81" t="n">
        <v>5</v>
      </c>
      <c r="M81" t="n">
        <v>4</v>
      </c>
      <c r="N81" t="n">
        <v>4</v>
      </c>
      <c r="O81" t="n">
        <v>4</v>
      </c>
      <c r="P81" t="n">
        <v>1</v>
      </c>
      <c r="Q81" t="n">
        <v>5</v>
      </c>
      <c r="R81" t="n">
        <v>5</v>
      </c>
    </row>
    <row r="82">
      <c r="A82" t="inlineStr">
        <is>
          <t>BSC5/004</t>
        </is>
      </c>
      <c r="B82" t="inlineStr">
        <is>
          <t>Student 81</t>
        </is>
      </c>
      <c r="C82" t="inlineStr">
        <is>
          <t>Basic 5</t>
        </is>
      </c>
      <c r="D82" t="inlineStr">
        <is>
          <t>Science</t>
        </is>
      </c>
      <c r="E82" t="inlineStr">
        <is>
          <t>F</t>
        </is>
      </c>
      <c r="F82" t="n">
        <v>49</v>
      </c>
      <c r="G82" t="n">
        <v>8</v>
      </c>
      <c r="H82" t="inlineStr">
        <is>
          <t>Green</t>
        </is>
      </c>
      <c r="I82" t="inlineStr">
        <is>
          <t>234700000081</t>
        </is>
      </c>
      <c r="J82" t="inlineStr">
        <is>
          <t>student81.parent@example.com</t>
        </is>
      </c>
      <c r="K82" t="n">
        <v>1</v>
      </c>
      <c r="L82" t="n">
        <v>5</v>
      </c>
      <c r="M82" t="n">
        <v>2</v>
      </c>
      <c r="N82" t="n">
        <v>2</v>
      </c>
      <c r="O82" t="n">
        <v>5</v>
      </c>
      <c r="P82" t="n">
        <v>3</v>
      </c>
      <c r="Q82" t="n">
        <v>4</v>
      </c>
      <c r="R82" t="n">
        <v>5</v>
      </c>
    </row>
    <row r="83">
      <c r="A83" t="inlineStr">
        <is>
          <t>BSC5/005</t>
        </is>
      </c>
      <c r="B83" t="inlineStr">
        <is>
          <t>Student 82</t>
        </is>
      </c>
      <c r="C83" t="inlineStr">
        <is>
          <t>Basic 5</t>
        </is>
      </c>
      <c r="D83" t="inlineStr">
        <is>
          <t>A</t>
        </is>
      </c>
      <c r="E83" t="inlineStr">
        <is>
          <t>M</t>
        </is>
      </c>
      <c r="F83" t="n">
        <v>54</v>
      </c>
      <c r="G83" t="n">
        <v>13</v>
      </c>
      <c r="H83" t="inlineStr">
        <is>
          <t>Blue</t>
        </is>
      </c>
      <c r="I83" t="inlineStr">
        <is>
          <t>234700000082</t>
        </is>
      </c>
      <c r="J83" t="inlineStr">
        <is>
          <t>student82.parent@example.com</t>
        </is>
      </c>
      <c r="K83" t="n">
        <v>2</v>
      </c>
      <c r="L83" t="n">
        <v>1</v>
      </c>
      <c r="M83" t="n">
        <v>4</v>
      </c>
      <c r="N83" t="n">
        <v>1</v>
      </c>
      <c r="O83" t="n">
        <v>4</v>
      </c>
      <c r="P83" t="n">
        <v>5</v>
      </c>
      <c r="Q83" t="n">
        <v>5</v>
      </c>
      <c r="R83" t="n">
        <v>1</v>
      </c>
    </row>
    <row r="84">
      <c r="A84" t="inlineStr">
        <is>
          <t>BSC5/006</t>
        </is>
      </c>
      <c r="B84" t="inlineStr">
        <is>
          <t>Student 83</t>
        </is>
      </c>
      <c r="C84" t="inlineStr">
        <is>
          <t>Basic 5</t>
        </is>
      </c>
      <c r="D84" t="inlineStr">
        <is>
          <t>Gold</t>
        </is>
      </c>
      <c r="E84" t="inlineStr">
        <is>
          <t>F</t>
        </is>
      </c>
      <c r="F84" t="n">
        <v>50</v>
      </c>
      <c r="G84" t="n">
        <v>3</v>
      </c>
      <c r="H84" t="inlineStr">
        <is>
          <t>Green</t>
        </is>
      </c>
      <c r="I84" t="inlineStr">
        <is>
          <t>234700000083</t>
        </is>
      </c>
      <c r="J84" t="inlineStr">
        <is>
          <t>student83.parent@example.com</t>
        </is>
      </c>
      <c r="K84" t="n">
        <v>2</v>
      </c>
      <c r="L84" t="n">
        <v>1</v>
      </c>
      <c r="M84" t="n">
        <v>2</v>
      </c>
      <c r="N84" t="n">
        <v>4</v>
      </c>
      <c r="O84" t="n">
        <v>3</v>
      </c>
      <c r="P84" t="n">
        <v>5</v>
      </c>
      <c r="Q84" t="n">
        <v>5</v>
      </c>
      <c r="R84" t="n">
        <v>3</v>
      </c>
    </row>
    <row r="85">
      <c r="A85" t="inlineStr">
        <is>
          <t>BSC5/007</t>
        </is>
      </c>
      <c r="B85" t="inlineStr">
        <is>
          <t>Student 84</t>
        </is>
      </c>
      <c r="C85" t="inlineStr">
        <is>
          <t>Basic 5</t>
        </is>
      </c>
      <c r="D85" t="inlineStr">
        <is>
          <t>B</t>
        </is>
      </c>
      <c r="E85" t="inlineStr">
        <is>
          <t>M</t>
        </is>
      </c>
      <c r="F85" t="n">
        <v>56</v>
      </c>
      <c r="G85" t="n">
        <v>4</v>
      </c>
      <c r="H85" t="inlineStr">
        <is>
          <t>Red</t>
        </is>
      </c>
      <c r="I85" t="inlineStr">
        <is>
          <t>234700000084</t>
        </is>
      </c>
      <c r="J85" t="inlineStr">
        <is>
          <t>student84.parent@example.com</t>
        </is>
      </c>
      <c r="K85" t="n">
        <v>1</v>
      </c>
      <c r="L85" t="n">
        <v>1</v>
      </c>
      <c r="M85" t="n">
        <v>3</v>
      </c>
      <c r="N85" t="n">
        <v>4</v>
      </c>
      <c r="O85" t="n">
        <v>3</v>
      </c>
      <c r="P85" t="n">
        <v>5</v>
      </c>
      <c r="Q85" t="n">
        <v>1</v>
      </c>
      <c r="R85" t="n">
        <v>3</v>
      </c>
    </row>
    <row r="86">
      <c r="A86" t="inlineStr">
        <is>
          <t>BSC5/008</t>
        </is>
      </c>
      <c r="B86" t="inlineStr">
        <is>
          <t>Student 85</t>
        </is>
      </c>
      <c r="C86" t="inlineStr">
        <is>
          <t>Basic 5</t>
        </is>
      </c>
      <c r="D86" t="inlineStr">
        <is>
          <t>Science</t>
        </is>
      </c>
      <c r="E86" t="inlineStr">
        <is>
          <t>M</t>
        </is>
      </c>
      <c r="F86" t="n">
        <v>47</v>
      </c>
      <c r="G86" t="n">
        <v>15</v>
      </c>
      <c r="H86" t="inlineStr">
        <is>
          <t>Gold</t>
        </is>
      </c>
      <c r="I86" t="inlineStr">
        <is>
          <t>234700000085</t>
        </is>
      </c>
      <c r="J86" t="inlineStr">
        <is>
          <t>student85.parent@example.com</t>
        </is>
      </c>
      <c r="K86" t="n">
        <v>3</v>
      </c>
      <c r="L86" t="n">
        <v>1</v>
      </c>
      <c r="M86" t="n">
        <v>4</v>
      </c>
      <c r="N86" t="n">
        <v>5</v>
      </c>
      <c r="O86" t="n">
        <v>2</v>
      </c>
      <c r="P86" t="n">
        <v>3</v>
      </c>
      <c r="Q86" t="n">
        <v>2</v>
      </c>
      <c r="R86" t="n">
        <v>3</v>
      </c>
    </row>
    <row r="87">
      <c r="A87" t="inlineStr">
        <is>
          <t>BSC5/009</t>
        </is>
      </c>
      <c r="B87" t="inlineStr">
        <is>
          <t>Student 86</t>
        </is>
      </c>
      <c r="C87" t="inlineStr">
        <is>
          <t>Basic 5</t>
        </is>
      </c>
      <c r="D87" t="inlineStr">
        <is>
          <t>A</t>
        </is>
      </c>
      <c r="E87" t="inlineStr">
        <is>
          <t>F</t>
        </is>
      </c>
      <c r="F87" t="n">
        <v>48</v>
      </c>
      <c r="G87" t="n">
        <v>7</v>
      </c>
      <c r="H87" t="inlineStr">
        <is>
          <t>Nil</t>
        </is>
      </c>
      <c r="I87" t="inlineStr">
        <is>
          <t>234700000086</t>
        </is>
      </c>
      <c r="J87" t="inlineStr">
        <is>
          <t>student86.parent@example.com</t>
        </is>
      </c>
      <c r="K87" t="n">
        <v>1</v>
      </c>
      <c r="L87" t="n">
        <v>1</v>
      </c>
      <c r="M87" t="n">
        <v>2</v>
      </c>
      <c r="N87" t="n">
        <v>1</v>
      </c>
      <c r="O87" t="n">
        <v>4</v>
      </c>
      <c r="P87" t="n">
        <v>3</v>
      </c>
      <c r="Q87" t="n">
        <v>4</v>
      </c>
      <c r="R87" t="n">
        <v>2</v>
      </c>
    </row>
    <row r="88">
      <c r="A88" t="inlineStr">
        <is>
          <t>BSC5/010</t>
        </is>
      </c>
      <c r="B88" t="inlineStr">
        <is>
          <t>Student 87</t>
        </is>
      </c>
      <c r="C88" t="inlineStr">
        <is>
          <t>Basic 5</t>
        </is>
      </c>
      <c r="D88" t="inlineStr">
        <is>
          <t>B</t>
        </is>
      </c>
      <c r="E88" t="inlineStr">
        <is>
          <t>M</t>
        </is>
      </c>
      <c r="F88" t="n">
        <v>46</v>
      </c>
      <c r="G88" t="n">
        <v>13</v>
      </c>
      <c r="H88" t="inlineStr">
        <is>
          <t>Blue</t>
        </is>
      </c>
      <c r="I88" t="inlineStr">
        <is>
          <t>234700000087</t>
        </is>
      </c>
      <c r="J88" t="inlineStr">
        <is>
          <t>student87.parent@example.com</t>
        </is>
      </c>
      <c r="K88" t="n">
        <v>2</v>
      </c>
      <c r="L88" t="n">
        <v>4</v>
      </c>
      <c r="M88" t="n">
        <v>3</v>
      </c>
      <c r="N88" t="n">
        <v>3</v>
      </c>
      <c r="O88" t="n">
        <v>1</v>
      </c>
      <c r="P88" t="n">
        <v>5</v>
      </c>
      <c r="Q88" t="n">
        <v>3</v>
      </c>
      <c r="R88" t="n">
        <v>1</v>
      </c>
    </row>
    <row r="89">
      <c r="A89" t="inlineStr">
        <is>
          <t>BSC5/011</t>
        </is>
      </c>
      <c r="B89" t="inlineStr">
        <is>
          <t>Student 88</t>
        </is>
      </c>
      <c r="C89" t="inlineStr">
        <is>
          <t>Basic 5</t>
        </is>
      </c>
      <c r="D89" t="inlineStr">
        <is>
          <t>Science</t>
        </is>
      </c>
      <c r="E89" t="inlineStr">
        <is>
          <t>F</t>
        </is>
      </c>
      <c r="F89" t="n">
        <v>46</v>
      </c>
      <c r="G89" t="n">
        <v>5</v>
      </c>
      <c r="H89" t="inlineStr">
        <is>
          <t>Blue</t>
        </is>
      </c>
      <c r="I89" t="inlineStr">
        <is>
          <t>234700000088</t>
        </is>
      </c>
      <c r="J89" t="inlineStr">
        <is>
          <t>student88.parent@example.com</t>
        </is>
      </c>
      <c r="K89" t="n">
        <v>5</v>
      </c>
      <c r="L89" t="n">
        <v>1</v>
      </c>
      <c r="M89" t="n">
        <v>4</v>
      </c>
      <c r="N89" t="n">
        <v>1</v>
      </c>
      <c r="O89" t="n">
        <v>4</v>
      </c>
      <c r="P89" t="n">
        <v>3</v>
      </c>
      <c r="Q89" t="n">
        <v>3</v>
      </c>
      <c r="R89" t="n">
        <v>3</v>
      </c>
    </row>
    <row r="90">
      <c r="A90" t="inlineStr">
        <is>
          <t>BSC5/012</t>
        </is>
      </c>
      <c r="B90" t="inlineStr">
        <is>
          <t>Student 89</t>
        </is>
      </c>
      <c r="C90" t="inlineStr">
        <is>
          <t>Basic 5</t>
        </is>
      </c>
      <c r="D90" t="inlineStr">
        <is>
          <t>A</t>
        </is>
      </c>
      <c r="E90" t="inlineStr">
        <is>
          <t>M</t>
        </is>
      </c>
      <c r="F90" t="n">
        <v>59</v>
      </c>
      <c r="G90" t="n">
        <v>0</v>
      </c>
      <c r="H90" t="inlineStr">
        <is>
          <t>Red</t>
        </is>
      </c>
      <c r="I90" t="inlineStr">
        <is>
          <t>234700000089</t>
        </is>
      </c>
      <c r="J90" t="inlineStr">
        <is>
          <t>student89.parent@example.com</t>
        </is>
      </c>
      <c r="K90" t="n">
        <v>3</v>
      </c>
      <c r="L90" t="n">
        <v>5</v>
      </c>
      <c r="M90" t="n">
        <v>3</v>
      </c>
      <c r="N90" t="n">
        <v>5</v>
      </c>
      <c r="O90" t="n">
        <v>2</v>
      </c>
      <c r="P90" t="n">
        <v>4</v>
      </c>
      <c r="Q90" t="n">
        <v>3</v>
      </c>
      <c r="R90" t="n">
        <v>5</v>
      </c>
    </row>
    <row r="91">
      <c r="A91" t="inlineStr">
        <is>
          <t>BSC5/013</t>
        </is>
      </c>
      <c r="B91" t="inlineStr">
        <is>
          <t>Student 90</t>
        </is>
      </c>
      <c r="C91" t="inlineStr">
        <is>
          <t>Basic 5</t>
        </is>
      </c>
      <c r="D91" t="inlineStr">
        <is>
          <t>Silver</t>
        </is>
      </c>
      <c r="E91" t="inlineStr">
        <is>
          <t>F</t>
        </is>
      </c>
      <c r="F91" t="n">
        <v>51</v>
      </c>
      <c r="G91" t="n">
        <v>7</v>
      </c>
      <c r="H91" t="inlineStr">
        <is>
          <t>Blue</t>
        </is>
      </c>
      <c r="I91" t="inlineStr">
        <is>
          <t>234700000090</t>
        </is>
      </c>
      <c r="J91" t="inlineStr">
        <is>
          <t>student90.parent@example.com</t>
        </is>
      </c>
      <c r="K91" t="n">
        <v>4</v>
      </c>
      <c r="L91" t="n">
        <v>1</v>
      </c>
      <c r="M91" t="n">
        <v>2</v>
      </c>
      <c r="N91" t="n">
        <v>5</v>
      </c>
      <c r="O91" t="n">
        <v>3</v>
      </c>
      <c r="P91" t="n">
        <v>1</v>
      </c>
      <c r="Q91" t="n">
        <v>3</v>
      </c>
      <c r="R91" t="n">
        <v>1</v>
      </c>
    </row>
    <row r="92">
      <c r="A92" t="inlineStr">
        <is>
          <t>BSC5/014</t>
        </is>
      </c>
      <c r="B92" t="inlineStr">
        <is>
          <t>Student 91</t>
        </is>
      </c>
      <c r="C92" t="inlineStr">
        <is>
          <t>Basic 5</t>
        </is>
      </c>
      <c r="D92" t="inlineStr">
        <is>
          <t>Silver</t>
        </is>
      </c>
      <c r="E92" t="inlineStr">
        <is>
          <t>F</t>
        </is>
      </c>
      <c r="F92" t="n">
        <v>54</v>
      </c>
      <c r="G92" t="n">
        <v>3</v>
      </c>
      <c r="H92" t="inlineStr">
        <is>
          <t>Blue</t>
        </is>
      </c>
      <c r="I92" t="inlineStr">
        <is>
          <t>234700000091</t>
        </is>
      </c>
      <c r="J92" t="inlineStr">
        <is>
          <t>student91.parent@example.com</t>
        </is>
      </c>
      <c r="K92" t="n">
        <v>2</v>
      </c>
      <c r="L92" t="n">
        <v>4</v>
      </c>
      <c r="M92" t="n">
        <v>4</v>
      </c>
      <c r="N92" t="n">
        <v>1</v>
      </c>
      <c r="O92" t="n">
        <v>2</v>
      </c>
      <c r="P92" t="n">
        <v>3</v>
      </c>
      <c r="Q92" t="n">
        <v>1</v>
      </c>
      <c r="R92" t="n">
        <v>1</v>
      </c>
    </row>
    <row r="93">
      <c r="A93" t="inlineStr">
        <is>
          <t>BSC5/015</t>
        </is>
      </c>
      <c r="B93" t="inlineStr">
        <is>
          <t>Student 92</t>
        </is>
      </c>
      <c r="C93" t="inlineStr">
        <is>
          <t>Basic 5</t>
        </is>
      </c>
      <c r="D93" t="inlineStr">
        <is>
          <t>B</t>
        </is>
      </c>
      <c r="E93" t="inlineStr">
        <is>
          <t>F</t>
        </is>
      </c>
      <c r="F93" t="n">
        <v>58</v>
      </c>
      <c r="G93" t="n">
        <v>11</v>
      </c>
      <c r="H93" t="inlineStr">
        <is>
          <t>Gold</t>
        </is>
      </c>
      <c r="I93" t="inlineStr">
        <is>
          <t>234700000092</t>
        </is>
      </c>
      <c r="J93" t="inlineStr">
        <is>
          <t>student92.parent@example.com</t>
        </is>
      </c>
      <c r="K93" t="n">
        <v>1</v>
      </c>
      <c r="L93" t="n">
        <v>5</v>
      </c>
      <c r="M93" t="n">
        <v>1</v>
      </c>
      <c r="N93" t="n">
        <v>5</v>
      </c>
      <c r="O93" t="n">
        <v>2</v>
      </c>
      <c r="P93" t="n">
        <v>4</v>
      </c>
      <c r="Q93" t="n">
        <v>1</v>
      </c>
      <c r="R93" t="n">
        <v>5</v>
      </c>
    </row>
    <row r="94">
      <c r="A94" t="inlineStr">
        <is>
          <t>BSC5/016</t>
        </is>
      </c>
      <c r="B94" t="inlineStr">
        <is>
          <t>Student 93</t>
        </is>
      </c>
      <c r="C94" t="inlineStr">
        <is>
          <t>Basic 5</t>
        </is>
      </c>
      <c r="D94" t="inlineStr">
        <is>
          <t>Science</t>
        </is>
      </c>
      <c r="E94" t="inlineStr">
        <is>
          <t>F</t>
        </is>
      </c>
      <c r="F94" t="n">
        <v>46</v>
      </c>
      <c r="G94" t="n">
        <v>13</v>
      </c>
      <c r="H94" t="inlineStr">
        <is>
          <t>Blue</t>
        </is>
      </c>
      <c r="I94" t="inlineStr">
        <is>
          <t>234700000093</t>
        </is>
      </c>
      <c r="J94" t="inlineStr">
        <is>
          <t>student93.parent@example.com</t>
        </is>
      </c>
      <c r="K94" t="n">
        <v>3</v>
      </c>
      <c r="L94" t="n">
        <v>3</v>
      </c>
      <c r="M94" t="n">
        <v>3</v>
      </c>
      <c r="N94" t="n">
        <v>4</v>
      </c>
      <c r="O94" t="n">
        <v>3</v>
      </c>
      <c r="P94" t="n">
        <v>3</v>
      </c>
      <c r="Q94" t="n">
        <v>4</v>
      </c>
      <c r="R94" t="n">
        <v>3</v>
      </c>
    </row>
    <row r="95">
      <c r="A95" t="inlineStr">
        <is>
          <t>BSC5/017</t>
        </is>
      </c>
      <c r="B95" t="inlineStr">
        <is>
          <t>Student 94</t>
        </is>
      </c>
      <c r="C95" t="inlineStr">
        <is>
          <t>Basic 5</t>
        </is>
      </c>
      <c r="D95" t="inlineStr">
        <is>
          <t>B</t>
        </is>
      </c>
      <c r="E95" t="inlineStr">
        <is>
          <t>M</t>
        </is>
      </c>
      <c r="F95" t="n">
        <v>47</v>
      </c>
      <c r="G95" t="n">
        <v>6</v>
      </c>
      <c r="H95" t="inlineStr">
        <is>
          <t>Blue</t>
        </is>
      </c>
      <c r="I95" t="inlineStr">
        <is>
          <t>234700000094</t>
        </is>
      </c>
      <c r="J95" t="inlineStr">
        <is>
          <t>student94.parent@example.com</t>
        </is>
      </c>
      <c r="K95" t="n">
        <v>5</v>
      </c>
      <c r="L95" t="n">
        <v>1</v>
      </c>
      <c r="M95" t="n">
        <v>2</v>
      </c>
      <c r="N95" t="n">
        <v>1</v>
      </c>
      <c r="O95" t="n">
        <v>2</v>
      </c>
      <c r="P95" t="n">
        <v>4</v>
      </c>
      <c r="Q95" t="n">
        <v>4</v>
      </c>
      <c r="R95" t="n">
        <v>3</v>
      </c>
    </row>
    <row r="96">
      <c r="A96" t="inlineStr">
        <is>
          <t>BSC5/018</t>
        </is>
      </c>
      <c r="B96" t="inlineStr">
        <is>
          <t>Student 95</t>
        </is>
      </c>
      <c r="C96" t="inlineStr">
        <is>
          <t>Basic 5</t>
        </is>
      </c>
      <c r="D96" t="inlineStr">
        <is>
          <t>Silver</t>
        </is>
      </c>
      <c r="E96" t="inlineStr">
        <is>
          <t>M</t>
        </is>
      </c>
      <c r="F96" t="n">
        <v>48</v>
      </c>
      <c r="G96" t="n">
        <v>11</v>
      </c>
      <c r="H96" t="inlineStr">
        <is>
          <t>Blue</t>
        </is>
      </c>
      <c r="I96" t="inlineStr">
        <is>
          <t>234700000095</t>
        </is>
      </c>
      <c r="J96" t="inlineStr">
        <is>
          <t>student95.parent@example.com</t>
        </is>
      </c>
      <c r="K96" t="n">
        <v>3</v>
      </c>
      <c r="L96" t="n">
        <v>4</v>
      </c>
      <c r="M96" t="n">
        <v>3</v>
      </c>
      <c r="N96" t="n">
        <v>1</v>
      </c>
      <c r="O96" t="n">
        <v>1</v>
      </c>
      <c r="P96" t="n">
        <v>2</v>
      </c>
      <c r="Q96" t="n">
        <v>3</v>
      </c>
      <c r="R96" t="n">
        <v>5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8">
    <outlinePr summaryBelow="1" summaryRight="1"/>
    <pageSetUpPr/>
  </sheetPr>
  <dimension ref="A1:AC7625"/>
  <sheetViews>
    <sheetView showGridLines="0" workbookViewId="0">
      <selection activeCell="D6" sqref="D6"/>
    </sheetView>
  </sheetViews>
  <sheetFormatPr baseColWidth="8" defaultColWidth="9.85546875" defaultRowHeight="15"/>
  <cols>
    <col width="3.28515625" customWidth="1" style="130" min="1" max="1"/>
    <col width="24.28515625" customWidth="1" style="130" min="3" max="3"/>
    <col width="9.85546875" customWidth="1" style="56" min="4" max="4"/>
    <col width="9.85546875" customWidth="1" style="57" min="5" max="5"/>
    <col width="9.85546875" customWidth="1" style="49" min="6" max="6"/>
    <col width="9.85546875" customWidth="1" style="59" min="7" max="7"/>
    <col width="9.85546875" customWidth="1" style="64" min="8" max="8"/>
    <col width="9.85546875" customWidth="1" style="65" min="9" max="9"/>
    <col width="9.85546875" customWidth="1" style="49" min="10" max="10"/>
    <col width="9.85546875" customWidth="1" style="41" min="11" max="22"/>
    <col width="11.5703125" customWidth="1" style="41" min="23" max="23"/>
    <col width="9.85546875" customWidth="1" style="41" min="24" max="24"/>
    <col width="15.7109375" customWidth="1" style="41" min="25" max="25"/>
  </cols>
  <sheetData>
    <row r="1" ht="20.1" customHeight="1" s="130">
      <c r="B1" s="178" t="inlineStr">
        <is>
          <t>📝  SCORES ENTRY — Enter CA and Exam scores for each student</t>
        </is>
      </c>
      <c r="C1" s="191" t="n"/>
      <c r="D1" s="191" t="n"/>
      <c r="E1" s="191" t="n"/>
      <c r="F1" s="191" t="n"/>
      <c r="G1" s="191" t="n"/>
      <c r="H1" s="191" t="n"/>
      <c r="I1" s="191" t="n"/>
      <c r="J1" s="191" t="n"/>
      <c r="K1" s="191" t="n"/>
      <c r="L1" s="191" t="n"/>
      <c r="M1" s="191" t="n"/>
      <c r="N1" s="191" t="n"/>
      <c r="O1" s="191" t="n"/>
      <c r="P1" s="191" t="n"/>
      <c r="Q1" s="191" t="n"/>
      <c r="R1" s="191" t="n"/>
      <c r="S1" s="191" t="n"/>
      <c r="T1" s="191" t="n"/>
      <c r="U1" s="191" t="n"/>
      <c r="V1" s="191" t="n"/>
      <c r="W1" s="191" t="n"/>
      <c r="X1" s="191" t="n"/>
      <c r="Y1" s="191" t="n"/>
    </row>
    <row r="2" customFormat="1" s="43">
      <c r="B2" s="192" t="inlineStr">
        <is>
          <t>Reg/No</t>
        </is>
      </c>
      <c r="C2" s="193" t="inlineStr">
        <is>
          <t>Student Name</t>
        </is>
      </c>
      <c r="D2" s="194">
        <f>SUBJECTS!$C6</f>
        <v/>
      </c>
      <c r="E2" s="195" t="n"/>
      <c r="F2" s="174">
        <f>SUBJECTS!$C7</f>
        <v/>
      </c>
      <c r="G2" s="196" t="n"/>
      <c r="H2" s="194">
        <f>SUBJECTS!$C8</f>
        <v/>
      </c>
      <c r="I2" s="195" t="n"/>
      <c r="J2" s="174">
        <f>SUBJECTS!$C9</f>
        <v/>
      </c>
      <c r="K2" s="196" t="n"/>
      <c r="L2" s="176">
        <f>SUBJECTS!$C10</f>
        <v/>
      </c>
      <c r="M2" s="196" t="n"/>
      <c r="N2" s="174">
        <f>SUBJECTS!$C11</f>
        <v/>
      </c>
      <c r="O2" s="196" t="n"/>
      <c r="P2" s="176">
        <f>SUBJECTS!$C12</f>
        <v/>
      </c>
      <c r="Q2" s="196" t="n"/>
      <c r="R2" s="174">
        <f>SUBJECTS!$C13</f>
        <v/>
      </c>
      <c r="S2" s="196" t="n"/>
      <c r="T2" s="176">
        <f>SUBJECTS!$C14</f>
        <v/>
      </c>
      <c r="U2" s="196" t="n"/>
      <c r="V2" s="174">
        <f>SUBJECTS!$C15</f>
        <v/>
      </c>
      <c r="W2" s="196" t="n"/>
      <c r="X2" s="176">
        <f>SUBJECTS!$C16</f>
        <v/>
      </c>
      <c r="Y2" s="196" t="n"/>
      <c r="Z2" s="172">
        <f>IF(SUBJECTS!$C22="","",SUBJECTS!$C22)</f>
        <v/>
      </c>
      <c r="AA2" s="196" t="n"/>
      <c r="AB2" s="172" t="n"/>
      <c r="AC2" s="196" t="n"/>
    </row>
    <row r="3" ht="15.75" customFormat="1" customHeight="1" s="39" thickBot="1">
      <c r="B3" s="197" t="n"/>
      <c r="C3" s="198" t="n"/>
      <c r="D3" s="50" t="inlineStr">
        <is>
          <t>CA</t>
        </is>
      </c>
      <c r="E3" s="51" t="n"/>
      <c r="F3" s="46" t="n"/>
      <c r="G3" s="47" t="n"/>
      <c r="H3" s="50" t="n"/>
      <c r="I3" s="51" t="n"/>
      <c r="J3" s="46" t="n"/>
      <c r="K3" s="47" t="n"/>
      <c r="L3" s="46" t="n"/>
      <c r="M3" s="47" t="n"/>
      <c r="N3" s="46" t="n"/>
      <c r="O3" s="47" t="n"/>
      <c r="P3" s="46" t="n"/>
      <c r="Q3" s="47" t="n"/>
      <c r="R3" s="46" t="n"/>
      <c r="S3" s="47" t="n"/>
      <c r="T3" s="46" t="n"/>
      <c r="U3" s="47" t="n"/>
      <c r="V3" s="46" t="n"/>
      <c r="W3" s="47" t="n"/>
      <c r="X3" s="46" t="n"/>
      <c r="Y3" s="47" t="n"/>
    </row>
    <row r="4">
      <c r="B4" s="2">
        <f>IF(STUDENTS!B3="","",STUDENTS!B3)</f>
        <v/>
      </c>
      <c r="C4" s="44" t="inlineStr">
        <is>
          <t>Student 01</t>
        </is>
      </c>
      <c r="D4" s="52">
        <f t="array" ref="D4:W4">IF(All_Students_Scores!C2:V2="","",All_Students_Scores!C2:V2)</f>
        <v/>
      </c>
      <c r="E4" s="53" t="inlineStr">
        <is>
          <t>50.00</t>
        </is>
      </c>
      <c r="F4" s="66" t="inlineStr">
        <is>
          <t>28.00</t>
        </is>
      </c>
      <c r="G4" s="67" t="inlineStr">
        <is>
          <t>34.00</t>
        </is>
      </c>
      <c r="H4" s="60" t="inlineStr">
        <is>
          <t>21.00</t>
        </is>
      </c>
      <c r="I4" s="61" t="inlineStr">
        <is>
          <t>45.00</t>
        </is>
      </c>
      <c r="J4" s="66" t="inlineStr">
        <is>
          <t>39.00</t>
        </is>
      </c>
      <c r="K4" s="67" t="inlineStr">
        <is>
          <t>56.00</t>
        </is>
      </c>
      <c r="L4" s="45" t="str"/>
      <c r="M4" s="45" t="str"/>
      <c r="N4" s="66" t="str"/>
      <c r="O4" s="67" t="str"/>
      <c r="P4" s="45" t="str"/>
      <c r="Q4" s="45" t="str"/>
      <c r="R4" s="66" t="str"/>
      <c r="S4" s="67" t="str"/>
      <c r="T4" s="45" t="str"/>
      <c r="U4" s="45" t="str"/>
      <c r="V4" s="66" t="str"/>
      <c r="W4" s="67" t="str"/>
      <c r="X4" s="45" t="n"/>
      <c r="Y4" s="45" t="n"/>
    </row>
    <row r="5">
      <c r="B5" s="2">
        <f>IF(STUDENTS!B4="","",STUDENTS!B4)</f>
        <v/>
      </c>
      <c r="C5" s="44" t="inlineStr">
        <is>
          <t>Student 02</t>
        </is>
      </c>
      <c r="D5" s="52">
        <f t="array" ref="D5:W5">IF(All_Students_Scores!C3:V3="","",All_Students_Scores!C3:V3)</f>
        <v/>
      </c>
      <c r="E5" s="55" t="inlineStr">
        <is>
          <t>45.00</t>
        </is>
      </c>
      <c r="F5" s="48" t="inlineStr">
        <is>
          <t>21.00</t>
        </is>
      </c>
      <c r="G5" s="58" t="inlineStr">
        <is>
          <t>56.00</t>
        </is>
      </c>
      <c r="H5" s="62" t="inlineStr">
        <is>
          <t>23.00</t>
        </is>
      </c>
      <c r="I5" s="63" t="inlineStr">
        <is>
          <t>45.00</t>
        </is>
      </c>
      <c r="J5" s="48" t="inlineStr">
        <is>
          <t>22.00</t>
        </is>
      </c>
      <c r="K5" s="58" t="inlineStr">
        <is>
          <t>34.00</t>
        </is>
      </c>
      <c r="L5" s="42" t="inlineStr">
        <is>
          <t>12.00</t>
        </is>
      </c>
      <c r="M5" s="42" t="inlineStr">
        <is>
          <t>35.00</t>
        </is>
      </c>
      <c r="N5" s="48" t="inlineStr">
        <is>
          <t>34.00</t>
        </is>
      </c>
      <c r="O5" s="58" t="inlineStr">
        <is>
          <t>55.00</t>
        </is>
      </c>
      <c r="P5" s="42" t="str"/>
      <c r="Q5" s="42" t="str"/>
      <c r="R5" s="48" t="str"/>
      <c r="S5" s="58" t="str"/>
      <c r="T5" s="42" t="str"/>
      <c r="U5" s="42" t="str"/>
      <c r="V5" s="48" t="str"/>
      <c r="W5" s="58" t="str"/>
      <c r="X5" s="42" t="n"/>
      <c r="Y5" s="42" t="n"/>
    </row>
    <row r="6">
      <c r="B6" s="2">
        <f>IF(STUDENTS!B5="","",STUDENTS!B5)</f>
        <v/>
      </c>
      <c r="C6" s="44" t="inlineStr">
        <is>
          <t>Student 03</t>
        </is>
      </c>
      <c r="D6" s="52">
        <f t="array" ref="D6:W6">IF(All_Students_Scores!C4:V4="","",All_Students_Scores!C4:V4)</f>
        <v/>
      </c>
      <c r="E6" s="57" t="str"/>
      <c r="F6" s="66" t="str"/>
      <c r="G6" s="67" t="str"/>
      <c r="H6" s="64" t="str"/>
      <c r="I6" s="65" t="str"/>
      <c r="J6" s="66" t="str"/>
      <c r="K6" s="67" t="str"/>
      <c r="L6" s="41" t="str"/>
      <c r="M6" s="41" t="str"/>
      <c r="N6" s="66" t="str"/>
      <c r="O6" s="67" t="str"/>
      <c r="P6" s="41" t="str"/>
      <c r="Q6" s="41" t="str"/>
      <c r="R6" s="66" t="str"/>
      <c r="S6" s="67" t="str"/>
      <c r="T6" s="41" t="str"/>
      <c r="U6" s="41" t="str"/>
      <c r="V6" s="66" t="str"/>
      <c r="W6" s="67" t="str"/>
    </row>
    <row r="7">
      <c r="B7" s="2">
        <f>IF(STUDENTS!B6="","",STUDENTS!B6)</f>
        <v/>
      </c>
      <c r="C7" s="44" t="inlineStr">
        <is>
          <t>Student 04</t>
        </is>
      </c>
      <c r="D7" s="52">
        <f t="array" ref="D7:W7">IF(All_Students_Scores!C5:V5="","",All_Students_Scores!C5:V5)</f>
        <v/>
      </c>
      <c r="E7" s="55" t="str"/>
      <c r="F7" s="48" t="str"/>
      <c r="G7" s="58" t="str"/>
      <c r="H7" s="62" t="str"/>
      <c r="I7" s="63" t="str"/>
      <c r="J7" s="48" t="str"/>
      <c r="K7" s="58" t="str"/>
      <c r="L7" s="42" t="str"/>
      <c r="M7" s="42" t="str"/>
      <c r="N7" s="48" t="str"/>
      <c r="O7" s="58" t="str"/>
      <c r="P7" s="42" t="str"/>
      <c r="Q7" s="42" t="str"/>
      <c r="R7" s="48" t="str"/>
      <c r="S7" s="58" t="str"/>
      <c r="T7" s="42" t="str"/>
      <c r="U7" s="42" t="str"/>
      <c r="V7" s="48" t="str"/>
      <c r="W7" s="58" t="str"/>
      <c r="X7" s="42" t="n"/>
      <c r="Y7" s="42" t="n"/>
    </row>
    <row r="8">
      <c r="B8" s="2">
        <f>IF(STUDENTS!B7="","",STUDENTS!B7)</f>
        <v/>
      </c>
      <c r="C8" s="44" t="inlineStr">
        <is>
          <t>Student 05</t>
        </is>
      </c>
      <c r="D8" s="52">
        <f t="array" ref="D8:W8">IF(All_Students_Scores!C6:V6="","",All_Students_Scores!C6:V6)</f>
        <v/>
      </c>
      <c r="E8" s="57" t="str"/>
      <c r="F8" s="66" t="str"/>
      <c r="G8" s="67" t="str"/>
      <c r="H8" s="64" t="str"/>
      <c r="I8" s="65" t="str"/>
      <c r="J8" s="66" t="str"/>
      <c r="K8" s="67" t="str"/>
      <c r="L8" s="41" t="str"/>
      <c r="M8" s="41" t="str"/>
      <c r="N8" s="66" t="str"/>
      <c r="O8" s="67" t="str"/>
      <c r="P8" s="41" t="str"/>
      <c r="Q8" s="41" t="str"/>
      <c r="R8" s="66" t="str"/>
      <c r="S8" s="67" t="str"/>
      <c r="T8" s="41" t="str"/>
      <c r="U8" s="41" t="str"/>
      <c r="V8" s="66" t="str"/>
      <c r="W8" s="67" t="str"/>
    </row>
    <row r="9">
      <c r="B9" s="2">
        <f>IF(STUDENTS!B8="","",STUDENTS!B8)</f>
        <v/>
      </c>
      <c r="C9" s="44" t="inlineStr">
        <is>
          <t>Student 06</t>
        </is>
      </c>
      <c r="D9" s="52">
        <f t="array" ref="D9:W9">IF(All_Students_Scores!C7:V7="","",All_Students_Scores!C7:V7)</f>
        <v/>
      </c>
      <c r="E9" s="55" t="str"/>
      <c r="F9" s="48" t="str"/>
      <c r="G9" s="58" t="str"/>
      <c r="H9" s="62" t="str"/>
      <c r="I9" s="63" t="str"/>
      <c r="J9" s="48" t="str"/>
      <c r="K9" s="58" t="str"/>
      <c r="L9" s="42" t="str"/>
      <c r="M9" s="42" t="str"/>
      <c r="N9" s="48" t="str"/>
      <c r="O9" s="58" t="str"/>
      <c r="P9" s="42" t="str"/>
      <c r="Q9" s="42" t="str"/>
      <c r="R9" s="48" t="str"/>
      <c r="S9" s="58" t="str"/>
      <c r="T9" s="42" t="str"/>
      <c r="U9" s="42" t="str"/>
      <c r="V9" s="48" t="str"/>
      <c r="W9" s="58" t="str"/>
      <c r="X9" s="42" t="n"/>
      <c r="Y9" s="42" t="n"/>
    </row>
    <row r="10">
      <c r="B10" s="2">
        <f>IF(STUDENTS!B9="","",STUDENTS!B9)</f>
        <v/>
      </c>
      <c r="C10" s="44" t="inlineStr">
        <is>
          <t>Student 07</t>
        </is>
      </c>
      <c r="D10" s="52">
        <f t="array" ref="D10:W10">IF(All_Students_Scores!C8:V8="","",All_Students_Scores!C8:V8)</f>
        <v/>
      </c>
      <c r="E10" s="57" t="str"/>
      <c r="F10" s="66" t="str"/>
      <c r="G10" s="67" t="str"/>
      <c r="H10" s="64" t="str"/>
      <c r="I10" s="65" t="str"/>
      <c r="J10" s="66" t="str"/>
      <c r="K10" s="67" t="str"/>
      <c r="L10" s="41" t="str"/>
      <c r="M10" s="41" t="str"/>
      <c r="N10" s="66" t="str"/>
      <c r="O10" s="67" t="str"/>
      <c r="P10" s="41" t="str"/>
      <c r="Q10" s="41" t="str"/>
      <c r="R10" s="66" t="str"/>
      <c r="S10" s="67" t="str"/>
      <c r="T10" s="41" t="str"/>
      <c r="U10" s="41" t="str"/>
      <c r="V10" s="66" t="str"/>
      <c r="W10" s="67" t="str"/>
    </row>
    <row r="11">
      <c r="B11" s="2">
        <f>IF(STUDENTS!B10="","",STUDENTS!B10)</f>
        <v/>
      </c>
      <c r="C11" s="44" t="inlineStr">
        <is>
          <t>Student 08</t>
        </is>
      </c>
      <c r="D11" s="52">
        <f t="array" ref="D11:W11">IF(All_Students_Scores!C9:V9="","",All_Students_Scores!C9:V9)</f>
        <v/>
      </c>
      <c r="E11" s="55" t="str"/>
      <c r="F11" s="48" t="str"/>
      <c r="G11" s="58" t="str"/>
      <c r="H11" s="62" t="str"/>
      <c r="I11" s="63" t="str"/>
      <c r="J11" s="48" t="str"/>
      <c r="K11" s="58" t="str"/>
      <c r="L11" s="42" t="str"/>
      <c r="M11" s="42" t="str"/>
      <c r="N11" s="48" t="str"/>
      <c r="O11" s="58" t="str"/>
      <c r="P11" s="42" t="str"/>
      <c r="Q11" s="42" t="str"/>
      <c r="R11" s="48" t="str"/>
      <c r="S11" s="58" t="str"/>
      <c r="T11" s="42" t="str"/>
      <c r="U11" s="42" t="str"/>
      <c r="V11" s="48" t="str"/>
      <c r="W11" s="58" t="str"/>
      <c r="X11" s="42" t="n"/>
      <c r="Y11" s="42" t="n"/>
    </row>
    <row r="12">
      <c r="B12" s="2">
        <f>IF(STUDENTS!B11="","",STUDENTS!B11)</f>
        <v/>
      </c>
      <c r="C12" s="44" t="inlineStr">
        <is>
          <t>Student 09</t>
        </is>
      </c>
      <c r="D12" s="52">
        <f t="array" ref="D12:W12">IF(All_Students_Scores!C10:V10="","",All_Students_Scores!C10:V10)</f>
        <v/>
      </c>
      <c r="E12" s="57" t="str"/>
      <c r="F12" s="66" t="str"/>
      <c r="G12" s="67" t="str"/>
      <c r="H12" s="64" t="str"/>
      <c r="I12" s="65" t="str"/>
      <c r="J12" s="66" t="str"/>
      <c r="K12" s="67" t="str"/>
      <c r="L12" s="41" t="str"/>
      <c r="M12" s="41" t="str"/>
      <c r="N12" s="66" t="str"/>
      <c r="O12" s="67" t="str"/>
      <c r="P12" s="41" t="str"/>
      <c r="Q12" s="41" t="str"/>
      <c r="R12" s="66" t="str"/>
      <c r="S12" s="67" t="str"/>
      <c r="T12" s="41" t="str"/>
      <c r="U12" s="41" t="str"/>
      <c r="V12" s="66" t="str"/>
      <c r="W12" s="67" t="str"/>
    </row>
    <row r="13">
      <c r="B13" s="2">
        <f>IF(STUDENTS!B12="","",STUDENTS!B12)</f>
        <v/>
      </c>
      <c r="C13" s="44" t="inlineStr">
        <is>
          <t>Student 10</t>
        </is>
      </c>
      <c r="D13" s="52">
        <f t="array" ref="D13:W13">IF(All_Students_Scores!C11:V11="","",All_Students_Scores!C11:V11)</f>
        <v/>
      </c>
      <c r="E13" s="55" t="str"/>
      <c r="F13" s="48" t="str"/>
      <c r="G13" s="58" t="str"/>
      <c r="H13" s="62" t="str"/>
      <c r="I13" s="63" t="str"/>
      <c r="J13" s="48" t="str"/>
      <c r="K13" s="58" t="str"/>
      <c r="L13" s="42" t="str"/>
      <c r="M13" s="42" t="str"/>
      <c r="N13" s="48" t="str"/>
      <c r="O13" s="58" t="str"/>
      <c r="P13" s="42" t="str"/>
      <c r="Q13" s="42" t="str"/>
      <c r="R13" s="48" t="str"/>
      <c r="S13" s="58" t="str"/>
      <c r="T13" s="42" t="str"/>
      <c r="U13" s="42" t="str"/>
      <c r="V13" s="48" t="str"/>
      <c r="W13" s="58" t="str"/>
      <c r="X13" s="42" t="n"/>
      <c r="Y13" s="42" t="n"/>
    </row>
    <row r="14">
      <c r="B14" s="2">
        <f>IF(STUDENTS!B13="","",STUDENTS!B13)</f>
        <v/>
      </c>
      <c r="C14" s="44" t="inlineStr">
        <is>
          <t>Student 11</t>
        </is>
      </c>
      <c r="D14" s="52">
        <f t="array" ref="D14:W14">IF(All_Students_Scores!C12:V12="","",All_Students_Scores!C12:V12)</f>
        <v/>
      </c>
      <c r="E14" s="57" t="str"/>
      <c r="F14" s="66" t="str"/>
      <c r="G14" s="67" t="str"/>
      <c r="H14" s="64" t="str"/>
      <c r="I14" s="65" t="str"/>
      <c r="J14" s="66" t="str"/>
      <c r="K14" s="67" t="str"/>
      <c r="L14" s="41" t="str"/>
      <c r="M14" s="41" t="str"/>
      <c r="N14" s="66" t="str"/>
      <c r="O14" s="67" t="str"/>
      <c r="P14" s="41" t="str"/>
      <c r="Q14" s="41" t="str"/>
      <c r="R14" s="66" t="str"/>
      <c r="S14" s="67" t="str"/>
      <c r="T14" s="41" t="str"/>
      <c r="U14" s="41" t="str"/>
      <c r="V14" s="66" t="str"/>
      <c r="W14" s="67" t="str"/>
    </row>
    <row r="15">
      <c r="B15" s="2">
        <f>IF(STUDENTS!B14="","",STUDENTS!B14)</f>
        <v/>
      </c>
      <c r="C15" s="44" t="inlineStr">
        <is>
          <t>Student 12</t>
        </is>
      </c>
      <c r="D15" s="52">
        <f t="array" ref="D15:W15">IF(All_Students_Scores!C13:V13="","",All_Students_Scores!C13:V13)</f>
        <v/>
      </c>
      <c r="E15" s="55" t="str"/>
      <c r="F15" s="48" t="str"/>
      <c r="G15" s="58" t="str"/>
      <c r="H15" s="62" t="str"/>
      <c r="I15" s="63" t="str"/>
      <c r="J15" s="48" t="str"/>
      <c r="K15" s="58" t="str"/>
      <c r="L15" s="42" t="str"/>
      <c r="M15" s="42" t="str"/>
      <c r="N15" s="48" t="str"/>
      <c r="O15" s="58" t="str"/>
      <c r="P15" s="42" t="str"/>
      <c r="Q15" s="42" t="str"/>
      <c r="R15" s="48" t="str"/>
      <c r="S15" s="58" t="str"/>
      <c r="T15" s="42" t="str"/>
      <c r="U15" s="42" t="str"/>
      <c r="V15" s="48" t="str"/>
      <c r="W15" s="58" t="str"/>
      <c r="X15" s="42" t="n"/>
      <c r="Y15" s="42" t="n"/>
    </row>
    <row r="16">
      <c r="B16" s="2">
        <f>IF(STUDENTS!B15="","",STUDENTS!B15)</f>
        <v/>
      </c>
      <c r="C16" s="44" t="inlineStr">
        <is>
          <t>Student 13</t>
        </is>
      </c>
      <c r="D16" s="52">
        <f t="array" ref="D16:W16">IF(All_Students_Scores!C14:V14="","",All_Students_Scores!C14:V14)</f>
        <v/>
      </c>
      <c r="E16" s="57" t="str"/>
      <c r="F16" s="66" t="str"/>
      <c r="G16" s="67" t="str"/>
      <c r="H16" s="64" t="str"/>
      <c r="I16" s="65" t="str"/>
      <c r="J16" s="66" t="str"/>
      <c r="K16" s="67" t="str"/>
      <c r="L16" s="41" t="str"/>
      <c r="M16" s="41" t="str"/>
      <c r="N16" s="66" t="str"/>
      <c r="O16" s="67" t="str"/>
      <c r="P16" s="41" t="str"/>
      <c r="Q16" s="41" t="str"/>
      <c r="R16" s="66" t="str"/>
      <c r="S16" s="67" t="str"/>
      <c r="T16" s="41" t="str"/>
      <c r="U16" s="41" t="str"/>
      <c r="V16" s="66" t="str"/>
      <c r="W16" s="67" t="str"/>
    </row>
    <row r="17">
      <c r="B17" s="2">
        <f>IF(STUDENTS!B16="","",STUDENTS!B16)</f>
        <v/>
      </c>
      <c r="C17" s="44" t="inlineStr">
        <is>
          <t>Student 14</t>
        </is>
      </c>
      <c r="D17" s="52">
        <f t="array" ref="D17:W17">IF(All_Students_Scores!C15:V15="","",All_Students_Scores!C15:V15)</f>
        <v/>
      </c>
      <c r="E17" s="55" t="str"/>
      <c r="F17" s="48" t="str"/>
      <c r="G17" s="58" t="str"/>
      <c r="H17" s="62" t="str"/>
      <c r="I17" s="63" t="str"/>
      <c r="J17" s="48" t="str"/>
      <c r="K17" s="58" t="str"/>
      <c r="L17" s="42" t="str"/>
      <c r="M17" s="42" t="str"/>
      <c r="N17" s="48" t="str"/>
      <c r="O17" s="58" t="str"/>
      <c r="P17" s="42" t="str"/>
      <c r="Q17" s="42" t="str"/>
      <c r="R17" s="48" t="str"/>
      <c r="S17" s="58" t="str"/>
      <c r="T17" s="42" t="str"/>
      <c r="U17" s="42" t="str"/>
      <c r="V17" s="48" t="str"/>
      <c r="W17" s="58" t="str"/>
      <c r="X17" s="42" t="n"/>
      <c r="Y17" s="42" t="n"/>
    </row>
    <row r="18">
      <c r="B18" s="2">
        <f>IF(STUDENTS!B17="","",STUDENTS!B17)</f>
        <v/>
      </c>
      <c r="C18" s="44" t="inlineStr">
        <is>
          <t>Student 15</t>
        </is>
      </c>
      <c r="D18" s="52">
        <f t="array" ref="D18:W18">IF(All_Students_Scores!C16:V16="","",All_Students_Scores!C16:V16)</f>
        <v/>
      </c>
      <c r="E18" s="57" t="str"/>
      <c r="F18" s="66" t="str"/>
      <c r="G18" s="67" t="str"/>
      <c r="H18" s="64" t="str"/>
      <c r="I18" s="65" t="str"/>
      <c r="J18" s="66" t="str"/>
      <c r="K18" s="67" t="str"/>
      <c r="L18" s="41" t="str"/>
      <c r="M18" s="41" t="str"/>
      <c r="N18" s="66" t="str"/>
      <c r="O18" s="67" t="str"/>
      <c r="P18" s="41" t="str"/>
      <c r="Q18" s="41" t="str"/>
      <c r="R18" s="66" t="str"/>
      <c r="S18" s="67" t="str"/>
      <c r="T18" s="41" t="str"/>
      <c r="U18" s="41" t="str"/>
      <c r="V18" s="66" t="str"/>
      <c r="W18" s="67" t="str"/>
    </row>
    <row r="19">
      <c r="B19" s="2">
        <f>IF(STUDENTS!B18="","",STUDENTS!B18)</f>
        <v/>
      </c>
      <c r="C19" s="44" t="inlineStr">
        <is>
          <t>Student 16</t>
        </is>
      </c>
      <c r="D19" s="52">
        <f t="array" ref="D19:W19">IF(All_Students_Scores!C17:V17="","",All_Students_Scores!C17:V17)</f>
        <v/>
      </c>
      <c r="E19" s="55" t="str"/>
      <c r="F19" s="48" t="str"/>
      <c r="G19" s="58" t="str"/>
      <c r="H19" s="62" t="str"/>
      <c r="I19" s="63" t="str"/>
      <c r="J19" s="48" t="str"/>
      <c r="K19" s="58" t="str"/>
      <c r="L19" s="42" t="str"/>
      <c r="M19" s="42" t="str"/>
      <c r="N19" s="48" t="str"/>
      <c r="O19" s="58" t="str"/>
      <c r="P19" s="42" t="str"/>
      <c r="Q19" s="42" t="str"/>
      <c r="R19" s="48" t="str"/>
      <c r="S19" s="58" t="str"/>
      <c r="T19" s="42" t="str"/>
      <c r="U19" s="42" t="str"/>
      <c r="V19" s="48" t="str"/>
      <c r="W19" s="58" t="str"/>
      <c r="X19" s="42" t="n"/>
      <c r="Y19" s="42" t="n"/>
    </row>
    <row r="20">
      <c r="B20" s="2">
        <f>IF(STUDENTS!B19="","",STUDENTS!B19)</f>
        <v/>
      </c>
      <c r="C20" s="44" t="inlineStr">
        <is>
          <t>Student 17</t>
        </is>
      </c>
      <c r="D20" s="52">
        <f t="array" ref="D20:W20">IF(All_Students_Scores!C18:V18="","",All_Students_Scores!C18:V18)</f>
        <v/>
      </c>
      <c r="E20" s="57" t="str"/>
      <c r="F20" s="66" t="str"/>
      <c r="G20" s="67" t="str"/>
      <c r="H20" s="64" t="str"/>
      <c r="I20" s="65" t="str"/>
      <c r="J20" s="66" t="str"/>
      <c r="K20" s="67" t="str"/>
      <c r="L20" s="41" t="str"/>
      <c r="M20" s="41" t="str"/>
      <c r="N20" s="66" t="str"/>
      <c r="O20" s="67" t="str"/>
      <c r="P20" s="41" t="str"/>
      <c r="Q20" s="41" t="str"/>
      <c r="R20" s="66" t="str"/>
      <c r="S20" s="67" t="str"/>
      <c r="T20" s="41" t="str"/>
      <c r="U20" s="41" t="str"/>
      <c r="V20" s="66" t="str"/>
      <c r="W20" s="67" t="str"/>
    </row>
    <row r="21">
      <c r="B21" s="2">
        <f>IF(STUDENTS!B20="","",STUDENTS!B20)</f>
        <v/>
      </c>
      <c r="C21" s="44" t="inlineStr">
        <is>
          <t>Student 18</t>
        </is>
      </c>
      <c r="D21" s="52">
        <f t="array" ref="D21:W21">IF(All_Students_Scores!C19:V19="","",All_Students_Scores!C19:V19)</f>
        <v/>
      </c>
      <c r="E21" s="55" t="str"/>
      <c r="F21" s="48" t="str"/>
      <c r="G21" s="58" t="str"/>
      <c r="H21" s="62" t="str"/>
      <c r="I21" s="63" t="str"/>
      <c r="J21" s="48" t="str"/>
      <c r="K21" s="58" t="str"/>
      <c r="L21" s="42" t="str"/>
      <c r="M21" s="42" t="str"/>
      <c r="N21" s="48" t="str"/>
      <c r="O21" s="58" t="str"/>
      <c r="P21" s="42" t="str"/>
      <c r="Q21" s="42" t="str"/>
      <c r="R21" s="48" t="str"/>
      <c r="S21" s="58" t="str"/>
      <c r="T21" s="42" t="str"/>
      <c r="U21" s="42" t="str"/>
      <c r="V21" s="48" t="str"/>
      <c r="W21" s="58" t="str"/>
      <c r="X21" s="42" t="n"/>
      <c r="Y21" s="42" t="n"/>
    </row>
    <row r="22">
      <c r="B22" s="2">
        <f>IF(STUDENTS!B21="","",STUDENTS!B21)</f>
        <v/>
      </c>
      <c r="C22" s="44" t="inlineStr">
        <is>
          <t>Student 19</t>
        </is>
      </c>
      <c r="D22" s="52">
        <f t="array" ref="D22:W22">IF(All_Students_Scores!C20:V20="","",All_Students_Scores!C20:V20)</f>
        <v/>
      </c>
      <c r="E22" s="57" t="str"/>
      <c r="F22" s="66" t="str"/>
      <c r="G22" s="67" t="str"/>
      <c r="H22" s="64" t="str"/>
      <c r="I22" s="65" t="str"/>
      <c r="J22" s="66" t="str"/>
      <c r="K22" s="67" t="str"/>
      <c r="L22" s="41" t="str"/>
      <c r="M22" s="41" t="str"/>
      <c r="N22" s="66" t="str"/>
      <c r="O22" s="67" t="str"/>
      <c r="P22" s="41" t="str"/>
      <c r="Q22" s="41" t="str"/>
      <c r="R22" s="66" t="str"/>
      <c r="S22" s="67" t="str"/>
      <c r="T22" s="41" t="str"/>
      <c r="U22" s="41" t="str"/>
      <c r="V22" s="66" t="str"/>
      <c r="W22" s="67" t="str"/>
    </row>
    <row r="23">
      <c r="B23" s="2">
        <f>IF(STUDENTS!B22="","",STUDENTS!B22)</f>
        <v/>
      </c>
      <c r="C23" s="44" t="inlineStr">
        <is>
          <t>Student 20</t>
        </is>
      </c>
      <c r="D23" s="52">
        <f t="array" ref="D23:W23">IF(All_Students_Scores!C21:V21="","",All_Students_Scores!C21:V21)</f>
        <v/>
      </c>
      <c r="E23" s="55" t="str"/>
      <c r="F23" s="48" t="str"/>
      <c r="G23" s="58" t="str"/>
      <c r="H23" s="62" t="str"/>
      <c r="I23" s="63" t="str"/>
      <c r="J23" s="48" t="str"/>
      <c r="K23" s="58" t="str"/>
      <c r="L23" s="42" t="str"/>
      <c r="M23" s="42" t="str"/>
      <c r="N23" s="48" t="str"/>
      <c r="O23" s="58" t="str"/>
      <c r="P23" s="42" t="str"/>
      <c r="Q23" s="42" t="str"/>
      <c r="R23" s="48" t="str"/>
      <c r="S23" s="58" t="str"/>
      <c r="T23" s="42" t="str"/>
      <c r="U23" s="42" t="str"/>
      <c r="V23" s="48" t="str"/>
      <c r="W23" s="58" t="str"/>
      <c r="X23" s="42" t="n"/>
      <c r="Y23" s="42" t="n"/>
    </row>
    <row r="24">
      <c r="B24" s="2">
        <f>IF(STUDENTS!B23="","",STUDENTS!B23)</f>
        <v/>
      </c>
      <c r="C24" s="44" t="inlineStr">
        <is>
          <t>Student 21</t>
        </is>
      </c>
      <c r="D24" s="52">
        <f t="array" ref="D24:W24">IF(All_Students_Scores!C22:V22="","",All_Students_Scores!C22:V22)</f>
        <v/>
      </c>
      <c r="E24" s="57" t="str"/>
      <c r="F24" s="66" t="str"/>
      <c r="G24" s="67" t="str"/>
      <c r="H24" s="64" t="str"/>
      <c r="I24" s="65" t="str"/>
      <c r="J24" s="66" t="str"/>
      <c r="K24" s="67" t="str"/>
      <c r="L24" s="41" t="str"/>
      <c r="M24" s="41" t="str"/>
      <c r="N24" s="66" t="str"/>
      <c r="O24" s="67" t="str"/>
      <c r="P24" s="41" t="str"/>
      <c r="Q24" s="41" t="str"/>
      <c r="R24" s="66" t="str"/>
      <c r="S24" s="67" t="str"/>
      <c r="T24" s="41" t="str"/>
      <c r="U24" s="41" t="str"/>
      <c r="V24" s="66" t="str"/>
      <c r="W24" s="67" t="str"/>
    </row>
    <row r="25">
      <c r="B25" s="2">
        <f>IF(STUDENTS!B24="","",STUDENTS!B24)</f>
        <v/>
      </c>
      <c r="C25" s="44" t="inlineStr">
        <is>
          <t>Student 22</t>
        </is>
      </c>
      <c r="D25" s="52">
        <f t="array" ref="D25:W25">IF(All_Students_Scores!C23:V23="","",All_Students_Scores!C23:V23)</f>
        <v/>
      </c>
      <c r="E25" s="55" t="str"/>
      <c r="F25" s="48" t="str"/>
      <c r="G25" s="58" t="str"/>
      <c r="H25" s="62" t="str"/>
      <c r="I25" s="63" t="str"/>
      <c r="J25" s="48" t="str"/>
      <c r="K25" s="58" t="str"/>
      <c r="L25" s="42" t="str"/>
      <c r="M25" s="42" t="str"/>
      <c r="N25" s="48" t="str"/>
      <c r="O25" s="58" t="str"/>
      <c r="P25" s="42" t="str"/>
      <c r="Q25" s="42" t="str"/>
      <c r="R25" s="48" t="str"/>
      <c r="S25" s="58" t="str"/>
      <c r="T25" s="42" t="str"/>
      <c r="U25" s="42" t="str"/>
      <c r="V25" s="48" t="str"/>
      <c r="W25" s="58" t="str"/>
      <c r="X25" s="42" t="n"/>
      <c r="Y25" s="42" t="n"/>
    </row>
    <row r="26">
      <c r="B26" s="2">
        <f>IF(STUDENTS!B25="","",STUDENTS!B25)</f>
        <v/>
      </c>
      <c r="C26" s="44" t="inlineStr">
        <is>
          <t>Student 23</t>
        </is>
      </c>
      <c r="D26" s="52">
        <f t="array" ref="D26:W26">IF(All_Students_Scores!C24:V24="","",All_Students_Scores!C24:V24)</f>
        <v/>
      </c>
      <c r="E26" s="57" t="str"/>
      <c r="F26" s="66" t="str"/>
      <c r="G26" s="67" t="str"/>
      <c r="H26" s="64" t="str"/>
      <c r="I26" s="65" t="str"/>
      <c r="J26" s="66" t="str"/>
      <c r="K26" s="67" t="str"/>
      <c r="L26" s="41" t="str"/>
      <c r="M26" s="41" t="str"/>
      <c r="N26" s="66" t="str"/>
      <c r="O26" s="67" t="str"/>
      <c r="P26" s="41" t="str"/>
      <c r="Q26" s="41" t="str"/>
      <c r="R26" s="66" t="str"/>
      <c r="S26" s="67" t="str"/>
      <c r="T26" s="41" t="str"/>
      <c r="U26" s="41" t="str"/>
      <c r="V26" s="66" t="str"/>
      <c r="W26" s="67" t="str"/>
    </row>
    <row r="27">
      <c r="B27" s="2">
        <f>IF(STUDENTS!B26="","",STUDENTS!B26)</f>
        <v/>
      </c>
      <c r="C27" s="44" t="inlineStr">
        <is>
          <t>Student 24</t>
        </is>
      </c>
      <c r="D27" s="52">
        <f t="array" ref="D27:W27">IF(All_Students_Scores!C25:V25="","",All_Students_Scores!C25:V25)</f>
        <v/>
      </c>
      <c r="E27" s="55" t="str"/>
      <c r="F27" s="48" t="str"/>
      <c r="G27" s="58" t="str"/>
      <c r="H27" s="62" t="str"/>
      <c r="I27" s="63" t="str"/>
      <c r="J27" s="48" t="str"/>
      <c r="K27" s="58" t="str"/>
      <c r="L27" s="42" t="str"/>
      <c r="M27" s="42" t="str"/>
      <c r="N27" s="48" t="str"/>
      <c r="O27" s="58" t="str"/>
      <c r="P27" s="42" t="str"/>
      <c r="Q27" s="42" t="str"/>
      <c r="R27" s="48" t="str"/>
      <c r="S27" s="58" t="str"/>
      <c r="T27" s="42" t="str"/>
      <c r="U27" s="42" t="str"/>
      <c r="V27" s="48" t="str"/>
      <c r="W27" s="58" t="str"/>
      <c r="X27" s="42" t="n"/>
      <c r="Y27" s="42" t="n"/>
    </row>
    <row r="28">
      <c r="B28" s="2">
        <f>IF(STUDENTS!B27="","",STUDENTS!B27)</f>
        <v/>
      </c>
      <c r="C28" s="44" t="inlineStr">
        <is>
          <t>Student 25</t>
        </is>
      </c>
      <c r="D28" s="52">
        <f t="array" ref="D28:W28">IF(All_Students_Scores!C26:V26="","",All_Students_Scores!C26:V26)</f>
        <v/>
      </c>
      <c r="E28" s="57" t="str"/>
      <c r="F28" s="66" t="str"/>
      <c r="G28" s="67" t="str"/>
      <c r="H28" s="64" t="str"/>
      <c r="I28" s="65" t="str"/>
      <c r="J28" s="66" t="str"/>
      <c r="K28" s="67" t="str"/>
      <c r="L28" s="41" t="str"/>
      <c r="M28" s="41" t="str"/>
      <c r="N28" s="66" t="str"/>
      <c r="O28" s="67" t="str"/>
      <c r="P28" s="41" t="str"/>
      <c r="Q28" s="41" t="str"/>
      <c r="R28" s="66" t="str"/>
      <c r="S28" s="67" t="str"/>
      <c r="T28" s="41" t="str"/>
      <c r="U28" s="41" t="str"/>
      <c r="V28" s="66" t="str"/>
      <c r="W28" s="67" t="str"/>
    </row>
    <row r="29">
      <c r="B29" s="2">
        <f>IF(STUDENTS!B28="","",STUDENTS!B28)</f>
        <v/>
      </c>
      <c r="C29" s="44" t="inlineStr">
        <is>
          <t>Student 26</t>
        </is>
      </c>
      <c r="D29" s="52">
        <f t="array" ref="D29:W29">IF(All_Students_Scores!C27:V27="","",All_Students_Scores!C27:V27)</f>
        <v/>
      </c>
      <c r="E29" s="55" t="str"/>
      <c r="F29" s="48" t="str"/>
      <c r="G29" s="58" t="str"/>
      <c r="H29" s="62" t="str"/>
      <c r="I29" s="63" t="str"/>
      <c r="J29" s="48" t="str"/>
      <c r="K29" s="58" t="str"/>
      <c r="L29" s="42" t="str"/>
      <c r="M29" s="42" t="str"/>
      <c r="N29" s="48" t="str"/>
      <c r="O29" s="58" t="str"/>
      <c r="P29" s="42" t="str"/>
      <c r="Q29" s="42" t="str"/>
      <c r="R29" s="48" t="str"/>
      <c r="S29" s="58" t="str"/>
      <c r="T29" s="42" t="str"/>
      <c r="U29" s="42" t="str"/>
      <c r="V29" s="48" t="str"/>
      <c r="W29" s="58" t="str"/>
      <c r="X29" s="42" t="n"/>
      <c r="Y29" s="42" t="n"/>
    </row>
    <row r="30">
      <c r="B30" s="2">
        <f>IF(STUDENTS!B29="","",STUDENTS!B29)</f>
        <v/>
      </c>
      <c r="C30" s="44" t="inlineStr">
        <is>
          <t>Student 27</t>
        </is>
      </c>
      <c r="D30" s="52">
        <f t="array" ref="D30:W30">IF(All_Students_Scores!C28:V28="","",All_Students_Scores!C28:V28)</f>
        <v/>
      </c>
      <c r="E30" s="57" t="str"/>
      <c r="F30" s="66" t="str"/>
      <c r="G30" s="67" t="str"/>
      <c r="H30" s="64" t="str"/>
      <c r="I30" s="65" t="str"/>
      <c r="J30" s="66" t="str"/>
      <c r="K30" s="67" t="str"/>
      <c r="L30" s="41" t="str"/>
      <c r="M30" s="41" t="str"/>
      <c r="N30" s="66" t="str"/>
      <c r="O30" s="67" t="str"/>
      <c r="P30" s="41" t="str"/>
      <c r="Q30" s="41" t="str"/>
      <c r="R30" s="66" t="str"/>
      <c r="S30" s="67" t="str"/>
      <c r="T30" s="41" t="str"/>
      <c r="U30" s="41" t="str"/>
      <c r="V30" s="66" t="str"/>
      <c r="W30" s="67" t="str"/>
    </row>
    <row r="31">
      <c r="B31" s="2">
        <f>IF(STUDENTS!B30="","",STUDENTS!B30)</f>
        <v/>
      </c>
      <c r="C31" s="44" t="inlineStr">
        <is>
          <t>Student 28</t>
        </is>
      </c>
      <c r="D31" s="52">
        <f t="array" ref="D31:W31">IF(All_Students_Scores!C29:V29="","",All_Students_Scores!C29:V29)</f>
        <v/>
      </c>
      <c r="E31" s="55" t="str"/>
      <c r="F31" s="48" t="str"/>
      <c r="G31" s="58" t="str"/>
      <c r="H31" s="62" t="str"/>
      <c r="I31" s="63" t="str"/>
      <c r="J31" s="48" t="str"/>
      <c r="K31" s="58" t="str"/>
      <c r="L31" s="42" t="str"/>
      <c r="M31" s="42" t="str"/>
      <c r="N31" s="48" t="str"/>
      <c r="O31" s="58" t="str"/>
      <c r="P31" s="42" t="str"/>
      <c r="Q31" s="42" t="str"/>
      <c r="R31" s="48" t="str"/>
      <c r="S31" s="58" t="str"/>
      <c r="T31" s="42" t="str"/>
      <c r="U31" s="42" t="str"/>
      <c r="V31" s="48" t="str"/>
      <c r="W31" s="58" t="str"/>
      <c r="X31" s="42" t="n"/>
      <c r="Y31" s="42" t="n"/>
    </row>
    <row r="32">
      <c r="B32" s="2">
        <f>IF(STUDENTS!B31="","",STUDENTS!B31)</f>
        <v/>
      </c>
      <c r="C32" s="44" t="inlineStr">
        <is>
          <t>Student 29</t>
        </is>
      </c>
      <c r="D32" s="52">
        <f t="array" ref="D32:W32">IF(All_Students_Scores!C30:V30="","",All_Students_Scores!C30:V30)</f>
        <v/>
      </c>
      <c r="E32" s="57" t="str"/>
      <c r="F32" s="66" t="str"/>
      <c r="G32" s="67" t="str"/>
      <c r="H32" s="64" t="str"/>
      <c r="I32" s="65" t="str"/>
      <c r="J32" s="66" t="str"/>
      <c r="K32" s="67" t="str"/>
      <c r="L32" s="41" t="str"/>
      <c r="M32" s="41" t="str"/>
      <c r="N32" s="66" t="str"/>
      <c r="O32" s="67" t="str"/>
      <c r="P32" s="41" t="str"/>
      <c r="Q32" s="41" t="str"/>
      <c r="R32" s="66" t="str"/>
      <c r="S32" s="67" t="str"/>
      <c r="T32" s="41" t="str"/>
      <c r="U32" s="41" t="str"/>
      <c r="V32" s="66" t="str"/>
      <c r="W32" s="67" t="str"/>
    </row>
    <row r="33">
      <c r="B33" s="2">
        <f>IF(STUDENTS!B32="","",STUDENTS!B32)</f>
        <v/>
      </c>
      <c r="C33" s="44" t="inlineStr">
        <is>
          <t>Student 30</t>
        </is>
      </c>
      <c r="D33" s="52">
        <f t="array" ref="D33:W33">IF(All_Students_Scores!C31:V31="","",All_Students_Scores!C31:V31)</f>
        <v/>
      </c>
      <c r="E33" s="55" t="str"/>
      <c r="F33" s="48" t="str"/>
      <c r="G33" s="58" t="str"/>
      <c r="H33" s="62" t="str"/>
      <c r="I33" s="63" t="str"/>
      <c r="J33" s="48" t="str"/>
      <c r="K33" s="58" t="str"/>
      <c r="L33" s="42" t="str"/>
      <c r="M33" s="42" t="str"/>
      <c r="N33" s="48" t="str"/>
      <c r="O33" s="58" t="str"/>
      <c r="P33" s="42" t="str"/>
      <c r="Q33" s="42" t="str"/>
      <c r="R33" s="48" t="str"/>
      <c r="S33" s="58" t="str"/>
      <c r="T33" s="42" t="str"/>
      <c r="U33" s="42" t="str"/>
      <c r="V33" s="48" t="str"/>
      <c r="W33" s="58" t="str"/>
      <c r="X33" s="42" t="n"/>
      <c r="Y33" s="42" t="n"/>
    </row>
    <row r="34">
      <c r="B34" s="2">
        <f>IF(STUDENTS!B33="","",STUDENTS!B33)</f>
        <v/>
      </c>
      <c r="C34" s="44" t="inlineStr">
        <is>
          <t>Student 31</t>
        </is>
      </c>
      <c r="D34" s="52">
        <f t="array" ref="D34:W34">IF(All_Students_Scores!C32:V32="","",All_Students_Scores!C32:V32)</f>
        <v/>
      </c>
      <c r="E34" s="57" t="str"/>
      <c r="F34" s="66" t="str"/>
      <c r="G34" s="67" t="str"/>
      <c r="H34" s="64" t="str"/>
      <c r="I34" s="65" t="str"/>
      <c r="J34" s="66" t="str"/>
      <c r="K34" s="67" t="str"/>
      <c r="L34" s="41" t="str"/>
      <c r="M34" s="41" t="str"/>
      <c r="N34" s="66" t="str"/>
      <c r="O34" s="67" t="str"/>
      <c r="P34" s="41" t="str"/>
      <c r="Q34" s="41" t="str"/>
      <c r="R34" s="66" t="str"/>
      <c r="S34" s="67" t="str"/>
      <c r="T34" s="41" t="str"/>
      <c r="U34" s="41" t="str"/>
      <c r="V34" s="66" t="str"/>
      <c r="W34" s="67" t="str"/>
    </row>
    <row r="35">
      <c r="B35" s="2">
        <f>IF(STUDENTS!B34="","",STUDENTS!B34)</f>
        <v/>
      </c>
      <c r="C35" s="44" t="inlineStr">
        <is>
          <t>Student 32</t>
        </is>
      </c>
      <c r="D35" s="52">
        <f t="array" ref="D35:W35">IF(All_Students_Scores!C33:V33="","",All_Students_Scores!C33:V33)</f>
        <v/>
      </c>
      <c r="E35" s="55" t="str"/>
      <c r="F35" s="48" t="str"/>
      <c r="G35" s="58" t="str"/>
      <c r="H35" s="62" t="str"/>
      <c r="I35" s="63" t="str"/>
      <c r="J35" s="48" t="str"/>
      <c r="K35" s="58" t="str"/>
      <c r="L35" s="42" t="str"/>
      <c r="M35" s="42" t="str"/>
      <c r="N35" s="48" t="str"/>
      <c r="O35" s="58" t="str"/>
      <c r="P35" s="42" t="str"/>
      <c r="Q35" s="42" t="str"/>
      <c r="R35" s="48" t="str"/>
      <c r="S35" s="58" t="str"/>
      <c r="T35" s="42" t="str"/>
      <c r="U35" s="42" t="str"/>
      <c r="V35" s="48" t="str"/>
      <c r="W35" s="58" t="str"/>
      <c r="X35" s="42" t="n"/>
      <c r="Y35" s="42" t="n"/>
    </row>
    <row r="36">
      <c r="B36" s="2">
        <f>IF(STUDENTS!B35="","",STUDENTS!B35)</f>
        <v/>
      </c>
      <c r="C36" s="44" t="inlineStr">
        <is>
          <t>Student 33</t>
        </is>
      </c>
      <c r="D36" s="52">
        <f t="array" ref="D36:W36">IF(All_Students_Scores!C34:V34="","",All_Students_Scores!C34:V34)</f>
        <v/>
      </c>
      <c r="E36" s="57" t="str"/>
      <c r="F36" s="66" t="str"/>
      <c r="G36" s="67" t="str"/>
      <c r="H36" s="64" t="str"/>
      <c r="I36" s="65" t="str"/>
      <c r="J36" s="66" t="str"/>
      <c r="K36" s="67" t="str"/>
      <c r="L36" s="41" t="str"/>
      <c r="M36" s="41" t="str"/>
      <c r="N36" s="66" t="str"/>
      <c r="O36" s="67" t="str"/>
      <c r="P36" s="41" t="str"/>
      <c r="Q36" s="41" t="str"/>
      <c r="R36" s="66" t="str"/>
      <c r="S36" s="67" t="str"/>
      <c r="T36" s="41" t="str"/>
      <c r="U36" s="41" t="str"/>
      <c r="V36" s="66" t="str"/>
      <c r="W36" s="67" t="str"/>
    </row>
    <row r="37">
      <c r="B37" s="2">
        <f>IF(STUDENTS!B36="","",STUDENTS!B36)</f>
        <v/>
      </c>
      <c r="C37" s="44" t="inlineStr">
        <is>
          <t>Student 34</t>
        </is>
      </c>
      <c r="D37" s="52">
        <f t="array" ref="D37:W37">IF(All_Students_Scores!C35:V35="","",All_Students_Scores!C35:V35)</f>
        <v/>
      </c>
      <c r="E37" s="55" t="str"/>
      <c r="F37" s="48" t="str"/>
      <c r="G37" s="58" t="str"/>
      <c r="H37" s="62" t="str"/>
      <c r="I37" s="63" t="str"/>
      <c r="J37" s="48" t="str"/>
      <c r="K37" s="58" t="str"/>
      <c r="L37" s="42" t="str"/>
      <c r="M37" s="42" t="str"/>
      <c r="N37" s="48" t="str"/>
      <c r="O37" s="58" t="str"/>
      <c r="P37" s="42" t="str"/>
      <c r="Q37" s="42" t="str"/>
      <c r="R37" s="48" t="str"/>
      <c r="S37" s="58" t="str"/>
      <c r="T37" s="42" t="str"/>
      <c r="U37" s="42" t="str"/>
      <c r="V37" s="48" t="str"/>
      <c r="W37" s="58" t="str"/>
      <c r="X37" s="42" t="n"/>
      <c r="Y37" s="42" t="n"/>
    </row>
    <row r="38">
      <c r="B38" s="2">
        <f>IF(STUDENTS!B37="","",STUDENTS!B37)</f>
        <v/>
      </c>
      <c r="C38" s="44" t="inlineStr">
        <is>
          <t>Student 35</t>
        </is>
      </c>
      <c r="D38" s="52">
        <f t="array" ref="D38:W38">IF(All_Students_Scores!C36:V36="","",All_Students_Scores!C36:V36)</f>
        <v/>
      </c>
      <c r="E38" s="57" t="str"/>
      <c r="F38" s="66" t="str"/>
      <c r="G38" s="67" t="str"/>
      <c r="H38" s="64" t="str"/>
      <c r="I38" s="65" t="str"/>
      <c r="J38" s="66" t="str"/>
      <c r="K38" s="67" t="str"/>
      <c r="L38" s="41" t="str"/>
      <c r="M38" s="41" t="str"/>
      <c r="N38" s="66" t="str"/>
      <c r="O38" s="67" t="str"/>
      <c r="P38" s="41" t="str"/>
      <c r="Q38" s="41" t="str"/>
      <c r="R38" s="66" t="str"/>
      <c r="S38" s="67" t="str"/>
      <c r="T38" s="41" t="str"/>
      <c r="U38" s="41" t="str"/>
      <c r="V38" s="66" t="str"/>
      <c r="W38" s="67" t="str"/>
    </row>
    <row r="39">
      <c r="B39" s="2">
        <f>IF(STUDENTS!B38="","",STUDENTS!B38)</f>
        <v/>
      </c>
      <c r="C39" s="44" t="inlineStr">
        <is>
          <t>Student 36</t>
        </is>
      </c>
      <c r="D39" s="52">
        <f t="array" ref="D39:W39">IF(All_Students_Scores!C37:V37="","",All_Students_Scores!C37:V37)</f>
        <v/>
      </c>
      <c r="E39" s="55" t="str"/>
      <c r="F39" s="48" t="str"/>
      <c r="G39" s="58" t="str"/>
      <c r="H39" s="62" t="str"/>
      <c r="I39" s="63" t="str"/>
      <c r="J39" s="48" t="str"/>
      <c r="K39" s="58" t="str"/>
      <c r="L39" s="42" t="str"/>
      <c r="M39" s="42" t="str"/>
      <c r="N39" s="48" t="str"/>
      <c r="O39" s="58" t="str"/>
      <c r="P39" s="42" t="str"/>
      <c r="Q39" s="42" t="str"/>
      <c r="R39" s="48" t="str"/>
      <c r="S39" s="58" t="str"/>
      <c r="T39" s="42" t="str"/>
      <c r="U39" s="42" t="str"/>
      <c r="V39" s="48" t="str"/>
      <c r="W39" s="58" t="str"/>
      <c r="X39" s="42" t="n"/>
      <c r="Y39" s="42" t="n"/>
    </row>
    <row r="40">
      <c r="B40" s="2">
        <f>IF(STUDENTS!B39="","",STUDENTS!B39)</f>
        <v/>
      </c>
      <c r="C40" s="44" t="inlineStr">
        <is>
          <t>Student 37</t>
        </is>
      </c>
      <c r="D40" s="52">
        <f t="array" ref="D40:W40">IF(All_Students_Scores!C38:V38="","",All_Students_Scores!C38:V38)</f>
        <v/>
      </c>
      <c r="E40" s="57" t="str"/>
      <c r="F40" s="66" t="str"/>
      <c r="G40" s="67" t="str"/>
      <c r="H40" s="64" t="str"/>
      <c r="I40" s="65" t="str"/>
      <c r="J40" s="66" t="str"/>
      <c r="K40" s="67" t="str"/>
      <c r="L40" s="41" t="str"/>
      <c r="M40" s="41" t="str"/>
      <c r="N40" s="66" t="str"/>
      <c r="O40" s="67" t="str"/>
      <c r="P40" s="41" t="str"/>
      <c r="Q40" s="41" t="str"/>
      <c r="R40" s="66" t="str"/>
      <c r="S40" s="67" t="str"/>
      <c r="T40" s="41" t="str"/>
      <c r="U40" s="41" t="str"/>
      <c r="V40" s="66" t="str"/>
      <c r="W40" s="67" t="str"/>
    </row>
    <row r="41">
      <c r="B41" s="2">
        <f>IF(STUDENTS!B40="","",STUDENTS!B40)</f>
        <v/>
      </c>
      <c r="C41" s="44" t="inlineStr">
        <is>
          <t>Student 38</t>
        </is>
      </c>
      <c r="D41" s="52">
        <f t="array" ref="D41:W41">IF(All_Students_Scores!C39:V39="","",All_Students_Scores!C39:V39)</f>
        <v/>
      </c>
      <c r="E41" s="55" t="str"/>
      <c r="F41" s="48" t="str"/>
      <c r="G41" s="58" t="str"/>
      <c r="H41" s="62" t="str"/>
      <c r="I41" s="63" t="str"/>
      <c r="J41" s="48" t="str"/>
      <c r="K41" s="58" t="str"/>
      <c r="L41" s="42" t="str"/>
      <c r="M41" s="42" t="str"/>
      <c r="N41" s="48" t="str"/>
      <c r="O41" s="58" t="str"/>
      <c r="P41" s="42" t="str"/>
      <c r="Q41" s="42" t="str"/>
      <c r="R41" s="48" t="str"/>
      <c r="S41" s="58" t="str"/>
      <c r="T41" s="42" t="str"/>
      <c r="U41" s="42" t="str"/>
      <c r="V41" s="48" t="str"/>
      <c r="W41" s="58" t="str"/>
      <c r="X41" s="42" t="n"/>
      <c r="Y41" s="42" t="n"/>
    </row>
    <row r="42">
      <c r="B42" s="2">
        <f>IF(STUDENTS!B41="","",STUDENTS!B41)</f>
        <v/>
      </c>
      <c r="C42" s="44" t="inlineStr">
        <is>
          <t>Student 39</t>
        </is>
      </c>
      <c r="D42" s="52">
        <f t="array" ref="D42:W42">IF(All_Students_Scores!C40:V40="","",All_Students_Scores!C40:V40)</f>
        <v/>
      </c>
      <c r="E42" s="57" t="str"/>
      <c r="F42" s="66" t="str"/>
      <c r="G42" s="67" t="str"/>
      <c r="H42" s="64" t="str"/>
      <c r="I42" s="65" t="str"/>
      <c r="J42" s="66" t="str"/>
      <c r="K42" s="67" t="str"/>
      <c r="L42" s="41" t="str"/>
      <c r="M42" s="41" t="str"/>
      <c r="N42" s="66" t="str"/>
      <c r="O42" s="67" t="str"/>
      <c r="P42" s="41" t="str"/>
      <c r="Q42" s="41" t="str"/>
      <c r="R42" s="66" t="str"/>
      <c r="S42" s="67" t="str"/>
      <c r="T42" s="41" t="str"/>
      <c r="U42" s="41" t="str"/>
      <c r="V42" s="66" t="str"/>
      <c r="W42" s="67" t="str"/>
    </row>
    <row r="43">
      <c r="B43" s="2">
        <f>IF(STUDENTS!B42="","",STUDENTS!B42)</f>
        <v/>
      </c>
      <c r="C43" s="44" t="inlineStr">
        <is>
          <t>Student 40</t>
        </is>
      </c>
      <c r="D43" s="52">
        <f t="array" ref="D43:W43">IF(All_Students_Scores!C41:V41="","",All_Students_Scores!C41:V41)</f>
        <v/>
      </c>
      <c r="E43" s="55" t="str"/>
      <c r="F43" s="48" t="str"/>
      <c r="G43" s="58" t="str"/>
      <c r="H43" s="62" t="str"/>
      <c r="I43" s="63" t="str"/>
      <c r="J43" s="48" t="str"/>
      <c r="K43" s="58" t="str"/>
      <c r="L43" s="42" t="str"/>
      <c r="M43" s="42" t="str"/>
      <c r="N43" s="48" t="str"/>
      <c r="O43" s="58" t="str"/>
      <c r="P43" s="42" t="str"/>
      <c r="Q43" s="42" t="str"/>
      <c r="R43" s="48" t="str"/>
      <c r="S43" s="58" t="str"/>
      <c r="T43" s="42" t="str"/>
      <c r="U43" s="42" t="str"/>
      <c r="V43" s="48" t="str"/>
      <c r="W43" s="58" t="str"/>
      <c r="X43" s="42" t="n"/>
      <c r="Y43" s="42" t="n"/>
    </row>
    <row r="44">
      <c r="B44" s="2">
        <f>IF(STUDENTS!B43="","",STUDENTS!B43)</f>
        <v/>
      </c>
      <c r="C44" s="44" t="inlineStr">
        <is>
          <t>Student 41</t>
        </is>
      </c>
      <c r="D44" s="52">
        <f t="array" ref="D44:W44">IF(All_Students_Scores!C42:V42="","",All_Students_Scores!C42:V42)</f>
        <v/>
      </c>
      <c r="E44" s="57" t="str"/>
      <c r="F44" s="66" t="str"/>
      <c r="G44" s="67" t="str"/>
      <c r="H44" s="64" t="str"/>
      <c r="I44" s="65" t="str"/>
      <c r="J44" s="66" t="str"/>
      <c r="K44" s="67" t="str"/>
      <c r="L44" s="41" t="str"/>
      <c r="M44" s="41" t="str"/>
      <c r="N44" s="66" t="str"/>
      <c r="O44" s="67" t="str"/>
      <c r="P44" s="41" t="str"/>
      <c r="Q44" s="41" t="str"/>
      <c r="R44" s="66" t="str"/>
      <c r="S44" s="67" t="str"/>
      <c r="T44" s="41" t="str"/>
      <c r="U44" s="41" t="str"/>
      <c r="V44" s="66" t="str"/>
      <c r="W44" s="67" t="str"/>
    </row>
    <row r="45">
      <c r="B45" s="2">
        <f>IF(STUDENTS!B44="","",STUDENTS!B44)</f>
        <v/>
      </c>
      <c r="C45" s="44" t="inlineStr">
        <is>
          <t>Student 42</t>
        </is>
      </c>
      <c r="D45" s="52">
        <f t="array" ref="D45:W45">IF(All_Students_Scores!C43:V43="","",All_Students_Scores!C43:V43)</f>
        <v/>
      </c>
      <c r="E45" s="55" t="str"/>
      <c r="F45" s="48" t="str"/>
      <c r="G45" s="58" t="str"/>
      <c r="H45" s="62" t="str"/>
      <c r="I45" s="63" t="str"/>
      <c r="J45" s="48" t="str"/>
      <c r="K45" s="58" t="str"/>
      <c r="L45" s="42" t="str"/>
      <c r="M45" s="42" t="str"/>
      <c r="N45" s="48" t="str"/>
      <c r="O45" s="58" t="str"/>
      <c r="P45" s="42" t="str"/>
      <c r="Q45" s="42" t="str"/>
      <c r="R45" s="48" t="str"/>
      <c r="S45" s="58" t="str"/>
      <c r="T45" s="42" t="str"/>
      <c r="U45" s="42" t="str"/>
      <c r="V45" s="48" t="str"/>
      <c r="W45" s="58" t="str"/>
      <c r="X45" s="42" t="n"/>
      <c r="Y45" s="42" t="n"/>
    </row>
    <row r="46">
      <c r="B46" s="2">
        <f>IF(STUDENTS!B45="","",STUDENTS!B45)</f>
        <v/>
      </c>
      <c r="C46" s="44" t="inlineStr">
        <is>
          <t>Student 43</t>
        </is>
      </c>
      <c r="D46" s="52">
        <f t="array" ref="D46:W46">IF(All_Students_Scores!C44:V44="","",All_Students_Scores!C44:V44)</f>
        <v/>
      </c>
      <c r="E46" s="57" t="str"/>
      <c r="F46" s="66" t="str"/>
      <c r="G46" s="67" t="str"/>
      <c r="H46" s="64" t="str"/>
      <c r="I46" s="65" t="str"/>
      <c r="J46" s="66" t="str"/>
      <c r="K46" s="67" t="str"/>
      <c r="L46" s="41" t="str"/>
      <c r="M46" s="41" t="str"/>
      <c r="N46" s="66" t="str"/>
      <c r="O46" s="67" t="str"/>
      <c r="P46" s="41" t="str"/>
      <c r="Q46" s="41" t="str"/>
      <c r="R46" s="66" t="str"/>
      <c r="S46" s="67" t="str"/>
      <c r="T46" s="41" t="str"/>
      <c r="U46" s="41" t="str"/>
      <c r="V46" s="66" t="str"/>
      <c r="W46" s="67" t="str"/>
    </row>
    <row r="47">
      <c r="B47" s="2">
        <f>IF(STUDENTS!B46="","",STUDENTS!B46)</f>
        <v/>
      </c>
      <c r="C47" s="44" t="inlineStr">
        <is>
          <t>Student 44</t>
        </is>
      </c>
      <c r="D47" s="52">
        <f t="array" ref="D47:W47">IF(All_Students_Scores!C45:V45="","",All_Students_Scores!C45:V45)</f>
        <v/>
      </c>
      <c r="E47" s="55" t="str"/>
      <c r="F47" s="48" t="str"/>
      <c r="G47" s="58" t="str"/>
      <c r="H47" s="62" t="str"/>
      <c r="I47" s="63" t="str"/>
      <c r="J47" s="48" t="str"/>
      <c r="K47" s="58" t="str"/>
      <c r="L47" s="42" t="str"/>
      <c r="M47" s="42" t="str"/>
      <c r="N47" s="48" t="str"/>
      <c r="O47" s="58" t="str"/>
      <c r="P47" s="42" t="str"/>
      <c r="Q47" s="42" t="str"/>
      <c r="R47" s="48" t="str"/>
      <c r="S47" s="58" t="str"/>
      <c r="T47" s="42" t="str"/>
      <c r="U47" s="42" t="str"/>
      <c r="V47" s="48" t="str"/>
      <c r="W47" s="58" t="str"/>
      <c r="X47" s="42" t="n"/>
      <c r="Y47" s="42" t="n"/>
    </row>
    <row r="48">
      <c r="B48" s="2">
        <f>IF(STUDENTS!B47="","",STUDENTS!B47)</f>
        <v/>
      </c>
      <c r="C48" s="44" t="inlineStr">
        <is>
          <t>Student 45</t>
        </is>
      </c>
      <c r="D48" s="52">
        <f t="array" ref="D48:W48">IF(All_Students_Scores!C46:V46="","",All_Students_Scores!C46:V46)</f>
        <v/>
      </c>
      <c r="E48" s="57" t="str"/>
      <c r="F48" s="66" t="str"/>
      <c r="G48" s="67" t="str"/>
      <c r="H48" s="64" t="str"/>
      <c r="I48" s="65" t="str"/>
      <c r="J48" s="66" t="str"/>
      <c r="K48" s="67" t="str"/>
      <c r="L48" s="41" t="str"/>
      <c r="M48" s="41" t="str"/>
      <c r="N48" s="66" t="str"/>
      <c r="O48" s="67" t="str"/>
      <c r="P48" s="41" t="str"/>
      <c r="Q48" s="41" t="str"/>
      <c r="R48" s="66" t="str"/>
      <c r="S48" s="67" t="str"/>
      <c r="T48" s="41" t="str"/>
      <c r="U48" s="41" t="str"/>
      <c r="V48" s="66" t="str"/>
      <c r="W48" s="67" t="str"/>
    </row>
    <row r="49">
      <c r="B49" s="2">
        <f>IF(STUDENTS!B48="","",STUDENTS!B48)</f>
        <v/>
      </c>
      <c r="C49" s="44" t="inlineStr">
        <is>
          <t>Student 46</t>
        </is>
      </c>
      <c r="D49" s="52">
        <f t="array" ref="D49:W49">IF(All_Students_Scores!C47:V47="","",All_Students_Scores!C47:V47)</f>
        <v/>
      </c>
      <c r="E49" s="55" t="str"/>
      <c r="F49" s="48" t="str"/>
      <c r="G49" s="58" t="str"/>
      <c r="H49" s="62" t="str"/>
      <c r="I49" s="63" t="str"/>
      <c r="J49" s="48" t="str"/>
      <c r="K49" s="58" t="str"/>
      <c r="L49" s="42" t="str"/>
      <c r="M49" s="42" t="str"/>
      <c r="N49" s="48" t="str"/>
      <c r="O49" s="58" t="str"/>
      <c r="P49" s="42" t="str"/>
      <c r="Q49" s="42" t="str"/>
      <c r="R49" s="48" t="str"/>
      <c r="S49" s="58" t="str"/>
      <c r="T49" s="42" t="str"/>
      <c r="U49" s="42" t="str"/>
      <c r="V49" s="48" t="str"/>
      <c r="W49" s="58" t="str"/>
      <c r="X49" s="42" t="n"/>
      <c r="Y49" s="42" t="n"/>
    </row>
    <row r="50">
      <c r="B50" s="2">
        <f>IF(STUDENTS!B49="","",STUDENTS!B49)</f>
        <v/>
      </c>
      <c r="C50" s="44" t="inlineStr">
        <is>
          <t>Student 47</t>
        </is>
      </c>
      <c r="D50" s="52">
        <f t="array" ref="D50:W50">IF(All_Students_Scores!C48:V48="","",All_Students_Scores!C48:V48)</f>
        <v/>
      </c>
      <c r="E50" s="57" t="str"/>
      <c r="F50" s="66" t="str"/>
      <c r="G50" s="67" t="str"/>
      <c r="H50" s="64" t="str"/>
      <c r="I50" s="65" t="str"/>
      <c r="J50" s="66" t="str"/>
      <c r="K50" s="67" t="str"/>
      <c r="L50" s="41" t="str"/>
      <c r="M50" s="41" t="str"/>
      <c r="N50" s="66" t="str"/>
      <c r="O50" s="67" t="str"/>
      <c r="P50" s="41" t="str"/>
      <c r="Q50" s="41" t="str"/>
      <c r="R50" s="66" t="str"/>
      <c r="S50" s="67" t="str"/>
      <c r="T50" s="41" t="str"/>
      <c r="U50" s="41" t="str"/>
      <c r="V50" s="66" t="str"/>
      <c r="W50" s="67" t="str"/>
    </row>
    <row r="51">
      <c r="B51" s="2">
        <f>IF(STUDENTS!B50="","",STUDENTS!B50)</f>
        <v/>
      </c>
      <c r="C51" s="44" t="inlineStr">
        <is>
          <t>Student 48</t>
        </is>
      </c>
      <c r="D51" s="52">
        <f t="array" ref="D51:W51">IF(All_Students_Scores!C49:V49="","",All_Students_Scores!C49:V49)</f>
        <v/>
      </c>
      <c r="E51" s="55" t="str"/>
      <c r="F51" s="48" t="str"/>
      <c r="G51" s="58" t="str"/>
      <c r="H51" s="62" t="str"/>
      <c r="I51" s="63" t="str"/>
      <c r="J51" s="48" t="str"/>
      <c r="K51" s="58" t="str"/>
      <c r="L51" s="42" t="str"/>
      <c r="M51" s="42" t="str"/>
      <c r="N51" s="48" t="str"/>
      <c r="O51" s="58" t="str"/>
      <c r="P51" s="42" t="str"/>
      <c r="Q51" s="42" t="str"/>
      <c r="R51" s="48" t="str"/>
      <c r="S51" s="58" t="str"/>
      <c r="T51" s="42" t="str"/>
      <c r="U51" s="42" t="str"/>
      <c r="V51" s="48" t="str"/>
      <c r="W51" s="58" t="str"/>
      <c r="X51" s="42" t="n"/>
      <c r="Y51" s="42" t="n"/>
    </row>
    <row r="52">
      <c r="B52" s="2">
        <f>IF(STUDENTS!B51="","",STUDENTS!B51)</f>
        <v/>
      </c>
      <c r="C52" s="44" t="inlineStr">
        <is>
          <t>Student 49</t>
        </is>
      </c>
      <c r="D52" s="52">
        <f t="array" ref="D52:W52">IF(All_Students_Scores!C50:V50="","",All_Students_Scores!C50:V50)</f>
        <v/>
      </c>
      <c r="E52" s="57" t="str"/>
      <c r="F52" s="66" t="str"/>
      <c r="G52" s="67" t="str"/>
      <c r="H52" s="64" t="str"/>
      <c r="I52" s="65" t="str"/>
      <c r="J52" s="66" t="str"/>
      <c r="K52" s="67" t="str"/>
      <c r="L52" s="41" t="str"/>
      <c r="M52" s="41" t="str"/>
      <c r="N52" s="66" t="str"/>
      <c r="O52" s="67" t="str"/>
      <c r="P52" s="41" t="str"/>
      <c r="Q52" s="41" t="str"/>
      <c r="R52" s="66" t="str"/>
      <c r="S52" s="67" t="str"/>
      <c r="T52" s="41" t="str"/>
      <c r="U52" s="41" t="str"/>
      <c r="V52" s="66" t="str"/>
      <c r="W52" s="67" t="str"/>
    </row>
    <row r="53">
      <c r="B53" s="2">
        <f>IF(STUDENTS!B52="","",STUDENTS!B52)</f>
        <v/>
      </c>
      <c r="C53" s="44" t="inlineStr">
        <is>
          <t>Student 50</t>
        </is>
      </c>
      <c r="D53" s="52">
        <f t="array" ref="D53:W53">IF(All_Students_Scores!C51:V51="","",All_Students_Scores!C51:V51)</f>
        <v/>
      </c>
      <c r="E53" s="55" t="str"/>
      <c r="F53" s="48" t="str"/>
      <c r="G53" s="58" t="str"/>
      <c r="H53" s="62" t="str"/>
      <c r="I53" s="63" t="str"/>
      <c r="J53" s="48" t="str"/>
      <c r="K53" s="58" t="str"/>
      <c r="L53" s="42" t="str"/>
      <c r="M53" s="42" t="str"/>
      <c r="N53" s="48" t="str"/>
      <c r="O53" s="58" t="str"/>
      <c r="P53" s="42" t="str"/>
      <c r="Q53" s="42" t="str"/>
      <c r="R53" s="48" t="str"/>
      <c r="S53" s="58" t="str"/>
      <c r="T53" s="42" t="str"/>
      <c r="U53" s="42" t="str"/>
      <c r="V53" s="48" t="str"/>
      <c r="W53" s="58" t="str"/>
      <c r="X53" s="42" t="n"/>
      <c r="Y53" s="42" t="n"/>
    </row>
    <row r="54">
      <c r="B54" s="2">
        <f>IF(STUDENTS!B53="","",STUDENTS!B53)</f>
        <v/>
      </c>
      <c r="C54" s="44" t="inlineStr">
        <is>
          <t>Student 51</t>
        </is>
      </c>
      <c r="D54" s="52">
        <f t="array" ref="D54:W54">IF(All_Students_Scores!C52:V52="","",All_Students_Scores!C52:V52)</f>
        <v/>
      </c>
      <c r="E54" s="57" t="str"/>
      <c r="F54" s="66" t="str"/>
      <c r="G54" s="67" t="str"/>
      <c r="H54" s="64" t="str"/>
      <c r="I54" s="65" t="str"/>
      <c r="J54" s="66" t="str"/>
      <c r="K54" s="67" t="str"/>
      <c r="L54" s="41" t="str"/>
      <c r="M54" s="41" t="str"/>
      <c r="N54" s="66" t="str"/>
      <c r="O54" s="67" t="str"/>
      <c r="P54" s="41" t="str"/>
      <c r="Q54" s="41" t="str"/>
      <c r="R54" s="66" t="str"/>
      <c r="S54" s="67" t="str"/>
      <c r="T54" s="41" t="str"/>
      <c r="U54" s="41" t="str"/>
      <c r="V54" s="66" t="str"/>
      <c r="W54" s="67" t="str"/>
    </row>
    <row r="55">
      <c r="B55" s="2">
        <f>IF(STUDENTS!B54="","",STUDENTS!B54)</f>
        <v/>
      </c>
      <c r="C55" s="44" t="inlineStr">
        <is>
          <t>Student 52</t>
        </is>
      </c>
      <c r="D55" s="52">
        <f t="array" ref="D55:W55">IF(All_Students_Scores!C53:V53="","",All_Students_Scores!C53:V53)</f>
        <v/>
      </c>
      <c r="E55" s="55" t="str"/>
      <c r="F55" s="48" t="str"/>
      <c r="G55" s="58" t="str"/>
      <c r="H55" s="62" t="str"/>
      <c r="I55" s="63" t="str"/>
      <c r="J55" s="48" t="str"/>
      <c r="K55" s="58" t="str"/>
      <c r="L55" s="42" t="str"/>
      <c r="M55" s="42" t="str"/>
      <c r="N55" s="48" t="str"/>
      <c r="O55" s="58" t="str"/>
      <c r="P55" s="42" t="str"/>
      <c r="Q55" s="42" t="str"/>
      <c r="R55" s="48" t="str"/>
      <c r="S55" s="58" t="str"/>
      <c r="T55" s="42" t="str"/>
      <c r="U55" s="42" t="str"/>
      <c r="V55" s="48" t="str"/>
      <c r="W55" s="58" t="str"/>
      <c r="X55" s="42" t="n"/>
      <c r="Y55" s="42" t="n"/>
    </row>
    <row r="56">
      <c r="B56" s="2">
        <f>IF(STUDENTS!B55="","",STUDENTS!B55)</f>
        <v/>
      </c>
      <c r="C56" s="44" t="inlineStr">
        <is>
          <t>Student 53</t>
        </is>
      </c>
      <c r="D56" s="52">
        <f t="array" ref="D56:W56">IF(All_Students_Scores!C54:V54="","",All_Students_Scores!C54:V54)</f>
        <v/>
      </c>
      <c r="E56" s="57" t="str"/>
      <c r="F56" s="66" t="str"/>
      <c r="G56" s="67" t="str"/>
      <c r="H56" s="64" t="str"/>
      <c r="I56" s="65" t="str"/>
      <c r="J56" s="66" t="str"/>
      <c r="K56" s="67" t="str"/>
      <c r="L56" s="41" t="str"/>
      <c r="M56" s="41" t="str"/>
      <c r="N56" s="66" t="str"/>
      <c r="O56" s="67" t="str"/>
      <c r="P56" s="41" t="str"/>
      <c r="Q56" s="41" t="str"/>
      <c r="R56" s="66" t="str"/>
      <c r="S56" s="67" t="str"/>
      <c r="T56" s="41" t="str"/>
      <c r="U56" s="41" t="str"/>
      <c r="V56" s="66" t="str"/>
      <c r="W56" s="67" t="str"/>
    </row>
    <row r="57">
      <c r="B57" s="2">
        <f>IF(STUDENTS!B56="","",STUDENTS!B56)</f>
        <v/>
      </c>
      <c r="C57" s="44" t="inlineStr">
        <is>
          <t>Student 54</t>
        </is>
      </c>
      <c r="D57" s="52">
        <f t="array" ref="D57:W57">IF(All_Students_Scores!C55:V55="","",All_Students_Scores!C55:V55)</f>
        <v/>
      </c>
      <c r="E57" s="55" t="str"/>
      <c r="F57" s="48" t="str"/>
      <c r="G57" s="58" t="str"/>
      <c r="H57" s="62" t="str"/>
      <c r="I57" s="63" t="str"/>
      <c r="J57" s="48" t="str"/>
      <c r="K57" s="58" t="str"/>
      <c r="L57" s="42" t="str"/>
      <c r="M57" s="42" t="str"/>
      <c r="N57" s="48" t="str"/>
      <c r="O57" s="58" t="str"/>
      <c r="P57" s="42" t="str"/>
      <c r="Q57" s="42" t="str"/>
      <c r="R57" s="48" t="str"/>
      <c r="S57" s="58" t="str"/>
      <c r="T57" s="42" t="str"/>
      <c r="U57" s="42" t="str"/>
      <c r="V57" s="48" t="str"/>
      <c r="W57" s="58" t="str"/>
      <c r="X57" s="42" t="n"/>
      <c r="Y57" s="42" t="n"/>
    </row>
    <row r="58">
      <c r="B58" s="2">
        <f>IF(STUDENTS!B57="","",STUDENTS!B57)</f>
        <v/>
      </c>
      <c r="C58" s="44" t="inlineStr">
        <is>
          <t>Student 55</t>
        </is>
      </c>
      <c r="D58" s="52">
        <f t="array" ref="D58:W58">IF(All_Students_Scores!C56:V56="","",All_Students_Scores!C56:V56)</f>
        <v/>
      </c>
      <c r="E58" s="57" t="str"/>
      <c r="F58" s="66" t="str"/>
      <c r="G58" s="67" t="str"/>
      <c r="H58" s="64" t="str"/>
      <c r="I58" s="65" t="str"/>
      <c r="J58" s="66" t="str"/>
      <c r="K58" s="67" t="str"/>
      <c r="L58" s="41" t="str"/>
      <c r="M58" s="41" t="str"/>
      <c r="N58" s="66" t="str"/>
      <c r="O58" s="67" t="str"/>
      <c r="P58" s="41" t="str"/>
      <c r="Q58" s="41" t="str"/>
      <c r="R58" s="66" t="str"/>
      <c r="S58" s="67" t="str"/>
      <c r="T58" s="41" t="str"/>
      <c r="U58" s="41" t="str"/>
      <c r="V58" s="66" t="str"/>
      <c r="W58" s="67" t="str"/>
    </row>
    <row r="59">
      <c r="B59" s="2">
        <f>IF(STUDENTS!B58="","",STUDENTS!B58)</f>
        <v/>
      </c>
      <c r="C59" s="44" t="inlineStr">
        <is>
          <t>Student 56</t>
        </is>
      </c>
      <c r="D59" s="52">
        <f t="array" ref="D59:W59">IF(All_Students_Scores!C57:V57="","",All_Students_Scores!C57:V57)</f>
        <v/>
      </c>
      <c r="E59" s="55" t="str"/>
      <c r="F59" s="48" t="str"/>
      <c r="G59" s="58" t="str"/>
      <c r="H59" s="62" t="str"/>
      <c r="I59" s="63" t="str"/>
      <c r="J59" s="48" t="str"/>
      <c r="K59" s="58" t="str"/>
      <c r="L59" s="42" t="str"/>
      <c r="M59" s="42" t="str"/>
      <c r="N59" s="48" t="str"/>
      <c r="O59" s="58" t="str"/>
      <c r="P59" s="42" t="str"/>
      <c r="Q59" s="42" t="str"/>
      <c r="R59" s="48" t="str"/>
      <c r="S59" s="58" t="str"/>
      <c r="T59" s="42" t="str"/>
      <c r="U59" s="42" t="str"/>
      <c r="V59" s="48" t="str"/>
      <c r="W59" s="58" t="str"/>
      <c r="X59" s="42" t="n"/>
      <c r="Y59" s="42" t="n"/>
    </row>
    <row r="60">
      <c r="B60" s="2">
        <f>IF(STUDENTS!B59="","",STUDENTS!B59)</f>
        <v/>
      </c>
      <c r="C60" s="44" t="inlineStr">
        <is>
          <t>Student 57</t>
        </is>
      </c>
      <c r="D60" s="52">
        <f t="array" ref="D60:W60">IF(All_Students_Scores!C58:V58="","",All_Students_Scores!C58:V58)</f>
        <v/>
      </c>
      <c r="E60" s="57" t="str"/>
      <c r="F60" s="66" t="str"/>
      <c r="G60" s="67" t="str"/>
      <c r="H60" s="64" t="str"/>
      <c r="I60" s="65" t="str"/>
      <c r="J60" s="66" t="str"/>
      <c r="K60" s="67" t="str"/>
      <c r="L60" s="41" t="str"/>
      <c r="M60" s="41" t="str"/>
      <c r="N60" s="66" t="str"/>
      <c r="O60" s="67" t="str"/>
      <c r="P60" s="41" t="str"/>
      <c r="Q60" s="41" t="str"/>
      <c r="R60" s="66" t="str"/>
      <c r="S60" s="67" t="str"/>
      <c r="T60" s="41" t="str"/>
      <c r="U60" s="41" t="str"/>
      <c r="V60" s="66" t="str"/>
      <c r="W60" s="67" t="str"/>
    </row>
    <row r="61">
      <c r="B61" s="2">
        <f>IF(STUDENTS!B60="","",STUDENTS!B60)</f>
        <v/>
      </c>
      <c r="C61" s="44" t="inlineStr">
        <is>
          <t>Student 58</t>
        </is>
      </c>
      <c r="D61" s="52">
        <f t="array" ref="D61:W61">IF(All_Students_Scores!C59:V59="","",All_Students_Scores!C59:V59)</f>
        <v/>
      </c>
      <c r="E61" s="55" t="str"/>
      <c r="F61" s="48" t="str"/>
      <c r="G61" s="58" t="str"/>
      <c r="H61" s="62" t="str"/>
      <c r="I61" s="63" t="str"/>
      <c r="J61" s="48" t="str"/>
      <c r="K61" s="58" t="str"/>
      <c r="L61" s="42" t="str"/>
      <c r="M61" s="42" t="str"/>
      <c r="N61" s="48" t="str"/>
      <c r="O61" s="58" t="str"/>
      <c r="P61" s="42" t="str"/>
      <c r="Q61" s="42" t="str"/>
      <c r="R61" s="48" t="str"/>
      <c r="S61" s="58" t="str"/>
      <c r="T61" s="42" t="str"/>
      <c r="U61" s="42" t="str"/>
      <c r="V61" s="48" t="str"/>
      <c r="W61" s="58" t="str"/>
      <c r="X61" s="42" t="n"/>
      <c r="Y61" s="42" t="n"/>
    </row>
    <row r="62">
      <c r="B62" s="2">
        <f>IF(STUDENTS!B61="","",STUDENTS!B61)</f>
        <v/>
      </c>
      <c r="C62" s="44" t="inlineStr">
        <is>
          <t>Student 59</t>
        </is>
      </c>
      <c r="D62" s="52">
        <f t="array" ref="D62:W62">IF(All_Students_Scores!C60:V60="","",All_Students_Scores!C60:V60)</f>
        <v/>
      </c>
      <c r="E62" s="57" t="str"/>
      <c r="F62" s="66" t="str"/>
      <c r="G62" s="67" t="str"/>
      <c r="H62" s="64" t="str"/>
      <c r="I62" s="65" t="str"/>
      <c r="J62" s="66" t="str"/>
      <c r="K62" s="67" t="str"/>
      <c r="L62" s="41" t="str"/>
      <c r="M62" s="41" t="str"/>
      <c r="N62" s="66" t="str"/>
      <c r="O62" s="67" t="str"/>
      <c r="P62" s="41" t="str"/>
      <c r="Q62" s="41" t="str"/>
      <c r="R62" s="66" t="str"/>
      <c r="S62" s="67" t="str"/>
      <c r="T62" s="41" t="str"/>
      <c r="U62" s="41" t="str"/>
      <c r="V62" s="66" t="str"/>
      <c r="W62" s="67" t="str"/>
    </row>
    <row r="63">
      <c r="B63" s="2">
        <f>IF(STUDENTS!B62="","",STUDENTS!B62)</f>
        <v/>
      </c>
      <c r="C63" s="44" t="inlineStr">
        <is>
          <t>Student 60</t>
        </is>
      </c>
      <c r="D63" s="52">
        <f t="array" ref="D63:W63">IF(All_Students_Scores!C61:V61="","",All_Students_Scores!C61:V61)</f>
        <v/>
      </c>
      <c r="E63" s="55" t="str"/>
      <c r="F63" s="48" t="str"/>
      <c r="G63" s="58" t="str"/>
      <c r="H63" s="62" t="str"/>
      <c r="I63" s="63" t="str"/>
      <c r="J63" s="48" t="str"/>
      <c r="K63" s="58" t="str"/>
      <c r="L63" s="42" t="str"/>
      <c r="M63" s="42" t="str"/>
      <c r="N63" s="48" t="str"/>
      <c r="O63" s="58" t="str"/>
      <c r="P63" s="42" t="str"/>
      <c r="Q63" s="42" t="str"/>
      <c r="R63" s="48" t="str"/>
      <c r="S63" s="58" t="str"/>
      <c r="T63" s="42" t="str"/>
      <c r="U63" s="42" t="str"/>
      <c r="V63" s="48" t="str"/>
      <c r="W63" s="58" t="str"/>
      <c r="X63" s="42" t="n"/>
      <c r="Y63" s="42" t="n"/>
    </row>
    <row r="64">
      <c r="B64" s="2">
        <f>IF(STUDENTS!B63="","",STUDENTS!B63)</f>
        <v/>
      </c>
      <c r="C64" s="44" t="inlineStr">
        <is>
          <t>Student 61</t>
        </is>
      </c>
      <c r="D64" s="52">
        <f t="array" ref="D64:W64">IF(All_Students_Scores!C62:V62="","",All_Students_Scores!C62:V62)</f>
        <v/>
      </c>
      <c r="E64" s="57" t="str"/>
      <c r="F64" s="66" t="str"/>
      <c r="G64" s="67" t="str"/>
      <c r="H64" s="64" t="str"/>
      <c r="I64" s="65" t="str"/>
      <c r="J64" s="66" t="str"/>
      <c r="K64" s="67" t="str"/>
      <c r="L64" s="41" t="str"/>
      <c r="M64" s="41" t="str"/>
      <c r="N64" s="66" t="str"/>
      <c r="O64" s="67" t="str"/>
      <c r="P64" s="41" t="str"/>
      <c r="Q64" s="41" t="str"/>
      <c r="R64" s="66" t="str"/>
      <c r="S64" s="67" t="str"/>
      <c r="T64" s="41" t="str"/>
      <c r="U64" s="41" t="str"/>
      <c r="V64" s="66" t="str"/>
      <c r="W64" s="67" t="str"/>
    </row>
    <row r="65">
      <c r="B65" s="2">
        <f>IF(STUDENTS!B64="","",STUDENTS!B64)</f>
        <v/>
      </c>
      <c r="C65" s="44" t="inlineStr">
        <is>
          <t>Student 62</t>
        </is>
      </c>
      <c r="D65" s="52">
        <f t="array" ref="D65:W65">IF(All_Students_Scores!C63:V63="","",All_Students_Scores!C63:V63)</f>
        <v/>
      </c>
      <c r="E65" s="55" t="str"/>
      <c r="F65" s="48" t="str"/>
      <c r="G65" s="58" t="str"/>
      <c r="H65" s="62" t="str"/>
      <c r="I65" s="63" t="str"/>
      <c r="J65" s="48" t="str"/>
      <c r="K65" s="58" t="str"/>
      <c r="L65" s="42" t="str"/>
      <c r="M65" s="42" t="str"/>
      <c r="N65" s="48" t="str"/>
      <c r="O65" s="58" t="str"/>
      <c r="P65" s="42" t="str"/>
      <c r="Q65" s="42" t="str"/>
      <c r="R65" s="48" t="str"/>
      <c r="S65" s="58" t="str"/>
      <c r="T65" s="42" t="str"/>
      <c r="U65" s="42" t="str"/>
      <c r="V65" s="48" t="str"/>
      <c r="W65" s="58" t="str"/>
      <c r="X65" s="42" t="n"/>
      <c r="Y65" s="42" t="n"/>
    </row>
    <row r="66">
      <c r="B66" s="2">
        <f>IF(STUDENTS!B65="","",STUDENTS!B65)</f>
        <v/>
      </c>
      <c r="C66" s="44" t="inlineStr">
        <is>
          <t>Student 63</t>
        </is>
      </c>
      <c r="D66" s="52">
        <f t="array" ref="D66:W66">IF(All_Students_Scores!C64:V64="","",All_Students_Scores!C64:V64)</f>
        <v/>
      </c>
      <c r="E66" s="57" t="str"/>
      <c r="F66" s="66" t="str"/>
      <c r="G66" s="67" t="str"/>
      <c r="H66" s="64" t="str"/>
      <c r="I66" s="65" t="str"/>
      <c r="J66" s="66" t="str"/>
      <c r="K66" s="67" t="str"/>
      <c r="L66" s="41" t="str"/>
      <c r="M66" s="41" t="str"/>
      <c r="N66" s="66" t="str"/>
      <c r="O66" s="67" t="str"/>
      <c r="P66" s="41" t="str"/>
      <c r="Q66" s="41" t="str"/>
      <c r="R66" s="66" t="str"/>
      <c r="S66" s="67" t="str"/>
      <c r="T66" s="41" t="str"/>
      <c r="U66" s="41" t="str"/>
      <c r="V66" s="66" t="str"/>
      <c r="W66" s="67" t="str"/>
    </row>
    <row r="67">
      <c r="B67" s="2">
        <f>IF(STUDENTS!B66="","",STUDENTS!B66)</f>
        <v/>
      </c>
      <c r="C67" s="44" t="inlineStr">
        <is>
          <t>Student 64</t>
        </is>
      </c>
      <c r="D67" s="52">
        <f t="array" ref="D67:W67">IF(All_Students_Scores!C65:V65="","",All_Students_Scores!C65:V65)</f>
        <v/>
      </c>
      <c r="E67" s="55" t="str"/>
      <c r="F67" s="48" t="str"/>
      <c r="G67" s="58" t="str"/>
      <c r="H67" s="62" t="str"/>
      <c r="I67" s="63" t="str"/>
      <c r="J67" s="48" t="str"/>
      <c r="K67" s="58" t="str"/>
      <c r="L67" s="42" t="str"/>
      <c r="M67" s="42" t="str"/>
      <c r="N67" s="48" t="str"/>
      <c r="O67" s="58" t="str"/>
      <c r="P67" s="42" t="str"/>
      <c r="Q67" s="42" t="str"/>
      <c r="R67" s="48" t="str"/>
      <c r="S67" s="58" t="str"/>
      <c r="T67" s="42" t="str"/>
      <c r="U67" s="42" t="str"/>
      <c r="V67" s="48" t="str"/>
      <c r="W67" s="58" t="str"/>
      <c r="X67" s="42" t="n"/>
      <c r="Y67" s="42" t="n"/>
    </row>
    <row r="68">
      <c r="B68" s="2">
        <f>IF(STUDENTS!B67="","",STUDENTS!B67)</f>
        <v/>
      </c>
      <c r="C68" s="44" t="inlineStr">
        <is>
          <t>Student 65</t>
        </is>
      </c>
      <c r="D68" s="52">
        <f t="array" ref="D68:W68">IF(All_Students_Scores!C66:V66="","",All_Students_Scores!C66:V66)</f>
        <v/>
      </c>
      <c r="E68" s="57" t="str"/>
      <c r="F68" s="66" t="str"/>
      <c r="G68" s="67" t="str"/>
      <c r="H68" s="64" t="str"/>
      <c r="I68" s="65" t="str"/>
      <c r="J68" s="66" t="str"/>
      <c r="K68" s="67" t="str"/>
      <c r="L68" s="41" t="str"/>
      <c r="M68" s="41" t="str"/>
      <c r="N68" s="66" t="str"/>
      <c r="O68" s="67" t="str"/>
      <c r="P68" s="41" t="str"/>
      <c r="Q68" s="41" t="str"/>
      <c r="R68" s="66" t="str"/>
      <c r="S68" s="67" t="str"/>
      <c r="T68" s="41" t="str"/>
      <c r="U68" s="41" t="str"/>
      <c r="V68" s="66" t="str"/>
      <c r="W68" s="67" t="str"/>
    </row>
    <row r="69">
      <c r="B69" s="2">
        <f>IF(STUDENTS!B68="","",STUDENTS!B68)</f>
        <v/>
      </c>
      <c r="C69" s="44" t="inlineStr">
        <is>
          <t>Student 66</t>
        </is>
      </c>
      <c r="D69" s="52">
        <f t="array" ref="D69:W69">IF(All_Students_Scores!C67:V67="","",All_Students_Scores!C67:V67)</f>
        <v/>
      </c>
      <c r="E69" s="55" t="str"/>
      <c r="F69" s="48" t="str"/>
      <c r="G69" s="58" t="str"/>
      <c r="H69" s="62" t="str"/>
      <c r="I69" s="63" t="str"/>
      <c r="J69" s="48" t="str"/>
      <c r="K69" s="58" t="str"/>
      <c r="L69" s="42" t="str"/>
      <c r="M69" s="42" t="str"/>
      <c r="N69" s="48" t="str"/>
      <c r="O69" s="58" t="str"/>
      <c r="P69" s="42" t="str"/>
      <c r="Q69" s="42" t="str"/>
      <c r="R69" s="48" t="str"/>
      <c r="S69" s="58" t="str"/>
      <c r="T69" s="42" t="str"/>
      <c r="U69" s="42" t="str"/>
      <c r="V69" s="48" t="str"/>
      <c r="W69" s="58" t="str"/>
      <c r="X69" s="42" t="n"/>
      <c r="Y69" s="42" t="n"/>
    </row>
    <row r="70">
      <c r="B70" s="2">
        <f>IF(STUDENTS!B69="","",STUDENTS!B69)</f>
        <v/>
      </c>
      <c r="C70" s="44" t="inlineStr">
        <is>
          <t>Student 67</t>
        </is>
      </c>
      <c r="D70" s="52">
        <f t="array" ref="D70:W70">IF(All_Students_Scores!C68:V68="","",All_Students_Scores!C68:V68)</f>
        <v/>
      </c>
      <c r="E70" s="57" t="str"/>
      <c r="F70" s="66" t="str"/>
      <c r="G70" s="67" t="str"/>
      <c r="H70" s="64" t="str"/>
      <c r="I70" s="65" t="str"/>
      <c r="J70" s="66" t="str"/>
      <c r="K70" s="67" t="str"/>
      <c r="L70" s="41" t="str"/>
      <c r="M70" s="41" t="str"/>
      <c r="N70" s="66" t="str"/>
      <c r="O70" s="67" t="str"/>
      <c r="P70" s="41" t="str"/>
      <c r="Q70" s="41" t="str"/>
      <c r="R70" s="66" t="str"/>
      <c r="S70" s="67" t="str"/>
      <c r="T70" s="41" t="str"/>
      <c r="U70" s="41" t="str"/>
      <c r="V70" s="66" t="str"/>
      <c r="W70" s="67" t="str"/>
    </row>
    <row r="71">
      <c r="B71" s="2">
        <f>IF(STUDENTS!B70="","",STUDENTS!B70)</f>
        <v/>
      </c>
      <c r="C71" s="44" t="inlineStr">
        <is>
          <t>Student 68</t>
        </is>
      </c>
      <c r="D71" s="52">
        <f t="array" ref="D71:W71">IF(All_Students_Scores!C69:V69="","",All_Students_Scores!C69:V69)</f>
        <v/>
      </c>
      <c r="E71" s="55" t="str"/>
      <c r="F71" s="48" t="str"/>
      <c r="G71" s="58" t="str"/>
      <c r="H71" s="62" t="str"/>
      <c r="I71" s="63" t="str"/>
      <c r="J71" s="48" t="str"/>
      <c r="K71" s="58" t="str"/>
      <c r="L71" s="42" t="str"/>
      <c r="M71" s="42" t="str"/>
      <c r="N71" s="48" t="str"/>
      <c r="O71" s="58" t="str"/>
      <c r="P71" s="42" t="str"/>
      <c r="Q71" s="42" t="str"/>
      <c r="R71" s="48" t="str"/>
      <c r="S71" s="58" t="str"/>
      <c r="T71" s="42" t="str"/>
      <c r="U71" s="42" t="str"/>
      <c r="V71" s="48" t="str"/>
      <c r="W71" s="58" t="str"/>
      <c r="X71" s="42" t="n"/>
      <c r="Y71" s="42" t="n"/>
    </row>
    <row r="72">
      <c r="B72" s="2">
        <f>IF(STUDENTS!B71="","",STUDENTS!B71)</f>
        <v/>
      </c>
      <c r="C72" s="44" t="inlineStr">
        <is>
          <t>Student 69</t>
        </is>
      </c>
      <c r="D72" s="52">
        <f t="array" ref="D72:W72">IF(All_Students_Scores!C70:V70="","",All_Students_Scores!C70:V70)</f>
        <v/>
      </c>
      <c r="E72" s="57" t="str"/>
      <c r="F72" s="66" t="str"/>
      <c r="G72" s="67" t="str"/>
      <c r="H72" s="64" t="str"/>
      <c r="I72" s="65" t="str"/>
      <c r="J72" s="66" t="str"/>
      <c r="K72" s="67" t="str"/>
      <c r="L72" s="41" t="str"/>
      <c r="M72" s="41" t="str"/>
      <c r="N72" s="66" t="str"/>
      <c r="O72" s="67" t="str"/>
      <c r="P72" s="41" t="str"/>
      <c r="Q72" s="41" t="str"/>
      <c r="R72" s="66" t="str"/>
      <c r="S72" s="67" t="str"/>
      <c r="T72" s="41" t="str"/>
      <c r="U72" s="41" t="str"/>
      <c r="V72" s="66" t="str"/>
      <c r="W72" s="67" t="str"/>
    </row>
    <row r="73">
      <c r="B73" s="2">
        <f>IF(STUDENTS!B72="","",STUDENTS!B72)</f>
        <v/>
      </c>
      <c r="C73" s="44" t="inlineStr">
        <is>
          <t>Student 70</t>
        </is>
      </c>
      <c r="D73" s="52">
        <f t="array" ref="D73:W73">IF(All_Students_Scores!C71:V71="","",All_Students_Scores!C71:V71)</f>
        <v/>
      </c>
      <c r="E73" s="55" t="str"/>
      <c r="F73" s="48" t="str"/>
      <c r="G73" s="58" t="str"/>
      <c r="H73" s="62" t="str"/>
      <c r="I73" s="63" t="str"/>
      <c r="J73" s="48" t="str"/>
      <c r="K73" s="58" t="str"/>
      <c r="L73" s="42" t="str"/>
      <c r="M73" s="42" t="str"/>
      <c r="N73" s="48" t="str"/>
      <c r="O73" s="58" t="str"/>
      <c r="P73" s="42" t="str"/>
      <c r="Q73" s="42" t="str"/>
      <c r="R73" s="48" t="str"/>
      <c r="S73" s="58" t="str"/>
      <c r="T73" s="42" t="str"/>
      <c r="U73" s="42" t="str"/>
      <c r="V73" s="48" t="str"/>
      <c r="W73" s="58" t="str"/>
      <c r="X73" s="42" t="n"/>
      <c r="Y73" s="42" t="n"/>
    </row>
    <row r="74">
      <c r="B74" s="2">
        <f>IF(STUDENTS!B73="","",STUDENTS!B73)</f>
        <v/>
      </c>
      <c r="C74" s="44" t="inlineStr">
        <is>
          <t>Student 71</t>
        </is>
      </c>
      <c r="D74" s="52">
        <f t="array" ref="D74:W74">IF(All_Students_Scores!C72:V72="","",All_Students_Scores!C72:V72)</f>
        <v/>
      </c>
      <c r="E74" s="57" t="str"/>
      <c r="F74" s="66" t="str"/>
      <c r="G74" s="67" t="str"/>
      <c r="H74" s="64" t="str"/>
      <c r="I74" s="65" t="str"/>
      <c r="J74" s="66" t="str"/>
      <c r="K74" s="67" t="str"/>
      <c r="L74" s="41" t="str"/>
      <c r="M74" s="41" t="str"/>
      <c r="N74" s="66" t="str"/>
      <c r="O74" s="67" t="str"/>
      <c r="P74" s="41" t="str"/>
      <c r="Q74" s="41" t="str"/>
      <c r="R74" s="66" t="str"/>
      <c r="S74" s="67" t="str"/>
      <c r="T74" s="41" t="str"/>
      <c r="U74" s="41" t="str"/>
      <c r="V74" s="66" t="str"/>
      <c r="W74" s="67" t="str"/>
    </row>
    <row r="75">
      <c r="B75" s="2">
        <f>IF(STUDENTS!B74="","",STUDENTS!B74)</f>
        <v/>
      </c>
      <c r="C75" s="44" t="inlineStr">
        <is>
          <t>Student 72</t>
        </is>
      </c>
      <c r="D75" s="52">
        <f t="array" ref="D75:W75">IF(All_Students_Scores!C73:V73="","",All_Students_Scores!C73:V73)</f>
        <v/>
      </c>
      <c r="E75" s="55" t="str"/>
      <c r="F75" s="48" t="str"/>
      <c r="G75" s="58" t="str"/>
      <c r="H75" s="62" t="str"/>
      <c r="I75" s="63" t="str"/>
      <c r="J75" s="48" t="str"/>
      <c r="K75" s="58" t="str"/>
      <c r="L75" s="42" t="str"/>
      <c r="M75" s="42" t="str"/>
      <c r="N75" s="48" t="str"/>
      <c r="O75" s="58" t="str"/>
      <c r="P75" s="42" t="str"/>
      <c r="Q75" s="42" t="str"/>
      <c r="R75" s="48" t="str"/>
      <c r="S75" s="58" t="str"/>
      <c r="T75" s="42" t="str"/>
      <c r="U75" s="42" t="str"/>
      <c r="V75" s="48" t="str"/>
      <c r="W75" s="58" t="str"/>
      <c r="X75" s="42" t="n"/>
      <c r="Y75" s="42" t="n"/>
    </row>
    <row r="76">
      <c r="B76" s="2">
        <f>IF(STUDENTS!B75="","",STUDENTS!B75)</f>
        <v/>
      </c>
      <c r="C76" s="44" t="inlineStr">
        <is>
          <t>Student 73</t>
        </is>
      </c>
      <c r="D76" s="52">
        <f t="array" ref="D76:W76">IF(All_Students_Scores!C74:V74="","",All_Students_Scores!C74:V74)</f>
        <v/>
      </c>
      <c r="E76" s="57" t="str"/>
      <c r="F76" s="66" t="str"/>
      <c r="G76" s="67" t="str"/>
      <c r="H76" s="64" t="str"/>
      <c r="I76" s="65" t="str"/>
      <c r="J76" s="66" t="str"/>
      <c r="K76" s="67" t="str"/>
      <c r="L76" s="41" t="str"/>
      <c r="M76" s="41" t="str"/>
      <c r="N76" s="66" t="str"/>
      <c r="O76" s="67" t="str"/>
      <c r="P76" s="41" t="str"/>
      <c r="Q76" s="41" t="str"/>
      <c r="R76" s="66" t="str"/>
      <c r="S76" s="67" t="str"/>
      <c r="T76" s="41" t="str"/>
      <c r="U76" s="41" t="str"/>
      <c r="V76" s="66" t="str"/>
      <c r="W76" s="67" t="str"/>
    </row>
    <row r="77">
      <c r="B77" s="2">
        <f>IF(STUDENTS!B76="","",STUDENTS!B76)</f>
        <v/>
      </c>
      <c r="C77" s="44" t="inlineStr">
        <is>
          <t>Student 74</t>
        </is>
      </c>
      <c r="D77" s="52">
        <f t="array" ref="D77:W77">IF(All_Students_Scores!C75:V75="","",All_Students_Scores!C75:V75)</f>
        <v/>
      </c>
      <c r="E77" s="55" t="str"/>
      <c r="F77" s="48" t="str"/>
      <c r="G77" s="58" t="str"/>
      <c r="H77" s="62" t="str"/>
      <c r="I77" s="63" t="str"/>
      <c r="J77" s="48" t="str"/>
      <c r="K77" s="58" t="str"/>
      <c r="L77" s="42" t="str"/>
      <c r="M77" s="42" t="str"/>
      <c r="N77" s="48" t="str"/>
      <c r="O77" s="58" t="str"/>
      <c r="P77" s="42" t="str"/>
      <c r="Q77" s="42" t="str"/>
      <c r="R77" s="48" t="str"/>
      <c r="S77" s="58" t="str"/>
      <c r="T77" s="42" t="str"/>
      <c r="U77" s="42" t="str"/>
      <c r="V77" s="48" t="str"/>
      <c r="W77" s="58" t="str"/>
      <c r="X77" s="42" t="n"/>
      <c r="Y77" s="42" t="n"/>
    </row>
    <row r="78">
      <c r="B78" s="2">
        <f>IF(STUDENTS!B77="","",STUDENTS!B77)</f>
        <v/>
      </c>
      <c r="C78" s="44" t="inlineStr">
        <is>
          <t>Student 75</t>
        </is>
      </c>
      <c r="D78" s="52">
        <f t="array" ref="D78:W78">IF(All_Students_Scores!C76:V76="","",All_Students_Scores!C76:V76)</f>
        <v/>
      </c>
      <c r="E78" s="57" t="str"/>
      <c r="F78" s="66" t="str"/>
      <c r="G78" s="67" t="str"/>
      <c r="H78" s="64" t="str"/>
      <c r="I78" s="65" t="str"/>
      <c r="J78" s="66" t="str"/>
      <c r="K78" s="67" t="str"/>
      <c r="L78" s="41" t="str"/>
      <c r="M78" s="41" t="str"/>
      <c r="N78" s="66" t="str"/>
      <c r="O78" s="67" t="str"/>
      <c r="P78" s="41" t="str"/>
      <c r="Q78" s="41" t="str"/>
      <c r="R78" s="66" t="str"/>
      <c r="S78" s="67" t="str"/>
      <c r="T78" s="41" t="str"/>
      <c r="U78" s="41" t="str"/>
      <c r="V78" s="66" t="str"/>
      <c r="W78" s="67" t="str"/>
    </row>
    <row r="79">
      <c r="B79" s="2">
        <f>IF(STUDENTS!B78="","",STUDENTS!B78)</f>
        <v/>
      </c>
      <c r="C79" s="44" t="inlineStr">
        <is>
          <t>Student 76</t>
        </is>
      </c>
      <c r="D79" s="52">
        <f t="array" ref="D79:W79">IF(All_Students_Scores!C77:V77="","",All_Students_Scores!C77:V77)</f>
        <v/>
      </c>
      <c r="E79" s="55" t="str"/>
      <c r="F79" s="48" t="str"/>
      <c r="G79" s="58" t="str"/>
      <c r="H79" s="62" t="str"/>
      <c r="I79" s="63" t="str"/>
      <c r="J79" s="48" t="str"/>
      <c r="K79" s="58" t="str"/>
      <c r="L79" s="42" t="str"/>
      <c r="M79" s="42" t="str"/>
      <c r="N79" s="48" t="str"/>
      <c r="O79" s="58" t="str"/>
      <c r="P79" s="42" t="str"/>
      <c r="Q79" s="42" t="str"/>
      <c r="R79" s="48" t="str"/>
      <c r="S79" s="58" t="str"/>
      <c r="T79" s="42" t="str"/>
      <c r="U79" s="42" t="str"/>
      <c r="V79" s="48" t="str"/>
      <c r="W79" s="58" t="str"/>
      <c r="X79" s="42" t="n"/>
      <c r="Y79" s="42" t="n"/>
    </row>
    <row r="80">
      <c r="B80" s="2">
        <f>IF(STUDENTS!B79="","",STUDENTS!B79)</f>
        <v/>
      </c>
      <c r="C80" s="44" t="inlineStr">
        <is>
          <t>Student 77</t>
        </is>
      </c>
      <c r="D80" s="52">
        <f t="array" ref="D80:W80">IF(All_Students_Scores!C78:V78="","",All_Students_Scores!C78:V78)</f>
        <v/>
      </c>
      <c r="E80" s="57" t="str"/>
      <c r="F80" s="66" t="str"/>
      <c r="G80" s="67" t="str"/>
      <c r="H80" s="64" t="str"/>
      <c r="I80" s="65" t="str"/>
      <c r="J80" s="66" t="str"/>
      <c r="K80" s="67" t="str"/>
      <c r="L80" s="41" t="str"/>
      <c r="M80" s="41" t="str"/>
      <c r="N80" s="66" t="str"/>
      <c r="O80" s="67" t="str"/>
      <c r="P80" s="41" t="str"/>
      <c r="Q80" s="41" t="str"/>
      <c r="R80" s="66" t="str"/>
      <c r="S80" s="67" t="str"/>
      <c r="T80" s="41" t="str"/>
      <c r="U80" s="41" t="str"/>
      <c r="V80" s="66" t="str"/>
      <c r="W80" s="67" t="str"/>
    </row>
    <row r="81">
      <c r="B81" s="2">
        <f>IF(STUDENTS!B80="","",STUDENTS!B80)</f>
        <v/>
      </c>
      <c r="C81" s="44" t="inlineStr">
        <is>
          <t>Student 78</t>
        </is>
      </c>
      <c r="D81" s="52">
        <f t="array" ref="D81:W81">IF(All_Students_Scores!C79:V79="","",All_Students_Scores!C79:V79)</f>
        <v/>
      </c>
      <c r="E81" s="55" t="str"/>
      <c r="F81" s="48" t="str"/>
      <c r="G81" s="58" t="str"/>
      <c r="H81" s="62" t="str"/>
      <c r="I81" s="63" t="str"/>
      <c r="J81" s="48" t="str"/>
      <c r="K81" s="58" t="str"/>
      <c r="L81" s="42" t="str"/>
      <c r="M81" s="42" t="str"/>
      <c r="N81" s="48" t="str"/>
      <c r="O81" s="58" t="str"/>
      <c r="P81" s="42" t="str"/>
      <c r="Q81" s="42" t="str"/>
      <c r="R81" s="48" t="str"/>
      <c r="S81" s="58" t="str"/>
      <c r="T81" s="42" t="str"/>
      <c r="U81" s="42" t="str"/>
      <c r="V81" s="48" t="str"/>
      <c r="W81" s="58" t="str"/>
      <c r="X81" s="42" t="n"/>
      <c r="Y81" s="42" t="n"/>
    </row>
    <row r="82">
      <c r="B82" s="2">
        <f>IF(STUDENTS!B81="","",STUDENTS!B81)</f>
        <v/>
      </c>
      <c r="C82" s="44" t="inlineStr">
        <is>
          <t>Student 79</t>
        </is>
      </c>
      <c r="D82" s="52">
        <f t="array" ref="D82:W82">IF(All_Students_Scores!C80:V80="","",All_Students_Scores!C80:V80)</f>
        <v/>
      </c>
      <c r="E82" s="57" t="str"/>
      <c r="F82" s="66" t="str"/>
      <c r="G82" s="67" t="str"/>
      <c r="H82" s="64" t="str"/>
      <c r="I82" s="65" t="str"/>
      <c r="J82" s="66" t="str"/>
      <c r="K82" s="67" t="str"/>
      <c r="L82" s="41" t="str"/>
      <c r="M82" s="41" t="str"/>
      <c r="N82" s="66" t="str"/>
      <c r="O82" s="67" t="str"/>
      <c r="P82" s="41" t="str"/>
      <c r="Q82" s="41" t="str"/>
      <c r="R82" s="66" t="str"/>
      <c r="S82" s="67" t="str"/>
      <c r="T82" s="41" t="str"/>
      <c r="U82" s="41" t="str"/>
      <c r="V82" s="66" t="str"/>
      <c r="W82" s="67" t="str"/>
    </row>
    <row r="83">
      <c r="B83" s="2">
        <f>IF(STUDENTS!B82="","",STUDENTS!B82)</f>
        <v/>
      </c>
      <c r="C83" s="44" t="inlineStr">
        <is>
          <t>Student 80</t>
        </is>
      </c>
      <c r="D83" s="52">
        <f t="array" ref="D83:W83">IF(All_Students_Scores!C81:V81="","",All_Students_Scores!C81:V81)</f>
        <v/>
      </c>
      <c r="E83" s="55" t="str"/>
      <c r="F83" s="48" t="str"/>
      <c r="G83" s="58" t="str"/>
      <c r="H83" s="62" t="str"/>
      <c r="I83" s="63" t="str"/>
      <c r="J83" s="48" t="str"/>
      <c r="K83" s="58" t="str"/>
      <c r="L83" s="42" t="str"/>
      <c r="M83" s="42" t="str"/>
      <c r="N83" s="48" t="str"/>
      <c r="O83" s="58" t="str"/>
      <c r="P83" s="42" t="str"/>
      <c r="Q83" s="42" t="str"/>
      <c r="R83" s="48" t="str"/>
      <c r="S83" s="58" t="str"/>
      <c r="T83" s="42" t="str"/>
      <c r="U83" s="42" t="str"/>
      <c r="V83" s="48" t="str"/>
      <c r="W83" s="58" t="str"/>
      <c r="X83" s="42" t="n"/>
      <c r="Y83" s="42" t="n"/>
    </row>
    <row r="84">
      <c r="B84" s="2">
        <f>IF(STUDENTS!B83="","",STUDENTS!B83)</f>
        <v/>
      </c>
      <c r="C84" s="44" t="inlineStr">
        <is>
          <t>Student 81</t>
        </is>
      </c>
      <c r="D84" s="52">
        <f t="array" ref="D84:W84">IF(All_Students_Scores!C82:V82="","",All_Students_Scores!C82:V82)</f>
        <v/>
      </c>
      <c r="E84" s="57" t="str"/>
      <c r="F84" s="66" t="str"/>
      <c r="G84" s="67" t="str"/>
      <c r="H84" s="64" t="str"/>
      <c r="I84" s="65" t="str"/>
      <c r="J84" s="66" t="str"/>
      <c r="K84" s="67" t="str"/>
      <c r="L84" s="41" t="str"/>
      <c r="M84" s="41" t="str"/>
      <c r="N84" s="66" t="str"/>
      <c r="O84" s="67" t="str"/>
      <c r="P84" s="41" t="str"/>
      <c r="Q84" s="41" t="str"/>
      <c r="R84" s="66" t="str"/>
      <c r="S84" s="67" t="str"/>
      <c r="T84" s="41" t="str"/>
      <c r="U84" s="41" t="str"/>
      <c r="V84" s="66" t="str"/>
      <c r="W84" s="67" t="str"/>
    </row>
    <row r="85">
      <c r="B85" s="2">
        <f>IF(STUDENTS!B84="","",STUDENTS!B84)</f>
        <v/>
      </c>
      <c r="C85" s="44" t="inlineStr">
        <is>
          <t>Student 82</t>
        </is>
      </c>
      <c r="D85" s="52">
        <f t="array" ref="D85:W85">IF(All_Students_Scores!C83:V83="","",All_Students_Scores!C83:V83)</f>
        <v/>
      </c>
      <c r="E85" s="55" t="str"/>
      <c r="F85" s="48" t="str"/>
      <c r="G85" s="58" t="str"/>
      <c r="H85" s="62" t="str"/>
      <c r="I85" s="63" t="str"/>
      <c r="J85" s="48" t="str"/>
      <c r="K85" s="58" t="str"/>
      <c r="L85" s="42" t="str"/>
      <c r="M85" s="42" t="str"/>
      <c r="N85" s="48" t="str"/>
      <c r="O85" s="58" t="str"/>
      <c r="P85" s="42" t="str"/>
      <c r="Q85" s="42" t="str"/>
      <c r="R85" s="48" t="str"/>
      <c r="S85" s="58" t="str"/>
      <c r="T85" s="42" t="str"/>
      <c r="U85" s="42" t="str"/>
      <c r="V85" s="48" t="str"/>
      <c r="W85" s="58" t="str"/>
      <c r="X85" s="42" t="n"/>
      <c r="Y85" s="42" t="n"/>
    </row>
    <row r="86">
      <c r="B86" s="2">
        <f>IF(STUDENTS!B85="","",STUDENTS!B85)</f>
        <v/>
      </c>
      <c r="C86" s="44" t="inlineStr">
        <is>
          <t>Student 83</t>
        </is>
      </c>
      <c r="D86" s="52">
        <f t="array" ref="D86:W86">IF(All_Students_Scores!C84:V84="","",All_Students_Scores!C84:V84)</f>
        <v/>
      </c>
      <c r="E86" s="57" t="str"/>
      <c r="F86" s="66" t="str"/>
      <c r="G86" s="67" t="str"/>
      <c r="H86" s="64" t="str"/>
      <c r="I86" s="65" t="str"/>
      <c r="J86" s="66" t="str"/>
      <c r="K86" s="67" t="str"/>
      <c r="L86" s="41" t="str"/>
      <c r="M86" s="41" t="str"/>
      <c r="N86" s="66" t="str"/>
      <c r="O86" s="67" t="str"/>
      <c r="P86" s="41" t="str"/>
      <c r="Q86" s="41" t="str"/>
      <c r="R86" s="66" t="str"/>
      <c r="S86" s="67" t="str"/>
      <c r="T86" s="41" t="str"/>
      <c r="U86" s="41" t="str"/>
      <c r="V86" s="66" t="str"/>
      <c r="W86" s="67" t="str"/>
    </row>
    <row r="87">
      <c r="B87" s="2">
        <f>IF(STUDENTS!B86="","",STUDENTS!B86)</f>
        <v/>
      </c>
      <c r="C87" s="44" t="inlineStr">
        <is>
          <t>Student 84</t>
        </is>
      </c>
      <c r="D87" s="52">
        <f t="array" ref="D87:W87">IF(All_Students_Scores!C85:V85="","",All_Students_Scores!C85:V85)</f>
        <v/>
      </c>
      <c r="E87" s="55" t="str"/>
      <c r="F87" s="48" t="str"/>
      <c r="G87" s="58" t="str"/>
      <c r="H87" s="62" t="str"/>
      <c r="I87" s="63" t="str"/>
      <c r="J87" s="48" t="str"/>
      <c r="K87" s="58" t="str"/>
      <c r="L87" s="42" t="str"/>
      <c r="M87" s="42" t="str"/>
      <c r="N87" s="48" t="str"/>
      <c r="O87" s="58" t="str"/>
      <c r="P87" s="42" t="str"/>
      <c r="Q87" s="42" t="str"/>
      <c r="R87" s="48" t="str"/>
      <c r="S87" s="58" t="str"/>
      <c r="T87" s="42" t="str"/>
      <c r="U87" s="42" t="str"/>
      <c r="V87" s="48" t="str"/>
      <c r="W87" s="58" t="str"/>
      <c r="X87" s="42" t="n"/>
      <c r="Y87" s="42" t="n"/>
    </row>
    <row r="88">
      <c r="B88" s="2">
        <f>IF(STUDENTS!B87="","",STUDENTS!B87)</f>
        <v/>
      </c>
      <c r="C88" s="44" t="inlineStr">
        <is>
          <t>Student 85</t>
        </is>
      </c>
      <c r="D88" s="52">
        <f t="array" ref="D88:W88">IF(All_Students_Scores!C86:V86="","",All_Students_Scores!C86:V86)</f>
        <v/>
      </c>
      <c r="E88" s="57" t="str"/>
      <c r="F88" s="66" t="str"/>
      <c r="G88" s="67" t="str"/>
      <c r="H88" s="64" t="str"/>
      <c r="I88" s="65" t="str"/>
      <c r="J88" s="66" t="str"/>
      <c r="K88" s="67" t="str"/>
      <c r="L88" s="41" t="str"/>
      <c r="M88" s="41" t="str"/>
      <c r="N88" s="66" t="str"/>
      <c r="O88" s="67" t="str"/>
      <c r="P88" s="41" t="str"/>
      <c r="Q88" s="41" t="str"/>
      <c r="R88" s="66" t="str"/>
      <c r="S88" s="67" t="str"/>
      <c r="T88" s="41" t="str"/>
      <c r="U88" s="41" t="str"/>
      <c r="V88" s="66" t="str"/>
      <c r="W88" s="67" t="str"/>
    </row>
    <row r="89">
      <c r="B89" s="2">
        <f>IF(STUDENTS!B88="","",STUDENTS!B88)</f>
        <v/>
      </c>
      <c r="C89" s="44" t="inlineStr">
        <is>
          <t>Student 86</t>
        </is>
      </c>
      <c r="D89" s="52">
        <f t="array" ref="D89:W89">IF(All_Students_Scores!C87:V87="","",All_Students_Scores!C87:V87)</f>
        <v/>
      </c>
      <c r="E89" s="55" t="str"/>
      <c r="F89" s="48" t="str"/>
      <c r="G89" s="58" t="str"/>
      <c r="H89" s="62" t="str"/>
      <c r="I89" s="63" t="str"/>
      <c r="J89" s="48" t="str"/>
      <c r="K89" s="58" t="str"/>
      <c r="L89" s="42" t="str"/>
      <c r="M89" s="42" t="str"/>
      <c r="N89" s="48" t="str"/>
      <c r="O89" s="58" t="str"/>
      <c r="P89" s="42" t="str"/>
      <c r="Q89" s="42" t="str"/>
      <c r="R89" s="48" t="str"/>
      <c r="S89" s="58" t="str"/>
      <c r="T89" s="42" t="str"/>
      <c r="U89" s="42" t="str"/>
      <c r="V89" s="48" t="str"/>
      <c r="W89" s="58" t="str"/>
      <c r="X89" s="42" t="n"/>
      <c r="Y89" s="42" t="n"/>
    </row>
    <row r="90">
      <c r="B90" s="2">
        <f>IF(STUDENTS!B89="","",STUDENTS!B89)</f>
        <v/>
      </c>
      <c r="C90" s="44" t="inlineStr">
        <is>
          <t>Student 87</t>
        </is>
      </c>
      <c r="D90" s="52">
        <f t="array" ref="D90:W90">IF(All_Students_Scores!C88:V88="","",All_Students_Scores!C88:V88)</f>
        <v/>
      </c>
      <c r="E90" s="57" t="str"/>
      <c r="F90" s="66" t="str"/>
      <c r="G90" s="67" t="str"/>
      <c r="H90" s="64" t="str"/>
      <c r="I90" s="65" t="str"/>
      <c r="J90" s="66" t="str"/>
      <c r="K90" s="67" t="str"/>
      <c r="L90" s="41" t="str"/>
      <c r="M90" s="41" t="str"/>
      <c r="N90" s="66" t="str"/>
      <c r="O90" s="67" t="str"/>
      <c r="P90" s="41" t="str"/>
      <c r="Q90" s="41" t="str"/>
      <c r="R90" s="66" t="str"/>
      <c r="S90" s="67" t="str"/>
      <c r="T90" s="41" t="str"/>
      <c r="U90" s="41" t="str"/>
      <c r="V90" s="66" t="str"/>
      <c r="W90" s="67" t="str"/>
    </row>
    <row r="91">
      <c r="B91" s="2">
        <f>IF(STUDENTS!B90="","",STUDENTS!B90)</f>
        <v/>
      </c>
      <c r="C91" s="44" t="inlineStr">
        <is>
          <t>Student 88</t>
        </is>
      </c>
      <c r="D91" s="52">
        <f t="array" ref="D91:W91">IF(All_Students_Scores!C89:V89="","",All_Students_Scores!C89:V89)</f>
        <v/>
      </c>
      <c r="E91" s="55" t="str"/>
      <c r="F91" s="48" t="str"/>
      <c r="G91" s="58" t="str"/>
      <c r="H91" s="62" t="str"/>
      <c r="I91" s="63" t="str"/>
      <c r="J91" s="48" t="str"/>
      <c r="K91" s="58" t="str"/>
      <c r="L91" s="42" t="str"/>
      <c r="M91" s="42" t="str"/>
      <c r="N91" s="48" t="str"/>
      <c r="O91" s="58" t="str"/>
      <c r="P91" s="42" t="str"/>
      <c r="Q91" s="42" t="str"/>
      <c r="R91" s="48" t="str"/>
      <c r="S91" s="58" t="str"/>
      <c r="T91" s="42" t="str"/>
      <c r="U91" s="42" t="str"/>
      <c r="V91" s="48" t="str"/>
      <c r="W91" s="58" t="str"/>
      <c r="X91" s="42" t="n"/>
      <c r="Y91" s="42" t="n"/>
    </row>
    <row r="92">
      <c r="B92" s="2">
        <f>IF(STUDENTS!B91="","",STUDENTS!B91)</f>
        <v/>
      </c>
      <c r="C92" s="44" t="inlineStr">
        <is>
          <t>Student 89</t>
        </is>
      </c>
      <c r="D92" s="52">
        <f t="array" ref="D92:W92">IF(All_Students_Scores!C90:V90="","",All_Students_Scores!C90:V90)</f>
        <v/>
      </c>
      <c r="E92" s="57" t="str"/>
      <c r="F92" s="66" t="str"/>
      <c r="G92" s="67" t="str"/>
      <c r="H92" s="64" t="str"/>
      <c r="I92" s="65" t="str"/>
      <c r="J92" s="66" t="str"/>
      <c r="K92" s="67" t="str"/>
      <c r="L92" s="41" t="str"/>
      <c r="M92" s="41" t="str"/>
      <c r="N92" s="66" t="str"/>
      <c r="O92" s="67" t="str"/>
      <c r="P92" s="41" t="str"/>
      <c r="Q92" s="41" t="str"/>
      <c r="R92" s="66" t="str"/>
      <c r="S92" s="67" t="str"/>
      <c r="T92" s="41" t="str"/>
      <c r="U92" s="41" t="str"/>
      <c r="V92" s="66" t="str"/>
      <c r="W92" s="67" t="str"/>
    </row>
    <row r="93">
      <c r="B93" s="2">
        <f>IF(STUDENTS!B92="","",STUDENTS!B92)</f>
        <v/>
      </c>
      <c r="C93" s="44" t="inlineStr">
        <is>
          <t>Student 90</t>
        </is>
      </c>
      <c r="D93" s="52">
        <f t="array" ref="D93:W93">IF(All_Students_Scores!C91:V91="","",All_Students_Scores!C91:V91)</f>
        <v/>
      </c>
      <c r="E93" s="55" t="str"/>
      <c r="F93" s="48" t="str"/>
      <c r="G93" s="58" t="str"/>
      <c r="H93" s="62" t="str"/>
      <c r="I93" s="63" t="str"/>
      <c r="J93" s="48" t="str"/>
      <c r="K93" s="58" t="str"/>
      <c r="L93" s="42" t="str"/>
      <c r="M93" s="42" t="str"/>
      <c r="N93" s="48" t="str"/>
      <c r="O93" s="58" t="str"/>
      <c r="P93" s="42" t="str"/>
      <c r="Q93" s="42" t="str"/>
      <c r="R93" s="48" t="str"/>
      <c r="S93" s="58" t="str"/>
      <c r="T93" s="42" t="str"/>
      <c r="U93" s="42" t="str"/>
      <c r="V93" s="48" t="str"/>
      <c r="W93" s="58" t="str"/>
      <c r="X93" s="42" t="n"/>
      <c r="Y93" s="42" t="n"/>
    </row>
    <row r="94">
      <c r="B94" s="2">
        <f>IF(STUDENTS!B93="","",STUDENTS!B93)</f>
        <v/>
      </c>
      <c r="C94" s="44" t="inlineStr">
        <is>
          <t>Student 91</t>
        </is>
      </c>
      <c r="D94" s="52">
        <f t="array" ref="D94:W94">IF(All_Students_Scores!C92:V92="","",All_Students_Scores!C92:V92)</f>
        <v/>
      </c>
      <c r="E94" s="57" t="str"/>
      <c r="F94" s="66" t="str"/>
      <c r="G94" s="67" t="str"/>
      <c r="H94" s="64" t="str"/>
      <c r="I94" s="65" t="str"/>
      <c r="J94" s="66" t="str"/>
      <c r="K94" s="67" t="str"/>
      <c r="L94" s="41" t="str"/>
      <c r="M94" s="41" t="str"/>
      <c r="N94" s="66" t="str"/>
      <c r="O94" s="67" t="str"/>
      <c r="P94" s="41" t="str"/>
      <c r="Q94" s="41" t="str"/>
      <c r="R94" s="66" t="str"/>
      <c r="S94" s="67" t="str"/>
      <c r="T94" s="41" t="str"/>
      <c r="U94" s="41" t="str"/>
      <c r="V94" s="66" t="str"/>
      <c r="W94" s="67" t="str"/>
    </row>
    <row r="95">
      <c r="B95" s="2">
        <f>IF(STUDENTS!B94="","",STUDENTS!B94)</f>
        <v/>
      </c>
      <c r="C95" s="44" t="inlineStr">
        <is>
          <t>Student 92</t>
        </is>
      </c>
      <c r="D95" s="52">
        <f t="array" ref="D95:W95">IF(All_Students_Scores!C93:V93="","",All_Students_Scores!C93:V93)</f>
        <v/>
      </c>
      <c r="E95" s="55" t="str"/>
      <c r="F95" s="48" t="str"/>
      <c r="G95" s="58" t="str"/>
      <c r="H95" s="62" t="str"/>
      <c r="I95" s="63" t="str"/>
      <c r="J95" s="48" t="str"/>
      <c r="K95" s="58" t="str"/>
      <c r="L95" s="42" t="str"/>
      <c r="M95" s="42" t="str"/>
      <c r="N95" s="48" t="str"/>
      <c r="O95" s="58" t="str"/>
      <c r="P95" s="42" t="str"/>
      <c r="Q95" s="42" t="str"/>
      <c r="R95" s="48" t="str"/>
      <c r="S95" s="58" t="str"/>
      <c r="T95" s="42" t="str"/>
      <c r="U95" s="42" t="str"/>
      <c r="V95" s="48" t="str"/>
      <c r="W95" s="58" t="str"/>
      <c r="X95" s="42" t="n"/>
      <c r="Y95" s="42" t="n"/>
    </row>
    <row r="96">
      <c r="B96" s="2">
        <f>IF(STUDENTS!B95="","",STUDENTS!B95)</f>
        <v/>
      </c>
      <c r="C96" s="44" t="inlineStr">
        <is>
          <t>Student 93</t>
        </is>
      </c>
      <c r="D96" s="52">
        <f t="array" ref="D96:W96">IF(All_Students_Scores!C94:V94="","",All_Students_Scores!C94:V94)</f>
        <v/>
      </c>
      <c r="E96" s="57" t="str"/>
      <c r="F96" s="66" t="str"/>
      <c r="G96" s="67" t="str"/>
      <c r="H96" s="64" t="str"/>
      <c r="I96" s="65" t="str"/>
      <c r="J96" s="66" t="str"/>
      <c r="K96" s="67" t="str"/>
      <c r="L96" s="41" t="str"/>
      <c r="M96" s="41" t="str"/>
      <c r="N96" s="66" t="str"/>
      <c r="O96" s="67" t="str"/>
      <c r="P96" s="41" t="str"/>
      <c r="Q96" s="41" t="str"/>
      <c r="R96" s="66" t="str"/>
      <c r="S96" s="67" t="str"/>
      <c r="T96" s="41" t="str"/>
      <c r="U96" s="41" t="str"/>
      <c r="V96" s="66" t="str"/>
      <c r="W96" s="67" t="str"/>
    </row>
    <row r="97">
      <c r="B97" s="2">
        <f>IF(STUDENTS!B96="","",STUDENTS!B96)</f>
        <v/>
      </c>
      <c r="C97" s="44" t="inlineStr">
        <is>
          <t>Student 94</t>
        </is>
      </c>
      <c r="D97" s="52">
        <f t="array" ref="D97:W97">IF(All_Students_Scores!C95:V95="","",All_Students_Scores!C95:V95)</f>
        <v/>
      </c>
      <c r="E97" s="55" t="str"/>
      <c r="F97" s="48" t="str"/>
      <c r="G97" s="58" t="str"/>
      <c r="H97" s="62" t="str"/>
      <c r="I97" s="63" t="str"/>
      <c r="J97" s="48" t="str"/>
      <c r="K97" s="58" t="str"/>
      <c r="L97" s="42" t="str"/>
      <c r="M97" s="42" t="str"/>
      <c r="N97" s="48" t="str"/>
      <c r="O97" s="58" t="str"/>
      <c r="P97" s="42" t="str"/>
      <c r="Q97" s="42" t="str"/>
      <c r="R97" s="48" t="str"/>
      <c r="S97" s="58" t="str"/>
      <c r="T97" s="42" t="str"/>
      <c r="U97" s="42" t="str"/>
      <c r="V97" s="48" t="str"/>
      <c r="W97" s="58" t="str"/>
      <c r="X97" s="42" t="n"/>
      <c r="Y97" s="42" t="n"/>
    </row>
    <row r="98">
      <c r="B98" s="2">
        <f>IF(STUDENTS!B97="","",STUDENTS!B97)</f>
        <v/>
      </c>
      <c r="C98" s="44" t="inlineStr">
        <is>
          <t>Student 95</t>
        </is>
      </c>
      <c r="D98" s="52">
        <f t="array" ref="D98:W98">IF(All_Students_Scores!C96:V96="","",All_Students_Scores!C96:V96)</f>
        <v/>
      </c>
      <c r="E98" s="57" t="str"/>
      <c r="F98" s="66" t="str"/>
      <c r="G98" s="67" t="str"/>
      <c r="H98" s="64" t="str"/>
      <c r="I98" s="65" t="str"/>
      <c r="J98" s="66" t="str"/>
      <c r="K98" s="67" t="str"/>
      <c r="L98" s="41" t="str"/>
      <c r="M98" s="41" t="str"/>
      <c r="N98" s="66" t="str"/>
      <c r="O98" s="67" t="str"/>
      <c r="P98" s="41" t="str"/>
      <c r="Q98" s="41" t="str"/>
      <c r="R98" s="66" t="str"/>
      <c r="S98" s="67" t="str"/>
      <c r="T98" s="41" t="str"/>
      <c r="U98" s="41" t="str"/>
      <c r="V98" s="66" t="str"/>
      <c r="W98" s="67" t="str"/>
    </row>
    <row r="99">
      <c r="B99" s="2">
        <f>IF(STUDENTS!B98="","",STUDENTS!B98)</f>
        <v/>
      </c>
      <c r="C99" s="44">
        <f>IFERROR(IF(B99="","",_xlfn.XLOOKUP(B99,STUDENTS!$B$3:$B$1048576,STUDENTS!$C$3:$C$1048576)),"Enter a registered reg. no")</f>
        <v/>
      </c>
      <c r="D99" s="52">
        <f t="array" ref="D99:W99">IF(All_Students_Scores!C97:V97="","",All_Students_Scores!C97:V97)</f>
        <v/>
      </c>
      <c r="E99" s="55" t="str"/>
      <c r="F99" s="48" t="str"/>
      <c r="G99" s="58" t="str"/>
      <c r="H99" s="62" t="str"/>
      <c r="I99" s="63" t="str"/>
      <c r="J99" s="48" t="str"/>
      <c r="K99" s="58" t="str"/>
      <c r="L99" s="42" t="str"/>
      <c r="M99" s="42" t="str"/>
      <c r="N99" s="48" t="str"/>
      <c r="O99" s="58" t="str"/>
      <c r="P99" s="42" t="str"/>
      <c r="Q99" s="42" t="str"/>
      <c r="R99" s="48" t="str"/>
      <c r="S99" s="58" t="str"/>
      <c r="T99" s="42" t="str"/>
      <c r="U99" s="42" t="str"/>
      <c r="V99" s="48" t="str"/>
      <c r="W99" s="58" t="str"/>
      <c r="X99" s="42" t="n"/>
      <c r="Y99" s="42" t="n"/>
    </row>
    <row r="100">
      <c r="B100" s="2">
        <f>IF(STUDENTS!B99="","",STUDENTS!B99)</f>
        <v/>
      </c>
      <c r="C100" s="44">
        <f>IFERROR(IF(B100="","",_xlfn.XLOOKUP(B100,STUDENTS!$B$3:$B$1048576,STUDENTS!$C$3:$C$1048576)),"Enter a registered reg. no")</f>
        <v/>
      </c>
      <c r="D100" s="52">
        <f t="array" ref="D100:W100">IF(All_Students_Scores!C98:V98="","",All_Students_Scores!C98:V98)</f>
        <v/>
      </c>
      <c r="E100" s="57" t="str"/>
      <c r="F100" s="66" t="str"/>
      <c r="G100" s="67" t="str"/>
      <c r="H100" s="64" t="str"/>
      <c r="I100" s="65" t="str"/>
      <c r="J100" s="66" t="str"/>
      <c r="K100" s="67" t="str"/>
      <c r="L100" s="41" t="str"/>
      <c r="M100" s="41" t="str"/>
      <c r="N100" s="66" t="str"/>
      <c r="O100" s="67" t="str"/>
      <c r="P100" s="41" t="str"/>
      <c r="Q100" s="41" t="str"/>
      <c r="R100" s="66" t="str"/>
      <c r="S100" s="67" t="str"/>
      <c r="T100" s="41" t="str"/>
      <c r="U100" s="41" t="str"/>
      <c r="V100" s="66" t="str"/>
      <c r="W100" s="67" t="str"/>
    </row>
    <row r="101">
      <c r="B101" s="2">
        <f>IF(STUDENTS!B100="","",STUDENTS!B100)</f>
        <v/>
      </c>
      <c r="C101" s="44">
        <f>IFERROR(IF(B101="","",_xlfn.XLOOKUP(B101,STUDENTS!$B$3:$B$1048576,STUDENTS!$C$3:$C$1048576)),"Enter a registered reg. no")</f>
        <v/>
      </c>
      <c r="D101" s="52">
        <f t="array" ref="D101:W101">IF(All_Students_Scores!C99:V99="","",All_Students_Scores!C99:V99)</f>
        <v/>
      </c>
      <c r="E101" s="55" t="str"/>
      <c r="F101" s="48" t="str"/>
      <c r="G101" s="58" t="str"/>
      <c r="H101" s="62" t="str"/>
      <c r="I101" s="63" t="str"/>
      <c r="J101" s="48" t="str"/>
      <c r="K101" s="58" t="str"/>
      <c r="L101" s="42" t="str"/>
      <c r="M101" s="42" t="str"/>
      <c r="N101" s="48" t="str"/>
      <c r="O101" s="58" t="str"/>
      <c r="P101" s="42" t="str"/>
      <c r="Q101" s="42" t="str"/>
      <c r="R101" s="48" t="str"/>
      <c r="S101" s="58" t="str"/>
      <c r="T101" s="42" t="str"/>
      <c r="U101" s="42" t="str"/>
      <c r="V101" s="48" t="str"/>
      <c r="W101" s="58" t="str"/>
      <c r="X101" s="42" t="n"/>
      <c r="Y101" s="42" t="n"/>
    </row>
    <row r="102">
      <c r="B102" s="2">
        <f>IF(STUDENTS!B101="","",STUDENTS!B101)</f>
        <v/>
      </c>
      <c r="C102" s="44">
        <f>IFERROR(IF(B102="","",_xlfn.XLOOKUP(B102,STUDENTS!$B$3:$B$1048576,STUDENTS!$C$3:$C$1048576)),"Enter a registered reg. no")</f>
        <v/>
      </c>
      <c r="D102" s="52">
        <f t="array" ref="D102:W102">IF(All_Students_Scores!C100:V100="","",All_Students_Scores!C100:V100)</f>
        <v/>
      </c>
      <c r="E102" s="57" t="str"/>
      <c r="F102" s="66" t="str"/>
      <c r="G102" s="67" t="str"/>
      <c r="H102" s="64" t="str"/>
      <c r="I102" s="65" t="str"/>
      <c r="J102" s="66" t="str"/>
      <c r="K102" s="67" t="str"/>
      <c r="L102" s="41" t="str"/>
      <c r="M102" s="41" t="str"/>
      <c r="N102" s="66" t="str"/>
      <c r="O102" s="67" t="str"/>
      <c r="P102" s="41" t="str"/>
      <c r="Q102" s="41" t="str"/>
      <c r="R102" s="66" t="str"/>
      <c r="S102" s="67" t="str"/>
      <c r="T102" s="41" t="str"/>
      <c r="U102" s="41" t="str"/>
      <c r="V102" s="66" t="str"/>
      <c r="W102" s="67" t="str"/>
    </row>
    <row r="103">
      <c r="B103" s="2">
        <f>IF(STUDENTS!B102="","",STUDENTS!B102)</f>
        <v/>
      </c>
      <c r="C103" s="44">
        <f>IFERROR(IF(B103="","",_xlfn.XLOOKUP(B103,STUDENTS!$B$3:$B$1048576,STUDENTS!$C$3:$C$1048576)),"Enter a registered reg. no")</f>
        <v/>
      </c>
      <c r="D103" s="52">
        <f t="array" ref="D103:W103">IF(All_Students_Scores!C101:V101="","",All_Students_Scores!C101:V101)</f>
        <v/>
      </c>
      <c r="E103" s="55" t="str"/>
      <c r="F103" s="48" t="str"/>
      <c r="G103" s="58" t="str"/>
      <c r="H103" s="62" t="str"/>
      <c r="I103" s="63" t="str"/>
      <c r="J103" s="48" t="str"/>
      <c r="K103" s="58" t="str"/>
      <c r="L103" s="42" t="str"/>
      <c r="M103" s="42" t="str"/>
      <c r="N103" s="48" t="str"/>
      <c r="O103" s="58" t="str"/>
      <c r="P103" s="42" t="str"/>
      <c r="Q103" s="42" t="str"/>
      <c r="R103" s="48" t="str"/>
      <c r="S103" s="58" t="str"/>
      <c r="T103" s="42" t="str"/>
      <c r="U103" s="42" t="str"/>
      <c r="V103" s="48" t="str"/>
      <c r="W103" s="58" t="str"/>
      <c r="X103" s="42" t="n"/>
      <c r="Y103" s="42" t="n"/>
    </row>
    <row r="104">
      <c r="B104" s="2">
        <f>IF(STUDENTS!B103="","",STUDENTS!B103)</f>
        <v/>
      </c>
      <c r="C104" s="44">
        <f>IFERROR(IF(B104="","",_xlfn.XLOOKUP(B104,STUDENTS!$B$3:$B$1048576,STUDENTS!$C$3:$C$1048576)),"Enter a registered reg. no")</f>
        <v/>
      </c>
      <c r="D104" s="52">
        <f t="array" ref="D104:W104">IF(All_Students_Scores!C102:V102="","",All_Students_Scores!C102:V102)</f>
        <v/>
      </c>
      <c r="E104" s="57" t="str"/>
      <c r="F104" s="66" t="str"/>
      <c r="G104" s="67" t="str"/>
      <c r="H104" s="64" t="str"/>
      <c r="I104" s="65" t="str"/>
      <c r="J104" s="66" t="str"/>
      <c r="K104" s="67" t="str"/>
      <c r="L104" s="41" t="str"/>
      <c r="M104" s="41" t="str"/>
      <c r="N104" s="66" t="str"/>
      <c r="O104" s="67" t="str"/>
      <c r="P104" s="41" t="str"/>
      <c r="Q104" s="41" t="str"/>
      <c r="R104" s="66" t="str"/>
      <c r="S104" s="67" t="str"/>
      <c r="T104" s="41" t="str"/>
      <c r="U104" s="41" t="str"/>
      <c r="V104" s="66" t="str"/>
      <c r="W104" s="67" t="str"/>
    </row>
    <row r="105">
      <c r="B105" s="2">
        <f>IF(STUDENTS!B104="","",STUDENTS!B104)</f>
        <v/>
      </c>
      <c r="C105" s="44">
        <f>IFERROR(IF(B105="","",_xlfn.XLOOKUP(B105,STUDENTS!$B$3:$B$1048576,STUDENTS!$C$3:$C$1048576)),"Enter a registered reg. no")</f>
        <v/>
      </c>
      <c r="D105" s="52">
        <f t="array" ref="D105:W105">IF(All_Students_Scores!C103:V103="","",All_Students_Scores!C103:V103)</f>
        <v/>
      </c>
      <c r="E105" s="55" t="str"/>
      <c r="F105" s="48" t="str"/>
      <c r="G105" s="58" t="str"/>
      <c r="H105" s="62" t="str"/>
      <c r="I105" s="63" t="str"/>
      <c r="J105" s="48" t="str"/>
      <c r="K105" s="58" t="str"/>
      <c r="L105" s="42" t="str"/>
      <c r="M105" s="42" t="str"/>
      <c r="N105" s="48" t="str"/>
      <c r="O105" s="58" t="str"/>
      <c r="P105" s="42" t="str"/>
      <c r="Q105" s="42" t="str"/>
      <c r="R105" s="48" t="str"/>
      <c r="S105" s="58" t="str"/>
      <c r="T105" s="42" t="str"/>
      <c r="U105" s="42" t="str"/>
      <c r="V105" s="48" t="str"/>
      <c r="W105" s="58" t="str"/>
      <c r="X105" s="42" t="n"/>
      <c r="Y105" s="42" t="n"/>
    </row>
    <row r="106">
      <c r="B106" s="2">
        <f>IF(STUDENTS!B105="","",STUDENTS!B105)</f>
        <v/>
      </c>
      <c r="C106" s="44">
        <f>IFERROR(IF(B106="","",_xlfn.XLOOKUP(B106,STUDENTS!$B$3:$B$1048576,STUDENTS!$C$3:$C$1048576)),"Enter a registered reg. no")</f>
        <v/>
      </c>
      <c r="D106" s="52">
        <f t="array" ref="D106:W106">IF(All_Students_Scores!C104:V104="","",All_Students_Scores!C104:V104)</f>
        <v/>
      </c>
      <c r="E106" s="57" t="str"/>
      <c r="F106" s="66" t="str"/>
      <c r="G106" s="67" t="str"/>
      <c r="H106" s="64" t="str"/>
      <c r="I106" s="65" t="str"/>
      <c r="J106" s="66" t="str"/>
      <c r="K106" s="67" t="str"/>
      <c r="L106" s="41" t="str"/>
      <c r="M106" s="41" t="str"/>
      <c r="N106" s="66" t="str"/>
      <c r="O106" s="67" t="str"/>
      <c r="P106" s="41" t="str"/>
      <c r="Q106" s="41" t="str"/>
      <c r="R106" s="66" t="str"/>
      <c r="S106" s="67" t="str"/>
      <c r="T106" s="41" t="str"/>
      <c r="U106" s="41" t="str"/>
      <c r="V106" s="66" t="str"/>
      <c r="W106" s="67" t="str"/>
    </row>
    <row r="107">
      <c r="B107" s="2">
        <f>IF(STUDENTS!B106="","",STUDENTS!B106)</f>
        <v/>
      </c>
      <c r="C107" s="44">
        <f>IFERROR(IF(B107="","",_xlfn.XLOOKUP(B107,STUDENTS!$B$3:$B$1048576,STUDENTS!$C$3:$C$1048576)),"Enter a registered reg. no")</f>
        <v/>
      </c>
      <c r="D107" s="52">
        <f t="array" ref="D107:W107">IF(All_Students_Scores!C105:V105="","",All_Students_Scores!C105:V105)</f>
        <v/>
      </c>
      <c r="E107" s="55" t="str"/>
      <c r="F107" s="48" t="str"/>
      <c r="G107" s="58" t="str"/>
      <c r="H107" s="62" t="str"/>
      <c r="I107" s="63" t="str"/>
      <c r="J107" s="48" t="str"/>
      <c r="K107" s="58" t="str"/>
      <c r="L107" s="42" t="str"/>
      <c r="M107" s="42" t="str"/>
      <c r="N107" s="48" t="str"/>
      <c r="O107" s="58" t="str"/>
      <c r="P107" s="42" t="str"/>
      <c r="Q107" s="42" t="str"/>
      <c r="R107" s="48" t="str"/>
      <c r="S107" s="58" t="str"/>
      <c r="T107" s="42" t="str"/>
      <c r="U107" s="42" t="str"/>
      <c r="V107" s="48" t="str"/>
      <c r="W107" s="58" t="str"/>
      <c r="X107" s="42" t="n"/>
      <c r="Y107" s="42" t="n"/>
    </row>
    <row r="108">
      <c r="B108" s="2">
        <f>IF(STUDENTS!B107="","",STUDENTS!B107)</f>
        <v/>
      </c>
      <c r="C108" s="44">
        <f>IFERROR(IF(B108="","",_xlfn.XLOOKUP(B108,STUDENTS!$B$3:$B$1048576,STUDENTS!$C$3:$C$1048576)),"Enter a registered reg. no")</f>
        <v/>
      </c>
      <c r="D108" s="52">
        <f t="array" ref="D108:W108">IF(All_Students_Scores!C106:V106="","",All_Students_Scores!C106:V106)</f>
        <v/>
      </c>
      <c r="E108" s="57" t="str"/>
      <c r="F108" s="66" t="str"/>
      <c r="G108" s="67" t="str"/>
      <c r="H108" s="64" t="str"/>
      <c r="I108" s="65" t="str"/>
      <c r="J108" s="66" t="str"/>
      <c r="K108" s="67" t="str"/>
      <c r="L108" s="41" t="str"/>
      <c r="M108" s="41" t="str"/>
      <c r="N108" s="66" t="str"/>
      <c r="O108" s="67" t="str"/>
      <c r="P108" s="41" t="str"/>
      <c r="Q108" s="41" t="str"/>
      <c r="R108" s="66" t="str"/>
      <c r="S108" s="67" t="str"/>
      <c r="T108" s="41" t="str"/>
      <c r="U108" s="41" t="str"/>
      <c r="V108" s="66" t="str"/>
      <c r="W108" s="67" t="str"/>
    </row>
    <row r="109">
      <c r="B109" s="2">
        <f>IF(STUDENTS!B108="","",STUDENTS!B108)</f>
        <v/>
      </c>
      <c r="C109" s="44">
        <f>IFERROR(IF(B109="","",_xlfn.XLOOKUP(B109,STUDENTS!$B$3:$B$1048576,STUDENTS!$C$3:$C$1048576)),"Enter a registered reg. no")</f>
        <v/>
      </c>
      <c r="D109" s="52">
        <f t="array" ref="D109:W109">IF(All_Students_Scores!C107:V107="","",All_Students_Scores!C107:V107)</f>
        <v/>
      </c>
      <c r="E109" s="55" t="str"/>
      <c r="F109" s="48" t="str"/>
      <c r="G109" s="58" t="str"/>
      <c r="H109" s="62" t="str"/>
      <c r="I109" s="63" t="str"/>
      <c r="J109" s="48" t="str"/>
      <c r="K109" s="58" t="str"/>
      <c r="L109" s="42" t="str"/>
      <c r="M109" s="42" t="str"/>
      <c r="N109" s="48" t="str"/>
      <c r="O109" s="58" t="str"/>
      <c r="P109" s="42" t="str"/>
      <c r="Q109" s="42" t="str"/>
      <c r="R109" s="48" t="str"/>
      <c r="S109" s="58" t="str"/>
      <c r="T109" s="42" t="str"/>
      <c r="U109" s="42" t="str"/>
      <c r="V109" s="48" t="str"/>
      <c r="W109" s="58" t="str"/>
      <c r="X109" s="42" t="n"/>
      <c r="Y109" s="42" t="n"/>
    </row>
    <row r="110">
      <c r="B110" s="2">
        <f>IF(STUDENTS!B109="","",STUDENTS!B109)</f>
        <v/>
      </c>
      <c r="C110" s="44">
        <f>IFERROR(IF(B110="","",_xlfn.XLOOKUP(B110,STUDENTS!$B$3:$B$1048576,STUDENTS!$C$3:$C$1048576)),"Enter a registered reg. no")</f>
        <v/>
      </c>
      <c r="D110" s="52">
        <f t="array" ref="D110:W110">IF(All_Students_Scores!C108:V108="","",All_Students_Scores!C108:V108)</f>
        <v/>
      </c>
      <c r="E110" s="57" t="str"/>
      <c r="F110" s="66" t="str"/>
      <c r="G110" s="67" t="str"/>
      <c r="H110" s="64" t="str"/>
      <c r="I110" s="65" t="str"/>
      <c r="J110" s="66" t="str"/>
      <c r="K110" s="67" t="str"/>
      <c r="L110" s="41" t="str"/>
      <c r="M110" s="41" t="str"/>
      <c r="N110" s="66" t="str"/>
      <c r="O110" s="67" t="str"/>
      <c r="P110" s="41" t="str"/>
      <c r="Q110" s="41" t="str"/>
      <c r="R110" s="66" t="str"/>
      <c r="S110" s="67" t="str"/>
      <c r="T110" s="41" t="str"/>
      <c r="U110" s="41" t="str"/>
      <c r="V110" s="66" t="str"/>
      <c r="W110" s="67" t="str"/>
    </row>
    <row r="111">
      <c r="B111" s="2">
        <f>IF(STUDENTS!B110="","",STUDENTS!B110)</f>
        <v/>
      </c>
      <c r="C111" s="44">
        <f>IFERROR(IF(B111="","",_xlfn.XLOOKUP(B111,STUDENTS!$B$3:$B$1048576,STUDENTS!$C$3:$C$1048576)),"Enter a registered reg. no")</f>
        <v/>
      </c>
      <c r="D111" s="52">
        <f t="array" ref="D111:W111">IF(All_Students_Scores!C109:V109="","",All_Students_Scores!C109:V109)</f>
        <v/>
      </c>
      <c r="E111" s="55" t="str"/>
      <c r="F111" s="48" t="str"/>
      <c r="G111" s="58" t="str"/>
      <c r="H111" s="62" t="str"/>
      <c r="I111" s="63" t="str"/>
      <c r="J111" s="48" t="str"/>
      <c r="K111" s="58" t="str"/>
      <c r="L111" s="42" t="str"/>
      <c r="M111" s="42" t="str"/>
      <c r="N111" s="48" t="str"/>
      <c r="O111" s="58" t="str"/>
      <c r="P111" s="42" t="str"/>
      <c r="Q111" s="42" t="str"/>
      <c r="R111" s="48" t="str"/>
      <c r="S111" s="58" t="str"/>
      <c r="T111" s="42" t="str"/>
      <c r="U111" s="42" t="str"/>
      <c r="V111" s="48" t="str"/>
      <c r="W111" s="58" t="str"/>
      <c r="X111" s="42" t="n"/>
      <c r="Y111" s="42" t="n"/>
    </row>
    <row r="112">
      <c r="B112" s="2">
        <f>IF(STUDENTS!B111="","",STUDENTS!B111)</f>
        <v/>
      </c>
      <c r="C112" s="44">
        <f>IFERROR(IF(B112="","",_xlfn.XLOOKUP(B112,STUDENTS!$B$3:$B$1048576,STUDENTS!$C$3:$C$1048576)),"Enter a registered reg. no")</f>
        <v/>
      </c>
      <c r="D112" s="52">
        <f t="array" ref="D112:W112">IF(All_Students_Scores!C110:V110="","",All_Students_Scores!C110:V110)</f>
        <v/>
      </c>
      <c r="E112" s="57" t="str"/>
      <c r="F112" s="66" t="str"/>
      <c r="G112" s="67" t="str"/>
      <c r="H112" s="64" t="str"/>
      <c r="I112" s="65" t="str"/>
      <c r="J112" s="66" t="str"/>
      <c r="K112" s="67" t="str"/>
      <c r="L112" s="41" t="str"/>
      <c r="M112" s="41" t="str"/>
      <c r="N112" s="66" t="str"/>
      <c r="O112" s="67" t="str"/>
      <c r="P112" s="41" t="str"/>
      <c r="Q112" s="41" t="str"/>
      <c r="R112" s="66" t="str"/>
      <c r="S112" s="67" t="str"/>
      <c r="T112" s="41" t="str"/>
      <c r="U112" s="41" t="str"/>
      <c r="V112" s="66" t="str"/>
      <c r="W112" s="67" t="str"/>
    </row>
    <row r="113">
      <c r="B113" s="2">
        <f>IF(STUDENTS!B112="","",STUDENTS!B112)</f>
        <v/>
      </c>
      <c r="C113" s="44">
        <f>IFERROR(IF(B113="","",_xlfn.XLOOKUP(B113,STUDENTS!$B$3:$B$1048576,STUDENTS!$C$3:$C$1048576)),"Enter a registered reg. no")</f>
        <v/>
      </c>
      <c r="D113" s="52">
        <f t="array" ref="D113:W113">IF(All_Students_Scores!C111:V111="","",All_Students_Scores!C111:V111)</f>
        <v/>
      </c>
      <c r="E113" s="55" t="str"/>
      <c r="F113" s="48" t="str"/>
      <c r="G113" s="58" t="str"/>
      <c r="H113" s="62" t="str"/>
      <c r="I113" s="63" t="str"/>
      <c r="J113" s="48" t="str"/>
      <c r="K113" s="58" t="str"/>
      <c r="L113" s="42" t="str"/>
      <c r="M113" s="42" t="str"/>
      <c r="N113" s="48" t="str"/>
      <c r="O113" s="58" t="str"/>
      <c r="P113" s="42" t="str"/>
      <c r="Q113" s="42" t="str"/>
      <c r="R113" s="48" t="str"/>
      <c r="S113" s="58" t="str"/>
      <c r="T113" s="42" t="str"/>
      <c r="U113" s="42" t="str"/>
      <c r="V113" s="48" t="str"/>
      <c r="W113" s="58" t="str"/>
      <c r="X113" s="42" t="n"/>
      <c r="Y113" s="42" t="n"/>
    </row>
    <row r="114">
      <c r="B114" s="2">
        <f>IF(STUDENTS!B113="","",STUDENTS!B113)</f>
        <v/>
      </c>
      <c r="C114" s="44">
        <f>IFERROR(IF(B114="","",_xlfn.XLOOKUP(B114,STUDENTS!$B$3:$B$1048576,STUDENTS!$C$3:$C$1048576)),"Enter a registered reg. no")</f>
        <v/>
      </c>
      <c r="D114" s="52">
        <f t="array" ref="D114:W114">IF(All_Students_Scores!C112:V112="","",All_Students_Scores!C112:V112)</f>
        <v/>
      </c>
      <c r="E114" s="57" t="str"/>
      <c r="F114" s="66" t="str"/>
      <c r="G114" s="67" t="str"/>
      <c r="H114" s="64" t="str"/>
      <c r="I114" s="65" t="str"/>
      <c r="J114" s="66" t="str"/>
      <c r="K114" s="67" t="str"/>
      <c r="L114" s="41" t="str"/>
      <c r="M114" s="41" t="str"/>
      <c r="N114" s="66" t="str"/>
      <c r="O114" s="67" t="str"/>
      <c r="P114" s="41" t="str"/>
      <c r="Q114" s="41" t="str"/>
      <c r="R114" s="66" t="str"/>
      <c r="S114" s="67" t="str"/>
      <c r="T114" s="41" t="str"/>
      <c r="U114" s="41" t="str"/>
      <c r="V114" s="66" t="str"/>
      <c r="W114" s="67" t="str"/>
    </row>
    <row r="115">
      <c r="B115" s="2">
        <f>IF(STUDENTS!B114="","",STUDENTS!B114)</f>
        <v/>
      </c>
      <c r="C115" s="44">
        <f>IFERROR(IF(B115="","",_xlfn.XLOOKUP(B115,STUDENTS!$B$3:$B$1048576,STUDENTS!$C$3:$C$1048576)),"Enter a registered reg. no")</f>
        <v/>
      </c>
      <c r="D115" s="52">
        <f t="array" ref="D115:W115">IF(All_Students_Scores!C113:V113="","",All_Students_Scores!C113:V113)</f>
        <v/>
      </c>
      <c r="E115" s="55" t="str"/>
      <c r="F115" s="48" t="str"/>
      <c r="G115" s="58" t="str"/>
      <c r="H115" s="62" t="str"/>
      <c r="I115" s="63" t="str"/>
      <c r="J115" s="48" t="str"/>
      <c r="K115" s="58" t="str"/>
      <c r="L115" s="42" t="str"/>
      <c r="M115" s="42" t="str"/>
      <c r="N115" s="48" t="str"/>
      <c r="O115" s="58" t="str"/>
      <c r="P115" s="42" t="str"/>
      <c r="Q115" s="42" t="str"/>
      <c r="R115" s="48" t="str"/>
      <c r="S115" s="58" t="str"/>
      <c r="T115" s="42" t="str"/>
      <c r="U115" s="42" t="str"/>
      <c r="V115" s="48" t="str"/>
      <c r="W115" s="58" t="str"/>
      <c r="X115" s="42" t="n"/>
      <c r="Y115" s="42" t="n"/>
    </row>
    <row r="116">
      <c r="B116" s="2">
        <f>IF(STUDENTS!B115="","",STUDENTS!B115)</f>
        <v/>
      </c>
      <c r="C116" s="44">
        <f>IFERROR(IF(B116="","",_xlfn.XLOOKUP(B116,STUDENTS!$B$3:$B$1048576,STUDENTS!$C$3:$C$1048576)),"Enter a registered reg. no")</f>
        <v/>
      </c>
      <c r="D116" s="52">
        <f t="array" ref="D116:W116">IF(All_Students_Scores!C114:V114="","",All_Students_Scores!C114:V114)</f>
        <v/>
      </c>
      <c r="E116" s="57" t="str"/>
      <c r="F116" s="66" t="str"/>
      <c r="G116" s="67" t="str"/>
      <c r="H116" s="64" t="str"/>
      <c r="I116" s="65" t="str"/>
      <c r="J116" s="66" t="str"/>
      <c r="K116" s="67" t="str"/>
      <c r="L116" s="41" t="str"/>
      <c r="M116" s="41" t="str"/>
      <c r="N116" s="66" t="str"/>
      <c r="O116" s="67" t="str"/>
      <c r="P116" s="41" t="str"/>
      <c r="Q116" s="41" t="str"/>
      <c r="R116" s="66" t="str"/>
      <c r="S116" s="67" t="str"/>
      <c r="T116" s="41" t="str"/>
      <c r="U116" s="41" t="str"/>
      <c r="V116" s="66" t="str"/>
      <c r="W116" s="67" t="str"/>
    </row>
    <row r="117">
      <c r="B117" s="2">
        <f>IF(STUDENTS!B116="","",STUDENTS!B116)</f>
        <v/>
      </c>
      <c r="C117" s="44">
        <f>IFERROR(IF(B117="","",_xlfn.XLOOKUP(B117,STUDENTS!$B$3:$B$1048576,STUDENTS!$C$3:$C$1048576)),"Enter a registered reg. no")</f>
        <v/>
      </c>
      <c r="D117" s="52">
        <f t="array" ref="D117:W117">IF(All_Students_Scores!C115:V115="","",All_Students_Scores!C115:V115)</f>
        <v/>
      </c>
      <c r="E117" s="55" t="str"/>
      <c r="F117" s="48" t="str"/>
      <c r="G117" s="58" t="str"/>
      <c r="H117" s="62" t="str"/>
      <c r="I117" s="63" t="str"/>
      <c r="J117" s="48" t="str"/>
      <c r="K117" s="58" t="str"/>
      <c r="L117" s="42" t="str"/>
      <c r="M117" s="42" t="str"/>
      <c r="N117" s="48" t="str"/>
      <c r="O117" s="58" t="str"/>
      <c r="P117" s="42" t="str"/>
      <c r="Q117" s="42" t="str"/>
      <c r="R117" s="48" t="str"/>
      <c r="S117" s="58" t="str"/>
      <c r="T117" s="42" t="str"/>
      <c r="U117" s="42" t="str"/>
      <c r="V117" s="48" t="str"/>
      <c r="W117" s="58" t="str"/>
      <c r="X117" s="42" t="n"/>
      <c r="Y117" s="42" t="n"/>
    </row>
    <row r="118">
      <c r="B118" s="2">
        <f>IF(STUDENTS!B117="","",STUDENTS!B117)</f>
        <v/>
      </c>
      <c r="C118" s="44">
        <f>IFERROR(IF(B118="","",_xlfn.XLOOKUP(B118,STUDENTS!$B$3:$B$1048576,STUDENTS!$C$3:$C$1048576)),"Enter a registered reg. no")</f>
        <v/>
      </c>
      <c r="D118" s="52">
        <f t="array" ref="D118:W118">IF(All_Students_Scores!C116:V116="","",All_Students_Scores!C116:V116)</f>
        <v/>
      </c>
      <c r="E118" s="57" t="str"/>
      <c r="F118" s="66" t="str"/>
      <c r="G118" s="67" t="str"/>
      <c r="H118" s="64" t="str"/>
      <c r="I118" s="65" t="str"/>
      <c r="J118" s="66" t="str"/>
      <c r="K118" s="67" t="str"/>
      <c r="L118" s="41" t="str"/>
      <c r="M118" s="41" t="str"/>
      <c r="N118" s="66" t="str"/>
      <c r="O118" s="67" t="str"/>
      <c r="P118" s="41" t="str"/>
      <c r="Q118" s="41" t="str"/>
      <c r="R118" s="66" t="str"/>
      <c r="S118" s="67" t="str"/>
      <c r="T118" s="41" t="str"/>
      <c r="U118" s="41" t="str"/>
      <c r="V118" s="66" t="str"/>
      <c r="W118" s="67" t="str"/>
    </row>
    <row r="119">
      <c r="B119" s="2">
        <f>IF(STUDENTS!B118="","",STUDENTS!B118)</f>
        <v/>
      </c>
      <c r="C119" s="44">
        <f>IFERROR(IF(B119="","",_xlfn.XLOOKUP(B119,STUDENTS!$B$3:$B$1048576,STUDENTS!$C$3:$C$1048576)),"Enter a registered reg. no")</f>
        <v/>
      </c>
      <c r="D119" s="52">
        <f t="array" ref="D119:W119">IF(All_Students_Scores!C117:V117="","",All_Students_Scores!C117:V117)</f>
        <v/>
      </c>
      <c r="E119" s="55" t="str"/>
      <c r="F119" s="48" t="str"/>
      <c r="G119" s="58" t="str"/>
      <c r="H119" s="62" t="str"/>
      <c r="I119" s="63" t="str"/>
      <c r="J119" s="48" t="str"/>
      <c r="K119" s="58" t="str"/>
      <c r="L119" s="42" t="str"/>
      <c r="M119" s="42" t="str"/>
      <c r="N119" s="48" t="str"/>
      <c r="O119" s="58" t="str"/>
      <c r="P119" s="42" t="str"/>
      <c r="Q119" s="42" t="str"/>
      <c r="R119" s="48" t="str"/>
      <c r="S119" s="58" t="str"/>
      <c r="T119" s="42" t="str"/>
      <c r="U119" s="42" t="str"/>
      <c r="V119" s="48" t="str"/>
      <c r="W119" s="58" t="str"/>
      <c r="X119" s="42" t="n"/>
      <c r="Y119" s="42" t="n"/>
    </row>
    <row r="120">
      <c r="B120" s="2">
        <f>IF(STUDENTS!B119="","",STUDENTS!B119)</f>
        <v/>
      </c>
      <c r="C120" s="44">
        <f>IFERROR(IF(B120="","",_xlfn.XLOOKUP(B120,STUDENTS!$B$3:$B$1048576,STUDENTS!$C$3:$C$1048576)),"Enter a registered reg. no")</f>
        <v/>
      </c>
      <c r="D120" s="52">
        <f t="array" ref="D120:W120">IF(All_Students_Scores!C118:V118="","",All_Students_Scores!C118:V118)</f>
        <v/>
      </c>
      <c r="E120" s="57" t="str"/>
      <c r="F120" s="66" t="str"/>
      <c r="G120" s="67" t="str"/>
      <c r="H120" s="64" t="str"/>
      <c r="I120" s="65" t="str"/>
      <c r="J120" s="66" t="str"/>
      <c r="K120" s="67" t="str"/>
      <c r="L120" s="41" t="str"/>
      <c r="M120" s="41" t="str"/>
      <c r="N120" s="66" t="str"/>
      <c r="O120" s="67" t="str"/>
      <c r="P120" s="41" t="str"/>
      <c r="Q120" s="41" t="str"/>
      <c r="R120" s="66" t="str"/>
      <c r="S120" s="67" t="str"/>
      <c r="T120" s="41" t="str"/>
      <c r="U120" s="41" t="str"/>
      <c r="V120" s="66" t="str"/>
      <c r="W120" s="67" t="str"/>
    </row>
    <row r="121">
      <c r="B121" s="2">
        <f>IF(STUDENTS!B120="","",STUDENTS!B120)</f>
        <v/>
      </c>
      <c r="C121" s="44">
        <f>IFERROR(IF(B121="","",_xlfn.XLOOKUP(B121,STUDENTS!$B$3:$B$1048576,STUDENTS!$C$3:$C$1048576)),"Enter a registered reg. no")</f>
        <v/>
      </c>
      <c r="D121" s="52">
        <f t="array" ref="D121:W121">IF(All_Students_Scores!C119:V119="","",All_Students_Scores!C119:V119)</f>
        <v/>
      </c>
      <c r="E121" s="55" t="str"/>
      <c r="F121" s="48" t="str"/>
      <c r="G121" s="58" t="str"/>
      <c r="H121" s="62" t="str"/>
      <c r="I121" s="63" t="str"/>
      <c r="J121" s="48" t="str"/>
      <c r="K121" s="58" t="str"/>
      <c r="L121" s="42" t="str"/>
      <c r="M121" s="42" t="str"/>
      <c r="N121" s="48" t="str"/>
      <c r="O121" s="58" t="str"/>
      <c r="P121" s="42" t="str"/>
      <c r="Q121" s="42" t="str"/>
      <c r="R121" s="48" t="str"/>
      <c r="S121" s="58" t="str"/>
      <c r="T121" s="42" t="str"/>
      <c r="U121" s="42" t="str"/>
      <c r="V121" s="48" t="str"/>
      <c r="W121" s="58" t="str"/>
      <c r="X121" s="42" t="n"/>
      <c r="Y121" s="42" t="n"/>
    </row>
    <row r="122">
      <c r="B122" s="2">
        <f>IF(STUDENTS!B121="","",STUDENTS!B121)</f>
        <v/>
      </c>
      <c r="C122" s="44">
        <f>IFERROR(IF(B122="","",_xlfn.XLOOKUP(B122,STUDENTS!$B$3:$B$1048576,STUDENTS!$C$3:$C$1048576)),"Enter a registered reg. no")</f>
        <v/>
      </c>
      <c r="D122" s="52">
        <f t="array" ref="D122:W122">IF(All_Students_Scores!C120:V120="","",All_Students_Scores!C120:V120)</f>
        <v/>
      </c>
      <c r="E122" s="57" t="str"/>
      <c r="F122" s="66" t="str"/>
      <c r="G122" s="67" t="str"/>
      <c r="H122" s="64" t="str"/>
      <c r="I122" s="65" t="str"/>
      <c r="J122" s="66" t="str"/>
      <c r="K122" s="67" t="str"/>
      <c r="L122" s="41" t="str"/>
      <c r="M122" s="41" t="str"/>
      <c r="N122" s="66" t="str"/>
      <c r="O122" s="67" t="str"/>
      <c r="P122" s="41" t="str"/>
      <c r="Q122" s="41" t="str"/>
      <c r="R122" s="66" t="str"/>
      <c r="S122" s="67" t="str"/>
      <c r="T122" s="41" t="str"/>
      <c r="U122" s="41" t="str"/>
      <c r="V122" s="66" t="str"/>
      <c r="W122" s="67" t="str"/>
    </row>
    <row r="123">
      <c r="B123" s="2">
        <f>IF(STUDENTS!B122="","",STUDENTS!B122)</f>
        <v/>
      </c>
      <c r="C123" s="44">
        <f>IFERROR(IF(B123="","",_xlfn.XLOOKUP(B123,STUDENTS!$B$3:$B$1048576,STUDENTS!$C$3:$C$1048576)),"Enter a registered reg. no")</f>
        <v/>
      </c>
      <c r="D123" s="52">
        <f t="array" ref="D123:W123">IF(All_Students_Scores!C121:V121="","",All_Students_Scores!C121:V121)</f>
        <v/>
      </c>
      <c r="E123" s="55" t="str"/>
      <c r="F123" s="48" t="str"/>
      <c r="G123" s="58" t="str"/>
      <c r="H123" s="62" t="str"/>
      <c r="I123" s="63" t="str"/>
      <c r="J123" s="48" t="str"/>
      <c r="K123" s="58" t="str"/>
      <c r="L123" s="42" t="str"/>
      <c r="M123" s="42" t="str"/>
      <c r="N123" s="48" t="str"/>
      <c r="O123" s="58" t="str"/>
      <c r="P123" s="42" t="str"/>
      <c r="Q123" s="42" t="str"/>
      <c r="R123" s="48" t="str"/>
      <c r="S123" s="58" t="str"/>
      <c r="T123" s="42" t="str"/>
      <c r="U123" s="42" t="str"/>
      <c r="V123" s="48" t="str"/>
      <c r="W123" s="58" t="str"/>
      <c r="X123" s="42" t="n"/>
      <c r="Y123" s="42" t="n"/>
    </row>
    <row r="124">
      <c r="B124" s="2">
        <f>IF(STUDENTS!B123="","",STUDENTS!B123)</f>
        <v/>
      </c>
      <c r="C124" s="44">
        <f>IFERROR(IF(B124="","",_xlfn.XLOOKUP(B124,STUDENTS!$B$3:$B$1048576,STUDENTS!$C$3:$C$1048576)),"Enter a registered reg. no")</f>
        <v/>
      </c>
      <c r="D124" s="52">
        <f t="array" ref="D124:W124">IF(All_Students_Scores!C122:V122="","",All_Students_Scores!C122:V122)</f>
        <v/>
      </c>
      <c r="E124" s="57" t="str"/>
      <c r="F124" s="66" t="str"/>
      <c r="G124" s="67" t="str"/>
      <c r="H124" s="64" t="str"/>
      <c r="I124" s="65" t="str"/>
      <c r="J124" s="66" t="str"/>
      <c r="K124" s="67" t="str"/>
      <c r="L124" s="41" t="str"/>
      <c r="M124" s="41" t="str"/>
      <c r="N124" s="66" t="str"/>
      <c r="O124" s="67" t="str"/>
      <c r="P124" s="41" t="str"/>
      <c r="Q124" s="41" t="str"/>
      <c r="R124" s="66" t="str"/>
      <c r="S124" s="67" t="str"/>
      <c r="T124" s="41" t="str"/>
      <c r="U124" s="41" t="str"/>
      <c r="V124" s="66" t="str"/>
      <c r="W124" s="67" t="str"/>
    </row>
    <row r="125">
      <c r="B125" s="2">
        <f>IF(STUDENTS!B124="","",STUDENTS!B124)</f>
        <v/>
      </c>
      <c r="C125" s="44">
        <f>IFERROR(IF(B125="","",_xlfn.XLOOKUP(B125,STUDENTS!$B$3:$B$1048576,STUDENTS!$C$3:$C$1048576)),"Enter a registered reg. no")</f>
        <v/>
      </c>
      <c r="D125" s="52">
        <f t="array" ref="D125:W125">IF(All_Students_Scores!C123:V123="","",All_Students_Scores!C123:V123)</f>
        <v/>
      </c>
      <c r="E125" s="55" t="str"/>
      <c r="F125" s="48" t="str"/>
      <c r="G125" s="58" t="str"/>
      <c r="H125" s="62" t="str"/>
      <c r="I125" s="63" t="str"/>
      <c r="J125" s="48" t="str"/>
      <c r="K125" s="58" t="str"/>
      <c r="L125" s="42" t="str"/>
      <c r="M125" s="42" t="str"/>
      <c r="N125" s="48" t="str"/>
      <c r="O125" s="58" t="str"/>
      <c r="P125" s="42" t="str"/>
      <c r="Q125" s="42" t="str"/>
      <c r="R125" s="48" t="str"/>
      <c r="S125" s="58" t="str"/>
      <c r="T125" s="42" t="str"/>
      <c r="U125" s="42" t="str"/>
      <c r="V125" s="48" t="str"/>
      <c r="W125" s="58" t="str"/>
      <c r="X125" s="42" t="n"/>
      <c r="Y125" s="42" t="n"/>
    </row>
    <row r="126">
      <c r="B126" s="2">
        <f>IF(STUDENTS!B125="","",STUDENTS!B125)</f>
        <v/>
      </c>
      <c r="C126" s="44">
        <f>IFERROR(IF(B126="","",_xlfn.XLOOKUP(B126,STUDENTS!$B$3:$B$1048576,STUDENTS!$C$3:$C$1048576)),"Enter a registered reg. no")</f>
        <v/>
      </c>
      <c r="D126" s="52">
        <f t="array" ref="D126:W126">IF(All_Students_Scores!C124:V124="","",All_Students_Scores!C124:V124)</f>
        <v/>
      </c>
      <c r="E126" s="57" t="str"/>
      <c r="F126" s="66" t="str"/>
      <c r="G126" s="67" t="str"/>
      <c r="H126" s="64" t="str"/>
      <c r="I126" s="65" t="str"/>
      <c r="J126" s="66" t="str"/>
      <c r="K126" s="67" t="str"/>
      <c r="L126" s="41" t="str"/>
      <c r="M126" s="41" t="str"/>
      <c r="N126" s="66" t="str"/>
      <c r="O126" s="67" t="str"/>
      <c r="P126" s="41" t="str"/>
      <c r="Q126" s="41" t="str"/>
      <c r="R126" s="66" t="str"/>
      <c r="S126" s="67" t="str"/>
      <c r="T126" s="41" t="str"/>
      <c r="U126" s="41" t="str"/>
      <c r="V126" s="66" t="str"/>
      <c r="W126" s="67" t="str"/>
    </row>
    <row r="127">
      <c r="B127" s="2">
        <f>IF(STUDENTS!B126="","",STUDENTS!B126)</f>
        <v/>
      </c>
      <c r="C127" s="44">
        <f>IFERROR(IF(B127="","",_xlfn.XLOOKUP(B127,STUDENTS!$B$3:$B$1048576,STUDENTS!$C$3:$C$1048576)),"Enter a registered reg. no")</f>
        <v/>
      </c>
      <c r="D127" s="52">
        <f t="array" ref="D127:W127">IF(All_Students_Scores!C125:V125="","",All_Students_Scores!C125:V125)</f>
        <v/>
      </c>
      <c r="E127" s="55" t="str"/>
      <c r="F127" s="48" t="str"/>
      <c r="G127" s="58" t="str"/>
      <c r="H127" s="62" t="str"/>
      <c r="I127" s="63" t="str"/>
      <c r="J127" s="48" t="str"/>
      <c r="K127" s="58" t="str"/>
      <c r="L127" s="42" t="str"/>
      <c r="M127" s="42" t="str"/>
      <c r="N127" s="48" t="str"/>
      <c r="O127" s="58" t="str"/>
      <c r="P127" s="42" t="str"/>
      <c r="Q127" s="42" t="str"/>
      <c r="R127" s="48" t="str"/>
      <c r="S127" s="58" t="str"/>
      <c r="T127" s="42" t="str"/>
      <c r="U127" s="42" t="str"/>
      <c r="V127" s="48" t="str"/>
      <c r="W127" s="58" t="str"/>
      <c r="X127" s="42" t="n"/>
      <c r="Y127" s="42" t="n"/>
    </row>
    <row r="128">
      <c r="B128" s="2">
        <f>IF(STUDENTS!B127="","",STUDENTS!B127)</f>
        <v/>
      </c>
      <c r="C128" s="44">
        <f>IFERROR(IF(B128="","",_xlfn.XLOOKUP(B128,STUDENTS!$B$3:$B$1048576,STUDENTS!$C$3:$C$1048576)),"Enter a registered reg. no")</f>
        <v/>
      </c>
      <c r="D128" s="52">
        <f t="array" ref="D128:W128">IF(All_Students_Scores!C126:V126="","",All_Students_Scores!C126:V126)</f>
        <v/>
      </c>
      <c r="E128" s="57" t="str"/>
      <c r="F128" s="66" t="str"/>
      <c r="G128" s="67" t="str"/>
      <c r="H128" s="64" t="str"/>
      <c r="I128" s="65" t="str"/>
      <c r="J128" s="66" t="str"/>
      <c r="K128" s="67" t="str"/>
      <c r="L128" s="41" t="str"/>
      <c r="M128" s="41" t="str"/>
      <c r="N128" s="66" t="str"/>
      <c r="O128" s="67" t="str"/>
      <c r="P128" s="41" t="str"/>
      <c r="Q128" s="41" t="str"/>
      <c r="R128" s="66" t="str"/>
      <c r="S128" s="67" t="str"/>
      <c r="T128" s="41" t="str"/>
      <c r="U128" s="41" t="str"/>
      <c r="V128" s="66" t="str"/>
      <c r="W128" s="67" t="str"/>
    </row>
    <row r="129">
      <c r="B129" s="2">
        <f>IF(STUDENTS!B128="","",STUDENTS!B128)</f>
        <v/>
      </c>
      <c r="C129" s="44">
        <f>IFERROR(IF(B129="","",_xlfn.XLOOKUP(B129,STUDENTS!$B$3:$B$1048576,STUDENTS!$C$3:$C$1048576)),"Enter a registered reg. no")</f>
        <v/>
      </c>
      <c r="D129" s="52">
        <f t="array" ref="D129:W129">IF(All_Students_Scores!C127:V127="","",All_Students_Scores!C127:V127)</f>
        <v/>
      </c>
      <c r="E129" s="55" t="str"/>
      <c r="F129" s="48" t="str"/>
      <c r="G129" s="58" t="str"/>
      <c r="H129" s="62" t="str"/>
      <c r="I129" s="63" t="str"/>
      <c r="J129" s="48" t="str"/>
      <c r="K129" s="58" t="str"/>
      <c r="L129" s="42" t="str"/>
      <c r="M129" s="42" t="str"/>
      <c r="N129" s="48" t="str"/>
      <c r="O129" s="58" t="str"/>
      <c r="P129" s="42" t="str"/>
      <c r="Q129" s="42" t="str"/>
      <c r="R129" s="48" t="str"/>
      <c r="S129" s="58" t="str"/>
      <c r="T129" s="42" t="str"/>
      <c r="U129" s="42" t="str"/>
      <c r="V129" s="48" t="str"/>
      <c r="W129" s="58" t="str"/>
      <c r="X129" s="42" t="n"/>
      <c r="Y129" s="42" t="n"/>
    </row>
    <row r="130">
      <c r="B130" s="2">
        <f>IF(STUDENTS!B129="","",STUDENTS!B129)</f>
        <v/>
      </c>
      <c r="C130" s="44">
        <f>IFERROR(IF(B130="","",_xlfn.XLOOKUP(B130,STUDENTS!$B$3:$B$1048576,STUDENTS!$C$3:$C$1048576)),"Enter a registered reg. no")</f>
        <v/>
      </c>
      <c r="D130" s="52">
        <f t="array" ref="D130:W130">IF(All_Students_Scores!C128:V128="","",All_Students_Scores!C128:V128)</f>
        <v/>
      </c>
      <c r="E130" s="57" t="str"/>
      <c r="F130" s="66" t="str"/>
      <c r="G130" s="67" t="str"/>
      <c r="H130" s="64" t="str"/>
      <c r="I130" s="65" t="str"/>
      <c r="J130" s="66" t="str"/>
      <c r="K130" s="67" t="str"/>
      <c r="L130" s="41" t="str"/>
      <c r="M130" s="41" t="str"/>
      <c r="N130" s="66" t="str"/>
      <c r="O130" s="67" t="str"/>
      <c r="P130" s="41" t="str"/>
      <c r="Q130" s="41" t="str"/>
      <c r="R130" s="66" t="str"/>
      <c r="S130" s="67" t="str"/>
      <c r="T130" s="41" t="str"/>
      <c r="U130" s="41" t="str"/>
      <c r="V130" s="66" t="str"/>
      <c r="W130" s="67" t="str"/>
    </row>
    <row r="131">
      <c r="B131" s="2">
        <f>IF(STUDENTS!B130="","",STUDENTS!B130)</f>
        <v/>
      </c>
      <c r="C131" s="44">
        <f>IFERROR(IF(B131="","",_xlfn.XLOOKUP(B131,STUDENTS!$B$3:$B$1048576,STUDENTS!$C$3:$C$1048576)),"Enter a registered reg. no")</f>
        <v/>
      </c>
      <c r="D131" s="52">
        <f t="array" ref="D131:W131">IF(All_Students_Scores!C129:V129="","",All_Students_Scores!C129:V129)</f>
        <v/>
      </c>
      <c r="E131" s="55" t="str"/>
      <c r="F131" s="48" t="str"/>
      <c r="G131" s="58" t="str"/>
      <c r="H131" s="62" t="str"/>
      <c r="I131" s="63" t="str"/>
      <c r="J131" s="48" t="str"/>
      <c r="K131" s="58" t="str"/>
      <c r="L131" s="42" t="str"/>
      <c r="M131" s="42" t="str"/>
      <c r="N131" s="48" t="str"/>
      <c r="O131" s="58" t="str"/>
      <c r="P131" s="42" t="str"/>
      <c r="Q131" s="42" t="str"/>
      <c r="R131" s="48" t="str"/>
      <c r="S131" s="58" t="str"/>
      <c r="T131" s="42" t="str"/>
      <c r="U131" s="42" t="str"/>
      <c r="V131" s="48" t="str"/>
      <c r="W131" s="58" t="str"/>
      <c r="X131" s="42" t="n"/>
      <c r="Y131" s="42" t="n"/>
    </row>
    <row r="132">
      <c r="B132" s="2">
        <f>IF(STUDENTS!B131="","",STUDENTS!B131)</f>
        <v/>
      </c>
      <c r="C132" s="44">
        <f>IFERROR(IF(B132="","",_xlfn.XLOOKUP(B132,STUDENTS!$B$3:$B$1048576,STUDENTS!$C$3:$C$1048576)),"Enter a registered reg. no")</f>
        <v/>
      </c>
      <c r="D132" s="52">
        <f t="array" ref="D132:W132">IF(All_Students_Scores!C130:V130="","",All_Students_Scores!C130:V130)</f>
        <v/>
      </c>
      <c r="E132" s="57" t="str"/>
      <c r="F132" s="66" t="str"/>
      <c r="G132" s="67" t="str"/>
      <c r="H132" s="64" t="str"/>
      <c r="I132" s="65" t="str"/>
      <c r="J132" s="66" t="str"/>
      <c r="K132" s="67" t="str"/>
      <c r="L132" s="41" t="str"/>
      <c r="M132" s="41" t="str"/>
      <c r="N132" s="66" t="str"/>
      <c r="O132" s="67" t="str"/>
      <c r="P132" s="41" t="str"/>
      <c r="Q132" s="41" t="str"/>
      <c r="R132" s="66" t="str"/>
      <c r="S132" s="67" t="str"/>
      <c r="T132" s="41" t="str"/>
      <c r="U132" s="41" t="str"/>
      <c r="V132" s="66" t="str"/>
      <c r="W132" s="67" t="str"/>
    </row>
    <row r="133">
      <c r="B133" s="2">
        <f>IF(STUDENTS!B132="","",STUDENTS!B132)</f>
        <v/>
      </c>
      <c r="C133" s="44">
        <f>IFERROR(IF(B133="","",_xlfn.XLOOKUP(B133,STUDENTS!$B$3:$B$1048576,STUDENTS!$C$3:$C$1048576)),"Enter a registered reg. no")</f>
        <v/>
      </c>
      <c r="D133" s="52">
        <f t="array" ref="D133:W133">IF(All_Students_Scores!C131:V131="","",All_Students_Scores!C131:V131)</f>
        <v/>
      </c>
      <c r="E133" s="55" t="str"/>
      <c r="F133" s="48" t="str"/>
      <c r="G133" s="58" t="str"/>
      <c r="H133" s="62" t="str"/>
      <c r="I133" s="63" t="str"/>
      <c r="J133" s="48" t="str"/>
      <c r="K133" s="58" t="str"/>
      <c r="L133" s="42" t="str"/>
      <c r="M133" s="42" t="str"/>
      <c r="N133" s="48" t="str"/>
      <c r="O133" s="58" t="str"/>
      <c r="P133" s="42" t="str"/>
      <c r="Q133" s="42" t="str"/>
      <c r="R133" s="48" t="str"/>
      <c r="S133" s="58" t="str"/>
      <c r="T133" s="42" t="str"/>
      <c r="U133" s="42" t="str"/>
      <c r="V133" s="48" t="str"/>
      <c r="W133" s="58" t="str"/>
      <c r="X133" s="42" t="n"/>
      <c r="Y133" s="42" t="n"/>
    </row>
    <row r="134">
      <c r="B134" s="2">
        <f>IF(STUDENTS!B133="","",STUDENTS!B133)</f>
        <v/>
      </c>
      <c r="C134" s="44">
        <f>IFERROR(IF(B134="","",_xlfn.XLOOKUP(B134,STUDENTS!$B$3:$B$1048576,STUDENTS!$C$3:$C$1048576)),"Enter a registered reg. no")</f>
        <v/>
      </c>
      <c r="D134" s="52">
        <f t="array" ref="D134:W134">IF(All_Students_Scores!C132:V132="","",All_Students_Scores!C132:V132)</f>
        <v/>
      </c>
      <c r="E134" s="57" t="str"/>
      <c r="F134" s="66" t="str"/>
      <c r="G134" s="67" t="str"/>
      <c r="H134" s="64" t="str"/>
      <c r="I134" s="65" t="str"/>
      <c r="J134" s="66" t="str"/>
      <c r="K134" s="67" t="str"/>
      <c r="L134" s="41" t="str"/>
      <c r="M134" s="41" t="str"/>
      <c r="N134" s="66" t="str"/>
      <c r="O134" s="67" t="str"/>
      <c r="P134" s="41" t="str"/>
      <c r="Q134" s="41" t="str"/>
      <c r="R134" s="66" t="str"/>
      <c r="S134" s="67" t="str"/>
      <c r="T134" s="41" t="str"/>
      <c r="U134" s="41" t="str"/>
      <c r="V134" s="66" t="str"/>
      <c r="W134" s="67" t="str"/>
    </row>
    <row r="135">
      <c r="B135" s="2">
        <f>IF(STUDENTS!B134="","",STUDENTS!B134)</f>
        <v/>
      </c>
      <c r="C135" s="44">
        <f>IFERROR(IF(B135="","",_xlfn.XLOOKUP(B135,STUDENTS!$B$3:$B$1048576,STUDENTS!$C$3:$C$1048576)),"Enter a registered reg. no")</f>
        <v/>
      </c>
      <c r="D135" s="52">
        <f t="array" ref="D135:W135">IF(All_Students_Scores!C133:V133="","",All_Students_Scores!C133:V133)</f>
        <v/>
      </c>
      <c r="E135" s="55" t="str"/>
      <c r="F135" s="48" t="str"/>
      <c r="G135" s="58" t="str"/>
      <c r="H135" s="62" t="str"/>
      <c r="I135" s="63" t="str"/>
      <c r="J135" s="48" t="str"/>
      <c r="K135" s="58" t="str"/>
      <c r="L135" s="42" t="str"/>
      <c r="M135" s="42" t="str"/>
      <c r="N135" s="48" t="str"/>
      <c r="O135" s="58" t="str"/>
      <c r="P135" s="42" t="str"/>
      <c r="Q135" s="42" t="str"/>
      <c r="R135" s="48" t="str"/>
      <c r="S135" s="58" t="str"/>
      <c r="T135" s="42" t="str"/>
      <c r="U135" s="42" t="str"/>
      <c r="V135" s="48" t="str"/>
      <c r="W135" s="58" t="str"/>
      <c r="X135" s="42" t="n"/>
      <c r="Y135" s="42" t="n"/>
    </row>
    <row r="136">
      <c r="B136" s="2">
        <f>IF(STUDENTS!B135="","",STUDENTS!B135)</f>
        <v/>
      </c>
      <c r="C136" s="44">
        <f>IFERROR(IF(B136="","",_xlfn.XLOOKUP(B136,STUDENTS!$B$3:$B$1048576,STUDENTS!$C$3:$C$1048576)),"Enter a registered reg. no")</f>
        <v/>
      </c>
      <c r="D136" s="52">
        <f t="array" ref="D136:W136">IF(All_Students_Scores!C134:V134="","",All_Students_Scores!C134:V134)</f>
        <v/>
      </c>
      <c r="E136" s="57" t="str"/>
      <c r="F136" s="66" t="str"/>
      <c r="G136" s="67" t="str"/>
      <c r="H136" s="64" t="str"/>
      <c r="I136" s="65" t="str"/>
      <c r="J136" s="66" t="str"/>
      <c r="K136" s="67" t="str"/>
      <c r="L136" s="41" t="str"/>
      <c r="M136" s="41" t="str"/>
      <c r="N136" s="66" t="str"/>
      <c r="O136" s="67" t="str"/>
      <c r="P136" s="41" t="str"/>
      <c r="Q136" s="41" t="str"/>
      <c r="R136" s="66" t="str"/>
      <c r="S136" s="67" t="str"/>
      <c r="T136" s="41" t="str"/>
      <c r="U136" s="41" t="str"/>
      <c r="V136" s="66" t="str"/>
      <c r="W136" s="67" t="str"/>
    </row>
    <row r="137">
      <c r="B137" s="2">
        <f>IF(STUDENTS!B136="","",STUDENTS!B136)</f>
        <v/>
      </c>
      <c r="C137" s="44">
        <f>IFERROR(IF(B137="","",_xlfn.XLOOKUP(B137,STUDENTS!$B$3:$B$1048576,STUDENTS!$C$3:$C$1048576)),"Enter a registered reg. no")</f>
        <v/>
      </c>
      <c r="D137" s="52">
        <f t="array" ref="D137:W137">IF(All_Students_Scores!C135:V135="","",All_Students_Scores!C135:V135)</f>
        <v/>
      </c>
      <c r="E137" s="55" t="str"/>
      <c r="F137" s="48" t="str"/>
      <c r="G137" s="58" t="str"/>
      <c r="H137" s="62" t="str"/>
      <c r="I137" s="63" t="str"/>
      <c r="J137" s="48" t="str"/>
      <c r="K137" s="58" t="str"/>
      <c r="L137" s="42" t="str"/>
      <c r="M137" s="42" t="str"/>
      <c r="N137" s="48" t="str"/>
      <c r="O137" s="58" t="str"/>
      <c r="P137" s="42" t="str"/>
      <c r="Q137" s="42" t="str"/>
      <c r="R137" s="48" t="str"/>
      <c r="S137" s="58" t="str"/>
      <c r="T137" s="42" t="str"/>
      <c r="U137" s="42" t="str"/>
      <c r="V137" s="48" t="str"/>
      <c r="W137" s="58" t="str"/>
      <c r="X137" s="42" t="n"/>
      <c r="Y137" s="42" t="n"/>
    </row>
    <row r="138">
      <c r="B138" s="2">
        <f>IF(STUDENTS!B137="","",STUDENTS!B137)</f>
        <v/>
      </c>
      <c r="C138" s="44">
        <f>IFERROR(IF(B138="","",_xlfn.XLOOKUP(B138,STUDENTS!$B$3:$B$1048576,STUDENTS!$C$3:$C$1048576)),"Enter a registered reg. no")</f>
        <v/>
      </c>
      <c r="D138" s="52">
        <f t="array" ref="D138:W138">IF(All_Students_Scores!C136:V136="","",All_Students_Scores!C136:V136)</f>
        <v/>
      </c>
      <c r="E138" s="57" t="str"/>
      <c r="F138" s="66" t="str"/>
      <c r="G138" s="67" t="str"/>
      <c r="H138" s="64" t="str"/>
      <c r="I138" s="65" t="str"/>
      <c r="J138" s="66" t="str"/>
      <c r="K138" s="67" t="str"/>
      <c r="L138" s="41" t="str"/>
      <c r="M138" s="41" t="str"/>
      <c r="N138" s="66" t="str"/>
      <c r="O138" s="67" t="str"/>
      <c r="P138" s="41" t="str"/>
      <c r="Q138" s="41" t="str"/>
      <c r="R138" s="66" t="str"/>
      <c r="S138" s="67" t="str"/>
      <c r="T138" s="41" t="str"/>
      <c r="U138" s="41" t="str"/>
      <c r="V138" s="66" t="str"/>
      <c r="W138" s="67" t="str"/>
    </row>
    <row r="139">
      <c r="B139" s="2">
        <f>IF(STUDENTS!B138="","",STUDENTS!B138)</f>
        <v/>
      </c>
      <c r="C139" s="44">
        <f>IFERROR(IF(B139="","",_xlfn.XLOOKUP(B139,STUDENTS!$B$3:$B$1048576,STUDENTS!$C$3:$C$1048576)),"Enter a registered reg. no")</f>
        <v/>
      </c>
      <c r="D139" s="52">
        <f t="array" ref="D139:W139">IF(All_Students_Scores!C137:V137="","",All_Students_Scores!C137:V137)</f>
        <v/>
      </c>
      <c r="E139" s="55" t="str"/>
      <c r="F139" s="48" t="str"/>
      <c r="G139" s="58" t="str"/>
      <c r="H139" s="62" t="str"/>
      <c r="I139" s="63" t="str"/>
      <c r="J139" s="48" t="str"/>
      <c r="K139" s="58" t="str"/>
      <c r="L139" s="42" t="str"/>
      <c r="M139" s="42" t="str"/>
      <c r="N139" s="48" t="str"/>
      <c r="O139" s="58" t="str"/>
      <c r="P139" s="42" t="str"/>
      <c r="Q139" s="42" t="str"/>
      <c r="R139" s="48" t="str"/>
      <c r="S139" s="58" t="str"/>
      <c r="T139" s="42" t="str"/>
      <c r="U139" s="42" t="str"/>
      <c r="V139" s="48" t="str"/>
      <c r="W139" s="58" t="str"/>
      <c r="X139" s="42" t="n"/>
      <c r="Y139" s="42" t="n"/>
    </row>
    <row r="140">
      <c r="B140" s="2">
        <f>IF(STUDENTS!B139="","",STUDENTS!B139)</f>
        <v/>
      </c>
      <c r="C140" s="44">
        <f>IFERROR(IF(B140="","",_xlfn.XLOOKUP(B140,STUDENTS!$B$3:$B$1048576,STUDENTS!$C$3:$C$1048576)),"Enter a registered reg. no")</f>
        <v/>
      </c>
      <c r="D140" s="52">
        <f t="array" ref="D140:W140">IF(All_Students_Scores!C138:V138="","",All_Students_Scores!C138:V138)</f>
        <v/>
      </c>
      <c r="E140" s="57" t="str"/>
      <c r="F140" s="66" t="str"/>
      <c r="G140" s="67" t="str"/>
      <c r="H140" s="64" t="str"/>
      <c r="I140" s="65" t="str"/>
      <c r="J140" s="66" t="str"/>
      <c r="K140" s="67" t="str"/>
      <c r="L140" s="41" t="str"/>
      <c r="M140" s="41" t="str"/>
      <c r="N140" s="66" t="str"/>
      <c r="O140" s="67" t="str"/>
      <c r="P140" s="41" t="str"/>
      <c r="Q140" s="41" t="str"/>
      <c r="R140" s="66" t="str"/>
      <c r="S140" s="67" t="str"/>
      <c r="T140" s="41" t="str"/>
      <c r="U140" s="41" t="str"/>
      <c r="V140" s="66" t="str"/>
      <c r="W140" s="67" t="str"/>
    </row>
    <row r="141">
      <c r="B141" s="2">
        <f>IF(STUDENTS!B140="","",STUDENTS!B140)</f>
        <v/>
      </c>
      <c r="C141" s="44">
        <f>IFERROR(IF(B141="","",_xlfn.XLOOKUP(B141,STUDENTS!$B$3:$B$1048576,STUDENTS!$C$3:$C$1048576)),"Enter a registered reg. no")</f>
        <v/>
      </c>
      <c r="D141" s="52">
        <f t="array" ref="D141:W141">IF(All_Students_Scores!C139:V139="","",All_Students_Scores!C139:V139)</f>
        <v/>
      </c>
      <c r="E141" s="55" t="str"/>
      <c r="F141" s="48" t="str"/>
      <c r="G141" s="58" t="str"/>
      <c r="H141" s="62" t="str"/>
      <c r="I141" s="63" t="str"/>
      <c r="J141" s="48" t="str"/>
      <c r="K141" s="58" t="str"/>
      <c r="L141" s="42" t="str"/>
      <c r="M141" s="42" t="str"/>
      <c r="N141" s="48" t="str"/>
      <c r="O141" s="58" t="str"/>
      <c r="P141" s="42" t="str"/>
      <c r="Q141" s="42" t="str"/>
      <c r="R141" s="48" t="str"/>
      <c r="S141" s="58" t="str"/>
      <c r="T141" s="42" t="str"/>
      <c r="U141" s="42" t="str"/>
      <c r="V141" s="48" t="str"/>
      <c r="W141" s="58" t="str"/>
      <c r="X141" s="42" t="n"/>
      <c r="Y141" s="42" t="n"/>
    </row>
    <row r="142">
      <c r="B142" s="2">
        <f>IF(STUDENTS!B141="","",STUDENTS!B141)</f>
        <v/>
      </c>
      <c r="C142" s="44">
        <f>IFERROR(IF(B142="","",_xlfn.XLOOKUP(B142,STUDENTS!$B$3:$B$1048576,STUDENTS!$C$3:$C$1048576)),"Enter a registered reg. no")</f>
        <v/>
      </c>
      <c r="D142" s="52">
        <f t="array" ref="D142:W142">IF(All_Students_Scores!C140:V140="","",All_Students_Scores!C140:V140)</f>
        <v/>
      </c>
      <c r="E142" s="57" t="str"/>
      <c r="F142" s="66" t="str"/>
      <c r="G142" s="67" t="str"/>
      <c r="H142" s="64" t="str"/>
      <c r="I142" s="65" t="str"/>
      <c r="J142" s="66" t="str"/>
      <c r="K142" s="67" t="str"/>
      <c r="L142" s="41" t="str"/>
      <c r="M142" s="41" t="str"/>
      <c r="N142" s="66" t="str"/>
      <c r="O142" s="67" t="str"/>
      <c r="P142" s="41" t="str"/>
      <c r="Q142" s="41" t="str"/>
      <c r="R142" s="66" t="str"/>
      <c r="S142" s="67" t="str"/>
      <c r="T142" s="41" t="str"/>
      <c r="U142" s="41" t="str"/>
      <c r="V142" s="66" t="str"/>
      <c r="W142" s="67" t="str"/>
    </row>
    <row r="143">
      <c r="B143" s="2">
        <f>IF(STUDENTS!B142="","",STUDENTS!B142)</f>
        <v/>
      </c>
      <c r="C143" s="44">
        <f>IFERROR(IF(B143="","",_xlfn.XLOOKUP(B143,STUDENTS!$B$3:$B$1048576,STUDENTS!$C$3:$C$1048576)),"Enter a registered reg. no")</f>
        <v/>
      </c>
      <c r="D143" s="52">
        <f t="array" ref="D143:W143">IF(All_Students_Scores!C141:V141="","",All_Students_Scores!C141:V141)</f>
        <v/>
      </c>
      <c r="E143" s="55" t="str"/>
      <c r="F143" s="48" t="str"/>
      <c r="G143" s="58" t="str"/>
      <c r="H143" s="62" t="str"/>
      <c r="I143" s="63" t="str"/>
      <c r="J143" s="48" t="str"/>
      <c r="K143" s="58" t="str"/>
      <c r="L143" s="42" t="str"/>
      <c r="M143" s="42" t="str"/>
      <c r="N143" s="48" t="str"/>
      <c r="O143" s="58" t="str"/>
      <c r="P143" s="42" t="str"/>
      <c r="Q143" s="42" t="str"/>
      <c r="R143" s="48" t="str"/>
      <c r="S143" s="58" t="str"/>
      <c r="T143" s="42" t="str"/>
      <c r="U143" s="42" t="str"/>
      <c r="V143" s="48" t="str"/>
      <c r="W143" s="58" t="str"/>
      <c r="X143" s="42" t="n"/>
      <c r="Y143" s="42" t="n"/>
    </row>
    <row r="144">
      <c r="B144" s="2">
        <f>IF(STUDENTS!B143="","",STUDENTS!B143)</f>
        <v/>
      </c>
      <c r="C144" s="44">
        <f>IFERROR(IF(B144="","",_xlfn.XLOOKUP(B144,STUDENTS!$B$3:$B$1048576,STUDENTS!$C$3:$C$1048576)),"Enter a registered reg. no")</f>
        <v/>
      </c>
      <c r="D144" s="52">
        <f t="array" ref="D144:W144">IF(All_Students_Scores!C142:V142="","",All_Students_Scores!C142:V142)</f>
        <v/>
      </c>
      <c r="E144" s="57" t="str"/>
      <c r="F144" s="66" t="str"/>
      <c r="G144" s="67" t="str"/>
      <c r="H144" s="64" t="str"/>
      <c r="I144" s="65" t="str"/>
      <c r="J144" s="66" t="str"/>
      <c r="K144" s="67" t="str"/>
      <c r="L144" s="41" t="str"/>
      <c r="M144" s="41" t="str"/>
      <c r="N144" s="66" t="str"/>
      <c r="O144" s="67" t="str"/>
      <c r="P144" s="41" t="str"/>
      <c r="Q144" s="41" t="str"/>
      <c r="R144" s="66" t="str"/>
      <c r="S144" s="67" t="str"/>
      <c r="T144" s="41" t="str"/>
      <c r="U144" s="41" t="str"/>
      <c r="V144" s="66" t="str"/>
      <c r="W144" s="67" t="str"/>
    </row>
    <row r="145">
      <c r="B145" s="2">
        <f>IF(STUDENTS!B144="","",STUDENTS!B144)</f>
        <v/>
      </c>
      <c r="C145" s="44">
        <f>IFERROR(IF(B145="","",_xlfn.XLOOKUP(B145,STUDENTS!$B$3:$B$1048576,STUDENTS!$C$3:$C$1048576)),"Enter a registered reg. no")</f>
        <v/>
      </c>
      <c r="D145" s="52">
        <f t="array" ref="D145:W145">IF(All_Students_Scores!C143:V143="","",All_Students_Scores!C143:V143)</f>
        <v/>
      </c>
      <c r="E145" s="55" t="str"/>
      <c r="F145" s="48" t="str"/>
      <c r="G145" s="58" t="str"/>
      <c r="H145" s="62" t="str"/>
      <c r="I145" s="63" t="str"/>
      <c r="J145" s="48" t="str"/>
      <c r="K145" s="58" t="str"/>
      <c r="L145" s="42" t="str"/>
      <c r="M145" s="42" t="str"/>
      <c r="N145" s="48" t="str"/>
      <c r="O145" s="58" t="str"/>
      <c r="P145" s="42" t="str"/>
      <c r="Q145" s="42" t="str"/>
      <c r="R145" s="48" t="str"/>
      <c r="S145" s="58" t="str"/>
      <c r="T145" s="42" t="str"/>
      <c r="U145" s="42" t="str"/>
      <c r="V145" s="48" t="str"/>
      <c r="W145" s="58" t="str"/>
      <c r="X145" s="42" t="n"/>
      <c r="Y145" s="42" t="n"/>
    </row>
    <row r="146">
      <c r="B146" s="2">
        <f>IF(STUDENTS!B145="","",STUDENTS!B145)</f>
        <v/>
      </c>
      <c r="C146" s="44">
        <f>IFERROR(IF(B146="","",_xlfn.XLOOKUP(B146,STUDENTS!$B$3:$B$1048576,STUDENTS!$C$3:$C$1048576)),"Enter a registered reg. no")</f>
        <v/>
      </c>
      <c r="D146" s="52">
        <f t="array" ref="D146:W146">IF(All_Students_Scores!C144:V144="","",All_Students_Scores!C144:V144)</f>
        <v/>
      </c>
      <c r="E146" s="57" t="str"/>
      <c r="F146" s="66" t="str"/>
      <c r="G146" s="67" t="str"/>
      <c r="H146" s="64" t="str"/>
      <c r="I146" s="65" t="str"/>
      <c r="J146" s="66" t="str"/>
      <c r="K146" s="67" t="str"/>
      <c r="L146" s="41" t="str"/>
      <c r="M146" s="41" t="str"/>
      <c r="N146" s="66" t="str"/>
      <c r="O146" s="67" t="str"/>
      <c r="P146" s="41" t="str"/>
      <c r="Q146" s="41" t="str"/>
      <c r="R146" s="66" t="str"/>
      <c r="S146" s="67" t="str"/>
      <c r="T146" s="41" t="str"/>
      <c r="U146" s="41" t="str"/>
      <c r="V146" s="66" t="str"/>
      <c r="W146" s="67" t="str"/>
    </row>
    <row r="147">
      <c r="B147" s="2">
        <f>IF(STUDENTS!B146="","",STUDENTS!B146)</f>
        <v/>
      </c>
      <c r="C147" s="44">
        <f>IFERROR(IF(B147="","",_xlfn.XLOOKUP(B147,STUDENTS!$B$3:$B$1048576,STUDENTS!$C$3:$C$1048576)),"Enter a registered reg. no")</f>
        <v/>
      </c>
      <c r="D147" s="52">
        <f t="array" ref="D147:W147">IF(All_Students_Scores!C145:V145="","",All_Students_Scores!C145:V145)</f>
        <v/>
      </c>
      <c r="E147" s="55" t="str"/>
      <c r="F147" s="48" t="str"/>
      <c r="G147" s="58" t="str"/>
      <c r="H147" s="62" t="str"/>
      <c r="I147" s="63" t="str"/>
      <c r="J147" s="48" t="str"/>
      <c r="K147" s="58" t="str"/>
      <c r="L147" s="42" t="str"/>
      <c r="M147" s="42" t="str"/>
      <c r="N147" s="48" t="str"/>
      <c r="O147" s="58" t="str"/>
      <c r="P147" s="42" t="str"/>
      <c r="Q147" s="42" t="str"/>
      <c r="R147" s="48" t="str"/>
      <c r="S147" s="58" t="str"/>
      <c r="T147" s="42" t="str"/>
      <c r="U147" s="42" t="str"/>
      <c r="V147" s="48" t="str"/>
      <c r="W147" s="58" t="str"/>
      <c r="X147" s="42" t="n"/>
      <c r="Y147" s="42" t="n"/>
    </row>
    <row r="148">
      <c r="B148" s="2">
        <f>IF(STUDENTS!B147="","",STUDENTS!B147)</f>
        <v/>
      </c>
      <c r="C148" s="44">
        <f>IFERROR(IF(B148="","",_xlfn.XLOOKUP(B148,STUDENTS!$B$3:$B$1048576,STUDENTS!$C$3:$C$1048576)),"Enter a registered reg. no")</f>
        <v/>
      </c>
      <c r="D148" s="52">
        <f t="array" ref="D148:W148">IF(All_Students_Scores!C146:V146="","",All_Students_Scores!C146:V146)</f>
        <v/>
      </c>
      <c r="E148" s="57" t="str"/>
      <c r="F148" s="66" t="str"/>
      <c r="G148" s="67" t="str"/>
      <c r="H148" s="64" t="str"/>
      <c r="I148" s="65" t="str"/>
      <c r="J148" s="66" t="str"/>
      <c r="K148" s="67" t="str"/>
      <c r="L148" s="41" t="str"/>
      <c r="M148" s="41" t="str"/>
      <c r="N148" s="66" t="str"/>
      <c r="O148" s="67" t="str"/>
      <c r="P148" s="41" t="str"/>
      <c r="Q148" s="41" t="str"/>
      <c r="R148" s="66" t="str"/>
      <c r="S148" s="67" t="str"/>
      <c r="T148" s="41" t="str"/>
      <c r="U148" s="41" t="str"/>
      <c r="V148" s="66" t="str"/>
      <c r="W148" s="67" t="str"/>
    </row>
    <row r="149">
      <c r="B149" s="2">
        <f>IF(STUDENTS!B148="","",STUDENTS!B148)</f>
        <v/>
      </c>
      <c r="C149" s="44">
        <f>IFERROR(IF(B149="","",_xlfn.XLOOKUP(B149,STUDENTS!$B$3:$B$1048576,STUDENTS!$C$3:$C$1048576)),"Enter a registered reg. no")</f>
        <v/>
      </c>
      <c r="D149" s="52">
        <f t="array" ref="D149:W149">IF(All_Students_Scores!C147:V147="","",All_Students_Scores!C147:V147)</f>
        <v/>
      </c>
      <c r="E149" s="55" t="str"/>
      <c r="F149" s="48" t="str"/>
      <c r="G149" s="58" t="str"/>
      <c r="H149" s="62" t="str"/>
      <c r="I149" s="63" t="str"/>
      <c r="J149" s="48" t="str"/>
      <c r="K149" s="58" t="str"/>
      <c r="L149" s="42" t="str"/>
      <c r="M149" s="42" t="str"/>
      <c r="N149" s="48" t="str"/>
      <c r="O149" s="58" t="str"/>
      <c r="P149" s="42" t="str"/>
      <c r="Q149" s="42" t="str"/>
      <c r="R149" s="48" t="str"/>
      <c r="S149" s="58" t="str"/>
      <c r="T149" s="42" t="str"/>
      <c r="U149" s="42" t="str"/>
      <c r="V149" s="48" t="str"/>
      <c r="W149" s="58" t="str"/>
      <c r="X149" s="42" t="n"/>
      <c r="Y149" s="42" t="n"/>
    </row>
    <row r="150">
      <c r="B150" s="2">
        <f>IF(STUDENTS!B149="","",STUDENTS!B149)</f>
        <v/>
      </c>
      <c r="C150" s="44">
        <f>IFERROR(IF(B150="","",_xlfn.XLOOKUP(B150,STUDENTS!$B$3:$B$1048576,STUDENTS!$C$3:$C$1048576)),"Enter a registered reg. no")</f>
        <v/>
      </c>
      <c r="D150" s="52">
        <f t="array" ref="D150:W150">IF(All_Students_Scores!C148:V148="","",All_Students_Scores!C148:V148)</f>
        <v/>
      </c>
      <c r="E150" s="57" t="str"/>
      <c r="F150" s="66" t="str"/>
      <c r="G150" s="67" t="str"/>
      <c r="H150" s="64" t="str"/>
      <c r="I150" s="65" t="str"/>
      <c r="J150" s="66" t="str"/>
      <c r="K150" s="67" t="str"/>
      <c r="L150" s="41" t="str"/>
      <c r="M150" s="41" t="str"/>
      <c r="N150" s="66" t="str"/>
      <c r="O150" s="67" t="str"/>
      <c r="P150" s="41" t="str"/>
      <c r="Q150" s="41" t="str"/>
      <c r="R150" s="66" t="str"/>
      <c r="S150" s="67" t="str"/>
      <c r="T150" s="41" t="str"/>
      <c r="U150" s="41" t="str"/>
      <c r="V150" s="66" t="str"/>
      <c r="W150" s="67" t="str"/>
    </row>
    <row r="151">
      <c r="B151" s="2">
        <f>IF(STUDENTS!B150="","",STUDENTS!B150)</f>
        <v/>
      </c>
      <c r="C151" s="44">
        <f>IFERROR(IF(B151="","",_xlfn.XLOOKUP(B151,STUDENTS!$B$3:$B$1048576,STUDENTS!$C$3:$C$1048576)),"Enter a registered reg. no")</f>
        <v/>
      </c>
      <c r="D151" s="52">
        <f t="array" ref="D151:W151">IF(All_Students_Scores!C149:V149="","",All_Students_Scores!C149:V149)</f>
        <v/>
      </c>
      <c r="E151" s="55" t="str"/>
      <c r="F151" s="48" t="str"/>
      <c r="G151" s="58" t="str"/>
      <c r="H151" s="62" t="str"/>
      <c r="I151" s="63" t="str"/>
      <c r="J151" s="48" t="str"/>
      <c r="K151" s="58" t="str"/>
      <c r="L151" s="42" t="str"/>
      <c r="M151" s="42" t="str"/>
      <c r="N151" s="48" t="str"/>
      <c r="O151" s="58" t="str"/>
      <c r="P151" s="42" t="str"/>
      <c r="Q151" s="42" t="str"/>
      <c r="R151" s="48" t="str"/>
      <c r="S151" s="58" t="str"/>
      <c r="T151" s="42" t="str"/>
      <c r="U151" s="42" t="str"/>
      <c r="V151" s="48" t="str"/>
      <c r="W151" s="58" t="str"/>
      <c r="X151" s="42" t="n"/>
      <c r="Y151" s="42" t="n"/>
    </row>
    <row r="152">
      <c r="B152" s="2">
        <f>IF(STUDENTS!B151="","",STUDENTS!B151)</f>
        <v/>
      </c>
      <c r="C152" s="44">
        <f>IFERROR(IF(B152="","",_xlfn.XLOOKUP(B152,STUDENTS!$B$3:$B$1048576,STUDENTS!$C$3:$C$1048576)),"Enter a registered reg. no")</f>
        <v/>
      </c>
      <c r="D152" s="52">
        <f t="array" ref="D152:W152">IF(All_Students_Scores!C150:V150="","",All_Students_Scores!C150:V150)</f>
        <v/>
      </c>
      <c r="E152" s="57" t="str"/>
      <c r="F152" s="66" t="str"/>
      <c r="G152" s="67" t="str"/>
      <c r="H152" s="64" t="str"/>
      <c r="I152" s="65" t="str"/>
      <c r="J152" s="66" t="str"/>
      <c r="K152" s="67" t="str"/>
      <c r="L152" s="41" t="str"/>
      <c r="M152" s="41" t="str"/>
      <c r="N152" s="66" t="str"/>
      <c r="O152" s="67" t="str"/>
      <c r="P152" s="41" t="str"/>
      <c r="Q152" s="41" t="str"/>
      <c r="R152" s="66" t="str"/>
      <c r="S152" s="67" t="str"/>
      <c r="T152" s="41" t="str"/>
      <c r="U152" s="41" t="str"/>
      <c r="V152" s="66" t="str"/>
      <c r="W152" s="67" t="str"/>
    </row>
    <row r="153">
      <c r="B153" s="2">
        <f>IF(STUDENTS!B152="","",STUDENTS!B152)</f>
        <v/>
      </c>
      <c r="C153" s="44">
        <f>IFERROR(IF(B153="","",_xlfn.XLOOKUP(B153,STUDENTS!$B$3:$B$1048576,STUDENTS!$C$3:$C$1048576)),"Enter a registered reg. no")</f>
        <v/>
      </c>
      <c r="D153" s="52">
        <f t="array" ref="D153:W153">IF(All_Students_Scores!C151:V151="","",All_Students_Scores!C151:V151)</f>
        <v/>
      </c>
      <c r="E153" s="55" t="str"/>
      <c r="F153" s="48" t="str"/>
      <c r="G153" s="58" t="str"/>
      <c r="H153" s="62" t="str"/>
      <c r="I153" s="63" t="str"/>
      <c r="J153" s="48" t="str"/>
      <c r="K153" s="58" t="str"/>
      <c r="L153" s="42" t="str"/>
      <c r="M153" s="42" t="str"/>
      <c r="N153" s="48" t="str"/>
      <c r="O153" s="58" t="str"/>
      <c r="P153" s="42" t="str"/>
      <c r="Q153" s="42" t="str"/>
      <c r="R153" s="48" t="str"/>
      <c r="S153" s="58" t="str"/>
      <c r="T153" s="42" t="str"/>
      <c r="U153" s="42" t="str"/>
      <c r="V153" s="48" t="str"/>
      <c r="W153" s="58" t="str"/>
      <c r="X153" s="42" t="n"/>
      <c r="Y153" s="42" t="n"/>
    </row>
    <row r="154">
      <c r="B154" s="2">
        <f>IF(STUDENTS!B153="","",STUDENTS!B153)</f>
        <v/>
      </c>
      <c r="C154" s="44">
        <f>IFERROR(IF(B154="","",_xlfn.XLOOKUP(B154,STUDENTS!$B$3:$B$1048576,STUDENTS!$C$3:$C$1048576)),"Enter a registered reg. no")</f>
        <v/>
      </c>
      <c r="D154" s="52">
        <f t="array" ref="D154:W154">IF(All_Students_Scores!C152:V152="","",All_Students_Scores!C152:V152)</f>
        <v/>
      </c>
      <c r="E154" s="57" t="str"/>
      <c r="F154" s="66" t="str"/>
      <c r="G154" s="67" t="str"/>
      <c r="H154" s="64" t="str"/>
      <c r="I154" s="65" t="str"/>
      <c r="J154" s="66" t="str"/>
      <c r="K154" s="67" t="str"/>
      <c r="L154" s="41" t="str"/>
      <c r="M154" s="41" t="str"/>
      <c r="N154" s="66" t="str"/>
      <c r="O154" s="67" t="str"/>
      <c r="P154" s="41" t="str"/>
      <c r="Q154" s="41" t="str"/>
      <c r="R154" s="66" t="str"/>
      <c r="S154" s="67" t="str"/>
      <c r="T154" s="41" t="str"/>
      <c r="U154" s="41" t="str"/>
      <c r="V154" s="66" t="str"/>
      <c r="W154" s="67" t="str"/>
    </row>
    <row r="155">
      <c r="B155" s="2">
        <f>IF(STUDENTS!B154="","",STUDENTS!B154)</f>
        <v/>
      </c>
      <c r="C155" s="44">
        <f>IFERROR(IF(B155="","",_xlfn.XLOOKUP(B155,STUDENTS!$B$3:$B$1048576,STUDENTS!$C$3:$C$1048576)),"Enter a registered reg. no")</f>
        <v/>
      </c>
      <c r="D155" s="52">
        <f t="array" ref="D155:W155">IF(All_Students_Scores!C153:V153="","",All_Students_Scores!C153:V153)</f>
        <v/>
      </c>
      <c r="E155" s="55" t="str"/>
      <c r="F155" s="48" t="str"/>
      <c r="G155" s="58" t="str"/>
      <c r="H155" s="62" t="str"/>
      <c r="I155" s="63" t="str"/>
      <c r="J155" s="48" t="str"/>
      <c r="K155" s="58" t="str"/>
      <c r="L155" s="42" t="str"/>
      <c r="M155" s="42" t="str"/>
      <c r="N155" s="48" t="str"/>
      <c r="O155" s="58" t="str"/>
      <c r="P155" s="42" t="str"/>
      <c r="Q155" s="42" t="str"/>
      <c r="R155" s="48" t="str"/>
      <c r="S155" s="58" t="str"/>
      <c r="T155" s="42" t="str"/>
      <c r="U155" s="42" t="str"/>
      <c r="V155" s="48" t="str"/>
      <c r="W155" s="58" t="str"/>
      <c r="X155" s="42" t="n"/>
      <c r="Y155" s="42" t="n"/>
    </row>
    <row r="156">
      <c r="B156" s="2">
        <f>IF(STUDENTS!B155="","",STUDENTS!B155)</f>
        <v/>
      </c>
      <c r="C156" s="44">
        <f>IFERROR(IF(B156="","",_xlfn.XLOOKUP(B156,STUDENTS!$B$3:$B$1048576,STUDENTS!$C$3:$C$1048576)),"Enter a registered reg. no")</f>
        <v/>
      </c>
      <c r="D156" s="52">
        <f t="array" ref="D156:W156">IF(All_Students_Scores!C154:V154="","",All_Students_Scores!C154:V154)</f>
        <v/>
      </c>
      <c r="E156" s="57" t="str"/>
      <c r="F156" s="66" t="str"/>
      <c r="G156" s="67" t="str"/>
      <c r="H156" s="64" t="str"/>
      <c r="I156" s="65" t="str"/>
      <c r="J156" s="66" t="str"/>
      <c r="K156" s="67" t="str"/>
      <c r="L156" s="41" t="str"/>
      <c r="M156" s="41" t="str"/>
      <c r="N156" s="66" t="str"/>
      <c r="O156" s="67" t="str"/>
      <c r="P156" s="41" t="str"/>
      <c r="Q156" s="41" t="str"/>
      <c r="R156" s="66" t="str"/>
      <c r="S156" s="67" t="str"/>
      <c r="T156" s="41" t="str"/>
      <c r="U156" s="41" t="str"/>
      <c r="V156" s="66" t="str"/>
      <c r="W156" s="67" t="str"/>
    </row>
    <row r="157">
      <c r="B157" s="2">
        <f>IF(STUDENTS!B156="","",STUDENTS!B156)</f>
        <v/>
      </c>
      <c r="C157" s="44">
        <f>IFERROR(IF(B157="","",_xlfn.XLOOKUP(B157,STUDENTS!$B$3:$B$1048576,STUDENTS!$C$3:$C$1048576)),"Enter a registered reg. no")</f>
        <v/>
      </c>
      <c r="D157" s="52">
        <f t="array" ref="D157:W157">IF(All_Students_Scores!C155:V155="","",All_Students_Scores!C155:V155)</f>
        <v/>
      </c>
      <c r="E157" s="55" t="str"/>
      <c r="F157" s="48" t="str"/>
      <c r="G157" s="58" t="str"/>
      <c r="H157" s="62" t="str"/>
      <c r="I157" s="63" t="str"/>
      <c r="J157" s="48" t="str"/>
      <c r="K157" s="58" t="str"/>
      <c r="L157" s="42" t="str"/>
      <c r="M157" s="42" t="str"/>
      <c r="N157" s="48" t="str"/>
      <c r="O157" s="58" t="str"/>
      <c r="P157" s="42" t="str"/>
      <c r="Q157" s="42" t="str"/>
      <c r="R157" s="48" t="str"/>
      <c r="S157" s="58" t="str"/>
      <c r="T157" s="42" t="str"/>
      <c r="U157" s="42" t="str"/>
      <c r="V157" s="48" t="str"/>
      <c r="W157" s="58" t="str"/>
      <c r="X157" s="42" t="n"/>
      <c r="Y157" s="42" t="n"/>
    </row>
    <row r="158">
      <c r="B158" s="2">
        <f>IF(STUDENTS!B157="","",STUDENTS!B157)</f>
        <v/>
      </c>
      <c r="C158" s="44">
        <f>IFERROR(IF(B158="","",_xlfn.XLOOKUP(B158,STUDENTS!$B$3:$B$1048576,STUDENTS!$C$3:$C$1048576)),"Enter a registered reg. no")</f>
        <v/>
      </c>
      <c r="D158" s="52">
        <f t="array" ref="D158:W158">IF(All_Students_Scores!C156:V156="","",All_Students_Scores!C156:V156)</f>
        <v/>
      </c>
      <c r="E158" s="57" t="str"/>
      <c r="F158" s="66" t="str"/>
      <c r="G158" s="67" t="str"/>
      <c r="H158" s="64" t="str"/>
      <c r="I158" s="65" t="str"/>
      <c r="J158" s="66" t="str"/>
      <c r="K158" s="67" t="str"/>
      <c r="L158" s="41" t="str"/>
      <c r="M158" s="41" t="str"/>
      <c r="N158" s="66" t="str"/>
      <c r="O158" s="67" t="str"/>
      <c r="P158" s="41" t="str"/>
      <c r="Q158" s="41" t="str"/>
      <c r="R158" s="66" t="str"/>
      <c r="S158" s="67" t="str"/>
      <c r="T158" s="41" t="str"/>
      <c r="U158" s="41" t="str"/>
      <c r="V158" s="66" t="str"/>
      <c r="W158" s="67" t="str"/>
    </row>
    <row r="159">
      <c r="B159" s="2">
        <f>IF(STUDENTS!B158="","",STUDENTS!B158)</f>
        <v/>
      </c>
      <c r="C159" s="44">
        <f>IFERROR(IF(B159="","",_xlfn.XLOOKUP(B159,STUDENTS!$B$3:$B$1048576,STUDENTS!$C$3:$C$1048576)),"Enter a registered reg. no")</f>
        <v/>
      </c>
      <c r="D159" s="52">
        <f t="array" ref="D159:W159">IF(All_Students_Scores!C157:V157="","",All_Students_Scores!C157:V157)</f>
        <v/>
      </c>
      <c r="E159" s="55" t="str"/>
      <c r="F159" s="48" t="str"/>
      <c r="G159" s="58" t="str"/>
      <c r="H159" s="62" t="str"/>
      <c r="I159" s="63" t="str"/>
      <c r="J159" s="48" t="str"/>
      <c r="K159" s="58" t="str"/>
      <c r="L159" s="42" t="str"/>
      <c r="M159" s="42" t="str"/>
      <c r="N159" s="48" t="str"/>
      <c r="O159" s="58" t="str"/>
      <c r="P159" s="42" t="str"/>
      <c r="Q159" s="42" t="str"/>
      <c r="R159" s="48" t="str"/>
      <c r="S159" s="58" t="str"/>
      <c r="T159" s="42" t="str"/>
      <c r="U159" s="42" t="str"/>
      <c r="V159" s="48" t="str"/>
      <c r="W159" s="58" t="str"/>
      <c r="X159" s="42" t="n"/>
      <c r="Y159" s="42" t="n"/>
    </row>
    <row r="160">
      <c r="B160" s="2">
        <f>IF(STUDENTS!B159="","",STUDENTS!B159)</f>
        <v/>
      </c>
      <c r="C160" s="44">
        <f>IFERROR(IF(B160="","",_xlfn.XLOOKUP(B160,STUDENTS!$B$3:$B$1048576,STUDENTS!$C$3:$C$1048576)),"Enter a registered reg. no")</f>
        <v/>
      </c>
      <c r="D160" s="52">
        <f t="array" ref="D160:W160">IF(All_Students_Scores!C158:V158="","",All_Students_Scores!C158:V158)</f>
        <v/>
      </c>
      <c r="E160" s="57" t="str"/>
      <c r="F160" s="66" t="str"/>
      <c r="G160" s="67" t="str"/>
      <c r="H160" s="64" t="str"/>
      <c r="I160" s="65" t="str"/>
      <c r="J160" s="66" t="str"/>
      <c r="K160" s="67" t="str"/>
      <c r="L160" s="41" t="str"/>
      <c r="M160" s="41" t="str"/>
      <c r="N160" s="66" t="str"/>
      <c r="O160" s="67" t="str"/>
      <c r="P160" s="41" t="str"/>
      <c r="Q160" s="41" t="str"/>
      <c r="R160" s="66" t="str"/>
      <c r="S160" s="67" t="str"/>
      <c r="T160" s="41" t="str"/>
      <c r="U160" s="41" t="str"/>
      <c r="V160" s="66" t="str"/>
      <c r="W160" s="67" t="str"/>
    </row>
    <row r="161">
      <c r="B161" s="2">
        <f>IF(STUDENTS!B160="","",STUDENTS!B160)</f>
        <v/>
      </c>
      <c r="C161" s="44">
        <f>IFERROR(IF(B161="","",_xlfn.XLOOKUP(B161,STUDENTS!$B$3:$B$1048576,STUDENTS!$C$3:$C$1048576)),"Enter a registered reg. no")</f>
        <v/>
      </c>
      <c r="D161" s="52">
        <f t="array" ref="D161:W161">IF(All_Students_Scores!C159:V159="","",All_Students_Scores!C159:V159)</f>
        <v/>
      </c>
      <c r="E161" s="55" t="str"/>
      <c r="F161" s="48" t="str"/>
      <c r="G161" s="58" t="str"/>
      <c r="H161" s="62" t="str"/>
      <c r="I161" s="63" t="str"/>
      <c r="J161" s="48" t="str"/>
      <c r="K161" s="58" t="str"/>
      <c r="L161" s="42" t="str"/>
      <c r="M161" s="42" t="str"/>
      <c r="N161" s="48" t="str"/>
      <c r="O161" s="58" t="str"/>
      <c r="P161" s="42" t="str"/>
      <c r="Q161" s="42" t="str"/>
      <c r="R161" s="48" t="str"/>
      <c r="S161" s="58" t="str"/>
      <c r="T161" s="42" t="str"/>
      <c r="U161" s="42" t="str"/>
      <c r="V161" s="48" t="str"/>
      <c r="W161" s="58" t="str"/>
      <c r="X161" s="42" t="n"/>
      <c r="Y161" s="42" t="n"/>
    </row>
    <row r="162">
      <c r="B162" s="2">
        <f>IF(STUDENTS!B161="","",STUDENTS!B161)</f>
        <v/>
      </c>
      <c r="C162" s="44">
        <f>IFERROR(IF(B162="","",_xlfn.XLOOKUP(B162,STUDENTS!$B$3:$B$1048576,STUDENTS!$C$3:$C$1048576)),"Enter a registered reg. no")</f>
        <v/>
      </c>
      <c r="D162" s="52">
        <f t="array" ref="D162:W162">IF(All_Students_Scores!C160:V160="","",All_Students_Scores!C160:V160)</f>
        <v/>
      </c>
      <c r="E162" s="57" t="str"/>
      <c r="F162" s="66" t="str"/>
      <c r="G162" s="67" t="str"/>
      <c r="H162" s="64" t="str"/>
      <c r="I162" s="65" t="str"/>
      <c r="J162" s="66" t="str"/>
      <c r="K162" s="67" t="str"/>
      <c r="L162" s="41" t="str"/>
      <c r="M162" s="41" t="str"/>
      <c r="N162" s="66" t="str"/>
      <c r="O162" s="67" t="str"/>
      <c r="P162" s="41" t="str"/>
      <c r="Q162" s="41" t="str"/>
      <c r="R162" s="66" t="str"/>
      <c r="S162" s="67" t="str"/>
      <c r="T162" s="41" t="str"/>
      <c r="U162" s="41" t="str"/>
      <c r="V162" s="66" t="str"/>
      <c r="W162" s="67" t="str"/>
    </row>
    <row r="163">
      <c r="B163" s="2">
        <f>IF(STUDENTS!B162="","",STUDENTS!B162)</f>
        <v/>
      </c>
      <c r="C163" s="44">
        <f>IFERROR(IF(B163="","",_xlfn.XLOOKUP(B163,STUDENTS!$B$3:$B$1048576,STUDENTS!$C$3:$C$1048576)),"Enter a registered reg. no")</f>
        <v/>
      </c>
      <c r="D163" s="52">
        <f t="array" ref="D163:W163">IF(All_Students_Scores!C161:V161="","",All_Students_Scores!C161:V161)</f>
        <v/>
      </c>
      <c r="E163" s="55" t="str"/>
      <c r="F163" s="48" t="str"/>
      <c r="G163" s="58" t="str"/>
      <c r="H163" s="62" t="str"/>
      <c r="I163" s="63" t="str"/>
      <c r="J163" s="48" t="str"/>
      <c r="K163" s="58" t="str"/>
      <c r="L163" s="42" t="str"/>
      <c r="M163" s="42" t="str"/>
      <c r="N163" s="48" t="str"/>
      <c r="O163" s="58" t="str"/>
      <c r="P163" s="42" t="str"/>
      <c r="Q163" s="42" t="str"/>
      <c r="R163" s="48" t="str"/>
      <c r="S163" s="58" t="str"/>
      <c r="T163" s="42" t="str"/>
      <c r="U163" s="42" t="str"/>
      <c r="V163" s="48" t="str"/>
      <c r="W163" s="58" t="str"/>
      <c r="X163" s="42" t="n"/>
      <c r="Y163" s="42" t="n"/>
    </row>
    <row r="164">
      <c r="B164" s="2">
        <f>IF(STUDENTS!B163="","",STUDENTS!B163)</f>
        <v/>
      </c>
      <c r="C164" s="44">
        <f>IFERROR(IF(B164="","",_xlfn.XLOOKUP(B164,STUDENTS!$B$3:$B$1048576,STUDENTS!$C$3:$C$1048576)),"Enter a registered reg. no")</f>
        <v/>
      </c>
      <c r="D164" s="52">
        <f t="array" ref="D164:W164">IF(All_Students_Scores!C162:V162="","",All_Students_Scores!C162:V162)</f>
        <v/>
      </c>
      <c r="E164" s="57" t="str"/>
      <c r="F164" s="66" t="str"/>
      <c r="G164" s="67" t="str"/>
      <c r="H164" s="64" t="str"/>
      <c r="I164" s="65" t="str"/>
      <c r="J164" s="66" t="str"/>
      <c r="K164" s="67" t="str"/>
      <c r="L164" s="41" t="str"/>
      <c r="M164" s="41" t="str"/>
      <c r="N164" s="66" t="str"/>
      <c r="O164" s="67" t="str"/>
      <c r="P164" s="41" t="str"/>
      <c r="Q164" s="41" t="str"/>
      <c r="R164" s="66" t="str"/>
      <c r="S164" s="67" t="str"/>
      <c r="T164" s="41" t="str"/>
      <c r="U164" s="41" t="str"/>
      <c r="V164" s="66" t="str"/>
      <c r="W164" s="67" t="str"/>
    </row>
    <row r="165">
      <c r="B165" s="2">
        <f>IF(STUDENTS!B164="","",STUDENTS!B164)</f>
        <v/>
      </c>
      <c r="C165" s="44">
        <f>IFERROR(IF(B165="","",_xlfn.XLOOKUP(B165,STUDENTS!$B$3:$B$1048576,STUDENTS!$C$3:$C$1048576)),"Enter a registered reg. no")</f>
        <v/>
      </c>
      <c r="D165" s="52">
        <f t="array" ref="D165:W165">IF(All_Students_Scores!C163:V163="","",All_Students_Scores!C163:V163)</f>
        <v/>
      </c>
      <c r="E165" s="55" t="str"/>
      <c r="F165" s="48" t="str"/>
      <c r="G165" s="58" t="str"/>
      <c r="H165" s="62" t="str"/>
      <c r="I165" s="63" t="str"/>
      <c r="J165" s="48" t="str"/>
      <c r="K165" s="58" t="str"/>
      <c r="L165" s="42" t="str"/>
      <c r="M165" s="42" t="str"/>
      <c r="N165" s="48" t="str"/>
      <c r="O165" s="58" t="str"/>
      <c r="P165" s="42" t="str"/>
      <c r="Q165" s="42" t="str"/>
      <c r="R165" s="48" t="str"/>
      <c r="S165" s="58" t="str"/>
      <c r="T165" s="42" t="str"/>
      <c r="U165" s="42" t="str"/>
      <c r="V165" s="48" t="str"/>
      <c r="W165" s="58" t="str"/>
      <c r="X165" s="42" t="n"/>
      <c r="Y165" s="42" t="n"/>
    </row>
    <row r="166">
      <c r="B166" s="2">
        <f>IF(STUDENTS!B165="","",STUDENTS!B165)</f>
        <v/>
      </c>
      <c r="C166" s="44">
        <f>IFERROR(IF(B166="","",_xlfn.XLOOKUP(B166,STUDENTS!$B$3:$B$1048576,STUDENTS!$C$3:$C$1048576)),"Enter a registered reg. no")</f>
        <v/>
      </c>
      <c r="D166" s="52">
        <f t="array" ref="D166:W166">IF(All_Students_Scores!C164:V164="","",All_Students_Scores!C164:V164)</f>
        <v/>
      </c>
      <c r="E166" s="57" t="str"/>
      <c r="F166" s="66" t="str"/>
      <c r="G166" s="67" t="str"/>
      <c r="H166" s="64" t="str"/>
      <c r="I166" s="65" t="str"/>
      <c r="J166" s="66" t="str"/>
      <c r="K166" s="67" t="str"/>
      <c r="L166" s="41" t="str"/>
      <c r="M166" s="41" t="str"/>
      <c r="N166" s="66" t="str"/>
      <c r="O166" s="67" t="str"/>
      <c r="P166" s="41" t="str"/>
      <c r="Q166" s="41" t="str"/>
      <c r="R166" s="66" t="str"/>
      <c r="S166" s="67" t="str"/>
      <c r="T166" s="41" t="str"/>
      <c r="U166" s="41" t="str"/>
      <c r="V166" s="66" t="str"/>
      <c r="W166" s="67" t="str"/>
    </row>
    <row r="167">
      <c r="B167" s="2">
        <f>IF(STUDENTS!B166="","",STUDENTS!B166)</f>
        <v/>
      </c>
      <c r="C167" s="44">
        <f>IFERROR(IF(B167="","",_xlfn.XLOOKUP(B167,STUDENTS!$B$3:$B$1048576,STUDENTS!$C$3:$C$1048576)),"Enter a registered reg. no")</f>
        <v/>
      </c>
      <c r="D167" s="52">
        <f t="array" ref="D167:W167">IF(All_Students_Scores!C165:V165="","",All_Students_Scores!C165:V165)</f>
        <v/>
      </c>
      <c r="E167" s="55" t="str"/>
      <c r="F167" s="48" t="str"/>
      <c r="G167" s="58" t="str"/>
      <c r="H167" s="62" t="str"/>
      <c r="I167" s="63" t="str"/>
      <c r="J167" s="48" t="str"/>
      <c r="K167" s="58" t="str"/>
      <c r="L167" s="42" t="str"/>
      <c r="M167" s="42" t="str"/>
      <c r="N167" s="48" t="str"/>
      <c r="O167" s="58" t="str"/>
      <c r="P167" s="42" t="str"/>
      <c r="Q167" s="42" t="str"/>
      <c r="R167" s="48" t="str"/>
      <c r="S167" s="58" t="str"/>
      <c r="T167" s="42" t="str"/>
      <c r="U167" s="42" t="str"/>
      <c r="V167" s="48" t="str"/>
      <c r="W167" s="58" t="str"/>
      <c r="X167" s="42" t="n"/>
      <c r="Y167" s="42" t="n"/>
    </row>
    <row r="168">
      <c r="B168" s="2">
        <f>IF(STUDENTS!B167="","",STUDENTS!B167)</f>
        <v/>
      </c>
      <c r="C168" s="44">
        <f>IFERROR(IF(B168="","",_xlfn.XLOOKUP(B168,STUDENTS!$B$3:$B$1048576,STUDENTS!$C$3:$C$1048576)),"Enter a registered reg. no")</f>
        <v/>
      </c>
      <c r="D168" s="52">
        <f t="array" ref="D168:W168">IF(All_Students_Scores!C166:V166="","",All_Students_Scores!C166:V166)</f>
        <v/>
      </c>
      <c r="E168" s="57" t="str"/>
      <c r="F168" s="66" t="str"/>
      <c r="G168" s="67" t="str"/>
      <c r="H168" s="64" t="str"/>
      <c r="I168" s="65" t="str"/>
      <c r="J168" s="66" t="str"/>
      <c r="K168" s="67" t="str"/>
      <c r="L168" s="41" t="str"/>
      <c r="M168" s="41" t="str"/>
      <c r="N168" s="66" t="str"/>
      <c r="O168" s="67" t="str"/>
      <c r="P168" s="41" t="str"/>
      <c r="Q168" s="41" t="str"/>
      <c r="R168" s="66" t="str"/>
      <c r="S168" s="67" t="str"/>
      <c r="T168" s="41" t="str"/>
      <c r="U168" s="41" t="str"/>
      <c r="V168" s="66" t="str"/>
      <c r="W168" s="67" t="str"/>
    </row>
    <row r="169">
      <c r="B169" s="2">
        <f>IF(STUDENTS!B168="","",STUDENTS!B168)</f>
        <v/>
      </c>
      <c r="C169" s="44">
        <f>IFERROR(IF(B169="","",_xlfn.XLOOKUP(B169,STUDENTS!$B$3:$B$1048576,STUDENTS!$C$3:$C$1048576)),"Enter a registered reg. no")</f>
        <v/>
      </c>
      <c r="D169" s="52">
        <f t="array" ref="D169:W169">IF(All_Students_Scores!C167:V167="","",All_Students_Scores!C167:V167)</f>
        <v/>
      </c>
      <c r="E169" s="55" t="str"/>
      <c r="F169" s="48" t="str"/>
      <c r="G169" s="58" t="str"/>
      <c r="H169" s="62" t="str"/>
      <c r="I169" s="63" t="str"/>
      <c r="J169" s="48" t="str"/>
      <c r="K169" s="58" t="str"/>
      <c r="L169" s="42" t="str"/>
      <c r="M169" s="42" t="str"/>
      <c r="N169" s="48" t="str"/>
      <c r="O169" s="58" t="str"/>
      <c r="P169" s="42" t="str"/>
      <c r="Q169" s="42" t="str"/>
      <c r="R169" s="48" t="str"/>
      <c r="S169" s="58" t="str"/>
      <c r="T169" s="42" t="str"/>
      <c r="U169" s="42" t="str"/>
      <c r="V169" s="48" t="str"/>
      <c r="W169" s="58" t="str"/>
      <c r="X169" s="42" t="n"/>
      <c r="Y169" s="42" t="n"/>
    </row>
    <row r="170">
      <c r="B170" s="2">
        <f>IF(STUDENTS!B169="","",STUDENTS!B169)</f>
        <v/>
      </c>
      <c r="C170" s="44">
        <f>IFERROR(IF(B170="","",_xlfn.XLOOKUP(B170,STUDENTS!$B$3:$B$1048576,STUDENTS!$C$3:$C$1048576)),"Enter a registered reg. no")</f>
        <v/>
      </c>
      <c r="D170" s="52">
        <f t="array" ref="D170:W170">IF(All_Students_Scores!C168:V168="","",All_Students_Scores!C168:V168)</f>
        <v/>
      </c>
      <c r="E170" s="57" t="str"/>
      <c r="F170" s="66" t="str"/>
      <c r="G170" s="67" t="str"/>
      <c r="H170" s="64" t="str"/>
      <c r="I170" s="65" t="str"/>
      <c r="J170" s="66" t="str"/>
      <c r="K170" s="67" t="str"/>
      <c r="L170" s="41" t="str"/>
      <c r="M170" s="41" t="str"/>
      <c r="N170" s="66" t="str"/>
      <c r="O170" s="67" t="str"/>
      <c r="P170" s="41" t="str"/>
      <c r="Q170" s="41" t="str"/>
      <c r="R170" s="66" t="str"/>
      <c r="S170" s="67" t="str"/>
      <c r="T170" s="41" t="str"/>
      <c r="U170" s="41" t="str"/>
      <c r="V170" s="66" t="str"/>
      <c r="W170" s="67" t="str"/>
    </row>
    <row r="171">
      <c r="B171" s="2">
        <f>IF(STUDENTS!B170="","",STUDENTS!B170)</f>
        <v/>
      </c>
      <c r="C171" s="44">
        <f>IFERROR(IF(B171="","",_xlfn.XLOOKUP(B171,STUDENTS!$B$3:$B$1048576,STUDENTS!$C$3:$C$1048576)),"Enter a registered reg. no")</f>
        <v/>
      </c>
      <c r="D171" s="52">
        <f t="array" ref="D171:W171">IF(All_Students_Scores!C169:V169="","",All_Students_Scores!C169:V169)</f>
        <v/>
      </c>
      <c r="E171" s="55" t="str"/>
      <c r="F171" s="48" t="str"/>
      <c r="G171" s="58" t="str"/>
      <c r="H171" s="62" t="str"/>
      <c r="I171" s="63" t="str"/>
      <c r="J171" s="48" t="str"/>
      <c r="K171" s="58" t="str"/>
      <c r="L171" s="42" t="str"/>
      <c r="M171" s="42" t="str"/>
      <c r="N171" s="48" t="str"/>
      <c r="O171" s="58" t="str"/>
      <c r="P171" s="42" t="str"/>
      <c r="Q171" s="42" t="str"/>
      <c r="R171" s="48" t="str"/>
      <c r="S171" s="58" t="str"/>
      <c r="T171" s="42" t="str"/>
      <c r="U171" s="42" t="str"/>
      <c r="V171" s="48" t="str"/>
      <c r="W171" s="58" t="str"/>
      <c r="X171" s="42" t="n"/>
      <c r="Y171" s="42" t="n"/>
    </row>
    <row r="172">
      <c r="B172" s="2">
        <f>IF(STUDENTS!B171="","",STUDENTS!B171)</f>
        <v/>
      </c>
      <c r="C172" s="44">
        <f>IFERROR(IF(B172="","",_xlfn.XLOOKUP(B172,STUDENTS!$B$3:$B$1048576,STUDENTS!$C$3:$C$1048576)),"Enter a registered reg. no")</f>
        <v/>
      </c>
      <c r="D172" s="52">
        <f t="array" ref="D172:W172">IF(All_Students_Scores!C170:V170="","",All_Students_Scores!C170:V170)</f>
        <v/>
      </c>
      <c r="E172" s="57" t="str"/>
      <c r="F172" s="66" t="str"/>
      <c r="G172" s="67" t="str"/>
      <c r="H172" s="64" t="str"/>
      <c r="I172" s="65" t="str"/>
      <c r="J172" s="66" t="str"/>
      <c r="K172" s="67" t="str"/>
      <c r="L172" s="41" t="str"/>
      <c r="M172" s="41" t="str"/>
      <c r="N172" s="66" t="str"/>
      <c r="O172" s="67" t="str"/>
      <c r="P172" s="41" t="str"/>
      <c r="Q172" s="41" t="str"/>
      <c r="R172" s="66" t="str"/>
      <c r="S172" s="67" t="str"/>
      <c r="T172" s="41" t="str"/>
      <c r="U172" s="41" t="str"/>
      <c r="V172" s="66" t="str"/>
      <c r="W172" s="67" t="str"/>
    </row>
    <row r="173">
      <c r="B173" s="2">
        <f>IF(STUDENTS!B172="","",STUDENTS!B172)</f>
        <v/>
      </c>
      <c r="C173" s="44">
        <f>IFERROR(IF(B173="","",_xlfn.XLOOKUP(B173,STUDENTS!$B$3:$B$1048576,STUDENTS!$C$3:$C$1048576)),"Enter a registered reg. no")</f>
        <v/>
      </c>
      <c r="D173" s="52">
        <f t="array" ref="D173:W173">IF(All_Students_Scores!C171:V171="","",All_Students_Scores!C171:V171)</f>
        <v/>
      </c>
      <c r="E173" s="55" t="str"/>
      <c r="F173" s="48" t="str"/>
      <c r="G173" s="58" t="str"/>
      <c r="H173" s="62" t="str"/>
      <c r="I173" s="63" t="str"/>
      <c r="J173" s="48" t="str"/>
      <c r="K173" s="58" t="str"/>
      <c r="L173" s="42" t="str"/>
      <c r="M173" s="42" t="str"/>
      <c r="N173" s="48" t="str"/>
      <c r="O173" s="58" t="str"/>
      <c r="P173" s="42" t="str"/>
      <c r="Q173" s="42" t="str"/>
      <c r="R173" s="48" t="str"/>
      <c r="S173" s="58" t="str"/>
      <c r="T173" s="42" t="str"/>
      <c r="U173" s="42" t="str"/>
      <c r="V173" s="48" t="str"/>
      <c r="W173" s="58" t="str"/>
      <c r="X173" s="42" t="n"/>
      <c r="Y173" s="42" t="n"/>
    </row>
    <row r="174">
      <c r="B174" s="2">
        <f>IF(STUDENTS!B173="","",STUDENTS!B173)</f>
        <v/>
      </c>
      <c r="C174" s="44">
        <f>IFERROR(IF(B174="","",_xlfn.XLOOKUP(B174,STUDENTS!$B$3:$B$1048576,STUDENTS!$C$3:$C$1048576)),"Enter a registered reg. no")</f>
        <v/>
      </c>
      <c r="D174" s="52">
        <f t="array" ref="D174:W174">IF(All_Students_Scores!C172:V172="","",All_Students_Scores!C172:V172)</f>
        <v/>
      </c>
      <c r="E174" s="57" t="str"/>
      <c r="F174" s="66" t="str"/>
      <c r="G174" s="67" t="str"/>
      <c r="H174" s="64" t="str"/>
      <c r="I174" s="65" t="str"/>
      <c r="J174" s="66" t="str"/>
      <c r="K174" s="67" t="str"/>
      <c r="L174" s="41" t="str"/>
      <c r="M174" s="41" t="str"/>
      <c r="N174" s="66" t="str"/>
      <c r="O174" s="67" t="str"/>
      <c r="P174" s="41" t="str"/>
      <c r="Q174" s="41" t="str"/>
      <c r="R174" s="66" t="str"/>
      <c r="S174" s="67" t="str"/>
      <c r="T174" s="41" t="str"/>
      <c r="U174" s="41" t="str"/>
      <c r="V174" s="66" t="str"/>
      <c r="W174" s="67" t="str"/>
    </row>
    <row r="175">
      <c r="B175" s="2">
        <f>IF(STUDENTS!B174="","",STUDENTS!B174)</f>
        <v/>
      </c>
      <c r="C175" s="44">
        <f>IFERROR(IF(B175="","",_xlfn.XLOOKUP(B175,STUDENTS!$B$3:$B$1048576,STUDENTS!$C$3:$C$1048576)),"Enter a registered reg. no")</f>
        <v/>
      </c>
      <c r="D175" s="52">
        <f t="array" ref="D175:W175">IF(All_Students_Scores!C173:V173="","",All_Students_Scores!C173:V173)</f>
        <v/>
      </c>
      <c r="E175" s="55" t="str"/>
      <c r="F175" s="48" t="str"/>
      <c r="G175" s="58" t="str"/>
      <c r="H175" s="62" t="str"/>
      <c r="I175" s="63" t="str"/>
      <c r="J175" s="48" t="str"/>
      <c r="K175" s="58" t="str"/>
      <c r="L175" s="42" t="str"/>
      <c r="M175" s="42" t="str"/>
      <c r="N175" s="48" t="str"/>
      <c r="O175" s="58" t="str"/>
      <c r="P175" s="42" t="str"/>
      <c r="Q175" s="42" t="str"/>
      <c r="R175" s="48" t="str"/>
      <c r="S175" s="58" t="str"/>
      <c r="T175" s="42" t="str"/>
      <c r="U175" s="42" t="str"/>
      <c r="V175" s="48" t="str"/>
      <c r="W175" s="58" t="str"/>
      <c r="X175" s="42" t="n"/>
      <c r="Y175" s="42" t="n"/>
    </row>
    <row r="176">
      <c r="B176" s="2">
        <f>IF(STUDENTS!B175="","",STUDENTS!B175)</f>
        <v/>
      </c>
      <c r="C176" s="44">
        <f>IFERROR(IF(B176="","",_xlfn.XLOOKUP(B176,STUDENTS!$B$3:$B$1048576,STUDENTS!$C$3:$C$1048576)),"Enter a registered reg. no")</f>
        <v/>
      </c>
      <c r="D176" s="52">
        <f t="array" ref="D176:W176">IF(All_Students_Scores!C174:V174="","",All_Students_Scores!C174:V174)</f>
        <v/>
      </c>
      <c r="E176" s="57" t="str"/>
      <c r="F176" s="66" t="str"/>
      <c r="G176" s="67" t="str"/>
      <c r="H176" s="64" t="str"/>
      <c r="I176" s="65" t="str"/>
      <c r="J176" s="66" t="str"/>
      <c r="K176" s="67" t="str"/>
      <c r="L176" s="41" t="str"/>
      <c r="M176" s="41" t="str"/>
      <c r="N176" s="66" t="str"/>
      <c r="O176" s="67" t="str"/>
      <c r="P176" s="41" t="str"/>
      <c r="Q176" s="41" t="str"/>
      <c r="R176" s="66" t="str"/>
      <c r="S176" s="67" t="str"/>
      <c r="T176" s="41" t="str"/>
      <c r="U176" s="41" t="str"/>
      <c r="V176" s="66" t="str"/>
      <c r="W176" s="67" t="str"/>
    </row>
    <row r="177">
      <c r="B177" s="2">
        <f>IF(STUDENTS!B176="","",STUDENTS!B176)</f>
        <v/>
      </c>
      <c r="C177" s="44">
        <f>IFERROR(IF(B177="","",_xlfn.XLOOKUP(B177,STUDENTS!$B$3:$B$1048576,STUDENTS!$C$3:$C$1048576)),"Enter a registered reg. no")</f>
        <v/>
      </c>
      <c r="D177" s="52">
        <f t="array" ref="D177:W177">IF(All_Students_Scores!C175:V175="","",All_Students_Scores!C175:V175)</f>
        <v/>
      </c>
      <c r="E177" s="55" t="str"/>
      <c r="F177" s="48" t="str"/>
      <c r="G177" s="58" t="str"/>
      <c r="H177" s="62" t="str"/>
      <c r="I177" s="63" t="str"/>
      <c r="J177" s="48" t="str"/>
      <c r="K177" s="58" t="str"/>
      <c r="L177" s="42" t="str"/>
      <c r="M177" s="42" t="str"/>
      <c r="N177" s="48" t="str"/>
      <c r="O177" s="58" t="str"/>
      <c r="P177" s="42" t="str"/>
      <c r="Q177" s="42" t="str"/>
      <c r="R177" s="48" t="str"/>
      <c r="S177" s="58" t="str"/>
      <c r="T177" s="42" t="str"/>
      <c r="U177" s="42" t="str"/>
      <c r="V177" s="48" t="str"/>
      <c r="W177" s="58" t="str"/>
      <c r="X177" s="42" t="n"/>
      <c r="Y177" s="42" t="n"/>
    </row>
    <row r="178">
      <c r="B178" s="2">
        <f>IF(STUDENTS!B177="","",STUDENTS!B177)</f>
        <v/>
      </c>
      <c r="C178" s="44">
        <f>IFERROR(IF(B178="","",_xlfn.XLOOKUP(B178,STUDENTS!$B$3:$B$1048576,STUDENTS!$C$3:$C$1048576)),"Enter a registered reg. no")</f>
        <v/>
      </c>
      <c r="D178" s="52">
        <f t="array" ref="D178:W178">IF(All_Students_Scores!C176:V176="","",All_Students_Scores!C176:V176)</f>
        <v/>
      </c>
      <c r="E178" s="57" t="str"/>
      <c r="F178" s="66" t="str"/>
      <c r="G178" s="67" t="str"/>
      <c r="H178" s="64" t="str"/>
      <c r="I178" s="65" t="str"/>
      <c r="J178" s="66" t="str"/>
      <c r="K178" s="67" t="str"/>
      <c r="L178" s="41" t="str"/>
      <c r="M178" s="41" t="str"/>
      <c r="N178" s="66" t="str"/>
      <c r="O178" s="67" t="str"/>
      <c r="P178" s="41" t="str"/>
      <c r="Q178" s="41" t="str"/>
      <c r="R178" s="66" t="str"/>
      <c r="S178" s="67" t="str"/>
      <c r="T178" s="41" t="str"/>
      <c r="U178" s="41" t="str"/>
      <c r="V178" s="66" t="str"/>
      <c r="W178" s="67" t="str"/>
    </row>
    <row r="179">
      <c r="B179" s="2">
        <f>IF(STUDENTS!B178="","",STUDENTS!B178)</f>
        <v/>
      </c>
      <c r="C179" s="44">
        <f>IFERROR(IF(B179="","",_xlfn.XLOOKUP(B179,STUDENTS!$B$3:$B$1048576,STUDENTS!$C$3:$C$1048576)),"Enter a registered reg. no")</f>
        <v/>
      </c>
      <c r="D179" s="52">
        <f t="array" ref="D179:W179">IF(All_Students_Scores!C177:V177="","",All_Students_Scores!C177:V177)</f>
        <v/>
      </c>
      <c r="E179" s="55" t="str"/>
      <c r="F179" s="48" t="str"/>
      <c r="G179" s="58" t="str"/>
      <c r="H179" s="62" t="str"/>
      <c r="I179" s="63" t="str"/>
      <c r="J179" s="48" t="str"/>
      <c r="K179" s="58" t="str"/>
      <c r="L179" s="42" t="str"/>
      <c r="M179" s="42" t="str"/>
      <c r="N179" s="48" t="str"/>
      <c r="O179" s="58" t="str"/>
      <c r="P179" s="42" t="str"/>
      <c r="Q179" s="42" t="str"/>
      <c r="R179" s="48" t="str"/>
      <c r="S179" s="58" t="str"/>
      <c r="T179" s="42" t="str"/>
      <c r="U179" s="42" t="str"/>
      <c r="V179" s="48" t="str"/>
      <c r="W179" s="58" t="str"/>
      <c r="X179" s="42" t="n"/>
      <c r="Y179" s="42" t="n"/>
    </row>
    <row r="180">
      <c r="B180" s="2">
        <f>IF(STUDENTS!B179="","",STUDENTS!B179)</f>
        <v/>
      </c>
      <c r="C180" s="44">
        <f>IFERROR(IF(B180="","",_xlfn.XLOOKUP(B180,STUDENTS!$B$3:$B$1048576,STUDENTS!$C$3:$C$1048576)),"Enter a registered reg. no")</f>
        <v/>
      </c>
      <c r="D180" s="52">
        <f t="array" ref="D180:W180">IF(All_Students_Scores!C178:V178="","",All_Students_Scores!C178:V178)</f>
        <v/>
      </c>
      <c r="E180" s="57" t="str"/>
      <c r="F180" s="66" t="str"/>
      <c r="G180" s="67" t="str"/>
      <c r="H180" s="64" t="str"/>
      <c r="I180" s="65" t="str"/>
      <c r="J180" s="66" t="str"/>
      <c r="K180" s="67" t="str"/>
      <c r="L180" s="41" t="str"/>
      <c r="M180" s="41" t="str"/>
      <c r="N180" s="66" t="str"/>
      <c r="O180" s="67" t="str"/>
      <c r="P180" s="41" t="str"/>
      <c r="Q180" s="41" t="str"/>
      <c r="R180" s="66" t="str"/>
      <c r="S180" s="67" t="str"/>
      <c r="T180" s="41" t="str"/>
      <c r="U180" s="41" t="str"/>
      <c r="V180" s="66" t="str"/>
      <c r="W180" s="67" t="str"/>
    </row>
    <row r="181">
      <c r="B181" s="2">
        <f>IF(STUDENTS!B180="","",STUDENTS!B180)</f>
        <v/>
      </c>
      <c r="C181" s="44">
        <f>IFERROR(IF(B181="","",_xlfn.XLOOKUP(B181,STUDENTS!$B$3:$B$1048576,STUDENTS!$C$3:$C$1048576)),"Enter a registered reg. no")</f>
        <v/>
      </c>
      <c r="D181" s="52">
        <f t="array" ref="D181:W181">IF(All_Students_Scores!C179:V179="","",All_Students_Scores!C179:V179)</f>
        <v/>
      </c>
      <c r="E181" s="55" t="str"/>
      <c r="F181" s="48" t="str"/>
      <c r="G181" s="58" t="str"/>
      <c r="H181" s="62" t="str"/>
      <c r="I181" s="63" t="str"/>
      <c r="J181" s="48" t="str"/>
      <c r="K181" s="58" t="str"/>
      <c r="L181" s="42" t="str"/>
      <c r="M181" s="42" t="str"/>
      <c r="N181" s="48" t="str"/>
      <c r="O181" s="58" t="str"/>
      <c r="P181" s="42" t="str"/>
      <c r="Q181" s="42" t="str"/>
      <c r="R181" s="48" t="str"/>
      <c r="S181" s="58" t="str"/>
      <c r="T181" s="42" t="str"/>
      <c r="U181" s="42" t="str"/>
      <c r="V181" s="48" t="str"/>
      <c r="W181" s="58" t="str"/>
      <c r="X181" s="42" t="n"/>
      <c r="Y181" s="42" t="n"/>
    </row>
    <row r="182">
      <c r="B182" s="2">
        <f>IF(STUDENTS!B181="","",STUDENTS!B181)</f>
        <v/>
      </c>
      <c r="C182" s="44">
        <f>IFERROR(IF(B182="","",_xlfn.XLOOKUP(B182,STUDENTS!$B$3:$B$1048576,STUDENTS!$C$3:$C$1048576)),"Enter a registered reg. no")</f>
        <v/>
      </c>
      <c r="D182" s="52">
        <f t="array" ref="D182:W182">IF(All_Students_Scores!C180:V180="","",All_Students_Scores!C180:V180)</f>
        <v/>
      </c>
      <c r="E182" s="57" t="str"/>
      <c r="F182" s="66" t="str"/>
      <c r="G182" s="67" t="str"/>
      <c r="H182" s="64" t="str"/>
      <c r="I182" s="65" t="str"/>
      <c r="J182" s="66" t="str"/>
      <c r="K182" s="67" t="str"/>
      <c r="L182" s="41" t="str"/>
      <c r="M182" s="41" t="str"/>
      <c r="N182" s="66" t="str"/>
      <c r="O182" s="67" t="str"/>
      <c r="P182" s="41" t="str"/>
      <c r="Q182" s="41" t="str"/>
      <c r="R182" s="66" t="str"/>
      <c r="S182" s="67" t="str"/>
      <c r="T182" s="41" t="str"/>
      <c r="U182" s="41" t="str"/>
      <c r="V182" s="66" t="str"/>
      <c r="W182" s="67" t="str"/>
    </row>
    <row r="183">
      <c r="B183" s="2">
        <f>IF(STUDENTS!B182="","",STUDENTS!B182)</f>
        <v/>
      </c>
      <c r="C183" s="44">
        <f>IFERROR(IF(B183="","",_xlfn.XLOOKUP(B183,STUDENTS!$B$3:$B$1048576,STUDENTS!$C$3:$C$1048576)),"Enter a registered reg. no")</f>
        <v/>
      </c>
      <c r="D183" s="52">
        <f t="array" ref="D183:W183">IF(All_Students_Scores!C181:V181="","",All_Students_Scores!C181:V181)</f>
        <v/>
      </c>
      <c r="E183" s="55" t="str"/>
      <c r="F183" s="48" t="str"/>
      <c r="G183" s="58" t="str"/>
      <c r="H183" s="62" t="str"/>
      <c r="I183" s="63" t="str"/>
      <c r="J183" s="48" t="str"/>
      <c r="K183" s="58" t="str"/>
      <c r="L183" s="42" t="str"/>
      <c r="M183" s="42" t="str"/>
      <c r="N183" s="48" t="str"/>
      <c r="O183" s="58" t="str"/>
      <c r="P183" s="42" t="str"/>
      <c r="Q183" s="42" t="str"/>
      <c r="R183" s="48" t="str"/>
      <c r="S183" s="58" t="str"/>
      <c r="T183" s="42" t="str"/>
      <c r="U183" s="42" t="str"/>
      <c r="V183" s="48" t="str"/>
      <c r="W183" s="58" t="str"/>
      <c r="X183" s="42" t="n"/>
      <c r="Y183" s="42" t="n"/>
    </row>
    <row r="184">
      <c r="B184" s="2">
        <f>IF(STUDENTS!B183="","",STUDENTS!B183)</f>
        <v/>
      </c>
      <c r="C184" s="44">
        <f>IFERROR(IF(B184="","",_xlfn.XLOOKUP(B184,STUDENTS!$B$3:$B$1048576,STUDENTS!$C$3:$C$1048576)),"Enter a registered reg. no")</f>
        <v/>
      </c>
      <c r="D184" s="52">
        <f t="array" ref="D184:W184">IF(All_Students_Scores!C182:V182="","",All_Students_Scores!C182:V182)</f>
        <v/>
      </c>
      <c r="E184" s="57" t="str"/>
      <c r="F184" s="66" t="str"/>
      <c r="G184" s="67" t="str"/>
      <c r="H184" s="64" t="str"/>
      <c r="I184" s="65" t="str"/>
      <c r="J184" s="66" t="str"/>
      <c r="K184" s="67" t="str"/>
      <c r="L184" s="41" t="str"/>
      <c r="M184" s="41" t="str"/>
      <c r="N184" s="66" t="str"/>
      <c r="O184" s="67" t="str"/>
      <c r="P184" s="41" t="str"/>
      <c r="Q184" s="41" t="str"/>
      <c r="R184" s="66" t="str"/>
      <c r="S184" s="67" t="str"/>
      <c r="T184" s="41" t="str"/>
      <c r="U184" s="41" t="str"/>
      <c r="V184" s="66" t="str"/>
      <c r="W184" s="67" t="str"/>
    </row>
    <row r="185">
      <c r="B185" s="2">
        <f>IF(STUDENTS!B184="","",STUDENTS!B184)</f>
        <v/>
      </c>
      <c r="C185" s="44">
        <f>IFERROR(IF(B185="","",_xlfn.XLOOKUP(B185,STUDENTS!$B$3:$B$1048576,STUDENTS!$C$3:$C$1048576)),"Enter a registered reg. no")</f>
        <v/>
      </c>
      <c r="D185" s="52">
        <f t="array" ref="D185:W185">IF(All_Students_Scores!C183:V183="","",All_Students_Scores!C183:V183)</f>
        <v/>
      </c>
      <c r="E185" s="55" t="str"/>
      <c r="F185" s="48" t="str"/>
      <c r="G185" s="58" t="str"/>
      <c r="H185" s="62" t="str"/>
      <c r="I185" s="63" t="str"/>
      <c r="J185" s="48" t="str"/>
      <c r="K185" s="58" t="str"/>
      <c r="L185" s="42" t="str"/>
      <c r="M185" s="42" t="str"/>
      <c r="N185" s="48" t="str"/>
      <c r="O185" s="58" t="str"/>
      <c r="P185" s="42" t="str"/>
      <c r="Q185" s="42" t="str"/>
      <c r="R185" s="48" t="str"/>
      <c r="S185" s="58" t="str"/>
      <c r="T185" s="42" t="str"/>
      <c r="U185" s="42" t="str"/>
      <c r="V185" s="48" t="str"/>
      <c r="W185" s="58" t="str"/>
      <c r="X185" s="42" t="n"/>
      <c r="Y185" s="42" t="n"/>
    </row>
    <row r="186">
      <c r="B186" s="2">
        <f>IF(STUDENTS!B185="","",STUDENTS!B185)</f>
        <v/>
      </c>
      <c r="C186" s="44">
        <f>IFERROR(IF(B186="","",_xlfn.XLOOKUP(B186,STUDENTS!$B$3:$B$1048576,STUDENTS!$C$3:$C$1048576)),"Enter a registered reg. no")</f>
        <v/>
      </c>
      <c r="D186" s="52">
        <f t="array" ref="D186:W186">IF(All_Students_Scores!C184:V184="","",All_Students_Scores!C184:V184)</f>
        <v/>
      </c>
      <c r="E186" s="57" t="str"/>
      <c r="F186" s="66" t="str"/>
      <c r="G186" s="67" t="str"/>
      <c r="H186" s="64" t="str"/>
      <c r="I186" s="65" t="str"/>
      <c r="J186" s="66" t="str"/>
      <c r="K186" s="67" t="str"/>
      <c r="L186" s="41" t="str"/>
      <c r="M186" s="41" t="str"/>
      <c r="N186" s="66" t="str"/>
      <c r="O186" s="67" t="str"/>
      <c r="P186" s="41" t="str"/>
      <c r="Q186" s="41" t="str"/>
      <c r="R186" s="66" t="str"/>
      <c r="S186" s="67" t="str"/>
      <c r="T186" s="41" t="str"/>
      <c r="U186" s="41" t="str"/>
      <c r="V186" s="66" t="str"/>
      <c r="W186" s="67" t="str"/>
    </row>
    <row r="187">
      <c r="B187" s="2">
        <f>IF(STUDENTS!B186="","",STUDENTS!B186)</f>
        <v/>
      </c>
      <c r="C187" s="44">
        <f>IFERROR(IF(B187="","",_xlfn.XLOOKUP(B187,STUDENTS!$B$3:$B$1048576,STUDENTS!$C$3:$C$1048576)),"Enter a registered reg. no")</f>
        <v/>
      </c>
      <c r="D187" s="52">
        <f t="array" ref="D187:W187">IF(All_Students_Scores!C185:V185="","",All_Students_Scores!C185:V185)</f>
        <v/>
      </c>
      <c r="E187" s="55" t="str"/>
      <c r="F187" s="48" t="str"/>
      <c r="G187" s="58" t="str"/>
      <c r="H187" s="62" t="str"/>
      <c r="I187" s="63" t="str"/>
      <c r="J187" s="48" t="str"/>
      <c r="K187" s="58" t="str"/>
      <c r="L187" s="42" t="str"/>
      <c r="M187" s="42" t="str"/>
      <c r="N187" s="48" t="str"/>
      <c r="O187" s="58" t="str"/>
      <c r="P187" s="42" t="str"/>
      <c r="Q187" s="42" t="str"/>
      <c r="R187" s="48" t="str"/>
      <c r="S187" s="58" t="str"/>
      <c r="T187" s="42" t="str"/>
      <c r="U187" s="42" t="str"/>
      <c r="V187" s="48" t="str"/>
      <c r="W187" s="58" t="str"/>
      <c r="X187" s="42" t="n"/>
      <c r="Y187" s="42" t="n"/>
    </row>
    <row r="188">
      <c r="B188" s="2">
        <f>IF(STUDENTS!B187="","",STUDENTS!B187)</f>
        <v/>
      </c>
      <c r="C188" s="44">
        <f>IFERROR(IF(B188="","",_xlfn.XLOOKUP(B188,STUDENTS!$B$3:$B$1048576,STUDENTS!$C$3:$C$1048576)),"Enter a registered reg. no")</f>
        <v/>
      </c>
      <c r="D188" s="52">
        <f t="array" ref="D188:W188">IF(All_Students_Scores!C186:V186="","",All_Students_Scores!C186:V186)</f>
        <v/>
      </c>
      <c r="E188" s="57" t="str"/>
      <c r="F188" s="66" t="str"/>
      <c r="G188" s="67" t="str"/>
      <c r="H188" s="64" t="str"/>
      <c r="I188" s="65" t="str"/>
      <c r="J188" s="66" t="str"/>
      <c r="K188" s="67" t="str"/>
      <c r="L188" s="41" t="str"/>
      <c r="M188" s="41" t="str"/>
      <c r="N188" s="66" t="str"/>
      <c r="O188" s="67" t="str"/>
      <c r="P188" s="41" t="str"/>
      <c r="Q188" s="41" t="str"/>
      <c r="R188" s="66" t="str"/>
      <c r="S188" s="67" t="str"/>
      <c r="T188" s="41" t="str"/>
      <c r="U188" s="41" t="str"/>
      <c r="V188" s="66" t="str"/>
      <c r="W188" s="67" t="str"/>
    </row>
    <row r="189">
      <c r="B189" s="2">
        <f>IF(STUDENTS!B188="","",STUDENTS!B188)</f>
        <v/>
      </c>
      <c r="C189" s="44">
        <f>IFERROR(IF(B189="","",_xlfn.XLOOKUP(B189,STUDENTS!$B$3:$B$1048576,STUDENTS!$C$3:$C$1048576)),"Enter a registered reg. no")</f>
        <v/>
      </c>
      <c r="D189" s="52">
        <f t="array" ref="D189:W189">IF(All_Students_Scores!C187:V187="","",All_Students_Scores!C187:V187)</f>
        <v/>
      </c>
      <c r="E189" s="55" t="str"/>
      <c r="F189" s="48" t="str"/>
      <c r="G189" s="58" t="str"/>
      <c r="H189" s="62" t="str"/>
      <c r="I189" s="63" t="str"/>
      <c r="J189" s="48" t="str"/>
      <c r="K189" s="58" t="str"/>
      <c r="L189" s="42" t="str"/>
      <c r="M189" s="42" t="str"/>
      <c r="N189" s="48" t="str"/>
      <c r="O189" s="58" t="str"/>
      <c r="P189" s="42" t="str"/>
      <c r="Q189" s="42" t="str"/>
      <c r="R189" s="48" t="str"/>
      <c r="S189" s="58" t="str"/>
      <c r="T189" s="42" t="str"/>
      <c r="U189" s="42" t="str"/>
      <c r="V189" s="48" t="str"/>
      <c r="W189" s="58" t="str"/>
      <c r="X189" s="42" t="n"/>
      <c r="Y189" s="42" t="n"/>
    </row>
    <row r="190">
      <c r="B190" s="2">
        <f>IF(STUDENTS!B189="","",STUDENTS!B189)</f>
        <v/>
      </c>
      <c r="C190" s="44">
        <f>IFERROR(IF(B190="","",_xlfn.XLOOKUP(B190,STUDENTS!$B$3:$B$1048576,STUDENTS!$C$3:$C$1048576)),"Enter a registered reg. no")</f>
        <v/>
      </c>
      <c r="D190" s="52">
        <f t="array" ref="D190:W190">IF(All_Students_Scores!C188:V188="","",All_Students_Scores!C188:V188)</f>
        <v/>
      </c>
      <c r="E190" s="57" t="str"/>
      <c r="F190" s="66" t="str"/>
      <c r="G190" s="67" t="str"/>
      <c r="H190" s="64" t="str"/>
      <c r="I190" s="65" t="str"/>
      <c r="J190" s="66" t="str"/>
      <c r="K190" s="67" t="str"/>
      <c r="L190" s="41" t="str"/>
      <c r="M190" s="41" t="str"/>
      <c r="N190" s="66" t="str"/>
      <c r="O190" s="67" t="str"/>
      <c r="P190" s="41" t="str"/>
      <c r="Q190" s="41" t="str"/>
      <c r="R190" s="66" t="str"/>
      <c r="S190" s="67" t="str"/>
      <c r="T190" s="41" t="str"/>
      <c r="U190" s="41" t="str"/>
      <c r="V190" s="66" t="str"/>
      <c r="W190" s="67" t="str"/>
    </row>
    <row r="191">
      <c r="B191" s="2">
        <f>IF(STUDENTS!B190="","",STUDENTS!B190)</f>
        <v/>
      </c>
      <c r="C191" s="44">
        <f>IFERROR(IF(B191="","",_xlfn.XLOOKUP(B191,STUDENTS!$B$3:$B$1048576,STUDENTS!$C$3:$C$1048576)),"Enter a registered reg. no")</f>
        <v/>
      </c>
      <c r="D191" s="52">
        <f t="array" ref="D191:W191">IF(All_Students_Scores!C189:V189="","",All_Students_Scores!C189:V189)</f>
        <v/>
      </c>
      <c r="E191" s="55" t="str"/>
      <c r="F191" s="48" t="str"/>
      <c r="G191" s="58" t="str"/>
      <c r="H191" s="62" t="str"/>
      <c r="I191" s="63" t="str"/>
      <c r="J191" s="48" t="str"/>
      <c r="K191" s="58" t="str"/>
      <c r="L191" s="42" t="str"/>
      <c r="M191" s="42" t="str"/>
      <c r="N191" s="48" t="str"/>
      <c r="O191" s="58" t="str"/>
      <c r="P191" s="42" t="str"/>
      <c r="Q191" s="42" t="str"/>
      <c r="R191" s="48" t="str"/>
      <c r="S191" s="58" t="str"/>
      <c r="T191" s="42" t="str"/>
      <c r="U191" s="42" t="str"/>
      <c r="V191" s="48" t="str"/>
      <c r="W191" s="58" t="str"/>
      <c r="X191" s="42" t="n"/>
      <c r="Y191" s="42" t="n"/>
    </row>
    <row r="192">
      <c r="B192" s="2">
        <f>IF(STUDENTS!B191="","",STUDENTS!B191)</f>
        <v/>
      </c>
      <c r="C192" s="44">
        <f>IFERROR(IF(B192="","",_xlfn.XLOOKUP(B192,STUDENTS!$B$3:$B$1048576,STUDENTS!$C$3:$C$1048576)),"Enter a registered reg. no")</f>
        <v/>
      </c>
      <c r="D192" s="52">
        <f t="array" ref="D192:W192">IF(All_Students_Scores!C190:V190="","",All_Students_Scores!C190:V190)</f>
        <v/>
      </c>
      <c r="E192" s="57" t="str"/>
      <c r="F192" s="66" t="str"/>
      <c r="G192" s="67" t="str"/>
      <c r="H192" s="64" t="str"/>
      <c r="I192" s="65" t="str"/>
      <c r="J192" s="66" t="str"/>
      <c r="K192" s="67" t="str"/>
      <c r="L192" s="41" t="str"/>
      <c r="M192" s="41" t="str"/>
      <c r="N192" s="66" t="str"/>
      <c r="O192" s="67" t="str"/>
      <c r="P192" s="41" t="str"/>
      <c r="Q192" s="41" t="str"/>
      <c r="R192" s="66" t="str"/>
      <c r="S192" s="67" t="str"/>
      <c r="T192" s="41" t="str"/>
      <c r="U192" s="41" t="str"/>
      <c r="V192" s="66" t="str"/>
      <c r="W192" s="67" t="str"/>
    </row>
    <row r="193">
      <c r="B193" s="2">
        <f>IF(STUDENTS!B192="","",STUDENTS!B192)</f>
        <v/>
      </c>
      <c r="C193" s="44">
        <f>IFERROR(IF(B193="","",_xlfn.XLOOKUP(B193,STUDENTS!$B$3:$B$1048576,STUDENTS!$C$3:$C$1048576)),"Enter a registered reg. no")</f>
        <v/>
      </c>
      <c r="D193" s="52">
        <f t="array" ref="D193:W193">IF(All_Students_Scores!C191:V191="","",All_Students_Scores!C191:V191)</f>
        <v/>
      </c>
      <c r="E193" s="55" t="str"/>
      <c r="F193" s="48" t="str"/>
      <c r="G193" s="58" t="str"/>
      <c r="H193" s="62" t="str"/>
      <c r="I193" s="63" t="str"/>
      <c r="J193" s="48" t="str"/>
      <c r="K193" s="58" t="str"/>
      <c r="L193" s="42" t="str"/>
      <c r="M193" s="42" t="str"/>
      <c r="N193" s="48" t="str"/>
      <c r="O193" s="58" t="str"/>
      <c r="P193" s="42" t="str"/>
      <c r="Q193" s="42" t="str"/>
      <c r="R193" s="48" t="str"/>
      <c r="S193" s="58" t="str"/>
      <c r="T193" s="42" t="str"/>
      <c r="U193" s="42" t="str"/>
      <c r="V193" s="48" t="str"/>
      <c r="W193" s="58" t="str"/>
      <c r="X193" s="42" t="n"/>
      <c r="Y193" s="42" t="n"/>
    </row>
    <row r="194">
      <c r="B194" s="2">
        <f>IF(STUDENTS!B193="","",STUDENTS!B193)</f>
        <v/>
      </c>
      <c r="C194" s="44">
        <f>IFERROR(IF(B194="","",_xlfn.XLOOKUP(B194,STUDENTS!$B$3:$B$1048576,STUDENTS!$C$3:$C$1048576)),"Enter a registered reg. no")</f>
        <v/>
      </c>
      <c r="D194" s="52">
        <f t="array" ref="D194:W194">IF(All_Students_Scores!C192:V192="","",All_Students_Scores!C192:V192)</f>
        <v/>
      </c>
      <c r="E194" s="57" t="str"/>
      <c r="F194" s="66" t="str"/>
      <c r="G194" s="67" t="str"/>
      <c r="H194" s="64" t="str"/>
      <c r="I194" s="65" t="str"/>
      <c r="J194" s="66" t="str"/>
      <c r="K194" s="67" t="str"/>
      <c r="L194" s="41" t="str"/>
      <c r="M194" s="41" t="str"/>
      <c r="N194" s="66" t="str"/>
      <c r="O194" s="67" t="str"/>
      <c r="P194" s="41" t="str"/>
      <c r="Q194" s="41" t="str"/>
      <c r="R194" s="66" t="str"/>
      <c r="S194" s="67" t="str"/>
      <c r="T194" s="41" t="str"/>
      <c r="U194" s="41" t="str"/>
      <c r="V194" s="66" t="str"/>
      <c r="W194" s="67" t="str"/>
    </row>
    <row r="195">
      <c r="B195" s="2">
        <f>IF(STUDENTS!B194="","",STUDENTS!B194)</f>
        <v/>
      </c>
      <c r="C195" s="44">
        <f>IFERROR(IF(B195="","",_xlfn.XLOOKUP(B195,STUDENTS!$B$3:$B$1048576,STUDENTS!$C$3:$C$1048576)),"Enter a registered reg. no")</f>
        <v/>
      </c>
      <c r="D195" s="52">
        <f t="array" ref="D195:W195">IF(All_Students_Scores!C193:V193="","",All_Students_Scores!C193:V193)</f>
        <v/>
      </c>
      <c r="E195" s="55" t="str"/>
      <c r="F195" s="48" t="str"/>
      <c r="G195" s="58" t="str"/>
      <c r="H195" s="62" t="str"/>
      <c r="I195" s="63" t="str"/>
      <c r="J195" s="48" t="str"/>
      <c r="K195" s="58" t="str"/>
      <c r="L195" s="42" t="str"/>
      <c r="M195" s="42" t="str"/>
      <c r="N195" s="48" t="str"/>
      <c r="O195" s="58" t="str"/>
      <c r="P195" s="42" t="str"/>
      <c r="Q195" s="42" t="str"/>
      <c r="R195" s="48" t="str"/>
      <c r="S195" s="58" t="str"/>
      <c r="T195" s="42" t="str"/>
      <c r="U195" s="42" t="str"/>
      <c r="V195" s="48" t="str"/>
      <c r="W195" s="58" t="str"/>
      <c r="X195" s="42" t="n"/>
      <c r="Y195" s="42" t="n"/>
    </row>
    <row r="196">
      <c r="B196" s="2">
        <f>IF(STUDENTS!B195="","",STUDENTS!B195)</f>
        <v/>
      </c>
      <c r="C196" s="44">
        <f>IFERROR(IF(B196="","",_xlfn.XLOOKUP(B196,STUDENTS!$B$3:$B$1048576,STUDENTS!$C$3:$C$1048576)),"Enter a registered reg. no")</f>
        <v/>
      </c>
      <c r="D196" s="52">
        <f t="array" ref="D196:W196">IF(All_Students_Scores!C194:V194="","",All_Students_Scores!C194:V194)</f>
        <v/>
      </c>
      <c r="E196" s="57" t="str"/>
      <c r="F196" s="66" t="str"/>
      <c r="G196" s="67" t="str"/>
      <c r="H196" s="64" t="str"/>
      <c r="I196" s="65" t="str"/>
      <c r="J196" s="66" t="str"/>
      <c r="K196" s="67" t="str"/>
      <c r="L196" s="41" t="str"/>
      <c r="M196" s="41" t="str"/>
      <c r="N196" s="66" t="str"/>
      <c r="O196" s="67" t="str"/>
      <c r="P196" s="41" t="str"/>
      <c r="Q196" s="41" t="str"/>
      <c r="R196" s="66" t="str"/>
      <c r="S196" s="67" t="str"/>
      <c r="T196" s="41" t="str"/>
      <c r="U196" s="41" t="str"/>
      <c r="V196" s="66" t="str"/>
      <c r="W196" s="67" t="str"/>
    </row>
    <row r="197">
      <c r="B197" s="2">
        <f>IF(STUDENTS!B196="","",STUDENTS!B196)</f>
        <v/>
      </c>
      <c r="C197" s="44">
        <f>IFERROR(IF(B197="","",_xlfn.XLOOKUP(B197,STUDENTS!$B$3:$B$1048576,STUDENTS!$C$3:$C$1048576)),"Enter a registered reg. no")</f>
        <v/>
      </c>
      <c r="D197" s="52">
        <f t="array" ref="D197:W197">IF(All_Students_Scores!C195:V195="","",All_Students_Scores!C195:V195)</f>
        <v/>
      </c>
      <c r="E197" s="55" t="str"/>
      <c r="F197" s="48" t="str"/>
      <c r="G197" s="58" t="str"/>
      <c r="H197" s="62" t="str"/>
      <c r="I197" s="63" t="str"/>
      <c r="J197" s="48" t="str"/>
      <c r="K197" s="58" t="str"/>
      <c r="L197" s="42" t="str"/>
      <c r="M197" s="42" t="str"/>
      <c r="N197" s="48" t="str"/>
      <c r="O197" s="58" t="str"/>
      <c r="P197" s="42" t="str"/>
      <c r="Q197" s="42" t="str"/>
      <c r="R197" s="48" t="str"/>
      <c r="S197" s="58" t="str"/>
      <c r="T197" s="42" t="str"/>
      <c r="U197" s="42" t="str"/>
      <c r="V197" s="48" t="str"/>
      <c r="W197" s="58" t="str"/>
      <c r="X197" s="42" t="n"/>
      <c r="Y197" s="42" t="n"/>
    </row>
    <row r="198">
      <c r="B198" s="2">
        <f>IF(STUDENTS!B197="","",STUDENTS!B197)</f>
        <v/>
      </c>
      <c r="C198" s="44">
        <f>IFERROR(IF(B198="","",_xlfn.XLOOKUP(B198,STUDENTS!$B$3:$B$1048576,STUDENTS!$C$3:$C$1048576)),"Enter a registered reg. no")</f>
        <v/>
      </c>
      <c r="D198" s="52">
        <f t="array" ref="D198:W198">IF(All_Students_Scores!C196:V196="","",All_Students_Scores!C196:V196)</f>
        <v/>
      </c>
      <c r="E198" s="57" t="str"/>
      <c r="F198" s="66" t="str"/>
      <c r="G198" s="67" t="str"/>
      <c r="H198" s="64" t="str"/>
      <c r="I198" s="65" t="str"/>
      <c r="J198" s="66" t="str"/>
      <c r="K198" s="67" t="str"/>
      <c r="L198" s="41" t="str"/>
      <c r="M198" s="41" t="str"/>
      <c r="N198" s="66" t="str"/>
      <c r="O198" s="67" t="str"/>
      <c r="P198" s="41" t="str"/>
      <c r="Q198" s="41" t="str"/>
      <c r="R198" s="66" t="str"/>
      <c r="S198" s="67" t="str"/>
      <c r="T198" s="41" t="str"/>
      <c r="U198" s="41" t="str"/>
      <c r="V198" s="66" t="str"/>
      <c r="W198" s="67" t="str"/>
    </row>
    <row r="199">
      <c r="B199" s="2">
        <f>IF(STUDENTS!B198="","",STUDENTS!B198)</f>
        <v/>
      </c>
      <c r="C199" s="44">
        <f>IFERROR(IF(B199="","",_xlfn.XLOOKUP(B199,STUDENTS!$B$3:$B$1048576,STUDENTS!$C$3:$C$1048576)),"Enter a registered reg. no")</f>
        <v/>
      </c>
      <c r="D199" s="52">
        <f t="array" ref="D199:W199">IF(All_Students_Scores!C197:V197="","",All_Students_Scores!C197:V197)</f>
        <v/>
      </c>
      <c r="E199" s="55" t="str"/>
      <c r="F199" s="48" t="str"/>
      <c r="G199" s="58" t="str"/>
      <c r="H199" s="62" t="str"/>
      <c r="I199" s="63" t="str"/>
      <c r="J199" s="48" t="str"/>
      <c r="K199" s="58" t="str"/>
      <c r="L199" s="42" t="str"/>
      <c r="M199" s="42" t="str"/>
      <c r="N199" s="48" t="str"/>
      <c r="O199" s="58" t="str"/>
      <c r="P199" s="42" t="str"/>
      <c r="Q199" s="42" t="str"/>
      <c r="R199" s="48" t="str"/>
      <c r="S199" s="58" t="str"/>
      <c r="T199" s="42" t="str"/>
      <c r="U199" s="42" t="str"/>
      <c r="V199" s="48" t="str"/>
      <c r="W199" s="58" t="str"/>
      <c r="X199" s="42" t="n"/>
      <c r="Y199" s="42" t="n"/>
    </row>
    <row r="200">
      <c r="B200" s="2">
        <f>IF(STUDENTS!B199="","",STUDENTS!B199)</f>
        <v/>
      </c>
      <c r="C200" s="44">
        <f>IFERROR(IF(B200="","",_xlfn.XLOOKUP(B200,STUDENTS!$B$3:$B$1048576,STUDENTS!$C$3:$C$1048576)),"Enter a registered reg. no")</f>
        <v/>
      </c>
      <c r="D200" s="52">
        <f t="array" ref="D200:W200">IF(All_Students_Scores!C198:V198="","",All_Students_Scores!C198:V198)</f>
        <v/>
      </c>
      <c r="E200" s="57" t="str"/>
      <c r="F200" s="66" t="str"/>
      <c r="G200" s="67" t="str"/>
      <c r="H200" s="64" t="str"/>
      <c r="I200" s="65" t="str"/>
      <c r="J200" s="66" t="str"/>
      <c r="K200" s="67" t="str"/>
      <c r="L200" s="41" t="str"/>
      <c r="M200" s="41" t="str"/>
      <c r="N200" s="66" t="str"/>
      <c r="O200" s="67" t="str"/>
      <c r="P200" s="41" t="str"/>
      <c r="Q200" s="41" t="str"/>
      <c r="R200" s="66" t="str"/>
      <c r="S200" s="67" t="str"/>
      <c r="T200" s="41" t="str"/>
      <c r="U200" s="41" t="str"/>
      <c r="V200" s="66" t="str"/>
      <c r="W200" s="67" t="str"/>
    </row>
    <row r="201">
      <c r="B201" s="2">
        <f>IF(STUDENTS!B200="","",STUDENTS!B200)</f>
        <v/>
      </c>
      <c r="C201" s="44">
        <f>IFERROR(IF(B201="","",_xlfn.XLOOKUP(B201,STUDENTS!$B$3:$B$1048576,STUDENTS!$C$3:$C$1048576)),"Enter a registered reg. no")</f>
        <v/>
      </c>
      <c r="D201" s="52">
        <f t="array" ref="D201:W201">IF(All_Students_Scores!C199:V199="","",All_Students_Scores!C199:V199)</f>
        <v/>
      </c>
      <c r="E201" s="55" t="str"/>
      <c r="F201" s="48" t="str"/>
      <c r="G201" s="58" t="str"/>
      <c r="H201" s="62" t="str"/>
      <c r="I201" s="63" t="str"/>
      <c r="J201" s="48" t="str"/>
      <c r="K201" s="58" t="str"/>
      <c r="L201" s="42" t="str"/>
      <c r="M201" s="42" t="str"/>
      <c r="N201" s="48" t="str"/>
      <c r="O201" s="58" t="str"/>
      <c r="P201" s="42" t="str"/>
      <c r="Q201" s="42" t="str"/>
      <c r="R201" s="48" t="str"/>
      <c r="S201" s="58" t="str"/>
      <c r="T201" s="42" t="str"/>
      <c r="U201" s="42" t="str"/>
      <c r="V201" s="48" t="str"/>
      <c r="W201" s="58" t="str"/>
      <c r="X201" s="42" t="n"/>
      <c r="Y201" s="42" t="n"/>
    </row>
    <row r="202">
      <c r="B202" s="2">
        <f>IF(STUDENTS!B201="","",STUDENTS!B201)</f>
        <v/>
      </c>
      <c r="C202" s="44">
        <f>IFERROR(IF(B202="","",_xlfn.XLOOKUP(B202,STUDENTS!$B$3:$B$1048576,STUDENTS!$C$3:$C$1048576)),"Enter a registered reg. no")</f>
        <v/>
      </c>
      <c r="D202" s="52">
        <f t="array" ref="D202:W202">IF(All_Students_Scores!C200:V200="","",All_Students_Scores!C200:V200)</f>
        <v/>
      </c>
      <c r="E202" s="57" t="str"/>
      <c r="F202" s="66" t="str"/>
      <c r="G202" s="67" t="str"/>
      <c r="H202" s="64" t="str"/>
      <c r="I202" s="65" t="str"/>
      <c r="J202" s="66" t="str"/>
      <c r="K202" s="67" t="str"/>
      <c r="L202" s="41" t="str"/>
      <c r="M202" s="41" t="str"/>
      <c r="N202" s="66" t="str"/>
      <c r="O202" s="67" t="str"/>
      <c r="P202" s="41" t="str"/>
      <c r="Q202" s="41" t="str"/>
      <c r="R202" s="66" t="str"/>
      <c r="S202" s="67" t="str"/>
      <c r="T202" s="41" t="str"/>
      <c r="U202" s="41" t="str"/>
      <c r="V202" s="66" t="str"/>
      <c r="W202" s="67" t="str"/>
    </row>
    <row r="203">
      <c r="B203" s="2">
        <f>IF(STUDENTS!B202="","",STUDENTS!B202)</f>
        <v/>
      </c>
      <c r="C203" s="44">
        <f>IFERROR(IF(B203="","",_xlfn.XLOOKUP(B203,STUDENTS!$B$3:$B$1048576,STUDENTS!$C$3:$C$1048576)),"Enter a registered reg. no")</f>
        <v/>
      </c>
      <c r="D203" s="52">
        <f t="array" ref="D203:W203">IF(All_Students_Scores!C201:V201="","",All_Students_Scores!C201:V201)</f>
        <v/>
      </c>
      <c r="E203" s="55" t="str"/>
      <c r="F203" s="48" t="str"/>
      <c r="G203" s="58" t="str"/>
      <c r="H203" s="62" t="str"/>
      <c r="I203" s="63" t="str"/>
      <c r="J203" s="48" t="str"/>
      <c r="K203" s="58" t="str"/>
      <c r="L203" s="42" t="str"/>
      <c r="M203" s="42" t="str"/>
      <c r="N203" s="48" t="str"/>
      <c r="O203" s="58" t="str"/>
      <c r="P203" s="42" t="str"/>
      <c r="Q203" s="42" t="str"/>
      <c r="R203" s="48" t="str"/>
      <c r="S203" s="58" t="str"/>
      <c r="T203" s="42" t="str"/>
      <c r="U203" s="42" t="str"/>
      <c r="V203" s="48" t="str"/>
      <c r="W203" s="58" t="str"/>
      <c r="X203" s="42" t="n"/>
      <c r="Y203" s="42" t="n"/>
    </row>
    <row r="204">
      <c r="B204" s="2">
        <f>IF(STUDENTS!B203="","",STUDENTS!B203)</f>
        <v/>
      </c>
      <c r="C204" s="44">
        <f>IFERROR(IF(B204="","",_xlfn.XLOOKUP(B204,STUDENTS!$B$3:$B$1048576,STUDENTS!$C$3:$C$1048576)),"Enter a registered reg. no")</f>
        <v/>
      </c>
      <c r="D204" s="52">
        <f t="array" ref="D204:W204">IF(All_Students_Scores!C202:V202="","",All_Students_Scores!C202:V202)</f>
        <v/>
      </c>
      <c r="E204" s="57" t="str"/>
      <c r="F204" s="66" t="str"/>
      <c r="G204" s="67" t="str"/>
      <c r="H204" s="64" t="str"/>
      <c r="I204" s="65" t="str"/>
      <c r="J204" s="66" t="str"/>
      <c r="K204" s="67" t="str"/>
      <c r="L204" s="41" t="str"/>
      <c r="M204" s="41" t="str"/>
      <c r="N204" s="66" t="str"/>
      <c r="O204" s="67" t="str"/>
      <c r="P204" s="41" t="str"/>
      <c r="Q204" s="41" t="str"/>
      <c r="R204" s="66" t="str"/>
      <c r="S204" s="67" t="str"/>
      <c r="T204" s="41" t="str"/>
      <c r="U204" s="41" t="str"/>
      <c r="V204" s="66" t="str"/>
      <c r="W204" s="67" t="str"/>
    </row>
    <row r="205">
      <c r="B205" s="2">
        <f>IF(STUDENTS!B204="","",STUDENTS!B204)</f>
        <v/>
      </c>
      <c r="C205" s="44">
        <f>IFERROR(IF(B205="","",_xlfn.XLOOKUP(B205,STUDENTS!$B$3:$B$1048576,STUDENTS!$C$3:$C$1048576)),"Enter a registered reg. no")</f>
        <v/>
      </c>
      <c r="D205" s="52">
        <f t="array" ref="D205:W205">IF(All_Students_Scores!C203:V203="","",All_Students_Scores!C203:V203)</f>
        <v/>
      </c>
      <c r="E205" s="55" t="str"/>
      <c r="F205" s="48" t="str"/>
      <c r="G205" s="58" t="str"/>
      <c r="H205" s="62" t="str"/>
      <c r="I205" s="63" t="str"/>
      <c r="J205" s="48" t="str"/>
      <c r="K205" s="58" t="str"/>
      <c r="L205" s="42" t="str"/>
      <c r="M205" s="42" t="str"/>
      <c r="N205" s="48" t="str"/>
      <c r="O205" s="58" t="str"/>
      <c r="P205" s="42" t="str"/>
      <c r="Q205" s="42" t="str"/>
      <c r="R205" s="48" t="str"/>
      <c r="S205" s="58" t="str"/>
      <c r="T205" s="42" t="str"/>
      <c r="U205" s="42" t="str"/>
      <c r="V205" s="48" t="str"/>
      <c r="W205" s="58" t="str"/>
      <c r="X205" s="42" t="n"/>
      <c r="Y205" s="42" t="n"/>
    </row>
    <row r="206">
      <c r="B206" s="2">
        <f>IF(STUDENTS!B205="","",STUDENTS!B205)</f>
        <v/>
      </c>
      <c r="C206" s="44">
        <f>IFERROR(IF(B206="","",_xlfn.XLOOKUP(B206,STUDENTS!$B$3:$B$1048576,STUDENTS!$C$3:$C$1048576)),"Enter a registered reg. no")</f>
        <v/>
      </c>
      <c r="D206" s="52">
        <f t="array" ref="D206:W206">IF(All_Students_Scores!C204:V204="","",All_Students_Scores!C204:V204)</f>
        <v/>
      </c>
      <c r="E206" s="57" t="str"/>
      <c r="F206" s="66" t="str"/>
      <c r="G206" s="67" t="str"/>
      <c r="H206" s="64" t="str"/>
      <c r="I206" s="65" t="str"/>
      <c r="J206" s="66" t="str"/>
      <c r="K206" s="67" t="str"/>
      <c r="L206" s="41" t="str"/>
      <c r="M206" s="41" t="str"/>
      <c r="N206" s="66" t="str"/>
      <c r="O206" s="67" t="str"/>
      <c r="P206" s="41" t="str"/>
      <c r="Q206" s="41" t="str"/>
      <c r="R206" s="66" t="str"/>
      <c r="S206" s="67" t="str"/>
      <c r="T206" s="41" t="str"/>
      <c r="U206" s="41" t="str"/>
      <c r="V206" s="66" t="str"/>
      <c r="W206" s="67" t="str"/>
    </row>
    <row r="207">
      <c r="B207" s="2">
        <f>IF(STUDENTS!B206="","",STUDENTS!B206)</f>
        <v/>
      </c>
      <c r="C207" s="44">
        <f>IFERROR(IF(B207="","",_xlfn.XLOOKUP(B207,STUDENTS!$B$3:$B$1048576,STUDENTS!$C$3:$C$1048576)),"Enter a registered reg. no")</f>
        <v/>
      </c>
      <c r="D207" s="52">
        <f t="array" ref="D207:W207">IF(All_Students_Scores!C205:V205="","",All_Students_Scores!C205:V205)</f>
        <v/>
      </c>
      <c r="E207" s="55" t="str"/>
      <c r="F207" s="48" t="str"/>
      <c r="G207" s="58" t="str"/>
      <c r="H207" s="62" t="str"/>
      <c r="I207" s="63" t="str"/>
      <c r="J207" s="48" t="str"/>
      <c r="K207" s="58" t="str"/>
      <c r="L207" s="42" t="str"/>
      <c r="M207" s="42" t="str"/>
      <c r="N207" s="48" t="str"/>
      <c r="O207" s="58" t="str"/>
      <c r="P207" s="42" t="str"/>
      <c r="Q207" s="42" t="str"/>
      <c r="R207" s="48" t="str"/>
      <c r="S207" s="58" t="str"/>
      <c r="T207" s="42" t="str"/>
      <c r="U207" s="42" t="str"/>
      <c r="V207" s="48" t="str"/>
      <c r="W207" s="58" t="str"/>
      <c r="X207" s="42" t="n"/>
      <c r="Y207" s="42" t="n"/>
    </row>
    <row r="208">
      <c r="B208" s="2">
        <f>IF(STUDENTS!B207="","",STUDENTS!B207)</f>
        <v/>
      </c>
      <c r="C208" s="44">
        <f>IFERROR(IF(B208="","",_xlfn.XLOOKUP(B208,STUDENTS!$B$3:$B$1048576,STUDENTS!$C$3:$C$1048576)),"Enter a registered reg. no")</f>
        <v/>
      </c>
      <c r="D208" s="52">
        <f t="array" ref="D208:W208">IF(All_Students_Scores!C206:V206="","",All_Students_Scores!C206:V206)</f>
        <v/>
      </c>
      <c r="E208" s="57" t="str"/>
      <c r="F208" s="66" t="str"/>
      <c r="G208" s="67" t="str"/>
      <c r="H208" s="64" t="str"/>
      <c r="I208" s="65" t="str"/>
      <c r="J208" s="66" t="str"/>
      <c r="K208" s="67" t="str"/>
      <c r="L208" s="41" t="str"/>
      <c r="M208" s="41" t="str"/>
      <c r="N208" s="66" t="str"/>
      <c r="O208" s="67" t="str"/>
      <c r="P208" s="41" t="str"/>
      <c r="Q208" s="41" t="str"/>
      <c r="R208" s="66" t="str"/>
      <c r="S208" s="67" t="str"/>
      <c r="T208" s="41" t="str"/>
      <c r="U208" s="41" t="str"/>
      <c r="V208" s="66" t="str"/>
      <c r="W208" s="67" t="str"/>
    </row>
    <row r="209">
      <c r="B209" s="2">
        <f>IF(STUDENTS!B208="","",STUDENTS!B208)</f>
        <v/>
      </c>
      <c r="C209" s="44">
        <f>IFERROR(IF(B209="","",_xlfn.XLOOKUP(B209,STUDENTS!$B$3:$B$1048576,STUDENTS!$C$3:$C$1048576)),"Enter a registered reg. no")</f>
        <v/>
      </c>
      <c r="D209" s="52">
        <f t="array" ref="D209:W209">IF(All_Students_Scores!C207:V207="","",All_Students_Scores!C207:V207)</f>
        <v/>
      </c>
      <c r="E209" s="55" t="str"/>
      <c r="F209" s="48" t="str"/>
      <c r="G209" s="58" t="str"/>
      <c r="H209" s="62" t="str"/>
      <c r="I209" s="63" t="str"/>
      <c r="J209" s="48" t="str"/>
      <c r="K209" s="58" t="str"/>
      <c r="L209" s="42" t="str"/>
      <c r="M209" s="42" t="str"/>
      <c r="N209" s="48" t="str"/>
      <c r="O209" s="58" t="str"/>
      <c r="P209" s="42" t="str"/>
      <c r="Q209" s="42" t="str"/>
      <c r="R209" s="48" t="str"/>
      <c r="S209" s="58" t="str"/>
      <c r="T209" s="42" t="str"/>
      <c r="U209" s="42" t="str"/>
      <c r="V209" s="48" t="str"/>
      <c r="W209" s="58" t="str"/>
      <c r="X209" s="42" t="n"/>
      <c r="Y209" s="42" t="n"/>
    </row>
    <row r="210">
      <c r="B210" s="2">
        <f>IF(STUDENTS!B209="","",STUDENTS!B209)</f>
        <v/>
      </c>
      <c r="C210" s="44">
        <f>IFERROR(IF(B210="","",_xlfn.XLOOKUP(B210,STUDENTS!$B$3:$B$1048576,STUDENTS!$C$3:$C$1048576)),"Enter a registered reg. no")</f>
        <v/>
      </c>
      <c r="D210" s="52">
        <f t="array" ref="D210:W210">IF(All_Students_Scores!C208:V208="","",All_Students_Scores!C208:V208)</f>
        <v/>
      </c>
      <c r="E210" s="57" t="str"/>
      <c r="F210" s="66" t="str"/>
      <c r="G210" s="67" t="str"/>
      <c r="H210" s="64" t="str"/>
      <c r="I210" s="65" t="str"/>
      <c r="J210" s="66" t="str"/>
      <c r="K210" s="67" t="str"/>
      <c r="L210" s="41" t="str"/>
      <c r="M210" s="41" t="str"/>
      <c r="N210" s="66" t="str"/>
      <c r="O210" s="67" t="str"/>
      <c r="P210" s="41" t="str"/>
      <c r="Q210" s="41" t="str"/>
      <c r="R210" s="66" t="str"/>
      <c r="S210" s="67" t="str"/>
      <c r="T210" s="41" t="str"/>
      <c r="U210" s="41" t="str"/>
      <c r="V210" s="66" t="str"/>
      <c r="W210" s="67" t="str"/>
    </row>
    <row r="211">
      <c r="B211" s="2">
        <f>IF(STUDENTS!B210="","",STUDENTS!B210)</f>
        <v/>
      </c>
      <c r="C211" s="44">
        <f>IFERROR(IF(B211="","",_xlfn.XLOOKUP(B211,STUDENTS!$B$3:$B$1048576,STUDENTS!$C$3:$C$1048576)),"Enter a registered reg. no")</f>
        <v/>
      </c>
      <c r="D211" s="52">
        <f t="array" ref="D211:W211">IF(All_Students_Scores!C209:V209="","",All_Students_Scores!C209:V209)</f>
        <v/>
      </c>
      <c r="E211" s="55" t="str"/>
      <c r="F211" s="48" t="str"/>
      <c r="G211" s="58" t="str"/>
      <c r="H211" s="62" t="str"/>
      <c r="I211" s="63" t="str"/>
      <c r="J211" s="48" t="str"/>
      <c r="K211" s="58" t="str"/>
      <c r="L211" s="42" t="str"/>
      <c r="M211" s="42" t="str"/>
      <c r="N211" s="48" t="str"/>
      <c r="O211" s="58" t="str"/>
      <c r="P211" s="42" t="str"/>
      <c r="Q211" s="42" t="str"/>
      <c r="R211" s="48" t="str"/>
      <c r="S211" s="58" t="str"/>
      <c r="T211" s="42" t="str"/>
      <c r="U211" s="42" t="str"/>
      <c r="V211" s="48" t="str"/>
      <c r="W211" s="58" t="str"/>
      <c r="X211" s="42" t="n"/>
      <c r="Y211" s="42" t="n"/>
    </row>
    <row r="212">
      <c r="B212" s="2">
        <f>IF(STUDENTS!B211="","",STUDENTS!B211)</f>
        <v/>
      </c>
      <c r="C212" s="44">
        <f>IFERROR(IF(B212="","",_xlfn.XLOOKUP(B212,STUDENTS!$B$3:$B$1048576,STUDENTS!$C$3:$C$1048576)),"Enter a registered reg. no")</f>
        <v/>
      </c>
      <c r="D212" s="52">
        <f t="array" ref="D212:W212">IF(All_Students_Scores!C210:V210="","",All_Students_Scores!C210:V210)</f>
        <v/>
      </c>
      <c r="E212" s="57" t="str"/>
      <c r="F212" s="66" t="str"/>
      <c r="G212" s="67" t="str"/>
      <c r="H212" s="64" t="str"/>
      <c r="I212" s="65" t="str"/>
      <c r="J212" s="66" t="str"/>
      <c r="K212" s="67" t="str"/>
      <c r="L212" s="41" t="str"/>
      <c r="M212" s="41" t="str"/>
      <c r="N212" s="66" t="str"/>
      <c r="O212" s="67" t="str"/>
      <c r="P212" s="41" t="str"/>
      <c r="Q212" s="41" t="str"/>
      <c r="R212" s="66" t="str"/>
      <c r="S212" s="67" t="str"/>
      <c r="T212" s="41" t="str"/>
      <c r="U212" s="41" t="str"/>
      <c r="V212" s="66" t="str"/>
      <c r="W212" s="67" t="str"/>
    </row>
    <row r="213">
      <c r="B213" s="2">
        <f>IF(STUDENTS!B212="","",STUDENTS!B212)</f>
        <v/>
      </c>
      <c r="C213" s="44">
        <f>IFERROR(IF(B213="","",_xlfn.XLOOKUP(B213,STUDENTS!$B$3:$B$1048576,STUDENTS!$C$3:$C$1048576)),"Enter a registered reg. no")</f>
        <v/>
      </c>
      <c r="D213" s="52">
        <f t="array" ref="D213:W213">IF(All_Students_Scores!C211:V211="","",All_Students_Scores!C211:V211)</f>
        <v/>
      </c>
      <c r="E213" s="55" t="str"/>
      <c r="F213" s="48" t="str"/>
      <c r="G213" s="58" t="str"/>
      <c r="H213" s="62" t="str"/>
      <c r="I213" s="63" t="str"/>
      <c r="J213" s="48" t="str"/>
      <c r="K213" s="58" t="str"/>
      <c r="L213" s="42" t="str"/>
      <c r="M213" s="42" t="str"/>
      <c r="N213" s="48" t="str"/>
      <c r="O213" s="58" t="str"/>
      <c r="P213" s="42" t="str"/>
      <c r="Q213" s="42" t="str"/>
      <c r="R213" s="48" t="str"/>
      <c r="S213" s="58" t="str"/>
      <c r="T213" s="42" t="str"/>
      <c r="U213" s="42" t="str"/>
      <c r="V213" s="48" t="str"/>
      <c r="W213" s="58" t="str"/>
      <c r="X213" s="42" t="n"/>
      <c r="Y213" s="42" t="n"/>
    </row>
    <row r="214">
      <c r="B214" s="2">
        <f>IF(STUDENTS!B213="","",STUDENTS!B213)</f>
        <v/>
      </c>
      <c r="C214" s="44">
        <f>IFERROR(IF(B214="","",_xlfn.XLOOKUP(B214,STUDENTS!$B$3:$B$1048576,STUDENTS!$C$3:$C$1048576)),"Enter a registered reg. no")</f>
        <v/>
      </c>
      <c r="D214" s="52">
        <f t="array" ref="D214:W214">IF(All_Students_Scores!C212:V212="","",All_Students_Scores!C212:V212)</f>
        <v/>
      </c>
      <c r="E214" s="57" t="str"/>
      <c r="F214" s="66" t="str"/>
      <c r="G214" s="67" t="str"/>
      <c r="H214" s="64" t="str"/>
      <c r="I214" s="65" t="str"/>
      <c r="J214" s="66" t="str"/>
      <c r="K214" s="67" t="str"/>
      <c r="L214" s="41" t="str"/>
      <c r="M214" s="41" t="str"/>
      <c r="N214" s="66" t="str"/>
      <c r="O214" s="67" t="str"/>
      <c r="P214" s="41" t="str"/>
      <c r="Q214" s="41" t="str"/>
      <c r="R214" s="66" t="str"/>
      <c r="S214" s="67" t="str"/>
      <c r="T214" s="41" t="str"/>
      <c r="U214" s="41" t="str"/>
      <c r="V214" s="66" t="str"/>
      <c r="W214" s="67" t="str"/>
    </row>
    <row r="215">
      <c r="B215" s="2">
        <f>IF(STUDENTS!B214="","",STUDENTS!B214)</f>
        <v/>
      </c>
      <c r="C215" s="44">
        <f>IFERROR(IF(B215="","",_xlfn.XLOOKUP(B215,STUDENTS!$B$3:$B$1048576,STUDENTS!$C$3:$C$1048576)),"Enter a registered reg. no")</f>
        <v/>
      </c>
      <c r="D215" s="52">
        <f t="array" ref="D215:W215">IF(All_Students_Scores!C213:V213="","",All_Students_Scores!C213:V213)</f>
        <v/>
      </c>
      <c r="E215" s="55" t="str"/>
      <c r="F215" s="48" t="str"/>
      <c r="G215" s="58" t="str"/>
      <c r="H215" s="62" t="str"/>
      <c r="I215" s="63" t="str"/>
      <c r="J215" s="48" t="str"/>
      <c r="K215" s="58" t="str"/>
      <c r="L215" s="42" t="str"/>
      <c r="M215" s="42" t="str"/>
      <c r="N215" s="48" t="str"/>
      <c r="O215" s="58" t="str"/>
      <c r="P215" s="42" t="str"/>
      <c r="Q215" s="42" t="str"/>
      <c r="R215" s="48" t="str"/>
      <c r="S215" s="58" t="str"/>
      <c r="T215" s="42" t="str"/>
      <c r="U215" s="42" t="str"/>
      <c r="V215" s="48" t="str"/>
      <c r="W215" s="58" t="str"/>
      <c r="X215" s="42" t="n"/>
      <c r="Y215" s="42" t="n"/>
    </row>
    <row r="216">
      <c r="B216" s="2">
        <f>IF(STUDENTS!B215="","",STUDENTS!B215)</f>
        <v/>
      </c>
      <c r="C216" s="44">
        <f>IFERROR(IF(B216="","",_xlfn.XLOOKUP(B216,STUDENTS!$B$3:$B$1048576,STUDENTS!$C$3:$C$1048576)),"Enter a registered reg. no")</f>
        <v/>
      </c>
      <c r="D216" s="52">
        <f t="array" ref="D216:W216">IF(All_Students_Scores!C214:V214="","",All_Students_Scores!C214:V214)</f>
        <v/>
      </c>
      <c r="E216" s="57" t="str"/>
      <c r="F216" s="66" t="str"/>
      <c r="G216" s="67" t="str"/>
      <c r="H216" s="64" t="str"/>
      <c r="I216" s="65" t="str"/>
      <c r="J216" s="66" t="str"/>
      <c r="K216" s="67" t="str"/>
      <c r="L216" s="41" t="str"/>
      <c r="M216" s="41" t="str"/>
      <c r="N216" s="66" t="str"/>
      <c r="O216" s="67" t="str"/>
      <c r="P216" s="41" t="str"/>
      <c r="Q216" s="41" t="str"/>
      <c r="R216" s="66" t="str"/>
      <c r="S216" s="67" t="str"/>
      <c r="T216" s="41" t="str"/>
      <c r="U216" s="41" t="str"/>
      <c r="V216" s="66" t="str"/>
      <c r="W216" s="67" t="str"/>
    </row>
    <row r="217">
      <c r="B217" s="2">
        <f>IF(STUDENTS!B216="","",STUDENTS!B216)</f>
        <v/>
      </c>
      <c r="C217" s="44">
        <f>IFERROR(IF(B217="","",_xlfn.XLOOKUP(B217,STUDENTS!$B$3:$B$1048576,STUDENTS!$C$3:$C$1048576)),"Enter a registered reg. no")</f>
        <v/>
      </c>
      <c r="D217" s="52">
        <f t="array" ref="D217:W217">IF(All_Students_Scores!C215:V215="","",All_Students_Scores!C215:V215)</f>
        <v/>
      </c>
      <c r="E217" s="55" t="str"/>
      <c r="F217" s="48" t="str"/>
      <c r="G217" s="58" t="str"/>
      <c r="H217" s="62" t="str"/>
      <c r="I217" s="63" t="str"/>
      <c r="J217" s="48" t="str"/>
      <c r="K217" s="58" t="str"/>
      <c r="L217" s="42" t="str"/>
      <c r="M217" s="42" t="str"/>
      <c r="N217" s="48" t="str"/>
      <c r="O217" s="58" t="str"/>
      <c r="P217" s="42" t="str"/>
      <c r="Q217" s="42" t="str"/>
      <c r="R217" s="48" t="str"/>
      <c r="S217" s="58" t="str"/>
      <c r="T217" s="42" t="str"/>
      <c r="U217" s="42" t="str"/>
      <c r="V217" s="48" t="str"/>
      <c r="W217" s="58" t="str"/>
      <c r="X217" s="42" t="n"/>
      <c r="Y217" s="42" t="n"/>
    </row>
    <row r="218">
      <c r="B218" s="2">
        <f>IF(STUDENTS!B217="","",STUDENTS!B217)</f>
        <v/>
      </c>
      <c r="C218" s="44">
        <f>IFERROR(IF(B218="","",_xlfn.XLOOKUP(B218,STUDENTS!$B$3:$B$1048576,STUDENTS!$C$3:$C$1048576)),"Enter a registered reg. no")</f>
        <v/>
      </c>
      <c r="D218" s="52">
        <f t="array" ref="D218:W218">IF(All_Students_Scores!C216:V216="","",All_Students_Scores!C216:V216)</f>
        <v/>
      </c>
      <c r="E218" s="57" t="str"/>
      <c r="F218" s="66" t="str"/>
      <c r="G218" s="67" t="str"/>
      <c r="H218" s="64" t="str"/>
      <c r="I218" s="65" t="str"/>
      <c r="J218" s="66" t="str"/>
      <c r="K218" s="67" t="str"/>
      <c r="L218" s="41" t="str"/>
      <c r="M218" s="41" t="str"/>
      <c r="N218" s="66" t="str"/>
      <c r="O218" s="67" t="str"/>
      <c r="P218" s="41" t="str"/>
      <c r="Q218" s="41" t="str"/>
      <c r="R218" s="66" t="str"/>
      <c r="S218" s="67" t="str"/>
      <c r="T218" s="41" t="str"/>
      <c r="U218" s="41" t="str"/>
      <c r="V218" s="66" t="str"/>
      <c r="W218" s="67" t="str"/>
    </row>
    <row r="219">
      <c r="B219" s="2">
        <f>IF(STUDENTS!B218="","",STUDENTS!B218)</f>
        <v/>
      </c>
      <c r="C219" s="44">
        <f>IFERROR(IF(B219="","",_xlfn.XLOOKUP(B219,STUDENTS!$B$3:$B$1048576,STUDENTS!$C$3:$C$1048576)),"Enter a registered reg. no")</f>
        <v/>
      </c>
      <c r="D219" s="52">
        <f t="array" ref="D219:W219">IF(All_Students_Scores!C217:V217="","",All_Students_Scores!C217:V217)</f>
        <v/>
      </c>
      <c r="E219" s="55" t="str"/>
      <c r="F219" s="48" t="str"/>
      <c r="G219" s="58" t="str"/>
      <c r="H219" s="62" t="str"/>
      <c r="I219" s="63" t="str"/>
      <c r="J219" s="48" t="str"/>
      <c r="K219" s="58" t="str"/>
      <c r="L219" s="42" t="str"/>
      <c r="M219" s="42" t="str"/>
      <c r="N219" s="48" t="str"/>
      <c r="O219" s="58" t="str"/>
      <c r="P219" s="42" t="str"/>
      <c r="Q219" s="42" t="str"/>
      <c r="R219" s="48" t="str"/>
      <c r="S219" s="58" t="str"/>
      <c r="T219" s="42" t="str"/>
      <c r="U219" s="42" t="str"/>
      <c r="V219" s="48" t="str"/>
      <c r="W219" s="58" t="str"/>
      <c r="X219" s="42" t="n"/>
      <c r="Y219" s="42" t="n"/>
    </row>
    <row r="220">
      <c r="B220" s="2">
        <f>IF(STUDENTS!B219="","",STUDENTS!B219)</f>
        <v/>
      </c>
      <c r="C220" s="44">
        <f>IFERROR(IF(B220="","",_xlfn.XLOOKUP(B220,STUDENTS!$B$3:$B$1048576,STUDENTS!$C$3:$C$1048576)),"Enter a registered reg. no")</f>
        <v/>
      </c>
      <c r="D220" s="52">
        <f t="array" ref="D220:W220">IF(All_Students_Scores!C218:V218="","",All_Students_Scores!C218:V218)</f>
        <v/>
      </c>
      <c r="E220" s="57" t="str"/>
      <c r="F220" s="66" t="str"/>
      <c r="G220" s="67" t="str"/>
      <c r="H220" s="64" t="str"/>
      <c r="I220" s="65" t="str"/>
      <c r="J220" s="66" t="str"/>
      <c r="K220" s="67" t="str"/>
      <c r="L220" s="41" t="str"/>
      <c r="M220" s="41" t="str"/>
      <c r="N220" s="66" t="str"/>
      <c r="O220" s="67" t="str"/>
      <c r="P220" s="41" t="str"/>
      <c r="Q220" s="41" t="str"/>
      <c r="R220" s="66" t="str"/>
      <c r="S220" s="67" t="str"/>
      <c r="T220" s="41" t="str"/>
      <c r="U220" s="41" t="str"/>
      <c r="V220" s="66" t="str"/>
      <c r="W220" s="67" t="str"/>
    </row>
    <row r="221">
      <c r="B221" s="2">
        <f>IF(STUDENTS!B220="","",STUDENTS!B220)</f>
        <v/>
      </c>
      <c r="C221" s="44">
        <f>IFERROR(IF(B221="","",_xlfn.XLOOKUP(B221,STUDENTS!$B$3:$B$1048576,STUDENTS!$C$3:$C$1048576)),"Enter a registered reg. no")</f>
        <v/>
      </c>
      <c r="D221" s="52">
        <f t="array" ref="D221:W221">IF(All_Students_Scores!C219:V219="","",All_Students_Scores!C219:V219)</f>
        <v/>
      </c>
      <c r="E221" s="55" t="str"/>
      <c r="F221" s="48" t="str"/>
      <c r="G221" s="58" t="str"/>
      <c r="H221" s="62" t="str"/>
      <c r="I221" s="63" t="str"/>
      <c r="J221" s="48" t="str"/>
      <c r="K221" s="58" t="str"/>
      <c r="L221" s="42" t="str"/>
      <c r="M221" s="42" t="str"/>
      <c r="N221" s="48" t="str"/>
      <c r="O221" s="58" t="str"/>
      <c r="P221" s="42" t="str"/>
      <c r="Q221" s="42" t="str"/>
      <c r="R221" s="48" t="str"/>
      <c r="S221" s="58" t="str"/>
      <c r="T221" s="42" t="str"/>
      <c r="U221" s="42" t="str"/>
      <c r="V221" s="48" t="str"/>
      <c r="W221" s="58" t="str"/>
      <c r="X221" s="42" t="n"/>
      <c r="Y221" s="42" t="n"/>
    </row>
    <row r="222">
      <c r="B222" s="2">
        <f>IF(STUDENTS!B221="","",STUDENTS!B221)</f>
        <v/>
      </c>
      <c r="C222" s="44">
        <f>IFERROR(IF(B222="","",_xlfn.XLOOKUP(B222,STUDENTS!$B$3:$B$1048576,STUDENTS!$C$3:$C$1048576)),"Enter a registered reg. no")</f>
        <v/>
      </c>
      <c r="D222" s="52">
        <f t="array" ref="D222:W222">IF(All_Students_Scores!C220:V220="","",All_Students_Scores!C220:V220)</f>
        <v/>
      </c>
      <c r="E222" s="57" t="str"/>
      <c r="F222" s="66" t="str"/>
      <c r="G222" s="67" t="str"/>
      <c r="H222" s="64" t="str"/>
      <c r="I222" s="65" t="str"/>
      <c r="J222" s="66" t="str"/>
      <c r="K222" s="67" t="str"/>
      <c r="L222" s="41" t="str"/>
      <c r="M222" s="41" t="str"/>
      <c r="N222" s="66" t="str"/>
      <c r="O222" s="67" t="str"/>
      <c r="P222" s="41" t="str"/>
      <c r="Q222" s="41" t="str"/>
      <c r="R222" s="66" t="str"/>
      <c r="S222" s="67" t="str"/>
      <c r="T222" s="41" t="str"/>
      <c r="U222" s="41" t="str"/>
      <c r="V222" s="66" t="str"/>
      <c r="W222" s="67" t="str"/>
    </row>
    <row r="223">
      <c r="B223" s="2">
        <f>IF(STUDENTS!B222="","",STUDENTS!B222)</f>
        <v/>
      </c>
      <c r="C223" s="44">
        <f>IFERROR(IF(B223="","",_xlfn.XLOOKUP(B223,STUDENTS!$B$3:$B$1048576,STUDENTS!$C$3:$C$1048576)),"Enter a registered reg. no")</f>
        <v/>
      </c>
      <c r="D223" s="52">
        <f t="array" ref="D223:W223">IF(All_Students_Scores!C221:V221="","",All_Students_Scores!C221:V221)</f>
        <v/>
      </c>
      <c r="E223" s="55" t="str"/>
      <c r="F223" s="48" t="str"/>
      <c r="G223" s="58" t="str"/>
      <c r="H223" s="62" t="str"/>
      <c r="I223" s="63" t="str"/>
      <c r="J223" s="48" t="str"/>
      <c r="K223" s="58" t="str"/>
      <c r="L223" s="42" t="str"/>
      <c r="M223" s="42" t="str"/>
      <c r="N223" s="48" t="str"/>
      <c r="O223" s="58" t="str"/>
      <c r="P223" s="42" t="str"/>
      <c r="Q223" s="42" t="str"/>
      <c r="R223" s="48" t="str"/>
      <c r="S223" s="58" t="str"/>
      <c r="T223" s="42" t="str"/>
      <c r="U223" s="42" t="str"/>
      <c r="V223" s="48" t="str"/>
      <c r="W223" s="58" t="str"/>
      <c r="X223" s="42" t="n"/>
      <c r="Y223" s="42" t="n"/>
    </row>
    <row r="224">
      <c r="B224" s="2">
        <f>IF(STUDENTS!B223="","",STUDENTS!B223)</f>
        <v/>
      </c>
      <c r="C224" s="44">
        <f>IFERROR(IF(B224="","",_xlfn.XLOOKUP(B224,STUDENTS!$B$3:$B$1048576,STUDENTS!$C$3:$C$1048576)),"Enter a registered reg. no")</f>
        <v/>
      </c>
      <c r="D224" s="52">
        <f t="array" ref="D224:W224">IF(All_Students_Scores!C222:V222="","",All_Students_Scores!C222:V222)</f>
        <v/>
      </c>
      <c r="E224" s="57" t="str"/>
      <c r="F224" s="66" t="str"/>
      <c r="G224" s="67" t="str"/>
      <c r="H224" s="64" t="str"/>
      <c r="I224" s="65" t="str"/>
      <c r="J224" s="66" t="str"/>
      <c r="K224" s="67" t="str"/>
      <c r="L224" s="41" t="str"/>
      <c r="M224" s="41" t="str"/>
      <c r="N224" s="66" t="str"/>
      <c r="O224" s="67" t="str"/>
      <c r="P224" s="41" t="str"/>
      <c r="Q224" s="41" t="str"/>
      <c r="R224" s="66" t="str"/>
      <c r="S224" s="67" t="str"/>
      <c r="T224" s="41" t="str"/>
      <c r="U224" s="41" t="str"/>
      <c r="V224" s="66" t="str"/>
      <c r="W224" s="67" t="str"/>
    </row>
    <row r="225">
      <c r="B225" s="2">
        <f>IF(STUDENTS!B224="","",STUDENTS!B224)</f>
        <v/>
      </c>
      <c r="C225" s="44">
        <f>IFERROR(IF(B225="","",_xlfn.XLOOKUP(B225,STUDENTS!$B$3:$B$1048576,STUDENTS!$C$3:$C$1048576)),"Enter a registered reg. no")</f>
        <v/>
      </c>
      <c r="D225" s="52">
        <f t="array" ref="D225:W225">IF(All_Students_Scores!C223:V223="","",All_Students_Scores!C223:V223)</f>
        <v/>
      </c>
      <c r="E225" s="55" t="str"/>
      <c r="F225" s="48" t="str"/>
      <c r="G225" s="58" t="str"/>
      <c r="H225" s="62" t="str"/>
      <c r="I225" s="63" t="str"/>
      <c r="J225" s="48" t="str"/>
      <c r="K225" s="58" t="str"/>
      <c r="L225" s="42" t="str"/>
      <c r="M225" s="42" t="str"/>
      <c r="N225" s="48" t="str"/>
      <c r="O225" s="58" t="str"/>
      <c r="P225" s="42" t="str"/>
      <c r="Q225" s="42" t="str"/>
      <c r="R225" s="48" t="str"/>
      <c r="S225" s="58" t="str"/>
      <c r="T225" s="42" t="str"/>
      <c r="U225" s="42" t="str"/>
      <c r="V225" s="48" t="str"/>
      <c r="W225" s="58" t="str"/>
      <c r="X225" s="42" t="n"/>
      <c r="Y225" s="42" t="n"/>
    </row>
    <row r="226">
      <c r="B226" s="2">
        <f>IF(STUDENTS!B225="","",STUDENTS!B225)</f>
        <v/>
      </c>
      <c r="C226" s="44">
        <f>IFERROR(IF(B226="","",_xlfn.XLOOKUP(B226,STUDENTS!$B$3:$B$1048576,STUDENTS!$C$3:$C$1048576)),"Enter a registered reg. no")</f>
        <v/>
      </c>
      <c r="D226" s="52">
        <f t="array" ref="D226:W226">IF(All_Students_Scores!C224:V224="","",All_Students_Scores!C224:V224)</f>
        <v/>
      </c>
      <c r="E226" s="57" t="str"/>
      <c r="F226" s="66" t="str"/>
      <c r="G226" s="67" t="str"/>
      <c r="H226" s="64" t="str"/>
      <c r="I226" s="65" t="str"/>
      <c r="J226" s="66" t="str"/>
      <c r="K226" s="67" t="str"/>
      <c r="L226" s="41" t="str"/>
      <c r="M226" s="41" t="str"/>
      <c r="N226" s="66" t="str"/>
      <c r="O226" s="67" t="str"/>
      <c r="P226" s="41" t="str"/>
      <c r="Q226" s="41" t="str"/>
      <c r="R226" s="66" t="str"/>
      <c r="S226" s="67" t="str"/>
      <c r="T226" s="41" t="str"/>
      <c r="U226" s="41" t="str"/>
      <c r="V226" s="66" t="str"/>
      <c r="W226" s="67" t="str"/>
    </row>
    <row r="227">
      <c r="B227" s="2">
        <f>IF(STUDENTS!B226="","",STUDENTS!B226)</f>
        <v/>
      </c>
      <c r="C227" s="44">
        <f>IFERROR(IF(B227="","",_xlfn.XLOOKUP(B227,STUDENTS!$B$3:$B$1048576,STUDENTS!$C$3:$C$1048576)),"Enter a registered reg. no")</f>
        <v/>
      </c>
      <c r="D227" s="52">
        <f t="array" ref="D227:W227">IF(All_Students_Scores!C225:V225="","",All_Students_Scores!C225:V225)</f>
        <v/>
      </c>
      <c r="E227" s="55" t="str"/>
      <c r="F227" s="48" t="str"/>
      <c r="G227" s="58" t="str"/>
      <c r="H227" s="62" t="str"/>
      <c r="I227" s="63" t="str"/>
      <c r="J227" s="48" t="str"/>
      <c r="K227" s="58" t="str"/>
      <c r="L227" s="42" t="str"/>
      <c r="M227" s="42" t="str"/>
      <c r="N227" s="48" t="str"/>
      <c r="O227" s="58" t="str"/>
      <c r="P227" s="42" t="str"/>
      <c r="Q227" s="42" t="str"/>
      <c r="R227" s="48" t="str"/>
      <c r="S227" s="58" t="str"/>
      <c r="T227" s="42" t="str"/>
      <c r="U227" s="42" t="str"/>
      <c r="V227" s="48" t="str"/>
      <c r="W227" s="58" t="str"/>
      <c r="X227" s="42" t="n"/>
      <c r="Y227" s="42" t="n"/>
    </row>
    <row r="228">
      <c r="B228" s="2">
        <f>IF(STUDENTS!B227="","",STUDENTS!B227)</f>
        <v/>
      </c>
      <c r="C228" s="44">
        <f>IFERROR(IF(B228="","",_xlfn.XLOOKUP(B228,STUDENTS!$B$3:$B$1048576,STUDENTS!$C$3:$C$1048576)),"Enter a registered reg. no")</f>
        <v/>
      </c>
      <c r="D228" s="52">
        <f t="array" ref="D228:W228">IF(All_Students_Scores!C226:V226="","",All_Students_Scores!C226:V226)</f>
        <v/>
      </c>
      <c r="E228" s="57" t="str"/>
      <c r="F228" s="66" t="str"/>
      <c r="G228" s="67" t="str"/>
      <c r="H228" s="64" t="str"/>
      <c r="I228" s="65" t="str"/>
      <c r="J228" s="66" t="str"/>
      <c r="K228" s="67" t="str"/>
      <c r="L228" s="41" t="str"/>
      <c r="M228" s="41" t="str"/>
      <c r="N228" s="66" t="str"/>
      <c r="O228" s="67" t="str"/>
      <c r="P228" s="41" t="str"/>
      <c r="Q228" s="41" t="str"/>
      <c r="R228" s="66" t="str"/>
      <c r="S228" s="67" t="str"/>
      <c r="T228" s="41" t="str"/>
      <c r="U228" s="41" t="str"/>
      <c r="V228" s="66" t="str"/>
      <c r="W228" s="67" t="str"/>
    </row>
    <row r="229">
      <c r="B229" s="2">
        <f>IF(STUDENTS!B228="","",STUDENTS!B228)</f>
        <v/>
      </c>
      <c r="C229" s="44">
        <f>IFERROR(IF(B229="","",_xlfn.XLOOKUP(B229,STUDENTS!$B$3:$B$1048576,STUDENTS!$C$3:$C$1048576)),"Enter a registered reg. no")</f>
        <v/>
      </c>
      <c r="D229" s="52">
        <f t="array" ref="D229:W229">IF(All_Students_Scores!C227:V227="","",All_Students_Scores!C227:V227)</f>
        <v/>
      </c>
      <c r="E229" s="55" t="str"/>
      <c r="F229" s="48" t="str"/>
      <c r="G229" s="58" t="str"/>
      <c r="H229" s="62" t="str"/>
      <c r="I229" s="63" t="str"/>
      <c r="J229" s="48" t="str"/>
      <c r="K229" s="58" t="str"/>
      <c r="L229" s="42" t="str"/>
      <c r="M229" s="42" t="str"/>
      <c r="N229" s="48" t="str"/>
      <c r="O229" s="58" t="str"/>
      <c r="P229" s="42" t="str"/>
      <c r="Q229" s="42" t="str"/>
      <c r="R229" s="48" t="str"/>
      <c r="S229" s="58" t="str"/>
      <c r="T229" s="42" t="str"/>
      <c r="U229" s="42" t="str"/>
      <c r="V229" s="48" t="str"/>
      <c r="W229" s="58" t="str"/>
      <c r="X229" s="42" t="n"/>
      <c r="Y229" s="42" t="n"/>
    </row>
    <row r="230">
      <c r="B230" s="2">
        <f>IF(STUDENTS!B229="","",STUDENTS!B229)</f>
        <v/>
      </c>
      <c r="C230" s="44">
        <f>IFERROR(IF(B230="","",_xlfn.XLOOKUP(B230,STUDENTS!$B$3:$B$1048576,STUDENTS!$C$3:$C$1048576)),"Enter a registered reg. no")</f>
        <v/>
      </c>
      <c r="D230" s="52">
        <f t="array" ref="D230:W230">IF(All_Students_Scores!C228:V228="","",All_Students_Scores!C228:V228)</f>
        <v/>
      </c>
      <c r="E230" s="57" t="str"/>
      <c r="F230" s="66" t="str"/>
      <c r="G230" s="67" t="str"/>
      <c r="H230" s="64" t="str"/>
      <c r="I230" s="65" t="str"/>
      <c r="J230" s="66" t="str"/>
      <c r="K230" s="67" t="str"/>
      <c r="L230" s="41" t="str"/>
      <c r="M230" s="41" t="str"/>
      <c r="N230" s="66" t="str"/>
      <c r="O230" s="67" t="str"/>
      <c r="P230" s="41" t="str"/>
      <c r="Q230" s="41" t="str"/>
      <c r="R230" s="66" t="str"/>
      <c r="S230" s="67" t="str"/>
      <c r="T230" s="41" t="str"/>
      <c r="U230" s="41" t="str"/>
      <c r="V230" s="66" t="str"/>
      <c r="W230" s="67" t="str"/>
    </row>
    <row r="231">
      <c r="B231" s="2">
        <f>IF(STUDENTS!B230="","",STUDENTS!B230)</f>
        <v/>
      </c>
      <c r="C231" s="44">
        <f>IFERROR(IF(B231="","",_xlfn.XLOOKUP(B231,STUDENTS!$B$3:$B$1048576,STUDENTS!$C$3:$C$1048576)),"Enter a registered reg. no")</f>
        <v/>
      </c>
      <c r="D231" s="52">
        <f t="array" ref="D231:W231">IF(All_Students_Scores!C229:V229="","",All_Students_Scores!C229:V229)</f>
        <v/>
      </c>
      <c r="E231" s="55" t="str"/>
      <c r="F231" s="48" t="str"/>
      <c r="G231" s="58" t="str"/>
      <c r="H231" s="62" t="str"/>
      <c r="I231" s="63" t="str"/>
      <c r="J231" s="48" t="str"/>
      <c r="K231" s="58" t="str"/>
      <c r="L231" s="42" t="str"/>
      <c r="M231" s="42" t="str"/>
      <c r="N231" s="48" t="str"/>
      <c r="O231" s="58" t="str"/>
      <c r="P231" s="42" t="str"/>
      <c r="Q231" s="42" t="str"/>
      <c r="R231" s="48" t="str"/>
      <c r="S231" s="58" t="str"/>
      <c r="T231" s="42" t="str"/>
      <c r="U231" s="42" t="str"/>
      <c r="V231" s="48" t="str"/>
      <c r="W231" s="58" t="str"/>
      <c r="X231" s="42" t="n"/>
      <c r="Y231" s="42" t="n"/>
    </row>
    <row r="232">
      <c r="B232" s="2">
        <f>IF(STUDENTS!B231="","",STUDENTS!B231)</f>
        <v/>
      </c>
      <c r="C232" s="44">
        <f>IFERROR(IF(B232="","",_xlfn.XLOOKUP(B232,STUDENTS!$B$3:$B$1048576,STUDENTS!$C$3:$C$1048576)),"Enter a registered reg. no")</f>
        <v/>
      </c>
      <c r="D232" s="52">
        <f t="array" ref="D232:W232">IF(All_Students_Scores!C230:V230="","",All_Students_Scores!C230:V230)</f>
        <v/>
      </c>
      <c r="E232" s="57" t="str"/>
      <c r="F232" s="66" t="str"/>
      <c r="G232" s="67" t="str"/>
      <c r="H232" s="64" t="str"/>
      <c r="I232" s="65" t="str"/>
      <c r="J232" s="66" t="str"/>
      <c r="K232" s="67" t="str"/>
      <c r="L232" s="41" t="str"/>
      <c r="M232" s="41" t="str"/>
      <c r="N232" s="66" t="str"/>
      <c r="O232" s="67" t="str"/>
      <c r="P232" s="41" t="str"/>
      <c r="Q232" s="41" t="str"/>
      <c r="R232" s="66" t="str"/>
      <c r="S232" s="67" t="str"/>
      <c r="T232" s="41" t="str"/>
      <c r="U232" s="41" t="str"/>
      <c r="V232" s="66" t="str"/>
      <c r="W232" s="67" t="str"/>
    </row>
    <row r="233">
      <c r="B233" s="2">
        <f>IF(STUDENTS!B232="","",STUDENTS!B232)</f>
        <v/>
      </c>
      <c r="C233" s="44">
        <f>IFERROR(IF(B233="","",_xlfn.XLOOKUP(B233,STUDENTS!$B$3:$B$1048576,STUDENTS!$C$3:$C$1048576)),"Enter a registered reg. no")</f>
        <v/>
      </c>
      <c r="D233" s="52">
        <f t="array" ref="D233:W233">IF(All_Students_Scores!C231:V231="","",All_Students_Scores!C231:V231)</f>
        <v/>
      </c>
      <c r="E233" s="55" t="str"/>
      <c r="F233" s="48" t="str"/>
      <c r="G233" s="58" t="str"/>
      <c r="H233" s="62" t="str"/>
      <c r="I233" s="63" t="str"/>
      <c r="J233" s="48" t="str"/>
      <c r="K233" s="58" t="str"/>
      <c r="L233" s="42" t="str"/>
      <c r="M233" s="42" t="str"/>
      <c r="N233" s="48" t="str"/>
      <c r="O233" s="58" t="str"/>
      <c r="P233" s="42" t="str"/>
      <c r="Q233" s="42" t="str"/>
      <c r="R233" s="48" t="str"/>
      <c r="S233" s="58" t="str"/>
      <c r="T233" s="42" t="str"/>
      <c r="U233" s="42" t="str"/>
      <c r="V233" s="48" t="str"/>
      <c r="W233" s="58" t="str"/>
      <c r="X233" s="42" t="n"/>
      <c r="Y233" s="42" t="n"/>
    </row>
    <row r="234">
      <c r="B234" s="2">
        <f>IF(STUDENTS!B233="","",STUDENTS!B233)</f>
        <v/>
      </c>
      <c r="C234" s="44">
        <f>IFERROR(IF(B234="","",_xlfn.XLOOKUP(B234,STUDENTS!$B$3:$B$1048576,STUDENTS!$C$3:$C$1048576)),"Enter a registered reg. no")</f>
        <v/>
      </c>
      <c r="D234" s="52">
        <f t="array" ref="D234:W234">IF(All_Students_Scores!C232:V232="","",All_Students_Scores!C232:V232)</f>
        <v/>
      </c>
      <c r="E234" s="57" t="str"/>
      <c r="F234" s="66" t="str"/>
      <c r="G234" s="67" t="str"/>
      <c r="H234" s="64" t="str"/>
      <c r="I234" s="65" t="str"/>
      <c r="J234" s="66" t="str"/>
      <c r="K234" s="67" t="str"/>
      <c r="L234" s="41" t="str"/>
      <c r="M234" s="41" t="str"/>
      <c r="N234" s="66" t="str"/>
      <c r="O234" s="67" t="str"/>
      <c r="P234" s="41" t="str"/>
      <c r="Q234" s="41" t="str"/>
      <c r="R234" s="66" t="str"/>
      <c r="S234" s="67" t="str"/>
      <c r="T234" s="41" t="str"/>
      <c r="U234" s="41" t="str"/>
      <c r="V234" s="66" t="str"/>
      <c r="W234" s="67" t="str"/>
    </row>
    <row r="235">
      <c r="B235" s="2">
        <f>IF(STUDENTS!B234="","",STUDENTS!B234)</f>
        <v/>
      </c>
      <c r="C235" s="44">
        <f>IFERROR(IF(B235="","",_xlfn.XLOOKUP(B235,STUDENTS!$B$3:$B$1048576,STUDENTS!$C$3:$C$1048576)),"Enter a registered reg. no")</f>
        <v/>
      </c>
      <c r="D235" s="52">
        <f t="array" ref="D235:W235">IF(All_Students_Scores!C233:V233="","",All_Students_Scores!C233:V233)</f>
        <v/>
      </c>
      <c r="E235" s="55" t="str"/>
      <c r="F235" s="48" t="str"/>
      <c r="G235" s="58" t="str"/>
      <c r="H235" s="62" t="str"/>
      <c r="I235" s="63" t="str"/>
      <c r="J235" s="48" t="str"/>
      <c r="K235" s="58" t="str"/>
      <c r="L235" s="42" t="str"/>
      <c r="M235" s="42" t="str"/>
      <c r="N235" s="48" t="str"/>
      <c r="O235" s="58" t="str"/>
      <c r="P235" s="42" t="str"/>
      <c r="Q235" s="42" t="str"/>
      <c r="R235" s="48" t="str"/>
      <c r="S235" s="58" t="str"/>
      <c r="T235" s="42" t="str"/>
      <c r="U235" s="42" t="str"/>
      <c r="V235" s="48" t="str"/>
      <c r="W235" s="58" t="str"/>
      <c r="X235" s="42" t="n"/>
      <c r="Y235" s="42" t="n"/>
    </row>
    <row r="236">
      <c r="B236" s="2">
        <f>IF(STUDENTS!B235="","",STUDENTS!B235)</f>
        <v/>
      </c>
      <c r="C236" s="44">
        <f>IFERROR(IF(B236="","",_xlfn.XLOOKUP(B236,STUDENTS!$B$3:$B$1048576,STUDENTS!$C$3:$C$1048576)),"Enter a registered reg. no")</f>
        <v/>
      </c>
      <c r="D236" s="52">
        <f t="array" ref="D236:W236">IF(All_Students_Scores!C234:V234="","",All_Students_Scores!C234:V234)</f>
        <v/>
      </c>
      <c r="E236" s="57" t="str"/>
      <c r="F236" s="66" t="str"/>
      <c r="G236" s="67" t="str"/>
      <c r="H236" s="64" t="str"/>
      <c r="I236" s="65" t="str"/>
      <c r="J236" s="66" t="str"/>
      <c r="K236" s="67" t="str"/>
      <c r="L236" s="41" t="str"/>
      <c r="M236" s="41" t="str"/>
      <c r="N236" s="66" t="str"/>
      <c r="O236" s="67" t="str"/>
      <c r="P236" s="41" t="str"/>
      <c r="Q236" s="41" t="str"/>
      <c r="R236" s="66" t="str"/>
      <c r="S236" s="67" t="str"/>
      <c r="T236" s="41" t="str"/>
      <c r="U236" s="41" t="str"/>
      <c r="V236" s="66" t="str"/>
      <c r="W236" s="67" t="str"/>
    </row>
    <row r="237">
      <c r="B237" s="2">
        <f>IF(STUDENTS!B236="","",STUDENTS!B236)</f>
        <v/>
      </c>
      <c r="C237" s="44">
        <f>IFERROR(IF(B237="","",_xlfn.XLOOKUP(B237,STUDENTS!$B$3:$B$1048576,STUDENTS!$C$3:$C$1048576)),"Enter a registered reg. no")</f>
        <v/>
      </c>
      <c r="D237" s="52">
        <f t="array" ref="D237:W237">IF(All_Students_Scores!C235:V235="","",All_Students_Scores!C235:V235)</f>
        <v/>
      </c>
      <c r="E237" s="55" t="str"/>
      <c r="F237" s="48" t="str"/>
      <c r="G237" s="58" t="str"/>
      <c r="H237" s="62" t="str"/>
      <c r="I237" s="63" t="str"/>
      <c r="J237" s="48" t="str"/>
      <c r="K237" s="58" t="str"/>
      <c r="L237" s="42" t="str"/>
      <c r="M237" s="42" t="str"/>
      <c r="N237" s="48" t="str"/>
      <c r="O237" s="58" t="str"/>
      <c r="P237" s="42" t="str"/>
      <c r="Q237" s="42" t="str"/>
      <c r="R237" s="48" t="str"/>
      <c r="S237" s="58" t="str"/>
      <c r="T237" s="42" t="str"/>
      <c r="U237" s="42" t="str"/>
      <c r="V237" s="48" t="str"/>
      <c r="W237" s="58" t="str"/>
      <c r="X237" s="42" t="n"/>
      <c r="Y237" s="42" t="n"/>
    </row>
    <row r="238">
      <c r="B238" s="2">
        <f>IF(STUDENTS!B237="","",STUDENTS!B237)</f>
        <v/>
      </c>
      <c r="C238" s="44">
        <f>IFERROR(IF(B238="","",_xlfn.XLOOKUP(B238,STUDENTS!$B$3:$B$1048576,STUDENTS!$C$3:$C$1048576)),"Enter a registered reg. no")</f>
        <v/>
      </c>
      <c r="D238" s="52">
        <f t="array" ref="D238:W238">IF(All_Students_Scores!C236:V236="","",All_Students_Scores!C236:V236)</f>
        <v/>
      </c>
      <c r="E238" s="57" t="str"/>
      <c r="F238" s="66" t="str"/>
      <c r="G238" s="67" t="str"/>
      <c r="H238" s="64" t="str"/>
      <c r="I238" s="65" t="str"/>
      <c r="J238" s="66" t="str"/>
      <c r="K238" s="67" t="str"/>
      <c r="L238" s="41" t="str"/>
      <c r="M238" s="41" t="str"/>
      <c r="N238" s="66" t="str"/>
      <c r="O238" s="67" t="str"/>
      <c r="P238" s="41" t="str"/>
      <c r="Q238" s="41" t="str"/>
      <c r="R238" s="66" t="str"/>
      <c r="S238" s="67" t="str"/>
      <c r="T238" s="41" t="str"/>
      <c r="U238" s="41" t="str"/>
      <c r="V238" s="66" t="str"/>
      <c r="W238" s="67" t="str"/>
    </row>
    <row r="239">
      <c r="B239" s="2">
        <f>IF(STUDENTS!B238="","",STUDENTS!B238)</f>
        <v/>
      </c>
      <c r="C239" s="44">
        <f>IFERROR(IF(B239="","",_xlfn.XLOOKUP(B239,STUDENTS!$B$3:$B$1048576,STUDENTS!$C$3:$C$1048576)),"Enter a registered reg. no")</f>
        <v/>
      </c>
      <c r="D239" s="52">
        <f t="array" ref="D239:W239">IF(All_Students_Scores!C237:V237="","",All_Students_Scores!C237:V237)</f>
        <v/>
      </c>
      <c r="E239" s="55" t="str"/>
      <c r="F239" s="48" t="str"/>
      <c r="G239" s="58" t="str"/>
      <c r="H239" s="62" t="str"/>
      <c r="I239" s="63" t="str"/>
      <c r="J239" s="48" t="str"/>
      <c r="K239" s="58" t="str"/>
      <c r="L239" s="42" t="str"/>
      <c r="M239" s="42" t="str"/>
      <c r="N239" s="48" t="str"/>
      <c r="O239" s="58" t="str"/>
      <c r="P239" s="42" t="str"/>
      <c r="Q239" s="42" t="str"/>
      <c r="R239" s="48" t="str"/>
      <c r="S239" s="58" t="str"/>
      <c r="T239" s="42" t="str"/>
      <c r="U239" s="42" t="str"/>
      <c r="V239" s="48" t="str"/>
      <c r="W239" s="58" t="str"/>
      <c r="X239" s="42" t="n"/>
      <c r="Y239" s="42" t="n"/>
    </row>
    <row r="240">
      <c r="B240" s="2">
        <f>IF(STUDENTS!B239="","",STUDENTS!B239)</f>
        <v/>
      </c>
      <c r="C240" s="44">
        <f>IFERROR(IF(B240="","",_xlfn.XLOOKUP(B240,STUDENTS!$B$3:$B$1048576,STUDENTS!$C$3:$C$1048576)),"Enter a registered reg. no")</f>
        <v/>
      </c>
      <c r="D240" s="52">
        <f t="array" ref="D240:W240">IF(All_Students_Scores!C238:V238="","",All_Students_Scores!C238:V238)</f>
        <v/>
      </c>
      <c r="E240" s="57" t="str"/>
      <c r="F240" s="66" t="str"/>
      <c r="G240" s="67" t="str"/>
      <c r="H240" s="64" t="str"/>
      <c r="I240" s="65" t="str"/>
      <c r="J240" s="66" t="str"/>
      <c r="K240" s="67" t="str"/>
      <c r="L240" s="41" t="str"/>
      <c r="M240" s="41" t="str"/>
      <c r="N240" s="66" t="str"/>
      <c r="O240" s="67" t="str"/>
      <c r="P240" s="41" t="str"/>
      <c r="Q240" s="41" t="str"/>
      <c r="R240" s="66" t="str"/>
      <c r="S240" s="67" t="str"/>
      <c r="T240" s="41" t="str"/>
      <c r="U240" s="41" t="str"/>
      <c r="V240" s="66" t="str"/>
      <c r="W240" s="67" t="str"/>
    </row>
    <row r="241">
      <c r="B241" s="2">
        <f>IF(STUDENTS!B240="","",STUDENTS!B240)</f>
        <v/>
      </c>
      <c r="C241" s="44">
        <f>IFERROR(IF(B241="","",_xlfn.XLOOKUP(B241,STUDENTS!$B$3:$B$1048576,STUDENTS!$C$3:$C$1048576)),"Enter a registered reg. no")</f>
        <v/>
      </c>
      <c r="D241" s="52">
        <f t="array" ref="D241:W241">IF(All_Students_Scores!C239:V239="","",All_Students_Scores!C239:V239)</f>
        <v/>
      </c>
      <c r="E241" s="55" t="str"/>
      <c r="F241" s="48" t="str"/>
      <c r="G241" s="58" t="str"/>
      <c r="H241" s="62" t="str"/>
      <c r="I241" s="63" t="str"/>
      <c r="J241" s="48" t="str"/>
      <c r="K241" s="58" t="str"/>
      <c r="L241" s="42" t="str"/>
      <c r="M241" s="42" t="str"/>
      <c r="N241" s="48" t="str"/>
      <c r="O241" s="58" t="str"/>
      <c r="P241" s="42" t="str"/>
      <c r="Q241" s="42" t="str"/>
      <c r="R241" s="48" t="str"/>
      <c r="S241" s="58" t="str"/>
      <c r="T241" s="42" t="str"/>
      <c r="U241" s="42" t="str"/>
      <c r="V241" s="48" t="str"/>
      <c r="W241" s="58" t="str"/>
      <c r="X241" s="42" t="n"/>
      <c r="Y241" s="42" t="n"/>
    </row>
    <row r="242">
      <c r="B242" s="2">
        <f>IF(STUDENTS!B241="","",STUDENTS!B241)</f>
        <v/>
      </c>
      <c r="C242" s="44">
        <f>IFERROR(IF(B242="","",_xlfn.XLOOKUP(B242,STUDENTS!$B$3:$B$1048576,STUDENTS!$C$3:$C$1048576)),"Enter a registered reg. no")</f>
        <v/>
      </c>
      <c r="D242" s="52">
        <f t="array" ref="D242:W242">IF(All_Students_Scores!C240:V240="","",All_Students_Scores!C240:V240)</f>
        <v/>
      </c>
      <c r="E242" s="57" t="str"/>
      <c r="F242" s="66" t="str"/>
      <c r="G242" s="67" t="str"/>
      <c r="H242" s="64" t="str"/>
      <c r="I242" s="65" t="str"/>
      <c r="J242" s="66" t="str"/>
      <c r="K242" s="67" t="str"/>
      <c r="L242" s="41" t="str"/>
      <c r="M242" s="41" t="str"/>
      <c r="N242" s="66" t="str"/>
      <c r="O242" s="67" t="str"/>
      <c r="P242" s="41" t="str"/>
      <c r="Q242" s="41" t="str"/>
      <c r="R242" s="66" t="str"/>
      <c r="S242" s="67" t="str"/>
      <c r="T242" s="41" t="str"/>
      <c r="U242" s="41" t="str"/>
      <c r="V242" s="66" t="str"/>
      <c r="W242" s="67" t="str"/>
    </row>
    <row r="243">
      <c r="B243" s="2">
        <f>IF(STUDENTS!B242="","",STUDENTS!B242)</f>
        <v/>
      </c>
      <c r="C243" s="44">
        <f>IFERROR(IF(B243="","",_xlfn.XLOOKUP(B243,STUDENTS!$B$3:$B$1048576,STUDENTS!$C$3:$C$1048576)),"Enter a registered reg. no")</f>
        <v/>
      </c>
      <c r="D243" s="52">
        <f t="array" ref="D243:W243">IF(All_Students_Scores!C241:V241="","",All_Students_Scores!C241:V241)</f>
        <v/>
      </c>
      <c r="E243" s="55" t="str"/>
      <c r="F243" s="48" t="str"/>
      <c r="G243" s="58" t="str"/>
      <c r="H243" s="62" t="str"/>
      <c r="I243" s="63" t="str"/>
      <c r="J243" s="48" t="str"/>
      <c r="K243" s="58" t="str"/>
      <c r="L243" s="42" t="str"/>
      <c r="M243" s="42" t="str"/>
      <c r="N243" s="48" t="str"/>
      <c r="O243" s="58" t="str"/>
      <c r="P243" s="42" t="str"/>
      <c r="Q243" s="42" t="str"/>
      <c r="R243" s="48" t="str"/>
      <c r="S243" s="58" t="str"/>
      <c r="T243" s="42" t="str"/>
      <c r="U243" s="42" t="str"/>
      <c r="V243" s="48" t="str"/>
      <c r="W243" s="58" t="str"/>
      <c r="X243" s="42" t="n"/>
      <c r="Y243" s="42" t="n"/>
    </row>
    <row r="244">
      <c r="B244" s="2">
        <f>IF(STUDENTS!B243="","",STUDENTS!B243)</f>
        <v/>
      </c>
      <c r="C244" s="44">
        <f>IFERROR(IF(B244="","",_xlfn.XLOOKUP(B244,STUDENTS!$B$3:$B$1048576,STUDENTS!$C$3:$C$1048576)),"Enter a registered reg. no")</f>
        <v/>
      </c>
      <c r="D244" s="52">
        <f t="array" ref="D244:W244">IF(All_Students_Scores!C242:V242="","",All_Students_Scores!C242:V242)</f>
        <v/>
      </c>
      <c r="E244" s="57" t="str"/>
      <c r="F244" s="66" t="str"/>
      <c r="G244" s="67" t="str"/>
      <c r="H244" s="64" t="str"/>
      <c r="I244" s="65" t="str"/>
      <c r="J244" s="66" t="str"/>
      <c r="K244" s="67" t="str"/>
      <c r="L244" s="41" t="str"/>
      <c r="M244" s="41" t="str"/>
      <c r="N244" s="66" t="str"/>
      <c r="O244" s="67" t="str"/>
      <c r="P244" s="41" t="str"/>
      <c r="Q244" s="41" t="str"/>
      <c r="R244" s="66" t="str"/>
      <c r="S244" s="67" t="str"/>
      <c r="T244" s="41" t="str"/>
      <c r="U244" s="41" t="str"/>
      <c r="V244" s="66" t="str"/>
      <c r="W244" s="67" t="str"/>
    </row>
    <row r="245">
      <c r="B245" s="2">
        <f>IF(STUDENTS!B244="","",STUDENTS!B244)</f>
        <v/>
      </c>
      <c r="C245" s="44">
        <f>IFERROR(IF(B245="","",_xlfn.XLOOKUP(B245,STUDENTS!$B$3:$B$1048576,STUDENTS!$C$3:$C$1048576)),"Enter a registered reg. no")</f>
        <v/>
      </c>
      <c r="D245" s="52">
        <f t="array" ref="D245:W245">IF(All_Students_Scores!C243:V243="","",All_Students_Scores!C243:V243)</f>
        <v/>
      </c>
      <c r="E245" s="55" t="str"/>
      <c r="F245" s="48" t="str"/>
      <c r="G245" s="58" t="str"/>
      <c r="H245" s="62" t="str"/>
      <c r="I245" s="63" t="str"/>
      <c r="J245" s="48" t="str"/>
      <c r="K245" s="58" t="str"/>
      <c r="L245" s="42" t="str"/>
      <c r="M245" s="42" t="str"/>
      <c r="N245" s="48" t="str"/>
      <c r="O245" s="58" t="str"/>
      <c r="P245" s="42" t="str"/>
      <c r="Q245" s="42" t="str"/>
      <c r="R245" s="48" t="str"/>
      <c r="S245" s="58" t="str"/>
      <c r="T245" s="42" t="str"/>
      <c r="U245" s="42" t="str"/>
      <c r="V245" s="48" t="str"/>
      <c r="W245" s="58" t="str"/>
      <c r="X245" s="42" t="n"/>
      <c r="Y245" s="42" t="n"/>
    </row>
    <row r="246">
      <c r="B246" s="2">
        <f>IF(STUDENTS!B245="","",STUDENTS!B245)</f>
        <v/>
      </c>
      <c r="C246" s="44">
        <f>IFERROR(IF(B246="","",_xlfn.XLOOKUP(B246,STUDENTS!$B$3:$B$1048576,STUDENTS!$C$3:$C$1048576)),"Enter a registered reg. no")</f>
        <v/>
      </c>
      <c r="D246" s="52">
        <f t="array" ref="D246:W246">IF(All_Students_Scores!C244:V244="","",All_Students_Scores!C244:V244)</f>
        <v/>
      </c>
      <c r="E246" s="57" t="str"/>
      <c r="F246" s="66" t="str"/>
      <c r="G246" s="67" t="str"/>
      <c r="H246" s="64" t="str"/>
      <c r="I246" s="65" t="str"/>
      <c r="J246" s="66" t="str"/>
      <c r="K246" s="67" t="str"/>
      <c r="L246" s="41" t="str"/>
      <c r="M246" s="41" t="str"/>
      <c r="N246" s="66" t="str"/>
      <c r="O246" s="67" t="str"/>
      <c r="P246" s="41" t="str"/>
      <c r="Q246" s="41" t="str"/>
      <c r="R246" s="66" t="str"/>
      <c r="S246" s="67" t="str"/>
      <c r="T246" s="41" t="str"/>
      <c r="U246" s="41" t="str"/>
      <c r="V246" s="66" t="str"/>
      <c r="W246" s="67" t="str"/>
    </row>
    <row r="247">
      <c r="B247" s="2">
        <f>IF(STUDENTS!B246="","",STUDENTS!B246)</f>
        <v/>
      </c>
      <c r="C247" s="44">
        <f>IFERROR(IF(B247="","",_xlfn.XLOOKUP(B247,STUDENTS!$B$3:$B$1048576,STUDENTS!$C$3:$C$1048576)),"Enter a registered reg. no")</f>
        <v/>
      </c>
      <c r="D247" s="52">
        <f t="array" ref="D247:W247">IF(All_Students_Scores!C245:V245="","",All_Students_Scores!C245:V245)</f>
        <v/>
      </c>
      <c r="E247" s="55" t="str"/>
      <c r="F247" s="48" t="str"/>
      <c r="G247" s="58" t="str"/>
      <c r="H247" s="62" t="str"/>
      <c r="I247" s="63" t="str"/>
      <c r="J247" s="48" t="str"/>
      <c r="K247" s="58" t="str"/>
      <c r="L247" s="42" t="str"/>
      <c r="M247" s="42" t="str"/>
      <c r="N247" s="48" t="str"/>
      <c r="O247" s="58" t="str"/>
      <c r="P247" s="42" t="str"/>
      <c r="Q247" s="42" t="str"/>
      <c r="R247" s="48" t="str"/>
      <c r="S247" s="58" t="str"/>
      <c r="T247" s="42" t="str"/>
      <c r="U247" s="42" t="str"/>
      <c r="V247" s="48" t="str"/>
      <c r="W247" s="58" t="str"/>
      <c r="X247" s="42" t="n"/>
      <c r="Y247" s="42" t="n"/>
    </row>
    <row r="248">
      <c r="B248" s="2">
        <f>IF(STUDENTS!B247="","",STUDENTS!B247)</f>
        <v/>
      </c>
      <c r="C248" s="44">
        <f>IFERROR(IF(B248="","",_xlfn.XLOOKUP(B248,STUDENTS!$B$3:$B$1048576,STUDENTS!$C$3:$C$1048576)),"Enter a registered reg. no")</f>
        <v/>
      </c>
      <c r="D248" s="52">
        <f t="array" ref="D248:W248">IF(All_Students_Scores!C246:V246="","",All_Students_Scores!C246:V246)</f>
        <v/>
      </c>
      <c r="E248" s="57" t="str"/>
      <c r="F248" s="66" t="str"/>
      <c r="G248" s="67" t="str"/>
      <c r="H248" s="64" t="str"/>
      <c r="I248" s="65" t="str"/>
      <c r="J248" s="66" t="str"/>
      <c r="K248" s="67" t="str"/>
      <c r="L248" s="41" t="str"/>
      <c r="M248" s="41" t="str"/>
      <c r="N248" s="66" t="str"/>
      <c r="O248" s="67" t="str"/>
      <c r="P248" s="41" t="str"/>
      <c r="Q248" s="41" t="str"/>
      <c r="R248" s="66" t="str"/>
      <c r="S248" s="67" t="str"/>
      <c r="T248" s="41" t="str"/>
      <c r="U248" s="41" t="str"/>
      <c r="V248" s="66" t="str"/>
      <c r="W248" s="67" t="str"/>
    </row>
    <row r="249">
      <c r="B249" s="2">
        <f>IF(STUDENTS!B248="","",STUDENTS!B248)</f>
        <v/>
      </c>
      <c r="C249" s="44">
        <f>IFERROR(IF(B249="","",_xlfn.XLOOKUP(B249,STUDENTS!$B$3:$B$1048576,STUDENTS!$C$3:$C$1048576)),"Enter a registered reg. no")</f>
        <v/>
      </c>
      <c r="D249" s="52">
        <f t="array" ref="D249:W249">IF(All_Students_Scores!C247:V247="","",All_Students_Scores!C247:V247)</f>
        <v/>
      </c>
      <c r="E249" s="55" t="str"/>
      <c r="F249" s="48" t="str"/>
      <c r="G249" s="58" t="str"/>
      <c r="H249" s="62" t="str"/>
      <c r="I249" s="63" t="str"/>
      <c r="J249" s="48" t="str"/>
      <c r="K249" s="58" t="str"/>
      <c r="L249" s="42" t="str"/>
      <c r="M249" s="42" t="str"/>
      <c r="N249" s="48" t="str"/>
      <c r="O249" s="58" t="str"/>
      <c r="P249" s="42" t="str"/>
      <c r="Q249" s="42" t="str"/>
      <c r="R249" s="48" t="str"/>
      <c r="S249" s="58" t="str"/>
      <c r="T249" s="42" t="str"/>
      <c r="U249" s="42" t="str"/>
      <c r="V249" s="48" t="str"/>
      <c r="W249" s="58" t="str"/>
      <c r="X249" s="42" t="n"/>
      <c r="Y249" s="42" t="n"/>
    </row>
    <row r="250">
      <c r="B250" s="2">
        <f>IF(STUDENTS!B249="","",STUDENTS!B249)</f>
        <v/>
      </c>
      <c r="C250" s="44">
        <f>IFERROR(IF(B250="","",_xlfn.XLOOKUP(B250,STUDENTS!$B$3:$B$1048576,STUDENTS!$C$3:$C$1048576)),"Enter a registered reg. no")</f>
        <v/>
      </c>
      <c r="D250" s="52">
        <f t="array" ref="D250:W250">IF(All_Students_Scores!C248:V248="","",All_Students_Scores!C248:V248)</f>
        <v/>
      </c>
      <c r="E250" s="57" t="str"/>
      <c r="F250" s="66" t="str"/>
      <c r="G250" s="67" t="str"/>
      <c r="H250" s="64" t="str"/>
      <c r="I250" s="65" t="str"/>
      <c r="J250" s="66" t="str"/>
      <c r="K250" s="67" t="str"/>
      <c r="L250" s="41" t="str"/>
      <c r="M250" s="41" t="str"/>
      <c r="N250" s="66" t="str"/>
      <c r="O250" s="67" t="str"/>
      <c r="P250" s="41" t="str"/>
      <c r="Q250" s="41" t="str"/>
      <c r="R250" s="66" t="str"/>
      <c r="S250" s="67" t="str"/>
      <c r="T250" s="41" t="str"/>
      <c r="U250" s="41" t="str"/>
      <c r="V250" s="66" t="str"/>
      <c r="W250" s="67" t="str"/>
    </row>
    <row r="251">
      <c r="B251" s="2">
        <f>IF(STUDENTS!B250="","",STUDENTS!B250)</f>
        <v/>
      </c>
      <c r="C251" s="44">
        <f>IFERROR(IF(B251="","",_xlfn.XLOOKUP(B251,STUDENTS!$B$3:$B$1048576,STUDENTS!$C$3:$C$1048576)),"Enter a registered reg. no")</f>
        <v/>
      </c>
      <c r="D251" s="52">
        <f t="array" ref="D251:W251">IF(All_Students_Scores!C249:V249="","",All_Students_Scores!C249:V249)</f>
        <v/>
      </c>
      <c r="E251" s="55" t="str"/>
      <c r="F251" s="48" t="str"/>
      <c r="G251" s="58" t="str"/>
      <c r="H251" s="62" t="str"/>
      <c r="I251" s="63" t="str"/>
      <c r="J251" s="48" t="str"/>
      <c r="K251" s="58" t="str"/>
      <c r="L251" s="42" t="str"/>
      <c r="M251" s="42" t="str"/>
      <c r="N251" s="48" t="str"/>
      <c r="O251" s="58" t="str"/>
      <c r="P251" s="42" t="str"/>
      <c r="Q251" s="42" t="str"/>
      <c r="R251" s="48" t="str"/>
      <c r="S251" s="58" t="str"/>
      <c r="T251" s="42" t="str"/>
      <c r="U251" s="42" t="str"/>
      <c r="V251" s="48" t="str"/>
      <c r="W251" s="58" t="str"/>
      <c r="X251" s="42" t="n"/>
      <c r="Y251" s="42" t="n"/>
    </row>
    <row r="252">
      <c r="B252" s="2">
        <f>IF(STUDENTS!B251="","",STUDENTS!B251)</f>
        <v/>
      </c>
      <c r="C252" s="44">
        <f>IFERROR(IF(B252="","",_xlfn.XLOOKUP(B252,STUDENTS!$B$3:$B$1048576,STUDENTS!$C$3:$C$1048576)),"Enter a registered reg. no")</f>
        <v/>
      </c>
      <c r="D252" s="52">
        <f t="array" ref="D252:W252">IF(All_Students_Scores!C250:V250="","",All_Students_Scores!C250:V250)</f>
        <v/>
      </c>
      <c r="E252" s="57" t="str"/>
      <c r="F252" s="66" t="str"/>
      <c r="G252" s="67" t="str"/>
      <c r="H252" s="64" t="str"/>
      <c r="I252" s="65" t="str"/>
      <c r="J252" s="66" t="str"/>
      <c r="K252" s="67" t="str"/>
      <c r="L252" s="41" t="str"/>
      <c r="M252" s="41" t="str"/>
      <c r="N252" s="66" t="str"/>
      <c r="O252" s="67" t="str"/>
      <c r="P252" s="41" t="str"/>
      <c r="Q252" s="41" t="str"/>
      <c r="R252" s="66" t="str"/>
      <c r="S252" s="67" t="str"/>
      <c r="T252" s="41" t="str"/>
      <c r="U252" s="41" t="str"/>
      <c r="V252" s="66" t="str"/>
      <c r="W252" s="67" t="str"/>
    </row>
    <row r="253">
      <c r="B253" s="2">
        <f>IF(STUDENTS!B252="","",STUDENTS!B252)</f>
        <v/>
      </c>
      <c r="C253" s="44">
        <f>IFERROR(IF(B253="","",_xlfn.XLOOKUP(B253,STUDENTS!$B$3:$B$1048576,STUDENTS!$C$3:$C$1048576)),"Enter a registered reg. no")</f>
        <v/>
      </c>
      <c r="D253" s="52">
        <f t="array" ref="D253:W253">IF(All_Students_Scores!C251:V251="","",All_Students_Scores!C251:V251)</f>
        <v/>
      </c>
      <c r="E253" s="55" t="str"/>
      <c r="F253" s="48" t="str"/>
      <c r="G253" s="58" t="str"/>
      <c r="H253" s="62" t="str"/>
      <c r="I253" s="63" t="str"/>
      <c r="J253" s="48" t="str"/>
      <c r="K253" s="58" t="str"/>
      <c r="L253" s="42" t="str"/>
      <c r="M253" s="42" t="str"/>
      <c r="N253" s="48" t="str"/>
      <c r="O253" s="58" t="str"/>
      <c r="P253" s="42" t="str"/>
      <c r="Q253" s="42" t="str"/>
      <c r="R253" s="48" t="str"/>
      <c r="S253" s="58" t="str"/>
      <c r="T253" s="42" t="str"/>
      <c r="U253" s="42" t="str"/>
      <c r="V253" s="48" t="str"/>
      <c r="W253" s="58" t="str"/>
      <c r="X253" s="42" t="n"/>
      <c r="Y253" s="42" t="n"/>
    </row>
    <row r="254">
      <c r="B254" s="2">
        <f>IF(STUDENTS!B253="","",STUDENTS!B253)</f>
        <v/>
      </c>
      <c r="C254" s="44">
        <f>IFERROR(IF(B254="","",_xlfn.XLOOKUP(B254,STUDENTS!$B$3:$B$1048576,STUDENTS!$C$3:$C$1048576)),"Enter a registered reg. no")</f>
        <v/>
      </c>
      <c r="D254" s="52">
        <f t="array" ref="D254:W254">IF(All_Students_Scores!C252:V252="","",All_Students_Scores!C252:V252)</f>
        <v/>
      </c>
      <c r="E254" s="57" t="str"/>
      <c r="F254" s="66" t="str"/>
      <c r="G254" s="67" t="str"/>
      <c r="H254" s="64" t="str"/>
      <c r="I254" s="65" t="str"/>
      <c r="J254" s="66" t="str"/>
      <c r="K254" s="67" t="str"/>
      <c r="L254" s="41" t="str"/>
      <c r="M254" s="41" t="str"/>
      <c r="N254" s="66" t="str"/>
      <c r="O254" s="67" t="str"/>
      <c r="P254" s="41" t="str"/>
      <c r="Q254" s="41" t="str"/>
      <c r="R254" s="66" t="str"/>
      <c r="S254" s="67" t="str"/>
      <c r="T254" s="41" t="str"/>
      <c r="U254" s="41" t="str"/>
      <c r="V254" s="66" t="str"/>
      <c r="W254" s="67" t="str"/>
    </row>
    <row r="255">
      <c r="B255" s="2">
        <f>IF(STUDENTS!B254="","",STUDENTS!B254)</f>
        <v/>
      </c>
      <c r="C255" s="44">
        <f>IFERROR(IF(B255="","",_xlfn.XLOOKUP(B255,STUDENTS!$B$3:$B$1048576,STUDENTS!$C$3:$C$1048576)),"Enter a registered reg. no")</f>
        <v/>
      </c>
      <c r="D255" s="52">
        <f t="array" ref="D255:W255">IF(All_Students_Scores!C253:V253="","",All_Students_Scores!C253:V253)</f>
        <v/>
      </c>
      <c r="E255" s="55" t="str"/>
      <c r="F255" s="48" t="str"/>
      <c r="G255" s="58" t="str"/>
      <c r="H255" s="62" t="str"/>
      <c r="I255" s="63" t="str"/>
      <c r="J255" s="48" t="str"/>
      <c r="K255" s="58" t="str"/>
      <c r="L255" s="42" t="str"/>
      <c r="M255" s="42" t="str"/>
      <c r="N255" s="48" t="str"/>
      <c r="O255" s="58" t="str"/>
      <c r="P255" s="42" t="str"/>
      <c r="Q255" s="42" t="str"/>
      <c r="R255" s="48" t="str"/>
      <c r="S255" s="58" t="str"/>
      <c r="T255" s="42" t="str"/>
      <c r="U255" s="42" t="str"/>
      <c r="V255" s="48" t="str"/>
      <c r="W255" s="58" t="str"/>
      <c r="X255" s="42" t="n"/>
      <c r="Y255" s="42" t="n"/>
    </row>
    <row r="256">
      <c r="B256" s="2">
        <f>IF(STUDENTS!B255="","",STUDENTS!B255)</f>
        <v/>
      </c>
      <c r="C256" s="44">
        <f>IFERROR(IF(B256="","",_xlfn.XLOOKUP(B256,STUDENTS!$B$3:$B$1048576,STUDENTS!$C$3:$C$1048576)),"Enter a registered reg. no")</f>
        <v/>
      </c>
      <c r="D256" s="52">
        <f t="array" ref="D256:W256">IF(All_Students_Scores!C254:V254="","",All_Students_Scores!C254:V254)</f>
        <v/>
      </c>
      <c r="E256" s="57" t="str"/>
      <c r="F256" s="66" t="str"/>
      <c r="G256" s="67" t="str"/>
      <c r="H256" s="64" t="str"/>
      <c r="I256" s="65" t="str"/>
      <c r="J256" s="66" t="str"/>
      <c r="K256" s="67" t="str"/>
      <c r="L256" s="41" t="str"/>
      <c r="M256" s="41" t="str"/>
      <c r="N256" s="66" t="str"/>
      <c r="O256" s="67" t="str"/>
      <c r="P256" s="41" t="str"/>
      <c r="Q256" s="41" t="str"/>
      <c r="R256" s="66" t="str"/>
      <c r="S256" s="67" t="str"/>
      <c r="T256" s="41" t="str"/>
      <c r="U256" s="41" t="str"/>
      <c r="V256" s="66" t="str"/>
      <c r="W256" s="67" t="str"/>
    </row>
    <row r="257">
      <c r="B257" s="2">
        <f>IF(STUDENTS!B256="","",STUDENTS!B256)</f>
        <v/>
      </c>
      <c r="C257" s="44">
        <f>IFERROR(IF(B257="","",_xlfn.XLOOKUP(B257,STUDENTS!$B$3:$B$1048576,STUDENTS!$C$3:$C$1048576)),"Enter a registered reg. no")</f>
        <v/>
      </c>
      <c r="D257" s="52">
        <f t="array" ref="D257:W257">IF(All_Students_Scores!C255:V255="","",All_Students_Scores!C255:V255)</f>
        <v/>
      </c>
      <c r="E257" s="55" t="str"/>
      <c r="F257" s="48" t="str"/>
      <c r="G257" s="58" t="str"/>
      <c r="H257" s="62" t="str"/>
      <c r="I257" s="63" t="str"/>
      <c r="J257" s="48" t="str"/>
      <c r="K257" s="58" t="str"/>
      <c r="L257" s="42" t="str"/>
      <c r="M257" s="42" t="str"/>
      <c r="N257" s="48" t="str"/>
      <c r="O257" s="58" t="str"/>
      <c r="P257" s="42" t="str"/>
      <c r="Q257" s="42" t="str"/>
      <c r="R257" s="48" t="str"/>
      <c r="S257" s="58" t="str"/>
      <c r="T257" s="42" t="str"/>
      <c r="U257" s="42" t="str"/>
      <c r="V257" s="48" t="str"/>
      <c r="W257" s="58" t="str"/>
      <c r="X257" s="42" t="n"/>
      <c r="Y257" s="42" t="n"/>
    </row>
    <row r="258">
      <c r="B258" s="2">
        <f>IF(STUDENTS!B257="","",STUDENTS!B257)</f>
        <v/>
      </c>
      <c r="C258" s="44">
        <f>IFERROR(IF(B258="","",_xlfn.XLOOKUP(B258,STUDENTS!$B$3:$B$1048576,STUDENTS!$C$3:$C$1048576)),"Enter a registered reg. no")</f>
        <v/>
      </c>
      <c r="D258" s="52">
        <f t="array" ref="D258:W258">IF(All_Students_Scores!C256:V256="","",All_Students_Scores!C256:V256)</f>
        <v/>
      </c>
      <c r="E258" s="57" t="str"/>
      <c r="F258" s="66" t="str"/>
      <c r="G258" s="67" t="str"/>
      <c r="H258" s="64" t="str"/>
      <c r="I258" s="65" t="str"/>
      <c r="J258" s="66" t="str"/>
      <c r="K258" s="67" t="str"/>
      <c r="L258" s="41" t="str"/>
      <c r="M258" s="41" t="str"/>
      <c r="N258" s="66" t="str"/>
      <c r="O258" s="67" t="str"/>
      <c r="P258" s="41" t="str"/>
      <c r="Q258" s="41" t="str"/>
      <c r="R258" s="66" t="str"/>
      <c r="S258" s="67" t="str"/>
      <c r="T258" s="41" t="str"/>
      <c r="U258" s="41" t="str"/>
      <c r="V258" s="66" t="str"/>
      <c r="W258" s="67" t="str"/>
    </row>
    <row r="259">
      <c r="B259" s="2">
        <f>IF(STUDENTS!B258="","",STUDENTS!B258)</f>
        <v/>
      </c>
      <c r="C259" s="44">
        <f>IFERROR(IF(B259="","",_xlfn.XLOOKUP(B259,STUDENTS!$B$3:$B$1048576,STUDENTS!$C$3:$C$1048576)),"Enter a registered reg. no")</f>
        <v/>
      </c>
      <c r="D259" s="52">
        <f t="array" ref="D259:W259">IF(All_Students_Scores!C257:V257="","",All_Students_Scores!C257:V257)</f>
        <v/>
      </c>
      <c r="E259" s="55" t="str"/>
      <c r="F259" s="48" t="str"/>
      <c r="G259" s="58" t="str"/>
      <c r="H259" s="62" t="str"/>
      <c r="I259" s="63" t="str"/>
      <c r="J259" s="48" t="str"/>
      <c r="K259" s="58" t="str"/>
      <c r="L259" s="42" t="str"/>
      <c r="M259" s="42" t="str"/>
      <c r="N259" s="48" t="str"/>
      <c r="O259" s="58" t="str"/>
      <c r="P259" s="42" t="str"/>
      <c r="Q259" s="42" t="str"/>
      <c r="R259" s="48" t="str"/>
      <c r="S259" s="58" t="str"/>
      <c r="T259" s="42" t="str"/>
      <c r="U259" s="42" t="str"/>
      <c r="V259" s="48" t="str"/>
      <c r="W259" s="58" t="str"/>
      <c r="X259" s="42" t="n"/>
      <c r="Y259" s="42" t="n"/>
    </row>
    <row r="260">
      <c r="B260" s="2">
        <f>IF(STUDENTS!B259="","",STUDENTS!B259)</f>
        <v/>
      </c>
      <c r="C260" s="44">
        <f>IFERROR(IF(B260="","",_xlfn.XLOOKUP(B260,STUDENTS!$B$3:$B$1048576,STUDENTS!$C$3:$C$1048576)),"Enter a registered reg. no")</f>
        <v/>
      </c>
      <c r="D260" s="52">
        <f t="array" ref="D260:W260">IF(All_Students_Scores!C258:V258="","",All_Students_Scores!C258:V258)</f>
        <v/>
      </c>
      <c r="E260" s="57" t="str"/>
      <c r="F260" s="66" t="str"/>
      <c r="G260" s="67" t="str"/>
      <c r="H260" s="64" t="str"/>
      <c r="I260" s="65" t="str"/>
      <c r="J260" s="66" t="str"/>
      <c r="K260" s="67" t="str"/>
      <c r="L260" s="41" t="str"/>
      <c r="M260" s="41" t="str"/>
      <c r="N260" s="66" t="str"/>
      <c r="O260" s="67" t="str"/>
      <c r="P260" s="41" t="str"/>
      <c r="Q260" s="41" t="str"/>
      <c r="R260" s="66" t="str"/>
      <c r="S260" s="67" t="str"/>
      <c r="T260" s="41" t="str"/>
      <c r="U260" s="41" t="str"/>
      <c r="V260" s="66" t="str"/>
      <c r="W260" s="67" t="str"/>
    </row>
    <row r="261">
      <c r="B261" s="2">
        <f>IF(STUDENTS!B260="","",STUDENTS!B260)</f>
        <v/>
      </c>
      <c r="C261" s="44">
        <f>IFERROR(IF(B261="","",_xlfn.XLOOKUP(B261,STUDENTS!$B$3:$B$1048576,STUDENTS!$C$3:$C$1048576)),"Enter a registered reg. no")</f>
        <v/>
      </c>
      <c r="D261" s="52">
        <f t="array" ref="D261:W261">IF(All_Students_Scores!C259:V259="","",All_Students_Scores!C259:V259)</f>
        <v/>
      </c>
      <c r="E261" s="55" t="str"/>
      <c r="F261" s="48" t="str"/>
      <c r="G261" s="58" t="str"/>
      <c r="H261" s="62" t="str"/>
      <c r="I261" s="63" t="str"/>
      <c r="J261" s="48" t="str"/>
      <c r="K261" s="58" t="str"/>
      <c r="L261" s="42" t="str"/>
      <c r="M261" s="42" t="str"/>
      <c r="N261" s="48" t="str"/>
      <c r="O261" s="58" t="str"/>
      <c r="P261" s="42" t="str"/>
      <c r="Q261" s="42" t="str"/>
      <c r="R261" s="48" t="str"/>
      <c r="S261" s="58" t="str"/>
      <c r="T261" s="42" t="str"/>
      <c r="U261" s="42" t="str"/>
      <c r="V261" s="48" t="str"/>
      <c r="W261" s="58" t="str"/>
      <c r="X261" s="42" t="n"/>
      <c r="Y261" s="42" t="n"/>
    </row>
    <row r="262">
      <c r="B262" s="2">
        <f>IF(STUDENTS!B261="","",STUDENTS!B261)</f>
        <v/>
      </c>
      <c r="C262" s="44">
        <f>IFERROR(IF(B262="","",_xlfn.XLOOKUP(B262,STUDENTS!$B$3:$B$1048576,STUDENTS!$C$3:$C$1048576)),"Enter a registered reg. no")</f>
        <v/>
      </c>
      <c r="D262" s="52">
        <f t="array" ref="D262:W262">IF(All_Students_Scores!C260:V260="","",All_Students_Scores!C260:V260)</f>
        <v/>
      </c>
      <c r="E262" s="57" t="str"/>
      <c r="F262" s="66" t="str"/>
      <c r="G262" s="67" t="str"/>
      <c r="H262" s="64" t="str"/>
      <c r="I262" s="65" t="str"/>
      <c r="J262" s="66" t="str"/>
      <c r="K262" s="67" t="str"/>
      <c r="L262" s="41" t="str"/>
      <c r="M262" s="41" t="str"/>
      <c r="N262" s="66" t="str"/>
      <c r="O262" s="67" t="str"/>
      <c r="P262" s="41" t="str"/>
      <c r="Q262" s="41" t="str"/>
      <c r="R262" s="66" t="str"/>
      <c r="S262" s="67" t="str"/>
      <c r="T262" s="41" t="str"/>
      <c r="U262" s="41" t="str"/>
      <c r="V262" s="66" t="str"/>
      <c r="W262" s="67" t="str"/>
    </row>
    <row r="263">
      <c r="B263" s="2">
        <f>IF(STUDENTS!B262="","",STUDENTS!B262)</f>
        <v/>
      </c>
      <c r="C263" s="44">
        <f>IFERROR(IF(B263="","",_xlfn.XLOOKUP(B263,STUDENTS!$B$3:$B$1048576,STUDENTS!$C$3:$C$1048576)),"Enter a registered reg. no")</f>
        <v/>
      </c>
      <c r="D263" s="52">
        <f t="array" ref="D263:W263">IF(All_Students_Scores!C261:V261="","",All_Students_Scores!C261:V261)</f>
        <v/>
      </c>
      <c r="E263" s="55" t="str"/>
      <c r="F263" s="48" t="str"/>
      <c r="G263" s="58" t="str"/>
      <c r="H263" s="62" t="str"/>
      <c r="I263" s="63" t="str"/>
      <c r="J263" s="48" t="str"/>
      <c r="K263" s="58" t="str"/>
      <c r="L263" s="42" t="str"/>
      <c r="M263" s="42" t="str"/>
      <c r="N263" s="48" t="str"/>
      <c r="O263" s="58" t="str"/>
      <c r="P263" s="42" t="str"/>
      <c r="Q263" s="42" t="str"/>
      <c r="R263" s="48" t="str"/>
      <c r="S263" s="58" t="str"/>
      <c r="T263" s="42" t="str"/>
      <c r="U263" s="42" t="str"/>
      <c r="V263" s="48" t="str"/>
      <c r="W263" s="58" t="str"/>
      <c r="X263" s="42" t="n"/>
      <c r="Y263" s="42" t="n"/>
    </row>
    <row r="264">
      <c r="B264" s="2">
        <f>IF(STUDENTS!B263="","",STUDENTS!B263)</f>
        <v/>
      </c>
      <c r="C264" s="44">
        <f>IFERROR(IF(B264="","",_xlfn.XLOOKUP(B264,STUDENTS!$B$3:$B$1048576,STUDENTS!$C$3:$C$1048576)),"Enter a registered reg. no")</f>
        <v/>
      </c>
      <c r="D264" s="52">
        <f t="array" ref="D264:W264">IF(All_Students_Scores!C262:V262="","",All_Students_Scores!C262:V262)</f>
        <v/>
      </c>
      <c r="E264" s="57" t="str"/>
      <c r="F264" s="66" t="str"/>
      <c r="G264" s="67" t="str"/>
      <c r="H264" s="64" t="str"/>
      <c r="I264" s="65" t="str"/>
      <c r="J264" s="66" t="str"/>
      <c r="K264" s="67" t="str"/>
      <c r="L264" s="41" t="str"/>
      <c r="M264" s="41" t="str"/>
      <c r="N264" s="66" t="str"/>
      <c r="O264" s="67" t="str"/>
      <c r="P264" s="41" t="str"/>
      <c r="Q264" s="41" t="str"/>
      <c r="R264" s="66" t="str"/>
      <c r="S264" s="67" t="str"/>
      <c r="T264" s="41" t="str"/>
      <c r="U264" s="41" t="str"/>
      <c r="V264" s="66" t="str"/>
      <c r="W264" s="67" t="str"/>
    </row>
    <row r="265">
      <c r="B265" s="2">
        <f>IF(STUDENTS!B264="","",STUDENTS!B264)</f>
        <v/>
      </c>
      <c r="C265" s="44">
        <f>IFERROR(IF(B265="","",_xlfn.XLOOKUP(B265,STUDENTS!$B$3:$B$1048576,STUDENTS!$C$3:$C$1048576)),"Enter a registered reg. no")</f>
        <v/>
      </c>
      <c r="D265" s="52">
        <f t="array" ref="D265:W265">IF(All_Students_Scores!C263:V263="","",All_Students_Scores!C263:V263)</f>
        <v/>
      </c>
      <c r="E265" s="55" t="str"/>
      <c r="F265" s="48" t="str"/>
      <c r="G265" s="58" t="str"/>
      <c r="H265" s="62" t="str"/>
      <c r="I265" s="63" t="str"/>
      <c r="J265" s="48" t="str"/>
      <c r="K265" s="58" t="str"/>
      <c r="L265" s="42" t="str"/>
      <c r="M265" s="42" t="str"/>
      <c r="N265" s="48" t="str"/>
      <c r="O265" s="58" t="str"/>
      <c r="P265" s="42" t="str"/>
      <c r="Q265" s="42" t="str"/>
      <c r="R265" s="48" t="str"/>
      <c r="S265" s="58" t="str"/>
      <c r="T265" s="42" t="str"/>
      <c r="U265" s="42" t="str"/>
      <c r="V265" s="48" t="str"/>
      <c r="W265" s="58" t="str"/>
      <c r="X265" s="42" t="n"/>
      <c r="Y265" s="42" t="n"/>
    </row>
    <row r="266">
      <c r="B266" s="2">
        <f>IF(STUDENTS!B265="","",STUDENTS!B265)</f>
        <v/>
      </c>
      <c r="C266" s="44">
        <f>IFERROR(IF(B266="","",_xlfn.XLOOKUP(B266,STUDENTS!$B$3:$B$1048576,STUDENTS!$C$3:$C$1048576)),"Enter a registered reg. no")</f>
        <v/>
      </c>
      <c r="D266" s="52">
        <f t="array" ref="D266:W266">IF(All_Students_Scores!C264:V264="","",All_Students_Scores!C264:V264)</f>
        <v/>
      </c>
      <c r="E266" s="57" t="str"/>
      <c r="F266" s="66" t="str"/>
      <c r="G266" s="67" t="str"/>
      <c r="H266" s="64" t="str"/>
      <c r="I266" s="65" t="str"/>
      <c r="J266" s="66" t="str"/>
      <c r="K266" s="67" t="str"/>
      <c r="L266" s="41" t="str"/>
      <c r="M266" s="41" t="str"/>
      <c r="N266" s="66" t="str"/>
      <c r="O266" s="67" t="str"/>
      <c r="P266" s="41" t="str"/>
      <c r="Q266" s="41" t="str"/>
      <c r="R266" s="66" t="str"/>
      <c r="S266" s="67" t="str"/>
      <c r="T266" s="41" t="str"/>
      <c r="U266" s="41" t="str"/>
      <c r="V266" s="66" t="str"/>
      <c r="W266" s="67" t="str"/>
    </row>
    <row r="267">
      <c r="B267" s="2">
        <f>IF(STUDENTS!B266="","",STUDENTS!B266)</f>
        <v/>
      </c>
      <c r="C267" s="44">
        <f>IFERROR(IF(B267="","",_xlfn.XLOOKUP(B267,STUDENTS!$B$3:$B$1048576,STUDENTS!$C$3:$C$1048576)),"Enter a registered reg. no")</f>
        <v/>
      </c>
      <c r="D267" s="52">
        <f t="array" ref="D267:W267">IF(All_Students_Scores!C265:V265="","",All_Students_Scores!C265:V265)</f>
        <v/>
      </c>
      <c r="E267" s="55" t="str"/>
      <c r="F267" s="48" t="str"/>
      <c r="G267" s="58" t="str"/>
      <c r="H267" s="62" t="str"/>
      <c r="I267" s="63" t="str"/>
      <c r="J267" s="48" t="str"/>
      <c r="K267" s="58" t="str"/>
      <c r="L267" s="42" t="str"/>
      <c r="M267" s="42" t="str"/>
      <c r="N267" s="48" t="str"/>
      <c r="O267" s="58" t="str"/>
      <c r="P267" s="42" t="str"/>
      <c r="Q267" s="42" t="str"/>
      <c r="R267" s="48" t="str"/>
      <c r="S267" s="58" t="str"/>
      <c r="T267" s="42" t="str"/>
      <c r="U267" s="42" t="str"/>
      <c r="V267" s="48" t="str"/>
      <c r="W267" s="58" t="str"/>
      <c r="X267" s="42" t="n"/>
      <c r="Y267" s="42" t="n"/>
    </row>
    <row r="268">
      <c r="B268" s="2">
        <f>IF(STUDENTS!B267="","",STUDENTS!B267)</f>
        <v/>
      </c>
      <c r="C268" s="44">
        <f>IFERROR(IF(B268="","",_xlfn.XLOOKUP(B268,STUDENTS!$B$3:$B$1048576,STUDENTS!$C$3:$C$1048576)),"Enter a registered reg. no")</f>
        <v/>
      </c>
      <c r="D268" s="52">
        <f t="array" ref="D268:W268">IF(All_Students_Scores!C266:V266="","",All_Students_Scores!C266:V266)</f>
        <v/>
      </c>
      <c r="E268" s="57" t="str"/>
      <c r="F268" s="66" t="str"/>
      <c r="G268" s="67" t="str"/>
      <c r="H268" s="64" t="str"/>
      <c r="I268" s="65" t="str"/>
      <c r="J268" s="66" t="str"/>
      <c r="K268" s="67" t="str"/>
      <c r="L268" s="41" t="str"/>
      <c r="M268" s="41" t="str"/>
      <c r="N268" s="66" t="str"/>
      <c r="O268" s="67" t="str"/>
      <c r="P268" s="41" t="str"/>
      <c r="Q268" s="41" t="str"/>
      <c r="R268" s="66" t="str"/>
      <c r="S268" s="67" t="str"/>
      <c r="T268" s="41" t="str"/>
      <c r="U268" s="41" t="str"/>
      <c r="V268" s="66" t="str"/>
      <c r="W268" s="67" t="str"/>
    </row>
    <row r="269">
      <c r="B269" s="2">
        <f>IF(STUDENTS!B268="","",STUDENTS!B268)</f>
        <v/>
      </c>
      <c r="C269" s="44">
        <f>IFERROR(IF(B269="","",_xlfn.XLOOKUP(B269,STUDENTS!$B$3:$B$1048576,STUDENTS!$C$3:$C$1048576)),"Enter a registered reg. no")</f>
        <v/>
      </c>
      <c r="D269" s="52">
        <f t="array" ref="D269:W269">IF(All_Students_Scores!C267:V267="","",All_Students_Scores!C267:V267)</f>
        <v/>
      </c>
      <c r="E269" s="55" t="str"/>
      <c r="F269" s="48" t="str"/>
      <c r="G269" s="58" t="str"/>
      <c r="H269" s="62" t="str"/>
      <c r="I269" s="63" t="str"/>
      <c r="J269" s="48" t="str"/>
      <c r="K269" s="58" t="str"/>
      <c r="L269" s="42" t="str"/>
      <c r="M269" s="42" t="str"/>
      <c r="N269" s="48" t="str"/>
      <c r="O269" s="58" t="str"/>
      <c r="P269" s="42" t="str"/>
      <c r="Q269" s="42" t="str"/>
      <c r="R269" s="48" t="str"/>
      <c r="S269" s="58" t="str"/>
      <c r="T269" s="42" t="str"/>
      <c r="U269" s="42" t="str"/>
      <c r="V269" s="48" t="str"/>
      <c r="W269" s="58" t="str"/>
      <c r="X269" s="42" t="n"/>
      <c r="Y269" s="42" t="n"/>
    </row>
    <row r="270">
      <c r="B270" s="2">
        <f>IF(STUDENTS!B269="","",STUDENTS!B269)</f>
        <v/>
      </c>
      <c r="C270" s="44">
        <f>IFERROR(IF(B270="","",_xlfn.XLOOKUP(B270,STUDENTS!$B$3:$B$1048576,STUDENTS!$C$3:$C$1048576)),"Enter a registered reg. no")</f>
        <v/>
      </c>
      <c r="D270" s="52">
        <f t="array" ref="D270:W270">IF(All_Students_Scores!C268:V268="","",All_Students_Scores!C268:V268)</f>
        <v/>
      </c>
      <c r="E270" s="57" t="str"/>
      <c r="F270" s="66" t="str"/>
      <c r="G270" s="67" t="str"/>
      <c r="H270" s="64" t="str"/>
      <c r="I270" s="65" t="str"/>
      <c r="J270" s="66" t="str"/>
      <c r="K270" s="67" t="str"/>
      <c r="L270" s="41" t="str"/>
      <c r="M270" s="41" t="str"/>
      <c r="N270" s="66" t="str"/>
      <c r="O270" s="67" t="str"/>
      <c r="P270" s="41" t="str"/>
      <c r="Q270" s="41" t="str"/>
      <c r="R270" s="66" t="str"/>
      <c r="S270" s="67" t="str"/>
      <c r="T270" s="41" t="str"/>
      <c r="U270" s="41" t="str"/>
      <c r="V270" s="66" t="str"/>
      <c r="W270" s="67" t="str"/>
    </row>
    <row r="271">
      <c r="B271" s="2">
        <f>IF(STUDENTS!B270="","",STUDENTS!B270)</f>
        <v/>
      </c>
      <c r="C271" s="44">
        <f>IFERROR(IF(B271="","",_xlfn.XLOOKUP(B271,STUDENTS!$B$3:$B$1048576,STUDENTS!$C$3:$C$1048576)),"Enter a registered reg. no")</f>
        <v/>
      </c>
      <c r="D271" s="52">
        <f t="array" ref="D271:W271">IF(All_Students_Scores!C269:V269="","",All_Students_Scores!C269:V269)</f>
        <v/>
      </c>
      <c r="E271" s="55" t="str"/>
      <c r="F271" s="48" t="str"/>
      <c r="G271" s="58" t="str"/>
      <c r="H271" s="62" t="str"/>
      <c r="I271" s="63" t="str"/>
      <c r="J271" s="48" t="str"/>
      <c r="K271" s="58" t="str"/>
      <c r="L271" s="42" t="str"/>
      <c r="M271" s="42" t="str"/>
      <c r="N271" s="48" t="str"/>
      <c r="O271" s="58" t="str"/>
      <c r="P271" s="42" t="str"/>
      <c r="Q271" s="42" t="str"/>
      <c r="R271" s="48" t="str"/>
      <c r="S271" s="58" t="str"/>
      <c r="T271" s="42" t="str"/>
      <c r="U271" s="42" t="str"/>
      <c r="V271" s="48" t="str"/>
      <c r="W271" s="58" t="str"/>
      <c r="X271" s="42" t="n"/>
      <c r="Y271" s="42" t="n"/>
    </row>
    <row r="272">
      <c r="B272" s="2">
        <f>IF(STUDENTS!B271="","",STUDENTS!B271)</f>
        <v/>
      </c>
      <c r="C272" s="44">
        <f>IFERROR(IF(B272="","",_xlfn.XLOOKUP(B272,STUDENTS!$B$3:$B$1048576,STUDENTS!$C$3:$C$1048576)),"Enter a registered reg. no")</f>
        <v/>
      </c>
      <c r="D272" s="52">
        <f t="array" ref="D272:W272">IF(All_Students_Scores!C270:V270="","",All_Students_Scores!C270:V270)</f>
        <v/>
      </c>
      <c r="E272" s="57" t="str"/>
      <c r="F272" s="66" t="str"/>
      <c r="G272" s="67" t="str"/>
      <c r="H272" s="64" t="str"/>
      <c r="I272" s="65" t="str"/>
      <c r="J272" s="66" t="str"/>
      <c r="K272" s="67" t="str"/>
      <c r="L272" s="41" t="str"/>
      <c r="M272" s="41" t="str"/>
      <c r="N272" s="66" t="str"/>
      <c r="O272" s="67" t="str"/>
      <c r="P272" s="41" t="str"/>
      <c r="Q272" s="41" t="str"/>
      <c r="R272" s="66" t="str"/>
      <c r="S272" s="67" t="str"/>
      <c r="T272" s="41" t="str"/>
      <c r="U272" s="41" t="str"/>
      <c r="V272" s="66" t="str"/>
      <c r="W272" s="67" t="str"/>
    </row>
    <row r="273">
      <c r="B273" s="2">
        <f>IF(STUDENTS!B272="","",STUDENTS!B272)</f>
        <v/>
      </c>
      <c r="C273" s="44">
        <f>IFERROR(IF(B273="","",_xlfn.XLOOKUP(B273,STUDENTS!$B$3:$B$1048576,STUDENTS!$C$3:$C$1048576)),"Enter a registered reg. no")</f>
        <v/>
      </c>
      <c r="D273" s="52">
        <f t="array" ref="D273:W273">IF(All_Students_Scores!C271:V271="","",All_Students_Scores!C271:V271)</f>
        <v/>
      </c>
      <c r="E273" s="55" t="str"/>
      <c r="F273" s="48" t="str"/>
      <c r="G273" s="58" t="str"/>
      <c r="H273" s="62" t="str"/>
      <c r="I273" s="63" t="str"/>
      <c r="J273" s="48" t="str"/>
      <c r="K273" s="58" t="str"/>
      <c r="L273" s="42" t="str"/>
      <c r="M273" s="42" t="str"/>
      <c r="N273" s="48" t="str"/>
      <c r="O273" s="58" t="str"/>
      <c r="P273" s="42" t="str"/>
      <c r="Q273" s="42" t="str"/>
      <c r="R273" s="48" t="str"/>
      <c r="S273" s="58" t="str"/>
      <c r="T273" s="42" t="str"/>
      <c r="U273" s="42" t="str"/>
      <c r="V273" s="48" t="str"/>
      <c r="W273" s="58" t="str"/>
      <c r="X273" s="42" t="n"/>
      <c r="Y273" s="42" t="n"/>
    </row>
    <row r="274">
      <c r="B274" s="2">
        <f>IF(STUDENTS!B273="","",STUDENTS!B273)</f>
        <v/>
      </c>
      <c r="C274" s="44">
        <f>IFERROR(IF(B274="","",_xlfn.XLOOKUP(B274,STUDENTS!$B$3:$B$1048576,STUDENTS!$C$3:$C$1048576)),"Enter a registered reg. no")</f>
        <v/>
      </c>
      <c r="D274" s="52">
        <f t="array" ref="D274:W274">IF(All_Students_Scores!C272:V272="","",All_Students_Scores!C272:V272)</f>
        <v/>
      </c>
      <c r="E274" s="57" t="str"/>
      <c r="F274" s="66" t="str"/>
      <c r="G274" s="67" t="str"/>
      <c r="H274" s="64" t="str"/>
      <c r="I274" s="65" t="str"/>
      <c r="J274" s="66" t="str"/>
      <c r="K274" s="67" t="str"/>
      <c r="L274" s="41" t="str"/>
      <c r="M274" s="41" t="str"/>
      <c r="N274" s="66" t="str"/>
      <c r="O274" s="67" t="str"/>
      <c r="P274" s="41" t="str"/>
      <c r="Q274" s="41" t="str"/>
      <c r="R274" s="66" t="str"/>
      <c r="S274" s="67" t="str"/>
      <c r="T274" s="41" t="str"/>
      <c r="U274" s="41" t="str"/>
      <c r="V274" s="66" t="str"/>
      <c r="W274" s="67" t="str"/>
    </row>
    <row r="275">
      <c r="B275" s="2">
        <f>IF(STUDENTS!B274="","",STUDENTS!B274)</f>
        <v/>
      </c>
      <c r="C275" s="44">
        <f>IFERROR(IF(B275="","",_xlfn.XLOOKUP(B275,STUDENTS!$B$3:$B$1048576,STUDENTS!$C$3:$C$1048576)),"Enter a registered reg. no")</f>
        <v/>
      </c>
      <c r="D275" s="52">
        <f t="array" ref="D275:W275">IF(All_Students_Scores!C273:V273="","",All_Students_Scores!C273:V273)</f>
        <v/>
      </c>
      <c r="E275" s="55" t="str"/>
      <c r="F275" s="48" t="str"/>
      <c r="G275" s="58" t="str"/>
      <c r="H275" s="62" t="str"/>
      <c r="I275" s="63" t="str"/>
      <c r="J275" s="48" t="str"/>
      <c r="K275" s="58" t="str"/>
      <c r="L275" s="42" t="str"/>
      <c r="M275" s="42" t="str"/>
      <c r="N275" s="48" t="str"/>
      <c r="O275" s="58" t="str"/>
      <c r="P275" s="42" t="str"/>
      <c r="Q275" s="42" t="str"/>
      <c r="R275" s="48" t="str"/>
      <c r="S275" s="58" t="str"/>
      <c r="T275" s="42" t="str"/>
      <c r="U275" s="42" t="str"/>
      <c r="V275" s="48" t="str"/>
      <c r="W275" s="58" t="str"/>
      <c r="X275" s="42" t="n"/>
      <c r="Y275" s="42" t="n"/>
    </row>
    <row r="276">
      <c r="B276" s="2">
        <f>IF(STUDENTS!B275="","",STUDENTS!B275)</f>
        <v/>
      </c>
      <c r="C276" s="44">
        <f>IFERROR(IF(B276="","",_xlfn.XLOOKUP(B276,STUDENTS!$B$3:$B$1048576,STUDENTS!$C$3:$C$1048576)),"Enter a registered reg. no")</f>
        <v/>
      </c>
      <c r="D276" s="52">
        <f t="array" ref="D276:W276">IF(All_Students_Scores!C274:V274="","",All_Students_Scores!C274:V274)</f>
        <v/>
      </c>
      <c r="E276" s="57" t="str"/>
      <c r="F276" s="66" t="str"/>
      <c r="G276" s="67" t="str"/>
      <c r="H276" s="64" t="str"/>
      <c r="I276" s="65" t="str"/>
      <c r="J276" s="66" t="str"/>
      <c r="K276" s="67" t="str"/>
      <c r="L276" s="41" t="str"/>
      <c r="M276" s="41" t="str"/>
      <c r="N276" s="66" t="str"/>
      <c r="O276" s="67" t="str"/>
      <c r="P276" s="41" t="str"/>
      <c r="Q276" s="41" t="str"/>
      <c r="R276" s="66" t="str"/>
      <c r="S276" s="67" t="str"/>
      <c r="T276" s="41" t="str"/>
      <c r="U276" s="41" t="str"/>
      <c r="V276" s="66" t="str"/>
      <c r="W276" s="67" t="str"/>
    </row>
    <row r="277">
      <c r="B277" s="2">
        <f>IF(STUDENTS!B276="","",STUDENTS!B276)</f>
        <v/>
      </c>
      <c r="C277" s="44">
        <f>IFERROR(IF(B277="","",_xlfn.XLOOKUP(B277,STUDENTS!$B$3:$B$1048576,STUDENTS!$C$3:$C$1048576)),"Enter a registered reg. no")</f>
        <v/>
      </c>
      <c r="D277" s="52">
        <f t="array" ref="D277:W277">IF(All_Students_Scores!C275:V275="","",All_Students_Scores!C275:V275)</f>
        <v/>
      </c>
      <c r="E277" s="55" t="str"/>
      <c r="F277" s="48" t="str"/>
      <c r="G277" s="58" t="str"/>
      <c r="H277" s="62" t="str"/>
      <c r="I277" s="63" t="str"/>
      <c r="J277" s="48" t="str"/>
      <c r="K277" s="58" t="str"/>
      <c r="L277" s="42" t="str"/>
      <c r="M277" s="42" t="str"/>
      <c r="N277" s="48" t="str"/>
      <c r="O277" s="58" t="str"/>
      <c r="P277" s="42" t="str"/>
      <c r="Q277" s="42" t="str"/>
      <c r="R277" s="48" t="str"/>
      <c r="S277" s="58" t="str"/>
      <c r="T277" s="42" t="str"/>
      <c r="U277" s="42" t="str"/>
      <c r="V277" s="48" t="str"/>
      <c r="W277" s="58" t="str"/>
      <c r="X277" s="42" t="n"/>
      <c r="Y277" s="42" t="n"/>
    </row>
    <row r="278">
      <c r="B278" s="2">
        <f>IF(STUDENTS!B277="","",STUDENTS!B277)</f>
        <v/>
      </c>
      <c r="C278" s="44">
        <f>IFERROR(IF(B278="","",_xlfn.XLOOKUP(B278,STUDENTS!$B$3:$B$1048576,STUDENTS!$C$3:$C$1048576)),"Enter a registered reg. no")</f>
        <v/>
      </c>
      <c r="D278" s="52">
        <f t="array" ref="D278:W278">IF(All_Students_Scores!C276:V276="","",All_Students_Scores!C276:V276)</f>
        <v/>
      </c>
      <c r="E278" s="57" t="str"/>
      <c r="F278" s="66" t="str"/>
      <c r="G278" s="67" t="str"/>
      <c r="H278" s="64" t="str"/>
      <c r="I278" s="65" t="str"/>
      <c r="J278" s="66" t="str"/>
      <c r="K278" s="67" t="str"/>
      <c r="L278" s="41" t="str"/>
      <c r="M278" s="41" t="str"/>
      <c r="N278" s="66" t="str"/>
      <c r="O278" s="67" t="str"/>
      <c r="P278" s="41" t="str"/>
      <c r="Q278" s="41" t="str"/>
      <c r="R278" s="66" t="str"/>
      <c r="S278" s="67" t="str"/>
      <c r="T278" s="41" t="str"/>
      <c r="U278" s="41" t="str"/>
      <c r="V278" s="66" t="str"/>
      <c r="W278" s="67" t="str"/>
    </row>
    <row r="279">
      <c r="B279" s="2">
        <f>IF(STUDENTS!B278="","",STUDENTS!B278)</f>
        <v/>
      </c>
      <c r="C279" s="44">
        <f>IFERROR(IF(B279="","",_xlfn.XLOOKUP(B279,STUDENTS!$B$3:$B$1048576,STUDENTS!$C$3:$C$1048576)),"Enter a registered reg. no")</f>
        <v/>
      </c>
      <c r="D279" s="52">
        <f t="array" ref="D279:W279">IF(All_Students_Scores!C277:V277="","",All_Students_Scores!C277:V277)</f>
        <v/>
      </c>
      <c r="E279" s="55" t="str"/>
      <c r="F279" s="48" t="str"/>
      <c r="G279" s="58" t="str"/>
      <c r="H279" s="62" t="str"/>
      <c r="I279" s="63" t="str"/>
      <c r="J279" s="48" t="str"/>
      <c r="K279" s="58" t="str"/>
      <c r="L279" s="42" t="str"/>
      <c r="M279" s="42" t="str"/>
      <c r="N279" s="48" t="str"/>
      <c r="O279" s="58" t="str"/>
      <c r="P279" s="42" t="str"/>
      <c r="Q279" s="42" t="str"/>
      <c r="R279" s="48" t="str"/>
      <c r="S279" s="58" t="str"/>
      <c r="T279" s="42" t="str"/>
      <c r="U279" s="42" t="str"/>
      <c r="V279" s="48" t="str"/>
      <c r="W279" s="58" t="str"/>
      <c r="X279" s="42" t="n"/>
      <c r="Y279" s="42" t="n"/>
    </row>
    <row r="280">
      <c r="B280" s="2">
        <f>IF(STUDENTS!B279="","",STUDENTS!B279)</f>
        <v/>
      </c>
      <c r="C280" s="44">
        <f>IFERROR(IF(B280="","",_xlfn.XLOOKUP(B280,STUDENTS!$B$3:$B$1048576,STUDENTS!$C$3:$C$1048576)),"Enter a registered reg. no")</f>
        <v/>
      </c>
      <c r="D280" s="52">
        <f t="array" ref="D280:W280">IF(All_Students_Scores!C278:V278="","",All_Students_Scores!C278:V278)</f>
        <v/>
      </c>
      <c r="E280" s="57" t="str"/>
      <c r="F280" s="66" t="str"/>
      <c r="G280" s="67" t="str"/>
      <c r="H280" s="64" t="str"/>
      <c r="I280" s="65" t="str"/>
      <c r="J280" s="66" t="str"/>
      <c r="K280" s="67" t="str"/>
      <c r="L280" s="41" t="str"/>
      <c r="M280" s="41" t="str"/>
      <c r="N280" s="66" t="str"/>
      <c r="O280" s="67" t="str"/>
      <c r="P280" s="41" t="str"/>
      <c r="Q280" s="41" t="str"/>
      <c r="R280" s="66" t="str"/>
      <c r="S280" s="67" t="str"/>
      <c r="T280" s="41" t="str"/>
      <c r="U280" s="41" t="str"/>
      <c r="V280" s="66" t="str"/>
      <c r="W280" s="67" t="str"/>
    </row>
    <row r="281">
      <c r="B281" s="2">
        <f>IF(STUDENTS!B280="","",STUDENTS!B280)</f>
        <v/>
      </c>
      <c r="C281" s="44">
        <f>IFERROR(IF(B281="","",_xlfn.XLOOKUP(B281,STUDENTS!$B$3:$B$1048576,STUDENTS!$C$3:$C$1048576)),"Enter a registered reg. no")</f>
        <v/>
      </c>
      <c r="D281" s="52">
        <f t="array" ref="D281:W281">IF(All_Students_Scores!C279:V279="","",All_Students_Scores!C279:V279)</f>
        <v/>
      </c>
      <c r="E281" s="55" t="str"/>
      <c r="F281" s="48" t="str"/>
      <c r="G281" s="58" t="str"/>
      <c r="H281" s="62" t="str"/>
      <c r="I281" s="63" t="str"/>
      <c r="J281" s="48" t="str"/>
      <c r="K281" s="58" t="str"/>
      <c r="L281" s="42" t="str"/>
      <c r="M281" s="42" t="str"/>
      <c r="N281" s="48" t="str"/>
      <c r="O281" s="58" t="str"/>
      <c r="P281" s="42" t="str"/>
      <c r="Q281" s="42" t="str"/>
      <c r="R281" s="48" t="str"/>
      <c r="S281" s="58" t="str"/>
      <c r="T281" s="42" t="str"/>
      <c r="U281" s="42" t="str"/>
      <c r="V281" s="48" t="str"/>
      <c r="W281" s="58" t="str"/>
      <c r="X281" s="42" t="n"/>
      <c r="Y281" s="42" t="n"/>
    </row>
    <row r="282">
      <c r="B282" s="2">
        <f>IF(STUDENTS!B281="","",STUDENTS!B281)</f>
        <v/>
      </c>
      <c r="C282" s="44">
        <f>IFERROR(IF(B282="","",_xlfn.XLOOKUP(B282,STUDENTS!$B$3:$B$1048576,STUDENTS!$C$3:$C$1048576)),"Enter a registered reg. no")</f>
        <v/>
      </c>
      <c r="D282" s="52">
        <f t="array" ref="D282:W282">IF(All_Students_Scores!C280:V280="","",All_Students_Scores!C280:V280)</f>
        <v/>
      </c>
      <c r="E282" s="57" t="str"/>
      <c r="F282" s="66" t="str"/>
      <c r="G282" s="67" t="str"/>
      <c r="H282" s="64" t="str"/>
      <c r="I282" s="65" t="str"/>
      <c r="J282" s="66" t="str"/>
      <c r="K282" s="67" t="str"/>
      <c r="L282" s="41" t="str"/>
      <c r="M282" s="41" t="str"/>
      <c r="N282" s="66" t="str"/>
      <c r="O282" s="67" t="str"/>
      <c r="P282" s="41" t="str"/>
      <c r="Q282" s="41" t="str"/>
      <c r="R282" s="66" t="str"/>
      <c r="S282" s="67" t="str"/>
      <c r="T282" s="41" t="str"/>
      <c r="U282" s="41" t="str"/>
      <c r="V282" s="66" t="str"/>
      <c r="W282" s="67" t="str"/>
    </row>
    <row r="283">
      <c r="B283" s="2">
        <f>IF(STUDENTS!B282="","",STUDENTS!B282)</f>
        <v/>
      </c>
      <c r="C283" s="44">
        <f>IFERROR(IF(B283="","",_xlfn.XLOOKUP(B283,STUDENTS!$B$3:$B$1048576,STUDENTS!$C$3:$C$1048576)),"Enter a registered reg. no")</f>
        <v/>
      </c>
      <c r="D283" s="52">
        <f t="array" ref="D283:W283">IF(All_Students_Scores!C281:V281="","",All_Students_Scores!C281:V281)</f>
        <v/>
      </c>
      <c r="E283" s="55" t="str"/>
      <c r="F283" s="48" t="str"/>
      <c r="G283" s="58" t="str"/>
      <c r="H283" s="62" t="str"/>
      <c r="I283" s="63" t="str"/>
      <c r="J283" s="48" t="str"/>
      <c r="K283" s="58" t="str"/>
      <c r="L283" s="42" t="str"/>
      <c r="M283" s="42" t="str"/>
      <c r="N283" s="48" t="str"/>
      <c r="O283" s="58" t="str"/>
      <c r="P283" s="42" t="str"/>
      <c r="Q283" s="42" t="str"/>
      <c r="R283" s="48" t="str"/>
      <c r="S283" s="58" t="str"/>
      <c r="T283" s="42" t="str"/>
      <c r="U283" s="42" t="str"/>
      <c r="V283" s="48" t="str"/>
      <c r="W283" s="58" t="str"/>
      <c r="X283" s="42" t="n"/>
      <c r="Y283" s="42" t="n"/>
    </row>
    <row r="284">
      <c r="B284" s="2">
        <f>IF(STUDENTS!B283="","",STUDENTS!B283)</f>
        <v/>
      </c>
      <c r="C284" s="44">
        <f>IFERROR(IF(B284="","",_xlfn.XLOOKUP(B284,STUDENTS!$B$3:$B$1048576,STUDENTS!$C$3:$C$1048576)),"Enter a registered reg. no")</f>
        <v/>
      </c>
      <c r="D284" s="52">
        <f t="array" ref="D284:W284">IF(All_Students_Scores!C282:V282="","",All_Students_Scores!C282:V282)</f>
        <v/>
      </c>
      <c r="E284" s="57" t="str"/>
      <c r="F284" s="66" t="str"/>
      <c r="G284" s="67" t="str"/>
      <c r="H284" s="64" t="str"/>
      <c r="I284" s="65" t="str"/>
      <c r="J284" s="66" t="str"/>
      <c r="K284" s="67" t="str"/>
      <c r="L284" s="41" t="str"/>
      <c r="M284" s="41" t="str"/>
      <c r="N284" s="66" t="str"/>
      <c r="O284" s="67" t="str"/>
      <c r="P284" s="41" t="str"/>
      <c r="Q284" s="41" t="str"/>
      <c r="R284" s="66" t="str"/>
      <c r="S284" s="67" t="str"/>
      <c r="T284" s="41" t="str"/>
      <c r="U284" s="41" t="str"/>
      <c r="V284" s="66" t="str"/>
      <c r="W284" s="67" t="str"/>
    </row>
    <row r="285">
      <c r="B285" s="2">
        <f>IF(STUDENTS!B284="","",STUDENTS!B284)</f>
        <v/>
      </c>
      <c r="C285" s="44">
        <f>IFERROR(IF(B285="","",_xlfn.XLOOKUP(B285,STUDENTS!$B$3:$B$1048576,STUDENTS!$C$3:$C$1048576)),"Enter a registered reg. no")</f>
        <v/>
      </c>
      <c r="D285" s="52">
        <f t="array" ref="D285:W285">IF(All_Students_Scores!C283:V283="","",All_Students_Scores!C283:V283)</f>
        <v/>
      </c>
      <c r="E285" s="55" t="str"/>
      <c r="F285" s="48" t="str"/>
      <c r="G285" s="58" t="str"/>
      <c r="H285" s="62" t="str"/>
      <c r="I285" s="63" t="str"/>
      <c r="J285" s="48" t="str"/>
      <c r="K285" s="58" t="str"/>
      <c r="L285" s="42" t="str"/>
      <c r="M285" s="42" t="str"/>
      <c r="N285" s="48" t="str"/>
      <c r="O285" s="58" t="str"/>
      <c r="P285" s="42" t="str"/>
      <c r="Q285" s="42" t="str"/>
      <c r="R285" s="48" t="str"/>
      <c r="S285" s="58" t="str"/>
      <c r="T285" s="42" t="str"/>
      <c r="U285" s="42" t="str"/>
      <c r="V285" s="48" t="str"/>
      <c r="W285" s="58" t="str"/>
      <c r="X285" s="42" t="n"/>
      <c r="Y285" s="42" t="n"/>
    </row>
    <row r="286">
      <c r="B286" s="2">
        <f>IF(STUDENTS!B285="","",STUDENTS!B285)</f>
        <v/>
      </c>
      <c r="C286" s="44">
        <f>IFERROR(IF(B286="","",_xlfn.XLOOKUP(B286,STUDENTS!$B$3:$B$1048576,STUDENTS!$C$3:$C$1048576)),"Enter a registered reg. no")</f>
        <v/>
      </c>
      <c r="D286" s="52">
        <f t="array" ref="D286:W286">IF(All_Students_Scores!C284:V284="","",All_Students_Scores!C284:V284)</f>
        <v/>
      </c>
      <c r="E286" s="57" t="str"/>
      <c r="F286" s="66" t="str"/>
      <c r="G286" s="67" t="str"/>
      <c r="H286" s="64" t="str"/>
      <c r="I286" s="65" t="str"/>
      <c r="J286" s="66" t="str"/>
      <c r="K286" s="67" t="str"/>
      <c r="L286" s="41" t="str"/>
      <c r="M286" s="41" t="str"/>
      <c r="N286" s="66" t="str"/>
      <c r="O286" s="67" t="str"/>
      <c r="P286" s="41" t="str"/>
      <c r="Q286" s="41" t="str"/>
      <c r="R286" s="66" t="str"/>
      <c r="S286" s="67" t="str"/>
      <c r="T286" s="41" t="str"/>
      <c r="U286" s="41" t="str"/>
      <c r="V286" s="66" t="str"/>
      <c r="W286" s="67" t="str"/>
    </row>
    <row r="287">
      <c r="B287" s="2">
        <f>IF(STUDENTS!B286="","",STUDENTS!B286)</f>
        <v/>
      </c>
      <c r="C287" s="44">
        <f>IFERROR(IF(B287="","",_xlfn.XLOOKUP(B287,STUDENTS!$B$3:$B$1048576,STUDENTS!$C$3:$C$1048576)),"Enter a registered reg. no")</f>
        <v/>
      </c>
      <c r="D287" s="52">
        <f t="array" ref="D287:W287">IF(All_Students_Scores!C285:V285="","",All_Students_Scores!C285:V285)</f>
        <v/>
      </c>
      <c r="E287" s="55" t="str"/>
      <c r="F287" s="48" t="str"/>
      <c r="G287" s="58" t="str"/>
      <c r="H287" s="62" t="str"/>
      <c r="I287" s="63" t="str"/>
      <c r="J287" s="48" t="str"/>
      <c r="K287" s="58" t="str"/>
      <c r="L287" s="42" t="str"/>
      <c r="M287" s="42" t="str"/>
      <c r="N287" s="48" t="str"/>
      <c r="O287" s="58" t="str"/>
      <c r="P287" s="42" t="str"/>
      <c r="Q287" s="42" t="str"/>
      <c r="R287" s="48" t="str"/>
      <c r="S287" s="58" t="str"/>
      <c r="T287" s="42" t="str"/>
      <c r="U287" s="42" t="str"/>
      <c r="V287" s="48" t="str"/>
      <c r="W287" s="58" t="str"/>
      <c r="X287" s="42" t="n"/>
      <c r="Y287" s="42" t="n"/>
    </row>
    <row r="288">
      <c r="B288" s="2">
        <f>IF(STUDENTS!B287="","",STUDENTS!B287)</f>
        <v/>
      </c>
      <c r="C288" s="44">
        <f>IFERROR(IF(B288="","",_xlfn.XLOOKUP(B288,STUDENTS!$B$3:$B$1048576,STUDENTS!$C$3:$C$1048576)),"Enter a registered reg. no")</f>
        <v/>
      </c>
      <c r="D288" s="52">
        <f t="array" ref="D288:W288">IF(All_Students_Scores!C286:V286="","",All_Students_Scores!C286:V286)</f>
        <v/>
      </c>
      <c r="E288" s="57" t="str"/>
      <c r="F288" s="66" t="str"/>
      <c r="G288" s="67" t="str"/>
      <c r="H288" s="64" t="str"/>
      <c r="I288" s="65" t="str"/>
      <c r="J288" s="66" t="str"/>
      <c r="K288" s="67" t="str"/>
      <c r="L288" s="41" t="str"/>
      <c r="M288" s="41" t="str"/>
      <c r="N288" s="66" t="str"/>
      <c r="O288" s="67" t="str"/>
      <c r="P288" s="41" t="str"/>
      <c r="Q288" s="41" t="str"/>
      <c r="R288" s="66" t="str"/>
      <c r="S288" s="67" t="str"/>
      <c r="T288" s="41" t="str"/>
      <c r="U288" s="41" t="str"/>
      <c r="V288" s="66" t="str"/>
      <c r="W288" s="67" t="str"/>
    </row>
    <row r="289">
      <c r="B289" s="2">
        <f>IF(STUDENTS!B288="","",STUDENTS!B288)</f>
        <v/>
      </c>
      <c r="C289" s="44">
        <f>IFERROR(IF(B289="","",_xlfn.XLOOKUP(B289,STUDENTS!$B$3:$B$1048576,STUDENTS!$C$3:$C$1048576)),"Enter a registered reg. no")</f>
        <v/>
      </c>
      <c r="D289" s="52">
        <f t="array" ref="D289:W289">IF(All_Students_Scores!C287:V287="","",All_Students_Scores!C287:V287)</f>
        <v/>
      </c>
      <c r="E289" s="55" t="str"/>
      <c r="F289" s="48" t="str"/>
      <c r="G289" s="58" t="str"/>
      <c r="H289" s="62" t="str"/>
      <c r="I289" s="63" t="str"/>
      <c r="J289" s="48" t="str"/>
      <c r="K289" s="58" t="str"/>
      <c r="L289" s="42" t="str"/>
      <c r="M289" s="42" t="str"/>
      <c r="N289" s="48" t="str"/>
      <c r="O289" s="58" t="str"/>
      <c r="P289" s="42" t="str"/>
      <c r="Q289" s="42" t="str"/>
      <c r="R289" s="48" t="str"/>
      <c r="S289" s="58" t="str"/>
      <c r="T289" s="42" t="str"/>
      <c r="U289" s="42" t="str"/>
      <c r="V289" s="48" t="str"/>
      <c r="W289" s="58" t="str"/>
      <c r="X289" s="42" t="n"/>
      <c r="Y289" s="42" t="n"/>
    </row>
    <row r="290">
      <c r="B290" s="2">
        <f>IF(STUDENTS!B289="","",STUDENTS!B289)</f>
        <v/>
      </c>
      <c r="C290" s="44">
        <f>IFERROR(IF(B290="","",_xlfn.XLOOKUP(B290,STUDENTS!$B$3:$B$1048576,STUDENTS!$C$3:$C$1048576)),"Enter a registered reg. no")</f>
        <v/>
      </c>
      <c r="D290" s="52">
        <f t="array" ref="D290:W290">IF(All_Students_Scores!C288:V288="","",All_Students_Scores!C288:V288)</f>
        <v/>
      </c>
      <c r="E290" s="57" t="str"/>
      <c r="F290" s="66" t="str"/>
      <c r="G290" s="67" t="str"/>
      <c r="H290" s="64" t="str"/>
      <c r="I290" s="65" t="str"/>
      <c r="J290" s="66" t="str"/>
      <c r="K290" s="67" t="str"/>
      <c r="L290" s="41" t="str"/>
      <c r="M290" s="41" t="str"/>
      <c r="N290" s="66" t="str"/>
      <c r="O290" s="67" t="str"/>
      <c r="P290" s="41" t="str"/>
      <c r="Q290" s="41" t="str"/>
      <c r="R290" s="66" t="str"/>
      <c r="S290" s="67" t="str"/>
      <c r="T290" s="41" t="str"/>
      <c r="U290" s="41" t="str"/>
      <c r="V290" s="66" t="str"/>
      <c r="W290" s="67" t="str"/>
    </row>
    <row r="291">
      <c r="B291" s="2">
        <f>IF(STUDENTS!B290="","",STUDENTS!B290)</f>
        <v/>
      </c>
      <c r="C291" s="44">
        <f>IFERROR(IF(B291="","",_xlfn.XLOOKUP(B291,STUDENTS!$B$3:$B$1048576,STUDENTS!$C$3:$C$1048576)),"Enter a registered reg. no")</f>
        <v/>
      </c>
      <c r="D291" s="52">
        <f t="array" ref="D291:W291">IF(All_Students_Scores!C289:V289="","",All_Students_Scores!C289:V289)</f>
        <v/>
      </c>
      <c r="E291" s="55" t="str"/>
      <c r="F291" s="48" t="str"/>
      <c r="G291" s="58" t="str"/>
      <c r="H291" s="62" t="str"/>
      <c r="I291" s="63" t="str"/>
      <c r="J291" s="48" t="str"/>
      <c r="K291" s="58" t="str"/>
      <c r="L291" s="42" t="str"/>
      <c r="M291" s="42" t="str"/>
      <c r="N291" s="48" t="str"/>
      <c r="O291" s="58" t="str"/>
      <c r="P291" s="42" t="str"/>
      <c r="Q291" s="42" t="str"/>
      <c r="R291" s="48" t="str"/>
      <c r="S291" s="58" t="str"/>
      <c r="T291" s="42" t="str"/>
      <c r="U291" s="42" t="str"/>
      <c r="V291" s="48" t="str"/>
      <c r="W291" s="58" t="str"/>
      <c r="X291" s="42" t="n"/>
      <c r="Y291" s="42" t="n"/>
    </row>
    <row r="292">
      <c r="B292" s="2">
        <f>IF(STUDENTS!B291="","",STUDENTS!B291)</f>
        <v/>
      </c>
      <c r="C292" s="44">
        <f>IFERROR(IF(B292="","",_xlfn.XLOOKUP(B292,STUDENTS!$B$3:$B$1048576,STUDENTS!$C$3:$C$1048576)),"Enter a registered reg. no")</f>
        <v/>
      </c>
      <c r="D292" s="52">
        <f t="array" ref="D292:W292">IF(All_Students_Scores!C290:V290="","",All_Students_Scores!C290:V290)</f>
        <v/>
      </c>
      <c r="E292" s="57" t="str"/>
      <c r="F292" s="66" t="str"/>
      <c r="G292" s="67" t="str"/>
      <c r="H292" s="64" t="str"/>
      <c r="I292" s="65" t="str"/>
      <c r="J292" s="66" t="str"/>
      <c r="K292" s="67" t="str"/>
      <c r="L292" s="41" t="str"/>
      <c r="M292" s="41" t="str"/>
      <c r="N292" s="66" t="str"/>
      <c r="O292" s="67" t="str"/>
      <c r="P292" s="41" t="str"/>
      <c r="Q292" s="41" t="str"/>
      <c r="R292" s="66" t="str"/>
      <c r="S292" s="67" t="str"/>
      <c r="T292" s="41" t="str"/>
      <c r="U292" s="41" t="str"/>
      <c r="V292" s="66" t="str"/>
      <c r="W292" s="67" t="str"/>
    </row>
    <row r="293">
      <c r="B293" s="2">
        <f>IF(STUDENTS!B292="","",STUDENTS!B292)</f>
        <v/>
      </c>
      <c r="C293" s="44">
        <f>IFERROR(IF(B293="","",_xlfn.XLOOKUP(B293,STUDENTS!$B$3:$B$1048576,STUDENTS!$C$3:$C$1048576)),"Enter a registered reg. no")</f>
        <v/>
      </c>
      <c r="D293" s="52">
        <f t="array" ref="D293:W293">IF(All_Students_Scores!C291:V291="","",All_Students_Scores!C291:V291)</f>
        <v/>
      </c>
      <c r="E293" s="55" t="str"/>
      <c r="F293" s="48" t="str"/>
      <c r="G293" s="58" t="str"/>
      <c r="H293" s="62" t="str"/>
      <c r="I293" s="63" t="str"/>
      <c r="J293" s="48" t="str"/>
      <c r="K293" s="58" t="str"/>
      <c r="L293" s="42" t="str"/>
      <c r="M293" s="42" t="str"/>
      <c r="N293" s="48" t="str"/>
      <c r="O293" s="58" t="str"/>
      <c r="P293" s="42" t="str"/>
      <c r="Q293" s="42" t="str"/>
      <c r="R293" s="48" t="str"/>
      <c r="S293" s="58" t="str"/>
      <c r="T293" s="42" t="str"/>
      <c r="U293" s="42" t="str"/>
      <c r="V293" s="48" t="str"/>
      <c r="W293" s="58" t="str"/>
      <c r="X293" s="42" t="n"/>
      <c r="Y293" s="42" t="n"/>
    </row>
    <row r="294">
      <c r="B294" s="2">
        <f>IF(STUDENTS!B293="","",STUDENTS!B293)</f>
        <v/>
      </c>
      <c r="C294" s="44">
        <f>IFERROR(IF(B294="","",_xlfn.XLOOKUP(B294,STUDENTS!$B$3:$B$1048576,STUDENTS!$C$3:$C$1048576)),"Enter a registered reg. no")</f>
        <v/>
      </c>
      <c r="D294" s="52">
        <f t="array" ref="D294:W294">IF(All_Students_Scores!C292:V292="","",All_Students_Scores!C292:V292)</f>
        <v/>
      </c>
      <c r="E294" s="57" t="str"/>
      <c r="F294" s="66" t="str"/>
      <c r="G294" s="67" t="str"/>
      <c r="H294" s="64" t="str"/>
      <c r="I294" s="65" t="str"/>
      <c r="J294" s="66" t="str"/>
      <c r="K294" s="67" t="str"/>
      <c r="L294" s="41" t="str"/>
      <c r="M294" s="41" t="str"/>
      <c r="N294" s="66" t="str"/>
      <c r="O294" s="67" t="str"/>
      <c r="P294" s="41" t="str"/>
      <c r="Q294" s="41" t="str"/>
      <c r="R294" s="66" t="str"/>
      <c r="S294" s="67" t="str"/>
      <c r="T294" s="41" t="str"/>
      <c r="U294" s="41" t="str"/>
      <c r="V294" s="66" t="str"/>
      <c r="W294" s="67" t="str"/>
    </row>
    <row r="295">
      <c r="B295" s="2">
        <f>IF(STUDENTS!B294="","",STUDENTS!B294)</f>
        <v/>
      </c>
      <c r="C295" s="44">
        <f>IFERROR(IF(B295="","",_xlfn.XLOOKUP(B295,STUDENTS!$B$3:$B$1048576,STUDENTS!$C$3:$C$1048576)),"Enter a registered reg. no")</f>
        <v/>
      </c>
      <c r="D295" s="52">
        <f t="array" ref="D295:W295">IF(All_Students_Scores!C293:V293="","",All_Students_Scores!C293:V293)</f>
        <v/>
      </c>
      <c r="E295" s="55" t="str"/>
      <c r="F295" s="48" t="str"/>
      <c r="G295" s="58" t="str"/>
      <c r="H295" s="62" t="str"/>
      <c r="I295" s="63" t="str"/>
      <c r="J295" s="48" t="str"/>
      <c r="K295" s="58" t="str"/>
      <c r="L295" s="42" t="str"/>
      <c r="M295" s="42" t="str"/>
      <c r="N295" s="48" t="str"/>
      <c r="O295" s="58" t="str"/>
      <c r="P295" s="42" t="str"/>
      <c r="Q295" s="42" t="str"/>
      <c r="R295" s="48" t="str"/>
      <c r="S295" s="58" t="str"/>
      <c r="T295" s="42" t="str"/>
      <c r="U295" s="42" t="str"/>
      <c r="V295" s="48" t="str"/>
      <c r="W295" s="58" t="str"/>
      <c r="X295" s="42" t="n"/>
      <c r="Y295" s="42" t="n"/>
    </row>
    <row r="296">
      <c r="B296" s="2">
        <f>IF(STUDENTS!B295="","",STUDENTS!B295)</f>
        <v/>
      </c>
      <c r="C296" s="44">
        <f>IFERROR(IF(B296="","",_xlfn.XLOOKUP(B296,STUDENTS!$B$3:$B$1048576,STUDENTS!$C$3:$C$1048576)),"Enter a registered reg. no")</f>
        <v/>
      </c>
      <c r="D296" s="52">
        <f t="array" ref="D296:W296">IF(All_Students_Scores!C294:V294="","",All_Students_Scores!C294:V294)</f>
        <v/>
      </c>
      <c r="E296" s="57" t="str"/>
      <c r="F296" s="66" t="str"/>
      <c r="G296" s="67" t="str"/>
      <c r="H296" s="64" t="str"/>
      <c r="I296" s="65" t="str"/>
      <c r="J296" s="66" t="str"/>
      <c r="K296" s="67" t="str"/>
      <c r="L296" s="41" t="str"/>
      <c r="M296" s="41" t="str"/>
      <c r="N296" s="66" t="str"/>
      <c r="O296" s="67" t="str"/>
      <c r="P296" s="41" t="str"/>
      <c r="Q296" s="41" t="str"/>
      <c r="R296" s="66" t="str"/>
      <c r="S296" s="67" t="str"/>
      <c r="T296" s="41" t="str"/>
      <c r="U296" s="41" t="str"/>
      <c r="V296" s="66" t="str"/>
      <c r="W296" s="67" t="str"/>
    </row>
    <row r="297">
      <c r="B297" s="2">
        <f>IF(STUDENTS!B296="","",STUDENTS!B296)</f>
        <v/>
      </c>
      <c r="C297" s="44">
        <f>IFERROR(IF(B297="","",_xlfn.XLOOKUP(B297,STUDENTS!$B$3:$B$1048576,STUDENTS!$C$3:$C$1048576)),"Enter a registered reg. no")</f>
        <v/>
      </c>
      <c r="D297" s="52">
        <f t="array" ref="D297:W297">IF(All_Students_Scores!C295:V295="","",All_Students_Scores!C295:V295)</f>
        <v/>
      </c>
      <c r="E297" s="55" t="str"/>
      <c r="F297" s="48" t="str"/>
      <c r="G297" s="58" t="str"/>
      <c r="H297" s="62" t="str"/>
      <c r="I297" s="63" t="str"/>
      <c r="J297" s="48" t="str"/>
      <c r="K297" s="58" t="str"/>
      <c r="L297" s="42" t="str"/>
      <c r="M297" s="42" t="str"/>
      <c r="N297" s="48" t="str"/>
      <c r="O297" s="58" t="str"/>
      <c r="P297" s="42" t="str"/>
      <c r="Q297" s="42" t="str"/>
      <c r="R297" s="48" t="str"/>
      <c r="S297" s="58" t="str"/>
      <c r="T297" s="42" t="str"/>
      <c r="U297" s="42" t="str"/>
      <c r="V297" s="48" t="str"/>
      <c r="W297" s="58" t="str"/>
      <c r="X297" s="42" t="n"/>
      <c r="Y297" s="42" t="n"/>
    </row>
    <row r="298">
      <c r="B298" s="2">
        <f>IF(STUDENTS!B297="","",STUDENTS!B297)</f>
        <v/>
      </c>
      <c r="C298" s="44">
        <f>IFERROR(IF(B298="","",_xlfn.XLOOKUP(B298,STUDENTS!$B$3:$B$1048576,STUDENTS!$C$3:$C$1048576)),"Enter a registered reg. no")</f>
        <v/>
      </c>
      <c r="D298" s="52">
        <f t="array" ref="D298:W298">IF(All_Students_Scores!C296:V296="","",All_Students_Scores!C296:V296)</f>
        <v/>
      </c>
      <c r="E298" s="57" t="str"/>
      <c r="F298" s="66" t="str"/>
      <c r="G298" s="67" t="str"/>
      <c r="H298" s="64" t="str"/>
      <c r="I298" s="65" t="str"/>
      <c r="J298" s="66" t="str"/>
      <c r="K298" s="67" t="str"/>
      <c r="L298" s="41" t="str"/>
      <c r="M298" s="41" t="str"/>
      <c r="N298" s="66" t="str"/>
      <c r="O298" s="67" t="str"/>
      <c r="P298" s="41" t="str"/>
      <c r="Q298" s="41" t="str"/>
      <c r="R298" s="66" t="str"/>
      <c r="S298" s="67" t="str"/>
      <c r="T298" s="41" t="str"/>
      <c r="U298" s="41" t="str"/>
      <c r="V298" s="66" t="str"/>
      <c r="W298" s="67" t="str"/>
    </row>
    <row r="299">
      <c r="B299" s="2">
        <f>IF(STUDENTS!B298="","",STUDENTS!B298)</f>
        <v/>
      </c>
      <c r="C299" s="44">
        <f>IFERROR(IF(B299="","",_xlfn.XLOOKUP(B299,STUDENTS!$B$3:$B$1048576,STUDENTS!$C$3:$C$1048576)),"Enter a registered reg. no")</f>
        <v/>
      </c>
      <c r="D299" s="52">
        <f t="array" ref="D299:W299">IF(All_Students_Scores!C297:V297="","",All_Students_Scores!C297:V297)</f>
        <v/>
      </c>
      <c r="E299" s="55" t="str"/>
      <c r="F299" s="48" t="str"/>
      <c r="G299" s="58" t="str"/>
      <c r="H299" s="62" t="str"/>
      <c r="I299" s="63" t="str"/>
      <c r="J299" s="48" t="str"/>
      <c r="K299" s="58" t="str"/>
      <c r="L299" s="42" t="str"/>
      <c r="M299" s="42" t="str"/>
      <c r="N299" s="48" t="str"/>
      <c r="O299" s="58" t="str"/>
      <c r="P299" s="42" t="str"/>
      <c r="Q299" s="42" t="str"/>
      <c r="R299" s="48" t="str"/>
      <c r="S299" s="58" t="str"/>
      <c r="T299" s="42" t="str"/>
      <c r="U299" s="42" t="str"/>
      <c r="V299" s="48" t="str"/>
      <c r="W299" s="58" t="str"/>
      <c r="X299" s="42" t="n"/>
      <c r="Y299" s="42" t="n"/>
    </row>
    <row r="300">
      <c r="B300" s="2">
        <f>IF(STUDENTS!B299="","",STUDENTS!B299)</f>
        <v/>
      </c>
      <c r="C300" s="44">
        <f>IFERROR(IF(B300="","",_xlfn.XLOOKUP(B300,STUDENTS!$B$3:$B$1048576,STUDENTS!$C$3:$C$1048576)),"Enter a registered reg. no")</f>
        <v/>
      </c>
      <c r="D300" s="52">
        <f t="array" ref="D300:W300">IF(All_Students_Scores!C298:V298="","",All_Students_Scores!C298:V298)</f>
        <v/>
      </c>
      <c r="E300" s="57" t="str"/>
      <c r="F300" s="66" t="str"/>
      <c r="G300" s="67" t="str"/>
      <c r="H300" s="64" t="str"/>
      <c r="I300" s="65" t="str"/>
      <c r="J300" s="66" t="str"/>
      <c r="K300" s="67" t="str"/>
      <c r="L300" s="41" t="str"/>
      <c r="M300" s="41" t="str"/>
      <c r="N300" s="66" t="str"/>
      <c r="O300" s="67" t="str"/>
      <c r="P300" s="41" t="str"/>
      <c r="Q300" s="41" t="str"/>
      <c r="R300" s="66" t="str"/>
      <c r="S300" s="67" t="str"/>
      <c r="T300" s="41" t="str"/>
      <c r="U300" s="41" t="str"/>
      <c r="V300" s="66" t="str"/>
      <c r="W300" s="67" t="str"/>
    </row>
    <row r="301">
      <c r="B301" s="2">
        <f>IF(STUDENTS!B300="","",STUDENTS!B300)</f>
        <v/>
      </c>
      <c r="C301" s="44">
        <f>IFERROR(IF(B301="","",_xlfn.XLOOKUP(B301,STUDENTS!$B$3:$B$1048576,STUDENTS!$C$3:$C$1048576)),"Enter a registered reg. no")</f>
        <v/>
      </c>
      <c r="D301" s="52">
        <f t="array" ref="D301:W301">IF(All_Students_Scores!C299:V299="","",All_Students_Scores!C299:V299)</f>
        <v/>
      </c>
      <c r="E301" s="55" t="str"/>
      <c r="F301" s="48" t="str"/>
      <c r="G301" s="58" t="str"/>
      <c r="H301" s="62" t="str"/>
      <c r="I301" s="63" t="str"/>
      <c r="J301" s="48" t="str"/>
      <c r="K301" s="58" t="str"/>
      <c r="L301" s="42" t="str"/>
      <c r="M301" s="42" t="str"/>
      <c r="N301" s="48" t="str"/>
      <c r="O301" s="58" t="str"/>
      <c r="P301" s="42" t="str"/>
      <c r="Q301" s="42" t="str"/>
      <c r="R301" s="48" t="str"/>
      <c r="S301" s="58" t="str"/>
      <c r="T301" s="42" t="str"/>
      <c r="U301" s="42" t="str"/>
      <c r="V301" s="48" t="str"/>
      <c r="W301" s="58" t="str"/>
      <c r="X301" s="42" t="n"/>
      <c r="Y301" s="42" t="n"/>
    </row>
    <row r="302">
      <c r="B302" s="2">
        <f>IF(STUDENTS!B301="","",STUDENTS!B301)</f>
        <v/>
      </c>
      <c r="C302" s="44">
        <f>IFERROR(IF(B302="","",_xlfn.XLOOKUP(B302,STUDENTS!$B$3:$B$1048576,STUDENTS!$C$3:$C$1048576)),"Enter a registered reg. no")</f>
        <v/>
      </c>
      <c r="D302" s="52">
        <f t="array" ref="D302:W302">IF(All_Students_Scores!C300:V300="","",All_Students_Scores!C300:V300)</f>
        <v/>
      </c>
      <c r="E302" s="57" t="str"/>
      <c r="F302" s="66" t="str"/>
      <c r="G302" s="67" t="str"/>
      <c r="H302" s="64" t="str"/>
      <c r="I302" s="65" t="str"/>
      <c r="J302" s="66" t="str"/>
      <c r="K302" s="67" t="str"/>
      <c r="L302" s="41" t="str"/>
      <c r="M302" s="41" t="str"/>
      <c r="N302" s="66" t="str"/>
      <c r="O302" s="67" t="str"/>
      <c r="P302" s="41" t="str"/>
      <c r="Q302" s="41" t="str"/>
      <c r="R302" s="66" t="str"/>
      <c r="S302" s="67" t="str"/>
      <c r="T302" s="41" t="str"/>
      <c r="U302" s="41" t="str"/>
      <c r="V302" s="66" t="str"/>
      <c r="W302" s="67" t="str"/>
    </row>
    <row r="303">
      <c r="B303" s="2">
        <f>IF(STUDENTS!B302="","",STUDENTS!B302)</f>
        <v/>
      </c>
      <c r="C303" s="44">
        <f>IFERROR(IF(B303="","",_xlfn.XLOOKUP(B303,STUDENTS!$B$3:$B$1048576,STUDENTS!$C$3:$C$1048576)),"Enter a registered reg. no")</f>
        <v/>
      </c>
      <c r="D303" s="52">
        <f t="array" ref="D303:W303">IF(All_Students_Scores!C301:V301="","",All_Students_Scores!C301:V301)</f>
        <v/>
      </c>
      <c r="E303" s="55" t="str"/>
      <c r="F303" s="48" t="str"/>
      <c r="G303" s="58" t="str"/>
      <c r="H303" s="62" t="str"/>
      <c r="I303" s="63" t="str"/>
      <c r="J303" s="48" t="str"/>
      <c r="K303" s="58" t="str"/>
      <c r="L303" s="42" t="str"/>
      <c r="M303" s="42" t="str"/>
      <c r="N303" s="48" t="str"/>
      <c r="O303" s="58" t="str"/>
      <c r="P303" s="42" t="str"/>
      <c r="Q303" s="42" t="str"/>
      <c r="R303" s="48" t="str"/>
      <c r="S303" s="58" t="str"/>
      <c r="T303" s="42" t="str"/>
      <c r="U303" s="42" t="str"/>
      <c r="V303" s="48" t="str"/>
      <c r="W303" s="58" t="str"/>
      <c r="X303" s="42" t="n"/>
      <c r="Y303" s="42" t="n"/>
    </row>
    <row r="304">
      <c r="B304" s="2">
        <f>IF(STUDENTS!B303="","",STUDENTS!B303)</f>
        <v/>
      </c>
      <c r="C304" s="44">
        <f>IFERROR(IF(B304="","",_xlfn.XLOOKUP(B304,STUDENTS!$B$3:$B$1048576,STUDENTS!$C$3:$C$1048576)),"Enter a registered reg. no")</f>
        <v/>
      </c>
      <c r="D304" s="52">
        <f t="array" ref="D304:W304">IF(All_Students_Scores!C302:V302="","",All_Students_Scores!C302:V302)</f>
        <v/>
      </c>
      <c r="E304" s="57" t="str"/>
      <c r="F304" s="66" t="str"/>
      <c r="G304" s="67" t="str"/>
      <c r="H304" s="64" t="str"/>
      <c r="I304" s="65" t="str"/>
      <c r="J304" s="66" t="str"/>
      <c r="K304" s="67" t="str"/>
      <c r="L304" s="41" t="str"/>
      <c r="M304" s="41" t="str"/>
      <c r="N304" s="66" t="str"/>
      <c r="O304" s="67" t="str"/>
      <c r="P304" s="41" t="str"/>
      <c r="Q304" s="41" t="str"/>
      <c r="R304" s="66" t="str"/>
      <c r="S304" s="67" t="str"/>
      <c r="T304" s="41" t="str"/>
      <c r="U304" s="41" t="str"/>
      <c r="V304" s="66" t="str"/>
      <c r="W304" s="67" t="str"/>
    </row>
    <row r="305">
      <c r="B305" s="2">
        <f>IF(STUDENTS!B304="","",STUDENTS!B304)</f>
        <v/>
      </c>
      <c r="C305" s="44">
        <f>IFERROR(IF(B305="","",_xlfn.XLOOKUP(B305,STUDENTS!$B$3:$B$1048576,STUDENTS!$C$3:$C$1048576)),"Enter a registered reg. no")</f>
        <v/>
      </c>
      <c r="D305" s="52">
        <f t="array" ref="D305:W305">IF(All_Students_Scores!C303:V303="","",All_Students_Scores!C303:V303)</f>
        <v/>
      </c>
      <c r="E305" s="55" t="str"/>
      <c r="F305" s="48" t="str"/>
      <c r="G305" s="58" t="str"/>
      <c r="H305" s="62" t="str"/>
      <c r="I305" s="63" t="str"/>
      <c r="J305" s="48" t="str"/>
      <c r="K305" s="58" t="str"/>
      <c r="L305" s="42" t="str"/>
      <c r="M305" s="42" t="str"/>
      <c r="N305" s="48" t="str"/>
      <c r="O305" s="58" t="str"/>
      <c r="P305" s="42" t="str"/>
      <c r="Q305" s="42" t="str"/>
      <c r="R305" s="48" t="str"/>
      <c r="S305" s="58" t="str"/>
      <c r="T305" s="42" t="str"/>
      <c r="U305" s="42" t="str"/>
      <c r="V305" s="48" t="str"/>
      <c r="W305" s="58" t="str"/>
      <c r="X305" s="42" t="n"/>
      <c r="Y305" s="42" t="n"/>
    </row>
    <row r="306">
      <c r="B306" s="2">
        <f>IF(STUDENTS!B305="","",STUDENTS!B305)</f>
        <v/>
      </c>
      <c r="C306" s="44">
        <f>IFERROR(IF(B306="","",_xlfn.XLOOKUP(B306,STUDENTS!$B$3:$B$1048576,STUDENTS!$C$3:$C$1048576)),"Enter a registered reg. no")</f>
        <v/>
      </c>
      <c r="D306" s="52">
        <f t="array" ref="D306:W306">IF(All_Students_Scores!C304:V304="","",All_Students_Scores!C304:V304)</f>
        <v/>
      </c>
      <c r="E306" s="57" t="str"/>
      <c r="F306" s="66" t="str"/>
      <c r="G306" s="67" t="str"/>
      <c r="H306" s="64" t="str"/>
      <c r="I306" s="65" t="str"/>
      <c r="J306" s="66" t="str"/>
      <c r="K306" s="67" t="str"/>
      <c r="L306" s="41" t="str"/>
      <c r="M306" s="41" t="str"/>
      <c r="N306" s="66" t="str"/>
      <c r="O306" s="67" t="str"/>
      <c r="P306" s="41" t="str"/>
      <c r="Q306" s="41" t="str"/>
      <c r="R306" s="66" t="str"/>
      <c r="S306" s="67" t="str"/>
      <c r="T306" s="41" t="str"/>
      <c r="U306" s="41" t="str"/>
      <c r="V306" s="66" t="str"/>
      <c r="W306" s="67" t="str"/>
    </row>
    <row r="307">
      <c r="B307" s="2">
        <f>IF(STUDENTS!B306="","",STUDENTS!B306)</f>
        <v/>
      </c>
      <c r="C307" s="44">
        <f>IFERROR(IF(B307="","",_xlfn.XLOOKUP(B307,STUDENTS!$B$3:$B$1048576,STUDENTS!$C$3:$C$1048576)),"Enter a registered reg. no")</f>
        <v/>
      </c>
      <c r="D307" s="52">
        <f t="array" ref="D307:W307">IF(All_Students_Scores!C305:V305="","",All_Students_Scores!C305:V305)</f>
        <v/>
      </c>
      <c r="E307" s="55" t="str"/>
      <c r="F307" s="48" t="str"/>
      <c r="G307" s="58" t="str"/>
      <c r="H307" s="62" t="str"/>
      <c r="I307" s="63" t="str"/>
      <c r="J307" s="48" t="str"/>
      <c r="K307" s="58" t="str"/>
      <c r="L307" s="42" t="str"/>
      <c r="M307" s="42" t="str"/>
      <c r="N307" s="48" t="str"/>
      <c r="O307" s="58" t="str"/>
      <c r="P307" s="42" t="str"/>
      <c r="Q307" s="42" t="str"/>
      <c r="R307" s="48" t="str"/>
      <c r="S307" s="58" t="str"/>
      <c r="T307" s="42" t="str"/>
      <c r="U307" s="42" t="str"/>
      <c r="V307" s="48" t="str"/>
      <c r="W307" s="58" t="str"/>
      <c r="X307" s="42" t="n"/>
      <c r="Y307" s="42" t="n"/>
    </row>
    <row r="308">
      <c r="B308" s="2">
        <f>IF(STUDENTS!B307="","",STUDENTS!B307)</f>
        <v/>
      </c>
      <c r="C308" s="44">
        <f>IFERROR(IF(B308="","",_xlfn.XLOOKUP(B308,STUDENTS!$B$3:$B$1048576,STUDENTS!$C$3:$C$1048576)),"Enter a registered reg. no")</f>
        <v/>
      </c>
      <c r="D308" s="52">
        <f t="array" ref="D308:W308">IF(All_Students_Scores!C306:V306="","",All_Students_Scores!C306:V306)</f>
        <v/>
      </c>
      <c r="E308" s="57" t="str"/>
      <c r="F308" s="66" t="str"/>
      <c r="G308" s="67" t="str"/>
      <c r="H308" s="64" t="str"/>
      <c r="I308" s="65" t="str"/>
      <c r="J308" s="66" t="str"/>
      <c r="K308" s="67" t="str"/>
      <c r="L308" s="41" t="str"/>
      <c r="M308" s="41" t="str"/>
      <c r="N308" s="66" t="str"/>
      <c r="O308" s="67" t="str"/>
      <c r="P308" s="41" t="str"/>
      <c r="Q308" s="41" t="str"/>
      <c r="R308" s="66" t="str"/>
      <c r="S308" s="67" t="str"/>
      <c r="T308" s="41" t="str"/>
      <c r="U308" s="41" t="str"/>
      <c r="V308" s="66" t="str"/>
      <c r="W308" s="67" t="str"/>
    </row>
    <row r="309">
      <c r="B309" s="2">
        <f>IF(STUDENTS!B308="","",STUDENTS!B308)</f>
        <v/>
      </c>
      <c r="C309" s="44">
        <f>IFERROR(IF(B309="","",_xlfn.XLOOKUP(B309,STUDENTS!$B$3:$B$1048576,STUDENTS!$C$3:$C$1048576)),"Enter a registered reg. no")</f>
        <v/>
      </c>
      <c r="D309" s="52">
        <f t="array" ref="D309:W309">IF(All_Students_Scores!C307:V307="","",All_Students_Scores!C307:V307)</f>
        <v/>
      </c>
      <c r="E309" s="55" t="str"/>
      <c r="F309" s="48" t="str"/>
      <c r="G309" s="58" t="str"/>
      <c r="H309" s="62" t="str"/>
      <c r="I309" s="63" t="str"/>
      <c r="J309" s="48" t="str"/>
      <c r="K309" s="58" t="str"/>
      <c r="L309" s="42" t="str"/>
      <c r="M309" s="42" t="str"/>
      <c r="N309" s="48" t="str"/>
      <c r="O309" s="58" t="str"/>
      <c r="P309" s="42" t="str"/>
      <c r="Q309" s="42" t="str"/>
      <c r="R309" s="48" t="str"/>
      <c r="S309" s="58" t="str"/>
      <c r="T309" s="42" t="str"/>
      <c r="U309" s="42" t="str"/>
      <c r="V309" s="48" t="str"/>
      <c r="W309" s="58" t="str"/>
      <c r="X309" s="42" t="n"/>
      <c r="Y309" s="42" t="n"/>
    </row>
    <row r="310">
      <c r="B310" s="2">
        <f>IF(STUDENTS!B309="","",STUDENTS!B309)</f>
        <v/>
      </c>
      <c r="C310" s="44">
        <f>IFERROR(IF(B310="","",_xlfn.XLOOKUP(B310,STUDENTS!$B$3:$B$1048576,STUDENTS!$C$3:$C$1048576)),"Enter a registered reg. no")</f>
        <v/>
      </c>
      <c r="D310" s="52">
        <f t="array" ref="D310:W310">IF(All_Students_Scores!C308:V308="","",All_Students_Scores!C308:V308)</f>
        <v/>
      </c>
      <c r="E310" s="57" t="str"/>
      <c r="F310" s="66" t="str"/>
      <c r="G310" s="67" t="str"/>
      <c r="H310" s="64" t="str"/>
      <c r="I310" s="65" t="str"/>
      <c r="J310" s="66" t="str"/>
      <c r="K310" s="67" t="str"/>
      <c r="L310" s="41" t="str"/>
      <c r="M310" s="41" t="str"/>
      <c r="N310" s="66" t="str"/>
      <c r="O310" s="67" t="str"/>
      <c r="P310" s="41" t="str"/>
      <c r="Q310" s="41" t="str"/>
      <c r="R310" s="66" t="str"/>
      <c r="S310" s="67" t="str"/>
      <c r="T310" s="41" t="str"/>
      <c r="U310" s="41" t="str"/>
      <c r="V310" s="66" t="str"/>
      <c r="W310" s="67" t="str"/>
    </row>
    <row r="311">
      <c r="B311" s="2">
        <f>IF(STUDENTS!B310="","",STUDENTS!B310)</f>
        <v/>
      </c>
      <c r="C311" s="44">
        <f>IFERROR(IF(B311="","",_xlfn.XLOOKUP(B311,STUDENTS!$B$3:$B$1048576,STUDENTS!$C$3:$C$1048576)),"Enter a registered reg. no")</f>
        <v/>
      </c>
      <c r="D311" s="52">
        <f t="array" ref="D311:W311">IF(All_Students_Scores!C309:V309="","",All_Students_Scores!C309:V309)</f>
        <v/>
      </c>
      <c r="E311" s="55" t="str"/>
      <c r="F311" s="48" t="str"/>
      <c r="G311" s="58" t="str"/>
      <c r="H311" s="62" t="str"/>
      <c r="I311" s="63" t="str"/>
      <c r="J311" s="48" t="str"/>
      <c r="K311" s="58" t="str"/>
      <c r="L311" s="42" t="str"/>
      <c r="M311" s="42" t="str"/>
      <c r="N311" s="48" t="str"/>
      <c r="O311" s="58" t="str"/>
      <c r="P311" s="42" t="str"/>
      <c r="Q311" s="42" t="str"/>
      <c r="R311" s="48" t="str"/>
      <c r="S311" s="58" t="str"/>
      <c r="T311" s="42" t="str"/>
      <c r="U311" s="42" t="str"/>
      <c r="V311" s="48" t="str"/>
      <c r="W311" s="58" t="str"/>
      <c r="X311" s="42" t="n"/>
      <c r="Y311" s="42" t="n"/>
    </row>
    <row r="312">
      <c r="B312" s="2">
        <f>IF(STUDENTS!B311="","",STUDENTS!B311)</f>
        <v/>
      </c>
      <c r="C312" s="44">
        <f>IFERROR(IF(B312="","",_xlfn.XLOOKUP(B312,STUDENTS!$B$3:$B$1048576,STUDENTS!$C$3:$C$1048576)),"Enter a registered reg. no")</f>
        <v/>
      </c>
      <c r="D312" s="52">
        <f t="array" ref="D312:W312">IF(All_Students_Scores!C310:V310="","",All_Students_Scores!C310:V310)</f>
        <v/>
      </c>
      <c r="E312" s="57" t="str"/>
      <c r="F312" s="66" t="str"/>
      <c r="G312" s="67" t="str"/>
      <c r="H312" s="64" t="str"/>
      <c r="I312" s="65" t="str"/>
      <c r="J312" s="66" t="str"/>
      <c r="K312" s="67" t="str"/>
      <c r="L312" s="41" t="str"/>
      <c r="M312" s="41" t="str"/>
      <c r="N312" s="66" t="str"/>
      <c r="O312" s="67" t="str"/>
      <c r="P312" s="41" t="str"/>
      <c r="Q312" s="41" t="str"/>
      <c r="R312" s="66" t="str"/>
      <c r="S312" s="67" t="str"/>
      <c r="T312" s="41" t="str"/>
      <c r="U312" s="41" t="str"/>
      <c r="V312" s="66" t="str"/>
      <c r="W312" s="67" t="str"/>
    </row>
    <row r="313">
      <c r="B313" s="2">
        <f>IF(STUDENTS!B312="","",STUDENTS!B312)</f>
        <v/>
      </c>
      <c r="C313" s="44">
        <f>IFERROR(IF(B313="","",_xlfn.XLOOKUP(B313,STUDENTS!$B$3:$B$1048576,STUDENTS!$C$3:$C$1048576)),"Enter a registered reg. no")</f>
        <v/>
      </c>
      <c r="D313" s="52">
        <f t="array" ref="D313:W313">IF(All_Students_Scores!C311:V311="","",All_Students_Scores!C311:V311)</f>
        <v/>
      </c>
      <c r="E313" s="55" t="str"/>
      <c r="F313" s="48" t="str"/>
      <c r="G313" s="58" t="str"/>
      <c r="H313" s="62" t="str"/>
      <c r="I313" s="63" t="str"/>
      <c r="J313" s="48" t="str"/>
      <c r="K313" s="58" t="str"/>
      <c r="L313" s="42" t="str"/>
      <c r="M313" s="42" t="str"/>
      <c r="N313" s="48" t="str"/>
      <c r="O313" s="58" t="str"/>
      <c r="P313" s="42" t="str"/>
      <c r="Q313" s="42" t="str"/>
      <c r="R313" s="48" t="str"/>
      <c r="S313" s="58" t="str"/>
      <c r="T313" s="42" t="str"/>
      <c r="U313" s="42" t="str"/>
      <c r="V313" s="48" t="str"/>
      <c r="W313" s="58" t="str"/>
      <c r="X313" s="42" t="n"/>
      <c r="Y313" s="42" t="n"/>
    </row>
    <row r="314">
      <c r="B314" s="2">
        <f>IF(STUDENTS!B313="","",STUDENTS!B313)</f>
        <v/>
      </c>
      <c r="C314" s="44">
        <f>IFERROR(IF(B314="","",_xlfn.XLOOKUP(B314,STUDENTS!$B$3:$B$1048576,STUDENTS!$C$3:$C$1048576)),"Enter a registered reg. no")</f>
        <v/>
      </c>
      <c r="D314" s="52">
        <f t="array" ref="D314:W314">IF(All_Students_Scores!C312:V312="","",All_Students_Scores!C312:V312)</f>
        <v/>
      </c>
      <c r="E314" s="57" t="str"/>
      <c r="F314" s="66" t="str"/>
      <c r="G314" s="67" t="str"/>
      <c r="H314" s="64" t="str"/>
      <c r="I314" s="65" t="str"/>
      <c r="J314" s="66" t="str"/>
      <c r="K314" s="67" t="str"/>
      <c r="L314" s="41" t="str"/>
      <c r="M314" s="41" t="str"/>
      <c r="N314" s="66" t="str"/>
      <c r="O314" s="67" t="str"/>
      <c r="P314" s="41" t="str"/>
      <c r="Q314" s="41" t="str"/>
      <c r="R314" s="66" t="str"/>
      <c r="S314" s="67" t="str"/>
      <c r="T314" s="41" t="str"/>
      <c r="U314" s="41" t="str"/>
      <c r="V314" s="66" t="str"/>
      <c r="W314" s="67" t="str"/>
    </row>
    <row r="315">
      <c r="B315" s="2">
        <f>IF(STUDENTS!B314="","",STUDENTS!B314)</f>
        <v/>
      </c>
      <c r="C315" s="44">
        <f>IFERROR(IF(B315="","",_xlfn.XLOOKUP(B315,STUDENTS!$B$3:$B$1048576,STUDENTS!$C$3:$C$1048576)),"Enter a registered reg. no")</f>
        <v/>
      </c>
      <c r="D315" s="52">
        <f t="array" ref="D315:W315">IF(All_Students_Scores!C313:V313="","",All_Students_Scores!C313:V313)</f>
        <v/>
      </c>
      <c r="E315" s="55" t="str"/>
      <c r="F315" s="48" t="str"/>
      <c r="G315" s="58" t="str"/>
      <c r="H315" s="62" t="str"/>
      <c r="I315" s="63" t="str"/>
      <c r="J315" s="48" t="str"/>
      <c r="K315" s="58" t="str"/>
      <c r="L315" s="42" t="str"/>
      <c r="M315" s="42" t="str"/>
      <c r="N315" s="48" t="str"/>
      <c r="O315" s="58" t="str"/>
      <c r="P315" s="42" t="str"/>
      <c r="Q315" s="42" t="str"/>
      <c r="R315" s="48" t="str"/>
      <c r="S315" s="58" t="str"/>
      <c r="T315" s="42" t="str"/>
      <c r="U315" s="42" t="str"/>
      <c r="V315" s="48" t="str"/>
      <c r="W315" s="58" t="str"/>
      <c r="X315" s="42" t="n"/>
      <c r="Y315" s="42" t="n"/>
    </row>
    <row r="316">
      <c r="B316" s="2">
        <f>IF(STUDENTS!B315="","",STUDENTS!B315)</f>
        <v/>
      </c>
      <c r="C316" s="44">
        <f>IFERROR(IF(B316="","",_xlfn.XLOOKUP(B316,STUDENTS!$B$3:$B$1048576,STUDENTS!$C$3:$C$1048576)),"Enter a registered reg. no")</f>
        <v/>
      </c>
      <c r="D316" s="52">
        <f t="array" ref="D316:W316">IF(All_Students_Scores!C314:V314="","",All_Students_Scores!C314:V314)</f>
        <v/>
      </c>
      <c r="E316" s="57" t="str"/>
      <c r="F316" s="66" t="str"/>
      <c r="G316" s="67" t="str"/>
      <c r="H316" s="64" t="str"/>
      <c r="I316" s="65" t="str"/>
      <c r="J316" s="66" t="str"/>
      <c r="K316" s="67" t="str"/>
      <c r="L316" s="41" t="str"/>
      <c r="M316" s="41" t="str"/>
      <c r="N316" s="66" t="str"/>
      <c r="O316" s="67" t="str"/>
      <c r="P316" s="41" t="str"/>
      <c r="Q316" s="41" t="str"/>
      <c r="R316" s="66" t="str"/>
      <c r="S316" s="67" t="str"/>
      <c r="T316" s="41" t="str"/>
      <c r="U316" s="41" t="str"/>
      <c r="V316" s="66" t="str"/>
      <c r="W316" s="67" t="str"/>
    </row>
    <row r="317">
      <c r="B317" s="2">
        <f>IF(STUDENTS!B316="","",STUDENTS!B316)</f>
        <v/>
      </c>
      <c r="C317" s="44">
        <f>IFERROR(IF(B317="","",_xlfn.XLOOKUP(B317,STUDENTS!$B$3:$B$1048576,STUDENTS!$C$3:$C$1048576)),"Enter a registered reg. no")</f>
        <v/>
      </c>
      <c r="D317" s="52">
        <f t="array" ref="D317:W317">IF(All_Students_Scores!C315:V315="","",All_Students_Scores!C315:V315)</f>
        <v/>
      </c>
      <c r="E317" s="55" t="str"/>
      <c r="F317" s="48" t="str"/>
      <c r="G317" s="58" t="str"/>
      <c r="H317" s="62" t="str"/>
      <c r="I317" s="63" t="str"/>
      <c r="J317" s="48" t="str"/>
      <c r="K317" s="58" t="str"/>
      <c r="L317" s="42" t="str"/>
      <c r="M317" s="42" t="str"/>
      <c r="N317" s="48" t="str"/>
      <c r="O317" s="58" t="str"/>
      <c r="P317" s="42" t="str"/>
      <c r="Q317" s="42" t="str"/>
      <c r="R317" s="48" t="str"/>
      <c r="S317" s="58" t="str"/>
      <c r="T317" s="42" t="str"/>
      <c r="U317" s="42" t="str"/>
      <c r="V317" s="48" t="str"/>
      <c r="W317" s="58" t="str"/>
      <c r="X317" s="42" t="n"/>
      <c r="Y317" s="42" t="n"/>
    </row>
    <row r="318">
      <c r="B318" s="2">
        <f>IF(STUDENTS!B317="","",STUDENTS!B317)</f>
        <v/>
      </c>
      <c r="C318" s="44">
        <f>IFERROR(IF(B318="","",_xlfn.XLOOKUP(B318,STUDENTS!$B$3:$B$1048576,STUDENTS!$C$3:$C$1048576)),"Enter a registered reg. no")</f>
        <v/>
      </c>
      <c r="D318" s="52">
        <f t="array" ref="D318:W318">IF(All_Students_Scores!C316:V316="","",All_Students_Scores!C316:V316)</f>
        <v/>
      </c>
      <c r="E318" s="57" t="str"/>
      <c r="F318" s="66" t="str"/>
      <c r="G318" s="67" t="str"/>
      <c r="H318" s="64" t="str"/>
      <c r="I318" s="65" t="str"/>
      <c r="J318" s="66" t="str"/>
      <c r="K318" s="67" t="str"/>
      <c r="L318" s="41" t="str"/>
      <c r="M318" s="41" t="str"/>
      <c r="N318" s="66" t="str"/>
      <c r="O318" s="67" t="str"/>
      <c r="P318" s="41" t="str"/>
      <c r="Q318" s="41" t="str"/>
      <c r="R318" s="66" t="str"/>
      <c r="S318" s="67" t="str"/>
      <c r="T318" s="41" t="str"/>
      <c r="U318" s="41" t="str"/>
      <c r="V318" s="66" t="str"/>
      <c r="W318" s="67" t="str"/>
    </row>
    <row r="319">
      <c r="B319" s="2">
        <f>IF(STUDENTS!B318="","",STUDENTS!B318)</f>
        <v/>
      </c>
      <c r="C319" s="44">
        <f>IFERROR(IF(B319="","",_xlfn.XLOOKUP(B319,STUDENTS!$B$3:$B$1048576,STUDENTS!$C$3:$C$1048576)),"Enter a registered reg. no")</f>
        <v/>
      </c>
      <c r="D319" s="52">
        <f t="array" ref="D319:W319">IF(All_Students_Scores!C317:V317="","",All_Students_Scores!C317:V317)</f>
        <v/>
      </c>
      <c r="E319" s="55" t="str"/>
      <c r="F319" s="48" t="str"/>
      <c r="G319" s="58" t="str"/>
      <c r="H319" s="62" t="str"/>
      <c r="I319" s="63" t="str"/>
      <c r="J319" s="48" t="str"/>
      <c r="K319" s="58" t="str"/>
      <c r="L319" s="42" t="str"/>
      <c r="M319" s="42" t="str"/>
      <c r="N319" s="48" t="str"/>
      <c r="O319" s="58" t="str"/>
      <c r="P319" s="42" t="str"/>
      <c r="Q319" s="42" t="str"/>
      <c r="R319" s="48" t="str"/>
      <c r="S319" s="58" t="str"/>
      <c r="T319" s="42" t="str"/>
      <c r="U319" s="42" t="str"/>
      <c r="V319" s="48" t="str"/>
      <c r="W319" s="58" t="str"/>
      <c r="X319" s="42" t="n"/>
      <c r="Y319" s="42" t="n"/>
    </row>
    <row r="320">
      <c r="B320" s="2">
        <f>IF(STUDENTS!B319="","",STUDENTS!B319)</f>
        <v/>
      </c>
      <c r="C320" s="44">
        <f>IFERROR(IF(B320="","",_xlfn.XLOOKUP(B320,STUDENTS!$B$3:$B$1048576,STUDENTS!$C$3:$C$1048576)),"Enter a registered reg. no")</f>
        <v/>
      </c>
      <c r="D320" s="52">
        <f t="array" ref="D320:W320">IF(All_Students_Scores!C318:V318="","",All_Students_Scores!C318:V318)</f>
        <v/>
      </c>
      <c r="E320" s="57" t="str"/>
      <c r="F320" s="66" t="str"/>
      <c r="G320" s="67" t="str"/>
      <c r="H320" s="64" t="str"/>
      <c r="I320" s="65" t="str"/>
      <c r="J320" s="66" t="str"/>
      <c r="K320" s="67" t="str"/>
      <c r="L320" s="41" t="str"/>
      <c r="M320" s="41" t="str"/>
      <c r="N320" s="66" t="str"/>
      <c r="O320" s="67" t="str"/>
      <c r="P320" s="41" t="str"/>
      <c r="Q320" s="41" t="str"/>
      <c r="R320" s="66" t="str"/>
      <c r="S320" s="67" t="str"/>
      <c r="T320" s="41" t="str"/>
      <c r="U320" s="41" t="str"/>
      <c r="V320" s="66" t="str"/>
      <c r="W320" s="67" t="str"/>
    </row>
    <row r="321">
      <c r="B321" s="2">
        <f>IF(STUDENTS!B320="","",STUDENTS!B320)</f>
        <v/>
      </c>
      <c r="C321" s="44">
        <f>IFERROR(IF(B321="","",_xlfn.XLOOKUP(B321,STUDENTS!$B$3:$B$1048576,STUDENTS!$C$3:$C$1048576)),"Enter a registered reg. no")</f>
        <v/>
      </c>
      <c r="D321" s="52">
        <f t="array" ref="D321:W321">IF(All_Students_Scores!C319:V319="","",All_Students_Scores!C319:V319)</f>
        <v/>
      </c>
      <c r="E321" s="55" t="str"/>
      <c r="F321" s="48" t="str"/>
      <c r="G321" s="58" t="str"/>
      <c r="H321" s="62" t="str"/>
      <c r="I321" s="63" t="str"/>
      <c r="J321" s="48" t="str"/>
      <c r="K321" s="58" t="str"/>
      <c r="L321" s="42" t="str"/>
      <c r="M321" s="42" t="str"/>
      <c r="N321" s="48" t="str"/>
      <c r="O321" s="58" t="str"/>
      <c r="P321" s="42" t="str"/>
      <c r="Q321" s="42" t="str"/>
      <c r="R321" s="48" t="str"/>
      <c r="S321" s="58" t="str"/>
      <c r="T321" s="42" t="str"/>
      <c r="U321" s="42" t="str"/>
      <c r="V321" s="48" t="str"/>
      <c r="W321" s="58" t="str"/>
      <c r="X321" s="42" t="n"/>
      <c r="Y321" s="42" t="n"/>
    </row>
    <row r="322">
      <c r="B322" s="2">
        <f>IF(STUDENTS!B321="","",STUDENTS!B321)</f>
        <v/>
      </c>
      <c r="C322" s="44">
        <f>IFERROR(IF(B322="","",_xlfn.XLOOKUP(B322,STUDENTS!$B$3:$B$1048576,STUDENTS!$C$3:$C$1048576)),"Enter a registered reg. no")</f>
        <v/>
      </c>
      <c r="D322" s="52">
        <f t="array" ref="D322:W322">IF(All_Students_Scores!C320:V320="","",All_Students_Scores!C320:V320)</f>
        <v/>
      </c>
      <c r="E322" s="57" t="str"/>
      <c r="F322" s="66" t="str"/>
      <c r="G322" s="67" t="str"/>
      <c r="H322" s="64" t="str"/>
      <c r="I322" s="65" t="str"/>
      <c r="J322" s="66" t="str"/>
      <c r="K322" s="67" t="str"/>
      <c r="L322" s="41" t="str"/>
      <c r="M322" s="41" t="str"/>
      <c r="N322" s="66" t="str"/>
      <c r="O322" s="67" t="str"/>
      <c r="P322" s="41" t="str"/>
      <c r="Q322" s="41" t="str"/>
      <c r="R322" s="66" t="str"/>
      <c r="S322" s="67" t="str"/>
      <c r="T322" s="41" t="str"/>
      <c r="U322" s="41" t="str"/>
      <c r="V322" s="66" t="str"/>
      <c r="W322" s="67" t="str"/>
    </row>
    <row r="323">
      <c r="B323" s="2">
        <f>IF(STUDENTS!B322="","",STUDENTS!B322)</f>
        <v/>
      </c>
      <c r="C323" s="44">
        <f>IFERROR(IF(B323="","",_xlfn.XLOOKUP(B323,STUDENTS!$B$3:$B$1048576,STUDENTS!$C$3:$C$1048576)),"Enter a registered reg. no")</f>
        <v/>
      </c>
      <c r="D323" s="52">
        <f t="array" ref="D323:W323">IF(All_Students_Scores!C321:V321="","",All_Students_Scores!C321:V321)</f>
        <v/>
      </c>
      <c r="E323" s="55" t="str"/>
      <c r="F323" s="48" t="str"/>
      <c r="G323" s="58" t="str"/>
      <c r="H323" s="62" t="str"/>
      <c r="I323" s="63" t="str"/>
      <c r="J323" s="48" t="str"/>
      <c r="K323" s="58" t="str"/>
      <c r="L323" s="42" t="str"/>
      <c r="M323" s="42" t="str"/>
      <c r="N323" s="48" t="str"/>
      <c r="O323" s="58" t="str"/>
      <c r="P323" s="42" t="str"/>
      <c r="Q323" s="42" t="str"/>
      <c r="R323" s="48" t="str"/>
      <c r="S323" s="58" t="str"/>
      <c r="T323" s="42" t="str"/>
      <c r="U323" s="42" t="str"/>
      <c r="V323" s="48" t="str"/>
      <c r="W323" s="58" t="str"/>
      <c r="X323" s="42" t="n"/>
      <c r="Y323" s="42" t="n"/>
    </row>
    <row r="324">
      <c r="B324" s="2">
        <f>IF(STUDENTS!B323="","",STUDENTS!B323)</f>
        <v/>
      </c>
      <c r="C324" s="44">
        <f>IFERROR(IF(B324="","",_xlfn.XLOOKUP(B324,STUDENTS!$B$3:$B$1048576,STUDENTS!$C$3:$C$1048576)),"Enter a registered reg. no")</f>
        <v/>
      </c>
      <c r="D324" s="52">
        <f t="array" ref="D324:W324">IF(All_Students_Scores!C322:V322="","",All_Students_Scores!C322:V322)</f>
        <v/>
      </c>
      <c r="E324" s="57" t="str"/>
      <c r="F324" s="66" t="str"/>
      <c r="G324" s="67" t="str"/>
      <c r="H324" s="64" t="str"/>
      <c r="I324" s="65" t="str"/>
      <c r="J324" s="66" t="str"/>
      <c r="K324" s="67" t="str"/>
      <c r="L324" s="41" t="str"/>
      <c r="M324" s="41" t="str"/>
      <c r="N324" s="66" t="str"/>
      <c r="O324" s="67" t="str"/>
      <c r="P324" s="41" t="str"/>
      <c r="Q324" s="41" t="str"/>
      <c r="R324" s="66" t="str"/>
      <c r="S324" s="67" t="str"/>
      <c r="T324" s="41" t="str"/>
      <c r="U324" s="41" t="str"/>
      <c r="V324" s="66" t="str"/>
      <c r="W324" s="67" t="str"/>
    </row>
    <row r="325">
      <c r="B325" s="2">
        <f>IF(STUDENTS!B324="","",STUDENTS!B324)</f>
        <v/>
      </c>
      <c r="C325" s="44">
        <f>IFERROR(IF(B325="","",_xlfn.XLOOKUP(B325,STUDENTS!$B$3:$B$1048576,STUDENTS!$C$3:$C$1048576)),"Enter a registered reg. no")</f>
        <v/>
      </c>
      <c r="D325" s="52">
        <f t="array" ref="D325:W325">IF(All_Students_Scores!C323:V323="","",All_Students_Scores!C323:V323)</f>
        <v/>
      </c>
      <c r="E325" s="55" t="str"/>
      <c r="F325" s="48" t="str"/>
      <c r="G325" s="58" t="str"/>
      <c r="H325" s="62" t="str"/>
      <c r="I325" s="63" t="str"/>
      <c r="J325" s="48" t="str"/>
      <c r="K325" s="58" t="str"/>
      <c r="L325" s="42" t="str"/>
      <c r="M325" s="42" t="str"/>
      <c r="N325" s="48" t="str"/>
      <c r="O325" s="58" t="str"/>
      <c r="P325" s="42" t="str"/>
      <c r="Q325" s="42" t="str"/>
      <c r="R325" s="48" t="str"/>
      <c r="S325" s="58" t="str"/>
      <c r="T325" s="42" t="str"/>
      <c r="U325" s="42" t="str"/>
      <c r="V325" s="48" t="str"/>
      <c r="W325" s="58" t="str"/>
      <c r="X325" s="42" t="n"/>
      <c r="Y325" s="42" t="n"/>
    </row>
    <row r="326">
      <c r="B326" s="2">
        <f>IF(STUDENTS!B325="","",STUDENTS!B325)</f>
        <v/>
      </c>
      <c r="C326" s="44">
        <f>IFERROR(IF(B326="","",_xlfn.XLOOKUP(B326,STUDENTS!$B$3:$B$1048576,STUDENTS!$C$3:$C$1048576)),"Enter a registered reg. no")</f>
        <v/>
      </c>
      <c r="D326" s="52">
        <f t="array" ref="D326:W326">IF(All_Students_Scores!C324:V324="","",All_Students_Scores!C324:V324)</f>
        <v/>
      </c>
      <c r="E326" s="57" t="str"/>
      <c r="F326" s="66" t="str"/>
      <c r="G326" s="67" t="str"/>
      <c r="H326" s="64" t="str"/>
      <c r="I326" s="65" t="str"/>
      <c r="J326" s="66" t="str"/>
      <c r="K326" s="67" t="str"/>
      <c r="L326" s="41" t="str"/>
      <c r="M326" s="41" t="str"/>
      <c r="N326" s="66" t="str"/>
      <c r="O326" s="67" t="str"/>
      <c r="P326" s="41" t="str"/>
      <c r="Q326" s="41" t="str"/>
      <c r="R326" s="66" t="str"/>
      <c r="S326" s="67" t="str"/>
      <c r="T326" s="41" t="str"/>
      <c r="U326" s="41" t="str"/>
      <c r="V326" s="66" t="str"/>
      <c r="W326" s="67" t="str"/>
    </row>
    <row r="327">
      <c r="B327" s="2">
        <f>IF(STUDENTS!B326="","",STUDENTS!B326)</f>
        <v/>
      </c>
      <c r="C327" s="44">
        <f>IFERROR(IF(B327="","",_xlfn.XLOOKUP(B327,STUDENTS!$B$3:$B$1048576,STUDENTS!$C$3:$C$1048576)),"Enter a registered reg. no")</f>
        <v/>
      </c>
      <c r="D327" s="52">
        <f t="array" ref="D327:W327">IF(All_Students_Scores!C325:V325="","",All_Students_Scores!C325:V325)</f>
        <v/>
      </c>
      <c r="E327" s="55" t="str"/>
      <c r="F327" s="48" t="str"/>
      <c r="G327" s="58" t="str"/>
      <c r="H327" s="62" t="str"/>
      <c r="I327" s="63" t="str"/>
      <c r="J327" s="48" t="str"/>
      <c r="K327" s="58" t="str"/>
      <c r="L327" s="42" t="str"/>
      <c r="M327" s="42" t="str"/>
      <c r="N327" s="48" t="str"/>
      <c r="O327" s="58" t="str"/>
      <c r="P327" s="42" t="str"/>
      <c r="Q327" s="42" t="str"/>
      <c r="R327" s="48" t="str"/>
      <c r="S327" s="58" t="str"/>
      <c r="T327" s="42" t="str"/>
      <c r="U327" s="42" t="str"/>
      <c r="V327" s="48" t="str"/>
      <c r="W327" s="58" t="str"/>
      <c r="X327" s="42" t="n"/>
      <c r="Y327" s="42" t="n"/>
    </row>
    <row r="328">
      <c r="B328" s="2">
        <f>IF(STUDENTS!B327="","",STUDENTS!B327)</f>
        <v/>
      </c>
      <c r="C328" s="44">
        <f>IFERROR(IF(B328="","",_xlfn.XLOOKUP(B328,STUDENTS!$B$3:$B$1048576,STUDENTS!$C$3:$C$1048576)),"Enter a registered reg. no")</f>
        <v/>
      </c>
      <c r="D328" s="52">
        <f t="array" ref="D328:W328">IF(All_Students_Scores!C326:V326="","",All_Students_Scores!C326:V326)</f>
        <v/>
      </c>
      <c r="E328" s="57" t="str"/>
      <c r="F328" s="66" t="str"/>
      <c r="G328" s="67" t="str"/>
      <c r="H328" s="64" t="str"/>
      <c r="I328" s="65" t="str"/>
      <c r="J328" s="66" t="str"/>
      <c r="K328" s="67" t="str"/>
      <c r="L328" s="41" t="str"/>
      <c r="M328" s="41" t="str"/>
      <c r="N328" s="66" t="str"/>
      <c r="O328" s="67" t="str"/>
      <c r="P328" s="41" t="str"/>
      <c r="Q328" s="41" t="str"/>
      <c r="R328" s="66" t="str"/>
      <c r="S328" s="67" t="str"/>
      <c r="T328" s="41" t="str"/>
      <c r="U328" s="41" t="str"/>
      <c r="V328" s="66" t="str"/>
      <c r="W328" s="67" t="str"/>
    </row>
    <row r="329">
      <c r="B329" s="2">
        <f>IF(STUDENTS!B328="","",STUDENTS!B328)</f>
        <v/>
      </c>
      <c r="C329" s="44">
        <f>IFERROR(IF(B329="","",_xlfn.XLOOKUP(B329,STUDENTS!$B$3:$B$1048576,STUDENTS!$C$3:$C$1048576)),"Enter a registered reg. no")</f>
        <v/>
      </c>
      <c r="D329" s="52">
        <f t="array" ref="D329:W329">IF(All_Students_Scores!C327:V327="","",All_Students_Scores!C327:V327)</f>
        <v/>
      </c>
      <c r="E329" s="55" t="str"/>
      <c r="F329" s="48" t="str"/>
      <c r="G329" s="58" t="str"/>
      <c r="H329" s="62" t="str"/>
      <c r="I329" s="63" t="str"/>
      <c r="J329" s="48" t="str"/>
      <c r="K329" s="58" t="str"/>
      <c r="L329" s="42" t="str"/>
      <c r="M329" s="42" t="str"/>
      <c r="N329" s="48" t="str"/>
      <c r="O329" s="58" t="str"/>
      <c r="P329" s="42" t="str"/>
      <c r="Q329" s="42" t="str"/>
      <c r="R329" s="48" t="str"/>
      <c r="S329" s="58" t="str"/>
      <c r="T329" s="42" t="str"/>
      <c r="U329" s="42" t="str"/>
      <c r="V329" s="48" t="str"/>
      <c r="W329" s="58" t="str"/>
      <c r="X329" s="42" t="n"/>
      <c r="Y329" s="42" t="n"/>
    </row>
    <row r="330">
      <c r="B330" s="2">
        <f>IF(STUDENTS!B329="","",STUDENTS!B329)</f>
        <v/>
      </c>
      <c r="C330" s="44">
        <f>IFERROR(IF(B330="","",_xlfn.XLOOKUP(B330,STUDENTS!$B$3:$B$1048576,STUDENTS!$C$3:$C$1048576)),"Enter a registered reg. no")</f>
        <v/>
      </c>
      <c r="D330" s="52">
        <f t="array" ref="D330:W330">IF(All_Students_Scores!C328:V328="","",All_Students_Scores!C328:V328)</f>
        <v/>
      </c>
      <c r="E330" s="57" t="str"/>
      <c r="F330" s="66" t="str"/>
      <c r="G330" s="67" t="str"/>
      <c r="H330" s="64" t="str"/>
      <c r="I330" s="65" t="str"/>
      <c r="J330" s="66" t="str"/>
      <c r="K330" s="67" t="str"/>
      <c r="L330" s="41" t="str"/>
      <c r="M330" s="41" t="str"/>
      <c r="N330" s="66" t="str"/>
      <c r="O330" s="67" t="str"/>
      <c r="P330" s="41" t="str"/>
      <c r="Q330" s="41" t="str"/>
      <c r="R330" s="66" t="str"/>
      <c r="S330" s="67" t="str"/>
      <c r="T330" s="41" t="str"/>
      <c r="U330" s="41" t="str"/>
      <c r="V330" s="66" t="str"/>
      <c r="W330" s="67" t="str"/>
    </row>
    <row r="331">
      <c r="B331" s="2">
        <f>IF(STUDENTS!B330="","",STUDENTS!B330)</f>
        <v/>
      </c>
      <c r="C331" s="44">
        <f>IFERROR(IF(B331="","",_xlfn.XLOOKUP(B331,STUDENTS!$B$3:$B$1048576,STUDENTS!$C$3:$C$1048576)),"Enter a registered reg. no")</f>
        <v/>
      </c>
      <c r="D331" s="52">
        <f t="array" ref="D331:W331">IF(All_Students_Scores!C329:V329="","",All_Students_Scores!C329:V329)</f>
        <v/>
      </c>
      <c r="E331" s="55" t="str"/>
      <c r="F331" s="48" t="str"/>
      <c r="G331" s="58" t="str"/>
      <c r="H331" s="62" t="str"/>
      <c r="I331" s="63" t="str"/>
      <c r="J331" s="48" t="str"/>
      <c r="K331" s="58" t="str"/>
      <c r="L331" s="42" t="str"/>
      <c r="M331" s="42" t="str"/>
      <c r="N331" s="48" t="str"/>
      <c r="O331" s="58" t="str"/>
      <c r="P331" s="42" t="str"/>
      <c r="Q331" s="42" t="str"/>
      <c r="R331" s="48" t="str"/>
      <c r="S331" s="58" t="str"/>
      <c r="T331" s="42" t="str"/>
      <c r="U331" s="42" t="str"/>
      <c r="V331" s="48" t="str"/>
      <c r="W331" s="58" t="str"/>
      <c r="X331" s="42" t="n"/>
      <c r="Y331" s="42" t="n"/>
    </row>
    <row r="332">
      <c r="B332" s="2">
        <f>IF(STUDENTS!B331="","",STUDENTS!B331)</f>
        <v/>
      </c>
      <c r="C332" s="44">
        <f>IFERROR(IF(B332="","",_xlfn.XLOOKUP(B332,STUDENTS!$B$3:$B$1048576,STUDENTS!$C$3:$C$1048576)),"Enter a registered reg. no")</f>
        <v/>
      </c>
      <c r="D332" s="52">
        <f t="array" ref="D332:W332">IF(All_Students_Scores!C330:V330="","",All_Students_Scores!C330:V330)</f>
        <v/>
      </c>
      <c r="E332" s="57" t="str"/>
      <c r="F332" s="66" t="str"/>
      <c r="G332" s="67" t="str"/>
      <c r="H332" s="64" t="str"/>
      <c r="I332" s="65" t="str"/>
      <c r="J332" s="66" t="str"/>
      <c r="K332" s="67" t="str"/>
      <c r="L332" s="41" t="str"/>
      <c r="M332" s="41" t="str"/>
      <c r="N332" s="66" t="str"/>
      <c r="O332" s="67" t="str"/>
      <c r="P332" s="41" t="str"/>
      <c r="Q332" s="41" t="str"/>
      <c r="R332" s="66" t="str"/>
      <c r="S332" s="67" t="str"/>
      <c r="T332" s="41" t="str"/>
      <c r="U332" s="41" t="str"/>
      <c r="V332" s="66" t="str"/>
      <c r="W332" s="67" t="str"/>
    </row>
    <row r="333">
      <c r="B333" s="2">
        <f>IF(STUDENTS!B332="","",STUDENTS!B332)</f>
        <v/>
      </c>
      <c r="C333" s="44">
        <f>IFERROR(IF(B333="","",_xlfn.XLOOKUP(B333,STUDENTS!$B$3:$B$1048576,STUDENTS!$C$3:$C$1048576)),"Enter a registered reg. no")</f>
        <v/>
      </c>
      <c r="D333" s="52">
        <f t="array" ref="D333:W333">IF(All_Students_Scores!C331:V331="","",All_Students_Scores!C331:V331)</f>
        <v/>
      </c>
      <c r="E333" s="55" t="str"/>
      <c r="F333" s="48" t="str"/>
      <c r="G333" s="58" t="str"/>
      <c r="H333" s="62" t="str"/>
      <c r="I333" s="63" t="str"/>
      <c r="J333" s="48" t="str"/>
      <c r="K333" s="58" t="str"/>
      <c r="L333" s="42" t="str"/>
      <c r="M333" s="42" t="str"/>
      <c r="N333" s="48" t="str"/>
      <c r="O333" s="58" t="str"/>
      <c r="P333" s="42" t="str"/>
      <c r="Q333" s="42" t="str"/>
      <c r="R333" s="48" t="str"/>
      <c r="S333" s="58" t="str"/>
      <c r="T333" s="42" t="str"/>
      <c r="U333" s="42" t="str"/>
      <c r="V333" s="48" t="str"/>
      <c r="W333" s="58" t="str"/>
      <c r="X333" s="42" t="n"/>
      <c r="Y333" s="42" t="n"/>
    </row>
    <row r="334">
      <c r="B334" s="2">
        <f>IF(STUDENTS!B333="","",STUDENTS!B333)</f>
        <v/>
      </c>
      <c r="C334" s="44">
        <f>IFERROR(IF(B334="","",_xlfn.XLOOKUP(B334,STUDENTS!$B$3:$B$1048576,STUDENTS!$C$3:$C$1048576)),"Enter a registered reg. no")</f>
        <v/>
      </c>
      <c r="D334" s="52">
        <f t="array" ref="D334:W334">IF(All_Students_Scores!C332:V332="","",All_Students_Scores!C332:V332)</f>
        <v/>
      </c>
      <c r="E334" s="57" t="str"/>
      <c r="F334" s="66" t="str"/>
      <c r="G334" s="67" t="str"/>
      <c r="H334" s="64" t="str"/>
      <c r="I334" s="65" t="str"/>
      <c r="J334" s="66" t="str"/>
      <c r="K334" s="67" t="str"/>
      <c r="L334" s="41" t="str"/>
      <c r="M334" s="41" t="str"/>
      <c r="N334" s="66" t="str"/>
      <c r="O334" s="67" t="str"/>
      <c r="P334" s="41" t="str"/>
      <c r="Q334" s="41" t="str"/>
      <c r="R334" s="66" t="str"/>
      <c r="S334" s="67" t="str"/>
      <c r="T334" s="41" t="str"/>
      <c r="U334" s="41" t="str"/>
      <c r="V334" s="66" t="str"/>
      <c r="W334" s="67" t="str"/>
    </row>
    <row r="335">
      <c r="B335" s="2">
        <f>IF(STUDENTS!B334="","",STUDENTS!B334)</f>
        <v/>
      </c>
      <c r="C335" s="44">
        <f>IFERROR(IF(B335="","",_xlfn.XLOOKUP(B335,STUDENTS!$B$3:$B$1048576,STUDENTS!$C$3:$C$1048576)),"Enter a registered reg. no")</f>
        <v/>
      </c>
      <c r="D335" s="52">
        <f t="array" ref="D335:W335">IF(All_Students_Scores!C333:V333="","",All_Students_Scores!C333:V333)</f>
        <v/>
      </c>
      <c r="E335" s="55" t="str"/>
      <c r="F335" s="48" t="str"/>
      <c r="G335" s="58" t="str"/>
      <c r="H335" s="62" t="str"/>
      <c r="I335" s="63" t="str"/>
      <c r="J335" s="48" t="str"/>
      <c r="K335" s="58" t="str"/>
      <c r="L335" s="42" t="str"/>
      <c r="M335" s="42" t="str"/>
      <c r="N335" s="48" t="str"/>
      <c r="O335" s="58" t="str"/>
      <c r="P335" s="42" t="str"/>
      <c r="Q335" s="42" t="str"/>
      <c r="R335" s="48" t="str"/>
      <c r="S335" s="58" t="str"/>
      <c r="T335" s="42" t="str"/>
      <c r="U335" s="42" t="str"/>
      <c r="V335" s="48" t="str"/>
      <c r="W335" s="58" t="str"/>
      <c r="X335" s="42" t="n"/>
      <c r="Y335" s="42" t="n"/>
    </row>
    <row r="336">
      <c r="B336" s="2">
        <f>IF(STUDENTS!B335="","",STUDENTS!B335)</f>
        <v/>
      </c>
      <c r="C336" s="44">
        <f>IFERROR(IF(B336="","",_xlfn.XLOOKUP(B336,STUDENTS!$B$3:$B$1048576,STUDENTS!$C$3:$C$1048576)),"Enter a registered reg. no")</f>
        <v/>
      </c>
      <c r="D336" s="52">
        <f t="array" ref="D336:W336">IF(All_Students_Scores!C334:V334="","",All_Students_Scores!C334:V334)</f>
        <v/>
      </c>
      <c r="E336" s="57" t="str"/>
      <c r="F336" s="66" t="str"/>
      <c r="G336" s="67" t="str"/>
      <c r="H336" s="64" t="str"/>
      <c r="I336" s="65" t="str"/>
      <c r="J336" s="66" t="str"/>
      <c r="K336" s="67" t="str"/>
      <c r="L336" s="41" t="str"/>
      <c r="M336" s="41" t="str"/>
      <c r="N336" s="66" t="str"/>
      <c r="O336" s="67" t="str"/>
      <c r="P336" s="41" t="str"/>
      <c r="Q336" s="41" t="str"/>
      <c r="R336" s="66" t="str"/>
      <c r="S336" s="67" t="str"/>
      <c r="T336" s="41" t="str"/>
      <c r="U336" s="41" t="str"/>
      <c r="V336" s="66" t="str"/>
      <c r="W336" s="67" t="str"/>
    </row>
    <row r="337">
      <c r="B337" s="2">
        <f>IF(STUDENTS!B336="","",STUDENTS!B336)</f>
        <v/>
      </c>
      <c r="C337" s="44">
        <f>IFERROR(IF(B337="","",_xlfn.XLOOKUP(B337,STUDENTS!$B$3:$B$1048576,STUDENTS!$C$3:$C$1048576)),"Enter a registered reg. no")</f>
        <v/>
      </c>
      <c r="D337" s="52">
        <f t="array" ref="D337:W337">IF(All_Students_Scores!C335:V335="","",All_Students_Scores!C335:V335)</f>
        <v/>
      </c>
      <c r="E337" s="55" t="str"/>
      <c r="F337" s="48" t="str"/>
      <c r="G337" s="58" t="str"/>
      <c r="H337" s="62" t="str"/>
      <c r="I337" s="63" t="str"/>
      <c r="J337" s="48" t="str"/>
      <c r="K337" s="58" t="str"/>
      <c r="L337" s="42" t="str"/>
      <c r="M337" s="42" t="str"/>
      <c r="N337" s="48" t="str"/>
      <c r="O337" s="58" t="str"/>
      <c r="P337" s="42" t="str"/>
      <c r="Q337" s="42" t="str"/>
      <c r="R337" s="48" t="str"/>
      <c r="S337" s="58" t="str"/>
      <c r="T337" s="42" t="str"/>
      <c r="U337" s="42" t="str"/>
      <c r="V337" s="48" t="str"/>
      <c r="W337" s="58" t="str"/>
      <c r="X337" s="42" t="n"/>
      <c r="Y337" s="42" t="n"/>
    </row>
    <row r="338">
      <c r="B338" s="2">
        <f>IF(STUDENTS!B337="","",STUDENTS!B337)</f>
        <v/>
      </c>
      <c r="C338" s="44">
        <f>IFERROR(IF(B338="","",_xlfn.XLOOKUP(B338,STUDENTS!$B$3:$B$1048576,STUDENTS!$C$3:$C$1048576)),"Enter a registered reg. no")</f>
        <v/>
      </c>
      <c r="D338" s="52">
        <f t="array" ref="D338:W338">IF(All_Students_Scores!C336:V336="","",All_Students_Scores!C336:V336)</f>
        <v/>
      </c>
      <c r="E338" s="57" t="str"/>
      <c r="F338" s="66" t="str"/>
      <c r="G338" s="67" t="str"/>
      <c r="H338" s="64" t="str"/>
      <c r="I338" s="65" t="str"/>
      <c r="J338" s="66" t="str"/>
      <c r="K338" s="67" t="str"/>
      <c r="L338" s="41" t="str"/>
      <c r="M338" s="41" t="str"/>
      <c r="N338" s="66" t="str"/>
      <c r="O338" s="67" t="str"/>
      <c r="P338" s="41" t="str"/>
      <c r="Q338" s="41" t="str"/>
      <c r="R338" s="66" t="str"/>
      <c r="S338" s="67" t="str"/>
      <c r="T338" s="41" t="str"/>
      <c r="U338" s="41" t="str"/>
      <c r="V338" s="66" t="str"/>
      <c r="W338" s="67" t="str"/>
    </row>
    <row r="339">
      <c r="B339" s="2">
        <f>IF(STUDENTS!B338="","",STUDENTS!B338)</f>
        <v/>
      </c>
      <c r="C339" s="44">
        <f>IFERROR(IF(B339="","",_xlfn.XLOOKUP(B339,STUDENTS!$B$3:$B$1048576,STUDENTS!$C$3:$C$1048576)),"Enter a registered reg. no")</f>
        <v/>
      </c>
      <c r="D339" s="52">
        <f t="array" ref="D339:W339">IF(All_Students_Scores!C337:V337="","",All_Students_Scores!C337:V337)</f>
        <v/>
      </c>
      <c r="E339" s="55" t="str"/>
      <c r="F339" s="48" t="str"/>
      <c r="G339" s="58" t="str"/>
      <c r="H339" s="62" t="str"/>
      <c r="I339" s="63" t="str"/>
      <c r="J339" s="48" t="str"/>
      <c r="K339" s="58" t="str"/>
      <c r="L339" s="42" t="str"/>
      <c r="M339" s="42" t="str"/>
      <c r="N339" s="48" t="str"/>
      <c r="O339" s="58" t="str"/>
      <c r="P339" s="42" t="str"/>
      <c r="Q339" s="42" t="str"/>
      <c r="R339" s="48" t="str"/>
      <c r="S339" s="58" t="str"/>
      <c r="T339" s="42" t="str"/>
      <c r="U339" s="42" t="str"/>
      <c r="V339" s="48" t="str"/>
      <c r="W339" s="58" t="str"/>
      <c r="X339" s="42" t="n"/>
      <c r="Y339" s="42" t="n"/>
    </row>
    <row r="340">
      <c r="B340" s="2">
        <f>IF(STUDENTS!B339="","",STUDENTS!B339)</f>
        <v/>
      </c>
      <c r="C340" s="44">
        <f>IFERROR(IF(B340="","",_xlfn.XLOOKUP(B340,STUDENTS!$B$3:$B$1048576,STUDENTS!$C$3:$C$1048576)),"Enter a registered reg. no")</f>
        <v/>
      </c>
      <c r="D340" s="52">
        <f t="array" ref="D340:W340">IF(All_Students_Scores!C338:V338="","",All_Students_Scores!C338:V338)</f>
        <v/>
      </c>
      <c r="E340" s="57" t="str"/>
      <c r="F340" s="66" t="str"/>
      <c r="G340" s="67" t="str"/>
      <c r="H340" s="64" t="str"/>
      <c r="I340" s="65" t="str"/>
      <c r="J340" s="66" t="str"/>
      <c r="K340" s="67" t="str"/>
      <c r="L340" s="41" t="str"/>
      <c r="M340" s="41" t="str"/>
      <c r="N340" s="66" t="str"/>
      <c r="O340" s="67" t="str"/>
      <c r="P340" s="41" t="str"/>
      <c r="Q340" s="41" t="str"/>
      <c r="R340" s="66" t="str"/>
      <c r="S340" s="67" t="str"/>
      <c r="T340" s="41" t="str"/>
      <c r="U340" s="41" t="str"/>
      <c r="V340" s="66" t="str"/>
      <c r="W340" s="67" t="str"/>
    </row>
    <row r="341">
      <c r="B341" s="2">
        <f>IF(STUDENTS!B340="","",STUDENTS!B340)</f>
        <v/>
      </c>
      <c r="C341" s="44">
        <f>IFERROR(IF(B341="","",_xlfn.XLOOKUP(B341,STUDENTS!$B$3:$B$1048576,STUDENTS!$C$3:$C$1048576)),"Enter a registered reg. no")</f>
        <v/>
      </c>
      <c r="D341" s="52">
        <f t="array" ref="D341:W341">IF(All_Students_Scores!C339:V339="","",All_Students_Scores!C339:V339)</f>
        <v/>
      </c>
      <c r="E341" s="55" t="str"/>
      <c r="F341" s="48" t="str"/>
      <c r="G341" s="58" t="str"/>
      <c r="H341" s="62" t="str"/>
      <c r="I341" s="63" t="str"/>
      <c r="J341" s="48" t="str"/>
      <c r="K341" s="58" t="str"/>
      <c r="L341" s="42" t="str"/>
      <c r="M341" s="42" t="str"/>
      <c r="N341" s="48" t="str"/>
      <c r="O341" s="58" t="str"/>
      <c r="P341" s="42" t="str"/>
      <c r="Q341" s="42" t="str"/>
      <c r="R341" s="48" t="str"/>
      <c r="S341" s="58" t="str"/>
      <c r="T341" s="42" t="str"/>
      <c r="U341" s="42" t="str"/>
      <c r="V341" s="48" t="str"/>
      <c r="W341" s="58" t="str"/>
      <c r="X341" s="42" t="n"/>
      <c r="Y341" s="42" t="n"/>
    </row>
    <row r="342">
      <c r="B342" s="2">
        <f>IF(STUDENTS!B341="","",STUDENTS!B341)</f>
        <v/>
      </c>
      <c r="C342" s="44">
        <f>IFERROR(IF(B342="","",_xlfn.XLOOKUP(B342,STUDENTS!$B$3:$B$1048576,STUDENTS!$C$3:$C$1048576)),"Enter a registered reg. no")</f>
        <v/>
      </c>
      <c r="D342" s="52">
        <f t="array" ref="D342:W342">IF(All_Students_Scores!C340:V340="","",All_Students_Scores!C340:V340)</f>
        <v/>
      </c>
      <c r="E342" s="57" t="str"/>
      <c r="F342" s="66" t="str"/>
      <c r="G342" s="67" t="str"/>
      <c r="H342" s="64" t="str"/>
      <c r="I342" s="65" t="str"/>
      <c r="J342" s="66" t="str"/>
      <c r="K342" s="67" t="str"/>
      <c r="L342" s="41" t="str"/>
      <c r="M342" s="41" t="str"/>
      <c r="N342" s="66" t="str"/>
      <c r="O342" s="67" t="str"/>
      <c r="P342" s="41" t="str"/>
      <c r="Q342" s="41" t="str"/>
      <c r="R342" s="66" t="str"/>
      <c r="S342" s="67" t="str"/>
      <c r="T342" s="41" t="str"/>
      <c r="U342" s="41" t="str"/>
      <c r="V342" s="66" t="str"/>
      <c r="W342" s="67" t="str"/>
    </row>
    <row r="343">
      <c r="B343" s="2">
        <f>IF(STUDENTS!B342="","",STUDENTS!B342)</f>
        <v/>
      </c>
      <c r="C343" s="44">
        <f>IFERROR(IF(B343="","",_xlfn.XLOOKUP(B343,STUDENTS!$B$3:$B$1048576,STUDENTS!$C$3:$C$1048576)),"Enter a registered reg. no")</f>
        <v/>
      </c>
      <c r="D343" s="52">
        <f t="array" ref="D343:W343">IF(All_Students_Scores!C341:V341="","",All_Students_Scores!C341:V341)</f>
        <v/>
      </c>
      <c r="E343" s="55" t="str"/>
      <c r="F343" s="48" t="str"/>
      <c r="G343" s="58" t="str"/>
      <c r="H343" s="62" t="str"/>
      <c r="I343" s="63" t="str"/>
      <c r="J343" s="48" t="str"/>
      <c r="K343" s="58" t="str"/>
      <c r="L343" s="42" t="str"/>
      <c r="M343" s="42" t="str"/>
      <c r="N343" s="48" t="str"/>
      <c r="O343" s="58" t="str"/>
      <c r="P343" s="42" t="str"/>
      <c r="Q343" s="42" t="str"/>
      <c r="R343" s="48" t="str"/>
      <c r="S343" s="58" t="str"/>
      <c r="T343" s="42" t="str"/>
      <c r="U343" s="42" t="str"/>
      <c r="V343" s="48" t="str"/>
      <c r="W343" s="58" t="str"/>
      <c r="X343" s="42" t="n"/>
      <c r="Y343" s="42" t="n"/>
    </row>
    <row r="344">
      <c r="B344" s="2">
        <f>IF(STUDENTS!B343="","",STUDENTS!B343)</f>
        <v/>
      </c>
      <c r="C344" s="44">
        <f>IFERROR(IF(B344="","",_xlfn.XLOOKUP(B344,STUDENTS!$B$3:$B$1048576,STUDENTS!$C$3:$C$1048576)),"Enter a registered reg. no")</f>
        <v/>
      </c>
      <c r="D344" s="52">
        <f t="array" ref="D344:W344">IF(All_Students_Scores!C342:V342="","",All_Students_Scores!C342:V342)</f>
        <v/>
      </c>
      <c r="E344" s="57" t="str"/>
      <c r="F344" s="66" t="str"/>
      <c r="G344" s="67" t="str"/>
      <c r="H344" s="64" t="str"/>
      <c r="I344" s="65" t="str"/>
      <c r="J344" s="66" t="str"/>
      <c r="K344" s="67" t="str"/>
      <c r="L344" s="41" t="str"/>
      <c r="M344" s="41" t="str"/>
      <c r="N344" s="66" t="str"/>
      <c r="O344" s="67" t="str"/>
      <c r="P344" s="41" t="str"/>
      <c r="Q344" s="41" t="str"/>
      <c r="R344" s="66" t="str"/>
      <c r="S344" s="67" t="str"/>
      <c r="T344" s="41" t="str"/>
      <c r="U344" s="41" t="str"/>
      <c r="V344" s="66" t="str"/>
      <c r="W344" s="67" t="str"/>
    </row>
    <row r="345">
      <c r="B345" s="2">
        <f>IF(STUDENTS!B344="","",STUDENTS!B344)</f>
        <v/>
      </c>
      <c r="C345" s="44">
        <f>IFERROR(IF(B345="","",_xlfn.XLOOKUP(B345,STUDENTS!$B$3:$B$1048576,STUDENTS!$C$3:$C$1048576)),"Enter a registered reg. no")</f>
        <v/>
      </c>
      <c r="D345" s="52">
        <f t="array" ref="D345:W345">IF(All_Students_Scores!C343:V343="","",All_Students_Scores!C343:V343)</f>
        <v/>
      </c>
      <c r="E345" s="55" t="str"/>
      <c r="F345" s="48" t="str"/>
      <c r="G345" s="58" t="str"/>
      <c r="H345" s="62" t="str"/>
      <c r="I345" s="63" t="str"/>
      <c r="J345" s="48" t="str"/>
      <c r="K345" s="58" t="str"/>
      <c r="L345" s="42" t="str"/>
      <c r="M345" s="42" t="str"/>
      <c r="N345" s="48" t="str"/>
      <c r="O345" s="58" t="str"/>
      <c r="P345" s="42" t="str"/>
      <c r="Q345" s="42" t="str"/>
      <c r="R345" s="48" t="str"/>
      <c r="S345" s="58" t="str"/>
      <c r="T345" s="42" t="str"/>
      <c r="U345" s="42" t="str"/>
      <c r="V345" s="48" t="str"/>
      <c r="W345" s="58" t="str"/>
      <c r="X345" s="42" t="n"/>
      <c r="Y345" s="42" t="n"/>
    </row>
    <row r="346">
      <c r="B346" s="2">
        <f>IF(STUDENTS!B345="","",STUDENTS!B345)</f>
        <v/>
      </c>
      <c r="C346" s="44">
        <f>IFERROR(IF(B346="","",_xlfn.XLOOKUP(B346,STUDENTS!$B$3:$B$1048576,STUDENTS!$C$3:$C$1048576)),"Enter a registered reg. no")</f>
        <v/>
      </c>
      <c r="D346" s="52">
        <f t="array" ref="D346:W346">IF(All_Students_Scores!C344:V344="","",All_Students_Scores!C344:V344)</f>
        <v/>
      </c>
      <c r="E346" s="57" t="str"/>
      <c r="F346" s="66" t="str"/>
      <c r="G346" s="67" t="str"/>
      <c r="H346" s="64" t="str"/>
      <c r="I346" s="65" t="str"/>
      <c r="J346" s="66" t="str"/>
      <c r="K346" s="67" t="str"/>
      <c r="L346" s="41" t="str"/>
      <c r="M346" s="41" t="str"/>
      <c r="N346" s="66" t="str"/>
      <c r="O346" s="67" t="str"/>
      <c r="P346" s="41" t="str"/>
      <c r="Q346" s="41" t="str"/>
      <c r="R346" s="66" t="str"/>
      <c r="S346" s="67" t="str"/>
      <c r="T346" s="41" t="str"/>
      <c r="U346" s="41" t="str"/>
      <c r="V346" s="66" t="str"/>
      <c r="W346" s="67" t="str"/>
    </row>
    <row r="347">
      <c r="B347" s="2">
        <f>IF(STUDENTS!B346="","",STUDENTS!B346)</f>
        <v/>
      </c>
      <c r="C347" s="44">
        <f>IFERROR(IF(B347="","",_xlfn.XLOOKUP(B347,STUDENTS!$B$3:$B$1048576,STUDENTS!$C$3:$C$1048576)),"Enter a registered reg. no")</f>
        <v/>
      </c>
      <c r="D347" s="52">
        <f t="array" ref="D347:W347">IF(All_Students_Scores!C345:V345="","",All_Students_Scores!C345:V345)</f>
        <v/>
      </c>
      <c r="E347" s="55" t="str"/>
      <c r="F347" s="48" t="str"/>
      <c r="G347" s="58" t="str"/>
      <c r="H347" s="62" t="str"/>
      <c r="I347" s="63" t="str"/>
      <c r="J347" s="48" t="str"/>
      <c r="K347" s="58" t="str"/>
      <c r="L347" s="42" t="str"/>
      <c r="M347" s="42" t="str"/>
      <c r="N347" s="48" t="str"/>
      <c r="O347" s="58" t="str"/>
      <c r="P347" s="42" t="str"/>
      <c r="Q347" s="42" t="str"/>
      <c r="R347" s="48" t="str"/>
      <c r="S347" s="58" t="str"/>
      <c r="T347" s="42" t="str"/>
      <c r="U347" s="42" t="str"/>
      <c r="V347" s="48" t="str"/>
      <c r="W347" s="58" t="str"/>
      <c r="X347" s="42" t="n"/>
      <c r="Y347" s="42" t="n"/>
    </row>
    <row r="348">
      <c r="B348" s="2">
        <f>IF(STUDENTS!B347="","",STUDENTS!B347)</f>
        <v/>
      </c>
      <c r="C348" s="44">
        <f>IFERROR(IF(B348="","",_xlfn.XLOOKUP(B348,STUDENTS!$B$3:$B$1048576,STUDENTS!$C$3:$C$1048576)),"Enter a registered reg. no")</f>
        <v/>
      </c>
      <c r="D348" s="52">
        <f t="array" ref="D348:W348">IF(All_Students_Scores!C346:V346="","",All_Students_Scores!C346:V346)</f>
        <v/>
      </c>
      <c r="E348" s="57" t="str"/>
      <c r="F348" s="66" t="str"/>
      <c r="G348" s="67" t="str"/>
      <c r="H348" s="64" t="str"/>
      <c r="I348" s="65" t="str"/>
      <c r="J348" s="66" t="str"/>
      <c r="K348" s="67" t="str"/>
      <c r="L348" s="41" t="str"/>
      <c r="M348" s="41" t="str"/>
      <c r="N348" s="66" t="str"/>
      <c r="O348" s="67" t="str"/>
      <c r="P348" s="41" t="str"/>
      <c r="Q348" s="41" t="str"/>
      <c r="R348" s="66" t="str"/>
      <c r="S348" s="67" t="str"/>
      <c r="T348" s="41" t="str"/>
      <c r="U348" s="41" t="str"/>
      <c r="V348" s="66" t="str"/>
      <c r="W348" s="67" t="str"/>
    </row>
    <row r="349">
      <c r="B349" s="2">
        <f>IF(STUDENTS!B348="","",STUDENTS!B348)</f>
        <v/>
      </c>
      <c r="C349" s="44">
        <f>IFERROR(IF(B349="","",_xlfn.XLOOKUP(B349,STUDENTS!$B$3:$B$1048576,STUDENTS!$C$3:$C$1048576)),"Enter a registered reg. no")</f>
        <v/>
      </c>
      <c r="D349" s="52">
        <f t="array" ref="D349:W349">IF(All_Students_Scores!C347:V347="","",All_Students_Scores!C347:V347)</f>
        <v/>
      </c>
      <c r="E349" s="55" t="str"/>
      <c r="F349" s="48" t="str"/>
      <c r="G349" s="58" t="str"/>
      <c r="H349" s="62" t="str"/>
      <c r="I349" s="63" t="str"/>
      <c r="J349" s="48" t="str"/>
      <c r="K349" s="58" t="str"/>
      <c r="L349" s="42" t="str"/>
      <c r="M349" s="42" t="str"/>
      <c r="N349" s="48" t="str"/>
      <c r="O349" s="58" t="str"/>
      <c r="P349" s="42" t="str"/>
      <c r="Q349" s="42" t="str"/>
      <c r="R349" s="48" t="str"/>
      <c r="S349" s="58" t="str"/>
      <c r="T349" s="42" t="str"/>
      <c r="U349" s="42" t="str"/>
      <c r="V349" s="48" t="str"/>
      <c r="W349" s="58" t="str"/>
      <c r="X349" s="42" t="n"/>
      <c r="Y349" s="42" t="n"/>
    </row>
    <row r="350">
      <c r="B350" s="2">
        <f>IF(STUDENTS!B349="","",STUDENTS!B349)</f>
        <v/>
      </c>
      <c r="C350" s="44">
        <f>IFERROR(IF(B350="","",_xlfn.XLOOKUP(B350,STUDENTS!$B$3:$B$1048576,STUDENTS!$C$3:$C$1048576)),"Enter a registered reg. no")</f>
        <v/>
      </c>
      <c r="D350" s="52">
        <f t="array" ref="D350:W350">IF(All_Students_Scores!C348:V348="","",All_Students_Scores!C348:V348)</f>
        <v/>
      </c>
      <c r="E350" s="57" t="str"/>
      <c r="F350" s="66" t="str"/>
      <c r="G350" s="67" t="str"/>
      <c r="H350" s="64" t="str"/>
      <c r="I350" s="65" t="str"/>
      <c r="J350" s="66" t="str"/>
      <c r="K350" s="67" t="str"/>
      <c r="L350" s="41" t="str"/>
      <c r="M350" s="41" t="str"/>
      <c r="N350" s="66" t="str"/>
      <c r="O350" s="67" t="str"/>
      <c r="P350" s="41" t="str"/>
      <c r="Q350" s="41" t="str"/>
      <c r="R350" s="66" t="str"/>
      <c r="S350" s="67" t="str"/>
      <c r="T350" s="41" t="str"/>
      <c r="U350" s="41" t="str"/>
      <c r="V350" s="66" t="str"/>
      <c r="W350" s="67" t="str"/>
    </row>
    <row r="351">
      <c r="B351" s="2">
        <f>IF(STUDENTS!B350="","",STUDENTS!B350)</f>
        <v/>
      </c>
      <c r="C351" s="44">
        <f>IFERROR(IF(B351="","",_xlfn.XLOOKUP(B351,STUDENTS!$B$3:$B$1048576,STUDENTS!$C$3:$C$1048576)),"Enter a registered reg. no")</f>
        <v/>
      </c>
      <c r="D351" s="52">
        <f t="array" ref="D351:W351">IF(All_Students_Scores!C349:V349="","",All_Students_Scores!C349:V349)</f>
        <v/>
      </c>
      <c r="E351" s="55" t="str"/>
      <c r="F351" s="48" t="str"/>
      <c r="G351" s="58" t="str"/>
      <c r="H351" s="62" t="str"/>
      <c r="I351" s="63" t="str"/>
      <c r="J351" s="48" t="str"/>
      <c r="K351" s="58" t="str"/>
      <c r="L351" s="42" t="str"/>
      <c r="M351" s="42" t="str"/>
      <c r="N351" s="48" t="str"/>
      <c r="O351" s="58" t="str"/>
      <c r="P351" s="42" t="str"/>
      <c r="Q351" s="42" t="str"/>
      <c r="R351" s="48" t="str"/>
      <c r="S351" s="58" t="str"/>
      <c r="T351" s="42" t="str"/>
      <c r="U351" s="42" t="str"/>
      <c r="V351" s="48" t="str"/>
      <c r="W351" s="58" t="str"/>
      <c r="X351" s="42" t="n"/>
      <c r="Y351" s="42" t="n"/>
    </row>
    <row r="352">
      <c r="B352" s="2">
        <f>IF(STUDENTS!B351="","",STUDENTS!B351)</f>
        <v/>
      </c>
      <c r="C352" s="44">
        <f>IFERROR(IF(B352="","",_xlfn.XLOOKUP(B352,STUDENTS!$B$3:$B$1048576,STUDENTS!$C$3:$C$1048576)),"Enter a registered reg. no")</f>
        <v/>
      </c>
      <c r="D352" s="52">
        <f t="array" ref="D352:W352">IF(All_Students_Scores!C350:V350="","",All_Students_Scores!C350:V350)</f>
        <v/>
      </c>
      <c r="E352" s="57" t="str"/>
      <c r="F352" s="66" t="str"/>
      <c r="G352" s="67" t="str"/>
      <c r="H352" s="64" t="str"/>
      <c r="I352" s="65" t="str"/>
      <c r="J352" s="66" t="str"/>
      <c r="K352" s="67" t="str"/>
      <c r="L352" s="41" t="str"/>
      <c r="M352" s="41" t="str"/>
      <c r="N352" s="66" t="str"/>
      <c r="O352" s="67" t="str"/>
      <c r="P352" s="41" t="str"/>
      <c r="Q352" s="41" t="str"/>
      <c r="R352" s="66" t="str"/>
      <c r="S352" s="67" t="str"/>
      <c r="T352" s="41" t="str"/>
      <c r="U352" s="41" t="str"/>
      <c r="V352" s="66" t="str"/>
      <c r="W352" s="67" t="str"/>
    </row>
    <row r="353">
      <c r="B353" s="2">
        <f>IF(STUDENTS!B352="","",STUDENTS!B352)</f>
        <v/>
      </c>
      <c r="C353" s="44">
        <f>IFERROR(IF(B353="","",_xlfn.XLOOKUP(B353,STUDENTS!$B$3:$B$1048576,STUDENTS!$C$3:$C$1048576)),"Enter a registered reg. no")</f>
        <v/>
      </c>
      <c r="D353" s="52">
        <f t="array" ref="D353:W353">IF(All_Students_Scores!C351:V351="","",All_Students_Scores!C351:V351)</f>
        <v/>
      </c>
      <c r="E353" s="55" t="str"/>
      <c r="F353" s="48" t="str"/>
      <c r="G353" s="58" t="str"/>
      <c r="H353" s="62" t="str"/>
      <c r="I353" s="63" t="str"/>
      <c r="J353" s="48" t="str"/>
      <c r="K353" s="58" t="str"/>
      <c r="L353" s="42" t="str"/>
      <c r="M353" s="42" t="str"/>
      <c r="N353" s="48" t="str"/>
      <c r="O353" s="58" t="str"/>
      <c r="P353" s="42" t="str"/>
      <c r="Q353" s="42" t="str"/>
      <c r="R353" s="48" t="str"/>
      <c r="S353" s="58" t="str"/>
      <c r="T353" s="42" t="str"/>
      <c r="U353" s="42" t="str"/>
      <c r="V353" s="48" t="str"/>
      <c r="W353" s="58" t="str"/>
      <c r="X353" s="42" t="n"/>
      <c r="Y353" s="42" t="n"/>
    </row>
    <row r="354">
      <c r="B354" s="2">
        <f>IF(STUDENTS!B353="","",STUDENTS!B353)</f>
        <v/>
      </c>
      <c r="C354" s="44">
        <f>IFERROR(IF(B354="","",_xlfn.XLOOKUP(B354,STUDENTS!$B$3:$B$1048576,STUDENTS!$C$3:$C$1048576)),"Enter a registered reg. no")</f>
        <v/>
      </c>
      <c r="D354" s="52">
        <f t="array" ref="D354:W354">IF(All_Students_Scores!C352:V352="","",All_Students_Scores!C352:V352)</f>
        <v/>
      </c>
      <c r="E354" s="57" t="str"/>
      <c r="F354" s="66" t="str"/>
      <c r="G354" s="67" t="str"/>
      <c r="H354" s="64" t="str"/>
      <c r="I354" s="65" t="str"/>
      <c r="J354" s="66" t="str"/>
      <c r="K354" s="67" t="str"/>
      <c r="L354" s="41" t="str"/>
      <c r="M354" s="41" t="str"/>
      <c r="N354" s="66" t="str"/>
      <c r="O354" s="67" t="str"/>
      <c r="P354" s="41" t="str"/>
      <c r="Q354" s="41" t="str"/>
      <c r="R354" s="66" t="str"/>
      <c r="S354" s="67" t="str"/>
      <c r="T354" s="41" t="str"/>
      <c r="U354" s="41" t="str"/>
      <c r="V354" s="66" t="str"/>
      <c r="W354" s="67" t="str"/>
    </row>
    <row r="355">
      <c r="B355" s="2">
        <f>IF(STUDENTS!B354="","",STUDENTS!B354)</f>
        <v/>
      </c>
      <c r="C355" s="44">
        <f>IFERROR(IF(B355="","",_xlfn.XLOOKUP(B355,STUDENTS!$B$3:$B$1048576,STUDENTS!$C$3:$C$1048576)),"Enter a registered reg. no")</f>
        <v/>
      </c>
      <c r="D355" s="52">
        <f t="array" ref="D355:W355">IF(All_Students_Scores!C353:V353="","",All_Students_Scores!C353:V353)</f>
        <v/>
      </c>
      <c r="E355" s="55" t="str"/>
      <c r="F355" s="48" t="str"/>
      <c r="G355" s="58" t="str"/>
      <c r="H355" s="62" t="str"/>
      <c r="I355" s="63" t="str"/>
      <c r="J355" s="48" t="str"/>
      <c r="K355" s="58" t="str"/>
      <c r="L355" s="42" t="str"/>
      <c r="M355" s="42" t="str"/>
      <c r="N355" s="48" t="str"/>
      <c r="O355" s="58" t="str"/>
      <c r="P355" s="42" t="str"/>
      <c r="Q355" s="42" t="str"/>
      <c r="R355" s="48" t="str"/>
      <c r="S355" s="58" t="str"/>
      <c r="T355" s="42" t="str"/>
      <c r="U355" s="42" t="str"/>
      <c r="V355" s="48" t="str"/>
      <c r="W355" s="58" t="str"/>
      <c r="X355" s="42" t="n"/>
      <c r="Y355" s="42" t="n"/>
    </row>
    <row r="356">
      <c r="B356" s="2">
        <f>IF(STUDENTS!B355="","",STUDENTS!B355)</f>
        <v/>
      </c>
      <c r="C356" s="44">
        <f>IFERROR(IF(B356="","",_xlfn.XLOOKUP(B356,STUDENTS!$B$3:$B$1048576,STUDENTS!$C$3:$C$1048576)),"Enter a registered reg. no")</f>
        <v/>
      </c>
      <c r="D356" s="52">
        <f t="array" ref="D356:W356">IF(All_Students_Scores!C354:V354="","",All_Students_Scores!C354:V354)</f>
        <v/>
      </c>
      <c r="E356" s="57" t="str"/>
      <c r="F356" s="66" t="str"/>
      <c r="G356" s="67" t="str"/>
      <c r="H356" s="64" t="str"/>
      <c r="I356" s="65" t="str"/>
      <c r="J356" s="66" t="str"/>
      <c r="K356" s="67" t="str"/>
      <c r="L356" s="41" t="str"/>
      <c r="M356" s="41" t="str"/>
      <c r="N356" s="66" t="str"/>
      <c r="O356" s="67" t="str"/>
      <c r="P356" s="41" t="str"/>
      <c r="Q356" s="41" t="str"/>
      <c r="R356" s="66" t="str"/>
      <c r="S356" s="67" t="str"/>
      <c r="T356" s="41" t="str"/>
      <c r="U356" s="41" t="str"/>
      <c r="V356" s="66" t="str"/>
      <c r="W356" s="67" t="str"/>
    </row>
    <row r="357">
      <c r="B357" s="2">
        <f>IF(STUDENTS!B356="","",STUDENTS!B356)</f>
        <v/>
      </c>
      <c r="C357" s="44">
        <f>IFERROR(IF(B357="","",_xlfn.XLOOKUP(B357,STUDENTS!$B$3:$B$1048576,STUDENTS!$C$3:$C$1048576)),"Enter a registered reg. no")</f>
        <v/>
      </c>
      <c r="D357" s="52">
        <f t="array" ref="D357:W357">IF(All_Students_Scores!C355:V355="","",All_Students_Scores!C355:V355)</f>
        <v/>
      </c>
      <c r="E357" s="55" t="str"/>
      <c r="F357" s="48" t="str"/>
      <c r="G357" s="58" t="str"/>
      <c r="H357" s="62" t="str"/>
      <c r="I357" s="63" t="str"/>
      <c r="J357" s="48" t="str"/>
      <c r="K357" s="58" t="str"/>
      <c r="L357" s="42" t="str"/>
      <c r="M357" s="42" t="str"/>
      <c r="N357" s="48" t="str"/>
      <c r="O357" s="58" t="str"/>
      <c r="P357" s="42" t="str"/>
      <c r="Q357" s="42" t="str"/>
      <c r="R357" s="48" t="str"/>
      <c r="S357" s="58" t="str"/>
      <c r="T357" s="42" t="str"/>
      <c r="U357" s="42" t="str"/>
      <c r="V357" s="48" t="str"/>
      <c r="W357" s="58" t="str"/>
      <c r="X357" s="42" t="n"/>
      <c r="Y357" s="42" t="n"/>
    </row>
    <row r="358">
      <c r="B358" s="2">
        <f>IF(STUDENTS!B357="","",STUDENTS!B357)</f>
        <v/>
      </c>
      <c r="C358" s="44">
        <f>IFERROR(IF(B358="","",_xlfn.XLOOKUP(B358,STUDENTS!$B$3:$B$1048576,STUDENTS!$C$3:$C$1048576)),"Enter a registered reg. no")</f>
        <v/>
      </c>
      <c r="D358" s="52">
        <f t="array" ref="D358:W358">IF(All_Students_Scores!C356:V356="","",All_Students_Scores!C356:V356)</f>
        <v/>
      </c>
      <c r="E358" s="57" t="str"/>
      <c r="F358" s="66" t="str"/>
      <c r="G358" s="67" t="str"/>
      <c r="H358" s="64" t="str"/>
      <c r="I358" s="65" t="str"/>
      <c r="J358" s="66" t="str"/>
      <c r="K358" s="67" t="str"/>
      <c r="L358" s="41" t="str"/>
      <c r="M358" s="41" t="str"/>
      <c r="N358" s="66" t="str"/>
      <c r="O358" s="67" t="str"/>
      <c r="P358" s="41" t="str"/>
      <c r="Q358" s="41" t="str"/>
      <c r="R358" s="66" t="str"/>
      <c r="S358" s="67" t="str"/>
      <c r="T358" s="41" t="str"/>
      <c r="U358" s="41" t="str"/>
      <c r="V358" s="66" t="str"/>
      <c r="W358" s="67" t="str"/>
    </row>
    <row r="359">
      <c r="B359" s="2">
        <f>IF(STUDENTS!B358="","",STUDENTS!B358)</f>
        <v/>
      </c>
      <c r="C359" s="44">
        <f>IFERROR(IF(B359="","",_xlfn.XLOOKUP(B359,STUDENTS!$B$3:$B$1048576,STUDENTS!$C$3:$C$1048576)),"Enter a registered reg. no")</f>
        <v/>
      </c>
      <c r="D359" s="52">
        <f t="array" ref="D359:W359">IF(All_Students_Scores!C357:V357="","",All_Students_Scores!C357:V357)</f>
        <v/>
      </c>
      <c r="E359" s="55" t="str"/>
      <c r="F359" s="48" t="str"/>
      <c r="G359" s="58" t="str"/>
      <c r="H359" s="62" t="str"/>
      <c r="I359" s="63" t="str"/>
      <c r="J359" s="48" t="str"/>
      <c r="K359" s="58" t="str"/>
      <c r="L359" s="42" t="str"/>
      <c r="M359" s="42" t="str"/>
      <c r="N359" s="48" t="str"/>
      <c r="O359" s="58" t="str"/>
      <c r="P359" s="42" t="str"/>
      <c r="Q359" s="42" t="str"/>
      <c r="R359" s="48" t="str"/>
      <c r="S359" s="58" t="str"/>
      <c r="T359" s="42" t="str"/>
      <c r="U359" s="42" t="str"/>
      <c r="V359" s="48" t="str"/>
      <c r="W359" s="58" t="str"/>
      <c r="X359" s="42" t="n"/>
      <c r="Y359" s="42" t="n"/>
    </row>
    <row r="360">
      <c r="B360" s="2">
        <f>IF(STUDENTS!B359="","",STUDENTS!B359)</f>
        <v/>
      </c>
      <c r="C360" s="44">
        <f>IFERROR(IF(B360="","",_xlfn.XLOOKUP(B360,STUDENTS!$B$3:$B$1048576,STUDENTS!$C$3:$C$1048576)),"Enter a registered reg. no")</f>
        <v/>
      </c>
      <c r="D360" s="52">
        <f t="array" ref="D360:W360">IF(All_Students_Scores!C358:V358="","",All_Students_Scores!C358:V358)</f>
        <v/>
      </c>
      <c r="E360" s="57" t="str"/>
      <c r="F360" s="66" t="str"/>
      <c r="G360" s="67" t="str"/>
      <c r="H360" s="64" t="str"/>
      <c r="I360" s="65" t="str"/>
      <c r="J360" s="66" t="str"/>
      <c r="K360" s="67" t="str"/>
      <c r="L360" s="41" t="str"/>
      <c r="M360" s="41" t="str"/>
      <c r="N360" s="66" t="str"/>
      <c r="O360" s="67" t="str"/>
      <c r="P360" s="41" t="str"/>
      <c r="Q360" s="41" t="str"/>
      <c r="R360" s="66" t="str"/>
      <c r="S360" s="67" t="str"/>
      <c r="T360" s="41" t="str"/>
      <c r="U360" s="41" t="str"/>
      <c r="V360" s="66" t="str"/>
      <c r="W360" s="67" t="str"/>
    </row>
    <row r="361">
      <c r="B361" s="2">
        <f>IF(STUDENTS!B360="","",STUDENTS!B360)</f>
        <v/>
      </c>
      <c r="C361" s="44">
        <f>IFERROR(IF(B361="","",_xlfn.XLOOKUP(B361,STUDENTS!$B$3:$B$1048576,STUDENTS!$C$3:$C$1048576)),"Enter a registered reg. no")</f>
        <v/>
      </c>
      <c r="D361" s="52">
        <f t="array" ref="D361:W361">IF(All_Students_Scores!C359:V359="","",All_Students_Scores!C359:V359)</f>
        <v/>
      </c>
      <c r="E361" s="55" t="str"/>
      <c r="F361" s="48" t="str"/>
      <c r="G361" s="58" t="str"/>
      <c r="H361" s="62" t="str"/>
      <c r="I361" s="63" t="str"/>
      <c r="J361" s="48" t="str"/>
      <c r="K361" s="58" t="str"/>
      <c r="L361" s="42" t="str"/>
      <c r="M361" s="42" t="str"/>
      <c r="N361" s="48" t="str"/>
      <c r="O361" s="58" t="str"/>
      <c r="P361" s="42" t="str"/>
      <c r="Q361" s="42" t="str"/>
      <c r="R361" s="48" t="str"/>
      <c r="S361" s="58" t="str"/>
      <c r="T361" s="42" t="str"/>
      <c r="U361" s="42" t="str"/>
      <c r="V361" s="48" t="str"/>
      <c r="W361" s="58" t="str"/>
      <c r="X361" s="42" t="n"/>
      <c r="Y361" s="42" t="n"/>
    </row>
    <row r="362">
      <c r="B362" s="2">
        <f>IF(STUDENTS!B361="","",STUDENTS!B361)</f>
        <v/>
      </c>
      <c r="C362" s="44">
        <f>IFERROR(IF(B362="","",_xlfn.XLOOKUP(B362,STUDENTS!$B$3:$B$1048576,STUDENTS!$C$3:$C$1048576)),"Enter a registered reg. no")</f>
        <v/>
      </c>
      <c r="D362" s="52">
        <f t="array" ref="D362:W362">IF(All_Students_Scores!C360:V360="","",All_Students_Scores!C360:V360)</f>
        <v/>
      </c>
      <c r="E362" s="57" t="str"/>
      <c r="F362" s="66" t="str"/>
      <c r="G362" s="67" t="str"/>
      <c r="H362" s="64" t="str"/>
      <c r="I362" s="65" t="str"/>
      <c r="J362" s="66" t="str"/>
      <c r="K362" s="67" t="str"/>
      <c r="L362" s="41" t="str"/>
      <c r="M362" s="41" t="str"/>
      <c r="N362" s="66" t="str"/>
      <c r="O362" s="67" t="str"/>
      <c r="P362" s="41" t="str"/>
      <c r="Q362" s="41" t="str"/>
      <c r="R362" s="66" t="str"/>
      <c r="S362" s="67" t="str"/>
      <c r="T362" s="41" t="str"/>
      <c r="U362" s="41" t="str"/>
      <c r="V362" s="66" t="str"/>
      <c r="W362" s="67" t="str"/>
    </row>
    <row r="363">
      <c r="B363" s="2">
        <f>IF(STUDENTS!B362="","",STUDENTS!B362)</f>
        <v/>
      </c>
      <c r="C363" s="44">
        <f>IFERROR(IF(B363="","",_xlfn.XLOOKUP(B363,STUDENTS!$B$3:$B$1048576,STUDENTS!$C$3:$C$1048576)),"Enter a registered reg. no")</f>
        <v/>
      </c>
      <c r="D363" s="52">
        <f t="array" ref="D363:W363">IF(All_Students_Scores!C361:V361="","",All_Students_Scores!C361:V361)</f>
        <v/>
      </c>
      <c r="E363" s="55" t="str"/>
      <c r="F363" s="48" t="str"/>
      <c r="G363" s="58" t="str"/>
      <c r="H363" s="62" t="str"/>
      <c r="I363" s="63" t="str"/>
      <c r="J363" s="48" t="str"/>
      <c r="K363" s="58" t="str"/>
      <c r="L363" s="42" t="str"/>
      <c r="M363" s="42" t="str"/>
      <c r="N363" s="48" t="str"/>
      <c r="O363" s="58" t="str"/>
      <c r="P363" s="42" t="str"/>
      <c r="Q363" s="42" t="str"/>
      <c r="R363" s="48" t="str"/>
      <c r="S363" s="58" t="str"/>
      <c r="T363" s="42" t="str"/>
      <c r="U363" s="42" t="str"/>
      <c r="V363" s="48" t="str"/>
      <c r="W363" s="58" t="str"/>
      <c r="X363" s="42" t="n"/>
      <c r="Y363" s="42" t="n"/>
    </row>
    <row r="364">
      <c r="B364" s="2">
        <f>IF(STUDENTS!B363="","",STUDENTS!B363)</f>
        <v/>
      </c>
      <c r="C364" s="44">
        <f>IFERROR(IF(B364="","",_xlfn.XLOOKUP(B364,STUDENTS!$B$3:$B$1048576,STUDENTS!$C$3:$C$1048576)),"Enter a registered reg. no")</f>
        <v/>
      </c>
      <c r="D364" s="52">
        <f t="array" ref="D364:W364">IF(All_Students_Scores!C362:V362="","",All_Students_Scores!C362:V362)</f>
        <v/>
      </c>
      <c r="E364" s="57" t="str"/>
      <c r="F364" s="66" t="str"/>
      <c r="G364" s="67" t="str"/>
      <c r="H364" s="64" t="str"/>
      <c r="I364" s="65" t="str"/>
      <c r="J364" s="66" t="str"/>
      <c r="K364" s="67" t="str"/>
      <c r="L364" s="41" t="str"/>
      <c r="M364" s="41" t="str"/>
      <c r="N364" s="66" t="str"/>
      <c r="O364" s="67" t="str"/>
      <c r="P364" s="41" t="str"/>
      <c r="Q364" s="41" t="str"/>
      <c r="R364" s="66" t="str"/>
      <c r="S364" s="67" t="str"/>
      <c r="T364" s="41" t="str"/>
      <c r="U364" s="41" t="str"/>
      <c r="V364" s="66" t="str"/>
      <c r="W364" s="67" t="str"/>
    </row>
    <row r="365">
      <c r="B365" s="2">
        <f>IF(STUDENTS!B364="","",STUDENTS!B364)</f>
        <v/>
      </c>
      <c r="C365" s="44">
        <f>IFERROR(IF(B365="","",_xlfn.XLOOKUP(B365,STUDENTS!$B$3:$B$1048576,STUDENTS!$C$3:$C$1048576)),"Enter a registered reg. no")</f>
        <v/>
      </c>
      <c r="D365" s="52">
        <f t="array" ref="D365:W365">IF(All_Students_Scores!C363:V363="","",All_Students_Scores!C363:V363)</f>
        <v/>
      </c>
      <c r="E365" s="55" t="str"/>
      <c r="F365" s="48" t="str"/>
      <c r="G365" s="58" t="str"/>
      <c r="H365" s="62" t="str"/>
      <c r="I365" s="63" t="str"/>
      <c r="J365" s="48" t="str"/>
      <c r="K365" s="58" t="str"/>
      <c r="L365" s="42" t="str"/>
      <c r="M365" s="42" t="str"/>
      <c r="N365" s="48" t="str"/>
      <c r="O365" s="58" t="str"/>
      <c r="P365" s="42" t="str"/>
      <c r="Q365" s="42" t="str"/>
      <c r="R365" s="48" t="str"/>
      <c r="S365" s="58" t="str"/>
      <c r="T365" s="42" t="str"/>
      <c r="U365" s="42" t="str"/>
      <c r="V365" s="48" t="str"/>
      <c r="W365" s="58" t="str"/>
      <c r="X365" s="42" t="n"/>
      <c r="Y365" s="42" t="n"/>
    </row>
    <row r="366">
      <c r="B366" s="2">
        <f>IF(STUDENTS!B365="","",STUDENTS!B365)</f>
        <v/>
      </c>
      <c r="C366" s="44">
        <f>IFERROR(IF(B366="","",_xlfn.XLOOKUP(B366,STUDENTS!$B$3:$B$1048576,STUDENTS!$C$3:$C$1048576)),"Enter a registered reg. no")</f>
        <v/>
      </c>
      <c r="D366" s="52">
        <f t="array" ref="D366:W366">IF(All_Students_Scores!C364:V364="","",All_Students_Scores!C364:V364)</f>
        <v/>
      </c>
      <c r="E366" s="57" t="str"/>
      <c r="F366" s="66" t="str"/>
      <c r="G366" s="67" t="str"/>
      <c r="H366" s="64" t="str"/>
      <c r="I366" s="65" t="str"/>
      <c r="J366" s="66" t="str"/>
      <c r="K366" s="67" t="str"/>
      <c r="L366" s="41" t="str"/>
      <c r="M366" s="41" t="str"/>
      <c r="N366" s="66" t="str"/>
      <c r="O366" s="67" t="str"/>
      <c r="P366" s="41" t="str"/>
      <c r="Q366" s="41" t="str"/>
      <c r="R366" s="66" t="str"/>
      <c r="S366" s="67" t="str"/>
      <c r="T366" s="41" t="str"/>
      <c r="U366" s="41" t="str"/>
      <c r="V366" s="66" t="str"/>
      <c r="W366" s="67" t="str"/>
    </row>
    <row r="367">
      <c r="B367" s="2">
        <f>IF(STUDENTS!B366="","",STUDENTS!B366)</f>
        <v/>
      </c>
      <c r="C367" s="44">
        <f>IFERROR(IF(B367="","",_xlfn.XLOOKUP(B367,STUDENTS!$B$3:$B$1048576,STUDENTS!$C$3:$C$1048576)),"Enter a registered reg. no")</f>
        <v/>
      </c>
      <c r="D367" s="52">
        <f t="array" ref="D367:W367">IF(All_Students_Scores!C365:V365="","",All_Students_Scores!C365:V365)</f>
        <v/>
      </c>
      <c r="E367" s="55" t="str"/>
      <c r="F367" s="48" t="str"/>
      <c r="G367" s="58" t="str"/>
      <c r="H367" s="62" t="str"/>
      <c r="I367" s="63" t="str"/>
      <c r="J367" s="48" t="str"/>
      <c r="K367" s="58" t="str"/>
      <c r="L367" s="42" t="str"/>
      <c r="M367" s="42" t="str"/>
      <c r="N367" s="48" t="str"/>
      <c r="O367" s="58" t="str"/>
      <c r="P367" s="42" t="str"/>
      <c r="Q367" s="42" t="str"/>
      <c r="R367" s="48" t="str"/>
      <c r="S367" s="58" t="str"/>
      <c r="T367" s="42" t="str"/>
      <c r="U367" s="42" t="str"/>
      <c r="V367" s="48" t="str"/>
      <c r="W367" s="58" t="str"/>
      <c r="X367" s="42" t="n"/>
      <c r="Y367" s="42" t="n"/>
    </row>
    <row r="368">
      <c r="B368" s="2">
        <f>IF(STUDENTS!B367="","",STUDENTS!B367)</f>
        <v/>
      </c>
      <c r="C368" s="44">
        <f>IFERROR(IF(B368="","",_xlfn.XLOOKUP(B368,STUDENTS!$B$3:$B$1048576,STUDENTS!$C$3:$C$1048576)),"Enter a registered reg. no")</f>
        <v/>
      </c>
      <c r="D368" s="52">
        <f t="array" ref="D368:W368">IF(All_Students_Scores!C366:V366="","",All_Students_Scores!C366:V366)</f>
        <v/>
      </c>
      <c r="E368" s="57" t="str"/>
      <c r="F368" s="66" t="str"/>
      <c r="G368" s="67" t="str"/>
      <c r="H368" s="64" t="str"/>
      <c r="I368" s="65" t="str"/>
      <c r="J368" s="66" t="str"/>
      <c r="K368" s="67" t="str"/>
      <c r="L368" s="41" t="str"/>
      <c r="M368" s="41" t="str"/>
      <c r="N368" s="66" t="str"/>
      <c r="O368" s="67" t="str"/>
      <c r="P368" s="41" t="str"/>
      <c r="Q368" s="41" t="str"/>
      <c r="R368" s="66" t="str"/>
      <c r="S368" s="67" t="str"/>
      <c r="T368" s="41" t="str"/>
      <c r="U368" s="41" t="str"/>
      <c r="V368" s="66" t="str"/>
      <c r="W368" s="67" t="str"/>
    </row>
    <row r="369">
      <c r="B369" s="2">
        <f>IF(STUDENTS!B368="","",STUDENTS!B368)</f>
        <v/>
      </c>
      <c r="C369" s="44">
        <f>IFERROR(IF(B369="","",_xlfn.XLOOKUP(B369,STUDENTS!$B$3:$B$1048576,STUDENTS!$C$3:$C$1048576)),"Enter a registered reg. no")</f>
        <v/>
      </c>
      <c r="D369" s="52">
        <f t="array" ref="D369:W369">IF(All_Students_Scores!C367:V367="","",All_Students_Scores!C367:V367)</f>
        <v/>
      </c>
      <c r="E369" s="55" t="str"/>
      <c r="F369" s="48" t="str"/>
      <c r="G369" s="58" t="str"/>
      <c r="H369" s="62" t="str"/>
      <c r="I369" s="63" t="str"/>
      <c r="J369" s="48" t="str"/>
      <c r="K369" s="58" t="str"/>
      <c r="L369" s="42" t="str"/>
      <c r="M369" s="42" t="str"/>
      <c r="N369" s="48" t="str"/>
      <c r="O369" s="58" t="str"/>
      <c r="P369" s="42" t="str"/>
      <c r="Q369" s="42" t="str"/>
      <c r="R369" s="48" t="str"/>
      <c r="S369" s="58" t="str"/>
      <c r="T369" s="42" t="str"/>
      <c r="U369" s="42" t="str"/>
      <c r="V369" s="48" t="str"/>
      <c r="W369" s="58" t="str"/>
      <c r="X369" s="42" t="n"/>
      <c r="Y369" s="42" t="n"/>
    </row>
    <row r="370">
      <c r="B370" s="2">
        <f>IF(STUDENTS!B369="","",STUDENTS!B369)</f>
        <v/>
      </c>
      <c r="C370" s="44">
        <f>IFERROR(IF(B370="","",_xlfn.XLOOKUP(B370,STUDENTS!$B$3:$B$1048576,STUDENTS!$C$3:$C$1048576)),"Enter a registered reg. no")</f>
        <v/>
      </c>
      <c r="D370" s="52">
        <f t="array" ref="D370:W370">IF(All_Students_Scores!C368:V368="","",All_Students_Scores!C368:V368)</f>
        <v/>
      </c>
      <c r="E370" s="57" t="str"/>
      <c r="F370" s="66" t="str"/>
      <c r="G370" s="67" t="str"/>
      <c r="H370" s="64" t="str"/>
      <c r="I370" s="65" t="str"/>
      <c r="J370" s="66" t="str"/>
      <c r="K370" s="67" t="str"/>
      <c r="L370" s="41" t="str"/>
      <c r="M370" s="41" t="str"/>
      <c r="N370" s="66" t="str"/>
      <c r="O370" s="67" t="str"/>
      <c r="P370" s="41" t="str"/>
      <c r="Q370" s="41" t="str"/>
      <c r="R370" s="66" t="str"/>
      <c r="S370" s="67" t="str"/>
      <c r="T370" s="41" t="str"/>
      <c r="U370" s="41" t="str"/>
      <c r="V370" s="66" t="str"/>
      <c r="W370" s="67" t="str"/>
    </row>
    <row r="371">
      <c r="B371" s="2">
        <f>IF(STUDENTS!B370="","",STUDENTS!B370)</f>
        <v/>
      </c>
      <c r="C371" s="44">
        <f>IFERROR(IF(B371="","",_xlfn.XLOOKUP(B371,STUDENTS!$B$3:$B$1048576,STUDENTS!$C$3:$C$1048576)),"Enter a registered reg. no")</f>
        <v/>
      </c>
      <c r="D371" s="52">
        <f t="array" ref="D371:W371">IF(All_Students_Scores!C369:V369="","",All_Students_Scores!C369:V369)</f>
        <v/>
      </c>
      <c r="E371" s="55" t="str"/>
      <c r="F371" s="48" t="str"/>
      <c r="G371" s="58" t="str"/>
      <c r="H371" s="62" t="str"/>
      <c r="I371" s="63" t="str"/>
      <c r="J371" s="48" t="str"/>
      <c r="K371" s="58" t="str"/>
      <c r="L371" s="42" t="str"/>
      <c r="M371" s="42" t="str"/>
      <c r="N371" s="48" t="str"/>
      <c r="O371" s="58" t="str"/>
      <c r="P371" s="42" t="str"/>
      <c r="Q371" s="42" t="str"/>
      <c r="R371" s="48" t="str"/>
      <c r="S371" s="58" t="str"/>
      <c r="T371" s="42" t="str"/>
      <c r="U371" s="42" t="str"/>
      <c r="V371" s="48" t="str"/>
      <c r="W371" s="58" t="str"/>
      <c r="X371" s="42" t="n"/>
      <c r="Y371" s="42" t="n"/>
    </row>
    <row r="372">
      <c r="B372" s="2">
        <f>IF(STUDENTS!B371="","",STUDENTS!B371)</f>
        <v/>
      </c>
      <c r="C372" s="44">
        <f>IFERROR(IF(B372="","",_xlfn.XLOOKUP(B372,STUDENTS!$B$3:$B$1048576,STUDENTS!$C$3:$C$1048576)),"Enter a registered reg. no")</f>
        <v/>
      </c>
      <c r="D372" s="52">
        <f t="array" ref="D372:W372">IF(All_Students_Scores!C370:V370="","",All_Students_Scores!C370:V370)</f>
        <v/>
      </c>
      <c r="E372" s="57" t="str"/>
      <c r="F372" s="66" t="str"/>
      <c r="G372" s="67" t="str"/>
      <c r="H372" s="64" t="str"/>
      <c r="I372" s="65" t="str"/>
      <c r="J372" s="66" t="str"/>
      <c r="K372" s="67" t="str"/>
      <c r="L372" s="41" t="str"/>
      <c r="M372" s="41" t="str"/>
      <c r="N372" s="66" t="str"/>
      <c r="O372" s="67" t="str"/>
      <c r="P372" s="41" t="str"/>
      <c r="Q372" s="41" t="str"/>
      <c r="R372" s="66" t="str"/>
      <c r="S372" s="67" t="str"/>
      <c r="T372" s="41" t="str"/>
      <c r="U372" s="41" t="str"/>
      <c r="V372" s="66" t="str"/>
      <c r="W372" s="67" t="str"/>
    </row>
    <row r="373">
      <c r="B373" s="2">
        <f>IF(STUDENTS!B372="","",STUDENTS!B372)</f>
        <v/>
      </c>
      <c r="C373" s="44">
        <f>IFERROR(IF(B373="","",_xlfn.XLOOKUP(B373,STUDENTS!$B$3:$B$1048576,STUDENTS!$C$3:$C$1048576)),"Enter a registered reg. no")</f>
        <v/>
      </c>
      <c r="D373" s="52">
        <f t="array" ref="D373:W373">IF(All_Students_Scores!C371:V371="","",All_Students_Scores!C371:V371)</f>
        <v/>
      </c>
      <c r="E373" s="55" t="str"/>
      <c r="F373" s="48" t="str"/>
      <c r="G373" s="58" t="str"/>
      <c r="H373" s="62" t="str"/>
      <c r="I373" s="63" t="str"/>
      <c r="J373" s="48" t="str"/>
      <c r="K373" s="58" t="str"/>
      <c r="L373" s="42" t="str"/>
      <c r="M373" s="42" t="str"/>
      <c r="N373" s="48" t="str"/>
      <c r="O373" s="58" t="str"/>
      <c r="P373" s="42" t="str"/>
      <c r="Q373" s="42" t="str"/>
      <c r="R373" s="48" t="str"/>
      <c r="S373" s="58" t="str"/>
      <c r="T373" s="42" t="str"/>
      <c r="U373" s="42" t="str"/>
      <c r="V373" s="48" t="str"/>
      <c r="W373" s="58" t="str"/>
      <c r="X373" s="42" t="n"/>
      <c r="Y373" s="42" t="n"/>
    </row>
    <row r="374">
      <c r="B374" s="2">
        <f>IF(STUDENTS!B373="","",STUDENTS!B373)</f>
        <v/>
      </c>
      <c r="C374" s="44">
        <f>IFERROR(IF(B374="","",_xlfn.XLOOKUP(B374,STUDENTS!$B$3:$B$1048576,STUDENTS!$C$3:$C$1048576)),"Enter a registered reg. no")</f>
        <v/>
      </c>
      <c r="D374" s="52">
        <f t="array" ref="D374:W374">IF(All_Students_Scores!C372:V372="","",All_Students_Scores!C372:V372)</f>
        <v/>
      </c>
      <c r="E374" s="57" t="str"/>
      <c r="F374" s="66" t="str"/>
      <c r="G374" s="67" t="str"/>
      <c r="H374" s="64" t="str"/>
      <c r="I374" s="65" t="str"/>
      <c r="J374" s="66" t="str"/>
      <c r="K374" s="67" t="str"/>
      <c r="L374" s="41" t="str"/>
      <c r="M374" s="41" t="str"/>
      <c r="N374" s="66" t="str"/>
      <c r="O374" s="67" t="str"/>
      <c r="P374" s="41" t="str"/>
      <c r="Q374" s="41" t="str"/>
      <c r="R374" s="66" t="str"/>
      <c r="S374" s="67" t="str"/>
      <c r="T374" s="41" t="str"/>
      <c r="U374" s="41" t="str"/>
      <c r="V374" s="66" t="str"/>
      <c r="W374" s="67" t="str"/>
    </row>
    <row r="375">
      <c r="B375" s="2">
        <f>IF(STUDENTS!B374="","",STUDENTS!B374)</f>
        <v/>
      </c>
      <c r="C375" s="44">
        <f>IFERROR(IF(B375="","",_xlfn.XLOOKUP(B375,STUDENTS!$B$3:$B$1048576,STUDENTS!$C$3:$C$1048576)),"Enter a registered reg. no")</f>
        <v/>
      </c>
      <c r="D375" s="52">
        <f t="array" ref="D375:W375">IF(All_Students_Scores!C373:V373="","",All_Students_Scores!C373:V373)</f>
        <v/>
      </c>
      <c r="E375" s="55" t="str"/>
      <c r="F375" s="48" t="str"/>
      <c r="G375" s="58" t="str"/>
      <c r="H375" s="62" t="str"/>
      <c r="I375" s="63" t="str"/>
      <c r="J375" s="48" t="str"/>
      <c r="K375" s="58" t="str"/>
      <c r="L375" s="42" t="str"/>
      <c r="M375" s="42" t="str"/>
      <c r="N375" s="48" t="str"/>
      <c r="O375" s="58" t="str"/>
      <c r="P375" s="42" t="str"/>
      <c r="Q375" s="42" t="str"/>
      <c r="R375" s="48" t="str"/>
      <c r="S375" s="58" t="str"/>
      <c r="T375" s="42" t="str"/>
      <c r="U375" s="42" t="str"/>
      <c r="V375" s="48" t="str"/>
      <c r="W375" s="58" t="str"/>
      <c r="X375" s="42" t="n"/>
      <c r="Y375" s="42" t="n"/>
    </row>
    <row r="376">
      <c r="B376" s="2">
        <f>IF(STUDENTS!B375="","",STUDENTS!B375)</f>
        <v/>
      </c>
      <c r="C376" s="44">
        <f>IFERROR(IF(B376="","",_xlfn.XLOOKUP(B376,STUDENTS!$B$3:$B$1048576,STUDENTS!$C$3:$C$1048576)),"Enter a registered reg. no")</f>
        <v/>
      </c>
      <c r="D376" s="52">
        <f t="array" ref="D376:W376">IF(All_Students_Scores!C374:V374="","",All_Students_Scores!C374:V374)</f>
        <v/>
      </c>
      <c r="E376" s="57" t="str"/>
      <c r="F376" s="66" t="str"/>
      <c r="G376" s="67" t="str"/>
      <c r="H376" s="64" t="str"/>
      <c r="I376" s="65" t="str"/>
      <c r="J376" s="66" t="str"/>
      <c r="K376" s="67" t="str"/>
      <c r="L376" s="41" t="str"/>
      <c r="M376" s="41" t="str"/>
      <c r="N376" s="66" t="str"/>
      <c r="O376" s="67" t="str"/>
      <c r="P376" s="41" t="str"/>
      <c r="Q376" s="41" t="str"/>
      <c r="R376" s="66" t="str"/>
      <c r="S376" s="67" t="str"/>
      <c r="T376" s="41" t="str"/>
      <c r="U376" s="41" t="str"/>
      <c r="V376" s="66" t="str"/>
      <c r="W376" s="67" t="str"/>
    </row>
    <row r="377">
      <c r="B377" s="2">
        <f>IF(STUDENTS!B376="","",STUDENTS!B376)</f>
        <v/>
      </c>
      <c r="C377" s="44">
        <f>IFERROR(IF(B377="","",_xlfn.XLOOKUP(B377,STUDENTS!$B$3:$B$1048576,STUDENTS!$C$3:$C$1048576)),"Enter a registered reg. no")</f>
        <v/>
      </c>
      <c r="D377" s="52">
        <f t="array" ref="D377:W377">IF(All_Students_Scores!C375:V375="","",All_Students_Scores!C375:V375)</f>
        <v/>
      </c>
      <c r="E377" s="55" t="str"/>
      <c r="F377" s="48" t="str"/>
      <c r="G377" s="58" t="str"/>
      <c r="H377" s="62" t="str"/>
      <c r="I377" s="63" t="str"/>
      <c r="J377" s="48" t="str"/>
      <c r="K377" s="58" t="str"/>
      <c r="L377" s="42" t="str"/>
      <c r="M377" s="42" t="str"/>
      <c r="N377" s="48" t="str"/>
      <c r="O377" s="58" t="str"/>
      <c r="P377" s="42" t="str"/>
      <c r="Q377" s="42" t="str"/>
      <c r="R377" s="48" t="str"/>
      <c r="S377" s="58" t="str"/>
      <c r="T377" s="42" t="str"/>
      <c r="U377" s="42" t="str"/>
      <c r="V377" s="48" t="str"/>
      <c r="W377" s="58" t="str"/>
      <c r="X377" s="42" t="n"/>
      <c r="Y377" s="42" t="n"/>
    </row>
    <row r="378">
      <c r="B378" s="2">
        <f>IF(STUDENTS!B377="","",STUDENTS!B377)</f>
        <v/>
      </c>
      <c r="C378" s="44">
        <f>IFERROR(IF(B378="","",_xlfn.XLOOKUP(B378,STUDENTS!$B$3:$B$1048576,STUDENTS!$C$3:$C$1048576)),"Enter a registered reg. no")</f>
        <v/>
      </c>
      <c r="D378" s="52">
        <f t="array" ref="D378:W378">IF(All_Students_Scores!C376:V376="","",All_Students_Scores!C376:V376)</f>
        <v/>
      </c>
      <c r="E378" s="57" t="str"/>
      <c r="F378" s="66" t="str"/>
      <c r="G378" s="67" t="str"/>
      <c r="H378" s="64" t="str"/>
      <c r="I378" s="65" t="str"/>
      <c r="J378" s="66" t="str"/>
      <c r="K378" s="67" t="str"/>
      <c r="L378" s="41" t="str"/>
      <c r="M378" s="41" t="str"/>
      <c r="N378" s="66" t="str"/>
      <c r="O378" s="67" t="str"/>
      <c r="P378" s="41" t="str"/>
      <c r="Q378" s="41" t="str"/>
      <c r="R378" s="66" t="str"/>
      <c r="S378" s="67" t="str"/>
      <c r="T378" s="41" t="str"/>
      <c r="U378" s="41" t="str"/>
      <c r="V378" s="66" t="str"/>
      <c r="W378" s="67" t="str"/>
    </row>
    <row r="379">
      <c r="B379" s="2">
        <f>IF(STUDENTS!B378="","",STUDENTS!B378)</f>
        <v/>
      </c>
      <c r="C379" s="44">
        <f>IFERROR(IF(B379="","",_xlfn.XLOOKUP(B379,STUDENTS!$B$3:$B$1048576,STUDENTS!$C$3:$C$1048576)),"Enter a registered reg. no")</f>
        <v/>
      </c>
      <c r="D379" s="52">
        <f t="array" ref="D379:W379">IF(All_Students_Scores!C377:V377="","",All_Students_Scores!C377:V377)</f>
        <v/>
      </c>
      <c r="E379" s="55" t="str"/>
      <c r="F379" s="48" t="str"/>
      <c r="G379" s="58" t="str"/>
      <c r="H379" s="62" t="str"/>
      <c r="I379" s="63" t="str"/>
      <c r="J379" s="48" t="str"/>
      <c r="K379" s="58" t="str"/>
      <c r="L379" s="42" t="str"/>
      <c r="M379" s="42" t="str"/>
      <c r="N379" s="48" t="str"/>
      <c r="O379" s="58" t="str"/>
      <c r="P379" s="42" t="str"/>
      <c r="Q379" s="42" t="str"/>
      <c r="R379" s="48" t="str"/>
      <c r="S379" s="58" t="str"/>
      <c r="T379" s="42" t="str"/>
      <c r="U379" s="42" t="str"/>
      <c r="V379" s="48" t="str"/>
      <c r="W379" s="58" t="str"/>
      <c r="X379" s="42" t="n"/>
      <c r="Y379" s="42" t="n"/>
    </row>
    <row r="380">
      <c r="B380" s="2">
        <f>IF(STUDENTS!B379="","",STUDENTS!B379)</f>
        <v/>
      </c>
      <c r="C380" s="44">
        <f>IFERROR(IF(B380="","",_xlfn.XLOOKUP(B380,STUDENTS!$B$3:$B$1048576,STUDENTS!$C$3:$C$1048576)),"Enter a registered reg. no")</f>
        <v/>
      </c>
      <c r="D380" s="52">
        <f t="array" ref="D380:W380">IF(All_Students_Scores!C378:V378="","",All_Students_Scores!C378:V378)</f>
        <v/>
      </c>
      <c r="E380" s="57" t="str"/>
      <c r="F380" s="66" t="str"/>
      <c r="G380" s="67" t="str"/>
      <c r="H380" s="64" t="str"/>
      <c r="I380" s="65" t="str"/>
      <c r="J380" s="66" t="str"/>
      <c r="K380" s="67" t="str"/>
      <c r="L380" s="41" t="str"/>
      <c r="M380" s="41" t="str"/>
      <c r="N380" s="66" t="str"/>
      <c r="O380" s="67" t="str"/>
      <c r="P380" s="41" t="str"/>
      <c r="Q380" s="41" t="str"/>
      <c r="R380" s="66" t="str"/>
      <c r="S380" s="67" t="str"/>
      <c r="T380" s="41" t="str"/>
      <c r="U380" s="41" t="str"/>
      <c r="V380" s="66" t="str"/>
      <c r="W380" s="67" t="str"/>
    </row>
    <row r="381">
      <c r="B381" s="2">
        <f>IF(STUDENTS!B380="","",STUDENTS!B380)</f>
        <v/>
      </c>
      <c r="C381" s="44">
        <f>IFERROR(IF(B381="","",_xlfn.XLOOKUP(B381,STUDENTS!$B$3:$B$1048576,STUDENTS!$C$3:$C$1048576)),"Enter a registered reg. no")</f>
        <v/>
      </c>
      <c r="D381" s="52">
        <f t="array" ref="D381:W381">IF(All_Students_Scores!C379:V379="","",All_Students_Scores!C379:V379)</f>
        <v/>
      </c>
      <c r="E381" s="55" t="str"/>
      <c r="F381" s="48" t="str"/>
      <c r="G381" s="58" t="str"/>
      <c r="H381" s="62" t="str"/>
      <c r="I381" s="63" t="str"/>
      <c r="J381" s="48" t="str"/>
      <c r="K381" s="58" t="str"/>
      <c r="L381" s="42" t="str"/>
      <c r="M381" s="42" t="str"/>
      <c r="N381" s="48" t="str"/>
      <c r="O381" s="58" t="str"/>
      <c r="P381" s="42" t="str"/>
      <c r="Q381" s="42" t="str"/>
      <c r="R381" s="48" t="str"/>
      <c r="S381" s="58" t="str"/>
      <c r="T381" s="42" t="str"/>
      <c r="U381" s="42" t="str"/>
      <c r="V381" s="48" t="str"/>
      <c r="W381" s="58" t="str"/>
      <c r="X381" s="42" t="n"/>
      <c r="Y381" s="42" t="n"/>
    </row>
    <row r="382">
      <c r="B382" s="2">
        <f>IF(STUDENTS!B381="","",STUDENTS!B381)</f>
        <v/>
      </c>
      <c r="C382" s="44">
        <f>IFERROR(IF(B382="","",_xlfn.XLOOKUP(B382,STUDENTS!$B$3:$B$1048576,STUDENTS!$C$3:$C$1048576)),"Enter a registered reg. no")</f>
        <v/>
      </c>
      <c r="D382" s="52">
        <f t="array" ref="D382:W382">IF(All_Students_Scores!C380:V380="","",All_Students_Scores!C380:V380)</f>
        <v/>
      </c>
      <c r="E382" s="57" t="str"/>
      <c r="F382" s="66" t="str"/>
      <c r="G382" s="67" t="str"/>
      <c r="H382" s="64" t="str"/>
      <c r="I382" s="65" t="str"/>
      <c r="J382" s="66" t="str"/>
      <c r="K382" s="67" t="str"/>
      <c r="L382" s="41" t="str"/>
      <c r="M382" s="41" t="str"/>
      <c r="N382" s="66" t="str"/>
      <c r="O382" s="67" t="str"/>
      <c r="P382" s="41" t="str"/>
      <c r="Q382" s="41" t="str"/>
      <c r="R382" s="66" t="str"/>
      <c r="S382" s="67" t="str"/>
      <c r="T382" s="41" t="str"/>
      <c r="U382" s="41" t="str"/>
      <c r="V382" s="66" t="str"/>
      <c r="W382" s="67" t="str"/>
    </row>
    <row r="383">
      <c r="B383" s="2">
        <f>IF(STUDENTS!B382="","",STUDENTS!B382)</f>
        <v/>
      </c>
      <c r="C383" s="44">
        <f>IFERROR(IF(B383="","",_xlfn.XLOOKUP(B383,STUDENTS!$B$3:$B$1048576,STUDENTS!$C$3:$C$1048576)),"Enter a registered reg. no")</f>
        <v/>
      </c>
      <c r="D383" s="52">
        <f t="array" ref="D383:W383">IF(All_Students_Scores!C381:V381="","",All_Students_Scores!C381:V381)</f>
        <v/>
      </c>
      <c r="E383" s="55" t="str"/>
      <c r="F383" s="48" t="str"/>
      <c r="G383" s="58" t="str"/>
      <c r="H383" s="62" t="str"/>
      <c r="I383" s="63" t="str"/>
      <c r="J383" s="48" t="str"/>
      <c r="K383" s="58" t="str"/>
      <c r="L383" s="42" t="str"/>
      <c r="M383" s="42" t="str"/>
      <c r="N383" s="48" t="str"/>
      <c r="O383" s="58" t="str"/>
      <c r="P383" s="42" t="str"/>
      <c r="Q383" s="42" t="str"/>
      <c r="R383" s="48" t="str"/>
      <c r="S383" s="58" t="str"/>
      <c r="T383" s="42" t="str"/>
      <c r="U383" s="42" t="str"/>
      <c r="V383" s="48" t="str"/>
      <c r="W383" s="58" t="str"/>
      <c r="X383" s="42" t="n"/>
      <c r="Y383" s="42" t="n"/>
    </row>
    <row r="384">
      <c r="B384" s="2">
        <f>IF(STUDENTS!B383="","",STUDENTS!B383)</f>
        <v/>
      </c>
      <c r="C384" s="44">
        <f>IFERROR(IF(B384="","",_xlfn.XLOOKUP(B384,STUDENTS!$B$3:$B$1048576,STUDENTS!$C$3:$C$1048576)),"Enter a registered reg. no")</f>
        <v/>
      </c>
      <c r="D384" s="52">
        <f t="array" ref="D384:W384">IF(All_Students_Scores!C382:V382="","",All_Students_Scores!C382:V382)</f>
        <v/>
      </c>
      <c r="E384" s="57" t="str"/>
      <c r="F384" s="66" t="str"/>
      <c r="G384" s="67" t="str"/>
      <c r="H384" s="64" t="str"/>
      <c r="I384" s="65" t="str"/>
      <c r="J384" s="66" t="str"/>
      <c r="K384" s="67" t="str"/>
      <c r="L384" s="41" t="str"/>
      <c r="M384" s="41" t="str"/>
      <c r="N384" s="66" t="str"/>
      <c r="O384" s="67" t="str"/>
      <c r="P384" s="41" t="str"/>
      <c r="Q384" s="41" t="str"/>
      <c r="R384" s="66" t="str"/>
      <c r="S384" s="67" t="str"/>
      <c r="T384" s="41" t="str"/>
      <c r="U384" s="41" t="str"/>
      <c r="V384" s="66" t="str"/>
      <c r="W384" s="67" t="str"/>
    </row>
    <row r="385">
      <c r="B385" s="2">
        <f>IF(STUDENTS!B384="","",STUDENTS!B384)</f>
        <v/>
      </c>
      <c r="C385" s="44">
        <f>IFERROR(IF(B385="","",_xlfn.XLOOKUP(B385,STUDENTS!$B$3:$B$1048576,STUDENTS!$C$3:$C$1048576)),"Enter a registered reg. no")</f>
        <v/>
      </c>
      <c r="D385" s="52">
        <f t="array" ref="D385:W385">IF(All_Students_Scores!C383:V383="","",All_Students_Scores!C383:V383)</f>
        <v/>
      </c>
      <c r="E385" s="55" t="str"/>
      <c r="F385" s="48" t="str"/>
      <c r="G385" s="58" t="str"/>
      <c r="H385" s="62" t="str"/>
      <c r="I385" s="63" t="str"/>
      <c r="J385" s="48" t="str"/>
      <c r="K385" s="58" t="str"/>
      <c r="L385" s="42" t="str"/>
      <c r="M385" s="42" t="str"/>
      <c r="N385" s="48" t="str"/>
      <c r="O385" s="58" t="str"/>
      <c r="P385" s="42" t="str"/>
      <c r="Q385" s="42" t="str"/>
      <c r="R385" s="48" t="str"/>
      <c r="S385" s="58" t="str"/>
      <c r="T385" s="42" t="str"/>
      <c r="U385" s="42" t="str"/>
      <c r="V385" s="48" t="str"/>
      <c r="W385" s="58" t="str"/>
      <c r="X385" s="42" t="n"/>
      <c r="Y385" s="42" t="n"/>
    </row>
    <row r="386">
      <c r="B386" s="2">
        <f>IF(STUDENTS!B385="","",STUDENTS!B385)</f>
        <v/>
      </c>
      <c r="C386" s="44">
        <f>IFERROR(IF(B386="","",_xlfn.XLOOKUP(B386,STUDENTS!$B$3:$B$1048576,STUDENTS!$C$3:$C$1048576)),"Enter a registered reg. no")</f>
        <v/>
      </c>
      <c r="D386" s="52">
        <f t="array" ref="D386:W386">IF(All_Students_Scores!C384:V384="","",All_Students_Scores!C384:V384)</f>
        <v/>
      </c>
      <c r="E386" s="57" t="str"/>
      <c r="F386" s="66" t="str"/>
      <c r="G386" s="67" t="str"/>
      <c r="H386" s="64" t="str"/>
      <c r="I386" s="65" t="str"/>
      <c r="J386" s="66" t="str"/>
      <c r="K386" s="67" t="str"/>
      <c r="L386" s="41" t="str"/>
      <c r="M386" s="41" t="str"/>
      <c r="N386" s="66" t="str"/>
      <c r="O386" s="67" t="str"/>
      <c r="P386" s="41" t="str"/>
      <c r="Q386" s="41" t="str"/>
      <c r="R386" s="66" t="str"/>
      <c r="S386" s="67" t="str"/>
      <c r="T386" s="41" t="str"/>
      <c r="U386" s="41" t="str"/>
      <c r="V386" s="66" t="str"/>
      <c r="W386" s="67" t="str"/>
    </row>
    <row r="387">
      <c r="B387" s="2">
        <f>IF(STUDENTS!B386="","",STUDENTS!B386)</f>
        <v/>
      </c>
      <c r="C387" s="44">
        <f>IFERROR(IF(B387="","",_xlfn.XLOOKUP(B387,STUDENTS!$B$3:$B$1048576,STUDENTS!$C$3:$C$1048576)),"Enter a registered reg. no")</f>
        <v/>
      </c>
      <c r="D387" s="52">
        <f t="array" ref="D387:W387">IF(All_Students_Scores!C385:V385="","",All_Students_Scores!C385:V385)</f>
        <v/>
      </c>
      <c r="E387" s="55" t="str"/>
      <c r="F387" s="48" t="str"/>
      <c r="G387" s="58" t="str"/>
      <c r="H387" s="62" t="str"/>
      <c r="I387" s="63" t="str"/>
      <c r="J387" s="48" t="str"/>
      <c r="K387" s="58" t="str"/>
      <c r="L387" s="42" t="str"/>
      <c r="M387" s="42" t="str"/>
      <c r="N387" s="48" t="str"/>
      <c r="O387" s="58" t="str"/>
      <c r="P387" s="42" t="str"/>
      <c r="Q387" s="42" t="str"/>
      <c r="R387" s="48" t="str"/>
      <c r="S387" s="58" t="str"/>
      <c r="T387" s="42" t="str"/>
      <c r="U387" s="42" t="str"/>
      <c r="V387" s="48" t="str"/>
      <c r="W387" s="58" t="str"/>
      <c r="X387" s="42" t="n"/>
      <c r="Y387" s="42" t="n"/>
    </row>
    <row r="388">
      <c r="B388" s="2">
        <f>IF(STUDENTS!B387="","",STUDENTS!B387)</f>
        <v/>
      </c>
      <c r="C388" s="44">
        <f>IFERROR(IF(B388="","",_xlfn.XLOOKUP(B388,STUDENTS!$B$3:$B$1048576,STUDENTS!$C$3:$C$1048576)),"Enter a registered reg. no")</f>
        <v/>
      </c>
      <c r="D388" s="52">
        <f t="array" ref="D388:W388">IF(All_Students_Scores!C386:V386="","",All_Students_Scores!C386:V386)</f>
        <v/>
      </c>
      <c r="E388" s="57" t="str"/>
      <c r="F388" s="66" t="str"/>
      <c r="G388" s="67" t="str"/>
      <c r="H388" s="64" t="str"/>
      <c r="I388" s="65" t="str"/>
      <c r="J388" s="66" t="str"/>
      <c r="K388" s="67" t="str"/>
      <c r="L388" s="41" t="str"/>
      <c r="M388" s="41" t="str"/>
      <c r="N388" s="66" t="str"/>
      <c r="O388" s="67" t="str"/>
      <c r="P388" s="41" t="str"/>
      <c r="Q388" s="41" t="str"/>
      <c r="R388" s="66" t="str"/>
      <c r="S388" s="67" t="str"/>
      <c r="T388" s="41" t="str"/>
      <c r="U388" s="41" t="str"/>
      <c r="V388" s="66" t="str"/>
      <c r="W388" s="67" t="str"/>
    </row>
    <row r="389">
      <c r="B389" s="2">
        <f>IF(STUDENTS!B388="","",STUDENTS!B388)</f>
        <v/>
      </c>
      <c r="C389" s="44">
        <f>IFERROR(IF(B389="","",_xlfn.XLOOKUP(B389,STUDENTS!$B$3:$B$1048576,STUDENTS!$C$3:$C$1048576)),"Enter a registered reg. no")</f>
        <v/>
      </c>
      <c r="D389" s="52">
        <f t="array" ref="D389:W389">IF(All_Students_Scores!C387:V387="","",All_Students_Scores!C387:V387)</f>
        <v/>
      </c>
      <c r="E389" s="55" t="str"/>
      <c r="F389" s="48" t="str"/>
      <c r="G389" s="58" t="str"/>
      <c r="H389" s="62" t="str"/>
      <c r="I389" s="63" t="str"/>
      <c r="J389" s="48" t="str"/>
      <c r="K389" s="58" t="str"/>
      <c r="L389" s="42" t="str"/>
      <c r="M389" s="42" t="str"/>
      <c r="N389" s="48" t="str"/>
      <c r="O389" s="58" t="str"/>
      <c r="P389" s="42" t="str"/>
      <c r="Q389" s="42" t="str"/>
      <c r="R389" s="48" t="str"/>
      <c r="S389" s="58" t="str"/>
      <c r="T389" s="42" t="str"/>
      <c r="U389" s="42" t="str"/>
      <c r="V389" s="48" t="str"/>
      <c r="W389" s="58" t="str"/>
      <c r="X389" s="42" t="n"/>
      <c r="Y389" s="42" t="n"/>
    </row>
    <row r="390">
      <c r="B390" s="2">
        <f>IF(STUDENTS!B389="","",STUDENTS!B389)</f>
        <v/>
      </c>
      <c r="C390" s="44">
        <f>IFERROR(IF(B390="","",_xlfn.XLOOKUP(B390,STUDENTS!$B$3:$B$1048576,STUDENTS!$C$3:$C$1048576)),"Enter a registered reg. no")</f>
        <v/>
      </c>
      <c r="D390" s="52">
        <f t="array" ref="D390:W390">IF(All_Students_Scores!C388:V388="","",All_Students_Scores!C388:V388)</f>
        <v/>
      </c>
      <c r="E390" s="57" t="str"/>
      <c r="F390" s="66" t="str"/>
      <c r="G390" s="67" t="str"/>
      <c r="H390" s="64" t="str"/>
      <c r="I390" s="65" t="str"/>
      <c r="J390" s="66" t="str"/>
      <c r="K390" s="67" t="str"/>
      <c r="L390" s="41" t="str"/>
      <c r="M390" s="41" t="str"/>
      <c r="N390" s="66" t="str"/>
      <c r="O390" s="67" t="str"/>
      <c r="P390" s="41" t="str"/>
      <c r="Q390" s="41" t="str"/>
      <c r="R390" s="66" t="str"/>
      <c r="S390" s="67" t="str"/>
      <c r="T390" s="41" t="str"/>
      <c r="U390" s="41" t="str"/>
      <c r="V390" s="66" t="str"/>
      <c r="W390" s="67" t="str"/>
    </row>
    <row r="391">
      <c r="B391" s="2">
        <f>IF(STUDENTS!B390="","",STUDENTS!B390)</f>
        <v/>
      </c>
      <c r="C391" s="44">
        <f>IFERROR(IF(B391="","",_xlfn.XLOOKUP(B391,STUDENTS!$B$3:$B$1048576,STUDENTS!$C$3:$C$1048576)),"Enter a registered reg. no")</f>
        <v/>
      </c>
      <c r="D391" s="52">
        <f t="array" ref="D391:W391">IF(All_Students_Scores!C389:V389="","",All_Students_Scores!C389:V389)</f>
        <v/>
      </c>
      <c r="E391" s="55" t="str"/>
      <c r="F391" s="48" t="str"/>
      <c r="G391" s="58" t="str"/>
      <c r="H391" s="62" t="str"/>
      <c r="I391" s="63" t="str"/>
      <c r="J391" s="48" t="str"/>
      <c r="K391" s="58" t="str"/>
      <c r="L391" s="42" t="str"/>
      <c r="M391" s="42" t="str"/>
      <c r="N391" s="48" t="str"/>
      <c r="O391" s="58" t="str"/>
      <c r="P391" s="42" t="str"/>
      <c r="Q391" s="42" t="str"/>
      <c r="R391" s="48" t="str"/>
      <c r="S391" s="58" t="str"/>
      <c r="T391" s="42" t="str"/>
      <c r="U391" s="42" t="str"/>
      <c r="V391" s="48" t="str"/>
      <c r="W391" s="58" t="str"/>
      <c r="X391" s="42" t="n"/>
      <c r="Y391" s="42" t="n"/>
    </row>
    <row r="392">
      <c r="B392" s="2">
        <f>IF(STUDENTS!B391="","",STUDENTS!B391)</f>
        <v/>
      </c>
      <c r="C392" s="44">
        <f>IFERROR(IF(B392="","",_xlfn.XLOOKUP(B392,STUDENTS!$B$3:$B$1048576,STUDENTS!$C$3:$C$1048576)),"Enter a registered reg. no")</f>
        <v/>
      </c>
      <c r="D392" s="52">
        <f t="array" ref="D392:W392">IF(All_Students_Scores!C390:V390="","",All_Students_Scores!C390:V390)</f>
        <v/>
      </c>
      <c r="E392" s="57" t="str"/>
      <c r="F392" s="66" t="str"/>
      <c r="G392" s="67" t="str"/>
      <c r="H392" s="64" t="str"/>
      <c r="I392" s="65" t="str"/>
      <c r="J392" s="66" t="str"/>
      <c r="K392" s="67" t="str"/>
      <c r="L392" s="41" t="str"/>
      <c r="M392" s="41" t="str"/>
      <c r="N392" s="66" t="str"/>
      <c r="O392" s="67" t="str"/>
      <c r="P392" s="41" t="str"/>
      <c r="Q392" s="41" t="str"/>
      <c r="R392" s="66" t="str"/>
      <c r="S392" s="67" t="str"/>
      <c r="T392" s="41" t="str"/>
      <c r="U392" s="41" t="str"/>
      <c r="V392" s="66" t="str"/>
      <c r="W392" s="67" t="str"/>
    </row>
    <row r="393">
      <c r="B393" s="2">
        <f>IF(STUDENTS!B392="","",STUDENTS!B392)</f>
        <v/>
      </c>
      <c r="C393" s="44">
        <f>IFERROR(IF(B393="","",_xlfn.XLOOKUP(B393,STUDENTS!$B$3:$B$1048576,STUDENTS!$C$3:$C$1048576)),"Enter a registered reg. no")</f>
        <v/>
      </c>
      <c r="D393" s="52">
        <f t="array" ref="D393:W393">IF(All_Students_Scores!C391:V391="","",All_Students_Scores!C391:V391)</f>
        <v/>
      </c>
      <c r="E393" s="55" t="str"/>
      <c r="F393" s="48" t="str"/>
      <c r="G393" s="58" t="str"/>
      <c r="H393" s="62" t="str"/>
      <c r="I393" s="63" t="str"/>
      <c r="J393" s="48" t="str"/>
      <c r="K393" s="58" t="str"/>
      <c r="L393" s="42" t="str"/>
      <c r="M393" s="42" t="str"/>
      <c r="N393" s="48" t="str"/>
      <c r="O393" s="58" t="str"/>
      <c r="P393" s="42" t="str"/>
      <c r="Q393" s="42" t="str"/>
      <c r="R393" s="48" t="str"/>
      <c r="S393" s="58" t="str"/>
      <c r="T393" s="42" t="str"/>
      <c r="U393" s="42" t="str"/>
      <c r="V393" s="48" t="str"/>
      <c r="W393" s="58" t="str"/>
      <c r="X393" s="42" t="n"/>
      <c r="Y393" s="42" t="n"/>
    </row>
    <row r="394">
      <c r="B394" s="2">
        <f>IF(STUDENTS!B393="","",STUDENTS!B393)</f>
        <v/>
      </c>
      <c r="C394" s="44">
        <f>IFERROR(IF(B394="","",_xlfn.XLOOKUP(B394,STUDENTS!$B$3:$B$1048576,STUDENTS!$C$3:$C$1048576)),"Enter a registered reg. no")</f>
        <v/>
      </c>
      <c r="D394" s="52">
        <f t="array" ref="D394:W394">IF(All_Students_Scores!C392:V392="","",All_Students_Scores!C392:V392)</f>
        <v/>
      </c>
      <c r="E394" s="57" t="str"/>
      <c r="F394" s="66" t="str"/>
      <c r="G394" s="67" t="str"/>
      <c r="H394" s="64" t="str"/>
      <c r="I394" s="65" t="str"/>
      <c r="J394" s="66" t="str"/>
      <c r="K394" s="67" t="str"/>
      <c r="L394" s="41" t="str"/>
      <c r="M394" s="41" t="str"/>
      <c r="N394" s="66" t="str"/>
      <c r="O394" s="67" t="str"/>
      <c r="P394" s="41" t="str"/>
      <c r="Q394" s="41" t="str"/>
      <c r="R394" s="66" t="str"/>
      <c r="S394" s="67" t="str"/>
      <c r="T394" s="41" t="str"/>
      <c r="U394" s="41" t="str"/>
      <c r="V394" s="66" t="str"/>
      <c r="W394" s="67" t="str"/>
    </row>
    <row r="395">
      <c r="B395" s="2">
        <f>IF(STUDENTS!B394="","",STUDENTS!B394)</f>
        <v/>
      </c>
      <c r="C395" s="44">
        <f>IFERROR(IF(B395="","",_xlfn.XLOOKUP(B395,STUDENTS!$B$3:$B$1048576,STUDENTS!$C$3:$C$1048576)),"Enter a registered reg. no")</f>
        <v/>
      </c>
      <c r="D395" s="52">
        <f t="array" ref="D395:W395">IF(All_Students_Scores!C393:V393="","",All_Students_Scores!C393:V393)</f>
        <v/>
      </c>
      <c r="E395" s="55" t="str"/>
      <c r="F395" s="48" t="str"/>
      <c r="G395" s="58" t="str"/>
      <c r="H395" s="62" t="str"/>
      <c r="I395" s="63" t="str"/>
      <c r="J395" s="48" t="str"/>
      <c r="K395" s="58" t="str"/>
      <c r="L395" s="42" t="str"/>
      <c r="M395" s="42" t="str"/>
      <c r="N395" s="48" t="str"/>
      <c r="O395" s="58" t="str"/>
      <c r="P395" s="42" t="str"/>
      <c r="Q395" s="42" t="str"/>
      <c r="R395" s="48" t="str"/>
      <c r="S395" s="58" t="str"/>
      <c r="T395" s="42" t="str"/>
      <c r="U395" s="42" t="str"/>
      <c r="V395" s="48" t="str"/>
      <c r="W395" s="58" t="str"/>
      <c r="X395" s="42" t="n"/>
      <c r="Y395" s="42" t="n"/>
    </row>
    <row r="396">
      <c r="B396" s="2">
        <f>IF(STUDENTS!B395="","",STUDENTS!B395)</f>
        <v/>
      </c>
      <c r="C396" s="44">
        <f>IFERROR(IF(B396="","",_xlfn.XLOOKUP(B396,STUDENTS!$B$3:$B$1048576,STUDENTS!$C$3:$C$1048576)),"Enter a registered reg. no")</f>
        <v/>
      </c>
      <c r="D396" s="52">
        <f t="array" ref="D396:W396">IF(All_Students_Scores!C394:V394="","",All_Students_Scores!C394:V394)</f>
        <v/>
      </c>
      <c r="E396" s="57" t="str"/>
      <c r="F396" s="66" t="str"/>
      <c r="G396" s="67" t="str"/>
      <c r="H396" s="64" t="str"/>
      <c r="I396" s="65" t="str"/>
      <c r="J396" s="66" t="str"/>
      <c r="K396" s="67" t="str"/>
      <c r="L396" s="41" t="str"/>
      <c r="M396" s="41" t="str"/>
      <c r="N396" s="66" t="str"/>
      <c r="O396" s="67" t="str"/>
      <c r="P396" s="41" t="str"/>
      <c r="Q396" s="41" t="str"/>
      <c r="R396" s="66" t="str"/>
      <c r="S396" s="67" t="str"/>
      <c r="T396" s="41" t="str"/>
      <c r="U396" s="41" t="str"/>
      <c r="V396" s="66" t="str"/>
      <c r="W396" s="67" t="str"/>
    </row>
    <row r="397">
      <c r="B397" s="2">
        <f>IF(STUDENTS!B396="","",STUDENTS!B396)</f>
        <v/>
      </c>
      <c r="C397" s="44">
        <f>IFERROR(IF(B397="","",_xlfn.XLOOKUP(B397,STUDENTS!$B$3:$B$1048576,STUDENTS!$C$3:$C$1048576)),"Enter a registered reg. no")</f>
        <v/>
      </c>
      <c r="D397" s="52">
        <f t="array" ref="D397:W397">IF(All_Students_Scores!C395:V395="","",All_Students_Scores!C395:V395)</f>
        <v/>
      </c>
      <c r="E397" s="55" t="str"/>
      <c r="F397" s="48" t="str"/>
      <c r="G397" s="58" t="str"/>
      <c r="H397" s="62" t="str"/>
      <c r="I397" s="63" t="str"/>
      <c r="J397" s="48" t="str"/>
      <c r="K397" s="58" t="str"/>
      <c r="L397" s="42" t="str"/>
      <c r="M397" s="42" t="str"/>
      <c r="N397" s="48" t="str"/>
      <c r="O397" s="58" t="str"/>
      <c r="P397" s="42" t="str"/>
      <c r="Q397" s="42" t="str"/>
      <c r="R397" s="48" t="str"/>
      <c r="S397" s="58" t="str"/>
      <c r="T397" s="42" t="str"/>
      <c r="U397" s="42" t="str"/>
      <c r="V397" s="48" t="str"/>
      <c r="W397" s="58" t="str"/>
      <c r="X397" s="42" t="n"/>
      <c r="Y397" s="42" t="n"/>
    </row>
    <row r="398">
      <c r="B398" s="2">
        <f>IF(STUDENTS!B397="","",STUDENTS!B397)</f>
        <v/>
      </c>
      <c r="C398" s="44">
        <f>IFERROR(IF(B398="","",_xlfn.XLOOKUP(B398,STUDENTS!$B$3:$B$1048576,STUDENTS!$C$3:$C$1048576)),"Enter a registered reg. no")</f>
        <v/>
      </c>
      <c r="D398" s="52">
        <f t="array" ref="D398:W398">IF(All_Students_Scores!C396:V396="","",All_Students_Scores!C396:V396)</f>
        <v/>
      </c>
      <c r="E398" s="57" t="str"/>
      <c r="F398" s="66" t="str"/>
      <c r="G398" s="67" t="str"/>
      <c r="H398" s="64" t="str"/>
      <c r="I398" s="65" t="str"/>
      <c r="J398" s="66" t="str"/>
      <c r="K398" s="67" t="str"/>
      <c r="L398" s="41" t="str"/>
      <c r="M398" s="41" t="str"/>
      <c r="N398" s="66" t="str"/>
      <c r="O398" s="67" t="str"/>
      <c r="P398" s="41" t="str"/>
      <c r="Q398" s="41" t="str"/>
      <c r="R398" s="66" t="str"/>
      <c r="S398" s="67" t="str"/>
      <c r="T398" s="41" t="str"/>
      <c r="U398" s="41" t="str"/>
      <c r="V398" s="66" t="str"/>
      <c r="W398" s="67" t="str"/>
    </row>
    <row r="399">
      <c r="B399" s="2">
        <f>IF(STUDENTS!B398="","",STUDENTS!B398)</f>
        <v/>
      </c>
      <c r="C399" s="44">
        <f>IFERROR(IF(B399="","",_xlfn.XLOOKUP(B399,STUDENTS!$B$3:$B$1048576,STUDENTS!$C$3:$C$1048576)),"Enter a registered reg. no")</f>
        <v/>
      </c>
      <c r="D399" s="52">
        <f t="array" ref="D399:W399">IF(All_Students_Scores!C397:V397="","",All_Students_Scores!C397:V397)</f>
        <v/>
      </c>
      <c r="E399" s="55" t="str"/>
      <c r="F399" s="48" t="str"/>
      <c r="G399" s="58" t="str"/>
      <c r="H399" s="62" t="str"/>
      <c r="I399" s="63" t="str"/>
      <c r="J399" s="48" t="str"/>
      <c r="K399" s="58" t="str"/>
      <c r="L399" s="42" t="str"/>
      <c r="M399" s="42" t="str"/>
      <c r="N399" s="48" t="str"/>
      <c r="O399" s="58" t="str"/>
      <c r="P399" s="42" t="str"/>
      <c r="Q399" s="42" t="str"/>
      <c r="R399" s="48" t="str"/>
      <c r="S399" s="58" t="str"/>
      <c r="T399" s="42" t="str"/>
      <c r="U399" s="42" t="str"/>
      <c r="V399" s="48" t="str"/>
      <c r="W399" s="58" t="str"/>
      <c r="X399" s="42" t="n"/>
      <c r="Y399" s="42" t="n"/>
    </row>
    <row r="400">
      <c r="B400" s="2">
        <f>IF(STUDENTS!B399="","",STUDENTS!B399)</f>
        <v/>
      </c>
      <c r="C400" s="44">
        <f>IFERROR(IF(B400="","",_xlfn.XLOOKUP(B400,STUDENTS!$B$3:$B$1048576,STUDENTS!$C$3:$C$1048576)),"Enter a registered reg. no")</f>
        <v/>
      </c>
      <c r="D400" s="52">
        <f t="array" ref="D400:W400">IF(All_Students_Scores!C398:V398="","",All_Students_Scores!C398:V398)</f>
        <v/>
      </c>
      <c r="E400" s="57" t="str"/>
      <c r="F400" s="66" t="str"/>
      <c r="G400" s="67" t="str"/>
      <c r="H400" s="64" t="str"/>
      <c r="I400" s="65" t="str"/>
      <c r="J400" s="66" t="str"/>
      <c r="K400" s="67" t="str"/>
      <c r="L400" s="41" t="str"/>
      <c r="M400" s="41" t="str"/>
      <c r="N400" s="66" t="str"/>
      <c r="O400" s="67" t="str"/>
      <c r="P400" s="41" t="str"/>
      <c r="Q400" s="41" t="str"/>
      <c r="R400" s="66" t="str"/>
      <c r="S400" s="67" t="str"/>
      <c r="T400" s="41" t="str"/>
      <c r="U400" s="41" t="str"/>
      <c r="V400" s="66" t="str"/>
      <c r="W400" s="67" t="str"/>
    </row>
    <row r="401">
      <c r="B401" s="2">
        <f>IF(STUDENTS!B400="","",STUDENTS!B400)</f>
        <v/>
      </c>
      <c r="C401" s="44">
        <f>IFERROR(IF(B401="","",_xlfn.XLOOKUP(B401,STUDENTS!$B$3:$B$1048576,STUDENTS!$C$3:$C$1048576)),"Enter a registered reg. no")</f>
        <v/>
      </c>
      <c r="D401" s="52">
        <f t="array" ref="D401:W401">IF(All_Students_Scores!C399:V399="","",All_Students_Scores!C399:V399)</f>
        <v/>
      </c>
      <c r="E401" s="55" t="str"/>
      <c r="F401" s="48" t="str"/>
      <c r="G401" s="58" t="str"/>
      <c r="H401" s="62" t="str"/>
      <c r="I401" s="63" t="str"/>
      <c r="J401" s="48" t="str"/>
      <c r="K401" s="58" t="str"/>
      <c r="L401" s="42" t="str"/>
      <c r="M401" s="42" t="str"/>
      <c r="N401" s="48" t="str"/>
      <c r="O401" s="58" t="str"/>
      <c r="P401" s="42" t="str"/>
      <c r="Q401" s="42" t="str"/>
      <c r="R401" s="48" t="str"/>
      <c r="S401" s="58" t="str"/>
      <c r="T401" s="42" t="str"/>
      <c r="U401" s="42" t="str"/>
      <c r="V401" s="48" t="str"/>
      <c r="W401" s="58" t="str"/>
      <c r="X401" s="42" t="n"/>
      <c r="Y401" s="42" t="n"/>
    </row>
    <row r="402">
      <c r="B402" s="2">
        <f>IF(STUDENTS!B401="","",STUDENTS!B401)</f>
        <v/>
      </c>
      <c r="C402" s="44">
        <f>IFERROR(IF(B402="","",_xlfn.XLOOKUP(B402,STUDENTS!$B$3:$B$1048576,STUDENTS!$C$3:$C$1048576)),"Enter a registered reg. no")</f>
        <v/>
      </c>
      <c r="D402" s="52">
        <f t="array" ref="D402:W402">IF(All_Students_Scores!C400:V400="","",All_Students_Scores!C400:V400)</f>
        <v/>
      </c>
      <c r="E402" s="57" t="str"/>
      <c r="F402" s="66" t="str"/>
      <c r="G402" s="67" t="str"/>
      <c r="H402" s="64" t="str"/>
      <c r="I402" s="65" t="str"/>
      <c r="J402" s="66" t="str"/>
      <c r="K402" s="67" t="str"/>
      <c r="L402" s="41" t="str"/>
      <c r="M402" s="41" t="str"/>
      <c r="N402" s="66" t="str"/>
      <c r="O402" s="67" t="str"/>
      <c r="P402" s="41" t="str"/>
      <c r="Q402" s="41" t="str"/>
      <c r="R402" s="66" t="str"/>
      <c r="S402" s="67" t="str"/>
      <c r="T402" s="41" t="str"/>
      <c r="U402" s="41" t="str"/>
      <c r="V402" s="66" t="str"/>
      <c r="W402" s="67" t="str"/>
    </row>
    <row r="403">
      <c r="B403" s="2">
        <f>IF(STUDENTS!B402="","",STUDENTS!B402)</f>
        <v/>
      </c>
      <c r="C403" s="44">
        <f>IFERROR(IF(B403="","",_xlfn.XLOOKUP(B403,STUDENTS!$B$3:$B$1048576,STUDENTS!$C$3:$C$1048576)),"Enter a registered reg. no")</f>
        <v/>
      </c>
      <c r="D403" s="52">
        <f t="array" ref="D403:W403">IF(All_Students_Scores!C401:V401="","",All_Students_Scores!C401:V401)</f>
        <v/>
      </c>
      <c r="E403" s="55" t="str"/>
      <c r="F403" s="48" t="str"/>
      <c r="G403" s="58" t="str"/>
      <c r="H403" s="62" t="str"/>
      <c r="I403" s="63" t="str"/>
      <c r="J403" s="48" t="str"/>
      <c r="K403" s="58" t="str"/>
      <c r="L403" s="42" t="str"/>
      <c r="M403" s="42" t="str"/>
      <c r="N403" s="48" t="str"/>
      <c r="O403" s="58" t="str"/>
      <c r="P403" s="42" t="str"/>
      <c r="Q403" s="42" t="str"/>
      <c r="R403" s="48" t="str"/>
      <c r="S403" s="58" t="str"/>
      <c r="T403" s="42" t="str"/>
      <c r="U403" s="42" t="str"/>
      <c r="V403" s="48" t="str"/>
      <c r="W403" s="58" t="str"/>
      <c r="X403" s="42" t="n"/>
      <c r="Y403" s="42" t="n"/>
    </row>
    <row r="404">
      <c r="B404" s="2">
        <f>IF(STUDENTS!B403="","",STUDENTS!B403)</f>
        <v/>
      </c>
      <c r="C404" s="44">
        <f>IFERROR(IF(B404="","",_xlfn.XLOOKUP(B404,STUDENTS!$B$3:$B$1048576,STUDENTS!$C$3:$C$1048576)),"Enter a registered reg. no")</f>
        <v/>
      </c>
      <c r="D404" s="52">
        <f t="array" ref="D404:W404">IF(All_Students_Scores!C402:V402="","",All_Students_Scores!C402:V402)</f>
        <v/>
      </c>
      <c r="E404" s="57" t="str"/>
      <c r="F404" s="66" t="str"/>
      <c r="G404" s="67" t="str"/>
      <c r="H404" s="64" t="str"/>
      <c r="I404" s="65" t="str"/>
      <c r="J404" s="66" t="str"/>
      <c r="K404" s="67" t="str"/>
      <c r="L404" s="41" t="str"/>
      <c r="M404" s="41" t="str"/>
      <c r="N404" s="66" t="str"/>
      <c r="O404" s="67" t="str"/>
      <c r="P404" s="41" t="str"/>
      <c r="Q404" s="41" t="str"/>
      <c r="R404" s="66" t="str"/>
      <c r="S404" s="67" t="str"/>
      <c r="T404" s="41" t="str"/>
      <c r="U404" s="41" t="str"/>
      <c r="V404" s="66" t="str"/>
      <c r="W404" s="67" t="str"/>
    </row>
    <row r="405">
      <c r="B405" s="2">
        <f>IF(STUDENTS!B404="","",STUDENTS!B404)</f>
        <v/>
      </c>
      <c r="C405" s="44">
        <f>IFERROR(IF(B405="","",_xlfn.XLOOKUP(B405,STUDENTS!$B$3:$B$1048576,STUDENTS!$C$3:$C$1048576)),"Enter a registered reg. no")</f>
        <v/>
      </c>
      <c r="D405" s="52">
        <f t="array" ref="D405:W405">IF(All_Students_Scores!C403:V403="","",All_Students_Scores!C403:V403)</f>
        <v/>
      </c>
      <c r="E405" s="55" t="str"/>
      <c r="F405" s="48" t="str"/>
      <c r="G405" s="58" t="str"/>
      <c r="H405" s="62" t="str"/>
      <c r="I405" s="63" t="str"/>
      <c r="J405" s="48" t="str"/>
      <c r="K405" s="58" t="str"/>
      <c r="L405" s="42" t="str"/>
      <c r="M405" s="42" t="str"/>
      <c r="N405" s="48" t="str"/>
      <c r="O405" s="58" t="str"/>
      <c r="P405" s="42" t="str"/>
      <c r="Q405" s="42" t="str"/>
      <c r="R405" s="48" t="str"/>
      <c r="S405" s="58" t="str"/>
      <c r="T405" s="42" t="str"/>
      <c r="U405" s="42" t="str"/>
      <c r="V405" s="48" t="str"/>
      <c r="W405" s="58" t="str"/>
      <c r="X405" s="42" t="n"/>
      <c r="Y405" s="42" t="n"/>
    </row>
    <row r="406">
      <c r="B406" s="2">
        <f>IF(STUDENTS!B405="","",STUDENTS!B405)</f>
        <v/>
      </c>
      <c r="C406" s="44">
        <f>IFERROR(IF(B406="","",_xlfn.XLOOKUP(B406,STUDENTS!$B$3:$B$1048576,STUDENTS!$C$3:$C$1048576)),"Enter a registered reg. no")</f>
        <v/>
      </c>
      <c r="D406" s="52">
        <f t="array" ref="D406:W406">IF(All_Students_Scores!C404:V404="","",All_Students_Scores!C404:V404)</f>
        <v/>
      </c>
      <c r="E406" s="57" t="str"/>
      <c r="F406" s="66" t="str"/>
      <c r="G406" s="67" t="str"/>
      <c r="H406" s="64" t="str"/>
      <c r="I406" s="65" t="str"/>
      <c r="J406" s="66" t="str"/>
      <c r="K406" s="67" t="str"/>
      <c r="L406" s="41" t="str"/>
      <c r="M406" s="41" t="str"/>
      <c r="N406" s="66" t="str"/>
      <c r="O406" s="67" t="str"/>
      <c r="P406" s="41" t="str"/>
      <c r="Q406" s="41" t="str"/>
      <c r="R406" s="66" t="str"/>
      <c r="S406" s="67" t="str"/>
      <c r="T406" s="41" t="str"/>
      <c r="U406" s="41" t="str"/>
      <c r="V406" s="66" t="str"/>
      <c r="W406" s="67" t="str"/>
    </row>
    <row r="407">
      <c r="B407" s="2">
        <f>IF(STUDENTS!B406="","",STUDENTS!B406)</f>
        <v/>
      </c>
      <c r="C407" s="44">
        <f>IFERROR(IF(B407="","",_xlfn.XLOOKUP(B407,STUDENTS!$B$3:$B$1048576,STUDENTS!$C$3:$C$1048576)),"Enter a registered reg. no")</f>
        <v/>
      </c>
      <c r="D407" s="52">
        <f t="array" ref="D407:W407">IF(All_Students_Scores!C405:V405="","",All_Students_Scores!C405:V405)</f>
        <v/>
      </c>
      <c r="E407" s="55" t="str"/>
      <c r="F407" s="48" t="str"/>
      <c r="G407" s="58" t="str"/>
      <c r="H407" s="62" t="str"/>
      <c r="I407" s="63" t="str"/>
      <c r="J407" s="48" t="str"/>
      <c r="K407" s="58" t="str"/>
      <c r="L407" s="42" t="str"/>
      <c r="M407" s="42" t="str"/>
      <c r="N407" s="48" t="str"/>
      <c r="O407" s="58" t="str"/>
      <c r="P407" s="42" t="str"/>
      <c r="Q407" s="42" t="str"/>
      <c r="R407" s="48" t="str"/>
      <c r="S407" s="58" t="str"/>
      <c r="T407" s="42" t="str"/>
      <c r="U407" s="42" t="str"/>
      <c r="V407" s="48" t="str"/>
      <c r="W407" s="58" t="str"/>
      <c r="X407" s="42" t="n"/>
      <c r="Y407" s="42" t="n"/>
    </row>
    <row r="408">
      <c r="B408" s="2">
        <f>IF(STUDENTS!B407="","",STUDENTS!B407)</f>
        <v/>
      </c>
      <c r="C408" s="44">
        <f>IFERROR(IF(B408="","",_xlfn.XLOOKUP(B408,STUDENTS!$B$3:$B$1048576,STUDENTS!$C$3:$C$1048576)),"Enter a registered reg. no")</f>
        <v/>
      </c>
      <c r="D408" s="52">
        <f t="array" ref="D408:W408">IF(All_Students_Scores!C406:V406="","",All_Students_Scores!C406:V406)</f>
        <v/>
      </c>
      <c r="E408" s="57" t="str"/>
      <c r="F408" s="66" t="str"/>
      <c r="G408" s="67" t="str"/>
      <c r="H408" s="64" t="str"/>
      <c r="I408" s="65" t="str"/>
      <c r="J408" s="66" t="str"/>
      <c r="K408" s="67" t="str"/>
      <c r="L408" s="41" t="str"/>
      <c r="M408" s="41" t="str"/>
      <c r="N408" s="66" t="str"/>
      <c r="O408" s="67" t="str"/>
      <c r="P408" s="41" t="str"/>
      <c r="Q408" s="41" t="str"/>
      <c r="R408" s="66" t="str"/>
      <c r="S408" s="67" t="str"/>
      <c r="T408" s="41" t="str"/>
      <c r="U408" s="41" t="str"/>
      <c r="V408" s="66" t="str"/>
      <c r="W408" s="67" t="str"/>
    </row>
    <row r="409">
      <c r="B409" s="2">
        <f>IF(STUDENTS!B408="","",STUDENTS!B408)</f>
        <v/>
      </c>
      <c r="C409" s="44">
        <f>IFERROR(IF(B409="","",_xlfn.XLOOKUP(B409,STUDENTS!$B$3:$B$1048576,STUDENTS!$C$3:$C$1048576)),"Enter a registered reg. no")</f>
        <v/>
      </c>
      <c r="D409" s="52">
        <f t="array" ref="D409:W409">IF(All_Students_Scores!C407:V407="","",All_Students_Scores!C407:V407)</f>
        <v/>
      </c>
      <c r="E409" s="55" t="str"/>
      <c r="F409" s="48" t="str"/>
      <c r="G409" s="58" t="str"/>
      <c r="H409" s="62" t="str"/>
      <c r="I409" s="63" t="str"/>
      <c r="J409" s="48" t="str"/>
      <c r="K409" s="58" t="str"/>
      <c r="L409" s="42" t="str"/>
      <c r="M409" s="42" t="str"/>
      <c r="N409" s="48" t="str"/>
      <c r="O409" s="58" t="str"/>
      <c r="P409" s="42" t="str"/>
      <c r="Q409" s="42" t="str"/>
      <c r="R409" s="48" t="str"/>
      <c r="S409" s="58" t="str"/>
      <c r="T409" s="42" t="str"/>
      <c r="U409" s="42" t="str"/>
      <c r="V409" s="48" t="str"/>
      <c r="W409" s="58" t="str"/>
      <c r="X409" s="42" t="n"/>
      <c r="Y409" s="42" t="n"/>
    </row>
    <row r="410">
      <c r="B410" s="2">
        <f>IF(STUDENTS!B409="","",STUDENTS!B409)</f>
        <v/>
      </c>
      <c r="C410" s="44">
        <f>IFERROR(IF(B410="","",_xlfn.XLOOKUP(B410,STUDENTS!$B$3:$B$1048576,STUDENTS!$C$3:$C$1048576)),"Enter a registered reg. no")</f>
        <v/>
      </c>
      <c r="D410" s="52">
        <f t="array" ref="D410:W410">IF(All_Students_Scores!C408:V408="","",All_Students_Scores!C408:V408)</f>
        <v/>
      </c>
      <c r="E410" s="57" t="str"/>
      <c r="F410" s="66" t="str"/>
      <c r="G410" s="67" t="str"/>
      <c r="H410" s="64" t="str"/>
      <c r="I410" s="65" t="str"/>
      <c r="J410" s="66" t="str"/>
      <c r="K410" s="67" t="str"/>
      <c r="L410" s="41" t="str"/>
      <c r="M410" s="41" t="str"/>
      <c r="N410" s="66" t="str"/>
      <c r="O410" s="67" t="str"/>
      <c r="P410" s="41" t="str"/>
      <c r="Q410" s="41" t="str"/>
      <c r="R410" s="66" t="str"/>
      <c r="S410" s="67" t="str"/>
      <c r="T410" s="41" t="str"/>
      <c r="U410" s="41" t="str"/>
      <c r="V410" s="66" t="str"/>
      <c r="W410" s="67" t="str"/>
    </row>
    <row r="411">
      <c r="B411" s="2">
        <f>IF(STUDENTS!B410="","",STUDENTS!B410)</f>
        <v/>
      </c>
      <c r="C411" s="44">
        <f>IFERROR(IF(B411="","",_xlfn.XLOOKUP(B411,STUDENTS!$B$3:$B$1048576,STUDENTS!$C$3:$C$1048576)),"Enter a registered reg. no")</f>
        <v/>
      </c>
      <c r="D411" s="52">
        <f t="array" ref="D411:W411">IF(All_Students_Scores!C409:V409="","",All_Students_Scores!C409:V409)</f>
        <v/>
      </c>
      <c r="E411" s="55" t="str"/>
      <c r="F411" s="48" t="str"/>
      <c r="G411" s="58" t="str"/>
      <c r="H411" s="62" t="str"/>
      <c r="I411" s="63" t="str"/>
      <c r="J411" s="48" t="str"/>
      <c r="K411" s="58" t="str"/>
      <c r="L411" s="42" t="str"/>
      <c r="M411" s="42" t="str"/>
      <c r="N411" s="48" t="str"/>
      <c r="O411" s="58" t="str"/>
      <c r="P411" s="42" t="str"/>
      <c r="Q411" s="42" t="str"/>
      <c r="R411" s="48" t="str"/>
      <c r="S411" s="58" t="str"/>
      <c r="T411" s="42" t="str"/>
      <c r="U411" s="42" t="str"/>
      <c r="V411" s="48" t="str"/>
      <c r="W411" s="58" t="str"/>
      <c r="X411" s="42" t="n"/>
      <c r="Y411" s="42" t="n"/>
    </row>
    <row r="412">
      <c r="B412" s="2">
        <f>IF(STUDENTS!B411="","",STUDENTS!B411)</f>
        <v/>
      </c>
      <c r="C412" s="44">
        <f>IFERROR(IF(B412="","",_xlfn.XLOOKUP(B412,STUDENTS!$B$3:$B$1048576,STUDENTS!$C$3:$C$1048576)),"Enter a registered reg. no")</f>
        <v/>
      </c>
      <c r="D412" s="52">
        <f t="array" ref="D412:W412">IF(All_Students_Scores!C410:V410="","",All_Students_Scores!C410:V410)</f>
        <v/>
      </c>
      <c r="E412" s="57" t="str"/>
      <c r="F412" s="66" t="str"/>
      <c r="G412" s="67" t="str"/>
      <c r="H412" s="64" t="str"/>
      <c r="I412" s="65" t="str"/>
      <c r="J412" s="66" t="str"/>
      <c r="K412" s="67" t="str"/>
      <c r="L412" s="41" t="str"/>
      <c r="M412" s="41" t="str"/>
      <c r="N412" s="66" t="str"/>
      <c r="O412" s="67" t="str"/>
      <c r="P412" s="41" t="str"/>
      <c r="Q412" s="41" t="str"/>
      <c r="R412" s="66" t="str"/>
      <c r="S412" s="67" t="str"/>
      <c r="T412" s="41" t="str"/>
      <c r="U412" s="41" t="str"/>
      <c r="V412" s="66" t="str"/>
      <c r="W412" s="67" t="str"/>
    </row>
    <row r="413">
      <c r="B413" s="2">
        <f>IF(STUDENTS!B412="","",STUDENTS!B412)</f>
        <v/>
      </c>
      <c r="C413" s="44">
        <f>IFERROR(IF(B413="","",_xlfn.XLOOKUP(B413,STUDENTS!$B$3:$B$1048576,STUDENTS!$C$3:$C$1048576)),"Enter a registered reg. no")</f>
        <v/>
      </c>
      <c r="D413" s="52">
        <f t="array" ref="D413:W413">IF(All_Students_Scores!C411:V411="","",All_Students_Scores!C411:V411)</f>
        <v/>
      </c>
      <c r="E413" s="55" t="str"/>
      <c r="F413" s="48" t="str"/>
      <c r="G413" s="58" t="str"/>
      <c r="H413" s="62" t="str"/>
      <c r="I413" s="63" t="str"/>
      <c r="J413" s="48" t="str"/>
      <c r="K413" s="58" t="str"/>
      <c r="L413" s="42" t="str"/>
      <c r="M413" s="42" t="str"/>
      <c r="N413" s="48" t="str"/>
      <c r="O413" s="58" t="str"/>
      <c r="P413" s="42" t="str"/>
      <c r="Q413" s="42" t="str"/>
      <c r="R413" s="48" t="str"/>
      <c r="S413" s="58" t="str"/>
      <c r="T413" s="42" t="str"/>
      <c r="U413" s="42" t="str"/>
      <c r="V413" s="48" t="str"/>
      <c r="W413" s="58" t="str"/>
      <c r="X413" s="42" t="n"/>
      <c r="Y413" s="42" t="n"/>
    </row>
    <row r="414">
      <c r="B414" s="2">
        <f>IF(STUDENTS!B413="","",STUDENTS!B413)</f>
        <v/>
      </c>
      <c r="C414" s="44">
        <f>IFERROR(IF(B414="","",_xlfn.XLOOKUP(B414,STUDENTS!$B$3:$B$1048576,STUDENTS!$C$3:$C$1048576)),"Enter a registered reg. no")</f>
        <v/>
      </c>
      <c r="D414" s="52">
        <f t="array" ref="D414:W414">IF(All_Students_Scores!C412:V412="","",All_Students_Scores!C412:V412)</f>
        <v/>
      </c>
      <c r="E414" s="57" t="str"/>
      <c r="F414" s="66" t="str"/>
      <c r="G414" s="67" t="str"/>
      <c r="H414" s="64" t="str"/>
      <c r="I414" s="65" t="str"/>
      <c r="J414" s="66" t="str"/>
      <c r="K414" s="67" t="str"/>
      <c r="L414" s="41" t="str"/>
      <c r="M414" s="41" t="str"/>
      <c r="N414" s="66" t="str"/>
      <c r="O414" s="67" t="str"/>
      <c r="P414" s="41" t="str"/>
      <c r="Q414" s="41" t="str"/>
      <c r="R414" s="66" t="str"/>
      <c r="S414" s="67" t="str"/>
      <c r="T414" s="41" t="str"/>
      <c r="U414" s="41" t="str"/>
      <c r="V414" s="66" t="str"/>
      <c r="W414" s="67" t="str"/>
    </row>
    <row r="415">
      <c r="B415" s="2">
        <f>IF(STUDENTS!B414="","",STUDENTS!B414)</f>
        <v/>
      </c>
      <c r="C415" s="44">
        <f>IFERROR(IF(B415="","",_xlfn.XLOOKUP(B415,STUDENTS!$B$3:$B$1048576,STUDENTS!$C$3:$C$1048576)),"Enter a registered reg. no")</f>
        <v/>
      </c>
      <c r="D415" s="52">
        <f t="array" ref="D415:W415">IF(All_Students_Scores!C413:V413="","",All_Students_Scores!C413:V413)</f>
        <v/>
      </c>
      <c r="E415" s="55" t="str"/>
      <c r="F415" s="48" t="str"/>
      <c r="G415" s="58" t="str"/>
      <c r="H415" s="62" t="str"/>
      <c r="I415" s="63" t="str"/>
      <c r="J415" s="48" t="str"/>
      <c r="K415" s="58" t="str"/>
      <c r="L415" s="42" t="str"/>
      <c r="M415" s="42" t="str"/>
      <c r="N415" s="48" t="str"/>
      <c r="O415" s="58" t="str"/>
      <c r="P415" s="42" t="str"/>
      <c r="Q415" s="42" t="str"/>
      <c r="R415" s="48" t="str"/>
      <c r="S415" s="58" t="str"/>
      <c r="T415" s="42" t="str"/>
      <c r="U415" s="42" t="str"/>
      <c r="V415" s="48" t="str"/>
      <c r="W415" s="58" t="str"/>
      <c r="X415" s="42" t="n"/>
      <c r="Y415" s="42" t="n"/>
    </row>
    <row r="416">
      <c r="B416" s="2">
        <f>IF(STUDENTS!B415="","",STUDENTS!B415)</f>
        <v/>
      </c>
      <c r="C416" s="44">
        <f>IFERROR(IF(B416="","",_xlfn.XLOOKUP(B416,STUDENTS!$B$3:$B$1048576,STUDENTS!$C$3:$C$1048576)),"Enter a registered reg. no")</f>
        <v/>
      </c>
      <c r="D416" s="52">
        <f t="array" ref="D416:W416">IF(All_Students_Scores!C414:V414="","",All_Students_Scores!C414:V414)</f>
        <v/>
      </c>
      <c r="E416" s="57" t="str"/>
      <c r="F416" s="66" t="str"/>
      <c r="G416" s="67" t="str"/>
      <c r="H416" s="64" t="str"/>
      <c r="I416" s="65" t="str"/>
      <c r="J416" s="66" t="str"/>
      <c r="K416" s="67" t="str"/>
      <c r="L416" s="41" t="str"/>
      <c r="M416" s="41" t="str"/>
      <c r="N416" s="66" t="str"/>
      <c r="O416" s="67" t="str"/>
      <c r="P416" s="41" t="str"/>
      <c r="Q416" s="41" t="str"/>
      <c r="R416" s="66" t="str"/>
      <c r="S416" s="67" t="str"/>
      <c r="T416" s="41" t="str"/>
      <c r="U416" s="41" t="str"/>
      <c r="V416" s="66" t="str"/>
      <c r="W416" s="67" t="str"/>
    </row>
    <row r="417">
      <c r="B417" s="2">
        <f>IF(STUDENTS!B416="","",STUDENTS!B416)</f>
        <v/>
      </c>
      <c r="C417" s="44">
        <f>IFERROR(IF(B417="","",_xlfn.XLOOKUP(B417,STUDENTS!$B$3:$B$1048576,STUDENTS!$C$3:$C$1048576)),"Enter a registered reg. no")</f>
        <v/>
      </c>
      <c r="D417" s="52">
        <f t="array" ref="D417:W417">IF(All_Students_Scores!C415:V415="","",All_Students_Scores!C415:V415)</f>
        <v/>
      </c>
      <c r="E417" s="55" t="str"/>
      <c r="F417" s="48" t="str"/>
      <c r="G417" s="58" t="str"/>
      <c r="H417" s="62" t="str"/>
      <c r="I417" s="63" t="str"/>
      <c r="J417" s="48" t="str"/>
      <c r="K417" s="58" t="str"/>
      <c r="L417" s="42" t="str"/>
      <c r="M417" s="42" t="str"/>
      <c r="N417" s="48" t="str"/>
      <c r="O417" s="58" t="str"/>
      <c r="P417" s="42" t="str"/>
      <c r="Q417" s="42" t="str"/>
      <c r="R417" s="48" t="str"/>
      <c r="S417" s="58" t="str"/>
      <c r="T417" s="42" t="str"/>
      <c r="U417" s="42" t="str"/>
      <c r="V417" s="48" t="str"/>
      <c r="W417" s="58" t="str"/>
      <c r="X417" s="42" t="n"/>
      <c r="Y417" s="42" t="n"/>
    </row>
    <row r="418">
      <c r="B418" s="2">
        <f>IF(STUDENTS!B417="","",STUDENTS!B417)</f>
        <v/>
      </c>
      <c r="C418" s="44">
        <f>IFERROR(IF(B418="","",_xlfn.XLOOKUP(B418,STUDENTS!$B$3:$B$1048576,STUDENTS!$C$3:$C$1048576)),"Enter a registered reg. no")</f>
        <v/>
      </c>
      <c r="D418" s="52">
        <f t="array" ref="D418:W418">IF(All_Students_Scores!C416:V416="","",All_Students_Scores!C416:V416)</f>
        <v/>
      </c>
      <c r="E418" s="57" t="str"/>
      <c r="F418" s="66" t="str"/>
      <c r="G418" s="67" t="str"/>
      <c r="H418" s="64" t="str"/>
      <c r="I418" s="65" t="str"/>
      <c r="J418" s="66" t="str"/>
      <c r="K418" s="67" t="str"/>
      <c r="L418" s="41" t="str"/>
      <c r="M418" s="41" t="str"/>
      <c r="N418" s="66" t="str"/>
      <c r="O418" s="67" t="str"/>
      <c r="P418" s="41" t="str"/>
      <c r="Q418" s="41" t="str"/>
      <c r="R418" s="66" t="str"/>
      <c r="S418" s="67" t="str"/>
      <c r="T418" s="41" t="str"/>
      <c r="U418" s="41" t="str"/>
      <c r="V418" s="66" t="str"/>
      <c r="W418" s="67" t="str"/>
    </row>
    <row r="419">
      <c r="B419" s="2">
        <f>IF(STUDENTS!B418="","",STUDENTS!B418)</f>
        <v/>
      </c>
      <c r="C419" s="44">
        <f>IFERROR(IF(B419="","",_xlfn.XLOOKUP(B419,STUDENTS!$B$3:$B$1048576,STUDENTS!$C$3:$C$1048576)),"Enter a registered reg. no")</f>
        <v/>
      </c>
      <c r="D419" s="52">
        <f t="array" ref="D419:W419">IF(All_Students_Scores!C417:V417="","",All_Students_Scores!C417:V417)</f>
        <v/>
      </c>
      <c r="E419" s="55" t="str"/>
      <c r="F419" s="48" t="str"/>
      <c r="G419" s="58" t="str"/>
      <c r="H419" s="62" t="str"/>
      <c r="I419" s="63" t="str"/>
      <c r="J419" s="48" t="str"/>
      <c r="K419" s="58" t="str"/>
      <c r="L419" s="42" t="str"/>
      <c r="M419" s="42" t="str"/>
      <c r="N419" s="48" t="str"/>
      <c r="O419" s="58" t="str"/>
      <c r="P419" s="42" t="str"/>
      <c r="Q419" s="42" t="str"/>
      <c r="R419" s="48" t="str"/>
      <c r="S419" s="58" t="str"/>
      <c r="T419" s="42" t="str"/>
      <c r="U419" s="42" t="str"/>
      <c r="V419" s="48" t="str"/>
      <c r="W419" s="58" t="str"/>
      <c r="X419" s="42" t="n"/>
      <c r="Y419" s="42" t="n"/>
    </row>
    <row r="420">
      <c r="B420" s="2">
        <f>IF(STUDENTS!B419="","",STUDENTS!B419)</f>
        <v/>
      </c>
      <c r="C420" s="44">
        <f>IFERROR(IF(B420="","",_xlfn.XLOOKUP(B420,STUDENTS!$B$3:$B$1048576,STUDENTS!$C$3:$C$1048576)),"Enter a registered reg. no")</f>
        <v/>
      </c>
      <c r="D420" s="52">
        <f t="array" ref="D420:W420">IF(All_Students_Scores!C418:V418="","",All_Students_Scores!C418:V418)</f>
        <v/>
      </c>
      <c r="E420" s="57" t="str"/>
      <c r="F420" s="66" t="str"/>
      <c r="G420" s="67" t="str"/>
      <c r="H420" s="64" t="str"/>
      <c r="I420" s="65" t="str"/>
      <c r="J420" s="66" t="str"/>
      <c r="K420" s="67" t="str"/>
      <c r="L420" s="41" t="str"/>
      <c r="M420" s="41" t="str"/>
      <c r="N420" s="66" t="str"/>
      <c r="O420" s="67" t="str"/>
      <c r="P420" s="41" t="str"/>
      <c r="Q420" s="41" t="str"/>
      <c r="R420" s="66" t="str"/>
      <c r="S420" s="67" t="str"/>
      <c r="T420" s="41" t="str"/>
      <c r="U420" s="41" t="str"/>
      <c r="V420" s="66" t="str"/>
      <c r="W420" s="67" t="str"/>
    </row>
    <row r="421">
      <c r="B421" s="2">
        <f>IF(STUDENTS!B420="","",STUDENTS!B420)</f>
        <v/>
      </c>
      <c r="C421" s="44">
        <f>IFERROR(IF(B421="","",_xlfn.XLOOKUP(B421,STUDENTS!$B$3:$B$1048576,STUDENTS!$C$3:$C$1048576)),"Enter a registered reg. no")</f>
        <v/>
      </c>
      <c r="D421" s="52">
        <f t="array" ref="D421:W421">IF(All_Students_Scores!C419:V419="","",All_Students_Scores!C419:V419)</f>
        <v/>
      </c>
      <c r="E421" s="55" t="str"/>
      <c r="F421" s="48" t="str"/>
      <c r="G421" s="58" t="str"/>
      <c r="H421" s="62" t="str"/>
      <c r="I421" s="63" t="str"/>
      <c r="J421" s="48" t="str"/>
      <c r="K421" s="58" t="str"/>
      <c r="L421" s="42" t="str"/>
      <c r="M421" s="42" t="str"/>
      <c r="N421" s="48" t="str"/>
      <c r="O421" s="58" t="str"/>
      <c r="P421" s="42" t="str"/>
      <c r="Q421" s="42" t="str"/>
      <c r="R421" s="48" t="str"/>
      <c r="S421" s="58" t="str"/>
      <c r="T421" s="42" t="str"/>
      <c r="U421" s="42" t="str"/>
      <c r="V421" s="48" t="str"/>
      <c r="W421" s="58" t="str"/>
      <c r="X421" s="42" t="n"/>
      <c r="Y421" s="42" t="n"/>
    </row>
    <row r="422">
      <c r="B422" s="2">
        <f>IF(STUDENTS!B421="","",STUDENTS!B421)</f>
        <v/>
      </c>
      <c r="C422" s="44">
        <f>IFERROR(IF(B422="","",_xlfn.XLOOKUP(B422,STUDENTS!$B$3:$B$1048576,STUDENTS!$C$3:$C$1048576)),"Enter a registered reg. no")</f>
        <v/>
      </c>
      <c r="D422" s="52">
        <f t="array" ref="D422:W422">IF(All_Students_Scores!C420:V420="","",All_Students_Scores!C420:V420)</f>
        <v/>
      </c>
      <c r="E422" s="57" t="str"/>
      <c r="F422" s="66" t="str"/>
      <c r="G422" s="67" t="str"/>
      <c r="H422" s="64" t="str"/>
      <c r="I422" s="65" t="str"/>
      <c r="J422" s="66" t="str"/>
      <c r="K422" s="67" t="str"/>
      <c r="L422" s="41" t="str"/>
      <c r="M422" s="41" t="str"/>
      <c r="N422" s="66" t="str"/>
      <c r="O422" s="67" t="str"/>
      <c r="P422" s="41" t="str"/>
      <c r="Q422" s="41" t="str"/>
      <c r="R422" s="66" t="str"/>
      <c r="S422" s="67" t="str"/>
      <c r="T422" s="41" t="str"/>
      <c r="U422" s="41" t="str"/>
      <c r="V422" s="66" t="str"/>
      <c r="W422" s="67" t="str"/>
    </row>
    <row r="423">
      <c r="B423" s="2">
        <f>IF(STUDENTS!B422="","",STUDENTS!B422)</f>
        <v/>
      </c>
      <c r="C423" s="44">
        <f>IFERROR(IF(B423="","",_xlfn.XLOOKUP(B423,STUDENTS!$B$3:$B$1048576,STUDENTS!$C$3:$C$1048576)),"Enter a registered reg. no")</f>
        <v/>
      </c>
      <c r="D423" s="52">
        <f t="array" ref="D423:W423">IF(All_Students_Scores!C421:V421="","",All_Students_Scores!C421:V421)</f>
        <v/>
      </c>
      <c r="E423" s="55" t="str"/>
      <c r="F423" s="48" t="str"/>
      <c r="G423" s="58" t="str"/>
      <c r="H423" s="62" t="str"/>
      <c r="I423" s="63" t="str"/>
      <c r="J423" s="48" t="str"/>
      <c r="K423" s="58" t="str"/>
      <c r="L423" s="42" t="str"/>
      <c r="M423" s="42" t="str"/>
      <c r="N423" s="48" t="str"/>
      <c r="O423" s="58" t="str"/>
      <c r="P423" s="42" t="str"/>
      <c r="Q423" s="42" t="str"/>
      <c r="R423" s="48" t="str"/>
      <c r="S423" s="58" t="str"/>
      <c r="T423" s="42" t="str"/>
      <c r="U423" s="42" t="str"/>
      <c r="V423" s="48" t="str"/>
      <c r="W423" s="58" t="str"/>
      <c r="X423" s="42" t="n"/>
      <c r="Y423" s="42" t="n"/>
    </row>
    <row r="424">
      <c r="B424" s="2">
        <f>IF(STUDENTS!B423="","",STUDENTS!B423)</f>
        <v/>
      </c>
      <c r="C424" s="44">
        <f>IFERROR(IF(B424="","",_xlfn.XLOOKUP(B424,STUDENTS!$B$3:$B$1048576,STUDENTS!$C$3:$C$1048576)),"Enter a registered reg. no")</f>
        <v/>
      </c>
      <c r="D424" s="52">
        <f t="array" ref="D424:W424">IF(All_Students_Scores!C422:V422="","",All_Students_Scores!C422:V422)</f>
        <v/>
      </c>
      <c r="E424" s="57" t="str"/>
      <c r="F424" s="66" t="str"/>
      <c r="G424" s="67" t="str"/>
      <c r="H424" s="64" t="str"/>
      <c r="I424" s="65" t="str"/>
      <c r="J424" s="66" t="str"/>
      <c r="K424" s="67" t="str"/>
      <c r="L424" s="41" t="str"/>
      <c r="M424" s="41" t="str"/>
      <c r="N424" s="66" t="str"/>
      <c r="O424" s="67" t="str"/>
      <c r="P424" s="41" t="str"/>
      <c r="Q424" s="41" t="str"/>
      <c r="R424" s="66" t="str"/>
      <c r="S424" s="67" t="str"/>
      <c r="T424" s="41" t="str"/>
      <c r="U424" s="41" t="str"/>
      <c r="V424" s="66" t="str"/>
      <c r="W424" s="67" t="str"/>
    </row>
    <row r="425">
      <c r="B425" s="2">
        <f>IF(STUDENTS!B424="","",STUDENTS!B424)</f>
        <v/>
      </c>
      <c r="C425" s="44">
        <f>IFERROR(IF(B425="","",_xlfn.XLOOKUP(B425,STUDENTS!$B$3:$B$1048576,STUDENTS!$C$3:$C$1048576)),"Enter a registered reg. no")</f>
        <v/>
      </c>
      <c r="D425" s="52">
        <f t="array" ref="D425:W425">IF(All_Students_Scores!C423:V423="","",All_Students_Scores!C423:V423)</f>
        <v/>
      </c>
      <c r="E425" s="55" t="str"/>
      <c r="F425" s="48" t="str"/>
      <c r="G425" s="58" t="str"/>
      <c r="H425" s="62" t="str"/>
      <c r="I425" s="63" t="str"/>
      <c r="J425" s="48" t="str"/>
      <c r="K425" s="58" t="str"/>
      <c r="L425" s="42" t="str"/>
      <c r="M425" s="42" t="str"/>
      <c r="N425" s="48" t="str"/>
      <c r="O425" s="58" t="str"/>
      <c r="P425" s="42" t="str"/>
      <c r="Q425" s="42" t="str"/>
      <c r="R425" s="48" t="str"/>
      <c r="S425" s="58" t="str"/>
      <c r="T425" s="42" t="str"/>
      <c r="U425" s="42" t="str"/>
      <c r="V425" s="48" t="str"/>
      <c r="W425" s="58" t="str"/>
      <c r="X425" s="42" t="n"/>
      <c r="Y425" s="42" t="n"/>
    </row>
    <row r="426">
      <c r="B426" s="2">
        <f>IF(STUDENTS!B425="","",STUDENTS!B425)</f>
        <v/>
      </c>
      <c r="C426" s="44">
        <f>IFERROR(IF(B426="","",_xlfn.XLOOKUP(B426,STUDENTS!$B$3:$B$1048576,STUDENTS!$C$3:$C$1048576)),"Enter a registered reg. no")</f>
        <v/>
      </c>
      <c r="D426" s="52">
        <f t="array" ref="D426:W426">IF(All_Students_Scores!C424:V424="","",All_Students_Scores!C424:V424)</f>
        <v/>
      </c>
      <c r="E426" s="57" t="str"/>
      <c r="F426" s="66" t="str"/>
      <c r="G426" s="67" t="str"/>
      <c r="H426" s="64" t="str"/>
      <c r="I426" s="65" t="str"/>
      <c r="J426" s="66" t="str"/>
      <c r="K426" s="67" t="str"/>
      <c r="L426" s="41" t="str"/>
      <c r="M426" s="41" t="str"/>
      <c r="N426" s="66" t="str"/>
      <c r="O426" s="67" t="str"/>
      <c r="P426" s="41" t="str"/>
      <c r="Q426" s="41" t="str"/>
      <c r="R426" s="66" t="str"/>
      <c r="S426" s="67" t="str"/>
      <c r="T426" s="41" t="str"/>
      <c r="U426" s="41" t="str"/>
      <c r="V426" s="66" t="str"/>
      <c r="W426" s="67" t="str"/>
    </row>
    <row r="427">
      <c r="B427" s="2">
        <f>IF(STUDENTS!B426="","",STUDENTS!B426)</f>
        <v/>
      </c>
      <c r="C427" s="44">
        <f>IFERROR(IF(B427="","",_xlfn.XLOOKUP(B427,STUDENTS!$B$3:$B$1048576,STUDENTS!$C$3:$C$1048576)),"Enter a registered reg. no")</f>
        <v/>
      </c>
      <c r="D427" s="52">
        <f t="array" ref="D427:W427">IF(All_Students_Scores!C425:V425="","",All_Students_Scores!C425:V425)</f>
        <v/>
      </c>
      <c r="E427" s="55" t="str"/>
      <c r="F427" s="48" t="str"/>
      <c r="G427" s="58" t="str"/>
      <c r="H427" s="62" t="str"/>
      <c r="I427" s="63" t="str"/>
      <c r="J427" s="48" t="str"/>
      <c r="K427" s="58" t="str"/>
      <c r="L427" s="42" t="str"/>
      <c r="M427" s="42" t="str"/>
      <c r="N427" s="48" t="str"/>
      <c r="O427" s="58" t="str"/>
      <c r="P427" s="42" t="str"/>
      <c r="Q427" s="42" t="str"/>
      <c r="R427" s="48" t="str"/>
      <c r="S427" s="58" t="str"/>
      <c r="T427" s="42" t="str"/>
      <c r="U427" s="42" t="str"/>
      <c r="V427" s="48" t="str"/>
      <c r="W427" s="58" t="str"/>
      <c r="X427" s="42" t="n"/>
      <c r="Y427" s="42" t="n"/>
    </row>
    <row r="428">
      <c r="B428" s="2">
        <f>IF(STUDENTS!B427="","",STUDENTS!B427)</f>
        <v/>
      </c>
      <c r="C428" s="44">
        <f>IFERROR(IF(B428="","",_xlfn.XLOOKUP(B428,STUDENTS!$B$3:$B$1048576,STUDENTS!$C$3:$C$1048576)),"Enter a registered reg. no")</f>
        <v/>
      </c>
      <c r="D428" s="52">
        <f t="array" ref="D428:W428">IF(All_Students_Scores!C426:V426="","",All_Students_Scores!C426:V426)</f>
        <v/>
      </c>
      <c r="E428" s="57" t="str"/>
      <c r="F428" s="66" t="str"/>
      <c r="G428" s="67" t="str"/>
      <c r="H428" s="64" t="str"/>
      <c r="I428" s="65" t="str"/>
      <c r="J428" s="66" t="str"/>
      <c r="K428" s="67" t="str"/>
      <c r="L428" s="41" t="str"/>
      <c r="M428" s="41" t="str"/>
      <c r="N428" s="66" t="str"/>
      <c r="O428" s="67" t="str"/>
      <c r="P428" s="41" t="str"/>
      <c r="Q428" s="41" t="str"/>
      <c r="R428" s="66" t="str"/>
      <c r="S428" s="67" t="str"/>
      <c r="T428" s="41" t="str"/>
      <c r="U428" s="41" t="str"/>
      <c r="V428" s="66" t="str"/>
      <c r="W428" s="67" t="str"/>
    </row>
    <row r="429">
      <c r="B429" s="2">
        <f>IF(STUDENTS!B428="","",STUDENTS!B428)</f>
        <v/>
      </c>
      <c r="C429" s="44">
        <f>IFERROR(IF(B429="","",_xlfn.XLOOKUP(B429,STUDENTS!$B$3:$B$1048576,STUDENTS!$C$3:$C$1048576)),"Enter a registered reg. no")</f>
        <v/>
      </c>
      <c r="D429" s="52">
        <f t="array" ref="D429:W429">IF(All_Students_Scores!C427:V427="","",All_Students_Scores!C427:V427)</f>
        <v/>
      </c>
      <c r="E429" s="55" t="str"/>
      <c r="F429" s="48" t="str"/>
      <c r="G429" s="58" t="str"/>
      <c r="H429" s="62" t="str"/>
      <c r="I429" s="63" t="str"/>
      <c r="J429" s="48" t="str"/>
      <c r="K429" s="58" t="str"/>
      <c r="L429" s="42" t="str"/>
      <c r="M429" s="42" t="str"/>
      <c r="N429" s="48" t="str"/>
      <c r="O429" s="58" t="str"/>
      <c r="P429" s="42" t="str"/>
      <c r="Q429" s="42" t="str"/>
      <c r="R429" s="48" t="str"/>
      <c r="S429" s="58" t="str"/>
      <c r="T429" s="42" t="str"/>
      <c r="U429" s="42" t="str"/>
      <c r="V429" s="48" t="str"/>
      <c r="W429" s="58" t="str"/>
      <c r="X429" s="42" t="n"/>
      <c r="Y429" s="42" t="n"/>
    </row>
    <row r="430">
      <c r="B430" s="2">
        <f>IF(STUDENTS!B429="","",STUDENTS!B429)</f>
        <v/>
      </c>
      <c r="C430" s="44">
        <f>IFERROR(IF(B430="","",_xlfn.XLOOKUP(B430,STUDENTS!$B$3:$B$1048576,STUDENTS!$C$3:$C$1048576)),"Enter a registered reg. no")</f>
        <v/>
      </c>
      <c r="D430" s="52">
        <f t="array" ref="D430:W430">IF(All_Students_Scores!C428:V428="","",All_Students_Scores!C428:V428)</f>
        <v/>
      </c>
      <c r="E430" s="57" t="str"/>
      <c r="F430" s="66" t="str"/>
      <c r="G430" s="67" t="str"/>
      <c r="H430" s="64" t="str"/>
      <c r="I430" s="65" t="str"/>
      <c r="J430" s="66" t="str"/>
      <c r="K430" s="67" t="str"/>
      <c r="L430" s="41" t="str"/>
      <c r="M430" s="41" t="str"/>
      <c r="N430" s="66" t="str"/>
      <c r="O430" s="67" t="str"/>
      <c r="P430" s="41" t="str"/>
      <c r="Q430" s="41" t="str"/>
      <c r="R430" s="66" t="str"/>
      <c r="S430" s="67" t="str"/>
      <c r="T430" s="41" t="str"/>
      <c r="U430" s="41" t="str"/>
      <c r="V430" s="66" t="str"/>
      <c r="W430" s="67" t="str"/>
    </row>
    <row r="431">
      <c r="B431" s="2">
        <f>IF(STUDENTS!B430="","",STUDENTS!B430)</f>
        <v/>
      </c>
      <c r="C431" s="44">
        <f>IFERROR(IF(B431="","",_xlfn.XLOOKUP(B431,STUDENTS!$B$3:$B$1048576,STUDENTS!$C$3:$C$1048576)),"Enter a registered reg. no")</f>
        <v/>
      </c>
      <c r="D431" s="52">
        <f t="array" ref="D431:W431">IF(All_Students_Scores!C429:V429="","",All_Students_Scores!C429:V429)</f>
        <v/>
      </c>
      <c r="E431" s="55" t="str"/>
      <c r="F431" s="48" t="str"/>
      <c r="G431" s="58" t="str"/>
      <c r="H431" s="62" t="str"/>
      <c r="I431" s="63" t="str"/>
      <c r="J431" s="48" t="str"/>
      <c r="K431" s="58" t="str"/>
      <c r="L431" s="42" t="str"/>
      <c r="M431" s="42" t="str"/>
      <c r="N431" s="48" t="str"/>
      <c r="O431" s="58" t="str"/>
      <c r="P431" s="42" t="str"/>
      <c r="Q431" s="42" t="str"/>
      <c r="R431" s="48" t="str"/>
      <c r="S431" s="58" t="str"/>
      <c r="T431" s="42" t="str"/>
      <c r="U431" s="42" t="str"/>
      <c r="V431" s="48" t="str"/>
      <c r="W431" s="58" t="str"/>
      <c r="X431" s="42" t="n"/>
      <c r="Y431" s="42" t="n"/>
    </row>
    <row r="432">
      <c r="B432" s="2">
        <f>IF(STUDENTS!B431="","",STUDENTS!B431)</f>
        <v/>
      </c>
      <c r="C432" s="44">
        <f>IFERROR(IF(B432="","",_xlfn.XLOOKUP(B432,STUDENTS!$B$3:$B$1048576,STUDENTS!$C$3:$C$1048576)),"Enter a registered reg. no")</f>
        <v/>
      </c>
      <c r="D432" s="52">
        <f t="array" ref="D432:W432">IF(All_Students_Scores!C430:V430="","",All_Students_Scores!C430:V430)</f>
        <v/>
      </c>
      <c r="E432" s="57" t="str"/>
      <c r="F432" s="66" t="str"/>
      <c r="G432" s="67" t="str"/>
      <c r="H432" s="64" t="str"/>
      <c r="I432" s="65" t="str"/>
      <c r="J432" s="66" t="str"/>
      <c r="K432" s="67" t="str"/>
      <c r="L432" s="41" t="str"/>
      <c r="M432" s="41" t="str"/>
      <c r="N432" s="66" t="str"/>
      <c r="O432" s="67" t="str"/>
      <c r="P432" s="41" t="str"/>
      <c r="Q432" s="41" t="str"/>
      <c r="R432" s="66" t="str"/>
      <c r="S432" s="67" t="str"/>
      <c r="T432" s="41" t="str"/>
      <c r="U432" s="41" t="str"/>
      <c r="V432" s="66" t="str"/>
      <c r="W432" s="67" t="str"/>
    </row>
    <row r="433">
      <c r="B433" s="2">
        <f>IF(STUDENTS!B432="","",STUDENTS!B432)</f>
        <v/>
      </c>
      <c r="C433" s="44">
        <f>IFERROR(IF(B433="","",_xlfn.XLOOKUP(B433,STUDENTS!$B$3:$B$1048576,STUDENTS!$C$3:$C$1048576)),"Enter a registered reg. no")</f>
        <v/>
      </c>
      <c r="D433" s="52">
        <f t="array" ref="D433:W433">IF(All_Students_Scores!C431:V431="","",All_Students_Scores!C431:V431)</f>
        <v/>
      </c>
      <c r="E433" s="55" t="str"/>
      <c r="F433" s="48" t="str"/>
      <c r="G433" s="58" t="str"/>
      <c r="H433" s="62" t="str"/>
      <c r="I433" s="63" t="str"/>
      <c r="J433" s="48" t="str"/>
      <c r="K433" s="58" t="str"/>
      <c r="L433" s="42" t="str"/>
      <c r="M433" s="42" t="str"/>
      <c r="N433" s="48" t="str"/>
      <c r="O433" s="58" t="str"/>
      <c r="P433" s="42" t="str"/>
      <c r="Q433" s="42" t="str"/>
      <c r="R433" s="48" t="str"/>
      <c r="S433" s="58" t="str"/>
      <c r="T433" s="42" t="str"/>
      <c r="U433" s="42" t="str"/>
      <c r="V433" s="48" t="str"/>
      <c r="W433" s="58" t="str"/>
      <c r="X433" s="42" t="n"/>
      <c r="Y433" s="42" t="n"/>
    </row>
    <row r="434">
      <c r="B434" s="2">
        <f>IF(STUDENTS!B433="","",STUDENTS!B433)</f>
        <v/>
      </c>
      <c r="C434" s="44">
        <f>IFERROR(IF(B434="","",_xlfn.XLOOKUP(B434,STUDENTS!$B$3:$B$1048576,STUDENTS!$C$3:$C$1048576)),"Enter a registered reg. no")</f>
        <v/>
      </c>
      <c r="D434" s="52">
        <f t="array" ref="D434:W434">IF(All_Students_Scores!C432:V432="","",All_Students_Scores!C432:V432)</f>
        <v/>
      </c>
      <c r="E434" s="57" t="str"/>
      <c r="F434" s="66" t="str"/>
      <c r="G434" s="67" t="str"/>
      <c r="H434" s="64" t="str"/>
      <c r="I434" s="65" t="str"/>
      <c r="J434" s="66" t="str"/>
      <c r="K434" s="67" t="str"/>
      <c r="L434" s="41" t="str"/>
      <c r="M434" s="41" t="str"/>
      <c r="N434" s="66" t="str"/>
      <c r="O434" s="67" t="str"/>
      <c r="P434" s="41" t="str"/>
      <c r="Q434" s="41" t="str"/>
      <c r="R434" s="66" t="str"/>
      <c r="S434" s="67" t="str"/>
      <c r="T434" s="41" t="str"/>
      <c r="U434" s="41" t="str"/>
      <c r="V434" s="66" t="str"/>
      <c r="W434" s="67" t="str"/>
    </row>
    <row r="435">
      <c r="B435" s="2">
        <f>IF(STUDENTS!B434="","",STUDENTS!B434)</f>
        <v/>
      </c>
      <c r="C435" s="44">
        <f>IFERROR(IF(B435="","",_xlfn.XLOOKUP(B435,STUDENTS!$B$3:$B$1048576,STUDENTS!$C$3:$C$1048576)),"Enter a registered reg. no")</f>
        <v/>
      </c>
      <c r="D435" s="52">
        <f t="array" ref="D435:W435">IF(All_Students_Scores!C433:V433="","",All_Students_Scores!C433:V433)</f>
        <v/>
      </c>
      <c r="E435" s="55" t="str"/>
      <c r="F435" s="48" t="str"/>
      <c r="G435" s="58" t="str"/>
      <c r="H435" s="62" t="str"/>
      <c r="I435" s="63" t="str"/>
      <c r="J435" s="48" t="str"/>
      <c r="K435" s="58" t="str"/>
      <c r="L435" s="42" t="str"/>
      <c r="M435" s="42" t="str"/>
      <c r="N435" s="48" t="str"/>
      <c r="O435" s="58" t="str"/>
      <c r="P435" s="42" t="str"/>
      <c r="Q435" s="42" t="str"/>
      <c r="R435" s="48" t="str"/>
      <c r="S435" s="58" t="str"/>
      <c r="T435" s="42" t="str"/>
      <c r="U435" s="42" t="str"/>
      <c r="V435" s="48" t="str"/>
      <c r="W435" s="58" t="str"/>
      <c r="X435" s="42" t="n"/>
      <c r="Y435" s="42" t="n"/>
    </row>
    <row r="436">
      <c r="B436" s="2">
        <f>IF(STUDENTS!B435="","",STUDENTS!B435)</f>
        <v/>
      </c>
      <c r="C436" s="44">
        <f>IFERROR(IF(B436="","",_xlfn.XLOOKUP(B436,STUDENTS!$B$3:$B$1048576,STUDENTS!$C$3:$C$1048576)),"Enter a registered reg. no")</f>
        <v/>
      </c>
      <c r="D436" s="52">
        <f t="array" ref="D436:W436">IF(All_Students_Scores!C434:V434="","",All_Students_Scores!C434:V434)</f>
        <v/>
      </c>
      <c r="E436" s="57" t="str"/>
      <c r="F436" s="66" t="str"/>
      <c r="G436" s="67" t="str"/>
      <c r="H436" s="64" t="str"/>
      <c r="I436" s="65" t="str"/>
      <c r="J436" s="66" t="str"/>
      <c r="K436" s="67" t="str"/>
      <c r="L436" s="41" t="str"/>
      <c r="M436" s="41" t="str"/>
      <c r="N436" s="66" t="str"/>
      <c r="O436" s="67" t="str"/>
      <c r="P436" s="41" t="str"/>
      <c r="Q436" s="41" t="str"/>
      <c r="R436" s="66" t="str"/>
      <c r="S436" s="67" t="str"/>
      <c r="T436" s="41" t="str"/>
      <c r="U436" s="41" t="str"/>
      <c r="V436" s="66" t="str"/>
      <c r="W436" s="67" t="str"/>
    </row>
    <row r="437">
      <c r="B437" s="2">
        <f>IF(STUDENTS!B436="","",STUDENTS!B436)</f>
        <v/>
      </c>
      <c r="C437" s="44">
        <f>IFERROR(IF(B437="","",_xlfn.XLOOKUP(B437,STUDENTS!$B$3:$B$1048576,STUDENTS!$C$3:$C$1048576)),"Enter a registered reg. no")</f>
        <v/>
      </c>
      <c r="D437" s="52">
        <f t="array" ref="D437:W437">IF(All_Students_Scores!C435:V435="","",All_Students_Scores!C435:V435)</f>
        <v/>
      </c>
      <c r="E437" s="55" t="str"/>
      <c r="F437" s="48" t="str"/>
      <c r="G437" s="58" t="str"/>
      <c r="H437" s="62" t="str"/>
      <c r="I437" s="63" t="str"/>
      <c r="J437" s="48" t="str"/>
      <c r="K437" s="58" t="str"/>
      <c r="L437" s="42" t="str"/>
      <c r="M437" s="42" t="str"/>
      <c r="N437" s="48" t="str"/>
      <c r="O437" s="58" t="str"/>
      <c r="P437" s="42" t="str"/>
      <c r="Q437" s="42" t="str"/>
      <c r="R437" s="48" t="str"/>
      <c r="S437" s="58" t="str"/>
      <c r="T437" s="42" t="str"/>
      <c r="U437" s="42" t="str"/>
      <c r="V437" s="48" t="str"/>
      <c r="W437" s="58" t="str"/>
      <c r="X437" s="42" t="n"/>
      <c r="Y437" s="42" t="n"/>
    </row>
    <row r="438">
      <c r="B438" s="2">
        <f>IF(STUDENTS!B437="","",STUDENTS!B437)</f>
        <v/>
      </c>
      <c r="C438" s="44">
        <f>IFERROR(IF(B438="","",_xlfn.XLOOKUP(B438,STUDENTS!$B$3:$B$1048576,STUDENTS!$C$3:$C$1048576)),"Enter a registered reg. no")</f>
        <v/>
      </c>
      <c r="D438" s="52">
        <f t="array" ref="D438:W438">IF(All_Students_Scores!C436:V436="","",All_Students_Scores!C436:V436)</f>
        <v/>
      </c>
      <c r="E438" s="57" t="str"/>
      <c r="F438" s="66" t="str"/>
      <c r="G438" s="67" t="str"/>
      <c r="H438" s="64" t="str"/>
      <c r="I438" s="65" t="str"/>
      <c r="J438" s="66" t="str"/>
      <c r="K438" s="67" t="str"/>
      <c r="L438" s="41" t="str"/>
      <c r="M438" s="41" t="str"/>
      <c r="N438" s="66" t="str"/>
      <c r="O438" s="67" t="str"/>
      <c r="P438" s="41" t="str"/>
      <c r="Q438" s="41" t="str"/>
      <c r="R438" s="66" t="str"/>
      <c r="S438" s="67" t="str"/>
      <c r="T438" s="41" t="str"/>
      <c r="U438" s="41" t="str"/>
      <c r="V438" s="66" t="str"/>
      <c r="W438" s="67" t="str"/>
    </row>
    <row r="439">
      <c r="B439" s="2">
        <f>IF(STUDENTS!B438="","",STUDENTS!B438)</f>
        <v/>
      </c>
      <c r="C439" s="44">
        <f>IFERROR(IF(B439="","",_xlfn.XLOOKUP(B439,STUDENTS!$B$3:$B$1048576,STUDENTS!$C$3:$C$1048576)),"Enter a registered reg. no")</f>
        <v/>
      </c>
      <c r="D439" s="52">
        <f t="array" ref="D439:W439">IF(All_Students_Scores!C437:V437="","",All_Students_Scores!C437:V437)</f>
        <v/>
      </c>
      <c r="E439" s="55" t="str"/>
      <c r="F439" s="48" t="str"/>
      <c r="G439" s="58" t="str"/>
      <c r="H439" s="62" t="str"/>
      <c r="I439" s="63" t="str"/>
      <c r="J439" s="48" t="str"/>
      <c r="K439" s="58" t="str"/>
      <c r="L439" s="42" t="str"/>
      <c r="M439" s="42" t="str"/>
      <c r="N439" s="48" t="str"/>
      <c r="O439" s="58" t="str"/>
      <c r="P439" s="42" t="str"/>
      <c r="Q439" s="42" t="str"/>
      <c r="R439" s="48" t="str"/>
      <c r="S439" s="58" t="str"/>
      <c r="T439" s="42" t="str"/>
      <c r="U439" s="42" t="str"/>
      <c r="V439" s="48" t="str"/>
      <c r="W439" s="58" t="str"/>
      <c r="X439" s="42" t="n"/>
      <c r="Y439" s="42" t="n"/>
    </row>
    <row r="440">
      <c r="B440" s="2">
        <f>IF(STUDENTS!B439="","",STUDENTS!B439)</f>
        <v/>
      </c>
      <c r="C440" s="44">
        <f>IFERROR(IF(B440="","",_xlfn.XLOOKUP(B440,STUDENTS!$B$3:$B$1048576,STUDENTS!$C$3:$C$1048576)),"Enter a registered reg. no")</f>
        <v/>
      </c>
      <c r="D440" s="52">
        <f t="array" ref="D440:W440">IF(All_Students_Scores!C438:V438="","",All_Students_Scores!C438:V438)</f>
        <v/>
      </c>
      <c r="E440" s="57" t="str"/>
      <c r="F440" s="66" t="str"/>
      <c r="G440" s="67" t="str"/>
      <c r="H440" s="64" t="str"/>
      <c r="I440" s="65" t="str"/>
      <c r="J440" s="66" t="str"/>
      <c r="K440" s="67" t="str"/>
      <c r="L440" s="41" t="str"/>
      <c r="M440" s="41" t="str"/>
      <c r="N440" s="66" t="str"/>
      <c r="O440" s="67" t="str"/>
      <c r="P440" s="41" t="str"/>
      <c r="Q440" s="41" t="str"/>
      <c r="R440" s="66" t="str"/>
      <c r="S440" s="67" t="str"/>
      <c r="T440" s="41" t="str"/>
      <c r="U440" s="41" t="str"/>
      <c r="V440" s="66" t="str"/>
      <c r="W440" s="67" t="str"/>
    </row>
    <row r="441">
      <c r="B441" s="2">
        <f>IF(STUDENTS!B440="","",STUDENTS!B440)</f>
        <v/>
      </c>
      <c r="C441" s="44">
        <f>IFERROR(IF(B441="","",_xlfn.XLOOKUP(B441,STUDENTS!$B$3:$B$1048576,STUDENTS!$C$3:$C$1048576)),"Enter a registered reg. no")</f>
        <v/>
      </c>
      <c r="D441" s="52">
        <f t="array" ref="D441:W441">IF(All_Students_Scores!C439:V439="","",All_Students_Scores!C439:V439)</f>
        <v/>
      </c>
      <c r="E441" s="55" t="str"/>
      <c r="F441" s="48" t="str"/>
      <c r="G441" s="58" t="str"/>
      <c r="H441" s="62" t="str"/>
      <c r="I441" s="63" t="str"/>
      <c r="J441" s="48" t="str"/>
      <c r="K441" s="58" t="str"/>
      <c r="L441" s="42" t="str"/>
      <c r="M441" s="42" t="str"/>
      <c r="N441" s="48" t="str"/>
      <c r="O441" s="58" t="str"/>
      <c r="P441" s="42" t="str"/>
      <c r="Q441" s="42" t="str"/>
      <c r="R441" s="48" t="str"/>
      <c r="S441" s="58" t="str"/>
      <c r="T441" s="42" t="str"/>
      <c r="U441" s="42" t="str"/>
      <c r="V441" s="48" t="str"/>
      <c r="W441" s="58" t="str"/>
      <c r="X441" s="42" t="n"/>
      <c r="Y441" s="42" t="n"/>
    </row>
    <row r="442">
      <c r="B442" s="2">
        <f>IF(STUDENTS!B441="","",STUDENTS!B441)</f>
        <v/>
      </c>
      <c r="C442" s="44">
        <f>IFERROR(IF(B442="","",_xlfn.XLOOKUP(B442,STUDENTS!$B$3:$B$1048576,STUDENTS!$C$3:$C$1048576)),"Enter a registered reg. no")</f>
        <v/>
      </c>
      <c r="D442" s="52">
        <f t="array" ref="D442:W442">IF(All_Students_Scores!C440:V440="","",All_Students_Scores!C440:V440)</f>
        <v/>
      </c>
      <c r="E442" s="57" t="str"/>
      <c r="F442" s="66" t="str"/>
      <c r="G442" s="67" t="str"/>
      <c r="H442" s="64" t="str"/>
      <c r="I442" s="65" t="str"/>
      <c r="J442" s="66" t="str"/>
      <c r="K442" s="67" t="str"/>
      <c r="L442" s="41" t="str"/>
      <c r="M442" s="41" t="str"/>
      <c r="N442" s="66" t="str"/>
      <c r="O442" s="67" t="str"/>
      <c r="P442" s="41" t="str"/>
      <c r="Q442" s="41" t="str"/>
      <c r="R442" s="66" t="str"/>
      <c r="S442" s="67" t="str"/>
      <c r="T442" s="41" t="str"/>
      <c r="U442" s="41" t="str"/>
      <c r="V442" s="66" t="str"/>
      <c r="W442" s="67" t="str"/>
    </row>
    <row r="443">
      <c r="B443" s="2">
        <f>IF(STUDENTS!B442="","",STUDENTS!B442)</f>
        <v/>
      </c>
      <c r="C443" s="44">
        <f>IFERROR(IF(B443="","",_xlfn.XLOOKUP(B443,STUDENTS!$B$3:$B$1048576,STUDENTS!$C$3:$C$1048576)),"Enter a registered reg. no")</f>
        <v/>
      </c>
      <c r="D443" s="52">
        <f t="array" ref="D443:W443">IF(All_Students_Scores!C441:V441="","",All_Students_Scores!C441:V441)</f>
        <v/>
      </c>
      <c r="E443" s="55" t="str"/>
      <c r="F443" s="48" t="str"/>
      <c r="G443" s="58" t="str"/>
      <c r="H443" s="62" t="str"/>
      <c r="I443" s="63" t="str"/>
      <c r="J443" s="48" t="str"/>
      <c r="K443" s="58" t="str"/>
      <c r="L443" s="42" t="str"/>
      <c r="M443" s="42" t="str"/>
      <c r="N443" s="48" t="str"/>
      <c r="O443" s="58" t="str"/>
      <c r="P443" s="42" t="str"/>
      <c r="Q443" s="42" t="str"/>
      <c r="R443" s="48" t="str"/>
      <c r="S443" s="58" t="str"/>
      <c r="T443" s="42" t="str"/>
      <c r="U443" s="42" t="str"/>
      <c r="V443" s="48" t="str"/>
      <c r="W443" s="58" t="str"/>
      <c r="X443" s="42" t="n"/>
      <c r="Y443" s="42" t="n"/>
    </row>
    <row r="444">
      <c r="B444" s="2">
        <f>IF(STUDENTS!B443="","",STUDENTS!B443)</f>
        <v/>
      </c>
      <c r="C444" s="44">
        <f>IFERROR(IF(B444="","",_xlfn.XLOOKUP(B444,STUDENTS!$B$3:$B$1048576,STUDENTS!$C$3:$C$1048576)),"Enter a registered reg. no")</f>
        <v/>
      </c>
      <c r="D444" s="52">
        <f t="array" ref="D444:W444">IF(All_Students_Scores!C442:V442="","",All_Students_Scores!C442:V442)</f>
        <v/>
      </c>
      <c r="E444" s="57" t="str"/>
      <c r="F444" s="66" t="str"/>
      <c r="G444" s="67" t="str"/>
      <c r="H444" s="64" t="str"/>
      <c r="I444" s="65" t="str"/>
      <c r="J444" s="66" t="str"/>
      <c r="K444" s="67" t="str"/>
      <c r="L444" s="41" t="str"/>
      <c r="M444" s="41" t="str"/>
      <c r="N444" s="66" t="str"/>
      <c r="O444" s="67" t="str"/>
      <c r="P444" s="41" t="str"/>
      <c r="Q444" s="41" t="str"/>
      <c r="R444" s="66" t="str"/>
      <c r="S444" s="67" t="str"/>
      <c r="T444" s="41" t="str"/>
      <c r="U444" s="41" t="str"/>
      <c r="V444" s="66" t="str"/>
      <c r="W444" s="67" t="str"/>
    </row>
    <row r="445">
      <c r="B445" s="2">
        <f>IF(STUDENTS!B444="","",STUDENTS!B444)</f>
        <v/>
      </c>
      <c r="C445" s="44">
        <f>IFERROR(IF(B445="","",_xlfn.XLOOKUP(B445,STUDENTS!$B$3:$B$1048576,STUDENTS!$C$3:$C$1048576)),"Enter a registered reg. no")</f>
        <v/>
      </c>
      <c r="D445" s="52">
        <f t="array" ref="D445:W445">IF(All_Students_Scores!C443:V443="","",All_Students_Scores!C443:V443)</f>
        <v/>
      </c>
      <c r="E445" s="55" t="str"/>
      <c r="F445" s="48" t="str"/>
      <c r="G445" s="58" t="str"/>
      <c r="H445" s="62" t="str"/>
      <c r="I445" s="63" t="str"/>
      <c r="J445" s="48" t="str"/>
      <c r="K445" s="58" t="str"/>
      <c r="L445" s="42" t="str"/>
      <c r="M445" s="42" t="str"/>
      <c r="N445" s="48" t="str"/>
      <c r="O445" s="58" t="str"/>
      <c r="P445" s="42" t="str"/>
      <c r="Q445" s="42" t="str"/>
      <c r="R445" s="48" t="str"/>
      <c r="S445" s="58" t="str"/>
      <c r="T445" s="42" t="str"/>
      <c r="U445" s="42" t="str"/>
      <c r="V445" s="48" t="str"/>
      <c r="W445" s="58" t="str"/>
      <c r="X445" s="42" t="n"/>
      <c r="Y445" s="42" t="n"/>
    </row>
    <row r="446">
      <c r="B446" s="2">
        <f>IF(STUDENTS!B445="","",STUDENTS!B445)</f>
        <v/>
      </c>
      <c r="C446" s="44">
        <f>IFERROR(IF(B446="","",_xlfn.XLOOKUP(B446,STUDENTS!$B$3:$B$1048576,STUDENTS!$C$3:$C$1048576)),"Enter a registered reg. no")</f>
        <v/>
      </c>
      <c r="D446" s="52">
        <f t="array" ref="D446:W446">IF(All_Students_Scores!C444:V444="","",All_Students_Scores!C444:V444)</f>
        <v/>
      </c>
      <c r="E446" s="57" t="str"/>
      <c r="F446" s="66" t="str"/>
      <c r="G446" s="67" t="str"/>
      <c r="H446" s="64" t="str"/>
      <c r="I446" s="65" t="str"/>
      <c r="J446" s="66" t="str"/>
      <c r="K446" s="67" t="str"/>
      <c r="L446" s="41" t="str"/>
      <c r="M446" s="41" t="str"/>
      <c r="N446" s="66" t="str"/>
      <c r="O446" s="67" t="str"/>
      <c r="P446" s="41" t="str"/>
      <c r="Q446" s="41" t="str"/>
      <c r="R446" s="66" t="str"/>
      <c r="S446" s="67" t="str"/>
      <c r="T446" s="41" t="str"/>
      <c r="U446" s="41" t="str"/>
      <c r="V446" s="66" t="str"/>
      <c r="W446" s="67" t="str"/>
    </row>
    <row r="447">
      <c r="B447" s="2">
        <f>IF(STUDENTS!B446="","",STUDENTS!B446)</f>
        <v/>
      </c>
      <c r="C447" s="44">
        <f>IFERROR(IF(B447="","",_xlfn.XLOOKUP(B447,STUDENTS!$B$3:$B$1048576,STUDENTS!$C$3:$C$1048576)),"Enter a registered reg. no")</f>
        <v/>
      </c>
      <c r="D447" s="52">
        <f t="array" ref="D447:W447">IF(All_Students_Scores!C445:V445="","",All_Students_Scores!C445:V445)</f>
        <v/>
      </c>
      <c r="E447" s="55" t="str"/>
      <c r="F447" s="48" t="str"/>
      <c r="G447" s="58" t="str"/>
      <c r="H447" s="62" t="str"/>
      <c r="I447" s="63" t="str"/>
      <c r="J447" s="48" t="str"/>
      <c r="K447" s="58" t="str"/>
      <c r="L447" s="42" t="str"/>
      <c r="M447" s="42" t="str"/>
      <c r="N447" s="48" t="str"/>
      <c r="O447" s="58" t="str"/>
      <c r="P447" s="42" t="str"/>
      <c r="Q447" s="42" t="str"/>
      <c r="R447" s="48" t="str"/>
      <c r="S447" s="58" t="str"/>
      <c r="T447" s="42" t="str"/>
      <c r="U447" s="42" t="str"/>
      <c r="V447" s="48" t="str"/>
      <c r="W447" s="58" t="str"/>
      <c r="X447" s="42" t="n"/>
      <c r="Y447" s="42" t="n"/>
    </row>
    <row r="448">
      <c r="B448" s="2">
        <f>IF(STUDENTS!B447="","",STUDENTS!B447)</f>
        <v/>
      </c>
      <c r="C448" s="44">
        <f>IFERROR(IF(B448="","",_xlfn.XLOOKUP(B448,STUDENTS!$B$3:$B$1048576,STUDENTS!$C$3:$C$1048576)),"Enter a registered reg. no")</f>
        <v/>
      </c>
      <c r="D448" s="52">
        <f t="array" ref="D448:W448">IF(All_Students_Scores!C446:V446="","",All_Students_Scores!C446:V446)</f>
        <v/>
      </c>
      <c r="E448" s="57" t="str"/>
      <c r="F448" s="66" t="str"/>
      <c r="G448" s="67" t="str"/>
      <c r="H448" s="64" t="str"/>
      <c r="I448" s="65" t="str"/>
      <c r="J448" s="66" t="str"/>
      <c r="K448" s="67" t="str"/>
      <c r="L448" s="41" t="str"/>
      <c r="M448" s="41" t="str"/>
      <c r="N448" s="66" t="str"/>
      <c r="O448" s="67" t="str"/>
      <c r="P448" s="41" t="str"/>
      <c r="Q448" s="41" t="str"/>
      <c r="R448" s="66" t="str"/>
      <c r="S448" s="67" t="str"/>
      <c r="T448" s="41" t="str"/>
      <c r="U448" s="41" t="str"/>
      <c r="V448" s="66" t="str"/>
      <c r="W448" s="67" t="str"/>
    </row>
    <row r="449">
      <c r="B449" s="2">
        <f>IF(STUDENTS!B448="","",STUDENTS!B448)</f>
        <v/>
      </c>
      <c r="C449" s="44">
        <f>IFERROR(IF(B449="","",_xlfn.XLOOKUP(B449,STUDENTS!$B$3:$B$1048576,STUDENTS!$C$3:$C$1048576)),"Enter a registered reg. no")</f>
        <v/>
      </c>
      <c r="D449" s="52">
        <f t="array" ref="D449:W449">IF(All_Students_Scores!C447:V447="","",All_Students_Scores!C447:V447)</f>
        <v/>
      </c>
      <c r="E449" s="55" t="str"/>
      <c r="F449" s="48" t="str"/>
      <c r="G449" s="58" t="str"/>
      <c r="H449" s="62" t="str"/>
      <c r="I449" s="63" t="str"/>
      <c r="J449" s="48" t="str"/>
      <c r="K449" s="58" t="str"/>
      <c r="L449" s="42" t="str"/>
      <c r="M449" s="42" t="str"/>
      <c r="N449" s="48" t="str"/>
      <c r="O449" s="58" t="str"/>
      <c r="P449" s="42" t="str"/>
      <c r="Q449" s="42" t="str"/>
      <c r="R449" s="48" t="str"/>
      <c r="S449" s="58" t="str"/>
      <c r="T449" s="42" t="str"/>
      <c r="U449" s="42" t="str"/>
      <c r="V449" s="48" t="str"/>
      <c r="W449" s="58" t="str"/>
      <c r="X449" s="42" t="n"/>
      <c r="Y449" s="42" t="n"/>
    </row>
    <row r="450">
      <c r="B450" s="2">
        <f>IF(STUDENTS!B449="","",STUDENTS!B449)</f>
        <v/>
      </c>
      <c r="C450" s="44">
        <f>IFERROR(IF(B450="","",_xlfn.XLOOKUP(B450,STUDENTS!$B$3:$B$1048576,STUDENTS!$C$3:$C$1048576)),"Enter a registered reg. no")</f>
        <v/>
      </c>
      <c r="D450" s="52">
        <f t="array" ref="D450:W450">IF(All_Students_Scores!C448:V448="","",All_Students_Scores!C448:V448)</f>
        <v/>
      </c>
      <c r="E450" s="57" t="str"/>
      <c r="F450" s="66" t="str"/>
      <c r="G450" s="67" t="str"/>
      <c r="H450" s="64" t="str"/>
      <c r="I450" s="65" t="str"/>
      <c r="J450" s="66" t="str"/>
      <c r="K450" s="67" t="str"/>
      <c r="L450" s="41" t="str"/>
      <c r="M450" s="41" t="str"/>
      <c r="N450" s="66" t="str"/>
      <c r="O450" s="67" t="str"/>
      <c r="P450" s="41" t="str"/>
      <c r="Q450" s="41" t="str"/>
      <c r="R450" s="66" t="str"/>
      <c r="S450" s="67" t="str"/>
      <c r="T450" s="41" t="str"/>
      <c r="U450" s="41" t="str"/>
      <c r="V450" s="66" t="str"/>
      <c r="W450" s="67" t="str"/>
    </row>
    <row r="451">
      <c r="B451" s="2">
        <f>IF(STUDENTS!B450="","",STUDENTS!B450)</f>
        <v/>
      </c>
      <c r="C451" s="44">
        <f>IFERROR(IF(B451="","",_xlfn.XLOOKUP(B451,STUDENTS!$B$3:$B$1048576,STUDENTS!$C$3:$C$1048576)),"Enter a registered reg. no")</f>
        <v/>
      </c>
      <c r="D451" s="52">
        <f t="array" ref="D451:W451">IF(All_Students_Scores!C449:V449="","",All_Students_Scores!C449:V449)</f>
        <v/>
      </c>
      <c r="E451" s="55" t="str"/>
      <c r="F451" s="48" t="str"/>
      <c r="G451" s="58" t="str"/>
      <c r="H451" s="62" t="str"/>
      <c r="I451" s="63" t="str"/>
      <c r="J451" s="48" t="str"/>
      <c r="K451" s="58" t="str"/>
      <c r="L451" s="42" t="str"/>
      <c r="M451" s="42" t="str"/>
      <c r="N451" s="48" t="str"/>
      <c r="O451" s="58" t="str"/>
      <c r="P451" s="42" t="str"/>
      <c r="Q451" s="42" t="str"/>
      <c r="R451" s="48" t="str"/>
      <c r="S451" s="58" t="str"/>
      <c r="T451" s="42" t="str"/>
      <c r="U451" s="42" t="str"/>
      <c r="V451" s="48" t="str"/>
      <c r="W451" s="58" t="str"/>
      <c r="X451" s="42" t="n"/>
      <c r="Y451" s="42" t="n"/>
    </row>
    <row r="452">
      <c r="B452" s="2">
        <f>IF(STUDENTS!B451="","",STUDENTS!B451)</f>
        <v/>
      </c>
      <c r="C452" s="44">
        <f>IFERROR(IF(B452="","",_xlfn.XLOOKUP(B452,STUDENTS!$B$3:$B$1048576,STUDENTS!$C$3:$C$1048576)),"Enter a registered reg. no")</f>
        <v/>
      </c>
      <c r="D452" s="52">
        <f t="array" ref="D452:W452">IF(All_Students_Scores!C450:V450="","",All_Students_Scores!C450:V450)</f>
        <v/>
      </c>
      <c r="E452" s="57" t="str"/>
      <c r="F452" s="66" t="str"/>
      <c r="G452" s="67" t="str"/>
      <c r="H452" s="64" t="str"/>
      <c r="I452" s="65" t="str"/>
      <c r="J452" s="66" t="str"/>
      <c r="K452" s="67" t="str"/>
      <c r="L452" s="41" t="str"/>
      <c r="M452" s="41" t="str"/>
      <c r="N452" s="66" t="str"/>
      <c r="O452" s="67" t="str"/>
      <c r="P452" s="41" t="str"/>
      <c r="Q452" s="41" t="str"/>
      <c r="R452" s="66" t="str"/>
      <c r="S452" s="67" t="str"/>
      <c r="T452" s="41" t="str"/>
      <c r="U452" s="41" t="str"/>
      <c r="V452" s="66" t="str"/>
      <c r="W452" s="67" t="str"/>
    </row>
    <row r="453">
      <c r="B453" s="2">
        <f>IF(STUDENTS!B452="","",STUDENTS!B452)</f>
        <v/>
      </c>
      <c r="C453" s="44">
        <f>IFERROR(IF(B453="","",_xlfn.XLOOKUP(B453,STUDENTS!$B$3:$B$1048576,STUDENTS!$C$3:$C$1048576)),"Enter a registered reg. no")</f>
        <v/>
      </c>
      <c r="D453" s="52">
        <f t="array" ref="D453:W453">IF(All_Students_Scores!C451:V451="","",All_Students_Scores!C451:V451)</f>
        <v/>
      </c>
      <c r="E453" s="55" t="str"/>
      <c r="F453" s="48" t="str"/>
      <c r="G453" s="58" t="str"/>
      <c r="H453" s="62" t="str"/>
      <c r="I453" s="63" t="str"/>
      <c r="J453" s="48" t="str"/>
      <c r="K453" s="58" t="str"/>
      <c r="L453" s="42" t="str"/>
      <c r="M453" s="42" t="str"/>
      <c r="N453" s="48" t="str"/>
      <c r="O453" s="58" t="str"/>
      <c r="P453" s="42" t="str"/>
      <c r="Q453" s="42" t="str"/>
      <c r="R453" s="48" t="str"/>
      <c r="S453" s="58" t="str"/>
      <c r="T453" s="42" t="str"/>
      <c r="U453" s="42" t="str"/>
      <c r="V453" s="48" t="str"/>
      <c r="W453" s="58" t="str"/>
      <c r="X453" s="42" t="n"/>
      <c r="Y453" s="42" t="n"/>
    </row>
    <row r="454">
      <c r="B454" s="2">
        <f>IF(STUDENTS!B453="","",STUDENTS!B453)</f>
        <v/>
      </c>
      <c r="C454" s="44">
        <f>IFERROR(IF(B454="","",_xlfn.XLOOKUP(B454,STUDENTS!$B$3:$B$1048576,STUDENTS!$C$3:$C$1048576)),"Enter a registered reg. no")</f>
        <v/>
      </c>
      <c r="D454" s="52">
        <f t="array" ref="D454:W454">IF(All_Students_Scores!C452:V452="","",All_Students_Scores!C452:V452)</f>
        <v/>
      </c>
      <c r="E454" s="57" t="str"/>
      <c r="F454" s="66" t="str"/>
      <c r="G454" s="67" t="str"/>
      <c r="H454" s="64" t="str"/>
      <c r="I454" s="65" t="str"/>
      <c r="J454" s="66" t="str"/>
      <c r="K454" s="67" t="str"/>
      <c r="L454" s="41" t="str"/>
      <c r="M454" s="41" t="str"/>
      <c r="N454" s="66" t="str"/>
      <c r="O454" s="67" t="str"/>
      <c r="P454" s="41" t="str"/>
      <c r="Q454" s="41" t="str"/>
      <c r="R454" s="66" t="str"/>
      <c r="S454" s="67" t="str"/>
      <c r="T454" s="41" t="str"/>
      <c r="U454" s="41" t="str"/>
      <c r="V454" s="66" t="str"/>
      <c r="W454" s="67" t="str"/>
    </row>
    <row r="455">
      <c r="B455" s="2">
        <f>IF(STUDENTS!B454="","",STUDENTS!B454)</f>
        <v/>
      </c>
      <c r="C455" s="44">
        <f>IFERROR(IF(B455="","",_xlfn.XLOOKUP(B455,STUDENTS!$B$3:$B$1048576,STUDENTS!$C$3:$C$1048576)),"Enter a registered reg. no")</f>
        <v/>
      </c>
      <c r="D455" s="52">
        <f t="array" ref="D455:W455">IF(All_Students_Scores!C453:V453="","",All_Students_Scores!C453:V453)</f>
        <v/>
      </c>
      <c r="E455" s="55" t="str"/>
      <c r="F455" s="48" t="str"/>
      <c r="G455" s="58" t="str"/>
      <c r="H455" s="62" t="str"/>
      <c r="I455" s="63" t="str"/>
      <c r="J455" s="48" t="str"/>
      <c r="K455" s="58" t="str"/>
      <c r="L455" s="42" t="str"/>
      <c r="M455" s="42" t="str"/>
      <c r="N455" s="48" t="str"/>
      <c r="O455" s="58" t="str"/>
      <c r="P455" s="42" t="str"/>
      <c r="Q455" s="42" t="str"/>
      <c r="R455" s="48" t="str"/>
      <c r="S455" s="58" t="str"/>
      <c r="T455" s="42" t="str"/>
      <c r="U455" s="42" t="str"/>
      <c r="V455" s="48" t="str"/>
      <c r="W455" s="58" t="str"/>
      <c r="X455" s="42" t="n"/>
      <c r="Y455" s="42" t="n"/>
    </row>
    <row r="456">
      <c r="B456" s="2">
        <f>IF(STUDENTS!B455="","",STUDENTS!B455)</f>
        <v/>
      </c>
      <c r="C456" s="44">
        <f>IFERROR(IF(B456="","",_xlfn.XLOOKUP(B456,STUDENTS!$B$3:$B$1048576,STUDENTS!$C$3:$C$1048576)),"Enter a registered reg. no")</f>
        <v/>
      </c>
      <c r="D456" s="52">
        <f t="array" ref="D456:W456">IF(All_Students_Scores!C454:V454="","",All_Students_Scores!C454:V454)</f>
        <v/>
      </c>
      <c r="E456" s="57" t="str"/>
      <c r="F456" s="66" t="str"/>
      <c r="G456" s="67" t="str"/>
      <c r="H456" s="64" t="str"/>
      <c r="I456" s="65" t="str"/>
      <c r="J456" s="66" t="str"/>
      <c r="K456" s="67" t="str"/>
      <c r="L456" s="41" t="str"/>
      <c r="M456" s="41" t="str"/>
      <c r="N456" s="66" t="str"/>
      <c r="O456" s="67" t="str"/>
      <c r="P456" s="41" t="str"/>
      <c r="Q456" s="41" t="str"/>
      <c r="R456" s="66" t="str"/>
      <c r="S456" s="67" t="str"/>
      <c r="T456" s="41" t="str"/>
      <c r="U456" s="41" t="str"/>
      <c r="V456" s="66" t="str"/>
      <c r="W456" s="67" t="str"/>
    </row>
    <row r="457">
      <c r="B457" s="2">
        <f>IF(STUDENTS!B456="","",STUDENTS!B456)</f>
        <v/>
      </c>
      <c r="C457" s="44">
        <f>IFERROR(IF(B457="","",_xlfn.XLOOKUP(B457,STUDENTS!$B$3:$B$1048576,STUDENTS!$C$3:$C$1048576)),"Enter a registered reg. no")</f>
        <v/>
      </c>
      <c r="D457" s="52">
        <f t="array" ref="D457:W457">IF(All_Students_Scores!C455:V455="","",All_Students_Scores!C455:V455)</f>
        <v/>
      </c>
      <c r="E457" s="55" t="str"/>
      <c r="F457" s="48" t="str"/>
      <c r="G457" s="58" t="str"/>
      <c r="H457" s="62" t="str"/>
      <c r="I457" s="63" t="str"/>
      <c r="J457" s="48" t="str"/>
      <c r="K457" s="58" t="str"/>
      <c r="L457" s="42" t="str"/>
      <c r="M457" s="42" t="str"/>
      <c r="N457" s="48" t="str"/>
      <c r="O457" s="58" t="str"/>
      <c r="P457" s="42" t="str"/>
      <c r="Q457" s="42" t="str"/>
      <c r="R457" s="48" t="str"/>
      <c r="S457" s="58" t="str"/>
      <c r="T457" s="42" t="str"/>
      <c r="U457" s="42" t="str"/>
      <c r="V457" s="48" t="str"/>
      <c r="W457" s="58" t="str"/>
      <c r="X457" s="42" t="n"/>
      <c r="Y457" s="42" t="n"/>
    </row>
    <row r="458">
      <c r="B458" s="2">
        <f>IF(STUDENTS!B457="","",STUDENTS!B457)</f>
        <v/>
      </c>
      <c r="C458" s="44">
        <f>IFERROR(IF(B458="","",_xlfn.XLOOKUP(B458,STUDENTS!$B$3:$B$1048576,STUDENTS!$C$3:$C$1048576)),"Enter a registered reg. no")</f>
        <v/>
      </c>
      <c r="D458" s="52">
        <f t="array" ref="D458:W458">IF(All_Students_Scores!C456:V456="","",All_Students_Scores!C456:V456)</f>
        <v/>
      </c>
      <c r="E458" s="57" t="str"/>
      <c r="F458" s="66" t="str"/>
      <c r="G458" s="67" t="str"/>
      <c r="H458" s="64" t="str"/>
      <c r="I458" s="65" t="str"/>
      <c r="J458" s="66" t="str"/>
      <c r="K458" s="67" t="str"/>
      <c r="L458" s="41" t="str"/>
      <c r="M458" s="41" t="str"/>
      <c r="N458" s="66" t="str"/>
      <c r="O458" s="67" t="str"/>
      <c r="P458" s="41" t="str"/>
      <c r="Q458" s="41" t="str"/>
      <c r="R458" s="66" t="str"/>
      <c r="S458" s="67" t="str"/>
      <c r="T458" s="41" t="str"/>
      <c r="U458" s="41" t="str"/>
      <c r="V458" s="66" t="str"/>
      <c r="W458" s="67" t="str"/>
    </row>
    <row r="459">
      <c r="B459" s="2">
        <f>IF(STUDENTS!B458="","",STUDENTS!B458)</f>
        <v/>
      </c>
      <c r="C459" s="44">
        <f>IFERROR(IF(B459="","",_xlfn.XLOOKUP(B459,STUDENTS!$B$3:$B$1048576,STUDENTS!$C$3:$C$1048576)),"Enter a registered reg. no")</f>
        <v/>
      </c>
      <c r="D459" s="52">
        <f t="array" ref="D459:W459">IF(All_Students_Scores!C457:V457="","",All_Students_Scores!C457:V457)</f>
        <v/>
      </c>
      <c r="E459" s="55" t="str"/>
      <c r="F459" s="48" t="str"/>
      <c r="G459" s="58" t="str"/>
      <c r="H459" s="62" t="str"/>
      <c r="I459" s="63" t="str"/>
      <c r="J459" s="48" t="str"/>
      <c r="K459" s="58" t="str"/>
      <c r="L459" s="42" t="str"/>
      <c r="M459" s="42" t="str"/>
      <c r="N459" s="48" t="str"/>
      <c r="O459" s="58" t="str"/>
      <c r="P459" s="42" t="str"/>
      <c r="Q459" s="42" t="str"/>
      <c r="R459" s="48" t="str"/>
      <c r="S459" s="58" t="str"/>
      <c r="T459" s="42" t="str"/>
      <c r="U459" s="42" t="str"/>
      <c r="V459" s="48" t="str"/>
      <c r="W459" s="58" t="str"/>
      <c r="X459" s="42" t="n"/>
      <c r="Y459" s="42" t="n"/>
    </row>
    <row r="460">
      <c r="B460" s="2">
        <f>IF(STUDENTS!B459="","",STUDENTS!B459)</f>
        <v/>
      </c>
      <c r="C460" s="44">
        <f>IFERROR(IF(B460="","",_xlfn.XLOOKUP(B460,STUDENTS!$B$3:$B$1048576,STUDENTS!$C$3:$C$1048576)),"Enter a registered reg. no")</f>
        <v/>
      </c>
      <c r="D460" s="52">
        <f t="array" ref="D460:W460">IF(All_Students_Scores!C458:V458="","",All_Students_Scores!C458:V458)</f>
        <v/>
      </c>
      <c r="E460" s="57" t="str"/>
      <c r="F460" s="66" t="str"/>
      <c r="G460" s="67" t="str"/>
      <c r="H460" s="64" t="str"/>
      <c r="I460" s="65" t="str"/>
      <c r="J460" s="66" t="str"/>
      <c r="K460" s="67" t="str"/>
      <c r="L460" s="41" t="str"/>
      <c r="M460" s="41" t="str"/>
      <c r="N460" s="66" t="str"/>
      <c r="O460" s="67" t="str"/>
      <c r="P460" s="41" t="str"/>
      <c r="Q460" s="41" t="str"/>
      <c r="R460" s="66" t="str"/>
      <c r="S460" s="67" t="str"/>
      <c r="T460" s="41" t="str"/>
      <c r="U460" s="41" t="str"/>
      <c r="V460" s="66" t="str"/>
      <c r="W460" s="67" t="str"/>
    </row>
    <row r="461">
      <c r="B461" s="2">
        <f>IF(STUDENTS!B460="","",STUDENTS!B460)</f>
        <v/>
      </c>
      <c r="C461" s="44">
        <f>IFERROR(IF(B461="","",_xlfn.XLOOKUP(B461,STUDENTS!$B$3:$B$1048576,STUDENTS!$C$3:$C$1048576)),"Enter a registered reg. no")</f>
        <v/>
      </c>
      <c r="D461" s="52">
        <f t="array" ref="D461:W461">IF(All_Students_Scores!C459:V459="","",All_Students_Scores!C459:V459)</f>
        <v/>
      </c>
      <c r="E461" s="55" t="str"/>
      <c r="F461" s="48" t="str"/>
      <c r="G461" s="58" t="str"/>
      <c r="H461" s="62" t="str"/>
      <c r="I461" s="63" t="str"/>
      <c r="J461" s="48" t="str"/>
      <c r="K461" s="58" t="str"/>
      <c r="L461" s="42" t="str"/>
      <c r="M461" s="42" t="str"/>
      <c r="N461" s="48" t="str"/>
      <c r="O461" s="58" t="str"/>
      <c r="P461" s="42" t="str"/>
      <c r="Q461" s="42" t="str"/>
      <c r="R461" s="48" t="str"/>
      <c r="S461" s="58" t="str"/>
      <c r="T461" s="42" t="str"/>
      <c r="U461" s="42" t="str"/>
      <c r="V461" s="48" t="str"/>
      <c r="W461" s="58" t="str"/>
      <c r="X461" s="42" t="n"/>
      <c r="Y461" s="42" t="n"/>
    </row>
    <row r="462">
      <c r="B462" s="2">
        <f>IF(STUDENTS!B461="","",STUDENTS!B461)</f>
        <v/>
      </c>
      <c r="C462" s="44">
        <f>IFERROR(IF(B462="","",_xlfn.XLOOKUP(B462,STUDENTS!$B$3:$B$1048576,STUDENTS!$C$3:$C$1048576)),"Enter a registered reg. no")</f>
        <v/>
      </c>
      <c r="D462" s="52">
        <f t="array" ref="D462:W462">IF(All_Students_Scores!C460:V460="","",All_Students_Scores!C460:V460)</f>
        <v/>
      </c>
      <c r="E462" s="57" t="str"/>
      <c r="F462" s="66" t="str"/>
      <c r="G462" s="67" t="str"/>
      <c r="H462" s="64" t="str"/>
      <c r="I462" s="65" t="str"/>
      <c r="J462" s="66" t="str"/>
      <c r="K462" s="67" t="str"/>
      <c r="L462" s="41" t="str"/>
      <c r="M462" s="41" t="str"/>
      <c r="N462" s="66" t="str"/>
      <c r="O462" s="67" t="str"/>
      <c r="P462" s="41" t="str"/>
      <c r="Q462" s="41" t="str"/>
      <c r="R462" s="66" t="str"/>
      <c r="S462" s="67" t="str"/>
      <c r="T462" s="41" t="str"/>
      <c r="U462" s="41" t="str"/>
      <c r="V462" s="66" t="str"/>
      <c r="W462" s="67" t="str"/>
    </row>
    <row r="463">
      <c r="B463" s="2">
        <f>IF(STUDENTS!B462="","",STUDENTS!B462)</f>
        <v/>
      </c>
      <c r="C463" s="44">
        <f>IFERROR(IF(B463="","",_xlfn.XLOOKUP(B463,STUDENTS!$B$3:$B$1048576,STUDENTS!$C$3:$C$1048576)),"Enter a registered reg. no")</f>
        <v/>
      </c>
      <c r="D463" s="52">
        <f t="array" ref="D463:W463">IF(All_Students_Scores!C461:V461="","",All_Students_Scores!C461:V461)</f>
        <v/>
      </c>
      <c r="E463" s="55" t="str"/>
      <c r="F463" s="48" t="str"/>
      <c r="G463" s="58" t="str"/>
      <c r="H463" s="62" t="str"/>
      <c r="I463" s="63" t="str"/>
      <c r="J463" s="48" t="str"/>
      <c r="K463" s="58" t="str"/>
      <c r="L463" s="42" t="str"/>
      <c r="M463" s="42" t="str"/>
      <c r="N463" s="48" t="str"/>
      <c r="O463" s="58" t="str"/>
      <c r="P463" s="42" t="str"/>
      <c r="Q463" s="42" t="str"/>
      <c r="R463" s="48" t="str"/>
      <c r="S463" s="58" t="str"/>
      <c r="T463" s="42" t="str"/>
      <c r="U463" s="42" t="str"/>
      <c r="V463" s="48" t="str"/>
      <c r="W463" s="58" t="str"/>
      <c r="X463" s="42" t="n"/>
      <c r="Y463" s="42" t="n"/>
    </row>
    <row r="464">
      <c r="B464" s="2">
        <f>IF(STUDENTS!B463="","",STUDENTS!B463)</f>
        <v/>
      </c>
      <c r="C464" s="44">
        <f>IFERROR(IF(B464="","",_xlfn.XLOOKUP(B464,STUDENTS!$B$3:$B$1048576,STUDENTS!$C$3:$C$1048576)),"Enter a registered reg. no")</f>
        <v/>
      </c>
      <c r="D464" s="52">
        <f t="array" ref="D464:W464">IF(All_Students_Scores!C462:V462="","",All_Students_Scores!C462:V462)</f>
        <v/>
      </c>
      <c r="E464" s="57" t="str"/>
      <c r="F464" s="66" t="str"/>
      <c r="G464" s="67" t="str"/>
      <c r="H464" s="64" t="str"/>
      <c r="I464" s="65" t="str"/>
      <c r="J464" s="66" t="str"/>
      <c r="K464" s="67" t="str"/>
      <c r="L464" s="41" t="str"/>
      <c r="M464" s="41" t="str"/>
      <c r="N464" s="66" t="str"/>
      <c r="O464" s="67" t="str"/>
      <c r="P464" s="41" t="str"/>
      <c r="Q464" s="41" t="str"/>
      <c r="R464" s="66" t="str"/>
      <c r="S464" s="67" t="str"/>
      <c r="T464" s="41" t="str"/>
      <c r="U464" s="41" t="str"/>
      <c r="V464" s="66" t="str"/>
      <c r="W464" s="67" t="str"/>
    </row>
    <row r="465">
      <c r="B465" s="2">
        <f>IF(STUDENTS!B464="","",STUDENTS!B464)</f>
        <v/>
      </c>
      <c r="C465" s="44">
        <f>IFERROR(IF(B465="","",_xlfn.XLOOKUP(B465,STUDENTS!$B$3:$B$1048576,STUDENTS!$C$3:$C$1048576)),"Enter a registered reg. no")</f>
        <v/>
      </c>
      <c r="D465" s="52">
        <f t="array" ref="D465:W465">IF(All_Students_Scores!C463:V463="","",All_Students_Scores!C463:V463)</f>
        <v/>
      </c>
      <c r="E465" s="55" t="str"/>
      <c r="F465" s="48" t="str"/>
      <c r="G465" s="58" t="str"/>
      <c r="H465" s="62" t="str"/>
      <c r="I465" s="63" t="str"/>
      <c r="J465" s="48" t="str"/>
      <c r="K465" s="58" t="str"/>
      <c r="L465" s="42" t="str"/>
      <c r="M465" s="42" t="str"/>
      <c r="N465" s="48" t="str"/>
      <c r="O465" s="58" t="str"/>
      <c r="P465" s="42" t="str"/>
      <c r="Q465" s="42" t="str"/>
      <c r="R465" s="48" t="str"/>
      <c r="S465" s="58" t="str"/>
      <c r="T465" s="42" t="str"/>
      <c r="U465" s="42" t="str"/>
      <c r="V465" s="48" t="str"/>
      <c r="W465" s="58" t="str"/>
      <c r="X465" s="42" t="n"/>
      <c r="Y465" s="42" t="n"/>
    </row>
    <row r="466">
      <c r="B466" s="2">
        <f>IF(STUDENTS!B465="","",STUDENTS!B465)</f>
        <v/>
      </c>
      <c r="C466" s="44">
        <f>IFERROR(IF(B466="","",_xlfn.XLOOKUP(B466,STUDENTS!$B$3:$B$1048576,STUDENTS!$C$3:$C$1048576)),"Enter a registered reg. no")</f>
        <v/>
      </c>
      <c r="D466" s="52">
        <f t="array" ref="D466:W466">IF(All_Students_Scores!C464:V464="","",All_Students_Scores!C464:V464)</f>
        <v/>
      </c>
      <c r="E466" s="57" t="str"/>
      <c r="F466" s="66" t="str"/>
      <c r="G466" s="67" t="str"/>
      <c r="H466" s="64" t="str"/>
      <c r="I466" s="65" t="str"/>
      <c r="J466" s="66" t="str"/>
      <c r="K466" s="67" t="str"/>
      <c r="L466" s="41" t="str"/>
      <c r="M466" s="41" t="str"/>
      <c r="N466" s="66" t="str"/>
      <c r="O466" s="67" t="str"/>
      <c r="P466" s="41" t="str"/>
      <c r="Q466" s="41" t="str"/>
      <c r="R466" s="66" t="str"/>
      <c r="S466" s="67" t="str"/>
      <c r="T466" s="41" t="str"/>
      <c r="U466" s="41" t="str"/>
      <c r="V466" s="66" t="str"/>
      <c r="W466" s="67" t="str"/>
    </row>
    <row r="467">
      <c r="B467" s="2">
        <f>IF(STUDENTS!B466="","",STUDENTS!B466)</f>
        <v/>
      </c>
      <c r="C467" s="44">
        <f>IFERROR(IF(B467="","",_xlfn.XLOOKUP(B467,STUDENTS!$B$3:$B$1048576,STUDENTS!$C$3:$C$1048576)),"Enter a registered reg. no")</f>
        <v/>
      </c>
      <c r="D467" s="52">
        <f t="array" ref="D467:W467">IF(All_Students_Scores!C465:V465="","",All_Students_Scores!C465:V465)</f>
        <v/>
      </c>
      <c r="E467" s="55" t="str"/>
      <c r="F467" s="48" t="str"/>
      <c r="G467" s="58" t="str"/>
      <c r="H467" s="62" t="str"/>
      <c r="I467" s="63" t="str"/>
      <c r="J467" s="48" t="str"/>
      <c r="K467" s="58" t="str"/>
      <c r="L467" s="42" t="str"/>
      <c r="M467" s="42" t="str"/>
      <c r="N467" s="48" t="str"/>
      <c r="O467" s="58" t="str"/>
      <c r="P467" s="42" t="str"/>
      <c r="Q467" s="42" t="str"/>
      <c r="R467" s="48" t="str"/>
      <c r="S467" s="58" t="str"/>
      <c r="T467" s="42" t="str"/>
      <c r="U467" s="42" t="str"/>
      <c r="V467" s="48" t="str"/>
      <c r="W467" s="58" t="str"/>
      <c r="X467" s="42" t="n"/>
      <c r="Y467" s="42" t="n"/>
    </row>
    <row r="468">
      <c r="B468" s="2">
        <f>IF(STUDENTS!B467="","",STUDENTS!B467)</f>
        <v/>
      </c>
      <c r="C468" s="44">
        <f>IFERROR(IF(B468="","",_xlfn.XLOOKUP(B468,STUDENTS!$B$3:$B$1048576,STUDENTS!$C$3:$C$1048576)),"Enter a registered reg. no")</f>
        <v/>
      </c>
      <c r="D468" s="52">
        <f t="array" ref="D468:W468">IF(All_Students_Scores!C466:V466="","",All_Students_Scores!C466:V466)</f>
        <v/>
      </c>
      <c r="E468" s="57" t="str"/>
      <c r="F468" s="66" t="str"/>
      <c r="G468" s="67" t="str"/>
      <c r="H468" s="64" t="str"/>
      <c r="I468" s="65" t="str"/>
      <c r="J468" s="66" t="str"/>
      <c r="K468" s="67" t="str"/>
      <c r="L468" s="41" t="str"/>
      <c r="M468" s="41" t="str"/>
      <c r="N468" s="66" t="str"/>
      <c r="O468" s="67" t="str"/>
      <c r="P468" s="41" t="str"/>
      <c r="Q468" s="41" t="str"/>
      <c r="R468" s="66" t="str"/>
      <c r="S468" s="67" t="str"/>
      <c r="T468" s="41" t="str"/>
      <c r="U468" s="41" t="str"/>
      <c r="V468" s="66" t="str"/>
      <c r="W468" s="67" t="str"/>
    </row>
    <row r="469">
      <c r="B469" s="2">
        <f>IF(STUDENTS!B468="","",STUDENTS!B468)</f>
        <v/>
      </c>
      <c r="C469" s="44">
        <f>IFERROR(IF(B469="","",_xlfn.XLOOKUP(B469,STUDENTS!$B$3:$B$1048576,STUDENTS!$C$3:$C$1048576)),"Enter a registered reg. no")</f>
        <v/>
      </c>
      <c r="D469" s="52">
        <f t="array" ref="D469:W469">IF(All_Students_Scores!C467:V467="","",All_Students_Scores!C467:V467)</f>
        <v/>
      </c>
      <c r="E469" s="55" t="str"/>
      <c r="F469" s="48" t="str"/>
      <c r="G469" s="58" t="str"/>
      <c r="H469" s="62" t="str"/>
      <c r="I469" s="63" t="str"/>
      <c r="J469" s="48" t="str"/>
      <c r="K469" s="58" t="str"/>
      <c r="L469" s="42" t="str"/>
      <c r="M469" s="42" t="str"/>
      <c r="N469" s="48" t="str"/>
      <c r="O469" s="58" t="str"/>
      <c r="P469" s="42" t="str"/>
      <c r="Q469" s="42" t="str"/>
      <c r="R469" s="48" t="str"/>
      <c r="S469" s="58" t="str"/>
      <c r="T469" s="42" t="str"/>
      <c r="U469" s="42" t="str"/>
      <c r="V469" s="48" t="str"/>
      <c r="W469" s="58" t="str"/>
      <c r="X469" s="42" t="n"/>
      <c r="Y469" s="42" t="n"/>
    </row>
    <row r="470">
      <c r="B470" s="2">
        <f>IF(STUDENTS!B469="","",STUDENTS!B469)</f>
        <v/>
      </c>
      <c r="C470" s="44">
        <f>IFERROR(IF(B470="","",_xlfn.XLOOKUP(B470,STUDENTS!$B$3:$B$1048576,STUDENTS!$C$3:$C$1048576)),"Enter a registered reg. no")</f>
        <v/>
      </c>
      <c r="D470" s="52">
        <f t="array" ref="D470:W470">IF(All_Students_Scores!C468:V468="","",All_Students_Scores!C468:V468)</f>
        <v/>
      </c>
      <c r="E470" s="57" t="str"/>
      <c r="F470" s="66" t="str"/>
      <c r="G470" s="67" t="str"/>
      <c r="H470" s="64" t="str"/>
      <c r="I470" s="65" t="str"/>
      <c r="J470" s="66" t="str"/>
      <c r="K470" s="67" t="str"/>
      <c r="L470" s="41" t="str"/>
      <c r="M470" s="41" t="str"/>
      <c r="N470" s="66" t="str"/>
      <c r="O470" s="67" t="str"/>
      <c r="P470" s="41" t="str"/>
      <c r="Q470" s="41" t="str"/>
      <c r="R470" s="66" t="str"/>
      <c r="S470" s="67" t="str"/>
      <c r="T470" s="41" t="str"/>
      <c r="U470" s="41" t="str"/>
      <c r="V470" s="66" t="str"/>
      <c r="W470" s="67" t="str"/>
    </row>
    <row r="471">
      <c r="B471" s="2">
        <f>IF(STUDENTS!B470="","",STUDENTS!B470)</f>
        <v/>
      </c>
      <c r="C471" s="44">
        <f>IFERROR(IF(B471="","",_xlfn.XLOOKUP(B471,STUDENTS!$B$3:$B$1048576,STUDENTS!$C$3:$C$1048576)),"Enter a registered reg. no")</f>
        <v/>
      </c>
      <c r="D471" s="52">
        <f t="array" ref="D471:W471">IF(All_Students_Scores!C469:V469="","",All_Students_Scores!C469:V469)</f>
        <v/>
      </c>
      <c r="E471" s="55" t="str"/>
      <c r="F471" s="48" t="str"/>
      <c r="G471" s="58" t="str"/>
      <c r="H471" s="62" t="str"/>
      <c r="I471" s="63" t="str"/>
      <c r="J471" s="48" t="str"/>
      <c r="K471" s="58" t="str"/>
      <c r="L471" s="42" t="str"/>
      <c r="M471" s="42" t="str"/>
      <c r="N471" s="48" t="str"/>
      <c r="O471" s="58" t="str"/>
      <c r="P471" s="42" t="str"/>
      <c r="Q471" s="42" t="str"/>
      <c r="R471" s="48" t="str"/>
      <c r="S471" s="58" t="str"/>
      <c r="T471" s="42" t="str"/>
      <c r="U471" s="42" t="str"/>
      <c r="V471" s="48" t="str"/>
      <c r="W471" s="58" t="str"/>
      <c r="X471" s="42" t="n"/>
      <c r="Y471" s="42" t="n"/>
    </row>
    <row r="472">
      <c r="B472" s="2">
        <f>IF(STUDENTS!B471="","",STUDENTS!B471)</f>
        <v/>
      </c>
      <c r="C472" s="44">
        <f>IFERROR(IF(B472="","",_xlfn.XLOOKUP(B472,STUDENTS!$B$3:$B$1048576,STUDENTS!$C$3:$C$1048576)),"Enter a registered reg. no")</f>
        <v/>
      </c>
      <c r="D472" s="52">
        <f t="array" ref="D472:W472">IF(All_Students_Scores!C470:V470="","",All_Students_Scores!C470:V470)</f>
        <v/>
      </c>
      <c r="E472" s="57" t="str"/>
      <c r="F472" s="66" t="str"/>
      <c r="G472" s="67" t="str"/>
      <c r="H472" s="64" t="str"/>
      <c r="I472" s="65" t="str"/>
      <c r="J472" s="66" t="str"/>
      <c r="K472" s="67" t="str"/>
      <c r="L472" s="41" t="str"/>
      <c r="M472" s="41" t="str"/>
      <c r="N472" s="66" t="str"/>
      <c r="O472" s="67" t="str"/>
      <c r="P472" s="41" t="str"/>
      <c r="Q472" s="41" t="str"/>
      <c r="R472" s="66" t="str"/>
      <c r="S472" s="67" t="str"/>
      <c r="T472" s="41" t="str"/>
      <c r="U472" s="41" t="str"/>
      <c r="V472" s="66" t="str"/>
      <c r="W472" s="67" t="str"/>
    </row>
    <row r="473">
      <c r="B473" s="2">
        <f>IF(STUDENTS!B472="","",STUDENTS!B472)</f>
        <v/>
      </c>
      <c r="C473" s="44">
        <f>IFERROR(IF(B473="","",_xlfn.XLOOKUP(B473,STUDENTS!$B$3:$B$1048576,STUDENTS!$C$3:$C$1048576)),"Enter a registered reg. no")</f>
        <v/>
      </c>
      <c r="D473" s="52">
        <f t="array" ref="D473:W473">IF(All_Students_Scores!C471:V471="","",All_Students_Scores!C471:V471)</f>
        <v/>
      </c>
      <c r="E473" s="55" t="str"/>
      <c r="F473" s="48" t="str"/>
      <c r="G473" s="58" t="str"/>
      <c r="H473" s="62" t="str"/>
      <c r="I473" s="63" t="str"/>
      <c r="J473" s="48" t="str"/>
      <c r="K473" s="58" t="str"/>
      <c r="L473" s="42" t="str"/>
      <c r="M473" s="42" t="str"/>
      <c r="N473" s="48" t="str"/>
      <c r="O473" s="58" t="str"/>
      <c r="P473" s="42" t="str"/>
      <c r="Q473" s="42" t="str"/>
      <c r="R473" s="48" t="str"/>
      <c r="S473" s="58" t="str"/>
      <c r="T473" s="42" t="str"/>
      <c r="U473" s="42" t="str"/>
      <c r="V473" s="48" t="str"/>
      <c r="W473" s="58" t="str"/>
      <c r="X473" s="42" t="n"/>
      <c r="Y473" s="42" t="n"/>
    </row>
    <row r="474">
      <c r="B474" s="2">
        <f>IF(STUDENTS!B473="","",STUDENTS!B473)</f>
        <v/>
      </c>
      <c r="C474" s="44">
        <f>IFERROR(IF(B474="","",_xlfn.XLOOKUP(B474,STUDENTS!$B$3:$B$1048576,STUDENTS!$C$3:$C$1048576)),"Enter a registered reg. no")</f>
        <v/>
      </c>
      <c r="D474" s="52">
        <f t="array" ref="D474:W474">IF(All_Students_Scores!C472:V472="","",All_Students_Scores!C472:V472)</f>
        <v/>
      </c>
      <c r="E474" s="57" t="str"/>
      <c r="F474" s="66" t="str"/>
      <c r="G474" s="67" t="str"/>
      <c r="H474" s="64" t="str"/>
      <c r="I474" s="65" t="str"/>
      <c r="J474" s="66" t="str"/>
      <c r="K474" s="67" t="str"/>
      <c r="L474" s="41" t="str"/>
      <c r="M474" s="41" t="str"/>
      <c r="N474" s="66" t="str"/>
      <c r="O474" s="67" t="str"/>
      <c r="P474" s="41" t="str"/>
      <c r="Q474" s="41" t="str"/>
      <c r="R474" s="66" t="str"/>
      <c r="S474" s="67" t="str"/>
      <c r="T474" s="41" t="str"/>
      <c r="U474" s="41" t="str"/>
      <c r="V474" s="66" t="str"/>
      <c r="W474" s="67" t="str"/>
    </row>
    <row r="475">
      <c r="B475" s="2">
        <f>IF(STUDENTS!B474="","",STUDENTS!B474)</f>
        <v/>
      </c>
      <c r="C475" s="44">
        <f>IFERROR(IF(B475="","",_xlfn.XLOOKUP(B475,STUDENTS!$B$3:$B$1048576,STUDENTS!$C$3:$C$1048576)),"Enter a registered reg. no")</f>
        <v/>
      </c>
      <c r="D475" s="52">
        <f t="array" ref="D475:W475">IF(All_Students_Scores!C473:V473="","",All_Students_Scores!C473:V473)</f>
        <v/>
      </c>
      <c r="E475" s="55" t="str"/>
      <c r="F475" s="48" t="str"/>
      <c r="G475" s="58" t="str"/>
      <c r="H475" s="62" t="str"/>
      <c r="I475" s="63" t="str"/>
      <c r="J475" s="48" t="str"/>
      <c r="K475" s="58" t="str"/>
      <c r="L475" s="42" t="str"/>
      <c r="M475" s="42" t="str"/>
      <c r="N475" s="48" t="str"/>
      <c r="O475" s="58" t="str"/>
      <c r="P475" s="42" t="str"/>
      <c r="Q475" s="42" t="str"/>
      <c r="R475" s="48" t="str"/>
      <c r="S475" s="58" t="str"/>
      <c r="T475" s="42" t="str"/>
      <c r="U475" s="42" t="str"/>
      <c r="V475" s="48" t="str"/>
      <c r="W475" s="58" t="str"/>
      <c r="X475" s="42" t="n"/>
      <c r="Y475" s="42" t="n"/>
    </row>
    <row r="476">
      <c r="B476" s="2">
        <f>IF(STUDENTS!B475="","",STUDENTS!B475)</f>
        <v/>
      </c>
      <c r="C476" s="44">
        <f>IFERROR(IF(B476="","",_xlfn.XLOOKUP(B476,STUDENTS!$B$3:$B$1048576,STUDENTS!$C$3:$C$1048576)),"Enter a registered reg. no")</f>
        <v/>
      </c>
      <c r="D476" s="52">
        <f t="array" ref="D476:W476">IF(All_Students_Scores!C474:V474="","",All_Students_Scores!C474:V474)</f>
        <v/>
      </c>
      <c r="E476" s="57" t="str"/>
      <c r="F476" s="66" t="str"/>
      <c r="G476" s="67" t="str"/>
      <c r="H476" s="64" t="str"/>
      <c r="I476" s="65" t="str"/>
      <c r="J476" s="66" t="str"/>
      <c r="K476" s="67" t="str"/>
      <c r="L476" s="41" t="str"/>
      <c r="M476" s="41" t="str"/>
      <c r="N476" s="66" t="str"/>
      <c r="O476" s="67" t="str"/>
      <c r="P476" s="41" t="str"/>
      <c r="Q476" s="41" t="str"/>
      <c r="R476" s="66" t="str"/>
      <c r="S476" s="67" t="str"/>
      <c r="T476" s="41" t="str"/>
      <c r="U476" s="41" t="str"/>
      <c r="V476" s="66" t="str"/>
      <c r="W476" s="67" t="str"/>
    </row>
    <row r="477">
      <c r="B477" s="2">
        <f>IF(STUDENTS!B476="","",STUDENTS!B476)</f>
        <v/>
      </c>
      <c r="C477" s="44">
        <f>IFERROR(IF(B477="","",_xlfn.XLOOKUP(B477,STUDENTS!$B$3:$B$1048576,STUDENTS!$C$3:$C$1048576)),"Enter a registered reg. no")</f>
        <v/>
      </c>
      <c r="D477" s="52">
        <f t="array" ref="D477:W477">IF(All_Students_Scores!C475:V475="","",All_Students_Scores!C475:V475)</f>
        <v/>
      </c>
      <c r="E477" s="55" t="str"/>
      <c r="F477" s="48" t="str"/>
      <c r="G477" s="58" t="str"/>
      <c r="H477" s="62" t="str"/>
      <c r="I477" s="63" t="str"/>
      <c r="J477" s="48" t="str"/>
      <c r="K477" s="58" t="str"/>
      <c r="L477" s="42" t="str"/>
      <c r="M477" s="42" t="str"/>
      <c r="N477" s="48" t="str"/>
      <c r="O477" s="58" t="str"/>
      <c r="P477" s="42" t="str"/>
      <c r="Q477" s="42" t="str"/>
      <c r="R477" s="48" t="str"/>
      <c r="S477" s="58" t="str"/>
      <c r="T477" s="42" t="str"/>
      <c r="U477" s="42" t="str"/>
      <c r="V477" s="48" t="str"/>
      <c r="W477" s="58" t="str"/>
      <c r="X477" s="42" t="n"/>
      <c r="Y477" s="42" t="n"/>
    </row>
    <row r="478">
      <c r="B478" s="2">
        <f>IF(STUDENTS!B477="","",STUDENTS!B477)</f>
        <v/>
      </c>
      <c r="C478" s="44">
        <f>IFERROR(IF(B478="","",_xlfn.XLOOKUP(B478,STUDENTS!$B$3:$B$1048576,STUDENTS!$C$3:$C$1048576)),"Enter a registered reg. no")</f>
        <v/>
      </c>
      <c r="D478" s="52">
        <f t="array" ref="D478:W478">IF(All_Students_Scores!C476:V476="","",All_Students_Scores!C476:V476)</f>
        <v/>
      </c>
      <c r="E478" s="57" t="str"/>
      <c r="F478" s="66" t="str"/>
      <c r="G478" s="67" t="str"/>
      <c r="H478" s="64" t="str"/>
      <c r="I478" s="65" t="str"/>
      <c r="J478" s="66" t="str"/>
      <c r="K478" s="67" t="str"/>
      <c r="L478" s="41" t="str"/>
      <c r="M478" s="41" t="str"/>
      <c r="N478" s="66" t="str"/>
      <c r="O478" s="67" t="str"/>
      <c r="P478" s="41" t="str"/>
      <c r="Q478" s="41" t="str"/>
      <c r="R478" s="66" t="str"/>
      <c r="S478" s="67" t="str"/>
      <c r="T478" s="41" t="str"/>
      <c r="U478" s="41" t="str"/>
      <c r="V478" s="66" t="str"/>
      <c r="W478" s="67" t="str"/>
    </row>
    <row r="479">
      <c r="B479" s="2">
        <f>IF(STUDENTS!B478="","",STUDENTS!B478)</f>
        <v/>
      </c>
      <c r="C479" s="44">
        <f>IFERROR(IF(B479="","",_xlfn.XLOOKUP(B479,STUDENTS!$B$3:$B$1048576,STUDENTS!$C$3:$C$1048576)),"Enter a registered reg. no")</f>
        <v/>
      </c>
      <c r="D479" s="52">
        <f t="array" ref="D479:W479">IF(All_Students_Scores!C477:V477="","",All_Students_Scores!C477:V477)</f>
        <v/>
      </c>
      <c r="E479" s="55" t="str"/>
      <c r="F479" s="48" t="str"/>
      <c r="G479" s="58" t="str"/>
      <c r="H479" s="62" t="str"/>
      <c r="I479" s="63" t="str"/>
      <c r="J479" s="48" t="str"/>
      <c r="K479" s="58" t="str"/>
      <c r="L479" s="42" t="str"/>
      <c r="M479" s="42" t="str"/>
      <c r="N479" s="48" t="str"/>
      <c r="O479" s="58" t="str"/>
      <c r="P479" s="42" t="str"/>
      <c r="Q479" s="42" t="str"/>
      <c r="R479" s="48" t="str"/>
      <c r="S479" s="58" t="str"/>
      <c r="T479" s="42" t="str"/>
      <c r="U479" s="42" t="str"/>
      <c r="V479" s="48" t="str"/>
      <c r="W479" s="58" t="str"/>
      <c r="X479" s="42" t="n"/>
      <c r="Y479" s="42" t="n"/>
    </row>
    <row r="480">
      <c r="B480" s="2">
        <f>IF(STUDENTS!B479="","",STUDENTS!B479)</f>
        <v/>
      </c>
      <c r="C480" s="44">
        <f>IFERROR(IF(B480="","",_xlfn.XLOOKUP(B480,STUDENTS!$B$3:$B$1048576,STUDENTS!$C$3:$C$1048576)),"Enter a registered reg. no")</f>
        <v/>
      </c>
      <c r="D480" s="52">
        <f t="array" ref="D480:W480">IF(All_Students_Scores!C478:V478="","",All_Students_Scores!C478:V478)</f>
        <v/>
      </c>
      <c r="E480" s="57" t="str"/>
      <c r="F480" s="66" t="str"/>
      <c r="G480" s="67" t="str"/>
      <c r="H480" s="64" t="str"/>
      <c r="I480" s="65" t="str"/>
      <c r="J480" s="66" t="str"/>
      <c r="K480" s="67" t="str"/>
      <c r="L480" s="41" t="str"/>
      <c r="M480" s="41" t="str"/>
      <c r="N480" s="66" t="str"/>
      <c r="O480" s="67" t="str"/>
      <c r="P480" s="41" t="str"/>
      <c r="Q480" s="41" t="str"/>
      <c r="R480" s="66" t="str"/>
      <c r="S480" s="67" t="str"/>
      <c r="T480" s="41" t="str"/>
      <c r="U480" s="41" t="str"/>
      <c r="V480" s="66" t="str"/>
      <c r="W480" s="67" t="str"/>
    </row>
    <row r="481">
      <c r="B481" s="2">
        <f>IF(STUDENTS!B480="","",STUDENTS!B480)</f>
        <v/>
      </c>
      <c r="C481" s="44">
        <f>IFERROR(IF(B481="","",_xlfn.XLOOKUP(B481,STUDENTS!$B$3:$B$1048576,STUDENTS!$C$3:$C$1048576)),"Enter a registered reg. no")</f>
        <v/>
      </c>
      <c r="D481" s="52">
        <f t="array" ref="D481:W481">IF(All_Students_Scores!C479:V479="","",All_Students_Scores!C479:V479)</f>
        <v/>
      </c>
      <c r="E481" s="55" t="str"/>
      <c r="F481" s="48" t="str"/>
      <c r="G481" s="58" t="str"/>
      <c r="H481" s="62" t="str"/>
      <c r="I481" s="63" t="str"/>
      <c r="J481" s="48" t="str"/>
      <c r="K481" s="58" t="str"/>
      <c r="L481" s="42" t="str"/>
      <c r="M481" s="42" t="str"/>
      <c r="N481" s="48" t="str"/>
      <c r="O481" s="58" t="str"/>
      <c r="P481" s="42" t="str"/>
      <c r="Q481" s="42" t="str"/>
      <c r="R481" s="48" t="str"/>
      <c r="S481" s="58" t="str"/>
      <c r="T481" s="42" t="str"/>
      <c r="U481" s="42" t="str"/>
      <c r="V481" s="48" t="str"/>
      <c r="W481" s="58" t="str"/>
      <c r="X481" s="42" t="n"/>
      <c r="Y481" s="42" t="n"/>
    </row>
    <row r="482">
      <c r="B482" s="2">
        <f>IF(STUDENTS!B481="","",STUDENTS!B481)</f>
        <v/>
      </c>
      <c r="C482" s="44">
        <f>IFERROR(IF(B482="","",_xlfn.XLOOKUP(B482,STUDENTS!$B$3:$B$1048576,STUDENTS!$C$3:$C$1048576)),"Enter a registered reg. no")</f>
        <v/>
      </c>
      <c r="D482" s="52">
        <f t="array" ref="D482:W482">IF(All_Students_Scores!C480:V480="","",All_Students_Scores!C480:V480)</f>
        <v/>
      </c>
      <c r="E482" s="57" t="str"/>
      <c r="F482" s="66" t="str"/>
      <c r="G482" s="67" t="str"/>
      <c r="H482" s="64" t="str"/>
      <c r="I482" s="65" t="str"/>
      <c r="J482" s="66" t="str"/>
      <c r="K482" s="67" t="str"/>
      <c r="L482" s="41" t="str"/>
      <c r="M482" s="41" t="str"/>
      <c r="N482" s="66" t="str"/>
      <c r="O482" s="67" t="str"/>
      <c r="P482" s="41" t="str"/>
      <c r="Q482" s="41" t="str"/>
      <c r="R482" s="66" t="str"/>
      <c r="S482" s="67" t="str"/>
      <c r="T482" s="41" t="str"/>
      <c r="U482" s="41" t="str"/>
      <c r="V482" s="66" t="str"/>
      <c r="W482" s="67" t="str"/>
    </row>
    <row r="483">
      <c r="B483" s="2">
        <f>IF(STUDENTS!B482="","",STUDENTS!B482)</f>
        <v/>
      </c>
      <c r="C483" s="44">
        <f>IFERROR(IF(B483="","",_xlfn.XLOOKUP(B483,STUDENTS!$B$3:$B$1048576,STUDENTS!$C$3:$C$1048576)),"Enter a registered reg. no")</f>
        <v/>
      </c>
      <c r="D483" s="52">
        <f t="array" ref="D483:W483">IF(All_Students_Scores!C481:V481="","",All_Students_Scores!C481:V481)</f>
        <v/>
      </c>
      <c r="E483" s="55" t="str"/>
      <c r="F483" s="48" t="str"/>
      <c r="G483" s="58" t="str"/>
      <c r="H483" s="62" t="str"/>
      <c r="I483" s="63" t="str"/>
      <c r="J483" s="48" t="str"/>
      <c r="K483" s="58" t="str"/>
      <c r="L483" s="42" t="str"/>
      <c r="M483" s="42" t="str"/>
      <c r="N483" s="48" t="str"/>
      <c r="O483" s="58" t="str"/>
      <c r="P483" s="42" t="str"/>
      <c r="Q483" s="42" t="str"/>
      <c r="R483" s="48" t="str"/>
      <c r="S483" s="58" t="str"/>
      <c r="T483" s="42" t="str"/>
      <c r="U483" s="42" t="str"/>
      <c r="V483" s="48" t="str"/>
      <c r="W483" s="58" t="str"/>
      <c r="X483" s="42" t="n"/>
      <c r="Y483" s="42" t="n"/>
    </row>
    <row r="484">
      <c r="B484" s="2">
        <f>IF(STUDENTS!B483="","",STUDENTS!B483)</f>
        <v/>
      </c>
      <c r="C484" s="44">
        <f>IFERROR(IF(B484="","",_xlfn.XLOOKUP(B484,STUDENTS!$B$3:$B$1048576,STUDENTS!$C$3:$C$1048576)),"Enter a registered reg. no")</f>
        <v/>
      </c>
      <c r="D484" s="52">
        <f t="array" ref="D484:W484">IF(All_Students_Scores!C482:V482="","",All_Students_Scores!C482:V482)</f>
        <v/>
      </c>
      <c r="E484" s="57" t="str"/>
      <c r="F484" s="66" t="str"/>
      <c r="G484" s="67" t="str"/>
      <c r="H484" s="64" t="str"/>
      <c r="I484" s="65" t="str"/>
      <c r="J484" s="66" t="str"/>
      <c r="K484" s="67" t="str"/>
      <c r="L484" s="41" t="str"/>
      <c r="M484" s="41" t="str"/>
      <c r="N484" s="66" t="str"/>
      <c r="O484" s="67" t="str"/>
      <c r="P484" s="41" t="str"/>
      <c r="Q484" s="41" t="str"/>
      <c r="R484" s="66" t="str"/>
      <c r="S484" s="67" t="str"/>
      <c r="T484" s="41" t="str"/>
      <c r="U484" s="41" t="str"/>
      <c r="V484" s="66" t="str"/>
      <c r="W484" s="67" t="str"/>
    </row>
    <row r="485">
      <c r="B485" s="2">
        <f>IF(STUDENTS!B484="","",STUDENTS!B484)</f>
        <v/>
      </c>
      <c r="C485" s="44">
        <f>IFERROR(IF(B485="","",_xlfn.XLOOKUP(B485,STUDENTS!$B$3:$B$1048576,STUDENTS!$C$3:$C$1048576)),"Enter a registered reg. no")</f>
        <v/>
      </c>
      <c r="D485" s="52">
        <f t="array" ref="D485:W485">IF(All_Students_Scores!C483:V483="","",All_Students_Scores!C483:V483)</f>
        <v/>
      </c>
      <c r="E485" s="55" t="str"/>
      <c r="F485" s="48" t="str"/>
      <c r="G485" s="58" t="str"/>
      <c r="H485" s="62" t="str"/>
      <c r="I485" s="63" t="str"/>
      <c r="J485" s="48" t="str"/>
      <c r="K485" s="58" t="str"/>
      <c r="L485" s="42" t="str"/>
      <c r="M485" s="42" t="str"/>
      <c r="N485" s="48" t="str"/>
      <c r="O485" s="58" t="str"/>
      <c r="P485" s="42" t="str"/>
      <c r="Q485" s="42" t="str"/>
      <c r="R485" s="48" t="str"/>
      <c r="S485" s="58" t="str"/>
      <c r="T485" s="42" t="str"/>
      <c r="U485" s="42" t="str"/>
      <c r="V485" s="48" t="str"/>
      <c r="W485" s="58" t="str"/>
      <c r="X485" s="42" t="n"/>
      <c r="Y485" s="42" t="n"/>
    </row>
    <row r="486">
      <c r="B486" s="2">
        <f>IF(STUDENTS!B485="","",STUDENTS!B485)</f>
        <v/>
      </c>
      <c r="C486" s="44">
        <f>IFERROR(IF(B486="","",_xlfn.XLOOKUP(B486,STUDENTS!$B$3:$B$1048576,STUDENTS!$C$3:$C$1048576)),"Enter a registered reg. no")</f>
        <v/>
      </c>
      <c r="D486" s="52">
        <f t="array" ref="D486:W486">IF(All_Students_Scores!C484:V484="","",All_Students_Scores!C484:V484)</f>
        <v/>
      </c>
      <c r="E486" s="57" t="str"/>
      <c r="F486" s="66" t="str"/>
      <c r="G486" s="67" t="str"/>
      <c r="H486" s="64" t="str"/>
      <c r="I486" s="65" t="str"/>
      <c r="J486" s="66" t="str"/>
      <c r="K486" s="67" t="str"/>
      <c r="L486" s="41" t="str"/>
      <c r="M486" s="41" t="str"/>
      <c r="N486" s="66" t="str"/>
      <c r="O486" s="67" t="str"/>
      <c r="P486" s="41" t="str"/>
      <c r="Q486" s="41" t="str"/>
      <c r="R486" s="66" t="str"/>
      <c r="S486" s="67" t="str"/>
      <c r="T486" s="41" t="str"/>
      <c r="U486" s="41" t="str"/>
      <c r="V486" s="66" t="str"/>
      <c r="W486" s="67" t="str"/>
    </row>
    <row r="487">
      <c r="B487" s="2">
        <f>IF(STUDENTS!B486="","",STUDENTS!B486)</f>
        <v/>
      </c>
      <c r="C487" s="44">
        <f>IFERROR(IF(B487="","",_xlfn.XLOOKUP(B487,STUDENTS!$B$3:$B$1048576,STUDENTS!$C$3:$C$1048576)),"Enter a registered reg. no")</f>
        <v/>
      </c>
      <c r="D487" s="52">
        <f t="array" ref="D487:W487">IF(All_Students_Scores!C485:V485="","",All_Students_Scores!C485:V485)</f>
        <v/>
      </c>
      <c r="E487" s="55" t="str"/>
      <c r="F487" s="48" t="str"/>
      <c r="G487" s="58" t="str"/>
      <c r="H487" s="62" t="str"/>
      <c r="I487" s="63" t="str"/>
      <c r="J487" s="48" t="str"/>
      <c r="K487" s="58" t="str"/>
      <c r="L487" s="42" t="str"/>
      <c r="M487" s="42" t="str"/>
      <c r="N487" s="48" t="str"/>
      <c r="O487" s="58" t="str"/>
      <c r="P487" s="42" t="str"/>
      <c r="Q487" s="42" t="str"/>
      <c r="R487" s="48" t="str"/>
      <c r="S487" s="58" t="str"/>
      <c r="T487" s="42" t="str"/>
      <c r="U487" s="42" t="str"/>
      <c r="V487" s="48" t="str"/>
      <c r="W487" s="58" t="str"/>
      <c r="X487" s="42" t="n"/>
      <c r="Y487" s="42" t="n"/>
    </row>
    <row r="488">
      <c r="B488" s="2">
        <f>IF(STUDENTS!B487="","",STUDENTS!B487)</f>
        <v/>
      </c>
      <c r="C488" s="44">
        <f>IFERROR(IF(B488="","",_xlfn.XLOOKUP(B488,STUDENTS!$B$3:$B$1048576,STUDENTS!$C$3:$C$1048576)),"Enter a registered reg. no")</f>
        <v/>
      </c>
      <c r="D488" s="52">
        <f t="array" ref="D488:W488">IF(All_Students_Scores!C486:V486="","",All_Students_Scores!C486:V486)</f>
        <v/>
      </c>
      <c r="E488" s="57" t="str"/>
      <c r="F488" s="66" t="str"/>
      <c r="G488" s="67" t="str"/>
      <c r="H488" s="64" t="str"/>
      <c r="I488" s="65" t="str"/>
      <c r="J488" s="66" t="str"/>
      <c r="K488" s="67" t="str"/>
      <c r="L488" s="41" t="str"/>
      <c r="M488" s="41" t="str"/>
      <c r="N488" s="66" t="str"/>
      <c r="O488" s="67" t="str"/>
      <c r="P488" s="41" t="str"/>
      <c r="Q488" s="41" t="str"/>
      <c r="R488" s="66" t="str"/>
      <c r="S488" s="67" t="str"/>
      <c r="T488" s="41" t="str"/>
      <c r="U488" s="41" t="str"/>
      <c r="V488" s="66" t="str"/>
      <c r="W488" s="67" t="str"/>
    </row>
    <row r="489">
      <c r="B489" s="2">
        <f>IF(STUDENTS!B488="","",STUDENTS!B488)</f>
        <v/>
      </c>
      <c r="C489" s="44">
        <f>IFERROR(IF(B489="","",_xlfn.XLOOKUP(B489,STUDENTS!$B$3:$B$1048576,STUDENTS!$C$3:$C$1048576)),"Enter a registered reg. no")</f>
        <v/>
      </c>
      <c r="D489" s="52">
        <f t="array" ref="D489:W489">IF(All_Students_Scores!C487:V487="","",All_Students_Scores!C487:V487)</f>
        <v/>
      </c>
      <c r="E489" s="55" t="str"/>
      <c r="F489" s="48" t="str"/>
      <c r="G489" s="58" t="str"/>
      <c r="H489" s="62" t="str"/>
      <c r="I489" s="63" t="str"/>
      <c r="J489" s="48" t="str"/>
      <c r="K489" s="58" t="str"/>
      <c r="L489" s="42" t="str"/>
      <c r="M489" s="42" t="str"/>
      <c r="N489" s="48" t="str"/>
      <c r="O489" s="58" t="str"/>
      <c r="P489" s="42" t="str"/>
      <c r="Q489" s="42" t="str"/>
      <c r="R489" s="48" t="str"/>
      <c r="S489" s="58" t="str"/>
      <c r="T489" s="42" t="str"/>
      <c r="U489" s="42" t="str"/>
      <c r="V489" s="48" t="str"/>
      <c r="W489" s="58" t="str"/>
      <c r="X489" s="42" t="n"/>
      <c r="Y489" s="42" t="n"/>
    </row>
    <row r="490">
      <c r="B490" s="2">
        <f>IF(STUDENTS!B489="","",STUDENTS!B489)</f>
        <v/>
      </c>
      <c r="C490" s="44">
        <f>IFERROR(IF(B490="","",_xlfn.XLOOKUP(B490,STUDENTS!$B$3:$B$1048576,STUDENTS!$C$3:$C$1048576)),"Enter a registered reg. no")</f>
        <v/>
      </c>
      <c r="D490" s="52">
        <f t="array" ref="D490:W490">IF(All_Students_Scores!C488:V488="","",All_Students_Scores!C488:V488)</f>
        <v/>
      </c>
      <c r="E490" s="57" t="str"/>
      <c r="F490" s="66" t="str"/>
      <c r="G490" s="67" t="str"/>
      <c r="H490" s="64" t="str"/>
      <c r="I490" s="65" t="str"/>
      <c r="J490" s="66" t="str"/>
      <c r="K490" s="67" t="str"/>
      <c r="L490" s="41" t="str"/>
      <c r="M490" s="41" t="str"/>
      <c r="N490" s="66" t="str"/>
      <c r="O490" s="67" t="str"/>
      <c r="P490" s="41" t="str"/>
      <c r="Q490" s="41" t="str"/>
      <c r="R490" s="66" t="str"/>
      <c r="S490" s="67" t="str"/>
      <c r="T490" s="41" t="str"/>
      <c r="U490" s="41" t="str"/>
      <c r="V490" s="66" t="str"/>
      <c r="W490" s="67" t="str"/>
    </row>
    <row r="491">
      <c r="B491" s="2">
        <f>IF(STUDENTS!B490="","",STUDENTS!B490)</f>
        <v/>
      </c>
      <c r="C491" s="44">
        <f>IFERROR(IF(B491="","",_xlfn.XLOOKUP(B491,STUDENTS!$B$3:$B$1048576,STUDENTS!$C$3:$C$1048576)),"Enter a registered reg. no")</f>
        <v/>
      </c>
      <c r="D491" s="52">
        <f t="array" ref="D491:W491">IF(All_Students_Scores!C489:V489="","",All_Students_Scores!C489:V489)</f>
        <v/>
      </c>
      <c r="E491" s="55" t="str"/>
      <c r="F491" s="48" t="str"/>
      <c r="G491" s="58" t="str"/>
      <c r="H491" s="62" t="str"/>
      <c r="I491" s="63" t="str"/>
      <c r="J491" s="48" t="str"/>
      <c r="K491" s="58" t="str"/>
      <c r="L491" s="42" t="str"/>
      <c r="M491" s="42" t="str"/>
      <c r="N491" s="48" t="str"/>
      <c r="O491" s="58" t="str"/>
      <c r="P491" s="42" t="str"/>
      <c r="Q491" s="42" t="str"/>
      <c r="R491" s="48" t="str"/>
      <c r="S491" s="58" t="str"/>
      <c r="T491" s="42" t="str"/>
      <c r="U491" s="42" t="str"/>
      <c r="V491" s="48" t="str"/>
      <c r="W491" s="58" t="str"/>
      <c r="X491" s="42" t="n"/>
      <c r="Y491" s="42" t="n"/>
    </row>
    <row r="492">
      <c r="B492" s="2">
        <f>IF(STUDENTS!B491="","",STUDENTS!B491)</f>
        <v/>
      </c>
      <c r="C492" s="44">
        <f>IFERROR(IF(B492="","",_xlfn.XLOOKUP(B492,STUDENTS!$B$3:$B$1048576,STUDENTS!$C$3:$C$1048576)),"Enter a registered reg. no")</f>
        <v/>
      </c>
      <c r="D492" s="52">
        <f t="array" ref="D492:W492">IF(All_Students_Scores!C490:V490="","",All_Students_Scores!C490:V490)</f>
        <v/>
      </c>
      <c r="E492" s="57" t="str"/>
      <c r="F492" s="66" t="str"/>
      <c r="G492" s="67" t="str"/>
      <c r="H492" s="64" t="str"/>
      <c r="I492" s="65" t="str"/>
      <c r="J492" s="66" t="str"/>
      <c r="K492" s="67" t="str"/>
      <c r="L492" s="41" t="str"/>
      <c r="M492" s="41" t="str"/>
      <c r="N492" s="66" t="str"/>
      <c r="O492" s="67" t="str"/>
      <c r="P492" s="41" t="str"/>
      <c r="Q492" s="41" t="str"/>
      <c r="R492" s="66" t="str"/>
      <c r="S492" s="67" t="str"/>
      <c r="T492" s="41" t="str"/>
      <c r="U492" s="41" t="str"/>
      <c r="V492" s="66" t="str"/>
      <c r="W492" s="67" t="str"/>
    </row>
    <row r="493">
      <c r="B493" s="2">
        <f>IF(STUDENTS!B492="","",STUDENTS!B492)</f>
        <v/>
      </c>
      <c r="C493" s="44">
        <f>IFERROR(IF(B493="","",_xlfn.XLOOKUP(B493,STUDENTS!$B$3:$B$1048576,STUDENTS!$C$3:$C$1048576)),"Enter a registered reg. no")</f>
        <v/>
      </c>
      <c r="D493" s="52">
        <f t="array" ref="D493:W493">IF(All_Students_Scores!C491:V491="","",All_Students_Scores!C491:V491)</f>
        <v/>
      </c>
      <c r="E493" s="55" t="str"/>
      <c r="F493" s="48" t="str"/>
      <c r="G493" s="58" t="str"/>
      <c r="H493" s="62" t="str"/>
      <c r="I493" s="63" t="str"/>
      <c r="J493" s="48" t="str"/>
      <c r="K493" s="58" t="str"/>
      <c r="L493" s="42" t="str"/>
      <c r="M493" s="42" t="str"/>
      <c r="N493" s="48" t="str"/>
      <c r="O493" s="58" t="str"/>
      <c r="P493" s="42" t="str"/>
      <c r="Q493" s="42" t="str"/>
      <c r="R493" s="48" t="str"/>
      <c r="S493" s="58" t="str"/>
      <c r="T493" s="42" t="str"/>
      <c r="U493" s="42" t="str"/>
      <c r="V493" s="48" t="str"/>
      <c r="W493" s="58" t="str"/>
      <c r="X493" s="42" t="n"/>
      <c r="Y493" s="42" t="n"/>
    </row>
    <row r="494">
      <c r="B494" s="2">
        <f>IF(STUDENTS!B493="","",STUDENTS!B493)</f>
        <v/>
      </c>
      <c r="C494" s="44">
        <f>IFERROR(IF(B494="","",_xlfn.XLOOKUP(B494,STUDENTS!$B$3:$B$1048576,STUDENTS!$C$3:$C$1048576)),"Enter a registered reg. no")</f>
        <v/>
      </c>
      <c r="D494" s="52">
        <f t="array" ref="D494:W494">IF(All_Students_Scores!C492:V492="","",All_Students_Scores!C492:V492)</f>
        <v/>
      </c>
      <c r="E494" s="57" t="str"/>
      <c r="F494" s="66" t="str"/>
      <c r="G494" s="67" t="str"/>
      <c r="H494" s="64" t="str"/>
      <c r="I494" s="65" t="str"/>
      <c r="J494" s="66" t="str"/>
      <c r="K494" s="67" t="str"/>
      <c r="L494" s="41" t="str"/>
      <c r="M494" s="41" t="str"/>
      <c r="N494" s="66" t="str"/>
      <c r="O494" s="67" t="str"/>
      <c r="P494" s="41" t="str"/>
      <c r="Q494" s="41" t="str"/>
      <c r="R494" s="66" t="str"/>
      <c r="S494" s="67" t="str"/>
      <c r="T494" s="41" t="str"/>
      <c r="U494" s="41" t="str"/>
      <c r="V494" s="66" t="str"/>
      <c r="W494" s="67" t="str"/>
    </row>
    <row r="495">
      <c r="B495" s="2">
        <f>IF(STUDENTS!B494="","",STUDENTS!B494)</f>
        <v/>
      </c>
      <c r="C495" s="44">
        <f>IFERROR(IF(B495="","",_xlfn.XLOOKUP(B495,STUDENTS!$B$3:$B$1048576,STUDENTS!$C$3:$C$1048576)),"Enter a registered reg. no")</f>
        <v/>
      </c>
      <c r="D495" s="52">
        <f t="array" ref="D495:W495">IF(All_Students_Scores!C493:V493="","",All_Students_Scores!C493:V493)</f>
        <v/>
      </c>
      <c r="E495" s="55" t="str"/>
      <c r="F495" s="48" t="str"/>
      <c r="G495" s="58" t="str"/>
      <c r="H495" s="62" t="str"/>
      <c r="I495" s="63" t="str"/>
      <c r="J495" s="48" t="str"/>
      <c r="K495" s="58" t="str"/>
      <c r="L495" s="42" t="str"/>
      <c r="M495" s="42" t="str"/>
      <c r="N495" s="48" t="str"/>
      <c r="O495" s="58" t="str"/>
      <c r="P495" s="42" t="str"/>
      <c r="Q495" s="42" t="str"/>
      <c r="R495" s="48" t="str"/>
      <c r="S495" s="58" t="str"/>
      <c r="T495" s="42" t="str"/>
      <c r="U495" s="42" t="str"/>
      <c r="V495" s="48" t="str"/>
      <c r="W495" s="58" t="str"/>
      <c r="X495" s="42" t="n"/>
      <c r="Y495" s="42" t="n"/>
    </row>
    <row r="496">
      <c r="B496" s="2">
        <f>IF(STUDENTS!B495="","",STUDENTS!B495)</f>
        <v/>
      </c>
      <c r="C496" s="44">
        <f>IFERROR(IF(B496="","",_xlfn.XLOOKUP(B496,STUDENTS!$B$3:$B$1048576,STUDENTS!$C$3:$C$1048576)),"Enter a registered reg. no")</f>
        <v/>
      </c>
      <c r="D496" s="52">
        <f t="array" ref="D496:W496">IF(All_Students_Scores!C494:V494="","",All_Students_Scores!C494:V494)</f>
        <v/>
      </c>
      <c r="E496" s="57" t="str"/>
      <c r="F496" s="66" t="str"/>
      <c r="G496" s="67" t="str"/>
      <c r="H496" s="64" t="str"/>
      <c r="I496" s="65" t="str"/>
      <c r="J496" s="66" t="str"/>
      <c r="K496" s="67" t="str"/>
      <c r="L496" s="41" t="str"/>
      <c r="M496" s="41" t="str"/>
      <c r="N496" s="66" t="str"/>
      <c r="O496" s="67" t="str"/>
      <c r="P496" s="41" t="str"/>
      <c r="Q496" s="41" t="str"/>
      <c r="R496" s="66" t="str"/>
      <c r="S496" s="67" t="str"/>
      <c r="T496" s="41" t="str"/>
      <c r="U496" s="41" t="str"/>
      <c r="V496" s="66" t="str"/>
      <c r="W496" s="67" t="str"/>
    </row>
    <row r="497">
      <c r="B497" s="2">
        <f>IF(STUDENTS!B496="","",STUDENTS!B496)</f>
        <v/>
      </c>
      <c r="C497" s="44">
        <f>IFERROR(IF(B497="","",_xlfn.XLOOKUP(B497,STUDENTS!$B$3:$B$1048576,STUDENTS!$C$3:$C$1048576)),"Enter a registered reg. no")</f>
        <v/>
      </c>
      <c r="D497" s="52">
        <f t="array" ref="D497:W497">IF(All_Students_Scores!C495:V495="","",All_Students_Scores!C495:V495)</f>
        <v/>
      </c>
      <c r="E497" s="55" t="str"/>
      <c r="F497" s="48" t="str"/>
      <c r="G497" s="58" t="str"/>
      <c r="H497" s="62" t="str"/>
      <c r="I497" s="63" t="str"/>
      <c r="J497" s="48" t="str"/>
      <c r="K497" s="58" t="str"/>
      <c r="L497" s="42" t="str"/>
      <c r="M497" s="42" t="str"/>
      <c r="N497" s="48" t="str"/>
      <c r="O497" s="58" t="str"/>
      <c r="P497" s="42" t="str"/>
      <c r="Q497" s="42" t="str"/>
      <c r="R497" s="48" t="str"/>
      <c r="S497" s="58" t="str"/>
      <c r="T497" s="42" t="str"/>
      <c r="U497" s="42" t="str"/>
      <c r="V497" s="48" t="str"/>
      <c r="W497" s="58" t="str"/>
      <c r="X497" s="42" t="n"/>
      <c r="Y497" s="42" t="n"/>
    </row>
    <row r="498">
      <c r="B498" s="2">
        <f>IF(STUDENTS!B497="","",STUDENTS!B497)</f>
        <v/>
      </c>
      <c r="C498" s="44">
        <f>IFERROR(IF(B498="","",_xlfn.XLOOKUP(B498,STUDENTS!$B$3:$B$1048576,STUDENTS!$C$3:$C$1048576)),"Enter a registered reg. no")</f>
        <v/>
      </c>
      <c r="D498" s="52">
        <f t="array" ref="D498:W498">IF(All_Students_Scores!C496:V496="","",All_Students_Scores!C496:V496)</f>
        <v/>
      </c>
      <c r="E498" s="57" t="str"/>
      <c r="F498" s="66" t="str"/>
      <c r="G498" s="67" t="str"/>
      <c r="H498" s="64" t="str"/>
      <c r="I498" s="65" t="str"/>
      <c r="J498" s="66" t="str"/>
      <c r="K498" s="67" t="str"/>
      <c r="L498" s="41" t="str"/>
      <c r="M498" s="41" t="str"/>
      <c r="N498" s="66" t="str"/>
      <c r="O498" s="67" t="str"/>
      <c r="P498" s="41" t="str"/>
      <c r="Q498" s="41" t="str"/>
      <c r="R498" s="66" t="str"/>
      <c r="S498" s="67" t="str"/>
      <c r="T498" s="41" t="str"/>
      <c r="U498" s="41" t="str"/>
      <c r="V498" s="66" t="str"/>
      <c r="W498" s="67" t="str"/>
    </row>
    <row r="499">
      <c r="B499" s="2">
        <f>IF(STUDENTS!B498="","",STUDENTS!B498)</f>
        <v/>
      </c>
      <c r="C499" s="44">
        <f>IFERROR(IF(B499="","",_xlfn.XLOOKUP(B499,STUDENTS!$B$3:$B$1048576,STUDENTS!$C$3:$C$1048576)),"Enter a registered reg. no")</f>
        <v/>
      </c>
      <c r="D499" s="52">
        <f t="array" ref="D499:W499">IF(All_Students_Scores!C497:V497="","",All_Students_Scores!C497:V497)</f>
        <v/>
      </c>
      <c r="E499" s="55" t="str"/>
      <c r="F499" s="48" t="str"/>
      <c r="G499" s="58" t="str"/>
      <c r="H499" s="62" t="str"/>
      <c r="I499" s="63" t="str"/>
      <c r="J499" s="48" t="str"/>
      <c r="K499" s="58" t="str"/>
      <c r="L499" s="42" t="str"/>
      <c r="M499" s="42" t="str"/>
      <c r="N499" s="48" t="str"/>
      <c r="O499" s="58" t="str"/>
      <c r="P499" s="42" t="str"/>
      <c r="Q499" s="42" t="str"/>
      <c r="R499" s="48" t="str"/>
      <c r="S499" s="58" t="str"/>
      <c r="T499" s="42" t="str"/>
      <c r="U499" s="42" t="str"/>
      <c r="V499" s="48" t="str"/>
      <c r="W499" s="58" t="str"/>
      <c r="X499" s="42" t="n"/>
      <c r="Y499" s="42" t="n"/>
    </row>
    <row r="500">
      <c r="B500" s="2">
        <f>IF(STUDENTS!B499="","",STUDENTS!B499)</f>
        <v/>
      </c>
      <c r="C500" s="44">
        <f>IFERROR(IF(B500="","",_xlfn.XLOOKUP(B500,STUDENTS!$B$3:$B$1048576,STUDENTS!$C$3:$C$1048576)),"Enter a registered reg. no")</f>
        <v/>
      </c>
      <c r="D500" s="52">
        <f t="array" ref="D500:W500">IF(All_Students_Scores!C498:V498="","",All_Students_Scores!C498:V498)</f>
        <v/>
      </c>
      <c r="E500" s="57" t="str"/>
      <c r="F500" s="66" t="str"/>
      <c r="G500" s="67" t="str"/>
      <c r="H500" s="64" t="str"/>
      <c r="I500" s="65" t="str"/>
      <c r="J500" s="66" t="str"/>
      <c r="K500" s="67" t="str"/>
      <c r="L500" s="41" t="str"/>
      <c r="M500" s="41" t="str"/>
      <c r="N500" s="66" t="str"/>
      <c r="O500" s="67" t="str"/>
      <c r="P500" s="41" t="str"/>
      <c r="Q500" s="41" t="str"/>
      <c r="R500" s="66" t="str"/>
      <c r="S500" s="67" t="str"/>
      <c r="T500" s="41" t="str"/>
      <c r="U500" s="41" t="str"/>
      <c r="V500" s="66" t="str"/>
      <c r="W500" s="67" t="str"/>
    </row>
    <row r="501">
      <c r="B501" s="2">
        <f>IF(STUDENTS!B500="","",STUDENTS!B500)</f>
        <v/>
      </c>
      <c r="C501" s="44">
        <f>IFERROR(IF(B501="","",_xlfn.XLOOKUP(B501,STUDENTS!$B$3:$B$1048576,STUDENTS!$C$3:$C$1048576)),"Enter a registered reg. no")</f>
        <v/>
      </c>
      <c r="D501" s="52">
        <f t="array" ref="D501:W501">IF(All_Students_Scores!C499:V499="","",All_Students_Scores!C499:V499)</f>
        <v/>
      </c>
      <c r="E501" s="55" t="str"/>
      <c r="F501" s="48" t="str"/>
      <c r="G501" s="58" t="str"/>
      <c r="H501" s="62" t="str"/>
      <c r="I501" s="63" t="str"/>
      <c r="J501" s="48" t="str"/>
      <c r="K501" s="58" t="str"/>
      <c r="L501" s="42" t="str"/>
      <c r="M501" s="42" t="str"/>
      <c r="N501" s="48" t="str"/>
      <c r="O501" s="58" t="str"/>
      <c r="P501" s="42" t="str"/>
      <c r="Q501" s="42" t="str"/>
      <c r="R501" s="48" t="str"/>
      <c r="S501" s="58" t="str"/>
      <c r="T501" s="42" t="str"/>
      <c r="U501" s="42" t="str"/>
      <c r="V501" s="48" t="str"/>
      <c r="W501" s="58" t="str"/>
      <c r="X501" s="42" t="n"/>
      <c r="Y501" s="42" t="n"/>
    </row>
    <row r="502">
      <c r="B502" s="2">
        <f>IF(STUDENTS!B501="","",STUDENTS!B501)</f>
        <v/>
      </c>
      <c r="C502" s="44">
        <f>IFERROR(IF(B502="","",_xlfn.XLOOKUP(B502,STUDENTS!$B$3:$B$1048576,STUDENTS!$C$3:$C$1048576)),"Enter a registered reg. no")</f>
        <v/>
      </c>
      <c r="D502" s="52">
        <f t="array" ref="D502:W502">IF(All_Students_Scores!C500:V500="","",All_Students_Scores!C500:V500)</f>
        <v/>
      </c>
      <c r="E502" s="57" t="str"/>
      <c r="F502" s="66" t="str"/>
      <c r="G502" s="67" t="str"/>
      <c r="H502" s="64" t="str"/>
      <c r="I502" s="65" t="str"/>
      <c r="J502" s="66" t="str"/>
      <c r="K502" s="67" t="str"/>
      <c r="L502" s="41" t="str"/>
      <c r="M502" s="41" t="str"/>
      <c r="N502" s="66" t="str"/>
      <c r="O502" s="67" t="str"/>
      <c r="P502" s="41" t="str"/>
      <c r="Q502" s="41" t="str"/>
      <c r="R502" s="66" t="str"/>
      <c r="S502" s="67" t="str"/>
      <c r="T502" s="41" t="str"/>
      <c r="U502" s="41" t="str"/>
      <c r="V502" s="66" t="str"/>
      <c r="W502" s="67" t="str"/>
    </row>
    <row r="503">
      <c r="B503" s="2">
        <f>IF(STUDENTS!B502="","",STUDENTS!B502)</f>
        <v/>
      </c>
      <c r="C503" s="44">
        <f>IFERROR(IF(B503="","",_xlfn.XLOOKUP(B503,STUDENTS!$B$3:$B$1048576,STUDENTS!$C$3:$C$1048576)),"Enter a registered reg. no")</f>
        <v/>
      </c>
      <c r="D503" s="52">
        <f t="array" ref="D503:W503">IF(All_Students_Scores!C501:V501="","",All_Students_Scores!C501:V501)</f>
        <v/>
      </c>
      <c r="E503" s="55" t="str"/>
      <c r="F503" s="48" t="str"/>
      <c r="G503" s="58" t="str"/>
      <c r="H503" s="62" t="str"/>
      <c r="I503" s="63" t="str"/>
      <c r="J503" s="48" t="str"/>
      <c r="K503" s="58" t="str"/>
      <c r="L503" s="42" t="str"/>
      <c r="M503" s="42" t="str"/>
      <c r="N503" s="48" t="str"/>
      <c r="O503" s="58" t="str"/>
      <c r="P503" s="42" t="str"/>
      <c r="Q503" s="42" t="str"/>
      <c r="R503" s="48" t="str"/>
      <c r="S503" s="58" t="str"/>
      <c r="T503" s="42" t="str"/>
      <c r="U503" s="42" t="str"/>
      <c r="V503" s="48" t="str"/>
      <c r="W503" s="58" t="str"/>
      <c r="X503" s="42" t="n"/>
      <c r="Y503" s="42" t="n"/>
    </row>
    <row r="504">
      <c r="B504" s="2">
        <f>IF(STUDENTS!B503="","",STUDENTS!B503)</f>
        <v/>
      </c>
      <c r="C504" s="44">
        <f>IFERROR(IF(B504="","",_xlfn.XLOOKUP(B504,STUDENTS!$B$3:$B$1048576,STUDENTS!$C$3:$C$1048576)),"Enter a registered reg. no")</f>
        <v/>
      </c>
      <c r="D504" s="52">
        <f t="array" ref="D504:W504">IF(All_Students_Scores!C502:V502="","",All_Students_Scores!C502:V502)</f>
        <v/>
      </c>
      <c r="E504" s="57" t="str"/>
      <c r="F504" s="66" t="str"/>
      <c r="G504" s="67" t="str"/>
      <c r="H504" s="64" t="str"/>
      <c r="I504" s="65" t="str"/>
      <c r="J504" s="66" t="str"/>
      <c r="K504" s="67" t="str"/>
      <c r="L504" s="41" t="str"/>
      <c r="M504" s="41" t="str"/>
      <c r="N504" s="66" t="str"/>
      <c r="O504" s="67" t="str"/>
      <c r="P504" s="41" t="str"/>
      <c r="Q504" s="41" t="str"/>
      <c r="R504" s="66" t="str"/>
      <c r="S504" s="67" t="str"/>
      <c r="T504" s="41" t="str"/>
      <c r="U504" s="41" t="str"/>
      <c r="V504" s="66" t="str"/>
      <c r="W504" s="67" t="str"/>
    </row>
    <row r="505">
      <c r="B505" s="2">
        <f>IF(STUDENTS!B504="","",STUDENTS!B504)</f>
        <v/>
      </c>
      <c r="C505" s="44">
        <f>IFERROR(IF(B505="","",_xlfn.XLOOKUP(B505,STUDENTS!$B$3:$B$1048576,STUDENTS!$C$3:$C$1048576)),"Enter a registered reg. no")</f>
        <v/>
      </c>
      <c r="D505" s="52">
        <f t="array" ref="D505:W505">IF(All_Students_Scores!C503:V503="","",All_Students_Scores!C503:V503)</f>
        <v/>
      </c>
      <c r="E505" s="55" t="str"/>
      <c r="F505" s="48" t="str"/>
      <c r="G505" s="58" t="str"/>
      <c r="H505" s="62" t="str"/>
      <c r="I505" s="63" t="str"/>
      <c r="J505" s="48" t="str"/>
      <c r="K505" s="58" t="str"/>
      <c r="L505" s="42" t="str"/>
      <c r="M505" s="42" t="str"/>
      <c r="N505" s="48" t="str"/>
      <c r="O505" s="58" t="str"/>
      <c r="P505" s="42" t="str"/>
      <c r="Q505" s="42" t="str"/>
      <c r="R505" s="48" t="str"/>
      <c r="S505" s="58" t="str"/>
      <c r="T505" s="42" t="str"/>
      <c r="U505" s="42" t="str"/>
      <c r="V505" s="48" t="str"/>
      <c r="W505" s="58" t="str"/>
      <c r="X505" s="42" t="n"/>
      <c r="Y505" s="42" t="n"/>
    </row>
    <row r="506">
      <c r="B506" s="2">
        <f>IF(STUDENTS!B505="","",STUDENTS!B505)</f>
        <v/>
      </c>
      <c r="C506" s="44">
        <f>IFERROR(IF(B506="","",_xlfn.XLOOKUP(B506,STUDENTS!$B$3:$B$1048576,STUDENTS!$C$3:$C$1048576)),"Enter a registered reg. no")</f>
        <v/>
      </c>
      <c r="D506" s="52">
        <f t="array" ref="D506:W506">IF(All_Students_Scores!C504:V504="","",All_Students_Scores!C504:V504)</f>
        <v/>
      </c>
      <c r="E506" s="57" t="str"/>
      <c r="F506" s="66" t="str"/>
      <c r="G506" s="67" t="str"/>
      <c r="H506" s="64" t="str"/>
      <c r="I506" s="65" t="str"/>
      <c r="J506" s="66" t="str"/>
      <c r="K506" s="67" t="str"/>
      <c r="L506" s="41" t="str"/>
      <c r="M506" s="41" t="str"/>
      <c r="N506" s="66" t="str"/>
      <c r="O506" s="67" t="str"/>
      <c r="P506" s="41" t="str"/>
      <c r="Q506" s="41" t="str"/>
      <c r="R506" s="66" t="str"/>
      <c r="S506" s="67" t="str"/>
      <c r="T506" s="41" t="str"/>
      <c r="U506" s="41" t="str"/>
      <c r="V506" s="66" t="str"/>
      <c r="W506" s="67" t="str"/>
    </row>
    <row r="507">
      <c r="B507" s="2">
        <f>IF(STUDENTS!B506="","",STUDENTS!B506)</f>
        <v/>
      </c>
      <c r="C507" s="44">
        <f>IFERROR(IF(B507="","",_xlfn.XLOOKUP(B507,STUDENTS!$B$3:$B$1048576,STUDENTS!$C$3:$C$1048576)),"Enter a registered reg. no")</f>
        <v/>
      </c>
      <c r="D507" s="52">
        <f t="array" ref="D507:W507">IF(All_Students_Scores!C505:V505="","",All_Students_Scores!C505:V505)</f>
        <v/>
      </c>
      <c r="E507" s="55" t="str"/>
      <c r="F507" s="48" t="str"/>
      <c r="G507" s="58" t="str"/>
      <c r="H507" s="62" t="str"/>
      <c r="I507" s="63" t="str"/>
      <c r="J507" s="48" t="str"/>
      <c r="K507" s="58" t="str"/>
      <c r="L507" s="42" t="str"/>
      <c r="M507" s="42" t="str"/>
      <c r="N507" s="48" t="str"/>
      <c r="O507" s="58" t="str"/>
      <c r="P507" s="42" t="str"/>
      <c r="Q507" s="42" t="str"/>
      <c r="R507" s="48" t="str"/>
      <c r="S507" s="58" t="str"/>
      <c r="T507" s="42" t="str"/>
      <c r="U507" s="42" t="str"/>
      <c r="V507" s="48" t="str"/>
      <c r="W507" s="58" t="str"/>
      <c r="X507" s="42" t="n"/>
      <c r="Y507" s="42" t="n"/>
    </row>
    <row r="508">
      <c r="B508" s="2">
        <f>IF(STUDENTS!B507="","",STUDENTS!B507)</f>
        <v/>
      </c>
      <c r="C508" s="44">
        <f>IFERROR(IF(B508="","",_xlfn.XLOOKUP(B508,STUDENTS!$B$3:$B$1048576,STUDENTS!$C$3:$C$1048576)),"Enter a registered reg. no")</f>
        <v/>
      </c>
      <c r="D508" s="52">
        <f t="array" ref="D508:W508">IF(All_Students_Scores!C506:V506="","",All_Students_Scores!C506:V506)</f>
        <v/>
      </c>
      <c r="E508" s="57" t="str"/>
      <c r="F508" s="66" t="str"/>
      <c r="G508" s="67" t="str"/>
      <c r="H508" s="64" t="str"/>
      <c r="I508" s="65" t="str"/>
      <c r="J508" s="66" t="str"/>
      <c r="K508" s="67" t="str"/>
      <c r="L508" s="41" t="str"/>
      <c r="M508" s="41" t="str"/>
      <c r="N508" s="66" t="str"/>
      <c r="O508" s="67" t="str"/>
      <c r="P508" s="41" t="str"/>
      <c r="Q508" s="41" t="str"/>
      <c r="R508" s="66" t="str"/>
      <c r="S508" s="67" t="str"/>
      <c r="T508" s="41" t="str"/>
      <c r="U508" s="41" t="str"/>
      <c r="V508" s="66" t="str"/>
      <c r="W508" s="67" t="str"/>
    </row>
    <row r="509">
      <c r="B509" s="2">
        <f>IF(STUDENTS!B508="","",STUDENTS!B508)</f>
        <v/>
      </c>
      <c r="C509" s="44">
        <f>IFERROR(IF(B509="","",_xlfn.XLOOKUP(B509,STUDENTS!$B$3:$B$1048576,STUDENTS!$C$3:$C$1048576)),"Enter a registered reg. no")</f>
        <v/>
      </c>
      <c r="D509" s="52">
        <f t="array" ref="D509:W509">IF(All_Students_Scores!C507:V507="","",All_Students_Scores!C507:V507)</f>
        <v/>
      </c>
      <c r="E509" s="55" t="str"/>
      <c r="F509" s="48" t="str"/>
      <c r="G509" s="58" t="str"/>
      <c r="H509" s="62" t="str"/>
      <c r="I509" s="63" t="str"/>
      <c r="J509" s="48" t="str"/>
      <c r="K509" s="58" t="str"/>
      <c r="L509" s="42" t="str"/>
      <c r="M509" s="42" t="str"/>
      <c r="N509" s="48" t="str"/>
      <c r="O509" s="58" t="str"/>
      <c r="P509" s="42" t="str"/>
      <c r="Q509" s="42" t="str"/>
      <c r="R509" s="48" t="str"/>
      <c r="S509" s="58" t="str"/>
      <c r="T509" s="42" t="str"/>
      <c r="U509" s="42" t="str"/>
      <c r="V509" s="48" t="str"/>
      <c r="W509" s="58" t="str"/>
      <c r="X509" s="42" t="n"/>
      <c r="Y509" s="42" t="n"/>
    </row>
    <row r="510">
      <c r="B510" s="2">
        <f>IF(STUDENTS!B509="","",STUDENTS!B509)</f>
        <v/>
      </c>
      <c r="C510" s="44">
        <f>IFERROR(IF(B510="","",_xlfn.XLOOKUP(B510,STUDENTS!$B$3:$B$1048576,STUDENTS!$C$3:$C$1048576)),"Enter a registered reg. no")</f>
        <v/>
      </c>
      <c r="D510" s="52">
        <f t="array" ref="D510:W510">IF(All_Students_Scores!C508:V508="","",All_Students_Scores!C508:V508)</f>
        <v/>
      </c>
      <c r="E510" s="57" t="str"/>
      <c r="F510" s="66" t="str"/>
      <c r="G510" s="67" t="str"/>
      <c r="H510" s="64" t="str"/>
      <c r="I510" s="65" t="str"/>
      <c r="J510" s="66" t="str"/>
      <c r="K510" s="67" t="str"/>
      <c r="L510" s="41" t="str"/>
      <c r="M510" s="41" t="str"/>
      <c r="N510" s="66" t="str"/>
      <c r="O510" s="67" t="str"/>
      <c r="P510" s="41" t="str"/>
      <c r="Q510" s="41" t="str"/>
      <c r="R510" s="66" t="str"/>
      <c r="S510" s="67" t="str"/>
      <c r="T510" s="41" t="str"/>
      <c r="U510" s="41" t="str"/>
      <c r="V510" s="66" t="str"/>
      <c r="W510" s="67" t="str"/>
    </row>
    <row r="511">
      <c r="B511" s="2">
        <f>IF(STUDENTS!B510="","",STUDENTS!B510)</f>
        <v/>
      </c>
      <c r="C511" s="44">
        <f>IFERROR(IF(B511="","",_xlfn.XLOOKUP(B511,STUDENTS!$B$3:$B$1048576,STUDENTS!$C$3:$C$1048576)),"Enter a registered reg. no")</f>
        <v/>
      </c>
      <c r="D511" s="52">
        <f t="array" ref="D511:W511">IF(All_Students_Scores!C509:V509="","",All_Students_Scores!C509:V509)</f>
        <v/>
      </c>
      <c r="E511" s="55" t="str"/>
      <c r="F511" s="48" t="str"/>
      <c r="G511" s="58" t="str"/>
      <c r="H511" s="62" t="str"/>
      <c r="I511" s="63" t="str"/>
      <c r="J511" s="48" t="str"/>
      <c r="K511" s="58" t="str"/>
      <c r="L511" s="42" t="str"/>
      <c r="M511" s="42" t="str"/>
      <c r="N511" s="48" t="str"/>
      <c r="O511" s="58" t="str"/>
      <c r="P511" s="42" t="str"/>
      <c r="Q511" s="42" t="str"/>
      <c r="R511" s="48" t="str"/>
      <c r="S511" s="58" t="str"/>
      <c r="T511" s="42" t="str"/>
      <c r="U511" s="42" t="str"/>
      <c r="V511" s="48" t="str"/>
      <c r="W511" s="58" t="str"/>
      <c r="X511" s="42" t="n"/>
      <c r="Y511" s="42" t="n"/>
    </row>
    <row r="512">
      <c r="B512" s="2">
        <f>IF(STUDENTS!B511="","",STUDENTS!B511)</f>
        <v/>
      </c>
      <c r="C512" s="44">
        <f>IFERROR(IF(B512="","",_xlfn.XLOOKUP(B512,STUDENTS!$B$3:$B$1048576,STUDENTS!$C$3:$C$1048576)),"Enter a registered reg. no")</f>
        <v/>
      </c>
      <c r="D512" s="52">
        <f t="array" ref="D512:W512">IF(All_Students_Scores!C510:V510="","",All_Students_Scores!C510:V510)</f>
        <v/>
      </c>
      <c r="E512" s="57" t="str"/>
      <c r="F512" s="66" t="str"/>
      <c r="G512" s="67" t="str"/>
      <c r="H512" s="64" t="str"/>
      <c r="I512" s="65" t="str"/>
      <c r="J512" s="66" t="str"/>
      <c r="K512" s="67" t="str"/>
      <c r="L512" s="41" t="str"/>
      <c r="M512" s="41" t="str"/>
      <c r="N512" s="66" t="str"/>
      <c r="O512" s="67" t="str"/>
      <c r="P512" s="41" t="str"/>
      <c r="Q512" s="41" t="str"/>
      <c r="R512" s="66" t="str"/>
      <c r="S512" s="67" t="str"/>
      <c r="T512" s="41" t="str"/>
      <c r="U512" s="41" t="str"/>
      <c r="V512" s="66" t="str"/>
      <c r="W512" s="67" t="str"/>
    </row>
    <row r="513">
      <c r="B513" s="2">
        <f>IF(STUDENTS!B512="","",STUDENTS!B512)</f>
        <v/>
      </c>
      <c r="C513" s="44">
        <f>IFERROR(IF(B513="","",_xlfn.XLOOKUP(B513,STUDENTS!$B$3:$B$1048576,STUDENTS!$C$3:$C$1048576)),"Enter a registered reg. no")</f>
        <v/>
      </c>
      <c r="D513" s="52">
        <f t="array" ref="D513:W513">IF(All_Students_Scores!C511:V511="","",All_Students_Scores!C511:V511)</f>
        <v/>
      </c>
      <c r="E513" s="55" t="str"/>
      <c r="F513" s="48" t="str"/>
      <c r="G513" s="58" t="str"/>
      <c r="H513" s="62" t="str"/>
      <c r="I513" s="63" t="str"/>
      <c r="J513" s="48" t="str"/>
      <c r="K513" s="58" t="str"/>
      <c r="L513" s="42" t="str"/>
      <c r="M513" s="42" t="str"/>
      <c r="N513" s="48" t="str"/>
      <c r="O513" s="58" t="str"/>
      <c r="P513" s="42" t="str"/>
      <c r="Q513" s="42" t="str"/>
      <c r="R513" s="48" t="str"/>
      <c r="S513" s="58" t="str"/>
      <c r="T513" s="42" t="str"/>
      <c r="U513" s="42" t="str"/>
      <c r="V513" s="48" t="str"/>
      <c r="W513" s="58" t="str"/>
      <c r="X513" s="42" t="n"/>
      <c r="Y513" s="42" t="n"/>
    </row>
    <row r="514">
      <c r="B514" s="2">
        <f>IF(STUDENTS!B513="","",STUDENTS!B513)</f>
        <v/>
      </c>
      <c r="C514" s="44">
        <f>IFERROR(IF(B514="","",_xlfn.XLOOKUP(B514,STUDENTS!$B$3:$B$1048576,STUDENTS!$C$3:$C$1048576)),"Enter a registered reg. no")</f>
        <v/>
      </c>
      <c r="D514" s="52">
        <f t="array" ref="D514:W514">IF(All_Students_Scores!C512:V512="","",All_Students_Scores!C512:V512)</f>
        <v/>
      </c>
      <c r="E514" s="57" t="str"/>
      <c r="F514" s="66" t="str"/>
      <c r="G514" s="67" t="str"/>
      <c r="H514" s="64" t="str"/>
      <c r="I514" s="65" t="str"/>
      <c r="J514" s="66" t="str"/>
      <c r="K514" s="67" t="str"/>
      <c r="L514" s="41" t="str"/>
      <c r="M514" s="41" t="str"/>
      <c r="N514" s="66" t="str"/>
      <c r="O514" s="67" t="str"/>
      <c r="P514" s="41" t="str"/>
      <c r="Q514" s="41" t="str"/>
      <c r="R514" s="66" t="str"/>
      <c r="S514" s="67" t="str"/>
      <c r="T514" s="41" t="str"/>
      <c r="U514" s="41" t="str"/>
      <c r="V514" s="66" t="str"/>
      <c r="W514" s="67" t="str"/>
    </row>
    <row r="515">
      <c r="B515" s="2">
        <f>IF(STUDENTS!B514="","",STUDENTS!B514)</f>
        <v/>
      </c>
      <c r="C515" s="44">
        <f>IFERROR(IF(B515="","",_xlfn.XLOOKUP(B515,STUDENTS!$B$3:$B$1048576,STUDENTS!$C$3:$C$1048576)),"Enter a registered reg. no")</f>
        <v/>
      </c>
      <c r="D515" s="52">
        <f t="array" ref="D515:W515">IF(All_Students_Scores!C513:V513="","",All_Students_Scores!C513:V513)</f>
        <v/>
      </c>
      <c r="E515" s="55" t="str"/>
      <c r="F515" s="48" t="str"/>
      <c r="G515" s="58" t="str"/>
      <c r="H515" s="62" t="str"/>
      <c r="I515" s="63" t="str"/>
      <c r="J515" s="48" t="str"/>
      <c r="K515" s="58" t="str"/>
      <c r="L515" s="42" t="str"/>
      <c r="M515" s="42" t="str"/>
      <c r="N515" s="48" t="str"/>
      <c r="O515" s="58" t="str"/>
      <c r="P515" s="42" t="str"/>
      <c r="Q515" s="42" t="str"/>
      <c r="R515" s="48" t="str"/>
      <c r="S515" s="58" t="str"/>
      <c r="T515" s="42" t="str"/>
      <c r="U515" s="42" t="str"/>
      <c r="V515" s="48" t="str"/>
      <c r="W515" s="58" t="str"/>
      <c r="X515" s="42" t="n"/>
      <c r="Y515" s="42" t="n"/>
    </row>
    <row r="516">
      <c r="B516" s="2">
        <f>IF(STUDENTS!B515="","",STUDENTS!B515)</f>
        <v/>
      </c>
      <c r="C516" s="44">
        <f>IFERROR(IF(B516="","",_xlfn.XLOOKUP(B516,STUDENTS!$B$3:$B$1048576,STUDENTS!$C$3:$C$1048576)),"Enter a registered reg. no")</f>
        <v/>
      </c>
      <c r="D516" s="52">
        <f t="array" ref="D516:W516">IF(All_Students_Scores!C514:V514="","",All_Students_Scores!C514:V514)</f>
        <v/>
      </c>
      <c r="E516" s="57" t="str"/>
      <c r="F516" s="66" t="str"/>
      <c r="G516" s="67" t="str"/>
      <c r="H516" s="64" t="str"/>
      <c r="I516" s="65" t="str"/>
      <c r="J516" s="66" t="str"/>
      <c r="K516" s="67" t="str"/>
      <c r="L516" s="41" t="str"/>
      <c r="M516" s="41" t="str"/>
      <c r="N516" s="66" t="str"/>
      <c r="O516" s="67" t="str"/>
      <c r="P516" s="41" t="str"/>
      <c r="Q516" s="41" t="str"/>
      <c r="R516" s="66" t="str"/>
      <c r="S516" s="67" t="str"/>
      <c r="T516" s="41" t="str"/>
      <c r="U516" s="41" t="str"/>
      <c r="V516" s="66" t="str"/>
      <c r="W516" s="67" t="str"/>
    </row>
    <row r="517">
      <c r="B517" s="2">
        <f>IF(STUDENTS!B516="","",STUDENTS!B516)</f>
        <v/>
      </c>
      <c r="C517" s="44">
        <f>IFERROR(IF(B517="","",_xlfn.XLOOKUP(B517,STUDENTS!$B$3:$B$1048576,STUDENTS!$C$3:$C$1048576)),"Enter a registered reg. no")</f>
        <v/>
      </c>
      <c r="D517" s="52">
        <f t="array" ref="D517:W517">IF(All_Students_Scores!C515:V515="","",All_Students_Scores!C515:V515)</f>
        <v/>
      </c>
      <c r="E517" s="55" t="str"/>
      <c r="F517" s="48" t="str"/>
      <c r="G517" s="58" t="str"/>
      <c r="H517" s="62" t="str"/>
      <c r="I517" s="63" t="str"/>
      <c r="J517" s="48" t="str"/>
      <c r="K517" s="58" t="str"/>
      <c r="L517" s="42" t="str"/>
      <c r="M517" s="42" t="str"/>
      <c r="N517" s="48" t="str"/>
      <c r="O517" s="58" t="str"/>
      <c r="P517" s="42" t="str"/>
      <c r="Q517" s="42" t="str"/>
      <c r="R517" s="48" t="str"/>
      <c r="S517" s="58" t="str"/>
      <c r="T517" s="42" t="str"/>
      <c r="U517" s="42" t="str"/>
      <c r="V517" s="48" t="str"/>
      <c r="W517" s="58" t="str"/>
      <c r="X517" s="42" t="n"/>
      <c r="Y517" s="42" t="n"/>
    </row>
    <row r="518">
      <c r="B518" s="2">
        <f>IF(STUDENTS!B517="","",STUDENTS!B517)</f>
        <v/>
      </c>
      <c r="C518" s="44">
        <f>IFERROR(IF(B518="","",_xlfn.XLOOKUP(B518,STUDENTS!$B$3:$B$1048576,STUDENTS!$C$3:$C$1048576)),"Enter a registered reg. no")</f>
        <v/>
      </c>
      <c r="D518" s="52">
        <f t="array" ref="D518:W518">IF(All_Students_Scores!C516:V516="","",All_Students_Scores!C516:V516)</f>
        <v/>
      </c>
      <c r="E518" s="57" t="str"/>
      <c r="F518" s="66" t="str"/>
      <c r="G518" s="67" t="str"/>
      <c r="H518" s="64" t="str"/>
      <c r="I518" s="65" t="str"/>
      <c r="J518" s="66" t="str"/>
      <c r="K518" s="67" t="str"/>
      <c r="L518" s="41" t="str"/>
      <c r="M518" s="41" t="str"/>
      <c r="N518" s="66" t="str"/>
      <c r="O518" s="67" t="str"/>
      <c r="P518" s="41" t="str"/>
      <c r="Q518" s="41" t="str"/>
      <c r="R518" s="66" t="str"/>
      <c r="S518" s="67" t="str"/>
      <c r="T518" s="41" t="str"/>
      <c r="U518" s="41" t="str"/>
      <c r="V518" s="66" t="str"/>
      <c r="W518" s="67" t="str"/>
    </row>
    <row r="519">
      <c r="B519" s="2">
        <f>IF(STUDENTS!B518="","",STUDENTS!B518)</f>
        <v/>
      </c>
      <c r="C519" s="44">
        <f>IFERROR(IF(B519="","",_xlfn.XLOOKUP(B519,STUDENTS!$B$3:$B$1048576,STUDENTS!$C$3:$C$1048576)),"Enter a registered reg. no")</f>
        <v/>
      </c>
      <c r="D519" s="52">
        <f t="array" ref="D519:W519">IF(All_Students_Scores!C517:V517="","",All_Students_Scores!C517:V517)</f>
        <v/>
      </c>
      <c r="E519" s="55" t="str"/>
      <c r="F519" s="48" t="str"/>
      <c r="G519" s="58" t="str"/>
      <c r="H519" s="62" t="str"/>
      <c r="I519" s="63" t="str"/>
      <c r="J519" s="48" t="str"/>
      <c r="K519" s="58" t="str"/>
      <c r="L519" s="42" t="str"/>
      <c r="M519" s="42" t="str"/>
      <c r="N519" s="48" t="str"/>
      <c r="O519" s="58" t="str"/>
      <c r="P519" s="42" t="str"/>
      <c r="Q519" s="42" t="str"/>
      <c r="R519" s="48" t="str"/>
      <c r="S519" s="58" t="str"/>
      <c r="T519" s="42" t="str"/>
      <c r="U519" s="42" t="str"/>
      <c r="V519" s="48" t="str"/>
      <c r="W519" s="58" t="str"/>
      <c r="X519" s="42" t="n"/>
      <c r="Y519" s="42" t="n"/>
    </row>
    <row r="520">
      <c r="B520" s="2">
        <f>IF(STUDENTS!B519="","",STUDENTS!B519)</f>
        <v/>
      </c>
      <c r="C520" s="44">
        <f>IFERROR(IF(B520="","",_xlfn.XLOOKUP(B520,STUDENTS!$B$3:$B$1048576,STUDENTS!$C$3:$C$1048576)),"Enter a registered reg. no")</f>
        <v/>
      </c>
      <c r="D520" s="52">
        <f t="array" ref="D520:W520">IF(All_Students_Scores!C518:V518="","",All_Students_Scores!C518:V518)</f>
        <v/>
      </c>
      <c r="E520" s="57" t="str"/>
      <c r="F520" s="66" t="str"/>
      <c r="G520" s="67" t="str"/>
      <c r="H520" s="64" t="str"/>
      <c r="I520" s="65" t="str"/>
      <c r="J520" s="66" t="str"/>
      <c r="K520" s="67" t="str"/>
      <c r="L520" s="41" t="str"/>
      <c r="M520" s="41" t="str"/>
      <c r="N520" s="66" t="str"/>
      <c r="O520" s="67" t="str"/>
      <c r="P520" s="41" t="str"/>
      <c r="Q520" s="41" t="str"/>
      <c r="R520" s="66" t="str"/>
      <c r="S520" s="67" t="str"/>
      <c r="T520" s="41" t="str"/>
      <c r="U520" s="41" t="str"/>
      <c r="V520" s="66" t="str"/>
      <c r="W520" s="67" t="str"/>
    </row>
    <row r="521">
      <c r="B521" s="2">
        <f>IF(STUDENTS!B520="","",STUDENTS!B520)</f>
        <v/>
      </c>
      <c r="C521" s="44">
        <f>IFERROR(IF(B521="","",_xlfn.XLOOKUP(B521,STUDENTS!$B$3:$B$1048576,STUDENTS!$C$3:$C$1048576)),"Enter a registered reg. no")</f>
        <v/>
      </c>
      <c r="D521" s="52">
        <f t="array" ref="D521:W521">IF(All_Students_Scores!C519:V519="","",All_Students_Scores!C519:V519)</f>
        <v/>
      </c>
      <c r="E521" s="55" t="str"/>
      <c r="F521" s="48" t="str"/>
      <c r="G521" s="58" t="str"/>
      <c r="H521" s="62" t="str"/>
      <c r="I521" s="63" t="str"/>
      <c r="J521" s="48" t="str"/>
      <c r="K521" s="58" t="str"/>
      <c r="L521" s="42" t="str"/>
      <c r="M521" s="42" t="str"/>
      <c r="N521" s="48" t="str"/>
      <c r="O521" s="58" t="str"/>
      <c r="P521" s="42" t="str"/>
      <c r="Q521" s="42" t="str"/>
      <c r="R521" s="48" t="str"/>
      <c r="S521" s="58" t="str"/>
      <c r="T521" s="42" t="str"/>
      <c r="U521" s="42" t="str"/>
      <c r="V521" s="48" t="str"/>
      <c r="W521" s="58" t="str"/>
      <c r="X521" s="42" t="n"/>
      <c r="Y521" s="42" t="n"/>
    </row>
    <row r="522">
      <c r="B522" s="2">
        <f>IF(STUDENTS!B521="","",STUDENTS!B521)</f>
        <v/>
      </c>
      <c r="C522" s="44">
        <f>IFERROR(IF(B522="","",_xlfn.XLOOKUP(B522,STUDENTS!$B$3:$B$1048576,STUDENTS!$C$3:$C$1048576)),"Enter a registered reg. no")</f>
        <v/>
      </c>
      <c r="D522" s="52">
        <f t="array" ref="D522:W522">IF(All_Students_Scores!C520:V520="","",All_Students_Scores!C520:V520)</f>
        <v/>
      </c>
      <c r="E522" s="57" t="str"/>
      <c r="F522" s="66" t="str"/>
      <c r="G522" s="67" t="str"/>
      <c r="H522" s="64" t="str"/>
      <c r="I522" s="65" t="str"/>
      <c r="J522" s="66" t="str"/>
      <c r="K522" s="67" t="str"/>
      <c r="L522" s="41" t="str"/>
      <c r="M522" s="41" t="str"/>
      <c r="N522" s="66" t="str"/>
      <c r="O522" s="67" t="str"/>
      <c r="P522" s="41" t="str"/>
      <c r="Q522" s="41" t="str"/>
      <c r="R522" s="66" t="str"/>
      <c r="S522" s="67" t="str"/>
      <c r="T522" s="41" t="str"/>
      <c r="U522" s="41" t="str"/>
      <c r="V522" s="66" t="str"/>
      <c r="W522" s="67" t="str"/>
    </row>
    <row r="523">
      <c r="B523" s="2">
        <f>IF(STUDENTS!B522="","",STUDENTS!B522)</f>
        <v/>
      </c>
      <c r="C523" s="44">
        <f>IFERROR(IF(B523="","",_xlfn.XLOOKUP(B523,STUDENTS!$B$3:$B$1048576,STUDENTS!$C$3:$C$1048576)),"Enter a registered reg. no")</f>
        <v/>
      </c>
      <c r="D523" s="52">
        <f t="array" ref="D523:W523">IF(All_Students_Scores!C521:V521="","",All_Students_Scores!C521:V521)</f>
        <v/>
      </c>
      <c r="E523" s="55" t="str"/>
      <c r="F523" s="48" t="str"/>
      <c r="G523" s="58" t="str"/>
      <c r="H523" s="62" t="str"/>
      <c r="I523" s="63" t="str"/>
      <c r="J523" s="48" t="str"/>
      <c r="K523" s="58" t="str"/>
      <c r="L523" s="42" t="str"/>
      <c r="M523" s="42" t="str"/>
      <c r="N523" s="48" t="str"/>
      <c r="O523" s="58" t="str"/>
      <c r="P523" s="42" t="str"/>
      <c r="Q523" s="42" t="str"/>
      <c r="R523" s="48" t="str"/>
      <c r="S523" s="58" t="str"/>
      <c r="T523" s="42" t="str"/>
      <c r="U523" s="42" t="str"/>
      <c r="V523" s="48" t="str"/>
      <c r="W523" s="58" t="str"/>
      <c r="X523" s="42" t="n"/>
      <c r="Y523" s="42" t="n"/>
    </row>
    <row r="524">
      <c r="B524" s="2">
        <f>IF(STUDENTS!B523="","",STUDENTS!B523)</f>
        <v/>
      </c>
      <c r="C524" s="44">
        <f>IFERROR(IF(B524="","",_xlfn.XLOOKUP(B524,STUDENTS!$B$3:$B$1048576,STUDENTS!$C$3:$C$1048576)),"Enter a registered reg. no")</f>
        <v/>
      </c>
      <c r="D524" s="52">
        <f t="array" ref="D524:W524">IF(All_Students_Scores!C522:V522="","",All_Students_Scores!C522:V522)</f>
        <v/>
      </c>
      <c r="E524" s="57" t="str"/>
      <c r="F524" s="66" t="str"/>
      <c r="G524" s="67" t="str"/>
      <c r="H524" s="64" t="str"/>
      <c r="I524" s="65" t="str"/>
      <c r="J524" s="66" t="str"/>
      <c r="K524" s="67" t="str"/>
      <c r="L524" s="41" t="str"/>
      <c r="M524" s="41" t="str"/>
      <c r="N524" s="66" t="str"/>
      <c r="O524" s="67" t="str"/>
      <c r="P524" s="41" t="str"/>
      <c r="Q524" s="41" t="str"/>
      <c r="R524" s="66" t="str"/>
      <c r="S524" s="67" t="str"/>
      <c r="T524" s="41" t="str"/>
      <c r="U524" s="41" t="str"/>
      <c r="V524" s="66" t="str"/>
      <c r="W524" s="67" t="str"/>
    </row>
    <row r="525">
      <c r="B525" s="2">
        <f>IF(STUDENTS!B524="","",STUDENTS!B524)</f>
        <v/>
      </c>
      <c r="C525" s="44">
        <f>IFERROR(IF(B525="","",_xlfn.XLOOKUP(B525,STUDENTS!$B$3:$B$1048576,STUDENTS!$C$3:$C$1048576)),"Enter a registered reg. no")</f>
        <v/>
      </c>
      <c r="D525" s="52">
        <f t="array" ref="D525:W525">IF(All_Students_Scores!C523:V523="","",All_Students_Scores!C523:V523)</f>
        <v/>
      </c>
      <c r="E525" s="55" t="str"/>
      <c r="F525" s="48" t="str"/>
      <c r="G525" s="58" t="str"/>
      <c r="H525" s="62" t="str"/>
      <c r="I525" s="63" t="str"/>
      <c r="J525" s="48" t="str"/>
      <c r="K525" s="58" t="str"/>
      <c r="L525" s="42" t="str"/>
      <c r="M525" s="42" t="str"/>
      <c r="N525" s="48" t="str"/>
      <c r="O525" s="58" t="str"/>
      <c r="P525" s="42" t="str"/>
      <c r="Q525" s="42" t="str"/>
      <c r="R525" s="48" t="str"/>
      <c r="S525" s="58" t="str"/>
      <c r="T525" s="42" t="str"/>
      <c r="U525" s="42" t="str"/>
      <c r="V525" s="48" t="str"/>
      <c r="W525" s="58" t="str"/>
      <c r="X525" s="42" t="n"/>
      <c r="Y525" s="42" t="n"/>
    </row>
    <row r="526">
      <c r="B526" s="2">
        <f>IF(STUDENTS!B525="","",STUDENTS!B525)</f>
        <v/>
      </c>
      <c r="C526" s="44">
        <f>IFERROR(IF(B526="","",_xlfn.XLOOKUP(B526,STUDENTS!$B$3:$B$1048576,STUDENTS!$C$3:$C$1048576)),"Enter a registered reg. no")</f>
        <v/>
      </c>
      <c r="D526" s="52">
        <f t="array" ref="D526:W526">IF(All_Students_Scores!C524:V524="","",All_Students_Scores!C524:V524)</f>
        <v/>
      </c>
      <c r="E526" s="57" t="str"/>
      <c r="F526" s="66" t="str"/>
      <c r="G526" s="67" t="str"/>
      <c r="H526" s="64" t="str"/>
      <c r="I526" s="65" t="str"/>
      <c r="J526" s="66" t="str"/>
      <c r="K526" s="67" t="str"/>
      <c r="L526" s="41" t="str"/>
      <c r="M526" s="41" t="str"/>
      <c r="N526" s="66" t="str"/>
      <c r="O526" s="67" t="str"/>
      <c r="P526" s="41" t="str"/>
      <c r="Q526" s="41" t="str"/>
      <c r="R526" s="66" t="str"/>
      <c r="S526" s="67" t="str"/>
      <c r="T526" s="41" t="str"/>
      <c r="U526" s="41" t="str"/>
      <c r="V526" s="66" t="str"/>
      <c r="W526" s="67" t="str"/>
    </row>
    <row r="527">
      <c r="B527" s="2">
        <f>IF(STUDENTS!B526="","",STUDENTS!B526)</f>
        <v/>
      </c>
      <c r="C527" s="44">
        <f>IFERROR(IF(B527="","",_xlfn.XLOOKUP(B527,STUDENTS!$B$3:$B$1048576,STUDENTS!$C$3:$C$1048576)),"Enter a registered reg. no")</f>
        <v/>
      </c>
      <c r="D527" s="52">
        <f t="array" ref="D527:W527">IF(All_Students_Scores!C525:V525="","",All_Students_Scores!C525:V525)</f>
        <v/>
      </c>
      <c r="E527" s="55" t="str"/>
      <c r="F527" s="48" t="str"/>
      <c r="G527" s="58" t="str"/>
      <c r="H527" s="62" t="str"/>
      <c r="I527" s="63" t="str"/>
      <c r="J527" s="48" t="str"/>
      <c r="K527" s="58" t="str"/>
      <c r="L527" s="42" t="str"/>
      <c r="M527" s="42" t="str"/>
      <c r="N527" s="48" t="str"/>
      <c r="O527" s="58" t="str"/>
      <c r="P527" s="42" t="str"/>
      <c r="Q527" s="42" t="str"/>
      <c r="R527" s="48" t="str"/>
      <c r="S527" s="58" t="str"/>
      <c r="T527" s="42" t="str"/>
      <c r="U527" s="42" t="str"/>
      <c r="V527" s="48" t="str"/>
      <c r="W527" s="58" t="str"/>
      <c r="X527" s="42" t="n"/>
      <c r="Y527" s="42" t="n"/>
    </row>
    <row r="528">
      <c r="B528" s="2">
        <f>IF(STUDENTS!B527="","",STUDENTS!B527)</f>
        <v/>
      </c>
      <c r="C528" s="44">
        <f>IFERROR(IF(B528="","",_xlfn.XLOOKUP(B528,STUDENTS!$B$3:$B$1048576,STUDENTS!$C$3:$C$1048576)),"Enter a registered reg. no")</f>
        <v/>
      </c>
      <c r="D528" s="52">
        <f t="array" ref="D528:W528">IF(All_Students_Scores!C526:V526="","",All_Students_Scores!C526:V526)</f>
        <v/>
      </c>
      <c r="E528" s="57" t="str"/>
      <c r="F528" s="66" t="str"/>
      <c r="G528" s="67" t="str"/>
      <c r="H528" s="64" t="str"/>
      <c r="I528" s="65" t="str"/>
      <c r="J528" s="66" t="str"/>
      <c r="K528" s="67" t="str"/>
      <c r="L528" s="41" t="str"/>
      <c r="M528" s="41" t="str"/>
      <c r="N528" s="66" t="str"/>
      <c r="O528" s="67" t="str"/>
      <c r="P528" s="41" t="str"/>
      <c r="Q528" s="41" t="str"/>
      <c r="R528" s="66" t="str"/>
      <c r="S528" s="67" t="str"/>
      <c r="T528" s="41" t="str"/>
      <c r="U528" s="41" t="str"/>
      <c r="V528" s="66" t="str"/>
      <c r="W528" s="67" t="str"/>
    </row>
    <row r="529">
      <c r="B529" s="2">
        <f>IF(STUDENTS!B528="","",STUDENTS!B528)</f>
        <v/>
      </c>
      <c r="C529" s="44">
        <f>IFERROR(IF(B529="","",_xlfn.XLOOKUP(B529,STUDENTS!$B$3:$B$1048576,STUDENTS!$C$3:$C$1048576)),"Enter a registered reg. no")</f>
        <v/>
      </c>
      <c r="D529" s="52">
        <f t="array" ref="D529:W529">IF(All_Students_Scores!C527:V527="","",All_Students_Scores!C527:V527)</f>
        <v/>
      </c>
      <c r="E529" s="55" t="str"/>
      <c r="F529" s="48" t="str"/>
      <c r="G529" s="58" t="str"/>
      <c r="H529" s="62" t="str"/>
      <c r="I529" s="63" t="str"/>
      <c r="J529" s="48" t="str"/>
      <c r="K529" s="58" t="str"/>
      <c r="L529" s="42" t="str"/>
      <c r="M529" s="42" t="str"/>
      <c r="N529" s="48" t="str"/>
      <c r="O529" s="58" t="str"/>
      <c r="P529" s="42" t="str"/>
      <c r="Q529" s="42" t="str"/>
      <c r="R529" s="48" t="str"/>
      <c r="S529" s="58" t="str"/>
      <c r="T529" s="42" t="str"/>
      <c r="U529" s="42" t="str"/>
      <c r="V529" s="48" t="str"/>
      <c r="W529" s="58" t="str"/>
      <c r="X529" s="42" t="n"/>
      <c r="Y529" s="42" t="n"/>
    </row>
    <row r="530">
      <c r="B530" s="2">
        <f>IF(STUDENTS!B529="","",STUDENTS!B529)</f>
        <v/>
      </c>
      <c r="C530" s="44">
        <f>IFERROR(IF(B530="","",_xlfn.XLOOKUP(B530,STUDENTS!$B$3:$B$1048576,STUDENTS!$C$3:$C$1048576)),"Enter a registered reg. no")</f>
        <v/>
      </c>
      <c r="D530" s="52">
        <f t="array" ref="D530:W530">IF(All_Students_Scores!C528:V528="","",All_Students_Scores!C528:V528)</f>
        <v/>
      </c>
      <c r="E530" s="57" t="str"/>
      <c r="F530" s="66" t="str"/>
      <c r="G530" s="67" t="str"/>
      <c r="H530" s="64" t="str"/>
      <c r="I530" s="65" t="str"/>
      <c r="J530" s="66" t="str"/>
      <c r="K530" s="67" t="str"/>
      <c r="L530" s="41" t="str"/>
      <c r="M530" s="41" t="str"/>
      <c r="N530" s="66" t="str"/>
      <c r="O530" s="67" t="str"/>
      <c r="P530" s="41" t="str"/>
      <c r="Q530" s="41" t="str"/>
      <c r="R530" s="66" t="str"/>
      <c r="S530" s="67" t="str"/>
      <c r="T530" s="41" t="str"/>
      <c r="U530" s="41" t="str"/>
      <c r="V530" s="66" t="str"/>
      <c r="W530" s="67" t="str"/>
    </row>
    <row r="531">
      <c r="B531" s="2">
        <f>IF(STUDENTS!B530="","",STUDENTS!B530)</f>
        <v/>
      </c>
      <c r="C531" s="44">
        <f>IFERROR(IF(B531="","",_xlfn.XLOOKUP(B531,STUDENTS!$B$3:$B$1048576,STUDENTS!$C$3:$C$1048576)),"Enter a registered reg. no")</f>
        <v/>
      </c>
      <c r="D531" s="52">
        <f t="array" ref="D531:W531">IF(All_Students_Scores!C529:V529="","",All_Students_Scores!C529:V529)</f>
        <v/>
      </c>
      <c r="E531" s="55" t="str"/>
      <c r="F531" s="48" t="str"/>
      <c r="G531" s="58" t="str"/>
      <c r="H531" s="62" t="str"/>
      <c r="I531" s="63" t="str"/>
      <c r="J531" s="48" t="str"/>
      <c r="K531" s="58" t="str"/>
      <c r="L531" s="42" t="str"/>
      <c r="M531" s="42" t="str"/>
      <c r="N531" s="48" t="str"/>
      <c r="O531" s="58" t="str"/>
      <c r="P531" s="42" t="str"/>
      <c r="Q531" s="42" t="str"/>
      <c r="R531" s="48" t="str"/>
      <c r="S531" s="58" t="str"/>
      <c r="T531" s="42" t="str"/>
      <c r="U531" s="42" t="str"/>
      <c r="V531" s="48" t="str"/>
      <c r="W531" s="58" t="str"/>
      <c r="X531" s="42" t="n"/>
      <c r="Y531" s="42" t="n"/>
    </row>
    <row r="532">
      <c r="B532" s="2">
        <f>IF(STUDENTS!B531="","",STUDENTS!B531)</f>
        <v/>
      </c>
      <c r="C532" s="44">
        <f>IFERROR(IF(B532="","",_xlfn.XLOOKUP(B532,STUDENTS!$B$3:$B$1048576,STUDENTS!$C$3:$C$1048576)),"Enter a registered reg. no")</f>
        <v/>
      </c>
      <c r="D532" s="52">
        <f t="array" ref="D532:W532">IF(All_Students_Scores!C530:V530="","",All_Students_Scores!C530:V530)</f>
        <v/>
      </c>
      <c r="E532" s="57" t="str"/>
      <c r="F532" s="66" t="str"/>
      <c r="G532" s="67" t="str"/>
      <c r="H532" s="64" t="str"/>
      <c r="I532" s="65" t="str"/>
      <c r="J532" s="66" t="str"/>
      <c r="K532" s="67" t="str"/>
      <c r="L532" s="41" t="str"/>
      <c r="M532" s="41" t="str"/>
      <c r="N532" s="66" t="str"/>
      <c r="O532" s="67" t="str"/>
      <c r="P532" s="41" t="str"/>
      <c r="Q532" s="41" t="str"/>
      <c r="R532" s="66" t="str"/>
      <c r="S532" s="67" t="str"/>
      <c r="T532" s="41" t="str"/>
      <c r="U532" s="41" t="str"/>
      <c r="V532" s="66" t="str"/>
      <c r="W532" s="67" t="str"/>
    </row>
    <row r="533">
      <c r="B533" s="2">
        <f>IF(STUDENTS!B532="","",STUDENTS!B532)</f>
        <v/>
      </c>
      <c r="C533" s="44">
        <f>IFERROR(IF(B533="","",_xlfn.XLOOKUP(B533,STUDENTS!$B$3:$B$1048576,STUDENTS!$C$3:$C$1048576)),"Enter a registered reg. no")</f>
        <v/>
      </c>
      <c r="D533" s="52">
        <f t="array" ref="D533:W533">IF(All_Students_Scores!C531:V531="","",All_Students_Scores!C531:V531)</f>
        <v/>
      </c>
      <c r="E533" s="55" t="str"/>
      <c r="F533" s="48" t="str"/>
      <c r="G533" s="58" t="str"/>
      <c r="H533" s="62" t="str"/>
      <c r="I533" s="63" t="str"/>
      <c r="J533" s="48" t="str"/>
      <c r="K533" s="58" t="str"/>
      <c r="L533" s="42" t="str"/>
      <c r="M533" s="42" t="str"/>
      <c r="N533" s="48" t="str"/>
      <c r="O533" s="58" t="str"/>
      <c r="P533" s="42" t="str"/>
      <c r="Q533" s="42" t="str"/>
      <c r="R533" s="48" t="str"/>
      <c r="S533" s="58" t="str"/>
      <c r="T533" s="42" t="str"/>
      <c r="U533" s="42" t="str"/>
      <c r="V533" s="48" t="str"/>
      <c r="W533" s="58" t="str"/>
      <c r="X533" s="42" t="n"/>
      <c r="Y533" s="42" t="n"/>
    </row>
    <row r="534">
      <c r="B534" s="2">
        <f>IF(STUDENTS!B533="","",STUDENTS!B533)</f>
        <v/>
      </c>
      <c r="C534" s="44">
        <f>IFERROR(IF(B534="","",_xlfn.XLOOKUP(B534,STUDENTS!$B$3:$B$1048576,STUDENTS!$C$3:$C$1048576)),"Enter a registered reg. no")</f>
        <v/>
      </c>
      <c r="D534" s="52">
        <f t="array" ref="D534:W534">IF(All_Students_Scores!C532:V532="","",All_Students_Scores!C532:V532)</f>
        <v/>
      </c>
      <c r="E534" s="57" t="str"/>
      <c r="F534" s="66" t="str"/>
      <c r="G534" s="67" t="str"/>
      <c r="H534" s="64" t="str"/>
      <c r="I534" s="65" t="str"/>
      <c r="J534" s="66" t="str"/>
      <c r="K534" s="67" t="str"/>
      <c r="L534" s="41" t="str"/>
      <c r="M534" s="41" t="str"/>
      <c r="N534" s="66" t="str"/>
      <c r="O534" s="67" t="str"/>
      <c r="P534" s="41" t="str"/>
      <c r="Q534" s="41" t="str"/>
      <c r="R534" s="66" t="str"/>
      <c r="S534" s="67" t="str"/>
      <c r="T534" s="41" t="str"/>
      <c r="U534" s="41" t="str"/>
      <c r="V534" s="66" t="str"/>
      <c r="W534" s="67" t="str"/>
    </row>
    <row r="535">
      <c r="B535" s="2">
        <f>IF(STUDENTS!B534="","",STUDENTS!B534)</f>
        <v/>
      </c>
      <c r="C535" s="44">
        <f>IFERROR(IF(B535="","",_xlfn.XLOOKUP(B535,STUDENTS!$B$3:$B$1048576,STUDENTS!$C$3:$C$1048576)),"Enter a registered reg. no")</f>
        <v/>
      </c>
      <c r="D535" s="52">
        <f t="array" ref="D535:W535">IF(All_Students_Scores!C533:V533="","",All_Students_Scores!C533:V533)</f>
        <v/>
      </c>
      <c r="E535" s="55" t="str"/>
      <c r="F535" s="48" t="str"/>
      <c r="G535" s="58" t="str"/>
      <c r="H535" s="62" t="str"/>
      <c r="I535" s="63" t="str"/>
      <c r="J535" s="48" t="str"/>
      <c r="K535" s="58" t="str"/>
      <c r="L535" s="42" t="str"/>
      <c r="M535" s="42" t="str"/>
      <c r="N535" s="48" t="str"/>
      <c r="O535" s="58" t="str"/>
      <c r="P535" s="42" t="str"/>
      <c r="Q535" s="42" t="str"/>
      <c r="R535" s="48" t="str"/>
      <c r="S535" s="58" t="str"/>
      <c r="T535" s="42" t="str"/>
      <c r="U535" s="42" t="str"/>
      <c r="V535" s="48" t="str"/>
      <c r="W535" s="58" t="str"/>
      <c r="X535" s="42" t="n"/>
      <c r="Y535" s="42" t="n"/>
    </row>
    <row r="536">
      <c r="B536" s="2">
        <f>IF(STUDENTS!B535="","",STUDENTS!B535)</f>
        <v/>
      </c>
      <c r="C536" s="44">
        <f>IFERROR(IF(B536="","",_xlfn.XLOOKUP(B536,STUDENTS!$B$3:$B$1048576,STUDENTS!$C$3:$C$1048576)),"Enter a registered reg. no")</f>
        <v/>
      </c>
      <c r="D536" s="52">
        <f t="array" ref="D536:W536">IF(All_Students_Scores!C534:V534="","",All_Students_Scores!C534:V534)</f>
        <v/>
      </c>
      <c r="E536" s="57" t="str"/>
      <c r="F536" s="66" t="str"/>
      <c r="G536" s="67" t="str"/>
      <c r="H536" s="64" t="str"/>
      <c r="I536" s="65" t="str"/>
      <c r="J536" s="66" t="str"/>
      <c r="K536" s="67" t="str"/>
      <c r="L536" s="41" t="str"/>
      <c r="M536" s="41" t="str"/>
      <c r="N536" s="66" t="str"/>
      <c r="O536" s="67" t="str"/>
      <c r="P536" s="41" t="str"/>
      <c r="Q536" s="41" t="str"/>
      <c r="R536" s="66" t="str"/>
      <c r="S536" s="67" t="str"/>
      <c r="T536" s="41" t="str"/>
      <c r="U536" s="41" t="str"/>
      <c r="V536" s="66" t="str"/>
      <c r="W536" s="67" t="str"/>
    </row>
    <row r="537">
      <c r="B537" s="2">
        <f>IF(STUDENTS!B536="","",STUDENTS!B536)</f>
        <v/>
      </c>
      <c r="C537" s="44">
        <f>IFERROR(IF(B537="","",_xlfn.XLOOKUP(B537,STUDENTS!$B$3:$B$1048576,STUDENTS!$C$3:$C$1048576)),"Enter a registered reg. no")</f>
        <v/>
      </c>
      <c r="D537" s="52">
        <f t="array" ref="D537:W537">IF(All_Students_Scores!C535:V535="","",All_Students_Scores!C535:V535)</f>
        <v/>
      </c>
      <c r="E537" s="55" t="str"/>
      <c r="F537" s="48" t="str"/>
      <c r="G537" s="58" t="str"/>
      <c r="H537" s="62" t="str"/>
      <c r="I537" s="63" t="str"/>
      <c r="J537" s="48" t="str"/>
      <c r="K537" s="58" t="str"/>
      <c r="L537" s="42" t="str"/>
      <c r="M537" s="42" t="str"/>
      <c r="N537" s="48" t="str"/>
      <c r="O537" s="58" t="str"/>
      <c r="P537" s="42" t="str"/>
      <c r="Q537" s="42" t="str"/>
      <c r="R537" s="48" t="str"/>
      <c r="S537" s="58" t="str"/>
      <c r="T537" s="42" t="str"/>
      <c r="U537" s="42" t="str"/>
      <c r="V537" s="48" t="str"/>
      <c r="W537" s="58" t="str"/>
      <c r="X537" s="42" t="n"/>
      <c r="Y537" s="42" t="n"/>
    </row>
    <row r="538">
      <c r="B538" s="2">
        <f>IF(STUDENTS!B537="","",STUDENTS!B537)</f>
        <v/>
      </c>
      <c r="C538" s="44">
        <f>IFERROR(IF(B538="","",_xlfn.XLOOKUP(B538,STUDENTS!$B$3:$B$1048576,STUDENTS!$C$3:$C$1048576)),"Enter a registered reg. no")</f>
        <v/>
      </c>
      <c r="D538" s="52">
        <f t="array" ref="D538:W538">IF(All_Students_Scores!C536:V536="","",All_Students_Scores!C536:V536)</f>
        <v/>
      </c>
      <c r="E538" s="57" t="str"/>
      <c r="F538" s="66" t="str"/>
      <c r="G538" s="67" t="str"/>
      <c r="H538" s="64" t="str"/>
      <c r="I538" s="65" t="str"/>
      <c r="J538" s="66" t="str"/>
      <c r="K538" s="67" t="str"/>
      <c r="L538" s="41" t="str"/>
      <c r="M538" s="41" t="str"/>
      <c r="N538" s="66" t="str"/>
      <c r="O538" s="67" t="str"/>
      <c r="P538" s="41" t="str"/>
      <c r="Q538" s="41" t="str"/>
      <c r="R538" s="66" t="str"/>
      <c r="S538" s="67" t="str"/>
      <c r="T538" s="41" t="str"/>
      <c r="U538" s="41" t="str"/>
      <c r="V538" s="66" t="str"/>
      <c r="W538" s="67" t="str"/>
    </row>
    <row r="539">
      <c r="B539" s="2">
        <f>IF(STUDENTS!B538="","",STUDENTS!B538)</f>
        <v/>
      </c>
      <c r="C539" s="44">
        <f>IFERROR(IF(B539="","",_xlfn.XLOOKUP(B539,STUDENTS!$B$3:$B$1048576,STUDENTS!$C$3:$C$1048576)),"Enter a registered reg. no")</f>
        <v/>
      </c>
      <c r="D539" s="52">
        <f t="array" ref="D539:W539">IF(All_Students_Scores!C537:V537="","",All_Students_Scores!C537:V537)</f>
        <v/>
      </c>
      <c r="E539" s="55" t="str"/>
      <c r="F539" s="48" t="str"/>
      <c r="G539" s="58" t="str"/>
      <c r="H539" s="62" t="str"/>
      <c r="I539" s="63" t="str"/>
      <c r="J539" s="48" t="str"/>
      <c r="K539" s="58" t="str"/>
      <c r="L539" s="42" t="str"/>
      <c r="M539" s="42" t="str"/>
      <c r="N539" s="48" t="str"/>
      <c r="O539" s="58" t="str"/>
      <c r="P539" s="42" t="str"/>
      <c r="Q539" s="42" t="str"/>
      <c r="R539" s="48" t="str"/>
      <c r="S539" s="58" t="str"/>
      <c r="T539" s="42" t="str"/>
      <c r="U539" s="42" t="str"/>
      <c r="V539" s="48" t="str"/>
      <c r="W539" s="58" t="str"/>
      <c r="X539" s="42" t="n"/>
      <c r="Y539" s="42" t="n"/>
    </row>
    <row r="540">
      <c r="B540" s="2">
        <f>IF(STUDENTS!B539="","",STUDENTS!B539)</f>
        <v/>
      </c>
      <c r="C540" s="44">
        <f>IFERROR(IF(B540="","",_xlfn.XLOOKUP(B540,STUDENTS!$B$3:$B$1048576,STUDENTS!$C$3:$C$1048576)),"Enter a registered reg. no")</f>
        <v/>
      </c>
      <c r="D540" s="52">
        <f t="array" ref="D540:W540">IF(All_Students_Scores!C538:V538="","",All_Students_Scores!C538:V538)</f>
        <v/>
      </c>
      <c r="E540" s="57" t="str"/>
      <c r="F540" s="66" t="str"/>
      <c r="G540" s="67" t="str"/>
      <c r="H540" s="64" t="str"/>
      <c r="I540" s="65" t="str"/>
      <c r="J540" s="66" t="str"/>
      <c r="K540" s="67" t="str"/>
      <c r="L540" s="41" t="str"/>
      <c r="M540" s="41" t="str"/>
      <c r="N540" s="66" t="str"/>
      <c r="O540" s="67" t="str"/>
      <c r="P540" s="41" t="str"/>
      <c r="Q540" s="41" t="str"/>
      <c r="R540" s="66" t="str"/>
      <c r="S540" s="67" t="str"/>
      <c r="T540" s="41" t="str"/>
      <c r="U540" s="41" t="str"/>
      <c r="V540" s="66" t="str"/>
      <c r="W540" s="67" t="str"/>
    </row>
    <row r="541">
      <c r="B541" s="2">
        <f>IF(STUDENTS!B540="","",STUDENTS!B540)</f>
        <v/>
      </c>
      <c r="C541" s="44">
        <f>IFERROR(IF(B541="","",_xlfn.XLOOKUP(B541,STUDENTS!$B$3:$B$1048576,STUDENTS!$C$3:$C$1048576)),"Enter a registered reg. no")</f>
        <v/>
      </c>
      <c r="D541" s="52">
        <f t="array" ref="D541:W541">IF(All_Students_Scores!C539:V539="","",All_Students_Scores!C539:V539)</f>
        <v/>
      </c>
      <c r="E541" s="55" t="str"/>
      <c r="F541" s="48" t="str"/>
      <c r="G541" s="58" t="str"/>
      <c r="H541" s="62" t="str"/>
      <c r="I541" s="63" t="str"/>
      <c r="J541" s="48" t="str"/>
      <c r="K541" s="58" t="str"/>
      <c r="L541" s="42" t="str"/>
      <c r="M541" s="42" t="str"/>
      <c r="N541" s="48" t="str"/>
      <c r="O541" s="58" t="str"/>
      <c r="P541" s="42" t="str"/>
      <c r="Q541" s="42" t="str"/>
      <c r="R541" s="48" t="str"/>
      <c r="S541" s="58" t="str"/>
      <c r="T541" s="42" t="str"/>
      <c r="U541" s="42" t="str"/>
      <c r="V541" s="48" t="str"/>
      <c r="W541" s="58" t="str"/>
      <c r="X541" s="42" t="n"/>
      <c r="Y541" s="42" t="n"/>
    </row>
    <row r="542">
      <c r="B542" s="2">
        <f>IF(STUDENTS!B541="","",STUDENTS!B541)</f>
        <v/>
      </c>
      <c r="C542" s="44">
        <f>IFERROR(IF(B542="","",_xlfn.XLOOKUP(B542,STUDENTS!$B$3:$B$1048576,STUDENTS!$C$3:$C$1048576)),"Enter a registered reg. no")</f>
        <v/>
      </c>
      <c r="D542" s="52">
        <f t="array" ref="D542:W542">IF(All_Students_Scores!C540:V540="","",All_Students_Scores!C540:V540)</f>
        <v/>
      </c>
      <c r="E542" s="57" t="str"/>
      <c r="F542" s="66" t="str"/>
      <c r="G542" s="67" t="str"/>
      <c r="H542" s="64" t="str"/>
      <c r="I542" s="65" t="str"/>
      <c r="J542" s="66" t="str"/>
      <c r="K542" s="67" t="str"/>
      <c r="L542" s="41" t="str"/>
      <c r="M542" s="41" t="str"/>
      <c r="N542" s="66" t="str"/>
      <c r="O542" s="67" t="str"/>
      <c r="P542" s="41" t="str"/>
      <c r="Q542" s="41" t="str"/>
      <c r="R542" s="66" t="str"/>
      <c r="S542" s="67" t="str"/>
      <c r="T542" s="41" t="str"/>
      <c r="U542" s="41" t="str"/>
      <c r="V542" s="66" t="str"/>
      <c r="W542" s="67" t="str"/>
    </row>
    <row r="543">
      <c r="B543" s="2">
        <f>IF(STUDENTS!B542="","",STUDENTS!B542)</f>
        <v/>
      </c>
      <c r="C543" s="44">
        <f>IFERROR(IF(B543="","",_xlfn.XLOOKUP(B543,STUDENTS!$B$3:$B$1048576,STUDENTS!$C$3:$C$1048576)),"Enter a registered reg. no")</f>
        <v/>
      </c>
      <c r="D543" s="52">
        <f t="array" ref="D543:W543">IF(All_Students_Scores!C541:V541="","",All_Students_Scores!C541:V541)</f>
        <v/>
      </c>
      <c r="E543" s="55" t="str"/>
      <c r="F543" s="48" t="str"/>
      <c r="G543" s="58" t="str"/>
      <c r="H543" s="62" t="str"/>
      <c r="I543" s="63" t="str"/>
      <c r="J543" s="48" t="str"/>
      <c r="K543" s="58" t="str"/>
      <c r="L543" s="42" t="str"/>
      <c r="M543" s="42" t="str"/>
      <c r="N543" s="48" t="str"/>
      <c r="O543" s="58" t="str"/>
      <c r="P543" s="42" t="str"/>
      <c r="Q543" s="42" t="str"/>
      <c r="R543" s="48" t="str"/>
      <c r="S543" s="58" t="str"/>
      <c r="T543" s="42" t="str"/>
      <c r="U543" s="42" t="str"/>
      <c r="V543" s="48" t="str"/>
      <c r="W543" s="58" t="str"/>
      <c r="X543" s="42" t="n"/>
      <c r="Y543" s="42" t="n"/>
    </row>
    <row r="544">
      <c r="B544" s="2">
        <f>IF(STUDENTS!B543="","",STUDENTS!B543)</f>
        <v/>
      </c>
      <c r="C544" s="44">
        <f>IFERROR(IF(B544="","",_xlfn.XLOOKUP(B544,STUDENTS!$B$3:$B$1048576,STUDENTS!$C$3:$C$1048576)),"Enter a registered reg. no")</f>
        <v/>
      </c>
      <c r="D544" s="52">
        <f t="array" ref="D544:W544">IF(All_Students_Scores!C542:V542="","",All_Students_Scores!C542:V542)</f>
        <v/>
      </c>
      <c r="E544" s="57" t="str"/>
      <c r="F544" s="66" t="str"/>
      <c r="G544" s="67" t="str"/>
      <c r="H544" s="64" t="str"/>
      <c r="I544" s="65" t="str"/>
      <c r="J544" s="66" t="str"/>
      <c r="K544" s="67" t="str"/>
      <c r="L544" s="41" t="str"/>
      <c r="M544" s="41" t="str"/>
      <c r="N544" s="66" t="str"/>
      <c r="O544" s="67" t="str"/>
      <c r="P544" s="41" t="str"/>
      <c r="Q544" s="41" t="str"/>
      <c r="R544" s="66" t="str"/>
      <c r="S544" s="67" t="str"/>
      <c r="T544" s="41" t="str"/>
      <c r="U544" s="41" t="str"/>
      <c r="V544" s="66" t="str"/>
      <c r="W544" s="67" t="str"/>
    </row>
    <row r="545">
      <c r="B545" s="2">
        <f>IF(STUDENTS!B544="","",STUDENTS!B544)</f>
        <v/>
      </c>
      <c r="C545" s="44">
        <f>IFERROR(IF(B545="","",_xlfn.XLOOKUP(B545,STUDENTS!$B$3:$B$1048576,STUDENTS!$C$3:$C$1048576)),"Enter a registered reg. no")</f>
        <v/>
      </c>
      <c r="D545" s="52">
        <f t="array" ref="D545:W545">IF(All_Students_Scores!C543:V543="","",All_Students_Scores!C543:V543)</f>
        <v/>
      </c>
      <c r="E545" s="55" t="str"/>
      <c r="F545" s="48" t="str"/>
      <c r="G545" s="58" t="str"/>
      <c r="H545" s="62" t="str"/>
      <c r="I545" s="63" t="str"/>
      <c r="J545" s="48" t="str"/>
      <c r="K545" s="58" t="str"/>
      <c r="L545" s="42" t="str"/>
      <c r="M545" s="42" t="str"/>
      <c r="N545" s="48" t="str"/>
      <c r="O545" s="58" t="str"/>
      <c r="P545" s="42" t="str"/>
      <c r="Q545" s="42" t="str"/>
      <c r="R545" s="48" t="str"/>
      <c r="S545" s="58" t="str"/>
      <c r="T545" s="42" t="str"/>
      <c r="U545" s="42" t="str"/>
      <c r="V545" s="48" t="str"/>
      <c r="W545" s="58" t="str"/>
      <c r="X545" s="42" t="n"/>
      <c r="Y545" s="42" t="n"/>
    </row>
    <row r="546">
      <c r="B546" s="2">
        <f>IF(STUDENTS!B545="","",STUDENTS!B545)</f>
        <v/>
      </c>
      <c r="C546" s="44">
        <f>IFERROR(IF(B546="","",_xlfn.XLOOKUP(B546,STUDENTS!$B$3:$B$1048576,STUDENTS!$C$3:$C$1048576)),"Enter a registered reg. no")</f>
        <v/>
      </c>
      <c r="D546" s="52">
        <f t="array" ref="D546:W546">IF(All_Students_Scores!C544:V544="","",All_Students_Scores!C544:V544)</f>
        <v/>
      </c>
      <c r="E546" s="57" t="str"/>
      <c r="F546" s="66" t="str"/>
      <c r="G546" s="67" t="str"/>
      <c r="H546" s="64" t="str"/>
      <c r="I546" s="65" t="str"/>
      <c r="J546" s="66" t="str"/>
      <c r="K546" s="67" t="str"/>
      <c r="L546" s="41" t="str"/>
      <c r="M546" s="41" t="str"/>
      <c r="N546" s="66" t="str"/>
      <c r="O546" s="67" t="str"/>
      <c r="P546" s="41" t="str"/>
      <c r="Q546" s="41" t="str"/>
      <c r="R546" s="66" t="str"/>
      <c r="S546" s="67" t="str"/>
      <c r="T546" s="41" t="str"/>
      <c r="U546" s="41" t="str"/>
      <c r="V546" s="66" t="str"/>
      <c r="W546" s="67" t="str"/>
    </row>
    <row r="547">
      <c r="B547" s="2">
        <f>IF(STUDENTS!B546="","",STUDENTS!B546)</f>
        <v/>
      </c>
      <c r="C547" s="44">
        <f>IFERROR(IF(B547="","",_xlfn.XLOOKUP(B547,STUDENTS!$B$3:$B$1048576,STUDENTS!$C$3:$C$1048576)),"Enter a registered reg. no")</f>
        <v/>
      </c>
      <c r="D547" s="52">
        <f t="array" ref="D547:W547">IF(All_Students_Scores!C545:V545="","",All_Students_Scores!C545:V545)</f>
        <v/>
      </c>
      <c r="E547" s="55" t="str"/>
      <c r="F547" s="48" t="str"/>
      <c r="G547" s="58" t="str"/>
      <c r="H547" s="62" t="str"/>
      <c r="I547" s="63" t="str"/>
      <c r="J547" s="48" t="str"/>
      <c r="K547" s="58" t="str"/>
      <c r="L547" s="42" t="str"/>
      <c r="M547" s="42" t="str"/>
      <c r="N547" s="48" t="str"/>
      <c r="O547" s="58" t="str"/>
      <c r="P547" s="42" t="str"/>
      <c r="Q547" s="42" t="str"/>
      <c r="R547" s="48" t="str"/>
      <c r="S547" s="58" t="str"/>
      <c r="T547" s="42" t="str"/>
      <c r="U547" s="42" t="str"/>
      <c r="V547" s="48" t="str"/>
      <c r="W547" s="58" t="str"/>
      <c r="X547" s="42" t="n"/>
      <c r="Y547" s="42" t="n"/>
    </row>
    <row r="548">
      <c r="B548" s="2">
        <f>IF(STUDENTS!B547="","",STUDENTS!B547)</f>
        <v/>
      </c>
      <c r="C548" s="44">
        <f>IFERROR(IF(B548="","",_xlfn.XLOOKUP(B548,STUDENTS!$B$3:$B$1048576,STUDENTS!$C$3:$C$1048576)),"Enter a registered reg. no")</f>
        <v/>
      </c>
      <c r="D548" s="52">
        <f t="array" ref="D548:W548">IF(All_Students_Scores!C546:V546="","",All_Students_Scores!C546:V546)</f>
        <v/>
      </c>
      <c r="E548" s="57" t="str"/>
      <c r="F548" s="66" t="str"/>
      <c r="G548" s="67" t="str"/>
      <c r="H548" s="64" t="str"/>
      <c r="I548" s="65" t="str"/>
      <c r="J548" s="66" t="str"/>
      <c r="K548" s="67" t="str"/>
      <c r="L548" s="41" t="str"/>
      <c r="M548" s="41" t="str"/>
      <c r="N548" s="66" t="str"/>
      <c r="O548" s="67" t="str"/>
      <c r="P548" s="41" t="str"/>
      <c r="Q548" s="41" t="str"/>
      <c r="R548" s="66" t="str"/>
      <c r="S548" s="67" t="str"/>
      <c r="T548" s="41" t="str"/>
      <c r="U548" s="41" t="str"/>
      <c r="V548" s="66" t="str"/>
      <c r="W548" s="67" t="str"/>
    </row>
    <row r="549">
      <c r="B549" s="2">
        <f>IF(STUDENTS!B548="","",STUDENTS!B548)</f>
        <v/>
      </c>
      <c r="C549" s="44">
        <f>IFERROR(IF(B549="","",_xlfn.XLOOKUP(B549,STUDENTS!$B$3:$B$1048576,STUDENTS!$C$3:$C$1048576)),"Enter a registered reg. no")</f>
        <v/>
      </c>
      <c r="D549" s="52">
        <f t="array" ref="D549:W549">IF(All_Students_Scores!C547:V547="","",All_Students_Scores!C547:V547)</f>
        <v/>
      </c>
      <c r="E549" s="55" t="str"/>
      <c r="F549" s="48" t="str"/>
      <c r="G549" s="58" t="str"/>
      <c r="H549" s="62" t="str"/>
      <c r="I549" s="63" t="str"/>
      <c r="J549" s="48" t="str"/>
      <c r="K549" s="58" t="str"/>
      <c r="L549" s="42" t="str"/>
      <c r="M549" s="42" t="str"/>
      <c r="N549" s="48" t="str"/>
      <c r="O549" s="58" t="str"/>
      <c r="P549" s="42" t="str"/>
      <c r="Q549" s="42" t="str"/>
      <c r="R549" s="48" t="str"/>
      <c r="S549" s="58" t="str"/>
      <c r="T549" s="42" t="str"/>
      <c r="U549" s="42" t="str"/>
      <c r="V549" s="48" t="str"/>
      <c r="W549" s="58" t="str"/>
      <c r="X549" s="42" t="n"/>
      <c r="Y549" s="42" t="n"/>
    </row>
    <row r="550">
      <c r="B550" s="2">
        <f>IF(STUDENTS!B549="","",STUDENTS!B549)</f>
        <v/>
      </c>
      <c r="C550" s="44">
        <f>IFERROR(IF(B550="","",_xlfn.XLOOKUP(B550,STUDENTS!$B$3:$B$1048576,STUDENTS!$C$3:$C$1048576)),"Enter a registered reg. no")</f>
        <v/>
      </c>
      <c r="D550" s="52">
        <f t="array" ref="D550:W550">IF(All_Students_Scores!C548:V548="","",All_Students_Scores!C548:V548)</f>
        <v/>
      </c>
      <c r="E550" s="57" t="str"/>
      <c r="F550" s="66" t="str"/>
      <c r="G550" s="67" t="str"/>
      <c r="H550" s="64" t="str"/>
      <c r="I550" s="65" t="str"/>
      <c r="J550" s="66" t="str"/>
      <c r="K550" s="67" t="str"/>
      <c r="L550" s="41" t="str"/>
      <c r="M550" s="41" t="str"/>
      <c r="N550" s="66" t="str"/>
      <c r="O550" s="67" t="str"/>
      <c r="P550" s="41" t="str"/>
      <c r="Q550" s="41" t="str"/>
      <c r="R550" s="66" t="str"/>
      <c r="S550" s="67" t="str"/>
      <c r="T550" s="41" t="str"/>
      <c r="U550" s="41" t="str"/>
      <c r="V550" s="66" t="str"/>
      <c r="W550" s="67" t="str"/>
    </row>
    <row r="551">
      <c r="B551" s="2">
        <f>IF(STUDENTS!B550="","",STUDENTS!B550)</f>
        <v/>
      </c>
      <c r="C551" s="44">
        <f>IFERROR(IF(B551="","",_xlfn.XLOOKUP(B551,STUDENTS!$B$3:$B$1048576,STUDENTS!$C$3:$C$1048576)),"Enter a registered reg. no")</f>
        <v/>
      </c>
      <c r="D551" s="52">
        <f t="array" ref="D551:W551">IF(All_Students_Scores!C549:V549="","",All_Students_Scores!C549:V549)</f>
        <v/>
      </c>
      <c r="E551" s="55" t="str"/>
      <c r="F551" s="48" t="str"/>
      <c r="G551" s="58" t="str"/>
      <c r="H551" s="62" t="str"/>
      <c r="I551" s="63" t="str"/>
      <c r="J551" s="48" t="str"/>
      <c r="K551" s="58" t="str"/>
      <c r="L551" s="42" t="str"/>
      <c r="M551" s="42" t="str"/>
      <c r="N551" s="48" t="str"/>
      <c r="O551" s="58" t="str"/>
      <c r="P551" s="42" t="str"/>
      <c r="Q551" s="42" t="str"/>
      <c r="R551" s="48" t="str"/>
      <c r="S551" s="58" t="str"/>
      <c r="T551" s="42" t="str"/>
      <c r="U551" s="42" t="str"/>
      <c r="V551" s="48" t="str"/>
      <c r="W551" s="58" t="str"/>
      <c r="X551" s="42" t="n"/>
      <c r="Y551" s="42" t="n"/>
    </row>
    <row r="552">
      <c r="B552" s="2">
        <f>IF(STUDENTS!B551="","",STUDENTS!B551)</f>
        <v/>
      </c>
      <c r="C552" s="44">
        <f>IFERROR(IF(B552="","",_xlfn.XLOOKUP(B552,STUDENTS!$B$3:$B$1048576,STUDENTS!$C$3:$C$1048576)),"Enter a registered reg. no")</f>
        <v/>
      </c>
      <c r="D552" s="52">
        <f t="array" ref="D552:W552">IF(All_Students_Scores!C550:V550="","",All_Students_Scores!C550:V550)</f>
        <v/>
      </c>
      <c r="E552" s="57" t="str"/>
      <c r="F552" s="66" t="str"/>
      <c r="G552" s="67" t="str"/>
      <c r="H552" s="64" t="str"/>
      <c r="I552" s="65" t="str"/>
      <c r="J552" s="66" t="str"/>
      <c r="K552" s="67" t="str"/>
      <c r="L552" s="41" t="str"/>
      <c r="M552" s="41" t="str"/>
      <c r="N552" s="66" t="str"/>
      <c r="O552" s="67" t="str"/>
      <c r="P552" s="41" t="str"/>
      <c r="Q552" s="41" t="str"/>
      <c r="R552" s="66" t="str"/>
      <c r="S552" s="67" t="str"/>
      <c r="T552" s="41" t="str"/>
      <c r="U552" s="41" t="str"/>
      <c r="V552" s="66" t="str"/>
      <c r="W552" s="67" t="str"/>
    </row>
    <row r="553">
      <c r="B553" s="2">
        <f>IF(STUDENTS!B552="","",STUDENTS!B552)</f>
        <v/>
      </c>
      <c r="C553" s="44">
        <f>IFERROR(IF(B553="","",_xlfn.XLOOKUP(B553,STUDENTS!$B$3:$B$1048576,STUDENTS!$C$3:$C$1048576)),"Enter a registered reg. no")</f>
        <v/>
      </c>
      <c r="D553" s="52">
        <f t="array" ref="D553:W553">IF(All_Students_Scores!C551:V551="","",All_Students_Scores!C551:V551)</f>
        <v/>
      </c>
      <c r="E553" s="55" t="str"/>
      <c r="F553" s="48" t="str"/>
      <c r="G553" s="58" t="str"/>
      <c r="H553" s="62" t="str"/>
      <c r="I553" s="63" t="str"/>
      <c r="J553" s="48" t="str"/>
      <c r="K553" s="58" t="str"/>
      <c r="L553" s="42" t="str"/>
      <c r="M553" s="42" t="str"/>
      <c r="N553" s="48" t="str"/>
      <c r="O553" s="58" t="str"/>
      <c r="P553" s="42" t="str"/>
      <c r="Q553" s="42" t="str"/>
      <c r="R553" s="48" t="str"/>
      <c r="S553" s="58" t="str"/>
      <c r="T553" s="42" t="str"/>
      <c r="U553" s="42" t="str"/>
      <c r="V553" s="48" t="str"/>
      <c r="W553" s="58" t="str"/>
      <c r="X553" s="42" t="n"/>
      <c r="Y553" s="42" t="n"/>
    </row>
    <row r="554">
      <c r="B554" s="2">
        <f>IF(STUDENTS!B553="","",STUDENTS!B553)</f>
        <v/>
      </c>
      <c r="C554" s="44">
        <f>IFERROR(IF(B554="","",_xlfn.XLOOKUP(B554,STUDENTS!$B$3:$B$1048576,STUDENTS!$C$3:$C$1048576)),"Enter a registered reg. no")</f>
        <v/>
      </c>
      <c r="D554" s="52">
        <f t="array" ref="D554:W554">IF(All_Students_Scores!C552:V552="","",All_Students_Scores!C552:V552)</f>
        <v/>
      </c>
      <c r="E554" s="57" t="str"/>
      <c r="F554" s="66" t="str"/>
      <c r="G554" s="67" t="str"/>
      <c r="H554" s="64" t="str"/>
      <c r="I554" s="65" t="str"/>
      <c r="J554" s="66" t="str"/>
      <c r="K554" s="67" t="str"/>
      <c r="L554" s="41" t="str"/>
      <c r="M554" s="41" t="str"/>
      <c r="N554" s="66" t="str"/>
      <c r="O554" s="67" t="str"/>
      <c r="P554" s="41" t="str"/>
      <c r="Q554" s="41" t="str"/>
      <c r="R554" s="66" t="str"/>
      <c r="S554" s="67" t="str"/>
      <c r="T554" s="41" t="str"/>
      <c r="U554" s="41" t="str"/>
      <c r="V554" s="66" t="str"/>
      <c r="W554" s="67" t="str"/>
    </row>
    <row r="555">
      <c r="B555" s="2">
        <f>IF(STUDENTS!B554="","",STUDENTS!B554)</f>
        <v/>
      </c>
      <c r="C555" s="44">
        <f>IFERROR(IF(B555="","",_xlfn.XLOOKUP(B555,STUDENTS!$B$3:$B$1048576,STUDENTS!$C$3:$C$1048576)),"Enter a registered reg. no")</f>
        <v/>
      </c>
      <c r="D555" s="52">
        <f t="array" ref="D555:W555">IF(All_Students_Scores!C553:V553="","",All_Students_Scores!C553:V553)</f>
        <v/>
      </c>
      <c r="E555" s="55" t="str"/>
      <c r="F555" s="48" t="str"/>
      <c r="G555" s="58" t="str"/>
      <c r="H555" s="62" t="str"/>
      <c r="I555" s="63" t="str"/>
      <c r="J555" s="48" t="str"/>
      <c r="K555" s="58" t="str"/>
      <c r="L555" s="42" t="str"/>
      <c r="M555" s="42" t="str"/>
      <c r="N555" s="48" t="str"/>
      <c r="O555" s="58" t="str"/>
      <c r="P555" s="42" t="str"/>
      <c r="Q555" s="42" t="str"/>
      <c r="R555" s="48" t="str"/>
      <c r="S555" s="58" t="str"/>
      <c r="T555" s="42" t="str"/>
      <c r="U555" s="42" t="str"/>
      <c r="V555" s="48" t="str"/>
      <c r="W555" s="58" t="str"/>
      <c r="X555" s="42" t="n"/>
      <c r="Y555" s="42" t="n"/>
    </row>
    <row r="556">
      <c r="B556" s="2">
        <f>IF(STUDENTS!B555="","",STUDENTS!B555)</f>
        <v/>
      </c>
      <c r="C556" s="44">
        <f>IFERROR(IF(B556="","",_xlfn.XLOOKUP(B556,STUDENTS!$B$3:$B$1048576,STUDENTS!$C$3:$C$1048576)),"Enter a registered reg. no")</f>
        <v/>
      </c>
      <c r="D556" s="52">
        <f t="array" ref="D556:W556">IF(All_Students_Scores!C554:V554="","",All_Students_Scores!C554:V554)</f>
        <v/>
      </c>
      <c r="E556" s="57" t="str"/>
      <c r="F556" s="66" t="str"/>
      <c r="G556" s="67" t="str"/>
      <c r="H556" s="64" t="str"/>
      <c r="I556" s="65" t="str"/>
      <c r="J556" s="66" t="str"/>
      <c r="K556" s="67" t="str"/>
      <c r="L556" s="41" t="str"/>
      <c r="M556" s="41" t="str"/>
      <c r="N556" s="66" t="str"/>
      <c r="O556" s="67" t="str"/>
      <c r="P556" s="41" t="str"/>
      <c r="Q556" s="41" t="str"/>
      <c r="R556" s="66" t="str"/>
      <c r="S556" s="67" t="str"/>
      <c r="T556" s="41" t="str"/>
      <c r="U556" s="41" t="str"/>
      <c r="V556" s="66" t="str"/>
      <c r="W556" s="67" t="str"/>
    </row>
    <row r="557">
      <c r="B557" s="2">
        <f>IF(STUDENTS!B556="","",STUDENTS!B556)</f>
        <v/>
      </c>
      <c r="C557" s="44">
        <f>IFERROR(IF(B557="","",_xlfn.XLOOKUP(B557,STUDENTS!$B$3:$B$1048576,STUDENTS!$C$3:$C$1048576)),"Enter a registered reg. no")</f>
        <v/>
      </c>
      <c r="D557" s="52">
        <f t="array" ref="D557:W557">IF(All_Students_Scores!C555:V555="","",All_Students_Scores!C555:V555)</f>
        <v/>
      </c>
      <c r="E557" s="55" t="str"/>
      <c r="F557" s="48" t="str"/>
      <c r="G557" s="58" t="str"/>
      <c r="H557" s="62" t="str"/>
      <c r="I557" s="63" t="str"/>
      <c r="J557" s="48" t="str"/>
      <c r="K557" s="58" t="str"/>
      <c r="L557" s="42" t="str"/>
      <c r="M557" s="42" t="str"/>
      <c r="N557" s="48" t="str"/>
      <c r="O557" s="58" t="str"/>
      <c r="P557" s="42" t="str"/>
      <c r="Q557" s="42" t="str"/>
      <c r="R557" s="48" t="str"/>
      <c r="S557" s="58" t="str"/>
      <c r="T557" s="42" t="str"/>
      <c r="U557" s="42" t="str"/>
      <c r="V557" s="48" t="str"/>
      <c r="W557" s="58" t="str"/>
      <c r="X557" s="42" t="n"/>
      <c r="Y557" s="42" t="n"/>
    </row>
    <row r="558">
      <c r="B558" s="2">
        <f>IF(STUDENTS!B557="","",STUDENTS!B557)</f>
        <v/>
      </c>
      <c r="C558" s="44">
        <f>IFERROR(IF(B558="","",_xlfn.XLOOKUP(B558,STUDENTS!$B$3:$B$1048576,STUDENTS!$C$3:$C$1048576)),"Enter a registered reg. no")</f>
        <v/>
      </c>
      <c r="D558" s="52">
        <f t="array" ref="D558:W558">IF(All_Students_Scores!C556:V556="","",All_Students_Scores!C556:V556)</f>
        <v/>
      </c>
      <c r="E558" s="57" t="str"/>
      <c r="F558" s="66" t="str"/>
      <c r="G558" s="67" t="str"/>
      <c r="H558" s="64" t="str"/>
      <c r="I558" s="65" t="str"/>
      <c r="J558" s="66" t="str"/>
      <c r="K558" s="67" t="str"/>
      <c r="L558" s="41" t="str"/>
      <c r="M558" s="41" t="str"/>
      <c r="N558" s="66" t="str"/>
      <c r="O558" s="67" t="str"/>
      <c r="P558" s="41" t="str"/>
      <c r="Q558" s="41" t="str"/>
      <c r="R558" s="66" t="str"/>
      <c r="S558" s="67" t="str"/>
      <c r="T558" s="41" t="str"/>
      <c r="U558" s="41" t="str"/>
      <c r="V558" s="66" t="str"/>
      <c r="W558" s="67" t="str"/>
    </row>
    <row r="559">
      <c r="B559" s="2">
        <f>IF(STUDENTS!B558="","",STUDENTS!B558)</f>
        <v/>
      </c>
      <c r="C559" s="44">
        <f>IFERROR(IF(B559="","",_xlfn.XLOOKUP(B559,STUDENTS!$B$3:$B$1048576,STUDENTS!$C$3:$C$1048576)),"Enter a registered reg. no")</f>
        <v/>
      </c>
      <c r="D559" s="52">
        <f t="array" ref="D559:W559">IF(All_Students_Scores!C557:V557="","",All_Students_Scores!C557:V557)</f>
        <v/>
      </c>
      <c r="E559" s="55" t="str"/>
      <c r="F559" s="48" t="str"/>
      <c r="G559" s="58" t="str"/>
      <c r="H559" s="62" t="str"/>
      <c r="I559" s="63" t="str"/>
      <c r="J559" s="48" t="str"/>
      <c r="K559" s="58" t="str"/>
      <c r="L559" s="42" t="str"/>
      <c r="M559" s="42" t="str"/>
      <c r="N559" s="48" t="str"/>
      <c r="O559" s="58" t="str"/>
      <c r="P559" s="42" t="str"/>
      <c r="Q559" s="42" t="str"/>
      <c r="R559" s="48" t="str"/>
      <c r="S559" s="58" t="str"/>
      <c r="T559" s="42" t="str"/>
      <c r="U559" s="42" t="str"/>
      <c r="V559" s="48" t="str"/>
      <c r="W559" s="58" t="str"/>
      <c r="X559" s="42" t="n"/>
      <c r="Y559" s="42" t="n"/>
    </row>
    <row r="560">
      <c r="B560" s="2">
        <f>IF(STUDENTS!B559="","",STUDENTS!B559)</f>
        <v/>
      </c>
      <c r="C560" s="44">
        <f>IFERROR(IF(B560="","",_xlfn.XLOOKUP(B560,STUDENTS!$B$3:$B$1048576,STUDENTS!$C$3:$C$1048576)),"Enter a registered reg. no")</f>
        <v/>
      </c>
      <c r="D560" s="52">
        <f t="array" ref="D560:W560">IF(All_Students_Scores!C558:V558="","",All_Students_Scores!C558:V558)</f>
        <v/>
      </c>
      <c r="E560" s="57" t="str"/>
      <c r="F560" s="66" t="str"/>
      <c r="G560" s="67" t="str"/>
      <c r="H560" s="64" t="str"/>
      <c r="I560" s="65" t="str"/>
      <c r="J560" s="66" t="str"/>
      <c r="K560" s="67" t="str"/>
      <c r="L560" s="41" t="str"/>
      <c r="M560" s="41" t="str"/>
      <c r="N560" s="66" t="str"/>
      <c r="O560" s="67" t="str"/>
      <c r="P560" s="41" t="str"/>
      <c r="Q560" s="41" t="str"/>
      <c r="R560" s="66" t="str"/>
      <c r="S560" s="67" t="str"/>
      <c r="T560" s="41" t="str"/>
      <c r="U560" s="41" t="str"/>
      <c r="V560" s="66" t="str"/>
      <c r="W560" s="67" t="str"/>
    </row>
    <row r="561">
      <c r="B561" s="2">
        <f>IF(STUDENTS!B560="","",STUDENTS!B560)</f>
        <v/>
      </c>
      <c r="C561" s="44">
        <f>IFERROR(IF(B561="","",_xlfn.XLOOKUP(B561,STUDENTS!$B$3:$B$1048576,STUDENTS!$C$3:$C$1048576)),"Enter a registered reg. no")</f>
        <v/>
      </c>
      <c r="D561" s="52">
        <f t="array" ref="D561:W561">IF(All_Students_Scores!C559:V559="","",All_Students_Scores!C559:V559)</f>
        <v/>
      </c>
      <c r="E561" s="55" t="str"/>
      <c r="F561" s="48" t="str"/>
      <c r="G561" s="58" t="str"/>
      <c r="H561" s="62" t="str"/>
      <c r="I561" s="63" t="str"/>
      <c r="J561" s="48" t="str"/>
      <c r="K561" s="58" t="str"/>
      <c r="L561" s="42" t="str"/>
      <c r="M561" s="42" t="str"/>
      <c r="N561" s="48" t="str"/>
      <c r="O561" s="58" t="str"/>
      <c r="P561" s="42" t="str"/>
      <c r="Q561" s="42" t="str"/>
      <c r="R561" s="48" t="str"/>
      <c r="S561" s="58" t="str"/>
      <c r="T561" s="42" t="str"/>
      <c r="U561" s="42" t="str"/>
      <c r="V561" s="48" t="str"/>
      <c r="W561" s="58" t="str"/>
      <c r="X561" s="42" t="n"/>
      <c r="Y561" s="42" t="n"/>
    </row>
    <row r="562">
      <c r="B562" s="2">
        <f>IF(STUDENTS!B561="","",STUDENTS!B561)</f>
        <v/>
      </c>
      <c r="C562" s="44">
        <f>IFERROR(IF(B562="","",_xlfn.XLOOKUP(B562,STUDENTS!$B$3:$B$1048576,STUDENTS!$C$3:$C$1048576)),"Enter a registered reg. no")</f>
        <v/>
      </c>
      <c r="D562" s="52">
        <f t="array" ref="D562:W562">IF(All_Students_Scores!C560:V560="","",All_Students_Scores!C560:V560)</f>
        <v/>
      </c>
      <c r="E562" s="57" t="str"/>
      <c r="F562" s="66" t="str"/>
      <c r="G562" s="67" t="str"/>
      <c r="H562" s="64" t="str"/>
      <c r="I562" s="65" t="str"/>
      <c r="J562" s="66" t="str"/>
      <c r="K562" s="67" t="str"/>
      <c r="L562" s="41" t="str"/>
      <c r="M562" s="41" t="str"/>
      <c r="N562" s="66" t="str"/>
      <c r="O562" s="67" t="str"/>
      <c r="P562" s="41" t="str"/>
      <c r="Q562" s="41" t="str"/>
      <c r="R562" s="66" t="str"/>
      <c r="S562" s="67" t="str"/>
      <c r="T562" s="41" t="str"/>
      <c r="U562" s="41" t="str"/>
      <c r="V562" s="66" t="str"/>
      <c r="W562" s="67" t="str"/>
    </row>
    <row r="563">
      <c r="B563" s="2">
        <f>IF(STUDENTS!B562="","",STUDENTS!B562)</f>
        <v/>
      </c>
      <c r="C563" s="44">
        <f>IFERROR(IF(B563="","",_xlfn.XLOOKUP(B563,STUDENTS!$B$3:$B$1048576,STUDENTS!$C$3:$C$1048576)),"Enter a registered reg. no")</f>
        <v/>
      </c>
      <c r="D563" s="52">
        <f t="array" ref="D563:W563">IF(All_Students_Scores!C561:V561="","",All_Students_Scores!C561:V561)</f>
        <v/>
      </c>
      <c r="E563" s="55" t="str"/>
      <c r="F563" s="48" t="str"/>
      <c r="G563" s="58" t="str"/>
      <c r="H563" s="62" t="str"/>
      <c r="I563" s="63" t="str"/>
      <c r="J563" s="48" t="str"/>
      <c r="K563" s="58" t="str"/>
      <c r="L563" s="42" t="str"/>
      <c r="M563" s="42" t="str"/>
      <c r="N563" s="48" t="str"/>
      <c r="O563" s="58" t="str"/>
      <c r="P563" s="42" t="str"/>
      <c r="Q563" s="42" t="str"/>
      <c r="R563" s="48" t="str"/>
      <c r="S563" s="58" t="str"/>
      <c r="T563" s="42" t="str"/>
      <c r="U563" s="42" t="str"/>
      <c r="V563" s="48" t="str"/>
      <c r="W563" s="58" t="str"/>
      <c r="X563" s="42" t="n"/>
      <c r="Y563" s="42" t="n"/>
    </row>
    <row r="564">
      <c r="B564" s="2">
        <f>IF(STUDENTS!B563="","",STUDENTS!B563)</f>
        <v/>
      </c>
      <c r="C564" s="44">
        <f>IFERROR(IF(B564="","",_xlfn.XLOOKUP(B564,STUDENTS!$B$3:$B$1048576,STUDENTS!$C$3:$C$1048576)),"Enter a registered reg. no")</f>
        <v/>
      </c>
      <c r="D564" s="52">
        <f t="array" ref="D564:W564">IF(All_Students_Scores!C562:V562="","",All_Students_Scores!C562:V562)</f>
        <v/>
      </c>
      <c r="E564" s="57" t="str"/>
      <c r="F564" s="66" t="str"/>
      <c r="G564" s="67" t="str"/>
      <c r="H564" s="64" t="str"/>
      <c r="I564" s="65" t="str"/>
      <c r="J564" s="66" t="str"/>
      <c r="K564" s="67" t="str"/>
      <c r="L564" s="41" t="str"/>
      <c r="M564" s="41" t="str"/>
      <c r="N564" s="66" t="str"/>
      <c r="O564" s="67" t="str"/>
      <c r="P564" s="41" t="str"/>
      <c r="Q564" s="41" t="str"/>
      <c r="R564" s="66" t="str"/>
      <c r="S564" s="67" t="str"/>
      <c r="T564" s="41" t="str"/>
      <c r="U564" s="41" t="str"/>
      <c r="V564" s="66" t="str"/>
      <c r="W564" s="67" t="str"/>
    </row>
    <row r="565">
      <c r="B565" s="2">
        <f>IF(STUDENTS!B564="","",STUDENTS!B564)</f>
        <v/>
      </c>
      <c r="C565" s="44">
        <f>IFERROR(IF(B565="","",_xlfn.XLOOKUP(B565,STUDENTS!$B$3:$B$1048576,STUDENTS!$C$3:$C$1048576)),"Enter a registered reg. no")</f>
        <v/>
      </c>
      <c r="D565" s="52">
        <f t="array" ref="D565:W565">IF(All_Students_Scores!C563:V563="","",All_Students_Scores!C563:V563)</f>
        <v/>
      </c>
      <c r="E565" s="55" t="str"/>
      <c r="F565" s="48" t="str"/>
      <c r="G565" s="58" t="str"/>
      <c r="H565" s="62" t="str"/>
      <c r="I565" s="63" t="str"/>
      <c r="J565" s="48" t="str"/>
      <c r="K565" s="58" t="str"/>
      <c r="L565" s="42" t="str"/>
      <c r="M565" s="42" t="str"/>
      <c r="N565" s="48" t="str"/>
      <c r="O565" s="58" t="str"/>
      <c r="P565" s="42" t="str"/>
      <c r="Q565" s="42" t="str"/>
      <c r="R565" s="48" t="str"/>
      <c r="S565" s="58" t="str"/>
      <c r="T565" s="42" t="str"/>
      <c r="U565" s="42" t="str"/>
      <c r="V565" s="48" t="str"/>
      <c r="W565" s="58" t="str"/>
      <c r="X565" s="42" t="n"/>
      <c r="Y565" s="42" t="n"/>
    </row>
    <row r="566">
      <c r="B566" s="2">
        <f>IF(STUDENTS!B565="","",STUDENTS!B565)</f>
        <v/>
      </c>
      <c r="C566" s="44">
        <f>IFERROR(IF(B566="","",_xlfn.XLOOKUP(B566,STUDENTS!$B$3:$B$1048576,STUDENTS!$C$3:$C$1048576)),"Enter a registered reg. no")</f>
        <v/>
      </c>
      <c r="D566" s="52">
        <f t="array" ref="D566:W566">IF(All_Students_Scores!C564:V564="","",All_Students_Scores!C564:V564)</f>
        <v/>
      </c>
      <c r="E566" s="57" t="str"/>
      <c r="F566" s="66" t="str"/>
      <c r="G566" s="67" t="str"/>
      <c r="H566" s="64" t="str"/>
      <c r="I566" s="65" t="str"/>
      <c r="J566" s="66" t="str"/>
      <c r="K566" s="67" t="str"/>
      <c r="L566" s="41" t="str"/>
      <c r="M566" s="41" t="str"/>
      <c r="N566" s="66" t="str"/>
      <c r="O566" s="67" t="str"/>
      <c r="P566" s="41" t="str"/>
      <c r="Q566" s="41" t="str"/>
      <c r="R566" s="66" t="str"/>
      <c r="S566" s="67" t="str"/>
      <c r="T566" s="41" t="str"/>
      <c r="U566" s="41" t="str"/>
      <c r="V566" s="66" t="str"/>
      <c r="W566" s="67" t="str"/>
    </row>
    <row r="567">
      <c r="B567" s="2">
        <f>IF(STUDENTS!B566="","",STUDENTS!B566)</f>
        <v/>
      </c>
      <c r="C567" s="44">
        <f>IFERROR(IF(B567="","",_xlfn.XLOOKUP(B567,STUDENTS!$B$3:$B$1048576,STUDENTS!$C$3:$C$1048576)),"Enter a registered reg. no")</f>
        <v/>
      </c>
      <c r="D567" s="52">
        <f t="array" ref="D567:W567">IF(All_Students_Scores!C565:V565="","",All_Students_Scores!C565:V565)</f>
        <v/>
      </c>
      <c r="E567" s="55" t="str"/>
      <c r="F567" s="48" t="str"/>
      <c r="G567" s="58" t="str"/>
      <c r="H567" s="62" t="str"/>
      <c r="I567" s="63" t="str"/>
      <c r="J567" s="48" t="str"/>
      <c r="K567" s="58" t="str"/>
      <c r="L567" s="42" t="str"/>
      <c r="M567" s="42" t="str"/>
      <c r="N567" s="48" t="str"/>
      <c r="O567" s="58" t="str"/>
      <c r="P567" s="42" t="str"/>
      <c r="Q567" s="42" t="str"/>
      <c r="R567" s="48" t="str"/>
      <c r="S567" s="58" t="str"/>
      <c r="T567" s="42" t="str"/>
      <c r="U567" s="42" t="str"/>
      <c r="V567" s="48" t="str"/>
      <c r="W567" s="58" t="str"/>
      <c r="X567" s="42" t="n"/>
      <c r="Y567" s="42" t="n"/>
    </row>
    <row r="568">
      <c r="B568" s="2">
        <f>IF(STUDENTS!B567="","",STUDENTS!B567)</f>
        <v/>
      </c>
      <c r="C568" s="44">
        <f>IFERROR(IF(B568="","",_xlfn.XLOOKUP(B568,STUDENTS!$B$3:$B$1048576,STUDENTS!$C$3:$C$1048576)),"Enter a registered reg. no")</f>
        <v/>
      </c>
      <c r="D568" s="52">
        <f t="array" ref="D568:W568">IF(All_Students_Scores!C566:V566="","",All_Students_Scores!C566:V566)</f>
        <v/>
      </c>
      <c r="E568" s="57" t="str"/>
      <c r="F568" s="66" t="str"/>
      <c r="G568" s="67" t="str"/>
      <c r="H568" s="64" t="str"/>
      <c r="I568" s="65" t="str"/>
      <c r="J568" s="66" t="str"/>
      <c r="K568" s="67" t="str"/>
      <c r="L568" s="41" t="str"/>
      <c r="M568" s="41" t="str"/>
      <c r="N568" s="66" t="str"/>
      <c r="O568" s="67" t="str"/>
      <c r="P568" s="41" t="str"/>
      <c r="Q568" s="41" t="str"/>
      <c r="R568" s="66" t="str"/>
      <c r="S568" s="67" t="str"/>
      <c r="T568" s="41" t="str"/>
      <c r="U568" s="41" t="str"/>
      <c r="V568" s="66" t="str"/>
      <c r="W568" s="67" t="str"/>
    </row>
    <row r="569">
      <c r="B569" s="2">
        <f>IF(STUDENTS!B568="","",STUDENTS!B568)</f>
        <v/>
      </c>
      <c r="C569" s="44">
        <f>IFERROR(IF(B569="","",_xlfn.XLOOKUP(B569,STUDENTS!$B$3:$B$1048576,STUDENTS!$C$3:$C$1048576)),"Enter a registered reg. no")</f>
        <v/>
      </c>
      <c r="D569" s="52">
        <f t="array" ref="D569:W569">IF(All_Students_Scores!C567:V567="","",All_Students_Scores!C567:V567)</f>
        <v/>
      </c>
      <c r="E569" s="55" t="str"/>
      <c r="F569" s="48" t="str"/>
      <c r="G569" s="58" t="str"/>
      <c r="H569" s="62" t="str"/>
      <c r="I569" s="63" t="str"/>
      <c r="J569" s="48" t="str"/>
      <c r="K569" s="58" t="str"/>
      <c r="L569" s="42" t="str"/>
      <c r="M569" s="42" t="str"/>
      <c r="N569" s="48" t="str"/>
      <c r="O569" s="58" t="str"/>
      <c r="P569" s="42" t="str"/>
      <c r="Q569" s="42" t="str"/>
      <c r="R569" s="48" t="str"/>
      <c r="S569" s="58" t="str"/>
      <c r="T569" s="42" t="str"/>
      <c r="U569" s="42" t="str"/>
      <c r="V569" s="48" t="str"/>
      <c r="W569" s="58" t="str"/>
      <c r="X569" s="42" t="n"/>
      <c r="Y569" s="42" t="n"/>
    </row>
    <row r="570">
      <c r="B570" s="2">
        <f>IF(STUDENTS!B569="","",STUDENTS!B569)</f>
        <v/>
      </c>
      <c r="C570" s="44">
        <f>IFERROR(IF(B570="","",_xlfn.XLOOKUP(B570,STUDENTS!$B$3:$B$1048576,STUDENTS!$C$3:$C$1048576)),"Enter a registered reg. no")</f>
        <v/>
      </c>
      <c r="D570" s="52">
        <f t="array" ref="D570:W570">IF(All_Students_Scores!C568:V568="","",All_Students_Scores!C568:V568)</f>
        <v/>
      </c>
      <c r="E570" s="57" t="str"/>
      <c r="F570" s="66" t="str"/>
      <c r="G570" s="67" t="str"/>
      <c r="H570" s="64" t="str"/>
      <c r="I570" s="65" t="str"/>
      <c r="J570" s="66" t="str"/>
      <c r="K570" s="67" t="str"/>
      <c r="L570" s="41" t="str"/>
      <c r="M570" s="41" t="str"/>
      <c r="N570" s="66" t="str"/>
      <c r="O570" s="67" t="str"/>
      <c r="P570" s="41" t="str"/>
      <c r="Q570" s="41" t="str"/>
      <c r="R570" s="66" t="str"/>
      <c r="S570" s="67" t="str"/>
      <c r="T570" s="41" t="str"/>
      <c r="U570" s="41" t="str"/>
      <c r="V570" s="66" t="str"/>
      <c r="W570" s="67" t="str"/>
    </row>
    <row r="571">
      <c r="B571" s="2">
        <f>IF(STUDENTS!B570="","",STUDENTS!B570)</f>
        <v/>
      </c>
      <c r="C571" s="44">
        <f>IFERROR(IF(B571="","",_xlfn.XLOOKUP(B571,STUDENTS!$B$3:$B$1048576,STUDENTS!$C$3:$C$1048576)),"Enter a registered reg. no")</f>
        <v/>
      </c>
      <c r="D571" s="52">
        <f t="array" ref="D571:W571">IF(All_Students_Scores!C569:V569="","",All_Students_Scores!C569:V569)</f>
        <v/>
      </c>
      <c r="E571" s="55" t="str"/>
      <c r="F571" s="48" t="str"/>
      <c r="G571" s="58" t="str"/>
      <c r="H571" s="62" t="str"/>
      <c r="I571" s="63" t="str"/>
      <c r="J571" s="48" t="str"/>
      <c r="K571" s="58" t="str"/>
      <c r="L571" s="42" t="str"/>
      <c r="M571" s="42" t="str"/>
      <c r="N571" s="48" t="str"/>
      <c r="O571" s="58" t="str"/>
      <c r="P571" s="42" t="str"/>
      <c r="Q571" s="42" t="str"/>
      <c r="R571" s="48" t="str"/>
      <c r="S571" s="58" t="str"/>
      <c r="T571" s="42" t="str"/>
      <c r="U571" s="42" t="str"/>
      <c r="V571" s="48" t="str"/>
      <c r="W571" s="58" t="str"/>
      <c r="X571" s="42" t="n"/>
      <c r="Y571" s="42" t="n"/>
    </row>
    <row r="572">
      <c r="B572" s="2">
        <f>IF(STUDENTS!B571="","",STUDENTS!B571)</f>
        <v/>
      </c>
      <c r="C572" s="44">
        <f>IFERROR(IF(B572="","",_xlfn.XLOOKUP(B572,STUDENTS!$B$3:$B$1048576,STUDENTS!$C$3:$C$1048576)),"Enter a registered reg. no")</f>
        <v/>
      </c>
      <c r="D572" s="52">
        <f t="array" ref="D572:W572">IF(All_Students_Scores!C570:V570="","",All_Students_Scores!C570:V570)</f>
        <v/>
      </c>
      <c r="E572" s="57" t="str"/>
      <c r="F572" s="66" t="str"/>
      <c r="G572" s="67" t="str"/>
      <c r="H572" s="64" t="str"/>
      <c r="I572" s="65" t="str"/>
      <c r="J572" s="66" t="str"/>
      <c r="K572" s="67" t="str"/>
      <c r="L572" s="41" t="str"/>
      <c r="M572" s="41" t="str"/>
      <c r="N572" s="66" t="str"/>
      <c r="O572" s="67" t="str"/>
      <c r="P572" s="41" t="str"/>
      <c r="Q572" s="41" t="str"/>
      <c r="R572" s="66" t="str"/>
      <c r="S572" s="67" t="str"/>
      <c r="T572" s="41" t="str"/>
      <c r="U572" s="41" t="str"/>
      <c r="V572" s="66" t="str"/>
      <c r="W572" s="67" t="str"/>
    </row>
    <row r="573">
      <c r="B573" s="2">
        <f>IF(STUDENTS!B572="","",STUDENTS!B572)</f>
        <v/>
      </c>
      <c r="C573" s="44">
        <f>IFERROR(IF(B573="","",_xlfn.XLOOKUP(B573,STUDENTS!$B$3:$B$1048576,STUDENTS!$C$3:$C$1048576)),"Enter a registered reg. no")</f>
        <v/>
      </c>
      <c r="D573" s="52">
        <f t="array" ref="D573:W573">IF(All_Students_Scores!C571:V571="","",All_Students_Scores!C571:V571)</f>
        <v/>
      </c>
      <c r="E573" s="55" t="str"/>
      <c r="F573" s="48" t="str"/>
      <c r="G573" s="58" t="str"/>
      <c r="H573" s="62" t="str"/>
      <c r="I573" s="63" t="str"/>
      <c r="J573" s="48" t="str"/>
      <c r="K573" s="58" t="str"/>
      <c r="L573" s="42" t="str"/>
      <c r="M573" s="42" t="str"/>
      <c r="N573" s="48" t="str"/>
      <c r="O573" s="58" t="str"/>
      <c r="P573" s="42" t="str"/>
      <c r="Q573" s="42" t="str"/>
      <c r="R573" s="48" t="str"/>
      <c r="S573" s="58" t="str"/>
      <c r="T573" s="42" t="str"/>
      <c r="U573" s="42" t="str"/>
      <c r="V573" s="48" t="str"/>
      <c r="W573" s="58" t="str"/>
      <c r="X573" s="42" t="n"/>
      <c r="Y573" s="42" t="n"/>
    </row>
    <row r="574">
      <c r="B574" s="2">
        <f>IF(STUDENTS!B573="","",STUDENTS!B573)</f>
        <v/>
      </c>
      <c r="C574" s="44">
        <f>IFERROR(IF(B574="","",_xlfn.XLOOKUP(B574,STUDENTS!$B$3:$B$1048576,STUDENTS!$C$3:$C$1048576)),"Enter a registered reg. no")</f>
        <v/>
      </c>
      <c r="D574" s="52">
        <f t="array" ref="D574:W574">IF(All_Students_Scores!C572:V572="","",All_Students_Scores!C572:V572)</f>
        <v/>
      </c>
      <c r="E574" s="57" t="str"/>
      <c r="F574" s="66" t="str"/>
      <c r="G574" s="67" t="str"/>
      <c r="H574" s="64" t="str"/>
      <c r="I574" s="65" t="str"/>
      <c r="J574" s="66" t="str"/>
      <c r="K574" s="67" t="str"/>
      <c r="L574" s="41" t="str"/>
      <c r="M574" s="41" t="str"/>
      <c r="N574" s="66" t="str"/>
      <c r="O574" s="67" t="str"/>
      <c r="P574" s="41" t="str"/>
      <c r="Q574" s="41" t="str"/>
      <c r="R574" s="66" t="str"/>
      <c r="S574" s="67" t="str"/>
      <c r="T574" s="41" t="str"/>
      <c r="U574" s="41" t="str"/>
      <c r="V574" s="66" t="str"/>
      <c r="W574" s="67" t="str"/>
    </row>
    <row r="575">
      <c r="B575" s="2">
        <f>IF(STUDENTS!B574="","",STUDENTS!B574)</f>
        <v/>
      </c>
      <c r="C575" s="44">
        <f>IFERROR(IF(B575="","",_xlfn.XLOOKUP(B575,STUDENTS!$B$3:$B$1048576,STUDENTS!$C$3:$C$1048576)),"Enter a registered reg. no")</f>
        <v/>
      </c>
      <c r="D575" s="52">
        <f t="array" ref="D575:W575">IF(All_Students_Scores!C573:V573="","",All_Students_Scores!C573:V573)</f>
        <v/>
      </c>
      <c r="E575" s="55" t="str"/>
      <c r="F575" s="48" t="str"/>
      <c r="G575" s="58" t="str"/>
      <c r="H575" s="62" t="str"/>
      <c r="I575" s="63" t="str"/>
      <c r="J575" s="48" t="str"/>
      <c r="K575" s="58" t="str"/>
      <c r="L575" s="42" t="str"/>
      <c r="M575" s="42" t="str"/>
      <c r="N575" s="48" t="str"/>
      <c r="O575" s="58" t="str"/>
      <c r="P575" s="42" t="str"/>
      <c r="Q575" s="42" t="str"/>
      <c r="R575" s="48" t="str"/>
      <c r="S575" s="58" t="str"/>
      <c r="T575" s="42" t="str"/>
      <c r="U575" s="42" t="str"/>
      <c r="V575" s="48" t="str"/>
      <c r="W575" s="58" t="str"/>
      <c r="X575" s="42" t="n"/>
      <c r="Y575" s="42" t="n"/>
    </row>
    <row r="576">
      <c r="B576" s="2">
        <f>IF(STUDENTS!B575="","",STUDENTS!B575)</f>
        <v/>
      </c>
      <c r="C576" s="44">
        <f>IFERROR(IF(B576="","",_xlfn.XLOOKUP(B576,STUDENTS!$B$3:$B$1048576,STUDENTS!$C$3:$C$1048576)),"Enter a registered reg. no")</f>
        <v/>
      </c>
      <c r="D576" s="52">
        <f t="array" ref="D576:W576">IF(All_Students_Scores!C574:V574="","",All_Students_Scores!C574:V574)</f>
        <v/>
      </c>
      <c r="E576" s="57" t="str"/>
      <c r="F576" s="66" t="str"/>
      <c r="G576" s="67" t="str"/>
      <c r="H576" s="64" t="str"/>
      <c r="I576" s="65" t="str"/>
      <c r="J576" s="66" t="str"/>
      <c r="K576" s="67" t="str"/>
      <c r="L576" s="41" t="str"/>
      <c r="M576" s="41" t="str"/>
      <c r="N576" s="66" t="str"/>
      <c r="O576" s="67" t="str"/>
      <c r="P576" s="41" t="str"/>
      <c r="Q576" s="41" t="str"/>
      <c r="R576" s="66" t="str"/>
      <c r="S576" s="67" t="str"/>
      <c r="T576" s="41" t="str"/>
      <c r="U576" s="41" t="str"/>
      <c r="V576" s="66" t="str"/>
      <c r="W576" s="67" t="str"/>
    </row>
    <row r="577">
      <c r="B577" s="2">
        <f>IF(STUDENTS!B576="","",STUDENTS!B576)</f>
        <v/>
      </c>
      <c r="C577" s="44">
        <f>IFERROR(IF(B577="","",_xlfn.XLOOKUP(B577,STUDENTS!$B$3:$B$1048576,STUDENTS!$C$3:$C$1048576)),"Enter a registered reg. no")</f>
        <v/>
      </c>
      <c r="D577" s="52">
        <f t="array" ref="D577:W577">IF(All_Students_Scores!C575:V575="","",All_Students_Scores!C575:V575)</f>
        <v/>
      </c>
      <c r="E577" s="55" t="str"/>
      <c r="F577" s="48" t="str"/>
      <c r="G577" s="58" t="str"/>
      <c r="H577" s="62" t="str"/>
      <c r="I577" s="63" t="str"/>
      <c r="J577" s="48" t="str"/>
      <c r="K577" s="58" t="str"/>
      <c r="L577" s="42" t="str"/>
      <c r="M577" s="42" t="str"/>
      <c r="N577" s="48" t="str"/>
      <c r="O577" s="58" t="str"/>
      <c r="P577" s="42" t="str"/>
      <c r="Q577" s="42" t="str"/>
      <c r="R577" s="48" t="str"/>
      <c r="S577" s="58" t="str"/>
      <c r="T577" s="42" t="str"/>
      <c r="U577" s="42" t="str"/>
      <c r="V577" s="48" t="str"/>
      <c r="W577" s="58" t="str"/>
      <c r="X577" s="42" t="n"/>
      <c r="Y577" s="42" t="n"/>
    </row>
    <row r="578">
      <c r="B578" s="2">
        <f>IF(STUDENTS!B577="","",STUDENTS!B577)</f>
        <v/>
      </c>
      <c r="C578" s="44">
        <f>IFERROR(IF(B578="","",_xlfn.XLOOKUP(B578,STUDENTS!$B$3:$B$1048576,STUDENTS!$C$3:$C$1048576)),"Enter a registered reg. no")</f>
        <v/>
      </c>
      <c r="D578" s="52">
        <f t="array" ref="D578:W578">IF(All_Students_Scores!C576:V576="","",All_Students_Scores!C576:V576)</f>
        <v/>
      </c>
      <c r="E578" s="57" t="str"/>
      <c r="F578" s="66" t="str"/>
      <c r="G578" s="67" t="str"/>
      <c r="H578" s="64" t="str"/>
      <c r="I578" s="65" t="str"/>
      <c r="J578" s="66" t="str"/>
      <c r="K578" s="67" t="str"/>
      <c r="L578" s="41" t="str"/>
      <c r="M578" s="41" t="str"/>
      <c r="N578" s="66" t="str"/>
      <c r="O578" s="67" t="str"/>
      <c r="P578" s="41" t="str"/>
      <c r="Q578" s="41" t="str"/>
      <c r="R578" s="66" t="str"/>
      <c r="S578" s="67" t="str"/>
      <c r="T578" s="41" t="str"/>
      <c r="U578" s="41" t="str"/>
      <c r="V578" s="66" t="str"/>
      <c r="W578" s="67" t="str"/>
    </row>
    <row r="579">
      <c r="B579" s="2">
        <f>IF(STUDENTS!B578="","",STUDENTS!B578)</f>
        <v/>
      </c>
      <c r="C579" s="44">
        <f>IFERROR(IF(B579="","",_xlfn.XLOOKUP(B579,STUDENTS!$B$3:$B$1048576,STUDENTS!$C$3:$C$1048576)),"Enter a registered reg. no")</f>
        <v/>
      </c>
      <c r="D579" s="52">
        <f t="array" ref="D579:W579">IF(All_Students_Scores!C577:V577="","",All_Students_Scores!C577:V577)</f>
        <v/>
      </c>
      <c r="E579" s="55" t="str"/>
      <c r="F579" s="48" t="str"/>
      <c r="G579" s="58" t="str"/>
      <c r="H579" s="62" t="str"/>
      <c r="I579" s="63" t="str"/>
      <c r="J579" s="48" t="str"/>
      <c r="K579" s="58" t="str"/>
      <c r="L579" s="42" t="str"/>
      <c r="M579" s="42" t="str"/>
      <c r="N579" s="48" t="str"/>
      <c r="O579" s="58" t="str"/>
      <c r="P579" s="42" t="str"/>
      <c r="Q579" s="42" t="str"/>
      <c r="R579" s="48" t="str"/>
      <c r="S579" s="58" t="str"/>
      <c r="T579" s="42" t="str"/>
      <c r="U579" s="42" t="str"/>
      <c r="V579" s="48" t="str"/>
      <c r="W579" s="58" t="str"/>
      <c r="X579" s="42" t="n"/>
      <c r="Y579" s="42" t="n"/>
    </row>
    <row r="580">
      <c r="B580" s="2">
        <f>IF(STUDENTS!B579="","",STUDENTS!B579)</f>
        <v/>
      </c>
      <c r="C580" s="44">
        <f>IFERROR(IF(B580="","",_xlfn.XLOOKUP(B580,STUDENTS!$B$3:$B$1048576,STUDENTS!$C$3:$C$1048576)),"Enter a registered reg. no")</f>
        <v/>
      </c>
      <c r="D580" s="52">
        <f t="array" ref="D580:W580">IF(All_Students_Scores!C578:V578="","",All_Students_Scores!C578:V578)</f>
        <v/>
      </c>
      <c r="E580" s="57" t="str"/>
      <c r="F580" s="66" t="str"/>
      <c r="G580" s="67" t="str"/>
      <c r="H580" s="64" t="str"/>
      <c r="I580" s="65" t="str"/>
      <c r="J580" s="66" t="str"/>
      <c r="K580" s="67" t="str"/>
      <c r="L580" s="41" t="str"/>
      <c r="M580" s="41" t="str"/>
      <c r="N580" s="66" t="str"/>
      <c r="O580" s="67" t="str"/>
      <c r="P580" s="41" t="str"/>
      <c r="Q580" s="41" t="str"/>
      <c r="R580" s="66" t="str"/>
      <c r="S580" s="67" t="str"/>
      <c r="T580" s="41" t="str"/>
      <c r="U580" s="41" t="str"/>
      <c r="V580" s="66" t="str"/>
      <c r="W580" s="67" t="str"/>
    </row>
    <row r="581">
      <c r="B581" s="2">
        <f>IF(STUDENTS!B580="","",STUDENTS!B580)</f>
        <v/>
      </c>
      <c r="C581" s="44">
        <f>IFERROR(IF(B581="","",_xlfn.XLOOKUP(B581,STUDENTS!$B$3:$B$1048576,STUDENTS!$C$3:$C$1048576)),"Enter a registered reg. no")</f>
        <v/>
      </c>
      <c r="D581" s="52">
        <f t="array" ref="D581:W581">IF(All_Students_Scores!C579:V579="","",All_Students_Scores!C579:V579)</f>
        <v/>
      </c>
      <c r="E581" s="55" t="str"/>
      <c r="F581" s="48" t="str"/>
      <c r="G581" s="58" t="str"/>
      <c r="H581" s="62" t="str"/>
      <c r="I581" s="63" t="str"/>
      <c r="J581" s="48" t="str"/>
      <c r="K581" s="58" t="str"/>
      <c r="L581" s="42" t="str"/>
      <c r="M581" s="42" t="str"/>
      <c r="N581" s="48" t="str"/>
      <c r="O581" s="58" t="str"/>
      <c r="P581" s="42" t="str"/>
      <c r="Q581" s="42" t="str"/>
      <c r="R581" s="48" t="str"/>
      <c r="S581" s="58" t="str"/>
      <c r="T581" s="42" t="str"/>
      <c r="U581" s="42" t="str"/>
      <c r="V581" s="48" t="str"/>
      <c r="W581" s="58" t="str"/>
      <c r="X581" s="42" t="n"/>
      <c r="Y581" s="42" t="n"/>
    </row>
    <row r="582">
      <c r="B582" s="2">
        <f>IF(STUDENTS!B581="","",STUDENTS!B581)</f>
        <v/>
      </c>
      <c r="C582" s="44">
        <f>IFERROR(IF(B582="","",_xlfn.XLOOKUP(B582,STUDENTS!$B$3:$B$1048576,STUDENTS!$C$3:$C$1048576)),"Enter a registered reg. no")</f>
        <v/>
      </c>
      <c r="D582" s="52">
        <f t="array" ref="D582:W582">IF(All_Students_Scores!C580:V580="","",All_Students_Scores!C580:V580)</f>
        <v/>
      </c>
      <c r="E582" s="57" t="str"/>
      <c r="F582" s="66" t="str"/>
      <c r="G582" s="67" t="str"/>
      <c r="H582" s="64" t="str"/>
      <c r="I582" s="65" t="str"/>
      <c r="J582" s="66" t="str"/>
      <c r="K582" s="67" t="str"/>
      <c r="L582" s="41" t="str"/>
      <c r="M582" s="41" t="str"/>
      <c r="N582" s="66" t="str"/>
      <c r="O582" s="67" t="str"/>
      <c r="P582" s="41" t="str"/>
      <c r="Q582" s="41" t="str"/>
      <c r="R582" s="66" t="str"/>
      <c r="S582" s="67" t="str"/>
      <c r="T582" s="41" t="str"/>
      <c r="U582" s="41" t="str"/>
      <c r="V582" s="66" t="str"/>
      <c r="W582" s="67" t="str"/>
    </row>
    <row r="583">
      <c r="B583" s="2">
        <f>IF(STUDENTS!B582="","",STUDENTS!B582)</f>
        <v/>
      </c>
      <c r="C583" s="44">
        <f>IFERROR(IF(B583="","",_xlfn.XLOOKUP(B583,STUDENTS!$B$3:$B$1048576,STUDENTS!$C$3:$C$1048576)),"Enter a registered reg. no")</f>
        <v/>
      </c>
      <c r="D583" s="52">
        <f t="array" ref="D583:W583">IF(All_Students_Scores!C581:V581="","",All_Students_Scores!C581:V581)</f>
        <v/>
      </c>
      <c r="E583" s="55" t="str"/>
      <c r="F583" s="48" t="str"/>
      <c r="G583" s="58" t="str"/>
      <c r="H583" s="62" t="str"/>
      <c r="I583" s="63" t="str"/>
      <c r="J583" s="48" t="str"/>
      <c r="K583" s="58" t="str"/>
      <c r="L583" s="42" t="str"/>
      <c r="M583" s="42" t="str"/>
      <c r="N583" s="48" t="str"/>
      <c r="O583" s="58" t="str"/>
      <c r="P583" s="42" t="str"/>
      <c r="Q583" s="42" t="str"/>
      <c r="R583" s="48" t="str"/>
      <c r="S583" s="58" t="str"/>
      <c r="T583" s="42" t="str"/>
      <c r="U583" s="42" t="str"/>
      <c r="V583" s="48" t="str"/>
      <c r="W583" s="58" t="str"/>
      <c r="X583" s="42" t="n"/>
      <c r="Y583" s="42" t="n"/>
    </row>
    <row r="584">
      <c r="B584" s="2">
        <f>IF(STUDENTS!B583="","",STUDENTS!B583)</f>
        <v/>
      </c>
      <c r="C584" s="44">
        <f>IFERROR(IF(B584="","",_xlfn.XLOOKUP(B584,STUDENTS!$B$3:$B$1048576,STUDENTS!$C$3:$C$1048576)),"Enter a registered reg. no")</f>
        <v/>
      </c>
      <c r="D584" s="52">
        <f t="array" ref="D584:W584">IF(All_Students_Scores!C582:V582="","",All_Students_Scores!C582:V582)</f>
        <v/>
      </c>
      <c r="E584" s="57" t="str"/>
      <c r="F584" s="66" t="str"/>
      <c r="G584" s="67" t="str"/>
      <c r="H584" s="64" t="str"/>
      <c r="I584" s="65" t="str"/>
      <c r="J584" s="66" t="str"/>
      <c r="K584" s="67" t="str"/>
      <c r="L584" s="41" t="str"/>
      <c r="M584" s="41" t="str"/>
      <c r="N584" s="66" t="str"/>
      <c r="O584" s="67" t="str"/>
      <c r="P584" s="41" t="str"/>
      <c r="Q584" s="41" t="str"/>
      <c r="R584" s="66" t="str"/>
      <c r="S584" s="67" t="str"/>
      <c r="T584" s="41" t="str"/>
      <c r="U584" s="41" t="str"/>
      <c r="V584" s="66" t="str"/>
      <c r="W584" s="67" t="str"/>
    </row>
    <row r="585">
      <c r="B585" s="2">
        <f>IF(STUDENTS!B584="","",STUDENTS!B584)</f>
        <v/>
      </c>
      <c r="C585" s="44">
        <f>IFERROR(IF(B585="","",_xlfn.XLOOKUP(B585,STUDENTS!$B$3:$B$1048576,STUDENTS!$C$3:$C$1048576)),"Enter a registered reg. no")</f>
        <v/>
      </c>
      <c r="D585" s="52">
        <f t="array" ref="D585:W585">IF(All_Students_Scores!C583:V583="","",All_Students_Scores!C583:V583)</f>
        <v/>
      </c>
      <c r="E585" s="55" t="str"/>
      <c r="F585" s="48" t="str"/>
      <c r="G585" s="58" t="str"/>
      <c r="H585" s="62" t="str"/>
      <c r="I585" s="63" t="str"/>
      <c r="J585" s="48" t="str"/>
      <c r="K585" s="58" t="str"/>
      <c r="L585" s="42" t="str"/>
      <c r="M585" s="42" t="str"/>
      <c r="N585" s="48" t="str"/>
      <c r="O585" s="58" t="str"/>
      <c r="P585" s="42" t="str"/>
      <c r="Q585" s="42" t="str"/>
      <c r="R585" s="48" t="str"/>
      <c r="S585" s="58" t="str"/>
      <c r="T585" s="42" t="str"/>
      <c r="U585" s="42" t="str"/>
      <c r="V585" s="48" t="str"/>
      <c r="W585" s="58" t="str"/>
      <c r="X585" s="42" t="n"/>
      <c r="Y585" s="42" t="n"/>
    </row>
    <row r="586">
      <c r="B586" s="2">
        <f>IF(STUDENTS!B585="","",STUDENTS!B585)</f>
        <v/>
      </c>
      <c r="C586" s="44">
        <f>IFERROR(IF(B586="","",_xlfn.XLOOKUP(B586,STUDENTS!$B$3:$B$1048576,STUDENTS!$C$3:$C$1048576)),"Enter a registered reg. no")</f>
        <v/>
      </c>
      <c r="D586" s="52">
        <f t="array" ref="D586:W586">IF(All_Students_Scores!C584:V584="","",All_Students_Scores!C584:V584)</f>
        <v/>
      </c>
      <c r="E586" s="57" t="str"/>
      <c r="F586" s="66" t="str"/>
      <c r="G586" s="67" t="str"/>
      <c r="H586" s="64" t="str"/>
      <c r="I586" s="65" t="str"/>
      <c r="J586" s="66" t="str"/>
      <c r="K586" s="67" t="str"/>
      <c r="L586" s="41" t="str"/>
      <c r="M586" s="41" t="str"/>
      <c r="N586" s="66" t="str"/>
      <c r="O586" s="67" t="str"/>
      <c r="P586" s="41" t="str"/>
      <c r="Q586" s="41" t="str"/>
      <c r="R586" s="66" t="str"/>
      <c r="S586" s="67" t="str"/>
      <c r="T586" s="41" t="str"/>
      <c r="U586" s="41" t="str"/>
      <c r="V586" s="66" t="str"/>
      <c r="W586" s="67" t="str"/>
    </row>
    <row r="587">
      <c r="B587" s="2">
        <f>IF(STUDENTS!B586="","",STUDENTS!B586)</f>
        <v/>
      </c>
      <c r="C587" s="44">
        <f>IFERROR(IF(B587="","",_xlfn.XLOOKUP(B587,STUDENTS!$B$3:$B$1048576,STUDENTS!$C$3:$C$1048576)),"Enter a registered reg. no")</f>
        <v/>
      </c>
      <c r="D587" s="52">
        <f t="array" ref="D587:W587">IF(All_Students_Scores!C585:V585="","",All_Students_Scores!C585:V585)</f>
        <v/>
      </c>
      <c r="E587" s="55" t="str"/>
      <c r="F587" s="48" t="str"/>
      <c r="G587" s="58" t="str"/>
      <c r="H587" s="62" t="str"/>
      <c r="I587" s="63" t="str"/>
      <c r="J587" s="48" t="str"/>
      <c r="K587" s="58" t="str"/>
      <c r="L587" s="42" t="str"/>
      <c r="M587" s="42" t="str"/>
      <c r="N587" s="48" t="str"/>
      <c r="O587" s="58" t="str"/>
      <c r="P587" s="42" t="str"/>
      <c r="Q587" s="42" t="str"/>
      <c r="R587" s="48" t="str"/>
      <c r="S587" s="58" t="str"/>
      <c r="T587" s="42" t="str"/>
      <c r="U587" s="42" t="str"/>
      <c r="V587" s="48" t="str"/>
      <c r="W587" s="58" t="str"/>
      <c r="X587" s="42" t="n"/>
      <c r="Y587" s="42" t="n"/>
    </row>
    <row r="588">
      <c r="B588" s="2">
        <f>IF(STUDENTS!B587="","",STUDENTS!B587)</f>
        <v/>
      </c>
      <c r="C588" s="44">
        <f>IFERROR(IF(B588="","",_xlfn.XLOOKUP(B588,STUDENTS!$B$3:$B$1048576,STUDENTS!$C$3:$C$1048576)),"Enter a registered reg. no")</f>
        <v/>
      </c>
      <c r="D588" s="52">
        <f t="array" ref="D588:W588">IF(All_Students_Scores!C586:V586="","",All_Students_Scores!C586:V586)</f>
        <v/>
      </c>
      <c r="E588" s="57" t="str"/>
      <c r="F588" s="66" t="str"/>
      <c r="G588" s="67" t="str"/>
      <c r="H588" s="64" t="str"/>
      <c r="I588" s="65" t="str"/>
      <c r="J588" s="66" t="str"/>
      <c r="K588" s="67" t="str"/>
      <c r="L588" s="41" t="str"/>
      <c r="M588" s="41" t="str"/>
      <c r="N588" s="66" t="str"/>
      <c r="O588" s="67" t="str"/>
      <c r="P588" s="41" t="str"/>
      <c r="Q588" s="41" t="str"/>
      <c r="R588" s="66" t="str"/>
      <c r="S588" s="67" t="str"/>
      <c r="T588" s="41" t="str"/>
      <c r="U588" s="41" t="str"/>
      <c r="V588" s="66" t="str"/>
      <c r="W588" s="67" t="str"/>
    </row>
    <row r="589">
      <c r="B589" s="2">
        <f>IF(STUDENTS!B588="","",STUDENTS!B588)</f>
        <v/>
      </c>
      <c r="C589" s="44">
        <f>IFERROR(IF(B589="","",_xlfn.XLOOKUP(B589,STUDENTS!$B$3:$B$1048576,STUDENTS!$C$3:$C$1048576)),"Enter a registered reg. no")</f>
        <v/>
      </c>
      <c r="D589" s="52">
        <f t="array" ref="D589:W589">IF(All_Students_Scores!C587:V587="","",All_Students_Scores!C587:V587)</f>
        <v/>
      </c>
      <c r="E589" s="55" t="str"/>
      <c r="F589" s="48" t="str"/>
      <c r="G589" s="58" t="str"/>
      <c r="H589" s="62" t="str"/>
      <c r="I589" s="63" t="str"/>
      <c r="J589" s="48" t="str"/>
      <c r="K589" s="58" t="str"/>
      <c r="L589" s="42" t="str"/>
      <c r="M589" s="42" t="str"/>
      <c r="N589" s="48" t="str"/>
      <c r="O589" s="58" t="str"/>
      <c r="P589" s="42" t="str"/>
      <c r="Q589" s="42" t="str"/>
      <c r="R589" s="48" t="str"/>
      <c r="S589" s="58" t="str"/>
      <c r="T589" s="42" t="str"/>
      <c r="U589" s="42" t="str"/>
      <c r="V589" s="48" t="str"/>
      <c r="W589" s="58" t="str"/>
      <c r="X589" s="42" t="n"/>
      <c r="Y589" s="42" t="n"/>
    </row>
    <row r="590">
      <c r="B590" s="2">
        <f>IF(STUDENTS!B589="","",STUDENTS!B589)</f>
        <v/>
      </c>
      <c r="C590" s="44">
        <f>IFERROR(IF(B590="","",_xlfn.XLOOKUP(B590,STUDENTS!$B$3:$B$1048576,STUDENTS!$C$3:$C$1048576)),"Enter a registered reg. no")</f>
        <v/>
      </c>
      <c r="D590" s="52">
        <f t="array" ref="D590:W590">IF(All_Students_Scores!C588:V588="","",All_Students_Scores!C588:V588)</f>
        <v/>
      </c>
      <c r="E590" s="57" t="str"/>
      <c r="F590" s="66" t="str"/>
      <c r="G590" s="67" t="str"/>
      <c r="H590" s="64" t="str"/>
      <c r="I590" s="65" t="str"/>
      <c r="J590" s="66" t="str"/>
      <c r="K590" s="67" t="str"/>
      <c r="L590" s="41" t="str"/>
      <c r="M590" s="41" t="str"/>
      <c r="N590" s="66" t="str"/>
      <c r="O590" s="67" t="str"/>
      <c r="P590" s="41" t="str"/>
      <c r="Q590" s="41" t="str"/>
      <c r="R590" s="66" t="str"/>
      <c r="S590" s="67" t="str"/>
      <c r="T590" s="41" t="str"/>
      <c r="U590" s="41" t="str"/>
      <c r="V590" s="66" t="str"/>
      <c r="W590" s="67" t="str"/>
    </row>
    <row r="591">
      <c r="B591" s="2">
        <f>IF(STUDENTS!B590="","",STUDENTS!B590)</f>
        <v/>
      </c>
      <c r="C591" s="44">
        <f>IFERROR(IF(B591="","",_xlfn.XLOOKUP(B591,STUDENTS!$B$3:$B$1048576,STUDENTS!$C$3:$C$1048576)),"Enter a registered reg. no")</f>
        <v/>
      </c>
      <c r="D591" s="52">
        <f t="array" ref="D591:W591">IF(All_Students_Scores!C589:V589="","",All_Students_Scores!C589:V589)</f>
        <v/>
      </c>
      <c r="E591" s="55" t="str"/>
      <c r="F591" s="48" t="str"/>
      <c r="G591" s="58" t="str"/>
      <c r="H591" s="62" t="str"/>
      <c r="I591" s="63" t="str"/>
      <c r="J591" s="48" t="str"/>
      <c r="K591" s="58" t="str"/>
      <c r="L591" s="42" t="str"/>
      <c r="M591" s="42" t="str"/>
      <c r="N591" s="48" t="str"/>
      <c r="O591" s="58" t="str"/>
      <c r="P591" s="42" t="str"/>
      <c r="Q591" s="42" t="str"/>
      <c r="R591" s="48" t="str"/>
      <c r="S591" s="58" t="str"/>
      <c r="T591" s="42" t="str"/>
      <c r="U591" s="42" t="str"/>
      <c r="V591" s="48" t="str"/>
      <c r="W591" s="58" t="str"/>
      <c r="X591" s="42" t="n"/>
      <c r="Y591" s="42" t="n"/>
    </row>
    <row r="592">
      <c r="B592" s="2">
        <f>IF(STUDENTS!B591="","",STUDENTS!B591)</f>
        <v/>
      </c>
      <c r="C592" s="44">
        <f>IFERROR(IF(B592="","",_xlfn.XLOOKUP(B592,STUDENTS!$B$3:$B$1048576,STUDENTS!$C$3:$C$1048576)),"Enter a registered reg. no")</f>
        <v/>
      </c>
      <c r="D592" s="52">
        <f t="array" ref="D592:W592">IF(All_Students_Scores!C590:V590="","",All_Students_Scores!C590:V590)</f>
        <v/>
      </c>
      <c r="E592" s="57" t="str"/>
      <c r="F592" s="66" t="str"/>
      <c r="G592" s="67" t="str"/>
      <c r="H592" s="64" t="str"/>
      <c r="I592" s="65" t="str"/>
      <c r="J592" s="66" t="str"/>
      <c r="K592" s="67" t="str"/>
      <c r="L592" s="41" t="str"/>
      <c r="M592" s="41" t="str"/>
      <c r="N592" s="66" t="str"/>
      <c r="O592" s="67" t="str"/>
      <c r="P592" s="41" t="str"/>
      <c r="Q592" s="41" t="str"/>
      <c r="R592" s="66" t="str"/>
      <c r="S592" s="67" t="str"/>
      <c r="T592" s="41" t="str"/>
      <c r="U592" s="41" t="str"/>
      <c r="V592" s="66" t="str"/>
      <c r="W592" s="67" t="str"/>
    </row>
    <row r="593">
      <c r="B593" s="2">
        <f>IF(STUDENTS!B592="","",STUDENTS!B592)</f>
        <v/>
      </c>
      <c r="C593" s="44">
        <f>IFERROR(IF(B593="","",_xlfn.XLOOKUP(B593,STUDENTS!$B$3:$B$1048576,STUDENTS!$C$3:$C$1048576)),"Enter a registered reg. no")</f>
        <v/>
      </c>
      <c r="D593" s="52">
        <f t="array" ref="D593:W593">IF(All_Students_Scores!C591:V591="","",All_Students_Scores!C591:V591)</f>
        <v/>
      </c>
      <c r="E593" s="55" t="str"/>
      <c r="F593" s="48" t="str"/>
      <c r="G593" s="58" t="str"/>
      <c r="H593" s="62" t="str"/>
      <c r="I593" s="63" t="str"/>
      <c r="J593" s="48" t="str"/>
      <c r="K593" s="58" t="str"/>
      <c r="L593" s="42" t="str"/>
      <c r="M593" s="42" t="str"/>
      <c r="N593" s="48" t="str"/>
      <c r="O593" s="58" t="str"/>
      <c r="P593" s="42" t="str"/>
      <c r="Q593" s="42" t="str"/>
      <c r="R593" s="48" t="str"/>
      <c r="S593" s="58" t="str"/>
      <c r="T593" s="42" t="str"/>
      <c r="U593" s="42" t="str"/>
      <c r="V593" s="48" t="str"/>
      <c r="W593" s="58" t="str"/>
      <c r="X593" s="42" t="n"/>
      <c r="Y593" s="42" t="n"/>
    </row>
    <row r="594">
      <c r="B594" s="2">
        <f>IF(STUDENTS!B593="","",STUDENTS!B593)</f>
        <v/>
      </c>
      <c r="C594" s="44">
        <f>IFERROR(IF(B594="","",_xlfn.XLOOKUP(B594,STUDENTS!$B$3:$B$1048576,STUDENTS!$C$3:$C$1048576)),"Enter a registered reg. no")</f>
        <v/>
      </c>
      <c r="D594" s="52">
        <f t="array" ref="D594:W594">IF(All_Students_Scores!C592:V592="","",All_Students_Scores!C592:V592)</f>
        <v/>
      </c>
      <c r="E594" s="57" t="str"/>
      <c r="F594" s="66" t="str"/>
      <c r="G594" s="67" t="str"/>
      <c r="H594" s="64" t="str"/>
      <c r="I594" s="65" t="str"/>
      <c r="J594" s="66" t="str"/>
      <c r="K594" s="67" t="str"/>
      <c r="L594" s="41" t="str"/>
      <c r="M594" s="41" t="str"/>
      <c r="N594" s="66" t="str"/>
      <c r="O594" s="67" t="str"/>
      <c r="P594" s="41" t="str"/>
      <c r="Q594" s="41" t="str"/>
      <c r="R594" s="66" t="str"/>
      <c r="S594" s="67" t="str"/>
      <c r="T594" s="41" t="str"/>
      <c r="U594" s="41" t="str"/>
      <c r="V594" s="66" t="str"/>
      <c r="W594" s="67" t="str"/>
    </row>
    <row r="595">
      <c r="B595" s="2">
        <f>IF(STUDENTS!B594="","",STUDENTS!B594)</f>
        <v/>
      </c>
      <c r="C595" s="44">
        <f>IFERROR(IF(B595="","",_xlfn.XLOOKUP(B595,STUDENTS!$B$3:$B$1048576,STUDENTS!$C$3:$C$1048576)),"Enter a registered reg. no")</f>
        <v/>
      </c>
      <c r="D595" s="52">
        <f t="array" ref="D595:W595">IF(All_Students_Scores!C593:V593="","",All_Students_Scores!C593:V593)</f>
        <v/>
      </c>
      <c r="E595" s="55" t="str"/>
      <c r="F595" s="48" t="str"/>
      <c r="G595" s="58" t="str"/>
      <c r="H595" s="62" t="str"/>
      <c r="I595" s="63" t="str"/>
      <c r="J595" s="48" t="str"/>
      <c r="K595" s="58" t="str"/>
      <c r="L595" s="42" t="str"/>
      <c r="M595" s="42" t="str"/>
      <c r="N595" s="48" t="str"/>
      <c r="O595" s="58" t="str"/>
      <c r="P595" s="42" t="str"/>
      <c r="Q595" s="42" t="str"/>
      <c r="R595" s="48" t="str"/>
      <c r="S595" s="58" t="str"/>
      <c r="T595" s="42" t="str"/>
      <c r="U595" s="42" t="str"/>
      <c r="V595" s="48" t="str"/>
      <c r="W595" s="58" t="str"/>
      <c r="X595" s="42" t="n"/>
      <c r="Y595" s="42" t="n"/>
    </row>
    <row r="596">
      <c r="B596" s="2">
        <f>IF(STUDENTS!B595="","",STUDENTS!B595)</f>
        <v/>
      </c>
      <c r="C596" s="44">
        <f>IFERROR(IF(B596="","",_xlfn.XLOOKUP(B596,STUDENTS!$B$3:$B$1048576,STUDENTS!$C$3:$C$1048576)),"Enter a registered reg. no")</f>
        <v/>
      </c>
      <c r="D596" s="52">
        <f t="array" ref="D596:W596">IF(All_Students_Scores!C594:V594="","",All_Students_Scores!C594:V594)</f>
        <v/>
      </c>
      <c r="E596" s="57" t="str"/>
      <c r="F596" s="66" t="str"/>
      <c r="G596" s="67" t="str"/>
      <c r="H596" s="64" t="str"/>
      <c r="I596" s="65" t="str"/>
      <c r="J596" s="66" t="str"/>
      <c r="K596" s="67" t="str"/>
      <c r="L596" s="41" t="str"/>
      <c r="M596" s="41" t="str"/>
      <c r="N596" s="66" t="str"/>
      <c r="O596" s="67" t="str"/>
      <c r="P596" s="41" t="str"/>
      <c r="Q596" s="41" t="str"/>
      <c r="R596" s="66" t="str"/>
      <c r="S596" s="67" t="str"/>
      <c r="T596" s="41" t="str"/>
      <c r="U596" s="41" t="str"/>
      <c r="V596" s="66" t="str"/>
      <c r="W596" s="67" t="str"/>
    </row>
    <row r="597">
      <c r="B597" s="2">
        <f>IF(STUDENTS!B596="","",STUDENTS!B596)</f>
        <v/>
      </c>
      <c r="C597" s="44">
        <f>IFERROR(IF(B597="","",_xlfn.XLOOKUP(B597,STUDENTS!$B$3:$B$1048576,STUDENTS!$C$3:$C$1048576)),"Enter a registered reg. no")</f>
        <v/>
      </c>
      <c r="D597" s="52">
        <f t="array" ref="D597:W597">IF(All_Students_Scores!C595:V595="","",All_Students_Scores!C595:V595)</f>
        <v/>
      </c>
      <c r="E597" s="55" t="str"/>
      <c r="F597" s="48" t="str"/>
      <c r="G597" s="58" t="str"/>
      <c r="H597" s="62" t="str"/>
      <c r="I597" s="63" t="str"/>
      <c r="J597" s="48" t="str"/>
      <c r="K597" s="58" t="str"/>
      <c r="L597" s="42" t="str"/>
      <c r="M597" s="42" t="str"/>
      <c r="N597" s="48" t="str"/>
      <c r="O597" s="58" t="str"/>
      <c r="P597" s="42" t="str"/>
      <c r="Q597" s="42" t="str"/>
      <c r="R597" s="48" t="str"/>
      <c r="S597" s="58" t="str"/>
      <c r="T597" s="42" t="str"/>
      <c r="U597" s="42" t="str"/>
      <c r="V597" s="48" t="str"/>
      <c r="W597" s="58" t="str"/>
      <c r="X597" s="42" t="n"/>
      <c r="Y597" s="42" t="n"/>
    </row>
    <row r="598">
      <c r="B598" s="2">
        <f>IF(STUDENTS!B597="","",STUDENTS!B597)</f>
        <v/>
      </c>
      <c r="C598" s="44">
        <f>IFERROR(IF(B598="","",_xlfn.XLOOKUP(B598,STUDENTS!$B$3:$B$1048576,STUDENTS!$C$3:$C$1048576)),"Enter a registered reg. no")</f>
        <v/>
      </c>
      <c r="D598" s="52">
        <f t="array" ref="D598:W598">IF(All_Students_Scores!C596:V596="","",All_Students_Scores!C596:V596)</f>
        <v/>
      </c>
      <c r="E598" s="57" t="str"/>
      <c r="F598" s="66" t="str"/>
      <c r="G598" s="67" t="str"/>
      <c r="H598" s="64" t="str"/>
      <c r="I598" s="65" t="str"/>
      <c r="J598" s="66" t="str"/>
      <c r="K598" s="67" t="str"/>
      <c r="L598" s="41" t="str"/>
      <c r="M598" s="41" t="str"/>
      <c r="N598" s="66" t="str"/>
      <c r="O598" s="67" t="str"/>
      <c r="P598" s="41" t="str"/>
      <c r="Q598" s="41" t="str"/>
      <c r="R598" s="66" t="str"/>
      <c r="S598" s="67" t="str"/>
      <c r="T598" s="41" t="str"/>
      <c r="U598" s="41" t="str"/>
      <c r="V598" s="66" t="str"/>
      <c r="W598" s="67" t="str"/>
    </row>
    <row r="599">
      <c r="B599" s="2">
        <f>IF(STUDENTS!B598="","",STUDENTS!B598)</f>
        <v/>
      </c>
      <c r="C599" s="44">
        <f>IFERROR(IF(B599="","",_xlfn.XLOOKUP(B599,STUDENTS!$B$3:$B$1048576,STUDENTS!$C$3:$C$1048576)),"Enter a registered reg. no")</f>
        <v/>
      </c>
      <c r="D599" s="52">
        <f t="array" ref="D599:W599">IF(All_Students_Scores!C597:V597="","",All_Students_Scores!C597:V597)</f>
        <v/>
      </c>
      <c r="E599" s="55" t="str"/>
      <c r="F599" s="48" t="str"/>
      <c r="G599" s="58" t="str"/>
      <c r="H599" s="62" t="str"/>
      <c r="I599" s="63" t="str"/>
      <c r="J599" s="48" t="str"/>
      <c r="K599" s="58" t="str"/>
      <c r="L599" s="42" t="str"/>
      <c r="M599" s="42" t="str"/>
      <c r="N599" s="48" t="str"/>
      <c r="O599" s="58" t="str"/>
      <c r="P599" s="42" t="str"/>
      <c r="Q599" s="42" t="str"/>
      <c r="R599" s="48" t="str"/>
      <c r="S599" s="58" t="str"/>
      <c r="T599" s="42" t="str"/>
      <c r="U599" s="42" t="str"/>
      <c r="V599" s="48" t="str"/>
      <c r="W599" s="58" t="str"/>
      <c r="X599" s="42" t="n"/>
      <c r="Y599" s="42" t="n"/>
    </row>
    <row r="600">
      <c r="B600" s="2">
        <f>IF(STUDENTS!B599="","",STUDENTS!B599)</f>
        <v/>
      </c>
      <c r="C600" s="44">
        <f>IFERROR(IF(B600="","",_xlfn.XLOOKUP(B600,STUDENTS!$B$3:$B$1048576,STUDENTS!$C$3:$C$1048576)),"Enter a registered reg. no")</f>
        <v/>
      </c>
      <c r="D600" s="52">
        <f t="array" ref="D600:W600">IF(All_Students_Scores!C598:V598="","",All_Students_Scores!C598:V598)</f>
        <v/>
      </c>
      <c r="E600" s="57" t="str"/>
      <c r="F600" s="66" t="str"/>
      <c r="G600" s="67" t="str"/>
      <c r="H600" s="64" t="str"/>
      <c r="I600" s="65" t="str"/>
      <c r="J600" s="66" t="str"/>
      <c r="K600" s="67" t="str"/>
      <c r="L600" s="41" t="str"/>
      <c r="M600" s="41" t="str"/>
      <c r="N600" s="66" t="str"/>
      <c r="O600" s="67" t="str"/>
      <c r="P600" s="41" t="str"/>
      <c r="Q600" s="41" t="str"/>
      <c r="R600" s="66" t="str"/>
      <c r="S600" s="67" t="str"/>
      <c r="T600" s="41" t="str"/>
      <c r="U600" s="41" t="str"/>
      <c r="V600" s="66" t="str"/>
      <c r="W600" s="67" t="str"/>
    </row>
    <row r="601">
      <c r="B601" s="2">
        <f>IF(STUDENTS!B600="","",STUDENTS!B600)</f>
        <v/>
      </c>
      <c r="C601" s="44">
        <f>IFERROR(IF(B601="","",_xlfn.XLOOKUP(B601,STUDENTS!$B$3:$B$1048576,STUDENTS!$C$3:$C$1048576)),"Enter a registered reg. no")</f>
        <v/>
      </c>
      <c r="D601" s="52">
        <f t="array" ref="D601:W601">IF(All_Students_Scores!C599:V599="","",All_Students_Scores!C599:V599)</f>
        <v/>
      </c>
      <c r="E601" s="55" t="str"/>
      <c r="F601" s="48" t="str"/>
      <c r="G601" s="58" t="str"/>
      <c r="H601" s="62" t="str"/>
      <c r="I601" s="63" t="str"/>
      <c r="J601" s="48" t="str"/>
      <c r="K601" s="58" t="str"/>
      <c r="L601" s="42" t="str"/>
      <c r="M601" s="42" t="str"/>
      <c r="N601" s="48" t="str"/>
      <c r="O601" s="58" t="str"/>
      <c r="P601" s="42" t="str"/>
      <c r="Q601" s="42" t="str"/>
      <c r="R601" s="48" t="str"/>
      <c r="S601" s="58" t="str"/>
      <c r="T601" s="42" t="str"/>
      <c r="U601" s="42" t="str"/>
      <c r="V601" s="48" t="str"/>
      <c r="W601" s="58" t="str"/>
      <c r="X601" s="42" t="n"/>
      <c r="Y601" s="42" t="n"/>
    </row>
    <row r="602">
      <c r="B602" s="2">
        <f>IF(STUDENTS!B601="","",STUDENTS!B601)</f>
        <v/>
      </c>
      <c r="C602" s="44">
        <f>IFERROR(IF(B602="","",_xlfn.XLOOKUP(B602,STUDENTS!$B$3:$B$1048576,STUDENTS!$C$3:$C$1048576)),"Enter a registered reg. no")</f>
        <v/>
      </c>
      <c r="D602" s="52">
        <f t="array" ref="D602:W602">IF(All_Students_Scores!C600:V600="","",All_Students_Scores!C600:V600)</f>
        <v/>
      </c>
      <c r="E602" s="57" t="str"/>
      <c r="F602" s="66" t="str"/>
      <c r="G602" s="67" t="str"/>
      <c r="H602" s="64" t="str"/>
      <c r="I602" s="65" t="str"/>
      <c r="J602" s="66" t="str"/>
      <c r="K602" s="67" t="str"/>
      <c r="L602" s="41" t="str"/>
      <c r="M602" s="41" t="str"/>
      <c r="N602" s="66" t="str"/>
      <c r="O602" s="67" t="str"/>
      <c r="P602" s="41" t="str"/>
      <c r="Q602" s="41" t="str"/>
      <c r="R602" s="66" t="str"/>
      <c r="S602" s="67" t="str"/>
      <c r="T602" s="41" t="str"/>
      <c r="U602" s="41" t="str"/>
      <c r="V602" s="66" t="str"/>
      <c r="W602" s="67" t="str"/>
    </row>
    <row r="603">
      <c r="B603" s="2">
        <f>IF(STUDENTS!B602="","",STUDENTS!B602)</f>
        <v/>
      </c>
      <c r="C603" s="44">
        <f>IFERROR(IF(B603="","",_xlfn.XLOOKUP(B603,STUDENTS!$B$3:$B$1048576,STUDENTS!$C$3:$C$1048576)),"Enter a registered reg. no")</f>
        <v/>
      </c>
      <c r="D603" s="52">
        <f t="array" ref="D603:W603">IF(All_Students_Scores!C601:V601="","",All_Students_Scores!C601:V601)</f>
        <v/>
      </c>
      <c r="E603" s="55" t="str"/>
      <c r="F603" s="48" t="str"/>
      <c r="G603" s="58" t="str"/>
      <c r="H603" s="62" t="str"/>
      <c r="I603" s="63" t="str"/>
      <c r="J603" s="48" t="str"/>
      <c r="K603" s="58" t="str"/>
      <c r="L603" s="42" t="str"/>
      <c r="M603" s="42" t="str"/>
      <c r="N603" s="48" t="str"/>
      <c r="O603" s="58" t="str"/>
      <c r="P603" s="42" t="str"/>
      <c r="Q603" s="42" t="str"/>
      <c r="R603" s="48" t="str"/>
      <c r="S603" s="58" t="str"/>
      <c r="T603" s="42" t="str"/>
      <c r="U603" s="42" t="str"/>
      <c r="V603" s="48" t="str"/>
      <c r="W603" s="58" t="str"/>
      <c r="X603" s="42" t="n"/>
      <c r="Y603" s="42" t="n"/>
    </row>
    <row r="604">
      <c r="B604" s="2">
        <f>IF(STUDENTS!B603="","",STUDENTS!B603)</f>
        <v/>
      </c>
      <c r="C604" s="44">
        <f>IFERROR(IF(B604="","",_xlfn.XLOOKUP(B604,STUDENTS!$B$3:$B$1048576,STUDENTS!$C$3:$C$1048576)),"Enter a registered reg. no")</f>
        <v/>
      </c>
      <c r="D604" s="52">
        <f t="array" ref="D604:W604">IF(All_Students_Scores!C602:V602="","",All_Students_Scores!C602:V602)</f>
        <v/>
      </c>
      <c r="E604" s="57" t="str"/>
      <c r="F604" s="66" t="str"/>
      <c r="G604" s="67" t="str"/>
      <c r="H604" s="64" t="str"/>
      <c r="I604" s="65" t="str"/>
      <c r="J604" s="66" t="str"/>
      <c r="K604" s="67" t="str"/>
      <c r="L604" s="41" t="str"/>
      <c r="M604" s="41" t="str"/>
      <c r="N604" s="66" t="str"/>
      <c r="O604" s="67" t="str"/>
      <c r="P604" s="41" t="str"/>
      <c r="Q604" s="41" t="str"/>
      <c r="R604" s="66" t="str"/>
      <c r="S604" s="67" t="str"/>
      <c r="T604" s="41" t="str"/>
      <c r="U604" s="41" t="str"/>
      <c r="V604" s="66" t="str"/>
      <c r="W604" s="67" t="str"/>
    </row>
    <row r="605">
      <c r="B605" s="2">
        <f>IF(STUDENTS!B604="","",STUDENTS!B604)</f>
        <v/>
      </c>
      <c r="C605" s="44">
        <f>IFERROR(IF(B605="","",_xlfn.XLOOKUP(B605,STUDENTS!$B$3:$B$1048576,STUDENTS!$C$3:$C$1048576)),"Enter a registered reg. no")</f>
        <v/>
      </c>
      <c r="D605" s="52">
        <f t="array" ref="D605:W605">IF(All_Students_Scores!C603:V603="","",All_Students_Scores!C603:V603)</f>
        <v/>
      </c>
      <c r="E605" s="55" t="str"/>
      <c r="F605" s="48" t="str"/>
      <c r="G605" s="58" t="str"/>
      <c r="H605" s="62" t="str"/>
      <c r="I605" s="63" t="str"/>
      <c r="J605" s="48" t="str"/>
      <c r="K605" s="58" t="str"/>
      <c r="L605" s="42" t="str"/>
      <c r="M605" s="42" t="str"/>
      <c r="N605" s="48" t="str"/>
      <c r="O605" s="58" t="str"/>
      <c r="P605" s="42" t="str"/>
      <c r="Q605" s="42" t="str"/>
      <c r="R605" s="48" t="str"/>
      <c r="S605" s="58" t="str"/>
      <c r="T605" s="42" t="str"/>
      <c r="U605" s="42" t="str"/>
      <c r="V605" s="48" t="str"/>
      <c r="W605" s="58" t="str"/>
      <c r="X605" s="42" t="n"/>
      <c r="Y605" s="42" t="n"/>
    </row>
    <row r="606">
      <c r="B606" s="2">
        <f>IF(STUDENTS!B605="","",STUDENTS!B605)</f>
        <v/>
      </c>
      <c r="C606" s="44">
        <f>IFERROR(IF(B606="","",_xlfn.XLOOKUP(B606,STUDENTS!$B$3:$B$1048576,STUDENTS!$C$3:$C$1048576)),"Enter a registered reg. no")</f>
        <v/>
      </c>
      <c r="D606" s="52">
        <f t="array" ref="D606:W606">IF(All_Students_Scores!C604:V604="","",All_Students_Scores!C604:V604)</f>
        <v/>
      </c>
      <c r="E606" s="57" t="str"/>
      <c r="F606" s="66" t="str"/>
      <c r="G606" s="67" t="str"/>
      <c r="H606" s="64" t="str"/>
      <c r="I606" s="65" t="str"/>
      <c r="J606" s="66" t="str"/>
      <c r="K606" s="67" t="str"/>
      <c r="L606" s="41" t="str"/>
      <c r="M606" s="41" t="str"/>
      <c r="N606" s="66" t="str"/>
      <c r="O606" s="67" t="str"/>
      <c r="P606" s="41" t="str"/>
      <c r="Q606" s="41" t="str"/>
      <c r="R606" s="66" t="str"/>
      <c r="S606" s="67" t="str"/>
      <c r="T606" s="41" t="str"/>
      <c r="U606" s="41" t="str"/>
      <c r="V606" s="66" t="str"/>
      <c r="W606" s="67" t="str"/>
    </row>
    <row r="607">
      <c r="B607" s="2">
        <f>IF(STUDENTS!B606="","",STUDENTS!B606)</f>
        <v/>
      </c>
      <c r="C607" s="44">
        <f>IFERROR(IF(B607="","",_xlfn.XLOOKUP(B607,STUDENTS!$B$3:$B$1048576,STUDENTS!$C$3:$C$1048576)),"Enter a registered reg. no")</f>
        <v/>
      </c>
      <c r="D607" s="52">
        <f t="array" ref="D607:W607">IF(All_Students_Scores!C605:V605="","",All_Students_Scores!C605:V605)</f>
        <v/>
      </c>
      <c r="E607" s="55" t="str"/>
      <c r="F607" s="48" t="str"/>
      <c r="G607" s="58" t="str"/>
      <c r="H607" s="62" t="str"/>
      <c r="I607" s="63" t="str"/>
      <c r="J607" s="48" t="str"/>
      <c r="K607" s="58" t="str"/>
      <c r="L607" s="42" t="str"/>
      <c r="M607" s="42" t="str"/>
      <c r="N607" s="48" t="str"/>
      <c r="O607" s="58" t="str"/>
      <c r="P607" s="42" t="str"/>
      <c r="Q607" s="42" t="str"/>
      <c r="R607" s="48" t="str"/>
      <c r="S607" s="58" t="str"/>
      <c r="T607" s="42" t="str"/>
      <c r="U607" s="42" t="str"/>
      <c r="V607" s="48" t="str"/>
      <c r="W607" s="58" t="str"/>
      <c r="X607" s="42" t="n"/>
      <c r="Y607" s="42" t="n"/>
    </row>
    <row r="608">
      <c r="B608" s="2">
        <f>IF(STUDENTS!B607="","",STUDENTS!B607)</f>
        <v/>
      </c>
      <c r="C608" s="44">
        <f>IFERROR(IF(B608="","",_xlfn.XLOOKUP(B608,STUDENTS!$B$3:$B$1048576,STUDENTS!$C$3:$C$1048576)),"Enter a registered reg. no")</f>
        <v/>
      </c>
      <c r="D608" s="52">
        <f t="array" ref="D608:W608">IF(All_Students_Scores!C606:V606="","",All_Students_Scores!C606:V606)</f>
        <v/>
      </c>
      <c r="E608" s="57" t="str"/>
      <c r="F608" s="66" t="str"/>
      <c r="G608" s="67" t="str"/>
      <c r="H608" s="64" t="str"/>
      <c r="I608" s="65" t="str"/>
      <c r="J608" s="66" t="str"/>
      <c r="K608" s="67" t="str"/>
      <c r="L608" s="41" t="str"/>
      <c r="M608" s="41" t="str"/>
      <c r="N608" s="66" t="str"/>
      <c r="O608" s="67" t="str"/>
      <c r="P608" s="41" t="str"/>
      <c r="Q608" s="41" t="str"/>
      <c r="R608" s="66" t="str"/>
      <c r="S608" s="67" t="str"/>
      <c r="T608" s="41" t="str"/>
      <c r="U608" s="41" t="str"/>
      <c r="V608" s="66" t="str"/>
      <c r="W608" s="67" t="str"/>
    </row>
    <row r="609">
      <c r="B609" s="2">
        <f>IF(STUDENTS!B608="","",STUDENTS!B608)</f>
        <v/>
      </c>
      <c r="C609" s="44">
        <f>IFERROR(IF(B609="","",_xlfn.XLOOKUP(B609,STUDENTS!$B$3:$B$1048576,STUDENTS!$C$3:$C$1048576)),"Enter a registered reg. no")</f>
        <v/>
      </c>
      <c r="D609" s="52">
        <f t="array" ref="D609:W609">IF(All_Students_Scores!C607:V607="","",All_Students_Scores!C607:V607)</f>
        <v/>
      </c>
      <c r="E609" s="55" t="str"/>
      <c r="F609" s="48" t="str"/>
      <c r="G609" s="58" t="str"/>
      <c r="H609" s="62" t="str"/>
      <c r="I609" s="63" t="str"/>
      <c r="J609" s="48" t="str"/>
      <c r="K609" s="58" t="str"/>
      <c r="L609" s="42" t="str"/>
      <c r="M609" s="42" t="str"/>
      <c r="N609" s="48" t="str"/>
      <c r="O609" s="58" t="str"/>
      <c r="P609" s="42" t="str"/>
      <c r="Q609" s="42" t="str"/>
      <c r="R609" s="48" t="str"/>
      <c r="S609" s="58" t="str"/>
      <c r="T609" s="42" t="str"/>
      <c r="U609" s="42" t="str"/>
      <c r="V609" s="48" t="str"/>
      <c r="W609" s="58" t="str"/>
      <c r="X609" s="42" t="n"/>
      <c r="Y609" s="42" t="n"/>
    </row>
    <row r="610">
      <c r="B610" s="2">
        <f>IF(STUDENTS!B609="","",STUDENTS!B609)</f>
        <v/>
      </c>
      <c r="C610" s="44">
        <f>IFERROR(IF(B610="","",_xlfn.XLOOKUP(B610,STUDENTS!$B$3:$B$1048576,STUDENTS!$C$3:$C$1048576)),"Enter a registered reg. no")</f>
        <v/>
      </c>
      <c r="D610" s="52">
        <f t="array" ref="D610:W610">IF(All_Students_Scores!C608:V608="","",All_Students_Scores!C608:V608)</f>
        <v/>
      </c>
      <c r="E610" s="57" t="str"/>
      <c r="F610" s="66" t="str"/>
      <c r="G610" s="67" t="str"/>
      <c r="H610" s="64" t="str"/>
      <c r="I610" s="65" t="str"/>
      <c r="J610" s="66" t="str"/>
      <c r="K610" s="67" t="str"/>
      <c r="L610" s="41" t="str"/>
      <c r="M610" s="41" t="str"/>
      <c r="N610" s="66" t="str"/>
      <c r="O610" s="67" t="str"/>
      <c r="P610" s="41" t="str"/>
      <c r="Q610" s="41" t="str"/>
      <c r="R610" s="66" t="str"/>
      <c r="S610" s="67" t="str"/>
      <c r="T610" s="41" t="str"/>
      <c r="U610" s="41" t="str"/>
      <c r="V610" s="66" t="str"/>
      <c r="W610" s="67" t="str"/>
    </row>
    <row r="611">
      <c r="B611" s="2">
        <f>IF(STUDENTS!B610="","",STUDENTS!B610)</f>
        <v/>
      </c>
      <c r="C611" s="44">
        <f>IFERROR(IF(B611="","",_xlfn.XLOOKUP(B611,STUDENTS!$B$3:$B$1048576,STUDENTS!$C$3:$C$1048576)),"Enter a registered reg. no")</f>
        <v/>
      </c>
      <c r="D611" s="52">
        <f t="array" ref="D611:W611">IF(All_Students_Scores!C609:V609="","",All_Students_Scores!C609:V609)</f>
        <v/>
      </c>
      <c r="E611" s="55" t="str"/>
      <c r="F611" s="48" t="str"/>
      <c r="G611" s="58" t="str"/>
      <c r="H611" s="62" t="str"/>
      <c r="I611" s="63" t="str"/>
      <c r="J611" s="48" t="str"/>
      <c r="K611" s="58" t="str"/>
      <c r="L611" s="42" t="str"/>
      <c r="M611" s="42" t="str"/>
      <c r="N611" s="48" t="str"/>
      <c r="O611" s="58" t="str"/>
      <c r="P611" s="42" t="str"/>
      <c r="Q611" s="42" t="str"/>
      <c r="R611" s="48" t="str"/>
      <c r="S611" s="58" t="str"/>
      <c r="T611" s="42" t="str"/>
      <c r="U611" s="42" t="str"/>
      <c r="V611" s="48" t="str"/>
      <c r="W611" s="58" t="str"/>
      <c r="X611" s="42" t="n"/>
      <c r="Y611" s="42" t="n"/>
    </row>
    <row r="612">
      <c r="B612" s="2">
        <f>IF(STUDENTS!B611="","",STUDENTS!B611)</f>
        <v/>
      </c>
      <c r="C612" s="44">
        <f>IFERROR(IF(B612="","",_xlfn.XLOOKUP(B612,STUDENTS!$B$3:$B$1048576,STUDENTS!$C$3:$C$1048576)),"Enter a registered reg. no")</f>
        <v/>
      </c>
      <c r="D612" s="52">
        <f t="array" ref="D612:W612">IF(All_Students_Scores!C610:V610="","",All_Students_Scores!C610:V610)</f>
        <v/>
      </c>
      <c r="E612" s="57" t="str"/>
      <c r="F612" s="66" t="str"/>
      <c r="G612" s="67" t="str"/>
      <c r="H612" s="64" t="str"/>
      <c r="I612" s="65" t="str"/>
      <c r="J612" s="66" t="str"/>
      <c r="K612" s="67" t="str"/>
      <c r="L612" s="41" t="str"/>
      <c r="M612" s="41" t="str"/>
      <c r="N612" s="66" t="str"/>
      <c r="O612" s="67" t="str"/>
      <c r="P612" s="41" t="str"/>
      <c r="Q612" s="41" t="str"/>
      <c r="R612" s="66" t="str"/>
      <c r="S612" s="67" t="str"/>
      <c r="T612" s="41" t="str"/>
      <c r="U612" s="41" t="str"/>
      <c r="V612" s="66" t="str"/>
      <c r="W612" s="67" t="str"/>
    </row>
    <row r="613">
      <c r="B613" s="2">
        <f>IF(STUDENTS!B612="","",STUDENTS!B612)</f>
        <v/>
      </c>
      <c r="C613" s="44">
        <f>IFERROR(IF(B613="","",_xlfn.XLOOKUP(B613,STUDENTS!$B$3:$B$1048576,STUDENTS!$C$3:$C$1048576)),"Enter a registered reg. no")</f>
        <v/>
      </c>
      <c r="D613" s="52">
        <f t="array" ref="D613:W613">IF(All_Students_Scores!C611:V611="","",All_Students_Scores!C611:V611)</f>
        <v/>
      </c>
      <c r="E613" s="55" t="str"/>
      <c r="F613" s="48" t="str"/>
      <c r="G613" s="58" t="str"/>
      <c r="H613" s="62" t="str"/>
      <c r="I613" s="63" t="str"/>
      <c r="J613" s="48" t="str"/>
      <c r="K613" s="58" t="str"/>
      <c r="L613" s="42" t="str"/>
      <c r="M613" s="42" t="str"/>
      <c r="N613" s="48" t="str"/>
      <c r="O613" s="58" t="str"/>
      <c r="P613" s="42" t="str"/>
      <c r="Q613" s="42" t="str"/>
      <c r="R613" s="48" t="str"/>
      <c r="S613" s="58" t="str"/>
      <c r="T613" s="42" t="str"/>
      <c r="U613" s="42" t="str"/>
      <c r="V613" s="48" t="str"/>
      <c r="W613" s="58" t="str"/>
      <c r="X613" s="42" t="n"/>
      <c r="Y613" s="42" t="n"/>
    </row>
    <row r="614">
      <c r="B614" s="2">
        <f>IF(STUDENTS!B613="","",STUDENTS!B613)</f>
        <v/>
      </c>
      <c r="C614" s="44">
        <f>IFERROR(IF(B614="","",_xlfn.XLOOKUP(B614,STUDENTS!$B$3:$B$1048576,STUDENTS!$C$3:$C$1048576)),"Enter a registered reg. no")</f>
        <v/>
      </c>
      <c r="D614" s="52">
        <f t="array" ref="D614:W614">IF(All_Students_Scores!C612:V612="","",All_Students_Scores!C612:V612)</f>
        <v/>
      </c>
      <c r="E614" s="57" t="str"/>
      <c r="F614" s="66" t="str"/>
      <c r="G614" s="67" t="str"/>
      <c r="H614" s="64" t="str"/>
      <c r="I614" s="65" t="str"/>
      <c r="J614" s="66" t="str"/>
      <c r="K614" s="67" t="str"/>
      <c r="L614" s="41" t="str"/>
      <c r="M614" s="41" t="str"/>
      <c r="N614" s="66" t="str"/>
      <c r="O614" s="67" t="str"/>
      <c r="P614" s="41" t="str"/>
      <c r="Q614" s="41" t="str"/>
      <c r="R614" s="66" t="str"/>
      <c r="S614" s="67" t="str"/>
      <c r="T614" s="41" t="str"/>
      <c r="U614" s="41" t="str"/>
      <c r="V614" s="66" t="str"/>
      <c r="W614" s="67" t="str"/>
    </row>
    <row r="615">
      <c r="B615" s="2">
        <f>IF(STUDENTS!B614="","",STUDENTS!B614)</f>
        <v/>
      </c>
      <c r="C615" s="44">
        <f>IFERROR(IF(B615="","",_xlfn.XLOOKUP(B615,STUDENTS!$B$3:$B$1048576,STUDENTS!$C$3:$C$1048576)),"Enter a registered reg. no")</f>
        <v/>
      </c>
      <c r="D615" s="52">
        <f t="array" ref="D615:W615">IF(All_Students_Scores!C613:V613="","",All_Students_Scores!C613:V613)</f>
        <v/>
      </c>
      <c r="E615" s="55" t="str"/>
      <c r="F615" s="48" t="str"/>
      <c r="G615" s="58" t="str"/>
      <c r="H615" s="62" t="str"/>
      <c r="I615" s="63" t="str"/>
      <c r="J615" s="48" t="str"/>
      <c r="K615" s="58" t="str"/>
      <c r="L615" s="42" t="str"/>
      <c r="M615" s="42" t="str"/>
      <c r="N615" s="48" t="str"/>
      <c r="O615" s="58" t="str"/>
      <c r="P615" s="42" t="str"/>
      <c r="Q615" s="42" t="str"/>
      <c r="R615" s="48" t="str"/>
      <c r="S615" s="58" t="str"/>
      <c r="T615" s="42" t="str"/>
      <c r="U615" s="42" t="str"/>
      <c r="V615" s="48" t="str"/>
      <c r="W615" s="58" t="str"/>
      <c r="X615" s="42" t="n"/>
      <c r="Y615" s="42" t="n"/>
    </row>
    <row r="616">
      <c r="B616" s="2">
        <f>IF(STUDENTS!B615="","",STUDENTS!B615)</f>
        <v/>
      </c>
      <c r="C616" s="44">
        <f>IFERROR(IF(B616="","",_xlfn.XLOOKUP(B616,STUDENTS!$B$3:$B$1048576,STUDENTS!$C$3:$C$1048576)),"Enter a registered reg. no")</f>
        <v/>
      </c>
      <c r="D616" s="52">
        <f t="array" ref="D616:W616">IF(All_Students_Scores!C614:V614="","",All_Students_Scores!C614:V614)</f>
        <v/>
      </c>
      <c r="E616" s="57" t="str"/>
      <c r="F616" s="66" t="str"/>
      <c r="G616" s="67" t="str"/>
      <c r="H616" s="64" t="str"/>
      <c r="I616" s="65" t="str"/>
      <c r="J616" s="66" t="str"/>
      <c r="K616" s="67" t="str"/>
      <c r="L616" s="41" t="str"/>
      <c r="M616" s="41" t="str"/>
      <c r="N616" s="66" t="str"/>
      <c r="O616" s="67" t="str"/>
      <c r="P616" s="41" t="str"/>
      <c r="Q616" s="41" t="str"/>
      <c r="R616" s="66" t="str"/>
      <c r="S616" s="67" t="str"/>
      <c r="T616" s="41" t="str"/>
      <c r="U616" s="41" t="str"/>
      <c r="V616" s="66" t="str"/>
      <c r="W616" s="67" t="str"/>
    </row>
    <row r="617">
      <c r="B617" s="2">
        <f>IF(STUDENTS!B616="","",STUDENTS!B616)</f>
        <v/>
      </c>
      <c r="C617" s="44">
        <f>IFERROR(IF(B617="","",_xlfn.XLOOKUP(B617,STUDENTS!$B$3:$B$1048576,STUDENTS!$C$3:$C$1048576)),"Enter a registered reg. no")</f>
        <v/>
      </c>
      <c r="D617" s="52">
        <f t="array" ref="D617:W617">IF(All_Students_Scores!C615:V615="","",All_Students_Scores!C615:V615)</f>
        <v/>
      </c>
      <c r="E617" s="55" t="str"/>
      <c r="F617" s="48" t="str"/>
      <c r="G617" s="58" t="str"/>
      <c r="H617" s="62" t="str"/>
      <c r="I617" s="63" t="str"/>
      <c r="J617" s="48" t="str"/>
      <c r="K617" s="58" t="str"/>
      <c r="L617" s="42" t="str"/>
      <c r="M617" s="42" t="str"/>
      <c r="N617" s="48" t="str"/>
      <c r="O617" s="58" t="str"/>
      <c r="P617" s="42" t="str"/>
      <c r="Q617" s="42" t="str"/>
      <c r="R617" s="48" t="str"/>
      <c r="S617" s="58" t="str"/>
      <c r="T617" s="42" t="str"/>
      <c r="U617" s="42" t="str"/>
      <c r="V617" s="48" t="str"/>
      <c r="W617" s="58" t="str"/>
      <c r="X617" s="42" t="n"/>
      <c r="Y617" s="42" t="n"/>
    </row>
    <row r="618">
      <c r="B618" s="2">
        <f>IF(STUDENTS!B617="","",STUDENTS!B617)</f>
        <v/>
      </c>
      <c r="C618" s="44">
        <f>IFERROR(IF(B618="","",_xlfn.XLOOKUP(B618,STUDENTS!$B$3:$B$1048576,STUDENTS!$C$3:$C$1048576)),"Enter a registered reg. no")</f>
        <v/>
      </c>
      <c r="D618" s="52">
        <f t="array" ref="D618:W618">IF(All_Students_Scores!C616:V616="","",All_Students_Scores!C616:V616)</f>
        <v/>
      </c>
      <c r="E618" s="57" t="str"/>
      <c r="F618" s="66" t="str"/>
      <c r="G618" s="67" t="str"/>
      <c r="H618" s="64" t="str"/>
      <c r="I618" s="65" t="str"/>
      <c r="J618" s="66" t="str"/>
      <c r="K618" s="67" t="str"/>
      <c r="L618" s="41" t="str"/>
      <c r="M618" s="41" t="str"/>
      <c r="N618" s="66" t="str"/>
      <c r="O618" s="67" t="str"/>
      <c r="P618" s="41" t="str"/>
      <c r="Q618" s="41" t="str"/>
      <c r="R618" s="66" t="str"/>
      <c r="S618" s="67" t="str"/>
      <c r="T618" s="41" t="str"/>
      <c r="U618" s="41" t="str"/>
      <c r="V618" s="66" t="str"/>
      <c r="W618" s="67" t="str"/>
    </row>
    <row r="619">
      <c r="B619" s="2">
        <f>IF(STUDENTS!B618="","",STUDENTS!B618)</f>
        <v/>
      </c>
      <c r="C619" s="44">
        <f>IFERROR(IF(B619="","",_xlfn.XLOOKUP(B619,STUDENTS!$B$3:$B$1048576,STUDENTS!$C$3:$C$1048576)),"Enter a registered reg. no")</f>
        <v/>
      </c>
      <c r="D619" s="52">
        <f t="array" ref="D619:W619">IF(All_Students_Scores!C617:V617="","",All_Students_Scores!C617:V617)</f>
        <v/>
      </c>
      <c r="E619" s="55" t="str"/>
      <c r="F619" s="48" t="str"/>
      <c r="G619" s="58" t="str"/>
      <c r="H619" s="62" t="str"/>
      <c r="I619" s="63" t="str"/>
      <c r="J619" s="48" t="str"/>
      <c r="K619" s="58" t="str"/>
      <c r="L619" s="42" t="str"/>
      <c r="M619" s="42" t="str"/>
      <c r="N619" s="48" t="str"/>
      <c r="O619" s="58" t="str"/>
      <c r="P619" s="42" t="str"/>
      <c r="Q619" s="42" t="str"/>
      <c r="R619" s="48" t="str"/>
      <c r="S619" s="58" t="str"/>
      <c r="T619" s="42" t="str"/>
      <c r="U619" s="42" t="str"/>
      <c r="V619" s="48" t="str"/>
      <c r="W619" s="58" t="str"/>
      <c r="X619" s="42" t="n"/>
      <c r="Y619" s="42" t="n"/>
    </row>
    <row r="620">
      <c r="B620" s="2">
        <f>IF(STUDENTS!B619="","",STUDENTS!B619)</f>
        <v/>
      </c>
      <c r="C620" s="44">
        <f>IFERROR(IF(B620="","",_xlfn.XLOOKUP(B620,STUDENTS!$B$3:$B$1048576,STUDENTS!$C$3:$C$1048576)),"Enter a registered reg. no")</f>
        <v/>
      </c>
      <c r="D620" s="52">
        <f t="array" ref="D620:W620">IF(All_Students_Scores!C618:V618="","",All_Students_Scores!C618:V618)</f>
        <v/>
      </c>
      <c r="E620" s="57" t="str"/>
      <c r="F620" s="66" t="str"/>
      <c r="G620" s="67" t="str"/>
      <c r="H620" s="64" t="str"/>
      <c r="I620" s="65" t="str"/>
      <c r="J620" s="66" t="str"/>
      <c r="K620" s="67" t="str"/>
      <c r="L620" s="41" t="str"/>
      <c r="M620" s="41" t="str"/>
      <c r="N620" s="66" t="str"/>
      <c r="O620" s="67" t="str"/>
      <c r="P620" s="41" t="str"/>
      <c r="Q620" s="41" t="str"/>
      <c r="R620" s="66" t="str"/>
      <c r="S620" s="67" t="str"/>
      <c r="T620" s="41" t="str"/>
      <c r="U620" s="41" t="str"/>
      <c r="V620" s="66" t="str"/>
      <c r="W620" s="67" t="str"/>
    </row>
    <row r="621">
      <c r="B621" s="2">
        <f>IF(STUDENTS!B620="","",STUDENTS!B620)</f>
        <v/>
      </c>
      <c r="C621" s="44">
        <f>IFERROR(IF(B621="","",_xlfn.XLOOKUP(B621,STUDENTS!$B$3:$B$1048576,STUDENTS!$C$3:$C$1048576)),"Enter a registered reg. no")</f>
        <v/>
      </c>
      <c r="D621" s="52">
        <f t="array" ref="D621:W621">IF(All_Students_Scores!C619:V619="","",All_Students_Scores!C619:V619)</f>
        <v/>
      </c>
      <c r="E621" s="55" t="str"/>
      <c r="F621" s="48" t="str"/>
      <c r="G621" s="58" t="str"/>
      <c r="H621" s="62" t="str"/>
      <c r="I621" s="63" t="str"/>
      <c r="J621" s="48" t="str"/>
      <c r="K621" s="58" t="str"/>
      <c r="L621" s="42" t="str"/>
      <c r="M621" s="42" t="str"/>
      <c r="N621" s="48" t="str"/>
      <c r="O621" s="58" t="str"/>
      <c r="P621" s="42" t="str"/>
      <c r="Q621" s="42" t="str"/>
      <c r="R621" s="48" t="str"/>
      <c r="S621" s="58" t="str"/>
      <c r="T621" s="42" t="str"/>
      <c r="U621" s="42" t="str"/>
      <c r="V621" s="48" t="str"/>
      <c r="W621" s="58" t="str"/>
      <c r="X621" s="42" t="n"/>
      <c r="Y621" s="42" t="n"/>
    </row>
    <row r="622">
      <c r="B622" s="2">
        <f>IF(STUDENTS!B621="","",STUDENTS!B621)</f>
        <v/>
      </c>
      <c r="C622" s="44">
        <f>IFERROR(IF(B622="","",_xlfn.XLOOKUP(B622,STUDENTS!$B$3:$B$1048576,STUDENTS!$C$3:$C$1048576)),"Enter a registered reg. no")</f>
        <v/>
      </c>
      <c r="D622" s="52">
        <f t="array" ref="D622:W622">IF(All_Students_Scores!C620:V620="","",All_Students_Scores!C620:V620)</f>
        <v/>
      </c>
      <c r="E622" s="57" t="str"/>
      <c r="F622" s="66" t="str"/>
      <c r="G622" s="67" t="str"/>
      <c r="H622" s="64" t="str"/>
      <c r="I622" s="65" t="str"/>
      <c r="J622" s="66" t="str"/>
      <c r="K622" s="67" t="str"/>
      <c r="L622" s="41" t="str"/>
      <c r="M622" s="41" t="str"/>
      <c r="N622" s="66" t="str"/>
      <c r="O622" s="67" t="str"/>
      <c r="P622" s="41" t="str"/>
      <c r="Q622" s="41" t="str"/>
      <c r="R622" s="66" t="str"/>
      <c r="S622" s="67" t="str"/>
      <c r="T622" s="41" t="str"/>
      <c r="U622" s="41" t="str"/>
      <c r="V622" s="66" t="str"/>
      <c r="W622" s="67" t="str"/>
    </row>
    <row r="623">
      <c r="B623" s="2">
        <f>IF(STUDENTS!B622="","",STUDENTS!B622)</f>
        <v/>
      </c>
      <c r="C623" s="44">
        <f>IFERROR(IF(B623="","",_xlfn.XLOOKUP(B623,STUDENTS!$B$3:$B$1048576,STUDENTS!$C$3:$C$1048576)),"Enter a registered reg. no")</f>
        <v/>
      </c>
      <c r="D623" s="52">
        <f t="array" ref="D623:W623">IF(All_Students_Scores!C621:V621="","",All_Students_Scores!C621:V621)</f>
        <v/>
      </c>
      <c r="E623" s="55" t="str"/>
      <c r="F623" s="48" t="str"/>
      <c r="G623" s="58" t="str"/>
      <c r="H623" s="62" t="str"/>
      <c r="I623" s="63" t="str"/>
      <c r="J623" s="48" t="str"/>
      <c r="K623" s="58" t="str"/>
      <c r="L623" s="42" t="str"/>
      <c r="M623" s="42" t="str"/>
      <c r="N623" s="48" t="str"/>
      <c r="O623" s="58" t="str"/>
      <c r="P623" s="42" t="str"/>
      <c r="Q623" s="42" t="str"/>
      <c r="R623" s="48" t="str"/>
      <c r="S623" s="58" t="str"/>
      <c r="T623" s="42" t="str"/>
      <c r="U623" s="42" t="str"/>
      <c r="V623" s="48" t="str"/>
      <c r="W623" s="58" t="str"/>
      <c r="X623" s="42" t="n"/>
      <c r="Y623" s="42" t="n"/>
    </row>
    <row r="624">
      <c r="B624" s="2">
        <f>IF(STUDENTS!B623="","",STUDENTS!B623)</f>
        <v/>
      </c>
      <c r="C624" s="44">
        <f>IFERROR(IF(B624="","",_xlfn.XLOOKUP(B624,STUDENTS!$B$3:$B$1048576,STUDENTS!$C$3:$C$1048576)),"Enter a registered reg. no")</f>
        <v/>
      </c>
      <c r="D624" s="52">
        <f t="array" ref="D624:W624">IF(All_Students_Scores!C622:V622="","",All_Students_Scores!C622:V622)</f>
        <v/>
      </c>
      <c r="E624" s="57" t="str"/>
      <c r="F624" s="66" t="str"/>
      <c r="G624" s="67" t="str"/>
      <c r="H624" s="64" t="str"/>
      <c r="I624" s="65" t="str"/>
      <c r="J624" s="66" t="str"/>
      <c r="K624" s="67" t="str"/>
      <c r="L624" s="41" t="str"/>
      <c r="M624" s="41" t="str"/>
      <c r="N624" s="66" t="str"/>
      <c r="O624" s="67" t="str"/>
      <c r="P624" s="41" t="str"/>
      <c r="Q624" s="41" t="str"/>
      <c r="R624" s="66" t="str"/>
      <c r="S624" s="67" t="str"/>
      <c r="T624" s="41" t="str"/>
      <c r="U624" s="41" t="str"/>
      <c r="V624" s="66" t="str"/>
      <c r="W624" s="67" t="str"/>
    </row>
    <row r="625">
      <c r="B625" s="2">
        <f>IF(STUDENTS!B624="","",STUDENTS!B624)</f>
        <v/>
      </c>
      <c r="C625" s="44">
        <f>IFERROR(IF(B625="","",_xlfn.XLOOKUP(B625,STUDENTS!$B$3:$B$1048576,STUDENTS!$C$3:$C$1048576)),"Enter a registered reg. no")</f>
        <v/>
      </c>
      <c r="D625" s="52">
        <f t="array" ref="D625:W625">IF(All_Students_Scores!C623:V623="","",All_Students_Scores!C623:V623)</f>
        <v/>
      </c>
      <c r="E625" s="55" t="str"/>
      <c r="F625" s="48" t="str"/>
      <c r="G625" s="58" t="str"/>
      <c r="H625" s="62" t="str"/>
      <c r="I625" s="63" t="str"/>
      <c r="J625" s="48" t="str"/>
      <c r="K625" s="58" t="str"/>
      <c r="L625" s="42" t="str"/>
      <c r="M625" s="42" t="str"/>
      <c r="N625" s="48" t="str"/>
      <c r="O625" s="58" t="str"/>
      <c r="P625" s="42" t="str"/>
      <c r="Q625" s="42" t="str"/>
      <c r="R625" s="48" t="str"/>
      <c r="S625" s="58" t="str"/>
      <c r="T625" s="42" t="str"/>
      <c r="U625" s="42" t="str"/>
      <c r="V625" s="48" t="str"/>
      <c r="W625" s="58" t="str"/>
      <c r="X625" s="42" t="n"/>
      <c r="Y625" s="42" t="n"/>
    </row>
    <row r="626">
      <c r="B626" s="2">
        <f>IF(STUDENTS!B625="","",STUDENTS!B625)</f>
        <v/>
      </c>
      <c r="C626" s="44">
        <f>IFERROR(IF(B626="","",_xlfn.XLOOKUP(B626,STUDENTS!$B$3:$B$1048576,STUDENTS!$C$3:$C$1048576)),"Enter a registered reg. no")</f>
        <v/>
      </c>
      <c r="D626" s="52">
        <f t="array" ref="D626:W626">IF(All_Students_Scores!C624:V624="","",All_Students_Scores!C624:V624)</f>
        <v/>
      </c>
      <c r="E626" s="57" t="str"/>
      <c r="F626" s="66" t="str"/>
      <c r="G626" s="67" t="str"/>
      <c r="H626" s="64" t="str"/>
      <c r="I626" s="65" t="str"/>
      <c r="J626" s="66" t="str"/>
      <c r="K626" s="67" t="str"/>
      <c r="L626" s="41" t="str"/>
      <c r="M626" s="41" t="str"/>
      <c r="N626" s="66" t="str"/>
      <c r="O626" s="67" t="str"/>
      <c r="P626" s="41" t="str"/>
      <c r="Q626" s="41" t="str"/>
      <c r="R626" s="66" t="str"/>
      <c r="S626" s="67" t="str"/>
      <c r="T626" s="41" t="str"/>
      <c r="U626" s="41" t="str"/>
      <c r="V626" s="66" t="str"/>
      <c r="W626" s="67" t="str"/>
    </row>
    <row r="627">
      <c r="B627" s="2">
        <f>IF(STUDENTS!B626="","",STUDENTS!B626)</f>
        <v/>
      </c>
      <c r="C627" s="44">
        <f>IFERROR(IF(B627="","",_xlfn.XLOOKUP(B627,STUDENTS!$B$3:$B$1048576,STUDENTS!$C$3:$C$1048576)),"Enter a registered reg. no")</f>
        <v/>
      </c>
      <c r="D627" s="52">
        <f t="array" ref="D627:W627">IF(All_Students_Scores!C625:V625="","",All_Students_Scores!C625:V625)</f>
        <v/>
      </c>
      <c r="E627" s="55" t="str"/>
      <c r="F627" s="48" t="str"/>
      <c r="G627" s="58" t="str"/>
      <c r="H627" s="62" t="str"/>
      <c r="I627" s="63" t="str"/>
      <c r="J627" s="48" t="str"/>
      <c r="K627" s="58" t="str"/>
      <c r="L627" s="42" t="str"/>
      <c r="M627" s="42" t="str"/>
      <c r="N627" s="48" t="str"/>
      <c r="O627" s="58" t="str"/>
      <c r="P627" s="42" t="str"/>
      <c r="Q627" s="42" t="str"/>
      <c r="R627" s="48" t="str"/>
      <c r="S627" s="58" t="str"/>
      <c r="T627" s="42" t="str"/>
      <c r="U627" s="42" t="str"/>
      <c r="V627" s="48" t="str"/>
      <c r="W627" s="58" t="str"/>
      <c r="X627" s="42" t="n"/>
      <c r="Y627" s="42" t="n"/>
    </row>
    <row r="628">
      <c r="B628" s="2">
        <f>IF(STUDENTS!B627="","",STUDENTS!B627)</f>
        <v/>
      </c>
      <c r="C628" s="44">
        <f>IFERROR(IF(B628="","",_xlfn.XLOOKUP(B628,STUDENTS!$B$3:$B$1048576,STUDENTS!$C$3:$C$1048576)),"Enter a registered reg. no")</f>
        <v/>
      </c>
      <c r="D628" s="52">
        <f t="array" ref="D628:W628">IF(All_Students_Scores!C626:V626="","",All_Students_Scores!C626:V626)</f>
        <v/>
      </c>
      <c r="E628" s="57" t="str"/>
      <c r="F628" s="66" t="str"/>
      <c r="G628" s="67" t="str"/>
      <c r="H628" s="64" t="str"/>
      <c r="I628" s="65" t="str"/>
      <c r="J628" s="66" t="str"/>
      <c r="K628" s="67" t="str"/>
      <c r="L628" s="41" t="str"/>
      <c r="M628" s="41" t="str"/>
      <c r="N628" s="66" t="str"/>
      <c r="O628" s="67" t="str"/>
      <c r="P628" s="41" t="str"/>
      <c r="Q628" s="41" t="str"/>
      <c r="R628" s="66" t="str"/>
      <c r="S628" s="67" t="str"/>
      <c r="T628" s="41" t="str"/>
      <c r="U628" s="41" t="str"/>
      <c r="V628" s="66" t="str"/>
      <c r="W628" s="67" t="str"/>
    </row>
    <row r="629">
      <c r="B629" s="2">
        <f>IF(STUDENTS!B628="","",STUDENTS!B628)</f>
        <v/>
      </c>
      <c r="C629" s="44">
        <f>IFERROR(IF(B629="","",_xlfn.XLOOKUP(B629,STUDENTS!$B$3:$B$1048576,STUDENTS!$C$3:$C$1048576)),"Enter a registered reg. no")</f>
        <v/>
      </c>
      <c r="D629" s="52">
        <f t="array" ref="D629:W629">IF(All_Students_Scores!C627:V627="","",All_Students_Scores!C627:V627)</f>
        <v/>
      </c>
      <c r="E629" s="55" t="str"/>
      <c r="F629" s="48" t="str"/>
      <c r="G629" s="58" t="str"/>
      <c r="H629" s="62" t="str"/>
      <c r="I629" s="63" t="str"/>
      <c r="J629" s="48" t="str"/>
      <c r="K629" s="58" t="str"/>
      <c r="L629" s="42" t="str"/>
      <c r="M629" s="42" t="str"/>
      <c r="N629" s="48" t="str"/>
      <c r="O629" s="58" t="str"/>
      <c r="P629" s="42" t="str"/>
      <c r="Q629" s="42" t="str"/>
      <c r="R629" s="48" t="str"/>
      <c r="S629" s="58" t="str"/>
      <c r="T629" s="42" t="str"/>
      <c r="U629" s="42" t="str"/>
      <c r="V629" s="48" t="str"/>
      <c r="W629" s="58" t="str"/>
      <c r="X629" s="42" t="n"/>
      <c r="Y629" s="42" t="n"/>
    </row>
    <row r="630">
      <c r="B630" s="2">
        <f>IF(STUDENTS!B629="","",STUDENTS!B629)</f>
        <v/>
      </c>
      <c r="C630" s="44">
        <f>IFERROR(IF(B630="","",_xlfn.XLOOKUP(B630,STUDENTS!$B$3:$B$1048576,STUDENTS!$C$3:$C$1048576)),"Enter a registered reg. no")</f>
        <v/>
      </c>
      <c r="D630" s="52">
        <f t="array" ref="D630:W630">IF(All_Students_Scores!C628:V628="","",All_Students_Scores!C628:V628)</f>
        <v/>
      </c>
      <c r="E630" s="57" t="str"/>
      <c r="F630" s="66" t="str"/>
      <c r="G630" s="67" t="str"/>
      <c r="H630" s="64" t="str"/>
      <c r="I630" s="65" t="str"/>
      <c r="J630" s="66" t="str"/>
      <c r="K630" s="67" t="str"/>
      <c r="L630" s="41" t="str"/>
      <c r="M630" s="41" t="str"/>
      <c r="N630" s="66" t="str"/>
      <c r="O630" s="67" t="str"/>
      <c r="P630" s="41" t="str"/>
      <c r="Q630" s="41" t="str"/>
      <c r="R630" s="66" t="str"/>
      <c r="S630" s="67" t="str"/>
      <c r="T630" s="41" t="str"/>
      <c r="U630" s="41" t="str"/>
      <c r="V630" s="66" t="str"/>
      <c r="W630" s="67" t="str"/>
    </row>
    <row r="631">
      <c r="B631" s="2">
        <f>IF(STUDENTS!B630="","",STUDENTS!B630)</f>
        <v/>
      </c>
      <c r="C631" s="44">
        <f>IFERROR(IF(B631="","",_xlfn.XLOOKUP(B631,STUDENTS!$B$3:$B$1048576,STUDENTS!$C$3:$C$1048576)),"Enter a registered reg. no")</f>
        <v/>
      </c>
      <c r="D631" s="52">
        <f t="array" ref="D631:W631">IF(All_Students_Scores!C629:V629="","",All_Students_Scores!C629:V629)</f>
        <v/>
      </c>
      <c r="E631" s="55" t="str"/>
      <c r="F631" s="48" t="str"/>
      <c r="G631" s="58" t="str"/>
      <c r="H631" s="62" t="str"/>
      <c r="I631" s="63" t="str"/>
      <c r="J631" s="48" t="str"/>
      <c r="K631" s="58" t="str"/>
      <c r="L631" s="42" t="str"/>
      <c r="M631" s="42" t="str"/>
      <c r="N631" s="48" t="str"/>
      <c r="O631" s="58" t="str"/>
      <c r="P631" s="42" t="str"/>
      <c r="Q631" s="42" t="str"/>
      <c r="R631" s="48" t="str"/>
      <c r="S631" s="58" t="str"/>
      <c r="T631" s="42" t="str"/>
      <c r="U631" s="42" t="str"/>
      <c r="V631" s="48" t="str"/>
      <c r="W631" s="58" t="str"/>
      <c r="X631" s="42" t="n"/>
      <c r="Y631" s="42" t="n"/>
    </row>
    <row r="632">
      <c r="B632" s="2">
        <f>IF(STUDENTS!B631="","",STUDENTS!B631)</f>
        <v/>
      </c>
      <c r="C632" s="44">
        <f>IFERROR(IF(B632="","",_xlfn.XLOOKUP(B632,STUDENTS!$B$3:$B$1048576,STUDENTS!$C$3:$C$1048576)),"Enter a registered reg. no")</f>
        <v/>
      </c>
      <c r="D632" s="52">
        <f t="array" ref="D632:W632">IF(All_Students_Scores!C630:V630="","",All_Students_Scores!C630:V630)</f>
        <v/>
      </c>
      <c r="E632" s="57" t="str"/>
      <c r="F632" s="66" t="str"/>
      <c r="G632" s="67" t="str"/>
      <c r="H632" s="64" t="str"/>
      <c r="I632" s="65" t="str"/>
      <c r="J632" s="66" t="str"/>
      <c r="K632" s="67" t="str"/>
      <c r="L632" s="41" t="str"/>
      <c r="M632" s="41" t="str"/>
      <c r="N632" s="66" t="str"/>
      <c r="O632" s="67" t="str"/>
      <c r="P632" s="41" t="str"/>
      <c r="Q632" s="41" t="str"/>
      <c r="R632" s="66" t="str"/>
      <c r="S632" s="67" t="str"/>
      <c r="T632" s="41" t="str"/>
      <c r="U632" s="41" t="str"/>
      <c r="V632" s="66" t="str"/>
      <c r="W632" s="67" t="str"/>
    </row>
    <row r="633">
      <c r="B633" s="2">
        <f>IF(STUDENTS!B632="","",STUDENTS!B632)</f>
        <v/>
      </c>
      <c r="C633" s="44">
        <f>IFERROR(IF(B633="","",_xlfn.XLOOKUP(B633,STUDENTS!$B$3:$B$1048576,STUDENTS!$C$3:$C$1048576)),"Enter a registered reg. no")</f>
        <v/>
      </c>
      <c r="D633" s="52">
        <f t="array" ref="D633:W633">IF(All_Students_Scores!C631:V631="","",All_Students_Scores!C631:V631)</f>
        <v/>
      </c>
      <c r="E633" s="55" t="str"/>
      <c r="F633" s="48" t="str"/>
      <c r="G633" s="58" t="str"/>
      <c r="H633" s="62" t="str"/>
      <c r="I633" s="63" t="str"/>
      <c r="J633" s="48" t="str"/>
      <c r="K633" s="58" t="str"/>
      <c r="L633" s="42" t="str"/>
      <c r="M633" s="42" t="str"/>
      <c r="N633" s="48" t="str"/>
      <c r="O633" s="58" t="str"/>
      <c r="P633" s="42" t="str"/>
      <c r="Q633" s="42" t="str"/>
      <c r="R633" s="48" t="str"/>
      <c r="S633" s="58" t="str"/>
      <c r="T633" s="42" t="str"/>
      <c r="U633" s="42" t="str"/>
      <c r="V633" s="48" t="str"/>
      <c r="W633" s="58" t="str"/>
      <c r="X633" s="42" t="n"/>
      <c r="Y633" s="42" t="n"/>
    </row>
    <row r="634">
      <c r="B634" s="2">
        <f>IF(STUDENTS!B633="","",STUDENTS!B633)</f>
        <v/>
      </c>
      <c r="C634" s="44">
        <f>IFERROR(IF(B634="","",_xlfn.XLOOKUP(B634,STUDENTS!$B$3:$B$1048576,STUDENTS!$C$3:$C$1048576)),"Enter a registered reg. no")</f>
        <v/>
      </c>
      <c r="D634" s="52">
        <f t="array" ref="D634:W634">IF(All_Students_Scores!C632:V632="","",All_Students_Scores!C632:V632)</f>
        <v/>
      </c>
      <c r="E634" s="57" t="str"/>
      <c r="F634" s="66" t="str"/>
      <c r="G634" s="67" t="str"/>
      <c r="H634" s="64" t="str"/>
      <c r="I634" s="65" t="str"/>
      <c r="J634" s="66" t="str"/>
      <c r="K634" s="67" t="str"/>
      <c r="L634" s="41" t="str"/>
      <c r="M634" s="41" t="str"/>
      <c r="N634" s="66" t="str"/>
      <c r="O634" s="67" t="str"/>
      <c r="P634" s="41" t="str"/>
      <c r="Q634" s="41" t="str"/>
      <c r="R634" s="66" t="str"/>
      <c r="S634" s="67" t="str"/>
      <c r="T634" s="41" t="str"/>
      <c r="U634" s="41" t="str"/>
      <c r="V634" s="66" t="str"/>
      <c r="W634" s="67" t="str"/>
    </row>
    <row r="635">
      <c r="B635" s="2">
        <f>IF(STUDENTS!B634="","",STUDENTS!B634)</f>
        <v/>
      </c>
      <c r="C635" s="44">
        <f>IFERROR(IF(B635="","",_xlfn.XLOOKUP(B635,STUDENTS!$B$3:$B$1048576,STUDENTS!$C$3:$C$1048576)),"Enter a registered reg. no")</f>
        <v/>
      </c>
      <c r="D635" s="52">
        <f t="array" ref="D635:W635">IF(All_Students_Scores!C633:V633="","",All_Students_Scores!C633:V633)</f>
        <v/>
      </c>
      <c r="E635" s="55" t="str"/>
      <c r="F635" s="48" t="str"/>
      <c r="G635" s="58" t="str"/>
      <c r="H635" s="62" t="str"/>
      <c r="I635" s="63" t="str"/>
      <c r="J635" s="48" t="str"/>
      <c r="K635" s="58" t="str"/>
      <c r="L635" s="42" t="str"/>
      <c r="M635" s="42" t="str"/>
      <c r="N635" s="48" t="str"/>
      <c r="O635" s="58" t="str"/>
      <c r="P635" s="42" t="str"/>
      <c r="Q635" s="42" t="str"/>
      <c r="R635" s="48" t="str"/>
      <c r="S635" s="58" t="str"/>
      <c r="T635" s="42" t="str"/>
      <c r="U635" s="42" t="str"/>
      <c r="V635" s="48" t="str"/>
      <c r="W635" s="58" t="str"/>
      <c r="X635" s="42" t="n"/>
      <c r="Y635" s="42" t="n"/>
    </row>
    <row r="636">
      <c r="B636" s="2">
        <f>IF(STUDENTS!B635="","",STUDENTS!B635)</f>
        <v/>
      </c>
      <c r="C636" s="44">
        <f>IFERROR(IF(B636="","",_xlfn.XLOOKUP(B636,STUDENTS!$B$3:$B$1048576,STUDENTS!$C$3:$C$1048576)),"Enter a registered reg. no")</f>
        <v/>
      </c>
      <c r="D636" s="52">
        <f t="array" ref="D636:W636">IF(All_Students_Scores!C634:V634="","",All_Students_Scores!C634:V634)</f>
        <v/>
      </c>
      <c r="E636" s="57" t="str"/>
      <c r="F636" s="66" t="str"/>
      <c r="G636" s="67" t="str"/>
      <c r="H636" s="64" t="str"/>
      <c r="I636" s="65" t="str"/>
      <c r="J636" s="66" t="str"/>
      <c r="K636" s="67" t="str"/>
      <c r="L636" s="41" t="str"/>
      <c r="M636" s="41" t="str"/>
      <c r="N636" s="66" t="str"/>
      <c r="O636" s="67" t="str"/>
      <c r="P636" s="41" t="str"/>
      <c r="Q636" s="41" t="str"/>
      <c r="R636" s="66" t="str"/>
      <c r="S636" s="67" t="str"/>
      <c r="T636" s="41" t="str"/>
      <c r="U636" s="41" t="str"/>
      <c r="V636" s="66" t="str"/>
      <c r="W636" s="67" t="str"/>
    </row>
    <row r="637">
      <c r="B637" s="2">
        <f>IF(STUDENTS!B636="","",STUDENTS!B636)</f>
        <v/>
      </c>
      <c r="C637" s="44">
        <f>IFERROR(IF(B637="","",_xlfn.XLOOKUP(B637,STUDENTS!$B$3:$B$1048576,STUDENTS!$C$3:$C$1048576)),"Enter a registered reg. no")</f>
        <v/>
      </c>
      <c r="D637" s="52">
        <f t="array" ref="D637:W637">IF(All_Students_Scores!C635:V635="","",All_Students_Scores!C635:V635)</f>
        <v/>
      </c>
      <c r="E637" s="55" t="str"/>
      <c r="F637" s="48" t="str"/>
      <c r="G637" s="58" t="str"/>
      <c r="H637" s="62" t="str"/>
      <c r="I637" s="63" t="str"/>
      <c r="J637" s="48" t="str"/>
      <c r="K637" s="58" t="str"/>
      <c r="L637" s="42" t="str"/>
      <c r="M637" s="42" t="str"/>
      <c r="N637" s="48" t="str"/>
      <c r="O637" s="58" t="str"/>
      <c r="P637" s="42" t="str"/>
      <c r="Q637" s="42" t="str"/>
      <c r="R637" s="48" t="str"/>
      <c r="S637" s="58" t="str"/>
      <c r="T637" s="42" t="str"/>
      <c r="U637" s="42" t="str"/>
      <c r="V637" s="48" t="str"/>
      <c r="W637" s="58" t="str"/>
      <c r="X637" s="42" t="n"/>
      <c r="Y637" s="42" t="n"/>
    </row>
    <row r="638">
      <c r="B638" s="2">
        <f>IF(STUDENTS!B637="","",STUDENTS!B637)</f>
        <v/>
      </c>
      <c r="C638" s="44">
        <f>IFERROR(IF(B638="","",_xlfn.XLOOKUP(B638,STUDENTS!$B$3:$B$1048576,STUDENTS!$C$3:$C$1048576)),"Enter a registered reg. no")</f>
        <v/>
      </c>
      <c r="D638" s="52">
        <f t="array" ref="D638:W638">IF(All_Students_Scores!C636:V636="","",All_Students_Scores!C636:V636)</f>
        <v/>
      </c>
      <c r="E638" s="57" t="str"/>
      <c r="F638" s="66" t="str"/>
      <c r="G638" s="67" t="str"/>
      <c r="H638" s="64" t="str"/>
      <c r="I638" s="65" t="str"/>
      <c r="J638" s="66" t="str"/>
      <c r="K638" s="67" t="str"/>
      <c r="L638" s="41" t="str"/>
      <c r="M638" s="41" t="str"/>
      <c r="N638" s="66" t="str"/>
      <c r="O638" s="67" t="str"/>
      <c r="P638" s="41" t="str"/>
      <c r="Q638" s="41" t="str"/>
      <c r="R638" s="66" t="str"/>
      <c r="S638" s="67" t="str"/>
      <c r="T638" s="41" t="str"/>
      <c r="U638" s="41" t="str"/>
      <c r="V638" s="66" t="str"/>
      <c r="W638" s="67" t="str"/>
    </row>
    <row r="639">
      <c r="B639" s="2">
        <f>IF(STUDENTS!B638="","",STUDENTS!B638)</f>
        <v/>
      </c>
      <c r="C639" s="44">
        <f>IFERROR(IF(B639="","",_xlfn.XLOOKUP(B639,STUDENTS!$B$3:$B$1048576,STUDENTS!$C$3:$C$1048576)),"Enter a registered reg. no")</f>
        <v/>
      </c>
      <c r="D639" s="52">
        <f t="array" ref="D639:W639">IF(All_Students_Scores!C637:V637="","",All_Students_Scores!C637:V637)</f>
        <v/>
      </c>
      <c r="E639" s="55" t="str"/>
      <c r="F639" s="48" t="str"/>
      <c r="G639" s="58" t="str"/>
      <c r="H639" s="62" t="str"/>
      <c r="I639" s="63" t="str"/>
      <c r="J639" s="48" t="str"/>
      <c r="K639" s="58" t="str"/>
      <c r="L639" s="42" t="str"/>
      <c r="M639" s="42" t="str"/>
      <c r="N639" s="48" t="str"/>
      <c r="O639" s="58" t="str"/>
      <c r="P639" s="42" t="str"/>
      <c r="Q639" s="42" t="str"/>
      <c r="R639" s="48" t="str"/>
      <c r="S639" s="58" t="str"/>
      <c r="T639" s="42" t="str"/>
      <c r="U639" s="42" t="str"/>
      <c r="V639" s="48" t="str"/>
      <c r="W639" s="58" t="str"/>
      <c r="X639" s="42" t="n"/>
      <c r="Y639" s="42" t="n"/>
    </row>
    <row r="640">
      <c r="B640" s="2">
        <f>IF(STUDENTS!B639="","",STUDENTS!B639)</f>
        <v/>
      </c>
      <c r="C640" s="44">
        <f>IFERROR(IF(B640="","",_xlfn.XLOOKUP(B640,STUDENTS!$B$3:$B$1048576,STUDENTS!$C$3:$C$1048576)),"Enter a registered reg. no")</f>
        <v/>
      </c>
      <c r="D640" s="52">
        <f t="array" ref="D640:W640">IF(All_Students_Scores!C638:V638="","",All_Students_Scores!C638:V638)</f>
        <v/>
      </c>
      <c r="E640" s="57" t="str"/>
      <c r="F640" s="66" t="str"/>
      <c r="G640" s="67" t="str"/>
      <c r="H640" s="64" t="str"/>
      <c r="I640" s="65" t="str"/>
      <c r="J640" s="66" t="str"/>
      <c r="K640" s="67" t="str"/>
      <c r="L640" s="41" t="str"/>
      <c r="M640" s="41" t="str"/>
      <c r="N640" s="66" t="str"/>
      <c r="O640" s="67" t="str"/>
      <c r="P640" s="41" t="str"/>
      <c r="Q640" s="41" t="str"/>
      <c r="R640" s="66" t="str"/>
      <c r="S640" s="67" t="str"/>
      <c r="T640" s="41" t="str"/>
      <c r="U640" s="41" t="str"/>
      <c r="V640" s="66" t="str"/>
      <c r="W640" s="67" t="str"/>
    </row>
    <row r="641">
      <c r="B641" s="2">
        <f>IF(STUDENTS!B640="","",STUDENTS!B640)</f>
        <v/>
      </c>
      <c r="C641" s="44">
        <f>IFERROR(IF(B641="","",_xlfn.XLOOKUP(B641,STUDENTS!$B$3:$B$1048576,STUDENTS!$C$3:$C$1048576)),"Enter a registered reg. no")</f>
        <v/>
      </c>
      <c r="D641" s="52">
        <f t="array" ref="D641:W641">IF(All_Students_Scores!C639:V639="","",All_Students_Scores!C639:V639)</f>
        <v/>
      </c>
      <c r="E641" s="55" t="str"/>
      <c r="F641" s="48" t="str"/>
      <c r="G641" s="58" t="str"/>
      <c r="H641" s="62" t="str"/>
      <c r="I641" s="63" t="str"/>
      <c r="J641" s="48" t="str"/>
      <c r="K641" s="58" t="str"/>
      <c r="L641" s="42" t="str"/>
      <c r="M641" s="42" t="str"/>
      <c r="N641" s="48" t="str"/>
      <c r="O641" s="58" t="str"/>
      <c r="P641" s="42" t="str"/>
      <c r="Q641" s="42" t="str"/>
      <c r="R641" s="48" t="str"/>
      <c r="S641" s="58" t="str"/>
      <c r="T641" s="42" t="str"/>
      <c r="U641" s="42" t="str"/>
      <c r="V641" s="48" t="str"/>
      <c r="W641" s="58" t="str"/>
      <c r="X641" s="42" t="n"/>
      <c r="Y641" s="42" t="n"/>
    </row>
    <row r="642">
      <c r="B642" s="2">
        <f>IF(STUDENTS!B641="","",STUDENTS!B641)</f>
        <v/>
      </c>
      <c r="C642" s="44">
        <f>IFERROR(IF(B642="","",_xlfn.XLOOKUP(B642,STUDENTS!$B$3:$B$1048576,STUDENTS!$C$3:$C$1048576)),"Enter a registered reg. no")</f>
        <v/>
      </c>
      <c r="D642" s="52">
        <f t="array" ref="D642:W642">IF(All_Students_Scores!C640:V640="","",All_Students_Scores!C640:V640)</f>
        <v/>
      </c>
      <c r="E642" s="57" t="str"/>
      <c r="F642" s="66" t="str"/>
      <c r="G642" s="67" t="str"/>
      <c r="H642" s="64" t="str"/>
      <c r="I642" s="65" t="str"/>
      <c r="J642" s="66" t="str"/>
      <c r="K642" s="67" t="str"/>
      <c r="L642" s="41" t="str"/>
      <c r="M642" s="41" t="str"/>
      <c r="N642" s="66" t="str"/>
      <c r="O642" s="67" t="str"/>
      <c r="P642" s="41" t="str"/>
      <c r="Q642" s="41" t="str"/>
      <c r="R642" s="66" t="str"/>
      <c r="S642" s="67" t="str"/>
      <c r="T642" s="41" t="str"/>
      <c r="U642" s="41" t="str"/>
      <c r="V642" s="66" t="str"/>
      <c r="W642" s="67" t="str"/>
    </row>
    <row r="643">
      <c r="B643" s="2">
        <f>IF(STUDENTS!B642="","",STUDENTS!B642)</f>
        <v/>
      </c>
      <c r="C643" s="44">
        <f>IFERROR(IF(B643="","",_xlfn.XLOOKUP(B643,STUDENTS!$B$3:$B$1048576,STUDENTS!$C$3:$C$1048576)),"Enter a registered reg. no")</f>
        <v/>
      </c>
      <c r="D643" s="52">
        <f t="array" ref="D643:W643">IF(All_Students_Scores!C641:V641="","",All_Students_Scores!C641:V641)</f>
        <v/>
      </c>
      <c r="E643" s="55" t="str"/>
      <c r="F643" s="48" t="str"/>
      <c r="G643" s="58" t="str"/>
      <c r="H643" s="62" t="str"/>
      <c r="I643" s="63" t="str"/>
      <c r="J643" s="48" t="str"/>
      <c r="K643" s="58" t="str"/>
      <c r="L643" s="42" t="str"/>
      <c r="M643" s="42" t="str"/>
      <c r="N643" s="48" t="str"/>
      <c r="O643" s="58" t="str"/>
      <c r="P643" s="42" t="str"/>
      <c r="Q643" s="42" t="str"/>
      <c r="R643" s="48" t="str"/>
      <c r="S643" s="58" t="str"/>
      <c r="T643" s="42" t="str"/>
      <c r="U643" s="42" t="str"/>
      <c r="V643" s="48" t="str"/>
      <c r="W643" s="58" t="str"/>
      <c r="X643" s="42" t="n"/>
      <c r="Y643" s="42" t="n"/>
    </row>
    <row r="644">
      <c r="B644" s="2">
        <f>IF(STUDENTS!B643="","",STUDENTS!B643)</f>
        <v/>
      </c>
      <c r="C644" s="44">
        <f>IFERROR(IF(B644="","",_xlfn.XLOOKUP(B644,STUDENTS!$B$3:$B$1048576,STUDENTS!$C$3:$C$1048576)),"Enter a registered reg. no")</f>
        <v/>
      </c>
      <c r="D644" s="52">
        <f t="array" ref="D644:W644">IF(All_Students_Scores!C642:V642="","",All_Students_Scores!C642:V642)</f>
        <v/>
      </c>
      <c r="E644" s="57" t="str"/>
      <c r="F644" s="66" t="str"/>
      <c r="G644" s="67" t="str"/>
      <c r="H644" s="64" t="str"/>
      <c r="I644" s="65" t="str"/>
      <c r="J644" s="66" t="str"/>
      <c r="K644" s="67" t="str"/>
      <c r="L644" s="41" t="str"/>
      <c r="M644" s="41" t="str"/>
      <c r="N644" s="66" t="str"/>
      <c r="O644" s="67" t="str"/>
      <c r="P644" s="41" t="str"/>
      <c r="Q644" s="41" t="str"/>
      <c r="R644" s="66" t="str"/>
      <c r="S644" s="67" t="str"/>
      <c r="T644" s="41" t="str"/>
      <c r="U644" s="41" t="str"/>
      <c r="V644" s="66" t="str"/>
      <c r="W644" s="67" t="str"/>
    </row>
    <row r="645">
      <c r="B645" s="2">
        <f>IF(STUDENTS!B644="","",STUDENTS!B644)</f>
        <v/>
      </c>
      <c r="C645" s="44">
        <f>IFERROR(IF(B645="","",_xlfn.XLOOKUP(B645,STUDENTS!$B$3:$B$1048576,STUDENTS!$C$3:$C$1048576)),"Enter a registered reg. no")</f>
        <v/>
      </c>
      <c r="D645" s="52">
        <f t="array" ref="D645:W645">IF(All_Students_Scores!C643:V643="","",All_Students_Scores!C643:V643)</f>
        <v/>
      </c>
      <c r="E645" s="55" t="str"/>
      <c r="F645" s="48" t="str"/>
      <c r="G645" s="58" t="str"/>
      <c r="H645" s="62" t="str"/>
      <c r="I645" s="63" t="str"/>
      <c r="J645" s="48" t="str"/>
      <c r="K645" s="58" t="str"/>
      <c r="L645" s="42" t="str"/>
      <c r="M645" s="42" t="str"/>
      <c r="N645" s="48" t="str"/>
      <c r="O645" s="58" t="str"/>
      <c r="P645" s="42" t="str"/>
      <c r="Q645" s="42" t="str"/>
      <c r="R645" s="48" t="str"/>
      <c r="S645" s="58" t="str"/>
      <c r="T645" s="42" t="str"/>
      <c r="U645" s="42" t="str"/>
      <c r="V645" s="48" t="str"/>
      <c r="W645" s="58" t="str"/>
      <c r="X645" s="42" t="n"/>
      <c r="Y645" s="42" t="n"/>
    </row>
    <row r="646">
      <c r="B646" s="2">
        <f>IF(STUDENTS!B645="","",STUDENTS!B645)</f>
        <v/>
      </c>
      <c r="C646" s="44">
        <f>IFERROR(IF(B646="","",_xlfn.XLOOKUP(B646,STUDENTS!$B$3:$B$1048576,STUDENTS!$C$3:$C$1048576)),"Enter a registered reg. no")</f>
        <v/>
      </c>
      <c r="D646" s="52">
        <f t="array" ref="D646:W646">IF(All_Students_Scores!C644:V644="","",All_Students_Scores!C644:V644)</f>
        <v/>
      </c>
      <c r="E646" s="57" t="str"/>
      <c r="F646" s="66" t="str"/>
      <c r="G646" s="67" t="str"/>
      <c r="H646" s="64" t="str"/>
      <c r="I646" s="65" t="str"/>
      <c r="J646" s="66" t="str"/>
      <c r="K646" s="67" t="str"/>
      <c r="L646" s="41" t="str"/>
      <c r="M646" s="41" t="str"/>
      <c r="N646" s="66" t="str"/>
      <c r="O646" s="67" t="str"/>
      <c r="P646" s="41" t="str"/>
      <c r="Q646" s="41" t="str"/>
      <c r="R646" s="66" t="str"/>
      <c r="S646" s="67" t="str"/>
      <c r="T646" s="41" t="str"/>
      <c r="U646" s="41" t="str"/>
      <c r="V646" s="66" t="str"/>
      <c r="W646" s="67" t="str"/>
    </row>
    <row r="647">
      <c r="B647" s="2">
        <f>IF(STUDENTS!B646="","",STUDENTS!B646)</f>
        <v/>
      </c>
      <c r="C647" s="44">
        <f>IFERROR(IF(B647="","",_xlfn.XLOOKUP(B647,STUDENTS!$B$3:$B$1048576,STUDENTS!$C$3:$C$1048576)),"Enter a registered reg. no")</f>
        <v/>
      </c>
      <c r="D647" s="52">
        <f t="array" ref="D647:W647">IF(All_Students_Scores!C645:V645="","",All_Students_Scores!C645:V645)</f>
        <v/>
      </c>
      <c r="E647" s="55" t="str"/>
      <c r="F647" s="48" t="str"/>
      <c r="G647" s="58" t="str"/>
      <c r="H647" s="62" t="str"/>
      <c r="I647" s="63" t="str"/>
      <c r="J647" s="48" t="str"/>
      <c r="K647" s="58" t="str"/>
      <c r="L647" s="42" t="str"/>
      <c r="M647" s="42" t="str"/>
      <c r="N647" s="48" t="str"/>
      <c r="O647" s="58" t="str"/>
      <c r="P647" s="42" t="str"/>
      <c r="Q647" s="42" t="str"/>
      <c r="R647" s="48" t="str"/>
      <c r="S647" s="58" t="str"/>
      <c r="T647" s="42" t="str"/>
      <c r="U647" s="42" t="str"/>
      <c r="V647" s="48" t="str"/>
      <c r="W647" s="58" t="str"/>
      <c r="X647" s="42" t="n"/>
      <c r="Y647" s="42" t="n"/>
    </row>
    <row r="648">
      <c r="B648" s="2">
        <f>IF(STUDENTS!B647="","",STUDENTS!B647)</f>
        <v/>
      </c>
      <c r="C648" s="44">
        <f>IFERROR(IF(B648="","",_xlfn.XLOOKUP(B648,STUDENTS!$B$3:$B$1048576,STUDENTS!$C$3:$C$1048576)),"Enter a registered reg. no")</f>
        <v/>
      </c>
      <c r="D648" s="52">
        <f t="array" ref="D648:W648">IF(All_Students_Scores!C646:V646="","",All_Students_Scores!C646:V646)</f>
        <v/>
      </c>
      <c r="E648" s="57" t="str"/>
      <c r="F648" s="66" t="str"/>
      <c r="G648" s="67" t="str"/>
      <c r="H648" s="64" t="str"/>
      <c r="I648" s="65" t="str"/>
      <c r="J648" s="66" t="str"/>
      <c r="K648" s="67" t="str"/>
      <c r="L648" s="41" t="str"/>
      <c r="M648" s="41" t="str"/>
      <c r="N648" s="66" t="str"/>
      <c r="O648" s="67" t="str"/>
      <c r="P648" s="41" t="str"/>
      <c r="Q648" s="41" t="str"/>
      <c r="R648" s="66" t="str"/>
      <c r="S648" s="67" t="str"/>
      <c r="T648" s="41" t="str"/>
      <c r="U648" s="41" t="str"/>
      <c r="V648" s="66" t="str"/>
      <c r="W648" s="67" t="str"/>
    </row>
    <row r="649">
      <c r="B649" s="2">
        <f>IF(STUDENTS!B648="","",STUDENTS!B648)</f>
        <v/>
      </c>
      <c r="C649" s="44">
        <f>IFERROR(IF(B649="","",_xlfn.XLOOKUP(B649,STUDENTS!$B$3:$B$1048576,STUDENTS!$C$3:$C$1048576)),"Enter a registered reg. no")</f>
        <v/>
      </c>
      <c r="D649" s="52">
        <f t="array" ref="D649:W649">IF(All_Students_Scores!C647:V647="","",All_Students_Scores!C647:V647)</f>
        <v/>
      </c>
      <c r="E649" s="55" t="str"/>
      <c r="F649" s="48" t="str"/>
      <c r="G649" s="58" t="str"/>
      <c r="H649" s="62" t="str"/>
      <c r="I649" s="63" t="str"/>
      <c r="J649" s="48" t="str"/>
      <c r="K649" s="58" t="str"/>
      <c r="L649" s="42" t="str"/>
      <c r="M649" s="42" t="str"/>
      <c r="N649" s="48" t="str"/>
      <c r="O649" s="58" t="str"/>
      <c r="P649" s="42" t="str"/>
      <c r="Q649" s="42" t="str"/>
      <c r="R649" s="48" t="str"/>
      <c r="S649" s="58" t="str"/>
      <c r="T649" s="42" t="str"/>
      <c r="U649" s="42" t="str"/>
      <c r="V649" s="48" t="str"/>
      <c r="W649" s="58" t="str"/>
      <c r="X649" s="42" t="n"/>
      <c r="Y649" s="42" t="n"/>
    </row>
    <row r="650">
      <c r="B650" s="2">
        <f>IF(STUDENTS!B649="","",STUDENTS!B649)</f>
        <v/>
      </c>
      <c r="C650" s="44">
        <f>IFERROR(IF(B650="","",_xlfn.XLOOKUP(B650,STUDENTS!$B$3:$B$1048576,STUDENTS!$C$3:$C$1048576)),"Enter a registered reg. no")</f>
        <v/>
      </c>
      <c r="D650" s="52">
        <f t="array" ref="D650:W650">IF(All_Students_Scores!C648:V648="","",All_Students_Scores!C648:V648)</f>
        <v/>
      </c>
      <c r="E650" s="57" t="str"/>
      <c r="F650" s="66" t="str"/>
      <c r="G650" s="67" t="str"/>
      <c r="H650" s="64" t="str"/>
      <c r="I650" s="65" t="str"/>
      <c r="J650" s="66" t="str"/>
      <c r="K650" s="67" t="str"/>
      <c r="L650" s="41" t="str"/>
      <c r="M650" s="41" t="str"/>
      <c r="N650" s="66" t="str"/>
      <c r="O650" s="67" t="str"/>
      <c r="P650" s="41" t="str"/>
      <c r="Q650" s="41" t="str"/>
      <c r="R650" s="66" t="str"/>
      <c r="S650" s="67" t="str"/>
      <c r="T650" s="41" t="str"/>
      <c r="U650" s="41" t="str"/>
      <c r="V650" s="66" t="str"/>
      <c r="W650" s="67" t="str"/>
    </row>
    <row r="651">
      <c r="B651" s="2">
        <f>IF(STUDENTS!B650="","",STUDENTS!B650)</f>
        <v/>
      </c>
      <c r="C651" s="44">
        <f>IFERROR(IF(B651="","",_xlfn.XLOOKUP(B651,STUDENTS!$B$3:$B$1048576,STUDENTS!$C$3:$C$1048576)),"Enter a registered reg. no")</f>
        <v/>
      </c>
      <c r="D651" s="52">
        <f t="array" ref="D651:W651">IF(All_Students_Scores!C649:V649="","",All_Students_Scores!C649:V649)</f>
        <v/>
      </c>
      <c r="E651" s="55" t="str"/>
      <c r="F651" s="48" t="str"/>
      <c r="G651" s="58" t="str"/>
      <c r="H651" s="62" t="str"/>
      <c r="I651" s="63" t="str"/>
      <c r="J651" s="48" t="str"/>
      <c r="K651" s="58" t="str"/>
      <c r="L651" s="42" t="str"/>
      <c r="M651" s="42" t="str"/>
      <c r="N651" s="48" t="str"/>
      <c r="O651" s="58" t="str"/>
      <c r="P651" s="42" t="str"/>
      <c r="Q651" s="42" t="str"/>
      <c r="R651" s="48" t="str"/>
      <c r="S651" s="58" t="str"/>
      <c r="T651" s="42" t="str"/>
      <c r="U651" s="42" t="str"/>
      <c r="V651" s="48" t="str"/>
      <c r="W651" s="58" t="str"/>
      <c r="X651" s="42" t="n"/>
      <c r="Y651" s="42" t="n"/>
    </row>
    <row r="652">
      <c r="B652" s="2">
        <f>IF(STUDENTS!B651="","",STUDENTS!B651)</f>
        <v/>
      </c>
      <c r="C652" s="44">
        <f>IFERROR(IF(B652="","",_xlfn.XLOOKUP(B652,STUDENTS!$B$3:$B$1048576,STUDENTS!$C$3:$C$1048576)),"Enter a registered reg. no")</f>
        <v/>
      </c>
      <c r="D652" s="52">
        <f t="array" ref="D652:W652">IF(All_Students_Scores!C650:V650="","",All_Students_Scores!C650:V650)</f>
        <v/>
      </c>
      <c r="E652" s="57" t="str"/>
      <c r="F652" s="66" t="str"/>
      <c r="G652" s="67" t="str"/>
      <c r="H652" s="64" t="str"/>
      <c r="I652" s="65" t="str"/>
      <c r="J652" s="66" t="str"/>
      <c r="K652" s="67" t="str"/>
      <c r="L652" s="41" t="str"/>
      <c r="M652" s="41" t="str"/>
      <c r="N652" s="66" t="str"/>
      <c r="O652" s="67" t="str"/>
      <c r="P652" s="41" t="str"/>
      <c r="Q652" s="41" t="str"/>
      <c r="R652" s="66" t="str"/>
      <c r="S652" s="67" t="str"/>
      <c r="T652" s="41" t="str"/>
      <c r="U652" s="41" t="str"/>
      <c r="V652" s="66" t="str"/>
      <c r="W652" s="67" t="str"/>
    </row>
    <row r="653">
      <c r="B653" s="2">
        <f>IF(STUDENTS!B652="","",STUDENTS!B652)</f>
        <v/>
      </c>
      <c r="C653" s="44">
        <f>IFERROR(IF(B653="","",_xlfn.XLOOKUP(B653,STUDENTS!$B$3:$B$1048576,STUDENTS!$C$3:$C$1048576)),"Enter a registered reg. no")</f>
        <v/>
      </c>
      <c r="D653" s="52">
        <f t="array" ref="D653:W653">IF(All_Students_Scores!C651:V651="","",All_Students_Scores!C651:V651)</f>
        <v/>
      </c>
      <c r="E653" s="55" t="str"/>
      <c r="F653" s="48" t="str"/>
      <c r="G653" s="58" t="str"/>
      <c r="H653" s="62" t="str"/>
      <c r="I653" s="63" t="str"/>
      <c r="J653" s="48" t="str"/>
      <c r="K653" s="58" t="str"/>
      <c r="L653" s="42" t="str"/>
      <c r="M653" s="42" t="str"/>
      <c r="N653" s="48" t="str"/>
      <c r="O653" s="58" t="str"/>
      <c r="P653" s="42" t="str"/>
      <c r="Q653" s="42" t="str"/>
      <c r="R653" s="48" t="str"/>
      <c r="S653" s="58" t="str"/>
      <c r="T653" s="42" t="str"/>
      <c r="U653" s="42" t="str"/>
      <c r="V653" s="48" t="str"/>
      <c r="W653" s="58" t="str"/>
      <c r="X653" s="42" t="n"/>
      <c r="Y653" s="42" t="n"/>
    </row>
    <row r="654">
      <c r="B654" s="2">
        <f>IF(STUDENTS!B653="","",STUDENTS!B653)</f>
        <v/>
      </c>
      <c r="C654" s="44">
        <f>IFERROR(IF(B654="","",_xlfn.XLOOKUP(B654,STUDENTS!$B$3:$B$1048576,STUDENTS!$C$3:$C$1048576)),"Enter a registered reg. no")</f>
        <v/>
      </c>
      <c r="D654" s="52">
        <f t="array" ref="D654:W654">IF(All_Students_Scores!C652:V652="","",All_Students_Scores!C652:V652)</f>
        <v/>
      </c>
      <c r="E654" s="57" t="str"/>
      <c r="F654" s="66" t="str"/>
      <c r="G654" s="67" t="str"/>
      <c r="H654" s="64" t="str"/>
      <c r="I654" s="65" t="str"/>
      <c r="J654" s="66" t="str"/>
      <c r="K654" s="67" t="str"/>
      <c r="L654" s="41" t="str"/>
      <c r="M654" s="41" t="str"/>
      <c r="N654" s="66" t="str"/>
      <c r="O654" s="67" t="str"/>
      <c r="P654" s="41" t="str"/>
      <c r="Q654" s="41" t="str"/>
      <c r="R654" s="66" t="str"/>
      <c r="S654" s="67" t="str"/>
      <c r="T654" s="41" t="str"/>
      <c r="U654" s="41" t="str"/>
      <c r="V654" s="66" t="str"/>
      <c r="W654" s="67" t="str"/>
    </row>
    <row r="655">
      <c r="B655" s="2">
        <f>IF(STUDENTS!B654="","",STUDENTS!B654)</f>
        <v/>
      </c>
      <c r="C655" s="44">
        <f>IFERROR(IF(B655="","",_xlfn.XLOOKUP(B655,STUDENTS!$B$3:$B$1048576,STUDENTS!$C$3:$C$1048576)),"Enter a registered reg. no")</f>
        <v/>
      </c>
      <c r="D655" s="52">
        <f t="array" ref="D655:W655">IF(All_Students_Scores!C653:V653="","",All_Students_Scores!C653:V653)</f>
        <v/>
      </c>
      <c r="E655" s="55" t="str"/>
      <c r="F655" s="48" t="str"/>
      <c r="G655" s="58" t="str"/>
      <c r="H655" s="62" t="str"/>
      <c r="I655" s="63" t="str"/>
      <c r="J655" s="48" t="str"/>
      <c r="K655" s="58" t="str"/>
      <c r="L655" s="42" t="str"/>
      <c r="M655" s="42" t="str"/>
      <c r="N655" s="48" t="str"/>
      <c r="O655" s="58" t="str"/>
      <c r="P655" s="42" t="str"/>
      <c r="Q655" s="42" t="str"/>
      <c r="R655" s="48" t="str"/>
      <c r="S655" s="58" t="str"/>
      <c r="T655" s="42" t="str"/>
      <c r="U655" s="42" t="str"/>
      <c r="V655" s="48" t="str"/>
      <c r="W655" s="58" t="str"/>
      <c r="X655" s="42" t="n"/>
      <c r="Y655" s="42" t="n"/>
    </row>
    <row r="656">
      <c r="B656" s="2">
        <f>IF(STUDENTS!B655="","",STUDENTS!B655)</f>
        <v/>
      </c>
      <c r="C656" s="44">
        <f>IFERROR(IF(B656="","",_xlfn.XLOOKUP(B656,STUDENTS!$B$3:$B$1048576,STUDENTS!$C$3:$C$1048576)),"Enter a registered reg. no")</f>
        <v/>
      </c>
      <c r="D656" s="52">
        <f t="array" ref="D656:W656">IF(All_Students_Scores!C654:V654="","",All_Students_Scores!C654:V654)</f>
        <v/>
      </c>
      <c r="E656" s="57" t="str"/>
      <c r="F656" s="66" t="str"/>
      <c r="G656" s="67" t="str"/>
      <c r="H656" s="64" t="str"/>
      <c r="I656" s="65" t="str"/>
      <c r="J656" s="66" t="str"/>
      <c r="K656" s="67" t="str"/>
      <c r="L656" s="41" t="str"/>
      <c r="M656" s="41" t="str"/>
      <c r="N656" s="66" t="str"/>
      <c r="O656" s="67" t="str"/>
      <c r="P656" s="41" t="str"/>
      <c r="Q656" s="41" t="str"/>
      <c r="R656" s="66" t="str"/>
      <c r="S656" s="67" t="str"/>
      <c r="T656" s="41" t="str"/>
      <c r="U656" s="41" t="str"/>
      <c r="V656" s="66" t="str"/>
      <c r="W656" s="67" t="str"/>
    </row>
    <row r="657">
      <c r="B657" s="2">
        <f>IF(STUDENTS!B656="","",STUDENTS!B656)</f>
        <v/>
      </c>
      <c r="C657" s="44">
        <f>IFERROR(IF(B657="","",_xlfn.XLOOKUP(B657,STUDENTS!$B$3:$B$1048576,STUDENTS!$C$3:$C$1048576)),"Enter a registered reg. no")</f>
        <v/>
      </c>
      <c r="D657" s="52">
        <f t="array" ref="D657:W657">IF(All_Students_Scores!C655:V655="","",All_Students_Scores!C655:V655)</f>
        <v/>
      </c>
      <c r="E657" s="55" t="str"/>
      <c r="F657" s="48" t="str"/>
      <c r="G657" s="58" t="str"/>
      <c r="H657" s="62" t="str"/>
      <c r="I657" s="63" t="str"/>
      <c r="J657" s="48" t="str"/>
      <c r="K657" s="58" t="str"/>
      <c r="L657" s="42" t="str"/>
      <c r="M657" s="42" t="str"/>
      <c r="N657" s="48" t="str"/>
      <c r="O657" s="58" t="str"/>
      <c r="P657" s="42" t="str"/>
      <c r="Q657" s="42" t="str"/>
      <c r="R657" s="48" t="str"/>
      <c r="S657" s="58" t="str"/>
      <c r="T657" s="42" t="str"/>
      <c r="U657" s="42" t="str"/>
      <c r="V657" s="48" t="str"/>
      <c r="W657" s="58" t="str"/>
      <c r="X657" s="42" t="n"/>
      <c r="Y657" s="42" t="n"/>
    </row>
    <row r="658">
      <c r="B658" s="2">
        <f>IF(STUDENTS!B657="","",STUDENTS!B657)</f>
        <v/>
      </c>
      <c r="C658" s="44">
        <f>IFERROR(IF(B658="","",_xlfn.XLOOKUP(B658,STUDENTS!$B$3:$B$1048576,STUDENTS!$C$3:$C$1048576)),"Enter a registered reg. no")</f>
        <v/>
      </c>
      <c r="D658" s="52">
        <f t="array" ref="D658:W658">IF(All_Students_Scores!C656:V656="","",All_Students_Scores!C656:V656)</f>
        <v/>
      </c>
      <c r="E658" s="57" t="str"/>
      <c r="F658" s="66" t="str"/>
      <c r="G658" s="67" t="str"/>
      <c r="H658" s="64" t="str"/>
      <c r="I658" s="65" t="str"/>
      <c r="J658" s="66" t="str"/>
      <c r="K658" s="67" t="str"/>
      <c r="L658" s="41" t="str"/>
      <c r="M658" s="41" t="str"/>
      <c r="N658" s="66" t="str"/>
      <c r="O658" s="67" t="str"/>
      <c r="P658" s="41" t="str"/>
      <c r="Q658" s="41" t="str"/>
      <c r="R658" s="66" t="str"/>
      <c r="S658" s="67" t="str"/>
      <c r="T658" s="41" t="str"/>
      <c r="U658" s="41" t="str"/>
      <c r="V658" s="66" t="str"/>
      <c r="W658" s="67" t="str"/>
    </row>
    <row r="659">
      <c r="B659" s="2">
        <f>IF(STUDENTS!B658="","",STUDENTS!B658)</f>
        <v/>
      </c>
      <c r="C659" s="44">
        <f>IFERROR(IF(B659="","",_xlfn.XLOOKUP(B659,STUDENTS!$B$3:$B$1048576,STUDENTS!$C$3:$C$1048576)),"Enter a registered reg. no")</f>
        <v/>
      </c>
      <c r="D659" s="52">
        <f t="array" ref="D659:W659">IF(All_Students_Scores!C657:V657="","",All_Students_Scores!C657:V657)</f>
        <v/>
      </c>
      <c r="E659" s="55" t="str"/>
      <c r="F659" s="48" t="str"/>
      <c r="G659" s="58" t="str"/>
      <c r="H659" s="62" t="str"/>
      <c r="I659" s="63" t="str"/>
      <c r="J659" s="48" t="str"/>
      <c r="K659" s="58" t="str"/>
      <c r="L659" s="42" t="str"/>
      <c r="M659" s="42" t="str"/>
      <c r="N659" s="48" t="str"/>
      <c r="O659" s="58" t="str"/>
      <c r="P659" s="42" t="str"/>
      <c r="Q659" s="42" t="str"/>
      <c r="R659" s="48" t="str"/>
      <c r="S659" s="58" t="str"/>
      <c r="T659" s="42" t="str"/>
      <c r="U659" s="42" t="str"/>
      <c r="V659" s="48" t="str"/>
      <c r="W659" s="58" t="str"/>
      <c r="X659" s="42" t="n"/>
      <c r="Y659" s="42" t="n"/>
    </row>
    <row r="660">
      <c r="B660" s="2">
        <f>IF(STUDENTS!B659="","",STUDENTS!B659)</f>
        <v/>
      </c>
      <c r="C660" s="44">
        <f>IFERROR(IF(B660="","",_xlfn.XLOOKUP(B660,STUDENTS!$B$3:$B$1048576,STUDENTS!$C$3:$C$1048576)),"Enter a registered reg. no")</f>
        <v/>
      </c>
      <c r="D660" s="52">
        <f t="array" ref="D660:W660">IF(All_Students_Scores!C658:V658="","",All_Students_Scores!C658:V658)</f>
        <v/>
      </c>
      <c r="E660" s="57" t="str"/>
      <c r="F660" s="66" t="str"/>
      <c r="G660" s="67" t="str"/>
      <c r="H660" s="64" t="str"/>
      <c r="I660" s="65" t="str"/>
      <c r="J660" s="66" t="str"/>
      <c r="K660" s="67" t="str"/>
      <c r="L660" s="41" t="str"/>
      <c r="M660" s="41" t="str"/>
      <c r="N660" s="66" t="str"/>
      <c r="O660" s="67" t="str"/>
      <c r="P660" s="41" t="str"/>
      <c r="Q660" s="41" t="str"/>
      <c r="R660" s="66" t="str"/>
      <c r="S660" s="67" t="str"/>
      <c r="T660" s="41" t="str"/>
      <c r="U660" s="41" t="str"/>
      <c r="V660" s="66" t="str"/>
      <c r="W660" s="67" t="str"/>
    </row>
    <row r="661">
      <c r="B661" s="2">
        <f>IF(STUDENTS!B660="","",STUDENTS!B660)</f>
        <v/>
      </c>
      <c r="C661" s="44">
        <f>IFERROR(IF(B661="","",_xlfn.XLOOKUP(B661,STUDENTS!$B$3:$B$1048576,STUDENTS!$C$3:$C$1048576)),"Enter a registered reg. no")</f>
        <v/>
      </c>
      <c r="D661" s="52">
        <f t="array" ref="D661:W661">IF(All_Students_Scores!C659:V659="","",All_Students_Scores!C659:V659)</f>
        <v/>
      </c>
      <c r="E661" s="55" t="str"/>
      <c r="F661" s="48" t="str"/>
      <c r="G661" s="58" t="str"/>
      <c r="H661" s="62" t="str"/>
      <c r="I661" s="63" t="str"/>
      <c r="J661" s="48" t="str"/>
      <c r="K661" s="58" t="str"/>
      <c r="L661" s="42" t="str"/>
      <c r="M661" s="42" t="str"/>
      <c r="N661" s="48" t="str"/>
      <c r="O661" s="58" t="str"/>
      <c r="P661" s="42" t="str"/>
      <c r="Q661" s="42" t="str"/>
      <c r="R661" s="48" t="str"/>
      <c r="S661" s="58" t="str"/>
      <c r="T661" s="42" t="str"/>
      <c r="U661" s="42" t="str"/>
      <c r="V661" s="48" t="str"/>
      <c r="W661" s="58" t="str"/>
      <c r="X661" s="42" t="n"/>
      <c r="Y661" s="42" t="n"/>
    </row>
    <row r="662">
      <c r="B662" s="2">
        <f>IF(STUDENTS!B661="","",STUDENTS!B661)</f>
        <v/>
      </c>
      <c r="C662" s="44">
        <f>IFERROR(IF(B662="","",_xlfn.XLOOKUP(B662,STUDENTS!$B$3:$B$1048576,STUDENTS!$C$3:$C$1048576)),"Enter a registered reg. no")</f>
        <v/>
      </c>
      <c r="D662" s="52">
        <f t="array" ref="D662:W662">IF(All_Students_Scores!C660:V660="","",All_Students_Scores!C660:V660)</f>
        <v/>
      </c>
      <c r="E662" s="57" t="str"/>
      <c r="F662" s="66" t="str"/>
      <c r="G662" s="67" t="str"/>
      <c r="H662" s="64" t="str"/>
      <c r="I662" s="65" t="str"/>
      <c r="J662" s="66" t="str"/>
      <c r="K662" s="67" t="str"/>
      <c r="L662" s="41" t="str"/>
      <c r="M662" s="41" t="str"/>
      <c r="N662" s="66" t="str"/>
      <c r="O662" s="67" t="str"/>
      <c r="P662" s="41" t="str"/>
      <c r="Q662" s="41" t="str"/>
      <c r="R662" s="66" t="str"/>
      <c r="S662" s="67" t="str"/>
      <c r="T662" s="41" t="str"/>
      <c r="U662" s="41" t="str"/>
      <c r="V662" s="66" t="str"/>
      <c r="W662" s="67" t="str"/>
    </row>
    <row r="663">
      <c r="B663" s="2">
        <f>IF(STUDENTS!B662="","",STUDENTS!B662)</f>
        <v/>
      </c>
      <c r="C663" s="44">
        <f>IFERROR(IF(B663="","",_xlfn.XLOOKUP(B663,STUDENTS!$B$3:$B$1048576,STUDENTS!$C$3:$C$1048576)),"Enter a registered reg. no")</f>
        <v/>
      </c>
      <c r="D663" s="52">
        <f t="array" ref="D663:W663">IF(All_Students_Scores!C661:V661="","",All_Students_Scores!C661:V661)</f>
        <v/>
      </c>
      <c r="E663" s="55" t="str"/>
      <c r="F663" s="48" t="str"/>
      <c r="G663" s="58" t="str"/>
      <c r="H663" s="62" t="str"/>
      <c r="I663" s="63" t="str"/>
      <c r="J663" s="48" t="str"/>
      <c r="K663" s="58" t="str"/>
      <c r="L663" s="42" t="str"/>
      <c r="M663" s="42" t="str"/>
      <c r="N663" s="48" t="str"/>
      <c r="O663" s="58" t="str"/>
      <c r="P663" s="42" t="str"/>
      <c r="Q663" s="42" t="str"/>
      <c r="R663" s="48" t="str"/>
      <c r="S663" s="58" t="str"/>
      <c r="T663" s="42" t="str"/>
      <c r="U663" s="42" t="str"/>
      <c r="V663" s="48" t="str"/>
      <c r="W663" s="58" t="str"/>
      <c r="X663" s="42" t="n"/>
      <c r="Y663" s="42" t="n"/>
    </row>
    <row r="664">
      <c r="B664" s="2">
        <f>IF(STUDENTS!B663="","",STUDENTS!B663)</f>
        <v/>
      </c>
      <c r="C664" s="44">
        <f>IFERROR(IF(B664="","",_xlfn.XLOOKUP(B664,STUDENTS!$B$3:$B$1048576,STUDENTS!$C$3:$C$1048576)),"Enter a registered reg. no")</f>
        <v/>
      </c>
      <c r="D664" s="52">
        <f t="array" ref="D664:W664">IF(All_Students_Scores!C662:V662="","",All_Students_Scores!C662:V662)</f>
        <v/>
      </c>
      <c r="E664" s="57" t="str"/>
      <c r="F664" s="66" t="str"/>
      <c r="G664" s="67" t="str"/>
      <c r="H664" s="64" t="str"/>
      <c r="I664" s="65" t="str"/>
      <c r="J664" s="66" t="str"/>
      <c r="K664" s="67" t="str"/>
      <c r="L664" s="41" t="str"/>
      <c r="M664" s="41" t="str"/>
      <c r="N664" s="66" t="str"/>
      <c r="O664" s="67" t="str"/>
      <c r="P664" s="41" t="str"/>
      <c r="Q664" s="41" t="str"/>
      <c r="R664" s="66" t="str"/>
      <c r="S664" s="67" t="str"/>
      <c r="T664" s="41" t="str"/>
      <c r="U664" s="41" t="str"/>
      <c r="V664" s="66" t="str"/>
      <c r="W664" s="67" t="str"/>
    </row>
    <row r="665">
      <c r="B665" s="2">
        <f>IF(STUDENTS!B664="","",STUDENTS!B664)</f>
        <v/>
      </c>
      <c r="C665" s="44">
        <f>IFERROR(IF(B665="","",_xlfn.XLOOKUP(B665,STUDENTS!$B$3:$B$1048576,STUDENTS!$C$3:$C$1048576)),"Enter a registered reg. no")</f>
        <v/>
      </c>
      <c r="D665" s="52">
        <f t="array" ref="D665:W665">IF(All_Students_Scores!C663:V663="","",All_Students_Scores!C663:V663)</f>
        <v/>
      </c>
      <c r="E665" s="55" t="str"/>
      <c r="F665" s="48" t="str"/>
      <c r="G665" s="58" t="str"/>
      <c r="H665" s="62" t="str"/>
      <c r="I665" s="63" t="str"/>
      <c r="J665" s="48" t="str"/>
      <c r="K665" s="58" t="str"/>
      <c r="L665" s="42" t="str"/>
      <c r="M665" s="42" t="str"/>
      <c r="N665" s="48" t="str"/>
      <c r="O665" s="58" t="str"/>
      <c r="P665" s="42" t="str"/>
      <c r="Q665" s="42" t="str"/>
      <c r="R665" s="48" t="str"/>
      <c r="S665" s="58" t="str"/>
      <c r="T665" s="42" t="str"/>
      <c r="U665" s="42" t="str"/>
      <c r="V665" s="48" t="str"/>
      <c r="W665" s="58" t="str"/>
      <c r="X665" s="42" t="n"/>
      <c r="Y665" s="42" t="n"/>
    </row>
    <row r="666">
      <c r="B666" s="2">
        <f>IF(STUDENTS!B665="","",STUDENTS!B665)</f>
        <v/>
      </c>
      <c r="C666" s="44">
        <f>IFERROR(IF(B666="","",_xlfn.XLOOKUP(B666,STUDENTS!$B$3:$B$1048576,STUDENTS!$C$3:$C$1048576)),"Enter a registered reg. no")</f>
        <v/>
      </c>
      <c r="D666" s="52">
        <f t="array" ref="D666:W666">IF(All_Students_Scores!C664:V664="","",All_Students_Scores!C664:V664)</f>
        <v/>
      </c>
      <c r="E666" s="57" t="str"/>
      <c r="F666" s="66" t="str"/>
      <c r="G666" s="67" t="str"/>
      <c r="H666" s="64" t="str"/>
      <c r="I666" s="65" t="str"/>
      <c r="J666" s="66" t="str"/>
      <c r="K666" s="67" t="str"/>
      <c r="L666" s="41" t="str"/>
      <c r="M666" s="41" t="str"/>
      <c r="N666" s="66" t="str"/>
      <c r="O666" s="67" t="str"/>
      <c r="P666" s="41" t="str"/>
      <c r="Q666" s="41" t="str"/>
      <c r="R666" s="66" t="str"/>
      <c r="S666" s="67" t="str"/>
      <c r="T666" s="41" t="str"/>
      <c r="U666" s="41" t="str"/>
      <c r="V666" s="66" t="str"/>
      <c r="W666" s="67" t="str"/>
    </row>
    <row r="667">
      <c r="B667" s="2">
        <f>IF(STUDENTS!B666="","",STUDENTS!B666)</f>
        <v/>
      </c>
      <c r="C667" s="44">
        <f>IFERROR(IF(B667="","",_xlfn.XLOOKUP(B667,STUDENTS!$B$3:$B$1048576,STUDENTS!$C$3:$C$1048576)),"Enter a registered reg. no")</f>
        <v/>
      </c>
      <c r="D667" s="52">
        <f t="array" ref="D667:W667">IF(All_Students_Scores!C665:V665="","",All_Students_Scores!C665:V665)</f>
        <v/>
      </c>
      <c r="E667" s="55" t="str"/>
      <c r="F667" s="48" t="str"/>
      <c r="G667" s="58" t="str"/>
      <c r="H667" s="62" t="str"/>
      <c r="I667" s="63" t="str"/>
      <c r="J667" s="48" t="str"/>
      <c r="K667" s="58" t="str"/>
      <c r="L667" s="42" t="str"/>
      <c r="M667" s="42" t="str"/>
      <c r="N667" s="48" t="str"/>
      <c r="O667" s="58" t="str"/>
      <c r="P667" s="42" t="str"/>
      <c r="Q667" s="42" t="str"/>
      <c r="R667" s="48" t="str"/>
      <c r="S667" s="58" t="str"/>
      <c r="T667" s="42" t="str"/>
      <c r="U667" s="42" t="str"/>
      <c r="V667" s="48" t="str"/>
      <c r="W667" s="58" t="str"/>
      <c r="X667" s="42" t="n"/>
      <c r="Y667" s="42" t="n"/>
    </row>
    <row r="668">
      <c r="B668" s="2">
        <f>IF(STUDENTS!B667="","",STUDENTS!B667)</f>
        <v/>
      </c>
      <c r="C668" s="44">
        <f>IFERROR(IF(B668="","",_xlfn.XLOOKUP(B668,STUDENTS!$B$3:$B$1048576,STUDENTS!$C$3:$C$1048576)),"Enter a registered reg. no")</f>
        <v/>
      </c>
      <c r="D668" s="52">
        <f t="array" ref="D668:W668">IF(All_Students_Scores!C666:V666="","",All_Students_Scores!C666:V666)</f>
        <v/>
      </c>
      <c r="E668" s="57" t="str"/>
      <c r="F668" s="66" t="str"/>
      <c r="G668" s="67" t="str"/>
      <c r="H668" s="64" t="str"/>
      <c r="I668" s="65" t="str"/>
      <c r="J668" s="66" t="str"/>
      <c r="K668" s="67" t="str"/>
      <c r="L668" s="41" t="str"/>
      <c r="M668" s="41" t="str"/>
      <c r="N668" s="66" t="str"/>
      <c r="O668" s="67" t="str"/>
      <c r="P668" s="41" t="str"/>
      <c r="Q668" s="41" t="str"/>
      <c r="R668" s="66" t="str"/>
      <c r="S668" s="67" t="str"/>
      <c r="T668" s="41" t="str"/>
      <c r="U668" s="41" t="str"/>
      <c r="V668" s="66" t="str"/>
      <c r="W668" s="67" t="str"/>
    </row>
    <row r="669">
      <c r="B669" s="2">
        <f>IF(STUDENTS!B668="","",STUDENTS!B668)</f>
        <v/>
      </c>
      <c r="C669" s="44">
        <f>IFERROR(IF(B669="","",_xlfn.XLOOKUP(B669,STUDENTS!$B$3:$B$1048576,STUDENTS!$C$3:$C$1048576)),"Enter a registered reg. no")</f>
        <v/>
      </c>
      <c r="D669" s="52">
        <f t="array" ref="D669:W669">IF(All_Students_Scores!C667:V667="","",All_Students_Scores!C667:V667)</f>
        <v/>
      </c>
      <c r="E669" s="55" t="str"/>
      <c r="F669" s="48" t="str"/>
      <c r="G669" s="58" t="str"/>
      <c r="H669" s="62" t="str"/>
      <c r="I669" s="63" t="str"/>
      <c r="J669" s="48" t="str"/>
      <c r="K669" s="58" t="str"/>
      <c r="L669" s="42" t="str"/>
      <c r="M669" s="42" t="str"/>
      <c r="N669" s="48" t="str"/>
      <c r="O669" s="58" t="str"/>
      <c r="P669" s="42" t="str"/>
      <c r="Q669" s="42" t="str"/>
      <c r="R669" s="48" t="str"/>
      <c r="S669" s="58" t="str"/>
      <c r="T669" s="42" t="str"/>
      <c r="U669" s="42" t="str"/>
      <c r="V669" s="48" t="str"/>
      <c r="W669" s="58" t="str"/>
      <c r="X669" s="42" t="n"/>
      <c r="Y669" s="42" t="n"/>
    </row>
    <row r="670">
      <c r="B670" s="2">
        <f>IF(STUDENTS!B669="","",STUDENTS!B669)</f>
        <v/>
      </c>
      <c r="C670" s="44">
        <f>IFERROR(IF(B670="","",_xlfn.XLOOKUP(B670,STUDENTS!$B$3:$B$1048576,STUDENTS!$C$3:$C$1048576)),"Enter a registered reg. no")</f>
        <v/>
      </c>
      <c r="D670" s="52">
        <f t="array" ref="D670:W670">IF(All_Students_Scores!C668:V668="","",All_Students_Scores!C668:V668)</f>
        <v/>
      </c>
      <c r="E670" s="57" t="str"/>
      <c r="F670" s="66" t="str"/>
      <c r="G670" s="67" t="str"/>
      <c r="H670" s="64" t="str"/>
      <c r="I670" s="65" t="str"/>
      <c r="J670" s="66" t="str"/>
      <c r="K670" s="67" t="str"/>
      <c r="L670" s="41" t="str"/>
      <c r="M670" s="41" t="str"/>
      <c r="N670" s="66" t="str"/>
      <c r="O670" s="67" t="str"/>
      <c r="P670" s="41" t="str"/>
      <c r="Q670" s="41" t="str"/>
      <c r="R670" s="66" t="str"/>
      <c r="S670" s="67" t="str"/>
      <c r="T670" s="41" t="str"/>
      <c r="U670" s="41" t="str"/>
      <c r="V670" s="66" t="str"/>
      <c r="W670" s="67" t="str"/>
    </row>
    <row r="671">
      <c r="B671" s="2">
        <f>IF(STUDENTS!B670="","",STUDENTS!B670)</f>
        <v/>
      </c>
      <c r="C671" s="44">
        <f>IFERROR(IF(B671="","",_xlfn.XLOOKUP(B671,STUDENTS!$B$3:$B$1048576,STUDENTS!$C$3:$C$1048576)),"Enter a registered reg. no")</f>
        <v/>
      </c>
      <c r="D671" s="52">
        <f t="array" ref="D671:W671">IF(All_Students_Scores!C669:V669="","",All_Students_Scores!C669:V669)</f>
        <v/>
      </c>
      <c r="E671" s="55" t="str"/>
      <c r="F671" s="48" t="str"/>
      <c r="G671" s="58" t="str"/>
      <c r="H671" s="62" t="str"/>
      <c r="I671" s="63" t="str"/>
      <c r="J671" s="48" t="str"/>
      <c r="K671" s="58" t="str"/>
      <c r="L671" s="42" t="str"/>
      <c r="M671" s="42" t="str"/>
      <c r="N671" s="48" t="str"/>
      <c r="O671" s="58" t="str"/>
      <c r="P671" s="42" t="str"/>
      <c r="Q671" s="42" t="str"/>
      <c r="R671" s="48" t="str"/>
      <c r="S671" s="58" t="str"/>
      <c r="T671" s="42" t="str"/>
      <c r="U671" s="42" t="str"/>
      <c r="V671" s="48" t="str"/>
      <c r="W671" s="58" t="str"/>
      <c r="X671" s="42" t="n"/>
      <c r="Y671" s="42" t="n"/>
    </row>
    <row r="672">
      <c r="B672" s="2">
        <f>IF(STUDENTS!B671="","",STUDENTS!B671)</f>
        <v/>
      </c>
      <c r="C672" s="44">
        <f>IFERROR(IF(B672="","",_xlfn.XLOOKUP(B672,STUDENTS!$B$3:$B$1048576,STUDENTS!$C$3:$C$1048576)),"Enter a registered reg. no")</f>
        <v/>
      </c>
      <c r="D672" s="52">
        <f t="array" ref="D672:W672">IF(All_Students_Scores!C670:V670="","",All_Students_Scores!C670:V670)</f>
        <v/>
      </c>
      <c r="E672" s="57" t="str"/>
      <c r="F672" s="66" t="str"/>
      <c r="G672" s="67" t="str"/>
      <c r="H672" s="64" t="str"/>
      <c r="I672" s="65" t="str"/>
      <c r="J672" s="66" t="str"/>
      <c r="K672" s="67" t="str"/>
      <c r="L672" s="41" t="str"/>
      <c r="M672" s="41" t="str"/>
      <c r="N672" s="66" t="str"/>
      <c r="O672" s="67" t="str"/>
      <c r="P672" s="41" t="str"/>
      <c r="Q672" s="41" t="str"/>
      <c r="R672" s="66" t="str"/>
      <c r="S672" s="67" t="str"/>
      <c r="T672" s="41" t="str"/>
      <c r="U672" s="41" t="str"/>
      <c r="V672" s="66" t="str"/>
      <c r="W672" s="67" t="str"/>
    </row>
    <row r="673">
      <c r="B673" s="2">
        <f>IF(STUDENTS!B672="","",STUDENTS!B672)</f>
        <v/>
      </c>
      <c r="C673" s="44">
        <f>IFERROR(IF(B673="","",_xlfn.XLOOKUP(B673,STUDENTS!$B$3:$B$1048576,STUDENTS!$C$3:$C$1048576)),"Enter a registered reg. no")</f>
        <v/>
      </c>
      <c r="D673" s="52">
        <f t="array" ref="D673:W673">IF(All_Students_Scores!C671:V671="","",All_Students_Scores!C671:V671)</f>
        <v/>
      </c>
      <c r="E673" s="55" t="str"/>
      <c r="F673" s="48" t="str"/>
      <c r="G673" s="58" t="str"/>
      <c r="H673" s="62" t="str"/>
      <c r="I673" s="63" t="str"/>
      <c r="J673" s="48" t="str"/>
      <c r="K673" s="58" t="str"/>
      <c r="L673" s="42" t="str"/>
      <c r="M673" s="42" t="str"/>
      <c r="N673" s="48" t="str"/>
      <c r="O673" s="58" t="str"/>
      <c r="P673" s="42" t="str"/>
      <c r="Q673" s="42" t="str"/>
      <c r="R673" s="48" t="str"/>
      <c r="S673" s="58" t="str"/>
      <c r="T673" s="42" t="str"/>
      <c r="U673" s="42" t="str"/>
      <c r="V673" s="48" t="str"/>
      <c r="W673" s="58" t="str"/>
      <c r="X673" s="42" t="n"/>
      <c r="Y673" s="42" t="n"/>
    </row>
    <row r="674">
      <c r="B674" s="2">
        <f>IF(STUDENTS!B673="","",STUDENTS!B673)</f>
        <v/>
      </c>
      <c r="C674" s="44">
        <f>IFERROR(IF(B674="","",_xlfn.XLOOKUP(B674,STUDENTS!$B$3:$B$1048576,STUDENTS!$C$3:$C$1048576)),"Enter a registered reg. no")</f>
        <v/>
      </c>
      <c r="D674" s="52">
        <f t="array" ref="D674:W674">IF(All_Students_Scores!C672:V672="","",All_Students_Scores!C672:V672)</f>
        <v/>
      </c>
      <c r="E674" s="57" t="str"/>
      <c r="F674" s="66" t="str"/>
      <c r="G674" s="67" t="str"/>
      <c r="H674" s="64" t="str"/>
      <c r="I674" s="65" t="str"/>
      <c r="J674" s="66" t="str"/>
      <c r="K674" s="67" t="str"/>
      <c r="L674" s="41" t="str"/>
      <c r="M674" s="41" t="str"/>
      <c r="N674" s="66" t="str"/>
      <c r="O674" s="67" t="str"/>
      <c r="P674" s="41" t="str"/>
      <c r="Q674" s="41" t="str"/>
      <c r="R674" s="66" t="str"/>
      <c r="S674" s="67" t="str"/>
      <c r="T674" s="41" t="str"/>
      <c r="U674" s="41" t="str"/>
      <c r="V674" s="66" t="str"/>
      <c r="W674" s="67" t="str"/>
    </row>
    <row r="675">
      <c r="B675" s="2">
        <f>IF(STUDENTS!B674="","",STUDENTS!B674)</f>
        <v/>
      </c>
      <c r="C675" s="44">
        <f>IFERROR(IF(B675="","",_xlfn.XLOOKUP(B675,STUDENTS!$B$3:$B$1048576,STUDENTS!$C$3:$C$1048576)),"Enter a registered reg. no")</f>
        <v/>
      </c>
      <c r="D675" s="52">
        <f t="array" ref="D675:W675">IF(All_Students_Scores!C673:V673="","",All_Students_Scores!C673:V673)</f>
        <v/>
      </c>
      <c r="E675" s="55" t="str"/>
      <c r="F675" s="48" t="str"/>
      <c r="G675" s="58" t="str"/>
      <c r="H675" s="62" t="str"/>
      <c r="I675" s="63" t="str"/>
      <c r="J675" s="48" t="str"/>
      <c r="K675" s="58" t="str"/>
      <c r="L675" s="42" t="str"/>
      <c r="M675" s="42" t="str"/>
      <c r="N675" s="48" t="str"/>
      <c r="O675" s="58" t="str"/>
      <c r="P675" s="42" t="str"/>
      <c r="Q675" s="42" t="str"/>
      <c r="R675" s="48" t="str"/>
      <c r="S675" s="58" t="str"/>
      <c r="T675" s="42" t="str"/>
      <c r="U675" s="42" t="str"/>
      <c r="V675" s="48" t="str"/>
      <c r="W675" s="58" t="str"/>
      <c r="X675" s="42" t="n"/>
      <c r="Y675" s="42" t="n"/>
    </row>
    <row r="676">
      <c r="B676" s="2">
        <f>IF(STUDENTS!B675="","",STUDENTS!B675)</f>
        <v/>
      </c>
      <c r="C676" s="44">
        <f>IFERROR(IF(B676="","",_xlfn.XLOOKUP(B676,STUDENTS!$B$3:$B$1048576,STUDENTS!$C$3:$C$1048576)),"Enter a registered reg. no")</f>
        <v/>
      </c>
      <c r="D676" s="52">
        <f t="array" ref="D676:W676">IF(All_Students_Scores!C674:V674="","",All_Students_Scores!C674:V674)</f>
        <v/>
      </c>
      <c r="E676" s="57" t="str"/>
      <c r="F676" s="66" t="str"/>
      <c r="G676" s="67" t="str"/>
      <c r="H676" s="64" t="str"/>
      <c r="I676" s="65" t="str"/>
      <c r="J676" s="66" t="str"/>
      <c r="K676" s="67" t="str"/>
      <c r="L676" s="41" t="str"/>
      <c r="M676" s="41" t="str"/>
      <c r="N676" s="66" t="str"/>
      <c r="O676" s="67" t="str"/>
      <c r="P676" s="41" t="str"/>
      <c r="Q676" s="41" t="str"/>
      <c r="R676" s="66" t="str"/>
      <c r="S676" s="67" t="str"/>
      <c r="T676" s="41" t="str"/>
      <c r="U676" s="41" t="str"/>
      <c r="V676" s="66" t="str"/>
      <c r="W676" s="67" t="str"/>
    </row>
    <row r="677">
      <c r="B677" s="2">
        <f>IF(STUDENTS!B676="","",STUDENTS!B676)</f>
        <v/>
      </c>
      <c r="C677" s="44">
        <f>IFERROR(IF(B677="","",_xlfn.XLOOKUP(B677,STUDENTS!$B$3:$B$1048576,STUDENTS!$C$3:$C$1048576)),"Enter a registered reg. no")</f>
        <v/>
      </c>
      <c r="D677" s="52">
        <f t="array" ref="D677:W677">IF(All_Students_Scores!C675:V675="","",All_Students_Scores!C675:V675)</f>
        <v/>
      </c>
      <c r="E677" s="55" t="str"/>
      <c r="F677" s="48" t="str"/>
      <c r="G677" s="58" t="str"/>
      <c r="H677" s="62" t="str"/>
      <c r="I677" s="63" t="str"/>
      <c r="J677" s="48" t="str"/>
      <c r="K677" s="58" t="str"/>
      <c r="L677" s="42" t="str"/>
      <c r="M677" s="42" t="str"/>
      <c r="N677" s="48" t="str"/>
      <c r="O677" s="58" t="str"/>
      <c r="P677" s="42" t="str"/>
      <c r="Q677" s="42" t="str"/>
      <c r="R677" s="48" t="str"/>
      <c r="S677" s="58" t="str"/>
      <c r="T677" s="42" t="str"/>
      <c r="U677" s="42" t="str"/>
      <c r="V677" s="48" t="str"/>
      <c r="W677" s="58" t="str"/>
      <c r="X677" s="42" t="n"/>
      <c r="Y677" s="42" t="n"/>
    </row>
    <row r="678">
      <c r="B678" s="2">
        <f>IF(STUDENTS!B677="","",STUDENTS!B677)</f>
        <v/>
      </c>
      <c r="C678" s="44">
        <f>IFERROR(IF(B678="","",_xlfn.XLOOKUP(B678,STUDENTS!$B$3:$B$1048576,STUDENTS!$C$3:$C$1048576)),"Enter a registered reg. no")</f>
        <v/>
      </c>
      <c r="D678" s="52">
        <f t="array" ref="D678:W678">IF(All_Students_Scores!C676:V676="","",All_Students_Scores!C676:V676)</f>
        <v/>
      </c>
      <c r="E678" s="57" t="str"/>
      <c r="F678" s="66" t="str"/>
      <c r="G678" s="67" t="str"/>
      <c r="H678" s="64" t="str"/>
      <c r="I678" s="65" t="str"/>
      <c r="J678" s="66" t="str"/>
      <c r="K678" s="67" t="str"/>
      <c r="L678" s="41" t="str"/>
      <c r="M678" s="41" t="str"/>
      <c r="N678" s="66" t="str"/>
      <c r="O678" s="67" t="str"/>
      <c r="P678" s="41" t="str"/>
      <c r="Q678" s="41" t="str"/>
      <c r="R678" s="66" t="str"/>
      <c r="S678" s="67" t="str"/>
      <c r="T678" s="41" t="str"/>
      <c r="U678" s="41" t="str"/>
      <c r="V678" s="66" t="str"/>
      <c r="W678" s="67" t="str"/>
    </row>
    <row r="679">
      <c r="B679" s="2">
        <f>IF(STUDENTS!B678="","",STUDENTS!B678)</f>
        <v/>
      </c>
      <c r="C679" s="44">
        <f>IFERROR(IF(B679="","",_xlfn.XLOOKUP(B679,STUDENTS!$B$3:$B$1048576,STUDENTS!$C$3:$C$1048576)),"Enter a registered reg. no")</f>
        <v/>
      </c>
      <c r="D679" s="52">
        <f t="array" ref="D679:W679">IF(All_Students_Scores!C677:V677="","",All_Students_Scores!C677:V677)</f>
        <v/>
      </c>
      <c r="E679" s="55" t="str"/>
      <c r="F679" s="48" t="str"/>
      <c r="G679" s="58" t="str"/>
      <c r="H679" s="62" t="str"/>
      <c r="I679" s="63" t="str"/>
      <c r="J679" s="48" t="str"/>
      <c r="K679" s="58" t="str"/>
      <c r="L679" s="42" t="str"/>
      <c r="M679" s="42" t="str"/>
      <c r="N679" s="48" t="str"/>
      <c r="O679" s="58" t="str"/>
      <c r="P679" s="42" t="str"/>
      <c r="Q679" s="42" t="str"/>
      <c r="R679" s="48" t="str"/>
      <c r="S679" s="58" t="str"/>
      <c r="T679" s="42" t="str"/>
      <c r="U679" s="42" t="str"/>
      <c r="V679" s="48" t="str"/>
      <c r="W679" s="58" t="str"/>
      <c r="X679" s="42" t="n"/>
      <c r="Y679" s="42" t="n"/>
    </row>
    <row r="680">
      <c r="B680" s="2">
        <f>IF(STUDENTS!B679="","",STUDENTS!B679)</f>
        <v/>
      </c>
      <c r="C680" s="44">
        <f>IFERROR(IF(B680="","",_xlfn.XLOOKUP(B680,STUDENTS!$B$3:$B$1048576,STUDENTS!$C$3:$C$1048576)),"Enter a registered reg. no")</f>
        <v/>
      </c>
      <c r="D680" s="52">
        <f t="array" ref="D680:W680">IF(All_Students_Scores!C678:V678="","",All_Students_Scores!C678:V678)</f>
        <v/>
      </c>
      <c r="E680" s="57" t="str"/>
      <c r="F680" s="66" t="str"/>
      <c r="G680" s="67" t="str"/>
      <c r="H680" s="64" t="str"/>
      <c r="I680" s="65" t="str"/>
      <c r="J680" s="66" t="str"/>
      <c r="K680" s="67" t="str"/>
      <c r="L680" s="41" t="str"/>
      <c r="M680" s="41" t="str"/>
      <c r="N680" s="66" t="str"/>
      <c r="O680" s="67" t="str"/>
      <c r="P680" s="41" t="str"/>
      <c r="Q680" s="41" t="str"/>
      <c r="R680" s="66" t="str"/>
      <c r="S680" s="67" t="str"/>
      <c r="T680" s="41" t="str"/>
      <c r="U680" s="41" t="str"/>
      <c r="V680" s="66" t="str"/>
      <c r="W680" s="67" t="str"/>
    </row>
    <row r="681">
      <c r="B681" s="2">
        <f>IF(STUDENTS!B680="","",STUDENTS!B680)</f>
        <v/>
      </c>
      <c r="C681" s="44">
        <f>IFERROR(IF(B681="","",_xlfn.XLOOKUP(B681,STUDENTS!$B$3:$B$1048576,STUDENTS!$C$3:$C$1048576)),"Enter a registered reg. no")</f>
        <v/>
      </c>
      <c r="D681" s="52">
        <f t="array" ref="D681:W681">IF(All_Students_Scores!C679:V679="","",All_Students_Scores!C679:V679)</f>
        <v/>
      </c>
      <c r="E681" s="55" t="str"/>
      <c r="F681" s="48" t="str"/>
      <c r="G681" s="58" t="str"/>
      <c r="H681" s="62" t="str"/>
      <c r="I681" s="63" t="str"/>
      <c r="J681" s="48" t="str"/>
      <c r="K681" s="58" t="str"/>
      <c r="L681" s="42" t="str"/>
      <c r="M681" s="42" t="str"/>
      <c r="N681" s="48" t="str"/>
      <c r="O681" s="58" t="str"/>
      <c r="P681" s="42" t="str"/>
      <c r="Q681" s="42" t="str"/>
      <c r="R681" s="48" t="str"/>
      <c r="S681" s="58" t="str"/>
      <c r="T681" s="42" t="str"/>
      <c r="U681" s="42" t="str"/>
      <c r="V681" s="48" t="str"/>
      <c r="W681" s="58" t="str"/>
      <c r="X681" s="42" t="n"/>
      <c r="Y681" s="42" t="n"/>
    </row>
    <row r="682">
      <c r="B682" s="2">
        <f>IF(STUDENTS!B681="","",STUDENTS!B681)</f>
        <v/>
      </c>
      <c r="C682" s="44">
        <f>IFERROR(IF(B682="","",_xlfn.XLOOKUP(B682,STUDENTS!$B$3:$B$1048576,STUDENTS!$C$3:$C$1048576)),"Enter a registered reg. no")</f>
        <v/>
      </c>
      <c r="D682" s="52">
        <f t="array" ref="D682:W682">IF(All_Students_Scores!C680:V680="","",All_Students_Scores!C680:V680)</f>
        <v/>
      </c>
      <c r="E682" s="57" t="str"/>
      <c r="F682" s="66" t="str"/>
      <c r="G682" s="67" t="str"/>
      <c r="H682" s="64" t="str"/>
      <c r="I682" s="65" t="str"/>
      <c r="J682" s="66" t="str"/>
      <c r="K682" s="67" t="str"/>
      <c r="L682" s="41" t="str"/>
      <c r="M682" s="41" t="str"/>
      <c r="N682" s="66" t="str"/>
      <c r="O682" s="67" t="str"/>
      <c r="P682" s="41" t="str"/>
      <c r="Q682" s="41" t="str"/>
      <c r="R682" s="66" t="str"/>
      <c r="S682" s="67" t="str"/>
      <c r="T682" s="41" t="str"/>
      <c r="U682" s="41" t="str"/>
      <c r="V682" s="66" t="str"/>
      <c r="W682" s="67" t="str"/>
    </row>
    <row r="683">
      <c r="B683" s="2">
        <f>IF(STUDENTS!B682="","",STUDENTS!B682)</f>
        <v/>
      </c>
      <c r="C683" s="44">
        <f>IFERROR(IF(B683="","",_xlfn.XLOOKUP(B683,STUDENTS!$B$3:$B$1048576,STUDENTS!$C$3:$C$1048576)),"Enter a registered reg. no")</f>
        <v/>
      </c>
      <c r="D683" s="52">
        <f t="array" ref="D683:W683">IF(All_Students_Scores!C681:V681="","",All_Students_Scores!C681:V681)</f>
        <v/>
      </c>
      <c r="E683" s="55" t="str"/>
      <c r="F683" s="48" t="str"/>
      <c r="G683" s="58" t="str"/>
      <c r="H683" s="62" t="str"/>
      <c r="I683" s="63" t="str"/>
      <c r="J683" s="48" t="str"/>
      <c r="K683" s="58" t="str"/>
      <c r="L683" s="42" t="str"/>
      <c r="M683" s="42" t="str"/>
      <c r="N683" s="48" t="str"/>
      <c r="O683" s="58" t="str"/>
      <c r="P683" s="42" t="str"/>
      <c r="Q683" s="42" t="str"/>
      <c r="R683" s="48" t="str"/>
      <c r="S683" s="58" t="str"/>
      <c r="T683" s="42" t="str"/>
      <c r="U683" s="42" t="str"/>
      <c r="V683" s="48" t="str"/>
      <c r="W683" s="58" t="str"/>
      <c r="X683" s="42" t="n"/>
      <c r="Y683" s="42" t="n"/>
    </row>
    <row r="684">
      <c r="B684" s="2">
        <f>IF(STUDENTS!B683="","",STUDENTS!B683)</f>
        <v/>
      </c>
      <c r="C684" s="44">
        <f>IFERROR(IF(B684="","",_xlfn.XLOOKUP(B684,STUDENTS!$B$3:$B$1048576,STUDENTS!$C$3:$C$1048576)),"Enter a registered reg. no")</f>
        <v/>
      </c>
      <c r="D684" s="52">
        <f t="array" ref="D684:W684">IF(All_Students_Scores!C682:V682="","",All_Students_Scores!C682:V682)</f>
        <v/>
      </c>
      <c r="E684" s="57" t="str"/>
      <c r="F684" s="66" t="str"/>
      <c r="G684" s="67" t="str"/>
      <c r="H684" s="64" t="str"/>
      <c r="I684" s="65" t="str"/>
      <c r="J684" s="66" t="str"/>
      <c r="K684" s="67" t="str"/>
      <c r="L684" s="41" t="str"/>
      <c r="M684" s="41" t="str"/>
      <c r="N684" s="66" t="str"/>
      <c r="O684" s="67" t="str"/>
      <c r="P684" s="41" t="str"/>
      <c r="Q684" s="41" t="str"/>
      <c r="R684" s="66" t="str"/>
      <c r="S684" s="67" t="str"/>
      <c r="T684" s="41" t="str"/>
      <c r="U684" s="41" t="str"/>
      <c r="V684" s="66" t="str"/>
      <c r="W684" s="67" t="str"/>
    </row>
    <row r="685">
      <c r="B685" s="2">
        <f>IF(STUDENTS!B684="","",STUDENTS!B684)</f>
        <v/>
      </c>
      <c r="C685" s="44">
        <f>IFERROR(IF(B685="","",_xlfn.XLOOKUP(B685,STUDENTS!$B$3:$B$1048576,STUDENTS!$C$3:$C$1048576)),"Enter a registered reg. no")</f>
        <v/>
      </c>
      <c r="D685" s="52">
        <f t="array" ref="D685:W685">IF(All_Students_Scores!C683:V683="","",All_Students_Scores!C683:V683)</f>
        <v/>
      </c>
      <c r="E685" s="55" t="str"/>
      <c r="F685" s="48" t="str"/>
      <c r="G685" s="58" t="str"/>
      <c r="H685" s="62" t="str"/>
      <c r="I685" s="63" t="str"/>
      <c r="J685" s="48" t="str"/>
      <c r="K685" s="58" t="str"/>
      <c r="L685" s="42" t="str"/>
      <c r="M685" s="42" t="str"/>
      <c r="N685" s="48" t="str"/>
      <c r="O685" s="58" t="str"/>
      <c r="P685" s="42" t="str"/>
      <c r="Q685" s="42" t="str"/>
      <c r="R685" s="48" t="str"/>
      <c r="S685" s="58" t="str"/>
      <c r="T685" s="42" t="str"/>
      <c r="U685" s="42" t="str"/>
      <c r="V685" s="48" t="str"/>
      <c r="W685" s="58" t="str"/>
      <c r="X685" s="42" t="n"/>
      <c r="Y685" s="42" t="n"/>
    </row>
    <row r="686">
      <c r="B686" s="2">
        <f>IF(STUDENTS!B685="","",STUDENTS!B685)</f>
        <v/>
      </c>
      <c r="C686" s="44">
        <f>IFERROR(IF(B686="","",_xlfn.XLOOKUP(B686,STUDENTS!$B$3:$B$1048576,STUDENTS!$C$3:$C$1048576)),"Enter a registered reg. no")</f>
        <v/>
      </c>
      <c r="D686" s="52">
        <f t="array" ref="D686:W686">IF(All_Students_Scores!C684:V684="","",All_Students_Scores!C684:V684)</f>
        <v/>
      </c>
      <c r="E686" s="57" t="str"/>
      <c r="F686" s="66" t="str"/>
      <c r="G686" s="67" t="str"/>
      <c r="H686" s="64" t="str"/>
      <c r="I686" s="65" t="str"/>
      <c r="J686" s="66" t="str"/>
      <c r="K686" s="67" t="str"/>
      <c r="L686" s="41" t="str"/>
      <c r="M686" s="41" t="str"/>
      <c r="N686" s="66" t="str"/>
      <c r="O686" s="67" t="str"/>
      <c r="P686" s="41" t="str"/>
      <c r="Q686" s="41" t="str"/>
      <c r="R686" s="66" t="str"/>
      <c r="S686" s="67" t="str"/>
      <c r="T686" s="41" t="str"/>
      <c r="U686" s="41" t="str"/>
      <c r="V686" s="66" t="str"/>
      <c r="W686" s="67" t="str"/>
    </row>
    <row r="687">
      <c r="B687" s="2">
        <f>IF(STUDENTS!B686="","",STUDENTS!B686)</f>
        <v/>
      </c>
      <c r="C687" s="44">
        <f>IFERROR(IF(B687="","",_xlfn.XLOOKUP(B687,STUDENTS!$B$3:$B$1048576,STUDENTS!$C$3:$C$1048576)),"Enter a registered reg. no")</f>
        <v/>
      </c>
      <c r="D687" s="52">
        <f t="array" ref="D687:W687">IF(All_Students_Scores!C685:V685="","",All_Students_Scores!C685:V685)</f>
        <v/>
      </c>
      <c r="E687" s="55" t="str"/>
      <c r="F687" s="48" t="str"/>
      <c r="G687" s="58" t="str"/>
      <c r="H687" s="62" t="str"/>
      <c r="I687" s="63" t="str"/>
      <c r="J687" s="48" t="str"/>
      <c r="K687" s="58" t="str"/>
      <c r="L687" s="42" t="str"/>
      <c r="M687" s="42" t="str"/>
      <c r="N687" s="48" t="str"/>
      <c r="O687" s="58" t="str"/>
      <c r="P687" s="42" t="str"/>
      <c r="Q687" s="42" t="str"/>
      <c r="R687" s="48" t="str"/>
      <c r="S687" s="58" t="str"/>
      <c r="T687" s="42" t="str"/>
      <c r="U687" s="42" t="str"/>
      <c r="V687" s="48" t="str"/>
      <c r="W687" s="58" t="str"/>
      <c r="X687" s="42" t="n"/>
      <c r="Y687" s="42" t="n"/>
    </row>
    <row r="688">
      <c r="B688" s="2">
        <f>IF(STUDENTS!B687="","",STUDENTS!B687)</f>
        <v/>
      </c>
      <c r="C688" s="44">
        <f>IFERROR(IF(B688="","",_xlfn.XLOOKUP(B688,STUDENTS!$B$3:$B$1048576,STUDENTS!$C$3:$C$1048576)),"Enter a registered reg. no")</f>
        <v/>
      </c>
      <c r="D688" s="52">
        <f t="array" ref="D688:W688">IF(All_Students_Scores!C686:V686="","",All_Students_Scores!C686:V686)</f>
        <v/>
      </c>
      <c r="E688" s="57" t="str"/>
      <c r="F688" s="66" t="str"/>
      <c r="G688" s="67" t="str"/>
      <c r="H688" s="64" t="str"/>
      <c r="I688" s="65" t="str"/>
      <c r="J688" s="66" t="str"/>
      <c r="K688" s="67" t="str"/>
      <c r="L688" s="41" t="str"/>
      <c r="M688" s="41" t="str"/>
      <c r="N688" s="66" t="str"/>
      <c r="O688" s="67" t="str"/>
      <c r="P688" s="41" t="str"/>
      <c r="Q688" s="41" t="str"/>
      <c r="R688" s="66" t="str"/>
      <c r="S688" s="67" t="str"/>
      <c r="T688" s="41" t="str"/>
      <c r="U688" s="41" t="str"/>
      <c r="V688" s="66" t="str"/>
      <c r="W688" s="67" t="str"/>
    </row>
    <row r="689">
      <c r="B689" s="2">
        <f>IF(STUDENTS!B688="","",STUDENTS!B688)</f>
        <v/>
      </c>
      <c r="C689" s="44">
        <f>IFERROR(IF(B689="","",_xlfn.XLOOKUP(B689,STUDENTS!$B$3:$B$1048576,STUDENTS!$C$3:$C$1048576)),"Enter a registered reg. no")</f>
        <v/>
      </c>
      <c r="D689" s="52">
        <f t="array" ref="D689:W689">IF(All_Students_Scores!C687:V687="","",All_Students_Scores!C687:V687)</f>
        <v/>
      </c>
      <c r="E689" s="55" t="str"/>
      <c r="F689" s="48" t="str"/>
      <c r="G689" s="58" t="str"/>
      <c r="H689" s="62" t="str"/>
      <c r="I689" s="63" t="str"/>
      <c r="J689" s="48" t="str"/>
      <c r="K689" s="58" t="str"/>
      <c r="L689" s="42" t="str"/>
      <c r="M689" s="42" t="str"/>
      <c r="N689" s="48" t="str"/>
      <c r="O689" s="58" t="str"/>
      <c r="P689" s="42" t="str"/>
      <c r="Q689" s="42" t="str"/>
      <c r="R689" s="48" t="str"/>
      <c r="S689" s="58" t="str"/>
      <c r="T689" s="42" t="str"/>
      <c r="U689" s="42" t="str"/>
      <c r="V689" s="48" t="str"/>
      <c r="W689" s="58" t="str"/>
      <c r="X689" s="42" t="n"/>
      <c r="Y689" s="42" t="n"/>
    </row>
    <row r="690">
      <c r="B690" s="2">
        <f>IF(STUDENTS!B689="","",STUDENTS!B689)</f>
        <v/>
      </c>
      <c r="C690" s="44">
        <f>IFERROR(IF(B690="","",_xlfn.XLOOKUP(B690,STUDENTS!$B$3:$B$1048576,STUDENTS!$C$3:$C$1048576)),"Enter a registered reg. no")</f>
        <v/>
      </c>
      <c r="D690" s="52">
        <f t="array" ref="D690:W690">IF(All_Students_Scores!C688:V688="","",All_Students_Scores!C688:V688)</f>
        <v/>
      </c>
      <c r="E690" s="57" t="str"/>
      <c r="F690" s="66" t="str"/>
      <c r="G690" s="67" t="str"/>
      <c r="H690" s="64" t="str"/>
      <c r="I690" s="65" t="str"/>
      <c r="J690" s="66" t="str"/>
      <c r="K690" s="67" t="str"/>
      <c r="L690" s="41" t="str"/>
      <c r="M690" s="41" t="str"/>
      <c r="N690" s="66" t="str"/>
      <c r="O690" s="67" t="str"/>
      <c r="P690" s="41" t="str"/>
      <c r="Q690" s="41" t="str"/>
      <c r="R690" s="66" t="str"/>
      <c r="S690" s="67" t="str"/>
      <c r="T690" s="41" t="str"/>
      <c r="U690" s="41" t="str"/>
      <c r="V690" s="66" t="str"/>
      <c r="W690" s="67" t="str"/>
    </row>
    <row r="691">
      <c r="B691" s="2">
        <f>IF(STUDENTS!B690="","",STUDENTS!B690)</f>
        <v/>
      </c>
      <c r="C691" s="44">
        <f>IFERROR(IF(B691="","",_xlfn.XLOOKUP(B691,STUDENTS!$B$3:$B$1048576,STUDENTS!$C$3:$C$1048576)),"Enter a registered reg. no")</f>
        <v/>
      </c>
      <c r="D691" s="52">
        <f t="array" ref="D691:W691">IF(All_Students_Scores!C689:V689="","",All_Students_Scores!C689:V689)</f>
        <v/>
      </c>
      <c r="E691" s="55" t="str"/>
      <c r="F691" s="48" t="str"/>
      <c r="G691" s="58" t="str"/>
      <c r="H691" s="62" t="str"/>
      <c r="I691" s="63" t="str"/>
      <c r="J691" s="48" t="str"/>
      <c r="K691" s="58" t="str"/>
      <c r="L691" s="42" t="str"/>
      <c r="M691" s="42" t="str"/>
      <c r="N691" s="48" t="str"/>
      <c r="O691" s="58" t="str"/>
      <c r="P691" s="42" t="str"/>
      <c r="Q691" s="42" t="str"/>
      <c r="R691" s="48" t="str"/>
      <c r="S691" s="58" t="str"/>
      <c r="T691" s="42" t="str"/>
      <c r="U691" s="42" t="str"/>
      <c r="V691" s="48" t="str"/>
      <c r="W691" s="58" t="str"/>
      <c r="X691" s="42" t="n"/>
      <c r="Y691" s="42" t="n"/>
    </row>
    <row r="692">
      <c r="B692" s="2">
        <f>IF(STUDENTS!B691="","",STUDENTS!B691)</f>
        <v/>
      </c>
      <c r="C692" s="44">
        <f>IFERROR(IF(B692="","",_xlfn.XLOOKUP(B692,STUDENTS!$B$3:$B$1048576,STUDENTS!$C$3:$C$1048576)),"Enter a registered reg. no")</f>
        <v/>
      </c>
      <c r="D692" s="52">
        <f t="array" ref="D692:W692">IF(All_Students_Scores!C690:V690="","",All_Students_Scores!C690:V690)</f>
        <v/>
      </c>
      <c r="E692" s="57" t="str"/>
      <c r="F692" s="66" t="str"/>
      <c r="G692" s="67" t="str"/>
      <c r="H692" s="64" t="str"/>
      <c r="I692" s="65" t="str"/>
      <c r="J692" s="66" t="str"/>
      <c r="K692" s="67" t="str"/>
      <c r="L692" s="41" t="str"/>
      <c r="M692" s="41" t="str"/>
      <c r="N692" s="66" t="str"/>
      <c r="O692" s="67" t="str"/>
      <c r="P692" s="41" t="str"/>
      <c r="Q692" s="41" t="str"/>
      <c r="R692" s="66" t="str"/>
      <c r="S692" s="67" t="str"/>
      <c r="T692" s="41" t="str"/>
      <c r="U692" s="41" t="str"/>
      <c r="V692" s="66" t="str"/>
      <c r="W692" s="67" t="str"/>
    </row>
    <row r="693">
      <c r="B693" s="2">
        <f>IF(STUDENTS!B692="","",STUDENTS!B692)</f>
        <v/>
      </c>
      <c r="C693" s="44">
        <f>IFERROR(IF(B693="","",_xlfn.XLOOKUP(B693,STUDENTS!$B$3:$B$1048576,STUDENTS!$C$3:$C$1048576)),"Enter a registered reg. no")</f>
        <v/>
      </c>
      <c r="D693" s="52">
        <f t="array" ref="D693:W693">IF(All_Students_Scores!C691:V691="","",All_Students_Scores!C691:V691)</f>
        <v/>
      </c>
      <c r="E693" s="55" t="str"/>
      <c r="F693" s="48" t="str"/>
      <c r="G693" s="58" t="str"/>
      <c r="H693" s="62" t="str"/>
      <c r="I693" s="63" t="str"/>
      <c r="J693" s="48" t="str"/>
      <c r="K693" s="58" t="str"/>
      <c r="L693" s="42" t="str"/>
      <c r="M693" s="42" t="str"/>
      <c r="N693" s="48" t="str"/>
      <c r="O693" s="58" t="str"/>
      <c r="P693" s="42" t="str"/>
      <c r="Q693" s="42" t="str"/>
      <c r="R693" s="48" t="str"/>
      <c r="S693" s="58" t="str"/>
      <c r="T693" s="42" t="str"/>
      <c r="U693" s="42" t="str"/>
      <c r="V693" s="48" t="str"/>
      <c r="W693" s="58" t="str"/>
      <c r="X693" s="42" t="n"/>
      <c r="Y693" s="42" t="n"/>
    </row>
    <row r="694">
      <c r="B694" s="2">
        <f>IF(STUDENTS!B693="","",STUDENTS!B693)</f>
        <v/>
      </c>
      <c r="C694" s="44">
        <f>IFERROR(IF(B694="","",_xlfn.XLOOKUP(B694,STUDENTS!$B$3:$B$1048576,STUDENTS!$C$3:$C$1048576)),"Enter a registered reg. no")</f>
        <v/>
      </c>
      <c r="D694" s="52">
        <f t="array" ref="D694:W694">IF(All_Students_Scores!C692:V692="","",All_Students_Scores!C692:V692)</f>
        <v/>
      </c>
      <c r="E694" s="57" t="str"/>
      <c r="F694" s="66" t="str"/>
      <c r="G694" s="67" t="str"/>
      <c r="H694" s="64" t="str"/>
      <c r="I694" s="65" t="str"/>
      <c r="J694" s="66" t="str"/>
      <c r="K694" s="67" t="str"/>
      <c r="L694" s="41" t="str"/>
      <c r="M694" s="41" t="str"/>
      <c r="N694" s="66" t="str"/>
      <c r="O694" s="67" t="str"/>
      <c r="P694" s="41" t="str"/>
      <c r="Q694" s="41" t="str"/>
      <c r="R694" s="66" t="str"/>
      <c r="S694" s="67" t="str"/>
      <c r="T694" s="41" t="str"/>
      <c r="U694" s="41" t="str"/>
      <c r="V694" s="66" t="str"/>
      <c r="W694" s="67" t="str"/>
    </row>
    <row r="695">
      <c r="B695" s="2">
        <f>IF(STUDENTS!B694="","",STUDENTS!B694)</f>
        <v/>
      </c>
      <c r="C695" s="44">
        <f>IFERROR(IF(B695="","",_xlfn.XLOOKUP(B695,STUDENTS!$B$3:$B$1048576,STUDENTS!$C$3:$C$1048576)),"Enter a registered reg. no")</f>
        <v/>
      </c>
      <c r="D695" s="52">
        <f t="array" ref="D695:W695">IF(All_Students_Scores!C693:V693="","",All_Students_Scores!C693:V693)</f>
        <v/>
      </c>
      <c r="E695" s="55" t="str"/>
      <c r="F695" s="48" t="str"/>
      <c r="G695" s="58" t="str"/>
      <c r="H695" s="62" t="str"/>
      <c r="I695" s="63" t="str"/>
      <c r="J695" s="48" t="str"/>
      <c r="K695" s="58" t="str"/>
      <c r="L695" s="42" t="str"/>
      <c r="M695" s="42" t="str"/>
      <c r="N695" s="48" t="str"/>
      <c r="O695" s="58" t="str"/>
      <c r="P695" s="42" t="str"/>
      <c r="Q695" s="42" t="str"/>
      <c r="R695" s="48" t="str"/>
      <c r="S695" s="58" t="str"/>
      <c r="T695" s="42" t="str"/>
      <c r="U695" s="42" t="str"/>
      <c r="V695" s="48" t="str"/>
      <c r="W695" s="58" t="str"/>
      <c r="X695" s="42" t="n"/>
      <c r="Y695" s="42" t="n"/>
    </row>
    <row r="696">
      <c r="B696" s="2">
        <f>IF(STUDENTS!B695="","",STUDENTS!B695)</f>
        <v/>
      </c>
      <c r="C696" s="44">
        <f>IFERROR(IF(B696="","",_xlfn.XLOOKUP(B696,STUDENTS!$B$3:$B$1048576,STUDENTS!$C$3:$C$1048576)),"Enter a registered reg. no")</f>
        <v/>
      </c>
      <c r="D696" s="52">
        <f t="array" ref="D696:W696">IF(All_Students_Scores!C694:V694="","",All_Students_Scores!C694:V694)</f>
        <v/>
      </c>
      <c r="E696" s="57" t="str"/>
      <c r="F696" s="66" t="str"/>
      <c r="G696" s="67" t="str"/>
      <c r="H696" s="64" t="str"/>
      <c r="I696" s="65" t="str"/>
      <c r="J696" s="66" t="str"/>
      <c r="K696" s="67" t="str"/>
      <c r="L696" s="41" t="str"/>
      <c r="M696" s="41" t="str"/>
      <c r="N696" s="66" t="str"/>
      <c r="O696" s="67" t="str"/>
      <c r="P696" s="41" t="str"/>
      <c r="Q696" s="41" t="str"/>
      <c r="R696" s="66" t="str"/>
      <c r="S696" s="67" t="str"/>
      <c r="T696" s="41" t="str"/>
      <c r="U696" s="41" t="str"/>
      <c r="V696" s="66" t="str"/>
      <c r="W696" s="67" t="str"/>
    </row>
    <row r="697">
      <c r="B697" s="2">
        <f>IF(STUDENTS!B696="","",STUDENTS!B696)</f>
        <v/>
      </c>
      <c r="C697" s="44">
        <f>IFERROR(IF(B697="","",_xlfn.XLOOKUP(B697,STUDENTS!$B$3:$B$1048576,STUDENTS!$C$3:$C$1048576)),"Enter a registered reg. no")</f>
        <v/>
      </c>
      <c r="D697" s="52">
        <f t="array" ref="D697:W697">IF(All_Students_Scores!C695:V695="","",All_Students_Scores!C695:V695)</f>
        <v/>
      </c>
      <c r="E697" s="55" t="str"/>
      <c r="F697" s="48" t="str"/>
      <c r="G697" s="58" t="str"/>
      <c r="H697" s="62" t="str"/>
      <c r="I697" s="63" t="str"/>
      <c r="J697" s="48" t="str"/>
      <c r="K697" s="58" t="str"/>
      <c r="L697" s="42" t="str"/>
      <c r="M697" s="42" t="str"/>
      <c r="N697" s="48" t="str"/>
      <c r="O697" s="58" t="str"/>
      <c r="P697" s="42" t="str"/>
      <c r="Q697" s="42" t="str"/>
      <c r="R697" s="48" t="str"/>
      <c r="S697" s="58" t="str"/>
      <c r="T697" s="42" t="str"/>
      <c r="U697" s="42" t="str"/>
      <c r="V697" s="48" t="str"/>
      <c r="W697" s="58" t="str"/>
      <c r="X697" s="42" t="n"/>
      <c r="Y697" s="42" t="n"/>
    </row>
    <row r="698">
      <c r="B698" s="2">
        <f>IF(STUDENTS!B697="","",STUDENTS!B697)</f>
        <v/>
      </c>
      <c r="C698" s="44">
        <f>IFERROR(IF(B698="","",_xlfn.XLOOKUP(B698,STUDENTS!$B$3:$B$1048576,STUDENTS!$C$3:$C$1048576)),"Enter a registered reg. no")</f>
        <v/>
      </c>
      <c r="D698" s="52">
        <f t="array" ref="D698:W698">IF(All_Students_Scores!C696:V696="","",All_Students_Scores!C696:V696)</f>
        <v/>
      </c>
      <c r="E698" s="57" t="str"/>
      <c r="F698" s="66" t="str"/>
      <c r="G698" s="67" t="str"/>
      <c r="H698" s="64" t="str"/>
      <c r="I698" s="65" t="str"/>
      <c r="J698" s="66" t="str"/>
      <c r="K698" s="67" t="str"/>
      <c r="L698" s="41" t="str"/>
      <c r="M698" s="41" t="str"/>
      <c r="N698" s="66" t="str"/>
      <c r="O698" s="67" t="str"/>
      <c r="P698" s="41" t="str"/>
      <c r="Q698" s="41" t="str"/>
      <c r="R698" s="66" t="str"/>
      <c r="S698" s="67" t="str"/>
      <c r="T698" s="41" t="str"/>
      <c r="U698" s="41" t="str"/>
      <c r="V698" s="66" t="str"/>
      <c r="W698" s="67" t="str"/>
    </row>
    <row r="699">
      <c r="B699" s="2">
        <f>IF(STUDENTS!B698="","",STUDENTS!B698)</f>
        <v/>
      </c>
      <c r="C699" s="44">
        <f>IFERROR(IF(B699="","",_xlfn.XLOOKUP(B699,STUDENTS!$B$3:$B$1048576,STUDENTS!$C$3:$C$1048576)),"Enter a registered reg. no")</f>
        <v/>
      </c>
      <c r="D699" s="52">
        <f t="array" ref="D699:W699">IF(All_Students_Scores!C697:V697="","",All_Students_Scores!C697:V697)</f>
        <v/>
      </c>
      <c r="E699" s="55" t="str"/>
      <c r="F699" s="48" t="str"/>
      <c r="G699" s="58" t="str"/>
      <c r="H699" s="62" t="str"/>
      <c r="I699" s="63" t="str"/>
      <c r="J699" s="48" t="str"/>
      <c r="K699" s="58" t="str"/>
      <c r="L699" s="42" t="str"/>
      <c r="M699" s="42" t="str"/>
      <c r="N699" s="48" t="str"/>
      <c r="O699" s="58" t="str"/>
      <c r="P699" s="42" t="str"/>
      <c r="Q699" s="42" t="str"/>
      <c r="R699" s="48" t="str"/>
      <c r="S699" s="58" t="str"/>
      <c r="T699" s="42" t="str"/>
      <c r="U699" s="42" t="str"/>
      <c r="V699" s="48" t="str"/>
      <c r="W699" s="58" t="str"/>
      <c r="X699" s="42" t="n"/>
      <c r="Y699" s="42" t="n"/>
    </row>
    <row r="700">
      <c r="B700" s="2">
        <f>IF(STUDENTS!B699="","",STUDENTS!B699)</f>
        <v/>
      </c>
      <c r="C700" s="44">
        <f>IFERROR(IF(B700="","",_xlfn.XLOOKUP(B700,STUDENTS!$B$3:$B$1048576,STUDENTS!$C$3:$C$1048576)),"Enter a registered reg. no")</f>
        <v/>
      </c>
      <c r="D700" s="52">
        <f t="array" ref="D700:W700">IF(All_Students_Scores!C698:V698="","",All_Students_Scores!C698:V698)</f>
        <v/>
      </c>
      <c r="E700" s="57" t="str"/>
      <c r="F700" s="66" t="str"/>
      <c r="G700" s="67" t="str"/>
      <c r="H700" s="64" t="str"/>
      <c r="I700" s="65" t="str"/>
      <c r="J700" s="66" t="str"/>
      <c r="K700" s="67" t="str"/>
      <c r="L700" s="41" t="str"/>
      <c r="M700" s="41" t="str"/>
      <c r="N700" s="66" t="str"/>
      <c r="O700" s="67" t="str"/>
      <c r="P700" s="41" t="str"/>
      <c r="Q700" s="41" t="str"/>
      <c r="R700" s="66" t="str"/>
      <c r="S700" s="67" t="str"/>
      <c r="T700" s="41" t="str"/>
      <c r="U700" s="41" t="str"/>
      <c r="V700" s="66" t="str"/>
      <c r="W700" s="67" t="str"/>
    </row>
    <row r="701">
      <c r="B701" s="2">
        <f>IF(STUDENTS!B700="","",STUDENTS!B700)</f>
        <v/>
      </c>
      <c r="C701" s="44">
        <f>IFERROR(IF(B701="","",_xlfn.XLOOKUP(B701,STUDENTS!$B$3:$B$1048576,STUDENTS!$C$3:$C$1048576)),"Enter a registered reg. no")</f>
        <v/>
      </c>
      <c r="D701" s="52">
        <f t="array" ref="D701:W701">IF(All_Students_Scores!C699:V699="","",All_Students_Scores!C699:V699)</f>
        <v/>
      </c>
      <c r="E701" s="55" t="str"/>
      <c r="F701" s="48" t="str"/>
      <c r="G701" s="58" t="str"/>
      <c r="H701" s="62" t="str"/>
      <c r="I701" s="63" t="str"/>
      <c r="J701" s="48" t="str"/>
      <c r="K701" s="58" t="str"/>
      <c r="L701" s="42" t="str"/>
      <c r="M701" s="42" t="str"/>
      <c r="N701" s="48" t="str"/>
      <c r="O701" s="58" t="str"/>
      <c r="P701" s="42" t="str"/>
      <c r="Q701" s="42" t="str"/>
      <c r="R701" s="48" t="str"/>
      <c r="S701" s="58" t="str"/>
      <c r="T701" s="42" t="str"/>
      <c r="U701" s="42" t="str"/>
      <c r="V701" s="48" t="str"/>
      <c r="W701" s="58" t="str"/>
      <c r="X701" s="42" t="n"/>
      <c r="Y701" s="42" t="n"/>
    </row>
    <row r="702">
      <c r="B702" s="2">
        <f>IF(STUDENTS!B701="","",STUDENTS!B701)</f>
        <v/>
      </c>
      <c r="C702" s="44">
        <f>IFERROR(IF(B702="","",_xlfn.XLOOKUP(B702,STUDENTS!$B$3:$B$1048576,STUDENTS!$C$3:$C$1048576)),"Enter a registered reg. no")</f>
        <v/>
      </c>
      <c r="D702" s="52">
        <f t="array" ref="D702:W702">IF(All_Students_Scores!C700:V700="","",All_Students_Scores!C700:V700)</f>
        <v/>
      </c>
      <c r="E702" s="57" t="str"/>
      <c r="F702" s="66" t="str"/>
      <c r="G702" s="67" t="str"/>
      <c r="H702" s="64" t="str"/>
      <c r="I702" s="65" t="str"/>
      <c r="J702" s="66" t="str"/>
      <c r="K702" s="67" t="str"/>
      <c r="L702" s="41" t="str"/>
      <c r="M702" s="41" t="str"/>
      <c r="N702" s="66" t="str"/>
      <c r="O702" s="67" t="str"/>
      <c r="P702" s="41" t="str"/>
      <c r="Q702" s="41" t="str"/>
      <c r="R702" s="66" t="str"/>
      <c r="S702" s="67" t="str"/>
      <c r="T702" s="41" t="str"/>
      <c r="U702" s="41" t="str"/>
      <c r="V702" s="66" t="str"/>
      <c r="W702" s="67" t="str"/>
    </row>
    <row r="703">
      <c r="B703" s="2">
        <f>IF(STUDENTS!B702="","",STUDENTS!B702)</f>
        <v/>
      </c>
      <c r="C703" s="44">
        <f>IFERROR(IF(B703="","",_xlfn.XLOOKUP(B703,STUDENTS!$B$3:$B$1048576,STUDENTS!$C$3:$C$1048576)),"Enter a registered reg. no")</f>
        <v/>
      </c>
      <c r="D703" s="52">
        <f t="array" ref="D703:W703">IF(All_Students_Scores!C701:V701="","",All_Students_Scores!C701:V701)</f>
        <v/>
      </c>
      <c r="E703" s="55" t="str"/>
      <c r="F703" s="48" t="str"/>
      <c r="G703" s="58" t="str"/>
      <c r="H703" s="62" t="str"/>
      <c r="I703" s="63" t="str"/>
      <c r="J703" s="48" t="str"/>
      <c r="K703" s="58" t="str"/>
      <c r="L703" s="42" t="str"/>
      <c r="M703" s="42" t="str"/>
      <c r="N703" s="48" t="str"/>
      <c r="O703" s="58" t="str"/>
      <c r="P703" s="42" t="str"/>
      <c r="Q703" s="42" t="str"/>
      <c r="R703" s="48" t="str"/>
      <c r="S703" s="58" t="str"/>
      <c r="T703" s="42" t="str"/>
      <c r="U703" s="42" t="str"/>
      <c r="V703" s="48" t="str"/>
      <c r="W703" s="58" t="str"/>
      <c r="X703" s="42" t="n"/>
      <c r="Y703" s="42" t="n"/>
    </row>
    <row r="704">
      <c r="B704" s="2">
        <f>IF(STUDENTS!B703="","",STUDENTS!B703)</f>
        <v/>
      </c>
      <c r="C704" s="44">
        <f>IFERROR(IF(B704="","",_xlfn.XLOOKUP(B704,STUDENTS!$B$3:$B$1048576,STUDENTS!$C$3:$C$1048576)),"Enter a registered reg. no")</f>
        <v/>
      </c>
      <c r="D704" s="52">
        <f t="array" ref="D704:W704">IF(All_Students_Scores!C702:V702="","",All_Students_Scores!C702:V702)</f>
        <v/>
      </c>
      <c r="E704" s="57" t="str"/>
      <c r="F704" s="66" t="str"/>
      <c r="G704" s="67" t="str"/>
      <c r="H704" s="64" t="str"/>
      <c r="I704" s="65" t="str"/>
      <c r="J704" s="66" t="str"/>
      <c r="K704" s="67" t="str"/>
      <c r="L704" s="41" t="str"/>
      <c r="M704" s="41" t="str"/>
      <c r="N704" s="66" t="str"/>
      <c r="O704" s="67" t="str"/>
      <c r="P704" s="41" t="str"/>
      <c r="Q704" s="41" t="str"/>
      <c r="R704" s="66" t="str"/>
      <c r="S704" s="67" t="str"/>
      <c r="T704" s="41" t="str"/>
      <c r="U704" s="41" t="str"/>
      <c r="V704" s="66" t="str"/>
      <c r="W704" s="67" t="str"/>
    </row>
    <row r="705">
      <c r="B705" s="2">
        <f>IF(STUDENTS!B704="","",STUDENTS!B704)</f>
        <v/>
      </c>
      <c r="C705" s="44">
        <f>IFERROR(IF(B705="","",_xlfn.XLOOKUP(B705,STUDENTS!$B$3:$B$1048576,STUDENTS!$C$3:$C$1048576)),"Enter a registered reg. no")</f>
        <v/>
      </c>
      <c r="D705" s="52">
        <f t="array" ref="D705:W705">IF(All_Students_Scores!C703:V703="","",All_Students_Scores!C703:V703)</f>
        <v/>
      </c>
      <c r="E705" s="55" t="str"/>
      <c r="F705" s="48" t="str"/>
      <c r="G705" s="58" t="str"/>
      <c r="H705" s="62" t="str"/>
      <c r="I705" s="63" t="str"/>
      <c r="J705" s="48" t="str"/>
      <c r="K705" s="58" t="str"/>
      <c r="L705" s="42" t="str"/>
      <c r="M705" s="42" t="str"/>
      <c r="N705" s="48" t="str"/>
      <c r="O705" s="58" t="str"/>
      <c r="P705" s="42" t="str"/>
      <c r="Q705" s="42" t="str"/>
      <c r="R705" s="48" t="str"/>
      <c r="S705" s="58" t="str"/>
      <c r="T705" s="42" t="str"/>
      <c r="U705" s="42" t="str"/>
      <c r="V705" s="48" t="str"/>
      <c r="W705" s="58" t="str"/>
      <c r="X705" s="42" t="n"/>
      <c r="Y705" s="42" t="n"/>
    </row>
    <row r="706">
      <c r="B706" s="2">
        <f>IF(STUDENTS!B705="","",STUDENTS!B705)</f>
        <v/>
      </c>
      <c r="C706" s="44">
        <f>IFERROR(IF(B706="","",_xlfn.XLOOKUP(B706,STUDENTS!$B$3:$B$1048576,STUDENTS!$C$3:$C$1048576)),"Enter a registered reg. no")</f>
        <v/>
      </c>
      <c r="D706" s="52">
        <f t="array" ref="D706:W706">IF(All_Students_Scores!C704:V704="","",All_Students_Scores!C704:V704)</f>
        <v/>
      </c>
      <c r="E706" s="57" t="str"/>
      <c r="F706" s="66" t="str"/>
      <c r="G706" s="67" t="str"/>
      <c r="H706" s="64" t="str"/>
      <c r="I706" s="65" t="str"/>
      <c r="J706" s="66" t="str"/>
      <c r="K706" s="67" t="str"/>
      <c r="L706" s="41" t="str"/>
      <c r="M706" s="41" t="str"/>
      <c r="N706" s="66" t="str"/>
      <c r="O706" s="67" t="str"/>
      <c r="P706" s="41" t="str"/>
      <c r="Q706" s="41" t="str"/>
      <c r="R706" s="66" t="str"/>
      <c r="S706" s="67" t="str"/>
      <c r="T706" s="41" t="str"/>
      <c r="U706" s="41" t="str"/>
      <c r="V706" s="66" t="str"/>
      <c r="W706" s="67" t="str"/>
    </row>
    <row r="707">
      <c r="B707" s="2">
        <f>IF(STUDENTS!B706="","",STUDENTS!B706)</f>
        <v/>
      </c>
      <c r="C707" s="44">
        <f>IFERROR(IF(B707="","",_xlfn.XLOOKUP(B707,STUDENTS!$B$3:$B$1048576,STUDENTS!$C$3:$C$1048576)),"Enter a registered reg. no")</f>
        <v/>
      </c>
      <c r="D707" s="52">
        <f t="array" ref="D707:W707">IF(All_Students_Scores!C705:V705="","",All_Students_Scores!C705:V705)</f>
        <v/>
      </c>
      <c r="E707" s="55" t="str"/>
      <c r="F707" s="48" t="str"/>
      <c r="G707" s="58" t="str"/>
      <c r="H707" s="62" t="str"/>
      <c r="I707" s="63" t="str"/>
      <c r="J707" s="48" t="str"/>
      <c r="K707" s="58" t="str"/>
      <c r="L707" s="42" t="str"/>
      <c r="M707" s="42" t="str"/>
      <c r="N707" s="48" t="str"/>
      <c r="O707" s="58" t="str"/>
      <c r="P707" s="42" t="str"/>
      <c r="Q707" s="42" t="str"/>
      <c r="R707" s="48" t="str"/>
      <c r="S707" s="58" t="str"/>
      <c r="T707" s="42" t="str"/>
      <c r="U707" s="42" t="str"/>
      <c r="V707" s="48" t="str"/>
      <c r="W707" s="58" t="str"/>
      <c r="X707" s="42" t="n"/>
      <c r="Y707" s="42" t="n"/>
    </row>
    <row r="708">
      <c r="B708" s="2">
        <f>IF(STUDENTS!B707="","",STUDENTS!B707)</f>
        <v/>
      </c>
      <c r="C708" s="44">
        <f>IFERROR(IF(B708="","",_xlfn.XLOOKUP(B708,STUDENTS!$B$3:$B$1048576,STUDENTS!$C$3:$C$1048576)),"Enter a registered reg. no")</f>
        <v/>
      </c>
      <c r="D708" s="52">
        <f t="array" ref="D708:W708">IF(All_Students_Scores!C706:V706="","",All_Students_Scores!C706:V706)</f>
        <v/>
      </c>
      <c r="E708" s="57" t="str"/>
      <c r="F708" s="66" t="str"/>
      <c r="G708" s="67" t="str"/>
      <c r="H708" s="64" t="str"/>
      <c r="I708" s="65" t="str"/>
      <c r="J708" s="66" t="str"/>
      <c r="K708" s="67" t="str"/>
      <c r="L708" s="41" t="str"/>
      <c r="M708" s="41" t="str"/>
      <c r="N708" s="66" t="str"/>
      <c r="O708" s="67" t="str"/>
      <c r="P708" s="41" t="str"/>
      <c r="Q708" s="41" t="str"/>
      <c r="R708" s="66" t="str"/>
      <c r="S708" s="67" t="str"/>
      <c r="T708" s="41" t="str"/>
      <c r="U708" s="41" t="str"/>
      <c r="V708" s="66" t="str"/>
      <c r="W708" s="67" t="str"/>
    </row>
    <row r="709">
      <c r="B709" s="2">
        <f>IF(STUDENTS!B708="","",STUDENTS!B708)</f>
        <v/>
      </c>
      <c r="C709" s="44">
        <f>IFERROR(IF(B709="","",_xlfn.XLOOKUP(B709,STUDENTS!$B$3:$B$1048576,STUDENTS!$C$3:$C$1048576)),"Enter a registered reg. no")</f>
        <v/>
      </c>
      <c r="D709" s="52">
        <f t="array" ref="D709:W709">IF(All_Students_Scores!C707:V707="","",All_Students_Scores!C707:V707)</f>
        <v/>
      </c>
      <c r="E709" s="55" t="str"/>
      <c r="F709" s="48" t="str"/>
      <c r="G709" s="58" t="str"/>
      <c r="H709" s="62" t="str"/>
      <c r="I709" s="63" t="str"/>
      <c r="J709" s="48" t="str"/>
      <c r="K709" s="58" t="str"/>
      <c r="L709" s="42" t="str"/>
      <c r="M709" s="42" t="str"/>
      <c r="N709" s="48" t="str"/>
      <c r="O709" s="58" t="str"/>
      <c r="P709" s="42" t="str"/>
      <c r="Q709" s="42" t="str"/>
      <c r="R709" s="48" t="str"/>
      <c r="S709" s="58" t="str"/>
      <c r="T709" s="42" t="str"/>
      <c r="U709" s="42" t="str"/>
      <c r="V709" s="48" t="str"/>
      <c r="W709" s="58" t="str"/>
      <c r="X709" s="42" t="n"/>
      <c r="Y709" s="42" t="n"/>
    </row>
    <row r="710">
      <c r="B710" s="2">
        <f>IF(STUDENTS!B709="","",STUDENTS!B709)</f>
        <v/>
      </c>
      <c r="C710" s="44">
        <f>IFERROR(IF(B710="","",_xlfn.XLOOKUP(B710,STUDENTS!$B$3:$B$1048576,STUDENTS!$C$3:$C$1048576)),"Enter a registered reg. no")</f>
        <v/>
      </c>
      <c r="D710" s="52">
        <f t="array" ref="D710:W710">IF(All_Students_Scores!C708:V708="","",All_Students_Scores!C708:V708)</f>
        <v/>
      </c>
      <c r="E710" s="57" t="str"/>
      <c r="F710" s="66" t="str"/>
      <c r="G710" s="67" t="str"/>
      <c r="H710" s="64" t="str"/>
      <c r="I710" s="65" t="str"/>
      <c r="J710" s="66" t="str"/>
      <c r="K710" s="67" t="str"/>
      <c r="L710" s="41" t="str"/>
      <c r="M710" s="41" t="str"/>
      <c r="N710" s="66" t="str"/>
      <c r="O710" s="67" t="str"/>
      <c r="P710" s="41" t="str"/>
      <c r="Q710" s="41" t="str"/>
      <c r="R710" s="66" t="str"/>
      <c r="S710" s="67" t="str"/>
      <c r="T710" s="41" t="str"/>
      <c r="U710" s="41" t="str"/>
      <c r="V710" s="66" t="str"/>
      <c r="W710" s="67" t="str"/>
    </row>
    <row r="711">
      <c r="B711" s="2">
        <f>IF(STUDENTS!B710="","",STUDENTS!B710)</f>
        <v/>
      </c>
      <c r="C711" s="44">
        <f>IFERROR(IF(B711="","",_xlfn.XLOOKUP(B711,STUDENTS!$B$3:$B$1048576,STUDENTS!$C$3:$C$1048576)),"Enter a registered reg. no")</f>
        <v/>
      </c>
      <c r="D711" s="52">
        <f t="array" ref="D711:W711">IF(All_Students_Scores!C709:V709="","",All_Students_Scores!C709:V709)</f>
        <v/>
      </c>
      <c r="E711" s="55" t="str"/>
      <c r="F711" s="48" t="str"/>
      <c r="G711" s="58" t="str"/>
      <c r="H711" s="62" t="str"/>
      <c r="I711" s="63" t="str"/>
      <c r="J711" s="48" t="str"/>
      <c r="K711" s="58" t="str"/>
      <c r="L711" s="42" t="str"/>
      <c r="M711" s="42" t="str"/>
      <c r="N711" s="48" t="str"/>
      <c r="O711" s="58" t="str"/>
      <c r="P711" s="42" t="str"/>
      <c r="Q711" s="42" t="str"/>
      <c r="R711" s="48" t="str"/>
      <c r="S711" s="58" t="str"/>
      <c r="T711" s="42" t="str"/>
      <c r="U711" s="42" t="str"/>
      <c r="V711" s="48" t="str"/>
      <c r="W711" s="58" t="str"/>
      <c r="X711" s="42" t="n"/>
      <c r="Y711" s="42" t="n"/>
    </row>
    <row r="712">
      <c r="B712" s="2">
        <f>IF(STUDENTS!B711="","",STUDENTS!B711)</f>
        <v/>
      </c>
      <c r="C712" s="44">
        <f>IFERROR(IF(B712="","",_xlfn.XLOOKUP(B712,STUDENTS!$B$3:$B$1048576,STUDENTS!$C$3:$C$1048576)),"Enter a registered reg. no")</f>
        <v/>
      </c>
      <c r="D712" s="52">
        <f t="array" ref="D712:W712">IF(All_Students_Scores!C710:V710="","",All_Students_Scores!C710:V710)</f>
        <v/>
      </c>
      <c r="E712" s="57" t="str"/>
      <c r="F712" s="66" t="str"/>
      <c r="G712" s="67" t="str"/>
      <c r="H712" s="64" t="str"/>
      <c r="I712" s="65" t="str"/>
      <c r="J712" s="66" t="str"/>
      <c r="K712" s="67" t="str"/>
      <c r="L712" s="41" t="str"/>
      <c r="M712" s="41" t="str"/>
      <c r="N712" s="66" t="str"/>
      <c r="O712" s="67" t="str"/>
      <c r="P712" s="41" t="str"/>
      <c r="Q712" s="41" t="str"/>
      <c r="R712" s="66" t="str"/>
      <c r="S712" s="67" t="str"/>
      <c r="T712" s="41" t="str"/>
      <c r="U712" s="41" t="str"/>
      <c r="V712" s="66" t="str"/>
      <c r="W712" s="67" t="str"/>
    </row>
    <row r="713">
      <c r="B713" s="2">
        <f>IF(STUDENTS!B712="","",STUDENTS!B712)</f>
        <v/>
      </c>
      <c r="C713" s="44">
        <f>IFERROR(IF(B713="","",_xlfn.XLOOKUP(B713,STUDENTS!$B$3:$B$1048576,STUDENTS!$C$3:$C$1048576)),"Enter a registered reg. no")</f>
        <v/>
      </c>
      <c r="D713" s="52">
        <f t="array" ref="D713:W713">IF(All_Students_Scores!C711:V711="","",All_Students_Scores!C711:V711)</f>
        <v/>
      </c>
      <c r="E713" s="55" t="str"/>
      <c r="F713" s="48" t="str"/>
      <c r="G713" s="58" t="str"/>
      <c r="H713" s="62" t="str"/>
      <c r="I713" s="63" t="str"/>
      <c r="J713" s="48" t="str"/>
      <c r="K713" s="58" t="str"/>
      <c r="L713" s="42" t="str"/>
      <c r="M713" s="42" t="str"/>
      <c r="N713" s="48" t="str"/>
      <c r="O713" s="58" t="str"/>
      <c r="P713" s="42" t="str"/>
      <c r="Q713" s="42" t="str"/>
      <c r="R713" s="48" t="str"/>
      <c r="S713" s="58" t="str"/>
      <c r="T713" s="42" t="str"/>
      <c r="U713" s="42" t="str"/>
      <c r="V713" s="48" t="str"/>
      <c r="W713" s="58" t="str"/>
      <c r="X713" s="42" t="n"/>
      <c r="Y713" s="42" t="n"/>
    </row>
    <row r="714">
      <c r="B714" s="2">
        <f>IF(STUDENTS!B713="","",STUDENTS!B713)</f>
        <v/>
      </c>
      <c r="C714" s="44">
        <f>IFERROR(IF(B714="","",_xlfn.XLOOKUP(B714,STUDENTS!$B$3:$B$1048576,STUDENTS!$C$3:$C$1048576)),"Enter a registered reg. no")</f>
        <v/>
      </c>
      <c r="D714" s="52">
        <f t="array" ref="D714:W714">IF(All_Students_Scores!C712:V712="","",All_Students_Scores!C712:V712)</f>
        <v/>
      </c>
      <c r="E714" s="57" t="str"/>
      <c r="F714" s="66" t="str"/>
      <c r="G714" s="67" t="str"/>
      <c r="H714" s="64" t="str"/>
      <c r="I714" s="65" t="str"/>
      <c r="J714" s="66" t="str"/>
      <c r="K714" s="67" t="str"/>
      <c r="L714" s="41" t="str"/>
      <c r="M714" s="41" t="str"/>
      <c r="N714" s="66" t="str"/>
      <c r="O714" s="67" t="str"/>
      <c r="P714" s="41" t="str"/>
      <c r="Q714" s="41" t="str"/>
      <c r="R714" s="66" t="str"/>
      <c r="S714" s="67" t="str"/>
      <c r="T714" s="41" t="str"/>
      <c r="U714" s="41" t="str"/>
      <c r="V714" s="66" t="str"/>
      <c r="W714" s="67" t="str"/>
    </row>
    <row r="715">
      <c r="B715" s="2">
        <f>IF(STUDENTS!B714="","",STUDENTS!B714)</f>
        <v/>
      </c>
      <c r="C715" s="44">
        <f>IFERROR(IF(B715="","",_xlfn.XLOOKUP(B715,STUDENTS!$B$3:$B$1048576,STUDENTS!$C$3:$C$1048576)),"Enter a registered reg. no")</f>
        <v/>
      </c>
      <c r="D715" s="52">
        <f t="array" ref="D715:W715">IF(All_Students_Scores!C713:V713="","",All_Students_Scores!C713:V713)</f>
        <v/>
      </c>
      <c r="E715" s="55" t="str"/>
      <c r="F715" s="48" t="str"/>
      <c r="G715" s="58" t="str"/>
      <c r="H715" s="62" t="str"/>
      <c r="I715" s="63" t="str"/>
      <c r="J715" s="48" t="str"/>
      <c r="K715" s="58" t="str"/>
      <c r="L715" s="42" t="str"/>
      <c r="M715" s="42" t="str"/>
      <c r="N715" s="48" t="str"/>
      <c r="O715" s="58" t="str"/>
      <c r="P715" s="42" t="str"/>
      <c r="Q715" s="42" t="str"/>
      <c r="R715" s="48" t="str"/>
      <c r="S715" s="58" t="str"/>
      <c r="T715" s="42" t="str"/>
      <c r="U715" s="42" t="str"/>
      <c r="V715" s="48" t="str"/>
      <c r="W715" s="58" t="str"/>
      <c r="X715" s="42" t="n"/>
      <c r="Y715" s="42" t="n"/>
    </row>
    <row r="716">
      <c r="B716" s="2">
        <f>IF(STUDENTS!B715="","",STUDENTS!B715)</f>
        <v/>
      </c>
      <c r="C716" s="44">
        <f>IFERROR(IF(B716="","",_xlfn.XLOOKUP(B716,STUDENTS!$B$3:$B$1048576,STUDENTS!$C$3:$C$1048576)),"Enter a registered reg. no")</f>
        <v/>
      </c>
      <c r="D716" s="52">
        <f t="array" ref="D716:W716">IF(All_Students_Scores!C714:V714="","",All_Students_Scores!C714:V714)</f>
        <v/>
      </c>
      <c r="E716" s="57" t="str"/>
      <c r="F716" s="66" t="str"/>
      <c r="G716" s="67" t="str"/>
      <c r="H716" s="64" t="str"/>
      <c r="I716" s="65" t="str"/>
      <c r="J716" s="66" t="str"/>
      <c r="K716" s="67" t="str"/>
      <c r="L716" s="41" t="str"/>
      <c r="M716" s="41" t="str"/>
      <c r="N716" s="66" t="str"/>
      <c r="O716" s="67" t="str"/>
      <c r="P716" s="41" t="str"/>
      <c r="Q716" s="41" t="str"/>
      <c r="R716" s="66" t="str"/>
      <c r="S716" s="67" t="str"/>
      <c r="T716" s="41" t="str"/>
      <c r="U716" s="41" t="str"/>
      <c r="V716" s="66" t="str"/>
      <c r="W716" s="67" t="str"/>
    </row>
    <row r="717">
      <c r="B717" s="2">
        <f>IF(STUDENTS!B716="","",STUDENTS!B716)</f>
        <v/>
      </c>
      <c r="C717" s="44">
        <f>IFERROR(IF(B717="","",_xlfn.XLOOKUP(B717,STUDENTS!$B$3:$B$1048576,STUDENTS!$C$3:$C$1048576)),"Enter a registered reg. no")</f>
        <v/>
      </c>
      <c r="D717" s="52">
        <f t="array" ref="D717:W717">IF(All_Students_Scores!C715:V715="","",All_Students_Scores!C715:V715)</f>
        <v/>
      </c>
      <c r="E717" s="55" t="str"/>
      <c r="F717" s="48" t="str"/>
      <c r="G717" s="58" t="str"/>
      <c r="H717" s="62" t="str"/>
      <c r="I717" s="63" t="str"/>
      <c r="J717" s="48" t="str"/>
      <c r="K717" s="58" t="str"/>
      <c r="L717" s="42" t="str"/>
      <c r="M717" s="42" t="str"/>
      <c r="N717" s="48" t="str"/>
      <c r="O717" s="58" t="str"/>
      <c r="P717" s="42" t="str"/>
      <c r="Q717" s="42" t="str"/>
      <c r="R717" s="48" t="str"/>
      <c r="S717" s="58" t="str"/>
      <c r="T717" s="42" t="str"/>
      <c r="U717" s="42" t="str"/>
      <c r="V717" s="48" t="str"/>
      <c r="W717" s="58" t="str"/>
      <c r="X717" s="42" t="n"/>
      <c r="Y717" s="42" t="n"/>
    </row>
    <row r="718">
      <c r="B718" s="2">
        <f>IF(STUDENTS!B717="","",STUDENTS!B717)</f>
        <v/>
      </c>
      <c r="C718" s="44">
        <f>IFERROR(IF(B718="","",_xlfn.XLOOKUP(B718,STUDENTS!$B$3:$B$1048576,STUDENTS!$C$3:$C$1048576)),"Enter a registered reg. no")</f>
        <v/>
      </c>
      <c r="D718" s="52">
        <f t="array" ref="D718:W718">IF(All_Students_Scores!C716:V716="","",All_Students_Scores!C716:V716)</f>
        <v/>
      </c>
      <c r="E718" s="57" t="str"/>
      <c r="F718" s="66" t="str"/>
      <c r="G718" s="67" t="str"/>
      <c r="H718" s="64" t="str"/>
      <c r="I718" s="65" t="str"/>
      <c r="J718" s="66" t="str"/>
      <c r="K718" s="67" t="str"/>
      <c r="L718" s="41" t="str"/>
      <c r="M718" s="41" t="str"/>
      <c r="N718" s="66" t="str"/>
      <c r="O718" s="67" t="str"/>
      <c r="P718" s="41" t="str"/>
      <c r="Q718" s="41" t="str"/>
      <c r="R718" s="66" t="str"/>
      <c r="S718" s="67" t="str"/>
      <c r="T718" s="41" t="str"/>
      <c r="U718" s="41" t="str"/>
      <c r="V718" s="66" t="str"/>
      <c r="W718" s="67" t="str"/>
    </row>
    <row r="719">
      <c r="B719" s="2">
        <f>IF(STUDENTS!B718="","",STUDENTS!B718)</f>
        <v/>
      </c>
      <c r="C719" s="44">
        <f>IFERROR(IF(B719="","",_xlfn.XLOOKUP(B719,STUDENTS!$B$3:$B$1048576,STUDENTS!$C$3:$C$1048576)),"Enter a registered reg. no")</f>
        <v/>
      </c>
      <c r="D719" s="52">
        <f t="array" ref="D719:W719">IF(All_Students_Scores!C717:V717="","",All_Students_Scores!C717:V717)</f>
        <v/>
      </c>
      <c r="E719" s="55" t="str"/>
      <c r="F719" s="48" t="str"/>
      <c r="G719" s="58" t="str"/>
      <c r="H719" s="62" t="str"/>
      <c r="I719" s="63" t="str"/>
      <c r="J719" s="48" t="str"/>
      <c r="K719" s="58" t="str"/>
      <c r="L719" s="42" t="str"/>
      <c r="M719" s="42" t="str"/>
      <c r="N719" s="48" t="str"/>
      <c r="O719" s="58" t="str"/>
      <c r="P719" s="42" t="str"/>
      <c r="Q719" s="42" t="str"/>
      <c r="R719" s="48" t="str"/>
      <c r="S719" s="58" t="str"/>
      <c r="T719" s="42" t="str"/>
      <c r="U719" s="42" t="str"/>
      <c r="V719" s="48" t="str"/>
      <c r="W719" s="58" t="str"/>
      <c r="X719" s="42" t="n"/>
      <c r="Y719" s="42" t="n"/>
    </row>
    <row r="720">
      <c r="B720" s="2">
        <f>IF(STUDENTS!B719="","",STUDENTS!B719)</f>
        <v/>
      </c>
      <c r="C720" s="44">
        <f>IFERROR(IF(B720="","",_xlfn.XLOOKUP(B720,STUDENTS!$B$3:$B$1048576,STUDENTS!$C$3:$C$1048576)),"Enter a registered reg. no")</f>
        <v/>
      </c>
      <c r="D720" s="52">
        <f t="array" ref="D720:W720">IF(All_Students_Scores!C718:V718="","",All_Students_Scores!C718:V718)</f>
        <v/>
      </c>
      <c r="E720" s="57" t="str"/>
      <c r="F720" s="66" t="str"/>
      <c r="G720" s="67" t="str"/>
      <c r="H720" s="64" t="str"/>
      <c r="I720" s="65" t="str"/>
      <c r="J720" s="66" t="str"/>
      <c r="K720" s="67" t="str"/>
      <c r="L720" s="41" t="str"/>
      <c r="M720" s="41" t="str"/>
      <c r="N720" s="66" t="str"/>
      <c r="O720" s="67" t="str"/>
      <c r="P720" s="41" t="str"/>
      <c r="Q720" s="41" t="str"/>
      <c r="R720" s="66" t="str"/>
      <c r="S720" s="67" t="str"/>
      <c r="T720" s="41" t="str"/>
      <c r="U720" s="41" t="str"/>
      <c r="V720" s="66" t="str"/>
      <c r="W720" s="67" t="str"/>
    </row>
    <row r="721">
      <c r="B721" s="2">
        <f>IF(STUDENTS!B720="","",STUDENTS!B720)</f>
        <v/>
      </c>
      <c r="C721" s="44">
        <f>IFERROR(IF(B721="","",_xlfn.XLOOKUP(B721,STUDENTS!$B$3:$B$1048576,STUDENTS!$C$3:$C$1048576)),"Enter a registered reg. no")</f>
        <v/>
      </c>
      <c r="D721" s="52">
        <f t="array" ref="D721:W721">IF(All_Students_Scores!C719:V719="","",All_Students_Scores!C719:V719)</f>
        <v/>
      </c>
      <c r="E721" s="55" t="str"/>
      <c r="F721" s="48" t="str"/>
      <c r="G721" s="58" t="str"/>
      <c r="H721" s="62" t="str"/>
      <c r="I721" s="63" t="str"/>
      <c r="J721" s="48" t="str"/>
      <c r="K721" s="58" t="str"/>
      <c r="L721" s="42" t="str"/>
      <c r="M721" s="42" t="str"/>
      <c r="N721" s="48" t="str"/>
      <c r="O721" s="58" t="str"/>
      <c r="P721" s="42" t="str"/>
      <c r="Q721" s="42" t="str"/>
      <c r="R721" s="48" t="str"/>
      <c r="S721" s="58" t="str"/>
      <c r="T721" s="42" t="str"/>
      <c r="U721" s="42" t="str"/>
      <c r="V721" s="48" t="str"/>
      <c r="W721" s="58" t="str"/>
      <c r="X721" s="42" t="n"/>
      <c r="Y721" s="42" t="n"/>
    </row>
    <row r="722">
      <c r="B722" s="2">
        <f>IF(STUDENTS!B721="","",STUDENTS!B721)</f>
        <v/>
      </c>
      <c r="C722" s="44">
        <f>IFERROR(IF(B722="","",_xlfn.XLOOKUP(B722,STUDENTS!$B$3:$B$1048576,STUDENTS!$C$3:$C$1048576)),"Enter a registered reg. no")</f>
        <v/>
      </c>
      <c r="D722" s="52">
        <f t="array" ref="D722:W722">IF(All_Students_Scores!C720:V720="","",All_Students_Scores!C720:V720)</f>
        <v/>
      </c>
      <c r="E722" s="57" t="str"/>
      <c r="F722" s="66" t="str"/>
      <c r="G722" s="67" t="str"/>
      <c r="H722" s="64" t="str"/>
      <c r="I722" s="65" t="str"/>
      <c r="J722" s="66" t="str"/>
      <c r="K722" s="67" t="str"/>
      <c r="L722" s="41" t="str"/>
      <c r="M722" s="41" t="str"/>
      <c r="N722" s="66" t="str"/>
      <c r="O722" s="67" t="str"/>
      <c r="P722" s="41" t="str"/>
      <c r="Q722" s="41" t="str"/>
      <c r="R722" s="66" t="str"/>
      <c r="S722" s="67" t="str"/>
      <c r="T722" s="41" t="str"/>
      <c r="U722" s="41" t="str"/>
      <c r="V722" s="66" t="str"/>
      <c r="W722" s="67" t="str"/>
    </row>
    <row r="723">
      <c r="B723" s="2">
        <f>IF(STUDENTS!B722="","",STUDENTS!B722)</f>
        <v/>
      </c>
      <c r="C723" s="44">
        <f>IFERROR(IF(B723="","",_xlfn.XLOOKUP(B723,STUDENTS!$B$3:$B$1048576,STUDENTS!$C$3:$C$1048576)),"Enter a registered reg. no")</f>
        <v/>
      </c>
      <c r="D723" s="52">
        <f t="array" ref="D723:W723">IF(All_Students_Scores!C721:V721="","",All_Students_Scores!C721:V721)</f>
        <v/>
      </c>
      <c r="E723" s="55" t="str"/>
      <c r="F723" s="48" t="str"/>
      <c r="G723" s="58" t="str"/>
      <c r="H723" s="62" t="str"/>
      <c r="I723" s="63" t="str"/>
      <c r="J723" s="48" t="str"/>
      <c r="K723" s="58" t="str"/>
      <c r="L723" s="42" t="str"/>
      <c r="M723" s="42" t="str"/>
      <c r="N723" s="48" t="str"/>
      <c r="O723" s="58" t="str"/>
      <c r="P723" s="42" t="str"/>
      <c r="Q723" s="42" t="str"/>
      <c r="R723" s="48" t="str"/>
      <c r="S723" s="58" t="str"/>
      <c r="T723" s="42" t="str"/>
      <c r="U723" s="42" t="str"/>
      <c r="V723" s="48" t="str"/>
      <c r="W723" s="58" t="str"/>
      <c r="X723" s="42" t="n"/>
      <c r="Y723" s="42" t="n"/>
    </row>
    <row r="724">
      <c r="B724" s="2">
        <f>IF(STUDENTS!B723="","",STUDENTS!B723)</f>
        <v/>
      </c>
      <c r="C724" s="44">
        <f>IFERROR(IF(B724="","",_xlfn.XLOOKUP(B724,STUDENTS!$B$3:$B$1048576,STUDENTS!$C$3:$C$1048576)),"Enter a registered reg. no")</f>
        <v/>
      </c>
      <c r="D724" s="52">
        <f t="array" ref="D724:W724">IF(All_Students_Scores!C722:V722="","",All_Students_Scores!C722:V722)</f>
        <v/>
      </c>
      <c r="E724" s="57" t="str"/>
      <c r="F724" s="66" t="str"/>
      <c r="G724" s="67" t="str"/>
      <c r="H724" s="64" t="str"/>
      <c r="I724" s="65" t="str"/>
      <c r="J724" s="66" t="str"/>
      <c r="K724" s="67" t="str"/>
      <c r="L724" s="41" t="str"/>
      <c r="M724" s="41" t="str"/>
      <c r="N724" s="66" t="str"/>
      <c r="O724" s="67" t="str"/>
      <c r="P724" s="41" t="str"/>
      <c r="Q724" s="41" t="str"/>
      <c r="R724" s="66" t="str"/>
      <c r="S724" s="67" t="str"/>
      <c r="T724" s="41" t="str"/>
      <c r="U724" s="41" t="str"/>
      <c r="V724" s="66" t="str"/>
      <c r="W724" s="67" t="str"/>
    </row>
    <row r="725">
      <c r="B725" s="2">
        <f>IF(STUDENTS!B724="","",STUDENTS!B724)</f>
        <v/>
      </c>
      <c r="C725" s="44">
        <f>IFERROR(IF(B725="","",_xlfn.XLOOKUP(B725,STUDENTS!$B$3:$B$1048576,STUDENTS!$C$3:$C$1048576)),"Enter a registered reg. no")</f>
        <v/>
      </c>
      <c r="D725" s="52">
        <f t="array" ref="D725:W725">IF(All_Students_Scores!C723:V723="","",All_Students_Scores!C723:V723)</f>
        <v/>
      </c>
      <c r="E725" s="55" t="str"/>
      <c r="F725" s="48" t="str"/>
      <c r="G725" s="58" t="str"/>
      <c r="H725" s="62" t="str"/>
      <c r="I725" s="63" t="str"/>
      <c r="J725" s="48" t="str"/>
      <c r="K725" s="58" t="str"/>
      <c r="L725" s="42" t="str"/>
      <c r="M725" s="42" t="str"/>
      <c r="N725" s="48" t="str"/>
      <c r="O725" s="58" t="str"/>
      <c r="P725" s="42" t="str"/>
      <c r="Q725" s="42" t="str"/>
      <c r="R725" s="48" t="str"/>
      <c r="S725" s="58" t="str"/>
      <c r="T725" s="42" t="str"/>
      <c r="U725" s="42" t="str"/>
      <c r="V725" s="48" t="str"/>
      <c r="W725" s="58" t="str"/>
      <c r="X725" s="42" t="n"/>
      <c r="Y725" s="42" t="n"/>
    </row>
    <row r="726">
      <c r="B726" s="2">
        <f>IF(STUDENTS!B725="","",STUDENTS!B725)</f>
        <v/>
      </c>
      <c r="C726" s="44">
        <f>IFERROR(IF(B726="","",_xlfn.XLOOKUP(B726,STUDENTS!$B$3:$B$1048576,STUDENTS!$C$3:$C$1048576)),"Enter a registered reg. no")</f>
        <v/>
      </c>
      <c r="D726" s="52">
        <f t="array" ref="D726:W726">IF(All_Students_Scores!C724:V724="","",All_Students_Scores!C724:V724)</f>
        <v/>
      </c>
      <c r="E726" s="57" t="str"/>
      <c r="F726" s="66" t="str"/>
      <c r="G726" s="67" t="str"/>
      <c r="H726" s="64" t="str"/>
      <c r="I726" s="65" t="str"/>
      <c r="J726" s="66" t="str"/>
      <c r="K726" s="67" t="str"/>
      <c r="L726" s="41" t="str"/>
      <c r="M726" s="41" t="str"/>
      <c r="N726" s="66" t="str"/>
      <c r="O726" s="67" t="str"/>
      <c r="P726" s="41" t="str"/>
      <c r="Q726" s="41" t="str"/>
      <c r="R726" s="66" t="str"/>
      <c r="S726" s="67" t="str"/>
      <c r="T726" s="41" t="str"/>
      <c r="U726" s="41" t="str"/>
      <c r="V726" s="66" t="str"/>
      <c r="W726" s="67" t="str"/>
    </row>
    <row r="727">
      <c r="B727" s="2">
        <f>IF(STUDENTS!B726="","",STUDENTS!B726)</f>
        <v/>
      </c>
      <c r="C727" s="44">
        <f>IFERROR(IF(B727="","",_xlfn.XLOOKUP(B727,STUDENTS!$B$3:$B$1048576,STUDENTS!$C$3:$C$1048576)),"Enter a registered reg. no")</f>
        <v/>
      </c>
      <c r="D727" s="52">
        <f t="array" ref="D727:W727">IF(All_Students_Scores!C725:V725="","",All_Students_Scores!C725:V725)</f>
        <v/>
      </c>
      <c r="E727" s="55" t="str"/>
      <c r="F727" s="48" t="str"/>
      <c r="G727" s="58" t="str"/>
      <c r="H727" s="62" t="str"/>
      <c r="I727" s="63" t="str"/>
      <c r="J727" s="48" t="str"/>
      <c r="K727" s="58" t="str"/>
      <c r="L727" s="42" t="str"/>
      <c r="M727" s="42" t="str"/>
      <c r="N727" s="48" t="str"/>
      <c r="O727" s="58" t="str"/>
      <c r="P727" s="42" t="str"/>
      <c r="Q727" s="42" t="str"/>
      <c r="R727" s="48" t="str"/>
      <c r="S727" s="58" t="str"/>
      <c r="T727" s="42" t="str"/>
      <c r="U727" s="42" t="str"/>
      <c r="V727" s="48" t="str"/>
      <c r="W727" s="58" t="str"/>
      <c r="X727" s="42" t="n"/>
      <c r="Y727" s="42" t="n"/>
    </row>
    <row r="728">
      <c r="B728" s="2">
        <f>IF(STUDENTS!B727="","",STUDENTS!B727)</f>
        <v/>
      </c>
      <c r="C728" s="44">
        <f>IFERROR(IF(B728="","",_xlfn.XLOOKUP(B728,STUDENTS!$B$3:$B$1048576,STUDENTS!$C$3:$C$1048576)),"Enter a registered reg. no")</f>
        <v/>
      </c>
      <c r="D728" s="52">
        <f t="array" ref="D728:W728">IF(All_Students_Scores!C726:V726="","",All_Students_Scores!C726:V726)</f>
        <v/>
      </c>
      <c r="E728" s="57" t="str"/>
      <c r="F728" s="66" t="str"/>
      <c r="G728" s="67" t="str"/>
      <c r="H728" s="64" t="str"/>
      <c r="I728" s="65" t="str"/>
      <c r="J728" s="66" t="str"/>
      <c r="K728" s="67" t="str"/>
      <c r="L728" s="41" t="str"/>
      <c r="M728" s="41" t="str"/>
      <c r="N728" s="66" t="str"/>
      <c r="O728" s="67" t="str"/>
      <c r="P728" s="41" t="str"/>
      <c r="Q728" s="41" t="str"/>
      <c r="R728" s="66" t="str"/>
      <c r="S728" s="67" t="str"/>
      <c r="T728" s="41" t="str"/>
      <c r="U728" s="41" t="str"/>
      <c r="V728" s="66" t="str"/>
      <c r="W728" s="67" t="str"/>
    </row>
    <row r="729">
      <c r="B729" s="2">
        <f>IF(STUDENTS!B728="","",STUDENTS!B728)</f>
        <v/>
      </c>
      <c r="C729" s="44">
        <f>IFERROR(IF(B729="","",_xlfn.XLOOKUP(B729,STUDENTS!$B$3:$B$1048576,STUDENTS!$C$3:$C$1048576)),"Enter a registered reg. no")</f>
        <v/>
      </c>
      <c r="D729" s="52">
        <f t="array" ref="D729:W729">IF(All_Students_Scores!C727:V727="","",All_Students_Scores!C727:V727)</f>
        <v/>
      </c>
      <c r="E729" s="55" t="str"/>
      <c r="F729" s="48" t="str"/>
      <c r="G729" s="58" t="str"/>
      <c r="H729" s="62" t="str"/>
      <c r="I729" s="63" t="str"/>
      <c r="J729" s="48" t="str"/>
      <c r="K729" s="58" t="str"/>
      <c r="L729" s="42" t="str"/>
      <c r="M729" s="42" t="str"/>
      <c r="N729" s="48" t="str"/>
      <c r="O729" s="58" t="str"/>
      <c r="P729" s="42" t="str"/>
      <c r="Q729" s="42" t="str"/>
      <c r="R729" s="48" t="str"/>
      <c r="S729" s="58" t="str"/>
      <c r="T729" s="42" t="str"/>
      <c r="U729" s="42" t="str"/>
      <c r="V729" s="48" t="str"/>
      <c r="W729" s="58" t="str"/>
      <c r="X729" s="42" t="n"/>
      <c r="Y729" s="42" t="n"/>
    </row>
    <row r="730">
      <c r="B730" s="2">
        <f>IF(STUDENTS!B729="","",STUDENTS!B729)</f>
        <v/>
      </c>
      <c r="C730" s="44">
        <f>IFERROR(IF(B730="","",_xlfn.XLOOKUP(B730,STUDENTS!$B$3:$B$1048576,STUDENTS!$C$3:$C$1048576)),"Enter a registered reg. no")</f>
        <v/>
      </c>
      <c r="D730" s="52">
        <f t="array" ref="D730:W730">IF(All_Students_Scores!C728:V728="","",All_Students_Scores!C728:V728)</f>
        <v/>
      </c>
      <c r="E730" s="57" t="str"/>
      <c r="F730" s="66" t="str"/>
      <c r="G730" s="67" t="str"/>
      <c r="H730" s="64" t="str"/>
      <c r="I730" s="65" t="str"/>
      <c r="J730" s="66" t="str"/>
      <c r="K730" s="67" t="str"/>
      <c r="L730" s="41" t="str"/>
      <c r="M730" s="41" t="str"/>
      <c r="N730" s="66" t="str"/>
      <c r="O730" s="67" t="str"/>
      <c r="P730" s="41" t="str"/>
      <c r="Q730" s="41" t="str"/>
      <c r="R730" s="66" t="str"/>
      <c r="S730" s="67" t="str"/>
      <c r="T730" s="41" t="str"/>
      <c r="U730" s="41" t="str"/>
      <c r="V730" s="66" t="str"/>
      <c r="W730" s="67" t="str"/>
    </row>
    <row r="731">
      <c r="B731" s="2">
        <f>IF(STUDENTS!B730="","",STUDENTS!B730)</f>
        <v/>
      </c>
      <c r="C731" s="44">
        <f>IFERROR(IF(B731="","",_xlfn.XLOOKUP(B731,STUDENTS!$B$3:$B$1048576,STUDENTS!$C$3:$C$1048576)),"Enter a registered reg. no")</f>
        <v/>
      </c>
      <c r="D731" s="52">
        <f t="array" ref="D731:W731">IF(All_Students_Scores!C729:V729="","",All_Students_Scores!C729:V729)</f>
        <v/>
      </c>
      <c r="E731" s="55" t="str"/>
      <c r="F731" s="48" t="str"/>
      <c r="G731" s="58" t="str"/>
      <c r="H731" s="62" t="str"/>
      <c r="I731" s="63" t="str"/>
      <c r="J731" s="48" t="str"/>
      <c r="K731" s="58" t="str"/>
      <c r="L731" s="42" t="str"/>
      <c r="M731" s="42" t="str"/>
      <c r="N731" s="48" t="str"/>
      <c r="O731" s="58" t="str"/>
      <c r="P731" s="42" t="str"/>
      <c r="Q731" s="42" t="str"/>
      <c r="R731" s="48" t="str"/>
      <c r="S731" s="58" t="str"/>
      <c r="T731" s="42" t="str"/>
      <c r="U731" s="42" t="str"/>
      <c r="V731" s="48" t="str"/>
      <c r="W731" s="58" t="str"/>
      <c r="X731" s="42" t="n"/>
      <c r="Y731" s="42" t="n"/>
    </row>
    <row r="732">
      <c r="B732" s="2">
        <f>IF(STUDENTS!B731="","",STUDENTS!B731)</f>
        <v/>
      </c>
      <c r="C732" s="44">
        <f>IFERROR(IF(B732="","",_xlfn.XLOOKUP(B732,STUDENTS!$B$3:$B$1048576,STUDENTS!$C$3:$C$1048576)),"Enter a registered reg. no")</f>
        <v/>
      </c>
      <c r="D732" s="52">
        <f t="array" ref="D732:W732">IF(All_Students_Scores!C730:V730="","",All_Students_Scores!C730:V730)</f>
        <v/>
      </c>
      <c r="E732" s="57" t="str"/>
      <c r="F732" s="66" t="str"/>
      <c r="G732" s="67" t="str"/>
      <c r="H732" s="64" t="str"/>
      <c r="I732" s="65" t="str"/>
      <c r="J732" s="66" t="str"/>
      <c r="K732" s="67" t="str"/>
      <c r="L732" s="41" t="str"/>
      <c r="M732" s="41" t="str"/>
      <c r="N732" s="66" t="str"/>
      <c r="O732" s="67" t="str"/>
      <c r="P732" s="41" t="str"/>
      <c r="Q732" s="41" t="str"/>
      <c r="R732" s="66" t="str"/>
      <c r="S732" s="67" t="str"/>
      <c r="T732" s="41" t="str"/>
      <c r="U732" s="41" t="str"/>
      <c r="V732" s="66" t="str"/>
      <c r="W732" s="67" t="str"/>
    </row>
    <row r="733">
      <c r="B733" s="2">
        <f>IF(STUDENTS!B732="","",STUDENTS!B732)</f>
        <v/>
      </c>
      <c r="C733" s="44">
        <f>IFERROR(IF(B733="","",_xlfn.XLOOKUP(B733,STUDENTS!$B$3:$B$1048576,STUDENTS!$C$3:$C$1048576)),"Enter a registered reg. no")</f>
        <v/>
      </c>
      <c r="D733" s="52">
        <f t="array" ref="D733:W733">IF(All_Students_Scores!C731:V731="","",All_Students_Scores!C731:V731)</f>
        <v/>
      </c>
      <c r="E733" s="55" t="str"/>
      <c r="F733" s="48" t="str"/>
      <c r="G733" s="58" t="str"/>
      <c r="H733" s="62" t="str"/>
      <c r="I733" s="63" t="str"/>
      <c r="J733" s="48" t="str"/>
      <c r="K733" s="58" t="str"/>
      <c r="L733" s="42" t="str"/>
      <c r="M733" s="42" t="str"/>
      <c r="N733" s="48" t="str"/>
      <c r="O733" s="58" t="str"/>
      <c r="P733" s="42" t="str"/>
      <c r="Q733" s="42" t="str"/>
      <c r="R733" s="48" t="str"/>
      <c r="S733" s="58" t="str"/>
      <c r="T733" s="42" t="str"/>
      <c r="U733" s="42" t="str"/>
      <c r="V733" s="48" t="str"/>
      <c r="W733" s="58" t="str"/>
      <c r="X733" s="42" t="n"/>
      <c r="Y733" s="42" t="n"/>
    </row>
    <row r="734">
      <c r="B734" s="2">
        <f>IF(STUDENTS!B733="","",STUDENTS!B733)</f>
        <v/>
      </c>
      <c r="C734" s="44">
        <f>IFERROR(IF(B734="","",_xlfn.XLOOKUP(B734,STUDENTS!$B$3:$B$1048576,STUDENTS!$C$3:$C$1048576)),"Enter a registered reg. no")</f>
        <v/>
      </c>
      <c r="D734" s="52">
        <f t="array" ref="D734:W734">IF(All_Students_Scores!C732:V732="","",All_Students_Scores!C732:V732)</f>
        <v/>
      </c>
      <c r="E734" s="57" t="str"/>
      <c r="F734" s="66" t="str"/>
      <c r="G734" s="67" t="str"/>
      <c r="H734" s="64" t="str"/>
      <c r="I734" s="65" t="str"/>
      <c r="J734" s="66" t="str"/>
      <c r="K734" s="67" t="str"/>
      <c r="L734" s="41" t="str"/>
      <c r="M734" s="41" t="str"/>
      <c r="N734" s="66" t="str"/>
      <c r="O734" s="67" t="str"/>
      <c r="P734" s="41" t="str"/>
      <c r="Q734" s="41" t="str"/>
      <c r="R734" s="66" t="str"/>
      <c r="S734" s="67" t="str"/>
      <c r="T734" s="41" t="str"/>
      <c r="U734" s="41" t="str"/>
      <c r="V734" s="66" t="str"/>
      <c r="W734" s="67" t="str"/>
    </row>
    <row r="735">
      <c r="B735" s="2">
        <f>IF(STUDENTS!B734="","",STUDENTS!B734)</f>
        <v/>
      </c>
      <c r="C735" s="44">
        <f>IFERROR(IF(B735="","",_xlfn.XLOOKUP(B735,STUDENTS!$B$3:$B$1048576,STUDENTS!$C$3:$C$1048576)),"Enter a registered reg. no")</f>
        <v/>
      </c>
      <c r="D735" s="52">
        <f t="array" ref="D735:W735">IF(All_Students_Scores!C733:V733="","",All_Students_Scores!C733:V733)</f>
        <v/>
      </c>
      <c r="E735" s="55" t="str"/>
      <c r="F735" s="48" t="str"/>
      <c r="G735" s="58" t="str"/>
      <c r="H735" s="62" t="str"/>
      <c r="I735" s="63" t="str"/>
      <c r="J735" s="48" t="str"/>
      <c r="K735" s="58" t="str"/>
      <c r="L735" s="42" t="str"/>
      <c r="M735" s="42" t="str"/>
      <c r="N735" s="48" t="str"/>
      <c r="O735" s="58" t="str"/>
      <c r="P735" s="42" t="str"/>
      <c r="Q735" s="42" t="str"/>
      <c r="R735" s="48" t="str"/>
      <c r="S735" s="58" t="str"/>
      <c r="T735" s="42" t="str"/>
      <c r="U735" s="42" t="str"/>
      <c r="V735" s="48" t="str"/>
      <c r="W735" s="58" t="str"/>
      <c r="X735" s="42" t="n"/>
      <c r="Y735" s="42" t="n"/>
    </row>
    <row r="736">
      <c r="B736" s="2">
        <f>IF(STUDENTS!B735="","",STUDENTS!B735)</f>
        <v/>
      </c>
      <c r="C736" s="44">
        <f>IFERROR(IF(B736="","",_xlfn.XLOOKUP(B736,STUDENTS!$B$3:$B$1048576,STUDENTS!$C$3:$C$1048576)),"Enter a registered reg. no")</f>
        <v/>
      </c>
      <c r="D736" s="52">
        <f t="array" ref="D736:W736">IF(All_Students_Scores!C734:V734="","",All_Students_Scores!C734:V734)</f>
        <v/>
      </c>
      <c r="E736" s="57" t="str"/>
      <c r="F736" s="66" t="str"/>
      <c r="G736" s="67" t="str"/>
      <c r="H736" s="64" t="str"/>
      <c r="I736" s="65" t="str"/>
      <c r="J736" s="66" t="str"/>
      <c r="K736" s="67" t="str"/>
      <c r="L736" s="41" t="str"/>
      <c r="M736" s="41" t="str"/>
      <c r="N736" s="66" t="str"/>
      <c r="O736" s="67" t="str"/>
      <c r="P736" s="41" t="str"/>
      <c r="Q736" s="41" t="str"/>
      <c r="R736" s="66" t="str"/>
      <c r="S736" s="67" t="str"/>
      <c r="T736" s="41" t="str"/>
      <c r="U736" s="41" t="str"/>
      <c r="V736" s="66" t="str"/>
      <c r="W736" s="67" t="str"/>
    </row>
    <row r="737">
      <c r="B737" s="2">
        <f>IF(STUDENTS!B736="","",STUDENTS!B736)</f>
        <v/>
      </c>
      <c r="C737" s="44">
        <f>IFERROR(IF(B737="","",_xlfn.XLOOKUP(B737,STUDENTS!$B$3:$B$1048576,STUDENTS!$C$3:$C$1048576)),"Enter a registered reg. no")</f>
        <v/>
      </c>
      <c r="D737" s="52">
        <f t="array" ref="D737:W737">IF(All_Students_Scores!C735:V735="","",All_Students_Scores!C735:V735)</f>
        <v/>
      </c>
      <c r="E737" s="55" t="str"/>
      <c r="F737" s="48" t="str"/>
      <c r="G737" s="58" t="str"/>
      <c r="H737" s="62" t="str"/>
      <c r="I737" s="63" t="str"/>
      <c r="J737" s="48" t="str"/>
      <c r="K737" s="58" t="str"/>
      <c r="L737" s="42" t="str"/>
      <c r="M737" s="42" t="str"/>
      <c r="N737" s="48" t="str"/>
      <c r="O737" s="58" t="str"/>
      <c r="P737" s="42" t="str"/>
      <c r="Q737" s="42" t="str"/>
      <c r="R737" s="48" t="str"/>
      <c r="S737" s="58" t="str"/>
      <c r="T737" s="42" t="str"/>
      <c r="U737" s="42" t="str"/>
      <c r="V737" s="48" t="str"/>
      <c r="W737" s="58" t="str"/>
      <c r="X737" s="42" t="n"/>
      <c r="Y737" s="42" t="n"/>
    </row>
    <row r="738">
      <c r="B738" s="2">
        <f>IF(STUDENTS!B737="","",STUDENTS!B737)</f>
        <v/>
      </c>
      <c r="C738" s="44">
        <f>IFERROR(IF(B738="","",_xlfn.XLOOKUP(B738,STUDENTS!$B$3:$B$1048576,STUDENTS!$C$3:$C$1048576)),"Enter a registered reg. no")</f>
        <v/>
      </c>
      <c r="D738" s="52">
        <f t="array" ref="D738:W738">IF(All_Students_Scores!C736:V736="","",All_Students_Scores!C736:V736)</f>
        <v/>
      </c>
      <c r="E738" s="57" t="str"/>
      <c r="F738" s="66" t="str"/>
      <c r="G738" s="67" t="str"/>
      <c r="H738" s="64" t="str"/>
      <c r="I738" s="65" t="str"/>
      <c r="J738" s="66" t="str"/>
      <c r="K738" s="67" t="str"/>
      <c r="L738" s="41" t="str"/>
      <c r="M738" s="41" t="str"/>
      <c r="N738" s="66" t="str"/>
      <c r="O738" s="67" t="str"/>
      <c r="P738" s="41" t="str"/>
      <c r="Q738" s="41" t="str"/>
      <c r="R738" s="66" t="str"/>
      <c r="S738" s="67" t="str"/>
      <c r="T738" s="41" t="str"/>
      <c r="U738" s="41" t="str"/>
      <c r="V738" s="66" t="str"/>
      <c r="W738" s="67" t="str"/>
    </row>
    <row r="739">
      <c r="B739" s="2">
        <f>IF(STUDENTS!B738="","",STUDENTS!B738)</f>
        <v/>
      </c>
      <c r="C739" s="44">
        <f>IFERROR(IF(B739="","",_xlfn.XLOOKUP(B739,STUDENTS!$B$3:$B$1048576,STUDENTS!$C$3:$C$1048576)),"Enter a registered reg. no")</f>
        <v/>
      </c>
      <c r="D739" s="52">
        <f t="array" ref="D739:W739">IF(All_Students_Scores!C737:V737="","",All_Students_Scores!C737:V737)</f>
        <v/>
      </c>
      <c r="E739" s="55" t="str"/>
      <c r="F739" s="48" t="str"/>
      <c r="G739" s="58" t="str"/>
      <c r="H739" s="62" t="str"/>
      <c r="I739" s="63" t="str"/>
      <c r="J739" s="48" t="str"/>
      <c r="K739" s="58" t="str"/>
      <c r="L739" s="42" t="str"/>
      <c r="M739" s="42" t="str"/>
      <c r="N739" s="48" t="str"/>
      <c r="O739" s="58" t="str"/>
      <c r="P739" s="42" t="str"/>
      <c r="Q739" s="42" t="str"/>
      <c r="R739" s="48" t="str"/>
      <c r="S739" s="58" t="str"/>
      <c r="T739" s="42" t="str"/>
      <c r="U739" s="42" t="str"/>
      <c r="V739" s="48" t="str"/>
      <c r="W739" s="58" t="str"/>
      <c r="X739" s="42" t="n"/>
      <c r="Y739" s="42" t="n"/>
    </row>
    <row r="740">
      <c r="B740" s="2">
        <f>IF(STUDENTS!B739="","",STUDENTS!B739)</f>
        <v/>
      </c>
      <c r="C740" s="44">
        <f>IFERROR(IF(B740="","",_xlfn.XLOOKUP(B740,STUDENTS!$B$3:$B$1048576,STUDENTS!$C$3:$C$1048576)),"Enter a registered reg. no")</f>
        <v/>
      </c>
      <c r="D740" s="52">
        <f t="array" ref="D740:W740">IF(All_Students_Scores!C738:V738="","",All_Students_Scores!C738:V738)</f>
        <v/>
      </c>
      <c r="E740" s="57" t="str"/>
      <c r="F740" s="66" t="str"/>
      <c r="G740" s="67" t="str"/>
      <c r="H740" s="64" t="str"/>
      <c r="I740" s="65" t="str"/>
      <c r="J740" s="66" t="str"/>
      <c r="K740" s="67" t="str"/>
      <c r="L740" s="41" t="str"/>
      <c r="M740" s="41" t="str"/>
      <c r="N740" s="66" t="str"/>
      <c r="O740" s="67" t="str"/>
      <c r="P740" s="41" t="str"/>
      <c r="Q740" s="41" t="str"/>
      <c r="R740" s="66" t="str"/>
      <c r="S740" s="67" t="str"/>
      <c r="T740" s="41" t="str"/>
      <c r="U740" s="41" t="str"/>
      <c r="V740" s="66" t="str"/>
      <c r="W740" s="67" t="str"/>
    </row>
    <row r="741">
      <c r="B741" s="2">
        <f>IF(STUDENTS!B740="","",STUDENTS!B740)</f>
        <v/>
      </c>
      <c r="C741" s="44">
        <f>IFERROR(IF(B741="","",_xlfn.XLOOKUP(B741,STUDENTS!$B$3:$B$1048576,STUDENTS!$C$3:$C$1048576)),"Enter a registered reg. no")</f>
        <v/>
      </c>
      <c r="D741" s="52">
        <f t="array" ref="D741:W741">IF(All_Students_Scores!C739:V739="","",All_Students_Scores!C739:V739)</f>
        <v/>
      </c>
      <c r="E741" s="55" t="str"/>
      <c r="F741" s="48" t="str"/>
      <c r="G741" s="58" t="str"/>
      <c r="H741" s="62" t="str"/>
      <c r="I741" s="63" t="str"/>
      <c r="J741" s="48" t="str"/>
      <c r="K741" s="58" t="str"/>
      <c r="L741" s="42" t="str"/>
      <c r="M741" s="42" t="str"/>
      <c r="N741" s="48" t="str"/>
      <c r="O741" s="58" t="str"/>
      <c r="P741" s="42" t="str"/>
      <c r="Q741" s="42" t="str"/>
      <c r="R741" s="48" t="str"/>
      <c r="S741" s="58" t="str"/>
      <c r="T741" s="42" t="str"/>
      <c r="U741" s="42" t="str"/>
      <c r="V741" s="48" t="str"/>
      <c r="W741" s="58" t="str"/>
      <c r="X741" s="42" t="n"/>
      <c r="Y741" s="42" t="n"/>
    </row>
    <row r="742">
      <c r="B742" s="2">
        <f>IF(STUDENTS!B741="","",STUDENTS!B741)</f>
        <v/>
      </c>
      <c r="C742" s="44">
        <f>IFERROR(IF(B742="","",_xlfn.XLOOKUP(B742,STUDENTS!$B$3:$B$1048576,STUDENTS!$C$3:$C$1048576)),"Enter a registered reg. no")</f>
        <v/>
      </c>
      <c r="D742" s="52">
        <f t="array" ref="D742:W742">IF(All_Students_Scores!C740:V740="","",All_Students_Scores!C740:V740)</f>
        <v/>
      </c>
      <c r="E742" s="57" t="str"/>
      <c r="F742" s="66" t="str"/>
      <c r="G742" s="67" t="str"/>
      <c r="H742" s="64" t="str"/>
      <c r="I742" s="65" t="str"/>
      <c r="J742" s="66" t="str"/>
      <c r="K742" s="67" t="str"/>
      <c r="L742" s="41" t="str"/>
      <c r="M742" s="41" t="str"/>
      <c r="N742" s="66" t="str"/>
      <c r="O742" s="67" t="str"/>
      <c r="P742" s="41" t="str"/>
      <c r="Q742" s="41" t="str"/>
      <c r="R742" s="66" t="str"/>
      <c r="S742" s="67" t="str"/>
      <c r="T742" s="41" t="str"/>
      <c r="U742" s="41" t="str"/>
      <c r="V742" s="66" t="str"/>
      <c r="W742" s="67" t="str"/>
    </row>
    <row r="743">
      <c r="B743" s="2">
        <f>IF(STUDENTS!B742="","",STUDENTS!B742)</f>
        <v/>
      </c>
      <c r="C743" s="44">
        <f>IFERROR(IF(B743="","",_xlfn.XLOOKUP(B743,STUDENTS!$B$3:$B$1048576,STUDENTS!$C$3:$C$1048576)),"Enter a registered reg. no")</f>
        <v/>
      </c>
      <c r="D743" s="52">
        <f t="array" ref="D743:W743">IF(All_Students_Scores!C741:V741="","",All_Students_Scores!C741:V741)</f>
        <v/>
      </c>
      <c r="E743" s="55" t="str"/>
      <c r="F743" s="48" t="str"/>
      <c r="G743" s="58" t="str"/>
      <c r="H743" s="62" t="str"/>
      <c r="I743" s="63" t="str"/>
      <c r="J743" s="48" t="str"/>
      <c r="K743" s="58" t="str"/>
      <c r="L743" s="42" t="str"/>
      <c r="M743" s="42" t="str"/>
      <c r="N743" s="48" t="str"/>
      <c r="O743" s="58" t="str"/>
      <c r="P743" s="42" t="str"/>
      <c r="Q743" s="42" t="str"/>
      <c r="R743" s="48" t="str"/>
      <c r="S743" s="58" t="str"/>
      <c r="T743" s="42" t="str"/>
      <c r="U743" s="42" t="str"/>
      <c r="V743" s="48" t="str"/>
      <c r="W743" s="58" t="str"/>
      <c r="X743" s="42" t="n"/>
      <c r="Y743" s="42" t="n"/>
    </row>
    <row r="744">
      <c r="B744" s="2">
        <f>IF(STUDENTS!B743="","",STUDENTS!B743)</f>
        <v/>
      </c>
      <c r="C744" s="44">
        <f>IFERROR(IF(B744="","",_xlfn.XLOOKUP(B744,STUDENTS!$B$3:$B$1048576,STUDENTS!$C$3:$C$1048576)),"Enter a registered reg. no")</f>
        <v/>
      </c>
      <c r="D744" s="52">
        <f t="array" ref="D744:W744">IF(All_Students_Scores!C742:V742="","",All_Students_Scores!C742:V742)</f>
        <v/>
      </c>
      <c r="E744" s="57" t="str"/>
      <c r="F744" s="66" t="str"/>
      <c r="G744" s="67" t="str"/>
      <c r="H744" s="64" t="str"/>
      <c r="I744" s="65" t="str"/>
      <c r="J744" s="66" t="str"/>
      <c r="K744" s="67" t="str"/>
      <c r="L744" s="41" t="str"/>
      <c r="M744" s="41" t="str"/>
      <c r="N744" s="66" t="str"/>
      <c r="O744" s="67" t="str"/>
      <c r="P744" s="41" t="str"/>
      <c r="Q744" s="41" t="str"/>
      <c r="R744" s="66" t="str"/>
      <c r="S744" s="67" t="str"/>
      <c r="T744" s="41" t="str"/>
      <c r="U744" s="41" t="str"/>
      <c r="V744" s="66" t="str"/>
      <c r="W744" s="67" t="str"/>
    </row>
    <row r="745">
      <c r="B745" s="2">
        <f>IF(STUDENTS!B744="","",STUDENTS!B744)</f>
        <v/>
      </c>
      <c r="C745" s="44">
        <f>IFERROR(IF(B745="","",_xlfn.XLOOKUP(B745,STUDENTS!$B$3:$B$1048576,STUDENTS!$C$3:$C$1048576)),"Enter a registered reg. no")</f>
        <v/>
      </c>
      <c r="D745" s="52">
        <f t="array" ref="D745:W745">IF(All_Students_Scores!C743:V743="","",All_Students_Scores!C743:V743)</f>
        <v/>
      </c>
      <c r="E745" s="55" t="str"/>
      <c r="F745" s="48" t="str"/>
      <c r="G745" s="58" t="str"/>
      <c r="H745" s="62" t="str"/>
      <c r="I745" s="63" t="str"/>
      <c r="J745" s="48" t="str"/>
      <c r="K745" s="58" t="str"/>
      <c r="L745" s="42" t="str"/>
      <c r="M745" s="42" t="str"/>
      <c r="N745" s="48" t="str"/>
      <c r="O745" s="58" t="str"/>
      <c r="P745" s="42" t="str"/>
      <c r="Q745" s="42" t="str"/>
      <c r="R745" s="48" t="str"/>
      <c r="S745" s="58" t="str"/>
      <c r="T745" s="42" t="str"/>
      <c r="U745" s="42" t="str"/>
      <c r="V745" s="48" t="str"/>
      <c r="W745" s="58" t="str"/>
      <c r="X745" s="42" t="n"/>
      <c r="Y745" s="42" t="n"/>
    </row>
    <row r="746">
      <c r="B746" s="2">
        <f>IF(STUDENTS!B745="","",STUDENTS!B745)</f>
        <v/>
      </c>
      <c r="C746" s="44">
        <f>IFERROR(IF(B746="","",_xlfn.XLOOKUP(B746,STUDENTS!$B$3:$B$1048576,STUDENTS!$C$3:$C$1048576)),"Enter a registered reg. no")</f>
        <v/>
      </c>
      <c r="D746" s="52">
        <f t="array" ref="D746:W746">IF(All_Students_Scores!C744:V744="","",All_Students_Scores!C744:V744)</f>
        <v/>
      </c>
      <c r="E746" s="57" t="str"/>
      <c r="F746" s="66" t="str"/>
      <c r="G746" s="67" t="str"/>
      <c r="H746" s="64" t="str"/>
      <c r="I746" s="65" t="str"/>
      <c r="J746" s="66" t="str"/>
      <c r="K746" s="67" t="str"/>
      <c r="L746" s="41" t="str"/>
      <c r="M746" s="41" t="str"/>
      <c r="N746" s="66" t="str"/>
      <c r="O746" s="67" t="str"/>
      <c r="P746" s="41" t="str"/>
      <c r="Q746" s="41" t="str"/>
      <c r="R746" s="66" t="str"/>
      <c r="S746" s="67" t="str"/>
      <c r="T746" s="41" t="str"/>
      <c r="U746" s="41" t="str"/>
      <c r="V746" s="66" t="str"/>
      <c r="W746" s="67" t="str"/>
    </row>
    <row r="747">
      <c r="B747" s="2">
        <f>IF(STUDENTS!B746="","",STUDENTS!B746)</f>
        <v/>
      </c>
      <c r="C747" s="44">
        <f>IFERROR(IF(B747="","",_xlfn.XLOOKUP(B747,STUDENTS!$B$3:$B$1048576,STUDENTS!$C$3:$C$1048576)),"Enter a registered reg. no")</f>
        <v/>
      </c>
      <c r="D747" s="52">
        <f t="array" ref="D747:W747">IF(All_Students_Scores!C745:V745="","",All_Students_Scores!C745:V745)</f>
        <v/>
      </c>
      <c r="E747" s="55" t="str"/>
      <c r="F747" s="48" t="str"/>
      <c r="G747" s="58" t="str"/>
      <c r="H747" s="62" t="str"/>
      <c r="I747" s="63" t="str"/>
      <c r="J747" s="48" t="str"/>
      <c r="K747" s="58" t="str"/>
      <c r="L747" s="42" t="str"/>
      <c r="M747" s="42" t="str"/>
      <c r="N747" s="48" t="str"/>
      <c r="O747" s="58" t="str"/>
      <c r="P747" s="42" t="str"/>
      <c r="Q747" s="42" t="str"/>
      <c r="R747" s="48" t="str"/>
      <c r="S747" s="58" t="str"/>
      <c r="T747" s="42" t="str"/>
      <c r="U747" s="42" t="str"/>
      <c r="V747" s="48" t="str"/>
      <c r="W747" s="58" t="str"/>
      <c r="X747" s="42" t="n"/>
      <c r="Y747" s="42" t="n"/>
    </row>
    <row r="748">
      <c r="B748" s="2">
        <f>IF(STUDENTS!B747="","",STUDENTS!B747)</f>
        <v/>
      </c>
      <c r="C748" s="44">
        <f>IFERROR(IF(B748="","",_xlfn.XLOOKUP(B748,STUDENTS!$B$3:$B$1048576,STUDENTS!$C$3:$C$1048576)),"Enter a registered reg. no")</f>
        <v/>
      </c>
      <c r="D748" s="52">
        <f t="array" ref="D748:W748">IF(All_Students_Scores!C746:V746="","",All_Students_Scores!C746:V746)</f>
        <v/>
      </c>
      <c r="E748" s="57" t="str"/>
      <c r="F748" s="66" t="str"/>
      <c r="G748" s="67" t="str"/>
      <c r="H748" s="64" t="str"/>
      <c r="I748" s="65" t="str"/>
      <c r="J748" s="66" t="str"/>
      <c r="K748" s="67" t="str"/>
      <c r="L748" s="41" t="str"/>
      <c r="M748" s="41" t="str"/>
      <c r="N748" s="66" t="str"/>
      <c r="O748" s="67" t="str"/>
      <c r="P748" s="41" t="str"/>
      <c r="Q748" s="41" t="str"/>
      <c r="R748" s="66" t="str"/>
      <c r="S748" s="67" t="str"/>
      <c r="T748" s="41" t="str"/>
      <c r="U748" s="41" t="str"/>
      <c r="V748" s="66" t="str"/>
      <c r="W748" s="67" t="str"/>
    </row>
    <row r="749">
      <c r="B749" s="2">
        <f>IF(STUDENTS!B748="","",STUDENTS!B748)</f>
        <v/>
      </c>
      <c r="C749" s="44">
        <f>IFERROR(IF(B749="","",_xlfn.XLOOKUP(B749,STUDENTS!$B$3:$B$1048576,STUDENTS!$C$3:$C$1048576)),"Enter a registered reg. no")</f>
        <v/>
      </c>
      <c r="D749" s="52">
        <f t="array" ref="D749:W749">IF(All_Students_Scores!C747:V747="","",All_Students_Scores!C747:V747)</f>
        <v/>
      </c>
      <c r="E749" s="55" t="str"/>
      <c r="F749" s="48" t="str"/>
      <c r="G749" s="58" t="str"/>
      <c r="H749" s="62" t="str"/>
      <c r="I749" s="63" t="str"/>
      <c r="J749" s="48" t="str"/>
      <c r="K749" s="58" t="str"/>
      <c r="L749" s="42" t="str"/>
      <c r="M749" s="42" t="str"/>
      <c r="N749" s="48" t="str"/>
      <c r="O749" s="58" t="str"/>
      <c r="P749" s="42" t="str"/>
      <c r="Q749" s="42" t="str"/>
      <c r="R749" s="48" t="str"/>
      <c r="S749" s="58" t="str"/>
      <c r="T749" s="42" t="str"/>
      <c r="U749" s="42" t="str"/>
      <c r="V749" s="48" t="str"/>
      <c r="W749" s="58" t="str"/>
      <c r="X749" s="42" t="n"/>
      <c r="Y749" s="42" t="n"/>
    </row>
    <row r="750">
      <c r="B750" s="2">
        <f>IF(STUDENTS!B749="","",STUDENTS!B749)</f>
        <v/>
      </c>
      <c r="C750" s="44">
        <f>IFERROR(IF(B750="","",_xlfn.XLOOKUP(B750,STUDENTS!$B$3:$B$1048576,STUDENTS!$C$3:$C$1048576)),"Enter a registered reg. no")</f>
        <v/>
      </c>
      <c r="D750" s="52">
        <f t="array" ref="D750:W750">IF(All_Students_Scores!C748:V748="","",All_Students_Scores!C748:V748)</f>
        <v/>
      </c>
      <c r="E750" s="57" t="str"/>
      <c r="F750" s="66" t="str"/>
      <c r="G750" s="67" t="str"/>
      <c r="H750" s="64" t="str"/>
      <c r="I750" s="65" t="str"/>
      <c r="J750" s="66" t="str"/>
      <c r="K750" s="67" t="str"/>
      <c r="L750" s="41" t="str"/>
      <c r="M750" s="41" t="str"/>
      <c r="N750" s="66" t="str"/>
      <c r="O750" s="67" t="str"/>
      <c r="P750" s="41" t="str"/>
      <c r="Q750" s="41" t="str"/>
      <c r="R750" s="66" t="str"/>
      <c r="S750" s="67" t="str"/>
      <c r="T750" s="41" t="str"/>
      <c r="U750" s="41" t="str"/>
      <c r="V750" s="66" t="str"/>
      <c r="W750" s="67" t="str"/>
    </row>
    <row r="751">
      <c r="B751" s="2">
        <f>IF(STUDENTS!B750="","",STUDENTS!B750)</f>
        <v/>
      </c>
      <c r="C751" s="44">
        <f>IFERROR(IF(B751="","",_xlfn.XLOOKUP(B751,STUDENTS!$B$3:$B$1048576,STUDENTS!$C$3:$C$1048576)),"Enter a registered reg. no")</f>
        <v/>
      </c>
      <c r="D751" s="52">
        <f t="array" ref="D751:W751">IF(All_Students_Scores!C749:V749="","",All_Students_Scores!C749:V749)</f>
        <v/>
      </c>
      <c r="E751" s="55" t="str"/>
      <c r="F751" s="48" t="str"/>
      <c r="G751" s="58" t="str"/>
      <c r="H751" s="62" t="str"/>
      <c r="I751" s="63" t="str"/>
      <c r="J751" s="48" t="str"/>
      <c r="K751" s="58" t="str"/>
      <c r="L751" s="42" t="str"/>
      <c r="M751" s="42" t="str"/>
      <c r="N751" s="48" t="str"/>
      <c r="O751" s="58" t="str"/>
      <c r="P751" s="42" t="str"/>
      <c r="Q751" s="42" t="str"/>
      <c r="R751" s="48" t="str"/>
      <c r="S751" s="58" t="str"/>
      <c r="T751" s="42" t="str"/>
      <c r="U751" s="42" t="str"/>
      <c r="V751" s="48" t="str"/>
      <c r="W751" s="58" t="str"/>
      <c r="X751" s="42" t="n"/>
      <c r="Y751" s="42" t="n"/>
    </row>
    <row r="752">
      <c r="B752" s="2">
        <f>IF(STUDENTS!B751="","",STUDENTS!B751)</f>
        <v/>
      </c>
      <c r="C752" s="44">
        <f>IFERROR(IF(B752="","",_xlfn.XLOOKUP(B752,STUDENTS!$B$3:$B$1048576,STUDENTS!$C$3:$C$1048576)),"Enter a registered reg. no")</f>
        <v/>
      </c>
      <c r="D752" s="52">
        <f t="array" ref="D752:W752">IF(All_Students_Scores!C750:V750="","",All_Students_Scores!C750:V750)</f>
        <v/>
      </c>
      <c r="E752" s="57" t="str"/>
      <c r="F752" s="66" t="str"/>
      <c r="G752" s="67" t="str"/>
      <c r="H752" s="64" t="str"/>
      <c r="I752" s="65" t="str"/>
      <c r="J752" s="66" t="str"/>
      <c r="K752" s="67" t="str"/>
      <c r="L752" s="41" t="str"/>
      <c r="M752" s="41" t="str"/>
      <c r="N752" s="66" t="str"/>
      <c r="O752" s="67" t="str"/>
      <c r="P752" s="41" t="str"/>
      <c r="Q752" s="41" t="str"/>
      <c r="R752" s="66" t="str"/>
      <c r="S752" s="67" t="str"/>
      <c r="T752" s="41" t="str"/>
      <c r="U752" s="41" t="str"/>
      <c r="V752" s="66" t="str"/>
      <c r="W752" s="67" t="str"/>
    </row>
    <row r="753">
      <c r="B753" s="2">
        <f>IF(STUDENTS!B752="","",STUDENTS!B752)</f>
        <v/>
      </c>
      <c r="C753" s="44">
        <f>IFERROR(IF(B753="","",_xlfn.XLOOKUP(B753,STUDENTS!$B$3:$B$1048576,STUDENTS!$C$3:$C$1048576)),"Enter a registered reg. no")</f>
        <v/>
      </c>
      <c r="D753" s="52">
        <f t="array" ref="D753:W753">IF(All_Students_Scores!C751:V751="","",All_Students_Scores!C751:V751)</f>
        <v/>
      </c>
      <c r="E753" s="55" t="str"/>
      <c r="F753" s="48" t="str"/>
      <c r="G753" s="58" t="str"/>
      <c r="H753" s="62" t="str"/>
      <c r="I753" s="63" t="str"/>
      <c r="J753" s="48" t="str"/>
      <c r="K753" s="58" t="str"/>
      <c r="L753" s="42" t="str"/>
      <c r="M753" s="42" t="str"/>
      <c r="N753" s="48" t="str"/>
      <c r="O753" s="58" t="str"/>
      <c r="P753" s="42" t="str"/>
      <c r="Q753" s="42" t="str"/>
      <c r="R753" s="48" t="str"/>
      <c r="S753" s="58" t="str"/>
      <c r="T753" s="42" t="str"/>
      <c r="U753" s="42" t="str"/>
      <c r="V753" s="48" t="str"/>
      <c r="W753" s="58" t="str"/>
      <c r="X753" s="42" t="n"/>
      <c r="Y753" s="42" t="n"/>
    </row>
    <row r="754">
      <c r="B754" s="2">
        <f>IF(STUDENTS!B753="","",STUDENTS!B753)</f>
        <v/>
      </c>
      <c r="C754" s="44">
        <f>IFERROR(IF(B754="","",_xlfn.XLOOKUP(B754,STUDENTS!$B$3:$B$1048576,STUDENTS!$C$3:$C$1048576)),"Enter a registered reg. no")</f>
        <v/>
      </c>
      <c r="D754" s="52">
        <f t="array" ref="D754:W754">IF(All_Students_Scores!C752:V752="","",All_Students_Scores!C752:V752)</f>
        <v/>
      </c>
      <c r="E754" s="57" t="str"/>
      <c r="F754" s="66" t="str"/>
      <c r="G754" s="67" t="str"/>
      <c r="H754" s="64" t="str"/>
      <c r="I754" s="65" t="str"/>
      <c r="J754" s="66" t="str"/>
      <c r="K754" s="67" t="str"/>
      <c r="L754" s="41" t="str"/>
      <c r="M754" s="41" t="str"/>
      <c r="N754" s="66" t="str"/>
      <c r="O754" s="67" t="str"/>
      <c r="P754" s="41" t="str"/>
      <c r="Q754" s="41" t="str"/>
      <c r="R754" s="66" t="str"/>
      <c r="S754" s="67" t="str"/>
      <c r="T754" s="41" t="str"/>
      <c r="U754" s="41" t="str"/>
      <c r="V754" s="66" t="str"/>
      <c r="W754" s="67" t="str"/>
    </row>
    <row r="755">
      <c r="B755" s="2">
        <f>IF(STUDENTS!B754="","",STUDENTS!B754)</f>
        <v/>
      </c>
      <c r="C755" s="44">
        <f>IFERROR(IF(B755="","",_xlfn.XLOOKUP(B755,STUDENTS!$B$3:$B$1048576,STUDENTS!$C$3:$C$1048576)),"Enter a registered reg. no")</f>
        <v/>
      </c>
      <c r="D755" s="52">
        <f t="array" ref="D755:W755">IF(All_Students_Scores!C753:V753="","",All_Students_Scores!C753:V753)</f>
        <v/>
      </c>
      <c r="E755" s="55" t="str"/>
      <c r="F755" s="48" t="str"/>
      <c r="G755" s="58" t="str"/>
      <c r="H755" s="62" t="str"/>
      <c r="I755" s="63" t="str"/>
      <c r="J755" s="48" t="str"/>
      <c r="K755" s="58" t="str"/>
      <c r="L755" s="42" t="str"/>
      <c r="M755" s="42" t="str"/>
      <c r="N755" s="48" t="str"/>
      <c r="O755" s="58" t="str"/>
      <c r="P755" s="42" t="str"/>
      <c r="Q755" s="42" t="str"/>
      <c r="R755" s="48" t="str"/>
      <c r="S755" s="58" t="str"/>
      <c r="T755" s="42" t="str"/>
      <c r="U755" s="42" t="str"/>
      <c r="V755" s="48" t="str"/>
      <c r="W755" s="58" t="str"/>
      <c r="X755" s="42" t="n"/>
      <c r="Y755" s="42" t="n"/>
    </row>
    <row r="756">
      <c r="B756" s="2">
        <f>IF(STUDENTS!B755="","",STUDENTS!B755)</f>
        <v/>
      </c>
      <c r="C756" s="44">
        <f>IFERROR(IF(B756="","",_xlfn.XLOOKUP(B756,STUDENTS!$B$3:$B$1048576,STUDENTS!$C$3:$C$1048576)),"Enter a registered reg. no")</f>
        <v/>
      </c>
      <c r="D756" s="52">
        <f t="array" ref="D756:W756">IF(All_Students_Scores!C754:V754="","",All_Students_Scores!C754:V754)</f>
        <v/>
      </c>
      <c r="E756" s="57" t="str"/>
      <c r="F756" s="66" t="str"/>
      <c r="G756" s="67" t="str"/>
      <c r="H756" s="64" t="str"/>
      <c r="I756" s="65" t="str"/>
      <c r="J756" s="66" t="str"/>
      <c r="K756" s="67" t="str"/>
      <c r="L756" s="41" t="str"/>
      <c r="M756" s="41" t="str"/>
      <c r="N756" s="66" t="str"/>
      <c r="O756" s="67" t="str"/>
      <c r="P756" s="41" t="str"/>
      <c r="Q756" s="41" t="str"/>
      <c r="R756" s="66" t="str"/>
      <c r="S756" s="67" t="str"/>
      <c r="T756" s="41" t="str"/>
      <c r="U756" s="41" t="str"/>
      <c r="V756" s="66" t="str"/>
      <c r="W756" s="67" t="str"/>
    </row>
    <row r="757">
      <c r="B757" s="2">
        <f>IF(STUDENTS!B756="","",STUDENTS!B756)</f>
        <v/>
      </c>
      <c r="C757" s="44">
        <f>IFERROR(IF(B757="","",_xlfn.XLOOKUP(B757,STUDENTS!$B$3:$B$1048576,STUDENTS!$C$3:$C$1048576)),"Enter a registered reg. no")</f>
        <v/>
      </c>
      <c r="D757" s="52">
        <f t="array" ref="D757:W757">IF(All_Students_Scores!C755:V755="","",All_Students_Scores!C755:V755)</f>
        <v/>
      </c>
      <c r="E757" s="55" t="str"/>
      <c r="F757" s="48" t="str"/>
      <c r="G757" s="58" t="str"/>
      <c r="H757" s="62" t="str"/>
      <c r="I757" s="63" t="str"/>
      <c r="J757" s="48" t="str"/>
      <c r="K757" s="58" t="str"/>
      <c r="L757" s="42" t="str"/>
      <c r="M757" s="42" t="str"/>
      <c r="N757" s="48" t="str"/>
      <c r="O757" s="58" t="str"/>
      <c r="P757" s="42" t="str"/>
      <c r="Q757" s="42" t="str"/>
      <c r="R757" s="48" t="str"/>
      <c r="S757" s="58" t="str"/>
      <c r="T757" s="42" t="str"/>
      <c r="U757" s="42" t="str"/>
      <c r="V757" s="48" t="str"/>
      <c r="W757" s="58" t="str"/>
      <c r="X757" s="42" t="n"/>
      <c r="Y757" s="42" t="n"/>
    </row>
    <row r="758">
      <c r="B758" s="2">
        <f>IF(STUDENTS!B757="","",STUDENTS!B757)</f>
        <v/>
      </c>
      <c r="C758" s="44">
        <f>IFERROR(IF(B758="","",_xlfn.XLOOKUP(B758,STUDENTS!$B$3:$B$1048576,STUDENTS!$C$3:$C$1048576)),"Enter a registered reg. no")</f>
        <v/>
      </c>
      <c r="D758" s="52">
        <f t="array" ref="D758:W758">IF(All_Students_Scores!C756:V756="","",All_Students_Scores!C756:V756)</f>
        <v/>
      </c>
      <c r="E758" s="57" t="str"/>
      <c r="F758" s="66" t="str"/>
      <c r="G758" s="67" t="str"/>
      <c r="H758" s="64" t="str"/>
      <c r="I758" s="65" t="str"/>
      <c r="J758" s="66" t="str"/>
      <c r="K758" s="67" t="str"/>
      <c r="L758" s="41" t="str"/>
      <c r="M758" s="41" t="str"/>
      <c r="N758" s="66" t="str"/>
      <c r="O758" s="67" t="str"/>
      <c r="P758" s="41" t="str"/>
      <c r="Q758" s="41" t="str"/>
      <c r="R758" s="66" t="str"/>
      <c r="S758" s="67" t="str"/>
      <c r="T758" s="41" t="str"/>
      <c r="U758" s="41" t="str"/>
      <c r="V758" s="66" t="str"/>
      <c r="W758" s="67" t="str"/>
    </row>
    <row r="759">
      <c r="B759" s="2">
        <f>IF(STUDENTS!B758="","",STUDENTS!B758)</f>
        <v/>
      </c>
      <c r="C759" s="44">
        <f>IFERROR(IF(B759="","",_xlfn.XLOOKUP(B759,STUDENTS!$B$3:$B$1048576,STUDENTS!$C$3:$C$1048576)),"Enter a registered reg. no")</f>
        <v/>
      </c>
      <c r="D759" s="52">
        <f t="array" ref="D759:W759">IF(All_Students_Scores!C757:V757="","",All_Students_Scores!C757:V757)</f>
        <v/>
      </c>
      <c r="E759" s="55" t="str"/>
      <c r="F759" s="48" t="str"/>
      <c r="G759" s="58" t="str"/>
      <c r="H759" s="62" t="str"/>
      <c r="I759" s="63" t="str"/>
      <c r="J759" s="48" t="str"/>
      <c r="K759" s="58" t="str"/>
      <c r="L759" s="42" t="str"/>
      <c r="M759" s="42" t="str"/>
      <c r="N759" s="48" t="str"/>
      <c r="O759" s="58" t="str"/>
      <c r="P759" s="42" t="str"/>
      <c r="Q759" s="42" t="str"/>
      <c r="R759" s="48" t="str"/>
      <c r="S759" s="58" t="str"/>
      <c r="T759" s="42" t="str"/>
      <c r="U759" s="42" t="str"/>
      <c r="V759" s="48" t="str"/>
      <c r="W759" s="58" t="str"/>
      <c r="X759" s="42" t="n"/>
      <c r="Y759" s="42" t="n"/>
    </row>
    <row r="760">
      <c r="B760" s="2">
        <f>IF(STUDENTS!B759="","",STUDENTS!B759)</f>
        <v/>
      </c>
      <c r="C760" s="44">
        <f>IFERROR(IF(B760="","",_xlfn.XLOOKUP(B760,STUDENTS!$B$3:$B$1048576,STUDENTS!$C$3:$C$1048576)),"Enter a registered reg. no")</f>
        <v/>
      </c>
      <c r="D760" s="52">
        <f t="array" ref="D760:W760">IF(All_Students_Scores!C758:V758="","",All_Students_Scores!C758:V758)</f>
        <v/>
      </c>
      <c r="E760" s="57" t="str"/>
      <c r="F760" s="66" t="str"/>
      <c r="G760" s="67" t="str"/>
      <c r="H760" s="64" t="str"/>
      <c r="I760" s="65" t="str"/>
      <c r="J760" s="66" t="str"/>
      <c r="K760" s="67" t="str"/>
      <c r="L760" s="41" t="str"/>
      <c r="M760" s="41" t="str"/>
      <c r="N760" s="66" t="str"/>
      <c r="O760" s="67" t="str"/>
      <c r="P760" s="41" t="str"/>
      <c r="Q760" s="41" t="str"/>
      <c r="R760" s="66" t="str"/>
      <c r="S760" s="67" t="str"/>
      <c r="T760" s="41" t="str"/>
      <c r="U760" s="41" t="str"/>
      <c r="V760" s="66" t="str"/>
      <c r="W760" s="67" t="str"/>
    </row>
    <row r="761">
      <c r="B761" s="2">
        <f>IF(STUDENTS!B760="","",STUDENTS!B760)</f>
        <v/>
      </c>
      <c r="C761" s="44">
        <f>IFERROR(IF(B761="","",_xlfn.XLOOKUP(B761,STUDENTS!$B$3:$B$1048576,STUDENTS!$C$3:$C$1048576)),"Enter a registered reg. no")</f>
        <v/>
      </c>
      <c r="D761" s="52">
        <f t="array" ref="D761:W761">IF(All_Students_Scores!C759:V759="","",All_Students_Scores!C759:V759)</f>
        <v/>
      </c>
      <c r="E761" s="55" t="str"/>
      <c r="F761" s="48" t="str"/>
      <c r="G761" s="58" t="str"/>
      <c r="H761" s="62" t="str"/>
      <c r="I761" s="63" t="str"/>
      <c r="J761" s="48" t="str"/>
      <c r="K761" s="58" t="str"/>
      <c r="L761" s="42" t="str"/>
      <c r="M761" s="42" t="str"/>
      <c r="N761" s="48" t="str"/>
      <c r="O761" s="58" t="str"/>
      <c r="P761" s="42" t="str"/>
      <c r="Q761" s="42" t="str"/>
      <c r="R761" s="48" t="str"/>
      <c r="S761" s="58" t="str"/>
      <c r="T761" s="42" t="str"/>
      <c r="U761" s="42" t="str"/>
      <c r="V761" s="48" t="str"/>
      <c r="W761" s="58" t="str"/>
      <c r="X761" s="42" t="n"/>
      <c r="Y761" s="42" t="n"/>
    </row>
    <row r="762">
      <c r="B762" s="2">
        <f>IF(STUDENTS!B761="","",STUDENTS!B761)</f>
        <v/>
      </c>
      <c r="C762" s="44">
        <f>IFERROR(IF(B762="","",_xlfn.XLOOKUP(B762,STUDENTS!$B$3:$B$1048576,STUDENTS!$C$3:$C$1048576)),"Enter a registered reg. no")</f>
        <v/>
      </c>
      <c r="D762" s="52">
        <f t="array" ref="D762:W762">IF(All_Students_Scores!C760:V760="","",All_Students_Scores!C760:V760)</f>
        <v/>
      </c>
      <c r="E762" s="57" t="str"/>
      <c r="F762" s="66" t="str"/>
      <c r="G762" s="67" t="str"/>
      <c r="H762" s="64" t="str"/>
      <c r="I762" s="65" t="str"/>
      <c r="J762" s="66" t="str"/>
      <c r="K762" s="67" t="str"/>
      <c r="L762" s="41" t="str"/>
      <c r="M762" s="41" t="str"/>
      <c r="N762" s="66" t="str"/>
      <c r="O762" s="67" t="str"/>
      <c r="P762" s="41" t="str"/>
      <c r="Q762" s="41" t="str"/>
      <c r="R762" s="66" t="str"/>
      <c r="S762" s="67" t="str"/>
      <c r="T762" s="41" t="str"/>
      <c r="U762" s="41" t="str"/>
      <c r="V762" s="66" t="str"/>
      <c r="W762" s="67" t="str"/>
    </row>
    <row r="763">
      <c r="B763" s="2">
        <f>IF(STUDENTS!B762="","",STUDENTS!B762)</f>
        <v/>
      </c>
      <c r="C763" s="44">
        <f>IFERROR(IF(B763="","",_xlfn.XLOOKUP(B763,STUDENTS!$B$3:$B$1048576,STUDENTS!$C$3:$C$1048576)),"Enter a registered reg. no")</f>
        <v/>
      </c>
      <c r="D763" s="52">
        <f t="array" ref="D763:W763">IF(All_Students_Scores!C761:V761="","",All_Students_Scores!C761:V761)</f>
        <v/>
      </c>
      <c r="E763" s="55" t="str"/>
      <c r="F763" s="48" t="str"/>
      <c r="G763" s="58" t="str"/>
      <c r="H763" s="62" t="str"/>
      <c r="I763" s="63" t="str"/>
      <c r="J763" s="48" t="str"/>
      <c r="K763" s="58" t="str"/>
      <c r="L763" s="42" t="str"/>
      <c r="M763" s="42" t="str"/>
      <c r="N763" s="48" t="str"/>
      <c r="O763" s="58" t="str"/>
      <c r="P763" s="42" t="str"/>
      <c r="Q763" s="42" t="str"/>
      <c r="R763" s="48" t="str"/>
      <c r="S763" s="58" t="str"/>
      <c r="T763" s="42" t="str"/>
      <c r="U763" s="42" t="str"/>
      <c r="V763" s="48" t="str"/>
      <c r="W763" s="58" t="str"/>
      <c r="X763" s="42" t="n"/>
      <c r="Y763" s="42" t="n"/>
    </row>
    <row r="764">
      <c r="B764" s="2">
        <f>IF(STUDENTS!B763="","",STUDENTS!B763)</f>
        <v/>
      </c>
      <c r="C764" s="44">
        <f>IFERROR(IF(B764="","",_xlfn.XLOOKUP(B764,STUDENTS!$B$3:$B$1048576,STUDENTS!$C$3:$C$1048576)),"Enter a registered reg. no")</f>
        <v/>
      </c>
      <c r="D764" s="52">
        <f t="array" ref="D764:W764">IF(All_Students_Scores!C762:V762="","",All_Students_Scores!C762:V762)</f>
        <v/>
      </c>
      <c r="E764" s="57" t="str"/>
      <c r="F764" s="66" t="str"/>
      <c r="G764" s="67" t="str"/>
      <c r="H764" s="64" t="str"/>
      <c r="I764" s="65" t="str"/>
      <c r="J764" s="66" t="str"/>
      <c r="K764" s="67" t="str"/>
      <c r="L764" s="41" t="str"/>
      <c r="M764" s="41" t="str"/>
      <c r="N764" s="66" t="str"/>
      <c r="O764" s="67" t="str"/>
      <c r="P764" s="41" t="str"/>
      <c r="Q764" s="41" t="str"/>
      <c r="R764" s="66" t="str"/>
      <c r="S764" s="67" t="str"/>
      <c r="T764" s="41" t="str"/>
      <c r="U764" s="41" t="str"/>
      <c r="V764" s="66" t="str"/>
      <c r="W764" s="67" t="str"/>
    </row>
    <row r="765">
      <c r="B765" s="2">
        <f>IF(STUDENTS!B764="","",STUDENTS!B764)</f>
        <v/>
      </c>
      <c r="C765" s="44">
        <f>IFERROR(IF(B765="","",_xlfn.XLOOKUP(B765,STUDENTS!$B$3:$B$1048576,STUDENTS!$C$3:$C$1048576)),"Enter a registered reg. no")</f>
        <v/>
      </c>
      <c r="D765" s="52">
        <f t="array" ref="D765:W765">IF(All_Students_Scores!C763:V763="","",All_Students_Scores!C763:V763)</f>
        <v/>
      </c>
      <c r="E765" s="55" t="str"/>
      <c r="F765" s="48" t="str"/>
      <c r="G765" s="58" t="str"/>
      <c r="H765" s="62" t="str"/>
      <c r="I765" s="63" t="str"/>
      <c r="J765" s="48" t="str"/>
      <c r="K765" s="58" t="str"/>
      <c r="L765" s="42" t="str"/>
      <c r="M765" s="42" t="str"/>
      <c r="N765" s="48" t="str"/>
      <c r="O765" s="58" t="str"/>
      <c r="P765" s="42" t="str"/>
      <c r="Q765" s="42" t="str"/>
      <c r="R765" s="48" t="str"/>
      <c r="S765" s="58" t="str"/>
      <c r="T765" s="42" t="str"/>
      <c r="U765" s="42" t="str"/>
      <c r="V765" s="48" t="str"/>
      <c r="W765" s="58" t="str"/>
      <c r="X765" s="42" t="n"/>
      <c r="Y765" s="42" t="n"/>
    </row>
    <row r="766">
      <c r="B766" s="2">
        <f>IF(STUDENTS!B765="","",STUDENTS!B765)</f>
        <v/>
      </c>
      <c r="C766" s="44">
        <f>IFERROR(IF(B766="","",_xlfn.XLOOKUP(B766,STUDENTS!$B$3:$B$1048576,STUDENTS!$C$3:$C$1048576)),"Enter a registered reg. no")</f>
        <v/>
      </c>
      <c r="D766" s="52">
        <f t="array" ref="D766:W766">IF(All_Students_Scores!C764:V764="","",All_Students_Scores!C764:V764)</f>
        <v/>
      </c>
      <c r="E766" s="57" t="str"/>
      <c r="F766" s="66" t="str"/>
      <c r="G766" s="67" t="str"/>
      <c r="H766" s="64" t="str"/>
      <c r="I766" s="65" t="str"/>
      <c r="J766" s="66" t="str"/>
      <c r="K766" s="67" t="str"/>
      <c r="L766" s="41" t="str"/>
      <c r="M766" s="41" t="str"/>
      <c r="N766" s="66" t="str"/>
      <c r="O766" s="67" t="str"/>
      <c r="P766" s="41" t="str"/>
      <c r="Q766" s="41" t="str"/>
      <c r="R766" s="66" t="str"/>
      <c r="S766" s="67" t="str"/>
      <c r="T766" s="41" t="str"/>
      <c r="U766" s="41" t="str"/>
      <c r="V766" s="66" t="str"/>
      <c r="W766" s="67" t="str"/>
    </row>
    <row r="767">
      <c r="B767" s="2">
        <f>IF(STUDENTS!B766="","",STUDENTS!B766)</f>
        <v/>
      </c>
      <c r="C767" s="44">
        <f>IFERROR(IF(B767="","",_xlfn.XLOOKUP(B767,STUDENTS!$B$3:$B$1048576,STUDENTS!$C$3:$C$1048576)),"Enter a registered reg. no")</f>
        <v/>
      </c>
      <c r="D767" s="52">
        <f t="array" ref="D767:W767">IF(All_Students_Scores!C765:V765="","",All_Students_Scores!C765:V765)</f>
        <v/>
      </c>
      <c r="E767" s="55" t="str"/>
      <c r="F767" s="48" t="str"/>
      <c r="G767" s="58" t="str"/>
      <c r="H767" s="62" t="str"/>
      <c r="I767" s="63" t="str"/>
      <c r="J767" s="48" t="str"/>
      <c r="K767" s="58" t="str"/>
      <c r="L767" s="42" t="str"/>
      <c r="M767" s="42" t="str"/>
      <c r="N767" s="48" t="str"/>
      <c r="O767" s="58" t="str"/>
      <c r="P767" s="42" t="str"/>
      <c r="Q767" s="42" t="str"/>
      <c r="R767" s="48" t="str"/>
      <c r="S767" s="58" t="str"/>
      <c r="T767" s="42" t="str"/>
      <c r="U767" s="42" t="str"/>
      <c r="V767" s="48" t="str"/>
      <c r="W767" s="58" t="str"/>
      <c r="X767" s="42" t="n"/>
      <c r="Y767" s="42" t="n"/>
    </row>
    <row r="768">
      <c r="B768" s="2">
        <f>IF(STUDENTS!B767="","",STUDENTS!B767)</f>
        <v/>
      </c>
      <c r="C768" s="44">
        <f>IFERROR(IF(B768="","",_xlfn.XLOOKUP(B768,STUDENTS!$B$3:$B$1048576,STUDENTS!$C$3:$C$1048576)),"Enter a registered reg. no")</f>
        <v/>
      </c>
      <c r="D768" s="52">
        <f t="array" ref="D768:W768">IF(All_Students_Scores!C766:V766="","",All_Students_Scores!C766:V766)</f>
        <v/>
      </c>
      <c r="E768" s="57" t="str"/>
      <c r="F768" s="66" t="str"/>
      <c r="G768" s="67" t="str"/>
      <c r="H768" s="64" t="str"/>
      <c r="I768" s="65" t="str"/>
      <c r="J768" s="66" t="str"/>
      <c r="K768" s="67" t="str"/>
      <c r="L768" s="41" t="str"/>
      <c r="M768" s="41" t="str"/>
      <c r="N768" s="66" t="str"/>
      <c r="O768" s="67" t="str"/>
      <c r="P768" s="41" t="str"/>
      <c r="Q768" s="41" t="str"/>
      <c r="R768" s="66" t="str"/>
      <c r="S768" s="67" t="str"/>
      <c r="T768" s="41" t="str"/>
      <c r="U768" s="41" t="str"/>
      <c r="V768" s="66" t="str"/>
      <c r="W768" s="67" t="str"/>
    </row>
    <row r="769">
      <c r="B769" s="2">
        <f>IF(STUDENTS!B768="","",STUDENTS!B768)</f>
        <v/>
      </c>
      <c r="C769" s="44">
        <f>IFERROR(IF(B769="","",_xlfn.XLOOKUP(B769,STUDENTS!$B$3:$B$1048576,STUDENTS!$C$3:$C$1048576)),"Enter a registered reg. no")</f>
        <v/>
      </c>
      <c r="D769" s="52">
        <f t="array" ref="D769:W769">IF(All_Students_Scores!C767:V767="","",All_Students_Scores!C767:V767)</f>
        <v/>
      </c>
      <c r="E769" s="55" t="str"/>
      <c r="F769" s="48" t="str"/>
      <c r="G769" s="58" t="str"/>
      <c r="H769" s="62" t="str"/>
      <c r="I769" s="63" t="str"/>
      <c r="J769" s="48" t="str"/>
      <c r="K769" s="58" t="str"/>
      <c r="L769" s="42" t="str"/>
      <c r="M769" s="42" t="str"/>
      <c r="N769" s="48" t="str"/>
      <c r="O769" s="58" t="str"/>
      <c r="P769" s="42" t="str"/>
      <c r="Q769" s="42" t="str"/>
      <c r="R769" s="48" t="str"/>
      <c r="S769" s="58" t="str"/>
      <c r="T769" s="42" t="str"/>
      <c r="U769" s="42" t="str"/>
      <c r="V769" s="48" t="str"/>
      <c r="W769" s="58" t="str"/>
      <c r="X769" s="42" t="n"/>
      <c r="Y769" s="42" t="n"/>
    </row>
    <row r="770">
      <c r="B770" s="2">
        <f>IF(STUDENTS!B769="","",STUDENTS!B769)</f>
        <v/>
      </c>
      <c r="C770" s="44">
        <f>IFERROR(IF(B770="","",_xlfn.XLOOKUP(B770,STUDENTS!$B$3:$B$1048576,STUDENTS!$C$3:$C$1048576)),"Enter a registered reg. no")</f>
        <v/>
      </c>
      <c r="D770" s="52">
        <f t="array" ref="D770:W770">IF(All_Students_Scores!C768:V768="","",All_Students_Scores!C768:V768)</f>
        <v/>
      </c>
      <c r="E770" s="57" t="str"/>
      <c r="F770" s="66" t="str"/>
      <c r="G770" s="67" t="str"/>
      <c r="H770" s="64" t="str"/>
      <c r="I770" s="65" t="str"/>
      <c r="J770" s="66" t="str"/>
      <c r="K770" s="67" t="str"/>
      <c r="L770" s="41" t="str"/>
      <c r="M770" s="41" t="str"/>
      <c r="N770" s="66" t="str"/>
      <c r="O770" s="67" t="str"/>
      <c r="P770" s="41" t="str"/>
      <c r="Q770" s="41" t="str"/>
      <c r="R770" s="66" t="str"/>
      <c r="S770" s="67" t="str"/>
      <c r="T770" s="41" t="str"/>
      <c r="U770" s="41" t="str"/>
      <c r="V770" s="66" t="str"/>
      <c r="W770" s="67" t="str"/>
    </row>
    <row r="771">
      <c r="B771" s="2">
        <f>IF(STUDENTS!B770="","",STUDENTS!B770)</f>
        <v/>
      </c>
      <c r="C771" s="44">
        <f>IFERROR(IF(B771="","",_xlfn.XLOOKUP(B771,STUDENTS!$B$3:$B$1048576,STUDENTS!$C$3:$C$1048576)),"Enter a registered reg. no")</f>
        <v/>
      </c>
      <c r="D771" s="52">
        <f t="array" ref="D771:W771">IF(All_Students_Scores!C769:V769="","",All_Students_Scores!C769:V769)</f>
        <v/>
      </c>
      <c r="E771" s="55" t="str"/>
      <c r="F771" s="48" t="str"/>
      <c r="G771" s="58" t="str"/>
      <c r="H771" s="62" t="str"/>
      <c r="I771" s="63" t="str"/>
      <c r="J771" s="48" t="str"/>
      <c r="K771" s="58" t="str"/>
      <c r="L771" s="42" t="str"/>
      <c r="M771" s="42" t="str"/>
      <c r="N771" s="48" t="str"/>
      <c r="O771" s="58" t="str"/>
      <c r="P771" s="42" t="str"/>
      <c r="Q771" s="42" t="str"/>
      <c r="R771" s="48" t="str"/>
      <c r="S771" s="58" t="str"/>
      <c r="T771" s="42" t="str"/>
      <c r="U771" s="42" t="str"/>
      <c r="V771" s="48" t="str"/>
      <c r="W771" s="58" t="str"/>
      <c r="X771" s="42" t="n"/>
      <c r="Y771" s="42" t="n"/>
    </row>
    <row r="772">
      <c r="B772" s="2">
        <f>IF(STUDENTS!B771="","",STUDENTS!B771)</f>
        <v/>
      </c>
      <c r="C772" s="44">
        <f>IFERROR(IF(B772="","",_xlfn.XLOOKUP(B772,STUDENTS!$B$3:$B$1048576,STUDENTS!$C$3:$C$1048576)),"Enter a registered reg. no")</f>
        <v/>
      </c>
      <c r="D772" s="52">
        <f t="array" ref="D772:W772">IF(All_Students_Scores!C770:V770="","",All_Students_Scores!C770:V770)</f>
        <v/>
      </c>
      <c r="E772" s="57" t="str"/>
      <c r="F772" s="66" t="str"/>
      <c r="G772" s="67" t="str"/>
      <c r="H772" s="64" t="str"/>
      <c r="I772" s="65" t="str"/>
      <c r="J772" s="66" t="str"/>
      <c r="K772" s="67" t="str"/>
      <c r="L772" s="41" t="str"/>
      <c r="M772" s="41" t="str"/>
      <c r="N772" s="66" t="str"/>
      <c r="O772" s="67" t="str"/>
      <c r="P772" s="41" t="str"/>
      <c r="Q772" s="41" t="str"/>
      <c r="R772" s="66" t="str"/>
      <c r="S772" s="67" t="str"/>
      <c r="T772" s="41" t="str"/>
      <c r="U772" s="41" t="str"/>
      <c r="V772" s="66" t="str"/>
      <c r="W772" s="67" t="str"/>
    </row>
    <row r="773">
      <c r="B773" s="2">
        <f>IF(STUDENTS!B772="","",STUDENTS!B772)</f>
        <v/>
      </c>
      <c r="C773" s="44">
        <f>IFERROR(IF(B773="","",_xlfn.XLOOKUP(B773,STUDENTS!$B$3:$B$1048576,STUDENTS!$C$3:$C$1048576)),"Enter a registered reg. no")</f>
        <v/>
      </c>
      <c r="D773" s="52">
        <f t="array" ref="D773:W773">IF(All_Students_Scores!C771:V771="","",All_Students_Scores!C771:V771)</f>
        <v/>
      </c>
      <c r="E773" s="55" t="str"/>
      <c r="F773" s="48" t="str"/>
      <c r="G773" s="58" t="str"/>
      <c r="H773" s="62" t="str"/>
      <c r="I773" s="63" t="str"/>
      <c r="J773" s="48" t="str"/>
      <c r="K773" s="58" t="str"/>
      <c r="L773" s="42" t="str"/>
      <c r="M773" s="42" t="str"/>
      <c r="N773" s="48" t="str"/>
      <c r="O773" s="58" t="str"/>
      <c r="P773" s="42" t="str"/>
      <c r="Q773" s="42" t="str"/>
      <c r="R773" s="48" t="str"/>
      <c r="S773" s="58" t="str"/>
      <c r="T773" s="42" t="str"/>
      <c r="U773" s="42" t="str"/>
      <c r="V773" s="48" t="str"/>
      <c r="W773" s="58" t="str"/>
      <c r="X773" s="42" t="n"/>
      <c r="Y773" s="42" t="n"/>
    </row>
    <row r="774">
      <c r="B774" s="2">
        <f>IF(STUDENTS!B773="","",STUDENTS!B773)</f>
        <v/>
      </c>
      <c r="C774" s="44">
        <f>IFERROR(IF(B774="","",_xlfn.XLOOKUP(B774,STUDENTS!$B$3:$B$1048576,STUDENTS!$C$3:$C$1048576)),"Enter a registered reg. no")</f>
        <v/>
      </c>
      <c r="D774" s="52">
        <f t="array" ref="D774:W774">IF(All_Students_Scores!C772:V772="","",All_Students_Scores!C772:V772)</f>
        <v/>
      </c>
      <c r="E774" s="57" t="str"/>
      <c r="F774" s="66" t="str"/>
      <c r="G774" s="67" t="str"/>
      <c r="H774" s="64" t="str"/>
      <c r="I774" s="65" t="str"/>
      <c r="J774" s="66" t="str"/>
      <c r="K774" s="67" t="str"/>
      <c r="L774" s="41" t="str"/>
      <c r="M774" s="41" t="str"/>
      <c r="N774" s="66" t="str"/>
      <c r="O774" s="67" t="str"/>
      <c r="P774" s="41" t="str"/>
      <c r="Q774" s="41" t="str"/>
      <c r="R774" s="66" t="str"/>
      <c r="S774" s="67" t="str"/>
      <c r="T774" s="41" t="str"/>
      <c r="U774" s="41" t="str"/>
      <c r="V774" s="66" t="str"/>
      <c r="W774" s="67" t="str"/>
    </row>
    <row r="775">
      <c r="B775" s="2">
        <f>IF(STUDENTS!B774="","",STUDENTS!B774)</f>
        <v/>
      </c>
      <c r="C775" s="44">
        <f>IFERROR(IF(B775="","",_xlfn.XLOOKUP(B775,STUDENTS!$B$3:$B$1048576,STUDENTS!$C$3:$C$1048576)),"Enter a registered reg. no")</f>
        <v/>
      </c>
      <c r="D775" s="52">
        <f t="array" ref="D775:W775">IF(All_Students_Scores!C773:V773="","",All_Students_Scores!C773:V773)</f>
        <v/>
      </c>
      <c r="E775" s="55" t="str"/>
      <c r="F775" s="48" t="str"/>
      <c r="G775" s="58" t="str"/>
      <c r="H775" s="62" t="str"/>
      <c r="I775" s="63" t="str"/>
      <c r="J775" s="48" t="str"/>
      <c r="K775" s="58" t="str"/>
      <c r="L775" s="42" t="str"/>
      <c r="M775" s="42" t="str"/>
      <c r="N775" s="48" t="str"/>
      <c r="O775" s="58" t="str"/>
      <c r="P775" s="42" t="str"/>
      <c r="Q775" s="42" t="str"/>
      <c r="R775" s="48" t="str"/>
      <c r="S775" s="58" t="str"/>
      <c r="T775" s="42" t="str"/>
      <c r="U775" s="42" t="str"/>
      <c r="V775" s="48" t="str"/>
      <c r="W775" s="58" t="str"/>
      <c r="X775" s="42" t="n"/>
      <c r="Y775" s="42" t="n"/>
    </row>
    <row r="776">
      <c r="B776" s="2">
        <f>IF(STUDENTS!B775="","",STUDENTS!B775)</f>
        <v/>
      </c>
      <c r="C776" s="44">
        <f>IFERROR(IF(B776="","",_xlfn.XLOOKUP(B776,STUDENTS!$B$3:$B$1048576,STUDENTS!$C$3:$C$1048576)),"Enter a registered reg. no")</f>
        <v/>
      </c>
      <c r="D776" s="52">
        <f t="array" ref="D776:W776">IF(All_Students_Scores!C774:V774="","",All_Students_Scores!C774:V774)</f>
        <v/>
      </c>
      <c r="E776" s="57" t="str"/>
      <c r="F776" s="66" t="str"/>
      <c r="G776" s="67" t="str"/>
      <c r="H776" s="64" t="str"/>
      <c r="I776" s="65" t="str"/>
      <c r="J776" s="66" t="str"/>
      <c r="K776" s="67" t="str"/>
      <c r="L776" s="41" t="str"/>
      <c r="M776" s="41" t="str"/>
      <c r="N776" s="66" t="str"/>
      <c r="O776" s="67" t="str"/>
      <c r="P776" s="41" t="str"/>
      <c r="Q776" s="41" t="str"/>
      <c r="R776" s="66" t="str"/>
      <c r="S776" s="67" t="str"/>
      <c r="T776" s="41" t="str"/>
      <c r="U776" s="41" t="str"/>
      <c r="V776" s="66" t="str"/>
      <c r="W776" s="67" t="str"/>
    </row>
    <row r="777">
      <c r="B777" s="2">
        <f>IF(STUDENTS!B776="","",STUDENTS!B776)</f>
        <v/>
      </c>
      <c r="C777" s="44">
        <f>IFERROR(IF(B777="","",_xlfn.XLOOKUP(B777,STUDENTS!$B$3:$B$1048576,STUDENTS!$C$3:$C$1048576)),"Enter a registered reg. no")</f>
        <v/>
      </c>
      <c r="D777" s="52">
        <f t="array" ref="D777:W777">IF(All_Students_Scores!C775:V775="","",All_Students_Scores!C775:V775)</f>
        <v/>
      </c>
      <c r="E777" s="55" t="str"/>
      <c r="F777" s="48" t="str"/>
      <c r="G777" s="58" t="str"/>
      <c r="H777" s="62" t="str"/>
      <c r="I777" s="63" t="str"/>
      <c r="J777" s="48" t="str"/>
      <c r="K777" s="58" t="str"/>
      <c r="L777" s="42" t="str"/>
      <c r="M777" s="42" t="str"/>
      <c r="N777" s="48" t="str"/>
      <c r="O777" s="58" t="str"/>
      <c r="P777" s="42" t="str"/>
      <c r="Q777" s="42" t="str"/>
      <c r="R777" s="48" t="str"/>
      <c r="S777" s="58" t="str"/>
      <c r="T777" s="42" t="str"/>
      <c r="U777" s="42" t="str"/>
      <c r="V777" s="48" t="str"/>
      <c r="W777" s="58" t="str"/>
      <c r="X777" s="42" t="n"/>
      <c r="Y777" s="42" t="n"/>
    </row>
    <row r="778">
      <c r="B778" s="2">
        <f>IF(STUDENTS!B777="","",STUDENTS!B777)</f>
        <v/>
      </c>
      <c r="C778" s="44">
        <f>IFERROR(IF(B778="","",_xlfn.XLOOKUP(B778,STUDENTS!$B$3:$B$1048576,STUDENTS!$C$3:$C$1048576)),"Enter a registered reg. no")</f>
        <v/>
      </c>
      <c r="D778" s="52">
        <f t="array" ref="D778:W778">IF(All_Students_Scores!C776:V776="","",All_Students_Scores!C776:V776)</f>
        <v/>
      </c>
      <c r="E778" s="57" t="str"/>
      <c r="F778" s="66" t="str"/>
      <c r="G778" s="67" t="str"/>
      <c r="H778" s="64" t="str"/>
      <c r="I778" s="65" t="str"/>
      <c r="J778" s="66" t="str"/>
      <c r="K778" s="67" t="str"/>
      <c r="L778" s="41" t="str"/>
      <c r="M778" s="41" t="str"/>
      <c r="N778" s="66" t="str"/>
      <c r="O778" s="67" t="str"/>
      <c r="P778" s="41" t="str"/>
      <c r="Q778" s="41" t="str"/>
      <c r="R778" s="66" t="str"/>
      <c r="S778" s="67" t="str"/>
      <c r="T778" s="41" t="str"/>
      <c r="U778" s="41" t="str"/>
      <c r="V778" s="66" t="str"/>
      <c r="W778" s="67" t="str"/>
    </row>
    <row r="779">
      <c r="B779" s="2">
        <f>IF(STUDENTS!B778="","",STUDENTS!B778)</f>
        <v/>
      </c>
      <c r="C779" s="44">
        <f>IFERROR(IF(B779="","",_xlfn.XLOOKUP(B779,STUDENTS!$B$3:$B$1048576,STUDENTS!$C$3:$C$1048576)),"Enter a registered reg. no")</f>
        <v/>
      </c>
      <c r="D779" s="52">
        <f t="array" ref="D779:W779">IF(All_Students_Scores!C777:V777="","",All_Students_Scores!C777:V777)</f>
        <v/>
      </c>
      <c r="E779" s="55" t="str"/>
      <c r="F779" s="48" t="str"/>
      <c r="G779" s="58" t="str"/>
      <c r="H779" s="62" t="str"/>
      <c r="I779" s="63" t="str"/>
      <c r="J779" s="48" t="str"/>
      <c r="K779" s="58" t="str"/>
      <c r="L779" s="42" t="str"/>
      <c r="M779" s="42" t="str"/>
      <c r="N779" s="48" t="str"/>
      <c r="O779" s="58" t="str"/>
      <c r="P779" s="42" t="str"/>
      <c r="Q779" s="42" t="str"/>
      <c r="R779" s="48" t="str"/>
      <c r="S779" s="58" t="str"/>
      <c r="T779" s="42" t="str"/>
      <c r="U779" s="42" t="str"/>
      <c r="V779" s="48" t="str"/>
      <c r="W779" s="58" t="str"/>
      <c r="X779" s="42" t="n"/>
      <c r="Y779" s="42" t="n"/>
    </row>
    <row r="780">
      <c r="B780" s="2">
        <f>IF(STUDENTS!B779="","",STUDENTS!B779)</f>
        <v/>
      </c>
      <c r="C780" s="44">
        <f>IFERROR(IF(B780="","",_xlfn.XLOOKUP(B780,STUDENTS!$B$3:$B$1048576,STUDENTS!$C$3:$C$1048576)),"Enter a registered reg. no")</f>
        <v/>
      </c>
      <c r="D780" s="52">
        <f t="array" ref="D780:W780">IF(All_Students_Scores!C778:V778="","",All_Students_Scores!C778:V778)</f>
        <v/>
      </c>
      <c r="E780" s="57" t="str"/>
      <c r="F780" s="66" t="str"/>
      <c r="G780" s="67" t="str"/>
      <c r="H780" s="64" t="str"/>
      <c r="I780" s="65" t="str"/>
      <c r="J780" s="66" t="str"/>
      <c r="K780" s="67" t="str"/>
      <c r="L780" s="41" t="str"/>
      <c r="M780" s="41" t="str"/>
      <c r="N780" s="66" t="str"/>
      <c r="O780" s="67" t="str"/>
      <c r="P780" s="41" t="str"/>
      <c r="Q780" s="41" t="str"/>
      <c r="R780" s="66" t="str"/>
      <c r="S780" s="67" t="str"/>
      <c r="T780" s="41" t="str"/>
      <c r="U780" s="41" t="str"/>
      <c r="V780" s="66" t="str"/>
      <c r="W780" s="67" t="str"/>
    </row>
    <row r="781">
      <c r="B781" s="2">
        <f>IF(STUDENTS!B780="","",STUDENTS!B780)</f>
        <v/>
      </c>
      <c r="C781" s="44">
        <f>IFERROR(IF(B781="","",_xlfn.XLOOKUP(B781,STUDENTS!$B$3:$B$1048576,STUDENTS!$C$3:$C$1048576)),"Enter a registered reg. no")</f>
        <v/>
      </c>
      <c r="D781" s="52">
        <f t="array" ref="D781:W781">IF(All_Students_Scores!C779:V779="","",All_Students_Scores!C779:V779)</f>
        <v/>
      </c>
      <c r="E781" s="55" t="str"/>
      <c r="F781" s="48" t="str"/>
      <c r="G781" s="58" t="str"/>
      <c r="H781" s="62" t="str"/>
      <c r="I781" s="63" t="str"/>
      <c r="J781" s="48" t="str"/>
      <c r="K781" s="58" t="str"/>
      <c r="L781" s="42" t="str"/>
      <c r="M781" s="42" t="str"/>
      <c r="N781" s="48" t="str"/>
      <c r="O781" s="58" t="str"/>
      <c r="P781" s="42" t="str"/>
      <c r="Q781" s="42" t="str"/>
      <c r="R781" s="48" t="str"/>
      <c r="S781" s="58" t="str"/>
      <c r="T781" s="42" t="str"/>
      <c r="U781" s="42" t="str"/>
      <c r="V781" s="48" t="str"/>
      <c r="W781" s="58" t="str"/>
      <c r="X781" s="42" t="n"/>
      <c r="Y781" s="42" t="n"/>
    </row>
    <row r="782">
      <c r="B782" s="2">
        <f>IF(STUDENTS!B781="","",STUDENTS!B781)</f>
        <v/>
      </c>
      <c r="C782" s="44">
        <f>IFERROR(IF(B782="","",_xlfn.XLOOKUP(B782,STUDENTS!$B$3:$B$1048576,STUDENTS!$C$3:$C$1048576)),"Enter a registered reg. no")</f>
        <v/>
      </c>
      <c r="D782" s="52">
        <f t="array" ref="D782:W782">IF(All_Students_Scores!C780:V780="","",All_Students_Scores!C780:V780)</f>
        <v/>
      </c>
      <c r="E782" s="57" t="str"/>
      <c r="F782" s="66" t="str"/>
      <c r="G782" s="67" t="str"/>
      <c r="H782" s="64" t="str"/>
      <c r="I782" s="65" t="str"/>
      <c r="J782" s="66" t="str"/>
      <c r="K782" s="67" t="str"/>
      <c r="L782" s="41" t="str"/>
      <c r="M782" s="41" t="str"/>
      <c r="N782" s="66" t="str"/>
      <c r="O782" s="67" t="str"/>
      <c r="P782" s="41" t="str"/>
      <c r="Q782" s="41" t="str"/>
      <c r="R782" s="66" t="str"/>
      <c r="S782" s="67" t="str"/>
      <c r="T782" s="41" t="str"/>
      <c r="U782" s="41" t="str"/>
      <c r="V782" s="66" t="str"/>
      <c r="W782" s="67" t="str"/>
    </row>
    <row r="783">
      <c r="B783" s="2">
        <f>IF(STUDENTS!B782="","",STUDENTS!B782)</f>
        <v/>
      </c>
      <c r="C783" s="44">
        <f>IFERROR(IF(B783="","",_xlfn.XLOOKUP(B783,STUDENTS!$B$3:$B$1048576,STUDENTS!$C$3:$C$1048576)),"Enter a registered reg. no")</f>
        <v/>
      </c>
      <c r="D783" s="52">
        <f t="array" ref="D783:W783">IF(All_Students_Scores!C781:V781="","",All_Students_Scores!C781:V781)</f>
        <v/>
      </c>
      <c r="E783" s="55" t="str"/>
      <c r="F783" s="48" t="str"/>
      <c r="G783" s="58" t="str"/>
      <c r="H783" s="62" t="str"/>
      <c r="I783" s="63" t="str"/>
      <c r="J783" s="48" t="str"/>
      <c r="K783" s="58" t="str"/>
      <c r="L783" s="42" t="str"/>
      <c r="M783" s="42" t="str"/>
      <c r="N783" s="48" t="str"/>
      <c r="O783" s="58" t="str"/>
      <c r="P783" s="42" t="str"/>
      <c r="Q783" s="42" t="str"/>
      <c r="R783" s="48" t="str"/>
      <c r="S783" s="58" t="str"/>
      <c r="T783" s="42" t="str"/>
      <c r="U783" s="42" t="str"/>
      <c r="V783" s="48" t="str"/>
      <c r="W783" s="58" t="str"/>
      <c r="X783" s="42" t="n"/>
      <c r="Y783" s="42" t="n"/>
    </row>
    <row r="784">
      <c r="B784" s="2">
        <f>IF(STUDENTS!B783="","",STUDENTS!B783)</f>
        <v/>
      </c>
      <c r="C784" s="44">
        <f>IFERROR(IF(B784="","",_xlfn.XLOOKUP(B784,STUDENTS!$B$3:$B$1048576,STUDENTS!$C$3:$C$1048576)),"Enter a registered reg. no")</f>
        <v/>
      </c>
      <c r="D784" s="52">
        <f t="array" ref="D784:W784">IF(All_Students_Scores!C782:V782="","",All_Students_Scores!C782:V782)</f>
        <v/>
      </c>
      <c r="E784" s="57" t="str"/>
      <c r="F784" s="66" t="str"/>
      <c r="G784" s="67" t="str"/>
      <c r="H784" s="64" t="str"/>
      <c r="I784" s="65" t="str"/>
      <c r="J784" s="66" t="str"/>
      <c r="K784" s="67" t="str"/>
      <c r="L784" s="41" t="str"/>
      <c r="M784" s="41" t="str"/>
      <c r="N784" s="66" t="str"/>
      <c r="O784" s="67" t="str"/>
      <c r="P784" s="41" t="str"/>
      <c r="Q784" s="41" t="str"/>
      <c r="R784" s="66" t="str"/>
      <c r="S784" s="67" t="str"/>
      <c r="T784" s="41" t="str"/>
      <c r="U784" s="41" t="str"/>
      <c r="V784" s="66" t="str"/>
      <c r="W784" s="67" t="str"/>
    </row>
    <row r="785">
      <c r="B785" s="2">
        <f>IF(STUDENTS!B784="","",STUDENTS!B784)</f>
        <v/>
      </c>
      <c r="C785" s="44">
        <f>IFERROR(IF(B785="","",_xlfn.XLOOKUP(B785,STUDENTS!$B$3:$B$1048576,STUDENTS!$C$3:$C$1048576)),"Enter a registered reg. no")</f>
        <v/>
      </c>
      <c r="D785" s="52">
        <f t="array" ref="D785:W785">IF(All_Students_Scores!C783:V783="","",All_Students_Scores!C783:V783)</f>
        <v/>
      </c>
      <c r="E785" s="55" t="str"/>
      <c r="F785" s="48" t="str"/>
      <c r="G785" s="58" t="str"/>
      <c r="H785" s="62" t="str"/>
      <c r="I785" s="63" t="str"/>
      <c r="J785" s="48" t="str"/>
      <c r="K785" s="58" t="str"/>
      <c r="L785" s="42" t="str"/>
      <c r="M785" s="42" t="str"/>
      <c r="N785" s="48" t="str"/>
      <c r="O785" s="58" t="str"/>
      <c r="P785" s="42" t="str"/>
      <c r="Q785" s="42" t="str"/>
      <c r="R785" s="48" t="str"/>
      <c r="S785" s="58" t="str"/>
      <c r="T785" s="42" t="str"/>
      <c r="U785" s="42" t="str"/>
      <c r="V785" s="48" t="str"/>
      <c r="W785" s="58" t="str"/>
      <c r="X785" s="42" t="n"/>
      <c r="Y785" s="42" t="n"/>
    </row>
    <row r="786">
      <c r="B786" s="2">
        <f>IF(STUDENTS!B785="","",STUDENTS!B785)</f>
        <v/>
      </c>
      <c r="C786" s="44">
        <f>IFERROR(IF(B786="","",_xlfn.XLOOKUP(B786,STUDENTS!$B$3:$B$1048576,STUDENTS!$C$3:$C$1048576)),"Enter a registered reg. no")</f>
        <v/>
      </c>
      <c r="D786" s="52">
        <f t="array" ref="D786:W786">IF(All_Students_Scores!C784:V784="","",All_Students_Scores!C784:V784)</f>
        <v/>
      </c>
      <c r="E786" s="57" t="str"/>
      <c r="F786" s="66" t="str"/>
      <c r="G786" s="67" t="str"/>
      <c r="H786" s="64" t="str"/>
      <c r="I786" s="65" t="str"/>
      <c r="J786" s="66" t="str"/>
      <c r="K786" s="67" t="str"/>
      <c r="L786" s="41" t="str"/>
      <c r="M786" s="41" t="str"/>
      <c r="N786" s="66" t="str"/>
      <c r="O786" s="67" t="str"/>
      <c r="P786" s="41" t="str"/>
      <c r="Q786" s="41" t="str"/>
      <c r="R786" s="66" t="str"/>
      <c r="S786" s="67" t="str"/>
      <c r="T786" s="41" t="str"/>
      <c r="U786" s="41" t="str"/>
      <c r="V786" s="66" t="str"/>
      <c r="W786" s="67" t="str"/>
    </row>
    <row r="787">
      <c r="B787" s="2">
        <f>IF(STUDENTS!B786="","",STUDENTS!B786)</f>
        <v/>
      </c>
      <c r="C787" s="44">
        <f>IFERROR(IF(B787="","",_xlfn.XLOOKUP(B787,STUDENTS!$B$3:$B$1048576,STUDENTS!$C$3:$C$1048576)),"Enter a registered reg. no")</f>
        <v/>
      </c>
      <c r="D787" s="52">
        <f t="array" ref="D787:W787">IF(All_Students_Scores!C785:V785="","",All_Students_Scores!C785:V785)</f>
        <v/>
      </c>
      <c r="E787" s="55" t="str"/>
      <c r="F787" s="48" t="str"/>
      <c r="G787" s="58" t="str"/>
      <c r="H787" s="62" t="str"/>
      <c r="I787" s="63" t="str"/>
      <c r="J787" s="48" t="str"/>
      <c r="K787" s="58" t="str"/>
      <c r="L787" s="42" t="str"/>
      <c r="M787" s="42" t="str"/>
      <c r="N787" s="48" t="str"/>
      <c r="O787" s="58" t="str"/>
      <c r="P787" s="42" t="str"/>
      <c r="Q787" s="42" t="str"/>
      <c r="R787" s="48" t="str"/>
      <c r="S787" s="58" t="str"/>
      <c r="T787" s="42" t="str"/>
      <c r="U787" s="42" t="str"/>
      <c r="V787" s="48" t="str"/>
      <c r="W787" s="58" t="str"/>
      <c r="X787" s="42" t="n"/>
      <c r="Y787" s="42" t="n"/>
    </row>
    <row r="788">
      <c r="B788" s="2">
        <f>IF(STUDENTS!B787="","",STUDENTS!B787)</f>
        <v/>
      </c>
      <c r="C788" s="44">
        <f>IFERROR(IF(B788="","",_xlfn.XLOOKUP(B788,STUDENTS!$B$3:$B$1048576,STUDENTS!$C$3:$C$1048576)),"Enter a registered reg. no")</f>
        <v/>
      </c>
      <c r="D788" s="52">
        <f t="array" ref="D788:W788">IF(All_Students_Scores!C786:V786="","",All_Students_Scores!C786:V786)</f>
        <v/>
      </c>
      <c r="E788" s="57" t="str"/>
      <c r="F788" s="66" t="str"/>
      <c r="G788" s="67" t="str"/>
      <c r="H788" s="64" t="str"/>
      <c r="I788" s="65" t="str"/>
      <c r="J788" s="66" t="str"/>
      <c r="K788" s="67" t="str"/>
      <c r="L788" s="41" t="str"/>
      <c r="M788" s="41" t="str"/>
      <c r="N788" s="66" t="str"/>
      <c r="O788" s="67" t="str"/>
      <c r="P788" s="41" t="str"/>
      <c r="Q788" s="41" t="str"/>
      <c r="R788" s="66" t="str"/>
      <c r="S788" s="67" t="str"/>
      <c r="T788" s="41" t="str"/>
      <c r="U788" s="41" t="str"/>
      <c r="V788" s="66" t="str"/>
      <c r="W788" s="67" t="str"/>
    </row>
    <row r="789">
      <c r="B789" s="2">
        <f>IF(STUDENTS!B788="","",STUDENTS!B788)</f>
        <v/>
      </c>
      <c r="C789" s="44">
        <f>IFERROR(IF(B789="","",_xlfn.XLOOKUP(B789,STUDENTS!$B$3:$B$1048576,STUDENTS!$C$3:$C$1048576)),"Enter a registered reg. no")</f>
        <v/>
      </c>
      <c r="D789" s="52">
        <f t="array" ref="D789:W789">IF(All_Students_Scores!C787:V787="","",All_Students_Scores!C787:V787)</f>
        <v/>
      </c>
      <c r="E789" s="55" t="str"/>
      <c r="F789" s="48" t="str"/>
      <c r="G789" s="58" t="str"/>
      <c r="H789" s="62" t="str"/>
      <c r="I789" s="63" t="str"/>
      <c r="J789" s="48" t="str"/>
      <c r="K789" s="58" t="str"/>
      <c r="L789" s="42" t="str"/>
      <c r="M789" s="42" t="str"/>
      <c r="N789" s="48" t="str"/>
      <c r="O789" s="58" t="str"/>
      <c r="P789" s="42" t="str"/>
      <c r="Q789" s="42" t="str"/>
      <c r="R789" s="48" t="str"/>
      <c r="S789" s="58" t="str"/>
      <c r="T789" s="42" t="str"/>
      <c r="U789" s="42" t="str"/>
      <c r="V789" s="48" t="str"/>
      <c r="W789" s="58" t="str"/>
      <c r="X789" s="42" t="n"/>
      <c r="Y789" s="42" t="n"/>
    </row>
    <row r="790">
      <c r="B790" s="2">
        <f>IF(STUDENTS!B789="","",STUDENTS!B789)</f>
        <v/>
      </c>
      <c r="C790" s="44">
        <f>IFERROR(IF(B790="","",_xlfn.XLOOKUP(B790,STUDENTS!$B$3:$B$1048576,STUDENTS!$C$3:$C$1048576)),"Enter a registered reg. no")</f>
        <v/>
      </c>
      <c r="D790" s="52">
        <f t="array" ref="D790:W790">IF(All_Students_Scores!C788:V788="","",All_Students_Scores!C788:V788)</f>
        <v/>
      </c>
      <c r="E790" s="57" t="str"/>
      <c r="F790" s="66" t="str"/>
      <c r="G790" s="67" t="str"/>
      <c r="H790" s="64" t="str"/>
      <c r="I790" s="65" t="str"/>
      <c r="J790" s="66" t="str"/>
      <c r="K790" s="67" t="str"/>
      <c r="L790" s="41" t="str"/>
      <c r="M790" s="41" t="str"/>
      <c r="N790" s="66" t="str"/>
      <c r="O790" s="67" t="str"/>
      <c r="P790" s="41" t="str"/>
      <c r="Q790" s="41" t="str"/>
      <c r="R790" s="66" t="str"/>
      <c r="S790" s="67" t="str"/>
      <c r="T790" s="41" t="str"/>
      <c r="U790" s="41" t="str"/>
      <c r="V790" s="66" t="str"/>
      <c r="W790" s="67" t="str"/>
    </row>
    <row r="791">
      <c r="B791" s="2">
        <f>IF(STUDENTS!B790="","",STUDENTS!B790)</f>
        <v/>
      </c>
      <c r="C791" s="44">
        <f>IFERROR(IF(B791="","",_xlfn.XLOOKUP(B791,STUDENTS!$B$3:$B$1048576,STUDENTS!$C$3:$C$1048576)),"Enter a registered reg. no")</f>
        <v/>
      </c>
      <c r="D791" s="52">
        <f t="array" ref="D791:W791">IF(All_Students_Scores!C789:V789="","",All_Students_Scores!C789:V789)</f>
        <v/>
      </c>
      <c r="E791" s="55" t="str"/>
      <c r="F791" s="48" t="str"/>
      <c r="G791" s="58" t="str"/>
      <c r="H791" s="62" t="str"/>
      <c r="I791" s="63" t="str"/>
      <c r="J791" s="48" t="str"/>
      <c r="K791" s="58" t="str"/>
      <c r="L791" s="42" t="str"/>
      <c r="M791" s="42" t="str"/>
      <c r="N791" s="48" t="str"/>
      <c r="O791" s="58" t="str"/>
      <c r="P791" s="42" t="str"/>
      <c r="Q791" s="42" t="str"/>
      <c r="R791" s="48" t="str"/>
      <c r="S791" s="58" t="str"/>
      <c r="T791" s="42" t="str"/>
      <c r="U791" s="42" t="str"/>
      <c r="V791" s="48" t="str"/>
      <c r="W791" s="58" t="str"/>
      <c r="X791" s="42" t="n"/>
      <c r="Y791" s="42" t="n"/>
    </row>
    <row r="792">
      <c r="B792" s="2">
        <f>IF(STUDENTS!B791="","",STUDENTS!B791)</f>
        <v/>
      </c>
      <c r="C792" s="44">
        <f>IFERROR(IF(B792="","",_xlfn.XLOOKUP(B792,STUDENTS!$B$3:$B$1048576,STUDENTS!$C$3:$C$1048576)),"Enter a registered reg. no")</f>
        <v/>
      </c>
      <c r="D792" s="52">
        <f t="array" ref="D792:W792">IF(All_Students_Scores!C790:V790="","",All_Students_Scores!C790:V790)</f>
        <v/>
      </c>
      <c r="E792" s="57" t="str"/>
      <c r="F792" s="66" t="str"/>
      <c r="G792" s="67" t="str"/>
      <c r="H792" s="64" t="str"/>
      <c r="I792" s="65" t="str"/>
      <c r="J792" s="66" t="str"/>
      <c r="K792" s="67" t="str"/>
      <c r="L792" s="41" t="str"/>
      <c r="M792" s="41" t="str"/>
      <c r="N792" s="66" t="str"/>
      <c r="O792" s="67" t="str"/>
      <c r="P792" s="41" t="str"/>
      <c r="Q792" s="41" t="str"/>
      <c r="R792" s="66" t="str"/>
      <c r="S792" s="67" t="str"/>
      <c r="T792" s="41" t="str"/>
      <c r="U792" s="41" t="str"/>
      <c r="V792" s="66" t="str"/>
      <c r="W792" s="67" t="str"/>
    </row>
    <row r="793">
      <c r="B793" s="2">
        <f>IF(STUDENTS!B792="","",STUDENTS!B792)</f>
        <v/>
      </c>
      <c r="C793" s="44">
        <f>IFERROR(IF(B793="","",_xlfn.XLOOKUP(B793,STUDENTS!$B$3:$B$1048576,STUDENTS!$C$3:$C$1048576)),"Enter a registered reg. no")</f>
        <v/>
      </c>
      <c r="D793" s="52">
        <f t="array" ref="D793:W793">IF(All_Students_Scores!C791:V791="","",All_Students_Scores!C791:V791)</f>
        <v/>
      </c>
      <c r="E793" s="55" t="str"/>
      <c r="F793" s="48" t="str"/>
      <c r="G793" s="58" t="str"/>
      <c r="H793" s="62" t="str"/>
      <c r="I793" s="63" t="str"/>
      <c r="J793" s="48" t="str"/>
      <c r="K793" s="58" t="str"/>
      <c r="L793" s="42" t="str"/>
      <c r="M793" s="42" t="str"/>
      <c r="N793" s="48" t="str"/>
      <c r="O793" s="58" t="str"/>
      <c r="P793" s="42" t="str"/>
      <c r="Q793" s="42" t="str"/>
      <c r="R793" s="48" t="str"/>
      <c r="S793" s="58" t="str"/>
      <c r="T793" s="42" t="str"/>
      <c r="U793" s="42" t="str"/>
      <c r="V793" s="48" t="str"/>
      <c r="W793" s="58" t="str"/>
      <c r="X793" s="42" t="n"/>
      <c r="Y793" s="42" t="n"/>
    </row>
    <row r="794">
      <c r="B794" s="2">
        <f>IF(STUDENTS!B793="","",STUDENTS!B793)</f>
        <v/>
      </c>
      <c r="C794" s="44">
        <f>IFERROR(IF(B794="","",_xlfn.XLOOKUP(B794,STUDENTS!$B$3:$B$1048576,STUDENTS!$C$3:$C$1048576)),"Enter a registered reg. no")</f>
        <v/>
      </c>
      <c r="D794" s="52">
        <f t="array" ref="D794:W794">IF(All_Students_Scores!C792:V792="","",All_Students_Scores!C792:V792)</f>
        <v/>
      </c>
      <c r="E794" s="57" t="str"/>
      <c r="F794" s="66" t="str"/>
      <c r="G794" s="67" t="str"/>
      <c r="H794" s="64" t="str"/>
      <c r="I794" s="65" t="str"/>
      <c r="J794" s="66" t="str"/>
      <c r="K794" s="67" t="str"/>
      <c r="L794" s="41" t="str"/>
      <c r="M794" s="41" t="str"/>
      <c r="N794" s="66" t="str"/>
      <c r="O794" s="67" t="str"/>
      <c r="P794" s="41" t="str"/>
      <c r="Q794" s="41" t="str"/>
      <c r="R794" s="66" t="str"/>
      <c r="S794" s="67" t="str"/>
      <c r="T794" s="41" t="str"/>
      <c r="U794" s="41" t="str"/>
      <c r="V794" s="66" t="str"/>
      <c r="W794" s="67" t="str"/>
    </row>
    <row r="795">
      <c r="B795" s="2">
        <f>IF(STUDENTS!B794="","",STUDENTS!B794)</f>
        <v/>
      </c>
      <c r="C795" s="44">
        <f>IFERROR(IF(B795="","",_xlfn.XLOOKUP(B795,STUDENTS!$B$3:$B$1048576,STUDENTS!$C$3:$C$1048576)),"Enter a registered reg. no")</f>
        <v/>
      </c>
      <c r="D795" s="52">
        <f t="array" ref="D795:W795">IF(All_Students_Scores!C793:V793="","",All_Students_Scores!C793:V793)</f>
        <v/>
      </c>
      <c r="E795" s="55" t="str"/>
      <c r="F795" s="48" t="str"/>
      <c r="G795" s="58" t="str"/>
      <c r="H795" s="62" t="str"/>
      <c r="I795" s="63" t="str"/>
      <c r="J795" s="48" t="str"/>
      <c r="K795" s="58" t="str"/>
      <c r="L795" s="42" t="str"/>
      <c r="M795" s="42" t="str"/>
      <c r="N795" s="48" t="str"/>
      <c r="O795" s="58" t="str"/>
      <c r="P795" s="42" t="str"/>
      <c r="Q795" s="42" t="str"/>
      <c r="R795" s="48" t="str"/>
      <c r="S795" s="58" t="str"/>
      <c r="T795" s="42" t="str"/>
      <c r="U795" s="42" t="str"/>
      <c r="V795" s="48" t="str"/>
      <c r="W795" s="58" t="str"/>
      <c r="X795" s="42" t="n"/>
      <c r="Y795" s="42" t="n"/>
    </row>
    <row r="796">
      <c r="B796" s="2">
        <f>IF(STUDENTS!B795="","",STUDENTS!B795)</f>
        <v/>
      </c>
      <c r="C796" s="44">
        <f>IFERROR(IF(B796="","",_xlfn.XLOOKUP(B796,STUDENTS!$B$3:$B$1048576,STUDENTS!$C$3:$C$1048576)),"Enter a registered reg. no")</f>
        <v/>
      </c>
      <c r="D796" s="52">
        <f t="array" ref="D796:W796">IF(All_Students_Scores!C794:V794="","",All_Students_Scores!C794:V794)</f>
        <v/>
      </c>
      <c r="E796" s="57" t="str"/>
      <c r="F796" s="66" t="str"/>
      <c r="G796" s="67" t="str"/>
      <c r="H796" s="64" t="str"/>
      <c r="I796" s="65" t="str"/>
      <c r="J796" s="66" t="str"/>
      <c r="K796" s="67" t="str"/>
      <c r="L796" s="41" t="str"/>
      <c r="M796" s="41" t="str"/>
      <c r="N796" s="66" t="str"/>
      <c r="O796" s="67" t="str"/>
      <c r="P796" s="41" t="str"/>
      <c r="Q796" s="41" t="str"/>
      <c r="R796" s="66" t="str"/>
      <c r="S796" s="67" t="str"/>
      <c r="T796" s="41" t="str"/>
      <c r="U796" s="41" t="str"/>
      <c r="V796" s="66" t="str"/>
      <c r="W796" s="67" t="str"/>
    </row>
    <row r="797">
      <c r="B797" s="2">
        <f>IF(STUDENTS!B796="","",STUDENTS!B796)</f>
        <v/>
      </c>
      <c r="C797" s="44">
        <f>IFERROR(IF(B797="","",_xlfn.XLOOKUP(B797,STUDENTS!$B$3:$B$1048576,STUDENTS!$C$3:$C$1048576)),"Enter a registered reg. no")</f>
        <v/>
      </c>
      <c r="D797" s="52">
        <f t="array" ref="D797:W797">IF(All_Students_Scores!C795:V795="","",All_Students_Scores!C795:V795)</f>
        <v/>
      </c>
      <c r="E797" s="55" t="str"/>
      <c r="F797" s="48" t="str"/>
      <c r="G797" s="58" t="str"/>
      <c r="H797" s="62" t="str"/>
      <c r="I797" s="63" t="str"/>
      <c r="J797" s="48" t="str"/>
      <c r="K797" s="58" t="str"/>
      <c r="L797" s="42" t="str"/>
      <c r="M797" s="42" t="str"/>
      <c r="N797" s="48" t="str"/>
      <c r="O797" s="58" t="str"/>
      <c r="P797" s="42" t="str"/>
      <c r="Q797" s="42" t="str"/>
      <c r="R797" s="48" t="str"/>
      <c r="S797" s="58" t="str"/>
      <c r="T797" s="42" t="str"/>
      <c r="U797" s="42" t="str"/>
      <c r="V797" s="48" t="str"/>
      <c r="W797" s="58" t="str"/>
      <c r="X797" s="42" t="n"/>
      <c r="Y797" s="42" t="n"/>
    </row>
    <row r="798">
      <c r="B798" s="2">
        <f>IF(STUDENTS!B797="","",STUDENTS!B797)</f>
        <v/>
      </c>
      <c r="C798" s="44">
        <f>IFERROR(IF(B798="","",_xlfn.XLOOKUP(B798,STUDENTS!$B$3:$B$1048576,STUDENTS!$C$3:$C$1048576)),"Enter a registered reg. no")</f>
        <v/>
      </c>
      <c r="D798" s="52">
        <f t="array" ref="D798:W798">IF(All_Students_Scores!C796:V796="","",All_Students_Scores!C796:V796)</f>
        <v/>
      </c>
      <c r="E798" s="57" t="str"/>
      <c r="F798" s="66" t="str"/>
      <c r="G798" s="67" t="str"/>
      <c r="H798" s="64" t="str"/>
      <c r="I798" s="65" t="str"/>
      <c r="J798" s="66" t="str"/>
      <c r="K798" s="67" t="str"/>
      <c r="L798" s="41" t="str"/>
      <c r="M798" s="41" t="str"/>
      <c r="N798" s="66" t="str"/>
      <c r="O798" s="67" t="str"/>
      <c r="P798" s="41" t="str"/>
      <c r="Q798" s="41" t="str"/>
      <c r="R798" s="66" t="str"/>
      <c r="S798" s="67" t="str"/>
      <c r="T798" s="41" t="str"/>
      <c r="U798" s="41" t="str"/>
      <c r="V798" s="66" t="str"/>
      <c r="W798" s="67" t="str"/>
    </row>
    <row r="799">
      <c r="B799" s="2">
        <f>IF(STUDENTS!B798="","",STUDENTS!B798)</f>
        <v/>
      </c>
      <c r="C799" s="44">
        <f>IFERROR(IF(B799="","",_xlfn.XLOOKUP(B799,STUDENTS!$B$3:$B$1048576,STUDENTS!$C$3:$C$1048576)),"Enter a registered reg. no")</f>
        <v/>
      </c>
      <c r="D799" s="52">
        <f t="array" ref="D799:W799">IF(All_Students_Scores!C797:V797="","",All_Students_Scores!C797:V797)</f>
        <v/>
      </c>
      <c r="E799" s="55" t="str"/>
      <c r="F799" s="48" t="str"/>
      <c r="G799" s="58" t="str"/>
      <c r="H799" s="62" t="str"/>
      <c r="I799" s="63" t="str"/>
      <c r="J799" s="48" t="str"/>
      <c r="K799" s="58" t="str"/>
      <c r="L799" s="42" t="str"/>
      <c r="M799" s="42" t="str"/>
      <c r="N799" s="48" t="str"/>
      <c r="O799" s="58" t="str"/>
      <c r="P799" s="42" t="str"/>
      <c r="Q799" s="42" t="str"/>
      <c r="R799" s="48" t="str"/>
      <c r="S799" s="58" t="str"/>
      <c r="T799" s="42" t="str"/>
      <c r="U799" s="42" t="str"/>
      <c r="V799" s="48" t="str"/>
      <c r="W799" s="58" t="str"/>
      <c r="X799" s="42" t="n"/>
      <c r="Y799" s="42" t="n"/>
    </row>
    <row r="800">
      <c r="B800" s="2">
        <f>IF(STUDENTS!B799="","",STUDENTS!B799)</f>
        <v/>
      </c>
      <c r="C800" s="44">
        <f>IFERROR(IF(B800="","",_xlfn.XLOOKUP(B800,STUDENTS!$B$3:$B$1048576,STUDENTS!$C$3:$C$1048576)),"Enter a registered reg. no")</f>
        <v/>
      </c>
      <c r="D800" s="52">
        <f t="array" ref="D800:W800">IF(All_Students_Scores!C798:V798="","",All_Students_Scores!C798:V798)</f>
        <v/>
      </c>
      <c r="E800" s="57" t="str"/>
      <c r="F800" s="66" t="str"/>
      <c r="G800" s="67" t="str"/>
      <c r="H800" s="64" t="str"/>
      <c r="I800" s="65" t="str"/>
      <c r="J800" s="66" t="str"/>
      <c r="K800" s="67" t="str"/>
      <c r="L800" s="41" t="str"/>
      <c r="M800" s="41" t="str"/>
      <c r="N800" s="66" t="str"/>
      <c r="O800" s="67" t="str"/>
      <c r="P800" s="41" t="str"/>
      <c r="Q800" s="41" t="str"/>
      <c r="R800" s="66" t="str"/>
      <c r="S800" s="67" t="str"/>
      <c r="T800" s="41" t="str"/>
      <c r="U800" s="41" t="str"/>
      <c r="V800" s="66" t="str"/>
      <c r="W800" s="67" t="str"/>
    </row>
    <row r="801">
      <c r="B801" s="2">
        <f>IF(STUDENTS!B800="","",STUDENTS!B800)</f>
        <v/>
      </c>
      <c r="C801" s="44">
        <f>IFERROR(IF(B801="","",_xlfn.XLOOKUP(B801,STUDENTS!$B$3:$B$1048576,STUDENTS!$C$3:$C$1048576)),"Enter a registered reg. no")</f>
        <v/>
      </c>
      <c r="D801" s="52">
        <f t="array" ref="D801:W801">IF(All_Students_Scores!C799:V799="","",All_Students_Scores!C799:V799)</f>
        <v/>
      </c>
      <c r="E801" s="55" t="str"/>
      <c r="F801" s="48" t="str"/>
      <c r="G801" s="58" t="str"/>
      <c r="H801" s="62" t="str"/>
      <c r="I801" s="63" t="str"/>
      <c r="J801" s="48" t="str"/>
      <c r="K801" s="58" t="str"/>
      <c r="L801" s="42" t="str"/>
      <c r="M801" s="42" t="str"/>
      <c r="N801" s="48" t="str"/>
      <c r="O801" s="58" t="str"/>
      <c r="P801" s="42" t="str"/>
      <c r="Q801" s="42" t="str"/>
      <c r="R801" s="48" t="str"/>
      <c r="S801" s="58" t="str"/>
      <c r="T801" s="42" t="str"/>
      <c r="U801" s="42" t="str"/>
      <c r="V801" s="48" t="str"/>
      <c r="W801" s="58" t="str"/>
      <c r="X801" s="42" t="n"/>
      <c r="Y801" s="42" t="n"/>
    </row>
    <row r="802">
      <c r="B802" s="2">
        <f>IF(STUDENTS!B801="","",STUDENTS!B801)</f>
        <v/>
      </c>
      <c r="C802" s="44">
        <f>IFERROR(IF(B802="","",_xlfn.XLOOKUP(B802,STUDENTS!$B$3:$B$1048576,STUDENTS!$C$3:$C$1048576)),"Enter a registered reg. no")</f>
        <v/>
      </c>
      <c r="D802" s="52">
        <f t="array" ref="D802:W802">IF(All_Students_Scores!C800:V800="","",All_Students_Scores!C800:V800)</f>
        <v/>
      </c>
      <c r="E802" s="57" t="str"/>
      <c r="F802" s="66" t="str"/>
      <c r="G802" s="67" t="str"/>
      <c r="H802" s="64" t="str"/>
      <c r="I802" s="65" t="str"/>
      <c r="J802" s="66" t="str"/>
      <c r="K802" s="67" t="str"/>
      <c r="L802" s="41" t="str"/>
      <c r="M802" s="41" t="str"/>
      <c r="N802" s="66" t="str"/>
      <c r="O802" s="67" t="str"/>
      <c r="P802" s="41" t="str"/>
      <c r="Q802" s="41" t="str"/>
      <c r="R802" s="66" t="str"/>
      <c r="S802" s="67" t="str"/>
      <c r="T802" s="41" t="str"/>
      <c r="U802" s="41" t="str"/>
      <c r="V802" s="66" t="str"/>
      <c r="W802" s="67" t="str"/>
    </row>
    <row r="803">
      <c r="B803" s="2">
        <f>IF(STUDENTS!B802="","",STUDENTS!B802)</f>
        <v/>
      </c>
      <c r="C803" s="44">
        <f>IFERROR(IF(B803="","",_xlfn.XLOOKUP(B803,STUDENTS!$B$3:$B$1048576,STUDENTS!$C$3:$C$1048576)),"Enter a registered reg. no")</f>
        <v/>
      </c>
      <c r="D803" s="52">
        <f t="array" ref="D803:W803">IF(All_Students_Scores!C801:V801="","",All_Students_Scores!C801:V801)</f>
        <v/>
      </c>
      <c r="E803" s="55" t="str"/>
      <c r="F803" s="48" t="str"/>
      <c r="G803" s="58" t="str"/>
      <c r="H803" s="62" t="str"/>
      <c r="I803" s="63" t="str"/>
      <c r="J803" s="48" t="str"/>
      <c r="K803" s="58" t="str"/>
      <c r="L803" s="42" t="str"/>
      <c r="M803" s="42" t="str"/>
      <c r="N803" s="48" t="str"/>
      <c r="O803" s="58" t="str"/>
      <c r="P803" s="42" t="str"/>
      <c r="Q803" s="42" t="str"/>
      <c r="R803" s="48" t="str"/>
      <c r="S803" s="58" t="str"/>
      <c r="T803" s="42" t="str"/>
      <c r="U803" s="42" t="str"/>
      <c r="V803" s="48" t="str"/>
      <c r="W803" s="58" t="str"/>
      <c r="X803" s="42" t="n"/>
      <c r="Y803" s="42" t="n"/>
    </row>
    <row r="804">
      <c r="B804" s="2">
        <f>IF(STUDENTS!B803="","",STUDENTS!B803)</f>
        <v/>
      </c>
      <c r="C804" s="44">
        <f>IFERROR(IF(B804="","",_xlfn.XLOOKUP(B804,STUDENTS!$B$3:$B$1048576,STUDENTS!$C$3:$C$1048576)),"Enter a registered reg. no")</f>
        <v/>
      </c>
      <c r="D804" s="52">
        <f t="array" ref="D804:W804">IF(All_Students_Scores!C802:V802="","",All_Students_Scores!C802:V802)</f>
        <v/>
      </c>
      <c r="E804" s="57" t="str"/>
      <c r="F804" s="66" t="str"/>
      <c r="G804" s="67" t="str"/>
      <c r="H804" s="64" t="str"/>
      <c r="I804" s="65" t="str"/>
      <c r="J804" s="66" t="str"/>
      <c r="K804" s="67" t="str"/>
      <c r="L804" s="41" t="str"/>
      <c r="M804" s="41" t="str"/>
      <c r="N804" s="66" t="str"/>
      <c r="O804" s="67" t="str"/>
      <c r="P804" s="41" t="str"/>
      <c r="Q804" s="41" t="str"/>
      <c r="R804" s="66" t="str"/>
      <c r="S804" s="67" t="str"/>
      <c r="T804" s="41" t="str"/>
      <c r="U804" s="41" t="str"/>
      <c r="V804" s="66" t="str"/>
      <c r="W804" s="67" t="str"/>
    </row>
    <row r="805">
      <c r="B805" s="2">
        <f>IF(STUDENTS!B804="","",STUDENTS!B804)</f>
        <v/>
      </c>
      <c r="C805" s="44">
        <f>IFERROR(IF(B805="","",_xlfn.XLOOKUP(B805,STUDENTS!$B$3:$B$1048576,STUDENTS!$C$3:$C$1048576)),"Enter a registered reg. no")</f>
        <v/>
      </c>
      <c r="D805" s="52">
        <f t="array" ref="D805:W805">IF(All_Students_Scores!C803:V803="","",All_Students_Scores!C803:V803)</f>
        <v/>
      </c>
      <c r="E805" s="55" t="str"/>
      <c r="F805" s="48" t="str"/>
      <c r="G805" s="58" t="str"/>
      <c r="H805" s="62" t="str"/>
      <c r="I805" s="63" t="str"/>
      <c r="J805" s="48" t="str"/>
      <c r="K805" s="58" t="str"/>
      <c r="L805" s="42" t="str"/>
      <c r="M805" s="42" t="str"/>
      <c r="N805" s="48" t="str"/>
      <c r="O805" s="58" t="str"/>
      <c r="P805" s="42" t="str"/>
      <c r="Q805" s="42" t="str"/>
      <c r="R805" s="48" t="str"/>
      <c r="S805" s="58" t="str"/>
      <c r="T805" s="42" t="str"/>
      <c r="U805" s="42" t="str"/>
      <c r="V805" s="48" t="str"/>
      <c r="W805" s="58" t="str"/>
      <c r="X805" s="42" t="n"/>
      <c r="Y805" s="42" t="n"/>
    </row>
    <row r="806">
      <c r="B806" s="2">
        <f>IF(STUDENTS!B805="","",STUDENTS!B805)</f>
        <v/>
      </c>
      <c r="C806" s="44">
        <f>IFERROR(IF(B806="","",_xlfn.XLOOKUP(B806,STUDENTS!$B$3:$B$1048576,STUDENTS!$C$3:$C$1048576)),"Enter a registered reg. no")</f>
        <v/>
      </c>
      <c r="D806" s="52">
        <f t="array" ref="D806:W806">IF(All_Students_Scores!C804:V804="","",All_Students_Scores!C804:V804)</f>
        <v/>
      </c>
      <c r="E806" s="57" t="str"/>
      <c r="F806" s="66" t="str"/>
      <c r="G806" s="67" t="str"/>
      <c r="H806" s="64" t="str"/>
      <c r="I806" s="65" t="str"/>
      <c r="J806" s="66" t="str"/>
      <c r="K806" s="67" t="str"/>
      <c r="L806" s="41" t="str"/>
      <c r="M806" s="41" t="str"/>
      <c r="N806" s="66" t="str"/>
      <c r="O806" s="67" t="str"/>
      <c r="P806" s="41" t="str"/>
      <c r="Q806" s="41" t="str"/>
      <c r="R806" s="66" t="str"/>
      <c r="S806" s="67" t="str"/>
      <c r="T806" s="41" t="str"/>
      <c r="U806" s="41" t="str"/>
      <c r="V806" s="66" t="str"/>
      <c r="W806" s="67" t="str"/>
    </row>
    <row r="807">
      <c r="B807" s="2">
        <f>IF(STUDENTS!B806="","",STUDENTS!B806)</f>
        <v/>
      </c>
      <c r="C807" s="44">
        <f>IFERROR(IF(B807="","",_xlfn.XLOOKUP(B807,STUDENTS!$B$3:$B$1048576,STUDENTS!$C$3:$C$1048576)),"Enter a registered reg. no")</f>
        <v/>
      </c>
      <c r="D807" s="52">
        <f t="array" ref="D807:W807">IF(All_Students_Scores!C805:V805="","",All_Students_Scores!C805:V805)</f>
        <v/>
      </c>
      <c r="E807" s="55" t="str"/>
      <c r="F807" s="48" t="str"/>
      <c r="G807" s="58" t="str"/>
      <c r="H807" s="62" t="str"/>
      <c r="I807" s="63" t="str"/>
      <c r="J807" s="48" t="str"/>
      <c r="K807" s="58" t="str"/>
      <c r="L807" s="42" t="str"/>
      <c r="M807" s="42" t="str"/>
      <c r="N807" s="48" t="str"/>
      <c r="O807" s="58" t="str"/>
      <c r="P807" s="42" t="str"/>
      <c r="Q807" s="42" t="str"/>
      <c r="R807" s="48" t="str"/>
      <c r="S807" s="58" t="str"/>
      <c r="T807" s="42" t="str"/>
      <c r="U807" s="42" t="str"/>
      <c r="V807" s="48" t="str"/>
      <c r="W807" s="58" t="str"/>
      <c r="X807" s="42" t="n"/>
      <c r="Y807" s="42" t="n"/>
    </row>
    <row r="808">
      <c r="B808" s="2">
        <f>IF(STUDENTS!B807="","",STUDENTS!B807)</f>
        <v/>
      </c>
      <c r="C808" s="44">
        <f>IFERROR(IF(B808="","",_xlfn.XLOOKUP(B808,STUDENTS!$B$3:$B$1048576,STUDENTS!$C$3:$C$1048576)),"Enter a registered reg. no")</f>
        <v/>
      </c>
      <c r="D808" s="52">
        <f t="array" ref="D808:W808">IF(All_Students_Scores!C806:V806="","",All_Students_Scores!C806:V806)</f>
        <v/>
      </c>
      <c r="E808" s="57" t="str"/>
      <c r="F808" s="66" t="str"/>
      <c r="G808" s="67" t="str"/>
      <c r="H808" s="64" t="str"/>
      <c r="I808" s="65" t="str"/>
      <c r="J808" s="66" t="str"/>
      <c r="K808" s="67" t="str"/>
      <c r="L808" s="41" t="str"/>
      <c r="M808" s="41" t="str"/>
      <c r="N808" s="66" t="str"/>
      <c r="O808" s="67" t="str"/>
      <c r="P808" s="41" t="str"/>
      <c r="Q808" s="41" t="str"/>
      <c r="R808" s="66" t="str"/>
      <c r="S808" s="67" t="str"/>
      <c r="T808" s="41" t="str"/>
      <c r="U808" s="41" t="str"/>
      <c r="V808" s="66" t="str"/>
      <c r="W808" s="67" t="str"/>
    </row>
    <row r="809">
      <c r="B809" s="2">
        <f>IF(STUDENTS!B808="","",STUDENTS!B808)</f>
        <v/>
      </c>
      <c r="C809" s="44">
        <f>IFERROR(IF(B809="","",_xlfn.XLOOKUP(B809,STUDENTS!$B$3:$B$1048576,STUDENTS!$C$3:$C$1048576)),"Enter a registered reg. no")</f>
        <v/>
      </c>
      <c r="D809" s="52">
        <f t="array" ref="D809:W809">IF(All_Students_Scores!C807:V807="","",All_Students_Scores!C807:V807)</f>
        <v/>
      </c>
      <c r="E809" s="55" t="str"/>
      <c r="F809" s="48" t="str"/>
      <c r="G809" s="58" t="str"/>
      <c r="H809" s="62" t="str"/>
      <c r="I809" s="63" t="str"/>
      <c r="J809" s="48" t="str"/>
      <c r="K809" s="58" t="str"/>
      <c r="L809" s="42" t="str"/>
      <c r="M809" s="42" t="str"/>
      <c r="N809" s="48" t="str"/>
      <c r="O809" s="58" t="str"/>
      <c r="P809" s="42" t="str"/>
      <c r="Q809" s="42" t="str"/>
      <c r="R809" s="48" t="str"/>
      <c r="S809" s="58" t="str"/>
      <c r="T809" s="42" t="str"/>
      <c r="U809" s="42" t="str"/>
      <c r="V809" s="48" t="str"/>
      <c r="W809" s="58" t="str"/>
      <c r="X809" s="42" t="n"/>
      <c r="Y809" s="42" t="n"/>
    </row>
    <row r="810">
      <c r="B810" s="2">
        <f>IF(STUDENTS!B809="","",STUDENTS!B809)</f>
        <v/>
      </c>
      <c r="C810" s="44">
        <f>IFERROR(IF(B810="","",_xlfn.XLOOKUP(B810,STUDENTS!$B$3:$B$1048576,STUDENTS!$C$3:$C$1048576)),"Enter a registered reg. no")</f>
        <v/>
      </c>
      <c r="D810" s="52">
        <f t="array" ref="D810:W810">IF(All_Students_Scores!C808:V808="","",All_Students_Scores!C808:V808)</f>
        <v/>
      </c>
      <c r="E810" s="57" t="str"/>
      <c r="F810" s="66" t="str"/>
      <c r="G810" s="67" t="str"/>
      <c r="H810" s="64" t="str"/>
      <c r="I810" s="65" t="str"/>
      <c r="J810" s="66" t="str"/>
      <c r="K810" s="67" t="str"/>
      <c r="L810" s="41" t="str"/>
      <c r="M810" s="41" t="str"/>
      <c r="N810" s="66" t="str"/>
      <c r="O810" s="67" t="str"/>
      <c r="P810" s="41" t="str"/>
      <c r="Q810" s="41" t="str"/>
      <c r="R810" s="66" t="str"/>
      <c r="S810" s="67" t="str"/>
      <c r="T810" s="41" t="str"/>
      <c r="U810" s="41" t="str"/>
      <c r="V810" s="66" t="str"/>
      <c r="W810" s="67" t="str"/>
    </row>
    <row r="811">
      <c r="B811" s="2">
        <f>IF(STUDENTS!B810="","",STUDENTS!B810)</f>
        <v/>
      </c>
      <c r="C811" s="44">
        <f>IFERROR(IF(B811="","",_xlfn.XLOOKUP(B811,STUDENTS!$B$3:$B$1048576,STUDENTS!$C$3:$C$1048576)),"Enter a registered reg. no")</f>
        <v/>
      </c>
      <c r="D811" s="52">
        <f t="array" ref="D811:W811">IF(All_Students_Scores!C809:V809="","",All_Students_Scores!C809:V809)</f>
        <v/>
      </c>
      <c r="E811" s="55" t="str"/>
      <c r="F811" s="48" t="str"/>
      <c r="G811" s="58" t="str"/>
      <c r="H811" s="62" t="str"/>
      <c r="I811" s="63" t="str"/>
      <c r="J811" s="48" t="str"/>
      <c r="K811" s="58" t="str"/>
      <c r="L811" s="42" t="str"/>
      <c r="M811" s="42" t="str"/>
      <c r="N811" s="48" t="str"/>
      <c r="O811" s="58" t="str"/>
      <c r="P811" s="42" t="str"/>
      <c r="Q811" s="42" t="str"/>
      <c r="R811" s="48" t="str"/>
      <c r="S811" s="58" t="str"/>
      <c r="T811" s="42" t="str"/>
      <c r="U811" s="42" t="str"/>
      <c r="V811" s="48" t="str"/>
      <c r="W811" s="58" t="str"/>
      <c r="X811" s="42" t="n"/>
      <c r="Y811" s="42" t="n"/>
    </row>
    <row r="812">
      <c r="B812" s="2">
        <f>IF(STUDENTS!B811="","",STUDENTS!B811)</f>
        <v/>
      </c>
      <c r="C812" s="44">
        <f>IFERROR(IF(B812="","",_xlfn.XLOOKUP(B812,STUDENTS!$B$3:$B$1048576,STUDENTS!$C$3:$C$1048576)),"Enter a registered reg. no")</f>
        <v/>
      </c>
      <c r="D812" s="52">
        <f t="array" ref="D812:W812">IF(All_Students_Scores!C810:V810="","",All_Students_Scores!C810:V810)</f>
        <v/>
      </c>
      <c r="E812" s="57" t="str"/>
      <c r="F812" s="66" t="str"/>
      <c r="G812" s="67" t="str"/>
      <c r="H812" s="64" t="str"/>
      <c r="I812" s="65" t="str"/>
      <c r="J812" s="66" t="str"/>
      <c r="K812" s="67" t="str"/>
      <c r="L812" s="41" t="str"/>
      <c r="M812" s="41" t="str"/>
      <c r="N812" s="66" t="str"/>
      <c r="O812" s="67" t="str"/>
      <c r="P812" s="41" t="str"/>
      <c r="Q812" s="41" t="str"/>
      <c r="R812" s="66" t="str"/>
      <c r="S812" s="67" t="str"/>
      <c r="T812" s="41" t="str"/>
      <c r="U812" s="41" t="str"/>
      <c r="V812" s="66" t="str"/>
      <c r="W812" s="67" t="str"/>
    </row>
    <row r="813">
      <c r="B813" s="2">
        <f>IF(STUDENTS!B812="","",STUDENTS!B812)</f>
        <v/>
      </c>
      <c r="C813" s="44">
        <f>IFERROR(IF(B813="","",_xlfn.XLOOKUP(B813,STUDENTS!$B$3:$B$1048576,STUDENTS!$C$3:$C$1048576)),"Enter a registered reg. no")</f>
        <v/>
      </c>
      <c r="D813" s="52">
        <f t="array" ref="D813:W813">IF(All_Students_Scores!C811:V811="","",All_Students_Scores!C811:V811)</f>
        <v/>
      </c>
      <c r="E813" s="55" t="str"/>
      <c r="F813" s="48" t="str"/>
      <c r="G813" s="58" t="str"/>
      <c r="H813" s="62" t="str"/>
      <c r="I813" s="63" t="str"/>
      <c r="J813" s="48" t="str"/>
      <c r="K813" s="58" t="str"/>
      <c r="L813" s="42" t="str"/>
      <c r="M813" s="42" t="str"/>
      <c r="N813" s="48" t="str"/>
      <c r="O813" s="58" t="str"/>
      <c r="P813" s="42" t="str"/>
      <c r="Q813" s="42" t="str"/>
      <c r="R813" s="48" t="str"/>
      <c r="S813" s="58" t="str"/>
      <c r="T813" s="42" t="str"/>
      <c r="U813" s="42" t="str"/>
      <c r="V813" s="48" t="str"/>
      <c r="W813" s="58" t="str"/>
      <c r="X813" s="42" t="n"/>
      <c r="Y813" s="42" t="n"/>
    </row>
    <row r="814">
      <c r="B814" s="2">
        <f>IF(STUDENTS!B813="","",STUDENTS!B813)</f>
        <v/>
      </c>
      <c r="C814" s="44">
        <f>IFERROR(IF(B814="","",_xlfn.XLOOKUP(B814,STUDENTS!$B$3:$B$1048576,STUDENTS!$C$3:$C$1048576)),"Enter a registered reg. no")</f>
        <v/>
      </c>
      <c r="D814" s="52">
        <f t="array" ref="D814:W814">IF(All_Students_Scores!C812:V812="","",All_Students_Scores!C812:V812)</f>
        <v/>
      </c>
      <c r="E814" s="57" t="str"/>
      <c r="F814" s="66" t="str"/>
      <c r="G814" s="67" t="str"/>
      <c r="H814" s="64" t="str"/>
      <c r="I814" s="65" t="str"/>
      <c r="J814" s="66" t="str"/>
      <c r="K814" s="67" t="str"/>
      <c r="L814" s="41" t="str"/>
      <c r="M814" s="41" t="str"/>
      <c r="N814" s="66" t="str"/>
      <c r="O814" s="67" t="str"/>
      <c r="P814" s="41" t="str"/>
      <c r="Q814" s="41" t="str"/>
      <c r="R814" s="66" t="str"/>
      <c r="S814" s="67" t="str"/>
      <c r="T814" s="41" t="str"/>
      <c r="U814" s="41" t="str"/>
      <c r="V814" s="66" t="str"/>
      <c r="W814" s="67" t="str"/>
    </row>
    <row r="815">
      <c r="B815" s="2">
        <f>IF(STUDENTS!B814="","",STUDENTS!B814)</f>
        <v/>
      </c>
      <c r="C815" s="44">
        <f>IFERROR(IF(B815="","",_xlfn.XLOOKUP(B815,STUDENTS!$B$3:$B$1048576,STUDENTS!$C$3:$C$1048576)),"Enter a registered reg. no")</f>
        <v/>
      </c>
      <c r="D815" s="52">
        <f t="array" ref="D815:W815">IF(All_Students_Scores!C813:V813="","",All_Students_Scores!C813:V813)</f>
        <v/>
      </c>
      <c r="E815" s="55" t="str"/>
      <c r="F815" s="48" t="str"/>
      <c r="G815" s="58" t="str"/>
      <c r="H815" s="62" t="str"/>
      <c r="I815" s="63" t="str"/>
      <c r="J815" s="48" t="str"/>
      <c r="K815" s="58" t="str"/>
      <c r="L815" s="42" t="str"/>
      <c r="M815" s="42" t="str"/>
      <c r="N815" s="48" t="str"/>
      <c r="O815" s="58" t="str"/>
      <c r="P815" s="42" t="str"/>
      <c r="Q815" s="42" t="str"/>
      <c r="R815" s="48" t="str"/>
      <c r="S815" s="58" t="str"/>
      <c r="T815" s="42" t="str"/>
      <c r="U815" s="42" t="str"/>
      <c r="V815" s="48" t="str"/>
      <c r="W815" s="58" t="str"/>
      <c r="X815" s="42" t="n"/>
      <c r="Y815" s="42" t="n"/>
    </row>
    <row r="816">
      <c r="B816" s="2">
        <f>IF(STUDENTS!B815="","",STUDENTS!B815)</f>
        <v/>
      </c>
      <c r="C816" s="44">
        <f>IFERROR(IF(B816="","",_xlfn.XLOOKUP(B816,STUDENTS!$B$3:$B$1048576,STUDENTS!$C$3:$C$1048576)),"Enter a registered reg. no")</f>
        <v/>
      </c>
      <c r="D816" s="52">
        <f t="array" ref="D816:W816">IF(All_Students_Scores!C814:V814="","",All_Students_Scores!C814:V814)</f>
        <v/>
      </c>
      <c r="E816" s="57" t="str"/>
      <c r="F816" s="66" t="str"/>
      <c r="G816" s="67" t="str"/>
      <c r="H816" s="64" t="str"/>
      <c r="I816" s="65" t="str"/>
      <c r="J816" s="66" t="str"/>
      <c r="K816" s="67" t="str"/>
      <c r="L816" s="41" t="str"/>
      <c r="M816" s="41" t="str"/>
      <c r="N816" s="66" t="str"/>
      <c r="O816" s="67" t="str"/>
      <c r="P816" s="41" t="str"/>
      <c r="Q816" s="41" t="str"/>
      <c r="R816" s="66" t="str"/>
      <c r="S816" s="67" t="str"/>
      <c r="T816" s="41" t="str"/>
      <c r="U816" s="41" t="str"/>
      <c r="V816" s="66" t="str"/>
      <c r="W816" s="67" t="str"/>
    </row>
    <row r="817">
      <c r="B817" s="2">
        <f>IF(STUDENTS!B816="","",STUDENTS!B816)</f>
        <v/>
      </c>
      <c r="C817" s="44">
        <f>IFERROR(IF(B817="","",_xlfn.XLOOKUP(B817,STUDENTS!$B$3:$B$1048576,STUDENTS!$C$3:$C$1048576)),"Enter a registered reg. no")</f>
        <v/>
      </c>
      <c r="D817" s="52">
        <f t="array" ref="D817:W817">IF(All_Students_Scores!C815:V815="","",All_Students_Scores!C815:V815)</f>
        <v/>
      </c>
      <c r="E817" s="55" t="str"/>
      <c r="F817" s="48" t="str"/>
      <c r="G817" s="58" t="str"/>
      <c r="H817" s="62" t="str"/>
      <c r="I817" s="63" t="str"/>
      <c r="J817" s="48" t="str"/>
      <c r="K817" s="58" t="str"/>
      <c r="L817" s="42" t="str"/>
      <c r="M817" s="42" t="str"/>
      <c r="N817" s="48" t="str"/>
      <c r="O817" s="58" t="str"/>
      <c r="P817" s="42" t="str"/>
      <c r="Q817" s="42" t="str"/>
      <c r="R817" s="48" t="str"/>
      <c r="S817" s="58" t="str"/>
      <c r="T817" s="42" t="str"/>
      <c r="U817" s="42" t="str"/>
      <c r="V817" s="48" t="str"/>
      <c r="W817" s="58" t="str"/>
      <c r="X817" s="42" t="n"/>
      <c r="Y817" s="42" t="n"/>
    </row>
    <row r="818">
      <c r="B818" s="2">
        <f>IF(STUDENTS!B817="","",STUDENTS!B817)</f>
        <v/>
      </c>
      <c r="C818" s="44">
        <f>IFERROR(IF(B818="","",_xlfn.XLOOKUP(B818,STUDENTS!$B$3:$B$1048576,STUDENTS!$C$3:$C$1048576)),"Enter a registered reg. no")</f>
        <v/>
      </c>
      <c r="D818" s="52">
        <f t="array" ref="D818:W818">IF(All_Students_Scores!C816:V816="","",All_Students_Scores!C816:V816)</f>
        <v/>
      </c>
      <c r="E818" s="57" t="str"/>
      <c r="F818" s="66" t="str"/>
      <c r="G818" s="67" t="str"/>
      <c r="H818" s="64" t="str"/>
      <c r="I818" s="65" t="str"/>
      <c r="J818" s="66" t="str"/>
      <c r="K818" s="67" t="str"/>
      <c r="L818" s="41" t="str"/>
      <c r="M818" s="41" t="str"/>
      <c r="N818" s="66" t="str"/>
      <c r="O818" s="67" t="str"/>
      <c r="P818" s="41" t="str"/>
      <c r="Q818" s="41" t="str"/>
      <c r="R818" s="66" t="str"/>
      <c r="S818" s="67" t="str"/>
      <c r="T818" s="41" t="str"/>
      <c r="U818" s="41" t="str"/>
      <c r="V818" s="66" t="str"/>
      <c r="W818" s="67" t="str"/>
    </row>
    <row r="819">
      <c r="B819" s="2">
        <f>IF(STUDENTS!B818="","",STUDENTS!B818)</f>
        <v/>
      </c>
      <c r="C819" s="44">
        <f>IFERROR(IF(B819="","",_xlfn.XLOOKUP(B819,STUDENTS!$B$3:$B$1048576,STUDENTS!$C$3:$C$1048576)),"Enter a registered reg. no")</f>
        <v/>
      </c>
      <c r="D819" s="52">
        <f t="array" ref="D819:W819">IF(All_Students_Scores!C817:V817="","",All_Students_Scores!C817:V817)</f>
        <v/>
      </c>
      <c r="E819" s="55" t="str"/>
      <c r="F819" s="48" t="str"/>
      <c r="G819" s="58" t="str"/>
      <c r="H819" s="62" t="str"/>
      <c r="I819" s="63" t="str"/>
      <c r="J819" s="48" t="str"/>
      <c r="K819" s="58" t="str"/>
      <c r="L819" s="42" t="str"/>
      <c r="M819" s="42" t="str"/>
      <c r="N819" s="48" t="str"/>
      <c r="O819" s="58" t="str"/>
      <c r="P819" s="42" t="str"/>
      <c r="Q819" s="42" t="str"/>
      <c r="R819" s="48" t="str"/>
      <c r="S819" s="58" t="str"/>
      <c r="T819" s="42" t="str"/>
      <c r="U819" s="42" t="str"/>
      <c r="V819" s="48" t="str"/>
      <c r="W819" s="58" t="str"/>
      <c r="X819" s="42" t="n"/>
      <c r="Y819" s="42" t="n"/>
    </row>
    <row r="820">
      <c r="B820" s="2">
        <f>IF(STUDENTS!B819="","",STUDENTS!B819)</f>
        <v/>
      </c>
      <c r="C820" s="44">
        <f>IFERROR(IF(B820="","",_xlfn.XLOOKUP(B820,STUDENTS!$B$3:$B$1048576,STUDENTS!$C$3:$C$1048576)),"Enter a registered reg. no")</f>
        <v/>
      </c>
      <c r="D820" s="52">
        <f t="array" ref="D820:W820">IF(All_Students_Scores!C818:V818="","",All_Students_Scores!C818:V818)</f>
        <v/>
      </c>
      <c r="E820" s="57" t="str"/>
      <c r="F820" s="66" t="str"/>
      <c r="G820" s="67" t="str"/>
      <c r="H820" s="64" t="str"/>
      <c r="I820" s="65" t="str"/>
      <c r="J820" s="66" t="str"/>
      <c r="K820" s="67" t="str"/>
      <c r="L820" s="41" t="str"/>
      <c r="M820" s="41" t="str"/>
      <c r="N820" s="66" t="str"/>
      <c r="O820" s="67" t="str"/>
      <c r="P820" s="41" t="str"/>
      <c r="Q820" s="41" t="str"/>
      <c r="R820" s="66" t="str"/>
      <c r="S820" s="67" t="str"/>
      <c r="T820" s="41" t="str"/>
      <c r="U820" s="41" t="str"/>
      <c r="V820" s="66" t="str"/>
      <c r="W820" s="67" t="str"/>
    </row>
    <row r="821">
      <c r="B821" s="2">
        <f>IF(STUDENTS!B820="","",STUDENTS!B820)</f>
        <v/>
      </c>
      <c r="C821" s="44">
        <f>IFERROR(IF(B821="","",_xlfn.XLOOKUP(B821,STUDENTS!$B$3:$B$1048576,STUDENTS!$C$3:$C$1048576)),"Enter a registered reg. no")</f>
        <v/>
      </c>
      <c r="D821" s="52">
        <f t="array" ref="D821:W821">IF(All_Students_Scores!C819:V819="","",All_Students_Scores!C819:V819)</f>
        <v/>
      </c>
      <c r="E821" s="55" t="str"/>
      <c r="F821" s="48" t="str"/>
      <c r="G821" s="58" t="str"/>
      <c r="H821" s="62" t="str"/>
      <c r="I821" s="63" t="str"/>
      <c r="J821" s="48" t="str"/>
      <c r="K821" s="58" t="str"/>
      <c r="L821" s="42" t="str"/>
      <c r="M821" s="42" t="str"/>
      <c r="N821" s="48" t="str"/>
      <c r="O821" s="58" t="str"/>
      <c r="P821" s="42" t="str"/>
      <c r="Q821" s="42" t="str"/>
      <c r="R821" s="48" t="str"/>
      <c r="S821" s="58" t="str"/>
      <c r="T821" s="42" t="str"/>
      <c r="U821" s="42" t="str"/>
      <c r="V821" s="48" t="str"/>
      <c r="W821" s="58" t="str"/>
      <c r="X821" s="42" t="n"/>
      <c r="Y821" s="42" t="n"/>
    </row>
    <row r="822">
      <c r="B822" s="2">
        <f>IF(STUDENTS!B821="","",STUDENTS!B821)</f>
        <v/>
      </c>
      <c r="C822" s="44">
        <f>IFERROR(IF(B822="","",_xlfn.XLOOKUP(B822,STUDENTS!$B$3:$B$1048576,STUDENTS!$C$3:$C$1048576)),"Enter a registered reg. no")</f>
        <v/>
      </c>
      <c r="D822" s="52">
        <f t="array" ref="D822:W822">IF(All_Students_Scores!C820:V820="","",All_Students_Scores!C820:V820)</f>
        <v/>
      </c>
      <c r="E822" s="57" t="str"/>
      <c r="F822" s="66" t="str"/>
      <c r="G822" s="67" t="str"/>
      <c r="H822" s="64" t="str"/>
      <c r="I822" s="65" t="str"/>
      <c r="J822" s="66" t="str"/>
      <c r="K822" s="67" t="str"/>
      <c r="L822" s="41" t="str"/>
      <c r="M822" s="41" t="str"/>
      <c r="N822" s="66" t="str"/>
      <c r="O822" s="67" t="str"/>
      <c r="P822" s="41" t="str"/>
      <c r="Q822" s="41" t="str"/>
      <c r="R822" s="66" t="str"/>
      <c r="S822" s="67" t="str"/>
      <c r="T822" s="41" t="str"/>
      <c r="U822" s="41" t="str"/>
      <c r="V822" s="66" t="str"/>
      <c r="W822" s="67" t="str"/>
    </row>
    <row r="823">
      <c r="B823" s="2">
        <f>IF(STUDENTS!B822="","",STUDENTS!B822)</f>
        <v/>
      </c>
      <c r="C823" s="44">
        <f>IFERROR(IF(B823="","",_xlfn.XLOOKUP(B823,STUDENTS!$B$3:$B$1048576,STUDENTS!$C$3:$C$1048576)),"Enter a registered reg. no")</f>
        <v/>
      </c>
      <c r="D823" s="52">
        <f t="array" ref="D823:W823">IF(All_Students_Scores!C821:V821="","",All_Students_Scores!C821:V821)</f>
        <v/>
      </c>
      <c r="E823" s="55" t="str"/>
      <c r="F823" s="48" t="str"/>
      <c r="G823" s="58" t="str"/>
      <c r="H823" s="62" t="str"/>
      <c r="I823" s="63" t="str"/>
      <c r="J823" s="48" t="str"/>
      <c r="K823" s="58" t="str"/>
      <c r="L823" s="42" t="str"/>
      <c r="M823" s="42" t="str"/>
      <c r="N823" s="48" t="str"/>
      <c r="O823" s="58" t="str"/>
      <c r="P823" s="42" t="str"/>
      <c r="Q823" s="42" t="str"/>
      <c r="R823" s="48" t="str"/>
      <c r="S823" s="58" t="str"/>
      <c r="T823" s="42" t="str"/>
      <c r="U823" s="42" t="str"/>
      <c r="V823" s="48" t="str"/>
      <c r="W823" s="58" t="str"/>
      <c r="X823" s="42" t="n"/>
      <c r="Y823" s="42" t="n"/>
    </row>
    <row r="824">
      <c r="B824" s="2">
        <f>IF(STUDENTS!B823="","",STUDENTS!B823)</f>
        <v/>
      </c>
      <c r="C824" s="44">
        <f>IFERROR(IF(B824="","",_xlfn.XLOOKUP(B824,STUDENTS!$B$3:$B$1048576,STUDENTS!$C$3:$C$1048576)),"Enter a registered reg. no")</f>
        <v/>
      </c>
      <c r="D824" s="52">
        <f t="array" ref="D824:W824">IF(All_Students_Scores!C822:V822="","",All_Students_Scores!C822:V822)</f>
        <v/>
      </c>
      <c r="E824" s="57" t="str"/>
      <c r="F824" s="66" t="str"/>
      <c r="G824" s="67" t="str"/>
      <c r="H824" s="64" t="str"/>
      <c r="I824" s="65" t="str"/>
      <c r="J824" s="66" t="str"/>
      <c r="K824" s="67" t="str"/>
      <c r="L824" s="41" t="str"/>
      <c r="M824" s="41" t="str"/>
      <c r="N824" s="66" t="str"/>
      <c r="O824" s="67" t="str"/>
      <c r="P824" s="41" t="str"/>
      <c r="Q824" s="41" t="str"/>
      <c r="R824" s="66" t="str"/>
      <c r="S824" s="67" t="str"/>
      <c r="T824" s="41" t="str"/>
      <c r="U824" s="41" t="str"/>
      <c r="V824" s="66" t="str"/>
      <c r="W824" s="67" t="str"/>
    </row>
    <row r="825">
      <c r="B825" s="2">
        <f>IF(STUDENTS!B824="","",STUDENTS!B824)</f>
        <v/>
      </c>
      <c r="C825" s="44">
        <f>IFERROR(IF(B825="","",_xlfn.XLOOKUP(B825,STUDENTS!$B$3:$B$1048576,STUDENTS!$C$3:$C$1048576)),"Enter a registered reg. no")</f>
        <v/>
      </c>
      <c r="D825" s="52">
        <f t="array" ref="D825:W825">IF(All_Students_Scores!C823:V823="","",All_Students_Scores!C823:V823)</f>
        <v/>
      </c>
      <c r="E825" s="55" t="str"/>
      <c r="F825" s="48" t="str"/>
      <c r="G825" s="58" t="str"/>
      <c r="H825" s="62" t="str"/>
      <c r="I825" s="63" t="str"/>
      <c r="J825" s="48" t="str"/>
      <c r="K825" s="58" t="str"/>
      <c r="L825" s="42" t="str"/>
      <c r="M825" s="42" t="str"/>
      <c r="N825" s="48" t="str"/>
      <c r="O825" s="58" t="str"/>
      <c r="P825" s="42" t="str"/>
      <c r="Q825" s="42" t="str"/>
      <c r="R825" s="48" t="str"/>
      <c r="S825" s="58" t="str"/>
      <c r="T825" s="42" t="str"/>
      <c r="U825" s="42" t="str"/>
      <c r="V825" s="48" t="str"/>
      <c r="W825" s="58" t="str"/>
      <c r="X825" s="42" t="n"/>
      <c r="Y825" s="42" t="n"/>
    </row>
    <row r="826">
      <c r="B826" s="2">
        <f>IF(STUDENTS!B825="","",STUDENTS!B825)</f>
        <v/>
      </c>
      <c r="C826" s="44">
        <f>IFERROR(IF(B826="","",_xlfn.XLOOKUP(B826,STUDENTS!$B$3:$B$1048576,STUDENTS!$C$3:$C$1048576)),"Enter a registered reg. no")</f>
        <v/>
      </c>
      <c r="D826" s="52">
        <f t="array" ref="D826:W826">IF(All_Students_Scores!C824:V824="","",All_Students_Scores!C824:V824)</f>
        <v/>
      </c>
      <c r="E826" s="57" t="str"/>
      <c r="F826" s="66" t="str"/>
      <c r="G826" s="67" t="str"/>
      <c r="H826" s="64" t="str"/>
      <c r="I826" s="65" t="str"/>
      <c r="J826" s="66" t="str"/>
      <c r="K826" s="67" t="str"/>
      <c r="L826" s="41" t="str"/>
      <c r="M826" s="41" t="str"/>
      <c r="N826" s="66" t="str"/>
      <c r="O826" s="67" t="str"/>
      <c r="P826" s="41" t="str"/>
      <c r="Q826" s="41" t="str"/>
      <c r="R826" s="66" t="str"/>
      <c r="S826" s="67" t="str"/>
      <c r="T826" s="41" t="str"/>
      <c r="U826" s="41" t="str"/>
      <c r="V826" s="66" t="str"/>
      <c r="W826" s="67" t="str"/>
    </row>
    <row r="827">
      <c r="B827" s="2">
        <f>IF(STUDENTS!B826="","",STUDENTS!B826)</f>
        <v/>
      </c>
      <c r="C827" s="44">
        <f>IFERROR(IF(B827="","",_xlfn.XLOOKUP(B827,STUDENTS!$B$3:$B$1048576,STUDENTS!$C$3:$C$1048576)),"Enter a registered reg. no")</f>
        <v/>
      </c>
      <c r="D827" s="52">
        <f t="array" ref="D827:W827">IF(All_Students_Scores!C825:V825="","",All_Students_Scores!C825:V825)</f>
        <v/>
      </c>
      <c r="E827" s="55" t="str"/>
      <c r="F827" s="48" t="str"/>
      <c r="G827" s="58" t="str"/>
      <c r="H827" s="62" t="str"/>
      <c r="I827" s="63" t="str"/>
      <c r="J827" s="48" t="str"/>
      <c r="K827" s="58" t="str"/>
      <c r="L827" s="42" t="str"/>
      <c r="M827" s="42" t="str"/>
      <c r="N827" s="48" t="str"/>
      <c r="O827" s="58" t="str"/>
      <c r="P827" s="42" t="str"/>
      <c r="Q827" s="42" t="str"/>
      <c r="R827" s="48" t="str"/>
      <c r="S827" s="58" t="str"/>
      <c r="T827" s="42" t="str"/>
      <c r="U827" s="42" t="str"/>
      <c r="V827" s="48" t="str"/>
      <c r="W827" s="58" t="str"/>
      <c r="X827" s="42" t="n"/>
      <c r="Y827" s="42" t="n"/>
    </row>
    <row r="828">
      <c r="B828" s="2">
        <f>IF(STUDENTS!B827="","",STUDENTS!B827)</f>
        <v/>
      </c>
      <c r="C828" s="44">
        <f>IFERROR(IF(B828="","",_xlfn.XLOOKUP(B828,STUDENTS!$B$3:$B$1048576,STUDENTS!$C$3:$C$1048576)),"Enter a registered reg. no")</f>
        <v/>
      </c>
      <c r="D828" s="52">
        <f t="array" ref="D828:W828">IF(All_Students_Scores!C826:V826="","",All_Students_Scores!C826:V826)</f>
        <v/>
      </c>
      <c r="E828" s="57" t="str"/>
      <c r="F828" s="66" t="str"/>
      <c r="G828" s="67" t="str"/>
      <c r="H828" s="64" t="str"/>
      <c r="I828" s="65" t="str"/>
      <c r="J828" s="66" t="str"/>
      <c r="K828" s="67" t="str"/>
      <c r="L828" s="41" t="str"/>
      <c r="M828" s="41" t="str"/>
      <c r="N828" s="66" t="str"/>
      <c r="O828" s="67" t="str"/>
      <c r="P828" s="41" t="str"/>
      <c r="Q828" s="41" t="str"/>
      <c r="R828" s="66" t="str"/>
      <c r="S828" s="67" t="str"/>
      <c r="T828" s="41" t="str"/>
      <c r="U828" s="41" t="str"/>
      <c r="V828" s="66" t="str"/>
      <c r="W828" s="67" t="str"/>
    </row>
    <row r="829">
      <c r="B829" s="2">
        <f>IF(STUDENTS!B828="","",STUDENTS!B828)</f>
        <v/>
      </c>
      <c r="C829" s="44">
        <f>IFERROR(IF(B829="","",_xlfn.XLOOKUP(B829,STUDENTS!$B$3:$B$1048576,STUDENTS!$C$3:$C$1048576)),"Enter a registered reg. no")</f>
        <v/>
      </c>
      <c r="D829" s="52">
        <f t="array" ref="D829:W829">IF(All_Students_Scores!C827:V827="","",All_Students_Scores!C827:V827)</f>
        <v/>
      </c>
      <c r="E829" s="55" t="str"/>
      <c r="F829" s="48" t="str"/>
      <c r="G829" s="58" t="str"/>
      <c r="H829" s="62" t="str"/>
      <c r="I829" s="63" t="str"/>
      <c r="J829" s="48" t="str"/>
      <c r="K829" s="58" t="str"/>
      <c r="L829" s="42" t="str"/>
      <c r="M829" s="42" t="str"/>
      <c r="N829" s="48" t="str"/>
      <c r="O829" s="58" t="str"/>
      <c r="P829" s="42" t="str"/>
      <c r="Q829" s="42" t="str"/>
      <c r="R829" s="48" t="str"/>
      <c r="S829" s="58" t="str"/>
      <c r="T829" s="42" t="str"/>
      <c r="U829" s="42" t="str"/>
      <c r="V829" s="48" t="str"/>
      <c r="W829" s="58" t="str"/>
      <c r="X829" s="42" t="n"/>
      <c r="Y829" s="42" t="n"/>
    </row>
    <row r="830">
      <c r="B830" s="2">
        <f>IF(STUDENTS!B829="","",STUDENTS!B829)</f>
        <v/>
      </c>
      <c r="C830" s="44">
        <f>IFERROR(IF(B830="","",_xlfn.XLOOKUP(B830,STUDENTS!$B$3:$B$1048576,STUDENTS!$C$3:$C$1048576)),"Enter a registered reg. no")</f>
        <v/>
      </c>
      <c r="D830" s="52">
        <f t="array" ref="D830:W830">IF(All_Students_Scores!C828:V828="","",All_Students_Scores!C828:V828)</f>
        <v/>
      </c>
      <c r="E830" s="57" t="str"/>
      <c r="F830" s="66" t="str"/>
      <c r="G830" s="67" t="str"/>
      <c r="H830" s="64" t="str"/>
      <c r="I830" s="65" t="str"/>
      <c r="J830" s="66" t="str"/>
      <c r="K830" s="67" t="str"/>
      <c r="L830" s="41" t="str"/>
      <c r="M830" s="41" t="str"/>
      <c r="N830" s="66" t="str"/>
      <c r="O830" s="67" t="str"/>
      <c r="P830" s="41" t="str"/>
      <c r="Q830" s="41" t="str"/>
      <c r="R830" s="66" t="str"/>
      <c r="S830" s="67" t="str"/>
      <c r="T830" s="41" t="str"/>
      <c r="U830" s="41" t="str"/>
      <c r="V830" s="66" t="str"/>
      <c r="W830" s="67" t="str"/>
    </row>
    <row r="831">
      <c r="B831" s="2">
        <f>IF(STUDENTS!B830="","",STUDENTS!B830)</f>
        <v/>
      </c>
      <c r="C831" s="44">
        <f>IFERROR(IF(B831="","",_xlfn.XLOOKUP(B831,STUDENTS!$B$3:$B$1048576,STUDENTS!$C$3:$C$1048576)),"Enter a registered reg. no")</f>
        <v/>
      </c>
      <c r="D831" s="52">
        <f t="array" ref="D831:W831">IF(All_Students_Scores!C829:V829="","",All_Students_Scores!C829:V829)</f>
        <v/>
      </c>
      <c r="E831" s="55" t="str"/>
      <c r="F831" s="48" t="str"/>
      <c r="G831" s="58" t="str"/>
      <c r="H831" s="62" t="str"/>
      <c r="I831" s="63" t="str"/>
      <c r="J831" s="48" t="str"/>
      <c r="K831" s="58" t="str"/>
      <c r="L831" s="42" t="str"/>
      <c r="M831" s="42" t="str"/>
      <c r="N831" s="48" t="str"/>
      <c r="O831" s="58" t="str"/>
      <c r="P831" s="42" t="str"/>
      <c r="Q831" s="42" t="str"/>
      <c r="R831" s="48" t="str"/>
      <c r="S831" s="58" t="str"/>
      <c r="T831" s="42" t="str"/>
      <c r="U831" s="42" t="str"/>
      <c r="V831" s="48" t="str"/>
      <c r="W831" s="58" t="str"/>
      <c r="X831" s="42" t="n"/>
      <c r="Y831" s="42" t="n"/>
    </row>
    <row r="832">
      <c r="B832" s="2">
        <f>IF(STUDENTS!B831="","",STUDENTS!B831)</f>
        <v/>
      </c>
      <c r="C832" s="44">
        <f>IFERROR(IF(B832="","",_xlfn.XLOOKUP(B832,STUDENTS!$B$3:$B$1048576,STUDENTS!$C$3:$C$1048576)),"Enter a registered reg. no")</f>
        <v/>
      </c>
      <c r="D832" s="52">
        <f t="array" ref="D832:W832">IF(All_Students_Scores!C830:V830="","",All_Students_Scores!C830:V830)</f>
        <v/>
      </c>
      <c r="E832" s="57" t="str"/>
      <c r="F832" s="66" t="str"/>
      <c r="G832" s="67" t="str"/>
      <c r="H832" s="64" t="str"/>
      <c r="I832" s="65" t="str"/>
      <c r="J832" s="66" t="str"/>
      <c r="K832" s="67" t="str"/>
      <c r="L832" s="41" t="str"/>
      <c r="M832" s="41" t="str"/>
      <c r="N832" s="66" t="str"/>
      <c r="O832" s="67" t="str"/>
      <c r="P832" s="41" t="str"/>
      <c r="Q832" s="41" t="str"/>
      <c r="R832" s="66" t="str"/>
      <c r="S832" s="67" t="str"/>
      <c r="T832" s="41" t="str"/>
      <c r="U832" s="41" t="str"/>
      <c r="V832" s="66" t="str"/>
      <c r="W832" s="67" t="str"/>
    </row>
    <row r="833">
      <c r="B833" s="2">
        <f>IF(STUDENTS!B832="","",STUDENTS!B832)</f>
        <v/>
      </c>
      <c r="C833" s="44">
        <f>IFERROR(IF(B833="","",_xlfn.XLOOKUP(B833,STUDENTS!$B$3:$B$1048576,STUDENTS!$C$3:$C$1048576)),"Enter a registered reg. no")</f>
        <v/>
      </c>
      <c r="D833" s="52">
        <f t="array" ref="D833:W833">IF(All_Students_Scores!C831:V831="","",All_Students_Scores!C831:V831)</f>
        <v/>
      </c>
      <c r="E833" s="55" t="str"/>
      <c r="F833" s="48" t="str"/>
      <c r="G833" s="58" t="str"/>
      <c r="H833" s="62" t="str"/>
      <c r="I833" s="63" t="str"/>
      <c r="J833" s="48" t="str"/>
      <c r="K833" s="58" t="str"/>
      <c r="L833" s="42" t="str"/>
      <c r="M833" s="42" t="str"/>
      <c r="N833" s="48" t="str"/>
      <c r="O833" s="58" t="str"/>
      <c r="P833" s="42" t="str"/>
      <c r="Q833" s="42" t="str"/>
      <c r="R833" s="48" t="str"/>
      <c r="S833" s="58" t="str"/>
      <c r="T833" s="42" t="str"/>
      <c r="U833" s="42" t="str"/>
      <c r="V833" s="48" t="str"/>
      <c r="W833" s="58" t="str"/>
      <c r="X833" s="42" t="n"/>
      <c r="Y833" s="42" t="n"/>
    </row>
    <row r="834">
      <c r="B834" s="2">
        <f>IF(STUDENTS!B833="","",STUDENTS!B833)</f>
        <v/>
      </c>
      <c r="C834" s="44">
        <f>IFERROR(IF(B834="","",_xlfn.XLOOKUP(B834,STUDENTS!$B$3:$B$1048576,STUDENTS!$C$3:$C$1048576)),"Enter a registered reg. no")</f>
        <v/>
      </c>
      <c r="D834" s="52">
        <f t="array" ref="D834:W834">IF(All_Students_Scores!C832:V832="","",All_Students_Scores!C832:V832)</f>
        <v/>
      </c>
      <c r="E834" s="57" t="str"/>
      <c r="F834" s="66" t="str"/>
      <c r="G834" s="67" t="str"/>
      <c r="H834" s="64" t="str"/>
      <c r="I834" s="65" t="str"/>
      <c r="J834" s="66" t="str"/>
      <c r="K834" s="67" t="str"/>
      <c r="L834" s="41" t="str"/>
      <c r="M834" s="41" t="str"/>
      <c r="N834" s="66" t="str"/>
      <c r="O834" s="67" t="str"/>
      <c r="P834" s="41" t="str"/>
      <c r="Q834" s="41" t="str"/>
      <c r="R834" s="66" t="str"/>
      <c r="S834" s="67" t="str"/>
      <c r="T834" s="41" t="str"/>
      <c r="U834" s="41" t="str"/>
      <c r="V834" s="66" t="str"/>
      <c r="W834" s="67" t="str"/>
    </row>
    <row r="835">
      <c r="B835" s="2">
        <f>IF(STUDENTS!B834="","",STUDENTS!B834)</f>
        <v/>
      </c>
      <c r="C835" s="44">
        <f>IFERROR(IF(B835="","",_xlfn.XLOOKUP(B835,STUDENTS!$B$3:$B$1048576,STUDENTS!$C$3:$C$1048576)),"Enter a registered reg. no")</f>
        <v/>
      </c>
      <c r="D835" s="52">
        <f t="array" ref="D835:W835">IF(All_Students_Scores!C833:V833="","",All_Students_Scores!C833:V833)</f>
        <v/>
      </c>
      <c r="E835" s="55" t="str"/>
      <c r="F835" s="48" t="str"/>
      <c r="G835" s="58" t="str"/>
      <c r="H835" s="62" t="str"/>
      <c r="I835" s="63" t="str"/>
      <c r="J835" s="48" t="str"/>
      <c r="K835" s="58" t="str"/>
      <c r="L835" s="42" t="str"/>
      <c r="M835" s="42" t="str"/>
      <c r="N835" s="48" t="str"/>
      <c r="O835" s="58" t="str"/>
      <c r="P835" s="42" t="str"/>
      <c r="Q835" s="42" t="str"/>
      <c r="R835" s="48" t="str"/>
      <c r="S835" s="58" t="str"/>
      <c r="T835" s="42" t="str"/>
      <c r="U835" s="42" t="str"/>
      <c r="V835" s="48" t="str"/>
      <c r="W835" s="58" t="str"/>
      <c r="X835" s="42" t="n"/>
      <c r="Y835" s="42" t="n"/>
    </row>
    <row r="836">
      <c r="B836" s="2">
        <f>IF(STUDENTS!B835="","",STUDENTS!B835)</f>
        <v/>
      </c>
      <c r="C836" s="44">
        <f>IFERROR(IF(B836="","",_xlfn.XLOOKUP(B836,STUDENTS!$B$3:$B$1048576,STUDENTS!$C$3:$C$1048576)),"Enter a registered reg. no")</f>
        <v/>
      </c>
      <c r="D836" s="52">
        <f t="array" ref="D836:W836">IF(All_Students_Scores!C834:V834="","",All_Students_Scores!C834:V834)</f>
        <v/>
      </c>
      <c r="E836" s="57" t="str"/>
      <c r="F836" s="66" t="str"/>
      <c r="G836" s="67" t="str"/>
      <c r="H836" s="64" t="str"/>
      <c r="I836" s="65" t="str"/>
      <c r="J836" s="66" t="str"/>
      <c r="K836" s="67" t="str"/>
      <c r="L836" s="41" t="str"/>
      <c r="M836" s="41" t="str"/>
      <c r="N836" s="66" t="str"/>
      <c r="O836" s="67" t="str"/>
      <c r="P836" s="41" t="str"/>
      <c r="Q836" s="41" t="str"/>
      <c r="R836" s="66" t="str"/>
      <c r="S836" s="67" t="str"/>
      <c r="T836" s="41" t="str"/>
      <c r="U836" s="41" t="str"/>
      <c r="V836" s="66" t="str"/>
      <c r="W836" s="67" t="str"/>
    </row>
    <row r="837">
      <c r="B837" s="2">
        <f>IF(STUDENTS!B836="","",STUDENTS!B836)</f>
        <v/>
      </c>
      <c r="C837" s="44">
        <f>IFERROR(IF(B837="","",_xlfn.XLOOKUP(B837,STUDENTS!$B$3:$B$1048576,STUDENTS!$C$3:$C$1048576)),"Enter a registered reg. no")</f>
        <v/>
      </c>
      <c r="D837" s="52">
        <f t="array" ref="D837:W837">IF(All_Students_Scores!C835:V835="","",All_Students_Scores!C835:V835)</f>
        <v/>
      </c>
      <c r="E837" s="55" t="str"/>
      <c r="F837" s="48" t="str"/>
      <c r="G837" s="58" t="str"/>
      <c r="H837" s="62" t="str"/>
      <c r="I837" s="63" t="str"/>
      <c r="J837" s="48" t="str"/>
      <c r="K837" s="58" t="str"/>
      <c r="L837" s="42" t="str"/>
      <c r="M837" s="42" t="str"/>
      <c r="N837" s="48" t="str"/>
      <c r="O837" s="58" t="str"/>
      <c r="P837" s="42" t="str"/>
      <c r="Q837" s="42" t="str"/>
      <c r="R837" s="48" t="str"/>
      <c r="S837" s="58" t="str"/>
      <c r="T837" s="42" t="str"/>
      <c r="U837" s="42" t="str"/>
      <c r="V837" s="48" t="str"/>
      <c r="W837" s="58" t="str"/>
      <c r="X837" s="42" t="n"/>
      <c r="Y837" s="42" t="n"/>
    </row>
    <row r="838">
      <c r="B838" s="2">
        <f>IF(STUDENTS!B837="","",STUDENTS!B837)</f>
        <v/>
      </c>
      <c r="C838" s="44">
        <f>IFERROR(IF(B838="","",_xlfn.XLOOKUP(B838,STUDENTS!$B$3:$B$1048576,STUDENTS!$C$3:$C$1048576)),"Enter a registered reg. no")</f>
        <v/>
      </c>
      <c r="D838" s="52">
        <f t="array" ref="D838:W838">IF(All_Students_Scores!C836:V836="","",All_Students_Scores!C836:V836)</f>
        <v/>
      </c>
      <c r="E838" s="57" t="str"/>
      <c r="F838" s="66" t="str"/>
      <c r="G838" s="67" t="str"/>
      <c r="H838" s="64" t="str"/>
      <c r="I838" s="65" t="str"/>
      <c r="J838" s="66" t="str"/>
      <c r="K838" s="67" t="str"/>
      <c r="L838" s="41" t="str"/>
      <c r="M838" s="41" t="str"/>
      <c r="N838" s="66" t="str"/>
      <c r="O838" s="67" t="str"/>
      <c r="P838" s="41" t="str"/>
      <c r="Q838" s="41" t="str"/>
      <c r="R838" s="66" t="str"/>
      <c r="S838" s="67" t="str"/>
      <c r="T838" s="41" t="str"/>
      <c r="U838" s="41" t="str"/>
      <c r="V838" s="66" t="str"/>
      <c r="W838" s="67" t="str"/>
    </row>
    <row r="839">
      <c r="B839" s="2">
        <f>IF(STUDENTS!B838="","",STUDENTS!B838)</f>
        <v/>
      </c>
      <c r="C839" s="44">
        <f>IFERROR(IF(B839="","",_xlfn.XLOOKUP(B839,STUDENTS!$B$3:$B$1048576,STUDENTS!$C$3:$C$1048576)),"Enter a registered reg. no")</f>
        <v/>
      </c>
      <c r="D839" s="52">
        <f t="array" ref="D839:W839">IF(All_Students_Scores!C837:V837="","",All_Students_Scores!C837:V837)</f>
        <v/>
      </c>
      <c r="E839" s="55" t="str"/>
      <c r="F839" s="48" t="str"/>
      <c r="G839" s="58" t="str"/>
      <c r="H839" s="62" t="str"/>
      <c r="I839" s="63" t="str"/>
      <c r="J839" s="48" t="str"/>
      <c r="K839" s="58" t="str"/>
      <c r="L839" s="42" t="str"/>
      <c r="M839" s="42" t="str"/>
      <c r="N839" s="48" t="str"/>
      <c r="O839" s="58" t="str"/>
      <c r="P839" s="42" t="str"/>
      <c r="Q839" s="42" t="str"/>
      <c r="R839" s="48" t="str"/>
      <c r="S839" s="58" t="str"/>
      <c r="T839" s="42" t="str"/>
      <c r="U839" s="42" t="str"/>
      <c r="V839" s="48" t="str"/>
      <c r="W839" s="58" t="str"/>
      <c r="X839" s="42" t="n"/>
      <c r="Y839" s="42" t="n"/>
    </row>
    <row r="840">
      <c r="B840" s="2">
        <f>IF(STUDENTS!B839="","",STUDENTS!B839)</f>
        <v/>
      </c>
      <c r="C840" s="44">
        <f>IFERROR(IF(B840="","",_xlfn.XLOOKUP(B840,STUDENTS!$B$3:$B$1048576,STUDENTS!$C$3:$C$1048576)),"Enter a registered reg. no")</f>
        <v/>
      </c>
      <c r="D840" s="52">
        <f t="array" ref="D840:W840">IF(All_Students_Scores!C838:V838="","",All_Students_Scores!C838:V838)</f>
        <v/>
      </c>
      <c r="E840" s="57" t="str"/>
      <c r="F840" s="66" t="str"/>
      <c r="G840" s="67" t="str"/>
      <c r="H840" s="64" t="str"/>
      <c r="I840" s="65" t="str"/>
      <c r="J840" s="66" t="str"/>
      <c r="K840" s="67" t="str"/>
      <c r="L840" s="41" t="str"/>
      <c r="M840" s="41" t="str"/>
      <c r="N840" s="66" t="str"/>
      <c r="O840" s="67" t="str"/>
      <c r="P840" s="41" t="str"/>
      <c r="Q840" s="41" t="str"/>
      <c r="R840" s="66" t="str"/>
      <c r="S840" s="67" t="str"/>
      <c r="T840" s="41" t="str"/>
      <c r="U840" s="41" t="str"/>
      <c r="V840" s="66" t="str"/>
      <c r="W840" s="67" t="str"/>
    </row>
    <row r="841">
      <c r="B841" s="2">
        <f>IF(STUDENTS!B840="","",STUDENTS!B840)</f>
        <v/>
      </c>
      <c r="C841" s="44">
        <f>IFERROR(IF(B841="","",_xlfn.XLOOKUP(B841,STUDENTS!$B$3:$B$1048576,STUDENTS!$C$3:$C$1048576)),"Enter a registered reg. no")</f>
        <v/>
      </c>
      <c r="D841" s="52">
        <f t="array" ref="D841:W841">IF(All_Students_Scores!C839:V839="","",All_Students_Scores!C839:V839)</f>
        <v/>
      </c>
      <c r="E841" s="55" t="str"/>
      <c r="F841" s="48" t="str"/>
      <c r="G841" s="58" t="str"/>
      <c r="H841" s="62" t="str"/>
      <c r="I841" s="63" t="str"/>
      <c r="J841" s="48" t="str"/>
      <c r="K841" s="58" t="str"/>
      <c r="L841" s="42" t="str"/>
      <c r="M841" s="42" t="str"/>
      <c r="N841" s="48" t="str"/>
      <c r="O841" s="58" t="str"/>
      <c r="P841" s="42" t="str"/>
      <c r="Q841" s="42" t="str"/>
      <c r="R841" s="48" t="str"/>
      <c r="S841" s="58" t="str"/>
      <c r="T841" s="42" t="str"/>
      <c r="U841" s="42" t="str"/>
      <c r="V841" s="48" t="str"/>
      <c r="W841" s="58" t="str"/>
      <c r="X841" s="42" t="n"/>
      <c r="Y841" s="42" t="n"/>
    </row>
    <row r="842">
      <c r="B842" s="2">
        <f>IF(STUDENTS!B841="","",STUDENTS!B841)</f>
        <v/>
      </c>
      <c r="C842" s="44">
        <f>IFERROR(IF(B842="","",_xlfn.XLOOKUP(B842,STUDENTS!$B$3:$B$1048576,STUDENTS!$C$3:$C$1048576)),"Enter a registered reg. no")</f>
        <v/>
      </c>
      <c r="D842" s="52">
        <f t="array" ref="D842:W842">IF(All_Students_Scores!C840:V840="","",All_Students_Scores!C840:V840)</f>
        <v/>
      </c>
      <c r="E842" s="57" t="str"/>
      <c r="F842" s="66" t="str"/>
      <c r="G842" s="67" t="str"/>
      <c r="H842" s="64" t="str"/>
      <c r="I842" s="65" t="str"/>
      <c r="J842" s="66" t="str"/>
      <c r="K842" s="67" t="str"/>
      <c r="L842" s="41" t="str"/>
      <c r="M842" s="41" t="str"/>
      <c r="N842" s="66" t="str"/>
      <c r="O842" s="67" t="str"/>
      <c r="P842" s="41" t="str"/>
      <c r="Q842" s="41" t="str"/>
      <c r="R842" s="66" t="str"/>
      <c r="S842" s="67" t="str"/>
      <c r="T842" s="41" t="str"/>
      <c r="U842" s="41" t="str"/>
      <c r="V842" s="66" t="str"/>
      <c r="W842" s="67" t="str"/>
    </row>
    <row r="843">
      <c r="B843" s="2">
        <f>IF(STUDENTS!B842="","",STUDENTS!B842)</f>
        <v/>
      </c>
      <c r="C843" s="44">
        <f>IFERROR(IF(B843="","",_xlfn.XLOOKUP(B843,STUDENTS!$B$3:$B$1048576,STUDENTS!$C$3:$C$1048576)),"Enter a registered reg. no")</f>
        <v/>
      </c>
      <c r="D843" s="52">
        <f t="array" ref="D843:W843">IF(All_Students_Scores!C841:V841="","",All_Students_Scores!C841:V841)</f>
        <v/>
      </c>
      <c r="E843" s="55" t="str"/>
      <c r="F843" s="48" t="str"/>
      <c r="G843" s="58" t="str"/>
      <c r="H843" s="62" t="str"/>
      <c r="I843" s="63" t="str"/>
      <c r="J843" s="48" t="str"/>
      <c r="K843" s="58" t="str"/>
      <c r="L843" s="42" t="str"/>
      <c r="M843" s="42" t="str"/>
      <c r="N843" s="48" t="str"/>
      <c r="O843" s="58" t="str"/>
      <c r="P843" s="42" t="str"/>
      <c r="Q843" s="42" t="str"/>
      <c r="R843" s="48" t="str"/>
      <c r="S843" s="58" t="str"/>
      <c r="T843" s="42" t="str"/>
      <c r="U843" s="42" t="str"/>
      <c r="V843" s="48" t="str"/>
      <c r="W843" s="58" t="str"/>
      <c r="X843" s="42" t="n"/>
      <c r="Y843" s="42" t="n"/>
    </row>
    <row r="844">
      <c r="B844" s="2">
        <f>IF(STUDENTS!B843="","",STUDENTS!B843)</f>
        <v/>
      </c>
      <c r="C844" s="44">
        <f>IFERROR(IF(B844="","",_xlfn.XLOOKUP(B844,STUDENTS!$B$3:$B$1048576,STUDENTS!$C$3:$C$1048576)),"Enter a registered reg. no")</f>
        <v/>
      </c>
      <c r="D844" s="52">
        <f t="array" ref="D844:W844">IF(All_Students_Scores!C842:V842="","",All_Students_Scores!C842:V842)</f>
        <v/>
      </c>
      <c r="E844" s="57" t="str"/>
      <c r="F844" s="66" t="str"/>
      <c r="G844" s="67" t="str"/>
      <c r="H844" s="64" t="str"/>
      <c r="I844" s="65" t="str"/>
      <c r="J844" s="66" t="str"/>
      <c r="K844" s="67" t="str"/>
      <c r="L844" s="41" t="str"/>
      <c r="M844" s="41" t="str"/>
      <c r="N844" s="66" t="str"/>
      <c r="O844" s="67" t="str"/>
      <c r="P844" s="41" t="str"/>
      <c r="Q844" s="41" t="str"/>
      <c r="R844" s="66" t="str"/>
      <c r="S844" s="67" t="str"/>
      <c r="T844" s="41" t="str"/>
      <c r="U844" s="41" t="str"/>
      <c r="V844" s="66" t="str"/>
      <c r="W844" s="67" t="str"/>
    </row>
    <row r="845">
      <c r="B845" s="2">
        <f>IF(STUDENTS!B844="","",STUDENTS!B844)</f>
        <v/>
      </c>
      <c r="C845" s="44">
        <f>IFERROR(IF(B845="","",_xlfn.XLOOKUP(B845,STUDENTS!$B$3:$B$1048576,STUDENTS!$C$3:$C$1048576)),"Enter a registered reg. no")</f>
        <v/>
      </c>
      <c r="D845" s="52">
        <f t="array" ref="D845:W845">IF(All_Students_Scores!C843:V843="","",All_Students_Scores!C843:V843)</f>
        <v/>
      </c>
      <c r="E845" s="55" t="str"/>
      <c r="F845" s="48" t="str"/>
      <c r="G845" s="58" t="str"/>
      <c r="H845" s="62" t="str"/>
      <c r="I845" s="63" t="str"/>
      <c r="J845" s="48" t="str"/>
      <c r="K845" s="58" t="str"/>
      <c r="L845" s="42" t="str"/>
      <c r="M845" s="42" t="str"/>
      <c r="N845" s="48" t="str"/>
      <c r="O845" s="58" t="str"/>
      <c r="P845" s="42" t="str"/>
      <c r="Q845" s="42" t="str"/>
      <c r="R845" s="48" t="str"/>
      <c r="S845" s="58" t="str"/>
      <c r="T845" s="42" t="str"/>
      <c r="U845" s="42" t="str"/>
      <c r="V845" s="48" t="str"/>
      <c r="W845" s="58" t="str"/>
      <c r="X845" s="42" t="n"/>
      <c r="Y845" s="42" t="n"/>
    </row>
    <row r="846">
      <c r="B846" s="2">
        <f>IF(STUDENTS!B845="","",STUDENTS!B845)</f>
        <v/>
      </c>
      <c r="C846" s="44">
        <f>IFERROR(IF(B846="","",_xlfn.XLOOKUP(B846,STUDENTS!$B$3:$B$1048576,STUDENTS!$C$3:$C$1048576)),"Enter a registered reg. no")</f>
        <v/>
      </c>
      <c r="D846" s="52">
        <f t="array" ref="D846:W846">IF(All_Students_Scores!C844:V844="","",All_Students_Scores!C844:V844)</f>
        <v/>
      </c>
      <c r="E846" s="57" t="str"/>
      <c r="F846" s="66" t="str"/>
      <c r="G846" s="67" t="str"/>
      <c r="H846" s="64" t="str"/>
      <c r="I846" s="65" t="str"/>
      <c r="J846" s="66" t="str"/>
      <c r="K846" s="67" t="str"/>
      <c r="L846" s="41" t="str"/>
      <c r="M846" s="41" t="str"/>
      <c r="N846" s="66" t="str"/>
      <c r="O846" s="67" t="str"/>
      <c r="P846" s="41" t="str"/>
      <c r="Q846" s="41" t="str"/>
      <c r="R846" s="66" t="str"/>
      <c r="S846" s="67" t="str"/>
      <c r="T846" s="41" t="str"/>
      <c r="U846" s="41" t="str"/>
      <c r="V846" s="66" t="str"/>
      <c r="W846" s="67" t="str"/>
    </row>
    <row r="847">
      <c r="B847" s="2">
        <f>IF(STUDENTS!B846="","",STUDENTS!B846)</f>
        <v/>
      </c>
      <c r="C847" s="44">
        <f>IFERROR(IF(B847="","",_xlfn.XLOOKUP(B847,STUDENTS!$B$3:$B$1048576,STUDENTS!$C$3:$C$1048576)),"Enter a registered reg. no")</f>
        <v/>
      </c>
      <c r="D847" s="52">
        <f t="array" ref="D847:W847">IF(All_Students_Scores!C845:V845="","",All_Students_Scores!C845:V845)</f>
        <v/>
      </c>
      <c r="E847" s="55" t="str"/>
      <c r="F847" s="48" t="str"/>
      <c r="G847" s="58" t="str"/>
      <c r="H847" s="62" t="str"/>
      <c r="I847" s="63" t="str"/>
      <c r="J847" s="48" t="str"/>
      <c r="K847" s="58" t="str"/>
      <c r="L847" s="42" t="str"/>
      <c r="M847" s="42" t="str"/>
      <c r="N847" s="48" t="str"/>
      <c r="O847" s="58" t="str"/>
      <c r="P847" s="42" t="str"/>
      <c r="Q847" s="42" t="str"/>
      <c r="R847" s="48" t="str"/>
      <c r="S847" s="58" t="str"/>
      <c r="T847" s="42" t="str"/>
      <c r="U847" s="42" t="str"/>
      <c r="V847" s="48" t="str"/>
      <c r="W847" s="58" t="str"/>
      <c r="X847" s="42" t="n"/>
      <c r="Y847" s="42" t="n"/>
    </row>
    <row r="848">
      <c r="B848" s="2">
        <f>IF(STUDENTS!B847="","",STUDENTS!B847)</f>
        <v/>
      </c>
      <c r="C848" s="44">
        <f>IFERROR(IF(B848="","",_xlfn.XLOOKUP(B848,STUDENTS!$B$3:$B$1048576,STUDENTS!$C$3:$C$1048576)),"Enter a registered reg. no")</f>
        <v/>
      </c>
      <c r="D848" s="52">
        <f t="array" ref="D848:W848">IF(All_Students_Scores!C846:V846="","",All_Students_Scores!C846:V846)</f>
        <v/>
      </c>
      <c r="E848" s="57" t="str"/>
      <c r="F848" s="66" t="str"/>
      <c r="G848" s="67" t="str"/>
      <c r="H848" s="64" t="str"/>
      <c r="I848" s="65" t="str"/>
      <c r="J848" s="66" t="str"/>
      <c r="K848" s="67" t="str"/>
      <c r="L848" s="41" t="str"/>
      <c r="M848" s="41" t="str"/>
      <c r="N848" s="66" t="str"/>
      <c r="O848" s="67" t="str"/>
      <c r="P848" s="41" t="str"/>
      <c r="Q848" s="41" t="str"/>
      <c r="R848" s="66" t="str"/>
      <c r="S848" s="67" t="str"/>
      <c r="T848" s="41" t="str"/>
      <c r="U848" s="41" t="str"/>
      <c r="V848" s="66" t="str"/>
      <c r="W848" s="67" t="str"/>
    </row>
    <row r="849">
      <c r="B849" s="2">
        <f>IF(STUDENTS!B848="","",STUDENTS!B848)</f>
        <v/>
      </c>
      <c r="C849" s="44">
        <f>IFERROR(IF(B849="","",_xlfn.XLOOKUP(B849,STUDENTS!$B$3:$B$1048576,STUDENTS!$C$3:$C$1048576)),"Enter a registered reg. no")</f>
        <v/>
      </c>
      <c r="D849" s="52">
        <f t="array" ref="D849:W849">IF(All_Students_Scores!C847:V847="","",All_Students_Scores!C847:V847)</f>
        <v/>
      </c>
      <c r="E849" s="55" t="str"/>
      <c r="F849" s="48" t="str"/>
      <c r="G849" s="58" t="str"/>
      <c r="H849" s="62" t="str"/>
      <c r="I849" s="63" t="str"/>
      <c r="J849" s="48" t="str"/>
      <c r="K849" s="58" t="str"/>
      <c r="L849" s="42" t="str"/>
      <c r="M849" s="42" t="str"/>
      <c r="N849" s="48" t="str"/>
      <c r="O849" s="58" t="str"/>
      <c r="P849" s="42" t="str"/>
      <c r="Q849" s="42" t="str"/>
      <c r="R849" s="48" t="str"/>
      <c r="S849" s="58" t="str"/>
      <c r="T849" s="42" t="str"/>
      <c r="U849" s="42" t="str"/>
      <c r="V849" s="48" t="str"/>
      <c r="W849" s="58" t="str"/>
      <c r="X849" s="42" t="n"/>
      <c r="Y849" s="42" t="n"/>
    </row>
    <row r="850">
      <c r="B850" s="2">
        <f>IF(STUDENTS!B849="","",STUDENTS!B849)</f>
        <v/>
      </c>
      <c r="C850" s="44">
        <f>IFERROR(IF(B850="","",_xlfn.XLOOKUP(B850,STUDENTS!$B$3:$B$1048576,STUDENTS!$C$3:$C$1048576)),"Enter a registered reg. no")</f>
        <v/>
      </c>
      <c r="D850" s="52">
        <f t="array" ref="D850:W850">IF(All_Students_Scores!C848:V848="","",All_Students_Scores!C848:V848)</f>
        <v/>
      </c>
      <c r="E850" s="57" t="str"/>
      <c r="F850" s="66" t="str"/>
      <c r="G850" s="67" t="str"/>
      <c r="H850" s="64" t="str"/>
      <c r="I850" s="65" t="str"/>
      <c r="J850" s="66" t="str"/>
      <c r="K850" s="67" t="str"/>
      <c r="L850" s="41" t="str"/>
      <c r="M850" s="41" t="str"/>
      <c r="N850" s="66" t="str"/>
      <c r="O850" s="67" t="str"/>
      <c r="P850" s="41" t="str"/>
      <c r="Q850" s="41" t="str"/>
      <c r="R850" s="66" t="str"/>
      <c r="S850" s="67" t="str"/>
      <c r="T850" s="41" t="str"/>
      <c r="U850" s="41" t="str"/>
      <c r="V850" s="66" t="str"/>
      <c r="W850" s="67" t="str"/>
    </row>
    <row r="851">
      <c r="B851" s="2">
        <f>IF(STUDENTS!B850="","",STUDENTS!B850)</f>
        <v/>
      </c>
      <c r="C851" s="44">
        <f>IFERROR(IF(B851="","",_xlfn.XLOOKUP(B851,STUDENTS!$B$3:$B$1048576,STUDENTS!$C$3:$C$1048576)),"Enter a registered reg. no")</f>
        <v/>
      </c>
      <c r="D851" s="52">
        <f t="array" ref="D851:W851">IF(All_Students_Scores!C849:V849="","",All_Students_Scores!C849:V849)</f>
        <v/>
      </c>
      <c r="E851" s="55" t="str"/>
      <c r="F851" s="48" t="str"/>
      <c r="G851" s="58" t="str"/>
      <c r="H851" s="62" t="str"/>
      <c r="I851" s="63" t="str"/>
      <c r="J851" s="48" t="str"/>
      <c r="K851" s="58" t="str"/>
      <c r="L851" s="42" t="str"/>
      <c r="M851" s="42" t="str"/>
      <c r="N851" s="48" t="str"/>
      <c r="O851" s="58" t="str"/>
      <c r="P851" s="42" t="str"/>
      <c r="Q851" s="42" t="str"/>
      <c r="R851" s="48" t="str"/>
      <c r="S851" s="58" t="str"/>
      <c r="T851" s="42" t="str"/>
      <c r="U851" s="42" t="str"/>
      <c r="V851" s="48" t="str"/>
      <c r="W851" s="58" t="str"/>
      <c r="X851" s="42" t="n"/>
      <c r="Y851" s="42" t="n"/>
    </row>
    <row r="852">
      <c r="B852" s="2">
        <f>IF(STUDENTS!B851="","",STUDENTS!B851)</f>
        <v/>
      </c>
      <c r="C852" s="44">
        <f>IFERROR(IF(B852="","",_xlfn.XLOOKUP(B852,STUDENTS!$B$3:$B$1048576,STUDENTS!$C$3:$C$1048576)),"Enter a registered reg. no")</f>
        <v/>
      </c>
      <c r="D852" s="52">
        <f t="array" ref="D852:W852">IF(All_Students_Scores!C850:V850="","",All_Students_Scores!C850:V850)</f>
        <v/>
      </c>
      <c r="E852" s="57" t="str"/>
      <c r="F852" s="66" t="str"/>
      <c r="G852" s="67" t="str"/>
      <c r="H852" s="64" t="str"/>
      <c r="I852" s="65" t="str"/>
      <c r="J852" s="66" t="str"/>
      <c r="K852" s="67" t="str"/>
      <c r="L852" s="41" t="str"/>
      <c r="M852" s="41" t="str"/>
      <c r="N852" s="66" t="str"/>
      <c r="O852" s="67" t="str"/>
      <c r="P852" s="41" t="str"/>
      <c r="Q852" s="41" t="str"/>
      <c r="R852" s="66" t="str"/>
      <c r="S852" s="67" t="str"/>
      <c r="T852" s="41" t="str"/>
      <c r="U852" s="41" t="str"/>
      <c r="V852" s="66" t="str"/>
      <c r="W852" s="67" t="str"/>
    </row>
    <row r="853">
      <c r="B853" s="2">
        <f>IF(STUDENTS!B852="","",STUDENTS!B852)</f>
        <v/>
      </c>
      <c r="C853" s="44">
        <f>IFERROR(IF(B853="","",_xlfn.XLOOKUP(B853,STUDENTS!$B$3:$B$1048576,STUDENTS!$C$3:$C$1048576)),"Enter a registered reg. no")</f>
        <v/>
      </c>
      <c r="D853" s="52">
        <f t="array" ref="D853:W853">IF(All_Students_Scores!C851:V851="","",All_Students_Scores!C851:V851)</f>
        <v/>
      </c>
      <c r="E853" s="55" t="str"/>
      <c r="F853" s="48" t="str"/>
      <c r="G853" s="58" t="str"/>
      <c r="H853" s="62" t="str"/>
      <c r="I853" s="63" t="str"/>
      <c r="J853" s="48" t="str"/>
      <c r="K853" s="58" t="str"/>
      <c r="L853" s="42" t="str"/>
      <c r="M853" s="42" t="str"/>
      <c r="N853" s="48" t="str"/>
      <c r="O853" s="58" t="str"/>
      <c r="P853" s="42" t="str"/>
      <c r="Q853" s="42" t="str"/>
      <c r="R853" s="48" t="str"/>
      <c r="S853" s="58" t="str"/>
      <c r="T853" s="42" t="str"/>
      <c r="U853" s="42" t="str"/>
      <c r="V853" s="48" t="str"/>
      <c r="W853" s="58" t="str"/>
      <c r="X853" s="42" t="n"/>
      <c r="Y853" s="42" t="n"/>
    </row>
    <row r="854">
      <c r="B854" s="2">
        <f>IF(STUDENTS!B853="","",STUDENTS!B853)</f>
        <v/>
      </c>
      <c r="C854" s="44">
        <f>IFERROR(IF(B854="","",_xlfn.XLOOKUP(B854,STUDENTS!$B$3:$B$1048576,STUDENTS!$C$3:$C$1048576)),"Enter a registered reg. no")</f>
        <v/>
      </c>
      <c r="D854" s="52">
        <f t="array" ref="D854:W854">IF(All_Students_Scores!C852:V852="","",All_Students_Scores!C852:V852)</f>
        <v/>
      </c>
      <c r="E854" s="57" t="str"/>
      <c r="F854" s="66" t="str"/>
      <c r="G854" s="67" t="str"/>
      <c r="H854" s="64" t="str"/>
      <c r="I854" s="65" t="str"/>
      <c r="J854" s="66" t="str"/>
      <c r="K854" s="67" t="str"/>
      <c r="L854" s="41" t="str"/>
      <c r="M854" s="41" t="str"/>
      <c r="N854" s="66" t="str"/>
      <c r="O854" s="67" t="str"/>
      <c r="P854" s="41" t="str"/>
      <c r="Q854" s="41" t="str"/>
      <c r="R854" s="66" t="str"/>
      <c r="S854" s="67" t="str"/>
      <c r="T854" s="41" t="str"/>
      <c r="U854" s="41" t="str"/>
      <c r="V854" s="66" t="str"/>
      <c r="W854" s="67" t="str"/>
    </row>
    <row r="855">
      <c r="B855" s="2">
        <f>IF(STUDENTS!B854="","",STUDENTS!B854)</f>
        <v/>
      </c>
      <c r="C855" s="44">
        <f>IFERROR(IF(B855="","",_xlfn.XLOOKUP(B855,STUDENTS!$B$3:$B$1048576,STUDENTS!$C$3:$C$1048576)),"Enter a registered reg. no")</f>
        <v/>
      </c>
      <c r="D855" s="52">
        <f t="array" ref="D855:W855">IF(All_Students_Scores!C853:V853="","",All_Students_Scores!C853:V853)</f>
        <v/>
      </c>
      <c r="E855" s="55" t="str"/>
      <c r="F855" s="48" t="str"/>
      <c r="G855" s="58" t="str"/>
      <c r="H855" s="62" t="str"/>
      <c r="I855" s="63" t="str"/>
      <c r="J855" s="48" t="str"/>
      <c r="K855" s="58" t="str"/>
      <c r="L855" s="42" t="str"/>
      <c r="M855" s="42" t="str"/>
      <c r="N855" s="48" t="str"/>
      <c r="O855" s="58" t="str"/>
      <c r="P855" s="42" t="str"/>
      <c r="Q855" s="42" t="str"/>
      <c r="R855" s="48" t="str"/>
      <c r="S855" s="58" t="str"/>
      <c r="T855" s="42" t="str"/>
      <c r="U855" s="42" t="str"/>
      <c r="V855" s="48" t="str"/>
      <c r="W855" s="58" t="str"/>
      <c r="X855" s="42" t="n"/>
      <c r="Y855" s="42" t="n"/>
    </row>
    <row r="856">
      <c r="B856" s="2">
        <f>IF(STUDENTS!B855="","",STUDENTS!B855)</f>
        <v/>
      </c>
      <c r="C856" s="44">
        <f>IFERROR(IF(B856="","",_xlfn.XLOOKUP(B856,STUDENTS!$B$3:$B$1048576,STUDENTS!$C$3:$C$1048576)),"Enter a registered reg. no")</f>
        <v/>
      </c>
      <c r="D856" s="52">
        <f t="array" ref="D856:W856">IF(All_Students_Scores!C854:V854="","",All_Students_Scores!C854:V854)</f>
        <v/>
      </c>
      <c r="E856" s="57" t="str"/>
      <c r="F856" s="66" t="str"/>
      <c r="G856" s="67" t="str"/>
      <c r="H856" s="64" t="str"/>
      <c r="I856" s="65" t="str"/>
      <c r="J856" s="66" t="str"/>
      <c r="K856" s="67" t="str"/>
      <c r="L856" s="41" t="str"/>
      <c r="M856" s="41" t="str"/>
      <c r="N856" s="66" t="str"/>
      <c r="O856" s="67" t="str"/>
      <c r="P856" s="41" t="str"/>
      <c r="Q856" s="41" t="str"/>
      <c r="R856" s="66" t="str"/>
      <c r="S856" s="67" t="str"/>
      <c r="T856" s="41" t="str"/>
      <c r="U856" s="41" t="str"/>
      <c r="V856" s="66" t="str"/>
      <c r="W856" s="67" t="str"/>
    </row>
    <row r="857">
      <c r="B857" s="2">
        <f>IF(STUDENTS!B856="","",STUDENTS!B856)</f>
        <v/>
      </c>
      <c r="C857" s="44">
        <f>IFERROR(IF(B857="","",_xlfn.XLOOKUP(B857,STUDENTS!$B$3:$B$1048576,STUDENTS!$C$3:$C$1048576)),"Enter a registered reg. no")</f>
        <v/>
      </c>
      <c r="D857" s="52">
        <f t="array" ref="D857:W857">IF(All_Students_Scores!C855:V855="","",All_Students_Scores!C855:V855)</f>
        <v/>
      </c>
      <c r="E857" s="55" t="str"/>
      <c r="F857" s="48" t="str"/>
      <c r="G857" s="58" t="str"/>
      <c r="H857" s="62" t="str"/>
      <c r="I857" s="63" t="str"/>
      <c r="J857" s="48" t="str"/>
      <c r="K857" s="58" t="str"/>
      <c r="L857" s="42" t="str"/>
      <c r="M857" s="42" t="str"/>
      <c r="N857" s="48" t="str"/>
      <c r="O857" s="58" t="str"/>
      <c r="P857" s="42" t="str"/>
      <c r="Q857" s="42" t="str"/>
      <c r="R857" s="48" t="str"/>
      <c r="S857" s="58" t="str"/>
      <c r="T857" s="42" t="str"/>
      <c r="U857" s="42" t="str"/>
      <c r="V857" s="48" t="str"/>
      <c r="W857" s="58" t="str"/>
      <c r="X857" s="42" t="n"/>
      <c r="Y857" s="42" t="n"/>
    </row>
    <row r="858">
      <c r="B858" s="2">
        <f>IF(STUDENTS!B857="","",STUDENTS!B857)</f>
        <v/>
      </c>
      <c r="C858" s="44">
        <f>IFERROR(IF(B858="","",_xlfn.XLOOKUP(B858,STUDENTS!$B$3:$B$1048576,STUDENTS!$C$3:$C$1048576)),"Enter a registered reg. no")</f>
        <v/>
      </c>
      <c r="D858" s="52">
        <f t="array" ref="D858:W858">IF(All_Students_Scores!C856:V856="","",All_Students_Scores!C856:V856)</f>
        <v/>
      </c>
      <c r="E858" s="57" t="str"/>
      <c r="F858" s="66" t="str"/>
      <c r="G858" s="67" t="str"/>
      <c r="H858" s="64" t="str"/>
      <c r="I858" s="65" t="str"/>
      <c r="J858" s="66" t="str"/>
      <c r="K858" s="67" t="str"/>
      <c r="L858" s="41" t="str"/>
      <c r="M858" s="41" t="str"/>
      <c r="N858" s="66" t="str"/>
      <c r="O858" s="67" t="str"/>
      <c r="P858" s="41" t="str"/>
      <c r="Q858" s="41" t="str"/>
      <c r="R858" s="66" t="str"/>
      <c r="S858" s="67" t="str"/>
      <c r="T858" s="41" t="str"/>
      <c r="U858" s="41" t="str"/>
      <c r="V858" s="66" t="str"/>
      <c r="W858" s="67" t="str"/>
    </row>
    <row r="859">
      <c r="B859" s="2">
        <f>IF(STUDENTS!B858="","",STUDENTS!B858)</f>
        <v/>
      </c>
      <c r="C859" s="44">
        <f>IFERROR(IF(B859="","",_xlfn.XLOOKUP(B859,STUDENTS!$B$3:$B$1048576,STUDENTS!$C$3:$C$1048576)),"Enter a registered reg. no")</f>
        <v/>
      </c>
      <c r="D859" s="52">
        <f t="array" ref="D859:W859">IF(All_Students_Scores!C857:V857="","",All_Students_Scores!C857:V857)</f>
        <v/>
      </c>
      <c r="E859" s="55" t="str"/>
      <c r="F859" s="48" t="str"/>
      <c r="G859" s="58" t="str"/>
      <c r="H859" s="62" t="str"/>
      <c r="I859" s="63" t="str"/>
      <c r="J859" s="48" t="str"/>
      <c r="K859" s="58" t="str"/>
      <c r="L859" s="42" t="str"/>
      <c r="M859" s="42" t="str"/>
      <c r="N859" s="48" t="str"/>
      <c r="O859" s="58" t="str"/>
      <c r="P859" s="42" t="str"/>
      <c r="Q859" s="42" t="str"/>
      <c r="R859" s="48" t="str"/>
      <c r="S859" s="58" t="str"/>
      <c r="T859" s="42" t="str"/>
      <c r="U859" s="42" t="str"/>
      <c r="V859" s="48" t="str"/>
      <c r="W859" s="58" t="str"/>
      <c r="X859" s="42" t="n"/>
      <c r="Y859" s="42" t="n"/>
    </row>
    <row r="860">
      <c r="B860" s="2">
        <f>IF(STUDENTS!B859="","",STUDENTS!B859)</f>
        <v/>
      </c>
      <c r="C860" s="44">
        <f>IFERROR(IF(B860="","",_xlfn.XLOOKUP(B860,STUDENTS!$B$3:$B$1048576,STUDENTS!$C$3:$C$1048576)),"Enter a registered reg. no")</f>
        <v/>
      </c>
      <c r="D860" s="52">
        <f t="array" ref="D860:W860">IF(All_Students_Scores!C858:V858="","",All_Students_Scores!C858:V858)</f>
        <v/>
      </c>
      <c r="E860" s="57" t="str"/>
      <c r="F860" s="66" t="str"/>
      <c r="G860" s="67" t="str"/>
      <c r="H860" s="64" t="str"/>
      <c r="I860" s="65" t="str"/>
      <c r="J860" s="66" t="str"/>
      <c r="K860" s="67" t="str"/>
      <c r="L860" s="41" t="str"/>
      <c r="M860" s="41" t="str"/>
      <c r="N860" s="66" t="str"/>
      <c r="O860" s="67" t="str"/>
      <c r="P860" s="41" t="str"/>
      <c r="Q860" s="41" t="str"/>
      <c r="R860" s="66" t="str"/>
      <c r="S860" s="67" t="str"/>
      <c r="T860" s="41" t="str"/>
      <c r="U860" s="41" t="str"/>
      <c r="V860" s="66" t="str"/>
      <c r="W860" s="67" t="str"/>
    </row>
    <row r="861">
      <c r="B861" s="2">
        <f>IF(STUDENTS!B860="","",STUDENTS!B860)</f>
        <v/>
      </c>
      <c r="C861" s="44">
        <f>IFERROR(IF(B861="","",_xlfn.XLOOKUP(B861,STUDENTS!$B$3:$B$1048576,STUDENTS!$C$3:$C$1048576)),"Enter a registered reg. no")</f>
        <v/>
      </c>
      <c r="D861" s="52">
        <f t="array" ref="D861:W861">IF(All_Students_Scores!C859:V859="","",All_Students_Scores!C859:V859)</f>
        <v/>
      </c>
      <c r="E861" s="55" t="str"/>
      <c r="F861" s="48" t="str"/>
      <c r="G861" s="58" t="str"/>
      <c r="H861" s="62" t="str"/>
      <c r="I861" s="63" t="str"/>
      <c r="J861" s="48" t="str"/>
      <c r="K861" s="58" t="str"/>
      <c r="L861" s="42" t="str"/>
      <c r="M861" s="42" t="str"/>
      <c r="N861" s="48" t="str"/>
      <c r="O861" s="58" t="str"/>
      <c r="P861" s="42" t="str"/>
      <c r="Q861" s="42" t="str"/>
      <c r="R861" s="48" t="str"/>
      <c r="S861" s="58" t="str"/>
      <c r="T861" s="42" t="str"/>
      <c r="U861" s="42" t="str"/>
      <c r="V861" s="48" t="str"/>
      <c r="W861" s="58" t="str"/>
      <c r="X861" s="42" t="n"/>
      <c r="Y861" s="42" t="n"/>
    </row>
    <row r="862">
      <c r="B862" s="2">
        <f>IF(STUDENTS!B861="","",STUDENTS!B861)</f>
        <v/>
      </c>
      <c r="C862" s="44">
        <f>IFERROR(IF(B862="","",_xlfn.XLOOKUP(B862,STUDENTS!$B$3:$B$1048576,STUDENTS!$C$3:$C$1048576)),"Enter a registered reg. no")</f>
        <v/>
      </c>
      <c r="D862" s="52">
        <f t="array" ref="D862:W862">IF(All_Students_Scores!C860:V860="","",All_Students_Scores!C860:V860)</f>
        <v/>
      </c>
      <c r="E862" s="57" t="str"/>
      <c r="F862" s="66" t="str"/>
      <c r="G862" s="67" t="str"/>
      <c r="H862" s="64" t="str"/>
      <c r="I862" s="65" t="str"/>
      <c r="J862" s="66" t="str"/>
      <c r="K862" s="67" t="str"/>
      <c r="L862" s="41" t="str"/>
      <c r="M862" s="41" t="str"/>
      <c r="N862" s="66" t="str"/>
      <c r="O862" s="67" t="str"/>
      <c r="P862" s="41" t="str"/>
      <c r="Q862" s="41" t="str"/>
      <c r="R862" s="66" t="str"/>
      <c r="S862" s="67" t="str"/>
      <c r="T862" s="41" t="str"/>
      <c r="U862" s="41" t="str"/>
      <c r="V862" s="66" t="str"/>
      <c r="W862" s="67" t="str"/>
    </row>
    <row r="863">
      <c r="B863" s="2">
        <f>IF(STUDENTS!B862="","",STUDENTS!B862)</f>
        <v/>
      </c>
      <c r="C863" s="44">
        <f>IFERROR(IF(B863="","",_xlfn.XLOOKUP(B863,STUDENTS!$B$3:$B$1048576,STUDENTS!$C$3:$C$1048576)),"Enter a registered reg. no")</f>
        <v/>
      </c>
      <c r="D863" s="52">
        <f t="array" ref="D863:W863">IF(All_Students_Scores!C861:V861="","",All_Students_Scores!C861:V861)</f>
        <v/>
      </c>
      <c r="E863" s="55" t="str"/>
      <c r="F863" s="48" t="str"/>
      <c r="G863" s="58" t="str"/>
      <c r="H863" s="62" t="str"/>
      <c r="I863" s="63" t="str"/>
      <c r="J863" s="48" t="str"/>
      <c r="K863" s="58" t="str"/>
      <c r="L863" s="42" t="str"/>
      <c r="M863" s="42" t="str"/>
      <c r="N863" s="48" t="str"/>
      <c r="O863" s="58" t="str"/>
      <c r="P863" s="42" t="str"/>
      <c r="Q863" s="42" t="str"/>
      <c r="R863" s="48" t="str"/>
      <c r="S863" s="58" t="str"/>
      <c r="T863" s="42" t="str"/>
      <c r="U863" s="42" t="str"/>
      <c r="V863" s="48" t="str"/>
      <c r="W863" s="58" t="str"/>
      <c r="X863" s="42" t="n"/>
      <c r="Y863" s="42" t="n"/>
    </row>
    <row r="864">
      <c r="B864" s="2">
        <f>IF(STUDENTS!B863="","",STUDENTS!B863)</f>
        <v/>
      </c>
      <c r="C864" s="44">
        <f>IFERROR(IF(B864="","",_xlfn.XLOOKUP(B864,STUDENTS!$B$3:$B$1048576,STUDENTS!$C$3:$C$1048576)),"Enter a registered reg. no")</f>
        <v/>
      </c>
      <c r="D864" s="52">
        <f t="array" ref="D864:W864">IF(All_Students_Scores!C862:V862="","",All_Students_Scores!C862:V862)</f>
        <v/>
      </c>
      <c r="E864" s="57" t="str"/>
      <c r="F864" s="66" t="str"/>
      <c r="G864" s="67" t="str"/>
      <c r="H864" s="64" t="str"/>
      <c r="I864" s="65" t="str"/>
      <c r="J864" s="66" t="str"/>
      <c r="K864" s="67" t="str"/>
      <c r="L864" s="41" t="str"/>
      <c r="M864" s="41" t="str"/>
      <c r="N864" s="66" t="str"/>
      <c r="O864" s="67" t="str"/>
      <c r="P864" s="41" t="str"/>
      <c r="Q864" s="41" t="str"/>
      <c r="R864" s="66" t="str"/>
      <c r="S864" s="67" t="str"/>
      <c r="T864" s="41" t="str"/>
      <c r="U864" s="41" t="str"/>
      <c r="V864" s="66" t="str"/>
      <c r="W864" s="67" t="str"/>
    </row>
    <row r="865">
      <c r="B865" s="2">
        <f>IF(STUDENTS!B864="","",STUDENTS!B864)</f>
        <v/>
      </c>
      <c r="C865" s="44">
        <f>IFERROR(IF(B865="","",_xlfn.XLOOKUP(B865,STUDENTS!$B$3:$B$1048576,STUDENTS!$C$3:$C$1048576)),"Enter a registered reg. no")</f>
        <v/>
      </c>
      <c r="D865" s="52">
        <f t="array" ref="D865:W865">IF(All_Students_Scores!C863:V863="","",All_Students_Scores!C863:V863)</f>
        <v/>
      </c>
      <c r="E865" s="55" t="str"/>
      <c r="F865" s="48" t="str"/>
      <c r="G865" s="58" t="str"/>
      <c r="H865" s="62" t="str"/>
      <c r="I865" s="63" t="str"/>
      <c r="J865" s="48" t="str"/>
      <c r="K865" s="58" t="str"/>
      <c r="L865" s="42" t="str"/>
      <c r="M865" s="42" t="str"/>
      <c r="N865" s="48" t="str"/>
      <c r="O865" s="58" t="str"/>
      <c r="P865" s="42" t="str"/>
      <c r="Q865" s="42" t="str"/>
      <c r="R865" s="48" t="str"/>
      <c r="S865" s="58" t="str"/>
      <c r="T865" s="42" t="str"/>
      <c r="U865" s="42" t="str"/>
      <c r="V865" s="48" t="str"/>
      <c r="W865" s="58" t="str"/>
      <c r="X865" s="42" t="n"/>
      <c r="Y865" s="42" t="n"/>
    </row>
    <row r="866">
      <c r="B866" s="2">
        <f>IF(STUDENTS!B865="","",STUDENTS!B865)</f>
        <v/>
      </c>
      <c r="C866" s="44">
        <f>IFERROR(IF(B866="","",_xlfn.XLOOKUP(B866,STUDENTS!$B$3:$B$1048576,STUDENTS!$C$3:$C$1048576)),"Enter a registered reg. no")</f>
        <v/>
      </c>
      <c r="D866" s="52">
        <f t="array" ref="D866:W866">IF(All_Students_Scores!C864:V864="","",All_Students_Scores!C864:V864)</f>
        <v/>
      </c>
      <c r="E866" s="57" t="str"/>
      <c r="F866" s="66" t="str"/>
      <c r="G866" s="67" t="str"/>
      <c r="H866" s="64" t="str"/>
      <c r="I866" s="65" t="str"/>
      <c r="J866" s="66" t="str"/>
      <c r="K866" s="67" t="str"/>
      <c r="L866" s="41" t="str"/>
      <c r="M866" s="41" t="str"/>
      <c r="N866" s="66" t="str"/>
      <c r="O866" s="67" t="str"/>
      <c r="P866" s="41" t="str"/>
      <c r="Q866" s="41" t="str"/>
      <c r="R866" s="66" t="str"/>
      <c r="S866" s="67" t="str"/>
      <c r="T866" s="41" t="str"/>
      <c r="U866" s="41" t="str"/>
      <c r="V866" s="66" t="str"/>
      <c r="W866" s="67" t="str"/>
    </row>
    <row r="867">
      <c r="B867" s="2">
        <f>IF(STUDENTS!B866="","",STUDENTS!B866)</f>
        <v/>
      </c>
      <c r="C867" s="44">
        <f>IFERROR(IF(B867="","",_xlfn.XLOOKUP(B867,STUDENTS!$B$3:$B$1048576,STUDENTS!$C$3:$C$1048576)),"Enter a registered reg. no")</f>
        <v/>
      </c>
      <c r="D867" s="52">
        <f t="array" ref="D867:W867">IF(All_Students_Scores!C865:V865="","",All_Students_Scores!C865:V865)</f>
        <v/>
      </c>
      <c r="E867" s="55" t="str"/>
      <c r="F867" s="48" t="str"/>
      <c r="G867" s="58" t="str"/>
      <c r="H867" s="62" t="str"/>
      <c r="I867" s="63" t="str"/>
      <c r="J867" s="48" t="str"/>
      <c r="K867" s="58" t="str"/>
      <c r="L867" s="42" t="str"/>
      <c r="M867" s="42" t="str"/>
      <c r="N867" s="48" t="str"/>
      <c r="O867" s="58" t="str"/>
      <c r="P867" s="42" t="str"/>
      <c r="Q867" s="42" t="str"/>
      <c r="R867" s="48" t="str"/>
      <c r="S867" s="58" t="str"/>
      <c r="T867" s="42" t="str"/>
      <c r="U867" s="42" t="str"/>
      <c r="V867" s="48" t="str"/>
      <c r="W867" s="58" t="str"/>
      <c r="X867" s="42" t="n"/>
      <c r="Y867" s="42" t="n"/>
    </row>
    <row r="868">
      <c r="B868" s="2">
        <f>IF(STUDENTS!B867="","",STUDENTS!B867)</f>
        <v/>
      </c>
      <c r="C868" s="44">
        <f>IFERROR(IF(B868="","",_xlfn.XLOOKUP(B868,STUDENTS!$B$3:$B$1048576,STUDENTS!$C$3:$C$1048576)),"Enter a registered reg. no")</f>
        <v/>
      </c>
      <c r="D868" s="52">
        <f t="array" ref="D868:W868">IF(All_Students_Scores!C866:V866="","",All_Students_Scores!C866:V866)</f>
        <v/>
      </c>
      <c r="E868" s="57" t="str"/>
      <c r="F868" s="66" t="str"/>
      <c r="G868" s="67" t="str"/>
      <c r="H868" s="64" t="str"/>
      <c r="I868" s="65" t="str"/>
      <c r="J868" s="66" t="str"/>
      <c r="K868" s="67" t="str"/>
      <c r="L868" s="41" t="str"/>
      <c r="M868" s="41" t="str"/>
      <c r="N868" s="66" t="str"/>
      <c r="O868" s="67" t="str"/>
      <c r="P868" s="41" t="str"/>
      <c r="Q868" s="41" t="str"/>
      <c r="R868" s="66" t="str"/>
      <c r="S868" s="67" t="str"/>
      <c r="T868" s="41" t="str"/>
      <c r="U868" s="41" t="str"/>
      <c r="V868" s="66" t="str"/>
      <c r="W868" s="67" t="str"/>
    </row>
    <row r="869">
      <c r="B869" s="2">
        <f>IF(STUDENTS!B868="","",STUDENTS!B868)</f>
        <v/>
      </c>
      <c r="C869" s="44">
        <f>IFERROR(IF(B869="","",_xlfn.XLOOKUP(B869,STUDENTS!$B$3:$B$1048576,STUDENTS!$C$3:$C$1048576)),"Enter a registered reg. no")</f>
        <v/>
      </c>
      <c r="D869" s="52">
        <f t="array" ref="D869:W869">IF(All_Students_Scores!C867:V867="","",All_Students_Scores!C867:V867)</f>
        <v/>
      </c>
      <c r="E869" s="55" t="str"/>
      <c r="F869" s="48" t="str"/>
      <c r="G869" s="58" t="str"/>
      <c r="H869" s="62" t="str"/>
      <c r="I869" s="63" t="str"/>
      <c r="J869" s="48" t="str"/>
      <c r="K869" s="58" t="str"/>
      <c r="L869" s="42" t="str"/>
      <c r="M869" s="42" t="str"/>
      <c r="N869" s="48" t="str"/>
      <c r="O869" s="58" t="str"/>
      <c r="P869" s="42" t="str"/>
      <c r="Q869" s="42" t="str"/>
      <c r="R869" s="48" t="str"/>
      <c r="S869" s="58" t="str"/>
      <c r="T869" s="42" t="str"/>
      <c r="U869" s="42" t="str"/>
      <c r="V869" s="48" t="str"/>
      <c r="W869" s="58" t="str"/>
      <c r="X869" s="42" t="n"/>
      <c r="Y869" s="42" t="n"/>
    </row>
    <row r="870">
      <c r="B870" s="2">
        <f>IF(STUDENTS!B869="","",STUDENTS!B869)</f>
        <v/>
      </c>
      <c r="C870" s="44">
        <f>IFERROR(IF(B870="","",_xlfn.XLOOKUP(B870,STUDENTS!$B$3:$B$1048576,STUDENTS!$C$3:$C$1048576)),"Enter a registered reg. no")</f>
        <v/>
      </c>
      <c r="D870" s="52">
        <f t="array" ref="D870:W870">IF(All_Students_Scores!C868:V868="","",All_Students_Scores!C868:V868)</f>
        <v/>
      </c>
      <c r="E870" s="57" t="str"/>
      <c r="F870" s="66" t="str"/>
      <c r="G870" s="67" t="str"/>
      <c r="H870" s="64" t="str"/>
      <c r="I870" s="65" t="str"/>
      <c r="J870" s="66" t="str"/>
      <c r="K870" s="67" t="str"/>
      <c r="L870" s="41" t="str"/>
      <c r="M870" s="41" t="str"/>
      <c r="N870" s="66" t="str"/>
      <c r="O870" s="67" t="str"/>
      <c r="P870" s="41" t="str"/>
      <c r="Q870" s="41" t="str"/>
      <c r="R870" s="66" t="str"/>
      <c r="S870" s="67" t="str"/>
      <c r="T870" s="41" t="str"/>
      <c r="U870" s="41" t="str"/>
      <c r="V870" s="66" t="str"/>
      <c r="W870" s="67" t="str"/>
    </row>
    <row r="871">
      <c r="B871" s="2">
        <f>IF(STUDENTS!B870="","",STUDENTS!B870)</f>
        <v/>
      </c>
      <c r="C871" s="44">
        <f>IFERROR(IF(B871="","",_xlfn.XLOOKUP(B871,STUDENTS!$B$3:$B$1048576,STUDENTS!$C$3:$C$1048576)),"Enter a registered reg. no")</f>
        <v/>
      </c>
      <c r="D871" s="52">
        <f t="array" ref="D871:W871">IF(All_Students_Scores!C869:V869="","",All_Students_Scores!C869:V869)</f>
        <v/>
      </c>
      <c r="E871" s="55" t="str"/>
      <c r="F871" s="48" t="str"/>
      <c r="G871" s="58" t="str"/>
      <c r="H871" s="62" t="str"/>
      <c r="I871" s="63" t="str"/>
      <c r="J871" s="48" t="str"/>
      <c r="K871" s="58" t="str"/>
      <c r="L871" s="42" t="str"/>
      <c r="M871" s="42" t="str"/>
      <c r="N871" s="48" t="str"/>
      <c r="O871" s="58" t="str"/>
      <c r="P871" s="42" t="str"/>
      <c r="Q871" s="42" t="str"/>
      <c r="R871" s="48" t="str"/>
      <c r="S871" s="58" t="str"/>
      <c r="T871" s="42" t="str"/>
      <c r="U871" s="42" t="str"/>
      <c r="V871" s="48" t="str"/>
      <c r="W871" s="58" t="str"/>
      <c r="X871" s="42" t="n"/>
      <c r="Y871" s="42" t="n"/>
    </row>
    <row r="872">
      <c r="B872" s="2">
        <f>IF(STUDENTS!B871="","",STUDENTS!B871)</f>
        <v/>
      </c>
      <c r="C872" s="44">
        <f>IFERROR(IF(B872="","",_xlfn.XLOOKUP(B872,STUDENTS!$B$3:$B$1048576,STUDENTS!$C$3:$C$1048576)),"Enter a registered reg. no")</f>
        <v/>
      </c>
      <c r="D872" s="52">
        <f t="array" ref="D872:W872">IF(All_Students_Scores!C870:V870="","",All_Students_Scores!C870:V870)</f>
        <v/>
      </c>
      <c r="E872" s="57" t="str"/>
      <c r="F872" s="66" t="str"/>
      <c r="G872" s="67" t="str"/>
      <c r="H872" s="64" t="str"/>
      <c r="I872" s="65" t="str"/>
      <c r="J872" s="66" t="str"/>
      <c r="K872" s="67" t="str"/>
      <c r="L872" s="41" t="str"/>
      <c r="M872" s="41" t="str"/>
      <c r="N872" s="66" t="str"/>
      <c r="O872" s="67" t="str"/>
      <c r="P872" s="41" t="str"/>
      <c r="Q872" s="41" t="str"/>
      <c r="R872" s="66" t="str"/>
      <c r="S872" s="67" t="str"/>
      <c r="T872" s="41" t="str"/>
      <c r="U872" s="41" t="str"/>
      <c r="V872" s="66" t="str"/>
      <c r="W872" s="67" t="str"/>
    </row>
    <row r="873">
      <c r="B873" s="2">
        <f>IF(STUDENTS!B872="","",STUDENTS!B872)</f>
        <v/>
      </c>
      <c r="C873" s="44">
        <f>IFERROR(IF(B873="","",_xlfn.XLOOKUP(B873,STUDENTS!$B$3:$B$1048576,STUDENTS!$C$3:$C$1048576)),"Enter a registered reg. no")</f>
        <v/>
      </c>
      <c r="D873" s="52">
        <f t="array" ref="D873:W873">IF(All_Students_Scores!C871:V871="","",All_Students_Scores!C871:V871)</f>
        <v/>
      </c>
      <c r="E873" s="55" t="str"/>
      <c r="F873" s="48" t="str"/>
      <c r="G873" s="58" t="str"/>
      <c r="H873" s="62" t="str"/>
      <c r="I873" s="63" t="str"/>
      <c r="J873" s="48" t="str"/>
      <c r="K873" s="58" t="str"/>
      <c r="L873" s="42" t="str"/>
      <c r="M873" s="42" t="str"/>
      <c r="N873" s="48" t="str"/>
      <c r="O873" s="58" t="str"/>
      <c r="P873" s="42" t="str"/>
      <c r="Q873" s="42" t="str"/>
      <c r="R873" s="48" t="str"/>
      <c r="S873" s="58" t="str"/>
      <c r="T873" s="42" t="str"/>
      <c r="U873" s="42" t="str"/>
      <c r="V873" s="48" t="str"/>
      <c r="W873" s="58" t="str"/>
      <c r="X873" s="42" t="n"/>
      <c r="Y873" s="42" t="n"/>
    </row>
    <row r="874">
      <c r="B874" s="2">
        <f>IF(STUDENTS!B873="","",STUDENTS!B873)</f>
        <v/>
      </c>
      <c r="C874" s="44">
        <f>IFERROR(IF(B874="","",_xlfn.XLOOKUP(B874,STUDENTS!$B$3:$B$1048576,STUDENTS!$C$3:$C$1048576)),"Enter a registered reg. no")</f>
        <v/>
      </c>
      <c r="D874" s="52">
        <f t="array" ref="D874:W874">IF(All_Students_Scores!C872:V872="","",All_Students_Scores!C872:V872)</f>
        <v/>
      </c>
      <c r="E874" s="57" t="str"/>
      <c r="F874" s="66" t="str"/>
      <c r="G874" s="67" t="str"/>
      <c r="H874" s="64" t="str"/>
      <c r="I874" s="65" t="str"/>
      <c r="J874" s="66" t="str"/>
      <c r="K874" s="67" t="str"/>
      <c r="L874" s="41" t="str"/>
      <c r="M874" s="41" t="str"/>
      <c r="N874" s="66" t="str"/>
      <c r="O874" s="67" t="str"/>
      <c r="P874" s="41" t="str"/>
      <c r="Q874" s="41" t="str"/>
      <c r="R874" s="66" t="str"/>
      <c r="S874" s="67" t="str"/>
      <c r="T874" s="41" t="str"/>
      <c r="U874" s="41" t="str"/>
      <c r="V874" s="66" t="str"/>
      <c r="W874" s="67" t="str"/>
    </row>
    <row r="875">
      <c r="B875" s="2">
        <f>IF(STUDENTS!B874="","",STUDENTS!B874)</f>
        <v/>
      </c>
      <c r="C875" s="44">
        <f>IFERROR(IF(B875="","",_xlfn.XLOOKUP(B875,STUDENTS!$B$3:$B$1048576,STUDENTS!$C$3:$C$1048576)),"Enter a registered reg. no")</f>
        <v/>
      </c>
      <c r="D875" s="52">
        <f t="array" ref="D875:W875">IF(All_Students_Scores!C873:V873="","",All_Students_Scores!C873:V873)</f>
        <v/>
      </c>
      <c r="E875" s="55" t="str"/>
      <c r="F875" s="48" t="str"/>
      <c r="G875" s="58" t="str"/>
      <c r="H875" s="62" t="str"/>
      <c r="I875" s="63" t="str"/>
      <c r="J875" s="48" t="str"/>
      <c r="K875" s="58" t="str"/>
      <c r="L875" s="42" t="str"/>
      <c r="M875" s="42" t="str"/>
      <c r="N875" s="48" t="str"/>
      <c r="O875" s="58" t="str"/>
      <c r="P875" s="42" t="str"/>
      <c r="Q875" s="42" t="str"/>
      <c r="R875" s="48" t="str"/>
      <c r="S875" s="58" t="str"/>
      <c r="T875" s="42" t="str"/>
      <c r="U875" s="42" t="str"/>
      <c r="V875" s="48" t="str"/>
      <c r="W875" s="58" t="str"/>
      <c r="X875" s="42" t="n"/>
      <c r="Y875" s="42" t="n"/>
    </row>
    <row r="876">
      <c r="B876" s="2">
        <f>IF(STUDENTS!B875="","",STUDENTS!B875)</f>
        <v/>
      </c>
      <c r="C876" s="44">
        <f>IFERROR(IF(B876="","",_xlfn.XLOOKUP(B876,STUDENTS!$B$3:$B$1048576,STUDENTS!$C$3:$C$1048576)),"Enter a registered reg. no")</f>
        <v/>
      </c>
      <c r="D876" s="52">
        <f t="array" ref="D876:W876">IF(All_Students_Scores!C874:V874="","",All_Students_Scores!C874:V874)</f>
        <v/>
      </c>
      <c r="E876" s="57" t="str"/>
      <c r="F876" s="66" t="str"/>
      <c r="G876" s="67" t="str"/>
      <c r="H876" s="64" t="str"/>
      <c r="I876" s="65" t="str"/>
      <c r="J876" s="66" t="str"/>
      <c r="K876" s="67" t="str"/>
      <c r="L876" s="41" t="str"/>
      <c r="M876" s="41" t="str"/>
      <c r="N876" s="66" t="str"/>
      <c r="O876" s="67" t="str"/>
      <c r="P876" s="41" t="str"/>
      <c r="Q876" s="41" t="str"/>
      <c r="R876" s="66" t="str"/>
      <c r="S876" s="67" t="str"/>
      <c r="T876" s="41" t="str"/>
      <c r="U876" s="41" t="str"/>
      <c r="V876" s="66" t="str"/>
      <c r="W876" s="67" t="str"/>
    </row>
    <row r="877">
      <c r="B877" s="2">
        <f>IF(STUDENTS!B876="","",STUDENTS!B876)</f>
        <v/>
      </c>
      <c r="C877" s="44">
        <f>IFERROR(IF(B877="","",_xlfn.XLOOKUP(B877,STUDENTS!$B$3:$B$1048576,STUDENTS!$C$3:$C$1048576)),"Enter a registered reg. no")</f>
        <v/>
      </c>
      <c r="D877" s="52">
        <f t="array" ref="D877:W877">IF(All_Students_Scores!C875:V875="","",All_Students_Scores!C875:V875)</f>
        <v/>
      </c>
      <c r="E877" s="55" t="str"/>
      <c r="F877" s="48" t="str"/>
      <c r="G877" s="58" t="str"/>
      <c r="H877" s="62" t="str"/>
      <c r="I877" s="63" t="str"/>
      <c r="J877" s="48" t="str"/>
      <c r="K877" s="58" t="str"/>
      <c r="L877" s="42" t="str"/>
      <c r="M877" s="42" t="str"/>
      <c r="N877" s="48" t="str"/>
      <c r="O877" s="58" t="str"/>
      <c r="P877" s="42" t="str"/>
      <c r="Q877" s="42" t="str"/>
      <c r="R877" s="48" t="str"/>
      <c r="S877" s="58" t="str"/>
      <c r="T877" s="42" t="str"/>
      <c r="U877" s="42" t="str"/>
      <c r="V877" s="48" t="str"/>
      <c r="W877" s="58" t="str"/>
      <c r="X877" s="42" t="n"/>
      <c r="Y877" s="42" t="n"/>
    </row>
    <row r="878">
      <c r="B878" s="2">
        <f>IF(STUDENTS!B877="","",STUDENTS!B877)</f>
        <v/>
      </c>
      <c r="C878" s="44">
        <f>IFERROR(IF(B878="","",_xlfn.XLOOKUP(B878,STUDENTS!$B$3:$B$1048576,STUDENTS!$C$3:$C$1048576)),"Enter a registered reg. no")</f>
        <v/>
      </c>
      <c r="D878" s="52">
        <f t="array" ref="D878:W878">IF(All_Students_Scores!C876:V876="","",All_Students_Scores!C876:V876)</f>
        <v/>
      </c>
      <c r="E878" s="57" t="str"/>
      <c r="F878" s="66" t="str"/>
      <c r="G878" s="67" t="str"/>
      <c r="H878" s="64" t="str"/>
      <c r="I878" s="65" t="str"/>
      <c r="J878" s="66" t="str"/>
      <c r="K878" s="67" t="str"/>
      <c r="L878" s="41" t="str"/>
      <c r="M878" s="41" t="str"/>
      <c r="N878" s="66" t="str"/>
      <c r="O878" s="67" t="str"/>
      <c r="P878" s="41" t="str"/>
      <c r="Q878" s="41" t="str"/>
      <c r="R878" s="66" t="str"/>
      <c r="S878" s="67" t="str"/>
      <c r="T878" s="41" t="str"/>
      <c r="U878" s="41" t="str"/>
      <c r="V878" s="66" t="str"/>
      <c r="W878" s="67" t="str"/>
    </row>
    <row r="879">
      <c r="B879" s="2">
        <f>IF(STUDENTS!B878="","",STUDENTS!B878)</f>
        <v/>
      </c>
      <c r="C879" s="44">
        <f>IFERROR(IF(B879="","",_xlfn.XLOOKUP(B879,STUDENTS!$B$3:$B$1048576,STUDENTS!$C$3:$C$1048576)),"Enter a registered reg. no")</f>
        <v/>
      </c>
      <c r="D879" s="52">
        <f t="array" ref="D879:W879">IF(All_Students_Scores!C877:V877="","",All_Students_Scores!C877:V877)</f>
        <v/>
      </c>
      <c r="E879" s="55" t="str"/>
      <c r="F879" s="48" t="str"/>
      <c r="G879" s="58" t="str"/>
      <c r="H879" s="62" t="str"/>
      <c r="I879" s="63" t="str"/>
      <c r="J879" s="48" t="str"/>
      <c r="K879" s="58" t="str"/>
      <c r="L879" s="42" t="str"/>
      <c r="M879" s="42" t="str"/>
      <c r="N879" s="48" t="str"/>
      <c r="O879" s="58" t="str"/>
      <c r="P879" s="42" t="str"/>
      <c r="Q879" s="42" t="str"/>
      <c r="R879" s="48" t="str"/>
      <c r="S879" s="58" t="str"/>
      <c r="T879" s="42" t="str"/>
      <c r="U879" s="42" t="str"/>
      <c r="V879" s="48" t="str"/>
      <c r="W879" s="58" t="str"/>
      <c r="X879" s="42" t="n"/>
      <c r="Y879" s="42" t="n"/>
    </row>
    <row r="880">
      <c r="B880" s="2">
        <f>IF(STUDENTS!B879="","",STUDENTS!B879)</f>
        <v/>
      </c>
      <c r="C880" s="44">
        <f>IFERROR(IF(B880="","",_xlfn.XLOOKUP(B880,STUDENTS!$B$3:$B$1048576,STUDENTS!$C$3:$C$1048576)),"Enter a registered reg. no")</f>
        <v/>
      </c>
      <c r="D880" s="52">
        <f t="array" ref="D880:W880">IF(All_Students_Scores!C878:V878="","",All_Students_Scores!C878:V878)</f>
        <v/>
      </c>
      <c r="E880" s="57" t="str"/>
      <c r="F880" s="66" t="str"/>
      <c r="G880" s="67" t="str"/>
      <c r="H880" s="64" t="str"/>
      <c r="I880" s="65" t="str"/>
      <c r="J880" s="66" t="str"/>
      <c r="K880" s="67" t="str"/>
      <c r="L880" s="41" t="str"/>
      <c r="M880" s="41" t="str"/>
      <c r="N880" s="66" t="str"/>
      <c r="O880" s="67" t="str"/>
      <c r="P880" s="41" t="str"/>
      <c r="Q880" s="41" t="str"/>
      <c r="R880" s="66" t="str"/>
      <c r="S880" s="67" t="str"/>
      <c r="T880" s="41" t="str"/>
      <c r="U880" s="41" t="str"/>
      <c r="V880" s="66" t="str"/>
      <c r="W880" s="67" t="str"/>
    </row>
    <row r="881">
      <c r="B881" s="2">
        <f>IF(STUDENTS!B880="","",STUDENTS!B880)</f>
        <v/>
      </c>
      <c r="C881" s="44">
        <f>IFERROR(IF(B881="","",_xlfn.XLOOKUP(B881,STUDENTS!$B$3:$B$1048576,STUDENTS!$C$3:$C$1048576)),"Enter a registered reg. no")</f>
        <v/>
      </c>
      <c r="D881" s="52">
        <f t="array" ref="D881:W881">IF(All_Students_Scores!C879:V879="","",All_Students_Scores!C879:V879)</f>
        <v/>
      </c>
      <c r="E881" s="55" t="str"/>
      <c r="F881" s="48" t="str"/>
      <c r="G881" s="58" t="str"/>
      <c r="H881" s="62" t="str"/>
      <c r="I881" s="63" t="str"/>
      <c r="J881" s="48" t="str"/>
      <c r="K881" s="58" t="str"/>
      <c r="L881" s="42" t="str"/>
      <c r="M881" s="42" t="str"/>
      <c r="N881" s="48" t="str"/>
      <c r="O881" s="58" t="str"/>
      <c r="P881" s="42" t="str"/>
      <c r="Q881" s="42" t="str"/>
      <c r="R881" s="48" t="str"/>
      <c r="S881" s="58" t="str"/>
      <c r="T881" s="42" t="str"/>
      <c r="U881" s="42" t="str"/>
      <c r="V881" s="48" t="str"/>
      <c r="W881" s="58" t="str"/>
      <c r="X881" s="42" t="n"/>
      <c r="Y881" s="42" t="n"/>
    </row>
    <row r="882">
      <c r="B882" s="2">
        <f>IF(STUDENTS!B881="","",STUDENTS!B881)</f>
        <v/>
      </c>
      <c r="C882" s="44">
        <f>IFERROR(IF(B882="","",_xlfn.XLOOKUP(B882,STUDENTS!$B$3:$B$1048576,STUDENTS!$C$3:$C$1048576)),"Enter a registered reg. no")</f>
        <v/>
      </c>
      <c r="D882" s="52">
        <f t="array" ref="D882:W882">IF(All_Students_Scores!C880:V880="","",All_Students_Scores!C880:V880)</f>
        <v/>
      </c>
      <c r="E882" s="57" t="str"/>
      <c r="F882" s="66" t="str"/>
      <c r="G882" s="67" t="str"/>
      <c r="H882" s="64" t="str"/>
      <c r="I882" s="65" t="str"/>
      <c r="J882" s="66" t="str"/>
      <c r="K882" s="67" t="str"/>
      <c r="L882" s="41" t="str"/>
      <c r="M882" s="41" t="str"/>
      <c r="N882" s="66" t="str"/>
      <c r="O882" s="67" t="str"/>
      <c r="P882" s="41" t="str"/>
      <c r="Q882" s="41" t="str"/>
      <c r="R882" s="66" t="str"/>
      <c r="S882" s="67" t="str"/>
      <c r="T882" s="41" t="str"/>
      <c r="U882" s="41" t="str"/>
      <c r="V882" s="66" t="str"/>
      <c r="W882" s="67" t="str"/>
    </row>
    <row r="883">
      <c r="B883" s="2">
        <f>IF(STUDENTS!B882="","",STUDENTS!B882)</f>
        <v/>
      </c>
      <c r="C883" s="44">
        <f>IFERROR(IF(B883="","",_xlfn.XLOOKUP(B883,STUDENTS!$B$3:$B$1048576,STUDENTS!$C$3:$C$1048576)),"Enter a registered reg. no")</f>
        <v/>
      </c>
      <c r="D883" s="52">
        <f t="array" ref="D883:W883">IF(All_Students_Scores!C881:V881="","",All_Students_Scores!C881:V881)</f>
        <v/>
      </c>
      <c r="E883" s="55" t="str"/>
      <c r="F883" s="48" t="str"/>
      <c r="G883" s="58" t="str"/>
      <c r="H883" s="62" t="str"/>
      <c r="I883" s="63" t="str"/>
      <c r="J883" s="48" t="str"/>
      <c r="K883" s="58" t="str"/>
      <c r="L883" s="42" t="str"/>
      <c r="M883" s="42" t="str"/>
      <c r="N883" s="48" t="str"/>
      <c r="O883" s="58" t="str"/>
      <c r="P883" s="42" t="str"/>
      <c r="Q883" s="42" t="str"/>
      <c r="R883" s="48" t="str"/>
      <c r="S883" s="58" t="str"/>
      <c r="T883" s="42" t="str"/>
      <c r="U883" s="42" t="str"/>
      <c r="V883" s="48" t="str"/>
      <c r="W883" s="58" t="str"/>
      <c r="X883" s="42" t="n"/>
      <c r="Y883" s="42" t="n"/>
    </row>
    <row r="884">
      <c r="B884" s="2">
        <f>IF(STUDENTS!B883="","",STUDENTS!B883)</f>
        <v/>
      </c>
      <c r="C884" s="44">
        <f>IFERROR(IF(B884="","",_xlfn.XLOOKUP(B884,STUDENTS!$B$3:$B$1048576,STUDENTS!$C$3:$C$1048576)),"Enter a registered reg. no")</f>
        <v/>
      </c>
      <c r="D884" s="52">
        <f t="array" ref="D884:W884">IF(All_Students_Scores!C882:V882="","",All_Students_Scores!C882:V882)</f>
        <v/>
      </c>
      <c r="E884" s="57" t="str"/>
      <c r="F884" s="66" t="str"/>
      <c r="G884" s="67" t="str"/>
      <c r="H884" s="64" t="str"/>
      <c r="I884" s="65" t="str"/>
      <c r="J884" s="66" t="str"/>
      <c r="K884" s="67" t="str"/>
      <c r="L884" s="41" t="str"/>
      <c r="M884" s="41" t="str"/>
      <c r="N884" s="66" t="str"/>
      <c r="O884" s="67" t="str"/>
      <c r="P884" s="41" t="str"/>
      <c r="Q884" s="41" t="str"/>
      <c r="R884" s="66" t="str"/>
      <c r="S884" s="67" t="str"/>
      <c r="T884" s="41" t="str"/>
      <c r="U884" s="41" t="str"/>
      <c r="V884" s="66" t="str"/>
      <c r="W884" s="67" t="str"/>
    </row>
    <row r="885">
      <c r="B885" s="2">
        <f>IF(STUDENTS!B884="","",STUDENTS!B884)</f>
        <v/>
      </c>
      <c r="C885" s="44">
        <f>IFERROR(IF(B885="","",_xlfn.XLOOKUP(B885,STUDENTS!$B$3:$B$1048576,STUDENTS!$C$3:$C$1048576)),"Enter a registered reg. no")</f>
        <v/>
      </c>
      <c r="D885" s="52">
        <f t="array" ref="D885:W885">IF(All_Students_Scores!C883:V883="","",All_Students_Scores!C883:V883)</f>
        <v/>
      </c>
      <c r="E885" s="55" t="str"/>
      <c r="F885" s="48" t="str"/>
      <c r="G885" s="58" t="str"/>
      <c r="H885" s="62" t="str"/>
      <c r="I885" s="63" t="str"/>
      <c r="J885" s="48" t="str"/>
      <c r="K885" s="58" t="str"/>
      <c r="L885" s="42" t="str"/>
      <c r="M885" s="42" t="str"/>
      <c r="N885" s="48" t="str"/>
      <c r="O885" s="58" t="str"/>
      <c r="P885" s="42" t="str"/>
      <c r="Q885" s="42" t="str"/>
      <c r="R885" s="48" t="str"/>
      <c r="S885" s="58" t="str"/>
      <c r="T885" s="42" t="str"/>
      <c r="U885" s="42" t="str"/>
      <c r="V885" s="48" t="str"/>
      <c r="W885" s="58" t="str"/>
      <c r="X885" s="42" t="n"/>
      <c r="Y885" s="42" t="n"/>
    </row>
    <row r="886">
      <c r="B886" s="2">
        <f>IF(STUDENTS!B885="","",STUDENTS!B885)</f>
        <v/>
      </c>
      <c r="C886" s="44">
        <f>IFERROR(IF(B886="","",_xlfn.XLOOKUP(B886,STUDENTS!$B$3:$B$1048576,STUDENTS!$C$3:$C$1048576)),"Enter a registered reg. no")</f>
        <v/>
      </c>
      <c r="D886" s="52">
        <f t="array" ref="D886:W886">IF(All_Students_Scores!C884:V884="","",All_Students_Scores!C884:V884)</f>
        <v/>
      </c>
      <c r="E886" s="57" t="str"/>
      <c r="F886" s="66" t="str"/>
      <c r="G886" s="67" t="str"/>
      <c r="H886" s="64" t="str"/>
      <c r="I886" s="65" t="str"/>
      <c r="J886" s="66" t="str"/>
      <c r="K886" s="67" t="str"/>
      <c r="L886" s="41" t="str"/>
      <c r="M886" s="41" t="str"/>
      <c r="N886" s="66" t="str"/>
      <c r="O886" s="67" t="str"/>
      <c r="P886" s="41" t="str"/>
      <c r="Q886" s="41" t="str"/>
      <c r="R886" s="66" t="str"/>
      <c r="S886" s="67" t="str"/>
      <c r="T886" s="41" t="str"/>
      <c r="U886" s="41" t="str"/>
      <c r="V886" s="66" t="str"/>
      <c r="W886" s="67" t="str"/>
    </row>
    <row r="887">
      <c r="B887" s="2">
        <f>IF(STUDENTS!B886="","",STUDENTS!B886)</f>
        <v/>
      </c>
      <c r="C887" s="44">
        <f>IFERROR(IF(B887="","",_xlfn.XLOOKUP(B887,STUDENTS!$B$3:$B$1048576,STUDENTS!$C$3:$C$1048576)),"Enter a registered reg. no")</f>
        <v/>
      </c>
      <c r="D887" s="52">
        <f t="array" ref="D887:W887">IF(All_Students_Scores!C885:V885="","",All_Students_Scores!C885:V885)</f>
        <v/>
      </c>
      <c r="E887" s="55" t="str"/>
      <c r="F887" s="48" t="str"/>
      <c r="G887" s="58" t="str"/>
      <c r="H887" s="62" t="str"/>
      <c r="I887" s="63" t="str"/>
      <c r="J887" s="48" t="str"/>
      <c r="K887" s="58" t="str"/>
      <c r="L887" s="42" t="str"/>
      <c r="M887" s="42" t="str"/>
      <c r="N887" s="48" t="str"/>
      <c r="O887" s="58" t="str"/>
      <c r="P887" s="42" t="str"/>
      <c r="Q887" s="42" t="str"/>
      <c r="R887" s="48" t="str"/>
      <c r="S887" s="58" t="str"/>
      <c r="T887" s="42" t="str"/>
      <c r="U887" s="42" t="str"/>
      <c r="V887" s="48" t="str"/>
      <c r="W887" s="58" t="str"/>
      <c r="X887" s="42" t="n"/>
      <c r="Y887" s="42" t="n"/>
    </row>
    <row r="888">
      <c r="B888" s="2">
        <f>IF(STUDENTS!B887="","",STUDENTS!B887)</f>
        <v/>
      </c>
      <c r="C888" s="44">
        <f>IFERROR(IF(B888="","",_xlfn.XLOOKUP(B888,STUDENTS!$B$3:$B$1048576,STUDENTS!$C$3:$C$1048576)),"Enter a registered reg. no")</f>
        <v/>
      </c>
      <c r="D888" s="52">
        <f t="array" ref="D888:W888">IF(All_Students_Scores!C886:V886="","",All_Students_Scores!C886:V886)</f>
        <v/>
      </c>
      <c r="E888" s="57" t="str"/>
      <c r="F888" s="66" t="str"/>
      <c r="G888" s="67" t="str"/>
      <c r="H888" s="64" t="str"/>
      <c r="I888" s="65" t="str"/>
      <c r="J888" s="66" t="str"/>
      <c r="K888" s="67" t="str"/>
      <c r="L888" s="41" t="str"/>
      <c r="M888" s="41" t="str"/>
      <c r="N888" s="66" t="str"/>
      <c r="O888" s="67" t="str"/>
      <c r="P888" s="41" t="str"/>
      <c r="Q888" s="41" t="str"/>
      <c r="R888" s="66" t="str"/>
      <c r="S888" s="67" t="str"/>
      <c r="T888" s="41" t="str"/>
      <c r="U888" s="41" t="str"/>
      <c r="V888" s="66" t="str"/>
      <c r="W888" s="67" t="str"/>
    </row>
    <row r="889">
      <c r="B889" s="2">
        <f>IF(STUDENTS!B888="","",STUDENTS!B888)</f>
        <v/>
      </c>
      <c r="C889" s="44">
        <f>IFERROR(IF(B889="","",_xlfn.XLOOKUP(B889,STUDENTS!$B$3:$B$1048576,STUDENTS!$C$3:$C$1048576)),"Enter a registered reg. no")</f>
        <v/>
      </c>
      <c r="D889" s="52">
        <f t="array" ref="D889:W889">IF(All_Students_Scores!C887:V887="","",All_Students_Scores!C887:V887)</f>
        <v/>
      </c>
      <c r="E889" s="55" t="str"/>
      <c r="F889" s="48" t="str"/>
      <c r="G889" s="58" t="str"/>
      <c r="H889" s="62" t="str"/>
      <c r="I889" s="63" t="str"/>
      <c r="J889" s="48" t="str"/>
      <c r="K889" s="58" t="str"/>
      <c r="L889" s="42" t="str"/>
      <c r="M889" s="42" t="str"/>
      <c r="N889" s="48" t="str"/>
      <c r="O889" s="58" t="str"/>
      <c r="P889" s="42" t="str"/>
      <c r="Q889" s="42" t="str"/>
      <c r="R889" s="48" t="str"/>
      <c r="S889" s="58" t="str"/>
      <c r="T889" s="42" t="str"/>
      <c r="U889" s="42" t="str"/>
      <c r="V889" s="48" t="str"/>
      <c r="W889" s="58" t="str"/>
      <c r="X889" s="42" t="n"/>
      <c r="Y889" s="42" t="n"/>
    </row>
    <row r="890">
      <c r="B890" s="2">
        <f>IF(STUDENTS!B889="","",STUDENTS!B889)</f>
        <v/>
      </c>
      <c r="C890" s="44">
        <f>IFERROR(IF(B890="","",_xlfn.XLOOKUP(B890,STUDENTS!$B$3:$B$1048576,STUDENTS!$C$3:$C$1048576)),"Enter a registered reg. no")</f>
        <v/>
      </c>
      <c r="D890" s="52">
        <f t="array" ref="D890:W890">IF(All_Students_Scores!C888:V888="","",All_Students_Scores!C888:V888)</f>
        <v/>
      </c>
      <c r="E890" s="57" t="str"/>
      <c r="F890" s="66" t="str"/>
      <c r="G890" s="67" t="str"/>
      <c r="H890" s="64" t="str"/>
      <c r="I890" s="65" t="str"/>
      <c r="J890" s="66" t="str"/>
      <c r="K890" s="67" t="str"/>
      <c r="L890" s="41" t="str"/>
      <c r="M890" s="41" t="str"/>
      <c r="N890" s="66" t="str"/>
      <c r="O890" s="67" t="str"/>
      <c r="P890" s="41" t="str"/>
      <c r="Q890" s="41" t="str"/>
      <c r="R890" s="66" t="str"/>
      <c r="S890" s="67" t="str"/>
      <c r="T890" s="41" t="str"/>
      <c r="U890" s="41" t="str"/>
      <c r="V890" s="66" t="str"/>
      <c r="W890" s="67" t="str"/>
    </row>
    <row r="891">
      <c r="B891" s="2">
        <f>IF(STUDENTS!B890="","",STUDENTS!B890)</f>
        <v/>
      </c>
      <c r="C891" s="44">
        <f>IFERROR(IF(B891="","",_xlfn.XLOOKUP(B891,STUDENTS!$B$3:$B$1048576,STUDENTS!$C$3:$C$1048576)),"Enter a registered reg. no")</f>
        <v/>
      </c>
      <c r="D891" s="52">
        <f t="array" ref="D891:W891">IF(All_Students_Scores!C889:V889="","",All_Students_Scores!C889:V889)</f>
        <v/>
      </c>
      <c r="E891" s="55" t="str"/>
      <c r="F891" s="48" t="str"/>
      <c r="G891" s="58" t="str"/>
      <c r="H891" s="62" t="str"/>
      <c r="I891" s="63" t="str"/>
      <c r="J891" s="48" t="str"/>
      <c r="K891" s="58" t="str"/>
      <c r="L891" s="42" t="str"/>
      <c r="M891" s="42" t="str"/>
      <c r="N891" s="48" t="str"/>
      <c r="O891" s="58" t="str"/>
      <c r="P891" s="42" t="str"/>
      <c r="Q891" s="42" t="str"/>
      <c r="R891" s="48" t="str"/>
      <c r="S891" s="58" t="str"/>
      <c r="T891" s="42" t="str"/>
      <c r="U891" s="42" t="str"/>
      <c r="V891" s="48" t="str"/>
      <c r="W891" s="58" t="str"/>
      <c r="X891" s="42" t="n"/>
      <c r="Y891" s="42" t="n"/>
    </row>
    <row r="892">
      <c r="B892" s="2">
        <f>IF(STUDENTS!B891="","",STUDENTS!B891)</f>
        <v/>
      </c>
      <c r="C892" s="44">
        <f>IFERROR(IF(B892="","",_xlfn.XLOOKUP(B892,STUDENTS!$B$3:$B$1048576,STUDENTS!$C$3:$C$1048576)),"Enter a registered reg. no")</f>
        <v/>
      </c>
      <c r="D892" s="52">
        <f t="array" ref="D892:W892">IF(All_Students_Scores!C890:V890="","",All_Students_Scores!C890:V890)</f>
        <v/>
      </c>
      <c r="E892" s="57" t="str"/>
      <c r="F892" s="66" t="str"/>
      <c r="G892" s="67" t="str"/>
      <c r="H892" s="64" t="str"/>
      <c r="I892" s="65" t="str"/>
      <c r="J892" s="66" t="str"/>
      <c r="K892" s="67" t="str"/>
      <c r="L892" s="41" t="str"/>
      <c r="M892" s="41" t="str"/>
      <c r="N892" s="66" t="str"/>
      <c r="O892" s="67" t="str"/>
      <c r="P892" s="41" t="str"/>
      <c r="Q892" s="41" t="str"/>
      <c r="R892" s="66" t="str"/>
      <c r="S892" s="67" t="str"/>
      <c r="T892" s="41" t="str"/>
      <c r="U892" s="41" t="str"/>
      <c r="V892" s="66" t="str"/>
      <c r="W892" s="67" t="str"/>
    </row>
    <row r="893">
      <c r="B893" s="2">
        <f>IF(STUDENTS!B892="","",STUDENTS!B892)</f>
        <v/>
      </c>
      <c r="C893" s="44">
        <f>IFERROR(IF(B893="","",_xlfn.XLOOKUP(B893,STUDENTS!$B$3:$B$1048576,STUDENTS!$C$3:$C$1048576)),"Enter a registered reg. no")</f>
        <v/>
      </c>
      <c r="D893" s="52">
        <f t="array" ref="D893:W893">IF(All_Students_Scores!C891:V891="","",All_Students_Scores!C891:V891)</f>
        <v/>
      </c>
      <c r="E893" s="55" t="str"/>
      <c r="F893" s="48" t="str"/>
      <c r="G893" s="58" t="str"/>
      <c r="H893" s="62" t="str"/>
      <c r="I893" s="63" t="str"/>
      <c r="J893" s="48" t="str"/>
      <c r="K893" s="58" t="str"/>
      <c r="L893" s="42" t="str"/>
      <c r="M893" s="42" t="str"/>
      <c r="N893" s="48" t="str"/>
      <c r="O893" s="58" t="str"/>
      <c r="P893" s="42" t="str"/>
      <c r="Q893" s="42" t="str"/>
      <c r="R893" s="48" t="str"/>
      <c r="S893" s="58" t="str"/>
      <c r="T893" s="42" t="str"/>
      <c r="U893" s="42" t="str"/>
      <c r="V893" s="48" t="str"/>
      <c r="W893" s="58" t="str"/>
      <c r="X893" s="42" t="n"/>
      <c r="Y893" s="42" t="n"/>
    </row>
    <row r="894">
      <c r="B894" s="2">
        <f>IF(STUDENTS!B893="","",STUDENTS!B893)</f>
        <v/>
      </c>
      <c r="C894" s="44">
        <f>IFERROR(IF(B894="","",_xlfn.XLOOKUP(B894,STUDENTS!$B$3:$B$1048576,STUDENTS!$C$3:$C$1048576)),"Enter a registered reg. no")</f>
        <v/>
      </c>
      <c r="D894" s="52">
        <f t="array" ref="D894:W894">IF(All_Students_Scores!C892:V892="","",All_Students_Scores!C892:V892)</f>
        <v/>
      </c>
      <c r="E894" s="57" t="str"/>
      <c r="F894" s="66" t="str"/>
      <c r="G894" s="67" t="str"/>
      <c r="H894" s="64" t="str"/>
      <c r="I894" s="65" t="str"/>
      <c r="J894" s="66" t="str"/>
      <c r="K894" s="67" t="str"/>
      <c r="L894" s="41" t="str"/>
      <c r="M894" s="41" t="str"/>
      <c r="N894" s="66" t="str"/>
      <c r="O894" s="67" t="str"/>
      <c r="P894" s="41" t="str"/>
      <c r="Q894" s="41" t="str"/>
      <c r="R894" s="66" t="str"/>
      <c r="S894" s="67" t="str"/>
      <c r="T894" s="41" t="str"/>
      <c r="U894" s="41" t="str"/>
      <c r="V894" s="66" t="str"/>
      <c r="W894" s="67" t="str"/>
    </row>
    <row r="895">
      <c r="B895" s="2">
        <f>IF(STUDENTS!B894="","",STUDENTS!B894)</f>
        <v/>
      </c>
      <c r="C895" s="44">
        <f>IFERROR(IF(B895="","",_xlfn.XLOOKUP(B895,STUDENTS!$B$3:$B$1048576,STUDENTS!$C$3:$C$1048576)),"Enter a registered reg. no")</f>
        <v/>
      </c>
      <c r="D895" s="52">
        <f t="array" ref="D895:W895">IF(All_Students_Scores!C893:V893="","",All_Students_Scores!C893:V893)</f>
        <v/>
      </c>
      <c r="E895" s="55" t="str"/>
      <c r="F895" s="48" t="str"/>
      <c r="G895" s="58" t="str"/>
      <c r="H895" s="62" t="str"/>
      <c r="I895" s="63" t="str"/>
      <c r="J895" s="48" t="str"/>
      <c r="K895" s="58" t="str"/>
      <c r="L895" s="42" t="str"/>
      <c r="M895" s="42" t="str"/>
      <c r="N895" s="48" t="str"/>
      <c r="O895" s="58" t="str"/>
      <c r="P895" s="42" t="str"/>
      <c r="Q895" s="42" t="str"/>
      <c r="R895" s="48" t="str"/>
      <c r="S895" s="58" t="str"/>
      <c r="T895" s="42" t="str"/>
      <c r="U895" s="42" t="str"/>
      <c r="V895" s="48" t="str"/>
      <c r="W895" s="58" t="str"/>
      <c r="X895" s="42" t="n"/>
      <c r="Y895" s="42" t="n"/>
    </row>
    <row r="896">
      <c r="B896" s="2">
        <f>IF(STUDENTS!B895="","",STUDENTS!B895)</f>
        <v/>
      </c>
      <c r="C896" s="44">
        <f>IFERROR(IF(B896="","",_xlfn.XLOOKUP(B896,STUDENTS!$B$3:$B$1048576,STUDENTS!$C$3:$C$1048576)),"Enter a registered reg. no")</f>
        <v/>
      </c>
      <c r="D896" s="52">
        <f t="array" ref="D896:W896">IF(All_Students_Scores!C894:V894="","",All_Students_Scores!C894:V894)</f>
        <v/>
      </c>
      <c r="E896" s="57" t="str"/>
      <c r="F896" s="66" t="str"/>
      <c r="G896" s="67" t="str"/>
      <c r="H896" s="64" t="str"/>
      <c r="I896" s="65" t="str"/>
      <c r="J896" s="66" t="str"/>
      <c r="K896" s="67" t="str"/>
      <c r="L896" s="41" t="str"/>
      <c r="M896" s="41" t="str"/>
      <c r="N896" s="66" t="str"/>
      <c r="O896" s="67" t="str"/>
      <c r="P896" s="41" t="str"/>
      <c r="Q896" s="41" t="str"/>
      <c r="R896" s="66" t="str"/>
      <c r="S896" s="67" t="str"/>
      <c r="T896" s="41" t="str"/>
      <c r="U896" s="41" t="str"/>
      <c r="V896" s="66" t="str"/>
      <c r="W896" s="67" t="str"/>
    </row>
    <row r="897">
      <c r="B897" s="2">
        <f>IF(STUDENTS!B896="","",STUDENTS!B896)</f>
        <v/>
      </c>
      <c r="C897" s="44">
        <f>IFERROR(IF(B897="","",_xlfn.XLOOKUP(B897,STUDENTS!$B$3:$B$1048576,STUDENTS!$C$3:$C$1048576)),"Enter a registered reg. no")</f>
        <v/>
      </c>
      <c r="D897" s="52">
        <f t="array" ref="D897:W897">IF(All_Students_Scores!C895:V895="","",All_Students_Scores!C895:V895)</f>
        <v/>
      </c>
      <c r="E897" s="55" t="str"/>
      <c r="F897" s="48" t="str"/>
      <c r="G897" s="58" t="str"/>
      <c r="H897" s="62" t="str"/>
      <c r="I897" s="63" t="str"/>
      <c r="J897" s="48" t="str"/>
      <c r="K897" s="58" t="str"/>
      <c r="L897" s="42" t="str"/>
      <c r="M897" s="42" t="str"/>
      <c r="N897" s="48" t="str"/>
      <c r="O897" s="58" t="str"/>
      <c r="P897" s="42" t="str"/>
      <c r="Q897" s="42" t="str"/>
      <c r="R897" s="48" t="str"/>
      <c r="S897" s="58" t="str"/>
      <c r="T897" s="42" t="str"/>
      <c r="U897" s="42" t="str"/>
      <c r="V897" s="48" t="str"/>
      <c r="W897" s="58" t="str"/>
      <c r="X897" s="42" t="n"/>
      <c r="Y897" s="42" t="n"/>
    </row>
    <row r="898">
      <c r="B898" s="2">
        <f>IF(STUDENTS!B897="","",STUDENTS!B897)</f>
        <v/>
      </c>
      <c r="C898" s="44">
        <f>IFERROR(IF(B898="","",_xlfn.XLOOKUP(B898,STUDENTS!$B$3:$B$1048576,STUDENTS!$C$3:$C$1048576)),"Enter a registered reg. no")</f>
        <v/>
      </c>
      <c r="D898" s="52">
        <f t="array" ref="D898:W898">IF(All_Students_Scores!C896:V896="","",All_Students_Scores!C896:V896)</f>
        <v/>
      </c>
      <c r="E898" s="57" t="str"/>
      <c r="F898" s="66" t="str"/>
      <c r="G898" s="67" t="str"/>
      <c r="H898" s="64" t="str"/>
      <c r="I898" s="65" t="str"/>
      <c r="J898" s="66" t="str"/>
      <c r="K898" s="67" t="str"/>
      <c r="L898" s="41" t="str"/>
      <c r="M898" s="41" t="str"/>
      <c r="N898" s="66" t="str"/>
      <c r="O898" s="67" t="str"/>
      <c r="P898" s="41" t="str"/>
      <c r="Q898" s="41" t="str"/>
      <c r="R898" s="66" t="str"/>
      <c r="S898" s="67" t="str"/>
      <c r="T898" s="41" t="str"/>
      <c r="U898" s="41" t="str"/>
      <c r="V898" s="66" t="str"/>
      <c r="W898" s="67" t="str"/>
    </row>
    <row r="899">
      <c r="B899" s="2">
        <f>IF(STUDENTS!B898="","",STUDENTS!B898)</f>
        <v/>
      </c>
      <c r="C899" s="44">
        <f>IFERROR(IF(B899="","",_xlfn.XLOOKUP(B899,STUDENTS!$B$3:$B$1048576,STUDENTS!$C$3:$C$1048576)),"Enter a registered reg. no")</f>
        <v/>
      </c>
      <c r="D899" s="52">
        <f t="array" ref="D899:W899">IF(All_Students_Scores!C897:V897="","",All_Students_Scores!C897:V897)</f>
        <v/>
      </c>
      <c r="E899" s="55" t="str"/>
      <c r="F899" s="48" t="str"/>
      <c r="G899" s="58" t="str"/>
      <c r="H899" s="62" t="str"/>
      <c r="I899" s="63" t="str"/>
      <c r="J899" s="48" t="str"/>
      <c r="K899" s="58" t="str"/>
      <c r="L899" s="42" t="str"/>
      <c r="M899" s="42" t="str"/>
      <c r="N899" s="48" t="str"/>
      <c r="O899" s="58" t="str"/>
      <c r="P899" s="42" t="str"/>
      <c r="Q899" s="42" t="str"/>
      <c r="R899" s="48" t="str"/>
      <c r="S899" s="58" t="str"/>
      <c r="T899" s="42" t="str"/>
      <c r="U899" s="42" t="str"/>
      <c r="V899" s="48" t="str"/>
      <c r="W899" s="58" t="str"/>
      <c r="X899" s="42" t="n"/>
      <c r="Y899" s="42" t="n"/>
    </row>
    <row r="900">
      <c r="B900" s="2">
        <f>IF(STUDENTS!B899="","",STUDENTS!B899)</f>
        <v/>
      </c>
      <c r="C900" s="44">
        <f>IFERROR(IF(B900="","",_xlfn.XLOOKUP(B900,STUDENTS!$B$3:$B$1048576,STUDENTS!$C$3:$C$1048576)),"Enter a registered reg. no")</f>
        <v/>
      </c>
      <c r="D900" s="52">
        <f t="array" ref="D900:W900">IF(All_Students_Scores!C898:V898="","",All_Students_Scores!C898:V898)</f>
        <v/>
      </c>
      <c r="E900" s="57" t="str"/>
      <c r="F900" s="66" t="str"/>
      <c r="G900" s="67" t="str"/>
      <c r="H900" s="64" t="str"/>
      <c r="I900" s="65" t="str"/>
      <c r="J900" s="66" t="str"/>
      <c r="K900" s="67" t="str"/>
      <c r="L900" s="41" t="str"/>
      <c r="M900" s="41" t="str"/>
      <c r="N900" s="66" t="str"/>
      <c r="O900" s="67" t="str"/>
      <c r="P900" s="41" t="str"/>
      <c r="Q900" s="41" t="str"/>
      <c r="R900" s="66" t="str"/>
      <c r="S900" s="67" t="str"/>
      <c r="T900" s="41" t="str"/>
      <c r="U900" s="41" t="str"/>
      <c r="V900" s="66" t="str"/>
      <c r="W900" s="67" t="str"/>
    </row>
    <row r="901">
      <c r="B901" s="2">
        <f>IF(STUDENTS!B900="","",STUDENTS!B900)</f>
        <v/>
      </c>
      <c r="C901" s="44">
        <f>IFERROR(IF(B901="","",_xlfn.XLOOKUP(B901,STUDENTS!$B$3:$B$1048576,STUDENTS!$C$3:$C$1048576)),"Enter a registered reg. no")</f>
        <v/>
      </c>
      <c r="D901" s="52">
        <f t="array" ref="D901:W901">IF(All_Students_Scores!C899:V899="","",All_Students_Scores!C899:V899)</f>
        <v/>
      </c>
      <c r="E901" s="55" t="str"/>
      <c r="F901" s="48" t="str"/>
      <c r="G901" s="58" t="str"/>
      <c r="H901" s="62" t="str"/>
      <c r="I901" s="63" t="str"/>
      <c r="J901" s="48" t="str"/>
      <c r="K901" s="58" t="str"/>
      <c r="L901" s="42" t="str"/>
      <c r="M901" s="42" t="str"/>
      <c r="N901" s="48" t="str"/>
      <c r="O901" s="58" t="str"/>
      <c r="P901" s="42" t="str"/>
      <c r="Q901" s="42" t="str"/>
      <c r="R901" s="48" t="str"/>
      <c r="S901" s="58" t="str"/>
      <c r="T901" s="42" t="str"/>
      <c r="U901" s="42" t="str"/>
      <c r="V901" s="48" t="str"/>
      <c r="W901" s="58" t="str"/>
      <c r="X901" s="42" t="n"/>
      <c r="Y901" s="42" t="n"/>
    </row>
    <row r="902">
      <c r="B902" s="2">
        <f>IF(STUDENTS!B901="","",STUDENTS!B901)</f>
        <v/>
      </c>
      <c r="C902" s="44">
        <f>IFERROR(IF(B902="","",_xlfn.XLOOKUP(B902,STUDENTS!$B$3:$B$1048576,STUDENTS!$C$3:$C$1048576)),"Enter a registered reg. no")</f>
        <v/>
      </c>
      <c r="D902" s="52">
        <f t="array" ref="D902:W902">IF(All_Students_Scores!C900:V900="","",All_Students_Scores!C900:V900)</f>
        <v/>
      </c>
      <c r="E902" s="57" t="str"/>
      <c r="F902" s="66" t="str"/>
      <c r="G902" s="67" t="str"/>
      <c r="H902" s="64" t="str"/>
      <c r="I902" s="65" t="str"/>
      <c r="J902" s="66" t="str"/>
      <c r="K902" s="67" t="str"/>
      <c r="L902" s="41" t="str"/>
      <c r="M902" s="41" t="str"/>
      <c r="N902" s="66" t="str"/>
      <c r="O902" s="67" t="str"/>
      <c r="P902" s="41" t="str"/>
      <c r="Q902" s="41" t="str"/>
      <c r="R902" s="66" t="str"/>
      <c r="S902" s="67" t="str"/>
      <c r="T902" s="41" t="str"/>
      <c r="U902" s="41" t="str"/>
      <c r="V902" s="66" t="str"/>
      <c r="W902" s="67" t="str"/>
    </row>
    <row r="903">
      <c r="B903" s="2">
        <f>IF(STUDENTS!B902="","",STUDENTS!B902)</f>
        <v/>
      </c>
      <c r="C903" s="44">
        <f>IFERROR(IF(B903="","",_xlfn.XLOOKUP(B903,STUDENTS!$B$3:$B$1048576,STUDENTS!$C$3:$C$1048576)),"Enter a registered reg. no")</f>
        <v/>
      </c>
      <c r="D903" s="52">
        <f t="array" ref="D903:W903">IF(All_Students_Scores!C901:V901="","",All_Students_Scores!C901:V901)</f>
        <v/>
      </c>
      <c r="E903" s="55" t="str"/>
      <c r="F903" s="48" t="str"/>
      <c r="G903" s="58" t="str"/>
      <c r="H903" s="62" t="str"/>
      <c r="I903" s="63" t="str"/>
      <c r="J903" s="48" t="str"/>
      <c r="K903" s="58" t="str"/>
      <c r="L903" s="42" t="str"/>
      <c r="M903" s="42" t="str"/>
      <c r="N903" s="48" t="str"/>
      <c r="O903" s="58" t="str"/>
      <c r="P903" s="42" t="str"/>
      <c r="Q903" s="42" t="str"/>
      <c r="R903" s="48" t="str"/>
      <c r="S903" s="58" t="str"/>
      <c r="T903" s="42" t="str"/>
      <c r="U903" s="42" t="str"/>
      <c r="V903" s="48" t="str"/>
      <c r="W903" s="58" t="str"/>
      <c r="X903" s="42" t="n"/>
      <c r="Y903" s="42" t="n"/>
    </row>
    <row r="904">
      <c r="B904" s="2">
        <f>IF(STUDENTS!B903="","",STUDENTS!B903)</f>
        <v/>
      </c>
      <c r="C904" s="44">
        <f>IFERROR(IF(B904="","",_xlfn.XLOOKUP(B904,STUDENTS!$B$3:$B$1048576,STUDENTS!$C$3:$C$1048576)),"Enter a registered reg. no")</f>
        <v/>
      </c>
      <c r="D904" s="52">
        <f t="array" ref="D904:W904">IF(All_Students_Scores!C902:V902="","",All_Students_Scores!C902:V902)</f>
        <v/>
      </c>
      <c r="E904" s="57" t="str"/>
      <c r="F904" s="66" t="str"/>
      <c r="G904" s="67" t="str"/>
      <c r="H904" s="64" t="str"/>
      <c r="I904" s="65" t="str"/>
      <c r="J904" s="66" t="str"/>
      <c r="K904" s="67" t="str"/>
      <c r="L904" s="41" t="str"/>
      <c r="M904" s="41" t="str"/>
      <c r="N904" s="66" t="str"/>
      <c r="O904" s="67" t="str"/>
      <c r="P904" s="41" t="str"/>
      <c r="Q904" s="41" t="str"/>
      <c r="R904" s="66" t="str"/>
      <c r="S904" s="67" t="str"/>
      <c r="T904" s="41" t="str"/>
      <c r="U904" s="41" t="str"/>
      <c r="V904" s="66" t="str"/>
      <c r="W904" s="67" t="str"/>
    </row>
    <row r="905">
      <c r="B905" s="2">
        <f>IF(STUDENTS!B904="","",STUDENTS!B904)</f>
        <v/>
      </c>
      <c r="C905" s="44">
        <f>IFERROR(IF(B905="","",_xlfn.XLOOKUP(B905,STUDENTS!$B$3:$B$1048576,STUDENTS!$C$3:$C$1048576)),"Enter a registered reg. no")</f>
        <v/>
      </c>
      <c r="D905" s="52">
        <f t="array" ref="D905:W905">IF(All_Students_Scores!C903:V903="","",All_Students_Scores!C903:V903)</f>
        <v/>
      </c>
      <c r="E905" s="55" t="str"/>
      <c r="F905" s="48" t="str"/>
      <c r="G905" s="58" t="str"/>
      <c r="H905" s="62" t="str"/>
      <c r="I905" s="63" t="str"/>
      <c r="J905" s="48" t="str"/>
      <c r="K905" s="58" t="str"/>
      <c r="L905" s="42" t="str"/>
      <c r="M905" s="42" t="str"/>
      <c r="N905" s="48" t="str"/>
      <c r="O905" s="58" t="str"/>
      <c r="P905" s="42" t="str"/>
      <c r="Q905" s="42" t="str"/>
      <c r="R905" s="48" t="str"/>
      <c r="S905" s="58" t="str"/>
      <c r="T905" s="42" t="str"/>
      <c r="U905" s="42" t="str"/>
      <c r="V905" s="48" t="str"/>
      <c r="W905" s="58" t="str"/>
      <c r="X905" s="42" t="n"/>
      <c r="Y905" s="42" t="n"/>
    </row>
    <row r="906">
      <c r="B906" s="2">
        <f>IF(STUDENTS!B905="","",STUDENTS!B905)</f>
        <v/>
      </c>
      <c r="C906" s="44">
        <f>IFERROR(IF(B906="","",_xlfn.XLOOKUP(B906,STUDENTS!$B$3:$B$1048576,STUDENTS!$C$3:$C$1048576)),"Enter a registered reg. no")</f>
        <v/>
      </c>
      <c r="D906" s="52">
        <f t="array" ref="D906:W906">IF(All_Students_Scores!C904:V904="","",All_Students_Scores!C904:V904)</f>
        <v/>
      </c>
      <c r="E906" s="57" t="str"/>
      <c r="F906" s="66" t="str"/>
      <c r="G906" s="67" t="str"/>
      <c r="H906" s="64" t="str"/>
      <c r="I906" s="65" t="str"/>
      <c r="J906" s="66" t="str"/>
      <c r="K906" s="67" t="str"/>
      <c r="L906" s="41" t="str"/>
      <c r="M906" s="41" t="str"/>
      <c r="N906" s="66" t="str"/>
      <c r="O906" s="67" t="str"/>
      <c r="P906" s="41" t="str"/>
      <c r="Q906" s="41" t="str"/>
      <c r="R906" s="66" t="str"/>
      <c r="S906" s="67" t="str"/>
      <c r="T906" s="41" t="str"/>
      <c r="U906" s="41" t="str"/>
      <c r="V906" s="66" t="str"/>
      <c r="W906" s="67" t="str"/>
    </row>
    <row r="907">
      <c r="B907" s="2">
        <f>IF(STUDENTS!B906="","",STUDENTS!B906)</f>
        <v/>
      </c>
      <c r="C907" s="44">
        <f>IFERROR(IF(B907="","",_xlfn.XLOOKUP(B907,STUDENTS!$B$3:$B$1048576,STUDENTS!$C$3:$C$1048576)),"Enter a registered reg. no")</f>
        <v/>
      </c>
      <c r="D907" s="52">
        <f t="array" ref="D907:W907">IF(All_Students_Scores!C905:V905="","",All_Students_Scores!C905:V905)</f>
        <v/>
      </c>
      <c r="E907" s="55" t="str"/>
      <c r="F907" s="48" t="str"/>
      <c r="G907" s="58" t="str"/>
      <c r="H907" s="62" t="str"/>
      <c r="I907" s="63" t="str"/>
      <c r="J907" s="48" t="str"/>
      <c r="K907" s="58" t="str"/>
      <c r="L907" s="42" t="str"/>
      <c r="M907" s="42" t="str"/>
      <c r="N907" s="48" t="str"/>
      <c r="O907" s="58" t="str"/>
      <c r="P907" s="42" t="str"/>
      <c r="Q907" s="42" t="str"/>
      <c r="R907" s="48" t="str"/>
      <c r="S907" s="58" t="str"/>
      <c r="T907" s="42" t="str"/>
      <c r="U907" s="42" t="str"/>
      <c r="V907" s="48" t="str"/>
      <c r="W907" s="58" t="str"/>
      <c r="X907" s="42" t="n"/>
      <c r="Y907" s="42" t="n"/>
    </row>
    <row r="908">
      <c r="B908" s="2">
        <f>IF(STUDENTS!B907="","",STUDENTS!B907)</f>
        <v/>
      </c>
      <c r="C908" s="44">
        <f>IFERROR(IF(B908="","",_xlfn.XLOOKUP(B908,STUDENTS!$B$3:$B$1048576,STUDENTS!$C$3:$C$1048576)),"Enter a registered reg. no")</f>
        <v/>
      </c>
      <c r="D908" s="52">
        <f t="array" ref="D908:W908">IF(All_Students_Scores!C906:V906="","",All_Students_Scores!C906:V906)</f>
        <v/>
      </c>
      <c r="E908" s="57" t="str"/>
      <c r="F908" s="66" t="str"/>
      <c r="G908" s="67" t="str"/>
      <c r="H908" s="64" t="str"/>
      <c r="I908" s="65" t="str"/>
      <c r="J908" s="66" t="str"/>
      <c r="K908" s="67" t="str"/>
      <c r="L908" s="41" t="str"/>
      <c r="M908" s="41" t="str"/>
      <c r="N908" s="66" t="str"/>
      <c r="O908" s="67" t="str"/>
      <c r="P908" s="41" t="str"/>
      <c r="Q908" s="41" t="str"/>
      <c r="R908" s="66" t="str"/>
      <c r="S908" s="67" t="str"/>
      <c r="T908" s="41" t="str"/>
      <c r="U908" s="41" t="str"/>
      <c r="V908" s="66" t="str"/>
      <c r="W908" s="67" t="str"/>
    </row>
    <row r="909">
      <c r="B909" s="2">
        <f>IF(STUDENTS!B908="","",STUDENTS!B908)</f>
        <v/>
      </c>
      <c r="C909" s="44">
        <f>IFERROR(IF(B909="","",_xlfn.XLOOKUP(B909,STUDENTS!$B$3:$B$1048576,STUDENTS!$C$3:$C$1048576)),"Enter a registered reg. no")</f>
        <v/>
      </c>
      <c r="D909" s="52">
        <f t="array" ref="D909:W909">IF(All_Students_Scores!C907:V907="","",All_Students_Scores!C907:V907)</f>
        <v/>
      </c>
      <c r="E909" s="55" t="str"/>
      <c r="F909" s="48" t="str"/>
      <c r="G909" s="58" t="str"/>
      <c r="H909" s="62" t="str"/>
      <c r="I909" s="63" t="str"/>
      <c r="J909" s="48" t="str"/>
      <c r="K909" s="58" t="str"/>
      <c r="L909" s="42" t="str"/>
      <c r="M909" s="42" t="str"/>
      <c r="N909" s="48" t="str"/>
      <c r="O909" s="58" t="str"/>
      <c r="P909" s="42" t="str"/>
      <c r="Q909" s="42" t="str"/>
      <c r="R909" s="48" t="str"/>
      <c r="S909" s="58" t="str"/>
      <c r="T909" s="42" t="str"/>
      <c r="U909" s="42" t="str"/>
      <c r="V909" s="48" t="str"/>
      <c r="W909" s="58" t="str"/>
      <c r="X909" s="42" t="n"/>
      <c r="Y909" s="42" t="n"/>
    </row>
    <row r="910">
      <c r="B910" s="2">
        <f>IF(STUDENTS!B909="","",STUDENTS!B909)</f>
        <v/>
      </c>
      <c r="C910" s="44">
        <f>IFERROR(IF(B910="","",_xlfn.XLOOKUP(B910,STUDENTS!$B$3:$B$1048576,STUDENTS!$C$3:$C$1048576)),"Enter a registered reg. no")</f>
        <v/>
      </c>
      <c r="D910" s="52">
        <f t="array" ref="D910:W910">IF(All_Students_Scores!C908:V908="","",All_Students_Scores!C908:V908)</f>
        <v/>
      </c>
      <c r="E910" s="57" t="str"/>
      <c r="F910" s="66" t="str"/>
      <c r="G910" s="67" t="str"/>
      <c r="H910" s="64" t="str"/>
      <c r="I910" s="65" t="str"/>
      <c r="J910" s="66" t="str"/>
      <c r="K910" s="67" t="str"/>
      <c r="L910" s="41" t="str"/>
      <c r="M910" s="41" t="str"/>
      <c r="N910" s="66" t="str"/>
      <c r="O910" s="67" t="str"/>
      <c r="P910" s="41" t="str"/>
      <c r="Q910" s="41" t="str"/>
      <c r="R910" s="66" t="str"/>
      <c r="S910" s="67" t="str"/>
      <c r="T910" s="41" t="str"/>
      <c r="U910" s="41" t="str"/>
      <c r="V910" s="66" t="str"/>
      <c r="W910" s="67" t="str"/>
    </row>
    <row r="911">
      <c r="B911" s="2">
        <f>IF(STUDENTS!B910="","",STUDENTS!B910)</f>
        <v/>
      </c>
      <c r="C911" s="44">
        <f>IFERROR(IF(B911="","",_xlfn.XLOOKUP(B911,STUDENTS!$B$3:$B$1048576,STUDENTS!$C$3:$C$1048576)),"Enter a registered reg. no")</f>
        <v/>
      </c>
      <c r="D911" s="52">
        <f t="array" ref="D911:W911">IF(All_Students_Scores!C909:V909="","",All_Students_Scores!C909:V909)</f>
        <v/>
      </c>
      <c r="E911" s="55" t="str"/>
      <c r="F911" s="48" t="str"/>
      <c r="G911" s="58" t="str"/>
      <c r="H911" s="62" t="str"/>
      <c r="I911" s="63" t="str"/>
      <c r="J911" s="48" t="str"/>
      <c r="K911" s="58" t="str"/>
      <c r="L911" s="42" t="str"/>
      <c r="M911" s="42" t="str"/>
      <c r="N911" s="48" t="str"/>
      <c r="O911" s="58" t="str"/>
      <c r="P911" s="42" t="str"/>
      <c r="Q911" s="42" t="str"/>
      <c r="R911" s="48" t="str"/>
      <c r="S911" s="58" t="str"/>
      <c r="T911" s="42" t="str"/>
      <c r="U911" s="42" t="str"/>
      <c r="V911" s="48" t="str"/>
      <c r="W911" s="58" t="str"/>
      <c r="X911" s="42" t="n"/>
      <c r="Y911" s="42" t="n"/>
    </row>
    <row r="912">
      <c r="B912" s="2">
        <f>IF(STUDENTS!B911="","",STUDENTS!B911)</f>
        <v/>
      </c>
      <c r="C912" s="44">
        <f>IFERROR(IF(B912="","",_xlfn.XLOOKUP(B912,STUDENTS!$B$3:$B$1048576,STUDENTS!$C$3:$C$1048576)),"Enter a registered reg. no")</f>
        <v/>
      </c>
      <c r="D912" s="52">
        <f t="array" ref="D912:W912">IF(All_Students_Scores!C910:V910="","",All_Students_Scores!C910:V910)</f>
        <v/>
      </c>
      <c r="E912" s="57" t="str"/>
      <c r="F912" s="66" t="str"/>
      <c r="G912" s="67" t="str"/>
      <c r="H912" s="64" t="str"/>
      <c r="I912" s="65" t="str"/>
      <c r="J912" s="66" t="str"/>
      <c r="K912" s="67" t="str"/>
      <c r="L912" s="41" t="str"/>
      <c r="M912" s="41" t="str"/>
      <c r="N912" s="66" t="str"/>
      <c r="O912" s="67" t="str"/>
      <c r="P912" s="41" t="str"/>
      <c r="Q912" s="41" t="str"/>
      <c r="R912" s="66" t="str"/>
      <c r="S912" s="67" t="str"/>
      <c r="T912" s="41" t="str"/>
      <c r="U912" s="41" t="str"/>
      <c r="V912" s="66" t="str"/>
      <c r="W912" s="67" t="str"/>
    </row>
    <row r="913">
      <c r="B913" s="2">
        <f>IF(STUDENTS!B912="","",STUDENTS!B912)</f>
        <v/>
      </c>
      <c r="C913" s="44">
        <f>IFERROR(IF(B913="","",_xlfn.XLOOKUP(B913,STUDENTS!$B$3:$B$1048576,STUDENTS!$C$3:$C$1048576)),"Enter a registered reg. no")</f>
        <v/>
      </c>
      <c r="D913" s="52">
        <f t="array" ref="D913:W913">IF(All_Students_Scores!C911:V911="","",All_Students_Scores!C911:V911)</f>
        <v/>
      </c>
      <c r="E913" s="55" t="str"/>
      <c r="F913" s="48" t="str"/>
      <c r="G913" s="58" t="str"/>
      <c r="H913" s="62" t="str"/>
      <c r="I913" s="63" t="str"/>
      <c r="J913" s="48" t="str"/>
      <c r="K913" s="58" t="str"/>
      <c r="L913" s="42" t="str"/>
      <c r="M913" s="42" t="str"/>
      <c r="N913" s="48" t="str"/>
      <c r="O913" s="58" t="str"/>
      <c r="P913" s="42" t="str"/>
      <c r="Q913" s="42" t="str"/>
      <c r="R913" s="48" t="str"/>
      <c r="S913" s="58" t="str"/>
      <c r="T913" s="42" t="str"/>
      <c r="U913" s="42" t="str"/>
      <c r="V913" s="48" t="str"/>
      <c r="W913" s="58" t="str"/>
      <c r="X913" s="42" t="n"/>
      <c r="Y913" s="42" t="n"/>
    </row>
    <row r="914">
      <c r="B914" s="2">
        <f>IF(STUDENTS!B913="","",STUDENTS!B913)</f>
        <v/>
      </c>
      <c r="C914" s="44">
        <f>IFERROR(IF(B914="","",_xlfn.XLOOKUP(B914,STUDENTS!$B$3:$B$1048576,STUDENTS!$C$3:$C$1048576)),"Enter a registered reg. no")</f>
        <v/>
      </c>
      <c r="D914" s="52">
        <f t="array" ref="D914:W914">IF(All_Students_Scores!C912:V912="","",All_Students_Scores!C912:V912)</f>
        <v/>
      </c>
      <c r="E914" s="57" t="str"/>
      <c r="F914" s="66" t="str"/>
      <c r="G914" s="67" t="str"/>
      <c r="H914" s="64" t="str"/>
      <c r="I914" s="65" t="str"/>
      <c r="J914" s="66" t="str"/>
      <c r="K914" s="67" t="str"/>
      <c r="L914" s="41" t="str"/>
      <c r="M914" s="41" t="str"/>
      <c r="N914" s="66" t="str"/>
      <c r="O914" s="67" t="str"/>
      <c r="P914" s="41" t="str"/>
      <c r="Q914" s="41" t="str"/>
      <c r="R914" s="66" t="str"/>
      <c r="S914" s="67" t="str"/>
      <c r="T914" s="41" t="str"/>
      <c r="U914" s="41" t="str"/>
      <c r="V914" s="66" t="str"/>
      <c r="W914" s="67" t="str"/>
    </row>
    <row r="915">
      <c r="B915" s="2">
        <f>IF(STUDENTS!B914="","",STUDENTS!B914)</f>
        <v/>
      </c>
      <c r="C915" s="44">
        <f>IFERROR(IF(B915="","",_xlfn.XLOOKUP(B915,STUDENTS!$B$3:$B$1048576,STUDENTS!$C$3:$C$1048576)),"Enter a registered reg. no")</f>
        <v/>
      </c>
      <c r="D915" s="52">
        <f t="array" ref="D915:W915">IF(All_Students_Scores!C913:V913="","",All_Students_Scores!C913:V913)</f>
        <v/>
      </c>
      <c r="E915" s="55" t="str"/>
      <c r="F915" s="48" t="str"/>
      <c r="G915" s="58" t="str"/>
      <c r="H915" s="62" t="str"/>
      <c r="I915" s="63" t="str"/>
      <c r="J915" s="48" t="str"/>
      <c r="K915" s="58" t="str"/>
      <c r="L915" s="42" t="str"/>
      <c r="M915" s="42" t="str"/>
      <c r="N915" s="48" t="str"/>
      <c r="O915" s="58" t="str"/>
      <c r="P915" s="42" t="str"/>
      <c r="Q915" s="42" t="str"/>
      <c r="R915" s="48" t="str"/>
      <c r="S915" s="58" t="str"/>
      <c r="T915" s="42" t="str"/>
      <c r="U915" s="42" t="str"/>
      <c r="V915" s="48" t="str"/>
      <c r="W915" s="58" t="str"/>
      <c r="X915" s="42" t="n"/>
      <c r="Y915" s="42" t="n"/>
    </row>
    <row r="916">
      <c r="B916" s="2">
        <f>IF(STUDENTS!B915="","",STUDENTS!B915)</f>
        <v/>
      </c>
      <c r="C916" s="44">
        <f>IFERROR(IF(B916="","",_xlfn.XLOOKUP(B916,STUDENTS!$B$3:$B$1048576,STUDENTS!$C$3:$C$1048576)),"Enter a registered reg. no")</f>
        <v/>
      </c>
      <c r="D916" s="52">
        <f t="array" ref="D916:W916">IF(All_Students_Scores!C914:V914="","",All_Students_Scores!C914:V914)</f>
        <v/>
      </c>
      <c r="E916" s="57" t="str"/>
      <c r="F916" s="66" t="str"/>
      <c r="G916" s="67" t="str"/>
      <c r="H916" s="64" t="str"/>
      <c r="I916" s="65" t="str"/>
      <c r="J916" s="66" t="str"/>
      <c r="K916" s="67" t="str"/>
      <c r="L916" s="41" t="str"/>
      <c r="M916" s="41" t="str"/>
      <c r="N916" s="66" t="str"/>
      <c r="O916" s="67" t="str"/>
      <c r="P916" s="41" t="str"/>
      <c r="Q916" s="41" t="str"/>
      <c r="R916" s="66" t="str"/>
      <c r="S916" s="67" t="str"/>
      <c r="T916" s="41" t="str"/>
      <c r="U916" s="41" t="str"/>
      <c r="V916" s="66" t="str"/>
      <c r="W916" s="67" t="str"/>
    </row>
    <row r="917">
      <c r="B917" s="2">
        <f>IF(STUDENTS!B916="","",STUDENTS!B916)</f>
        <v/>
      </c>
      <c r="C917" s="44">
        <f>IFERROR(IF(B917="","",_xlfn.XLOOKUP(B917,STUDENTS!$B$3:$B$1048576,STUDENTS!$C$3:$C$1048576)),"Enter a registered reg. no")</f>
        <v/>
      </c>
      <c r="D917" s="52">
        <f t="array" ref="D917:W917">IF(All_Students_Scores!C915:V915="","",All_Students_Scores!C915:V915)</f>
        <v/>
      </c>
      <c r="E917" s="55" t="str"/>
      <c r="F917" s="48" t="str"/>
      <c r="G917" s="58" t="str"/>
      <c r="H917" s="62" t="str"/>
      <c r="I917" s="63" t="str"/>
      <c r="J917" s="48" t="str"/>
      <c r="K917" s="58" t="str"/>
      <c r="L917" s="42" t="str"/>
      <c r="M917" s="42" t="str"/>
      <c r="N917" s="48" t="str"/>
      <c r="O917" s="58" t="str"/>
      <c r="P917" s="42" t="str"/>
      <c r="Q917" s="42" t="str"/>
      <c r="R917" s="48" t="str"/>
      <c r="S917" s="58" t="str"/>
      <c r="T917" s="42" t="str"/>
      <c r="U917" s="42" t="str"/>
      <c r="V917" s="48" t="str"/>
      <c r="W917" s="58" t="str"/>
      <c r="X917" s="42" t="n"/>
      <c r="Y917" s="42" t="n"/>
    </row>
    <row r="918">
      <c r="B918" s="2">
        <f>IF(STUDENTS!B917="","",STUDENTS!B917)</f>
        <v/>
      </c>
      <c r="C918" s="44">
        <f>IFERROR(IF(B918="","",_xlfn.XLOOKUP(B918,STUDENTS!$B$3:$B$1048576,STUDENTS!$C$3:$C$1048576)),"Enter a registered reg. no")</f>
        <v/>
      </c>
      <c r="D918" s="52">
        <f t="array" ref="D918:W918">IF(All_Students_Scores!C916:V916="","",All_Students_Scores!C916:V916)</f>
        <v/>
      </c>
      <c r="E918" s="57" t="str"/>
      <c r="F918" s="66" t="str"/>
      <c r="G918" s="67" t="str"/>
      <c r="H918" s="64" t="str"/>
      <c r="I918" s="65" t="str"/>
      <c r="J918" s="66" t="str"/>
      <c r="K918" s="67" t="str"/>
      <c r="L918" s="41" t="str"/>
      <c r="M918" s="41" t="str"/>
      <c r="N918" s="66" t="str"/>
      <c r="O918" s="67" t="str"/>
      <c r="P918" s="41" t="str"/>
      <c r="Q918" s="41" t="str"/>
      <c r="R918" s="66" t="str"/>
      <c r="S918" s="67" t="str"/>
      <c r="T918" s="41" t="str"/>
      <c r="U918" s="41" t="str"/>
      <c r="V918" s="66" t="str"/>
      <c r="W918" s="67" t="str"/>
    </row>
    <row r="919">
      <c r="B919" s="2">
        <f>IF(STUDENTS!B918="","",STUDENTS!B918)</f>
        <v/>
      </c>
      <c r="C919" s="44">
        <f>IFERROR(IF(B919="","",_xlfn.XLOOKUP(B919,STUDENTS!$B$3:$B$1048576,STUDENTS!$C$3:$C$1048576)),"Enter a registered reg. no")</f>
        <v/>
      </c>
      <c r="D919" s="52">
        <f t="array" ref="D919:W919">IF(All_Students_Scores!C917:V917="","",All_Students_Scores!C917:V917)</f>
        <v/>
      </c>
      <c r="E919" s="55" t="str"/>
      <c r="F919" s="48" t="str"/>
      <c r="G919" s="58" t="str"/>
      <c r="H919" s="62" t="str"/>
      <c r="I919" s="63" t="str"/>
      <c r="J919" s="48" t="str"/>
      <c r="K919" s="58" t="str"/>
      <c r="L919" s="42" t="str"/>
      <c r="M919" s="42" t="str"/>
      <c r="N919" s="48" t="str"/>
      <c r="O919" s="58" t="str"/>
      <c r="P919" s="42" t="str"/>
      <c r="Q919" s="42" t="str"/>
      <c r="R919" s="48" t="str"/>
      <c r="S919" s="58" t="str"/>
      <c r="T919" s="42" t="str"/>
      <c r="U919" s="42" t="str"/>
      <c r="V919" s="48" t="str"/>
      <c r="W919" s="58" t="str"/>
      <c r="X919" s="42" t="n"/>
      <c r="Y919" s="42" t="n"/>
    </row>
    <row r="920">
      <c r="B920" s="2">
        <f>IF(STUDENTS!B919="","",STUDENTS!B919)</f>
        <v/>
      </c>
      <c r="C920" s="44">
        <f>IFERROR(IF(B920="","",_xlfn.XLOOKUP(B920,STUDENTS!$B$3:$B$1048576,STUDENTS!$C$3:$C$1048576)),"Enter a registered reg. no")</f>
        <v/>
      </c>
      <c r="D920" s="52">
        <f t="array" ref="D920:W920">IF(All_Students_Scores!C918:V918="","",All_Students_Scores!C918:V918)</f>
        <v/>
      </c>
      <c r="E920" s="57" t="str"/>
      <c r="F920" s="66" t="str"/>
      <c r="G920" s="67" t="str"/>
      <c r="H920" s="64" t="str"/>
      <c r="I920" s="65" t="str"/>
      <c r="J920" s="66" t="str"/>
      <c r="K920" s="67" t="str"/>
      <c r="L920" s="41" t="str"/>
      <c r="M920" s="41" t="str"/>
      <c r="N920" s="66" t="str"/>
      <c r="O920" s="67" t="str"/>
      <c r="P920" s="41" t="str"/>
      <c r="Q920" s="41" t="str"/>
      <c r="R920" s="66" t="str"/>
      <c r="S920" s="67" t="str"/>
      <c r="T920" s="41" t="str"/>
      <c r="U920" s="41" t="str"/>
      <c r="V920" s="66" t="str"/>
      <c r="W920" s="67" t="str"/>
    </row>
    <row r="921">
      <c r="B921" s="2">
        <f>IF(STUDENTS!B920="","",STUDENTS!B920)</f>
        <v/>
      </c>
      <c r="C921" s="44">
        <f>IFERROR(IF(B921="","",_xlfn.XLOOKUP(B921,STUDENTS!$B$3:$B$1048576,STUDENTS!$C$3:$C$1048576)),"Enter a registered reg. no")</f>
        <v/>
      </c>
      <c r="D921" s="52">
        <f t="array" ref="D921:W921">IF(All_Students_Scores!C919:V919="","",All_Students_Scores!C919:V919)</f>
        <v/>
      </c>
      <c r="E921" s="55" t="str"/>
      <c r="F921" s="48" t="str"/>
      <c r="G921" s="58" t="str"/>
      <c r="H921" s="62" t="str"/>
      <c r="I921" s="63" t="str"/>
      <c r="J921" s="48" t="str"/>
      <c r="K921" s="58" t="str"/>
      <c r="L921" s="42" t="str"/>
      <c r="M921" s="42" t="str"/>
      <c r="N921" s="48" t="str"/>
      <c r="O921" s="58" t="str"/>
      <c r="P921" s="42" t="str"/>
      <c r="Q921" s="42" t="str"/>
      <c r="R921" s="48" t="str"/>
      <c r="S921" s="58" t="str"/>
      <c r="T921" s="42" t="str"/>
      <c r="U921" s="42" t="str"/>
      <c r="V921" s="48" t="str"/>
      <c r="W921" s="58" t="str"/>
      <c r="X921" s="42" t="n"/>
      <c r="Y921" s="42" t="n"/>
    </row>
    <row r="922">
      <c r="B922" s="2">
        <f>IF(STUDENTS!B921="","",STUDENTS!B921)</f>
        <v/>
      </c>
      <c r="C922" s="44">
        <f>IFERROR(IF(B922="","",_xlfn.XLOOKUP(B922,STUDENTS!$B$3:$B$1048576,STUDENTS!$C$3:$C$1048576)),"Enter a registered reg. no")</f>
        <v/>
      </c>
      <c r="D922" s="52">
        <f t="array" ref="D922:W922">IF(All_Students_Scores!C920:V920="","",All_Students_Scores!C920:V920)</f>
        <v/>
      </c>
      <c r="E922" s="57" t="str"/>
      <c r="F922" s="66" t="str"/>
      <c r="G922" s="67" t="str"/>
      <c r="H922" s="64" t="str"/>
      <c r="I922" s="65" t="str"/>
      <c r="J922" s="66" t="str"/>
      <c r="K922" s="67" t="str"/>
      <c r="L922" s="41" t="str"/>
      <c r="M922" s="41" t="str"/>
      <c r="N922" s="66" t="str"/>
      <c r="O922" s="67" t="str"/>
      <c r="P922" s="41" t="str"/>
      <c r="Q922" s="41" t="str"/>
      <c r="R922" s="66" t="str"/>
      <c r="S922" s="67" t="str"/>
      <c r="T922" s="41" t="str"/>
      <c r="U922" s="41" t="str"/>
      <c r="V922" s="66" t="str"/>
      <c r="W922" s="67" t="str"/>
    </row>
    <row r="923">
      <c r="B923" s="2">
        <f>IF(STUDENTS!B922="","",STUDENTS!B922)</f>
        <v/>
      </c>
      <c r="C923" s="44">
        <f>IFERROR(IF(B923="","",_xlfn.XLOOKUP(B923,STUDENTS!$B$3:$B$1048576,STUDENTS!$C$3:$C$1048576)),"Enter a registered reg. no")</f>
        <v/>
      </c>
      <c r="D923" s="52">
        <f t="array" ref="D923:W923">IF(All_Students_Scores!C921:V921="","",All_Students_Scores!C921:V921)</f>
        <v/>
      </c>
      <c r="E923" s="55" t="str"/>
      <c r="F923" s="48" t="str"/>
      <c r="G923" s="58" t="str"/>
      <c r="H923" s="62" t="str"/>
      <c r="I923" s="63" t="str"/>
      <c r="J923" s="48" t="str"/>
      <c r="K923" s="58" t="str"/>
      <c r="L923" s="42" t="str"/>
      <c r="M923" s="42" t="str"/>
      <c r="N923" s="48" t="str"/>
      <c r="O923" s="58" t="str"/>
      <c r="P923" s="42" t="str"/>
      <c r="Q923" s="42" t="str"/>
      <c r="R923" s="48" t="str"/>
      <c r="S923" s="58" t="str"/>
      <c r="T923" s="42" t="str"/>
      <c r="U923" s="42" t="str"/>
      <c r="V923" s="48" t="str"/>
      <c r="W923" s="58" t="str"/>
      <c r="X923" s="42" t="n"/>
      <c r="Y923" s="42" t="n"/>
    </row>
    <row r="924">
      <c r="B924" s="2">
        <f>IF(STUDENTS!B923="","",STUDENTS!B923)</f>
        <v/>
      </c>
      <c r="C924" s="44">
        <f>IFERROR(IF(B924="","",_xlfn.XLOOKUP(B924,STUDENTS!$B$3:$B$1048576,STUDENTS!$C$3:$C$1048576)),"Enter a registered reg. no")</f>
        <v/>
      </c>
      <c r="D924" s="52">
        <f t="array" ref="D924:W924">IF(All_Students_Scores!C922:V922="","",All_Students_Scores!C922:V922)</f>
        <v/>
      </c>
      <c r="E924" s="57" t="str"/>
      <c r="F924" s="66" t="str"/>
      <c r="G924" s="67" t="str"/>
      <c r="H924" s="64" t="str"/>
      <c r="I924" s="65" t="str"/>
      <c r="J924" s="66" t="str"/>
      <c r="K924" s="67" t="str"/>
      <c r="L924" s="41" t="str"/>
      <c r="M924" s="41" t="str"/>
      <c r="N924" s="66" t="str"/>
      <c r="O924" s="67" t="str"/>
      <c r="P924" s="41" t="str"/>
      <c r="Q924" s="41" t="str"/>
      <c r="R924" s="66" t="str"/>
      <c r="S924" s="67" t="str"/>
      <c r="T924" s="41" t="str"/>
      <c r="U924" s="41" t="str"/>
      <c r="V924" s="66" t="str"/>
      <c r="W924" s="67" t="str"/>
    </row>
    <row r="925">
      <c r="B925" s="2">
        <f>IF(STUDENTS!B924="","",STUDENTS!B924)</f>
        <v/>
      </c>
      <c r="C925" s="44">
        <f>IFERROR(IF(B925="","",_xlfn.XLOOKUP(B925,STUDENTS!$B$3:$B$1048576,STUDENTS!$C$3:$C$1048576)),"Enter a registered reg. no")</f>
        <v/>
      </c>
      <c r="D925" s="52">
        <f t="array" ref="D925:W925">IF(All_Students_Scores!C923:V923="","",All_Students_Scores!C923:V923)</f>
        <v/>
      </c>
      <c r="E925" s="55" t="str"/>
      <c r="F925" s="48" t="str"/>
      <c r="G925" s="58" t="str"/>
      <c r="H925" s="62" t="str"/>
      <c r="I925" s="63" t="str"/>
      <c r="J925" s="48" t="str"/>
      <c r="K925" s="58" t="str"/>
      <c r="L925" s="42" t="str"/>
      <c r="M925" s="42" t="str"/>
      <c r="N925" s="48" t="str"/>
      <c r="O925" s="58" t="str"/>
      <c r="P925" s="42" t="str"/>
      <c r="Q925" s="42" t="str"/>
      <c r="R925" s="48" t="str"/>
      <c r="S925" s="58" t="str"/>
      <c r="T925" s="42" t="str"/>
      <c r="U925" s="42" t="str"/>
      <c r="V925" s="48" t="str"/>
      <c r="W925" s="58" t="str"/>
      <c r="X925" s="42" t="n"/>
      <c r="Y925" s="42" t="n"/>
    </row>
    <row r="926">
      <c r="B926" s="2">
        <f>IF(STUDENTS!B925="","",STUDENTS!B925)</f>
        <v/>
      </c>
      <c r="C926" s="44">
        <f>IFERROR(IF(B926="","",_xlfn.XLOOKUP(B926,STUDENTS!$B$3:$B$1048576,STUDENTS!$C$3:$C$1048576)),"Enter a registered reg. no")</f>
        <v/>
      </c>
      <c r="D926" s="52">
        <f t="array" ref="D926:W926">IF(All_Students_Scores!C924:V924="","",All_Students_Scores!C924:V924)</f>
        <v/>
      </c>
      <c r="E926" s="57" t="str"/>
      <c r="F926" s="66" t="str"/>
      <c r="G926" s="67" t="str"/>
      <c r="H926" s="64" t="str"/>
      <c r="I926" s="65" t="str"/>
      <c r="J926" s="66" t="str"/>
      <c r="K926" s="67" t="str"/>
      <c r="L926" s="41" t="str"/>
      <c r="M926" s="41" t="str"/>
      <c r="N926" s="66" t="str"/>
      <c r="O926" s="67" t="str"/>
      <c r="P926" s="41" t="str"/>
      <c r="Q926" s="41" t="str"/>
      <c r="R926" s="66" t="str"/>
      <c r="S926" s="67" t="str"/>
      <c r="T926" s="41" t="str"/>
      <c r="U926" s="41" t="str"/>
      <c r="V926" s="66" t="str"/>
      <c r="W926" s="67" t="str"/>
    </row>
    <row r="927">
      <c r="B927" s="2">
        <f>IF(STUDENTS!B926="","",STUDENTS!B926)</f>
        <v/>
      </c>
      <c r="C927" s="44">
        <f>IFERROR(IF(B927="","",_xlfn.XLOOKUP(B927,STUDENTS!$B$3:$B$1048576,STUDENTS!$C$3:$C$1048576)),"Enter a registered reg. no")</f>
        <v/>
      </c>
      <c r="D927" s="52">
        <f t="array" ref="D927:W927">IF(All_Students_Scores!C925:V925="","",All_Students_Scores!C925:V925)</f>
        <v/>
      </c>
      <c r="E927" s="55" t="str"/>
      <c r="F927" s="48" t="str"/>
      <c r="G927" s="58" t="str"/>
      <c r="H927" s="62" t="str"/>
      <c r="I927" s="63" t="str"/>
      <c r="J927" s="48" t="str"/>
      <c r="K927" s="58" t="str"/>
      <c r="L927" s="42" t="str"/>
      <c r="M927" s="42" t="str"/>
      <c r="N927" s="48" t="str"/>
      <c r="O927" s="58" t="str"/>
      <c r="P927" s="42" t="str"/>
      <c r="Q927" s="42" t="str"/>
      <c r="R927" s="48" t="str"/>
      <c r="S927" s="58" t="str"/>
      <c r="T927" s="42" t="str"/>
      <c r="U927" s="42" t="str"/>
      <c r="V927" s="48" t="str"/>
      <c r="W927" s="58" t="str"/>
      <c r="X927" s="42" t="n"/>
      <c r="Y927" s="42" t="n"/>
    </row>
    <row r="928">
      <c r="B928" s="2">
        <f>IF(STUDENTS!B927="","",STUDENTS!B927)</f>
        <v/>
      </c>
      <c r="C928" s="44">
        <f>IFERROR(IF(B928="","",_xlfn.XLOOKUP(B928,STUDENTS!$B$3:$B$1048576,STUDENTS!$C$3:$C$1048576)),"Enter a registered reg. no")</f>
        <v/>
      </c>
      <c r="D928" s="52">
        <f t="array" ref="D928:W928">IF(All_Students_Scores!C926:V926="","",All_Students_Scores!C926:V926)</f>
        <v/>
      </c>
      <c r="E928" s="57" t="str"/>
      <c r="F928" s="66" t="str"/>
      <c r="G928" s="67" t="str"/>
      <c r="H928" s="64" t="str"/>
      <c r="I928" s="65" t="str"/>
      <c r="J928" s="66" t="str"/>
      <c r="K928" s="67" t="str"/>
      <c r="L928" s="41" t="str"/>
      <c r="M928" s="41" t="str"/>
      <c r="N928" s="66" t="str"/>
      <c r="O928" s="67" t="str"/>
      <c r="P928" s="41" t="str"/>
      <c r="Q928" s="41" t="str"/>
      <c r="R928" s="66" t="str"/>
      <c r="S928" s="67" t="str"/>
      <c r="T928" s="41" t="str"/>
      <c r="U928" s="41" t="str"/>
      <c r="V928" s="66" t="str"/>
      <c r="W928" s="67" t="str"/>
    </row>
    <row r="929">
      <c r="B929" s="2">
        <f>IF(STUDENTS!B928="","",STUDENTS!B928)</f>
        <v/>
      </c>
      <c r="C929" s="44">
        <f>IFERROR(IF(B929="","",_xlfn.XLOOKUP(B929,STUDENTS!$B$3:$B$1048576,STUDENTS!$C$3:$C$1048576)),"Enter a registered reg. no")</f>
        <v/>
      </c>
      <c r="D929" s="52">
        <f t="array" ref="D929:W929">IF(All_Students_Scores!C927:V927="","",All_Students_Scores!C927:V927)</f>
        <v/>
      </c>
      <c r="E929" s="55" t="str"/>
      <c r="F929" s="48" t="str"/>
      <c r="G929" s="58" t="str"/>
      <c r="H929" s="62" t="str"/>
      <c r="I929" s="63" t="str"/>
      <c r="J929" s="48" t="str"/>
      <c r="K929" s="58" t="str"/>
      <c r="L929" s="42" t="str"/>
      <c r="M929" s="42" t="str"/>
      <c r="N929" s="48" t="str"/>
      <c r="O929" s="58" t="str"/>
      <c r="P929" s="42" t="str"/>
      <c r="Q929" s="42" t="str"/>
      <c r="R929" s="48" t="str"/>
      <c r="S929" s="58" t="str"/>
      <c r="T929" s="42" t="str"/>
      <c r="U929" s="42" t="str"/>
      <c r="V929" s="48" t="str"/>
      <c r="W929" s="58" t="str"/>
      <c r="X929" s="42" t="n"/>
      <c r="Y929" s="42" t="n"/>
    </row>
    <row r="930">
      <c r="B930" s="2">
        <f>IF(STUDENTS!B929="","",STUDENTS!B929)</f>
        <v/>
      </c>
      <c r="C930" s="44">
        <f>IFERROR(IF(B930="","",_xlfn.XLOOKUP(B930,STUDENTS!$B$3:$B$1048576,STUDENTS!$C$3:$C$1048576)),"Enter a registered reg. no")</f>
        <v/>
      </c>
      <c r="D930" s="52">
        <f t="array" ref="D930:W930">IF(All_Students_Scores!C928:V928="","",All_Students_Scores!C928:V928)</f>
        <v/>
      </c>
      <c r="E930" s="57" t="str"/>
      <c r="F930" s="66" t="str"/>
      <c r="G930" s="67" t="str"/>
      <c r="H930" s="64" t="str"/>
      <c r="I930" s="65" t="str"/>
      <c r="J930" s="66" t="str"/>
      <c r="K930" s="67" t="str"/>
      <c r="L930" s="41" t="str"/>
      <c r="M930" s="41" t="str"/>
      <c r="N930" s="66" t="str"/>
      <c r="O930" s="67" t="str"/>
      <c r="P930" s="41" t="str"/>
      <c r="Q930" s="41" t="str"/>
      <c r="R930" s="66" t="str"/>
      <c r="S930" s="67" t="str"/>
      <c r="T930" s="41" t="str"/>
      <c r="U930" s="41" t="str"/>
      <c r="V930" s="66" t="str"/>
      <c r="W930" s="67" t="str"/>
    </row>
    <row r="931">
      <c r="B931" s="2">
        <f>IF(STUDENTS!B930="","",STUDENTS!B930)</f>
        <v/>
      </c>
      <c r="C931" s="44">
        <f>IFERROR(IF(B931="","",_xlfn.XLOOKUP(B931,STUDENTS!$B$3:$B$1048576,STUDENTS!$C$3:$C$1048576)),"Enter a registered reg. no")</f>
        <v/>
      </c>
      <c r="D931" s="52">
        <f t="array" ref="D931:W931">IF(All_Students_Scores!C929:V929="","",All_Students_Scores!C929:V929)</f>
        <v/>
      </c>
      <c r="E931" s="55" t="str"/>
      <c r="F931" s="48" t="str"/>
      <c r="G931" s="58" t="str"/>
      <c r="H931" s="62" t="str"/>
      <c r="I931" s="63" t="str"/>
      <c r="J931" s="48" t="str"/>
      <c r="K931" s="58" t="str"/>
      <c r="L931" s="42" t="str"/>
      <c r="M931" s="42" t="str"/>
      <c r="N931" s="48" t="str"/>
      <c r="O931" s="58" t="str"/>
      <c r="P931" s="42" t="str"/>
      <c r="Q931" s="42" t="str"/>
      <c r="R931" s="48" t="str"/>
      <c r="S931" s="58" t="str"/>
      <c r="T931" s="42" t="str"/>
      <c r="U931" s="42" t="str"/>
      <c r="V931" s="48" t="str"/>
      <c r="W931" s="58" t="str"/>
      <c r="X931" s="42" t="n"/>
      <c r="Y931" s="42" t="n"/>
    </row>
    <row r="932">
      <c r="B932" s="2">
        <f>IF(STUDENTS!B931="","",STUDENTS!B931)</f>
        <v/>
      </c>
      <c r="C932" s="44">
        <f>IFERROR(IF(B932="","",_xlfn.XLOOKUP(B932,STUDENTS!$B$3:$B$1048576,STUDENTS!$C$3:$C$1048576)),"Enter a registered reg. no")</f>
        <v/>
      </c>
      <c r="D932" s="52">
        <f t="array" ref="D932:W932">IF(All_Students_Scores!C930:V930="","",All_Students_Scores!C930:V930)</f>
        <v/>
      </c>
      <c r="E932" s="57" t="str"/>
      <c r="F932" s="66" t="str"/>
      <c r="G932" s="67" t="str"/>
      <c r="H932" s="64" t="str"/>
      <c r="I932" s="65" t="str"/>
      <c r="J932" s="66" t="str"/>
      <c r="K932" s="67" t="str"/>
      <c r="L932" s="41" t="str"/>
      <c r="M932" s="41" t="str"/>
      <c r="N932" s="66" t="str"/>
      <c r="O932" s="67" t="str"/>
      <c r="P932" s="41" t="str"/>
      <c r="Q932" s="41" t="str"/>
      <c r="R932" s="66" t="str"/>
      <c r="S932" s="67" t="str"/>
      <c r="T932" s="41" t="str"/>
      <c r="U932" s="41" t="str"/>
      <c r="V932" s="66" t="str"/>
      <c r="W932" s="67" t="str"/>
    </row>
    <row r="933">
      <c r="B933" s="2">
        <f>IF(STUDENTS!B932="","",STUDENTS!B932)</f>
        <v/>
      </c>
      <c r="C933" s="44">
        <f>IFERROR(IF(B933="","",_xlfn.XLOOKUP(B933,STUDENTS!$B$3:$B$1048576,STUDENTS!$C$3:$C$1048576)),"Enter a registered reg. no")</f>
        <v/>
      </c>
      <c r="D933" s="52">
        <f t="array" ref="D933:W933">IF(All_Students_Scores!C931:V931="","",All_Students_Scores!C931:V931)</f>
        <v/>
      </c>
      <c r="E933" s="55" t="str"/>
      <c r="F933" s="48" t="str"/>
      <c r="G933" s="58" t="str"/>
      <c r="H933" s="62" t="str"/>
      <c r="I933" s="63" t="str"/>
      <c r="J933" s="48" t="str"/>
      <c r="K933" s="58" t="str"/>
      <c r="L933" s="42" t="str"/>
      <c r="M933" s="42" t="str"/>
      <c r="N933" s="48" t="str"/>
      <c r="O933" s="58" t="str"/>
      <c r="P933" s="42" t="str"/>
      <c r="Q933" s="42" t="str"/>
      <c r="R933" s="48" t="str"/>
      <c r="S933" s="58" t="str"/>
      <c r="T933" s="42" t="str"/>
      <c r="U933" s="42" t="str"/>
      <c r="V933" s="48" t="str"/>
      <c r="W933" s="58" t="str"/>
      <c r="X933" s="42" t="n"/>
      <c r="Y933" s="42" t="n"/>
    </row>
    <row r="934">
      <c r="B934" s="2">
        <f>IF(STUDENTS!B933="","",STUDENTS!B933)</f>
        <v/>
      </c>
      <c r="C934" s="44">
        <f>IFERROR(IF(B934="","",_xlfn.XLOOKUP(B934,STUDENTS!$B$3:$B$1048576,STUDENTS!$C$3:$C$1048576)),"Enter a registered reg. no")</f>
        <v/>
      </c>
      <c r="D934" s="52">
        <f t="array" ref="D934:W934">IF(All_Students_Scores!C932:V932="","",All_Students_Scores!C932:V932)</f>
        <v/>
      </c>
      <c r="E934" s="57" t="str"/>
      <c r="F934" s="66" t="str"/>
      <c r="G934" s="67" t="str"/>
      <c r="H934" s="64" t="str"/>
      <c r="I934" s="65" t="str"/>
      <c r="J934" s="66" t="str"/>
      <c r="K934" s="67" t="str"/>
      <c r="L934" s="41" t="str"/>
      <c r="M934" s="41" t="str"/>
      <c r="N934" s="66" t="str"/>
      <c r="O934" s="67" t="str"/>
      <c r="P934" s="41" t="str"/>
      <c r="Q934" s="41" t="str"/>
      <c r="R934" s="66" t="str"/>
      <c r="S934" s="67" t="str"/>
      <c r="T934" s="41" t="str"/>
      <c r="U934" s="41" t="str"/>
      <c r="V934" s="66" t="str"/>
      <c r="W934" s="67" t="str"/>
    </row>
    <row r="935">
      <c r="B935" s="2">
        <f>IF(STUDENTS!B934="","",STUDENTS!B934)</f>
        <v/>
      </c>
      <c r="C935" s="44">
        <f>IFERROR(IF(B935="","",_xlfn.XLOOKUP(B935,STUDENTS!$B$3:$B$1048576,STUDENTS!$C$3:$C$1048576)),"Enter a registered reg. no")</f>
        <v/>
      </c>
      <c r="D935" s="52">
        <f t="array" ref="D935:W935">IF(All_Students_Scores!C933:V933="","",All_Students_Scores!C933:V933)</f>
        <v/>
      </c>
      <c r="E935" s="55" t="str"/>
      <c r="F935" s="48" t="str"/>
      <c r="G935" s="58" t="str"/>
      <c r="H935" s="62" t="str"/>
      <c r="I935" s="63" t="str"/>
      <c r="J935" s="48" t="str"/>
      <c r="K935" s="58" t="str"/>
      <c r="L935" s="42" t="str"/>
      <c r="M935" s="42" t="str"/>
      <c r="N935" s="48" t="str"/>
      <c r="O935" s="58" t="str"/>
      <c r="P935" s="42" t="str"/>
      <c r="Q935" s="42" t="str"/>
      <c r="R935" s="48" t="str"/>
      <c r="S935" s="58" t="str"/>
      <c r="T935" s="42" t="str"/>
      <c r="U935" s="42" t="str"/>
      <c r="V935" s="48" t="str"/>
      <c r="W935" s="58" t="str"/>
      <c r="X935" s="42" t="n"/>
      <c r="Y935" s="42" t="n"/>
    </row>
    <row r="936">
      <c r="B936" s="2">
        <f>IF(STUDENTS!B935="","",STUDENTS!B935)</f>
        <v/>
      </c>
      <c r="C936" s="44">
        <f>IFERROR(IF(B936="","",_xlfn.XLOOKUP(B936,STUDENTS!$B$3:$B$1048576,STUDENTS!$C$3:$C$1048576)),"Enter a registered reg. no")</f>
        <v/>
      </c>
      <c r="D936" s="52">
        <f t="array" ref="D936:W936">IF(All_Students_Scores!C934:V934="","",All_Students_Scores!C934:V934)</f>
        <v/>
      </c>
      <c r="E936" s="57" t="str"/>
      <c r="F936" s="66" t="str"/>
      <c r="G936" s="67" t="str"/>
      <c r="H936" s="64" t="str"/>
      <c r="I936" s="65" t="str"/>
      <c r="J936" s="66" t="str"/>
      <c r="K936" s="67" t="str"/>
      <c r="L936" s="41" t="str"/>
      <c r="M936" s="41" t="str"/>
      <c r="N936" s="66" t="str"/>
      <c r="O936" s="67" t="str"/>
      <c r="P936" s="41" t="str"/>
      <c r="Q936" s="41" t="str"/>
      <c r="R936" s="66" t="str"/>
      <c r="S936" s="67" t="str"/>
      <c r="T936" s="41" t="str"/>
      <c r="U936" s="41" t="str"/>
      <c r="V936" s="66" t="str"/>
      <c r="W936" s="67" t="str"/>
    </row>
    <row r="937">
      <c r="B937" s="2">
        <f>IF(STUDENTS!B936="","",STUDENTS!B936)</f>
        <v/>
      </c>
      <c r="C937" s="44">
        <f>IFERROR(IF(B937="","",_xlfn.XLOOKUP(B937,STUDENTS!$B$3:$B$1048576,STUDENTS!$C$3:$C$1048576)),"Enter a registered reg. no")</f>
        <v/>
      </c>
      <c r="D937" s="52">
        <f t="array" ref="D937:W937">IF(All_Students_Scores!C935:V935="","",All_Students_Scores!C935:V935)</f>
        <v/>
      </c>
      <c r="E937" s="55" t="str"/>
      <c r="F937" s="48" t="str"/>
      <c r="G937" s="58" t="str"/>
      <c r="H937" s="62" t="str"/>
      <c r="I937" s="63" t="str"/>
      <c r="J937" s="48" t="str"/>
      <c r="K937" s="58" t="str"/>
      <c r="L937" s="42" t="str"/>
      <c r="M937" s="42" t="str"/>
      <c r="N937" s="48" t="str"/>
      <c r="O937" s="58" t="str"/>
      <c r="P937" s="42" t="str"/>
      <c r="Q937" s="42" t="str"/>
      <c r="R937" s="48" t="str"/>
      <c r="S937" s="58" t="str"/>
      <c r="T937" s="42" t="str"/>
      <c r="U937" s="42" t="str"/>
      <c r="V937" s="48" t="str"/>
      <c r="W937" s="58" t="str"/>
      <c r="X937" s="42" t="n"/>
      <c r="Y937" s="42" t="n"/>
    </row>
    <row r="938">
      <c r="B938" s="2">
        <f>IF(STUDENTS!B937="","",STUDENTS!B937)</f>
        <v/>
      </c>
      <c r="C938" s="44">
        <f>IFERROR(IF(B938="","",_xlfn.XLOOKUP(B938,STUDENTS!$B$3:$B$1048576,STUDENTS!$C$3:$C$1048576)),"Enter a registered reg. no")</f>
        <v/>
      </c>
      <c r="D938" s="52">
        <f t="array" ref="D938:W938">IF(All_Students_Scores!C936:V936="","",All_Students_Scores!C936:V936)</f>
        <v/>
      </c>
      <c r="E938" s="57" t="str"/>
      <c r="F938" s="66" t="str"/>
      <c r="G938" s="67" t="str"/>
      <c r="H938" s="64" t="str"/>
      <c r="I938" s="65" t="str"/>
      <c r="J938" s="66" t="str"/>
      <c r="K938" s="67" t="str"/>
      <c r="L938" s="41" t="str"/>
      <c r="M938" s="41" t="str"/>
      <c r="N938" s="66" t="str"/>
      <c r="O938" s="67" t="str"/>
      <c r="P938" s="41" t="str"/>
      <c r="Q938" s="41" t="str"/>
      <c r="R938" s="66" t="str"/>
      <c r="S938" s="67" t="str"/>
      <c r="T938" s="41" t="str"/>
      <c r="U938" s="41" t="str"/>
      <c r="V938" s="66" t="str"/>
      <c r="W938" s="67" t="str"/>
    </row>
    <row r="939">
      <c r="B939" s="2">
        <f>IF(STUDENTS!B938="","",STUDENTS!B938)</f>
        <v/>
      </c>
      <c r="C939" s="44">
        <f>IFERROR(IF(B939="","",_xlfn.XLOOKUP(B939,STUDENTS!$B$3:$B$1048576,STUDENTS!$C$3:$C$1048576)),"Enter a registered reg. no")</f>
        <v/>
      </c>
      <c r="D939" s="52">
        <f t="array" ref="D939:W939">IF(All_Students_Scores!C937:V937="","",All_Students_Scores!C937:V937)</f>
        <v/>
      </c>
      <c r="E939" s="55" t="str"/>
      <c r="F939" s="48" t="str"/>
      <c r="G939" s="58" t="str"/>
      <c r="H939" s="62" t="str"/>
      <c r="I939" s="63" t="str"/>
      <c r="J939" s="48" t="str"/>
      <c r="K939" s="58" t="str"/>
      <c r="L939" s="42" t="str"/>
      <c r="M939" s="42" t="str"/>
      <c r="N939" s="48" t="str"/>
      <c r="O939" s="58" t="str"/>
      <c r="P939" s="42" t="str"/>
      <c r="Q939" s="42" t="str"/>
      <c r="R939" s="48" t="str"/>
      <c r="S939" s="58" t="str"/>
      <c r="T939" s="42" t="str"/>
      <c r="U939" s="42" t="str"/>
      <c r="V939" s="48" t="str"/>
      <c r="W939" s="58" t="str"/>
      <c r="X939" s="42" t="n"/>
      <c r="Y939" s="42" t="n"/>
    </row>
    <row r="940">
      <c r="B940" s="2">
        <f>IF(STUDENTS!B939="","",STUDENTS!B939)</f>
        <v/>
      </c>
      <c r="C940" s="44">
        <f>IFERROR(IF(B940="","",_xlfn.XLOOKUP(B940,STUDENTS!$B$3:$B$1048576,STUDENTS!$C$3:$C$1048576)),"Enter a registered reg. no")</f>
        <v/>
      </c>
      <c r="D940" s="52">
        <f t="array" ref="D940:W940">IF(All_Students_Scores!C938:V938="","",All_Students_Scores!C938:V938)</f>
        <v/>
      </c>
      <c r="E940" s="57" t="str"/>
      <c r="F940" s="66" t="str"/>
      <c r="G940" s="67" t="str"/>
      <c r="H940" s="64" t="str"/>
      <c r="I940" s="65" t="str"/>
      <c r="J940" s="66" t="str"/>
      <c r="K940" s="67" t="str"/>
      <c r="L940" s="41" t="str"/>
      <c r="M940" s="41" t="str"/>
      <c r="N940" s="66" t="str"/>
      <c r="O940" s="67" t="str"/>
      <c r="P940" s="41" t="str"/>
      <c r="Q940" s="41" t="str"/>
      <c r="R940" s="66" t="str"/>
      <c r="S940" s="67" t="str"/>
      <c r="T940" s="41" t="str"/>
      <c r="U940" s="41" t="str"/>
      <c r="V940" s="66" t="str"/>
      <c r="W940" s="67" t="str"/>
    </row>
    <row r="941">
      <c r="B941" s="2">
        <f>IF(STUDENTS!B940="","",STUDENTS!B940)</f>
        <v/>
      </c>
      <c r="C941" s="44">
        <f>IFERROR(IF(B941="","",_xlfn.XLOOKUP(B941,STUDENTS!$B$3:$B$1048576,STUDENTS!$C$3:$C$1048576)),"Enter a registered reg. no")</f>
        <v/>
      </c>
      <c r="D941" s="52">
        <f t="array" ref="D941:W941">IF(All_Students_Scores!C939:V939="","",All_Students_Scores!C939:V939)</f>
        <v/>
      </c>
      <c r="E941" s="55" t="str"/>
      <c r="F941" s="48" t="str"/>
      <c r="G941" s="58" t="str"/>
      <c r="H941" s="62" t="str"/>
      <c r="I941" s="63" t="str"/>
      <c r="J941" s="48" t="str"/>
      <c r="K941" s="58" t="str"/>
      <c r="L941" s="42" t="str"/>
      <c r="M941" s="42" t="str"/>
      <c r="N941" s="48" t="str"/>
      <c r="O941" s="58" t="str"/>
      <c r="P941" s="42" t="str"/>
      <c r="Q941" s="42" t="str"/>
      <c r="R941" s="48" t="str"/>
      <c r="S941" s="58" t="str"/>
      <c r="T941" s="42" t="str"/>
      <c r="U941" s="42" t="str"/>
      <c r="V941" s="48" t="str"/>
      <c r="W941" s="58" t="str"/>
      <c r="X941" s="42" t="n"/>
      <c r="Y941" s="42" t="n"/>
    </row>
    <row r="942">
      <c r="B942" s="2">
        <f>IF(STUDENTS!B941="","",STUDENTS!B941)</f>
        <v/>
      </c>
      <c r="C942" s="44">
        <f>IFERROR(IF(B942="","",_xlfn.XLOOKUP(B942,STUDENTS!$B$3:$B$1048576,STUDENTS!$C$3:$C$1048576)),"Enter a registered reg. no")</f>
        <v/>
      </c>
      <c r="D942" s="52">
        <f t="array" ref="D942:W942">IF(All_Students_Scores!C940:V940="","",All_Students_Scores!C940:V940)</f>
        <v/>
      </c>
      <c r="E942" s="57" t="str"/>
      <c r="F942" s="66" t="str"/>
      <c r="G942" s="67" t="str"/>
      <c r="H942" s="64" t="str"/>
      <c r="I942" s="65" t="str"/>
      <c r="J942" s="66" t="str"/>
      <c r="K942" s="67" t="str"/>
      <c r="L942" s="41" t="str"/>
      <c r="M942" s="41" t="str"/>
      <c r="N942" s="66" t="str"/>
      <c r="O942" s="67" t="str"/>
      <c r="P942" s="41" t="str"/>
      <c r="Q942" s="41" t="str"/>
      <c r="R942" s="66" t="str"/>
      <c r="S942" s="67" t="str"/>
      <c r="T942" s="41" t="str"/>
      <c r="U942" s="41" t="str"/>
      <c r="V942" s="66" t="str"/>
      <c r="W942" s="67" t="str"/>
    </row>
    <row r="943">
      <c r="B943" s="2">
        <f>IF(STUDENTS!B942="","",STUDENTS!B942)</f>
        <v/>
      </c>
      <c r="C943" s="44">
        <f>IFERROR(IF(B943="","",_xlfn.XLOOKUP(B943,STUDENTS!$B$3:$B$1048576,STUDENTS!$C$3:$C$1048576)),"Enter a registered reg. no")</f>
        <v/>
      </c>
      <c r="D943" s="52">
        <f t="array" ref="D943:W943">IF(All_Students_Scores!C941:V941="","",All_Students_Scores!C941:V941)</f>
        <v/>
      </c>
      <c r="E943" s="55" t="str"/>
      <c r="F943" s="48" t="str"/>
      <c r="G943" s="58" t="str"/>
      <c r="H943" s="62" t="str"/>
      <c r="I943" s="63" t="str"/>
      <c r="J943" s="48" t="str"/>
      <c r="K943" s="58" t="str"/>
      <c r="L943" s="42" t="str"/>
      <c r="M943" s="42" t="str"/>
      <c r="N943" s="48" t="str"/>
      <c r="O943" s="58" t="str"/>
      <c r="P943" s="42" t="str"/>
      <c r="Q943" s="42" t="str"/>
      <c r="R943" s="48" t="str"/>
      <c r="S943" s="58" t="str"/>
      <c r="T943" s="42" t="str"/>
      <c r="U943" s="42" t="str"/>
      <c r="V943" s="48" t="str"/>
      <c r="W943" s="58" t="str"/>
      <c r="X943" s="42" t="n"/>
      <c r="Y943" s="42" t="n"/>
    </row>
    <row r="944">
      <c r="B944" s="2">
        <f>IF(STUDENTS!B943="","",STUDENTS!B943)</f>
        <v/>
      </c>
      <c r="C944" s="44">
        <f>IFERROR(IF(B944="","",_xlfn.XLOOKUP(B944,STUDENTS!$B$3:$B$1048576,STUDENTS!$C$3:$C$1048576)),"Enter a registered reg. no")</f>
        <v/>
      </c>
      <c r="D944" s="52">
        <f t="array" ref="D944:W944">IF(All_Students_Scores!C942:V942="","",All_Students_Scores!C942:V942)</f>
        <v/>
      </c>
      <c r="E944" s="57" t="str"/>
      <c r="F944" s="66" t="str"/>
      <c r="G944" s="67" t="str"/>
      <c r="H944" s="64" t="str"/>
      <c r="I944" s="65" t="str"/>
      <c r="J944" s="66" t="str"/>
      <c r="K944" s="67" t="str"/>
      <c r="L944" s="41" t="str"/>
      <c r="M944" s="41" t="str"/>
      <c r="N944" s="66" t="str"/>
      <c r="O944" s="67" t="str"/>
      <c r="P944" s="41" t="str"/>
      <c r="Q944" s="41" t="str"/>
      <c r="R944" s="66" t="str"/>
      <c r="S944" s="67" t="str"/>
      <c r="T944" s="41" t="str"/>
      <c r="U944" s="41" t="str"/>
      <c r="V944" s="66" t="str"/>
      <c r="W944" s="67" t="str"/>
    </row>
    <row r="945">
      <c r="B945" s="2">
        <f>IF(STUDENTS!B944="","",STUDENTS!B944)</f>
        <v/>
      </c>
      <c r="C945" s="44">
        <f>IFERROR(IF(B945="","",_xlfn.XLOOKUP(B945,STUDENTS!$B$3:$B$1048576,STUDENTS!$C$3:$C$1048576)),"Enter a registered reg. no")</f>
        <v/>
      </c>
      <c r="D945" s="52">
        <f t="array" ref="D945:W945">IF(All_Students_Scores!C943:V943="","",All_Students_Scores!C943:V943)</f>
        <v/>
      </c>
      <c r="E945" s="55" t="str"/>
      <c r="F945" s="48" t="str"/>
      <c r="G945" s="58" t="str"/>
      <c r="H945" s="62" t="str"/>
      <c r="I945" s="63" t="str"/>
      <c r="J945" s="48" t="str"/>
      <c r="K945" s="58" t="str"/>
      <c r="L945" s="42" t="str"/>
      <c r="M945" s="42" t="str"/>
      <c r="N945" s="48" t="str"/>
      <c r="O945" s="58" t="str"/>
      <c r="P945" s="42" t="str"/>
      <c r="Q945" s="42" t="str"/>
      <c r="R945" s="48" t="str"/>
      <c r="S945" s="58" t="str"/>
      <c r="T945" s="42" t="str"/>
      <c r="U945" s="42" t="str"/>
      <c r="V945" s="48" t="str"/>
      <c r="W945" s="58" t="str"/>
      <c r="X945" s="42" t="n"/>
      <c r="Y945" s="42" t="n"/>
    </row>
    <row r="946">
      <c r="B946" s="2">
        <f>IF(STUDENTS!B945="","",STUDENTS!B945)</f>
        <v/>
      </c>
      <c r="C946" s="44">
        <f>IFERROR(IF(B946="","",_xlfn.XLOOKUP(B946,STUDENTS!$B$3:$B$1048576,STUDENTS!$C$3:$C$1048576)),"Enter a registered reg. no")</f>
        <v/>
      </c>
      <c r="D946" s="52">
        <f t="array" ref="D946:W946">IF(All_Students_Scores!C944:V944="","",All_Students_Scores!C944:V944)</f>
        <v/>
      </c>
      <c r="E946" s="57" t="str"/>
      <c r="F946" s="66" t="str"/>
      <c r="G946" s="67" t="str"/>
      <c r="H946" s="64" t="str"/>
      <c r="I946" s="65" t="str"/>
      <c r="J946" s="66" t="str"/>
      <c r="K946" s="67" t="str"/>
      <c r="L946" s="41" t="str"/>
      <c r="M946" s="41" t="str"/>
      <c r="N946" s="66" t="str"/>
      <c r="O946" s="67" t="str"/>
      <c r="P946" s="41" t="str"/>
      <c r="Q946" s="41" t="str"/>
      <c r="R946" s="66" t="str"/>
      <c r="S946" s="67" t="str"/>
      <c r="T946" s="41" t="str"/>
      <c r="U946" s="41" t="str"/>
      <c r="V946" s="66" t="str"/>
      <c r="W946" s="67" t="str"/>
    </row>
    <row r="947">
      <c r="B947" s="2">
        <f>IF(STUDENTS!B946="","",STUDENTS!B946)</f>
        <v/>
      </c>
      <c r="C947" s="44">
        <f>IFERROR(IF(B947="","",_xlfn.XLOOKUP(B947,STUDENTS!$B$3:$B$1048576,STUDENTS!$C$3:$C$1048576)),"Enter a registered reg. no")</f>
        <v/>
      </c>
      <c r="D947" s="52">
        <f t="array" ref="D947:W947">IF(All_Students_Scores!C945:V945="","",All_Students_Scores!C945:V945)</f>
        <v/>
      </c>
      <c r="E947" s="55" t="str"/>
      <c r="F947" s="48" t="str"/>
      <c r="G947" s="58" t="str"/>
      <c r="H947" s="62" t="str"/>
      <c r="I947" s="63" t="str"/>
      <c r="J947" s="48" t="str"/>
      <c r="K947" s="58" t="str"/>
      <c r="L947" s="42" t="str"/>
      <c r="M947" s="42" t="str"/>
      <c r="N947" s="48" t="str"/>
      <c r="O947" s="58" t="str"/>
      <c r="P947" s="42" t="str"/>
      <c r="Q947" s="42" t="str"/>
      <c r="R947" s="48" t="str"/>
      <c r="S947" s="58" t="str"/>
      <c r="T947" s="42" t="str"/>
      <c r="U947" s="42" t="str"/>
      <c r="V947" s="48" t="str"/>
      <c r="W947" s="58" t="str"/>
      <c r="X947" s="42" t="n"/>
      <c r="Y947" s="42" t="n"/>
    </row>
    <row r="948">
      <c r="B948" s="2">
        <f>IF(STUDENTS!B947="","",STUDENTS!B947)</f>
        <v/>
      </c>
      <c r="C948" s="44">
        <f>IFERROR(IF(B948="","",_xlfn.XLOOKUP(B948,STUDENTS!$B$3:$B$1048576,STUDENTS!$C$3:$C$1048576)),"Enter a registered reg. no")</f>
        <v/>
      </c>
      <c r="D948" s="52">
        <f t="array" ref="D948:W948">IF(All_Students_Scores!C946:V946="","",All_Students_Scores!C946:V946)</f>
        <v/>
      </c>
      <c r="E948" s="57" t="str"/>
      <c r="F948" s="66" t="str"/>
      <c r="G948" s="67" t="str"/>
      <c r="H948" s="64" t="str"/>
      <c r="I948" s="65" t="str"/>
      <c r="J948" s="66" t="str"/>
      <c r="K948" s="67" t="str"/>
      <c r="L948" s="41" t="str"/>
      <c r="M948" s="41" t="str"/>
      <c r="N948" s="66" t="str"/>
      <c r="O948" s="67" t="str"/>
      <c r="P948" s="41" t="str"/>
      <c r="Q948" s="41" t="str"/>
      <c r="R948" s="66" t="str"/>
      <c r="S948" s="67" t="str"/>
      <c r="T948" s="41" t="str"/>
      <c r="U948" s="41" t="str"/>
      <c r="V948" s="66" t="str"/>
      <c r="W948" s="67" t="str"/>
    </row>
    <row r="949">
      <c r="B949" s="2">
        <f>IF(STUDENTS!B948="","",STUDENTS!B948)</f>
        <v/>
      </c>
      <c r="C949" s="44">
        <f>IFERROR(IF(B949="","",_xlfn.XLOOKUP(B949,STUDENTS!$B$3:$B$1048576,STUDENTS!$C$3:$C$1048576)),"Enter a registered reg. no")</f>
        <v/>
      </c>
      <c r="D949" s="52">
        <f t="array" ref="D949:W949">IF(All_Students_Scores!C947:V947="","",All_Students_Scores!C947:V947)</f>
        <v/>
      </c>
      <c r="E949" s="55" t="str"/>
      <c r="F949" s="48" t="str"/>
      <c r="G949" s="58" t="str"/>
      <c r="H949" s="62" t="str"/>
      <c r="I949" s="63" t="str"/>
      <c r="J949" s="48" t="str"/>
      <c r="K949" s="58" t="str"/>
      <c r="L949" s="42" t="str"/>
      <c r="M949" s="42" t="str"/>
      <c r="N949" s="48" t="str"/>
      <c r="O949" s="58" t="str"/>
      <c r="P949" s="42" t="str"/>
      <c r="Q949" s="42" t="str"/>
      <c r="R949" s="48" t="str"/>
      <c r="S949" s="58" t="str"/>
      <c r="T949" s="42" t="str"/>
      <c r="U949" s="42" t="str"/>
      <c r="V949" s="48" t="str"/>
      <c r="W949" s="58" t="str"/>
      <c r="X949" s="42" t="n"/>
      <c r="Y949" s="42" t="n"/>
    </row>
    <row r="950">
      <c r="B950" s="2">
        <f>IF(STUDENTS!B949="","",STUDENTS!B949)</f>
        <v/>
      </c>
      <c r="C950" s="44">
        <f>IFERROR(IF(B950="","",_xlfn.XLOOKUP(B950,STUDENTS!$B$3:$B$1048576,STUDENTS!$C$3:$C$1048576)),"Enter a registered reg. no")</f>
        <v/>
      </c>
      <c r="D950" s="52">
        <f t="array" ref="D950:W950">IF(All_Students_Scores!C948:V948="","",All_Students_Scores!C948:V948)</f>
        <v/>
      </c>
      <c r="E950" s="57" t="str"/>
      <c r="F950" s="66" t="str"/>
      <c r="G950" s="67" t="str"/>
      <c r="H950" s="64" t="str"/>
      <c r="I950" s="65" t="str"/>
      <c r="J950" s="66" t="str"/>
      <c r="K950" s="67" t="str"/>
      <c r="L950" s="41" t="str"/>
      <c r="M950" s="41" t="str"/>
      <c r="N950" s="66" t="str"/>
      <c r="O950" s="67" t="str"/>
      <c r="P950" s="41" t="str"/>
      <c r="Q950" s="41" t="str"/>
      <c r="R950" s="66" t="str"/>
      <c r="S950" s="67" t="str"/>
      <c r="T950" s="41" t="str"/>
      <c r="U950" s="41" t="str"/>
      <c r="V950" s="66" t="str"/>
      <c r="W950" s="67" t="str"/>
    </row>
    <row r="951">
      <c r="B951" s="2">
        <f>IF(STUDENTS!B950="","",STUDENTS!B950)</f>
        <v/>
      </c>
      <c r="C951" s="44">
        <f>IFERROR(IF(B951="","",_xlfn.XLOOKUP(B951,STUDENTS!$B$3:$B$1048576,STUDENTS!$C$3:$C$1048576)),"Enter a registered reg. no")</f>
        <v/>
      </c>
      <c r="D951" s="52">
        <f t="array" ref="D951:W951">IF(All_Students_Scores!C949:V949="","",All_Students_Scores!C949:V949)</f>
        <v/>
      </c>
      <c r="E951" s="55" t="str"/>
      <c r="F951" s="48" t="str"/>
      <c r="G951" s="58" t="str"/>
      <c r="H951" s="62" t="str"/>
      <c r="I951" s="63" t="str"/>
      <c r="J951" s="48" t="str"/>
      <c r="K951" s="58" t="str"/>
      <c r="L951" s="42" t="str"/>
      <c r="M951" s="42" t="str"/>
      <c r="N951" s="48" t="str"/>
      <c r="O951" s="58" t="str"/>
      <c r="P951" s="42" t="str"/>
      <c r="Q951" s="42" t="str"/>
      <c r="R951" s="48" t="str"/>
      <c r="S951" s="58" t="str"/>
      <c r="T951" s="42" t="str"/>
      <c r="U951" s="42" t="str"/>
      <c r="V951" s="48" t="str"/>
      <c r="W951" s="58" t="str"/>
      <c r="X951" s="42" t="n"/>
      <c r="Y951" s="42" t="n"/>
    </row>
    <row r="952">
      <c r="B952" s="2">
        <f>IF(STUDENTS!B951="","",STUDENTS!B951)</f>
        <v/>
      </c>
      <c r="C952" s="44">
        <f>IFERROR(IF(B952="","",_xlfn.XLOOKUP(B952,STUDENTS!$B$3:$B$1048576,STUDENTS!$C$3:$C$1048576)),"Enter a registered reg. no")</f>
        <v/>
      </c>
      <c r="D952" s="52">
        <f t="array" ref="D952:W952">IF(All_Students_Scores!C950:V950="","",All_Students_Scores!C950:V950)</f>
        <v/>
      </c>
      <c r="E952" s="57" t="str"/>
      <c r="F952" s="66" t="str"/>
      <c r="G952" s="67" t="str"/>
      <c r="H952" s="64" t="str"/>
      <c r="I952" s="65" t="str"/>
      <c r="J952" s="66" t="str"/>
      <c r="K952" s="67" t="str"/>
      <c r="L952" s="41" t="str"/>
      <c r="M952" s="41" t="str"/>
      <c r="N952" s="66" t="str"/>
      <c r="O952" s="67" t="str"/>
      <c r="P952" s="41" t="str"/>
      <c r="Q952" s="41" t="str"/>
      <c r="R952" s="66" t="str"/>
      <c r="S952" s="67" t="str"/>
      <c r="T952" s="41" t="str"/>
      <c r="U952" s="41" t="str"/>
      <c r="V952" s="66" t="str"/>
      <c r="W952" s="67" t="str"/>
    </row>
    <row r="953">
      <c r="B953" s="2">
        <f>IF(STUDENTS!B952="","",STUDENTS!B952)</f>
        <v/>
      </c>
      <c r="C953" s="44">
        <f>IFERROR(IF(B953="","",_xlfn.XLOOKUP(B953,STUDENTS!$B$3:$B$1048576,STUDENTS!$C$3:$C$1048576)),"Enter a registered reg. no")</f>
        <v/>
      </c>
      <c r="D953" s="52">
        <f t="array" ref="D953:W953">IF(All_Students_Scores!C951:V951="","",All_Students_Scores!C951:V951)</f>
        <v/>
      </c>
      <c r="E953" s="55" t="str"/>
      <c r="F953" s="48" t="str"/>
      <c r="G953" s="58" t="str"/>
      <c r="H953" s="62" t="str"/>
      <c r="I953" s="63" t="str"/>
      <c r="J953" s="48" t="str"/>
      <c r="K953" s="58" t="str"/>
      <c r="L953" s="42" t="str"/>
      <c r="M953" s="42" t="str"/>
      <c r="N953" s="48" t="str"/>
      <c r="O953" s="58" t="str"/>
      <c r="P953" s="42" t="str"/>
      <c r="Q953" s="42" t="str"/>
      <c r="R953" s="48" t="str"/>
      <c r="S953" s="58" t="str"/>
      <c r="T953" s="42" t="str"/>
      <c r="U953" s="42" t="str"/>
      <c r="V953" s="48" t="str"/>
      <c r="W953" s="58" t="str"/>
      <c r="X953" s="42" t="n"/>
      <c r="Y953" s="42" t="n"/>
    </row>
    <row r="954">
      <c r="B954" s="2">
        <f>IF(STUDENTS!B953="","",STUDENTS!B953)</f>
        <v/>
      </c>
      <c r="C954" s="44">
        <f>IFERROR(IF(B954="","",_xlfn.XLOOKUP(B954,STUDENTS!$B$3:$B$1048576,STUDENTS!$C$3:$C$1048576)),"Enter a registered reg. no")</f>
        <v/>
      </c>
      <c r="D954" s="52">
        <f t="array" ref="D954:W954">IF(All_Students_Scores!C952:V952="","",All_Students_Scores!C952:V952)</f>
        <v/>
      </c>
      <c r="E954" s="57" t="str"/>
      <c r="F954" s="66" t="str"/>
      <c r="G954" s="67" t="str"/>
      <c r="H954" s="64" t="str"/>
      <c r="I954" s="65" t="str"/>
      <c r="J954" s="66" t="str"/>
      <c r="K954" s="67" t="str"/>
      <c r="L954" s="41" t="str"/>
      <c r="M954" s="41" t="str"/>
      <c r="N954" s="66" t="str"/>
      <c r="O954" s="67" t="str"/>
      <c r="P954" s="41" t="str"/>
      <c r="Q954" s="41" t="str"/>
      <c r="R954" s="66" t="str"/>
      <c r="S954" s="67" t="str"/>
      <c r="T954" s="41" t="str"/>
      <c r="U954" s="41" t="str"/>
      <c r="V954" s="66" t="str"/>
      <c r="W954" s="67" t="str"/>
    </row>
    <row r="955">
      <c r="B955" s="2">
        <f>IF(STUDENTS!B954="","",STUDENTS!B954)</f>
        <v/>
      </c>
      <c r="C955" s="44">
        <f>IFERROR(IF(B955="","",_xlfn.XLOOKUP(B955,STUDENTS!$B$3:$B$1048576,STUDENTS!$C$3:$C$1048576)),"Enter a registered reg. no")</f>
        <v/>
      </c>
      <c r="D955" s="52">
        <f t="array" ref="D955:W955">IF(All_Students_Scores!C953:V953="","",All_Students_Scores!C953:V953)</f>
        <v/>
      </c>
      <c r="E955" s="55" t="str"/>
      <c r="F955" s="48" t="str"/>
      <c r="G955" s="58" t="str"/>
      <c r="H955" s="62" t="str"/>
      <c r="I955" s="63" t="str"/>
      <c r="J955" s="48" t="str"/>
      <c r="K955" s="58" t="str"/>
      <c r="L955" s="42" t="str"/>
      <c r="M955" s="42" t="str"/>
      <c r="N955" s="48" t="str"/>
      <c r="O955" s="58" t="str"/>
      <c r="P955" s="42" t="str"/>
      <c r="Q955" s="42" t="str"/>
      <c r="R955" s="48" t="str"/>
      <c r="S955" s="58" t="str"/>
      <c r="T955" s="42" t="str"/>
      <c r="U955" s="42" t="str"/>
      <c r="V955" s="48" t="str"/>
      <c r="W955" s="58" t="str"/>
      <c r="X955" s="42" t="n"/>
      <c r="Y955" s="42" t="n"/>
    </row>
    <row r="956">
      <c r="B956" s="2">
        <f>IF(STUDENTS!B955="","",STUDENTS!B955)</f>
        <v/>
      </c>
      <c r="C956" s="44">
        <f>IFERROR(IF(B956="","",_xlfn.XLOOKUP(B956,STUDENTS!$B$3:$B$1048576,STUDENTS!$C$3:$C$1048576)),"Enter a registered reg. no")</f>
        <v/>
      </c>
      <c r="D956" s="52">
        <f t="array" ref="D956:W956">IF(All_Students_Scores!C954:V954="","",All_Students_Scores!C954:V954)</f>
        <v/>
      </c>
      <c r="E956" s="57" t="str"/>
      <c r="F956" s="66" t="str"/>
      <c r="G956" s="67" t="str"/>
      <c r="H956" s="64" t="str"/>
      <c r="I956" s="65" t="str"/>
      <c r="J956" s="66" t="str"/>
      <c r="K956" s="67" t="str"/>
      <c r="L956" s="41" t="str"/>
      <c r="M956" s="41" t="str"/>
      <c r="N956" s="66" t="str"/>
      <c r="O956" s="67" t="str"/>
      <c r="P956" s="41" t="str"/>
      <c r="Q956" s="41" t="str"/>
      <c r="R956" s="66" t="str"/>
      <c r="S956" s="67" t="str"/>
      <c r="T956" s="41" t="str"/>
      <c r="U956" s="41" t="str"/>
      <c r="V956" s="66" t="str"/>
      <c r="W956" s="67" t="str"/>
    </row>
    <row r="957">
      <c r="B957" s="2">
        <f>IF(STUDENTS!B956="","",STUDENTS!B956)</f>
        <v/>
      </c>
      <c r="C957" s="44">
        <f>IFERROR(IF(B957="","",_xlfn.XLOOKUP(B957,STUDENTS!$B$3:$B$1048576,STUDENTS!$C$3:$C$1048576)),"Enter a registered reg. no")</f>
        <v/>
      </c>
      <c r="D957" s="52">
        <f t="array" ref="D957:W957">IF(All_Students_Scores!C955:V955="","",All_Students_Scores!C955:V955)</f>
        <v/>
      </c>
      <c r="E957" s="55" t="str"/>
      <c r="F957" s="48" t="str"/>
      <c r="G957" s="58" t="str"/>
      <c r="H957" s="62" t="str"/>
      <c r="I957" s="63" t="str"/>
      <c r="J957" s="48" t="str"/>
      <c r="K957" s="58" t="str"/>
      <c r="L957" s="42" t="str"/>
      <c r="M957" s="42" t="str"/>
      <c r="N957" s="48" t="str"/>
      <c r="O957" s="58" t="str"/>
      <c r="P957" s="42" t="str"/>
      <c r="Q957" s="42" t="str"/>
      <c r="R957" s="48" t="str"/>
      <c r="S957" s="58" t="str"/>
      <c r="T957" s="42" t="str"/>
      <c r="U957" s="42" t="str"/>
      <c r="V957" s="48" t="str"/>
      <c r="W957" s="58" t="str"/>
      <c r="X957" s="42" t="n"/>
      <c r="Y957" s="42" t="n"/>
    </row>
    <row r="958">
      <c r="B958" s="2">
        <f>IF(STUDENTS!B957="","",STUDENTS!B957)</f>
        <v/>
      </c>
      <c r="C958" s="44">
        <f>IFERROR(IF(B958="","",_xlfn.XLOOKUP(B958,STUDENTS!$B$3:$B$1048576,STUDENTS!$C$3:$C$1048576)),"Enter a registered reg. no")</f>
        <v/>
      </c>
      <c r="D958" s="52">
        <f t="array" ref="D958:W958">IF(All_Students_Scores!C956:V956="","",All_Students_Scores!C956:V956)</f>
        <v/>
      </c>
      <c r="E958" s="57" t="str"/>
      <c r="F958" s="66" t="str"/>
      <c r="G958" s="67" t="str"/>
      <c r="H958" s="64" t="str"/>
      <c r="I958" s="65" t="str"/>
      <c r="J958" s="66" t="str"/>
      <c r="K958" s="67" t="str"/>
      <c r="L958" s="41" t="str"/>
      <c r="M958" s="41" t="str"/>
      <c r="N958" s="66" t="str"/>
      <c r="O958" s="67" t="str"/>
      <c r="P958" s="41" t="str"/>
      <c r="Q958" s="41" t="str"/>
      <c r="R958" s="66" t="str"/>
      <c r="S958" s="67" t="str"/>
      <c r="T958" s="41" t="str"/>
      <c r="U958" s="41" t="str"/>
      <c r="V958" s="66" t="str"/>
      <c r="W958" s="67" t="str"/>
    </row>
    <row r="959">
      <c r="B959" s="2">
        <f>IF(STUDENTS!B958="","",STUDENTS!B958)</f>
        <v/>
      </c>
      <c r="C959" s="44">
        <f>IFERROR(IF(B959="","",_xlfn.XLOOKUP(B959,STUDENTS!$B$3:$B$1048576,STUDENTS!$C$3:$C$1048576)),"Enter a registered reg. no")</f>
        <v/>
      </c>
      <c r="D959" s="52">
        <f t="array" ref="D959:W959">IF(All_Students_Scores!C957:V957="","",All_Students_Scores!C957:V957)</f>
        <v/>
      </c>
      <c r="E959" s="55" t="str"/>
      <c r="F959" s="48" t="str"/>
      <c r="G959" s="58" t="str"/>
      <c r="H959" s="62" t="str"/>
      <c r="I959" s="63" t="str"/>
      <c r="J959" s="48" t="str"/>
      <c r="K959" s="58" t="str"/>
      <c r="L959" s="42" t="str"/>
      <c r="M959" s="42" t="str"/>
      <c r="N959" s="48" t="str"/>
      <c r="O959" s="58" t="str"/>
      <c r="P959" s="42" t="str"/>
      <c r="Q959" s="42" t="str"/>
      <c r="R959" s="48" t="str"/>
      <c r="S959" s="58" t="str"/>
      <c r="T959" s="42" t="str"/>
      <c r="U959" s="42" t="str"/>
      <c r="V959" s="48" t="str"/>
      <c r="W959" s="58" t="str"/>
      <c r="X959" s="42" t="n"/>
      <c r="Y959" s="42" t="n"/>
    </row>
    <row r="960">
      <c r="B960" s="2">
        <f>IF(STUDENTS!B959="","",STUDENTS!B959)</f>
        <v/>
      </c>
      <c r="C960" s="44">
        <f>IFERROR(IF(B960="","",_xlfn.XLOOKUP(B960,STUDENTS!$B$3:$B$1048576,STUDENTS!$C$3:$C$1048576)),"Enter a registered reg. no")</f>
        <v/>
      </c>
      <c r="D960" s="52">
        <f t="array" ref="D960:W960">IF(All_Students_Scores!C958:V958="","",All_Students_Scores!C958:V958)</f>
        <v/>
      </c>
      <c r="E960" s="57" t="str"/>
      <c r="F960" s="66" t="str"/>
      <c r="G960" s="67" t="str"/>
      <c r="H960" s="64" t="str"/>
      <c r="I960" s="65" t="str"/>
      <c r="J960" s="66" t="str"/>
      <c r="K960" s="67" t="str"/>
      <c r="L960" s="41" t="str"/>
      <c r="M960" s="41" t="str"/>
      <c r="N960" s="66" t="str"/>
      <c r="O960" s="67" t="str"/>
      <c r="P960" s="41" t="str"/>
      <c r="Q960" s="41" t="str"/>
      <c r="R960" s="66" t="str"/>
      <c r="S960" s="67" t="str"/>
      <c r="T960" s="41" t="str"/>
      <c r="U960" s="41" t="str"/>
      <c r="V960" s="66" t="str"/>
      <c r="W960" s="67" t="str"/>
    </row>
    <row r="961">
      <c r="B961" s="2">
        <f>IF(STUDENTS!B960="","",STUDENTS!B960)</f>
        <v/>
      </c>
      <c r="C961" s="44">
        <f>IFERROR(IF(B961="","",_xlfn.XLOOKUP(B961,STUDENTS!$B$3:$B$1048576,STUDENTS!$C$3:$C$1048576)),"Enter a registered reg. no")</f>
        <v/>
      </c>
      <c r="D961" s="52">
        <f t="array" ref="D961:W961">IF(All_Students_Scores!C959:V959="","",All_Students_Scores!C959:V959)</f>
        <v/>
      </c>
      <c r="E961" s="55" t="str"/>
      <c r="F961" s="48" t="str"/>
      <c r="G961" s="58" t="str"/>
      <c r="H961" s="62" t="str"/>
      <c r="I961" s="63" t="str"/>
      <c r="J961" s="48" t="str"/>
      <c r="K961" s="58" t="str"/>
      <c r="L961" s="42" t="str"/>
      <c r="M961" s="42" t="str"/>
      <c r="N961" s="48" t="str"/>
      <c r="O961" s="58" t="str"/>
      <c r="P961" s="42" t="str"/>
      <c r="Q961" s="42" t="str"/>
      <c r="R961" s="48" t="str"/>
      <c r="S961" s="58" t="str"/>
      <c r="T961" s="42" t="str"/>
      <c r="U961" s="42" t="str"/>
      <c r="V961" s="48" t="str"/>
      <c r="W961" s="58" t="str"/>
      <c r="X961" s="42" t="n"/>
      <c r="Y961" s="42" t="n"/>
    </row>
    <row r="962">
      <c r="B962" s="2">
        <f>IF(STUDENTS!B961="","",STUDENTS!B961)</f>
        <v/>
      </c>
      <c r="C962" s="44">
        <f>IFERROR(IF(B962="","",_xlfn.XLOOKUP(B962,STUDENTS!$B$3:$B$1048576,STUDENTS!$C$3:$C$1048576)),"Enter a registered reg. no")</f>
        <v/>
      </c>
      <c r="D962" s="52">
        <f t="array" ref="D962:W962">IF(All_Students_Scores!C960:V960="","",All_Students_Scores!C960:V960)</f>
        <v/>
      </c>
      <c r="E962" s="57" t="str"/>
      <c r="F962" s="66" t="str"/>
      <c r="G962" s="67" t="str"/>
      <c r="H962" s="64" t="str"/>
      <c r="I962" s="65" t="str"/>
      <c r="J962" s="66" t="str"/>
      <c r="K962" s="67" t="str"/>
      <c r="L962" s="41" t="str"/>
      <c r="M962" s="41" t="str"/>
      <c r="N962" s="66" t="str"/>
      <c r="O962" s="67" t="str"/>
      <c r="P962" s="41" t="str"/>
      <c r="Q962" s="41" t="str"/>
      <c r="R962" s="66" t="str"/>
      <c r="S962" s="67" t="str"/>
      <c r="T962" s="41" t="str"/>
      <c r="U962" s="41" t="str"/>
      <c r="V962" s="66" t="str"/>
      <c r="W962" s="67" t="str"/>
    </row>
    <row r="963">
      <c r="B963" s="2">
        <f>IF(STUDENTS!B962="","",STUDENTS!B962)</f>
        <v/>
      </c>
      <c r="C963" s="44">
        <f>IFERROR(IF(B963="","",_xlfn.XLOOKUP(B963,STUDENTS!$B$3:$B$1048576,STUDENTS!$C$3:$C$1048576)),"Enter a registered reg. no")</f>
        <v/>
      </c>
      <c r="D963" s="52">
        <f t="array" ref="D963:W963">IF(All_Students_Scores!C961:V961="","",All_Students_Scores!C961:V961)</f>
        <v/>
      </c>
      <c r="E963" s="55" t="str"/>
      <c r="F963" s="48" t="str"/>
      <c r="G963" s="58" t="str"/>
      <c r="H963" s="62" t="str"/>
      <c r="I963" s="63" t="str"/>
      <c r="J963" s="48" t="str"/>
      <c r="K963" s="58" t="str"/>
      <c r="L963" s="42" t="str"/>
      <c r="M963" s="42" t="str"/>
      <c r="N963" s="48" t="str"/>
      <c r="O963" s="58" t="str"/>
      <c r="P963" s="42" t="str"/>
      <c r="Q963" s="42" t="str"/>
      <c r="R963" s="48" t="str"/>
      <c r="S963" s="58" t="str"/>
      <c r="T963" s="42" t="str"/>
      <c r="U963" s="42" t="str"/>
      <c r="V963" s="48" t="str"/>
      <c r="W963" s="58" t="str"/>
      <c r="X963" s="42" t="n"/>
      <c r="Y963" s="42" t="n"/>
    </row>
    <row r="964">
      <c r="B964" s="2">
        <f>IF(STUDENTS!B963="","",STUDENTS!B963)</f>
        <v/>
      </c>
      <c r="C964" s="44">
        <f>IFERROR(IF(B964="","",_xlfn.XLOOKUP(B964,STUDENTS!$B$3:$B$1048576,STUDENTS!$C$3:$C$1048576)),"Enter a registered reg. no")</f>
        <v/>
      </c>
      <c r="D964" s="52">
        <f t="array" ref="D964:W964">IF(All_Students_Scores!C962:V962="","",All_Students_Scores!C962:V962)</f>
        <v/>
      </c>
      <c r="E964" s="57" t="str"/>
      <c r="F964" s="66" t="str"/>
      <c r="G964" s="67" t="str"/>
      <c r="H964" s="64" t="str"/>
      <c r="I964" s="65" t="str"/>
      <c r="J964" s="66" t="str"/>
      <c r="K964" s="67" t="str"/>
      <c r="L964" s="41" t="str"/>
      <c r="M964" s="41" t="str"/>
      <c r="N964" s="66" t="str"/>
      <c r="O964" s="67" t="str"/>
      <c r="P964" s="41" t="str"/>
      <c r="Q964" s="41" t="str"/>
      <c r="R964" s="66" t="str"/>
      <c r="S964" s="67" t="str"/>
      <c r="T964" s="41" t="str"/>
      <c r="U964" s="41" t="str"/>
      <c r="V964" s="66" t="str"/>
      <c r="W964" s="67" t="str"/>
    </row>
    <row r="965">
      <c r="B965" s="2">
        <f>IF(STUDENTS!B964="","",STUDENTS!B964)</f>
        <v/>
      </c>
      <c r="C965" s="44">
        <f>IFERROR(IF(B965="","",_xlfn.XLOOKUP(B965,STUDENTS!$B$3:$B$1048576,STUDENTS!$C$3:$C$1048576)),"Enter a registered reg. no")</f>
        <v/>
      </c>
      <c r="D965" s="52">
        <f t="array" ref="D965:W965">IF(All_Students_Scores!C963:V963="","",All_Students_Scores!C963:V963)</f>
        <v/>
      </c>
      <c r="E965" s="55" t="str"/>
      <c r="F965" s="48" t="str"/>
      <c r="G965" s="58" t="str"/>
      <c r="H965" s="62" t="str"/>
      <c r="I965" s="63" t="str"/>
      <c r="J965" s="48" t="str"/>
      <c r="K965" s="58" t="str"/>
      <c r="L965" s="42" t="str"/>
      <c r="M965" s="42" t="str"/>
      <c r="N965" s="48" t="str"/>
      <c r="O965" s="58" t="str"/>
      <c r="P965" s="42" t="str"/>
      <c r="Q965" s="42" t="str"/>
      <c r="R965" s="48" t="str"/>
      <c r="S965" s="58" t="str"/>
      <c r="T965" s="42" t="str"/>
      <c r="U965" s="42" t="str"/>
      <c r="V965" s="48" t="str"/>
      <c r="W965" s="58" t="str"/>
      <c r="X965" s="42" t="n"/>
      <c r="Y965" s="42" t="n"/>
    </row>
    <row r="966">
      <c r="B966" s="2">
        <f>IF(STUDENTS!B965="","",STUDENTS!B965)</f>
        <v/>
      </c>
      <c r="C966" s="44">
        <f>IFERROR(IF(B966="","",_xlfn.XLOOKUP(B966,STUDENTS!$B$3:$B$1048576,STUDENTS!$C$3:$C$1048576)),"Enter a registered reg. no")</f>
        <v/>
      </c>
      <c r="D966" s="52">
        <f t="array" ref="D966:W966">IF(All_Students_Scores!C964:V964="","",All_Students_Scores!C964:V964)</f>
        <v/>
      </c>
      <c r="E966" s="57" t="str"/>
      <c r="F966" s="66" t="str"/>
      <c r="G966" s="67" t="str"/>
      <c r="H966" s="64" t="str"/>
      <c r="I966" s="65" t="str"/>
      <c r="J966" s="66" t="str"/>
      <c r="K966" s="67" t="str"/>
      <c r="L966" s="41" t="str"/>
      <c r="M966" s="41" t="str"/>
      <c r="N966" s="66" t="str"/>
      <c r="O966" s="67" t="str"/>
      <c r="P966" s="41" t="str"/>
      <c r="Q966" s="41" t="str"/>
      <c r="R966" s="66" t="str"/>
      <c r="S966" s="67" t="str"/>
      <c r="T966" s="41" t="str"/>
      <c r="U966" s="41" t="str"/>
      <c r="V966" s="66" t="str"/>
      <c r="W966" s="67" t="str"/>
    </row>
    <row r="967">
      <c r="B967" s="2">
        <f>IF(STUDENTS!B966="","",STUDENTS!B966)</f>
        <v/>
      </c>
      <c r="C967" s="44">
        <f>IFERROR(IF(B967="","",_xlfn.XLOOKUP(B967,STUDENTS!$B$3:$B$1048576,STUDENTS!$C$3:$C$1048576)),"Enter a registered reg. no")</f>
        <v/>
      </c>
      <c r="D967" s="52">
        <f t="array" ref="D967:W967">IF(All_Students_Scores!C965:V965="","",All_Students_Scores!C965:V965)</f>
        <v/>
      </c>
      <c r="E967" s="55" t="str"/>
      <c r="F967" s="48" t="str"/>
      <c r="G967" s="58" t="str"/>
      <c r="H967" s="62" t="str"/>
      <c r="I967" s="63" t="str"/>
      <c r="J967" s="48" t="str"/>
      <c r="K967" s="58" t="str"/>
      <c r="L967" s="42" t="str"/>
      <c r="M967" s="42" t="str"/>
      <c r="N967" s="48" t="str"/>
      <c r="O967" s="58" t="str"/>
      <c r="P967" s="42" t="str"/>
      <c r="Q967" s="42" t="str"/>
      <c r="R967" s="48" t="str"/>
      <c r="S967" s="58" t="str"/>
      <c r="T967" s="42" t="str"/>
      <c r="U967" s="42" t="str"/>
      <c r="V967" s="48" t="str"/>
      <c r="W967" s="58" t="str"/>
      <c r="X967" s="42" t="n"/>
      <c r="Y967" s="42" t="n"/>
    </row>
    <row r="968">
      <c r="B968" s="2">
        <f>IF(STUDENTS!B967="","",STUDENTS!B967)</f>
        <v/>
      </c>
      <c r="C968" s="44">
        <f>IFERROR(IF(B968="","",_xlfn.XLOOKUP(B968,STUDENTS!$B$3:$B$1048576,STUDENTS!$C$3:$C$1048576)),"Enter a registered reg. no")</f>
        <v/>
      </c>
      <c r="D968" s="52">
        <f t="array" ref="D968:W968">IF(All_Students_Scores!C966:V966="","",All_Students_Scores!C966:V966)</f>
        <v/>
      </c>
      <c r="E968" s="57" t="str"/>
      <c r="F968" s="66" t="str"/>
      <c r="G968" s="67" t="str"/>
      <c r="H968" s="64" t="str"/>
      <c r="I968" s="65" t="str"/>
      <c r="J968" s="66" t="str"/>
      <c r="K968" s="67" t="str"/>
      <c r="L968" s="41" t="str"/>
      <c r="M968" s="41" t="str"/>
      <c r="N968" s="66" t="str"/>
      <c r="O968" s="67" t="str"/>
      <c r="P968" s="41" t="str"/>
      <c r="Q968" s="41" t="str"/>
      <c r="R968" s="66" t="str"/>
      <c r="S968" s="67" t="str"/>
      <c r="T968" s="41" t="str"/>
      <c r="U968" s="41" t="str"/>
      <c r="V968" s="66" t="str"/>
      <c r="W968" s="67" t="str"/>
    </row>
    <row r="969">
      <c r="B969" s="2">
        <f>IF(STUDENTS!B968="","",STUDENTS!B968)</f>
        <v/>
      </c>
      <c r="C969" s="44">
        <f>IFERROR(IF(B969="","",_xlfn.XLOOKUP(B969,STUDENTS!$B$3:$B$1048576,STUDENTS!$C$3:$C$1048576)),"Enter a registered reg. no")</f>
        <v/>
      </c>
      <c r="D969" s="52">
        <f t="array" ref="D969:W969">IF(All_Students_Scores!C967:V967="","",All_Students_Scores!C967:V967)</f>
        <v/>
      </c>
      <c r="E969" s="55" t="str"/>
      <c r="F969" s="48" t="str"/>
      <c r="G969" s="58" t="str"/>
      <c r="H969" s="62" t="str"/>
      <c r="I969" s="63" t="str"/>
      <c r="J969" s="48" t="str"/>
      <c r="K969" s="58" t="str"/>
      <c r="L969" s="42" t="str"/>
      <c r="M969" s="42" t="str"/>
      <c r="N969" s="48" t="str"/>
      <c r="O969" s="58" t="str"/>
      <c r="P969" s="42" t="str"/>
      <c r="Q969" s="42" t="str"/>
      <c r="R969" s="48" t="str"/>
      <c r="S969" s="58" t="str"/>
      <c r="T969" s="42" t="str"/>
      <c r="U969" s="42" t="str"/>
      <c r="V969" s="48" t="str"/>
      <c r="W969" s="58" t="str"/>
      <c r="X969" s="42" t="n"/>
      <c r="Y969" s="42" t="n"/>
    </row>
    <row r="970">
      <c r="B970" s="2">
        <f>IF(STUDENTS!B969="","",STUDENTS!B969)</f>
        <v/>
      </c>
      <c r="C970" s="44">
        <f>IFERROR(IF(B970="","",_xlfn.XLOOKUP(B970,STUDENTS!$B$3:$B$1048576,STUDENTS!$C$3:$C$1048576)),"Enter a registered reg. no")</f>
        <v/>
      </c>
      <c r="D970" s="52">
        <f t="array" ref="D970:W970">IF(All_Students_Scores!C968:V968="","",All_Students_Scores!C968:V968)</f>
        <v/>
      </c>
      <c r="E970" s="57" t="str"/>
      <c r="F970" s="66" t="str"/>
      <c r="G970" s="67" t="str"/>
      <c r="H970" s="64" t="str"/>
      <c r="I970" s="65" t="str"/>
      <c r="J970" s="66" t="str"/>
      <c r="K970" s="67" t="str"/>
      <c r="L970" s="41" t="str"/>
      <c r="M970" s="41" t="str"/>
      <c r="N970" s="66" t="str"/>
      <c r="O970" s="67" t="str"/>
      <c r="P970" s="41" t="str"/>
      <c r="Q970" s="41" t="str"/>
      <c r="R970" s="66" t="str"/>
      <c r="S970" s="67" t="str"/>
      <c r="T970" s="41" t="str"/>
      <c r="U970" s="41" t="str"/>
      <c r="V970" s="66" t="str"/>
      <c r="W970" s="67" t="str"/>
    </row>
    <row r="971">
      <c r="B971" s="2">
        <f>IF(STUDENTS!B970="","",STUDENTS!B970)</f>
        <v/>
      </c>
      <c r="C971" s="44">
        <f>IFERROR(IF(B971="","",_xlfn.XLOOKUP(B971,STUDENTS!$B$3:$B$1048576,STUDENTS!$C$3:$C$1048576)),"Enter a registered reg. no")</f>
        <v/>
      </c>
      <c r="D971" s="52">
        <f t="array" ref="D971:W971">IF(All_Students_Scores!C969:V969="","",All_Students_Scores!C969:V969)</f>
        <v/>
      </c>
      <c r="E971" s="55" t="str"/>
      <c r="F971" s="48" t="str"/>
      <c r="G971" s="58" t="str"/>
      <c r="H971" s="62" t="str"/>
      <c r="I971" s="63" t="str"/>
      <c r="J971" s="48" t="str"/>
      <c r="K971" s="58" t="str"/>
      <c r="L971" s="42" t="str"/>
      <c r="M971" s="42" t="str"/>
      <c r="N971" s="48" t="str"/>
      <c r="O971" s="58" t="str"/>
      <c r="P971" s="42" t="str"/>
      <c r="Q971" s="42" t="str"/>
      <c r="R971" s="48" t="str"/>
      <c r="S971" s="58" t="str"/>
      <c r="T971" s="42" t="str"/>
      <c r="U971" s="42" t="str"/>
      <c r="V971" s="48" t="str"/>
      <c r="W971" s="58" t="str"/>
      <c r="X971" s="42" t="n"/>
      <c r="Y971" s="42" t="n"/>
    </row>
    <row r="972">
      <c r="B972" s="2">
        <f>IF(STUDENTS!B971="","",STUDENTS!B971)</f>
        <v/>
      </c>
      <c r="C972" s="44">
        <f>IFERROR(IF(B972="","",_xlfn.XLOOKUP(B972,STUDENTS!$B$3:$B$1048576,STUDENTS!$C$3:$C$1048576)),"Enter a registered reg. no")</f>
        <v/>
      </c>
      <c r="D972" s="52">
        <f t="array" ref="D972:W972">IF(All_Students_Scores!C970:V970="","",All_Students_Scores!C970:V970)</f>
        <v/>
      </c>
      <c r="E972" s="57" t="str"/>
      <c r="F972" s="66" t="str"/>
      <c r="G972" s="67" t="str"/>
      <c r="H972" s="64" t="str"/>
      <c r="I972" s="65" t="str"/>
      <c r="J972" s="66" t="str"/>
      <c r="K972" s="67" t="str"/>
      <c r="L972" s="41" t="str"/>
      <c r="M972" s="41" t="str"/>
      <c r="N972" s="66" t="str"/>
      <c r="O972" s="67" t="str"/>
      <c r="P972" s="41" t="str"/>
      <c r="Q972" s="41" t="str"/>
      <c r="R972" s="66" t="str"/>
      <c r="S972" s="67" t="str"/>
      <c r="T972" s="41" t="str"/>
      <c r="U972" s="41" t="str"/>
      <c r="V972" s="66" t="str"/>
      <c r="W972" s="67" t="str"/>
    </row>
    <row r="973">
      <c r="B973" s="2">
        <f>IF(STUDENTS!B972="","",STUDENTS!B972)</f>
        <v/>
      </c>
      <c r="C973" s="44">
        <f>IFERROR(IF(B973="","",_xlfn.XLOOKUP(B973,STUDENTS!$B$3:$B$1048576,STUDENTS!$C$3:$C$1048576)),"Enter a registered reg. no")</f>
        <v/>
      </c>
      <c r="D973" s="52">
        <f t="array" ref="D973:W973">IF(All_Students_Scores!C971:V971="","",All_Students_Scores!C971:V971)</f>
        <v/>
      </c>
      <c r="E973" s="55" t="str"/>
      <c r="F973" s="48" t="str"/>
      <c r="G973" s="58" t="str"/>
      <c r="H973" s="62" t="str"/>
      <c r="I973" s="63" t="str"/>
      <c r="J973" s="48" t="str"/>
      <c r="K973" s="58" t="str"/>
      <c r="L973" s="42" t="str"/>
      <c r="M973" s="42" t="str"/>
      <c r="N973" s="48" t="str"/>
      <c r="O973" s="58" t="str"/>
      <c r="P973" s="42" t="str"/>
      <c r="Q973" s="42" t="str"/>
      <c r="R973" s="48" t="str"/>
      <c r="S973" s="58" t="str"/>
      <c r="T973" s="42" t="str"/>
      <c r="U973" s="42" t="str"/>
      <c r="V973" s="48" t="str"/>
      <c r="W973" s="58" t="str"/>
      <c r="X973" s="42" t="n"/>
      <c r="Y973" s="42" t="n"/>
    </row>
    <row r="974">
      <c r="B974" s="2">
        <f>IF(STUDENTS!B973="","",STUDENTS!B973)</f>
        <v/>
      </c>
      <c r="C974" s="44">
        <f>IFERROR(IF(B974="","",_xlfn.XLOOKUP(B974,STUDENTS!$B$3:$B$1048576,STUDENTS!$C$3:$C$1048576)),"Enter a registered reg. no")</f>
        <v/>
      </c>
      <c r="D974" s="52">
        <f t="array" ref="D974:W974">IF(All_Students_Scores!C972:V972="","",All_Students_Scores!C972:V972)</f>
        <v/>
      </c>
      <c r="E974" s="57" t="str"/>
      <c r="F974" s="66" t="str"/>
      <c r="G974" s="67" t="str"/>
      <c r="H974" s="64" t="str"/>
      <c r="I974" s="65" t="str"/>
      <c r="J974" s="66" t="str"/>
      <c r="K974" s="67" t="str"/>
      <c r="L974" s="41" t="str"/>
      <c r="M974" s="41" t="str"/>
      <c r="N974" s="66" t="str"/>
      <c r="O974" s="67" t="str"/>
      <c r="P974" s="41" t="str"/>
      <c r="Q974" s="41" t="str"/>
      <c r="R974" s="66" t="str"/>
      <c r="S974" s="67" t="str"/>
      <c r="T974" s="41" t="str"/>
      <c r="U974" s="41" t="str"/>
      <c r="V974" s="66" t="str"/>
      <c r="W974" s="67" t="str"/>
    </row>
    <row r="975">
      <c r="B975" s="2">
        <f>IF(STUDENTS!B974="","",STUDENTS!B974)</f>
        <v/>
      </c>
      <c r="C975" s="44">
        <f>IFERROR(IF(B975="","",_xlfn.XLOOKUP(B975,STUDENTS!$B$3:$B$1048576,STUDENTS!$C$3:$C$1048576)),"Enter a registered reg. no")</f>
        <v/>
      </c>
      <c r="D975" s="52">
        <f t="array" ref="D975:W975">IF(All_Students_Scores!C973:V973="","",All_Students_Scores!C973:V973)</f>
        <v/>
      </c>
      <c r="E975" s="55" t="str"/>
      <c r="F975" s="48" t="str"/>
      <c r="G975" s="58" t="str"/>
      <c r="H975" s="62" t="str"/>
      <c r="I975" s="63" t="str"/>
      <c r="J975" s="48" t="str"/>
      <c r="K975" s="58" t="str"/>
      <c r="L975" s="42" t="str"/>
      <c r="M975" s="42" t="str"/>
      <c r="N975" s="48" t="str"/>
      <c r="O975" s="58" t="str"/>
      <c r="P975" s="42" t="str"/>
      <c r="Q975" s="42" t="str"/>
      <c r="R975" s="48" t="str"/>
      <c r="S975" s="58" t="str"/>
      <c r="T975" s="42" t="str"/>
      <c r="U975" s="42" t="str"/>
      <c r="V975" s="48" t="str"/>
      <c r="W975" s="58" t="str"/>
      <c r="X975" s="42" t="n"/>
      <c r="Y975" s="42" t="n"/>
    </row>
    <row r="976">
      <c r="B976" s="2">
        <f>IF(STUDENTS!B975="","",STUDENTS!B975)</f>
        <v/>
      </c>
      <c r="C976" s="44">
        <f>IFERROR(IF(B976="","",_xlfn.XLOOKUP(B976,STUDENTS!$B$3:$B$1048576,STUDENTS!$C$3:$C$1048576)),"Enter a registered reg. no")</f>
        <v/>
      </c>
      <c r="D976" s="52">
        <f t="array" ref="D976:W976">IF(All_Students_Scores!C974:V974="","",All_Students_Scores!C974:V974)</f>
        <v/>
      </c>
      <c r="E976" s="57" t="str"/>
      <c r="F976" s="66" t="str"/>
      <c r="G976" s="67" t="str"/>
      <c r="H976" s="64" t="str"/>
      <c r="I976" s="65" t="str"/>
      <c r="J976" s="66" t="str"/>
      <c r="K976" s="67" t="str"/>
      <c r="L976" s="41" t="str"/>
      <c r="M976" s="41" t="str"/>
      <c r="N976" s="66" t="str"/>
      <c r="O976" s="67" t="str"/>
      <c r="P976" s="41" t="str"/>
      <c r="Q976" s="41" t="str"/>
      <c r="R976" s="66" t="str"/>
      <c r="S976" s="67" t="str"/>
      <c r="T976" s="41" t="str"/>
      <c r="U976" s="41" t="str"/>
      <c r="V976" s="66" t="str"/>
      <c r="W976" s="67" t="str"/>
    </row>
    <row r="977">
      <c r="B977" s="2">
        <f>IF(STUDENTS!B976="","",STUDENTS!B976)</f>
        <v/>
      </c>
      <c r="C977" s="44">
        <f>IFERROR(IF(B977="","",_xlfn.XLOOKUP(B977,STUDENTS!$B$3:$B$1048576,STUDENTS!$C$3:$C$1048576)),"Enter a registered reg. no")</f>
        <v/>
      </c>
      <c r="D977" s="52">
        <f t="array" ref="D977:W977">IF(All_Students_Scores!C975:V975="","",All_Students_Scores!C975:V975)</f>
        <v/>
      </c>
      <c r="E977" s="55" t="str"/>
      <c r="F977" s="48" t="str"/>
      <c r="G977" s="58" t="str"/>
      <c r="H977" s="62" t="str"/>
      <c r="I977" s="63" t="str"/>
      <c r="J977" s="48" t="str"/>
      <c r="K977" s="58" t="str"/>
      <c r="L977" s="42" t="str"/>
      <c r="M977" s="42" t="str"/>
      <c r="N977" s="48" t="str"/>
      <c r="O977" s="58" t="str"/>
      <c r="P977" s="42" t="str"/>
      <c r="Q977" s="42" t="str"/>
      <c r="R977" s="48" t="str"/>
      <c r="S977" s="58" t="str"/>
      <c r="T977" s="42" t="str"/>
      <c r="U977" s="42" t="str"/>
      <c r="V977" s="48" t="str"/>
      <c r="W977" s="58" t="str"/>
      <c r="X977" s="42" t="n"/>
      <c r="Y977" s="42" t="n"/>
    </row>
    <row r="978">
      <c r="B978" s="2">
        <f>IF(STUDENTS!B977="","",STUDENTS!B977)</f>
        <v/>
      </c>
      <c r="C978" s="44">
        <f>IFERROR(IF(B978="","",_xlfn.XLOOKUP(B978,STUDENTS!$B$3:$B$1048576,STUDENTS!$C$3:$C$1048576)),"Enter a registered reg. no")</f>
        <v/>
      </c>
      <c r="D978" s="52">
        <f t="array" ref="D978:W978">IF(All_Students_Scores!C976:V976="","",All_Students_Scores!C976:V976)</f>
        <v/>
      </c>
      <c r="E978" s="57" t="str"/>
      <c r="F978" s="66" t="str"/>
      <c r="G978" s="67" t="str"/>
      <c r="H978" s="64" t="str"/>
      <c r="I978" s="65" t="str"/>
      <c r="J978" s="66" t="str"/>
      <c r="K978" s="67" t="str"/>
      <c r="L978" s="41" t="str"/>
      <c r="M978" s="41" t="str"/>
      <c r="N978" s="66" t="str"/>
      <c r="O978" s="67" t="str"/>
      <c r="P978" s="41" t="str"/>
      <c r="Q978" s="41" t="str"/>
      <c r="R978" s="66" t="str"/>
      <c r="S978" s="67" t="str"/>
      <c r="T978" s="41" t="str"/>
      <c r="U978" s="41" t="str"/>
      <c r="V978" s="66" t="str"/>
      <c r="W978" s="67" t="str"/>
    </row>
    <row r="979">
      <c r="B979" s="2">
        <f>IF(STUDENTS!B978="","",STUDENTS!B978)</f>
        <v/>
      </c>
      <c r="C979" s="44">
        <f>IFERROR(IF(B979="","",_xlfn.XLOOKUP(B979,STUDENTS!$B$3:$B$1048576,STUDENTS!$C$3:$C$1048576)),"Enter a registered reg. no")</f>
        <v/>
      </c>
      <c r="D979" s="52">
        <f t="array" ref="D979:W979">IF(All_Students_Scores!C977:V977="","",All_Students_Scores!C977:V977)</f>
        <v/>
      </c>
      <c r="E979" s="55" t="str"/>
      <c r="F979" s="48" t="str"/>
      <c r="G979" s="58" t="str"/>
      <c r="H979" s="62" t="str"/>
      <c r="I979" s="63" t="str"/>
      <c r="J979" s="48" t="str"/>
      <c r="K979" s="58" t="str"/>
      <c r="L979" s="42" t="str"/>
      <c r="M979" s="42" t="str"/>
      <c r="N979" s="48" t="str"/>
      <c r="O979" s="58" t="str"/>
      <c r="P979" s="42" t="str"/>
      <c r="Q979" s="42" t="str"/>
      <c r="R979" s="48" t="str"/>
      <c r="S979" s="58" t="str"/>
      <c r="T979" s="42" t="str"/>
      <c r="U979" s="42" t="str"/>
      <c r="V979" s="48" t="str"/>
      <c r="W979" s="58" t="str"/>
      <c r="X979" s="42" t="n"/>
      <c r="Y979" s="42" t="n"/>
    </row>
    <row r="980">
      <c r="B980" s="2">
        <f>IF(STUDENTS!B979="","",STUDENTS!B979)</f>
        <v/>
      </c>
      <c r="C980" s="44">
        <f>IFERROR(IF(B980="","",_xlfn.XLOOKUP(B980,STUDENTS!$B$3:$B$1048576,STUDENTS!$C$3:$C$1048576)),"Enter a registered reg. no")</f>
        <v/>
      </c>
      <c r="D980" s="52">
        <f t="array" ref="D980:W980">IF(All_Students_Scores!C978:V978="","",All_Students_Scores!C978:V978)</f>
        <v/>
      </c>
      <c r="E980" s="57" t="str"/>
      <c r="F980" s="66" t="str"/>
      <c r="G980" s="67" t="str"/>
      <c r="H980" s="64" t="str"/>
      <c r="I980" s="65" t="str"/>
      <c r="J980" s="66" t="str"/>
      <c r="K980" s="67" t="str"/>
      <c r="L980" s="41" t="str"/>
      <c r="M980" s="41" t="str"/>
      <c r="N980" s="66" t="str"/>
      <c r="O980" s="67" t="str"/>
      <c r="P980" s="41" t="str"/>
      <c r="Q980" s="41" t="str"/>
      <c r="R980" s="66" t="str"/>
      <c r="S980" s="67" t="str"/>
      <c r="T980" s="41" t="str"/>
      <c r="U980" s="41" t="str"/>
      <c r="V980" s="66" t="str"/>
      <c r="W980" s="67" t="str"/>
    </row>
    <row r="981">
      <c r="B981" s="2">
        <f>IF(STUDENTS!B980="","",STUDENTS!B980)</f>
        <v/>
      </c>
      <c r="C981" s="44">
        <f>IFERROR(IF(B981="","",_xlfn.XLOOKUP(B981,STUDENTS!$B$3:$B$1048576,STUDENTS!$C$3:$C$1048576)),"Enter a registered reg. no")</f>
        <v/>
      </c>
      <c r="D981" s="52">
        <f t="array" ref="D981:W981">IF(All_Students_Scores!C979:V979="","",All_Students_Scores!C979:V979)</f>
        <v/>
      </c>
      <c r="E981" s="55" t="str"/>
      <c r="F981" s="48" t="str"/>
      <c r="G981" s="58" t="str"/>
      <c r="H981" s="62" t="str"/>
      <c r="I981" s="63" t="str"/>
      <c r="J981" s="48" t="str"/>
      <c r="K981" s="58" t="str"/>
      <c r="L981" s="42" t="str"/>
      <c r="M981" s="42" t="str"/>
      <c r="N981" s="48" t="str"/>
      <c r="O981" s="58" t="str"/>
      <c r="P981" s="42" t="str"/>
      <c r="Q981" s="42" t="str"/>
      <c r="R981" s="48" t="str"/>
      <c r="S981" s="58" t="str"/>
      <c r="T981" s="42" t="str"/>
      <c r="U981" s="42" t="str"/>
      <c r="V981" s="48" t="str"/>
      <c r="W981" s="58" t="str"/>
      <c r="X981" s="42" t="n"/>
      <c r="Y981" s="42" t="n"/>
    </row>
    <row r="982">
      <c r="B982" s="2">
        <f>IF(STUDENTS!B981="","",STUDENTS!B981)</f>
        <v/>
      </c>
      <c r="C982" s="44">
        <f>IFERROR(IF(B982="","",_xlfn.XLOOKUP(B982,STUDENTS!$B$3:$B$1048576,STUDENTS!$C$3:$C$1048576)),"Enter a registered reg. no")</f>
        <v/>
      </c>
      <c r="D982" s="52">
        <f t="array" ref="D982:W982">IF(All_Students_Scores!C980:V980="","",All_Students_Scores!C980:V980)</f>
        <v/>
      </c>
      <c r="E982" s="57" t="str"/>
      <c r="F982" s="66" t="str"/>
      <c r="G982" s="67" t="str"/>
      <c r="H982" s="64" t="str"/>
      <c r="I982" s="65" t="str"/>
      <c r="J982" s="66" t="str"/>
      <c r="K982" s="67" t="str"/>
      <c r="L982" s="41" t="str"/>
      <c r="M982" s="41" t="str"/>
      <c r="N982" s="66" t="str"/>
      <c r="O982" s="67" t="str"/>
      <c r="P982" s="41" t="str"/>
      <c r="Q982" s="41" t="str"/>
      <c r="R982" s="66" t="str"/>
      <c r="S982" s="67" t="str"/>
      <c r="T982" s="41" t="str"/>
      <c r="U982" s="41" t="str"/>
      <c r="V982" s="66" t="str"/>
      <c r="W982" s="67" t="str"/>
    </row>
    <row r="983">
      <c r="B983" s="2">
        <f>IF(STUDENTS!B982="","",STUDENTS!B982)</f>
        <v/>
      </c>
      <c r="C983" s="44">
        <f>IFERROR(IF(B983="","",_xlfn.XLOOKUP(B983,STUDENTS!$B$3:$B$1048576,STUDENTS!$C$3:$C$1048576)),"Enter a registered reg. no")</f>
        <v/>
      </c>
      <c r="D983" s="52">
        <f t="array" ref="D983:W983">IF(All_Students_Scores!C981:V981="","",All_Students_Scores!C981:V981)</f>
        <v/>
      </c>
      <c r="E983" s="55" t="str"/>
      <c r="F983" s="48" t="str"/>
      <c r="G983" s="58" t="str"/>
      <c r="H983" s="62" t="str"/>
      <c r="I983" s="63" t="str"/>
      <c r="J983" s="48" t="str"/>
      <c r="K983" s="58" t="str"/>
      <c r="L983" s="42" t="str"/>
      <c r="M983" s="42" t="str"/>
      <c r="N983" s="48" t="str"/>
      <c r="O983" s="58" t="str"/>
      <c r="P983" s="42" t="str"/>
      <c r="Q983" s="42" t="str"/>
      <c r="R983" s="48" t="str"/>
      <c r="S983" s="58" t="str"/>
      <c r="T983" s="42" t="str"/>
      <c r="U983" s="42" t="str"/>
      <c r="V983" s="48" t="str"/>
      <c r="W983" s="58" t="str"/>
      <c r="X983" s="42" t="n"/>
      <c r="Y983" s="42" t="n"/>
    </row>
    <row r="984">
      <c r="B984" s="2">
        <f>IF(STUDENTS!B983="","",STUDENTS!B983)</f>
        <v/>
      </c>
      <c r="C984" s="44">
        <f>IFERROR(IF(B984="","",_xlfn.XLOOKUP(B984,STUDENTS!$B$3:$B$1048576,STUDENTS!$C$3:$C$1048576)),"Enter a registered reg. no")</f>
        <v/>
      </c>
      <c r="D984" s="52">
        <f t="array" ref="D984:W984">IF(All_Students_Scores!C982:V982="","",All_Students_Scores!C982:V982)</f>
        <v/>
      </c>
      <c r="E984" s="57" t="str"/>
      <c r="F984" s="66" t="str"/>
      <c r="G984" s="67" t="str"/>
      <c r="H984" s="64" t="str"/>
      <c r="I984" s="65" t="str"/>
      <c r="J984" s="66" t="str"/>
      <c r="K984" s="67" t="str"/>
      <c r="L984" s="41" t="str"/>
      <c r="M984" s="41" t="str"/>
      <c r="N984" s="66" t="str"/>
      <c r="O984" s="67" t="str"/>
      <c r="P984" s="41" t="str"/>
      <c r="Q984" s="41" t="str"/>
      <c r="R984" s="66" t="str"/>
      <c r="S984" s="67" t="str"/>
      <c r="T984" s="41" t="str"/>
      <c r="U984" s="41" t="str"/>
      <c r="V984" s="66" t="str"/>
      <c r="W984" s="67" t="str"/>
    </row>
    <row r="985">
      <c r="B985" s="2">
        <f>IF(STUDENTS!B984="","",STUDENTS!B984)</f>
        <v/>
      </c>
      <c r="C985" s="44">
        <f>IFERROR(IF(B985="","",_xlfn.XLOOKUP(B985,STUDENTS!$B$3:$B$1048576,STUDENTS!$C$3:$C$1048576)),"Enter a registered reg. no")</f>
        <v/>
      </c>
      <c r="D985" s="52">
        <f t="array" ref="D985:W985">IF(All_Students_Scores!C983:V983="","",All_Students_Scores!C983:V983)</f>
        <v/>
      </c>
      <c r="E985" s="55" t="str"/>
      <c r="F985" s="48" t="str"/>
      <c r="G985" s="58" t="str"/>
      <c r="H985" s="62" t="str"/>
      <c r="I985" s="63" t="str"/>
      <c r="J985" s="48" t="str"/>
      <c r="K985" s="58" t="str"/>
      <c r="L985" s="42" t="str"/>
      <c r="M985" s="42" t="str"/>
      <c r="N985" s="48" t="str"/>
      <c r="O985" s="58" t="str"/>
      <c r="P985" s="42" t="str"/>
      <c r="Q985" s="42" t="str"/>
      <c r="R985" s="48" t="str"/>
      <c r="S985" s="58" t="str"/>
      <c r="T985" s="42" t="str"/>
      <c r="U985" s="42" t="str"/>
      <c r="V985" s="48" t="str"/>
      <c r="W985" s="58" t="str"/>
      <c r="X985" s="42" t="n"/>
      <c r="Y985" s="42" t="n"/>
    </row>
    <row r="986">
      <c r="B986" s="2">
        <f>IF(STUDENTS!B985="","",STUDENTS!B985)</f>
        <v/>
      </c>
      <c r="C986" s="44">
        <f>IFERROR(IF(B986="","",_xlfn.XLOOKUP(B986,STUDENTS!$B$3:$B$1048576,STUDENTS!$C$3:$C$1048576)),"Enter a registered reg. no")</f>
        <v/>
      </c>
      <c r="D986" s="52">
        <f t="array" ref="D986:W986">IF(All_Students_Scores!C984:V984="","",All_Students_Scores!C984:V984)</f>
        <v/>
      </c>
      <c r="E986" s="57" t="str"/>
      <c r="F986" s="66" t="str"/>
      <c r="G986" s="67" t="str"/>
      <c r="H986" s="64" t="str"/>
      <c r="I986" s="65" t="str"/>
      <c r="J986" s="66" t="str"/>
      <c r="K986" s="67" t="str"/>
      <c r="L986" s="41" t="str"/>
      <c r="M986" s="41" t="str"/>
      <c r="N986" s="66" t="str"/>
      <c r="O986" s="67" t="str"/>
      <c r="P986" s="41" t="str"/>
      <c r="Q986" s="41" t="str"/>
      <c r="R986" s="66" t="str"/>
      <c r="S986" s="67" t="str"/>
      <c r="T986" s="41" t="str"/>
      <c r="U986" s="41" t="str"/>
      <c r="V986" s="66" t="str"/>
      <c r="W986" s="67" t="str"/>
    </row>
    <row r="987">
      <c r="B987" s="2">
        <f>IF(STUDENTS!B986="","",STUDENTS!B986)</f>
        <v/>
      </c>
      <c r="C987" s="44">
        <f>IFERROR(IF(B987="","",_xlfn.XLOOKUP(B987,STUDENTS!$B$3:$B$1048576,STUDENTS!$C$3:$C$1048576)),"Enter a registered reg. no")</f>
        <v/>
      </c>
      <c r="D987" s="52">
        <f t="array" ref="D987:W987">IF(All_Students_Scores!C985:V985="","",All_Students_Scores!C985:V985)</f>
        <v/>
      </c>
      <c r="E987" s="55" t="str"/>
      <c r="F987" s="48" t="str"/>
      <c r="G987" s="58" t="str"/>
      <c r="H987" s="62" t="str"/>
      <c r="I987" s="63" t="str"/>
      <c r="J987" s="48" t="str"/>
      <c r="K987" s="58" t="str"/>
      <c r="L987" s="42" t="str"/>
      <c r="M987" s="42" t="str"/>
      <c r="N987" s="48" t="str"/>
      <c r="O987" s="58" t="str"/>
      <c r="P987" s="42" t="str"/>
      <c r="Q987" s="42" t="str"/>
      <c r="R987" s="48" t="str"/>
      <c r="S987" s="58" t="str"/>
      <c r="T987" s="42" t="str"/>
      <c r="U987" s="42" t="str"/>
      <c r="V987" s="48" t="str"/>
      <c r="W987" s="58" t="str"/>
      <c r="X987" s="42" t="n"/>
      <c r="Y987" s="42" t="n"/>
    </row>
    <row r="988">
      <c r="B988" s="2">
        <f>IF(STUDENTS!B987="","",STUDENTS!B987)</f>
        <v/>
      </c>
      <c r="C988" s="44">
        <f>IFERROR(IF(B988="","",_xlfn.XLOOKUP(B988,STUDENTS!$B$3:$B$1048576,STUDENTS!$C$3:$C$1048576)),"Enter a registered reg. no")</f>
        <v/>
      </c>
      <c r="D988" s="52">
        <f t="array" ref="D988:W988">IF(All_Students_Scores!C986:V986="","",All_Students_Scores!C986:V986)</f>
        <v/>
      </c>
      <c r="E988" s="57" t="str"/>
      <c r="F988" s="66" t="str"/>
      <c r="G988" s="67" t="str"/>
      <c r="H988" s="64" t="str"/>
      <c r="I988" s="65" t="str"/>
      <c r="J988" s="66" t="str"/>
      <c r="K988" s="67" t="str"/>
      <c r="L988" s="41" t="str"/>
      <c r="M988" s="41" t="str"/>
      <c r="N988" s="66" t="str"/>
      <c r="O988" s="67" t="str"/>
      <c r="P988" s="41" t="str"/>
      <c r="Q988" s="41" t="str"/>
      <c r="R988" s="66" t="str"/>
      <c r="S988" s="67" t="str"/>
      <c r="T988" s="41" t="str"/>
      <c r="U988" s="41" t="str"/>
      <c r="V988" s="66" t="str"/>
      <c r="W988" s="67" t="str"/>
    </row>
    <row r="989">
      <c r="B989" s="2">
        <f>IF(STUDENTS!B988="","",STUDENTS!B988)</f>
        <v/>
      </c>
      <c r="C989" s="44">
        <f>IFERROR(IF(B989="","",_xlfn.XLOOKUP(B989,STUDENTS!$B$3:$B$1048576,STUDENTS!$C$3:$C$1048576)),"Enter a registered reg. no")</f>
        <v/>
      </c>
      <c r="D989" s="52">
        <f t="array" ref="D989:W989">IF(All_Students_Scores!C987:V987="","",All_Students_Scores!C987:V987)</f>
        <v/>
      </c>
      <c r="E989" s="55" t="str"/>
      <c r="F989" s="48" t="str"/>
      <c r="G989" s="58" t="str"/>
      <c r="H989" s="62" t="str"/>
      <c r="I989" s="63" t="str"/>
      <c r="J989" s="48" t="str"/>
      <c r="K989" s="58" t="str"/>
      <c r="L989" s="42" t="str"/>
      <c r="M989" s="42" t="str"/>
      <c r="N989" s="48" t="str"/>
      <c r="O989" s="58" t="str"/>
      <c r="P989" s="42" t="str"/>
      <c r="Q989" s="42" t="str"/>
      <c r="R989" s="48" t="str"/>
      <c r="S989" s="58" t="str"/>
      <c r="T989" s="42" t="str"/>
      <c r="U989" s="42" t="str"/>
      <c r="V989" s="48" t="str"/>
      <c r="W989" s="58" t="str"/>
      <c r="X989" s="42" t="n"/>
      <c r="Y989" s="42" t="n"/>
    </row>
    <row r="990">
      <c r="B990" s="2">
        <f>IF(STUDENTS!B989="","",STUDENTS!B989)</f>
        <v/>
      </c>
      <c r="C990" s="44">
        <f>IFERROR(IF(B990="","",_xlfn.XLOOKUP(B990,STUDENTS!$B$3:$B$1048576,STUDENTS!$C$3:$C$1048576)),"Enter a registered reg. no")</f>
        <v/>
      </c>
      <c r="D990" s="52">
        <f t="array" ref="D990:W990">IF(All_Students_Scores!C988:V988="","",All_Students_Scores!C988:V988)</f>
        <v/>
      </c>
      <c r="E990" s="57" t="str"/>
      <c r="F990" s="66" t="str"/>
      <c r="G990" s="67" t="str"/>
      <c r="H990" s="64" t="str"/>
      <c r="I990" s="65" t="str"/>
      <c r="J990" s="66" t="str"/>
      <c r="K990" s="67" t="str"/>
      <c r="L990" s="41" t="str"/>
      <c r="M990" s="41" t="str"/>
      <c r="N990" s="66" t="str"/>
      <c r="O990" s="67" t="str"/>
      <c r="P990" s="41" t="str"/>
      <c r="Q990" s="41" t="str"/>
      <c r="R990" s="66" t="str"/>
      <c r="S990" s="67" t="str"/>
      <c r="T990" s="41" t="str"/>
      <c r="U990" s="41" t="str"/>
      <c r="V990" s="66" t="str"/>
      <c r="W990" s="67" t="str"/>
    </row>
    <row r="991">
      <c r="B991" s="2">
        <f>IF(STUDENTS!B990="","",STUDENTS!B990)</f>
        <v/>
      </c>
      <c r="C991" s="44">
        <f>IFERROR(IF(B991="","",_xlfn.XLOOKUP(B991,STUDENTS!$B$3:$B$1048576,STUDENTS!$C$3:$C$1048576)),"Enter a registered reg. no")</f>
        <v/>
      </c>
      <c r="D991" s="52">
        <f t="array" ref="D991:W991">IF(All_Students_Scores!C989:V989="","",All_Students_Scores!C989:V989)</f>
        <v/>
      </c>
      <c r="E991" s="55" t="str"/>
      <c r="F991" s="48" t="str"/>
      <c r="G991" s="58" t="str"/>
      <c r="H991" s="62" t="str"/>
      <c r="I991" s="63" t="str"/>
      <c r="J991" s="48" t="str"/>
      <c r="K991" s="58" t="str"/>
      <c r="L991" s="42" t="str"/>
      <c r="M991" s="42" t="str"/>
      <c r="N991" s="48" t="str"/>
      <c r="O991" s="58" t="str"/>
      <c r="P991" s="42" t="str"/>
      <c r="Q991" s="42" t="str"/>
      <c r="R991" s="48" t="str"/>
      <c r="S991" s="58" t="str"/>
      <c r="T991" s="42" t="str"/>
      <c r="U991" s="42" t="str"/>
      <c r="V991" s="48" t="str"/>
      <c r="W991" s="58" t="str"/>
      <c r="X991" s="42" t="n"/>
      <c r="Y991" s="42" t="n"/>
    </row>
    <row r="992">
      <c r="B992" s="2">
        <f>IF(STUDENTS!B991="","",STUDENTS!B991)</f>
        <v/>
      </c>
      <c r="C992" s="44">
        <f>IFERROR(IF(B992="","",_xlfn.XLOOKUP(B992,STUDENTS!$B$3:$B$1048576,STUDENTS!$C$3:$C$1048576)),"Enter a registered reg. no")</f>
        <v/>
      </c>
      <c r="D992" s="52">
        <f t="array" ref="D992:W992">IF(All_Students_Scores!C990:V990="","",All_Students_Scores!C990:V990)</f>
        <v/>
      </c>
      <c r="E992" s="57" t="str"/>
      <c r="F992" s="66" t="str"/>
      <c r="G992" s="67" t="str"/>
      <c r="H992" s="64" t="str"/>
      <c r="I992" s="65" t="str"/>
      <c r="J992" s="66" t="str"/>
      <c r="K992" s="67" t="str"/>
      <c r="L992" s="41" t="str"/>
      <c r="M992" s="41" t="str"/>
      <c r="N992" s="66" t="str"/>
      <c r="O992" s="67" t="str"/>
      <c r="P992" s="41" t="str"/>
      <c r="Q992" s="41" t="str"/>
      <c r="R992" s="66" t="str"/>
      <c r="S992" s="67" t="str"/>
      <c r="T992" s="41" t="str"/>
      <c r="U992" s="41" t="str"/>
      <c r="V992" s="66" t="str"/>
      <c r="W992" s="67" t="str"/>
    </row>
    <row r="993">
      <c r="B993" s="2">
        <f>IF(STUDENTS!B992="","",STUDENTS!B992)</f>
        <v/>
      </c>
      <c r="C993" s="44">
        <f>IFERROR(IF(B993="","",_xlfn.XLOOKUP(B993,STUDENTS!$B$3:$B$1048576,STUDENTS!$C$3:$C$1048576)),"Enter a registered reg. no")</f>
        <v/>
      </c>
      <c r="D993" s="52">
        <f t="array" ref="D993:W993">IF(All_Students_Scores!C991:V991="","",All_Students_Scores!C991:V991)</f>
        <v/>
      </c>
      <c r="E993" s="55" t="str"/>
      <c r="F993" s="48" t="str"/>
      <c r="G993" s="58" t="str"/>
      <c r="H993" s="62" t="str"/>
      <c r="I993" s="63" t="str"/>
      <c r="J993" s="48" t="str"/>
      <c r="K993" s="58" t="str"/>
      <c r="L993" s="42" t="str"/>
      <c r="M993" s="42" t="str"/>
      <c r="N993" s="48" t="str"/>
      <c r="O993" s="58" t="str"/>
      <c r="P993" s="42" t="str"/>
      <c r="Q993" s="42" t="str"/>
      <c r="R993" s="48" t="str"/>
      <c r="S993" s="58" t="str"/>
      <c r="T993" s="42" t="str"/>
      <c r="U993" s="42" t="str"/>
      <c r="V993" s="48" t="str"/>
      <c r="W993" s="58" t="str"/>
      <c r="X993" s="42" t="n"/>
      <c r="Y993" s="42" t="n"/>
    </row>
    <row r="994">
      <c r="B994" s="2">
        <f>IF(STUDENTS!B993="","",STUDENTS!B993)</f>
        <v/>
      </c>
      <c r="C994" s="44">
        <f>IFERROR(IF(B994="","",_xlfn.XLOOKUP(B994,STUDENTS!$B$3:$B$1048576,STUDENTS!$C$3:$C$1048576)),"Enter a registered reg. no")</f>
        <v/>
      </c>
      <c r="D994" s="52">
        <f t="array" ref="D994:W994">IF(All_Students_Scores!C992:V992="","",All_Students_Scores!C992:V992)</f>
        <v/>
      </c>
      <c r="E994" s="57" t="str"/>
      <c r="F994" s="66" t="str"/>
      <c r="G994" s="67" t="str"/>
      <c r="H994" s="64" t="str"/>
      <c r="I994" s="65" t="str"/>
      <c r="J994" s="66" t="str"/>
      <c r="K994" s="67" t="str"/>
      <c r="L994" s="41" t="str"/>
      <c r="M994" s="41" t="str"/>
      <c r="N994" s="66" t="str"/>
      <c r="O994" s="67" t="str"/>
      <c r="P994" s="41" t="str"/>
      <c r="Q994" s="41" t="str"/>
      <c r="R994" s="66" t="str"/>
      <c r="S994" s="67" t="str"/>
      <c r="T994" s="41" t="str"/>
      <c r="U994" s="41" t="str"/>
      <c r="V994" s="66" t="str"/>
      <c r="W994" s="67" t="str"/>
    </row>
    <row r="995">
      <c r="B995" s="2">
        <f>IF(STUDENTS!B994="","",STUDENTS!B994)</f>
        <v/>
      </c>
      <c r="C995" s="44">
        <f>IFERROR(IF(B995="","",_xlfn.XLOOKUP(B995,STUDENTS!$B$3:$B$1048576,STUDENTS!$C$3:$C$1048576)),"Enter a registered reg. no")</f>
        <v/>
      </c>
      <c r="D995" s="52">
        <f t="array" ref="D995:W995">IF(All_Students_Scores!C993:V993="","",All_Students_Scores!C993:V993)</f>
        <v/>
      </c>
      <c r="E995" s="55" t="str"/>
      <c r="F995" s="48" t="str"/>
      <c r="G995" s="58" t="str"/>
      <c r="H995" s="62" t="str"/>
      <c r="I995" s="63" t="str"/>
      <c r="J995" s="48" t="str"/>
      <c r="K995" s="58" t="str"/>
      <c r="L995" s="42" t="str"/>
      <c r="M995" s="42" t="str"/>
      <c r="N995" s="48" t="str"/>
      <c r="O995" s="58" t="str"/>
      <c r="P995" s="42" t="str"/>
      <c r="Q995" s="42" t="str"/>
      <c r="R995" s="48" t="str"/>
      <c r="S995" s="58" t="str"/>
      <c r="T995" s="42" t="str"/>
      <c r="U995" s="42" t="str"/>
      <c r="V995" s="48" t="str"/>
      <c r="W995" s="58" t="str"/>
      <c r="X995" s="42" t="n"/>
      <c r="Y995" s="42" t="n"/>
    </row>
    <row r="996">
      <c r="B996" s="2">
        <f>IF(STUDENTS!B995="","",STUDENTS!B995)</f>
        <v/>
      </c>
      <c r="C996" s="44">
        <f>IFERROR(IF(B996="","",_xlfn.XLOOKUP(B996,STUDENTS!$B$3:$B$1048576,STUDENTS!$C$3:$C$1048576)),"Enter a registered reg. no")</f>
        <v/>
      </c>
      <c r="D996" s="52">
        <f t="array" ref="D996:W996">IF(All_Students_Scores!C994:V994="","",All_Students_Scores!C994:V994)</f>
        <v/>
      </c>
      <c r="E996" s="57" t="str"/>
      <c r="F996" s="66" t="str"/>
      <c r="G996" s="67" t="str"/>
      <c r="H996" s="64" t="str"/>
      <c r="I996" s="65" t="str"/>
      <c r="J996" s="66" t="str"/>
      <c r="K996" s="67" t="str"/>
      <c r="L996" s="41" t="str"/>
      <c r="M996" s="41" t="str"/>
      <c r="N996" s="66" t="str"/>
      <c r="O996" s="67" t="str"/>
      <c r="P996" s="41" t="str"/>
      <c r="Q996" s="41" t="str"/>
      <c r="R996" s="66" t="str"/>
      <c r="S996" s="67" t="str"/>
      <c r="T996" s="41" t="str"/>
      <c r="U996" s="41" t="str"/>
      <c r="V996" s="66" t="str"/>
      <c r="W996" s="67" t="str"/>
    </row>
    <row r="997">
      <c r="B997" s="2">
        <f>IF(STUDENTS!B996="","",STUDENTS!B996)</f>
        <v/>
      </c>
      <c r="C997" s="44">
        <f>IFERROR(IF(B997="","",_xlfn.XLOOKUP(B997,STUDENTS!$B$3:$B$1048576,STUDENTS!$C$3:$C$1048576)),"Enter a registered reg. no")</f>
        <v/>
      </c>
      <c r="D997" s="52">
        <f t="array" ref="D997:W997">IF(All_Students_Scores!C995:V995="","",All_Students_Scores!C995:V995)</f>
        <v/>
      </c>
      <c r="E997" s="55" t="str"/>
      <c r="F997" s="48" t="str"/>
      <c r="G997" s="58" t="str"/>
      <c r="H997" s="62" t="str"/>
      <c r="I997" s="63" t="str"/>
      <c r="J997" s="48" t="str"/>
      <c r="K997" s="58" t="str"/>
      <c r="L997" s="42" t="str"/>
      <c r="M997" s="42" t="str"/>
      <c r="N997" s="48" t="str"/>
      <c r="O997" s="58" t="str"/>
      <c r="P997" s="42" t="str"/>
      <c r="Q997" s="42" t="str"/>
      <c r="R997" s="48" t="str"/>
      <c r="S997" s="58" t="str"/>
      <c r="T997" s="42" t="str"/>
      <c r="U997" s="42" t="str"/>
      <c r="V997" s="48" t="str"/>
      <c r="W997" s="58" t="str"/>
      <c r="X997" s="42" t="n"/>
      <c r="Y997" s="42" t="n"/>
    </row>
    <row r="998">
      <c r="B998" s="2">
        <f>IF(STUDENTS!B997="","",STUDENTS!B997)</f>
        <v/>
      </c>
      <c r="C998" s="44">
        <f>IFERROR(IF(B998="","",_xlfn.XLOOKUP(B998,STUDENTS!$B$3:$B$1048576,STUDENTS!$C$3:$C$1048576)),"Enter a registered reg. no")</f>
        <v/>
      </c>
      <c r="D998" s="52">
        <f t="array" ref="D998:W998">IF(All_Students_Scores!C996:V996="","",All_Students_Scores!C996:V996)</f>
        <v/>
      </c>
      <c r="E998" s="57" t="str"/>
      <c r="F998" s="66" t="str"/>
      <c r="G998" s="67" t="str"/>
      <c r="H998" s="64" t="str"/>
      <c r="I998" s="65" t="str"/>
      <c r="J998" s="66" t="str"/>
      <c r="K998" s="67" t="str"/>
      <c r="L998" s="41" t="str"/>
      <c r="M998" s="41" t="str"/>
      <c r="N998" s="66" t="str"/>
      <c r="O998" s="67" t="str"/>
      <c r="P998" s="41" t="str"/>
      <c r="Q998" s="41" t="str"/>
      <c r="R998" s="66" t="str"/>
      <c r="S998" s="67" t="str"/>
      <c r="T998" s="41" t="str"/>
      <c r="U998" s="41" t="str"/>
      <c r="V998" s="66" t="str"/>
      <c r="W998" s="67" t="str"/>
    </row>
    <row r="999">
      <c r="B999" s="2">
        <f>IF(STUDENTS!B998="","",STUDENTS!B998)</f>
        <v/>
      </c>
      <c r="C999" s="44">
        <f>IFERROR(IF(B999="","",_xlfn.XLOOKUP(B999,STUDENTS!$B$3:$B$1048576,STUDENTS!$C$3:$C$1048576)),"Enter a registered reg. no")</f>
        <v/>
      </c>
      <c r="D999" s="52">
        <f t="array" ref="D999:W999">IF(All_Students_Scores!C997:V997="","",All_Students_Scores!C997:V997)</f>
        <v/>
      </c>
      <c r="E999" s="55" t="str"/>
      <c r="F999" s="48" t="str"/>
      <c r="G999" s="58" t="str"/>
      <c r="H999" s="62" t="str"/>
      <c r="I999" s="63" t="str"/>
      <c r="J999" s="48" t="str"/>
      <c r="K999" s="58" t="str"/>
      <c r="L999" s="42" t="str"/>
      <c r="M999" s="42" t="str"/>
      <c r="N999" s="48" t="str"/>
      <c r="O999" s="58" t="str"/>
      <c r="P999" s="42" t="str"/>
      <c r="Q999" s="42" t="str"/>
      <c r="R999" s="48" t="str"/>
      <c r="S999" s="58" t="str"/>
      <c r="T999" s="42" t="str"/>
      <c r="U999" s="42" t="str"/>
      <c r="V999" s="48" t="str"/>
      <c r="W999" s="58" t="str"/>
      <c r="X999" s="42" t="n"/>
      <c r="Y999" s="42" t="n"/>
    </row>
    <row r="1000">
      <c r="B1000" s="2">
        <f>IF(STUDENTS!B999="","",STUDENTS!B999)</f>
        <v/>
      </c>
      <c r="C1000" s="44">
        <f>IFERROR(IF(B1000="","",_xlfn.XLOOKUP(B1000,STUDENTS!$B$3:$B$1048576,STUDENTS!$C$3:$C$1048576)),"Enter a registered reg. no")</f>
        <v/>
      </c>
      <c r="D1000" s="52">
        <f t="array" ref="D1000:W1000">IF(All_Students_Scores!C998:V998="","",All_Students_Scores!C998:V998)</f>
        <v/>
      </c>
      <c r="E1000" s="57" t="str"/>
      <c r="F1000" s="66" t="str"/>
      <c r="G1000" s="67" t="str"/>
      <c r="H1000" s="64" t="str"/>
      <c r="I1000" s="65" t="str"/>
      <c r="J1000" s="66" t="str"/>
      <c r="K1000" s="67" t="str"/>
      <c r="L1000" s="41" t="str"/>
      <c r="M1000" s="41" t="str"/>
      <c r="N1000" s="66" t="str"/>
      <c r="O1000" s="67" t="str"/>
      <c r="P1000" s="41" t="str"/>
      <c r="Q1000" s="41" t="str"/>
      <c r="R1000" s="66" t="str"/>
      <c r="S1000" s="67" t="str"/>
      <c r="T1000" s="41" t="str"/>
      <c r="U1000" s="41" t="str"/>
      <c r="V1000" s="66" t="str"/>
      <c r="W1000" s="67" t="str"/>
    </row>
    <row r="1001">
      <c r="B1001" s="2">
        <f>IF(STUDENTS!B1000="","",STUDENTS!B1000)</f>
        <v/>
      </c>
      <c r="C1001" s="44">
        <f>IFERROR(IF(B1001="","",_xlfn.XLOOKUP(B1001,STUDENTS!$B$3:$B$1048576,STUDENTS!$C$3:$C$1048576)),"Enter a registered reg. no")</f>
        <v/>
      </c>
      <c r="D1001" s="52">
        <f t="array" ref="D1001:W1001">IF(All_Students_Scores!C999:V999="","",All_Students_Scores!C999:V999)</f>
        <v/>
      </c>
      <c r="E1001" s="55" t="str"/>
      <c r="F1001" s="48" t="str"/>
      <c r="G1001" s="58" t="str"/>
      <c r="H1001" s="62" t="str"/>
      <c r="I1001" s="63" t="str"/>
      <c r="J1001" s="48" t="str"/>
      <c r="K1001" s="58" t="str"/>
      <c r="L1001" s="42" t="str"/>
      <c r="M1001" s="42" t="str"/>
      <c r="N1001" s="48" t="str"/>
      <c r="O1001" s="58" t="str"/>
      <c r="P1001" s="42" t="str"/>
      <c r="Q1001" s="42" t="str"/>
      <c r="R1001" s="48" t="str"/>
      <c r="S1001" s="58" t="str"/>
      <c r="T1001" s="42" t="str"/>
      <c r="U1001" s="42" t="str"/>
      <c r="V1001" s="48" t="str"/>
      <c r="W1001" s="58" t="str"/>
      <c r="X1001" s="42" t="n"/>
      <c r="Y1001" s="42" t="n"/>
    </row>
    <row r="1002">
      <c r="B1002" s="2">
        <f>IF(STUDENTS!B1001="","",STUDENTS!B1001)</f>
        <v/>
      </c>
      <c r="C1002" s="44">
        <f>IFERROR(IF(B1002="","",_xlfn.XLOOKUP(B1002,STUDENTS!$B$3:$B$1048576,STUDENTS!$C$3:$C$1048576)),"Enter a registered reg. no")</f>
        <v/>
      </c>
      <c r="D1002" s="52">
        <f t="array" ref="D1002:W1002">IF(All_Students_Scores!C1000:V1000="","",All_Students_Scores!C1000:V1000)</f>
        <v/>
      </c>
      <c r="E1002" s="57" t="str"/>
      <c r="F1002" s="66" t="str"/>
      <c r="G1002" s="67" t="str"/>
      <c r="H1002" s="64" t="str"/>
      <c r="I1002" s="65" t="str"/>
      <c r="J1002" s="66" t="str"/>
      <c r="K1002" s="67" t="str"/>
      <c r="L1002" s="41" t="str"/>
      <c r="M1002" s="41" t="str"/>
      <c r="N1002" s="66" t="str"/>
      <c r="O1002" s="67" t="str"/>
      <c r="P1002" s="41" t="str"/>
      <c r="Q1002" s="41" t="str"/>
      <c r="R1002" s="66" t="str"/>
      <c r="S1002" s="67" t="str"/>
      <c r="T1002" s="41" t="str"/>
      <c r="U1002" s="41" t="str"/>
      <c r="V1002" s="66" t="str"/>
      <c r="W1002" s="67" t="str"/>
    </row>
    <row r="1003">
      <c r="B1003" s="2">
        <f>IF(STUDENTS!B1002="","",STUDENTS!B1002)</f>
        <v/>
      </c>
      <c r="C1003" s="44">
        <f>IFERROR(IF(B1003="","",_xlfn.XLOOKUP(B1003,STUDENTS!$B$3:$B$1048576,STUDENTS!$C$3:$C$1048576)),"Enter a registered reg. no")</f>
        <v/>
      </c>
      <c r="D1003" s="52">
        <f t="array" ref="D1003:W1003">IF(All_Students_Scores!C1001:V1001="","",All_Students_Scores!C1001:V1001)</f>
        <v/>
      </c>
      <c r="E1003" s="55" t="str"/>
      <c r="F1003" s="48" t="str"/>
      <c r="G1003" s="58" t="str"/>
      <c r="H1003" s="62" t="str"/>
      <c r="I1003" s="63" t="str"/>
      <c r="J1003" s="48" t="str"/>
      <c r="K1003" s="58" t="str"/>
      <c r="L1003" s="42" t="str"/>
      <c r="M1003" s="42" t="str"/>
      <c r="N1003" s="48" t="str"/>
      <c r="O1003" s="58" t="str"/>
      <c r="P1003" s="42" t="str"/>
      <c r="Q1003" s="42" t="str"/>
      <c r="R1003" s="48" t="str"/>
      <c r="S1003" s="58" t="str"/>
      <c r="T1003" s="42" t="str"/>
      <c r="U1003" s="42" t="str"/>
      <c r="V1003" s="48" t="str"/>
      <c r="W1003" s="58" t="str"/>
      <c r="X1003" s="42" t="n"/>
      <c r="Y1003" s="42" t="n"/>
    </row>
    <row r="1004">
      <c r="B1004" s="2">
        <f>IF(STUDENTS!B1003="","",STUDENTS!B1003)</f>
        <v/>
      </c>
      <c r="C1004" s="44">
        <f>IFERROR(IF(B1004="","",_xlfn.XLOOKUP(B1004,STUDENTS!$B$3:$B$1048576,STUDENTS!$C$3:$C$1048576)),"Enter a registered reg. no")</f>
        <v/>
      </c>
      <c r="D1004" s="52">
        <f t="array" ref="D1004:W1004">IF(All_Students_Scores!C1002:V1002="","",All_Students_Scores!C1002:V1002)</f>
        <v/>
      </c>
      <c r="E1004" s="57" t="str"/>
      <c r="F1004" s="66" t="str"/>
      <c r="G1004" s="67" t="str"/>
      <c r="H1004" s="64" t="str"/>
      <c r="I1004" s="65" t="str"/>
      <c r="J1004" s="66" t="str"/>
      <c r="K1004" s="67" t="str"/>
      <c r="L1004" s="41" t="str"/>
      <c r="M1004" s="41" t="str"/>
      <c r="N1004" s="66" t="str"/>
      <c r="O1004" s="67" t="str"/>
      <c r="P1004" s="41" t="str"/>
      <c r="Q1004" s="41" t="str"/>
      <c r="R1004" s="66" t="str"/>
      <c r="S1004" s="67" t="str"/>
      <c r="T1004" s="41" t="str"/>
      <c r="U1004" s="41" t="str"/>
      <c r="V1004" s="66" t="str"/>
      <c r="W1004" s="67" t="str"/>
    </row>
    <row r="1005">
      <c r="B1005" s="2">
        <f>IF(STUDENTS!B1004="","",STUDENTS!B1004)</f>
        <v/>
      </c>
      <c r="C1005" s="44">
        <f>IFERROR(IF(B1005="","",_xlfn.XLOOKUP(B1005,STUDENTS!$B$3:$B$1048576,STUDENTS!$C$3:$C$1048576)),"Enter a registered reg. no")</f>
        <v/>
      </c>
      <c r="D1005" s="52">
        <f t="array" ref="D1005:W1005">IF(All_Students_Scores!C1003:V1003="","",All_Students_Scores!C1003:V1003)</f>
        <v/>
      </c>
      <c r="E1005" s="55" t="str"/>
      <c r="F1005" s="48" t="str"/>
      <c r="G1005" s="58" t="str"/>
      <c r="H1005" s="62" t="str"/>
      <c r="I1005" s="63" t="str"/>
      <c r="J1005" s="48" t="str"/>
      <c r="K1005" s="58" t="str"/>
      <c r="L1005" s="42" t="str"/>
      <c r="M1005" s="42" t="str"/>
      <c r="N1005" s="48" t="str"/>
      <c r="O1005" s="58" t="str"/>
      <c r="P1005" s="42" t="str"/>
      <c r="Q1005" s="42" t="str"/>
      <c r="R1005" s="48" t="str"/>
      <c r="S1005" s="58" t="str"/>
      <c r="T1005" s="42" t="str"/>
      <c r="U1005" s="42" t="str"/>
      <c r="V1005" s="48" t="str"/>
      <c r="W1005" s="58" t="str"/>
      <c r="X1005" s="42" t="n"/>
      <c r="Y1005" s="42" t="n"/>
    </row>
    <row r="1006">
      <c r="B1006" s="2">
        <f>IF(STUDENTS!B1005="","",STUDENTS!B1005)</f>
        <v/>
      </c>
      <c r="C1006" s="44">
        <f>IFERROR(IF(B1006="","",_xlfn.XLOOKUP(B1006,STUDENTS!$B$3:$B$1048576,STUDENTS!$C$3:$C$1048576)),"Enter a registered reg. no")</f>
        <v/>
      </c>
      <c r="D1006" s="52">
        <f t="array" ref="D1006:W1006">IF(All_Students_Scores!C1004:V1004="","",All_Students_Scores!C1004:V1004)</f>
        <v/>
      </c>
      <c r="E1006" s="57" t="str"/>
      <c r="F1006" s="66" t="str"/>
      <c r="G1006" s="67" t="str"/>
      <c r="H1006" s="64" t="str"/>
      <c r="I1006" s="65" t="str"/>
      <c r="J1006" s="66" t="str"/>
      <c r="K1006" s="67" t="str"/>
      <c r="L1006" s="41" t="str"/>
      <c r="M1006" s="41" t="str"/>
      <c r="N1006" s="66" t="str"/>
      <c r="O1006" s="67" t="str"/>
      <c r="P1006" s="41" t="str"/>
      <c r="Q1006" s="41" t="str"/>
      <c r="R1006" s="66" t="str"/>
      <c r="S1006" s="67" t="str"/>
      <c r="T1006" s="41" t="str"/>
      <c r="U1006" s="41" t="str"/>
      <c r="V1006" s="66" t="str"/>
      <c r="W1006" s="67" t="str"/>
    </row>
    <row r="1007">
      <c r="B1007" s="2">
        <f>IF(STUDENTS!B1006="","",STUDENTS!B1006)</f>
        <v/>
      </c>
      <c r="C1007" s="44">
        <f>IFERROR(IF(B1007="","",_xlfn.XLOOKUP(B1007,STUDENTS!$B$3:$B$1048576,STUDENTS!$C$3:$C$1048576)),"Enter a registered reg. no")</f>
        <v/>
      </c>
      <c r="D1007" s="52">
        <f t="array" ref="D1007:W1007">IF(All_Students_Scores!C1005:V1005="","",All_Students_Scores!C1005:V1005)</f>
        <v/>
      </c>
      <c r="E1007" s="55" t="str"/>
      <c r="F1007" s="48" t="str"/>
      <c r="G1007" s="58" t="str"/>
      <c r="H1007" s="62" t="str"/>
      <c r="I1007" s="63" t="str"/>
      <c r="J1007" s="48" t="str"/>
      <c r="K1007" s="58" t="str"/>
      <c r="L1007" s="42" t="str"/>
      <c r="M1007" s="42" t="str"/>
      <c r="N1007" s="48" t="str"/>
      <c r="O1007" s="58" t="str"/>
      <c r="P1007" s="42" t="str"/>
      <c r="Q1007" s="42" t="str"/>
      <c r="R1007" s="48" t="str"/>
      <c r="S1007" s="58" t="str"/>
      <c r="T1007" s="42" t="str"/>
      <c r="U1007" s="42" t="str"/>
      <c r="V1007" s="48" t="str"/>
      <c r="W1007" s="58" t="str"/>
      <c r="X1007" s="42" t="n"/>
      <c r="Y1007" s="42" t="n"/>
    </row>
    <row r="1008">
      <c r="B1008" s="2">
        <f>IF(STUDENTS!B1007="","",STUDENTS!B1007)</f>
        <v/>
      </c>
      <c r="C1008" s="44">
        <f>IFERROR(IF(B1008="","",_xlfn.XLOOKUP(B1008,STUDENTS!$B$3:$B$1048576,STUDENTS!$C$3:$C$1048576)),"Enter a registered reg. no")</f>
        <v/>
      </c>
      <c r="D1008" s="52">
        <f t="array" ref="D1008:W1008">IF(All_Students_Scores!C1006:V1006="","",All_Students_Scores!C1006:V1006)</f>
        <v/>
      </c>
      <c r="E1008" s="57" t="str"/>
      <c r="F1008" s="66" t="str"/>
      <c r="G1008" s="67" t="str"/>
      <c r="H1008" s="64" t="str"/>
      <c r="I1008" s="65" t="str"/>
      <c r="J1008" s="66" t="str"/>
      <c r="K1008" s="67" t="str"/>
      <c r="L1008" s="41" t="str"/>
      <c r="M1008" s="41" t="str"/>
      <c r="N1008" s="66" t="str"/>
      <c r="O1008" s="67" t="str"/>
      <c r="P1008" s="41" t="str"/>
      <c r="Q1008" s="41" t="str"/>
      <c r="R1008" s="66" t="str"/>
      <c r="S1008" s="67" t="str"/>
      <c r="T1008" s="41" t="str"/>
      <c r="U1008" s="41" t="str"/>
      <c r="V1008" s="66" t="str"/>
      <c r="W1008" s="67" t="str"/>
    </row>
    <row r="1009">
      <c r="B1009" s="2">
        <f>IF(STUDENTS!B1008="","",STUDENTS!B1008)</f>
        <v/>
      </c>
      <c r="C1009" s="44">
        <f>IFERROR(IF(B1009="","",_xlfn.XLOOKUP(B1009,STUDENTS!$B$3:$B$1048576,STUDENTS!$C$3:$C$1048576)),"Enter a registered reg. no")</f>
        <v/>
      </c>
      <c r="D1009" s="52">
        <f t="array" ref="D1009:W1009">IF(All_Students_Scores!C1007:V1007="","",All_Students_Scores!C1007:V1007)</f>
        <v/>
      </c>
      <c r="E1009" s="55" t="str"/>
      <c r="F1009" s="48" t="str"/>
      <c r="G1009" s="58" t="str"/>
      <c r="H1009" s="62" t="str"/>
      <c r="I1009" s="63" t="str"/>
      <c r="J1009" s="48" t="str"/>
      <c r="K1009" s="58" t="str"/>
      <c r="L1009" s="42" t="str"/>
      <c r="M1009" s="42" t="str"/>
      <c r="N1009" s="48" t="str"/>
      <c r="O1009" s="58" t="str"/>
      <c r="P1009" s="42" t="str"/>
      <c r="Q1009" s="42" t="str"/>
      <c r="R1009" s="48" t="str"/>
      <c r="S1009" s="58" t="str"/>
      <c r="T1009" s="42" t="str"/>
      <c r="U1009" s="42" t="str"/>
      <c r="V1009" s="48" t="str"/>
      <c r="W1009" s="58" t="str"/>
      <c r="X1009" s="42" t="n"/>
      <c r="Y1009" s="42" t="n"/>
    </row>
    <row r="1010">
      <c r="B1010" s="2">
        <f>IF(STUDENTS!B1009="","",STUDENTS!B1009)</f>
        <v/>
      </c>
      <c r="C1010" s="44">
        <f>IFERROR(IF(B1010="","",_xlfn.XLOOKUP(B1010,STUDENTS!$B$3:$B$1048576,STUDENTS!$C$3:$C$1048576)),"Enter a registered reg. no")</f>
        <v/>
      </c>
      <c r="D1010" s="52">
        <f t="array" ref="D1010:W1010">IF(All_Students_Scores!C1008:V1008="","",All_Students_Scores!C1008:V1008)</f>
        <v/>
      </c>
      <c r="E1010" s="57" t="str"/>
      <c r="F1010" s="66" t="str"/>
      <c r="G1010" s="67" t="str"/>
      <c r="H1010" s="64" t="str"/>
      <c r="I1010" s="65" t="str"/>
      <c r="J1010" s="66" t="str"/>
      <c r="K1010" s="67" t="str"/>
      <c r="L1010" s="41" t="str"/>
      <c r="M1010" s="41" t="str"/>
      <c r="N1010" s="66" t="str"/>
      <c r="O1010" s="67" t="str"/>
      <c r="P1010" s="41" t="str"/>
      <c r="Q1010" s="41" t="str"/>
      <c r="R1010" s="66" t="str"/>
      <c r="S1010" s="67" t="str"/>
      <c r="T1010" s="41" t="str"/>
      <c r="U1010" s="41" t="str"/>
      <c r="V1010" s="66" t="str"/>
      <c r="W1010" s="67" t="str"/>
    </row>
    <row r="1011">
      <c r="B1011" s="2">
        <f>IF(STUDENTS!B1010="","",STUDENTS!B1010)</f>
        <v/>
      </c>
      <c r="C1011" s="44">
        <f>IFERROR(IF(B1011="","",_xlfn.XLOOKUP(B1011,STUDENTS!$B$3:$B$1048576,STUDENTS!$C$3:$C$1048576)),"Enter a registered reg. no")</f>
        <v/>
      </c>
      <c r="D1011" s="52">
        <f t="array" ref="D1011:W1011">IF(All_Students_Scores!C1009:V1009="","",All_Students_Scores!C1009:V1009)</f>
        <v/>
      </c>
      <c r="E1011" s="55" t="str"/>
      <c r="F1011" s="48" t="str"/>
      <c r="G1011" s="58" t="str"/>
      <c r="H1011" s="62" t="str"/>
      <c r="I1011" s="63" t="str"/>
      <c r="J1011" s="48" t="str"/>
      <c r="K1011" s="58" t="str"/>
      <c r="L1011" s="42" t="str"/>
      <c r="M1011" s="42" t="str"/>
      <c r="N1011" s="48" t="str"/>
      <c r="O1011" s="58" t="str"/>
      <c r="P1011" s="42" t="str"/>
      <c r="Q1011" s="42" t="str"/>
      <c r="R1011" s="48" t="str"/>
      <c r="S1011" s="58" t="str"/>
      <c r="T1011" s="42" t="str"/>
      <c r="U1011" s="42" t="str"/>
      <c r="V1011" s="48" t="str"/>
      <c r="W1011" s="58" t="str"/>
      <c r="X1011" s="42" t="n"/>
      <c r="Y1011" s="42" t="n"/>
    </row>
    <row r="1012">
      <c r="B1012" s="2">
        <f>IF(STUDENTS!B1011="","",STUDENTS!B1011)</f>
        <v/>
      </c>
      <c r="C1012" s="44">
        <f>IFERROR(IF(B1012="","",_xlfn.XLOOKUP(B1012,STUDENTS!$B$3:$B$1048576,STUDENTS!$C$3:$C$1048576)),"Enter a registered reg. no")</f>
        <v/>
      </c>
      <c r="D1012" s="52">
        <f t="array" ref="D1012:W1012">IF(All_Students_Scores!C1010:V1010="","",All_Students_Scores!C1010:V1010)</f>
        <v/>
      </c>
      <c r="E1012" s="57" t="str"/>
      <c r="F1012" s="66" t="str"/>
      <c r="G1012" s="67" t="str"/>
      <c r="H1012" s="64" t="str"/>
      <c r="I1012" s="65" t="str"/>
      <c r="J1012" s="66" t="str"/>
      <c r="K1012" s="67" t="str"/>
      <c r="L1012" s="41" t="str"/>
      <c r="M1012" s="41" t="str"/>
      <c r="N1012" s="66" t="str"/>
      <c r="O1012" s="67" t="str"/>
      <c r="P1012" s="41" t="str"/>
      <c r="Q1012" s="41" t="str"/>
      <c r="R1012" s="66" t="str"/>
      <c r="S1012" s="67" t="str"/>
      <c r="T1012" s="41" t="str"/>
      <c r="U1012" s="41" t="str"/>
      <c r="V1012" s="66" t="str"/>
      <c r="W1012" s="67" t="str"/>
    </row>
    <row r="1013">
      <c r="B1013" s="2">
        <f>IF(STUDENTS!B1012="","",STUDENTS!B1012)</f>
        <v/>
      </c>
      <c r="C1013" s="44">
        <f>IFERROR(IF(B1013="","",_xlfn.XLOOKUP(B1013,STUDENTS!$B$3:$B$1048576,STUDENTS!$C$3:$C$1048576)),"Enter a registered reg. no")</f>
        <v/>
      </c>
      <c r="D1013" s="52">
        <f t="array" ref="D1013:W1013">IF(All_Students_Scores!C1011:V1011="","",All_Students_Scores!C1011:V1011)</f>
        <v/>
      </c>
      <c r="E1013" s="55" t="str"/>
      <c r="F1013" s="48" t="str"/>
      <c r="G1013" s="58" t="str"/>
      <c r="H1013" s="62" t="str"/>
      <c r="I1013" s="63" t="str"/>
      <c r="J1013" s="48" t="str"/>
      <c r="K1013" s="58" t="str"/>
      <c r="L1013" s="42" t="str"/>
      <c r="M1013" s="42" t="str"/>
      <c r="N1013" s="48" t="str"/>
      <c r="O1013" s="58" t="str"/>
      <c r="P1013" s="42" t="str"/>
      <c r="Q1013" s="42" t="str"/>
      <c r="R1013" s="48" t="str"/>
      <c r="S1013" s="58" t="str"/>
      <c r="T1013" s="42" t="str"/>
      <c r="U1013" s="42" t="str"/>
      <c r="V1013" s="48" t="str"/>
      <c r="W1013" s="58" t="str"/>
      <c r="X1013" s="42" t="n"/>
      <c r="Y1013" s="42" t="n"/>
    </row>
    <row r="1014">
      <c r="B1014" s="2">
        <f>IF(STUDENTS!B1013="","",STUDENTS!B1013)</f>
        <v/>
      </c>
      <c r="C1014" s="44">
        <f>IFERROR(IF(B1014="","",_xlfn.XLOOKUP(B1014,STUDENTS!$B$3:$B$1048576,STUDENTS!$C$3:$C$1048576)),"Enter a registered reg. no")</f>
        <v/>
      </c>
      <c r="D1014" s="52">
        <f t="array" ref="D1014:W1014">IF(All_Students_Scores!C1012:V1012="","",All_Students_Scores!C1012:V1012)</f>
        <v/>
      </c>
      <c r="E1014" s="57" t="str"/>
      <c r="F1014" s="66" t="str"/>
      <c r="G1014" s="67" t="str"/>
      <c r="H1014" s="64" t="str"/>
      <c r="I1014" s="65" t="str"/>
      <c r="J1014" s="66" t="str"/>
      <c r="K1014" s="67" t="str"/>
      <c r="L1014" s="41" t="str"/>
      <c r="M1014" s="41" t="str"/>
      <c r="N1014" s="66" t="str"/>
      <c r="O1014" s="67" t="str"/>
      <c r="P1014" s="41" t="str"/>
      <c r="Q1014" s="41" t="str"/>
      <c r="R1014" s="66" t="str"/>
      <c r="S1014" s="67" t="str"/>
      <c r="T1014" s="41" t="str"/>
      <c r="U1014" s="41" t="str"/>
      <c r="V1014" s="66" t="str"/>
      <c r="W1014" s="67" t="str"/>
    </row>
    <row r="1015">
      <c r="B1015" s="2">
        <f>IF(STUDENTS!B1014="","",STUDENTS!B1014)</f>
        <v/>
      </c>
      <c r="C1015" s="44">
        <f>IFERROR(IF(B1015="","",_xlfn.XLOOKUP(B1015,STUDENTS!$B$3:$B$1048576,STUDENTS!$C$3:$C$1048576)),"Enter a registered reg. no")</f>
        <v/>
      </c>
      <c r="D1015" s="52">
        <f t="array" ref="D1015:W1015">IF(All_Students_Scores!C1013:V1013="","",All_Students_Scores!C1013:V1013)</f>
        <v/>
      </c>
      <c r="E1015" s="55" t="str"/>
      <c r="F1015" s="48" t="str"/>
      <c r="G1015" s="58" t="str"/>
      <c r="H1015" s="62" t="str"/>
      <c r="I1015" s="63" t="str"/>
      <c r="J1015" s="48" t="str"/>
      <c r="K1015" s="58" t="str"/>
      <c r="L1015" s="42" t="str"/>
      <c r="M1015" s="42" t="str"/>
      <c r="N1015" s="48" t="str"/>
      <c r="O1015" s="58" t="str"/>
      <c r="P1015" s="42" t="str"/>
      <c r="Q1015" s="42" t="str"/>
      <c r="R1015" s="48" t="str"/>
      <c r="S1015" s="58" t="str"/>
      <c r="T1015" s="42" t="str"/>
      <c r="U1015" s="42" t="str"/>
      <c r="V1015" s="48" t="str"/>
      <c r="W1015" s="58" t="str"/>
      <c r="X1015" s="42" t="n"/>
      <c r="Y1015" s="42" t="n"/>
    </row>
    <row r="1016">
      <c r="B1016" s="2">
        <f>IF(STUDENTS!B1015="","",STUDENTS!B1015)</f>
        <v/>
      </c>
      <c r="C1016" s="44">
        <f>IFERROR(IF(B1016="","",_xlfn.XLOOKUP(B1016,STUDENTS!$B$3:$B$1048576,STUDENTS!$C$3:$C$1048576)),"Enter a registered reg. no")</f>
        <v/>
      </c>
      <c r="D1016" s="52">
        <f t="array" ref="D1016:W1016">IF(All_Students_Scores!C1014:V1014="","",All_Students_Scores!C1014:V1014)</f>
        <v/>
      </c>
      <c r="E1016" s="57" t="str"/>
      <c r="F1016" s="66" t="str"/>
      <c r="G1016" s="67" t="str"/>
      <c r="H1016" s="64" t="str"/>
      <c r="I1016" s="65" t="str"/>
      <c r="J1016" s="66" t="str"/>
      <c r="K1016" s="67" t="str"/>
      <c r="L1016" s="41" t="str"/>
      <c r="M1016" s="41" t="str"/>
      <c r="N1016" s="66" t="str"/>
      <c r="O1016" s="67" t="str"/>
      <c r="P1016" s="41" t="str"/>
      <c r="Q1016" s="41" t="str"/>
      <c r="R1016" s="66" t="str"/>
      <c r="S1016" s="67" t="str"/>
      <c r="T1016" s="41" t="str"/>
      <c r="U1016" s="41" t="str"/>
      <c r="V1016" s="66" t="str"/>
      <c r="W1016" s="67" t="str"/>
    </row>
    <row r="1017">
      <c r="B1017" s="2">
        <f>IF(STUDENTS!B1016="","",STUDENTS!B1016)</f>
        <v/>
      </c>
      <c r="C1017" s="44">
        <f>IFERROR(IF(B1017="","",_xlfn.XLOOKUP(B1017,STUDENTS!$B$3:$B$1048576,STUDENTS!$C$3:$C$1048576)),"Enter a registered reg. no")</f>
        <v/>
      </c>
      <c r="D1017" s="52">
        <f t="array" ref="D1017:W1017">IF(All_Students_Scores!C1015:V1015="","",All_Students_Scores!C1015:V1015)</f>
        <v/>
      </c>
      <c r="E1017" s="55" t="str"/>
      <c r="F1017" s="48" t="str"/>
      <c r="G1017" s="58" t="str"/>
      <c r="H1017" s="62" t="str"/>
      <c r="I1017" s="63" t="str"/>
      <c r="J1017" s="48" t="str"/>
      <c r="K1017" s="58" t="str"/>
      <c r="L1017" s="42" t="str"/>
      <c r="M1017" s="42" t="str"/>
      <c r="N1017" s="48" t="str"/>
      <c r="O1017" s="58" t="str"/>
      <c r="P1017" s="42" t="str"/>
      <c r="Q1017" s="42" t="str"/>
      <c r="R1017" s="48" t="str"/>
      <c r="S1017" s="58" t="str"/>
      <c r="T1017" s="42" t="str"/>
      <c r="U1017" s="42" t="str"/>
      <c r="V1017" s="48" t="str"/>
      <c r="W1017" s="58" t="str"/>
      <c r="X1017" s="42" t="n"/>
      <c r="Y1017" s="42" t="n"/>
    </row>
    <row r="1018">
      <c r="B1018" s="2">
        <f>IF(STUDENTS!B1017="","",STUDENTS!B1017)</f>
        <v/>
      </c>
      <c r="C1018" s="44">
        <f>IFERROR(IF(B1018="","",_xlfn.XLOOKUP(B1018,STUDENTS!$B$3:$B$1048576,STUDENTS!$C$3:$C$1048576)),"Enter a registered reg. no")</f>
        <v/>
      </c>
      <c r="D1018" s="52">
        <f t="array" ref="D1018:W1018">IF(All_Students_Scores!C1016:V1016="","",All_Students_Scores!C1016:V1016)</f>
        <v/>
      </c>
      <c r="E1018" s="57" t="str"/>
      <c r="F1018" s="66" t="str"/>
      <c r="G1018" s="67" t="str"/>
      <c r="H1018" s="64" t="str"/>
      <c r="I1018" s="65" t="str"/>
      <c r="J1018" s="66" t="str"/>
      <c r="K1018" s="67" t="str"/>
      <c r="L1018" s="41" t="str"/>
      <c r="M1018" s="41" t="str"/>
      <c r="N1018" s="66" t="str"/>
      <c r="O1018" s="67" t="str"/>
      <c r="P1018" s="41" t="str"/>
      <c r="Q1018" s="41" t="str"/>
      <c r="R1018" s="66" t="str"/>
      <c r="S1018" s="67" t="str"/>
      <c r="T1018" s="41" t="str"/>
      <c r="U1018" s="41" t="str"/>
      <c r="V1018" s="66" t="str"/>
      <c r="W1018" s="67" t="str"/>
    </row>
    <row r="1019">
      <c r="B1019" s="2">
        <f>IF(STUDENTS!B1018="","",STUDENTS!B1018)</f>
        <v/>
      </c>
      <c r="C1019" s="44">
        <f>IFERROR(IF(B1019="","",_xlfn.XLOOKUP(B1019,STUDENTS!$B$3:$B$1048576,STUDENTS!$C$3:$C$1048576)),"Enter a registered reg. no")</f>
        <v/>
      </c>
      <c r="D1019" s="52">
        <f t="array" ref="D1019:W1019">IF(All_Students_Scores!C1017:V1017="","",All_Students_Scores!C1017:V1017)</f>
        <v/>
      </c>
      <c r="E1019" s="55" t="str"/>
      <c r="F1019" s="48" t="str"/>
      <c r="G1019" s="58" t="str"/>
      <c r="H1019" s="62" t="str"/>
      <c r="I1019" s="63" t="str"/>
      <c r="J1019" s="48" t="str"/>
      <c r="K1019" s="58" t="str"/>
      <c r="L1019" s="42" t="str"/>
      <c r="M1019" s="42" t="str"/>
      <c r="N1019" s="48" t="str"/>
      <c r="O1019" s="58" t="str"/>
      <c r="P1019" s="42" t="str"/>
      <c r="Q1019" s="42" t="str"/>
      <c r="R1019" s="48" t="str"/>
      <c r="S1019" s="58" t="str"/>
      <c r="T1019" s="42" t="str"/>
      <c r="U1019" s="42" t="str"/>
      <c r="V1019" s="48" t="str"/>
      <c r="W1019" s="58" t="str"/>
      <c r="X1019" s="42" t="n"/>
      <c r="Y1019" s="42" t="n"/>
    </row>
    <row r="1020">
      <c r="B1020" s="2">
        <f>IF(STUDENTS!B1019="","",STUDENTS!B1019)</f>
        <v/>
      </c>
      <c r="C1020" s="44">
        <f>IFERROR(IF(B1020="","",_xlfn.XLOOKUP(B1020,STUDENTS!$B$3:$B$1048576,STUDENTS!$C$3:$C$1048576)),"Enter a registered reg. no")</f>
        <v/>
      </c>
      <c r="D1020" s="52">
        <f t="array" ref="D1020:W1020">IF(All_Students_Scores!C1018:V1018="","",All_Students_Scores!C1018:V1018)</f>
        <v/>
      </c>
      <c r="E1020" s="57" t="str"/>
      <c r="F1020" s="66" t="str"/>
      <c r="G1020" s="67" t="str"/>
      <c r="H1020" s="64" t="str"/>
      <c r="I1020" s="65" t="str"/>
      <c r="J1020" s="66" t="str"/>
      <c r="K1020" s="67" t="str"/>
      <c r="L1020" s="41" t="str"/>
      <c r="M1020" s="41" t="str"/>
      <c r="N1020" s="66" t="str"/>
      <c r="O1020" s="67" t="str"/>
      <c r="P1020" s="41" t="str"/>
      <c r="Q1020" s="41" t="str"/>
      <c r="R1020" s="66" t="str"/>
      <c r="S1020" s="67" t="str"/>
      <c r="T1020" s="41" t="str"/>
      <c r="U1020" s="41" t="str"/>
      <c r="V1020" s="66" t="str"/>
      <c r="W1020" s="67" t="str"/>
    </row>
    <row r="1021">
      <c r="B1021" s="2">
        <f>IF(STUDENTS!B1020="","",STUDENTS!B1020)</f>
        <v/>
      </c>
      <c r="C1021" s="44">
        <f>IFERROR(IF(B1021="","",_xlfn.XLOOKUP(B1021,STUDENTS!$B$3:$B$1048576,STUDENTS!$C$3:$C$1048576)),"Enter a registered reg. no")</f>
        <v/>
      </c>
      <c r="D1021" s="52">
        <f t="array" ref="D1021:W1021">IF(All_Students_Scores!C1019:V1019="","",All_Students_Scores!C1019:V1019)</f>
        <v/>
      </c>
      <c r="E1021" s="55" t="str"/>
      <c r="F1021" s="48" t="str"/>
      <c r="G1021" s="58" t="str"/>
      <c r="H1021" s="62" t="str"/>
      <c r="I1021" s="63" t="str"/>
      <c r="J1021" s="48" t="str"/>
      <c r="K1021" s="58" t="str"/>
      <c r="L1021" s="42" t="str"/>
      <c r="M1021" s="42" t="str"/>
      <c r="N1021" s="48" t="str"/>
      <c r="O1021" s="58" t="str"/>
      <c r="P1021" s="42" t="str"/>
      <c r="Q1021" s="42" t="str"/>
      <c r="R1021" s="48" t="str"/>
      <c r="S1021" s="58" t="str"/>
      <c r="T1021" s="42" t="str"/>
      <c r="U1021" s="42" t="str"/>
      <c r="V1021" s="48" t="str"/>
      <c r="W1021" s="58" t="str"/>
      <c r="X1021" s="42" t="n"/>
      <c r="Y1021" s="42" t="n"/>
    </row>
    <row r="1022">
      <c r="B1022" s="2">
        <f>IF(STUDENTS!B1021="","",STUDENTS!B1021)</f>
        <v/>
      </c>
      <c r="C1022" s="44">
        <f>IFERROR(IF(B1022="","",_xlfn.XLOOKUP(B1022,STUDENTS!$B$3:$B$1048576,STUDENTS!$C$3:$C$1048576)),"Enter a registered reg. no")</f>
        <v/>
      </c>
      <c r="D1022" s="52">
        <f t="array" ref="D1022:W1022">IF(All_Students_Scores!C1020:V1020="","",All_Students_Scores!C1020:V1020)</f>
        <v/>
      </c>
      <c r="E1022" s="57" t="str"/>
      <c r="F1022" s="66" t="str"/>
      <c r="G1022" s="67" t="str"/>
      <c r="H1022" s="64" t="str"/>
      <c r="I1022" s="65" t="str"/>
      <c r="J1022" s="66" t="str"/>
      <c r="K1022" s="67" t="str"/>
      <c r="L1022" s="41" t="str"/>
      <c r="M1022" s="41" t="str"/>
      <c r="N1022" s="66" t="str"/>
      <c r="O1022" s="67" t="str"/>
      <c r="P1022" s="41" t="str"/>
      <c r="Q1022" s="41" t="str"/>
      <c r="R1022" s="66" t="str"/>
      <c r="S1022" s="67" t="str"/>
      <c r="T1022" s="41" t="str"/>
      <c r="U1022" s="41" t="str"/>
      <c r="V1022" s="66" t="str"/>
      <c r="W1022" s="67" t="str"/>
    </row>
    <row r="1023">
      <c r="B1023" s="2">
        <f>IF(STUDENTS!B1022="","",STUDENTS!B1022)</f>
        <v/>
      </c>
      <c r="C1023" s="44">
        <f>IFERROR(IF(B1023="","",_xlfn.XLOOKUP(B1023,STUDENTS!$B$3:$B$1048576,STUDENTS!$C$3:$C$1048576)),"Enter a registered reg. no")</f>
        <v/>
      </c>
      <c r="D1023" s="52">
        <f t="array" ref="D1023:W1023">IF(All_Students_Scores!C1021:V1021="","",All_Students_Scores!C1021:V1021)</f>
        <v/>
      </c>
      <c r="E1023" s="55" t="str"/>
      <c r="F1023" s="48" t="str"/>
      <c r="G1023" s="58" t="str"/>
      <c r="H1023" s="62" t="str"/>
      <c r="I1023" s="63" t="str"/>
      <c r="J1023" s="48" t="str"/>
      <c r="K1023" s="58" t="str"/>
      <c r="L1023" s="42" t="str"/>
      <c r="M1023" s="42" t="str"/>
      <c r="N1023" s="48" t="str"/>
      <c r="O1023" s="58" t="str"/>
      <c r="P1023" s="42" t="str"/>
      <c r="Q1023" s="42" t="str"/>
      <c r="R1023" s="48" t="str"/>
      <c r="S1023" s="58" t="str"/>
      <c r="T1023" s="42" t="str"/>
      <c r="U1023" s="42" t="str"/>
      <c r="V1023" s="48" t="str"/>
      <c r="W1023" s="58" t="str"/>
      <c r="X1023" s="42" t="n"/>
      <c r="Y1023" s="42" t="n"/>
    </row>
    <row r="1024">
      <c r="B1024" s="2">
        <f>IF(STUDENTS!B1023="","",STUDENTS!B1023)</f>
        <v/>
      </c>
      <c r="C1024" s="44">
        <f>IFERROR(IF(B1024="","",_xlfn.XLOOKUP(B1024,STUDENTS!$B$3:$B$1048576,STUDENTS!$C$3:$C$1048576)),"Enter a registered reg. no")</f>
        <v/>
      </c>
      <c r="D1024" s="52">
        <f t="array" ref="D1024:W1024">IF(All_Students_Scores!C1022:V1022="","",All_Students_Scores!C1022:V1022)</f>
        <v/>
      </c>
      <c r="E1024" s="57" t="str"/>
      <c r="F1024" s="66" t="str"/>
      <c r="G1024" s="67" t="str"/>
      <c r="H1024" s="64" t="str"/>
      <c r="I1024" s="65" t="str"/>
      <c r="J1024" s="66" t="str"/>
      <c r="K1024" s="67" t="str"/>
      <c r="L1024" s="41" t="str"/>
      <c r="M1024" s="41" t="str"/>
      <c r="N1024" s="66" t="str"/>
      <c r="O1024" s="67" t="str"/>
      <c r="P1024" s="41" t="str"/>
      <c r="Q1024" s="41" t="str"/>
      <c r="R1024" s="66" t="str"/>
      <c r="S1024" s="67" t="str"/>
      <c r="T1024" s="41" t="str"/>
      <c r="U1024" s="41" t="str"/>
      <c r="V1024" s="66" t="str"/>
      <c r="W1024" s="67" t="str"/>
    </row>
    <row r="1025">
      <c r="B1025" s="2">
        <f>IF(STUDENTS!B1024="","",STUDENTS!B1024)</f>
        <v/>
      </c>
      <c r="C1025" s="44">
        <f>IFERROR(IF(B1025="","",_xlfn.XLOOKUP(B1025,STUDENTS!$B$3:$B$1048576,STUDENTS!$C$3:$C$1048576)),"Enter a registered reg. no")</f>
        <v/>
      </c>
      <c r="D1025" s="52">
        <f t="array" ref="D1025:W1025">IF(All_Students_Scores!C1023:V1023="","",All_Students_Scores!C1023:V1023)</f>
        <v/>
      </c>
      <c r="E1025" s="55" t="str"/>
      <c r="F1025" s="48" t="str"/>
      <c r="G1025" s="58" t="str"/>
      <c r="H1025" s="62" t="str"/>
      <c r="I1025" s="63" t="str"/>
      <c r="J1025" s="48" t="str"/>
      <c r="K1025" s="58" t="str"/>
      <c r="L1025" s="42" t="str"/>
      <c r="M1025" s="42" t="str"/>
      <c r="N1025" s="48" t="str"/>
      <c r="O1025" s="58" t="str"/>
      <c r="P1025" s="42" t="str"/>
      <c r="Q1025" s="42" t="str"/>
      <c r="R1025" s="48" t="str"/>
      <c r="S1025" s="58" t="str"/>
      <c r="T1025" s="42" t="str"/>
      <c r="U1025" s="42" t="str"/>
      <c r="V1025" s="48" t="str"/>
      <c r="W1025" s="58" t="str"/>
      <c r="X1025" s="42" t="n"/>
      <c r="Y1025" s="42" t="n"/>
    </row>
    <row r="1026">
      <c r="B1026" s="2">
        <f>IF(STUDENTS!B1025="","",STUDENTS!B1025)</f>
        <v/>
      </c>
      <c r="C1026" s="44">
        <f>IFERROR(IF(B1026="","",_xlfn.XLOOKUP(B1026,STUDENTS!$B$3:$B$1048576,STUDENTS!$C$3:$C$1048576)),"Enter a registered reg. no")</f>
        <v/>
      </c>
      <c r="D1026" s="52">
        <f t="array" ref="D1026:W1026">IF(All_Students_Scores!C1024:V1024="","",All_Students_Scores!C1024:V1024)</f>
        <v/>
      </c>
      <c r="E1026" s="57" t="str"/>
      <c r="F1026" s="49" t="str"/>
      <c r="G1026" s="59" t="str"/>
      <c r="H1026" s="64" t="str"/>
      <c r="I1026" s="65" t="str"/>
      <c r="J1026" s="66" t="str"/>
      <c r="K1026" s="67" t="str"/>
      <c r="L1026" s="41" t="str"/>
      <c r="M1026" s="41" t="str"/>
      <c r="N1026" s="66" t="str"/>
      <c r="O1026" s="67" t="str"/>
      <c r="P1026" s="41" t="str"/>
      <c r="Q1026" s="41" t="str"/>
      <c r="R1026" s="66" t="str"/>
      <c r="S1026" s="67" t="str"/>
      <c r="T1026" s="41" t="str"/>
      <c r="U1026" s="41" t="str"/>
      <c r="V1026" s="66" t="str"/>
      <c r="W1026" s="67" t="str"/>
    </row>
    <row r="1027">
      <c r="B1027" s="2">
        <f>IF(STUDENTS!B1026="","",STUDENTS!B1026)</f>
        <v/>
      </c>
      <c r="C1027" s="44">
        <f>IFERROR(IF(B1027="","",_xlfn.XLOOKUP(B1027,STUDENTS!$B$3:$B$1048576,STUDENTS!$C$3:$C$1048576)),"Enter a registered reg. no")</f>
        <v/>
      </c>
      <c r="D1027" s="52">
        <f t="array" ref="D1027:W1027">IF(All_Students_Scores!C1025:V1025="","",All_Students_Scores!C1025:V1025)</f>
        <v/>
      </c>
      <c r="E1027" s="55" t="str"/>
      <c r="F1027" s="48" t="str"/>
      <c r="G1027" s="58" t="str"/>
      <c r="H1027" s="62" t="str"/>
      <c r="I1027" s="63" t="str"/>
      <c r="J1027" s="48" t="str"/>
      <c r="K1027" s="58" t="str"/>
      <c r="L1027" s="42" t="str"/>
      <c r="M1027" s="42" t="str"/>
      <c r="N1027" s="48" t="str"/>
      <c r="O1027" s="58" t="str"/>
      <c r="P1027" s="42" t="str"/>
      <c r="Q1027" s="42" t="str"/>
      <c r="R1027" s="48" t="str"/>
      <c r="S1027" s="58" t="str"/>
      <c r="T1027" s="42" t="str"/>
      <c r="U1027" s="42" t="str"/>
      <c r="V1027" s="48" t="str"/>
      <c r="W1027" s="58" t="str"/>
      <c r="X1027" s="42" t="n"/>
      <c r="Y1027" s="42" t="n"/>
    </row>
    <row r="1028">
      <c r="B1028" s="2">
        <f>IF(STUDENTS!B1027="","",STUDENTS!B1027)</f>
        <v/>
      </c>
      <c r="C1028" s="44">
        <f>IFERROR(IF(B1028="","",_xlfn.XLOOKUP(B1028,STUDENTS!$B$3:$B$1048576,STUDENTS!$C$3:$C$1048576)),"Enter a registered reg. no")</f>
        <v/>
      </c>
      <c r="D1028" s="52">
        <f t="array" ref="D1028:W1028">IF(All_Students_Scores!C1026:V1026="","",All_Students_Scores!C1026:V1026)</f>
        <v/>
      </c>
      <c r="E1028" s="57" t="str"/>
      <c r="F1028" s="49" t="str"/>
      <c r="G1028" s="59" t="str"/>
      <c r="H1028" s="64" t="str"/>
      <c r="I1028" s="65" t="str"/>
      <c r="J1028" s="66" t="str"/>
      <c r="K1028" s="67" t="str"/>
      <c r="L1028" s="41" t="str"/>
      <c r="M1028" s="41" t="str"/>
      <c r="N1028" s="66" t="str"/>
      <c r="O1028" s="67" t="str"/>
      <c r="P1028" s="41" t="str"/>
      <c r="Q1028" s="41" t="str"/>
      <c r="R1028" s="66" t="str"/>
      <c r="S1028" s="67" t="str"/>
      <c r="T1028" s="41" t="str"/>
      <c r="U1028" s="41" t="str"/>
      <c r="V1028" s="66" t="str"/>
      <c r="W1028" s="67" t="str"/>
    </row>
    <row r="1029">
      <c r="B1029" s="2">
        <f>IF(STUDENTS!B1028="","",STUDENTS!B1028)</f>
        <v/>
      </c>
      <c r="C1029" s="44">
        <f>IFERROR(IF(B1029="","",_xlfn.XLOOKUP(B1029,STUDENTS!$B$3:$B$1048576,STUDENTS!$C$3:$C$1048576)),"Enter a registered reg. no")</f>
        <v/>
      </c>
      <c r="D1029" s="52">
        <f t="array" ref="D1029:W1029">IF(All_Students_Scores!C1027:V1027="","",All_Students_Scores!C1027:V1027)</f>
        <v/>
      </c>
      <c r="E1029" s="55" t="str"/>
      <c r="F1029" s="48" t="str"/>
      <c r="G1029" s="58" t="str"/>
      <c r="H1029" s="62" t="str"/>
      <c r="I1029" s="63" t="str"/>
      <c r="J1029" s="48" t="str"/>
      <c r="K1029" s="58" t="str"/>
      <c r="L1029" s="42" t="str"/>
      <c r="M1029" s="42" t="str"/>
      <c r="N1029" s="48" t="str"/>
      <c r="O1029" s="58" t="str"/>
      <c r="P1029" s="42" t="str"/>
      <c r="Q1029" s="42" t="str"/>
      <c r="R1029" s="48" t="str"/>
      <c r="S1029" s="58" t="str"/>
      <c r="T1029" s="42" t="str"/>
      <c r="U1029" s="42" t="str"/>
      <c r="V1029" s="48" t="str"/>
      <c r="W1029" s="58" t="str"/>
      <c r="X1029" s="42" t="n"/>
      <c r="Y1029" s="42" t="n"/>
    </row>
    <row r="1030">
      <c r="B1030" s="2">
        <f>IF(STUDENTS!B1029="","",STUDENTS!B1029)</f>
        <v/>
      </c>
      <c r="C1030" s="44">
        <f>IFERROR(IF(B1030="","",_xlfn.XLOOKUP(B1030,STUDENTS!$B$3:$B$1048576,STUDENTS!$C$3:$C$1048576)),"Enter a registered reg. no")</f>
        <v/>
      </c>
      <c r="D1030" s="52">
        <f t="array" ref="D1030:W1030">IF(All_Students_Scores!C1028:V1028="","",All_Students_Scores!C1028:V1028)</f>
        <v/>
      </c>
      <c r="E1030" s="57" t="str"/>
      <c r="F1030" s="49" t="str"/>
      <c r="G1030" s="59" t="str"/>
      <c r="H1030" s="64" t="str"/>
      <c r="I1030" s="65" t="str"/>
      <c r="J1030" s="66" t="str"/>
      <c r="K1030" s="67" t="str"/>
      <c r="L1030" s="41" t="str"/>
      <c r="M1030" s="41" t="str"/>
      <c r="N1030" s="66" t="str"/>
      <c r="O1030" s="67" t="str"/>
      <c r="P1030" s="41" t="str"/>
      <c r="Q1030" s="41" t="str"/>
      <c r="R1030" s="66" t="str"/>
      <c r="S1030" s="67" t="str"/>
      <c r="T1030" s="41" t="str"/>
      <c r="U1030" s="41" t="str"/>
      <c r="V1030" s="66" t="str"/>
      <c r="W1030" s="67" t="str"/>
    </row>
    <row r="1031">
      <c r="B1031" s="2">
        <f>IF(STUDENTS!B1030="","",STUDENTS!B1030)</f>
        <v/>
      </c>
      <c r="C1031" s="44">
        <f>IFERROR(IF(B1031="","",_xlfn.XLOOKUP(B1031,STUDENTS!$B$3:$B$1048576,STUDENTS!$C$3:$C$1048576)),"Enter a registered reg. no")</f>
        <v/>
      </c>
      <c r="D1031" s="52">
        <f t="array" ref="D1031:W1031">IF(All_Students_Scores!C1029:V1029="","",All_Students_Scores!C1029:V1029)</f>
        <v/>
      </c>
      <c r="E1031" s="55" t="str"/>
      <c r="F1031" s="48" t="str"/>
      <c r="G1031" s="58" t="str"/>
      <c r="H1031" s="62" t="str"/>
      <c r="I1031" s="63" t="str"/>
      <c r="J1031" s="48" t="str"/>
      <c r="K1031" s="58" t="str"/>
      <c r="L1031" s="42" t="str"/>
      <c r="M1031" s="42" t="str"/>
      <c r="N1031" s="48" t="str"/>
      <c r="O1031" s="58" t="str"/>
      <c r="P1031" s="42" t="str"/>
      <c r="Q1031" s="42" t="str"/>
      <c r="R1031" s="48" t="str"/>
      <c r="S1031" s="58" t="str"/>
      <c r="T1031" s="42" t="str"/>
      <c r="U1031" s="42" t="str"/>
      <c r="V1031" s="48" t="str"/>
      <c r="W1031" s="58" t="str"/>
      <c r="X1031" s="42" t="n"/>
      <c r="Y1031" s="42" t="n"/>
    </row>
    <row r="1032">
      <c r="B1032" s="2">
        <f>IF(STUDENTS!B1031="","",STUDENTS!B1031)</f>
        <v/>
      </c>
      <c r="C1032" s="44">
        <f>IFERROR(IF(B1032="","",_xlfn.XLOOKUP(B1032,STUDENTS!$B$3:$B$1048576,STUDENTS!$C$3:$C$1048576)),"Enter a registered reg. no")</f>
        <v/>
      </c>
      <c r="D1032" s="52">
        <f t="array" ref="D1032:W1032">IF(All_Students_Scores!C1030:V1030="","",All_Students_Scores!C1030:V1030)</f>
        <v/>
      </c>
      <c r="E1032" s="57" t="str"/>
      <c r="F1032" s="49" t="str"/>
      <c r="G1032" s="59" t="str"/>
      <c r="H1032" s="64" t="str"/>
      <c r="I1032" s="65" t="str"/>
      <c r="J1032" s="66" t="str"/>
      <c r="K1032" s="67" t="str"/>
      <c r="L1032" s="41" t="str"/>
      <c r="M1032" s="41" t="str"/>
      <c r="N1032" s="66" t="str"/>
      <c r="O1032" s="67" t="str"/>
      <c r="P1032" s="41" t="str"/>
      <c r="Q1032" s="41" t="str"/>
      <c r="R1032" s="66" t="str"/>
      <c r="S1032" s="67" t="str"/>
      <c r="T1032" s="41" t="str"/>
      <c r="U1032" s="41" t="str"/>
      <c r="V1032" s="66" t="str"/>
      <c r="W1032" s="67" t="str"/>
    </row>
    <row r="1033">
      <c r="B1033" s="2">
        <f>IF(STUDENTS!B1032="","",STUDENTS!B1032)</f>
        <v/>
      </c>
      <c r="C1033" s="44">
        <f>IFERROR(IF(B1033="","",_xlfn.XLOOKUP(B1033,STUDENTS!$B$3:$B$1048576,STUDENTS!$C$3:$C$1048576)),"Enter a registered reg. no")</f>
        <v/>
      </c>
      <c r="D1033" s="52">
        <f t="array" ref="D1033:W1033">IF(All_Students_Scores!C1031:V1031="","",All_Students_Scores!C1031:V1031)</f>
        <v/>
      </c>
      <c r="E1033" s="55" t="str"/>
      <c r="F1033" s="48" t="str"/>
      <c r="G1033" s="58" t="str"/>
      <c r="H1033" s="62" t="str"/>
      <c r="I1033" s="63" t="str"/>
      <c r="J1033" s="48" t="str"/>
      <c r="K1033" s="58" t="str"/>
      <c r="L1033" s="42" t="str"/>
      <c r="M1033" s="42" t="str"/>
      <c r="N1033" s="48" t="str"/>
      <c r="O1033" s="58" t="str"/>
      <c r="P1033" s="42" t="str"/>
      <c r="Q1033" s="42" t="str"/>
      <c r="R1033" s="48" t="str"/>
      <c r="S1033" s="58" t="str"/>
      <c r="T1033" s="42" t="str"/>
      <c r="U1033" s="42" t="str"/>
      <c r="V1033" s="48" t="str"/>
      <c r="W1033" s="58" t="str"/>
      <c r="X1033" s="42" t="n"/>
      <c r="Y1033" s="42" t="n"/>
    </row>
    <row r="1034">
      <c r="B1034" s="2">
        <f>IF(STUDENTS!B1033="","",STUDENTS!B1033)</f>
        <v/>
      </c>
      <c r="C1034" s="44">
        <f>IFERROR(IF(B1034="","",_xlfn.XLOOKUP(B1034,STUDENTS!$B$3:$B$1048576,STUDENTS!$C$3:$C$1048576)),"Enter a registered reg. no")</f>
        <v/>
      </c>
      <c r="D1034" s="52">
        <f t="array" ref="D1034:W1034">IF(All_Students_Scores!C1032:V1032="","",All_Students_Scores!C1032:V1032)</f>
        <v/>
      </c>
      <c r="E1034" s="57" t="str"/>
      <c r="F1034" s="49" t="str"/>
      <c r="G1034" s="59" t="str"/>
      <c r="H1034" s="64" t="str"/>
      <c r="I1034" s="65" t="str"/>
      <c r="J1034" s="66" t="str"/>
      <c r="K1034" s="67" t="str"/>
      <c r="L1034" s="41" t="str"/>
      <c r="M1034" s="41" t="str"/>
      <c r="N1034" s="66" t="str"/>
      <c r="O1034" s="67" t="str"/>
      <c r="P1034" s="41" t="str"/>
      <c r="Q1034" s="41" t="str"/>
      <c r="R1034" s="66" t="str"/>
      <c r="S1034" s="67" t="str"/>
      <c r="T1034" s="41" t="str"/>
      <c r="U1034" s="41" t="str"/>
      <c r="V1034" s="66" t="str"/>
      <c r="W1034" s="67" t="str"/>
    </row>
    <row r="1035">
      <c r="B1035" s="2">
        <f>IF(STUDENTS!B1034="","",STUDENTS!B1034)</f>
        <v/>
      </c>
      <c r="C1035" s="44">
        <f>IFERROR(IF(B1035="","",_xlfn.XLOOKUP(B1035,STUDENTS!$B$3:$B$1048576,STUDENTS!$C$3:$C$1048576)),"Enter a registered reg. no")</f>
        <v/>
      </c>
      <c r="D1035" s="52">
        <f t="array" ref="D1035:W1035">IF(All_Students_Scores!C1033:V1033="","",All_Students_Scores!C1033:V1033)</f>
        <v/>
      </c>
      <c r="E1035" s="55" t="str"/>
      <c r="F1035" s="48" t="str"/>
      <c r="G1035" s="58" t="str"/>
      <c r="H1035" s="62" t="str"/>
      <c r="I1035" s="63" t="str"/>
      <c r="J1035" s="48" t="str"/>
      <c r="K1035" s="58" t="str"/>
      <c r="L1035" s="42" t="str"/>
      <c r="M1035" s="42" t="str"/>
      <c r="N1035" s="48" t="str"/>
      <c r="O1035" s="58" t="str"/>
      <c r="P1035" s="42" t="str"/>
      <c r="Q1035" s="42" t="str"/>
      <c r="R1035" s="48" t="str"/>
      <c r="S1035" s="58" t="str"/>
      <c r="T1035" s="42" t="str"/>
      <c r="U1035" s="42" t="str"/>
      <c r="V1035" s="48" t="str"/>
      <c r="W1035" s="58" t="str"/>
      <c r="X1035" s="42" t="n"/>
      <c r="Y1035" s="42" t="n"/>
    </row>
    <row r="1036">
      <c r="B1036" s="2">
        <f>IF(STUDENTS!B1035="","",STUDENTS!B1035)</f>
        <v/>
      </c>
      <c r="C1036" s="44">
        <f>IFERROR(IF(B1036="","",_xlfn.XLOOKUP(B1036,STUDENTS!$B$3:$B$1048576,STUDENTS!$C$3:$C$1048576)),"Enter a registered reg. no")</f>
        <v/>
      </c>
      <c r="D1036" s="52">
        <f t="array" ref="D1036:W1036">IF(All_Students_Scores!C1034:V1034="","",All_Students_Scores!C1034:V1034)</f>
        <v/>
      </c>
      <c r="E1036" s="57" t="str"/>
      <c r="F1036" s="49" t="str"/>
      <c r="G1036" s="59" t="str"/>
      <c r="H1036" s="64" t="str"/>
      <c r="I1036" s="65" t="str"/>
      <c r="J1036" s="66" t="str"/>
      <c r="K1036" s="67" t="str"/>
      <c r="L1036" s="41" t="str"/>
      <c r="M1036" s="41" t="str"/>
      <c r="N1036" s="66" t="str"/>
      <c r="O1036" s="67" t="str"/>
      <c r="P1036" s="41" t="str"/>
      <c r="Q1036" s="41" t="str"/>
      <c r="R1036" s="66" t="str"/>
      <c r="S1036" s="67" t="str"/>
      <c r="T1036" s="41" t="str"/>
      <c r="U1036" s="41" t="str"/>
      <c r="V1036" s="66" t="str"/>
      <c r="W1036" s="67" t="str"/>
    </row>
    <row r="1037">
      <c r="B1037" s="2">
        <f>IF(STUDENTS!B1036="","",STUDENTS!B1036)</f>
        <v/>
      </c>
      <c r="C1037" s="44">
        <f>IFERROR(IF(B1037="","",_xlfn.XLOOKUP(B1037,STUDENTS!$B$3:$B$1048576,STUDENTS!$C$3:$C$1048576)),"Enter a registered reg. no")</f>
        <v/>
      </c>
      <c r="D1037" s="52">
        <f t="array" ref="D1037:W1037">IF(All_Students_Scores!C1035:V1035="","",All_Students_Scores!C1035:V1035)</f>
        <v/>
      </c>
      <c r="E1037" s="55" t="str"/>
      <c r="F1037" s="48" t="str"/>
      <c r="G1037" s="58" t="str"/>
      <c r="H1037" s="62" t="str"/>
      <c r="I1037" s="63" t="str"/>
      <c r="J1037" s="48" t="str"/>
      <c r="K1037" s="58" t="str"/>
      <c r="L1037" s="42" t="str"/>
      <c r="M1037" s="42" t="str"/>
      <c r="N1037" s="48" t="str"/>
      <c r="O1037" s="58" t="str"/>
      <c r="P1037" s="42" t="str"/>
      <c r="Q1037" s="42" t="str"/>
      <c r="R1037" s="48" t="str"/>
      <c r="S1037" s="58" t="str"/>
      <c r="T1037" s="42" t="str"/>
      <c r="U1037" s="42" t="str"/>
      <c r="V1037" s="48" t="str"/>
      <c r="W1037" s="58" t="str"/>
      <c r="X1037" s="42" t="n"/>
      <c r="Y1037" s="42" t="n"/>
    </row>
    <row r="1038">
      <c r="B1038" s="2">
        <f>IF(STUDENTS!B1037="","",STUDENTS!B1037)</f>
        <v/>
      </c>
      <c r="C1038" s="44">
        <f>IFERROR(IF(B1038="","",_xlfn.XLOOKUP(B1038,STUDENTS!$B$3:$B$1048576,STUDENTS!$C$3:$C$1048576)),"Enter a registered reg. no")</f>
        <v/>
      </c>
      <c r="D1038" s="52">
        <f t="array" ref="D1038:W1038">IF(All_Students_Scores!C1036:V1036="","",All_Students_Scores!C1036:V1036)</f>
        <v/>
      </c>
      <c r="E1038" s="57" t="str"/>
      <c r="F1038" s="49" t="str"/>
      <c r="G1038" s="59" t="str"/>
      <c r="H1038" s="64" t="str"/>
      <c r="I1038" s="65" t="str"/>
      <c r="J1038" s="66" t="str"/>
      <c r="K1038" s="67" t="str"/>
      <c r="L1038" s="41" t="str"/>
      <c r="M1038" s="41" t="str"/>
      <c r="N1038" s="66" t="str"/>
      <c r="O1038" s="67" t="str"/>
      <c r="P1038" s="41" t="str"/>
      <c r="Q1038" s="41" t="str"/>
      <c r="R1038" s="66" t="str"/>
      <c r="S1038" s="67" t="str"/>
      <c r="T1038" s="41" t="str"/>
      <c r="U1038" s="41" t="str"/>
      <c r="V1038" s="66" t="str"/>
      <c r="W1038" s="67" t="str"/>
    </row>
    <row r="1039">
      <c r="B1039" s="2">
        <f>IF(STUDENTS!B1038="","",STUDENTS!B1038)</f>
        <v/>
      </c>
      <c r="C1039" s="44">
        <f>IFERROR(IF(B1039="","",_xlfn.XLOOKUP(B1039,STUDENTS!$B$3:$B$1048576,STUDENTS!$C$3:$C$1048576)),"Enter a registered reg. no")</f>
        <v/>
      </c>
      <c r="D1039" s="52">
        <f t="array" ref="D1039:W1039">IF(All_Students_Scores!C1037:V1037="","",All_Students_Scores!C1037:V1037)</f>
        <v/>
      </c>
      <c r="E1039" s="55" t="str"/>
      <c r="F1039" s="48" t="str"/>
      <c r="G1039" s="58" t="str"/>
      <c r="H1039" s="62" t="str"/>
      <c r="I1039" s="63" t="str"/>
      <c r="J1039" s="48" t="str"/>
      <c r="K1039" s="58" t="str"/>
      <c r="L1039" s="42" t="str"/>
      <c r="M1039" s="42" t="str"/>
      <c r="N1039" s="48" t="str"/>
      <c r="O1039" s="58" t="str"/>
      <c r="P1039" s="42" t="str"/>
      <c r="Q1039" s="42" t="str"/>
      <c r="R1039" s="48" t="str"/>
      <c r="S1039" s="58" t="str"/>
      <c r="T1039" s="42" t="str"/>
      <c r="U1039" s="42" t="str"/>
      <c r="V1039" s="48" t="str"/>
      <c r="W1039" s="58" t="str"/>
      <c r="X1039" s="42" t="n"/>
      <c r="Y1039" s="42" t="n"/>
    </row>
    <row r="1040">
      <c r="B1040" s="2">
        <f>IF(STUDENTS!B1039="","",STUDENTS!B1039)</f>
        <v/>
      </c>
      <c r="C1040" s="44">
        <f>IFERROR(IF(B1040="","",_xlfn.XLOOKUP(B1040,STUDENTS!$B$3:$B$1048576,STUDENTS!$C$3:$C$1048576)),"Enter a registered reg. no")</f>
        <v/>
      </c>
      <c r="D1040" s="52">
        <f t="array" ref="D1040:W1040">IF(All_Students_Scores!C1038:V1038="","",All_Students_Scores!C1038:V1038)</f>
        <v/>
      </c>
      <c r="E1040" s="57" t="str"/>
      <c r="F1040" s="49" t="str"/>
      <c r="G1040" s="59" t="str"/>
      <c r="H1040" s="64" t="str"/>
      <c r="I1040" s="65" t="str"/>
      <c r="J1040" s="66" t="str"/>
      <c r="K1040" s="67" t="str"/>
      <c r="L1040" s="41" t="str"/>
      <c r="M1040" s="41" t="str"/>
      <c r="N1040" s="66" t="str"/>
      <c r="O1040" s="67" t="str"/>
      <c r="P1040" s="41" t="str"/>
      <c r="Q1040" s="41" t="str"/>
      <c r="R1040" s="66" t="str"/>
      <c r="S1040" s="67" t="str"/>
      <c r="T1040" s="41" t="str"/>
      <c r="U1040" s="41" t="str"/>
      <c r="V1040" s="66" t="str"/>
      <c r="W1040" s="67" t="str"/>
    </row>
    <row r="1041">
      <c r="B1041" s="2">
        <f>IF(STUDENTS!B1040="","",STUDENTS!B1040)</f>
        <v/>
      </c>
      <c r="C1041" s="44">
        <f>IFERROR(IF(B1041="","",_xlfn.XLOOKUP(B1041,STUDENTS!$B$3:$B$1048576,STUDENTS!$C$3:$C$1048576)),"Enter a registered reg. no")</f>
        <v/>
      </c>
      <c r="D1041" s="52">
        <f t="array" ref="D1041:W1041">IF(All_Students_Scores!C1039:V1039="","",All_Students_Scores!C1039:V1039)</f>
        <v/>
      </c>
      <c r="E1041" s="55" t="str"/>
      <c r="F1041" s="48" t="str"/>
      <c r="G1041" s="58" t="str"/>
      <c r="H1041" s="62" t="str"/>
      <c r="I1041" s="63" t="str"/>
      <c r="J1041" s="48" t="str"/>
      <c r="K1041" s="58" t="str"/>
      <c r="L1041" s="42" t="str"/>
      <c r="M1041" s="42" t="str"/>
      <c r="N1041" s="48" t="str"/>
      <c r="O1041" s="58" t="str"/>
      <c r="P1041" s="42" t="str"/>
      <c r="Q1041" s="42" t="str"/>
      <c r="R1041" s="48" t="str"/>
      <c r="S1041" s="58" t="str"/>
      <c r="T1041" s="42" t="str"/>
      <c r="U1041" s="42" t="str"/>
      <c r="V1041" s="48" t="str"/>
      <c r="W1041" s="58" t="str"/>
      <c r="X1041" s="42" t="n"/>
      <c r="Y1041" s="42" t="n"/>
    </row>
    <row r="1042">
      <c r="B1042" s="2">
        <f>IF(STUDENTS!B1041="","",STUDENTS!B1041)</f>
        <v/>
      </c>
      <c r="C1042" s="44">
        <f>IFERROR(IF(B1042="","",_xlfn.XLOOKUP(B1042,STUDENTS!$B$3:$B$1048576,STUDENTS!$C$3:$C$1048576)),"Enter a registered reg. no")</f>
        <v/>
      </c>
      <c r="D1042" s="52">
        <f t="array" ref="D1042:W1042">IF(All_Students_Scores!C1040:V1040="","",All_Students_Scores!C1040:V1040)</f>
        <v/>
      </c>
      <c r="E1042" s="57" t="str"/>
      <c r="F1042" s="49" t="str"/>
      <c r="G1042" s="59" t="str"/>
      <c r="H1042" s="64" t="str"/>
      <c r="I1042" s="65" t="str"/>
      <c r="J1042" s="66" t="str"/>
      <c r="K1042" s="67" t="str"/>
      <c r="L1042" s="41" t="str"/>
      <c r="M1042" s="41" t="str"/>
      <c r="N1042" s="66" t="str"/>
      <c r="O1042" s="67" t="str"/>
      <c r="P1042" s="41" t="str"/>
      <c r="Q1042" s="41" t="str"/>
      <c r="R1042" s="66" t="str"/>
      <c r="S1042" s="67" t="str"/>
      <c r="T1042" s="41" t="str"/>
      <c r="U1042" s="41" t="str"/>
      <c r="V1042" s="66" t="str"/>
      <c r="W1042" s="67" t="str"/>
    </row>
    <row r="1043">
      <c r="B1043" s="2">
        <f>IF(STUDENTS!B1042="","",STUDENTS!B1042)</f>
        <v/>
      </c>
      <c r="C1043" s="44">
        <f>IFERROR(IF(B1043="","",_xlfn.XLOOKUP(B1043,STUDENTS!$B$3:$B$1048576,STUDENTS!$C$3:$C$1048576)),"Enter a registered reg. no")</f>
        <v/>
      </c>
      <c r="D1043" s="52">
        <f t="array" ref="D1043:W1043">IF(All_Students_Scores!C1041:V1041="","",All_Students_Scores!C1041:V1041)</f>
        <v/>
      </c>
      <c r="E1043" s="55" t="str"/>
      <c r="F1043" s="48" t="str"/>
      <c r="G1043" s="58" t="str"/>
      <c r="H1043" s="62" t="str"/>
      <c r="I1043" s="63" t="str"/>
      <c r="J1043" s="48" t="str"/>
      <c r="K1043" s="58" t="str"/>
      <c r="L1043" s="42" t="str"/>
      <c r="M1043" s="42" t="str"/>
      <c r="N1043" s="48" t="str"/>
      <c r="O1043" s="58" t="str"/>
      <c r="P1043" s="42" t="str"/>
      <c r="Q1043" s="42" t="str"/>
      <c r="R1043" s="48" t="str"/>
      <c r="S1043" s="58" t="str"/>
      <c r="T1043" s="42" t="str"/>
      <c r="U1043" s="42" t="str"/>
      <c r="V1043" s="48" t="str"/>
      <c r="W1043" s="58" t="str"/>
      <c r="X1043" s="42" t="n"/>
      <c r="Y1043" s="42" t="n"/>
    </row>
    <row r="1044">
      <c r="B1044" s="2">
        <f>IF(STUDENTS!B1043="","",STUDENTS!B1043)</f>
        <v/>
      </c>
      <c r="C1044" s="44">
        <f>IFERROR(IF(B1044="","",_xlfn.XLOOKUP(B1044,STUDENTS!$B$3:$B$1048576,STUDENTS!$C$3:$C$1048576)),"Enter a registered reg. no")</f>
        <v/>
      </c>
      <c r="D1044" s="52">
        <f t="array" ref="D1044:W1044">IF(All_Students_Scores!C1042:V1042="","",All_Students_Scores!C1042:V1042)</f>
        <v/>
      </c>
      <c r="E1044" s="57" t="str"/>
      <c r="F1044" s="49" t="str"/>
      <c r="G1044" s="59" t="str"/>
      <c r="H1044" s="64" t="str"/>
      <c r="I1044" s="65" t="str"/>
      <c r="J1044" s="66" t="str"/>
      <c r="K1044" s="67" t="str"/>
      <c r="L1044" s="41" t="str"/>
      <c r="M1044" s="41" t="str"/>
      <c r="N1044" s="66" t="str"/>
      <c r="O1044" s="67" t="str"/>
      <c r="P1044" s="41" t="str"/>
      <c r="Q1044" s="41" t="str"/>
      <c r="R1044" s="66" t="str"/>
      <c r="S1044" s="67" t="str"/>
      <c r="T1044" s="41" t="str"/>
      <c r="U1044" s="41" t="str"/>
      <c r="V1044" s="66" t="str"/>
      <c r="W1044" s="67" t="str"/>
    </row>
    <row r="1045">
      <c r="B1045" s="2">
        <f>IF(STUDENTS!B1044="","",STUDENTS!B1044)</f>
        <v/>
      </c>
      <c r="C1045" s="44">
        <f>IFERROR(IF(B1045="","",_xlfn.XLOOKUP(B1045,STUDENTS!$B$3:$B$1048576,STUDENTS!$C$3:$C$1048576)),"Enter a registered reg. no")</f>
        <v/>
      </c>
      <c r="D1045" s="52">
        <f t="array" ref="D1045:W1045">IF(All_Students_Scores!C1043:V1043="","",All_Students_Scores!C1043:V1043)</f>
        <v/>
      </c>
      <c r="E1045" s="55" t="str"/>
      <c r="F1045" s="48" t="str"/>
      <c r="G1045" s="58" t="str"/>
      <c r="H1045" s="62" t="str"/>
      <c r="I1045" s="63" t="str"/>
      <c r="J1045" s="48" t="str"/>
      <c r="K1045" s="58" t="str"/>
      <c r="L1045" s="42" t="str"/>
      <c r="M1045" s="42" t="str"/>
      <c r="N1045" s="48" t="str"/>
      <c r="O1045" s="58" t="str"/>
      <c r="P1045" s="42" t="str"/>
      <c r="Q1045" s="42" t="str"/>
      <c r="R1045" s="48" t="str"/>
      <c r="S1045" s="58" t="str"/>
      <c r="T1045" s="42" t="str"/>
      <c r="U1045" s="42" t="str"/>
      <c r="V1045" s="48" t="str"/>
      <c r="W1045" s="58" t="str"/>
      <c r="X1045" s="42" t="n"/>
      <c r="Y1045" s="42" t="n"/>
    </row>
    <row r="1046">
      <c r="B1046" s="2">
        <f>IF(STUDENTS!B1045="","",STUDENTS!B1045)</f>
        <v/>
      </c>
      <c r="C1046" s="44">
        <f>IFERROR(IF(B1046="","",_xlfn.XLOOKUP(B1046,STUDENTS!$B$3:$B$1048576,STUDENTS!$C$3:$C$1048576)),"Enter a registered reg. no")</f>
        <v/>
      </c>
      <c r="D1046" s="52">
        <f t="array" ref="D1046:W1046">IF(All_Students_Scores!C1044:V1044="","",All_Students_Scores!C1044:V1044)</f>
        <v/>
      </c>
      <c r="E1046" s="57" t="str"/>
      <c r="F1046" s="49" t="str"/>
      <c r="G1046" s="59" t="str"/>
      <c r="H1046" s="64" t="str"/>
      <c r="I1046" s="65" t="str"/>
      <c r="J1046" s="66" t="str"/>
      <c r="K1046" s="67" t="str"/>
      <c r="L1046" s="41" t="str"/>
      <c r="M1046" s="41" t="str"/>
      <c r="N1046" s="66" t="str"/>
      <c r="O1046" s="67" t="str"/>
      <c r="P1046" s="41" t="str"/>
      <c r="Q1046" s="41" t="str"/>
      <c r="R1046" s="66" t="str"/>
      <c r="S1046" s="67" t="str"/>
      <c r="T1046" s="41" t="str"/>
      <c r="U1046" s="41" t="str"/>
      <c r="V1046" s="66" t="str"/>
      <c r="W1046" s="67" t="str"/>
    </row>
    <row r="1047">
      <c r="B1047" s="2">
        <f>IF(STUDENTS!B1046="","",STUDENTS!B1046)</f>
        <v/>
      </c>
      <c r="C1047" s="44">
        <f>IFERROR(IF(B1047="","",_xlfn.XLOOKUP(B1047,STUDENTS!$B$3:$B$1048576,STUDENTS!$C$3:$C$1048576)),"Enter a registered reg. no")</f>
        <v/>
      </c>
      <c r="D1047" s="52">
        <f t="array" ref="D1047:W1047">IF(All_Students_Scores!C1045:V1045="","",All_Students_Scores!C1045:V1045)</f>
        <v/>
      </c>
      <c r="E1047" s="55" t="str"/>
      <c r="F1047" s="48" t="str"/>
      <c r="G1047" s="58" t="str"/>
      <c r="H1047" s="62" t="str"/>
      <c r="I1047" s="63" t="str"/>
      <c r="J1047" s="48" t="str"/>
      <c r="K1047" s="58" t="str"/>
      <c r="L1047" s="42" t="str"/>
      <c r="M1047" s="42" t="str"/>
      <c r="N1047" s="48" t="str"/>
      <c r="O1047" s="58" t="str"/>
      <c r="P1047" s="42" t="str"/>
      <c r="Q1047" s="42" t="str"/>
      <c r="R1047" s="48" t="str"/>
      <c r="S1047" s="58" t="str"/>
      <c r="T1047" s="42" t="str"/>
      <c r="U1047" s="42" t="str"/>
      <c r="V1047" s="48" t="str"/>
      <c r="W1047" s="58" t="str"/>
      <c r="X1047" s="42" t="n"/>
      <c r="Y1047" s="42" t="n"/>
    </row>
    <row r="1048">
      <c r="B1048" s="2">
        <f>IF(STUDENTS!B1047="","",STUDENTS!B1047)</f>
        <v/>
      </c>
      <c r="C1048" s="44">
        <f>IFERROR(IF(B1048="","",_xlfn.XLOOKUP(B1048,STUDENTS!$B$3:$B$1048576,STUDENTS!$C$3:$C$1048576)),"Enter a registered reg. no")</f>
        <v/>
      </c>
      <c r="D1048" s="52">
        <f t="array" ref="D1048:W1048">IF(All_Students_Scores!C1046:V1046="","",All_Students_Scores!C1046:V1046)</f>
        <v/>
      </c>
      <c r="E1048" s="57" t="str"/>
      <c r="F1048" s="49" t="str"/>
      <c r="G1048" s="59" t="str"/>
      <c r="H1048" s="64" t="str"/>
      <c r="I1048" s="65" t="str"/>
      <c r="J1048" s="66" t="str"/>
      <c r="K1048" s="67" t="str"/>
      <c r="L1048" s="41" t="str"/>
      <c r="M1048" s="41" t="str"/>
      <c r="N1048" s="66" t="str"/>
      <c r="O1048" s="67" t="str"/>
      <c r="P1048" s="41" t="str"/>
      <c r="Q1048" s="41" t="str"/>
      <c r="R1048" s="66" t="str"/>
      <c r="S1048" s="67" t="str"/>
      <c r="T1048" s="41" t="str"/>
      <c r="U1048" s="41" t="str"/>
      <c r="V1048" s="66" t="str"/>
      <c r="W1048" s="67" t="str"/>
    </row>
    <row r="1049">
      <c r="B1049" s="2">
        <f>IF(STUDENTS!B1048="","",STUDENTS!B1048)</f>
        <v/>
      </c>
      <c r="C1049" s="44">
        <f>IFERROR(IF(B1049="","",_xlfn.XLOOKUP(B1049,STUDENTS!$B$3:$B$1048576,STUDENTS!$C$3:$C$1048576)),"Enter a registered reg. no")</f>
        <v/>
      </c>
      <c r="D1049" s="52">
        <f t="array" ref="D1049:W1049">IF(All_Students_Scores!C1047:V1047="","",All_Students_Scores!C1047:V1047)</f>
        <v/>
      </c>
      <c r="E1049" s="55" t="str"/>
      <c r="F1049" s="48" t="str"/>
      <c r="G1049" s="58" t="str"/>
      <c r="H1049" s="62" t="str"/>
      <c r="I1049" s="63" t="str"/>
      <c r="J1049" s="48" t="str"/>
      <c r="K1049" s="58" t="str"/>
      <c r="L1049" s="42" t="str"/>
      <c r="M1049" s="42" t="str"/>
      <c r="N1049" s="48" t="str"/>
      <c r="O1049" s="58" t="str"/>
      <c r="P1049" s="42" t="str"/>
      <c r="Q1049" s="42" t="str"/>
      <c r="R1049" s="48" t="str"/>
      <c r="S1049" s="58" t="str"/>
      <c r="T1049" s="42" t="str"/>
      <c r="U1049" s="42" t="str"/>
      <c r="V1049" s="48" t="str"/>
      <c r="W1049" s="58" t="str"/>
      <c r="X1049" s="42" t="n"/>
      <c r="Y1049" s="42" t="n"/>
    </row>
    <row r="1050">
      <c r="B1050" s="2">
        <f>IF(STUDENTS!B1049="","",STUDENTS!B1049)</f>
        <v/>
      </c>
      <c r="C1050" s="44">
        <f>IFERROR(IF(B1050="","",_xlfn.XLOOKUP(B1050,STUDENTS!$B$3:$B$1048576,STUDENTS!$C$3:$C$1048576)),"Enter a registered reg. no")</f>
        <v/>
      </c>
      <c r="D1050" s="52">
        <f t="array" ref="D1050:W1050">IF(All_Students_Scores!C1048:V1048="","",All_Students_Scores!C1048:V1048)</f>
        <v/>
      </c>
      <c r="E1050" s="57" t="str"/>
      <c r="F1050" s="49" t="str"/>
      <c r="G1050" s="59" t="str"/>
      <c r="H1050" s="64" t="str"/>
      <c r="I1050" s="65" t="str"/>
      <c r="J1050" s="66" t="str"/>
      <c r="K1050" s="67" t="str"/>
      <c r="L1050" s="41" t="str"/>
      <c r="M1050" s="41" t="str"/>
      <c r="N1050" s="66" t="str"/>
      <c r="O1050" s="67" t="str"/>
      <c r="P1050" s="41" t="str"/>
      <c r="Q1050" s="41" t="str"/>
      <c r="R1050" s="66" t="str"/>
      <c r="S1050" s="67" t="str"/>
      <c r="T1050" s="41" t="str"/>
      <c r="U1050" s="41" t="str"/>
      <c r="V1050" s="66" t="str"/>
      <c r="W1050" s="67" t="str"/>
    </row>
    <row r="1051">
      <c r="B1051" s="2">
        <f>IF(STUDENTS!B1050="","",STUDENTS!B1050)</f>
        <v/>
      </c>
      <c r="C1051" s="44">
        <f>IFERROR(IF(B1051="","",_xlfn.XLOOKUP(B1051,STUDENTS!$B$3:$B$1048576,STUDENTS!$C$3:$C$1048576)),"Enter a registered reg. no")</f>
        <v/>
      </c>
      <c r="D1051" s="52">
        <f t="array" ref="D1051:W1051">IF(All_Students_Scores!C1049:V1049="","",All_Students_Scores!C1049:V1049)</f>
        <v/>
      </c>
      <c r="E1051" s="55" t="str"/>
      <c r="F1051" s="48" t="str"/>
      <c r="G1051" s="58" t="str"/>
      <c r="H1051" s="62" t="str"/>
      <c r="I1051" s="63" t="str"/>
      <c r="J1051" s="48" t="str"/>
      <c r="K1051" s="58" t="str"/>
      <c r="L1051" s="42" t="str"/>
      <c r="M1051" s="42" t="str"/>
      <c r="N1051" s="48" t="str"/>
      <c r="O1051" s="58" t="str"/>
      <c r="P1051" s="42" t="str"/>
      <c r="Q1051" s="42" t="str"/>
      <c r="R1051" s="48" t="str"/>
      <c r="S1051" s="58" t="str"/>
      <c r="T1051" s="42" t="str"/>
      <c r="U1051" s="42" t="str"/>
      <c r="V1051" s="48" t="str"/>
      <c r="W1051" s="58" t="str"/>
      <c r="X1051" s="42" t="n"/>
      <c r="Y1051" s="42" t="n"/>
    </row>
    <row r="1052">
      <c r="B1052" s="2">
        <f>IF(STUDENTS!B1051="","",STUDENTS!B1051)</f>
        <v/>
      </c>
      <c r="C1052" s="44">
        <f>IFERROR(IF(B1052="","",_xlfn.XLOOKUP(B1052,STUDENTS!$B$3:$B$1048576,STUDENTS!$C$3:$C$1048576)),"Enter a registered reg. no")</f>
        <v/>
      </c>
      <c r="D1052" s="52">
        <f t="array" ref="D1052:W1052">IF(All_Students_Scores!C1050:V1050="","",All_Students_Scores!C1050:V1050)</f>
        <v/>
      </c>
      <c r="E1052" s="57" t="str"/>
      <c r="F1052" s="49" t="str"/>
      <c r="G1052" s="59" t="str"/>
      <c r="H1052" s="64" t="str"/>
      <c r="I1052" s="65" t="str"/>
      <c r="J1052" s="66" t="str"/>
      <c r="K1052" s="67" t="str"/>
      <c r="L1052" s="41" t="str"/>
      <c r="M1052" s="41" t="str"/>
      <c r="N1052" s="66" t="str"/>
      <c r="O1052" s="67" t="str"/>
      <c r="P1052" s="41" t="str"/>
      <c r="Q1052" s="41" t="str"/>
      <c r="R1052" s="66" t="str"/>
      <c r="S1052" s="67" t="str"/>
      <c r="T1052" s="41" t="str"/>
      <c r="U1052" s="41" t="str"/>
      <c r="V1052" s="66" t="str"/>
      <c r="W1052" s="67" t="str"/>
    </row>
    <row r="1053">
      <c r="B1053" s="2">
        <f>IF(STUDENTS!B1052="","",STUDENTS!B1052)</f>
        <v/>
      </c>
      <c r="C1053" s="44">
        <f>IFERROR(IF(B1053="","",_xlfn.XLOOKUP(B1053,STUDENTS!$B$3:$B$1048576,STUDENTS!$C$3:$C$1048576)),"Enter a registered reg. no")</f>
        <v/>
      </c>
      <c r="D1053" s="52">
        <f t="array" ref="D1053:W1053">IF(All_Students_Scores!C1051:V1051="","",All_Students_Scores!C1051:V1051)</f>
        <v/>
      </c>
      <c r="E1053" s="55" t="str"/>
      <c r="F1053" s="48" t="str"/>
      <c r="G1053" s="58" t="str"/>
      <c r="H1053" s="62" t="str"/>
      <c r="I1053" s="63" t="str"/>
      <c r="J1053" s="48" t="str"/>
      <c r="K1053" s="58" t="str"/>
      <c r="L1053" s="42" t="str"/>
      <c r="M1053" s="42" t="str"/>
      <c r="N1053" s="48" t="str"/>
      <c r="O1053" s="58" t="str"/>
      <c r="P1053" s="42" t="str"/>
      <c r="Q1053" s="42" t="str"/>
      <c r="R1053" s="48" t="str"/>
      <c r="S1053" s="58" t="str"/>
      <c r="T1053" s="42" t="str"/>
      <c r="U1053" s="42" t="str"/>
      <c r="V1053" s="48" t="str"/>
      <c r="W1053" s="58" t="str"/>
      <c r="X1053" s="42" t="n"/>
      <c r="Y1053" s="42" t="n"/>
    </row>
    <row r="1054">
      <c r="B1054" s="2">
        <f>IF(STUDENTS!B1053="","",STUDENTS!B1053)</f>
        <v/>
      </c>
      <c r="C1054" s="44">
        <f>IFERROR(IF(B1054="","",_xlfn.XLOOKUP(B1054,STUDENTS!$B$3:$B$1048576,STUDENTS!$C$3:$C$1048576)),"Enter a registered reg. no")</f>
        <v/>
      </c>
      <c r="D1054" s="52">
        <f t="array" ref="D1054:W1054">IF(All_Students_Scores!C1052:V1052="","",All_Students_Scores!C1052:V1052)</f>
        <v/>
      </c>
      <c r="E1054" s="57" t="str"/>
      <c r="F1054" s="49" t="str"/>
      <c r="G1054" s="59" t="str"/>
      <c r="H1054" s="64" t="str"/>
      <c r="I1054" s="65" t="str"/>
      <c r="J1054" s="66" t="str"/>
      <c r="K1054" s="67" t="str"/>
      <c r="L1054" s="41" t="str"/>
      <c r="M1054" s="41" t="str"/>
      <c r="N1054" s="66" t="str"/>
      <c r="O1054" s="67" t="str"/>
      <c r="P1054" s="41" t="str"/>
      <c r="Q1054" s="41" t="str"/>
      <c r="R1054" s="66" t="str"/>
      <c r="S1054" s="67" t="str"/>
      <c r="T1054" s="41" t="str"/>
      <c r="U1054" s="41" t="str"/>
      <c r="V1054" s="66" t="str"/>
      <c r="W1054" s="67" t="str"/>
    </row>
    <row r="1055">
      <c r="B1055" s="2">
        <f>IF(STUDENTS!B1054="","",STUDENTS!B1054)</f>
        <v/>
      </c>
      <c r="C1055" s="44">
        <f>IFERROR(IF(B1055="","",_xlfn.XLOOKUP(B1055,STUDENTS!$B$3:$B$1048576,STUDENTS!$C$3:$C$1048576)),"Enter a registered reg. no")</f>
        <v/>
      </c>
      <c r="D1055" s="52">
        <f t="array" ref="D1055:W1055">IF(All_Students_Scores!C1053:V1053="","",All_Students_Scores!C1053:V1053)</f>
        <v/>
      </c>
      <c r="E1055" s="55" t="str"/>
      <c r="F1055" s="48" t="str"/>
      <c r="G1055" s="58" t="str"/>
      <c r="H1055" s="62" t="str"/>
      <c r="I1055" s="63" t="str"/>
      <c r="J1055" s="48" t="str"/>
      <c r="K1055" s="58" t="str"/>
      <c r="L1055" s="42" t="str"/>
      <c r="M1055" s="42" t="str"/>
      <c r="N1055" s="48" t="str"/>
      <c r="O1055" s="58" t="str"/>
      <c r="P1055" s="42" t="str"/>
      <c r="Q1055" s="42" t="str"/>
      <c r="R1055" s="48" t="str"/>
      <c r="S1055" s="58" t="str"/>
      <c r="T1055" s="42" t="str"/>
      <c r="U1055" s="42" t="str"/>
      <c r="V1055" s="48" t="str"/>
      <c r="W1055" s="58" t="str"/>
      <c r="X1055" s="42" t="n"/>
      <c r="Y1055" s="42" t="n"/>
    </row>
    <row r="1056">
      <c r="B1056" s="2">
        <f>IF(STUDENTS!B1055="","",STUDENTS!B1055)</f>
        <v/>
      </c>
      <c r="C1056" s="44">
        <f>IFERROR(IF(B1056="","",_xlfn.XLOOKUP(B1056,STUDENTS!$B$3:$B$1048576,STUDENTS!$C$3:$C$1048576)),"Enter a registered reg. no")</f>
        <v/>
      </c>
      <c r="D1056" s="52">
        <f t="array" ref="D1056:W1056">IF(All_Students_Scores!C1054:V1054="","",All_Students_Scores!C1054:V1054)</f>
        <v/>
      </c>
      <c r="E1056" s="57" t="str"/>
      <c r="F1056" s="49" t="str"/>
      <c r="G1056" s="59" t="str"/>
      <c r="H1056" s="64" t="str"/>
      <c r="I1056" s="65" t="str"/>
      <c r="J1056" s="66" t="str"/>
      <c r="K1056" s="67" t="str"/>
      <c r="L1056" s="41" t="str"/>
      <c r="M1056" s="41" t="str"/>
      <c r="N1056" s="66" t="str"/>
      <c r="O1056" s="67" t="str"/>
      <c r="P1056" s="41" t="str"/>
      <c r="Q1056" s="41" t="str"/>
      <c r="R1056" s="66" t="str"/>
      <c r="S1056" s="67" t="str"/>
      <c r="T1056" s="41" t="str"/>
      <c r="U1056" s="41" t="str"/>
      <c r="V1056" s="66" t="str"/>
      <c r="W1056" s="67" t="str"/>
    </row>
    <row r="1057">
      <c r="B1057" s="2">
        <f>IF(STUDENTS!B1056="","",STUDENTS!B1056)</f>
        <v/>
      </c>
      <c r="C1057" s="44">
        <f>IFERROR(IF(B1057="","",_xlfn.XLOOKUP(B1057,STUDENTS!$B$3:$B$1048576,STUDENTS!$C$3:$C$1048576)),"Enter a registered reg. no")</f>
        <v/>
      </c>
      <c r="D1057" s="52">
        <f t="array" ref="D1057:W1057">IF(All_Students_Scores!C1055:V1055="","",All_Students_Scores!C1055:V1055)</f>
        <v/>
      </c>
      <c r="E1057" s="55" t="str"/>
      <c r="F1057" s="48" t="str"/>
      <c r="G1057" s="58" t="str"/>
      <c r="H1057" s="62" t="str"/>
      <c r="I1057" s="63" t="str"/>
      <c r="J1057" s="48" t="str"/>
      <c r="K1057" s="58" t="str"/>
      <c r="L1057" s="42" t="str"/>
      <c r="M1057" s="42" t="str"/>
      <c r="N1057" s="48" t="str"/>
      <c r="O1057" s="58" t="str"/>
      <c r="P1057" s="42" t="str"/>
      <c r="Q1057" s="42" t="str"/>
      <c r="R1057" s="48" t="str"/>
      <c r="S1057" s="58" t="str"/>
      <c r="T1057" s="42" t="str"/>
      <c r="U1057" s="42" t="str"/>
      <c r="V1057" s="48" t="str"/>
      <c r="W1057" s="58" t="str"/>
      <c r="X1057" s="42" t="n"/>
      <c r="Y1057" s="42" t="n"/>
    </row>
    <row r="1058">
      <c r="B1058" s="2">
        <f>IF(STUDENTS!B1057="","",STUDENTS!B1057)</f>
        <v/>
      </c>
      <c r="C1058" s="44">
        <f>IFERROR(IF(B1058="","",_xlfn.XLOOKUP(B1058,STUDENTS!$B$3:$B$1048576,STUDENTS!$C$3:$C$1048576)),"Enter a registered reg. no")</f>
        <v/>
      </c>
      <c r="D1058" s="52">
        <f t="array" ref="D1058:W1058">IF(All_Students_Scores!C1056:V1056="","",All_Students_Scores!C1056:V1056)</f>
        <v/>
      </c>
      <c r="E1058" s="57" t="str"/>
      <c r="F1058" s="49" t="str"/>
      <c r="G1058" s="59" t="str"/>
      <c r="H1058" s="64" t="str"/>
      <c r="I1058" s="65" t="str"/>
      <c r="J1058" s="66" t="str"/>
      <c r="K1058" s="67" t="str"/>
      <c r="L1058" s="41" t="str"/>
      <c r="M1058" s="41" t="str"/>
      <c r="N1058" s="66" t="str"/>
      <c r="O1058" s="67" t="str"/>
      <c r="P1058" s="41" t="str"/>
      <c r="Q1058" s="41" t="str"/>
      <c r="R1058" s="66" t="str"/>
      <c r="S1058" s="67" t="str"/>
      <c r="T1058" s="41" t="str"/>
      <c r="U1058" s="41" t="str"/>
      <c r="V1058" s="66" t="str"/>
      <c r="W1058" s="67" t="str"/>
    </row>
    <row r="1059">
      <c r="B1059" s="2">
        <f>IF(STUDENTS!B1058="","",STUDENTS!B1058)</f>
        <v/>
      </c>
      <c r="C1059" s="44">
        <f>IFERROR(IF(B1059="","",_xlfn.XLOOKUP(B1059,STUDENTS!$B$3:$B$1048576,STUDENTS!$C$3:$C$1048576)),"Enter a registered reg. no")</f>
        <v/>
      </c>
      <c r="D1059" s="52">
        <f t="array" ref="D1059:W1059">IF(All_Students_Scores!C1057:V1057="","",All_Students_Scores!C1057:V1057)</f>
        <v/>
      </c>
      <c r="E1059" s="55" t="str"/>
      <c r="F1059" s="48" t="str"/>
      <c r="G1059" s="58" t="str"/>
      <c r="H1059" s="62" t="str"/>
      <c r="I1059" s="63" t="str"/>
      <c r="J1059" s="48" t="str"/>
      <c r="K1059" s="58" t="str"/>
      <c r="L1059" s="42" t="str"/>
      <c r="M1059" s="42" t="str"/>
      <c r="N1059" s="48" t="str"/>
      <c r="O1059" s="58" t="str"/>
      <c r="P1059" s="42" t="str"/>
      <c r="Q1059" s="42" t="str"/>
      <c r="R1059" s="48" t="str"/>
      <c r="S1059" s="58" t="str"/>
      <c r="T1059" s="42" t="str"/>
      <c r="U1059" s="42" t="str"/>
      <c r="V1059" s="48" t="str"/>
      <c r="W1059" s="58" t="str"/>
      <c r="X1059" s="42" t="n"/>
      <c r="Y1059" s="42" t="n"/>
    </row>
    <row r="1060">
      <c r="B1060" s="2">
        <f>IF(STUDENTS!B1059="","",STUDENTS!B1059)</f>
        <v/>
      </c>
      <c r="C1060" s="44">
        <f>IFERROR(IF(B1060="","",_xlfn.XLOOKUP(B1060,STUDENTS!$B$3:$B$1048576,STUDENTS!$C$3:$C$1048576)),"Enter a registered reg. no")</f>
        <v/>
      </c>
      <c r="D1060" s="52">
        <f t="array" ref="D1060:W1060">IF(All_Students_Scores!C1058:V1058="","",All_Students_Scores!C1058:V1058)</f>
        <v/>
      </c>
      <c r="E1060" s="57" t="str"/>
      <c r="F1060" s="49" t="str"/>
      <c r="G1060" s="59" t="str"/>
      <c r="H1060" s="64" t="str"/>
      <c r="I1060" s="65" t="str"/>
      <c r="J1060" s="66" t="str"/>
      <c r="K1060" s="67" t="str"/>
      <c r="L1060" s="41" t="str"/>
      <c r="M1060" s="41" t="str"/>
      <c r="N1060" s="66" t="str"/>
      <c r="O1060" s="67" t="str"/>
      <c r="P1060" s="41" t="str"/>
      <c r="Q1060" s="41" t="str"/>
      <c r="R1060" s="66" t="str"/>
      <c r="S1060" s="67" t="str"/>
      <c r="T1060" s="41" t="str"/>
      <c r="U1060" s="41" t="str"/>
      <c r="V1060" s="66" t="str"/>
      <c r="W1060" s="67" t="str"/>
    </row>
    <row r="1061">
      <c r="B1061" s="2">
        <f>IF(STUDENTS!B1060="","",STUDENTS!B1060)</f>
        <v/>
      </c>
      <c r="C1061" s="44">
        <f>IFERROR(IF(B1061="","",_xlfn.XLOOKUP(B1061,STUDENTS!$B$3:$B$1048576,STUDENTS!$C$3:$C$1048576)),"Enter a registered reg. no")</f>
        <v/>
      </c>
      <c r="D1061" s="52">
        <f t="array" ref="D1061:W1061">IF(All_Students_Scores!C1059:V1059="","",All_Students_Scores!C1059:V1059)</f>
        <v/>
      </c>
      <c r="E1061" s="55" t="str"/>
      <c r="F1061" s="48" t="str"/>
      <c r="G1061" s="58" t="str"/>
      <c r="H1061" s="62" t="str"/>
      <c r="I1061" s="63" t="str"/>
      <c r="J1061" s="48" t="str"/>
      <c r="K1061" s="58" t="str"/>
      <c r="L1061" s="42" t="str"/>
      <c r="M1061" s="42" t="str"/>
      <c r="N1061" s="48" t="str"/>
      <c r="O1061" s="58" t="str"/>
      <c r="P1061" s="42" t="str"/>
      <c r="Q1061" s="42" t="str"/>
      <c r="R1061" s="48" t="str"/>
      <c r="S1061" s="58" t="str"/>
      <c r="T1061" s="42" t="str"/>
      <c r="U1061" s="42" t="str"/>
      <c r="V1061" s="48" t="str"/>
      <c r="W1061" s="58" t="str"/>
      <c r="X1061" s="42" t="n"/>
      <c r="Y1061" s="42" t="n"/>
    </row>
    <row r="1062">
      <c r="B1062" s="2">
        <f>IF(STUDENTS!B1061="","",STUDENTS!B1061)</f>
        <v/>
      </c>
      <c r="C1062" s="44">
        <f>IFERROR(IF(B1062="","",_xlfn.XLOOKUP(B1062,STUDENTS!$B$3:$B$1048576,STUDENTS!$C$3:$C$1048576)),"Enter a registered reg. no")</f>
        <v/>
      </c>
      <c r="D1062" s="52">
        <f t="array" ref="D1062:W1062">IF(All_Students_Scores!C1060:V1060="","",All_Students_Scores!C1060:V1060)</f>
        <v/>
      </c>
      <c r="E1062" s="57" t="str"/>
      <c r="F1062" s="49" t="str"/>
      <c r="G1062" s="59" t="str"/>
      <c r="H1062" s="64" t="str"/>
      <c r="I1062" s="65" t="str"/>
      <c r="J1062" s="66" t="str"/>
      <c r="K1062" s="67" t="str"/>
      <c r="L1062" s="41" t="str"/>
      <c r="M1062" s="41" t="str"/>
      <c r="N1062" s="66" t="str"/>
      <c r="O1062" s="67" t="str"/>
      <c r="P1062" s="41" t="str"/>
      <c r="Q1062" s="41" t="str"/>
      <c r="R1062" s="66" t="str"/>
      <c r="S1062" s="67" t="str"/>
      <c r="T1062" s="41" t="str"/>
      <c r="U1062" s="41" t="str"/>
      <c r="V1062" s="66" t="str"/>
      <c r="W1062" s="67" t="str"/>
    </row>
    <row r="1063">
      <c r="B1063" s="2">
        <f>IF(STUDENTS!B1062="","",STUDENTS!B1062)</f>
        <v/>
      </c>
      <c r="C1063" s="44">
        <f>IFERROR(IF(B1063="","",_xlfn.XLOOKUP(B1063,STUDENTS!$B$3:$B$1048576,STUDENTS!$C$3:$C$1048576)),"Enter a registered reg. no")</f>
        <v/>
      </c>
      <c r="D1063" s="52">
        <f t="array" ref="D1063:W1063">IF(All_Students_Scores!C1061:V1061="","",All_Students_Scores!C1061:V1061)</f>
        <v/>
      </c>
      <c r="E1063" s="55" t="str"/>
      <c r="F1063" s="48" t="str"/>
      <c r="G1063" s="58" t="str"/>
      <c r="H1063" s="62" t="str"/>
      <c r="I1063" s="63" t="str"/>
      <c r="J1063" s="48" t="str"/>
      <c r="K1063" s="58" t="str"/>
      <c r="L1063" s="42" t="str"/>
      <c r="M1063" s="42" t="str"/>
      <c r="N1063" s="48" t="str"/>
      <c r="O1063" s="58" t="str"/>
      <c r="P1063" s="42" t="str"/>
      <c r="Q1063" s="42" t="str"/>
      <c r="R1063" s="48" t="str"/>
      <c r="S1063" s="58" t="str"/>
      <c r="T1063" s="42" t="str"/>
      <c r="U1063" s="42" t="str"/>
      <c r="V1063" s="48" t="str"/>
      <c r="W1063" s="58" t="str"/>
      <c r="X1063" s="42" t="n"/>
      <c r="Y1063" s="42" t="n"/>
    </row>
    <row r="1064">
      <c r="B1064" s="2">
        <f>IF(STUDENTS!B1063="","",STUDENTS!B1063)</f>
        <v/>
      </c>
      <c r="C1064" s="44">
        <f>IFERROR(IF(B1064="","",_xlfn.XLOOKUP(B1064,STUDENTS!$B$3:$B$1048576,STUDENTS!$C$3:$C$1048576)),"Enter a registered reg. no")</f>
        <v/>
      </c>
      <c r="D1064" s="52">
        <f t="array" ref="D1064:W1064">IF(All_Students_Scores!C1062:V1062="","",All_Students_Scores!C1062:V1062)</f>
        <v/>
      </c>
      <c r="E1064" s="57" t="str"/>
      <c r="F1064" s="49" t="str"/>
      <c r="G1064" s="59" t="str"/>
      <c r="H1064" s="64" t="str"/>
      <c r="I1064" s="65" t="str"/>
      <c r="J1064" s="66" t="str"/>
      <c r="K1064" s="67" t="str"/>
      <c r="L1064" s="41" t="str"/>
      <c r="M1064" s="41" t="str"/>
      <c r="N1064" s="66" t="str"/>
      <c r="O1064" s="67" t="str"/>
      <c r="P1064" s="41" t="str"/>
      <c r="Q1064" s="41" t="str"/>
      <c r="R1064" s="66" t="str"/>
      <c r="S1064" s="67" t="str"/>
      <c r="T1064" s="41" t="str"/>
      <c r="U1064" s="41" t="str"/>
      <c r="V1064" s="66" t="str"/>
      <c r="W1064" s="67" t="str"/>
    </row>
    <row r="1065">
      <c r="B1065" s="2">
        <f>IF(STUDENTS!B1064="","",STUDENTS!B1064)</f>
        <v/>
      </c>
      <c r="C1065" s="44">
        <f>IFERROR(IF(B1065="","",_xlfn.XLOOKUP(B1065,STUDENTS!$B$3:$B$1048576,STUDENTS!$C$3:$C$1048576)),"Enter a registered reg. no")</f>
        <v/>
      </c>
      <c r="D1065" s="52">
        <f t="array" ref="D1065:W1065">IF(All_Students_Scores!C1063:V1063="","",All_Students_Scores!C1063:V1063)</f>
        <v/>
      </c>
      <c r="E1065" s="55" t="str"/>
      <c r="F1065" s="48" t="str"/>
      <c r="G1065" s="58" t="str"/>
      <c r="H1065" s="62" t="str"/>
      <c r="I1065" s="63" t="str"/>
      <c r="J1065" s="48" t="str"/>
      <c r="K1065" s="58" t="str"/>
      <c r="L1065" s="42" t="str"/>
      <c r="M1065" s="42" t="str"/>
      <c r="N1065" s="48" t="str"/>
      <c r="O1065" s="58" t="str"/>
      <c r="P1065" s="42" t="str"/>
      <c r="Q1065" s="42" t="str"/>
      <c r="R1065" s="48" t="str"/>
      <c r="S1065" s="58" t="str"/>
      <c r="T1065" s="42" t="str"/>
      <c r="U1065" s="42" t="str"/>
      <c r="V1065" s="48" t="str"/>
      <c r="W1065" s="58" t="str"/>
      <c r="X1065" s="42" t="n"/>
      <c r="Y1065" s="42" t="n"/>
    </row>
    <row r="1066">
      <c r="B1066" s="2">
        <f>IF(STUDENTS!B1065="","",STUDENTS!B1065)</f>
        <v/>
      </c>
      <c r="C1066" s="44">
        <f>IFERROR(IF(B1066="","",_xlfn.XLOOKUP(B1066,STUDENTS!$B$3:$B$1048576,STUDENTS!$C$3:$C$1048576)),"Enter a registered reg. no")</f>
        <v/>
      </c>
      <c r="D1066" s="52">
        <f t="array" ref="D1066:W1066">IF(All_Students_Scores!C1064:V1064="","",All_Students_Scores!C1064:V1064)</f>
        <v/>
      </c>
      <c r="E1066" s="57" t="str"/>
      <c r="F1066" s="49" t="str"/>
      <c r="G1066" s="59" t="str"/>
      <c r="H1066" s="64" t="str"/>
      <c r="I1066" s="65" t="str"/>
      <c r="J1066" s="66" t="str"/>
      <c r="K1066" s="67" t="str"/>
      <c r="L1066" s="41" t="str"/>
      <c r="M1066" s="41" t="str"/>
      <c r="N1066" s="66" t="str"/>
      <c r="O1066" s="67" t="str"/>
      <c r="P1066" s="41" t="str"/>
      <c r="Q1066" s="41" t="str"/>
      <c r="R1066" s="66" t="str"/>
      <c r="S1066" s="67" t="str"/>
      <c r="T1066" s="41" t="str"/>
      <c r="U1066" s="41" t="str"/>
      <c r="V1066" s="66" t="str"/>
      <c r="W1066" s="67" t="str"/>
    </row>
    <row r="1067">
      <c r="B1067" s="2">
        <f>IF(STUDENTS!B1066="","",STUDENTS!B1066)</f>
        <v/>
      </c>
      <c r="C1067" s="44">
        <f>IFERROR(IF(B1067="","",_xlfn.XLOOKUP(B1067,STUDENTS!$B$3:$B$1048576,STUDENTS!$C$3:$C$1048576)),"Enter a registered reg. no")</f>
        <v/>
      </c>
      <c r="D1067" s="52">
        <f t="array" ref="D1067:W1067">IF(All_Students_Scores!C1065:V1065="","",All_Students_Scores!C1065:V1065)</f>
        <v/>
      </c>
      <c r="E1067" s="55" t="str"/>
      <c r="F1067" s="48" t="str"/>
      <c r="G1067" s="58" t="str"/>
      <c r="H1067" s="62" t="str"/>
      <c r="I1067" s="63" t="str"/>
      <c r="J1067" s="48" t="str"/>
      <c r="K1067" s="58" t="str"/>
      <c r="L1067" s="42" t="str"/>
      <c r="M1067" s="42" t="str"/>
      <c r="N1067" s="48" t="str"/>
      <c r="O1067" s="58" t="str"/>
      <c r="P1067" s="42" t="str"/>
      <c r="Q1067" s="42" t="str"/>
      <c r="R1067" s="48" t="str"/>
      <c r="S1067" s="58" t="str"/>
      <c r="T1067" s="42" t="str"/>
      <c r="U1067" s="42" t="str"/>
      <c r="V1067" s="48" t="str"/>
      <c r="W1067" s="58" t="str"/>
      <c r="X1067" s="42" t="n"/>
      <c r="Y1067" s="42" t="n"/>
    </row>
    <row r="1068">
      <c r="B1068" s="2">
        <f>IF(STUDENTS!B1067="","",STUDENTS!B1067)</f>
        <v/>
      </c>
      <c r="C1068" s="44">
        <f>IFERROR(IF(B1068="","",_xlfn.XLOOKUP(B1068,STUDENTS!$B$3:$B$1048576,STUDENTS!$C$3:$C$1048576)),"Enter a registered reg. no")</f>
        <v/>
      </c>
      <c r="D1068" s="52">
        <f t="array" ref="D1068:W1068">IF(All_Students_Scores!C1066:V1066="","",All_Students_Scores!C1066:V1066)</f>
        <v/>
      </c>
      <c r="E1068" s="57" t="str"/>
      <c r="F1068" s="49" t="str"/>
      <c r="G1068" s="59" t="str"/>
      <c r="H1068" s="64" t="str"/>
      <c r="I1068" s="65" t="str"/>
      <c r="J1068" s="66" t="str"/>
      <c r="K1068" s="67" t="str"/>
      <c r="L1068" s="41" t="str"/>
      <c r="M1068" s="41" t="str"/>
      <c r="N1068" s="66" t="str"/>
      <c r="O1068" s="67" t="str"/>
      <c r="P1068" s="41" t="str"/>
      <c r="Q1068" s="41" t="str"/>
      <c r="R1068" s="66" t="str"/>
      <c r="S1068" s="67" t="str"/>
      <c r="T1068" s="41" t="str"/>
      <c r="U1068" s="41" t="str"/>
      <c r="V1068" s="66" t="str"/>
      <c r="W1068" s="67" t="str"/>
    </row>
    <row r="1069">
      <c r="B1069" s="2">
        <f>IF(STUDENTS!B1068="","",STUDENTS!B1068)</f>
        <v/>
      </c>
      <c r="C1069" s="44">
        <f>IFERROR(IF(B1069="","",_xlfn.XLOOKUP(B1069,STUDENTS!$B$3:$B$1048576,STUDENTS!$C$3:$C$1048576)),"Enter a registered reg. no")</f>
        <v/>
      </c>
      <c r="D1069" s="52">
        <f t="array" ref="D1069:W1069">IF(All_Students_Scores!C1067:V1067="","",All_Students_Scores!C1067:V1067)</f>
        <v/>
      </c>
      <c r="E1069" s="55" t="str"/>
      <c r="F1069" s="48" t="str"/>
      <c r="G1069" s="58" t="str"/>
      <c r="H1069" s="62" t="str"/>
      <c r="I1069" s="63" t="str"/>
      <c r="J1069" s="48" t="str"/>
      <c r="K1069" s="58" t="str"/>
      <c r="L1069" s="42" t="str"/>
      <c r="M1069" s="42" t="str"/>
      <c r="N1069" s="48" t="str"/>
      <c r="O1069" s="58" t="str"/>
      <c r="P1069" s="42" t="str"/>
      <c r="Q1069" s="42" t="str"/>
      <c r="R1069" s="48" t="str"/>
      <c r="S1069" s="58" t="str"/>
      <c r="T1069" s="42" t="str"/>
      <c r="U1069" s="42" t="str"/>
      <c r="V1069" s="48" t="str"/>
      <c r="W1069" s="58" t="str"/>
      <c r="X1069" s="42" t="n"/>
      <c r="Y1069" s="42" t="n"/>
    </row>
    <row r="1070">
      <c r="B1070" s="2">
        <f>IF(STUDENTS!B1069="","",STUDENTS!B1069)</f>
        <v/>
      </c>
      <c r="C1070" s="44">
        <f>IFERROR(IF(B1070="","",_xlfn.XLOOKUP(B1070,STUDENTS!$B$3:$B$1048576,STUDENTS!$C$3:$C$1048576)),"Enter a registered reg. no")</f>
        <v/>
      </c>
      <c r="D1070" s="52">
        <f t="array" ref="D1070:W1070">IF(All_Students_Scores!C1068:V1068="","",All_Students_Scores!C1068:V1068)</f>
        <v/>
      </c>
      <c r="E1070" s="57" t="str"/>
      <c r="F1070" s="49" t="str"/>
      <c r="G1070" s="59" t="str"/>
      <c r="H1070" s="64" t="str"/>
      <c r="I1070" s="65" t="str"/>
      <c r="J1070" s="66" t="str"/>
      <c r="K1070" s="67" t="str"/>
      <c r="L1070" s="41" t="str"/>
      <c r="M1070" s="41" t="str"/>
      <c r="N1070" s="66" t="str"/>
      <c r="O1070" s="67" t="str"/>
      <c r="P1070" s="41" t="str"/>
      <c r="Q1070" s="41" t="str"/>
      <c r="R1070" s="66" t="str"/>
      <c r="S1070" s="67" t="str"/>
      <c r="T1070" s="41" t="str"/>
      <c r="U1070" s="41" t="str"/>
      <c r="V1070" s="66" t="str"/>
      <c r="W1070" s="67" t="str"/>
    </row>
    <row r="1071">
      <c r="B1071" s="2">
        <f>IF(STUDENTS!B1070="","",STUDENTS!B1070)</f>
        <v/>
      </c>
      <c r="C1071" s="44">
        <f>IFERROR(IF(B1071="","",_xlfn.XLOOKUP(B1071,STUDENTS!$B$3:$B$1048576,STUDENTS!$C$3:$C$1048576)),"Enter a registered reg. no")</f>
        <v/>
      </c>
      <c r="D1071" s="52">
        <f t="array" ref="D1071:W1071">IF(All_Students_Scores!C1069:V1069="","",All_Students_Scores!C1069:V1069)</f>
        <v/>
      </c>
      <c r="E1071" s="55" t="str"/>
      <c r="F1071" s="48" t="str"/>
      <c r="G1071" s="58" t="str"/>
      <c r="H1071" s="62" t="str"/>
      <c r="I1071" s="63" t="str"/>
      <c r="J1071" s="48" t="str"/>
      <c r="K1071" s="58" t="str"/>
      <c r="L1071" s="42" t="str"/>
      <c r="M1071" s="42" t="str"/>
      <c r="N1071" s="48" t="str"/>
      <c r="O1071" s="58" t="str"/>
      <c r="P1071" s="42" t="str"/>
      <c r="Q1071" s="42" t="str"/>
      <c r="R1071" s="48" t="str"/>
      <c r="S1071" s="58" t="str"/>
      <c r="T1071" s="42" t="str"/>
      <c r="U1071" s="42" t="str"/>
      <c r="V1071" s="48" t="str"/>
      <c r="W1071" s="58" t="str"/>
      <c r="X1071" s="42" t="n"/>
      <c r="Y1071" s="42" t="n"/>
    </row>
    <row r="1072">
      <c r="B1072" s="2">
        <f>IF(STUDENTS!B1071="","",STUDENTS!B1071)</f>
        <v/>
      </c>
      <c r="C1072" s="44">
        <f>IFERROR(IF(B1072="","",_xlfn.XLOOKUP(B1072,STUDENTS!$B$3:$B$1048576,STUDENTS!$C$3:$C$1048576)),"Enter a registered reg. no")</f>
        <v/>
      </c>
      <c r="D1072" s="52">
        <f t="array" ref="D1072:W1072">IF(All_Students_Scores!C1070:V1070="","",All_Students_Scores!C1070:V1070)</f>
        <v/>
      </c>
      <c r="E1072" s="57" t="str"/>
      <c r="F1072" s="49" t="str"/>
      <c r="G1072" s="59" t="str"/>
      <c r="H1072" s="64" t="str"/>
      <c r="I1072" s="65" t="str"/>
      <c r="J1072" s="66" t="str"/>
      <c r="K1072" s="67" t="str"/>
      <c r="L1072" s="41" t="str"/>
      <c r="M1072" s="41" t="str"/>
      <c r="N1072" s="66" t="str"/>
      <c r="O1072" s="67" t="str"/>
      <c r="P1072" s="41" t="str"/>
      <c r="Q1072" s="41" t="str"/>
      <c r="R1072" s="66" t="str"/>
      <c r="S1072" s="67" t="str"/>
      <c r="T1072" s="41" t="str"/>
      <c r="U1072" s="41" t="str"/>
      <c r="V1072" s="66" t="str"/>
      <c r="W1072" s="67" t="str"/>
    </row>
    <row r="1073">
      <c r="B1073" s="2">
        <f>IF(STUDENTS!B1072="","",STUDENTS!B1072)</f>
        <v/>
      </c>
      <c r="C1073" s="44">
        <f>IFERROR(IF(B1073="","",_xlfn.XLOOKUP(B1073,STUDENTS!$B$3:$B$1048576,STUDENTS!$C$3:$C$1048576)),"Enter a registered reg. no")</f>
        <v/>
      </c>
      <c r="D1073" s="52">
        <f t="array" ref="D1073:W1073">IF(All_Students_Scores!C1071:V1071="","",All_Students_Scores!C1071:V1071)</f>
        <v/>
      </c>
      <c r="E1073" s="55" t="str"/>
      <c r="F1073" s="48" t="str"/>
      <c r="G1073" s="58" t="str"/>
      <c r="H1073" s="62" t="str"/>
      <c r="I1073" s="63" t="str"/>
      <c r="J1073" s="48" t="str"/>
      <c r="K1073" s="58" t="str"/>
      <c r="L1073" s="42" t="str"/>
      <c r="M1073" s="42" t="str"/>
      <c r="N1073" s="48" t="str"/>
      <c r="O1073" s="58" t="str"/>
      <c r="P1073" s="42" t="str"/>
      <c r="Q1073" s="42" t="str"/>
      <c r="R1073" s="48" t="str"/>
      <c r="S1073" s="58" t="str"/>
      <c r="T1073" s="42" t="str"/>
      <c r="U1073" s="42" t="str"/>
      <c r="V1073" s="48" t="str"/>
      <c r="W1073" s="58" t="str"/>
      <c r="X1073" s="42" t="n"/>
      <c r="Y1073" s="42" t="n"/>
    </row>
    <row r="1074">
      <c r="B1074" s="2">
        <f>IF(STUDENTS!B1073="","",STUDENTS!B1073)</f>
        <v/>
      </c>
      <c r="C1074" s="44">
        <f>IFERROR(IF(B1074="","",_xlfn.XLOOKUP(B1074,STUDENTS!$B$3:$B$1048576,STUDENTS!$C$3:$C$1048576)),"Enter a registered reg. no")</f>
        <v/>
      </c>
      <c r="D1074" s="52">
        <f t="array" ref="D1074:W1074">IF(All_Students_Scores!C1072:V1072="","",All_Students_Scores!C1072:V1072)</f>
        <v/>
      </c>
      <c r="E1074" s="57" t="str"/>
      <c r="F1074" s="49" t="str"/>
      <c r="G1074" s="59" t="str"/>
      <c r="H1074" s="64" t="str"/>
      <c r="I1074" s="65" t="str"/>
      <c r="J1074" s="66" t="str"/>
      <c r="K1074" s="67" t="str"/>
      <c r="L1074" s="41" t="str"/>
      <c r="M1074" s="41" t="str"/>
      <c r="N1074" s="66" t="str"/>
      <c r="O1074" s="67" t="str"/>
      <c r="P1074" s="41" t="str"/>
      <c r="Q1074" s="41" t="str"/>
      <c r="R1074" s="66" t="str"/>
      <c r="S1074" s="67" t="str"/>
      <c r="T1074" s="41" t="str"/>
      <c r="U1074" s="41" t="str"/>
      <c r="V1074" s="66" t="str"/>
      <c r="W1074" s="67" t="str"/>
    </row>
    <row r="1075">
      <c r="B1075" s="2">
        <f>IF(STUDENTS!B1074="","",STUDENTS!B1074)</f>
        <v/>
      </c>
      <c r="C1075" s="44">
        <f>IFERROR(IF(B1075="","",_xlfn.XLOOKUP(B1075,STUDENTS!$B$3:$B$1048576,STUDENTS!$C$3:$C$1048576)),"Enter a registered reg. no")</f>
        <v/>
      </c>
      <c r="D1075" s="52">
        <f t="array" ref="D1075:W1075">IF(All_Students_Scores!C1073:V1073="","",All_Students_Scores!C1073:V1073)</f>
        <v/>
      </c>
      <c r="E1075" s="55" t="str"/>
      <c r="F1075" s="48" t="str"/>
      <c r="G1075" s="58" t="str"/>
      <c r="H1075" s="62" t="str"/>
      <c r="I1075" s="63" t="str"/>
      <c r="J1075" s="48" t="str"/>
      <c r="K1075" s="58" t="str"/>
      <c r="L1075" s="42" t="str"/>
      <c r="M1075" s="42" t="str"/>
      <c r="N1075" s="48" t="str"/>
      <c r="O1075" s="58" t="str"/>
      <c r="P1075" s="42" t="str"/>
      <c r="Q1075" s="42" t="str"/>
      <c r="R1075" s="48" t="str"/>
      <c r="S1075" s="58" t="str"/>
      <c r="T1075" s="42" t="str"/>
      <c r="U1075" s="42" t="str"/>
      <c r="V1075" s="48" t="str"/>
      <c r="W1075" s="58" t="str"/>
      <c r="X1075" s="42" t="n"/>
      <c r="Y1075" s="42" t="n"/>
    </row>
    <row r="1076">
      <c r="B1076" s="2">
        <f>IF(STUDENTS!B1075="","",STUDENTS!B1075)</f>
        <v/>
      </c>
      <c r="C1076" s="44">
        <f>IFERROR(IF(B1076="","",_xlfn.XLOOKUP(B1076,STUDENTS!$B$3:$B$1048576,STUDENTS!$C$3:$C$1048576)),"Enter a registered reg. no")</f>
        <v/>
      </c>
      <c r="D1076" s="52">
        <f t="array" ref="D1076:W1076">IF(All_Students_Scores!C1074:V1074="","",All_Students_Scores!C1074:V1074)</f>
        <v/>
      </c>
      <c r="E1076" s="57" t="str"/>
      <c r="F1076" s="49" t="str"/>
      <c r="G1076" s="59" t="str"/>
      <c r="H1076" s="64" t="str"/>
      <c r="I1076" s="65" t="str"/>
      <c r="J1076" s="66" t="str"/>
      <c r="K1076" s="67" t="str"/>
      <c r="L1076" s="41" t="str"/>
      <c r="M1076" s="41" t="str"/>
      <c r="N1076" s="66" t="str"/>
      <c r="O1076" s="67" t="str"/>
      <c r="P1076" s="41" t="str"/>
      <c r="Q1076" s="41" t="str"/>
      <c r="R1076" s="66" t="str"/>
      <c r="S1076" s="67" t="str"/>
      <c r="T1076" s="41" t="str"/>
      <c r="U1076" s="41" t="str"/>
      <c r="V1076" s="66" t="str"/>
      <c r="W1076" s="67" t="str"/>
    </row>
    <row r="1077">
      <c r="B1077" s="2">
        <f>IF(STUDENTS!B1076="","",STUDENTS!B1076)</f>
        <v/>
      </c>
      <c r="C1077" s="44">
        <f>IFERROR(IF(B1077="","",_xlfn.XLOOKUP(B1077,STUDENTS!$B$3:$B$1048576,STUDENTS!$C$3:$C$1048576)),"Enter a registered reg. no")</f>
        <v/>
      </c>
      <c r="D1077" s="52">
        <f t="array" ref="D1077:W1077">IF(All_Students_Scores!C1075:V1075="","",All_Students_Scores!C1075:V1075)</f>
        <v/>
      </c>
      <c r="E1077" s="55" t="str"/>
      <c r="F1077" s="48" t="str"/>
      <c r="G1077" s="58" t="str"/>
      <c r="H1077" s="62" t="str"/>
      <c r="I1077" s="63" t="str"/>
      <c r="J1077" s="48" t="str"/>
      <c r="K1077" s="58" t="str"/>
      <c r="L1077" s="42" t="str"/>
      <c r="M1077" s="42" t="str"/>
      <c r="N1077" s="48" t="str"/>
      <c r="O1077" s="58" t="str"/>
      <c r="P1077" s="42" t="str"/>
      <c r="Q1077" s="42" t="str"/>
      <c r="R1077" s="48" t="str"/>
      <c r="S1077" s="58" t="str"/>
      <c r="T1077" s="42" t="str"/>
      <c r="U1077" s="42" t="str"/>
      <c r="V1077" s="48" t="str"/>
      <c r="W1077" s="58" t="str"/>
      <c r="X1077" s="42" t="n"/>
      <c r="Y1077" s="42" t="n"/>
    </row>
    <row r="1078">
      <c r="B1078" s="2">
        <f>IF(STUDENTS!B1077="","",STUDENTS!B1077)</f>
        <v/>
      </c>
      <c r="C1078" s="44">
        <f>IFERROR(IF(B1078="","",_xlfn.XLOOKUP(B1078,STUDENTS!$B$3:$B$1048576,STUDENTS!$C$3:$C$1048576)),"Enter a registered reg. no")</f>
        <v/>
      </c>
      <c r="D1078" s="52">
        <f t="array" ref="D1078:W1078">IF(All_Students_Scores!C1076:V1076="","",All_Students_Scores!C1076:V1076)</f>
        <v/>
      </c>
      <c r="E1078" s="57" t="str"/>
      <c r="F1078" s="49" t="str"/>
      <c r="G1078" s="59" t="str"/>
      <c r="H1078" s="64" t="str"/>
      <c r="I1078" s="65" t="str"/>
      <c r="J1078" s="66" t="str"/>
      <c r="K1078" s="67" t="str"/>
      <c r="L1078" s="41" t="str"/>
      <c r="M1078" s="41" t="str"/>
      <c r="N1078" s="66" t="str"/>
      <c r="O1078" s="67" t="str"/>
      <c r="P1078" s="41" t="str"/>
      <c r="Q1078" s="41" t="str"/>
      <c r="R1078" s="66" t="str"/>
      <c r="S1078" s="67" t="str"/>
      <c r="T1078" s="41" t="str"/>
      <c r="U1078" s="41" t="str"/>
      <c r="V1078" s="66" t="str"/>
      <c r="W1078" s="67" t="str"/>
    </row>
    <row r="1079">
      <c r="B1079" s="2">
        <f>IF(STUDENTS!B1078="","",STUDENTS!B1078)</f>
        <v/>
      </c>
      <c r="C1079" s="44">
        <f>IFERROR(IF(B1079="","",_xlfn.XLOOKUP(B1079,STUDENTS!$B$3:$B$1048576,STUDENTS!$C$3:$C$1048576)),"Enter a registered reg. no")</f>
        <v/>
      </c>
      <c r="D1079" s="52">
        <f t="array" ref="D1079:W1079">IF(All_Students_Scores!C1077:V1077="","",All_Students_Scores!C1077:V1077)</f>
        <v/>
      </c>
      <c r="E1079" s="55" t="str"/>
      <c r="F1079" s="48" t="str"/>
      <c r="G1079" s="58" t="str"/>
      <c r="H1079" s="62" t="str"/>
      <c r="I1079" s="63" t="str"/>
      <c r="J1079" s="48" t="str"/>
      <c r="K1079" s="58" t="str"/>
      <c r="L1079" s="42" t="str"/>
      <c r="M1079" s="42" t="str"/>
      <c r="N1079" s="48" t="str"/>
      <c r="O1079" s="58" t="str"/>
      <c r="P1079" s="42" t="str"/>
      <c r="Q1079" s="42" t="str"/>
      <c r="R1079" s="48" t="str"/>
      <c r="S1079" s="58" t="str"/>
      <c r="T1079" s="42" t="str"/>
      <c r="U1079" s="42" t="str"/>
      <c r="V1079" s="48" t="str"/>
      <c r="W1079" s="58" t="str"/>
      <c r="X1079" s="42" t="n"/>
      <c r="Y1079" s="42" t="n"/>
    </row>
    <row r="1080">
      <c r="B1080" s="2">
        <f>IF(STUDENTS!B1079="","",STUDENTS!B1079)</f>
        <v/>
      </c>
      <c r="C1080" s="44">
        <f>IFERROR(IF(B1080="","",_xlfn.XLOOKUP(B1080,STUDENTS!$B$3:$B$1048576,STUDENTS!$C$3:$C$1048576)),"Enter a registered reg. no")</f>
        <v/>
      </c>
      <c r="D1080" s="52">
        <f t="array" ref="D1080:W1080">IF(All_Students_Scores!C1078:V1078="","",All_Students_Scores!C1078:V1078)</f>
        <v/>
      </c>
      <c r="E1080" s="57" t="str"/>
      <c r="F1080" s="49" t="str"/>
      <c r="G1080" s="59" t="str"/>
      <c r="H1080" s="64" t="str"/>
      <c r="I1080" s="65" t="str"/>
      <c r="J1080" s="66" t="str"/>
      <c r="K1080" s="67" t="str"/>
      <c r="L1080" s="41" t="str"/>
      <c r="M1080" s="41" t="str"/>
      <c r="N1080" s="66" t="str"/>
      <c r="O1080" s="67" t="str"/>
      <c r="P1080" s="41" t="str"/>
      <c r="Q1080" s="41" t="str"/>
      <c r="R1080" s="66" t="str"/>
      <c r="S1080" s="67" t="str"/>
      <c r="T1080" s="41" t="str"/>
      <c r="U1080" s="41" t="str"/>
      <c r="V1080" s="66" t="str"/>
      <c r="W1080" s="67" t="str"/>
    </row>
    <row r="1081">
      <c r="B1081" s="2">
        <f>IF(STUDENTS!B1080="","",STUDENTS!B1080)</f>
        <v/>
      </c>
      <c r="C1081" s="44">
        <f>IFERROR(IF(B1081="","",_xlfn.XLOOKUP(B1081,STUDENTS!$B$3:$B$1048576,STUDENTS!$C$3:$C$1048576)),"Enter a registered reg. no")</f>
        <v/>
      </c>
      <c r="D1081" s="52">
        <f t="array" ref="D1081:W1081">IF(All_Students_Scores!C1079:V1079="","",All_Students_Scores!C1079:V1079)</f>
        <v/>
      </c>
      <c r="E1081" s="55" t="str"/>
      <c r="F1081" s="48" t="str"/>
      <c r="G1081" s="58" t="str"/>
      <c r="H1081" s="62" t="str"/>
      <c r="I1081" s="63" t="str"/>
      <c r="J1081" s="48" t="str"/>
      <c r="K1081" s="58" t="str"/>
      <c r="L1081" s="42" t="str"/>
      <c r="M1081" s="42" t="str"/>
      <c r="N1081" s="48" t="str"/>
      <c r="O1081" s="58" t="str"/>
      <c r="P1081" s="42" t="str"/>
      <c r="Q1081" s="42" t="str"/>
      <c r="R1081" s="48" t="str"/>
      <c r="S1081" s="58" t="str"/>
      <c r="T1081" s="42" t="str"/>
      <c r="U1081" s="42" t="str"/>
      <c r="V1081" s="48" t="str"/>
      <c r="W1081" s="58" t="str"/>
      <c r="X1081" s="42" t="n"/>
      <c r="Y1081" s="42" t="n"/>
    </row>
    <row r="1082">
      <c r="B1082" s="2">
        <f>IF(STUDENTS!B1081="","",STUDENTS!B1081)</f>
        <v/>
      </c>
      <c r="C1082" s="44">
        <f>IFERROR(IF(B1082="","",_xlfn.XLOOKUP(B1082,STUDENTS!$B$3:$B$1048576,STUDENTS!$C$3:$C$1048576)),"Enter a registered reg. no")</f>
        <v/>
      </c>
      <c r="D1082" s="52">
        <f t="array" ref="D1082:W1082">IF(All_Students_Scores!C1080:V1080="","",All_Students_Scores!C1080:V1080)</f>
        <v/>
      </c>
      <c r="E1082" s="57" t="str"/>
      <c r="F1082" s="49" t="str"/>
      <c r="G1082" s="59" t="str"/>
      <c r="H1082" s="64" t="str"/>
      <c r="I1082" s="65" t="str"/>
      <c r="J1082" s="66" t="str"/>
      <c r="K1082" s="67" t="str"/>
      <c r="L1082" s="41" t="str"/>
      <c r="M1082" s="41" t="str"/>
      <c r="N1082" s="66" t="str"/>
      <c r="O1082" s="67" t="str"/>
      <c r="P1082" s="41" t="str"/>
      <c r="Q1082" s="41" t="str"/>
      <c r="R1082" s="66" t="str"/>
      <c r="S1082" s="67" t="str"/>
      <c r="T1082" s="41" t="str"/>
      <c r="U1082" s="41" t="str"/>
      <c r="V1082" s="66" t="str"/>
      <c r="W1082" s="67" t="str"/>
    </row>
    <row r="1083">
      <c r="B1083" s="2">
        <f>IF(STUDENTS!B1082="","",STUDENTS!B1082)</f>
        <v/>
      </c>
      <c r="C1083" s="44">
        <f>IFERROR(IF(B1083="","",_xlfn.XLOOKUP(B1083,STUDENTS!$B$3:$B$1048576,STUDENTS!$C$3:$C$1048576)),"Enter a registered reg. no")</f>
        <v/>
      </c>
      <c r="D1083" s="52">
        <f t="array" ref="D1083:W1083">IF(All_Students_Scores!C1081:V1081="","",All_Students_Scores!C1081:V1081)</f>
        <v/>
      </c>
      <c r="E1083" s="55" t="str"/>
      <c r="F1083" s="48" t="str"/>
      <c r="G1083" s="58" t="str"/>
      <c r="H1083" s="62" t="str"/>
      <c r="I1083" s="63" t="str"/>
      <c r="J1083" s="48" t="str"/>
      <c r="K1083" s="58" t="str"/>
      <c r="L1083" s="42" t="str"/>
      <c r="M1083" s="42" t="str"/>
      <c r="N1083" s="48" t="str"/>
      <c r="O1083" s="58" t="str"/>
      <c r="P1083" s="42" t="str"/>
      <c r="Q1083" s="42" t="str"/>
      <c r="R1083" s="48" t="str"/>
      <c r="S1083" s="58" t="str"/>
      <c r="T1083" s="42" t="str"/>
      <c r="U1083" s="42" t="str"/>
      <c r="V1083" s="48" t="str"/>
      <c r="W1083" s="58" t="str"/>
      <c r="X1083" s="42" t="n"/>
      <c r="Y1083" s="42" t="n"/>
    </row>
    <row r="1084">
      <c r="B1084" s="2">
        <f>IF(STUDENTS!B1083="","",STUDENTS!B1083)</f>
        <v/>
      </c>
      <c r="C1084" s="44">
        <f>IFERROR(IF(B1084="","",_xlfn.XLOOKUP(B1084,STUDENTS!$B$3:$B$1048576,STUDENTS!$C$3:$C$1048576)),"Enter a registered reg. no")</f>
        <v/>
      </c>
      <c r="D1084" s="52">
        <f t="array" ref="D1084:W1084">IF(All_Students_Scores!C1082:V1082="","",All_Students_Scores!C1082:V1082)</f>
        <v/>
      </c>
      <c r="E1084" s="57" t="str"/>
      <c r="F1084" s="49" t="str"/>
      <c r="G1084" s="59" t="str"/>
      <c r="H1084" s="64" t="str"/>
      <c r="I1084" s="65" t="str"/>
      <c r="J1084" s="66" t="str"/>
      <c r="K1084" s="67" t="str"/>
      <c r="L1084" s="41" t="str"/>
      <c r="M1084" s="41" t="str"/>
      <c r="N1084" s="66" t="str"/>
      <c r="O1084" s="67" t="str"/>
      <c r="P1084" s="41" t="str"/>
      <c r="Q1084" s="41" t="str"/>
      <c r="R1084" s="66" t="str"/>
      <c r="S1084" s="67" t="str"/>
      <c r="T1084" s="41" t="str"/>
      <c r="U1084" s="41" t="str"/>
      <c r="V1084" s="66" t="str"/>
      <c r="W1084" s="67" t="str"/>
    </row>
    <row r="1085">
      <c r="B1085" s="2">
        <f>IF(STUDENTS!B1084="","",STUDENTS!B1084)</f>
        <v/>
      </c>
      <c r="C1085" s="44">
        <f>IFERROR(IF(B1085="","",_xlfn.XLOOKUP(B1085,STUDENTS!$B$3:$B$1048576,STUDENTS!$C$3:$C$1048576)),"Enter a registered reg. no")</f>
        <v/>
      </c>
      <c r="D1085" s="52">
        <f t="array" ref="D1085:W1085">IF(All_Students_Scores!C1083:V1083="","",All_Students_Scores!C1083:V1083)</f>
        <v/>
      </c>
      <c r="E1085" s="55" t="str"/>
      <c r="F1085" s="48" t="str"/>
      <c r="G1085" s="58" t="str"/>
      <c r="H1085" s="62" t="str"/>
      <c r="I1085" s="63" t="str"/>
      <c r="J1085" s="48" t="str"/>
      <c r="K1085" s="58" t="str"/>
      <c r="L1085" s="42" t="str"/>
      <c r="M1085" s="42" t="str"/>
      <c r="N1085" s="48" t="str"/>
      <c r="O1085" s="58" t="str"/>
      <c r="P1085" s="42" t="str"/>
      <c r="Q1085" s="42" t="str"/>
      <c r="R1085" s="48" t="str"/>
      <c r="S1085" s="58" t="str"/>
      <c r="T1085" s="42" t="str"/>
      <c r="U1085" s="42" t="str"/>
      <c r="V1085" s="48" t="str"/>
      <c r="W1085" s="58" t="str"/>
      <c r="X1085" s="42" t="n"/>
      <c r="Y1085" s="42" t="n"/>
    </row>
    <row r="1086">
      <c r="B1086" s="2">
        <f>IF(STUDENTS!B1085="","",STUDENTS!B1085)</f>
        <v/>
      </c>
      <c r="C1086" s="44">
        <f>IFERROR(IF(B1086="","",_xlfn.XLOOKUP(B1086,STUDENTS!$B$3:$B$1048576,STUDENTS!$C$3:$C$1048576)),"Enter a registered reg. no")</f>
        <v/>
      </c>
      <c r="D1086" s="52">
        <f t="array" ref="D1086:W1086">IF(All_Students_Scores!C1084:V1084="","",All_Students_Scores!C1084:V1084)</f>
        <v/>
      </c>
      <c r="E1086" s="57" t="str"/>
      <c r="F1086" s="49" t="str"/>
      <c r="G1086" s="59" t="str"/>
      <c r="H1086" s="64" t="str"/>
      <c r="I1086" s="65" t="str"/>
      <c r="J1086" s="66" t="str"/>
      <c r="K1086" s="67" t="str"/>
      <c r="L1086" s="41" t="str"/>
      <c r="M1086" s="41" t="str"/>
      <c r="N1086" s="66" t="str"/>
      <c r="O1086" s="67" t="str"/>
      <c r="P1086" s="41" t="str"/>
      <c r="Q1086" s="41" t="str"/>
      <c r="R1086" s="66" t="str"/>
      <c r="S1086" s="67" t="str"/>
      <c r="T1086" s="41" t="str"/>
      <c r="U1086" s="41" t="str"/>
      <c r="V1086" s="66" t="str"/>
      <c r="W1086" s="67" t="str"/>
    </row>
    <row r="1087">
      <c r="B1087" s="2">
        <f>IF(STUDENTS!B1086="","",STUDENTS!B1086)</f>
        <v/>
      </c>
      <c r="C1087" s="44">
        <f>IFERROR(IF(B1087="","",_xlfn.XLOOKUP(B1087,STUDENTS!$B$3:$B$1048576,STUDENTS!$C$3:$C$1048576)),"Enter a registered reg. no")</f>
        <v/>
      </c>
      <c r="D1087" s="52">
        <f t="array" ref="D1087:W1087">IF(All_Students_Scores!C1085:V1085="","",All_Students_Scores!C1085:V1085)</f>
        <v/>
      </c>
      <c r="E1087" s="55" t="str"/>
      <c r="F1087" s="48" t="str"/>
      <c r="G1087" s="58" t="str"/>
      <c r="H1087" s="62" t="str"/>
      <c r="I1087" s="63" t="str"/>
      <c r="J1087" s="48" t="str"/>
      <c r="K1087" s="58" t="str"/>
      <c r="L1087" s="42" t="str"/>
      <c r="M1087" s="42" t="str"/>
      <c r="N1087" s="48" t="str"/>
      <c r="O1087" s="58" t="str"/>
      <c r="P1087" s="42" t="str"/>
      <c r="Q1087" s="42" t="str"/>
      <c r="R1087" s="48" t="str"/>
      <c r="S1087" s="58" t="str"/>
      <c r="T1087" s="42" t="str"/>
      <c r="U1087" s="42" t="str"/>
      <c r="V1087" s="48" t="str"/>
      <c r="W1087" s="58" t="str"/>
      <c r="X1087" s="42" t="n"/>
      <c r="Y1087" s="42" t="n"/>
    </row>
    <row r="1088">
      <c r="B1088" s="2">
        <f>IF(STUDENTS!B1087="","",STUDENTS!B1087)</f>
        <v/>
      </c>
      <c r="C1088" s="44">
        <f>IFERROR(IF(B1088="","",_xlfn.XLOOKUP(B1088,STUDENTS!$B$3:$B$1048576,STUDENTS!$C$3:$C$1048576)),"Enter a registered reg. no")</f>
        <v/>
      </c>
      <c r="D1088" s="52">
        <f t="array" ref="D1088:W1088">IF(All_Students_Scores!C1086:V1086="","",All_Students_Scores!C1086:V1086)</f>
        <v/>
      </c>
      <c r="E1088" s="57" t="str"/>
      <c r="F1088" s="49" t="str"/>
      <c r="G1088" s="59" t="str"/>
      <c r="H1088" s="64" t="str"/>
      <c r="I1088" s="65" t="str"/>
      <c r="J1088" s="66" t="str"/>
      <c r="K1088" s="67" t="str"/>
      <c r="L1088" s="41" t="str"/>
      <c r="M1088" s="41" t="str"/>
      <c r="N1088" s="66" t="str"/>
      <c r="O1088" s="67" t="str"/>
      <c r="P1088" s="41" t="str"/>
      <c r="Q1088" s="41" t="str"/>
      <c r="R1088" s="66" t="str"/>
      <c r="S1088" s="67" t="str"/>
      <c r="T1088" s="41" t="str"/>
      <c r="U1088" s="41" t="str"/>
      <c r="V1088" s="66" t="str"/>
      <c r="W1088" s="67" t="str"/>
    </row>
    <row r="1089">
      <c r="B1089" s="2">
        <f>IF(STUDENTS!B1088="","",STUDENTS!B1088)</f>
        <v/>
      </c>
      <c r="C1089" s="44">
        <f>IFERROR(IF(B1089="","",_xlfn.XLOOKUP(B1089,STUDENTS!$B$3:$B$1048576,STUDENTS!$C$3:$C$1048576)),"Enter a registered reg. no")</f>
        <v/>
      </c>
      <c r="D1089" s="52">
        <f t="array" ref="D1089:W1089">IF(All_Students_Scores!C1087:V1087="","",All_Students_Scores!C1087:V1087)</f>
        <v/>
      </c>
      <c r="E1089" s="55" t="str"/>
      <c r="F1089" s="48" t="str"/>
      <c r="G1089" s="58" t="str"/>
      <c r="H1089" s="62" t="str"/>
      <c r="I1089" s="63" t="str"/>
      <c r="J1089" s="48" t="str"/>
      <c r="K1089" s="58" t="str"/>
      <c r="L1089" s="42" t="str"/>
      <c r="M1089" s="42" t="str"/>
      <c r="N1089" s="48" t="str"/>
      <c r="O1089" s="58" t="str"/>
      <c r="P1089" s="42" t="str"/>
      <c r="Q1089" s="42" t="str"/>
      <c r="R1089" s="48" t="str"/>
      <c r="S1089" s="58" t="str"/>
      <c r="T1089" s="42" t="str"/>
      <c r="U1089" s="42" t="str"/>
      <c r="V1089" s="48" t="str"/>
      <c r="W1089" s="58" t="str"/>
      <c r="X1089" s="42" t="n"/>
      <c r="Y1089" s="42" t="n"/>
    </row>
    <row r="1090">
      <c r="B1090" s="2">
        <f>IF(STUDENTS!B1089="","",STUDENTS!B1089)</f>
        <v/>
      </c>
      <c r="C1090" s="44">
        <f>IFERROR(IF(B1090="","",_xlfn.XLOOKUP(B1090,STUDENTS!$B$3:$B$1048576,STUDENTS!$C$3:$C$1048576)),"Enter a registered reg. no")</f>
        <v/>
      </c>
      <c r="D1090" s="52">
        <f t="array" ref="D1090:W1090">IF(All_Students_Scores!C1088:V1088="","",All_Students_Scores!C1088:V1088)</f>
        <v/>
      </c>
      <c r="E1090" s="57" t="str"/>
      <c r="F1090" s="49" t="str"/>
      <c r="G1090" s="59" t="str"/>
      <c r="H1090" s="64" t="str"/>
      <c r="I1090" s="65" t="str"/>
      <c r="J1090" s="66" t="str"/>
      <c r="K1090" s="67" t="str"/>
      <c r="L1090" s="41" t="str"/>
      <c r="M1090" s="41" t="str"/>
      <c r="N1090" s="66" t="str"/>
      <c r="O1090" s="67" t="str"/>
      <c r="P1090" s="41" t="str"/>
      <c r="Q1090" s="41" t="str"/>
      <c r="R1090" s="66" t="str"/>
      <c r="S1090" s="67" t="str"/>
      <c r="T1090" s="41" t="str"/>
      <c r="U1090" s="41" t="str"/>
      <c r="V1090" s="66" t="str"/>
      <c r="W1090" s="67" t="str"/>
    </row>
    <row r="1091">
      <c r="B1091" s="2">
        <f>IF(STUDENTS!B1090="","",STUDENTS!B1090)</f>
        <v/>
      </c>
      <c r="C1091" s="44">
        <f>IFERROR(IF(B1091="","",_xlfn.XLOOKUP(B1091,STUDENTS!$B$3:$B$1048576,STUDENTS!$C$3:$C$1048576)),"Enter a registered reg. no")</f>
        <v/>
      </c>
      <c r="D1091" s="52">
        <f t="array" ref="D1091:W1091">IF(All_Students_Scores!C1089:V1089="","",All_Students_Scores!C1089:V1089)</f>
        <v/>
      </c>
      <c r="E1091" s="55" t="str"/>
      <c r="F1091" s="48" t="str"/>
      <c r="G1091" s="58" t="str"/>
      <c r="H1091" s="62" t="str"/>
      <c r="I1091" s="63" t="str"/>
      <c r="J1091" s="48" t="str"/>
      <c r="K1091" s="58" t="str"/>
      <c r="L1091" s="42" t="str"/>
      <c r="M1091" s="42" t="str"/>
      <c r="N1091" s="48" t="str"/>
      <c r="O1091" s="58" t="str"/>
      <c r="P1091" s="42" t="str"/>
      <c r="Q1091" s="42" t="str"/>
      <c r="R1091" s="48" t="str"/>
      <c r="S1091" s="58" t="str"/>
      <c r="T1091" s="42" t="str"/>
      <c r="U1091" s="42" t="str"/>
      <c r="V1091" s="48" t="str"/>
      <c r="W1091" s="58" t="str"/>
      <c r="X1091" s="42" t="n"/>
      <c r="Y1091" s="42" t="n"/>
    </row>
    <row r="1092">
      <c r="B1092" s="2">
        <f>IF(STUDENTS!B1091="","",STUDENTS!B1091)</f>
        <v/>
      </c>
      <c r="C1092" s="44">
        <f>IFERROR(IF(B1092="","",_xlfn.XLOOKUP(B1092,STUDENTS!$B$3:$B$1048576,STUDENTS!$C$3:$C$1048576)),"Enter a registered reg. no")</f>
        <v/>
      </c>
      <c r="D1092" s="52">
        <f t="array" ref="D1092:W1092">IF(All_Students_Scores!C1090:V1090="","",All_Students_Scores!C1090:V1090)</f>
        <v/>
      </c>
      <c r="E1092" s="57" t="str"/>
      <c r="F1092" s="49" t="str"/>
      <c r="G1092" s="59" t="str"/>
      <c r="H1092" s="64" t="str"/>
      <c r="I1092" s="65" t="str"/>
      <c r="J1092" s="66" t="str"/>
      <c r="K1092" s="67" t="str"/>
      <c r="L1092" s="41" t="str"/>
      <c r="M1092" s="41" t="str"/>
      <c r="N1092" s="66" t="str"/>
      <c r="O1092" s="67" t="str"/>
      <c r="P1092" s="41" t="str"/>
      <c r="Q1092" s="41" t="str"/>
      <c r="R1092" s="66" t="str"/>
      <c r="S1092" s="67" t="str"/>
      <c r="T1092" s="41" t="str"/>
      <c r="U1092" s="41" t="str"/>
      <c r="V1092" s="66" t="str"/>
      <c r="W1092" s="67" t="str"/>
    </row>
    <row r="1093">
      <c r="B1093" s="2">
        <f>IF(STUDENTS!B1092="","",STUDENTS!B1092)</f>
        <v/>
      </c>
      <c r="C1093" s="44">
        <f>IFERROR(IF(B1093="","",_xlfn.XLOOKUP(B1093,STUDENTS!$B$3:$B$1048576,STUDENTS!$C$3:$C$1048576)),"Enter a registered reg. no")</f>
        <v/>
      </c>
      <c r="D1093" s="52">
        <f t="array" ref="D1093:W1093">IF(All_Students_Scores!C1091:V1091="","",All_Students_Scores!C1091:V1091)</f>
        <v/>
      </c>
      <c r="E1093" s="55" t="str"/>
      <c r="F1093" s="48" t="str"/>
      <c r="G1093" s="58" t="str"/>
      <c r="H1093" s="62" t="str"/>
      <c r="I1093" s="63" t="str"/>
      <c r="J1093" s="48" t="str"/>
      <c r="K1093" s="58" t="str"/>
      <c r="L1093" s="42" t="str"/>
      <c r="M1093" s="42" t="str"/>
      <c r="N1093" s="48" t="str"/>
      <c r="O1093" s="58" t="str"/>
      <c r="P1093" s="42" t="str"/>
      <c r="Q1093" s="42" t="str"/>
      <c r="R1093" s="48" t="str"/>
      <c r="S1093" s="58" t="str"/>
      <c r="T1093" s="42" t="str"/>
      <c r="U1093" s="42" t="str"/>
      <c r="V1093" s="48" t="str"/>
      <c r="W1093" s="58" t="str"/>
      <c r="X1093" s="42" t="n"/>
      <c r="Y1093" s="42" t="n"/>
    </row>
    <row r="1094">
      <c r="B1094" s="2">
        <f>IF(STUDENTS!B1093="","",STUDENTS!B1093)</f>
        <v/>
      </c>
      <c r="C1094" s="44">
        <f>IFERROR(IF(B1094="","",_xlfn.XLOOKUP(B1094,STUDENTS!$B$3:$B$1048576,STUDENTS!$C$3:$C$1048576)),"Enter a registered reg. no")</f>
        <v/>
      </c>
      <c r="D1094" s="52">
        <f t="array" ref="D1094:W1094">IF(All_Students_Scores!C1092:V1092="","",All_Students_Scores!C1092:V1092)</f>
        <v/>
      </c>
      <c r="E1094" s="57" t="str"/>
      <c r="F1094" s="49" t="str"/>
      <c r="G1094" s="59" t="str"/>
      <c r="H1094" s="64" t="str"/>
      <c r="I1094" s="65" t="str"/>
      <c r="J1094" s="66" t="str"/>
      <c r="K1094" s="67" t="str"/>
      <c r="L1094" s="41" t="str"/>
      <c r="M1094" s="41" t="str"/>
      <c r="N1094" s="66" t="str"/>
      <c r="O1094" s="67" t="str"/>
      <c r="P1094" s="41" t="str"/>
      <c r="Q1094" s="41" t="str"/>
      <c r="R1094" s="66" t="str"/>
      <c r="S1094" s="67" t="str"/>
      <c r="T1094" s="41" t="str"/>
      <c r="U1094" s="41" t="str"/>
      <c r="V1094" s="66" t="str"/>
      <c r="W1094" s="67" t="str"/>
    </row>
    <row r="1095">
      <c r="B1095" s="2">
        <f>IF(STUDENTS!B1094="","",STUDENTS!B1094)</f>
        <v/>
      </c>
      <c r="C1095" s="44">
        <f>IFERROR(IF(B1095="","",_xlfn.XLOOKUP(B1095,STUDENTS!$B$3:$B$1048576,STUDENTS!$C$3:$C$1048576)),"Enter a registered reg. no")</f>
        <v/>
      </c>
      <c r="D1095" s="52">
        <f t="array" ref="D1095:W1095">IF(All_Students_Scores!C1093:V1093="","",All_Students_Scores!C1093:V1093)</f>
        <v/>
      </c>
      <c r="E1095" s="55" t="str"/>
      <c r="F1095" s="48" t="str"/>
      <c r="G1095" s="58" t="str"/>
      <c r="H1095" s="62" t="str"/>
      <c r="I1095" s="63" t="str"/>
      <c r="J1095" s="48" t="str"/>
      <c r="K1095" s="58" t="str"/>
      <c r="L1095" s="42" t="str"/>
      <c r="M1095" s="42" t="str"/>
      <c r="N1095" s="48" t="str"/>
      <c r="O1095" s="58" t="str"/>
      <c r="P1095" s="42" t="str"/>
      <c r="Q1095" s="42" t="str"/>
      <c r="R1095" s="48" t="str"/>
      <c r="S1095" s="58" t="str"/>
      <c r="T1095" s="42" t="str"/>
      <c r="U1095" s="42" t="str"/>
      <c r="V1095" s="48" t="str"/>
      <c r="W1095" s="58" t="str"/>
      <c r="X1095" s="42" t="n"/>
      <c r="Y1095" s="42" t="n"/>
    </row>
    <row r="1096">
      <c r="B1096" s="2">
        <f>IF(STUDENTS!B1095="","",STUDENTS!B1095)</f>
        <v/>
      </c>
      <c r="C1096" s="44">
        <f>IFERROR(IF(B1096="","",_xlfn.XLOOKUP(B1096,STUDENTS!$B$3:$B$1048576,STUDENTS!$C$3:$C$1048576)),"Enter a registered reg. no")</f>
        <v/>
      </c>
      <c r="D1096" s="52">
        <f t="array" ref="D1096:W1096">IF(All_Students_Scores!C1094:V1094="","",All_Students_Scores!C1094:V1094)</f>
        <v/>
      </c>
      <c r="E1096" s="57" t="str"/>
      <c r="F1096" s="49" t="str"/>
      <c r="G1096" s="59" t="str"/>
      <c r="H1096" s="64" t="str"/>
      <c r="I1096" s="65" t="str"/>
      <c r="J1096" s="66" t="str"/>
      <c r="K1096" s="67" t="str"/>
      <c r="L1096" s="41" t="str"/>
      <c r="M1096" s="41" t="str"/>
      <c r="N1096" s="66" t="str"/>
      <c r="O1096" s="67" t="str"/>
      <c r="P1096" s="41" t="str"/>
      <c r="Q1096" s="41" t="str"/>
      <c r="R1096" s="66" t="str"/>
      <c r="S1096" s="67" t="str"/>
      <c r="T1096" s="41" t="str"/>
      <c r="U1096" s="41" t="str"/>
      <c r="V1096" s="66" t="str"/>
      <c r="W1096" s="67" t="str"/>
    </row>
    <row r="1097">
      <c r="B1097" s="2">
        <f>IF(STUDENTS!B1096="","",STUDENTS!B1096)</f>
        <v/>
      </c>
      <c r="C1097" s="44">
        <f>IFERROR(IF(B1097="","",_xlfn.XLOOKUP(B1097,STUDENTS!$B$3:$B$1048576,STUDENTS!$C$3:$C$1048576)),"Enter a registered reg. no")</f>
        <v/>
      </c>
      <c r="D1097" s="52">
        <f t="array" ref="D1097:W1097">IF(All_Students_Scores!C1095:V1095="","",All_Students_Scores!C1095:V1095)</f>
        <v/>
      </c>
      <c r="E1097" s="55" t="str"/>
      <c r="F1097" s="48" t="str"/>
      <c r="G1097" s="58" t="str"/>
      <c r="H1097" s="62" t="str"/>
      <c r="I1097" s="63" t="str"/>
      <c r="J1097" s="48" t="str"/>
      <c r="K1097" s="58" t="str"/>
      <c r="L1097" s="42" t="str"/>
      <c r="M1097" s="42" t="str"/>
      <c r="N1097" s="48" t="str"/>
      <c r="O1097" s="58" t="str"/>
      <c r="P1097" s="42" t="str"/>
      <c r="Q1097" s="42" t="str"/>
      <c r="R1097" s="48" t="str"/>
      <c r="S1097" s="58" t="str"/>
      <c r="T1097" s="42" t="str"/>
      <c r="U1097" s="42" t="str"/>
      <c r="V1097" s="48" t="str"/>
      <c r="W1097" s="58" t="str"/>
      <c r="X1097" s="42" t="n"/>
      <c r="Y1097" s="42" t="n"/>
    </row>
    <row r="1098">
      <c r="B1098" s="2">
        <f>IF(STUDENTS!B1097="","",STUDENTS!B1097)</f>
        <v/>
      </c>
      <c r="C1098" s="44">
        <f>IFERROR(IF(B1098="","",_xlfn.XLOOKUP(B1098,STUDENTS!$B$3:$B$1048576,STUDENTS!$C$3:$C$1048576)),"Enter a registered reg. no")</f>
        <v/>
      </c>
      <c r="D1098" s="52">
        <f t="array" ref="D1098:W1098">IF(All_Students_Scores!C1096:V1096="","",All_Students_Scores!C1096:V1096)</f>
        <v/>
      </c>
      <c r="E1098" s="57" t="str"/>
      <c r="F1098" s="49" t="str"/>
      <c r="G1098" s="59" t="str"/>
      <c r="H1098" s="64" t="str"/>
      <c r="I1098" s="65" t="str"/>
      <c r="J1098" s="66" t="str"/>
      <c r="K1098" s="67" t="str"/>
      <c r="L1098" s="41" t="str"/>
      <c r="M1098" s="41" t="str"/>
      <c r="N1098" s="66" t="str"/>
      <c r="O1098" s="67" t="str"/>
      <c r="P1098" s="41" t="str"/>
      <c r="Q1098" s="41" t="str"/>
      <c r="R1098" s="66" t="str"/>
      <c r="S1098" s="67" t="str"/>
      <c r="T1098" s="41" t="str"/>
      <c r="U1098" s="41" t="str"/>
      <c r="V1098" s="66" t="str"/>
      <c r="W1098" s="67" t="str"/>
    </row>
    <row r="1099">
      <c r="B1099" s="2">
        <f>IF(STUDENTS!B1098="","",STUDENTS!B1098)</f>
        <v/>
      </c>
      <c r="C1099" s="44">
        <f>IFERROR(IF(B1099="","",_xlfn.XLOOKUP(B1099,STUDENTS!$B$3:$B$1048576,STUDENTS!$C$3:$C$1048576)),"Enter a registered reg. no")</f>
        <v/>
      </c>
      <c r="D1099" s="52">
        <f t="array" ref="D1099:W1099">IF(All_Students_Scores!C1097:V1097="","",All_Students_Scores!C1097:V1097)</f>
        <v/>
      </c>
      <c r="E1099" s="55" t="str"/>
      <c r="F1099" s="48" t="str"/>
      <c r="G1099" s="58" t="str"/>
      <c r="H1099" s="62" t="str"/>
      <c r="I1099" s="63" t="str"/>
      <c r="J1099" s="48" t="str"/>
      <c r="K1099" s="58" t="str"/>
      <c r="L1099" s="42" t="str"/>
      <c r="M1099" s="42" t="str"/>
      <c r="N1099" s="48" t="str"/>
      <c r="O1099" s="58" t="str"/>
      <c r="P1099" s="42" t="str"/>
      <c r="Q1099" s="42" t="str"/>
      <c r="R1099" s="48" t="str"/>
      <c r="S1099" s="58" t="str"/>
      <c r="T1099" s="42" t="str"/>
      <c r="U1099" s="42" t="str"/>
      <c r="V1099" s="48" t="str"/>
      <c r="W1099" s="58" t="str"/>
      <c r="X1099" s="42" t="n"/>
      <c r="Y1099" s="42" t="n"/>
    </row>
    <row r="1100">
      <c r="B1100" s="2">
        <f>IF(STUDENTS!B1099="","",STUDENTS!B1099)</f>
        <v/>
      </c>
      <c r="C1100" s="44">
        <f>IFERROR(IF(B1100="","",_xlfn.XLOOKUP(B1100,STUDENTS!$B$3:$B$1048576,STUDENTS!$C$3:$C$1048576)),"Enter a registered reg. no")</f>
        <v/>
      </c>
      <c r="D1100" s="52">
        <f t="array" ref="D1100:W1100">IF(All_Students_Scores!C1098:V1098="","",All_Students_Scores!C1098:V1098)</f>
        <v/>
      </c>
      <c r="E1100" s="57" t="str"/>
      <c r="F1100" s="49" t="str"/>
      <c r="G1100" s="59" t="str"/>
      <c r="H1100" s="64" t="str"/>
      <c r="I1100" s="65" t="str"/>
      <c r="J1100" s="66" t="str"/>
      <c r="K1100" s="67" t="str"/>
      <c r="L1100" s="41" t="str"/>
      <c r="M1100" s="41" t="str"/>
      <c r="N1100" s="66" t="str"/>
      <c r="O1100" s="67" t="str"/>
      <c r="P1100" s="41" t="str"/>
      <c r="Q1100" s="41" t="str"/>
      <c r="R1100" s="66" t="str"/>
      <c r="S1100" s="67" t="str"/>
      <c r="T1100" s="41" t="str"/>
      <c r="U1100" s="41" t="str"/>
      <c r="V1100" s="66" t="str"/>
      <c r="W1100" s="67" t="str"/>
    </row>
    <row r="1101">
      <c r="B1101" s="2">
        <f>IF(STUDENTS!B1100="","",STUDENTS!B1100)</f>
        <v/>
      </c>
      <c r="C1101" s="44">
        <f>IFERROR(IF(B1101="","",_xlfn.XLOOKUP(B1101,STUDENTS!$B$3:$B$1048576,STUDENTS!$C$3:$C$1048576)),"Enter a registered reg. no")</f>
        <v/>
      </c>
      <c r="D1101" s="52">
        <f t="array" ref="D1101:W1101">IF(All_Students_Scores!C1099:V1099="","",All_Students_Scores!C1099:V1099)</f>
        <v/>
      </c>
      <c r="E1101" s="55" t="str"/>
      <c r="F1101" s="48" t="str"/>
      <c r="G1101" s="58" t="str"/>
      <c r="H1101" s="62" t="str"/>
      <c r="I1101" s="63" t="str"/>
      <c r="J1101" s="48" t="str"/>
      <c r="K1101" s="58" t="str"/>
      <c r="L1101" s="42" t="str"/>
      <c r="M1101" s="42" t="str"/>
      <c r="N1101" s="48" t="str"/>
      <c r="O1101" s="58" t="str"/>
      <c r="P1101" s="42" t="str"/>
      <c r="Q1101" s="42" t="str"/>
      <c r="R1101" s="48" t="str"/>
      <c r="S1101" s="58" t="str"/>
      <c r="T1101" s="42" t="str"/>
      <c r="U1101" s="42" t="str"/>
      <c r="V1101" s="48" t="str"/>
      <c r="W1101" s="58" t="str"/>
      <c r="X1101" s="42" t="n"/>
      <c r="Y1101" s="42" t="n"/>
    </row>
    <row r="1102">
      <c r="B1102" s="2">
        <f>IF(STUDENTS!B1101="","",STUDENTS!B1101)</f>
        <v/>
      </c>
      <c r="C1102" s="44">
        <f>IFERROR(IF(B1102="","",_xlfn.XLOOKUP(B1102,STUDENTS!$B$3:$B$1048576,STUDENTS!$C$3:$C$1048576)),"Enter a registered reg. no")</f>
        <v/>
      </c>
      <c r="D1102" s="52">
        <f t="array" ref="D1102:W1102">IF(All_Students_Scores!C1100:V1100="","",All_Students_Scores!C1100:V1100)</f>
        <v/>
      </c>
      <c r="E1102" s="57" t="str"/>
      <c r="F1102" s="49" t="str"/>
      <c r="G1102" s="59" t="str"/>
      <c r="H1102" s="64" t="str"/>
      <c r="I1102" s="65" t="str"/>
      <c r="J1102" s="66" t="str"/>
      <c r="K1102" s="67" t="str"/>
      <c r="L1102" s="41" t="str"/>
      <c r="M1102" s="41" t="str"/>
      <c r="N1102" s="66" t="str"/>
      <c r="O1102" s="67" t="str"/>
      <c r="P1102" s="41" t="str"/>
      <c r="Q1102" s="41" t="str"/>
      <c r="R1102" s="66" t="str"/>
      <c r="S1102" s="67" t="str"/>
      <c r="T1102" s="41" t="str"/>
      <c r="U1102" s="41" t="str"/>
      <c r="V1102" s="66" t="str"/>
      <c r="W1102" s="67" t="str"/>
    </row>
    <row r="1103">
      <c r="B1103" s="2">
        <f>IF(STUDENTS!B1102="","",STUDENTS!B1102)</f>
        <v/>
      </c>
      <c r="C1103" s="44">
        <f>IFERROR(IF(B1103="","",_xlfn.XLOOKUP(B1103,STUDENTS!$B$3:$B$1048576,STUDENTS!$C$3:$C$1048576)),"Enter a registered reg. no")</f>
        <v/>
      </c>
      <c r="D1103" s="52">
        <f t="array" ref="D1103:W1103">IF(All_Students_Scores!C1101:V1101="","",All_Students_Scores!C1101:V1101)</f>
        <v/>
      </c>
      <c r="E1103" s="55" t="str"/>
      <c r="F1103" s="48" t="str"/>
      <c r="G1103" s="58" t="str"/>
      <c r="H1103" s="62" t="str"/>
      <c r="I1103" s="63" t="str"/>
      <c r="J1103" s="48" t="str"/>
      <c r="K1103" s="58" t="str"/>
      <c r="L1103" s="42" t="str"/>
      <c r="M1103" s="42" t="str"/>
      <c r="N1103" s="48" t="str"/>
      <c r="O1103" s="58" t="str"/>
      <c r="P1103" s="42" t="str"/>
      <c r="Q1103" s="42" t="str"/>
      <c r="R1103" s="48" t="str"/>
      <c r="S1103" s="58" t="str"/>
      <c r="T1103" s="42" t="str"/>
      <c r="U1103" s="42" t="str"/>
      <c r="V1103" s="48" t="str"/>
      <c r="W1103" s="58" t="str"/>
      <c r="X1103" s="42" t="n"/>
      <c r="Y1103" s="42" t="n"/>
    </row>
    <row r="1104">
      <c r="B1104" s="2">
        <f>IF(STUDENTS!B1103="","",STUDENTS!B1103)</f>
        <v/>
      </c>
      <c r="C1104" s="44">
        <f>IFERROR(IF(B1104="","",_xlfn.XLOOKUP(B1104,STUDENTS!$B$3:$B$1048576,STUDENTS!$C$3:$C$1048576)),"Enter a registered reg. no")</f>
        <v/>
      </c>
      <c r="D1104" s="52">
        <f t="array" ref="D1104:W1104">IF(All_Students_Scores!C1102:V1102="","",All_Students_Scores!C1102:V1102)</f>
        <v/>
      </c>
      <c r="E1104" s="57" t="str"/>
      <c r="F1104" s="49" t="str"/>
      <c r="G1104" s="59" t="str"/>
      <c r="H1104" s="64" t="str"/>
      <c r="I1104" s="65" t="str"/>
      <c r="J1104" s="66" t="str"/>
      <c r="K1104" s="67" t="str"/>
      <c r="L1104" s="41" t="str"/>
      <c r="M1104" s="41" t="str"/>
      <c r="N1104" s="66" t="str"/>
      <c r="O1104" s="67" t="str"/>
      <c r="P1104" s="41" t="str"/>
      <c r="Q1104" s="41" t="str"/>
      <c r="R1104" s="66" t="str"/>
      <c r="S1104" s="67" t="str"/>
      <c r="T1104" s="41" t="str"/>
      <c r="U1104" s="41" t="str"/>
      <c r="V1104" s="66" t="str"/>
      <c r="W1104" s="67" t="str"/>
    </row>
    <row r="1105">
      <c r="B1105" s="2">
        <f>IF(STUDENTS!B1104="","",STUDENTS!B1104)</f>
        <v/>
      </c>
      <c r="C1105" s="44">
        <f>IFERROR(IF(B1105="","",_xlfn.XLOOKUP(B1105,STUDENTS!$B$3:$B$1048576,STUDENTS!$C$3:$C$1048576)),"Enter a registered reg. no")</f>
        <v/>
      </c>
      <c r="D1105" s="52">
        <f t="array" ref="D1105:W1105">IF(All_Students_Scores!C1103:V1103="","",All_Students_Scores!C1103:V1103)</f>
        <v/>
      </c>
      <c r="E1105" s="55" t="str"/>
      <c r="F1105" s="48" t="str"/>
      <c r="G1105" s="58" t="str"/>
      <c r="H1105" s="62" t="str"/>
      <c r="I1105" s="63" t="str"/>
      <c r="J1105" s="48" t="str"/>
      <c r="K1105" s="58" t="str"/>
      <c r="L1105" s="42" t="str"/>
      <c r="M1105" s="42" t="str"/>
      <c r="N1105" s="48" t="str"/>
      <c r="O1105" s="58" t="str"/>
      <c r="P1105" s="42" t="str"/>
      <c r="Q1105" s="42" t="str"/>
      <c r="R1105" s="48" t="str"/>
      <c r="S1105" s="58" t="str"/>
      <c r="T1105" s="42" t="str"/>
      <c r="U1105" s="42" t="str"/>
      <c r="V1105" s="48" t="str"/>
      <c r="W1105" s="58" t="str"/>
      <c r="X1105" s="42" t="n"/>
      <c r="Y1105" s="42" t="n"/>
    </row>
    <row r="1106">
      <c r="B1106" s="2">
        <f>IF(STUDENTS!B1105="","",STUDENTS!B1105)</f>
        <v/>
      </c>
      <c r="C1106" s="44">
        <f>IFERROR(IF(B1106="","",_xlfn.XLOOKUP(B1106,STUDENTS!$B$3:$B$1048576,STUDENTS!$C$3:$C$1048576)),"Enter a registered reg. no")</f>
        <v/>
      </c>
      <c r="D1106" s="52">
        <f t="array" ref="D1106:W1106">IF(All_Students_Scores!C1104:V1104="","",All_Students_Scores!C1104:V1104)</f>
        <v/>
      </c>
      <c r="E1106" s="57" t="str"/>
      <c r="F1106" s="49" t="str"/>
      <c r="G1106" s="59" t="str"/>
      <c r="H1106" s="64" t="str"/>
      <c r="I1106" s="65" t="str"/>
      <c r="J1106" s="66" t="str"/>
      <c r="K1106" s="67" t="str"/>
      <c r="L1106" s="41" t="str"/>
      <c r="M1106" s="41" t="str"/>
      <c r="N1106" s="66" t="str"/>
      <c r="O1106" s="67" t="str"/>
      <c r="P1106" s="41" t="str"/>
      <c r="Q1106" s="41" t="str"/>
      <c r="R1106" s="66" t="str"/>
      <c r="S1106" s="67" t="str"/>
      <c r="T1106" s="41" t="str"/>
      <c r="U1106" s="41" t="str"/>
      <c r="V1106" s="66" t="str"/>
      <c r="W1106" s="67" t="str"/>
    </row>
    <row r="1107">
      <c r="B1107" s="2">
        <f>IF(STUDENTS!B1106="","",STUDENTS!B1106)</f>
        <v/>
      </c>
      <c r="C1107" s="44">
        <f>IFERROR(IF(B1107="","",_xlfn.XLOOKUP(B1107,STUDENTS!$B$3:$B$1048576,STUDENTS!$C$3:$C$1048576)),"Enter a registered reg. no")</f>
        <v/>
      </c>
      <c r="D1107" s="52">
        <f t="array" ref="D1107:W1107">IF(All_Students_Scores!C1105:V1105="","",All_Students_Scores!C1105:V1105)</f>
        <v/>
      </c>
      <c r="E1107" s="55" t="str"/>
      <c r="F1107" s="48" t="str"/>
      <c r="G1107" s="58" t="str"/>
      <c r="H1107" s="62" t="str"/>
      <c r="I1107" s="63" t="str"/>
      <c r="J1107" s="48" t="str"/>
      <c r="K1107" s="58" t="str"/>
      <c r="L1107" s="42" t="str"/>
      <c r="M1107" s="42" t="str"/>
      <c r="N1107" s="48" t="str"/>
      <c r="O1107" s="58" t="str"/>
      <c r="P1107" s="42" t="str"/>
      <c r="Q1107" s="42" t="str"/>
      <c r="R1107" s="48" t="str"/>
      <c r="S1107" s="58" t="str"/>
      <c r="T1107" s="42" t="str"/>
      <c r="U1107" s="42" t="str"/>
      <c r="V1107" s="48" t="str"/>
      <c r="W1107" s="58" t="str"/>
      <c r="X1107" s="42" t="n"/>
      <c r="Y1107" s="42" t="n"/>
    </row>
    <row r="1108">
      <c r="B1108" s="2">
        <f>IF(STUDENTS!B1107="","",STUDENTS!B1107)</f>
        <v/>
      </c>
      <c r="C1108" s="44">
        <f>IFERROR(IF(B1108="","",_xlfn.XLOOKUP(B1108,STUDENTS!$B$3:$B$1048576,STUDENTS!$C$3:$C$1048576)),"Enter a registered reg. no")</f>
        <v/>
      </c>
      <c r="D1108" s="52">
        <f t="array" ref="D1108:W1108">IF(All_Students_Scores!C1106:V1106="","",All_Students_Scores!C1106:V1106)</f>
        <v/>
      </c>
      <c r="E1108" s="57" t="str"/>
      <c r="F1108" s="49" t="str"/>
      <c r="G1108" s="59" t="str"/>
      <c r="H1108" s="64" t="str"/>
      <c r="I1108" s="65" t="str"/>
      <c r="J1108" s="66" t="str"/>
      <c r="K1108" s="67" t="str"/>
      <c r="L1108" s="41" t="str"/>
      <c r="M1108" s="41" t="str"/>
      <c r="N1108" s="66" t="str"/>
      <c r="O1108" s="67" t="str"/>
      <c r="P1108" s="41" t="str"/>
      <c r="Q1108" s="41" t="str"/>
      <c r="R1108" s="66" t="str"/>
      <c r="S1108" s="67" t="str"/>
      <c r="T1108" s="41" t="str"/>
      <c r="U1108" s="41" t="str"/>
      <c r="V1108" s="66" t="str"/>
      <c r="W1108" s="67" t="str"/>
    </row>
    <row r="1109">
      <c r="B1109" s="2">
        <f>IF(STUDENTS!B1108="","",STUDENTS!B1108)</f>
        <v/>
      </c>
      <c r="C1109" s="44">
        <f>IFERROR(IF(B1109="","",_xlfn.XLOOKUP(B1109,STUDENTS!$B$3:$B$1048576,STUDENTS!$C$3:$C$1048576)),"Enter a registered reg. no")</f>
        <v/>
      </c>
      <c r="D1109" s="52">
        <f t="array" ref="D1109:W1109">IF(All_Students_Scores!C1107:V1107="","",All_Students_Scores!C1107:V1107)</f>
        <v/>
      </c>
      <c r="E1109" s="55" t="str"/>
      <c r="F1109" s="48" t="str"/>
      <c r="G1109" s="58" t="str"/>
      <c r="H1109" s="62" t="str"/>
      <c r="I1109" s="63" t="str"/>
      <c r="J1109" s="48" t="str"/>
      <c r="K1109" s="58" t="str"/>
      <c r="L1109" s="42" t="str"/>
      <c r="M1109" s="42" t="str"/>
      <c r="N1109" s="48" t="str"/>
      <c r="O1109" s="58" t="str"/>
      <c r="P1109" s="42" t="str"/>
      <c r="Q1109" s="42" t="str"/>
      <c r="R1109" s="48" t="str"/>
      <c r="S1109" s="58" t="str"/>
      <c r="T1109" s="42" t="str"/>
      <c r="U1109" s="42" t="str"/>
      <c r="V1109" s="48" t="str"/>
      <c r="W1109" s="58" t="str"/>
      <c r="X1109" s="42" t="n"/>
      <c r="Y1109" s="42" t="n"/>
    </row>
    <row r="1110">
      <c r="B1110" s="2">
        <f>IF(STUDENTS!B1109="","",STUDENTS!B1109)</f>
        <v/>
      </c>
      <c r="C1110" s="44">
        <f>IFERROR(IF(B1110="","",_xlfn.XLOOKUP(B1110,STUDENTS!$B$3:$B$1048576,STUDENTS!$C$3:$C$1048576)),"Enter a registered reg. no")</f>
        <v/>
      </c>
      <c r="D1110" s="52">
        <f t="array" ref="D1110:W1110">IF(All_Students_Scores!C1108:V1108="","",All_Students_Scores!C1108:V1108)</f>
        <v/>
      </c>
      <c r="E1110" s="57" t="str"/>
      <c r="F1110" s="49" t="str"/>
      <c r="G1110" s="59" t="str"/>
      <c r="H1110" s="64" t="str"/>
      <c r="I1110" s="65" t="str"/>
      <c r="J1110" s="66" t="str"/>
      <c r="K1110" s="67" t="str"/>
      <c r="L1110" s="41" t="str"/>
      <c r="M1110" s="41" t="str"/>
      <c r="N1110" s="66" t="str"/>
      <c r="O1110" s="67" t="str"/>
      <c r="P1110" s="41" t="str"/>
      <c r="Q1110" s="41" t="str"/>
      <c r="R1110" s="66" t="str"/>
      <c r="S1110" s="67" t="str"/>
      <c r="T1110" s="41" t="str"/>
      <c r="U1110" s="41" t="str"/>
      <c r="V1110" s="66" t="str"/>
      <c r="W1110" s="67" t="str"/>
    </row>
    <row r="1111">
      <c r="B1111" s="2">
        <f>IF(STUDENTS!B1110="","",STUDENTS!B1110)</f>
        <v/>
      </c>
      <c r="C1111" s="44">
        <f>IFERROR(IF(B1111="","",_xlfn.XLOOKUP(B1111,STUDENTS!$B$3:$B$1048576,STUDENTS!$C$3:$C$1048576)),"Enter a registered reg. no")</f>
        <v/>
      </c>
      <c r="D1111" s="52">
        <f t="array" ref="D1111:W1111">IF(All_Students_Scores!C1109:V1109="","",All_Students_Scores!C1109:V1109)</f>
        <v/>
      </c>
      <c r="E1111" s="55" t="str"/>
      <c r="F1111" s="48" t="str"/>
      <c r="G1111" s="58" t="str"/>
      <c r="H1111" s="62" t="str"/>
      <c r="I1111" s="63" t="str"/>
      <c r="J1111" s="48" t="str"/>
      <c r="K1111" s="58" t="str"/>
      <c r="L1111" s="42" t="str"/>
      <c r="M1111" s="42" t="str"/>
      <c r="N1111" s="48" t="str"/>
      <c r="O1111" s="58" t="str"/>
      <c r="P1111" s="42" t="str"/>
      <c r="Q1111" s="42" t="str"/>
      <c r="R1111" s="48" t="str"/>
      <c r="S1111" s="58" t="str"/>
      <c r="T1111" s="42" t="str"/>
      <c r="U1111" s="42" t="str"/>
      <c r="V1111" s="48" t="str"/>
      <c r="W1111" s="58" t="str"/>
      <c r="X1111" s="42" t="n"/>
      <c r="Y1111" s="42" t="n"/>
    </row>
    <row r="1112">
      <c r="B1112" s="2">
        <f>IF(STUDENTS!B1111="","",STUDENTS!B1111)</f>
        <v/>
      </c>
      <c r="C1112" s="44">
        <f>IFERROR(IF(B1112="","",_xlfn.XLOOKUP(B1112,STUDENTS!$B$3:$B$1048576,STUDENTS!$C$3:$C$1048576)),"Enter a registered reg. no")</f>
        <v/>
      </c>
      <c r="D1112" s="52">
        <f t="array" ref="D1112:W1112">IF(All_Students_Scores!C1110:V1110="","",All_Students_Scores!C1110:V1110)</f>
        <v/>
      </c>
      <c r="E1112" s="57" t="str"/>
      <c r="F1112" s="49" t="str"/>
      <c r="G1112" s="59" t="str"/>
      <c r="H1112" s="64" t="str"/>
      <c r="I1112" s="65" t="str"/>
      <c r="J1112" s="66" t="str"/>
      <c r="K1112" s="67" t="str"/>
      <c r="L1112" s="41" t="str"/>
      <c r="M1112" s="41" t="str"/>
      <c r="N1112" s="66" t="str"/>
      <c r="O1112" s="67" t="str"/>
      <c r="P1112" s="41" t="str"/>
      <c r="Q1112" s="41" t="str"/>
      <c r="R1112" s="66" t="str"/>
      <c r="S1112" s="67" t="str"/>
      <c r="T1112" s="41" t="str"/>
      <c r="U1112" s="41" t="str"/>
      <c r="V1112" s="66" t="str"/>
      <c r="W1112" s="67" t="str"/>
    </row>
    <row r="1113">
      <c r="B1113" s="2">
        <f>IF(STUDENTS!B1112="","",STUDENTS!B1112)</f>
        <v/>
      </c>
      <c r="C1113" s="44">
        <f>IFERROR(IF(B1113="","",_xlfn.XLOOKUP(B1113,STUDENTS!$B$3:$B$1048576,STUDENTS!$C$3:$C$1048576)),"Enter a registered reg. no")</f>
        <v/>
      </c>
      <c r="D1113" s="52">
        <f t="array" ref="D1113:W1113">IF(All_Students_Scores!C1111:V1111="","",All_Students_Scores!C1111:V1111)</f>
        <v/>
      </c>
      <c r="E1113" s="55" t="str"/>
      <c r="F1113" s="48" t="str"/>
      <c r="G1113" s="58" t="str"/>
      <c r="H1113" s="62" t="str"/>
      <c r="I1113" s="63" t="str"/>
      <c r="J1113" s="48" t="str"/>
      <c r="K1113" s="58" t="str"/>
      <c r="L1113" s="42" t="str"/>
      <c r="M1113" s="42" t="str"/>
      <c r="N1113" s="48" t="str"/>
      <c r="O1113" s="58" t="str"/>
      <c r="P1113" s="42" t="str"/>
      <c r="Q1113" s="42" t="str"/>
      <c r="R1113" s="48" t="str"/>
      <c r="S1113" s="58" t="str"/>
      <c r="T1113" s="42" t="str"/>
      <c r="U1113" s="42" t="str"/>
      <c r="V1113" s="48" t="str"/>
      <c r="W1113" s="58" t="str"/>
      <c r="X1113" s="42" t="n"/>
      <c r="Y1113" s="42" t="n"/>
    </row>
    <row r="1114">
      <c r="B1114" s="2">
        <f>IF(STUDENTS!B1113="","",STUDENTS!B1113)</f>
        <v/>
      </c>
      <c r="C1114" s="44">
        <f>IFERROR(IF(B1114="","",_xlfn.XLOOKUP(B1114,STUDENTS!$B$3:$B$1048576,STUDENTS!$C$3:$C$1048576)),"Enter a registered reg. no")</f>
        <v/>
      </c>
      <c r="D1114" s="52">
        <f t="array" ref="D1114:W1114">IF(All_Students_Scores!C1112:V1112="","",All_Students_Scores!C1112:V1112)</f>
        <v/>
      </c>
      <c r="E1114" s="57" t="str"/>
      <c r="F1114" s="49" t="str"/>
      <c r="G1114" s="59" t="str"/>
      <c r="H1114" s="64" t="str"/>
      <c r="I1114" s="65" t="str"/>
      <c r="J1114" s="66" t="str"/>
      <c r="K1114" s="67" t="str"/>
      <c r="L1114" s="41" t="str"/>
      <c r="M1114" s="41" t="str"/>
      <c r="N1114" s="66" t="str"/>
      <c r="O1114" s="67" t="str"/>
      <c r="P1114" s="41" t="str"/>
      <c r="Q1114" s="41" t="str"/>
      <c r="R1114" s="66" t="str"/>
      <c r="S1114" s="67" t="str"/>
      <c r="T1114" s="41" t="str"/>
      <c r="U1114" s="41" t="str"/>
      <c r="V1114" s="66" t="str"/>
      <c r="W1114" s="67" t="str"/>
    </row>
    <row r="1115">
      <c r="B1115" s="2">
        <f>IF(STUDENTS!B1114="","",STUDENTS!B1114)</f>
        <v/>
      </c>
      <c r="C1115" s="44">
        <f>IFERROR(IF(B1115="","",_xlfn.XLOOKUP(B1115,STUDENTS!$B$3:$B$1048576,STUDENTS!$C$3:$C$1048576)),"Enter a registered reg. no")</f>
        <v/>
      </c>
      <c r="D1115" s="52">
        <f t="array" ref="D1115:W1115">IF(All_Students_Scores!C1113:V1113="","",All_Students_Scores!C1113:V1113)</f>
        <v/>
      </c>
      <c r="E1115" s="55" t="str"/>
      <c r="F1115" s="48" t="str"/>
      <c r="G1115" s="58" t="str"/>
      <c r="H1115" s="62" t="str"/>
      <c r="I1115" s="63" t="str"/>
      <c r="J1115" s="48" t="str"/>
      <c r="K1115" s="58" t="str"/>
      <c r="L1115" s="42" t="str"/>
      <c r="M1115" s="42" t="str"/>
      <c r="N1115" s="48" t="str"/>
      <c r="O1115" s="58" t="str"/>
      <c r="P1115" s="42" t="str"/>
      <c r="Q1115" s="42" t="str"/>
      <c r="R1115" s="48" t="str"/>
      <c r="S1115" s="58" t="str"/>
      <c r="T1115" s="42" t="str"/>
      <c r="U1115" s="42" t="str"/>
      <c r="V1115" s="48" t="str"/>
      <c r="W1115" s="58" t="str"/>
      <c r="X1115" s="42" t="n"/>
      <c r="Y1115" s="42" t="n"/>
    </row>
    <row r="1116">
      <c r="B1116" s="2">
        <f>IF(STUDENTS!B1115="","",STUDENTS!B1115)</f>
        <v/>
      </c>
      <c r="C1116" s="44">
        <f>IFERROR(IF(B1116="","",_xlfn.XLOOKUP(B1116,STUDENTS!$B$3:$B$1048576,STUDENTS!$C$3:$C$1048576)),"Enter a registered reg. no")</f>
        <v/>
      </c>
      <c r="D1116" s="52">
        <f t="array" ref="D1116:W1116">IF(All_Students_Scores!C1114:V1114="","",All_Students_Scores!C1114:V1114)</f>
        <v/>
      </c>
      <c r="E1116" s="57" t="str"/>
      <c r="F1116" s="49" t="str"/>
      <c r="G1116" s="59" t="str"/>
      <c r="H1116" s="64" t="str"/>
      <c r="I1116" s="65" t="str"/>
      <c r="J1116" s="66" t="str"/>
      <c r="K1116" s="67" t="str"/>
      <c r="L1116" s="41" t="str"/>
      <c r="M1116" s="41" t="str"/>
      <c r="N1116" s="66" t="str"/>
      <c r="O1116" s="67" t="str"/>
      <c r="P1116" s="41" t="str"/>
      <c r="Q1116" s="41" t="str"/>
      <c r="R1116" s="66" t="str"/>
      <c r="S1116" s="67" t="str"/>
      <c r="T1116" s="41" t="str"/>
      <c r="U1116" s="41" t="str"/>
      <c r="V1116" s="66" t="str"/>
      <c r="W1116" s="67" t="str"/>
    </row>
    <row r="1117">
      <c r="B1117" s="2">
        <f>IF(STUDENTS!B1116="","",STUDENTS!B1116)</f>
        <v/>
      </c>
      <c r="C1117" s="44">
        <f>IFERROR(IF(B1117="","",_xlfn.XLOOKUP(B1117,STUDENTS!$B$3:$B$1048576,STUDENTS!$C$3:$C$1048576)),"Enter a registered reg. no")</f>
        <v/>
      </c>
      <c r="D1117" s="52">
        <f t="array" ref="D1117:W1117">IF(All_Students_Scores!C1115:V1115="","",All_Students_Scores!C1115:V1115)</f>
        <v/>
      </c>
      <c r="E1117" s="55" t="str"/>
      <c r="F1117" s="48" t="str"/>
      <c r="G1117" s="58" t="str"/>
      <c r="H1117" s="62" t="str"/>
      <c r="I1117" s="63" t="str"/>
      <c r="J1117" s="48" t="str"/>
      <c r="K1117" s="58" t="str"/>
      <c r="L1117" s="42" t="str"/>
      <c r="M1117" s="42" t="str"/>
      <c r="N1117" s="48" t="str"/>
      <c r="O1117" s="58" t="str"/>
      <c r="P1117" s="42" t="str"/>
      <c r="Q1117" s="42" t="str"/>
      <c r="R1117" s="48" t="str"/>
      <c r="S1117" s="58" t="str"/>
      <c r="T1117" s="42" t="str"/>
      <c r="U1117" s="42" t="str"/>
      <c r="V1117" s="48" t="str"/>
      <c r="W1117" s="58" t="str"/>
      <c r="X1117" s="42" t="n"/>
      <c r="Y1117" s="42" t="n"/>
    </row>
    <row r="1118">
      <c r="B1118" s="2">
        <f>IF(STUDENTS!B1117="","",STUDENTS!B1117)</f>
        <v/>
      </c>
      <c r="C1118" s="44">
        <f>IFERROR(IF(B1118="","",_xlfn.XLOOKUP(B1118,STUDENTS!$B$3:$B$1048576,STUDENTS!$C$3:$C$1048576)),"Enter a registered reg. no")</f>
        <v/>
      </c>
      <c r="D1118" s="52">
        <f t="array" ref="D1118:W1118">IF(All_Students_Scores!C1116:V1116="","",All_Students_Scores!C1116:V1116)</f>
        <v/>
      </c>
      <c r="E1118" s="57" t="str"/>
      <c r="F1118" s="49" t="str"/>
      <c r="G1118" s="59" t="str"/>
      <c r="H1118" s="64" t="str"/>
      <c r="I1118" s="65" t="str"/>
      <c r="J1118" s="66" t="str"/>
      <c r="K1118" s="67" t="str"/>
      <c r="L1118" s="41" t="str"/>
      <c r="M1118" s="41" t="str"/>
      <c r="N1118" s="66" t="str"/>
      <c r="O1118" s="67" t="str"/>
      <c r="P1118" s="41" t="str"/>
      <c r="Q1118" s="41" t="str"/>
      <c r="R1118" s="66" t="str"/>
      <c r="S1118" s="67" t="str"/>
      <c r="T1118" s="41" t="str"/>
      <c r="U1118" s="41" t="str"/>
      <c r="V1118" s="66" t="str"/>
      <c r="W1118" s="67" t="str"/>
    </row>
    <row r="1119">
      <c r="B1119" s="2">
        <f>IF(STUDENTS!B1118="","",STUDENTS!B1118)</f>
        <v/>
      </c>
      <c r="C1119" s="44">
        <f>IFERROR(IF(B1119="","",_xlfn.XLOOKUP(B1119,STUDENTS!$B$3:$B$1048576,STUDENTS!$C$3:$C$1048576)),"Enter a registered reg. no")</f>
        <v/>
      </c>
      <c r="D1119" s="52">
        <f t="array" ref="D1119:W1119">IF(All_Students_Scores!C1117:V1117="","",All_Students_Scores!C1117:V1117)</f>
        <v/>
      </c>
      <c r="E1119" s="55" t="str"/>
      <c r="F1119" s="48" t="str"/>
      <c r="G1119" s="58" t="str"/>
      <c r="H1119" s="62" t="str"/>
      <c r="I1119" s="63" t="str"/>
      <c r="J1119" s="48" t="str"/>
      <c r="K1119" s="58" t="str"/>
      <c r="L1119" s="42" t="str"/>
      <c r="M1119" s="42" t="str"/>
      <c r="N1119" s="48" t="str"/>
      <c r="O1119" s="58" t="str"/>
      <c r="P1119" s="42" t="str"/>
      <c r="Q1119" s="42" t="str"/>
      <c r="R1119" s="48" t="str"/>
      <c r="S1119" s="58" t="str"/>
      <c r="T1119" s="42" t="str"/>
      <c r="U1119" s="42" t="str"/>
      <c r="V1119" s="48" t="str"/>
      <c r="W1119" s="58" t="str"/>
      <c r="X1119" s="42" t="n"/>
      <c r="Y1119" s="42" t="n"/>
    </row>
    <row r="1120">
      <c r="B1120" s="2">
        <f>IF(STUDENTS!B1119="","",STUDENTS!B1119)</f>
        <v/>
      </c>
      <c r="C1120" s="44">
        <f>IFERROR(IF(B1120="","",_xlfn.XLOOKUP(B1120,STUDENTS!$B$3:$B$1048576,STUDENTS!$C$3:$C$1048576)),"Enter a registered reg. no")</f>
        <v/>
      </c>
      <c r="D1120" s="52">
        <f t="array" ref="D1120:W1120">IF(All_Students_Scores!C1118:V1118="","",All_Students_Scores!C1118:V1118)</f>
        <v/>
      </c>
      <c r="E1120" s="57" t="str"/>
      <c r="F1120" s="49" t="str"/>
      <c r="G1120" s="59" t="str"/>
      <c r="H1120" s="64" t="str"/>
      <c r="I1120" s="65" t="str"/>
      <c r="J1120" s="66" t="str"/>
      <c r="K1120" s="67" t="str"/>
      <c r="L1120" s="41" t="str"/>
      <c r="M1120" s="41" t="str"/>
      <c r="N1120" s="66" t="str"/>
      <c r="O1120" s="67" t="str"/>
      <c r="P1120" s="41" t="str"/>
      <c r="Q1120" s="41" t="str"/>
      <c r="R1120" s="66" t="str"/>
      <c r="S1120" s="67" t="str"/>
      <c r="T1120" s="41" t="str"/>
      <c r="U1120" s="41" t="str"/>
      <c r="V1120" s="66" t="str"/>
      <c r="W1120" s="67" t="str"/>
    </row>
    <row r="1121">
      <c r="B1121" s="2">
        <f>IF(STUDENTS!B1120="","",STUDENTS!B1120)</f>
        <v/>
      </c>
      <c r="C1121" s="44">
        <f>IFERROR(IF(B1121="","",_xlfn.XLOOKUP(B1121,STUDENTS!$B$3:$B$1048576,STUDENTS!$C$3:$C$1048576)),"Enter a registered reg. no")</f>
        <v/>
      </c>
      <c r="D1121" s="52">
        <f t="array" ref="D1121:W1121">IF(All_Students_Scores!C1119:V1119="","",All_Students_Scores!C1119:V1119)</f>
        <v/>
      </c>
      <c r="E1121" s="55" t="str"/>
      <c r="F1121" s="48" t="str"/>
      <c r="G1121" s="58" t="str"/>
      <c r="H1121" s="62" t="str"/>
      <c r="I1121" s="63" t="str"/>
      <c r="J1121" s="48" t="str"/>
      <c r="K1121" s="58" t="str"/>
      <c r="L1121" s="42" t="str"/>
      <c r="M1121" s="42" t="str"/>
      <c r="N1121" s="48" t="str"/>
      <c r="O1121" s="58" t="str"/>
      <c r="P1121" s="42" t="str"/>
      <c r="Q1121" s="42" t="str"/>
      <c r="R1121" s="48" t="str"/>
      <c r="S1121" s="58" t="str"/>
      <c r="T1121" s="42" t="str"/>
      <c r="U1121" s="42" t="str"/>
      <c r="V1121" s="48" t="str"/>
      <c r="W1121" s="58" t="str"/>
      <c r="X1121" s="42" t="n"/>
      <c r="Y1121" s="42" t="n"/>
    </row>
    <row r="1122">
      <c r="B1122" s="2">
        <f>IF(STUDENTS!B1121="","",STUDENTS!B1121)</f>
        <v/>
      </c>
      <c r="C1122" s="44">
        <f>IFERROR(IF(B1122="","",_xlfn.XLOOKUP(B1122,STUDENTS!$B$3:$B$1048576,STUDENTS!$C$3:$C$1048576)),"Enter a registered reg. no")</f>
        <v/>
      </c>
      <c r="D1122" s="52">
        <f t="array" ref="D1122:W1122">IF(All_Students_Scores!C1120:V1120="","",All_Students_Scores!C1120:V1120)</f>
        <v/>
      </c>
      <c r="E1122" s="57" t="str"/>
      <c r="F1122" s="49" t="str"/>
      <c r="G1122" s="59" t="str"/>
      <c r="H1122" s="64" t="str"/>
      <c r="I1122" s="65" t="str"/>
      <c r="J1122" s="66" t="str"/>
      <c r="K1122" s="67" t="str"/>
      <c r="L1122" s="41" t="str"/>
      <c r="M1122" s="41" t="str"/>
      <c r="N1122" s="66" t="str"/>
      <c r="O1122" s="67" t="str"/>
      <c r="P1122" s="41" t="str"/>
      <c r="Q1122" s="41" t="str"/>
      <c r="R1122" s="66" t="str"/>
      <c r="S1122" s="67" t="str"/>
      <c r="T1122" s="41" t="str"/>
      <c r="U1122" s="41" t="str"/>
      <c r="V1122" s="66" t="str"/>
      <c r="W1122" s="67" t="str"/>
    </row>
    <row r="1123">
      <c r="B1123" s="2">
        <f>IF(STUDENTS!B1122="","",STUDENTS!B1122)</f>
        <v/>
      </c>
      <c r="C1123" s="44">
        <f>IFERROR(IF(B1123="","",_xlfn.XLOOKUP(B1123,STUDENTS!$B$3:$B$1048576,STUDENTS!$C$3:$C$1048576)),"Enter a registered reg. no")</f>
        <v/>
      </c>
      <c r="D1123" s="52">
        <f t="array" ref="D1123:W1123">IF(All_Students_Scores!C1121:V1121="","",All_Students_Scores!C1121:V1121)</f>
        <v/>
      </c>
      <c r="E1123" s="55" t="str"/>
      <c r="F1123" s="48" t="str"/>
      <c r="G1123" s="58" t="str"/>
      <c r="H1123" s="62" t="str"/>
      <c r="I1123" s="63" t="str"/>
      <c r="J1123" s="48" t="str"/>
      <c r="K1123" s="58" t="str"/>
      <c r="L1123" s="42" t="str"/>
      <c r="M1123" s="42" t="str"/>
      <c r="N1123" s="48" t="str"/>
      <c r="O1123" s="58" t="str"/>
      <c r="P1123" s="42" t="str"/>
      <c r="Q1123" s="42" t="str"/>
      <c r="R1123" s="48" t="str"/>
      <c r="S1123" s="58" t="str"/>
      <c r="T1123" s="42" t="str"/>
      <c r="U1123" s="42" t="str"/>
      <c r="V1123" s="48" t="str"/>
      <c r="W1123" s="58" t="str"/>
      <c r="X1123" s="42" t="n"/>
      <c r="Y1123" s="42" t="n"/>
    </row>
    <row r="1124">
      <c r="B1124" s="2">
        <f>IF(STUDENTS!B1123="","",STUDENTS!B1123)</f>
        <v/>
      </c>
      <c r="C1124" s="44">
        <f>IFERROR(IF(B1124="","",_xlfn.XLOOKUP(B1124,STUDENTS!$B$3:$B$1048576,STUDENTS!$C$3:$C$1048576)),"Enter a registered reg. no")</f>
        <v/>
      </c>
      <c r="D1124" s="52">
        <f t="array" ref="D1124:W1124">IF(All_Students_Scores!C1122:V1122="","",All_Students_Scores!C1122:V1122)</f>
        <v/>
      </c>
      <c r="E1124" s="57" t="str"/>
      <c r="F1124" s="49" t="str"/>
      <c r="G1124" s="59" t="str"/>
      <c r="H1124" s="64" t="str"/>
      <c r="I1124" s="65" t="str"/>
      <c r="J1124" s="66" t="str"/>
      <c r="K1124" s="67" t="str"/>
      <c r="L1124" s="41" t="str"/>
      <c r="M1124" s="41" t="str"/>
      <c r="N1124" s="66" t="str"/>
      <c r="O1124" s="67" t="str"/>
      <c r="P1124" s="41" t="str"/>
      <c r="Q1124" s="41" t="str"/>
      <c r="R1124" s="66" t="str"/>
      <c r="S1124" s="67" t="str"/>
      <c r="T1124" s="41" t="str"/>
      <c r="U1124" s="41" t="str"/>
      <c r="V1124" s="66" t="str"/>
      <c r="W1124" s="67" t="str"/>
    </row>
    <row r="1125">
      <c r="B1125" s="2">
        <f>IF(STUDENTS!B1124="","",STUDENTS!B1124)</f>
        <v/>
      </c>
      <c r="C1125" s="44">
        <f>IFERROR(IF(B1125="","",_xlfn.XLOOKUP(B1125,STUDENTS!$B$3:$B$1048576,STUDENTS!$C$3:$C$1048576)),"Enter a registered reg. no")</f>
        <v/>
      </c>
      <c r="D1125" s="52">
        <f t="array" ref="D1125:W1125">IF(All_Students_Scores!C1123:V1123="","",All_Students_Scores!C1123:V1123)</f>
        <v/>
      </c>
      <c r="E1125" s="55" t="str"/>
      <c r="F1125" s="48" t="str"/>
      <c r="G1125" s="58" t="str"/>
      <c r="H1125" s="62" t="str"/>
      <c r="I1125" s="63" t="str"/>
      <c r="J1125" s="48" t="str"/>
      <c r="K1125" s="58" t="str"/>
      <c r="L1125" s="42" t="str"/>
      <c r="M1125" s="42" t="str"/>
      <c r="N1125" s="48" t="str"/>
      <c r="O1125" s="58" t="str"/>
      <c r="P1125" s="42" t="str"/>
      <c r="Q1125" s="42" t="str"/>
      <c r="R1125" s="48" t="str"/>
      <c r="S1125" s="58" t="str"/>
      <c r="T1125" s="42" t="str"/>
      <c r="U1125" s="42" t="str"/>
      <c r="V1125" s="48" t="str"/>
      <c r="W1125" s="58" t="str"/>
      <c r="X1125" s="42" t="n"/>
      <c r="Y1125" s="42" t="n"/>
    </row>
    <row r="1126">
      <c r="B1126" s="2">
        <f>IF(STUDENTS!B1125="","",STUDENTS!B1125)</f>
        <v/>
      </c>
      <c r="C1126" s="44">
        <f>IFERROR(IF(B1126="","",_xlfn.XLOOKUP(B1126,STUDENTS!$B$3:$B$1048576,STUDENTS!$C$3:$C$1048576)),"Enter a registered reg. no")</f>
        <v/>
      </c>
      <c r="D1126" s="52">
        <f t="array" ref="D1126:W1126">IF(All_Students_Scores!C1124:V1124="","",All_Students_Scores!C1124:V1124)</f>
        <v/>
      </c>
      <c r="E1126" s="57" t="str"/>
      <c r="F1126" s="49" t="str"/>
      <c r="G1126" s="59" t="str"/>
      <c r="H1126" s="64" t="str"/>
      <c r="I1126" s="65" t="str"/>
      <c r="J1126" s="66" t="str"/>
      <c r="K1126" s="67" t="str"/>
      <c r="L1126" s="41" t="str"/>
      <c r="M1126" s="41" t="str"/>
      <c r="N1126" s="66" t="str"/>
      <c r="O1126" s="67" t="str"/>
      <c r="P1126" s="41" t="str"/>
      <c r="Q1126" s="41" t="str"/>
      <c r="R1126" s="66" t="str"/>
      <c r="S1126" s="67" t="str"/>
      <c r="T1126" s="41" t="str"/>
      <c r="U1126" s="41" t="str"/>
      <c r="V1126" s="66" t="str"/>
      <c r="W1126" s="67" t="str"/>
    </row>
    <row r="1127">
      <c r="B1127" s="2">
        <f>IF(STUDENTS!B1126="","",STUDENTS!B1126)</f>
        <v/>
      </c>
      <c r="C1127" s="44">
        <f>IFERROR(IF(B1127="","",_xlfn.XLOOKUP(B1127,STUDENTS!$B$3:$B$1048576,STUDENTS!$C$3:$C$1048576)),"Enter a registered reg. no")</f>
        <v/>
      </c>
      <c r="D1127" s="52">
        <f t="array" ref="D1127:W1127">IF(All_Students_Scores!C1125:V1125="","",All_Students_Scores!C1125:V1125)</f>
        <v/>
      </c>
      <c r="E1127" s="55" t="str"/>
      <c r="F1127" s="48" t="str"/>
      <c r="G1127" s="58" t="str"/>
      <c r="H1127" s="62" t="str"/>
      <c r="I1127" s="63" t="str"/>
      <c r="J1127" s="48" t="str"/>
      <c r="K1127" s="58" t="str"/>
      <c r="L1127" s="42" t="str"/>
      <c r="M1127" s="42" t="str"/>
      <c r="N1127" s="48" t="str"/>
      <c r="O1127" s="58" t="str"/>
      <c r="P1127" s="42" t="str"/>
      <c r="Q1127" s="42" t="str"/>
      <c r="R1127" s="48" t="str"/>
      <c r="S1127" s="58" t="str"/>
      <c r="T1127" s="42" t="str"/>
      <c r="U1127" s="42" t="str"/>
      <c r="V1127" s="48" t="str"/>
      <c r="W1127" s="58" t="str"/>
      <c r="X1127" s="42" t="n"/>
      <c r="Y1127" s="42" t="n"/>
    </row>
    <row r="1128">
      <c r="B1128" s="2">
        <f>IF(STUDENTS!B1127="","",STUDENTS!B1127)</f>
        <v/>
      </c>
      <c r="C1128" s="44">
        <f>IFERROR(IF(B1128="","",_xlfn.XLOOKUP(B1128,STUDENTS!$B$3:$B$1048576,STUDENTS!$C$3:$C$1048576)),"Enter a registered reg. no")</f>
        <v/>
      </c>
      <c r="D1128" s="52">
        <f t="array" ref="D1128:W1128">IF(All_Students_Scores!C1126:V1126="","",All_Students_Scores!C1126:V1126)</f>
        <v/>
      </c>
      <c r="E1128" s="57" t="str"/>
      <c r="F1128" s="49" t="str"/>
      <c r="G1128" s="59" t="str"/>
      <c r="H1128" s="64" t="str"/>
      <c r="I1128" s="65" t="str"/>
      <c r="J1128" s="66" t="str"/>
      <c r="K1128" s="67" t="str"/>
      <c r="L1128" s="41" t="str"/>
      <c r="M1128" s="41" t="str"/>
      <c r="N1128" s="66" t="str"/>
      <c r="O1128" s="67" t="str"/>
      <c r="P1128" s="41" t="str"/>
      <c r="Q1128" s="41" t="str"/>
      <c r="R1128" s="66" t="str"/>
      <c r="S1128" s="67" t="str"/>
      <c r="T1128" s="41" t="str"/>
      <c r="U1128" s="41" t="str"/>
      <c r="V1128" s="66" t="str"/>
      <c r="W1128" s="67" t="str"/>
    </row>
    <row r="1129">
      <c r="B1129" s="2">
        <f>IF(STUDENTS!B1128="","",STUDENTS!B1128)</f>
        <v/>
      </c>
      <c r="C1129" s="44">
        <f>IFERROR(IF(B1129="","",_xlfn.XLOOKUP(B1129,STUDENTS!$B$3:$B$1048576,STUDENTS!$C$3:$C$1048576)),"Enter a registered reg. no")</f>
        <v/>
      </c>
      <c r="D1129" s="52">
        <f t="array" ref="D1129:W1129">IF(All_Students_Scores!C1127:V1127="","",All_Students_Scores!C1127:V1127)</f>
        <v/>
      </c>
      <c r="E1129" s="55" t="str"/>
      <c r="F1129" s="48" t="str"/>
      <c r="G1129" s="58" t="str"/>
      <c r="H1129" s="62" t="str"/>
      <c r="I1129" s="63" t="str"/>
      <c r="J1129" s="48" t="str"/>
      <c r="K1129" s="58" t="str"/>
      <c r="L1129" s="42" t="str"/>
      <c r="M1129" s="42" t="str"/>
      <c r="N1129" s="48" t="str"/>
      <c r="O1129" s="58" t="str"/>
      <c r="P1129" s="42" t="str"/>
      <c r="Q1129" s="42" t="str"/>
      <c r="R1129" s="48" t="str"/>
      <c r="S1129" s="58" t="str"/>
      <c r="T1129" s="42" t="str"/>
      <c r="U1129" s="42" t="str"/>
      <c r="V1129" s="48" t="str"/>
      <c r="W1129" s="58" t="str"/>
      <c r="X1129" s="42" t="n"/>
      <c r="Y1129" s="42" t="n"/>
    </row>
    <row r="1130">
      <c r="B1130" s="2">
        <f>IF(STUDENTS!B1129="","",STUDENTS!B1129)</f>
        <v/>
      </c>
      <c r="C1130" s="44">
        <f>IFERROR(IF(B1130="","",_xlfn.XLOOKUP(B1130,STUDENTS!$B$3:$B$1048576,STUDENTS!$C$3:$C$1048576)),"Enter a registered reg. no")</f>
        <v/>
      </c>
      <c r="D1130" s="52">
        <f t="array" ref="D1130:W1130">IF(All_Students_Scores!C1128:V1128="","",All_Students_Scores!C1128:V1128)</f>
        <v/>
      </c>
      <c r="E1130" s="57" t="str"/>
      <c r="F1130" s="49" t="str"/>
      <c r="G1130" s="59" t="str"/>
      <c r="H1130" s="64" t="str"/>
      <c r="I1130" s="65" t="str"/>
      <c r="J1130" s="66" t="str"/>
      <c r="K1130" s="67" t="str"/>
      <c r="L1130" s="41" t="str"/>
      <c r="M1130" s="41" t="str"/>
      <c r="N1130" s="66" t="str"/>
      <c r="O1130" s="67" t="str"/>
      <c r="P1130" s="41" t="str"/>
      <c r="Q1130" s="41" t="str"/>
      <c r="R1130" s="66" t="str"/>
      <c r="S1130" s="67" t="str"/>
      <c r="T1130" s="41" t="str"/>
      <c r="U1130" s="41" t="str"/>
      <c r="V1130" s="66" t="str"/>
      <c r="W1130" s="67" t="str"/>
    </row>
    <row r="1131">
      <c r="B1131" s="2">
        <f>IF(STUDENTS!B1130="","",STUDENTS!B1130)</f>
        <v/>
      </c>
      <c r="C1131" s="44">
        <f>IFERROR(IF(B1131="","",_xlfn.XLOOKUP(B1131,STUDENTS!$B$3:$B$1048576,STUDENTS!$C$3:$C$1048576)),"Enter a registered reg. no")</f>
        <v/>
      </c>
      <c r="D1131" s="52">
        <f t="array" ref="D1131:W1131">IF(All_Students_Scores!C1129:V1129="","",All_Students_Scores!C1129:V1129)</f>
        <v/>
      </c>
      <c r="E1131" s="55" t="str"/>
      <c r="F1131" s="48" t="str"/>
      <c r="G1131" s="58" t="str"/>
      <c r="H1131" s="62" t="str"/>
      <c r="I1131" s="63" t="str"/>
      <c r="J1131" s="48" t="str"/>
      <c r="K1131" s="58" t="str"/>
      <c r="L1131" s="42" t="str"/>
      <c r="M1131" s="42" t="str"/>
      <c r="N1131" s="48" t="str"/>
      <c r="O1131" s="58" t="str"/>
      <c r="P1131" s="42" t="str"/>
      <c r="Q1131" s="42" t="str"/>
      <c r="R1131" s="48" t="str"/>
      <c r="S1131" s="58" t="str"/>
      <c r="T1131" s="42" t="str"/>
      <c r="U1131" s="42" t="str"/>
      <c r="V1131" s="48" t="str"/>
      <c r="W1131" s="58" t="str"/>
      <c r="X1131" s="42" t="n"/>
      <c r="Y1131" s="42" t="n"/>
    </row>
    <row r="1132">
      <c r="B1132" s="2">
        <f>IF(STUDENTS!B1131="","",STUDENTS!B1131)</f>
        <v/>
      </c>
      <c r="C1132" s="44">
        <f>IFERROR(IF(B1132="","",_xlfn.XLOOKUP(B1132,STUDENTS!$B$3:$B$1048576,STUDENTS!$C$3:$C$1048576)),"Enter a registered reg. no")</f>
        <v/>
      </c>
      <c r="D1132" s="52">
        <f t="array" ref="D1132:W1132">IF(All_Students_Scores!C1130:V1130="","",All_Students_Scores!C1130:V1130)</f>
        <v/>
      </c>
      <c r="E1132" s="57" t="str"/>
      <c r="F1132" s="49" t="str"/>
      <c r="G1132" s="59" t="str"/>
      <c r="H1132" s="64" t="str"/>
      <c r="I1132" s="65" t="str"/>
      <c r="J1132" s="66" t="str"/>
      <c r="K1132" s="67" t="str"/>
      <c r="L1132" s="41" t="str"/>
      <c r="M1132" s="41" t="str"/>
      <c r="N1132" s="66" t="str"/>
      <c r="O1132" s="67" t="str"/>
      <c r="P1132" s="41" t="str"/>
      <c r="Q1132" s="41" t="str"/>
      <c r="R1132" s="66" t="str"/>
      <c r="S1132" s="67" t="str"/>
      <c r="T1132" s="41" t="str"/>
      <c r="U1132" s="41" t="str"/>
      <c r="V1132" s="66" t="str"/>
      <c r="W1132" s="67" t="str"/>
    </row>
    <row r="1133">
      <c r="B1133" s="2">
        <f>IF(STUDENTS!B1132="","",STUDENTS!B1132)</f>
        <v/>
      </c>
      <c r="C1133" s="44">
        <f>IFERROR(IF(B1133="","",_xlfn.XLOOKUP(B1133,STUDENTS!$B$3:$B$1048576,STUDENTS!$C$3:$C$1048576)),"Enter a registered reg. no")</f>
        <v/>
      </c>
      <c r="D1133" s="52">
        <f t="array" ref="D1133:W1133">IF(All_Students_Scores!C1131:V1131="","",All_Students_Scores!C1131:V1131)</f>
        <v/>
      </c>
      <c r="E1133" s="55" t="str"/>
      <c r="F1133" s="48" t="str"/>
      <c r="G1133" s="58" t="str"/>
      <c r="H1133" s="62" t="str"/>
      <c r="I1133" s="63" t="str"/>
      <c r="J1133" s="48" t="str"/>
      <c r="K1133" s="58" t="str"/>
      <c r="L1133" s="42" t="str"/>
      <c r="M1133" s="42" t="str"/>
      <c r="N1133" s="48" t="str"/>
      <c r="O1133" s="58" t="str"/>
      <c r="P1133" s="42" t="str"/>
      <c r="Q1133" s="42" t="str"/>
      <c r="R1133" s="48" t="str"/>
      <c r="S1133" s="58" t="str"/>
      <c r="T1133" s="42" t="str"/>
      <c r="U1133" s="42" t="str"/>
      <c r="V1133" s="48" t="str"/>
      <c r="W1133" s="58" t="str"/>
      <c r="X1133" s="42" t="n"/>
      <c r="Y1133" s="42" t="n"/>
    </row>
    <row r="1134">
      <c r="B1134" s="2">
        <f>IF(STUDENTS!B1133="","",STUDENTS!B1133)</f>
        <v/>
      </c>
      <c r="C1134" s="44">
        <f>IFERROR(IF(B1134="","",_xlfn.XLOOKUP(B1134,STUDENTS!$B$3:$B$1048576,STUDENTS!$C$3:$C$1048576)),"Enter a registered reg. no")</f>
        <v/>
      </c>
      <c r="D1134" s="52">
        <f t="array" ref="D1134:W1134">IF(All_Students_Scores!C1132:V1132="","",All_Students_Scores!C1132:V1132)</f>
        <v/>
      </c>
      <c r="E1134" s="57" t="str"/>
      <c r="F1134" s="49" t="str"/>
      <c r="G1134" s="59" t="str"/>
      <c r="H1134" s="64" t="str"/>
      <c r="I1134" s="65" t="str"/>
      <c r="J1134" s="66" t="str"/>
      <c r="K1134" s="67" t="str"/>
      <c r="L1134" s="41" t="str"/>
      <c r="M1134" s="41" t="str"/>
      <c r="N1134" s="66" t="str"/>
      <c r="O1134" s="67" t="str"/>
      <c r="P1134" s="41" t="str"/>
      <c r="Q1134" s="41" t="str"/>
      <c r="R1134" s="66" t="str"/>
      <c r="S1134" s="67" t="str"/>
      <c r="T1134" s="41" t="str"/>
      <c r="U1134" s="41" t="str"/>
      <c r="V1134" s="66" t="str"/>
      <c r="W1134" s="67" t="str"/>
    </row>
    <row r="1135">
      <c r="B1135" s="2">
        <f>IF(STUDENTS!B1134="","",STUDENTS!B1134)</f>
        <v/>
      </c>
      <c r="C1135" s="44">
        <f>IFERROR(IF(B1135="","",_xlfn.XLOOKUP(B1135,STUDENTS!$B$3:$B$1048576,STUDENTS!$C$3:$C$1048576)),"Enter a registered reg. no")</f>
        <v/>
      </c>
      <c r="D1135" s="52">
        <f t="array" ref="D1135:W1135">IF(All_Students_Scores!C1133:V1133="","",All_Students_Scores!C1133:V1133)</f>
        <v/>
      </c>
      <c r="E1135" s="55" t="str"/>
      <c r="F1135" s="48" t="str"/>
      <c r="G1135" s="58" t="str"/>
      <c r="H1135" s="62" t="str"/>
      <c r="I1135" s="63" t="str"/>
      <c r="J1135" s="48" t="str"/>
      <c r="K1135" s="58" t="str"/>
      <c r="L1135" s="42" t="str"/>
      <c r="M1135" s="42" t="str"/>
      <c r="N1135" s="48" t="str"/>
      <c r="O1135" s="58" t="str"/>
      <c r="P1135" s="42" t="str"/>
      <c r="Q1135" s="42" t="str"/>
      <c r="R1135" s="48" t="str"/>
      <c r="S1135" s="58" t="str"/>
      <c r="T1135" s="42" t="str"/>
      <c r="U1135" s="42" t="str"/>
      <c r="V1135" s="48" t="str"/>
      <c r="W1135" s="58" t="str"/>
      <c r="X1135" s="42" t="n"/>
      <c r="Y1135" s="42" t="n"/>
    </row>
    <row r="1136">
      <c r="B1136" s="2">
        <f>IF(STUDENTS!B1135="","",STUDENTS!B1135)</f>
        <v/>
      </c>
      <c r="C1136" s="44">
        <f>IFERROR(IF(B1136="","",_xlfn.XLOOKUP(B1136,STUDENTS!$B$3:$B$1048576,STUDENTS!$C$3:$C$1048576)),"Enter a registered reg. no")</f>
        <v/>
      </c>
      <c r="D1136" s="52">
        <f t="array" ref="D1136:W1136">IF(All_Students_Scores!C1134:V1134="","",All_Students_Scores!C1134:V1134)</f>
        <v/>
      </c>
      <c r="E1136" s="57" t="str"/>
      <c r="F1136" s="49" t="str"/>
      <c r="G1136" s="59" t="str"/>
      <c r="H1136" s="64" t="str"/>
      <c r="I1136" s="65" t="str"/>
      <c r="J1136" s="66" t="str"/>
      <c r="K1136" s="67" t="str"/>
      <c r="L1136" s="41" t="str"/>
      <c r="M1136" s="41" t="str"/>
      <c r="N1136" s="66" t="str"/>
      <c r="O1136" s="67" t="str"/>
      <c r="P1136" s="41" t="str"/>
      <c r="Q1136" s="41" t="str"/>
      <c r="R1136" s="66" t="str"/>
      <c r="S1136" s="67" t="str"/>
      <c r="T1136" s="41" t="str"/>
      <c r="U1136" s="41" t="str"/>
      <c r="V1136" s="66" t="str"/>
      <c r="W1136" s="67" t="str"/>
    </row>
    <row r="1137">
      <c r="B1137" s="2">
        <f>IF(STUDENTS!B1136="","",STUDENTS!B1136)</f>
        <v/>
      </c>
      <c r="C1137" s="44">
        <f>IFERROR(IF(B1137="","",_xlfn.XLOOKUP(B1137,STUDENTS!$B$3:$B$1048576,STUDENTS!$C$3:$C$1048576)),"Enter a registered reg. no")</f>
        <v/>
      </c>
      <c r="D1137" s="52">
        <f t="array" ref="D1137:W1137">IF(All_Students_Scores!C1135:V1135="","",All_Students_Scores!C1135:V1135)</f>
        <v/>
      </c>
      <c r="E1137" s="55" t="str"/>
      <c r="F1137" s="48" t="str"/>
      <c r="G1137" s="58" t="str"/>
      <c r="H1137" s="62" t="str"/>
      <c r="I1137" s="63" t="str"/>
      <c r="J1137" s="48" t="str"/>
      <c r="K1137" s="58" t="str"/>
      <c r="L1137" s="42" t="str"/>
      <c r="M1137" s="42" t="str"/>
      <c r="N1137" s="48" t="str"/>
      <c r="O1137" s="58" t="str"/>
      <c r="P1137" s="42" t="str"/>
      <c r="Q1137" s="42" t="str"/>
      <c r="R1137" s="48" t="str"/>
      <c r="S1137" s="58" t="str"/>
      <c r="T1137" s="42" t="str"/>
      <c r="U1137" s="42" t="str"/>
      <c r="V1137" s="48" t="str"/>
      <c r="W1137" s="58" t="str"/>
      <c r="X1137" s="42" t="n"/>
      <c r="Y1137" s="42" t="n"/>
    </row>
    <row r="1138">
      <c r="B1138" s="2">
        <f>IF(STUDENTS!B1137="","",STUDENTS!B1137)</f>
        <v/>
      </c>
      <c r="C1138" s="44">
        <f>IFERROR(IF(B1138="","",_xlfn.XLOOKUP(B1138,STUDENTS!$B$3:$B$1048576,STUDENTS!$C$3:$C$1048576)),"Enter a registered reg. no")</f>
        <v/>
      </c>
      <c r="D1138" s="52">
        <f t="array" ref="D1138:W1138">IF(All_Students_Scores!C1136:V1136="","",All_Students_Scores!C1136:V1136)</f>
        <v/>
      </c>
      <c r="E1138" s="57" t="str"/>
      <c r="F1138" s="49" t="str"/>
      <c r="G1138" s="59" t="str"/>
      <c r="H1138" s="64" t="str"/>
      <c r="I1138" s="65" t="str"/>
      <c r="J1138" s="66" t="str"/>
      <c r="K1138" s="67" t="str"/>
      <c r="L1138" s="41" t="str"/>
      <c r="M1138" s="41" t="str"/>
      <c r="N1138" s="66" t="str"/>
      <c r="O1138" s="67" t="str"/>
      <c r="P1138" s="41" t="str"/>
      <c r="Q1138" s="41" t="str"/>
      <c r="R1138" s="66" t="str"/>
      <c r="S1138" s="67" t="str"/>
      <c r="T1138" s="41" t="str"/>
      <c r="U1138" s="41" t="str"/>
      <c r="V1138" s="66" t="str"/>
      <c r="W1138" s="67" t="str"/>
    </row>
    <row r="1139">
      <c r="B1139" s="2">
        <f>IF(STUDENTS!B1138="","",STUDENTS!B1138)</f>
        <v/>
      </c>
      <c r="C1139" s="44">
        <f>IFERROR(IF(B1139="","",_xlfn.XLOOKUP(B1139,STUDENTS!$B$3:$B$1048576,STUDENTS!$C$3:$C$1048576)),"Enter a registered reg. no")</f>
        <v/>
      </c>
      <c r="D1139" s="52">
        <f t="array" ref="D1139:W1139">IF(All_Students_Scores!C1137:V1137="","",All_Students_Scores!C1137:V1137)</f>
        <v/>
      </c>
      <c r="E1139" s="55" t="str"/>
      <c r="F1139" s="48" t="str"/>
      <c r="G1139" s="58" t="str"/>
      <c r="H1139" s="62" t="str"/>
      <c r="I1139" s="63" t="str"/>
      <c r="J1139" s="48" t="str"/>
      <c r="K1139" s="58" t="str"/>
      <c r="L1139" s="42" t="str"/>
      <c r="M1139" s="42" t="str"/>
      <c r="N1139" s="48" t="str"/>
      <c r="O1139" s="58" t="str"/>
      <c r="P1139" s="42" t="str"/>
      <c r="Q1139" s="42" t="str"/>
      <c r="R1139" s="48" t="str"/>
      <c r="S1139" s="58" t="str"/>
      <c r="T1139" s="42" t="str"/>
      <c r="U1139" s="42" t="str"/>
      <c r="V1139" s="48" t="str"/>
      <c r="W1139" s="58" t="str"/>
      <c r="X1139" s="42" t="n"/>
      <c r="Y1139" s="42" t="n"/>
    </row>
    <row r="1140">
      <c r="B1140" s="2">
        <f>IF(STUDENTS!B1139="","",STUDENTS!B1139)</f>
        <v/>
      </c>
      <c r="C1140" s="44">
        <f>IFERROR(IF(B1140="","",_xlfn.XLOOKUP(B1140,STUDENTS!$B$3:$B$1048576,STUDENTS!$C$3:$C$1048576)),"Enter a registered reg. no")</f>
        <v/>
      </c>
      <c r="D1140" s="52">
        <f t="array" ref="D1140:W1140">IF(All_Students_Scores!C1138:V1138="","",All_Students_Scores!C1138:V1138)</f>
        <v/>
      </c>
      <c r="E1140" s="57" t="str"/>
      <c r="F1140" s="49" t="str"/>
      <c r="G1140" s="59" t="str"/>
      <c r="H1140" s="64" t="str"/>
      <c r="I1140" s="65" t="str"/>
      <c r="J1140" s="66" t="str"/>
      <c r="K1140" s="67" t="str"/>
      <c r="L1140" s="41" t="str"/>
      <c r="M1140" s="41" t="str"/>
      <c r="N1140" s="66" t="str"/>
      <c r="O1140" s="67" t="str"/>
      <c r="P1140" s="41" t="str"/>
      <c r="Q1140" s="41" t="str"/>
      <c r="R1140" s="66" t="str"/>
      <c r="S1140" s="67" t="str"/>
      <c r="T1140" s="41" t="str"/>
      <c r="U1140" s="41" t="str"/>
      <c r="V1140" s="66" t="str"/>
      <c r="W1140" s="67" t="str"/>
    </row>
    <row r="1141">
      <c r="B1141" s="2">
        <f>IF(STUDENTS!B1140="","",STUDENTS!B1140)</f>
        <v/>
      </c>
      <c r="C1141" s="44">
        <f>IFERROR(IF(B1141="","",_xlfn.XLOOKUP(B1141,STUDENTS!$B$3:$B$1048576,STUDENTS!$C$3:$C$1048576)),"Enter a registered reg. no")</f>
        <v/>
      </c>
      <c r="D1141" s="52">
        <f t="array" ref="D1141:W1141">IF(All_Students_Scores!C1139:V1139="","",All_Students_Scores!C1139:V1139)</f>
        <v/>
      </c>
      <c r="E1141" s="55" t="str"/>
      <c r="F1141" s="48" t="str"/>
      <c r="G1141" s="58" t="str"/>
      <c r="H1141" s="62" t="str"/>
      <c r="I1141" s="63" t="str"/>
      <c r="J1141" s="48" t="str"/>
      <c r="K1141" s="58" t="str"/>
      <c r="L1141" s="42" t="str"/>
      <c r="M1141" s="42" t="str"/>
      <c r="N1141" s="48" t="str"/>
      <c r="O1141" s="58" t="str"/>
      <c r="P1141" s="42" t="str"/>
      <c r="Q1141" s="42" t="str"/>
      <c r="R1141" s="48" t="str"/>
      <c r="S1141" s="58" t="str"/>
      <c r="T1141" s="42" t="str"/>
      <c r="U1141" s="42" t="str"/>
      <c r="V1141" s="48" t="str"/>
      <c r="W1141" s="58" t="str"/>
      <c r="X1141" s="42" t="n"/>
      <c r="Y1141" s="42" t="n"/>
    </row>
    <row r="1142">
      <c r="B1142" s="2">
        <f>IF(STUDENTS!B1141="","",STUDENTS!B1141)</f>
        <v/>
      </c>
      <c r="C1142" s="44">
        <f>IFERROR(IF(B1142="","",_xlfn.XLOOKUP(B1142,STUDENTS!$B$3:$B$1048576,STUDENTS!$C$3:$C$1048576)),"Enter a registered reg. no")</f>
        <v/>
      </c>
      <c r="D1142" s="52">
        <f t="array" ref="D1142:W1142">IF(All_Students_Scores!C1140:V1140="","",All_Students_Scores!C1140:V1140)</f>
        <v/>
      </c>
      <c r="E1142" s="57" t="str"/>
      <c r="F1142" s="49" t="str"/>
      <c r="G1142" s="59" t="str"/>
      <c r="H1142" s="64" t="str"/>
      <c r="I1142" s="65" t="str"/>
      <c r="J1142" s="66" t="str"/>
      <c r="K1142" s="67" t="str"/>
      <c r="L1142" s="41" t="str"/>
      <c r="M1142" s="41" t="str"/>
      <c r="N1142" s="66" t="str"/>
      <c r="O1142" s="67" t="str"/>
      <c r="P1142" s="41" t="str"/>
      <c r="Q1142" s="41" t="str"/>
      <c r="R1142" s="66" t="str"/>
      <c r="S1142" s="67" t="str"/>
      <c r="T1142" s="41" t="str"/>
      <c r="U1142" s="41" t="str"/>
      <c r="V1142" s="66" t="str"/>
      <c r="W1142" s="67" t="str"/>
    </row>
    <row r="1143">
      <c r="B1143" s="2">
        <f>IF(STUDENTS!B1142="","",STUDENTS!B1142)</f>
        <v/>
      </c>
      <c r="C1143" s="44">
        <f>IFERROR(IF(B1143="","",_xlfn.XLOOKUP(B1143,STUDENTS!$B$3:$B$1048576,STUDENTS!$C$3:$C$1048576)),"Enter a registered reg. no")</f>
        <v/>
      </c>
      <c r="D1143" s="52">
        <f t="array" ref="D1143:W1143">IF(All_Students_Scores!C1141:V1141="","",All_Students_Scores!C1141:V1141)</f>
        <v/>
      </c>
      <c r="E1143" s="55" t="str"/>
      <c r="F1143" s="48" t="str"/>
      <c r="G1143" s="58" t="str"/>
      <c r="H1143" s="62" t="str"/>
      <c r="I1143" s="63" t="str"/>
      <c r="J1143" s="48" t="str"/>
      <c r="K1143" s="58" t="str"/>
      <c r="L1143" s="42" t="str"/>
      <c r="M1143" s="42" t="str"/>
      <c r="N1143" s="48" t="str"/>
      <c r="O1143" s="58" t="str"/>
      <c r="P1143" s="42" t="str"/>
      <c r="Q1143" s="42" t="str"/>
      <c r="R1143" s="48" t="str"/>
      <c r="S1143" s="58" t="str"/>
      <c r="T1143" s="42" t="str"/>
      <c r="U1143" s="42" t="str"/>
      <c r="V1143" s="48" t="str"/>
      <c r="W1143" s="58" t="str"/>
      <c r="X1143" s="42" t="n"/>
      <c r="Y1143" s="42" t="n"/>
    </row>
    <row r="1144">
      <c r="B1144" s="2">
        <f>IF(STUDENTS!B1143="","",STUDENTS!B1143)</f>
        <v/>
      </c>
      <c r="C1144" s="44">
        <f>IFERROR(IF(B1144="","",_xlfn.XLOOKUP(B1144,STUDENTS!$B$3:$B$1048576,STUDENTS!$C$3:$C$1048576)),"Enter a registered reg. no")</f>
        <v/>
      </c>
      <c r="D1144" s="52">
        <f t="array" ref="D1144:W1144">IF(All_Students_Scores!C1142:V1142="","",All_Students_Scores!C1142:V1142)</f>
        <v/>
      </c>
      <c r="E1144" s="57" t="str"/>
      <c r="F1144" s="49" t="str"/>
      <c r="G1144" s="59" t="str"/>
      <c r="H1144" s="64" t="str"/>
      <c r="I1144" s="65" t="str"/>
      <c r="J1144" s="66" t="str"/>
      <c r="K1144" s="67" t="str"/>
      <c r="L1144" s="41" t="str"/>
      <c r="M1144" s="41" t="str"/>
      <c r="N1144" s="66" t="str"/>
      <c r="O1144" s="67" t="str"/>
      <c r="P1144" s="41" t="str"/>
      <c r="Q1144" s="41" t="str"/>
      <c r="R1144" s="66" t="str"/>
      <c r="S1144" s="67" t="str"/>
      <c r="T1144" s="41" t="str"/>
      <c r="U1144" s="41" t="str"/>
      <c r="V1144" s="66" t="str"/>
      <c r="W1144" s="67" t="str"/>
    </row>
    <row r="1145">
      <c r="B1145" s="2">
        <f>IF(STUDENTS!B1144="","",STUDENTS!B1144)</f>
        <v/>
      </c>
      <c r="C1145" s="44">
        <f>IFERROR(IF(B1145="","",_xlfn.XLOOKUP(B1145,STUDENTS!$B$3:$B$1048576,STUDENTS!$C$3:$C$1048576)),"Enter a registered reg. no")</f>
        <v/>
      </c>
      <c r="D1145" s="52">
        <f t="array" ref="D1145:W1145">IF(All_Students_Scores!C1143:V1143="","",All_Students_Scores!C1143:V1143)</f>
        <v/>
      </c>
      <c r="E1145" s="55" t="str"/>
      <c r="F1145" s="48" t="str"/>
      <c r="G1145" s="58" t="str"/>
      <c r="H1145" s="62" t="str"/>
      <c r="I1145" s="63" t="str"/>
      <c r="J1145" s="48" t="str"/>
      <c r="K1145" s="58" t="str"/>
      <c r="L1145" s="42" t="str"/>
      <c r="M1145" s="42" t="str"/>
      <c r="N1145" s="48" t="str"/>
      <c r="O1145" s="58" t="str"/>
      <c r="P1145" s="42" t="str"/>
      <c r="Q1145" s="42" t="str"/>
      <c r="R1145" s="48" t="str"/>
      <c r="S1145" s="58" t="str"/>
      <c r="T1145" s="42" t="str"/>
      <c r="U1145" s="42" t="str"/>
      <c r="V1145" s="48" t="str"/>
      <c r="W1145" s="58" t="str"/>
      <c r="X1145" s="42" t="n"/>
      <c r="Y1145" s="42" t="n"/>
    </row>
    <row r="1146">
      <c r="B1146" s="2">
        <f>IF(STUDENTS!B1145="","",STUDENTS!B1145)</f>
        <v/>
      </c>
      <c r="C1146" s="44">
        <f>IFERROR(IF(B1146="","",_xlfn.XLOOKUP(B1146,STUDENTS!$B$3:$B$1048576,STUDENTS!$C$3:$C$1048576)),"Enter a registered reg. no")</f>
        <v/>
      </c>
      <c r="D1146" s="52">
        <f t="array" ref="D1146:W1146">IF(All_Students_Scores!C1144:V1144="","",All_Students_Scores!C1144:V1144)</f>
        <v/>
      </c>
      <c r="E1146" s="57" t="str"/>
      <c r="F1146" s="49" t="str"/>
      <c r="G1146" s="59" t="str"/>
      <c r="H1146" s="64" t="str"/>
      <c r="I1146" s="65" t="str"/>
      <c r="J1146" s="66" t="str"/>
      <c r="K1146" s="67" t="str"/>
      <c r="L1146" s="41" t="str"/>
      <c r="M1146" s="41" t="str"/>
      <c r="N1146" s="66" t="str"/>
      <c r="O1146" s="67" t="str"/>
      <c r="P1146" s="41" t="str"/>
      <c r="Q1146" s="41" t="str"/>
      <c r="R1146" s="66" t="str"/>
      <c r="S1146" s="67" t="str"/>
      <c r="T1146" s="41" t="str"/>
      <c r="U1146" s="41" t="str"/>
      <c r="V1146" s="66" t="str"/>
      <c r="W1146" s="67" t="str"/>
    </row>
    <row r="1147">
      <c r="B1147" s="2">
        <f>IF(STUDENTS!B1146="","",STUDENTS!B1146)</f>
        <v/>
      </c>
      <c r="C1147" s="44">
        <f>IFERROR(IF(B1147="","",_xlfn.XLOOKUP(B1147,STUDENTS!$B$3:$B$1048576,STUDENTS!$C$3:$C$1048576)),"Enter a registered reg. no")</f>
        <v/>
      </c>
      <c r="D1147" s="52">
        <f t="array" ref="D1147:W1147">IF(All_Students_Scores!C1145:V1145="","",All_Students_Scores!C1145:V1145)</f>
        <v/>
      </c>
      <c r="E1147" s="55" t="str"/>
      <c r="F1147" s="48" t="str"/>
      <c r="G1147" s="58" t="str"/>
      <c r="H1147" s="62" t="str"/>
      <c r="I1147" s="63" t="str"/>
      <c r="J1147" s="48" t="str"/>
      <c r="K1147" s="58" t="str"/>
      <c r="L1147" s="42" t="str"/>
      <c r="M1147" s="42" t="str"/>
      <c r="N1147" s="48" t="str"/>
      <c r="O1147" s="58" t="str"/>
      <c r="P1147" s="42" t="str"/>
      <c r="Q1147" s="42" t="str"/>
      <c r="R1147" s="48" t="str"/>
      <c r="S1147" s="58" t="str"/>
      <c r="T1147" s="42" t="str"/>
      <c r="U1147" s="42" t="str"/>
      <c r="V1147" s="48" t="str"/>
      <c r="W1147" s="58" t="str"/>
      <c r="X1147" s="42" t="n"/>
      <c r="Y1147" s="42" t="n"/>
    </row>
    <row r="1148">
      <c r="B1148" s="2">
        <f>IF(STUDENTS!B1147="","",STUDENTS!B1147)</f>
        <v/>
      </c>
      <c r="C1148" s="44">
        <f>IFERROR(IF(B1148="","",_xlfn.XLOOKUP(B1148,STUDENTS!$B$3:$B$1048576,STUDENTS!$C$3:$C$1048576)),"Enter a registered reg. no")</f>
        <v/>
      </c>
      <c r="D1148" s="52">
        <f t="array" ref="D1148:W1148">IF(All_Students_Scores!C1146:V1146="","",All_Students_Scores!C1146:V1146)</f>
        <v/>
      </c>
      <c r="E1148" s="57" t="str"/>
      <c r="F1148" s="49" t="str"/>
      <c r="G1148" s="59" t="str"/>
      <c r="H1148" s="64" t="str"/>
      <c r="I1148" s="65" t="str"/>
      <c r="J1148" s="66" t="str"/>
      <c r="K1148" s="67" t="str"/>
      <c r="L1148" s="41" t="str"/>
      <c r="M1148" s="41" t="str"/>
      <c r="N1148" s="66" t="str"/>
      <c r="O1148" s="67" t="str"/>
      <c r="P1148" s="41" t="str"/>
      <c r="Q1148" s="41" t="str"/>
      <c r="R1148" s="66" t="str"/>
      <c r="S1148" s="67" t="str"/>
      <c r="T1148" s="41" t="str"/>
      <c r="U1148" s="41" t="str"/>
      <c r="V1148" s="66" t="str"/>
      <c r="W1148" s="67" t="str"/>
    </row>
    <row r="1149">
      <c r="B1149" s="2">
        <f>IF(STUDENTS!B1148="","",STUDENTS!B1148)</f>
        <v/>
      </c>
      <c r="C1149" s="44">
        <f>IFERROR(IF(B1149="","",_xlfn.XLOOKUP(B1149,STUDENTS!$B$3:$B$1048576,STUDENTS!$C$3:$C$1048576)),"Enter a registered reg. no")</f>
        <v/>
      </c>
      <c r="D1149" s="52">
        <f t="array" ref="D1149:W1149">IF(All_Students_Scores!C1147:V1147="","",All_Students_Scores!C1147:V1147)</f>
        <v/>
      </c>
      <c r="E1149" s="55" t="str"/>
      <c r="F1149" s="48" t="str"/>
      <c r="G1149" s="58" t="str"/>
      <c r="H1149" s="62" t="str"/>
      <c r="I1149" s="63" t="str"/>
      <c r="J1149" s="48" t="str"/>
      <c r="K1149" s="58" t="str"/>
      <c r="L1149" s="42" t="str"/>
      <c r="M1149" s="42" t="str"/>
      <c r="N1149" s="48" t="str"/>
      <c r="O1149" s="58" t="str"/>
      <c r="P1149" s="42" t="str"/>
      <c r="Q1149" s="42" t="str"/>
      <c r="R1149" s="48" t="str"/>
      <c r="S1149" s="58" t="str"/>
      <c r="T1149" s="42" t="str"/>
      <c r="U1149" s="42" t="str"/>
      <c r="V1149" s="48" t="str"/>
      <c r="W1149" s="58" t="str"/>
      <c r="X1149" s="42" t="n"/>
      <c r="Y1149" s="42" t="n"/>
    </row>
    <row r="1150">
      <c r="B1150" s="2">
        <f>IF(STUDENTS!B1149="","",STUDENTS!B1149)</f>
        <v/>
      </c>
      <c r="C1150" s="44">
        <f>IFERROR(IF(B1150="","",_xlfn.XLOOKUP(B1150,STUDENTS!$B$3:$B$1048576,STUDENTS!$C$3:$C$1048576)),"Enter a registered reg. no")</f>
        <v/>
      </c>
      <c r="D1150" s="52">
        <f t="array" ref="D1150:W1150">IF(All_Students_Scores!C1148:V1148="","",All_Students_Scores!C1148:V1148)</f>
        <v/>
      </c>
      <c r="E1150" s="57" t="str"/>
      <c r="F1150" s="49" t="str"/>
      <c r="G1150" s="59" t="str"/>
      <c r="H1150" s="64" t="str"/>
      <c r="I1150" s="65" t="str"/>
      <c r="J1150" s="66" t="str"/>
      <c r="K1150" s="67" t="str"/>
      <c r="L1150" s="41" t="str"/>
      <c r="M1150" s="41" t="str"/>
      <c r="N1150" s="66" t="str"/>
      <c r="O1150" s="67" t="str"/>
      <c r="P1150" s="41" t="str"/>
      <c r="Q1150" s="41" t="str"/>
      <c r="R1150" s="66" t="str"/>
      <c r="S1150" s="67" t="str"/>
      <c r="T1150" s="41" t="str"/>
      <c r="U1150" s="41" t="str"/>
      <c r="V1150" s="66" t="str"/>
      <c r="W1150" s="67" t="str"/>
    </row>
    <row r="1151">
      <c r="B1151" s="2">
        <f>IF(STUDENTS!B1150="","",STUDENTS!B1150)</f>
        <v/>
      </c>
      <c r="C1151" s="44">
        <f>IFERROR(IF(B1151="","",_xlfn.XLOOKUP(B1151,STUDENTS!$B$3:$B$1048576,STUDENTS!$C$3:$C$1048576)),"Enter a registered reg. no")</f>
        <v/>
      </c>
      <c r="D1151" s="52">
        <f t="array" ref="D1151:W1151">IF(All_Students_Scores!C1149:V1149="","",All_Students_Scores!C1149:V1149)</f>
        <v/>
      </c>
      <c r="E1151" s="55" t="str"/>
      <c r="F1151" s="48" t="str"/>
      <c r="G1151" s="58" t="str"/>
      <c r="H1151" s="62" t="str"/>
      <c r="I1151" s="63" t="str"/>
      <c r="J1151" s="48" t="str"/>
      <c r="K1151" s="58" t="str"/>
      <c r="L1151" s="42" t="str"/>
      <c r="M1151" s="42" t="str"/>
      <c r="N1151" s="48" t="str"/>
      <c r="O1151" s="58" t="str"/>
      <c r="P1151" s="42" t="str"/>
      <c r="Q1151" s="42" t="str"/>
      <c r="R1151" s="48" t="str"/>
      <c r="S1151" s="58" t="str"/>
      <c r="T1151" s="42" t="str"/>
      <c r="U1151" s="42" t="str"/>
      <c r="V1151" s="48" t="str"/>
      <c r="W1151" s="58" t="str"/>
      <c r="X1151" s="42" t="n"/>
      <c r="Y1151" s="42" t="n"/>
    </row>
    <row r="1152">
      <c r="B1152" s="2">
        <f>IF(STUDENTS!B1151="","",STUDENTS!B1151)</f>
        <v/>
      </c>
      <c r="C1152" s="44">
        <f>IFERROR(IF(B1152="","",_xlfn.XLOOKUP(B1152,STUDENTS!$B$3:$B$1048576,STUDENTS!$C$3:$C$1048576)),"Enter a registered reg. no")</f>
        <v/>
      </c>
      <c r="D1152" s="52">
        <f t="array" ref="D1152:W1152">IF(All_Students_Scores!C1150:V1150="","",All_Students_Scores!C1150:V1150)</f>
        <v/>
      </c>
      <c r="E1152" s="57" t="str"/>
      <c r="F1152" s="49" t="str"/>
      <c r="G1152" s="59" t="str"/>
      <c r="H1152" s="64" t="str"/>
      <c r="I1152" s="65" t="str"/>
      <c r="J1152" s="66" t="str"/>
      <c r="K1152" s="67" t="str"/>
      <c r="L1152" s="41" t="str"/>
      <c r="M1152" s="41" t="str"/>
      <c r="N1152" s="66" t="str"/>
      <c r="O1152" s="67" t="str"/>
      <c r="P1152" s="41" t="str"/>
      <c r="Q1152" s="41" t="str"/>
      <c r="R1152" s="66" t="str"/>
      <c r="S1152" s="67" t="str"/>
      <c r="T1152" s="41" t="str"/>
      <c r="U1152" s="41" t="str"/>
      <c r="V1152" s="66" t="str"/>
      <c r="W1152" s="67" t="str"/>
    </row>
    <row r="1153">
      <c r="B1153" s="2">
        <f>IF(STUDENTS!B1152="","",STUDENTS!B1152)</f>
        <v/>
      </c>
      <c r="C1153" s="44">
        <f>IFERROR(IF(B1153="","",_xlfn.XLOOKUP(B1153,STUDENTS!$B$3:$B$1048576,STUDENTS!$C$3:$C$1048576)),"Enter a registered reg. no")</f>
        <v/>
      </c>
      <c r="D1153" s="52">
        <f t="array" ref="D1153:W1153">IF(All_Students_Scores!C1151:V1151="","",All_Students_Scores!C1151:V1151)</f>
        <v/>
      </c>
      <c r="E1153" s="55" t="str"/>
      <c r="F1153" s="48" t="str"/>
      <c r="G1153" s="58" t="str"/>
      <c r="H1153" s="62" t="str"/>
      <c r="I1153" s="63" t="str"/>
      <c r="J1153" s="48" t="str"/>
      <c r="K1153" s="58" t="str"/>
      <c r="L1153" s="42" t="str"/>
      <c r="M1153" s="42" t="str"/>
      <c r="N1153" s="48" t="str"/>
      <c r="O1153" s="58" t="str"/>
      <c r="P1153" s="42" t="str"/>
      <c r="Q1153" s="42" t="str"/>
      <c r="R1153" s="48" t="str"/>
      <c r="S1153" s="58" t="str"/>
      <c r="T1153" s="42" t="str"/>
      <c r="U1153" s="42" t="str"/>
      <c r="V1153" s="48" t="str"/>
      <c r="W1153" s="58" t="str"/>
      <c r="X1153" s="42" t="n"/>
      <c r="Y1153" s="42" t="n"/>
    </row>
    <row r="1154">
      <c r="B1154" s="2">
        <f>IF(STUDENTS!B1153="","",STUDENTS!B1153)</f>
        <v/>
      </c>
      <c r="C1154" s="44">
        <f>IFERROR(IF(B1154="","",_xlfn.XLOOKUP(B1154,STUDENTS!$B$3:$B$1048576,STUDENTS!$C$3:$C$1048576)),"Enter a registered reg. no")</f>
        <v/>
      </c>
      <c r="D1154" s="52">
        <f t="array" ref="D1154:W1154">IF(All_Students_Scores!C1152:V1152="","",All_Students_Scores!C1152:V1152)</f>
        <v/>
      </c>
      <c r="E1154" s="57" t="str"/>
      <c r="F1154" s="49" t="str"/>
      <c r="G1154" s="59" t="str"/>
      <c r="H1154" s="64" t="str"/>
      <c r="I1154" s="65" t="str"/>
      <c r="J1154" s="66" t="str"/>
      <c r="K1154" s="67" t="str"/>
      <c r="L1154" s="41" t="str"/>
      <c r="M1154" s="41" t="str"/>
      <c r="N1154" s="66" t="str"/>
      <c r="O1154" s="67" t="str"/>
      <c r="P1154" s="41" t="str"/>
      <c r="Q1154" s="41" t="str"/>
      <c r="R1154" s="66" t="str"/>
      <c r="S1154" s="67" t="str"/>
      <c r="T1154" s="41" t="str"/>
      <c r="U1154" s="41" t="str"/>
      <c r="V1154" s="66" t="str"/>
      <c r="W1154" s="67" t="str"/>
    </row>
    <row r="1155">
      <c r="B1155" s="2">
        <f>IF(STUDENTS!B1154="","",STUDENTS!B1154)</f>
        <v/>
      </c>
      <c r="C1155" s="44">
        <f>IFERROR(IF(B1155="","",_xlfn.XLOOKUP(B1155,STUDENTS!$B$3:$B$1048576,STUDENTS!$C$3:$C$1048576)),"Enter a registered reg. no")</f>
        <v/>
      </c>
      <c r="D1155" s="52">
        <f t="array" ref="D1155:W1155">IF(All_Students_Scores!C1153:V1153="","",All_Students_Scores!C1153:V1153)</f>
        <v/>
      </c>
      <c r="E1155" s="55" t="str"/>
      <c r="F1155" s="48" t="str"/>
      <c r="G1155" s="58" t="str"/>
      <c r="H1155" s="62" t="str"/>
      <c r="I1155" s="63" t="str"/>
      <c r="J1155" s="48" t="str"/>
      <c r="K1155" s="58" t="str"/>
      <c r="L1155" s="42" t="str"/>
      <c r="M1155" s="42" t="str"/>
      <c r="N1155" s="48" t="str"/>
      <c r="O1155" s="58" t="str"/>
      <c r="P1155" s="42" t="str"/>
      <c r="Q1155" s="42" t="str"/>
      <c r="R1155" s="48" t="str"/>
      <c r="S1155" s="58" t="str"/>
      <c r="T1155" s="42" t="str"/>
      <c r="U1155" s="42" t="str"/>
      <c r="V1155" s="48" t="str"/>
      <c r="W1155" s="58" t="str"/>
      <c r="X1155" s="42" t="n"/>
      <c r="Y1155" s="42" t="n"/>
    </row>
    <row r="1156">
      <c r="B1156" s="2">
        <f>IF(STUDENTS!B1155="","",STUDENTS!B1155)</f>
        <v/>
      </c>
      <c r="C1156" s="44">
        <f>IFERROR(IF(B1156="","",_xlfn.XLOOKUP(B1156,STUDENTS!$B$3:$B$1048576,STUDENTS!$C$3:$C$1048576)),"Enter a registered reg. no")</f>
        <v/>
      </c>
      <c r="D1156" s="52">
        <f t="array" ref="D1156:W1156">IF(All_Students_Scores!C1154:V1154="","",All_Students_Scores!C1154:V1154)</f>
        <v/>
      </c>
      <c r="E1156" s="57" t="str"/>
      <c r="F1156" s="49" t="str"/>
      <c r="G1156" s="59" t="str"/>
      <c r="H1156" s="64" t="str"/>
      <c r="I1156" s="65" t="str"/>
      <c r="J1156" s="66" t="str"/>
      <c r="K1156" s="67" t="str"/>
      <c r="L1156" s="41" t="str"/>
      <c r="M1156" s="41" t="str"/>
      <c r="N1156" s="66" t="str"/>
      <c r="O1156" s="67" t="str"/>
      <c r="P1156" s="41" t="str"/>
      <c r="Q1156" s="41" t="str"/>
      <c r="R1156" s="66" t="str"/>
      <c r="S1156" s="67" t="str"/>
      <c r="T1156" s="41" t="str"/>
      <c r="U1156" s="41" t="str"/>
      <c r="V1156" s="66" t="str"/>
      <c r="W1156" s="67" t="str"/>
    </row>
    <row r="1157">
      <c r="B1157" s="2">
        <f>IF(STUDENTS!B1156="","",STUDENTS!B1156)</f>
        <v/>
      </c>
      <c r="C1157" s="44">
        <f>IFERROR(IF(B1157="","",_xlfn.XLOOKUP(B1157,STUDENTS!$B$3:$B$1048576,STUDENTS!$C$3:$C$1048576)),"Enter a registered reg. no")</f>
        <v/>
      </c>
      <c r="D1157" s="52">
        <f t="array" ref="D1157:W1157">IF(All_Students_Scores!C1155:V1155="","",All_Students_Scores!C1155:V1155)</f>
        <v/>
      </c>
      <c r="E1157" s="55" t="str"/>
      <c r="F1157" s="48" t="str"/>
      <c r="G1157" s="58" t="str"/>
      <c r="H1157" s="62" t="str"/>
      <c r="I1157" s="63" t="str"/>
      <c r="J1157" s="48" t="str"/>
      <c r="K1157" s="58" t="str"/>
      <c r="L1157" s="42" t="str"/>
      <c r="M1157" s="42" t="str"/>
      <c r="N1157" s="48" t="str"/>
      <c r="O1157" s="58" t="str"/>
      <c r="P1157" s="42" t="str"/>
      <c r="Q1157" s="42" t="str"/>
      <c r="R1157" s="48" t="str"/>
      <c r="S1157" s="58" t="str"/>
      <c r="T1157" s="42" t="str"/>
      <c r="U1157" s="42" t="str"/>
      <c r="V1157" s="48" t="str"/>
      <c r="W1157" s="58" t="str"/>
      <c r="X1157" s="42" t="n"/>
      <c r="Y1157" s="42" t="n"/>
    </row>
    <row r="1158">
      <c r="B1158" s="2">
        <f>IF(STUDENTS!B1157="","",STUDENTS!B1157)</f>
        <v/>
      </c>
      <c r="C1158" s="44">
        <f>IFERROR(IF(B1158="","",_xlfn.XLOOKUP(B1158,STUDENTS!$B$3:$B$1048576,STUDENTS!$C$3:$C$1048576)),"Enter a registered reg. no")</f>
        <v/>
      </c>
      <c r="D1158" s="52">
        <f t="array" ref="D1158:W1158">IF(All_Students_Scores!C1156:V1156="","",All_Students_Scores!C1156:V1156)</f>
        <v/>
      </c>
      <c r="E1158" s="57" t="str"/>
      <c r="F1158" s="49" t="str"/>
      <c r="G1158" s="59" t="str"/>
      <c r="H1158" s="64" t="str"/>
      <c r="I1158" s="65" t="str"/>
      <c r="J1158" s="66" t="str"/>
      <c r="K1158" s="67" t="str"/>
      <c r="L1158" s="41" t="str"/>
      <c r="M1158" s="41" t="str"/>
      <c r="N1158" s="66" t="str"/>
      <c r="O1158" s="67" t="str"/>
      <c r="P1158" s="41" t="str"/>
      <c r="Q1158" s="41" t="str"/>
      <c r="R1158" s="66" t="str"/>
      <c r="S1158" s="67" t="str"/>
      <c r="T1158" s="41" t="str"/>
      <c r="U1158" s="41" t="str"/>
      <c r="V1158" s="66" t="str"/>
      <c r="W1158" s="67" t="str"/>
    </row>
    <row r="1159">
      <c r="B1159" s="2">
        <f>IF(STUDENTS!B1158="","",STUDENTS!B1158)</f>
        <v/>
      </c>
      <c r="C1159" s="44">
        <f>IFERROR(IF(B1159="","",_xlfn.XLOOKUP(B1159,STUDENTS!$B$3:$B$1048576,STUDENTS!$C$3:$C$1048576)),"Enter a registered reg. no")</f>
        <v/>
      </c>
      <c r="D1159" s="52">
        <f t="array" ref="D1159:W1159">IF(All_Students_Scores!C1157:V1157="","",All_Students_Scores!C1157:V1157)</f>
        <v/>
      </c>
      <c r="E1159" s="55" t="str"/>
      <c r="F1159" s="48" t="str"/>
      <c r="G1159" s="58" t="str"/>
      <c r="H1159" s="62" t="str"/>
      <c r="I1159" s="63" t="str"/>
      <c r="J1159" s="48" t="str"/>
      <c r="K1159" s="58" t="str"/>
      <c r="L1159" s="42" t="str"/>
      <c r="M1159" s="42" t="str"/>
      <c r="N1159" s="48" t="str"/>
      <c r="O1159" s="58" t="str"/>
      <c r="P1159" s="42" t="str"/>
      <c r="Q1159" s="42" t="str"/>
      <c r="R1159" s="48" t="str"/>
      <c r="S1159" s="58" t="str"/>
      <c r="T1159" s="42" t="str"/>
      <c r="U1159" s="42" t="str"/>
      <c r="V1159" s="48" t="str"/>
      <c r="W1159" s="58" t="str"/>
      <c r="X1159" s="42" t="n"/>
      <c r="Y1159" s="42" t="n"/>
    </row>
    <row r="1160">
      <c r="B1160" s="2">
        <f>IF(STUDENTS!B1159="","",STUDENTS!B1159)</f>
        <v/>
      </c>
      <c r="C1160" s="44">
        <f>IFERROR(IF(B1160="","",_xlfn.XLOOKUP(B1160,STUDENTS!$B$3:$B$1048576,STUDENTS!$C$3:$C$1048576)),"Enter a registered reg. no")</f>
        <v/>
      </c>
      <c r="D1160" s="52">
        <f t="array" ref="D1160:W1160">IF(All_Students_Scores!C1158:V1158="","",All_Students_Scores!C1158:V1158)</f>
        <v/>
      </c>
      <c r="E1160" s="57" t="str"/>
      <c r="F1160" s="49" t="str"/>
      <c r="G1160" s="59" t="str"/>
      <c r="H1160" s="64" t="str"/>
      <c r="I1160" s="65" t="str"/>
      <c r="J1160" s="66" t="str"/>
      <c r="K1160" s="67" t="str"/>
      <c r="L1160" s="41" t="str"/>
      <c r="M1160" s="41" t="str"/>
      <c r="N1160" s="66" t="str"/>
      <c r="O1160" s="67" t="str"/>
      <c r="P1160" s="41" t="str"/>
      <c r="Q1160" s="41" t="str"/>
      <c r="R1160" s="66" t="str"/>
      <c r="S1160" s="67" t="str"/>
      <c r="T1160" s="41" t="str"/>
      <c r="U1160" s="41" t="str"/>
      <c r="V1160" s="66" t="str"/>
      <c r="W1160" s="67" t="str"/>
    </row>
    <row r="1161">
      <c r="B1161" s="2">
        <f>IF(STUDENTS!B1160="","",STUDENTS!B1160)</f>
        <v/>
      </c>
      <c r="C1161" s="44">
        <f>IFERROR(IF(B1161="","",_xlfn.XLOOKUP(B1161,STUDENTS!$B$3:$B$1048576,STUDENTS!$C$3:$C$1048576)),"Enter a registered reg. no")</f>
        <v/>
      </c>
      <c r="D1161" s="52">
        <f t="array" ref="D1161:W1161">IF(All_Students_Scores!C1159:V1159="","",All_Students_Scores!C1159:V1159)</f>
        <v/>
      </c>
      <c r="E1161" s="55" t="str"/>
      <c r="F1161" s="48" t="str"/>
      <c r="G1161" s="58" t="str"/>
      <c r="H1161" s="62" t="str"/>
      <c r="I1161" s="63" t="str"/>
      <c r="J1161" s="48" t="str"/>
      <c r="K1161" s="58" t="str"/>
      <c r="L1161" s="42" t="str"/>
      <c r="M1161" s="42" t="str"/>
      <c r="N1161" s="48" t="str"/>
      <c r="O1161" s="58" t="str"/>
      <c r="P1161" s="42" t="str"/>
      <c r="Q1161" s="42" t="str"/>
      <c r="R1161" s="48" t="str"/>
      <c r="S1161" s="58" t="str"/>
      <c r="T1161" s="42" t="str"/>
      <c r="U1161" s="42" t="str"/>
      <c r="V1161" s="48" t="str"/>
      <c r="W1161" s="58" t="str"/>
      <c r="X1161" s="42" t="n"/>
      <c r="Y1161" s="42" t="n"/>
    </row>
    <row r="1162">
      <c r="B1162" s="2">
        <f>IF(STUDENTS!B1161="","",STUDENTS!B1161)</f>
        <v/>
      </c>
      <c r="C1162" s="44">
        <f>IFERROR(IF(B1162="","",_xlfn.XLOOKUP(B1162,STUDENTS!$B$3:$B$1048576,STUDENTS!$C$3:$C$1048576)),"Enter a registered reg. no")</f>
        <v/>
      </c>
      <c r="D1162" s="52">
        <f t="array" ref="D1162:W1162">IF(All_Students_Scores!C1160:V1160="","",All_Students_Scores!C1160:V1160)</f>
        <v/>
      </c>
      <c r="E1162" s="57" t="str"/>
      <c r="F1162" s="49" t="str"/>
      <c r="G1162" s="59" t="str"/>
      <c r="H1162" s="64" t="str"/>
      <c r="I1162" s="65" t="str"/>
      <c r="J1162" s="66" t="str"/>
      <c r="K1162" s="67" t="str"/>
      <c r="L1162" s="41" t="str"/>
      <c r="M1162" s="41" t="str"/>
      <c r="N1162" s="66" t="str"/>
      <c r="O1162" s="67" t="str"/>
      <c r="P1162" s="41" t="str"/>
      <c r="Q1162" s="41" t="str"/>
      <c r="R1162" s="66" t="str"/>
      <c r="S1162" s="67" t="str"/>
      <c r="T1162" s="41" t="str"/>
      <c r="U1162" s="41" t="str"/>
      <c r="V1162" s="66" t="str"/>
      <c r="W1162" s="67" t="str"/>
    </row>
    <row r="1163">
      <c r="B1163" s="2">
        <f>IF(STUDENTS!B1162="","",STUDENTS!B1162)</f>
        <v/>
      </c>
      <c r="C1163" s="44">
        <f>IFERROR(IF(B1163="","",_xlfn.XLOOKUP(B1163,STUDENTS!$B$3:$B$1048576,STUDENTS!$C$3:$C$1048576)),"Enter a registered reg. no")</f>
        <v/>
      </c>
      <c r="D1163" s="52">
        <f t="array" ref="D1163:W1163">IF(All_Students_Scores!C1161:V1161="","",All_Students_Scores!C1161:V1161)</f>
        <v/>
      </c>
      <c r="E1163" s="55" t="str"/>
      <c r="F1163" s="48" t="str"/>
      <c r="G1163" s="58" t="str"/>
      <c r="H1163" s="62" t="str"/>
      <c r="I1163" s="63" t="str"/>
      <c r="J1163" s="48" t="str"/>
      <c r="K1163" s="58" t="str"/>
      <c r="L1163" s="42" t="str"/>
      <c r="M1163" s="42" t="str"/>
      <c r="N1163" s="48" t="str"/>
      <c r="O1163" s="58" t="str"/>
      <c r="P1163" s="42" t="str"/>
      <c r="Q1163" s="42" t="str"/>
      <c r="R1163" s="48" t="str"/>
      <c r="S1163" s="58" t="str"/>
      <c r="T1163" s="42" t="str"/>
      <c r="U1163" s="42" t="str"/>
      <c r="V1163" s="48" t="str"/>
      <c r="W1163" s="58" t="str"/>
      <c r="X1163" s="42" t="n"/>
      <c r="Y1163" s="42" t="n"/>
    </row>
    <row r="1164">
      <c r="B1164" s="2">
        <f>IF(STUDENTS!B1163="","",STUDENTS!B1163)</f>
        <v/>
      </c>
      <c r="C1164" s="44">
        <f>IFERROR(IF(B1164="","",_xlfn.XLOOKUP(B1164,STUDENTS!$B$3:$B$1048576,STUDENTS!$C$3:$C$1048576)),"Enter a registered reg. no")</f>
        <v/>
      </c>
      <c r="D1164" s="52">
        <f t="array" ref="D1164:W1164">IF(All_Students_Scores!C1162:V1162="","",All_Students_Scores!C1162:V1162)</f>
        <v/>
      </c>
      <c r="E1164" s="57" t="str"/>
      <c r="F1164" s="49" t="str"/>
      <c r="G1164" s="59" t="str"/>
      <c r="H1164" s="64" t="str"/>
      <c r="I1164" s="65" t="str"/>
      <c r="J1164" s="66" t="str"/>
      <c r="K1164" s="67" t="str"/>
      <c r="L1164" s="41" t="str"/>
      <c r="M1164" s="41" t="str"/>
      <c r="N1164" s="66" t="str"/>
      <c r="O1164" s="67" t="str"/>
      <c r="P1164" s="41" t="str"/>
      <c r="Q1164" s="41" t="str"/>
      <c r="R1164" s="66" t="str"/>
      <c r="S1164" s="67" t="str"/>
      <c r="T1164" s="41" t="str"/>
      <c r="U1164" s="41" t="str"/>
      <c r="V1164" s="66" t="str"/>
      <c r="W1164" s="67" t="str"/>
    </row>
    <row r="1165">
      <c r="B1165" s="2">
        <f>IF(STUDENTS!B1164="","",STUDENTS!B1164)</f>
        <v/>
      </c>
      <c r="C1165" s="44">
        <f>IFERROR(IF(B1165="","",_xlfn.XLOOKUP(B1165,STUDENTS!$B$3:$B$1048576,STUDENTS!$C$3:$C$1048576)),"Enter a registered reg. no")</f>
        <v/>
      </c>
      <c r="D1165" s="52">
        <f t="array" ref="D1165:W1165">IF(All_Students_Scores!C1163:V1163="","",All_Students_Scores!C1163:V1163)</f>
        <v/>
      </c>
      <c r="E1165" s="55" t="str"/>
      <c r="F1165" s="48" t="str"/>
      <c r="G1165" s="58" t="str"/>
      <c r="H1165" s="62" t="str"/>
      <c r="I1165" s="63" t="str"/>
      <c r="J1165" s="48" t="str"/>
      <c r="K1165" s="58" t="str"/>
      <c r="L1165" s="42" t="str"/>
      <c r="M1165" s="42" t="str"/>
      <c r="N1165" s="48" t="str"/>
      <c r="O1165" s="58" t="str"/>
      <c r="P1165" s="42" t="str"/>
      <c r="Q1165" s="42" t="str"/>
      <c r="R1165" s="48" t="str"/>
      <c r="S1165" s="58" t="str"/>
      <c r="T1165" s="42" t="str"/>
      <c r="U1165" s="42" t="str"/>
      <c r="V1165" s="48" t="str"/>
      <c r="W1165" s="58" t="str"/>
      <c r="X1165" s="42" t="n"/>
      <c r="Y1165" s="42" t="n"/>
    </row>
    <row r="1166">
      <c r="B1166" s="2">
        <f>IF(STUDENTS!B1165="","",STUDENTS!B1165)</f>
        <v/>
      </c>
      <c r="C1166" s="44">
        <f>IFERROR(IF(B1166="","",_xlfn.XLOOKUP(B1166,STUDENTS!$B$3:$B$1048576,STUDENTS!$C$3:$C$1048576)),"Enter a registered reg. no")</f>
        <v/>
      </c>
      <c r="D1166" s="52">
        <f t="array" ref="D1166:W1166">IF(All_Students_Scores!C1164:V1164="","",All_Students_Scores!C1164:V1164)</f>
        <v/>
      </c>
      <c r="E1166" s="57" t="str"/>
      <c r="F1166" s="49" t="str"/>
      <c r="G1166" s="59" t="str"/>
      <c r="H1166" s="64" t="str"/>
      <c r="I1166" s="65" t="str"/>
      <c r="J1166" s="66" t="str"/>
      <c r="K1166" s="67" t="str"/>
      <c r="L1166" s="41" t="str"/>
      <c r="M1166" s="41" t="str"/>
      <c r="N1166" s="66" t="str"/>
      <c r="O1166" s="67" t="str"/>
      <c r="P1166" s="41" t="str"/>
      <c r="Q1166" s="41" t="str"/>
      <c r="R1166" s="66" t="str"/>
      <c r="S1166" s="67" t="str"/>
      <c r="T1166" s="41" t="str"/>
      <c r="U1166" s="41" t="str"/>
      <c r="V1166" s="66" t="str"/>
      <c r="W1166" s="67" t="str"/>
    </row>
    <row r="1167">
      <c r="B1167" s="2">
        <f>IF(STUDENTS!B1166="","",STUDENTS!B1166)</f>
        <v/>
      </c>
      <c r="C1167" s="44">
        <f>IFERROR(IF(B1167="","",_xlfn.XLOOKUP(B1167,STUDENTS!$B$3:$B$1048576,STUDENTS!$C$3:$C$1048576)),"Enter a registered reg. no")</f>
        <v/>
      </c>
      <c r="D1167" s="52">
        <f t="array" ref="D1167:W1167">IF(All_Students_Scores!C1165:V1165="","",All_Students_Scores!C1165:V1165)</f>
        <v/>
      </c>
      <c r="E1167" s="55" t="str"/>
      <c r="F1167" s="48" t="str"/>
      <c r="G1167" s="58" t="str"/>
      <c r="H1167" s="62" t="str"/>
      <c r="I1167" s="63" t="str"/>
      <c r="J1167" s="48" t="str"/>
      <c r="K1167" s="58" t="str"/>
      <c r="L1167" s="42" t="str"/>
      <c r="M1167" s="42" t="str"/>
      <c r="N1167" s="48" t="str"/>
      <c r="O1167" s="58" t="str"/>
      <c r="P1167" s="42" t="str"/>
      <c r="Q1167" s="42" t="str"/>
      <c r="R1167" s="48" t="str"/>
      <c r="S1167" s="58" t="str"/>
      <c r="T1167" s="42" t="str"/>
      <c r="U1167" s="42" t="str"/>
      <c r="V1167" s="48" t="str"/>
      <c r="W1167" s="58" t="str"/>
      <c r="X1167" s="42" t="n"/>
      <c r="Y1167" s="42" t="n"/>
    </row>
    <row r="1168">
      <c r="B1168" s="2">
        <f>IF(STUDENTS!B1167="","",STUDENTS!B1167)</f>
        <v/>
      </c>
      <c r="C1168" s="44">
        <f>IFERROR(IF(B1168="","",_xlfn.XLOOKUP(B1168,STUDENTS!$B$3:$B$1048576,STUDENTS!$C$3:$C$1048576)),"Enter a registered reg. no")</f>
        <v/>
      </c>
      <c r="D1168" s="52">
        <f t="array" ref="D1168:W1168">IF(All_Students_Scores!C1166:V1166="","",All_Students_Scores!C1166:V1166)</f>
        <v/>
      </c>
      <c r="E1168" s="57" t="str"/>
      <c r="F1168" s="49" t="str"/>
      <c r="G1168" s="59" t="str"/>
      <c r="H1168" s="64" t="str"/>
      <c r="I1168" s="65" t="str"/>
      <c r="J1168" s="66" t="str"/>
      <c r="K1168" s="67" t="str"/>
      <c r="L1168" s="41" t="str"/>
      <c r="M1168" s="41" t="str"/>
      <c r="N1168" s="66" t="str"/>
      <c r="O1168" s="67" t="str"/>
      <c r="P1168" s="41" t="str"/>
      <c r="Q1168" s="41" t="str"/>
      <c r="R1168" s="66" t="str"/>
      <c r="S1168" s="67" t="str"/>
      <c r="T1168" s="41" t="str"/>
      <c r="U1168" s="41" t="str"/>
      <c r="V1168" s="66" t="str"/>
      <c r="W1168" s="67" t="str"/>
    </row>
    <row r="1169">
      <c r="B1169" s="2">
        <f>IF(STUDENTS!B1168="","",STUDENTS!B1168)</f>
        <v/>
      </c>
      <c r="C1169" s="44">
        <f>IFERROR(IF(B1169="","",_xlfn.XLOOKUP(B1169,STUDENTS!$B$3:$B$1048576,STUDENTS!$C$3:$C$1048576)),"Enter a registered reg. no")</f>
        <v/>
      </c>
      <c r="D1169" s="52">
        <f t="array" ref="D1169:W1169">IF(All_Students_Scores!C1167:V1167="","",All_Students_Scores!C1167:V1167)</f>
        <v/>
      </c>
      <c r="E1169" s="55" t="str"/>
      <c r="F1169" s="48" t="str"/>
      <c r="G1169" s="58" t="str"/>
      <c r="H1169" s="62" t="str"/>
      <c r="I1169" s="63" t="str"/>
      <c r="J1169" s="48" t="str"/>
      <c r="K1169" s="58" t="str"/>
      <c r="L1169" s="42" t="str"/>
      <c r="M1169" s="42" t="str"/>
      <c r="N1169" s="48" t="str"/>
      <c r="O1169" s="58" t="str"/>
      <c r="P1169" s="42" t="str"/>
      <c r="Q1169" s="42" t="str"/>
      <c r="R1169" s="48" t="str"/>
      <c r="S1169" s="58" t="str"/>
      <c r="T1169" s="42" t="str"/>
      <c r="U1169" s="42" t="str"/>
      <c r="V1169" s="48" t="str"/>
      <c r="W1169" s="58" t="str"/>
      <c r="X1169" s="42" t="n"/>
      <c r="Y1169" s="42" t="n"/>
    </row>
    <row r="1170">
      <c r="B1170" s="2">
        <f>IF(STUDENTS!B1169="","",STUDENTS!B1169)</f>
        <v/>
      </c>
      <c r="C1170" s="44">
        <f>IFERROR(IF(B1170="","",_xlfn.XLOOKUP(B1170,STUDENTS!$B$3:$B$1048576,STUDENTS!$C$3:$C$1048576)),"Enter a registered reg. no")</f>
        <v/>
      </c>
      <c r="D1170" s="52">
        <f t="array" ref="D1170:W1170">IF(All_Students_Scores!C1168:V1168="","",All_Students_Scores!C1168:V1168)</f>
        <v/>
      </c>
      <c r="E1170" s="57" t="str"/>
      <c r="F1170" s="49" t="str"/>
      <c r="G1170" s="59" t="str"/>
      <c r="H1170" s="64" t="str"/>
      <c r="I1170" s="65" t="str"/>
      <c r="J1170" s="66" t="str"/>
      <c r="K1170" s="67" t="str"/>
      <c r="L1170" s="41" t="str"/>
      <c r="M1170" s="41" t="str"/>
      <c r="N1170" s="66" t="str"/>
      <c r="O1170" s="67" t="str"/>
      <c r="P1170" s="41" t="str"/>
      <c r="Q1170" s="41" t="str"/>
      <c r="R1170" s="66" t="str"/>
      <c r="S1170" s="67" t="str"/>
      <c r="T1170" s="41" t="str"/>
      <c r="U1170" s="41" t="str"/>
      <c r="V1170" s="66" t="str"/>
      <c r="W1170" s="67" t="str"/>
    </row>
    <row r="1171">
      <c r="B1171" s="2">
        <f>IF(STUDENTS!B1170="","",STUDENTS!B1170)</f>
        <v/>
      </c>
      <c r="C1171" s="44">
        <f>IFERROR(IF(B1171="","",_xlfn.XLOOKUP(B1171,STUDENTS!$B$3:$B$1048576,STUDENTS!$C$3:$C$1048576)),"Enter a registered reg. no")</f>
        <v/>
      </c>
      <c r="D1171" s="52">
        <f t="array" ref="D1171:W1171">IF(All_Students_Scores!C1169:V1169="","",All_Students_Scores!C1169:V1169)</f>
        <v/>
      </c>
      <c r="E1171" s="55" t="str"/>
      <c r="F1171" s="48" t="str"/>
      <c r="G1171" s="58" t="str"/>
      <c r="H1171" s="62" t="str"/>
      <c r="I1171" s="63" t="str"/>
      <c r="J1171" s="48" t="str"/>
      <c r="K1171" s="58" t="str"/>
      <c r="L1171" s="42" t="str"/>
      <c r="M1171" s="42" t="str"/>
      <c r="N1171" s="48" t="str"/>
      <c r="O1171" s="58" t="str"/>
      <c r="P1171" s="42" t="str"/>
      <c r="Q1171" s="42" t="str"/>
      <c r="R1171" s="48" t="str"/>
      <c r="S1171" s="58" t="str"/>
      <c r="T1171" s="42" t="str"/>
      <c r="U1171" s="42" t="str"/>
      <c r="V1171" s="48" t="str"/>
      <c r="W1171" s="58" t="str"/>
      <c r="X1171" s="42" t="n"/>
      <c r="Y1171" s="42" t="n"/>
    </row>
    <row r="1172">
      <c r="B1172" s="2">
        <f>IF(STUDENTS!B1171="","",STUDENTS!B1171)</f>
        <v/>
      </c>
      <c r="C1172" s="44">
        <f>IFERROR(IF(B1172="","",_xlfn.XLOOKUP(B1172,STUDENTS!$B$3:$B$1048576,STUDENTS!$C$3:$C$1048576)),"Enter a registered reg. no")</f>
        <v/>
      </c>
      <c r="D1172" s="52">
        <f t="array" ref="D1172:W1172">IF(All_Students_Scores!C1170:V1170="","",All_Students_Scores!C1170:V1170)</f>
        <v/>
      </c>
      <c r="E1172" s="57" t="str"/>
      <c r="F1172" s="49" t="str"/>
      <c r="G1172" s="59" t="str"/>
      <c r="H1172" s="64" t="str"/>
      <c r="I1172" s="65" t="str"/>
      <c r="J1172" s="66" t="str"/>
      <c r="K1172" s="67" t="str"/>
      <c r="L1172" s="41" t="str"/>
      <c r="M1172" s="41" t="str"/>
      <c r="N1172" s="66" t="str"/>
      <c r="O1172" s="67" t="str"/>
      <c r="P1172" s="41" t="str"/>
      <c r="Q1172" s="41" t="str"/>
      <c r="R1172" s="66" t="str"/>
      <c r="S1172" s="67" t="str"/>
      <c r="T1172" s="41" t="str"/>
      <c r="U1172" s="41" t="str"/>
      <c r="V1172" s="66" t="str"/>
      <c r="W1172" s="67" t="str"/>
    </row>
    <row r="1173">
      <c r="B1173" s="2">
        <f>IF(STUDENTS!B1172="","",STUDENTS!B1172)</f>
        <v/>
      </c>
      <c r="C1173" s="44">
        <f>IFERROR(IF(B1173="","",_xlfn.XLOOKUP(B1173,STUDENTS!$B$3:$B$1048576,STUDENTS!$C$3:$C$1048576)),"Enter a registered reg. no")</f>
        <v/>
      </c>
      <c r="D1173" s="52">
        <f t="array" ref="D1173:W1173">IF(All_Students_Scores!C1171:V1171="","",All_Students_Scores!C1171:V1171)</f>
        <v/>
      </c>
      <c r="E1173" s="55" t="str"/>
      <c r="F1173" s="48" t="str"/>
      <c r="G1173" s="58" t="str"/>
      <c r="H1173" s="62" t="str"/>
      <c r="I1173" s="63" t="str"/>
      <c r="J1173" s="48" t="str"/>
      <c r="K1173" s="58" t="str"/>
      <c r="L1173" s="42" t="str"/>
      <c r="M1173" s="42" t="str"/>
      <c r="N1173" s="48" t="str"/>
      <c r="O1173" s="58" t="str"/>
      <c r="P1173" s="42" t="str"/>
      <c r="Q1173" s="42" t="str"/>
      <c r="R1173" s="48" t="str"/>
      <c r="S1173" s="58" t="str"/>
      <c r="T1173" s="42" t="str"/>
      <c r="U1173" s="42" t="str"/>
      <c r="V1173" s="48" t="str"/>
      <c r="W1173" s="58" t="str"/>
      <c r="X1173" s="42" t="n"/>
      <c r="Y1173" s="42" t="n"/>
    </row>
    <row r="1174">
      <c r="B1174" s="2">
        <f>IF(STUDENTS!B1173="","",STUDENTS!B1173)</f>
        <v/>
      </c>
      <c r="C1174" s="44">
        <f>IFERROR(IF(B1174="","",_xlfn.XLOOKUP(B1174,STUDENTS!$B$3:$B$1048576,STUDENTS!$C$3:$C$1048576)),"Enter a registered reg. no")</f>
        <v/>
      </c>
      <c r="D1174" s="52">
        <f t="array" ref="D1174:W1174">IF(All_Students_Scores!C1172:V1172="","",All_Students_Scores!C1172:V1172)</f>
        <v/>
      </c>
      <c r="E1174" s="57" t="str"/>
      <c r="F1174" s="49" t="str"/>
      <c r="G1174" s="59" t="str"/>
      <c r="H1174" s="64" t="str"/>
      <c r="I1174" s="65" t="str"/>
      <c r="J1174" s="66" t="str"/>
      <c r="K1174" s="67" t="str"/>
      <c r="L1174" s="41" t="str"/>
      <c r="M1174" s="41" t="str"/>
      <c r="N1174" s="66" t="str"/>
      <c r="O1174" s="67" t="str"/>
      <c r="P1174" s="41" t="str"/>
      <c r="Q1174" s="41" t="str"/>
      <c r="R1174" s="66" t="str"/>
      <c r="S1174" s="67" t="str"/>
      <c r="T1174" s="41" t="str"/>
      <c r="U1174" s="41" t="str"/>
      <c r="V1174" s="66" t="str"/>
      <c r="W1174" s="67" t="str"/>
    </row>
    <row r="1175">
      <c r="B1175" s="2">
        <f>IF(STUDENTS!B1174="","",STUDENTS!B1174)</f>
        <v/>
      </c>
      <c r="C1175" s="44">
        <f>IFERROR(IF(B1175="","",_xlfn.XLOOKUP(B1175,STUDENTS!$B$3:$B$1048576,STUDENTS!$C$3:$C$1048576)),"Enter a registered reg. no")</f>
        <v/>
      </c>
      <c r="D1175" s="52">
        <f t="array" ref="D1175:W1175">IF(All_Students_Scores!C1173:V1173="","",All_Students_Scores!C1173:V1173)</f>
        <v/>
      </c>
      <c r="E1175" s="55" t="str"/>
      <c r="F1175" s="48" t="str"/>
      <c r="G1175" s="58" t="str"/>
      <c r="H1175" s="62" t="str"/>
      <c r="I1175" s="63" t="str"/>
      <c r="J1175" s="48" t="str"/>
      <c r="K1175" s="58" t="str"/>
      <c r="L1175" s="42" t="str"/>
      <c r="M1175" s="42" t="str"/>
      <c r="N1175" s="48" t="str"/>
      <c r="O1175" s="58" t="str"/>
      <c r="P1175" s="42" t="str"/>
      <c r="Q1175" s="42" t="str"/>
      <c r="R1175" s="48" t="str"/>
      <c r="S1175" s="58" t="str"/>
      <c r="T1175" s="42" t="str"/>
      <c r="U1175" s="42" t="str"/>
      <c r="V1175" s="48" t="str"/>
      <c r="W1175" s="58" t="str"/>
      <c r="X1175" s="42" t="n"/>
      <c r="Y1175" s="42" t="n"/>
    </row>
    <row r="1176">
      <c r="B1176" s="2">
        <f>IF(STUDENTS!B1175="","",STUDENTS!B1175)</f>
        <v/>
      </c>
      <c r="C1176" s="44">
        <f>IFERROR(IF(B1176="","",_xlfn.XLOOKUP(B1176,STUDENTS!$B$3:$B$1048576,STUDENTS!$C$3:$C$1048576)),"Enter a registered reg. no")</f>
        <v/>
      </c>
      <c r="D1176" s="52">
        <f t="array" ref="D1176:W1176">IF(All_Students_Scores!C1174:V1174="","",All_Students_Scores!C1174:V1174)</f>
        <v/>
      </c>
      <c r="E1176" s="57" t="str"/>
      <c r="F1176" s="49" t="str"/>
      <c r="G1176" s="59" t="str"/>
      <c r="H1176" s="64" t="str"/>
      <c r="I1176" s="65" t="str"/>
      <c r="J1176" s="66" t="str"/>
      <c r="K1176" s="67" t="str"/>
      <c r="L1176" s="41" t="str"/>
      <c r="M1176" s="41" t="str"/>
      <c r="N1176" s="66" t="str"/>
      <c r="O1176" s="67" t="str"/>
      <c r="P1176" s="41" t="str"/>
      <c r="Q1176" s="41" t="str"/>
      <c r="R1176" s="66" t="str"/>
      <c r="S1176" s="67" t="str"/>
      <c r="T1176" s="41" t="str"/>
      <c r="U1176" s="41" t="str"/>
      <c r="V1176" s="66" t="str"/>
      <c r="W1176" s="67" t="str"/>
    </row>
    <row r="1177">
      <c r="B1177" s="2">
        <f>IF(STUDENTS!B1176="","",STUDENTS!B1176)</f>
        <v/>
      </c>
      <c r="C1177" s="44">
        <f>IFERROR(IF(B1177="","",_xlfn.XLOOKUP(B1177,STUDENTS!$B$3:$B$1048576,STUDENTS!$C$3:$C$1048576)),"Enter a registered reg. no")</f>
        <v/>
      </c>
      <c r="D1177" s="52">
        <f t="array" ref="D1177:W1177">IF(All_Students_Scores!C1175:V1175="","",All_Students_Scores!C1175:V1175)</f>
        <v/>
      </c>
      <c r="E1177" s="55" t="str"/>
      <c r="F1177" s="48" t="str"/>
      <c r="G1177" s="58" t="str"/>
      <c r="H1177" s="62" t="str"/>
      <c r="I1177" s="63" t="str"/>
      <c r="J1177" s="48" t="str"/>
      <c r="K1177" s="58" t="str"/>
      <c r="L1177" s="42" t="str"/>
      <c r="M1177" s="42" t="str"/>
      <c r="N1177" s="48" t="str"/>
      <c r="O1177" s="58" t="str"/>
      <c r="P1177" s="42" t="str"/>
      <c r="Q1177" s="42" t="str"/>
      <c r="R1177" s="48" t="str"/>
      <c r="S1177" s="58" t="str"/>
      <c r="T1177" s="42" t="str"/>
      <c r="U1177" s="42" t="str"/>
      <c r="V1177" s="48" t="str"/>
      <c r="W1177" s="58" t="str"/>
      <c r="X1177" s="42" t="n"/>
      <c r="Y1177" s="42" t="n"/>
    </row>
    <row r="1178">
      <c r="B1178" s="2">
        <f>IF(STUDENTS!B1177="","",STUDENTS!B1177)</f>
        <v/>
      </c>
      <c r="C1178" s="44">
        <f>IFERROR(IF(B1178="","",_xlfn.XLOOKUP(B1178,STUDENTS!$B$3:$B$1048576,STUDENTS!$C$3:$C$1048576)),"Enter a registered reg. no")</f>
        <v/>
      </c>
      <c r="D1178" s="52">
        <f t="array" ref="D1178:W1178">IF(All_Students_Scores!C1176:V1176="","",All_Students_Scores!C1176:V1176)</f>
        <v/>
      </c>
      <c r="E1178" s="57" t="str"/>
      <c r="F1178" s="49" t="str"/>
      <c r="G1178" s="59" t="str"/>
      <c r="H1178" s="64" t="str"/>
      <c r="I1178" s="65" t="str"/>
      <c r="J1178" s="66" t="str"/>
      <c r="K1178" s="67" t="str"/>
      <c r="L1178" s="41" t="str"/>
      <c r="M1178" s="41" t="str"/>
      <c r="N1178" s="66" t="str"/>
      <c r="O1178" s="67" t="str"/>
      <c r="P1178" s="41" t="str"/>
      <c r="Q1178" s="41" t="str"/>
      <c r="R1178" s="66" t="str"/>
      <c r="S1178" s="67" t="str"/>
      <c r="T1178" s="41" t="str"/>
      <c r="U1178" s="41" t="str"/>
      <c r="V1178" s="66" t="str"/>
      <c r="W1178" s="67" t="str"/>
    </row>
    <row r="1179">
      <c r="B1179" s="2">
        <f>IF(STUDENTS!B1178="","",STUDENTS!B1178)</f>
        <v/>
      </c>
      <c r="C1179" s="44">
        <f>IFERROR(IF(B1179="","",_xlfn.XLOOKUP(B1179,STUDENTS!$B$3:$B$1048576,STUDENTS!$C$3:$C$1048576)),"Enter a registered reg. no")</f>
        <v/>
      </c>
      <c r="D1179" s="52">
        <f t="array" ref="D1179:W1179">IF(All_Students_Scores!C1177:V1177="","",All_Students_Scores!C1177:V1177)</f>
        <v/>
      </c>
      <c r="E1179" s="55" t="str"/>
      <c r="F1179" s="48" t="str"/>
      <c r="G1179" s="58" t="str"/>
      <c r="H1179" s="62" t="str"/>
      <c r="I1179" s="63" t="str"/>
      <c r="J1179" s="48" t="str"/>
      <c r="K1179" s="58" t="str"/>
      <c r="L1179" s="42" t="str"/>
      <c r="M1179" s="42" t="str"/>
      <c r="N1179" s="48" t="str"/>
      <c r="O1179" s="58" t="str"/>
      <c r="P1179" s="42" t="str"/>
      <c r="Q1179" s="42" t="str"/>
      <c r="R1179" s="48" t="str"/>
      <c r="S1179" s="58" t="str"/>
      <c r="T1179" s="42" t="str"/>
      <c r="U1179" s="42" t="str"/>
      <c r="V1179" s="48" t="str"/>
      <c r="W1179" s="58" t="str"/>
      <c r="X1179" s="42" t="n"/>
      <c r="Y1179" s="42" t="n"/>
    </row>
    <row r="1180">
      <c r="B1180" s="2">
        <f>IF(STUDENTS!B1179="","",STUDENTS!B1179)</f>
        <v/>
      </c>
      <c r="C1180" s="44">
        <f>IFERROR(IF(B1180="","",_xlfn.XLOOKUP(B1180,STUDENTS!$B$3:$B$1048576,STUDENTS!$C$3:$C$1048576)),"Enter a registered reg. no")</f>
        <v/>
      </c>
      <c r="D1180" s="52">
        <f t="array" ref="D1180:W1180">IF(All_Students_Scores!C1178:V1178="","",All_Students_Scores!C1178:V1178)</f>
        <v/>
      </c>
      <c r="E1180" s="57" t="str"/>
      <c r="F1180" s="49" t="str"/>
      <c r="G1180" s="59" t="str"/>
      <c r="H1180" s="64" t="str"/>
      <c r="I1180" s="65" t="str"/>
      <c r="J1180" s="66" t="str"/>
      <c r="K1180" s="67" t="str"/>
      <c r="L1180" s="41" t="str"/>
      <c r="M1180" s="41" t="str"/>
      <c r="N1180" s="66" t="str"/>
      <c r="O1180" s="67" t="str"/>
      <c r="P1180" s="41" t="str"/>
      <c r="Q1180" s="41" t="str"/>
      <c r="R1180" s="66" t="str"/>
      <c r="S1180" s="67" t="str"/>
      <c r="T1180" s="41" t="str"/>
      <c r="U1180" s="41" t="str"/>
      <c r="V1180" s="66" t="str"/>
      <c r="W1180" s="67" t="str"/>
    </row>
    <row r="1181">
      <c r="B1181" s="2">
        <f>IF(STUDENTS!B1180="","",STUDENTS!B1180)</f>
        <v/>
      </c>
      <c r="C1181" s="44">
        <f>IFERROR(IF(B1181="","",_xlfn.XLOOKUP(B1181,STUDENTS!$B$3:$B$1048576,STUDENTS!$C$3:$C$1048576)),"Enter a registered reg. no")</f>
        <v/>
      </c>
      <c r="D1181" s="52">
        <f t="array" ref="D1181:W1181">IF(All_Students_Scores!C1179:V1179="","",All_Students_Scores!C1179:V1179)</f>
        <v/>
      </c>
      <c r="E1181" s="55" t="str"/>
      <c r="F1181" s="48" t="str"/>
      <c r="G1181" s="58" t="str"/>
      <c r="H1181" s="62" t="str"/>
      <c r="I1181" s="63" t="str"/>
      <c r="J1181" s="48" t="str"/>
      <c r="K1181" s="58" t="str"/>
      <c r="L1181" s="42" t="str"/>
      <c r="M1181" s="42" t="str"/>
      <c r="N1181" s="48" t="str"/>
      <c r="O1181" s="58" t="str"/>
      <c r="P1181" s="42" t="str"/>
      <c r="Q1181" s="42" t="str"/>
      <c r="R1181" s="48" t="str"/>
      <c r="S1181" s="58" t="str"/>
      <c r="T1181" s="42" t="str"/>
      <c r="U1181" s="42" t="str"/>
      <c r="V1181" s="48" t="str"/>
      <c r="W1181" s="58" t="str"/>
      <c r="X1181" s="42" t="n"/>
      <c r="Y1181" s="42" t="n"/>
    </row>
    <row r="1182">
      <c r="B1182" s="2">
        <f>IF(STUDENTS!B1181="","",STUDENTS!B1181)</f>
        <v/>
      </c>
      <c r="C1182" s="44">
        <f>IFERROR(IF(B1182="","",_xlfn.XLOOKUP(B1182,STUDENTS!$B$3:$B$1048576,STUDENTS!$C$3:$C$1048576)),"Enter a registered reg. no")</f>
        <v/>
      </c>
      <c r="D1182" s="52">
        <f t="array" ref="D1182:W1182">IF(All_Students_Scores!C1180:V1180="","",All_Students_Scores!C1180:V1180)</f>
        <v/>
      </c>
      <c r="E1182" s="57" t="str"/>
      <c r="F1182" s="49" t="str"/>
      <c r="G1182" s="59" t="str"/>
      <c r="H1182" s="64" t="str"/>
      <c r="I1182" s="65" t="str"/>
      <c r="J1182" s="66" t="str"/>
      <c r="K1182" s="67" t="str"/>
      <c r="L1182" s="41" t="str"/>
      <c r="M1182" s="41" t="str"/>
      <c r="N1182" s="66" t="str"/>
      <c r="O1182" s="67" t="str"/>
      <c r="P1182" s="41" t="str"/>
      <c r="Q1182" s="41" t="str"/>
      <c r="R1182" s="66" t="str"/>
      <c r="S1182" s="67" t="str"/>
      <c r="T1182" s="41" t="str"/>
      <c r="U1182" s="41" t="str"/>
      <c r="V1182" s="66" t="str"/>
      <c r="W1182" s="67" t="str"/>
    </row>
    <row r="1183">
      <c r="B1183" s="2">
        <f>IF(STUDENTS!B1182="","",STUDENTS!B1182)</f>
        <v/>
      </c>
      <c r="C1183" s="44">
        <f>IFERROR(IF(B1183="","",_xlfn.XLOOKUP(B1183,STUDENTS!$B$3:$B$1048576,STUDENTS!$C$3:$C$1048576)),"Enter a registered reg. no")</f>
        <v/>
      </c>
      <c r="D1183" s="52">
        <f t="array" ref="D1183:W1183">IF(All_Students_Scores!C1181:V1181="","",All_Students_Scores!C1181:V1181)</f>
        <v/>
      </c>
      <c r="E1183" s="55" t="str"/>
      <c r="F1183" s="48" t="str"/>
      <c r="G1183" s="58" t="str"/>
      <c r="H1183" s="62" t="str"/>
      <c r="I1183" s="63" t="str"/>
      <c r="J1183" s="48" t="str"/>
      <c r="K1183" s="58" t="str"/>
      <c r="L1183" s="42" t="str"/>
      <c r="M1183" s="42" t="str"/>
      <c r="N1183" s="48" t="str"/>
      <c r="O1183" s="58" t="str"/>
      <c r="P1183" s="42" t="str"/>
      <c r="Q1183" s="42" t="str"/>
      <c r="R1183" s="48" t="str"/>
      <c r="S1183" s="58" t="str"/>
      <c r="T1183" s="42" t="str"/>
      <c r="U1183" s="42" t="str"/>
      <c r="V1183" s="48" t="str"/>
      <c r="W1183" s="58" t="str"/>
      <c r="X1183" s="42" t="n"/>
      <c r="Y1183" s="42" t="n"/>
    </row>
    <row r="1184">
      <c r="B1184" s="2">
        <f>IF(STUDENTS!B1183="","",STUDENTS!B1183)</f>
        <v/>
      </c>
      <c r="C1184" s="44">
        <f>IFERROR(IF(B1184="","",_xlfn.XLOOKUP(B1184,STUDENTS!$B$3:$B$1048576,STUDENTS!$C$3:$C$1048576)),"Enter a registered reg. no")</f>
        <v/>
      </c>
      <c r="D1184" s="52">
        <f t="array" ref="D1184:W1184">IF(All_Students_Scores!C1182:V1182="","",All_Students_Scores!C1182:V1182)</f>
        <v/>
      </c>
      <c r="E1184" s="57" t="str"/>
      <c r="F1184" s="49" t="str"/>
      <c r="G1184" s="59" t="str"/>
      <c r="H1184" s="64" t="str"/>
      <c r="I1184" s="65" t="str"/>
      <c r="J1184" s="66" t="str"/>
      <c r="K1184" s="67" t="str"/>
      <c r="L1184" s="41" t="str"/>
      <c r="M1184" s="41" t="str"/>
      <c r="N1184" s="66" t="str"/>
      <c r="O1184" s="67" t="str"/>
      <c r="P1184" s="41" t="str"/>
      <c r="Q1184" s="41" t="str"/>
      <c r="R1184" s="66" t="str"/>
      <c r="S1184" s="67" t="str"/>
      <c r="T1184" s="41" t="str"/>
      <c r="U1184" s="41" t="str"/>
      <c r="V1184" s="66" t="str"/>
      <c r="W1184" s="67" t="str"/>
    </row>
    <row r="1185">
      <c r="B1185" s="2">
        <f>IF(STUDENTS!B1184="","",STUDENTS!B1184)</f>
        <v/>
      </c>
      <c r="C1185" s="44">
        <f>IFERROR(IF(B1185="","",_xlfn.XLOOKUP(B1185,STUDENTS!$B$3:$B$1048576,STUDENTS!$C$3:$C$1048576)),"Enter a registered reg. no")</f>
        <v/>
      </c>
      <c r="D1185" s="52">
        <f t="array" ref="D1185:W1185">IF(All_Students_Scores!C1183:V1183="","",All_Students_Scores!C1183:V1183)</f>
        <v/>
      </c>
      <c r="E1185" s="55" t="str"/>
      <c r="F1185" s="48" t="str"/>
      <c r="G1185" s="58" t="str"/>
      <c r="H1185" s="62" t="str"/>
      <c r="I1185" s="63" t="str"/>
      <c r="J1185" s="48" t="str"/>
      <c r="K1185" s="58" t="str"/>
      <c r="L1185" s="42" t="str"/>
      <c r="M1185" s="42" t="str"/>
      <c r="N1185" s="48" t="str"/>
      <c r="O1185" s="58" t="str"/>
      <c r="P1185" s="42" t="str"/>
      <c r="Q1185" s="42" t="str"/>
      <c r="R1185" s="48" t="str"/>
      <c r="S1185" s="58" t="str"/>
      <c r="T1185" s="42" t="str"/>
      <c r="U1185" s="42" t="str"/>
      <c r="V1185" s="48" t="str"/>
      <c r="W1185" s="58" t="str"/>
      <c r="X1185" s="42" t="n"/>
      <c r="Y1185" s="42" t="n"/>
    </row>
    <row r="1186">
      <c r="B1186" s="2">
        <f>IF(STUDENTS!B1185="","",STUDENTS!B1185)</f>
        <v/>
      </c>
      <c r="C1186" s="44">
        <f>IFERROR(IF(B1186="","",_xlfn.XLOOKUP(B1186,STUDENTS!$B$3:$B$1048576,STUDENTS!$C$3:$C$1048576)),"Enter a registered reg. no")</f>
        <v/>
      </c>
      <c r="D1186" s="52">
        <f t="array" ref="D1186:W1186">IF(All_Students_Scores!C1184:V1184="","",All_Students_Scores!C1184:V1184)</f>
        <v/>
      </c>
      <c r="E1186" s="57" t="str"/>
      <c r="F1186" s="49" t="str"/>
      <c r="G1186" s="59" t="str"/>
      <c r="H1186" s="64" t="str"/>
      <c r="I1186" s="65" t="str"/>
      <c r="J1186" s="66" t="str"/>
      <c r="K1186" s="67" t="str"/>
      <c r="L1186" s="41" t="str"/>
      <c r="M1186" s="41" t="str"/>
      <c r="N1186" s="66" t="str"/>
      <c r="O1186" s="67" t="str"/>
      <c r="P1186" s="41" t="str"/>
      <c r="Q1186" s="41" t="str"/>
      <c r="R1186" s="66" t="str"/>
      <c r="S1186" s="67" t="str"/>
      <c r="T1186" s="41" t="str"/>
      <c r="U1186" s="41" t="str"/>
      <c r="V1186" s="66" t="str"/>
      <c r="W1186" s="67" t="str"/>
    </row>
    <row r="1187">
      <c r="B1187" s="2">
        <f>IF(STUDENTS!B1186="","",STUDENTS!B1186)</f>
        <v/>
      </c>
      <c r="C1187" s="44">
        <f>IFERROR(IF(B1187="","",_xlfn.XLOOKUP(B1187,STUDENTS!$B$3:$B$1048576,STUDENTS!$C$3:$C$1048576)),"Enter a registered reg. no")</f>
        <v/>
      </c>
      <c r="D1187" s="52">
        <f t="array" ref="D1187:W1187">IF(All_Students_Scores!C1185:V1185="","",All_Students_Scores!C1185:V1185)</f>
        <v/>
      </c>
      <c r="E1187" s="55" t="str"/>
      <c r="F1187" s="48" t="str"/>
      <c r="G1187" s="58" t="str"/>
      <c r="H1187" s="62" t="str"/>
      <c r="I1187" s="63" t="str"/>
      <c r="J1187" s="48" t="str"/>
      <c r="K1187" s="58" t="str"/>
      <c r="L1187" s="42" t="str"/>
      <c r="M1187" s="42" t="str"/>
      <c r="N1187" s="48" t="str"/>
      <c r="O1187" s="58" t="str"/>
      <c r="P1187" s="42" t="str"/>
      <c r="Q1187" s="42" t="str"/>
      <c r="R1187" s="48" t="str"/>
      <c r="S1187" s="58" t="str"/>
      <c r="T1187" s="42" t="str"/>
      <c r="U1187" s="42" t="str"/>
      <c r="V1187" s="48" t="str"/>
      <c r="W1187" s="58" t="str"/>
      <c r="X1187" s="42" t="n"/>
      <c r="Y1187" s="42" t="n"/>
    </row>
    <row r="1188">
      <c r="B1188" s="2">
        <f>IF(STUDENTS!B1187="","",STUDENTS!B1187)</f>
        <v/>
      </c>
      <c r="C1188" s="44">
        <f>IFERROR(IF(B1188="","",_xlfn.XLOOKUP(B1188,STUDENTS!$B$3:$B$1048576,STUDENTS!$C$3:$C$1048576)),"Enter a registered reg. no")</f>
        <v/>
      </c>
      <c r="D1188" s="52">
        <f t="array" ref="D1188:W1188">IF(All_Students_Scores!C1186:V1186="","",All_Students_Scores!C1186:V1186)</f>
        <v/>
      </c>
      <c r="E1188" s="57" t="str"/>
      <c r="F1188" s="49" t="str"/>
      <c r="G1188" s="59" t="str"/>
      <c r="H1188" s="64" t="str"/>
      <c r="I1188" s="65" t="str"/>
      <c r="J1188" s="66" t="str"/>
      <c r="K1188" s="67" t="str"/>
      <c r="L1188" s="41" t="str"/>
      <c r="M1188" s="41" t="str"/>
      <c r="N1188" s="66" t="str"/>
      <c r="O1188" s="67" t="str"/>
      <c r="P1188" s="41" t="str"/>
      <c r="Q1188" s="41" t="str"/>
      <c r="R1188" s="66" t="str"/>
      <c r="S1188" s="67" t="str"/>
      <c r="T1188" s="41" t="str"/>
      <c r="U1188" s="41" t="str"/>
      <c r="V1188" s="66" t="str"/>
      <c r="W1188" s="67" t="str"/>
    </row>
    <row r="1189">
      <c r="B1189" s="2">
        <f>IF(STUDENTS!B1188="","",STUDENTS!B1188)</f>
        <v/>
      </c>
      <c r="C1189" s="44">
        <f>IFERROR(IF(B1189="","",_xlfn.XLOOKUP(B1189,STUDENTS!$B$3:$B$1048576,STUDENTS!$C$3:$C$1048576)),"Enter a registered reg. no")</f>
        <v/>
      </c>
      <c r="D1189" s="52">
        <f t="array" ref="D1189:W1189">IF(All_Students_Scores!C1187:V1187="","",All_Students_Scores!C1187:V1187)</f>
        <v/>
      </c>
      <c r="E1189" s="55" t="str"/>
      <c r="F1189" s="48" t="str"/>
      <c r="G1189" s="58" t="str"/>
      <c r="H1189" s="62" t="str"/>
      <c r="I1189" s="63" t="str"/>
      <c r="J1189" s="48" t="str"/>
      <c r="K1189" s="58" t="str"/>
      <c r="L1189" s="42" t="str"/>
      <c r="M1189" s="42" t="str"/>
      <c r="N1189" s="48" t="str"/>
      <c r="O1189" s="58" t="str"/>
      <c r="P1189" s="42" t="str"/>
      <c r="Q1189" s="42" t="str"/>
      <c r="R1189" s="48" t="str"/>
      <c r="S1189" s="58" t="str"/>
      <c r="T1189" s="42" t="str"/>
      <c r="U1189" s="42" t="str"/>
      <c r="V1189" s="48" t="str"/>
      <c r="W1189" s="58" t="str"/>
      <c r="X1189" s="42" t="n"/>
      <c r="Y1189" s="42" t="n"/>
    </row>
    <row r="1190">
      <c r="B1190" s="2">
        <f>IF(STUDENTS!B1189="","",STUDENTS!B1189)</f>
        <v/>
      </c>
      <c r="C1190" s="44">
        <f>IFERROR(IF(B1190="","",_xlfn.XLOOKUP(B1190,STUDENTS!$B$3:$B$1048576,STUDENTS!$C$3:$C$1048576)),"Enter a registered reg. no")</f>
        <v/>
      </c>
      <c r="D1190" s="52">
        <f t="array" ref="D1190:W1190">IF(All_Students_Scores!C1188:V1188="","",All_Students_Scores!C1188:V1188)</f>
        <v/>
      </c>
      <c r="E1190" s="57" t="str"/>
      <c r="F1190" s="49" t="str"/>
      <c r="G1190" s="59" t="str"/>
      <c r="H1190" s="64" t="str"/>
      <c r="I1190" s="65" t="str"/>
      <c r="J1190" s="66" t="str"/>
      <c r="K1190" s="67" t="str"/>
      <c r="L1190" s="41" t="str"/>
      <c r="M1190" s="41" t="str"/>
      <c r="N1190" s="66" t="str"/>
      <c r="O1190" s="67" t="str"/>
      <c r="P1190" s="41" t="str"/>
      <c r="Q1190" s="41" t="str"/>
      <c r="R1190" s="66" t="str"/>
      <c r="S1190" s="67" t="str"/>
      <c r="T1190" s="41" t="str"/>
      <c r="U1190" s="41" t="str"/>
      <c r="V1190" s="66" t="str"/>
      <c r="W1190" s="67" t="str"/>
    </row>
    <row r="1191">
      <c r="B1191" s="2">
        <f>IF(STUDENTS!B1190="","",STUDENTS!B1190)</f>
        <v/>
      </c>
      <c r="C1191" s="44">
        <f>IFERROR(IF(B1191="","",_xlfn.XLOOKUP(B1191,STUDENTS!$B$3:$B$1048576,STUDENTS!$C$3:$C$1048576)),"Enter a registered reg. no")</f>
        <v/>
      </c>
      <c r="D1191" s="52">
        <f t="array" ref="D1191:W1191">IF(All_Students_Scores!C1189:V1189="","",All_Students_Scores!C1189:V1189)</f>
        <v/>
      </c>
      <c r="E1191" s="55" t="str"/>
      <c r="F1191" s="48" t="str"/>
      <c r="G1191" s="58" t="str"/>
      <c r="H1191" s="62" t="str"/>
      <c r="I1191" s="63" t="str"/>
      <c r="J1191" s="48" t="str"/>
      <c r="K1191" s="58" t="str"/>
      <c r="L1191" s="42" t="str"/>
      <c r="M1191" s="42" t="str"/>
      <c r="N1191" s="48" t="str"/>
      <c r="O1191" s="58" t="str"/>
      <c r="P1191" s="42" t="str"/>
      <c r="Q1191" s="42" t="str"/>
      <c r="R1191" s="48" t="str"/>
      <c r="S1191" s="58" t="str"/>
      <c r="T1191" s="42" t="str"/>
      <c r="U1191" s="42" t="str"/>
      <c r="V1191" s="48" t="str"/>
      <c r="W1191" s="58" t="str"/>
      <c r="X1191" s="42" t="n"/>
      <c r="Y1191" s="42" t="n"/>
    </row>
    <row r="1192">
      <c r="B1192" s="2">
        <f>IF(STUDENTS!B1191="","",STUDENTS!B1191)</f>
        <v/>
      </c>
      <c r="C1192" s="44">
        <f>IFERROR(IF(B1192="","",_xlfn.XLOOKUP(B1192,STUDENTS!$B$3:$B$1048576,STUDENTS!$C$3:$C$1048576)),"Enter a registered reg. no")</f>
        <v/>
      </c>
      <c r="D1192" s="52">
        <f t="array" ref="D1192:W1192">IF(All_Students_Scores!C1190:V1190="","",All_Students_Scores!C1190:V1190)</f>
        <v/>
      </c>
      <c r="E1192" s="57" t="str"/>
      <c r="F1192" s="49" t="str"/>
      <c r="G1192" s="59" t="str"/>
      <c r="H1192" s="64" t="str"/>
      <c r="I1192" s="65" t="str"/>
      <c r="J1192" s="66" t="str"/>
      <c r="K1192" s="67" t="str"/>
      <c r="L1192" s="41" t="str"/>
      <c r="M1192" s="41" t="str"/>
      <c r="N1192" s="66" t="str"/>
      <c r="O1192" s="67" t="str"/>
      <c r="P1192" s="41" t="str"/>
      <c r="Q1192" s="41" t="str"/>
      <c r="R1192" s="66" t="str"/>
      <c r="S1192" s="67" t="str"/>
      <c r="T1192" s="41" t="str"/>
      <c r="U1192" s="41" t="str"/>
      <c r="V1192" s="66" t="str"/>
      <c r="W1192" s="67" t="str"/>
    </row>
    <row r="1193">
      <c r="B1193" s="2">
        <f>IF(STUDENTS!B1192="","",STUDENTS!B1192)</f>
        <v/>
      </c>
      <c r="C1193" s="44">
        <f>IFERROR(IF(B1193="","",_xlfn.XLOOKUP(B1193,STUDENTS!$B$3:$B$1048576,STUDENTS!$C$3:$C$1048576)),"Enter a registered reg. no")</f>
        <v/>
      </c>
      <c r="D1193" s="52">
        <f t="array" ref="D1193:W1193">IF(All_Students_Scores!C1191:V1191="","",All_Students_Scores!C1191:V1191)</f>
        <v/>
      </c>
      <c r="E1193" s="55" t="str"/>
      <c r="F1193" s="48" t="str"/>
      <c r="G1193" s="58" t="str"/>
      <c r="H1193" s="62" t="str"/>
      <c r="I1193" s="63" t="str"/>
      <c r="J1193" s="48" t="str"/>
      <c r="K1193" s="58" t="str"/>
      <c r="L1193" s="42" t="str"/>
      <c r="M1193" s="42" t="str"/>
      <c r="N1193" s="48" t="str"/>
      <c r="O1193" s="58" t="str"/>
      <c r="P1193" s="42" t="str"/>
      <c r="Q1193" s="42" t="str"/>
      <c r="R1193" s="48" t="str"/>
      <c r="S1193" s="58" t="str"/>
      <c r="T1193" s="42" t="str"/>
      <c r="U1193" s="42" t="str"/>
      <c r="V1193" s="48" t="str"/>
      <c r="W1193" s="58" t="str"/>
      <c r="X1193" s="42" t="n"/>
      <c r="Y1193" s="42" t="n"/>
    </row>
    <row r="1194">
      <c r="B1194" s="2">
        <f>IF(STUDENTS!B1193="","",STUDENTS!B1193)</f>
        <v/>
      </c>
      <c r="C1194" s="44">
        <f>IFERROR(IF(B1194="","",_xlfn.XLOOKUP(B1194,STUDENTS!$B$3:$B$1048576,STUDENTS!$C$3:$C$1048576)),"Enter a registered reg. no")</f>
        <v/>
      </c>
      <c r="D1194" s="52">
        <f t="array" ref="D1194:W1194">IF(All_Students_Scores!C1192:V1192="","",All_Students_Scores!C1192:V1192)</f>
        <v/>
      </c>
      <c r="E1194" s="57" t="str"/>
      <c r="F1194" s="49" t="str"/>
      <c r="G1194" s="59" t="str"/>
      <c r="H1194" s="64" t="str"/>
      <c r="I1194" s="65" t="str"/>
      <c r="J1194" s="66" t="str"/>
      <c r="K1194" s="67" t="str"/>
      <c r="L1194" s="41" t="str"/>
      <c r="M1194" s="41" t="str"/>
      <c r="N1194" s="66" t="str"/>
      <c r="O1194" s="67" t="str"/>
      <c r="P1194" s="41" t="str"/>
      <c r="Q1194" s="41" t="str"/>
      <c r="R1194" s="66" t="str"/>
      <c r="S1194" s="67" t="str"/>
      <c r="T1194" s="41" t="str"/>
      <c r="U1194" s="41" t="str"/>
      <c r="V1194" s="66" t="str"/>
      <c r="W1194" s="67" t="str"/>
    </row>
    <row r="1195">
      <c r="B1195" s="2">
        <f>IF(STUDENTS!B1194="","",STUDENTS!B1194)</f>
        <v/>
      </c>
      <c r="C1195" s="44">
        <f>IFERROR(IF(B1195="","",_xlfn.XLOOKUP(B1195,STUDENTS!$B$3:$B$1048576,STUDENTS!$C$3:$C$1048576)),"Enter a registered reg. no")</f>
        <v/>
      </c>
      <c r="D1195" s="52">
        <f t="array" ref="D1195:W1195">IF(All_Students_Scores!C1193:V1193="","",All_Students_Scores!C1193:V1193)</f>
        <v/>
      </c>
      <c r="E1195" s="55" t="str"/>
      <c r="F1195" s="48" t="str"/>
      <c r="G1195" s="58" t="str"/>
      <c r="H1195" s="62" t="str"/>
      <c r="I1195" s="63" t="str"/>
      <c r="J1195" s="48" t="str"/>
      <c r="K1195" s="58" t="str"/>
      <c r="L1195" s="42" t="str"/>
      <c r="M1195" s="42" t="str"/>
      <c r="N1195" s="48" t="str"/>
      <c r="O1195" s="58" t="str"/>
      <c r="P1195" s="42" t="str"/>
      <c r="Q1195" s="42" t="str"/>
      <c r="R1195" s="48" t="str"/>
      <c r="S1195" s="58" t="str"/>
      <c r="T1195" s="42" t="str"/>
      <c r="U1195" s="42" t="str"/>
      <c r="V1195" s="48" t="str"/>
      <c r="W1195" s="58" t="str"/>
      <c r="X1195" s="42" t="n"/>
      <c r="Y1195" s="42" t="n"/>
    </row>
    <row r="1196">
      <c r="B1196" s="2">
        <f>IF(STUDENTS!B1195="","",STUDENTS!B1195)</f>
        <v/>
      </c>
      <c r="C1196" s="44">
        <f>IFERROR(IF(B1196="","",_xlfn.XLOOKUP(B1196,STUDENTS!$B$3:$B$1048576,STUDENTS!$C$3:$C$1048576)),"Enter a registered reg. no")</f>
        <v/>
      </c>
      <c r="D1196" s="52">
        <f t="array" ref="D1196:W1196">IF(All_Students_Scores!C1194:V1194="","",All_Students_Scores!C1194:V1194)</f>
        <v/>
      </c>
      <c r="E1196" s="57" t="str"/>
      <c r="F1196" s="49" t="str"/>
      <c r="G1196" s="59" t="str"/>
      <c r="H1196" s="64" t="str"/>
      <c r="I1196" s="65" t="str"/>
      <c r="J1196" s="66" t="str"/>
      <c r="K1196" s="67" t="str"/>
      <c r="L1196" s="41" t="str"/>
      <c r="M1196" s="41" t="str"/>
      <c r="N1196" s="66" t="str"/>
      <c r="O1196" s="67" t="str"/>
      <c r="P1196" s="41" t="str"/>
      <c r="Q1196" s="41" t="str"/>
      <c r="R1196" s="66" t="str"/>
      <c r="S1196" s="67" t="str"/>
      <c r="T1196" s="41" t="str"/>
      <c r="U1196" s="41" t="str"/>
      <c r="V1196" s="66" t="str"/>
      <c r="W1196" s="67" t="str"/>
    </row>
    <row r="1197">
      <c r="B1197" s="2">
        <f>IF(STUDENTS!B1196="","",STUDENTS!B1196)</f>
        <v/>
      </c>
      <c r="C1197" s="44">
        <f>IFERROR(IF(B1197="","",_xlfn.XLOOKUP(B1197,STUDENTS!$B$3:$B$1048576,STUDENTS!$C$3:$C$1048576)),"Enter a registered reg. no")</f>
        <v/>
      </c>
      <c r="D1197" s="52">
        <f t="array" ref="D1197:W1197">IF(All_Students_Scores!C1195:V1195="","",All_Students_Scores!C1195:V1195)</f>
        <v/>
      </c>
      <c r="E1197" s="55" t="str"/>
      <c r="F1197" s="48" t="str"/>
      <c r="G1197" s="58" t="str"/>
      <c r="H1197" s="62" t="str"/>
      <c r="I1197" s="63" t="str"/>
      <c r="J1197" s="48" t="str"/>
      <c r="K1197" s="58" t="str"/>
      <c r="L1197" s="42" t="str"/>
      <c r="M1197" s="42" t="str"/>
      <c r="N1197" s="48" t="str"/>
      <c r="O1197" s="58" t="str"/>
      <c r="P1197" s="42" t="str"/>
      <c r="Q1197" s="42" t="str"/>
      <c r="R1197" s="48" t="str"/>
      <c r="S1197" s="58" t="str"/>
      <c r="T1197" s="42" t="str"/>
      <c r="U1197" s="42" t="str"/>
      <c r="V1197" s="48" t="str"/>
      <c r="W1197" s="58" t="str"/>
      <c r="X1197" s="42" t="n"/>
      <c r="Y1197" s="42" t="n"/>
    </row>
    <row r="1198">
      <c r="B1198" s="2">
        <f>IF(STUDENTS!B1197="","",STUDENTS!B1197)</f>
        <v/>
      </c>
      <c r="C1198" s="44">
        <f>IFERROR(IF(B1198="","",_xlfn.XLOOKUP(B1198,STUDENTS!$B$3:$B$1048576,STUDENTS!$C$3:$C$1048576)),"Enter a registered reg. no")</f>
        <v/>
      </c>
      <c r="D1198" s="52">
        <f t="array" ref="D1198:W1198">IF(All_Students_Scores!C1196:V1196="","",All_Students_Scores!C1196:V1196)</f>
        <v/>
      </c>
      <c r="E1198" s="57" t="str"/>
      <c r="F1198" s="49" t="str"/>
      <c r="G1198" s="59" t="str"/>
      <c r="H1198" s="64" t="str"/>
      <c r="I1198" s="65" t="str"/>
      <c r="J1198" s="66" t="str"/>
      <c r="K1198" s="67" t="str"/>
      <c r="L1198" s="41" t="str"/>
      <c r="M1198" s="41" t="str"/>
      <c r="N1198" s="66" t="str"/>
      <c r="O1198" s="67" t="str"/>
      <c r="P1198" s="41" t="str"/>
      <c r="Q1198" s="41" t="str"/>
      <c r="R1198" s="66" t="str"/>
      <c r="S1198" s="67" t="str"/>
      <c r="T1198" s="41" t="str"/>
      <c r="U1198" s="41" t="str"/>
      <c r="V1198" s="66" t="str"/>
      <c r="W1198" s="67" t="str"/>
    </row>
    <row r="1199">
      <c r="B1199" s="2">
        <f>IF(STUDENTS!B1198="","",STUDENTS!B1198)</f>
        <v/>
      </c>
      <c r="C1199" s="44">
        <f>IFERROR(IF(B1199="","",_xlfn.XLOOKUP(B1199,STUDENTS!$B$3:$B$1048576,STUDENTS!$C$3:$C$1048576)),"Enter a registered reg. no")</f>
        <v/>
      </c>
      <c r="D1199" s="52">
        <f t="array" ref="D1199:W1199">IF(All_Students_Scores!C1197:V1197="","",All_Students_Scores!C1197:V1197)</f>
        <v/>
      </c>
      <c r="E1199" s="55" t="str"/>
      <c r="F1199" s="48" t="str"/>
      <c r="G1199" s="58" t="str"/>
      <c r="H1199" s="62" t="str"/>
      <c r="I1199" s="63" t="str"/>
      <c r="J1199" s="48" t="str"/>
      <c r="K1199" s="58" t="str"/>
      <c r="L1199" s="42" t="str"/>
      <c r="M1199" s="42" t="str"/>
      <c r="N1199" s="48" t="str"/>
      <c r="O1199" s="58" t="str"/>
      <c r="P1199" s="42" t="str"/>
      <c r="Q1199" s="42" t="str"/>
      <c r="R1199" s="48" t="str"/>
      <c r="S1199" s="58" t="str"/>
      <c r="T1199" s="42" t="str"/>
      <c r="U1199" s="42" t="str"/>
      <c r="V1199" s="48" t="str"/>
      <c r="W1199" s="58" t="str"/>
      <c r="X1199" s="42" t="n"/>
      <c r="Y1199" s="42" t="n"/>
    </row>
    <row r="1200">
      <c r="B1200" s="2">
        <f>IF(STUDENTS!B1199="","",STUDENTS!B1199)</f>
        <v/>
      </c>
      <c r="C1200" s="44">
        <f>IFERROR(IF(B1200="","",_xlfn.XLOOKUP(B1200,STUDENTS!$B$3:$B$1048576,STUDENTS!$C$3:$C$1048576)),"Enter a registered reg. no")</f>
        <v/>
      </c>
      <c r="D1200" s="52">
        <f t="array" ref="D1200:W1200">IF(All_Students_Scores!C1198:V1198="","",All_Students_Scores!C1198:V1198)</f>
        <v/>
      </c>
      <c r="E1200" s="57" t="str"/>
      <c r="F1200" s="49" t="str"/>
      <c r="G1200" s="59" t="str"/>
      <c r="H1200" s="64" t="str"/>
      <c r="I1200" s="65" t="str"/>
      <c r="J1200" s="66" t="str"/>
      <c r="K1200" s="67" t="str"/>
      <c r="L1200" s="41" t="str"/>
      <c r="M1200" s="41" t="str"/>
      <c r="N1200" s="41" t="str"/>
      <c r="O1200" s="41" t="str"/>
      <c r="P1200" s="41" t="str"/>
      <c r="Q1200" s="41" t="str"/>
      <c r="R1200" s="66" t="str"/>
      <c r="S1200" s="67" t="str"/>
      <c r="T1200" s="41" t="str"/>
      <c r="U1200" s="41" t="str"/>
      <c r="V1200" s="66" t="str"/>
      <c r="W1200" s="67" t="str"/>
    </row>
    <row r="1201">
      <c r="B1201" s="2" t="n"/>
      <c r="C1201" s="44">
        <f>IFERROR(IF(B1201="","",_xlfn.XLOOKUP(B1201,STUDENTS!$B$3:$B$1048576,STUDENTS!$C$3:$C$1048576)),"Enter a registered reg. no")</f>
        <v/>
      </c>
      <c r="D1201" s="52">
        <f t="array" ref="D1201:W1201">IF(All_Students_Scores!C1199:V1199="","",All_Students_Scores!C1199:V1199)</f>
        <v/>
      </c>
      <c r="E1201" s="55" t="str"/>
      <c r="F1201" s="48" t="str"/>
      <c r="G1201" s="58" t="str"/>
      <c r="H1201" s="62" t="str"/>
      <c r="I1201" s="63" t="str"/>
      <c r="J1201" s="48" t="str"/>
      <c r="K1201" s="58" t="str"/>
      <c r="L1201" s="42" t="str"/>
      <c r="M1201" s="42" t="str"/>
      <c r="N1201" s="42" t="str"/>
      <c r="O1201" s="42" t="str"/>
      <c r="P1201" s="42" t="str"/>
      <c r="Q1201" s="42" t="str"/>
      <c r="R1201" s="48" t="str"/>
      <c r="S1201" s="58" t="str"/>
      <c r="T1201" s="42" t="str"/>
      <c r="U1201" s="42" t="str"/>
      <c r="V1201" s="48" t="str"/>
      <c r="W1201" s="58" t="str"/>
      <c r="X1201" s="42" t="n"/>
      <c r="Y1201" s="42" t="n"/>
    </row>
    <row r="1202">
      <c r="B1202" s="2" t="n"/>
      <c r="C1202" s="44">
        <f>IFERROR(IF(B1202="","",_xlfn.XLOOKUP(B1202,STUDENTS!$B$3:$B$1048576,STUDENTS!$C$3:$C$1048576)),"Enter a registered reg. no")</f>
        <v/>
      </c>
      <c r="D1202" s="52">
        <f t="array" ref="D1202:W1202">IF(All_Students_Scores!C1200:V1200="","",All_Students_Scores!C1200:V1200)</f>
        <v/>
      </c>
      <c r="E1202" s="57" t="str"/>
      <c r="F1202" s="49" t="str"/>
      <c r="G1202" s="59" t="str"/>
      <c r="H1202" s="64" t="str"/>
      <c r="I1202" s="65" t="str"/>
      <c r="J1202" s="66" t="str"/>
      <c r="K1202" s="67" t="str"/>
      <c r="L1202" s="41" t="str"/>
      <c r="M1202" s="41" t="str"/>
      <c r="N1202" s="41" t="str"/>
      <c r="O1202" s="41" t="str"/>
      <c r="P1202" s="41" t="str"/>
      <c r="Q1202" s="41" t="str"/>
      <c r="R1202" s="66" t="str"/>
      <c r="S1202" s="67" t="str"/>
      <c r="T1202" s="41" t="str"/>
      <c r="U1202" s="41" t="str"/>
      <c r="V1202" s="66" t="str"/>
      <c r="W1202" s="67" t="str"/>
    </row>
    <row r="1203">
      <c r="B1203" s="2" t="n"/>
      <c r="C1203" s="44">
        <f>IFERROR(IF(B1203="","",_xlfn.XLOOKUP(B1203,STUDENTS!$B$3:$B$1048576,STUDENTS!$C$3:$C$1048576)),"Enter a registered reg. no")</f>
        <v/>
      </c>
      <c r="D1203" s="52">
        <f t="array" ref="D1203:W1203">IF(All_Students_Scores!C1201:V1201="","",All_Students_Scores!C1201:V1201)</f>
        <v/>
      </c>
      <c r="E1203" s="55" t="str"/>
      <c r="F1203" s="48" t="str"/>
      <c r="G1203" s="58" t="str"/>
      <c r="H1203" s="62" t="str"/>
      <c r="I1203" s="63" t="str"/>
      <c r="J1203" s="48" t="str"/>
      <c r="K1203" s="58" t="str"/>
      <c r="L1203" s="42" t="str"/>
      <c r="M1203" s="42" t="str"/>
      <c r="N1203" s="42" t="str"/>
      <c r="O1203" s="42" t="str"/>
      <c r="P1203" s="42" t="str"/>
      <c r="Q1203" s="42" t="str"/>
      <c r="R1203" s="48" t="str"/>
      <c r="S1203" s="58" t="str"/>
      <c r="T1203" s="42" t="str"/>
      <c r="U1203" s="42" t="str"/>
      <c r="V1203" s="48" t="str"/>
      <c r="W1203" s="58" t="str"/>
      <c r="X1203" s="42" t="n"/>
      <c r="Y1203" s="42" t="n"/>
    </row>
    <row r="1204">
      <c r="B1204" s="2" t="n"/>
      <c r="C1204" s="44">
        <f>IFERROR(IF(B1204="","",_xlfn.XLOOKUP(B1204,STUDENTS!$B$3:$B$1048576,STUDENTS!$C$3:$C$1048576)),"Enter a registered reg. no")</f>
        <v/>
      </c>
      <c r="D1204" s="52">
        <f t="array" ref="D1204:W1204">IF(All_Students_Scores!C1202:V1202="","",All_Students_Scores!C1202:V1202)</f>
        <v/>
      </c>
      <c r="E1204" s="57" t="str"/>
      <c r="F1204" s="49" t="str"/>
      <c r="G1204" s="59" t="str"/>
      <c r="H1204" s="64" t="str"/>
      <c r="I1204" s="65" t="str"/>
      <c r="J1204" s="66" t="str"/>
      <c r="K1204" s="67" t="str"/>
      <c r="L1204" s="41" t="str"/>
      <c r="M1204" s="41" t="str"/>
      <c r="N1204" s="41" t="str"/>
      <c r="O1204" s="41" t="str"/>
      <c r="P1204" s="41" t="str"/>
      <c r="Q1204" s="41" t="str"/>
      <c r="R1204" s="41" t="str"/>
      <c r="S1204" s="41" t="str"/>
      <c r="T1204" s="41" t="str"/>
      <c r="U1204" s="41" t="str"/>
      <c r="V1204" s="66" t="str"/>
      <c r="W1204" s="67" t="str"/>
    </row>
    <row r="1205">
      <c r="B1205" s="2" t="n"/>
      <c r="C1205" s="44">
        <f>IFERROR(IF(B1205="","",_xlfn.XLOOKUP(B1205,STUDENTS!$B$3:$B$1048576,STUDENTS!$C$3:$C$1048576)),"Enter a registered reg. no")</f>
        <v/>
      </c>
      <c r="D1205" s="52">
        <f t="array" ref="D1205:W1205">IF(All_Students_Scores!C1203:V1203="","",All_Students_Scores!C1203:V1203)</f>
        <v/>
      </c>
      <c r="E1205" s="55" t="str"/>
      <c r="F1205" s="48" t="str"/>
      <c r="G1205" s="58" t="str"/>
      <c r="H1205" s="62" t="str"/>
      <c r="I1205" s="63" t="str"/>
      <c r="J1205" s="48" t="str"/>
      <c r="K1205" s="58" t="str"/>
      <c r="L1205" s="42" t="str"/>
      <c r="M1205" s="42" t="str"/>
      <c r="N1205" s="42" t="str"/>
      <c r="O1205" s="42" t="str"/>
      <c r="P1205" s="42" t="str"/>
      <c r="Q1205" s="42" t="str"/>
      <c r="R1205" s="42" t="str"/>
      <c r="S1205" s="42" t="str"/>
      <c r="T1205" s="42" t="str"/>
      <c r="U1205" s="42" t="str"/>
      <c r="V1205" s="48" t="str"/>
      <c r="W1205" s="58" t="str"/>
      <c r="X1205" s="42" t="n"/>
      <c r="Y1205" s="42" t="n"/>
    </row>
    <row r="1206">
      <c r="B1206" s="2" t="n"/>
      <c r="C1206" s="44">
        <f>IFERROR(IF(B1206="","",_xlfn.XLOOKUP(B1206,STUDENTS!$B$3:$B$1048576,STUDENTS!$C$3:$C$1048576)),"Enter a registered reg. no")</f>
        <v/>
      </c>
      <c r="D1206" s="52">
        <f t="array" ref="D1206:W1206">IF(All_Students_Scores!C1204:V1204="","",All_Students_Scores!C1204:V1204)</f>
        <v/>
      </c>
      <c r="E1206" s="57" t="str"/>
      <c r="F1206" s="49" t="str"/>
      <c r="G1206" s="59" t="str"/>
      <c r="H1206" s="64" t="str"/>
      <c r="I1206" s="65" t="str"/>
      <c r="J1206" s="66" t="str"/>
      <c r="K1206" s="67" t="str"/>
      <c r="L1206" s="41" t="str"/>
      <c r="M1206" s="41" t="str"/>
      <c r="N1206" s="41" t="str"/>
      <c r="O1206" s="41" t="str"/>
      <c r="P1206" s="41" t="str"/>
      <c r="Q1206" s="41" t="str"/>
      <c r="R1206" s="41" t="str"/>
      <c r="S1206" s="41" t="str"/>
      <c r="T1206" s="41" t="str"/>
      <c r="U1206" s="41" t="str"/>
      <c r="V1206" s="41" t="str"/>
      <c r="W1206" s="41" t="str"/>
    </row>
    <row r="1207">
      <c r="B1207" s="2" t="n"/>
      <c r="C1207" s="44">
        <f>IFERROR(IF(B1207="","",_xlfn.XLOOKUP(B1207,STUDENTS!$B$3:$B$1048576,STUDENTS!$C$3:$C$1048576)),"Enter a registered reg. no")</f>
        <v/>
      </c>
      <c r="D1207" s="52">
        <f t="array" ref="D1207:W1207">IF(All_Students_Scores!C1205:V1205="","",All_Students_Scores!C1205:V1205)</f>
        <v/>
      </c>
      <c r="E1207" s="55" t="str"/>
      <c r="F1207" s="48" t="str"/>
      <c r="G1207" s="58" t="str"/>
      <c r="H1207" s="62" t="str"/>
      <c r="I1207" s="63" t="str"/>
      <c r="J1207" s="48" t="str"/>
      <c r="K1207" s="58" t="str"/>
      <c r="L1207" s="42" t="str"/>
      <c r="M1207" s="42" t="str"/>
      <c r="N1207" s="42" t="str"/>
      <c r="O1207" s="42" t="str"/>
      <c r="P1207" s="42" t="str"/>
      <c r="Q1207" s="42" t="str"/>
      <c r="R1207" s="42" t="str"/>
      <c r="S1207" s="42" t="str"/>
      <c r="T1207" s="42" t="str"/>
      <c r="U1207" s="42" t="str"/>
      <c r="V1207" s="42" t="str"/>
      <c r="W1207" s="42" t="str"/>
      <c r="X1207" s="42" t="n"/>
      <c r="Y1207" s="42" t="n"/>
    </row>
    <row r="1208">
      <c r="B1208" s="2" t="n"/>
      <c r="C1208" s="40" t="n"/>
      <c r="D1208" s="52">
        <f t="array" ref="D1208:W1208">IF(All_Students_Scores!C1206:V1206="","",All_Students_Scores!C1206:V1206)</f>
        <v/>
      </c>
      <c r="E1208" s="57" t="str"/>
      <c r="F1208" s="49" t="str"/>
      <c r="G1208" s="59" t="str"/>
      <c r="H1208" s="64" t="str"/>
      <c r="I1208" s="65" t="str"/>
      <c r="J1208" s="66" t="str"/>
      <c r="K1208" s="67" t="str"/>
      <c r="L1208" s="41" t="str"/>
      <c r="M1208" s="41" t="str"/>
      <c r="N1208" s="41" t="str"/>
      <c r="O1208" s="41" t="str"/>
      <c r="P1208" s="41" t="str"/>
      <c r="Q1208" s="41" t="str"/>
      <c r="R1208" s="41" t="str"/>
      <c r="S1208" s="41" t="str"/>
      <c r="T1208" s="41" t="str"/>
      <c r="U1208" s="41" t="str"/>
      <c r="V1208" s="41" t="str"/>
      <c r="W1208" s="41" t="str"/>
    </row>
    <row r="1209">
      <c r="B1209" s="2" t="n"/>
      <c r="C1209" s="40" t="n"/>
      <c r="D1209" s="52">
        <f t="array" ref="D1209:W1209">IF(All_Students_Scores!C1207:V1207="","",All_Students_Scores!C1207:V1207)</f>
        <v/>
      </c>
      <c r="E1209" s="57" t="str"/>
      <c r="F1209" s="49" t="str"/>
      <c r="G1209" s="59" t="str"/>
      <c r="H1209" s="64" t="str"/>
      <c r="I1209" s="65" t="str"/>
      <c r="J1209" s="48" t="str"/>
      <c r="K1209" s="58" t="str"/>
      <c r="L1209" s="41" t="str"/>
      <c r="M1209" s="41" t="str"/>
      <c r="N1209" s="41" t="str"/>
      <c r="O1209" s="41" t="str"/>
      <c r="P1209" s="41" t="str"/>
      <c r="Q1209" s="41" t="str"/>
      <c r="R1209" s="41" t="str"/>
      <c r="S1209" s="41" t="str"/>
      <c r="T1209" s="41" t="str"/>
      <c r="U1209" s="41" t="str"/>
      <c r="V1209" s="41" t="str"/>
      <c r="W1209" s="41" t="str"/>
    </row>
    <row r="1210">
      <c r="B1210" s="2" t="n"/>
      <c r="C1210" s="40" t="n"/>
      <c r="D1210" s="52">
        <f t="array" ref="D1210:W1210">IF(All_Students_Scores!C1208:V1208="","",All_Students_Scores!C1208:V1208)</f>
        <v/>
      </c>
      <c r="E1210" s="57" t="str"/>
      <c r="F1210" s="49" t="str"/>
      <c r="G1210" s="59" t="str"/>
      <c r="H1210" s="64" t="str"/>
      <c r="I1210" s="65" t="str"/>
      <c r="J1210" s="49" t="str"/>
      <c r="K1210" s="41" t="str"/>
      <c r="L1210" s="41" t="str"/>
      <c r="M1210" s="41" t="str"/>
      <c r="N1210" s="41" t="str"/>
      <c r="O1210" s="41" t="str"/>
      <c r="P1210" s="41" t="str"/>
      <c r="Q1210" s="41" t="str"/>
      <c r="R1210" s="41" t="str"/>
      <c r="S1210" s="41" t="str"/>
      <c r="T1210" s="41" t="str"/>
      <c r="U1210" s="41" t="str"/>
      <c r="V1210" s="41" t="str"/>
      <c r="W1210" s="41" t="str"/>
    </row>
    <row r="1211">
      <c r="B1211" s="2" t="n"/>
      <c r="C1211" s="40" t="n"/>
      <c r="D1211" s="52">
        <f t="array" ref="D1211:W1211">IF(All_Students_Scores!C1209:V1209="","",All_Students_Scores!C1209:V1209)</f>
        <v/>
      </c>
      <c r="E1211" s="57" t="str"/>
      <c r="F1211" s="49" t="str"/>
      <c r="G1211" s="59" t="str"/>
      <c r="H1211" s="64" t="str"/>
      <c r="I1211" s="65" t="str"/>
      <c r="J1211" s="49" t="str"/>
      <c r="K1211" s="41" t="str"/>
      <c r="L1211" s="41" t="str"/>
      <c r="M1211" s="41" t="str"/>
      <c r="N1211" s="41" t="str"/>
      <c r="O1211" s="41" t="str"/>
      <c r="P1211" s="41" t="str"/>
      <c r="Q1211" s="41" t="str"/>
      <c r="R1211" s="41" t="str"/>
      <c r="S1211" s="41" t="str"/>
      <c r="T1211" s="41" t="str"/>
      <c r="U1211" s="41" t="str"/>
      <c r="V1211" s="41" t="str"/>
      <c r="W1211" s="41" t="str"/>
    </row>
    <row r="1212">
      <c r="B1212" s="2" t="n"/>
      <c r="C1212" s="40" t="n"/>
      <c r="D1212" s="52">
        <f t="array" ref="D1212:W1212">IF(All_Students_Scores!C1210:V1210="","",All_Students_Scores!C1210:V1210)</f>
        <v/>
      </c>
      <c r="E1212" s="57" t="str"/>
      <c r="F1212" s="49" t="str"/>
      <c r="G1212" s="59" t="str"/>
      <c r="H1212" s="64" t="str"/>
      <c r="I1212" s="65" t="str"/>
      <c r="J1212" s="49" t="str"/>
      <c r="K1212" s="41" t="str"/>
      <c r="L1212" s="41" t="str"/>
      <c r="M1212" s="41" t="str"/>
      <c r="N1212" s="41" t="str"/>
      <c r="O1212" s="41" t="str"/>
      <c r="P1212" s="41" t="str"/>
      <c r="Q1212" s="41" t="str"/>
      <c r="R1212" s="41" t="str"/>
      <c r="S1212" s="41" t="str"/>
      <c r="T1212" s="41" t="str"/>
      <c r="U1212" s="41" t="str"/>
      <c r="V1212" s="41" t="str"/>
      <c r="W1212" s="41" t="str"/>
    </row>
    <row r="1213">
      <c r="B1213" s="2" t="n"/>
      <c r="C1213" s="40" t="n"/>
      <c r="D1213" s="52">
        <f t="array" ref="D1213:W1213">IF(All_Students_Scores!C1211:V1211="","",All_Students_Scores!C1211:V1211)</f>
        <v/>
      </c>
      <c r="E1213" s="57" t="str"/>
      <c r="F1213" s="49" t="str"/>
      <c r="G1213" s="59" t="str"/>
      <c r="H1213" s="64" t="str"/>
      <c r="I1213" s="65" t="str"/>
      <c r="J1213" s="49" t="str"/>
      <c r="K1213" s="41" t="str"/>
      <c r="L1213" s="41" t="str"/>
      <c r="M1213" s="41" t="str"/>
      <c r="N1213" s="41" t="str"/>
      <c r="O1213" s="41" t="str"/>
      <c r="P1213" s="41" t="str"/>
      <c r="Q1213" s="41" t="str"/>
      <c r="R1213" s="41" t="str"/>
      <c r="S1213" s="41" t="str"/>
      <c r="T1213" s="41" t="str"/>
      <c r="U1213" s="41" t="str"/>
      <c r="V1213" s="41" t="str"/>
      <c r="W1213" s="41" t="str"/>
    </row>
    <row r="1214">
      <c r="B1214" s="2" t="n"/>
      <c r="C1214" s="40" t="n"/>
      <c r="D1214" s="52">
        <f t="array" ref="D1214:W1214">IF(All_Students_Scores!C1212:V1212="","",All_Students_Scores!C1212:V1212)</f>
        <v/>
      </c>
      <c r="E1214" s="57" t="str"/>
      <c r="F1214" s="49" t="str"/>
      <c r="G1214" s="59" t="str"/>
      <c r="H1214" s="64" t="str"/>
      <c r="I1214" s="65" t="str"/>
      <c r="J1214" s="49" t="str"/>
      <c r="K1214" s="41" t="str"/>
      <c r="L1214" s="41" t="str"/>
      <c r="M1214" s="41" t="str"/>
      <c r="N1214" s="41" t="str"/>
      <c r="O1214" s="41" t="str"/>
      <c r="P1214" s="41" t="str"/>
      <c r="Q1214" s="41" t="str"/>
      <c r="R1214" s="41" t="str"/>
      <c r="S1214" s="41" t="str"/>
      <c r="T1214" s="41" t="str"/>
      <c r="U1214" s="41" t="str"/>
      <c r="V1214" s="41" t="str"/>
      <c r="W1214" s="41" t="str"/>
    </row>
    <row r="1215">
      <c r="B1215" s="2" t="n"/>
      <c r="C1215" s="40" t="n"/>
      <c r="D1215" s="52">
        <f t="array" ref="D1215:W1215">IF(All_Students_Scores!C1213:V1213="","",All_Students_Scores!C1213:V1213)</f>
        <v/>
      </c>
      <c r="E1215" s="57" t="str"/>
      <c r="F1215" s="49" t="str"/>
      <c r="G1215" s="59" t="str"/>
      <c r="H1215" s="64" t="str"/>
      <c r="I1215" s="65" t="str"/>
      <c r="J1215" s="49" t="str"/>
      <c r="K1215" s="41" t="str"/>
      <c r="L1215" s="41" t="str"/>
      <c r="M1215" s="41" t="str"/>
      <c r="N1215" s="41" t="str"/>
      <c r="O1215" s="41" t="str"/>
      <c r="P1215" s="41" t="str"/>
      <c r="Q1215" s="41" t="str"/>
      <c r="R1215" s="41" t="str"/>
      <c r="S1215" s="41" t="str"/>
      <c r="T1215" s="41" t="str"/>
      <c r="U1215" s="41" t="str"/>
      <c r="V1215" s="41" t="str"/>
      <c r="W1215" s="41" t="str"/>
    </row>
    <row r="1216">
      <c r="B1216" s="2" t="n"/>
      <c r="C1216" s="40" t="n"/>
      <c r="D1216" s="52">
        <f t="array" ref="D1216:W1216">IF(All_Students_Scores!C1214:V1214="","",All_Students_Scores!C1214:V1214)</f>
        <v/>
      </c>
      <c r="E1216" s="57" t="str"/>
      <c r="F1216" s="49" t="str"/>
      <c r="G1216" s="59" t="str"/>
      <c r="H1216" s="64" t="str"/>
      <c r="I1216" s="65" t="str"/>
      <c r="J1216" s="49" t="str"/>
      <c r="K1216" s="41" t="str"/>
      <c r="L1216" s="41" t="str"/>
      <c r="M1216" s="41" t="str"/>
      <c r="N1216" s="41" t="str"/>
      <c r="O1216" s="41" t="str"/>
      <c r="P1216" s="41" t="str"/>
      <c r="Q1216" s="41" t="str"/>
      <c r="R1216" s="41" t="str"/>
      <c r="S1216" s="41" t="str"/>
      <c r="T1216" s="41" t="str"/>
      <c r="U1216" s="41" t="str"/>
      <c r="V1216" s="41" t="str"/>
      <c r="W1216" s="41" t="str"/>
    </row>
    <row r="1217">
      <c r="B1217" s="2" t="n"/>
      <c r="C1217" s="40" t="n"/>
      <c r="D1217" s="52">
        <f t="array" ref="D1217:W1217">IF(All_Students_Scores!C1215:V1215="","",All_Students_Scores!C1215:V1215)</f>
        <v/>
      </c>
      <c r="E1217" s="57" t="str"/>
      <c r="F1217" s="49" t="str"/>
      <c r="G1217" s="59" t="str"/>
      <c r="H1217" s="64" t="str"/>
      <c r="I1217" s="65" t="str"/>
      <c r="J1217" s="49" t="str"/>
      <c r="K1217" s="41" t="str"/>
      <c r="L1217" s="41" t="str"/>
      <c r="M1217" s="41" t="str"/>
      <c r="N1217" s="41" t="str"/>
      <c r="O1217" s="41" t="str"/>
      <c r="P1217" s="41" t="str"/>
      <c r="Q1217" s="41" t="str"/>
      <c r="R1217" s="41" t="str"/>
      <c r="S1217" s="41" t="str"/>
      <c r="T1217" s="41" t="str"/>
      <c r="U1217" s="41" t="str"/>
      <c r="V1217" s="41" t="str"/>
      <c r="W1217" s="41" t="str"/>
    </row>
    <row r="1218">
      <c r="B1218" s="2" t="n"/>
      <c r="C1218" s="40" t="n"/>
      <c r="D1218" s="52">
        <f t="array" ref="D1218:W1218">IF(All_Students_Scores!C1216:V1216="","",All_Students_Scores!C1216:V1216)</f>
        <v/>
      </c>
      <c r="E1218" s="57" t="str"/>
      <c r="F1218" s="49" t="str"/>
      <c r="G1218" s="59" t="str"/>
      <c r="H1218" s="64" t="str"/>
      <c r="I1218" s="65" t="str"/>
      <c r="J1218" s="49" t="str"/>
      <c r="K1218" s="41" t="str"/>
      <c r="L1218" s="41" t="str"/>
      <c r="M1218" s="41" t="str"/>
      <c r="N1218" s="41" t="str"/>
      <c r="O1218" s="41" t="str"/>
      <c r="P1218" s="41" t="str"/>
      <c r="Q1218" s="41" t="str"/>
      <c r="R1218" s="41" t="str"/>
      <c r="S1218" s="41" t="str"/>
      <c r="T1218" s="41" t="str"/>
      <c r="U1218" s="41" t="str"/>
      <c r="V1218" s="41" t="str"/>
      <c r="W1218" s="41" t="str"/>
    </row>
    <row r="1219">
      <c r="B1219" s="2" t="n"/>
      <c r="C1219" s="40" t="n"/>
      <c r="D1219" s="52">
        <f t="array" ref="D1219:W1219">IF(All_Students_Scores!C1217:V1217="","",All_Students_Scores!C1217:V1217)</f>
        <v/>
      </c>
      <c r="E1219" s="57" t="str"/>
      <c r="F1219" s="49" t="str"/>
      <c r="G1219" s="59" t="str"/>
      <c r="H1219" s="64" t="str"/>
      <c r="I1219" s="65" t="str"/>
      <c r="J1219" s="49" t="str"/>
      <c r="K1219" s="41" t="str"/>
      <c r="L1219" s="41" t="str"/>
      <c r="M1219" s="41" t="str"/>
      <c r="N1219" s="41" t="str"/>
      <c r="O1219" s="41" t="str"/>
      <c r="P1219" s="41" t="str"/>
      <c r="Q1219" s="41" t="str"/>
      <c r="R1219" s="41" t="str"/>
      <c r="S1219" s="41" t="str"/>
      <c r="T1219" s="41" t="str"/>
      <c r="U1219" s="41" t="str"/>
      <c r="V1219" s="41" t="str"/>
      <c r="W1219" s="41" t="str"/>
    </row>
    <row r="1220">
      <c r="B1220" s="2" t="n"/>
      <c r="C1220" s="40" t="n"/>
      <c r="D1220" s="52">
        <f t="array" ref="D1220:W1220">IF(All_Students_Scores!C1218:V1218="","",All_Students_Scores!C1218:V1218)</f>
        <v/>
      </c>
      <c r="E1220" s="57" t="str"/>
      <c r="F1220" s="49" t="str"/>
      <c r="G1220" s="59" t="str"/>
      <c r="H1220" s="64" t="str"/>
      <c r="I1220" s="65" t="str"/>
      <c r="J1220" s="49" t="str"/>
      <c r="K1220" s="41" t="str"/>
      <c r="L1220" s="41" t="str"/>
      <c r="M1220" s="41" t="str"/>
      <c r="N1220" s="41" t="str"/>
      <c r="O1220" s="41" t="str"/>
      <c r="P1220" s="41" t="str"/>
      <c r="Q1220" s="41" t="str"/>
      <c r="R1220" s="41" t="str"/>
      <c r="S1220" s="41" t="str"/>
      <c r="T1220" s="41" t="str"/>
      <c r="U1220" s="41" t="str"/>
      <c r="V1220" s="41" t="str"/>
      <c r="W1220" s="41" t="str"/>
    </row>
    <row r="1221">
      <c r="B1221" s="2" t="n"/>
      <c r="C1221" s="40" t="n"/>
      <c r="D1221" s="52">
        <f t="array" ref="D1221:W1221">IF(All_Students_Scores!C1219:V1219="","",All_Students_Scores!C1219:V1219)</f>
        <v/>
      </c>
      <c r="E1221" s="57" t="str"/>
      <c r="F1221" s="49" t="str"/>
      <c r="G1221" s="59" t="str"/>
      <c r="H1221" s="64" t="str"/>
      <c r="I1221" s="65" t="str"/>
      <c r="J1221" s="49" t="str"/>
      <c r="K1221" s="41" t="str"/>
      <c r="L1221" s="41" t="str"/>
      <c r="M1221" s="41" t="str"/>
      <c r="N1221" s="41" t="str"/>
      <c r="O1221" s="41" t="str"/>
      <c r="P1221" s="41" t="str"/>
      <c r="Q1221" s="41" t="str"/>
      <c r="R1221" s="41" t="str"/>
      <c r="S1221" s="41" t="str"/>
      <c r="T1221" s="41" t="str"/>
      <c r="U1221" s="41" t="str"/>
      <c r="V1221" s="41" t="str"/>
      <c r="W1221" s="41" t="str"/>
    </row>
    <row r="1222">
      <c r="B1222" s="2" t="n"/>
      <c r="C1222" s="40" t="n"/>
      <c r="D1222" s="52">
        <f t="array" ref="D1222:W1222">IF(All_Students_Scores!C1220:V1220="","",All_Students_Scores!C1220:V1220)</f>
        <v/>
      </c>
      <c r="E1222" s="57" t="str"/>
      <c r="F1222" s="49" t="str"/>
      <c r="G1222" s="59" t="str"/>
      <c r="H1222" s="64" t="str"/>
      <c r="I1222" s="65" t="str"/>
      <c r="J1222" s="49" t="str"/>
      <c r="K1222" s="41" t="str"/>
      <c r="L1222" s="41" t="str"/>
      <c r="M1222" s="41" t="str"/>
      <c r="N1222" s="41" t="str"/>
      <c r="O1222" s="41" t="str"/>
      <c r="P1222" s="41" t="str"/>
      <c r="Q1222" s="41" t="str"/>
      <c r="R1222" s="41" t="str"/>
      <c r="S1222" s="41" t="str"/>
      <c r="T1222" s="41" t="str"/>
      <c r="U1222" s="41" t="str"/>
      <c r="V1222" s="41" t="str"/>
      <c r="W1222" s="41" t="str"/>
    </row>
    <row r="1223">
      <c r="B1223" s="2" t="n"/>
      <c r="C1223" s="40" t="n"/>
      <c r="D1223" s="52">
        <f t="array" ref="D1223:W1223">IF(All_Students_Scores!C1221:V1221="","",All_Students_Scores!C1221:V1221)</f>
        <v/>
      </c>
      <c r="E1223" s="57" t="str"/>
      <c r="F1223" s="49" t="str"/>
      <c r="G1223" s="59" t="str"/>
      <c r="H1223" s="64" t="str"/>
      <c r="I1223" s="65" t="str"/>
      <c r="J1223" s="49" t="str"/>
      <c r="K1223" s="41" t="str"/>
      <c r="L1223" s="41" t="str"/>
      <c r="M1223" s="41" t="str"/>
      <c r="N1223" s="41" t="str"/>
      <c r="O1223" s="41" t="str"/>
      <c r="P1223" s="41" t="str"/>
      <c r="Q1223" s="41" t="str"/>
      <c r="R1223" s="41" t="str"/>
      <c r="S1223" s="41" t="str"/>
      <c r="T1223" s="41" t="str"/>
      <c r="U1223" s="41" t="str"/>
      <c r="V1223" s="41" t="str"/>
      <c r="W1223" s="41" t="str"/>
    </row>
    <row r="1224">
      <c r="B1224" s="2" t="n"/>
      <c r="C1224" s="40" t="n"/>
      <c r="D1224" s="52">
        <f t="array" ref="D1224:W1224">IF(All_Students_Scores!C1222:V1222="","",All_Students_Scores!C1222:V1222)</f>
        <v/>
      </c>
      <c r="E1224" s="57" t="str"/>
      <c r="F1224" s="49" t="str"/>
      <c r="G1224" s="59" t="str"/>
      <c r="H1224" s="64" t="str"/>
      <c r="I1224" s="65" t="str"/>
      <c r="J1224" s="49" t="str"/>
      <c r="K1224" s="41" t="str"/>
      <c r="L1224" s="41" t="str"/>
      <c r="M1224" s="41" t="str"/>
      <c r="N1224" s="41" t="str"/>
      <c r="O1224" s="41" t="str"/>
      <c r="P1224" s="41" t="str"/>
      <c r="Q1224" s="41" t="str"/>
      <c r="R1224" s="41" t="str"/>
      <c r="S1224" s="41" t="str"/>
      <c r="T1224" s="41" t="str"/>
      <c r="U1224" s="41" t="str"/>
      <c r="V1224" s="41" t="str"/>
      <c r="W1224" s="41" t="str"/>
    </row>
    <row r="1225">
      <c r="B1225" s="2" t="n"/>
      <c r="C1225" s="40" t="n"/>
      <c r="D1225" s="52">
        <f t="array" ref="D1225:W1225">IF(All_Students_Scores!C1223:V1223="","",All_Students_Scores!C1223:V1223)</f>
        <v/>
      </c>
      <c r="E1225" s="57" t="str"/>
      <c r="F1225" s="49" t="str"/>
      <c r="G1225" s="59" t="str"/>
      <c r="H1225" s="64" t="str"/>
      <c r="I1225" s="65" t="str"/>
      <c r="J1225" s="49" t="str"/>
      <c r="K1225" s="41" t="str"/>
      <c r="L1225" s="41" t="str"/>
      <c r="M1225" s="41" t="str"/>
      <c r="N1225" s="41" t="str"/>
      <c r="O1225" s="41" t="str"/>
      <c r="P1225" s="41" t="str"/>
      <c r="Q1225" s="41" t="str"/>
      <c r="R1225" s="41" t="str"/>
      <c r="S1225" s="41" t="str"/>
      <c r="T1225" s="41" t="str"/>
      <c r="U1225" s="41" t="str"/>
      <c r="V1225" s="41" t="str"/>
      <c r="W1225" s="41" t="str"/>
    </row>
    <row r="1226">
      <c r="B1226" s="2" t="n"/>
      <c r="C1226" s="40" t="n"/>
      <c r="D1226" s="52">
        <f t="array" ref="D1226:W1226">IF(All_Students_Scores!C1224:V1224="","",All_Students_Scores!C1224:V1224)</f>
        <v/>
      </c>
      <c r="E1226" s="57" t="str"/>
      <c r="F1226" s="49" t="str"/>
      <c r="G1226" s="59" t="str"/>
      <c r="H1226" s="64" t="str"/>
      <c r="I1226" s="65" t="str"/>
      <c r="J1226" s="49" t="str"/>
      <c r="K1226" s="41" t="str"/>
      <c r="L1226" s="41" t="str"/>
      <c r="M1226" s="41" t="str"/>
      <c r="N1226" s="41" t="str"/>
      <c r="O1226" s="41" t="str"/>
      <c r="P1226" s="41" t="str"/>
      <c r="Q1226" s="41" t="str"/>
      <c r="R1226" s="41" t="str"/>
      <c r="S1226" s="41" t="str"/>
      <c r="T1226" s="41" t="str"/>
      <c r="U1226" s="41" t="str"/>
      <c r="V1226" s="41" t="str"/>
      <c r="W1226" s="41" t="str"/>
    </row>
    <row r="1227">
      <c r="B1227" s="2" t="n"/>
      <c r="C1227" s="40" t="n"/>
      <c r="D1227" s="52">
        <f t="array" ref="D1227:W1227">IF(All_Students_Scores!C1225:V1225="","",All_Students_Scores!C1225:V1225)</f>
        <v/>
      </c>
      <c r="E1227" s="57" t="str"/>
      <c r="F1227" s="49" t="str"/>
      <c r="G1227" s="59" t="str"/>
      <c r="H1227" s="64" t="str"/>
      <c r="I1227" s="65" t="str"/>
      <c r="J1227" s="49" t="str"/>
      <c r="K1227" s="41" t="str"/>
      <c r="L1227" s="41" t="str"/>
      <c r="M1227" s="41" t="str"/>
      <c r="N1227" s="41" t="str"/>
      <c r="O1227" s="41" t="str"/>
      <c r="P1227" s="41" t="str"/>
      <c r="Q1227" s="41" t="str"/>
      <c r="R1227" s="41" t="str"/>
      <c r="S1227" s="41" t="str"/>
      <c r="T1227" s="41" t="str"/>
      <c r="U1227" s="41" t="str"/>
      <c r="V1227" s="41" t="str"/>
      <c r="W1227" s="41" t="str"/>
    </row>
    <row r="1228">
      <c r="B1228" s="2" t="n"/>
      <c r="C1228" s="40" t="n"/>
      <c r="D1228" s="52">
        <f t="array" ref="D1228:W1228">IF(All_Students_Scores!C1226:V1226="","",All_Students_Scores!C1226:V1226)</f>
        <v/>
      </c>
      <c r="E1228" s="57" t="str"/>
      <c r="F1228" s="49" t="str"/>
      <c r="G1228" s="59" t="str"/>
      <c r="H1228" s="64" t="str"/>
      <c r="I1228" s="65" t="str"/>
      <c r="J1228" s="49" t="str"/>
      <c r="K1228" s="41" t="str"/>
      <c r="L1228" s="41" t="str"/>
      <c r="M1228" s="41" t="str"/>
      <c r="N1228" s="41" t="str"/>
      <c r="O1228" s="41" t="str"/>
      <c r="P1228" s="41" t="str"/>
      <c r="Q1228" s="41" t="str"/>
      <c r="R1228" s="41" t="str"/>
      <c r="S1228" s="41" t="str"/>
      <c r="T1228" s="41" t="str"/>
      <c r="U1228" s="41" t="str"/>
      <c r="V1228" s="41" t="str"/>
      <c r="W1228" s="41" t="str"/>
    </row>
    <row r="1229">
      <c r="B1229" s="2" t="n"/>
      <c r="C1229" s="40" t="n"/>
      <c r="D1229" s="52">
        <f t="array" ref="D1229:W1229">IF(All_Students_Scores!C1227:V1227="","",All_Students_Scores!C1227:V1227)</f>
        <v/>
      </c>
      <c r="E1229" s="57" t="str"/>
      <c r="F1229" s="49" t="str"/>
      <c r="G1229" s="59" t="str"/>
      <c r="H1229" s="64" t="str"/>
      <c r="I1229" s="65" t="str"/>
      <c r="J1229" s="49" t="str"/>
      <c r="K1229" s="41" t="str"/>
      <c r="L1229" s="41" t="str"/>
      <c r="M1229" s="41" t="str"/>
      <c r="N1229" s="41" t="str"/>
      <c r="O1229" s="41" t="str"/>
      <c r="P1229" s="41" t="str"/>
      <c r="Q1229" s="41" t="str"/>
      <c r="R1229" s="41" t="str"/>
      <c r="S1229" s="41" t="str"/>
      <c r="T1229" s="41" t="str"/>
      <c r="U1229" s="41" t="str"/>
      <c r="V1229" s="41" t="str"/>
      <c r="W1229" s="41" t="str"/>
    </row>
    <row r="1230">
      <c r="B1230" s="2" t="n"/>
      <c r="C1230" s="40" t="n"/>
      <c r="D1230" s="52">
        <f t="array" ref="D1230:W1230">IF(All_Students_Scores!C1228:V1228="","",All_Students_Scores!C1228:V1228)</f>
        <v/>
      </c>
      <c r="E1230" s="57" t="str"/>
      <c r="F1230" s="49" t="str"/>
      <c r="G1230" s="59" t="str"/>
      <c r="H1230" s="64" t="str"/>
      <c r="I1230" s="65" t="str"/>
      <c r="J1230" s="49" t="str"/>
      <c r="K1230" s="41" t="str"/>
      <c r="L1230" s="41" t="str"/>
      <c r="M1230" s="41" t="str"/>
      <c r="N1230" s="41" t="str"/>
      <c r="O1230" s="41" t="str"/>
      <c r="P1230" s="41" t="str"/>
      <c r="Q1230" s="41" t="str"/>
      <c r="R1230" s="41" t="str"/>
      <c r="S1230" s="41" t="str"/>
      <c r="T1230" s="41" t="str"/>
      <c r="U1230" s="41" t="str"/>
      <c r="V1230" s="41" t="str"/>
      <c r="W1230" s="41" t="str"/>
    </row>
    <row r="1231">
      <c r="B1231" s="2" t="n"/>
      <c r="C1231" s="40" t="n"/>
      <c r="D1231" s="52">
        <f t="array" ref="D1231:W1231">IF(All_Students_Scores!C1229:V1229="","",All_Students_Scores!C1229:V1229)</f>
        <v/>
      </c>
      <c r="E1231" s="57" t="str"/>
      <c r="F1231" s="49" t="str"/>
      <c r="G1231" s="59" t="str"/>
      <c r="H1231" s="64" t="str"/>
      <c r="I1231" s="65" t="str"/>
      <c r="J1231" s="49" t="str"/>
      <c r="K1231" s="41" t="str"/>
      <c r="L1231" s="41" t="str"/>
      <c r="M1231" s="41" t="str"/>
      <c r="N1231" s="41" t="str"/>
      <c r="O1231" s="41" t="str"/>
      <c r="P1231" s="41" t="str"/>
      <c r="Q1231" s="41" t="str"/>
      <c r="R1231" s="41" t="str"/>
      <c r="S1231" s="41" t="str"/>
      <c r="T1231" s="41" t="str"/>
      <c r="U1231" s="41" t="str"/>
      <c r="V1231" s="41" t="str"/>
      <c r="W1231" s="41" t="str"/>
    </row>
    <row r="1232">
      <c r="B1232" s="2" t="n"/>
      <c r="C1232" s="40" t="n"/>
      <c r="D1232" s="52">
        <f t="array" ref="D1232:W1232">IF(All_Students_Scores!C1230:V1230="","",All_Students_Scores!C1230:V1230)</f>
        <v/>
      </c>
      <c r="E1232" s="57" t="str"/>
      <c r="F1232" s="49" t="str"/>
      <c r="G1232" s="59" t="str"/>
      <c r="H1232" s="64" t="str"/>
      <c r="I1232" s="65" t="str"/>
      <c r="J1232" s="49" t="str"/>
      <c r="K1232" s="41" t="str"/>
      <c r="L1232" s="41" t="str"/>
      <c r="M1232" s="41" t="str"/>
      <c r="N1232" s="41" t="str"/>
      <c r="O1232" s="41" t="str"/>
      <c r="P1232" s="41" t="str"/>
      <c r="Q1232" s="41" t="str"/>
      <c r="R1232" s="41" t="str"/>
      <c r="S1232" s="41" t="str"/>
      <c r="T1232" s="41" t="str"/>
      <c r="U1232" s="41" t="str"/>
      <c r="V1232" s="41" t="str"/>
      <c r="W1232" s="41" t="str"/>
    </row>
    <row r="1233">
      <c r="B1233" s="2" t="n"/>
      <c r="C1233" s="40" t="n"/>
      <c r="D1233" s="52">
        <f t="array" ref="D1233:W1233">IF(All_Students_Scores!C1231:V1231="","",All_Students_Scores!C1231:V1231)</f>
        <v/>
      </c>
      <c r="E1233" s="57" t="str"/>
      <c r="F1233" s="49" t="str"/>
      <c r="G1233" s="59" t="str"/>
      <c r="H1233" s="64" t="str"/>
      <c r="I1233" s="65" t="str"/>
      <c r="J1233" s="49" t="str"/>
      <c r="K1233" s="41" t="str"/>
      <c r="L1233" s="41" t="str"/>
      <c r="M1233" s="41" t="str"/>
      <c r="N1233" s="41" t="str"/>
      <c r="O1233" s="41" t="str"/>
      <c r="P1233" s="41" t="str"/>
      <c r="Q1233" s="41" t="str"/>
      <c r="R1233" s="41" t="str"/>
      <c r="S1233" s="41" t="str"/>
      <c r="T1233" s="41" t="str"/>
      <c r="U1233" s="41" t="str"/>
      <c r="V1233" s="41" t="str"/>
      <c r="W1233" s="41" t="str"/>
    </row>
    <row r="1234">
      <c r="B1234" s="2" t="n"/>
      <c r="C1234" s="40" t="n"/>
      <c r="D1234" s="52">
        <f t="array" ref="D1234:W1234">IF(All_Students_Scores!C1232:V1232="","",All_Students_Scores!C1232:V1232)</f>
        <v/>
      </c>
      <c r="E1234" s="57" t="str"/>
      <c r="F1234" s="49" t="str"/>
      <c r="G1234" s="59" t="str"/>
      <c r="H1234" s="64" t="str"/>
      <c r="I1234" s="65" t="str"/>
      <c r="J1234" s="49" t="str"/>
      <c r="K1234" s="41" t="str"/>
      <c r="L1234" s="41" t="str"/>
      <c r="M1234" s="41" t="str"/>
      <c r="N1234" s="41" t="str"/>
      <c r="O1234" s="41" t="str"/>
      <c r="P1234" s="41" t="str"/>
      <c r="Q1234" s="41" t="str"/>
      <c r="R1234" s="41" t="str"/>
      <c r="S1234" s="41" t="str"/>
      <c r="T1234" s="41" t="str"/>
      <c r="U1234" s="41" t="str"/>
      <c r="V1234" s="41" t="str"/>
      <c r="W1234" s="41" t="str"/>
    </row>
    <row r="1235">
      <c r="B1235" s="2" t="n"/>
      <c r="C1235" s="40" t="n"/>
      <c r="D1235" s="52">
        <f t="array" ref="D1235:W1235">IF(All_Students_Scores!C1233:V1233="","",All_Students_Scores!C1233:V1233)</f>
        <v/>
      </c>
      <c r="E1235" s="57" t="str"/>
      <c r="F1235" s="49" t="str"/>
      <c r="G1235" s="59" t="str"/>
      <c r="H1235" s="64" t="str"/>
      <c r="I1235" s="65" t="str"/>
      <c r="J1235" s="49" t="str"/>
      <c r="K1235" s="41" t="str"/>
      <c r="L1235" s="41" t="str"/>
      <c r="M1235" s="41" t="str"/>
      <c r="N1235" s="41" t="str"/>
      <c r="O1235" s="41" t="str"/>
      <c r="P1235" s="41" t="str"/>
      <c r="Q1235" s="41" t="str"/>
      <c r="R1235" s="41" t="str"/>
      <c r="S1235" s="41" t="str"/>
      <c r="T1235" s="41" t="str"/>
      <c r="U1235" s="41" t="str"/>
      <c r="V1235" s="41" t="str"/>
      <c r="W1235" s="41" t="str"/>
    </row>
    <row r="1236">
      <c r="B1236" s="2" t="n"/>
      <c r="C1236" s="40" t="n"/>
      <c r="D1236" s="52">
        <f t="array" ref="D1236:W1236">IF(All_Students_Scores!C1234:V1234="","",All_Students_Scores!C1234:V1234)</f>
        <v/>
      </c>
      <c r="E1236" s="57" t="str"/>
      <c r="F1236" s="49" t="str"/>
      <c r="G1236" s="59" t="str"/>
      <c r="H1236" s="64" t="str"/>
      <c r="I1236" s="65" t="str"/>
      <c r="J1236" s="49" t="str"/>
      <c r="K1236" s="41" t="str"/>
      <c r="L1236" s="41" t="str"/>
      <c r="M1236" s="41" t="str"/>
      <c r="N1236" s="41" t="str"/>
      <c r="O1236" s="41" t="str"/>
      <c r="P1236" s="41" t="str"/>
      <c r="Q1236" s="41" t="str"/>
      <c r="R1236" s="41" t="str"/>
      <c r="S1236" s="41" t="str"/>
      <c r="T1236" s="41" t="str"/>
      <c r="U1236" s="41" t="str"/>
      <c r="V1236" s="41" t="str"/>
      <c r="W1236" s="41" t="str"/>
    </row>
    <row r="1237">
      <c r="B1237" s="2" t="n"/>
      <c r="C1237" s="40" t="n"/>
      <c r="D1237" s="52">
        <f t="array" ref="D1237:W1237">IF(All_Students_Scores!C1235:V1235="","",All_Students_Scores!C1235:V1235)</f>
        <v/>
      </c>
      <c r="E1237" s="57" t="str"/>
      <c r="F1237" s="49" t="str"/>
      <c r="G1237" s="59" t="str"/>
      <c r="H1237" s="64" t="str"/>
      <c r="I1237" s="65" t="str"/>
      <c r="J1237" s="49" t="str"/>
      <c r="K1237" s="41" t="str"/>
      <c r="L1237" s="41" t="str"/>
      <c r="M1237" s="41" t="str"/>
      <c r="N1237" s="41" t="str"/>
      <c r="O1237" s="41" t="str"/>
      <c r="P1237" s="41" t="str"/>
      <c r="Q1237" s="41" t="str"/>
      <c r="R1237" s="41" t="str"/>
      <c r="S1237" s="41" t="str"/>
      <c r="T1237" s="41" t="str"/>
      <c r="U1237" s="41" t="str"/>
      <c r="V1237" s="41" t="str"/>
      <c r="W1237" s="41" t="str"/>
    </row>
    <row r="1238">
      <c r="B1238" s="2" t="n"/>
      <c r="C1238" s="40" t="n"/>
      <c r="D1238" s="52">
        <f t="array" ref="D1238:W1238">IF(All_Students_Scores!C1236:V1236="","",All_Students_Scores!C1236:V1236)</f>
        <v/>
      </c>
      <c r="E1238" s="57" t="str"/>
      <c r="F1238" s="49" t="str"/>
      <c r="G1238" s="59" t="str"/>
      <c r="H1238" s="64" t="str"/>
      <c r="I1238" s="65" t="str"/>
      <c r="J1238" s="49" t="str"/>
      <c r="K1238" s="41" t="str"/>
      <c r="L1238" s="41" t="str"/>
      <c r="M1238" s="41" t="str"/>
      <c r="N1238" s="41" t="str"/>
      <c r="O1238" s="41" t="str"/>
      <c r="P1238" s="41" t="str"/>
      <c r="Q1238" s="41" t="str"/>
      <c r="R1238" s="41" t="str"/>
      <c r="S1238" s="41" t="str"/>
      <c r="T1238" s="41" t="str"/>
      <c r="U1238" s="41" t="str"/>
      <c r="V1238" s="41" t="str"/>
      <c r="W1238" s="41" t="str"/>
    </row>
    <row r="1239">
      <c r="B1239" s="2" t="n"/>
      <c r="C1239" s="40" t="n"/>
      <c r="D1239" s="52">
        <f t="array" ref="D1239:W1239">IF(All_Students_Scores!C1237:V1237="","",All_Students_Scores!C1237:V1237)</f>
        <v/>
      </c>
      <c r="E1239" s="57" t="str"/>
      <c r="F1239" s="49" t="str"/>
      <c r="G1239" s="59" t="str"/>
      <c r="H1239" s="64" t="str"/>
      <c r="I1239" s="65" t="str"/>
      <c r="J1239" s="49" t="str"/>
      <c r="K1239" s="41" t="str"/>
      <c r="L1239" s="41" t="str"/>
      <c r="M1239" s="41" t="str"/>
      <c r="N1239" s="41" t="str"/>
      <c r="O1239" s="41" t="str"/>
      <c r="P1239" s="41" t="str"/>
      <c r="Q1239" s="41" t="str"/>
      <c r="R1239" s="41" t="str"/>
      <c r="S1239" s="41" t="str"/>
      <c r="T1239" s="41" t="str"/>
      <c r="U1239" s="41" t="str"/>
      <c r="V1239" s="41" t="str"/>
      <c r="W1239" s="41" t="str"/>
    </row>
    <row r="1240">
      <c r="B1240" s="2" t="n"/>
      <c r="C1240" s="40" t="n"/>
      <c r="D1240" s="52">
        <f t="array" ref="D1240:W1240">IF(All_Students_Scores!C1238:V1238="","",All_Students_Scores!C1238:V1238)</f>
        <v/>
      </c>
      <c r="E1240" s="57" t="str"/>
      <c r="F1240" s="49" t="str"/>
      <c r="G1240" s="59" t="str"/>
      <c r="H1240" s="64" t="str"/>
      <c r="I1240" s="65" t="str"/>
      <c r="J1240" s="49" t="str"/>
      <c r="K1240" s="41" t="str"/>
      <c r="L1240" s="41" t="str"/>
      <c r="M1240" s="41" t="str"/>
      <c r="N1240" s="41" t="str"/>
      <c r="O1240" s="41" t="str"/>
      <c r="P1240" s="41" t="str"/>
      <c r="Q1240" s="41" t="str"/>
      <c r="R1240" s="41" t="str"/>
      <c r="S1240" s="41" t="str"/>
      <c r="T1240" s="41" t="str"/>
      <c r="U1240" s="41" t="str"/>
      <c r="V1240" s="41" t="str"/>
      <c r="W1240" s="41" t="str"/>
    </row>
    <row r="1241">
      <c r="B1241" s="2" t="n"/>
      <c r="C1241" s="40" t="n"/>
      <c r="D1241" s="52">
        <f t="array" ref="D1241:W1241">IF(All_Students_Scores!C1239:V1239="","",All_Students_Scores!C1239:V1239)</f>
        <v/>
      </c>
      <c r="E1241" s="57" t="str"/>
      <c r="F1241" s="49" t="str"/>
      <c r="G1241" s="59" t="str"/>
      <c r="H1241" s="64" t="str"/>
      <c r="I1241" s="65" t="str"/>
      <c r="J1241" s="49" t="str"/>
      <c r="K1241" s="41" t="str"/>
      <c r="L1241" s="41" t="str"/>
      <c r="M1241" s="41" t="str"/>
      <c r="N1241" s="41" t="str"/>
      <c r="O1241" s="41" t="str"/>
      <c r="P1241" s="41" t="str"/>
      <c r="Q1241" s="41" t="str"/>
      <c r="R1241" s="41" t="str"/>
      <c r="S1241" s="41" t="str"/>
      <c r="T1241" s="41" t="str"/>
      <c r="U1241" s="41" t="str"/>
      <c r="V1241" s="41" t="str"/>
      <c r="W1241" s="41" t="str"/>
    </row>
    <row r="1242">
      <c r="B1242" s="2" t="n"/>
      <c r="C1242" s="40" t="n"/>
      <c r="D1242" s="52">
        <f t="array" ref="D1242:W1242">IF(All_Students_Scores!C1240:V1240="","",All_Students_Scores!C1240:V1240)</f>
        <v/>
      </c>
      <c r="E1242" s="57" t="str"/>
      <c r="F1242" s="49" t="str"/>
      <c r="G1242" s="59" t="str"/>
      <c r="H1242" s="64" t="str"/>
      <c r="I1242" s="65" t="str"/>
      <c r="J1242" s="49" t="str"/>
      <c r="K1242" s="41" t="str"/>
      <c r="L1242" s="41" t="str"/>
      <c r="M1242" s="41" t="str"/>
      <c r="N1242" s="41" t="str"/>
      <c r="O1242" s="41" t="str"/>
      <c r="P1242" s="41" t="str"/>
      <c r="Q1242" s="41" t="str"/>
      <c r="R1242" s="41" t="str"/>
      <c r="S1242" s="41" t="str"/>
      <c r="T1242" s="41" t="str"/>
      <c r="U1242" s="41" t="str"/>
      <c r="V1242" s="41" t="str"/>
      <c r="W1242" s="41" t="str"/>
    </row>
    <row r="1243">
      <c r="B1243" s="2" t="n"/>
      <c r="C1243" s="40" t="n"/>
      <c r="D1243" s="52">
        <f t="array" ref="D1243:W1243">IF(All_Students_Scores!C1241:V1241="","",All_Students_Scores!C1241:V1241)</f>
        <v/>
      </c>
      <c r="E1243" s="57" t="str"/>
      <c r="F1243" s="49" t="str"/>
      <c r="G1243" s="59" t="str"/>
      <c r="H1243" s="64" t="str"/>
      <c r="I1243" s="65" t="str"/>
      <c r="J1243" s="49" t="str"/>
      <c r="K1243" s="41" t="str"/>
      <c r="L1243" s="41" t="str"/>
      <c r="M1243" s="41" t="str"/>
      <c r="N1243" s="41" t="str"/>
      <c r="O1243" s="41" t="str"/>
      <c r="P1243" s="41" t="str"/>
      <c r="Q1243" s="41" t="str"/>
      <c r="R1243" s="41" t="str"/>
      <c r="S1243" s="41" t="str"/>
      <c r="T1243" s="41" t="str"/>
      <c r="U1243" s="41" t="str"/>
      <c r="V1243" s="41" t="str"/>
      <c r="W1243" s="41" t="str"/>
    </row>
    <row r="1244">
      <c r="B1244" s="2" t="n"/>
      <c r="C1244" s="40" t="n"/>
      <c r="D1244" s="52">
        <f t="array" ref="D1244:W1244">IF(All_Students_Scores!C1242:V1242="","",All_Students_Scores!C1242:V1242)</f>
        <v/>
      </c>
      <c r="E1244" s="57" t="str"/>
      <c r="F1244" s="49" t="str"/>
      <c r="G1244" s="59" t="str"/>
      <c r="H1244" s="64" t="str"/>
      <c r="I1244" s="65" t="str"/>
      <c r="J1244" s="49" t="str"/>
      <c r="K1244" s="41" t="str"/>
      <c r="L1244" s="41" t="str"/>
      <c r="M1244" s="41" t="str"/>
      <c r="N1244" s="41" t="str"/>
      <c r="O1244" s="41" t="str"/>
      <c r="P1244" s="41" t="str"/>
      <c r="Q1244" s="41" t="str"/>
      <c r="R1244" s="41" t="str"/>
      <c r="S1244" s="41" t="str"/>
      <c r="T1244" s="41" t="str"/>
      <c r="U1244" s="41" t="str"/>
      <c r="V1244" s="41" t="str"/>
      <c r="W1244" s="41" t="str"/>
    </row>
    <row r="1245">
      <c r="B1245" s="2" t="n"/>
      <c r="C1245" s="40" t="n"/>
      <c r="D1245" s="52">
        <f t="array" ref="D1245:W1245">IF(All_Students_Scores!C1243:V1243="","",All_Students_Scores!C1243:V1243)</f>
        <v/>
      </c>
      <c r="E1245" s="57" t="str"/>
      <c r="F1245" s="49" t="str"/>
      <c r="G1245" s="59" t="str"/>
      <c r="H1245" s="64" t="str"/>
      <c r="I1245" s="65" t="str"/>
      <c r="J1245" s="49" t="str"/>
      <c r="K1245" s="41" t="str"/>
      <c r="L1245" s="41" t="str"/>
      <c r="M1245" s="41" t="str"/>
      <c r="N1245" s="41" t="str"/>
      <c r="O1245" s="41" t="str"/>
      <c r="P1245" s="41" t="str"/>
      <c r="Q1245" s="41" t="str"/>
      <c r="R1245" s="41" t="str"/>
      <c r="S1245" s="41" t="str"/>
      <c r="T1245" s="41" t="str"/>
      <c r="U1245" s="41" t="str"/>
      <c r="V1245" s="41" t="str"/>
      <c r="W1245" s="41" t="str"/>
    </row>
    <row r="1246">
      <c r="B1246" s="2" t="n"/>
      <c r="C1246" s="40" t="n"/>
      <c r="D1246" s="52">
        <f t="array" ref="D1246:W1246">IF(All_Students_Scores!C1244:V1244="","",All_Students_Scores!C1244:V1244)</f>
        <v/>
      </c>
      <c r="E1246" s="57" t="str"/>
      <c r="F1246" s="49" t="str"/>
      <c r="G1246" s="59" t="str"/>
      <c r="H1246" s="64" t="str"/>
      <c r="I1246" s="65" t="str"/>
      <c r="J1246" s="49" t="str"/>
      <c r="K1246" s="41" t="str"/>
      <c r="L1246" s="41" t="str"/>
      <c r="M1246" s="41" t="str"/>
      <c r="N1246" s="41" t="str"/>
      <c r="O1246" s="41" t="str"/>
      <c r="P1246" s="41" t="str"/>
      <c r="Q1246" s="41" t="str"/>
      <c r="R1246" s="41" t="str"/>
      <c r="S1246" s="41" t="str"/>
      <c r="T1246" s="41" t="str"/>
      <c r="U1246" s="41" t="str"/>
      <c r="V1246" s="41" t="str"/>
      <c r="W1246" s="41" t="str"/>
    </row>
    <row r="1247">
      <c r="B1247" s="2" t="n"/>
      <c r="C1247" s="40" t="n"/>
      <c r="D1247" s="52">
        <f t="array" ref="D1247:W1247">IF(All_Students_Scores!C1245:V1245="","",All_Students_Scores!C1245:V1245)</f>
        <v/>
      </c>
      <c r="E1247" s="57" t="str"/>
      <c r="F1247" s="49" t="str"/>
      <c r="G1247" s="59" t="str"/>
      <c r="H1247" s="64" t="str"/>
      <c r="I1247" s="65" t="str"/>
      <c r="J1247" s="49" t="str"/>
      <c r="K1247" s="41" t="str"/>
      <c r="L1247" s="41" t="str"/>
      <c r="M1247" s="41" t="str"/>
      <c r="N1247" s="41" t="str"/>
      <c r="O1247" s="41" t="str"/>
      <c r="P1247" s="41" t="str"/>
      <c r="Q1247" s="41" t="str"/>
      <c r="R1247" s="41" t="str"/>
      <c r="S1247" s="41" t="str"/>
      <c r="T1247" s="41" t="str"/>
      <c r="U1247" s="41" t="str"/>
      <c r="V1247" s="41" t="str"/>
      <c r="W1247" s="41" t="str"/>
    </row>
    <row r="1248">
      <c r="B1248" s="2" t="n"/>
      <c r="C1248" s="40" t="n"/>
      <c r="D1248" s="52">
        <f t="array" ref="D1248:W1248">IF(All_Students_Scores!C1246:V1246="","",All_Students_Scores!C1246:V1246)</f>
        <v/>
      </c>
      <c r="E1248" s="57" t="str"/>
      <c r="F1248" s="49" t="str"/>
      <c r="G1248" s="59" t="str"/>
      <c r="H1248" s="64" t="str"/>
      <c r="I1248" s="65" t="str"/>
      <c r="J1248" s="49" t="str"/>
      <c r="K1248" s="41" t="str"/>
      <c r="L1248" s="41" t="str"/>
      <c r="M1248" s="41" t="str"/>
      <c r="N1248" s="41" t="str"/>
      <c r="O1248" s="41" t="str"/>
      <c r="P1248" s="41" t="str"/>
      <c r="Q1248" s="41" t="str"/>
      <c r="R1248" s="41" t="str"/>
      <c r="S1248" s="41" t="str"/>
      <c r="T1248" s="41" t="str"/>
      <c r="U1248" s="41" t="str"/>
      <c r="V1248" s="41" t="str"/>
      <c r="W1248" s="41" t="str"/>
    </row>
    <row r="1249">
      <c r="B1249" s="2" t="n"/>
      <c r="C1249" s="40" t="n"/>
      <c r="D1249" s="52">
        <f t="array" ref="D1249:W1249">IF(All_Students_Scores!C1247:V1247="","",All_Students_Scores!C1247:V1247)</f>
        <v/>
      </c>
      <c r="E1249" s="57" t="str"/>
      <c r="F1249" s="49" t="str"/>
      <c r="G1249" s="59" t="str"/>
      <c r="H1249" s="64" t="str"/>
      <c r="I1249" s="65" t="str"/>
      <c r="J1249" s="49" t="str"/>
      <c r="K1249" s="41" t="str"/>
      <c r="L1249" s="41" t="str"/>
      <c r="M1249" s="41" t="str"/>
      <c r="N1249" s="41" t="str"/>
      <c r="O1249" s="41" t="str"/>
      <c r="P1249" s="41" t="str"/>
      <c r="Q1249" s="41" t="str"/>
      <c r="R1249" s="41" t="str"/>
      <c r="S1249" s="41" t="str"/>
      <c r="T1249" s="41" t="str"/>
      <c r="U1249" s="41" t="str"/>
      <c r="V1249" s="41" t="str"/>
      <c r="W1249" s="41" t="str"/>
    </row>
    <row r="1250">
      <c r="B1250" s="2" t="n"/>
      <c r="C1250" s="40" t="n"/>
      <c r="D1250" s="52">
        <f t="array" ref="D1250:W1250">IF(All_Students_Scores!C1248:V1248="","",All_Students_Scores!C1248:V1248)</f>
        <v/>
      </c>
      <c r="E1250" s="57" t="str"/>
      <c r="F1250" s="49" t="str"/>
      <c r="G1250" s="59" t="str"/>
      <c r="H1250" s="64" t="str"/>
      <c r="I1250" s="65" t="str"/>
      <c r="J1250" s="49" t="str"/>
      <c r="K1250" s="41" t="str"/>
      <c r="L1250" s="41" t="str"/>
      <c r="M1250" s="41" t="str"/>
      <c r="N1250" s="41" t="str"/>
      <c r="O1250" s="41" t="str"/>
      <c r="P1250" s="41" t="str"/>
      <c r="Q1250" s="41" t="str"/>
      <c r="R1250" s="41" t="str"/>
      <c r="S1250" s="41" t="str"/>
      <c r="T1250" s="41" t="str"/>
      <c r="U1250" s="41" t="str"/>
      <c r="V1250" s="41" t="str"/>
      <c r="W1250" s="41" t="str"/>
    </row>
    <row r="1251">
      <c r="B1251" s="2" t="n"/>
      <c r="C1251" s="40" t="n"/>
      <c r="D1251" s="52">
        <f t="array" ref="D1251:W1251">IF(All_Students_Scores!C1249:V1249="","",All_Students_Scores!C1249:V1249)</f>
        <v/>
      </c>
      <c r="E1251" s="57" t="str"/>
      <c r="F1251" s="49" t="str"/>
      <c r="G1251" s="59" t="str"/>
      <c r="H1251" s="64" t="str"/>
      <c r="I1251" s="65" t="str"/>
      <c r="J1251" s="49" t="str"/>
      <c r="K1251" s="41" t="str"/>
      <c r="L1251" s="41" t="str"/>
      <c r="M1251" s="41" t="str"/>
      <c r="N1251" s="41" t="str"/>
      <c r="O1251" s="41" t="str"/>
      <c r="P1251" s="41" t="str"/>
      <c r="Q1251" s="41" t="str"/>
      <c r="R1251" s="41" t="str"/>
      <c r="S1251" s="41" t="str"/>
      <c r="T1251" s="41" t="str"/>
      <c r="U1251" s="41" t="str"/>
      <c r="V1251" s="41" t="str"/>
      <c r="W1251" s="41" t="str"/>
    </row>
    <row r="1252">
      <c r="B1252" s="2" t="n"/>
      <c r="C1252" s="40" t="n"/>
      <c r="D1252" s="52">
        <f t="array" ref="D1252:W1252">IF(All_Students_Scores!C1250:V1250="","",All_Students_Scores!C1250:V1250)</f>
        <v/>
      </c>
      <c r="E1252" s="57" t="str"/>
      <c r="F1252" s="49" t="str"/>
      <c r="G1252" s="59" t="str"/>
      <c r="H1252" s="64" t="str"/>
      <c r="I1252" s="65" t="str"/>
      <c r="J1252" s="49" t="str"/>
      <c r="K1252" s="41" t="str"/>
      <c r="L1252" s="41" t="str"/>
      <c r="M1252" s="41" t="str"/>
      <c r="N1252" s="41" t="str"/>
      <c r="O1252" s="41" t="str"/>
      <c r="P1252" s="41" t="str"/>
      <c r="Q1252" s="41" t="str"/>
      <c r="R1252" s="41" t="str"/>
      <c r="S1252" s="41" t="str"/>
      <c r="T1252" s="41" t="str"/>
      <c r="U1252" s="41" t="str"/>
      <c r="V1252" s="41" t="str"/>
      <c r="W1252" s="41" t="str"/>
    </row>
    <row r="1253">
      <c r="B1253" s="2" t="n"/>
      <c r="C1253" s="40" t="n"/>
      <c r="D1253" s="52">
        <f t="array" ref="D1253:W1253">IF(All_Students_Scores!C1251:V1251="","",All_Students_Scores!C1251:V1251)</f>
        <v/>
      </c>
      <c r="E1253" s="57" t="str"/>
      <c r="F1253" s="49" t="str"/>
      <c r="G1253" s="59" t="str"/>
      <c r="H1253" s="64" t="str"/>
      <c r="I1253" s="65" t="str"/>
      <c r="J1253" s="49" t="str"/>
      <c r="K1253" s="41" t="str"/>
      <c r="L1253" s="41" t="str"/>
      <c r="M1253" s="41" t="str"/>
      <c r="N1253" s="41" t="str"/>
      <c r="O1253" s="41" t="str"/>
      <c r="P1253" s="41" t="str"/>
      <c r="Q1253" s="41" t="str"/>
      <c r="R1253" s="41" t="str"/>
      <c r="S1253" s="41" t="str"/>
      <c r="T1253" s="41" t="str"/>
      <c r="U1253" s="41" t="str"/>
      <c r="V1253" s="41" t="str"/>
      <c r="W1253" s="41" t="str"/>
    </row>
    <row r="1254">
      <c r="B1254" s="2" t="n"/>
      <c r="C1254" s="40" t="n"/>
      <c r="D1254" s="52">
        <f t="array" ref="D1254:W1254">IF(All_Students_Scores!C1252:V1252="","",All_Students_Scores!C1252:V1252)</f>
        <v/>
      </c>
      <c r="E1254" s="57" t="str"/>
      <c r="F1254" s="49" t="str"/>
      <c r="G1254" s="59" t="str"/>
      <c r="H1254" s="64" t="str"/>
      <c r="I1254" s="65" t="str"/>
      <c r="J1254" s="49" t="str"/>
      <c r="K1254" s="41" t="str"/>
      <c r="L1254" s="41" t="str"/>
      <c r="M1254" s="41" t="str"/>
      <c r="N1254" s="41" t="str"/>
      <c r="O1254" s="41" t="str"/>
      <c r="P1254" s="41" t="str"/>
      <c r="Q1254" s="41" t="str"/>
      <c r="R1254" s="41" t="str"/>
      <c r="S1254" s="41" t="str"/>
      <c r="T1254" s="41" t="str"/>
      <c r="U1254" s="41" t="str"/>
      <c r="V1254" s="41" t="str"/>
      <c r="W1254" s="41" t="str"/>
    </row>
    <row r="1255">
      <c r="B1255" s="2" t="n"/>
      <c r="C1255" s="40" t="n"/>
      <c r="D1255" s="52">
        <f t="array" ref="D1255:W1255">IF(All_Students_Scores!C1253:V1253="","",All_Students_Scores!C1253:V1253)</f>
        <v/>
      </c>
      <c r="E1255" s="57" t="str"/>
      <c r="F1255" s="49" t="str"/>
      <c r="G1255" s="59" t="str"/>
      <c r="H1255" s="64" t="str"/>
      <c r="I1255" s="65" t="str"/>
      <c r="J1255" s="49" t="str"/>
      <c r="K1255" s="41" t="str"/>
      <c r="L1255" s="41" t="str"/>
      <c r="M1255" s="41" t="str"/>
      <c r="N1255" s="41" t="str"/>
      <c r="O1255" s="41" t="str"/>
      <c r="P1255" s="41" t="str"/>
      <c r="Q1255" s="41" t="str"/>
      <c r="R1255" s="41" t="str"/>
      <c r="S1255" s="41" t="str"/>
      <c r="T1255" s="41" t="str"/>
      <c r="U1255" s="41" t="str"/>
      <c r="V1255" s="41" t="str"/>
      <c r="W1255" s="41" t="str"/>
    </row>
    <row r="1256">
      <c r="B1256" s="2" t="n"/>
      <c r="C1256" s="40" t="n"/>
      <c r="D1256" s="52">
        <f t="array" ref="D1256:W1256">IF(All_Students_Scores!C1254:V1254="","",All_Students_Scores!C1254:V1254)</f>
        <v/>
      </c>
      <c r="E1256" s="57" t="str"/>
      <c r="F1256" s="49" t="str"/>
      <c r="G1256" s="59" t="str"/>
      <c r="H1256" s="64" t="str"/>
      <c r="I1256" s="65" t="str"/>
      <c r="J1256" s="49" t="str"/>
      <c r="K1256" s="41" t="str"/>
      <c r="L1256" s="41" t="str"/>
      <c r="M1256" s="41" t="str"/>
      <c r="N1256" s="41" t="str"/>
      <c r="O1256" s="41" t="str"/>
      <c r="P1256" s="41" t="str"/>
      <c r="Q1256" s="41" t="str"/>
      <c r="R1256" s="41" t="str"/>
      <c r="S1256" s="41" t="str"/>
      <c r="T1256" s="41" t="str"/>
      <c r="U1256" s="41" t="str"/>
      <c r="V1256" s="41" t="str"/>
      <c r="W1256" s="41" t="str"/>
    </row>
    <row r="1257">
      <c r="B1257" s="2" t="n"/>
      <c r="C1257" s="40" t="n"/>
      <c r="D1257" s="52">
        <f t="array" ref="D1257:W1257">IF(All_Students_Scores!C1255:V1255="","",All_Students_Scores!C1255:V1255)</f>
        <v/>
      </c>
      <c r="E1257" s="57" t="str"/>
      <c r="F1257" s="49" t="str"/>
      <c r="G1257" s="59" t="str"/>
      <c r="H1257" s="64" t="str"/>
      <c r="I1257" s="65" t="str"/>
      <c r="J1257" s="49" t="str"/>
      <c r="K1257" s="41" t="str"/>
      <c r="L1257" s="41" t="str"/>
      <c r="M1257" s="41" t="str"/>
      <c r="N1257" s="41" t="str"/>
      <c r="O1257" s="41" t="str"/>
      <c r="P1257" s="41" t="str"/>
      <c r="Q1257" s="41" t="str"/>
      <c r="R1257" s="41" t="str"/>
      <c r="S1257" s="41" t="str"/>
      <c r="T1257" s="41" t="str"/>
      <c r="U1257" s="41" t="str"/>
      <c r="V1257" s="41" t="str"/>
      <c r="W1257" s="41" t="str"/>
    </row>
    <row r="1258">
      <c r="B1258" s="2" t="n"/>
      <c r="C1258" s="40" t="n"/>
      <c r="D1258" s="52">
        <f t="array" ref="D1258:W1258">IF(All_Students_Scores!C1256:V1256="","",All_Students_Scores!C1256:V1256)</f>
        <v/>
      </c>
      <c r="E1258" s="57" t="str"/>
      <c r="F1258" s="49" t="str"/>
      <c r="G1258" s="59" t="str"/>
      <c r="H1258" s="64" t="str"/>
      <c r="I1258" s="65" t="str"/>
      <c r="J1258" s="49" t="str"/>
      <c r="K1258" s="41" t="str"/>
      <c r="L1258" s="41" t="str"/>
      <c r="M1258" s="41" t="str"/>
      <c r="N1258" s="41" t="str"/>
      <c r="O1258" s="41" t="str"/>
      <c r="P1258" s="41" t="str"/>
      <c r="Q1258" s="41" t="str"/>
      <c r="R1258" s="41" t="str"/>
      <c r="S1258" s="41" t="str"/>
      <c r="T1258" s="41" t="str"/>
      <c r="U1258" s="41" t="str"/>
      <c r="V1258" s="41" t="str"/>
      <c r="W1258" s="41" t="str"/>
    </row>
    <row r="1259">
      <c r="B1259" s="2" t="n"/>
      <c r="C1259" s="40" t="n"/>
      <c r="D1259" s="52">
        <f t="array" ref="D1259:W1259">IF(All_Students_Scores!C1257:V1257="","",All_Students_Scores!C1257:V1257)</f>
        <v/>
      </c>
      <c r="E1259" s="57" t="str"/>
      <c r="F1259" s="49" t="str"/>
      <c r="G1259" s="59" t="str"/>
      <c r="H1259" s="64" t="str"/>
      <c r="I1259" s="65" t="str"/>
      <c r="J1259" s="49" t="str"/>
      <c r="K1259" s="41" t="str"/>
      <c r="L1259" s="41" t="str"/>
      <c r="M1259" s="41" t="str"/>
      <c r="N1259" s="41" t="str"/>
      <c r="O1259" s="41" t="str"/>
      <c r="P1259" s="41" t="str"/>
      <c r="Q1259" s="41" t="str"/>
      <c r="R1259" s="41" t="str"/>
      <c r="S1259" s="41" t="str"/>
      <c r="T1259" s="41" t="str"/>
      <c r="U1259" s="41" t="str"/>
      <c r="V1259" s="41" t="str"/>
      <c r="W1259" s="41" t="str"/>
    </row>
    <row r="1260">
      <c r="B1260" s="2" t="n"/>
      <c r="C1260" s="40" t="n"/>
      <c r="D1260" s="52">
        <f t="array" ref="D1260:W1260">IF(All_Students_Scores!C1258:V1258="","",All_Students_Scores!C1258:V1258)</f>
        <v/>
      </c>
      <c r="E1260" s="57" t="str"/>
      <c r="F1260" s="49" t="str"/>
      <c r="G1260" s="59" t="str"/>
      <c r="H1260" s="64" t="str"/>
      <c r="I1260" s="65" t="str"/>
      <c r="J1260" s="49" t="str"/>
      <c r="K1260" s="41" t="str"/>
      <c r="L1260" s="41" t="str"/>
      <c r="M1260" s="41" t="str"/>
      <c r="N1260" s="41" t="str"/>
      <c r="O1260" s="41" t="str"/>
      <c r="P1260" s="41" t="str"/>
      <c r="Q1260" s="41" t="str"/>
      <c r="R1260" s="41" t="str"/>
      <c r="S1260" s="41" t="str"/>
      <c r="T1260" s="41" t="str"/>
      <c r="U1260" s="41" t="str"/>
      <c r="V1260" s="41" t="str"/>
      <c r="W1260" s="41" t="str"/>
    </row>
    <row r="1261">
      <c r="B1261" s="2" t="n"/>
      <c r="C1261" s="40" t="n"/>
      <c r="D1261" s="52">
        <f t="array" ref="D1261:W1261">IF(All_Students_Scores!C1259:V1259="","",All_Students_Scores!C1259:V1259)</f>
        <v/>
      </c>
      <c r="E1261" s="57" t="str"/>
      <c r="F1261" s="49" t="str"/>
      <c r="G1261" s="59" t="str"/>
      <c r="H1261" s="64" t="str"/>
      <c r="I1261" s="65" t="str"/>
      <c r="J1261" s="49" t="str"/>
      <c r="K1261" s="41" t="str"/>
      <c r="L1261" s="41" t="str"/>
      <c r="M1261" s="41" t="str"/>
      <c r="N1261" s="41" t="str"/>
      <c r="O1261" s="41" t="str"/>
      <c r="P1261" s="41" t="str"/>
      <c r="Q1261" s="41" t="str"/>
      <c r="R1261" s="41" t="str"/>
      <c r="S1261" s="41" t="str"/>
      <c r="T1261" s="41" t="str"/>
      <c r="U1261" s="41" t="str"/>
      <c r="V1261" s="41" t="str"/>
      <c r="W1261" s="41" t="str"/>
    </row>
    <row r="1262">
      <c r="B1262" s="2" t="n"/>
      <c r="C1262" s="40" t="n"/>
      <c r="D1262" s="52">
        <f t="array" ref="D1262:W1262">IF(All_Students_Scores!C1260:V1260="","",All_Students_Scores!C1260:V1260)</f>
        <v/>
      </c>
      <c r="E1262" s="57" t="str"/>
      <c r="F1262" s="49" t="str"/>
      <c r="G1262" s="59" t="str"/>
      <c r="H1262" s="64" t="str"/>
      <c r="I1262" s="65" t="str"/>
      <c r="J1262" s="49" t="str"/>
      <c r="K1262" s="41" t="str"/>
      <c r="L1262" s="41" t="str"/>
      <c r="M1262" s="41" t="str"/>
      <c r="N1262" s="41" t="str"/>
      <c r="O1262" s="41" t="str"/>
      <c r="P1262" s="41" t="str"/>
      <c r="Q1262" s="41" t="str"/>
      <c r="R1262" s="41" t="str"/>
      <c r="S1262" s="41" t="str"/>
      <c r="T1262" s="41" t="str"/>
      <c r="U1262" s="41" t="str"/>
      <c r="V1262" s="41" t="str"/>
      <c r="W1262" s="41" t="str"/>
    </row>
    <row r="1263">
      <c r="B1263" s="2" t="n"/>
      <c r="C1263" s="40" t="n"/>
      <c r="D1263" s="52">
        <f t="array" ref="D1263:W1263">IF(All_Students_Scores!C1261:V1261="","",All_Students_Scores!C1261:V1261)</f>
        <v/>
      </c>
      <c r="E1263" s="57" t="str"/>
      <c r="F1263" s="49" t="str"/>
      <c r="G1263" s="59" t="str"/>
      <c r="H1263" s="64" t="str"/>
      <c r="I1263" s="65" t="str"/>
      <c r="J1263" s="49" t="str"/>
      <c r="K1263" s="41" t="str"/>
      <c r="L1263" s="41" t="str"/>
      <c r="M1263" s="41" t="str"/>
      <c r="N1263" s="41" t="str"/>
      <c r="O1263" s="41" t="str"/>
      <c r="P1263" s="41" t="str"/>
      <c r="Q1263" s="41" t="str"/>
      <c r="R1263" s="41" t="str"/>
      <c r="S1263" s="41" t="str"/>
      <c r="T1263" s="41" t="str"/>
      <c r="U1263" s="41" t="str"/>
      <c r="V1263" s="41" t="str"/>
      <c r="W1263" s="41" t="str"/>
    </row>
    <row r="1264">
      <c r="B1264" s="2" t="n"/>
      <c r="C1264" s="40" t="n"/>
      <c r="D1264" s="52">
        <f t="array" ref="D1264:W1264">IF(All_Students_Scores!C1262:V1262="","",All_Students_Scores!C1262:V1262)</f>
        <v/>
      </c>
      <c r="E1264" s="57" t="str"/>
      <c r="F1264" s="49" t="str"/>
      <c r="G1264" s="59" t="str"/>
      <c r="H1264" s="64" t="str"/>
      <c r="I1264" s="65" t="str"/>
      <c r="J1264" s="49" t="str"/>
      <c r="K1264" s="41" t="str"/>
      <c r="L1264" s="41" t="str"/>
      <c r="M1264" s="41" t="str"/>
      <c r="N1264" s="41" t="str"/>
      <c r="O1264" s="41" t="str"/>
      <c r="P1264" s="41" t="str"/>
      <c r="Q1264" s="41" t="str"/>
      <c r="R1264" s="41" t="str"/>
      <c r="S1264" s="41" t="str"/>
      <c r="T1264" s="41" t="str"/>
      <c r="U1264" s="41" t="str"/>
      <c r="V1264" s="41" t="str"/>
      <c r="W1264" s="41" t="str"/>
    </row>
    <row r="1265">
      <c r="B1265" s="2" t="n"/>
      <c r="C1265" s="40" t="n"/>
      <c r="D1265" s="52">
        <f t="array" ref="D1265:W1265">IF(All_Students_Scores!C1263:V1263="","",All_Students_Scores!C1263:V1263)</f>
        <v/>
      </c>
      <c r="E1265" s="57" t="str"/>
      <c r="F1265" s="49" t="str"/>
      <c r="G1265" s="59" t="str"/>
      <c r="H1265" s="64" t="str"/>
      <c r="I1265" s="65" t="str"/>
      <c r="J1265" s="49" t="str"/>
      <c r="K1265" s="41" t="str"/>
      <c r="L1265" s="41" t="str"/>
      <c r="M1265" s="41" t="str"/>
      <c r="N1265" s="41" t="str"/>
      <c r="O1265" s="41" t="str"/>
      <c r="P1265" s="41" t="str"/>
      <c r="Q1265" s="41" t="str"/>
      <c r="R1265" s="41" t="str"/>
      <c r="S1265" s="41" t="str"/>
      <c r="T1265" s="41" t="str"/>
      <c r="U1265" s="41" t="str"/>
      <c r="V1265" s="41" t="str"/>
      <c r="W1265" s="41" t="str"/>
    </row>
    <row r="1266">
      <c r="B1266" s="2" t="n"/>
      <c r="C1266" s="40" t="n"/>
      <c r="D1266" s="52">
        <f t="array" ref="D1266:W1266">IF(All_Students_Scores!C1264:V1264="","",All_Students_Scores!C1264:V1264)</f>
        <v/>
      </c>
      <c r="E1266" s="57" t="str"/>
      <c r="F1266" s="49" t="str"/>
      <c r="G1266" s="59" t="str"/>
      <c r="H1266" s="64" t="str"/>
      <c r="I1266" s="65" t="str"/>
      <c r="J1266" s="49" t="str"/>
      <c r="K1266" s="41" t="str"/>
      <c r="L1266" s="41" t="str"/>
      <c r="M1266" s="41" t="str"/>
      <c r="N1266" s="41" t="str"/>
      <c r="O1266" s="41" t="str"/>
      <c r="P1266" s="41" t="str"/>
      <c r="Q1266" s="41" t="str"/>
      <c r="R1266" s="41" t="str"/>
      <c r="S1266" s="41" t="str"/>
      <c r="T1266" s="41" t="str"/>
      <c r="U1266" s="41" t="str"/>
      <c r="V1266" s="41" t="str"/>
      <c r="W1266" s="41" t="str"/>
    </row>
    <row r="1267">
      <c r="B1267" s="2" t="n"/>
      <c r="C1267" s="40" t="n"/>
      <c r="D1267" s="52">
        <f t="array" ref="D1267:W1267">IF(All_Students_Scores!C1265:V1265="","",All_Students_Scores!C1265:V1265)</f>
        <v/>
      </c>
      <c r="E1267" s="57" t="str"/>
      <c r="F1267" s="49" t="str"/>
      <c r="G1267" s="59" t="str"/>
      <c r="H1267" s="64" t="str"/>
      <c r="I1267" s="65" t="str"/>
      <c r="J1267" s="49" t="str"/>
      <c r="K1267" s="41" t="str"/>
      <c r="L1267" s="41" t="str"/>
      <c r="M1267" s="41" t="str"/>
      <c r="N1267" s="41" t="str"/>
      <c r="O1267" s="41" t="str"/>
      <c r="P1267" s="41" t="str"/>
      <c r="Q1267" s="41" t="str"/>
      <c r="R1267" s="41" t="str"/>
      <c r="S1267" s="41" t="str"/>
      <c r="T1267" s="41" t="str"/>
      <c r="U1267" s="41" t="str"/>
      <c r="V1267" s="41" t="str"/>
      <c r="W1267" s="41" t="str"/>
    </row>
    <row r="1268">
      <c r="B1268" s="2" t="n"/>
      <c r="C1268" s="40" t="n"/>
      <c r="D1268" s="52">
        <f t="array" ref="D1268:W1268">IF(All_Students_Scores!C1266:V1266="","",All_Students_Scores!C1266:V1266)</f>
        <v/>
      </c>
      <c r="E1268" s="57" t="str"/>
      <c r="F1268" s="49" t="str"/>
      <c r="G1268" s="59" t="str"/>
      <c r="H1268" s="64" t="str"/>
      <c r="I1268" s="65" t="str"/>
      <c r="J1268" s="49" t="str"/>
      <c r="K1268" s="41" t="str"/>
      <c r="L1268" s="41" t="str"/>
      <c r="M1268" s="41" t="str"/>
      <c r="N1268" s="41" t="str"/>
      <c r="O1268" s="41" t="str"/>
      <c r="P1268" s="41" t="str"/>
      <c r="Q1268" s="41" t="str"/>
      <c r="R1268" s="41" t="str"/>
      <c r="S1268" s="41" t="str"/>
      <c r="T1268" s="41" t="str"/>
      <c r="U1268" s="41" t="str"/>
      <c r="V1268" s="41" t="str"/>
      <c r="W1268" s="41" t="str"/>
    </row>
    <row r="1269">
      <c r="B1269" s="2" t="n"/>
      <c r="C1269" s="40" t="n"/>
      <c r="D1269" s="52">
        <f t="array" ref="D1269:W1269">IF(All_Students_Scores!C1267:V1267="","",All_Students_Scores!C1267:V1267)</f>
        <v/>
      </c>
      <c r="E1269" s="57" t="str"/>
      <c r="F1269" s="49" t="str"/>
      <c r="G1269" s="59" t="str"/>
      <c r="H1269" s="64" t="str"/>
      <c r="I1269" s="65" t="str"/>
      <c r="J1269" s="49" t="str"/>
      <c r="K1269" s="41" t="str"/>
      <c r="L1269" s="41" t="str"/>
      <c r="M1269" s="41" t="str"/>
      <c r="N1269" s="41" t="str"/>
      <c r="O1269" s="41" t="str"/>
      <c r="P1269" s="41" t="str"/>
      <c r="Q1269" s="41" t="str"/>
      <c r="R1269" s="41" t="str"/>
      <c r="S1269" s="41" t="str"/>
      <c r="T1269" s="41" t="str"/>
      <c r="U1269" s="41" t="str"/>
      <c r="V1269" s="41" t="str"/>
      <c r="W1269" s="41" t="str"/>
    </row>
    <row r="1270">
      <c r="B1270" s="2" t="n"/>
      <c r="C1270" s="40" t="n"/>
      <c r="D1270" s="52">
        <f t="array" ref="D1270:W1270">IF(All_Students_Scores!C1268:V1268="","",All_Students_Scores!C1268:V1268)</f>
        <v/>
      </c>
      <c r="E1270" s="57" t="str"/>
      <c r="F1270" s="49" t="str"/>
      <c r="G1270" s="59" t="str"/>
      <c r="H1270" s="64" t="str"/>
      <c r="I1270" s="65" t="str"/>
      <c r="J1270" s="49" t="str"/>
      <c r="K1270" s="41" t="str"/>
      <c r="L1270" s="41" t="str"/>
      <c r="M1270" s="41" t="str"/>
      <c r="N1270" s="41" t="str"/>
      <c r="O1270" s="41" t="str"/>
      <c r="P1270" s="41" t="str"/>
      <c r="Q1270" s="41" t="str"/>
      <c r="R1270" s="41" t="str"/>
      <c r="S1270" s="41" t="str"/>
      <c r="T1270" s="41" t="str"/>
      <c r="U1270" s="41" t="str"/>
      <c r="V1270" s="41" t="str"/>
      <c r="W1270" s="41" t="str"/>
    </row>
    <row r="1271">
      <c r="B1271" s="2" t="n"/>
      <c r="C1271" s="40" t="n"/>
      <c r="D1271" s="52">
        <f t="array" ref="D1271:W1271">IF(All_Students_Scores!C1269:V1269="","",All_Students_Scores!C1269:V1269)</f>
        <v/>
      </c>
      <c r="E1271" s="57" t="str"/>
      <c r="F1271" s="49" t="str"/>
      <c r="G1271" s="59" t="str"/>
      <c r="H1271" s="64" t="str"/>
      <c r="I1271" s="65" t="str"/>
      <c r="J1271" s="49" t="str"/>
      <c r="K1271" s="41" t="str"/>
      <c r="L1271" s="41" t="str"/>
      <c r="M1271" s="41" t="str"/>
      <c r="N1271" s="41" t="str"/>
      <c r="O1271" s="41" t="str"/>
      <c r="P1271" s="41" t="str"/>
      <c r="Q1271" s="41" t="str"/>
      <c r="R1271" s="41" t="str"/>
      <c r="S1271" s="41" t="str"/>
      <c r="T1271" s="41" t="str"/>
      <c r="U1271" s="41" t="str"/>
      <c r="V1271" s="41" t="str"/>
      <c r="W1271" s="41" t="str"/>
    </row>
    <row r="1272">
      <c r="B1272" s="2" t="n"/>
      <c r="C1272" s="40" t="n"/>
      <c r="D1272" s="52">
        <f t="array" ref="D1272:W1272">IF(All_Students_Scores!C1270:V1270="","",All_Students_Scores!C1270:V1270)</f>
        <v/>
      </c>
      <c r="E1272" s="57" t="str"/>
      <c r="F1272" s="49" t="str"/>
      <c r="G1272" s="59" t="str"/>
      <c r="H1272" s="64" t="str"/>
      <c r="I1272" s="65" t="str"/>
      <c r="J1272" s="49" t="str"/>
      <c r="K1272" s="41" t="str"/>
      <c r="L1272" s="41" t="str"/>
      <c r="M1272" s="41" t="str"/>
      <c r="N1272" s="41" t="str"/>
      <c r="O1272" s="41" t="str"/>
      <c r="P1272" s="41" t="str"/>
      <c r="Q1272" s="41" t="str"/>
      <c r="R1272" s="41" t="str"/>
      <c r="S1272" s="41" t="str"/>
      <c r="T1272" s="41" t="str"/>
      <c r="U1272" s="41" t="str"/>
      <c r="V1272" s="41" t="str"/>
      <c r="W1272" s="41" t="str"/>
    </row>
    <row r="1273">
      <c r="B1273" s="2" t="n"/>
      <c r="C1273" s="40" t="n"/>
      <c r="D1273" s="52">
        <f t="array" ref="D1273:W1273">IF(All_Students_Scores!C1271:V1271="","",All_Students_Scores!C1271:V1271)</f>
        <v/>
      </c>
      <c r="E1273" s="57" t="str"/>
      <c r="F1273" s="49" t="str"/>
      <c r="G1273" s="59" t="str"/>
      <c r="H1273" s="64" t="str"/>
      <c r="I1273" s="65" t="str"/>
      <c r="J1273" s="49" t="str"/>
      <c r="K1273" s="41" t="str"/>
      <c r="L1273" s="41" t="str"/>
      <c r="M1273" s="41" t="str"/>
      <c r="N1273" s="41" t="str"/>
      <c r="O1273" s="41" t="str"/>
      <c r="P1273" s="41" t="str"/>
      <c r="Q1273" s="41" t="str"/>
      <c r="R1273" s="41" t="str"/>
      <c r="S1273" s="41" t="str"/>
      <c r="T1273" s="41" t="str"/>
      <c r="U1273" s="41" t="str"/>
      <c r="V1273" s="41" t="str"/>
      <c r="W1273" s="41" t="str"/>
    </row>
    <row r="1274">
      <c r="B1274" s="2" t="n"/>
      <c r="C1274" s="40" t="n"/>
      <c r="D1274" s="52">
        <f t="array" ref="D1274:W1274">IF(All_Students_Scores!C1272:V1272="","",All_Students_Scores!C1272:V1272)</f>
        <v/>
      </c>
      <c r="E1274" s="57" t="str"/>
      <c r="F1274" s="49" t="str"/>
      <c r="G1274" s="59" t="str"/>
      <c r="H1274" s="64" t="str"/>
      <c r="I1274" s="65" t="str"/>
      <c r="J1274" s="49" t="str"/>
      <c r="K1274" s="41" t="str"/>
      <c r="L1274" s="41" t="str"/>
      <c r="M1274" s="41" t="str"/>
      <c r="N1274" s="41" t="str"/>
      <c r="O1274" s="41" t="str"/>
      <c r="P1274" s="41" t="str"/>
      <c r="Q1274" s="41" t="str"/>
      <c r="R1274" s="41" t="str"/>
      <c r="S1274" s="41" t="str"/>
      <c r="T1274" s="41" t="str"/>
      <c r="U1274" s="41" t="str"/>
      <c r="V1274" s="41" t="str"/>
      <c r="W1274" s="41" t="str"/>
    </row>
    <row r="1275">
      <c r="B1275" s="2" t="n"/>
      <c r="C1275" s="40" t="n"/>
      <c r="D1275" s="52">
        <f t="array" ref="D1275:W1275">IF(All_Students_Scores!C1273:V1273="","",All_Students_Scores!C1273:V1273)</f>
        <v/>
      </c>
      <c r="E1275" s="57" t="str"/>
      <c r="F1275" s="49" t="str"/>
      <c r="G1275" s="59" t="str"/>
      <c r="H1275" s="64" t="str"/>
      <c r="I1275" s="65" t="str"/>
      <c r="J1275" s="49" t="str"/>
      <c r="K1275" s="41" t="str"/>
      <c r="L1275" s="41" t="str"/>
      <c r="M1275" s="41" t="str"/>
      <c r="N1275" s="41" t="str"/>
      <c r="O1275" s="41" t="str"/>
      <c r="P1275" s="41" t="str"/>
      <c r="Q1275" s="41" t="str"/>
      <c r="R1275" s="41" t="str"/>
      <c r="S1275" s="41" t="str"/>
      <c r="T1275" s="41" t="str"/>
      <c r="U1275" s="41" t="str"/>
      <c r="V1275" s="41" t="str"/>
      <c r="W1275" s="41" t="str"/>
    </row>
    <row r="1276">
      <c r="B1276" s="2" t="n"/>
      <c r="C1276" s="40" t="n"/>
      <c r="D1276" s="52">
        <f t="array" ref="D1276:W1276">IF(All_Students_Scores!C1274:V1274="","",All_Students_Scores!C1274:V1274)</f>
        <v/>
      </c>
      <c r="E1276" s="57" t="str"/>
      <c r="F1276" s="49" t="str"/>
      <c r="G1276" s="59" t="str"/>
      <c r="H1276" s="64" t="str"/>
      <c r="I1276" s="65" t="str"/>
      <c r="J1276" s="49" t="str"/>
      <c r="K1276" s="41" t="str"/>
      <c r="L1276" s="41" t="str"/>
      <c r="M1276" s="41" t="str"/>
      <c r="N1276" s="41" t="str"/>
      <c r="O1276" s="41" t="str"/>
      <c r="P1276" s="41" t="str"/>
      <c r="Q1276" s="41" t="str"/>
      <c r="R1276" s="41" t="str"/>
      <c r="S1276" s="41" t="str"/>
      <c r="T1276" s="41" t="str"/>
      <c r="U1276" s="41" t="str"/>
      <c r="V1276" s="41" t="str"/>
      <c r="W1276" s="41" t="str"/>
    </row>
    <row r="1277">
      <c r="B1277" s="2" t="n"/>
      <c r="C1277" s="40" t="n"/>
      <c r="D1277" s="52">
        <f t="array" ref="D1277:W1277">IF(All_Students_Scores!C1275:V1275="","",All_Students_Scores!C1275:V1275)</f>
        <v/>
      </c>
      <c r="E1277" s="57" t="str"/>
      <c r="F1277" s="49" t="str"/>
      <c r="G1277" s="59" t="str"/>
      <c r="H1277" s="64" t="str"/>
      <c r="I1277" s="65" t="str"/>
      <c r="J1277" s="49" t="str"/>
      <c r="K1277" s="41" t="str"/>
      <c r="L1277" s="41" t="str"/>
      <c r="M1277" s="41" t="str"/>
      <c r="N1277" s="41" t="str"/>
      <c r="O1277" s="41" t="str"/>
      <c r="P1277" s="41" t="str"/>
      <c r="Q1277" s="41" t="str"/>
      <c r="R1277" s="41" t="str"/>
      <c r="S1277" s="41" t="str"/>
      <c r="T1277" s="41" t="str"/>
      <c r="U1277" s="41" t="str"/>
      <c r="V1277" s="41" t="str"/>
      <c r="W1277" s="41" t="str"/>
    </row>
    <row r="1278">
      <c r="B1278" s="2" t="n"/>
      <c r="C1278" s="40" t="n"/>
      <c r="D1278" s="52">
        <f t="array" ref="D1278:W1278">IF(All_Students_Scores!C1276:V1276="","",All_Students_Scores!C1276:V1276)</f>
        <v/>
      </c>
      <c r="E1278" s="57" t="str"/>
      <c r="F1278" s="49" t="str"/>
      <c r="G1278" s="59" t="str"/>
      <c r="H1278" s="64" t="str"/>
      <c r="I1278" s="65" t="str"/>
      <c r="J1278" s="49" t="str"/>
      <c r="K1278" s="41" t="str"/>
      <c r="L1278" s="41" t="str"/>
      <c r="M1278" s="41" t="str"/>
      <c r="N1278" s="41" t="str"/>
      <c r="O1278" s="41" t="str"/>
      <c r="P1278" s="41" t="str"/>
      <c r="Q1278" s="41" t="str"/>
      <c r="R1278" s="41" t="str"/>
      <c r="S1278" s="41" t="str"/>
      <c r="T1278" s="41" t="str"/>
      <c r="U1278" s="41" t="str"/>
      <c r="V1278" s="41" t="str"/>
      <c r="W1278" s="41" t="str"/>
    </row>
    <row r="1279">
      <c r="B1279" s="2" t="n"/>
      <c r="C1279" s="40" t="n"/>
      <c r="D1279" s="52">
        <f t="array" ref="D1279:W1279">IF(All_Students_Scores!C1277:V1277="","",All_Students_Scores!C1277:V1277)</f>
        <v/>
      </c>
      <c r="E1279" s="57" t="str"/>
      <c r="F1279" s="49" t="str"/>
      <c r="G1279" s="59" t="str"/>
      <c r="H1279" s="64" t="str"/>
      <c r="I1279" s="65" t="str"/>
      <c r="J1279" s="49" t="str"/>
      <c r="K1279" s="41" t="str"/>
      <c r="L1279" s="41" t="str"/>
      <c r="M1279" s="41" t="str"/>
      <c r="N1279" s="41" t="str"/>
      <c r="O1279" s="41" t="str"/>
      <c r="P1279" s="41" t="str"/>
      <c r="Q1279" s="41" t="str"/>
      <c r="R1279" s="41" t="str"/>
      <c r="S1279" s="41" t="str"/>
      <c r="T1279" s="41" t="str"/>
      <c r="U1279" s="41" t="str"/>
      <c r="V1279" s="41" t="str"/>
      <c r="W1279" s="41" t="str"/>
    </row>
    <row r="1280">
      <c r="B1280" s="2" t="n"/>
      <c r="C1280" s="40" t="n"/>
      <c r="D1280" s="52">
        <f t="array" ref="D1280:W1280">IF(All_Students_Scores!C1278:V1278="","",All_Students_Scores!C1278:V1278)</f>
        <v/>
      </c>
      <c r="E1280" s="57" t="str"/>
      <c r="F1280" s="49" t="str"/>
      <c r="G1280" s="59" t="str"/>
      <c r="H1280" s="64" t="str"/>
      <c r="I1280" s="65" t="str"/>
      <c r="J1280" s="49" t="str"/>
      <c r="K1280" s="41" t="str"/>
      <c r="L1280" s="41" t="str"/>
      <c r="M1280" s="41" t="str"/>
      <c r="N1280" s="41" t="str"/>
      <c r="O1280" s="41" t="str"/>
      <c r="P1280" s="41" t="str"/>
      <c r="Q1280" s="41" t="str"/>
      <c r="R1280" s="41" t="str"/>
      <c r="S1280" s="41" t="str"/>
      <c r="T1280" s="41" t="str"/>
      <c r="U1280" s="41" t="str"/>
      <c r="V1280" s="41" t="str"/>
      <c r="W1280" s="41" t="str"/>
    </row>
    <row r="1281">
      <c r="B1281" s="2" t="n"/>
      <c r="C1281" s="40" t="n"/>
      <c r="D1281" s="52">
        <f t="array" ref="D1281:W1281">IF(All_Students_Scores!C1279:V1279="","",All_Students_Scores!C1279:V1279)</f>
        <v/>
      </c>
      <c r="E1281" s="57" t="str"/>
      <c r="F1281" s="49" t="str"/>
      <c r="G1281" s="59" t="str"/>
      <c r="H1281" s="64" t="str"/>
      <c r="I1281" s="65" t="str"/>
      <c r="J1281" s="49" t="str"/>
      <c r="K1281" s="41" t="str"/>
      <c r="L1281" s="41" t="str"/>
      <c r="M1281" s="41" t="str"/>
      <c r="N1281" s="41" t="str"/>
      <c r="O1281" s="41" t="str"/>
      <c r="P1281" s="41" t="str"/>
      <c r="Q1281" s="41" t="str"/>
      <c r="R1281" s="41" t="str"/>
      <c r="S1281" s="41" t="str"/>
      <c r="T1281" s="41" t="str"/>
      <c r="U1281" s="41" t="str"/>
      <c r="V1281" s="41" t="str"/>
      <c r="W1281" s="41" t="str"/>
    </row>
    <row r="1282">
      <c r="B1282" s="2" t="n"/>
      <c r="C1282" s="40" t="n"/>
      <c r="D1282" s="52">
        <f t="array" ref="D1282:W1282">IF(All_Students_Scores!C1280:V1280="","",All_Students_Scores!C1280:V1280)</f>
        <v/>
      </c>
      <c r="E1282" s="57" t="str"/>
      <c r="F1282" s="49" t="str"/>
      <c r="G1282" s="59" t="str"/>
      <c r="H1282" s="64" t="str"/>
      <c r="I1282" s="65" t="str"/>
      <c r="J1282" s="49" t="str"/>
      <c r="K1282" s="41" t="str"/>
      <c r="L1282" s="41" t="str"/>
      <c r="M1282" s="41" t="str"/>
      <c r="N1282" s="41" t="str"/>
      <c r="O1282" s="41" t="str"/>
      <c r="P1282" s="41" t="str"/>
      <c r="Q1282" s="41" t="str"/>
      <c r="R1282" s="41" t="str"/>
      <c r="S1282" s="41" t="str"/>
      <c r="T1282" s="41" t="str"/>
      <c r="U1282" s="41" t="str"/>
      <c r="V1282" s="41" t="str"/>
      <c r="W1282" s="41" t="str"/>
    </row>
    <row r="1283">
      <c r="B1283" s="2" t="n"/>
      <c r="C1283" s="40" t="n"/>
      <c r="D1283" s="52">
        <f t="array" ref="D1283:W1283">IF(All_Students_Scores!C1281:V1281="","",All_Students_Scores!C1281:V1281)</f>
        <v/>
      </c>
      <c r="E1283" s="57" t="str"/>
      <c r="F1283" s="49" t="str"/>
      <c r="G1283" s="59" t="str"/>
      <c r="H1283" s="64" t="str"/>
      <c r="I1283" s="65" t="str"/>
      <c r="J1283" s="49" t="str"/>
      <c r="K1283" s="41" t="str"/>
      <c r="L1283" s="41" t="str"/>
      <c r="M1283" s="41" t="str"/>
      <c r="N1283" s="41" t="str"/>
      <c r="O1283" s="41" t="str"/>
      <c r="P1283" s="41" t="str"/>
      <c r="Q1283" s="41" t="str"/>
      <c r="R1283" s="41" t="str"/>
      <c r="S1283" s="41" t="str"/>
      <c r="T1283" s="41" t="str"/>
      <c r="U1283" s="41" t="str"/>
      <c r="V1283" s="41" t="str"/>
      <c r="W1283" s="41" t="str"/>
    </row>
    <row r="1284">
      <c r="B1284" s="2" t="n"/>
      <c r="C1284" s="40" t="n"/>
      <c r="D1284" s="52">
        <f t="array" ref="D1284:W1284">IF(All_Students_Scores!C1282:V1282="","",All_Students_Scores!C1282:V1282)</f>
        <v/>
      </c>
      <c r="E1284" s="57" t="str"/>
      <c r="F1284" s="49" t="str"/>
      <c r="G1284" s="59" t="str"/>
      <c r="H1284" s="64" t="str"/>
      <c r="I1284" s="65" t="str"/>
      <c r="J1284" s="49" t="str"/>
      <c r="K1284" s="41" t="str"/>
      <c r="L1284" s="41" t="str"/>
      <c r="M1284" s="41" t="str"/>
      <c r="N1284" s="41" t="str"/>
      <c r="O1284" s="41" t="str"/>
      <c r="P1284" s="41" t="str"/>
      <c r="Q1284" s="41" t="str"/>
      <c r="R1284" s="41" t="str"/>
      <c r="S1284" s="41" t="str"/>
      <c r="T1284" s="41" t="str"/>
      <c r="U1284" s="41" t="str"/>
      <c r="V1284" s="41" t="str"/>
      <c r="W1284" s="41" t="str"/>
    </row>
    <row r="1285">
      <c r="B1285" s="2" t="n"/>
      <c r="C1285" s="40" t="n"/>
      <c r="D1285" s="52">
        <f t="array" ref="D1285:W1285">IF(All_Students_Scores!C1283:V1283="","",All_Students_Scores!C1283:V1283)</f>
        <v/>
      </c>
      <c r="E1285" s="57" t="str"/>
      <c r="F1285" s="49" t="str"/>
      <c r="G1285" s="59" t="str"/>
      <c r="H1285" s="64" t="str"/>
      <c r="I1285" s="65" t="str"/>
      <c r="J1285" s="49" t="str"/>
      <c r="K1285" s="41" t="str"/>
      <c r="L1285" s="41" t="str"/>
      <c r="M1285" s="41" t="str"/>
      <c r="N1285" s="41" t="str"/>
      <c r="O1285" s="41" t="str"/>
      <c r="P1285" s="41" t="str"/>
      <c r="Q1285" s="41" t="str"/>
      <c r="R1285" s="41" t="str"/>
      <c r="S1285" s="41" t="str"/>
      <c r="T1285" s="41" t="str"/>
      <c r="U1285" s="41" t="str"/>
      <c r="V1285" s="41" t="str"/>
      <c r="W1285" s="41" t="str"/>
    </row>
    <row r="1286">
      <c r="B1286" s="2" t="n"/>
      <c r="C1286" s="40" t="n"/>
      <c r="D1286" s="52">
        <f t="array" ref="D1286:W1286">IF(All_Students_Scores!C1284:V1284="","",All_Students_Scores!C1284:V1284)</f>
        <v/>
      </c>
      <c r="E1286" s="57" t="str"/>
      <c r="F1286" s="49" t="str"/>
      <c r="G1286" s="59" t="str"/>
      <c r="H1286" s="64" t="str"/>
      <c r="I1286" s="65" t="str"/>
      <c r="J1286" s="49" t="str"/>
      <c r="K1286" s="41" t="str"/>
      <c r="L1286" s="41" t="str"/>
      <c r="M1286" s="41" t="str"/>
      <c r="N1286" s="41" t="str"/>
      <c r="O1286" s="41" t="str"/>
      <c r="P1286" s="41" t="str"/>
      <c r="Q1286" s="41" t="str"/>
      <c r="R1286" s="41" t="str"/>
      <c r="S1286" s="41" t="str"/>
      <c r="T1286" s="41" t="str"/>
      <c r="U1286" s="41" t="str"/>
      <c r="V1286" s="41" t="str"/>
      <c r="W1286" s="41" t="str"/>
    </row>
    <row r="1287">
      <c r="B1287" s="2" t="n"/>
      <c r="C1287" s="40" t="n"/>
      <c r="D1287" s="52">
        <f t="array" ref="D1287:W1287">IF(All_Students_Scores!C1285:V1285="","",All_Students_Scores!C1285:V1285)</f>
        <v/>
      </c>
      <c r="E1287" s="57" t="str"/>
      <c r="F1287" s="49" t="str"/>
      <c r="G1287" s="59" t="str"/>
      <c r="H1287" s="64" t="str"/>
      <c r="I1287" s="65" t="str"/>
      <c r="J1287" s="49" t="str"/>
      <c r="K1287" s="41" t="str"/>
      <c r="L1287" s="41" t="str"/>
      <c r="M1287" s="41" t="str"/>
      <c r="N1287" s="41" t="str"/>
      <c r="O1287" s="41" t="str"/>
      <c r="P1287" s="41" t="str"/>
      <c r="Q1287" s="41" t="str"/>
      <c r="R1287" s="41" t="str"/>
      <c r="S1287" s="41" t="str"/>
      <c r="T1287" s="41" t="str"/>
      <c r="U1287" s="41" t="str"/>
      <c r="V1287" s="41" t="str"/>
      <c r="W1287" s="41" t="str"/>
    </row>
    <row r="1288">
      <c r="B1288" s="2" t="n"/>
      <c r="C1288" s="40" t="n"/>
      <c r="D1288" s="52">
        <f t="array" ref="D1288:W1288">IF(All_Students_Scores!C1286:V1286="","",All_Students_Scores!C1286:V1286)</f>
        <v/>
      </c>
      <c r="E1288" s="57" t="str"/>
      <c r="F1288" s="49" t="str"/>
      <c r="G1288" s="59" t="str"/>
      <c r="H1288" s="64" t="str"/>
      <c r="I1288" s="65" t="str"/>
      <c r="J1288" s="49" t="str"/>
      <c r="K1288" s="41" t="str"/>
      <c r="L1288" s="41" t="str"/>
      <c r="M1288" s="41" t="str"/>
      <c r="N1288" s="41" t="str"/>
      <c r="O1288" s="41" t="str"/>
      <c r="P1288" s="41" t="str"/>
      <c r="Q1288" s="41" t="str"/>
      <c r="R1288" s="41" t="str"/>
      <c r="S1288" s="41" t="str"/>
      <c r="T1288" s="41" t="str"/>
      <c r="U1288" s="41" t="str"/>
      <c r="V1288" s="41" t="str"/>
      <c r="W1288" s="41" t="str"/>
    </row>
    <row r="1289">
      <c r="B1289" s="2" t="n"/>
      <c r="C1289" s="40" t="n"/>
      <c r="D1289" s="52">
        <f t="array" ref="D1289:W1289">IF(All_Students_Scores!C1287:V1287="","",All_Students_Scores!C1287:V1287)</f>
        <v/>
      </c>
      <c r="E1289" s="57" t="str"/>
      <c r="F1289" s="49" t="str"/>
      <c r="G1289" s="59" t="str"/>
      <c r="H1289" s="64" t="str"/>
      <c r="I1289" s="65" t="str"/>
      <c r="J1289" s="49" t="str"/>
      <c r="K1289" s="41" t="str"/>
      <c r="L1289" s="41" t="str"/>
      <c r="M1289" s="41" t="str"/>
      <c r="N1289" s="41" t="str"/>
      <c r="O1289" s="41" t="str"/>
      <c r="P1289" s="41" t="str"/>
      <c r="Q1289" s="41" t="str"/>
      <c r="R1289" s="41" t="str"/>
      <c r="S1289" s="41" t="str"/>
      <c r="T1289" s="41" t="str"/>
      <c r="U1289" s="41" t="str"/>
      <c r="V1289" s="41" t="str"/>
      <c r="W1289" s="41" t="str"/>
    </row>
    <row r="1290">
      <c r="B1290" s="2" t="n"/>
      <c r="C1290" s="40" t="n"/>
      <c r="D1290" s="52">
        <f t="array" ref="D1290:W1290">IF(All_Students_Scores!C1288:V1288="","",All_Students_Scores!C1288:V1288)</f>
        <v/>
      </c>
      <c r="E1290" s="57" t="str"/>
      <c r="F1290" s="49" t="str"/>
      <c r="G1290" s="59" t="str"/>
      <c r="H1290" s="64" t="str"/>
      <c r="I1290" s="65" t="str"/>
      <c r="J1290" s="49" t="str"/>
      <c r="K1290" s="41" t="str"/>
      <c r="L1290" s="41" t="str"/>
      <c r="M1290" s="41" t="str"/>
      <c r="N1290" s="41" t="str"/>
      <c r="O1290" s="41" t="str"/>
      <c r="P1290" s="41" t="str"/>
      <c r="Q1290" s="41" t="str"/>
      <c r="R1290" s="41" t="str"/>
      <c r="S1290" s="41" t="str"/>
      <c r="T1290" s="41" t="str"/>
      <c r="U1290" s="41" t="str"/>
      <c r="V1290" s="41" t="str"/>
      <c r="W1290" s="41" t="str"/>
    </row>
    <row r="1291">
      <c r="B1291" s="2" t="n"/>
      <c r="C1291" s="40" t="n"/>
      <c r="D1291" s="52">
        <f t="array" ref="D1291:W1291">IF(All_Students_Scores!C1289:V1289="","",All_Students_Scores!C1289:V1289)</f>
        <v/>
      </c>
      <c r="E1291" s="57" t="str"/>
      <c r="F1291" s="49" t="str"/>
      <c r="G1291" s="59" t="str"/>
      <c r="H1291" s="64" t="str"/>
      <c r="I1291" s="65" t="str"/>
      <c r="J1291" s="49" t="str"/>
      <c r="K1291" s="41" t="str"/>
      <c r="L1291" s="41" t="str"/>
      <c r="M1291" s="41" t="str"/>
      <c r="N1291" s="41" t="str"/>
      <c r="O1291" s="41" t="str"/>
      <c r="P1291" s="41" t="str"/>
      <c r="Q1291" s="41" t="str"/>
      <c r="R1291" s="41" t="str"/>
      <c r="S1291" s="41" t="str"/>
      <c r="T1291" s="41" t="str"/>
      <c r="U1291" s="41" t="str"/>
      <c r="V1291" s="41" t="str"/>
      <c r="W1291" s="41" t="str"/>
    </row>
    <row r="1292">
      <c r="B1292" s="2" t="n"/>
      <c r="C1292" s="40" t="n"/>
      <c r="D1292" s="52">
        <f t="array" ref="D1292:W1292">IF(All_Students_Scores!C1290:V1290="","",All_Students_Scores!C1290:V1290)</f>
        <v/>
      </c>
      <c r="E1292" s="57" t="str"/>
      <c r="F1292" s="49" t="str"/>
      <c r="G1292" s="59" t="str"/>
      <c r="H1292" s="64" t="str"/>
      <c r="I1292" s="65" t="str"/>
      <c r="J1292" s="49" t="str"/>
      <c r="K1292" s="41" t="str"/>
      <c r="L1292" s="41" t="str"/>
      <c r="M1292" s="41" t="str"/>
      <c r="N1292" s="41" t="str"/>
      <c r="O1292" s="41" t="str"/>
      <c r="P1292" s="41" t="str"/>
      <c r="Q1292" s="41" t="str"/>
      <c r="R1292" s="41" t="str"/>
      <c r="S1292" s="41" t="str"/>
      <c r="T1292" s="41" t="str"/>
      <c r="U1292" s="41" t="str"/>
      <c r="V1292" s="41" t="str"/>
      <c r="W1292" s="41" t="str"/>
    </row>
    <row r="1293">
      <c r="B1293" s="2" t="n"/>
      <c r="C1293" s="40" t="n"/>
      <c r="D1293" s="52">
        <f t="array" ref="D1293:W1293">IF(All_Students_Scores!C1291:V1291="","",All_Students_Scores!C1291:V1291)</f>
        <v/>
      </c>
      <c r="E1293" s="57" t="str"/>
      <c r="F1293" s="49" t="str"/>
      <c r="G1293" s="59" t="str"/>
      <c r="H1293" s="64" t="str"/>
      <c r="I1293" s="65" t="str"/>
      <c r="J1293" s="49" t="str"/>
      <c r="K1293" s="41" t="str"/>
      <c r="L1293" s="41" t="str"/>
      <c r="M1293" s="41" t="str"/>
      <c r="N1293" s="41" t="str"/>
      <c r="O1293" s="41" t="str"/>
      <c r="P1293" s="41" t="str"/>
      <c r="Q1293" s="41" t="str"/>
      <c r="R1293" s="41" t="str"/>
      <c r="S1293" s="41" t="str"/>
      <c r="T1293" s="41" t="str"/>
      <c r="U1293" s="41" t="str"/>
      <c r="V1293" s="41" t="str"/>
      <c r="W1293" s="41" t="str"/>
    </row>
    <row r="1294">
      <c r="B1294" s="2" t="n"/>
      <c r="C1294" s="40" t="n"/>
      <c r="D1294" s="52">
        <f t="array" ref="D1294:W1294">IF(All_Students_Scores!C1292:V1292="","",All_Students_Scores!C1292:V1292)</f>
        <v/>
      </c>
      <c r="E1294" s="57" t="str"/>
      <c r="F1294" s="49" t="str"/>
      <c r="G1294" s="59" t="str"/>
      <c r="H1294" s="64" t="str"/>
      <c r="I1294" s="65" t="str"/>
      <c r="J1294" s="49" t="str"/>
      <c r="K1294" s="41" t="str"/>
      <c r="L1294" s="41" t="str"/>
      <c r="M1294" s="41" t="str"/>
      <c r="N1294" s="41" t="str"/>
      <c r="O1294" s="41" t="str"/>
      <c r="P1294" s="41" t="str"/>
      <c r="Q1294" s="41" t="str"/>
      <c r="R1294" s="41" t="str"/>
      <c r="S1294" s="41" t="str"/>
      <c r="T1294" s="41" t="str"/>
      <c r="U1294" s="41" t="str"/>
      <c r="V1294" s="41" t="str"/>
      <c r="W1294" s="41" t="str"/>
    </row>
    <row r="1295">
      <c r="B1295" s="2" t="n"/>
      <c r="C1295" s="40" t="n"/>
      <c r="D1295" s="52">
        <f t="array" ref="D1295:W1295">IF(All_Students_Scores!C1293:V1293="","",All_Students_Scores!C1293:V1293)</f>
        <v/>
      </c>
      <c r="E1295" s="57" t="str"/>
      <c r="F1295" s="49" t="str"/>
      <c r="G1295" s="59" t="str"/>
      <c r="H1295" s="64" t="str"/>
      <c r="I1295" s="65" t="str"/>
      <c r="J1295" s="49" t="str"/>
      <c r="K1295" s="41" t="str"/>
      <c r="L1295" s="41" t="str"/>
      <c r="M1295" s="41" t="str"/>
      <c r="N1295" s="41" t="str"/>
      <c r="O1295" s="41" t="str"/>
      <c r="P1295" s="41" t="str"/>
      <c r="Q1295" s="41" t="str"/>
      <c r="R1295" s="41" t="str"/>
      <c r="S1295" s="41" t="str"/>
      <c r="T1295" s="41" t="str"/>
      <c r="U1295" s="41" t="str"/>
      <c r="V1295" s="41" t="str"/>
      <c r="W1295" s="41" t="str"/>
    </row>
    <row r="1296">
      <c r="B1296" s="2" t="n"/>
      <c r="C1296" s="40" t="n"/>
      <c r="D1296" s="52">
        <f t="array" ref="D1296:W1296">IF(All_Students_Scores!C1294:V1294="","",All_Students_Scores!C1294:V1294)</f>
        <v/>
      </c>
      <c r="E1296" s="57" t="str"/>
      <c r="F1296" s="49" t="str"/>
      <c r="G1296" s="59" t="str"/>
      <c r="H1296" s="64" t="str"/>
      <c r="I1296" s="65" t="str"/>
      <c r="J1296" s="49" t="str"/>
      <c r="K1296" s="41" t="str"/>
      <c r="L1296" s="41" t="str"/>
      <c r="M1296" s="41" t="str"/>
      <c r="N1296" s="41" t="str"/>
      <c r="O1296" s="41" t="str"/>
      <c r="P1296" s="41" t="str"/>
      <c r="Q1296" s="41" t="str"/>
      <c r="R1296" s="41" t="str"/>
      <c r="S1296" s="41" t="str"/>
      <c r="T1296" s="41" t="str"/>
      <c r="U1296" s="41" t="str"/>
      <c r="V1296" s="41" t="str"/>
      <c r="W1296" s="41" t="str"/>
    </row>
    <row r="1297">
      <c r="B1297" s="2" t="n"/>
      <c r="C1297" s="40" t="n"/>
      <c r="D1297" s="52">
        <f t="array" ref="D1297:W1297">IF(All_Students_Scores!C1295:V1295="","",All_Students_Scores!C1295:V1295)</f>
        <v/>
      </c>
      <c r="E1297" s="57" t="str"/>
      <c r="F1297" s="49" t="str"/>
      <c r="G1297" s="59" t="str"/>
      <c r="H1297" s="64" t="str"/>
      <c r="I1297" s="65" t="str"/>
      <c r="J1297" s="49" t="str"/>
      <c r="K1297" s="41" t="str"/>
      <c r="L1297" s="41" t="str"/>
      <c r="M1297" s="41" t="str"/>
      <c r="N1297" s="41" t="str"/>
      <c r="O1297" s="41" t="str"/>
      <c r="P1297" s="41" t="str"/>
      <c r="Q1297" s="41" t="str"/>
      <c r="R1297" s="41" t="str"/>
      <c r="S1297" s="41" t="str"/>
      <c r="T1297" s="41" t="str"/>
      <c r="U1297" s="41" t="str"/>
      <c r="V1297" s="41" t="str"/>
      <c r="W1297" s="41" t="str"/>
    </row>
    <row r="1298">
      <c r="B1298" s="2" t="n"/>
      <c r="C1298" s="40" t="n"/>
      <c r="D1298" s="52">
        <f t="array" ref="D1298:W1298">IF(All_Students_Scores!C1296:V1296="","",All_Students_Scores!C1296:V1296)</f>
        <v/>
      </c>
      <c r="E1298" s="57" t="str"/>
      <c r="F1298" s="49" t="str"/>
      <c r="G1298" s="59" t="str"/>
      <c r="H1298" s="64" t="str"/>
      <c r="I1298" s="65" t="str"/>
      <c r="J1298" s="49" t="str"/>
      <c r="K1298" s="41" t="str"/>
      <c r="L1298" s="41" t="str"/>
      <c r="M1298" s="41" t="str"/>
      <c r="N1298" s="41" t="str"/>
      <c r="O1298" s="41" t="str"/>
      <c r="P1298" s="41" t="str"/>
      <c r="Q1298" s="41" t="str"/>
      <c r="R1298" s="41" t="str"/>
      <c r="S1298" s="41" t="str"/>
      <c r="T1298" s="41" t="str"/>
      <c r="U1298" s="41" t="str"/>
      <c r="V1298" s="41" t="str"/>
      <c r="W1298" s="41" t="str"/>
    </row>
    <row r="1299">
      <c r="B1299" s="2" t="n"/>
      <c r="C1299" s="40" t="n"/>
      <c r="D1299" s="52">
        <f t="array" ref="D1299:W1299">IF(All_Students_Scores!C1297:V1297="","",All_Students_Scores!C1297:V1297)</f>
        <v/>
      </c>
      <c r="E1299" s="57" t="str"/>
      <c r="F1299" s="49" t="str"/>
      <c r="G1299" s="59" t="str"/>
      <c r="H1299" s="64" t="str"/>
      <c r="I1299" s="65" t="str"/>
      <c r="J1299" s="49" t="str"/>
      <c r="K1299" s="41" t="str"/>
      <c r="L1299" s="41" t="str"/>
      <c r="M1299" s="41" t="str"/>
      <c r="N1299" s="41" t="str"/>
      <c r="O1299" s="41" t="str"/>
      <c r="P1299" s="41" t="str"/>
      <c r="Q1299" s="41" t="str"/>
      <c r="R1299" s="41" t="str"/>
      <c r="S1299" s="41" t="str"/>
      <c r="T1299" s="41" t="str"/>
      <c r="U1299" s="41" t="str"/>
      <c r="V1299" s="41" t="str"/>
      <c r="W1299" s="41" t="str"/>
    </row>
    <row r="1300">
      <c r="B1300" s="2" t="n"/>
      <c r="C1300" s="40" t="n"/>
      <c r="D1300" s="52">
        <f t="array" ref="D1300:W1300">IF(All_Students_Scores!C1298:V1298="","",All_Students_Scores!C1298:V1298)</f>
        <v/>
      </c>
      <c r="E1300" s="57" t="str"/>
      <c r="F1300" s="49" t="str"/>
      <c r="G1300" s="59" t="str"/>
      <c r="H1300" s="64" t="str"/>
      <c r="I1300" s="65" t="str"/>
      <c r="J1300" s="49" t="str"/>
      <c r="K1300" s="41" t="str"/>
      <c r="L1300" s="41" t="str"/>
      <c r="M1300" s="41" t="str"/>
      <c r="N1300" s="41" t="str"/>
      <c r="O1300" s="41" t="str"/>
      <c r="P1300" s="41" t="str"/>
      <c r="Q1300" s="41" t="str"/>
      <c r="R1300" s="41" t="str"/>
      <c r="S1300" s="41" t="str"/>
      <c r="T1300" s="41" t="str"/>
      <c r="U1300" s="41" t="str"/>
      <c r="V1300" s="41" t="str"/>
      <c r="W1300" s="41" t="str"/>
    </row>
    <row r="1301">
      <c r="B1301" s="2" t="n"/>
      <c r="C1301" s="40" t="n"/>
      <c r="D1301" s="52">
        <f t="array" ref="D1301:W1301">IF(All_Students_Scores!C1299:V1299="","",All_Students_Scores!C1299:V1299)</f>
        <v/>
      </c>
      <c r="E1301" s="57" t="str"/>
      <c r="F1301" s="49" t="str"/>
      <c r="G1301" s="59" t="str"/>
      <c r="H1301" s="64" t="str"/>
      <c r="I1301" s="65" t="str"/>
      <c r="J1301" s="49" t="str"/>
      <c r="K1301" s="41" t="str"/>
      <c r="L1301" s="41" t="str"/>
      <c r="M1301" s="41" t="str"/>
      <c r="N1301" s="41" t="str"/>
      <c r="O1301" s="41" t="str"/>
      <c r="P1301" s="41" t="str"/>
      <c r="Q1301" s="41" t="str"/>
      <c r="R1301" s="41" t="str"/>
      <c r="S1301" s="41" t="str"/>
      <c r="T1301" s="41" t="str"/>
      <c r="U1301" s="41" t="str"/>
      <c r="V1301" s="41" t="str"/>
      <c r="W1301" s="41" t="str"/>
    </row>
    <row r="1302">
      <c r="B1302" s="2" t="n"/>
      <c r="C1302" s="40" t="n"/>
      <c r="D1302" s="52">
        <f t="array" ref="D1302:W1302">IF(All_Students_Scores!C1300:V1300="","",All_Students_Scores!C1300:V1300)</f>
        <v/>
      </c>
      <c r="E1302" s="57" t="str"/>
      <c r="F1302" s="49" t="str"/>
      <c r="G1302" s="59" t="str"/>
      <c r="H1302" s="64" t="str"/>
      <c r="I1302" s="65" t="str"/>
      <c r="J1302" s="49" t="str"/>
      <c r="K1302" s="41" t="str"/>
      <c r="L1302" s="41" t="str"/>
      <c r="M1302" s="41" t="str"/>
      <c r="N1302" s="41" t="str"/>
      <c r="O1302" s="41" t="str"/>
      <c r="P1302" s="41" t="str"/>
      <c r="Q1302" s="41" t="str"/>
      <c r="R1302" s="41" t="str"/>
      <c r="S1302" s="41" t="str"/>
      <c r="T1302" s="41" t="str"/>
      <c r="U1302" s="41" t="str"/>
      <c r="V1302" s="41" t="str"/>
      <c r="W1302" s="41" t="str"/>
    </row>
    <row r="1303">
      <c r="B1303" s="2" t="n"/>
      <c r="C1303" s="40" t="n"/>
      <c r="D1303" s="52">
        <f t="array" ref="D1303:W1303">IF(All_Students_Scores!C1301:V1301="","",All_Students_Scores!C1301:V1301)</f>
        <v/>
      </c>
      <c r="E1303" s="57" t="str"/>
      <c r="F1303" s="49" t="str"/>
      <c r="G1303" s="59" t="str"/>
      <c r="H1303" s="64" t="str"/>
      <c r="I1303" s="65" t="str"/>
      <c r="J1303" s="49" t="str"/>
      <c r="K1303" s="41" t="str"/>
      <c r="L1303" s="41" t="str"/>
      <c r="M1303" s="41" t="str"/>
      <c r="N1303" s="41" t="str"/>
      <c r="O1303" s="41" t="str"/>
      <c r="P1303" s="41" t="str"/>
      <c r="Q1303" s="41" t="str"/>
      <c r="R1303" s="41" t="str"/>
      <c r="S1303" s="41" t="str"/>
      <c r="T1303" s="41" t="str"/>
      <c r="U1303" s="41" t="str"/>
      <c r="V1303" s="41" t="str"/>
      <c r="W1303" s="41" t="str"/>
    </row>
    <row r="1304">
      <c r="B1304" s="2" t="n"/>
      <c r="C1304" s="40" t="n"/>
      <c r="D1304" s="52">
        <f t="array" ref="D1304:W1304">IF(All_Students_Scores!C1302:V1302="","",All_Students_Scores!C1302:V1302)</f>
        <v/>
      </c>
      <c r="E1304" s="57" t="str"/>
      <c r="F1304" s="49" t="str"/>
      <c r="G1304" s="59" t="str"/>
      <c r="H1304" s="64" t="str"/>
      <c r="I1304" s="65" t="str"/>
      <c r="J1304" s="49" t="str"/>
      <c r="K1304" s="41" t="str"/>
      <c r="L1304" s="41" t="str"/>
      <c r="M1304" s="41" t="str"/>
      <c r="N1304" s="41" t="str"/>
      <c r="O1304" s="41" t="str"/>
      <c r="P1304" s="41" t="str"/>
      <c r="Q1304" s="41" t="str"/>
      <c r="R1304" s="41" t="str"/>
      <c r="S1304" s="41" t="str"/>
      <c r="T1304" s="41" t="str"/>
      <c r="U1304" s="41" t="str"/>
      <c r="V1304" s="41" t="str"/>
      <c r="W1304" s="41" t="str"/>
    </row>
    <row r="1305">
      <c r="B1305" s="2" t="n"/>
      <c r="C1305" s="40" t="n"/>
      <c r="D1305" s="52">
        <f t="array" ref="D1305:W1305">IF(All_Students_Scores!C1303:V1303="","",All_Students_Scores!C1303:V1303)</f>
        <v/>
      </c>
      <c r="E1305" s="57" t="str"/>
      <c r="F1305" s="49" t="str"/>
      <c r="G1305" s="59" t="str"/>
      <c r="H1305" s="64" t="str"/>
      <c r="I1305" s="65" t="str"/>
      <c r="J1305" s="49" t="str"/>
      <c r="K1305" s="41" t="str"/>
      <c r="L1305" s="41" t="str"/>
      <c r="M1305" s="41" t="str"/>
      <c r="N1305" s="41" t="str"/>
      <c r="O1305" s="41" t="str"/>
      <c r="P1305" s="41" t="str"/>
      <c r="Q1305" s="41" t="str"/>
      <c r="R1305" s="41" t="str"/>
      <c r="S1305" s="41" t="str"/>
      <c r="T1305" s="41" t="str"/>
      <c r="U1305" s="41" t="str"/>
      <c r="V1305" s="41" t="str"/>
      <c r="W1305" s="41" t="str"/>
    </row>
    <row r="1306">
      <c r="B1306" s="2" t="n"/>
      <c r="C1306" s="40" t="n"/>
      <c r="D1306" s="52">
        <f t="array" ref="D1306:W1306">IF(All_Students_Scores!C1304:V1304="","",All_Students_Scores!C1304:V1304)</f>
        <v/>
      </c>
      <c r="E1306" s="57" t="str"/>
      <c r="F1306" s="49" t="str"/>
      <c r="G1306" s="59" t="str"/>
      <c r="H1306" s="64" t="str"/>
      <c r="I1306" s="65" t="str"/>
      <c r="J1306" s="49" t="str"/>
      <c r="K1306" s="41" t="str"/>
      <c r="L1306" s="41" t="str"/>
      <c r="M1306" s="41" t="str"/>
      <c r="N1306" s="41" t="str"/>
      <c r="O1306" s="41" t="str"/>
      <c r="P1306" s="41" t="str"/>
      <c r="Q1306" s="41" t="str"/>
      <c r="R1306" s="41" t="str"/>
      <c r="S1306" s="41" t="str"/>
      <c r="T1306" s="41" t="str"/>
      <c r="U1306" s="41" t="str"/>
      <c r="V1306" s="41" t="str"/>
      <c r="W1306" s="41" t="str"/>
    </row>
    <row r="1307">
      <c r="B1307" s="2" t="n"/>
      <c r="C1307" s="40" t="n"/>
      <c r="D1307" s="52">
        <f t="array" ref="D1307:W1307">IF(All_Students_Scores!C1305:V1305="","",All_Students_Scores!C1305:V1305)</f>
        <v/>
      </c>
      <c r="E1307" s="57" t="str"/>
      <c r="F1307" s="49" t="str"/>
      <c r="G1307" s="59" t="str"/>
      <c r="H1307" s="64" t="str"/>
      <c r="I1307" s="65" t="str"/>
      <c r="J1307" s="49" t="str"/>
      <c r="K1307" s="41" t="str"/>
      <c r="L1307" s="41" t="str"/>
      <c r="M1307" s="41" t="str"/>
      <c r="N1307" s="41" t="str"/>
      <c r="O1307" s="41" t="str"/>
      <c r="P1307" s="41" t="str"/>
      <c r="Q1307" s="41" t="str"/>
      <c r="R1307" s="41" t="str"/>
      <c r="S1307" s="41" t="str"/>
      <c r="T1307" s="41" t="str"/>
      <c r="U1307" s="41" t="str"/>
      <c r="V1307" s="41" t="str"/>
      <c r="W1307" s="41" t="str"/>
    </row>
    <row r="1308">
      <c r="B1308" s="2" t="n"/>
      <c r="C1308" s="40" t="n"/>
      <c r="D1308" s="52">
        <f t="array" ref="D1308:W1308">IF(All_Students_Scores!C1306:V1306="","",All_Students_Scores!C1306:V1306)</f>
        <v/>
      </c>
      <c r="E1308" s="57" t="str"/>
      <c r="F1308" s="49" t="str"/>
      <c r="G1308" s="59" t="str"/>
      <c r="H1308" s="64" t="str"/>
      <c r="I1308" s="65" t="str"/>
      <c r="J1308" s="49" t="str"/>
      <c r="K1308" s="41" t="str"/>
      <c r="L1308" s="41" t="str"/>
      <c r="M1308" s="41" t="str"/>
      <c r="N1308" s="41" t="str"/>
      <c r="O1308" s="41" t="str"/>
      <c r="P1308" s="41" t="str"/>
      <c r="Q1308" s="41" t="str"/>
      <c r="R1308" s="41" t="str"/>
      <c r="S1308" s="41" t="str"/>
      <c r="T1308" s="41" t="str"/>
      <c r="U1308" s="41" t="str"/>
      <c r="V1308" s="41" t="str"/>
      <c r="W1308" s="41" t="str"/>
    </row>
    <row r="1309">
      <c r="B1309" s="2" t="n"/>
      <c r="C1309" s="40" t="n"/>
      <c r="D1309" s="52">
        <f t="array" ref="D1309:W1309">IF(All_Students_Scores!C1307:V1307="","",All_Students_Scores!C1307:V1307)</f>
        <v/>
      </c>
      <c r="E1309" s="57" t="str"/>
      <c r="F1309" s="49" t="str"/>
      <c r="G1309" s="59" t="str"/>
      <c r="H1309" s="64" t="str"/>
      <c r="I1309" s="65" t="str"/>
      <c r="J1309" s="49" t="str"/>
      <c r="K1309" s="41" t="str"/>
      <c r="L1309" s="41" t="str"/>
      <c r="M1309" s="41" t="str"/>
      <c r="N1309" s="41" t="str"/>
      <c r="O1309" s="41" t="str"/>
      <c r="P1309" s="41" t="str"/>
      <c r="Q1309" s="41" t="str"/>
      <c r="R1309" s="41" t="str"/>
      <c r="S1309" s="41" t="str"/>
      <c r="T1309" s="41" t="str"/>
      <c r="U1309" s="41" t="str"/>
      <c r="V1309" s="41" t="str"/>
      <c r="W1309" s="41" t="str"/>
    </row>
    <row r="1310">
      <c r="B1310" s="2" t="n"/>
      <c r="C1310" s="40" t="n"/>
      <c r="D1310" s="52">
        <f t="array" ref="D1310:W1310">IF(All_Students_Scores!C1308:V1308="","",All_Students_Scores!C1308:V1308)</f>
        <v/>
      </c>
      <c r="E1310" s="57" t="str"/>
      <c r="F1310" s="49" t="str"/>
      <c r="G1310" s="59" t="str"/>
      <c r="H1310" s="64" t="str"/>
      <c r="I1310" s="65" t="str"/>
      <c r="J1310" s="49" t="str"/>
      <c r="K1310" s="41" t="str"/>
      <c r="L1310" s="41" t="str"/>
      <c r="M1310" s="41" t="str"/>
      <c r="N1310" s="41" t="str"/>
      <c r="O1310" s="41" t="str"/>
      <c r="P1310" s="41" t="str"/>
      <c r="Q1310" s="41" t="str"/>
      <c r="R1310" s="41" t="str"/>
      <c r="S1310" s="41" t="str"/>
      <c r="T1310" s="41" t="str"/>
      <c r="U1310" s="41" t="str"/>
      <c r="V1310" s="41" t="str"/>
      <c r="W1310" s="41" t="str"/>
    </row>
    <row r="1311">
      <c r="B1311" s="2" t="n"/>
      <c r="C1311" s="40" t="n"/>
      <c r="D1311" s="52">
        <f t="array" ref="D1311:W1311">IF(All_Students_Scores!C1309:V1309="","",All_Students_Scores!C1309:V1309)</f>
        <v/>
      </c>
      <c r="E1311" s="57" t="str"/>
      <c r="F1311" s="49" t="str"/>
      <c r="G1311" s="59" t="str"/>
      <c r="H1311" s="64" t="str"/>
      <c r="I1311" s="65" t="str"/>
      <c r="J1311" s="49" t="str"/>
      <c r="K1311" s="41" t="str"/>
      <c r="L1311" s="41" t="str"/>
      <c r="M1311" s="41" t="str"/>
      <c r="N1311" s="41" t="str"/>
      <c r="O1311" s="41" t="str"/>
      <c r="P1311" s="41" t="str"/>
      <c r="Q1311" s="41" t="str"/>
      <c r="R1311" s="41" t="str"/>
      <c r="S1311" s="41" t="str"/>
      <c r="T1311" s="41" t="str"/>
      <c r="U1311" s="41" t="str"/>
      <c r="V1311" s="41" t="str"/>
      <c r="W1311" s="41" t="str"/>
    </row>
    <row r="1312">
      <c r="B1312" s="2" t="n"/>
      <c r="C1312" s="40" t="n"/>
      <c r="D1312" s="52">
        <f t="array" ref="D1312:W1312">IF(All_Students_Scores!C1310:V1310="","",All_Students_Scores!C1310:V1310)</f>
        <v/>
      </c>
      <c r="E1312" s="57" t="str"/>
      <c r="F1312" s="49" t="str"/>
      <c r="G1312" s="59" t="str"/>
      <c r="H1312" s="64" t="str"/>
      <c r="I1312" s="65" t="str"/>
      <c r="J1312" s="49" t="str"/>
      <c r="K1312" s="41" t="str"/>
      <c r="L1312" s="41" t="str"/>
      <c r="M1312" s="41" t="str"/>
      <c r="N1312" s="41" t="str"/>
      <c r="O1312" s="41" t="str"/>
      <c r="P1312" s="41" t="str"/>
      <c r="Q1312" s="41" t="str"/>
      <c r="R1312" s="41" t="str"/>
      <c r="S1312" s="41" t="str"/>
      <c r="T1312" s="41" t="str"/>
      <c r="U1312" s="41" t="str"/>
      <c r="V1312" s="41" t="str"/>
      <c r="W1312" s="41" t="str"/>
    </row>
    <row r="1313">
      <c r="B1313" s="2" t="n"/>
      <c r="C1313" s="40" t="n"/>
      <c r="D1313" s="52">
        <f t="array" ref="D1313:W1313">IF(All_Students_Scores!C1311:V1311="","",All_Students_Scores!C1311:V1311)</f>
        <v/>
      </c>
      <c r="E1313" s="57" t="str"/>
      <c r="F1313" s="49" t="str"/>
      <c r="G1313" s="59" t="str"/>
      <c r="H1313" s="64" t="str"/>
      <c r="I1313" s="65" t="str"/>
      <c r="J1313" s="49" t="str"/>
      <c r="K1313" s="41" t="str"/>
      <c r="L1313" s="41" t="str"/>
      <c r="M1313" s="41" t="str"/>
      <c r="N1313" s="41" t="str"/>
      <c r="O1313" s="41" t="str"/>
      <c r="P1313" s="41" t="str"/>
      <c r="Q1313" s="41" t="str"/>
      <c r="R1313" s="41" t="str"/>
      <c r="S1313" s="41" t="str"/>
      <c r="T1313" s="41" t="str"/>
      <c r="U1313" s="41" t="str"/>
      <c r="V1313" s="41" t="str"/>
      <c r="W1313" s="41" t="str"/>
    </row>
    <row r="1314">
      <c r="B1314" s="2" t="n"/>
      <c r="C1314" s="40" t="n"/>
      <c r="D1314" s="52">
        <f t="array" ref="D1314:W1314">IF(All_Students_Scores!C1312:V1312="","",All_Students_Scores!C1312:V1312)</f>
        <v/>
      </c>
      <c r="E1314" s="57" t="str"/>
      <c r="F1314" s="49" t="str"/>
      <c r="G1314" s="59" t="str"/>
      <c r="H1314" s="64" t="str"/>
      <c r="I1314" s="65" t="str"/>
      <c r="J1314" s="49" t="str"/>
      <c r="K1314" s="41" t="str"/>
      <c r="L1314" s="41" t="str"/>
      <c r="M1314" s="41" t="str"/>
      <c r="N1314" s="41" t="str"/>
      <c r="O1314" s="41" t="str"/>
      <c r="P1314" s="41" t="str"/>
      <c r="Q1314" s="41" t="str"/>
      <c r="R1314" s="41" t="str"/>
      <c r="S1314" s="41" t="str"/>
      <c r="T1314" s="41" t="str"/>
      <c r="U1314" s="41" t="str"/>
      <c r="V1314" s="41" t="str"/>
      <c r="W1314" s="41" t="str"/>
    </row>
    <row r="1315">
      <c r="B1315" s="2" t="n"/>
      <c r="C1315" s="40" t="n"/>
      <c r="D1315" s="52">
        <f t="array" ref="D1315:W1315">IF(All_Students_Scores!C1313:V1313="","",All_Students_Scores!C1313:V1313)</f>
        <v/>
      </c>
      <c r="E1315" s="57" t="str"/>
      <c r="F1315" s="49" t="str"/>
      <c r="G1315" s="59" t="str"/>
      <c r="H1315" s="64" t="str"/>
      <c r="I1315" s="65" t="str"/>
      <c r="J1315" s="49" t="str"/>
      <c r="K1315" s="41" t="str"/>
      <c r="L1315" s="41" t="str"/>
      <c r="M1315" s="41" t="str"/>
      <c r="N1315" s="41" t="str"/>
      <c r="O1315" s="41" t="str"/>
      <c r="P1315" s="41" t="str"/>
      <c r="Q1315" s="41" t="str"/>
      <c r="R1315" s="41" t="str"/>
      <c r="S1315" s="41" t="str"/>
      <c r="T1315" s="41" t="str"/>
      <c r="U1315" s="41" t="str"/>
      <c r="V1315" s="41" t="str"/>
      <c r="W1315" s="41" t="str"/>
    </row>
    <row r="1316">
      <c r="B1316" s="2" t="n"/>
      <c r="C1316" s="40" t="n"/>
      <c r="D1316" s="52">
        <f t="array" ref="D1316:W1316">IF(All_Students_Scores!C1314:V1314="","",All_Students_Scores!C1314:V1314)</f>
        <v/>
      </c>
      <c r="E1316" s="57" t="str"/>
      <c r="F1316" s="49" t="str"/>
      <c r="G1316" s="59" t="str"/>
      <c r="H1316" s="64" t="str"/>
      <c r="I1316" s="65" t="str"/>
      <c r="J1316" s="49" t="str"/>
      <c r="K1316" s="41" t="str"/>
      <c r="L1316" s="41" t="str"/>
      <c r="M1316" s="41" t="str"/>
      <c r="N1316" s="41" t="str"/>
      <c r="O1316" s="41" t="str"/>
      <c r="P1316" s="41" t="str"/>
      <c r="Q1316" s="41" t="str"/>
      <c r="R1316" s="41" t="str"/>
      <c r="S1316" s="41" t="str"/>
      <c r="T1316" s="41" t="str"/>
      <c r="U1316" s="41" t="str"/>
      <c r="V1316" s="41" t="str"/>
      <c r="W1316" s="41" t="str"/>
    </row>
    <row r="1317">
      <c r="B1317" s="2" t="n"/>
      <c r="C1317" s="40" t="n"/>
      <c r="D1317" s="52">
        <f t="array" ref="D1317:W1317">IF(All_Students_Scores!C1315:V1315="","",All_Students_Scores!C1315:V1315)</f>
        <v/>
      </c>
      <c r="E1317" s="57" t="str"/>
      <c r="F1317" s="49" t="str"/>
      <c r="G1317" s="59" t="str"/>
      <c r="H1317" s="64" t="str"/>
      <c r="I1317" s="65" t="str"/>
      <c r="J1317" s="49" t="str"/>
      <c r="K1317" s="41" t="str"/>
      <c r="L1317" s="41" t="str"/>
      <c r="M1317" s="41" t="str"/>
      <c r="N1317" s="41" t="str"/>
      <c r="O1317" s="41" t="str"/>
      <c r="P1317" s="41" t="str"/>
      <c r="Q1317" s="41" t="str"/>
      <c r="R1317" s="41" t="str"/>
      <c r="S1317" s="41" t="str"/>
      <c r="T1317" s="41" t="str"/>
      <c r="U1317" s="41" t="str"/>
      <c r="V1317" s="41" t="str"/>
      <c r="W1317" s="41" t="str"/>
    </row>
    <row r="1318">
      <c r="B1318" s="2" t="n"/>
      <c r="C1318" s="40" t="n"/>
      <c r="D1318" s="52">
        <f t="array" ref="D1318:W1318">IF(All_Students_Scores!C1316:V1316="","",All_Students_Scores!C1316:V1316)</f>
        <v/>
      </c>
      <c r="E1318" s="57" t="str"/>
      <c r="F1318" s="49" t="str"/>
      <c r="G1318" s="59" t="str"/>
      <c r="H1318" s="64" t="str"/>
      <c r="I1318" s="65" t="str"/>
      <c r="J1318" s="49" t="str"/>
      <c r="K1318" s="41" t="str"/>
      <c r="L1318" s="41" t="str"/>
      <c r="M1318" s="41" t="str"/>
      <c r="N1318" s="41" t="str"/>
      <c r="O1318" s="41" t="str"/>
      <c r="P1318" s="41" t="str"/>
      <c r="Q1318" s="41" t="str"/>
      <c r="R1318" s="41" t="str"/>
      <c r="S1318" s="41" t="str"/>
      <c r="T1318" s="41" t="str"/>
      <c r="U1318" s="41" t="str"/>
      <c r="V1318" s="41" t="str"/>
      <c r="W1318" s="41" t="str"/>
    </row>
    <row r="1319">
      <c r="B1319" s="2" t="n"/>
      <c r="C1319" s="40" t="n"/>
      <c r="D1319" s="52">
        <f t="array" ref="D1319:W1319">IF(All_Students_Scores!C1317:V1317="","",All_Students_Scores!C1317:V1317)</f>
        <v/>
      </c>
      <c r="E1319" s="57" t="str"/>
      <c r="F1319" s="49" t="str"/>
      <c r="G1319" s="59" t="str"/>
      <c r="H1319" s="64" t="str"/>
      <c r="I1319" s="65" t="str"/>
      <c r="J1319" s="49" t="str"/>
      <c r="K1319" s="41" t="str"/>
      <c r="L1319" s="41" t="str"/>
      <c r="M1319" s="41" t="str"/>
      <c r="N1319" s="41" t="str"/>
      <c r="O1319" s="41" t="str"/>
      <c r="P1319" s="41" t="str"/>
      <c r="Q1319" s="41" t="str"/>
      <c r="R1319" s="41" t="str"/>
      <c r="S1319" s="41" t="str"/>
      <c r="T1319" s="41" t="str"/>
      <c r="U1319" s="41" t="str"/>
      <c r="V1319" s="41" t="str"/>
      <c r="W1319" s="41" t="str"/>
    </row>
    <row r="1320">
      <c r="B1320" s="2" t="n"/>
      <c r="C1320" s="40" t="n"/>
      <c r="D1320" s="52">
        <f t="array" ref="D1320:W1320">IF(All_Students_Scores!C1318:V1318="","",All_Students_Scores!C1318:V1318)</f>
        <v/>
      </c>
      <c r="E1320" s="57" t="str"/>
      <c r="F1320" s="49" t="str"/>
      <c r="G1320" s="59" t="str"/>
      <c r="H1320" s="64" t="str"/>
      <c r="I1320" s="65" t="str"/>
      <c r="J1320" s="49" t="str"/>
      <c r="K1320" s="41" t="str"/>
      <c r="L1320" s="41" t="str"/>
      <c r="M1320" s="41" t="str"/>
      <c r="N1320" s="41" t="str"/>
      <c r="O1320" s="41" t="str"/>
      <c r="P1320" s="41" t="str"/>
      <c r="Q1320" s="41" t="str"/>
      <c r="R1320" s="41" t="str"/>
      <c r="S1320" s="41" t="str"/>
      <c r="T1320" s="41" t="str"/>
      <c r="U1320" s="41" t="str"/>
      <c r="V1320" s="41" t="str"/>
      <c r="W1320" s="41" t="str"/>
    </row>
    <row r="1321">
      <c r="B1321" s="2" t="n"/>
      <c r="C1321" s="40" t="n"/>
      <c r="D1321" s="52">
        <f t="array" ref="D1321:W1321">IF(All_Students_Scores!C1319:V1319="","",All_Students_Scores!C1319:V1319)</f>
        <v/>
      </c>
      <c r="E1321" s="57" t="str"/>
      <c r="F1321" s="49" t="str"/>
      <c r="G1321" s="59" t="str"/>
      <c r="H1321" s="64" t="str"/>
      <c r="I1321" s="65" t="str"/>
      <c r="J1321" s="49" t="str"/>
      <c r="K1321" s="41" t="str"/>
      <c r="L1321" s="41" t="str"/>
      <c r="M1321" s="41" t="str"/>
      <c r="N1321" s="41" t="str"/>
      <c r="O1321" s="41" t="str"/>
      <c r="P1321" s="41" t="str"/>
      <c r="Q1321" s="41" t="str"/>
      <c r="R1321" s="41" t="str"/>
      <c r="S1321" s="41" t="str"/>
      <c r="T1321" s="41" t="str"/>
      <c r="U1321" s="41" t="str"/>
      <c r="V1321" s="41" t="str"/>
      <c r="W1321" s="41" t="str"/>
    </row>
    <row r="1322">
      <c r="B1322" s="2" t="n"/>
      <c r="C1322" s="40" t="n"/>
      <c r="D1322" s="52">
        <f t="array" ref="D1322:W1322">IF(All_Students_Scores!C1320:V1320="","",All_Students_Scores!C1320:V1320)</f>
        <v/>
      </c>
      <c r="E1322" s="57" t="str"/>
      <c r="F1322" s="49" t="str"/>
      <c r="G1322" s="59" t="str"/>
      <c r="H1322" s="64" t="str"/>
      <c r="I1322" s="65" t="str"/>
      <c r="J1322" s="49" t="str"/>
      <c r="K1322" s="41" t="str"/>
      <c r="L1322" s="41" t="str"/>
      <c r="M1322" s="41" t="str"/>
      <c r="N1322" s="41" t="str"/>
      <c r="O1322" s="41" t="str"/>
      <c r="P1322" s="41" t="str"/>
      <c r="Q1322" s="41" t="str"/>
      <c r="R1322" s="41" t="str"/>
      <c r="S1322" s="41" t="str"/>
      <c r="T1322" s="41" t="str"/>
      <c r="U1322" s="41" t="str"/>
      <c r="V1322" s="41" t="str"/>
      <c r="W1322" s="41" t="str"/>
    </row>
    <row r="1323">
      <c r="B1323" s="2" t="n"/>
      <c r="C1323" s="40" t="n"/>
      <c r="D1323" s="52">
        <f t="array" ref="D1323:W1323">IF(All_Students_Scores!C1321:V1321="","",All_Students_Scores!C1321:V1321)</f>
        <v/>
      </c>
      <c r="E1323" s="57" t="str"/>
      <c r="F1323" s="49" t="str"/>
      <c r="G1323" s="59" t="str"/>
      <c r="H1323" s="64" t="str"/>
      <c r="I1323" s="65" t="str"/>
      <c r="J1323" s="49" t="str"/>
      <c r="K1323" s="41" t="str"/>
      <c r="L1323" s="41" t="str"/>
      <c r="M1323" s="41" t="str"/>
      <c r="N1323" s="41" t="str"/>
      <c r="O1323" s="41" t="str"/>
      <c r="P1323" s="41" t="str"/>
      <c r="Q1323" s="41" t="str"/>
      <c r="R1323" s="41" t="str"/>
      <c r="S1323" s="41" t="str"/>
      <c r="T1323" s="41" t="str"/>
      <c r="U1323" s="41" t="str"/>
      <c r="V1323" s="41" t="str"/>
      <c r="W1323" s="41" t="str"/>
    </row>
    <row r="1324">
      <c r="B1324" s="2" t="n"/>
      <c r="C1324" s="40" t="n"/>
      <c r="D1324" s="52">
        <f t="array" ref="D1324:W1324">IF(All_Students_Scores!C1322:V1322="","",All_Students_Scores!C1322:V1322)</f>
        <v/>
      </c>
      <c r="E1324" s="57" t="str"/>
      <c r="F1324" s="49" t="str"/>
      <c r="G1324" s="59" t="str"/>
      <c r="H1324" s="64" t="str"/>
      <c r="I1324" s="65" t="str"/>
      <c r="J1324" s="49" t="str"/>
      <c r="K1324" s="41" t="str"/>
      <c r="L1324" s="41" t="str"/>
      <c r="M1324" s="41" t="str"/>
      <c r="N1324" s="41" t="str"/>
      <c r="O1324" s="41" t="str"/>
      <c r="P1324" s="41" t="str"/>
      <c r="Q1324" s="41" t="str"/>
      <c r="R1324" s="41" t="str"/>
      <c r="S1324" s="41" t="str"/>
      <c r="T1324" s="41" t="str"/>
      <c r="U1324" s="41" t="str"/>
      <c r="V1324" s="41" t="str"/>
      <c r="W1324" s="41" t="str"/>
    </row>
    <row r="1325">
      <c r="B1325" s="2" t="n"/>
      <c r="C1325" s="40" t="n"/>
      <c r="D1325" s="52">
        <f t="array" ref="D1325:W1325">IF(All_Students_Scores!C1323:V1323="","",All_Students_Scores!C1323:V1323)</f>
        <v/>
      </c>
      <c r="E1325" s="57" t="str"/>
      <c r="F1325" s="49" t="str"/>
      <c r="G1325" s="59" t="str"/>
      <c r="H1325" s="64" t="str"/>
      <c r="I1325" s="65" t="str"/>
      <c r="J1325" s="49" t="str"/>
      <c r="K1325" s="41" t="str"/>
      <c r="L1325" s="41" t="str"/>
      <c r="M1325" s="41" t="str"/>
      <c r="N1325" s="41" t="str"/>
      <c r="O1325" s="41" t="str"/>
      <c r="P1325" s="41" t="str"/>
      <c r="Q1325" s="41" t="str"/>
      <c r="R1325" s="41" t="str"/>
      <c r="S1325" s="41" t="str"/>
      <c r="T1325" s="41" t="str"/>
      <c r="U1325" s="41" t="str"/>
      <c r="V1325" s="41" t="str"/>
      <c r="W1325" s="41" t="str"/>
    </row>
    <row r="1326">
      <c r="B1326" s="2" t="n"/>
      <c r="C1326" s="40" t="n"/>
      <c r="D1326" s="52">
        <f t="array" ref="D1326:W1326">IF(All_Students_Scores!C1324:V1324="","",All_Students_Scores!C1324:V1324)</f>
        <v/>
      </c>
      <c r="E1326" s="57" t="str"/>
      <c r="F1326" s="49" t="str"/>
      <c r="G1326" s="59" t="str"/>
      <c r="H1326" s="64" t="str"/>
      <c r="I1326" s="65" t="str"/>
      <c r="J1326" s="49" t="str"/>
      <c r="K1326" s="41" t="str"/>
      <c r="L1326" s="41" t="str"/>
      <c r="M1326" s="41" t="str"/>
      <c r="N1326" s="41" t="str"/>
      <c r="O1326" s="41" t="str"/>
      <c r="P1326" s="41" t="str"/>
      <c r="Q1326" s="41" t="str"/>
      <c r="R1326" s="41" t="str"/>
      <c r="S1326" s="41" t="str"/>
      <c r="T1326" s="41" t="str"/>
      <c r="U1326" s="41" t="str"/>
      <c r="V1326" s="41" t="str"/>
      <c r="W1326" s="41" t="str"/>
    </row>
    <row r="1327">
      <c r="B1327" s="2" t="n"/>
      <c r="C1327" s="40" t="n"/>
      <c r="D1327" s="52">
        <f t="array" ref="D1327:W1327">IF(All_Students_Scores!C1325:V1325="","",All_Students_Scores!C1325:V1325)</f>
        <v/>
      </c>
      <c r="E1327" s="57" t="str"/>
      <c r="F1327" s="49" t="str"/>
      <c r="G1327" s="59" t="str"/>
      <c r="H1327" s="64" t="str"/>
      <c r="I1327" s="65" t="str"/>
      <c r="J1327" s="49" t="str"/>
      <c r="K1327" s="41" t="str"/>
      <c r="L1327" s="41" t="str"/>
      <c r="M1327" s="41" t="str"/>
      <c r="N1327" s="41" t="str"/>
      <c r="O1327" s="41" t="str"/>
      <c r="P1327" s="41" t="str"/>
      <c r="Q1327" s="41" t="str"/>
      <c r="R1327" s="41" t="str"/>
      <c r="S1327" s="41" t="str"/>
      <c r="T1327" s="41" t="str"/>
      <c r="U1327" s="41" t="str"/>
      <c r="V1327" s="41" t="str"/>
      <c r="W1327" s="41" t="str"/>
    </row>
    <row r="1328">
      <c r="B1328" s="2" t="n"/>
      <c r="C1328" s="40" t="n"/>
      <c r="D1328" s="52">
        <f t="array" ref="D1328:W1328">IF(All_Students_Scores!C1326:V1326="","",All_Students_Scores!C1326:V1326)</f>
        <v/>
      </c>
      <c r="E1328" s="57" t="str"/>
      <c r="F1328" s="49" t="str"/>
      <c r="G1328" s="59" t="str"/>
      <c r="H1328" s="64" t="str"/>
      <c r="I1328" s="65" t="str"/>
      <c r="J1328" s="49" t="str"/>
      <c r="K1328" s="41" t="str"/>
      <c r="L1328" s="41" t="str"/>
      <c r="M1328" s="41" t="str"/>
      <c r="N1328" s="41" t="str"/>
      <c r="O1328" s="41" t="str"/>
      <c r="P1328" s="41" t="str"/>
      <c r="Q1328" s="41" t="str"/>
      <c r="R1328" s="41" t="str"/>
      <c r="S1328" s="41" t="str"/>
      <c r="T1328" s="41" t="str"/>
      <c r="U1328" s="41" t="str"/>
      <c r="V1328" s="41" t="str"/>
      <c r="W1328" s="41" t="str"/>
    </row>
    <row r="1329">
      <c r="B1329" s="2" t="n"/>
      <c r="C1329" s="40" t="n"/>
      <c r="D1329" s="52">
        <f t="array" ref="D1329:W1329">IF(All_Students_Scores!C1327:V1327="","",All_Students_Scores!C1327:V1327)</f>
        <v/>
      </c>
      <c r="E1329" s="57" t="str"/>
      <c r="F1329" s="49" t="str"/>
      <c r="G1329" s="59" t="str"/>
      <c r="H1329" s="64" t="str"/>
      <c r="I1329" s="65" t="str"/>
      <c r="J1329" s="49" t="str"/>
      <c r="K1329" s="41" t="str"/>
      <c r="L1329" s="41" t="str"/>
      <c r="M1329" s="41" t="str"/>
      <c r="N1329" s="41" t="str"/>
      <c r="O1329" s="41" t="str"/>
      <c r="P1329" s="41" t="str"/>
      <c r="Q1329" s="41" t="str"/>
      <c r="R1329" s="41" t="str"/>
      <c r="S1329" s="41" t="str"/>
      <c r="T1329" s="41" t="str"/>
      <c r="U1329" s="41" t="str"/>
      <c r="V1329" s="41" t="str"/>
      <c r="W1329" s="41" t="str"/>
    </row>
    <row r="1330">
      <c r="B1330" s="2" t="n"/>
      <c r="C1330" s="40" t="n"/>
      <c r="D1330" s="52">
        <f t="array" ref="D1330:W1330">IF(All_Students_Scores!C1328:V1328="","",All_Students_Scores!C1328:V1328)</f>
        <v/>
      </c>
      <c r="E1330" s="57" t="str"/>
      <c r="F1330" s="49" t="str"/>
      <c r="G1330" s="59" t="str"/>
      <c r="H1330" s="64" t="str"/>
      <c r="I1330" s="65" t="str"/>
      <c r="J1330" s="49" t="str"/>
      <c r="K1330" s="41" t="str"/>
      <c r="L1330" s="41" t="str"/>
      <c r="M1330" s="41" t="str"/>
      <c r="N1330" s="41" t="str"/>
      <c r="O1330" s="41" t="str"/>
      <c r="P1330" s="41" t="str"/>
      <c r="Q1330" s="41" t="str"/>
      <c r="R1330" s="41" t="str"/>
      <c r="S1330" s="41" t="str"/>
      <c r="T1330" s="41" t="str"/>
      <c r="U1330" s="41" t="str"/>
      <c r="V1330" s="41" t="str"/>
      <c r="W1330" s="41" t="str"/>
    </row>
    <row r="1331">
      <c r="B1331" s="2" t="n"/>
      <c r="C1331" s="40" t="n"/>
      <c r="D1331" s="52">
        <f t="array" ref="D1331:W1331">IF(All_Students_Scores!C1329:V1329="","",All_Students_Scores!C1329:V1329)</f>
        <v/>
      </c>
      <c r="E1331" s="57" t="str"/>
      <c r="F1331" s="49" t="str"/>
      <c r="G1331" s="59" t="str"/>
      <c r="H1331" s="64" t="str"/>
      <c r="I1331" s="65" t="str"/>
      <c r="J1331" s="49" t="str"/>
      <c r="K1331" s="41" t="str"/>
      <c r="L1331" s="41" t="str"/>
      <c r="M1331" s="41" t="str"/>
      <c r="N1331" s="41" t="str"/>
      <c r="O1331" s="41" t="str"/>
      <c r="P1331" s="41" t="str"/>
      <c r="Q1331" s="41" t="str"/>
      <c r="R1331" s="41" t="str"/>
      <c r="S1331" s="41" t="str"/>
      <c r="T1331" s="41" t="str"/>
      <c r="U1331" s="41" t="str"/>
      <c r="V1331" s="41" t="str"/>
      <c r="W1331" s="41" t="str"/>
    </row>
    <row r="1332">
      <c r="B1332" s="2" t="n"/>
      <c r="C1332" s="40" t="n"/>
      <c r="D1332" s="52">
        <f t="array" ref="D1332:W1332">IF(All_Students_Scores!C1330:V1330="","",All_Students_Scores!C1330:V1330)</f>
        <v/>
      </c>
      <c r="E1332" s="57" t="str"/>
      <c r="F1332" s="49" t="str"/>
      <c r="G1332" s="59" t="str"/>
      <c r="H1332" s="64" t="str"/>
      <c r="I1332" s="65" t="str"/>
      <c r="J1332" s="49" t="str"/>
      <c r="K1332" s="41" t="str"/>
      <c r="L1332" s="41" t="str"/>
      <c r="M1332" s="41" t="str"/>
      <c r="N1332" s="41" t="str"/>
      <c r="O1332" s="41" t="str"/>
      <c r="P1332" s="41" t="str"/>
      <c r="Q1332" s="41" t="str"/>
      <c r="R1332" s="41" t="str"/>
      <c r="S1332" s="41" t="str"/>
      <c r="T1332" s="41" t="str"/>
      <c r="U1332" s="41" t="str"/>
      <c r="V1332" s="41" t="str"/>
      <c r="W1332" s="41" t="str"/>
    </row>
    <row r="1333">
      <c r="B1333" s="2" t="n"/>
      <c r="C1333" s="40" t="n"/>
      <c r="D1333" s="52">
        <f t="array" ref="D1333:W1333">IF(All_Students_Scores!C1331:V1331="","",All_Students_Scores!C1331:V1331)</f>
        <v/>
      </c>
      <c r="E1333" s="57" t="str"/>
      <c r="F1333" s="49" t="str"/>
      <c r="G1333" s="59" t="str"/>
      <c r="H1333" s="64" t="str"/>
      <c r="I1333" s="65" t="str"/>
      <c r="J1333" s="49" t="str"/>
      <c r="K1333" s="41" t="str"/>
      <c r="L1333" s="41" t="str"/>
      <c r="M1333" s="41" t="str"/>
      <c r="N1333" s="41" t="str"/>
      <c r="O1333" s="41" t="str"/>
      <c r="P1333" s="41" t="str"/>
      <c r="Q1333" s="41" t="str"/>
      <c r="R1333" s="41" t="str"/>
      <c r="S1333" s="41" t="str"/>
      <c r="T1333" s="41" t="str"/>
      <c r="U1333" s="41" t="str"/>
      <c r="V1333" s="41" t="str"/>
      <c r="W1333" s="41" t="str"/>
    </row>
    <row r="1334">
      <c r="B1334" s="2" t="n"/>
      <c r="C1334" s="40" t="n"/>
      <c r="D1334" s="52">
        <f t="array" ref="D1334:W1334">IF(All_Students_Scores!C1332:V1332="","",All_Students_Scores!C1332:V1332)</f>
        <v/>
      </c>
      <c r="E1334" s="57" t="str"/>
      <c r="F1334" s="49" t="str"/>
      <c r="G1334" s="59" t="str"/>
      <c r="H1334" s="64" t="str"/>
      <c r="I1334" s="65" t="str"/>
      <c r="J1334" s="49" t="str"/>
      <c r="K1334" s="41" t="str"/>
      <c r="L1334" s="41" t="str"/>
      <c r="M1334" s="41" t="str"/>
      <c r="N1334" s="41" t="str"/>
      <c r="O1334" s="41" t="str"/>
      <c r="P1334" s="41" t="str"/>
      <c r="Q1334" s="41" t="str"/>
      <c r="R1334" s="41" t="str"/>
      <c r="S1334" s="41" t="str"/>
      <c r="T1334" s="41" t="str"/>
      <c r="U1334" s="41" t="str"/>
      <c r="V1334" s="41" t="str"/>
      <c r="W1334" s="41" t="str"/>
    </row>
    <row r="1335">
      <c r="B1335" s="2" t="n"/>
      <c r="C1335" s="40" t="n"/>
      <c r="D1335" s="52">
        <f t="array" ref="D1335:W1335">IF(All_Students_Scores!C1333:V1333="","",All_Students_Scores!C1333:V1333)</f>
        <v/>
      </c>
      <c r="E1335" s="57" t="str"/>
      <c r="F1335" s="49" t="str"/>
      <c r="G1335" s="59" t="str"/>
      <c r="H1335" s="64" t="str"/>
      <c r="I1335" s="65" t="str"/>
      <c r="J1335" s="49" t="str"/>
      <c r="K1335" s="41" t="str"/>
      <c r="L1335" s="41" t="str"/>
      <c r="M1335" s="41" t="str"/>
      <c r="N1335" s="41" t="str"/>
      <c r="O1335" s="41" t="str"/>
      <c r="P1335" s="41" t="str"/>
      <c r="Q1335" s="41" t="str"/>
      <c r="R1335" s="41" t="str"/>
      <c r="S1335" s="41" t="str"/>
      <c r="T1335" s="41" t="str"/>
      <c r="U1335" s="41" t="str"/>
      <c r="V1335" s="41" t="str"/>
      <c r="W1335" s="41" t="str"/>
    </row>
    <row r="1336">
      <c r="B1336" s="2" t="n"/>
      <c r="C1336" s="40" t="n"/>
      <c r="D1336" s="52">
        <f t="array" ref="D1336:W1336">IF(All_Students_Scores!C1334:V1334="","",All_Students_Scores!C1334:V1334)</f>
        <v/>
      </c>
      <c r="E1336" s="57" t="str"/>
      <c r="F1336" s="49" t="str"/>
      <c r="G1336" s="59" t="str"/>
      <c r="H1336" s="64" t="str"/>
      <c r="I1336" s="65" t="str"/>
      <c r="J1336" s="49" t="str"/>
      <c r="K1336" s="41" t="str"/>
      <c r="L1336" s="41" t="str"/>
      <c r="M1336" s="41" t="str"/>
      <c r="N1336" s="41" t="str"/>
      <c r="O1336" s="41" t="str"/>
      <c r="P1336" s="41" t="str"/>
      <c r="Q1336" s="41" t="str"/>
      <c r="R1336" s="41" t="str"/>
      <c r="S1336" s="41" t="str"/>
      <c r="T1336" s="41" t="str"/>
      <c r="U1336" s="41" t="str"/>
      <c r="V1336" s="41" t="str"/>
      <c r="W1336" s="41" t="str"/>
    </row>
    <row r="1337">
      <c r="B1337" s="2" t="n"/>
      <c r="C1337" s="40" t="n"/>
      <c r="D1337" s="52">
        <f t="array" ref="D1337:W1337">IF(All_Students_Scores!C1335:V1335="","",All_Students_Scores!C1335:V1335)</f>
        <v/>
      </c>
      <c r="E1337" s="57" t="str"/>
      <c r="F1337" s="49" t="str"/>
      <c r="G1337" s="59" t="str"/>
      <c r="H1337" s="64" t="str"/>
      <c r="I1337" s="65" t="str"/>
      <c r="J1337" s="49" t="str"/>
      <c r="K1337" s="41" t="str"/>
      <c r="L1337" s="41" t="str"/>
      <c r="M1337" s="41" t="str"/>
      <c r="N1337" s="41" t="str"/>
      <c r="O1337" s="41" t="str"/>
      <c r="P1337" s="41" t="str"/>
      <c r="Q1337" s="41" t="str"/>
      <c r="R1337" s="41" t="str"/>
      <c r="S1337" s="41" t="str"/>
      <c r="T1337" s="41" t="str"/>
      <c r="U1337" s="41" t="str"/>
      <c r="V1337" s="41" t="str"/>
      <c r="W1337" s="41" t="str"/>
    </row>
    <row r="1338">
      <c r="B1338" s="2" t="n"/>
      <c r="C1338" s="40" t="n"/>
      <c r="D1338" s="52">
        <f t="array" ref="D1338:W1338">IF(All_Students_Scores!C1336:V1336="","",All_Students_Scores!C1336:V1336)</f>
        <v/>
      </c>
      <c r="E1338" s="57" t="str"/>
      <c r="F1338" s="49" t="str"/>
      <c r="G1338" s="59" t="str"/>
      <c r="H1338" s="64" t="str"/>
      <c r="I1338" s="65" t="str"/>
      <c r="J1338" s="49" t="str"/>
      <c r="K1338" s="41" t="str"/>
      <c r="L1338" s="41" t="str"/>
      <c r="M1338" s="41" t="str"/>
      <c r="N1338" s="41" t="str"/>
      <c r="O1338" s="41" t="str"/>
      <c r="P1338" s="41" t="str"/>
      <c r="Q1338" s="41" t="str"/>
      <c r="R1338" s="41" t="str"/>
      <c r="S1338" s="41" t="str"/>
      <c r="T1338" s="41" t="str"/>
      <c r="U1338" s="41" t="str"/>
      <c r="V1338" s="41" t="str"/>
      <c r="W1338" s="41" t="str"/>
    </row>
    <row r="1339">
      <c r="B1339" s="2" t="n"/>
      <c r="C1339" s="40" t="n"/>
      <c r="D1339" s="52">
        <f t="array" ref="D1339:W1339">IF(All_Students_Scores!C1337:V1337="","",All_Students_Scores!C1337:V1337)</f>
        <v/>
      </c>
      <c r="E1339" s="57" t="str"/>
      <c r="F1339" s="49" t="str"/>
      <c r="G1339" s="59" t="str"/>
      <c r="H1339" s="64" t="str"/>
      <c r="I1339" s="65" t="str"/>
      <c r="J1339" s="49" t="str"/>
      <c r="K1339" s="41" t="str"/>
      <c r="L1339" s="41" t="str"/>
      <c r="M1339" s="41" t="str"/>
      <c r="N1339" s="41" t="str"/>
      <c r="O1339" s="41" t="str"/>
      <c r="P1339" s="41" t="str"/>
      <c r="Q1339" s="41" t="str"/>
      <c r="R1339" s="41" t="str"/>
      <c r="S1339" s="41" t="str"/>
      <c r="T1339" s="41" t="str"/>
      <c r="U1339" s="41" t="str"/>
      <c r="V1339" s="41" t="str"/>
      <c r="W1339" s="41" t="str"/>
    </row>
    <row r="1340">
      <c r="B1340" s="2" t="n"/>
      <c r="C1340" s="40" t="n"/>
      <c r="D1340" s="52">
        <f t="array" ref="D1340:W1340">IF(All_Students_Scores!C1338:V1338="","",All_Students_Scores!C1338:V1338)</f>
        <v/>
      </c>
      <c r="E1340" s="57" t="str"/>
      <c r="F1340" s="49" t="str"/>
      <c r="G1340" s="59" t="str"/>
      <c r="H1340" s="64" t="str"/>
      <c r="I1340" s="65" t="str"/>
      <c r="J1340" s="49" t="str"/>
      <c r="K1340" s="41" t="str"/>
      <c r="L1340" s="41" t="str"/>
      <c r="M1340" s="41" t="str"/>
      <c r="N1340" s="41" t="str"/>
      <c r="O1340" s="41" t="str"/>
      <c r="P1340" s="41" t="str"/>
      <c r="Q1340" s="41" t="str"/>
      <c r="R1340" s="41" t="str"/>
      <c r="S1340" s="41" t="str"/>
      <c r="T1340" s="41" t="str"/>
      <c r="U1340" s="41" t="str"/>
      <c r="V1340" s="41" t="str"/>
      <c r="W1340" s="41" t="str"/>
    </row>
    <row r="1341">
      <c r="B1341" s="2" t="n"/>
      <c r="C1341" s="40" t="n"/>
      <c r="D1341" s="52">
        <f t="array" ref="D1341:W1341">IF(All_Students_Scores!C1339:V1339="","",All_Students_Scores!C1339:V1339)</f>
        <v/>
      </c>
      <c r="E1341" s="57" t="str"/>
      <c r="F1341" s="49" t="str"/>
      <c r="G1341" s="59" t="str"/>
      <c r="H1341" s="64" t="str"/>
      <c r="I1341" s="65" t="str"/>
      <c r="J1341" s="49" t="str"/>
      <c r="K1341" s="41" t="str"/>
      <c r="L1341" s="41" t="str"/>
      <c r="M1341" s="41" t="str"/>
      <c r="N1341" s="41" t="str"/>
      <c r="O1341" s="41" t="str"/>
      <c r="P1341" s="41" t="str"/>
      <c r="Q1341" s="41" t="str"/>
      <c r="R1341" s="41" t="str"/>
      <c r="S1341" s="41" t="str"/>
      <c r="T1341" s="41" t="str"/>
      <c r="U1341" s="41" t="str"/>
      <c r="V1341" s="41" t="str"/>
      <c r="W1341" s="41" t="str"/>
    </row>
    <row r="1342">
      <c r="B1342" s="2" t="n"/>
      <c r="C1342" s="40" t="n"/>
      <c r="D1342" s="52">
        <f t="array" ref="D1342:W1342">IF(All_Students_Scores!C1340:V1340="","",All_Students_Scores!C1340:V1340)</f>
        <v/>
      </c>
      <c r="E1342" s="57" t="str"/>
      <c r="F1342" s="49" t="str"/>
      <c r="G1342" s="59" t="str"/>
      <c r="H1342" s="64" t="str"/>
      <c r="I1342" s="65" t="str"/>
      <c r="J1342" s="49" t="str"/>
      <c r="K1342" s="41" t="str"/>
      <c r="L1342" s="41" t="str"/>
      <c r="M1342" s="41" t="str"/>
      <c r="N1342" s="41" t="str"/>
      <c r="O1342" s="41" t="str"/>
      <c r="P1342" s="41" t="str"/>
      <c r="Q1342" s="41" t="str"/>
      <c r="R1342" s="41" t="str"/>
      <c r="S1342" s="41" t="str"/>
      <c r="T1342" s="41" t="str"/>
      <c r="U1342" s="41" t="str"/>
      <c r="V1342" s="41" t="str"/>
      <c r="W1342" s="41" t="str"/>
    </row>
    <row r="1343">
      <c r="B1343" s="2" t="n"/>
      <c r="C1343" s="40" t="n"/>
      <c r="D1343" s="52">
        <f t="array" ref="D1343:W1343">IF(All_Students_Scores!C1341:V1341="","",All_Students_Scores!C1341:V1341)</f>
        <v/>
      </c>
      <c r="E1343" s="57" t="str"/>
      <c r="F1343" s="49" t="str"/>
      <c r="G1343" s="59" t="str"/>
      <c r="H1343" s="64" t="str"/>
      <c r="I1343" s="65" t="str"/>
      <c r="J1343" s="49" t="str"/>
      <c r="K1343" s="41" t="str"/>
      <c r="L1343" s="41" t="str"/>
      <c r="M1343" s="41" t="str"/>
      <c r="N1343" s="41" t="str"/>
      <c r="O1343" s="41" t="str"/>
      <c r="P1343" s="41" t="str"/>
      <c r="Q1343" s="41" t="str"/>
      <c r="R1343" s="41" t="str"/>
      <c r="S1343" s="41" t="str"/>
      <c r="T1343" s="41" t="str"/>
      <c r="U1343" s="41" t="str"/>
      <c r="V1343" s="41" t="str"/>
      <c r="W1343" s="41" t="str"/>
    </row>
    <row r="1344">
      <c r="B1344" s="2" t="n"/>
      <c r="C1344" s="40" t="n"/>
      <c r="D1344" s="52">
        <f t="array" ref="D1344:W1344">IF(All_Students_Scores!C1342:V1342="","",All_Students_Scores!C1342:V1342)</f>
        <v/>
      </c>
      <c r="E1344" s="57" t="str"/>
      <c r="F1344" s="49" t="str"/>
      <c r="G1344" s="59" t="str"/>
      <c r="H1344" s="64" t="str"/>
      <c r="I1344" s="65" t="str"/>
      <c r="J1344" s="49" t="str"/>
      <c r="K1344" s="41" t="str"/>
      <c r="L1344" s="41" t="str"/>
      <c r="M1344" s="41" t="str"/>
      <c r="N1344" s="41" t="str"/>
      <c r="O1344" s="41" t="str"/>
      <c r="P1344" s="41" t="str"/>
      <c r="Q1344" s="41" t="str"/>
      <c r="R1344" s="41" t="str"/>
      <c r="S1344" s="41" t="str"/>
      <c r="T1344" s="41" t="str"/>
      <c r="U1344" s="41" t="str"/>
      <c r="V1344" s="41" t="str"/>
      <c r="W1344" s="41" t="str"/>
    </row>
    <row r="1345">
      <c r="B1345" s="2" t="n"/>
      <c r="C1345" s="40" t="n"/>
      <c r="D1345" s="52">
        <f t="array" ref="D1345:W1345">IF(All_Students_Scores!C1343:V1343="","",All_Students_Scores!C1343:V1343)</f>
        <v/>
      </c>
      <c r="E1345" s="57" t="str"/>
      <c r="F1345" s="49" t="str"/>
      <c r="G1345" s="59" t="str"/>
      <c r="H1345" s="64" t="str"/>
      <c r="I1345" s="65" t="str"/>
      <c r="J1345" s="49" t="str"/>
      <c r="K1345" s="41" t="str"/>
      <c r="L1345" s="41" t="str"/>
      <c r="M1345" s="41" t="str"/>
      <c r="N1345" s="41" t="str"/>
      <c r="O1345" s="41" t="str"/>
      <c r="P1345" s="41" t="str"/>
      <c r="Q1345" s="41" t="str"/>
      <c r="R1345" s="41" t="str"/>
      <c r="S1345" s="41" t="str"/>
      <c r="T1345" s="41" t="str"/>
      <c r="U1345" s="41" t="str"/>
      <c r="V1345" s="41" t="str"/>
      <c r="W1345" s="41" t="str"/>
    </row>
    <row r="1346">
      <c r="B1346" s="2" t="n"/>
      <c r="C1346" s="40" t="n"/>
      <c r="D1346" s="52">
        <f t="array" ref="D1346:W1346">IF(All_Students_Scores!C1344:V1344="","",All_Students_Scores!C1344:V1344)</f>
        <v/>
      </c>
      <c r="E1346" s="57" t="str"/>
      <c r="F1346" s="49" t="str"/>
      <c r="G1346" s="59" t="str"/>
      <c r="H1346" s="64" t="str"/>
      <c r="I1346" s="65" t="str"/>
      <c r="J1346" s="49" t="str"/>
      <c r="K1346" s="41" t="str"/>
      <c r="L1346" s="41" t="str"/>
      <c r="M1346" s="41" t="str"/>
      <c r="N1346" s="41" t="str"/>
      <c r="O1346" s="41" t="str"/>
      <c r="P1346" s="41" t="str"/>
      <c r="Q1346" s="41" t="str"/>
      <c r="R1346" s="41" t="str"/>
      <c r="S1346" s="41" t="str"/>
      <c r="T1346" s="41" t="str"/>
      <c r="U1346" s="41" t="str"/>
      <c r="V1346" s="41" t="str"/>
      <c r="W1346" s="41" t="str"/>
    </row>
    <row r="1347">
      <c r="B1347" s="2" t="n"/>
      <c r="C1347" s="40" t="n"/>
      <c r="D1347" s="52">
        <f t="array" ref="D1347:W1347">IF(All_Students_Scores!C1345:V1345="","",All_Students_Scores!C1345:V1345)</f>
        <v/>
      </c>
      <c r="E1347" s="57" t="str"/>
      <c r="F1347" s="49" t="str"/>
      <c r="G1347" s="59" t="str"/>
      <c r="H1347" s="64" t="str"/>
      <c r="I1347" s="65" t="str"/>
      <c r="J1347" s="49" t="str"/>
      <c r="K1347" s="41" t="str"/>
      <c r="L1347" s="41" t="str"/>
      <c r="M1347" s="41" t="str"/>
      <c r="N1347" s="41" t="str"/>
      <c r="O1347" s="41" t="str"/>
      <c r="P1347" s="41" t="str"/>
      <c r="Q1347" s="41" t="str"/>
      <c r="R1347" s="41" t="str"/>
      <c r="S1347" s="41" t="str"/>
      <c r="T1347" s="41" t="str"/>
      <c r="U1347" s="41" t="str"/>
      <c r="V1347" s="41" t="str"/>
      <c r="W1347" s="41" t="str"/>
    </row>
    <row r="1348">
      <c r="B1348" s="2" t="n"/>
      <c r="C1348" s="40" t="n"/>
      <c r="D1348" s="52">
        <f t="array" ref="D1348:W1348">IF(All_Students_Scores!C1346:V1346="","",All_Students_Scores!C1346:V1346)</f>
        <v/>
      </c>
      <c r="E1348" s="57" t="str"/>
      <c r="F1348" s="49" t="str"/>
      <c r="G1348" s="59" t="str"/>
      <c r="H1348" s="64" t="str"/>
      <c r="I1348" s="65" t="str"/>
      <c r="J1348" s="49" t="str"/>
      <c r="K1348" s="41" t="str"/>
      <c r="L1348" s="41" t="str"/>
      <c r="M1348" s="41" t="str"/>
      <c r="N1348" s="41" t="str"/>
      <c r="O1348" s="41" t="str"/>
      <c r="P1348" s="41" t="str"/>
      <c r="Q1348" s="41" t="str"/>
      <c r="R1348" s="41" t="str"/>
      <c r="S1348" s="41" t="str"/>
      <c r="T1348" s="41" t="str"/>
      <c r="U1348" s="41" t="str"/>
      <c r="V1348" s="41" t="str"/>
      <c r="W1348" s="41" t="str"/>
    </row>
    <row r="1349">
      <c r="B1349" s="2" t="n"/>
      <c r="C1349" s="40" t="n"/>
      <c r="D1349" s="52">
        <f t="array" ref="D1349:W1349">IF(All_Students_Scores!C1347:V1347="","",All_Students_Scores!C1347:V1347)</f>
        <v/>
      </c>
      <c r="E1349" s="57" t="str"/>
      <c r="F1349" s="49" t="str"/>
      <c r="G1349" s="59" t="str"/>
      <c r="H1349" s="64" t="str"/>
      <c r="I1349" s="65" t="str"/>
      <c r="J1349" s="49" t="str"/>
      <c r="K1349" s="41" t="str"/>
      <c r="L1349" s="41" t="str"/>
      <c r="M1349" s="41" t="str"/>
      <c r="N1349" s="41" t="str"/>
      <c r="O1349" s="41" t="str"/>
      <c r="P1349" s="41" t="str"/>
      <c r="Q1349" s="41" t="str"/>
      <c r="R1349" s="41" t="str"/>
      <c r="S1349" s="41" t="str"/>
      <c r="T1349" s="41" t="str"/>
      <c r="U1349" s="41" t="str"/>
      <c r="V1349" s="41" t="str"/>
      <c r="W1349" s="41" t="str"/>
    </row>
    <row r="1350">
      <c r="B1350" s="2" t="n"/>
      <c r="C1350" s="40" t="n"/>
      <c r="D1350" s="52">
        <f t="array" ref="D1350:W1350">IF(All_Students_Scores!C1348:V1348="","",All_Students_Scores!C1348:V1348)</f>
        <v/>
      </c>
      <c r="E1350" s="57" t="str"/>
      <c r="F1350" s="49" t="str"/>
      <c r="G1350" s="59" t="str"/>
      <c r="H1350" s="64" t="str"/>
      <c r="I1350" s="65" t="str"/>
      <c r="J1350" s="49" t="str"/>
      <c r="K1350" s="41" t="str"/>
      <c r="L1350" s="41" t="str"/>
      <c r="M1350" s="41" t="str"/>
      <c r="N1350" s="41" t="str"/>
      <c r="O1350" s="41" t="str"/>
      <c r="P1350" s="41" t="str"/>
      <c r="Q1350" s="41" t="str"/>
      <c r="R1350" s="41" t="str"/>
      <c r="S1350" s="41" t="str"/>
      <c r="T1350" s="41" t="str"/>
      <c r="U1350" s="41" t="str"/>
      <c r="V1350" s="41" t="str"/>
      <c r="W1350" s="41" t="str"/>
    </row>
    <row r="1351">
      <c r="B1351" s="2" t="n"/>
      <c r="C1351" s="40" t="n"/>
      <c r="D1351" s="52">
        <f t="array" ref="D1351:W1351">IF(All_Students_Scores!C1349:V1349="","",All_Students_Scores!C1349:V1349)</f>
        <v/>
      </c>
      <c r="E1351" s="57" t="str"/>
      <c r="F1351" s="49" t="str"/>
      <c r="G1351" s="59" t="str"/>
      <c r="H1351" s="64" t="str"/>
      <c r="I1351" s="65" t="str"/>
      <c r="J1351" s="49" t="str"/>
      <c r="K1351" s="41" t="str"/>
      <c r="L1351" s="41" t="str"/>
      <c r="M1351" s="41" t="str"/>
      <c r="N1351" s="41" t="str"/>
      <c r="O1351" s="41" t="str"/>
      <c r="P1351" s="41" t="str"/>
      <c r="Q1351" s="41" t="str"/>
      <c r="R1351" s="41" t="str"/>
      <c r="S1351" s="41" t="str"/>
      <c r="T1351" s="41" t="str"/>
      <c r="U1351" s="41" t="str"/>
      <c r="V1351" s="41" t="str"/>
      <c r="W1351" s="41" t="str"/>
    </row>
    <row r="1352">
      <c r="B1352" s="2" t="n"/>
      <c r="C1352" s="40" t="n"/>
      <c r="D1352" s="52">
        <f t="array" ref="D1352:W1352">IF(All_Students_Scores!C1350:V1350="","",All_Students_Scores!C1350:V1350)</f>
        <v/>
      </c>
      <c r="E1352" s="57" t="str"/>
      <c r="F1352" s="49" t="str"/>
      <c r="G1352" s="59" t="str"/>
      <c r="H1352" s="64" t="str"/>
      <c r="I1352" s="65" t="str"/>
      <c r="J1352" s="49" t="str"/>
      <c r="K1352" s="41" t="str"/>
      <c r="L1352" s="41" t="str"/>
      <c r="M1352" s="41" t="str"/>
      <c r="N1352" s="41" t="str"/>
      <c r="O1352" s="41" t="str"/>
      <c r="P1352" s="41" t="str"/>
      <c r="Q1352" s="41" t="str"/>
      <c r="R1352" s="41" t="str"/>
      <c r="S1352" s="41" t="str"/>
      <c r="T1352" s="41" t="str"/>
      <c r="U1352" s="41" t="str"/>
      <c r="V1352" s="41" t="str"/>
      <c r="W1352" s="41" t="str"/>
    </row>
    <row r="1353">
      <c r="B1353" s="2" t="n"/>
      <c r="C1353" s="40" t="n"/>
      <c r="D1353" s="52">
        <f t="array" ref="D1353:W1353">IF(All_Students_Scores!C1351:V1351="","",All_Students_Scores!C1351:V1351)</f>
        <v/>
      </c>
      <c r="E1353" s="57" t="str"/>
      <c r="F1353" s="49" t="str"/>
      <c r="G1353" s="59" t="str"/>
      <c r="H1353" s="64" t="str"/>
      <c r="I1353" s="65" t="str"/>
      <c r="J1353" s="49" t="str"/>
      <c r="K1353" s="41" t="str"/>
      <c r="L1353" s="41" t="str"/>
      <c r="M1353" s="41" t="str"/>
      <c r="N1353" s="41" t="str"/>
      <c r="O1353" s="41" t="str"/>
      <c r="P1353" s="41" t="str"/>
      <c r="Q1353" s="41" t="str"/>
      <c r="R1353" s="41" t="str"/>
      <c r="S1353" s="41" t="str"/>
      <c r="T1353" s="41" t="str"/>
      <c r="U1353" s="41" t="str"/>
      <c r="V1353" s="41" t="str"/>
      <c r="W1353" s="41" t="str"/>
    </row>
    <row r="1354">
      <c r="B1354" s="2" t="n"/>
      <c r="C1354" s="40" t="n"/>
      <c r="D1354" s="52">
        <f t="array" ref="D1354:W1354">IF(All_Students_Scores!C1352:V1352="","",All_Students_Scores!C1352:V1352)</f>
        <v/>
      </c>
      <c r="E1354" s="57" t="str"/>
      <c r="F1354" s="49" t="str"/>
      <c r="G1354" s="59" t="str"/>
      <c r="H1354" s="64" t="str"/>
      <c r="I1354" s="65" t="str"/>
      <c r="J1354" s="49" t="str"/>
      <c r="K1354" s="41" t="str"/>
      <c r="L1354" s="41" t="str"/>
      <c r="M1354" s="41" t="str"/>
      <c r="N1354" s="41" t="str"/>
      <c r="O1354" s="41" t="str"/>
      <c r="P1354" s="41" t="str"/>
      <c r="Q1354" s="41" t="str"/>
      <c r="R1354" s="41" t="str"/>
      <c r="S1354" s="41" t="str"/>
      <c r="T1354" s="41" t="str"/>
      <c r="U1354" s="41" t="str"/>
      <c r="V1354" s="41" t="str"/>
      <c r="W1354" s="41" t="str"/>
    </row>
    <row r="1355">
      <c r="B1355" s="2" t="n"/>
      <c r="C1355" s="40" t="n"/>
      <c r="D1355" s="52">
        <f t="array" ref="D1355:W1355">IF(All_Students_Scores!C1353:V1353="","",All_Students_Scores!C1353:V1353)</f>
        <v/>
      </c>
      <c r="E1355" s="57" t="str"/>
      <c r="F1355" s="49" t="str"/>
      <c r="G1355" s="59" t="str"/>
      <c r="H1355" s="64" t="str"/>
      <c r="I1355" s="65" t="str"/>
      <c r="J1355" s="49" t="str"/>
      <c r="K1355" s="41" t="str"/>
      <c r="L1355" s="41" t="str"/>
      <c r="M1355" s="41" t="str"/>
      <c r="N1355" s="41" t="str"/>
      <c r="O1355" s="41" t="str"/>
      <c r="P1355" s="41" t="str"/>
      <c r="Q1355" s="41" t="str"/>
      <c r="R1355" s="41" t="str"/>
      <c r="S1355" s="41" t="str"/>
      <c r="T1355" s="41" t="str"/>
      <c r="U1355" s="41" t="str"/>
      <c r="V1355" s="41" t="str"/>
      <c r="W1355" s="41" t="str"/>
    </row>
    <row r="1356">
      <c r="B1356" s="2" t="n"/>
      <c r="C1356" s="40" t="n"/>
      <c r="D1356" s="52">
        <f t="array" ref="D1356:W1356">IF(All_Students_Scores!C1354:V1354="","",All_Students_Scores!C1354:V1354)</f>
        <v/>
      </c>
      <c r="E1356" s="57" t="str"/>
      <c r="F1356" s="49" t="str"/>
      <c r="G1356" s="59" t="str"/>
      <c r="H1356" s="64" t="str"/>
      <c r="I1356" s="65" t="str"/>
      <c r="J1356" s="49" t="str"/>
      <c r="K1356" s="41" t="str"/>
      <c r="L1356" s="41" t="str"/>
      <c r="M1356" s="41" t="str"/>
      <c r="N1356" s="41" t="str"/>
      <c r="O1356" s="41" t="str"/>
      <c r="P1356" s="41" t="str"/>
      <c r="Q1356" s="41" t="str"/>
      <c r="R1356" s="41" t="str"/>
      <c r="S1356" s="41" t="str"/>
      <c r="T1356" s="41" t="str"/>
      <c r="U1356" s="41" t="str"/>
      <c r="V1356" s="41" t="str"/>
      <c r="W1356" s="41" t="str"/>
    </row>
    <row r="1357">
      <c r="B1357" s="2" t="n"/>
      <c r="C1357" s="40" t="n"/>
      <c r="D1357" s="52">
        <f t="array" ref="D1357:W1357">IF(All_Students_Scores!C1355:V1355="","",All_Students_Scores!C1355:V1355)</f>
        <v/>
      </c>
      <c r="E1357" s="57" t="str"/>
      <c r="F1357" s="49" t="str"/>
      <c r="G1357" s="59" t="str"/>
      <c r="H1357" s="64" t="str"/>
      <c r="I1357" s="65" t="str"/>
      <c r="J1357" s="49" t="str"/>
      <c r="K1357" s="41" t="str"/>
      <c r="L1357" s="41" t="str"/>
      <c r="M1357" s="41" t="str"/>
      <c r="N1357" s="41" t="str"/>
      <c r="O1357" s="41" t="str"/>
      <c r="P1357" s="41" t="str"/>
      <c r="Q1357" s="41" t="str"/>
      <c r="R1357" s="41" t="str"/>
      <c r="S1357" s="41" t="str"/>
      <c r="T1357" s="41" t="str"/>
      <c r="U1357" s="41" t="str"/>
      <c r="V1357" s="41" t="str"/>
      <c r="W1357" s="41" t="str"/>
    </row>
    <row r="1358">
      <c r="B1358" s="2" t="n"/>
      <c r="C1358" s="40" t="n"/>
      <c r="D1358" s="52">
        <f t="array" ref="D1358:W1358">IF(All_Students_Scores!C1356:V1356="","",All_Students_Scores!C1356:V1356)</f>
        <v/>
      </c>
      <c r="E1358" s="57" t="str"/>
      <c r="F1358" s="49" t="str"/>
      <c r="G1358" s="59" t="str"/>
      <c r="H1358" s="64" t="str"/>
      <c r="I1358" s="65" t="str"/>
      <c r="J1358" s="49" t="str"/>
      <c r="K1358" s="41" t="str"/>
      <c r="L1358" s="41" t="str"/>
      <c r="M1358" s="41" t="str"/>
      <c r="N1358" s="41" t="str"/>
      <c r="O1358" s="41" t="str"/>
      <c r="P1358" s="41" t="str"/>
      <c r="Q1358" s="41" t="str"/>
      <c r="R1358" s="41" t="str"/>
      <c r="S1358" s="41" t="str"/>
      <c r="T1358" s="41" t="str"/>
      <c r="U1358" s="41" t="str"/>
      <c r="V1358" s="41" t="str"/>
      <c r="W1358" s="41" t="str"/>
    </row>
    <row r="1359">
      <c r="B1359" s="2" t="n"/>
      <c r="C1359" s="40" t="n"/>
      <c r="D1359" s="52">
        <f t="array" ref="D1359:W1359">IF(All_Students_Scores!C1357:V1357="","",All_Students_Scores!C1357:V1357)</f>
        <v/>
      </c>
      <c r="E1359" s="57" t="str"/>
      <c r="F1359" s="49" t="str"/>
      <c r="G1359" s="59" t="str"/>
      <c r="H1359" s="64" t="str"/>
      <c r="I1359" s="65" t="str"/>
      <c r="J1359" s="49" t="str"/>
      <c r="K1359" s="41" t="str"/>
      <c r="L1359" s="41" t="str"/>
      <c r="M1359" s="41" t="str"/>
      <c r="N1359" s="41" t="str"/>
      <c r="O1359" s="41" t="str"/>
      <c r="P1359" s="41" t="str"/>
      <c r="Q1359" s="41" t="str"/>
      <c r="R1359" s="41" t="str"/>
      <c r="S1359" s="41" t="str"/>
      <c r="T1359" s="41" t="str"/>
      <c r="U1359" s="41" t="str"/>
      <c r="V1359" s="41" t="str"/>
      <c r="W1359" s="41" t="str"/>
    </row>
    <row r="1360">
      <c r="B1360" s="2" t="n"/>
      <c r="C1360" s="40" t="n"/>
      <c r="D1360" s="52">
        <f t="array" ref="D1360:W1360">IF(All_Students_Scores!C1358:V1358="","",All_Students_Scores!C1358:V1358)</f>
        <v/>
      </c>
      <c r="E1360" s="57" t="str"/>
      <c r="F1360" s="49" t="str"/>
      <c r="G1360" s="59" t="str"/>
      <c r="H1360" s="64" t="str"/>
      <c r="I1360" s="65" t="str"/>
      <c r="J1360" s="49" t="str"/>
      <c r="K1360" s="41" t="str"/>
      <c r="L1360" s="41" t="str"/>
      <c r="M1360" s="41" t="str"/>
      <c r="N1360" s="41" t="str"/>
      <c r="O1360" s="41" t="str"/>
      <c r="P1360" s="41" t="str"/>
      <c r="Q1360" s="41" t="str"/>
      <c r="R1360" s="41" t="str"/>
      <c r="S1360" s="41" t="str"/>
      <c r="T1360" s="41" t="str"/>
      <c r="U1360" s="41" t="str"/>
      <c r="V1360" s="41" t="str"/>
      <c r="W1360" s="41" t="str"/>
    </row>
    <row r="1361">
      <c r="B1361" s="2" t="n"/>
      <c r="C1361" s="40" t="n"/>
      <c r="D1361" s="52">
        <f t="array" ref="D1361:W1361">IF(All_Students_Scores!C1359:V1359="","",All_Students_Scores!C1359:V1359)</f>
        <v/>
      </c>
      <c r="E1361" s="57" t="str"/>
      <c r="F1361" s="49" t="str"/>
      <c r="G1361" s="59" t="str"/>
      <c r="H1361" s="64" t="str"/>
      <c r="I1361" s="65" t="str"/>
      <c r="J1361" s="49" t="str"/>
      <c r="K1361" s="41" t="str"/>
      <c r="L1361" s="41" t="str"/>
      <c r="M1361" s="41" t="str"/>
      <c r="N1361" s="41" t="str"/>
      <c r="O1361" s="41" t="str"/>
      <c r="P1361" s="41" t="str"/>
      <c r="Q1361" s="41" t="str"/>
      <c r="R1361" s="41" t="str"/>
      <c r="S1361" s="41" t="str"/>
      <c r="T1361" s="41" t="str"/>
      <c r="U1361" s="41" t="str"/>
      <c r="V1361" s="41" t="str"/>
      <c r="W1361" s="41" t="str"/>
    </row>
    <row r="1362">
      <c r="B1362" s="2" t="n"/>
      <c r="C1362" s="40" t="n"/>
      <c r="D1362" s="52">
        <f t="array" ref="D1362:W1362">IF(All_Students_Scores!C1360:V1360="","",All_Students_Scores!C1360:V1360)</f>
        <v/>
      </c>
      <c r="E1362" s="57" t="str"/>
      <c r="F1362" s="49" t="str"/>
      <c r="G1362" s="59" t="str"/>
      <c r="H1362" s="64" t="str"/>
      <c r="I1362" s="65" t="str"/>
      <c r="J1362" s="49" t="str"/>
      <c r="K1362" s="41" t="str"/>
      <c r="L1362" s="41" t="str"/>
      <c r="M1362" s="41" t="str"/>
      <c r="N1362" s="41" t="str"/>
      <c r="O1362" s="41" t="str"/>
      <c r="P1362" s="41" t="str"/>
      <c r="Q1362" s="41" t="str"/>
      <c r="R1362" s="41" t="str"/>
      <c r="S1362" s="41" t="str"/>
      <c r="T1362" s="41" t="str"/>
      <c r="U1362" s="41" t="str"/>
      <c r="V1362" s="41" t="str"/>
      <c r="W1362" s="41" t="str"/>
    </row>
    <row r="1363">
      <c r="B1363" s="2" t="n"/>
      <c r="C1363" s="40" t="n"/>
      <c r="D1363" s="52">
        <f t="array" ref="D1363:W1363">IF(All_Students_Scores!C1361:V1361="","",All_Students_Scores!C1361:V1361)</f>
        <v/>
      </c>
      <c r="E1363" s="57" t="str"/>
      <c r="F1363" s="49" t="str"/>
      <c r="G1363" s="59" t="str"/>
      <c r="H1363" s="64" t="str"/>
      <c r="I1363" s="65" t="str"/>
      <c r="J1363" s="49" t="str"/>
      <c r="K1363" s="41" t="str"/>
      <c r="L1363" s="41" t="str"/>
      <c r="M1363" s="41" t="str"/>
      <c r="N1363" s="41" t="str"/>
      <c r="O1363" s="41" t="str"/>
      <c r="P1363" s="41" t="str"/>
      <c r="Q1363" s="41" t="str"/>
      <c r="R1363" s="41" t="str"/>
      <c r="S1363" s="41" t="str"/>
      <c r="T1363" s="41" t="str"/>
      <c r="U1363" s="41" t="str"/>
      <c r="V1363" s="41" t="str"/>
      <c r="W1363" s="41" t="str"/>
    </row>
    <row r="1364">
      <c r="B1364" s="2" t="n"/>
      <c r="C1364" s="40" t="n"/>
      <c r="D1364" s="52">
        <f t="array" ref="D1364:W1364">IF(All_Students_Scores!C1362:V1362="","",All_Students_Scores!C1362:V1362)</f>
        <v/>
      </c>
      <c r="E1364" s="57" t="str"/>
      <c r="F1364" s="49" t="str"/>
      <c r="G1364" s="59" t="str"/>
      <c r="H1364" s="64" t="str"/>
      <c r="I1364" s="65" t="str"/>
      <c r="J1364" s="49" t="str"/>
      <c r="K1364" s="41" t="str"/>
      <c r="L1364" s="41" t="str"/>
      <c r="M1364" s="41" t="str"/>
      <c r="N1364" s="41" t="str"/>
      <c r="O1364" s="41" t="str"/>
      <c r="P1364" s="41" t="str"/>
      <c r="Q1364" s="41" t="str"/>
      <c r="R1364" s="41" t="str"/>
      <c r="S1364" s="41" t="str"/>
      <c r="T1364" s="41" t="str"/>
      <c r="U1364" s="41" t="str"/>
      <c r="V1364" s="41" t="str"/>
      <c r="W1364" s="41" t="str"/>
    </row>
    <row r="1365">
      <c r="B1365" s="2" t="n"/>
      <c r="C1365" s="40" t="n"/>
      <c r="D1365" s="52">
        <f t="array" ref="D1365:W1365">IF(All_Students_Scores!C1363:V1363="","",All_Students_Scores!C1363:V1363)</f>
        <v/>
      </c>
      <c r="E1365" s="57" t="str"/>
      <c r="F1365" s="49" t="str"/>
      <c r="G1365" s="59" t="str"/>
      <c r="H1365" s="64" t="str"/>
      <c r="I1365" s="65" t="str"/>
      <c r="J1365" s="49" t="str"/>
      <c r="K1365" s="41" t="str"/>
      <c r="L1365" s="41" t="str"/>
      <c r="M1365" s="41" t="str"/>
      <c r="N1365" s="41" t="str"/>
      <c r="O1365" s="41" t="str"/>
      <c r="P1365" s="41" t="str"/>
      <c r="Q1365" s="41" t="str"/>
      <c r="R1365" s="41" t="str"/>
      <c r="S1365" s="41" t="str"/>
      <c r="T1365" s="41" t="str"/>
      <c r="U1365" s="41" t="str"/>
      <c r="V1365" s="41" t="str"/>
      <c r="W1365" s="41" t="str"/>
    </row>
    <row r="1366">
      <c r="B1366" s="2" t="n"/>
      <c r="C1366" s="40" t="n"/>
      <c r="D1366" s="52">
        <f t="array" ref="D1366:W1366">IF(All_Students_Scores!C1364:V1364="","",All_Students_Scores!C1364:V1364)</f>
        <v/>
      </c>
      <c r="E1366" s="57" t="str"/>
      <c r="F1366" s="49" t="str"/>
      <c r="G1366" s="59" t="str"/>
      <c r="H1366" s="64" t="str"/>
      <c r="I1366" s="65" t="str"/>
      <c r="J1366" s="49" t="str"/>
      <c r="K1366" s="41" t="str"/>
      <c r="L1366" s="41" t="str"/>
      <c r="M1366" s="41" t="str"/>
      <c r="N1366" s="41" t="str"/>
      <c r="O1366" s="41" t="str"/>
      <c r="P1366" s="41" t="str"/>
      <c r="Q1366" s="41" t="str"/>
      <c r="R1366" s="41" t="str"/>
      <c r="S1366" s="41" t="str"/>
      <c r="T1366" s="41" t="str"/>
      <c r="U1366" s="41" t="str"/>
      <c r="V1366" s="41" t="str"/>
      <c r="W1366" s="41" t="str"/>
    </row>
    <row r="1367">
      <c r="B1367" s="2" t="n"/>
      <c r="C1367" s="40" t="n"/>
      <c r="D1367" s="52">
        <f t="array" ref="D1367:W1367">IF(All_Students_Scores!C1365:V1365="","",All_Students_Scores!C1365:V1365)</f>
        <v/>
      </c>
      <c r="E1367" s="57" t="str"/>
      <c r="F1367" s="49" t="str"/>
      <c r="G1367" s="59" t="str"/>
      <c r="H1367" s="64" t="str"/>
      <c r="I1367" s="65" t="str"/>
      <c r="J1367" s="49" t="str"/>
      <c r="K1367" s="41" t="str"/>
      <c r="L1367" s="41" t="str"/>
      <c r="M1367" s="41" t="str"/>
      <c r="N1367" s="41" t="str"/>
      <c r="O1367" s="41" t="str"/>
      <c r="P1367" s="41" t="str"/>
      <c r="Q1367" s="41" t="str"/>
      <c r="R1367" s="41" t="str"/>
      <c r="S1367" s="41" t="str"/>
      <c r="T1367" s="41" t="str"/>
      <c r="U1367" s="41" t="str"/>
      <c r="V1367" s="41" t="str"/>
      <c r="W1367" s="41" t="str"/>
    </row>
    <row r="1368">
      <c r="B1368" s="2" t="n"/>
      <c r="C1368" s="40" t="n"/>
      <c r="D1368" s="52">
        <f t="array" ref="D1368:W1368">IF(All_Students_Scores!C1366:V1366="","",All_Students_Scores!C1366:V1366)</f>
        <v/>
      </c>
      <c r="E1368" s="57" t="str"/>
      <c r="F1368" s="49" t="str"/>
      <c r="G1368" s="59" t="str"/>
      <c r="H1368" s="64" t="str"/>
      <c r="I1368" s="65" t="str"/>
      <c r="J1368" s="49" t="str"/>
      <c r="K1368" s="41" t="str"/>
      <c r="L1368" s="41" t="str"/>
      <c r="M1368" s="41" t="str"/>
      <c r="N1368" s="41" t="str"/>
      <c r="O1368" s="41" t="str"/>
      <c r="P1368" s="41" t="str"/>
      <c r="Q1368" s="41" t="str"/>
      <c r="R1368" s="41" t="str"/>
      <c r="S1368" s="41" t="str"/>
      <c r="T1368" s="41" t="str"/>
      <c r="U1368" s="41" t="str"/>
      <c r="V1368" s="41" t="str"/>
      <c r="W1368" s="41" t="str"/>
    </row>
    <row r="1369">
      <c r="B1369" s="2" t="n"/>
      <c r="C1369" s="40" t="n"/>
      <c r="D1369" s="52">
        <f t="array" ref="D1369:W1369">IF(All_Students_Scores!C1367:V1367="","",All_Students_Scores!C1367:V1367)</f>
        <v/>
      </c>
      <c r="E1369" s="57" t="str"/>
      <c r="F1369" s="49" t="str"/>
      <c r="G1369" s="59" t="str"/>
      <c r="H1369" s="64" t="str"/>
      <c r="I1369" s="65" t="str"/>
      <c r="J1369" s="49" t="str"/>
      <c r="K1369" s="41" t="str"/>
      <c r="L1369" s="41" t="str"/>
      <c r="M1369" s="41" t="str"/>
      <c r="N1369" s="41" t="str"/>
      <c r="O1369" s="41" t="str"/>
      <c r="P1369" s="41" t="str"/>
      <c r="Q1369" s="41" t="str"/>
      <c r="R1369" s="41" t="str"/>
      <c r="S1369" s="41" t="str"/>
      <c r="T1369" s="41" t="str"/>
      <c r="U1369" s="41" t="str"/>
      <c r="V1369" s="41" t="str"/>
      <c r="W1369" s="41" t="str"/>
    </row>
    <row r="1370">
      <c r="B1370" s="2" t="n"/>
      <c r="C1370" s="40" t="n"/>
      <c r="D1370" s="52">
        <f t="array" ref="D1370:W1370">IF(All_Students_Scores!C1368:V1368="","",All_Students_Scores!C1368:V1368)</f>
        <v/>
      </c>
      <c r="E1370" s="57" t="str"/>
      <c r="F1370" s="49" t="str"/>
      <c r="G1370" s="59" t="str"/>
      <c r="H1370" s="64" t="str"/>
      <c r="I1370" s="65" t="str"/>
      <c r="J1370" s="49" t="str"/>
      <c r="K1370" s="41" t="str"/>
      <c r="L1370" s="41" t="str"/>
      <c r="M1370" s="41" t="str"/>
      <c r="N1370" s="41" t="str"/>
      <c r="O1370" s="41" t="str"/>
      <c r="P1370" s="41" t="str"/>
      <c r="Q1370" s="41" t="str"/>
      <c r="R1370" s="41" t="str"/>
      <c r="S1370" s="41" t="str"/>
      <c r="T1370" s="41" t="str"/>
      <c r="U1370" s="41" t="str"/>
      <c r="V1370" s="41" t="str"/>
      <c r="W1370" s="41" t="str"/>
    </row>
    <row r="1371">
      <c r="B1371" s="2" t="n"/>
      <c r="C1371" s="40" t="n"/>
      <c r="D1371" s="52">
        <f t="array" ref="D1371:W1371">IF(All_Students_Scores!C1369:V1369="","",All_Students_Scores!C1369:V1369)</f>
        <v/>
      </c>
      <c r="E1371" s="57" t="str"/>
      <c r="F1371" s="49" t="str"/>
      <c r="G1371" s="59" t="str"/>
      <c r="H1371" s="64" t="str"/>
      <c r="I1371" s="65" t="str"/>
      <c r="J1371" s="49" t="str"/>
      <c r="K1371" s="41" t="str"/>
      <c r="L1371" s="41" t="str"/>
      <c r="M1371" s="41" t="str"/>
      <c r="N1371" s="41" t="str"/>
      <c r="O1371" s="41" t="str"/>
      <c r="P1371" s="41" t="str"/>
      <c r="Q1371" s="41" t="str"/>
      <c r="R1371" s="41" t="str"/>
      <c r="S1371" s="41" t="str"/>
      <c r="T1371" s="41" t="str"/>
      <c r="U1371" s="41" t="str"/>
      <c r="V1371" s="41" t="str"/>
      <c r="W1371" s="41" t="str"/>
    </row>
    <row r="1372">
      <c r="B1372" s="2" t="n"/>
      <c r="C1372" s="40" t="n"/>
      <c r="D1372" s="52">
        <f t="array" ref="D1372:W1372">IF(All_Students_Scores!C1370:V1370="","",All_Students_Scores!C1370:V1370)</f>
        <v/>
      </c>
      <c r="E1372" s="57" t="str"/>
      <c r="F1372" s="49" t="str"/>
      <c r="G1372" s="59" t="str"/>
      <c r="H1372" s="64" t="str"/>
      <c r="I1372" s="65" t="str"/>
      <c r="J1372" s="49" t="str"/>
      <c r="K1372" s="41" t="str"/>
      <c r="L1372" s="41" t="str"/>
      <c r="M1372" s="41" t="str"/>
      <c r="N1372" s="41" t="str"/>
      <c r="O1372" s="41" t="str"/>
      <c r="P1372" s="41" t="str"/>
      <c r="Q1372" s="41" t="str"/>
      <c r="R1372" s="41" t="str"/>
      <c r="S1372" s="41" t="str"/>
      <c r="T1372" s="41" t="str"/>
      <c r="U1372" s="41" t="str"/>
      <c r="V1372" s="41" t="str"/>
      <c r="W1372" s="41" t="str"/>
    </row>
    <row r="1373">
      <c r="B1373" s="2" t="n"/>
      <c r="C1373" s="40" t="n"/>
      <c r="D1373" s="52">
        <f t="array" ref="D1373:W1373">IF(All_Students_Scores!C1371:V1371="","",All_Students_Scores!C1371:V1371)</f>
        <v/>
      </c>
      <c r="E1373" s="57" t="str"/>
      <c r="F1373" s="49" t="str"/>
      <c r="G1373" s="59" t="str"/>
      <c r="H1373" s="64" t="str"/>
      <c r="I1373" s="65" t="str"/>
      <c r="J1373" s="49" t="str"/>
      <c r="K1373" s="41" t="str"/>
      <c r="L1373" s="41" t="str"/>
      <c r="M1373" s="41" t="str"/>
      <c r="N1373" s="41" t="str"/>
      <c r="O1373" s="41" t="str"/>
      <c r="P1373" s="41" t="str"/>
      <c r="Q1373" s="41" t="str"/>
      <c r="R1373" s="41" t="str"/>
      <c r="S1373" s="41" t="str"/>
      <c r="T1373" s="41" t="str"/>
      <c r="U1373" s="41" t="str"/>
      <c r="V1373" s="41" t="str"/>
      <c r="W1373" s="41" t="str"/>
    </row>
    <row r="1374">
      <c r="B1374" s="2" t="n"/>
      <c r="C1374" s="40" t="n"/>
      <c r="D1374" s="52">
        <f t="array" ref="D1374:W1374">IF(All_Students_Scores!C1372:V1372="","",All_Students_Scores!C1372:V1372)</f>
        <v/>
      </c>
      <c r="E1374" s="57" t="str"/>
      <c r="F1374" s="49" t="str"/>
      <c r="G1374" s="59" t="str"/>
      <c r="H1374" s="64" t="str"/>
      <c r="I1374" s="65" t="str"/>
      <c r="J1374" s="49" t="str"/>
      <c r="K1374" s="41" t="str"/>
      <c r="L1374" s="41" t="str"/>
      <c r="M1374" s="41" t="str"/>
      <c r="N1374" s="41" t="str"/>
      <c r="O1374" s="41" t="str"/>
      <c r="P1374" s="41" t="str"/>
      <c r="Q1374" s="41" t="str"/>
      <c r="R1374" s="41" t="str"/>
      <c r="S1374" s="41" t="str"/>
      <c r="T1374" s="41" t="str"/>
      <c r="U1374" s="41" t="str"/>
      <c r="V1374" s="41" t="str"/>
      <c r="W1374" s="41" t="str"/>
    </row>
    <row r="1375">
      <c r="B1375" s="2" t="n"/>
      <c r="C1375" s="40" t="n"/>
      <c r="D1375" s="52">
        <f t="array" ref="D1375:W1375">IF(All_Students_Scores!C1373:V1373="","",All_Students_Scores!C1373:V1373)</f>
        <v/>
      </c>
      <c r="E1375" s="57" t="str"/>
      <c r="F1375" s="49" t="str"/>
      <c r="G1375" s="59" t="str"/>
      <c r="H1375" s="64" t="str"/>
      <c r="I1375" s="65" t="str"/>
      <c r="J1375" s="49" t="str"/>
      <c r="K1375" s="41" t="str"/>
      <c r="L1375" s="41" t="str"/>
      <c r="M1375" s="41" t="str"/>
      <c r="N1375" s="41" t="str"/>
      <c r="O1375" s="41" t="str"/>
      <c r="P1375" s="41" t="str"/>
      <c r="Q1375" s="41" t="str"/>
      <c r="R1375" s="41" t="str"/>
      <c r="S1375" s="41" t="str"/>
      <c r="T1375" s="41" t="str"/>
      <c r="U1375" s="41" t="str"/>
      <c r="V1375" s="41" t="str"/>
      <c r="W1375" s="41" t="str"/>
    </row>
    <row r="1376">
      <c r="B1376" s="2" t="n"/>
      <c r="C1376" s="40" t="n"/>
      <c r="D1376" s="52">
        <f t="array" ref="D1376:W1376">IF(All_Students_Scores!C1374:V1374="","",All_Students_Scores!C1374:V1374)</f>
        <v/>
      </c>
      <c r="E1376" s="57" t="str"/>
      <c r="F1376" s="49" t="str"/>
      <c r="G1376" s="59" t="str"/>
      <c r="H1376" s="64" t="str"/>
      <c r="I1376" s="65" t="str"/>
      <c r="J1376" s="49" t="str"/>
      <c r="K1376" s="41" t="str"/>
      <c r="L1376" s="41" t="str"/>
      <c r="M1376" s="41" t="str"/>
      <c r="N1376" s="41" t="str"/>
      <c r="O1376" s="41" t="str"/>
      <c r="P1376" s="41" t="str"/>
      <c r="Q1376" s="41" t="str"/>
      <c r="R1376" s="41" t="str"/>
      <c r="S1376" s="41" t="str"/>
      <c r="T1376" s="41" t="str"/>
      <c r="U1376" s="41" t="str"/>
      <c r="V1376" s="41" t="str"/>
      <c r="W1376" s="41" t="str"/>
    </row>
    <row r="1377">
      <c r="B1377" s="2" t="n"/>
      <c r="C1377" s="40" t="n"/>
      <c r="D1377" s="52">
        <f t="array" ref="D1377:W1377">IF(All_Students_Scores!C1375:V1375="","",All_Students_Scores!C1375:V1375)</f>
        <v/>
      </c>
      <c r="E1377" s="57" t="str"/>
      <c r="F1377" s="49" t="str"/>
      <c r="G1377" s="59" t="str"/>
      <c r="H1377" s="64" t="str"/>
      <c r="I1377" s="65" t="str"/>
      <c r="J1377" s="49" t="str"/>
      <c r="K1377" s="41" t="str"/>
      <c r="L1377" s="41" t="str"/>
      <c r="M1377" s="41" t="str"/>
      <c r="N1377" s="41" t="str"/>
      <c r="O1377" s="41" t="str"/>
      <c r="P1377" s="41" t="str"/>
      <c r="Q1377" s="41" t="str"/>
      <c r="R1377" s="41" t="str"/>
      <c r="S1377" s="41" t="str"/>
      <c r="T1377" s="41" t="str"/>
      <c r="U1377" s="41" t="str"/>
      <c r="V1377" s="41" t="str"/>
      <c r="W1377" s="41" t="str"/>
    </row>
    <row r="1378">
      <c r="B1378" s="2" t="n"/>
      <c r="C1378" s="40" t="n"/>
      <c r="D1378" s="52">
        <f t="array" ref="D1378:W1378">IF(All_Students_Scores!C1376:V1376="","",All_Students_Scores!C1376:V1376)</f>
        <v/>
      </c>
      <c r="E1378" s="57" t="str"/>
      <c r="F1378" s="49" t="str"/>
      <c r="G1378" s="59" t="str"/>
      <c r="H1378" s="64" t="str"/>
      <c r="I1378" s="65" t="str"/>
      <c r="J1378" s="49" t="str"/>
      <c r="K1378" s="41" t="str"/>
      <c r="L1378" s="41" t="str"/>
      <c r="M1378" s="41" t="str"/>
      <c r="N1378" s="41" t="str"/>
      <c r="O1378" s="41" t="str"/>
      <c r="P1378" s="41" t="str"/>
      <c r="Q1378" s="41" t="str"/>
      <c r="R1378" s="41" t="str"/>
      <c r="S1378" s="41" t="str"/>
      <c r="T1378" s="41" t="str"/>
      <c r="U1378" s="41" t="str"/>
      <c r="V1378" s="41" t="str"/>
      <c r="W1378" s="41" t="str"/>
    </row>
    <row r="1379">
      <c r="B1379" s="2" t="n"/>
      <c r="C1379" s="40" t="n"/>
      <c r="D1379" s="52">
        <f t="array" ref="D1379:W1379">IF(All_Students_Scores!C1377:V1377="","",All_Students_Scores!C1377:V1377)</f>
        <v/>
      </c>
      <c r="E1379" s="57" t="str"/>
      <c r="F1379" s="49" t="str"/>
      <c r="G1379" s="59" t="str"/>
      <c r="H1379" s="64" t="str"/>
      <c r="I1379" s="65" t="str"/>
      <c r="J1379" s="49" t="str"/>
      <c r="K1379" s="41" t="str"/>
      <c r="L1379" s="41" t="str"/>
      <c r="M1379" s="41" t="str"/>
      <c r="N1379" s="41" t="str"/>
      <c r="O1379" s="41" t="str"/>
      <c r="P1379" s="41" t="str"/>
      <c r="Q1379" s="41" t="str"/>
      <c r="R1379" s="41" t="str"/>
      <c r="S1379" s="41" t="str"/>
      <c r="T1379" s="41" t="str"/>
      <c r="U1379" s="41" t="str"/>
      <c r="V1379" s="41" t="str"/>
      <c r="W1379" s="41" t="str"/>
    </row>
    <row r="1380">
      <c r="B1380" s="2" t="n"/>
      <c r="C1380" s="40" t="n"/>
      <c r="D1380" s="52">
        <f t="array" ref="D1380:W1380">IF(All_Students_Scores!C1378:V1378="","",All_Students_Scores!C1378:V1378)</f>
        <v/>
      </c>
      <c r="E1380" s="57" t="str"/>
      <c r="F1380" s="49" t="str"/>
      <c r="G1380" s="59" t="str"/>
      <c r="H1380" s="64" t="str"/>
      <c r="I1380" s="65" t="str"/>
      <c r="J1380" s="49" t="str"/>
      <c r="K1380" s="41" t="str"/>
      <c r="L1380" s="41" t="str"/>
      <c r="M1380" s="41" t="str"/>
      <c r="N1380" s="41" t="str"/>
      <c r="O1380" s="41" t="str"/>
      <c r="P1380" s="41" t="str"/>
      <c r="Q1380" s="41" t="str"/>
      <c r="R1380" s="41" t="str"/>
      <c r="S1380" s="41" t="str"/>
      <c r="T1380" s="41" t="str"/>
      <c r="U1380" s="41" t="str"/>
      <c r="V1380" s="41" t="str"/>
      <c r="W1380" s="41" t="str"/>
    </row>
    <row r="1381">
      <c r="B1381" s="2" t="n"/>
      <c r="C1381" s="40" t="n"/>
      <c r="D1381" s="52">
        <f t="array" ref="D1381:W1381">IF(All_Students_Scores!C1379:V1379="","",All_Students_Scores!C1379:V1379)</f>
        <v/>
      </c>
      <c r="E1381" s="57" t="str"/>
      <c r="F1381" s="49" t="str"/>
      <c r="G1381" s="59" t="str"/>
      <c r="H1381" s="64" t="str"/>
      <c r="I1381" s="65" t="str"/>
      <c r="J1381" s="49" t="str"/>
      <c r="K1381" s="41" t="str"/>
      <c r="L1381" s="41" t="str"/>
      <c r="M1381" s="41" t="str"/>
      <c r="N1381" s="41" t="str"/>
      <c r="O1381" s="41" t="str"/>
      <c r="P1381" s="41" t="str"/>
      <c r="Q1381" s="41" t="str"/>
      <c r="R1381" s="41" t="str"/>
      <c r="S1381" s="41" t="str"/>
      <c r="T1381" s="41" t="str"/>
      <c r="U1381" s="41" t="str"/>
      <c r="V1381" s="41" t="str"/>
      <c r="W1381" s="41" t="str"/>
    </row>
    <row r="1382">
      <c r="B1382" s="2" t="n"/>
      <c r="C1382" s="40" t="n"/>
      <c r="D1382" s="52">
        <f t="array" ref="D1382:W1382">IF(All_Students_Scores!C1380:V1380="","",All_Students_Scores!C1380:V1380)</f>
        <v/>
      </c>
      <c r="E1382" s="57" t="str"/>
      <c r="F1382" s="49" t="str"/>
      <c r="G1382" s="59" t="str"/>
      <c r="H1382" s="64" t="str"/>
      <c r="I1382" s="65" t="str"/>
      <c r="J1382" s="49" t="str"/>
      <c r="K1382" s="41" t="str"/>
      <c r="L1382" s="41" t="str"/>
      <c r="M1382" s="41" t="str"/>
      <c r="N1382" s="41" t="str"/>
      <c r="O1382" s="41" t="str"/>
      <c r="P1382" s="41" t="str"/>
      <c r="Q1382" s="41" t="str"/>
      <c r="R1382" s="41" t="str"/>
      <c r="S1382" s="41" t="str"/>
      <c r="T1382" s="41" t="str"/>
      <c r="U1382" s="41" t="str"/>
      <c r="V1382" s="41" t="str"/>
      <c r="W1382" s="41" t="str"/>
    </row>
    <row r="1383">
      <c r="B1383" s="2" t="n"/>
      <c r="C1383" s="40" t="n"/>
      <c r="D1383" s="52">
        <f t="array" ref="D1383:W1383">IF(All_Students_Scores!C1381:V1381="","",All_Students_Scores!C1381:V1381)</f>
        <v/>
      </c>
      <c r="E1383" s="57" t="str"/>
      <c r="F1383" s="49" t="str"/>
      <c r="G1383" s="59" t="str"/>
      <c r="H1383" s="64" t="str"/>
      <c r="I1383" s="65" t="str"/>
      <c r="J1383" s="49" t="str"/>
      <c r="K1383" s="41" t="str"/>
      <c r="L1383" s="41" t="str"/>
      <c r="M1383" s="41" t="str"/>
      <c r="N1383" s="41" t="str"/>
      <c r="O1383" s="41" t="str"/>
      <c r="P1383" s="41" t="str"/>
      <c r="Q1383" s="41" t="str"/>
      <c r="R1383" s="41" t="str"/>
      <c r="S1383" s="41" t="str"/>
      <c r="T1383" s="41" t="str"/>
      <c r="U1383" s="41" t="str"/>
      <c r="V1383" s="41" t="str"/>
      <c r="W1383" s="41" t="str"/>
    </row>
    <row r="1384">
      <c r="B1384" s="2" t="n"/>
      <c r="C1384" s="40" t="n"/>
      <c r="D1384" s="52">
        <f t="array" ref="D1384:W1384">IF(All_Students_Scores!C1382:V1382="","",All_Students_Scores!C1382:V1382)</f>
        <v/>
      </c>
      <c r="E1384" s="57" t="str"/>
      <c r="F1384" s="49" t="str"/>
      <c r="G1384" s="59" t="str"/>
      <c r="H1384" s="64" t="str"/>
      <c r="I1384" s="65" t="str"/>
      <c r="J1384" s="49" t="str"/>
      <c r="K1384" s="41" t="str"/>
      <c r="L1384" s="41" t="str"/>
      <c r="M1384" s="41" t="str"/>
      <c r="N1384" s="41" t="str"/>
      <c r="O1384" s="41" t="str"/>
      <c r="P1384" s="41" t="str"/>
      <c r="Q1384" s="41" t="str"/>
      <c r="R1384" s="41" t="str"/>
      <c r="S1384" s="41" t="str"/>
      <c r="T1384" s="41" t="str"/>
      <c r="U1384" s="41" t="str"/>
      <c r="V1384" s="41" t="str"/>
      <c r="W1384" s="41" t="str"/>
    </row>
    <row r="1385">
      <c r="B1385" s="2" t="n"/>
      <c r="C1385" s="40" t="n"/>
      <c r="D1385" s="52">
        <f t="array" ref="D1385:W1385">IF(All_Students_Scores!C1383:V1383="","",All_Students_Scores!C1383:V1383)</f>
        <v/>
      </c>
      <c r="E1385" s="57" t="str"/>
      <c r="F1385" s="49" t="str"/>
      <c r="G1385" s="59" t="str"/>
      <c r="H1385" s="64" t="str"/>
      <c r="I1385" s="65" t="str"/>
      <c r="J1385" s="49" t="str"/>
      <c r="K1385" s="41" t="str"/>
      <c r="L1385" s="41" t="str"/>
      <c r="M1385" s="41" t="str"/>
      <c r="N1385" s="41" t="str"/>
      <c r="O1385" s="41" t="str"/>
      <c r="P1385" s="41" t="str"/>
      <c r="Q1385" s="41" t="str"/>
      <c r="R1385" s="41" t="str"/>
      <c r="S1385" s="41" t="str"/>
      <c r="T1385" s="41" t="str"/>
      <c r="U1385" s="41" t="str"/>
      <c r="V1385" s="41" t="str"/>
      <c r="W1385" s="41" t="str"/>
    </row>
    <row r="1386">
      <c r="B1386" s="2" t="n"/>
      <c r="C1386" s="40" t="n"/>
      <c r="D1386" s="52">
        <f t="array" ref="D1386:W1386">IF(All_Students_Scores!C1384:V1384="","",All_Students_Scores!C1384:V1384)</f>
        <v/>
      </c>
      <c r="E1386" s="57" t="str"/>
      <c r="F1386" s="49" t="str"/>
      <c r="G1386" s="59" t="str"/>
      <c r="H1386" s="64" t="str"/>
      <c r="I1386" s="65" t="str"/>
      <c r="J1386" s="49" t="str"/>
      <c r="K1386" s="41" t="str"/>
      <c r="L1386" s="41" t="str"/>
      <c r="M1386" s="41" t="str"/>
      <c r="N1386" s="41" t="str"/>
      <c r="O1386" s="41" t="str"/>
      <c r="P1386" s="41" t="str"/>
      <c r="Q1386" s="41" t="str"/>
      <c r="R1386" s="41" t="str"/>
      <c r="S1386" s="41" t="str"/>
      <c r="T1386" s="41" t="str"/>
      <c r="U1386" s="41" t="str"/>
      <c r="V1386" s="41" t="str"/>
      <c r="W1386" s="41" t="str"/>
    </row>
    <row r="1387">
      <c r="B1387" s="2" t="n"/>
      <c r="C1387" s="40" t="n"/>
      <c r="D1387" s="52">
        <f t="array" ref="D1387:W1387">IF(All_Students_Scores!C1385:V1385="","",All_Students_Scores!C1385:V1385)</f>
        <v/>
      </c>
      <c r="E1387" s="57" t="str"/>
      <c r="F1387" s="49" t="str"/>
      <c r="G1387" s="59" t="str"/>
      <c r="H1387" s="64" t="str"/>
      <c r="I1387" s="65" t="str"/>
      <c r="J1387" s="49" t="str"/>
      <c r="K1387" s="41" t="str"/>
      <c r="L1387" s="41" t="str"/>
      <c r="M1387" s="41" t="str"/>
      <c r="N1387" s="41" t="str"/>
      <c r="O1387" s="41" t="str"/>
      <c r="P1387" s="41" t="str"/>
      <c r="Q1387" s="41" t="str"/>
      <c r="R1387" s="41" t="str"/>
      <c r="S1387" s="41" t="str"/>
      <c r="T1387" s="41" t="str"/>
      <c r="U1387" s="41" t="str"/>
      <c r="V1387" s="41" t="str"/>
      <c r="W1387" s="41" t="str"/>
    </row>
    <row r="1388">
      <c r="B1388" s="2" t="n"/>
      <c r="C1388" s="40" t="n"/>
      <c r="D1388" s="52">
        <f t="array" ref="D1388:W1388">IF(All_Students_Scores!C1386:V1386="","",All_Students_Scores!C1386:V1386)</f>
        <v/>
      </c>
      <c r="E1388" s="57" t="str"/>
      <c r="F1388" s="49" t="str"/>
      <c r="G1388" s="59" t="str"/>
      <c r="H1388" s="64" t="str"/>
      <c r="I1388" s="65" t="str"/>
      <c r="J1388" s="49" t="str"/>
      <c r="K1388" s="41" t="str"/>
      <c r="L1388" s="41" t="str"/>
      <c r="M1388" s="41" t="str"/>
      <c r="N1388" s="41" t="str"/>
      <c r="O1388" s="41" t="str"/>
      <c r="P1388" s="41" t="str"/>
      <c r="Q1388" s="41" t="str"/>
      <c r="R1388" s="41" t="str"/>
      <c r="S1388" s="41" t="str"/>
      <c r="T1388" s="41" t="str"/>
      <c r="U1388" s="41" t="str"/>
      <c r="V1388" s="41" t="str"/>
      <c r="W1388" s="41" t="str"/>
    </row>
    <row r="1389">
      <c r="B1389" s="2" t="n"/>
      <c r="C1389" s="40" t="n"/>
      <c r="D1389" s="52">
        <f t="array" ref="D1389:W1389">IF(All_Students_Scores!C1387:V1387="","",All_Students_Scores!C1387:V1387)</f>
        <v/>
      </c>
      <c r="E1389" s="57" t="str"/>
      <c r="F1389" s="49" t="str"/>
      <c r="G1389" s="59" t="str"/>
      <c r="H1389" s="64" t="str"/>
      <c r="I1389" s="65" t="str"/>
      <c r="J1389" s="49" t="str"/>
      <c r="K1389" s="41" t="str"/>
      <c r="L1389" s="41" t="str"/>
      <c r="M1389" s="41" t="str"/>
      <c r="N1389" s="41" t="str"/>
      <c r="O1389" s="41" t="str"/>
      <c r="P1389" s="41" t="str"/>
      <c r="Q1389" s="41" t="str"/>
      <c r="R1389" s="41" t="str"/>
      <c r="S1389" s="41" t="str"/>
      <c r="T1389" s="41" t="str"/>
      <c r="U1389" s="41" t="str"/>
      <c r="V1389" s="41" t="str"/>
      <c r="W1389" s="41" t="str"/>
    </row>
    <row r="1390">
      <c r="B1390" s="2" t="n"/>
      <c r="C1390" s="40" t="n"/>
      <c r="D1390" s="52">
        <f t="array" ref="D1390:W1390">IF(All_Students_Scores!C1388:V1388="","",All_Students_Scores!C1388:V1388)</f>
        <v/>
      </c>
      <c r="E1390" s="57" t="str"/>
      <c r="F1390" s="49" t="str"/>
      <c r="G1390" s="59" t="str"/>
      <c r="H1390" s="64" t="str"/>
      <c r="I1390" s="65" t="str"/>
      <c r="J1390" s="49" t="str"/>
      <c r="K1390" s="41" t="str"/>
      <c r="L1390" s="41" t="str"/>
      <c r="M1390" s="41" t="str"/>
      <c r="N1390" s="41" t="str"/>
      <c r="O1390" s="41" t="str"/>
      <c r="P1390" s="41" t="str"/>
      <c r="Q1390" s="41" t="str"/>
      <c r="R1390" s="41" t="str"/>
      <c r="S1390" s="41" t="str"/>
      <c r="T1390" s="41" t="str"/>
      <c r="U1390" s="41" t="str"/>
      <c r="V1390" s="41" t="str"/>
      <c r="W1390" s="41" t="str"/>
    </row>
    <row r="1391">
      <c r="B1391" s="2" t="n"/>
      <c r="C1391" s="40" t="n"/>
      <c r="D1391" s="52">
        <f t="array" ref="D1391:W1391">IF(All_Students_Scores!C1389:V1389="","",All_Students_Scores!C1389:V1389)</f>
        <v/>
      </c>
      <c r="E1391" s="57" t="str"/>
      <c r="F1391" s="49" t="str"/>
      <c r="G1391" s="59" t="str"/>
      <c r="H1391" s="64" t="str"/>
      <c r="I1391" s="65" t="str"/>
      <c r="J1391" s="49" t="str"/>
      <c r="K1391" s="41" t="str"/>
      <c r="L1391" s="41" t="str"/>
      <c r="M1391" s="41" t="str"/>
      <c r="N1391" s="41" t="str"/>
      <c r="O1391" s="41" t="str"/>
      <c r="P1391" s="41" t="str"/>
      <c r="Q1391" s="41" t="str"/>
      <c r="R1391" s="41" t="str"/>
      <c r="S1391" s="41" t="str"/>
      <c r="T1391" s="41" t="str"/>
      <c r="U1391" s="41" t="str"/>
      <c r="V1391" s="41" t="str"/>
      <c r="W1391" s="41" t="str"/>
    </row>
    <row r="1392">
      <c r="B1392" s="2" t="n"/>
      <c r="C1392" s="40" t="n"/>
      <c r="D1392" s="52">
        <f t="array" ref="D1392:W1392">IF(All_Students_Scores!C1390:V1390="","",All_Students_Scores!C1390:V1390)</f>
        <v/>
      </c>
      <c r="E1392" s="57" t="str"/>
      <c r="F1392" s="49" t="str"/>
      <c r="G1392" s="59" t="str"/>
      <c r="H1392" s="64" t="str"/>
      <c r="I1392" s="65" t="str"/>
      <c r="J1392" s="49" t="str"/>
      <c r="K1392" s="41" t="str"/>
      <c r="L1392" s="41" t="str"/>
      <c r="M1392" s="41" t="str"/>
      <c r="N1392" s="41" t="str"/>
      <c r="O1392" s="41" t="str"/>
      <c r="P1392" s="41" t="str"/>
      <c r="Q1392" s="41" t="str"/>
      <c r="R1392" s="41" t="str"/>
      <c r="S1392" s="41" t="str"/>
      <c r="T1392" s="41" t="str"/>
      <c r="U1392" s="41" t="str"/>
      <c r="V1392" s="41" t="str"/>
      <c r="W1392" s="41" t="str"/>
    </row>
    <row r="1393">
      <c r="B1393" s="2" t="n"/>
      <c r="C1393" s="40" t="n"/>
      <c r="D1393" s="52">
        <f t="array" ref="D1393:W1393">IF(All_Students_Scores!C1391:V1391="","",All_Students_Scores!C1391:V1391)</f>
        <v/>
      </c>
      <c r="E1393" s="57" t="str"/>
      <c r="F1393" s="49" t="str"/>
      <c r="G1393" s="59" t="str"/>
      <c r="H1393" s="64" t="str"/>
      <c r="I1393" s="65" t="str"/>
      <c r="J1393" s="49" t="str"/>
      <c r="K1393" s="41" t="str"/>
      <c r="L1393" s="41" t="str"/>
      <c r="M1393" s="41" t="str"/>
      <c r="N1393" s="41" t="str"/>
      <c r="O1393" s="41" t="str"/>
      <c r="P1393" s="41" t="str"/>
      <c r="Q1393" s="41" t="str"/>
      <c r="R1393" s="41" t="str"/>
      <c r="S1393" s="41" t="str"/>
      <c r="T1393" s="41" t="str"/>
      <c r="U1393" s="41" t="str"/>
      <c r="V1393" s="41" t="str"/>
      <c r="W1393" s="41" t="str"/>
    </row>
    <row r="1394">
      <c r="B1394" s="2" t="n"/>
      <c r="C1394" s="40" t="n"/>
      <c r="D1394" s="52">
        <f t="array" ref="D1394:W1394">IF(All_Students_Scores!C1392:V1392="","",All_Students_Scores!C1392:V1392)</f>
        <v/>
      </c>
      <c r="E1394" s="57" t="str"/>
      <c r="F1394" s="49" t="str"/>
      <c r="G1394" s="59" t="str"/>
      <c r="H1394" s="64" t="str"/>
      <c r="I1394" s="65" t="str"/>
      <c r="J1394" s="49" t="str"/>
      <c r="K1394" s="41" t="str"/>
      <c r="L1394" s="41" t="str"/>
      <c r="M1394" s="41" t="str"/>
      <c r="N1394" s="41" t="str"/>
      <c r="O1394" s="41" t="str"/>
      <c r="P1394" s="41" t="str"/>
      <c r="Q1394" s="41" t="str"/>
      <c r="R1394" s="41" t="str"/>
      <c r="S1394" s="41" t="str"/>
      <c r="T1394" s="41" t="str"/>
      <c r="U1394" s="41" t="str"/>
      <c r="V1394" s="41" t="str"/>
      <c r="W1394" s="41" t="str"/>
    </row>
    <row r="1395">
      <c r="B1395" s="2" t="n"/>
      <c r="C1395" s="40" t="n"/>
      <c r="D1395" s="52">
        <f t="array" ref="D1395:W1395">IF(All_Students_Scores!C1393:V1393="","",All_Students_Scores!C1393:V1393)</f>
        <v/>
      </c>
      <c r="E1395" s="57" t="str"/>
      <c r="F1395" s="49" t="str"/>
      <c r="G1395" s="59" t="str"/>
      <c r="H1395" s="64" t="str"/>
      <c r="I1395" s="65" t="str"/>
      <c r="J1395" s="49" t="str"/>
      <c r="K1395" s="41" t="str"/>
      <c r="L1395" s="41" t="str"/>
      <c r="M1395" s="41" t="str"/>
      <c r="N1395" s="41" t="str"/>
      <c r="O1395" s="41" t="str"/>
      <c r="P1395" s="41" t="str"/>
      <c r="Q1395" s="41" t="str"/>
      <c r="R1395" s="41" t="str"/>
      <c r="S1395" s="41" t="str"/>
      <c r="T1395" s="41" t="str"/>
      <c r="U1395" s="41" t="str"/>
      <c r="V1395" s="41" t="str"/>
      <c r="W1395" s="41" t="str"/>
    </row>
    <row r="1396">
      <c r="B1396" s="2" t="n"/>
      <c r="C1396" s="40" t="n"/>
      <c r="D1396" s="52">
        <f t="array" ref="D1396:W1396">IF(All_Students_Scores!C1394:V1394="","",All_Students_Scores!C1394:V1394)</f>
        <v/>
      </c>
      <c r="E1396" s="57" t="str"/>
      <c r="F1396" s="49" t="str"/>
      <c r="G1396" s="59" t="str"/>
      <c r="H1396" s="64" t="str"/>
      <c r="I1396" s="65" t="str"/>
      <c r="J1396" s="49" t="str"/>
      <c r="K1396" s="41" t="str"/>
      <c r="L1396" s="41" t="str"/>
      <c r="M1396" s="41" t="str"/>
      <c r="N1396" s="41" t="str"/>
      <c r="O1396" s="41" t="str"/>
      <c r="P1396" s="41" t="str"/>
      <c r="Q1396" s="41" t="str"/>
      <c r="R1396" s="41" t="str"/>
      <c r="S1396" s="41" t="str"/>
      <c r="T1396" s="41" t="str"/>
      <c r="U1396" s="41" t="str"/>
      <c r="V1396" s="41" t="str"/>
      <c r="W1396" s="41" t="str"/>
    </row>
    <row r="1397">
      <c r="B1397" s="2" t="n"/>
      <c r="C1397" s="40" t="n"/>
      <c r="D1397" s="52">
        <f t="array" ref="D1397:W1397">IF(All_Students_Scores!C1395:V1395="","",All_Students_Scores!C1395:V1395)</f>
        <v/>
      </c>
      <c r="E1397" s="57" t="str"/>
      <c r="F1397" s="49" t="str"/>
      <c r="G1397" s="59" t="str"/>
      <c r="H1397" s="64" t="str"/>
      <c r="I1397" s="65" t="str"/>
      <c r="J1397" s="49" t="str"/>
      <c r="K1397" s="41" t="str"/>
      <c r="L1397" s="41" t="str"/>
      <c r="M1397" s="41" t="str"/>
      <c r="N1397" s="41" t="str"/>
      <c r="O1397" s="41" t="str"/>
      <c r="P1397" s="41" t="str"/>
      <c r="Q1397" s="41" t="str"/>
      <c r="R1397" s="41" t="str"/>
      <c r="S1397" s="41" t="str"/>
      <c r="T1397" s="41" t="str"/>
      <c r="U1397" s="41" t="str"/>
      <c r="V1397" s="41" t="str"/>
      <c r="W1397" s="41" t="str"/>
    </row>
    <row r="1398">
      <c r="B1398" s="2" t="n"/>
      <c r="C1398" s="40" t="n"/>
      <c r="D1398" s="52">
        <f t="array" ref="D1398:W1398">IF(All_Students_Scores!C1396:V1396="","",All_Students_Scores!C1396:V1396)</f>
        <v/>
      </c>
      <c r="E1398" s="57" t="str"/>
      <c r="F1398" s="49" t="str"/>
      <c r="G1398" s="59" t="str"/>
      <c r="H1398" s="64" t="str"/>
      <c r="I1398" s="65" t="str"/>
      <c r="J1398" s="49" t="str"/>
      <c r="K1398" s="41" t="str"/>
      <c r="L1398" s="41" t="str"/>
      <c r="M1398" s="41" t="str"/>
      <c r="N1398" s="41" t="str"/>
      <c r="O1398" s="41" t="str"/>
      <c r="P1398" s="41" t="str"/>
      <c r="Q1398" s="41" t="str"/>
      <c r="R1398" s="41" t="str"/>
      <c r="S1398" s="41" t="str"/>
      <c r="T1398" s="41" t="str"/>
      <c r="U1398" s="41" t="str"/>
      <c r="V1398" s="41" t="str"/>
      <c r="W1398" s="41" t="str"/>
    </row>
    <row r="1399">
      <c r="B1399" s="2" t="n"/>
      <c r="C1399" s="40" t="n"/>
      <c r="D1399" s="52">
        <f t="array" ref="D1399:W1399">IF(All_Students_Scores!C1397:V1397="","",All_Students_Scores!C1397:V1397)</f>
        <v/>
      </c>
      <c r="E1399" s="57" t="str"/>
      <c r="F1399" s="49" t="str"/>
      <c r="G1399" s="59" t="str"/>
      <c r="H1399" s="64" t="str"/>
      <c r="I1399" s="65" t="str"/>
      <c r="J1399" s="49" t="str"/>
      <c r="K1399" s="41" t="str"/>
      <c r="L1399" s="41" t="str"/>
      <c r="M1399" s="41" t="str"/>
      <c r="N1399" s="41" t="str"/>
      <c r="O1399" s="41" t="str"/>
      <c r="P1399" s="41" t="str"/>
      <c r="Q1399" s="41" t="str"/>
      <c r="R1399" s="41" t="str"/>
      <c r="S1399" s="41" t="str"/>
      <c r="T1399" s="41" t="str"/>
      <c r="U1399" s="41" t="str"/>
      <c r="V1399" s="41" t="str"/>
      <c r="W1399" s="41" t="str"/>
    </row>
    <row r="1400">
      <c r="B1400" s="2" t="n"/>
      <c r="C1400" s="40" t="n"/>
      <c r="D1400" s="52">
        <f t="array" ref="D1400:W1400">IF(All_Students_Scores!C1398:V1398="","",All_Students_Scores!C1398:V1398)</f>
        <v/>
      </c>
      <c r="E1400" s="57" t="str"/>
      <c r="F1400" s="49" t="str"/>
      <c r="G1400" s="59" t="str"/>
      <c r="H1400" s="64" t="str"/>
      <c r="I1400" s="65" t="str"/>
      <c r="J1400" s="49" t="str"/>
      <c r="K1400" s="41" t="str"/>
      <c r="L1400" s="41" t="str"/>
      <c r="M1400" s="41" t="str"/>
      <c r="N1400" s="41" t="str"/>
      <c r="O1400" s="41" t="str"/>
      <c r="P1400" s="41" t="str"/>
      <c r="Q1400" s="41" t="str"/>
      <c r="R1400" s="41" t="str"/>
      <c r="S1400" s="41" t="str"/>
      <c r="T1400" s="41" t="str"/>
      <c r="U1400" s="41" t="str"/>
      <c r="V1400" s="41" t="str"/>
      <c r="W1400" s="41" t="str"/>
    </row>
    <row r="1401">
      <c r="B1401" s="2" t="n"/>
      <c r="C1401" s="40" t="n"/>
      <c r="D1401" s="52">
        <f t="array" ref="D1401:W1401">IF(All_Students_Scores!C1399:V1399="","",All_Students_Scores!C1399:V1399)</f>
        <v/>
      </c>
      <c r="E1401" s="57" t="str"/>
      <c r="F1401" s="49" t="str"/>
      <c r="G1401" s="59" t="str"/>
      <c r="H1401" s="64" t="str"/>
      <c r="I1401" s="65" t="str"/>
      <c r="J1401" s="49" t="str"/>
      <c r="K1401" s="41" t="str"/>
      <c r="L1401" s="41" t="str"/>
      <c r="M1401" s="41" t="str"/>
      <c r="N1401" s="41" t="str"/>
      <c r="O1401" s="41" t="str"/>
      <c r="P1401" s="41" t="str"/>
      <c r="Q1401" s="41" t="str"/>
      <c r="R1401" s="41" t="str"/>
      <c r="S1401" s="41" t="str"/>
      <c r="T1401" s="41" t="str"/>
      <c r="U1401" s="41" t="str"/>
      <c r="V1401" s="41" t="str"/>
      <c r="W1401" s="41" t="str"/>
    </row>
    <row r="1402">
      <c r="B1402" s="2" t="n"/>
      <c r="C1402" s="40" t="n"/>
      <c r="D1402" s="52">
        <f t="array" ref="D1402:W1402">IF(All_Students_Scores!C1400:V1400="","",All_Students_Scores!C1400:V1400)</f>
        <v/>
      </c>
      <c r="E1402" s="57" t="str"/>
      <c r="F1402" s="49" t="str"/>
      <c r="G1402" s="59" t="str"/>
      <c r="H1402" s="64" t="str"/>
      <c r="I1402" s="65" t="str"/>
      <c r="J1402" s="49" t="str"/>
      <c r="K1402" s="41" t="str"/>
      <c r="L1402" s="41" t="str"/>
      <c r="M1402" s="41" t="str"/>
      <c r="N1402" s="41" t="str"/>
      <c r="O1402" s="41" t="str"/>
      <c r="P1402" s="41" t="str"/>
      <c r="Q1402" s="41" t="str"/>
      <c r="R1402" s="41" t="str"/>
      <c r="S1402" s="41" t="str"/>
      <c r="T1402" s="41" t="str"/>
      <c r="U1402" s="41" t="str"/>
      <c r="V1402" s="41" t="str"/>
      <c r="W1402" s="41" t="str"/>
    </row>
    <row r="1403">
      <c r="B1403" s="2" t="n"/>
      <c r="C1403" s="40" t="n"/>
      <c r="D1403" s="52">
        <f t="array" ref="D1403:W1403">IF(All_Students_Scores!C1401:V1401="","",All_Students_Scores!C1401:V1401)</f>
        <v/>
      </c>
      <c r="E1403" s="57" t="str"/>
      <c r="F1403" s="49" t="str"/>
      <c r="G1403" s="59" t="str"/>
      <c r="H1403" s="64" t="str"/>
      <c r="I1403" s="65" t="str"/>
      <c r="J1403" s="49" t="str"/>
      <c r="K1403" s="41" t="str"/>
      <c r="L1403" s="41" t="str"/>
      <c r="M1403" s="41" t="str"/>
      <c r="N1403" s="41" t="str"/>
      <c r="O1403" s="41" t="str"/>
      <c r="P1403" s="41" t="str"/>
      <c r="Q1403" s="41" t="str"/>
      <c r="R1403" s="41" t="str"/>
      <c r="S1403" s="41" t="str"/>
      <c r="T1403" s="41" t="str"/>
      <c r="U1403" s="41" t="str"/>
      <c r="V1403" s="41" t="str"/>
      <c r="W1403" s="41" t="str"/>
    </row>
    <row r="1404">
      <c r="B1404" s="2" t="n"/>
      <c r="C1404" s="40" t="n"/>
      <c r="D1404" s="52">
        <f t="array" ref="D1404:W1404">IF(All_Students_Scores!C1402:V1402="","",All_Students_Scores!C1402:V1402)</f>
        <v/>
      </c>
      <c r="E1404" s="57" t="str"/>
      <c r="F1404" s="49" t="str"/>
      <c r="G1404" s="59" t="str"/>
      <c r="H1404" s="64" t="str"/>
      <c r="I1404" s="65" t="str"/>
      <c r="J1404" s="49" t="str"/>
      <c r="K1404" s="41" t="str"/>
      <c r="L1404" s="41" t="str"/>
      <c r="M1404" s="41" t="str"/>
      <c r="N1404" s="41" t="str"/>
      <c r="O1404" s="41" t="str"/>
      <c r="P1404" s="41" t="str"/>
      <c r="Q1404" s="41" t="str"/>
      <c r="R1404" s="41" t="str"/>
      <c r="S1404" s="41" t="str"/>
      <c r="T1404" s="41" t="str"/>
      <c r="U1404" s="41" t="str"/>
      <c r="V1404" s="41" t="str"/>
      <c r="W1404" s="41" t="str"/>
    </row>
    <row r="1405">
      <c r="B1405" s="2" t="n"/>
      <c r="C1405" s="40" t="n"/>
      <c r="D1405" s="52">
        <f t="array" ref="D1405:W1405">IF(All_Students_Scores!C1403:V1403="","",All_Students_Scores!C1403:V1403)</f>
        <v/>
      </c>
      <c r="E1405" s="57" t="str"/>
      <c r="F1405" s="49" t="str"/>
      <c r="G1405" s="59" t="str"/>
      <c r="H1405" s="64" t="str"/>
      <c r="I1405" s="65" t="str"/>
      <c r="J1405" s="49" t="str"/>
      <c r="K1405" s="41" t="str"/>
      <c r="L1405" s="41" t="str"/>
      <c r="M1405" s="41" t="str"/>
      <c r="N1405" s="41" t="str"/>
      <c r="O1405" s="41" t="str"/>
      <c r="P1405" s="41" t="str"/>
      <c r="Q1405" s="41" t="str"/>
      <c r="R1405" s="41" t="str"/>
      <c r="S1405" s="41" t="str"/>
      <c r="T1405" s="41" t="str"/>
      <c r="U1405" s="41" t="str"/>
      <c r="V1405" s="41" t="str"/>
      <c r="W1405" s="41" t="str"/>
    </row>
    <row r="1406">
      <c r="B1406" s="2" t="n"/>
      <c r="C1406" s="40" t="n"/>
      <c r="D1406" s="52">
        <f t="array" ref="D1406:W1406">IF(All_Students_Scores!C1404:V1404="","",All_Students_Scores!C1404:V1404)</f>
        <v/>
      </c>
      <c r="E1406" s="57" t="str"/>
      <c r="F1406" s="49" t="str"/>
      <c r="G1406" s="59" t="str"/>
      <c r="H1406" s="64" t="str"/>
      <c r="I1406" s="65" t="str"/>
      <c r="J1406" s="49" t="str"/>
      <c r="K1406" s="41" t="str"/>
      <c r="L1406" s="41" t="str"/>
      <c r="M1406" s="41" t="str"/>
      <c r="N1406" s="41" t="str"/>
      <c r="O1406" s="41" t="str"/>
      <c r="P1406" s="41" t="str"/>
      <c r="Q1406" s="41" t="str"/>
      <c r="R1406" s="41" t="str"/>
      <c r="S1406" s="41" t="str"/>
      <c r="T1406" s="41" t="str"/>
      <c r="U1406" s="41" t="str"/>
      <c r="V1406" s="41" t="str"/>
      <c r="W1406" s="41" t="str"/>
    </row>
    <row r="1407">
      <c r="B1407" s="2" t="n"/>
      <c r="C1407" s="40" t="n"/>
      <c r="D1407" s="52">
        <f t="array" ref="D1407:W1407">IF(All_Students_Scores!C1405:V1405="","",All_Students_Scores!C1405:V1405)</f>
        <v/>
      </c>
      <c r="E1407" s="57" t="str"/>
      <c r="F1407" s="49" t="str"/>
      <c r="G1407" s="59" t="str"/>
      <c r="H1407" s="64" t="str"/>
      <c r="I1407" s="65" t="str"/>
      <c r="J1407" s="49" t="str"/>
      <c r="K1407" s="41" t="str"/>
      <c r="L1407" s="41" t="str"/>
      <c r="M1407" s="41" t="str"/>
      <c r="N1407" s="41" t="str"/>
      <c r="O1407" s="41" t="str"/>
      <c r="P1407" s="41" t="str"/>
      <c r="Q1407" s="41" t="str"/>
      <c r="R1407" s="41" t="str"/>
      <c r="S1407" s="41" t="str"/>
      <c r="T1407" s="41" t="str"/>
      <c r="U1407" s="41" t="str"/>
      <c r="V1407" s="41" t="str"/>
      <c r="W1407" s="41" t="str"/>
    </row>
    <row r="1408">
      <c r="B1408" s="2" t="n"/>
      <c r="C1408" s="40" t="n"/>
      <c r="D1408" s="52">
        <f t="array" ref="D1408:W1408">IF(All_Students_Scores!C1406:V1406="","",All_Students_Scores!C1406:V1406)</f>
        <v/>
      </c>
      <c r="E1408" s="57" t="str"/>
      <c r="F1408" s="49" t="str"/>
      <c r="G1408" s="59" t="str"/>
      <c r="H1408" s="64" t="str"/>
      <c r="I1408" s="65" t="str"/>
      <c r="J1408" s="49" t="str"/>
      <c r="K1408" s="41" t="str"/>
      <c r="L1408" s="41" t="str"/>
      <c r="M1408" s="41" t="str"/>
      <c r="N1408" s="41" t="str"/>
      <c r="O1408" s="41" t="str"/>
      <c r="P1408" s="41" t="str"/>
      <c r="Q1408" s="41" t="str"/>
      <c r="R1408" s="41" t="str"/>
      <c r="S1408" s="41" t="str"/>
      <c r="T1408" s="41" t="str"/>
      <c r="U1408" s="41" t="str"/>
      <c r="V1408" s="41" t="str"/>
      <c r="W1408" s="41" t="str"/>
    </row>
    <row r="1409">
      <c r="B1409" s="2" t="n"/>
      <c r="C1409" s="40" t="n"/>
      <c r="D1409" s="52">
        <f t="array" ref="D1409:W1409">IF(All_Students_Scores!C1407:V1407="","",All_Students_Scores!C1407:V1407)</f>
        <v/>
      </c>
      <c r="E1409" s="57" t="str"/>
      <c r="F1409" s="49" t="str"/>
      <c r="G1409" s="59" t="str"/>
      <c r="H1409" s="64" t="str"/>
      <c r="I1409" s="65" t="str"/>
      <c r="J1409" s="49" t="str"/>
      <c r="K1409" s="41" t="str"/>
      <c r="L1409" s="41" t="str"/>
      <c r="M1409" s="41" t="str"/>
      <c r="N1409" s="41" t="str"/>
      <c r="O1409" s="41" t="str"/>
      <c r="P1409" s="41" t="str"/>
      <c r="Q1409" s="41" t="str"/>
      <c r="R1409" s="41" t="str"/>
      <c r="S1409" s="41" t="str"/>
      <c r="T1409" s="41" t="str"/>
      <c r="U1409" s="41" t="str"/>
      <c r="V1409" s="41" t="str"/>
      <c r="W1409" s="41" t="str"/>
    </row>
    <row r="1410">
      <c r="B1410" s="2" t="n"/>
      <c r="C1410" s="40" t="n"/>
      <c r="D1410" s="52">
        <f t="array" ref="D1410:W1410">IF(All_Students_Scores!C1408:V1408="","",All_Students_Scores!C1408:V1408)</f>
        <v/>
      </c>
      <c r="E1410" s="57" t="str"/>
      <c r="F1410" s="49" t="str"/>
      <c r="G1410" s="59" t="str"/>
      <c r="H1410" s="64" t="str"/>
      <c r="I1410" s="65" t="str"/>
      <c r="J1410" s="49" t="str"/>
      <c r="K1410" s="41" t="str"/>
      <c r="L1410" s="41" t="str"/>
      <c r="M1410" s="41" t="str"/>
      <c r="N1410" s="41" t="str"/>
      <c r="O1410" s="41" t="str"/>
      <c r="P1410" s="41" t="str"/>
      <c r="Q1410" s="41" t="str"/>
      <c r="R1410" s="41" t="str"/>
      <c r="S1410" s="41" t="str"/>
      <c r="T1410" s="41" t="str"/>
      <c r="U1410" s="41" t="str"/>
      <c r="V1410" s="41" t="str"/>
      <c r="W1410" s="41" t="str"/>
    </row>
    <row r="1411">
      <c r="B1411" s="2" t="n"/>
      <c r="C1411" s="40" t="n"/>
      <c r="D1411" s="52">
        <f t="array" ref="D1411:W1411">IF(All_Students_Scores!C1409:V1409="","",All_Students_Scores!C1409:V1409)</f>
        <v/>
      </c>
      <c r="E1411" s="57" t="str"/>
      <c r="F1411" s="49" t="str"/>
      <c r="G1411" s="59" t="str"/>
      <c r="H1411" s="64" t="str"/>
      <c r="I1411" s="65" t="str"/>
      <c r="J1411" s="49" t="str"/>
      <c r="K1411" s="41" t="str"/>
      <c r="L1411" s="41" t="str"/>
      <c r="M1411" s="41" t="str"/>
      <c r="N1411" s="41" t="str"/>
      <c r="O1411" s="41" t="str"/>
      <c r="P1411" s="41" t="str"/>
      <c r="Q1411" s="41" t="str"/>
      <c r="R1411" s="41" t="str"/>
      <c r="S1411" s="41" t="str"/>
      <c r="T1411" s="41" t="str"/>
      <c r="U1411" s="41" t="str"/>
      <c r="V1411" s="41" t="str"/>
      <c r="W1411" s="41" t="str"/>
    </row>
    <row r="1412">
      <c r="B1412" s="2" t="n"/>
      <c r="C1412" s="40" t="n"/>
      <c r="D1412" s="52">
        <f t="array" ref="D1412:W1412">IF(All_Students_Scores!C1410:V1410="","",All_Students_Scores!C1410:V1410)</f>
        <v/>
      </c>
      <c r="E1412" s="57" t="str"/>
      <c r="F1412" s="49" t="str"/>
      <c r="G1412" s="59" t="str"/>
      <c r="H1412" s="64" t="str"/>
      <c r="I1412" s="65" t="str"/>
      <c r="J1412" s="49" t="str"/>
      <c r="K1412" s="41" t="str"/>
      <c r="L1412" s="41" t="str"/>
      <c r="M1412" s="41" t="str"/>
      <c r="N1412" s="41" t="str"/>
      <c r="O1412" s="41" t="str"/>
      <c r="P1412" s="41" t="str"/>
      <c r="Q1412" s="41" t="str"/>
      <c r="R1412" s="41" t="str"/>
      <c r="S1412" s="41" t="str"/>
      <c r="T1412" s="41" t="str"/>
      <c r="U1412" s="41" t="str"/>
      <c r="V1412" s="41" t="str"/>
      <c r="W1412" s="41" t="str"/>
    </row>
    <row r="1413">
      <c r="B1413" s="2" t="n"/>
      <c r="C1413" s="40" t="n"/>
      <c r="D1413" s="52">
        <f t="array" ref="D1413:W1413">IF(All_Students_Scores!C1411:V1411="","",All_Students_Scores!C1411:V1411)</f>
        <v/>
      </c>
      <c r="E1413" s="57" t="str"/>
      <c r="F1413" s="49" t="str"/>
      <c r="G1413" s="59" t="str"/>
      <c r="H1413" s="64" t="str"/>
      <c r="I1413" s="65" t="str"/>
      <c r="J1413" s="49" t="str"/>
      <c r="K1413" s="41" t="str"/>
      <c r="L1413" s="41" t="str"/>
      <c r="M1413" s="41" t="str"/>
      <c r="N1413" s="41" t="str"/>
      <c r="O1413" s="41" t="str"/>
      <c r="P1413" s="41" t="str"/>
      <c r="Q1413" s="41" t="str"/>
      <c r="R1413" s="41" t="str"/>
      <c r="S1413" s="41" t="str"/>
      <c r="T1413" s="41" t="str"/>
      <c r="U1413" s="41" t="str"/>
      <c r="V1413" s="41" t="str"/>
      <c r="W1413" s="41" t="str"/>
    </row>
    <row r="1414">
      <c r="B1414" s="2" t="n"/>
      <c r="C1414" s="40" t="n"/>
      <c r="D1414" s="52">
        <f t="array" ref="D1414:W1414">IF(All_Students_Scores!C1412:V1412="","",All_Students_Scores!C1412:V1412)</f>
        <v/>
      </c>
      <c r="E1414" s="57" t="str"/>
      <c r="F1414" s="49" t="str"/>
      <c r="G1414" s="59" t="str"/>
      <c r="H1414" s="64" t="str"/>
      <c r="I1414" s="65" t="str"/>
      <c r="J1414" s="49" t="str"/>
      <c r="K1414" s="41" t="str"/>
      <c r="L1414" s="41" t="str"/>
      <c r="M1414" s="41" t="str"/>
      <c r="N1414" s="41" t="str"/>
      <c r="O1414" s="41" t="str"/>
      <c r="P1414" s="41" t="str"/>
      <c r="Q1414" s="41" t="str"/>
      <c r="R1414" s="41" t="str"/>
      <c r="S1414" s="41" t="str"/>
      <c r="T1414" s="41" t="str"/>
      <c r="U1414" s="41" t="str"/>
      <c r="V1414" s="41" t="str"/>
      <c r="W1414" s="41" t="str"/>
    </row>
    <row r="1415">
      <c r="B1415" s="2" t="n"/>
      <c r="C1415" s="40" t="n"/>
      <c r="D1415" s="52">
        <f t="array" ref="D1415:W1415">IF(All_Students_Scores!C1413:V1413="","",All_Students_Scores!C1413:V1413)</f>
        <v/>
      </c>
      <c r="E1415" s="57" t="str"/>
      <c r="F1415" s="49" t="str"/>
      <c r="G1415" s="59" t="str"/>
      <c r="H1415" s="64" t="str"/>
      <c r="I1415" s="65" t="str"/>
      <c r="J1415" s="49" t="str"/>
      <c r="K1415" s="41" t="str"/>
      <c r="L1415" s="41" t="str"/>
      <c r="M1415" s="41" t="str"/>
      <c r="N1415" s="41" t="str"/>
      <c r="O1415" s="41" t="str"/>
      <c r="P1415" s="41" t="str"/>
      <c r="Q1415" s="41" t="str"/>
      <c r="R1415" s="41" t="str"/>
      <c r="S1415" s="41" t="str"/>
      <c r="T1415" s="41" t="str"/>
      <c r="U1415" s="41" t="str"/>
      <c r="V1415" s="41" t="str"/>
      <c r="W1415" s="41" t="str"/>
    </row>
    <row r="1416">
      <c r="B1416" s="2" t="n"/>
      <c r="C1416" s="40" t="n"/>
      <c r="D1416" s="52">
        <f t="array" ref="D1416:W1416">IF(All_Students_Scores!C1414:V1414="","",All_Students_Scores!C1414:V1414)</f>
        <v/>
      </c>
      <c r="E1416" s="57" t="str"/>
      <c r="F1416" s="49" t="str"/>
      <c r="G1416" s="59" t="str"/>
      <c r="H1416" s="64" t="str"/>
      <c r="I1416" s="65" t="str"/>
      <c r="J1416" s="49" t="str"/>
      <c r="K1416" s="41" t="str"/>
      <c r="L1416" s="41" t="str"/>
      <c r="M1416" s="41" t="str"/>
      <c r="N1416" s="41" t="str"/>
      <c r="O1416" s="41" t="str"/>
      <c r="P1416" s="41" t="str"/>
      <c r="Q1416" s="41" t="str"/>
      <c r="R1416" s="41" t="str"/>
      <c r="S1416" s="41" t="str"/>
      <c r="T1416" s="41" t="str"/>
      <c r="U1416" s="41" t="str"/>
      <c r="V1416" s="41" t="str"/>
      <c r="W1416" s="41" t="str"/>
    </row>
    <row r="1417">
      <c r="B1417" s="2" t="n"/>
      <c r="C1417" s="40" t="n"/>
      <c r="D1417" s="52">
        <f t="array" ref="D1417:W1417">IF(All_Students_Scores!C1415:V1415="","",All_Students_Scores!C1415:V1415)</f>
        <v/>
      </c>
      <c r="E1417" s="57" t="str"/>
      <c r="F1417" s="49" t="str"/>
      <c r="G1417" s="59" t="str"/>
      <c r="H1417" s="64" t="str"/>
      <c r="I1417" s="65" t="str"/>
      <c r="J1417" s="49" t="str"/>
      <c r="K1417" s="41" t="str"/>
      <c r="L1417" s="41" t="str"/>
      <c r="M1417" s="41" t="str"/>
      <c r="N1417" s="41" t="str"/>
      <c r="O1417" s="41" t="str"/>
      <c r="P1417" s="41" t="str"/>
      <c r="Q1417" s="41" t="str"/>
      <c r="R1417" s="41" t="str"/>
      <c r="S1417" s="41" t="str"/>
      <c r="T1417" s="41" t="str"/>
      <c r="U1417" s="41" t="str"/>
      <c r="V1417" s="41" t="str"/>
      <c r="W1417" s="41" t="str"/>
    </row>
    <row r="1418">
      <c r="B1418" s="2" t="n"/>
      <c r="C1418" s="40" t="n"/>
      <c r="D1418" s="52">
        <f t="array" ref="D1418:W1418">IF(All_Students_Scores!C1416:V1416="","",All_Students_Scores!C1416:V1416)</f>
        <v/>
      </c>
      <c r="E1418" s="57" t="str"/>
      <c r="F1418" s="49" t="str"/>
      <c r="G1418" s="59" t="str"/>
      <c r="H1418" s="64" t="str"/>
      <c r="I1418" s="65" t="str"/>
      <c r="J1418" s="49" t="str"/>
      <c r="K1418" s="41" t="str"/>
      <c r="L1418" s="41" t="str"/>
      <c r="M1418" s="41" t="str"/>
      <c r="N1418" s="41" t="str"/>
      <c r="O1418" s="41" t="str"/>
      <c r="P1418" s="41" t="str"/>
      <c r="Q1418" s="41" t="str"/>
      <c r="R1418" s="41" t="str"/>
      <c r="S1418" s="41" t="str"/>
      <c r="T1418" s="41" t="str"/>
      <c r="U1418" s="41" t="str"/>
      <c r="V1418" s="41" t="str"/>
      <c r="W1418" s="41" t="str"/>
    </row>
    <row r="1419">
      <c r="B1419" s="2" t="n"/>
      <c r="C1419" s="40" t="n"/>
      <c r="D1419" s="52">
        <f t="array" ref="D1419:W1419">IF(All_Students_Scores!C1417:V1417="","",All_Students_Scores!C1417:V1417)</f>
        <v/>
      </c>
      <c r="E1419" s="57" t="str"/>
      <c r="F1419" s="49" t="str"/>
      <c r="G1419" s="59" t="str"/>
      <c r="H1419" s="64" t="str"/>
      <c r="I1419" s="65" t="str"/>
      <c r="J1419" s="49" t="str"/>
      <c r="K1419" s="41" t="str"/>
      <c r="L1419" s="41" t="str"/>
      <c r="M1419" s="41" t="str"/>
      <c r="N1419" s="41" t="str"/>
      <c r="O1419" s="41" t="str"/>
      <c r="P1419" s="41" t="str"/>
      <c r="Q1419" s="41" t="str"/>
      <c r="R1419" s="41" t="str"/>
      <c r="S1419" s="41" t="str"/>
      <c r="T1419" s="41" t="str"/>
      <c r="U1419" s="41" t="str"/>
      <c r="V1419" s="41" t="str"/>
      <c r="W1419" s="41" t="str"/>
    </row>
    <row r="1420">
      <c r="B1420" s="2" t="n"/>
      <c r="C1420" s="40" t="n"/>
      <c r="D1420" s="52">
        <f t="array" ref="D1420:W1420">IF(All_Students_Scores!C1418:V1418="","",All_Students_Scores!C1418:V1418)</f>
        <v/>
      </c>
      <c r="E1420" s="57" t="str"/>
      <c r="F1420" s="49" t="str"/>
      <c r="G1420" s="59" t="str"/>
      <c r="H1420" s="64" t="str"/>
      <c r="I1420" s="65" t="str"/>
      <c r="J1420" s="49" t="str"/>
      <c r="K1420" s="41" t="str"/>
      <c r="L1420" s="41" t="str"/>
      <c r="M1420" s="41" t="str"/>
      <c r="N1420" s="41" t="str"/>
      <c r="O1420" s="41" t="str"/>
      <c r="P1420" s="41" t="str"/>
      <c r="Q1420" s="41" t="str"/>
      <c r="R1420" s="41" t="str"/>
      <c r="S1420" s="41" t="str"/>
      <c r="T1420" s="41" t="str"/>
      <c r="U1420" s="41" t="str"/>
      <c r="V1420" s="41" t="str"/>
      <c r="W1420" s="41" t="str"/>
    </row>
    <row r="1421">
      <c r="B1421" s="2" t="n"/>
      <c r="C1421" s="40" t="n"/>
      <c r="D1421" s="52">
        <f t="array" ref="D1421:W1421">IF(All_Students_Scores!C1419:V1419="","",All_Students_Scores!C1419:V1419)</f>
        <v/>
      </c>
      <c r="E1421" s="57" t="str"/>
      <c r="F1421" s="49" t="str"/>
      <c r="G1421" s="59" t="str"/>
      <c r="H1421" s="64" t="str"/>
      <c r="I1421" s="65" t="str"/>
      <c r="J1421" s="49" t="str"/>
      <c r="K1421" s="41" t="str"/>
      <c r="L1421" s="41" t="str"/>
      <c r="M1421" s="41" t="str"/>
      <c r="N1421" s="41" t="str"/>
      <c r="O1421" s="41" t="str"/>
      <c r="P1421" s="41" t="str"/>
      <c r="Q1421" s="41" t="str"/>
      <c r="R1421" s="41" t="str"/>
      <c r="S1421" s="41" t="str"/>
      <c r="T1421" s="41" t="str"/>
      <c r="U1421" s="41" t="str"/>
      <c r="V1421" s="41" t="str"/>
      <c r="W1421" s="41" t="str"/>
    </row>
    <row r="1422">
      <c r="B1422" s="2" t="n"/>
      <c r="C1422" s="40" t="n"/>
      <c r="D1422" s="52">
        <f t="array" ref="D1422:W1422">IF(All_Students_Scores!C1420:V1420="","",All_Students_Scores!C1420:V1420)</f>
        <v/>
      </c>
      <c r="E1422" s="57" t="str"/>
      <c r="F1422" s="49" t="str"/>
      <c r="G1422" s="59" t="str"/>
      <c r="H1422" s="64" t="str"/>
      <c r="I1422" s="65" t="str"/>
      <c r="J1422" s="49" t="str"/>
      <c r="K1422" s="41" t="str"/>
      <c r="L1422" s="41" t="str"/>
      <c r="M1422" s="41" t="str"/>
      <c r="N1422" s="41" t="str"/>
      <c r="O1422" s="41" t="str"/>
      <c r="P1422" s="41" t="str"/>
      <c r="Q1422" s="41" t="str"/>
      <c r="R1422" s="41" t="str"/>
      <c r="S1422" s="41" t="str"/>
      <c r="T1422" s="41" t="str"/>
      <c r="U1422" s="41" t="str"/>
      <c r="V1422" s="41" t="str"/>
      <c r="W1422" s="41" t="str"/>
    </row>
    <row r="1423">
      <c r="B1423" s="2" t="n"/>
      <c r="C1423" s="40" t="n"/>
      <c r="D1423" s="52">
        <f t="array" ref="D1423:W1423">IF(All_Students_Scores!C1421:V1421="","",All_Students_Scores!C1421:V1421)</f>
        <v/>
      </c>
      <c r="E1423" s="57" t="str"/>
      <c r="F1423" s="49" t="str"/>
      <c r="G1423" s="59" t="str"/>
      <c r="H1423" s="64" t="str"/>
      <c r="I1423" s="65" t="str"/>
      <c r="J1423" s="49" t="str"/>
      <c r="K1423" s="41" t="str"/>
      <c r="L1423" s="41" t="str"/>
      <c r="M1423" s="41" t="str"/>
      <c r="N1423" s="41" t="str"/>
      <c r="O1423" s="41" t="str"/>
      <c r="P1423" s="41" t="str"/>
      <c r="Q1423" s="41" t="str"/>
      <c r="R1423" s="41" t="str"/>
      <c r="S1423" s="41" t="str"/>
      <c r="T1423" s="41" t="str"/>
      <c r="U1423" s="41" t="str"/>
      <c r="V1423" s="41" t="str"/>
      <c r="W1423" s="41" t="str"/>
    </row>
    <row r="1424">
      <c r="B1424" s="2" t="n"/>
      <c r="C1424" s="40" t="n"/>
      <c r="D1424" s="52">
        <f t="array" ref="D1424:W1424">IF(All_Students_Scores!C1422:V1422="","",All_Students_Scores!C1422:V1422)</f>
        <v/>
      </c>
      <c r="E1424" s="57" t="str"/>
      <c r="F1424" s="49" t="str"/>
      <c r="G1424" s="59" t="str"/>
      <c r="H1424" s="64" t="str"/>
      <c r="I1424" s="65" t="str"/>
      <c r="J1424" s="49" t="str"/>
      <c r="K1424" s="41" t="str"/>
      <c r="L1424" s="41" t="str"/>
      <c r="M1424" s="41" t="str"/>
      <c r="N1424" s="41" t="str"/>
      <c r="O1424" s="41" t="str"/>
      <c r="P1424" s="41" t="str"/>
      <c r="Q1424" s="41" t="str"/>
      <c r="R1424" s="41" t="str"/>
      <c r="S1424" s="41" t="str"/>
      <c r="T1424" s="41" t="str"/>
      <c r="U1424" s="41" t="str"/>
      <c r="V1424" s="41" t="str"/>
      <c r="W1424" s="41" t="str"/>
    </row>
    <row r="1425">
      <c r="B1425" s="2" t="n"/>
      <c r="C1425" s="40" t="n"/>
      <c r="D1425" s="52">
        <f t="array" ref="D1425:W1425">IF(All_Students_Scores!C1423:V1423="","",All_Students_Scores!C1423:V1423)</f>
        <v/>
      </c>
      <c r="E1425" s="57" t="str"/>
      <c r="F1425" s="49" t="str"/>
      <c r="G1425" s="59" t="str"/>
      <c r="H1425" s="64" t="str"/>
      <c r="I1425" s="65" t="str"/>
      <c r="J1425" s="49" t="str"/>
      <c r="K1425" s="41" t="str"/>
      <c r="L1425" s="41" t="str"/>
      <c r="M1425" s="41" t="str"/>
      <c r="N1425" s="41" t="str"/>
      <c r="O1425" s="41" t="str"/>
      <c r="P1425" s="41" t="str"/>
      <c r="Q1425" s="41" t="str"/>
      <c r="R1425" s="41" t="str"/>
      <c r="S1425" s="41" t="str"/>
      <c r="T1425" s="41" t="str"/>
      <c r="U1425" s="41" t="str"/>
      <c r="V1425" s="41" t="str"/>
      <c r="W1425" s="41" t="str"/>
    </row>
    <row r="1426">
      <c r="B1426" s="2" t="n"/>
      <c r="C1426" s="40" t="n"/>
      <c r="D1426" s="52">
        <f t="array" ref="D1426:W1426">IF(All_Students_Scores!C1424:V1424="","",All_Students_Scores!C1424:V1424)</f>
        <v/>
      </c>
      <c r="E1426" s="57" t="str"/>
      <c r="F1426" s="49" t="str"/>
      <c r="G1426" s="59" t="str"/>
      <c r="H1426" s="64" t="str"/>
      <c r="I1426" s="65" t="str"/>
      <c r="J1426" s="49" t="str"/>
      <c r="K1426" s="41" t="str"/>
      <c r="L1426" s="41" t="str"/>
      <c r="M1426" s="41" t="str"/>
      <c r="N1426" s="41" t="str"/>
      <c r="O1426" s="41" t="str"/>
      <c r="P1426" s="41" t="str"/>
      <c r="Q1426" s="41" t="str"/>
      <c r="R1426" s="41" t="str"/>
      <c r="S1426" s="41" t="str"/>
      <c r="T1426" s="41" t="str"/>
      <c r="U1426" s="41" t="str"/>
      <c r="V1426" s="41" t="str"/>
      <c r="W1426" s="41" t="str"/>
    </row>
    <row r="1427">
      <c r="B1427" s="2" t="n"/>
      <c r="C1427" s="40" t="n"/>
      <c r="D1427" s="52">
        <f t="array" ref="D1427:W1427">IF(All_Students_Scores!C1425:V1425="","",All_Students_Scores!C1425:V1425)</f>
        <v/>
      </c>
      <c r="E1427" s="57" t="str"/>
      <c r="F1427" s="49" t="str"/>
      <c r="G1427" s="59" t="str"/>
      <c r="H1427" s="64" t="str"/>
      <c r="I1427" s="65" t="str"/>
      <c r="J1427" s="49" t="str"/>
      <c r="K1427" s="41" t="str"/>
      <c r="L1427" s="41" t="str"/>
      <c r="M1427" s="41" t="str"/>
      <c r="N1427" s="41" t="str"/>
      <c r="O1427" s="41" t="str"/>
      <c r="P1427" s="41" t="str"/>
      <c r="Q1427" s="41" t="str"/>
      <c r="R1427" s="41" t="str"/>
      <c r="S1427" s="41" t="str"/>
      <c r="T1427" s="41" t="str"/>
      <c r="U1427" s="41" t="str"/>
      <c r="V1427" s="41" t="str"/>
      <c r="W1427" s="41" t="str"/>
    </row>
    <row r="1428">
      <c r="B1428" s="2" t="n"/>
      <c r="C1428" s="40" t="n"/>
      <c r="D1428" s="52">
        <f t="array" ref="D1428:W1428">IF(All_Students_Scores!C1426:V1426="","",All_Students_Scores!C1426:V1426)</f>
        <v/>
      </c>
      <c r="E1428" s="57" t="str"/>
      <c r="F1428" s="49" t="str"/>
      <c r="G1428" s="59" t="str"/>
      <c r="H1428" s="64" t="str"/>
      <c r="I1428" s="65" t="str"/>
      <c r="J1428" s="49" t="str"/>
      <c r="K1428" s="41" t="str"/>
      <c r="L1428" s="41" t="str"/>
      <c r="M1428" s="41" t="str"/>
      <c r="N1428" s="41" t="str"/>
      <c r="O1428" s="41" t="str"/>
      <c r="P1428" s="41" t="str"/>
      <c r="Q1428" s="41" t="str"/>
      <c r="R1428" s="41" t="str"/>
      <c r="S1428" s="41" t="str"/>
      <c r="T1428" s="41" t="str"/>
      <c r="U1428" s="41" t="str"/>
      <c r="V1428" s="41" t="str"/>
      <c r="W1428" s="41" t="str"/>
    </row>
    <row r="1429">
      <c r="B1429" s="2" t="n"/>
      <c r="C1429" s="40" t="n"/>
      <c r="D1429" s="52">
        <f t="array" ref="D1429:W1429">IF(All_Students_Scores!C1427:V1427="","",All_Students_Scores!C1427:V1427)</f>
        <v/>
      </c>
      <c r="E1429" s="57" t="str"/>
      <c r="F1429" s="49" t="str"/>
      <c r="G1429" s="59" t="str"/>
      <c r="H1429" s="64" t="str"/>
      <c r="I1429" s="65" t="str"/>
      <c r="J1429" s="49" t="str"/>
      <c r="K1429" s="41" t="str"/>
      <c r="L1429" s="41" t="str"/>
      <c r="M1429" s="41" t="str"/>
      <c r="N1429" s="41" t="str"/>
      <c r="O1429" s="41" t="str"/>
      <c r="P1429" s="41" t="str"/>
      <c r="Q1429" s="41" t="str"/>
      <c r="R1429" s="41" t="str"/>
      <c r="S1429" s="41" t="str"/>
      <c r="T1429" s="41" t="str"/>
      <c r="U1429" s="41" t="str"/>
      <c r="V1429" s="41" t="str"/>
      <c r="W1429" s="41" t="str"/>
    </row>
    <row r="1430">
      <c r="B1430" s="2" t="n"/>
      <c r="C1430" s="40" t="n"/>
      <c r="D1430" s="52">
        <f t="array" ref="D1430:W1430">IF(All_Students_Scores!C1428:V1428="","",All_Students_Scores!C1428:V1428)</f>
        <v/>
      </c>
      <c r="E1430" s="57" t="str"/>
      <c r="F1430" s="49" t="str"/>
      <c r="G1430" s="59" t="str"/>
      <c r="H1430" s="64" t="str"/>
      <c r="I1430" s="65" t="str"/>
      <c r="J1430" s="49" t="str"/>
      <c r="K1430" s="41" t="str"/>
      <c r="L1430" s="41" t="str"/>
      <c r="M1430" s="41" t="str"/>
      <c r="N1430" s="41" t="str"/>
      <c r="O1430" s="41" t="str"/>
      <c r="P1430" s="41" t="str"/>
      <c r="Q1430" s="41" t="str"/>
      <c r="R1430" s="41" t="str"/>
      <c r="S1430" s="41" t="str"/>
      <c r="T1430" s="41" t="str"/>
      <c r="U1430" s="41" t="str"/>
      <c r="V1430" s="41" t="str"/>
      <c r="W1430" s="41" t="str"/>
    </row>
    <row r="1431">
      <c r="B1431" s="2" t="n"/>
      <c r="C1431" s="40" t="n"/>
      <c r="D1431" s="52">
        <f t="array" ref="D1431:W1431">IF(All_Students_Scores!C1429:V1429="","",All_Students_Scores!C1429:V1429)</f>
        <v/>
      </c>
      <c r="E1431" s="57" t="str"/>
      <c r="F1431" s="49" t="str"/>
      <c r="G1431" s="59" t="str"/>
      <c r="H1431" s="64" t="str"/>
      <c r="I1431" s="65" t="str"/>
      <c r="J1431" s="49" t="str"/>
      <c r="K1431" s="41" t="str"/>
      <c r="L1431" s="41" t="str"/>
      <c r="M1431" s="41" t="str"/>
      <c r="N1431" s="41" t="str"/>
      <c r="O1431" s="41" t="str"/>
      <c r="P1431" s="41" t="str"/>
      <c r="Q1431" s="41" t="str"/>
      <c r="R1431" s="41" t="str"/>
      <c r="S1431" s="41" t="str"/>
      <c r="T1431" s="41" t="str"/>
      <c r="U1431" s="41" t="str"/>
      <c r="V1431" s="41" t="str"/>
      <c r="W1431" s="41" t="str"/>
    </row>
    <row r="1432">
      <c r="B1432" s="2" t="n"/>
      <c r="C1432" s="40" t="n"/>
      <c r="D1432" s="52">
        <f t="array" ref="D1432:W1432">IF(All_Students_Scores!C1430:V1430="","",All_Students_Scores!C1430:V1430)</f>
        <v/>
      </c>
      <c r="E1432" s="57" t="str"/>
      <c r="F1432" s="49" t="str"/>
      <c r="G1432" s="59" t="str"/>
      <c r="H1432" s="64" t="str"/>
      <c r="I1432" s="65" t="str"/>
      <c r="J1432" s="49" t="str"/>
      <c r="K1432" s="41" t="str"/>
      <c r="L1432" s="41" t="str"/>
      <c r="M1432" s="41" t="str"/>
      <c r="N1432" s="41" t="str"/>
      <c r="O1432" s="41" t="str"/>
      <c r="P1432" s="41" t="str"/>
      <c r="Q1432" s="41" t="str"/>
      <c r="R1432" s="41" t="str"/>
      <c r="S1432" s="41" t="str"/>
      <c r="T1432" s="41" t="str"/>
      <c r="U1432" s="41" t="str"/>
      <c r="V1432" s="41" t="str"/>
      <c r="W1432" s="41" t="str"/>
    </row>
    <row r="1433">
      <c r="B1433" s="2" t="n"/>
      <c r="C1433" s="40" t="n"/>
      <c r="D1433" s="52">
        <f t="array" ref="D1433:W1433">IF(All_Students_Scores!C1431:V1431="","",All_Students_Scores!C1431:V1431)</f>
        <v/>
      </c>
      <c r="E1433" s="57" t="str"/>
      <c r="F1433" s="49" t="str"/>
      <c r="G1433" s="59" t="str"/>
      <c r="H1433" s="64" t="str"/>
      <c r="I1433" s="65" t="str"/>
      <c r="J1433" s="49" t="str"/>
      <c r="K1433" s="41" t="str"/>
      <c r="L1433" s="41" t="str"/>
      <c r="M1433" s="41" t="str"/>
      <c r="N1433" s="41" t="str"/>
      <c r="O1433" s="41" t="str"/>
      <c r="P1433" s="41" t="str"/>
      <c r="Q1433" s="41" t="str"/>
      <c r="R1433" s="41" t="str"/>
      <c r="S1433" s="41" t="str"/>
      <c r="T1433" s="41" t="str"/>
      <c r="U1433" s="41" t="str"/>
      <c r="V1433" s="41" t="str"/>
      <c r="W1433" s="41" t="str"/>
    </row>
    <row r="1434">
      <c r="B1434" s="2" t="n"/>
      <c r="C1434" s="40" t="n"/>
      <c r="D1434" s="52">
        <f t="array" ref="D1434:W1434">IF(All_Students_Scores!C1432:V1432="","",All_Students_Scores!C1432:V1432)</f>
        <v/>
      </c>
      <c r="E1434" s="57" t="str"/>
      <c r="F1434" s="49" t="str"/>
      <c r="G1434" s="59" t="str"/>
      <c r="H1434" s="64" t="str"/>
      <c r="I1434" s="65" t="str"/>
      <c r="J1434" s="49" t="str"/>
      <c r="K1434" s="41" t="str"/>
      <c r="L1434" s="41" t="str"/>
      <c r="M1434" s="41" t="str"/>
      <c r="N1434" s="41" t="str"/>
      <c r="O1434" s="41" t="str"/>
      <c r="P1434" s="41" t="str"/>
      <c r="Q1434" s="41" t="str"/>
      <c r="R1434" s="41" t="str"/>
      <c r="S1434" s="41" t="str"/>
      <c r="T1434" s="41" t="str"/>
      <c r="U1434" s="41" t="str"/>
      <c r="V1434" s="41" t="str"/>
      <c r="W1434" s="41" t="str"/>
    </row>
    <row r="1435">
      <c r="B1435" s="2" t="n"/>
      <c r="C1435" s="40" t="n"/>
      <c r="D1435" s="52">
        <f t="array" ref="D1435:W1435">IF(All_Students_Scores!C1433:V1433="","",All_Students_Scores!C1433:V1433)</f>
        <v/>
      </c>
      <c r="E1435" s="57" t="str"/>
      <c r="F1435" s="49" t="str"/>
      <c r="G1435" s="59" t="str"/>
      <c r="H1435" s="64" t="str"/>
      <c r="I1435" s="65" t="str"/>
      <c r="J1435" s="49" t="str"/>
      <c r="K1435" s="41" t="str"/>
      <c r="L1435" s="41" t="str"/>
      <c r="M1435" s="41" t="str"/>
      <c r="N1435" s="41" t="str"/>
      <c r="O1435" s="41" t="str"/>
      <c r="P1435" s="41" t="str"/>
      <c r="Q1435" s="41" t="str"/>
      <c r="R1435" s="41" t="str"/>
      <c r="S1435" s="41" t="str"/>
      <c r="T1435" s="41" t="str"/>
      <c r="U1435" s="41" t="str"/>
      <c r="V1435" s="41" t="str"/>
      <c r="W1435" s="41" t="str"/>
    </row>
    <row r="1436">
      <c r="B1436" s="2" t="n"/>
      <c r="C1436" s="40" t="n"/>
      <c r="D1436" s="52">
        <f t="array" ref="D1436:W1436">IF(All_Students_Scores!C1434:V1434="","",All_Students_Scores!C1434:V1434)</f>
        <v/>
      </c>
      <c r="E1436" s="57" t="str"/>
      <c r="F1436" s="49" t="str"/>
      <c r="G1436" s="59" t="str"/>
      <c r="H1436" s="64" t="str"/>
      <c r="I1436" s="65" t="str"/>
      <c r="J1436" s="49" t="str"/>
      <c r="K1436" s="41" t="str"/>
      <c r="L1436" s="41" t="str"/>
      <c r="M1436" s="41" t="str"/>
      <c r="N1436" s="41" t="str"/>
      <c r="O1436" s="41" t="str"/>
      <c r="P1436" s="41" t="str"/>
      <c r="Q1436" s="41" t="str"/>
      <c r="R1436" s="41" t="str"/>
      <c r="S1436" s="41" t="str"/>
      <c r="T1436" s="41" t="str"/>
      <c r="U1436" s="41" t="str"/>
      <c r="V1436" s="41" t="str"/>
      <c r="W1436" s="41" t="str"/>
    </row>
    <row r="1437">
      <c r="B1437" s="2" t="n"/>
      <c r="C1437" s="40" t="n"/>
      <c r="D1437" s="52">
        <f t="array" ref="D1437:W1437">IF(All_Students_Scores!C1435:V1435="","",All_Students_Scores!C1435:V1435)</f>
        <v/>
      </c>
      <c r="E1437" s="57" t="str"/>
      <c r="F1437" s="49" t="str"/>
      <c r="G1437" s="59" t="str"/>
      <c r="H1437" s="64" t="str"/>
      <c r="I1437" s="65" t="str"/>
      <c r="J1437" s="49" t="str"/>
      <c r="K1437" s="41" t="str"/>
      <c r="L1437" s="41" t="str"/>
      <c r="M1437" s="41" t="str"/>
      <c r="N1437" s="41" t="str"/>
      <c r="O1437" s="41" t="str"/>
      <c r="P1437" s="41" t="str"/>
      <c r="Q1437" s="41" t="str"/>
      <c r="R1437" s="41" t="str"/>
      <c r="S1437" s="41" t="str"/>
      <c r="T1437" s="41" t="str"/>
      <c r="U1437" s="41" t="str"/>
      <c r="V1437" s="41" t="str"/>
      <c r="W1437" s="41" t="str"/>
    </row>
    <row r="1438">
      <c r="B1438" s="2" t="n"/>
      <c r="C1438" s="40" t="n"/>
      <c r="D1438" s="52">
        <f t="array" ref="D1438:W1438">IF(All_Students_Scores!C1436:V1436="","",All_Students_Scores!C1436:V1436)</f>
        <v/>
      </c>
      <c r="E1438" s="57" t="str"/>
      <c r="F1438" s="49" t="str"/>
      <c r="G1438" s="59" t="str"/>
      <c r="H1438" s="64" t="str"/>
      <c r="I1438" s="65" t="str"/>
      <c r="J1438" s="49" t="str"/>
      <c r="K1438" s="41" t="str"/>
      <c r="L1438" s="41" t="str"/>
      <c r="M1438" s="41" t="str"/>
      <c r="N1438" s="41" t="str"/>
      <c r="O1438" s="41" t="str"/>
      <c r="P1438" s="41" t="str"/>
      <c r="Q1438" s="41" t="str"/>
      <c r="R1438" s="41" t="str"/>
      <c r="S1438" s="41" t="str"/>
      <c r="T1438" s="41" t="str"/>
      <c r="U1438" s="41" t="str"/>
      <c r="V1438" s="41" t="str"/>
      <c r="W1438" s="41" t="str"/>
    </row>
    <row r="1439">
      <c r="B1439" s="2" t="n"/>
      <c r="C1439" s="40" t="n"/>
      <c r="D1439" s="52">
        <f t="array" ref="D1439:W1439">IF(All_Students_Scores!C1437:V1437="","",All_Students_Scores!C1437:V1437)</f>
        <v/>
      </c>
      <c r="E1439" s="57" t="str"/>
      <c r="F1439" s="49" t="str"/>
      <c r="G1439" s="59" t="str"/>
      <c r="H1439" s="64" t="str"/>
      <c r="I1439" s="65" t="str"/>
      <c r="J1439" s="49" t="str"/>
      <c r="K1439" s="41" t="str"/>
      <c r="L1439" s="41" t="str"/>
      <c r="M1439" s="41" t="str"/>
      <c r="N1439" s="41" t="str"/>
      <c r="O1439" s="41" t="str"/>
      <c r="P1439" s="41" t="str"/>
      <c r="Q1439" s="41" t="str"/>
      <c r="R1439" s="41" t="str"/>
      <c r="S1439" s="41" t="str"/>
      <c r="T1439" s="41" t="str"/>
      <c r="U1439" s="41" t="str"/>
      <c r="V1439" s="41" t="str"/>
      <c r="W1439" s="41" t="str"/>
    </row>
    <row r="1440">
      <c r="B1440" s="2" t="n"/>
      <c r="C1440" s="40" t="n"/>
      <c r="D1440" s="52">
        <f t="array" ref="D1440:W1440">IF(All_Students_Scores!C1438:V1438="","",All_Students_Scores!C1438:V1438)</f>
        <v/>
      </c>
      <c r="E1440" s="57" t="str"/>
      <c r="F1440" s="49" t="str"/>
      <c r="G1440" s="59" t="str"/>
      <c r="H1440" s="64" t="str"/>
      <c r="I1440" s="65" t="str"/>
      <c r="J1440" s="49" t="str"/>
      <c r="K1440" s="41" t="str"/>
      <c r="L1440" s="41" t="str"/>
      <c r="M1440" s="41" t="str"/>
      <c r="N1440" s="41" t="str"/>
      <c r="O1440" s="41" t="str"/>
      <c r="P1440" s="41" t="str"/>
      <c r="Q1440" s="41" t="str"/>
      <c r="R1440" s="41" t="str"/>
      <c r="S1440" s="41" t="str"/>
      <c r="T1440" s="41" t="str"/>
      <c r="U1440" s="41" t="str"/>
      <c r="V1440" s="41" t="str"/>
      <c r="W1440" s="41" t="str"/>
    </row>
    <row r="1441">
      <c r="B1441" s="2" t="n"/>
      <c r="C1441" s="40" t="n"/>
      <c r="D1441" s="52">
        <f t="array" ref="D1441:W1441">IF(All_Students_Scores!C1439:V1439="","",All_Students_Scores!C1439:V1439)</f>
        <v/>
      </c>
      <c r="E1441" s="57" t="str"/>
      <c r="F1441" s="49" t="str"/>
      <c r="G1441" s="59" t="str"/>
      <c r="H1441" s="64" t="str"/>
      <c r="I1441" s="65" t="str"/>
      <c r="J1441" s="49" t="str"/>
      <c r="K1441" s="41" t="str"/>
      <c r="L1441" s="41" t="str"/>
      <c r="M1441" s="41" t="str"/>
      <c r="N1441" s="41" t="str"/>
      <c r="O1441" s="41" t="str"/>
      <c r="P1441" s="41" t="str"/>
      <c r="Q1441" s="41" t="str"/>
      <c r="R1441" s="41" t="str"/>
      <c r="S1441" s="41" t="str"/>
      <c r="T1441" s="41" t="str"/>
      <c r="U1441" s="41" t="str"/>
      <c r="V1441" s="41" t="str"/>
      <c r="W1441" s="41" t="str"/>
    </row>
    <row r="1442">
      <c r="B1442" s="2" t="n"/>
      <c r="C1442" s="40" t="n"/>
      <c r="D1442" s="52">
        <f t="array" ref="D1442:W1442">IF(All_Students_Scores!C1440:V1440="","",All_Students_Scores!C1440:V1440)</f>
        <v/>
      </c>
      <c r="E1442" s="57" t="str"/>
      <c r="F1442" s="49" t="str"/>
      <c r="G1442" s="59" t="str"/>
      <c r="H1442" s="64" t="str"/>
      <c r="I1442" s="65" t="str"/>
      <c r="J1442" s="49" t="str"/>
      <c r="K1442" s="41" t="str"/>
      <c r="L1442" s="41" t="str"/>
      <c r="M1442" s="41" t="str"/>
      <c r="N1442" s="41" t="str"/>
      <c r="O1442" s="41" t="str"/>
      <c r="P1442" s="41" t="str"/>
      <c r="Q1442" s="41" t="str"/>
      <c r="R1442" s="41" t="str"/>
      <c r="S1442" s="41" t="str"/>
      <c r="T1442" s="41" t="str"/>
      <c r="U1442" s="41" t="str"/>
      <c r="V1442" s="41" t="str"/>
      <c r="W1442" s="41" t="str"/>
    </row>
    <row r="1443">
      <c r="B1443" s="2" t="n"/>
      <c r="C1443" s="40" t="n"/>
      <c r="D1443" s="52">
        <f t="array" ref="D1443:W1443">IF(All_Students_Scores!C1441:V1441="","",All_Students_Scores!C1441:V1441)</f>
        <v/>
      </c>
      <c r="E1443" s="57" t="str"/>
      <c r="F1443" s="49" t="str"/>
      <c r="G1443" s="59" t="str"/>
      <c r="H1443" s="64" t="str"/>
      <c r="I1443" s="65" t="str"/>
      <c r="J1443" s="49" t="str"/>
      <c r="K1443" s="41" t="str"/>
      <c r="L1443" s="41" t="str"/>
      <c r="M1443" s="41" t="str"/>
      <c r="N1443" s="41" t="str"/>
      <c r="O1443" s="41" t="str"/>
      <c r="P1443" s="41" t="str"/>
      <c r="Q1443" s="41" t="str"/>
      <c r="R1443" s="41" t="str"/>
      <c r="S1443" s="41" t="str"/>
      <c r="T1443" s="41" t="str"/>
      <c r="U1443" s="41" t="str"/>
      <c r="V1443" s="41" t="str"/>
      <c r="W1443" s="41" t="str"/>
    </row>
    <row r="1444">
      <c r="B1444" s="2" t="n"/>
      <c r="C1444" s="40" t="n"/>
      <c r="D1444" s="52">
        <f t="array" ref="D1444:W1444">IF(All_Students_Scores!C1442:V1442="","",All_Students_Scores!C1442:V1442)</f>
        <v/>
      </c>
      <c r="E1444" s="57" t="str"/>
      <c r="F1444" s="49" t="str"/>
      <c r="G1444" s="59" t="str"/>
      <c r="H1444" s="64" t="str"/>
      <c r="I1444" s="65" t="str"/>
      <c r="J1444" s="49" t="str"/>
      <c r="K1444" s="41" t="str"/>
      <c r="L1444" s="41" t="str"/>
      <c r="M1444" s="41" t="str"/>
      <c r="N1444" s="41" t="str"/>
      <c r="O1444" s="41" t="str"/>
      <c r="P1444" s="41" t="str"/>
      <c r="Q1444" s="41" t="str"/>
      <c r="R1444" s="41" t="str"/>
      <c r="S1444" s="41" t="str"/>
      <c r="T1444" s="41" t="str"/>
      <c r="U1444" s="41" t="str"/>
      <c r="V1444" s="41" t="str"/>
      <c r="W1444" s="41" t="str"/>
    </row>
    <row r="1445">
      <c r="B1445" s="2" t="n"/>
      <c r="C1445" s="40" t="n"/>
      <c r="D1445" s="52">
        <f t="array" ref="D1445:W1445">IF(All_Students_Scores!C1443:V1443="","",All_Students_Scores!C1443:V1443)</f>
        <v/>
      </c>
      <c r="E1445" s="57" t="str"/>
      <c r="F1445" s="49" t="str"/>
      <c r="G1445" s="59" t="str"/>
      <c r="H1445" s="64" t="str"/>
      <c r="I1445" s="65" t="str"/>
      <c r="J1445" s="49" t="str"/>
      <c r="K1445" s="41" t="str"/>
      <c r="L1445" s="41" t="str"/>
      <c r="M1445" s="41" t="str"/>
      <c r="N1445" s="41" t="str"/>
      <c r="O1445" s="41" t="str"/>
      <c r="P1445" s="41" t="str"/>
      <c r="Q1445" s="41" t="str"/>
      <c r="R1445" s="41" t="str"/>
      <c r="S1445" s="41" t="str"/>
      <c r="T1445" s="41" t="str"/>
      <c r="U1445" s="41" t="str"/>
      <c r="V1445" s="41" t="str"/>
      <c r="W1445" s="41" t="str"/>
    </row>
    <row r="1446">
      <c r="B1446" s="2" t="n"/>
      <c r="C1446" s="40" t="n"/>
      <c r="D1446" s="52">
        <f t="array" ref="D1446:W1446">IF(All_Students_Scores!C1444:V1444="","",All_Students_Scores!C1444:V1444)</f>
        <v/>
      </c>
      <c r="E1446" s="57" t="str"/>
      <c r="F1446" s="49" t="str"/>
      <c r="G1446" s="59" t="str"/>
      <c r="H1446" s="64" t="str"/>
      <c r="I1446" s="65" t="str"/>
      <c r="J1446" s="49" t="str"/>
      <c r="K1446" s="41" t="str"/>
      <c r="L1446" s="41" t="str"/>
      <c r="M1446" s="41" t="str"/>
      <c r="N1446" s="41" t="str"/>
      <c r="O1446" s="41" t="str"/>
      <c r="P1446" s="41" t="str"/>
      <c r="Q1446" s="41" t="str"/>
      <c r="R1446" s="41" t="str"/>
      <c r="S1446" s="41" t="str"/>
      <c r="T1446" s="41" t="str"/>
      <c r="U1446" s="41" t="str"/>
      <c r="V1446" s="41" t="str"/>
      <c r="W1446" s="41" t="str"/>
    </row>
    <row r="1447">
      <c r="B1447" s="2" t="n"/>
      <c r="C1447" s="40" t="n"/>
      <c r="D1447" s="52">
        <f t="array" ref="D1447:W1447">IF(All_Students_Scores!C1445:V1445="","",All_Students_Scores!C1445:V1445)</f>
        <v/>
      </c>
      <c r="E1447" s="57" t="str"/>
      <c r="F1447" s="49" t="str"/>
      <c r="G1447" s="59" t="str"/>
      <c r="H1447" s="64" t="str"/>
      <c r="I1447" s="65" t="str"/>
      <c r="J1447" s="49" t="str"/>
      <c r="K1447" s="41" t="str"/>
      <c r="L1447" s="41" t="str"/>
      <c r="M1447" s="41" t="str"/>
      <c r="N1447" s="41" t="str"/>
      <c r="O1447" s="41" t="str"/>
      <c r="P1447" s="41" t="str"/>
      <c r="Q1447" s="41" t="str"/>
      <c r="R1447" s="41" t="str"/>
      <c r="S1447" s="41" t="str"/>
      <c r="T1447" s="41" t="str"/>
      <c r="U1447" s="41" t="str"/>
      <c r="V1447" s="41" t="str"/>
      <c r="W1447" s="41" t="str"/>
    </row>
    <row r="1448">
      <c r="B1448" s="2" t="n"/>
      <c r="C1448" s="40" t="n"/>
      <c r="D1448" s="52">
        <f t="array" ref="D1448:W1448">IF(All_Students_Scores!C1446:V1446="","",All_Students_Scores!C1446:V1446)</f>
        <v/>
      </c>
      <c r="E1448" s="57" t="str"/>
      <c r="F1448" s="49" t="str"/>
      <c r="G1448" s="59" t="str"/>
      <c r="H1448" s="64" t="str"/>
      <c r="I1448" s="65" t="str"/>
      <c r="J1448" s="49" t="str"/>
      <c r="K1448" s="41" t="str"/>
      <c r="L1448" s="41" t="str"/>
      <c r="M1448" s="41" t="str"/>
      <c r="N1448" s="41" t="str"/>
      <c r="O1448" s="41" t="str"/>
      <c r="P1448" s="41" t="str"/>
      <c r="Q1448" s="41" t="str"/>
      <c r="R1448" s="41" t="str"/>
      <c r="S1448" s="41" t="str"/>
      <c r="T1448" s="41" t="str"/>
      <c r="U1448" s="41" t="str"/>
      <c r="V1448" s="41" t="str"/>
      <c r="W1448" s="41" t="str"/>
    </row>
    <row r="1449">
      <c r="B1449" s="2" t="n"/>
      <c r="C1449" s="40" t="n"/>
      <c r="D1449" s="52">
        <f t="array" ref="D1449:W1449">IF(All_Students_Scores!C1447:V1447="","",All_Students_Scores!C1447:V1447)</f>
        <v/>
      </c>
      <c r="E1449" s="57" t="str"/>
      <c r="F1449" s="49" t="str"/>
      <c r="G1449" s="59" t="str"/>
      <c r="H1449" s="64" t="str"/>
      <c r="I1449" s="65" t="str"/>
      <c r="J1449" s="49" t="str"/>
      <c r="K1449" s="41" t="str"/>
      <c r="L1449" s="41" t="str"/>
      <c r="M1449" s="41" t="str"/>
      <c r="N1449" s="41" t="str"/>
      <c r="O1449" s="41" t="str"/>
      <c r="P1449" s="41" t="str"/>
      <c r="Q1449" s="41" t="str"/>
      <c r="R1449" s="41" t="str"/>
      <c r="S1449" s="41" t="str"/>
      <c r="T1449" s="41" t="str"/>
      <c r="U1449" s="41" t="str"/>
      <c r="V1449" s="41" t="str"/>
      <c r="W1449" s="41" t="str"/>
    </row>
    <row r="1450">
      <c r="B1450" s="2" t="n"/>
      <c r="C1450" s="40" t="n"/>
      <c r="D1450" s="52">
        <f t="array" ref="D1450:W1450">IF(All_Students_Scores!C1448:V1448="","",All_Students_Scores!C1448:V1448)</f>
        <v/>
      </c>
      <c r="E1450" s="57" t="str"/>
      <c r="F1450" s="49" t="str"/>
      <c r="G1450" s="59" t="str"/>
      <c r="H1450" s="64" t="str"/>
      <c r="I1450" s="65" t="str"/>
      <c r="J1450" s="49" t="str"/>
      <c r="K1450" s="41" t="str"/>
      <c r="L1450" s="41" t="str"/>
      <c r="M1450" s="41" t="str"/>
      <c r="N1450" s="41" t="str"/>
      <c r="O1450" s="41" t="str"/>
      <c r="P1450" s="41" t="str"/>
      <c r="Q1450" s="41" t="str"/>
      <c r="R1450" s="41" t="str"/>
      <c r="S1450" s="41" t="str"/>
      <c r="T1450" s="41" t="str"/>
      <c r="U1450" s="41" t="str"/>
      <c r="V1450" s="41" t="str"/>
      <c r="W1450" s="41" t="str"/>
    </row>
    <row r="1451">
      <c r="B1451" s="2" t="n"/>
      <c r="C1451" s="40" t="n"/>
      <c r="D1451" s="52">
        <f t="array" ref="D1451:W1451">IF(All_Students_Scores!C1449:V1449="","",All_Students_Scores!C1449:V1449)</f>
        <v/>
      </c>
      <c r="E1451" s="57" t="str"/>
      <c r="F1451" s="49" t="str"/>
      <c r="G1451" s="59" t="str"/>
      <c r="H1451" s="64" t="str"/>
      <c r="I1451" s="65" t="str"/>
      <c r="J1451" s="49" t="str"/>
      <c r="K1451" s="41" t="str"/>
      <c r="L1451" s="41" t="str"/>
      <c r="M1451" s="41" t="str"/>
      <c r="N1451" s="41" t="str"/>
      <c r="O1451" s="41" t="str"/>
      <c r="P1451" s="41" t="str"/>
      <c r="Q1451" s="41" t="str"/>
      <c r="R1451" s="41" t="str"/>
      <c r="S1451" s="41" t="str"/>
      <c r="T1451" s="41" t="str"/>
      <c r="U1451" s="41" t="str"/>
      <c r="V1451" s="41" t="str"/>
      <c r="W1451" s="41" t="str"/>
    </row>
    <row r="1452">
      <c r="B1452" s="2" t="n"/>
      <c r="C1452" s="40" t="n"/>
      <c r="D1452" s="52">
        <f t="array" ref="D1452:W1452">IF(All_Students_Scores!C1450:V1450="","",All_Students_Scores!C1450:V1450)</f>
        <v/>
      </c>
      <c r="E1452" s="57" t="str"/>
      <c r="F1452" s="49" t="str"/>
      <c r="G1452" s="59" t="str"/>
      <c r="H1452" s="64" t="str"/>
      <c r="I1452" s="65" t="str"/>
      <c r="J1452" s="49" t="str"/>
      <c r="K1452" s="41" t="str"/>
      <c r="L1452" s="41" t="str"/>
      <c r="M1452" s="41" t="str"/>
      <c r="N1452" s="41" t="str"/>
      <c r="O1452" s="41" t="str"/>
      <c r="P1452" s="41" t="str"/>
      <c r="Q1452" s="41" t="str"/>
      <c r="R1452" s="41" t="str"/>
      <c r="S1452" s="41" t="str"/>
      <c r="T1452" s="41" t="str"/>
      <c r="U1452" s="41" t="str"/>
      <c r="V1452" s="41" t="str"/>
      <c r="W1452" s="41" t="str"/>
    </row>
    <row r="1453">
      <c r="B1453" s="2" t="n"/>
      <c r="C1453" s="40" t="n"/>
      <c r="D1453" s="52">
        <f t="array" ref="D1453:W1453">IF(All_Students_Scores!C1451:V1451="","",All_Students_Scores!C1451:V1451)</f>
        <v/>
      </c>
      <c r="E1453" s="57" t="str"/>
      <c r="F1453" s="49" t="str"/>
      <c r="G1453" s="59" t="str"/>
      <c r="H1453" s="64" t="str"/>
      <c r="I1453" s="65" t="str"/>
      <c r="J1453" s="49" t="str"/>
      <c r="K1453" s="41" t="str"/>
      <c r="L1453" s="41" t="str"/>
      <c r="M1453" s="41" t="str"/>
      <c r="N1453" s="41" t="str"/>
      <c r="O1453" s="41" t="str"/>
      <c r="P1453" s="41" t="str"/>
      <c r="Q1453" s="41" t="str"/>
      <c r="R1453" s="41" t="str"/>
      <c r="S1453" s="41" t="str"/>
      <c r="T1453" s="41" t="str"/>
      <c r="U1453" s="41" t="str"/>
      <c r="V1453" s="41" t="str"/>
      <c r="W1453" s="41" t="str"/>
    </row>
    <row r="1454">
      <c r="B1454" s="2" t="n"/>
      <c r="C1454" s="40" t="n"/>
      <c r="D1454" s="52">
        <f t="array" ref="D1454:W1454">IF(All_Students_Scores!C1452:V1452="","",All_Students_Scores!C1452:V1452)</f>
        <v/>
      </c>
      <c r="E1454" s="57" t="str"/>
      <c r="F1454" s="49" t="str"/>
      <c r="G1454" s="59" t="str"/>
      <c r="H1454" s="64" t="str"/>
      <c r="I1454" s="65" t="str"/>
      <c r="J1454" s="49" t="str"/>
      <c r="K1454" s="41" t="str"/>
      <c r="L1454" s="41" t="str"/>
      <c r="M1454" s="41" t="str"/>
      <c r="N1454" s="41" t="str"/>
      <c r="O1454" s="41" t="str"/>
      <c r="P1454" s="41" t="str"/>
      <c r="Q1454" s="41" t="str"/>
      <c r="R1454" s="41" t="str"/>
      <c r="S1454" s="41" t="str"/>
      <c r="T1454" s="41" t="str"/>
      <c r="U1454" s="41" t="str"/>
      <c r="V1454" s="41" t="str"/>
      <c r="W1454" s="41" t="str"/>
    </row>
    <row r="1455">
      <c r="B1455" s="2" t="n"/>
      <c r="C1455" s="40" t="n"/>
      <c r="D1455" s="52">
        <f t="array" ref="D1455:W1455">IF(All_Students_Scores!C1453:V1453="","",All_Students_Scores!C1453:V1453)</f>
        <v/>
      </c>
      <c r="E1455" s="57" t="str"/>
      <c r="F1455" s="49" t="str"/>
      <c r="G1455" s="59" t="str"/>
      <c r="H1455" s="64" t="str"/>
      <c r="I1455" s="65" t="str"/>
      <c r="J1455" s="49" t="str"/>
      <c r="K1455" s="41" t="str"/>
      <c r="L1455" s="41" t="str"/>
      <c r="M1455" s="41" t="str"/>
      <c r="N1455" s="41" t="str"/>
      <c r="O1455" s="41" t="str"/>
      <c r="P1455" s="41" t="str"/>
      <c r="Q1455" s="41" t="str"/>
      <c r="R1455" s="41" t="str"/>
      <c r="S1455" s="41" t="str"/>
      <c r="T1455" s="41" t="str"/>
      <c r="U1455" s="41" t="str"/>
      <c r="V1455" s="41" t="str"/>
      <c r="W1455" s="41" t="str"/>
    </row>
    <row r="1456">
      <c r="B1456" s="2" t="n"/>
      <c r="C1456" s="40" t="n"/>
      <c r="D1456" s="52">
        <f t="array" ref="D1456:W1456">IF(All_Students_Scores!C1454:V1454="","",All_Students_Scores!C1454:V1454)</f>
        <v/>
      </c>
      <c r="E1456" s="57" t="str"/>
      <c r="F1456" s="49" t="str"/>
      <c r="G1456" s="59" t="str"/>
      <c r="H1456" s="64" t="str"/>
      <c r="I1456" s="65" t="str"/>
      <c r="J1456" s="49" t="str"/>
      <c r="K1456" s="41" t="str"/>
      <c r="L1456" s="41" t="str"/>
      <c r="M1456" s="41" t="str"/>
      <c r="N1456" s="41" t="str"/>
      <c r="O1456" s="41" t="str"/>
      <c r="P1456" s="41" t="str"/>
      <c r="Q1456" s="41" t="str"/>
      <c r="R1456" s="41" t="str"/>
      <c r="S1456" s="41" t="str"/>
      <c r="T1456" s="41" t="str"/>
      <c r="U1456" s="41" t="str"/>
      <c r="V1456" s="41" t="str"/>
      <c r="W1456" s="41" t="str"/>
    </row>
    <row r="1457">
      <c r="B1457" s="2" t="n"/>
      <c r="C1457" s="40" t="n"/>
      <c r="D1457" s="52">
        <f t="array" ref="D1457:W1457">IF(All_Students_Scores!C1455:V1455="","",All_Students_Scores!C1455:V1455)</f>
        <v/>
      </c>
      <c r="E1457" s="57" t="str"/>
      <c r="F1457" s="49" t="str"/>
      <c r="G1457" s="59" t="str"/>
      <c r="H1457" s="64" t="str"/>
      <c r="I1457" s="65" t="str"/>
      <c r="J1457" s="49" t="str"/>
      <c r="K1457" s="41" t="str"/>
      <c r="L1457" s="41" t="str"/>
      <c r="M1457" s="41" t="str"/>
      <c r="N1457" s="41" t="str"/>
      <c r="O1457" s="41" t="str"/>
      <c r="P1457" s="41" t="str"/>
      <c r="Q1457" s="41" t="str"/>
      <c r="R1457" s="41" t="str"/>
      <c r="S1457" s="41" t="str"/>
      <c r="T1457" s="41" t="str"/>
      <c r="U1457" s="41" t="str"/>
      <c r="V1457" s="41" t="str"/>
      <c r="W1457" s="41" t="str"/>
    </row>
    <row r="1458">
      <c r="B1458" s="2" t="n"/>
      <c r="C1458" s="40" t="n"/>
      <c r="D1458" s="52">
        <f t="array" ref="D1458:W1458">IF(All_Students_Scores!C1456:V1456="","",All_Students_Scores!C1456:V1456)</f>
        <v/>
      </c>
      <c r="E1458" s="57" t="str"/>
      <c r="F1458" s="49" t="str"/>
      <c r="G1458" s="59" t="str"/>
      <c r="H1458" s="64" t="str"/>
      <c r="I1458" s="65" t="str"/>
      <c r="J1458" s="49" t="str"/>
      <c r="K1458" s="41" t="str"/>
      <c r="L1458" s="41" t="str"/>
      <c r="M1458" s="41" t="str"/>
      <c r="N1458" s="41" t="str"/>
      <c r="O1458" s="41" t="str"/>
      <c r="P1458" s="41" t="str"/>
      <c r="Q1458" s="41" t="str"/>
      <c r="R1458" s="41" t="str"/>
      <c r="S1458" s="41" t="str"/>
      <c r="T1458" s="41" t="str"/>
      <c r="U1458" s="41" t="str"/>
      <c r="V1458" s="41" t="str"/>
      <c r="W1458" s="41" t="str"/>
    </row>
    <row r="1459">
      <c r="B1459" s="2" t="n"/>
      <c r="C1459" s="40" t="n"/>
      <c r="D1459" s="52">
        <f t="array" ref="D1459:W1459">IF(All_Students_Scores!C1457:V1457="","",All_Students_Scores!C1457:V1457)</f>
        <v/>
      </c>
      <c r="E1459" s="57" t="str"/>
      <c r="F1459" s="49" t="str"/>
      <c r="G1459" s="59" t="str"/>
      <c r="H1459" s="64" t="str"/>
      <c r="I1459" s="65" t="str"/>
      <c r="J1459" s="49" t="str"/>
      <c r="K1459" s="41" t="str"/>
      <c r="L1459" s="41" t="str"/>
      <c r="M1459" s="41" t="str"/>
      <c r="N1459" s="41" t="str"/>
      <c r="O1459" s="41" t="str"/>
      <c r="P1459" s="41" t="str"/>
      <c r="Q1459" s="41" t="str"/>
      <c r="R1459" s="41" t="str"/>
      <c r="S1459" s="41" t="str"/>
      <c r="T1459" s="41" t="str"/>
      <c r="U1459" s="41" t="str"/>
      <c r="V1459" s="41" t="str"/>
      <c r="W1459" s="41" t="str"/>
    </row>
    <row r="1460">
      <c r="B1460" s="2" t="n"/>
      <c r="C1460" s="40" t="n"/>
      <c r="D1460" s="52">
        <f t="array" ref="D1460:W1460">IF(All_Students_Scores!C1458:V1458="","",All_Students_Scores!C1458:V1458)</f>
        <v/>
      </c>
      <c r="E1460" s="57" t="str"/>
      <c r="F1460" s="49" t="str"/>
      <c r="G1460" s="59" t="str"/>
      <c r="H1460" s="64" t="str"/>
      <c r="I1460" s="65" t="str"/>
      <c r="J1460" s="49" t="str"/>
      <c r="K1460" s="41" t="str"/>
      <c r="L1460" s="41" t="str"/>
      <c r="M1460" s="41" t="str"/>
      <c r="N1460" s="41" t="str"/>
      <c r="O1460" s="41" t="str"/>
      <c r="P1460" s="41" t="str"/>
      <c r="Q1460" s="41" t="str"/>
      <c r="R1460" s="41" t="str"/>
      <c r="S1460" s="41" t="str"/>
      <c r="T1460" s="41" t="str"/>
      <c r="U1460" s="41" t="str"/>
      <c r="V1460" s="41" t="str"/>
      <c r="W1460" s="41" t="str"/>
    </row>
    <row r="1461">
      <c r="B1461" s="2" t="n"/>
      <c r="C1461" s="40" t="n"/>
      <c r="D1461" s="52">
        <f t="array" ref="D1461:W1461">IF(All_Students_Scores!C1459:V1459="","",All_Students_Scores!C1459:V1459)</f>
        <v/>
      </c>
      <c r="E1461" s="57" t="str"/>
      <c r="F1461" s="49" t="str"/>
      <c r="G1461" s="59" t="str"/>
      <c r="H1461" s="64" t="str"/>
      <c r="I1461" s="65" t="str"/>
      <c r="J1461" s="49" t="str"/>
      <c r="K1461" s="41" t="str"/>
      <c r="L1461" s="41" t="str"/>
      <c r="M1461" s="41" t="str"/>
      <c r="N1461" s="41" t="str"/>
      <c r="O1461" s="41" t="str"/>
      <c r="P1461" s="41" t="str"/>
      <c r="Q1461" s="41" t="str"/>
      <c r="R1461" s="41" t="str"/>
      <c r="S1461" s="41" t="str"/>
      <c r="T1461" s="41" t="str"/>
      <c r="U1461" s="41" t="str"/>
      <c r="V1461" s="41" t="str"/>
      <c r="W1461" s="41" t="str"/>
    </row>
    <row r="1462">
      <c r="B1462" s="2" t="n"/>
      <c r="C1462" s="40" t="n"/>
      <c r="D1462" s="52">
        <f t="array" ref="D1462:W1462">IF(All_Students_Scores!C1460:V1460="","",All_Students_Scores!C1460:V1460)</f>
        <v/>
      </c>
      <c r="E1462" s="57" t="str"/>
      <c r="F1462" s="49" t="str"/>
      <c r="G1462" s="59" t="str"/>
      <c r="H1462" s="64" t="str"/>
      <c r="I1462" s="65" t="str"/>
      <c r="J1462" s="49" t="str"/>
      <c r="K1462" s="41" t="str"/>
      <c r="L1462" s="41" t="str"/>
      <c r="M1462" s="41" t="str"/>
      <c r="N1462" s="41" t="str"/>
      <c r="O1462" s="41" t="str"/>
      <c r="P1462" s="41" t="str"/>
      <c r="Q1462" s="41" t="str"/>
      <c r="R1462" s="41" t="str"/>
      <c r="S1462" s="41" t="str"/>
      <c r="T1462" s="41" t="str"/>
      <c r="U1462" s="41" t="str"/>
      <c r="V1462" s="41" t="str"/>
      <c r="W1462" s="41" t="str"/>
    </row>
    <row r="1463">
      <c r="B1463" s="2" t="n"/>
      <c r="C1463" s="40" t="n"/>
      <c r="D1463" s="52">
        <f t="array" ref="D1463:W1463">IF(All_Students_Scores!C1461:V1461="","",All_Students_Scores!C1461:V1461)</f>
        <v/>
      </c>
      <c r="E1463" s="57" t="str"/>
      <c r="F1463" s="49" t="str"/>
      <c r="G1463" s="59" t="str"/>
      <c r="H1463" s="64" t="str"/>
      <c r="I1463" s="65" t="str"/>
      <c r="J1463" s="49" t="str"/>
      <c r="K1463" s="41" t="str"/>
      <c r="L1463" s="41" t="str"/>
      <c r="M1463" s="41" t="str"/>
      <c r="N1463" s="41" t="str"/>
      <c r="O1463" s="41" t="str"/>
      <c r="P1463" s="41" t="str"/>
      <c r="Q1463" s="41" t="str"/>
      <c r="R1463" s="41" t="str"/>
      <c r="S1463" s="41" t="str"/>
      <c r="T1463" s="41" t="str"/>
      <c r="U1463" s="41" t="str"/>
      <c r="V1463" s="41" t="str"/>
      <c r="W1463" s="41" t="str"/>
    </row>
    <row r="1464">
      <c r="B1464" s="2" t="n"/>
      <c r="C1464" s="40" t="n"/>
      <c r="D1464" s="52">
        <f t="array" ref="D1464:W1464">IF(All_Students_Scores!C1462:V1462="","",All_Students_Scores!C1462:V1462)</f>
        <v/>
      </c>
      <c r="E1464" s="57" t="str"/>
      <c r="F1464" s="49" t="str"/>
      <c r="G1464" s="59" t="str"/>
      <c r="H1464" s="64" t="str"/>
      <c r="I1464" s="65" t="str"/>
      <c r="J1464" s="49" t="str"/>
      <c r="K1464" s="41" t="str"/>
      <c r="L1464" s="41" t="str"/>
      <c r="M1464" s="41" t="str"/>
      <c r="N1464" s="41" t="str"/>
      <c r="O1464" s="41" t="str"/>
      <c r="P1464" s="41" t="str"/>
      <c r="Q1464" s="41" t="str"/>
      <c r="R1464" s="41" t="str"/>
      <c r="S1464" s="41" t="str"/>
      <c r="T1464" s="41" t="str"/>
      <c r="U1464" s="41" t="str"/>
      <c r="V1464" s="41" t="str"/>
      <c r="W1464" s="41" t="str"/>
    </row>
    <row r="1465">
      <c r="B1465" s="2" t="n"/>
      <c r="C1465" s="40" t="n"/>
      <c r="D1465" s="52">
        <f t="array" ref="D1465:W1465">IF(All_Students_Scores!C1463:V1463="","",All_Students_Scores!C1463:V1463)</f>
        <v/>
      </c>
      <c r="E1465" s="57" t="str"/>
      <c r="F1465" s="49" t="str"/>
      <c r="G1465" s="59" t="str"/>
      <c r="H1465" s="64" t="str"/>
      <c r="I1465" s="65" t="str"/>
      <c r="J1465" s="49" t="str"/>
      <c r="K1465" s="41" t="str"/>
      <c r="L1465" s="41" t="str"/>
      <c r="M1465" s="41" t="str"/>
      <c r="N1465" s="41" t="str"/>
      <c r="O1465" s="41" t="str"/>
      <c r="P1465" s="41" t="str"/>
      <c r="Q1465" s="41" t="str"/>
      <c r="R1465" s="41" t="str"/>
      <c r="S1465" s="41" t="str"/>
      <c r="T1465" s="41" t="str"/>
      <c r="U1465" s="41" t="str"/>
      <c r="V1465" s="41" t="str"/>
      <c r="W1465" s="41" t="str"/>
    </row>
    <row r="1466">
      <c r="B1466" s="2" t="n"/>
      <c r="C1466" s="40" t="n"/>
      <c r="D1466" s="52">
        <f t="array" ref="D1466:W1466">IF(All_Students_Scores!C1464:V1464="","",All_Students_Scores!C1464:V1464)</f>
        <v/>
      </c>
      <c r="E1466" s="57" t="str"/>
      <c r="F1466" s="49" t="str"/>
      <c r="G1466" s="59" t="str"/>
      <c r="H1466" s="64" t="str"/>
      <c r="I1466" s="65" t="str"/>
      <c r="J1466" s="49" t="str"/>
      <c r="K1466" s="41" t="str"/>
      <c r="L1466" s="41" t="str"/>
      <c r="M1466" s="41" t="str"/>
      <c r="N1466" s="41" t="str"/>
      <c r="O1466" s="41" t="str"/>
      <c r="P1466" s="41" t="str"/>
      <c r="Q1466" s="41" t="str"/>
      <c r="R1466" s="41" t="str"/>
      <c r="S1466" s="41" t="str"/>
      <c r="T1466" s="41" t="str"/>
      <c r="U1466" s="41" t="str"/>
      <c r="V1466" s="41" t="str"/>
      <c r="W1466" s="41" t="str"/>
    </row>
    <row r="1467">
      <c r="B1467" s="2" t="n"/>
      <c r="C1467" s="40" t="n"/>
      <c r="D1467" s="52">
        <f t="array" ref="D1467:W1467">IF(All_Students_Scores!C1465:V1465="","",All_Students_Scores!C1465:V1465)</f>
        <v/>
      </c>
      <c r="E1467" s="57" t="str"/>
      <c r="F1467" s="49" t="str"/>
      <c r="G1467" s="59" t="str"/>
      <c r="H1467" s="64" t="str"/>
      <c r="I1467" s="65" t="str"/>
      <c r="J1467" s="49" t="str"/>
      <c r="K1467" s="41" t="str"/>
      <c r="L1467" s="41" t="str"/>
      <c r="M1467" s="41" t="str"/>
      <c r="N1467" s="41" t="str"/>
      <c r="O1467" s="41" t="str"/>
      <c r="P1467" s="41" t="str"/>
      <c r="Q1467" s="41" t="str"/>
      <c r="R1467" s="41" t="str"/>
      <c r="S1467" s="41" t="str"/>
      <c r="T1467" s="41" t="str"/>
      <c r="U1467" s="41" t="str"/>
      <c r="V1467" s="41" t="str"/>
      <c r="W1467" s="41" t="str"/>
    </row>
    <row r="1468">
      <c r="B1468" s="2" t="n"/>
      <c r="C1468" s="40" t="n"/>
      <c r="D1468" s="52">
        <f t="array" ref="D1468:W1468">IF(All_Students_Scores!C1466:V1466="","",All_Students_Scores!C1466:V1466)</f>
        <v/>
      </c>
      <c r="E1468" s="57" t="str"/>
      <c r="F1468" s="49" t="str"/>
      <c r="G1468" s="59" t="str"/>
      <c r="H1468" s="64" t="str"/>
      <c r="I1468" s="65" t="str"/>
      <c r="J1468" s="49" t="str"/>
      <c r="K1468" s="41" t="str"/>
      <c r="L1468" s="41" t="str"/>
      <c r="M1468" s="41" t="str"/>
      <c r="N1468" s="41" t="str"/>
      <c r="O1468" s="41" t="str"/>
      <c r="P1468" s="41" t="str"/>
      <c r="Q1468" s="41" t="str"/>
      <c r="R1468" s="41" t="str"/>
      <c r="S1468" s="41" t="str"/>
      <c r="T1468" s="41" t="str"/>
      <c r="U1468" s="41" t="str"/>
      <c r="V1468" s="41" t="str"/>
      <c r="W1468" s="41" t="str"/>
    </row>
    <row r="1469">
      <c r="B1469" s="2" t="n"/>
      <c r="C1469" s="40" t="n"/>
      <c r="D1469" s="52">
        <f t="array" ref="D1469:W1469">IF(All_Students_Scores!C1467:V1467="","",All_Students_Scores!C1467:V1467)</f>
        <v/>
      </c>
      <c r="E1469" s="57" t="str"/>
      <c r="F1469" s="49" t="str"/>
      <c r="G1469" s="59" t="str"/>
      <c r="H1469" s="64" t="str"/>
      <c r="I1469" s="65" t="str"/>
      <c r="J1469" s="49" t="str"/>
      <c r="K1469" s="41" t="str"/>
      <c r="L1469" s="41" t="str"/>
      <c r="M1469" s="41" t="str"/>
      <c r="N1469" s="41" t="str"/>
      <c r="O1469" s="41" t="str"/>
      <c r="P1469" s="41" t="str"/>
      <c r="Q1469" s="41" t="str"/>
      <c r="R1469" s="41" t="str"/>
      <c r="S1469" s="41" t="str"/>
      <c r="T1469" s="41" t="str"/>
      <c r="U1469" s="41" t="str"/>
      <c r="V1469" s="41" t="str"/>
      <c r="W1469" s="41" t="str"/>
    </row>
    <row r="1470">
      <c r="B1470" s="2" t="n"/>
      <c r="C1470" s="40" t="n"/>
      <c r="D1470" s="52">
        <f t="array" ref="D1470:W1470">IF(All_Students_Scores!C1468:V1468="","",All_Students_Scores!C1468:V1468)</f>
        <v/>
      </c>
      <c r="E1470" s="57" t="str"/>
      <c r="F1470" s="49" t="str"/>
      <c r="G1470" s="59" t="str"/>
      <c r="H1470" s="64" t="str"/>
      <c r="I1470" s="65" t="str"/>
      <c r="J1470" s="49" t="str"/>
      <c r="K1470" s="41" t="str"/>
      <c r="L1470" s="41" t="str"/>
      <c r="M1470" s="41" t="str"/>
      <c r="N1470" s="41" t="str"/>
      <c r="O1470" s="41" t="str"/>
      <c r="P1470" s="41" t="str"/>
      <c r="Q1470" s="41" t="str"/>
      <c r="R1470" s="41" t="str"/>
      <c r="S1470" s="41" t="str"/>
      <c r="T1470" s="41" t="str"/>
      <c r="U1470" s="41" t="str"/>
      <c r="V1470" s="41" t="str"/>
      <c r="W1470" s="41" t="str"/>
    </row>
    <row r="1471">
      <c r="B1471" s="2" t="n"/>
      <c r="C1471" s="40" t="n"/>
      <c r="D1471" s="52">
        <f t="array" ref="D1471:W1471">IF(All_Students_Scores!C1469:V1469="","",All_Students_Scores!C1469:V1469)</f>
        <v/>
      </c>
      <c r="E1471" s="57" t="str"/>
      <c r="F1471" s="49" t="str"/>
      <c r="G1471" s="59" t="str"/>
      <c r="H1471" s="64" t="str"/>
      <c r="I1471" s="65" t="str"/>
      <c r="J1471" s="49" t="str"/>
      <c r="K1471" s="41" t="str"/>
      <c r="L1471" s="41" t="str"/>
      <c r="M1471" s="41" t="str"/>
      <c r="N1471" s="41" t="str"/>
      <c r="O1471" s="41" t="str"/>
      <c r="P1471" s="41" t="str"/>
      <c r="Q1471" s="41" t="str"/>
      <c r="R1471" s="41" t="str"/>
      <c r="S1471" s="41" t="str"/>
      <c r="T1471" s="41" t="str"/>
      <c r="U1471" s="41" t="str"/>
      <c r="V1471" s="41" t="str"/>
      <c r="W1471" s="41" t="str"/>
    </row>
    <row r="1472">
      <c r="B1472" s="2" t="n"/>
      <c r="C1472" s="40" t="n"/>
      <c r="D1472" s="52">
        <f t="array" ref="D1472:W1472">IF(All_Students_Scores!C1470:V1470="","",All_Students_Scores!C1470:V1470)</f>
        <v/>
      </c>
      <c r="E1472" s="57" t="str"/>
      <c r="F1472" s="49" t="str"/>
      <c r="G1472" s="59" t="str"/>
      <c r="H1472" s="64" t="str"/>
      <c r="I1472" s="65" t="str"/>
      <c r="J1472" s="49" t="str"/>
      <c r="K1472" s="41" t="str"/>
      <c r="L1472" s="41" t="str"/>
      <c r="M1472" s="41" t="str"/>
      <c r="N1472" s="41" t="str"/>
      <c r="O1472" s="41" t="str"/>
      <c r="P1472" s="41" t="str"/>
      <c r="Q1472" s="41" t="str"/>
      <c r="R1472" s="41" t="str"/>
      <c r="S1472" s="41" t="str"/>
      <c r="T1472" s="41" t="str"/>
      <c r="U1472" s="41" t="str"/>
      <c r="V1472" s="41" t="str"/>
      <c r="W1472" s="41" t="str"/>
    </row>
    <row r="1473">
      <c r="B1473" s="2" t="n"/>
      <c r="C1473" s="40" t="n"/>
      <c r="D1473" s="52">
        <f t="array" ref="D1473:W1473">IF(All_Students_Scores!C1471:V1471="","",All_Students_Scores!C1471:V1471)</f>
        <v/>
      </c>
      <c r="E1473" s="57" t="str"/>
      <c r="F1473" s="49" t="str"/>
      <c r="G1473" s="59" t="str"/>
      <c r="H1473" s="64" t="str"/>
      <c r="I1473" s="65" t="str"/>
      <c r="J1473" s="49" t="str"/>
      <c r="K1473" s="41" t="str"/>
      <c r="L1473" s="41" t="str"/>
      <c r="M1473" s="41" t="str"/>
      <c r="N1473" s="41" t="str"/>
      <c r="O1473" s="41" t="str"/>
      <c r="P1473" s="41" t="str"/>
      <c r="Q1473" s="41" t="str"/>
      <c r="R1473" s="41" t="str"/>
      <c r="S1473" s="41" t="str"/>
      <c r="T1473" s="41" t="str"/>
      <c r="U1473" s="41" t="str"/>
      <c r="V1473" s="41" t="str"/>
      <c r="W1473" s="41" t="str"/>
    </row>
    <row r="1474">
      <c r="B1474" s="2" t="n"/>
      <c r="C1474" s="40" t="n"/>
      <c r="D1474" s="52">
        <f t="array" ref="D1474:W1474">IF(All_Students_Scores!C1472:V1472="","",All_Students_Scores!C1472:V1472)</f>
        <v/>
      </c>
      <c r="E1474" s="57" t="str"/>
      <c r="F1474" s="49" t="str"/>
      <c r="G1474" s="59" t="str"/>
      <c r="H1474" s="64" t="str"/>
      <c r="I1474" s="65" t="str"/>
      <c r="J1474" s="49" t="str"/>
      <c r="K1474" s="41" t="str"/>
      <c r="L1474" s="41" t="str"/>
      <c r="M1474" s="41" t="str"/>
      <c r="N1474" s="41" t="str"/>
      <c r="O1474" s="41" t="str"/>
      <c r="P1474" s="41" t="str"/>
      <c r="Q1474" s="41" t="str"/>
      <c r="R1474" s="41" t="str"/>
      <c r="S1474" s="41" t="str"/>
      <c r="T1474" s="41" t="str"/>
      <c r="U1474" s="41" t="str"/>
      <c r="V1474" s="41" t="str"/>
      <c r="W1474" s="41" t="str"/>
    </row>
    <row r="1475">
      <c r="B1475" s="2" t="n"/>
      <c r="C1475" s="40" t="n"/>
      <c r="D1475" s="52">
        <f t="array" ref="D1475:W1475">IF(All_Students_Scores!C1473:V1473="","",All_Students_Scores!C1473:V1473)</f>
        <v/>
      </c>
      <c r="E1475" s="57" t="str"/>
      <c r="F1475" s="49" t="str"/>
      <c r="G1475" s="59" t="str"/>
      <c r="H1475" s="64" t="str"/>
      <c r="I1475" s="65" t="str"/>
      <c r="J1475" s="49" t="str"/>
      <c r="K1475" s="41" t="str"/>
      <c r="L1475" s="41" t="str"/>
      <c r="M1475" s="41" t="str"/>
      <c r="N1475" s="41" t="str"/>
      <c r="O1475" s="41" t="str"/>
      <c r="P1475" s="41" t="str"/>
      <c r="Q1475" s="41" t="str"/>
      <c r="R1475" s="41" t="str"/>
      <c r="S1475" s="41" t="str"/>
      <c r="T1475" s="41" t="str"/>
      <c r="U1475" s="41" t="str"/>
      <c r="V1475" s="41" t="str"/>
      <c r="W1475" s="41" t="str"/>
    </row>
    <row r="1476">
      <c r="B1476" s="2" t="n"/>
      <c r="C1476" s="40" t="n"/>
      <c r="D1476" s="52">
        <f t="array" ref="D1476:W1476">IF(All_Students_Scores!C1474:V1474="","",All_Students_Scores!C1474:V1474)</f>
        <v/>
      </c>
      <c r="E1476" s="57" t="str"/>
      <c r="F1476" s="49" t="str"/>
      <c r="G1476" s="59" t="str"/>
      <c r="H1476" s="64" t="str"/>
      <c r="I1476" s="65" t="str"/>
      <c r="J1476" s="49" t="str"/>
      <c r="K1476" s="41" t="str"/>
      <c r="L1476" s="41" t="str"/>
      <c r="M1476" s="41" t="str"/>
      <c r="N1476" s="41" t="str"/>
      <c r="O1476" s="41" t="str"/>
      <c r="P1476" s="41" t="str"/>
      <c r="Q1476" s="41" t="str"/>
      <c r="R1476" s="41" t="str"/>
      <c r="S1476" s="41" t="str"/>
      <c r="T1476" s="41" t="str"/>
      <c r="U1476" s="41" t="str"/>
      <c r="V1476" s="41" t="str"/>
      <c r="W1476" s="41" t="str"/>
    </row>
    <row r="1477">
      <c r="B1477" s="2" t="n"/>
      <c r="C1477" s="40" t="n"/>
      <c r="D1477" s="52">
        <f t="array" ref="D1477:W1477">IF(All_Students_Scores!C1475:V1475="","",All_Students_Scores!C1475:V1475)</f>
        <v/>
      </c>
      <c r="E1477" s="57" t="str"/>
      <c r="F1477" s="49" t="str"/>
      <c r="G1477" s="59" t="str"/>
      <c r="H1477" s="64" t="str"/>
      <c r="I1477" s="65" t="str"/>
      <c r="J1477" s="49" t="str"/>
      <c r="K1477" s="41" t="str"/>
      <c r="L1477" s="41" t="str"/>
      <c r="M1477" s="41" t="str"/>
      <c r="N1477" s="41" t="str"/>
      <c r="O1477" s="41" t="str"/>
      <c r="P1477" s="41" t="str"/>
      <c r="Q1477" s="41" t="str"/>
      <c r="R1477" s="41" t="str"/>
      <c r="S1477" s="41" t="str"/>
      <c r="T1477" s="41" t="str"/>
      <c r="U1477" s="41" t="str"/>
      <c r="V1477" s="41" t="str"/>
      <c r="W1477" s="41" t="str"/>
    </row>
    <row r="1478">
      <c r="B1478" s="2" t="n"/>
      <c r="C1478" s="40" t="n"/>
      <c r="D1478" s="52">
        <f t="array" ref="D1478:W1478">IF(All_Students_Scores!C1476:V1476="","",All_Students_Scores!C1476:V1476)</f>
        <v/>
      </c>
      <c r="E1478" s="57" t="str"/>
      <c r="F1478" s="49" t="str"/>
      <c r="G1478" s="59" t="str"/>
      <c r="H1478" s="64" t="str"/>
      <c r="I1478" s="65" t="str"/>
      <c r="J1478" s="49" t="str"/>
      <c r="K1478" s="41" t="str"/>
      <c r="L1478" s="41" t="str"/>
      <c r="M1478" s="41" t="str"/>
      <c r="N1478" s="41" t="str"/>
      <c r="O1478" s="41" t="str"/>
      <c r="P1478" s="41" t="str"/>
      <c r="Q1478" s="41" t="str"/>
      <c r="R1478" s="41" t="str"/>
      <c r="S1478" s="41" t="str"/>
      <c r="T1478" s="41" t="str"/>
      <c r="U1478" s="41" t="str"/>
      <c r="V1478" s="41" t="str"/>
      <c r="W1478" s="41" t="str"/>
    </row>
    <row r="1479">
      <c r="B1479" s="2" t="n"/>
      <c r="C1479" s="40" t="n"/>
      <c r="D1479" s="52">
        <f t="array" ref="D1479:W1479">IF(All_Students_Scores!C1477:V1477="","",All_Students_Scores!C1477:V1477)</f>
        <v/>
      </c>
      <c r="E1479" s="57" t="str"/>
      <c r="F1479" s="49" t="str"/>
      <c r="G1479" s="59" t="str"/>
      <c r="H1479" s="64" t="str"/>
      <c r="I1479" s="65" t="str"/>
      <c r="J1479" s="49" t="str"/>
      <c r="K1479" s="41" t="str"/>
      <c r="L1479" s="41" t="str"/>
      <c r="M1479" s="41" t="str"/>
      <c r="N1479" s="41" t="str"/>
      <c r="O1479" s="41" t="str"/>
      <c r="P1479" s="41" t="str"/>
      <c r="Q1479" s="41" t="str"/>
      <c r="R1479" s="41" t="str"/>
      <c r="S1479" s="41" t="str"/>
      <c r="T1479" s="41" t="str"/>
      <c r="U1479" s="41" t="str"/>
      <c r="V1479" s="41" t="str"/>
      <c r="W1479" s="41" t="str"/>
    </row>
    <row r="1480">
      <c r="B1480" s="2" t="n"/>
      <c r="C1480" s="40" t="n"/>
      <c r="D1480" s="52">
        <f t="array" ref="D1480:W1480">IF(All_Students_Scores!C1478:V1478="","",All_Students_Scores!C1478:V1478)</f>
        <v/>
      </c>
      <c r="E1480" s="57" t="str"/>
      <c r="F1480" s="49" t="str"/>
      <c r="G1480" s="59" t="str"/>
      <c r="H1480" s="64" t="str"/>
      <c r="I1480" s="65" t="str"/>
      <c r="J1480" s="49" t="str"/>
      <c r="K1480" s="41" t="str"/>
      <c r="L1480" s="41" t="str"/>
      <c r="M1480" s="41" t="str"/>
      <c r="N1480" s="41" t="str"/>
      <c r="O1480" s="41" t="str"/>
      <c r="P1480" s="41" t="str"/>
      <c r="Q1480" s="41" t="str"/>
      <c r="R1480" s="41" t="str"/>
      <c r="S1480" s="41" t="str"/>
      <c r="T1480" s="41" t="str"/>
      <c r="U1480" s="41" t="str"/>
      <c r="V1480" s="41" t="str"/>
      <c r="W1480" s="41" t="str"/>
    </row>
    <row r="1481">
      <c r="B1481" s="2" t="n"/>
      <c r="C1481" s="40" t="n"/>
      <c r="D1481" s="52">
        <f t="array" ref="D1481:W1481">IF(All_Students_Scores!C1479:V1479="","",All_Students_Scores!C1479:V1479)</f>
        <v/>
      </c>
      <c r="E1481" s="57" t="str"/>
      <c r="F1481" s="49" t="str"/>
      <c r="G1481" s="59" t="str"/>
      <c r="H1481" s="64" t="str"/>
      <c r="I1481" s="65" t="str"/>
      <c r="J1481" s="49" t="str"/>
      <c r="K1481" s="41" t="str"/>
      <c r="L1481" s="41" t="str"/>
      <c r="M1481" s="41" t="str"/>
      <c r="N1481" s="41" t="str"/>
      <c r="O1481" s="41" t="str"/>
      <c r="P1481" s="41" t="str"/>
      <c r="Q1481" s="41" t="str"/>
      <c r="R1481" s="41" t="str"/>
      <c r="S1481" s="41" t="str"/>
      <c r="T1481" s="41" t="str"/>
      <c r="U1481" s="41" t="str"/>
      <c r="V1481" s="41" t="str"/>
      <c r="W1481" s="41" t="str"/>
    </row>
    <row r="1482">
      <c r="B1482" s="2" t="n"/>
      <c r="C1482" s="40" t="n"/>
      <c r="D1482" s="52">
        <f t="array" ref="D1482:W1482">IF(All_Students_Scores!C1480:V1480="","",All_Students_Scores!C1480:V1480)</f>
        <v/>
      </c>
      <c r="E1482" s="57" t="str"/>
      <c r="F1482" s="49" t="str"/>
      <c r="G1482" s="59" t="str"/>
      <c r="H1482" s="64" t="str"/>
      <c r="I1482" s="65" t="str"/>
      <c r="J1482" s="49" t="str"/>
      <c r="K1482" s="41" t="str"/>
      <c r="L1482" s="41" t="str"/>
      <c r="M1482" s="41" t="str"/>
      <c r="N1482" s="41" t="str"/>
      <c r="O1482" s="41" t="str"/>
      <c r="P1482" s="41" t="str"/>
      <c r="Q1482" s="41" t="str"/>
      <c r="R1482" s="41" t="str"/>
      <c r="S1482" s="41" t="str"/>
      <c r="T1482" s="41" t="str"/>
      <c r="U1482" s="41" t="str"/>
      <c r="V1482" s="41" t="str"/>
      <c r="W1482" s="41" t="str"/>
    </row>
    <row r="1483">
      <c r="B1483" s="2" t="n"/>
      <c r="C1483" s="40" t="n"/>
      <c r="D1483" s="52">
        <f t="array" ref="D1483:W1483">IF(All_Students_Scores!C1481:V1481="","",All_Students_Scores!C1481:V1481)</f>
        <v/>
      </c>
      <c r="E1483" s="57" t="str"/>
      <c r="F1483" s="49" t="str"/>
      <c r="G1483" s="59" t="str"/>
      <c r="H1483" s="64" t="str"/>
      <c r="I1483" s="65" t="str"/>
      <c r="J1483" s="49" t="str"/>
      <c r="K1483" s="41" t="str"/>
      <c r="L1483" s="41" t="str"/>
      <c r="M1483" s="41" t="str"/>
      <c r="N1483" s="41" t="str"/>
      <c r="O1483" s="41" t="str"/>
      <c r="P1483" s="41" t="str"/>
      <c r="Q1483" s="41" t="str"/>
      <c r="R1483" s="41" t="str"/>
      <c r="S1483" s="41" t="str"/>
      <c r="T1483" s="41" t="str"/>
      <c r="U1483" s="41" t="str"/>
      <c r="V1483" s="41" t="str"/>
      <c r="W1483" s="41" t="str"/>
    </row>
    <row r="1484">
      <c r="B1484" s="2" t="n"/>
      <c r="C1484" s="40" t="n"/>
      <c r="D1484" s="52">
        <f t="array" ref="D1484:W1484">IF(All_Students_Scores!C1482:V1482="","",All_Students_Scores!C1482:V1482)</f>
        <v/>
      </c>
      <c r="E1484" s="57" t="str"/>
      <c r="F1484" s="49" t="str"/>
      <c r="G1484" s="59" t="str"/>
      <c r="H1484" s="64" t="str"/>
      <c r="I1484" s="65" t="str"/>
      <c r="J1484" s="49" t="str"/>
      <c r="K1484" s="41" t="str"/>
      <c r="L1484" s="41" t="str"/>
      <c r="M1484" s="41" t="str"/>
      <c r="N1484" s="41" t="str"/>
      <c r="O1484" s="41" t="str"/>
      <c r="P1484" s="41" t="str"/>
      <c r="Q1484" s="41" t="str"/>
      <c r="R1484" s="41" t="str"/>
      <c r="S1484" s="41" t="str"/>
      <c r="T1484" s="41" t="str"/>
      <c r="U1484" s="41" t="str"/>
      <c r="V1484" s="41" t="str"/>
      <c r="W1484" s="41" t="str"/>
    </row>
    <row r="1485">
      <c r="B1485" s="2" t="n"/>
      <c r="C1485" s="40" t="n"/>
      <c r="D1485" s="52">
        <f t="array" ref="D1485:W1485">IF(All_Students_Scores!C1483:V1483="","",All_Students_Scores!C1483:V1483)</f>
        <v/>
      </c>
      <c r="E1485" s="57" t="str"/>
      <c r="F1485" s="49" t="str"/>
      <c r="G1485" s="59" t="str"/>
      <c r="H1485" s="64" t="str"/>
      <c r="I1485" s="65" t="str"/>
      <c r="J1485" s="49" t="str"/>
      <c r="K1485" s="41" t="str"/>
      <c r="L1485" s="41" t="str"/>
      <c r="M1485" s="41" t="str"/>
      <c r="N1485" s="41" t="str"/>
      <c r="O1485" s="41" t="str"/>
      <c r="P1485" s="41" t="str"/>
      <c r="Q1485" s="41" t="str"/>
      <c r="R1485" s="41" t="str"/>
      <c r="S1485" s="41" t="str"/>
      <c r="T1485" s="41" t="str"/>
      <c r="U1485" s="41" t="str"/>
      <c r="V1485" s="41" t="str"/>
      <c r="W1485" s="41" t="str"/>
    </row>
    <row r="1486">
      <c r="B1486" s="2" t="n"/>
      <c r="C1486" s="40" t="n"/>
      <c r="D1486" s="52">
        <f t="array" ref="D1486:W1486">IF(All_Students_Scores!C1484:V1484="","",All_Students_Scores!C1484:V1484)</f>
        <v/>
      </c>
      <c r="E1486" s="57" t="str"/>
      <c r="F1486" s="49" t="str"/>
      <c r="G1486" s="59" t="str"/>
      <c r="H1486" s="64" t="str"/>
      <c r="I1486" s="65" t="str"/>
      <c r="J1486" s="49" t="str"/>
      <c r="K1486" s="41" t="str"/>
      <c r="L1486" s="41" t="str"/>
      <c r="M1486" s="41" t="str"/>
      <c r="N1486" s="41" t="str"/>
      <c r="O1486" s="41" t="str"/>
      <c r="P1486" s="41" t="str"/>
      <c r="Q1486" s="41" t="str"/>
      <c r="R1486" s="41" t="str"/>
      <c r="S1486" s="41" t="str"/>
      <c r="T1486" s="41" t="str"/>
      <c r="U1486" s="41" t="str"/>
      <c r="V1486" s="41" t="str"/>
      <c r="W1486" s="41" t="str"/>
    </row>
    <row r="1487">
      <c r="B1487" s="2" t="n"/>
      <c r="C1487" s="40" t="n"/>
      <c r="D1487" s="52">
        <f t="array" ref="D1487:W1487">IF(All_Students_Scores!C1485:V1485="","",All_Students_Scores!C1485:V1485)</f>
        <v/>
      </c>
      <c r="E1487" s="57" t="str"/>
      <c r="F1487" s="49" t="str"/>
      <c r="G1487" s="59" t="str"/>
      <c r="H1487" s="64" t="str"/>
      <c r="I1487" s="65" t="str"/>
      <c r="J1487" s="49" t="str"/>
      <c r="K1487" s="41" t="str"/>
      <c r="L1487" s="41" t="str"/>
      <c r="M1487" s="41" t="str"/>
      <c r="N1487" s="41" t="str"/>
      <c r="O1487" s="41" t="str"/>
      <c r="P1487" s="41" t="str"/>
      <c r="Q1487" s="41" t="str"/>
      <c r="R1487" s="41" t="str"/>
      <c r="S1487" s="41" t="str"/>
      <c r="T1487" s="41" t="str"/>
      <c r="U1487" s="41" t="str"/>
      <c r="V1487" s="41" t="str"/>
      <c r="W1487" s="41" t="str"/>
    </row>
    <row r="1488">
      <c r="B1488" s="2" t="n"/>
      <c r="C1488" s="40" t="n"/>
      <c r="D1488" s="52">
        <f t="array" ref="D1488:W1488">IF(All_Students_Scores!C1486:V1486="","",All_Students_Scores!C1486:V1486)</f>
        <v/>
      </c>
      <c r="E1488" s="57" t="str"/>
      <c r="F1488" s="49" t="str"/>
      <c r="G1488" s="59" t="str"/>
      <c r="H1488" s="64" t="str"/>
      <c r="I1488" s="65" t="str"/>
      <c r="J1488" s="49" t="str"/>
      <c r="K1488" s="41" t="str"/>
      <c r="L1488" s="41" t="str"/>
      <c r="M1488" s="41" t="str"/>
      <c r="N1488" s="41" t="str"/>
      <c r="O1488" s="41" t="str"/>
      <c r="P1488" s="41" t="str"/>
      <c r="Q1488" s="41" t="str"/>
      <c r="R1488" s="41" t="str"/>
      <c r="S1488" s="41" t="str"/>
      <c r="T1488" s="41" t="str"/>
      <c r="U1488" s="41" t="str"/>
      <c r="V1488" s="41" t="str"/>
      <c r="W1488" s="41" t="str"/>
    </row>
    <row r="1489">
      <c r="B1489" s="2" t="n"/>
      <c r="C1489" s="40" t="n"/>
      <c r="D1489" s="52">
        <f t="array" ref="D1489:W1489">IF(All_Students_Scores!C1487:V1487="","",All_Students_Scores!C1487:V1487)</f>
        <v/>
      </c>
      <c r="E1489" s="57" t="str"/>
      <c r="F1489" s="49" t="str"/>
      <c r="G1489" s="59" t="str"/>
      <c r="H1489" s="64" t="str"/>
      <c r="I1489" s="65" t="str"/>
      <c r="J1489" s="49" t="str"/>
      <c r="K1489" s="41" t="str"/>
      <c r="L1489" s="41" t="str"/>
      <c r="M1489" s="41" t="str"/>
      <c r="N1489" s="41" t="str"/>
      <c r="O1489" s="41" t="str"/>
      <c r="P1489" s="41" t="str"/>
      <c r="Q1489" s="41" t="str"/>
      <c r="R1489" s="41" t="str"/>
      <c r="S1489" s="41" t="str"/>
      <c r="T1489" s="41" t="str"/>
      <c r="U1489" s="41" t="str"/>
      <c r="V1489" s="41" t="str"/>
      <c r="W1489" s="41" t="str"/>
    </row>
    <row r="1490">
      <c r="B1490" s="2" t="n"/>
      <c r="C1490" s="40" t="n"/>
      <c r="D1490" s="52">
        <f t="array" ref="D1490:W1490">IF(All_Students_Scores!C1488:V1488="","",All_Students_Scores!C1488:V1488)</f>
        <v/>
      </c>
      <c r="E1490" s="57" t="str"/>
      <c r="F1490" s="49" t="str"/>
      <c r="G1490" s="59" t="str"/>
      <c r="H1490" s="64" t="str"/>
      <c r="I1490" s="65" t="str"/>
      <c r="J1490" s="49" t="str"/>
      <c r="K1490" s="41" t="str"/>
      <c r="L1490" s="41" t="str"/>
      <c r="M1490" s="41" t="str"/>
      <c r="N1490" s="41" t="str"/>
      <c r="O1490" s="41" t="str"/>
      <c r="P1490" s="41" t="str"/>
      <c r="Q1490" s="41" t="str"/>
      <c r="R1490" s="41" t="str"/>
      <c r="S1490" s="41" t="str"/>
      <c r="T1490" s="41" t="str"/>
      <c r="U1490" s="41" t="str"/>
      <c r="V1490" s="41" t="str"/>
      <c r="W1490" s="41" t="str"/>
    </row>
    <row r="1491">
      <c r="B1491" s="2" t="n"/>
      <c r="C1491" s="40" t="n"/>
      <c r="D1491" s="52">
        <f t="array" ref="D1491:W1491">IF(All_Students_Scores!C1489:V1489="","",All_Students_Scores!C1489:V1489)</f>
        <v/>
      </c>
      <c r="E1491" s="57" t="str"/>
      <c r="F1491" s="49" t="str"/>
      <c r="G1491" s="59" t="str"/>
      <c r="H1491" s="64" t="str"/>
      <c r="I1491" s="65" t="str"/>
      <c r="J1491" s="49" t="str"/>
      <c r="K1491" s="41" t="str"/>
      <c r="L1491" s="41" t="str"/>
      <c r="M1491" s="41" t="str"/>
      <c r="N1491" s="41" t="str"/>
      <c r="O1491" s="41" t="str"/>
      <c r="P1491" s="41" t="str"/>
      <c r="Q1491" s="41" t="str"/>
      <c r="R1491" s="41" t="str"/>
      <c r="S1491" s="41" t="str"/>
      <c r="T1491" s="41" t="str"/>
      <c r="U1491" s="41" t="str"/>
      <c r="V1491" s="41" t="str"/>
      <c r="W1491" s="41" t="str"/>
    </row>
    <row r="1492">
      <c r="B1492" s="2" t="n"/>
      <c r="C1492" s="40" t="n"/>
      <c r="D1492" s="52">
        <f t="array" ref="D1492:W1492">IF(All_Students_Scores!C1490:V1490="","",All_Students_Scores!C1490:V1490)</f>
        <v/>
      </c>
      <c r="E1492" s="57" t="str"/>
      <c r="F1492" s="49" t="str"/>
      <c r="G1492" s="59" t="str"/>
      <c r="H1492" s="64" t="str"/>
      <c r="I1492" s="65" t="str"/>
      <c r="J1492" s="49" t="str"/>
      <c r="K1492" s="41" t="str"/>
      <c r="L1492" s="41" t="str"/>
      <c r="M1492" s="41" t="str"/>
      <c r="N1492" s="41" t="str"/>
      <c r="O1492" s="41" t="str"/>
      <c r="P1492" s="41" t="str"/>
      <c r="Q1492" s="41" t="str"/>
      <c r="R1492" s="41" t="str"/>
      <c r="S1492" s="41" t="str"/>
      <c r="T1492" s="41" t="str"/>
      <c r="U1492" s="41" t="str"/>
      <c r="V1492" s="41" t="str"/>
      <c r="W1492" s="41" t="str"/>
    </row>
    <row r="1493">
      <c r="B1493" s="2" t="n"/>
      <c r="C1493" s="40" t="n"/>
      <c r="D1493" s="52">
        <f t="array" ref="D1493:W1493">IF(All_Students_Scores!C1491:V1491="","",All_Students_Scores!C1491:V1491)</f>
        <v/>
      </c>
      <c r="E1493" s="57" t="str"/>
      <c r="F1493" s="49" t="str"/>
      <c r="G1493" s="59" t="str"/>
      <c r="H1493" s="64" t="str"/>
      <c r="I1493" s="65" t="str"/>
      <c r="J1493" s="49" t="str"/>
      <c r="K1493" s="41" t="str"/>
      <c r="L1493" s="41" t="str"/>
      <c r="M1493" s="41" t="str"/>
      <c r="N1493" s="41" t="str"/>
      <c r="O1493" s="41" t="str"/>
      <c r="P1493" s="41" t="str"/>
      <c r="Q1493" s="41" t="str"/>
      <c r="R1493" s="41" t="str"/>
      <c r="S1493" s="41" t="str"/>
      <c r="T1493" s="41" t="str"/>
      <c r="U1493" s="41" t="str"/>
      <c r="V1493" s="41" t="str"/>
      <c r="W1493" s="41" t="str"/>
    </row>
    <row r="1494">
      <c r="B1494" s="2" t="n"/>
      <c r="C1494" s="40" t="n"/>
      <c r="D1494" s="52">
        <f t="array" ref="D1494:W1494">IF(All_Students_Scores!C1492:V1492="","",All_Students_Scores!C1492:V1492)</f>
        <v/>
      </c>
      <c r="E1494" s="57" t="str"/>
      <c r="F1494" s="49" t="str"/>
      <c r="G1494" s="59" t="str"/>
      <c r="H1494" s="64" t="str"/>
      <c r="I1494" s="65" t="str"/>
      <c r="J1494" s="49" t="str"/>
      <c r="K1494" s="41" t="str"/>
      <c r="L1494" s="41" t="str"/>
      <c r="M1494" s="41" t="str"/>
      <c r="N1494" s="41" t="str"/>
      <c r="O1494" s="41" t="str"/>
      <c r="P1494" s="41" t="str"/>
      <c r="Q1494" s="41" t="str"/>
      <c r="R1494" s="41" t="str"/>
      <c r="S1494" s="41" t="str"/>
      <c r="T1494" s="41" t="str"/>
      <c r="U1494" s="41" t="str"/>
      <c r="V1494" s="41" t="str"/>
      <c r="W1494" s="41" t="str"/>
    </row>
    <row r="1495">
      <c r="B1495" s="2" t="n"/>
      <c r="C1495" s="40" t="n"/>
      <c r="D1495" s="52">
        <f t="array" ref="D1495:W1495">IF(All_Students_Scores!C1493:V1493="","",All_Students_Scores!C1493:V1493)</f>
        <v/>
      </c>
      <c r="E1495" s="57" t="str"/>
      <c r="F1495" s="49" t="str"/>
      <c r="G1495" s="59" t="str"/>
      <c r="H1495" s="64" t="str"/>
      <c r="I1495" s="65" t="str"/>
      <c r="J1495" s="49" t="str"/>
      <c r="K1495" s="41" t="str"/>
      <c r="L1495" s="41" t="str"/>
      <c r="M1495" s="41" t="str"/>
      <c r="N1495" s="41" t="str"/>
      <c r="O1495" s="41" t="str"/>
      <c r="P1495" s="41" t="str"/>
      <c r="Q1495" s="41" t="str"/>
      <c r="R1495" s="41" t="str"/>
      <c r="S1495" s="41" t="str"/>
      <c r="T1495" s="41" t="str"/>
      <c r="U1495" s="41" t="str"/>
      <c r="V1495" s="41" t="str"/>
      <c r="W1495" s="41" t="str"/>
    </row>
    <row r="1496">
      <c r="B1496" s="2" t="n"/>
      <c r="C1496" s="40" t="n"/>
      <c r="D1496" s="52">
        <f t="array" ref="D1496:W1496">IF(All_Students_Scores!C1494:V1494="","",All_Students_Scores!C1494:V1494)</f>
        <v/>
      </c>
      <c r="E1496" s="57" t="str"/>
      <c r="F1496" s="49" t="str"/>
      <c r="G1496" s="59" t="str"/>
      <c r="H1496" s="64" t="str"/>
      <c r="I1496" s="65" t="str"/>
      <c r="J1496" s="49" t="str"/>
      <c r="K1496" s="41" t="str"/>
      <c r="L1496" s="41" t="str"/>
      <c r="M1496" s="41" t="str"/>
      <c r="N1496" s="41" t="str"/>
      <c r="O1496" s="41" t="str"/>
      <c r="P1496" s="41" t="str"/>
      <c r="Q1496" s="41" t="str"/>
      <c r="R1496" s="41" t="str"/>
      <c r="S1496" s="41" t="str"/>
      <c r="T1496" s="41" t="str"/>
      <c r="U1496" s="41" t="str"/>
      <c r="V1496" s="41" t="str"/>
      <c r="W1496" s="41" t="str"/>
    </row>
    <row r="1497">
      <c r="B1497" s="2" t="n"/>
      <c r="C1497" s="40" t="n"/>
      <c r="D1497" s="52">
        <f t="array" ref="D1497:W1497">IF(All_Students_Scores!C1495:V1495="","",All_Students_Scores!C1495:V1495)</f>
        <v/>
      </c>
      <c r="E1497" s="57" t="str"/>
      <c r="F1497" s="49" t="str"/>
      <c r="G1497" s="59" t="str"/>
      <c r="H1497" s="64" t="str"/>
      <c r="I1497" s="65" t="str"/>
      <c r="J1497" s="49" t="str"/>
      <c r="K1497" s="41" t="str"/>
      <c r="L1497" s="41" t="str"/>
      <c r="M1497" s="41" t="str"/>
      <c r="N1497" s="41" t="str"/>
      <c r="O1497" s="41" t="str"/>
      <c r="P1497" s="41" t="str"/>
      <c r="Q1497" s="41" t="str"/>
      <c r="R1497" s="41" t="str"/>
      <c r="S1497" s="41" t="str"/>
      <c r="T1497" s="41" t="str"/>
      <c r="U1497" s="41" t="str"/>
      <c r="V1497" s="41" t="str"/>
      <c r="W1497" s="41" t="str"/>
    </row>
    <row r="1498">
      <c r="B1498" s="2" t="n"/>
      <c r="C1498" s="40" t="n"/>
      <c r="D1498" s="52">
        <f t="array" ref="D1498:W1498">IF(All_Students_Scores!C1496:V1496="","",All_Students_Scores!C1496:V1496)</f>
        <v/>
      </c>
      <c r="E1498" s="57" t="str"/>
      <c r="F1498" s="49" t="str"/>
      <c r="G1498" s="59" t="str"/>
      <c r="H1498" s="64" t="str"/>
      <c r="I1498" s="65" t="str"/>
      <c r="J1498" s="49" t="str"/>
      <c r="K1498" s="41" t="str"/>
      <c r="L1498" s="41" t="str"/>
      <c r="M1498" s="41" t="str"/>
      <c r="N1498" s="41" t="str"/>
      <c r="O1498" s="41" t="str"/>
      <c r="P1498" s="41" t="str"/>
      <c r="Q1498" s="41" t="str"/>
      <c r="R1498" s="41" t="str"/>
      <c r="S1498" s="41" t="str"/>
      <c r="T1498" s="41" t="str"/>
      <c r="U1498" s="41" t="str"/>
      <c r="V1498" s="41" t="str"/>
      <c r="W1498" s="41" t="str"/>
    </row>
    <row r="1499">
      <c r="B1499" s="2" t="n"/>
      <c r="C1499" s="40" t="n"/>
      <c r="D1499" s="52">
        <f t="array" ref="D1499:W1499">IF(All_Students_Scores!C1497:V1497="","",All_Students_Scores!C1497:V1497)</f>
        <v/>
      </c>
      <c r="E1499" s="57" t="str"/>
      <c r="F1499" s="49" t="str"/>
      <c r="G1499" s="59" t="str"/>
      <c r="H1499" s="64" t="str"/>
      <c r="I1499" s="65" t="str"/>
      <c r="J1499" s="49" t="str"/>
      <c r="K1499" s="41" t="str"/>
      <c r="L1499" s="41" t="str"/>
      <c r="M1499" s="41" t="str"/>
      <c r="N1499" s="41" t="str"/>
      <c r="O1499" s="41" t="str"/>
      <c r="P1499" s="41" t="str"/>
      <c r="Q1499" s="41" t="str"/>
      <c r="R1499" s="41" t="str"/>
      <c r="S1499" s="41" t="str"/>
      <c r="T1499" s="41" t="str"/>
      <c r="U1499" s="41" t="str"/>
      <c r="V1499" s="41" t="str"/>
      <c r="W1499" s="41" t="str"/>
    </row>
    <row r="1500">
      <c r="B1500" s="2" t="n"/>
      <c r="C1500" s="40" t="n"/>
      <c r="D1500" s="52">
        <f t="array" ref="D1500:W1500">IF(All_Students_Scores!C1498:V1498="","",All_Students_Scores!C1498:V1498)</f>
        <v/>
      </c>
      <c r="E1500" s="57" t="str"/>
      <c r="F1500" s="49" t="str"/>
      <c r="G1500" s="59" t="str"/>
      <c r="H1500" s="64" t="str"/>
      <c r="I1500" s="65" t="str"/>
      <c r="J1500" s="49" t="str"/>
      <c r="K1500" s="41" t="str"/>
      <c r="L1500" s="41" t="str"/>
      <c r="M1500" s="41" t="str"/>
      <c r="N1500" s="41" t="str"/>
      <c r="O1500" s="41" t="str"/>
      <c r="P1500" s="41" t="str"/>
      <c r="Q1500" s="41" t="str"/>
      <c r="R1500" s="41" t="str"/>
      <c r="S1500" s="41" t="str"/>
      <c r="T1500" s="41" t="str"/>
      <c r="U1500" s="41" t="str"/>
      <c r="V1500" s="41" t="str"/>
      <c r="W1500" s="41" t="str"/>
    </row>
    <row r="1501">
      <c r="B1501" s="2" t="n"/>
      <c r="C1501" s="40" t="n"/>
      <c r="D1501" s="52">
        <f t="array" ref="D1501:W1501">IF(All_Students_Scores!C1499:V1499="","",All_Students_Scores!C1499:V1499)</f>
        <v/>
      </c>
      <c r="E1501" s="57" t="str"/>
      <c r="F1501" s="49" t="str"/>
      <c r="G1501" s="59" t="str"/>
      <c r="H1501" s="64" t="str"/>
      <c r="I1501" s="65" t="str"/>
      <c r="J1501" s="49" t="str"/>
      <c r="K1501" s="41" t="str"/>
      <c r="L1501" s="41" t="str"/>
      <c r="M1501" s="41" t="str"/>
      <c r="N1501" s="41" t="str"/>
      <c r="O1501" s="41" t="str"/>
      <c r="P1501" s="41" t="str"/>
      <c r="Q1501" s="41" t="str"/>
      <c r="R1501" s="41" t="str"/>
      <c r="S1501" s="41" t="str"/>
      <c r="T1501" s="41" t="str"/>
      <c r="U1501" s="41" t="str"/>
      <c r="V1501" s="41" t="str"/>
      <c r="W1501" s="41" t="str"/>
    </row>
    <row r="1502">
      <c r="B1502" s="2" t="n"/>
      <c r="C1502" s="40" t="n"/>
      <c r="D1502" s="52">
        <f t="array" ref="D1502:W1502">IF(All_Students_Scores!C1500:V1500="","",All_Students_Scores!C1500:V1500)</f>
        <v/>
      </c>
      <c r="E1502" s="57" t="str"/>
      <c r="F1502" s="49" t="str"/>
      <c r="G1502" s="59" t="str"/>
      <c r="H1502" s="64" t="str"/>
      <c r="I1502" s="65" t="str"/>
      <c r="J1502" s="49" t="str"/>
      <c r="K1502" s="41" t="str"/>
      <c r="L1502" s="41" t="str"/>
      <c r="M1502" s="41" t="str"/>
      <c r="N1502" s="41" t="str"/>
      <c r="O1502" s="41" t="str"/>
      <c r="P1502" s="41" t="str"/>
      <c r="Q1502" s="41" t="str"/>
      <c r="R1502" s="41" t="str"/>
      <c r="S1502" s="41" t="str"/>
      <c r="T1502" s="41" t="str"/>
      <c r="U1502" s="41" t="str"/>
      <c r="V1502" s="41" t="str"/>
      <c r="W1502" s="41" t="str"/>
    </row>
    <row r="1503">
      <c r="B1503" s="2" t="n"/>
      <c r="C1503" s="40" t="n"/>
      <c r="D1503" s="52">
        <f t="array" ref="D1503:W1503">IF(All_Students_Scores!C1501:V1501="","",All_Students_Scores!C1501:V1501)</f>
        <v/>
      </c>
      <c r="E1503" s="57" t="str"/>
      <c r="F1503" s="49" t="str"/>
      <c r="G1503" s="59" t="str"/>
      <c r="H1503" s="64" t="str"/>
      <c r="I1503" s="65" t="str"/>
      <c r="J1503" s="49" t="str"/>
      <c r="K1503" s="41" t="str"/>
      <c r="L1503" s="41" t="str"/>
      <c r="M1503" s="41" t="str"/>
      <c r="N1503" s="41" t="str"/>
      <c r="O1503" s="41" t="str"/>
      <c r="P1503" s="41" t="str"/>
      <c r="Q1503" s="41" t="str"/>
      <c r="R1503" s="41" t="str"/>
      <c r="S1503" s="41" t="str"/>
      <c r="T1503" s="41" t="str"/>
      <c r="U1503" s="41" t="str"/>
      <c r="V1503" s="41" t="str"/>
      <c r="W1503" s="41" t="str"/>
    </row>
    <row r="1504">
      <c r="B1504" s="2" t="n"/>
      <c r="C1504" s="40" t="n"/>
      <c r="D1504" s="52">
        <f t="array" ref="D1504:W1504">IF(All_Students_Scores!C1502:V1502="","",All_Students_Scores!C1502:V1502)</f>
        <v/>
      </c>
      <c r="E1504" s="57" t="str"/>
      <c r="F1504" s="49" t="str"/>
      <c r="G1504" s="59" t="str"/>
      <c r="H1504" s="64" t="str"/>
      <c r="I1504" s="65" t="str"/>
      <c r="J1504" s="49" t="str"/>
      <c r="K1504" s="41" t="str"/>
      <c r="L1504" s="41" t="str"/>
      <c r="M1504" s="41" t="str"/>
      <c r="N1504" s="41" t="str"/>
      <c r="O1504" s="41" t="str"/>
      <c r="P1504" s="41" t="str"/>
      <c r="Q1504" s="41" t="str"/>
      <c r="R1504" s="41" t="str"/>
      <c r="S1504" s="41" t="str"/>
      <c r="T1504" s="41" t="str"/>
      <c r="U1504" s="41" t="str"/>
      <c r="V1504" s="41" t="str"/>
      <c r="W1504" s="41" t="str"/>
    </row>
    <row r="1505">
      <c r="B1505" s="2" t="n"/>
      <c r="C1505" s="40" t="n"/>
      <c r="D1505" s="52">
        <f t="array" ref="D1505:W1505">IF(All_Students_Scores!C1503:V1503="","",All_Students_Scores!C1503:V1503)</f>
        <v/>
      </c>
      <c r="E1505" s="57" t="str"/>
      <c r="F1505" s="49" t="str"/>
      <c r="G1505" s="59" t="str"/>
      <c r="H1505" s="64" t="str"/>
      <c r="I1505" s="65" t="str"/>
      <c r="J1505" s="49" t="str"/>
      <c r="K1505" s="41" t="str"/>
      <c r="L1505" s="41" t="str"/>
      <c r="M1505" s="41" t="str"/>
      <c r="N1505" s="41" t="str"/>
      <c r="O1505" s="41" t="str"/>
      <c r="P1505" s="41" t="str"/>
      <c r="Q1505" s="41" t="str"/>
      <c r="R1505" s="41" t="str"/>
      <c r="S1505" s="41" t="str"/>
      <c r="T1505" s="41" t="str"/>
      <c r="U1505" s="41" t="str"/>
      <c r="V1505" s="41" t="str"/>
      <c r="W1505" s="41" t="str"/>
    </row>
    <row r="1506">
      <c r="B1506" s="2" t="n"/>
      <c r="C1506" s="40" t="n"/>
      <c r="D1506" s="52">
        <f t="array" ref="D1506:W1506">IF(All_Students_Scores!C1504:V1504="","",All_Students_Scores!C1504:V1504)</f>
        <v/>
      </c>
      <c r="E1506" s="57" t="str"/>
      <c r="F1506" s="49" t="str"/>
      <c r="G1506" s="59" t="str"/>
      <c r="H1506" s="64" t="str"/>
      <c r="I1506" s="65" t="str"/>
      <c r="J1506" s="49" t="str"/>
      <c r="K1506" s="41" t="str"/>
      <c r="L1506" s="41" t="str"/>
      <c r="M1506" s="41" t="str"/>
      <c r="N1506" s="41" t="str"/>
      <c r="O1506" s="41" t="str"/>
      <c r="P1506" s="41" t="str"/>
      <c r="Q1506" s="41" t="str"/>
      <c r="R1506" s="41" t="str"/>
      <c r="S1506" s="41" t="str"/>
      <c r="T1506" s="41" t="str"/>
      <c r="U1506" s="41" t="str"/>
      <c r="V1506" s="41" t="str"/>
      <c r="W1506" s="41" t="str"/>
    </row>
    <row r="1507">
      <c r="B1507" s="2" t="n"/>
      <c r="C1507" s="40" t="n"/>
      <c r="D1507" s="52">
        <f t="array" ref="D1507:W1507">IF(All_Students_Scores!C1505:V1505="","",All_Students_Scores!C1505:V1505)</f>
        <v/>
      </c>
      <c r="E1507" s="57" t="str"/>
      <c r="F1507" s="49" t="str"/>
      <c r="G1507" s="59" t="str"/>
      <c r="H1507" s="64" t="str"/>
      <c r="I1507" s="65" t="str"/>
      <c r="J1507" s="49" t="str"/>
      <c r="K1507" s="41" t="str"/>
      <c r="L1507" s="41" t="str"/>
      <c r="M1507" s="41" t="str"/>
      <c r="N1507" s="41" t="str"/>
      <c r="O1507" s="41" t="str"/>
      <c r="P1507" s="41" t="str"/>
      <c r="Q1507" s="41" t="str"/>
      <c r="R1507" s="41" t="str"/>
      <c r="S1507" s="41" t="str"/>
      <c r="T1507" s="41" t="str"/>
      <c r="U1507" s="41" t="str"/>
      <c r="V1507" s="41" t="str"/>
      <c r="W1507" s="41" t="str"/>
    </row>
    <row r="1508">
      <c r="B1508" s="2" t="n"/>
      <c r="C1508" s="40" t="n"/>
      <c r="D1508" s="52">
        <f t="array" ref="D1508:W1508">IF(All_Students_Scores!C1506:V1506="","",All_Students_Scores!C1506:V1506)</f>
        <v/>
      </c>
      <c r="E1508" s="57" t="str"/>
      <c r="F1508" s="49" t="str"/>
      <c r="G1508" s="59" t="str"/>
      <c r="H1508" s="64" t="str"/>
      <c r="I1508" s="65" t="str"/>
      <c r="J1508" s="49" t="str"/>
      <c r="K1508" s="41" t="str"/>
      <c r="L1508" s="41" t="str"/>
      <c r="M1508" s="41" t="str"/>
      <c r="N1508" s="41" t="str"/>
      <c r="O1508" s="41" t="str"/>
      <c r="P1508" s="41" t="str"/>
      <c r="Q1508" s="41" t="str"/>
      <c r="R1508" s="41" t="str"/>
      <c r="S1508" s="41" t="str"/>
      <c r="T1508" s="41" t="str"/>
      <c r="U1508" s="41" t="str"/>
      <c r="V1508" s="41" t="str"/>
      <c r="W1508" s="41" t="str"/>
    </row>
    <row r="1509">
      <c r="B1509" s="2" t="n"/>
      <c r="C1509" s="40" t="n"/>
      <c r="D1509" s="52">
        <f t="array" ref="D1509:W1509">IF(All_Students_Scores!C1507:V1507="","",All_Students_Scores!C1507:V1507)</f>
        <v/>
      </c>
      <c r="E1509" s="57" t="str"/>
      <c r="F1509" s="49" t="str"/>
      <c r="G1509" s="59" t="str"/>
      <c r="H1509" s="64" t="str"/>
      <c r="I1509" s="65" t="str"/>
      <c r="J1509" s="49" t="str"/>
      <c r="K1509" s="41" t="str"/>
      <c r="L1509" s="41" t="str"/>
      <c r="M1509" s="41" t="str"/>
      <c r="N1509" s="41" t="str"/>
      <c r="O1509" s="41" t="str"/>
      <c r="P1509" s="41" t="str"/>
      <c r="Q1509" s="41" t="str"/>
      <c r="R1509" s="41" t="str"/>
      <c r="S1509" s="41" t="str"/>
      <c r="T1509" s="41" t="str"/>
      <c r="U1509" s="41" t="str"/>
      <c r="V1509" s="41" t="str"/>
      <c r="W1509" s="41" t="str"/>
    </row>
    <row r="1510">
      <c r="B1510" s="2" t="n"/>
      <c r="C1510" s="40" t="n"/>
      <c r="D1510" s="52">
        <f t="array" ref="D1510:W1510">IF(All_Students_Scores!C1508:V1508="","",All_Students_Scores!C1508:V1508)</f>
        <v/>
      </c>
      <c r="E1510" s="57" t="str"/>
      <c r="F1510" s="49" t="str"/>
      <c r="G1510" s="59" t="str"/>
      <c r="H1510" s="64" t="str"/>
      <c r="I1510" s="65" t="str"/>
      <c r="J1510" s="49" t="str"/>
      <c r="K1510" s="41" t="str"/>
      <c r="L1510" s="41" t="str"/>
      <c r="M1510" s="41" t="str"/>
      <c r="N1510" s="41" t="str"/>
      <c r="O1510" s="41" t="str"/>
      <c r="P1510" s="41" t="str"/>
      <c r="Q1510" s="41" t="str"/>
      <c r="R1510" s="41" t="str"/>
      <c r="S1510" s="41" t="str"/>
      <c r="T1510" s="41" t="str"/>
      <c r="U1510" s="41" t="str"/>
      <c r="V1510" s="41" t="str"/>
      <c r="W1510" s="41" t="str"/>
    </row>
    <row r="1511">
      <c r="B1511" s="2" t="n"/>
      <c r="C1511" s="40" t="n"/>
      <c r="D1511" s="52">
        <f t="array" ref="D1511:W1511">IF(All_Students_Scores!C1509:V1509="","",All_Students_Scores!C1509:V1509)</f>
        <v/>
      </c>
      <c r="E1511" s="57" t="str"/>
      <c r="F1511" s="49" t="str"/>
      <c r="G1511" s="59" t="str"/>
      <c r="H1511" s="64" t="str"/>
      <c r="I1511" s="65" t="str"/>
      <c r="J1511" s="49" t="str"/>
      <c r="K1511" s="41" t="str"/>
      <c r="L1511" s="41" t="str"/>
      <c r="M1511" s="41" t="str"/>
      <c r="N1511" s="41" t="str"/>
      <c r="O1511" s="41" t="str"/>
      <c r="P1511" s="41" t="str"/>
      <c r="Q1511" s="41" t="str"/>
      <c r="R1511" s="41" t="str"/>
      <c r="S1511" s="41" t="str"/>
      <c r="T1511" s="41" t="str"/>
      <c r="U1511" s="41" t="str"/>
      <c r="V1511" s="41" t="str"/>
      <c r="W1511" s="41" t="str"/>
    </row>
    <row r="1512">
      <c r="B1512" s="2" t="n"/>
      <c r="C1512" s="40" t="n"/>
      <c r="D1512" s="52">
        <f t="array" ref="D1512:W1512">IF(All_Students_Scores!C1510:V1510="","",All_Students_Scores!C1510:V1510)</f>
        <v/>
      </c>
      <c r="E1512" s="57" t="str"/>
      <c r="F1512" s="49" t="str"/>
      <c r="G1512" s="59" t="str"/>
      <c r="H1512" s="64" t="str"/>
      <c r="I1512" s="65" t="str"/>
      <c r="J1512" s="49" t="str"/>
      <c r="K1512" s="41" t="str"/>
      <c r="L1512" s="41" t="str"/>
      <c r="M1512" s="41" t="str"/>
      <c r="N1512" s="41" t="str"/>
      <c r="O1512" s="41" t="str"/>
      <c r="P1512" s="41" t="str"/>
      <c r="Q1512" s="41" t="str"/>
      <c r="R1512" s="41" t="str"/>
      <c r="S1512" s="41" t="str"/>
      <c r="T1512" s="41" t="str"/>
      <c r="U1512" s="41" t="str"/>
      <c r="V1512" s="41" t="str"/>
      <c r="W1512" s="41" t="str"/>
    </row>
    <row r="1513">
      <c r="B1513" s="2" t="n"/>
      <c r="C1513" s="40" t="n"/>
      <c r="D1513" s="52">
        <f t="array" ref="D1513:W1513">IF(All_Students_Scores!C1511:V1511="","",All_Students_Scores!C1511:V1511)</f>
        <v/>
      </c>
      <c r="E1513" s="57" t="str"/>
      <c r="F1513" s="49" t="str"/>
      <c r="G1513" s="59" t="str"/>
      <c r="H1513" s="64" t="str"/>
      <c r="I1513" s="65" t="str"/>
      <c r="J1513" s="49" t="str"/>
      <c r="K1513" s="41" t="str"/>
      <c r="L1513" s="41" t="str"/>
      <c r="M1513" s="41" t="str"/>
      <c r="N1513" s="41" t="str"/>
      <c r="O1513" s="41" t="str"/>
      <c r="P1513" s="41" t="str"/>
      <c r="Q1513" s="41" t="str"/>
      <c r="R1513" s="41" t="str"/>
      <c r="S1513" s="41" t="str"/>
      <c r="T1513" s="41" t="str"/>
      <c r="U1513" s="41" t="str"/>
      <c r="V1513" s="41" t="str"/>
      <c r="W1513" s="41" t="str"/>
    </row>
    <row r="1514">
      <c r="B1514" s="2" t="n"/>
      <c r="C1514" s="40" t="n"/>
      <c r="D1514" s="52">
        <f t="array" ref="D1514:W1514">IF(All_Students_Scores!C1512:V1512="","",All_Students_Scores!C1512:V1512)</f>
        <v/>
      </c>
      <c r="E1514" s="57" t="str"/>
      <c r="F1514" s="49" t="str"/>
      <c r="G1514" s="59" t="str"/>
      <c r="H1514" s="64" t="str"/>
      <c r="I1514" s="65" t="str"/>
      <c r="J1514" s="49" t="str"/>
      <c r="K1514" s="41" t="str"/>
      <c r="L1514" s="41" t="str"/>
      <c r="M1514" s="41" t="str"/>
      <c r="N1514" s="41" t="str"/>
      <c r="O1514" s="41" t="str"/>
      <c r="P1514" s="41" t="str"/>
      <c r="Q1514" s="41" t="str"/>
      <c r="R1514" s="41" t="str"/>
      <c r="S1514" s="41" t="str"/>
      <c r="T1514" s="41" t="str"/>
      <c r="U1514" s="41" t="str"/>
      <c r="V1514" s="41" t="str"/>
      <c r="W1514" s="41" t="str"/>
    </row>
    <row r="1515">
      <c r="B1515" s="2" t="n"/>
      <c r="C1515" s="40" t="n"/>
      <c r="D1515" s="52">
        <f t="array" ref="D1515:W1515">IF(All_Students_Scores!C1513:V1513="","",All_Students_Scores!C1513:V1513)</f>
        <v/>
      </c>
      <c r="E1515" s="57" t="str"/>
      <c r="F1515" s="49" t="str"/>
      <c r="G1515" s="59" t="str"/>
      <c r="H1515" s="64" t="str"/>
      <c r="I1515" s="65" t="str"/>
      <c r="J1515" s="49" t="str"/>
      <c r="K1515" s="41" t="str"/>
      <c r="L1515" s="41" t="str"/>
      <c r="M1515" s="41" t="str"/>
      <c r="N1515" s="41" t="str"/>
      <c r="O1515" s="41" t="str"/>
      <c r="P1515" s="41" t="str"/>
      <c r="Q1515" s="41" t="str"/>
      <c r="R1515" s="41" t="str"/>
      <c r="S1515" s="41" t="str"/>
      <c r="T1515" s="41" t="str"/>
      <c r="U1515" s="41" t="str"/>
      <c r="V1515" s="41" t="str"/>
      <c r="W1515" s="41" t="str"/>
    </row>
    <row r="1516">
      <c r="B1516" s="2" t="n"/>
      <c r="C1516" s="40" t="n"/>
      <c r="D1516" s="52">
        <f t="array" ref="D1516:W1516">IF(All_Students_Scores!C1514:V1514="","",All_Students_Scores!C1514:V1514)</f>
        <v/>
      </c>
      <c r="E1516" s="57" t="str"/>
      <c r="F1516" s="49" t="str"/>
      <c r="G1516" s="59" t="str"/>
      <c r="H1516" s="64" t="str"/>
      <c r="I1516" s="65" t="str"/>
      <c r="J1516" s="49" t="str"/>
      <c r="K1516" s="41" t="str"/>
      <c r="L1516" s="41" t="str"/>
      <c r="M1516" s="41" t="str"/>
      <c r="N1516" s="41" t="str"/>
      <c r="O1516" s="41" t="str"/>
      <c r="P1516" s="41" t="str"/>
      <c r="Q1516" s="41" t="str"/>
      <c r="R1516" s="41" t="str"/>
      <c r="S1516" s="41" t="str"/>
      <c r="T1516" s="41" t="str"/>
      <c r="U1516" s="41" t="str"/>
      <c r="V1516" s="41" t="str"/>
      <c r="W1516" s="41" t="str"/>
    </row>
    <row r="1517">
      <c r="B1517" s="2" t="n"/>
      <c r="C1517" s="40" t="n"/>
      <c r="D1517" s="52">
        <f t="array" ref="D1517:W1517">IF(All_Students_Scores!C1515:V1515="","",All_Students_Scores!C1515:V1515)</f>
        <v/>
      </c>
      <c r="E1517" s="57" t="str"/>
      <c r="F1517" s="49" t="str"/>
      <c r="G1517" s="59" t="str"/>
      <c r="H1517" s="64" t="str"/>
      <c r="I1517" s="65" t="str"/>
      <c r="J1517" s="49" t="str"/>
      <c r="K1517" s="41" t="str"/>
      <c r="L1517" s="41" t="str"/>
      <c r="M1517" s="41" t="str"/>
      <c r="N1517" s="41" t="str"/>
      <c r="O1517" s="41" t="str"/>
      <c r="P1517" s="41" t="str"/>
      <c r="Q1517" s="41" t="str"/>
      <c r="R1517" s="41" t="str"/>
      <c r="S1517" s="41" t="str"/>
      <c r="T1517" s="41" t="str"/>
      <c r="U1517" s="41" t="str"/>
      <c r="V1517" s="41" t="str"/>
      <c r="W1517" s="41" t="str"/>
    </row>
    <row r="1518">
      <c r="B1518" s="2" t="n"/>
      <c r="C1518" s="40" t="n"/>
      <c r="D1518" s="52">
        <f t="array" ref="D1518:W1518">IF(All_Students_Scores!C1516:V1516="","",All_Students_Scores!C1516:V1516)</f>
        <v/>
      </c>
      <c r="E1518" s="57" t="str"/>
      <c r="F1518" s="49" t="str"/>
      <c r="G1518" s="59" t="str"/>
      <c r="H1518" s="64" t="str"/>
      <c r="I1518" s="65" t="str"/>
      <c r="J1518" s="49" t="str"/>
      <c r="K1518" s="41" t="str"/>
      <c r="L1518" s="41" t="str"/>
      <c r="M1518" s="41" t="str"/>
      <c r="N1518" s="41" t="str"/>
      <c r="O1518" s="41" t="str"/>
      <c r="P1518" s="41" t="str"/>
      <c r="Q1518" s="41" t="str"/>
      <c r="R1518" s="41" t="str"/>
      <c r="S1518" s="41" t="str"/>
      <c r="T1518" s="41" t="str"/>
      <c r="U1518" s="41" t="str"/>
      <c r="V1518" s="41" t="str"/>
      <c r="W1518" s="41" t="str"/>
    </row>
    <row r="1519">
      <c r="B1519" s="2" t="n"/>
      <c r="C1519" s="40" t="n"/>
      <c r="D1519" s="52">
        <f t="array" ref="D1519:W1519">IF(All_Students_Scores!C1517:V1517="","",All_Students_Scores!C1517:V1517)</f>
        <v/>
      </c>
      <c r="E1519" s="57" t="str"/>
      <c r="F1519" s="49" t="str"/>
      <c r="G1519" s="59" t="str"/>
      <c r="H1519" s="64" t="str"/>
      <c r="I1519" s="65" t="str"/>
      <c r="J1519" s="49" t="str"/>
      <c r="K1519" s="41" t="str"/>
      <c r="L1519" s="41" t="str"/>
      <c r="M1519" s="41" t="str"/>
      <c r="N1519" s="41" t="str"/>
      <c r="O1519" s="41" t="str"/>
      <c r="P1519" s="41" t="str"/>
      <c r="Q1519" s="41" t="str"/>
      <c r="R1519" s="41" t="str"/>
      <c r="S1519" s="41" t="str"/>
      <c r="T1519" s="41" t="str"/>
      <c r="U1519" s="41" t="str"/>
      <c r="V1519" s="41" t="str"/>
      <c r="W1519" s="41" t="str"/>
    </row>
    <row r="1520">
      <c r="B1520" s="2" t="n"/>
      <c r="C1520" s="40" t="n"/>
      <c r="D1520" s="52">
        <f t="array" ref="D1520:W1520">IF(All_Students_Scores!C1518:V1518="","",All_Students_Scores!C1518:V1518)</f>
        <v/>
      </c>
      <c r="E1520" s="57" t="str"/>
      <c r="F1520" s="49" t="str"/>
      <c r="G1520" s="59" t="str"/>
      <c r="H1520" s="64" t="str"/>
      <c r="I1520" s="65" t="str"/>
      <c r="J1520" s="49" t="str"/>
      <c r="K1520" s="41" t="str"/>
      <c r="L1520" s="41" t="str"/>
      <c r="M1520" s="41" t="str"/>
      <c r="N1520" s="41" t="str"/>
      <c r="O1520" s="41" t="str"/>
      <c r="P1520" s="41" t="str"/>
      <c r="Q1520" s="41" t="str"/>
      <c r="R1520" s="41" t="str"/>
      <c r="S1520" s="41" t="str"/>
      <c r="T1520" s="41" t="str"/>
      <c r="U1520" s="41" t="str"/>
      <c r="V1520" s="41" t="str"/>
      <c r="W1520" s="41" t="str"/>
    </row>
    <row r="1521">
      <c r="B1521" s="2" t="n"/>
      <c r="C1521" s="40" t="n"/>
      <c r="D1521" s="52">
        <f t="array" ref="D1521:W1521">IF(All_Students_Scores!C1519:V1519="","",All_Students_Scores!C1519:V1519)</f>
        <v/>
      </c>
      <c r="E1521" s="57" t="str"/>
      <c r="F1521" s="49" t="str"/>
      <c r="G1521" s="59" t="str"/>
      <c r="H1521" s="64" t="str"/>
      <c r="I1521" s="65" t="str"/>
      <c r="J1521" s="49" t="str"/>
      <c r="K1521" s="41" t="str"/>
      <c r="L1521" s="41" t="str"/>
      <c r="M1521" s="41" t="str"/>
      <c r="N1521" s="41" t="str"/>
      <c r="O1521" s="41" t="str"/>
      <c r="P1521" s="41" t="str"/>
      <c r="Q1521" s="41" t="str"/>
      <c r="R1521" s="41" t="str"/>
      <c r="S1521" s="41" t="str"/>
      <c r="T1521" s="41" t="str"/>
      <c r="U1521" s="41" t="str"/>
      <c r="V1521" s="41" t="str"/>
      <c r="W1521" s="41" t="str"/>
    </row>
    <row r="1522">
      <c r="B1522" s="2" t="n"/>
      <c r="C1522" s="40" t="n"/>
      <c r="D1522" s="52">
        <f t="array" ref="D1522:W1522">IF(All_Students_Scores!C1520:V1520="","",All_Students_Scores!C1520:V1520)</f>
        <v/>
      </c>
      <c r="E1522" s="57" t="str"/>
      <c r="F1522" s="49" t="str"/>
      <c r="G1522" s="59" t="str"/>
      <c r="H1522" s="64" t="str"/>
      <c r="I1522" s="65" t="str"/>
      <c r="J1522" s="49" t="str"/>
      <c r="K1522" s="41" t="str"/>
      <c r="L1522" s="41" t="str"/>
      <c r="M1522" s="41" t="str"/>
      <c r="N1522" s="41" t="str"/>
      <c r="O1522" s="41" t="str"/>
      <c r="P1522" s="41" t="str"/>
      <c r="Q1522" s="41" t="str"/>
      <c r="R1522" s="41" t="str"/>
      <c r="S1522" s="41" t="str"/>
      <c r="T1522" s="41" t="str"/>
      <c r="U1522" s="41" t="str"/>
      <c r="V1522" s="41" t="str"/>
      <c r="W1522" s="41" t="str"/>
    </row>
    <row r="1523">
      <c r="B1523" s="2" t="n"/>
      <c r="C1523" s="40" t="n"/>
      <c r="D1523" s="52">
        <f t="array" ref="D1523:W1523">IF(All_Students_Scores!C1521:V1521="","",All_Students_Scores!C1521:V1521)</f>
        <v/>
      </c>
      <c r="E1523" s="57" t="str"/>
      <c r="F1523" s="49" t="str"/>
      <c r="G1523" s="59" t="str"/>
      <c r="H1523" s="64" t="str"/>
      <c r="I1523" s="65" t="str"/>
      <c r="J1523" s="49" t="str"/>
      <c r="K1523" s="41" t="str"/>
      <c r="L1523" s="41" t="str"/>
      <c r="M1523" s="41" t="str"/>
      <c r="N1523" s="41" t="str"/>
      <c r="O1523" s="41" t="str"/>
      <c r="P1523" s="41" t="str"/>
      <c r="Q1523" s="41" t="str"/>
      <c r="R1523" s="41" t="str"/>
      <c r="S1523" s="41" t="str"/>
      <c r="T1523" s="41" t="str"/>
      <c r="U1523" s="41" t="str"/>
      <c r="V1523" s="41" t="str"/>
      <c r="W1523" s="41" t="str"/>
    </row>
    <row r="1524">
      <c r="B1524" s="2" t="n"/>
      <c r="C1524" s="40" t="n"/>
      <c r="D1524" s="52">
        <f t="array" ref="D1524:W1524">IF(All_Students_Scores!C1522:V1522="","",All_Students_Scores!C1522:V1522)</f>
        <v/>
      </c>
      <c r="E1524" s="57" t="str"/>
      <c r="F1524" s="49" t="str"/>
      <c r="G1524" s="59" t="str"/>
      <c r="H1524" s="64" t="str"/>
      <c r="I1524" s="65" t="str"/>
      <c r="J1524" s="49" t="str"/>
      <c r="K1524" s="41" t="str"/>
      <c r="L1524" s="41" t="str"/>
      <c r="M1524" s="41" t="str"/>
      <c r="N1524" s="41" t="str"/>
      <c r="O1524" s="41" t="str"/>
      <c r="P1524" s="41" t="str"/>
      <c r="Q1524" s="41" t="str"/>
      <c r="R1524" s="41" t="str"/>
      <c r="S1524" s="41" t="str"/>
      <c r="T1524" s="41" t="str"/>
      <c r="U1524" s="41" t="str"/>
      <c r="V1524" s="41" t="str"/>
      <c r="W1524" s="41" t="str"/>
    </row>
    <row r="1525">
      <c r="B1525" s="2" t="n"/>
      <c r="C1525" s="40" t="n"/>
      <c r="D1525" s="52">
        <f t="array" ref="D1525:W1525">IF(All_Students_Scores!C1523:V1523="","",All_Students_Scores!C1523:V1523)</f>
        <v/>
      </c>
      <c r="E1525" s="57" t="str"/>
      <c r="F1525" s="49" t="str"/>
      <c r="G1525" s="59" t="str"/>
      <c r="H1525" s="64" t="str"/>
      <c r="I1525" s="65" t="str"/>
      <c r="J1525" s="49" t="str"/>
      <c r="K1525" s="41" t="str"/>
      <c r="L1525" s="41" t="str"/>
      <c r="M1525" s="41" t="str"/>
      <c r="N1525" s="41" t="str"/>
      <c r="O1525" s="41" t="str"/>
      <c r="P1525" s="41" t="str"/>
      <c r="Q1525" s="41" t="str"/>
      <c r="R1525" s="41" t="str"/>
      <c r="S1525" s="41" t="str"/>
      <c r="T1525" s="41" t="str"/>
      <c r="U1525" s="41" t="str"/>
      <c r="V1525" s="41" t="str"/>
      <c r="W1525" s="41" t="str"/>
    </row>
    <row r="1526">
      <c r="B1526" s="2" t="n"/>
      <c r="C1526" s="40" t="n"/>
      <c r="D1526" s="52">
        <f t="array" ref="D1526:W1526">IF(All_Students_Scores!C1524:V1524="","",All_Students_Scores!C1524:V1524)</f>
        <v/>
      </c>
      <c r="E1526" s="57" t="str"/>
      <c r="F1526" s="49" t="str"/>
      <c r="G1526" s="59" t="str"/>
      <c r="H1526" s="64" t="str"/>
      <c r="I1526" s="65" t="str"/>
      <c r="J1526" s="49" t="str"/>
      <c r="K1526" s="41" t="str"/>
      <c r="L1526" s="41" t="str"/>
      <c r="M1526" s="41" t="str"/>
      <c r="N1526" s="41" t="str"/>
      <c r="O1526" s="41" t="str"/>
      <c r="P1526" s="41" t="str"/>
      <c r="Q1526" s="41" t="str"/>
      <c r="R1526" s="41" t="str"/>
      <c r="S1526" s="41" t="str"/>
      <c r="T1526" s="41" t="str"/>
      <c r="U1526" s="41" t="str"/>
      <c r="V1526" s="41" t="str"/>
      <c r="W1526" s="41" t="str"/>
    </row>
    <row r="1527">
      <c r="B1527" s="2" t="n"/>
      <c r="C1527" s="40" t="n"/>
      <c r="D1527" s="52">
        <f t="array" ref="D1527:W1527">IF(All_Students_Scores!C1525:V1525="","",All_Students_Scores!C1525:V1525)</f>
        <v/>
      </c>
      <c r="E1527" s="57" t="str"/>
      <c r="F1527" s="49" t="str"/>
      <c r="G1527" s="59" t="str"/>
      <c r="H1527" s="64" t="str"/>
      <c r="I1527" s="65" t="str"/>
      <c r="J1527" s="49" t="str"/>
      <c r="K1527" s="41" t="str"/>
      <c r="L1527" s="41" t="str"/>
      <c r="M1527" s="41" t="str"/>
      <c r="N1527" s="41" t="str"/>
      <c r="O1527" s="41" t="str"/>
      <c r="P1527" s="41" t="str"/>
      <c r="Q1527" s="41" t="str"/>
      <c r="R1527" s="41" t="str"/>
      <c r="S1527" s="41" t="str"/>
      <c r="T1527" s="41" t="str"/>
      <c r="U1527" s="41" t="str"/>
      <c r="V1527" s="41" t="str"/>
      <c r="W1527" s="41" t="str"/>
    </row>
    <row r="1528">
      <c r="B1528" s="2" t="n"/>
      <c r="C1528" s="40" t="n"/>
      <c r="D1528" s="52">
        <f t="array" ref="D1528:W1528">IF(All_Students_Scores!C1526:V1526="","",All_Students_Scores!C1526:V1526)</f>
        <v/>
      </c>
      <c r="E1528" s="57" t="str"/>
      <c r="F1528" s="49" t="str"/>
      <c r="G1528" s="59" t="str"/>
      <c r="H1528" s="64" t="str"/>
      <c r="I1528" s="65" t="str"/>
      <c r="J1528" s="49" t="str"/>
      <c r="K1528" s="41" t="str"/>
      <c r="L1528" s="41" t="str"/>
      <c r="M1528" s="41" t="str"/>
      <c r="N1528" s="41" t="str"/>
      <c r="O1528" s="41" t="str"/>
      <c r="P1528" s="41" t="str"/>
      <c r="Q1528" s="41" t="str"/>
      <c r="R1528" s="41" t="str"/>
      <c r="S1528" s="41" t="str"/>
      <c r="T1528" s="41" t="str"/>
      <c r="U1528" s="41" t="str"/>
      <c r="V1528" s="41" t="str"/>
      <c r="W1528" s="41" t="str"/>
    </row>
    <row r="1529">
      <c r="B1529" s="2" t="n"/>
      <c r="C1529" s="40" t="n"/>
      <c r="D1529" s="52">
        <f t="array" ref="D1529:W1529">IF(All_Students_Scores!C1527:V1527="","",All_Students_Scores!C1527:V1527)</f>
        <v/>
      </c>
      <c r="E1529" s="57" t="str"/>
      <c r="F1529" s="49" t="str"/>
      <c r="G1529" s="59" t="str"/>
      <c r="H1529" s="64" t="str"/>
      <c r="I1529" s="65" t="str"/>
      <c r="J1529" s="49" t="str"/>
      <c r="K1529" s="41" t="str"/>
      <c r="L1529" s="41" t="str"/>
      <c r="M1529" s="41" t="str"/>
      <c r="N1529" s="41" t="str"/>
      <c r="O1529" s="41" t="str"/>
      <c r="P1529" s="41" t="str"/>
      <c r="Q1529" s="41" t="str"/>
      <c r="R1529" s="41" t="str"/>
      <c r="S1529" s="41" t="str"/>
      <c r="T1529" s="41" t="str"/>
      <c r="U1529" s="41" t="str"/>
      <c r="V1529" s="41" t="str"/>
      <c r="W1529" s="41" t="str"/>
    </row>
    <row r="1530">
      <c r="B1530" s="2" t="n"/>
      <c r="C1530" s="40" t="n"/>
      <c r="D1530" s="52">
        <f t="array" ref="D1530:W1530">IF(All_Students_Scores!C1528:V1528="","",All_Students_Scores!C1528:V1528)</f>
        <v/>
      </c>
      <c r="E1530" s="57" t="str"/>
      <c r="F1530" s="49" t="str"/>
      <c r="G1530" s="59" t="str"/>
      <c r="H1530" s="64" t="str"/>
      <c r="I1530" s="65" t="str"/>
      <c r="J1530" s="49" t="str"/>
      <c r="K1530" s="41" t="str"/>
      <c r="L1530" s="41" t="str"/>
      <c r="M1530" s="41" t="str"/>
      <c r="N1530" s="41" t="str"/>
      <c r="O1530" s="41" t="str"/>
      <c r="P1530" s="41" t="str"/>
      <c r="Q1530" s="41" t="str"/>
      <c r="R1530" s="41" t="str"/>
      <c r="S1530" s="41" t="str"/>
      <c r="T1530" s="41" t="str"/>
      <c r="U1530" s="41" t="str"/>
      <c r="V1530" s="41" t="str"/>
      <c r="W1530" s="41" t="str"/>
    </row>
    <row r="1531">
      <c r="B1531" s="2" t="n"/>
      <c r="C1531" s="40" t="n"/>
      <c r="D1531" s="52">
        <f t="array" ref="D1531:W1531">IF(All_Students_Scores!C1529:V1529="","",All_Students_Scores!C1529:V1529)</f>
        <v/>
      </c>
      <c r="E1531" s="57" t="str"/>
      <c r="F1531" s="49" t="str"/>
      <c r="G1531" s="59" t="str"/>
      <c r="H1531" s="64" t="str"/>
      <c r="I1531" s="65" t="str"/>
      <c r="J1531" s="49" t="str"/>
      <c r="K1531" s="41" t="str"/>
      <c r="L1531" s="41" t="str"/>
      <c r="M1531" s="41" t="str"/>
      <c r="N1531" s="41" t="str"/>
      <c r="O1531" s="41" t="str"/>
      <c r="P1531" s="41" t="str"/>
      <c r="Q1531" s="41" t="str"/>
      <c r="R1531" s="41" t="str"/>
      <c r="S1531" s="41" t="str"/>
      <c r="T1531" s="41" t="str"/>
      <c r="U1531" s="41" t="str"/>
      <c r="V1531" s="41" t="str"/>
      <c r="W1531" s="41" t="str"/>
    </row>
    <row r="1532">
      <c r="B1532" s="2" t="n"/>
      <c r="C1532" s="40" t="n"/>
      <c r="D1532" s="52">
        <f t="array" ref="D1532:W1532">IF(All_Students_Scores!C1530:V1530="","",All_Students_Scores!C1530:V1530)</f>
        <v/>
      </c>
      <c r="E1532" s="57" t="str"/>
      <c r="F1532" s="49" t="str"/>
      <c r="G1532" s="59" t="str"/>
      <c r="H1532" s="64" t="str"/>
      <c r="I1532" s="65" t="str"/>
      <c r="J1532" s="49" t="str"/>
      <c r="K1532" s="41" t="str"/>
      <c r="L1532" s="41" t="str"/>
      <c r="M1532" s="41" t="str"/>
      <c r="N1532" s="41" t="str"/>
      <c r="O1532" s="41" t="str"/>
      <c r="P1532" s="41" t="str"/>
      <c r="Q1532" s="41" t="str"/>
      <c r="R1532" s="41" t="str"/>
      <c r="S1532" s="41" t="str"/>
      <c r="T1532" s="41" t="str"/>
      <c r="U1532" s="41" t="str"/>
      <c r="V1532" s="41" t="str"/>
      <c r="W1532" s="41" t="str"/>
    </row>
    <row r="1533">
      <c r="B1533" s="2" t="n"/>
      <c r="C1533" s="40" t="n"/>
      <c r="D1533" s="52">
        <f t="array" ref="D1533:W1533">IF(All_Students_Scores!C1531:V1531="","",All_Students_Scores!C1531:V1531)</f>
        <v/>
      </c>
      <c r="E1533" s="57" t="str"/>
      <c r="F1533" s="49" t="str"/>
      <c r="G1533" s="59" t="str"/>
      <c r="H1533" s="64" t="str"/>
      <c r="I1533" s="65" t="str"/>
      <c r="J1533" s="49" t="str"/>
      <c r="K1533" s="41" t="str"/>
      <c r="L1533" s="41" t="str"/>
      <c r="M1533" s="41" t="str"/>
      <c r="N1533" s="41" t="str"/>
      <c r="O1533" s="41" t="str"/>
      <c r="P1533" s="41" t="str"/>
      <c r="Q1533" s="41" t="str"/>
      <c r="R1533" s="41" t="str"/>
      <c r="S1533" s="41" t="str"/>
      <c r="T1533" s="41" t="str"/>
      <c r="U1533" s="41" t="str"/>
      <c r="V1533" s="41" t="str"/>
      <c r="W1533" s="41" t="str"/>
    </row>
    <row r="1534">
      <c r="B1534" s="2" t="n"/>
      <c r="C1534" s="40" t="n"/>
      <c r="D1534" s="52">
        <f t="array" ref="D1534:W1534">IF(All_Students_Scores!C1532:V1532="","",All_Students_Scores!C1532:V1532)</f>
        <v/>
      </c>
      <c r="E1534" s="57" t="str"/>
      <c r="F1534" s="49" t="str"/>
      <c r="G1534" s="59" t="str"/>
      <c r="H1534" s="64" t="str"/>
      <c r="I1534" s="65" t="str"/>
      <c r="J1534" s="49" t="str"/>
      <c r="K1534" s="41" t="str"/>
      <c r="L1534" s="41" t="str"/>
      <c r="M1534" s="41" t="str"/>
      <c r="N1534" s="41" t="str"/>
      <c r="O1534" s="41" t="str"/>
      <c r="P1534" s="41" t="str"/>
      <c r="Q1534" s="41" t="str"/>
      <c r="R1534" s="41" t="str"/>
      <c r="S1534" s="41" t="str"/>
      <c r="T1534" s="41" t="str"/>
      <c r="U1534" s="41" t="str"/>
      <c r="V1534" s="41" t="str"/>
      <c r="W1534" s="41" t="str"/>
    </row>
    <row r="1535">
      <c r="B1535" s="2" t="n"/>
      <c r="C1535" s="40" t="n"/>
      <c r="D1535" s="52">
        <f t="array" ref="D1535:W1535">IF(All_Students_Scores!C1533:V1533="","",All_Students_Scores!C1533:V1533)</f>
        <v/>
      </c>
      <c r="E1535" s="57" t="str"/>
      <c r="F1535" s="49" t="str"/>
      <c r="G1535" s="59" t="str"/>
      <c r="H1535" s="64" t="str"/>
      <c r="I1535" s="65" t="str"/>
      <c r="J1535" s="49" t="str"/>
      <c r="K1535" s="41" t="str"/>
      <c r="L1535" s="41" t="str"/>
      <c r="M1535" s="41" t="str"/>
      <c r="N1535" s="41" t="str"/>
      <c r="O1535" s="41" t="str"/>
      <c r="P1535" s="41" t="str"/>
      <c r="Q1535" s="41" t="str"/>
      <c r="R1535" s="41" t="str"/>
      <c r="S1535" s="41" t="str"/>
      <c r="T1535" s="41" t="str"/>
      <c r="U1535" s="41" t="str"/>
      <c r="V1535" s="41" t="str"/>
      <c r="W1535" s="41" t="str"/>
    </row>
    <row r="1536">
      <c r="B1536" s="2" t="n"/>
      <c r="C1536" s="40" t="n"/>
      <c r="D1536" s="52">
        <f t="array" ref="D1536:W1536">IF(All_Students_Scores!C1534:V1534="","",All_Students_Scores!C1534:V1534)</f>
        <v/>
      </c>
      <c r="E1536" s="57" t="str"/>
      <c r="F1536" s="49" t="str"/>
      <c r="G1536" s="59" t="str"/>
      <c r="H1536" s="64" t="str"/>
      <c r="I1536" s="65" t="str"/>
      <c r="J1536" s="49" t="str"/>
      <c r="K1536" s="41" t="str"/>
      <c r="L1536" s="41" t="str"/>
      <c r="M1536" s="41" t="str"/>
      <c r="N1536" s="41" t="str"/>
      <c r="O1536" s="41" t="str"/>
      <c r="P1536" s="41" t="str"/>
      <c r="Q1536" s="41" t="str"/>
      <c r="R1536" s="41" t="str"/>
      <c r="S1536" s="41" t="str"/>
      <c r="T1536" s="41" t="str"/>
      <c r="U1536" s="41" t="str"/>
      <c r="V1536" s="41" t="str"/>
      <c r="W1536" s="41" t="str"/>
    </row>
    <row r="1537">
      <c r="B1537" s="2" t="n"/>
      <c r="C1537" s="40" t="n"/>
      <c r="D1537" s="52">
        <f t="array" ref="D1537:W1537">IF(All_Students_Scores!C1535:V1535="","",All_Students_Scores!C1535:V1535)</f>
        <v/>
      </c>
      <c r="E1537" s="57" t="str"/>
      <c r="F1537" s="49" t="str"/>
      <c r="G1537" s="59" t="str"/>
      <c r="H1537" s="64" t="str"/>
      <c r="I1537" s="65" t="str"/>
      <c r="J1537" s="49" t="str"/>
      <c r="K1537" s="41" t="str"/>
      <c r="L1537" s="41" t="str"/>
      <c r="M1537" s="41" t="str"/>
      <c r="N1537" s="41" t="str"/>
      <c r="O1537" s="41" t="str"/>
      <c r="P1537" s="41" t="str"/>
      <c r="Q1537" s="41" t="str"/>
      <c r="R1537" s="41" t="str"/>
      <c r="S1537" s="41" t="str"/>
      <c r="T1537" s="41" t="str"/>
      <c r="U1537" s="41" t="str"/>
      <c r="V1537" s="41" t="str"/>
      <c r="W1537" s="41" t="str"/>
    </row>
    <row r="1538">
      <c r="B1538" s="2" t="n"/>
      <c r="C1538" s="40" t="n"/>
      <c r="D1538" s="52">
        <f t="array" ref="D1538:W1538">IF(All_Students_Scores!C1536:V1536="","",All_Students_Scores!C1536:V1536)</f>
        <v/>
      </c>
      <c r="E1538" s="57" t="str"/>
      <c r="F1538" s="49" t="str"/>
      <c r="G1538" s="59" t="str"/>
      <c r="H1538" s="64" t="str"/>
      <c r="I1538" s="65" t="str"/>
      <c r="J1538" s="49" t="str"/>
      <c r="K1538" s="41" t="str"/>
      <c r="L1538" s="41" t="str"/>
      <c r="M1538" s="41" t="str"/>
      <c r="N1538" s="41" t="str"/>
      <c r="O1538" s="41" t="str"/>
      <c r="P1538" s="41" t="str"/>
      <c r="Q1538" s="41" t="str"/>
      <c r="R1538" s="41" t="str"/>
      <c r="S1538" s="41" t="str"/>
      <c r="T1538" s="41" t="str"/>
      <c r="U1538" s="41" t="str"/>
      <c r="V1538" s="41" t="str"/>
      <c r="W1538" s="41" t="str"/>
    </row>
    <row r="1539">
      <c r="B1539" s="2" t="n"/>
      <c r="C1539" s="40" t="n"/>
      <c r="D1539" s="52">
        <f t="array" ref="D1539:W1539">IF(All_Students_Scores!C1537:V1537="","",All_Students_Scores!C1537:V1537)</f>
        <v/>
      </c>
      <c r="E1539" s="57" t="str"/>
      <c r="F1539" s="49" t="str"/>
      <c r="G1539" s="59" t="str"/>
      <c r="H1539" s="64" t="str"/>
      <c r="I1539" s="65" t="str"/>
      <c r="J1539" s="49" t="str"/>
      <c r="K1539" s="41" t="str"/>
      <c r="L1539" s="41" t="str"/>
      <c r="M1539" s="41" t="str"/>
      <c r="N1539" s="41" t="str"/>
      <c r="O1539" s="41" t="str"/>
      <c r="P1539" s="41" t="str"/>
      <c r="Q1539" s="41" t="str"/>
      <c r="R1539" s="41" t="str"/>
      <c r="S1539" s="41" t="str"/>
      <c r="T1539" s="41" t="str"/>
      <c r="U1539" s="41" t="str"/>
      <c r="V1539" s="41" t="str"/>
      <c r="W1539" s="41" t="str"/>
    </row>
    <row r="1540">
      <c r="B1540" s="2" t="n"/>
      <c r="C1540" s="40" t="n"/>
      <c r="D1540" s="52">
        <f t="array" ref="D1540:W1540">IF(All_Students_Scores!C1538:V1538="","",All_Students_Scores!C1538:V1538)</f>
        <v/>
      </c>
      <c r="E1540" s="57" t="str"/>
      <c r="F1540" s="49" t="str"/>
      <c r="G1540" s="59" t="str"/>
      <c r="H1540" s="64" t="str"/>
      <c r="I1540" s="65" t="str"/>
      <c r="J1540" s="49" t="str"/>
      <c r="K1540" s="41" t="str"/>
      <c r="L1540" s="41" t="str"/>
      <c r="M1540" s="41" t="str"/>
      <c r="N1540" s="41" t="str"/>
      <c r="O1540" s="41" t="str"/>
      <c r="P1540" s="41" t="str"/>
      <c r="Q1540" s="41" t="str"/>
      <c r="R1540" s="41" t="str"/>
      <c r="S1540" s="41" t="str"/>
      <c r="T1540" s="41" t="str"/>
      <c r="U1540" s="41" t="str"/>
      <c r="V1540" s="41" t="str"/>
      <c r="W1540" s="41" t="str"/>
    </row>
    <row r="1541">
      <c r="B1541" s="2" t="n"/>
      <c r="C1541" s="40" t="n"/>
      <c r="D1541" s="52">
        <f t="array" ref="D1541:W1541">IF(All_Students_Scores!C1539:V1539="","",All_Students_Scores!C1539:V1539)</f>
        <v/>
      </c>
      <c r="E1541" s="57" t="str"/>
      <c r="F1541" s="49" t="str"/>
      <c r="G1541" s="59" t="str"/>
      <c r="H1541" s="64" t="str"/>
      <c r="I1541" s="65" t="str"/>
      <c r="J1541" s="49" t="str"/>
      <c r="K1541" s="41" t="str"/>
      <c r="L1541" s="41" t="str"/>
      <c r="M1541" s="41" t="str"/>
      <c r="N1541" s="41" t="str"/>
      <c r="O1541" s="41" t="str"/>
      <c r="P1541" s="41" t="str"/>
      <c r="Q1541" s="41" t="str"/>
      <c r="R1541" s="41" t="str"/>
      <c r="S1541" s="41" t="str"/>
      <c r="T1541" s="41" t="str"/>
      <c r="U1541" s="41" t="str"/>
      <c r="V1541" s="41" t="str"/>
      <c r="W1541" s="41" t="str"/>
    </row>
    <row r="1542">
      <c r="B1542" s="2" t="n"/>
      <c r="C1542" s="40" t="n"/>
      <c r="D1542" s="52">
        <f t="array" ref="D1542:W1542">IF(All_Students_Scores!C1540:V1540="","",All_Students_Scores!C1540:V1540)</f>
        <v/>
      </c>
      <c r="E1542" s="57" t="str"/>
      <c r="F1542" s="49" t="str"/>
      <c r="G1542" s="59" t="str"/>
      <c r="H1542" s="64" t="str"/>
      <c r="I1542" s="65" t="str"/>
      <c r="J1542" s="49" t="str"/>
      <c r="K1542" s="41" t="str"/>
      <c r="L1542" s="41" t="str"/>
      <c r="M1542" s="41" t="str"/>
      <c r="N1542" s="41" t="str"/>
      <c r="O1542" s="41" t="str"/>
      <c r="P1542" s="41" t="str"/>
      <c r="Q1542" s="41" t="str"/>
      <c r="R1542" s="41" t="str"/>
      <c r="S1542" s="41" t="str"/>
      <c r="T1542" s="41" t="str"/>
      <c r="U1542" s="41" t="str"/>
      <c r="V1542" s="41" t="str"/>
      <c r="W1542" s="41" t="str"/>
    </row>
    <row r="1543">
      <c r="B1543" s="2" t="n"/>
      <c r="C1543" s="40" t="n"/>
      <c r="D1543" s="52">
        <f t="array" ref="D1543:W1543">IF(All_Students_Scores!C1541:V1541="","",All_Students_Scores!C1541:V1541)</f>
        <v/>
      </c>
      <c r="E1543" s="57" t="str"/>
      <c r="F1543" s="49" t="str"/>
      <c r="G1543" s="59" t="str"/>
      <c r="H1543" s="64" t="str"/>
      <c r="I1543" s="65" t="str"/>
      <c r="J1543" s="49" t="str"/>
      <c r="K1543" s="41" t="str"/>
      <c r="L1543" s="41" t="str"/>
      <c r="M1543" s="41" t="str"/>
      <c r="N1543" s="41" t="str"/>
      <c r="O1543" s="41" t="str"/>
      <c r="P1543" s="41" t="str"/>
      <c r="Q1543" s="41" t="str"/>
      <c r="R1543" s="41" t="str"/>
      <c r="S1543" s="41" t="str"/>
      <c r="T1543" s="41" t="str"/>
      <c r="U1543" s="41" t="str"/>
      <c r="V1543" s="41" t="str"/>
      <c r="W1543" s="41" t="str"/>
    </row>
    <row r="1544">
      <c r="B1544" s="2" t="n"/>
      <c r="C1544" s="40" t="n"/>
      <c r="D1544" s="52">
        <f t="array" ref="D1544:W1544">IF(All_Students_Scores!C1542:V1542="","",All_Students_Scores!C1542:V1542)</f>
        <v/>
      </c>
      <c r="E1544" s="57" t="str"/>
      <c r="F1544" s="49" t="str"/>
      <c r="G1544" s="59" t="str"/>
      <c r="H1544" s="64" t="str"/>
      <c r="I1544" s="65" t="str"/>
      <c r="J1544" s="49" t="str"/>
      <c r="K1544" s="41" t="str"/>
      <c r="L1544" s="41" t="str"/>
      <c r="M1544" s="41" t="str"/>
      <c r="N1544" s="41" t="str"/>
      <c r="O1544" s="41" t="str"/>
      <c r="P1544" s="41" t="str"/>
      <c r="Q1544" s="41" t="str"/>
      <c r="R1544" s="41" t="str"/>
      <c r="S1544" s="41" t="str"/>
      <c r="T1544" s="41" t="str"/>
      <c r="U1544" s="41" t="str"/>
      <c r="V1544" s="41" t="str"/>
      <c r="W1544" s="41" t="str"/>
    </row>
    <row r="1545">
      <c r="B1545" s="2" t="n"/>
      <c r="C1545" s="40" t="n"/>
      <c r="D1545" s="52">
        <f t="array" ref="D1545:W1545">IF(All_Students_Scores!C1543:V1543="","",All_Students_Scores!C1543:V1543)</f>
        <v/>
      </c>
      <c r="E1545" s="57" t="str"/>
      <c r="F1545" s="49" t="str"/>
      <c r="G1545" s="59" t="str"/>
      <c r="H1545" s="64" t="str"/>
      <c r="I1545" s="65" t="str"/>
      <c r="J1545" s="49" t="str"/>
      <c r="K1545" s="41" t="str"/>
      <c r="L1545" s="41" t="str"/>
      <c r="M1545" s="41" t="str"/>
      <c r="N1545" s="41" t="str"/>
      <c r="O1545" s="41" t="str"/>
      <c r="P1545" s="41" t="str"/>
      <c r="Q1545" s="41" t="str"/>
      <c r="R1545" s="41" t="str"/>
      <c r="S1545" s="41" t="str"/>
      <c r="T1545" s="41" t="str"/>
      <c r="U1545" s="41" t="str"/>
      <c r="V1545" s="41" t="str"/>
      <c r="W1545" s="41" t="str"/>
    </row>
    <row r="1546">
      <c r="B1546" s="2" t="n"/>
      <c r="C1546" s="40" t="n"/>
      <c r="D1546" s="52">
        <f t="array" ref="D1546:W1546">IF(All_Students_Scores!C1544:V1544="","",All_Students_Scores!C1544:V1544)</f>
        <v/>
      </c>
      <c r="E1546" s="57" t="str"/>
      <c r="F1546" s="49" t="str"/>
      <c r="G1546" s="59" t="str"/>
      <c r="H1546" s="64" t="str"/>
      <c r="I1546" s="65" t="str"/>
      <c r="J1546" s="49" t="str"/>
      <c r="K1546" s="41" t="str"/>
      <c r="L1546" s="41" t="str"/>
      <c r="M1546" s="41" t="str"/>
      <c r="N1546" s="41" t="str"/>
      <c r="O1546" s="41" t="str"/>
      <c r="P1546" s="41" t="str"/>
      <c r="Q1546" s="41" t="str"/>
      <c r="R1546" s="41" t="str"/>
      <c r="S1546" s="41" t="str"/>
      <c r="T1546" s="41" t="str"/>
      <c r="U1546" s="41" t="str"/>
      <c r="V1546" s="41" t="str"/>
      <c r="W1546" s="41" t="str"/>
    </row>
    <row r="1547">
      <c r="B1547" s="2" t="n"/>
      <c r="C1547" s="40" t="n"/>
      <c r="D1547" s="52">
        <f t="array" ref="D1547:W1547">IF(All_Students_Scores!C1545:V1545="","",All_Students_Scores!C1545:V1545)</f>
        <v/>
      </c>
      <c r="E1547" s="57" t="str"/>
      <c r="F1547" s="49" t="str"/>
      <c r="G1547" s="59" t="str"/>
      <c r="H1547" s="64" t="str"/>
      <c r="I1547" s="65" t="str"/>
      <c r="J1547" s="49" t="str"/>
      <c r="K1547" s="41" t="str"/>
      <c r="L1547" s="41" t="str"/>
      <c r="M1547" s="41" t="str"/>
      <c r="N1547" s="41" t="str"/>
      <c r="O1547" s="41" t="str"/>
      <c r="P1547" s="41" t="str"/>
      <c r="Q1547" s="41" t="str"/>
      <c r="R1547" s="41" t="str"/>
      <c r="S1547" s="41" t="str"/>
      <c r="T1547" s="41" t="str"/>
      <c r="U1547" s="41" t="str"/>
      <c r="V1547" s="41" t="str"/>
      <c r="W1547" s="41" t="str"/>
    </row>
    <row r="1548">
      <c r="B1548" s="2" t="n"/>
      <c r="C1548" s="40" t="n"/>
      <c r="D1548" s="52">
        <f t="array" ref="D1548:W1548">IF(All_Students_Scores!C1546:V1546="","",All_Students_Scores!C1546:V1546)</f>
        <v/>
      </c>
      <c r="E1548" s="57" t="str"/>
      <c r="F1548" s="49" t="str"/>
      <c r="G1548" s="59" t="str"/>
      <c r="H1548" s="64" t="str"/>
      <c r="I1548" s="65" t="str"/>
      <c r="J1548" s="49" t="str"/>
      <c r="K1548" s="41" t="str"/>
      <c r="L1548" s="41" t="str"/>
      <c r="M1548" s="41" t="str"/>
      <c r="N1548" s="41" t="str"/>
      <c r="O1548" s="41" t="str"/>
      <c r="P1548" s="41" t="str"/>
      <c r="Q1548" s="41" t="str"/>
      <c r="R1548" s="41" t="str"/>
      <c r="S1548" s="41" t="str"/>
      <c r="T1548" s="41" t="str"/>
      <c r="U1548" s="41" t="str"/>
      <c r="V1548" s="41" t="str"/>
      <c r="W1548" s="41" t="str"/>
    </row>
    <row r="1549">
      <c r="B1549" s="2" t="n"/>
      <c r="C1549" s="40" t="n"/>
      <c r="D1549" s="52">
        <f t="array" ref="D1549:W1549">IF(All_Students_Scores!C1547:V1547="","",All_Students_Scores!C1547:V1547)</f>
        <v/>
      </c>
      <c r="E1549" s="57" t="str"/>
      <c r="F1549" s="49" t="str"/>
      <c r="G1549" s="59" t="str"/>
      <c r="H1549" s="64" t="str"/>
      <c r="I1549" s="65" t="str"/>
      <c r="J1549" s="49" t="str"/>
      <c r="K1549" s="41" t="str"/>
      <c r="L1549" s="41" t="str"/>
      <c r="M1549" s="41" t="str"/>
      <c r="N1549" s="41" t="str"/>
      <c r="O1549" s="41" t="str"/>
      <c r="P1549" s="41" t="str"/>
      <c r="Q1549" s="41" t="str"/>
      <c r="R1549" s="41" t="str"/>
      <c r="S1549" s="41" t="str"/>
      <c r="T1549" s="41" t="str"/>
      <c r="U1549" s="41" t="str"/>
      <c r="V1549" s="41" t="str"/>
      <c r="W1549" s="41" t="str"/>
    </row>
    <row r="1550">
      <c r="B1550" s="2" t="n"/>
      <c r="C1550" s="40" t="n"/>
      <c r="D1550" s="52">
        <f t="array" ref="D1550:W1550">IF(All_Students_Scores!C1548:V1548="","",All_Students_Scores!C1548:V1548)</f>
        <v/>
      </c>
      <c r="E1550" s="57" t="str"/>
      <c r="F1550" s="49" t="str"/>
      <c r="G1550" s="59" t="str"/>
      <c r="H1550" s="64" t="str"/>
      <c r="I1550" s="65" t="str"/>
      <c r="J1550" s="49" t="str"/>
      <c r="K1550" s="41" t="str"/>
      <c r="L1550" s="41" t="str"/>
      <c r="M1550" s="41" t="str"/>
      <c r="N1550" s="41" t="str"/>
      <c r="O1550" s="41" t="str"/>
      <c r="P1550" s="41" t="str"/>
      <c r="Q1550" s="41" t="str"/>
      <c r="R1550" s="41" t="str"/>
      <c r="S1550" s="41" t="str"/>
      <c r="T1550" s="41" t="str"/>
      <c r="U1550" s="41" t="str"/>
      <c r="V1550" s="41" t="str"/>
      <c r="W1550" s="41" t="str"/>
    </row>
    <row r="1551">
      <c r="B1551" s="2" t="n"/>
      <c r="C1551" s="40" t="n"/>
      <c r="D1551" s="52">
        <f t="array" ref="D1551:W1551">IF(All_Students_Scores!C1549:V1549="","",All_Students_Scores!C1549:V1549)</f>
        <v/>
      </c>
      <c r="E1551" s="57" t="str"/>
      <c r="F1551" s="49" t="str"/>
      <c r="G1551" s="59" t="str"/>
      <c r="H1551" s="64" t="str"/>
      <c r="I1551" s="65" t="str"/>
      <c r="J1551" s="49" t="str"/>
      <c r="K1551" s="41" t="str"/>
      <c r="L1551" s="41" t="str"/>
      <c r="M1551" s="41" t="str"/>
      <c r="N1551" s="41" t="str"/>
      <c r="O1551" s="41" t="str"/>
      <c r="P1551" s="41" t="str"/>
      <c r="Q1551" s="41" t="str"/>
      <c r="R1551" s="41" t="str"/>
      <c r="S1551" s="41" t="str"/>
      <c r="T1551" s="41" t="str"/>
      <c r="U1551" s="41" t="str"/>
      <c r="V1551" s="41" t="str"/>
      <c r="W1551" s="41" t="str"/>
    </row>
    <row r="1552">
      <c r="B1552" s="2" t="n"/>
      <c r="C1552" s="40" t="n"/>
      <c r="D1552" s="52">
        <f t="array" ref="D1552:W1552">IF(All_Students_Scores!C1550:V1550="","",All_Students_Scores!C1550:V1550)</f>
        <v/>
      </c>
      <c r="E1552" s="57" t="str"/>
      <c r="F1552" s="49" t="str"/>
      <c r="G1552" s="59" t="str"/>
      <c r="H1552" s="64" t="str"/>
      <c r="I1552" s="65" t="str"/>
      <c r="J1552" s="49" t="str"/>
      <c r="K1552" s="41" t="str"/>
      <c r="L1552" s="41" t="str"/>
      <c r="M1552" s="41" t="str"/>
      <c r="N1552" s="41" t="str"/>
      <c r="O1552" s="41" t="str"/>
      <c r="P1552" s="41" t="str"/>
      <c r="Q1552" s="41" t="str"/>
      <c r="R1552" s="41" t="str"/>
      <c r="S1552" s="41" t="str"/>
      <c r="T1552" s="41" t="str"/>
      <c r="U1552" s="41" t="str"/>
      <c r="V1552" s="41" t="str"/>
      <c r="W1552" s="41" t="str"/>
    </row>
    <row r="1553">
      <c r="B1553" s="2" t="n"/>
      <c r="C1553" s="40" t="n"/>
      <c r="D1553" s="52">
        <f t="array" ref="D1553:W1553">IF(All_Students_Scores!C1551:V1551="","",All_Students_Scores!C1551:V1551)</f>
        <v/>
      </c>
      <c r="E1553" s="57" t="str"/>
      <c r="F1553" s="49" t="str"/>
      <c r="G1553" s="59" t="str"/>
      <c r="H1553" s="64" t="str"/>
      <c r="I1553" s="65" t="str"/>
      <c r="J1553" s="49" t="str"/>
      <c r="K1553" s="41" t="str"/>
      <c r="L1553" s="41" t="str"/>
      <c r="M1553" s="41" t="str"/>
      <c r="N1553" s="41" t="str"/>
      <c r="O1553" s="41" t="str"/>
      <c r="P1553" s="41" t="str"/>
      <c r="Q1553" s="41" t="str"/>
      <c r="R1553" s="41" t="str"/>
      <c r="S1553" s="41" t="str"/>
      <c r="T1553" s="41" t="str"/>
      <c r="U1553" s="41" t="str"/>
      <c r="V1553" s="41" t="str"/>
      <c r="W1553" s="41" t="str"/>
    </row>
    <row r="1554">
      <c r="B1554" s="2" t="n"/>
      <c r="C1554" s="40" t="n"/>
      <c r="D1554" s="52">
        <f t="array" ref="D1554:W1554">IF(All_Students_Scores!C1552:V1552="","",All_Students_Scores!C1552:V1552)</f>
        <v/>
      </c>
      <c r="E1554" s="57" t="str"/>
      <c r="F1554" s="49" t="str"/>
      <c r="G1554" s="59" t="str"/>
      <c r="H1554" s="64" t="str"/>
      <c r="I1554" s="65" t="str"/>
      <c r="J1554" s="49" t="str"/>
      <c r="K1554" s="41" t="str"/>
      <c r="L1554" s="41" t="str"/>
      <c r="M1554" s="41" t="str"/>
      <c r="N1554" s="41" t="str"/>
      <c r="O1554" s="41" t="str"/>
      <c r="P1554" s="41" t="str"/>
      <c r="Q1554" s="41" t="str"/>
      <c r="R1554" s="41" t="str"/>
      <c r="S1554" s="41" t="str"/>
      <c r="T1554" s="41" t="str"/>
      <c r="U1554" s="41" t="str"/>
      <c r="V1554" s="41" t="str"/>
      <c r="W1554" s="41" t="str"/>
    </row>
    <row r="1555">
      <c r="B1555" s="2" t="n"/>
      <c r="C1555" s="40" t="n"/>
      <c r="D1555" s="52">
        <f t="array" ref="D1555:W1555">IF(All_Students_Scores!C1553:V1553="","",All_Students_Scores!C1553:V1553)</f>
        <v/>
      </c>
      <c r="E1555" s="57" t="str"/>
      <c r="F1555" s="49" t="str"/>
      <c r="G1555" s="59" t="str"/>
      <c r="H1555" s="64" t="str"/>
      <c r="I1555" s="65" t="str"/>
      <c r="J1555" s="49" t="str"/>
      <c r="K1555" s="41" t="str"/>
      <c r="L1555" s="41" t="str"/>
      <c r="M1555" s="41" t="str"/>
      <c r="N1555" s="41" t="str"/>
      <c r="O1555" s="41" t="str"/>
      <c r="P1555" s="41" t="str"/>
      <c r="Q1555" s="41" t="str"/>
      <c r="R1555" s="41" t="str"/>
      <c r="S1555" s="41" t="str"/>
      <c r="T1555" s="41" t="str"/>
      <c r="U1555" s="41" t="str"/>
      <c r="V1555" s="41" t="str"/>
      <c r="W1555" s="41" t="str"/>
    </row>
    <row r="1556">
      <c r="B1556" s="2" t="n"/>
      <c r="C1556" s="40" t="n"/>
      <c r="D1556" s="52">
        <f t="array" ref="D1556:W1556">IF(All_Students_Scores!C1554:V1554="","",All_Students_Scores!C1554:V1554)</f>
        <v/>
      </c>
      <c r="E1556" s="57" t="str"/>
      <c r="F1556" s="49" t="str"/>
      <c r="G1556" s="59" t="str"/>
      <c r="H1556" s="64" t="str"/>
      <c r="I1556" s="65" t="str"/>
      <c r="J1556" s="49" t="str"/>
      <c r="K1556" s="41" t="str"/>
      <c r="L1556" s="41" t="str"/>
      <c r="M1556" s="41" t="str"/>
      <c r="N1556" s="41" t="str"/>
      <c r="O1556" s="41" t="str"/>
      <c r="P1556" s="41" t="str"/>
      <c r="Q1556" s="41" t="str"/>
      <c r="R1556" s="41" t="str"/>
      <c r="S1556" s="41" t="str"/>
      <c r="T1556" s="41" t="str"/>
      <c r="U1556" s="41" t="str"/>
      <c r="V1556" s="41" t="str"/>
      <c r="W1556" s="41" t="str"/>
    </row>
    <row r="1557">
      <c r="B1557" s="2" t="n"/>
      <c r="C1557" s="40" t="n"/>
      <c r="D1557" s="52">
        <f t="array" ref="D1557:W1557">IF(All_Students_Scores!C1555:V1555="","",All_Students_Scores!C1555:V1555)</f>
        <v/>
      </c>
      <c r="E1557" s="57" t="str"/>
      <c r="F1557" s="49" t="str"/>
      <c r="G1557" s="59" t="str"/>
      <c r="H1557" s="64" t="str"/>
      <c r="I1557" s="65" t="str"/>
      <c r="J1557" s="49" t="str"/>
      <c r="K1557" s="41" t="str"/>
      <c r="L1557" s="41" t="str"/>
      <c r="M1557" s="41" t="str"/>
      <c r="N1557" s="41" t="str"/>
      <c r="O1557" s="41" t="str"/>
      <c r="P1557" s="41" t="str"/>
      <c r="Q1557" s="41" t="str"/>
      <c r="R1557" s="41" t="str"/>
      <c r="S1557" s="41" t="str"/>
      <c r="T1557" s="41" t="str"/>
      <c r="U1557" s="41" t="str"/>
      <c r="V1557" s="41" t="str"/>
      <c r="W1557" s="41" t="str"/>
    </row>
    <row r="1558">
      <c r="B1558" s="2" t="n"/>
      <c r="C1558" s="40" t="n"/>
      <c r="D1558" s="52">
        <f t="array" ref="D1558:W1558">IF(All_Students_Scores!C1556:V1556="","",All_Students_Scores!C1556:V1556)</f>
        <v/>
      </c>
      <c r="E1558" s="57" t="str"/>
      <c r="F1558" s="49" t="str"/>
      <c r="G1558" s="59" t="str"/>
      <c r="H1558" s="64" t="str"/>
      <c r="I1558" s="65" t="str"/>
      <c r="J1558" s="49" t="str"/>
      <c r="K1558" s="41" t="str"/>
      <c r="L1558" s="41" t="str"/>
      <c r="M1558" s="41" t="str"/>
      <c r="N1558" s="41" t="str"/>
      <c r="O1558" s="41" t="str"/>
      <c r="P1558" s="41" t="str"/>
      <c r="Q1558" s="41" t="str"/>
      <c r="R1558" s="41" t="str"/>
      <c r="S1558" s="41" t="str"/>
      <c r="T1558" s="41" t="str"/>
      <c r="U1558" s="41" t="str"/>
      <c r="V1558" s="41" t="str"/>
      <c r="W1558" s="41" t="str"/>
    </row>
    <row r="1559">
      <c r="B1559" s="2" t="n"/>
      <c r="C1559" s="40" t="n"/>
      <c r="D1559" s="52">
        <f t="array" ref="D1559:W1559">IF(All_Students_Scores!C1557:V1557="","",All_Students_Scores!C1557:V1557)</f>
        <v/>
      </c>
      <c r="E1559" s="57" t="str"/>
      <c r="F1559" s="49" t="str"/>
      <c r="G1559" s="59" t="str"/>
      <c r="H1559" s="64" t="str"/>
      <c r="I1559" s="65" t="str"/>
      <c r="J1559" s="49" t="str"/>
      <c r="K1559" s="41" t="str"/>
      <c r="L1559" s="41" t="str"/>
      <c r="M1559" s="41" t="str"/>
      <c r="N1559" s="41" t="str"/>
      <c r="O1559" s="41" t="str"/>
      <c r="P1559" s="41" t="str"/>
      <c r="Q1559" s="41" t="str"/>
      <c r="R1559" s="41" t="str"/>
      <c r="S1559" s="41" t="str"/>
      <c r="T1559" s="41" t="str"/>
      <c r="U1559" s="41" t="str"/>
      <c r="V1559" s="41" t="str"/>
      <c r="W1559" s="41" t="str"/>
    </row>
    <row r="1560">
      <c r="B1560" s="2" t="n"/>
      <c r="C1560" s="40" t="n"/>
      <c r="D1560" s="52">
        <f t="array" ref="D1560:W1560">IF(All_Students_Scores!C1558:V1558="","",All_Students_Scores!C1558:V1558)</f>
        <v/>
      </c>
      <c r="E1560" s="57" t="str"/>
      <c r="F1560" s="49" t="str"/>
      <c r="G1560" s="59" t="str"/>
      <c r="H1560" s="64" t="str"/>
      <c r="I1560" s="65" t="str"/>
      <c r="J1560" s="49" t="str"/>
      <c r="K1560" s="41" t="str"/>
      <c r="L1560" s="41" t="str"/>
      <c r="M1560" s="41" t="str"/>
      <c r="N1560" s="41" t="str"/>
      <c r="O1560" s="41" t="str"/>
      <c r="P1560" s="41" t="str"/>
      <c r="Q1560" s="41" t="str"/>
      <c r="R1560" s="41" t="str"/>
      <c r="S1560" s="41" t="str"/>
      <c r="T1560" s="41" t="str"/>
      <c r="U1560" s="41" t="str"/>
      <c r="V1560" s="41" t="str"/>
      <c r="W1560" s="41" t="str"/>
    </row>
    <row r="1561">
      <c r="B1561" s="2" t="n"/>
      <c r="C1561" s="40" t="n"/>
      <c r="D1561" s="52">
        <f t="array" ref="D1561:W1561">IF(All_Students_Scores!C1559:V1559="","",All_Students_Scores!C1559:V1559)</f>
        <v/>
      </c>
      <c r="E1561" s="57" t="str"/>
      <c r="F1561" s="49" t="str"/>
      <c r="G1561" s="59" t="str"/>
      <c r="H1561" s="64" t="str"/>
      <c r="I1561" s="65" t="str"/>
      <c r="J1561" s="49" t="str"/>
      <c r="K1561" s="41" t="str"/>
      <c r="L1561" s="41" t="str"/>
      <c r="M1561" s="41" t="str"/>
      <c r="N1561" s="41" t="str"/>
      <c r="O1561" s="41" t="str"/>
      <c r="P1561" s="41" t="str"/>
      <c r="Q1561" s="41" t="str"/>
      <c r="R1561" s="41" t="str"/>
      <c r="S1561" s="41" t="str"/>
      <c r="T1561" s="41" t="str"/>
      <c r="U1561" s="41" t="str"/>
      <c r="V1561" s="41" t="str"/>
      <c r="W1561" s="41" t="str"/>
    </row>
    <row r="1562">
      <c r="B1562" s="2" t="n"/>
      <c r="C1562" s="40" t="n"/>
      <c r="D1562" s="52">
        <f t="array" ref="D1562:W1562">IF(All_Students_Scores!C1560:V1560="","",All_Students_Scores!C1560:V1560)</f>
        <v/>
      </c>
      <c r="E1562" s="57" t="str"/>
      <c r="F1562" s="49" t="str"/>
      <c r="G1562" s="59" t="str"/>
      <c r="H1562" s="64" t="str"/>
      <c r="I1562" s="65" t="str"/>
      <c r="J1562" s="49" t="str"/>
      <c r="K1562" s="41" t="str"/>
      <c r="L1562" s="41" t="str"/>
      <c r="M1562" s="41" t="str"/>
      <c r="N1562" s="41" t="str"/>
      <c r="O1562" s="41" t="str"/>
      <c r="P1562" s="41" t="str"/>
      <c r="Q1562" s="41" t="str"/>
      <c r="R1562" s="41" t="str"/>
      <c r="S1562" s="41" t="str"/>
      <c r="T1562" s="41" t="str"/>
      <c r="U1562" s="41" t="str"/>
      <c r="V1562" s="41" t="str"/>
      <c r="W1562" s="41" t="str"/>
    </row>
    <row r="1563">
      <c r="B1563" s="2" t="n"/>
      <c r="C1563" s="40" t="n"/>
      <c r="D1563" s="52">
        <f t="array" ref="D1563:W1563">IF(All_Students_Scores!C1561:V1561="","",All_Students_Scores!C1561:V1561)</f>
        <v/>
      </c>
      <c r="E1563" s="57" t="str"/>
      <c r="F1563" s="49" t="str"/>
      <c r="G1563" s="59" t="str"/>
      <c r="H1563" s="64" t="str"/>
      <c r="I1563" s="65" t="str"/>
      <c r="J1563" s="49" t="str"/>
      <c r="K1563" s="41" t="str"/>
      <c r="L1563" s="41" t="str"/>
      <c r="M1563" s="41" t="str"/>
      <c r="N1563" s="41" t="str"/>
      <c r="O1563" s="41" t="str"/>
      <c r="P1563" s="41" t="str"/>
      <c r="Q1563" s="41" t="str"/>
      <c r="R1563" s="41" t="str"/>
      <c r="S1563" s="41" t="str"/>
      <c r="T1563" s="41" t="str"/>
      <c r="U1563" s="41" t="str"/>
      <c r="V1563" s="41" t="str"/>
      <c r="W1563" s="41" t="str"/>
    </row>
    <row r="1564">
      <c r="B1564" s="2" t="n"/>
      <c r="C1564" s="40" t="n"/>
      <c r="D1564" s="52">
        <f t="array" ref="D1564:W1564">IF(All_Students_Scores!C1562:V1562="","",All_Students_Scores!C1562:V1562)</f>
        <v/>
      </c>
      <c r="E1564" s="57" t="str"/>
      <c r="F1564" s="49" t="str"/>
      <c r="G1564" s="59" t="str"/>
      <c r="H1564" s="64" t="str"/>
      <c r="I1564" s="65" t="str"/>
      <c r="J1564" s="49" t="str"/>
      <c r="K1564" s="41" t="str"/>
      <c r="L1564" s="41" t="str"/>
      <c r="M1564" s="41" t="str"/>
      <c r="N1564" s="41" t="str"/>
      <c r="O1564" s="41" t="str"/>
      <c r="P1564" s="41" t="str"/>
      <c r="Q1564" s="41" t="str"/>
      <c r="R1564" s="41" t="str"/>
      <c r="S1564" s="41" t="str"/>
      <c r="T1564" s="41" t="str"/>
      <c r="U1564" s="41" t="str"/>
      <c r="V1564" s="41" t="str"/>
      <c r="W1564" s="41" t="str"/>
    </row>
    <row r="1565">
      <c r="B1565" s="2" t="n"/>
      <c r="C1565" s="40" t="n"/>
      <c r="D1565" s="52">
        <f t="array" ref="D1565:W1565">IF(All_Students_Scores!C1563:V1563="","",All_Students_Scores!C1563:V1563)</f>
        <v/>
      </c>
      <c r="E1565" s="57" t="str"/>
      <c r="F1565" s="49" t="str"/>
      <c r="G1565" s="59" t="str"/>
      <c r="H1565" s="64" t="str"/>
      <c r="I1565" s="65" t="str"/>
      <c r="J1565" s="49" t="str"/>
      <c r="K1565" s="41" t="str"/>
      <c r="L1565" s="41" t="str"/>
      <c r="M1565" s="41" t="str"/>
      <c r="N1565" s="41" t="str"/>
      <c r="O1565" s="41" t="str"/>
      <c r="P1565" s="41" t="str"/>
      <c r="Q1565" s="41" t="str"/>
      <c r="R1565" s="41" t="str"/>
      <c r="S1565" s="41" t="str"/>
      <c r="T1565" s="41" t="str"/>
      <c r="U1565" s="41" t="str"/>
      <c r="V1565" s="41" t="str"/>
      <c r="W1565" s="41" t="str"/>
    </row>
    <row r="1566">
      <c r="B1566" s="2" t="n"/>
      <c r="C1566" s="40" t="n"/>
      <c r="D1566" s="52">
        <f t="array" ref="D1566:W1566">IF(All_Students_Scores!C1564:V1564="","",All_Students_Scores!C1564:V1564)</f>
        <v/>
      </c>
      <c r="E1566" s="57" t="str"/>
      <c r="F1566" s="49" t="str"/>
      <c r="G1566" s="59" t="str"/>
      <c r="H1566" s="64" t="str"/>
      <c r="I1566" s="65" t="str"/>
      <c r="J1566" s="49" t="str"/>
      <c r="K1566" s="41" t="str"/>
      <c r="L1566" s="41" t="str"/>
      <c r="M1566" s="41" t="str"/>
      <c r="N1566" s="41" t="str"/>
      <c r="O1566" s="41" t="str"/>
      <c r="P1566" s="41" t="str"/>
      <c r="Q1566" s="41" t="str"/>
      <c r="R1566" s="41" t="str"/>
      <c r="S1566" s="41" t="str"/>
      <c r="T1566" s="41" t="str"/>
      <c r="U1566" s="41" t="str"/>
      <c r="V1566" s="41" t="str"/>
      <c r="W1566" s="41" t="str"/>
    </row>
    <row r="1567">
      <c r="B1567" s="2" t="n"/>
      <c r="C1567" s="40" t="n"/>
      <c r="D1567" s="52">
        <f t="array" ref="D1567:W1567">IF(All_Students_Scores!C1565:V1565="","",All_Students_Scores!C1565:V1565)</f>
        <v/>
      </c>
      <c r="E1567" s="57" t="str"/>
      <c r="F1567" s="49" t="str"/>
      <c r="G1567" s="59" t="str"/>
      <c r="H1567" s="64" t="str"/>
      <c r="I1567" s="65" t="str"/>
      <c r="J1567" s="49" t="str"/>
      <c r="K1567" s="41" t="str"/>
      <c r="L1567" s="41" t="str"/>
      <c r="M1567" s="41" t="str"/>
      <c r="N1567" s="41" t="str"/>
      <c r="O1567" s="41" t="str"/>
      <c r="P1567" s="41" t="str"/>
      <c r="Q1567" s="41" t="str"/>
      <c r="R1567" s="41" t="str"/>
      <c r="S1567" s="41" t="str"/>
      <c r="T1567" s="41" t="str"/>
      <c r="U1567" s="41" t="str"/>
      <c r="V1567" s="41" t="str"/>
      <c r="W1567" s="41" t="str"/>
    </row>
    <row r="1568">
      <c r="B1568" s="2" t="n"/>
      <c r="C1568" s="40" t="n"/>
      <c r="D1568" s="52">
        <f t="array" ref="D1568:W1568">IF(All_Students_Scores!C1566:V1566="","",All_Students_Scores!C1566:V1566)</f>
        <v/>
      </c>
      <c r="E1568" s="57" t="str"/>
      <c r="F1568" s="49" t="str"/>
      <c r="G1568" s="59" t="str"/>
      <c r="H1568" s="64" t="str"/>
      <c r="I1568" s="65" t="str"/>
      <c r="J1568" s="49" t="str"/>
      <c r="K1568" s="41" t="str"/>
      <c r="L1568" s="41" t="str"/>
      <c r="M1568" s="41" t="str"/>
      <c r="N1568" s="41" t="str"/>
      <c r="O1568" s="41" t="str"/>
      <c r="P1568" s="41" t="str"/>
      <c r="Q1568" s="41" t="str"/>
      <c r="R1568" s="41" t="str"/>
      <c r="S1568" s="41" t="str"/>
      <c r="T1568" s="41" t="str"/>
      <c r="U1568" s="41" t="str"/>
      <c r="V1568" s="41" t="str"/>
      <c r="W1568" s="41" t="str"/>
    </row>
    <row r="1569">
      <c r="B1569" s="2" t="n"/>
      <c r="C1569" s="40" t="n"/>
      <c r="D1569" s="52">
        <f t="array" ref="D1569:W1569">IF(All_Students_Scores!C1567:V1567="","",All_Students_Scores!C1567:V1567)</f>
        <v/>
      </c>
      <c r="E1569" s="57" t="str"/>
      <c r="F1569" s="49" t="str"/>
      <c r="G1569" s="59" t="str"/>
      <c r="H1569" s="64" t="str"/>
      <c r="I1569" s="65" t="str"/>
      <c r="J1569" s="49" t="str"/>
      <c r="K1569" s="41" t="str"/>
      <c r="L1569" s="41" t="str"/>
      <c r="M1569" s="41" t="str"/>
      <c r="N1569" s="41" t="str"/>
      <c r="O1569" s="41" t="str"/>
      <c r="P1569" s="41" t="str"/>
      <c r="Q1569" s="41" t="str"/>
      <c r="R1569" s="41" t="str"/>
      <c r="S1569" s="41" t="str"/>
      <c r="T1569" s="41" t="str"/>
      <c r="U1569" s="41" t="str"/>
      <c r="V1569" s="41" t="str"/>
      <c r="W1569" s="41" t="str"/>
    </row>
    <row r="1570">
      <c r="B1570" s="2" t="n"/>
      <c r="C1570" s="40" t="n"/>
      <c r="D1570" s="52">
        <f t="array" ref="D1570:W1570">IF(All_Students_Scores!C1568:V1568="","",All_Students_Scores!C1568:V1568)</f>
        <v/>
      </c>
      <c r="E1570" s="57" t="str"/>
      <c r="F1570" s="49" t="str"/>
      <c r="G1570" s="59" t="str"/>
      <c r="H1570" s="64" t="str"/>
      <c r="I1570" s="65" t="str"/>
      <c r="J1570" s="49" t="str"/>
      <c r="K1570" s="41" t="str"/>
      <c r="L1570" s="41" t="str"/>
      <c r="M1570" s="41" t="str"/>
      <c r="N1570" s="41" t="str"/>
      <c r="O1570" s="41" t="str"/>
      <c r="P1570" s="41" t="str"/>
      <c r="Q1570" s="41" t="str"/>
      <c r="R1570" s="41" t="str"/>
      <c r="S1570" s="41" t="str"/>
      <c r="T1570" s="41" t="str"/>
      <c r="U1570" s="41" t="str"/>
      <c r="V1570" s="41" t="str"/>
      <c r="W1570" s="41" t="str"/>
    </row>
    <row r="1571">
      <c r="B1571" s="2" t="n"/>
      <c r="C1571" s="40" t="n"/>
      <c r="D1571" s="52">
        <f t="array" ref="D1571:W1571">IF(All_Students_Scores!C1569:V1569="","",All_Students_Scores!C1569:V1569)</f>
        <v/>
      </c>
      <c r="E1571" s="57" t="str"/>
      <c r="F1571" s="49" t="str"/>
      <c r="G1571" s="59" t="str"/>
      <c r="H1571" s="64" t="str"/>
      <c r="I1571" s="65" t="str"/>
      <c r="J1571" s="49" t="str"/>
      <c r="K1571" s="41" t="str"/>
      <c r="L1571" s="41" t="str"/>
      <c r="M1571" s="41" t="str"/>
      <c r="N1571" s="41" t="str"/>
      <c r="O1571" s="41" t="str"/>
      <c r="P1571" s="41" t="str"/>
      <c r="Q1571" s="41" t="str"/>
      <c r="R1571" s="41" t="str"/>
      <c r="S1571" s="41" t="str"/>
      <c r="T1571" s="41" t="str"/>
      <c r="U1571" s="41" t="str"/>
      <c r="V1571" s="41" t="str"/>
      <c r="W1571" s="41" t="str"/>
    </row>
    <row r="1572">
      <c r="B1572" s="2" t="n"/>
      <c r="C1572" s="40" t="n"/>
      <c r="D1572" s="52">
        <f t="array" ref="D1572:W1572">IF(All_Students_Scores!C1570:V1570="","",All_Students_Scores!C1570:V1570)</f>
        <v/>
      </c>
      <c r="E1572" s="57" t="str"/>
      <c r="F1572" s="49" t="str"/>
      <c r="G1572" s="59" t="str"/>
      <c r="H1572" s="64" t="str"/>
      <c r="I1572" s="65" t="str"/>
      <c r="J1572" s="49" t="str"/>
      <c r="K1572" s="41" t="str"/>
      <c r="L1572" s="41" t="str"/>
      <c r="M1572" s="41" t="str"/>
      <c r="N1572" s="41" t="str"/>
      <c r="O1572" s="41" t="str"/>
      <c r="P1572" s="41" t="str"/>
      <c r="Q1572" s="41" t="str"/>
      <c r="R1572" s="41" t="str"/>
      <c r="S1572" s="41" t="str"/>
      <c r="T1572" s="41" t="str"/>
      <c r="U1572" s="41" t="str"/>
      <c r="V1572" s="41" t="str"/>
      <c r="W1572" s="41" t="str"/>
    </row>
    <row r="1573">
      <c r="B1573" s="2" t="n"/>
      <c r="C1573" s="40" t="n"/>
      <c r="D1573" s="52">
        <f t="array" ref="D1573:W1573">IF(All_Students_Scores!C1571:V1571="","",All_Students_Scores!C1571:V1571)</f>
        <v/>
      </c>
      <c r="E1573" s="57" t="str"/>
      <c r="F1573" s="49" t="str"/>
      <c r="G1573" s="59" t="str"/>
      <c r="H1573" s="64" t="str"/>
      <c r="I1573" s="65" t="str"/>
      <c r="J1573" s="49" t="str"/>
      <c r="K1573" s="41" t="str"/>
      <c r="L1573" s="41" t="str"/>
      <c r="M1573" s="41" t="str"/>
      <c r="N1573" s="41" t="str"/>
      <c r="O1573" s="41" t="str"/>
      <c r="P1573" s="41" t="str"/>
      <c r="Q1573" s="41" t="str"/>
      <c r="R1573" s="41" t="str"/>
      <c r="S1573" s="41" t="str"/>
      <c r="T1573" s="41" t="str"/>
      <c r="U1573" s="41" t="str"/>
      <c r="V1573" s="41" t="str"/>
      <c r="W1573" s="41" t="str"/>
    </row>
    <row r="1574">
      <c r="B1574" s="2" t="n"/>
      <c r="C1574" s="40" t="n"/>
      <c r="D1574" s="52">
        <f t="array" ref="D1574:W1574">IF(All_Students_Scores!C1572:V1572="","",All_Students_Scores!C1572:V1572)</f>
        <v/>
      </c>
      <c r="E1574" s="57" t="str"/>
      <c r="F1574" s="49" t="str"/>
      <c r="G1574" s="59" t="str"/>
      <c r="H1574" s="64" t="str"/>
      <c r="I1574" s="65" t="str"/>
      <c r="J1574" s="49" t="str"/>
      <c r="K1574" s="41" t="str"/>
      <c r="L1574" s="41" t="str"/>
      <c r="M1574" s="41" t="str"/>
      <c r="N1574" s="41" t="str"/>
      <c r="O1574" s="41" t="str"/>
      <c r="P1574" s="41" t="str"/>
      <c r="Q1574" s="41" t="str"/>
      <c r="R1574" s="41" t="str"/>
      <c r="S1574" s="41" t="str"/>
      <c r="T1574" s="41" t="str"/>
      <c r="U1574" s="41" t="str"/>
      <c r="V1574" s="41" t="str"/>
      <c r="W1574" s="41" t="str"/>
    </row>
    <row r="1575">
      <c r="B1575" s="2" t="n"/>
      <c r="C1575" s="40" t="n"/>
      <c r="D1575" s="52">
        <f t="array" ref="D1575:W1575">IF(All_Students_Scores!C1573:V1573="","",All_Students_Scores!C1573:V1573)</f>
        <v/>
      </c>
      <c r="E1575" s="57" t="str"/>
      <c r="F1575" s="49" t="str"/>
      <c r="G1575" s="59" t="str"/>
      <c r="H1575" s="64" t="str"/>
      <c r="I1575" s="65" t="str"/>
      <c r="J1575" s="49" t="str"/>
      <c r="K1575" s="41" t="str"/>
      <c r="L1575" s="41" t="str"/>
      <c r="M1575" s="41" t="str"/>
      <c r="N1575" s="41" t="str"/>
      <c r="O1575" s="41" t="str"/>
      <c r="P1575" s="41" t="str"/>
      <c r="Q1575" s="41" t="str"/>
      <c r="R1575" s="41" t="str"/>
      <c r="S1575" s="41" t="str"/>
      <c r="T1575" s="41" t="str"/>
      <c r="U1575" s="41" t="str"/>
      <c r="V1575" s="41" t="str"/>
      <c r="W1575" s="41" t="str"/>
    </row>
    <row r="1576">
      <c r="B1576" s="2" t="n"/>
      <c r="C1576" s="40" t="n"/>
      <c r="D1576" s="52">
        <f t="array" ref="D1576:W1576">IF(All_Students_Scores!C1574:V1574="","",All_Students_Scores!C1574:V1574)</f>
        <v/>
      </c>
      <c r="E1576" s="57" t="str"/>
      <c r="F1576" s="49" t="str"/>
      <c r="G1576" s="59" t="str"/>
      <c r="H1576" s="64" t="str"/>
      <c r="I1576" s="65" t="str"/>
      <c r="J1576" s="49" t="str"/>
      <c r="K1576" s="41" t="str"/>
      <c r="L1576" s="41" t="str"/>
      <c r="M1576" s="41" t="str"/>
      <c r="N1576" s="41" t="str"/>
      <c r="O1576" s="41" t="str"/>
      <c r="P1576" s="41" t="str"/>
      <c r="Q1576" s="41" t="str"/>
      <c r="R1576" s="41" t="str"/>
      <c r="S1576" s="41" t="str"/>
      <c r="T1576" s="41" t="str"/>
      <c r="U1576" s="41" t="str"/>
      <c r="V1576" s="41" t="str"/>
      <c r="W1576" s="41" t="str"/>
    </row>
    <row r="1577">
      <c r="B1577" s="2" t="n"/>
      <c r="C1577" s="40" t="n"/>
      <c r="D1577" s="52">
        <f t="array" ref="D1577:W1577">IF(All_Students_Scores!C1575:V1575="","",All_Students_Scores!C1575:V1575)</f>
        <v/>
      </c>
      <c r="E1577" s="57" t="str"/>
      <c r="F1577" s="49" t="str"/>
      <c r="G1577" s="59" t="str"/>
      <c r="H1577" s="64" t="str"/>
      <c r="I1577" s="65" t="str"/>
      <c r="J1577" s="49" t="str"/>
      <c r="K1577" s="41" t="str"/>
      <c r="L1577" s="41" t="str"/>
      <c r="M1577" s="41" t="str"/>
      <c r="N1577" s="41" t="str"/>
      <c r="O1577" s="41" t="str"/>
      <c r="P1577" s="41" t="str"/>
      <c r="Q1577" s="41" t="str"/>
      <c r="R1577" s="41" t="str"/>
      <c r="S1577" s="41" t="str"/>
      <c r="T1577" s="41" t="str"/>
      <c r="U1577" s="41" t="str"/>
      <c r="V1577" s="41" t="str"/>
      <c r="W1577" s="41" t="str"/>
    </row>
    <row r="1578">
      <c r="B1578" s="2" t="n"/>
      <c r="C1578" s="40" t="n"/>
      <c r="D1578" s="52">
        <f t="array" ref="D1578:W1578">IF(All_Students_Scores!C1576:V1576="","",All_Students_Scores!C1576:V1576)</f>
        <v/>
      </c>
      <c r="E1578" s="57" t="str"/>
      <c r="F1578" s="49" t="str"/>
      <c r="G1578" s="59" t="str"/>
      <c r="H1578" s="64" t="str"/>
      <c r="I1578" s="65" t="str"/>
      <c r="J1578" s="49" t="str"/>
      <c r="K1578" s="41" t="str"/>
      <c r="L1578" s="41" t="str"/>
      <c r="M1578" s="41" t="str"/>
      <c r="N1578" s="41" t="str"/>
      <c r="O1578" s="41" t="str"/>
      <c r="P1578" s="41" t="str"/>
      <c r="Q1578" s="41" t="str"/>
      <c r="R1578" s="41" t="str"/>
      <c r="S1578" s="41" t="str"/>
      <c r="T1578" s="41" t="str"/>
      <c r="U1578" s="41" t="str"/>
      <c r="V1578" s="41" t="str"/>
      <c r="W1578" s="41" t="str"/>
    </row>
    <row r="1579">
      <c r="B1579" s="2" t="n"/>
      <c r="C1579" s="40" t="n"/>
      <c r="D1579" s="52">
        <f t="array" ref="D1579:W1579">IF(All_Students_Scores!C1577:V1577="","",All_Students_Scores!C1577:V1577)</f>
        <v/>
      </c>
      <c r="E1579" s="57" t="str"/>
      <c r="F1579" s="49" t="str"/>
      <c r="G1579" s="59" t="str"/>
      <c r="H1579" s="64" t="str"/>
      <c r="I1579" s="65" t="str"/>
      <c r="J1579" s="49" t="str"/>
      <c r="K1579" s="41" t="str"/>
      <c r="L1579" s="41" t="str"/>
      <c r="M1579" s="41" t="str"/>
      <c r="N1579" s="41" t="str"/>
      <c r="O1579" s="41" t="str"/>
      <c r="P1579" s="41" t="str"/>
      <c r="Q1579" s="41" t="str"/>
      <c r="R1579" s="41" t="str"/>
      <c r="S1579" s="41" t="str"/>
      <c r="T1579" s="41" t="str"/>
      <c r="U1579" s="41" t="str"/>
      <c r="V1579" s="41" t="str"/>
      <c r="W1579" s="41" t="str"/>
    </row>
    <row r="1580">
      <c r="B1580" s="2" t="n"/>
      <c r="C1580" s="40" t="n"/>
      <c r="D1580" s="52">
        <f t="array" ref="D1580:W1580">IF(All_Students_Scores!C1578:V1578="","",All_Students_Scores!C1578:V1578)</f>
        <v/>
      </c>
      <c r="E1580" s="57" t="str"/>
      <c r="F1580" s="49" t="str"/>
      <c r="G1580" s="59" t="str"/>
      <c r="H1580" s="64" t="str"/>
      <c r="I1580" s="65" t="str"/>
      <c r="J1580" s="49" t="str"/>
      <c r="K1580" s="41" t="str"/>
      <c r="L1580" s="41" t="str"/>
      <c r="M1580" s="41" t="str"/>
      <c r="N1580" s="41" t="str"/>
      <c r="O1580" s="41" t="str"/>
      <c r="P1580" s="41" t="str"/>
      <c r="Q1580" s="41" t="str"/>
      <c r="R1580" s="41" t="str"/>
      <c r="S1580" s="41" t="str"/>
      <c r="T1580" s="41" t="str"/>
      <c r="U1580" s="41" t="str"/>
      <c r="V1580" s="41" t="str"/>
      <c r="W1580" s="41" t="str"/>
    </row>
    <row r="1581">
      <c r="B1581" s="2" t="n"/>
      <c r="C1581" s="40" t="n"/>
      <c r="D1581" s="52">
        <f t="array" ref="D1581:W1581">IF(All_Students_Scores!C1579:V1579="","",All_Students_Scores!C1579:V1579)</f>
        <v/>
      </c>
      <c r="E1581" s="57" t="str"/>
      <c r="F1581" s="49" t="str"/>
      <c r="G1581" s="59" t="str"/>
      <c r="H1581" s="64" t="str"/>
      <c r="I1581" s="65" t="str"/>
      <c r="J1581" s="49" t="str"/>
      <c r="K1581" s="41" t="str"/>
      <c r="L1581" s="41" t="str"/>
      <c r="M1581" s="41" t="str"/>
      <c r="N1581" s="41" t="str"/>
      <c r="O1581" s="41" t="str"/>
      <c r="P1581" s="41" t="str"/>
      <c r="Q1581" s="41" t="str"/>
      <c r="R1581" s="41" t="str"/>
      <c r="S1581" s="41" t="str"/>
      <c r="T1581" s="41" t="str"/>
      <c r="U1581" s="41" t="str"/>
      <c r="V1581" s="41" t="str"/>
      <c r="W1581" s="41" t="str"/>
    </row>
    <row r="1582">
      <c r="B1582" s="2" t="n"/>
      <c r="C1582" s="40" t="n"/>
      <c r="D1582" s="52">
        <f t="array" ref="D1582:W1582">IF(All_Students_Scores!C1580:V1580="","",All_Students_Scores!C1580:V1580)</f>
        <v/>
      </c>
      <c r="E1582" s="57" t="str"/>
      <c r="F1582" s="49" t="str"/>
      <c r="G1582" s="59" t="str"/>
      <c r="H1582" s="64" t="str"/>
      <c r="I1582" s="65" t="str"/>
      <c r="J1582" s="49" t="str"/>
      <c r="K1582" s="41" t="str"/>
      <c r="L1582" s="41" t="str"/>
      <c r="M1582" s="41" t="str"/>
      <c r="N1582" s="41" t="str"/>
      <c r="O1582" s="41" t="str"/>
      <c r="P1582" s="41" t="str"/>
      <c r="Q1582" s="41" t="str"/>
      <c r="R1582" s="41" t="str"/>
      <c r="S1582" s="41" t="str"/>
      <c r="T1582" s="41" t="str"/>
      <c r="U1582" s="41" t="str"/>
      <c r="V1582" s="41" t="str"/>
      <c r="W1582" s="41" t="str"/>
    </row>
    <row r="1583">
      <c r="B1583" s="2" t="n"/>
      <c r="C1583" s="40" t="n"/>
      <c r="D1583" s="52">
        <f t="array" ref="D1583:W1583">IF(All_Students_Scores!C1581:V1581="","",All_Students_Scores!C1581:V1581)</f>
        <v/>
      </c>
      <c r="E1583" s="57" t="str"/>
      <c r="F1583" s="49" t="str"/>
      <c r="G1583" s="59" t="str"/>
      <c r="H1583" s="64" t="str"/>
      <c r="I1583" s="65" t="str"/>
      <c r="J1583" s="49" t="str"/>
      <c r="K1583" s="41" t="str"/>
      <c r="L1583" s="41" t="str"/>
      <c r="M1583" s="41" t="str"/>
      <c r="N1583" s="41" t="str"/>
      <c r="O1583" s="41" t="str"/>
      <c r="P1583" s="41" t="str"/>
      <c r="Q1583" s="41" t="str"/>
      <c r="R1583" s="41" t="str"/>
      <c r="S1583" s="41" t="str"/>
      <c r="T1583" s="41" t="str"/>
      <c r="U1583" s="41" t="str"/>
      <c r="V1583" s="41" t="str"/>
      <c r="W1583" s="41" t="str"/>
    </row>
    <row r="1584">
      <c r="B1584" s="2" t="n"/>
      <c r="C1584" s="40" t="n"/>
      <c r="D1584" s="52">
        <f t="array" ref="D1584:W1584">IF(All_Students_Scores!C1582:V1582="","",All_Students_Scores!C1582:V1582)</f>
        <v/>
      </c>
      <c r="E1584" s="57" t="str"/>
      <c r="F1584" s="49" t="str"/>
      <c r="G1584" s="59" t="str"/>
      <c r="H1584" s="64" t="str"/>
      <c r="I1584" s="65" t="str"/>
      <c r="J1584" s="49" t="str"/>
      <c r="K1584" s="41" t="str"/>
      <c r="L1584" s="41" t="str"/>
      <c r="M1584" s="41" t="str"/>
      <c r="N1584" s="41" t="str"/>
      <c r="O1584" s="41" t="str"/>
      <c r="P1584" s="41" t="str"/>
      <c r="Q1584" s="41" t="str"/>
      <c r="R1584" s="41" t="str"/>
      <c r="S1584" s="41" t="str"/>
      <c r="T1584" s="41" t="str"/>
      <c r="U1584" s="41" t="str"/>
      <c r="V1584" s="41" t="str"/>
      <c r="W1584" s="41" t="str"/>
    </row>
    <row r="1585">
      <c r="B1585" s="2" t="n"/>
      <c r="C1585" s="40" t="n"/>
      <c r="D1585" s="52">
        <f t="array" ref="D1585:W1585">IF(All_Students_Scores!C1583:V1583="","",All_Students_Scores!C1583:V1583)</f>
        <v/>
      </c>
      <c r="E1585" s="57" t="str"/>
      <c r="F1585" s="49" t="str"/>
      <c r="G1585" s="59" t="str"/>
      <c r="H1585" s="64" t="str"/>
      <c r="I1585" s="65" t="str"/>
      <c r="J1585" s="49" t="str"/>
      <c r="K1585" s="41" t="str"/>
      <c r="L1585" s="41" t="str"/>
      <c r="M1585" s="41" t="str"/>
      <c r="N1585" s="41" t="str"/>
      <c r="O1585" s="41" t="str"/>
      <c r="P1585" s="41" t="str"/>
      <c r="Q1585" s="41" t="str"/>
      <c r="R1585" s="41" t="str"/>
      <c r="S1585" s="41" t="str"/>
      <c r="T1585" s="41" t="str"/>
      <c r="U1585" s="41" t="str"/>
      <c r="V1585" s="41" t="str"/>
      <c r="W1585" s="41" t="str"/>
    </row>
    <row r="1586">
      <c r="B1586" s="2" t="n"/>
      <c r="C1586" s="40" t="n"/>
      <c r="D1586" s="52">
        <f t="array" ref="D1586:W1586">IF(All_Students_Scores!C1584:V1584="","",All_Students_Scores!C1584:V1584)</f>
        <v/>
      </c>
      <c r="E1586" s="57" t="str"/>
      <c r="F1586" s="49" t="str"/>
      <c r="G1586" s="59" t="str"/>
      <c r="H1586" s="64" t="str"/>
      <c r="I1586" s="65" t="str"/>
      <c r="J1586" s="49" t="str"/>
      <c r="K1586" s="41" t="str"/>
      <c r="L1586" s="41" t="str"/>
      <c r="M1586" s="41" t="str"/>
      <c r="N1586" s="41" t="str"/>
      <c r="O1586" s="41" t="str"/>
      <c r="P1586" s="41" t="str"/>
      <c r="Q1586" s="41" t="str"/>
      <c r="R1586" s="41" t="str"/>
      <c r="S1586" s="41" t="str"/>
      <c r="T1586" s="41" t="str"/>
      <c r="U1586" s="41" t="str"/>
      <c r="V1586" s="41" t="str"/>
      <c r="W1586" s="41" t="str"/>
    </row>
    <row r="1587">
      <c r="B1587" s="2" t="n"/>
      <c r="C1587" s="40" t="n"/>
      <c r="D1587" s="52">
        <f t="array" ref="D1587:W1587">IF(All_Students_Scores!C1585:V1585="","",All_Students_Scores!C1585:V1585)</f>
        <v/>
      </c>
      <c r="E1587" s="57" t="str"/>
      <c r="F1587" s="49" t="str"/>
      <c r="G1587" s="59" t="str"/>
      <c r="H1587" s="64" t="str"/>
      <c r="I1587" s="65" t="str"/>
      <c r="J1587" s="49" t="str"/>
      <c r="K1587" s="41" t="str"/>
      <c r="L1587" s="41" t="str"/>
      <c r="M1587" s="41" t="str"/>
      <c r="N1587" s="41" t="str"/>
      <c r="O1587" s="41" t="str"/>
      <c r="P1587" s="41" t="str"/>
      <c r="Q1587" s="41" t="str"/>
      <c r="R1587" s="41" t="str"/>
      <c r="S1587" s="41" t="str"/>
      <c r="T1587" s="41" t="str"/>
      <c r="U1587" s="41" t="str"/>
      <c r="V1587" s="41" t="str"/>
      <c r="W1587" s="41" t="str"/>
    </row>
    <row r="1588">
      <c r="B1588" s="2" t="n"/>
      <c r="C1588" s="40" t="n"/>
      <c r="D1588" s="52">
        <f t="array" ref="D1588:W1588">IF(All_Students_Scores!C1586:V1586="","",All_Students_Scores!C1586:V1586)</f>
        <v/>
      </c>
      <c r="E1588" s="57" t="str"/>
      <c r="F1588" s="49" t="str"/>
      <c r="G1588" s="59" t="str"/>
      <c r="H1588" s="64" t="str"/>
      <c r="I1588" s="65" t="str"/>
      <c r="J1588" s="49" t="str"/>
      <c r="K1588" s="41" t="str"/>
      <c r="L1588" s="41" t="str"/>
      <c r="M1588" s="41" t="str"/>
      <c r="N1588" s="41" t="str"/>
      <c r="O1588" s="41" t="str"/>
      <c r="P1588" s="41" t="str"/>
      <c r="Q1588" s="41" t="str"/>
      <c r="R1588" s="41" t="str"/>
      <c r="S1588" s="41" t="str"/>
      <c r="T1588" s="41" t="str"/>
      <c r="U1588" s="41" t="str"/>
      <c r="V1588" s="41" t="str"/>
      <c r="W1588" s="41" t="str"/>
    </row>
    <row r="1589">
      <c r="B1589" s="2" t="n"/>
      <c r="C1589" s="40" t="n"/>
      <c r="D1589" s="52">
        <f t="array" ref="D1589:W1589">IF(All_Students_Scores!C1587:V1587="","",All_Students_Scores!C1587:V1587)</f>
        <v/>
      </c>
      <c r="E1589" s="57" t="str"/>
      <c r="F1589" s="49" t="str"/>
      <c r="G1589" s="59" t="str"/>
      <c r="H1589" s="64" t="str"/>
      <c r="I1589" s="65" t="str"/>
      <c r="J1589" s="49" t="str"/>
      <c r="K1589" s="41" t="str"/>
      <c r="L1589" s="41" t="str"/>
      <c r="M1589" s="41" t="str"/>
      <c r="N1589" s="41" t="str"/>
      <c r="O1589" s="41" t="str"/>
      <c r="P1589" s="41" t="str"/>
      <c r="Q1589" s="41" t="str"/>
      <c r="R1589" s="41" t="str"/>
      <c r="S1589" s="41" t="str"/>
      <c r="T1589" s="41" t="str"/>
      <c r="U1589" s="41" t="str"/>
      <c r="V1589" s="41" t="str"/>
      <c r="W1589" s="41" t="str"/>
    </row>
    <row r="1590">
      <c r="B1590" s="2" t="n"/>
      <c r="C1590" s="40" t="n"/>
      <c r="D1590" s="52">
        <f t="array" ref="D1590:W1590">IF(All_Students_Scores!C1588:V1588="","",All_Students_Scores!C1588:V1588)</f>
        <v/>
      </c>
      <c r="E1590" s="57" t="str"/>
      <c r="F1590" s="49" t="str"/>
      <c r="G1590" s="59" t="str"/>
      <c r="H1590" s="64" t="str"/>
      <c r="I1590" s="65" t="str"/>
      <c r="J1590" s="49" t="str"/>
      <c r="K1590" s="41" t="str"/>
      <c r="L1590" s="41" t="str"/>
      <c r="M1590" s="41" t="str"/>
      <c r="N1590" s="41" t="str"/>
      <c r="O1590" s="41" t="str"/>
      <c r="P1590" s="41" t="str"/>
      <c r="Q1590" s="41" t="str"/>
      <c r="R1590" s="41" t="str"/>
      <c r="S1590" s="41" t="str"/>
      <c r="T1590" s="41" t="str"/>
      <c r="U1590" s="41" t="str"/>
      <c r="V1590" s="41" t="str"/>
      <c r="W1590" s="41" t="str"/>
    </row>
    <row r="1591">
      <c r="B1591" s="2" t="n"/>
      <c r="C1591" s="40" t="n"/>
      <c r="D1591" s="52">
        <f t="array" ref="D1591:W1591">IF(All_Students_Scores!C1589:V1589="","",All_Students_Scores!C1589:V1589)</f>
        <v/>
      </c>
      <c r="E1591" s="57" t="str"/>
      <c r="F1591" s="49" t="str"/>
      <c r="G1591" s="59" t="str"/>
      <c r="H1591" s="64" t="str"/>
      <c r="I1591" s="65" t="str"/>
      <c r="J1591" s="49" t="str"/>
      <c r="K1591" s="41" t="str"/>
      <c r="L1591" s="41" t="str"/>
      <c r="M1591" s="41" t="str"/>
      <c r="N1591" s="41" t="str"/>
      <c r="O1591" s="41" t="str"/>
      <c r="P1591" s="41" t="str"/>
      <c r="Q1591" s="41" t="str"/>
      <c r="R1591" s="41" t="str"/>
      <c r="S1591" s="41" t="str"/>
      <c r="T1591" s="41" t="str"/>
      <c r="U1591" s="41" t="str"/>
      <c r="V1591" s="41" t="str"/>
      <c r="W1591" s="41" t="str"/>
    </row>
    <row r="1592">
      <c r="B1592" s="2" t="n"/>
      <c r="C1592" s="40" t="n"/>
      <c r="D1592" s="52">
        <f t="array" ref="D1592:W1592">IF(All_Students_Scores!C1590:V1590="","",All_Students_Scores!C1590:V1590)</f>
        <v/>
      </c>
      <c r="E1592" s="57" t="str"/>
      <c r="F1592" s="49" t="str"/>
      <c r="G1592" s="59" t="str"/>
      <c r="H1592" s="64" t="str"/>
      <c r="I1592" s="65" t="str"/>
      <c r="J1592" s="49" t="str"/>
      <c r="K1592" s="41" t="str"/>
      <c r="L1592" s="41" t="str"/>
      <c r="M1592" s="41" t="str"/>
      <c r="N1592" s="41" t="str"/>
      <c r="O1592" s="41" t="str"/>
      <c r="P1592" s="41" t="str"/>
      <c r="Q1592" s="41" t="str"/>
      <c r="R1592" s="41" t="str"/>
      <c r="S1592" s="41" t="str"/>
      <c r="T1592" s="41" t="str"/>
      <c r="U1592" s="41" t="str"/>
      <c r="V1592" s="41" t="str"/>
      <c r="W1592" s="41" t="str"/>
    </row>
    <row r="1593">
      <c r="B1593" s="2" t="n"/>
      <c r="C1593" s="40" t="n"/>
      <c r="D1593" s="52">
        <f t="array" ref="D1593:W1593">IF(All_Students_Scores!C1591:V1591="","",All_Students_Scores!C1591:V1591)</f>
        <v/>
      </c>
      <c r="E1593" s="57" t="str"/>
      <c r="F1593" s="49" t="str"/>
      <c r="G1593" s="59" t="str"/>
      <c r="H1593" s="64" t="str"/>
      <c r="I1593" s="65" t="str"/>
      <c r="J1593" s="49" t="str"/>
      <c r="K1593" s="41" t="str"/>
      <c r="L1593" s="41" t="str"/>
      <c r="M1593" s="41" t="str"/>
      <c r="N1593" s="41" t="str"/>
      <c r="O1593" s="41" t="str"/>
      <c r="P1593" s="41" t="str"/>
      <c r="Q1593" s="41" t="str"/>
      <c r="R1593" s="41" t="str"/>
      <c r="S1593" s="41" t="str"/>
      <c r="T1593" s="41" t="str"/>
      <c r="U1593" s="41" t="str"/>
      <c r="V1593" s="41" t="str"/>
      <c r="W1593" s="41" t="str"/>
    </row>
    <row r="1594">
      <c r="B1594" s="2" t="n"/>
      <c r="C1594" s="40" t="n"/>
      <c r="D1594" s="52">
        <f t="array" ref="D1594:W1594">IF(All_Students_Scores!C1592:V1592="","",All_Students_Scores!C1592:V1592)</f>
        <v/>
      </c>
      <c r="E1594" s="57" t="str"/>
      <c r="F1594" s="49" t="str"/>
      <c r="G1594" s="59" t="str"/>
      <c r="H1594" s="64" t="str"/>
      <c r="I1594" s="65" t="str"/>
      <c r="J1594" s="49" t="str"/>
      <c r="K1594" s="41" t="str"/>
      <c r="L1594" s="41" t="str"/>
      <c r="M1594" s="41" t="str"/>
      <c r="N1594" s="41" t="str"/>
      <c r="O1594" s="41" t="str"/>
      <c r="P1594" s="41" t="str"/>
      <c r="Q1594" s="41" t="str"/>
      <c r="R1594" s="41" t="str"/>
      <c r="S1594" s="41" t="str"/>
      <c r="T1594" s="41" t="str"/>
      <c r="U1594" s="41" t="str"/>
      <c r="V1594" s="41" t="str"/>
      <c r="W1594" s="41" t="str"/>
    </row>
    <row r="1595">
      <c r="B1595" s="2" t="n"/>
      <c r="C1595" s="40" t="n"/>
      <c r="D1595" s="52">
        <f t="array" ref="D1595:W1595">IF(All_Students_Scores!C1593:V1593="","",All_Students_Scores!C1593:V1593)</f>
        <v/>
      </c>
      <c r="E1595" s="57" t="str"/>
      <c r="F1595" s="49" t="str"/>
      <c r="G1595" s="59" t="str"/>
      <c r="H1595" s="64" t="str"/>
      <c r="I1595" s="65" t="str"/>
      <c r="J1595" s="49" t="str"/>
      <c r="K1595" s="41" t="str"/>
      <c r="L1595" s="41" t="str"/>
      <c r="M1595" s="41" t="str"/>
      <c r="N1595" s="41" t="str"/>
      <c r="O1595" s="41" t="str"/>
      <c r="P1595" s="41" t="str"/>
      <c r="Q1595" s="41" t="str"/>
      <c r="R1595" s="41" t="str"/>
      <c r="S1595" s="41" t="str"/>
      <c r="T1595" s="41" t="str"/>
      <c r="U1595" s="41" t="str"/>
      <c r="V1595" s="41" t="str"/>
      <c r="W1595" s="41" t="str"/>
    </row>
    <row r="1596">
      <c r="B1596" s="2" t="n"/>
      <c r="C1596" s="40" t="n"/>
      <c r="D1596" s="52">
        <f t="array" ref="D1596:W1596">IF(All_Students_Scores!C1594:V1594="","",All_Students_Scores!C1594:V1594)</f>
        <v/>
      </c>
      <c r="E1596" s="57" t="str"/>
      <c r="F1596" s="49" t="str"/>
      <c r="G1596" s="59" t="str"/>
      <c r="H1596" s="64" t="str"/>
      <c r="I1596" s="65" t="str"/>
      <c r="J1596" s="49" t="str"/>
      <c r="K1596" s="41" t="str"/>
      <c r="L1596" s="41" t="str"/>
      <c r="M1596" s="41" t="str"/>
      <c r="N1596" s="41" t="str"/>
      <c r="O1596" s="41" t="str"/>
      <c r="P1596" s="41" t="str"/>
      <c r="Q1596" s="41" t="str"/>
      <c r="R1596" s="41" t="str"/>
      <c r="S1596" s="41" t="str"/>
      <c r="T1596" s="41" t="str"/>
      <c r="U1596" s="41" t="str"/>
      <c r="V1596" s="41" t="str"/>
      <c r="W1596" s="41" t="str"/>
    </row>
    <row r="1597">
      <c r="B1597" s="2" t="n"/>
      <c r="C1597" s="40" t="n"/>
      <c r="D1597" s="52">
        <f t="array" ref="D1597:W1597">IF(All_Students_Scores!C1595:V1595="","",All_Students_Scores!C1595:V1595)</f>
        <v/>
      </c>
      <c r="E1597" s="57" t="str"/>
      <c r="F1597" s="49" t="str"/>
      <c r="G1597" s="59" t="str"/>
      <c r="H1597" s="64" t="str"/>
      <c r="I1597" s="65" t="str"/>
      <c r="J1597" s="49" t="str"/>
      <c r="K1597" s="41" t="str"/>
      <c r="L1597" s="41" t="str"/>
      <c r="M1597" s="41" t="str"/>
      <c r="N1597" s="41" t="str"/>
      <c r="O1597" s="41" t="str"/>
      <c r="P1597" s="41" t="str"/>
      <c r="Q1597" s="41" t="str"/>
      <c r="R1597" s="41" t="str"/>
      <c r="S1597" s="41" t="str"/>
      <c r="T1597" s="41" t="str"/>
      <c r="U1597" s="41" t="str"/>
      <c r="V1597" s="41" t="str"/>
      <c r="W1597" s="41" t="str"/>
    </row>
    <row r="1598">
      <c r="B1598" s="2" t="n"/>
      <c r="C1598" s="40" t="n"/>
      <c r="D1598" s="52">
        <f t="array" ref="D1598:W1598">IF(All_Students_Scores!C1596:V1596="","",All_Students_Scores!C1596:V1596)</f>
        <v/>
      </c>
      <c r="E1598" s="57" t="str"/>
      <c r="F1598" s="49" t="str"/>
      <c r="G1598" s="59" t="str"/>
      <c r="H1598" s="64" t="str"/>
      <c r="I1598" s="65" t="str"/>
      <c r="J1598" s="49" t="str"/>
      <c r="K1598" s="41" t="str"/>
      <c r="L1598" s="41" t="str"/>
      <c r="M1598" s="41" t="str"/>
      <c r="N1598" s="41" t="str"/>
      <c r="O1598" s="41" t="str"/>
      <c r="P1598" s="41" t="str"/>
      <c r="Q1598" s="41" t="str"/>
      <c r="R1598" s="41" t="str"/>
      <c r="S1598" s="41" t="str"/>
      <c r="T1598" s="41" t="str"/>
      <c r="U1598" s="41" t="str"/>
      <c r="V1598" s="41" t="str"/>
      <c r="W1598" s="41" t="str"/>
    </row>
    <row r="1599">
      <c r="B1599" s="2" t="n"/>
      <c r="C1599" s="40" t="n"/>
      <c r="D1599" s="52">
        <f t="array" ref="D1599:W1599">IF(All_Students_Scores!C1597:V1597="","",All_Students_Scores!C1597:V1597)</f>
        <v/>
      </c>
      <c r="E1599" s="57" t="str"/>
      <c r="F1599" s="49" t="str"/>
      <c r="G1599" s="59" t="str"/>
      <c r="H1599" s="64" t="str"/>
      <c r="I1599" s="65" t="str"/>
      <c r="J1599" s="49" t="str"/>
      <c r="K1599" s="41" t="str"/>
      <c r="L1599" s="41" t="str"/>
      <c r="M1599" s="41" t="str"/>
      <c r="N1599" s="41" t="str"/>
      <c r="O1599" s="41" t="str"/>
      <c r="P1599" s="41" t="str"/>
      <c r="Q1599" s="41" t="str"/>
      <c r="R1599" s="41" t="str"/>
      <c r="S1599" s="41" t="str"/>
      <c r="T1599" s="41" t="str"/>
      <c r="U1599" s="41" t="str"/>
      <c r="V1599" s="41" t="str"/>
      <c r="W1599" s="41" t="str"/>
    </row>
    <row r="1600">
      <c r="B1600" s="2" t="n"/>
      <c r="C1600" s="40" t="n"/>
      <c r="D1600" s="52">
        <f t="array" ref="D1600:W1600">IF(All_Students_Scores!C1598:V1598="","",All_Students_Scores!C1598:V1598)</f>
        <v/>
      </c>
      <c r="E1600" s="57" t="str"/>
      <c r="F1600" s="49" t="str"/>
      <c r="G1600" s="59" t="str"/>
      <c r="H1600" s="64" t="str"/>
      <c r="I1600" s="65" t="str"/>
      <c r="J1600" s="49" t="str"/>
      <c r="K1600" s="41" t="str"/>
      <c r="L1600" s="41" t="str"/>
      <c r="M1600" s="41" t="str"/>
      <c r="N1600" s="41" t="str"/>
      <c r="O1600" s="41" t="str"/>
      <c r="P1600" s="41" t="str"/>
      <c r="Q1600" s="41" t="str"/>
      <c r="R1600" s="41" t="str"/>
      <c r="S1600" s="41" t="str"/>
      <c r="T1600" s="41" t="str"/>
      <c r="U1600" s="41" t="str"/>
      <c r="V1600" s="41" t="str"/>
      <c r="W1600" s="41" t="str"/>
    </row>
    <row r="1601">
      <c r="B1601" s="2" t="n"/>
      <c r="C1601" s="40" t="n"/>
      <c r="D1601" s="52">
        <f t="array" ref="D1601:W1601">IF(All_Students_Scores!C1599:V1599="","",All_Students_Scores!C1599:V1599)</f>
        <v/>
      </c>
      <c r="E1601" s="57" t="str"/>
      <c r="F1601" s="49" t="str"/>
      <c r="G1601" s="59" t="str"/>
      <c r="H1601" s="64" t="str"/>
      <c r="I1601" s="65" t="str"/>
      <c r="J1601" s="49" t="str"/>
      <c r="K1601" s="41" t="str"/>
      <c r="L1601" s="41" t="str"/>
      <c r="M1601" s="41" t="str"/>
      <c r="N1601" s="41" t="str"/>
      <c r="O1601" s="41" t="str"/>
      <c r="P1601" s="41" t="str"/>
      <c r="Q1601" s="41" t="str"/>
      <c r="R1601" s="41" t="str"/>
      <c r="S1601" s="41" t="str"/>
      <c r="T1601" s="41" t="str"/>
      <c r="U1601" s="41" t="str"/>
      <c r="V1601" s="41" t="str"/>
      <c r="W1601" s="41" t="str"/>
    </row>
    <row r="1602">
      <c r="B1602" s="2" t="n"/>
      <c r="C1602" s="40" t="n"/>
      <c r="D1602" s="52">
        <f t="array" ref="D1602:W1602">IF(All_Students_Scores!C1600:V1600="","",All_Students_Scores!C1600:V1600)</f>
        <v/>
      </c>
      <c r="E1602" s="57" t="str"/>
      <c r="F1602" s="49" t="str"/>
      <c r="G1602" s="59" t="str"/>
      <c r="H1602" s="64" t="str"/>
      <c r="I1602" s="65" t="str"/>
      <c r="J1602" s="49" t="str"/>
      <c r="K1602" s="41" t="str"/>
      <c r="L1602" s="41" t="str"/>
      <c r="M1602" s="41" t="str"/>
      <c r="N1602" s="41" t="str"/>
      <c r="O1602" s="41" t="str"/>
      <c r="P1602" s="41" t="str"/>
      <c r="Q1602" s="41" t="str"/>
      <c r="R1602" s="41" t="str"/>
      <c r="S1602" s="41" t="str"/>
      <c r="T1602" s="41" t="str"/>
      <c r="U1602" s="41" t="str"/>
      <c r="V1602" s="41" t="str"/>
      <c r="W1602" s="41" t="str"/>
    </row>
    <row r="1603">
      <c r="B1603" s="2" t="n"/>
      <c r="C1603" s="40" t="n"/>
      <c r="D1603" s="52">
        <f t="array" ref="D1603:W1603">IF(All_Students_Scores!C1601:V1601="","",All_Students_Scores!C1601:V1601)</f>
        <v/>
      </c>
      <c r="E1603" s="57" t="str"/>
      <c r="F1603" s="49" t="str"/>
      <c r="G1603" s="59" t="str"/>
      <c r="H1603" s="64" t="str"/>
      <c r="I1603" s="65" t="str"/>
      <c r="J1603" s="49" t="str"/>
      <c r="K1603" s="41" t="str"/>
      <c r="L1603" s="41" t="str"/>
      <c r="M1603" s="41" t="str"/>
      <c r="N1603" s="41" t="str"/>
      <c r="O1603" s="41" t="str"/>
      <c r="P1603" s="41" t="str"/>
      <c r="Q1603" s="41" t="str"/>
      <c r="R1603" s="41" t="str"/>
      <c r="S1603" s="41" t="str"/>
      <c r="T1603" s="41" t="str"/>
      <c r="U1603" s="41" t="str"/>
      <c r="V1603" s="41" t="str"/>
      <c r="W1603" s="41" t="str"/>
    </row>
    <row r="1604">
      <c r="B1604" s="2" t="n"/>
      <c r="C1604" s="40" t="n"/>
      <c r="D1604" s="52">
        <f t="array" ref="D1604:W1604">IF(All_Students_Scores!C1602:V1602="","",All_Students_Scores!C1602:V1602)</f>
        <v/>
      </c>
      <c r="E1604" s="57" t="str"/>
      <c r="F1604" s="49" t="str"/>
      <c r="G1604" s="59" t="str"/>
      <c r="H1604" s="64" t="str"/>
      <c r="I1604" s="65" t="str"/>
      <c r="J1604" s="49" t="str"/>
      <c r="K1604" s="41" t="str"/>
      <c r="L1604" s="41" t="str"/>
      <c r="M1604" s="41" t="str"/>
      <c r="N1604" s="41" t="str"/>
      <c r="O1604" s="41" t="str"/>
      <c r="P1604" s="41" t="str"/>
      <c r="Q1604" s="41" t="str"/>
      <c r="R1604" s="41" t="str"/>
      <c r="S1604" s="41" t="str"/>
      <c r="T1604" s="41" t="str"/>
      <c r="U1604" s="41" t="str"/>
      <c r="V1604" s="41" t="str"/>
      <c r="W1604" s="41" t="str"/>
    </row>
    <row r="1605">
      <c r="B1605" s="2" t="n"/>
      <c r="C1605" s="40" t="n"/>
      <c r="D1605" s="52">
        <f t="array" ref="D1605:W1605">IF(All_Students_Scores!C1603:V1603="","",All_Students_Scores!C1603:V1603)</f>
        <v/>
      </c>
      <c r="E1605" s="57" t="str"/>
      <c r="F1605" s="49" t="str"/>
      <c r="G1605" s="59" t="str"/>
      <c r="H1605" s="64" t="str"/>
      <c r="I1605" s="65" t="str"/>
      <c r="J1605" s="49" t="str"/>
      <c r="K1605" s="41" t="str"/>
      <c r="L1605" s="41" t="str"/>
      <c r="M1605" s="41" t="str"/>
      <c r="N1605" s="41" t="str"/>
      <c r="O1605" s="41" t="str"/>
      <c r="P1605" s="41" t="str"/>
      <c r="Q1605" s="41" t="str"/>
      <c r="R1605" s="41" t="str"/>
      <c r="S1605" s="41" t="str"/>
      <c r="T1605" s="41" t="str"/>
      <c r="U1605" s="41" t="str"/>
      <c r="V1605" s="41" t="str"/>
      <c r="W1605" s="41" t="str"/>
    </row>
    <row r="1606">
      <c r="B1606" s="2" t="n"/>
      <c r="C1606" s="40" t="n"/>
      <c r="D1606" s="52">
        <f t="array" ref="D1606:W1606">IF(All_Students_Scores!C1604:V1604="","",All_Students_Scores!C1604:V1604)</f>
        <v/>
      </c>
      <c r="E1606" s="57" t="str"/>
      <c r="F1606" s="49" t="str"/>
      <c r="G1606" s="59" t="str"/>
      <c r="H1606" s="64" t="str"/>
      <c r="I1606" s="65" t="str"/>
      <c r="J1606" s="49" t="str"/>
      <c r="K1606" s="41" t="str"/>
      <c r="L1606" s="41" t="str"/>
      <c r="M1606" s="41" t="str"/>
      <c r="N1606" s="41" t="str"/>
      <c r="O1606" s="41" t="str"/>
      <c r="P1606" s="41" t="str"/>
      <c r="Q1606" s="41" t="str"/>
      <c r="R1606" s="41" t="str"/>
      <c r="S1606" s="41" t="str"/>
      <c r="T1606" s="41" t="str"/>
      <c r="U1606" s="41" t="str"/>
      <c r="V1606" s="41" t="str"/>
      <c r="W1606" s="41" t="str"/>
    </row>
    <row r="1607">
      <c r="B1607" s="2" t="n"/>
      <c r="C1607" s="40" t="n"/>
      <c r="D1607" s="52">
        <f t="array" ref="D1607:W1607">IF(All_Students_Scores!C1605:V1605="","",All_Students_Scores!C1605:V1605)</f>
        <v/>
      </c>
      <c r="E1607" s="57" t="str"/>
      <c r="F1607" s="49" t="str"/>
      <c r="G1607" s="59" t="str"/>
      <c r="H1607" s="64" t="str"/>
      <c r="I1607" s="65" t="str"/>
      <c r="J1607" s="49" t="str"/>
      <c r="K1607" s="41" t="str"/>
      <c r="L1607" s="41" t="str"/>
      <c r="M1607" s="41" t="str"/>
      <c r="N1607" s="41" t="str"/>
      <c r="O1607" s="41" t="str"/>
      <c r="P1607" s="41" t="str"/>
      <c r="Q1607" s="41" t="str"/>
      <c r="R1607" s="41" t="str"/>
      <c r="S1607" s="41" t="str"/>
      <c r="T1607" s="41" t="str"/>
      <c r="U1607" s="41" t="str"/>
      <c r="V1607" s="41" t="str"/>
      <c r="W1607" s="41" t="str"/>
    </row>
    <row r="1608">
      <c r="B1608" s="2" t="n"/>
      <c r="C1608" s="40" t="n"/>
      <c r="D1608" s="52">
        <f t="array" ref="D1608:W1608">IF(All_Students_Scores!C1606:V1606="","",All_Students_Scores!C1606:V1606)</f>
        <v/>
      </c>
      <c r="E1608" s="57" t="str"/>
      <c r="F1608" s="49" t="str"/>
      <c r="G1608" s="59" t="str"/>
      <c r="H1608" s="64" t="str"/>
      <c r="I1608" s="65" t="str"/>
      <c r="J1608" s="49" t="str"/>
      <c r="K1608" s="41" t="str"/>
      <c r="L1608" s="41" t="str"/>
      <c r="M1608" s="41" t="str"/>
      <c r="N1608" s="41" t="str"/>
      <c r="O1608" s="41" t="str"/>
      <c r="P1608" s="41" t="str"/>
      <c r="Q1608" s="41" t="str"/>
      <c r="R1608" s="41" t="str"/>
      <c r="S1608" s="41" t="str"/>
      <c r="T1608" s="41" t="str"/>
      <c r="U1608" s="41" t="str"/>
      <c r="V1608" s="41" t="str"/>
      <c r="W1608" s="41" t="str"/>
    </row>
    <row r="1609">
      <c r="B1609" s="2" t="n"/>
      <c r="C1609" s="40" t="n"/>
      <c r="D1609" s="52">
        <f t="array" ref="D1609:W1609">IF(All_Students_Scores!C1607:V1607="","",All_Students_Scores!C1607:V1607)</f>
        <v/>
      </c>
      <c r="E1609" s="57" t="str"/>
      <c r="F1609" s="49" t="str"/>
      <c r="G1609" s="59" t="str"/>
      <c r="H1609" s="64" t="str"/>
      <c r="I1609" s="65" t="str"/>
      <c r="J1609" s="49" t="str"/>
      <c r="K1609" s="41" t="str"/>
      <c r="L1609" s="41" t="str"/>
      <c r="M1609" s="41" t="str"/>
      <c r="N1609" s="41" t="str"/>
      <c r="O1609" s="41" t="str"/>
      <c r="P1609" s="41" t="str"/>
      <c r="Q1609" s="41" t="str"/>
      <c r="R1609" s="41" t="str"/>
      <c r="S1609" s="41" t="str"/>
      <c r="T1609" s="41" t="str"/>
      <c r="U1609" s="41" t="str"/>
      <c r="V1609" s="41" t="str"/>
      <c r="W1609" s="41" t="str"/>
    </row>
    <row r="1610">
      <c r="B1610" s="2" t="n"/>
      <c r="C1610" s="40" t="n"/>
      <c r="D1610" s="52">
        <f t="array" ref="D1610:W1610">IF(All_Students_Scores!C1608:V1608="","",All_Students_Scores!C1608:V1608)</f>
        <v/>
      </c>
      <c r="E1610" s="57" t="str"/>
      <c r="F1610" s="49" t="str"/>
      <c r="G1610" s="59" t="str"/>
      <c r="H1610" s="64" t="str"/>
      <c r="I1610" s="65" t="str"/>
      <c r="J1610" s="49" t="str"/>
      <c r="K1610" s="41" t="str"/>
      <c r="L1610" s="41" t="str"/>
      <c r="M1610" s="41" t="str"/>
      <c r="N1610" s="41" t="str"/>
      <c r="O1610" s="41" t="str"/>
      <c r="P1610" s="41" t="str"/>
      <c r="Q1610" s="41" t="str"/>
      <c r="R1610" s="41" t="str"/>
      <c r="S1610" s="41" t="str"/>
      <c r="T1610" s="41" t="str"/>
      <c r="U1610" s="41" t="str"/>
      <c r="V1610" s="41" t="str"/>
      <c r="W1610" s="41" t="str"/>
    </row>
    <row r="1611">
      <c r="B1611" s="2" t="n"/>
      <c r="C1611" s="40" t="n"/>
      <c r="D1611" s="52">
        <f t="array" ref="D1611:W1611">IF(All_Students_Scores!C1609:V1609="","",All_Students_Scores!C1609:V1609)</f>
        <v/>
      </c>
      <c r="E1611" s="57" t="str"/>
      <c r="F1611" s="49" t="str"/>
      <c r="G1611" s="59" t="str"/>
      <c r="H1611" s="64" t="str"/>
      <c r="I1611" s="65" t="str"/>
      <c r="J1611" s="49" t="str"/>
      <c r="K1611" s="41" t="str"/>
      <c r="L1611" s="41" t="str"/>
      <c r="M1611" s="41" t="str"/>
      <c r="N1611" s="41" t="str"/>
      <c r="O1611" s="41" t="str"/>
      <c r="P1611" s="41" t="str"/>
      <c r="Q1611" s="41" t="str"/>
      <c r="R1611" s="41" t="str"/>
      <c r="S1611" s="41" t="str"/>
      <c r="T1611" s="41" t="str"/>
      <c r="U1611" s="41" t="str"/>
      <c r="V1611" s="41" t="str"/>
      <c r="W1611" s="41" t="str"/>
    </row>
    <row r="1612">
      <c r="B1612" s="2" t="n"/>
      <c r="C1612" s="40" t="n"/>
      <c r="D1612" s="52">
        <f t="array" ref="D1612:W1612">IF(All_Students_Scores!C1610:V1610="","",All_Students_Scores!C1610:V1610)</f>
        <v/>
      </c>
      <c r="E1612" s="57" t="str"/>
      <c r="F1612" s="49" t="str"/>
      <c r="G1612" s="59" t="str"/>
      <c r="H1612" s="64" t="str"/>
      <c r="I1612" s="65" t="str"/>
      <c r="J1612" s="49" t="str"/>
      <c r="K1612" s="41" t="str"/>
      <c r="L1612" s="41" t="str"/>
      <c r="M1612" s="41" t="str"/>
      <c r="N1612" s="41" t="str"/>
      <c r="O1612" s="41" t="str"/>
      <c r="P1612" s="41" t="str"/>
      <c r="Q1612" s="41" t="str"/>
      <c r="R1612" s="41" t="str"/>
      <c r="S1612" s="41" t="str"/>
      <c r="T1612" s="41" t="str"/>
      <c r="U1612" s="41" t="str"/>
      <c r="V1612" s="41" t="str"/>
      <c r="W1612" s="41" t="str"/>
    </row>
    <row r="1613">
      <c r="B1613" s="2" t="n"/>
      <c r="C1613" s="40" t="n"/>
      <c r="D1613" s="52">
        <f t="array" ref="D1613:W1613">IF(All_Students_Scores!C1611:V1611="","",All_Students_Scores!C1611:V1611)</f>
        <v/>
      </c>
      <c r="E1613" s="57" t="str"/>
      <c r="F1613" s="49" t="str"/>
      <c r="G1613" s="59" t="str"/>
      <c r="H1613" s="64" t="str"/>
      <c r="I1613" s="65" t="str"/>
      <c r="J1613" s="49" t="str"/>
      <c r="K1613" s="41" t="str"/>
      <c r="L1613" s="41" t="str"/>
      <c r="M1613" s="41" t="str"/>
      <c r="N1613" s="41" t="str"/>
      <c r="O1613" s="41" t="str"/>
      <c r="P1613" s="41" t="str"/>
      <c r="Q1613" s="41" t="str"/>
      <c r="R1613" s="41" t="str"/>
      <c r="S1613" s="41" t="str"/>
      <c r="T1613" s="41" t="str"/>
      <c r="U1613" s="41" t="str"/>
      <c r="V1613" s="41" t="str"/>
      <c r="W1613" s="41" t="str"/>
    </row>
    <row r="1614">
      <c r="B1614" s="2" t="n"/>
      <c r="C1614" s="40" t="n"/>
      <c r="D1614" s="52">
        <f t="array" ref="D1614:W1614">IF(All_Students_Scores!C1612:V1612="","",All_Students_Scores!C1612:V1612)</f>
        <v/>
      </c>
      <c r="E1614" s="57" t="str"/>
      <c r="F1614" s="49" t="str"/>
      <c r="G1614" s="59" t="str"/>
      <c r="H1614" s="64" t="str"/>
      <c r="I1614" s="65" t="str"/>
      <c r="J1614" s="49" t="str"/>
      <c r="K1614" s="41" t="str"/>
      <c r="L1614" s="41" t="str"/>
      <c r="M1614" s="41" t="str"/>
      <c r="N1614" s="41" t="str"/>
      <c r="O1614" s="41" t="str"/>
      <c r="P1614" s="41" t="str"/>
      <c r="Q1614" s="41" t="str"/>
      <c r="R1614" s="41" t="str"/>
      <c r="S1614" s="41" t="str"/>
      <c r="T1614" s="41" t="str"/>
      <c r="U1614" s="41" t="str"/>
      <c r="V1614" s="41" t="str"/>
      <c r="W1614" s="41" t="str"/>
    </row>
    <row r="1615">
      <c r="B1615" s="2" t="n"/>
      <c r="C1615" s="40" t="n"/>
      <c r="D1615" s="52">
        <f t="array" ref="D1615:W1615">IF(All_Students_Scores!C1613:V1613="","",All_Students_Scores!C1613:V1613)</f>
        <v/>
      </c>
      <c r="E1615" s="57" t="str"/>
      <c r="F1615" s="49" t="str"/>
      <c r="G1615" s="59" t="str"/>
      <c r="H1615" s="64" t="str"/>
      <c r="I1615" s="65" t="str"/>
      <c r="J1615" s="49" t="str"/>
      <c r="K1615" s="41" t="str"/>
      <c r="L1615" s="41" t="str"/>
      <c r="M1615" s="41" t="str"/>
      <c r="N1615" s="41" t="str"/>
      <c r="O1615" s="41" t="str"/>
      <c r="P1615" s="41" t="str"/>
      <c r="Q1615" s="41" t="str"/>
      <c r="R1615" s="41" t="str"/>
      <c r="S1615" s="41" t="str"/>
      <c r="T1615" s="41" t="str"/>
      <c r="U1615" s="41" t="str"/>
      <c r="V1615" s="41" t="str"/>
      <c r="W1615" s="41" t="str"/>
    </row>
    <row r="1616">
      <c r="B1616" s="2" t="n"/>
      <c r="C1616" s="40" t="n"/>
      <c r="D1616" s="52">
        <f t="array" ref="D1616:W1616">IF(All_Students_Scores!C1614:V1614="","",All_Students_Scores!C1614:V1614)</f>
        <v/>
      </c>
      <c r="E1616" s="57" t="str"/>
      <c r="F1616" s="49" t="str"/>
      <c r="G1616" s="59" t="str"/>
      <c r="H1616" s="64" t="str"/>
      <c r="I1616" s="65" t="str"/>
      <c r="J1616" s="49" t="str"/>
      <c r="K1616" s="41" t="str"/>
      <c r="L1616" s="41" t="str"/>
      <c r="M1616" s="41" t="str"/>
      <c r="N1616" s="41" t="str"/>
      <c r="O1616" s="41" t="str"/>
      <c r="P1616" s="41" t="str"/>
      <c r="Q1616" s="41" t="str"/>
      <c r="R1616" s="41" t="str"/>
      <c r="S1616" s="41" t="str"/>
      <c r="T1616" s="41" t="str"/>
      <c r="U1616" s="41" t="str"/>
      <c r="V1616" s="41" t="str"/>
      <c r="W1616" s="41" t="str"/>
    </row>
    <row r="1617">
      <c r="B1617" s="2" t="n"/>
      <c r="C1617" s="40" t="n"/>
      <c r="D1617" s="52">
        <f t="array" ref="D1617:W1617">IF(All_Students_Scores!C1615:V1615="","",All_Students_Scores!C1615:V1615)</f>
        <v/>
      </c>
      <c r="E1617" s="57" t="str"/>
      <c r="F1617" s="49" t="str"/>
      <c r="G1617" s="59" t="str"/>
      <c r="H1617" s="64" t="str"/>
      <c r="I1617" s="65" t="str"/>
      <c r="J1617" s="49" t="str"/>
      <c r="K1617" s="41" t="str"/>
      <c r="L1617" s="41" t="str"/>
      <c r="M1617" s="41" t="str"/>
      <c r="N1617" s="41" t="str"/>
      <c r="O1617" s="41" t="str"/>
      <c r="P1617" s="41" t="str"/>
      <c r="Q1617" s="41" t="str"/>
      <c r="R1617" s="41" t="str"/>
      <c r="S1617" s="41" t="str"/>
      <c r="T1617" s="41" t="str"/>
      <c r="U1617" s="41" t="str"/>
      <c r="V1617" s="41" t="str"/>
      <c r="W1617" s="41" t="str"/>
    </row>
    <row r="1618">
      <c r="B1618" s="2" t="n"/>
      <c r="C1618" s="40" t="n"/>
      <c r="D1618" s="52">
        <f t="array" ref="D1618:W1618">IF(All_Students_Scores!C1616:V1616="","",All_Students_Scores!C1616:V1616)</f>
        <v/>
      </c>
      <c r="E1618" s="57" t="str"/>
      <c r="F1618" s="49" t="str"/>
      <c r="G1618" s="59" t="str"/>
      <c r="H1618" s="64" t="str"/>
      <c r="I1618" s="65" t="str"/>
      <c r="J1618" s="49" t="str"/>
      <c r="K1618" s="41" t="str"/>
      <c r="L1618" s="41" t="str"/>
      <c r="M1618" s="41" t="str"/>
      <c r="N1618" s="41" t="str"/>
      <c r="O1618" s="41" t="str"/>
      <c r="P1618" s="41" t="str"/>
      <c r="Q1618" s="41" t="str"/>
      <c r="R1618" s="41" t="str"/>
      <c r="S1618" s="41" t="str"/>
      <c r="T1618" s="41" t="str"/>
      <c r="U1618" s="41" t="str"/>
      <c r="V1618" s="41" t="str"/>
      <c r="W1618" s="41" t="str"/>
    </row>
    <row r="1619">
      <c r="B1619" s="2" t="n"/>
      <c r="C1619" s="40" t="n"/>
      <c r="D1619" s="52">
        <f t="array" ref="D1619:W1619">IF(All_Students_Scores!C1617:V1617="","",All_Students_Scores!C1617:V1617)</f>
        <v/>
      </c>
      <c r="E1619" s="57" t="str"/>
      <c r="F1619" s="49" t="str"/>
      <c r="G1619" s="59" t="str"/>
      <c r="H1619" s="64" t="str"/>
      <c r="I1619" s="65" t="str"/>
      <c r="J1619" s="49" t="str"/>
      <c r="K1619" s="41" t="str"/>
      <c r="L1619" s="41" t="str"/>
      <c r="M1619" s="41" t="str"/>
      <c r="N1619" s="41" t="str"/>
      <c r="O1619" s="41" t="str"/>
      <c r="P1619" s="41" t="str"/>
      <c r="Q1619" s="41" t="str"/>
      <c r="R1619" s="41" t="str"/>
      <c r="S1619" s="41" t="str"/>
      <c r="T1619" s="41" t="str"/>
      <c r="U1619" s="41" t="str"/>
      <c r="V1619" s="41" t="str"/>
      <c r="W1619" s="41" t="str"/>
    </row>
    <row r="1620">
      <c r="B1620" s="2" t="n"/>
      <c r="C1620" s="40" t="n"/>
      <c r="D1620" s="52">
        <f t="array" ref="D1620:W1620">IF(All_Students_Scores!C1618:V1618="","",All_Students_Scores!C1618:V1618)</f>
        <v/>
      </c>
      <c r="E1620" s="57" t="str"/>
      <c r="F1620" s="49" t="str"/>
      <c r="G1620" s="59" t="str"/>
      <c r="H1620" s="64" t="str"/>
      <c r="I1620" s="65" t="str"/>
      <c r="J1620" s="49" t="str"/>
      <c r="K1620" s="41" t="str"/>
      <c r="L1620" s="41" t="str"/>
      <c r="M1620" s="41" t="str"/>
      <c r="N1620" s="41" t="str"/>
      <c r="O1620" s="41" t="str"/>
      <c r="P1620" s="41" t="str"/>
      <c r="Q1620" s="41" t="str"/>
      <c r="R1620" s="41" t="str"/>
      <c r="S1620" s="41" t="str"/>
      <c r="T1620" s="41" t="str"/>
      <c r="U1620" s="41" t="str"/>
      <c r="V1620" s="41" t="str"/>
      <c r="W1620" s="41" t="str"/>
    </row>
    <row r="1621">
      <c r="B1621" s="2" t="n"/>
      <c r="C1621" s="40" t="n"/>
      <c r="D1621" s="52">
        <f t="array" ref="D1621:W1621">IF(All_Students_Scores!C1619:V1619="","",All_Students_Scores!C1619:V1619)</f>
        <v/>
      </c>
      <c r="E1621" s="57" t="str"/>
      <c r="F1621" s="49" t="str"/>
      <c r="G1621" s="59" t="str"/>
      <c r="H1621" s="64" t="str"/>
      <c r="I1621" s="65" t="str"/>
      <c r="J1621" s="49" t="str"/>
      <c r="K1621" s="41" t="str"/>
      <c r="L1621" s="41" t="str"/>
      <c r="M1621" s="41" t="str"/>
      <c r="N1621" s="41" t="str"/>
      <c r="O1621" s="41" t="str"/>
      <c r="P1621" s="41" t="str"/>
      <c r="Q1621" s="41" t="str"/>
      <c r="R1621" s="41" t="str"/>
      <c r="S1621" s="41" t="str"/>
      <c r="T1621" s="41" t="str"/>
      <c r="U1621" s="41" t="str"/>
      <c r="V1621" s="41" t="str"/>
      <c r="W1621" s="41" t="str"/>
    </row>
    <row r="1622">
      <c r="B1622" s="2" t="n"/>
      <c r="C1622" s="40" t="n"/>
      <c r="D1622" s="52">
        <f t="array" ref="D1622:W1622">IF(All_Students_Scores!C1620:V1620="","",All_Students_Scores!C1620:V1620)</f>
        <v/>
      </c>
      <c r="E1622" s="57" t="str"/>
      <c r="F1622" s="49" t="str"/>
      <c r="G1622" s="59" t="str"/>
      <c r="H1622" s="64" t="str"/>
      <c r="I1622" s="65" t="str"/>
      <c r="J1622" s="49" t="str"/>
      <c r="K1622" s="41" t="str"/>
      <c r="L1622" s="41" t="str"/>
      <c r="M1622" s="41" t="str"/>
      <c r="N1622" s="41" t="str"/>
      <c r="O1622" s="41" t="str"/>
      <c r="P1622" s="41" t="str"/>
      <c r="Q1622" s="41" t="str"/>
      <c r="R1622" s="41" t="str"/>
      <c r="S1622" s="41" t="str"/>
      <c r="T1622" s="41" t="str"/>
      <c r="U1622" s="41" t="str"/>
      <c r="V1622" s="41" t="str"/>
      <c r="W1622" s="41" t="str"/>
    </row>
    <row r="1623">
      <c r="B1623" s="2" t="n"/>
      <c r="C1623" s="40" t="n"/>
      <c r="D1623" s="52">
        <f t="array" ref="D1623:W1623">IF(All_Students_Scores!C1621:V1621="","",All_Students_Scores!C1621:V1621)</f>
        <v/>
      </c>
      <c r="E1623" s="57" t="str"/>
      <c r="F1623" s="49" t="str"/>
      <c r="G1623" s="59" t="str"/>
      <c r="H1623" s="64" t="str"/>
      <c r="I1623" s="65" t="str"/>
      <c r="J1623" s="49" t="str"/>
      <c r="K1623" s="41" t="str"/>
      <c r="L1623" s="41" t="str"/>
      <c r="M1623" s="41" t="str"/>
      <c r="N1623" s="41" t="str"/>
      <c r="O1623" s="41" t="str"/>
      <c r="P1623" s="41" t="str"/>
      <c r="Q1623" s="41" t="str"/>
      <c r="R1623" s="41" t="str"/>
      <c r="S1623" s="41" t="str"/>
      <c r="T1623" s="41" t="str"/>
      <c r="U1623" s="41" t="str"/>
      <c r="V1623" s="41" t="str"/>
      <c r="W1623" s="41" t="str"/>
    </row>
    <row r="1624">
      <c r="B1624" s="2" t="n"/>
      <c r="C1624" s="40" t="n"/>
      <c r="D1624" s="52">
        <f t="array" ref="D1624:W1624">IF(All_Students_Scores!C1622:V1622="","",All_Students_Scores!C1622:V1622)</f>
        <v/>
      </c>
      <c r="E1624" s="57" t="str"/>
      <c r="F1624" s="49" t="str"/>
      <c r="G1624" s="59" t="str"/>
      <c r="H1624" s="64" t="str"/>
      <c r="I1624" s="65" t="str"/>
      <c r="J1624" s="49" t="str"/>
      <c r="K1624" s="41" t="str"/>
      <c r="L1624" s="41" t="str"/>
      <c r="M1624" s="41" t="str"/>
      <c r="N1624" s="41" t="str"/>
      <c r="O1624" s="41" t="str"/>
      <c r="P1624" s="41" t="str"/>
      <c r="Q1624" s="41" t="str"/>
      <c r="R1624" s="41" t="str"/>
      <c r="S1624" s="41" t="str"/>
      <c r="T1624" s="41" t="str"/>
      <c r="U1624" s="41" t="str"/>
      <c r="V1624" s="41" t="str"/>
      <c r="W1624" s="41" t="str"/>
    </row>
    <row r="1625">
      <c r="B1625" s="2" t="n"/>
      <c r="C1625" s="40" t="n"/>
      <c r="D1625" s="52">
        <f t="array" ref="D1625:W1625">IF(All_Students_Scores!C1623:V1623="","",All_Students_Scores!C1623:V1623)</f>
        <v/>
      </c>
      <c r="E1625" s="57" t="str"/>
      <c r="F1625" s="49" t="str"/>
      <c r="G1625" s="59" t="str"/>
      <c r="H1625" s="64" t="str"/>
      <c r="I1625" s="65" t="str"/>
      <c r="J1625" s="49" t="str"/>
      <c r="K1625" s="41" t="str"/>
      <c r="L1625" s="41" t="str"/>
      <c r="M1625" s="41" t="str"/>
      <c r="N1625" s="41" t="str"/>
      <c r="O1625" s="41" t="str"/>
      <c r="P1625" s="41" t="str"/>
      <c r="Q1625" s="41" t="str"/>
      <c r="R1625" s="41" t="str"/>
      <c r="S1625" s="41" t="str"/>
      <c r="T1625" s="41" t="str"/>
      <c r="U1625" s="41" t="str"/>
      <c r="V1625" s="41" t="str"/>
      <c r="W1625" s="41" t="str"/>
    </row>
    <row r="1626">
      <c r="B1626" s="2" t="n"/>
      <c r="C1626" s="40" t="n"/>
      <c r="D1626" s="52">
        <f t="array" ref="D1626:W1626">IF(All_Students_Scores!C1624:V1624="","",All_Students_Scores!C1624:V1624)</f>
        <v/>
      </c>
      <c r="E1626" s="57" t="str"/>
      <c r="F1626" s="49" t="str"/>
      <c r="G1626" s="59" t="str"/>
      <c r="H1626" s="64" t="str"/>
      <c r="I1626" s="65" t="str"/>
      <c r="J1626" s="49" t="str"/>
      <c r="K1626" s="41" t="str"/>
      <c r="L1626" s="41" t="str"/>
      <c r="M1626" s="41" t="str"/>
      <c r="N1626" s="41" t="str"/>
      <c r="O1626" s="41" t="str"/>
      <c r="P1626" s="41" t="str"/>
      <c r="Q1626" s="41" t="str"/>
      <c r="R1626" s="41" t="str"/>
      <c r="S1626" s="41" t="str"/>
      <c r="T1626" s="41" t="str"/>
      <c r="U1626" s="41" t="str"/>
      <c r="V1626" s="41" t="str"/>
      <c r="W1626" s="41" t="str"/>
    </row>
    <row r="1627">
      <c r="B1627" s="2" t="n"/>
      <c r="C1627" s="40" t="n"/>
      <c r="D1627" s="52">
        <f t="array" ref="D1627:W1627">IF(All_Students_Scores!C1625:V1625="","",All_Students_Scores!C1625:V1625)</f>
        <v/>
      </c>
      <c r="E1627" s="57" t="str"/>
      <c r="F1627" s="49" t="str"/>
      <c r="G1627" s="59" t="str"/>
      <c r="H1627" s="64" t="str"/>
      <c r="I1627" s="65" t="str"/>
      <c r="J1627" s="49" t="str"/>
      <c r="K1627" s="41" t="str"/>
      <c r="L1627" s="41" t="str"/>
      <c r="M1627" s="41" t="str"/>
      <c r="N1627" s="41" t="str"/>
      <c r="O1627" s="41" t="str"/>
      <c r="P1627" s="41" t="str"/>
      <c r="Q1627" s="41" t="str"/>
      <c r="R1627" s="41" t="str"/>
      <c r="S1627" s="41" t="str"/>
      <c r="T1627" s="41" t="str"/>
      <c r="U1627" s="41" t="str"/>
      <c r="V1627" s="41" t="str"/>
      <c r="W1627" s="41" t="str"/>
    </row>
    <row r="1628">
      <c r="B1628" s="2" t="n"/>
      <c r="C1628" s="40" t="n"/>
      <c r="D1628" s="52">
        <f t="array" ref="D1628:W1628">IF(All_Students_Scores!C1626:V1626="","",All_Students_Scores!C1626:V1626)</f>
        <v/>
      </c>
      <c r="E1628" s="57" t="str"/>
      <c r="F1628" s="49" t="str"/>
      <c r="G1628" s="59" t="str"/>
      <c r="H1628" s="64" t="str"/>
      <c r="I1628" s="65" t="str"/>
      <c r="J1628" s="49" t="str"/>
      <c r="K1628" s="41" t="str"/>
      <c r="L1628" s="41" t="str"/>
      <c r="M1628" s="41" t="str"/>
      <c r="N1628" s="41" t="str"/>
      <c r="O1628" s="41" t="str"/>
      <c r="P1628" s="41" t="str"/>
      <c r="Q1628" s="41" t="str"/>
      <c r="R1628" s="41" t="str"/>
      <c r="S1628" s="41" t="str"/>
      <c r="T1628" s="41" t="str"/>
      <c r="U1628" s="41" t="str"/>
      <c r="V1628" s="41" t="str"/>
      <c r="W1628" s="41" t="str"/>
    </row>
    <row r="1629">
      <c r="B1629" s="2" t="n"/>
      <c r="C1629" s="40" t="n"/>
      <c r="D1629" s="52">
        <f t="array" ref="D1629:W1629">IF(All_Students_Scores!C1627:V1627="","",All_Students_Scores!C1627:V1627)</f>
        <v/>
      </c>
      <c r="E1629" s="57" t="str"/>
      <c r="F1629" s="49" t="str"/>
      <c r="G1629" s="59" t="str"/>
      <c r="H1629" s="64" t="str"/>
      <c r="I1629" s="65" t="str"/>
      <c r="J1629" s="49" t="str"/>
      <c r="K1629" s="41" t="str"/>
      <c r="L1629" s="41" t="str"/>
      <c r="M1629" s="41" t="str"/>
      <c r="N1629" s="41" t="str"/>
      <c r="O1629" s="41" t="str"/>
      <c r="P1629" s="41" t="str"/>
      <c r="Q1629" s="41" t="str"/>
      <c r="R1629" s="41" t="str"/>
      <c r="S1629" s="41" t="str"/>
      <c r="T1629" s="41" t="str"/>
      <c r="U1629" s="41" t="str"/>
      <c r="V1629" s="41" t="str"/>
      <c r="W1629" s="41" t="str"/>
    </row>
    <row r="1630">
      <c r="B1630" s="2" t="n"/>
      <c r="C1630" s="40" t="n"/>
      <c r="D1630" s="52">
        <f t="array" ref="D1630:W1630">IF(All_Students_Scores!C1628:V1628="","",All_Students_Scores!C1628:V1628)</f>
        <v/>
      </c>
      <c r="E1630" s="57" t="str"/>
      <c r="F1630" s="49" t="str"/>
      <c r="G1630" s="59" t="str"/>
      <c r="H1630" s="64" t="str"/>
      <c r="I1630" s="65" t="str"/>
      <c r="J1630" s="49" t="str"/>
      <c r="K1630" s="41" t="str"/>
      <c r="L1630" s="41" t="str"/>
      <c r="M1630" s="41" t="str"/>
      <c r="N1630" s="41" t="str"/>
      <c r="O1630" s="41" t="str"/>
      <c r="P1630" s="41" t="str"/>
      <c r="Q1630" s="41" t="str"/>
      <c r="R1630" s="41" t="str"/>
      <c r="S1630" s="41" t="str"/>
      <c r="T1630" s="41" t="str"/>
      <c r="U1630" s="41" t="str"/>
      <c r="V1630" s="41" t="str"/>
      <c r="W1630" s="41" t="str"/>
    </row>
    <row r="1631">
      <c r="B1631" s="2" t="n"/>
      <c r="C1631" s="40" t="n"/>
      <c r="D1631" s="52">
        <f t="array" ref="D1631:W1631">IF(All_Students_Scores!C1629:V1629="","",All_Students_Scores!C1629:V1629)</f>
        <v/>
      </c>
      <c r="E1631" s="57" t="str"/>
      <c r="F1631" s="49" t="str"/>
      <c r="G1631" s="59" t="str"/>
      <c r="H1631" s="64" t="str"/>
      <c r="I1631" s="65" t="str"/>
      <c r="J1631" s="49" t="str"/>
      <c r="K1631" s="41" t="str"/>
      <c r="L1631" s="41" t="str"/>
      <c r="M1631" s="41" t="str"/>
      <c r="N1631" s="41" t="str"/>
      <c r="O1631" s="41" t="str"/>
      <c r="P1631" s="41" t="str"/>
      <c r="Q1631" s="41" t="str"/>
      <c r="R1631" s="41" t="str"/>
      <c r="S1631" s="41" t="str"/>
      <c r="T1631" s="41" t="str"/>
      <c r="U1631" s="41" t="str"/>
      <c r="V1631" s="41" t="str"/>
      <c r="W1631" s="41" t="str"/>
    </row>
    <row r="1632">
      <c r="B1632" s="2" t="n"/>
      <c r="C1632" s="40" t="n"/>
      <c r="D1632" s="52">
        <f t="array" ref="D1632:W1632">IF(All_Students_Scores!C1630:V1630="","",All_Students_Scores!C1630:V1630)</f>
        <v/>
      </c>
      <c r="E1632" s="57" t="str"/>
      <c r="F1632" s="49" t="str"/>
      <c r="G1632" s="59" t="str"/>
      <c r="H1632" s="64" t="str"/>
      <c r="I1632" s="65" t="str"/>
      <c r="J1632" s="49" t="str"/>
      <c r="K1632" s="41" t="str"/>
      <c r="L1632" s="41" t="str"/>
      <c r="M1632" s="41" t="str"/>
      <c r="N1632" s="41" t="str"/>
      <c r="O1632" s="41" t="str"/>
      <c r="P1632" s="41" t="str"/>
      <c r="Q1632" s="41" t="str"/>
      <c r="R1632" s="41" t="str"/>
      <c r="S1632" s="41" t="str"/>
      <c r="T1632" s="41" t="str"/>
      <c r="U1632" s="41" t="str"/>
      <c r="V1632" s="41" t="str"/>
      <c r="W1632" s="41" t="str"/>
    </row>
    <row r="1633">
      <c r="B1633" s="2" t="n"/>
      <c r="C1633" s="40" t="n"/>
      <c r="D1633" s="52">
        <f t="array" ref="D1633:W1633">IF(All_Students_Scores!C1631:V1631="","",All_Students_Scores!C1631:V1631)</f>
        <v/>
      </c>
      <c r="E1633" s="57" t="str"/>
      <c r="F1633" s="49" t="str"/>
      <c r="G1633" s="59" t="str"/>
      <c r="H1633" s="64" t="str"/>
      <c r="I1633" s="65" t="str"/>
      <c r="J1633" s="49" t="str"/>
      <c r="K1633" s="41" t="str"/>
      <c r="L1633" s="41" t="str"/>
      <c r="M1633" s="41" t="str"/>
      <c r="N1633" s="41" t="str"/>
      <c r="O1633" s="41" t="str"/>
      <c r="P1633" s="41" t="str"/>
      <c r="Q1633" s="41" t="str"/>
      <c r="R1633" s="41" t="str"/>
      <c r="S1633" s="41" t="str"/>
      <c r="T1633" s="41" t="str"/>
      <c r="U1633" s="41" t="str"/>
      <c r="V1633" s="41" t="str"/>
      <c r="W1633" s="41" t="str"/>
    </row>
    <row r="1634">
      <c r="B1634" s="2" t="n"/>
      <c r="C1634" s="40" t="n"/>
      <c r="D1634" s="52">
        <f t="array" ref="D1634:W1634">IF(All_Students_Scores!C1632:V1632="","",All_Students_Scores!C1632:V1632)</f>
        <v/>
      </c>
      <c r="E1634" s="57" t="str"/>
      <c r="F1634" s="49" t="str"/>
      <c r="G1634" s="59" t="str"/>
      <c r="H1634" s="64" t="str"/>
      <c r="I1634" s="65" t="str"/>
      <c r="J1634" s="49" t="str"/>
      <c r="K1634" s="41" t="str"/>
      <c r="L1634" s="41" t="str"/>
      <c r="M1634" s="41" t="str"/>
      <c r="N1634" s="41" t="str"/>
      <c r="O1634" s="41" t="str"/>
      <c r="P1634" s="41" t="str"/>
      <c r="Q1634" s="41" t="str"/>
      <c r="R1634" s="41" t="str"/>
      <c r="S1634" s="41" t="str"/>
      <c r="T1634" s="41" t="str"/>
      <c r="U1634" s="41" t="str"/>
      <c r="V1634" s="41" t="str"/>
      <c r="W1634" s="41" t="str"/>
    </row>
    <row r="1635">
      <c r="B1635" s="2" t="n"/>
      <c r="C1635" s="40" t="n"/>
      <c r="D1635" s="52">
        <f t="array" ref="D1635:W1635">IF(All_Students_Scores!C1633:V1633="","",All_Students_Scores!C1633:V1633)</f>
        <v/>
      </c>
      <c r="E1635" s="57" t="str"/>
      <c r="F1635" s="49" t="str"/>
      <c r="G1635" s="59" t="str"/>
      <c r="H1635" s="64" t="str"/>
      <c r="I1635" s="65" t="str"/>
      <c r="J1635" s="49" t="str"/>
      <c r="K1635" s="41" t="str"/>
      <c r="L1635" s="41" t="str"/>
      <c r="M1635" s="41" t="str"/>
      <c r="N1635" s="41" t="str"/>
      <c r="O1635" s="41" t="str"/>
      <c r="P1635" s="41" t="str"/>
      <c r="Q1635" s="41" t="str"/>
      <c r="R1635" s="41" t="str"/>
      <c r="S1635" s="41" t="str"/>
      <c r="T1635" s="41" t="str"/>
      <c r="U1635" s="41" t="str"/>
      <c r="V1635" s="41" t="str"/>
      <c r="W1635" s="41" t="str"/>
    </row>
    <row r="1636">
      <c r="B1636" s="2" t="n"/>
      <c r="C1636" s="40" t="n"/>
      <c r="D1636" s="52">
        <f t="array" ref="D1636:W1636">IF(All_Students_Scores!C1634:V1634="","",All_Students_Scores!C1634:V1634)</f>
        <v/>
      </c>
      <c r="E1636" s="57" t="str"/>
      <c r="F1636" s="49" t="str"/>
      <c r="G1636" s="59" t="str"/>
      <c r="H1636" s="64" t="str"/>
      <c r="I1636" s="65" t="str"/>
      <c r="J1636" s="49" t="str"/>
      <c r="K1636" s="41" t="str"/>
      <c r="L1636" s="41" t="str"/>
      <c r="M1636" s="41" t="str"/>
      <c r="N1636" s="41" t="str"/>
      <c r="O1636" s="41" t="str"/>
      <c r="P1636" s="41" t="str"/>
      <c r="Q1636" s="41" t="str"/>
      <c r="R1636" s="41" t="str"/>
      <c r="S1636" s="41" t="str"/>
      <c r="T1636" s="41" t="str"/>
      <c r="U1636" s="41" t="str"/>
      <c r="V1636" s="41" t="str"/>
      <c r="W1636" s="41" t="str"/>
    </row>
    <row r="1637">
      <c r="B1637" s="2" t="n"/>
      <c r="C1637" s="40" t="n"/>
      <c r="D1637" s="52">
        <f t="array" ref="D1637:W1637">IF(All_Students_Scores!C1635:V1635="","",All_Students_Scores!C1635:V1635)</f>
        <v/>
      </c>
      <c r="E1637" s="57" t="str"/>
      <c r="F1637" s="49" t="str"/>
      <c r="G1637" s="59" t="str"/>
      <c r="H1637" s="64" t="str"/>
      <c r="I1637" s="65" t="str"/>
      <c r="J1637" s="49" t="str"/>
      <c r="K1637" s="41" t="str"/>
      <c r="L1637" s="41" t="str"/>
      <c r="M1637" s="41" t="str"/>
      <c r="N1637" s="41" t="str"/>
      <c r="O1637" s="41" t="str"/>
      <c r="P1637" s="41" t="str"/>
      <c r="Q1637" s="41" t="str"/>
      <c r="R1637" s="41" t="str"/>
      <c r="S1637" s="41" t="str"/>
      <c r="T1637" s="41" t="str"/>
      <c r="U1637" s="41" t="str"/>
      <c r="V1637" s="41" t="str"/>
      <c r="W1637" s="41" t="str"/>
    </row>
    <row r="1638">
      <c r="B1638" s="2" t="n"/>
      <c r="C1638" s="40" t="n"/>
      <c r="D1638" s="52">
        <f t="array" ref="D1638:W1638">IF(All_Students_Scores!C1636:V1636="","",All_Students_Scores!C1636:V1636)</f>
        <v/>
      </c>
      <c r="E1638" s="57" t="str"/>
      <c r="F1638" s="49" t="str"/>
      <c r="G1638" s="59" t="str"/>
      <c r="H1638" s="64" t="str"/>
      <c r="I1638" s="65" t="str"/>
      <c r="J1638" s="49" t="str"/>
      <c r="K1638" s="41" t="str"/>
      <c r="L1638" s="41" t="str"/>
      <c r="M1638" s="41" t="str"/>
      <c r="N1638" s="41" t="str"/>
      <c r="O1638" s="41" t="str"/>
      <c r="P1638" s="41" t="str"/>
      <c r="Q1638" s="41" t="str"/>
      <c r="R1638" s="41" t="str"/>
      <c r="S1638" s="41" t="str"/>
      <c r="T1638" s="41" t="str"/>
      <c r="U1638" s="41" t="str"/>
      <c r="V1638" s="41" t="str"/>
      <c r="W1638" s="41" t="str"/>
    </row>
    <row r="1639">
      <c r="B1639" s="2" t="n"/>
      <c r="C1639" s="40" t="n"/>
      <c r="D1639" s="52">
        <f t="array" ref="D1639:W1639">IF(All_Students_Scores!C1637:V1637="","",All_Students_Scores!C1637:V1637)</f>
        <v/>
      </c>
      <c r="E1639" s="57" t="str"/>
      <c r="F1639" s="49" t="str"/>
      <c r="G1639" s="59" t="str"/>
      <c r="H1639" s="64" t="str"/>
      <c r="I1639" s="65" t="str"/>
      <c r="J1639" s="49" t="str"/>
      <c r="K1639" s="41" t="str"/>
      <c r="L1639" s="41" t="str"/>
      <c r="M1639" s="41" t="str"/>
      <c r="N1639" s="41" t="str"/>
      <c r="O1639" s="41" t="str"/>
      <c r="P1639" s="41" t="str"/>
      <c r="Q1639" s="41" t="str"/>
      <c r="R1639" s="41" t="str"/>
      <c r="S1639" s="41" t="str"/>
      <c r="T1639" s="41" t="str"/>
      <c r="U1639" s="41" t="str"/>
      <c r="V1639" s="41" t="str"/>
      <c r="W1639" s="41" t="str"/>
    </row>
    <row r="1640">
      <c r="B1640" s="2" t="n"/>
      <c r="C1640" s="40" t="n"/>
      <c r="D1640" s="52">
        <f t="array" ref="D1640:W1640">IF(All_Students_Scores!C1638:V1638="","",All_Students_Scores!C1638:V1638)</f>
        <v/>
      </c>
      <c r="E1640" s="57" t="str"/>
      <c r="F1640" s="49" t="str"/>
      <c r="G1640" s="59" t="str"/>
      <c r="H1640" s="64" t="str"/>
      <c r="I1640" s="65" t="str"/>
      <c r="J1640" s="49" t="str"/>
      <c r="K1640" s="41" t="str"/>
      <c r="L1640" s="41" t="str"/>
      <c r="M1640" s="41" t="str"/>
      <c r="N1640" s="41" t="str"/>
      <c r="O1640" s="41" t="str"/>
      <c r="P1640" s="41" t="str"/>
      <c r="Q1640" s="41" t="str"/>
      <c r="R1640" s="41" t="str"/>
      <c r="S1640" s="41" t="str"/>
      <c r="T1640" s="41" t="str"/>
      <c r="U1640" s="41" t="str"/>
      <c r="V1640" s="41" t="str"/>
      <c r="W1640" s="41" t="str"/>
    </row>
    <row r="1641">
      <c r="B1641" s="2" t="n"/>
      <c r="C1641" s="40" t="n"/>
      <c r="D1641" s="52">
        <f t="array" ref="D1641:W1641">IF(All_Students_Scores!C1639:V1639="","",All_Students_Scores!C1639:V1639)</f>
        <v/>
      </c>
      <c r="E1641" s="57" t="str"/>
      <c r="F1641" s="49" t="str"/>
      <c r="G1641" s="59" t="str"/>
      <c r="H1641" s="64" t="str"/>
      <c r="I1641" s="65" t="str"/>
      <c r="J1641" s="49" t="str"/>
      <c r="K1641" s="41" t="str"/>
      <c r="L1641" s="41" t="str"/>
      <c r="M1641" s="41" t="str"/>
      <c r="N1641" s="41" t="str"/>
      <c r="O1641" s="41" t="str"/>
      <c r="P1641" s="41" t="str"/>
      <c r="Q1641" s="41" t="str"/>
      <c r="R1641" s="41" t="str"/>
      <c r="S1641" s="41" t="str"/>
      <c r="T1641" s="41" t="str"/>
      <c r="U1641" s="41" t="str"/>
      <c r="V1641" s="41" t="str"/>
      <c r="W1641" s="41" t="str"/>
    </row>
    <row r="1642">
      <c r="B1642" s="2" t="n"/>
      <c r="C1642" s="40" t="n"/>
      <c r="D1642" s="52">
        <f t="array" ref="D1642:W1642">IF(All_Students_Scores!C1640:V1640="","",All_Students_Scores!C1640:V1640)</f>
        <v/>
      </c>
      <c r="E1642" s="57" t="str"/>
      <c r="F1642" s="49" t="str"/>
      <c r="G1642" s="59" t="str"/>
      <c r="H1642" s="64" t="str"/>
      <c r="I1642" s="65" t="str"/>
      <c r="J1642" s="49" t="str"/>
      <c r="K1642" s="41" t="str"/>
      <c r="L1642" s="41" t="str"/>
      <c r="M1642" s="41" t="str"/>
      <c r="N1642" s="41" t="str"/>
      <c r="O1642" s="41" t="str"/>
      <c r="P1642" s="41" t="str"/>
      <c r="Q1642" s="41" t="str"/>
      <c r="R1642" s="41" t="str"/>
      <c r="S1642" s="41" t="str"/>
      <c r="T1642" s="41" t="str"/>
      <c r="U1642" s="41" t="str"/>
      <c r="V1642" s="41" t="str"/>
      <c r="W1642" s="41" t="str"/>
    </row>
    <row r="1643">
      <c r="B1643" s="2" t="n"/>
      <c r="C1643" s="40" t="n"/>
      <c r="D1643" s="52">
        <f t="array" ref="D1643:W1643">IF(All_Students_Scores!C1641:V1641="","",All_Students_Scores!C1641:V1641)</f>
        <v/>
      </c>
      <c r="E1643" s="57" t="str"/>
      <c r="F1643" s="49" t="str"/>
      <c r="G1643" s="59" t="str"/>
      <c r="H1643" s="64" t="str"/>
      <c r="I1643" s="65" t="str"/>
      <c r="J1643" s="49" t="str"/>
      <c r="K1643" s="41" t="str"/>
      <c r="L1643" s="41" t="str"/>
      <c r="M1643" s="41" t="str"/>
      <c r="N1643" s="41" t="str"/>
      <c r="O1643" s="41" t="str"/>
      <c r="P1643" s="41" t="str"/>
      <c r="Q1643" s="41" t="str"/>
      <c r="R1643" s="41" t="str"/>
      <c r="S1643" s="41" t="str"/>
      <c r="T1643" s="41" t="str"/>
      <c r="U1643" s="41" t="str"/>
      <c r="V1643" s="41" t="str"/>
      <c r="W1643" s="41" t="str"/>
    </row>
    <row r="1644">
      <c r="B1644" s="2" t="n"/>
      <c r="C1644" s="40" t="n"/>
      <c r="D1644" s="52">
        <f t="array" ref="D1644:W1644">IF(All_Students_Scores!C1642:V1642="","",All_Students_Scores!C1642:V1642)</f>
        <v/>
      </c>
      <c r="E1644" s="57" t="str"/>
      <c r="F1644" s="49" t="str"/>
      <c r="G1644" s="59" t="str"/>
      <c r="H1644" s="64" t="str"/>
      <c r="I1644" s="65" t="str"/>
      <c r="J1644" s="49" t="str"/>
      <c r="K1644" s="41" t="str"/>
      <c r="L1644" s="41" t="str"/>
      <c r="M1644" s="41" t="str"/>
      <c r="N1644" s="41" t="str"/>
      <c r="O1644" s="41" t="str"/>
      <c r="P1644" s="41" t="str"/>
      <c r="Q1644" s="41" t="str"/>
      <c r="R1644" s="41" t="str"/>
      <c r="S1644" s="41" t="str"/>
      <c r="T1644" s="41" t="str"/>
      <c r="U1644" s="41" t="str"/>
      <c r="V1644" s="41" t="str"/>
      <c r="W1644" s="41" t="str"/>
    </row>
    <row r="1645">
      <c r="B1645" s="2" t="n"/>
      <c r="C1645" s="40" t="n"/>
      <c r="D1645" s="52">
        <f t="array" ref="D1645:W1645">IF(All_Students_Scores!C1643:V1643="","",All_Students_Scores!C1643:V1643)</f>
        <v/>
      </c>
      <c r="E1645" s="57" t="str"/>
      <c r="F1645" s="49" t="str"/>
      <c r="G1645" s="59" t="str"/>
      <c r="H1645" s="64" t="str"/>
      <c r="I1645" s="65" t="str"/>
      <c r="J1645" s="49" t="str"/>
      <c r="K1645" s="41" t="str"/>
      <c r="L1645" s="41" t="str"/>
      <c r="M1645" s="41" t="str"/>
      <c r="N1645" s="41" t="str"/>
      <c r="O1645" s="41" t="str"/>
      <c r="P1645" s="41" t="str"/>
      <c r="Q1645" s="41" t="str"/>
      <c r="R1645" s="41" t="str"/>
      <c r="S1645" s="41" t="str"/>
      <c r="T1645" s="41" t="str"/>
      <c r="U1645" s="41" t="str"/>
      <c r="V1645" s="41" t="str"/>
      <c r="W1645" s="41" t="str"/>
    </row>
    <row r="1646">
      <c r="B1646" s="2" t="n"/>
      <c r="C1646" s="40" t="n"/>
      <c r="D1646" s="52">
        <f t="array" ref="D1646:W1646">IF(All_Students_Scores!C1644:V1644="","",All_Students_Scores!C1644:V1644)</f>
        <v/>
      </c>
      <c r="E1646" s="57" t="str"/>
      <c r="F1646" s="49" t="str"/>
      <c r="G1646" s="59" t="str"/>
      <c r="H1646" s="64" t="str"/>
      <c r="I1646" s="65" t="str"/>
      <c r="J1646" s="49" t="str"/>
      <c r="K1646" s="41" t="str"/>
      <c r="L1646" s="41" t="str"/>
      <c r="M1646" s="41" t="str"/>
      <c r="N1646" s="41" t="str"/>
      <c r="O1646" s="41" t="str"/>
      <c r="P1646" s="41" t="str"/>
      <c r="Q1646" s="41" t="str"/>
      <c r="R1646" s="41" t="str"/>
      <c r="S1646" s="41" t="str"/>
      <c r="T1646" s="41" t="str"/>
      <c r="U1646" s="41" t="str"/>
      <c r="V1646" s="41" t="str"/>
      <c r="W1646" s="41" t="str"/>
    </row>
    <row r="1647">
      <c r="B1647" s="2" t="n"/>
      <c r="C1647" s="40" t="n"/>
      <c r="D1647" s="52">
        <f t="array" ref="D1647:W1647">IF(All_Students_Scores!C1645:V1645="","",All_Students_Scores!C1645:V1645)</f>
        <v/>
      </c>
      <c r="E1647" s="57" t="str"/>
      <c r="F1647" s="49" t="str"/>
      <c r="G1647" s="59" t="str"/>
      <c r="H1647" s="64" t="str"/>
      <c r="I1647" s="65" t="str"/>
      <c r="J1647" s="49" t="str"/>
      <c r="K1647" s="41" t="str"/>
      <c r="L1647" s="41" t="str"/>
      <c r="M1647" s="41" t="str"/>
      <c r="N1647" s="41" t="str"/>
      <c r="O1647" s="41" t="str"/>
      <c r="P1647" s="41" t="str"/>
      <c r="Q1647" s="41" t="str"/>
      <c r="R1647" s="41" t="str"/>
      <c r="S1647" s="41" t="str"/>
      <c r="T1647" s="41" t="str"/>
      <c r="U1647" s="41" t="str"/>
      <c r="V1647" s="41" t="str"/>
      <c r="W1647" s="41" t="str"/>
    </row>
    <row r="1648">
      <c r="B1648" s="2" t="n"/>
      <c r="C1648" s="40" t="n"/>
      <c r="D1648" s="52">
        <f t="array" ref="D1648:W1648">IF(All_Students_Scores!C1646:V1646="","",All_Students_Scores!C1646:V1646)</f>
        <v/>
      </c>
      <c r="E1648" s="57" t="str"/>
      <c r="F1648" s="49" t="str"/>
      <c r="G1648" s="59" t="str"/>
      <c r="H1648" s="64" t="str"/>
      <c r="I1648" s="65" t="str"/>
      <c r="J1648" s="49" t="str"/>
      <c r="K1648" s="41" t="str"/>
      <c r="L1648" s="41" t="str"/>
      <c r="M1648" s="41" t="str"/>
      <c r="N1648" s="41" t="str"/>
      <c r="O1648" s="41" t="str"/>
      <c r="P1648" s="41" t="str"/>
      <c r="Q1648" s="41" t="str"/>
      <c r="R1648" s="41" t="str"/>
      <c r="S1648" s="41" t="str"/>
      <c r="T1648" s="41" t="str"/>
      <c r="U1648" s="41" t="str"/>
      <c r="V1648" s="41" t="str"/>
      <c r="W1648" s="41" t="str"/>
    </row>
    <row r="1649">
      <c r="B1649" s="2" t="n"/>
      <c r="C1649" s="40" t="n"/>
      <c r="D1649" s="52">
        <f t="array" ref="D1649:W1649">IF(All_Students_Scores!C1647:V1647="","",All_Students_Scores!C1647:V1647)</f>
        <v/>
      </c>
      <c r="E1649" s="57" t="str"/>
      <c r="F1649" s="49" t="str"/>
      <c r="G1649" s="59" t="str"/>
      <c r="H1649" s="64" t="str"/>
      <c r="I1649" s="65" t="str"/>
      <c r="J1649" s="49" t="str"/>
      <c r="K1649" s="41" t="str"/>
      <c r="L1649" s="41" t="str"/>
      <c r="M1649" s="41" t="str"/>
      <c r="N1649" s="41" t="str"/>
      <c r="O1649" s="41" t="str"/>
      <c r="P1649" s="41" t="str"/>
      <c r="Q1649" s="41" t="str"/>
      <c r="R1649" s="41" t="str"/>
      <c r="S1649" s="41" t="str"/>
      <c r="T1649" s="41" t="str"/>
      <c r="U1649" s="41" t="str"/>
      <c r="V1649" s="41" t="str"/>
      <c r="W1649" s="41" t="str"/>
    </row>
    <row r="1650">
      <c r="B1650" s="2" t="n"/>
      <c r="C1650" s="40" t="n"/>
      <c r="D1650" s="52">
        <f t="array" ref="D1650:W1650">IF(All_Students_Scores!C1648:V1648="","",All_Students_Scores!C1648:V1648)</f>
        <v/>
      </c>
      <c r="E1650" s="57" t="str"/>
      <c r="F1650" s="49" t="str"/>
      <c r="G1650" s="59" t="str"/>
      <c r="H1650" s="64" t="str"/>
      <c r="I1650" s="65" t="str"/>
      <c r="J1650" s="49" t="str"/>
      <c r="K1650" s="41" t="str"/>
      <c r="L1650" s="41" t="str"/>
      <c r="M1650" s="41" t="str"/>
      <c r="N1650" s="41" t="str"/>
      <c r="O1650" s="41" t="str"/>
      <c r="P1650" s="41" t="str"/>
      <c r="Q1650" s="41" t="str"/>
      <c r="R1650" s="41" t="str"/>
      <c r="S1650" s="41" t="str"/>
      <c r="T1650" s="41" t="str"/>
      <c r="U1650" s="41" t="str"/>
      <c r="V1650" s="41" t="str"/>
      <c r="W1650" s="41" t="str"/>
    </row>
    <row r="1651">
      <c r="B1651" s="2" t="n"/>
      <c r="C1651" s="40" t="n"/>
      <c r="D1651" s="52">
        <f t="array" ref="D1651:W1651">IF(All_Students_Scores!C1649:V1649="","",All_Students_Scores!C1649:V1649)</f>
        <v/>
      </c>
      <c r="E1651" s="57" t="str"/>
      <c r="F1651" s="49" t="str"/>
      <c r="G1651" s="59" t="str"/>
      <c r="H1651" s="64" t="str"/>
      <c r="I1651" s="65" t="str"/>
      <c r="J1651" s="49" t="str"/>
      <c r="K1651" s="41" t="str"/>
      <c r="L1651" s="41" t="str"/>
      <c r="M1651" s="41" t="str"/>
      <c r="N1651" s="41" t="str"/>
      <c r="O1651" s="41" t="str"/>
      <c r="P1651" s="41" t="str"/>
      <c r="Q1651" s="41" t="str"/>
      <c r="R1651" s="41" t="str"/>
      <c r="S1651" s="41" t="str"/>
      <c r="T1651" s="41" t="str"/>
      <c r="U1651" s="41" t="str"/>
      <c r="V1651" s="41" t="str"/>
      <c r="W1651" s="41" t="str"/>
    </row>
    <row r="1652">
      <c r="B1652" s="2" t="n"/>
      <c r="C1652" s="40" t="n"/>
      <c r="D1652" s="52">
        <f t="array" ref="D1652:W1652">IF(All_Students_Scores!C1650:V1650="","",All_Students_Scores!C1650:V1650)</f>
        <v/>
      </c>
      <c r="E1652" s="57" t="str"/>
      <c r="F1652" s="49" t="str"/>
      <c r="G1652" s="59" t="str"/>
      <c r="H1652" s="64" t="str"/>
      <c r="I1652" s="65" t="str"/>
      <c r="J1652" s="49" t="str"/>
      <c r="K1652" s="41" t="str"/>
      <c r="L1652" s="41" t="str"/>
      <c r="M1652" s="41" t="str"/>
      <c r="N1652" s="41" t="str"/>
      <c r="O1652" s="41" t="str"/>
      <c r="P1652" s="41" t="str"/>
      <c r="Q1652" s="41" t="str"/>
      <c r="R1652" s="41" t="str"/>
      <c r="S1652" s="41" t="str"/>
      <c r="T1652" s="41" t="str"/>
      <c r="U1652" s="41" t="str"/>
      <c r="V1652" s="41" t="str"/>
      <c r="W1652" s="41" t="str"/>
    </row>
    <row r="1653">
      <c r="B1653" s="2" t="n"/>
      <c r="C1653" s="40" t="n"/>
      <c r="D1653" s="52">
        <f t="array" ref="D1653:W1653">IF(All_Students_Scores!C1651:V1651="","",All_Students_Scores!C1651:V1651)</f>
        <v/>
      </c>
      <c r="E1653" s="57" t="str"/>
      <c r="F1653" s="49" t="str"/>
      <c r="G1653" s="59" t="str"/>
      <c r="H1653" s="64" t="str"/>
      <c r="I1653" s="65" t="str"/>
      <c r="J1653" s="49" t="str"/>
      <c r="K1653" s="41" t="str"/>
      <c r="L1653" s="41" t="str"/>
      <c r="M1653" s="41" t="str"/>
      <c r="N1653" s="41" t="str"/>
      <c r="O1653" s="41" t="str"/>
      <c r="P1653" s="41" t="str"/>
      <c r="Q1653" s="41" t="str"/>
      <c r="R1653" s="41" t="str"/>
      <c r="S1653" s="41" t="str"/>
      <c r="T1653" s="41" t="str"/>
      <c r="U1653" s="41" t="str"/>
      <c r="V1653" s="41" t="str"/>
      <c r="W1653" s="41" t="str"/>
    </row>
    <row r="1654">
      <c r="B1654" s="2" t="n"/>
      <c r="C1654" s="40" t="n"/>
      <c r="D1654" s="52">
        <f t="array" ref="D1654:W1654">IF(All_Students_Scores!C1652:V1652="","",All_Students_Scores!C1652:V1652)</f>
        <v/>
      </c>
      <c r="E1654" s="57" t="str"/>
      <c r="F1654" s="49" t="str"/>
      <c r="G1654" s="59" t="str"/>
      <c r="H1654" s="64" t="str"/>
      <c r="I1654" s="65" t="str"/>
      <c r="J1654" s="49" t="str"/>
      <c r="K1654" s="41" t="str"/>
      <c r="L1654" s="41" t="str"/>
      <c r="M1654" s="41" t="str"/>
      <c r="N1654" s="41" t="str"/>
      <c r="O1654" s="41" t="str"/>
      <c r="P1654" s="41" t="str"/>
      <c r="Q1654" s="41" t="str"/>
      <c r="R1654" s="41" t="str"/>
      <c r="S1654" s="41" t="str"/>
      <c r="T1654" s="41" t="str"/>
      <c r="U1654" s="41" t="str"/>
      <c r="V1654" s="41" t="str"/>
      <c r="W1654" s="41" t="str"/>
    </row>
    <row r="1655">
      <c r="B1655" s="2" t="n"/>
      <c r="C1655" s="40" t="n"/>
      <c r="D1655" s="52">
        <f t="array" ref="D1655:W1655">IF(All_Students_Scores!C1653:V1653="","",All_Students_Scores!C1653:V1653)</f>
        <v/>
      </c>
      <c r="E1655" s="57" t="str"/>
      <c r="F1655" s="49" t="str"/>
      <c r="G1655" s="59" t="str"/>
      <c r="H1655" s="64" t="str"/>
      <c r="I1655" s="65" t="str"/>
      <c r="J1655" s="49" t="str"/>
      <c r="K1655" s="41" t="str"/>
      <c r="L1655" s="41" t="str"/>
      <c r="M1655" s="41" t="str"/>
      <c r="N1655" s="41" t="str"/>
      <c r="O1655" s="41" t="str"/>
      <c r="P1655" s="41" t="str"/>
      <c r="Q1655" s="41" t="str"/>
      <c r="R1655" s="41" t="str"/>
      <c r="S1655" s="41" t="str"/>
      <c r="T1655" s="41" t="str"/>
      <c r="U1655" s="41" t="str"/>
      <c r="V1655" s="41" t="str"/>
      <c r="W1655" s="41" t="str"/>
    </row>
    <row r="1656">
      <c r="B1656" s="2" t="n"/>
      <c r="C1656" s="40" t="n"/>
      <c r="D1656" s="52">
        <f t="array" ref="D1656:W1656">IF(All_Students_Scores!C1654:V1654="","",All_Students_Scores!C1654:V1654)</f>
        <v/>
      </c>
      <c r="E1656" s="57" t="str"/>
      <c r="F1656" s="49" t="str"/>
      <c r="G1656" s="59" t="str"/>
      <c r="H1656" s="64" t="str"/>
      <c r="I1656" s="65" t="str"/>
      <c r="J1656" s="49" t="str"/>
      <c r="K1656" s="41" t="str"/>
      <c r="L1656" s="41" t="str"/>
      <c r="M1656" s="41" t="str"/>
      <c r="N1656" s="41" t="str"/>
      <c r="O1656" s="41" t="str"/>
      <c r="P1656" s="41" t="str"/>
      <c r="Q1656" s="41" t="str"/>
      <c r="R1656" s="41" t="str"/>
      <c r="S1656" s="41" t="str"/>
      <c r="T1656" s="41" t="str"/>
      <c r="U1656" s="41" t="str"/>
      <c r="V1656" s="41" t="str"/>
      <c r="W1656" s="41" t="str"/>
    </row>
    <row r="1657">
      <c r="B1657" s="2" t="n"/>
      <c r="C1657" s="40" t="n"/>
      <c r="D1657" s="52">
        <f t="array" ref="D1657:W1657">IF(All_Students_Scores!C1655:V1655="","",All_Students_Scores!C1655:V1655)</f>
        <v/>
      </c>
      <c r="E1657" s="57" t="str"/>
      <c r="F1657" s="49" t="str"/>
      <c r="G1657" s="59" t="str"/>
      <c r="H1657" s="64" t="str"/>
      <c r="I1657" s="65" t="str"/>
      <c r="J1657" s="49" t="str"/>
      <c r="K1657" s="41" t="str"/>
      <c r="L1657" s="41" t="str"/>
      <c r="M1657" s="41" t="str"/>
      <c r="N1657" s="41" t="str"/>
      <c r="O1657" s="41" t="str"/>
      <c r="P1657" s="41" t="str"/>
      <c r="Q1657" s="41" t="str"/>
      <c r="R1657" s="41" t="str"/>
      <c r="S1657" s="41" t="str"/>
      <c r="T1657" s="41" t="str"/>
      <c r="U1657" s="41" t="str"/>
      <c r="V1657" s="41" t="str"/>
      <c r="W1657" s="41" t="str"/>
    </row>
    <row r="1658">
      <c r="B1658" s="2" t="n"/>
      <c r="C1658" s="40" t="n"/>
      <c r="D1658" s="52">
        <f t="array" ref="D1658:W1658">IF(All_Students_Scores!C1656:V1656="","",All_Students_Scores!C1656:V1656)</f>
        <v/>
      </c>
      <c r="E1658" s="57" t="str"/>
      <c r="F1658" s="49" t="str"/>
      <c r="G1658" s="59" t="str"/>
      <c r="H1658" s="64" t="str"/>
      <c r="I1658" s="65" t="str"/>
      <c r="J1658" s="49" t="str"/>
      <c r="K1658" s="41" t="str"/>
      <c r="L1658" s="41" t="str"/>
      <c r="M1658" s="41" t="str"/>
      <c r="N1658" s="41" t="str"/>
      <c r="O1658" s="41" t="str"/>
      <c r="P1658" s="41" t="str"/>
      <c r="Q1658" s="41" t="str"/>
      <c r="R1658" s="41" t="str"/>
      <c r="S1658" s="41" t="str"/>
      <c r="T1658" s="41" t="str"/>
      <c r="U1658" s="41" t="str"/>
      <c r="V1658" s="41" t="str"/>
      <c r="W1658" s="41" t="str"/>
    </row>
    <row r="1659">
      <c r="B1659" s="2" t="n"/>
      <c r="C1659" s="40" t="n"/>
      <c r="D1659" s="52">
        <f t="array" ref="D1659:W1659">IF(All_Students_Scores!C1657:V1657="","",All_Students_Scores!C1657:V1657)</f>
        <v/>
      </c>
      <c r="E1659" s="57" t="str"/>
      <c r="F1659" s="49" t="str"/>
      <c r="G1659" s="59" t="str"/>
      <c r="H1659" s="64" t="str"/>
      <c r="I1659" s="65" t="str"/>
      <c r="J1659" s="49" t="str"/>
      <c r="K1659" s="41" t="str"/>
      <c r="L1659" s="41" t="str"/>
      <c r="M1659" s="41" t="str"/>
      <c r="N1659" s="41" t="str"/>
      <c r="O1659" s="41" t="str"/>
      <c r="P1659" s="41" t="str"/>
      <c r="Q1659" s="41" t="str"/>
      <c r="R1659" s="41" t="str"/>
      <c r="S1659" s="41" t="str"/>
      <c r="T1659" s="41" t="str"/>
      <c r="U1659" s="41" t="str"/>
      <c r="V1659" s="41" t="str"/>
      <c r="W1659" s="41" t="str"/>
    </row>
    <row r="1660">
      <c r="B1660" s="2" t="n"/>
      <c r="C1660" s="40" t="n"/>
      <c r="D1660" s="52">
        <f t="array" ref="D1660:W1660">IF(All_Students_Scores!C1658:V1658="","",All_Students_Scores!C1658:V1658)</f>
        <v/>
      </c>
      <c r="E1660" s="57" t="str"/>
      <c r="F1660" s="49" t="str"/>
      <c r="G1660" s="59" t="str"/>
      <c r="H1660" s="64" t="str"/>
      <c r="I1660" s="65" t="str"/>
      <c r="J1660" s="49" t="str"/>
      <c r="K1660" s="41" t="str"/>
      <c r="L1660" s="41" t="str"/>
      <c r="M1660" s="41" t="str"/>
      <c r="N1660" s="41" t="str"/>
      <c r="O1660" s="41" t="str"/>
      <c r="P1660" s="41" t="str"/>
      <c r="Q1660" s="41" t="str"/>
      <c r="R1660" s="41" t="str"/>
      <c r="S1660" s="41" t="str"/>
      <c r="T1660" s="41" t="str"/>
      <c r="U1660" s="41" t="str"/>
      <c r="V1660" s="41" t="str"/>
      <c r="W1660" s="41" t="str"/>
    </row>
    <row r="1661">
      <c r="B1661" s="2" t="n"/>
      <c r="C1661" s="40" t="n"/>
      <c r="D1661" s="52">
        <f t="array" ref="D1661:W1661">IF(All_Students_Scores!C1659:V1659="","",All_Students_Scores!C1659:V1659)</f>
        <v/>
      </c>
      <c r="E1661" s="57" t="str"/>
      <c r="F1661" s="49" t="str"/>
      <c r="G1661" s="59" t="str"/>
      <c r="H1661" s="64" t="str"/>
      <c r="I1661" s="65" t="str"/>
      <c r="J1661" s="49" t="str"/>
      <c r="K1661" s="41" t="str"/>
      <c r="L1661" s="41" t="str"/>
      <c r="M1661" s="41" t="str"/>
      <c r="N1661" s="41" t="str"/>
      <c r="O1661" s="41" t="str"/>
      <c r="P1661" s="41" t="str"/>
      <c r="Q1661" s="41" t="str"/>
      <c r="R1661" s="41" t="str"/>
      <c r="S1661" s="41" t="str"/>
      <c r="T1661" s="41" t="str"/>
      <c r="U1661" s="41" t="str"/>
      <c r="V1661" s="41" t="str"/>
      <c r="W1661" s="41" t="str"/>
    </row>
    <row r="1662">
      <c r="B1662" s="2" t="n"/>
      <c r="C1662" s="40" t="n"/>
      <c r="D1662" s="52">
        <f t="array" ref="D1662:W1662">IF(All_Students_Scores!C1660:V1660="","",All_Students_Scores!C1660:V1660)</f>
        <v/>
      </c>
      <c r="E1662" s="57" t="str"/>
      <c r="F1662" s="49" t="str"/>
      <c r="G1662" s="59" t="str"/>
      <c r="H1662" s="64" t="str"/>
      <c r="I1662" s="65" t="str"/>
      <c r="J1662" s="49" t="str"/>
      <c r="K1662" s="41" t="str"/>
      <c r="L1662" s="41" t="str"/>
      <c r="M1662" s="41" t="str"/>
      <c r="N1662" s="41" t="str"/>
      <c r="O1662" s="41" t="str"/>
      <c r="P1662" s="41" t="str"/>
      <c r="Q1662" s="41" t="str"/>
      <c r="R1662" s="41" t="str"/>
      <c r="S1662" s="41" t="str"/>
      <c r="T1662" s="41" t="str"/>
      <c r="U1662" s="41" t="str"/>
      <c r="V1662" s="41" t="str"/>
      <c r="W1662" s="41" t="str"/>
    </row>
    <row r="1663">
      <c r="B1663" s="2" t="n"/>
      <c r="C1663" s="40" t="n"/>
      <c r="D1663" s="52">
        <f t="array" ref="D1663:W1663">IF(All_Students_Scores!C1661:V1661="","",All_Students_Scores!C1661:V1661)</f>
        <v/>
      </c>
      <c r="E1663" s="57" t="str"/>
      <c r="F1663" s="49" t="str"/>
      <c r="G1663" s="59" t="str"/>
      <c r="H1663" s="64" t="str"/>
      <c r="I1663" s="65" t="str"/>
      <c r="J1663" s="49" t="str"/>
      <c r="K1663" s="41" t="str"/>
      <c r="L1663" s="41" t="str"/>
      <c r="M1663" s="41" t="str"/>
      <c r="N1663" s="41" t="str"/>
      <c r="O1663" s="41" t="str"/>
      <c r="P1663" s="41" t="str"/>
      <c r="Q1663" s="41" t="str"/>
      <c r="R1663" s="41" t="str"/>
      <c r="S1663" s="41" t="str"/>
      <c r="T1663" s="41" t="str"/>
      <c r="U1663" s="41" t="str"/>
      <c r="V1663" s="41" t="str"/>
      <c r="W1663" s="41" t="str"/>
    </row>
    <row r="1664">
      <c r="B1664" s="2" t="n"/>
      <c r="C1664" s="40" t="n"/>
      <c r="D1664" s="52">
        <f t="array" ref="D1664:W1664">IF(All_Students_Scores!C1662:V1662="","",All_Students_Scores!C1662:V1662)</f>
        <v/>
      </c>
      <c r="E1664" s="57" t="str"/>
      <c r="F1664" s="49" t="str"/>
      <c r="G1664" s="59" t="str"/>
      <c r="H1664" s="64" t="str"/>
      <c r="I1664" s="65" t="str"/>
      <c r="J1664" s="49" t="str"/>
      <c r="K1664" s="41" t="str"/>
      <c r="L1664" s="41" t="str"/>
      <c r="M1664" s="41" t="str"/>
      <c r="N1664" s="41" t="str"/>
      <c r="O1664" s="41" t="str"/>
      <c r="P1664" s="41" t="str"/>
      <c r="Q1664" s="41" t="str"/>
      <c r="R1664" s="41" t="str"/>
      <c r="S1664" s="41" t="str"/>
      <c r="T1664" s="41" t="str"/>
      <c r="U1664" s="41" t="str"/>
      <c r="V1664" s="41" t="str"/>
      <c r="W1664" s="41" t="str"/>
    </row>
    <row r="1665">
      <c r="B1665" s="2" t="n"/>
      <c r="C1665" s="40" t="n"/>
      <c r="D1665" s="52">
        <f t="array" ref="D1665:W1665">IF(All_Students_Scores!C1663:V1663="","",All_Students_Scores!C1663:V1663)</f>
        <v/>
      </c>
      <c r="E1665" s="57" t="str"/>
      <c r="F1665" s="49" t="str"/>
      <c r="G1665" s="59" t="str"/>
      <c r="H1665" s="64" t="str"/>
      <c r="I1665" s="65" t="str"/>
      <c r="J1665" s="49" t="str"/>
      <c r="K1665" s="41" t="str"/>
      <c r="L1665" s="41" t="str"/>
      <c r="M1665" s="41" t="str"/>
      <c r="N1665" s="41" t="str"/>
      <c r="O1665" s="41" t="str"/>
      <c r="P1665" s="41" t="str"/>
      <c r="Q1665" s="41" t="str"/>
      <c r="R1665" s="41" t="str"/>
      <c r="S1665" s="41" t="str"/>
      <c r="T1665" s="41" t="str"/>
      <c r="U1665" s="41" t="str"/>
      <c r="V1665" s="41" t="str"/>
      <c r="W1665" s="41" t="str"/>
    </row>
    <row r="1666">
      <c r="B1666" s="2" t="n"/>
      <c r="C1666" s="40" t="n"/>
      <c r="D1666" s="52">
        <f t="array" ref="D1666:W1666">IF(All_Students_Scores!C1664:V1664="","",All_Students_Scores!C1664:V1664)</f>
        <v/>
      </c>
      <c r="E1666" s="57" t="str"/>
      <c r="F1666" s="49" t="str"/>
      <c r="G1666" s="59" t="str"/>
      <c r="H1666" s="64" t="str"/>
      <c r="I1666" s="65" t="str"/>
      <c r="J1666" s="49" t="str"/>
      <c r="K1666" s="41" t="str"/>
      <c r="L1666" s="41" t="str"/>
      <c r="M1666" s="41" t="str"/>
      <c r="N1666" s="41" t="str"/>
      <c r="O1666" s="41" t="str"/>
      <c r="P1666" s="41" t="str"/>
      <c r="Q1666" s="41" t="str"/>
      <c r="R1666" s="41" t="str"/>
      <c r="S1666" s="41" t="str"/>
      <c r="T1666" s="41" t="str"/>
      <c r="U1666" s="41" t="str"/>
      <c r="V1666" s="41" t="str"/>
      <c r="W1666" s="41" t="str"/>
    </row>
    <row r="1667">
      <c r="B1667" s="2" t="n"/>
      <c r="C1667" s="40" t="n"/>
      <c r="D1667" s="52">
        <f t="array" ref="D1667:W1667">IF(All_Students_Scores!C1665:V1665="","",All_Students_Scores!C1665:V1665)</f>
        <v/>
      </c>
      <c r="E1667" s="57" t="str"/>
      <c r="F1667" s="49" t="str"/>
      <c r="G1667" s="59" t="str"/>
      <c r="H1667" s="64" t="str"/>
      <c r="I1667" s="65" t="str"/>
      <c r="J1667" s="49" t="str"/>
      <c r="K1667" s="41" t="str"/>
      <c r="L1667" s="41" t="str"/>
      <c r="M1667" s="41" t="str"/>
      <c r="N1667" s="41" t="str"/>
      <c r="O1667" s="41" t="str"/>
      <c r="P1667" s="41" t="str"/>
      <c r="Q1667" s="41" t="str"/>
      <c r="R1667" s="41" t="str"/>
      <c r="S1667" s="41" t="str"/>
      <c r="T1667" s="41" t="str"/>
      <c r="U1667" s="41" t="str"/>
      <c r="V1667" s="41" t="str"/>
      <c r="W1667" s="41" t="str"/>
    </row>
    <row r="1668">
      <c r="B1668" s="2" t="n"/>
      <c r="C1668" s="40" t="n"/>
      <c r="D1668" s="52">
        <f t="array" ref="D1668:W1668">IF(All_Students_Scores!C1666:V1666="","",All_Students_Scores!C1666:V1666)</f>
        <v/>
      </c>
      <c r="E1668" s="57" t="str"/>
      <c r="F1668" s="49" t="str"/>
      <c r="G1668" s="59" t="str"/>
      <c r="H1668" s="64" t="str"/>
      <c r="I1668" s="65" t="str"/>
      <c r="J1668" s="49" t="str"/>
      <c r="K1668" s="41" t="str"/>
      <c r="L1668" s="41" t="str"/>
      <c r="M1668" s="41" t="str"/>
      <c r="N1668" s="41" t="str"/>
      <c r="O1668" s="41" t="str"/>
      <c r="P1668" s="41" t="str"/>
      <c r="Q1668" s="41" t="str"/>
      <c r="R1668" s="41" t="str"/>
      <c r="S1668" s="41" t="str"/>
      <c r="T1668" s="41" t="str"/>
      <c r="U1668" s="41" t="str"/>
      <c r="V1668" s="41" t="str"/>
      <c r="W1668" s="41" t="str"/>
    </row>
    <row r="1669">
      <c r="B1669" s="2" t="n"/>
      <c r="C1669" s="40" t="n"/>
      <c r="D1669" s="52">
        <f t="array" ref="D1669:W1669">IF(All_Students_Scores!C1667:V1667="","",All_Students_Scores!C1667:V1667)</f>
        <v/>
      </c>
      <c r="E1669" s="57" t="str"/>
      <c r="F1669" s="49" t="str"/>
      <c r="G1669" s="59" t="str"/>
      <c r="H1669" s="64" t="str"/>
      <c r="I1669" s="65" t="str"/>
      <c r="J1669" s="49" t="str"/>
      <c r="K1669" s="41" t="str"/>
      <c r="L1669" s="41" t="str"/>
      <c r="M1669" s="41" t="str"/>
      <c r="N1669" s="41" t="str"/>
      <c r="O1669" s="41" t="str"/>
      <c r="P1669" s="41" t="str"/>
      <c r="Q1669" s="41" t="str"/>
      <c r="R1669" s="41" t="str"/>
      <c r="S1669" s="41" t="str"/>
      <c r="T1669" s="41" t="str"/>
      <c r="U1669" s="41" t="str"/>
      <c r="V1669" s="41" t="str"/>
      <c r="W1669" s="41" t="str"/>
    </row>
    <row r="1670">
      <c r="B1670" s="2" t="n"/>
      <c r="C1670" s="40" t="n"/>
      <c r="D1670" s="52">
        <f t="array" ref="D1670:W1670">IF(All_Students_Scores!C1668:V1668="","",All_Students_Scores!C1668:V1668)</f>
        <v/>
      </c>
      <c r="E1670" s="57" t="str"/>
      <c r="F1670" s="49" t="str"/>
      <c r="G1670" s="59" t="str"/>
      <c r="H1670" s="64" t="str"/>
      <c r="I1670" s="65" t="str"/>
      <c r="J1670" s="49" t="str"/>
      <c r="K1670" s="41" t="str"/>
      <c r="L1670" s="41" t="str"/>
      <c r="M1670" s="41" t="str"/>
      <c r="N1670" s="41" t="str"/>
      <c r="O1670" s="41" t="str"/>
      <c r="P1670" s="41" t="str"/>
      <c r="Q1670" s="41" t="str"/>
      <c r="R1670" s="41" t="str"/>
      <c r="S1670" s="41" t="str"/>
      <c r="T1670" s="41" t="str"/>
      <c r="U1670" s="41" t="str"/>
      <c r="V1670" s="41" t="str"/>
      <c r="W1670" s="41" t="str"/>
    </row>
    <row r="1671">
      <c r="B1671" s="2" t="n"/>
      <c r="C1671" s="40" t="n"/>
      <c r="D1671" s="52">
        <f t="array" ref="D1671:W1671">IF(All_Students_Scores!C1669:V1669="","",All_Students_Scores!C1669:V1669)</f>
        <v/>
      </c>
      <c r="E1671" s="57" t="str"/>
      <c r="F1671" s="49" t="str"/>
      <c r="G1671" s="59" t="str"/>
      <c r="H1671" s="64" t="str"/>
      <c r="I1671" s="65" t="str"/>
      <c r="J1671" s="49" t="str"/>
      <c r="K1671" s="41" t="str"/>
      <c r="L1671" s="41" t="str"/>
      <c r="M1671" s="41" t="str"/>
      <c r="N1671" s="41" t="str"/>
      <c r="O1671" s="41" t="str"/>
      <c r="P1671" s="41" t="str"/>
      <c r="Q1671" s="41" t="str"/>
      <c r="R1671" s="41" t="str"/>
      <c r="S1671" s="41" t="str"/>
      <c r="T1671" s="41" t="str"/>
      <c r="U1671" s="41" t="str"/>
      <c r="V1671" s="41" t="str"/>
      <c r="W1671" s="41" t="str"/>
    </row>
    <row r="1672">
      <c r="B1672" s="2" t="n"/>
      <c r="C1672" s="40" t="n"/>
      <c r="D1672" s="52">
        <f t="array" ref="D1672:W1672">IF(All_Students_Scores!C1670:V1670="","",All_Students_Scores!C1670:V1670)</f>
        <v/>
      </c>
      <c r="E1672" s="57" t="str"/>
      <c r="F1672" s="49" t="str"/>
      <c r="G1672" s="59" t="str"/>
      <c r="H1672" s="64" t="str"/>
      <c r="I1672" s="65" t="str"/>
      <c r="J1672" s="49" t="str"/>
      <c r="K1672" s="41" t="str"/>
      <c r="L1672" s="41" t="str"/>
      <c r="M1672" s="41" t="str"/>
      <c r="N1672" s="41" t="str"/>
      <c r="O1672" s="41" t="str"/>
      <c r="P1672" s="41" t="str"/>
      <c r="Q1672" s="41" t="str"/>
      <c r="R1672" s="41" t="str"/>
      <c r="S1672" s="41" t="str"/>
      <c r="T1672" s="41" t="str"/>
      <c r="U1672" s="41" t="str"/>
      <c r="V1672" s="41" t="str"/>
      <c r="W1672" s="41" t="str"/>
    </row>
    <row r="1673">
      <c r="B1673" s="2" t="n"/>
      <c r="C1673" s="40" t="n"/>
      <c r="D1673" s="52">
        <f t="array" ref="D1673:W1673">IF(All_Students_Scores!C1671:V1671="","",All_Students_Scores!C1671:V1671)</f>
        <v/>
      </c>
      <c r="E1673" s="57" t="str"/>
      <c r="F1673" s="49" t="str"/>
      <c r="G1673" s="59" t="str"/>
      <c r="H1673" s="64" t="str"/>
      <c r="I1673" s="65" t="str"/>
      <c r="J1673" s="49" t="str"/>
      <c r="K1673" s="41" t="str"/>
      <c r="L1673" s="41" t="str"/>
      <c r="M1673" s="41" t="str"/>
      <c r="N1673" s="41" t="str"/>
      <c r="O1673" s="41" t="str"/>
      <c r="P1673" s="41" t="str"/>
      <c r="Q1673" s="41" t="str"/>
      <c r="R1673" s="41" t="str"/>
      <c r="S1673" s="41" t="str"/>
      <c r="T1673" s="41" t="str"/>
      <c r="U1673" s="41" t="str"/>
      <c r="V1673" s="41" t="str"/>
      <c r="W1673" s="41" t="str"/>
    </row>
    <row r="1674">
      <c r="B1674" s="2" t="n"/>
      <c r="C1674" s="40" t="n"/>
      <c r="D1674" s="52">
        <f t="array" ref="D1674:W1674">IF(All_Students_Scores!C1672:V1672="","",All_Students_Scores!C1672:V1672)</f>
        <v/>
      </c>
      <c r="E1674" s="57" t="str"/>
      <c r="F1674" s="49" t="str"/>
      <c r="G1674" s="59" t="str"/>
      <c r="H1674" s="64" t="str"/>
      <c r="I1674" s="65" t="str"/>
      <c r="J1674" s="49" t="str"/>
      <c r="K1674" s="41" t="str"/>
      <c r="L1674" s="41" t="str"/>
      <c r="M1674" s="41" t="str"/>
      <c r="N1674" s="41" t="str"/>
      <c r="O1674" s="41" t="str"/>
      <c r="P1674" s="41" t="str"/>
      <c r="Q1674" s="41" t="str"/>
      <c r="R1674" s="41" t="str"/>
      <c r="S1674" s="41" t="str"/>
      <c r="T1674" s="41" t="str"/>
      <c r="U1674" s="41" t="str"/>
      <c r="V1674" s="41" t="str"/>
      <c r="W1674" s="41" t="str"/>
    </row>
    <row r="1675">
      <c r="B1675" s="2" t="n"/>
      <c r="C1675" s="40" t="n"/>
      <c r="D1675" s="52">
        <f t="array" ref="D1675:W1675">IF(All_Students_Scores!C1673:V1673="","",All_Students_Scores!C1673:V1673)</f>
        <v/>
      </c>
      <c r="E1675" s="57" t="str"/>
      <c r="F1675" s="49" t="str"/>
      <c r="G1675" s="59" t="str"/>
      <c r="H1675" s="64" t="str"/>
      <c r="I1675" s="65" t="str"/>
      <c r="J1675" s="49" t="str"/>
      <c r="K1675" s="41" t="str"/>
      <c r="L1675" s="41" t="str"/>
      <c r="M1675" s="41" t="str"/>
      <c r="N1675" s="41" t="str"/>
      <c r="O1675" s="41" t="str"/>
      <c r="P1675" s="41" t="str"/>
      <c r="Q1675" s="41" t="str"/>
      <c r="R1675" s="41" t="str"/>
      <c r="S1675" s="41" t="str"/>
      <c r="T1675" s="41" t="str"/>
      <c r="U1675" s="41" t="str"/>
      <c r="V1675" s="41" t="str"/>
      <c r="W1675" s="41" t="str"/>
    </row>
    <row r="1676">
      <c r="B1676" s="2" t="n"/>
      <c r="C1676" s="40" t="n"/>
      <c r="D1676" s="52">
        <f t="array" ref="D1676:W1676">IF(All_Students_Scores!C1674:V1674="","",All_Students_Scores!C1674:V1674)</f>
        <v/>
      </c>
      <c r="E1676" s="57" t="str"/>
      <c r="F1676" s="49" t="str"/>
      <c r="G1676" s="59" t="str"/>
      <c r="H1676" s="64" t="str"/>
      <c r="I1676" s="65" t="str"/>
      <c r="J1676" s="49" t="str"/>
      <c r="K1676" s="41" t="str"/>
      <c r="L1676" s="41" t="str"/>
      <c r="M1676" s="41" t="str"/>
      <c r="N1676" s="41" t="str"/>
      <c r="O1676" s="41" t="str"/>
      <c r="P1676" s="41" t="str"/>
      <c r="Q1676" s="41" t="str"/>
      <c r="R1676" s="41" t="str"/>
      <c r="S1676" s="41" t="str"/>
      <c r="T1676" s="41" t="str"/>
      <c r="U1676" s="41" t="str"/>
      <c r="V1676" s="41" t="str"/>
      <c r="W1676" s="41" t="str"/>
    </row>
    <row r="1677">
      <c r="B1677" s="2" t="n"/>
      <c r="C1677" s="40" t="n"/>
      <c r="D1677" s="52">
        <f t="array" ref="D1677:W1677">IF(All_Students_Scores!C1675:V1675="","",All_Students_Scores!C1675:V1675)</f>
        <v/>
      </c>
      <c r="E1677" s="57" t="str"/>
      <c r="F1677" s="49" t="str"/>
      <c r="G1677" s="59" t="str"/>
      <c r="H1677" s="64" t="str"/>
      <c r="I1677" s="65" t="str"/>
      <c r="J1677" s="49" t="str"/>
      <c r="K1677" s="41" t="str"/>
      <c r="L1677" s="41" t="str"/>
      <c r="M1677" s="41" t="str"/>
      <c r="N1677" s="41" t="str"/>
      <c r="O1677" s="41" t="str"/>
      <c r="P1677" s="41" t="str"/>
      <c r="Q1677" s="41" t="str"/>
      <c r="R1677" s="41" t="str"/>
      <c r="S1677" s="41" t="str"/>
      <c r="T1677" s="41" t="str"/>
      <c r="U1677" s="41" t="str"/>
      <c r="V1677" s="41" t="str"/>
      <c r="W1677" s="41" t="str"/>
    </row>
    <row r="1678">
      <c r="B1678" s="2" t="n"/>
      <c r="C1678" s="40" t="n"/>
      <c r="D1678" s="52">
        <f t="array" ref="D1678:W1678">IF(All_Students_Scores!C1676:V1676="","",All_Students_Scores!C1676:V1676)</f>
        <v/>
      </c>
      <c r="E1678" s="57" t="str"/>
      <c r="F1678" s="49" t="str"/>
      <c r="G1678" s="59" t="str"/>
      <c r="H1678" s="64" t="str"/>
      <c r="I1678" s="65" t="str"/>
      <c r="J1678" s="49" t="str"/>
      <c r="K1678" s="41" t="str"/>
      <c r="L1678" s="41" t="str"/>
      <c r="M1678" s="41" t="str"/>
      <c r="N1678" s="41" t="str"/>
      <c r="O1678" s="41" t="str"/>
      <c r="P1678" s="41" t="str"/>
      <c r="Q1678" s="41" t="str"/>
      <c r="R1678" s="41" t="str"/>
      <c r="S1678" s="41" t="str"/>
      <c r="T1678" s="41" t="str"/>
      <c r="U1678" s="41" t="str"/>
      <c r="V1678" s="41" t="str"/>
      <c r="W1678" s="41" t="str"/>
    </row>
    <row r="1679">
      <c r="B1679" s="2" t="n"/>
      <c r="C1679" s="40" t="n"/>
      <c r="D1679" s="52">
        <f t="array" ref="D1679:W1679">IF(All_Students_Scores!C1677:V1677="","",All_Students_Scores!C1677:V1677)</f>
        <v/>
      </c>
      <c r="E1679" s="57" t="str"/>
      <c r="F1679" s="49" t="str"/>
      <c r="G1679" s="59" t="str"/>
      <c r="H1679" s="64" t="str"/>
      <c r="I1679" s="65" t="str"/>
      <c r="J1679" s="49" t="str"/>
      <c r="K1679" s="41" t="str"/>
      <c r="L1679" s="41" t="str"/>
      <c r="M1679" s="41" t="str"/>
      <c r="N1679" s="41" t="str"/>
      <c r="O1679" s="41" t="str"/>
      <c r="P1679" s="41" t="str"/>
      <c r="Q1679" s="41" t="str"/>
      <c r="R1679" s="41" t="str"/>
      <c r="S1679" s="41" t="str"/>
      <c r="T1679" s="41" t="str"/>
      <c r="U1679" s="41" t="str"/>
      <c r="V1679" s="41" t="str"/>
      <c r="W1679" s="41" t="str"/>
    </row>
    <row r="1680">
      <c r="B1680" s="2" t="n"/>
      <c r="C1680" s="40" t="n"/>
      <c r="D1680" s="52">
        <f t="array" ref="D1680:W1680">IF(All_Students_Scores!C1678:V1678="","",All_Students_Scores!C1678:V1678)</f>
        <v/>
      </c>
      <c r="E1680" s="57" t="str"/>
      <c r="F1680" s="49" t="str"/>
      <c r="G1680" s="59" t="str"/>
      <c r="H1680" s="64" t="str"/>
      <c r="I1680" s="65" t="str"/>
      <c r="J1680" s="49" t="str"/>
      <c r="K1680" s="41" t="str"/>
      <c r="L1680" s="41" t="str"/>
      <c r="M1680" s="41" t="str"/>
      <c r="N1680" s="41" t="str"/>
      <c r="O1680" s="41" t="str"/>
      <c r="P1680" s="41" t="str"/>
      <c r="Q1680" s="41" t="str"/>
      <c r="R1680" s="41" t="str"/>
      <c r="S1680" s="41" t="str"/>
      <c r="T1680" s="41" t="str"/>
      <c r="U1680" s="41" t="str"/>
      <c r="V1680" s="41" t="str"/>
      <c r="W1680" s="41" t="str"/>
    </row>
    <row r="1681">
      <c r="B1681" s="2" t="n"/>
      <c r="C1681" s="40" t="n"/>
      <c r="D1681" s="52">
        <f t="array" ref="D1681:W1681">IF(All_Students_Scores!C1679:V1679="","",All_Students_Scores!C1679:V1679)</f>
        <v/>
      </c>
      <c r="E1681" s="57" t="str"/>
      <c r="F1681" s="49" t="str"/>
      <c r="G1681" s="59" t="str"/>
      <c r="H1681" s="64" t="str"/>
      <c r="I1681" s="65" t="str"/>
      <c r="J1681" s="49" t="str"/>
      <c r="K1681" s="41" t="str"/>
      <c r="L1681" s="41" t="str"/>
      <c r="M1681" s="41" t="str"/>
      <c r="N1681" s="41" t="str"/>
      <c r="O1681" s="41" t="str"/>
      <c r="P1681" s="41" t="str"/>
      <c r="Q1681" s="41" t="str"/>
      <c r="R1681" s="41" t="str"/>
      <c r="S1681" s="41" t="str"/>
      <c r="T1681" s="41" t="str"/>
      <c r="U1681" s="41" t="str"/>
      <c r="V1681" s="41" t="str"/>
      <c r="W1681" s="41" t="str"/>
    </row>
    <row r="1682">
      <c r="B1682" s="2" t="n"/>
      <c r="C1682" s="40" t="n"/>
      <c r="D1682" s="52">
        <f t="array" ref="D1682:W1682">IF(All_Students_Scores!C1680:V1680="","",All_Students_Scores!C1680:V1680)</f>
        <v/>
      </c>
      <c r="E1682" s="57" t="str"/>
      <c r="F1682" s="49" t="str"/>
      <c r="G1682" s="59" t="str"/>
      <c r="H1682" s="64" t="str"/>
      <c r="I1682" s="65" t="str"/>
      <c r="J1682" s="49" t="str"/>
      <c r="K1682" s="41" t="str"/>
      <c r="L1682" s="41" t="str"/>
      <c r="M1682" s="41" t="str"/>
      <c r="N1682" s="41" t="str"/>
      <c r="O1682" s="41" t="str"/>
      <c r="P1682" s="41" t="str"/>
      <c r="Q1682" s="41" t="str"/>
      <c r="R1682" s="41" t="str"/>
      <c r="S1682" s="41" t="str"/>
      <c r="T1682" s="41" t="str"/>
      <c r="U1682" s="41" t="str"/>
      <c r="V1682" s="41" t="str"/>
      <c r="W1682" s="41" t="str"/>
    </row>
    <row r="1683">
      <c r="B1683" s="2" t="n"/>
      <c r="C1683" s="40" t="n"/>
      <c r="D1683" s="52">
        <f t="array" ref="D1683:W1683">IF(All_Students_Scores!C1681:V1681="","",All_Students_Scores!C1681:V1681)</f>
        <v/>
      </c>
      <c r="E1683" s="57" t="str"/>
      <c r="F1683" s="49" t="str"/>
      <c r="G1683" s="59" t="str"/>
      <c r="H1683" s="64" t="str"/>
      <c r="I1683" s="65" t="str"/>
      <c r="J1683" s="49" t="str"/>
      <c r="K1683" s="41" t="str"/>
      <c r="L1683" s="41" t="str"/>
      <c r="M1683" s="41" t="str"/>
      <c r="N1683" s="41" t="str"/>
      <c r="O1683" s="41" t="str"/>
      <c r="P1683" s="41" t="str"/>
      <c r="Q1683" s="41" t="str"/>
      <c r="R1683" s="41" t="str"/>
      <c r="S1683" s="41" t="str"/>
      <c r="T1683" s="41" t="str"/>
      <c r="U1683" s="41" t="str"/>
      <c r="V1683" s="41" t="str"/>
      <c r="W1683" s="41" t="str"/>
    </row>
    <row r="1684">
      <c r="B1684" s="2" t="n"/>
      <c r="C1684" s="40" t="n"/>
      <c r="D1684" s="52">
        <f t="array" ref="D1684:W1684">IF(All_Students_Scores!C1682:V1682="","",All_Students_Scores!C1682:V1682)</f>
        <v/>
      </c>
      <c r="E1684" s="57" t="str"/>
      <c r="F1684" s="49" t="str"/>
      <c r="G1684" s="59" t="str"/>
      <c r="H1684" s="64" t="str"/>
      <c r="I1684" s="65" t="str"/>
      <c r="J1684" s="49" t="str"/>
      <c r="K1684" s="41" t="str"/>
      <c r="L1684" s="41" t="str"/>
      <c r="M1684" s="41" t="str"/>
      <c r="N1684" s="41" t="str"/>
      <c r="O1684" s="41" t="str"/>
      <c r="P1684" s="41" t="str"/>
      <c r="Q1684" s="41" t="str"/>
      <c r="R1684" s="41" t="str"/>
      <c r="S1684" s="41" t="str"/>
      <c r="T1684" s="41" t="str"/>
      <c r="U1684" s="41" t="str"/>
      <c r="V1684" s="41" t="str"/>
      <c r="W1684" s="41" t="str"/>
    </row>
    <row r="1685">
      <c r="B1685" s="2" t="n"/>
      <c r="C1685" s="40" t="n"/>
      <c r="D1685" s="52">
        <f t="array" ref="D1685:W1685">IF(All_Students_Scores!C1683:V1683="","",All_Students_Scores!C1683:V1683)</f>
        <v/>
      </c>
      <c r="E1685" s="57" t="str"/>
      <c r="F1685" s="49" t="str"/>
      <c r="G1685" s="59" t="str"/>
      <c r="H1685" s="64" t="str"/>
      <c r="I1685" s="65" t="str"/>
      <c r="J1685" s="49" t="str"/>
      <c r="K1685" s="41" t="str"/>
      <c r="L1685" s="41" t="str"/>
      <c r="M1685" s="41" t="str"/>
      <c r="N1685" s="41" t="str"/>
      <c r="O1685" s="41" t="str"/>
      <c r="P1685" s="41" t="str"/>
      <c r="Q1685" s="41" t="str"/>
      <c r="R1685" s="41" t="str"/>
      <c r="S1685" s="41" t="str"/>
      <c r="T1685" s="41" t="str"/>
      <c r="U1685" s="41" t="str"/>
      <c r="V1685" s="41" t="str"/>
      <c r="W1685" s="41" t="str"/>
    </row>
    <row r="1686">
      <c r="B1686" s="2" t="n"/>
      <c r="C1686" s="40" t="n"/>
      <c r="D1686" s="52">
        <f t="array" ref="D1686:W1686">IF(All_Students_Scores!C1684:V1684="","",All_Students_Scores!C1684:V1684)</f>
        <v/>
      </c>
      <c r="E1686" s="57" t="str"/>
      <c r="F1686" s="49" t="str"/>
      <c r="G1686" s="59" t="str"/>
      <c r="H1686" s="64" t="str"/>
      <c r="I1686" s="65" t="str"/>
      <c r="J1686" s="49" t="str"/>
      <c r="K1686" s="41" t="str"/>
      <c r="L1686" s="41" t="str"/>
      <c r="M1686" s="41" t="str"/>
      <c r="N1686" s="41" t="str"/>
      <c r="O1686" s="41" t="str"/>
      <c r="P1686" s="41" t="str"/>
      <c r="Q1686" s="41" t="str"/>
      <c r="R1686" s="41" t="str"/>
      <c r="S1686" s="41" t="str"/>
      <c r="T1686" s="41" t="str"/>
      <c r="U1686" s="41" t="str"/>
      <c r="V1686" s="41" t="str"/>
      <c r="W1686" s="41" t="str"/>
    </row>
    <row r="1687">
      <c r="B1687" s="2" t="n"/>
      <c r="C1687" s="40" t="n"/>
      <c r="D1687" s="52">
        <f t="array" ref="D1687:W1687">IF(All_Students_Scores!C1685:V1685="","",All_Students_Scores!C1685:V1685)</f>
        <v/>
      </c>
      <c r="E1687" s="57" t="str"/>
      <c r="F1687" s="49" t="str"/>
      <c r="G1687" s="59" t="str"/>
      <c r="H1687" s="64" t="str"/>
      <c r="I1687" s="65" t="str"/>
      <c r="J1687" s="49" t="str"/>
      <c r="K1687" s="41" t="str"/>
      <c r="L1687" s="41" t="str"/>
      <c r="M1687" s="41" t="str"/>
      <c r="N1687" s="41" t="str"/>
      <c r="O1687" s="41" t="str"/>
      <c r="P1687" s="41" t="str"/>
      <c r="Q1687" s="41" t="str"/>
      <c r="R1687" s="41" t="str"/>
      <c r="S1687" s="41" t="str"/>
      <c r="T1687" s="41" t="str"/>
      <c r="U1687" s="41" t="str"/>
      <c r="V1687" s="41" t="str"/>
      <c r="W1687" s="41" t="str"/>
    </row>
    <row r="1688">
      <c r="B1688" s="2" t="n"/>
      <c r="C1688" s="40" t="n"/>
      <c r="D1688" s="52">
        <f t="array" ref="D1688:W1688">IF(All_Students_Scores!C1686:V1686="","",All_Students_Scores!C1686:V1686)</f>
        <v/>
      </c>
      <c r="E1688" s="57" t="str"/>
      <c r="F1688" s="49" t="str"/>
      <c r="G1688" s="59" t="str"/>
      <c r="H1688" s="64" t="str"/>
      <c r="I1688" s="65" t="str"/>
      <c r="J1688" s="49" t="str"/>
      <c r="K1688" s="41" t="str"/>
      <c r="L1688" s="41" t="str"/>
      <c r="M1688" s="41" t="str"/>
      <c r="N1688" s="41" t="str"/>
      <c r="O1688" s="41" t="str"/>
      <c r="P1688" s="41" t="str"/>
      <c r="Q1688" s="41" t="str"/>
      <c r="R1688" s="41" t="str"/>
      <c r="S1688" s="41" t="str"/>
      <c r="T1688" s="41" t="str"/>
      <c r="U1688" s="41" t="str"/>
      <c r="V1688" s="41" t="str"/>
      <c r="W1688" s="41" t="str"/>
    </row>
    <row r="1689">
      <c r="B1689" s="2" t="n"/>
      <c r="C1689" s="40" t="n"/>
      <c r="D1689" s="52">
        <f t="array" ref="D1689:W1689">IF(All_Students_Scores!C1687:V1687="","",All_Students_Scores!C1687:V1687)</f>
        <v/>
      </c>
      <c r="E1689" s="57" t="str"/>
      <c r="F1689" s="49" t="str"/>
      <c r="G1689" s="59" t="str"/>
      <c r="H1689" s="64" t="str"/>
      <c r="I1689" s="65" t="str"/>
      <c r="J1689" s="49" t="str"/>
      <c r="K1689" s="41" t="str"/>
      <c r="L1689" s="41" t="str"/>
      <c r="M1689" s="41" t="str"/>
      <c r="N1689" s="41" t="str"/>
      <c r="O1689" s="41" t="str"/>
      <c r="P1689" s="41" t="str"/>
      <c r="Q1689" s="41" t="str"/>
      <c r="R1689" s="41" t="str"/>
      <c r="S1689" s="41" t="str"/>
      <c r="T1689" s="41" t="str"/>
      <c r="U1689" s="41" t="str"/>
      <c r="V1689" s="41" t="str"/>
      <c r="W1689" s="41" t="str"/>
    </row>
    <row r="1690">
      <c r="B1690" s="2" t="n"/>
      <c r="C1690" s="40" t="n"/>
      <c r="D1690" s="52">
        <f t="array" ref="D1690:W1690">IF(All_Students_Scores!C1688:V1688="","",All_Students_Scores!C1688:V1688)</f>
        <v/>
      </c>
      <c r="E1690" s="57" t="str"/>
      <c r="F1690" s="49" t="str"/>
      <c r="G1690" s="59" t="str"/>
      <c r="H1690" s="64" t="str"/>
      <c r="I1690" s="65" t="str"/>
      <c r="J1690" s="49" t="str"/>
      <c r="K1690" s="41" t="str"/>
      <c r="L1690" s="41" t="str"/>
      <c r="M1690" s="41" t="str"/>
      <c r="N1690" s="41" t="str"/>
      <c r="O1690" s="41" t="str"/>
      <c r="P1690" s="41" t="str"/>
      <c r="Q1690" s="41" t="str"/>
      <c r="R1690" s="41" t="str"/>
      <c r="S1690" s="41" t="str"/>
      <c r="T1690" s="41" t="str"/>
      <c r="U1690" s="41" t="str"/>
      <c r="V1690" s="41" t="str"/>
      <c r="W1690" s="41" t="str"/>
    </row>
    <row r="1691">
      <c r="B1691" s="2" t="n"/>
      <c r="C1691" s="40" t="n"/>
      <c r="D1691" s="52">
        <f t="array" ref="D1691:W1691">IF(All_Students_Scores!C1689:V1689="","",All_Students_Scores!C1689:V1689)</f>
        <v/>
      </c>
      <c r="E1691" s="57" t="str"/>
      <c r="F1691" s="49" t="str"/>
      <c r="G1691" s="59" t="str"/>
      <c r="H1691" s="64" t="str"/>
      <c r="I1691" s="65" t="str"/>
      <c r="J1691" s="49" t="str"/>
      <c r="K1691" s="41" t="str"/>
      <c r="L1691" s="41" t="str"/>
      <c r="M1691" s="41" t="str"/>
      <c r="N1691" s="41" t="str"/>
      <c r="O1691" s="41" t="str"/>
      <c r="P1691" s="41" t="str"/>
      <c r="Q1691" s="41" t="str"/>
      <c r="R1691" s="41" t="str"/>
      <c r="S1691" s="41" t="str"/>
      <c r="T1691" s="41" t="str"/>
      <c r="U1691" s="41" t="str"/>
      <c r="V1691" s="41" t="str"/>
      <c r="W1691" s="41" t="str"/>
    </row>
    <row r="1692">
      <c r="B1692" s="2" t="n"/>
      <c r="C1692" s="40" t="n"/>
      <c r="D1692" s="52">
        <f t="array" ref="D1692:W1692">IF(All_Students_Scores!C1690:V1690="","",All_Students_Scores!C1690:V1690)</f>
        <v/>
      </c>
      <c r="E1692" s="57" t="str"/>
      <c r="F1692" s="49" t="str"/>
      <c r="G1692" s="59" t="str"/>
      <c r="H1692" s="64" t="str"/>
      <c r="I1692" s="65" t="str"/>
      <c r="J1692" s="49" t="str"/>
      <c r="K1692" s="41" t="str"/>
      <c r="L1692" s="41" t="str"/>
      <c r="M1692" s="41" t="str"/>
      <c r="N1692" s="41" t="str"/>
      <c r="O1692" s="41" t="str"/>
      <c r="P1692" s="41" t="str"/>
      <c r="Q1692" s="41" t="str"/>
      <c r="R1692" s="41" t="str"/>
      <c r="S1692" s="41" t="str"/>
      <c r="T1692" s="41" t="str"/>
      <c r="U1692" s="41" t="str"/>
      <c r="V1692" s="41" t="str"/>
      <c r="W1692" s="41" t="str"/>
    </row>
    <row r="1693">
      <c r="B1693" s="2" t="n"/>
      <c r="C1693" s="40" t="n"/>
      <c r="D1693" s="52">
        <f t="array" ref="D1693:W1693">IF(All_Students_Scores!C1691:V1691="","",All_Students_Scores!C1691:V1691)</f>
        <v/>
      </c>
      <c r="E1693" s="57" t="str"/>
      <c r="F1693" s="49" t="str"/>
      <c r="G1693" s="59" t="str"/>
      <c r="H1693" s="64" t="str"/>
      <c r="I1693" s="65" t="str"/>
      <c r="J1693" s="49" t="str"/>
      <c r="K1693" s="41" t="str"/>
      <c r="L1693" s="41" t="str"/>
      <c r="M1693" s="41" t="str"/>
      <c r="N1693" s="41" t="str"/>
      <c r="O1693" s="41" t="str"/>
      <c r="P1693" s="41" t="str"/>
      <c r="Q1693" s="41" t="str"/>
      <c r="R1693" s="41" t="str"/>
      <c r="S1693" s="41" t="str"/>
      <c r="T1693" s="41" t="str"/>
      <c r="U1693" s="41" t="str"/>
      <c r="V1693" s="41" t="str"/>
      <c r="W1693" s="41" t="str"/>
    </row>
    <row r="1694">
      <c r="B1694" s="2" t="n"/>
      <c r="C1694" s="40" t="n"/>
      <c r="D1694" s="52">
        <f t="array" ref="D1694:W1694">IF(All_Students_Scores!C1692:V1692="","",All_Students_Scores!C1692:V1692)</f>
        <v/>
      </c>
      <c r="E1694" s="57" t="str"/>
      <c r="F1694" s="49" t="str"/>
      <c r="G1694" s="59" t="str"/>
      <c r="H1694" s="64" t="str"/>
      <c r="I1694" s="65" t="str"/>
      <c r="J1694" s="49" t="str"/>
      <c r="K1694" s="41" t="str"/>
      <c r="L1694" s="41" t="str"/>
      <c r="M1694" s="41" t="str"/>
      <c r="N1694" s="41" t="str"/>
      <c r="O1694" s="41" t="str"/>
      <c r="P1694" s="41" t="str"/>
      <c r="Q1694" s="41" t="str"/>
      <c r="R1694" s="41" t="str"/>
      <c r="S1694" s="41" t="str"/>
      <c r="T1694" s="41" t="str"/>
      <c r="U1694" s="41" t="str"/>
      <c r="V1694" s="41" t="str"/>
      <c r="W1694" s="41" t="str"/>
    </row>
    <row r="1695">
      <c r="B1695" s="2" t="n"/>
      <c r="C1695" s="40" t="n"/>
      <c r="D1695" s="52">
        <f t="array" ref="D1695:W1695">IF(All_Students_Scores!C1693:V1693="","",All_Students_Scores!C1693:V1693)</f>
        <v/>
      </c>
      <c r="E1695" s="57" t="str"/>
      <c r="F1695" s="49" t="str"/>
      <c r="G1695" s="59" t="str"/>
      <c r="H1695" s="64" t="str"/>
      <c r="I1695" s="65" t="str"/>
      <c r="J1695" s="49" t="str"/>
      <c r="K1695" s="41" t="str"/>
      <c r="L1695" s="41" t="str"/>
      <c r="M1695" s="41" t="str"/>
      <c r="N1695" s="41" t="str"/>
      <c r="O1695" s="41" t="str"/>
      <c r="P1695" s="41" t="str"/>
      <c r="Q1695" s="41" t="str"/>
      <c r="R1695" s="41" t="str"/>
      <c r="S1695" s="41" t="str"/>
      <c r="T1695" s="41" t="str"/>
      <c r="U1695" s="41" t="str"/>
      <c r="V1695" s="41" t="str"/>
      <c r="W1695" s="41" t="str"/>
    </row>
    <row r="1696">
      <c r="B1696" s="2" t="n"/>
      <c r="C1696" s="40" t="n"/>
      <c r="D1696" s="52">
        <f t="array" ref="D1696:W1696">IF(All_Students_Scores!C1694:V1694="","",All_Students_Scores!C1694:V1694)</f>
        <v/>
      </c>
      <c r="E1696" s="57" t="str"/>
      <c r="F1696" s="49" t="str"/>
      <c r="G1696" s="59" t="str"/>
      <c r="H1696" s="64" t="str"/>
      <c r="I1696" s="65" t="str"/>
      <c r="J1696" s="49" t="str"/>
      <c r="K1696" s="41" t="str"/>
      <c r="L1696" s="41" t="str"/>
      <c r="M1696" s="41" t="str"/>
      <c r="N1696" s="41" t="str"/>
      <c r="O1696" s="41" t="str"/>
      <c r="P1696" s="41" t="str"/>
      <c r="Q1696" s="41" t="str"/>
      <c r="R1696" s="41" t="str"/>
      <c r="S1696" s="41" t="str"/>
      <c r="T1696" s="41" t="str"/>
      <c r="U1696" s="41" t="str"/>
      <c r="V1696" s="41" t="str"/>
      <c r="W1696" s="41" t="str"/>
    </row>
    <row r="1697">
      <c r="B1697" s="2" t="n"/>
      <c r="C1697" s="40" t="n"/>
      <c r="D1697" s="52">
        <f t="array" ref="D1697:W1697">IF(All_Students_Scores!C1695:V1695="","",All_Students_Scores!C1695:V1695)</f>
        <v/>
      </c>
      <c r="E1697" s="57" t="str"/>
      <c r="F1697" s="49" t="str"/>
      <c r="G1697" s="59" t="str"/>
      <c r="H1697" s="64" t="str"/>
      <c r="I1697" s="65" t="str"/>
      <c r="J1697" s="49" t="str"/>
      <c r="K1697" s="41" t="str"/>
      <c r="L1697" s="41" t="str"/>
      <c r="M1697" s="41" t="str"/>
      <c r="N1697" s="41" t="str"/>
      <c r="O1697" s="41" t="str"/>
      <c r="P1697" s="41" t="str"/>
      <c r="Q1697" s="41" t="str"/>
      <c r="R1697" s="41" t="str"/>
      <c r="S1697" s="41" t="str"/>
      <c r="T1697" s="41" t="str"/>
      <c r="U1697" s="41" t="str"/>
      <c r="V1697" s="41" t="str"/>
      <c r="W1697" s="41" t="str"/>
    </row>
    <row r="1698">
      <c r="B1698" s="2" t="n"/>
      <c r="C1698" s="40" t="n"/>
      <c r="D1698" s="52">
        <f t="array" ref="D1698:W1698">IF(All_Students_Scores!C1696:V1696="","",All_Students_Scores!C1696:V1696)</f>
        <v/>
      </c>
      <c r="E1698" s="57" t="str"/>
      <c r="F1698" s="49" t="str"/>
      <c r="G1698" s="59" t="str"/>
      <c r="H1698" s="64" t="str"/>
      <c r="I1698" s="65" t="str"/>
      <c r="J1698" s="49" t="str"/>
      <c r="K1698" s="41" t="str"/>
      <c r="L1698" s="41" t="str"/>
      <c r="M1698" s="41" t="str"/>
      <c r="N1698" s="41" t="str"/>
      <c r="O1698" s="41" t="str"/>
      <c r="P1698" s="41" t="str"/>
      <c r="Q1698" s="41" t="str"/>
      <c r="R1698" s="41" t="str"/>
      <c r="S1698" s="41" t="str"/>
      <c r="T1698" s="41" t="str"/>
      <c r="U1698" s="41" t="str"/>
      <c r="V1698" s="41" t="str"/>
      <c r="W1698" s="41" t="str"/>
    </row>
    <row r="1699">
      <c r="B1699" s="2" t="n"/>
      <c r="C1699" s="40" t="n"/>
      <c r="D1699" s="52">
        <f t="array" ref="D1699:W1699">IF(All_Students_Scores!C1697:V1697="","",All_Students_Scores!C1697:V1697)</f>
        <v/>
      </c>
      <c r="E1699" s="57" t="str"/>
      <c r="F1699" s="49" t="str"/>
      <c r="G1699" s="59" t="str"/>
      <c r="H1699" s="64" t="str"/>
      <c r="I1699" s="65" t="str"/>
      <c r="J1699" s="49" t="str"/>
      <c r="K1699" s="41" t="str"/>
      <c r="L1699" s="41" t="str"/>
      <c r="M1699" s="41" t="str"/>
      <c r="N1699" s="41" t="str"/>
      <c r="O1699" s="41" t="str"/>
      <c r="P1699" s="41" t="str"/>
      <c r="Q1699" s="41" t="str"/>
      <c r="R1699" s="41" t="str"/>
      <c r="S1699" s="41" t="str"/>
      <c r="T1699" s="41" t="str"/>
      <c r="U1699" s="41" t="str"/>
      <c r="V1699" s="41" t="str"/>
      <c r="W1699" s="41" t="str"/>
    </row>
    <row r="1700">
      <c r="B1700" s="2" t="n"/>
      <c r="C1700" s="40" t="n"/>
      <c r="D1700" s="52">
        <f t="array" ref="D1700:W1700">IF(All_Students_Scores!C1698:V1698="","",All_Students_Scores!C1698:V1698)</f>
        <v/>
      </c>
      <c r="E1700" s="57" t="str"/>
      <c r="F1700" s="49" t="str"/>
      <c r="G1700" s="59" t="str"/>
      <c r="H1700" s="64" t="str"/>
      <c r="I1700" s="65" t="str"/>
      <c r="J1700" s="49" t="str"/>
      <c r="K1700" s="41" t="str"/>
      <c r="L1700" s="41" t="str"/>
      <c r="M1700" s="41" t="str"/>
      <c r="N1700" s="41" t="str"/>
      <c r="O1700" s="41" t="str"/>
      <c r="P1700" s="41" t="str"/>
      <c r="Q1700" s="41" t="str"/>
      <c r="R1700" s="41" t="str"/>
      <c r="S1700" s="41" t="str"/>
      <c r="T1700" s="41" t="str"/>
      <c r="U1700" s="41" t="str"/>
      <c r="V1700" s="41" t="str"/>
      <c r="W1700" s="41" t="str"/>
    </row>
    <row r="1701">
      <c r="B1701" s="2" t="n"/>
      <c r="C1701" s="40" t="n"/>
      <c r="D1701" s="52">
        <f t="array" ref="D1701:W1701">IF(All_Students_Scores!C1699:V1699="","",All_Students_Scores!C1699:V1699)</f>
        <v/>
      </c>
      <c r="E1701" s="57" t="str"/>
      <c r="F1701" s="49" t="str"/>
      <c r="G1701" s="59" t="str"/>
      <c r="H1701" s="64" t="str"/>
      <c r="I1701" s="65" t="str"/>
      <c r="J1701" s="49" t="str"/>
      <c r="K1701" s="41" t="str"/>
      <c r="L1701" s="41" t="str"/>
      <c r="M1701" s="41" t="str"/>
      <c r="N1701" s="41" t="str"/>
      <c r="O1701" s="41" t="str"/>
      <c r="P1701" s="41" t="str"/>
      <c r="Q1701" s="41" t="str"/>
      <c r="R1701" s="41" t="str"/>
      <c r="S1701" s="41" t="str"/>
      <c r="T1701" s="41" t="str"/>
      <c r="U1701" s="41" t="str"/>
      <c r="V1701" s="41" t="str"/>
      <c r="W1701" s="41" t="str"/>
    </row>
    <row r="1702">
      <c r="B1702" s="2" t="n"/>
      <c r="C1702" s="40" t="n"/>
      <c r="D1702" s="52">
        <f t="array" ref="D1702:W1702">IF(All_Students_Scores!C1700:V1700="","",All_Students_Scores!C1700:V1700)</f>
        <v/>
      </c>
      <c r="E1702" s="57" t="str"/>
      <c r="F1702" s="49" t="str"/>
      <c r="G1702" s="59" t="str"/>
      <c r="H1702" s="64" t="str"/>
      <c r="I1702" s="65" t="str"/>
      <c r="J1702" s="49" t="str"/>
      <c r="K1702" s="41" t="str"/>
      <c r="L1702" s="41" t="str"/>
      <c r="M1702" s="41" t="str"/>
      <c r="N1702" s="41" t="str"/>
      <c r="O1702" s="41" t="str"/>
      <c r="P1702" s="41" t="str"/>
      <c r="Q1702" s="41" t="str"/>
      <c r="R1702" s="41" t="str"/>
      <c r="S1702" s="41" t="str"/>
      <c r="T1702" s="41" t="str"/>
      <c r="U1702" s="41" t="str"/>
      <c r="V1702" s="41" t="str"/>
      <c r="W1702" s="41" t="str"/>
    </row>
    <row r="1703">
      <c r="B1703" s="2" t="n"/>
      <c r="C1703" s="40" t="n"/>
      <c r="D1703" s="52">
        <f t="array" ref="D1703:W1703">IF(All_Students_Scores!C1701:V1701="","",All_Students_Scores!C1701:V1701)</f>
        <v/>
      </c>
      <c r="E1703" s="57" t="str"/>
      <c r="F1703" s="49" t="str"/>
      <c r="G1703" s="59" t="str"/>
      <c r="H1703" s="64" t="str"/>
      <c r="I1703" s="65" t="str"/>
      <c r="J1703" s="49" t="str"/>
      <c r="K1703" s="41" t="str"/>
      <c r="L1703" s="41" t="str"/>
      <c r="M1703" s="41" t="str"/>
      <c r="N1703" s="41" t="str"/>
      <c r="O1703" s="41" t="str"/>
      <c r="P1703" s="41" t="str"/>
      <c r="Q1703" s="41" t="str"/>
      <c r="R1703" s="41" t="str"/>
      <c r="S1703" s="41" t="str"/>
      <c r="T1703" s="41" t="str"/>
      <c r="U1703" s="41" t="str"/>
      <c r="V1703" s="41" t="str"/>
      <c r="W1703" s="41" t="str"/>
    </row>
    <row r="1704">
      <c r="B1704" s="2" t="n"/>
      <c r="C1704" s="40" t="n"/>
      <c r="D1704" s="52">
        <f t="array" ref="D1704:W1704">IF(All_Students_Scores!C1702:V1702="","",All_Students_Scores!C1702:V1702)</f>
        <v/>
      </c>
      <c r="E1704" s="57" t="str"/>
      <c r="F1704" s="49" t="str"/>
      <c r="G1704" s="59" t="str"/>
      <c r="H1704" s="64" t="str"/>
      <c r="I1704" s="65" t="str"/>
      <c r="J1704" s="49" t="str"/>
      <c r="K1704" s="41" t="str"/>
      <c r="L1704" s="41" t="str"/>
      <c r="M1704" s="41" t="str"/>
      <c r="N1704" s="41" t="str"/>
      <c r="O1704" s="41" t="str"/>
      <c r="P1704" s="41" t="str"/>
      <c r="Q1704" s="41" t="str"/>
      <c r="R1704" s="41" t="str"/>
      <c r="S1704" s="41" t="str"/>
      <c r="T1704" s="41" t="str"/>
      <c r="U1704" s="41" t="str"/>
      <c r="V1704" s="41" t="str"/>
      <c r="W1704" s="41" t="str"/>
    </row>
    <row r="1705">
      <c r="B1705" s="2" t="n"/>
      <c r="C1705" s="40" t="n"/>
      <c r="D1705" s="52">
        <f t="array" ref="D1705:W1705">IF(All_Students_Scores!C1703:V1703="","",All_Students_Scores!C1703:V1703)</f>
        <v/>
      </c>
      <c r="E1705" s="57" t="str"/>
      <c r="F1705" s="49" t="str"/>
      <c r="G1705" s="59" t="str"/>
      <c r="H1705" s="64" t="str"/>
      <c r="I1705" s="65" t="str"/>
      <c r="J1705" s="49" t="str"/>
      <c r="K1705" s="41" t="str"/>
      <c r="L1705" s="41" t="str"/>
      <c r="M1705" s="41" t="str"/>
      <c r="N1705" s="41" t="str"/>
      <c r="O1705" s="41" t="str"/>
      <c r="P1705" s="41" t="str"/>
      <c r="Q1705" s="41" t="str"/>
      <c r="R1705" s="41" t="str"/>
      <c r="S1705" s="41" t="str"/>
      <c r="T1705" s="41" t="str"/>
      <c r="U1705" s="41" t="str"/>
      <c r="V1705" s="41" t="str"/>
      <c r="W1705" s="41" t="str"/>
    </row>
    <row r="1706">
      <c r="B1706" s="2" t="n"/>
      <c r="C1706" s="40" t="n"/>
      <c r="D1706" s="52">
        <f t="array" ref="D1706:W1706">IF(All_Students_Scores!C1704:V1704="","",All_Students_Scores!C1704:V1704)</f>
        <v/>
      </c>
      <c r="E1706" s="57" t="str"/>
      <c r="F1706" s="49" t="str"/>
      <c r="G1706" s="59" t="str"/>
      <c r="H1706" s="64" t="str"/>
      <c r="I1706" s="65" t="str"/>
      <c r="J1706" s="49" t="str"/>
      <c r="K1706" s="41" t="str"/>
      <c r="L1706" s="41" t="str"/>
      <c r="M1706" s="41" t="str"/>
      <c r="N1706" s="41" t="str"/>
      <c r="O1706" s="41" t="str"/>
      <c r="P1706" s="41" t="str"/>
      <c r="Q1706" s="41" t="str"/>
      <c r="R1706" s="41" t="str"/>
      <c r="S1706" s="41" t="str"/>
      <c r="T1706" s="41" t="str"/>
      <c r="U1706" s="41" t="str"/>
      <c r="V1706" s="41" t="str"/>
      <c r="W1706" s="41" t="str"/>
    </row>
    <row r="1707">
      <c r="B1707" s="2" t="n"/>
      <c r="C1707" s="40" t="n"/>
      <c r="D1707" s="52">
        <f t="array" ref="D1707:W1707">IF(All_Students_Scores!C1705:V1705="","",All_Students_Scores!C1705:V1705)</f>
        <v/>
      </c>
      <c r="E1707" s="57" t="str"/>
      <c r="F1707" s="49" t="str"/>
      <c r="G1707" s="59" t="str"/>
      <c r="H1707" s="64" t="str"/>
      <c r="I1707" s="65" t="str"/>
      <c r="J1707" s="49" t="str"/>
      <c r="K1707" s="41" t="str"/>
      <c r="L1707" s="41" t="str"/>
      <c r="M1707" s="41" t="str"/>
      <c r="N1707" s="41" t="str"/>
      <c r="O1707" s="41" t="str"/>
      <c r="P1707" s="41" t="str"/>
      <c r="Q1707" s="41" t="str"/>
      <c r="R1707" s="41" t="str"/>
      <c r="S1707" s="41" t="str"/>
      <c r="T1707" s="41" t="str"/>
      <c r="U1707" s="41" t="str"/>
      <c r="V1707" s="41" t="str"/>
      <c r="W1707" s="41" t="str"/>
    </row>
    <row r="1708">
      <c r="B1708" s="2" t="n"/>
      <c r="C1708" s="40" t="n"/>
      <c r="D1708" s="52">
        <f t="array" ref="D1708:W1708">IF(All_Students_Scores!C1706:V1706="","",All_Students_Scores!C1706:V1706)</f>
        <v/>
      </c>
      <c r="E1708" s="57" t="str"/>
      <c r="F1708" s="49" t="str"/>
      <c r="G1708" s="59" t="str"/>
      <c r="H1708" s="64" t="str"/>
      <c r="I1708" s="65" t="str"/>
      <c r="J1708" s="49" t="str"/>
      <c r="K1708" s="41" t="str"/>
      <c r="L1708" s="41" t="str"/>
      <c r="M1708" s="41" t="str"/>
      <c r="N1708" s="41" t="str"/>
      <c r="O1708" s="41" t="str"/>
      <c r="P1708" s="41" t="str"/>
      <c r="Q1708" s="41" t="str"/>
      <c r="R1708" s="41" t="str"/>
      <c r="S1708" s="41" t="str"/>
      <c r="T1708" s="41" t="str"/>
      <c r="U1708" s="41" t="str"/>
      <c r="V1708" s="41" t="str"/>
      <c r="W1708" s="41" t="str"/>
    </row>
    <row r="1709">
      <c r="B1709" s="2" t="n"/>
      <c r="C1709" s="40" t="n"/>
      <c r="D1709" s="52">
        <f t="array" ref="D1709:W1709">IF(All_Students_Scores!C1707:V1707="","",All_Students_Scores!C1707:V1707)</f>
        <v/>
      </c>
      <c r="E1709" s="57" t="str"/>
      <c r="F1709" s="49" t="str"/>
      <c r="G1709" s="59" t="str"/>
      <c r="H1709" s="64" t="str"/>
      <c r="I1709" s="65" t="str"/>
      <c r="J1709" s="49" t="str"/>
      <c r="K1709" s="41" t="str"/>
      <c r="L1709" s="41" t="str"/>
      <c r="M1709" s="41" t="str"/>
      <c r="N1709" s="41" t="str"/>
      <c r="O1709" s="41" t="str"/>
      <c r="P1709" s="41" t="str"/>
      <c r="Q1709" s="41" t="str"/>
      <c r="R1709" s="41" t="str"/>
      <c r="S1709" s="41" t="str"/>
      <c r="T1709" s="41" t="str"/>
      <c r="U1709" s="41" t="str"/>
      <c r="V1709" s="41" t="str"/>
      <c r="W1709" s="41" t="str"/>
    </row>
    <row r="1710">
      <c r="B1710" s="2" t="n"/>
      <c r="C1710" s="40" t="n"/>
      <c r="D1710" s="52">
        <f t="array" ref="D1710:W1710">IF(All_Students_Scores!C1708:V1708="","",All_Students_Scores!C1708:V1708)</f>
        <v/>
      </c>
      <c r="E1710" s="57" t="str"/>
      <c r="F1710" s="49" t="str"/>
      <c r="G1710" s="59" t="str"/>
      <c r="H1710" s="64" t="str"/>
      <c r="I1710" s="65" t="str"/>
      <c r="J1710" s="49" t="str"/>
      <c r="K1710" s="41" t="str"/>
      <c r="L1710" s="41" t="str"/>
      <c r="M1710" s="41" t="str"/>
      <c r="N1710" s="41" t="str"/>
      <c r="O1710" s="41" t="str"/>
      <c r="P1710" s="41" t="str"/>
      <c r="Q1710" s="41" t="str"/>
      <c r="R1710" s="41" t="str"/>
      <c r="S1710" s="41" t="str"/>
      <c r="T1710" s="41" t="str"/>
      <c r="U1710" s="41" t="str"/>
      <c r="V1710" s="41" t="str"/>
      <c r="W1710" s="41" t="str"/>
    </row>
    <row r="1711">
      <c r="B1711" s="2" t="n"/>
      <c r="C1711" s="40" t="n"/>
      <c r="D1711" s="52">
        <f t="array" ref="D1711:W1711">IF(All_Students_Scores!C1709:V1709="","",All_Students_Scores!C1709:V1709)</f>
        <v/>
      </c>
      <c r="E1711" s="57" t="str"/>
      <c r="F1711" s="49" t="str"/>
      <c r="G1711" s="59" t="str"/>
      <c r="H1711" s="64" t="str"/>
      <c r="I1711" s="65" t="str"/>
      <c r="J1711" s="49" t="str"/>
      <c r="K1711" s="41" t="str"/>
      <c r="L1711" s="41" t="str"/>
      <c r="M1711" s="41" t="str"/>
      <c r="N1711" s="41" t="str"/>
      <c r="O1711" s="41" t="str"/>
      <c r="P1711" s="41" t="str"/>
      <c r="Q1711" s="41" t="str"/>
      <c r="R1711" s="41" t="str"/>
      <c r="S1711" s="41" t="str"/>
      <c r="T1711" s="41" t="str"/>
      <c r="U1711" s="41" t="str"/>
      <c r="V1711" s="41" t="str"/>
      <c r="W1711" s="41" t="str"/>
    </row>
    <row r="1712">
      <c r="B1712" s="2" t="n"/>
      <c r="C1712" s="40" t="n"/>
      <c r="D1712" s="52">
        <f t="array" ref="D1712:W1712">IF(All_Students_Scores!C1710:V1710="","",All_Students_Scores!C1710:V1710)</f>
        <v/>
      </c>
      <c r="E1712" s="57" t="str"/>
      <c r="F1712" s="49" t="str"/>
      <c r="G1712" s="59" t="str"/>
      <c r="H1712" s="64" t="str"/>
      <c r="I1712" s="65" t="str"/>
      <c r="J1712" s="49" t="str"/>
      <c r="K1712" s="41" t="str"/>
      <c r="L1712" s="41" t="str"/>
      <c r="M1712" s="41" t="str"/>
      <c r="N1712" s="41" t="str"/>
      <c r="O1712" s="41" t="str"/>
      <c r="P1712" s="41" t="str"/>
      <c r="Q1712" s="41" t="str"/>
      <c r="R1712" s="41" t="str"/>
      <c r="S1712" s="41" t="str"/>
      <c r="T1712" s="41" t="str"/>
      <c r="U1712" s="41" t="str"/>
      <c r="V1712" s="41" t="str"/>
      <c r="W1712" s="41" t="str"/>
    </row>
    <row r="1713">
      <c r="B1713" s="2" t="n"/>
      <c r="C1713" s="40" t="n"/>
      <c r="D1713" s="52">
        <f t="array" ref="D1713:W1713">IF(All_Students_Scores!C1711:V1711="","",All_Students_Scores!C1711:V1711)</f>
        <v/>
      </c>
      <c r="E1713" s="57" t="str"/>
      <c r="F1713" s="49" t="str"/>
      <c r="G1713" s="59" t="str"/>
      <c r="H1713" s="64" t="str"/>
      <c r="I1713" s="65" t="str"/>
      <c r="J1713" s="49" t="str"/>
      <c r="K1713" s="41" t="str"/>
      <c r="L1713" s="41" t="str"/>
      <c r="M1713" s="41" t="str"/>
      <c r="N1713" s="41" t="str"/>
      <c r="O1713" s="41" t="str"/>
      <c r="P1713" s="41" t="str"/>
      <c r="Q1713" s="41" t="str"/>
      <c r="R1713" s="41" t="str"/>
      <c r="S1713" s="41" t="str"/>
      <c r="T1713" s="41" t="str"/>
      <c r="U1713" s="41" t="str"/>
      <c r="V1713" s="41" t="str"/>
      <c r="W1713" s="41" t="str"/>
    </row>
    <row r="1714">
      <c r="B1714" s="2" t="n"/>
      <c r="C1714" s="40" t="n"/>
      <c r="D1714" s="52">
        <f t="array" ref="D1714:W1714">IF(All_Students_Scores!C1712:V1712="","",All_Students_Scores!C1712:V1712)</f>
        <v/>
      </c>
      <c r="E1714" s="57" t="str"/>
      <c r="F1714" s="49" t="str"/>
      <c r="G1714" s="59" t="str"/>
      <c r="H1714" s="64" t="str"/>
      <c r="I1714" s="65" t="str"/>
      <c r="J1714" s="49" t="str"/>
      <c r="K1714" s="41" t="str"/>
      <c r="L1714" s="41" t="str"/>
      <c r="M1714" s="41" t="str"/>
      <c r="N1714" s="41" t="str"/>
      <c r="O1714" s="41" t="str"/>
      <c r="P1714" s="41" t="str"/>
      <c r="Q1714" s="41" t="str"/>
      <c r="R1714" s="41" t="str"/>
      <c r="S1714" s="41" t="str"/>
      <c r="T1714" s="41" t="str"/>
      <c r="U1714" s="41" t="str"/>
      <c r="V1714" s="41" t="str"/>
      <c r="W1714" s="41" t="str"/>
    </row>
    <row r="1715">
      <c r="B1715" s="2" t="n"/>
      <c r="C1715" s="40" t="n"/>
      <c r="D1715" s="52">
        <f t="array" ref="D1715:W1715">IF(All_Students_Scores!C1713:V1713="","",All_Students_Scores!C1713:V1713)</f>
        <v/>
      </c>
      <c r="E1715" s="57" t="str"/>
      <c r="F1715" s="49" t="str"/>
      <c r="G1715" s="59" t="str"/>
      <c r="H1715" s="64" t="str"/>
      <c r="I1715" s="65" t="str"/>
      <c r="J1715" s="49" t="str"/>
      <c r="K1715" s="41" t="str"/>
      <c r="L1715" s="41" t="str"/>
      <c r="M1715" s="41" t="str"/>
      <c r="N1715" s="41" t="str"/>
      <c r="O1715" s="41" t="str"/>
      <c r="P1715" s="41" t="str"/>
      <c r="Q1715" s="41" t="str"/>
      <c r="R1715" s="41" t="str"/>
      <c r="S1715" s="41" t="str"/>
      <c r="T1715" s="41" t="str"/>
      <c r="U1715" s="41" t="str"/>
      <c r="V1715" s="41" t="str"/>
      <c r="W1715" s="41" t="str"/>
    </row>
    <row r="1716">
      <c r="B1716" s="2" t="n"/>
      <c r="C1716" s="40" t="n"/>
      <c r="D1716" s="52">
        <f t="array" ref="D1716:W1716">IF(All_Students_Scores!C1714:V1714="","",All_Students_Scores!C1714:V1714)</f>
        <v/>
      </c>
      <c r="E1716" s="57" t="str"/>
      <c r="F1716" s="49" t="str"/>
      <c r="G1716" s="59" t="str"/>
      <c r="H1716" s="64" t="str"/>
      <c r="I1716" s="65" t="str"/>
      <c r="J1716" s="49" t="str"/>
      <c r="K1716" s="41" t="str"/>
      <c r="L1716" s="41" t="str"/>
      <c r="M1716" s="41" t="str"/>
      <c r="N1716" s="41" t="str"/>
      <c r="O1716" s="41" t="str"/>
      <c r="P1716" s="41" t="str"/>
      <c r="Q1716" s="41" t="str"/>
      <c r="R1716" s="41" t="str"/>
      <c r="S1716" s="41" t="str"/>
      <c r="T1716" s="41" t="str"/>
      <c r="U1716" s="41" t="str"/>
      <c r="V1716" s="41" t="str"/>
      <c r="W1716" s="41" t="str"/>
    </row>
    <row r="1717">
      <c r="B1717" s="2" t="n"/>
      <c r="C1717" s="40" t="n"/>
      <c r="D1717" s="52">
        <f t="array" ref="D1717:W1717">IF(All_Students_Scores!C1715:V1715="","",All_Students_Scores!C1715:V1715)</f>
        <v/>
      </c>
      <c r="E1717" s="57" t="str"/>
      <c r="F1717" s="49" t="str"/>
      <c r="G1717" s="59" t="str"/>
      <c r="H1717" s="64" t="str"/>
      <c r="I1717" s="65" t="str"/>
      <c r="J1717" s="49" t="str"/>
      <c r="K1717" s="41" t="str"/>
      <c r="L1717" s="41" t="str"/>
      <c r="M1717" s="41" t="str"/>
      <c r="N1717" s="41" t="str"/>
      <c r="O1717" s="41" t="str"/>
      <c r="P1717" s="41" t="str"/>
      <c r="Q1717" s="41" t="str"/>
      <c r="R1717" s="41" t="str"/>
      <c r="S1717" s="41" t="str"/>
      <c r="T1717" s="41" t="str"/>
      <c r="U1717" s="41" t="str"/>
      <c r="V1717" s="41" t="str"/>
      <c r="W1717" s="41" t="str"/>
    </row>
    <row r="1718">
      <c r="B1718" s="2" t="n"/>
      <c r="C1718" s="40" t="n"/>
      <c r="D1718" s="52">
        <f t="array" ref="D1718:W1718">IF(All_Students_Scores!C1716:V1716="","",All_Students_Scores!C1716:V1716)</f>
        <v/>
      </c>
      <c r="E1718" s="57" t="str"/>
      <c r="F1718" s="49" t="str"/>
      <c r="G1718" s="59" t="str"/>
      <c r="H1718" s="64" t="str"/>
      <c r="I1718" s="65" t="str"/>
      <c r="J1718" s="49" t="str"/>
      <c r="K1718" s="41" t="str"/>
      <c r="L1718" s="41" t="str"/>
      <c r="M1718" s="41" t="str"/>
      <c r="N1718" s="41" t="str"/>
      <c r="O1718" s="41" t="str"/>
      <c r="P1718" s="41" t="str"/>
      <c r="Q1718" s="41" t="str"/>
      <c r="R1718" s="41" t="str"/>
      <c r="S1718" s="41" t="str"/>
      <c r="T1718" s="41" t="str"/>
      <c r="U1718" s="41" t="str"/>
      <c r="V1718" s="41" t="str"/>
      <c r="W1718" s="41" t="str"/>
    </row>
    <row r="1719">
      <c r="B1719" s="2" t="n"/>
      <c r="C1719" s="40" t="n"/>
      <c r="D1719" s="52">
        <f t="array" ref="D1719:W1719">IF(All_Students_Scores!C1717:V1717="","",All_Students_Scores!C1717:V1717)</f>
        <v/>
      </c>
      <c r="E1719" s="57" t="str"/>
      <c r="F1719" s="49" t="str"/>
      <c r="G1719" s="59" t="str"/>
      <c r="H1719" s="64" t="str"/>
      <c r="I1719" s="65" t="str"/>
      <c r="J1719" s="49" t="str"/>
      <c r="K1719" s="41" t="str"/>
      <c r="L1719" s="41" t="str"/>
      <c r="M1719" s="41" t="str"/>
      <c r="N1719" s="41" t="str"/>
      <c r="O1719" s="41" t="str"/>
      <c r="P1719" s="41" t="str"/>
      <c r="Q1719" s="41" t="str"/>
      <c r="R1719" s="41" t="str"/>
      <c r="S1719" s="41" t="str"/>
      <c r="T1719" s="41" t="str"/>
      <c r="U1719" s="41" t="str"/>
      <c r="V1719" s="41" t="str"/>
      <c r="W1719" s="41" t="str"/>
    </row>
    <row r="1720">
      <c r="B1720" s="2" t="n"/>
      <c r="C1720" s="40" t="n"/>
      <c r="D1720" s="52">
        <f t="array" ref="D1720:W1720">IF(All_Students_Scores!C1718:V1718="","",All_Students_Scores!C1718:V1718)</f>
        <v/>
      </c>
      <c r="E1720" s="57" t="str"/>
      <c r="F1720" s="49" t="str"/>
      <c r="G1720" s="59" t="str"/>
      <c r="H1720" s="64" t="str"/>
      <c r="I1720" s="65" t="str"/>
      <c r="J1720" s="49" t="str"/>
      <c r="K1720" s="41" t="str"/>
      <c r="L1720" s="41" t="str"/>
      <c r="M1720" s="41" t="str"/>
      <c r="N1720" s="41" t="str"/>
      <c r="O1720" s="41" t="str"/>
      <c r="P1720" s="41" t="str"/>
      <c r="Q1720" s="41" t="str"/>
      <c r="R1720" s="41" t="str"/>
      <c r="S1720" s="41" t="str"/>
      <c r="T1720" s="41" t="str"/>
      <c r="U1720" s="41" t="str"/>
      <c r="V1720" s="41" t="str"/>
      <c r="W1720" s="41" t="str"/>
    </row>
    <row r="1721">
      <c r="B1721" s="2" t="n"/>
      <c r="C1721" s="40" t="n"/>
      <c r="D1721" s="52">
        <f t="array" ref="D1721:W1721">IF(All_Students_Scores!C1719:V1719="","",All_Students_Scores!C1719:V1719)</f>
        <v/>
      </c>
      <c r="E1721" s="57" t="str"/>
      <c r="F1721" s="49" t="str"/>
      <c r="G1721" s="59" t="str"/>
      <c r="H1721" s="64" t="str"/>
      <c r="I1721" s="65" t="str"/>
      <c r="J1721" s="49" t="str"/>
      <c r="K1721" s="41" t="str"/>
      <c r="L1721" s="41" t="str"/>
      <c r="M1721" s="41" t="str"/>
      <c r="N1721" s="41" t="str"/>
      <c r="O1721" s="41" t="str"/>
      <c r="P1721" s="41" t="str"/>
      <c r="Q1721" s="41" t="str"/>
      <c r="R1721" s="41" t="str"/>
      <c r="S1721" s="41" t="str"/>
      <c r="T1721" s="41" t="str"/>
      <c r="U1721" s="41" t="str"/>
      <c r="V1721" s="41" t="str"/>
      <c r="W1721" s="41" t="str"/>
    </row>
    <row r="1722">
      <c r="B1722" s="2" t="n"/>
      <c r="C1722" s="40" t="n"/>
      <c r="D1722" s="52">
        <f t="array" ref="D1722:W1722">IF(All_Students_Scores!C1720:V1720="","",All_Students_Scores!C1720:V1720)</f>
        <v/>
      </c>
      <c r="E1722" s="57" t="str"/>
      <c r="F1722" s="49" t="str"/>
      <c r="G1722" s="59" t="str"/>
      <c r="H1722" s="64" t="str"/>
      <c r="I1722" s="65" t="str"/>
      <c r="J1722" s="49" t="str"/>
      <c r="K1722" s="41" t="str"/>
      <c r="L1722" s="41" t="str"/>
      <c r="M1722" s="41" t="str"/>
      <c r="N1722" s="41" t="str"/>
      <c r="O1722" s="41" t="str"/>
      <c r="P1722" s="41" t="str"/>
      <c r="Q1722" s="41" t="str"/>
      <c r="R1722" s="41" t="str"/>
      <c r="S1722" s="41" t="str"/>
      <c r="T1722" s="41" t="str"/>
      <c r="U1722" s="41" t="str"/>
      <c r="V1722" s="41" t="str"/>
      <c r="W1722" s="41" t="str"/>
    </row>
    <row r="1723">
      <c r="B1723" s="2" t="n"/>
      <c r="C1723" s="40" t="n"/>
      <c r="D1723" s="52">
        <f t="array" ref="D1723:W1723">IF(All_Students_Scores!C1721:V1721="","",All_Students_Scores!C1721:V1721)</f>
        <v/>
      </c>
      <c r="E1723" s="57" t="str"/>
      <c r="F1723" s="49" t="str"/>
      <c r="G1723" s="59" t="str"/>
      <c r="H1723" s="64" t="str"/>
      <c r="I1723" s="65" t="str"/>
      <c r="J1723" s="49" t="str"/>
      <c r="K1723" s="41" t="str"/>
      <c r="L1723" s="41" t="str"/>
      <c r="M1723" s="41" t="str"/>
      <c r="N1723" s="41" t="str"/>
      <c r="O1723" s="41" t="str"/>
      <c r="P1723" s="41" t="str"/>
      <c r="Q1723" s="41" t="str"/>
      <c r="R1723" s="41" t="str"/>
      <c r="S1723" s="41" t="str"/>
      <c r="T1723" s="41" t="str"/>
      <c r="U1723" s="41" t="str"/>
      <c r="V1723" s="41" t="str"/>
      <c r="W1723" s="41" t="str"/>
    </row>
    <row r="1724">
      <c r="B1724" s="2" t="n"/>
      <c r="C1724" s="40" t="n"/>
      <c r="D1724" s="52">
        <f t="array" ref="D1724:W1724">IF(All_Students_Scores!C1722:V1722="","",All_Students_Scores!C1722:V1722)</f>
        <v/>
      </c>
      <c r="E1724" s="57" t="str"/>
      <c r="F1724" s="49" t="str"/>
      <c r="G1724" s="59" t="str"/>
      <c r="H1724" s="64" t="str"/>
      <c r="I1724" s="65" t="str"/>
      <c r="J1724" s="49" t="str"/>
      <c r="K1724" s="41" t="str"/>
      <c r="L1724" s="41" t="str"/>
      <c r="M1724" s="41" t="str"/>
      <c r="N1724" s="41" t="str"/>
      <c r="O1724" s="41" t="str"/>
      <c r="P1724" s="41" t="str"/>
      <c r="Q1724" s="41" t="str"/>
      <c r="R1724" s="41" t="str"/>
      <c r="S1724" s="41" t="str"/>
      <c r="T1724" s="41" t="str"/>
      <c r="U1724" s="41" t="str"/>
      <c r="V1724" s="41" t="str"/>
      <c r="W1724" s="41" t="str"/>
    </row>
    <row r="1725">
      <c r="B1725" s="2" t="n"/>
      <c r="C1725" s="40" t="n"/>
      <c r="D1725" s="52">
        <f t="array" ref="D1725:W1725">IF(All_Students_Scores!C1723:V1723="","",All_Students_Scores!C1723:V1723)</f>
        <v/>
      </c>
      <c r="E1725" s="57" t="str"/>
      <c r="F1725" s="49" t="str"/>
      <c r="G1725" s="59" t="str"/>
      <c r="H1725" s="64" t="str"/>
      <c r="I1725" s="65" t="str"/>
      <c r="J1725" s="49" t="str"/>
      <c r="K1725" s="41" t="str"/>
      <c r="L1725" s="41" t="str"/>
      <c r="M1725" s="41" t="str"/>
      <c r="N1725" s="41" t="str"/>
      <c r="O1725" s="41" t="str"/>
      <c r="P1725" s="41" t="str"/>
      <c r="Q1725" s="41" t="str"/>
      <c r="R1725" s="41" t="str"/>
      <c r="S1725" s="41" t="str"/>
      <c r="T1725" s="41" t="str"/>
      <c r="U1725" s="41" t="str"/>
      <c r="V1725" s="41" t="str"/>
      <c r="W1725" s="41" t="str"/>
    </row>
    <row r="1726">
      <c r="B1726" s="2" t="n"/>
      <c r="C1726" s="40" t="n"/>
      <c r="D1726" s="52">
        <f t="array" ref="D1726:W1726">IF(All_Students_Scores!C1724:V1724="","",All_Students_Scores!C1724:V1724)</f>
        <v/>
      </c>
      <c r="E1726" s="57" t="str"/>
      <c r="F1726" s="49" t="str"/>
      <c r="G1726" s="59" t="str"/>
      <c r="H1726" s="64" t="str"/>
      <c r="I1726" s="65" t="str"/>
      <c r="J1726" s="49" t="str"/>
      <c r="K1726" s="41" t="str"/>
      <c r="L1726" s="41" t="str"/>
      <c r="M1726" s="41" t="str"/>
      <c r="N1726" s="41" t="str"/>
      <c r="O1726" s="41" t="str"/>
      <c r="P1726" s="41" t="str"/>
      <c r="Q1726" s="41" t="str"/>
      <c r="R1726" s="41" t="str"/>
      <c r="S1726" s="41" t="str"/>
      <c r="T1726" s="41" t="str"/>
      <c r="U1726" s="41" t="str"/>
      <c r="V1726" s="41" t="str"/>
      <c r="W1726" s="41" t="str"/>
    </row>
    <row r="1727">
      <c r="B1727" s="2" t="n"/>
      <c r="C1727" s="40" t="n"/>
      <c r="D1727" s="52">
        <f t="array" ref="D1727:W1727">IF(All_Students_Scores!C1725:V1725="","",All_Students_Scores!C1725:V1725)</f>
        <v/>
      </c>
      <c r="E1727" s="57" t="str"/>
      <c r="F1727" s="49" t="str"/>
      <c r="G1727" s="59" t="str"/>
      <c r="H1727" s="64" t="str"/>
      <c r="I1727" s="65" t="str"/>
      <c r="J1727" s="49" t="str"/>
      <c r="K1727" s="41" t="str"/>
      <c r="L1727" s="41" t="str"/>
      <c r="M1727" s="41" t="str"/>
      <c r="N1727" s="41" t="str"/>
      <c r="O1727" s="41" t="str"/>
      <c r="P1727" s="41" t="str"/>
      <c r="Q1727" s="41" t="str"/>
      <c r="R1727" s="41" t="str"/>
      <c r="S1727" s="41" t="str"/>
      <c r="T1727" s="41" t="str"/>
      <c r="U1727" s="41" t="str"/>
      <c r="V1727" s="41" t="str"/>
      <c r="W1727" s="41" t="str"/>
    </row>
    <row r="1728">
      <c r="B1728" s="2" t="n"/>
      <c r="C1728" s="40" t="n"/>
      <c r="D1728" s="52">
        <f t="array" ref="D1728:W1728">IF(All_Students_Scores!C1726:V1726="","",All_Students_Scores!C1726:V1726)</f>
        <v/>
      </c>
      <c r="E1728" s="57" t="str"/>
      <c r="F1728" s="49" t="str"/>
      <c r="G1728" s="59" t="str"/>
      <c r="H1728" s="64" t="str"/>
      <c r="I1728" s="65" t="str"/>
      <c r="J1728" s="49" t="str"/>
      <c r="K1728" s="41" t="str"/>
      <c r="L1728" s="41" t="str"/>
      <c r="M1728" s="41" t="str"/>
      <c r="N1728" s="41" t="str"/>
      <c r="O1728" s="41" t="str"/>
      <c r="P1728" s="41" t="str"/>
      <c r="Q1728" s="41" t="str"/>
      <c r="R1728" s="41" t="str"/>
      <c r="S1728" s="41" t="str"/>
      <c r="T1728" s="41" t="str"/>
      <c r="U1728" s="41" t="str"/>
      <c r="V1728" s="41" t="str"/>
      <c r="W1728" s="41" t="str"/>
    </row>
    <row r="1729">
      <c r="B1729" s="2" t="n"/>
      <c r="C1729" s="40" t="n"/>
      <c r="D1729" s="52">
        <f t="array" ref="D1729:W1729">IF(All_Students_Scores!C1727:V1727="","",All_Students_Scores!C1727:V1727)</f>
        <v/>
      </c>
      <c r="E1729" s="57" t="str"/>
      <c r="F1729" s="49" t="str"/>
      <c r="G1729" s="59" t="str"/>
      <c r="H1729" s="64" t="str"/>
      <c r="I1729" s="65" t="str"/>
      <c r="J1729" s="49" t="str"/>
      <c r="K1729" s="41" t="str"/>
      <c r="L1729" s="41" t="str"/>
      <c r="M1729" s="41" t="str"/>
      <c r="N1729" s="41" t="str"/>
      <c r="O1729" s="41" t="str"/>
      <c r="P1729" s="41" t="str"/>
      <c r="Q1729" s="41" t="str"/>
      <c r="R1729" s="41" t="str"/>
      <c r="S1729" s="41" t="str"/>
      <c r="T1729" s="41" t="str"/>
      <c r="U1729" s="41" t="str"/>
      <c r="V1729" s="41" t="str"/>
      <c r="W1729" s="41" t="str"/>
    </row>
    <row r="1730">
      <c r="B1730" s="2" t="n"/>
      <c r="C1730" s="40" t="n"/>
      <c r="D1730" s="52">
        <f t="array" ref="D1730:W1730">IF(All_Students_Scores!C1728:V1728="","",All_Students_Scores!C1728:V1728)</f>
        <v/>
      </c>
      <c r="E1730" s="57" t="str"/>
      <c r="F1730" s="49" t="str"/>
      <c r="G1730" s="59" t="str"/>
      <c r="H1730" s="64" t="str"/>
      <c r="I1730" s="65" t="str"/>
      <c r="J1730" s="49" t="str"/>
      <c r="K1730" s="41" t="str"/>
      <c r="L1730" s="41" t="str"/>
      <c r="M1730" s="41" t="str"/>
      <c r="N1730" s="41" t="str"/>
      <c r="O1730" s="41" t="str"/>
      <c r="P1730" s="41" t="str"/>
      <c r="Q1730" s="41" t="str"/>
      <c r="R1730" s="41" t="str"/>
      <c r="S1730" s="41" t="str"/>
      <c r="T1730" s="41" t="str"/>
      <c r="U1730" s="41" t="str"/>
      <c r="V1730" s="41" t="str"/>
      <c r="W1730" s="41" t="str"/>
    </row>
    <row r="1731">
      <c r="B1731" s="2" t="n"/>
      <c r="C1731" s="40" t="n"/>
      <c r="D1731" s="52">
        <f t="array" ref="D1731:W1731">IF(All_Students_Scores!C1729:V1729="","",All_Students_Scores!C1729:V1729)</f>
        <v/>
      </c>
      <c r="E1731" s="57" t="str"/>
      <c r="F1731" s="49" t="str"/>
      <c r="G1731" s="59" t="str"/>
      <c r="H1731" s="64" t="str"/>
      <c r="I1731" s="65" t="str"/>
      <c r="J1731" s="49" t="str"/>
      <c r="K1731" s="41" t="str"/>
      <c r="L1731" s="41" t="str"/>
      <c r="M1731" s="41" t="str"/>
      <c r="N1731" s="41" t="str"/>
      <c r="O1731" s="41" t="str"/>
      <c r="P1731" s="41" t="str"/>
      <c r="Q1731" s="41" t="str"/>
      <c r="R1731" s="41" t="str"/>
      <c r="S1731" s="41" t="str"/>
      <c r="T1731" s="41" t="str"/>
      <c r="U1731" s="41" t="str"/>
      <c r="V1731" s="41" t="str"/>
      <c r="W1731" s="41" t="str"/>
    </row>
    <row r="1732">
      <c r="B1732" s="2" t="n"/>
      <c r="C1732" s="40" t="n"/>
      <c r="D1732" s="52">
        <f t="array" ref="D1732:W1732">IF(All_Students_Scores!C1730:V1730="","",All_Students_Scores!C1730:V1730)</f>
        <v/>
      </c>
      <c r="E1732" s="57" t="str"/>
      <c r="F1732" s="49" t="str"/>
      <c r="G1732" s="59" t="str"/>
      <c r="H1732" s="64" t="str"/>
      <c r="I1732" s="65" t="str"/>
      <c r="J1732" s="49" t="str"/>
      <c r="K1732" s="41" t="str"/>
      <c r="L1732" s="41" t="str"/>
      <c r="M1732" s="41" t="str"/>
      <c r="N1732" s="41" t="str"/>
      <c r="O1732" s="41" t="str"/>
      <c r="P1732" s="41" t="str"/>
      <c r="Q1732" s="41" t="str"/>
      <c r="R1732" s="41" t="str"/>
      <c r="S1732" s="41" t="str"/>
      <c r="T1732" s="41" t="str"/>
      <c r="U1732" s="41" t="str"/>
      <c r="V1732" s="41" t="str"/>
      <c r="W1732" s="41" t="str"/>
    </row>
    <row r="1733">
      <c r="B1733" s="2" t="n"/>
      <c r="C1733" s="40" t="n"/>
      <c r="D1733" s="52">
        <f t="array" ref="D1733:W1733">IF(All_Students_Scores!C1731:V1731="","",All_Students_Scores!C1731:V1731)</f>
        <v/>
      </c>
      <c r="E1733" s="57" t="str"/>
      <c r="F1733" s="49" t="str"/>
      <c r="G1733" s="59" t="str"/>
      <c r="H1733" s="64" t="str"/>
      <c r="I1733" s="65" t="str"/>
      <c r="J1733" s="49" t="str"/>
      <c r="K1733" s="41" t="str"/>
      <c r="L1733" s="41" t="str"/>
      <c r="M1733" s="41" t="str"/>
      <c r="N1733" s="41" t="str"/>
      <c r="O1733" s="41" t="str"/>
      <c r="P1733" s="41" t="str"/>
      <c r="Q1733" s="41" t="str"/>
      <c r="R1733" s="41" t="str"/>
      <c r="S1733" s="41" t="str"/>
      <c r="T1733" s="41" t="str"/>
      <c r="U1733" s="41" t="str"/>
      <c r="V1733" s="41" t="str"/>
      <c r="W1733" s="41" t="str"/>
    </row>
    <row r="1734">
      <c r="B1734" s="2" t="n"/>
      <c r="C1734" s="40" t="n"/>
      <c r="D1734" s="52">
        <f t="array" ref="D1734:W1734">IF(All_Students_Scores!C1732:V1732="","",All_Students_Scores!C1732:V1732)</f>
        <v/>
      </c>
      <c r="E1734" s="57" t="str"/>
      <c r="F1734" s="49" t="str"/>
      <c r="G1734" s="59" t="str"/>
      <c r="H1734" s="64" t="str"/>
      <c r="I1734" s="65" t="str"/>
      <c r="J1734" s="49" t="str"/>
      <c r="K1734" s="41" t="str"/>
      <c r="L1734" s="41" t="str"/>
      <c r="M1734" s="41" t="str"/>
      <c r="N1734" s="41" t="str"/>
      <c r="O1734" s="41" t="str"/>
      <c r="P1734" s="41" t="str"/>
      <c r="Q1734" s="41" t="str"/>
      <c r="R1734" s="41" t="str"/>
      <c r="S1734" s="41" t="str"/>
      <c r="T1734" s="41" t="str"/>
      <c r="U1734" s="41" t="str"/>
      <c r="V1734" s="41" t="str"/>
      <c r="W1734" s="41" t="str"/>
    </row>
    <row r="1735">
      <c r="B1735" s="2" t="n"/>
      <c r="C1735" s="40" t="n"/>
      <c r="D1735" s="52">
        <f t="array" ref="D1735:W1735">IF(All_Students_Scores!C1733:V1733="","",All_Students_Scores!C1733:V1733)</f>
        <v/>
      </c>
      <c r="E1735" s="57" t="str"/>
      <c r="F1735" s="49" t="str"/>
      <c r="G1735" s="59" t="str"/>
      <c r="H1735" s="64" t="str"/>
      <c r="I1735" s="65" t="str"/>
      <c r="J1735" s="49" t="str"/>
      <c r="K1735" s="41" t="str"/>
      <c r="L1735" s="41" t="str"/>
      <c r="M1735" s="41" t="str"/>
      <c r="N1735" s="41" t="str"/>
      <c r="O1735" s="41" t="str"/>
      <c r="P1735" s="41" t="str"/>
      <c r="Q1735" s="41" t="str"/>
      <c r="R1735" s="41" t="str"/>
      <c r="S1735" s="41" t="str"/>
      <c r="T1735" s="41" t="str"/>
      <c r="U1735" s="41" t="str"/>
      <c r="V1735" s="41" t="str"/>
      <c r="W1735" s="41" t="str"/>
    </row>
    <row r="1736">
      <c r="B1736" s="2" t="n"/>
      <c r="C1736" s="40" t="n"/>
      <c r="D1736" s="52">
        <f t="array" ref="D1736:W1736">IF(All_Students_Scores!C1734:V1734="","",All_Students_Scores!C1734:V1734)</f>
        <v/>
      </c>
      <c r="E1736" s="57" t="str"/>
      <c r="F1736" s="49" t="str"/>
      <c r="G1736" s="59" t="str"/>
      <c r="H1736" s="64" t="str"/>
      <c r="I1736" s="65" t="str"/>
      <c r="J1736" s="49" t="str"/>
      <c r="K1736" s="41" t="str"/>
      <c r="L1736" s="41" t="str"/>
      <c r="M1736" s="41" t="str"/>
      <c r="N1736" s="41" t="str"/>
      <c r="O1736" s="41" t="str"/>
      <c r="P1736" s="41" t="str"/>
      <c r="Q1736" s="41" t="str"/>
      <c r="R1736" s="41" t="str"/>
      <c r="S1736" s="41" t="str"/>
      <c r="T1736" s="41" t="str"/>
      <c r="U1736" s="41" t="str"/>
      <c r="V1736" s="41" t="str"/>
      <c r="W1736" s="41" t="str"/>
    </row>
    <row r="1737">
      <c r="B1737" s="2" t="n"/>
      <c r="C1737" s="40" t="n"/>
      <c r="D1737" s="52">
        <f t="array" ref="D1737:W1737">IF(All_Students_Scores!C1735:V1735="","",All_Students_Scores!C1735:V1735)</f>
        <v/>
      </c>
      <c r="E1737" s="57" t="str"/>
      <c r="F1737" s="49" t="str"/>
      <c r="G1737" s="59" t="str"/>
      <c r="H1737" s="64" t="str"/>
      <c r="I1737" s="65" t="str"/>
      <c r="J1737" s="49" t="str"/>
      <c r="K1737" s="41" t="str"/>
      <c r="L1737" s="41" t="str"/>
      <c r="M1737" s="41" t="str"/>
      <c r="N1737" s="41" t="str"/>
      <c r="O1737" s="41" t="str"/>
      <c r="P1737" s="41" t="str"/>
      <c r="Q1737" s="41" t="str"/>
      <c r="R1737" s="41" t="str"/>
      <c r="S1737" s="41" t="str"/>
      <c r="T1737" s="41" t="str"/>
      <c r="U1737" s="41" t="str"/>
      <c r="V1737" s="41" t="str"/>
      <c r="W1737" s="41" t="str"/>
    </row>
    <row r="1738">
      <c r="B1738" s="2" t="n"/>
      <c r="C1738" s="40" t="n"/>
      <c r="D1738" s="52">
        <f t="array" ref="D1738:W1738">IF(All_Students_Scores!C1736:V1736="","",All_Students_Scores!C1736:V1736)</f>
        <v/>
      </c>
      <c r="E1738" s="57" t="str"/>
      <c r="F1738" s="49" t="str"/>
      <c r="G1738" s="59" t="str"/>
      <c r="H1738" s="64" t="str"/>
      <c r="I1738" s="65" t="str"/>
      <c r="J1738" s="49" t="str"/>
      <c r="K1738" s="41" t="str"/>
      <c r="L1738" s="41" t="str"/>
      <c r="M1738" s="41" t="str"/>
      <c r="N1738" s="41" t="str"/>
      <c r="O1738" s="41" t="str"/>
      <c r="P1738" s="41" t="str"/>
      <c r="Q1738" s="41" t="str"/>
      <c r="R1738" s="41" t="str"/>
      <c r="S1738" s="41" t="str"/>
      <c r="T1738" s="41" t="str"/>
      <c r="U1738" s="41" t="str"/>
      <c r="V1738" s="41" t="str"/>
      <c r="W1738" s="41" t="str"/>
    </row>
    <row r="1739">
      <c r="B1739" s="2" t="n"/>
      <c r="C1739" s="40" t="n"/>
      <c r="D1739" s="52">
        <f t="array" ref="D1739:W1739">IF(All_Students_Scores!C1737:V1737="","",All_Students_Scores!C1737:V1737)</f>
        <v/>
      </c>
      <c r="E1739" s="57" t="str"/>
      <c r="F1739" s="49" t="str"/>
      <c r="G1739" s="59" t="str"/>
      <c r="H1739" s="64" t="str"/>
      <c r="I1739" s="65" t="str"/>
      <c r="J1739" s="49" t="str"/>
      <c r="K1739" s="41" t="str"/>
      <c r="L1739" s="41" t="str"/>
      <c r="M1739" s="41" t="str"/>
      <c r="N1739" s="41" t="str"/>
      <c r="O1739" s="41" t="str"/>
      <c r="P1739" s="41" t="str"/>
      <c r="Q1739" s="41" t="str"/>
      <c r="R1739" s="41" t="str"/>
      <c r="S1739" s="41" t="str"/>
      <c r="T1739" s="41" t="str"/>
      <c r="U1739" s="41" t="str"/>
      <c r="V1739" s="41" t="str"/>
      <c r="W1739" s="41" t="str"/>
    </row>
    <row r="1740">
      <c r="B1740" s="2" t="n"/>
      <c r="C1740" s="40" t="n"/>
      <c r="D1740" s="52">
        <f t="array" ref="D1740:W1740">IF(All_Students_Scores!C1738:V1738="","",All_Students_Scores!C1738:V1738)</f>
        <v/>
      </c>
      <c r="E1740" s="57" t="str"/>
      <c r="F1740" s="49" t="str"/>
      <c r="G1740" s="59" t="str"/>
      <c r="H1740" s="64" t="str"/>
      <c r="I1740" s="65" t="str"/>
      <c r="J1740" s="49" t="str"/>
      <c r="K1740" s="41" t="str"/>
      <c r="L1740" s="41" t="str"/>
      <c r="M1740" s="41" t="str"/>
      <c r="N1740" s="41" t="str"/>
      <c r="O1740" s="41" t="str"/>
      <c r="P1740" s="41" t="str"/>
      <c r="Q1740" s="41" t="str"/>
      <c r="R1740" s="41" t="str"/>
      <c r="S1740" s="41" t="str"/>
      <c r="T1740" s="41" t="str"/>
      <c r="U1740" s="41" t="str"/>
      <c r="V1740" s="41" t="str"/>
      <c r="W1740" s="41" t="str"/>
    </row>
    <row r="1741">
      <c r="B1741" s="2" t="n"/>
      <c r="C1741" s="40" t="n"/>
      <c r="D1741" s="52">
        <f t="array" ref="D1741:W1741">IF(All_Students_Scores!C1739:V1739="","",All_Students_Scores!C1739:V1739)</f>
        <v/>
      </c>
      <c r="E1741" s="57" t="str"/>
      <c r="F1741" s="49" t="str"/>
      <c r="G1741" s="59" t="str"/>
      <c r="H1741" s="64" t="str"/>
      <c r="I1741" s="65" t="str"/>
      <c r="J1741" s="49" t="str"/>
      <c r="K1741" s="41" t="str"/>
      <c r="L1741" s="41" t="str"/>
      <c r="M1741" s="41" t="str"/>
      <c r="N1741" s="41" t="str"/>
      <c r="O1741" s="41" t="str"/>
      <c r="P1741" s="41" t="str"/>
      <c r="Q1741" s="41" t="str"/>
      <c r="R1741" s="41" t="str"/>
      <c r="S1741" s="41" t="str"/>
      <c r="T1741" s="41" t="str"/>
      <c r="U1741" s="41" t="str"/>
      <c r="V1741" s="41" t="str"/>
      <c r="W1741" s="41" t="str"/>
    </row>
    <row r="1742">
      <c r="B1742" s="2" t="n"/>
      <c r="C1742" s="40" t="n"/>
      <c r="D1742" s="52">
        <f t="array" ref="D1742:W1742">IF(All_Students_Scores!C1740:V1740="","",All_Students_Scores!C1740:V1740)</f>
        <v/>
      </c>
      <c r="E1742" s="57" t="str"/>
      <c r="F1742" s="49" t="str"/>
      <c r="G1742" s="59" t="str"/>
      <c r="H1742" s="64" t="str"/>
      <c r="I1742" s="65" t="str"/>
      <c r="J1742" s="49" t="str"/>
      <c r="K1742" s="41" t="str"/>
      <c r="L1742" s="41" t="str"/>
      <c r="M1742" s="41" t="str"/>
      <c r="N1742" s="41" t="str"/>
      <c r="O1742" s="41" t="str"/>
      <c r="P1742" s="41" t="str"/>
      <c r="Q1742" s="41" t="str"/>
      <c r="R1742" s="41" t="str"/>
      <c r="S1742" s="41" t="str"/>
      <c r="T1742" s="41" t="str"/>
      <c r="U1742" s="41" t="str"/>
      <c r="V1742" s="41" t="str"/>
      <c r="W1742" s="41" t="str"/>
    </row>
    <row r="1743">
      <c r="B1743" s="2" t="n"/>
      <c r="C1743" s="40" t="n"/>
      <c r="D1743" s="52">
        <f t="array" ref="D1743:W1743">IF(All_Students_Scores!C1741:V1741="","",All_Students_Scores!C1741:V1741)</f>
        <v/>
      </c>
      <c r="E1743" s="57" t="str"/>
      <c r="F1743" s="49" t="str"/>
      <c r="G1743" s="59" t="str"/>
      <c r="H1743" s="64" t="str"/>
      <c r="I1743" s="65" t="str"/>
      <c r="J1743" s="49" t="str"/>
      <c r="K1743" s="41" t="str"/>
      <c r="L1743" s="41" t="str"/>
      <c r="M1743" s="41" t="str"/>
      <c r="N1743" s="41" t="str"/>
      <c r="O1743" s="41" t="str"/>
      <c r="P1743" s="41" t="str"/>
      <c r="Q1743" s="41" t="str"/>
      <c r="R1743" s="41" t="str"/>
      <c r="S1743" s="41" t="str"/>
      <c r="T1743" s="41" t="str"/>
      <c r="U1743" s="41" t="str"/>
      <c r="V1743" s="41" t="str"/>
      <c r="W1743" s="41" t="str"/>
    </row>
    <row r="1744">
      <c r="B1744" s="2" t="n"/>
      <c r="C1744" s="40" t="n"/>
      <c r="D1744" s="52">
        <f t="array" ref="D1744:W1744">IF(All_Students_Scores!C1742:V1742="","",All_Students_Scores!C1742:V1742)</f>
        <v/>
      </c>
      <c r="E1744" s="57" t="str"/>
      <c r="F1744" s="49" t="str"/>
      <c r="G1744" s="59" t="str"/>
      <c r="H1744" s="64" t="str"/>
      <c r="I1744" s="65" t="str"/>
      <c r="J1744" s="49" t="str"/>
      <c r="K1744" s="41" t="str"/>
      <c r="L1744" s="41" t="str"/>
      <c r="M1744" s="41" t="str"/>
      <c r="N1744" s="41" t="str"/>
      <c r="O1744" s="41" t="str"/>
      <c r="P1744" s="41" t="str"/>
      <c r="Q1744" s="41" t="str"/>
      <c r="R1744" s="41" t="str"/>
      <c r="S1744" s="41" t="str"/>
      <c r="T1744" s="41" t="str"/>
      <c r="U1744" s="41" t="str"/>
      <c r="V1744" s="41" t="str"/>
      <c r="W1744" s="41" t="str"/>
    </row>
    <row r="1745">
      <c r="B1745" s="2" t="n"/>
      <c r="C1745" s="40" t="n"/>
      <c r="D1745" s="52">
        <f t="array" ref="D1745:W1745">IF(All_Students_Scores!C1743:V1743="","",All_Students_Scores!C1743:V1743)</f>
        <v/>
      </c>
      <c r="E1745" s="57" t="str"/>
      <c r="F1745" s="49" t="str"/>
      <c r="G1745" s="59" t="str"/>
      <c r="H1745" s="64" t="str"/>
      <c r="I1745" s="65" t="str"/>
      <c r="J1745" s="49" t="str"/>
      <c r="K1745" s="41" t="str"/>
      <c r="L1745" s="41" t="str"/>
      <c r="M1745" s="41" t="str"/>
      <c r="N1745" s="41" t="str"/>
      <c r="O1745" s="41" t="str"/>
      <c r="P1745" s="41" t="str"/>
      <c r="Q1745" s="41" t="str"/>
      <c r="R1745" s="41" t="str"/>
      <c r="S1745" s="41" t="str"/>
      <c r="T1745" s="41" t="str"/>
      <c r="U1745" s="41" t="str"/>
      <c r="V1745" s="41" t="str"/>
      <c r="W1745" s="41" t="str"/>
    </row>
    <row r="1746">
      <c r="B1746" s="2" t="n"/>
      <c r="C1746" s="40" t="n"/>
      <c r="D1746" s="52">
        <f t="array" ref="D1746:W1746">IF(All_Students_Scores!C1744:V1744="","",All_Students_Scores!C1744:V1744)</f>
        <v/>
      </c>
      <c r="E1746" s="57" t="str"/>
      <c r="F1746" s="49" t="str"/>
      <c r="G1746" s="59" t="str"/>
      <c r="H1746" s="64" t="str"/>
      <c r="I1746" s="65" t="str"/>
      <c r="J1746" s="49" t="str"/>
      <c r="K1746" s="41" t="str"/>
      <c r="L1746" s="41" t="str"/>
      <c r="M1746" s="41" t="str"/>
      <c r="N1746" s="41" t="str"/>
      <c r="O1746" s="41" t="str"/>
      <c r="P1746" s="41" t="str"/>
      <c r="Q1746" s="41" t="str"/>
      <c r="R1746" s="41" t="str"/>
      <c r="S1746" s="41" t="str"/>
      <c r="T1746" s="41" t="str"/>
      <c r="U1746" s="41" t="str"/>
      <c r="V1746" s="41" t="str"/>
      <c r="W1746" s="41" t="str"/>
    </row>
    <row r="1747">
      <c r="B1747" s="2" t="n"/>
      <c r="C1747" s="40" t="n"/>
      <c r="D1747" s="52">
        <f t="array" ref="D1747:W1747">IF(All_Students_Scores!C1745:V1745="","",All_Students_Scores!C1745:V1745)</f>
        <v/>
      </c>
      <c r="E1747" s="57" t="str"/>
      <c r="F1747" s="49" t="str"/>
      <c r="G1747" s="59" t="str"/>
      <c r="H1747" s="64" t="str"/>
      <c r="I1747" s="65" t="str"/>
      <c r="J1747" s="49" t="str"/>
      <c r="K1747" s="41" t="str"/>
      <c r="L1747" s="41" t="str"/>
      <c r="M1747" s="41" t="str"/>
      <c r="N1747" s="41" t="str"/>
      <c r="O1747" s="41" t="str"/>
      <c r="P1747" s="41" t="str"/>
      <c r="Q1747" s="41" t="str"/>
      <c r="R1747" s="41" t="str"/>
      <c r="S1747" s="41" t="str"/>
      <c r="T1747" s="41" t="str"/>
      <c r="U1747" s="41" t="str"/>
      <c r="V1747" s="41" t="str"/>
      <c r="W1747" s="41" t="str"/>
    </row>
    <row r="1748">
      <c r="B1748" s="2" t="n"/>
      <c r="C1748" s="40" t="n"/>
      <c r="D1748" s="52">
        <f t="array" ref="D1748:W1748">IF(All_Students_Scores!C1746:V1746="","",All_Students_Scores!C1746:V1746)</f>
        <v/>
      </c>
      <c r="E1748" s="57" t="str"/>
      <c r="F1748" s="49" t="str"/>
      <c r="G1748" s="59" t="str"/>
      <c r="H1748" s="64" t="str"/>
      <c r="I1748" s="65" t="str"/>
      <c r="J1748" s="49" t="str"/>
      <c r="K1748" s="41" t="str"/>
      <c r="L1748" s="41" t="str"/>
      <c r="M1748" s="41" t="str"/>
      <c r="N1748" s="41" t="str"/>
      <c r="O1748" s="41" t="str"/>
      <c r="P1748" s="41" t="str"/>
      <c r="Q1748" s="41" t="str"/>
      <c r="R1748" s="41" t="str"/>
      <c r="S1748" s="41" t="str"/>
      <c r="T1748" s="41" t="str"/>
      <c r="U1748" s="41" t="str"/>
      <c r="V1748" s="41" t="str"/>
      <c r="W1748" s="41" t="str"/>
    </row>
    <row r="1749">
      <c r="B1749" s="2" t="n"/>
      <c r="C1749" s="40" t="n"/>
      <c r="D1749" s="52">
        <f t="array" ref="D1749:W1749">IF(All_Students_Scores!C1747:V1747="","",All_Students_Scores!C1747:V1747)</f>
        <v/>
      </c>
      <c r="E1749" s="57" t="str"/>
      <c r="F1749" s="49" t="str"/>
      <c r="G1749" s="59" t="str"/>
      <c r="H1749" s="64" t="str"/>
      <c r="I1749" s="65" t="str"/>
      <c r="J1749" s="49" t="str"/>
      <c r="K1749" s="41" t="str"/>
      <c r="L1749" s="41" t="str"/>
      <c r="M1749" s="41" t="str"/>
      <c r="N1749" s="41" t="str"/>
      <c r="O1749" s="41" t="str"/>
      <c r="P1749" s="41" t="str"/>
      <c r="Q1749" s="41" t="str"/>
      <c r="R1749" s="41" t="str"/>
      <c r="S1749" s="41" t="str"/>
      <c r="T1749" s="41" t="str"/>
      <c r="U1749" s="41" t="str"/>
      <c r="V1749" s="41" t="str"/>
      <c r="W1749" s="41" t="str"/>
    </row>
    <row r="1750">
      <c r="B1750" s="2" t="n"/>
      <c r="C1750" s="40" t="n"/>
      <c r="D1750" s="52">
        <f t="array" ref="D1750:W1750">IF(All_Students_Scores!C1748:V1748="","",All_Students_Scores!C1748:V1748)</f>
        <v/>
      </c>
      <c r="E1750" s="57" t="str"/>
      <c r="F1750" s="49" t="str"/>
      <c r="G1750" s="59" t="str"/>
      <c r="H1750" s="64" t="str"/>
      <c r="I1750" s="65" t="str"/>
      <c r="J1750" s="49" t="str"/>
      <c r="K1750" s="41" t="str"/>
      <c r="L1750" s="41" t="str"/>
      <c r="M1750" s="41" t="str"/>
      <c r="N1750" s="41" t="str"/>
      <c r="O1750" s="41" t="str"/>
      <c r="P1750" s="41" t="str"/>
      <c r="Q1750" s="41" t="str"/>
      <c r="R1750" s="41" t="str"/>
      <c r="S1750" s="41" t="str"/>
      <c r="T1750" s="41" t="str"/>
      <c r="U1750" s="41" t="str"/>
      <c r="V1750" s="41" t="str"/>
      <c r="W1750" s="41" t="str"/>
    </row>
    <row r="1751">
      <c r="B1751" s="2" t="n"/>
      <c r="C1751" s="40" t="n"/>
      <c r="D1751" s="52">
        <f t="array" ref="D1751:W1751">IF(All_Students_Scores!C1749:V1749="","",All_Students_Scores!C1749:V1749)</f>
        <v/>
      </c>
      <c r="E1751" s="57" t="str"/>
      <c r="F1751" s="49" t="str"/>
      <c r="G1751" s="59" t="str"/>
      <c r="H1751" s="64" t="str"/>
      <c r="I1751" s="65" t="str"/>
      <c r="J1751" s="49" t="str"/>
      <c r="K1751" s="41" t="str"/>
      <c r="L1751" s="41" t="str"/>
      <c r="M1751" s="41" t="str"/>
      <c r="N1751" s="41" t="str"/>
      <c r="O1751" s="41" t="str"/>
      <c r="P1751" s="41" t="str"/>
      <c r="Q1751" s="41" t="str"/>
      <c r="R1751" s="41" t="str"/>
      <c r="S1751" s="41" t="str"/>
      <c r="T1751" s="41" t="str"/>
      <c r="U1751" s="41" t="str"/>
      <c r="V1751" s="41" t="str"/>
      <c r="W1751" s="41" t="str"/>
    </row>
    <row r="1752">
      <c r="B1752" s="2" t="n"/>
      <c r="C1752" s="40" t="n"/>
      <c r="D1752" s="52">
        <f t="array" ref="D1752:W1752">IF(All_Students_Scores!C1750:V1750="","",All_Students_Scores!C1750:V1750)</f>
        <v/>
      </c>
      <c r="E1752" s="57" t="str"/>
      <c r="F1752" s="49" t="str"/>
      <c r="G1752" s="59" t="str"/>
      <c r="H1752" s="64" t="str"/>
      <c r="I1752" s="65" t="str"/>
      <c r="J1752" s="49" t="str"/>
      <c r="K1752" s="41" t="str"/>
      <c r="L1752" s="41" t="str"/>
      <c r="M1752" s="41" t="str"/>
      <c r="N1752" s="41" t="str"/>
      <c r="O1752" s="41" t="str"/>
      <c r="P1752" s="41" t="str"/>
      <c r="Q1752" s="41" t="str"/>
      <c r="R1752" s="41" t="str"/>
      <c r="S1752" s="41" t="str"/>
      <c r="T1752" s="41" t="str"/>
      <c r="U1752" s="41" t="str"/>
      <c r="V1752" s="41" t="str"/>
      <c r="W1752" s="41" t="str"/>
    </row>
    <row r="1753">
      <c r="B1753" s="2" t="n"/>
      <c r="C1753" s="40" t="n"/>
      <c r="D1753" s="52">
        <f t="array" ref="D1753:W1753">IF(All_Students_Scores!C1751:V1751="","",All_Students_Scores!C1751:V1751)</f>
        <v/>
      </c>
      <c r="E1753" s="57" t="str"/>
      <c r="F1753" s="49" t="str"/>
      <c r="G1753" s="59" t="str"/>
      <c r="H1753" s="64" t="str"/>
      <c r="I1753" s="65" t="str"/>
      <c r="J1753" s="49" t="str"/>
      <c r="K1753" s="41" t="str"/>
      <c r="L1753" s="41" t="str"/>
      <c r="M1753" s="41" t="str"/>
      <c r="N1753" s="41" t="str"/>
      <c r="O1753" s="41" t="str"/>
      <c r="P1753" s="41" t="str"/>
      <c r="Q1753" s="41" t="str"/>
      <c r="R1753" s="41" t="str"/>
      <c r="S1753" s="41" t="str"/>
      <c r="T1753" s="41" t="str"/>
      <c r="U1753" s="41" t="str"/>
      <c r="V1753" s="41" t="str"/>
      <c r="W1753" s="41" t="str"/>
    </row>
    <row r="1754">
      <c r="B1754" s="2" t="n"/>
      <c r="C1754" s="40" t="n"/>
      <c r="D1754" s="52">
        <f t="array" ref="D1754:W1754">IF(All_Students_Scores!C1752:V1752="","",All_Students_Scores!C1752:V1752)</f>
        <v/>
      </c>
      <c r="E1754" s="57" t="str"/>
      <c r="F1754" s="49" t="str"/>
      <c r="G1754" s="59" t="str"/>
      <c r="H1754" s="64" t="str"/>
      <c r="I1754" s="65" t="str"/>
      <c r="J1754" s="49" t="str"/>
      <c r="K1754" s="41" t="str"/>
      <c r="L1754" s="41" t="str"/>
      <c r="M1754" s="41" t="str"/>
      <c r="N1754" s="41" t="str"/>
      <c r="O1754" s="41" t="str"/>
      <c r="P1754" s="41" t="str"/>
      <c r="Q1754" s="41" t="str"/>
      <c r="R1754" s="41" t="str"/>
      <c r="S1754" s="41" t="str"/>
      <c r="T1754" s="41" t="str"/>
      <c r="U1754" s="41" t="str"/>
      <c r="V1754" s="41" t="str"/>
      <c r="W1754" s="41" t="str"/>
    </row>
    <row r="1755">
      <c r="B1755" s="2" t="n"/>
      <c r="C1755" s="40" t="n"/>
      <c r="D1755" s="52">
        <f t="array" ref="D1755:W1755">IF(All_Students_Scores!C1753:V1753="","",All_Students_Scores!C1753:V1753)</f>
        <v/>
      </c>
      <c r="E1755" s="57" t="str"/>
      <c r="F1755" s="49" t="str"/>
      <c r="G1755" s="59" t="str"/>
      <c r="H1755" s="64" t="str"/>
      <c r="I1755" s="65" t="str"/>
      <c r="J1755" s="49" t="str"/>
      <c r="K1755" s="41" t="str"/>
      <c r="L1755" s="41" t="str"/>
      <c r="M1755" s="41" t="str"/>
      <c r="N1755" s="41" t="str"/>
      <c r="O1755" s="41" t="str"/>
      <c r="P1755" s="41" t="str"/>
      <c r="Q1755" s="41" t="str"/>
      <c r="R1755" s="41" t="str"/>
      <c r="S1755" s="41" t="str"/>
      <c r="T1755" s="41" t="str"/>
      <c r="U1755" s="41" t="str"/>
      <c r="V1755" s="41" t="str"/>
      <c r="W1755" s="41" t="str"/>
    </row>
    <row r="1756">
      <c r="B1756" s="2" t="n"/>
      <c r="C1756" s="40" t="n"/>
      <c r="D1756" s="52">
        <f t="array" ref="D1756:W1756">IF(All_Students_Scores!C1754:V1754="","",All_Students_Scores!C1754:V1754)</f>
        <v/>
      </c>
      <c r="E1756" s="57" t="str"/>
      <c r="F1756" s="49" t="str"/>
      <c r="G1756" s="59" t="str"/>
      <c r="H1756" s="64" t="str"/>
      <c r="I1756" s="65" t="str"/>
      <c r="J1756" s="49" t="str"/>
      <c r="K1756" s="41" t="str"/>
      <c r="L1756" s="41" t="str"/>
      <c r="M1756" s="41" t="str"/>
      <c r="N1756" s="41" t="str"/>
      <c r="O1756" s="41" t="str"/>
      <c r="P1756" s="41" t="str"/>
      <c r="Q1756" s="41" t="str"/>
      <c r="R1756" s="41" t="str"/>
      <c r="S1756" s="41" t="str"/>
      <c r="T1756" s="41" t="str"/>
      <c r="U1756" s="41" t="str"/>
      <c r="V1756" s="41" t="str"/>
      <c r="W1756" s="41" t="str"/>
    </row>
    <row r="1757">
      <c r="B1757" s="2" t="n"/>
      <c r="C1757" s="40" t="n"/>
      <c r="D1757" s="52">
        <f t="array" ref="D1757:W1757">IF(All_Students_Scores!C1755:V1755="","",All_Students_Scores!C1755:V1755)</f>
        <v/>
      </c>
      <c r="E1757" s="57" t="str"/>
      <c r="F1757" s="49" t="str"/>
      <c r="G1757" s="59" t="str"/>
      <c r="H1757" s="64" t="str"/>
      <c r="I1757" s="65" t="str"/>
      <c r="J1757" s="49" t="str"/>
      <c r="K1757" s="41" t="str"/>
      <c r="L1757" s="41" t="str"/>
      <c r="M1757" s="41" t="str"/>
      <c r="N1757" s="41" t="str"/>
      <c r="O1757" s="41" t="str"/>
      <c r="P1757" s="41" t="str"/>
      <c r="Q1757" s="41" t="str"/>
      <c r="R1757" s="41" t="str"/>
      <c r="S1757" s="41" t="str"/>
      <c r="T1757" s="41" t="str"/>
      <c r="U1757" s="41" t="str"/>
      <c r="V1757" s="41" t="str"/>
      <c r="W1757" s="41" t="str"/>
    </row>
    <row r="1758">
      <c r="B1758" s="2" t="n"/>
      <c r="C1758" s="40" t="n"/>
      <c r="D1758" s="52">
        <f t="array" ref="D1758:W1758">IF(All_Students_Scores!C1756:V1756="","",All_Students_Scores!C1756:V1756)</f>
        <v/>
      </c>
      <c r="E1758" s="57" t="str"/>
      <c r="F1758" s="49" t="str"/>
      <c r="G1758" s="59" t="str"/>
      <c r="H1758" s="64" t="str"/>
      <c r="I1758" s="65" t="str"/>
      <c r="J1758" s="49" t="str"/>
      <c r="K1758" s="41" t="str"/>
      <c r="L1758" s="41" t="str"/>
      <c r="M1758" s="41" t="str"/>
      <c r="N1758" s="41" t="str"/>
      <c r="O1758" s="41" t="str"/>
      <c r="P1758" s="41" t="str"/>
      <c r="Q1758" s="41" t="str"/>
      <c r="R1758" s="41" t="str"/>
      <c r="S1758" s="41" t="str"/>
      <c r="T1758" s="41" t="str"/>
      <c r="U1758" s="41" t="str"/>
      <c r="V1758" s="41" t="str"/>
      <c r="W1758" s="41" t="str"/>
    </row>
    <row r="1759">
      <c r="B1759" s="2" t="n"/>
      <c r="C1759" s="40" t="n"/>
      <c r="D1759" s="52">
        <f t="array" ref="D1759:W1759">IF(All_Students_Scores!C1757:V1757="","",All_Students_Scores!C1757:V1757)</f>
        <v/>
      </c>
      <c r="E1759" s="57" t="str"/>
      <c r="F1759" s="49" t="str"/>
      <c r="G1759" s="59" t="str"/>
      <c r="H1759" s="64" t="str"/>
      <c r="I1759" s="65" t="str"/>
      <c r="J1759" s="49" t="str"/>
      <c r="K1759" s="41" t="str"/>
      <c r="L1759" s="41" t="str"/>
      <c r="M1759" s="41" t="str"/>
      <c r="N1759" s="41" t="str"/>
      <c r="O1759" s="41" t="str"/>
      <c r="P1759" s="41" t="str"/>
      <c r="Q1759" s="41" t="str"/>
      <c r="R1759" s="41" t="str"/>
      <c r="S1759" s="41" t="str"/>
      <c r="T1759" s="41" t="str"/>
      <c r="U1759" s="41" t="str"/>
      <c r="V1759" s="41" t="str"/>
      <c r="W1759" s="41" t="str"/>
    </row>
    <row r="1760">
      <c r="B1760" s="2" t="n"/>
      <c r="C1760" s="40" t="n"/>
      <c r="D1760" s="52">
        <f t="array" ref="D1760:W1760">IF(All_Students_Scores!C1758:V1758="","",All_Students_Scores!C1758:V1758)</f>
        <v/>
      </c>
      <c r="E1760" s="57" t="str"/>
      <c r="F1760" s="49" t="str"/>
      <c r="G1760" s="59" t="str"/>
      <c r="H1760" s="64" t="str"/>
      <c r="I1760" s="65" t="str"/>
      <c r="J1760" s="49" t="str"/>
      <c r="K1760" s="41" t="str"/>
      <c r="L1760" s="41" t="str"/>
      <c r="M1760" s="41" t="str"/>
      <c r="N1760" s="41" t="str"/>
      <c r="O1760" s="41" t="str"/>
      <c r="P1760" s="41" t="str"/>
      <c r="Q1760" s="41" t="str"/>
      <c r="R1760" s="41" t="str"/>
      <c r="S1760" s="41" t="str"/>
      <c r="T1760" s="41" t="str"/>
      <c r="U1760" s="41" t="str"/>
      <c r="V1760" s="41" t="str"/>
      <c r="W1760" s="41" t="str"/>
    </row>
    <row r="1761">
      <c r="B1761" s="2" t="n"/>
      <c r="C1761" s="40" t="n"/>
      <c r="D1761" s="52">
        <f t="array" ref="D1761:W1761">IF(All_Students_Scores!C1759:V1759="","",All_Students_Scores!C1759:V1759)</f>
        <v/>
      </c>
      <c r="E1761" s="57" t="str"/>
      <c r="F1761" s="49" t="str"/>
      <c r="G1761" s="59" t="str"/>
      <c r="H1761" s="64" t="str"/>
      <c r="I1761" s="65" t="str"/>
      <c r="J1761" s="49" t="str"/>
      <c r="K1761" s="41" t="str"/>
      <c r="L1761" s="41" t="str"/>
      <c r="M1761" s="41" t="str"/>
      <c r="N1761" s="41" t="str"/>
      <c r="O1761" s="41" t="str"/>
      <c r="P1761" s="41" t="str"/>
      <c r="Q1761" s="41" t="str"/>
      <c r="R1761" s="41" t="str"/>
      <c r="S1761" s="41" t="str"/>
      <c r="T1761" s="41" t="str"/>
      <c r="U1761" s="41" t="str"/>
      <c r="V1761" s="41" t="str"/>
      <c r="W1761" s="41" t="str"/>
    </row>
    <row r="1762">
      <c r="B1762" s="2" t="n"/>
      <c r="C1762" s="40" t="n"/>
      <c r="D1762" s="52">
        <f t="array" ref="D1762:W1762">IF(All_Students_Scores!C1760:V1760="","",All_Students_Scores!C1760:V1760)</f>
        <v/>
      </c>
      <c r="E1762" s="57" t="str"/>
      <c r="F1762" s="49" t="str"/>
      <c r="G1762" s="59" t="str"/>
      <c r="H1762" s="64" t="str"/>
      <c r="I1762" s="65" t="str"/>
      <c r="J1762" s="49" t="str"/>
      <c r="K1762" s="41" t="str"/>
      <c r="L1762" s="41" t="str"/>
      <c r="M1762" s="41" t="str"/>
      <c r="N1762" s="41" t="str"/>
      <c r="O1762" s="41" t="str"/>
      <c r="P1762" s="41" t="str"/>
      <c r="Q1762" s="41" t="str"/>
      <c r="R1762" s="41" t="str"/>
      <c r="S1762" s="41" t="str"/>
      <c r="T1762" s="41" t="str"/>
      <c r="U1762" s="41" t="str"/>
      <c r="V1762" s="41" t="str"/>
      <c r="W1762" s="41" t="str"/>
    </row>
    <row r="1763">
      <c r="B1763" s="2" t="n"/>
      <c r="C1763" s="40" t="n"/>
      <c r="D1763" s="52">
        <f t="array" ref="D1763:W1763">IF(All_Students_Scores!C1761:V1761="","",All_Students_Scores!C1761:V1761)</f>
        <v/>
      </c>
      <c r="E1763" s="57" t="str"/>
      <c r="F1763" s="49" t="str"/>
      <c r="G1763" s="59" t="str"/>
      <c r="H1763" s="64" t="str"/>
      <c r="I1763" s="65" t="str"/>
      <c r="J1763" s="49" t="str"/>
      <c r="K1763" s="41" t="str"/>
      <c r="L1763" s="41" t="str"/>
      <c r="M1763" s="41" t="str"/>
      <c r="N1763" s="41" t="str"/>
      <c r="O1763" s="41" t="str"/>
      <c r="P1763" s="41" t="str"/>
      <c r="Q1763" s="41" t="str"/>
      <c r="R1763" s="41" t="str"/>
      <c r="S1763" s="41" t="str"/>
      <c r="T1763" s="41" t="str"/>
      <c r="U1763" s="41" t="str"/>
      <c r="V1763" s="41" t="str"/>
      <c r="W1763" s="41" t="str"/>
    </row>
    <row r="1764">
      <c r="B1764" s="2" t="n"/>
      <c r="C1764" s="40" t="n"/>
      <c r="D1764" s="52">
        <f t="array" ref="D1764:W1764">IF(All_Students_Scores!C1762:V1762="","",All_Students_Scores!C1762:V1762)</f>
        <v/>
      </c>
      <c r="E1764" s="57" t="str"/>
      <c r="F1764" s="49" t="str"/>
      <c r="G1764" s="59" t="str"/>
      <c r="H1764" s="64" t="str"/>
      <c r="I1764" s="65" t="str"/>
      <c r="J1764" s="49" t="str"/>
      <c r="K1764" s="41" t="str"/>
      <c r="L1764" s="41" t="str"/>
      <c r="M1764" s="41" t="str"/>
      <c r="N1764" s="41" t="str"/>
      <c r="O1764" s="41" t="str"/>
      <c r="P1764" s="41" t="str"/>
      <c r="Q1764" s="41" t="str"/>
      <c r="R1764" s="41" t="str"/>
      <c r="S1764" s="41" t="str"/>
      <c r="T1764" s="41" t="str"/>
      <c r="U1764" s="41" t="str"/>
      <c r="V1764" s="41" t="str"/>
      <c r="W1764" s="41" t="str"/>
    </row>
    <row r="1765">
      <c r="B1765" s="2" t="n"/>
      <c r="C1765" s="40" t="n"/>
      <c r="D1765" s="52">
        <f t="array" ref="D1765:W1765">IF(All_Students_Scores!C1763:V1763="","",All_Students_Scores!C1763:V1763)</f>
        <v/>
      </c>
      <c r="E1765" s="57" t="str"/>
      <c r="F1765" s="49" t="str"/>
      <c r="G1765" s="59" t="str"/>
      <c r="H1765" s="64" t="str"/>
      <c r="I1765" s="65" t="str"/>
      <c r="J1765" s="49" t="str"/>
      <c r="K1765" s="41" t="str"/>
      <c r="L1765" s="41" t="str"/>
      <c r="M1765" s="41" t="str"/>
      <c r="N1765" s="41" t="str"/>
      <c r="O1765" s="41" t="str"/>
      <c r="P1765" s="41" t="str"/>
      <c r="Q1765" s="41" t="str"/>
      <c r="R1765" s="41" t="str"/>
      <c r="S1765" s="41" t="str"/>
      <c r="T1765" s="41" t="str"/>
      <c r="U1765" s="41" t="str"/>
      <c r="V1765" s="41" t="str"/>
      <c r="W1765" s="41" t="str"/>
    </row>
    <row r="1766">
      <c r="B1766" s="2" t="n"/>
      <c r="C1766" s="40" t="n"/>
      <c r="D1766" s="52">
        <f t="array" ref="D1766:W1766">IF(All_Students_Scores!C1764:V1764="","",All_Students_Scores!C1764:V1764)</f>
        <v/>
      </c>
      <c r="E1766" s="57" t="str"/>
      <c r="F1766" s="49" t="str"/>
      <c r="G1766" s="59" t="str"/>
      <c r="H1766" s="64" t="str"/>
      <c r="I1766" s="65" t="str"/>
      <c r="J1766" s="49" t="str"/>
      <c r="K1766" s="41" t="str"/>
      <c r="L1766" s="41" t="str"/>
      <c r="M1766" s="41" t="str"/>
      <c r="N1766" s="41" t="str"/>
      <c r="O1766" s="41" t="str"/>
      <c r="P1766" s="41" t="str"/>
      <c r="Q1766" s="41" t="str"/>
      <c r="R1766" s="41" t="str"/>
      <c r="S1766" s="41" t="str"/>
      <c r="T1766" s="41" t="str"/>
      <c r="U1766" s="41" t="str"/>
      <c r="V1766" s="41" t="str"/>
      <c r="W1766" s="41" t="str"/>
    </row>
    <row r="1767">
      <c r="B1767" s="2" t="n"/>
      <c r="C1767" s="40" t="n"/>
      <c r="D1767" s="52">
        <f t="array" ref="D1767:W1767">IF(All_Students_Scores!C1765:V1765="","",All_Students_Scores!C1765:V1765)</f>
        <v/>
      </c>
      <c r="E1767" s="57" t="str"/>
      <c r="F1767" s="49" t="str"/>
      <c r="G1767" s="59" t="str"/>
      <c r="H1767" s="64" t="str"/>
      <c r="I1767" s="65" t="str"/>
      <c r="J1767" s="49" t="str"/>
      <c r="K1767" s="41" t="str"/>
      <c r="L1767" s="41" t="str"/>
      <c r="M1767" s="41" t="str"/>
      <c r="N1767" s="41" t="str"/>
      <c r="O1767" s="41" t="str"/>
      <c r="P1767" s="41" t="str"/>
      <c r="Q1767" s="41" t="str"/>
      <c r="R1767" s="41" t="str"/>
      <c r="S1767" s="41" t="str"/>
      <c r="T1767" s="41" t="str"/>
      <c r="U1767" s="41" t="str"/>
      <c r="V1767" s="41" t="str"/>
      <c r="W1767" s="41" t="str"/>
    </row>
    <row r="1768">
      <c r="B1768" s="2" t="n"/>
      <c r="C1768" s="40" t="n"/>
      <c r="D1768" s="52">
        <f t="array" ref="D1768:W1768">IF(All_Students_Scores!C1766:V1766="","",All_Students_Scores!C1766:V1766)</f>
        <v/>
      </c>
      <c r="E1768" s="57" t="str"/>
      <c r="F1768" s="49" t="str"/>
      <c r="G1768" s="59" t="str"/>
      <c r="H1768" s="64" t="str"/>
      <c r="I1768" s="65" t="str"/>
      <c r="J1768" s="49" t="str"/>
      <c r="K1768" s="41" t="str"/>
      <c r="L1768" s="41" t="str"/>
      <c r="M1768" s="41" t="str"/>
      <c r="N1768" s="41" t="str"/>
      <c r="O1768" s="41" t="str"/>
      <c r="P1768" s="41" t="str"/>
      <c r="Q1768" s="41" t="str"/>
      <c r="R1768" s="41" t="str"/>
      <c r="S1768" s="41" t="str"/>
      <c r="T1768" s="41" t="str"/>
      <c r="U1768" s="41" t="str"/>
      <c r="V1768" s="41" t="str"/>
      <c r="W1768" s="41" t="str"/>
    </row>
    <row r="1769">
      <c r="B1769" s="2" t="n"/>
      <c r="C1769" s="40" t="n"/>
      <c r="D1769" s="52">
        <f t="array" ref="D1769:W1769">IF(All_Students_Scores!C1767:V1767="","",All_Students_Scores!C1767:V1767)</f>
        <v/>
      </c>
      <c r="E1769" s="57" t="str"/>
      <c r="F1769" s="49" t="str"/>
      <c r="G1769" s="59" t="str"/>
      <c r="H1769" s="64" t="str"/>
      <c r="I1769" s="65" t="str"/>
      <c r="J1769" s="49" t="str"/>
      <c r="K1769" s="41" t="str"/>
      <c r="L1769" s="41" t="str"/>
      <c r="M1769" s="41" t="str"/>
      <c r="N1769" s="41" t="str"/>
      <c r="O1769" s="41" t="str"/>
      <c r="P1769" s="41" t="str"/>
      <c r="Q1769" s="41" t="str"/>
      <c r="R1769" s="41" t="str"/>
      <c r="S1769" s="41" t="str"/>
      <c r="T1769" s="41" t="str"/>
      <c r="U1769" s="41" t="str"/>
      <c r="V1769" s="41" t="str"/>
      <c r="W1769" s="41" t="str"/>
    </row>
    <row r="1770">
      <c r="B1770" s="2" t="n"/>
      <c r="C1770" s="40" t="n"/>
      <c r="D1770" s="52">
        <f t="array" ref="D1770:W1770">IF(All_Students_Scores!C1768:V1768="","",All_Students_Scores!C1768:V1768)</f>
        <v/>
      </c>
      <c r="E1770" s="57" t="str"/>
      <c r="F1770" s="49" t="str"/>
      <c r="G1770" s="59" t="str"/>
      <c r="H1770" s="64" t="str"/>
      <c r="I1770" s="65" t="str"/>
      <c r="J1770" s="49" t="str"/>
      <c r="K1770" s="41" t="str"/>
      <c r="L1770" s="41" t="str"/>
      <c r="M1770" s="41" t="str"/>
      <c r="N1770" s="41" t="str"/>
      <c r="O1770" s="41" t="str"/>
      <c r="P1770" s="41" t="str"/>
      <c r="Q1770" s="41" t="str"/>
      <c r="R1770" s="41" t="str"/>
      <c r="S1770" s="41" t="str"/>
      <c r="T1770" s="41" t="str"/>
      <c r="U1770" s="41" t="str"/>
      <c r="V1770" s="41" t="str"/>
      <c r="W1770" s="41" t="str"/>
    </row>
    <row r="1771">
      <c r="B1771" s="2" t="n"/>
      <c r="C1771" s="40" t="n"/>
      <c r="D1771" s="52">
        <f t="array" ref="D1771:W1771">IF(All_Students_Scores!C1769:V1769="","",All_Students_Scores!C1769:V1769)</f>
        <v/>
      </c>
      <c r="E1771" s="57" t="str"/>
      <c r="F1771" s="49" t="str"/>
      <c r="G1771" s="59" t="str"/>
      <c r="H1771" s="64" t="str"/>
      <c r="I1771" s="65" t="str"/>
      <c r="J1771" s="49" t="str"/>
      <c r="K1771" s="41" t="str"/>
      <c r="L1771" s="41" t="str"/>
      <c r="M1771" s="41" t="str"/>
      <c r="N1771" s="41" t="str"/>
      <c r="O1771" s="41" t="str"/>
      <c r="P1771" s="41" t="str"/>
      <c r="Q1771" s="41" t="str"/>
      <c r="R1771" s="41" t="str"/>
      <c r="S1771" s="41" t="str"/>
      <c r="T1771" s="41" t="str"/>
      <c r="U1771" s="41" t="str"/>
      <c r="V1771" s="41" t="str"/>
      <c r="W1771" s="41" t="str"/>
    </row>
    <row r="1772">
      <c r="B1772" s="2" t="n"/>
      <c r="C1772" s="40" t="n"/>
      <c r="D1772" s="52">
        <f t="array" ref="D1772:W1772">IF(All_Students_Scores!C1770:V1770="","",All_Students_Scores!C1770:V1770)</f>
        <v/>
      </c>
      <c r="E1772" s="57" t="str"/>
      <c r="F1772" s="49" t="str"/>
      <c r="G1772" s="59" t="str"/>
      <c r="H1772" s="64" t="str"/>
      <c r="I1772" s="65" t="str"/>
      <c r="J1772" s="49" t="str"/>
      <c r="K1772" s="41" t="str"/>
      <c r="L1772" s="41" t="str"/>
      <c r="M1772" s="41" t="str"/>
      <c r="N1772" s="41" t="str"/>
      <c r="O1772" s="41" t="str"/>
      <c r="P1772" s="41" t="str"/>
      <c r="Q1772" s="41" t="str"/>
      <c r="R1772" s="41" t="str"/>
      <c r="S1772" s="41" t="str"/>
      <c r="T1772" s="41" t="str"/>
      <c r="U1772" s="41" t="str"/>
      <c r="V1772" s="41" t="str"/>
      <c r="W1772" s="41" t="str"/>
    </row>
    <row r="1773">
      <c r="B1773" s="2" t="n"/>
      <c r="C1773" s="40" t="n"/>
      <c r="D1773" s="52">
        <f t="array" ref="D1773:W1773">IF(All_Students_Scores!C1771:V1771="","",All_Students_Scores!C1771:V1771)</f>
        <v/>
      </c>
      <c r="E1773" s="57" t="str"/>
      <c r="F1773" s="49" t="str"/>
      <c r="G1773" s="59" t="str"/>
      <c r="H1773" s="64" t="str"/>
      <c r="I1773" s="65" t="str"/>
      <c r="J1773" s="49" t="str"/>
      <c r="K1773" s="41" t="str"/>
      <c r="L1773" s="41" t="str"/>
      <c r="M1773" s="41" t="str"/>
      <c r="N1773" s="41" t="str"/>
      <c r="O1773" s="41" t="str"/>
      <c r="P1773" s="41" t="str"/>
      <c r="Q1773" s="41" t="str"/>
      <c r="R1773" s="41" t="str"/>
      <c r="S1773" s="41" t="str"/>
      <c r="T1773" s="41" t="str"/>
      <c r="U1773" s="41" t="str"/>
      <c r="V1773" s="41" t="str"/>
      <c r="W1773" s="41" t="str"/>
    </row>
    <row r="1774">
      <c r="B1774" s="2" t="n"/>
      <c r="C1774" s="40" t="n"/>
      <c r="D1774" s="52">
        <f t="array" ref="D1774:W1774">IF(All_Students_Scores!C1772:V1772="","",All_Students_Scores!C1772:V1772)</f>
        <v/>
      </c>
      <c r="E1774" s="57" t="str"/>
      <c r="F1774" s="49" t="str"/>
      <c r="G1774" s="59" t="str"/>
      <c r="H1774" s="64" t="str"/>
      <c r="I1774" s="65" t="str"/>
      <c r="J1774" s="49" t="str"/>
      <c r="K1774" s="41" t="str"/>
      <c r="L1774" s="41" t="str"/>
      <c r="M1774" s="41" t="str"/>
      <c r="N1774" s="41" t="str"/>
      <c r="O1774" s="41" t="str"/>
      <c r="P1774" s="41" t="str"/>
      <c r="Q1774" s="41" t="str"/>
      <c r="R1774" s="41" t="str"/>
      <c r="S1774" s="41" t="str"/>
      <c r="T1774" s="41" t="str"/>
      <c r="U1774" s="41" t="str"/>
      <c r="V1774" s="41" t="str"/>
      <c r="W1774" s="41" t="str"/>
    </row>
    <row r="1775">
      <c r="B1775" s="2" t="n"/>
      <c r="C1775" s="40" t="n"/>
      <c r="D1775" s="52">
        <f t="array" ref="D1775:W1775">IF(All_Students_Scores!C1773:V1773="","",All_Students_Scores!C1773:V1773)</f>
        <v/>
      </c>
      <c r="E1775" s="57" t="str"/>
      <c r="F1775" s="49" t="str"/>
      <c r="G1775" s="59" t="str"/>
      <c r="H1775" s="64" t="str"/>
      <c r="I1775" s="65" t="str"/>
      <c r="J1775" s="49" t="str"/>
      <c r="K1775" s="41" t="str"/>
      <c r="L1775" s="41" t="str"/>
      <c r="M1775" s="41" t="str"/>
      <c r="N1775" s="41" t="str"/>
      <c r="O1775" s="41" t="str"/>
      <c r="P1775" s="41" t="str"/>
      <c r="Q1775" s="41" t="str"/>
      <c r="R1775" s="41" t="str"/>
      <c r="S1775" s="41" t="str"/>
      <c r="T1775" s="41" t="str"/>
      <c r="U1775" s="41" t="str"/>
      <c r="V1775" s="41" t="str"/>
      <c r="W1775" s="41" t="str"/>
    </row>
    <row r="1776">
      <c r="B1776" s="2" t="n"/>
      <c r="C1776" s="40" t="n"/>
      <c r="D1776" s="52">
        <f t="array" ref="D1776:W1776">IF(All_Students_Scores!C1774:V1774="","",All_Students_Scores!C1774:V1774)</f>
        <v/>
      </c>
      <c r="E1776" s="57" t="str"/>
      <c r="F1776" s="49" t="str"/>
      <c r="G1776" s="59" t="str"/>
      <c r="H1776" s="64" t="str"/>
      <c r="I1776" s="65" t="str"/>
      <c r="J1776" s="49" t="str"/>
      <c r="K1776" s="41" t="str"/>
      <c r="L1776" s="41" t="str"/>
      <c r="M1776" s="41" t="str"/>
      <c r="N1776" s="41" t="str"/>
      <c r="O1776" s="41" t="str"/>
      <c r="P1776" s="41" t="str"/>
      <c r="Q1776" s="41" t="str"/>
      <c r="R1776" s="41" t="str"/>
      <c r="S1776" s="41" t="str"/>
      <c r="T1776" s="41" t="str"/>
      <c r="U1776" s="41" t="str"/>
      <c r="V1776" s="41" t="str"/>
      <c r="W1776" s="41" t="str"/>
    </row>
    <row r="1777">
      <c r="B1777" s="2" t="n"/>
      <c r="C1777" s="40" t="n"/>
      <c r="D1777" s="52">
        <f t="array" ref="D1777:W1777">IF(All_Students_Scores!C1775:V1775="","",All_Students_Scores!C1775:V1775)</f>
        <v/>
      </c>
      <c r="E1777" s="57" t="str"/>
      <c r="F1777" s="49" t="str"/>
      <c r="G1777" s="59" t="str"/>
      <c r="H1777" s="64" t="str"/>
      <c r="I1777" s="65" t="str"/>
      <c r="J1777" s="49" t="str"/>
      <c r="K1777" s="41" t="str"/>
      <c r="L1777" s="41" t="str"/>
      <c r="M1777" s="41" t="str"/>
      <c r="N1777" s="41" t="str"/>
      <c r="O1777" s="41" t="str"/>
      <c r="P1777" s="41" t="str"/>
      <c r="Q1777" s="41" t="str"/>
      <c r="R1777" s="41" t="str"/>
      <c r="S1777" s="41" t="str"/>
      <c r="T1777" s="41" t="str"/>
      <c r="U1777" s="41" t="str"/>
      <c r="V1777" s="41" t="str"/>
      <c r="W1777" s="41" t="str"/>
    </row>
    <row r="1778">
      <c r="B1778" s="2" t="n"/>
      <c r="C1778" s="40" t="n"/>
      <c r="D1778" s="52">
        <f t="array" ref="D1778:W1778">IF(All_Students_Scores!C1776:V1776="","",All_Students_Scores!C1776:V1776)</f>
        <v/>
      </c>
      <c r="E1778" s="57" t="str"/>
      <c r="F1778" s="49" t="str"/>
      <c r="G1778" s="59" t="str"/>
      <c r="H1778" s="64" t="str"/>
      <c r="I1778" s="65" t="str"/>
      <c r="J1778" s="49" t="str"/>
      <c r="K1778" s="41" t="str"/>
      <c r="L1778" s="41" t="str"/>
      <c r="M1778" s="41" t="str"/>
      <c r="N1778" s="41" t="str"/>
      <c r="O1778" s="41" t="str"/>
      <c r="P1778" s="41" t="str"/>
      <c r="Q1778" s="41" t="str"/>
      <c r="R1778" s="41" t="str"/>
      <c r="S1778" s="41" t="str"/>
      <c r="T1778" s="41" t="str"/>
      <c r="U1778" s="41" t="str"/>
      <c r="V1778" s="41" t="str"/>
      <c r="W1778" s="41" t="str"/>
    </row>
    <row r="1779">
      <c r="B1779" s="2" t="n"/>
      <c r="C1779" s="40" t="n"/>
      <c r="D1779" s="52">
        <f t="array" ref="D1779:W1779">IF(All_Students_Scores!C1777:V1777="","",All_Students_Scores!C1777:V1777)</f>
        <v/>
      </c>
      <c r="E1779" s="57" t="str"/>
      <c r="F1779" s="49" t="str"/>
      <c r="G1779" s="59" t="str"/>
      <c r="H1779" s="64" t="str"/>
      <c r="I1779" s="65" t="str"/>
      <c r="J1779" s="49" t="str"/>
      <c r="K1779" s="41" t="str"/>
      <c r="L1779" s="41" t="str"/>
      <c r="M1779" s="41" t="str"/>
      <c r="N1779" s="41" t="str"/>
      <c r="O1779" s="41" t="str"/>
      <c r="P1779" s="41" t="str"/>
      <c r="Q1779" s="41" t="str"/>
      <c r="R1779" s="41" t="str"/>
      <c r="S1779" s="41" t="str"/>
      <c r="T1779" s="41" t="str"/>
      <c r="U1779" s="41" t="str"/>
      <c r="V1779" s="41" t="str"/>
      <c r="W1779" s="41" t="str"/>
    </row>
    <row r="1780">
      <c r="B1780" s="2" t="n"/>
      <c r="C1780" s="40" t="n"/>
      <c r="D1780" s="52">
        <f t="array" ref="D1780:W1780">IF(All_Students_Scores!C1778:V1778="","",All_Students_Scores!C1778:V1778)</f>
        <v/>
      </c>
      <c r="E1780" s="57" t="str"/>
      <c r="F1780" s="49" t="str"/>
      <c r="G1780" s="59" t="str"/>
      <c r="H1780" s="64" t="str"/>
      <c r="I1780" s="65" t="str"/>
      <c r="J1780" s="49" t="str"/>
      <c r="K1780" s="41" t="str"/>
      <c r="L1780" s="41" t="str"/>
      <c r="M1780" s="41" t="str"/>
      <c r="N1780" s="41" t="str"/>
      <c r="O1780" s="41" t="str"/>
      <c r="P1780" s="41" t="str"/>
      <c r="Q1780" s="41" t="str"/>
      <c r="R1780" s="41" t="str"/>
      <c r="S1780" s="41" t="str"/>
      <c r="T1780" s="41" t="str"/>
      <c r="U1780" s="41" t="str"/>
      <c r="V1780" s="41" t="str"/>
      <c r="W1780" s="41" t="str"/>
    </row>
    <row r="1781">
      <c r="B1781" s="2" t="n"/>
      <c r="C1781" s="40" t="n"/>
      <c r="D1781" s="52">
        <f t="array" ref="D1781:W1781">IF(All_Students_Scores!C1779:V1779="","",All_Students_Scores!C1779:V1779)</f>
        <v/>
      </c>
      <c r="E1781" s="57" t="str"/>
      <c r="F1781" s="49" t="str"/>
      <c r="G1781" s="59" t="str"/>
      <c r="H1781" s="64" t="str"/>
      <c r="I1781" s="65" t="str"/>
      <c r="J1781" s="49" t="str"/>
      <c r="K1781" s="41" t="str"/>
      <c r="L1781" s="41" t="str"/>
      <c r="M1781" s="41" t="str"/>
      <c r="N1781" s="41" t="str"/>
      <c r="O1781" s="41" t="str"/>
      <c r="P1781" s="41" t="str"/>
      <c r="Q1781" s="41" t="str"/>
      <c r="R1781" s="41" t="str"/>
      <c r="S1781" s="41" t="str"/>
      <c r="T1781" s="41" t="str"/>
      <c r="U1781" s="41" t="str"/>
      <c r="V1781" s="41" t="str"/>
      <c r="W1781" s="41" t="str"/>
    </row>
    <row r="1782">
      <c r="B1782" s="2" t="n"/>
      <c r="C1782" s="40" t="n"/>
      <c r="D1782" s="52">
        <f t="array" ref="D1782:W1782">IF(All_Students_Scores!C1780:V1780="","",All_Students_Scores!C1780:V1780)</f>
        <v/>
      </c>
      <c r="E1782" s="57" t="str"/>
      <c r="F1782" s="49" t="str"/>
      <c r="G1782" s="59" t="str"/>
      <c r="H1782" s="64" t="str"/>
      <c r="I1782" s="65" t="str"/>
      <c r="J1782" s="49" t="str"/>
      <c r="K1782" s="41" t="str"/>
      <c r="L1782" s="41" t="str"/>
      <c r="M1782" s="41" t="str"/>
      <c r="N1782" s="41" t="str"/>
      <c r="O1782" s="41" t="str"/>
      <c r="P1782" s="41" t="str"/>
      <c r="Q1782" s="41" t="str"/>
      <c r="R1782" s="41" t="str"/>
      <c r="S1782" s="41" t="str"/>
      <c r="T1782" s="41" t="str"/>
      <c r="U1782" s="41" t="str"/>
      <c r="V1782" s="41" t="str"/>
      <c r="W1782" s="41" t="str"/>
    </row>
    <row r="1783">
      <c r="B1783" s="2" t="n"/>
      <c r="C1783" s="40" t="n"/>
      <c r="D1783" s="52">
        <f t="array" ref="D1783:W1783">IF(All_Students_Scores!C1781:V1781="","",All_Students_Scores!C1781:V1781)</f>
        <v/>
      </c>
      <c r="E1783" s="57" t="str"/>
      <c r="F1783" s="49" t="str"/>
      <c r="G1783" s="59" t="str"/>
      <c r="H1783" s="64" t="str"/>
      <c r="I1783" s="65" t="str"/>
      <c r="J1783" s="49" t="str"/>
      <c r="K1783" s="41" t="str"/>
      <c r="L1783" s="41" t="str"/>
      <c r="M1783" s="41" t="str"/>
      <c r="N1783" s="41" t="str"/>
      <c r="O1783" s="41" t="str"/>
      <c r="P1783" s="41" t="str"/>
      <c r="Q1783" s="41" t="str"/>
      <c r="R1783" s="41" t="str"/>
      <c r="S1783" s="41" t="str"/>
      <c r="T1783" s="41" t="str"/>
      <c r="U1783" s="41" t="str"/>
      <c r="V1783" s="41" t="str"/>
      <c r="W1783" s="41" t="str"/>
    </row>
    <row r="1784">
      <c r="B1784" s="2" t="n"/>
      <c r="C1784" s="40" t="n"/>
      <c r="D1784" s="52">
        <f t="array" ref="D1784:W1784">IF(All_Students_Scores!C1782:V1782="","",All_Students_Scores!C1782:V1782)</f>
        <v/>
      </c>
      <c r="E1784" s="57" t="str"/>
      <c r="F1784" s="49" t="str"/>
      <c r="G1784" s="59" t="str"/>
      <c r="H1784" s="64" t="str"/>
      <c r="I1784" s="65" t="str"/>
      <c r="J1784" s="49" t="str"/>
      <c r="K1784" s="41" t="str"/>
      <c r="L1784" s="41" t="str"/>
      <c r="M1784" s="41" t="str"/>
      <c r="N1784" s="41" t="str"/>
      <c r="O1784" s="41" t="str"/>
      <c r="P1784" s="41" t="str"/>
      <c r="Q1784" s="41" t="str"/>
      <c r="R1784" s="41" t="str"/>
      <c r="S1784" s="41" t="str"/>
      <c r="T1784" s="41" t="str"/>
      <c r="U1784" s="41" t="str"/>
      <c r="V1784" s="41" t="str"/>
      <c r="W1784" s="41" t="str"/>
    </row>
    <row r="1785">
      <c r="B1785" s="2" t="n"/>
      <c r="C1785" s="40" t="n"/>
      <c r="D1785" s="52">
        <f t="array" ref="D1785:W1785">IF(All_Students_Scores!C1783:V1783="","",All_Students_Scores!C1783:V1783)</f>
        <v/>
      </c>
      <c r="E1785" s="57" t="str"/>
      <c r="F1785" s="49" t="str"/>
      <c r="G1785" s="59" t="str"/>
      <c r="H1785" s="64" t="str"/>
      <c r="I1785" s="65" t="str"/>
      <c r="J1785" s="49" t="str"/>
      <c r="K1785" s="41" t="str"/>
      <c r="L1785" s="41" t="str"/>
      <c r="M1785" s="41" t="str"/>
      <c r="N1785" s="41" t="str"/>
      <c r="O1785" s="41" t="str"/>
      <c r="P1785" s="41" t="str"/>
      <c r="Q1785" s="41" t="str"/>
      <c r="R1785" s="41" t="str"/>
      <c r="S1785" s="41" t="str"/>
      <c r="T1785" s="41" t="str"/>
      <c r="U1785" s="41" t="str"/>
      <c r="V1785" s="41" t="str"/>
      <c r="W1785" s="41" t="str"/>
    </row>
    <row r="1786">
      <c r="B1786" s="2" t="n"/>
      <c r="C1786" s="40" t="n"/>
      <c r="D1786" s="52">
        <f t="array" ref="D1786:W1786">IF(All_Students_Scores!C1784:V1784="","",All_Students_Scores!C1784:V1784)</f>
        <v/>
      </c>
      <c r="E1786" s="57" t="str"/>
      <c r="F1786" s="49" t="str"/>
      <c r="G1786" s="59" t="str"/>
      <c r="H1786" s="64" t="str"/>
      <c r="I1786" s="65" t="str"/>
      <c r="J1786" s="49" t="str"/>
      <c r="K1786" s="41" t="str"/>
      <c r="L1786" s="41" t="str"/>
      <c r="M1786" s="41" t="str"/>
      <c r="N1786" s="41" t="str"/>
      <c r="O1786" s="41" t="str"/>
      <c r="P1786" s="41" t="str"/>
      <c r="Q1786" s="41" t="str"/>
      <c r="R1786" s="41" t="str"/>
      <c r="S1786" s="41" t="str"/>
      <c r="T1786" s="41" t="str"/>
      <c r="U1786" s="41" t="str"/>
      <c r="V1786" s="41" t="str"/>
      <c r="W1786" s="41" t="str"/>
    </row>
    <row r="1787">
      <c r="B1787" s="2" t="n"/>
      <c r="C1787" s="40" t="n"/>
      <c r="D1787" s="52">
        <f t="array" ref="D1787:W1787">IF(All_Students_Scores!C1785:V1785="","",All_Students_Scores!C1785:V1785)</f>
        <v/>
      </c>
      <c r="E1787" s="57" t="str"/>
      <c r="F1787" s="49" t="str"/>
      <c r="G1787" s="59" t="str"/>
      <c r="H1787" s="64" t="str"/>
      <c r="I1787" s="65" t="str"/>
      <c r="J1787" s="49" t="str"/>
      <c r="K1787" s="41" t="str"/>
      <c r="L1787" s="41" t="str"/>
      <c r="M1787" s="41" t="str"/>
      <c r="N1787" s="41" t="str"/>
      <c r="O1787" s="41" t="str"/>
      <c r="P1787" s="41" t="str"/>
      <c r="Q1787" s="41" t="str"/>
      <c r="R1787" s="41" t="str"/>
      <c r="S1787" s="41" t="str"/>
      <c r="T1787" s="41" t="str"/>
      <c r="U1787" s="41" t="str"/>
      <c r="V1787" s="41" t="str"/>
      <c r="W1787" s="41" t="str"/>
    </row>
    <row r="1788">
      <c r="B1788" s="2" t="n"/>
      <c r="C1788" s="40" t="n"/>
      <c r="D1788" s="52">
        <f t="array" ref="D1788:W1788">IF(All_Students_Scores!C1786:V1786="","",All_Students_Scores!C1786:V1786)</f>
        <v/>
      </c>
      <c r="E1788" s="57" t="str"/>
      <c r="F1788" s="49" t="str"/>
      <c r="G1788" s="59" t="str"/>
      <c r="H1788" s="64" t="str"/>
      <c r="I1788" s="65" t="str"/>
      <c r="J1788" s="49" t="str"/>
      <c r="K1788" s="41" t="str"/>
      <c r="L1788" s="41" t="str"/>
      <c r="M1788" s="41" t="str"/>
      <c r="N1788" s="41" t="str"/>
      <c r="O1788" s="41" t="str"/>
      <c r="P1788" s="41" t="str"/>
      <c r="Q1788" s="41" t="str"/>
      <c r="R1788" s="41" t="str"/>
      <c r="S1788" s="41" t="str"/>
      <c r="T1788" s="41" t="str"/>
      <c r="U1788" s="41" t="str"/>
      <c r="V1788" s="41" t="str"/>
      <c r="W1788" s="41" t="str"/>
    </row>
    <row r="1789">
      <c r="B1789" s="2" t="n"/>
      <c r="C1789" s="40" t="n"/>
      <c r="D1789" s="52">
        <f t="array" ref="D1789:W1789">IF(All_Students_Scores!C1787:V1787="","",All_Students_Scores!C1787:V1787)</f>
        <v/>
      </c>
      <c r="E1789" s="57" t="str"/>
      <c r="F1789" s="49" t="str"/>
      <c r="G1789" s="59" t="str"/>
      <c r="H1789" s="64" t="str"/>
      <c r="I1789" s="65" t="str"/>
      <c r="J1789" s="49" t="str"/>
      <c r="K1789" s="41" t="str"/>
      <c r="L1789" s="41" t="str"/>
      <c r="M1789" s="41" t="str"/>
      <c r="N1789" s="41" t="str"/>
      <c r="O1789" s="41" t="str"/>
      <c r="P1789" s="41" t="str"/>
      <c r="Q1789" s="41" t="str"/>
      <c r="R1789" s="41" t="str"/>
      <c r="S1789" s="41" t="str"/>
      <c r="T1789" s="41" t="str"/>
      <c r="U1789" s="41" t="str"/>
      <c r="V1789" s="41" t="str"/>
      <c r="W1789" s="41" t="str"/>
    </row>
    <row r="1790">
      <c r="B1790" s="2" t="n"/>
      <c r="C1790" s="40" t="n"/>
      <c r="D1790" s="52">
        <f t="array" ref="D1790:W1790">IF(All_Students_Scores!C1788:V1788="","",All_Students_Scores!C1788:V1788)</f>
        <v/>
      </c>
      <c r="E1790" s="57" t="str"/>
      <c r="F1790" s="49" t="str"/>
      <c r="G1790" s="59" t="str"/>
      <c r="H1790" s="64" t="str"/>
      <c r="I1790" s="65" t="str"/>
      <c r="J1790" s="49" t="str"/>
      <c r="K1790" s="41" t="str"/>
      <c r="L1790" s="41" t="str"/>
      <c r="M1790" s="41" t="str"/>
      <c r="N1790" s="41" t="str"/>
      <c r="O1790" s="41" t="str"/>
      <c r="P1790" s="41" t="str"/>
      <c r="Q1790" s="41" t="str"/>
      <c r="R1790" s="41" t="str"/>
      <c r="S1790" s="41" t="str"/>
      <c r="T1790" s="41" t="str"/>
      <c r="U1790" s="41" t="str"/>
      <c r="V1790" s="41" t="str"/>
      <c r="W1790" s="41" t="str"/>
    </row>
    <row r="1791">
      <c r="B1791" s="2" t="n"/>
      <c r="C1791" s="40" t="n"/>
      <c r="D1791" s="52">
        <f t="array" ref="D1791:W1791">IF(All_Students_Scores!C1789:V1789="","",All_Students_Scores!C1789:V1789)</f>
        <v/>
      </c>
      <c r="E1791" s="57" t="str"/>
      <c r="F1791" s="49" t="str"/>
      <c r="G1791" s="59" t="str"/>
      <c r="H1791" s="64" t="str"/>
      <c r="I1791" s="65" t="str"/>
      <c r="J1791" s="49" t="str"/>
      <c r="K1791" s="41" t="str"/>
      <c r="L1791" s="41" t="str"/>
      <c r="M1791" s="41" t="str"/>
      <c r="N1791" s="41" t="str"/>
      <c r="O1791" s="41" t="str"/>
      <c r="P1791" s="41" t="str"/>
      <c r="Q1791" s="41" t="str"/>
      <c r="R1791" s="41" t="str"/>
      <c r="S1791" s="41" t="str"/>
      <c r="T1791" s="41" t="str"/>
      <c r="U1791" s="41" t="str"/>
      <c r="V1791" s="41" t="str"/>
      <c r="W1791" s="41" t="str"/>
    </row>
    <row r="1792">
      <c r="B1792" s="2" t="n"/>
      <c r="C1792" s="40" t="n"/>
      <c r="D1792" s="52">
        <f t="array" ref="D1792:W1792">IF(All_Students_Scores!C1790:V1790="","",All_Students_Scores!C1790:V1790)</f>
        <v/>
      </c>
      <c r="E1792" s="57" t="str"/>
      <c r="F1792" s="49" t="str"/>
      <c r="G1792" s="59" t="str"/>
      <c r="H1792" s="64" t="str"/>
      <c r="I1792" s="65" t="str"/>
      <c r="J1792" s="49" t="str"/>
      <c r="K1792" s="41" t="str"/>
      <c r="L1792" s="41" t="str"/>
      <c r="M1792" s="41" t="str"/>
      <c r="N1792" s="41" t="str"/>
      <c r="O1792" s="41" t="str"/>
      <c r="P1792" s="41" t="str"/>
      <c r="Q1792" s="41" t="str"/>
      <c r="R1792" s="41" t="str"/>
      <c r="S1792" s="41" t="str"/>
      <c r="T1792" s="41" t="str"/>
      <c r="U1792" s="41" t="str"/>
      <c r="V1792" s="41" t="str"/>
      <c r="W1792" s="41" t="str"/>
    </row>
    <row r="1793">
      <c r="B1793" s="2" t="n"/>
      <c r="C1793" s="40" t="n"/>
      <c r="D1793" s="52">
        <f t="array" ref="D1793:W1793">IF(All_Students_Scores!C1791:V1791="","",All_Students_Scores!C1791:V1791)</f>
        <v/>
      </c>
      <c r="E1793" s="57" t="str"/>
      <c r="F1793" s="49" t="str"/>
      <c r="G1793" s="59" t="str"/>
      <c r="H1793" s="64" t="str"/>
      <c r="I1793" s="65" t="str"/>
      <c r="J1793" s="49" t="str"/>
      <c r="K1793" s="41" t="str"/>
      <c r="L1793" s="41" t="str"/>
      <c r="M1793" s="41" t="str"/>
      <c r="N1793" s="41" t="str"/>
      <c r="O1793" s="41" t="str"/>
      <c r="P1793" s="41" t="str"/>
      <c r="Q1793" s="41" t="str"/>
      <c r="R1793" s="41" t="str"/>
      <c r="S1793" s="41" t="str"/>
      <c r="T1793" s="41" t="str"/>
      <c r="U1793" s="41" t="str"/>
      <c r="V1793" s="41" t="str"/>
      <c r="W1793" s="41" t="str"/>
    </row>
    <row r="1794">
      <c r="B1794" s="2" t="n"/>
      <c r="C1794" s="40" t="n"/>
      <c r="D1794" s="52">
        <f t="array" ref="D1794:W1794">IF(All_Students_Scores!C1792:V1792="","",All_Students_Scores!C1792:V1792)</f>
        <v/>
      </c>
      <c r="E1794" s="57" t="str"/>
      <c r="F1794" s="49" t="str"/>
      <c r="G1794" s="59" t="str"/>
      <c r="H1794" s="64" t="str"/>
      <c r="I1794" s="65" t="str"/>
      <c r="J1794" s="49" t="str"/>
      <c r="K1794" s="41" t="str"/>
      <c r="L1794" s="41" t="str"/>
      <c r="M1794" s="41" t="str"/>
      <c r="N1794" s="41" t="str"/>
      <c r="O1794" s="41" t="str"/>
      <c r="P1794" s="41" t="str"/>
      <c r="Q1794" s="41" t="str"/>
      <c r="R1794" s="41" t="str"/>
      <c r="S1794" s="41" t="str"/>
      <c r="T1794" s="41" t="str"/>
      <c r="U1794" s="41" t="str"/>
      <c r="V1794" s="41" t="str"/>
      <c r="W1794" s="41" t="str"/>
    </row>
    <row r="1795">
      <c r="B1795" s="2" t="n"/>
      <c r="C1795" s="40" t="n"/>
      <c r="D1795" s="52">
        <f t="array" ref="D1795:W1795">IF(All_Students_Scores!C1793:V1793="","",All_Students_Scores!C1793:V1793)</f>
        <v/>
      </c>
      <c r="E1795" s="57" t="str"/>
      <c r="F1795" s="49" t="str"/>
      <c r="G1795" s="59" t="str"/>
      <c r="H1795" s="64" t="str"/>
      <c r="I1795" s="65" t="str"/>
      <c r="J1795" s="49" t="str"/>
      <c r="K1795" s="41" t="str"/>
      <c r="L1795" s="41" t="str"/>
      <c r="M1795" s="41" t="str"/>
      <c r="N1795" s="41" t="str"/>
      <c r="O1795" s="41" t="str"/>
      <c r="P1795" s="41" t="str"/>
      <c r="Q1795" s="41" t="str"/>
      <c r="R1795" s="41" t="str"/>
      <c r="S1795" s="41" t="str"/>
      <c r="T1795" s="41" t="str"/>
      <c r="U1795" s="41" t="str"/>
      <c r="V1795" s="41" t="str"/>
      <c r="W1795" s="41" t="str"/>
    </row>
    <row r="1796">
      <c r="B1796" s="2" t="n"/>
      <c r="C1796" s="40" t="n"/>
      <c r="D1796" s="52">
        <f t="array" ref="D1796:W1796">IF(All_Students_Scores!C1794:V1794="","",All_Students_Scores!C1794:V1794)</f>
        <v/>
      </c>
      <c r="E1796" s="57" t="str"/>
      <c r="F1796" s="49" t="str"/>
      <c r="G1796" s="59" t="str"/>
      <c r="H1796" s="64" t="str"/>
      <c r="I1796" s="65" t="str"/>
      <c r="J1796" s="49" t="str"/>
      <c r="K1796" s="41" t="str"/>
      <c r="L1796" s="41" t="str"/>
      <c r="M1796" s="41" t="str"/>
      <c r="N1796" s="41" t="str"/>
      <c r="O1796" s="41" t="str"/>
      <c r="P1796" s="41" t="str"/>
      <c r="Q1796" s="41" t="str"/>
      <c r="R1796" s="41" t="str"/>
      <c r="S1796" s="41" t="str"/>
      <c r="T1796" s="41" t="str"/>
      <c r="U1796" s="41" t="str"/>
      <c r="V1796" s="41" t="str"/>
      <c r="W1796" s="41" t="str"/>
    </row>
    <row r="1797">
      <c r="B1797" s="2" t="n"/>
      <c r="C1797" s="40" t="n"/>
      <c r="D1797" s="52">
        <f t="array" ref="D1797:W1797">IF(All_Students_Scores!C1795:V1795="","",All_Students_Scores!C1795:V1795)</f>
        <v/>
      </c>
      <c r="E1797" s="57" t="str"/>
      <c r="F1797" s="49" t="str"/>
      <c r="G1797" s="59" t="str"/>
      <c r="H1797" s="64" t="str"/>
      <c r="I1797" s="65" t="str"/>
      <c r="J1797" s="49" t="str"/>
      <c r="K1797" s="41" t="str"/>
      <c r="L1797" s="41" t="str"/>
      <c r="M1797" s="41" t="str"/>
      <c r="N1797" s="41" t="str"/>
      <c r="O1797" s="41" t="str"/>
      <c r="P1797" s="41" t="str"/>
      <c r="Q1797" s="41" t="str"/>
      <c r="R1797" s="41" t="str"/>
      <c r="S1797" s="41" t="str"/>
      <c r="T1797" s="41" t="str"/>
      <c r="U1797" s="41" t="str"/>
      <c r="V1797" s="41" t="str"/>
      <c r="W1797" s="41" t="str"/>
    </row>
    <row r="1798">
      <c r="B1798" s="2" t="n"/>
      <c r="C1798" s="40" t="n"/>
      <c r="D1798" s="52">
        <f t="array" ref="D1798:W1798">IF(All_Students_Scores!C1796:V1796="","",All_Students_Scores!C1796:V1796)</f>
        <v/>
      </c>
      <c r="E1798" s="57" t="str"/>
      <c r="F1798" s="49" t="str"/>
      <c r="G1798" s="59" t="str"/>
      <c r="H1798" s="64" t="str"/>
      <c r="I1798" s="65" t="str"/>
      <c r="J1798" s="49" t="str"/>
      <c r="K1798" s="41" t="str"/>
      <c r="L1798" s="41" t="str"/>
      <c r="M1798" s="41" t="str"/>
      <c r="N1798" s="41" t="str"/>
      <c r="O1798" s="41" t="str"/>
      <c r="P1798" s="41" t="str"/>
      <c r="Q1798" s="41" t="str"/>
      <c r="R1798" s="41" t="str"/>
      <c r="S1798" s="41" t="str"/>
      <c r="T1798" s="41" t="str"/>
      <c r="U1798" s="41" t="str"/>
      <c r="V1798" s="41" t="str"/>
      <c r="W1798" s="41" t="str"/>
    </row>
    <row r="1799">
      <c r="B1799" s="2" t="n"/>
      <c r="C1799" s="40" t="n"/>
      <c r="D1799" s="52">
        <f t="array" ref="D1799:W1799">IF(All_Students_Scores!C1797:V1797="","",All_Students_Scores!C1797:V1797)</f>
        <v/>
      </c>
      <c r="E1799" s="57" t="str"/>
      <c r="F1799" s="49" t="str"/>
      <c r="G1799" s="59" t="str"/>
      <c r="H1799" s="64" t="str"/>
      <c r="I1799" s="65" t="str"/>
      <c r="J1799" s="49" t="str"/>
      <c r="K1799" s="41" t="str"/>
      <c r="L1799" s="41" t="str"/>
      <c r="M1799" s="41" t="str"/>
      <c r="N1799" s="41" t="str"/>
      <c r="O1799" s="41" t="str"/>
      <c r="P1799" s="41" t="str"/>
      <c r="Q1799" s="41" t="str"/>
      <c r="R1799" s="41" t="str"/>
      <c r="S1799" s="41" t="str"/>
      <c r="T1799" s="41" t="str"/>
      <c r="U1799" s="41" t="str"/>
      <c r="V1799" s="41" t="str"/>
      <c r="W1799" s="41" t="str"/>
    </row>
    <row r="1800">
      <c r="B1800" s="2" t="n"/>
      <c r="C1800" s="40" t="n"/>
      <c r="D1800" s="52">
        <f t="array" ref="D1800:W1800">IF(All_Students_Scores!C1798:V1798="","",All_Students_Scores!C1798:V1798)</f>
        <v/>
      </c>
      <c r="E1800" s="57" t="str"/>
      <c r="F1800" s="49" t="str"/>
      <c r="G1800" s="59" t="str"/>
      <c r="H1800" s="64" t="str"/>
      <c r="I1800" s="65" t="str"/>
      <c r="J1800" s="49" t="str"/>
      <c r="K1800" s="41" t="str"/>
      <c r="L1800" s="41" t="str"/>
      <c r="M1800" s="41" t="str"/>
      <c r="N1800" s="41" t="str"/>
      <c r="O1800" s="41" t="str"/>
      <c r="P1800" s="41" t="str"/>
      <c r="Q1800" s="41" t="str"/>
      <c r="R1800" s="41" t="str"/>
      <c r="S1800" s="41" t="str"/>
      <c r="T1800" s="41" t="str"/>
      <c r="U1800" s="41" t="str"/>
      <c r="V1800" s="41" t="str"/>
      <c r="W1800" s="41" t="str"/>
    </row>
    <row r="1801">
      <c r="B1801" s="2" t="n"/>
      <c r="C1801" s="40" t="n"/>
      <c r="D1801" s="52">
        <f t="array" ref="D1801:W1801">IF(All_Students_Scores!C1799:V1799="","",All_Students_Scores!C1799:V1799)</f>
        <v/>
      </c>
      <c r="E1801" s="57" t="str"/>
      <c r="F1801" s="49" t="str"/>
      <c r="G1801" s="59" t="str"/>
      <c r="H1801" s="64" t="str"/>
      <c r="I1801" s="65" t="str"/>
      <c r="J1801" s="49" t="str"/>
      <c r="K1801" s="41" t="str"/>
      <c r="L1801" s="41" t="str"/>
      <c r="M1801" s="41" t="str"/>
      <c r="N1801" s="41" t="str"/>
      <c r="O1801" s="41" t="str"/>
      <c r="P1801" s="41" t="str"/>
      <c r="Q1801" s="41" t="str"/>
      <c r="R1801" s="41" t="str"/>
      <c r="S1801" s="41" t="str"/>
      <c r="T1801" s="41" t="str"/>
      <c r="U1801" s="41" t="str"/>
      <c r="V1801" s="41" t="str"/>
      <c r="W1801" s="41" t="str"/>
    </row>
    <row r="1802">
      <c r="B1802" s="2" t="n"/>
      <c r="C1802" s="40" t="n"/>
      <c r="D1802" s="52">
        <f t="array" ref="D1802:W1802">IF(All_Students_Scores!C1800:V1800="","",All_Students_Scores!C1800:V1800)</f>
        <v/>
      </c>
      <c r="E1802" s="57" t="str"/>
      <c r="F1802" s="49" t="str"/>
      <c r="G1802" s="59" t="str"/>
      <c r="H1802" s="64" t="str"/>
      <c r="I1802" s="65" t="str"/>
      <c r="J1802" s="49" t="str"/>
      <c r="K1802" s="41" t="str"/>
      <c r="L1802" s="41" t="str"/>
      <c r="M1802" s="41" t="str"/>
      <c r="N1802" s="41" t="str"/>
      <c r="O1802" s="41" t="str"/>
      <c r="P1802" s="41" t="str"/>
      <c r="Q1802" s="41" t="str"/>
      <c r="R1802" s="41" t="str"/>
      <c r="S1802" s="41" t="str"/>
      <c r="T1802" s="41" t="str"/>
      <c r="U1802" s="41" t="str"/>
      <c r="V1802" s="41" t="str"/>
      <c r="W1802" s="41" t="str"/>
    </row>
    <row r="1803">
      <c r="B1803" s="2" t="n"/>
      <c r="C1803" s="40" t="n"/>
      <c r="D1803" s="52">
        <f t="array" ref="D1803:W1803">IF(All_Students_Scores!C1801:V1801="","",All_Students_Scores!C1801:V1801)</f>
        <v/>
      </c>
      <c r="E1803" s="57" t="str"/>
      <c r="F1803" s="49" t="str"/>
      <c r="G1803" s="59" t="str"/>
      <c r="H1803" s="64" t="str"/>
      <c r="I1803" s="65" t="str"/>
      <c r="J1803" s="49" t="str"/>
      <c r="K1803" s="41" t="str"/>
      <c r="L1803" s="41" t="str"/>
      <c r="M1803" s="41" t="str"/>
      <c r="N1803" s="41" t="str"/>
      <c r="O1803" s="41" t="str"/>
      <c r="P1803" s="41" t="str"/>
      <c r="Q1803" s="41" t="str"/>
      <c r="R1803" s="41" t="str"/>
      <c r="S1803" s="41" t="str"/>
      <c r="T1803" s="41" t="str"/>
      <c r="U1803" s="41" t="str"/>
      <c r="V1803" s="41" t="str"/>
      <c r="W1803" s="41" t="str"/>
    </row>
    <row r="1804">
      <c r="B1804" s="2" t="n"/>
      <c r="C1804" s="40" t="n"/>
      <c r="D1804" s="52">
        <f t="array" ref="D1804:W1804">IF(All_Students_Scores!C1802:V1802="","",All_Students_Scores!C1802:V1802)</f>
        <v/>
      </c>
      <c r="E1804" s="57" t="str"/>
      <c r="F1804" s="49" t="str"/>
      <c r="G1804" s="59" t="str"/>
      <c r="H1804" s="64" t="str"/>
      <c r="I1804" s="65" t="str"/>
      <c r="J1804" s="49" t="str"/>
      <c r="K1804" s="41" t="str"/>
      <c r="L1804" s="41" t="str"/>
      <c r="M1804" s="41" t="str"/>
      <c r="N1804" s="41" t="str"/>
      <c r="O1804" s="41" t="str"/>
      <c r="P1804" s="41" t="str"/>
      <c r="Q1804" s="41" t="str"/>
      <c r="R1804" s="41" t="str"/>
      <c r="S1804" s="41" t="str"/>
      <c r="T1804" s="41" t="str"/>
      <c r="U1804" s="41" t="str"/>
      <c r="V1804" s="41" t="str"/>
      <c r="W1804" s="41" t="str"/>
    </row>
    <row r="1805">
      <c r="B1805" s="2" t="n"/>
      <c r="C1805" s="40" t="n"/>
      <c r="D1805" s="52">
        <f t="array" ref="D1805:W1805">IF(All_Students_Scores!C1803:V1803="","",All_Students_Scores!C1803:V1803)</f>
        <v/>
      </c>
      <c r="E1805" s="57" t="str"/>
      <c r="F1805" s="49" t="str"/>
      <c r="G1805" s="59" t="str"/>
      <c r="H1805" s="64" t="str"/>
      <c r="I1805" s="65" t="str"/>
      <c r="J1805" s="49" t="str"/>
      <c r="K1805" s="41" t="str"/>
      <c r="L1805" s="41" t="str"/>
      <c r="M1805" s="41" t="str"/>
      <c r="N1805" s="41" t="str"/>
      <c r="O1805" s="41" t="str"/>
      <c r="P1805" s="41" t="str"/>
      <c r="Q1805" s="41" t="str"/>
      <c r="R1805" s="41" t="str"/>
      <c r="S1805" s="41" t="str"/>
      <c r="T1805" s="41" t="str"/>
      <c r="U1805" s="41" t="str"/>
      <c r="V1805" s="41" t="str"/>
      <c r="W1805" s="41" t="str"/>
    </row>
    <row r="1806">
      <c r="B1806" s="2" t="n"/>
      <c r="C1806" s="40" t="n"/>
      <c r="D1806" s="52">
        <f t="array" ref="D1806:W1806">IF(All_Students_Scores!C1804:V1804="","",All_Students_Scores!C1804:V1804)</f>
        <v/>
      </c>
      <c r="E1806" s="57" t="str"/>
      <c r="F1806" s="49" t="str"/>
      <c r="G1806" s="59" t="str"/>
      <c r="H1806" s="64" t="str"/>
      <c r="I1806" s="65" t="str"/>
      <c r="J1806" s="49" t="str"/>
      <c r="K1806" s="41" t="str"/>
      <c r="L1806" s="41" t="str"/>
      <c r="M1806" s="41" t="str"/>
      <c r="N1806" s="41" t="str"/>
      <c r="O1806" s="41" t="str"/>
      <c r="P1806" s="41" t="str"/>
      <c r="Q1806" s="41" t="str"/>
      <c r="R1806" s="41" t="str"/>
      <c r="S1806" s="41" t="str"/>
      <c r="T1806" s="41" t="str"/>
      <c r="U1806" s="41" t="str"/>
      <c r="V1806" s="41" t="str"/>
      <c r="W1806" s="41" t="str"/>
    </row>
    <row r="1807">
      <c r="B1807" s="2" t="n"/>
      <c r="C1807" s="40" t="n"/>
      <c r="D1807" s="52">
        <f t="array" ref="D1807:W1807">IF(All_Students_Scores!C1805:V1805="","",All_Students_Scores!C1805:V1805)</f>
        <v/>
      </c>
      <c r="E1807" s="57" t="str"/>
      <c r="F1807" s="49" t="str"/>
      <c r="G1807" s="59" t="str"/>
      <c r="H1807" s="64" t="str"/>
      <c r="I1807" s="65" t="str"/>
      <c r="J1807" s="49" t="str"/>
      <c r="K1807" s="41" t="str"/>
      <c r="L1807" s="41" t="str"/>
      <c r="M1807" s="41" t="str"/>
      <c r="N1807" s="41" t="str"/>
      <c r="O1807" s="41" t="str"/>
      <c r="P1807" s="41" t="str"/>
      <c r="Q1807" s="41" t="str"/>
      <c r="R1807" s="41" t="str"/>
      <c r="S1807" s="41" t="str"/>
      <c r="T1807" s="41" t="str"/>
      <c r="U1807" s="41" t="str"/>
      <c r="V1807" s="41" t="str"/>
      <c r="W1807" s="41" t="str"/>
    </row>
    <row r="1808">
      <c r="B1808" s="2" t="n"/>
      <c r="C1808" s="40" t="n"/>
      <c r="D1808" s="52">
        <f t="array" ref="D1808:W1808">IF(All_Students_Scores!C1806:V1806="","",All_Students_Scores!C1806:V1806)</f>
        <v/>
      </c>
      <c r="E1808" s="57" t="str"/>
      <c r="F1808" s="49" t="str"/>
      <c r="G1808" s="59" t="str"/>
      <c r="H1808" s="64" t="str"/>
      <c r="I1808" s="65" t="str"/>
      <c r="J1808" s="49" t="str"/>
      <c r="K1808" s="41" t="str"/>
      <c r="L1808" s="41" t="str"/>
      <c r="M1808" s="41" t="str"/>
      <c r="N1808" s="41" t="str"/>
      <c r="O1808" s="41" t="str"/>
      <c r="P1808" s="41" t="str"/>
      <c r="Q1808" s="41" t="str"/>
      <c r="R1808" s="41" t="str"/>
      <c r="S1808" s="41" t="str"/>
      <c r="T1808" s="41" t="str"/>
      <c r="U1808" s="41" t="str"/>
      <c r="V1808" s="41" t="str"/>
      <c r="W1808" s="41" t="str"/>
    </row>
    <row r="1809">
      <c r="B1809" s="2" t="n"/>
      <c r="C1809" s="40" t="n"/>
      <c r="D1809" s="52">
        <f t="array" ref="D1809:W1809">IF(All_Students_Scores!C1807:V1807="","",All_Students_Scores!C1807:V1807)</f>
        <v/>
      </c>
      <c r="E1809" s="57" t="str"/>
      <c r="F1809" s="49" t="str"/>
      <c r="G1809" s="59" t="str"/>
      <c r="H1809" s="64" t="str"/>
      <c r="I1809" s="65" t="str"/>
      <c r="J1809" s="49" t="str"/>
      <c r="K1809" s="41" t="str"/>
      <c r="L1809" s="41" t="str"/>
      <c r="M1809" s="41" t="str"/>
      <c r="N1809" s="41" t="str"/>
      <c r="O1809" s="41" t="str"/>
      <c r="P1809" s="41" t="str"/>
      <c r="Q1809" s="41" t="str"/>
      <c r="R1809" s="41" t="str"/>
      <c r="S1809" s="41" t="str"/>
      <c r="T1809" s="41" t="str"/>
      <c r="U1809" s="41" t="str"/>
      <c r="V1809" s="41" t="str"/>
      <c r="W1809" s="41" t="str"/>
    </row>
    <row r="1810">
      <c r="B1810" s="2" t="n"/>
      <c r="C1810" s="40" t="n"/>
      <c r="D1810" s="52">
        <f t="array" ref="D1810:W1810">IF(All_Students_Scores!C1808:V1808="","",All_Students_Scores!C1808:V1808)</f>
        <v/>
      </c>
      <c r="E1810" s="57" t="str"/>
      <c r="F1810" s="49" t="str"/>
      <c r="G1810" s="59" t="str"/>
      <c r="H1810" s="64" t="str"/>
      <c r="I1810" s="65" t="str"/>
      <c r="J1810" s="49" t="str"/>
      <c r="K1810" s="41" t="str"/>
      <c r="L1810" s="41" t="str"/>
      <c r="M1810" s="41" t="str"/>
      <c r="N1810" s="41" t="str"/>
      <c r="O1810" s="41" t="str"/>
      <c r="P1810" s="41" t="str"/>
      <c r="Q1810" s="41" t="str"/>
      <c r="R1810" s="41" t="str"/>
      <c r="S1810" s="41" t="str"/>
      <c r="T1810" s="41" t="str"/>
      <c r="U1810" s="41" t="str"/>
      <c r="V1810" s="41" t="str"/>
      <c r="W1810" s="41" t="str"/>
    </row>
    <row r="1811">
      <c r="B1811" s="2" t="n"/>
      <c r="C1811" s="40" t="n"/>
      <c r="D1811" s="52">
        <f t="array" ref="D1811:W1811">IF(All_Students_Scores!C1809:V1809="","",All_Students_Scores!C1809:V1809)</f>
        <v/>
      </c>
      <c r="E1811" s="57" t="str"/>
      <c r="F1811" s="49" t="str"/>
      <c r="G1811" s="59" t="str"/>
      <c r="H1811" s="64" t="str"/>
      <c r="I1811" s="65" t="str"/>
      <c r="J1811" s="49" t="str"/>
      <c r="K1811" s="41" t="str"/>
      <c r="L1811" s="41" t="str"/>
      <c r="M1811" s="41" t="str"/>
      <c r="N1811" s="41" t="str"/>
      <c r="O1811" s="41" t="str"/>
      <c r="P1811" s="41" t="str"/>
      <c r="Q1811" s="41" t="str"/>
      <c r="R1811" s="41" t="str"/>
      <c r="S1811" s="41" t="str"/>
      <c r="T1811" s="41" t="str"/>
      <c r="U1811" s="41" t="str"/>
      <c r="V1811" s="41" t="str"/>
      <c r="W1811" s="41" t="str"/>
    </row>
    <row r="1812">
      <c r="B1812" s="2" t="n"/>
      <c r="C1812" s="40" t="n"/>
      <c r="D1812" s="52">
        <f t="array" ref="D1812:W1812">IF(All_Students_Scores!C1810:V1810="","",All_Students_Scores!C1810:V1810)</f>
        <v/>
      </c>
      <c r="E1812" s="57" t="str"/>
      <c r="F1812" s="49" t="str"/>
      <c r="G1812" s="59" t="str"/>
      <c r="H1812" s="64" t="str"/>
      <c r="I1812" s="65" t="str"/>
      <c r="J1812" s="49" t="str"/>
      <c r="K1812" s="41" t="str"/>
      <c r="L1812" s="41" t="str"/>
      <c r="M1812" s="41" t="str"/>
      <c r="N1812" s="41" t="str"/>
      <c r="O1812" s="41" t="str"/>
      <c r="P1812" s="41" t="str"/>
      <c r="Q1812" s="41" t="str"/>
      <c r="R1812" s="41" t="str"/>
      <c r="S1812" s="41" t="str"/>
      <c r="T1812" s="41" t="str"/>
      <c r="U1812" s="41" t="str"/>
      <c r="V1812" s="41" t="str"/>
      <c r="W1812" s="41" t="str"/>
    </row>
    <row r="1813">
      <c r="B1813" s="2" t="n"/>
      <c r="C1813" s="40" t="n"/>
      <c r="D1813" s="52">
        <f t="array" ref="D1813:W1813">IF(All_Students_Scores!C1811:V1811="","",All_Students_Scores!C1811:V1811)</f>
        <v/>
      </c>
      <c r="E1813" s="57" t="str"/>
      <c r="F1813" s="49" t="str"/>
      <c r="G1813" s="59" t="str"/>
      <c r="H1813" s="64" t="str"/>
      <c r="I1813" s="65" t="str"/>
      <c r="J1813" s="49" t="str"/>
      <c r="K1813" s="41" t="str"/>
      <c r="L1813" s="41" t="str"/>
      <c r="M1813" s="41" t="str"/>
      <c r="N1813" s="41" t="str"/>
      <c r="O1813" s="41" t="str"/>
      <c r="P1813" s="41" t="str"/>
      <c r="Q1813" s="41" t="str"/>
      <c r="R1813" s="41" t="str"/>
      <c r="S1813" s="41" t="str"/>
      <c r="T1813" s="41" t="str"/>
      <c r="U1813" s="41" t="str"/>
      <c r="V1813" s="41" t="str"/>
      <c r="W1813" s="41" t="str"/>
    </row>
    <row r="1814">
      <c r="B1814" s="2" t="n"/>
      <c r="C1814" s="40" t="n"/>
      <c r="D1814" s="52">
        <f t="array" ref="D1814:W1814">IF(All_Students_Scores!C1812:V1812="","",All_Students_Scores!C1812:V1812)</f>
        <v/>
      </c>
      <c r="E1814" s="57" t="str"/>
      <c r="F1814" s="49" t="str"/>
      <c r="G1814" s="59" t="str"/>
      <c r="H1814" s="64" t="str"/>
      <c r="I1814" s="65" t="str"/>
      <c r="J1814" s="49" t="str"/>
      <c r="K1814" s="41" t="str"/>
      <c r="L1814" s="41" t="str"/>
      <c r="M1814" s="41" t="str"/>
      <c r="N1814" s="41" t="str"/>
      <c r="O1814" s="41" t="str"/>
      <c r="P1814" s="41" t="str"/>
      <c r="Q1814" s="41" t="str"/>
      <c r="R1814" s="41" t="str"/>
      <c r="S1814" s="41" t="str"/>
      <c r="T1814" s="41" t="str"/>
      <c r="U1814" s="41" t="str"/>
      <c r="V1814" s="41" t="str"/>
      <c r="W1814" s="41" t="str"/>
    </row>
    <row r="1815">
      <c r="B1815" s="2" t="n"/>
      <c r="C1815" s="40" t="n"/>
      <c r="D1815" s="52">
        <f t="array" ref="D1815:W1815">IF(All_Students_Scores!C1813:V1813="","",All_Students_Scores!C1813:V1813)</f>
        <v/>
      </c>
      <c r="E1815" s="57" t="str"/>
      <c r="F1815" s="49" t="str"/>
      <c r="G1815" s="59" t="str"/>
      <c r="H1815" s="64" t="str"/>
      <c r="I1815" s="65" t="str"/>
      <c r="J1815" s="49" t="str"/>
      <c r="K1815" s="41" t="str"/>
      <c r="L1815" s="41" t="str"/>
      <c r="M1815" s="41" t="str"/>
      <c r="N1815" s="41" t="str"/>
      <c r="O1815" s="41" t="str"/>
      <c r="P1815" s="41" t="str"/>
      <c r="Q1815" s="41" t="str"/>
      <c r="R1815" s="41" t="str"/>
      <c r="S1815" s="41" t="str"/>
      <c r="T1815" s="41" t="str"/>
      <c r="U1815" s="41" t="str"/>
      <c r="V1815" s="41" t="str"/>
      <c r="W1815" s="41" t="str"/>
    </row>
    <row r="1816">
      <c r="B1816" s="2" t="n"/>
      <c r="C1816" s="40" t="n"/>
      <c r="D1816" s="52">
        <f t="array" ref="D1816:W1816">IF(All_Students_Scores!C1814:V1814="","",All_Students_Scores!C1814:V1814)</f>
        <v/>
      </c>
      <c r="E1816" s="57" t="str"/>
      <c r="F1816" s="49" t="str"/>
      <c r="G1816" s="59" t="str"/>
      <c r="H1816" s="64" t="str"/>
      <c r="I1816" s="65" t="str"/>
      <c r="J1816" s="49" t="str"/>
      <c r="K1816" s="41" t="str"/>
      <c r="L1816" s="41" t="str"/>
      <c r="M1816" s="41" t="str"/>
      <c r="N1816" s="41" t="str"/>
      <c r="O1816" s="41" t="str"/>
      <c r="P1816" s="41" t="str"/>
      <c r="Q1816" s="41" t="str"/>
      <c r="R1816" s="41" t="str"/>
      <c r="S1816" s="41" t="str"/>
      <c r="T1816" s="41" t="str"/>
      <c r="U1816" s="41" t="str"/>
      <c r="V1816" s="41" t="str"/>
      <c r="W1816" s="41" t="str"/>
    </row>
    <row r="1817">
      <c r="B1817" s="2" t="n"/>
      <c r="C1817" s="40" t="n"/>
      <c r="D1817" s="52">
        <f t="array" ref="D1817:W1817">IF(All_Students_Scores!C1815:V1815="","",All_Students_Scores!C1815:V1815)</f>
        <v/>
      </c>
      <c r="E1817" s="57" t="str"/>
      <c r="F1817" s="49" t="str"/>
      <c r="G1817" s="59" t="str"/>
      <c r="H1817" s="64" t="str"/>
      <c r="I1817" s="65" t="str"/>
      <c r="J1817" s="49" t="str"/>
      <c r="K1817" s="41" t="str"/>
      <c r="L1817" s="41" t="str"/>
      <c r="M1817" s="41" t="str"/>
      <c r="N1817" s="41" t="str"/>
      <c r="O1817" s="41" t="str"/>
      <c r="P1817" s="41" t="str"/>
      <c r="Q1817" s="41" t="str"/>
      <c r="R1817" s="41" t="str"/>
      <c r="S1817" s="41" t="str"/>
      <c r="T1817" s="41" t="str"/>
      <c r="U1817" s="41" t="str"/>
      <c r="V1817" s="41" t="str"/>
      <c r="W1817" s="41" t="str"/>
    </row>
    <row r="1818">
      <c r="B1818" s="2" t="n"/>
      <c r="C1818" s="40" t="n"/>
      <c r="D1818" s="52">
        <f t="array" ref="D1818:W1818">IF(All_Students_Scores!C1816:V1816="","",All_Students_Scores!C1816:V1816)</f>
        <v/>
      </c>
      <c r="E1818" s="57" t="str"/>
      <c r="F1818" s="49" t="str"/>
      <c r="G1818" s="59" t="str"/>
      <c r="H1818" s="64" t="str"/>
      <c r="I1818" s="65" t="str"/>
      <c r="J1818" s="49" t="str"/>
      <c r="K1818" s="41" t="str"/>
      <c r="L1818" s="41" t="str"/>
      <c r="M1818" s="41" t="str"/>
      <c r="N1818" s="41" t="str"/>
      <c r="O1818" s="41" t="str"/>
      <c r="P1818" s="41" t="str"/>
      <c r="Q1818" s="41" t="str"/>
      <c r="R1818" s="41" t="str"/>
      <c r="S1818" s="41" t="str"/>
      <c r="T1818" s="41" t="str"/>
      <c r="U1818" s="41" t="str"/>
      <c r="V1818" s="41" t="str"/>
      <c r="W1818" s="41" t="str"/>
    </row>
    <row r="1819">
      <c r="B1819" s="2" t="n"/>
      <c r="C1819" s="40" t="n"/>
      <c r="D1819" s="52">
        <f t="array" ref="D1819:W1819">IF(All_Students_Scores!C1817:V1817="","",All_Students_Scores!C1817:V1817)</f>
        <v/>
      </c>
      <c r="E1819" s="57" t="str"/>
      <c r="F1819" s="49" t="str"/>
      <c r="G1819" s="59" t="str"/>
      <c r="H1819" s="64" t="str"/>
      <c r="I1819" s="65" t="str"/>
      <c r="J1819" s="49" t="str"/>
      <c r="K1819" s="41" t="str"/>
      <c r="L1819" s="41" t="str"/>
      <c r="M1819" s="41" t="str"/>
      <c r="N1819" s="41" t="str"/>
      <c r="O1819" s="41" t="str"/>
      <c r="P1819" s="41" t="str"/>
      <c r="Q1819" s="41" t="str"/>
      <c r="R1819" s="41" t="str"/>
      <c r="S1819" s="41" t="str"/>
      <c r="T1819" s="41" t="str"/>
      <c r="U1819" s="41" t="str"/>
      <c r="V1819" s="41" t="str"/>
      <c r="W1819" s="41" t="str"/>
    </row>
    <row r="1820">
      <c r="B1820" s="2" t="n"/>
      <c r="C1820" s="40" t="n"/>
      <c r="D1820" s="52">
        <f t="array" ref="D1820:W1820">IF(All_Students_Scores!C1818:V1818="","",All_Students_Scores!C1818:V1818)</f>
        <v/>
      </c>
      <c r="E1820" s="57" t="str"/>
      <c r="F1820" s="49" t="str"/>
      <c r="G1820" s="59" t="str"/>
      <c r="H1820" s="64" t="str"/>
      <c r="I1820" s="65" t="str"/>
      <c r="J1820" s="49" t="str"/>
      <c r="K1820" s="41" t="str"/>
      <c r="L1820" s="41" t="str"/>
      <c r="M1820" s="41" t="str"/>
      <c r="N1820" s="41" t="str"/>
      <c r="O1820" s="41" t="str"/>
      <c r="P1820" s="41" t="str"/>
      <c r="Q1820" s="41" t="str"/>
      <c r="R1820" s="41" t="str"/>
      <c r="S1820" s="41" t="str"/>
      <c r="T1820" s="41" t="str"/>
      <c r="U1820" s="41" t="str"/>
      <c r="V1820" s="41" t="str"/>
      <c r="W1820" s="41" t="str"/>
    </row>
    <row r="1821">
      <c r="B1821" s="2" t="n"/>
      <c r="C1821" s="40" t="n"/>
      <c r="D1821" s="52">
        <f t="array" ref="D1821:W1821">IF(All_Students_Scores!C1819:V1819="","",All_Students_Scores!C1819:V1819)</f>
        <v/>
      </c>
      <c r="E1821" s="57" t="str"/>
      <c r="F1821" s="49" t="str"/>
      <c r="G1821" s="59" t="str"/>
      <c r="H1821" s="64" t="str"/>
      <c r="I1821" s="65" t="str"/>
      <c r="J1821" s="49" t="str"/>
      <c r="K1821" s="41" t="str"/>
      <c r="L1821" s="41" t="str"/>
      <c r="M1821" s="41" t="str"/>
      <c r="N1821" s="41" t="str"/>
      <c r="O1821" s="41" t="str"/>
      <c r="P1821" s="41" t="str"/>
      <c r="Q1821" s="41" t="str"/>
      <c r="R1821" s="41" t="str"/>
      <c r="S1821" s="41" t="str"/>
      <c r="T1821" s="41" t="str"/>
      <c r="U1821" s="41" t="str"/>
      <c r="V1821" s="41" t="str"/>
      <c r="W1821" s="41" t="str"/>
    </row>
    <row r="1822">
      <c r="B1822" s="2" t="n"/>
      <c r="C1822" s="40" t="n"/>
      <c r="D1822" s="52">
        <f t="array" ref="D1822:W1822">IF(All_Students_Scores!C1820:V1820="","",All_Students_Scores!C1820:V1820)</f>
        <v/>
      </c>
      <c r="E1822" s="57" t="str"/>
      <c r="F1822" s="49" t="str"/>
      <c r="G1822" s="59" t="str"/>
      <c r="H1822" s="64" t="str"/>
      <c r="I1822" s="65" t="str"/>
      <c r="J1822" s="49" t="str"/>
      <c r="K1822" s="41" t="str"/>
      <c r="L1822" s="41" t="str"/>
      <c r="M1822" s="41" t="str"/>
      <c r="N1822" s="41" t="str"/>
      <c r="O1822" s="41" t="str"/>
      <c r="P1822" s="41" t="str"/>
      <c r="Q1822" s="41" t="str"/>
      <c r="R1822" s="41" t="str"/>
      <c r="S1822" s="41" t="str"/>
      <c r="T1822" s="41" t="str"/>
      <c r="U1822" s="41" t="str"/>
      <c r="V1822" s="41" t="str"/>
      <c r="W1822" s="41" t="str"/>
    </row>
    <row r="1823">
      <c r="B1823" s="2" t="n"/>
      <c r="C1823" s="40" t="n"/>
      <c r="D1823" s="52">
        <f t="array" ref="D1823:W1823">IF(All_Students_Scores!C1821:V1821="","",All_Students_Scores!C1821:V1821)</f>
        <v/>
      </c>
      <c r="E1823" s="57" t="str"/>
      <c r="F1823" s="49" t="str"/>
      <c r="G1823" s="59" t="str"/>
      <c r="H1823" s="64" t="str"/>
      <c r="I1823" s="65" t="str"/>
      <c r="J1823" s="49" t="str"/>
      <c r="K1823" s="41" t="str"/>
      <c r="L1823" s="41" t="str"/>
      <c r="M1823" s="41" t="str"/>
      <c r="N1823" s="41" t="str"/>
      <c r="O1823" s="41" t="str"/>
      <c r="P1823" s="41" t="str"/>
      <c r="Q1823" s="41" t="str"/>
      <c r="R1823" s="41" t="str"/>
      <c r="S1823" s="41" t="str"/>
      <c r="T1823" s="41" t="str"/>
      <c r="U1823" s="41" t="str"/>
      <c r="V1823" s="41" t="str"/>
      <c r="W1823" s="41" t="str"/>
    </row>
    <row r="1824">
      <c r="B1824" s="2" t="n"/>
      <c r="C1824" s="40" t="n"/>
      <c r="D1824" s="52">
        <f t="array" ref="D1824:W1824">IF(All_Students_Scores!C1822:V1822="","",All_Students_Scores!C1822:V1822)</f>
        <v/>
      </c>
      <c r="E1824" s="57" t="str"/>
      <c r="F1824" s="49" t="str"/>
      <c r="G1824" s="59" t="str"/>
      <c r="H1824" s="64" t="str"/>
      <c r="I1824" s="65" t="str"/>
      <c r="J1824" s="49" t="str"/>
      <c r="K1824" s="41" t="str"/>
      <c r="L1824" s="41" t="str"/>
      <c r="M1824" s="41" t="str"/>
      <c r="N1824" s="41" t="str"/>
      <c r="O1824" s="41" t="str"/>
      <c r="P1824" s="41" t="str"/>
      <c r="Q1824" s="41" t="str"/>
      <c r="R1824" s="41" t="str"/>
      <c r="S1824" s="41" t="str"/>
      <c r="T1824" s="41" t="str"/>
      <c r="U1824" s="41" t="str"/>
      <c r="V1824" s="41" t="str"/>
      <c r="W1824" s="41" t="str"/>
    </row>
    <row r="1825">
      <c r="B1825" s="2" t="n"/>
      <c r="C1825" s="40" t="n"/>
      <c r="D1825" s="52">
        <f t="array" ref="D1825:W1825">IF(All_Students_Scores!C1823:V1823="","",All_Students_Scores!C1823:V1823)</f>
        <v/>
      </c>
      <c r="E1825" s="57" t="str"/>
      <c r="F1825" s="49" t="str"/>
      <c r="G1825" s="59" t="str"/>
      <c r="H1825" s="64" t="str"/>
      <c r="I1825" s="65" t="str"/>
      <c r="J1825" s="49" t="str"/>
      <c r="K1825" s="41" t="str"/>
      <c r="L1825" s="41" t="str"/>
      <c r="M1825" s="41" t="str"/>
      <c r="N1825" s="41" t="str"/>
      <c r="O1825" s="41" t="str"/>
      <c r="P1825" s="41" t="str"/>
      <c r="Q1825" s="41" t="str"/>
      <c r="R1825" s="41" t="str"/>
      <c r="S1825" s="41" t="str"/>
      <c r="T1825" s="41" t="str"/>
      <c r="U1825" s="41" t="str"/>
      <c r="V1825" s="41" t="str"/>
      <c r="W1825" s="41" t="str"/>
    </row>
    <row r="1826">
      <c r="B1826" s="2" t="n"/>
      <c r="C1826" s="40" t="n"/>
      <c r="D1826" s="52">
        <f t="array" ref="D1826:W1826">IF(All_Students_Scores!C1824:V1824="","",All_Students_Scores!C1824:V1824)</f>
        <v/>
      </c>
      <c r="E1826" s="57" t="str"/>
      <c r="F1826" s="49" t="str"/>
      <c r="G1826" s="59" t="str"/>
      <c r="H1826" s="64" t="str"/>
      <c r="I1826" s="65" t="str"/>
      <c r="J1826" s="49" t="str"/>
      <c r="K1826" s="41" t="str"/>
      <c r="L1826" s="41" t="str"/>
      <c r="M1826" s="41" t="str"/>
      <c r="N1826" s="41" t="str"/>
      <c r="O1826" s="41" t="str"/>
      <c r="P1826" s="41" t="str"/>
      <c r="Q1826" s="41" t="str"/>
      <c r="R1826" s="41" t="str"/>
      <c r="S1826" s="41" t="str"/>
      <c r="T1826" s="41" t="str"/>
      <c r="U1826" s="41" t="str"/>
      <c r="V1826" s="41" t="str"/>
      <c r="W1826" s="41" t="str"/>
    </row>
    <row r="1827">
      <c r="B1827" s="2" t="n"/>
      <c r="C1827" s="40" t="n"/>
      <c r="D1827" s="52">
        <f t="array" ref="D1827:W1827">IF(All_Students_Scores!C1825:V1825="","",All_Students_Scores!C1825:V1825)</f>
        <v/>
      </c>
      <c r="E1827" s="57" t="str"/>
      <c r="F1827" s="49" t="str"/>
      <c r="G1827" s="59" t="str"/>
      <c r="H1827" s="64" t="str"/>
      <c r="I1827" s="65" t="str"/>
      <c r="J1827" s="49" t="str"/>
      <c r="K1827" s="41" t="str"/>
      <c r="L1827" s="41" t="str"/>
      <c r="M1827" s="41" t="str"/>
      <c r="N1827" s="41" t="str"/>
      <c r="O1827" s="41" t="str"/>
      <c r="P1827" s="41" t="str"/>
      <c r="Q1827" s="41" t="str"/>
      <c r="R1827" s="41" t="str"/>
      <c r="S1827" s="41" t="str"/>
      <c r="T1827" s="41" t="str"/>
      <c r="U1827" s="41" t="str"/>
      <c r="V1827" s="41" t="str"/>
      <c r="W1827" s="41" t="str"/>
    </row>
    <row r="1828">
      <c r="B1828" s="2" t="n"/>
      <c r="C1828" s="40" t="n"/>
      <c r="D1828" s="52">
        <f t="array" ref="D1828:W1828">IF(All_Students_Scores!C1826:V1826="","",All_Students_Scores!C1826:V1826)</f>
        <v/>
      </c>
      <c r="E1828" s="57" t="str"/>
      <c r="F1828" s="49" t="str"/>
      <c r="G1828" s="59" t="str"/>
      <c r="H1828" s="64" t="str"/>
      <c r="I1828" s="65" t="str"/>
      <c r="J1828" s="49" t="str"/>
      <c r="K1828" s="41" t="str"/>
      <c r="L1828" s="41" t="str"/>
      <c r="M1828" s="41" t="str"/>
      <c r="N1828" s="41" t="str"/>
      <c r="O1828" s="41" t="str"/>
      <c r="P1828" s="41" t="str"/>
      <c r="Q1828" s="41" t="str"/>
      <c r="R1828" s="41" t="str"/>
      <c r="S1828" s="41" t="str"/>
      <c r="T1828" s="41" t="str"/>
      <c r="U1828" s="41" t="str"/>
      <c r="V1828" s="41" t="str"/>
      <c r="W1828" s="41" t="str"/>
    </row>
    <row r="1829">
      <c r="B1829" s="2" t="n"/>
      <c r="C1829" s="40" t="n"/>
      <c r="D1829" s="52">
        <f t="array" ref="D1829:W1829">IF(All_Students_Scores!C1827:V1827="","",All_Students_Scores!C1827:V1827)</f>
        <v/>
      </c>
      <c r="E1829" s="57" t="str"/>
      <c r="F1829" s="49" t="str"/>
      <c r="G1829" s="59" t="str"/>
      <c r="H1829" s="64" t="str"/>
      <c r="I1829" s="65" t="str"/>
      <c r="J1829" s="49" t="str"/>
      <c r="K1829" s="41" t="str"/>
      <c r="L1829" s="41" t="str"/>
      <c r="M1829" s="41" t="str"/>
      <c r="N1829" s="41" t="str"/>
      <c r="O1829" s="41" t="str"/>
      <c r="P1829" s="41" t="str"/>
      <c r="Q1829" s="41" t="str"/>
      <c r="R1829" s="41" t="str"/>
      <c r="S1829" s="41" t="str"/>
      <c r="T1829" s="41" t="str"/>
      <c r="U1829" s="41" t="str"/>
      <c r="V1829" s="41" t="str"/>
      <c r="W1829" s="41" t="str"/>
    </row>
    <row r="1830">
      <c r="B1830" s="2" t="n"/>
      <c r="C1830" s="40" t="n"/>
      <c r="D1830" s="52">
        <f t="array" ref="D1830:W1830">IF(All_Students_Scores!C1828:V1828="","",All_Students_Scores!C1828:V1828)</f>
        <v/>
      </c>
      <c r="E1830" s="57" t="str"/>
      <c r="F1830" s="49" t="str"/>
      <c r="G1830" s="59" t="str"/>
      <c r="H1830" s="64" t="str"/>
      <c r="I1830" s="65" t="str"/>
      <c r="J1830" s="49" t="str"/>
      <c r="K1830" s="41" t="str"/>
      <c r="L1830" s="41" t="str"/>
      <c r="M1830" s="41" t="str"/>
      <c r="N1830" s="41" t="str"/>
      <c r="O1830" s="41" t="str"/>
      <c r="P1830" s="41" t="str"/>
      <c r="Q1830" s="41" t="str"/>
      <c r="R1830" s="41" t="str"/>
      <c r="S1830" s="41" t="str"/>
      <c r="T1830" s="41" t="str"/>
      <c r="U1830" s="41" t="str"/>
      <c r="V1830" s="41" t="str"/>
      <c r="W1830" s="41" t="str"/>
    </row>
    <row r="1831">
      <c r="B1831" s="2" t="n"/>
      <c r="C1831" s="40" t="n"/>
      <c r="D1831" s="52">
        <f t="array" ref="D1831:W1831">IF(All_Students_Scores!C1829:V1829="","",All_Students_Scores!C1829:V1829)</f>
        <v/>
      </c>
      <c r="E1831" s="57" t="str"/>
      <c r="F1831" s="49" t="str"/>
      <c r="G1831" s="59" t="str"/>
      <c r="H1831" s="64" t="str"/>
      <c r="I1831" s="65" t="str"/>
      <c r="J1831" s="49" t="str"/>
      <c r="K1831" s="41" t="str"/>
      <c r="L1831" s="41" t="str"/>
      <c r="M1831" s="41" t="str"/>
      <c r="N1831" s="41" t="str"/>
      <c r="O1831" s="41" t="str"/>
      <c r="P1831" s="41" t="str"/>
      <c r="Q1831" s="41" t="str"/>
      <c r="R1831" s="41" t="str"/>
      <c r="S1831" s="41" t="str"/>
      <c r="T1831" s="41" t="str"/>
      <c r="U1831" s="41" t="str"/>
      <c r="V1831" s="41" t="str"/>
      <c r="W1831" s="41" t="str"/>
    </row>
    <row r="1832">
      <c r="B1832" s="2" t="n"/>
      <c r="C1832" s="40" t="n"/>
      <c r="D1832" s="52">
        <f t="array" ref="D1832:W1832">IF(All_Students_Scores!C1830:V1830="","",All_Students_Scores!C1830:V1830)</f>
        <v/>
      </c>
      <c r="E1832" s="57" t="str"/>
      <c r="F1832" s="49" t="str"/>
      <c r="G1832" s="59" t="str"/>
      <c r="H1832" s="64" t="str"/>
      <c r="I1832" s="65" t="str"/>
      <c r="J1832" s="49" t="str"/>
      <c r="K1832" s="41" t="str"/>
      <c r="L1832" s="41" t="str"/>
      <c r="M1832" s="41" t="str"/>
      <c r="N1832" s="41" t="str"/>
      <c r="O1832" s="41" t="str"/>
      <c r="P1832" s="41" t="str"/>
      <c r="Q1832" s="41" t="str"/>
      <c r="R1832" s="41" t="str"/>
      <c r="S1832" s="41" t="str"/>
      <c r="T1832" s="41" t="str"/>
      <c r="U1832" s="41" t="str"/>
      <c r="V1832" s="41" t="str"/>
      <c r="W1832" s="41" t="str"/>
    </row>
    <row r="1833">
      <c r="B1833" s="2" t="n"/>
      <c r="C1833" s="40" t="n"/>
      <c r="D1833" s="52">
        <f t="array" ref="D1833:W1833">IF(All_Students_Scores!C1831:V1831="","",All_Students_Scores!C1831:V1831)</f>
        <v/>
      </c>
      <c r="E1833" s="57" t="str"/>
      <c r="F1833" s="49" t="str"/>
      <c r="G1833" s="59" t="str"/>
      <c r="H1833" s="64" t="str"/>
      <c r="I1833" s="65" t="str"/>
      <c r="J1833" s="49" t="str"/>
      <c r="K1833" s="41" t="str"/>
      <c r="L1833" s="41" t="str"/>
      <c r="M1833" s="41" t="str"/>
      <c r="N1833" s="41" t="str"/>
      <c r="O1833" s="41" t="str"/>
      <c r="P1833" s="41" t="str"/>
      <c r="Q1833" s="41" t="str"/>
      <c r="R1833" s="41" t="str"/>
      <c r="S1833" s="41" t="str"/>
      <c r="T1833" s="41" t="str"/>
      <c r="U1833" s="41" t="str"/>
      <c r="V1833" s="41" t="str"/>
      <c r="W1833" s="41" t="str"/>
    </row>
    <row r="1834">
      <c r="B1834" s="2" t="n"/>
      <c r="C1834" s="40" t="n"/>
      <c r="D1834" s="52">
        <f t="array" ref="D1834:W1834">IF(All_Students_Scores!C1832:V1832="","",All_Students_Scores!C1832:V1832)</f>
        <v/>
      </c>
      <c r="E1834" s="57" t="str"/>
      <c r="F1834" s="49" t="str"/>
      <c r="G1834" s="59" t="str"/>
      <c r="H1834" s="64" t="str"/>
      <c r="I1834" s="65" t="str"/>
      <c r="J1834" s="49" t="str"/>
      <c r="K1834" s="41" t="str"/>
      <c r="L1834" s="41" t="str"/>
      <c r="M1834" s="41" t="str"/>
      <c r="N1834" s="41" t="str"/>
      <c r="O1834" s="41" t="str"/>
      <c r="P1834" s="41" t="str"/>
      <c r="Q1834" s="41" t="str"/>
      <c r="R1834" s="41" t="str"/>
      <c r="S1834" s="41" t="str"/>
      <c r="T1834" s="41" t="str"/>
      <c r="U1834" s="41" t="str"/>
      <c r="V1834" s="41" t="str"/>
      <c r="W1834" s="41" t="str"/>
    </row>
    <row r="1835">
      <c r="B1835" s="2" t="n"/>
      <c r="C1835" s="40" t="n"/>
      <c r="D1835" s="52">
        <f t="array" ref="D1835:W1835">IF(All_Students_Scores!C1833:V1833="","",All_Students_Scores!C1833:V1833)</f>
        <v/>
      </c>
      <c r="E1835" s="57" t="str"/>
      <c r="F1835" s="49" t="str"/>
      <c r="G1835" s="59" t="str"/>
      <c r="H1835" s="64" t="str"/>
      <c r="I1835" s="65" t="str"/>
      <c r="J1835" s="49" t="str"/>
      <c r="K1835" s="41" t="str"/>
      <c r="L1835" s="41" t="str"/>
      <c r="M1835" s="41" t="str"/>
      <c r="N1835" s="41" t="str"/>
      <c r="O1835" s="41" t="str"/>
      <c r="P1835" s="41" t="str"/>
      <c r="Q1835" s="41" t="str"/>
      <c r="R1835" s="41" t="str"/>
      <c r="S1835" s="41" t="str"/>
      <c r="T1835" s="41" t="str"/>
      <c r="U1835" s="41" t="str"/>
      <c r="V1835" s="41" t="str"/>
      <c r="W1835" s="41" t="str"/>
    </row>
    <row r="1836">
      <c r="B1836" s="2" t="n"/>
      <c r="C1836" s="40" t="n"/>
      <c r="D1836" s="52">
        <f t="array" ref="D1836:W1836">IF(All_Students_Scores!C1834:V1834="","",All_Students_Scores!C1834:V1834)</f>
        <v/>
      </c>
      <c r="E1836" s="57" t="str"/>
      <c r="F1836" s="49" t="str"/>
      <c r="G1836" s="59" t="str"/>
      <c r="H1836" s="64" t="str"/>
      <c r="I1836" s="65" t="str"/>
      <c r="J1836" s="49" t="str"/>
      <c r="K1836" s="41" t="str"/>
      <c r="L1836" s="41" t="str"/>
      <c r="M1836" s="41" t="str"/>
      <c r="N1836" s="41" t="str"/>
      <c r="O1836" s="41" t="str"/>
      <c r="P1836" s="41" t="str"/>
      <c r="Q1836" s="41" t="str"/>
      <c r="R1836" s="41" t="str"/>
      <c r="S1836" s="41" t="str"/>
      <c r="T1836" s="41" t="str"/>
      <c r="U1836" s="41" t="str"/>
      <c r="V1836" s="41" t="str"/>
      <c r="W1836" s="41" t="str"/>
    </row>
    <row r="1837">
      <c r="B1837" s="2" t="n"/>
      <c r="C1837" s="40" t="n"/>
      <c r="D1837" s="52">
        <f t="array" ref="D1837:W1837">IF(All_Students_Scores!C1835:V1835="","",All_Students_Scores!C1835:V1835)</f>
        <v/>
      </c>
      <c r="E1837" s="57" t="str"/>
      <c r="F1837" s="49" t="str"/>
      <c r="G1837" s="59" t="str"/>
      <c r="H1837" s="64" t="str"/>
      <c r="I1837" s="65" t="str"/>
      <c r="J1837" s="49" t="str"/>
      <c r="K1837" s="41" t="str"/>
      <c r="L1837" s="41" t="str"/>
      <c r="M1837" s="41" t="str"/>
      <c r="N1837" s="41" t="str"/>
      <c r="O1837" s="41" t="str"/>
      <c r="P1837" s="41" t="str"/>
      <c r="Q1837" s="41" t="str"/>
      <c r="R1837" s="41" t="str"/>
      <c r="S1837" s="41" t="str"/>
      <c r="T1837" s="41" t="str"/>
      <c r="U1837" s="41" t="str"/>
      <c r="V1837" s="41" t="str"/>
      <c r="W1837" s="41" t="str"/>
    </row>
    <row r="1838">
      <c r="B1838" s="2" t="n"/>
      <c r="C1838" s="40" t="n"/>
      <c r="D1838" s="52">
        <f t="array" ref="D1838:W1838">IF(All_Students_Scores!C1836:V1836="","",All_Students_Scores!C1836:V1836)</f>
        <v/>
      </c>
      <c r="E1838" s="57" t="str"/>
      <c r="F1838" s="49" t="str"/>
      <c r="G1838" s="59" t="str"/>
      <c r="H1838" s="64" t="str"/>
      <c r="I1838" s="65" t="str"/>
      <c r="J1838" s="49" t="str"/>
      <c r="K1838" s="41" t="str"/>
      <c r="L1838" s="41" t="str"/>
      <c r="M1838" s="41" t="str"/>
      <c r="N1838" s="41" t="str"/>
      <c r="O1838" s="41" t="str"/>
      <c r="P1838" s="41" t="str"/>
      <c r="Q1838" s="41" t="str"/>
      <c r="R1838" s="41" t="str"/>
      <c r="S1838" s="41" t="str"/>
      <c r="T1838" s="41" t="str"/>
      <c r="U1838" s="41" t="str"/>
      <c r="V1838" s="41" t="str"/>
      <c r="W1838" s="41" t="str"/>
    </row>
    <row r="1839">
      <c r="B1839" s="2" t="n"/>
      <c r="C1839" s="40" t="n"/>
      <c r="D1839" s="52">
        <f t="array" ref="D1839:W1839">IF(All_Students_Scores!C1837:V1837="","",All_Students_Scores!C1837:V1837)</f>
        <v/>
      </c>
      <c r="E1839" s="57" t="str"/>
      <c r="F1839" s="49" t="str"/>
      <c r="G1839" s="59" t="str"/>
      <c r="H1839" s="64" t="str"/>
      <c r="I1839" s="65" t="str"/>
      <c r="J1839" s="49" t="str"/>
      <c r="K1839" s="41" t="str"/>
      <c r="L1839" s="41" t="str"/>
      <c r="M1839" s="41" t="str"/>
      <c r="N1839" s="41" t="str"/>
      <c r="O1839" s="41" t="str"/>
      <c r="P1839" s="41" t="str"/>
      <c r="Q1839" s="41" t="str"/>
      <c r="R1839" s="41" t="str"/>
      <c r="S1839" s="41" t="str"/>
      <c r="T1839" s="41" t="str"/>
      <c r="U1839" s="41" t="str"/>
      <c r="V1839" s="41" t="str"/>
      <c r="W1839" s="41" t="str"/>
    </row>
    <row r="1840">
      <c r="B1840" s="2" t="n"/>
      <c r="C1840" s="40" t="n"/>
      <c r="D1840" s="52">
        <f t="array" ref="D1840:W1840">IF(All_Students_Scores!C1838:V1838="","",All_Students_Scores!C1838:V1838)</f>
        <v/>
      </c>
      <c r="E1840" s="57" t="str"/>
      <c r="F1840" s="49" t="str"/>
      <c r="G1840" s="59" t="str"/>
      <c r="H1840" s="64" t="str"/>
      <c r="I1840" s="65" t="str"/>
      <c r="J1840" s="49" t="str"/>
      <c r="K1840" s="41" t="str"/>
      <c r="L1840" s="41" t="str"/>
      <c r="M1840" s="41" t="str"/>
      <c r="N1840" s="41" t="str"/>
      <c r="O1840" s="41" t="str"/>
      <c r="P1840" s="41" t="str"/>
      <c r="Q1840" s="41" t="str"/>
      <c r="R1840" s="41" t="str"/>
      <c r="S1840" s="41" t="str"/>
      <c r="T1840" s="41" t="str"/>
      <c r="U1840" s="41" t="str"/>
      <c r="V1840" s="41" t="str"/>
      <c r="W1840" s="41" t="str"/>
    </row>
    <row r="1841">
      <c r="B1841" s="2" t="n"/>
      <c r="C1841" s="40" t="n"/>
      <c r="D1841" s="52">
        <f t="array" ref="D1841:W1841">IF(All_Students_Scores!C1839:V1839="","",All_Students_Scores!C1839:V1839)</f>
        <v/>
      </c>
      <c r="E1841" s="57" t="str"/>
      <c r="F1841" s="49" t="str"/>
      <c r="G1841" s="59" t="str"/>
      <c r="H1841" s="64" t="str"/>
      <c r="I1841" s="65" t="str"/>
      <c r="J1841" s="49" t="str"/>
      <c r="K1841" s="41" t="str"/>
      <c r="L1841" s="41" t="str"/>
      <c r="M1841" s="41" t="str"/>
      <c r="N1841" s="41" t="str"/>
      <c r="O1841" s="41" t="str"/>
      <c r="P1841" s="41" t="str"/>
      <c r="Q1841" s="41" t="str"/>
      <c r="R1841" s="41" t="str"/>
      <c r="S1841" s="41" t="str"/>
      <c r="T1841" s="41" t="str"/>
      <c r="U1841" s="41" t="str"/>
      <c r="V1841" s="41" t="str"/>
      <c r="W1841" s="41" t="str"/>
    </row>
    <row r="1842">
      <c r="B1842" s="2" t="n"/>
      <c r="C1842" s="40" t="n"/>
      <c r="D1842" s="52">
        <f t="array" ref="D1842:W1842">IF(All_Students_Scores!C1840:V1840="","",All_Students_Scores!C1840:V1840)</f>
        <v/>
      </c>
      <c r="E1842" s="57" t="str"/>
      <c r="F1842" s="49" t="str"/>
      <c r="G1842" s="59" t="str"/>
      <c r="H1842" s="64" t="str"/>
      <c r="I1842" s="65" t="str"/>
      <c r="J1842" s="49" t="str"/>
      <c r="K1842" s="41" t="str"/>
      <c r="L1842" s="41" t="str"/>
      <c r="M1842" s="41" t="str"/>
      <c r="N1842" s="41" t="str"/>
      <c r="O1842" s="41" t="str"/>
      <c r="P1842" s="41" t="str"/>
      <c r="Q1842" s="41" t="str"/>
      <c r="R1842" s="41" t="str"/>
      <c r="S1842" s="41" t="str"/>
      <c r="T1842" s="41" t="str"/>
      <c r="U1842" s="41" t="str"/>
      <c r="V1842" s="41" t="str"/>
      <c r="W1842" s="41" t="str"/>
    </row>
    <row r="1843">
      <c r="B1843" s="2" t="n"/>
      <c r="C1843" s="40" t="n"/>
      <c r="D1843" s="52">
        <f t="array" ref="D1843:W1843">IF(All_Students_Scores!C1841:V1841="","",All_Students_Scores!C1841:V1841)</f>
        <v/>
      </c>
      <c r="E1843" s="57" t="str"/>
      <c r="F1843" s="49" t="str"/>
      <c r="G1843" s="59" t="str"/>
      <c r="H1843" s="64" t="str"/>
      <c r="I1843" s="65" t="str"/>
      <c r="J1843" s="49" t="str"/>
      <c r="K1843" s="41" t="str"/>
      <c r="L1843" s="41" t="str"/>
      <c r="M1843" s="41" t="str"/>
      <c r="N1843" s="41" t="str"/>
      <c r="O1843" s="41" t="str"/>
      <c r="P1843" s="41" t="str"/>
      <c r="Q1843" s="41" t="str"/>
      <c r="R1843" s="41" t="str"/>
      <c r="S1843" s="41" t="str"/>
      <c r="T1843" s="41" t="str"/>
      <c r="U1843" s="41" t="str"/>
      <c r="V1843" s="41" t="str"/>
      <c r="W1843" s="41" t="str"/>
    </row>
    <row r="1844">
      <c r="B1844" s="2" t="n"/>
      <c r="C1844" s="40" t="n"/>
      <c r="D1844" s="52">
        <f t="array" ref="D1844:W1844">IF(All_Students_Scores!C1842:V1842="","",All_Students_Scores!C1842:V1842)</f>
        <v/>
      </c>
      <c r="E1844" s="57" t="str"/>
      <c r="F1844" s="49" t="str"/>
      <c r="G1844" s="59" t="str"/>
      <c r="H1844" s="64" t="str"/>
      <c r="I1844" s="65" t="str"/>
      <c r="J1844" s="49" t="str"/>
      <c r="K1844" s="41" t="str"/>
      <c r="L1844" s="41" t="str"/>
      <c r="M1844" s="41" t="str"/>
      <c r="N1844" s="41" t="str"/>
      <c r="O1844" s="41" t="str"/>
      <c r="P1844" s="41" t="str"/>
      <c r="Q1844" s="41" t="str"/>
      <c r="R1844" s="41" t="str"/>
      <c r="S1844" s="41" t="str"/>
      <c r="T1844" s="41" t="str"/>
      <c r="U1844" s="41" t="str"/>
      <c r="V1844" s="41" t="str"/>
      <c r="W1844" s="41" t="str"/>
    </row>
    <row r="1845">
      <c r="B1845" s="2" t="n"/>
      <c r="C1845" s="40" t="n"/>
      <c r="D1845" s="52">
        <f t="array" ref="D1845:W1845">IF(All_Students_Scores!C1843:V1843="","",All_Students_Scores!C1843:V1843)</f>
        <v/>
      </c>
      <c r="E1845" s="57" t="str"/>
      <c r="F1845" s="49" t="str"/>
      <c r="G1845" s="59" t="str"/>
      <c r="H1845" s="64" t="str"/>
      <c r="I1845" s="65" t="str"/>
      <c r="J1845" s="49" t="str"/>
      <c r="K1845" s="41" t="str"/>
      <c r="L1845" s="41" t="str"/>
      <c r="M1845" s="41" t="str"/>
      <c r="N1845" s="41" t="str"/>
      <c r="O1845" s="41" t="str"/>
      <c r="P1845" s="41" t="str"/>
      <c r="Q1845" s="41" t="str"/>
      <c r="R1845" s="41" t="str"/>
      <c r="S1845" s="41" t="str"/>
      <c r="T1845" s="41" t="str"/>
      <c r="U1845" s="41" t="str"/>
      <c r="V1845" s="41" t="str"/>
      <c r="W1845" s="41" t="str"/>
    </row>
    <row r="1846">
      <c r="B1846" s="2" t="n"/>
      <c r="C1846" s="40" t="n"/>
      <c r="D1846" s="52">
        <f t="array" ref="D1846:W1846">IF(All_Students_Scores!C1844:V1844="","",All_Students_Scores!C1844:V1844)</f>
        <v/>
      </c>
      <c r="E1846" s="57" t="str"/>
      <c r="F1846" s="49" t="str"/>
      <c r="G1846" s="59" t="str"/>
      <c r="H1846" s="64" t="str"/>
      <c r="I1846" s="65" t="str"/>
      <c r="J1846" s="49" t="str"/>
      <c r="K1846" s="41" t="str"/>
      <c r="L1846" s="41" t="str"/>
      <c r="M1846" s="41" t="str"/>
      <c r="N1846" s="41" t="str"/>
      <c r="O1846" s="41" t="str"/>
      <c r="P1846" s="41" t="str"/>
      <c r="Q1846" s="41" t="str"/>
      <c r="R1846" s="41" t="str"/>
      <c r="S1846" s="41" t="str"/>
      <c r="T1846" s="41" t="str"/>
      <c r="U1846" s="41" t="str"/>
      <c r="V1846" s="41" t="str"/>
      <c r="W1846" s="41" t="str"/>
    </row>
    <row r="1847">
      <c r="B1847" s="2" t="n"/>
      <c r="C1847" s="40" t="n"/>
      <c r="D1847" s="52">
        <f t="array" ref="D1847:W1847">IF(All_Students_Scores!C1845:V1845="","",All_Students_Scores!C1845:V1845)</f>
        <v/>
      </c>
      <c r="E1847" s="57" t="str"/>
      <c r="F1847" s="49" t="str"/>
      <c r="G1847" s="59" t="str"/>
      <c r="H1847" s="64" t="str"/>
      <c r="I1847" s="65" t="str"/>
      <c r="J1847" s="49" t="str"/>
      <c r="K1847" s="41" t="str"/>
      <c r="L1847" s="41" t="str"/>
      <c r="M1847" s="41" t="str"/>
      <c r="N1847" s="41" t="str"/>
      <c r="O1847" s="41" t="str"/>
      <c r="P1847" s="41" t="str"/>
      <c r="Q1847" s="41" t="str"/>
      <c r="R1847" s="41" t="str"/>
      <c r="S1847" s="41" t="str"/>
      <c r="T1847" s="41" t="str"/>
      <c r="U1847" s="41" t="str"/>
      <c r="V1847" s="41" t="str"/>
      <c r="W1847" s="41" t="str"/>
    </row>
    <row r="1848">
      <c r="B1848" s="2" t="n"/>
      <c r="C1848" s="40" t="n"/>
      <c r="D1848" s="52">
        <f t="array" ref="D1848:W1848">IF(All_Students_Scores!C1846:V1846="","",All_Students_Scores!C1846:V1846)</f>
        <v/>
      </c>
      <c r="E1848" s="57" t="str"/>
      <c r="F1848" s="49" t="str"/>
      <c r="G1848" s="59" t="str"/>
      <c r="H1848" s="64" t="str"/>
      <c r="I1848" s="65" t="str"/>
      <c r="J1848" s="49" t="str"/>
      <c r="K1848" s="41" t="str"/>
      <c r="L1848" s="41" t="str"/>
      <c r="M1848" s="41" t="str"/>
      <c r="N1848" s="41" t="str"/>
      <c r="O1848" s="41" t="str"/>
      <c r="P1848" s="41" t="str"/>
      <c r="Q1848" s="41" t="str"/>
      <c r="R1848" s="41" t="str"/>
      <c r="S1848" s="41" t="str"/>
      <c r="T1848" s="41" t="str"/>
      <c r="U1848" s="41" t="str"/>
      <c r="V1848" s="41" t="str"/>
      <c r="W1848" s="41" t="str"/>
    </row>
    <row r="1849">
      <c r="B1849" s="2" t="n"/>
      <c r="C1849" s="40" t="n"/>
      <c r="D1849" s="52">
        <f t="array" ref="D1849:W1849">IF(All_Students_Scores!C1847:V1847="","",All_Students_Scores!C1847:V1847)</f>
        <v/>
      </c>
      <c r="E1849" s="57" t="str"/>
      <c r="F1849" s="49" t="str"/>
      <c r="G1849" s="59" t="str"/>
      <c r="H1849" s="64" t="str"/>
      <c r="I1849" s="65" t="str"/>
      <c r="J1849" s="49" t="str"/>
      <c r="K1849" s="41" t="str"/>
      <c r="L1849" s="41" t="str"/>
      <c r="M1849" s="41" t="str"/>
      <c r="N1849" s="41" t="str"/>
      <c r="O1849" s="41" t="str"/>
      <c r="P1849" s="41" t="str"/>
      <c r="Q1849" s="41" t="str"/>
      <c r="R1849" s="41" t="str"/>
      <c r="S1849" s="41" t="str"/>
      <c r="T1849" s="41" t="str"/>
      <c r="U1849" s="41" t="str"/>
      <c r="V1849" s="41" t="str"/>
      <c r="W1849" s="41" t="str"/>
    </row>
    <row r="1850">
      <c r="B1850" s="2" t="n"/>
      <c r="C1850" s="40" t="n"/>
      <c r="D1850" s="52">
        <f t="array" ref="D1850:W1850">IF(All_Students_Scores!C1848:V1848="","",All_Students_Scores!C1848:V1848)</f>
        <v/>
      </c>
      <c r="E1850" s="57" t="str"/>
      <c r="F1850" s="49" t="str"/>
      <c r="G1850" s="59" t="str"/>
      <c r="H1850" s="64" t="str"/>
      <c r="I1850" s="65" t="str"/>
      <c r="J1850" s="49" t="str"/>
      <c r="K1850" s="41" t="str"/>
      <c r="L1850" s="41" t="str"/>
      <c r="M1850" s="41" t="str"/>
      <c r="N1850" s="41" t="str"/>
      <c r="O1850" s="41" t="str"/>
      <c r="P1850" s="41" t="str"/>
      <c r="Q1850" s="41" t="str"/>
      <c r="R1850" s="41" t="str"/>
      <c r="S1850" s="41" t="str"/>
      <c r="T1850" s="41" t="str"/>
      <c r="U1850" s="41" t="str"/>
      <c r="V1850" s="41" t="str"/>
      <c r="W1850" s="41" t="str"/>
    </row>
    <row r="1851">
      <c r="B1851" s="2" t="n"/>
      <c r="C1851" s="40" t="n"/>
      <c r="D1851" s="52">
        <f t="array" ref="D1851:W1851">IF(All_Students_Scores!C1849:V1849="","",All_Students_Scores!C1849:V1849)</f>
        <v/>
      </c>
      <c r="E1851" s="57" t="str"/>
      <c r="F1851" s="49" t="str"/>
      <c r="G1851" s="59" t="str"/>
      <c r="H1851" s="64" t="str"/>
      <c r="I1851" s="65" t="str"/>
      <c r="J1851" s="49" t="str"/>
      <c r="K1851" s="41" t="str"/>
      <c r="L1851" s="41" t="str"/>
      <c r="M1851" s="41" t="str"/>
      <c r="N1851" s="41" t="str"/>
      <c r="O1851" s="41" t="str"/>
      <c r="P1851" s="41" t="str"/>
      <c r="Q1851" s="41" t="str"/>
      <c r="R1851" s="41" t="str"/>
      <c r="S1851" s="41" t="str"/>
      <c r="T1851" s="41" t="str"/>
      <c r="U1851" s="41" t="str"/>
      <c r="V1851" s="41" t="str"/>
      <c r="W1851" s="41" t="str"/>
    </row>
    <row r="1852">
      <c r="B1852" s="2" t="n"/>
      <c r="C1852" s="40" t="n"/>
      <c r="D1852" s="52">
        <f t="array" ref="D1852:W1852">IF(All_Students_Scores!C1850:V1850="","",All_Students_Scores!C1850:V1850)</f>
        <v/>
      </c>
      <c r="E1852" s="57" t="str"/>
      <c r="F1852" s="49" t="str"/>
      <c r="G1852" s="59" t="str"/>
      <c r="H1852" s="64" t="str"/>
      <c r="I1852" s="65" t="str"/>
      <c r="J1852" s="49" t="str"/>
      <c r="K1852" s="41" t="str"/>
      <c r="L1852" s="41" t="str"/>
      <c r="M1852" s="41" t="str"/>
      <c r="N1852" s="41" t="str"/>
      <c r="O1852" s="41" t="str"/>
      <c r="P1852" s="41" t="str"/>
      <c r="Q1852" s="41" t="str"/>
      <c r="R1852" s="41" t="str"/>
      <c r="S1852" s="41" t="str"/>
      <c r="T1852" s="41" t="str"/>
      <c r="U1852" s="41" t="str"/>
      <c r="V1852" s="41" t="str"/>
      <c r="W1852" s="41" t="str"/>
    </row>
    <row r="1853">
      <c r="B1853" s="2" t="n"/>
      <c r="C1853" s="40" t="n"/>
      <c r="D1853" s="52">
        <f t="array" ref="D1853:W1853">IF(All_Students_Scores!C1851:V1851="","",All_Students_Scores!C1851:V1851)</f>
        <v/>
      </c>
      <c r="E1853" s="57" t="str"/>
      <c r="F1853" s="49" t="str"/>
      <c r="G1853" s="59" t="str"/>
      <c r="H1853" s="64" t="str"/>
      <c r="I1853" s="65" t="str"/>
      <c r="J1853" s="49" t="str"/>
      <c r="K1853" s="41" t="str"/>
      <c r="L1853" s="41" t="str"/>
      <c r="M1853" s="41" t="str"/>
      <c r="N1853" s="41" t="str"/>
      <c r="O1853" s="41" t="str"/>
      <c r="P1853" s="41" t="str"/>
      <c r="Q1853" s="41" t="str"/>
      <c r="R1853" s="41" t="str"/>
      <c r="S1853" s="41" t="str"/>
      <c r="T1853" s="41" t="str"/>
      <c r="U1853" s="41" t="str"/>
      <c r="V1853" s="41" t="str"/>
      <c r="W1853" s="41" t="str"/>
    </row>
    <row r="1854">
      <c r="B1854" s="2" t="n"/>
      <c r="C1854" s="40" t="n"/>
      <c r="D1854" s="52">
        <f t="array" ref="D1854:W1854">IF(All_Students_Scores!C1852:V1852="","",All_Students_Scores!C1852:V1852)</f>
        <v/>
      </c>
      <c r="E1854" s="57" t="str"/>
      <c r="F1854" s="49" t="str"/>
      <c r="G1854" s="59" t="str"/>
      <c r="H1854" s="64" t="str"/>
      <c r="I1854" s="65" t="str"/>
      <c r="J1854" s="49" t="str"/>
      <c r="K1854" s="41" t="str"/>
      <c r="L1854" s="41" t="str"/>
      <c r="M1854" s="41" t="str"/>
      <c r="N1854" s="41" t="str"/>
      <c r="O1854" s="41" t="str"/>
      <c r="P1854" s="41" t="str"/>
      <c r="Q1854" s="41" t="str"/>
      <c r="R1854" s="41" t="str"/>
      <c r="S1854" s="41" t="str"/>
      <c r="T1854" s="41" t="str"/>
      <c r="U1854" s="41" t="str"/>
      <c r="V1854" s="41" t="str"/>
      <c r="W1854" s="41" t="str"/>
    </row>
    <row r="1855">
      <c r="B1855" s="2" t="n"/>
      <c r="C1855" s="40" t="n"/>
      <c r="D1855" s="52">
        <f t="array" ref="D1855:W1855">IF(All_Students_Scores!C1853:V1853="","",All_Students_Scores!C1853:V1853)</f>
        <v/>
      </c>
      <c r="E1855" s="57" t="str"/>
      <c r="F1855" s="49" t="str"/>
      <c r="G1855" s="59" t="str"/>
      <c r="H1855" s="64" t="str"/>
      <c r="I1855" s="65" t="str"/>
      <c r="J1855" s="49" t="str"/>
      <c r="K1855" s="41" t="str"/>
      <c r="L1855" s="41" t="str"/>
      <c r="M1855" s="41" t="str"/>
      <c r="N1855" s="41" t="str"/>
      <c r="O1855" s="41" t="str"/>
      <c r="P1855" s="41" t="str"/>
      <c r="Q1855" s="41" t="str"/>
      <c r="R1855" s="41" t="str"/>
      <c r="S1855" s="41" t="str"/>
      <c r="T1855" s="41" t="str"/>
      <c r="U1855" s="41" t="str"/>
      <c r="V1855" s="41" t="str"/>
      <c r="W1855" s="41" t="str"/>
    </row>
    <row r="1856">
      <c r="B1856" s="2" t="n"/>
      <c r="C1856" s="40" t="n"/>
      <c r="D1856" s="52">
        <f t="array" ref="D1856:W1856">IF(All_Students_Scores!C1854:V1854="","",All_Students_Scores!C1854:V1854)</f>
        <v/>
      </c>
      <c r="E1856" s="57" t="str"/>
      <c r="F1856" s="49" t="str"/>
      <c r="G1856" s="59" t="str"/>
      <c r="H1856" s="64" t="str"/>
      <c r="I1856" s="65" t="str"/>
      <c r="J1856" s="49" t="str"/>
      <c r="K1856" s="41" t="str"/>
      <c r="L1856" s="41" t="str"/>
      <c r="M1856" s="41" t="str"/>
      <c r="N1856" s="41" t="str"/>
      <c r="O1856" s="41" t="str"/>
      <c r="P1856" s="41" t="str"/>
      <c r="Q1856" s="41" t="str"/>
      <c r="R1856" s="41" t="str"/>
      <c r="S1856" s="41" t="str"/>
      <c r="T1856" s="41" t="str"/>
      <c r="U1856" s="41" t="str"/>
      <c r="V1856" s="41" t="str"/>
      <c r="W1856" s="41" t="str"/>
    </row>
    <row r="1857">
      <c r="B1857" s="2" t="n"/>
      <c r="C1857" s="40" t="n"/>
      <c r="D1857" s="52">
        <f t="array" ref="D1857:W1857">IF(All_Students_Scores!C1855:V1855="","",All_Students_Scores!C1855:V1855)</f>
        <v/>
      </c>
      <c r="E1857" s="57" t="str"/>
      <c r="F1857" s="49" t="str"/>
      <c r="G1857" s="59" t="str"/>
      <c r="H1857" s="64" t="str"/>
      <c r="I1857" s="65" t="str"/>
      <c r="J1857" s="49" t="str"/>
      <c r="K1857" s="41" t="str"/>
      <c r="L1857" s="41" t="str"/>
      <c r="M1857" s="41" t="str"/>
      <c r="N1857" s="41" t="str"/>
      <c r="O1857" s="41" t="str"/>
      <c r="P1857" s="41" t="str"/>
      <c r="Q1857" s="41" t="str"/>
      <c r="R1857" s="41" t="str"/>
      <c r="S1857" s="41" t="str"/>
      <c r="T1857" s="41" t="str"/>
      <c r="U1857" s="41" t="str"/>
      <c r="V1857" s="41" t="str"/>
      <c r="W1857" s="41" t="str"/>
    </row>
    <row r="1858">
      <c r="B1858" s="2" t="n"/>
      <c r="C1858" s="40" t="n"/>
      <c r="D1858" s="52">
        <f t="array" ref="D1858:W1858">IF(All_Students_Scores!C1856:V1856="","",All_Students_Scores!C1856:V1856)</f>
        <v/>
      </c>
      <c r="E1858" s="57" t="str"/>
      <c r="F1858" s="49" t="str"/>
      <c r="G1858" s="59" t="str"/>
      <c r="H1858" s="64" t="str"/>
      <c r="I1858" s="65" t="str"/>
      <c r="J1858" s="49" t="str"/>
      <c r="K1858" s="41" t="str"/>
      <c r="L1858" s="41" t="str"/>
      <c r="M1858" s="41" t="str"/>
      <c r="N1858" s="41" t="str"/>
      <c r="O1858" s="41" t="str"/>
      <c r="P1858" s="41" t="str"/>
      <c r="Q1858" s="41" t="str"/>
      <c r="R1858" s="41" t="str"/>
      <c r="S1858" s="41" t="str"/>
      <c r="T1858" s="41" t="str"/>
      <c r="U1858" s="41" t="str"/>
      <c r="V1858" s="41" t="str"/>
      <c r="W1858" s="41" t="str"/>
    </row>
    <row r="1859">
      <c r="B1859" s="2" t="n"/>
      <c r="C1859" s="40" t="n"/>
      <c r="D1859" s="52">
        <f t="array" ref="D1859:W1859">IF(All_Students_Scores!C1857:V1857="","",All_Students_Scores!C1857:V1857)</f>
        <v/>
      </c>
      <c r="E1859" s="57" t="str"/>
      <c r="F1859" s="49" t="str"/>
      <c r="G1859" s="59" t="str"/>
      <c r="H1859" s="64" t="str"/>
      <c r="I1859" s="65" t="str"/>
      <c r="J1859" s="49" t="str"/>
      <c r="K1859" s="41" t="str"/>
      <c r="L1859" s="41" t="str"/>
      <c r="M1859" s="41" t="str"/>
      <c r="N1859" s="41" t="str"/>
      <c r="O1859" s="41" t="str"/>
      <c r="P1859" s="41" t="str"/>
      <c r="Q1859" s="41" t="str"/>
      <c r="R1859" s="41" t="str"/>
      <c r="S1859" s="41" t="str"/>
      <c r="T1859" s="41" t="str"/>
      <c r="U1859" s="41" t="str"/>
      <c r="V1859" s="41" t="str"/>
      <c r="W1859" s="41" t="str"/>
    </row>
    <row r="1860">
      <c r="B1860" s="2" t="n"/>
      <c r="C1860" s="40" t="n"/>
      <c r="D1860" s="52">
        <f t="array" ref="D1860:W1860">IF(All_Students_Scores!C1858:V1858="","",All_Students_Scores!C1858:V1858)</f>
        <v/>
      </c>
      <c r="E1860" s="57" t="str"/>
      <c r="F1860" s="49" t="str"/>
      <c r="G1860" s="59" t="str"/>
      <c r="H1860" s="64" t="str"/>
      <c r="I1860" s="65" t="str"/>
      <c r="J1860" s="49" t="str"/>
      <c r="K1860" s="41" t="str"/>
      <c r="L1860" s="41" t="str"/>
      <c r="M1860" s="41" t="str"/>
      <c r="N1860" s="41" t="str"/>
      <c r="O1860" s="41" t="str"/>
      <c r="P1860" s="41" t="str"/>
      <c r="Q1860" s="41" t="str"/>
      <c r="R1860" s="41" t="str"/>
      <c r="S1860" s="41" t="str"/>
      <c r="T1860" s="41" t="str"/>
      <c r="U1860" s="41" t="str"/>
      <c r="V1860" s="41" t="str"/>
      <c r="W1860" s="41" t="str"/>
    </row>
    <row r="1861">
      <c r="B1861" s="2" t="n"/>
      <c r="C1861" s="40" t="n"/>
      <c r="D1861" s="52">
        <f t="array" ref="D1861:W1861">IF(All_Students_Scores!C1859:V1859="","",All_Students_Scores!C1859:V1859)</f>
        <v/>
      </c>
      <c r="E1861" s="57" t="str"/>
      <c r="F1861" s="49" t="str"/>
      <c r="G1861" s="59" t="str"/>
      <c r="H1861" s="64" t="str"/>
      <c r="I1861" s="65" t="str"/>
      <c r="J1861" s="49" t="str"/>
      <c r="K1861" s="41" t="str"/>
      <c r="L1861" s="41" t="str"/>
      <c r="M1861" s="41" t="str"/>
      <c r="N1861" s="41" t="str"/>
      <c r="O1861" s="41" t="str"/>
      <c r="P1861" s="41" t="str"/>
      <c r="Q1861" s="41" t="str"/>
      <c r="R1861" s="41" t="str"/>
      <c r="S1861" s="41" t="str"/>
      <c r="T1861" s="41" t="str"/>
      <c r="U1861" s="41" t="str"/>
      <c r="V1861" s="41" t="str"/>
      <c r="W1861" s="41" t="str"/>
    </row>
    <row r="1862">
      <c r="B1862" s="2" t="n"/>
      <c r="C1862" s="40" t="n"/>
      <c r="D1862" s="52">
        <f t="array" ref="D1862:W1862">IF(All_Students_Scores!C1860:V1860="","",All_Students_Scores!C1860:V1860)</f>
        <v/>
      </c>
      <c r="E1862" s="57" t="str"/>
      <c r="F1862" s="49" t="str"/>
      <c r="G1862" s="59" t="str"/>
      <c r="H1862" s="64" t="str"/>
      <c r="I1862" s="65" t="str"/>
      <c r="J1862" s="49" t="str"/>
      <c r="K1862" s="41" t="str"/>
      <c r="L1862" s="41" t="str"/>
      <c r="M1862" s="41" t="str"/>
      <c r="N1862" s="41" t="str"/>
      <c r="O1862" s="41" t="str"/>
      <c r="P1862" s="41" t="str"/>
      <c r="Q1862" s="41" t="str"/>
      <c r="R1862" s="41" t="str"/>
      <c r="S1862" s="41" t="str"/>
      <c r="T1862" s="41" t="str"/>
      <c r="U1862" s="41" t="str"/>
      <c r="V1862" s="41" t="str"/>
      <c r="W1862" s="41" t="str"/>
    </row>
    <row r="1863">
      <c r="B1863" s="2" t="n"/>
      <c r="C1863" s="40" t="n"/>
      <c r="D1863" s="52">
        <f t="array" ref="D1863:W1863">IF(All_Students_Scores!C1861:V1861="","",All_Students_Scores!C1861:V1861)</f>
        <v/>
      </c>
      <c r="E1863" s="57" t="str"/>
      <c r="F1863" s="49" t="str"/>
      <c r="G1863" s="59" t="str"/>
      <c r="H1863" s="64" t="str"/>
      <c r="I1863" s="65" t="str"/>
      <c r="J1863" s="49" t="str"/>
      <c r="K1863" s="41" t="str"/>
      <c r="L1863" s="41" t="str"/>
      <c r="M1863" s="41" t="str"/>
      <c r="N1863" s="41" t="str"/>
      <c r="O1863" s="41" t="str"/>
      <c r="P1863" s="41" t="str"/>
      <c r="Q1863" s="41" t="str"/>
      <c r="R1863" s="41" t="str"/>
      <c r="S1863" s="41" t="str"/>
      <c r="T1863" s="41" t="str"/>
      <c r="U1863" s="41" t="str"/>
      <c r="V1863" s="41" t="str"/>
      <c r="W1863" s="41" t="str"/>
    </row>
    <row r="1864">
      <c r="B1864" s="2" t="n"/>
      <c r="C1864" s="40" t="n"/>
      <c r="D1864" s="52">
        <f t="array" ref="D1864:W1864">IF(All_Students_Scores!C1862:V1862="","",All_Students_Scores!C1862:V1862)</f>
        <v/>
      </c>
      <c r="E1864" s="57" t="str"/>
      <c r="F1864" s="49" t="str"/>
      <c r="G1864" s="59" t="str"/>
      <c r="H1864" s="64" t="str"/>
      <c r="I1864" s="65" t="str"/>
      <c r="J1864" s="49" t="str"/>
      <c r="K1864" s="41" t="str"/>
      <c r="L1864" s="41" t="str"/>
      <c r="M1864" s="41" t="str"/>
      <c r="N1864" s="41" t="str"/>
      <c r="O1864" s="41" t="str"/>
      <c r="P1864" s="41" t="str"/>
      <c r="Q1864" s="41" t="str"/>
      <c r="R1864" s="41" t="str"/>
      <c r="S1864" s="41" t="str"/>
      <c r="T1864" s="41" t="str"/>
      <c r="U1864" s="41" t="str"/>
      <c r="V1864" s="41" t="str"/>
      <c r="W1864" s="41" t="str"/>
    </row>
    <row r="1865">
      <c r="B1865" s="2" t="n"/>
      <c r="C1865" s="40" t="n"/>
      <c r="D1865" s="52">
        <f t="array" ref="D1865:W1865">IF(All_Students_Scores!C1863:V1863="","",All_Students_Scores!C1863:V1863)</f>
        <v/>
      </c>
      <c r="E1865" s="57" t="str"/>
      <c r="F1865" s="49" t="str"/>
      <c r="G1865" s="59" t="str"/>
      <c r="H1865" s="64" t="str"/>
      <c r="I1865" s="65" t="str"/>
      <c r="J1865" s="49" t="str"/>
      <c r="K1865" s="41" t="str"/>
      <c r="L1865" s="41" t="str"/>
      <c r="M1865" s="41" t="str"/>
      <c r="N1865" s="41" t="str"/>
      <c r="O1865" s="41" t="str"/>
      <c r="P1865" s="41" t="str"/>
      <c r="Q1865" s="41" t="str"/>
      <c r="R1865" s="41" t="str"/>
      <c r="S1865" s="41" t="str"/>
      <c r="T1865" s="41" t="str"/>
      <c r="U1865" s="41" t="str"/>
      <c r="V1865" s="41" t="str"/>
      <c r="W1865" s="41" t="str"/>
    </row>
    <row r="1866">
      <c r="B1866" s="2" t="n"/>
      <c r="C1866" s="40" t="n"/>
      <c r="D1866" s="52">
        <f t="array" ref="D1866:W1866">IF(All_Students_Scores!C1864:V1864="","",All_Students_Scores!C1864:V1864)</f>
        <v/>
      </c>
      <c r="E1866" s="57" t="str"/>
      <c r="F1866" s="49" t="str"/>
      <c r="G1866" s="59" t="str"/>
      <c r="H1866" s="64" t="str"/>
      <c r="I1866" s="65" t="str"/>
      <c r="J1866" s="49" t="str"/>
      <c r="K1866" s="41" t="str"/>
      <c r="L1866" s="41" t="str"/>
      <c r="M1866" s="41" t="str"/>
      <c r="N1866" s="41" t="str"/>
      <c r="O1866" s="41" t="str"/>
      <c r="P1866" s="41" t="str"/>
      <c r="Q1866" s="41" t="str"/>
      <c r="R1866" s="41" t="str"/>
      <c r="S1866" s="41" t="str"/>
      <c r="T1866" s="41" t="str"/>
      <c r="U1866" s="41" t="str"/>
      <c r="V1866" s="41" t="str"/>
      <c r="W1866" s="41" t="str"/>
    </row>
    <row r="1867">
      <c r="B1867" s="2" t="n"/>
      <c r="C1867" s="40" t="n"/>
      <c r="D1867" s="52">
        <f t="array" ref="D1867:W1867">IF(All_Students_Scores!C1865:V1865="","",All_Students_Scores!C1865:V1865)</f>
        <v/>
      </c>
      <c r="E1867" s="57" t="str"/>
      <c r="F1867" s="49" t="str"/>
      <c r="G1867" s="59" t="str"/>
      <c r="H1867" s="64" t="str"/>
      <c r="I1867" s="65" t="str"/>
      <c r="J1867" s="49" t="str"/>
      <c r="K1867" s="41" t="str"/>
      <c r="L1867" s="41" t="str"/>
      <c r="M1867" s="41" t="str"/>
      <c r="N1867" s="41" t="str"/>
      <c r="O1867" s="41" t="str"/>
      <c r="P1867" s="41" t="str"/>
      <c r="Q1867" s="41" t="str"/>
      <c r="R1867" s="41" t="str"/>
      <c r="S1867" s="41" t="str"/>
      <c r="T1867" s="41" t="str"/>
      <c r="U1867" s="41" t="str"/>
      <c r="V1867" s="41" t="str"/>
      <c r="W1867" s="41" t="str"/>
    </row>
    <row r="1868">
      <c r="B1868" s="2" t="n"/>
      <c r="C1868" s="40" t="n"/>
      <c r="D1868" s="52">
        <f t="array" ref="D1868:W1868">IF(All_Students_Scores!C1866:V1866="","",All_Students_Scores!C1866:V1866)</f>
        <v/>
      </c>
      <c r="E1868" s="57" t="str"/>
      <c r="F1868" s="49" t="str"/>
      <c r="G1868" s="59" t="str"/>
      <c r="H1868" s="64" t="str"/>
      <c r="I1868" s="65" t="str"/>
      <c r="J1868" s="49" t="str"/>
      <c r="K1868" s="41" t="str"/>
      <c r="L1868" s="41" t="str"/>
      <c r="M1868" s="41" t="str"/>
      <c r="N1868" s="41" t="str"/>
      <c r="O1868" s="41" t="str"/>
      <c r="P1868" s="41" t="str"/>
      <c r="Q1868" s="41" t="str"/>
      <c r="R1868" s="41" t="str"/>
      <c r="S1868" s="41" t="str"/>
      <c r="T1868" s="41" t="str"/>
      <c r="U1868" s="41" t="str"/>
      <c r="V1868" s="41" t="str"/>
      <c r="W1868" s="41" t="str"/>
    </row>
    <row r="1869">
      <c r="B1869" s="2" t="n"/>
      <c r="C1869" s="40" t="n"/>
      <c r="D1869" s="52">
        <f t="array" ref="D1869:W1869">IF(All_Students_Scores!C1867:V1867="","",All_Students_Scores!C1867:V1867)</f>
        <v/>
      </c>
      <c r="E1869" s="57" t="str"/>
      <c r="F1869" s="49" t="str"/>
      <c r="G1869" s="59" t="str"/>
      <c r="H1869" s="64" t="str"/>
      <c r="I1869" s="65" t="str"/>
      <c r="J1869" s="49" t="str"/>
      <c r="K1869" s="41" t="str"/>
      <c r="L1869" s="41" t="str"/>
      <c r="M1869" s="41" t="str"/>
      <c r="N1869" s="41" t="str"/>
      <c r="O1869" s="41" t="str"/>
      <c r="P1869" s="41" t="str"/>
      <c r="Q1869" s="41" t="str"/>
      <c r="R1869" s="41" t="str"/>
      <c r="S1869" s="41" t="str"/>
      <c r="T1869" s="41" t="str"/>
      <c r="U1869" s="41" t="str"/>
      <c r="V1869" s="41" t="str"/>
      <c r="W1869" s="41" t="str"/>
    </row>
    <row r="1870">
      <c r="B1870" s="2" t="n"/>
      <c r="C1870" s="40" t="n"/>
      <c r="D1870" s="52">
        <f t="array" ref="D1870:W1870">IF(All_Students_Scores!C1868:V1868="","",All_Students_Scores!C1868:V1868)</f>
        <v/>
      </c>
      <c r="E1870" s="57" t="str"/>
      <c r="F1870" s="49" t="str"/>
      <c r="G1870" s="59" t="str"/>
      <c r="H1870" s="64" t="str"/>
      <c r="I1870" s="65" t="str"/>
      <c r="J1870" s="49" t="str"/>
      <c r="K1870" s="41" t="str"/>
      <c r="L1870" s="41" t="str"/>
      <c r="M1870" s="41" t="str"/>
      <c r="N1870" s="41" t="str"/>
      <c r="O1870" s="41" t="str"/>
      <c r="P1870" s="41" t="str"/>
      <c r="Q1870" s="41" t="str"/>
      <c r="R1870" s="41" t="str"/>
      <c r="S1870" s="41" t="str"/>
      <c r="T1870" s="41" t="str"/>
      <c r="U1870" s="41" t="str"/>
      <c r="V1870" s="41" t="str"/>
      <c r="W1870" s="41" t="str"/>
    </row>
    <row r="1871">
      <c r="B1871" s="2" t="n"/>
      <c r="C1871" s="40" t="n"/>
      <c r="D1871" s="52">
        <f t="array" ref="D1871:W1871">IF(All_Students_Scores!C1869:V1869="","",All_Students_Scores!C1869:V1869)</f>
        <v/>
      </c>
      <c r="E1871" s="57" t="str"/>
      <c r="F1871" s="49" t="str"/>
      <c r="G1871" s="59" t="str"/>
      <c r="H1871" s="64" t="str"/>
      <c r="I1871" s="65" t="str"/>
      <c r="J1871" s="49" t="str"/>
      <c r="K1871" s="41" t="str"/>
      <c r="L1871" s="41" t="str"/>
      <c r="M1871" s="41" t="str"/>
      <c r="N1871" s="41" t="str"/>
      <c r="O1871" s="41" t="str"/>
      <c r="P1871" s="41" t="str"/>
      <c r="Q1871" s="41" t="str"/>
      <c r="R1871" s="41" t="str"/>
      <c r="S1871" s="41" t="str"/>
      <c r="T1871" s="41" t="str"/>
      <c r="U1871" s="41" t="str"/>
      <c r="V1871" s="41" t="str"/>
      <c r="W1871" s="41" t="str"/>
    </row>
    <row r="1872">
      <c r="B1872" s="2" t="n"/>
      <c r="C1872" s="40" t="n"/>
      <c r="D1872" s="52">
        <f t="array" ref="D1872:W1872">IF(All_Students_Scores!C1870:V1870="","",All_Students_Scores!C1870:V1870)</f>
        <v/>
      </c>
      <c r="E1872" s="57" t="str"/>
      <c r="F1872" s="49" t="str"/>
      <c r="G1872" s="59" t="str"/>
      <c r="H1872" s="64" t="str"/>
      <c r="I1872" s="65" t="str"/>
      <c r="J1872" s="49" t="str"/>
      <c r="K1872" s="41" t="str"/>
      <c r="L1872" s="41" t="str"/>
      <c r="M1872" s="41" t="str"/>
      <c r="N1872" s="41" t="str"/>
      <c r="O1872" s="41" t="str"/>
      <c r="P1872" s="41" t="str"/>
      <c r="Q1872" s="41" t="str"/>
      <c r="R1872" s="41" t="str"/>
      <c r="S1872" s="41" t="str"/>
      <c r="T1872" s="41" t="str"/>
      <c r="U1872" s="41" t="str"/>
      <c r="V1872" s="41" t="str"/>
      <c r="W1872" s="41" t="str"/>
    </row>
    <row r="1873">
      <c r="B1873" s="2" t="n"/>
      <c r="C1873" s="40" t="n"/>
      <c r="D1873" s="52">
        <f t="array" ref="D1873:W1873">IF(All_Students_Scores!C1871:V1871="","",All_Students_Scores!C1871:V1871)</f>
        <v/>
      </c>
      <c r="E1873" s="57" t="str"/>
      <c r="F1873" s="49" t="str"/>
      <c r="G1873" s="59" t="str"/>
      <c r="H1873" s="64" t="str"/>
      <c r="I1873" s="65" t="str"/>
      <c r="J1873" s="49" t="str"/>
      <c r="K1873" s="41" t="str"/>
      <c r="L1873" s="41" t="str"/>
      <c r="M1873" s="41" t="str"/>
      <c r="N1873" s="41" t="str"/>
      <c r="O1873" s="41" t="str"/>
      <c r="P1873" s="41" t="str"/>
      <c r="Q1873" s="41" t="str"/>
      <c r="R1873" s="41" t="str"/>
      <c r="S1873" s="41" t="str"/>
      <c r="T1873" s="41" t="str"/>
      <c r="U1873" s="41" t="str"/>
      <c r="V1873" s="41" t="str"/>
      <c r="W1873" s="41" t="str"/>
    </row>
    <row r="1874">
      <c r="B1874" s="2" t="n"/>
      <c r="C1874" s="40" t="n"/>
      <c r="D1874" s="52">
        <f t="array" ref="D1874:W1874">IF(All_Students_Scores!C1872:V1872="","",All_Students_Scores!C1872:V1872)</f>
        <v/>
      </c>
      <c r="E1874" s="57" t="str"/>
      <c r="F1874" s="49" t="str"/>
      <c r="G1874" s="59" t="str"/>
      <c r="H1874" s="64" t="str"/>
      <c r="I1874" s="65" t="str"/>
      <c r="J1874" s="49" t="str"/>
      <c r="K1874" s="41" t="str"/>
      <c r="L1874" s="41" t="str"/>
      <c r="M1874" s="41" t="str"/>
      <c r="N1874" s="41" t="str"/>
      <c r="O1874" s="41" t="str"/>
      <c r="P1874" s="41" t="str"/>
      <c r="Q1874" s="41" t="str"/>
      <c r="R1874" s="41" t="str"/>
      <c r="S1874" s="41" t="str"/>
      <c r="T1874" s="41" t="str"/>
      <c r="U1874" s="41" t="str"/>
      <c r="V1874" s="41" t="str"/>
      <c r="W1874" s="41" t="str"/>
    </row>
    <row r="1875">
      <c r="B1875" s="2" t="n"/>
      <c r="C1875" s="40" t="n"/>
      <c r="D1875" s="52">
        <f t="array" ref="D1875:W1875">IF(All_Students_Scores!C1873:V1873="","",All_Students_Scores!C1873:V1873)</f>
        <v/>
      </c>
      <c r="E1875" s="57" t="str"/>
      <c r="F1875" s="49" t="str"/>
      <c r="G1875" s="59" t="str"/>
      <c r="H1875" s="64" t="str"/>
      <c r="I1875" s="65" t="str"/>
      <c r="J1875" s="49" t="str"/>
      <c r="K1875" s="41" t="str"/>
      <c r="L1875" s="41" t="str"/>
      <c r="M1875" s="41" t="str"/>
      <c r="N1875" s="41" t="str"/>
      <c r="O1875" s="41" t="str"/>
      <c r="P1875" s="41" t="str"/>
      <c r="Q1875" s="41" t="str"/>
      <c r="R1875" s="41" t="str"/>
      <c r="S1875" s="41" t="str"/>
      <c r="T1875" s="41" t="str"/>
      <c r="U1875" s="41" t="str"/>
      <c r="V1875" s="41" t="str"/>
      <c r="W1875" s="41" t="str"/>
    </row>
    <row r="1876">
      <c r="B1876" s="2" t="n"/>
      <c r="C1876" s="40" t="n"/>
      <c r="D1876" s="52">
        <f t="array" ref="D1876:W1876">IF(All_Students_Scores!C1874:V1874="","",All_Students_Scores!C1874:V1874)</f>
        <v/>
      </c>
      <c r="E1876" s="57" t="str"/>
      <c r="F1876" s="49" t="str"/>
      <c r="G1876" s="59" t="str"/>
      <c r="H1876" s="64" t="str"/>
      <c r="I1876" s="65" t="str"/>
      <c r="J1876" s="49" t="str"/>
      <c r="K1876" s="41" t="str"/>
      <c r="L1876" s="41" t="str"/>
      <c r="M1876" s="41" t="str"/>
      <c r="N1876" s="41" t="str"/>
      <c r="O1876" s="41" t="str"/>
      <c r="P1876" s="41" t="str"/>
      <c r="Q1876" s="41" t="str"/>
      <c r="R1876" s="41" t="str"/>
      <c r="S1876" s="41" t="str"/>
      <c r="T1876" s="41" t="str"/>
      <c r="U1876" s="41" t="str"/>
      <c r="V1876" s="41" t="str"/>
      <c r="W1876" s="41" t="str"/>
    </row>
    <row r="1877">
      <c r="B1877" s="2" t="n"/>
      <c r="C1877" s="40" t="n"/>
      <c r="D1877" s="52">
        <f t="array" ref="D1877:W1877">IF(All_Students_Scores!C1875:V1875="","",All_Students_Scores!C1875:V1875)</f>
        <v/>
      </c>
      <c r="E1877" s="57" t="str"/>
      <c r="F1877" s="49" t="str"/>
      <c r="G1877" s="59" t="str"/>
      <c r="H1877" s="64" t="str"/>
      <c r="I1877" s="65" t="str"/>
      <c r="J1877" s="49" t="str"/>
      <c r="K1877" s="41" t="str"/>
      <c r="L1877" s="41" t="str"/>
      <c r="M1877" s="41" t="str"/>
      <c r="N1877" s="41" t="str"/>
      <c r="O1877" s="41" t="str"/>
      <c r="P1877" s="41" t="str"/>
      <c r="Q1877" s="41" t="str"/>
      <c r="R1877" s="41" t="str"/>
      <c r="S1877" s="41" t="str"/>
      <c r="T1877" s="41" t="str"/>
      <c r="U1877" s="41" t="str"/>
      <c r="V1877" s="41" t="str"/>
      <c r="W1877" s="41" t="str"/>
    </row>
    <row r="1878">
      <c r="B1878" s="2" t="n"/>
      <c r="C1878" s="40" t="n"/>
      <c r="D1878" s="52">
        <f t="array" ref="D1878:W1878">IF(All_Students_Scores!C1876:V1876="","",All_Students_Scores!C1876:V1876)</f>
        <v/>
      </c>
      <c r="E1878" s="57" t="str"/>
      <c r="F1878" s="49" t="str"/>
      <c r="G1878" s="59" t="str"/>
      <c r="H1878" s="64" t="str"/>
      <c r="I1878" s="65" t="str"/>
      <c r="J1878" s="49" t="str"/>
      <c r="K1878" s="41" t="str"/>
      <c r="L1878" s="41" t="str"/>
      <c r="M1878" s="41" t="str"/>
      <c r="N1878" s="41" t="str"/>
      <c r="O1878" s="41" t="str"/>
      <c r="P1878" s="41" t="str"/>
      <c r="Q1878" s="41" t="str"/>
      <c r="R1878" s="41" t="str"/>
      <c r="S1878" s="41" t="str"/>
      <c r="T1878" s="41" t="str"/>
      <c r="U1878" s="41" t="str"/>
      <c r="V1878" s="41" t="str"/>
      <c r="W1878" s="41" t="str"/>
    </row>
    <row r="1879">
      <c r="B1879" s="2" t="n"/>
      <c r="C1879" s="40" t="n"/>
      <c r="D1879" s="52">
        <f t="array" ref="D1879:W1879">IF(All_Students_Scores!C1877:V1877="","",All_Students_Scores!C1877:V1877)</f>
        <v/>
      </c>
      <c r="E1879" s="57" t="str"/>
      <c r="F1879" s="49" t="str"/>
      <c r="G1879" s="59" t="str"/>
      <c r="H1879" s="64" t="str"/>
      <c r="I1879" s="65" t="str"/>
      <c r="J1879" s="49" t="str"/>
      <c r="K1879" s="41" t="str"/>
      <c r="L1879" s="41" t="str"/>
      <c r="M1879" s="41" t="str"/>
      <c r="N1879" s="41" t="str"/>
      <c r="O1879" s="41" t="str"/>
      <c r="P1879" s="41" t="str"/>
      <c r="Q1879" s="41" t="str"/>
      <c r="R1879" s="41" t="str"/>
      <c r="S1879" s="41" t="str"/>
      <c r="T1879" s="41" t="str"/>
      <c r="U1879" s="41" t="str"/>
      <c r="V1879" s="41" t="str"/>
      <c r="W1879" s="41" t="str"/>
    </row>
    <row r="1880">
      <c r="B1880" s="2" t="n"/>
      <c r="C1880" s="40" t="n"/>
      <c r="D1880" s="52">
        <f t="array" ref="D1880:W1880">IF(All_Students_Scores!C1878:V1878="","",All_Students_Scores!C1878:V1878)</f>
        <v/>
      </c>
      <c r="E1880" s="57" t="str"/>
      <c r="F1880" s="49" t="str"/>
      <c r="G1880" s="59" t="str"/>
      <c r="H1880" s="64" t="str"/>
      <c r="I1880" s="65" t="str"/>
      <c r="J1880" s="49" t="str"/>
      <c r="K1880" s="41" t="str"/>
      <c r="L1880" s="41" t="str"/>
      <c r="M1880" s="41" t="str"/>
      <c r="N1880" s="41" t="str"/>
      <c r="O1880" s="41" t="str"/>
      <c r="P1880" s="41" t="str"/>
      <c r="Q1880" s="41" t="str"/>
      <c r="R1880" s="41" t="str"/>
      <c r="S1880" s="41" t="str"/>
      <c r="T1880" s="41" t="str"/>
      <c r="U1880" s="41" t="str"/>
      <c r="V1880" s="41" t="str"/>
      <c r="W1880" s="41" t="str"/>
    </row>
    <row r="1881">
      <c r="B1881" s="2" t="n"/>
      <c r="C1881" s="40" t="n"/>
      <c r="D1881" s="52">
        <f t="array" ref="D1881:W1881">IF(All_Students_Scores!C1879:V1879="","",All_Students_Scores!C1879:V1879)</f>
        <v/>
      </c>
      <c r="E1881" s="57" t="str"/>
      <c r="F1881" s="49" t="str"/>
      <c r="G1881" s="59" t="str"/>
      <c r="H1881" s="64" t="str"/>
      <c r="I1881" s="65" t="str"/>
      <c r="J1881" s="49" t="str"/>
      <c r="K1881" s="41" t="str"/>
      <c r="L1881" s="41" t="str"/>
      <c r="M1881" s="41" t="str"/>
      <c r="N1881" s="41" t="str"/>
      <c r="O1881" s="41" t="str"/>
      <c r="P1881" s="41" t="str"/>
      <c r="Q1881" s="41" t="str"/>
      <c r="R1881" s="41" t="str"/>
      <c r="S1881" s="41" t="str"/>
      <c r="T1881" s="41" t="str"/>
      <c r="U1881" s="41" t="str"/>
      <c r="V1881" s="41" t="str"/>
      <c r="W1881" s="41" t="str"/>
    </row>
    <row r="1882">
      <c r="B1882" s="2" t="n"/>
      <c r="C1882" s="40" t="n"/>
      <c r="D1882" s="52">
        <f t="array" ref="D1882:W1882">IF(All_Students_Scores!C1880:V1880="","",All_Students_Scores!C1880:V1880)</f>
        <v/>
      </c>
      <c r="E1882" s="57" t="str"/>
      <c r="F1882" s="49" t="str"/>
      <c r="G1882" s="59" t="str"/>
      <c r="H1882" s="64" t="str"/>
      <c r="I1882" s="65" t="str"/>
      <c r="J1882" s="49" t="str"/>
      <c r="K1882" s="41" t="str"/>
      <c r="L1882" s="41" t="str"/>
      <c r="M1882" s="41" t="str"/>
      <c r="N1882" s="41" t="str"/>
      <c r="O1882" s="41" t="str"/>
      <c r="P1882" s="41" t="str"/>
      <c r="Q1882" s="41" t="str"/>
      <c r="R1882" s="41" t="str"/>
      <c r="S1882" s="41" t="str"/>
      <c r="T1882" s="41" t="str"/>
      <c r="U1882" s="41" t="str"/>
      <c r="V1882" s="41" t="str"/>
      <c r="W1882" s="41" t="str"/>
    </row>
    <row r="1883">
      <c r="B1883" s="2" t="n"/>
      <c r="C1883" s="40" t="n"/>
      <c r="D1883" s="52">
        <f t="array" ref="D1883:W1883">IF(All_Students_Scores!C1881:V1881="","",All_Students_Scores!C1881:V1881)</f>
        <v/>
      </c>
      <c r="E1883" s="57" t="str"/>
      <c r="F1883" s="49" t="str"/>
      <c r="G1883" s="59" t="str"/>
      <c r="H1883" s="64" t="str"/>
      <c r="I1883" s="65" t="str"/>
      <c r="J1883" s="49" t="str"/>
      <c r="K1883" s="41" t="str"/>
      <c r="L1883" s="41" t="str"/>
      <c r="M1883" s="41" t="str"/>
      <c r="N1883" s="41" t="str"/>
      <c r="O1883" s="41" t="str"/>
      <c r="P1883" s="41" t="str"/>
      <c r="Q1883" s="41" t="str"/>
      <c r="R1883" s="41" t="str"/>
      <c r="S1883" s="41" t="str"/>
      <c r="T1883" s="41" t="str"/>
      <c r="U1883" s="41" t="str"/>
      <c r="V1883" s="41" t="str"/>
      <c r="W1883" s="41" t="str"/>
    </row>
    <row r="1884">
      <c r="B1884" s="2" t="n"/>
      <c r="C1884" s="40" t="n"/>
      <c r="D1884" s="52">
        <f t="array" ref="D1884:W1884">IF(All_Students_Scores!C1882:V1882="","",All_Students_Scores!C1882:V1882)</f>
        <v/>
      </c>
      <c r="E1884" s="57" t="str"/>
      <c r="F1884" s="49" t="str"/>
      <c r="G1884" s="59" t="str"/>
      <c r="H1884" s="64" t="str"/>
      <c r="I1884" s="65" t="str"/>
      <c r="J1884" s="49" t="str"/>
      <c r="K1884" s="41" t="str"/>
      <c r="L1884" s="41" t="str"/>
      <c r="M1884" s="41" t="str"/>
      <c r="N1884" s="41" t="str"/>
      <c r="O1884" s="41" t="str"/>
      <c r="P1884" s="41" t="str"/>
      <c r="Q1884" s="41" t="str"/>
      <c r="R1884" s="41" t="str"/>
      <c r="S1884" s="41" t="str"/>
      <c r="T1884" s="41" t="str"/>
      <c r="U1884" s="41" t="str"/>
      <c r="V1884" s="41" t="str"/>
      <c r="W1884" s="41" t="str"/>
    </row>
    <row r="1885">
      <c r="B1885" s="2" t="n"/>
      <c r="C1885" s="40" t="n"/>
      <c r="D1885" s="52">
        <f t="array" ref="D1885:W1885">IF(All_Students_Scores!C1883:V1883="","",All_Students_Scores!C1883:V1883)</f>
        <v/>
      </c>
      <c r="E1885" s="57" t="str"/>
      <c r="F1885" s="49" t="str"/>
      <c r="G1885" s="59" t="str"/>
      <c r="H1885" s="64" t="str"/>
      <c r="I1885" s="65" t="str"/>
      <c r="J1885" s="49" t="str"/>
      <c r="K1885" s="41" t="str"/>
      <c r="L1885" s="41" t="str"/>
      <c r="M1885" s="41" t="str"/>
      <c r="N1885" s="41" t="str"/>
      <c r="O1885" s="41" t="str"/>
      <c r="P1885" s="41" t="str"/>
      <c r="Q1885" s="41" t="str"/>
      <c r="R1885" s="41" t="str"/>
      <c r="S1885" s="41" t="str"/>
      <c r="T1885" s="41" t="str"/>
      <c r="U1885" s="41" t="str"/>
      <c r="V1885" s="41" t="str"/>
      <c r="W1885" s="41" t="str"/>
    </row>
    <row r="1886">
      <c r="B1886" s="2" t="n"/>
      <c r="C1886" s="40" t="n"/>
      <c r="D1886" s="52">
        <f t="array" ref="D1886:W1886">IF(All_Students_Scores!C1884:V1884="","",All_Students_Scores!C1884:V1884)</f>
        <v/>
      </c>
      <c r="E1886" s="57" t="str"/>
      <c r="F1886" s="49" t="str"/>
      <c r="G1886" s="59" t="str"/>
      <c r="H1886" s="64" t="str"/>
      <c r="I1886" s="65" t="str"/>
      <c r="J1886" s="49" t="str"/>
      <c r="K1886" s="41" t="str"/>
      <c r="L1886" s="41" t="str"/>
      <c r="M1886" s="41" t="str"/>
      <c r="N1886" s="41" t="str"/>
      <c r="O1886" s="41" t="str"/>
      <c r="P1886" s="41" t="str"/>
      <c r="Q1886" s="41" t="str"/>
      <c r="R1886" s="41" t="str"/>
      <c r="S1886" s="41" t="str"/>
      <c r="T1886" s="41" t="str"/>
      <c r="U1886" s="41" t="str"/>
      <c r="V1886" s="41" t="str"/>
      <c r="W1886" s="41" t="str"/>
    </row>
    <row r="1887">
      <c r="B1887" s="2" t="n"/>
      <c r="C1887" s="40" t="n"/>
      <c r="D1887" s="52">
        <f t="array" ref="D1887:W1887">IF(All_Students_Scores!C1885:V1885="","",All_Students_Scores!C1885:V1885)</f>
        <v/>
      </c>
      <c r="E1887" s="57" t="str"/>
      <c r="F1887" s="49" t="str"/>
      <c r="G1887" s="59" t="str"/>
      <c r="H1887" s="64" t="str"/>
      <c r="I1887" s="65" t="str"/>
      <c r="J1887" s="49" t="str"/>
      <c r="K1887" s="41" t="str"/>
      <c r="L1887" s="41" t="str"/>
      <c r="M1887" s="41" t="str"/>
      <c r="N1887" s="41" t="str"/>
      <c r="O1887" s="41" t="str"/>
      <c r="P1887" s="41" t="str"/>
      <c r="Q1887" s="41" t="str"/>
      <c r="R1887" s="41" t="str"/>
      <c r="S1887" s="41" t="str"/>
      <c r="T1887" s="41" t="str"/>
      <c r="U1887" s="41" t="str"/>
      <c r="V1887" s="41" t="str"/>
      <c r="W1887" s="41" t="str"/>
    </row>
    <row r="1888">
      <c r="B1888" s="2" t="n"/>
      <c r="C1888" s="40" t="n"/>
      <c r="D1888" s="52">
        <f t="array" ref="D1888:W1888">IF(All_Students_Scores!C1886:V1886="","",All_Students_Scores!C1886:V1886)</f>
        <v/>
      </c>
      <c r="E1888" s="57" t="str"/>
      <c r="F1888" s="49" t="str"/>
      <c r="G1888" s="59" t="str"/>
      <c r="H1888" s="64" t="str"/>
      <c r="I1888" s="65" t="str"/>
      <c r="J1888" s="49" t="str"/>
      <c r="K1888" s="41" t="str"/>
      <c r="L1888" s="41" t="str"/>
      <c r="M1888" s="41" t="str"/>
      <c r="N1888" s="41" t="str"/>
      <c r="O1888" s="41" t="str"/>
      <c r="P1888" s="41" t="str"/>
      <c r="Q1888" s="41" t="str"/>
      <c r="R1888" s="41" t="str"/>
      <c r="S1888" s="41" t="str"/>
      <c r="T1888" s="41" t="str"/>
      <c r="U1888" s="41" t="str"/>
      <c r="V1888" s="41" t="str"/>
      <c r="W1888" s="41" t="str"/>
    </row>
    <row r="1889">
      <c r="B1889" s="2" t="n"/>
      <c r="C1889" s="40" t="n"/>
      <c r="D1889" s="52">
        <f t="array" ref="D1889:W1889">IF(All_Students_Scores!C1887:V1887="","",All_Students_Scores!C1887:V1887)</f>
        <v/>
      </c>
      <c r="E1889" s="57" t="str"/>
      <c r="F1889" s="49" t="str"/>
      <c r="G1889" s="59" t="str"/>
      <c r="H1889" s="64" t="str"/>
      <c r="I1889" s="65" t="str"/>
      <c r="J1889" s="49" t="str"/>
      <c r="K1889" s="41" t="str"/>
      <c r="L1889" s="41" t="str"/>
      <c r="M1889" s="41" t="str"/>
      <c r="N1889" s="41" t="str"/>
      <c r="O1889" s="41" t="str"/>
      <c r="P1889" s="41" t="str"/>
      <c r="Q1889" s="41" t="str"/>
      <c r="R1889" s="41" t="str"/>
      <c r="S1889" s="41" t="str"/>
      <c r="T1889" s="41" t="str"/>
      <c r="U1889" s="41" t="str"/>
      <c r="V1889" s="41" t="str"/>
      <c r="W1889" s="41" t="str"/>
    </row>
    <row r="1890">
      <c r="B1890" s="2" t="n"/>
      <c r="C1890" s="40" t="n"/>
      <c r="D1890" s="52">
        <f t="array" ref="D1890:W1890">IF(All_Students_Scores!C1888:V1888="","",All_Students_Scores!C1888:V1888)</f>
        <v/>
      </c>
      <c r="E1890" s="57" t="str"/>
      <c r="F1890" s="49" t="str"/>
      <c r="G1890" s="59" t="str"/>
      <c r="H1890" s="64" t="str"/>
      <c r="I1890" s="65" t="str"/>
      <c r="J1890" s="49" t="str"/>
      <c r="K1890" s="41" t="str"/>
      <c r="L1890" s="41" t="str"/>
      <c r="M1890" s="41" t="str"/>
      <c r="N1890" s="41" t="str"/>
      <c r="O1890" s="41" t="str"/>
      <c r="P1890" s="41" t="str"/>
      <c r="Q1890" s="41" t="str"/>
      <c r="R1890" s="41" t="str"/>
      <c r="S1890" s="41" t="str"/>
      <c r="T1890" s="41" t="str"/>
      <c r="U1890" s="41" t="str"/>
      <c r="V1890" s="41" t="str"/>
      <c r="W1890" s="41" t="str"/>
    </row>
    <row r="1891">
      <c r="B1891" s="2" t="n"/>
      <c r="C1891" s="40" t="n"/>
      <c r="D1891" s="52">
        <f t="array" ref="D1891:W1891">IF(All_Students_Scores!C1889:V1889="","",All_Students_Scores!C1889:V1889)</f>
        <v/>
      </c>
      <c r="E1891" s="57" t="str"/>
      <c r="F1891" s="49" t="str"/>
      <c r="G1891" s="59" t="str"/>
      <c r="H1891" s="64" t="str"/>
      <c r="I1891" s="65" t="str"/>
      <c r="J1891" s="49" t="str"/>
      <c r="K1891" s="41" t="str"/>
      <c r="L1891" s="41" t="str"/>
      <c r="M1891" s="41" t="str"/>
      <c r="N1891" s="41" t="str"/>
      <c r="O1891" s="41" t="str"/>
      <c r="P1891" s="41" t="str"/>
      <c r="Q1891" s="41" t="str"/>
      <c r="R1891" s="41" t="str"/>
      <c r="S1891" s="41" t="str"/>
      <c r="T1891" s="41" t="str"/>
      <c r="U1891" s="41" t="str"/>
      <c r="V1891" s="41" t="str"/>
      <c r="W1891" s="41" t="str"/>
    </row>
    <row r="1892">
      <c r="B1892" s="2" t="n"/>
      <c r="C1892" s="40" t="n"/>
      <c r="D1892" s="52">
        <f t="array" ref="D1892:W1892">IF(All_Students_Scores!C1890:V1890="","",All_Students_Scores!C1890:V1890)</f>
        <v/>
      </c>
      <c r="E1892" s="57" t="str"/>
      <c r="F1892" s="49" t="str"/>
      <c r="G1892" s="59" t="str"/>
      <c r="H1892" s="64" t="str"/>
      <c r="I1892" s="65" t="str"/>
      <c r="J1892" s="49" t="str"/>
      <c r="K1892" s="41" t="str"/>
      <c r="L1892" s="41" t="str"/>
      <c r="M1892" s="41" t="str"/>
      <c r="N1892" s="41" t="str"/>
      <c r="O1892" s="41" t="str"/>
      <c r="P1892" s="41" t="str"/>
      <c r="Q1892" s="41" t="str"/>
      <c r="R1892" s="41" t="str"/>
      <c r="S1892" s="41" t="str"/>
      <c r="T1892" s="41" t="str"/>
      <c r="U1892" s="41" t="str"/>
      <c r="V1892" s="41" t="str"/>
      <c r="W1892" s="41" t="str"/>
    </row>
    <row r="1893">
      <c r="B1893" s="2" t="n"/>
      <c r="C1893" s="40" t="n"/>
      <c r="D1893" s="52">
        <f t="array" ref="D1893:W1893">IF(All_Students_Scores!C1891:V1891="","",All_Students_Scores!C1891:V1891)</f>
        <v/>
      </c>
      <c r="E1893" s="57" t="str"/>
      <c r="F1893" s="49" t="str"/>
      <c r="G1893" s="59" t="str"/>
      <c r="H1893" s="64" t="str"/>
      <c r="I1893" s="65" t="str"/>
      <c r="J1893" s="49" t="str"/>
      <c r="K1893" s="41" t="str"/>
      <c r="L1893" s="41" t="str"/>
      <c r="M1893" s="41" t="str"/>
      <c r="N1893" s="41" t="str"/>
      <c r="O1893" s="41" t="str"/>
      <c r="P1893" s="41" t="str"/>
      <c r="Q1893" s="41" t="str"/>
      <c r="R1893" s="41" t="str"/>
      <c r="S1893" s="41" t="str"/>
      <c r="T1893" s="41" t="str"/>
      <c r="U1893" s="41" t="str"/>
      <c r="V1893" s="41" t="str"/>
      <c r="W1893" s="41" t="str"/>
    </row>
    <row r="1894">
      <c r="B1894" s="2" t="n"/>
      <c r="C1894" s="40" t="n"/>
      <c r="D1894" s="52">
        <f t="array" ref="D1894:W1894">IF(All_Students_Scores!C1892:V1892="","",All_Students_Scores!C1892:V1892)</f>
        <v/>
      </c>
      <c r="E1894" s="57" t="str"/>
      <c r="F1894" s="49" t="str"/>
      <c r="G1894" s="59" t="str"/>
      <c r="H1894" s="64" t="str"/>
      <c r="I1894" s="65" t="str"/>
      <c r="J1894" s="49" t="str"/>
      <c r="K1894" s="41" t="str"/>
      <c r="L1894" s="41" t="str"/>
      <c r="M1894" s="41" t="str"/>
      <c r="N1894" s="41" t="str"/>
      <c r="O1894" s="41" t="str"/>
      <c r="P1894" s="41" t="str"/>
      <c r="Q1894" s="41" t="str"/>
      <c r="R1894" s="41" t="str"/>
      <c r="S1894" s="41" t="str"/>
      <c r="T1894" s="41" t="str"/>
      <c r="U1894" s="41" t="str"/>
      <c r="V1894" s="41" t="str"/>
      <c r="W1894" s="41" t="str"/>
    </row>
    <row r="1895">
      <c r="B1895" s="2" t="n"/>
      <c r="C1895" s="40" t="n"/>
      <c r="D1895" s="52">
        <f t="array" ref="D1895:W1895">IF(All_Students_Scores!C1893:V1893="","",All_Students_Scores!C1893:V1893)</f>
        <v/>
      </c>
      <c r="E1895" s="57" t="str"/>
      <c r="F1895" s="49" t="str"/>
      <c r="G1895" s="59" t="str"/>
      <c r="H1895" s="64" t="str"/>
      <c r="I1895" s="65" t="str"/>
      <c r="J1895" s="49" t="str"/>
      <c r="K1895" s="41" t="str"/>
      <c r="L1895" s="41" t="str"/>
      <c r="M1895" s="41" t="str"/>
      <c r="N1895" s="41" t="str"/>
      <c r="O1895" s="41" t="str"/>
      <c r="P1895" s="41" t="str"/>
      <c r="Q1895" s="41" t="str"/>
      <c r="R1895" s="41" t="str"/>
      <c r="S1895" s="41" t="str"/>
      <c r="T1895" s="41" t="str"/>
      <c r="U1895" s="41" t="str"/>
      <c r="V1895" s="41" t="str"/>
      <c r="W1895" s="41" t="str"/>
    </row>
    <row r="1896">
      <c r="B1896" s="2" t="n"/>
      <c r="C1896" s="40" t="n"/>
      <c r="D1896" s="52">
        <f t="array" ref="D1896:W1896">IF(All_Students_Scores!C1894:V1894="","",All_Students_Scores!C1894:V1894)</f>
        <v/>
      </c>
      <c r="E1896" s="57" t="str"/>
      <c r="F1896" s="49" t="str"/>
      <c r="G1896" s="59" t="str"/>
      <c r="H1896" s="64" t="str"/>
      <c r="I1896" s="65" t="str"/>
      <c r="J1896" s="49" t="str"/>
      <c r="K1896" s="41" t="str"/>
      <c r="L1896" s="41" t="str"/>
      <c r="M1896" s="41" t="str"/>
      <c r="N1896" s="41" t="str"/>
      <c r="O1896" s="41" t="str"/>
      <c r="P1896" s="41" t="str"/>
      <c r="Q1896" s="41" t="str"/>
      <c r="R1896" s="41" t="str"/>
      <c r="S1896" s="41" t="str"/>
      <c r="T1896" s="41" t="str"/>
      <c r="U1896" s="41" t="str"/>
      <c r="V1896" s="41" t="str"/>
      <c r="W1896" s="41" t="str"/>
    </row>
    <row r="1897">
      <c r="B1897" s="2" t="n"/>
      <c r="C1897" s="40" t="n"/>
      <c r="D1897" s="52">
        <f t="array" ref="D1897:W1897">IF(All_Students_Scores!C1895:V1895="","",All_Students_Scores!C1895:V1895)</f>
        <v/>
      </c>
      <c r="E1897" s="57" t="str"/>
      <c r="F1897" s="49" t="str"/>
      <c r="G1897" s="59" t="str"/>
      <c r="H1897" s="64" t="str"/>
      <c r="I1897" s="65" t="str"/>
      <c r="J1897" s="49" t="str"/>
      <c r="K1897" s="41" t="str"/>
      <c r="L1897" s="41" t="str"/>
      <c r="M1897" s="41" t="str"/>
      <c r="N1897" s="41" t="str"/>
      <c r="O1897" s="41" t="str"/>
      <c r="P1897" s="41" t="str"/>
      <c r="Q1897" s="41" t="str"/>
      <c r="R1897" s="41" t="str"/>
      <c r="S1897" s="41" t="str"/>
      <c r="T1897" s="41" t="str"/>
      <c r="U1897" s="41" t="str"/>
      <c r="V1897" s="41" t="str"/>
      <c r="W1897" s="41" t="str"/>
    </row>
    <row r="1898">
      <c r="B1898" s="2" t="n"/>
      <c r="C1898" s="40" t="n"/>
      <c r="D1898" s="52">
        <f t="array" ref="D1898:W1898">IF(All_Students_Scores!C1896:V1896="","",All_Students_Scores!C1896:V1896)</f>
        <v/>
      </c>
      <c r="E1898" s="57" t="str"/>
      <c r="F1898" s="49" t="str"/>
      <c r="G1898" s="59" t="str"/>
      <c r="H1898" s="64" t="str"/>
      <c r="I1898" s="65" t="str"/>
      <c r="J1898" s="49" t="str"/>
      <c r="K1898" s="41" t="str"/>
      <c r="L1898" s="41" t="str"/>
      <c r="M1898" s="41" t="str"/>
      <c r="N1898" s="41" t="str"/>
      <c r="O1898" s="41" t="str"/>
      <c r="P1898" s="41" t="str"/>
      <c r="Q1898" s="41" t="str"/>
      <c r="R1898" s="41" t="str"/>
      <c r="S1898" s="41" t="str"/>
      <c r="T1898" s="41" t="str"/>
      <c r="U1898" s="41" t="str"/>
      <c r="V1898" s="41" t="str"/>
      <c r="W1898" s="41" t="str"/>
    </row>
    <row r="1899">
      <c r="B1899" s="2" t="n"/>
      <c r="C1899" s="40" t="n"/>
      <c r="D1899" s="52">
        <f t="array" ref="D1899:W1899">IF(All_Students_Scores!C1897:V1897="","",All_Students_Scores!C1897:V1897)</f>
        <v/>
      </c>
      <c r="E1899" s="57" t="str"/>
      <c r="F1899" s="49" t="str"/>
      <c r="G1899" s="59" t="str"/>
      <c r="H1899" s="64" t="str"/>
      <c r="I1899" s="65" t="str"/>
      <c r="J1899" s="49" t="str"/>
      <c r="K1899" s="41" t="str"/>
      <c r="L1899" s="41" t="str"/>
      <c r="M1899" s="41" t="str"/>
      <c r="N1899" s="41" t="str"/>
      <c r="O1899" s="41" t="str"/>
      <c r="P1899" s="41" t="str"/>
      <c r="Q1899" s="41" t="str"/>
      <c r="R1899" s="41" t="str"/>
      <c r="S1899" s="41" t="str"/>
      <c r="T1899" s="41" t="str"/>
      <c r="U1899" s="41" t="str"/>
      <c r="V1899" s="41" t="str"/>
      <c r="W1899" s="41" t="str"/>
    </row>
    <row r="1900">
      <c r="B1900" s="2" t="n"/>
      <c r="C1900" s="40" t="n"/>
      <c r="D1900" s="52">
        <f t="array" ref="D1900:W1900">IF(All_Students_Scores!C1898:V1898="","",All_Students_Scores!C1898:V1898)</f>
        <v/>
      </c>
      <c r="E1900" s="57" t="str"/>
      <c r="F1900" s="49" t="str"/>
      <c r="G1900" s="59" t="str"/>
      <c r="H1900" s="64" t="str"/>
      <c r="I1900" s="65" t="str"/>
      <c r="J1900" s="49" t="str"/>
      <c r="K1900" s="41" t="str"/>
      <c r="L1900" s="41" t="str"/>
      <c r="M1900" s="41" t="str"/>
      <c r="N1900" s="41" t="str"/>
      <c r="O1900" s="41" t="str"/>
      <c r="P1900" s="41" t="str"/>
      <c r="Q1900" s="41" t="str"/>
      <c r="R1900" s="41" t="str"/>
      <c r="S1900" s="41" t="str"/>
      <c r="T1900" s="41" t="str"/>
      <c r="U1900" s="41" t="str"/>
      <c r="V1900" s="41" t="str"/>
      <c r="W1900" s="41" t="str"/>
    </row>
    <row r="1901">
      <c r="B1901" s="2" t="n"/>
      <c r="C1901" s="40" t="n"/>
      <c r="D1901" s="52">
        <f t="array" ref="D1901:W1901">IF(All_Students_Scores!C1899:V1899="","",All_Students_Scores!C1899:V1899)</f>
        <v/>
      </c>
      <c r="E1901" s="57" t="str"/>
      <c r="F1901" s="49" t="str"/>
      <c r="G1901" s="59" t="str"/>
      <c r="H1901" s="64" t="str"/>
      <c r="I1901" s="65" t="str"/>
      <c r="J1901" s="49" t="str"/>
      <c r="K1901" s="41" t="str"/>
      <c r="L1901" s="41" t="str"/>
      <c r="M1901" s="41" t="str"/>
      <c r="N1901" s="41" t="str"/>
      <c r="O1901" s="41" t="str"/>
      <c r="P1901" s="41" t="str"/>
      <c r="Q1901" s="41" t="str"/>
      <c r="R1901" s="41" t="str"/>
      <c r="S1901" s="41" t="str"/>
      <c r="T1901" s="41" t="str"/>
      <c r="U1901" s="41" t="str"/>
      <c r="V1901" s="41" t="str"/>
      <c r="W1901" s="41" t="str"/>
    </row>
    <row r="1902">
      <c r="B1902" s="2" t="n"/>
      <c r="C1902" s="40" t="n"/>
      <c r="D1902" s="52">
        <f t="array" ref="D1902:W1902">IF(All_Students_Scores!C1900:V1900="","",All_Students_Scores!C1900:V1900)</f>
        <v/>
      </c>
      <c r="E1902" s="57" t="str"/>
      <c r="F1902" s="49" t="str"/>
      <c r="G1902" s="59" t="str"/>
      <c r="H1902" s="64" t="str"/>
      <c r="I1902" s="65" t="str"/>
      <c r="J1902" s="49" t="str"/>
      <c r="K1902" s="41" t="str"/>
      <c r="L1902" s="41" t="str"/>
      <c r="M1902" s="41" t="str"/>
      <c r="N1902" s="41" t="str"/>
      <c r="O1902" s="41" t="str"/>
      <c r="P1902" s="41" t="str"/>
      <c r="Q1902" s="41" t="str"/>
      <c r="R1902" s="41" t="str"/>
      <c r="S1902" s="41" t="str"/>
      <c r="T1902" s="41" t="str"/>
      <c r="U1902" s="41" t="str"/>
      <c r="V1902" s="41" t="str"/>
      <c r="W1902" s="41" t="str"/>
    </row>
    <row r="1903">
      <c r="B1903" s="2" t="n"/>
      <c r="C1903" s="40" t="n"/>
      <c r="D1903" s="52">
        <f t="array" ref="D1903:W1903">IF(All_Students_Scores!C1901:V1901="","",All_Students_Scores!C1901:V1901)</f>
        <v/>
      </c>
      <c r="E1903" s="57" t="str"/>
      <c r="F1903" s="49" t="str"/>
      <c r="G1903" s="59" t="str"/>
      <c r="H1903" s="64" t="str"/>
      <c r="I1903" s="65" t="str"/>
      <c r="J1903" s="49" t="str"/>
      <c r="K1903" s="41" t="str"/>
      <c r="L1903" s="41" t="str"/>
      <c r="M1903" s="41" t="str"/>
      <c r="N1903" s="41" t="str"/>
      <c r="O1903" s="41" t="str"/>
      <c r="P1903" s="41" t="str"/>
      <c r="Q1903" s="41" t="str"/>
      <c r="R1903" s="41" t="str"/>
      <c r="S1903" s="41" t="str"/>
      <c r="T1903" s="41" t="str"/>
      <c r="U1903" s="41" t="str"/>
      <c r="V1903" s="41" t="str"/>
      <c r="W1903" s="41" t="str"/>
    </row>
    <row r="1904">
      <c r="B1904" s="2" t="n"/>
      <c r="C1904" s="40" t="n"/>
      <c r="D1904" s="52">
        <f t="array" ref="D1904:W1904">IF(All_Students_Scores!C1902:V1902="","",All_Students_Scores!C1902:V1902)</f>
        <v/>
      </c>
      <c r="E1904" s="57" t="str"/>
      <c r="F1904" s="49" t="str"/>
      <c r="G1904" s="59" t="str"/>
      <c r="H1904" s="64" t="str"/>
      <c r="I1904" s="65" t="str"/>
      <c r="J1904" s="49" t="str"/>
      <c r="K1904" s="41" t="str"/>
      <c r="L1904" s="41" t="str"/>
      <c r="M1904" s="41" t="str"/>
      <c r="N1904" s="41" t="str"/>
      <c r="O1904" s="41" t="str"/>
      <c r="P1904" s="41" t="str"/>
      <c r="Q1904" s="41" t="str"/>
      <c r="R1904" s="41" t="str"/>
      <c r="S1904" s="41" t="str"/>
      <c r="T1904" s="41" t="str"/>
      <c r="U1904" s="41" t="str"/>
      <c r="V1904" s="41" t="str"/>
      <c r="W1904" s="41" t="str"/>
    </row>
    <row r="1905">
      <c r="B1905" s="2" t="n"/>
      <c r="C1905" s="40" t="n"/>
      <c r="D1905" s="52">
        <f t="array" ref="D1905:W1905">IF(All_Students_Scores!C1903:V1903="","",All_Students_Scores!C1903:V1903)</f>
        <v/>
      </c>
      <c r="E1905" s="57" t="str"/>
      <c r="F1905" s="49" t="str"/>
      <c r="G1905" s="59" t="str"/>
      <c r="H1905" s="64" t="str"/>
      <c r="I1905" s="65" t="str"/>
      <c r="J1905" s="49" t="str"/>
      <c r="K1905" s="41" t="str"/>
      <c r="L1905" s="41" t="str"/>
      <c r="M1905" s="41" t="str"/>
      <c r="N1905" s="41" t="str"/>
      <c r="O1905" s="41" t="str"/>
      <c r="P1905" s="41" t="str"/>
      <c r="Q1905" s="41" t="str"/>
      <c r="R1905" s="41" t="str"/>
      <c r="S1905" s="41" t="str"/>
      <c r="T1905" s="41" t="str"/>
      <c r="U1905" s="41" t="str"/>
      <c r="V1905" s="41" t="str"/>
      <c r="W1905" s="41" t="str"/>
    </row>
    <row r="1906">
      <c r="B1906" s="2" t="n"/>
      <c r="C1906" s="40" t="n"/>
      <c r="D1906" s="52">
        <f t="array" ref="D1906:W1906">IF(All_Students_Scores!C1904:V1904="","",All_Students_Scores!C1904:V1904)</f>
        <v/>
      </c>
      <c r="E1906" s="57" t="str"/>
      <c r="F1906" s="49" t="str"/>
      <c r="G1906" s="59" t="str"/>
      <c r="H1906" s="64" t="str"/>
      <c r="I1906" s="65" t="str"/>
      <c r="J1906" s="49" t="str"/>
      <c r="K1906" s="41" t="str"/>
      <c r="L1906" s="41" t="str"/>
      <c r="M1906" s="41" t="str"/>
      <c r="N1906" s="41" t="str"/>
      <c r="O1906" s="41" t="str"/>
      <c r="P1906" s="41" t="str"/>
      <c r="Q1906" s="41" t="str"/>
      <c r="R1906" s="41" t="str"/>
      <c r="S1906" s="41" t="str"/>
      <c r="T1906" s="41" t="str"/>
      <c r="U1906" s="41" t="str"/>
      <c r="V1906" s="41" t="str"/>
      <c r="W1906" s="41" t="str"/>
    </row>
    <row r="1907">
      <c r="B1907" s="2" t="n"/>
      <c r="C1907" s="40" t="n"/>
      <c r="D1907" s="52">
        <f t="array" ref="D1907:W1907">IF(All_Students_Scores!C1905:V1905="","",All_Students_Scores!C1905:V1905)</f>
        <v/>
      </c>
      <c r="E1907" s="57" t="str"/>
      <c r="F1907" s="49" t="str"/>
      <c r="G1907" s="59" t="str"/>
      <c r="H1907" s="64" t="str"/>
      <c r="I1907" s="65" t="str"/>
      <c r="J1907" s="49" t="str"/>
      <c r="K1907" s="41" t="str"/>
      <c r="L1907" s="41" t="str"/>
      <c r="M1907" s="41" t="str"/>
      <c r="N1907" s="41" t="str"/>
      <c r="O1907" s="41" t="str"/>
      <c r="P1907" s="41" t="str"/>
      <c r="Q1907" s="41" t="str"/>
      <c r="R1907" s="41" t="str"/>
      <c r="S1907" s="41" t="str"/>
      <c r="T1907" s="41" t="str"/>
      <c r="U1907" s="41" t="str"/>
      <c r="V1907" s="41" t="str"/>
      <c r="W1907" s="41" t="str"/>
    </row>
    <row r="1908">
      <c r="B1908" s="2" t="n"/>
      <c r="C1908" s="40" t="n"/>
      <c r="D1908" s="52">
        <f t="array" ref="D1908:W1908">IF(All_Students_Scores!C1906:V1906="","",All_Students_Scores!C1906:V1906)</f>
        <v/>
      </c>
      <c r="E1908" s="57" t="str"/>
      <c r="F1908" s="49" t="str"/>
      <c r="G1908" s="59" t="str"/>
      <c r="H1908" s="64" t="str"/>
      <c r="I1908" s="65" t="str"/>
      <c r="J1908" s="49" t="str"/>
      <c r="K1908" s="41" t="str"/>
      <c r="L1908" s="41" t="str"/>
      <c r="M1908" s="41" t="str"/>
      <c r="N1908" s="41" t="str"/>
      <c r="O1908" s="41" t="str"/>
      <c r="P1908" s="41" t="str"/>
      <c r="Q1908" s="41" t="str"/>
      <c r="R1908" s="41" t="str"/>
      <c r="S1908" s="41" t="str"/>
      <c r="T1908" s="41" t="str"/>
      <c r="U1908" s="41" t="str"/>
      <c r="V1908" s="41" t="str"/>
      <c r="W1908" s="41" t="str"/>
    </row>
    <row r="1909">
      <c r="B1909" s="2" t="n"/>
      <c r="C1909" s="40" t="n"/>
      <c r="D1909" s="52">
        <f t="array" ref="D1909:W1909">IF(All_Students_Scores!C1907:V1907="","",All_Students_Scores!C1907:V1907)</f>
        <v/>
      </c>
      <c r="E1909" s="57" t="str"/>
      <c r="F1909" s="49" t="str"/>
      <c r="G1909" s="59" t="str"/>
      <c r="H1909" s="64" t="str"/>
      <c r="I1909" s="65" t="str"/>
      <c r="J1909" s="49" t="str"/>
      <c r="K1909" s="41" t="str"/>
      <c r="L1909" s="41" t="str"/>
      <c r="M1909" s="41" t="str"/>
      <c r="N1909" s="41" t="str"/>
      <c r="O1909" s="41" t="str"/>
      <c r="P1909" s="41" t="str"/>
      <c r="Q1909" s="41" t="str"/>
      <c r="R1909" s="41" t="str"/>
      <c r="S1909" s="41" t="str"/>
      <c r="T1909" s="41" t="str"/>
      <c r="U1909" s="41" t="str"/>
      <c r="V1909" s="41" t="str"/>
      <c r="W1909" s="41" t="str"/>
    </row>
    <row r="1910">
      <c r="B1910" s="2" t="n"/>
      <c r="C1910" s="40" t="n"/>
      <c r="D1910" s="52">
        <f t="array" ref="D1910:W1910">IF(All_Students_Scores!C1908:V1908="","",All_Students_Scores!C1908:V1908)</f>
        <v/>
      </c>
      <c r="E1910" s="57" t="str"/>
      <c r="F1910" s="49" t="str"/>
      <c r="G1910" s="59" t="str"/>
      <c r="H1910" s="64" t="str"/>
      <c r="I1910" s="65" t="str"/>
      <c r="J1910" s="49" t="str"/>
      <c r="K1910" s="41" t="str"/>
      <c r="L1910" s="41" t="str"/>
      <c r="M1910" s="41" t="str"/>
      <c r="N1910" s="41" t="str"/>
      <c r="O1910" s="41" t="str"/>
      <c r="P1910" s="41" t="str"/>
      <c r="Q1910" s="41" t="str"/>
      <c r="R1910" s="41" t="str"/>
      <c r="S1910" s="41" t="str"/>
      <c r="T1910" s="41" t="str"/>
      <c r="U1910" s="41" t="str"/>
      <c r="V1910" s="41" t="str"/>
      <c r="W1910" s="41" t="str"/>
    </row>
    <row r="1911">
      <c r="B1911" s="2" t="n"/>
      <c r="C1911" s="40" t="n"/>
      <c r="D1911" s="52">
        <f t="array" ref="D1911:W1911">IF(All_Students_Scores!C1909:V1909="","",All_Students_Scores!C1909:V1909)</f>
        <v/>
      </c>
      <c r="E1911" s="57" t="str"/>
      <c r="F1911" s="49" t="str"/>
      <c r="G1911" s="59" t="str"/>
      <c r="H1911" s="64" t="str"/>
      <c r="I1911" s="65" t="str"/>
      <c r="J1911" s="49" t="str"/>
      <c r="K1911" s="41" t="str"/>
      <c r="L1911" s="41" t="str"/>
      <c r="M1911" s="41" t="str"/>
      <c r="N1911" s="41" t="str"/>
      <c r="O1911" s="41" t="str"/>
      <c r="P1911" s="41" t="str"/>
      <c r="Q1911" s="41" t="str"/>
      <c r="R1911" s="41" t="str"/>
      <c r="S1911" s="41" t="str"/>
      <c r="T1911" s="41" t="str"/>
      <c r="U1911" s="41" t="str"/>
      <c r="V1911" s="41" t="str"/>
      <c r="W1911" s="41" t="str"/>
    </row>
    <row r="1912">
      <c r="B1912" s="2" t="n"/>
      <c r="C1912" s="40" t="n"/>
      <c r="D1912" s="52">
        <f t="array" ref="D1912:W1912">IF(All_Students_Scores!C1910:V1910="","",All_Students_Scores!C1910:V1910)</f>
        <v/>
      </c>
      <c r="E1912" s="57" t="str"/>
      <c r="F1912" s="49" t="str"/>
      <c r="G1912" s="59" t="str"/>
      <c r="H1912" s="64" t="str"/>
      <c r="I1912" s="65" t="str"/>
      <c r="J1912" s="49" t="str"/>
      <c r="K1912" s="41" t="str"/>
      <c r="L1912" s="41" t="str"/>
      <c r="M1912" s="41" t="str"/>
      <c r="N1912" s="41" t="str"/>
      <c r="O1912" s="41" t="str"/>
      <c r="P1912" s="41" t="str"/>
      <c r="Q1912" s="41" t="str"/>
      <c r="R1912" s="41" t="str"/>
      <c r="S1912" s="41" t="str"/>
      <c r="T1912" s="41" t="str"/>
      <c r="U1912" s="41" t="str"/>
      <c r="V1912" s="41" t="str"/>
      <c r="W1912" s="41" t="str"/>
    </row>
    <row r="1913">
      <c r="B1913" s="2" t="n"/>
      <c r="C1913" s="40" t="n"/>
      <c r="D1913" s="52">
        <f t="array" ref="D1913:W1913">IF(All_Students_Scores!C1911:V1911="","",All_Students_Scores!C1911:V1911)</f>
        <v/>
      </c>
      <c r="E1913" s="57" t="str"/>
      <c r="F1913" s="49" t="str"/>
      <c r="G1913" s="59" t="str"/>
      <c r="H1913" s="64" t="str"/>
      <c r="I1913" s="65" t="str"/>
      <c r="J1913" s="49" t="str"/>
      <c r="K1913" s="41" t="str"/>
      <c r="L1913" s="41" t="str"/>
      <c r="M1913" s="41" t="str"/>
      <c r="N1913" s="41" t="str"/>
      <c r="O1913" s="41" t="str"/>
      <c r="P1913" s="41" t="str"/>
      <c r="Q1913" s="41" t="str"/>
      <c r="R1913" s="41" t="str"/>
      <c r="S1913" s="41" t="str"/>
      <c r="T1913" s="41" t="str"/>
      <c r="U1913" s="41" t="str"/>
      <c r="V1913" s="41" t="str"/>
      <c r="W1913" s="41" t="str"/>
    </row>
    <row r="1914">
      <c r="B1914" s="2" t="n"/>
      <c r="C1914" s="40" t="n"/>
      <c r="D1914" s="52">
        <f t="array" ref="D1914:W1914">IF(All_Students_Scores!C1912:V1912="","",All_Students_Scores!C1912:V1912)</f>
        <v/>
      </c>
      <c r="E1914" s="57" t="str"/>
      <c r="F1914" s="49" t="str"/>
      <c r="G1914" s="59" t="str"/>
      <c r="H1914" s="64" t="str"/>
      <c r="I1914" s="65" t="str"/>
      <c r="J1914" s="49" t="str"/>
      <c r="K1914" s="41" t="str"/>
      <c r="L1914" s="41" t="str"/>
      <c r="M1914" s="41" t="str"/>
      <c r="N1914" s="41" t="str"/>
      <c r="O1914" s="41" t="str"/>
      <c r="P1914" s="41" t="str"/>
      <c r="Q1914" s="41" t="str"/>
      <c r="R1914" s="41" t="str"/>
      <c r="S1914" s="41" t="str"/>
      <c r="T1914" s="41" t="str"/>
      <c r="U1914" s="41" t="str"/>
      <c r="V1914" s="41" t="str"/>
      <c r="W1914" s="41" t="str"/>
    </row>
    <row r="1915">
      <c r="B1915" s="2" t="n"/>
      <c r="C1915" s="40" t="n"/>
      <c r="D1915" s="52">
        <f t="array" ref="D1915:W1915">IF(All_Students_Scores!C1913:V1913="","",All_Students_Scores!C1913:V1913)</f>
        <v/>
      </c>
      <c r="E1915" s="57" t="str"/>
      <c r="F1915" s="49" t="str"/>
      <c r="G1915" s="59" t="str"/>
      <c r="H1915" s="64" t="str"/>
      <c r="I1915" s="65" t="str"/>
      <c r="J1915" s="49" t="str"/>
      <c r="K1915" s="41" t="str"/>
      <c r="L1915" s="41" t="str"/>
      <c r="M1915" s="41" t="str"/>
      <c r="N1915" s="41" t="str"/>
      <c r="O1915" s="41" t="str"/>
      <c r="P1915" s="41" t="str"/>
      <c r="Q1915" s="41" t="str"/>
      <c r="R1915" s="41" t="str"/>
      <c r="S1915" s="41" t="str"/>
      <c r="T1915" s="41" t="str"/>
      <c r="U1915" s="41" t="str"/>
      <c r="V1915" s="41" t="str"/>
      <c r="W1915" s="41" t="str"/>
    </row>
    <row r="1916">
      <c r="B1916" s="2" t="n"/>
      <c r="C1916" s="40" t="n"/>
      <c r="D1916" s="52">
        <f t="array" ref="D1916:W1916">IF(All_Students_Scores!C1914:V1914="","",All_Students_Scores!C1914:V1914)</f>
        <v/>
      </c>
      <c r="E1916" s="57" t="str"/>
      <c r="F1916" s="49" t="str"/>
      <c r="G1916" s="59" t="str"/>
      <c r="H1916" s="64" t="str"/>
      <c r="I1916" s="65" t="str"/>
      <c r="J1916" s="49" t="str"/>
      <c r="K1916" s="41" t="str"/>
      <c r="L1916" s="41" t="str"/>
      <c r="M1916" s="41" t="str"/>
      <c r="N1916" s="41" t="str"/>
      <c r="O1916" s="41" t="str"/>
      <c r="P1916" s="41" t="str"/>
      <c r="Q1916" s="41" t="str"/>
      <c r="R1916" s="41" t="str"/>
      <c r="S1916" s="41" t="str"/>
      <c r="T1916" s="41" t="str"/>
      <c r="U1916" s="41" t="str"/>
      <c r="V1916" s="41" t="str"/>
      <c r="W1916" s="41" t="str"/>
    </row>
    <row r="1917">
      <c r="B1917" s="2" t="n"/>
      <c r="C1917" s="40" t="n"/>
      <c r="D1917" s="52">
        <f t="array" ref="D1917:W1917">IF(All_Students_Scores!C1915:V1915="","",All_Students_Scores!C1915:V1915)</f>
        <v/>
      </c>
      <c r="E1917" s="57" t="str"/>
      <c r="F1917" s="49" t="str"/>
      <c r="G1917" s="59" t="str"/>
      <c r="H1917" s="64" t="str"/>
      <c r="I1917" s="65" t="str"/>
      <c r="J1917" s="49" t="str"/>
      <c r="K1917" s="41" t="str"/>
      <c r="L1917" s="41" t="str"/>
      <c r="M1917" s="41" t="str"/>
      <c r="N1917" s="41" t="str"/>
      <c r="O1917" s="41" t="str"/>
      <c r="P1917" s="41" t="str"/>
      <c r="Q1917" s="41" t="str"/>
      <c r="R1917" s="41" t="str"/>
      <c r="S1917" s="41" t="str"/>
      <c r="T1917" s="41" t="str"/>
      <c r="U1917" s="41" t="str"/>
      <c r="V1917" s="41" t="str"/>
      <c r="W1917" s="41" t="str"/>
    </row>
    <row r="1918">
      <c r="B1918" s="2" t="n"/>
      <c r="C1918" s="40" t="n"/>
      <c r="D1918" s="52">
        <f t="array" ref="D1918:W1918">IF(All_Students_Scores!C1916:V1916="","",All_Students_Scores!C1916:V1916)</f>
        <v/>
      </c>
      <c r="E1918" s="57" t="str"/>
      <c r="F1918" s="49" t="str"/>
      <c r="G1918" s="59" t="str"/>
      <c r="H1918" s="64" t="str"/>
      <c r="I1918" s="65" t="str"/>
      <c r="J1918" s="49" t="str"/>
      <c r="K1918" s="41" t="str"/>
      <c r="L1918" s="41" t="str"/>
      <c r="M1918" s="41" t="str"/>
      <c r="N1918" s="41" t="str"/>
      <c r="O1918" s="41" t="str"/>
      <c r="P1918" s="41" t="str"/>
      <c r="Q1918" s="41" t="str"/>
      <c r="R1918" s="41" t="str"/>
      <c r="S1918" s="41" t="str"/>
      <c r="T1918" s="41" t="str"/>
      <c r="U1918" s="41" t="str"/>
      <c r="V1918" s="41" t="str"/>
      <c r="W1918" s="41" t="str"/>
    </row>
    <row r="1919">
      <c r="B1919" s="2" t="n"/>
      <c r="C1919" s="40" t="n"/>
      <c r="D1919" s="52">
        <f t="array" ref="D1919:W1919">IF(All_Students_Scores!C1917:V1917="","",All_Students_Scores!C1917:V1917)</f>
        <v/>
      </c>
      <c r="E1919" s="57" t="str"/>
      <c r="F1919" s="49" t="str"/>
      <c r="G1919" s="59" t="str"/>
      <c r="H1919" s="64" t="str"/>
      <c r="I1919" s="65" t="str"/>
      <c r="J1919" s="49" t="str"/>
      <c r="K1919" s="41" t="str"/>
      <c r="L1919" s="41" t="str"/>
      <c r="M1919" s="41" t="str"/>
      <c r="N1919" s="41" t="str"/>
      <c r="O1919" s="41" t="str"/>
      <c r="P1919" s="41" t="str"/>
      <c r="Q1919" s="41" t="str"/>
      <c r="R1919" s="41" t="str"/>
      <c r="S1919" s="41" t="str"/>
      <c r="T1919" s="41" t="str"/>
      <c r="U1919" s="41" t="str"/>
      <c r="V1919" s="41" t="str"/>
      <c r="W1919" s="41" t="str"/>
    </row>
    <row r="1920">
      <c r="B1920" s="2" t="n"/>
      <c r="C1920" s="40" t="n"/>
      <c r="D1920" s="52">
        <f t="array" ref="D1920:W1920">IF(All_Students_Scores!C1918:V1918="","",All_Students_Scores!C1918:V1918)</f>
        <v/>
      </c>
      <c r="E1920" s="57" t="str"/>
      <c r="F1920" s="49" t="str"/>
      <c r="G1920" s="59" t="str"/>
      <c r="H1920" s="64" t="str"/>
      <c r="I1920" s="65" t="str"/>
      <c r="J1920" s="49" t="str"/>
      <c r="K1920" s="41" t="str"/>
      <c r="L1920" s="41" t="str"/>
      <c r="M1920" s="41" t="str"/>
      <c r="N1920" s="41" t="str"/>
      <c r="O1920" s="41" t="str"/>
      <c r="P1920" s="41" t="str"/>
      <c r="Q1920" s="41" t="str"/>
      <c r="R1920" s="41" t="str"/>
      <c r="S1920" s="41" t="str"/>
      <c r="T1920" s="41" t="str"/>
      <c r="U1920" s="41" t="str"/>
      <c r="V1920" s="41" t="str"/>
      <c r="W1920" s="41" t="str"/>
    </row>
    <row r="1921">
      <c r="B1921" s="2" t="n"/>
      <c r="C1921" s="40" t="n"/>
      <c r="D1921" s="52">
        <f t="array" ref="D1921:W1921">IF(All_Students_Scores!C1919:V1919="","",All_Students_Scores!C1919:V1919)</f>
        <v/>
      </c>
      <c r="E1921" s="57" t="str"/>
      <c r="F1921" s="49" t="str"/>
      <c r="G1921" s="59" t="str"/>
      <c r="H1921" s="64" t="str"/>
      <c r="I1921" s="65" t="str"/>
      <c r="J1921" s="49" t="str"/>
      <c r="K1921" s="41" t="str"/>
      <c r="L1921" s="41" t="str"/>
      <c r="M1921" s="41" t="str"/>
      <c r="N1921" s="41" t="str"/>
      <c r="O1921" s="41" t="str"/>
      <c r="P1921" s="41" t="str"/>
      <c r="Q1921" s="41" t="str"/>
      <c r="R1921" s="41" t="str"/>
      <c r="S1921" s="41" t="str"/>
      <c r="T1921" s="41" t="str"/>
      <c r="U1921" s="41" t="str"/>
      <c r="V1921" s="41" t="str"/>
      <c r="W1921" s="41" t="str"/>
    </row>
    <row r="1922">
      <c r="B1922" s="2" t="n"/>
      <c r="C1922" s="40" t="n"/>
      <c r="D1922" s="52">
        <f t="array" ref="D1922:W1922">IF(All_Students_Scores!C1920:V1920="","",All_Students_Scores!C1920:V1920)</f>
        <v/>
      </c>
      <c r="E1922" s="57" t="str"/>
      <c r="F1922" s="49" t="str"/>
      <c r="G1922" s="59" t="str"/>
      <c r="H1922" s="64" t="str"/>
      <c r="I1922" s="65" t="str"/>
      <c r="J1922" s="49" t="str"/>
      <c r="K1922" s="41" t="str"/>
      <c r="L1922" s="41" t="str"/>
      <c r="M1922" s="41" t="str"/>
      <c r="N1922" s="41" t="str"/>
      <c r="O1922" s="41" t="str"/>
      <c r="P1922" s="41" t="str"/>
      <c r="Q1922" s="41" t="str"/>
      <c r="R1922" s="41" t="str"/>
      <c r="S1922" s="41" t="str"/>
      <c r="T1922" s="41" t="str"/>
      <c r="U1922" s="41" t="str"/>
      <c r="V1922" s="41" t="str"/>
      <c r="W1922" s="41" t="str"/>
    </row>
    <row r="1923">
      <c r="B1923" s="2" t="n"/>
      <c r="C1923" s="40" t="n"/>
      <c r="D1923" s="52">
        <f t="array" ref="D1923:W1923">IF(All_Students_Scores!C1921:V1921="","",All_Students_Scores!C1921:V1921)</f>
        <v/>
      </c>
      <c r="E1923" s="57" t="str"/>
      <c r="F1923" s="49" t="str"/>
      <c r="G1923" s="59" t="str"/>
      <c r="H1923" s="64" t="str"/>
      <c r="I1923" s="65" t="str"/>
      <c r="J1923" s="49" t="str"/>
      <c r="K1923" s="41" t="str"/>
      <c r="L1923" s="41" t="str"/>
      <c r="M1923" s="41" t="str"/>
      <c r="N1923" s="41" t="str"/>
      <c r="O1923" s="41" t="str"/>
      <c r="P1923" s="41" t="str"/>
      <c r="Q1923" s="41" t="str"/>
      <c r="R1923" s="41" t="str"/>
      <c r="S1923" s="41" t="str"/>
      <c r="T1923" s="41" t="str"/>
      <c r="U1923" s="41" t="str"/>
      <c r="V1923" s="41" t="str"/>
      <c r="W1923" s="41" t="str"/>
    </row>
    <row r="1924">
      <c r="B1924" s="2" t="n"/>
      <c r="C1924" s="40" t="n"/>
      <c r="D1924" s="52">
        <f t="array" ref="D1924:W1924">IF(All_Students_Scores!C1922:V1922="","",All_Students_Scores!C1922:V1922)</f>
        <v/>
      </c>
      <c r="E1924" s="57" t="str"/>
      <c r="F1924" s="49" t="str"/>
      <c r="G1924" s="59" t="str"/>
      <c r="H1924" s="64" t="str"/>
      <c r="I1924" s="65" t="str"/>
      <c r="J1924" s="49" t="str"/>
      <c r="K1924" s="41" t="str"/>
      <c r="L1924" s="41" t="str"/>
      <c r="M1924" s="41" t="str"/>
      <c r="N1924" s="41" t="str"/>
      <c r="O1924" s="41" t="str"/>
      <c r="P1924" s="41" t="str"/>
      <c r="Q1924" s="41" t="str"/>
      <c r="R1924" s="41" t="str"/>
      <c r="S1924" s="41" t="str"/>
      <c r="T1924" s="41" t="str"/>
      <c r="U1924" s="41" t="str"/>
      <c r="V1924" s="41" t="str"/>
      <c r="W1924" s="41" t="str"/>
    </row>
    <row r="1925">
      <c r="B1925" s="2" t="n"/>
      <c r="C1925" s="40" t="n"/>
      <c r="D1925" s="52">
        <f t="array" ref="D1925:W1925">IF(All_Students_Scores!C1923:V1923="","",All_Students_Scores!C1923:V1923)</f>
        <v/>
      </c>
      <c r="E1925" s="57" t="str"/>
      <c r="F1925" s="49" t="str"/>
      <c r="G1925" s="59" t="str"/>
      <c r="H1925" s="64" t="str"/>
      <c r="I1925" s="65" t="str"/>
      <c r="J1925" s="49" t="str"/>
      <c r="K1925" s="41" t="str"/>
      <c r="L1925" s="41" t="str"/>
      <c r="M1925" s="41" t="str"/>
      <c r="N1925" s="41" t="str"/>
      <c r="O1925" s="41" t="str"/>
      <c r="P1925" s="41" t="str"/>
      <c r="Q1925" s="41" t="str"/>
      <c r="R1925" s="41" t="str"/>
      <c r="S1925" s="41" t="str"/>
      <c r="T1925" s="41" t="str"/>
      <c r="U1925" s="41" t="str"/>
      <c r="V1925" s="41" t="str"/>
      <c r="W1925" s="41" t="str"/>
    </row>
    <row r="1926">
      <c r="B1926" s="2" t="n"/>
      <c r="C1926" s="40" t="n"/>
      <c r="D1926" s="52">
        <f t="array" ref="D1926:W1926">IF(All_Students_Scores!C1924:V1924="","",All_Students_Scores!C1924:V1924)</f>
        <v/>
      </c>
      <c r="E1926" s="57" t="str"/>
      <c r="F1926" s="49" t="str"/>
      <c r="G1926" s="59" t="str"/>
      <c r="H1926" s="64" t="str"/>
      <c r="I1926" s="65" t="str"/>
      <c r="J1926" s="49" t="str"/>
      <c r="K1926" s="41" t="str"/>
      <c r="L1926" s="41" t="str"/>
      <c r="M1926" s="41" t="str"/>
      <c r="N1926" s="41" t="str"/>
      <c r="O1926" s="41" t="str"/>
      <c r="P1926" s="41" t="str"/>
      <c r="Q1926" s="41" t="str"/>
      <c r="R1926" s="41" t="str"/>
      <c r="S1926" s="41" t="str"/>
      <c r="T1926" s="41" t="str"/>
      <c r="U1926" s="41" t="str"/>
      <c r="V1926" s="41" t="str"/>
      <c r="W1926" s="41" t="str"/>
    </row>
    <row r="1927">
      <c r="B1927" s="2" t="n"/>
      <c r="C1927" s="40" t="n"/>
      <c r="D1927" s="52">
        <f t="array" ref="D1927:W1927">IF(All_Students_Scores!C1925:V1925="","",All_Students_Scores!C1925:V1925)</f>
        <v/>
      </c>
      <c r="E1927" s="57" t="str"/>
      <c r="F1927" s="49" t="str"/>
      <c r="G1927" s="59" t="str"/>
      <c r="H1927" s="64" t="str"/>
      <c r="I1927" s="65" t="str"/>
      <c r="J1927" s="49" t="str"/>
      <c r="K1927" s="41" t="str"/>
      <c r="L1927" s="41" t="str"/>
      <c r="M1927" s="41" t="str"/>
      <c r="N1927" s="41" t="str"/>
      <c r="O1927" s="41" t="str"/>
      <c r="P1927" s="41" t="str"/>
      <c r="Q1927" s="41" t="str"/>
      <c r="R1927" s="41" t="str"/>
      <c r="S1927" s="41" t="str"/>
      <c r="T1927" s="41" t="str"/>
      <c r="U1927" s="41" t="str"/>
      <c r="V1927" s="41" t="str"/>
      <c r="W1927" s="41" t="str"/>
    </row>
    <row r="1928">
      <c r="B1928" s="2" t="n"/>
      <c r="C1928" s="40" t="n"/>
      <c r="D1928" s="52">
        <f t="array" ref="D1928:W1928">IF(All_Students_Scores!C1926:V1926="","",All_Students_Scores!C1926:V1926)</f>
        <v/>
      </c>
      <c r="E1928" s="57" t="str"/>
      <c r="F1928" s="49" t="str"/>
      <c r="G1928" s="59" t="str"/>
      <c r="H1928" s="64" t="str"/>
      <c r="I1928" s="65" t="str"/>
      <c r="J1928" s="49" t="str"/>
      <c r="K1928" s="41" t="str"/>
      <c r="L1928" s="41" t="str"/>
      <c r="M1928" s="41" t="str"/>
      <c r="N1928" s="41" t="str"/>
      <c r="O1928" s="41" t="str"/>
      <c r="P1928" s="41" t="str"/>
      <c r="Q1928" s="41" t="str"/>
      <c r="R1928" s="41" t="str"/>
      <c r="S1928" s="41" t="str"/>
      <c r="T1928" s="41" t="str"/>
      <c r="U1928" s="41" t="str"/>
      <c r="V1928" s="41" t="str"/>
      <c r="W1928" s="41" t="str"/>
    </row>
    <row r="1929">
      <c r="B1929" s="2" t="n"/>
      <c r="C1929" s="40" t="n"/>
      <c r="D1929" s="52">
        <f t="array" ref="D1929:W1929">IF(All_Students_Scores!C1927:V1927="","",All_Students_Scores!C1927:V1927)</f>
        <v/>
      </c>
      <c r="E1929" s="57" t="str"/>
      <c r="F1929" s="49" t="str"/>
      <c r="G1929" s="59" t="str"/>
      <c r="H1929" s="64" t="str"/>
      <c r="I1929" s="65" t="str"/>
      <c r="J1929" s="49" t="str"/>
      <c r="K1929" s="41" t="str"/>
      <c r="L1929" s="41" t="str"/>
      <c r="M1929" s="41" t="str"/>
      <c r="N1929" s="41" t="str"/>
      <c r="O1929" s="41" t="str"/>
      <c r="P1929" s="41" t="str"/>
      <c r="Q1929" s="41" t="str"/>
      <c r="R1929" s="41" t="str"/>
      <c r="S1929" s="41" t="str"/>
      <c r="T1929" s="41" t="str"/>
      <c r="U1929" s="41" t="str"/>
      <c r="V1929" s="41" t="str"/>
      <c r="W1929" s="41" t="str"/>
    </row>
    <row r="1930">
      <c r="B1930" s="2" t="n"/>
      <c r="C1930" s="40" t="n"/>
      <c r="D1930" s="52">
        <f t="array" ref="D1930:W1930">IF(All_Students_Scores!C1928:V1928="","",All_Students_Scores!C1928:V1928)</f>
        <v/>
      </c>
      <c r="E1930" s="57" t="str"/>
      <c r="F1930" s="49" t="str"/>
      <c r="G1930" s="59" t="str"/>
      <c r="H1930" s="64" t="str"/>
      <c r="I1930" s="65" t="str"/>
      <c r="J1930" s="49" t="str"/>
      <c r="K1930" s="41" t="str"/>
      <c r="L1930" s="41" t="str"/>
      <c r="M1930" s="41" t="str"/>
      <c r="N1930" s="41" t="str"/>
      <c r="O1930" s="41" t="str"/>
      <c r="P1930" s="41" t="str"/>
      <c r="Q1930" s="41" t="str"/>
      <c r="R1930" s="41" t="str"/>
      <c r="S1930" s="41" t="str"/>
      <c r="T1930" s="41" t="str"/>
      <c r="U1930" s="41" t="str"/>
      <c r="V1930" s="41" t="str"/>
      <c r="W1930" s="41" t="str"/>
    </row>
    <row r="1931">
      <c r="B1931" s="2" t="n"/>
      <c r="C1931" s="40" t="n"/>
      <c r="D1931" s="52">
        <f t="array" ref="D1931:W1931">IF(All_Students_Scores!C1929:V1929="","",All_Students_Scores!C1929:V1929)</f>
        <v/>
      </c>
      <c r="E1931" s="57" t="str"/>
      <c r="F1931" s="49" t="str"/>
      <c r="G1931" s="59" t="str"/>
      <c r="H1931" s="64" t="str"/>
      <c r="I1931" s="65" t="str"/>
      <c r="J1931" s="49" t="str"/>
      <c r="K1931" s="41" t="str"/>
      <c r="L1931" s="41" t="str"/>
      <c r="M1931" s="41" t="str"/>
      <c r="N1931" s="41" t="str"/>
      <c r="O1931" s="41" t="str"/>
      <c r="P1931" s="41" t="str"/>
      <c r="Q1931" s="41" t="str"/>
      <c r="R1931" s="41" t="str"/>
      <c r="S1931" s="41" t="str"/>
      <c r="T1931" s="41" t="str"/>
      <c r="U1931" s="41" t="str"/>
      <c r="V1931" s="41" t="str"/>
      <c r="W1931" s="41" t="str"/>
    </row>
    <row r="1932">
      <c r="B1932" s="2" t="n"/>
      <c r="C1932" s="40" t="n"/>
      <c r="D1932" s="52">
        <f t="array" ref="D1932:W1932">IF(All_Students_Scores!C1930:V1930="","",All_Students_Scores!C1930:V1930)</f>
        <v/>
      </c>
      <c r="E1932" s="57" t="str"/>
      <c r="F1932" s="49" t="str"/>
      <c r="G1932" s="59" t="str"/>
      <c r="H1932" s="64" t="str"/>
      <c r="I1932" s="65" t="str"/>
      <c r="J1932" s="49" t="str"/>
      <c r="K1932" s="41" t="str"/>
      <c r="L1932" s="41" t="str"/>
      <c r="M1932" s="41" t="str"/>
      <c r="N1932" s="41" t="str"/>
      <c r="O1932" s="41" t="str"/>
      <c r="P1932" s="41" t="str"/>
      <c r="Q1932" s="41" t="str"/>
      <c r="R1932" s="41" t="str"/>
      <c r="S1932" s="41" t="str"/>
      <c r="T1932" s="41" t="str"/>
      <c r="U1932" s="41" t="str"/>
      <c r="V1932" s="41" t="str"/>
      <c r="W1932" s="41" t="str"/>
    </row>
    <row r="1933">
      <c r="B1933" s="2" t="n"/>
      <c r="C1933" s="40" t="n"/>
      <c r="D1933" s="52">
        <f t="array" ref="D1933:W1933">IF(All_Students_Scores!C1931:V1931="","",All_Students_Scores!C1931:V1931)</f>
        <v/>
      </c>
      <c r="E1933" s="57" t="str"/>
      <c r="F1933" s="49" t="str"/>
      <c r="G1933" s="59" t="str"/>
      <c r="H1933" s="64" t="str"/>
      <c r="I1933" s="65" t="str"/>
      <c r="J1933" s="49" t="str"/>
      <c r="K1933" s="41" t="str"/>
      <c r="L1933" s="41" t="str"/>
      <c r="M1933" s="41" t="str"/>
      <c r="N1933" s="41" t="str"/>
      <c r="O1933" s="41" t="str"/>
      <c r="P1933" s="41" t="str"/>
      <c r="Q1933" s="41" t="str"/>
      <c r="R1933" s="41" t="str"/>
      <c r="S1933" s="41" t="str"/>
      <c r="T1933" s="41" t="str"/>
      <c r="U1933" s="41" t="str"/>
      <c r="V1933" s="41" t="str"/>
      <c r="W1933" s="41" t="str"/>
    </row>
    <row r="1934">
      <c r="B1934" s="2" t="n"/>
      <c r="C1934" s="40" t="n"/>
      <c r="D1934" s="52">
        <f t="array" ref="D1934:W1934">IF(All_Students_Scores!C1932:V1932="","",All_Students_Scores!C1932:V1932)</f>
        <v/>
      </c>
      <c r="E1934" s="57" t="str"/>
      <c r="F1934" s="49" t="str"/>
      <c r="G1934" s="59" t="str"/>
      <c r="H1934" s="64" t="str"/>
      <c r="I1934" s="65" t="str"/>
      <c r="J1934" s="49" t="str"/>
      <c r="K1934" s="41" t="str"/>
      <c r="L1934" s="41" t="str"/>
      <c r="M1934" s="41" t="str"/>
      <c r="N1934" s="41" t="str"/>
      <c r="O1934" s="41" t="str"/>
      <c r="P1934" s="41" t="str"/>
      <c r="Q1934" s="41" t="str"/>
      <c r="R1934" s="41" t="str"/>
      <c r="S1934" s="41" t="str"/>
      <c r="T1934" s="41" t="str"/>
      <c r="U1934" s="41" t="str"/>
      <c r="V1934" s="41" t="str"/>
      <c r="W1934" s="41" t="str"/>
    </row>
    <row r="1935">
      <c r="B1935" s="2" t="n"/>
      <c r="C1935" s="40" t="n"/>
      <c r="D1935" s="52">
        <f t="array" ref="D1935:W1935">IF(All_Students_Scores!C1933:V1933="","",All_Students_Scores!C1933:V1933)</f>
        <v/>
      </c>
      <c r="E1935" s="57" t="str"/>
      <c r="F1935" s="49" t="str"/>
      <c r="G1935" s="59" t="str"/>
      <c r="H1935" s="64" t="str"/>
      <c r="I1935" s="65" t="str"/>
      <c r="J1935" s="49" t="str"/>
      <c r="K1935" s="41" t="str"/>
      <c r="L1935" s="41" t="str"/>
      <c r="M1935" s="41" t="str"/>
      <c r="N1935" s="41" t="str"/>
      <c r="O1935" s="41" t="str"/>
      <c r="P1935" s="41" t="str"/>
      <c r="Q1935" s="41" t="str"/>
      <c r="R1935" s="41" t="str"/>
      <c r="S1935" s="41" t="str"/>
      <c r="T1935" s="41" t="str"/>
      <c r="U1935" s="41" t="str"/>
      <c r="V1935" s="41" t="str"/>
      <c r="W1935" s="41" t="str"/>
    </row>
    <row r="1936">
      <c r="B1936" s="2" t="n"/>
      <c r="C1936" s="40" t="n"/>
      <c r="D1936" s="52">
        <f t="array" ref="D1936:W1936">IF(All_Students_Scores!C1934:V1934="","",All_Students_Scores!C1934:V1934)</f>
        <v/>
      </c>
      <c r="E1936" s="57" t="str"/>
      <c r="F1936" s="49" t="str"/>
      <c r="G1936" s="59" t="str"/>
      <c r="H1936" s="64" t="str"/>
      <c r="I1936" s="65" t="str"/>
      <c r="J1936" s="49" t="str"/>
      <c r="K1936" s="41" t="str"/>
      <c r="L1936" s="41" t="str"/>
      <c r="M1936" s="41" t="str"/>
      <c r="N1936" s="41" t="str"/>
      <c r="O1936" s="41" t="str"/>
      <c r="P1936" s="41" t="str"/>
      <c r="Q1936" s="41" t="str"/>
      <c r="R1936" s="41" t="str"/>
      <c r="S1936" s="41" t="str"/>
      <c r="T1936" s="41" t="str"/>
      <c r="U1936" s="41" t="str"/>
      <c r="V1936" s="41" t="str"/>
      <c r="W1936" s="41" t="str"/>
    </row>
    <row r="1937">
      <c r="B1937" s="2" t="n"/>
      <c r="C1937" s="40" t="n"/>
      <c r="D1937" s="52">
        <f t="array" ref="D1937:W1937">IF(All_Students_Scores!C1935:V1935="","",All_Students_Scores!C1935:V1935)</f>
        <v/>
      </c>
      <c r="E1937" s="57" t="str"/>
      <c r="F1937" s="49" t="str"/>
      <c r="G1937" s="59" t="str"/>
      <c r="H1937" s="64" t="str"/>
      <c r="I1937" s="65" t="str"/>
      <c r="J1937" s="49" t="str"/>
      <c r="K1937" s="41" t="str"/>
      <c r="L1937" s="41" t="str"/>
      <c r="M1937" s="41" t="str"/>
      <c r="N1937" s="41" t="str"/>
      <c r="O1937" s="41" t="str"/>
      <c r="P1937" s="41" t="str"/>
      <c r="Q1937" s="41" t="str"/>
      <c r="R1937" s="41" t="str"/>
      <c r="S1937" s="41" t="str"/>
      <c r="T1937" s="41" t="str"/>
      <c r="U1937" s="41" t="str"/>
      <c r="V1937" s="41" t="str"/>
      <c r="W1937" s="41" t="str"/>
    </row>
    <row r="1938">
      <c r="B1938" s="2" t="n"/>
      <c r="C1938" s="40" t="n"/>
      <c r="D1938" s="52">
        <f t="array" ref="D1938:W1938">IF(All_Students_Scores!C1936:V1936="","",All_Students_Scores!C1936:V1936)</f>
        <v/>
      </c>
      <c r="E1938" s="57" t="str"/>
      <c r="F1938" s="49" t="str"/>
      <c r="G1938" s="59" t="str"/>
      <c r="H1938" s="64" t="str"/>
      <c r="I1938" s="65" t="str"/>
      <c r="J1938" s="49" t="str"/>
      <c r="K1938" s="41" t="str"/>
      <c r="L1938" s="41" t="str"/>
      <c r="M1938" s="41" t="str"/>
      <c r="N1938" s="41" t="str"/>
      <c r="O1938" s="41" t="str"/>
      <c r="P1938" s="41" t="str"/>
      <c r="Q1938" s="41" t="str"/>
      <c r="R1938" s="41" t="str"/>
      <c r="S1938" s="41" t="str"/>
      <c r="T1938" s="41" t="str"/>
      <c r="U1938" s="41" t="str"/>
      <c r="V1938" s="41" t="str"/>
      <c r="W1938" s="41" t="str"/>
    </row>
    <row r="1939">
      <c r="B1939" s="2" t="n"/>
      <c r="C1939" s="40" t="n"/>
      <c r="D1939" s="52">
        <f t="array" ref="D1939:W1939">IF(All_Students_Scores!C1937:V1937="","",All_Students_Scores!C1937:V1937)</f>
        <v/>
      </c>
      <c r="E1939" s="57" t="str"/>
      <c r="F1939" s="49" t="str"/>
      <c r="G1939" s="59" t="str"/>
      <c r="H1939" s="64" t="str"/>
      <c r="I1939" s="65" t="str"/>
      <c r="J1939" s="49" t="str"/>
      <c r="K1939" s="41" t="str"/>
      <c r="L1939" s="41" t="str"/>
      <c r="M1939" s="41" t="str"/>
      <c r="N1939" s="41" t="str"/>
      <c r="O1939" s="41" t="str"/>
      <c r="P1939" s="41" t="str"/>
      <c r="Q1939" s="41" t="str"/>
      <c r="R1939" s="41" t="str"/>
      <c r="S1939" s="41" t="str"/>
      <c r="T1939" s="41" t="str"/>
      <c r="U1939" s="41" t="str"/>
      <c r="V1939" s="41" t="str"/>
      <c r="W1939" s="41" t="str"/>
    </row>
    <row r="1940">
      <c r="B1940" s="2" t="n"/>
      <c r="C1940" s="40" t="n"/>
      <c r="D1940" s="52">
        <f t="array" ref="D1940:W1940">IF(All_Students_Scores!C1938:V1938="","",All_Students_Scores!C1938:V1938)</f>
        <v/>
      </c>
      <c r="E1940" s="57" t="str"/>
      <c r="F1940" s="49" t="str"/>
      <c r="G1940" s="59" t="str"/>
      <c r="H1940" s="64" t="str"/>
      <c r="I1940" s="65" t="str"/>
      <c r="J1940" s="49" t="str"/>
      <c r="K1940" s="41" t="str"/>
      <c r="L1940" s="41" t="str"/>
      <c r="M1940" s="41" t="str"/>
      <c r="N1940" s="41" t="str"/>
      <c r="O1940" s="41" t="str"/>
      <c r="P1940" s="41" t="str"/>
      <c r="Q1940" s="41" t="str"/>
      <c r="R1940" s="41" t="str"/>
      <c r="S1940" s="41" t="str"/>
      <c r="T1940" s="41" t="str"/>
      <c r="U1940" s="41" t="str"/>
      <c r="V1940" s="41" t="str"/>
      <c r="W1940" s="41" t="str"/>
    </row>
    <row r="1941">
      <c r="B1941" s="2" t="n"/>
      <c r="C1941" s="40" t="n"/>
      <c r="D1941" s="52">
        <f t="array" ref="D1941:W1941">IF(All_Students_Scores!C1939:V1939="","",All_Students_Scores!C1939:V1939)</f>
        <v/>
      </c>
      <c r="E1941" s="57" t="str"/>
      <c r="F1941" s="49" t="str"/>
      <c r="G1941" s="59" t="str"/>
      <c r="H1941" s="64" t="str"/>
      <c r="I1941" s="65" t="str"/>
      <c r="J1941" s="49" t="str"/>
      <c r="K1941" s="41" t="str"/>
      <c r="L1941" s="41" t="str"/>
      <c r="M1941" s="41" t="str"/>
      <c r="N1941" s="41" t="str"/>
      <c r="O1941" s="41" t="str"/>
      <c r="P1941" s="41" t="str"/>
      <c r="Q1941" s="41" t="str"/>
      <c r="R1941" s="41" t="str"/>
      <c r="S1941" s="41" t="str"/>
      <c r="T1941" s="41" t="str"/>
      <c r="U1941" s="41" t="str"/>
      <c r="V1941" s="41" t="str"/>
      <c r="W1941" s="41" t="str"/>
    </row>
    <row r="1942">
      <c r="B1942" s="2" t="n"/>
      <c r="C1942" s="40" t="n"/>
      <c r="D1942" s="52">
        <f t="array" ref="D1942:W1942">IF(All_Students_Scores!C1940:V1940="","",All_Students_Scores!C1940:V1940)</f>
        <v/>
      </c>
      <c r="E1942" s="57" t="str"/>
      <c r="F1942" s="49" t="str"/>
      <c r="G1942" s="59" t="str"/>
      <c r="H1942" s="64" t="str"/>
      <c r="I1942" s="65" t="str"/>
      <c r="J1942" s="49" t="str"/>
      <c r="K1942" s="41" t="str"/>
      <c r="L1942" s="41" t="str"/>
      <c r="M1942" s="41" t="str"/>
      <c r="N1942" s="41" t="str"/>
      <c r="O1942" s="41" t="str"/>
      <c r="P1942" s="41" t="str"/>
      <c r="Q1942" s="41" t="str"/>
      <c r="R1942" s="41" t="str"/>
      <c r="S1942" s="41" t="str"/>
      <c r="T1942" s="41" t="str"/>
      <c r="U1942" s="41" t="str"/>
      <c r="V1942" s="41" t="str"/>
      <c r="W1942" s="41" t="str"/>
    </row>
    <row r="1943">
      <c r="B1943" s="2" t="n"/>
      <c r="C1943" s="40" t="n"/>
      <c r="D1943" s="52">
        <f t="array" ref="D1943:W1943">IF(All_Students_Scores!C1941:V1941="","",All_Students_Scores!C1941:V1941)</f>
        <v/>
      </c>
      <c r="E1943" s="57" t="str"/>
      <c r="F1943" s="49" t="str"/>
      <c r="G1943" s="59" t="str"/>
      <c r="H1943" s="64" t="str"/>
      <c r="I1943" s="65" t="str"/>
      <c r="J1943" s="49" t="str"/>
      <c r="K1943" s="41" t="str"/>
      <c r="L1943" s="41" t="str"/>
      <c r="M1943" s="41" t="str"/>
      <c r="N1943" s="41" t="str"/>
      <c r="O1943" s="41" t="str"/>
      <c r="P1943" s="41" t="str"/>
      <c r="Q1943" s="41" t="str"/>
      <c r="R1943" s="41" t="str"/>
      <c r="S1943" s="41" t="str"/>
      <c r="T1943" s="41" t="str"/>
      <c r="U1943" s="41" t="str"/>
      <c r="V1943" s="41" t="str"/>
      <c r="W1943" s="41" t="str"/>
    </row>
    <row r="1944">
      <c r="B1944" s="2" t="n"/>
      <c r="C1944" s="40" t="n"/>
      <c r="D1944" s="52">
        <f t="array" ref="D1944:W1944">IF(All_Students_Scores!C1942:V1942="","",All_Students_Scores!C1942:V1942)</f>
        <v/>
      </c>
      <c r="E1944" s="57" t="str"/>
      <c r="F1944" s="49" t="str"/>
      <c r="G1944" s="59" t="str"/>
      <c r="H1944" s="64" t="str"/>
      <c r="I1944" s="65" t="str"/>
      <c r="J1944" s="49" t="str"/>
      <c r="K1944" s="41" t="str"/>
      <c r="L1944" s="41" t="str"/>
      <c r="M1944" s="41" t="str"/>
      <c r="N1944" s="41" t="str"/>
      <c r="O1944" s="41" t="str"/>
      <c r="P1944" s="41" t="str"/>
      <c r="Q1944" s="41" t="str"/>
      <c r="R1944" s="41" t="str"/>
      <c r="S1944" s="41" t="str"/>
      <c r="T1944" s="41" t="str"/>
      <c r="U1944" s="41" t="str"/>
      <c r="V1944" s="41" t="str"/>
      <c r="W1944" s="41" t="str"/>
    </row>
    <row r="1945">
      <c r="B1945" s="2" t="n"/>
      <c r="C1945" s="40" t="n"/>
      <c r="D1945" s="52">
        <f t="array" ref="D1945:W1945">IF(All_Students_Scores!C1943:V1943="","",All_Students_Scores!C1943:V1943)</f>
        <v/>
      </c>
      <c r="E1945" s="57" t="str"/>
      <c r="F1945" s="49" t="str"/>
      <c r="G1945" s="59" t="str"/>
      <c r="H1945" s="64" t="str"/>
      <c r="I1945" s="65" t="str"/>
      <c r="J1945" s="49" t="str"/>
      <c r="K1945" s="41" t="str"/>
      <c r="L1945" s="41" t="str"/>
      <c r="M1945" s="41" t="str"/>
      <c r="N1945" s="41" t="str"/>
      <c r="O1945" s="41" t="str"/>
      <c r="P1945" s="41" t="str"/>
      <c r="Q1945" s="41" t="str"/>
      <c r="R1945" s="41" t="str"/>
      <c r="S1945" s="41" t="str"/>
      <c r="T1945" s="41" t="str"/>
      <c r="U1945" s="41" t="str"/>
      <c r="V1945" s="41" t="str"/>
      <c r="W1945" s="41" t="str"/>
    </row>
    <row r="1946">
      <c r="B1946" s="2" t="n"/>
      <c r="C1946" s="40" t="n"/>
      <c r="D1946" s="52">
        <f t="array" ref="D1946:W1946">IF(All_Students_Scores!C1944:V1944="","",All_Students_Scores!C1944:V1944)</f>
        <v/>
      </c>
      <c r="E1946" s="57" t="str"/>
      <c r="F1946" s="49" t="str"/>
      <c r="G1946" s="59" t="str"/>
      <c r="H1946" s="64" t="str"/>
      <c r="I1946" s="65" t="str"/>
      <c r="J1946" s="49" t="str"/>
      <c r="K1946" s="41" t="str"/>
      <c r="L1946" s="41" t="str"/>
      <c r="M1946" s="41" t="str"/>
      <c r="N1946" s="41" t="str"/>
      <c r="O1946" s="41" t="str"/>
      <c r="P1946" s="41" t="str"/>
      <c r="Q1946" s="41" t="str"/>
      <c r="R1946" s="41" t="str"/>
      <c r="S1946" s="41" t="str"/>
      <c r="T1946" s="41" t="str"/>
      <c r="U1946" s="41" t="str"/>
      <c r="V1946" s="41" t="str"/>
      <c r="W1946" s="41" t="str"/>
    </row>
    <row r="1947">
      <c r="B1947" s="2" t="n"/>
      <c r="C1947" s="40" t="n"/>
      <c r="D1947" s="52">
        <f t="array" ref="D1947:W1947">IF(All_Students_Scores!C1945:V1945="","",All_Students_Scores!C1945:V1945)</f>
        <v/>
      </c>
      <c r="E1947" s="57" t="str"/>
      <c r="F1947" s="49" t="str"/>
      <c r="G1947" s="59" t="str"/>
      <c r="H1947" s="64" t="str"/>
      <c r="I1947" s="65" t="str"/>
      <c r="J1947" s="49" t="str"/>
      <c r="K1947" s="41" t="str"/>
      <c r="L1947" s="41" t="str"/>
      <c r="M1947" s="41" t="str"/>
      <c r="N1947" s="41" t="str"/>
      <c r="O1947" s="41" t="str"/>
      <c r="P1947" s="41" t="str"/>
      <c r="Q1947" s="41" t="str"/>
      <c r="R1947" s="41" t="str"/>
      <c r="S1947" s="41" t="str"/>
      <c r="T1947" s="41" t="str"/>
      <c r="U1947" s="41" t="str"/>
      <c r="V1947" s="41" t="str"/>
      <c r="W1947" s="41" t="str"/>
    </row>
    <row r="1948">
      <c r="B1948" s="2" t="n"/>
      <c r="C1948" s="40" t="n"/>
      <c r="D1948" s="52">
        <f t="array" ref="D1948:W1948">IF(All_Students_Scores!C1946:V1946="","",All_Students_Scores!C1946:V1946)</f>
        <v/>
      </c>
      <c r="E1948" s="57" t="str"/>
      <c r="F1948" s="49" t="str"/>
      <c r="G1948" s="59" t="str"/>
      <c r="H1948" s="64" t="str"/>
      <c r="I1948" s="65" t="str"/>
      <c r="J1948" s="49" t="str"/>
      <c r="K1948" s="41" t="str"/>
      <c r="L1948" s="41" t="str"/>
      <c r="M1948" s="41" t="str"/>
      <c r="N1948" s="41" t="str"/>
      <c r="O1948" s="41" t="str"/>
      <c r="P1948" s="41" t="str"/>
      <c r="Q1948" s="41" t="str"/>
      <c r="R1948" s="41" t="str"/>
      <c r="S1948" s="41" t="str"/>
      <c r="T1948" s="41" t="str"/>
      <c r="U1948" s="41" t="str"/>
      <c r="V1948" s="41" t="str"/>
      <c r="W1948" s="41" t="str"/>
    </row>
    <row r="1949">
      <c r="B1949" s="2" t="n"/>
      <c r="C1949" s="40" t="n"/>
      <c r="D1949" s="52">
        <f t="array" ref="D1949:W1949">IF(All_Students_Scores!C1947:V1947="","",All_Students_Scores!C1947:V1947)</f>
        <v/>
      </c>
      <c r="E1949" s="57" t="str"/>
      <c r="F1949" s="49" t="str"/>
      <c r="G1949" s="59" t="str"/>
      <c r="H1949" s="64" t="str"/>
      <c r="I1949" s="65" t="str"/>
      <c r="J1949" s="49" t="str"/>
      <c r="K1949" s="41" t="str"/>
      <c r="L1949" s="41" t="str"/>
      <c r="M1949" s="41" t="str"/>
      <c r="N1949" s="41" t="str"/>
      <c r="O1949" s="41" t="str"/>
      <c r="P1949" s="41" t="str"/>
      <c r="Q1949" s="41" t="str"/>
      <c r="R1949" s="41" t="str"/>
      <c r="S1949" s="41" t="str"/>
      <c r="T1949" s="41" t="str"/>
      <c r="U1949" s="41" t="str"/>
      <c r="V1949" s="41" t="str"/>
      <c r="W1949" s="41" t="str"/>
    </row>
    <row r="1950">
      <c r="B1950" s="2" t="n"/>
      <c r="C1950" s="40" t="n"/>
      <c r="D1950" s="52">
        <f t="array" ref="D1950:W1950">IF(All_Students_Scores!C1948:V1948="","",All_Students_Scores!C1948:V1948)</f>
        <v/>
      </c>
      <c r="E1950" s="57" t="str"/>
      <c r="F1950" s="49" t="str"/>
      <c r="G1950" s="59" t="str"/>
      <c r="H1950" s="64" t="str"/>
      <c r="I1950" s="65" t="str"/>
      <c r="J1950" s="49" t="str"/>
      <c r="K1950" s="41" t="str"/>
      <c r="L1950" s="41" t="str"/>
      <c r="M1950" s="41" t="str"/>
      <c r="N1950" s="41" t="str"/>
      <c r="O1950" s="41" t="str"/>
      <c r="P1950" s="41" t="str"/>
      <c r="Q1950" s="41" t="str"/>
      <c r="R1950" s="41" t="str"/>
      <c r="S1950" s="41" t="str"/>
      <c r="T1950" s="41" t="str"/>
      <c r="U1950" s="41" t="str"/>
      <c r="V1950" s="41" t="str"/>
      <c r="W1950" s="41" t="str"/>
    </row>
    <row r="1951">
      <c r="B1951" s="2" t="n"/>
      <c r="C1951" s="40" t="n"/>
      <c r="D1951" s="52">
        <f t="array" ref="D1951:W1951">IF(All_Students_Scores!C1949:V1949="","",All_Students_Scores!C1949:V1949)</f>
        <v/>
      </c>
      <c r="E1951" s="57" t="str"/>
      <c r="F1951" s="49" t="str"/>
      <c r="G1951" s="59" t="str"/>
      <c r="H1951" s="64" t="str"/>
      <c r="I1951" s="65" t="str"/>
      <c r="J1951" s="49" t="str"/>
      <c r="K1951" s="41" t="str"/>
      <c r="L1951" s="41" t="str"/>
      <c r="M1951" s="41" t="str"/>
      <c r="N1951" s="41" t="str"/>
      <c r="O1951" s="41" t="str"/>
      <c r="P1951" s="41" t="str"/>
      <c r="Q1951" s="41" t="str"/>
      <c r="R1951" s="41" t="str"/>
      <c r="S1951" s="41" t="str"/>
      <c r="T1951" s="41" t="str"/>
      <c r="U1951" s="41" t="str"/>
      <c r="V1951" s="41" t="str"/>
      <c r="W1951" s="41" t="str"/>
    </row>
    <row r="1952">
      <c r="B1952" s="2" t="n"/>
      <c r="C1952" s="40" t="n"/>
      <c r="D1952" s="52">
        <f t="array" ref="D1952:W1952">IF(All_Students_Scores!C1950:V1950="","",All_Students_Scores!C1950:V1950)</f>
        <v/>
      </c>
      <c r="E1952" s="57" t="str"/>
      <c r="F1952" s="49" t="str"/>
      <c r="G1952" s="59" t="str"/>
      <c r="H1952" s="64" t="str"/>
      <c r="I1952" s="65" t="str"/>
      <c r="J1952" s="49" t="str"/>
      <c r="K1952" s="41" t="str"/>
      <c r="L1952" s="41" t="str"/>
      <c r="M1952" s="41" t="str"/>
      <c r="N1952" s="41" t="str"/>
      <c r="O1952" s="41" t="str"/>
      <c r="P1952" s="41" t="str"/>
      <c r="Q1952" s="41" t="str"/>
      <c r="R1952" s="41" t="str"/>
      <c r="S1952" s="41" t="str"/>
      <c r="T1952" s="41" t="str"/>
      <c r="U1952" s="41" t="str"/>
      <c r="V1952" s="41" t="str"/>
      <c r="W1952" s="41" t="str"/>
    </row>
    <row r="1953">
      <c r="B1953" s="2" t="n"/>
      <c r="C1953" s="40" t="n"/>
      <c r="D1953" s="52">
        <f t="array" ref="D1953:W1953">IF(All_Students_Scores!C1951:V1951="","",All_Students_Scores!C1951:V1951)</f>
        <v/>
      </c>
      <c r="E1953" s="57" t="str"/>
      <c r="F1953" s="49" t="str"/>
      <c r="G1953" s="59" t="str"/>
      <c r="H1953" s="64" t="str"/>
      <c r="I1953" s="65" t="str"/>
      <c r="J1953" s="49" t="str"/>
      <c r="K1953" s="41" t="str"/>
      <c r="L1953" s="41" t="str"/>
      <c r="M1953" s="41" t="str"/>
      <c r="N1953" s="41" t="str"/>
      <c r="O1953" s="41" t="str"/>
      <c r="P1953" s="41" t="str"/>
      <c r="Q1953" s="41" t="str"/>
      <c r="R1953" s="41" t="str"/>
      <c r="S1953" s="41" t="str"/>
      <c r="T1953" s="41" t="str"/>
      <c r="U1953" s="41" t="str"/>
      <c r="V1953" s="41" t="str"/>
      <c r="W1953" s="41" t="str"/>
    </row>
    <row r="1954">
      <c r="B1954" s="2" t="n"/>
      <c r="C1954" s="40" t="n"/>
      <c r="D1954" s="52">
        <f t="array" ref="D1954:W1954">IF(All_Students_Scores!C1952:V1952="","",All_Students_Scores!C1952:V1952)</f>
        <v/>
      </c>
      <c r="E1954" s="57" t="str"/>
      <c r="F1954" s="49" t="str"/>
      <c r="G1954" s="59" t="str"/>
      <c r="H1954" s="64" t="str"/>
      <c r="I1954" s="65" t="str"/>
      <c r="J1954" s="49" t="str"/>
      <c r="K1954" s="41" t="str"/>
      <c r="L1954" s="41" t="str"/>
      <c r="M1954" s="41" t="str"/>
      <c r="N1954" s="41" t="str"/>
      <c r="O1954" s="41" t="str"/>
      <c r="P1954" s="41" t="str"/>
      <c r="Q1954" s="41" t="str"/>
      <c r="R1954" s="41" t="str"/>
      <c r="S1954" s="41" t="str"/>
      <c r="T1954" s="41" t="str"/>
      <c r="U1954" s="41" t="str"/>
      <c r="V1954" s="41" t="str"/>
      <c r="W1954" s="41" t="str"/>
    </row>
    <row r="1955">
      <c r="B1955" s="2" t="n"/>
      <c r="C1955" s="40" t="n"/>
      <c r="D1955" s="52">
        <f t="array" ref="D1955:W1955">IF(All_Students_Scores!C1953:V1953="","",All_Students_Scores!C1953:V1953)</f>
        <v/>
      </c>
      <c r="E1955" s="57" t="str"/>
      <c r="F1955" s="49" t="str"/>
      <c r="G1955" s="59" t="str"/>
      <c r="H1955" s="64" t="str"/>
      <c r="I1955" s="65" t="str"/>
      <c r="J1955" s="49" t="str"/>
      <c r="K1955" s="41" t="str"/>
      <c r="L1955" s="41" t="str"/>
      <c r="M1955" s="41" t="str"/>
      <c r="N1955" s="41" t="str"/>
      <c r="O1955" s="41" t="str"/>
      <c r="P1955" s="41" t="str"/>
      <c r="Q1955" s="41" t="str"/>
      <c r="R1955" s="41" t="str"/>
      <c r="S1955" s="41" t="str"/>
      <c r="T1955" s="41" t="str"/>
      <c r="U1955" s="41" t="str"/>
      <c r="V1955" s="41" t="str"/>
      <c r="W1955" s="41" t="str"/>
    </row>
    <row r="1956">
      <c r="B1956" s="2" t="n"/>
      <c r="C1956" s="40" t="n"/>
      <c r="D1956" s="52">
        <f t="array" ref="D1956:W1956">IF(All_Students_Scores!C1954:V1954="","",All_Students_Scores!C1954:V1954)</f>
        <v/>
      </c>
      <c r="E1956" s="57" t="str"/>
      <c r="F1956" s="49" t="str"/>
      <c r="G1956" s="59" t="str"/>
      <c r="H1956" s="64" t="str"/>
      <c r="I1956" s="65" t="str"/>
      <c r="J1956" s="49" t="str"/>
      <c r="K1956" s="41" t="str"/>
      <c r="L1956" s="41" t="str"/>
      <c r="M1956" s="41" t="str"/>
      <c r="N1956" s="41" t="str"/>
      <c r="O1956" s="41" t="str"/>
      <c r="P1956" s="41" t="str"/>
      <c r="Q1956" s="41" t="str"/>
      <c r="R1956" s="41" t="str"/>
      <c r="S1956" s="41" t="str"/>
      <c r="T1956" s="41" t="str"/>
      <c r="U1956" s="41" t="str"/>
      <c r="V1956" s="41" t="str"/>
      <c r="W1956" s="41" t="str"/>
    </row>
    <row r="1957">
      <c r="B1957" s="2" t="n"/>
      <c r="C1957" s="40" t="n"/>
      <c r="D1957" s="52">
        <f t="array" ref="D1957:W1957">IF(All_Students_Scores!C1955:V1955="","",All_Students_Scores!C1955:V1955)</f>
        <v/>
      </c>
      <c r="E1957" s="57" t="str"/>
      <c r="F1957" s="49" t="str"/>
      <c r="G1957" s="59" t="str"/>
      <c r="H1957" s="64" t="str"/>
      <c r="I1957" s="65" t="str"/>
      <c r="J1957" s="49" t="str"/>
      <c r="K1957" s="41" t="str"/>
      <c r="L1957" s="41" t="str"/>
      <c r="M1957" s="41" t="str"/>
      <c r="N1957" s="41" t="str"/>
      <c r="O1957" s="41" t="str"/>
      <c r="P1957" s="41" t="str"/>
      <c r="Q1957" s="41" t="str"/>
      <c r="R1957" s="41" t="str"/>
      <c r="S1957" s="41" t="str"/>
      <c r="T1957" s="41" t="str"/>
      <c r="U1957" s="41" t="str"/>
      <c r="V1957" s="41" t="str"/>
      <c r="W1957" s="41" t="str"/>
    </row>
    <row r="1958">
      <c r="B1958" s="2" t="n"/>
      <c r="C1958" s="40" t="n"/>
      <c r="D1958" s="52">
        <f t="array" ref="D1958:W1958">IF(All_Students_Scores!C1956:V1956="","",All_Students_Scores!C1956:V1956)</f>
        <v/>
      </c>
      <c r="E1958" s="57" t="str"/>
      <c r="F1958" s="49" t="str"/>
      <c r="G1958" s="59" t="str"/>
      <c r="H1958" s="64" t="str"/>
      <c r="I1958" s="65" t="str"/>
      <c r="J1958" s="49" t="str"/>
      <c r="K1958" s="41" t="str"/>
      <c r="L1958" s="41" t="str"/>
      <c r="M1958" s="41" t="str"/>
      <c r="N1958" s="41" t="str"/>
      <c r="O1958" s="41" t="str"/>
      <c r="P1958" s="41" t="str"/>
      <c r="Q1958" s="41" t="str"/>
      <c r="R1958" s="41" t="str"/>
      <c r="S1958" s="41" t="str"/>
      <c r="T1958" s="41" t="str"/>
      <c r="U1958" s="41" t="str"/>
      <c r="V1958" s="41" t="str"/>
      <c r="W1958" s="41" t="str"/>
    </row>
    <row r="1959">
      <c r="B1959" s="2" t="n"/>
      <c r="C1959" s="40" t="n"/>
      <c r="D1959" s="52">
        <f t="array" ref="D1959:W1959">IF(All_Students_Scores!C1957:V1957="","",All_Students_Scores!C1957:V1957)</f>
        <v/>
      </c>
      <c r="E1959" s="57" t="str"/>
      <c r="F1959" s="49" t="str"/>
      <c r="G1959" s="59" t="str"/>
      <c r="H1959" s="64" t="str"/>
      <c r="I1959" s="65" t="str"/>
      <c r="J1959" s="49" t="str"/>
      <c r="K1959" s="41" t="str"/>
      <c r="L1959" s="41" t="str"/>
      <c r="M1959" s="41" t="str"/>
      <c r="N1959" s="41" t="str"/>
      <c r="O1959" s="41" t="str"/>
      <c r="P1959" s="41" t="str"/>
      <c r="Q1959" s="41" t="str"/>
      <c r="R1959" s="41" t="str"/>
      <c r="S1959" s="41" t="str"/>
      <c r="T1959" s="41" t="str"/>
      <c r="U1959" s="41" t="str"/>
      <c r="V1959" s="41" t="str"/>
      <c r="W1959" s="41" t="str"/>
    </row>
    <row r="1960">
      <c r="B1960" s="2" t="n"/>
      <c r="C1960" s="40" t="n"/>
      <c r="D1960" s="52">
        <f t="array" ref="D1960:W1960">IF(All_Students_Scores!C1958:V1958="","",All_Students_Scores!C1958:V1958)</f>
        <v/>
      </c>
      <c r="E1960" s="57" t="str"/>
      <c r="F1960" s="49" t="str"/>
      <c r="G1960" s="59" t="str"/>
      <c r="H1960" s="64" t="str"/>
      <c r="I1960" s="65" t="str"/>
      <c r="J1960" s="49" t="str"/>
      <c r="K1960" s="41" t="str"/>
      <c r="L1960" s="41" t="str"/>
      <c r="M1960" s="41" t="str"/>
      <c r="N1960" s="41" t="str"/>
      <c r="O1960" s="41" t="str"/>
      <c r="P1960" s="41" t="str"/>
      <c r="Q1960" s="41" t="str"/>
      <c r="R1960" s="41" t="str"/>
      <c r="S1960" s="41" t="str"/>
      <c r="T1960" s="41" t="str"/>
      <c r="U1960" s="41" t="str"/>
      <c r="V1960" s="41" t="str"/>
      <c r="W1960" s="41" t="str"/>
    </row>
    <row r="1961">
      <c r="B1961" s="2" t="n"/>
      <c r="C1961" s="40" t="n"/>
      <c r="D1961" s="52">
        <f t="array" ref="D1961:W1961">IF(All_Students_Scores!C1959:V1959="","",All_Students_Scores!C1959:V1959)</f>
        <v/>
      </c>
      <c r="E1961" s="57" t="str"/>
      <c r="F1961" s="49" t="str"/>
      <c r="G1961" s="59" t="str"/>
      <c r="H1961" s="64" t="str"/>
      <c r="I1961" s="65" t="str"/>
      <c r="J1961" s="49" t="str"/>
      <c r="K1961" s="41" t="str"/>
      <c r="L1961" s="41" t="str"/>
      <c r="M1961" s="41" t="str"/>
      <c r="N1961" s="41" t="str"/>
      <c r="O1961" s="41" t="str"/>
      <c r="P1961" s="41" t="str"/>
      <c r="Q1961" s="41" t="str"/>
      <c r="R1961" s="41" t="str"/>
      <c r="S1961" s="41" t="str"/>
      <c r="T1961" s="41" t="str"/>
      <c r="U1961" s="41" t="str"/>
      <c r="V1961" s="41" t="str"/>
      <c r="W1961" s="41" t="str"/>
    </row>
    <row r="1962">
      <c r="B1962" s="2" t="n"/>
      <c r="C1962" s="40" t="n"/>
      <c r="D1962" s="52">
        <f t="array" ref="D1962:W1962">IF(All_Students_Scores!C1960:V1960="","",All_Students_Scores!C1960:V1960)</f>
        <v/>
      </c>
      <c r="E1962" s="57" t="str"/>
      <c r="F1962" s="49" t="str"/>
      <c r="G1962" s="59" t="str"/>
      <c r="H1962" s="64" t="str"/>
      <c r="I1962" s="65" t="str"/>
      <c r="J1962" s="49" t="str"/>
      <c r="K1962" s="41" t="str"/>
      <c r="L1962" s="41" t="str"/>
      <c r="M1962" s="41" t="str"/>
      <c r="N1962" s="41" t="str"/>
      <c r="O1962" s="41" t="str"/>
      <c r="P1962" s="41" t="str"/>
      <c r="Q1962" s="41" t="str"/>
      <c r="R1962" s="41" t="str"/>
      <c r="S1962" s="41" t="str"/>
      <c r="T1962" s="41" t="str"/>
      <c r="U1962" s="41" t="str"/>
      <c r="V1962" s="41" t="str"/>
      <c r="W1962" s="41" t="str"/>
    </row>
    <row r="1963">
      <c r="B1963" s="2" t="n"/>
      <c r="C1963" s="40" t="n"/>
      <c r="D1963" s="52">
        <f t="array" ref="D1963:W1963">IF(All_Students_Scores!C1961:V1961="","",All_Students_Scores!C1961:V1961)</f>
        <v/>
      </c>
      <c r="E1963" s="57" t="str"/>
      <c r="F1963" s="49" t="str"/>
      <c r="G1963" s="59" t="str"/>
      <c r="H1963" s="64" t="str"/>
      <c r="I1963" s="65" t="str"/>
      <c r="J1963" s="49" t="str"/>
      <c r="K1963" s="41" t="str"/>
      <c r="L1963" s="41" t="str"/>
      <c r="M1963" s="41" t="str"/>
      <c r="N1963" s="41" t="str"/>
      <c r="O1963" s="41" t="str"/>
      <c r="P1963" s="41" t="str"/>
      <c r="Q1963" s="41" t="str"/>
      <c r="R1963" s="41" t="str"/>
      <c r="S1963" s="41" t="str"/>
      <c r="T1963" s="41" t="str"/>
      <c r="U1963" s="41" t="str"/>
      <c r="V1963" s="41" t="str"/>
      <c r="W1963" s="41" t="str"/>
    </row>
    <row r="1964">
      <c r="B1964" s="2" t="n"/>
      <c r="C1964" s="40" t="n"/>
      <c r="D1964" s="52">
        <f t="array" ref="D1964:W1964">IF(All_Students_Scores!C1962:V1962="","",All_Students_Scores!C1962:V1962)</f>
        <v/>
      </c>
      <c r="E1964" s="57" t="str"/>
      <c r="F1964" s="49" t="str"/>
      <c r="G1964" s="59" t="str"/>
      <c r="H1964" s="64" t="str"/>
      <c r="I1964" s="65" t="str"/>
      <c r="J1964" s="49" t="str"/>
      <c r="K1964" s="41" t="str"/>
      <c r="L1964" s="41" t="str"/>
      <c r="M1964" s="41" t="str"/>
      <c r="N1964" s="41" t="str"/>
      <c r="O1964" s="41" t="str"/>
      <c r="P1964" s="41" t="str"/>
      <c r="Q1964" s="41" t="str"/>
      <c r="R1964" s="41" t="str"/>
      <c r="S1964" s="41" t="str"/>
      <c r="T1964" s="41" t="str"/>
      <c r="U1964" s="41" t="str"/>
      <c r="V1964" s="41" t="str"/>
      <c r="W1964" s="41" t="str"/>
    </row>
    <row r="1965">
      <c r="B1965" s="2" t="n"/>
      <c r="C1965" s="40" t="n"/>
      <c r="D1965" s="52">
        <f t="array" ref="D1965:W1965">IF(All_Students_Scores!C1963:V1963="","",All_Students_Scores!C1963:V1963)</f>
        <v/>
      </c>
      <c r="E1965" s="57" t="str"/>
      <c r="F1965" s="49" t="str"/>
      <c r="G1965" s="59" t="str"/>
      <c r="H1965" s="64" t="str"/>
      <c r="I1965" s="65" t="str"/>
      <c r="J1965" s="49" t="str"/>
      <c r="K1965" s="41" t="str"/>
      <c r="L1965" s="41" t="str"/>
      <c r="M1965" s="41" t="str"/>
      <c r="N1965" s="41" t="str"/>
      <c r="O1965" s="41" t="str"/>
      <c r="P1965" s="41" t="str"/>
      <c r="Q1965" s="41" t="str"/>
      <c r="R1965" s="41" t="str"/>
      <c r="S1965" s="41" t="str"/>
      <c r="T1965" s="41" t="str"/>
      <c r="U1965" s="41" t="str"/>
      <c r="V1965" s="41" t="str"/>
      <c r="W1965" s="41" t="str"/>
    </row>
    <row r="1966">
      <c r="B1966" s="2" t="n"/>
      <c r="C1966" s="40" t="n"/>
      <c r="D1966" s="52">
        <f t="array" ref="D1966:W1966">IF(All_Students_Scores!C1964:V1964="","",All_Students_Scores!C1964:V1964)</f>
        <v/>
      </c>
      <c r="E1966" s="57" t="str"/>
      <c r="F1966" s="49" t="str"/>
      <c r="G1966" s="59" t="str"/>
      <c r="H1966" s="64" t="str"/>
      <c r="I1966" s="65" t="str"/>
      <c r="J1966" s="49" t="str"/>
      <c r="K1966" s="41" t="str"/>
      <c r="L1966" s="41" t="str"/>
      <c r="M1966" s="41" t="str"/>
      <c r="N1966" s="41" t="str"/>
      <c r="O1966" s="41" t="str"/>
      <c r="P1966" s="41" t="str"/>
      <c r="Q1966" s="41" t="str"/>
      <c r="R1966" s="41" t="str"/>
      <c r="S1966" s="41" t="str"/>
      <c r="T1966" s="41" t="str"/>
      <c r="U1966" s="41" t="str"/>
      <c r="V1966" s="41" t="str"/>
      <c r="W1966" s="41" t="str"/>
    </row>
    <row r="1967">
      <c r="B1967" s="2" t="n"/>
      <c r="C1967" s="40" t="n"/>
      <c r="D1967" s="52">
        <f t="array" ref="D1967:W1967">IF(All_Students_Scores!C1965:V1965="","",All_Students_Scores!C1965:V1965)</f>
        <v/>
      </c>
      <c r="E1967" s="57" t="str"/>
      <c r="F1967" s="49" t="str"/>
      <c r="G1967" s="59" t="str"/>
      <c r="H1967" s="64" t="str"/>
      <c r="I1967" s="65" t="str"/>
      <c r="J1967" s="49" t="str"/>
      <c r="K1967" s="41" t="str"/>
      <c r="L1967" s="41" t="str"/>
      <c r="M1967" s="41" t="str"/>
      <c r="N1967" s="41" t="str"/>
      <c r="O1967" s="41" t="str"/>
      <c r="P1967" s="41" t="str"/>
      <c r="Q1967" s="41" t="str"/>
      <c r="R1967" s="41" t="str"/>
      <c r="S1967" s="41" t="str"/>
      <c r="T1967" s="41" t="str"/>
      <c r="U1967" s="41" t="str"/>
      <c r="V1967" s="41" t="str"/>
      <c r="W1967" s="41" t="str"/>
    </row>
    <row r="1968">
      <c r="B1968" s="2" t="n"/>
      <c r="C1968" s="40" t="n"/>
      <c r="D1968" s="52">
        <f t="array" ref="D1968:W1968">IF(All_Students_Scores!C1966:V1966="","",All_Students_Scores!C1966:V1966)</f>
        <v/>
      </c>
      <c r="E1968" s="57" t="str"/>
      <c r="F1968" s="49" t="str"/>
      <c r="G1968" s="59" t="str"/>
      <c r="H1968" s="64" t="str"/>
      <c r="I1968" s="65" t="str"/>
      <c r="J1968" s="49" t="str"/>
      <c r="K1968" s="41" t="str"/>
      <c r="L1968" s="41" t="str"/>
      <c r="M1968" s="41" t="str"/>
      <c r="N1968" s="41" t="str"/>
      <c r="O1968" s="41" t="str"/>
      <c r="P1968" s="41" t="str"/>
      <c r="Q1968" s="41" t="str"/>
      <c r="R1968" s="41" t="str"/>
      <c r="S1968" s="41" t="str"/>
      <c r="T1968" s="41" t="str"/>
      <c r="U1968" s="41" t="str"/>
      <c r="V1968" s="41" t="str"/>
      <c r="W1968" s="41" t="str"/>
    </row>
    <row r="1969">
      <c r="B1969" s="2" t="n"/>
      <c r="C1969" s="40" t="n"/>
      <c r="D1969" s="52">
        <f t="array" ref="D1969:W1969">IF(All_Students_Scores!C1967:V1967="","",All_Students_Scores!C1967:V1967)</f>
        <v/>
      </c>
      <c r="E1969" s="57" t="str"/>
      <c r="F1969" s="49" t="str"/>
      <c r="G1969" s="59" t="str"/>
      <c r="H1969" s="64" t="str"/>
      <c r="I1969" s="65" t="str"/>
      <c r="J1969" s="49" t="str"/>
      <c r="K1969" s="41" t="str"/>
      <c r="L1969" s="41" t="str"/>
      <c r="M1969" s="41" t="str"/>
      <c r="N1969" s="41" t="str"/>
      <c r="O1969" s="41" t="str"/>
      <c r="P1969" s="41" t="str"/>
      <c r="Q1969" s="41" t="str"/>
      <c r="R1969" s="41" t="str"/>
      <c r="S1969" s="41" t="str"/>
      <c r="T1969" s="41" t="str"/>
      <c r="U1969" s="41" t="str"/>
      <c r="V1969" s="41" t="str"/>
      <c r="W1969" s="41" t="str"/>
    </row>
    <row r="1970">
      <c r="B1970" s="2" t="n"/>
      <c r="C1970" s="40" t="n"/>
      <c r="D1970" s="52">
        <f t="array" ref="D1970:W1970">IF(All_Students_Scores!C1968:V1968="","",All_Students_Scores!C1968:V1968)</f>
        <v/>
      </c>
      <c r="E1970" s="57" t="str"/>
      <c r="F1970" s="49" t="str"/>
      <c r="G1970" s="59" t="str"/>
      <c r="H1970" s="64" t="str"/>
      <c r="I1970" s="65" t="str"/>
      <c r="J1970" s="49" t="str"/>
      <c r="K1970" s="41" t="str"/>
      <c r="L1970" s="41" t="str"/>
      <c r="M1970" s="41" t="str"/>
      <c r="N1970" s="41" t="str"/>
      <c r="O1970" s="41" t="str"/>
      <c r="P1970" s="41" t="str"/>
      <c r="Q1970" s="41" t="str"/>
      <c r="R1970" s="41" t="str"/>
      <c r="S1970" s="41" t="str"/>
      <c r="T1970" s="41" t="str"/>
      <c r="U1970" s="41" t="str"/>
      <c r="V1970" s="41" t="str"/>
      <c r="W1970" s="41" t="str"/>
    </row>
    <row r="1971">
      <c r="B1971" s="2" t="n"/>
      <c r="C1971" s="40" t="n"/>
      <c r="D1971" s="52">
        <f t="array" ref="D1971:W1971">IF(All_Students_Scores!C1969:V1969="","",All_Students_Scores!C1969:V1969)</f>
        <v/>
      </c>
      <c r="E1971" s="57" t="str"/>
      <c r="F1971" s="49" t="str"/>
      <c r="G1971" s="59" t="str"/>
      <c r="H1971" s="64" t="str"/>
      <c r="I1971" s="65" t="str"/>
      <c r="J1971" s="49" t="str"/>
      <c r="K1971" s="41" t="str"/>
      <c r="L1971" s="41" t="str"/>
      <c r="M1971" s="41" t="str"/>
      <c r="N1971" s="41" t="str"/>
      <c r="O1971" s="41" t="str"/>
      <c r="P1971" s="41" t="str"/>
      <c r="Q1971" s="41" t="str"/>
      <c r="R1971" s="41" t="str"/>
      <c r="S1971" s="41" t="str"/>
      <c r="T1971" s="41" t="str"/>
      <c r="U1971" s="41" t="str"/>
      <c r="V1971" s="41" t="str"/>
      <c r="W1971" s="41" t="str"/>
    </row>
    <row r="1972">
      <c r="B1972" s="2" t="n"/>
      <c r="C1972" s="40" t="n"/>
      <c r="D1972" s="52">
        <f t="array" ref="D1972:W1972">IF(All_Students_Scores!C1970:V1970="","",All_Students_Scores!C1970:V1970)</f>
        <v/>
      </c>
      <c r="E1972" s="57" t="str"/>
      <c r="F1972" s="49" t="str"/>
      <c r="G1972" s="59" t="str"/>
      <c r="H1972" s="64" t="str"/>
      <c r="I1972" s="65" t="str"/>
      <c r="J1972" s="49" t="str"/>
      <c r="K1972" s="41" t="str"/>
      <c r="L1972" s="41" t="str"/>
      <c r="M1972" s="41" t="str"/>
      <c r="N1972" s="41" t="str"/>
      <c r="O1972" s="41" t="str"/>
      <c r="P1972" s="41" t="str"/>
      <c r="Q1972" s="41" t="str"/>
      <c r="R1972" s="41" t="str"/>
      <c r="S1972" s="41" t="str"/>
      <c r="T1972" s="41" t="str"/>
      <c r="U1972" s="41" t="str"/>
      <c r="V1972" s="41" t="str"/>
      <c r="W1972" s="41" t="str"/>
    </row>
    <row r="1973">
      <c r="B1973" s="2" t="n"/>
      <c r="C1973" s="40" t="n"/>
      <c r="D1973" s="52">
        <f t="array" ref="D1973:W1973">IF(All_Students_Scores!C1971:V1971="","",All_Students_Scores!C1971:V1971)</f>
        <v/>
      </c>
      <c r="E1973" s="57" t="str"/>
      <c r="F1973" s="49" t="str"/>
      <c r="G1973" s="59" t="str"/>
      <c r="H1973" s="64" t="str"/>
      <c r="I1973" s="65" t="str"/>
      <c r="J1973" s="49" t="str"/>
      <c r="K1973" s="41" t="str"/>
      <c r="L1973" s="41" t="str"/>
      <c r="M1973" s="41" t="str"/>
      <c r="N1973" s="41" t="str"/>
      <c r="O1973" s="41" t="str"/>
      <c r="P1973" s="41" t="str"/>
      <c r="Q1973" s="41" t="str"/>
      <c r="R1973" s="41" t="str"/>
      <c r="S1973" s="41" t="str"/>
      <c r="T1973" s="41" t="str"/>
      <c r="U1973" s="41" t="str"/>
      <c r="V1973" s="41" t="str"/>
      <c r="W1973" s="41" t="str"/>
    </row>
    <row r="1974">
      <c r="B1974" s="2" t="n"/>
      <c r="C1974" s="40" t="n"/>
      <c r="D1974" s="52">
        <f t="array" ref="D1974:W1974">IF(All_Students_Scores!C1972:V1972="","",All_Students_Scores!C1972:V1972)</f>
        <v/>
      </c>
      <c r="E1974" s="57" t="str"/>
      <c r="F1974" s="49" t="str"/>
      <c r="G1974" s="59" t="str"/>
      <c r="H1974" s="64" t="str"/>
      <c r="I1974" s="65" t="str"/>
      <c r="J1974" s="49" t="str"/>
      <c r="K1974" s="41" t="str"/>
      <c r="L1974" s="41" t="str"/>
      <c r="M1974" s="41" t="str"/>
      <c r="N1974" s="41" t="str"/>
      <c r="O1974" s="41" t="str"/>
      <c r="P1974" s="41" t="str"/>
      <c r="Q1974" s="41" t="str"/>
      <c r="R1974" s="41" t="str"/>
      <c r="S1974" s="41" t="str"/>
      <c r="T1974" s="41" t="str"/>
      <c r="U1974" s="41" t="str"/>
      <c r="V1974" s="41" t="str"/>
      <c r="W1974" s="41" t="str"/>
    </row>
    <row r="1975">
      <c r="B1975" s="2" t="n"/>
      <c r="C1975" s="40" t="n"/>
      <c r="D1975" s="52">
        <f t="array" ref="D1975:W1975">IF(All_Students_Scores!C1973:V1973="","",All_Students_Scores!C1973:V1973)</f>
        <v/>
      </c>
      <c r="E1975" s="57" t="str"/>
      <c r="F1975" s="49" t="str"/>
      <c r="G1975" s="59" t="str"/>
      <c r="H1975" s="64" t="str"/>
      <c r="I1975" s="65" t="str"/>
      <c r="J1975" s="49" t="str"/>
      <c r="K1975" s="41" t="str"/>
      <c r="L1975" s="41" t="str"/>
      <c r="M1975" s="41" t="str"/>
      <c r="N1975" s="41" t="str"/>
      <c r="O1975" s="41" t="str"/>
      <c r="P1975" s="41" t="str"/>
      <c r="Q1975" s="41" t="str"/>
      <c r="R1975" s="41" t="str"/>
      <c r="S1975" s="41" t="str"/>
      <c r="T1975" s="41" t="str"/>
      <c r="U1975" s="41" t="str"/>
      <c r="V1975" s="41" t="str"/>
      <c r="W1975" s="41" t="str"/>
    </row>
    <row r="1976">
      <c r="B1976" s="2" t="n"/>
      <c r="C1976" s="40" t="n"/>
      <c r="D1976" s="52">
        <f t="array" ref="D1976:W1976">IF(All_Students_Scores!C1974:V1974="","",All_Students_Scores!C1974:V1974)</f>
        <v/>
      </c>
      <c r="E1976" s="57" t="str"/>
      <c r="F1976" s="49" t="str"/>
      <c r="G1976" s="59" t="str"/>
      <c r="H1976" s="64" t="str"/>
      <c r="I1976" s="65" t="str"/>
      <c r="J1976" s="49" t="str"/>
      <c r="K1976" s="41" t="str"/>
      <c r="L1976" s="41" t="str"/>
      <c r="M1976" s="41" t="str"/>
      <c r="N1976" s="41" t="str"/>
      <c r="O1976" s="41" t="str"/>
      <c r="P1976" s="41" t="str"/>
      <c r="Q1976" s="41" t="str"/>
      <c r="R1976" s="41" t="str"/>
      <c r="S1976" s="41" t="str"/>
      <c r="T1976" s="41" t="str"/>
      <c r="U1976" s="41" t="str"/>
      <c r="V1976" s="41" t="str"/>
      <c r="W1976" s="41" t="str"/>
    </row>
    <row r="1977">
      <c r="B1977" s="2" t="n"/>
      <c r="C1977" s="40" t="n"/>
      <c r="D1977" s="52">
        <f t="array" ref="D1977:W1977">IF(All_Students_Scores!C1975:V1975="","",All_Students_Scores!C1975:V1975)</f>
        <v/>
      </c>
      <c r="E1977" s="57" t="str"/>
      <c r="F1977" s="49" t="str"/>
      <c r="G1977" s="59" t="str"/>
      <c r="H1977" s="64" t="str"/>
      <c r="I1977" s="65" t="str"/>
      <c r="J1977" s="49" t="str"/>
      <c r="K1977" s="41" t="str"/>
      <c r="L1977" s="41" t="str"/>
      <c r="M1977" s="41" t="str"/>
      <c r="N1977" s="41" t="str"/>
      <c r="O1977" s="41" t="str"/>
      <c r="P1977" s="41" t="str"/>
      <c r="Q1977" s="41" t="str"/>
      <c r="R1977" s="41" t="str"/>
      <c r="S1977" s="41" t="str"/>
      <c r="T1977" s="41" t="str"/>
      <c r="U1977" s="41" t="str"/>
      <c r="V1977" s="41" t="str"/>
      <c r="W1977" s="41" t="str"/>
    </row>
    <row r="1978">
      <c r="B1978" s="2" t="n"/>
      <c r="C1978" s="40" t="n"/>
      <c r="D1978" s="52">
        <f t="array" ref="D1978:W1978">IF(All_Students_Scores!C1976:V1976="","",All_Students_Scores!C1976:V1976)</f>
        <v/>
      </c>
      <c r="E1978" s="57" t="str"/>
      <c r="F1978" s="49" t="str"/>
      <c r="G1978" s="59" t="str"/>
      <c r="H1978" s="64" t="str"/>
      <c r="I1978" s="65" t="str"/>
      <c r="J1978" s="49" t="str"/>
      <c r="K1978" s="41" t="str"/>
      <c r="L1978" s="41" t="str"/>
      <c r="M1978" s="41" t="str"/>
      <c r="N1978" s="41" t="str"/>
      <c r="O1978" s="41" t="str"/>
      <c r="P1978" s="41" t="str"/>
      <c r="Q1978" s="41" t="str"/>
      <c r="R1978" s="41" t="str"/>
      <c r="S1978" s="41" t="str"/>
      <c r="T1978" s="41" t="str"/>
      <c r="U1978" s="41" t="str"/>
      <c r="V1978" s="41" t="str"/>
      <c r="W1978" s="41" t="str"/>
    </row>
    <row r="1979">
      <c r="B1979" s="2" t="n"/>
      <c r="C1979" s="40" t="n"/>
      <c r="D1979" s="52">
        <f t="array" ref="D1979:W1979">IF(All_Students_Scores!C1977:V1977="","",All_Students_Scores!C1977:V1977)</f>
        <v/>
      </c>
      <c r="E1979" s="57" t="str"/>
      <c r="F1979" s="49" t="str"/>
      <c r="G1979" s="59" t="str"/>
      <c r="H1979" s="64" t="str"/>
      <c r="I1979" s="65" t="str"/>
      <c r="J1979" s="49" t="str"/>
      <c r="K1979" s="41" t="str"/>
      <c r="L1979" s="41" t="str"/>
      <c r="M1979" s="41" t="str"/>
      <c r="N1979" s="41" t="str"/>
      <c r="O1979" s="41" t="str"/>
      <c r="P1979" s="41" t="str"/>
      <c r="Q1979" s="41" t="str"/>
      <c r="R1979" s="41" t="str"/>
      <c r="S1979" s="41" t="str"/>
      <c r="T1979" s="41" t="str"/>
      <c r="U1979" s="41" t="str"/>
      <c r="V1979" s="41" t="str"/>
      <c r="W1979" s="41" t="str"/>
    </row>
    <row r="1980">
      <c r="B1980" s="2" t="n"/>
      <c r="C1980" s="40" t="n"/>
      <c r="D1980" s="52">
        <f t="array" ref="D1980:W1980">IF(All_Students_Scores!C1978:V1978="","",All_Students_Scores!C1978:V1978)</f>
        <v/>
      </c>
      <c r="E1980" s="57" t="str"/>
      <c r="F1980" s="49" t="str"/>
      <c r="G1980" s="59" t="str"/>
      <c r="H1980" s="64" t="str"/>
      <c r="I1980" s="65" t="str"/>
      <c r="J1980" s="49" t="str"/>
      <c r="K1980" s="41" t="str"/>
      <c r="L1980" s="41" t="str"/>
      <c r="M1980" s="41" t="str"/>
      <c r="N1980" s="41" t="str"/>
      <c r="O1980" s="41" t="str"/>
      <c r="P1980" s="41" t="str"/>
      <c r="Q1980" s="41" t="str"/>
      <c r="R1980" s="41" t="str"/>
      <c r="S1980" s="41" t="str"/>
      <c r="T1980" s="41" t="str"/>
      <c r="U1980" s="41" t="str"/>
      <c r="V1980" s="41" t="str"/>
      <c r="W1980" s="41" t="str"/>
    </row>
    <row r="1981">
      <c r="B1981" s="2" t="n"/>
      <c r="C1981" s="40" t="n"/>
      <c r="D1981" s="52">
        <f t="array" ref="D1981:W1981">IF(All_Students_Scores!C1979:V1979="","",All_Students_Scores!C1979:V1979)</f>
        <v/>
      </c>
      <c r="E1981" s="57" t="str"/>
      <c r="F1981" s="49" t="str"/>
      <c r="G1981" s="59" t="str"/>
      <c r="H1981" s="64" t="str"/>
      <c r="I1981" s="65" t="str"/>
      <c r="J1981" s="49" t="str"/>
      <c r="K1981" s="41" t="str"/>
      <c r="L1981" s="41" t="str"/>
      <c r="M1981" s="41" t="str"/>
      <c r="N1981" s="41" t="str"/>
      <c r="O1981" s="41" t="str"/>
      <c r="P1981" s="41" t="str"/>
      <c r="Q1981" s="41" t="str"/>
      <c r="R1981" s="41" t="str"/>
      <c r="S1981" s="41" t="str"/>
      <c r="T1981" s="41" t="str"/>
      <c r="U1981" s="41" t="str"/>
      <c r="V1981" s="41" t="str"/>
      <c r="W1981" s="41" t="str"/>
    </row>
    <row r="1982">
      <c r="B1982" s="2" t="n"/>
      <c r="C1982" s="40" t="n"/>
      <c r="D1982" s="52">
        <f t="array" ref="D1982:W1982">IF(All_Students_Scores!C1980:V1980="","",All_Students_Scores!C1980:V1980)</f>
        <v/>
      </c>
      <c r="E1982" s="57" t="str"/>
      <c r="F1982" s="49" t="str"/>
      <c r="G1982" s="59" t="str"/>
      <c r="H1982" s="64" t="str"/>
      <c r="I1982" s="65" t="str"/>
      <c r="J1982" s="49" t="str"/>
      <c r="K1982" s="41" t="str"/>
      <c r="L1982" s="41" t="str"/>
      <c r="M1982" s="41" t="str"/>
      <c r="N1982" s="41" t="str"/>
      <c r="O1982" s="41" t="str"/>
      <c r="P1982" s="41" t="str"/>
      <c r="Q1982" s="41" t="str"/>
      <c r="R1982" s="41" t="str"/>
      <c r="S1982" s="41" t="str"/>
      <c r="T1982" s="41" t="str"/>
      <c r="U1982" s="41" t="str"/>
      <c r="V1982" s="41" t="str"/>
      <c r="W1982" s="41" t="str"/>
    </row>
    <row r="1983">
      <c r="B1983" s="2" t="n"/>
      <c r="C1983" s="40" t="n"/>
      <c r="D1983" s="52">
        <f t="array" ref="D1983:W1983">IF(All_Students_Scores!C1981:V1981="","",All_Students_Scores!C1981:V1981)</f>
        <v/>
      </c>
      <c r="E1983" s="57" t="str"/>
      <c r="F1983" s="49" t="str"/>
      <c r="G1983" s="59" t="str"/>
      <c r="H1983" s="64" t="str"/>
      <c r="I1983" s="65" t="str"/>
      <c r="J1983" s="49" t="str"/>
      <c r="K1983" s="41" t="str"/>
      <c r="L1983" s="41" t="str"/>
      <c r="M1983" s="41" t="str"/>
      <c r="N1983" s="41" t="str"/>
      <c r="O1983" s="41" t="str"/>
      <c r="P1983" s="41" t="str"/>
      <c r="Q1983" s="41" t="str"/>
      <c r="R1983" s="41" t="str"/>
      <c r="S1983" s="41" t="str"/>
      <c r="T1983" s="41" t="str"/>
      <c r="U1983" s="41" t="str"/>
      <c r="V1983" s="41" t="str"/>
      <c r="W1983" s="41" t="str"/>
    </row>
    <row r="1984">
      <c r="B1984" s="2" t="n"/>
      <c r="C1984" s="40" t="n"/>
      <c r="D1984" s="52">
        <f t="array" ref="D1984:W1984">IF(All_Students_Scores!C1982:V1982="","",All_Students_Scores!C1982:V1982)</f>
        <v/>
      </c>
      <c r="E1984" s="57" t="str"/>
      <c r="F1984" s="49" t="str"/>
      <c r="G1984" s="59" t="str"/>
      <c r="H1984" s="64" t="str"/>
      <c r="I1984" s="65" t="str"/>
      <c r="J1984" s="49" t="str"/>
      <c r="K1984" s="41" t="str"/>
      <c r="L1984" s="41" t="str"/>
      <c r="M1984" s="41" t="str"/>
      <c r="N1984" s="41" t="str"/>
      <c r="O1984" s="41" t="str"/>
      <c r="P1984" s="41" t="str"/>
      <c r="Q1984" s="41" t="str"/>
      <c r="R1984" s="41" t="str"/>
      <c r="S1984" s="41" t="str"/>
      <c r="T1984" s="41" t="str"/>
      <c r="U1984" s="41" t="str"/>
      <c r="V1984" s="41" t="str"/>
      <c r="W1984" s="41" t="str"/>
    </row>
    <row r="1985">
      <c r="B1985" s="2" t="n"/>
      <c r="C1985" s="40" t="n"/>
      <c r="D1985" s="52">
        <f t="array" ref="D1985:W1985">IF(All_Students_Scores!C1983:V1983="","",All_Students_Scores!C1983:V1983)</f>
        <v/>
      </c>
      <c r="E1985" s="57" t="str"/>
      <c r="F1985" s="49" t="str"/>
      <c r="G1985" s="59" t="str"/>
      <c r="H1985" s="64" t="str"/>
      <c r="I1985" s="65" t="str"/>
      <c r="J1985" s="49" t="str"/>
      <c r="K1985" s="41" t="str"/>
      <c r="L1985" s="41" t="str"/>
      <c r="M1985" s="41" t="str"/>
      <c r="N1985" s="41" t="str"/>
      <c r="O1985" s="41" t="str"/>
      <c r="P1985" s="41" t="str"/>
      <c r="Q1985" s="41" t="str"/>
      <c r="R1985" s="41" t="str"/>
      <c r="S1985" s="41" t="str"/>
      <c r="T1985" s="41" t="str"/>
      <c r="U1985" s="41" t="str"/>
      <c r="V1985" s="41" t="str"/>
      <c r="W1985" s="41" t="str"/>
    </row>
    <row r="1986">
      <c r="B1986" s="2" t="n"/>
      <c r="C1986" s="40" t="n"/>
      <c r="D1986" s="52">
        <f t="array" ref="D1986:W1986">IF(All_Students_Scores!C1984:V1984="","",All_Students_Scores!C1984:V1984)</f>
        <v/>
      </c>
      <c r="E1986" s="57" t="str"/>
      <c r="F1986" s="49" t="str"/>
      <c r="G1986" s="59" t="str"/>
      <c r="H1986" s="64" t="str"/>
      <c r="I1986" s="65" t="str"/>
      <c r="J1986" s="49" t="str"/>
      <c r="K1986" s="41" t="str"/>
      <c r="L1986" s="41" t="str"/>
      <c r="M1986" s="41" t="str"/>
      <c r="N1986" s="41" t="str"/>
      <c r="O1986" s="41" t="str"/>
      <c r="P1986" s="41" t="str"/>
      <c r="Q1986" s="41" t="str"/>
      <c r="R1986" s="41" t="str"/>
      <c r="S1986" s="41" t="str"/>
      <c r="T1986" s="41" t="str"/>
      <c r="U1986" s="41" t="str"/>
      <c r="V1986" s="41" t="str"/>
      <c r="W1986" s="41" t="str"/>
    </row>
    <row r="1987">
      <c r="B1987" s="2" t="n"/>
      <c r="C1987" s="40" t="n"/>
      <c r="D1987" s="52">
        <f t="array" ref="D1987:W1987">IF(All_Students_Scores!C1985:V1985="","",All_Students_Scores!C1985:V1985)</f>
        <v/>
      </c>
      <c r="E1987" s="57" t="str"/>
      <c r="F1987" s="49" t="str"/>
      <c r="G1987" s="59" t="str"/>
      <c r="H1987" s="64" t="str"/>
      <c r="I1987" s="65" t="str"/>
      <c r="J1987" s="49" t="str"/>
      <c r="K1987" s="41" t="str"/>
      <c r="L1987" s="41" t="str"/>
      <c r="M1987" s="41" t="str"/>
      <c r="N1987" s="41" t="str"/>
      <c r="O1987" s="41" t="str"/>
      <c r="P1987" s="41" t="str"/>
      <c r="Q1987" s="41" t="str"/>
      <c r="R1987" s="41" t="str"/>
      <c r="S1987" s="41" t="str"/>
      <c r="T1987" s="41" t="str"/>
      <c r="U1987" s="41" t="str"/>
      <c r="V1987" s="41" t="str"/>
      <c r="W1987" s="41" t="str"/>
    </row>
    <row r="1988">
      <c r="B1988" s="2" t="n"/>
      <c r="C1988" s="40" t="n"/>
      <c r="D1988" s="52">
        <f t="array" ref="D1988:W1988">IF(All_Students_Scores!C1986:V1986="","",All_Students_Scores!C1986:V1986)</f>
        <v/>
      </c>
      <c r="E1988" s="57" t="str"/>
      <c r="F1988" s="49" t="str"/>
      <c r="G1988" s="59" t="str"/>
      <c r="H1988" s="64" t="str"/>
      <c r="I1988" s="65" t="str"/>
      <c r="J1988" s="49" t="str"/>
      <c r="K1988" s="41" t="str"/>
      <c r="L1988" s="41" t="str"/>
      <c r="M1988" s="41" t="str"/>
      <c r="N1988" s="41" t="str"/>
      <c r="O1988" s="41" t="str"/>
      <c r="P1988" s="41" t="str"/>
      <c r="Q1988" s="41" t="str"/>
      <c r="R1988" s="41" t="str"/>
      <c r="S1988" s="41" t="str"/>
      <c r="T1988" s="41" t="str"/>
      <c r="U1988" s="41" t="str"/>
      <c r="V1988" s="41" t="str"/>
      <c r="W1988" s="41" t="str"/>
    </row>
    <row r="1989">
      <c r="B1989" s="2" t="n"/>
      <c r="C1989" s="40" t="n"/>
      <c r="D1989" s="52">
        <f t="array" ref="D1989:W1989">IF(All_Students_Scores!C1987:V1987="","",All_Students_Scores!C1987:V1987)</f>
        <v/>
      </c>
      <c r="E1989" s="57" t="str"/>
      <c r="F1989" s="49" t="str"/>
      <c r="G1989" s="59" t="str"/>
      <c r="H1989" s="64" t="str"/>
      <c r="I1989" s="65" t="str"/>
      <c r="J1989" s="49" t="str"/>
      <c r="K1989" s="41" t="str"/>
      <c r="L1989" s="41" t="str"/>
      <c r="M1989" s="41" t="str"/>
      <c r="N1989" s="41" t="str"/>
      <c r="O1989" s="41" t="str"/>
      <c r="P1989" s="41" t="str"/>
      <c r="Q1989" s="41" t="str"/>
      <c r="R1989" s="41" t="str"/>
      <c r="S1989" s="41" t="str"/>
      <c r="T1989" s="41" t="str"/>
      <c r="U1989" s="41" t="str"/>
      <c r="V1989" s="41" t="str"/>
      <c r="W1989" s="41" t="str"/>
    </row>
    <row r="1990">
      <c r="B1990" s="2" t="n"/>
      <c r="C1990" s="40" t="n"/>
      <c r="D1990" s="52">
        <f t="array" ref="D1990:W1990">IF(All_Students_Scores!C1988:V1988="","",All_Students_Scores!C1988:V1988)</f>
        <v/>
      </c>
      <c r="E1990" s="57" t="str"/>
      <c r="F1990" s="49" t="str"/>
      <c r="G1990" s="59" t="str"/>
      <c r="H1990" s="64" t="str"/>
      <c r="I1990" s="65" t="str"/>
      <c r="J1990" s="49" t="str"/>
      <c r="K1990" s="41" t="str"/>
      <c r="L1990" s="41" t="str"/>
      <c r="M1990" s="41" t="str"/>
      <c r="N1990" s="41" t="str"/>
      <c r="O1990" s="41" t="str"/>
      <c r="P1990" s="41" t="str"/>
      <c r="Q1990" s="41" t="str"/>
      <c r="R1990" s="41" t="str"/>
      <c r="S1990" s="41" t="str"/>
      <c r="T1990" s="41" t="str"/>
      <c r="U1990" s="41" t="str"/>
      <c r="V1990" s="41" t="str"/>
      <c r="W1990" s="41" t="str"/>
    </row>
    <row r="1991">
      <c r="B1991" s="2" t="n"/>
      <c r="C1991" s="40" t="n"/>
      <c r="D1991" s="52">
        <f t="array" ref="D1991:W1991">IF(All_Students_Scores!C1989:V1989="","",All_Students_Scores!C1989:V1989)</f>
        <v/>
      </c>
      <c r="E1991" s="57" t="str"/>
      <c r="F1991" s="49" t="str"/>
      <c r="G1991" s="59" t="str"/>
      <c r="H1991" s="64" t="str"/>
      <c r="I1991" s="65" t="str"/>
      <c r="J1991" s="49" t="str"/>
      <c r="K1991" s="41" t="str"/>
      <c r="L1991" s="41" t="str"/>
      <c r="M1991" s="41" t="str"/>
      <c r="N1991" s="41" t="str"/>
      <c r="O1991" s="41" t="str"/>
      <c r="P1991" s="41" t="str"/>
      <c r="Q1991" s="41" t="str"/>
      <c r="R1991" s="41" t="str"/>
      <c r="S1991" s="41" t="str"/>
      <c r="T1991" s="41" t="str"/>
      <c r="U1991" s="41" t="str"/>
      <c r="V1991" s="41" t="str"/>
      <c r="W1991" s="41" t="str"/>
    </row>
    <row r="1992">
      <c r="B1992" s="2" t="n"/>
      <c r="C1992" s="40" t="n"/>
      <c r="D1992" s="52">
        <f t="array" ref="D1992:W1992">IF(All_Students_Scores!C1990:V1990="","",All_Students_Scores!C1990:V1990)</f>
        <v/>
      </c>
      <c r="E1992" s="57" t="str"/>
      <c r="F1992" s="49" t="str"/>
      <c r="G1992" s="59" t="str"/>
      <c r="H1992" s="64" t="str"/>
      <c r="I1992" s="65" t="str"/>
      <c r="J1992" s="49" t="str"/>
      <c r="K1992" s="41" t="str"/>
      <c r="L1992" s="41" t="str"/>
      <c r="M1992" s="41" t="str"/>
      <c r="N1992" s="41" t="str"/>
      <c r="O1992" s="41" t="str"/>
      <c r="P1992" s="41" t="str"/>
      <c r="Q1992" s="41" t="str"/>
      <c r="R1992" s="41" t="str"/>
      <c r="S1992" s="41" t="str"/>
      <c r="T1992" s="41" t="str"/>
      <c r="U1992" s="41" t="str"/>
      <c r="V1992" s="41" t="str"/>
      <c r="W1992" s="41" t="str"/>
    </row>
    <row r="1993">
      <c r="B1993" s="2" t="n"/>
      <c r="C1993" s="40" t="n"/>
      <c r="D1993" s="52">
        <f t="array" ref="D1993:W1993">IF(All_Students_Scores!C1991:V1991="","",All_Students_Scores!C1991:V1991)</f>
        <v/>
      </c>
      <c r="E1993" s="57" t="str"/>
      <c r="F1993" s="49" t="str"/>
      <c r="G1993" s="59" t="str"/>
      <c r="H1993" s="64" t="str"/>
      <c r="I1993" s="65" t="str"/>
      <c r="J1993" s="49" t="str"/>
      <c r="K1993" s="41" t="str"/>
      <c r="L1993" s="41" t="str"/>
      <c r="M1993" s="41" t="str"/>
      <c r="N1993" s="41" t="str"/>
      <c r="O1993" s="41" t="str"/>
      <c r="P1993" s="41" t="str"/>
      <c r="Q1993" s="41" t="str"/>
      <c r="R1993" s="41" t="str"/>
      <c r="S1993" s="41" t="str"/>
      <c r="T1993" s="41" t="str"/>
      <c r="U1993" s="41" t="str"/>
      <c r="V1993" s="41" t="str"/>
      <c r="W1993" s="41" t="str"/>
    </row>
    <row r="1994">
      <c r="B1994" s="2" t="n"/>
      <c r="C1994" s="40" t="n"/>
      <c r="D1994" s="52">
        <f t="array" ref="D1994:W1994">IF(All_Students_Scores!C1992:V1992="","",All_Students_Scores!C1992:V1992)</f>
        <v/>
      </c>
      <c r="E1994" s="57" t="str"/>
      <c r="F1994" s="49" t="str"/>
      <c r="G1994" s="59" t="str"/>
      <c r="H1994" s="64" t="str"/>
      <c r="I1994" s="65" t="str"/>
      <c r="J1994" s="49" t="str"/>
      <c r="K1994" s="41" t="str"/>
      <c r="L1994" s="41" t="str"/>
      <c r="M1994" s="41" t="str"/>
      <c r="N1994" s="41" t="str"/>
      <c r="O1994" s="41" t="str"/>
      <c r="P1994" s="41" t="str"/>
      <c r="Q1994" s="41" t="str"/>
      <c r="R1994" s="41" t="str"/>
      <c r="S1994" s="41" t="str"/>
      <c r="T1994" s="41" t="str"/>
      <c r="U1994" s="41" t="str"/>
      <c r="V1994" s="41" t="str"/>
      <c r="W1994" s="41" t="str"/>
    </row>
    <row r="1995">
      <c r="B1995" s="2" t="n"/>
      <c r="C1995" s="40" t="n"/>
      <c r="D1995" s="52">
        <f t="array" ref="D1995:W1995">IF(All_Students_Scores!C1993:V1993="","",All_Students_Scores!C1993:V1993)</f>
        <v/>
      </c>
      <c r="E1995" s="57" t="str"/>
      <c r="F1995" s="49" t="str"/>
      <c r="G1995" s="59" t="str"/>
      <c r="H1995" s="64" t="str"/>
      <c r="I1995" s="65" t="str"/>
      <c r="J1995" s="49" t="str"/>
      <c r="K1995" s="41" t="str"/>
      <c r="L1995" s="41" t="str"/>
      <c r="M1995" s="41" t="str"/>
      <c r="N1995" s="41" t="str"/>
      <c r="O1995" s="41" t="str"/>
      <c r="P1995" s="41" t="str"/>
      <c r="Q1995" s="41" t="str"/>
      <c r="R1995" s="41" t="str"/>
      <c r="S1995" s="41" t="str"/>
      <c r="T1995" s="41" t="str"/>
      <c r="U1995" s="41" t="str"/>
      <c r="V1995" s="41" t="str"/>
      <c r="W1995" s="41" t="str"/>
    </row>
    <row r="1996">
      <c r="B1996" s="2" t="n"/>
      <c r="C1996" s="40" t="n"/>
      <c r="D1996" s="52">
        <f t="array" ref="D1996:W1996">IF(All_Students_Scores!C1994:V1994="","",All_Students_Scores!C1994:V1994)</f>
        <v/>
      </c>
      <c r="E1996" s="57" t="str"/>
      <c r="F1996" s="49" t="str"/>
      <c r="G1996" s="59" t="str"/>
      <c r="H1996" s="64" t="str"/>
      <c r="I1996" s="65" t="str"/>
      <c r="J1996" s="49" t="str"/>
      <c r="K1996" s="41" t="str"/>
      <c r="L1996" s="41" t="str"/>
      <c r="M1996" s="41" t="str"/>
      <c r="N1996" s="41" t="str"/>
      <c r="O1996" s="41" t="str"/>
      <c r="P1996" s="41" t="str"/>
      <c r="Q1996" s="41" t="str"/>
      <c r="R1996" s="41" t="str"/>
      <c r="S1996" s="41" t="str"/>
      <c r="T1996" s="41" t="str"/>
      <c r="U1996" s="41" t="str"/>
      <c r="V1996" s="41" t="str"/>
      <c r="W1996" s="41" t="str"/>
    </row>
    <row r="1997">
      <c r="B1997" s="2" t="n"/>
      <c r="C1997" s="40" t="n"/>
      <c r="D1997" s="52">
        <f t="array" ref="D1997:W1997">IF(All_Students_Scores!C1995:V1995="","",All_Students_Scores!C1995:V1995)</f>
        <v/>
      </c>
      <c r="E1997" s="57" t="str"/>
      <c r="F1997" s="49" t="str"/>
      <c r="G1997" s="59" t="str"/>
      <c r="H1997" s="64" t="str"/>
      <c r="I1997" s="65" t="str"/>
      <c r="J1997" s="49" t="str"/>
      <c r="K1997" s="41" t="str"/>
      <c r="L1997" s="41" t="str"/>
      <c r="M1997" s="41" t="str"/>
      <c r="N1997" s="41" t="str"/>
      <c r="O1997" s="41" t="str"/>
      <c r="P1997" s="41" t="str"/>
      <c r="Q1997" s="41" t="str"/>
      <c r="R1997" s="41" t="str"/>
      <c r="S1997" s="41" t="str"/>
      <c r="T1997" s="41" t="str"/>
      <c r="U1997" s="41" t="str"/>
      <c r="V1997" s="41" t="str"/>
      <c r="W1997" s="41" t="str"/>
    </row>
    <row r="1998">
      <c r="B1998" s="2" t="n"/>
      <c r="C1998" s="40" t="n"/>
      <c r="D1998" s="52">
        <f t="array" ref="D1998:W1998">IF(All_Students_Scores!C1996:V1996="","",All_Students_Scores!C1996:V1996)</f>
        <v/>
      </c>
      <c r="E1998" s="57" t="str"/>
      <c r="F1998" s="49" t="str"/>
      <c r="G1998" s="59" t="str"/>
      <c r="H1998" s="64" t="str"/>
      <c r="I1998" s="65" t="str"/>
      <c r="J1998" s="49" t="str"/>
      <c r="K1998" s="41" t="str"/>
      <c r="L1998" s="41" t="str"/>
      <c r="M1998" s="41" t="str"/>
      <c r="N1998" s="41" t="str"/>
      <c r="O1998" s="41" t="str"/>
      <c r="P1998" s="41" t="str"/>
      <c r="Q1998" s="41" t="str"/>
      <c r="R1998" s="41" t="str"/>
      <c r="S1998" s="41" t="str"/>
      <c r="T1998" s="41" t="str"/>
      <c r="U1998" s="41" t="str"/>
      <c r="V1998" s="41" t="str"/>
      <c r="W1998" s="41" t="str"/>
    </row>
    <row r="1999">
      <c r="B1999" s="2" t="n"/>
      <c r="C1999" s="40" t="n"/>
      <c r="D1999" s="52">
        <f t="array" ref="D1999:W1999">IF(All_Students_Scores!C1997:V1997="","",All_Students_Scores!C1997:V1997)</f>
        <v/>
      </c>
      <c r="E1999" s="57" t="str"/>
      <c r="F1999" s="49" t="str"/>
      <c r="G1999" s="59" t="str"/>
      <c r="H1999" s="64" t="str"/>
      <c r="I1999" s="65" t="str"/>
      <c r="J1999" s="49" t="str"/>
      <c r="K1999" s="41" t="str"/>
      <c r="L1999" s="41" t="str"/>
      <c r="M1999" s="41" t="str"/>
      <c r="N1999" s="41" t="str"/>
      <c r="O1999" s="41" t="str"/>
      <c r="P1999" s="41" t="str"/>
      <c r="Q1999" s="41" t="str"/>
      <c r="R1999" s="41" t="str"/>
      <c r="S1999" s="41" t="str"/>
      <c r="T1999" s="41" t="str"/>
      <c r="U1999" s="41" t="str"/>
      <c r="V1999" s="41" t="str"/>
      <c r="W1999" s="41" t="str"/>
    </row>
    <row r="2000">
      <c r="B2000" s="2" t="n"/>
      <c r="C2000" s="40" t="n"/>
      <c r="D2000" s="52">
        <f t="array" ref="D2000:W2000">IF(All_Students_Scores!C1998:V1998="","",All_Students_Scores!C1998:V1998)</f>
        <v/>
      </c>
      <c r="E2000" s="57" t="str"/>
      <c r="F2000" s="49" t="str"/>
      <c r="G2000" s="59" t="str"/>
      <c r="H2000" s="64" t="str"/>
      <c r="I2000" s="65" t="str"/>
      <c r="J2000" s="49" t="str"/>
      <c r="K2000" s="41" t="str"/>
      <c r="L2000" s="41" t="str"/>
      <c r="M2000" s="41" t="str"/>
      <c r="N2000" s="41" t="str"/>
      <c r="O2000" s="41" t="str"/>
      <c r="P2000" s="41" t="str"/>
      <c r="Q2000" s="41" t="str"/>
      <c r="R2000" s="41" t="str"/>
      <c r="S2000" s="41" t="str"/>
      <c r="T2000" s="41" t="str"/>
      <c r="U2000" s="41" t="str"/>
      <c r="V2000" s="41" t="str"/>
      <c r="W2000" s="41" t="str"/>
    </row>
    <row r="2001">
      <c r="B2001" s="2" t="n"/>
      <c r="C2001" s="40" t="n"/>
      <c r="D2001" s="52">
        <f t="array" ref="D2001:W2001">IF(All_Students_Scores!C1999:V1999="","",All_Students_Scores!C1999:V1999)</f>
        <v/>
      </c>
      <c r="E2001" s="57" t="str"/>
      <c r="F2001" s="49" t="str"/>
      <c r="G2001" s="59" t="str"/>
      <c r="H2001" s="64" t="str"/>
      <c r="I2001" s="65" t="str"/>
      <c r="J2001" s="49" t="str"/>
      <c r="K2001" s="41" t="str"/>
      <c r="L2001" s="41" t="str"/>
      <c r="M2001" s="41" t="str"/>
      <c r="N2001" s="41" t="str"/>
      <c r="O2001" s="41" t="str"/>
      <c r="P2001" s="41" t="str"/>
      <c r="Q2001" s="41" t="str"/>
      <c r="R2001" s="41" t="str"/>
      <c r="S2001" s="41" t="str"/>
      <c r="T2001" s="41" t="str"/>
      <c r="U2001" s="41" t="str"/>
      <c r="V2001" s="41" t="str"/>
      <c r="W2001" s="41" t="str"/>
    </row>
    <row r="2002">
      <c r="B2002" s="2" t="n"/>
      <c r="C2002" s="40" t="n"/>
      <c r="D2002" s="52">
        <f t="array" ref="D2002:W2002">IF(All_Students_Scores!C2000:V2000="","",All_Students_Scores!C2000:V2000)</f>
        <v/>
      </c>
      <c r="E2002" s="57" t="str"/>
      <c r="F2002" s="49" t="str"/>
      <c r="G2002" s="59" t="str"/>
      <c r="H2002" s="64" t="str"/>
      <c r="I2002" s="65" t="str"/>
      <c r="J2002" s="49" t="str"/>
      <c r="K2002" s="41" t="str"/>
      <c r="L2002" s="41" t="str"/>
      <c r="M2002" s="41" t="str"/>
      <c r="N2002" s="41" t="str"/>
      <c r="O2002" s="41" t="str"/>
      <c r="P2002" s="41" t="str"/>
      <c r="Q2002" s="41" t="str"/>
      <c r="R2002" s="41" t="str"/>
      <c r="S2002" s="41" t="str"/>
      <c r="T2002" s="41" t="str"/>
      <c r="U2002" s="41" t="str"/>
      <c r="V2002" s="41" t="str"/>
      <c r="W2002" s="41" t="str"/>
    </row>
    <row r="2003">
      <c r="B2003" s="2" t="n"/>
      <c r="C2003" s="40" t="n"/>
      <c r="D2003" s="52">
        <f t="array" ref="D2003:W2003">IF(All_Students_Scores!C2001:V2001="","",All_Students_Scores!C2001:V2001)</f>
        <v/>
      </c>
      <c r="E2003" s="57" t="str"/>
      <c r="F2003" s="49" t="str"/>
      <c r="G2003" s="59" t="str"/>
      <c r="H2003" s="64" t="str"/>
      <c r="I2003" s="65" t="str"/>
      <c r="J2003" s="49" t="str"/>
      <c r="K2003" s="41" t="str"/>
      <c r="L2003" s="41" t="str"/>
      <c r="M2003" s="41" t="str"/>
      <c r="N2003" s="41" t="str"/>
      <c r="O2003" s="41" t="str"/>
      <c r="P2003" s="41" t="str"/>
      <c r="Q2003" s="41" t="str"/>
      <c r="R2003" s="41" t="str"/>
      <c r="S2003" s="41" t="str"/>
      <c r="T2003" s="41" t="str"/>
      <c r="U2003" s="41" t="str"/>
      <c r="V2003" s="41" t="str"/>
      <c r="W2003" s="41" t="str"/>
    </row>
    <row r="2004">
      <c r="B2004" s="2" t="n"/>
      <c r="C2004" s="40" t="n"/>
      <c r="D2004" s="52">
        <f t="array" ref="D2004:W2004">IF(All_Students_Scores!C2002:V2002="","",All_Students_Scores!C2002:V2002)</f>
        <v/>
      </c>
      <c r="E2004" s="57" t="str"/>
      <c r="F2004" s="49" t="str"/>
      <c r="G2004" s="59" t="str"/>
      <c r="H2004" s="64" t="str"/>
      <c r="I2004" s="65" t="str"/>
      <c r="J2004" s="49" t="str"/>
      <c r="K2004" s="41" t="str"/>
      <c r="L2004" s="41" t="str"/>
      <c r="M2004" s="41" t="str"/>
      <c r="N2004" s="41" t="str"/>
      <c r="O2004" s="41" t="str"/>
      <c r="P2004" s="41" t="str"/>
      <c r="Q2004" s="41" t="str"/>
      <c r="R2004" s="41" t="str"/>
      <c r="S2004" s="41" t="str"/>
      <c r="T2004" s="41" t="str"/>
      <c r="U2004" s="41" t="str"/>
      <c r="V2004" s="41" t="str"/>
      <c r="W2004" s="41" t="str"/>
    </row>
    <row r="2005">
      <c r="B2005" s="2" t="n"/>
      <c r="C2005" s="40" t="n"/>
      <c r="D2005" s="52">
        <f t="array" ref="D2005:W2005">IF(All_Students_Scores!C2003:V2003="","",All_Students_Scores!C2003:V2003)</f>
        <v/>
      </c>
      <c r="E2005" s="57" t="str"/>
      <c r="F2005" s="49" t="str"/>
      <c r="G2005" s="59" t="str"/>
      <c r="H2005" s="64" t="str"/>
      <c r="I2005" s="65" t="str"/>
      <c r="J2005" s="49" t="str"/>
      <c r="K2005" s="41" t="str"/>
      <c r="L2005" s="41" t="str"/>
      <c r="M2005" s="41" t="str"/>
      <c r="N2005" s="41" t="str"/>
      <c r="O2005" s="41" t="str"/>
      <c r="P2005" s="41" t="str"/>
      <c r="Q2005" s="41" t="str"/>
      <c r="R2005" s="41" t="str"/>
      <c r="S2005" s="41" t="str"/>
      <c r="T2005" s="41" t="str"/>
      <c r="U2005" s="41" t="str"/>
      <c r="V2005" s="41" t="str"/>
      <c r="W2005" s="41" t="str"/>
    </row>
    <row r="2006">
      <c r="B2006" s="2" t="n"/>
      <c r="C2006" s="40" t="n"/>
      <c r="D2006" s="52">
        <f t="array" ref="D2006:W2006">IF(All_Students_Scores!C2004:V2004="","",All_Students_Scores!C2004:V2004)</f>
        <v/>
      </c>
      <c r="E2006" s="57" t="str"/>
      <c r="F2006" s="49" t="str"/>
      <c r="G2006" s="59" t="str"/>
      <c r="H2006" s="64" t="str"/>
      <c r="I2006" s="65" t="str"/>
      <c r="J2006" s="49" t="str"/>
      <c r="K2006" s="41" t="str"/>
      <c r="L2006" s="41" t="str"/>
      <c r="M2006" s="41" t="str"/>
      <c r="N2006" s="41" t="str"/>
      <c r="O2006" s="41" t="str"/>
      <c r="P2006" s="41" t="str"/>
      <c r="Q2006" s="41" t="str"/>
      <c r="R2006" s="41" t="str"/>
      <c r="S2006" s="41" t="str"/>
      <c r="T2006" s="41" t="str"/>
      <c r="U2006" s="41" t="str"/>
      <c r="V2006" s="41" t="str"/>
      <c r="W2006" s="41" t="str"/>
    </row>
    <row r="2007">
      <c r="B2007" s="2" t="n"/>
      <c r="C2007" s="40" t="n"/>
      <c r="D2007" s="52">
        <f t="array" ref="D2007:W2007">IF(All_Students_Scores!C2005:V2005="","",All_Students_Scores!C2005:V2005)</f>
        <v/>
      </c>
      <c r="E2007" s="57" t="str"/>
      <c r="F2007" s="49" t="str"/>
      <c r="G2007" s="59" t="str"/>
      <c r="H2007" s="64" t="str"/>
      <c r="I2007" s="65" t="str"/>
      <c r="J2007" s="49" t="str"/>
      <c r="K2007" s="41" t="str"/>
      <c r="L2007" s="41" t="str"/>
      <c r="M2007" s="41" t="str"/>
      <c r="N2007" s="41" t="str"/>
      <c r="O2007" s="41" t="str"/>
      <c r="P2007" s="41" t="str"/>
      <c r="Q2007" s="41" t="str"/>
      <c r="R2007" s="41" t="str"/>
      <c r="S2007" s="41" t="str"/>
      <c r="T2007" s="41" t="str"/>
      <c r="U2007" s="41" t="str"/>
      <c r="V2007" s="41" t="str"/>
      <c r="W2007" s="41" t="str"/>
    </row>
    <row r="2008">
      <c r="B2008" s="2" t="n"/>
      <c r="C2008" s="40" t="n"/>
      <c r="D2008" s="52">
        <f t="array" ref="D2008:W2008">IF(All_Students_Scores!C2006:V2006="","",All_Students_Scores!C2006:V2006)</f>
        <v/>
      </c>
      <c r="E2008" s="57" t="str"/>
      <c r="F2008" s="49" t="str"/>
      <c r="G2008" s="59" t="str"/>
      <c r="H2008" s="64" t="str"/>
      <c r="I2008" s="65" t="str"/>
      <c r="J2008" s="49" t="str"/>
      <c r="K2008" s="41" t="str"/>
      <c r="L2008" s="41" t="str"/>
      <c r="M2008" s="41" t="str"/>
      <c r="N2008" s="41" t="str"/>
      <c r="O2008" s="41" t="str"/>
      <c r="P2008" s="41" t="str"/>
      <c r="Q2008" s="41" t="str"/>
      <c r="R2008" s="41" t="str"/>
      <c r="S2008" s="41" t="str"/>
      <c r="T2008" s="41" t="str"/>
      <c r="U2008" s="41" t="str"/>
      <c r="V2008" s="41" t="str"/>
      <c r="W2008" s="41" t="str"/>
    </row>
    <row r="2009">
      <c r="B2009" s="2" t="n"/>
      <c r="C2009" s="40" t="n"/>
      <c r="D2009" s="52">
        <f t="array" ref="D2009:W2009">IF(All_Students_Scores!C2007:V2007="","",All_Students_Scores!C2007:V2007)</f>
        <v/>
      </c>
      <c r="E2009" s="57" t="str"/>
      <c r="F2009" s="49" t="str"/>
      <c r="G2009" s="59" t="str"/>
      <c r="H2009" s="64" t="str"/>
      <c r="I2009" s="65" t="str"/>
      <c r="J2009" s="49" t="str"/>
      <c r="K2009" s="41" t="str"/>
      <c r="L2009" s="41" t="str"/>
      <c r="M2009" s="41" t="str"/>
      <c r="N2009" s="41" t="str"/>
      <c r="O2009" s="41" t="str"/>
      <c r="P2009" s="41" t="str"/>
      <c r="Q2009" s="41" t="str"/>
      <c r="R2009" s="41" t="str"/>
      <c r="S2009" s="41" t="str"/>
      <c r="T2009" s="41" t="str"/>
      <c r="U2009" s="41" t="str"/>
      <c r="V2009" s="41" t="str"/>
      <c r="W2009" s="41" t="str"/>
    </row>
    <row r="2010">
      <c r="B2010" s="2" t="n"/>
      <c r="C2010" s="40" t="n"/>
      <c r="D2010" s="52">
        <f t="array" ref="D2010:W2010">IF(All_Students_Scores!C2008:V2008="","",All_Students_Scores!C2008:V2008)</f>
        <v/>
      </c>
      <c r="E2010" s="57" t="str"/>
      <c r="F2010" s="49" t="str"/>
      <c r="G2010" s="59" t="str"/>
      <c r="H2010" s="64" t="str"/>
      <c r="I2010" s="65" t="str"/>
      <c r="J2010" s="49" t="str"/>
      <c r="K2010" s="41" t="str"/>
      <c r="L2010" s="41" t="str"/>
      <c r="M2010" s="41" t="str"/>
      <c r="N2010" s="41" t="str"/>
      <c r="O2010" s="41" t="str"/>
      <c r="P2010" s="41" t="str"/>
      <c r="Q2010" s="41" t="str"/>
      <c r="R2010" s="41" t="str"/>
      <c r="S2010" s="41" t="str"/>
      <c r="T2010" s="41" t="str"/>
      <c r="U2010" s="41" t="str"/>
      <c r="V2010" s="41" t="str"/>
      <c r="W2010" s="41" t="str"/>
    </row>
    <row r="2011">
      <c r="B2011" s="2" t="n"/>
      <c r="C2011" s="40" t="n"/>
      <c r="D2011" s="52">
        <f t="array" ref="D2011:W2011">IF(All_Students_Scores!C2009:V2009="","",All_Students_Scores!C2009:V2009)</f>
        <v/>
      </c>
      <c r="E2011" s="57" t="str"/>
      <c r="F2011" s="49" t="str"/>
      <c r="G2011" s="59" t="str"/>
      <c r="H2011" s="64" t="str"/>
      <c r="I2011" s="65" t="str"/>
      <c r="J2011" s="49" t="str"/>
      <c r="K2011" s="41" t="str"/>
      <c r="L2011" s="41" t="str"/>
      <c r="M2011" s="41" t="str"/>
      <c r="N2011" s="41" t="str"/>
      <c r="O2011" s="41" t="str"/>
      <c r="P2011" s="41" t="str"/>
      <c r="Q2011" s="41" t="str"/>
      <c r="R2011" s="41" t="str"/>
      <c r="S2011" s="41" t="str"/>
      <c r="T2011" s="41" t="str"/>
      <c r="U2011" s="41" t="str"/>
      <c r="V2011" s="41" t="str"/>
      <c r="W2011" s="41" t="str"/>
    </row>
    <row r="2012">
      <c r="B2012" s="2" t="n"/>
      <c r="C2012" s="40" t="n"/>
      <c r="D2012" s="52">
        <f t="array" ref="D2012:W2012">IF(All_Students_Scores!C2010:V2010="","",All_Students_Scores!C2010:V2010)</f>
        <v/>
      </c>
      <c r="E2012" s="57" t="str"/>
      <c r="F2012" s="49" t="str"/>
      <c r="G2012" s="59" t="str"/>
      <c r="H2012" s="64" t="str"/>
      <c r="I2012" s="65" t="str"/>
      <c r="J2012" s="49" t="str"/>
      <c r="K2012" s="41" t="str"/>
      <c r="L2012" s="41" t="str"/>
      <c r="M2012" s="41" t="str"/>
      <c r="N2012" s="41" t="str"/>
      <c r="O2012" s="41" t="str"/>
      <c r="P2012" s="41" t="str"/>
      <c r="Q2012" s="41" t="str"/>
      <c r="R2012" s="41" t="str"/>
      <c r="S2012" s="41" t="str"/>
      <c r="T2012" s="41" t="str"/>
      <c r="U2012" s="41" t="str"/>
      <c r="V2012" s="41" t="str"/>
      <c r="W2012" s="41" t="str"/>
    </row>
    <row r="2013">
      <c r="B2013" s="2" t="n"/>
      <c r="C2013" s="40" t="n"/>
      <c r="D2013" s="52">
        <f t="array" ref="D2013:W2013">IF(All_Students_Scores!C2011:V2011="","",All_Students_Scores!C2011:V2011)</f>
        <v/>
      </c>
      <c r="E2013" s="57" t="str"/>
      <c r="F2013" s="49" t="str"/>
      <c r="G2013" s="59" t="str"/>
      <c r="H2013" s="64" t="str"/>
      <c r="I2013" s="65" t="str"/>
      <c r="J2013" s="49" t="str"/>
      <c r="K2013" s="41" t="str"/>
      <c r="L2013" s="41" t="str"/>
      <c r="M2013" s="41" t="str"/>
      <c r="N2013" s="41" t="str"/>
      <c r="O2013" s="41" t="str"/>
      <c r="P2013" s="41" t="str"/>
      <c r="Q2013" s="41" t="str"/>
      <c r="R2013" s="41" t="str"/>
      <c r="S2013" s="41" t="str"/>
      <c r="T2013" s="41" t="str"/>
      <c r="U2013" s="41" t="str"/>
      <c r="V2013" s="41" t="str"/>
      <c r="W2013" s="41" t="str"/>
    </row>
    <row r="2014">
      <c r="B2014" s="2" t="n"/>
      <c r="C2014" s="40" t="n"/>
      <c r="D2014" s="52">
        <f t="array" ref="D2014:W2014">IF(All_Students_Scores!C2012:V2012="","",All_Students_Scores!C2012:V2012)</f>
        <v/>
      </c>
      <c r="E2014" s="57" t="str"/>
      <c r="F2014" s="49" t="str"/>
      <c r="G2014" s="59" t="str"/>
      <c r="H2014" s="64" t="str"/>
      <c r="I2014" s="65" t="str"/>
      <c r="J2014" s="49" t="str"/>
      <c r="K2014" s="41" t="str"/>
      <c r="L2014" s="41" t="str"/>
      <c r="M2014" s="41" t="str"/>
      <c r="N2014" s="41" t="str"/>
      <c r="O2014" s="41" t="str"/>
      <c r="P2014" s="41" t="str"/>
      <c r="Q2014" s="41" t="str"/>
      <c r="R2014" s="41" t="str"/>
      <c r="S2014" s="41" t="str"/>
      <c r="T2014" s="41" t="str"/>
      <c r="U2014" s="41" t="str"/>
      <c r="V2014" s="41" t="str"/>
      <c r="W2014" s="41" t="str"/>
    </row>
    <row r="2015">
      <c r="B2015" s="2" t="n"/>
      <c r="C2015" s="40" t="n"/>
      <c r="D2015" s="52">
        <f t="array" ref="D2015:W2015">IF(All_Students_Scores!C2013:V2013="","",All_Students_Scores!C2013:V2013)</f>
        <v/>
      </c>
      <c r="E2015" s="57" t="str"/>
      <c r="F2015" s="49" t="str"/>
      <c r="G2015" s="59" t="str"/>
      <c r="H2015" s="64" t="str"/>
      <c r="I2015" s="65" t="str"/>
      <c r="J2015" s="49" t="str"/>
      <c r="K2015" s="41" t="str"/>
      <c r="L2015" s="41" t="str"/>
      <c r="M2015" s="41" t="str"/>
      <c r="N2015" s="41" t="str"/>
      <c r="O2015" s="41" t="str"/>
      <c r="P2015" s="41" t="str"/>
      <c r="Q2015" s="41" t="str"/>
      <c r="R2015" s="41" t="str"/>
      <c r="S2015" s="41" t="str"/>
      <c r="T2015" s="41" t="str"/>
      <c r="U2015" s="41" t="str"/>
      <c r="V2015" s="41" t="str"/>
      <c r="W2015" s="41" t="str"/>
    </row>
    <row r="2016">
      <c r="B2016" s="2" t="n"/>
      <c r="C2016" s="40" t="n"/>
      <c r="D2016" s="52">
        <f t="array" ref="D2016:W2016">IF(All_Students_Scores!C2014:V2014="","",All_Students_Scores!C2014:V2014)</f>
        <v/>
      </c>
      <c r="E2016" s="57" t="str"/>
      <c r="F2016" s="49" t="str"/>
      <c r="G2016" s="59" t="str"/>
      <c r="H2016" s="64" t="str"/>
      <c r="I2016" s="65" t="str"/>
      <c r="J2016" s="49" t="str"/>
      <c r="K2016" s="41" t="str"/>
      <c r="L2016" s="41" t="str"/>
      <c r="M2016" s="41" t="str"/>
      <c r="N2016" s="41" t="str"/>
      <c r="O2016" s="41" t="str"/>
      <c r="P2016" s="41" t="str"/>
      <c r="Q2016" s="41" t="str"/>
      <c r="R2016" s="41" t="str"/>
      <c r="S2016" s="41" t="str"/>
      <c r="T2016" s="41" t="str"/>
      <c r="U2016" s="41" t="str"/>
      <c r="V2016" s="41" t="str"/>
      <c r="W2016" s="41" t="str"/>
    </row>
    <row r="2017">
      <c r="B2017" s="2" t="n"/>
      <c r="C2017" s="40" t="n"/>
      <c r="D2017" s="52">
        <f t="array" ref="D2017:W2017">IF(All_Students_Scores!C2015:V2015="","",All_Students_Scores!C2015:V2015)</f>
        <v/>
      </c>
      <c r="E2017" s="57" t="str"/>
      <c r="F2017" s="49" t="str"/>
      <c r="G2017" s="59" t="str"/>
      <c r="H2017" s="64" t="str"/>
      <c r="I2017" s="65" t="str"/>
      <c r="J2017" s="49" t="str"/>
      <c r="K2017" s="41" t="str"/>
      <c r="L2017" s="41" t="str"/>
      <c r="M2017" s="41" t="str"/>
      <c r="N2017" s="41" t="str"/>
      <c r="O2017" s="41" t="str"/>
      <c r="P2017" s="41" t="str"/>
      <c r="Q2017" s="41" t="str"/>
      <c r="R2017" s="41" t="str"/>
      <c r="S2017" s="41" t="str"/>
      <c r="T2017" s="41" t="str"/>
      <c r="U2017" s="41" t="str"/>
      <c r="V2017" s="41" t="str"/>
      <c r="W2017" s="41" t="str"/>
    </row>
    <row r="2018">
      <c r="B2018" s="2" t="n"/>
      <c r="C2018" s="40" t="n"/>
      <c r="D2018" s="52">
        <f t="array" ref="D2018:W2018">IF(All_Students_Scores!C2016:V2016="","",All_Students_Scores!C2016:V2016)</f>
        <v/>
      </c>
      <c r="E2018" s="57" t="str"/>
      <c r="F2018" s="49" t="str"/>
      <c r="G2018" s="59" t="str"/>
      <c r="H2018" s="64" t="str"/>
      <c r="I2018" s="65" t="str"/>
      <c r="J2018" s="49" t="str"/>
      <c r="K2018" s="41" t="str"/>
      <c r="L2018" s="41" t="str"/>
      <c r="M2018" s="41" t="str"/>
      <c r="N2018" s="41" t="str"/>
      <c r="O2018" s="41" t="str"/>
      <c r="P2018" s="41" t="str"/>
      <c r="Q2018" s="41" t="str"/>
      <c r="R2018" s="41" t="str"/>
      <c r="S2018" s="41" t="str"/>
      <c r="T2018" s="41" t="str"/>
      <c r="U2018" s="41" t="str"/>
      <c r="V2018" s="41" t="str"/>
      <c r="W2018" s="41" t="str"/>
    </row>
    <row r="2019">
      <c r="B2019" s="2" t="n"/>
      <c r="C2019" s="40" t="n"/>
      <c r="D2019" s="52">
        <f t="array" ref="D2019:W2019">IF(All_Students_Scores!C2017:V2017="","",All_Students_Scores!C2017:V2017)</f>
        <v/>
      </c>
      <c r="E2019" s="57" t="str"/>
      <c r="F2019" s="49" t="str"/>
      <c r="G2019" s="59" t="str"/>
      <c r="H2019" s="64" t="str"/>
      <c r="I2019" s="65" t="str"/>
      <c r="J2019" s="49" t="str"/>
      <c r="K2019" s="41" t="str"/>
      <c r="L2019" s="41" t="str"/>
      <c r="M2019" s="41" t="str"/>
      <c r="N2019" s="41" t="str"/>
      <c r="O2019" s="41" t="str"/>
      <c r="P2019" s="41" t="str"/>
      <c r="Q2019" s="41" t="str"/>
      <c r="R2019" s="41" t="str"/>
      <c r="S2019" s="41" t="str"/>
      <c r="T2019" s="41" t="str"/>
      <c r="U2019" s="41" t="str"/>
      <c r="V2019" s="41" t="str"/>
      <c r="W2019" s="41" t="str"/>
    </row>
    <row r="2020">
      <c r="B2020" s="2" t="n"/>
      <c r="C2020" s="40" t="n"/>
      <c r="D2020" s="52">
        <f t="array" ref="D2020:W2020">IF(All_Students_Scores!C2018:V2018="","",All_Students_Scores!C2018:V2018)</f>
        <v/>
      </c>
      <c r="E2020" s="57" t="str"/>
      <c r="F2020" s="49" t="str"/>
      <c r="G2020" s="59" t="str"/>
      <c r="H2020" s="64" t="str"/>
      <c r="I2020" s="65" t="str"/>
      <c r="J2020" s="49" t="str"/>
      <c r="K2020" s="41" t="str"/>
      <c r="L2020" s="41" t="str"/>
      <c r="M2020" s="41" t="str"/>
      <c r="N2020" s="41" t="str"/>
      <c r="O2020" s="41" t="str"/>
      <c r="P2020" s="41" t="str"/>
      <c r="Q2020" s="41" t="str"/>
      <c r="R2020" s="41" t="str"/>
      <c r="S2020" s="41" t="str"/>
      <c r="T2020" s="41" t="str"/>
      <c r="U2020" s="41" t="str"/>
      <c r="V2020" s="41" t="str"/>
      <c r="W2020" s="41" t="str"/>
    </row>
    <row r="2021">
      <c r="B2021" s="2" t="n"/>
      <c r="C2021" s="40" t="n"/>
      <c r="D2021" s="52">
        <f t="array" ref="D2021:W2021">IF(All_Students_Scores!C2019:V2019="","",All_Students_Scores!C2019:V2019)</f>
        <v/>
      </c>
      <c r="E2021" s="57" t="str"/>
      <c r="F2021" s="49" t="str"/>
      <c r="G2021" s="59" t="str"/>
      <c r="H2021" s="64" t="str"/>
      <c r="I2021" s="65" t="str"/>
      <c r="J2021" s="49" t="str"/>
      <c r="K2021" s="41" t="str"/>
      <c r="L2021" s="41" t="str"/>
      <c r="M2021" s="41" t="str"/>
      <c r="N2021" s="41" t="str"/>
      <c r="O2021" s="41" t="str"/>
      <c r="P2021" s="41" t="str"/>
      <c r="Q2021" s="41" t="str"/>
      <c r="R2021" s="41" t="str"/>
      <c r="S2021" s="41" t="str"/>
      <c r="T2021" s="41" t="str"/>
      <c r="U2021" s="41" t="str"/>
      <c r="V2021" s="41" t="str"/>
      <c r="W2021" s="41" t="str"/>
    </row>
    <row r="2022">
      <c r="B2022" s="2" t="n"/>
      <c r="C2022" s="40" t="n"/>
      <c r="D2022" s="52">
        <f t="array" ref="D2022:W2022">IF(All_Students_Scores!C2020:V2020="","",All_Students_Scores!C2020:V2020)</f>
        <v/>
      </c>
      <c r="E2022" s="57" t="str"/>
      <c r="F2022" s="49" t="str"/>
      <c r="G2022" s="59" t="str"/>
      <c r="H2022" s="64" t="str"/>
      <c r="I2022" s="65" t="str"/>
      <c r="J2022" s="49" t="str"/>
      <c r="K2022" s="41" t="str"/>
      <c r="L2022" s="41" t="str"/>
      <c r="M2022" s="41" t="str"/>
      <c r="N2022" s="41" t="str"/>
      <c r="O2022" s="41" t="str"/>
      <c r="P2022" s="41" t="str"/>
      <c r="Q2022" s="41" t="str"/>
      <c r="R2022" s="41" t="str"/>
      <c r="S2022" s="41" t="str"/>
      <c r="T2022" s="41" t="str"/>
      <c r="U2022" s="41" t="str"/>
      <c r="V2022" s="41" t="str"/>
      <c r="W2022" s="41" t="str"/>
    </row>
    <row r="2023">
      <c r="B2023" s="2" t="n"/>
      <c r="C2023" s="40" t="n"/>
      <c r="D2023" s="52">
        <f t="array" ref="D2023:W2023">IF(All_Students_Scores!C2021:V2021="","",All_Students_Scores!C2021:V2021)</f>
        <v/>
      </c>
      <c r="E2023" s="57" t="str"/>
      <c r="F2023" s="49" t="str"/>
      <c r="G2023" s="59" t="str"/>
      <c r="H2023" s="64" t="str"/>
      <c r="I2023" s="65" t="str"/>
      <c r="J2023" s="49" t="str"/>
      <c r="K2023" s="41" t="str"/>
      <c r="L2023" s="41" t="str"/>
      <c r="M2023" s="41" t="str"/>
      <c r="N2023" s="41" t="str"/>
      <c r="O2023" s="41" t="str"/>
      <c r="P2023" s="41" t="str"/>
      <c r="Q2023" s="41" t="str"/>
      <c r="R2023" s="41" t="str"/>
      <c r="S2023" s="41" t="str"/>
      <c r="T2023" s="41" t="str"/>
      <c r="U2023" s="41" t="str"/>
      <c r="V2023" s="41" t="str"/>
      <c r="W2023" s="41" t="str"/>
    </row>
    <row r="2024">
      <c r="B2024" s="2" t="n"/>
      <c r="C2024" s="40" t="n"/>
      <c r="D2024" s="52">
        <f t="array" ref="D2024:W2024">IF(All_Students_Scores!C2022:V2022="","",All_Students_Scores!C2022:V2022)</f>
        <v/>
      </c>
      <c r="E2024" s="57" t="str"/>
      <c r="F2024" s="49" t="str"/>
      <c r="G2024" s="59" t="str"/>
      <c r="H2024" s="64" t="str"/>
      <c r="I2024" s="65" t="str"/>
      <c r="J2024" s="49" t="str"/>
      <c r="K2024" s="41" t="str"/>
      <c r="L2024" s="41" t="str"/>
      <c r="M2024" s="41" t="str"/>
      <c r="N2024" s="41" t="str"/>
      <c r="O2024" s="41" t="str"/>
      <c r="P2024" s="41" t="str"/>
      <c r="Q2024" s="41" t="str"/>
      <c r="R2024" s="41" t="str"/>
      <c r="S2024" s="41" t="str"/>
      <c r="T2024" s="41" t="str"/>
      <c r="U2024" s="41" t="str"/>
      <c r="V2024" s="41" t="str"/>
      <c r="W2024" s="41" t="str"/>
    </row>
    <row r="2025">
      <c r="B2025" s="2" t="n"/>
      <c r="C2025" s="40" t="n"/>
      <c r="D2025" s="52">
        <f t="array" ref="D2025:W2025">IF(All_Students_Scores!C2023:V2023="","",All_Students_Scores!C2023:V2023)</f>
        <v/>
      </c>
      <c r="E2025" s="57" t="str"/>
      <c r="F2025" s="49" t="str"/>
      <c r="G2025" s="59" t="str"/>
      <c r="H2025" s="64" t="str"/>
      <c r="I2025" s="65" t="str"/>
      <c r="J2025" s="49" t="str"/>
      <c r="K2025" s="41" t="str"/>
      <c r="L2025" s="41" t="str"/>
      <c r="M2025" s="41" t="str"/>
      <c r="N2025" s="41" t="str"/>
      <c r="O2025" s="41" t="str"/>
      <c r="P2025" s="41" t="str"/>
      <c r="Q2025" s="41" t="str"/>
      <c r="R2025" s="41" t="str"/>
      <c r="S2025" s="41" t="str"/>
      <c r="T2025" s="41" t="str"/>
      <c r="U2025" s="41" t="str"/>
      <c r="V2025" s="41" t="str"/>
      <c r="W2025" s="41" t="str"/>
    </row>
    <row r="2026">
      <c r="B2026" s="2" t="n"/>
      <c r="C2026" s="40" t="n"/>
      <c r="D2026" s="52">
        <f t="array" ref="D2026:W2026">IF(All_Students_Scores!C2024:V2024="","",All_Students_Scores!C2024:V2024)</f>
        <v/>
      </c>
      <c r="E2026" s="57" t="str"/>
      <c r="F2026" s="49" t="str"/>
      <c r="G2026" s="59" t="str"/>
      <c r="H2026" s="64" t="str"/>
      <c r="I2026" s="65" t="str"/>
      <c r="J2026" s="49" t="str"/>
      <c r="K2026" s="41" t="str"/>
      <c r="L2026" s="41" t="str"/>
      <c r="M2026" s="41" t="str"/>
      <c r="N2026" s="41" t="str"/>
      <c r="O2026" s="41" t="str"/>
      <c r="P2026" s="41" t="str"/>
      <c r="Q2026" s="41" t="str"/>
      <c r="R2026" s="41" t="str"/>
      <c r="S2026" s="41" t="str"/>
      <c r="T2026" s="41" t="str"/>
      <c r="U2026" s="41" t="str"/>
      <c r="V2026" s="41" t="str"/>
      <c r="W2026" s="41" t="str"/>
    </row>
    <row r="2027">
      <c r="B2027" s="2" t="n"/>
      <c r="C2027" s="40" t="n"/>
      <c r="D2027" s="52">
        <f t="array" ref="D2027:W2027">IF(All_Students_Scores!C2025:V2025="","",All_Students_Scores!C2025:V2025)</f>
        <v/>
      </c>
      <c r="E2027" s="57" t="str"/>
      <c r="F2027" s="49" t="str"/>
      <c r="G2027" s="59" t="str"/>
      <c r="H2027" s="64" t="str"/>
      <c r="I2027" s="65" t="str"/>
      <c r="J2027" s="49" t="str"/>
      <c r="K2027" s="41" t="str"/>
      <c r="L2027" s="41" t="str"/>
      <c r="M2027" s="41" t="str"/>
      <c r="N2027" s="41" t="str"/>
      <c r="O2027" s="41" t="str"/>
      <c r="P2027" s="41" t="str"/>
      <c r="Q2027" s="41" t="str"/>
      <c r="R2027" s="41" t="str"/>
      <c r="S2027" s="41" t="str"/>
      <c r="T2027" s="41" t="str"/>
      <c r="U2027" s="41" t="str"/>
      <c r="V2027" s="41" t="str"/>
      <c r="W2027" s="41" t="str"/>
    </row>
    <row r="2028">
      <c r="B2028" s="2" t="n"/>
      <c r="C2028" s="40" t="n"/>
      <c r="D2028" s="52">
        <f t="array" ref="D2028:W2028">IF(All_Students_Scores!C2026:V2026="","",All_Students_Scores!C2026:V2026)</f>
        <v/>
      </c>
      <c r="E2028" s="57" t="str"/>
      <c r="F2028" s="49" t="str"/>
      <c r="G2028" s="59" t="str"/>
      <c r="H2028" s="64" t="str"/>
      <c r="I2028" s="65" t="str"/>
      <c r="J2028" s="49" t="str"/>
      <c r="K2028" s="41" t="str"/>
      <c r="L2028" s="41" t="str"/>
      <c r="M2028" s="41" t="str"/>
      <c r="N2028" s="41" t="str"/>
      <c r="O2028" s="41" t="str"/>
      <c r="P2028" s="41" t="str"/>
      <c r="Q2028" s="41" t="str"/>
      <c r="R2028" s="41" t="str"/>
      <c r="S2028" s="41" t="str"/>
      <c r="T2028" s="41" t="str"/>
      <c r="U2028" s="41" t="str"/>
      <c r="V2028" s="41" t="str"/>
      <c r="W2028" s="41" t="str"/>
    </row>
    <row r="2029">
      <c r="B2029" s="2" t="n"/>
      <c r="C2029" s="40" t="n"/>
      <c r="D2029" s="52">
        <f t="array" ref="D2029:W2029">IF(All_Students_Scores!C2027:V2027="","",All_Students_Scores!C2027:V2027)</f>
        <v/>
      </c>
      <c r="E2029" s="57" t="str"/>
      <c r="F2029" s="49" t="str"/>
      <c r="G2029" s="59" t="str"/>
      <c r="H2029" s="64" t="str"/>
      <c r="I2029" s="65" t="str"/>
      <c r="J2029" s="49" t="str"/>
      <c r="K2029" s="41" t="str"/>
      <c r="L2029" s="41" t="str"/>
      <c r="M2029" s="41" t="str"/>
      <c r="N2029" s="41" t="str"/>
      <c r="O2029" s="41" t="str"/>
      <c r="P2029" s="41" t="str"/>
      <c r="Q2029" s="41" t="str"/>
      <c r="R2029" s="41" t="str"/>
      <c r="S2029" s="41" t="str"/>
      <c r="T2029" s="41" t="str"/>
      <c r="U2029" s="41" t="str"/>
      <c r="V2029" s="41" t="str"/>
      <c r="W2029" s="41" t="str"/>
    </row>
    <row r="2030">
      <c r="B2030" s="2" t="n"/>
      <c r="C2030" s="40" t="n"/>
      <c r="D2030" s="52">
        <f t="array" ref="D2030:W2030">IF(All_Students_Scores!C2028:V2028="","",All_Students_Scores!C2028:V2028)</f>
        <v/>
      </c>
      <c r="E2030" s="57" t="str"/>
      <c r="F2030" s="49" t="str"/>
      <c r="G2030" s="59" t="str"/>
      <c r="H2030" s="64" t="str"/>
      <c r="I2030" s="65" t="str"/>
      <c r="J2030" s="49" t="str"/>
      <c r="K2030" s="41" t="str"/>
      <c r="L2030" s="41" t="str"/>
      <c r="M2030" s="41" t="str"/>
      <c r="N2030" s="41" t="str"/>
      <c r="O2030" s="41" t="str"/>
      <c r="P2030" s="41" t="str"/>
      <c r="Q2030" s="41" t="str"/>
      <c r="R2030" s="41" t="str"/>
      <c r="S2030" s="41" t="str"/>
      <c r="T2030" s="41" t="str"/>
      <c r="U2030" s="41" t="str"/>
      <c r="V2030" s="41" t="str"/>
      <c r="W2030" s="41" t="str"/>
    </row>
    <row r="2031">
      <c r="B2031" s="2" t="n"/>
      <c r="C2031" s="40" t="n"/>
      <c r="D2031" s="52">
        <f t="array" ref="D2031:W2031">IF(All_Students_Scores!C2029:V2029="","",All_Students_Scores!C2029:V2029)</f>
        <v/>
      </c>
      <c r="E2031" s="57" t="str"/>
      <c r="F2031" s="49" t="str"/>
      <c r="G2031" s="59" t="str"/>
      <c r="H2031" s="64" t="str"/>
      <c r="I2031" s="65" t="str"/>
      <c r="J2031" s="49" t="str"/>
      <c r="K2031" s="41" t="str"/>
      <c r="L2031" s="41" t="str"/>
      <c r="M2031" s="41" t="str"/>
      <c r="N2031" s="41" t="str"/>
      <c r="O2031" s="41" t="str"/>
      <c r="P2031" s="41" t="str"/>
      <c r="Q2031" s="41" t="str"/>
      <c r="R2031" s="41" t="str"/>
      <c r="S2031" s="41" t="str"/>
      <c r="T2031" s="41" t="str"/>
      <c r="U2031" s="41" t="str"/>
      <c r="V2031" s="41" t="str"/>
      <c r="W2031" s="41" t="str"/>
    </row>
    <row r="2032">
      <c r="B2032" s="2" t="n"/>
      <c r="C2032" s="40" t="n"/>
      <c r="D2032" s="52">
        <f t="array" ref="D2032:W2032">IF(All_Students_Scores!C2030:V2030="","",All_Students_Scores!C2030:V2030)</f>
        <v/>
      </c>
      <c r="E2032" s="57" t="str"/>
      <c r="F2032" s="49" t="str"/>
      <c r="G2032" s="59" t="str"/>
      <c r="H2032" s="64" t="str"/>
      <c r="I2032" s="65" t="str"/>
      <c r="J2032" s="49" t="str"/>
      <c r="K2032" s="41" t="str"/>
      <c r="L2032" s="41" t="str"/>
      <c r="M2032" s="41" t="str"/>
      <c r="N2032" s="41" t="str"/>
      <c r="O2032" s="41" t="str"/>
      <c r="P2032" s="41" t="str"/>
      <c r="Q2032" s="41" t="str"/>
      <c r="R2032" s="41" t="str"/>
      <c r="S2032" s="41" t="str"/>
      <c r="T2032" s="41" t="str"/>
      <c r="U2032" s="41" t="str"/>
      <c r="V2032" s="41" t="str"/>
      <c r="W2032" s="41" t="str"/>
    </row>
    <row r="2033">
      <c r="B2033" s="2" t="n"/>
      <c r="C2033" s="40" t="n"/>
      <c r="D2033" s="52">
        <f t="array" ref="D2033:W2033">IF(All_Students_Scores!C2031:V2031="","",All_Students_Scores!C2031:V2031)</f>
        <v/>
      </c>
      <c r="E2033" s="57" t="str"/>
      <c r="F2033" s="49" t="str"/>
      <c r="G2033" s="59" t="str"/>
      <c r="H2033" s="64" t="str"/>
      <c r="I2033" s="65" t="str"/>
      <c r="J2033" s="49" t="str"/>
      <c r="K2033" s="41" t="str"/>
      <c r="L2033" s="41" t="str"/>
      <c r="M2033" s="41" t="str"/>
      <c r="N2033" s="41" t="str"/>
      <c r="O2033" s="41" t="str"/>
      <c r="P2033" s="41" t="str"/>
      <c r="Q2033" s="41" t="str"/>
      <c r="R2033" s="41" t="str"/>
      <c r="S2033" s="41" t="str"/>
      <c r="T2033" s="41" t="str"/>
      <c r="U2033" s="41" t="str"/>
      <c r="V2033" s="41" t="str"/>
      <c r="W2033" s="41" t="str"/>
    </row>
    <row r="2034">
      <c r="B2034" s="2" t="n"/>
      <c r="C2034" s="40" t="n"/>
      <c r="D2034" s="52">
        <f t="array" ref="D2034:W2034">IF(All_Students_Scores!C2032:V2032="","",All_Students_Scores!C2032:V2032)</f>
        <v/>
      </c>
      <c r="E2034" s="57" t="str"/>
      <c r="F2034" s="49" t="str"/>
      <c r="G2034" s="59" t="str"/>
      <c r="H2034" s="64" t="str"/>
      <c r="I2034" s="65" t="str"/>
      <c r="J2034" s="49" t="str"/>
      <c r="K2034" s="41" t="str"/>
      <c r="L2034" s="41" t="str"/>
      <c r="M2034" s="41" t="str"/>
      <c r="N2034" s="41" t="str"/>
      <c r="O2034" s="41" t="str"/>
      <c r="P2034" s="41" t="str"/>
      <c r="Q2034" s="41" t="str"/>
      <c r="R2034" s="41" t="str"/>
      <c r="S2034" s="41" t="str"/>
      <c r="T2034" s="41" t="str"/>
      <c r="U2034" s="41" t="str"/>
      <c r="V2034" s="41" t="str"/>
      <c r="W2034" s="41" t="str"/>
    </row>
    <row r="2035">
      <c r="B2035" s="2" t="n"/>
      <c r="C2035" s="40" t="n"/>
      <c r="D2035" s="52">
        <f t="array" ref="D2035:W2035">IF(All_Students_Scores!C2033:V2033="","",All_Students_Scores!C2033:V2033)</f>
        <v/>
      </c>
      <c r="E2035" s="57" t="str"/>
      <c r="F2035" s="49" t="str"/>
      <c r="G2035" s="59" t="str"/>
      <c r="H2035" s="64" t="str"/>
      <c r="I2035" s="65" t="str"/>
      <c r="J2035" s="49" t="str"/>
      <c r="K2035" s="41" t="str"/>
      <c r="L2035" s="41" t="str"/>
      <c r="M2035" s="41" t="str"/>
      <c r="N2035" s="41" t="str"/>
      <c r="O2035" s="41" t="str"/>
      <c r="P2035" s="41" t="str"/>
      <c r="Q2035" s="41" t="str"/>
      <c r="R2035" s="41" t="str"/>
      <c r="S2035" s="41" t="str"/>
      <c r="T2035" s="41" t="str"/>
      <c r="U2035" s="41" t="str"/>
      <c r="V2035" s="41" t="str"/>
      <c r="W2035" s="41" t="str"/>
    </row>
    <row r="2036">
      <c r="B2036" s="2" t="n"/>
      <c r="C2036" s="40" t="n"/>
      <c r="D2036" s="52">
        <f t="array" ref="D2036:W2036">IF(All_Students_Scores!C2034:V2034="","",All_Students_Scores!C2034:V2034)</f>
        <v/>
      </c>
      <c r="E2036" s="57" t="str"/>
      <c r="F2036" s="49" t="str"/>
      <c r="G2036" s="59" t="str"/>
      <c r="H2036" s="64" t="str"/>
      <c r="I2036" s="65" t="str"/>
      <c r="J2036" s="49" t="str"/>
      <c r="K2036" s="41" t="str"/>
      <c r="L2036" s="41" t="str"/>
      <c r="M2036" s="41" t="str"/>
      <c r="N2036" s="41" t="str"/>
      <c r="O2036" s="41" t="str"/>
      <c r="P2036" s="41" t="str"/>
      <c r="Q2036" s="41" t="str"/>
      <c r="R2036" s="41" t="str"/>
      <c r="S2036" s="41" t="str"/>
      <c r="T2036" s="41" t="str"/>
      <c r="U2036" s="41" t="str"/>
      <c r="V2036" s="41" t="str"/>
      <c r="W2036" s="41" t="str"/>
    </row>
    <row r="2037">
      <c r="B2037" s="2" t="n"/>
      <c r="C2037" s="40" t="n"/>
      <c r="D2037" s="52">
        <f t="array" ref="D2037:W2037">IF(All_Students_Scores!C2035:V2035="","",All_Students_Scores!C2035:V2035)</f>
        <v/>
      </c>
      <c r="E2037" s="57" t="str"/>
      <c r="F2037" s="49" t="str"/>
      <c r="G2037" s="59" t="str"/>
      <c r="H2037" s="64" t="str"/>
      <c r="I2037" s="65" t="str"/>
      <c r="J2037" s="49" t="str"/>
      <c r="K2037" s="41" t="str"/>
      <c r="L2037" s="41" t="str"/>
      <c r="M2037" s="41" t="str"/>
      <c r="N2037" s="41" t="str"/>
      <c r="O2037" s="41" t="str"/>
      <c r="P2037" s="41" t="str"/>
      <c r="Q2037" s="41" t="str"/>
      <c r="R2037" s="41" t="str"/>
      <c r="S2037" s="41" t="str"/>
      <c r="T2037" s="41" t="str"/>
      <c r="U2037" s="41" t="str"/>
      <c r="V2037" s="41" t="str"/>
      <c r="W2037" s="41" t="str"/>
    </row>
    <row r="2038">
      <c r="B2038" s="2" t="n"/>
      <c r="C2038" s="40" t="n"/>
      <c r="D2038" s="52">
        <f t="array" ref="D2038:W2038">IF(All_Students_Scores!C2036:V2036="","",All_Students_Scores!C2036:V2036)</f>
        <v/>
      </c>
      <c r="E2038" s="57" t="str"/>
      <c r="F2038" s="49" t="str"/>
      <c r="G2038" s="59" t="str"/>
      <c r="H2038" s="64" t="str"/>
      <c r="I2038" s="65" t="str"/>
      <c r="J2038" s="49" t="str"/>
      <c r="K2038" s="41" t="str"/>
      <c r="L2038" s="41" t="str"/>
      <c r="M2038" s="41" t="str"/>
      <c r="N2038" s="41" t="str"/>
      <c r="O2038" s="41" t="str"/>
      <c r="P2038" s="41" t="str"/>
      <c r="Q2038" s="41" t="str"/>
      <c r="R2038" s="41" t="str"/>
      <c r="S2038" s="41" t="str"/>
      <c r="T2038" s="41" t="str"/>
      <c r="U2038" s="41" t="str"/>
      <c r="V2038" s="41" t="str"/>
      <c r="W2038" s="41" t="str"/>
    </row>
    <row r="2039">
      <c r="B2039" s="2" t="n"/>
      <c r="C2039" s="40" t="n"/>
      <c r="D2039" s="52">
        <f t="array" ref="D2039:W2039">IF(All_Students_Scores!C2037:V2037="","",All_Students_Scores!C2037:V2037)</f>
        <v/>
      </c>
      <c r="E2039" s="57" t="str"/>
      <c r="F2039" s="49" t="str"/>
      <c r="G2039" s="59" t="str"/>
      <c r="H2039" s="64" t="str"/>
      <c r="I2039" s="65" t="str"/>
      <c r="J2039" s="49" t="str"/>
      <c r="K2039" s="41" t="str"/>
      <c r="L2039" s="41" t="str"/>
      <c r="M2039" s="41" t="str"/>
      <c r="N2039" s="41" t="str"/>
      <c r="O2039" s="41" t="str"/>
      <c r="P2039" s="41" t="str"/>
      <c r="Q2039" s="41" t="str"/>
      <c r="R2039" s="41" t="str"/>
      <c r="S2039" s="41" t="str"/>
      <c r="T2039" s="41" t="str"/>
      <c r="U2039" s="41" t="str"/>
      <c r="V2039" s="41" t="str"/>
      <c r="W2039" s="41" t="str"/>
    </row>
    <row r="2040">
      <c r="B2040" s="2" t="n"/>
      <c r="C2040" s="40" t="n"/>
      <c r="D2040" s="52">
        <f t="array" ref="D2040:W2040">IF(All_Students_Scores!C2038:V2038="","",All_Students_Scores!C2038:V2038)</f>
        <v/>
      </c>
      <c r="E2040" s="57" t="str"/>
      <c r="F2040" s="49" t="str"/>
      <c r="G2040" s="59" t="str"/>
      <c r="H2040" s="64" t="str"/>
      <c r="I2040" s="65" t="str"/>
      <c r="J2040" s="49" t="str"/>
      <c r="K2040" s="41" t="str"/>
      <c r="L2040" s="41" t="str"/>
      <c r="M2040" s="41" t="str"/>
      <c r="N2040" s="41" t="str"/>
      <c r="O2040" s="41" t="str"/>
      <c r="P2040" s="41" t="str"/>
      <c r="Q2040" s="41" t="str"/>
      <c r="R2040" s="41" t="str"/>
      <c r="S2040" s="41" t="str"/>
      <c r="T2040" s="41" t="str"/>
      <c r="U2040" s="41" t="str"/>
      <c r="V2040" s="41" t="str"/>
      <c r="W2040" s="41" t="str"/>
    </row>
    <row r="2041">
      <c r="B2041" s="2" t="n"/>
      <c r="C2041" s="40" t="n"/>
      <c r="D2041" s="52">
        <f t="array" ref="D2041:W2041">IF(All_Students_Scores!C2039:V2039="","",All_Students_Scores!C2039:V2039)</f>
        <v/>
      </c>
      <c r="E2041" s="57" t="str"/>
      <c r="F2041" s="49" t="str"/>
      <c r="G2041" s="59" t="str"/>
      <c r="H2041" s="64" t="str"/>
      <c r="I2041" s="65" t="str"/>
      <c r="J2041" s="49" t="str"/>
      <c r="K2041" s="41" t="str"/>
      <c r="L2041" s="41" t="str"/>
      <c r="M2041" s="41" t="str"/>
      <c r="N2041" s="41" t="str"/>
      <c r="O2041" s="41" t="str"/>
      <c r="P2041" s="41" t="str"/>
      <c r="Q2041" s="41" t="str"/>
      <c r="R2041" s="41" t="str"/>
      <c r="S2041" s="41" t="str"/>
      <c r="T2041" s="41" t="str"/>
      <c r="U2041" s="41" t="str"/>
      <c r="V2041" s="41" t="str"/>
      <c r="W2041" s="41" t="str"/>
    </row>
    <row r="2042">
      <c r="B2042" s="2" t="n"/>
      <c r="C2042" s="40" t="n"/>
      <c r="D2042" s="52">
        <f t="array" ref="D2042:W2042">IF(All_Students_Scores!C2040:V2040="","",All_Students_Scores!C2040:V2040)</f>
        <v/>
      </c>
      <c r="E2042" s="57" t="str"/>
      <c r="F2042" s="49" t="str"/>
      <c r="G2042" s="59" t="str"/>
      <c r="H2042" s="64" t="str"/>
      <c r="I2042" s="65" t="str"/>
      <c r="J2042" s="49" t="str"/>
      <c r="K2042" s="41" t="str"/>
      <c r="L2042" s="41" t="str"/>
      <c r="M2042" s="41" t="str"/>
      <c r="N2042" s="41" t="str"/>
      <c r="O2042" s="41" t="str"/>
      <c r="P2042" s="41" t="str"/>
      <c r="Q2042" s="41" t="str"/>
      <c r="R2042" s="41" t="str"/>
      <c r="S2042" s="41" t="str"/>
      <c r="T2042" s="41" t="str"/>
      <c r="U2042" s="41" t="str"/>
      <c r="V2042" s="41" t="str"/>
      <c r="W2042" s="41" t="str"/>
    </row>
    <row r="2043">
      <c r="B2043" s="2" t="n"/>
      <c r="C2043" s="40" t="n"/>
      <c r="D2043" s="52">
        <f t="array" ref="D2043:W2043">IF(All_Students_Scores!C2041:V2041="","",All_Students_Scores!C2041:V2041)</f>
        <v/>
      </c>
      <c r="E2043" s="57" t="str"/>
      <c r="F2043" s="49" t="str"/>
      <c r="G2043" s="59" t="str"/>
      <c r="H2043" s="64" t="str"/>
      <c r="I2043" s="65" t="str"/>
      <c r="J2043" s="49" t="str"/>
      <c r="K2043" s="41" t="str"/>
      <c r="L2043" s="41" t="str"/>
      <c r="M2043" s="41" t="str"/>
      <c r="N2043" s="41" t="str"/>
      <c r="O2043" s="41" t="str"/>
      <c r="P2043" s="41" t="str"/>
      <c r="Q2043" s="41" t="str"/>
      <c r="R2043" s="41" t="str"/>
      <c r="S2043" s="41" t="str"/>
      <c r="T2043" s="41" t="str"/>
      <c r="U2043" s="41" t="str"/>
      <c r="V2043" s="41" t="str"/>
      <c r="W2043" s="41" t="str"/>
    </row>
    <row r="2044">
      <c r="B2044" s="2" t="n"/>
      <c r="C2044" s="40" t="n"/>
      <c r="D2044" s="52">
        <f t="array" ref="D2044:W2044">IF(All_Students_Scores!C2042:V2042="","",All_Students_Scores!C2042:V2042)</f>
        <v/>
      </c>
      <c r="E2044" s="57" t="str"/>
      <c r="F2044" s="49" t="str"/>
      <c r="G2044" s="59" t="str"/>
      <c r="H2044" s="64" t="str"/>
      <c r="I2044" s="65" t="str"/>
      <c r="J2044" s="49" t="str"/>
      <c r="K2044" s="41" t="str"/>
      <c r="L2044" s="41" t="str"/>
      <c r="M2044" s="41" t="str"/>
      <c r="N2044" s="41" t="str"/>
      <c r="O2044" s="41" t="str"/>
      <c r="P2044" s="41" t="str"/>
      <c r="Q2044" s="41" t="str"/>
      <c r="R2044" s="41" t="str"/>
      <c r="S2044" s="41" t="str"/>
      <c r="T2044" s="41" t="str"/>
      <c r="U2044" s="41" t="str"/>
      <c r="V2044" s="41" t="str"/>
      <c r="W2044" s="41" t="str"/>
    </row>
    <row r="2045">
      <c r="B2045" s="2" t="n"/>
      <c r="C2045" s="40" t="n"/>
      <c r="D2045" s="52">
        <f t="array" ref="D2045:W2045">IF(All_Students_Scores!C2043:V2043="","",All_Students_Scores!C2043:V2043)</f>
        <v/>
      </c>
      <c r="E2045" s="57" t="str"/>
      <c r="F2045" s="49" t="str"/>
      <c r="G2045" s="59" t="str"/>
      <c r="H2045" s="64" t="str"/>
      <c r="I2045" s="65" t="str"/>
      <c r="J2045" s="49" t="str"/>
      <c r="K2045" s="41" t="str"/>
      <c r="L2045" s="41" t="str"/>
      <c r="M2045" s="41" t="str"/>
      <c r="N2045" s="41" t="str"/>
      <c r="O2045" s="41" t="str"/>
      <c r="P2045" s="41" t="str"/>
      <c r="Q2045" s="41" t="str"/>
      <c r="R2045" s="41" t="str"/>
      <c r="S2045" s="41" t="str"/>
      <c r="T2045" s="41" t="str"/>
      <c r="U2045" s="41" t="str"/>
      <c r="V2045" s="41" t="str"/>
      <c r="W2045" s="41" t="str"/>
    </row>
    <row r="2046">
      <c r="B2046" s="2" t="n"/>
      <c r="C2046" s="40" t="n"/>
      <c r="D2046" s="52">
        <f t="array" ref="D2046:W2046">IF(All_Students_Scores!C2044:V2044="","",All_Students_Scores!C2044:V2044)</f>
        <v/>
      </c>
      <c r="E2046" s="57" t="str"/>
      <c r="F2046" s="49" t="str"/>
      <c r="G2046" s="59" t="str"/>
      <c r="H2046" s="64" t="str"/>
      <c r="I2046" s="65" t="str"/>
      <c r="J2046" s="49" t="str"/>
      <c r="K2046" s="41" t="str"/>
      <c r="L2046" s="41" t="str"/>
      <c r="M2046" s="41" t="str"/>
      <c r="N2046" s="41" t="str"/>
      <c r="O2046" s="41" t="str"/>
      <c r="P2046" s="41" t="str"/>
      <c r="Q2046" s="41" t="str"/>
      <c r="R2046" s="41" t="str"/>
      <c r="S2046" s="41" t="str"/>
      <c r="T2046" s="41" t="str"/>
      <c r="U2046" s="41" t="str"/>
      <c r="V2046" s="41" t="str"/>
      <c r="W2046" s="41" t="str"/>
    </row>
    <row r="2047">
      <c r="B2047" s="2" t="n"/>
      <c r="C2047" s="40" t="n"/>
      <c r="D2047" s="52">
        <f t="array" ref="D2047:W2047">IF(All_Students_Scores!C2045:V2045="","",All_Students_Scores!C2045:V2045)</f>
        <v/>
      </c>
      <c r="E2047" s="57" t="str"/>
      <c r="F2047" s="49" t="str"/>
      <c r="G2047" s="59" t="str"/>
      <c r="H2047" s="64" t="str"/>
      <c r="I2047" s="65" t="str"/>
      <c r="J2047" s="49" t="str"/>
      <c r="K2047" s="41" t="str"/>
      <c r="L2047" s="41" t="str"/>
      <c r="M2047" s="41" t="str"/>
      <c r="N2047" s="41" t="str"/>
      <c r="O2047" s="41" t="str"/>
      <c r="P2047" s="41" t="str"/>
      <c r="Q2047" s="41" t="str"/>
      <c r="R2047" s="41" t="str"/>
      <c r="S2047" s="41" t="str"/>
      <c r="T2047" s="41" t="str"/>
      <c r="U2047" s="41" t="str"/>
      <c r="V2047" s="41" t="str"/>
      <c r="W2047" s="41" t="str"/>
    </row>
    <row r="2048">
      <c r="B2048" s="2" t="n"/>
      <c r="C2048" s="40" t="n"/>
      <c r="D2048" s="52">
        <f t="array" ref="D2048:W2048">IF(All_Students_Scores!C2046:V2046="","",All_Students_Scores!C2046:V2046)</f>
        <v/>
      </c>
      <c r="E2048" s="57" t="str"/>
      <c r="F2048" s="49" t="str"/>
      <c r="G2048" s="59" t="str"/>
      <c r="H2048" s="64" t="str"/>
      <c r="I2048" s="65" t="str"/>
      <c r="J2048" s="49" t="str"/>
      <c r="K2048" s="41" t="str"/>
      <c r="L2048" s="41" t="str"/>
      <c r="M2048" s="41" t="str"/>
      <c r="N2048" s="41" t="str"/>
      <c r="O2048" s="41" t="str"/>
      <c r="P2048" s="41" t="str"/>
      <c r="Q2048" s="41" t="str"/>
      <c r="R2048" s="41" t="str"/>
      <c r="S2048" s="41" t="str"/>
      <c r="T2048" s="41" t="str"/>
      <c r="U2048" s="41" t="str"/>
      <c r="V2048" s="41" t="str"/>
      <c r="W2048" s="41" t="str"/>
    </row>
    <row r="2049">
      <c r="B2049" s="2" t="n"/>
      <c r="C2049" s="40" t="n"/>
      <c r="D2049" s="52">
        <f t="array" ref="D2049:W2049">IF(All_Students_Scores!C2047:V2047="","",All_Students_Scores!C2047:V2047)</f>
        <v/>
      </c>
      <c r="E2049" s="57" t="str"/>
      <c r="F2049" s="49" t="str"/>
      <c r="G2049" s="59" t="str"/>
      <c r="H2049" s="64" t="str"/>
      <c r="I2049" s="65" t="str"/>
      <c r="J2049" s="49" t="str"/>
      <c r="K2049" s="41" t="str"/>
      <c r="L2049" s="41" t="str"/>
      <c r="M2049" s="41" t="str"/>
      <c r="N2049" s="41" t="str"/>
      <c r="O2049" s="41" t="str"/>
      <c r="P2049" s="41" t="str"/>
      <c r="Q2049" s="41" t="str"/>
      <c r="R2049" s="41" t="str"/>
      <c r="S2049" s="41" t="str"/>
      <c r="T2049" s="41" t="str"/>
      <c r="U2049" s="41" t="str"/>
      <c r="V2049" s="41" t="str"/>
      <c r="W2049" s="41" t="str"/>
    </row>
    <row r="2050">
      <c r="B2050" s="2" t="n"/>
      <c r="C2050" s="40" t="n"/>
      <c r="D2050" s="52">
        <f t="array" ref="D2050:W2050">IF(All_Students_Scores!C2048:V2048="","",All_Students_Scores!C2048:V2048)</f>
        <v/>
      </c>
      <c r="E2050" s="57" t="str"/>
      <c r="F2050" s="49" t="str"/>
      <c r="G2050" s="59" t="str"/>
      <c r="H2050" s="64" t="str"/>
      <c r="I2050" s="65" t="str"/>
      <c r="J2050" s="49" t="str"/>
      <c r="K2050" s="41" t="str"/>
      <c r="L2050" s="41" t="str"/>
      <c r="M2050" s="41" t="str"/>
      <c r="N2050" s="41" t="str"/>
      <c r="O2050" s="41" t="str"/>
      <c r="P2050" s="41" t="str"/>
      <c r="Q2050" s="41" t="str"/>
      <c r="R2050" s="41" t="str"/>
      <c r="S2050" s="41" t="str"/>
      <c r="T2050" s="41" t="str"/>
      <c r="U2050" s="41" t="str"/>
      <c r="V2050" s="41" t="str"/>
      <c r="W2050" s="41" t="str"/>
    </row>
    <row r="2051">
      <c r="B2051" s="2" t="n"/>
      <c r="C2051" s="40" t="n"/>
      <c r="D2051" s="52">
        <f t="array" ref="D2051:W2051">IF(All_Students_Scores!C2049:V2049="","",All_Students_Scores!C2049:V2049)</f>
        <v/>
      </c>
      <c r="E2051" s="57" t="str"/>
      <c r="F2051" s="49" t="str"/>
      <c r="G2051" s="59" t="str"/>
      <c r="H2051" s="64" t="str"/>
      <c r="I2051" s="65" t="str"/>
      <c r="J2051" s="49" t="str"/>
      <c r="K2051" s="41" t="str"/>
      <c r="L2051" s="41" t="str"/>
      <c r="M2051" s="41" t="str"/>
      <c r="N2051" s="41" t="str"/>
      <c r="O2051" s="41" t="str"/>
      <c r="P2051" s="41" t="str"/>
      <c r="Q2051" s="41" t="str"/>
      <c r="R2051" s="41" t="str"/>
      <c r="S2051" s="41" t="str"/>
      <c r="T2051" s="41" t="str"/>
      <c r="U2051" s="41" t="str"/>
      <c r="V2051" s="41" t="str"/>
      <c r="W2051" s="41" t="str"/>
    </row>
    <row r="2052">
      <c r="B2052" s="2" t="n"/>
      <c r="C2052" s="40" t="n"/>
      <c r="D2052" s="52">
        <f t="array" ref="D2052:W2052">IF(All_Students_Scores!C2050:V2050="","",All_Students_Scores!C2050:V2050)</f>
        <v/>
      </c>
      <c r="E2052" s="57" t="str"/>
      <c r="F2052" s="49" t="str"/>
      <c r="G2052" s="59" t="str"/>
      <c r="H2052" s="64" t="str"/>
      <c r="I2052" s="65" t="str"/>
      <c r="J2052" s="49" t="str"/>
      <c r="K2052" s="41" t="str"/>
      <c r="L2052" s="41" t="str"/>
      <c r="M2052" s="41" t="str"/>
      <c r="N2052" s="41" t="str"/>
      <c r="O2052" s="41" t="str"/>
      <c r="P2052" s="41" t="str"/>
      <c r="Q2052" s="41" t="str"/>
      <c r="R2052" s="41" t="str"/>
      <c r="S2052" s="41" t="str"/>
      <c r="T2052" s="41" t="str"/>
      <c r="U2052" s="41" t="str"/>
      <c r="V2052" s="41" t="str"/>
      <c r="W2052" s="41" t="str"/>
    </row>
    <row r="2053">
      <c r="B2053" s="2" t="n"/>
      <c r="C2053" s="40" t="n"/>
      <c r="D2053" s="52">
        <f t="array" ref="D2053:W2053">IF(All_Students_Scores!C2051:V2051="","",All_Students_Scores!C2051:V2051)</f>
        <v/>
      </c>
      <c r="E2053" s="57" t="str"/>
      <c r="F2053" s="49" t="str"/>
      <c r="G2053" s="59" t="str"/>
      <c r="H2053" s="64" t="str"/>
      <c r="I2053" s="65" t="str"/>
      <c r="J2053" s="49" t="str"/>
      <c r="K2053" s="41" t="str"/>
      <c r="L2053" s="41" t="str"/>
      <c r="M2053" s="41" t="str"/>
      <c r="N2053" s="41" t="str"/>
      <c r="O2053" s="41" t="str"/>
      <c r="P2053" s="41" t="str"/>
      <c r="Q2053" s="41" t="str"/>
      <c r="R2053" s="41" t="str"/>
      <c r="S2053" s="41" t="str"/>
      <c r="T2053" s="41" t="str"/>
      <c r="U2053" s="41" t="str"/>
      <c r="V2053" s="41" t="str"/>
      <c r="W2053" s="41" t="str"/>
    </row>
    <row r="2054">
      <c r="B2054" s="2" t="n"/>
      <c r="C2054" s="40" t="n"/>
      <c r="D2054" s="52">
        <f t="array" ref="D2054:W2054">IF(All_Students_Scores!C2052:V2052="","",All_Students_Scores!C2052:V2052)</f>
        <v/>
      </c>
      <c r="E2054" s="57" t="str"/>
      <c r="F2054" s="49" t="str"/>
      <c r="G2054" s="59" t="str"/>
      <c r="H2054" s="64" t="str"/>
      <c r="I2054" s="65" t="str"/>
      <c r="J2054" s="49" t="str"/>
      <c r="K2054" s="41" t="str"/>
      <c r="L2054" s="41" t="str"/>
      <c r="M2054" s="41" t="str"/>
      <c r="N2054" s="41" t="str"/>
      <c r="O2054" s="41" t="str"/>
      <c r="P2054" s="41" t="str"/>
      <c r="Q2054" s="41" t="str"/>
      <c r="R2054" s="41" t="str"/>
      <c r="S2054" s="41" t="str"/>
      <c r="T2054" s="41" t="str"/>
      <c r="U2054" s="41" t="str"/>
      <c r="V2054" s="41" t="str"/>
      <c r="W2054" s="41" t="str"/>
    </row>
    <row r="2055">
      <c r="B2055" s="2" t="n"/>
      <c r="C2055" s="40" t="n"/>
      <c r="D2055" s="52">
        <f t="array" ref="D2055:W2055">IF(All_Students_Scores!C2053:V2053="","",All_Students_Scores!C2053:V2053)</f>
        <v/>
      </c>
      <c r="E2055" s="57" t="str"/>
      <c r="F2055" s="49" t="str"/>
      <c r="G2055" s="59" t="str"/>
      <c r="H2055" s="64" t="str"/>
      <c r="I2055" s="65" t="str"/>
      <c r="J2055" s="49" t="str"/>
      <c r="K2055" s="41" t="str"/>
      <c r="L2055" s="41" t="str"/>
      <c r="M2055" s="41" t="str"/>
      <c r="N2055" s="41" t="str"/>
      <c r="O2055" s="41" t="str"/>
      <c r="P2055" s="41" t="str"/>
      <c r="Q2055" s="41" t="str"/>
      <c r="R2055" s="41" t="str"/>
      <c r="S2055" s="41" t="str"/>
      <c r="T2055" s="41" t="str"/>
      <c r="U2055" s="41" t="str"/>
      <c r="V2055" s="41" t="str"/>
      <c r="W2055" s="41" t="str"/>
    </row>
    <row r="2056">
      <c r="B2056" s="2" t="n"/>
      <c r="C2056" s="40" t="n"/>
      <c r="D2056" s="52">
        <f t="array" ref="D2056:W2056">IF(All_Students_Scores!C2054:V2054="","",All_Students_Scores!C2054:V2054)</f>
        <v/>
      </c>
      <c r="E2056" s="57" t="str"/>
      <c r="F2056" s="49" t="str"/>
      <c r="G2056" s="59" t="str"/>
      <c r="H2056" s="64" t="str"/>
      <c r="I2056" s="65" t="str"/>
      <c r="J2056" s="49" t="str"/>
      <c r="K2056" s="41" t="str"/>
      <c r="L2056" s="41" t="str"/>
      <c r="M2056" s="41" t="str"/>
      <c r="N2056" s="41" t="str"/>
      <c r="O2056" s="41" t="str"/>
      <c r="P2056" s="41" t="str"/>
      <c r="Q2056" s="41" t="str"/>
      <c r="R2056" s="41" t="str"/>
      <c r="S2056" s="41" t="str"/>
      <c r="T2056" s="41" t="str"/>
      <c r="U2056" s="41" t="str"/>
      <c r="V2056" s="41" t="str"/>
      <c r="W2056" s="41" t="str"/>
    </row>
    <row r="2057">
      <c r="B2057" s="2" t="n"/>
      <c r="C2057" s="40" t="n"/>
      <c r="D2057" s="52">
        <f t="array" ref="D2057:W2057">IF(All_Students_Scores!C2055:V2055="","",All_Students_Scores!C2055:V2055)</f>
        <v/>
      </c>
      <c r="E2057" s="57" t="str"/>
      <c r="F2057" s="49" t="str"/>
      <c r="G2057" s="59" t="str"/>
      <c r="H2057" s="64" t="str"/>
      <c r="I2057" s="65" t="str"/>
      <c r="J2057" s="49" t="str"/>
      <c r="K2057" s="41" t="str"/>
      <c r="L2057" s="41" t="str"/>
      <c r="M2057" s="41" t="str"/>
      <c r="N2057" s="41" t="str"/>
      <c r="O2057" s="41" t="str"/>
      <c r="P2057" s="41" t="str"/>
      <c r="Q2057" s="41" t="str"/>
      <c r="R2057" s="41" t="str"/>
      <c r="S2057" s="41" t="str"/>
      <c r="T2057" s="41" t="str"/>
      <c r="U2057" s="41" t="str"/>
      <c r="V2057" s="41" t="str"/>
      <c r="W2057" s="41" t="str"/>
    </row>
    <row r="2058">
      <c r="B2058" s="2" t="n"/>
      <c r="C2058" s="40" t="n"/>
      <c r="D2058" s="52">
        <f t="array" ref="D2058:W2058">IF(All_Students_Scores!C2056:V2056="","",All_Students_Scores!C2056:V2056)</f>
        <v/>
      </c>
      <c r="E2058" s="57" t="str"/>
      <c r="F2058" s="49" t="str"/>
      <c r="G2058" s="59" t="str"/>
      <c r="H2058" s="64" t="str"/>
      <c r="I2058" s="65" t="str"/>
      <c r="J2058" s="49" t="str"/>
      <c r="K2058" s="41" t="str"/>
      <c r="L2058" s="41" t="str"/>
      <c r="M2058" s="41" t="str"/>
      <c r="N2058" s="41" t="str"/>
      <c r="O2058" s="41" t="str"/>
      <c r="P2058" s="41" t="str"/>
      <c r="Q2058" s="41" t="str"/>
      <c r="R2058" s="41" t="str"/>
      <c r="S2058" s="41" t="str"/>
      <c r="T2058" s="41" t="str"/>
      <c r="U2058" s="41" t="str"/>
      <c r="V2058" s="41" t="str"/>
      <c r="W2058" s="41" t="str"/>
    </row>
    <row r="2059">
      <c r="B2059" s="2" t="n"/>
      <c r="C2059" s="40" t="n"/>
      <c r="D2059" s="52">
        <f t="array" ref="D2059:W2059">IF(All_Students_Scores!C2057:V2057="","",All_Students_Scores!C2057:V2057)</f>
        <v/>
      </c>
      <c r="E2059" s="57" t="str"/>
      <c r="F2059" s="49" t="str"/>
      <c r="G2059" s="59" t="str"/>
      <c r="H2059" s="64" t="str"/>
      <c r="I2059" s="65" t="str"/>
      <c r="J2059" s="49" t="str"/>
      <c r="K2059" s="41" t="str"/>
      <c r="L2059" s="41" t="str"/>
      <c r="M2059" s="41" t="str"/>
      <c r="N2059" s="41" t="str"/>
      <c r="O2059" s="41" t="str"/>
      <c r="P2059" s="41" t="str"/>
      <c r="Q2059" s="41" t="str"/>
      <c r="R2059" s="41" t="str"/>
      <c r="S2059" s="41" t="str"/>
      <c r="T2059" s="41" t="str"/>
      <c r="U2059" s="41" t="str"/>
      <c r="V2059" s="41" t="str"/>
      <c r="W2059" s="41" t="str"/>
    </row>
    <row r="2060">
      <c r="B2060" s="2" t="n"/>
      <c r="C2060" s="40" t="n"/>
      <c r="D2060" s="52">
        <f t="array" ref="D2060:W2060">IF(All_Students_Scores!C2058:V2058="","",All_Students_Scores!C2058:V2058)</f>
        <v/>
      </c>
      <c r="E2060" s="57" t="str"/>
      <c r="F2060" s="49" t="str"/>
      <c r="G2060" s="59" t="str"/>
      <c r="H2060" s="64" t="str"/>
      <c r="I2060" s="65" t="str"/>
      <c r="J2060" s="49" t="str"/>
      <c r="K2060" s="41" t="str"/>
      <c r="L2060" s="41" t="str"/>
      <c r="M2060" s="41" t="str"/>
      <c r="N2060" s="41" t="str"/>
      <c r="O2060" s="41" t="str"/>
      <c r="P2060" s="41" t="str"/>
      <c r="Q2060" s="41" t="str"/>
      <c r="R2060" s="41" t="str"/>
      <c r="S2060" s="41" t="str"/>
      <c r="T2060" s="41" t="str"/>
      <c r="U2060" s="41" t="str"/>
      <c r="V2060" s="41" t="str"/>
      <c r="W2060" s="41" t="str"/>
    </row>
    <row r="2061">
      <c r="B2061" s="2" t="n"/>
      <c r="C2061" s="40" t="n"/>
      <c r="D2061" s="52">
        <f t="array" ref="D2061:W2061">IF(All_Students_Scores!C2059:V2059="","",All_Students_Scores!C2059:V2059)</f>
        <v/>
      </c>
      <c r="E2061" s="57" t="str"/>
      <c r="F2061" s="49" t="str"/>
      <c r="G2061" s="59" t="str"/>
      <c r="H2061" s="64" t="str"/>
      <c r="I2061" s="65" t="str"/>
      <c r="J2061" s="49" t="str"/>
      <c r="K2061" s="41" t="str"/>
      <c r="L2061" s="41" t="str"/>
      <c r="M2061" s="41" t="str"/>
      <c r="N2061" s="41" t="str"/>
      <c r="O2061" s="41" t="str"/>
      <c r="P2061" s="41" t="str"/>
      <c r="Q2061" s="41" t="str"/>
      <c r="R2061" s="41" t="str"/>
      <c r="S2061" s="41" t="str"/>
      <c r="T2061" s="41" t="str"/>
      <c r="U2061" s="41" t="str"/>
      <c r="V2061" s="41" t="str"/>
      <c r="W2061" s="41" t="str"/>
    </row>
    <row r="2062">
      <c r="B2062" s="2" t="n"/>
      <c r="C2062" s="40" t="n"/>
      <c r="D2062" s="52">
        <f t="array" ref="D2062:W2062">IF(All_Students_Scores!C2060:V2060="","",All_Students_Scores!C2060:V2060)</f>
        <v/>
      </c>
      <c r="E2062" s="57" t="str"/>
      <c r="F2062" s="49" t="str"/>
      <c r="G2062" s="59" t="str"/>
      <c r="H2062" s="64" t="str"/>
      <c r="I2062" s="65" t="str"/>
      <c r="J2062" s="49" t="str"/>
      <c r="K2062" s="41" t="str"/>
      <c r="L2062" s="41" t="str"/>
      <c r="M2062" s="41" t="str"/>
      <c r="N2062" s="41" t="str"/>
      <c r="O2062" s="41" t="str"/>
      <c r="P2062" s="41" t="str"/>
      <c r="Q2062" s="41" t="str"/>
      <c r="R2062" s="41" t="str"/>
      <c r="S2062" s="41" t="str"/>
      <c r="T2062" s="41" t="str"/>
      <c r="U2062" s="41" t="str"/>
      <c r="V2062" s="41" t="str"/>
      <c r="W2062" s="41" t="str"/>
    </row>
    <row r="2063">
      <c r="B2063" s="2" t="n"/>
      <c r="C2063" s="40" t="n"/>
      <c r="D2063" s="52">
        <f t="array" ref="D2063:W2063">IF(All_Students_Scores!C2061:V2061="","",All_Students_Scores!C2061:V2061)</f>
        <v/>
      </c>
      <c r="E2063" s="57" t="str"/>
      <c r="F2063" s="49" t="str"/>
      <c r="G2063" s="59" t="str"/>
      <c r="H2063" s="64" t="str"/>
      <c r="I2063" s="65" t="str"/>
      <c r="J2063" s="49" t="str"/>
      <c r="K2063" s="41" t="str"/>
      <c r="L2063" s="41" t="str"/>
      <c r="M2063" s="41" t="str"/>
      <c r="N2063" s="41" t="str"/>
      <c r="O2063" s="41" t="str"/>
      <c r="P2063" s="41" t="str"/>
      <c r="Q2063" s="41" t="str"/>
      <c r="R2063" s="41" t="str"/>
      <c r="S2063" s="41" t="str"/>
      <c r="T2063" s="41" t="str"/>
      <c r="U2063" s="41" t="str"/>
      <c r="V2063" s="41" t="str"/>
      <c r="W2063" s="41" t="str"/>
    </row>
    <row r="2064">
      <c r="B2064" s="2" t="n"/>
      <c r="C2064" s="40" t="n"/>
      <c r="D2064" s="52">
        <f t="array" ref="D2064:W2064">IF(All_Students_Scores!C2062:V2062="","",All_Students_Scores!C2062:V2062)</f>
        <v/>
      </c>
      <c r="E2064" s="57" t="str"/>
      <c r="F2064" s="49" t="str"/>
      <c r="G2064" s="59" t="str"/>
      <c r="H2064" s="64" t="str"/>
      <c r="I2064" s="65" t="str"/>
      <c r="J2064" s="49" t="str"/>
      <c r="K2064" s="41" t="str"/>
      <c r="L2064" s="41" t="str"/>
      <c r="M2064" s="41" t="str"/>
      <c r="N2064" s="41" t="str"/>
      <c r="O2064" s="41" t="str"/>
      <c r="P2064" s="41" t="str"/>
      <c r="Q2064" s="41" t="str"/>
      <c r="R2064" s="41" t="str"/>
      <c r="S2064" s="41" t="str"/>
      <c r="T2064" s="41" t="str"/>
      <c r="U2064" s="41" t="str"/>
      <c r="V2064" s="41" t="str"/>
      <c r="W2064" s="41" t="str"/>
    </row>
    <row r="2065">
      <c r="B2065" s="2" t="n"/>
      <c r="C2065" s="40" t="n"/>
      <c r="D2065" s="52">
        <f t="array" ref="D2065:W2065">IF(All_Students_Scores!C2063:V2063="","",All_Students_Scores!C2063:V2063)</f>
        <v/>
      </c>
      <c r="E2065" s="57" t="str"/>
      <c r="F2065" s="49" t="str"/>
      <c r="G2065" s="59" t="str"/>
      <c r="H2065" s="64" t="str"/>
      <c r="I2065" s="65" t="str"/>
      <c r="J2065" s="49" t="str"/>
      <c r="K2065" s="41" t="str"/>
      <c r="L2065" s="41" t="str"/>
      <c r="M2065" s="41" t="str"/>
      <c r="N2065" s="41" t="str"/>
      <c r="O2065" s="41" t="str"/>
      <c r="P2065" s="41" t="str"/>
      <c r="Q2065" s="41" t="str"/>
      <c r="R2065" s="41" t="str"/>
      <c r="S2065" s="41" t="str"/>
      <c r="T2065" s="41" t="str"/>
      <c r="U2065" s="41" t="str"/>
      <c r="V2065" s="41" t="str"/>
      <c r="W2065" s="41" t="str"/>
    </row>
    <row r="2066">
      <c r="B2066" s="2" t="n"/>
      <c r="C2066" s="40" t="n"/>
      <c r="D2066" s="52">
        <f t="array" ref="D2066:W2066">IF(All_Students_Scores!C2064:V2064="","",All_Students_Scores!C2064:V2064)</f>
        <v/>
      </c>
      <c r="E2066" s="57" t="str"/>
      <c r="F2066" s="49" t="str"/>
      <c r="G2066" s="59" t="str"/>
      <c r="H2066" s="64" t="str"/>
      <c r="I2066" s="65" t="str"/>
      <c r="J2066" s="49" t="str"/>
      <c r="K2066" s="41" t="str"/>
      <c r="L2066" s="41" t="str"/>
      <c r="M2066" s="41" t="str"/>
      <c r="N2066" s="41" t="str"/>
      <c r="O2066" s="41" t="str"/>
      <c r="P2066" s="41" t="str"/>
      <c r="Q2066" s="41" t="str"/>
      <c r="R2066" s="41" t="str"/>
      <c r="S2066" s="41" t="str"/>
      <c r="T2066" s="41" t="str"/>
      <c r="U2066" s="41" t="str"/>
      <c r="V2066" s="41" t="str"/>
      <c r="W2066" s="41" t="str"/>
    </row>
    <row r="2067">
      <c r="B2067" s="2" t="n"/>
      <c r="C2067" s="40" t="n"/>
      <c r="D2067" s="52">
        <f t="array" ref="D2067:W2067">IF(All_Students_Scores!C2065:V2065="","",All_Students_Scores!C2065:V2065)</f>
        <v/>
      </c>
      <c r="E2067" s="57" t="str"/>
      <c r="F2067" s="49" t="str"/>
      <c r="G2067" s="59" t="str"/>
      <c r="H2067" s="64" t="str"/>
      <c r="I2067" s="65" t="str"/>
      <c r="J2067" s="49" t="str"/>
      <c r="K2067" s="41" t="str"/>
      <c r="L2067" s="41" t="str"/>
      <c r="M2067" s="41" t="str"/>
      <c r="N2067" s="41" t="str"/>
      <c r="O2067" s="41" t="str"/>
      <c r="P2067" s="41" t="str"/>
      <c r="Q2067" s="41" t="str"/>
      <c r="R2067" s="41" t="str"/>
      <c r="S2067" s="41" t="str"/>
      <c r="T2067" s="41" t="str"/>
      <c r="U2067" s="41" t="str"/>
      <c r="V2067" s="41" t="str"/>
      <c r="W2067" s="41" t="str"/>
    </row>
    <row r="2068">
      <c r="B2068" s="2" t="n"/>
      <c r="C2068" s="40" t="n"/>
      <c r="D2068" s="52">
        <f t="array" ref="D2068:W2068">IF(All_Students_Scores!C2066:V2066="","",All_Students_Scores!C2066:V2066)</f>
        <v/>
      </c>
      <c r="E2068" s="57" t="str"/>
      <c r="F2068" s="49" t="str"/>
      <c r="G2068" s="59" t="str"/>
      <c r="H2068" s="64" t="str"/>
      <c r="I2068" s="65" t="str"/>
      <c r="J2068" s="49" t="str"/>
      <c r="K2068" s="41" t="str"/>
      <c r="L2068" s="41" t="str"/>
      <c r="M2068" s="41" t="str"/>
      <c r="N2068" s="41" t="str"/>
      <c r="O2068" s="41" t="str"/>
      <c r="P2068" s="41" t="str"/>
      <c r="Q2068" s="41" t="str"/>
      <c r="R2068" s="41" t="str"/>
      <c r="S2068" s="41" t="str"/>
      <c r="T2068" s="41" t="str"/>
      <c r="U2068" s="41" t="str"/>
      <c r="V2068" s="41" t="str"/>
      <c r="W2068" s="41" t="str"/>
    </row>
    <row r="2069">
      <c r="B2069" s="2" t="n"/>
      <c r="C2069" s="40" t="n"/>
      <c r="D2069" s="52">
        <f t="array" ref="D2069:W2069">IF(All_Students_Scores!C2067:V2067="","",All_Students_Scores!C2067:V2067)</f>
        <v/>
      </c>
      <c r="E2069" s="57" t="str"/>
      <c r="F2069" s="49" t="str"/>
      <c r="G2069" s="59" t="str"/>
      <c r="H2069" s="64" t="str"/>
      <c r="I2069" s="65" t="str"/>
      <c r="J2069" s="49" t="str"/>
      <c r="K2069" s="41" t="str"/>
      <c r="L2069" s="41" t="str"/>
      <c r="M2069" s="41" t="str"/>
      <c r="N2069" s="41" t="str"/>
      <c r="O2069" s="41" t="str"/>
      <c r="P2069" s="41" t="str"/>
      <c r="Q2069" s="41" t="str"/>
      <c r="R2069" s="41" t="str"/>
      <c r="S2069" s="41" t="str"/>
      <c r="T2069" s="41" t="str"/>
      <c r="U2069" s="41" t="str"/>
      <c r="V2069" s="41" t="str"/>
      <c r="W2069" s="41" t="str"/>
    </row>
    <row r="2070">
      <c r="B2070" s="2" t="n"/>
      <c r="C2070" s="40" t="n"/>
      <c r="D2070" s="52">
        <f t="array" ref="D2070:W2070">IF(All_Students_Scores!C2068:V2068="","",All_Students_Scores!C2068:V2068)</f>
        <v/>
      </c>
      <c r="E2070" s="57" t="str"/>
      <c r="F2070" s="49" t="str"/>
      <c r="G2070" s="59" t="str"/>
      <c r="H2070" s="64" t="str"/>
      <c r="I2070" s="65" t="str"/>
      <c r="J2070" s="49" t="str"/>
      <c r="K2070" s="41" t="str"/>
      <c r="L2070" s="41" t="str"/>
      <c r="M2070" s="41" t="str"/>
      <c r="N2070" s="41" t="str"/>
      <c r="O2070" s="41" t="str"/>
      <c r="P2070" s="41" t="str"/>
      <c r="Q2070" s="41" t="str"/>
      <c r="R2070" s="41" t="str"/>
      <c r="S2070" s="41" t="str"/>
      <c r="T2070" s="41" t="str"/>
      <c r="U2070" s="41" t="str"/>
      <c r="V2070" s="41" t="str"/>
      <c r="W2070" s="41" t="str"/>
    </row>
    <row r="2071">
      <c r="B2071" s="2" t="n"/>
      <c r="C2071" s="40" t="n"/>
      <c r="D2071" s="52">
        <f t="array" ref="D2071:W2071">IF(All_Students_Scores!C2069:V2069="","",All_Students_Scores!C2069:V2069)</f>
        <v/>
      </c>
      <c r="E2071" s="57" t="str"/>
      <c r="F2071" s="49" t="str"/>
      <c r="G2071" s="59" t="str"/>
      <c r="H2071" s="64" t="str"/>
      <c r="I2071" s="65" t="str"/>
      <c r="J2071" s="49" t="str"/>
      <c r="K2071" s="41" t="str"/>
      <c r="L2071" s="41" t="str"/>
      <c r="M2071" s="41" t="str"/>
      <c r="N2071" s="41" t="str"/>
      <c r="O2071" s="41" t="str"/>
      <c r="P2071" s="41" t="str"/>
      <c r="Q2071" s="41" t="str"/>
      <c r="R2071" s="41" t="str"/>
      <c r="S2071" s="41" t="str"/>
      <c r="T2071" s="41" t="str"/>
      <c r="U2071" s="41" t="str"/>
      <c r="V2071" s="41" t="str"/>
      <c r="W2071" s="41" t="str"/>
    </row>
    <row r="2072">
      <c r="B2072" s="2" t="n"/>
      <c r="C2072" s="40" t="n"/>
      <c r="D2072" s="52">
        <f t="array" ref="D2072:W2072">IF(All_Students_Scores!C2070:V2070="","",All_Students_Scores!C2070:V2070)</f>
        <v/>
      </c>
      <c r="E2072" s="57" t="str"/>
      <c r="F2072" s="49" t="str"/>
      <c r="G2072" s="59" t="str"/>
      <c r="H2072" s="64" t="str"/>
      <c r="I2072" s="65" t="str"/>
      <c r="J2072" s="49" t="str"/>
      <c r="K2072" s="41" t="str"/>
      <c r="L2072" s="41" t="str"/>
      <c r="M2072" s="41" t="str"/>
      <c r="N2072" s="41" t="str"/>
      <c r="O2072" s="41" t="str"/>
      <c r="P2072" s="41" t="str"/>
      <c r="Q2072" s="41" t="str"/>
      <c r="R2072" s="41" t="str"/>
      <c r="S2072" s="41" t="str"/>
      <c r="T2072" s="41" t="str"/>
      <c r="U2072" s="41" t="str"/>
      <c r="V2072" s="41" t="str"/>
      <c r="W2072" s="41" t="str"/>
    </row>
    <row r="2073">
      <c r="B2073" s="2" t="n"/>
      <c r="C2073" s="40" t="n"/>
      <c r="D2073" s="52">
        <f t="array" ref="D2073:W2073">IF(All_Students_Scores!C2071:V2071="","",All_Students_Scores!C2071:V2071)</f>
        <v/>
      </c>
      <c r="E2073" s="57" t="str"/>
      <c r="F2073" s="49" t="str"/>
      <c r="G2073" s="59" t="str"/>
      <c r="H2073" s="64" t="str"/>
      <c r="I2073" s="65" t="str"/>
      <c r="J2073" s="49" t="str"/>
      <c r="K2073" s="41" t="str"/>
      <c r="L2073" s="41" t="str"/>
      <c r="M2073" s="41" t="str"/>
      <c r="N2073" s="41" t="str"/>
      <c r="O2073" s="41" t="str"/>
      <c r="P2073" s="41" t="str"/>
      <c r="Q2073" s="41" t="str"/>
      <c r="R2073" s="41" t="str"/>
      <c r="S2073" s="41" t="str"/>
      <c r="T2073" s="41" t="str"/>
      <c r="U2073" s="41" t="str"/>
      <c r="V2073" s="41" t="str"/>
      <c r="W2073" s="41" t="str"/>
    </row>
    <row r="2074">
      <c r="B2074" s="2" t="n"/>
      <c r="C2074" s="40" t="n"/>
      <c r="D2074" s="52">
        <f t="array" ref="D2074:W2074">IF(All_Students_Scores!C2072:V2072="","",All_Students_Scores!C2072:V2072)</f>
        <v/>
      </c>
      <c r="E2074" s="57" t="str"/>
      <c r="F2074" s="49" t="str"/>
      <c r="G2074" s="59" t="str"/>
      <c r="H2074" s="64" t="str"/>
      <c r="I2074" s="65" t="str"/>
      <c r="J2074" s="49" t="str"/>
      <c r="K2074" s="41" t="str"/>
      <c r="L2074" s="41" t="str"/>
      <c r="M2074" s="41" t="str"/>
      <c r="N2074" s="41" t="str"/>
      <c r="O2074" s="41" t="str"/>
      <c r="P2074" s="41" t="str"/>
      <c r="Q2074" s="41" t="str"/>
      <c r="R2074" s="41" t="str"/>
      <c r="S2074" s="41" t="str"/>
      <c r="T2074" s="41" t="str"/>
      <c r="U2074" s="41" t="str"/>
      <c r="V2074" s="41" t="str"/>
      <c r="W2074" s="41" t="str"/>
    </row>
    <row r="2075">
      <c r="B2075" s="2" t="n"/>
      <c r="C2075" s="40" t="n"/>
      <c r="D2075" s="52">
        <f t="array" ref="D2075:W2075">IF(All_Students_Scores!C2073:V2073="","",All_Students_Scores!C2073:V2073)</f>
        <v/>
      </c>
      <c r="E2075" s="57" t="str"/>
      <c r="F2075" s="49" t="str"/>
      <c r="G2075" s="59" t="str"/>
      <c r="H2075" s="64" t="str"/>
      <c r="I2075" s="65" t="str"/>
      <c r="J2075" s="49" t="str"/>
      <c r="K2075" s="41" t="str"/>
      <c r="L2075" s="41" t="str"/>
      <c r="M2075" s="41" t="str"/>
      <c r="N2075" s="41" t="str"/>
      <c r="O2075" s="41" t="str"/>
      <c r="P2075" s="41" t="str"/>
      <c r="Q2075" s="41" t="str"/>
      <c r="R2075" s="41" t="str"/>
      <c r="S2075" s="41" t="str"/>
      <c r="T2075" s="41" t="str"/>
      <c r="U2075" s="41" t="str"/>
      <c r="V2075" s="41" t="str"/>
      <c r="W2075" s="41" t="str"/>
    </row>
    <row r="2076">
      <c r="B2076" s="2" t="n"/>
      <c r="C2076" s="40" t="n"/>
      <c r="D2076" s="52">
        <f t="array" ref="D2076:W2076">IF(All_Students_Scores!C2074:V2074="","",All_Students_Scores!C2074:V2074)</f>
        <v/>
      </c>
      <c r="E2076" s="57" t="str"/>
      <c r="F2076" s="49" t="str"/>
      <c r="G2076" s="59" t="str"/>
      <c r="H2076" s="64" t="str"/>
      <c r="I2076" s="65" t="str"/>
      <c r="J2076" s="49" t="str"/>
      <c r="K2076" s="41" t="str"/>
      <c r="L2076" s="41" t="str"/>
      <c r="M2076" s="41" t="str"/>
      <c r="N2076" s="41" t="str"/>
      <c r="O2076" s="41" t="str"/>
      <c r="P2076" s="41" t="str"/>
      <c r="Q2076" s="41" t="str"/>
      <c r="R2076" s="41" t="str"/>
      <c r="S2076" s="41" t="str"/>
      <c r="T2076" s="41" t="str"/>
      <c r="U2076" s="41" t="str"/>
      <c r="V2076" s="41" t="str"/>
      <c r="W2076" s="41" t="str"/>
    </row>
    <row r="2077">
      <c r="B2077" s="2" t="n"/>
      <c r="C2077" s="40" t="n"/>
      <c r="D2077" s="52">
        <f t="array" ref="D2077:W2077">IF(All_Students_Scores!C2075:V2075="","",All_Students_Scores!C2075:V2075)</f>
        <v/>
      </c>
      <c r="E2077" s="57" t="str"/>
      <c r="F2077" s="49" t="str"/>
      <c r="G2077" s="59" t="str"/>
      <c r="H2077" s="64" t="str"/>
      <c r="I2077" s="65" t="str"/>
      <c r="J2077" s="49" t="str"/>
      <c r="K2077" s="41" t="str"/>
      <c r="L2077" s="41" t="str"/>
      <c r="M2077" s="41" t="str"/>
      <c r="N2077" s="41" t="str"/>
      <c r="O2077" s="41" t="str"/>
      <c r="P2077" s="41" t="str"/>
      <c r="Q2077" s="41" t="str"/>
      <c r="R2077" s="41" t="str"/>
      <c r="S2077" s="41" t="str"/>
      <c r="T2077" s="41" t="str"/>
      <c r="U2077" s="41" t="str"/>
      <c r="V2077" s="41" t="str"/>
      <c r="W2077" s="41" t="str"/>
    </row>
    <row r="2078">
      <c r="B2078" s="2" t="n"/>
      <c r="C2078" s="40" t="n"/>
      <c r="D2078" s="52">
        <f t="array" ref="D2078:W2078">IF(All_Students_Scores!C2076:V2076="","",All_Students_Scores!C2076:V2076)</f>
        <v/>
      </c>
      <c r="E2078" s="57" t="str"/>
      <c r="F2078" s="49" t="str"/>
      <c r="G2078" s="59" t="str"/>
      <c r="H2078" s="64" t="str"/>
      <c r="I2078" s="65" t="str"/>
      <c r="J2078" s="49" t="str"/>
      <c r="K2078" s="41" t="str"/>
      <c r="L2078" s="41" t="str"/>
      <c r="M2078" s="41" t="str"/>
      <c r="N2078" s="41" t="str"/>
      <c r="O2078" s="41" t="str"/>
      <c r="P2078" s="41" t="str"/>
      <c r="Q2078" s="41" t="str"/>
      <c r="R2078" s="41" t="str"/>
      <c r="S2078" s="41" t="str"/>
      <c r="T2078" s="41" t="str"/>
      <c r="U2078" s="41" t="str"/>
      <c r="V2078" s="41" t="str"/>
      <c r="W2078" s="41" t="str"/>
    </row>
    <row r="2079">
      <c r="B2079" s="2" t="n"/>
      <c r="C2079" s="40" t="n"/>
      <c r="D2079" s="52">
        <f t="array" ref="D2079:W2079">IF(All_Students_Scores!C2077:V2077="","",All_Students_Scores!C2077:V2077)</f>
        <v/>
      </c>
      <c r="E2079" s="57" t="str"/>
      <c r="F2079" s="49" t="str"/>
      <c r="G2079" s="59" t="str"/>
      <c r="H2079" s="64" t="str"/>
      <c r="I2079" s="65" t="str"/>
      <c r="J2079" s="49" t="str"/>
      <c r="K2079" s="41" t="str"/>
      <c r="L2079" s="41" t="str"/>
      <c r="M2079" s="41" t="str"/>
      <c r="N2079" s="41" t="str"/>
      <c r="O2079" s="41" t="str"/>
      <c r="P2079" s="41" t="str"/>
      <c r="Q2079" s="41" t="str"/>
      <c r="R2079" s="41" t="str"/>
      <c r="S2079" s="41" t="str"/>
      <c r="T2079" s="41" t="str"/>
      <c r="U2079" s="41" t="str"/>
      <c r="V2079" s="41" t="str"/>
      <c r="W2079" s="41" t="str"/>
    </row>
    <row r="2080">
      <c r="B2080" s="2" t="n"/>
      <c r="C2080" s="40" t="n"/>
      <c r="D2080" s="52">
        <f t="array" ref="D2080:W2080">IF(All_Students_Scores!C2078:V2078="","",All_Students_Scores!C2078:V2078)</f>
        <v/>
      </c>
      <c r="E2080" s="57" t="str"/>
      <c r="F2080" s="49" t="str"/>
      <c r="G2080" s="59" t="str"/>
      <c r="H2080" s="64" t="str"/>
      <c r="I2080" s="65" t="str"/>
      <c r="J2080" s="49" t="str"/>
      <c r="K2080" s="41" t="str"/>
      <c r="L2080" s="41" t="str"/>
      <c r="M2080" s="41" t="str"/>
      <c r="N2080" s="41" t="str"/>
      <c r="O2080" s="41" t="str"/>
      <c r="P2080" s="41" t="str"/>
      <c r="Q2080" s="41" t="str"/>
      <c r="R2080" s="41" t="str"/>
      <c r="S2080" s="41" t="str"/>
      <c r="T2080" s="41" t="str"/>
      <c r="U2080" s="41" t="str"/>
      <c r="V2080" s="41" t="str"/>
      <c r="W2080" s="41" t="str"/>
    </row>
    <row r="2081">
      <c r="B2081" s="2" t="n"/>
      <c r="C2081" s="40" t="n"/>
      <c r="D2081" s="52">
        <f t="array" ref="D2081:W2081">IF(All_Students_Scores!C2079:V2079="","",All_Students_Scores!C2079:V2079)</f>
        <v/>
      </c>
      <c r="E2081" s="57" t="str"/>
      <c r="F2081" s="49" t="str"/>
      <c r="G2081" s="59" t="str"/>
      <c r="H2081" s="64" t="str"/>
      <c r="I2081" s="65" t="str"/>
      <c r="J2081" s="49" t="str"/>
      <c r="K2081" s="41" t="str"/>
      <c r="L2081" s="41" t="str"/>
      <c r="M2081" s="41" t="str"/>
      <c r="N2081" s="41" t="str"/>
      <c r="O2081" s="41" t="str"/>
      <c r="P2081" s="41" t="str"/>
      <c r="Q2081" s="41" t="str"/>
      <c r="R2081" s="41" t="str"/>
      <c r="S2081" s="41" t="str"/>
      <c r="T2081" s="41" t="str"/>
      <c r="U2081" s="41" t="str"/>
      <c r="V2081" s="41" t="str"/>
      <c r="W2081" s="41" t="str"/>
    </row>
    <row r="2082">
      <c r="B2082" s="2" t="n"/>
      <c r="C2082" s="40" t="n"/>
      <c r="D2082" s="52">
        <f t="array" ref="D2082:W2082">IF(All_Students_Scores!C2080:V2080="","",All_Students_Scores!C2080:V2080)</f>
        <v/>
      </c>
      <c r="E2082" s="57" t="str"/>
      <c r="F2082" s="49" t="str"/>
      <c r="G2082" s="59" t="str"/>
      <c r="H2082" s="64" t="str"/>
      <c r="I2082" s="65" t="str"/>
      <c r="J2082" s="49" t="str"/>
      <c r="K2082" s="41" t="str"/>
      <c r="L2082" s="41" t="str"/>
      <c r="M2082" s="41" t="str"/>
      <c r="N2082" s="41" t="str"/>
      <c r="O2082" s="41" t="str"/>
      <c r="P2082" s="41" t="str"/>
      <c r="Q2082" s="41" t="str"/>
      <c r="R2082" s="41" t="str"/>
      <c r="S2082" s="41" t="str"/>
      <c r="T2082" s="41" t="str"/>
      <c r="U2082" s="41" t="str"/>
      <c r="V2082" s="41" t="str"/>
      <c r="W2082" s="41" t="str"/>
    </row>
    <row r="2083">
      <c r="B2083" s="2" t="n"/>
      <c r="C2083" s="40" t="n"/>
      <c r="D2083" s="52">
        <f t="array" ref="D2083:W2083">IF(All_Students_Scores!C2081:V2081="","",All_Students_Scores!C2081:V2081)</f>
        <v/>
      </c>
      <c r="E2083" s="57" t="str"/>
      <c r="F2083" s="49" t="str"/>
      <c r="G2083" s="59" t="str"/>
      <c r="H2083" s="64" t="str"/>
      <c r="I2083" s="65" t="str"/>
      <c r="J2083" s="49" t="str"/>
      <c r="K2083" s="41" t="str"/>
      <c r="L2083" s="41" t="str"/>
      <c r="M2083" s="41" t="str"/>
      <c r="N2083" s="41" t="str"/>
      <c r="O2083" s="41" t="str"/>
      <c r="P2083" s="41" t="str"/>
      <c r="Q2083" s="41" t="str"/>
      <c r="R2083" s="41" t="str"/>
      <c r="S2083" s="41" t="str"/>
      <c r="T2083" s="41" t="str"/>
      <c r="U2083" s="41" t="str"/>
      <c r="V2083" s="41" t="str"/>
      <c r="W2083" s="41" t="str"/>
    </row>
    <row r="2084">
      <c r="B2084" s="2" t="n"/>
      <c r="C2084" s="40" t="n"/>
      <c r="D2084" s="52">
        <f t="array" ref="D2084:W2084">IF(All_Students_Scores!C2082:V2082="","",All_Students_Scores!C2082:V2082)</f>
        <v/>
      </c>
      <c r="E2084" s="57" t="str"/>
      <c r="F2084" s="49" t="str"/>
      <c r="G2084" s="59" t="str"/>
      <c r="H2084" s="64" t="str"/>
      <c r="I2084" s="65" t="str"/>
      <c r="J2084" s="49" t="str"/>
      <c r="K2084" s="41" t="str"/>
      <c r="L2084" s="41" t="str"/>
      <c r="M2084" s="41" t="str"/>
      <c r="N2084" s="41" t="str"/>
      <c r="O2084" s="41" t="str"/>
      <c r="P2084" s="41" t="str"/>
      <c r="Q2084" s="41" t="str"/>
      <c r="R2084" s="41" t="str"/>
      <c r="S2084" s="41" t="str"/>
      <c r="T2084" s="41" t="str"/>
      <c r="U2084" s="41" t="str"/>
      <c r="V2084" s="41" t="str"/>
      <c r="W2084" s="41" t="str"/>
    </row>
    <row r="2085">
      <c r="B2085" s="2" t="n"/>
      <c r="C2085" s="40" t="n"/>
      <c r="D2085" s="52">
        <f t="array" ref="D2085:W2085">IF(All_Students_Scores!C2083:V2083="","",All_Students_Scores!C2083:V2083)</f>
        <v/>
      </c>
      <c r="E2085" s="57" t="str"/>
      <c r="F2085" s="49" t="str"/>
      <c r="G2085" s="59" t="str"/>
      <c r="H2085" s="64" t="str"/>
      <c r="I2085" s="65" t="str"/>
      <c r="J2085" s="49" t="str"/>
      <c r="K2085" s="41" t="str"/>
      <c r="L2085" s="41" t="str"/>
      <c r="M2085" s="41" t="str"/>
      <c r="N2085" s="41" t="str"/>
      <c r="O2085" s="41" t="str"/>
      <c r="P2085" s="41" t="str"/>
      <c r="Q2085" s="41" t="str"/>
      <c r="R2085" s="41" t="str"/>
      <c r="S2085" s="41" t="str"/>
      <c r="T2085" s="41" t="str"/>
      <c r="U2085" s="41" t="str"/>
      <c r="V2085" s="41" t="str"/>
      <c r="W2085" s="41" t="str"/>
    </row>
    <row r="2086">
      <c r="B2086" s="2" t="n"/>
      <c r="C2086" s="40" t="n"/>
      <c r="D2086" s="52">
        <f t="array" ref="D2086:W2086">IF(All_Students_Scores!C2084:V2084="","",All_Students_Scores!C2084:V2084)</f>
        <v/>
      </c>
      <c r="E2086" s="57" t="str"/>
      <c r="F2086" s="49" t="str"/>
      <c r="G2086" s="59" t="str"/>
      <c r="H2086" s="64" t="str"/>
      <c r="I2086" s="65" t="str"/>
      <c r="J2086" s="49" t="str"/>
      <c r="K2086" s="41" t="str"/>
      <c r="L2086" s="41" t="str"/>
      <c r="M2086" s="41" t="str"/>
      <c r="N2086" s="41" t="str"/>
      <c r="O2086" s="41" t="str"/>
      <c r="P2086" s="41" t="str"/>
      <c r="Q2086" s="41" t="str"/>
      <c r="R2086" s="41" t="str"/>
      <c r="S2086" s="41" t="str"/>
      <c r="T2086" s="41" t="str"/>
      <c r="U2086" s="41" t="str"/>
      <c r="V2086" s="41" t="str"/>
      <c r="W2086" s="41" t="str"/>
    </row>
    <row r="2087">
      <c r="B2087" s="2" t="n"/>
      <c r="C2087" s="40" t="n"/>
      <c r="D2087" s="52">
        <f t="array" ref="D2087:W2087">IF(All_Students_Scores!C2085:V2085="","",All_Students_Scores!C2085:V2085)</f>
        <v/>
      </c>
      <c r="E2087" s="57" t="str"/>
      <c r="F2087" s="49" t="str"/>
      <c r="G2087" s="59" t="str"/>
      <c r="H2087" s="64" t="str"/>
      <c r="I2087" s="65" t="str"/>
      <c r="J2087" s="49" t="str"/>
      <c r="K2087" s="41" t="str"/>
      <c r="L2087" s="41" t="str"/>
      <c r="M2087" s="41" t="str"/>
      <c r="N2087" s="41" t="str"/>
      <c r="O2087" s="41" t="str"/>
      <c r="P2087" s="41" t="str"/>
      <c r="Q2087" s="41" t="str"/>
      <c r="R2087" s="41" t="str"/>
      <c r="S2087" s="41" t="str"/>
      <c r="T2087" s="41" t="str"/>
      <c r="U2087" s="41" t="str"/>
      <c r="V2087" s="41" t="str"/>
      <c r="W2087" s="41" t="str"/>
    </row>
    <row r="2088">
      <c r="B2088" s="2" t="n"/>
      <c r="C2088" s="40" t="n"/>
      <c r="D2088" s="52">
        <f t="array" ref="D2088:W2088">IF(All_Students_Scores!C2086:V2086="","",All_Students_Scores!C2086:V2086)</f>
        <v/>
      </c>
      <c r="E2088" s="57" t="str"/>
      <c r="F2088" s="49" t="str"/>
      <c r="G2088" s="59" t="str"/>
      <c r="H2088" s="64" t="str"/>
      <c r="I2088" s="65" t="str"/>
      <c r="J2088" s="49" t="str"/>
      <c r="K2088" s="41" t="str"/>
      <c r="L2088" s="41" t="str"/>
      <c r="M2088" s="41" t="str"/>
      <c r="N2088" s="41" t="str"/>
      <c r="O2088" s="41" t="str"/>
      <c r="P2088" s="41" t="str"/>
      <c r="Q2088" s="41" t="str"/>
      <c r="R2088" s="41" t="str"/>
      <c r="S2088" s="41" t="str"/>
      <c r="T2088" s="41" t="str"/>
      <c r="U2088" s="41" t="str"/>
      <c r="V2088" s="41" t="str"/>
      <c r="W2088" s="41" t="str"/>
    </row>
    <row r="2089">
      <c r="B2089" s="2" t="n"/>
      <c r="C2089" s="40" t="n"/>
      <c r="D2089" s="52">
        <f t="array" ref="D2089:W2089">IF(All_Students_Scores!C2087:V2087="","",All_Students_Scores!C2087:V2087)</f>
        <v/>
      </c>
      <c r="E2089" s="57" t="str"/>
      <c r="F2089" s="49" t="str"/>
      <c r="G2089" s="59" t="str"/>
      <c r="H2089" s="64" t="str"/>
      <c r="I2089" s="65" t="str"/>
      <c r="J2089" s="49" t="str"/>
      <c r="K2089" s="41" t="str"/>
      <c r="L2089" s="41" t="str"/>
      <c r="M2089" s="41" t="str"/>
      <c r="N2089" s="41" t="str"/>
      <c r="O2089" s="41" t="str"/>
      <c r="P2089" s="41" t="str"/>
      <c r="Q2089" s="41" t="str"/>
      <c r="R2089" s="41" t="str"/>
      <c r="S2089" s="41" t="str"/>
      <c r="T2089" s="41" t="str"/>
      <c r="U2089" s="41" t="str"/>
      <c r="V2089" s="41" t="str"/>
      <c r="W2089" s="41" t="str"/>
    </row>
    <row r="2090">
      <c r="B2090" s="2" t="n"/>
      <c r="C2090" s="40" t="n"/>
      <c r="D2090" s="52">
        <f t="array" ref="D2090:W2090">IF(All_Students_Scores!C2088:V2088="","",All_Students_Scores!C2088:V2088)</f>
        <v/>
      </c>
      <c r="E2090" s="57" t="str"/>
      <c r="F2090" s="49" t="str"/>
      <c r="G2090" s="59" t="str"/>
      <c r="H2090" s="64" t="str"/>
      <c r="I2090" s="65" t="str"/>
      <c r="J2090" s="49" t="str"/>
      <c r="K2090" s="41" t="str"/>
      <c r="L2090" s="41" t="str"/>
      <c r="M2090" s="41" t="str"/>
      <c r="N2090" s="41" t="str"/>
      <c r="O2090" s="41" t="str"/>
      <c r="P2090" s="41" t="str"/>
      <c r="Q2090" s="41" t="str"/>
      <c r="R2090" s="41" t="str"/>
      <c r="S2090" s="41" t="str"/>
      <c r="T2090" s="41" t="str"/>
      <c r="U2090" s="41" t="str"/>
      <c r="V2090" s="41" t="str"/>
      <c r="W2090" s="41" t="str"/>
    </row>
    <row r="2091">
      <c r="B2091" s="2" t="n"/>
      <c r="C2091" s="40" t="n"/>
      <c r="D2091" s="52">
        <f t="array" ref="D2091:W2091">IF(All_Students_Scores!C2089:V2089="","",All_Students_Scores!C2089:V2089)</f>
        <v/>
      </c>
      <c r="E2091" s="57" t="str"/>
      <c r="F2091" s="49" t="str"/>
      <c r="G2091" s="59" t="str"/>
      <c r="H2091" s="64" t="str"/>
      <c r="I2091" s="65" t="str"/>
      <c r="J2091" s="49" t="str"/>
      <c r="K2091" s="41" t="str"/>
      <c r="L2091" s="41" t="str"/>
      <c r="M2091" s="41" t="str"/>
      <c r="N2091" s="41" t="str"/>
      <c r="O2091" s="41" t="str"/>
      <c r="P2091" s="41" t="str"/>
      <c r="Q2091" s="41" t="str"/>
      <c r="R2091" s="41" t="str"/>
      <c r="S2091" s="41" t="str"/>
      <c r="T2091" s="41" t="str"/>
      <c r="U2091" s="41" t="str"/>
      <c r="V2091" s="41" t="str"/>
      <c r="W2091" s="41" t="str"/>
    </row>
    <row r="2092">
      <c r="B2092" s="2" t="n"/>
      <c r="C2092" s="40" t="n"/>
      <c r="D2092" s="52">
        <f t="array" ref="D2092:W2092">IF(All_Students_Scores!C2090:V2090="","",All_Students_Scores!C2090:V2090)</f>
        <v/>
      </c>
      <c r="E2092" s="57" t="str"/>
      <c r="F2092" s="49" t="str"/>
      <c r="G2092" s="59" t="str"/>
      <c r="H2092" s="64" t="str"/>
      <c r="I2092" s="65" t="str"/>
      <c r="J2092" s="49" t="str"/>
      <c r="K2092" s="41" t="str"/>
      <c r="L2092" s="41" t="str"/>
      <c r="M2092" s="41" t="str"/>
      <c r="N2092" s="41" t="str"/>
      <c r="O2092" s="41" t="str"/>
      <c r="P2092" s="41" t="str"/>
      <c r="Q2092" s="41" t="str"/>
      <c r="R2092" s="41" t="str"/>
      <c r="S2092" s="41" t="str"/>
      <c r="T2092" s="41" t="str"/>
      <c r="U2092" s="41" t="str"/>
      <c r="V2092" s="41" t="str"/>
      <c r="W2092" s="41" t="str"/>
    </row>
    <row r="2093">
      <c r="B2093" s="2" t="n"/>
      <c r="C2093" s="40" t="n"/>
      <c r="D2093" s="52">
        <f t="array" ref="D2093:W2093">IF(All_Students_Scores!C2091:V2091="","",All_Students_Scores!C2091:V2091)</f>
        <v/>
      </c>
      <c r="E2093" s="57" t="str"/>
      <c r="F2093" s="49" t="str"/>
      <c r="G2093" s="59" t="str"/>
      <c r="H2093" s="64" t="str"/>
      <c r="I2093" s="65" t="str"/>
      <c r="J2093" s="49" t="str"/>
      <c r="K2093" s="41" t="str"/>
      <c r="L2093" s="41" t="str"/>
      <c r="M2093" s="41" t="str"/>
      <c r="N2093" s="41" t="str"/>
      <c r="O2093" s="41" t="str"/>
      <c r="P2093" s="41" t="str"/>
      <c r="Q2093" s="41" t="str"/>
      <c r="R2093" s="41" t="str"/>
      <c r="S2093" s="41" t="str"/>
      <c r="T2093" s="41" t="str"/>
      <c r="U2093" s="41" t="str"/>
      <c r="V2093" s="41" t="str"/>
      <c r="W2093" s="41" t="str"/>
    </row>
    <row r="2094">
      <c r="B2094" s="2" t="n"/>
      <c r="C2094" s="40" t="n"/>
      <c r="D2094" s="52">
        <f t="array" ref="D2094:W2094">IF(All_Students_Scores!C2092:V2092="","",All_Students_Scores!C2092:V2092)</f>
        <v/>
      </c>
      <c r="E2094" s="57" t="str"/>
      <c r="F2094" s="49" t="str"/>
      <c r="G2094" s="59" t="str"/>
      <c r="H2094" s="64" t="str"/>
      <c r="I2094" s="65" t="str"/>
      <c r="J2094" s="49" t="str"/>
      <c r="K2094" s="41" t="str"/>
      <c r="L2094" s="41" t="str"/>
      <c r="M2094" s="41" t="str"/>
      <c r="N2094" s="41" t="str"/>
      <c r="O2094" s="41" t="str"/>
      <c r="P2094" s="41" t="str"/>
      <c r="Q2094" s="41" t="str"/>
      <c r="R2094" s="41" t="str"/>
      <c r="S2094" s="41" t="str"/>
      <c r="T2094" s="41" t="str"/>
      <c r="U2094" s="41" t="str"/>
      <c r="V2094" s="41" t="str"/>
      <c r="W2094" s="41" t="str"/>
    </row>
    <row r="2095">
      <c r="B2095" s="2" t="n"/>
      <c r="C2095" s="40" t="n"/>
      <c r="D2095" s="52">
        <f t="array" ref="D2095:W2095">IF(All_Students_Scores!C2093:V2093="","",All_Students_Scores!C2093:V2093)</f>
        <v/>
      </c>
      <c r="E2095" s="57" t="str"/>
      <c r="F2095" s="49" t="str"/>
      <c r="G2095" s="59" t="str"/>
      <c r="H2095" s="64" t="str"/>
      <c r="I2095" s="65" t="str"/>
      <c r="J2095" s="49" t="str"/>
      <c r="K2095" s="41" t="str"/>
      <c r="L2095" s="41" t="str"/>
      <c r="M2095" s="41" t="str"/>
      <c r="N2095" s="41" t="str"/>
      <c r="O2095" s="41" t="str"/>
      <c r="P2095" s="41" t="str"/>
      <c r="Q2095" s="41" t="str"/>
      <c r="R2095" s="41" t="str"/>
      <c r="S2095" s="41" t="str"/>
      <c r="T2095" s="41" t="str"/>
      <c r="U2095" s="41" t="str"/>
      <c r="V2095" s="41" t="str"/>
      <c r="W2095" s="41" t="str"/>
    </row>
    <row r="2096">
      <c r="B2096" s="2" t="n"/>
      <c r="C2096" s="40" t="n"/>
      <c r="D2096" s="52">
        <f t="array" ref="D2096:W2096">IF(All_Students_Scores!C2094:V2094="","",All_Students_Scores!C2094:V2094)</f>
        <v/>
      </c>
      <c r="E2096" s="57" t="str"/>
      <c r="F2096" s="49" t="str"/>
      <c r="G2096" s="59" t="str"/>
      <c r="H2096" s="64" t="str"/>
      <c r="I2096" s="65" t="str"/>
      <c r="J2096" s="49" t="str"/>
      <c r="K2096" s="41" t="str"/>
      <c r="L2096" s="41" t="str"/>
      <c r="M2096" s="41" t="str"/>
      <c r="N2096" s="41" t="str"/>
      <c r="O2096" s="41" t="str"/>
      <c r="P2096" s="41" t="str"/>
      <c r="Q2096" s="41" t="str"/>
      <c r="R2096" s="41" t="str"/>
      <c r="S2096" s="41" t="str"/>
      <c r="T2096" s="41" t="str"/>
      <c r="U2096" s="41" t="str"/>
      <c r="V2096" s="41" t="str"/>
      <c r="W2096" s="41" t="str"/>
    </row>
    <row r="2097">
      <c r="B2097" s="2" t="n"/>
      <c r="C2097" s="40" t="n"/>
      <c r="D2097" s="52">
        <f t="array" ref="D2097:W2097">IF(All_Students_Scores!C2095:V2095="","",All_Students_Scores!C2095:V2095)</f>
        <v/>
      </c>
      <c r="E2097" s="57" t="str"/>
      <c r="F2097" s="49" t="str"/>
      <c r="G2097" s="59" t="str"/>
      <c r="H2097" s="64" t="str"/>
      <c r="I2097" s="65" t="str"/>
      <c r="J2097" s="49" t="str"/>
      <c r="K2097" s="41" t="str"/>
      <c r="L2097" s="41" t="str"/>
      <c r="M2097" s="41" t="str"/>
      <c r="N2097" s="41" t="str"/>
      <c r="O2097" s="41" t="str"/>
      <c r="P2097" s="41" t="str"/>
      <c r="Q2097" s="41" t="str"/>
      <c r="R2097" s="41" t="str"/>
      <c r="S2097" s="41" t="str"/>
      <c r="T2097" s="41" t="str"/>
      <c r="U2097" s="41" t="str"/>
      <c r="V2097" s="41" t="str"/>
      <c r="W2097" s="41" t="str"/>
    </row>
    <row r="2098">
      <c r="B2098" s="2" t="n"/>
      <c r="C2098" s="40" t="n"/>
      <c r="D2098" s="52">
        <f t="array" ref="D2098:W2098">IF(All_Students_Scores!C2096:V2096="","",All_Students_Scores!C2096:V2096)</f>
        <v/>
      </c>
      <c r="E2098" s="57" t="str"/>
      <c r="F2098" s="49" t="str"/>
      <c r="G2098" s="59" t="str"/>
      <c r="H2098" s="64" t="str"/>
      <c r="I2098" s="65" t="str"/>
      <c r="J2098" s="49" t="str"/>
      <c r="K2098" s="41" t="str"/>
      <c r="L2098" s="41" t="str"/>
      <c r="M2098" s="41" t="str"/>
      <c r="N2098" s="41" t="str"/>
      <c r="O2098" s="41" t="str"/>
      <c r="P2098" s="41" t="str"/>
      <c r="Q2098" s="41" t="str"/>
      <c r="R2098" s="41" t="str"/>
      <c r="S2098" s="41" t="str"/>
      <c r="T2098" s="41" t="str"/>
      <c r="U2098" s="41" t="str"/>
      <c r="V2098" s="41" t="str"/>
      <c r="W2098" s="41" t="str"/>
    </row>
    <row r="2099">
      <c r="B2099" s="2" t="n"/>
      <c r="C2099" s="40" t="n"/>
      <c r="D2099" s="52">
        <f t="array" ref="D2099:W2099">IF(All_Students_Scores!C2097:V2097="","",All_Students_Scores!C2097:V2097)</f>
        <v/>
      </c>
      <c r="E2099" s="57" t="str"/>
      <c r="F2099" s="49" t="str"/>
      <c r="G2099" s="59" t="str"/>
      <c r="H2099" s="64" t="str"/>
      <c r="I2099" s="65" t="str"/>
      <c r="J2099" s="49" t="str"/>
      <c r="K2099" s="41" t="str"/>
      <c r="L2099" s="41" t="str"/>
      <c r="M2099" s="41" t="str"/>
      <c r="N2099" s="41" t="str"/>
      <c r="O2099" s="41" t="str"/>
      <c r="P2099" s="41" t="str"/>
      <c r="Q2099" s="41" t="str"/>
      <c r="R2099" s="41" t="str"/>
      <c r="S2099" s="41" t="str"/>
      <c r="T2099" s="41" t="str"/>
      <c r="U2099" s="41" t="str"/>
      <c r="V2099" s="41" t="str"/>
      <c r="W2099" s="41" t="str"/>
    </row>
    <row r="2100">
      <c r="B2100" s="2" t="n"/>
      <c r="C2100" s="40" t="n"/>
      <c r="D2100" s="52">
        <f t="array" ref="D2100:W2100">IF(All_Students_Scores!C2098:V2098="","",All_Students_Scores!C2098:V2098)</f>
        <v/>
      </c>
      <c r="E2100" s="57" t="str"/>
      <c r="F2100" s="49" t="str"/>
      <c r="G2100" s="59" t="str"/>
      <c r="H2100" s="64" t="str"/>
      <c r="I2100" s="65" t="str"/>
      <c r="J2100" s="49" t="str"/>
      <c r="K2100" s="41" t="str"/>
      <c r="L2100" s="41" t="str"/>
      <c r="M2100" s="41" t="str"/>
      <c r="N2100" s="41" t="str"/>
      <c r="O2100" s="41" t="str"/>
      <c r="P2100" s="41" t="str"/>
      <c r="Q2100" s="41" t="str"/>
      <c r="R2100" s="41" t="str"/>
      <c r="S2100" s="41" t="str"/>
      <c r="T2100" s="41" t="str"/>
      <c r="U2100" s="41" t="str"/>
      <c r="V2100" s="41" t="str"/>
      <c r="W2100" s="41" t="str"/>
    </row>
    <row r="2101">
      <c r="B2101" s="2" t="n"/>
      <c r="C2101" s="40" t="n"/>
      <c r="D2101" s="52">
        <f t="array" ref="D2101:W2101">IF(All_Students_Scores!C2099:V2099="","",All_Students_Scores!C2099:V2099)</f>
        <v/>
      </c>
      <c r="E2101" s="57" t="str"/>
      <c r="F2101" s="49" t="str"/>
      <c r="G2101" s="59" t="str"/>
      <c r="H2101" s="64" t="str"/>
      <c r="I2101" s="65" t="str"/>
      <c r="J2101" s="49" t="str"/>
      <c r="K2101" s="41" t="str"/>
      <c r="L2101" s="41" t="str"/>
      <c r="M2101" s="41" t="str"/>
      <c r="N2101" s="41" t="str"/>
      <c r="O2101" s="41" t="str"/>
      <c r="P2101" s="41" t="str"/>
      <c r="Q2101" s="41" t="str"/>
      <c r="R2101" s="41" t="str"/>
      <c r="S2101" s="41" t="str"/>
      <c r="T2101" s="41" t="str"/>
      <c r="U2101" s="41" t="str"/>
      <c r="V2101" s="41" t="str"/>
      <c r="W2101" s="41" t="str"/>
    </row>
    <row r="2102">
      <c r="B2102" s="2" t="n"/>
      <c r="C2102" s="40" t="n"/>
      <c r="D2102" s="52">
        <f t="array" ref="D2102:W2102">IF(All_Students_Scores!C2100:V2100="","",All_Students_Scores!C2100:V2100)</f>
        <v/>
      </c>
      <c r="E2102" s="57" t="str"/>
      <c r="F2102" s="49" t="str"/>
      <c r="G2102" s="59" t="str"/>
      <c r="H2102" s="64" t="str"/>
      <c r="I2102" s="65" t="str"/>
      <c r="J2102" s="49" t="str"/>
      <c r="K2102" s="41" t="str"/>
      <c r="L2102" s="41" t="str"/>
      <c r="M2102" s="41" t="str"/>
      <c r="N2102" s="41" t="str"/>
      <c r="O2102" s="41" t="str"/>
      <c r="P2102" s="41" t="str"/>
      <c r="Q2102" s="41" t="str"/>
      <c r="R2102" s="41" t="str"/>
      <c r="S2102" s="41" t="str"/>
      <c r="T2102" s="41" t="str"/>
      <c r="U2102" s="41" t="str"/>
      <c r="V2102" s="41" t="str"/>
      <c r="W2102" s="41" t="str"/>
    </row>
    <row r="2103">
      <c r="B2103" s="2" t="n"/>
      <c r="C2103" s="40" t="n"/>
      <c r="D2103" s="52">
        <f t="array" ref="D2103:W2103">IF(All_Students_Scores!C2101:V2101="","",All_Students_Scores!C2101:V2101)</f>
        <v/>
      </c>
      <c r="E2103" s="57" t="str"/>
      <c r="F2103" s="49" t="str"/>
      <c r="G2103" s="59" t="str"/>
      <c r="H2103" s="64" t="str"/>
      <c r="I2103" s="65" t="str"/>
      <c r="J2103" s="49" t="str"/>
      <c r="K2103" s="41" t="str"/>
      <c r="L2103" s="41" t="str"/>
      <c r="M2103" s="41" t="str"/>
      <c r="N2103" s="41" t="str"/>
      <c r="O2103" s="41" t="str"/>
      <c r="P2103" s="41" t="str"/>
      <c r="Q2103" s="41" t="str"/>
      <c r="R2103" s="41" t="str"/>
      <c r="S2103" s="41" t="str"/>
      <c r="T2103" s="41" t="str"/>
      <c r="U2103" s="41" t="str"/>
      <c r="V2103" s="41" t="str"/>
      <c r="W2103" s="41" t="str"/>
    </row>
    <row r="2104">
      <c r="B2104" s="2" t="n"/>
      <c r="C2104" s="40" t="n"/>
      <c r="D2104" s="52">
        <f t="array" ref="D2104:W2104">IF(All_Students_Scores!C2102:V2102="","",All_Students_Scores!C2102:V2102)</f>
        <v/>
      </c>
      <c r="E2104" s="57" t="str"/>
      <c r="F2104" s="49" t="str"/>
      <c r="G2104" s="59" t="str"/>
      <c r="H2104" s="64" t="str"/>
      <c r="I2104" s="65" t="str"/>
      <c r="J2104" s="49" t="str"/>
      <c r="K2104" s="41" t="str"/>
      <c r="L2104" s="41" t="str"/>
      <c r="M2104" s="41" t="str"/>
      <c r="N2104" s="41" t="str"/>
      <c r="O2104" s="41" t="str"/>
      <c r="P2104" s="41" t="str"/>
      <c r="Q2104" s="41" t="str"/>
      <c r="R2104" s="41" t="str"/>
      <c r="S2104" s="41" t="str"/>
      <c r="T2104" s="41" t="str"/>
      <c r="U2104" s="41" t="str"/>
      <c r="V2104" s="41" t="str"/>
      <c r="W2104" s="41" t="str"/>
    </row>
    <row r="2105">
      <c r="B2105" s="2" t="n"/>
      <c r="C2105" s="40" t="n"/>
      <c r="D2105" s="52">
        <f t="array" ref="D2105:W2105">IF(All_Students_Scores!C2103:V2103="","",All_Students_Scores!C2103:V2103)</f>
        <v/>
      </c>
      <c r="E2105" s="57" t="str"/>
      <c r="F2105" s="49" t="str"/>
      <c r="G2105" s="59" t="str"/>
      <c r="H2105" s="64" t="str"/>
      <c r="I2105" s="65" t="str"/>
      <c r="J2105" s="49" t="str"/>
      <c r="K2105" s="41" t="str"/>
      <c r="L2105" s="41" t="str"/>
      <c r="M2105" s="41" t="str"/>
      <c r="N2105" s="41" t="str"/>
      <c r="O2105" s="41" t="str"/>
      <c r="P2105" s="41" t="str"/>
      <c r="Q2105" s="41" t="str"/>
      <c r="R2105" s="41" t="str"/>
      <c r="S2105" s="41" t="str"/>
      <c r="T2105" s="41" t="str"/>
      <c r="U2105" s="41" t="str"/>
      <c r="V2105" s="41" t="str"/>
      <c r="W2105" s="41" t="str"/>
    </row>
    <row r="2106">
      <c r="B2106" s="2" t="n"/>
      <c r="C2106" s="40" t="n"/>
      <c r="D2106" s="52">
        <f t="array" ref="D2106:W2106">IF(All_Students_Scores!C2104:V2104="","",All_Students_Scores!C2104:V2104)</f>
        <v/>
      </c>
      <c r="E2106" s="57" t="str"/>
      <c r="F2106" s="49" t="str"/>
      <c r="G2106" s="59" t="str"/>
      <c r="H2106" s="64" t="str"/>
      <c r="I2106" s="65" t="str"/>
      <c r="J2106" s="49" t="str"/>
      <c r="K2106" s="41" t="str"/>
      <c r="L2106" s="41" t="str"/>
      <c r="M2106" s="41" t="str"/>
      <c r="N2106" s="41" t="str"/>
      <c r="O2106" s="41" t="str"/>
      <c r="P2106" s="41" t="str"/>
      <c r="Q2106" s="41" t="str"/>
      <c r="R2106" s="41" t="str"/>
      <c r="S2106" s="41" t="str"/>
      <c r="T2106" s="41" t="str"/>
      <c r="U2106" s="41" t="str"/>
      <c r="V2106" s="41" t="str"/>
      <c r="W2106" s="41" t="str"/>
    </row>
    <row r="2107">
      <c r="B2107" s="2" t="n"/>
      <c r="C2107" s="40" t="n"/>
      <c r="D2107" s="52">
        <f t="array" ref="D2107:W2107">IF(All_Students_Scores!C2105:V2105="","",All_Students_Scores!C2105:V2105)</f>
        <v/>
      </c>
      <c r="E2107" s="57" t="str"/>
      <c r="F2107" s="49" t="str"/>
      <c r="G2107" s="59" t="str"/>
      <c r="H2107" s="64" t="str"/>
      <c r="I2107" s="65" t="str"/>
      <c r="J2107" s="49" t="str"/>
      <c r="K2107" s="41" t="str"/>
      <c r="L2107" s="41" t="str"/>
      <c r="M2107" s="41" t="str"/>
      <c r="N2107" s="41" t="str"/>
      <c r="O2107" s="41" t="str"/>
      <c r="P2107" s="41" t="str"/>
      <c r="Q2107" s="41" t="str"/>
      <c r="R2107" s="41" t="str"/>
      <c r="S2107" s="41" t="str"/>
      <c r="T2107" s="41" t="str"/>
      <c r="U2107" s="41" t="str"/>
      <c r="V2107" s="41" t="str"/>
      <c r="W2107" s="41" t="str"/>
    </row>
    <row r="2108">
      <c r="B2108" s="2" t="n"/>
      <c r="C2108" s="40" t="n"/>
      <c r="D2108" s="52">
        <f t="array" ref="D2108:W2108">IF(All_Students_Scores!C2106:V2106="","",All_Students_Scores!C2106:V2106)</f>
        <v/>
      </c>
      <c r="E2108" s="57" t="str"/>
      <c r="F2108" s="49" t="str"/>
      <c r="G2108" s="59" t="str"/>
      <c r="H2108" s="64" t="str"/>
      <c r="I2108" s="65" t="str"/>
      <c r="J2108" s="49" t="str"/>
      <c r="K2108" s="41" t="str"/>
      <c r="L2108" s="41" t="str"/>
      <c r="M2108" s="41" t="str"/>
      <c r="N2108" s="41" t="str"/>
      <c r="O2108" s="41" t="str"/>
      <c r="P2108" s="41" t="str"/>
      <c r="Q2108" s="41" t="str"/>
      <c r="R2108" s="41" t="str"/>
      <c r="S2108" s="41" t="str"/>
      <c r="T2108" s="41" t="str"/>
      <c r="U2108" s="41" t="str"/>
      <c r="V2108" s="41" t="str"/>
      <c r="W2108" s="41" t="str"/>
    </row>
    <row r="2109">
      <c r="B2109" s="2" t="n"/>
      <c r="C2109" s="40" t="n"/>
      <c r="D2109" s="52">
        <f t="array" ref="D2109:W2109">IF(All_Students_Scores!C2107:V2107="","",All_Students_Scores!C2107:V2107)</f>
        <v/>
      </c>
      <c r="E2109" s="57" t="str"/>
      <c r="F2109" s="49" t="str"/>
      <c r="G2109" s="59" t="str"/>
      <c r="H2109" s="64" t="str"/>
      <c r="I2109" s="65" t="str"/>
      <c r="J2109" s="49" t="str"/>
      <c r="K2109" s="41" t="str"/>
      <c r="L2109" s="41" t="str"/>
      <c r="M2109" s="41" t="str"/>
      <c r="N2109" s="41" t="str"/>
      <c r="O2109" s="41" t="str"/>
      <c r="P2109" s="41" t="str"/>
      <c r="Q2109" s="41" t="str"/>
      <c r="R2109" s="41" t="str"/>
      <c r="S2109" s="41" t="str"/>
      <c r="T2109" s="41" t="str"/>
      <c r="U2109" s="41" t="str"/>
      <c r="V2109" s="41" t="str"/>
      <c r="W2109" s="41" t="str"/>
    </row>
    <row r="2110">
      <c r="B2110" s="2" t="n"/>
      <c r="C2110" s="40" t="n"/>
      <c r="D2110" s="52">
        <f t="array" ref="D2110:W2110">IF(All_Students_Scores!C2108:V2108="","",All_Students_Scores!C2108:V2108)</f>
        <v/>
      </c>
      <c r="E2110" s="57" t="str"/>
      <c r="F2110" s="49" t="str"/>
      <c r="G2110" s="59" t="str"/>
      <c r="H2110" s="64" t="str"/>
      <c r="I2110" s="65" t="str"/>
      <c r="J2110" s="49" t="str"/>
      <c r="K2110" s="41" t="str"/>
      <c r="L2110" s="41" t="str"/>
      <c r="M2110" s="41" t="str"/>
      <c r="N2110" s="41" t="str"/>
      <c r="O2110" s="41" t="str"/>
      <c r="P2110" s="41" t="str"/>
      <c r="Q2110" s="41" t="str"/>
      <c r="R2110" s="41" t="str"/>
      <c r="S2110" s="41" t="str"/>
      <c r="T2110" s="41" t="str"/>
      <c r="U2110" s="41" t="str"/>
      <c r="V2110" s="41" t="str"/>
      <c r="W2110" s="41" t="str"/>
    </row>
    <row r="2111">
      <c r="B2111" s="2" t="n"/>
      <c r="C2111" s="40" t="n"/>
      <c r="D2111" s="52">
        <f t="array" ref="D2111:W2111">IF(All_Students_Scores!C2109:V2109="","",All_Students_Scores!C2109:V2109)</f>
        <v/>
      </c>
      <c r="E2111" s="57" t="str"/>
      <c r="F2111" s="49" t="str"/>
      <c r="G2111" s="59" t="str"/>
      <c r="H2111" s="64" t="str"/>
      <c r="I2111" s="65" t="str"/>
      <c r="J2111" s="49" t="str"/>
      <c r="K2111" s="41" t="str"/>
      <c r="L2111" s="41" t="str"/>
      <c r="M2111" s="41" t="str"/>
      <c r="N2111" s="41" t="str"/>
      <c r="O2111" s="41" t="str"/>
      <c r="P2111" s="41" t="str"/>
      <c r="Q2111" s="41" t="str"/>
      <c r="R2111" s="41" t="str"/>
      <c r="S2111" s="41" t="str"/>
      <c r="T2111" s="41" t="str"/>
      <c r="U2111" s="41" t="str"/>
      <c r="V2111" s="41" t="str"/>
      <c r="W2111" s="41" t="str"/>
    </row>
    <row r="2112">
      <c r="B2112" s="2" t="n"/>
      <c r="C2112" s="40" t="n"/>
      <c r="D2112" s="52">
        <f t="array" ref="D2112:W2112">IF(All_Students_Scores!C2110:V2110="","",All_Students_Scores!C2110:V2110)</f>
        <v/>
      </c>
      <c r="E2112" s="57" t="str"/>
      <c r="F2112" s="49" t="str"/>
      <c r="G2112" s="59" t="str"/>
      <c r="H2112" s="64" t="str"/>
      <c r="I2112" s="65" t="str"/>
      <c r="J2112" s="49" t="str"/>
      <c r="K2112" s="41" t="str"/>
      <c r="L2112" s="41" t="str"/>
      <c r="M2112" s="41" t="str"/>
      <c r="N2112" s="41" t="str"/>
      <c r="O2112" s="41" t="str"/>
      <c r="P2112" s="41" t="str"/>
      <c r="Q2112" s="41" t="str"/>
      <c r="R2112" s="41" t="str"/>
      <c r="S2112" s="41" t="str"/>
      <c r="T2112" s="41" t="str"/>
      <c r="U2112" s="41" t="str"/>
      <c r="V2112" s="41" t="str"/>
      <c r="W2112" s="41" t="str"/>
    </row>
    <row r="2113">
      <c r="B2113" s="2" t="n"/>
      <c r="C2113" s="40" t="n"/>
      <c r="D2113" s="52">
        <f t="array" ref="D2113:W2113">IF(All_Students_Scores!C2111:V2111="","",All_Students_Scores!C2111:V2111)</f>
        <v/>
      </c>
      <c r="E2113" s="57" t="str"/>
      <c r="F2113" s="49" t="str"/>
      <c r="G2113" s="59" t="str"/>
      <c r="H2113" s="64" t="str"/>
      <c r="I2113" s="65" t="str"/>
      <c r="J2113" s="49" t="str"/>
      <c r="K2113" s="41" t="str"/>
      <c r="L2113" s="41" t="str"/>
      <c r="M2113" s="41" t="str"/>
      <c r="N2113" s="41" t="str"/>
      <c r="O2113" s="41" t="str"/>
      <c r="P2113" s="41" t="str"/>
      <c r="Q2113" s="41" t="str"/>
      <c r="R2113" s="41" t="str"/>
      <c r="S2113" s="41" t="str"/>
      <c r="T2113" s="41" t="str"/>
      <c r="U2113" s="41" t="str"/>
      <c r="V2113" s="41" t="str"/>
      <c r="W2113" s="41" t="str"/>
    </row>
    <row r="2114">
      <c r="B2114" s="2" t="n"/>
      <c r="C2114" s="40" t="n"/>
      <c r="D2114" s="52">
        <f t="array" ref="D2114:W2114">IF(All_Students_Scores!C2112:V2112="","",All_Students_Scores!C2112:V2112)</f>
        <v/>
      </c>
      <c r="E2114" s="57" t="str"/>
      <c r="F2114" s="49" t="str"/>
      <c r="G2114" s="59" t="str"/>
      <c r="H2114" s="64" t="str"/>
      <c r="I2114" s="65" t="str"/>
      <c r="J2114" s="49" t="str"/>
      <c r="K2114" s="41" t="str"/>
      <c r="L2114" s="41" t="str"/>
      <c r="M2114" s="41" t="str"/>
      <c r="N2114" s="41" t="str"/>
      <c r="O2114" s="41" t="str"/>
      <c r="P2114" s="41" t="str"/>
      <c r="Q2114" s="41" t="str"/>
      <c r="R2114" s="41" t="str"/>
      <c r="S2114" s="41" t="str"/>
      <c r="T2114" s="41" t="str"/>
      <c r="U2114" s="41" t="str"/>
      <c r="V2114" s="41" t="str"/>
      <c r="W2114" s="41" t="str"/>
    </row>
    <row r="2115">
      <c r="B2115" s="2" t="n"/>
      <c r="C2115" s="40" t="n"/>
      <c r="D2115" s="52">
        <f t="array" ref="D2115:W2115">IF(All_Students_Scores!C2113:V2113="","",All_Students_Scores!C2113:V2113)</f>
        <v/>
      </c>
      <c r="E2115" s="57" t="str"/>
      <c r="F2115" s="49" t="str"/>
      <c r="G2115" s="59" t="str"/>
      <c r="H2115" s="64" t="str"/>
      <c r="I2115" s="65" t="str"/>
      <c r="J2115" s="49" t="str"/>
      <c r="K2115" s="41" t="str"/>
      <c r="L2115" s="41" t="str"/>
      <c r="M2115" s="41" t="str"/>
      <c r="N2115" s="41" t="str"/>
      <c r="O2115" s="41" t="str"/>
      <c r="P2115" s="41" t="str"/>
      <c r="Q2115" s="41" t="str"/>
      <c r="R2115" s="41" t="str"/>
      <c r="S2115" s="41" t="str"/>
      <c r="T2115" s="41" t="str"/>
      <c r="U2115" s="41" t="str"/>
      <c r="V2115" s="41" t="str"/>
      <c r="W2115" s="41" t="str"/>
    </row>
    <row r="2116">
      <c r="B2116" s="2" t="n"/>
      <c r="C2116" s="40" t="n"/>
      <c r="D2116" s="52">
        <f t="array" ref="D2116:W2116">IF(All_Students_Scores!C2114:V2114="","",All_Students_Scores!C2114:V2114)</f>
        <v/>
      </c>
      <c r="E2116" s="57" t="str"/>
      <c r="F2116" s="49" t="str"/>
      <c r="G2116" s="59" t="str"/>
      <c r="H2116" s="64" t="str"/>
      <c r="I2116" s="65" t="str"/>
      <c r="J2116" s="49" t="str"/>
      <c r="K2116" s="41" t="str"/>
      <c r="L2116" s="41" t="str"/>
      <c r="M2116" s="41" t="str"/>
      <c r="N2116" s="41" t="str"/>
      <c r="O2116" s="41" t="str"/>
      <c r="P2116" s="41" t="str"/>
      <c r="Q2116" s="41" t="str"/>
      <c r="R2116" s="41" t="str"/>
      <c r="S2116" s="41" t="str"/>
      <c r="T2116" s="41" t="str"/>
      <c r="U2116" s="41" t="str"/>
      <c r="V2116" s="41" t="str"/>
      <c r="W2116" s="41" t="str"/>
    </row>
    <row r="2117">
      <c r="B2117" s="2" t="n"/>
      <c r="C2117" s="40" t="n"/>
      <c r="D2117" s="52">
        <f t="array" ref="D2117:W2117">IF(All_Students_Scores!C2115:V2115="","",All_Students_Scores!C2115:V2115)</f>
        <v/>
      </c>
      <c r="E2117" s="57" t="str"/>
      <c r="F2117" s="49" t="str"/>
      <c r="G2117" s="59" t="str"/>
      <c r="H2117" s="64" t="str"/>
      <c r="I2117" s="65" t="str"/>
      <c r="J2117" s="49" t="str"/>
      <c r="K2117" s="41" t="str"/>
      <c r="L2117" s="41" t="str"/>
      <c r="M2117" s="41" t="str"/>
      <c r="N2117" s="41" t="str"/>
      <c r="O2117" s="41" t="str"/>
      <c r="P2117" s="41" t="str"/>
      <c r="Q2117" s="41" t="str"/>
      <c r="R2117" s="41" t="str"/>
      <c r="S2117" s="41" t="str"/>
      <c r="T2117" s="41" t="str"/>
      <c r="U2117" s="41" t="str"/>
      <c r="V2117" s="41" t="str"/>
      <c r="W2117" s="41" t="str"/>
    </row>
    <row r="2118">
      <c r="B2118" s="2" t="n"/>
      <c r="C2118" s="40" t="n"/>
      <c r="D2118" s="52">
        <f t="array" ref="D2118:W2118">IF(All_Students_Scores!C2116:V2116="","",All_Students_Scores!C2116:V2116)</f>
        <v/>
      </c>
      <c r="E2118" s="57" t="str"/>
      <c r="F2118" s="49" t="str"/>
      <c r="G2118" s="59" t="str"/>
      <c r="H2118" s="64" t="str"/>
      <c r="I2118" s="65" t="str"/>
      <c r="J2118" s="49" t="str"/>
      <c r="K2118" s="41" t="str"/>
      <c r="L2118" s="41" t="str"/>
      <c r="M2118" s="41" t="str"/>
      <c r="N2118" s="41" t="str"/>
      <c r="O2118" s="41" t="str"/>
      <c r="P2118" s="41" t="str"/>
      <c r="Q2118" s="41" t="str"/>
      <c r="R2118" s="41" t="str"/>
      <c r="S2118" s="41" t="str"/>
      <c r="T2118" s="41" t="str"/>
      <c r="U2118" s="41" t="str"/>
      <c r="V2118" s="41" t="str"/>
      <c r="W2118" s="41" t="str"/>
    </row>
    <row r="2119">
      <c r="B2119" s="2" t="n"/>
      <c r="C2119" s="40" t="n"/>
      <c r="D2119" s="52">
        <f t="array" ref="D2119:W2119">IF(All_Students_Scores!C2117:V2117="","",All_Students_Scores!C2117:V2117)</f>
        <v/>
      </c>
      <c r="E2119" s="57" t="str"/>
      <c r="F2119" s="49" t="str"/>
      <c r="G2119" s="59" t="str"/>
      <c r="H2119" s="64" t="str"/>
      <c r="I2119" s="65" t="str"/>
      <c r="J2119" s="49" t="str"/>
      <c r="K2119" s="41" t="str"/>
      <c r="L2119" s="41" t="str"/>
      <c r="M2119" s="41" t="str"/>
      <c r="N2119" s="41" t="str"/>
      <c r="O2119" s="41" t="str"/>
      <c r="P2119" s="41" t="str"/>
      <c r="Q2119" s="41" t="str"/>
      <c r="R2119" s="41" t="str"/>
      <c r="S2119" s="41" t="str"/>
      <c r="T2119" s="41" t="str"/>
      <c r="U2119" s="41" t="str"/>
      <c r="V2119" s="41" t="str"/>
      <c r="W2119" s="41" t="str"/>
    </row>
    <row r="2120">
      <c r="B2120" s="2" t="n"/>
      <c r="C2120" s="40" t="n"/>
      <c r="D2120" s="52">
        <f t="array" ref="D2120:W2120">IF(All_Students_Scores!C2118:V2118="","",All_Students_Scores!C2118:V2118)</f>
        <v/>
      </c>
      <c r="E2120" s="57" t="str"/>
      <c r="F2120" s="49" t="str"/>
      <c r="G2120" s="59" t="str"/>
      <c r="H2120" s="64" t="str"/>
      <c r="I2120" s="65" t="str"/>
      <c r="J2120" s="49" t="str"/>
      <c r="K2120" s="41" t="str"/>
      <c r="L2120" s="41" t="str"/>
      <c r="M2120" s="41" t="str"/>
      <c r="N2120" s="41" t="str"/>
      <c r="O2120" s="41" t="str"/>
      <c r="P2120" s="41" t="str"/>
      <c r="Q2120" s="41" t="str"/>
      <c r="R2120" s="41" t="str"/>
      <c r="S2120" s="41" t="str"/>
      <c r="T2120" s="41" t="str"/>
      <c r="U2120" s="41" t="str"/>
      <c r="V2120" s="41" t="str"/>
      <c r="W2120" s="41" t="str"/>
    </row>
    <row r="2121">
      <c r="B2121" s="2" t="n"/>
      <c r="C2121" s="40" t="n"/>
      <c r="D2121" s="52">
        <f t="array" ref="D2121:W2121">IF(All_Students_Scores!C2119:V2119="","",All_Students_Scores!C2119:V2119)</f>
        <v/>
      </c>
      <c r="E2121" s="57" t="str"/>
      <c r="F2121" s="49" t="str"/>
      <c r="G2121" s="59" t="str"/>
      <c r="H2121" s="64" t="str"/>
      <c r="I2121" s="65" t="str"/>
      <c r="J2121" s="49" t="str"/>
      <c r="K2121" s="41" t="str"/>
      <c r="L2121" s="41" t="str"/>
      <c r="M2121" s="41" t="str"/>
      <c r="N2121" s="41" t="str"/>
      <c r="O2121" s="41" t="str"/>
      <c r="P2121" s="41" t="str"/>
      <c r="Q2121" s="41" t="str"/>
      <c r="R2121" s="41" t="str"/>
      <c r="S2121" s="41" t="str"/>
      <c r="T2121" s="41" t="str"/>
      <c r="U2121" s="41" t="str"/>
      <c r="V2121" s="41" t="str"/>
      <c r="W2121" s="41" t="str"/>
    </row>
    <row r="2122">
      <c r="B2122" s="2" t="n"/>
      <c r="C2122" s="40" t="n"/>
      <c r="D2122" s="52">
        <f t="array" ref="D2122:W2122">IF(All_Students_Scores!C2120:V2120="","",All_Students_Scores!C2120:V2120)</f>
        <v/>
      </c>
      <c r="E2122" s="57" t="str"/>
      <c r="F2122" s="49" t="str"/>
      <c r="G2122" s="59" t="str"/>
      <c r="H2122" s="64" t="str"/>
      <c r="I2122" s="65" t="str"/>
      <c r="J2122" s="49" t="str"/>
      <c r="K2122" s="41" t="str"/>
      <c r="L2122" s="41" t="str"/>
      <c r="M2122" s="41" t="str"/>
      <c r="N2122" s="41" t="str"/>
      <c r="O2122" s="41" t="str"/>
      <c r="P2122" s="41" t="str"/>
      <c r="Q2122" s="41" t="str"/>
      <c r="R2122" s="41" t="str"/>
      <c r="S2122" s="41" t="str"/>
      <c r="T2122" s="41" t="str"/>
      <c r="U2122" s="41" t="str"/>
      <c r="V2122" s="41" t="str"/>
      <c r="W2122" s="41" t="str"/>
    </row>
    <row r="2123">
      <c r="B2123" s="2" t="n"/>
      <c r="C2123" s="40" t="n"/>
      <c r="D2123" s="52">
        <f t="array" ref="D2123:W2123">IF(All_Students_Scores!C2121:V2121="","",All_Students_Scores!C2121:V2121)</f>
        <v/>
      </c>
      <c r="E2123" s="57" t="str"/>
      <c r="F2123" s="49" t="str"/>
      <c r="G2123" s="59" t="str"/>
      <c r="H2123" s="64" t="str"/>
      <c r="I2123" s="65" t="str"/>
      <c r="J2123" s="49" t="str"/>
      <c r="K2123" s="41" t="str"/>
      <c r="L2123" s="41" t="str"/>
      <c r="M2123" s="41" t="str"/>
      <c r="N2123" s="41" t="str"/>
      <c r="O2123" s="41" t="str"/>
      <c r="P2123" s="41" t="str"/>
      <c r="Q2123" s="41" t="str"/>
      <c r="R2123" s="41" t="str"/>
      <c r="S2123" s="41" t="str"/>
      <c r="T2123" s="41" t="str"/>
      <c r="U2123" s="41" t="str"/>
      <c r="V2123" s="41" t="str"/>
      <c r="W2123" s="41" t="str"/>
    </row>
    <row r="2124">
      <c r="B2124" s="2" t="n"/>
      <c r="C2124" s="40" t="n"/>
      <c r="D2124" s="52">
        <f t="array" ref="D2124:W2124">IF(All_Students_Scores!C2122:V2122="","",All_Students_Scores!C2122:V2122)</f>
        <v/>
      </c>
      <c r="E2124" s="57" t="str"/>
      <c r="F2124" s="49" t="str"/>
      <c r="G2124" s="59" t="str"/>
      <c r="H2124" s="64" t="str"/>
      <c r="I2124" s="65" t="str"/>
      <c r="J2124" s="49" t="str"/>
      <c r="K2124" s="41" t="str"/>
      <c r="L2124" s="41" t="str"/>
      <c r="M2124" s="41" t="str"/>
      <c r="N2124" s="41" t="str"/>
      <c r="O2124" s="41" t="str"/>
      <c r="P2124" s="41" t="str"/>
      <c r="Q2124" s="41" t="str"/>
      <c r="R2124" s="41" t="str"/>
      <c r="S2124" s="41" t="str"/>
      <c r="T2124" s="41" t="str"/>
      <c r="U2124" s="41" t="str"/>
      <c r="V2124" s="41" t="str"/>
      <c r="W2124" s="41" t="str"/>
    </row>
    <row r="2125">
      <c r="B2125" s="2" t="n"/>
      <c r="C2125" s="40" t="n"/>
      <c r="D2125" s="52">
        <f t="array" ref="D2125:W2125">IF(All_Students_Scores!C2123:V2123="","",All_Students_Scores!C2123:V2123)</f>
        <v/>
      </c>
      <c r="E2125" s="57" t="str"/>
      <c r="F2125" s="49" t="str"/>
      <c r="G2125" s="59" t="str"/>
      <c r="H2125" s="64" t="str"/>
      <c r="I2125" s="65" t="str"/>
      <c r="J2125" s="49" t="str"/>
      <c r="K2125" s="41" t="str"/>
      <c r="L2125" s="41" t="str"/>
      <c r="M2125" s="41" t="str"/>
      <c r="N2125" s="41" t="str"/>
      <c r="O2125" s="41" t="str"/>
      <c r="P2125" s="41" t="str"/>
      <c r="Q2125" s="41" t="str"/>
      <c r="R2125" s="41" t="str"/>
      <c r="S2125" s="41" t="str"/>
      <c r="T2125" s="41" t="str"/>
      <c r="U2125" s="41" t="str"/>
      <c r="V2125" s="41" t="str"/>
      <c r="W2125" s="41" t="str"/>
    </row>
    <row r="2126">
      <c r="B2126" s="2" t="n"/>
      <c r="C2126" s="40" t="n"/>
      <c r="D2126" s="52">
        <f t="array" ref="D2126:W2126">IF(All_Students_Scores!C2124:V2124="","",All_Students_Scores!C2124:V2124)</f>
        <v/>
      </c>
      <c r="E2126" s="57" t="str"/>
      <c r="F2126" s="49" t="str"/>
      <c r="G2126" s="59" t="str"/>
      <c r="H2126" s="64" t="str"/>
      <c r="I2126" s="65" t="str"/>
      <c r="J2126" s="49" t="str"/>
      <c r="K2126" s="41" t="str"/>
      <c r="L2126" s="41" t="str"/>
      <c r="M2126" s="41" t="str"/>
      <c r="N2126" s="41" t="str"/>
      <c r="O2126" s="41" t="str"/>
      <c r="P2126" s="41" t="str"/>
      <c r="Q2126" s="41" t="str"/>
      <c r="R2126" s="41" t="str"/>
      <c r="S2126" s="41" t="str"/>
      <c r="T2126" s="41" t="str"/>
      <c r="U2126" s="41" t="str"/>
      <c r="V2126" s="41" t="str"/>
      <c r="W2126" s="41" t="str"/>
    </row>
    <row r="2127">
      <c r="B2127" s="2" t="n"/>
      <c r="C2127" s="40" t="n"/>
      <c r="D2127" s="52">
        <f t="array" ref="D2127:W2127">IF(All_Students_Scores!C2125:V2125="","",All_Students_Scores!C2125:V2125)</f>
        <v/>
      </c>
      <c r="E2127" s="57" t="str"/>
      <c r="F2127" s="49" t="str"/>
      <c r="G2127" s="59" t="str"/>
      <c r="H2127" s="64" t="str"/>
      <c r="I2127" s="65" t="str"/>
      <c r="J2127" s="49" t="str"/>
      <c r="K2127" s="41" t="str"/>
      <c r="L2127" s="41" t="str"/>
      <c r="M2127" s="41" t="str"/>
      <c r="N2127" s="41" t="str"/>
      <c r="O2127" s="41" t="str"/>
      <c r="P2127" s="41" t="str"/>
      <c r="Q2127" s="41" t="str"/>
      <c r="R2127" s="41" t="str"/>
      <c r="S2127" s="41" t="str"/>
      <c r="T2127" s="41" t="str"/>
      <c r="U2127" s="41" t="str"/>
      <c r="V2127" s="41" t="str"/>
      <c r="W2127" s="41" t="str"/>
    </row>
    <row r="2128">
      <c r="B2128" s="2" t="n"/>
      <c r="C2128" s="40" t="n"/>
      <c r="D2128" s="52">
        <f t="array" ref="D2128:W2128">IF(All_Students_Scores!C2126:V2126="","",All_Students_Scores!C2126:V2126)</f>
        <v/>
      </c>
      <c r="E2128" s="57" t="str"/>
      <c r="F2128" s="49" t="str"/>
      <c r="G2128" s="59" t="str"/>
      <c r="H2128" s="64" t="str"/>
      <c r="I2128" s="65" t="str"/>
      <c r="J2128" s="49" t="str"/>
      <c r="K2128" s="41" t="str"/>
      <c r="L2128" s="41" t="str"/>
      <c r="M2128" s="41" t="str"/>
      <c r="N2128" s="41" t="str"/>
      <c r="O2128" s="41" t="str"/>
      <c r="P2128" s="41" t="str"/>
      <c r="Q2128" s="41" t="str"/>
      <c r="R2128" s="41" t="str"/>
      <c r="S2128" s="41" t="str"/>
      <c r="T2128" s="41" t="str"/>
      <c r="U2128" s="41" t="str"/>
      <c r="V2128" s="41" t="str"/>
      <c r="W2128" s="41" t="str"/>
    </row>
    <row r="2129">
      <c r="B2129" s="2" t="n"/>
      <c r="C2129" s="40" t="n"/>
      <c r="D2129" s="52">
        <f t="array" ref="D2129:W2129">IF(All_Students_Scores!C2127:V2127="","",All_Students_Scores!C2127:V2127)</f>
        <v/>
      </c>
      <c r="E2129" s="57" t="str"/>
      <c r="F2129" s="49" t="str"/>
      <c r="G2129" s="59" t="str"/>
      <c r="H2129" s="64" t="str"/>
      <c r="I2129" s="65" t="str"/>
      <c r="J2129" s="49" t="str"/>
      <c r="K2129" s="41" t="str"/>
      <c r="L2129" s="41" t="str"/>
      <c r="M2129" s="41" t="str"/>
      <c r="N2129" s="41" t="str"/>
      <c r="O2129" s="41" t="str"/>
      <c r="P2129" s="41" t="str"/>
      <c r="Q2129" s="41" t="str"/>
      <c r="R2129" s="41" t="str"/>
      <c r="S2129" s="41" t="str"/>
      <c r="T2129" s="41" t="str"/>
      <c r="U2129" s="41" t="str"/>
      <c r="V2129" s="41" t="str"/>
      <c r="W2129" s="41" t="str"/>
    </row>
    <row r="2130">
      <c r="B2130" s="2" t="n"/>
      <c r="C2130" s="40" t="n"/>
      <c r="D2130" s="52">
        <f t="array" ref="D2130:W2130">IF(All_Students_Scores!C2128:V2128="","",All_Students_Scores!C2128:V2128)</f>
        <v/>
      </c>
      <c r="E2130" s="57" t="str"/>
      <c r="F2130" s="49" t="str"/>
      <c r="G2130" s="59" t="str"/>
      <c r="H2130" s="64" t="str"/>
      <c r="I2130" s="65" t="str"/>
      <c r="J2130" s="49" t="str"/>
      <c r="K2130" s="41" t="str"/>
      <c r="L2130" s="41" t="str"/>
      <c r="M2130" s="41" t="str"/>
      <c r="N2130" s="41" t="str"/>
      <c r="O2130" s="41" t="str"/>
      <c r="P2130" s="41" t="str"/>
      <c r="Q2130" s="41" t="str"/>
      <c r="R2130" s="41" t="str"/>
      <c r="S2130" s="41" t="str"/>
      <c r="T2130" s="41" t="str"/>
      <c r="U2130" s="41" t="str"/>
      <c r="V2130" s="41" t="str"/>
      <c r="W2130" s="41" t="str"/>
    </row>
    <row r="2131">
      <c r="B2131" s="2" t="n"/>
      <c r="C2131" s="40" t="n"/>
      <c r="D2131" s="52">
        <f t="array" ref="D2131:W2131">IF(All_Students_Scores!C2129:V2129="","",All_Students_Scores!C2129:V2129)</f>
        <v/>
      </c>
      <c r="E2131" s="57" t="str"/>
      <c r="F2131" s="49" t="str"/>
      <c r="G2131" s="59" t="str"/>
      <c r="H2131" s="64" t="str"/>
      <c r="I2131" s="65" t="str"/>
      <c r="J2131" s="49" t="str"/>
      <c r="K2131" s="41" t="str"/>
      <c r="L2131" s="41" t="str"/>
      <c r="M2131" s="41" t="str"/>
      <c r="N2131" s="41" t="str"/>
      <c r="O2131" s="41" t="str"/>
      <c r="P2131" s="41" t="str"/>
      <c r="Q2131" s="41" t="str"/>
      <c r="R2131" s="41" t="str"/>
      <c r="S2131" s="41" t="str"/>
      <c r="T2131" s="41" t="str"/>
      <c r="U2131" s="41" t="str"/>
      <c r="V2131" s="41" t="str"/>
      <c r="W2131" s="41" t="str"/>
    </row>
    <row r="2132">
      <c r="B2132" s="2" t="n"/>
      <c r="C2132" s="40" t="n"/>
      <c r="D2132" s="52">
        <f t="array" ref="D2132:W2132">IF(All_Students_Scores!C2130:V2130="","",All_Students_Scores!C2130:V2130)</f>
        <v/>
      </c>
      <c r="E2132" s="57" t="str"/>
      <c r="F2132" s="49" t="str"/>
      <c r="G2132" s="59" t="str"/>
      <c r="H2132" s="64" t="str"/>
      <c r="I2132" s="65" t="str"/>
      <c r="J2132" s="49" t="str"/>
      <c r="K2132" s="41" t="str"/>
      <c r="L2132" s="41" t="str"/>
      <c r="M2132" s="41" t="str"/>
      <c r="N2132" s="41" t="str"/>
      <c r="O2132" s="41" t="str"/>
      <c r="P2132" s="41" t="str"/>
      <c r="Q2132" s="41" t="str"/>
      <c r="R2132" s="41" t="str"/>
      <c r="S2132" s="41" t="str"/>
      <c r="T2132" s="41" t="str"/>
      <c r="U2132" s="41" t="str"/>
      <c r="V2132" s="41" t="str"/>
      <c r="W2132" s="41" t="str"/>
    </row>
    <row r="2133">
      <c r="B2133" s="2" t="n"/>
      <c r="C2133" s="40" t="n"/>
      <c r="D2133" s="52">
        <f t="array" ref="D2133:W2133">IF(All_Students_Scores!C2131:V2131="","",All_Students_Scores!C2131:V2131)</f>
        <v/>
      </c>
      <c r="E2133" s="57" t="str"/>
      <c r="F2133" s="49" t="str"/>
      <c r="G2133" s="59" t="str"/>
      <c r="H2133" s="64" t="str"/>
      <c r="I2133" s="65" t="str"/>
      <c r="J2133" s="49" t="str"/>
      <c r="K2133" s="41" t="str"/>
      <c r="L2133" s="41" t="str"/>
      <c r="M2133" s="41" t="str"/>
      <c r="N2133" s="41" t="str"/>
      <c r="O2133" s="41" t="str"/>
      <c r="P2133" s="41" t="str"/>
      <c r="Q2133" s="41" t="str"/>
      <c r="R2133" s="41" t="str"/>
      <c r="S2133" s="41" t="str"/>
      <c r="T2133" s="41" t="str"/>
      <c r="U2133" s="41" t="str"/>
      <c r="V2133" s="41" t="str"/>
      <c r="W2133" s="41" t="str"/>
    </row>
    <row r="2134">
      <c r="B2134" s="2" t="n"/>
      <c r="C2134" s="40" t="n"/>
      <c r="D2134" s="52">
        <f t="array" ref="D2134:W2134">IF(All_Students_Scores!C2132:V2132="","",All_Students_Scores!C2132:V2132)</f>
        <v/>
      </c>
      <c r="E2134" s="57" t="str"/>
      <c r="F2134" s="49" t="str"/>
      <c r="G2134" s="59" t="str"/>
      <c r="H2134" s="64" t="str"/>
      <c r="I2134" s="65" t="str"/>
      <c r="J2134" s="49" t="str"/>
      <c r="K2134" s="41" t="str"/>
      <c r="L2134" s="41" t="str"/>
      <c r="M2134" s="41" t="str"/>
      <c r="N2134" s="41" t="str"/>
      <c r="O2134" s="41" t="str"/>
      <c r="P2134" s="41" t="str"/>
      <c r="Q2134" s="41" t="str"/>
      <c r="R2134" s="41" t="str"/>
      <c r="S2134" s="41" t="str"/>
      <c r="T2134" s="41" t="str"/>
      <c r="U2134" s="41" t="str"/>
      <c r="V2134" s="41" t="str"/>
      <c r="W2134" s="41" t="str"/>
    </row>
    <row r="2135">
      <c r="B2135" s="2" t="n"/>
      <c r="C2135" s="40" t="n"/>
      <c r="D2135" s="52">
        <f t="array" ref="D2135:W2135">IF(All_Students_Scores!C2133:V2133="","",All_Students_Scores!C2133:V2133)</f>
        <v/>
      </c>
      <c r="E2135" s="57" t="str"/>
      <c r="F2135" s="49" t="str"/>
      <c r="G2135" s="59" t="str"/>
      <c r="H2135" s="64" t="str"/>
      <c r="I2135" s="65" t="str"/>
      <c r="J2135" s="49" t="str"/>
      <c r="K2135" s="41" t="str"/>
      <c r="L2135" s="41" t="str"/>
      <c r="M2135" s="41" t="str"/>
      <c r="N2135" s="41" t="str"/>
      <c r="O2135" s="41" t="str"/>
      <c r="P2135" s="41" t="str"/>
      <c r="Q2135" s="41" t="str"/>
      <c r="R2135" s="41" t="str"/>
      <c r="S2135" s="41" t="str"/>
      <c r="T2135" s="41" t="str"/>
      <c r="U2135" s="41" t="str"/>
      <c r="V2135" s="41" t="str"/>
      <c r="W2135" s="41" t="str"/>
    </row>
    <row r="2136">
      <c r="B2136" s="2" t="n"/>
      <c r="C2136" s="40" t="n"/>
      <c r="D2136" s="52">
        <f t="array" ref="D2136:W2136">IF(All_Students_Scores!C2134:V2134="","",All_Students_Scores!C2134:V2134)</f>
        <v/>
      </c>
      <c r="E2136" s="57" t="str"/>
      <c r="F2136" s="49" t="str"/>
      <c r="G2136" s="59" t="str"/>
      <c r="H2136" s="64" t="str"/>
      <c r="I2136" s="65" t="str"/>
      <c r="J2136" s="49" t="str"/>
      <c r="K2136" s="41" t="str"/>
      <c r="L2136" s="41" t="str"/>
      <c r="M2136" s="41" t="str"/>
      <c r="N2136" s="41" t="str"/>
      <c r="O2136" s="41" t="str"/>
      <c r="P2136" s="41" t="str"/>
      <c r="Q2136" s="41" t="str"/>
      <c r="R2136" s="41" t="str"/>
      <c r="S2136" s="41" t="str"/>
      <c r="T2136" s="41" t="str"/>
      <c r="U2136" s="41" t="str"/>
      <c r="V2136" s="41" t="str"/>
      <c r="W2136" s="41" t="str"/>
    </row>
    <row r="2137">
      <c r="B2137" s="2" t="n"/>
      <c r="C2137" s="40" t="n"/>
      <c r="D2137" s="52">
        <f t="array" ref="D2137:W2137">IF(All_Students_Scores!C2135:V2135="","",All_Students_Scores!C2135:V2135)</f>
        <v/>
      </c>
      <c r="E2137" s="57" t="str"/>
      <c r="F2137" s="49" t="str"/>
      <c r="G2137" s="59" t="str"/>
      <c r="H2137" s="64" t="str"/>
      <c r="I2137" s="65" t="str"/>
      <c r="J2137" s="49" t="str"/>
      <c r="K2137" s="41" t="str"/>
      <c r="L2137" s="41" t="str"/>
      <c r="M2137" s="41" t="str"/>
      <c r="N2137" s="41" t="str"/>
      <c r="O2137" s="41" t="str"/>
      <c r="P2137" s="41" t="str"/>
      <c r="Q2137" s="41" t="str"/>
      <c r="R2137" s="41" t="str"/>
      <c r="S2137" s="41" t="str"/>
      <c r="T2137" s="41" t="str"/>
      <c r="U2137" s="41" t="str"/>
      <c r="V2137" s="41" t="str"/>
      <c r="W2137" s="41" t="str"/>
    </row>
    <row r="2138">
      <c r="B2138" s="2" t="n"/>
      <c r="C2138" s="40" t="n"/>
      <c r="D2138" s="52">
        <f t="array" ref="D2138:W2138">IF(All_Students_Scores!C2136:V2136="","",All_Students_Scores!C2136:V2136)</f>
        <v/>
      </c>
      <c r="E2138" s="57" t="str"/>
      <c r="F2138" s="49" t="str"/>
      <c r="G2138" s="59" t="str"/>
      <c r="H2138" s="64" t="str"/>
      <c r="I2138" s="65" t="str"/>
      <c r="J2138" s="49" t="str"/>
      <c r="K2138" s="41" t="str"/>
      <c r="L2138" s="41" t="str"/>
      <c r="M2138" s="41" t="str"/>
      <c r="N2138" s="41" t="str"/>
      <c r="O2138" s="41" t="str"/>
      <c r="P2138" s="41" t="str"/>
      <c r="Q2138" s="41" t="str"/>
      <c r="R2138" s="41" t="str"/>
      <c r="S2138" s="41" t="str"/>
      <c r="T2138" s="41" t="str"/>
      <c r="U2138" s="41" t="str"/>
      <c r="V2138" s="41" t="str"/>
      <c r="W2138" s="41" t="str"/>
    </row>
    <row r="2139">
      <c r="B2139" s="2" t="n"/>
      <c r="C2139" s="40" t="n"/>
      <c r="D2139" s="52">
        <f t="array" ref="D2139:W2139">IF(All_Students_Scores!C2137:V2137="","",All_Students_Scores!C2137:V2137)</f>
        <v/>
      </c>
      <c r="E2139" s="57" t="str"/>
      <c r="F2139" s="49" t="str"/>
      <c r="G2139" s="59" t="str"/>
      <c r="H2139" s="64" t="str"/>
      <c r="I2139" s="65" t="str"/>
      <c r="J2139" s="49" t="str"/>
      <c r="K2139" s="41" t="str"/>
      <c r="L2139" s="41" t="str"/>
      <c r="M2139" s="41" t="str"/>
      <c r="N2139" s="41" t="str"/>
      <c r="O2139" s="41" t="str"/>
      <c r="P2139" s="41" t="str"/>
      <c r="Q2139" s="41" t="str"/>
      <c r="R2139" s="41" t="str"/>
      <c r="S2139" s="41" t="str"/>
      <c r="T2139" s="41" t="str"/>
      <c r="U2139" s="41" t="str"/>
      <c r="V2139" s="41" t="str"/>
      <c r="W2139" s="41" t="str"/>
    </row>
    <row r="2140">
      <c r="B2140" s="2" t="n"/>
      <c r="C2140" s="40" t="n"/>
      <c r="D2140" s="52">
        <f t="array" ref="D2140:W2140">IF(All_Students_Scores!C2138:V2138="","",All_Students_Scores!C2138:V2138)</f>
        <v/>
      </c>
      <c r="E2140" s="57" t="str"/>
      <c r="F2140" s="49" t="str"/>
      <c r="G2140" s="59" t="str"/>
      <c r="H2140" s="64" t="str"/>
      <c r="I2140" s="65" t="str"/>
      <c r="J2140" s="49" t="str"/>
      <c r="K2140" s="41" t="str"/>
      <c r="L2140" s="41" t="str"/>
      <c r="M2140" s="41" t="str"/>
      <c r="N2140" s="41" t="str"/>
      <c r="O2140" s="41" t="str"/>
      <c r="P2140" s="41" t="str"/>
      <c r="Q2140" s="41" t="str"/>
      <c r="R2140" s="41" t="str"/>
      <c r="S2140" s="41" t="str"/>
      <c r="T2140" s="41" t="str"/>
      <c r="U2140" s="41" t="str"/>
      <c r="V2140" s="41" t="str"/>
      <c r="W2140" s="41" t="str"/>
    </row>
    <row r="2141">
      <c r="B2141" s="2" t="n"/>
      <c r="C2141" s="40" t="n"/>
      <c r="D2141" s="52">
        <f t="array" ref="D2141:W2141">IF(All_Students_Scores!C2139:V2139="","",All_Students_Scores!C2139:V2139)</f>
        <v/>
      </c>
      <c r="E2141" s="57" t="str"/>
      <c r="F2141" s="49" t="str"/>
      <c r="G2141" s="59" t="str"/>
      <c r="H2141" s="64" t="str"/>
      <c r="I2141" s="65" t="str"/>
      <c r="J2141" s="49" t="str"/>
      <c r="K2141" s="41" t="str"/>
      <c r="L2141" s="41" t="str"/>
      <c r="M2141" s="41" t="str"/>
      <c r="N2141" s="41" t="str"/>
      <c r="O2141" s="41" t="str"/>
      <c r="P2141" s="41" t="str"/>
      <c r="Q2141" s="41" t="str"/>
      <c r="R2141" s="41" t="str"/>
      <c r="S2141" s="41" t="str"/>
      <c r="T2141" s="41" t="str"/>
      <c r="U2141" s="41" t="str"/>
      <c r="V2141" s="41" t="str"/>
      <c r="W2141" s="41" t="str"/>
    </row>
    <row r="2142">
      <c r="B2142" s="2" t="n"/>
      <c r="C2142" s="40" t="n"/>
      <c r="D2142" s="52">
        <f t="array" ref="D2142:W2142">IF(All_Students_Scores!C2140:V2140="","",All_Students_Scores!C2140:V2140)</f>
        <v/>
      </c>
      <c r="E2142" s="57" t="str"/>
      <c r="F2142" s="49" t="str"/>
      <c r="G2142" s="59" t="str"/>
      <c r="H2142" s="64" t="str"/>
      <c r="I2142" s="65" t="str"/>
      <c r="J2142" s="49" t="str"/>
      <c r="K2142" s="41" t="str"/>
      <c r="L2142" s="41" t="str"/>
      <c r="M2142" s="41" t="str"/>
      <c r="N2142" s="41" t="str"/>
      <c r="O2142" s="41" t="str"/>
      <c r="P2142" s="41" t="str"/>
      <c r="Q2142" s="41" t="str"/>
      <c r="R2142" s="41" t="str"/>
      <c r="S2142" s="41" t="str"/>
      <c r="T2142" s="41" t="str"/>
      <c r="U2142" s="41" t="str"/>
      <c r="V2142" s="41" t="str"/>
      <c r="W2142" s="41" t="str"/>
    </row>
    <row r="2143">
      <c r="B2143" s="2" t="n"/>
      <c r="C2143" s="40" t="n"/>
      <c r="D2143" s="52">
        <f t="array" ref="D2143:W2143">IF(All_Students_Scores!C2141:V2141="","",All_Students_Scores!C2141:V2141)</f>
        <v/>
      </c>
      <c r="E2143" s="57" t="str"/>
      <c r="F2143" s="49" t="str"/>
      <c r="G2143" s="59" t="str"/>
      <c r="H2143" s="64" t="str"/>
      <c r="I2143" s="65" t="str"/>
      <c r="J2143" s="49" t="str"/>
      <c r="K2143" s="41" t="str"/>
      <c r="L2143" s="41" t="str"/>
      <c r="M2143" s="41" t="str"/>
      <c r="N2143" s="41" t="str"/>
      <c r="O2143" s="41" t="str"/>
      <c r="P2143" s="41" t="str"/>
      <c r="Q2143" s="41" t="str"/>
      <c r="R2143" s="41" t="str"/>
      <c r="S2143" s="41" t="str"/>
      <c r="T2143" s="41" t="str"/>
      <c r="U2143" s="41" t="str"/>
      <c r="V2143" s="41" t="str"/>
      <c r="W2143" s="41" t="str"/>
    </row>
    <row r="2144">
      <c r="B2144" s="2" t="n"/>
      <c r="C2144" s="40" t="n"/>
      <c r="D2144" s="52">
        <f t="array" ref="D2144:W2144">IF(All_Students_Scores!C2142:V2142="","",All_Students_Scores!C2142:V2142)</f>
        <v/>
      </c>
      <c r="E2144" s="57" t="str"/>
      <c r="F2144" s="49" t="str"/>
      <c r="G2144" s="59" t="str"/>
      <c r="H2144" s="64" t="str"/>
      <c r="I2144" s="65" t="str"/>
      <c r="J2144" s="49" t="str"/>
      <c r="K2144" s="41" t="str"/>
      <c r="L2144" s="41" t="str"/>
      <c r="M2144" s="41" t="str"/>
      <c r="N2144" s="41" t="str"/>
      <c r="O2144" s="41" t="str"/>
      <c r="P2144" s="41" t="str"/>
      <c r="Q2144" s="41" t="str"/>
      <c r="R2144" s="41" t="str"/>
      <c r="S2144" s="41" t="str"/>
      <c r="T2144" s="41" t="str"/>
      <c r="U2144" s="41" t="str"/>
      <c r="V2144" s="41" t="str"/>
      <c r="W2144" s="41" t="str"/>
    </row>
    <row r="2145">
      <c r="B2145" s="2" t="n"/>
      <c r="C2145" s="40" t="n"/>
      <c r="D2145" s="52">
        <f t="array" ref="D2145:W2145">IF(All_Students_Scores!C2143:V2143="","",All_Students_Scores!C2143:V2143)</f>
        <v/>
      </c>
      <c r="E2145" s="57" t="str"/>
      <c r="F2145" s="49" t="str"/>
      <c r="G2145" s="59" t="str"/>
      <c r="H2145" s="64" t="str"/>
      <c r="I2145" s="65" t="str"/>
      <c r="J2145" s="49" t="str"/>
      <c r="K2145" s="41" t="str"/>
      <c r="L2145" s="41" t="str"/>
      <c r="M2145" s="41" t="str"/>
      <c r="N2145" s="41" t="str"/>
      <c r="O2145" s="41" t="str"/>
      <c r="P2145" s="41" t="str"/>
      <c r="Q2145" s="41" t="str"/>
      <c r="R2145" s="41" t="str"/>
      <c r="S2145" s="41" t="str"/>
      <c r="T2145" s="41" t="str"/>
      <c r="U2145" s="41" t="str"/>
      <c r="V2145" s="41" t="str"/>
      <c r="W2145" s="41" t="str"/>
    </row>
    <row r="2146">
      <c r="B2146" s="2" t="n"/>
      <c r="C2146" s="40" t="n"/>
      <c r="D2146" s="52">
        <f t="array" ref="D2146:W2146">IF(All_Students_Scores!C2144:V2144="","",All_Students_Scores!C2144:V2144)</f>
        <v/>
      </c>
      <c r="E2146" s="57" t="str"/>
      <c r="F2146" s="49" t="str"/>
      <c r="G2146" s="59" t="str"/>
      <c r="H2146" s="64" t="str"/>
      <c r="I2146" s="65" t="str"/>
      <c r="J2146" s="49" t="str"/>
      <c r="K2146" s="41" t="str"/>
      <c r="L2146" s="41" t="str"/>
      <c r="M2146" s="41" t="str"/>
      <c r="N2146" s="41" t="str"/>
      <c r="O2146" s="41" t="str"/>
      <c r="P2146" s="41" t="str"/>
      <c r="Q2146" s="41" t="str"/>
      <c r="R2146" s="41" t="str"/>
      <c r="S2146" s="41" t="str"/>
      <c r="T2146" s="41" t="str"/>
      <c r="U2146" s="41" t="str"/>
      <c r="V2146" s="41" t="str"/>
      <c r="W2146" s="41" t="str"/>
    </row>
    <row r="2147">
      <c r="B2147" s="2" t="n"/>
      <c r="C2147" s="40" t="n"/>
      <c r="D2147" s="52">
        <f t="array" ref="D2147:W2147">IF(All_Students_Scores!C2145:V2145="","",All_Students_Scores!C2145:V2145)</f>
        <v/>
      </c>
      <c r="E2147" s="57" t="str"/>
      <c r="F2147" s="49" t="str"/>
      <c r="G2147" s="59" t="str"/>
      <c r="H2147" s="64" t="str"/>
      <c r="I2147" s="65" t="str"/>
      <c r="J2147" s="49" t="str"/>
      <c r="K2147" s="41" t="str"/>
      <c r="L2147" s="41" t="str"/>
      <c r="M2147" s="41" t="str"/>
      <c r="N2147" s="41" t="str"/>
      <c r="O2147" s="41" t="str"/>
      <c r="P2147" s="41" t="str"/>
      <c r="Q2147" s="41" t="str"/>
      <c r="R2147" s="41" t="str"/>
      <c r="S2147" s="41" t="str"/>
      <c r="T2147" s="41" t="str"/>
      <c r="U2147" s="41" t="str"/>
      <c r="V2147" s="41" t="str"/>
      <c r="W2147" s="41" t="str"/>
    </row>
    <row r="2148">
      <c r="B2148" s="2" t="n"/>
      <c r="C2148" s="40" t="n"/>
      <c r="D2148" s="52">
        <f t="array" ref="D2148:W2148">IF(All_Students_Scores!C2146:V2146="","",All_Students_Scores!C2146:V2146)</f>
        <v/>
      </c>
      <c r="E2148" s="57" t="str"/>
      <c r="F2148" s="49" t="str"/>
      <c r="G2148" s="59" t="str"/>
      <c r="H2148" s="64" t="str"/>
      <c r="I2148" s="65" t="str"/>
      <c r="J2148" s="49" t="str"/>
      <c r="K2148" s="41" t="str"/>
      <c r="L2148" s="41" t="str"/>
      <c r="M2148" s="41" t="str"/>
      <c r="N2148" s="41" t="str"/>
      <c r="O2148" s="41" t="str"/>
      <c r="P2148" s="41" t="str"/>
      <c r="Q2148" s="41" t="str"/>
      <c r="R2148" s="41" t="str"/>
      <c r="S2148" s="41" t="str"/>
      <c r="T2148" s="41" t="str"/>
      <c r="U2148" s="41" t="str"/>
      <c r="V2148" s="41" t="str"/>
      <c r="W2148" s="41" t="str"/>
    </row>
    <row r="2149">
      <c r="B2149" s="2" t="n"/>
      <c r="C2149" s="40" t="n"/>
      <c r="D2149" s="52">
        <f t="array" ref="D2149:W2149">IF(All_Students_Scores!C2147:V2147="","",All_Students_Scores!C2147:V2147)</f>
        <v/>
      </c>
      <c r="E2149" s="57" t="str"/>
      <c r="F2149" s="49" t="str"/>
      <c r="G2149" s="59" t="str"/>
      <c r="H2149" s="64" t="str"/>
      <c r="I2149" s="65" t="str"/>
      <c r="J2149" s="49" t="str"/>
      <c r="K2149" s="41" t="str"/>
      <c r="L2149" s="41" t="str"/>
      <c r="M2149" s="41" t="str"/>
      <c r="N2149" s="41" t="str"/>
      <c r="O2149" s="41" t="str"/>
      <c r="P2149" s="41" t="str"/>
      <c r="Q2149" s="41" t="str"/>
      <c r="R2149" s="41" t="str"/>
      <c r="S2149" s="41" t="str"/>
      <c r="T2149" s="41" t="str"/>
      <c r="U2149" s="41" t="str"/>
      <c r="V2149" s="41" t="str"/>
      <c r="W2149" s="41" t="str"/>
    </row>
    <row r="2150">
      <c r="B2150" s="2" t="n"/>
      <c r="C2150" s="40" t="n"/>
      <c r="D2150" s="52">
        <f t="array" ref="D2150:W2150">IF(All_Students_Scores!C2148:V2148="","",All_Students_Scores!C2148:V2148)</f>
        <v/>
      </c>
      <c r="E2150" s="57" t="str"/>
      <c r="F2150" s="49" t="str"/>
      <c r="G2150" s="59" t="str"/>
      <c r="H2150" s="64" t="str"/>
      <c r="I2150" s="65" t="str"/>
      <c r="J2150" s="49" t="str"/>
      <c r="K2150" s="41" t="str"/>
      <c r="L2150" s="41" t="str"/>
      <c r="M2150" s="41" t="str"/>
      <c r="N2150" s="41" t="str"/>
      <c r="O2150" s="41" t="str"/>
      <c r="P2150" s="41" t="str"/>
      <c r="Q2150" s="41" t="str"/>
      <c r="R2150" s="41" t="str"/>
      <c r="S2150" s="41" t="str"/>
      <c r="T2150" s="41" t="str"/>
      <c r="U2150" s="41" t="str"/>
      <c r="V2150" s="41" t="str"/>
      <c r="W2150" s="41" t="str"/>
    </row>
    <row r="2151">
      <c r="B2151" s="2" t="n"/>
      <c r="C2151" s="40" t="n"/>
      <c r="D2151" s="52">
        <f t="array" ref="D2151:W2151">IF(All_Students_Scores!C2149:V2149="","",All_Students_Scores!C2149:V2149)</f>
        <v/>
      </c>
      <c r="E2151" s="57" t="str"/>
      <c r="F2151" s="49" t="str"/>
      <c r="G2151" s="59" t="str"/>
      <c r="H2151" s="64" t="str"/>
      <c r="I2151" s="65" t="str"/>
      <c r="J2151" s="49" t="str"/>
      <c r="K2151" s="41" t="str"/>
      <c r="L2151" s="41" t="str"/>
      <c r="M2151" s="41" t="str"/>
      <c r="N2151" s="41" t="str"/>
      <c r="O2151" s="41" t="str"/>
      <c r="P2151" s="41" t="str"/>
      <c r="Q2151" s="41" t="str"/>
      <c r="R2151" s="41" t="str"/>
      <c r="S2151" s="41" t="str"/>
      <c r="T2151" s="41" t="str"/>
      <c r="U2151" s="41" t="str"/>
      <c r="V2151" s="41" t="str"/>
      <c r="W2151" s="41" t="str"/>
    </row>
    <row r="2152">
      <c r="B2152" s="2" t="n"/>
      <c r="C2152" s="40" t="n"/>
      <c r="D2152" s="52">
        <f t="array" ref="D2152:W2152">IF(All_Students_Scores!C2150:V2150="","",All_Students_Scores!C2150:V2150)</f>
        <v/>
      </c>
      <c r="E2152" s="57" t="str"/>
      <c r="F2152" s="49" t="str"/>
      <c r="G2152" s="59" t="str"/>
      <c r="H2152" s="64" t="str"/>
      <c r="I2152" s="65" t="str"/>
      <c r="J2152" s="49" t="str"/>
      <c r="K2152" s="41" t="str"/>
      <c r="L2152" s="41" t="str"/>
      <c r="M2152" s="41" t="str"/>
      <c r="N2152" s="41" t="str"/>
      <c r="O2152" s="41" t="str"/>
      <c r="P2152" s="41" t="str"/>
      <c r="Q2152" s="41" t="str"/>
      <c r="R2152" s="41" t="str"/>
      <c r="S2152" s="41" t="str"/>
      <c r="T2152" s="41" t="str"/>
      <c r="U2152" s="41" t="str"/>
      <c r="V2152" s="41" t="str"/>
      <c r="W2152" s="41" t="str"/>
    </row>
    <row r="2153">
      <c r="B2153" s="2" t="n"/>
      <c r="C2153" s="40" t="n"/>
      <c r="D2153" s="52">
        <f t="array" ref="D2153:W2153">IF(All_Students_Scores!C2151:V2151="","",All_Students_Scores!C2151:V2151)</f>
        <v/>
      </c>
      <c r="E2153" s="57" t="str"/>
      <c r="F2153" s="49" t="str"/>
      <c r="G2153" s="59" t="str"/>
      <c r="H2153" s="64" t="str"/>
      <c r="I2153" s="65" t="str"/>
      <c r="J2153" s="49" t="str"/>
      <c r="K2153" s="41" t="str"/>
      <c r="L2153" s="41" t="str"/>
      <c r="M2153" s="41" t="str"/>
      <c r="N2153" s="41" t="str"/>
      <c r="O2153" s="41" t="str"/>
      <c r="P2153" s="41" t="str"/>
      <c r="Q2153" s="41" t="str"/>
      <c r="R2153" s="41" t="str"/>
      <c r="S2153" s="41" t="str"/>
      <c r="T2153" s="41" t="str"/>
      <c r="U2153" s="41" t="str"/>
      <c r="V2153" s="41" t="str"/>
      <c r="W2153" s="41" t="str"/>
    </row>
    <row r="2154">
      <c r="B2154" s="2" t="n"/>
      <c r="C2154" s="40" t="n"/>
      <c r="D2154" s="52">
        <f t="array" ref="D2154:W2154">IF(All_Students_Scores!C2152:V2152="","",All_Students_Scores!C2152:V2152)</f>
        <v/>
      </c>
      <c r="E2154" s="57" t="str"/>
      <c r="F2154" s="49" t="str"/>
      <c r="G2154" s="59" t="str"/>
      <c r="H2154" s="64" t="str"/>
      <c r="I2154" s="65" t="str"/>
      <c r="J2154" s="49" t="str"/>
      <c r="K2154" s="41" t="str"/>
      <c r="L2154" s="41" t="str"/>
      <c r="M2154" s="41" t="str"/>
      <c r="N2154" s="41" t="str"/>
      <c r="O2154" s="41" t="str"/>
      <c r="P2154" s="41" t="str"/>
      <c r="Q2154" s="41" t="str"/>
      <c r="R2154" s="41" t="str"/>
      <c r="S2154" s="41" t="str"/>
      <c r="T2154" s="41" t="str"/>
      <c r="U2154" s="41" t="str"/>
      <c r="V2154" s="41" t="str"/>
      <c r="W2154" s="41" t="str"/>
    </row>
    <row r="2155">
      <c r="B2155" s="2" t="n"/>
      <c r="C2155" s="40" t="n"/>
      <c r="D2155" s="52">
        <f t="array" ref="D2155:W2155">IF(All_Students_Scores!C2153:V2153="","",All_Students_Scores!C2153:V2153)</f>
        <v/>
      </c>
      <c r="E2155" s="57" t="str"/>
      <c r="F2155" s="49" t="str"/>
      <c r="G2155" s="59" t="str"/>
      <c r="H2155" s="64" t="str"/>
      <c r="I2155" s="65" t="str"/>
      <c r="J2155" s="49" t="str"/>
      <c r="K2155" s="41" t="str"/>
      <c r="L2155" s="41" t="str"/>
      <c r="M2155" s="41" t="str"/>
      <c r="N2155" s="41" t="str"/>
      <c r="O2155" s="41" t="str"/>
      <c r="P2155" s="41" t="str"/>
      <c r="Q2155" s="41" t="str"/>
      <c r="R2155" s="41" t="str"/>
      <c r="S2155" s="41" t="str"/>
      <c r="T2155" s="41" t="str"/>
      <c r="U2155" s="41" t="str"/>
      <c r="V2155" s="41" t="str"/>
      <c r="W2155" s="41" t="str"/>
    </row>
    <row r="2156">
      <c r="B2156" s="2" t="n"/>
      <c r="C2156" s="40" t="n"/>
      <c r="D2156" s="52">
        <f t="array" ref="D2156:W2156">IF(All_Students_Scores!C2154:V2154="","",All_Students_Scores!C2154:V2154)</f>
        <v/>
      </c>
      <c r="E2156" s="57" t="str"/>
      <c r="F2156" s="49" t="str"/>
      <c r="G2156" s="59" t="str"/>
      <c r="H2156" s="64" t="str"/>
      <c r="I2156" s="65" t="str"/>
      <c r="J2156" s="49" t="str"/>
      <c r="K2156" s="41" t="str"/>
      <c r="L2156" s="41" t="str"/>
      <c r="M2156" s="41" t="str"/>
      <c r="N2156" s="41" t="str"/>
      <c r="O2156" s="41" t="str"/>
      <c r="P2156" s="41" t="str"/>
      <c r="Q2156" s="41" t="str"/>
      <c r="R2156" s="41" t="str"/>
      <c r="S2156" s="41" t="str"/>
      <c r="T2156" s="41" t="str"/>
      <c r="U2156" s="41" t="str"/>
      <c r="V2156" s="41" t="str"/>
      <c r="W2156" s="41" t="str"/>
    </row>
    <row r="2157">
      <c r="B2157" s="2" t="n"/>
      <c r="C2157" s="40" t="n"/>
      <c r="D2157" s="52">
        <f t="array" ref="D2157:W2157">IF(All_Students_Scores!C2155:V2155="","",All_Students_Scores!C2155:V2155)</f>
        <v/>
      </c>
      <c r="E2157" s="57" t="str"/>
      <c r="F2157" s="49" t="str"/>
      <c r="G2157" s="59" t="str"/>
      <c r="H2157" s="64" t="str"/>
      <c r="I2157" s="65" t="str"/>
      <c r="J2157" s="49" t="str"/>
      <c r="K2157" s="41" t="str"/>
      <c r="L2157" s="41" t="str"/>
      <c r="M2157" s="41" t="str"/>
      <c r="N2157" s="41" t="str"/>
      <c r="O2157" s="41" t="str"/>
      <c r="P2157" s="41" t="str"/>
      <c r="Q2157" s="41" t="str"/>
      <c r="R2157" s="41" t="str"/>
      <c r="S2157" s="41" t="str"/>
      <c r="T2157" s="41" t="str"/>
      <c r="U2157" s="41" t="str"/>
      <c r="V2157" s="41" t="str"/>
      <c r="W2157" s="41" t="str"/>
    </row>
    <row r="2158">
      <c r="B2158" s="2" t="n"/>
      <c r="C2158" s="40" t="n"/>
      <c r="D2158" s="52">
        <f t="array" ref="D2158:W2158">IF(All_Students_Scores!C2156:V2156="","",All_Students_Scores!C2156:V2156)</f>
        <v/>
      </c>
      <c r="E2158" s="57" t="str"/>
      <c r="F2158" s="49" t="str"/>
      <c r="G2158" s="59" t="str"/>
      <c r="H2158" s="64" t="str"/>
      <c r="I2158" s="65" t="str"/>
      <c r="J2158" s="49" t="str"/>
      <c r="K2158" s="41" t="str"/>
      <c r="L2158" s="41" t="str"/>
      <c r="M2158" s="41" t="str"/>
      <c r="N2158" s="41" t="str"/>
      <c r="O2158" s="41" t="str"/>
      <c r="P2158" s="41" t="str"/>
      <c r="Q2158" s="41" t="str"/>
      <c r="R2158" s="41" t="str"/>
      <c r="S2158" s="41" t="str"/>
      <c r="T2158" s="41" t="str"/>
      <c r="U2158" s="41" t="str"/>
      <c r="V2158" s="41" t="str"/>
      <c r="W2158" s="41" t="str"/>
    </row>
    <row r="2159">
      <c r="B2159" s="2" t="n"/>
      <c r="C2159" s="40" t="n"/>
      <c r="D2159" s="52">
        <f t="array" ref="D2159:W2159">IF(All_Students_Scores!C2157:V2157="","",All_Students_Scores!C2157:V2157)</f>
        <v/>
      </c>
      <c r="E2159" s="57" t="str"/>
      <c r="F2159" s="49" t="str"/>
      <c r="G2159" s="59" t="str"/>
      <c r="H2159" s="64" t="str"/>
      <c r="I2159" s="65" t="str"/>
      <c r="J2159" s="49" t="str"/>
      <c r="K2159" s="41" t="str"/>
      <c r="L2159" s="41" t="str"/>
      <c r="M2159" s="41" t="str"/>
      <c r="N2159" s="41" t="str"/>
      <c r="O2159" s="41" t="str"/>
      <c r="P2159" s="41" t="str"/>
      <c r="Q2159" s="41" t="str"/>
      <c r="R2159" s="41" t="str"/>
      <c r="S2159" s="41" t="str"/>
      <c r="T2159" s="41" t="str"/>
      <c r="U2159" s="41" t="str"/>
      <c r="V2159" s="41" t="str"/>
      <c r="W2159" s="41" t="str"/>
    </row>
    <row r="2160">
      <c r="B2160" s="2" t="n"/>
      <c r="C2160" s="40" t="n"/>
      <c r="D2160" s="52">
        <f t="array" ref="D2160:W2160">IF(All_Students_Scores!C2158:V2158="","",All_Students_Scores!C2158:V2158)</f>
        <v/>
      </c>
      <c r="E2160" s="57" t="str"/>
      <c r="F2160" s="49" t="str"/>
      <c r="G2160" s="59" t="str"/>
      <c r="H2160" s="64" t="str"/>
      <c r="I2160" s="65" t="str"/>
      <c r="J2160" s="49" t="str"/>
      <c r="K2160" s="41" t="str"/>
      <c r="L2160" s="41" t="str"/>
      <c r="M2160" s="41" t="str"/>
      <c r="N2160" s="41" t="str"/>
      <c r="O2160" s="41" t="str"/>
      <c r="P2160" s="41" t="str"/>
      <c r="Q2160" s="41" t="str"/>
      <c r="R2160" s="41" t="str"/>
      <c r="S2160" s="41" t="str"/>
      <c r="T2160" s="41" t="str"/>
      <c r="U2160" s="41" t="str"/>
      <c r="V2160" s="41" t="str"/>
      <c r="W2160" s="41" t="str"/>
    </row>
    <row r="2161">
      <c r="B2161" s="2" t="n"/>
      <c r="C2161" s="40" t="n"/>
      <c r="D2161" s="52">
        <f t="array" ref="D2161:W2161">IF(All_Students_Scores!C2159:V2159="","",All_Students_Scores!C2159:V2159)</f>
        <v/>
      </c>
      <c r="E2161" s="57" t="str"/>
      <c r="F2161" s="49" t="str"/>
      <c r="G2161" s="59" t="str"/>
      <c r="H2161" s="64" t="str"/>
      <c r="I2161" s="65" t="str"/>
      <c r="J2161" s="49" t="str"/>
      <c r="K2161" s="41" t="str"/>
      <c r="L2161" s="41" t="str"/>
      <c r="M2161" s="41" t="str"/>
      <c r="N2161" s="41" t="str"/>
      <c r="O2161" s="41" t="str"/>
      <c r="P2161" s="41" t="str"/>
      <c r="Q2161" s="41" t="str"/>
      <c r="R2161" s="41" t="str"/>
      <c r="S2161" s="41" t="str"/>
      <c r="T2161" s="41" t="str"/>
      <c r="U2161" s="41" t="str"/>
      <c r="V2161" s="41" t="str"/>
      <c r="W2161" s="41" t="str"/>
    </row>
    <row r="2162">
      <c r="B2162" s="2" t="n"/>
      <c r="C2162" s="40" t="n"/>
      <c r="D2162" s="52">
        <f t="array" ref="D2162:W2162">IF(All_Students_Scores!C2160:V2160="","",All_Students_Scores!C2160:V2160)</f>
        <v/>
      </c>
      <c r="E2162" s="57" t="str"/>
      <c r="F2162" s="49" t="str"/>
      <c r="G2162" s="59" t="str"/>
      <c r="H2162" s="64" t="str"/>
      <c r="I2162" s="65" t="str"/>
      <c r="J2162" s="49" t="str"/>
      <c r="K2162" s="41" t="str"/>
      <c r="L2162" s="41" t="str"/>
      <c r="M2162" s="41" t="str"/>
      <c r="N2162" s="41" t="str"/>
      <c r="O2162" s="41" t="str"/>
      <c r="P2162" s="41" t="str"/>
      <c r="Q2162" s="41" t="str"/>
      <c r="R2162" s="41" t="str"/>
      <c r="S2162" s="41" t="str"/>
      <c r="T2162" s="41" t="str"/>
      <c r="U2162" s="41" t="str"/>
      <c r="V2162" s="41" t="str"/>
      <c r="W2162" s="41" t="str"/>
    </row>
    <row r="2163">
      <c r="B2163" s="2" t="n"/>
      <c r="C2163" s="40" t="n"/>
      <c r="D2163" s="52">
        <f t="array" ref="D2163:W2163">IF(All_Students_Scores!C2161:V2161="","",All_Students_Scores!C2161:V2161)</f>
        <v/>
      </c>
      <c r="E2163" s="57" t="str"/>
      <c r="F2163" s="49" t="str"/>
      <c r="G2163" s="59" t="str"/>
      <c r="H2163" s="64" t="str"/>
      <c r="I2163" s="65" t="str"/>
      <c r="J2163" s="49" t="str"/>
      <c r="K2163" s="41" t="str"/>
      <c r="L2163" s="41" t="str"/>
      <c r="M2163" s="41" t="str"/>
      <c r="N2163" s="41" t="str"/>
      <c r="O2163" s="41" t="str"/>
      <c r="P2163" s="41" t="str"/>
      <c r="Q2163" s="41" t="str"/>
      <c r="R2163" s="41" t="str"/>
      <c r="S2163" s="41" t="str"/>
      <c r="T2163" s="41" t="str"/>
      <c r="U2163" s="41" t="str"/>
      <c r="V2163" s="41" t="str"/>
      <c r="W2163" s="41" t="str"/>
    </row>
    <row r="2164">
      <c r="B2164" s="2" t="n"/>
      <c r="C2164" s="40" t="n"/>
      <c r="D2164" s="52">
        <f t="array" ref="D2164:W2164">IF(All_Students_Scores!C2162:V2162="","",All_Students_Scores!C2162:V2162)</f>
        <v/>
      </c>
      <c r="E2164" s="57" t="str"/>
      <c r="F2164" s="49" t="str"/>
      <c r="G2164" s="59" t="str"/>
      <c r="H2164" s="64" t="str"/>
      <c r="I2164" s="65" t="str"/>
      <c r="J2164" s="49" t="str"/>
      <c r="K2164" s="41" t="str"/>
      <c r="L2164" s="41" t="str"/>
      <c r="M2164" s="41" t="str"/>
      <c r="N2164" s="41" t="str"/>
      <c r="O2164" s="41" t="str"/>
      <c r="P2164" s="41" t="str"/>
      <c r="Q2164" s="41" t="str"/>
      <c r="R2164" s="41" t="str"/>
      <c r="S2164" s="41" t="str"/>
      <c r="T2164" s="41" t="str"/>
      <c r="U2164" s="41" t="str"/>
      <c r="V2164" s="41" t="str"/>
      <c r="W2164" s="41" t="str"/>
    </row>
    <row r="2165">
      <c r="B2165" s="2" t="n"/>
      <c r="C2165" s="40" t="n"/>
      <c r="D2165" s="52">
        <f t="array" ref="D2165:W2165">IF(All_Students_Scores!C2163:V2163="","",All_Students_Scores!C2163:V2163)</f>
        <v/>
      </c>
      <c r="E2165" s="57" t="str"/>
      <c r="F2165" s="49" t="str"/>
      <c r="G2165" s="59" t="str"/>
      <c r="H2165" s="64" t="str"/>
      <c r="I2165" s="65" t="str"/>
      <c r="J2165" s="49" t="str"/>
      <c r="K2165" s="41" t="str"/>
      <c r="L2165" s="41" t="str"/>
      <c r="M2165" s="41" t="str"/>
      <c r="N2165" s="41" t="str"/>
      <c r="O2165" s="41" t="str"/>
      <c r="P2165" s="41" t="str"/>
      <c r="Q2165" s="41" t="str"/>
      <c r="R2165" s="41" t="str"/>
      <c r="S2165" s="41" t="str"/>
      <c r="T2165" s="41" t="str"/>
      <c r="U2165" s="41" t="str"/>
      <c r="V2165" s="41" t="str"/>
      <c r="W2165" s="41" t="str"/>
    </row>
    <row r="2166">
      <c r="B2166" s="2" t="n"/>
      <c r="C2166" s="40" t="n"/>
      <c r="D2166" s="52">
        <f t="array" ref="D2166:W2166">IF(All_Students_Scores!C2164:V2164="","",All_Students_Scores!C2164:V2164)</f>
        <v/>
      </c>
      <c r="E2166" s="57" t="str"/>
      <c r="F2166" s="49" t="str"/>
      <c r="G2166" s="59" t="str"/>
      <c r="H2166" s="64" t="str"/>
      <c r="I2166" s="65" t="str"/>
      <c r="J2166" s="49" t="str"/>
      <c r="K2166" s="41" t="str"/>
      <c r="L2166" s="41" t="str"/>
      <c r="M2166" s="41" t="str"/>
      <c r="N2166" s="41" t="str"/>
      <c r="O2166" s="41" t="str"/>
      <c r="P2166" s="41" t="str"/>
      <c r="Q2166" s="41" t="str"/>
      <c r="R2166" s="41" t="str"/>
      <c r="S2166" s="41" t="str"/>
      <c r="T2166" s="41" t="str"/>
      <c r="U2166" s="41" t="str"/>
      <c r="V2166" s="41" t="str"/>
      <c r="W2166" s="41" t="str"/>
    </row>
    <row r="2167">
      <c r="B2167" s="2" t="n"/>
      <c r="C2167" s="40" t="n"/>
      <c r="D2167" s="52">
        <f t="array" ref="D2167:W2167">IF(All_Students_Scores!C2165:V2165="","",All_Students_Scores!C2165:V2165)</f>
        <v/>
      </c>
      <c r="E2167" s="57" t="str"/>
      <c r="F2167" s="49" t="str"/>
      <c r="G2167" s="59" t="str"/>
      <c r="H2167" s="64" t="str"/>
      <c r="I2167" s="65" t="str"/>
      <c r="J2167" s="49" t="str"/>
      <c r="K2167" s="41" t="str"/>
      <c r="L2167" s="41" t="str"/>
      <c r="M2167" s="41" t="str"/>
      <c r="N2167" s="41" t="str"/>
      <c r="O2167" s="41" t="str"/>
      <c r="P2167" s="41" t="str"/>
      <c r="Q2167" s="41" t="str"/>
      <c r="R2167" s="41" t="str"/>
      <c r="S2167" s="41" t="str"/>
      <c r="T2167" s="41" t="str"/>
      <c r="U2167" s="41" t="str"/>
      <c r="V2167" s="41" t="str"/>
      <c r="W2167" s="41" t="str"/>
    </row>
    <row r="2168">
      <c r="B2168" s="2" t="n"/>
      <c r="C2168" s="40" t="n"/>
      <c r="D2168" s="52">
        <f t="array" ref="D2168:W2168">IF(All_Students_Scores!C2166:V2166="","",All_Students_Scores!C2166:V2166)</f>
        <v/>
      </c>
      <c r="E2168" s="57" t="str"/>
      <c r="F2168" s="49" t="str"/>
      <c r="G2168" s="59" t="str"/>
      <c r="H2168" s="64" t="str"/>
      <c r="I2168" s="65" t="str"/>
      <c r="J2168" s="49" t="str"/>
      <c r="K2168" s="41" t="str"/>
      <c r="L2168" s="41" t="str"/>
      <c r="M2168" s="41" t="str"/>
      <c r="N2168" s="41" t="str"/>
      <c r="O2168" s="41" t="str"/>
      <c r="P2168" s="41" t="str"/>
      <c r="Q2168" s="41" t="str"/>
      <c r="R2168" s="41" t="str"/>
      <c r="S2168" s="41" t="str"/>
      <c r="T2168" s="41" t="str"/>
      <c r="U2168" s="41" t="str"/>
      <c r="V2168" s="41" t="str"/>
      <c r="W2168" s="41" t="str"/>
    </row>
    <row r="2169">
      <c r="B2169" s="2" t="n"/>
      <c r="C2169" s="40" t="n"/>
      <c r="D2169" s="52">
        <f t="array" ref="D2169:W2169">IF(All_Students_Scores!C2167:V2167="","",All_Students_Scores!C2167:V2167)</f>
        <v/>
      </c>
      <c r="E2169" s="57" t="str"/>
      <c r="F2169" s="49" t="str"/>
      <c r="G2169" s="59" t="str"/>
      <c r="H2169" s="64" t="str"/>
      <c r="I2169" s="65" t="str"/>
      <c r="J2169" s="49" t="str"/>
      <c r="K2169" s="41" t="str"/>
      <c r="L2169" s="41" t="str"/>
      <c r="M2169" s="41" t="str"/>
      <c r="N2169" s="41" t="str"/>
      <c r="O2169" s="41" t="str"/>
      <c r="P2169" s="41" t="str"/>
      <c r="Q2169" s="41" t="str"/>
      <c r="R2169" s="41" t="str"/>
      <c r="S2169" s="41" t="str"/>
      <c r="T2169" s="41" t="str"/>
      <c r="U2169" s="41" t="str"/>
      <c r="V2169" s="41" t="str"/>
      <c r="W2169" s="41" t="str"/>
    </row>
    <row r="2170">
      <c r="B2170" s="2" t="n"/>
      <c r="C2170" s="40" t="n"/>
      <c r="D2170" s="52">
        <f t="array" ref="D2170:W2170">IF(All_Students_Scores!C2168:V2168="","",All_Students_Scores!C2168:V2168)</f>
        <v/>
      </c>
      <c r="E2170" s="57" t="str"/>
      <c r="F2170" s="49" t="str"/>
      <c r="G2170" s="59" t="str"/>
      <c r="H2170" s="64" t="str"/>
      <c r="I2170" s="65" t="str"/>
      <c r="J2170" s="49" t="str"/>
      <c r="K2170" s="41" t="str"/>
      <c r="L2170" s="41" t="str"/>
      <c r="M2170" s="41" t="str"/>
      <c r="N2170" s="41" t="str"/>
      <c r="O2170" s="41" t="str"/>
      <c r="P2170" s="41" t="str"/>
      <c r="Q2170" s="41" t="str"/>
      <c r="R2170" s="41" t="str"/>
      <c r="S2170" s="41" t="str"/>
      <c r="T2170" s="41" t="str"/>
      <c r="U2170" s="41" t="str"/>
      <c r="V2170" s="41" t="str"/>
      <c r="W2170" s="41" t="str"/>
    </row>
    <row r="2171">
      <c r="B2171" s="2" t="n"/>
      <c r="C2171" s="40" t="n"/>
      <c r="D2171" s="52">
        <f t="array" ref="D2171:W2171">IF(All_Students_Scores!C2169:V2169="","",All_Students_Scores!C2169:V2169)</f>
        <v/>
      </c>
      <c r="E2171" s="57" t="str"/>
      <c r="F2171" s="49" t="str"/>
      <c r="G2171" s="59" t="str"/>
      <c r="H2171" s="64" t="str"/>
      <c r="I2171" s="65" t="str"/>
      <c r="J2171" s="49" t="str"/>
      <c r="K2171" s="41" t="str"/>
      <c r="L2171" s="41" t="str"/>
      <c r="M2171" s="41" t="str"/>
      <c r="N2171" s="41" t="str"/>
      <c r="O2171" s="41" t="str"/>
      <c r="P2171" s="41" t="str"/>
      <c r="Q2171" s="41" t="str"/>
      <c r="R2171" s="41" t="str"/>
      <c r="S2171" s="41" t="str"/>
      <c r="T2171" s="41" t="str"/>
      <c r="U2171" s="41" t="str"/>
      <c r="V2171" s="41" t="str"/>
      <c r="W2171" s="41" t="str"/>
    </row>
    <row r="2172">
      <c r="B2172" s="2" t="n"/>
      <c r="C2172" s="40" t="n"/>
      <c r="D2172" s="52">
        <f t="array" ref="D2172:W2172">IF(All_Students_Scores!C2170:V2170="","",All_Students_Scores!C2170:V2170)</f>
        <v/>
      </c>
      <c r="E2172" s="57" t="str"/>
      <c r="F2172" s="49" t="str"/>
      <c r="G2172" s="59" t="str"/>
      <c r="H2172" s="64" t="str"/>
      <c r="I2172" s="65" t="str"/>
      <c r="J2172" s="49" t="str"/>
      <c r="K2172" s="41" t="str"/>
      <c r="L2172" s="41" t="str"/>
      <c r="M2172" s="41" t="str"/>
      <c r="N2172" s="41" t="str"/>
      <c r="O2172" s="41" t="str"/>
      <c r="P2172" s="41" t="str"/>
      <c r="Q2172" s="41" t="str"/>
      <c r="R2172" s="41" t="str"/>
      <c r="S2172" s="41" t="str"/>
      <c r="T2172" s="41" t="str"/>
      <c r="U2172" s="41" t="str"/>
      <c r="V2172" s="41" t="str"/>
      <c r="W2172" s="41" t="str"/>
    </row>
    <row r="2173">
      <c r="B2173" s="2" t="n"/>
      <c r="C2173" s="40" t="n"/>
      <c r="D2173" s="52">
        <f t="array" ref="D2173:W2173">IF(All_Students_Scores!C2171:V2171="","",All_Students_Scores!C2171:V2171)</f>
        <v/>
      </c>
      <c r="E2173" s="57" t="str"/>
      <c r="F2173" s="49" t="str"/>
      <c r="G2173" s="59" t="str"/>
      <c r="H2173" s="64" t="str"/>
      <c r="I2173" s="65" t="str"/>
      <c r="J2173" s="49" t="str"/>
      <c r="K2173" s="41" t="str"/>
      <c r="L2173" s="41" t="str"/>
      <c r="M2173" s="41" t="str"/>
      <c r="N2173" s="41" t="str"/>
      <c r="O2173" s="41" t="str"/>
      <c r="P2173" s="41" t="str"/>
      <c r="Q2173" s="41" t="str"/>
      <c r="R2173" s="41" t="str"/>
      <c r="S2173" s="41" t="str"/>
      <c r="T2173" s="41" t="str"/>
      <c r="U2173" s="41" t="str"/>
      <c r="V2173" s="41" t="str"/>
      <c r="W2173" s="41" t="str"/>
    </row>
    <row r="2174">
      <c r="B2174" s="2" t="n"/>
      <c r="C2174" s="40" t="n"/>
      <c r="D2174" s="52">
        <f t="array" ref="D2174:W2174">IF(All_Students_Scores!C2172:V2172="","",All_Students_Scores!C2172:V2172)</f>
        <v/>
      </c>
      <c r="E2174" s="57" t="str"/>
      <c r="F2174" s="49" t="str"/>
      <c r="G2174" s="59" t="str"/>
      <c r="H2174" s="64" t="str"/>
      <c r="I2174" s="65" t="str"/>
      <c r="J2174" s="49" t="str"/>
      <c r="K2174" s="41" t="str"/>
      <c r="L2174" s="41" t="str"/>
      <c r="M2174" s="41" t="str"/>
      <c r="N2174" s="41" t="str"/>
      <c r="O2174" s="41" t="str"/>
      <c r="P2174" s="41" t="str"/>
      <c r="Q2174" s="41" t="str"/>
      <c r="R2174" s="41" t="str"/>
      <c r="S2174" s="41" t="str"/>
      <c r="T2174" s="41" t="str"/>
      <c r="U2174" s="41" t="str"/>
      <c r="V2174" s="41" t="str"/>
      <c r="W2174" s="41" t="str"/>
    </row>
    <row r="2175">
      <c r="B2175" s="2" t="n"/>
      <c r="C2175" s="40" t="n"/>
      <c r="D2175" s="52">
        <f t="array" ref="D2175:W2175">IF(All_Students_Scores!C2173:V2173="","",All_Students_Scores!C2173:V2173)</f>
        <v/>
      </c>
      <c r="E2175" s="57" t="str"/>
      <c r="F2175" s="49" t="str"/>
      <c r="G2175" s="59" t="str"/>
      <c r="H2175" s="64" t="str"/>
      <c r="I2175" s="65" t="str"/>
      <c r="J2175" s="49" t="str"/>
      <c r="K2175" s="41" t="str"/>
      <c r="L2175" s="41" t="str"/>
      <c r="M2175" s="41" t="str"/>
      <c r="N2175" s="41" t="str"/>
      <c r="O2175" s="41" t="str"/>
      <c r="P2175" s="41" t="str"/>
      <c r="Q2175" s="41" t="str"/>
      <c r="R2175" s="41" t="str"/>
      <c r="S2175" s="41" t="str"/>
      <c r="T2175" s="41" t="str"/>
      <c r="U2175" s="41" t="str"/>
      <c r="V2175" s="41" t="str"/>
      <c r="W2175" s="41" t="str"/>
    </row>
    <row r="2176">
      <c r="B2176" s="2" t="n"/>
      <c r="C2176" s="40" t="n"/>
      <c r="D2176" s="52">
        <f t="array" ref="D2176:W2176">IF(All_Students_Scores!C2174:V2174="","",All_Students_Scores!C2174:V2174)</f>
        <v/>
      </c>
      <c r="E2176" s="57" t="str"/>
      <c r="F2176" s="49" t="str"/>
      <c r="G2176" s="59" t="str"/>
      <c r="H2176" s="64" t="str"/>
      <c r="I2176" s="65" t="str"/>
      <c r="J2176" s="49" t="str"/>
      <c r="K2176" s="41" t="str"/>
      <c r="L2176" s="41" t="str"/>
      <c r="M2176" s="41" t="str"/>
      <c r="N2176" s="41" t="str"/>
      <c r="O2176" s="41" t="str"/>
      <c r="P2176" s="41" t="str"/>
      <c r="Q2176" s="41" t="str"/>
      <c r="R2176" s="41" t="str"/>
      <c r="S2176" s="41" t="str"/>
      <c r="T2176" s="41" t="str"/>
      <c r="U2176" s="41" t="str"/>
      <c r="V2176" s="41" t="str"/>
      <c r="W2176" s="41" t="str"/>
    </row>
    <row r="2177">
      <c r="B2177" s="2" t="n"/>
      <c r="C2177" s="40" t="n"/>
      <c r="D2177" s="52">
        <f t="array" ref="D2177:W2177">IF(All_Students_Scores!C2175:V2175="","",All_Students_Scores!C2175:V2175)</f>
        <v/>
      </c>
      <c r="E2177" s="57" t="str"/>
      <c r="F2177" s="49" t="str"/>
      <c r="G2177" s="59" t="str"/>
      <c r="H2177" s="64" t="str"/>
      <c r="I2177" s="65" t="str"/>
      <c r="J2177" s="49" t="str"/>
      <c r="K2177" s="41" t="str"/>
      <c r="L2177" s="41" t="str"/>
      <c r="M2177" s="41" t="str"/>
      <c r="N2177" s="41" t="str"/>
      <c r="O2177" s="41" t="str"/>
      <c r="P2177" s="41" t="str"/>
      <c r="Q2177" s="41" t="str"/>
      <c r="R2177" s="41" t="str"/>
      <c r="S2177" s="41" t="str"/>
      <c r="T2177" s="41" t="str"/>
      <c r="U2177" s="41" t="str"/>
      <c r="V2177" s="41" t="str"/>
      <c r="W2177" s="41" t="str"/>
    </row>
    <row r="2178">
      <c r="B2178" s="2" t="n"/>
      <c r="C2178" s="40" t="n"/>
      <c r="D2178" s="52">
        <f t="array" ref="D2178:W2178">IF(All_Students_Scores!C2176:V2176="","",All_Students_Scores!C2176:V2176)</f>
        <v/>
      </c>
      <c r="E2178" s="57" t="str"/>
      <c r="F2178" s="49" t="str"/>
      <c r="G2178" s="59" t="str"/>
      <c r="H2178" s="64" t="str"/>
      <c r="I2178" s="65" t="str"/>
      <c r="J2178" s="49" t="str"/>
      <c r="K2178" s="41" t="str"/>
      <c r="L2178" s="41" t="str"/>
      <c r="M2178" s="41" t="str"/>
      <c r="N2178" s="41" t="str"/>
      <c r="O2178" s="41" t="str"/>
      <c r="P2178" s="41" t="str"/>
      <c r="Q2178" s="41" t="str"/>
      <c r="R2178" s="41" t="str"/>
      <c r="S2178" s="41" t="str"/>
      <c r="T2178" s="41" t="str"/>
      <c r="U2178" s="41" t="str"/>
      <c r="V2178" s="41" t="str"/>
      <c r="W2178" s="41" t="str"/>
    </row>
    <row r="2179">
      <c r="B2179" s="2" t="n"/>
      <c r="C2179" s="40" t="n"/>
      <c r="D2179" s="52">
        <f t="array" ref="D2179:W2179">IF(All_Students_Scores!C2177:V2177="","",All_Students_Scores!C2177:V2177)</f>
        <v/>
      </c>
      <c r="E2179" s="57" t="str"/>
      <c r="F2179" s="49" t="str"/>
      <c r="G2179" s="59" t="str"/>
      <c r="H2179" s="64" t="str"/>
      <c r="I2179" s="65" t="str"/>
      <c r="J2179" s="49" t="str"/>
      <c r="K2179" s="41" t="str"/>
      <c r="L2179" s="41" t="str"/>
      <c r="M2179" s="41" t="str"/>
      <c r="N2179" s="41" t="str"/>
      <c r="O2179" s="41" t="str"/>
      <c r="P2179" s="41" t="str"/>
      <c r="Q2179" s="41" t="str"/>
      <c r="R2179" s="41" t="str"/>
      <c r="S2179" s="41" t="str"/>
      <c r="T2179" s="41" t="str"/>
      <c r="U2179" s="41" t="str"/>
      <c r="V2179" s="41" t="str"/>
      <c r="W2179" s="41" t="str"/>
    </row>
    <row r="2180">
      <c r="B2180" s="2" t="n"/>
      <c r="C2180" s="40" t="n"/>
      <c r="D2180" s="52">
        <f t="array" ref="D2180:W2180">IF(All_Students_Scores!C2178:V2178="","",All_Students_Scores!C2178:V2178)</f>
        <v/>
      </c>
      <c r="E2180" s="57" t="str"/>
      <c r="F2180" s="49" t="str"/>
      <c r="G2180" s="59" t="str"/>
      <c r="H2180" s="64" t="str"/>
      <c r="I2180" s="65" t="str"/>
      <c r="J2180" s="49" t="str"/>
      <c r="K2180" s="41" t="str"/>
      <c r="L2180" s="41" t="str"/>
      <c r="M2180" s="41" t="str"/>
      <c r="N2180" s="41" t="str"/>
      <c r="O2180" s="41" t="str"/>
      <c r="P2180" s="41" t="str"/>
      <c r="Q2180" s="41" t="str"/>
      <c r="R2180" s="41" t="str"/>
      <c r="S2180" s="41" t="str"/>
      <c r="T2180" s="41" t="str"/>
      <c r="U2180" s="41" t="str"/>
      <c r="V2180" s="41" t="str"/>
      <c r="W2180" s="41" t="str"/>
    </row>
    <row r="2181">
      <c r="B2181" s="2" t="n"/>
      <c r="C2181" s="40" t="n"/>
      <c r="D2181" s="52">
        <f t="array" ref="D2181:W2181">IF(All_Students_Scores!C2179:V2179="","",All_Students_Scores!C2179:V2179)</f>
        <v/>
      </c>
      <c r="E2181" s="57" t="str"/>
      <c r="F2181" s="49" t="str"/>
      <c r="G2181" s="59" t="str"/>
      <c r="H2181" s="64" t="str"/>
      <c r="I2181" s="65" t="str"/>
      <c r="J2181" s="49" t="str"/>
      <c r="K2181" s="41" t="str"/>
      <c r="L2181" s="41" t="str"/>
      <c r="M2181" s="41" t="str"/>
      <c r="N2181" s="41" t="str"/>
      <c r="O2181" s="41" t="str"/>
      <c r="P2181" s="41" t="str"/>
      <c r="Q2181" s="41" t="str"/>
      <c r="R2181" s="41" t="str"/>
      <c r="S2181" s="41" t="str"/>
      <c r="T2181" s="41" t="str"/>
      <c r="U2181" s="41" t="str"/>
      <c r="V2181" s="41" t="str"/>
      <c r="W2181" s="41" t="str"/>
    </row>
    <row r="2182">
      <c r="B2182" s="2" t="n"/>
      <c r="C2182" s="40" t="n"/>
      <c r="D2182" s="52">
        <f t="array" ref="D2182:W2182">IF(All_Students_Scores!C2180:V2180="","",All_Students_Scores!C2180:V2180)</f>
        <v/>
      </c>
      <c r="E2182" s="57" t="str"/>
      <c r="F2182" s="49" t="str"/>
      <c r="G2182" s="59" t="str"/>
      <c r="H2182" s="64" t="str"/>
      <c r="I2182" s="65" t="str"/>
      <c r="J2182" s="49" t="str"/>
      <c r="K2182" s="41" t="str"/>
      <c r="L2182" s="41" t="str"/>
      <c r="M2182" s="41" t="str"/>
      <c r="N2182" s="41" t="str"/>
      <c r="O2182" s="41" t="str"/>
      <c r="P2182" s="41" t="str"/>
      <c r="Q2182" s="41" t="str"/>
      <c r="R2182" s="41" t="str"/>
      <c r="S2182" s="41" t="str"/>
      <c r="T2182" s="41" t="str"/>
      <c r="U2182" s="41" t="str"/>
      <c r="V2182" s="41" t="str"/>
      <c r="W2182" s="41" t="str"/>
    </row>
    <row r="2183">
      <c r="B2183" s="2" t="n"/>
      <c r="C2183" s="40" t="n"/>
      <c r="D2183" s="52">
        <f t="array" ref="D2183:W2183">IF(All_Students_Scores!C2181:V2181="","",All_Students_Scores!C2181:V2181)</f>
        <v/>
      </c>
      <c r="E2183" s="57" t="str"/>
      <c r="F2183" s="49" t="str"/>
      <c r="G2183" s="59" t="str"/>
      <c r="H2183" s="64" t="str"/>
      <c r="I2183" s="65" t="str"/>
      <c r="J2183" s="49" t="str"/>
      <c r="K2183" s="41" t="str"/>
      <c r="L2183" s="41" t="str"/>
      <c r="M2183" s="41" t="str"/>
      <c r="N2183" s="41" t="str"/>
      <c r="O2183" s="41" t="str"/>
      <c r="P2183" s="41" t="str"/>
      <c r="Q2183" s="41" t="str"/>
      <c r="R2183" s="41" t="str"/>
      <c r="S2183" s="41" t="str"/>
      <c r="T2183" s="41" t="str"/>
      <c r="U2183" s="41" t="str"/>
      <c r="V2183" s="41" t="str"/>
      <c r="W2183" s="41" t="str"/>
    </row>
    <row r="2184">
      <c r="B2184" s="2" t="n"/>
      <c r="C2184" s="40" t="n"/>
      <c r="D2184" s="52">
        <f t="array" ref="D2184:W2184">IF(All_Students_Scores!C2182:V2182="","",All_Students_Scores!C2182:V2182)</f>
        <v/>
      </c>
      <c r="E2184" s="57" t="str"/>
      <c r="F2184" s="49" t="str"/>
      <c r="G2184" s="59" t="str"/>
      <c r="H2184" s="64" t="str"/>
      <c r="I2184" s="65" t="str"/>
      <c r="J2184" s="49" t="str"/>
      <c r="K2184" s="41" t="str"/>
      <c r="L2184" s="41" t="str"/>
      <c r="M2184" s="41" t="str"/>
      <c r="N2184" s="41" t="str"/>
      <c r="O2184" s="41" t="str"/>
      <c r="P2184" s="41" t="str"/>
      <c r="Q2184" s="41" t="str"/>
      <c r="R2184" s="41" t="str"/>
      <c r="S2184" s="41" t="str"/>
      <c r="T2184" s="41" t="str"/>
      <c r="U2184" s="41" t="str"/>
      <c r="V2184" s="41" t="str"/>
      <c r="W2184" s="41" t="str"/>
    </row>
    <row r="2185">
      <c r="B2185" s="2" t="n"/>
      <c r="C2185" s="40" t="n"/>
      <c r="D2185" s="52">
        <f t="array" ref="D2185:W2185">IF(All_Students_Scores!C2183:V2183="","",All_Students_Scores!C2183:V2183)</f>
        <v/>
      </c>
      <c r="E2185" s="57" t="str"/>
      <c r="F2185" s="49" t="str"/>
      <c r="G2185" s="59" t="str"/>
      <c r="H2185" s="64" t="str"/>
      <c r="I2185" s="65" t="str"/>
      <c r="J2185" s="49" t="str"/>
      <c r="K2185" s="41" t="str"/>
      <c r="L2185" s="41" t="str"/>
      <c r="M2185" s="41" t="str"/>
      <c r="N2185" s="41" t="str"/>
      <c r="O2185" s="41" t="str"/>
      <c r="P2185" s="41" t="str"/>
      <c r="Q2185" s="41" t="str"/>
      <c r="R2185" s="41" t="str"/>
      <c r="S2185" s="41" t="str"/>
      <c r="T2185" s="41" t="str"/>
      <c r="U2185" s="41" t="str"/>
      <c r="V2185" s="41" t="str"/>
      <c r="W2185" s="41" t="str"/>
    </row>
    <row r="2186">
      <c r="B2186" s="2" t="n"/>
      <c r="C2186" s="40" t="n"/>
      <c r="D2186" s="52">
        <f t="array" ref="D2186:W2186">IF(All_Students_Scores!C2184:V2184="","",All_Students_Scores!C2184:V2184)</f>
        <v/>
      </c>
      <c r="E2186" s="57" t="str"/>
      <c r="F2186" s="49" t="str"/>
      <c r="G2186" s="59" t="str"/>
      <c r="H2186" s="64" t="str"/>
      <c r="I2186" s="65" t="str"/>
      <c r="J2186" s="49" t="str"/>
      <c r="K2186" s="41" t="str"/>
      <c r="L2186" s="41" t="str"/>
      <c r="M2186" s="41" t="str"/>
      <c r="N2186" s="41" t="str"/>
      <c r="O2186" s="41" t="str"/>
      <c r="P2186" s="41" t="str"/>
      <c r="Q2186" s="41" t="str"/>
      <c r="R2186" s="41" t="str"/>
      <c r="S2186" s="41" t="str"/>
      <c r="T2186" s="41" t="str"/>
      <c r="U2186" s="41" t="str"/>
      <c r="V2186" s="41" t="str"/>
      <c r="W2186" s="41" t="str"/>
    </row>
    <row r="2187">
      <c r="B2187" s="2" t="n"/>
      <c r="C2187" s="40" t="n"/>
      <c r="D2187" s="52">
        <f t="array" ref="D2187:W2187">IF(All_Students_Scores!C2185:V2185="","",All_Students_Scores!C2185:V2185)</f>
        <v/>
      </c>
      <c r="E2187" s="57" t="str"/>
      <c r="F2187" s="49" t="str"/>
      <c r="G2187" s="59" t="str"/>
      <c r="H2187" s="64" t="str"/>
      <c r="I2187" s="65" t="str"/>
      <c r="J2187" s="49" t="str"/>
      <c r="K2187" s="41" t="str"/>
      <c r="L2187" s="41" t="str"/>
      <c r="M2187" s="41" t="str"/>
      <c r="N2187" s="41" t="str"/>
      <c r="O2187" s="41" t="str"/>
      <c r="P2187" s="41" t="str"/>
      <c r="Q2187" s="41" t="str"/>
      <c r="R2187" s="41" t="str"/>
      <c r="S2187" s="41" t="str"/>
      <c r="T2187" s="41" t="str"/>
      <c r="U2187" s="41" t="str"/>
      <c r="V2187" s="41" t="str"/>
      <c r="W2187" s="41" t="str"/>
    </row>
    <row r="2188">
      <c r="B2188" s="2" t="n"/>
      <c r="C2188" s="40" t="n"/>
      <c r="D2188" s="52">
        <f t="array" ref="D2188:W2188">IF(All_Students_Scores!C2186:V2186="","",All_Students_Scores!C2186:V2186)</f>
        <v/>
      </c>
      <c r="E2188" s="57" t="str"/>
      <c r="F2188" s="49" t="str"/>
      <c r="G2188" s="59" t="str"/>
      <c r="H2188" s="64" t="str"/>
      <c r="I2188" s="65" t="str"/>
      <c r="J2188" s="49" t="str"/>
      <c r="K2188" s="41" t="str"/>
      <c r="L2188" s="41" t="str"/>
      <c r="M2188" s="41" t="str"/>
      <c r="N2188" s="41" t="str"/>
      <c r="O2188" s="41" t="str"/>
      <c r="P2188" s="41" t="str"/>
      <c r="Q2188" s="41" t="str"/>
      <c r="R2188" s="41" t="str"/>
      <c r="S2188" s="41" t="str"/>
      <c r="T2188" s="41" t="str"/>
      <c r="U2188" s="41" t="str"/>
      <c r="V2188" s="41" t="str"/>
      <c r="W2188" s="41" t="str"/>
    </row>
    <row r="2189">
      <c r="B2189" s="2" t="n"/>
      <c r="C2189" s="40" t="n"/>
      <c r="D2189" s="52">
        <f t="array" ref="D2189:W2189">IF(All_Students_Scores!C2187:V2187="","",All_Students_Scores!C2187:V2187)</f>
        <v/>
      </c>
      <c r="E2189" s="57" t="str"/>
      <c r="F2189" s="49" t="str"/>
      <c r="G2189" s="59" t="str"/>
      <c r="H2189" s="64" t="str"/>
      <c r="I2189" s="65" t="str"/>
      <c r="J2189" s="49" t="str"/>
      <c r="K2189" s="41" t="str"/>
      <c r="L2189" s="41" t="str"/>
      <c r="M2189" s="41" t="str"/>
      <c r="N2189" s="41" t="str"/>
      <c r="O2189" s="41" t="str"/>
      <c r="P2189" s="41" t="str"/>
      <c r="Q2189" s="41" t="str"/>
      <c r="R2189" s="41" t="str"/>
      <c r="S2189" s="41" t="str"/>
      <c r="T2189" s="41" t="str"/>
      <c r="U2189" s="41" t="str"/>
      <c r="V2189" s="41" t="str"/>
      <c r="W2189" s="41" t="str"/>
    </row>
    <row r="2190">
      <c r="B2190" s="2" t="n"/>
      <c r="C2190" s="40" t="n"/>
      <c r="D2190" s="52">
        <f t="array" ref="D2190:W2190">IF(All_Students_Scores!C2188:V2188="","",All_Students_Scores!C2188:V2188)</f>
        <v/>
      </c>
      <c r="E2190" s="57" t="str"/>
      <c r="F2190" s="49" t="str"/>
      <c r="G2190" s="59" t="str"/>
      <c r="H2190" s="64" t="str"/>
      <c r="I2190" s="65" t="str"/>
      <c r="J2190" s="49" t="str"/>
      <c r="K2190" s="41" t="str"/>
      <c r="L2190" s="41" t="str"/>
      <c r="M2190" s="41" t="str"/>
      <c r="N2190" s="41" t="str"/>
      <c r="O2190" s="41" t="str"/>
      <c r="P2190" s="41" t="str"/>
      <c r="Q2190" s="41" t="str"/>
      <c r="R2190" s="41" t="str"/>
      <c r="S2190" s="41" t="str"/>
      <c r="T2190" s="41" t="str"/>
      <c r="U2190" s="41" t="str"/>
      <c r="V2190" s="41" t="str"/>
      <c r="W2190" s="41" t="str"/>
    </row>
    <row r="2191">
      <c r="B2191" s="2" t="n"/>
      <c r="C2191" s="40" t="n"/>
      <c r="D2191" s="52">
        <f t="array" ref="D2191:W2191">IF(All_Students_Scores!C2189:V2189="","",All_Students_Scores!C2189:V2189)</f>
        <v/>
      </c>
      <c r="E2191" s="57" t="str"/>
      <c r="F2191" s="49" t="str"/>
      <c r="G2191" s="59" t="str"/>
      <c r="H2191" s="64" t="str"/>
      <c r="I2191" s="65" t="str"/>
      <c r="J2191" s="49" t="str"/>
      <c r="K2191" s="41" t="str"/>
      <c r="L2191" s="41" t="str"/>
      <c r="M2191" s="41" t="str"/>
      <c r="N2191" s="41" t="str"/>
      <c r="O2191" s="41" t="str"/>
      <c r="P2191" s="41" t="str"/>
      <c r="Q2191" s="41" t="str"/>
      <c r="R2191" s="41" t="str"/>
      <c r="S2191" s="41" t="str"/>
      <c r="T2191" s="41" t="str"/>
      <c r="U2191" s="41" t="str"/>
      <c r="V2191" s="41" t="str"/>
      <c r="W2191" s="41" t="str"/>
    </row>
    <row r="2192">
      <c r="B2192" s="2" t="n"/>
      <c r="C2192" s="40" t="n"/>
      <c r="D2192" s="52">
        <f t="array" ref="D2192:W2192">IF(All_Students_Scores!C2190:V2190="","",All_Students_Scores!C2190:V2190)</f>
        <v/>
      </c>
      <c r="E2192" s="57" t="str"/>
      <c r="F2192" s="49" t="str"/>
      <c r="G2192" s="59" t="str"/>
      <c r="H2192" s="64" t="str"/>
      <c r="I2192" s="65" t="str"/>
      <c r="J2192" s="49" t="str"/>
      <c r="K2192" s="41" t="str"/>
      <c r="L2192" s="41" t="str"/>
      <c r="M2192" s="41" t="str"/>
      <c r="N2192" s="41" t="str"/>
      <c r="O2192" s="41" t="str"/>
      <c r="P2192" s="41" t="str"/>
      <c r="Q2192" s="41" t="str"/>
      <c r="R2192" s="41" t="str"/>
      <c r="S2192" s="41" t="str"/>
      <c r="T2192" s="41" t="str"/>
      <c r="U2192" s="41" t="str"/>
      <c r="V2192" s="41" t="str"/>
      <c r="W2192" s="41" t="str"/>
    </row>
    <row r="2193">
      <c r="B2193" s="2" t="n"/>
      <c r="C2193" s="40" t="n"/>
      <c r="D2193" s="52">
        <f t="array" ref="D2193:W2193">IF(All_Students_Scores!C2191:V2191="","",All_Students_Scores!C2191:V2191)</f>
        <v/>
      </c>
      <c r="E2193" s="57" t="str"/>
      <c r="F2193" s="49" t="str"/>
      <c r="G2193" s="59" t="str"/>
      <c r="H2193" s="64" t="str"/>
      <c r="I2193" s="65" t="str"/>
      <c r="J2193" s="49" t="str"/>
      <c r="K2193" s="41" t="str"/>
      <c r="L2193" s="41" t="str"/>
      <c r="M2193" s="41" t="str"/>
      <c r="N2193" s="41" t="str"/>
      <c r="O2193" s="41" t="str"/>
      <c r="P2193" s="41" t="str"/>
      <c r="Q2193" s="41" t="str"/>
      <c r="R2193" s="41" t="str"/>
      <c r="S2193" s="41" t="str"/>
      <c r="T2193" s="41" t="str"/>
      <c r="U2193" s="41" t="str"/>
      <c r="V2193" s="41" t="str"/>
      <c r="W2193" s="41" t="str"/>
    </row>
    <row r="2194">
      <c r="B2194" s="2" t="n"/>
      <c r="C2194" s="40" t="n"/>
      <c r="D2194" s="52">
        <f t="array" ref="D2194:W2194">IF(All_Students_Scores!C2192:V2192="","",All_Students_Scores!C2192:V2192)</f>
        <v/>
      </c>
      <c r="E2194" s="57" t="str"/>
      <c r="F2194" s="49" t="str"/>
      <c r="G2194" s="59" t="str"/>
      <c r="H2194" s="64" t="str"/>
      <c r="I2194" s="65" t="str"/>
      <c r="J2194" s="49" t="str"/>
      <c r="K2194" s="41" t="str"/>
      <c r="L2194" s="41" t="str"/>
      <c r="M2194" s="41" t="str"/>
      <c r="N2194" s="41" t="str"/>
      <c r="O2194" s="41" t="str"/>
      <c r="P2194" s="41" t="str"/>
      <c r="Q2194" s="41" t="str"/>
      <c r="R2194" s="41" t="str"/>
      <c r="S2194" s="41" t="str"/>
      <c r="T2194" s="41" t="str"/>
      <c r="U2194" s="41" t="str"/>
      <c r="V2194" s="41" t="str"/>
      <c r="W2194" s="41" t="str"/>
    </row>
    <row r="2195">
      <c r="B2195" s="2" t="n"/>
      <c r="C2195" s="40" t="n"/>
      <c r="D2195" s="52">
        <f t="array" ref="D2195:W2195">IF(All_Students_Scores!C2193:V2193="","",All_Students_Scores!C2193:V2193)</f>
        <v/>
      </c>
      <c r="E2195" s="57" t="str"/>
      <c r="F2195" s="49" t="str"/>
      <c r="G2195" s="59" t="str"/>
      <c r="H2195" s="64" t="str"/>
      <c r="I2195" s="65" t="str"/>
      <c r="J2195" s="49" t="str"/>
      <c r="K2195" s="41" t="str"/>
      <c r="L2195" s="41" t="str"/>
      <c r="M2195" s="41" t="str"/>
      <c r="N2195" s="41" t="str"/>
      <c r="O2195" s="41" t="str"/>
      <c r="P2195" s="41" t="str"/>
      <c r="Q2195" s="41" t="str"/>
      <c r="R2195" s="41" t="str"/>
      <c r="S2195" s="41" t="str"/>
      <c r="T2195" s="41" t="str"/>
      <c r="U2195" s="41" t="str"/>
      <c r="V2195" s="41" t="str"/>
      <c r="W2195" s="41" t="str"/>
    </row>
    <row r="2196">
      <c r="B2196" s="2" t="n"/>
      <c r="C2196" s="40" t="n"/>
      <c r="D2196" s="52">
        <f t="array" ref="D2196:W2196">IF(All_Students_Scores!C2194:V2194="","",All_Students_Scores!C2194:V2194)</f>
        <v/>
      </c>
      <c r="E2196" s="57" t="str"/>
      <c r="F2196" s="49" t="str"/>
      <c r="G2196" s="59" t="str"/>
      <c r="H2196" s="64" t="str"/>
      <c r="I2196" s="65" t="str"/>
      <c r="J2196" s="49" t="str"/>
      <c r="K2196" s="41" t="str"/>
      <c r="L2196" s="41" t="str"/>
      <c r="M2196" s="41" t="str"/>
      <c r="N2196" s="41" t="str"/>
      <c r="O2196" s="41" t="str"/>
      <c r="P2196" s="41" t="str"/>
      <c r="Q2196" s="41" t="str"/>
      <c r="R2196" s="41" t="str"/>
      <c r="S2196" s="41" t="str"/>
      <c r="T2196" s="41" t="str"/>
      <c r="U2196" s="41" t="str"/>
      <c r="V2196" s="41" t="str"/>
      <c r="W2196" s="41" t="str"/>
    </row>
    <row r="2197">
      <c r="B2197" s="2" t="n"/>
      <c r="C2197" s="40" t="n"/>
      <c r="D2197" s="52">
        <f t="array" ref="D2197:W2197">IF(All_Students_Scores!C2195:V2195="","",All_Students_Scores!C2195:V2195)</f>
        <v/>
      </c>
      <c r="E2197" s="57" t="str"/>
      <c r="F2197" s="49" t="str"/>
      <c r="G2197" s="59" t="str"/>
      <c r="H2197" s="64" t="str"/>
      <c r="I2197" s="65" t="str"/>
      <c r="J2197" s="49" t="str"/>
      <c r="K2197" s="41" t="str"/>
      <c r="L2197" s="41" t="str"/>
      <c r="M2197" s="41" t="str"/>
      <c r="N2197" s="41" t="str"/>
      <c r="O2197" s="41" t="str"/>
      <c r="P2197" s="41" t="str"/>
      <c r="Q2197" s="41" t="str"/>
      <c r="R2197" s="41" t="str"/>
      <c r="S2197" s="41" t="str"/>
      <c r="T2197" s="41" t="str"/>
      <c r="U2197" s="41" t="str"/>
      <c r="V2197" s="41" t="str"/>
      <c r="W2197" s="41" t="str"/>
    </row>
    <row r="2198">
      <c r="B2198" s="2" t="n"/>
      <c r="C2198" s="40" t="n"/>
      <c r="D2198" s="52">
        <f t="array" ref="D2198:W2198">IF(All_Students_Scores!C2196:V2196="","",All_Students_Scores!C2196:V2196)</f>
        <v/>
      </c>
      <c r="E2198" s="57" t="str"/>
      <c r="F2198" s="49" t="str"/>
      <c r="G2198" s="59" t="str"/>
      <c r="H2198" s="64" t="str"/>
      <c r="I2198" s="65" t="str"/>
      <c r="J2198" s="49" t="str"/>
      <c r="K2198" s="41" t="str"/>
      <c r="L2198" s="41" t="str"/>
      <c r="M2198" s="41" t="str"/>
      <c r="N2198" s="41" t="str"/>
      <c r="O2198" s="41" t="str"/>
      <c r="P2198" s="41" t="str"/>
      <c r="Q2198" s="41" t="str"/>
      <c r="R2198" s="41" t="str"/>
      <c r="S2198" s="41" t="str"/>
      <c r="T2198" s="41" t="str"/>
      <c r="U2198" s="41" t="str"/>
      <c r="V2198" s="41" t="str"/>
      <c r="W2198" s="41" t="str"/>
    </row>
    <row r="2199">
      <c r="B2199" s="2" t="n"/>
      <c r="C2199" s="40" t="n"/>
      <c r="D2199" s="52">
        <f t="array" ref="D2199:W2199">IF(All_Students_Scores!C2197:V2197="","",All_Students_Scores!C2197:V2197)</f>
        <v/>
      </c>
      <c r="E2199" s="57" t="str"/>
      <c r="F2199" s="49" t="str"/>
      <c r="G2199" s="59" t="str"/>
      <c r="H2199" s="64" t="str"/>
      <c r="I2199" s="65" t="str"/>
      <c r="J2199" s="49" t="str"/>
      <c r="K2199" s="41" t="str"/>
      <c r="L2199" s="41" t="str"/>
      <c r="M2199" s="41" t="str"/>
      <c r="N2199" s="41" t="str"/>
      <c r="O2199" s="41" t="str"/>
      <c r="P2199" s="41" t="str"/>
      <c r="Q2199" s="41" t="str"/>
      <c r="R2199" s="41" t="str"/>
      <c r="S2199" s="41" t="str"/>
      <c r="T2199" s="41" t="str"/>
      <c r="U2199" s="41" t="str"/>
      <c r="V2199" s="41" t="str"/>
      <c r="W2199" s="41" t="str"/>
    </row>
    <row r="2200">
      <c r="B2200" s="2" t="n"/>
      <c r="C2200" s="40" t="n"/>
      <c r="D2200" s="52">
        <f t="array" ref="D2200:W2200">IF(All_Students_Scores!C2198:V2198="","",All_Students_Scores!C2198:V2198)</f>
        <v/>
      </c>
      <c r="E2200" s="57" t="str"/>
      <c r="F2200" s="49" t="str"/>
      <c r="G2200" s="59" t="str"/>
      <c r="H2200" s="64" t="str"/>
      <c r="I2200" s="65" t="str"/>
      <c r="J2200" s="49" t="str"/>
      <c r="K2200" s="41" t="str"/>
      <c r="L2200" s="41" t="str"/>
      <c r="M2200" s="41" t="str"/>
      <c r="N2200" s="41" t="str"/>
      <c r="O2200" s="41" t="str"/>
      <c r="P2200" s="41" t="str"/>
      <c r="Q2200" s="41" t="str"/>
      <c r="R2200" s="41" t="str"/>
      <c r="S2200" s="41" t="str"/>
      <c r="T2200" s="41" t="str"/>
      <c r="U2200" s="41" t="str"/>
      <c r="V2200" s="41" t="str"/>
      <c r="W2200" s="41" t="str"/>
    </row>
    <row r="2201">
      <c r="B2201" s="2" t="n"/>
      <c r="C2201" s="40" t="n"/>
      <c r="D2201" s="52">
        <f t="array" ref="D2201:W2201">IF(All_Students_Scores!C2199:V2199="","",All_Students_Scores!C2199:V2199)</f>
        <v/>
      </c>
      <c r="E2201" s="57" t="str"/>
      <c r="F2201" s="49" t="str"/>
      <c r="G2201" s="59" t="str"/>
      <c r="H2201" s="64" t="str"/>
      <c r="I2201" s="65" t="str"/>
      <c r="J2201" s="49" t="str"/>
      <c r="K2201" s="41" t="str"/>
      <c r="L2201" s="41" t="str"/>
      <c r="M2201" s="41" t="str"/>
      <c r="N2201" s="41" t="str"/>
      <c r="O2201" s="41" t="str"/>
      <c r="P2201" s="41" t="str"/>
      <c r="Q2201" s="41" t="str"/>
      <c r="R2201" s="41" t="str"/>
      <c r="S2201" s="41" t="str"/>
      <c r="T2201" s="41" t="str"/>
      <c r="U2201" s="41" t="str"/>
      <c r="V2201" s="41" t="str"/>
      <c r="W2201" s="41" t="str"/>
    </row>
    <row r="2202">
      <c r="B2202" s="2" t="n"/>
      <c r="C2202" s="40" t="n"/>
      <c r="D2202" s="52">
        <f t="array" ref="D2202:W2202">IF(All_Students_Scores!C2200:V2200="","",All_Students_Scores!C2200:V2200)</f>
        <v/>
      </c>
      <c r="E2202" s="57" t="str"/>
      <c r="F2202" s="49" t="str"/>
      <c r="G2202" s="59" t="str"/>
      <c r="H2202" s="64" t="str"/>
      <c r="I2202" s="65" t="str"/>
      <c r="J2202" s="49" t="str"/>
      <c r="K2202" s="41" t="str"/>
      <c r="L2202" s="41" t="str"/>
      <c r="M2202" s="41" t="str"/>
      <c r="N2202" s="41" t="str"/>
      <c r="O2202" s="41" t="str"/>
      <c r="P2202" s="41" t="str"/>
      <c r="Q2202" s="41" t="str"/>
      <c r="R2202" s="41" t="str"/>
      <c r="S2202" s="41" t="str"/>
      <c r="T2202" s="41" t="str"/>
      <c r="U2202" s="41" t="str"/>
      <c r="V2202" s="41" t="str"/>
      <c r="W2202" s="41" t="str"/>
    </row>
    <row r="2203">
      <c r="B2203" s="2" t="n"/>
      <c r="C2203" s="40" t="n"/>
      <c r="D2203" s="52">
        <f t="array" ref="D2203:W2203">IF(All_Students_Scores!C2201:V2201="","",All_Students_Scores!C2201:V2201)</f>
        <v/>
      </c>
      <c r="E2203" s="57" t="str"/>
      <c r="F2203" s="49" t="str"/>
      <c r="G2203" s="59" t="str"/>
      <c r="H2203" s="64" t="str"/>
      <c r="I2203" s="65" t="str"/>
      <c r="J2203" s="49" t="str"/>
      <c r="K2203" s="41" t="str"/>
      <c r="L2203" s="41" t="str"/>
      <c r="M2203" s="41" t="str"/>
      <c r="N2203" s="41" t="str"/>
      <c r="O2203" s="41" t="str"/>
      <c r="P2203" s="41" t="str"/>
      <c r="Q2203" s="41" t="str"/>
      <c r="R2203" s="41" t="str"/>
      <c r="S2203" s="41" t="str"/>
      <c r="T2203" s="41" t="str"/>
      <c r="U2203" s="41" t="str"/>
      <c r="V2203" s="41" t="str"/>
      <c r="W2203" s="41" t="str"/>
    </row>
    <row r="2204">
      <c r="B2204" s="2" t="n"/>
      <c r="C2204" s="40" t="n"/>
      <c r="D2204" s="52">
        <f t="array" ref="D2204:W2204">IF(All_Students_Scores!C2202:V2202="","",All_Students_Scores!C2202:V2202)</f>
        <v/>
      </c>
      <c r="E2204" s="57" t="str"/>
      <c r="F2204" s="49" t="str"/>
      <c r="G2204" s="59" t="str"/>
      <c r="H2204" s="64" t="str"/>
      <c r="I2204" s="65" t="str"/>
      <c r="J2204" s="49" t="str"/>
      <c r="K2204" s="41" t="str"/>
      <c r="L2204" s="41" t="str"/>
      <c r="M2204" s="41" t="str"/>
      <c r="N2204" s="41" t="str"/>
      <c r="O2204" s="41" t="str"/>
      <c r="P2204" s="41" t="str"/>
      <c r="Q2204" s="41" t="str"/>
      <c r="R2204" s="41" t="str"/>
      <c r="S2204" s="41" t="str"/>
      <c r="T2204" s="41" t="str"/>
      <c r="U2204" s="41" t="str"/>
      <c r="V2204" s="41" t="str"/>
      <c r="W2204" s="41" t="str"/>
    </row>
    <row r="2205">
      <c r="B2205" s="2" t="n"/>
      <c r="C2205" s="40" t="n"/>
      <c r="D2205" s="52">
        <f t="array" ref="D2205:W2205">IF(All_Students_Scores!C2203:V2203="","",All_Students_Scores!C2203:V2203)</f>
        <v/>
      </c>
      <c r="E2205" s="57" t="str"/>
      <c r="F2205" s="49" t="str"/>
      <c r="G2205" s="59" t="str"/>
      <c r="H2205" s="64" t="str"/>
      <c r="I2205" s="65" t="str"/>
      <c r="J2205" s="49" t="str"/>
      <c r="K2205" s="41" t="str"/>
      <c r="L2205" s="41" t="str"/>
      <c r="M2205" s="41" t="str"/>
      <c r="N2205" s="41" t="str"/>
      <c r="O2205" s="41" t="str"/>
      <c r="P2205" s="41" t="str"/>
      <c r="Q2205" s="41" t="str"/>
      <c r="R2205" s="41" t="str"/>
      <c r="S2205" s="41" t="str"/>
      <c r="T2205" s="41" t="str"/>
      <c r="U2205" s="41" t="str"/>
      <c r="V2205" s="41" t="str"/>
      <c r="W2205" s="41" t="str"/>
    </row>
    <row r="2206">
      <c r="B2206" s="2" t="n"/>
      <c r="C2206" s="40" t="n"/>
      <c r="D2206" s="52">
        <f t="array" ref="D2206:W2206">IF(All_Students_Scores!C2204:V2204="","",All_Students_Scores!C2204:V2204)</f>
        <v/>
      </c>
      <c r="E2206" s="57" t="str"/>
      <c r="F2206" s="49" t="str"/>
      <c r="G2206" s="59" t="str"/>
      <c r="H2206" s="64" t="str"/>
      <c r="I2206" s="65" t="str"/>
      <c r="J2206" s="49" t="str"/>
      <c r="K2206" s="41" t="str"/>
      <c r="L2206" s="41" t="str"/>
      <c r="M2206" s="41" t="str"/>
      <c r="N2206" s="41" t="str"/>
      <c r="O2206" s="41" t="str"/>
      <c r="P2206" s="41" t="str"/>
      <c r="Q2206" s="41" t="str"/>
      <c r="R2206" s="41" t="str"/>
      <c r="S2206" s="41" t="str"/>
      <c r="T2206" s="41" t="str"/>
      <c r="U2206" s="41" t="str"/>
      <c r="V2206" s="41" t="str"/>
      <c r="W2206" s="41" t="str"/>
    </row>
    <row r="2207">
      <c r="B2207" s="2" t="n"/>
      <c r="C2207" s="40" t="n"/>
      <c r="D2207" s="52">
        <f t="array" ref="D2207:W2207">IF(All_Students_Scores!C2205:V2205="","",All_Students_Scores!C2205:V2205)</f>
        <v/>
      </c>
      <c r="E2207" s="57" t="str"/>
      <c r="F2207" s="49" t="str"/>
      <c r="G2207" s="59" t="str"/>
      <c r="H2207" s="64" t="str"/>
      <c r="I2207" s="65" t="str"/>
      <c r="J2207" s="49" t="str"/>
      <c r="K2207" s="41" t="str"/>
      <c r="L2207" s="41" t="str"/>
      <c r="M2207" s="41" t="str"/>
      <c r="N2207" s="41" t="str"/>
      <c r="O2207" s="41" t="str"/>
      <c r="P2207" s="41" t="str"/>
      <c r="Q2207" s="41" t="str"/>
      <c r="R2207" s="41" t="str"/>
      <c r="S2207" s="41" t="str"/>
      <c r="T2207" s="41" t="str"/>
      <c r="U2207" s="41" t="str"/>
      <c r="V2207" s="41" t="str"/>
      <c r="W2207" s="41" t="str"/>
    </row>
    <row r="2208">
      <c r="B2208" s="2" t="n"/>
      <c r="C2208" s="40" t="n"/>
      <c r="D2208" s="52">
        <f t="array" ref="D2208:W2208">IF(All_Students_Scores!C2206:V2206="","",All_Students_Scores!C2206:V2206)</f>
        <v/>
      </c>
      <c r="E2208" s="57" t="str"/>
      <c r="F2208" s="49" t="str"/>
      <c r="G2208" s="59" t="str"/>
      <c r="H2208" s="64" t="str"/>
      <c r="I2208" s="65" t="str"/>
      <c r="J2208" s="49" t="str"/>
      <c r="K2208" s="41" t="str"/>
      <c r="L2208" s="41" t="str"/>
      <c r="M2208" s="41" t="str"/>
      <c r="N2208" s="41" t="str"/>
      <c r="O2208" s="41" t="str"/>
      <c r="P2208" s="41" t="str"/>
      <c r="Q2208" s="41" t="str"/>
      <c r="R2208" s="41" t="str"/>
      <c r="S2208" s="41" t="str"/>
      <c r="T2208" s="41" t="str"/>
      <c r="U2208" s="41" t="str"/>
      <c r="V2208" s="41" t="str"/>
      <c r="W2208" s="41" t="str"/>
    </row>
    <row r="2209">
      <c r="B2209" s="2" t="n"/>
      <c r="C2209" s="40" t="n"/>
      <c r="D2209" s="52">
        <f t="array" ref="D2209:W2209">IF(All_Students_Scores!C2207:V2207="","",All_Students_Scores!C2207:V2207)</f>
        <v/>
      </c>
      <c r="E2209" s="57" t="str"/>
      <c r="F2209" s="49" t="str"/>
      <c r="G2209" s="59" t="str"/>
      <c r="H2209" s="64" t="str"/>
      <c r="I2209" s="65" t="str"/>
      <c r="J2209" s="49" t="str"/>
      <c r="K2209" s="41" t="str"/>
      <c r="L2209" s="41" t="str"/>
      <c r="M2209" s="41" t="str"/>
      <c r="N2209" s="41" t="str"/>
      <c r="O2209" s="41" t="str"/>
      <c r="P2209" s="41" t="str"/>
      <c r="Q2209" s="41" t="str"/>
      <c r="R2209" s="41" t="str"/>
      <c r="S2209" s="41" t="str"/>
      <c r="T2209" s="41" t="str"/>
      <c r="U2209" s="41" t="str"/>
      <c r="V2209" s="41" t="str"/>
      <c r="W2209" s="41" t="str"/>
    </row>
    <row r="2210">
      <c r="B2210" s="2" t="n"/>
      <c r="C2210" s="40" t="n"/>
      <c r="D2210" s="52">
        <f t="array" ref="D2210:W2210">IF(All_Students_Scores!C2208:V2208="","",All_Students_Scores!C2208:V2208)</f>
        <v/>
      </c>
      <c r="E2210" s="57" t="str"/>
      <c r="F2210" s="49" t="str"/>
      <c r="G2210" s="59" t="str"/>
      <c r="H2210" s="64" t="str"/>
      <c r="I2210" s="65" t="str"/>
      <c r="J2210" s="49" t="str"/>
      <c r="K2210" s="41" t="str"/>
      <c r="L2210" s="41" t="str"/>
      <c r="M2210" s="41" t="str"/>
      <c r="N2210" s="41" t="str"/>
      <c r="O2210" s="41" t="str"/>
      <c r="P2210" s="41" t="str"/>
      <c r="Q2210" s="41" t="str"/>
      <c r="R2210" s="41" t="str"/>
      <c r="S2210" s="41" t="str"/>
      <c r="T2210" s="41" t="str"/>
      <c r="U2210" s="41" t="str"/>
      <c r="V2210" s="41" t="str"/>
      <c r="W2210" s="41" t="str"/>
    </row>
    <row r="2211">
      <c r="B2211" s="2" t="n"/>
      <c r="C2211" s="40" t="n"/>
      <c r="D2211" s="52">
        <f t="array" ref="D2211:W2211">IF(All_Students_Scores!C2209:V2209="","",All_Students_Scores!C2209:V2209)</f>
        <v/>
      </c>
      <c r="E2211" s="57" t="str"/>
      <c r="F2211" s="49" t="str"/>
      <c r="G2211" s="59" t="str"/>
      <c r="H2211" s="64" t="str"/>
      <c r="I2211" s="65" t="str"/>
      <c r="J2211" s="49" t="str"/>
      <c r="K2211" s="41" t="str"/>
      <c r="L2211" s="41" t="str"/>
      <c r="M2211" s="41" t="str"/>
      <c r="N2211" s="41" t="str"/>
      <c r="O2211" s="41" t="str"/>
      <c r="P2211" s="41" t="str"/>
      <c r="Q2211" s="41" t="str"/>
      <c r="R2211" s="41" t="str"/>
      <c r="S2211" s="41" t="str"/>
      <c r="T2211" s="41" t="str"/>
      <c r="U2211" s="41" t="str"/>
      <c r="V2211" s="41" t="str"/>
      <c r="W2211" s="41" t="str"/>
    </row>
    <row r="2212">
      <c r="B2212" s="2" t="n"/>
      <c r="C2212" s="40" t="n"/>
      <c r="D2212" s="52">
        <f t="array" ref="D2212:W2212">IF(All_Students_Scores!C2210:V2210="","",All_Students_Scores!C2210:V2210)</f>
        <v/>
      </c>
      <c r="E2212" s="57" t="str"/>
      <c r="F2212" s="49" t="str"/>
      <c r="G2212" s="59" t="str"/>
      <c r="H2212" s="64" t="str"/>
      <c r="I2212" s="65" t="str"/>
      <c r="J2212" s="49" t="str"/>
      <c r="K2212" s="41" t="str"/>
      <c r="L2212" s="41" t="str"/>
      <c r="M2212" s="41" t="str"/>
      <c r="N2212" s="41" t="str"/>
      <c r="O2212" s="41" t="str"/>
      <c r="P2212" s="41" t="str"/>
      <c r="Q2212" s="41" t="str"/>
      <c r="R2212" s="41" t="str"/>
      <c r="S2212" s="41" t="str"/>
      <c r="T2212" s="41" t="str"/>
      <c r="U2212" s="41" t="str"/>
      <c r="V2212" s="41" t="str"/>
      <c r="W2212" s="41" t="str"/>
    </row>
    <row r="2213">
      <c r="B2213" s="2" t="n"/>
      <c r="C2213" s="40" t="n"/>
      <c r="D2213" s="52">
        <f t="array" ref="D2213:W2213">IF(All_Students_Scores!C2211:V2211="","",All_Students_Scores!C2211:V2211)</f>
        <v/>
      </c>
      <c r="E2213" s="57" t="str"/>
      <c r="F2213" s="49" t="str"/>
      <c r="G2213" s="59" t="str"/>
      <c r="H2213" s="64" t="str"/>
      <c r="I2213" s="65" t="str"/>
      <c r="J2213" s="49" t="str"/>
      <c r="K2213" s="41" t="str"/>
      <c r="L2213" s="41" t="str"/>
      <c r="M2213" s="41" t="str"/>
      <c r="N2213" s="41" t="str"/>
      <c r="O2213" s="41" t="str"/>
      <c r="P2213" s="41" t="str"/>
      <c r="Q2213" s="41" t="str"/>
      <c r="R2213" s="41" t="str"/>
      <c r="S2213" s="41" t="str"/>
      <c r="T2213" s="41" t="str"/>
      <c r="U2213" s="41" t="str"/>
      <c r="V2213" s="41" t="str"/>
      <c r="W2213" s="41" t="str"/>
    </row>
    <row r="2214">
      <c r="B2214" s="2" t="n"/>
      <c r="C2214" s="40" t="n"/>
      <c r="D2214" s="52">
        <f t="array" ref="D2214:W2214">IF(All_Students_Scores!C2212:V2212="","",All_Students_Scores!C2212:V2212)</f>
        <v/>
      </c>
      <c r="E2214" s="57" t="str"/>
      <c r="F2214" s="49" t="str"/>
      <c r="G2214" s="59" t="str"/>
      <c r="H2214" s="64" t="str"/>
      <c r="I2214" s="65" t="str"/>
      <c r="J2214" s="49" t="str"/>
      <c r="K2214" s="41" t="str"/>
      <c r="L2214" s="41" t="str"/>
      <c r="M2214" s="41" t="str"/>
      <c r="N2214" s="41" t="str"/>
      <c r="O2214" s="41" t="str"/>
      <c r="P2214" s="41" t="str"/>
      <c r="Q2214" s="41" t="str"/>
      <c r="R2214" s="41" t="str"/>
      <c r="S2214" s="41" t="str"/>
      <c r="T2214" s="41" t="str"/>
      <c r="U2214" s="41" t="str"/>
      <c r="V2214" s="41" t="str"/>
      <c r="W2214" s="41" t="str"/>
    </row>
    <row r="2215">
      <c r="B2215" s="2" t="n"/>
      <c r="C2215" s="40" t="n"/>
      <c r="D2215" s="52">
        <f t="array" ref="D2215:W2215">IF(All_Students_Scores!C2213:V2213="","",All_Students_Scores!C2213:V2213)</f>
        <v/>
      </c>
      <c r="E2215" s="57" t="str"/>
      <c r="F2215" s="49" t="str"/>
      <c r="G2215" s="59" t="str"/>
      <c r="H2215" s="64" t="str"/>
      <c r="I2215" s="65" t="str"/>
      <c r="J2215" s="49" t="str"/>
      <c r="K2215" s="41" t="str"/>
      <c r="L2215" s="41" t="str"/>
      <c r="M2215" s="41" t="str"/>
      <c r="N2215" s="41" t="str"/>
      <c r="O2215" s="41" t="str"/>
      <c r="P2215" s="41" t="str"/>
      <c r="Q2215" s="41" t="str"/>
      <c r="R2215" s="41" t="str"/>
      <c r="S2215" s="41" t="str"/>
      <c r="T2215" s="41" t="str"/>
      <c r="U2215" s="41" t="str"/>
      <c r="V2215" s="41" t="str"/>
      <c r="W2215" s="41" t="str"/>
    </row>
    <row r="2216">
      <c r="B2216" s="2" t="n"/>
      <c r="C2216" s="40" t="n"/>
      <c r="D2216" s="52">
        <f t="array" ref="D2216:W2216">IF(All_Students_Scores!C2214:V2214="","",All_Students_Scores!C2214:V2214)</f>
        <v/>
      </c>
      <c r="E2216" s="57" t="str"/>
      <c r="F2216" s="49" t="str"/>
      <c r="G2216" s="59" t="str"/>
      <c r="H2216" s="64" t="str"/>
      <c r="I2216" s="65" t="str"/>
      <c r="J2216" s="49" t="str"/>
      <c r="K2216" s="41" t="str"/>
      <c r="L2216" s="41" t="str"/>
      <c r="M2216" s="41" t="str"/>
      <c r="N2216" s="41" t="str"/>
      <c r="O2216" s="41" t="str"/>
      <c r="P2216" s="41" t="str"/>
      <c r="Q2216" s="41" t="str"/>
      <c r="R2216" s="41" t="str"/>
      <c r="S2216" s="41" t="str"/>
      <c r="T2216" s="41" t="str"/>
      <c r="U2216" s="41" t="str"/>
      <c r="V2216" s="41" t="str"/>
      <c r="W2216" s="41" t="str"/>
    </row>
    <row r="2217">
      <c r="B2217" s="2" t="n"/>
      <c r="C2217" s="40" t="n"/>
      <c r="D2217" s="52">
        <f t="array" ref="D2217:W2217">IF(All_Students_Scores!C2215:V2215="","",All_Students_Scores!C2215:V2215)</f>
        <v/>
      </c>
      <c r="E2217" s="57" t="str"/>
      <c r="F2217" s="49" t="str"/>
      <c r="G2217" s="59" t="str"/>
      <c r="H2217" s="64" t="str"/>
      <c r="I2217" s="65" t="str"/>
      <c r="J2217" s="49" t="str"/>
      <c r="K2217" s="41" t="str"/>
      <c r="L2217" s="41" t="str"/>
      <c r="M2217" s="41" t="str"/>
      <c r="N2217" s="41" t="str"/>
      <c r="O2217" s="41" t="str"/>
      <c r="P2217" s="41" t="str"/>
      <c r="Q2217" s="41" t="str"/>
      <c r="R2217" s="41" t="str"/>
      <c r="S2217" s="41" t="str"/>
      <c r="T2217" s="41" t="str"/>
      <c r="U2217" s="41" t="str"/>
      <c r="V2217" s="41" t="str"/>
      <c r="W2217" s="41" t="str"/>
    </row>
    <row r="2218">
      <c r="B2218" s="2" t="n"/>
      <c r="C2218" s="40" t="n"/>
      <c r="D2218" s="52">
        <f t="array" ref="D2218:W2218">IF(All_Students_Scores!C2216:V2216="","",All_Students_Scores!C2216:V2216)</f>
        <v/>
      </c>
      <c r="E2218" s="57" t="str"/>
      <c r="F2218" s="49" t="str"/>
      <c r="G2218" s="59" t="str"/>
      <c r="H2218" s="64" t="str"/>
      <c r="I2218" s="65" t="str"/>
      <c r="J2218" s="49" t="str"/>
      <c r="K2218" s="41" t="str"/>
      <c r="L2218" s="41" t="str"/>
      <c r="M2218" s="41" t="str"/>
      <c r="N2218" s="41" t="str"/>
      <c r="O2218" s="41" t="str"/>
      <c r="P2218" s="41" t="str"/>
      <c r="Q2218" s="41" t="str"/>
      <c r="R2218" s="41" t="str"/>
      <c r="S2218" s="41" t="str"/>
      <c r="T2218" s="41" t="str"/>
      <c r="U2218" s="41" t="str"/>
      <c r="V2218" s="41" t="str"/>
      <c r="W2218" s="41" t="str"/>
    </row>
    <row r="2219">
      <c r="B2219" s="2" t="n"/>
      <c r="C2219" s="40" t="n"/>
      <c r="D2219" s="52">
        <f t="array" ref="D2219:W2219">IF(All_Students_Scores!C2217:V2217="","",All_Students_Scores!C2217:V2217)</f>
        <v/>
      </c>
      <c r="E2219" s="57" t="str"/>
      <c r="F2219" s="49" t="str"/>
      <c r="G2219" s="59" t="str"/>
      <c r="H2219" s="64" t="str"/>
      <c r="I2219" s="65" t="str"/>
      <c r="J2219" s="49" t="str"/>
      <c r="K2219" s="41" t="str"/>
      <c r="L2219" s="41" t="str"/>
      <c r="M2219" s="41" t="str"/>
      <c r="N2219" s="41" t="str"/>
      <c r="O2219" s="41" t="str"/>
      <c r="P2219" s="41" t="str"/>
      <c r="Q2219" s="41" t="str"/>
      <c r="R2219" s="41" t="str"/>
      <c r="S2219" s="41" t="str"/>
      <c r="T2219" s="41" t="str"/>
      <c r="U2219" s="41" t="str"/>
      <c r="V2219" s="41" t="str"/>
      <c r="W2219" s="41" t="str"/>
    </row>
    <row r="2220">
      <c r="B2220" s="2" t="n"/>
      <c r="C2220" s="40" t="n"/>
      <c r="D2220" s="52">
        <f t="array" ref="D2220:W2220">IF(All_Students_Scores!C2218:V2218="","",All_Students_Scores!C2218:V2218)</f>
        <v/>
      </c>
      <c r="E2220" s="57" t="str"/>
      <c r="F2220" s="49" t="str"/>
      <c r="G2220" s="59" t="str"/>
      <c r="H2220" s="64" t="str"/>
      <c r="I2220" s="65" t="str"/>
      <c r="J2220" s="49" t="str"/>
      <c r="K2220" s="41" t="str"/>
      <c r="L2220" s="41" t="str"/>
      <c r="M2220" s="41" t="str"/>
      <c r="N2220" s="41" t="str"/>
      <c r="O2220" s="41" t="str"/>
      <c r="P2220" s="41" t="str"/>
      <c r="Q2220" s="41" t="str"/>
      <c r="R2220" s="41" t="str"/>
      <c r="S2220" s="41" t="str"/>
      <c r="T2220" s="41" t="str"/>
      <c r="U2220" s="41" t="str"/>
      <c r="V2220" s="41" t="str"/>
      <c r="W2220" s="41" t="str"/>
    </row>
    <row r="2221">
      <c r="B2221" s="2" t="n"/>
      <c r="C2221" s="40" t="n"/>
      <c r="D2221" s="52">
        <f t="array" ref="D2221:W2221">IF(All_Students_Scores!C2219:V2219="","",All_Students_Scores!C2219:V2219)</f>
        <v/>
      </c>
      <c r="E2221" s="57" t="str"/>
      <c r="F2221" s="49" t="str"/>
      <c r="G2221" s="59" t="str"/>
      <c r="H2221" s="64" t="str"/>
      <c r="I2221" s="65" t="str"/>
      <c r="J2221" s="49" t="str"/>
      <c r="K2221" s="41" t="str"/>
      <c r="L2221" s="41" t="str"/>
      <c r="M2221" s="41" t="str"/>
      <c r="N2221" s="41" t="str"/>
      <c r="O2221" s="41" t="str"/>
      <c r="P2221" s="41" t="str"/>
      <c r="Q2221" s="41" t="str"/>
      <c r="R2221" s="41" t="str"/>
      <c r="S2221" s="41" t="str"/>
      <c r="T2221" s="41" t="str"/>
      <c r="U2221" s="41" t="str"/>
      <c r="V2221" s="41" t="str"/>
      <c r="W2221" s="41" t="str"/>
    </row>
    <row r="2222">
      <c r="B2222" s="2" t="n"/>
      <c r="C2222" s="40" t="n"/>
      <c r="D2222" s="52">
        <f t="array" ref="D2222:W2222">IF(All_Students_Scores!C2220:V2220="","",All_Students_Scores!C2220:V2220)</f>
        <v/>
      </c>
      <c r="E2222" s="57" t="str"/>
      <c r="F2222" s="49" t="str"/>
      <c r="G2222" s="59" t="str"/>
      <c r="H2222" s="64" t="str"/>
      <c r="I2222" s="65" t="str"/>
      <c r="J2222" s="49" t="str"/>
      <c r="K2222" s="41" t="str"/>
      <c r="L2222" s="41" t="str"/>
      <c r="M2222" s="41" t="str"/>
      <c r="N2222" s="41" t="str"/>
      <c r="O2222" s="41" t="str"/>
      <c r="P2222" s="41" t="str"/>
      <c r="Q2222" s="41" t="str"/>
      <c r="R2222" s="41" t="str"/>
      <c r="S2222" s="41" t="str"/>
      <c r="T2222" s="41" t="str"/>
      <c r="U2222" s="41" t="str"/>
      <c r="V2222" s="41" t="str"/>
      <c r="W2222" s="41" t="str"/>
    </row>
    <row r="2223">
      <c r="B2223" s="2" t="n"/>
      <c r="C2223" s="40" t="n"/>
      <c r="D2223" s="52">
        <f t="array" ref="D2223:W2223">IF(All_Students_Scores!C2221:V2221="","",All_Students_Scores!C2221:V2221)</f>
        <v/>
      </c>
      <c r="E2223" s="57" t="str"/>
      <c r="F2223" s="49" t="str"/>
      <c r="G2223" s="59" t="str"/>
      <c r="H2223" s="64" t="str"/>
      <c r="I2223" s="65" t="str"/>
      <c r="J2223" s="49" t="str"/>
      <c r="K2223" s="41" t="str"/>
      <c r="L2223" s="41" t="str"/>
      <c r="M2223" s="41" t="str"/>
      <c r="N2223" s="41" t="str"/>
      <c r="O2223" s="41" t="str"/>
      <c r="P2223" s="41" t="str"/>
      <c r="Q2223" s="41" t="str"/>
      <c r="R2223" s="41" t="str"/>
      <c r="S2223" s="41" t="str"/>
      <c r="T2223" s="41" t="str"/>
      <c r="U2223" s="41" t="str"/>
      <c r="V2223" s="41" t="str"/>
      <c r="W2223" s="41" t="str"/>
    </row>
    <row r="2224">
      <c r="B2224" s="2" t="n"/>
      <c r="C2224" s="40" t="n"/>
      <c r="D2224" s="52">
        <f t="array" ref="D2224:W2224">IF(All_Students_Scores!C2222:V2222="","",All_Students_Scores!C2222:V2222)</f>
        <v/>
      </c>
      <c r="E2224" s="57" t="str"/>
      <c r="F2224" s="49" t="str"/>
      <c r="G2224" s="59" t="str"/>
      <c r="H2224" s="64" t="str"/>
      <c r="I2224" s="65" t="str"/>
      <c r="J2224" s="49" t="str"/>
      <c r="K2224" s="41" t="str"/>
      <c r="L2224" s="41" t="str"/>
      <c r="M2224" s="41" t="str"/>
      <c r="N2224" s="41" t="str"/>
      <c r="O2224" s="41" t="str"/>
      <c r="P2224" s="41" t="str"/>
      <c r="Q2224" s="41" t="str"/>
      <c r="R2224" s="41" t="str"/>
      <c r="S2224" s="41" t="str"/>
      <c r="T2224" s="41" t="str"/>
      <c r="U2224" s="41" t="str"/>
      <c r="V2224" s="41" t="str"/>
      <c r="W2224" s="41" t="str"/>
    </row>
    <row r="2225">
      <c r="B2225" s="2" t="n"/>
      <c r="C2225" s="40" t="n"/>
      <c r="D2225" s="52">
        <f t="array" ref="D2225:W2225">IF(All_Students_Scores!C2223:V2223="","",All_Students_Scores!C2223:V2223)</f>
        <v/>
      </c>
      <c r="E2225" s="57" t="str"/>
      <c r="F2225" s="49" t="str"/>
      <c r="G2225" s="59" t="str"/>
      <c r="H2225" s="64" t="str"/>
      <c r="I2225" s="65" t="str"/>
      <c r="J2225" s="49" t="str"/>
      <c r="K2225" s="41" t="str"/>
      <c r="L2225" s="41" t="str"/>
      <c r="M2225" s="41" t="str"/>
      <c r="N2225" s="41" t="str"/>
      <c r="O2225" s="41" t="str"/>
      <c r="P2225" s="41" t="str"/>
      <c r="Q2225" s="41" t="str"/>
      <c r="R2225" s="41" t="str"/>
      <c r="S2225" s="41" t="str"/>
      <c r="T2225" s="41" t="str"/>
      <c r="U2225" s="41" t="str"/>
      <c r="V2225" s="41" t="str"/>
      <c r="W2225" s="41" t="str"/>
    </row>
    <row r="2226">
      <c r="B2226" s="2" t="n"/>
      <c r="C2226" s="40" t="n"/>
      <c r="D2226" s="52">
        <f t="array" ref="D2226:W2226">IF(All_Students_Scores!C2224:V2224="","",All_Students_Scores!C2224:V2224)</f>
        <v/>
      </c>
      <c r="E2226" s="57" t="str"/>
      <c r="F2226" s="49" t="str"/>
      <c r="G2226" s="59" t="str"/>
      <c r="H2226" s="64" t="str"/>
      <c r="I2226" s="65" t="str"/>
      <c r="J2226" s="49" t="str"/>
      <c r="K2226" s="41" t="str"/>
      <c r="L2226" s="41" t="str"/>
      <c r="M2226" s="41" t="str"/>
      <c r="N2226" s="41" t="str"/>
      <c r="O2226" s="41" t="str"/>
      <c r="P2226" s="41" t="str"/>
      <c r="Q2226" s="41" t="str"/>
      <c r="R2226" s="41" t="str"/>
      <c r="S2226" s="41" t="str"/>
      <c r="T2226" s="41" t="str"/>
      <c r="U2226" s="41" t="str"/>
      <c r="V2226" s="41" t="str"/>
      <c r="W2226" s="41" t="str"/>
    </row>
    <row r="2227">
      <c r="B2227" s="2" t="n"/>
      <c r="C2227" s="40" t="n"/>
      <c r="D2227" s="52">
        <f t="array" ref="D2227:W2227">IF(All_Students_Scores!C2225:V2225="","",All_Students_Scores!C2225:V2225)</f>
        <v/>
      </c>
      <c r="E2227" s="57" t="str"/>
      <c r="F2227" s="49" t="str"/>
      <c r="G2227" s="59" t="str"/>
      <c r="H2227" s="64" t="str"/>
      <c r="I2227" s="65" t="str"/>
      <c r="J2227" s="49" t="str"/>
      <c r="K2227" s="41" t="str"/>
      <c r="L2227" s="41" t="str"/>
      <c r="M2227" s="41" t="str"/>
      <c r="N2227" s="41" t="str"/>
      <c r="O2227" s="41" t="str"/>
      <c r="P2227" s="41" t="str"/>
      <c r="Q2227" s="41" t="str"/>
      <c r="R2227" s="41" t="str"/>
      <c r="S2227" s="41" t="str"/>
      <c r="T2227" s="41" t="str"/>
      <c r="U2227" s="41" t="str"/>
      <c r="V2227" s="41" t="str"/>
      <c r="W2227" s="41" t="str"/>
    </row>
    <row r="2228">
      <c r="B2228" s="2" t="n"/>
      <c r="C2228" s="40" t="n"/>
      <c r="D2228" s="52">
        <f t="array" ref="D2228:W2228">IF(All_Students_Scores!C2226:V2226="","",All_Students_Scores!C2226:V2226)</f>
        <v/>
      </c>
      <c r="E2228" s="57" t="str"/>
      <c r="F2228" s="49" t="str"/>
      <c r="G2228" s="59" t="str"/>
      <c r="H2228" s="64" t="str"/>
      <c r="I2228" s="65" t="str"/>
      <c r="J2228" s="49" t="str"/>
      <c r="K2228" s="41" t="str"/>
      <c r="L2228" s="41" t="str"/>
      <c r="M2228" s="41" t="str"/>
      <c r="N2228" s="41" t="str"/>
      <c r="O2228" s="41" t="str"/>
      <c r="P2228" s="41" t="str"/>
      <c r="Q2228" s="41" t="str"/>
      <c r="R2228" s="41" t="str"/>
      <c r="S2228" s="41" t="str"/>
      <c r="T2228" s="41" t="str"/>
      <c r="U2228" s="41" t="str"/>
      <c r="V2228" s="41" t="str"/>
      <c r="W2228" s="41" t="str"/>
    </row>
    <row r="2229">
      <c r="B2229" s="2" t="n"/>
      <c r="C2229" s="40" t="n"/>
      <c r="D2229" s="52">
        <f t="array" ref="D2229:W2229">IF(All_Students_Scores!C2227:V2227="","",All_Students_Scores!C2227:V2227)</f>
        <v/>
      </c>
      <c r="E2229" s="57" t="str"/>
      <c r="F2229" s="49" t="str"/>
      <c r="G2229" s="59" t="str"/>
      <c r="H2229" s="64" t="str"/>
      <c r="I2229" s="65" t="str"/>
      <c r="J2229" s="49" t="str"/>
      <c r="K2229" s="41" t="str"/>
      <c r="L2229" s="41" t="str"/>
      <c r="M2229" s="41" t="str"/>
      <c r="N2229" s="41" t="str"/>
      <c r="O2229" s="41" t="str"/>
      <c r="P2229" s="41" t="str"/>
      <c r="Q2229" s="41" t="str"/>
      <c r="R2229" s="41" t="str"/>
      <c r="S2229" s="41" t="str"/>
      <c r="T2229" s="41" t="str"/>
      <c r="U2229" s="41" t="str"/>
      <c r="V2229" s="41" t="str"/>
      <c r="W2229" s="41" t="str"/>
    </row>
    <row r="2230">
      <c r="B2230" s="2" t="n"/>
      <c r="C2230" s="40" t="n"/>
      <c r="D2230" s="52">
        <f t="array" ref="D2230:W2230">IF(All_Students_Scores!C2228:V2228="","",All_Students_Scores!C2228:V2228)</f>
        <v/>
      </c>
      <c r="E2230" s="57" t="str"/>
      <c r="F2230" s="49" t="str"/>
      <c r="G2230" s="59" t="str"/>
      <c r="H2230" s="64" t="str"/>
      <c r="I2230" s="65" t="str"/>
      <c r="J2230" s="49" t="str"/>
      <c r="K2230" s="41" t="str"/>
      <c r="L2230" s="41" t="str"/>
      <c r="M2230" s="41" t="str"/>
      <c r="N2230" s="41" t="str"/>
      <c r="O2230" s="41" t="str"/>
      <c r="P2230" s="41" t="str"/>
      <c r="Q2230" s="41" t="str"/>
      <c r="R2230" s="41" t="str"/>
      <c r="S2230" s="41" t="str"/>
      <c r="T2230" s="41" t="str"/>
      <c r="U2230" s="41" t="str"/>
      <c r="V2230" s="41" t="str"/>
      <c r="W2230" s="41" t="str"/>
    </row>
    <row r="2231">
      <c r="B2231" s="2" t="n"/>
      <c r="C2231" s="40" t="n"/>
      <c r="D2231" s="52">
        <f t="array" ref="D2231:W2231">IF(All_Students_Scores!C2229:V2229="","",All_Students_Scores!C2229:V2229)</f>
        <v/>
      </c>
      <c r="E2231" s="57" t="str"/>
      <c r="F2231" s="49" t="str"/>
      <c r="G2231" s="59" t="str"/>
      <c r="H2231" s="64" t="str"/>
      <c r="I2231" s="65" t="str"/>
      <c r="J2231" s="49" t="str"/>
      <c r="K2231" s="41" t="str"/>
      <c r="L2231" s="41" t="str"/>
      <c r="M2231" s="41" t="str"/>
      <c r="N2231" s="41" t="str"/>
      <c r="O2231" s="41" t="str"/>
      <c r="P2231" s="41" t="str"/>
      <c r="Q2231" s="41" t="str"/>
      <c r="R2231" s="41" t="str"/>
      <c r="S2231" s="41" t="str"/>
      <c r="T2231" s="41" t="str"/>
      <c r="U2231" s="41" t="str"/>
      <c r="V2231" s="41" t="str"/>
      <c r="W2231" s="41" t="str"/>
    </row>
    <row r="2232">
      <c r="B2232" s="2" t="n"/>
      <c r="C2232" s="40" t="n"/>
      <c r="D2232" s="52">
        <f t="array" ref="D2232:W2232">IF(All_Students_Scores!C2230:V2230="","",All_Students_Scores!C2230:V2230)</f>
        <v/>
      </c>
      <c r="E2232" s="57" t="str"/>
      <c r="F2232" s="49" t="str"/>
      <c r="G2232" s="59" t="str"/>
      <c r="H2232" s="64" t="str"/>
      <c r="I2232" s="65" t="str"/>
      <c r="J2232" s="49" t="str"/>
      <c r="K2232" s="41" t="str"/>
      <c r="L2232" s="41" t="str"/>
      <c r="M2232" s="41" t="str"/>
      <c r="N2232" s="41" t="str"/>
      <c r="O2232" s="41" t="str"/>
      <c r="P2232" s="41" t="str"/>
      <c r="Q2232" s="41" t="str"/>
      <c r="R2232" s="41" t="str"/>
      <c r="S2232" s="41" t="str"/>
      <c r="T2232" s="41" t="str"/>
      <c r="U2232" s="41" t="str"/>
      <c r="V2232" s="41" t="str"/>
      <c r="W2232" s="41" t="str"/>
    </row>
    <row r="2233">
      <c r="B2233" s="2" t="n"/>
      <c r="C2233" s="40" t="n"/>
      <c r="D2233" s="52">
        <f t="array" ref="D2233:W2233">IF(All_Students_Scores!C2231:V2231="","",All_Students_Scores!C2231:V2231)</f>
        <v/>
      </c>
      <c r="E2233" s="57" t="str"/>
      <c r="F2233" s="49" t="str"/>
      <c r="G2233" s="59" t="str"/>
      <c r="H2233" s="64" t="str"/>
      <c r="I2233" s="65" t="str"/>
      <c r="J2233" s="49" t="str"/>
      <c r="K2233" s="41" t="str"/>
      <c r="L2233" s="41" t="str"/>
      <c r="M2233" s="41" t="str"/>
      <c r="N2233" s="41" t="str"/>
      <c r="O2233" s="41" t="str"/>
      <c r="P2233" s="41" t="str"/>
      <c r="Q2233" s="41" t="str"/>
      <c r="R2233" s="41" t="str"/>
      <c r="S2233" s="41" t="str"/>
      <c r="T2233" s="41" t="str"/>
      <c r="U2233" s="41" t="str"/>
      <c r="V2233" s="41" t="str"/>
      <c r="W2233" s="41" t="str"/>
    </row>
    <row r="2234">
      <c r="B2234" s="2" t="n"/>
      <c r="C2234" s="40" t="n"/>
      <c r="D2234" s="52">
        <f t="array" ref="D2234:W2234">IF(All_Students_Scores!C2232:V2232="","",All_Students_Scores!C2232:V2232)</f>
        <v/>
      </c>
      <c r="E2234" s="57" t="str"/>
      <c r="F2234" s="49" t="str"/>
      <c r="G2234" s="59" t="str"/>
      <c r="H2234" s="64" t="str"/>
      <c r="I2234" s="65" t="str"/>
      <c r="J2234" s="49" t="str"/>
      <c r="K2234" s="41" t="str"/>
      <c r="L2234" s="41" t="str"/>
      <c r="M2234" s="41" t="str"/>
      <c r="N2234" s="41" t="str"/>
      <c r="O2234" s="41" t="str"/>
      <c r="P2234" s="41" t="str"/>
      <c r="Q2234" s="41" t="str"/>
      <c r="R2234" s="41" t="str"/>
      <c r="S2234" s="41" t="str"/>
      <c r="T2234" s="41" t="str"/>
      <c r="U2234" s="41" t="str"/>
      <c r="V2234" s="41" t="str"/>
      <c r="W2234" s="41" t="str"/>
    </row>
    <row r="2235">
      <c r="B2235" s="2" t="n"/>
      <c r="C2235" s="40" t="n"/>
      <c r="D2235" s="52">
        <f t="array" ref="D2235:W2235">IF(All_Students_Scores!C2233:V2233="","",All_Students_Scores!C2233:V2233)</f>
        <v/>
      </c>
      <c r="E2235" s="57" t="str"/>
      <c r="F2235" s="49" t="str"/>
      <c r="G2235" s="59" t="str"/>
      <c r="H2235" s="64" t="str"/>
      <c r="I2235" s="65" t="str"/>
      <c r="J2235" s="49" t="str"/>
      <c r="K2235" s="41" t="str"/>
      <c r="L2235" s="41" t="str"/>
      <c r="M2235" s="41" t="str"/>
      <c r="N2235" s="41" t="str"/>
      <c r="O2235" s="41" t="str"/>
      <c r="P2235" s="41" t="str"/>
      <c r="Q2235" s="41" t="str"/>
      <c r="R2235" s="41" t="str"/>
      <c r="S2235" s="41" t="str"/>
      <c r="T2235" s="41" t="str"/>
      <c r="U2235" s="41" t="str"/>
      <c r="V2235" s="41" t="str"/>
      <c r="W2235" s="41" t="str"/>
    </row>
    <row r="2236">
      <c r="B2236" s="2" t="n"/>
      <c r="C2236" s="40" t="n"/>
      <c r="D2236" s="52">
        <f t="array" ref="D2236:W2236">IF(All_Students_Scores!C2234:V2234="","",All_Students_Scores!C2234:V2234)</f>
        <v/>
      </c>
      <c r="E2236" s="57" t="str"/>
      <c r="F2236" s="49" t="str"/>
      <c r="G2236" s="59" t="str"/>
      <c r="H2236" s="64" t="str"/>
      <c r="I2236" s="65" t="str"/>
      <c r="J2236" s="49" t="str"/>
      <c r="K2236" s="41" t="str"/>
      <c r="L2236" s="41" t="str"/>
      <c r="M2236" s="41" t="str"/>
      <c r="N2236" s="41" t="str"/>
      <c r="O2236" s="41" t="str"/>
      <c r="P2236" s="41" t="str"/>
      <c r="Q2236" s="41" t="str"/>
      <c r="R2236" s="41" t="str"/>
      <c r="S2236" s="41" t="str"/>
      <c r="T2236" s="41" t="str"/>
      <c r="U2236" s="41" t="str"/>
      <c r="V2236" s="41" t="str"/>
      <c r="W2236" s="41" t="str"/>
    </row>
    <row r="2237">
      <c r="B2237" s="2" t="n"/>
      <c r="C2237" s="40" t="n"/>
      <c r="D2237" s="52">
        <f t="array" ref="D2237:W2237">IF(All_Students_Scores!C2235:V2235="","",All_Students_Scores!C2235:V2235)</f>
        <v/>
      </c>
      <c r="E2237" s="57" t="str"/>
      <c r="F2237" s="49" t="str"/>
      <c r="G2237" s="59" t="str"/>
      <c r="H2237" s="64" t="str"/>
      <c r="I2237" s="65" t="str"/>
      <c r="J2237" s="49" t="str"/>
      <c r="K2237" s="41" t="str"/>
      <c r="L2237" s="41" t="str"/>
      <c r="M2237" s="41" t="str"/>
      <c r="N2237" s="41" t="str"/>
      <c r="O2237" s="41" t="str"/>
      <c r="P2237" s="41" t="str"/>
      <c r="Q2237" s="41" t="str"/>
      <c r="R2237" s="41" t="str"/>
      <c r="S2237" s="41" t="str"/>
      <c r="T2237" s="41" t="str"/>
      <c r="U2237" s="41" t="str"/>
      <c r="V2237" s="41" t="str"/>
      <c r="W2237" s="41" t="str"/>
    </row>
    <row r="2238">
      <c r="B2238" s="2" t="n"/>
      <c r="C2238" s="40" t="n"/>
      <c r="D2238" s="52">
        <f t="array" ref="D2238:W2238">IF(All_Students_Scores!C2236:V2236="","",All_Students_Scores!C2236:V2236)</f>
        <v/>
      </c>
      <c r="E2238" s="57" t="str"/>
      <c r="F2238" s="49" t="str"/>
      <c r="G2238" s="59" t="str"/>
      <c r="H2238" s="64" t="str"/>
      <c r="I2238" s="65" t="str"/>
      <c r="J2238" s="49" t="str"/>
      <c r="K2238" s="41" t="str"/>
      <c r="L2238" s="41" t="str"/>
      <c r="M2238" s="41" t="str"/>
      <c r="N2238" s="41" t="str"/>
      <c r="O2238" s="41" t="str"/>
      <c r="P2238" s="41" t="str"/>
      <c r="Q2238" s="41" t="str"/>
      <c r="R2238" s="41" t="str"/>
      <c r="S2238" s="41" t="str"/>
      <c r="T2238" s="41" t="str"/>
      <c r="U2238" s="41" t="str"/>
      <c r="V2238" s="41" t="str"/>
      <c r="W2238" s="41" t="str"/>
    </row>
    <row r="2239">
      <c r="B2239" s="2" t="n"/>
      <c r="C2239" s="40" t="n"/>
      <c r="D2239" s="52">
        <f t="array" ref="D2239:W2239">IF(All_Students_Scores!C2237:V2237="","",All_Students_Scores!C2237:V2237)</f>
        <v/>
      </c>
      <c r="E2239" s="57" t="str"/>
      <c r="F2239" s="49" t="str"/>
      <c r="G2239" s="59" t="str"/>
      <c r="H2239" s="64" t="str"/>
      <c r="I2239" s="65" t="str"/>
      <c r="J2239" s="49" t="str"/>
      <c r="K2239" s="41" t="str"/>
      <c r="L2239" s="41" t="str"/>
      <c r="M2239" s="41" t="str"/>
      <c r="N2239" s="41" t="str"/>
      <c r="O2239" s="41" t="str"/>
      <c r="P2239" s="41" t="str"/>
      <c r="Q2239" s="41" t="str"/>
      <c r="R2239" s="41" t="str"/>
      <c r="S2239" s="41" t="str"/>
      <c r="T2239" s="41" t="str"/>
      <c r="U2239" s="41" t="str"/>
      <c r="V2239" s="41" t="str"/>
      <c r="W2239" s="41" t="str"/>
    </row>
    <row r="2240">
      <c r="B2240" s="2" t="n"/>
      <c r="C2240" s="40" t="n"/>
      <c r="D2240" s="52">
        <f t="array" ref="D2240:W2240">IF(All_Students_Scores!C2238:V2238="","",All_Students_Scores!C2238:V2238)</f>
        <v/>
      </c>
      <c r="E2240" s="57" t="str"/>
      <c r="F2240" s="49" t="str"/>
      <c r="G2240" s="59" t="str"/>
      <c r="H2240" s="64" t="str"/>
      <c r="I2240" s="65" t="str"/>
      <c r="J2240" s="49" t="str"/>
      <c r="K2240" s="41" t="str"/>
      <c r="L2240" s="41" t="str"/>
      <c r="M2240" s="41" t="str"/>
      <c r="N2240" s="41" t="str"/>
      <c r="O2240" s="41" t="str"/>
      <c r="P2240" s="41" t="str"/>
      <c r="Q2240" s="41" t="str"/>
      <c r="R2240" s="41" t="str"/>
      <c r="S2240" s="41" t="str"/>
      <c r="T2240" s="41" t="str"/>
      <c r="U2240" s="41" t="str"/>
      <c r="V2240" s="41" t="str"/>
      <c r="W2240" s="41" t="str"/>
    </row>
    <row r="2241">
      <c r="B2241" s="2" t="n"/>
      <c r="C2241" s="40" t="n"/>
      <c r="D2241" s="52">
        <f t="array" ref="D2241:W2241">IF(All_Students_Scores!C2239:V2239="","",All_Students_Scores!C2239:V2239)</f>
        <v/>
      </c>
      <c r="E2241" s="57" t="str"/>
      <c r="F2241" s="49" t="str"/>
      <c r="G2241" s="59" t="str"/>
      <c r="H2241" s="64" t="str"/>
      <c r="I2241" s="65" t="str"/>
      <c r="J2241" s="49" t="str"/>
      <c r="K2241" s="41" t="str"/>
      <c r="L2241" s="41" t="str"/>
      <c r="M2241" s="41" t="str"/>
      <c r="N2241" s="41" t="str"/>
      <c r="O2241" s="41" t="str"/>
      <c r="P2241" s="41" t="str"/>
      <c r="Q2241" s="41" t="str"/>
      <c r="R2241" s="41" t="str"/>
      <c r="S2241" s="41" t="str"/>
      <c r="T2241" s="41" t="str"/>
      <c r="U2241" s="41" t="str"/>
      <c r="V2241" s="41" t="str"/>
      <c r="W2241" s="41" t="str"/>
    </row>
    <row r="2242">
      <c r="B2242" s="2" t="n"/>
      <c r="C2242" s="40" t="n"/>
      <c r="D2242" s="52">
        <f t="array" ref="D2242:W2242">IF(All_Students_Scores!C2240:V2240="","",All_Students_Scores!C2240:V2240)</f>
        <v/>
      </c>
      <c r="E2242" s="57" t="str"/>
      <c r="F2242" s="49" t="str"/>
      <c r="G2242" s="59" t="str"/>
      <c r="H2242" s="64" t="str"/>
      <c r="I2242" s="65" t="str"/>
      <c r="J2242" s="49" t="str"/>
      <c r="K2242" s="41" t="str"/>
      <c r="L2242" s="41" t="str"/>
      <c r="M2242" s="41" t="str"/>
      <c r="N2242" s="41" t="str"/>
      <c r="O2242" s="41" t="str"/>
      <c r="P2242" s="41" t="str"/>
      <c r="Q2242" s="41" t="str"/>
      <c r="R2242" s="41" t="str"/>
      <c r="S2242" s="41" t="str"/>
      <c r="T2242" s="41" t="str"/>
      <c r="U2242" s="41" t="str"/>
      <c r="V2242" s="41" t="str"/>
      <c r="W2242" s="41" t="str"/>
    </row>
    <row r="2243">
      <c r="B2243" s="2" t="n"/>
      <c r="C2243" s="40" t="n"/>
      <c r="D2243" s="52">
        <f t="array" ref="D2243:W2243">IF(All_Students_Scores!C2241:V2241="","",All_Students_Scores!C2241:V2241)</f>
        <v/>
      </c>
      <c r="E2243" s="57" t="str"/>
      <c r="F2243" s="49" t="str"/>
      <c r="G2243" s="59" t="str"/>
      <c r="H2243" s="64" t="str"/>
      <c r="I2243" s="65" t="str"/>
      <c r="J2243" s="49" t="str"/>
      <c r="K2243" s="41" t="str"/>
      <c r="L2243" s="41" t="str"/>
      <c r="M2243" s="41" t="str"/>
      <c r="N2243" s="41" t="str"/>
      <c r="O2243" s="41" t="str"/>
      <c r="P2243" s="41" t="str"/>
      <c r="Q2243" s="41" t="str"/>
      <c r="R2243" s="41" t="str"/>
      <c r="S2243" s="41" t="str"/>
      <c r="T2243" s="41" t="str"/>
      <c r="U2243" s="41" t="str"/>
      <c r="V2243" s="41" t="str"/>
      <c r="W2243" s="41" t="str"/>
    </row>
    <row r="2244">
      <c r="B2244" s="2" t="n"/>
      <c r="C2244" s="40" t="n"/>
      <c r="D2244" s="52">
        <f t="array" ref="D2244:W2244">IF(All_Students_Scores!C2242:V2242="","",All_Students_Scores!C2242:V2242)</f>
        <v/>
      </c>
      <c r="E2244" s="57" t="str"/>
      <c r="F2244" s="49" t="str"/>
      <c r="G2244" s="59" t="str"/>
      <c r="H2244" s="64" t="str"/>
      <c r="I2244" s="65" t="str"/>
      <c r="J2244" s="49" t="str"/>
      <c r="K2244" s="41" t="str"/>
      <c r="L2244" s="41" t="str"/>
      <c r="M2244" s="41" t="str"/>
      <c r="N2244" s="41" t="str"/>
      <c r="O2244" s="41" t="str"/>
      <c r="P2244" s="41" t="str"/>
      <c r="Q2244" s="41" t="str"/>
      <c r="R2244" s="41" t="str"/>
      <c r="S2244" s="41" t="str"/>
      <c r="T2244" s="41" t="str"/>
      <c r="U2244" s="41" t="str"/>
      <c r="V2244" s="41" t="str"/>
      <c r="W2244" s="41" t="str"/>
    </row>
    <row r="2245">
      <c r="B2245" s="2" t="n"/>
      <c r="C2245" s="40" t="n"/>
      <c r="D2245" s="52">
        <f t="array" ref="D2245:W2245">IF(All_Students_Scores!C2243:V2243="","",All_Students_Scores!C2243:V2243)</f>
        <v/>
      </c>
      <c r="E2245" s="57" t="str"/>
      <c r="F2245" s="49" t="str"/>
      <c r="G2245" s="59" t="str"/>
      <c r="H2245" s="64" t="str"/>
      <c r="I2245" s="65" t="str"/>
      <c r="J2245" s="49" t="str"/>
      <c r="K2245" s="41" t="str"/>
      <c r="L2245" s="41" t="str"/>
      <c r="M2245" s="41" t="str"/>
      <c r="N2245" s="41" t="str"/>
      <c r="O2245" s="41" t="str"/>
      <c r="P2245" s="41" t="str"/>
      <c r="Q2245" s="41" t="str"/>
      <c r="R2245" s="41" t="str"/>
      <c r="S2245" s="41" t="str"/>
      <c r="T2245" s="41" t="str"/>
      <c r="U2245" s="41" t="str"/>
      <c r="V2245" s="41" t="str"/>
      <c r="W2245" s="41" t="str"/>
    </row>
    <row r="2246">
      <c r="B2246" s="2" t="n"/>
      <c r="C2246" s="40" t="n"/>
      <c r="D2246" s="52">
        <f t="array" ref="D2246:W2246">IF(All_Students_Scores!C2244:V2244="","",All_Students_Scores!C2244:V2244)</f>
        <v/>
      </c>
      <c r="E2246" s="57" t="str"/>
      <c r="F2246" s="49" t="str"/>
      <c r="G2246" s="59" t="str"/>
      <c r="H2246" s="64" t="str"/>
      <c r="I2246" s="65" t="str"/>
      <c r="J2246" s="49" t="str"/>
      <c r="K2246" s="41" t="str"/>
      <c r="L2246" s="41" t="str"/>
      <c r="M2246" s="41" t="str"/>
      <c r="N2246" s="41" t="str"/>
      <c r="O2246" s="41" t="str"/>
      <c r="P2246" s="41" t="str"/>
      <c r="Q2246" s="41" t="str"/>
      <c r="R2246" s="41" t="str"/>
      <c r="S2246" s="41" t="str"/>
      <c r="T2246" s="41" t="str"/>
      <c r="U2246" s="41" t="str"/>
      <c r="V2246" s="41" t="str"/>
      <c r="W2246" s="41" t="str"/>
    </row>
    <row r="2247">
      <c r="B2247" s="2" t="n"/>
      <c r="C2247" s="40" t="n"/>
      <c r="D2247" s="52">
        <f t="array" ref="D2247:W2247">IF(All_Students_Scores!C2245:V2245="","",All_Students_Scores!C2245:V2245)</f>
        <v/>
      </c>
      <c r="E2247" s="57" t="str"/>
      <c r="F2247" s="49" t="str"/>
      <c r="G2247" s="59" t="str"/>
      <c r="H2247" s="64" t="str"/>
      <c r="I2247" s="65" t="str"/>
      <c r="J2247" s="49" t="str"/>
      <c r="K2247" s="41" t="str"/>
      <c r="L2247" s="41" t="str"/>
      <c r="M2247" s="41" t="str"/>
      <c r="N2247" s="41" t="str"/>
      <c r="O2247" s="41" t="str"/>
      <c r="P2247" s="41" t="str"/>
      <c r="Q2247" s="41" t="str"/>
      <c r="R2247" s="41" t="str"/>
      <c r="S2247" s="41" t="str"/>
      <c r="T2247" s="41" t="str"/>
      <c r="U2247" s="41" t="str"/>
      <c r="V2247" s="41" t="str"/>
      <c r="W2247" s="41" t="str"/>
    </row>
    <row r="2248">
      <c r="B2248" s="2" t="n"/>
      <c r="C2248" s="40" t="n"/>
      <c r="D2248" s="52">
        <f t="array" ref="D2248:W2248">IF(All_Students_Scores!C2246:V2246="","",All_Students_Scores!C2246:V2246)</f>
        <v/>
      </c>
      <c r="E2248" s="57" t="str"/>
      <c r="F2248" s="49" t="str"/>
      <c r="G2248" s="59" t="str"/>
      <c r="H2248" s="64" t="str"/>
      <c r="I2248" s="65" t="str"/>
      <c r="J2248" s="49" t="str"/>
      <c r="K2248" s="41" t="str"/>
      <c r="L2248" s="41" t="str"/>
      <c r="M2248" s="41" t="str"/>
      <c r="N2248" s="41" t="str"/>
      <c r="O2248" s="41" t="str"/>
      <c r="P2248" s="41" t="str"/>
      <c r="Q2248" s="41" t="str"/>
      <c r="R2248" s="41" t="str"/>
      <c r="S2248" s="41" t="str"/>
      <c r="T2248" s="41" t="str"/>
      <c r="U2248" s="41" t="str"/>
      <c r="V2248" s="41" t="str"/>
      <c r="W2248" s="41" t="str"/>
    </row>
    <row r="2249">
      <c r="B2249" s="2" t="n"/>
      <c r="C2249" s="40" t="n"/>
      <c r="D2249" s="52">
        <f t="array" ref="D2249:W2249">IF(All_Students_Scores!C2247:V2247="","",All_Students_Scores!C2247:V2247)</f>
        <v/>
      </c>
      <c r="E2249" s="57" t="str"/>
      <c r="F2249" s="49" t="str"/>
      <c r="G2249" s="59" t="str"/>
      <c r="H2249" s="64" t="str"/>
      <c r="I2249" s="65" t="str"/>
      <c r="J2249" s="49" t="str"/>
      <c r="K2249" s="41" t="str"/>
      <c r="L2249" s="41" t="str"/>
      <c r="M2249" s="41" t="str"/>
      <c r="N2249" s="41" t="str"/>
      <c r="O2249" s="41" t="str"/>
      <c r="P2249" s="41" t="str"/>
      <c r="Q2249" s="41" t="str"/>
      <c r="R2249" s="41" t="str"/>
      <c r="S2249" s="41" t="str"/>
      <c r="T2249" s="41" t="str"/>
      <c r="U2249" s="41" t="str"/>
      <c r="V2249" s="41" t="str"/>
      <c r="W2249" s="41" t="str"/>
    </row>
    <row r="2250">
      <c r="B2250" s="2" t="n"/>
      <c r="C2250" s="40" t="n"/>
      <c r="D2250" s="52">
        <f t="array" ref="D2250:W2250">IF(All_Students_Scores!C2248:V2248="","",All_Students_Scores!C2248:V2248)</f>
        <v/>
      </c>
      <c r="E2250" s="57" t="str"/>
      <c r="F2250" s="49" t="str"/>
      <c r="G2250" s="59" t="str"/>
      <c r="H2250" s="64" t="str"/>
      <c r="I2250" s="65" t="str"/>
      <c r="J2250" s="49" t="str"/>
      <c r="K2250" s="41" t="str"/>
      <c r="L2250" s="41" t="str"/>
      <c r="M2250" s="41" t="str"/>
      <c r="N2250" s="41" t="str"/>
      <c r="O2250" s="41" t="str"/>
      <c r="P2250" s="41" t="str"/>
      <c r="Q2250" s="41" t="str"/>
      <c r="R2250" s="41" t="str"/>
      <c r="S2250" s="41" t="str"/>
      <c r="T2250" s="41" t="str"/>
      <c r="U2250" s="41" t="str"/>
      <c r="V2250" s="41" t="str"/>
      <c r="W2250" s="41" t="str"/>
    </row>
    <row r="2251">
      <c r="B2251" s="2" t="n"/>
      <c r="C2251" s="40" t="n"/>
      <c r="D2251" s="52">
        <f t="array" ref="D2251:W2251">IF(All_Students_Scores!C2249:V2249="","",All_Students_Scores!C2249:V2249)</f>
        <v/>
      </c>
      <c r="E2251" s="57" t="str"/>
      <c r="F2251" s="49" t="str"/>
      <c r="G2251" s="59" t="str"/>
      <c r="H2251" s="64" t="str"/>
      <c r="I2251" s="65" t="str"/>
      <c r="J2251" s="49" t="str"/>
      <c r="K2251" s="41" t="str"/>
      <c r="L2251" s="41" t="str"/>
      <c r="M2251" s="41" t="str"/>
      <c r="N2251" s="41" t="str"/>
      <c r="O2251" s="41" t="str"/>
      <c r="P2251" s="41" t="str"/>
      <c r="Q2251" s="41" t="str"/>
      <c r="R2251" s="41" t="str"/>
      <c r="S2251" s="41" t="str"/>
      <c r="T2251" s="41" t="str"/>
      <c r="U2251" s="41" t="str"/>
      <c r="V2251" s="41" t="str"/>
      <c r="W2251" s="41" t="str"/>
    </row>
    <row r="2252">
      <c r="B2252" s="2" t="n"/>
      <c r="C2252" s="40" t="n"/>
      <c r="D2252" s="52">
        <f t="array" ref="D2252:W2252">IF(All_Students_Scores!C2250:V2250="","",All_Students_Scores!C2250:V2250)</f>
        <v/>
      </c>
      <c r="E2252" s="57" t="str"/>
      <c r="F2252" s="49" t="str"/>
      <c r="G2252" s="59" t="str"/>
      <c r="H2252" s="64" t="str"/>
      <c r="I2252" s="65" t="str"/>
      <c r="J2252" s="49" t="str"/>
      <c r="K2252" s="41" t="str"/>
      <c r="L2252" s="41" t="str"/>
      <c r="M2252" s="41" t="str"/>
      <c r="N2252" s="41" t="str"/>
      <c r="O2252" s="41" t="str"/>
      <c r="P2252" s="41" t="str"/>
      <c r="Q2252" s="41" t="str"/>
      <c r="R2252" s="41" t="str"/>
      <c r="S2252" s="41" t="str"/>
      <c r="T2252" s="41" t="str"/>
      <c r="U2252" s="41" t="str"/>
      <c r="V2252" s="41" t="str"/>
      <c r="W2252" s="41" t="str"/>
    </row>
    <row r="2253">
      <c r="B2253" s="2" t="n"/>
      <c r="C2253" s="40" t="n"/>
      <c r="D2253" s="52">
        <f t="array" ref="D2253:W2253">IF(All_Students_Scores!C2251:V2251="","",All_Students_Scores!C2251:V2251)</f>
        <v/>
      </c>
      <c r="E2253" s="57" t="str"/>
      <c r="F2253" s="49" t="str"/>
      <c r="G2253" s="59" t="str"/>
      <c r="H2253" s="64" t="str"/>
      <c r="I2253" s="65" t="str"/>
      <c r="J2253" s="49" t="str"/>
      <c r="K2253" s="41" t="str"/>
      <c r="L2253" s="41" t="str"/>
      <c r="M2253" s="41" t="str"/>
      <c r="N2253" s="41" t="str"/>
      <c r="O2253" s="41" t="str"/>
      <c r="P2253" s="41" t="str"/>
      <c r="Q2253" s="41" t="str"/>
      <c r="R2253" s="41" t="str"/>
      <c r="S2253" s="41" t="str"/>
      <c r="T2253" s="41" t="str"/>
      <c r="U2253" s="41" t="str"/>
      <c r="V2253" s="41" t="str"/>
      <c r="W2253" s="41" t="str"/>
    </row>
    <row r="2254">
      <c r="B2254" s="2" t="n"/>
      <c r="C2254" s="40" t="n"/>
      <c r="D2254" s="52">
        <f t="array" ref="D2254:W2254">IF(All_Students_Scores!C2252:V2252="","",All_Students_Scores!C2252:V2252)</f>
        <v/>
      </c>
      <c r="E2254" s="57" t="str"/>
      <c r="F2254" s="49" t="str"/>
      <c r="G2254" s="59" t="str"/>
      <c r="H2254" s="64" t="str"/>
      <c r="I2254" s="65" t="str"/>
      <c r="J2254" s="49" t="str"/>
      <c r="K2254" s="41" t="str"/>
      <c r="L2254" s="41" t="str"/>
      <c r="M2254" s="41" t="str"/>
      <c r="N2254" s="41" t="str"/>
      <c r="O2254" s="41" t="str"/>
      <c r="P2254" s="41" t="str"/>
      <c r="Q2254" s="41" t="str"/>
      <c r="R2254" s="41" t="str"/>
      <c r="S2254" s="41" t="str"/>
      <c r="T2254" s="41" t="str"/>
      <c r="U2254" s="41" t="str"/>
      <c r="V2254" s="41" t="str"/>
      <c r="W2254" s="41" t="str"/>
    </row>
    <row r="2255">
      <c r="B2255" s="2" t="n"/>
      <c r="C2255" s="40" t="n"/>
      <c r="D2255" s="52">
        <f t="array" ref="D2255:W2255">IF(All_Students_Scores!C2253:V2253="","",All_Students_Scores!C2253:V2253)</f>
        <v/>
      </c>
      <c r="E2255" s="57" t="str"/>
      <c r="F2255" s="49" t="str"/>
      <c r="G2255" s="59" t="str"/>
      <c r="H2255" s="64" t="str"/>
      <c r="I2255" s="65" t="str"/>
      <c r="J2255" s="49" t="str"/>
      <c r="K2255" s="41" t="str"/>
      <c r="L2255" s="41" t="str"/>
      <c r="M2255" s="41" t="str"/>
      <c r="N2255" s="41" t="str"/>
      <c r="O2255" s="41" t="str"/>
      <c r="P2255" s="41" t="str"/>
      <c r="Q2255" s="41" t="str"/>
      <c r="R2255" s="41" t="str"/>
      <c r="S2255" s="41" t="str"/>
      <c r="T2255" s="41" t="str"/>
      <c r="U2255" s="41" t="str"/>
      <c r="V2255" s="41" t="str"/>
      <c r="W2255" s="41" t="str"/>
    </row>
    <row r="2256">
      <c r="B2256" s="2" t="n"/>
      <c r="C2256" s="40" t="n"/>
      <c r="D2256" s="52">
        <f t="array" ref="D2256:W2256">IF(All_Students_Scores!C2254:V2254="","",All_Students_Scores!C2254:V2254)</f>
        <v/>
      </c>
      <c r="E2256" s="57" t="str"/>
      <c r="F2256" s="49" t="str"/>
      <c r="G2256" s="59" t="str"/>
      <c r="H2256" s="64" t="str"/>
      <c r="I2256" s="65" t="str"/>
      <c r="J2256" s="49" t="str"/>
      <c r="K2256" s="41" t="str"/>
      <c r="L2256" s="41" t="str"/>
      <c r="M2256" s="41" t="str"/>
      <c r="N2256" s="41" t="str"/>
      <c r="O2256" s="41" t="str"/>
      <c r="P2256" s="41" t="str"/>
      <c r="Q2256" s="41" t="str"/>
      <c r="R2256" s="41" t="str"/>
      <c r="S2256" s="41" t="str"/>
      <c r="T2256" s="41" t="str"/>
      <c r="U2256" s="41" t="str"/>
      <c r="V2256" s="41" t="str"/>
      <c r="W2256" s="41" t="str"/>
    </row>
    <row r="2257">
      <c r="B2257" s="2" t="n"/>
      <c r="C2257" s="40" t="n"/>
      <c r="D2257" s="52">
        <f t="array" ref="D2257:W2257">IF(All_Students_Scores!C2255:V2255="","",All_Students_Scores!C2255:V2255)</f>
        <v/>
      </c>
      <c r="E2257" s="57" t="str"/>
      <c r="F2257" s="49" t="str"/>
      <c r="G2257" s="59" t="str"/>
      <c r="H2257" s="64" t="str"/>
      <c r="I2257" s="65" t="str"/>
      <c r="J2257" s="49" t="str"/>
      <c r="K2257" s="41" t="str"/>
      <c r="L2257" s="41" t="str"/>
      <c r="M2257" s="41" t="str"/>
      <c r="N2257" s="41" t="str"/>
      <c r="O2257" s="41" t="str"/>
      <c r="P2257" s="41" t="str"/>
      <c r="Q2257" s="41" t="str"/>
      <c r="R2257" s="41" t="str"/>
      <c r="S2257" s="41" t="str"/>
      <c r="T2257" s="41" t="str"/>
      <c r="U2257" s="41" t="str"/>
      <c r="V2257" s="41" t="str"/>
      <c r="W2257" s="41" t="str"/>
    </row>
    <row r="2258">
      <c r="B2258" s="2" t="n"/>
      <c r="C2258" s="40" t="n"/>
      <c r="D2258" s="52">
        <f t="array" ref="D2258:W2258">IF(All_Students_Scores!C2256:V2256="","",All_Students_Scores!C2256:V2256)</f>
        <v/>
      </c>
      <c r="E2258" s="57" t="str"/>
      <c r="F2258" s="49" t="str"/>
      <c r="G2258" s="59" t="str"/>
      <c r="H2258" s="64" t="str"/>
      <c r="I2258" s="65" t="str"/>
      <c r="J2258" s="49" t="str"/>
      <c r="K2258" s="41" t="str"/>
      <c r="L2258" s="41" t="str"/>
      <c r="M2258" s="41" t="str"/>
      <c r="N2258" s="41" t="str"/>
      <c r="O2258" s="41" t="str"/>
      <c r="P2258" s="41" t="str"/>
      <c r="Q2258" s="41" t="str"/>
      <c r="R2258" s="41" t="str"/>
      <c r="S2258" s="41" t="str"/>
      <c r="T2258" s="41" t="str"/>
      <c r="U2258" s="41" t="str"/>
      <c r="V2258" s="41" t="str"/>
      <c r="W2258" s="41" t="str"/>
    </row>
    <row r="2259">
      <c r="B2259" s="2" t="n"/>
      <c r="C2259" s="40" t="n"/>
      <c r="D2259" s="52">
        <f t="array" ref="D2259:W2259">IF(All_Students_Scores!C2257:V2257="","",All_Students_Scores!C2257:V2257)</f>
        <v/>
      </c>
      <c r="E2259" s="57" t="str"/>
      <c r="F2259" s="49" t="str"/>
      <c r="G2259" s="59" t="str"/>
      <c r="H2259" s="64" t="str"/>
      <c r="I2259" s="65" t="str"/>
      <c r="J2259" s="49" t="str"/>
      <c r="K2259" s="41" t="str"/>
      <c r="L2259" s="41" t="str"/>
      <c r="M2259" s="41" t="str"/>
      <c r="N2259" s="41" t="str"/>
      <c r="O2259" s="41" t="str"/>
      <c r="P2259" s="41" t="str"/>
      <c r="Q2259" s="41" t="str"/>
      <c r="R2259" s="41" t="str"/>
      <c r="S2259" s="41" t="str"/>
      <c r="T2259" s="41" t="str"/>
      <c r="U2259" s="41" t="str"/>
      <c r="V2259" s="41" t="str"/>
      <c r="W2259" s="41" t="str"/>
    </row>
    <row r="2260">
      <c r="B2260" s="2" t="n"/>
      <c r="C2260" s="40" t="n"/>
      <c r="D2260" s="52">
        <f t="array" ref="D2260:W2260">IF(All_Students_Scores!C2258:V2258="","",All_Students_Scores!C2258:V2258)</f>
        <v/>
      </c>
      <c r="E2260" s="57" t="str"/>
      <c r="F2260" s="49" t="str"/>
      <c r="G2260" s="59" t="str"/>
      <c r="H2260" s="64" t="str"/>
      <c r="I2260" s="65" t="str"/>
      <c r="J2260" s="49" t="str"/>
      <c r="K2260" s="41" t="str"/>
      <c r="L2260" s="41" t="str"/>
      <c r="M2260" s="41" t="str"/>
      <c r="N2260" s="41" t="str"/>
      <c r="O2260" s="41" t="str"/>
      <c r="P2260" s="41" t="str"/>
      <c r="Q2260" s="41" t="str"/>
      <c r="R2260" s="41" t="str"/>
      <c r="S2260" s="41" t="str"/>
      <c r="T2260" s="41" t="str"/>
      <c r="U2260" s="41" t="str"/>
      <c r="V2260" s="41" t="str"/>
      <c r="W2260" s="41" t="str"/>
    </row>
    <row r="2261">
      <c r="B2261" s="2" t="n"/>
      <c r="C2261" s="40" t="n"/>
      <c r="D2261" s="52">
        <f t="array" ref="D2261:W2261">IF(All_Students_Scores!C2259:V2259="","",All_Students_Scores!C2259:V2259)</f>
        <v/>
      </c>
      <c r="E2261" s="57" t="str"/>
      <c r="F2261" s="49" t="str"/>
      <c r="G2261" s="59" t="str"/>
      <c r="H2261" s="64" t="str"/>
      <c r="I2261" s="65" t="str"/>
      <c r="J2261" s="49" t="str"/>
      <c r="K2261" s="41" t="str"/>
      <c r="L2261" s="41" t="str"/>
      <c r="M2261" s="41" t="str"/>
      <c r="N2261" s="41" t="str"/>
      <c r="O2261" s="41" t="str"/>
      <c r="P2261" s="41" t="str"/>
      <c r="Q2261" s="41" t="str"/>
      <c r="R2261" s="41" t="str"/>
      <c r="S2261" s="41" t="str"/>
      <c r="T2261" s="41" t="str"/>
      <c r="U2261" s="41" t="str"/>
      <c r="V2261" s="41" t="str"/>
      <c r="W2261" s="41" t="str"/>
    </row>
    <row r="2262">
      <c r="B2262" s="2" t="n"/>
      <c r="C2262" s="40" t="n"/>
      <c r="D2262" s="52">
        <f t="array" ref="D2262:W2262">IF(All_Students_Scores!C2260:V2260="","",All_Students_Scores!C2260:V2260)</f>
        <v/>
      </c>
      <c r="E2262" s="57" t="str"/>
      <c r="F2262" s="49" t="str"/>
      <c r="G2262" s="59" t="str"/>
      <c r="H2262" s="64" t="str"/>
      <c r="I2262" s="65" t="str"/>
      <c r="J2262" s="49" t="str"/>
      <c r="K2262" s="41" t="str"/>
      <c r="L2262" s="41" t="str"/>
      <c r="M2262" s="41" t="str"/>
      <c r="N2262" s="41" t="str"/>
      <c r="O2262" s="41" t="str"/>
      <c r="P2262" s="41" t="str"/>
      <c r="Q2262" s="41" t="str"/>
      <c r="R2262" s="41" t="str"/>
      <c r="S2262" s="41" t="str"/>
      <c r="T2262" s="41" t="str"/>
      <c r="U2262" s="41" t="str"/>
      <c r="V2262" s="41" t="str"/>
      <c r="W2262" s="41" t="str"/>
    </row>
    <row r="2263">
      <c r="B2263" s="2" t="n"/>
      <c r="C2263" s="40" t="n"/>
      <c r="D2263" s="52">
        <f t="array" ref="D2263:W2263">IF(All_Students_Scores!C2261:V2261="","",All_Students_Scores!C2261:V2261)</f>
        <v/>
      </c>
      <c r="E2263" s="57" t="str"/>
      <c r="F2263" s="49" t="str"/>
      <c r="G2263" s="59" t="str"/>
      <c r="H2263" s="64" t="str"/>
      <c r="I2263" s="65" t="str"/>
      <c r="J2263" s="49" t="str"/>
      <c r="K2263" s="41" t="str"/>
      <c r="L2263" s="41" t="str"/>
      <c r="M2263" s="41" t="str"/>
      <c r="N2263" s="41" t="str"/>
      <c r="O2263" s="41" t="str"/>
      <c r="P2263" s="41" t="str"/>
      <c r="Q2263" s="41" t="str"/>
      <c r="R2263" s="41" t="str"/>
      <c r="S2263" s="41" t="str"/>
      <c r="T2263" s="41" t="str"/>
      <c r="U2263" s="41" t="str"/>
      <c r="V2263" s="41" t="str"/>
      <c r="W2263" s="41" t="str"/>
    </row>
    <row r="2264">
      <c r="B2264" s="2" t="n"/>
      <c r="C2264" s="40" t="n"/>
      <c r="D2264" s="52">
        <f t="array" ref="D2264:W2264">IF(All_Students_Scores!C2262:V2262="","",All_Students_Scores!C2262:V2262)</f>
        <v/>
      </c>
      <c r="E2264" s="57" t="str"/>
      <c r="F2264" s="49" t="str"/>
      <c r="G2264" s="59" t="str"/>
      <c r="H2264" s="64" t="str"/>
      <c r="I2264" s="65" t="str"/>
      <c r="J2264" s="49" t="str"/>
      <c r="K2264" s="41" t="str"/>
      <c r="L2264" s="41" t="str"/>
      <c r="M2264" s="41" t="str"/>
      <c r="N2264" s="41" t="str"/>
      <c r="O2264" s="41" t="str"/>
      <c r="P2264" s="41" t="str"/>
      <c r="Q2264" s="41" t="str"/>
      <c r="R2264" s="41" t="str"/>
      <c r="S2264" s="41" t="str"/>
      <c r="T2264" s="41" t="str"/>
      <c r="U2264" s="41" t="str"/>
      <c r="V2264" s="41" t="str"/>
      <c r="W2264" s="41" t="str"/>
    </row>
    <row r="2265">
      <c r="B2265" s="2" t="n"/>
      <c r="C2265" s="40" t="n"/>
      <c r="D2265" s="52">
        <f t="array" ref="D2265:W2265">IF(All_Students_Scores!C2263:V2263="","",All_Students_Scores!C2263:V2263)</f>
        <v/>
      </c>
      <c r="E2265" s="57" t="str"/>
      <c r="F2265" s="49" t="str"/>
      <c r="G2265" s="59" t="str"/>
      <c r="H2265" s="64" t="str"/>
      <c r="I2265" s="65" t="str"/>
      <c r="J2265" s="49" t="str"/>
      <c r="K2265" s="41" t="str"/>
      <c r="L2265" s="41" t="str"/>
      <c r="M2265" s="41" t="str"/>
      <c r="N2265" s="41" t="str"/>
      <c r="O2265" s="41" t="str"/>
      <c r="P2265" s="41" t="str"/>
      <c r="Q2265" s="41" t="str"/>
      <c r="R2265" s="41" t="str"/>
      <c r="S2265" s="41" t="str"/>
      <c r="T2265" s="41" t="str"/>
      <c r="U2265" s="41" t="str"/>
      <c r="V2265" s="41" t="str"/>
      <c r="W2265" s="41" t="str"/>
    </row>
    <row r="2266">
      <c r="B2266" s="2" t="n"/>
      <c r="C2266" s="40" t="n"/>
      <c r="D2266" s="52">
        <f t="array" ref="D2266:W2266">IF(All_Students_Scores!C2264:V2264="","",All_Students_Scores!C2264:V2264)</f>
        <v/>
      </c>
      <c r="E2266" s="57" t="str"/>
      <c r="F2266" s="49" t="str"/>
      <c r="G2266" s="59" t="str"/>
      <c r="H2266" s="64" t="str"/>
      <c r="I2266" s="65" t="str"/>
      <c r="J2266" s="49" t="str"/>
      <c r="K2266" s="41" t="str"/>
      <c r="L2266" s="41" t="str"/>
      <c r="M2266" s="41" t="str"/>
      <c r="N2266" s="41" t="str"/>
      <c r="O2266" s="41" t="str"/>
      <c r="P2266" s="41" t="str"/>
      <c r="Q2266" s="41" t="str"/>
      <c r="R2266" s="41" t="str"/>
      <c r="S2266" s="41" t="str"/>
      <c r="T2266" s="41" t="str"/>
      <c r="U2266" s="41" t="str"/>
      <c r="V2266" s="41" t="str"/>
      <c r="W2266" s="41" t="str"/>
    </row>
    <row r="2267">
      <c r="B2267" s="2" t="n"/>
      <c r="C2267" s="40" t="n"/>
      <c r="D2267" s="52">
        <f t="array" ref="D2267:W2267">IF(All_Students_Scores!C2265:V2265="","",All_Students_Scores!C2265:V2265)</f>
        <v/>
      </c>
      <c r="E2267" s="57" t="str"/>
      <c r="F2267" s="49" t="str"/>
      <c r="G2267" s="59" t="str"/>
      <c r="H2267" s="64" t="str"/>
      <c r="I2267" s="65" t="str"/>
      <c r="J2267" s="49" t="str"/>
      <c r="K2267" s="41" t="str"/>
      <c r="L2267" s="41" t="str"/>
      <c r="M2267" s="41" t="str"/>
      <c r="N2267" s="41" t="str"/>
      <c r="O2267" s="41" t="str"/>
      <c r="P2267" s="41" t="str"/>
      <c r="Q2267" s="41" t="str"/>
      <c r="R2267" s="41" t="str"/>
      <c r="S2267" s="41" t="str"/>
      <c r="T2267" s="41" t="str"/>
      <c r="U2267" s="41" t="str"/>
      <c r="V2267" s="41" t="str"/>
      <c r="W2267" s="41" t="str"/>
    </row>
    <row r="2268">
      <c r="B2268" s="2" t="n"/>
      <c r="C2268" s="40" t="n"/>
      <c r="D2268" s="52">
        <f t="array" ref="D2268:W2268">IF(All_Students_Scores!C2266:V2266="","",All_Students_Scores!C2266:V2266)</f>
        <v/>
      </c>
      <c r="E2268" s="57" t="str"/>
      <c r="F2268" s="49" t="str"/>
      <c r="G2268" s="59" t="str"/>
      <c r="H2268" s="64" t="str"/>
      <c r="I2268" s="65" t="str"/>
      <c r="J2268" s="49" t="str"/>
      <c r="K2268" s="41" t="str"/>
      <c r="L2268" s="41" t="str"/>
      <c r="M2268" s="41" t="str"/>
      <c r="N2268" s="41" t="str"/>
      <c r="O2268" s="41" t="str"/>
      <c r="P2268" s="41" t="str"/>
      <c r="Q2268" s="41" t="str"/>
      <c r="R2268" s="41" t="str"/>
      <c r="S2268" s="41" t="str"/>
      <c r="T2268" s="41" t="str"/>
      <c r="U2268" s="41" t="str"/>
      <c r="V2268" s="41" t="str"/>
      <c r="W2268" s="41" t="str"/>
    </row>
    <row r="2269">
      <c r="B2269" s="2" t="n"/>
      <c r="C2269" s="40" t="n"/>
      <c r="D2269" s="52">
        <f t="array" ref="D2269:W2269">IF(All_Students_Scores!C2267:V2267="","",All_Students_Scores!C2267:V2267)</f>
        <v/>
      </c>
      <c r="E2269" s="57" t="str"/>
      <c r="F2269" s="49" t="str"/>
      <c r="G2269" s="59" t="str"/>
      <c r="H2269" s="64" t="str"/>
      <c r="I2269" s="65" t="str"/>
      <c r="J2269" s="49" t="str"/>
      <c r="K2269" s="41" t="str"/>
      <c r="L2269" s="41" t="str"/>
      <c r="M2269" s="41" t="str"/>
      <c r="N2269" s="41" t="str"/>
      <c r="O2269" s="41" t="str"/>
      <c r="P2269" s="41" t="str"/>
      <c r="Q2269" s="41" t="str"/>
      <c r="R2269" s="41" t="str"/>
      <c r="S2269" s="41" t="str"/>
      <c r="T2269" s="41" t="str"/>
      <c r="U2269" s="41" t="str"/>
      <c r="V2269" s="41" t="str"/>
      <c r="W2269" s="41" t="str"/>
    </row>
    <row r="2270">
      <c r="B2270" s="2" t="n"/>
      <c r="C2270" s="40" t="n"/>
      <c r="D2270" s="52">
        <f t="array" ref="D2270:W2270">IF(All_Students_Scores!C2268:V2268="","",All_Students_Scores!C2268:V2268)</f>
        <v/>
      </c>
      <c r="E2270" s="57" t="str"/>
      <c r="F2270" s="49" t="str"/>
      <c r="G2270" s="59" t="str"/>
      <c r="H2270" s="64" t="str"/>
      <c r="I2270" s="65" t="str"/>
      <c r="J2270" s="49" t="str"/>
      <c r="K2270" s="41" t="str"/>
      <c r="L2270" s="41" t="str"/>
      <c r="M2270" s="41" t="str"/>
      <c r="N2270" s="41" t="str"/>
      <c r="O2270" s="41" t="str"/>
      <c r="P2270" s="41" t="str"/>
      <c r="Q2270" s="41" t="str"/>
      <c r="R2270" s="41" t="str"/>
      <c r="S2270" s="41" t="str"/>
      <c r="T2270" s="41" t="str"/>
      <c r="U2270" s="41" t="str"/>
      <c r="V2270" s="41" t="str"/>
      <c r="W2270" s="41" t="str"/>
    </row>
    <row r="2271">
      <c r="B2271" s="2" t="n"/>
      <c r="C2271" s="40" t="n"/>
      <c r="D2271" s="52">
        <f t="array" ref="D2271:W2271">IF(All_Students_Scores!C2269:V2269="","",All_Students_Scores!C2269:V2269)</f>
        <v/>
      </c>
      <c r="E2271" s="57" t="str"/>
      <c r="F2271" s="49" t="str"/>
      <c r="G2271" s="59" t="str"/>
      <c r="H2271" s="64" t="str"/>
      <c r="I2271" s="65" t="str"/>
      <c r="J2271" s="49" t="str"/>
      <c r="K2271" s="41" t="str"/>
      <c r="L2271" s="41" t="str"/>
      <c r="M2271" s="41" t="str"/>
      <c r="N2271" s="41" t="str"/>
      <c r="O2271" s="41" t="str"/>
      <c r="P2271" s="41" t="str"/>
      <c r="Q2271" s="41" t="str"/>
      <c r="R2271" s="41" t="str"/>
      <c r="S2271" s="41" t="str"/>
      <c r="T2271" s="41" t="str"/>
      <c r="U2271" s="41" t="str"/>
      <c r="V2271" s="41" t="str"/>
      <c r="W2271" s="41" t="str"/>
    </row>
    <row r="2272">
      <c r="B2272" s="2" t="n"/>
      <c r="C2272" s="40" t="n"/>
      <c r="D2272" s="52">
        <f t="array" ref="D2272:W2272">IF(All_Students_Scores!C2270:V2270="","",All_Students_Scores!C2270:V2270)</f>
        <v/>
      </c>
      <c r="E2272" s="57" t="str"/>
      <c r="F2272" s="49" t="str"/>
      <c r="G2272" s="59" t="str"/>
      <c r="H2272" s="64" t="str"/>
      <c r="I2272" s="65" t="str"/>
      <c r="J2272" s="49" t="str"/>
      <c r="K2272" s="41" t="str"/>
      <c r="L2272" s="41" t="str"/>
      <c r="M2272" s="41" t="str"/>
      <c r="N2272" s="41" t="str"/>
      <c r="O2272" s="41" t="str"/>
      <c r="P2272" s="41" t="str"/>
      <c r="Q2272" s="41" t="str"/>
      <c r="R2272" s="41" t="str"/>
      <c r="S2272" s="41" t="str"/>
      <c r="T2272" s="41" t="str"/>
      <c r="U2272" s="41" t="str"/>
      <c r="V2272" s="41" t="str"/>
      <c r="W2272" s="41" t="str"/>
    </row>
    <row r="2273">
      <c r="B2273" s="2" t="n"/>
      <c r="C2273" s="40" t="n"/>
      <c r="D2273" s="52">
        <f t="array" ref="D2273:W2273">IF(All_Students_Scores!C2271:V2271="","",All_Students_Scores!C2271:V2271)</f>
        <v/>
      </c>
      <c r="E2273" s="57" t="str"/>
      <c r="F2273" s="49" t="str"/>
      <c r="G2273" s="59" t="str"/>
      <c r="H2273" s="64" t="str"/>
      <c r="I2273" s="65" t="str"/>
      <c r="J2273" s="49" t="str"/>
      <c r="K2273" s="41" t="str"/>
      <c r="L2273" s="41" t="str"/>
      <c r="M2273" s="41" t="str"/>
      <c r="N2273" s="41" t="str"/>
      <c r="O2273" s="41" t="str"/>
      <c r="P2273" s="41" t="str"/>
      <c r="Q2273" s="41" t="str"/>
      <c r="R2273" s="41" t="str"/>
      <c r="S2273" s="41" t="str"/>
      <c r="T2273" s="41" t="str"/>
      <c r="U2273" s="41" t="str"/>
      <c r="V2273" s="41" t="str"/>
      <c r="W2273" s="41" t="str"/>
    </row>
    <row r="2274">
      <c r="B2274" s="2" t="n"/>
      <c r="C2274" s="40" t="n"/>
      <c r="D2274" s="52">
        <f t="array" ref="D2274:W2274">IF(All_Students_Scores!C2272:V2272="","",All_Students_Scores!C2272:V2272)</f>
        <v/>
      </c>
      <c r="E2274" s="57" t="str"/>
      <c r="F2274" s="49" t="str"/>
      <c r="G2274" s="59" t="str"/>
      <c r="H2274" s="64" t="str"/>
      <c r="I2274" s="65" t="str"/>
      <c r="J2274" s="49" t="str"/>
      <c r="K2274" s="41" t="str"/>
      <c r="L2274" s="41" t="str"/>
      <c r="M2274" s="41" t="str"/>
      <c r="N2274" s="41" t="str"/>
      <c r="O2274" s="41" t="str"/>
      <c r="P2274" s="41" t="str"/>
      <c r="Q2274" s="41" t="str"/>
      <c r="R2274" s="41" t="str"/>
      <c r="S2274" s="41" t="str"/>
      <c r="T2274" s="41" t="str"/>
      <c r="U2274" s="41" t="str"/>
      <c r="V2274" s="41" t="str"/>
      <c r="W2274" s="41" t="str"/>
    </row>
    <row r="2275">
      <c r="B2275" s="2" t="n"/>
      <c r="C2275" s="40" t="n"/>
      <c r="D2275" s="52">
        <f t="array" ref="D2275:W2275">IF(All_Students_Scores!C2273:V2273="","",All_Students_Scores!C2273:V2273)</f>
        <v/>
      </c>
      <c r="E2275" s="57" t="str"/>
      <c r="F2275" s="49" t="str"/>
      <c r="G2275" s="59" t="str"/>
      <c r="H2275" s="64" t="str"/>
      <c r="I2275" s="65" t="str"/>
      <c r="J2275" s="49" t="str"/>
      <c r="K2275" s="41" t="str"/>
      <c r="L2275" s="41" t="str"/>
      <c r="M2275" s="41" t="str"/>
      <c r="N2275" s="41" t="str"/>
      <c r="O2275" s="41" t="str"/>
      <c r="P2275" s="41" t="str"/>
      <c r="Q2275" s="41" t="str"/>
      <c r="R2275" s="41" t="str"/>
      <c r="S2275" s="41" t="str"/>
      <c r="T2275" s="41" t="str"/>
      <c r="U2275" s="41" t="str"/>
      <c r="V2275" s="41" t="str"/>
      <c r="W2275" s="41" t="str"/>
    </row>
    <row r="2276">
      <c r="B2276" s="2" t="n"/>
      <c r="C2276" s="40" t="n"/>
      <c r="D2276" s="52">
        <f t="array" ref="D2276:W2276">IF(All_Students_Scores!C2274:V2274="","",All_Students_Scores!C2274:V2274)</f>
        <v/>
      </c>
      <c r="E2276" s="57" t="str"/>
      <c r="F2276" s="49" t="str"/>
      <c r="G2276" s="59" t="str"/>
      <c r="H2276" s="64" t="str"/>
      <c r="I2276" s="65" t="str"/>
      <c r="J2276" s="49" t="str"/>
      <c r="K2276" s="41" t="str"/>
      <c r="L2276" s="41" t="str"/>
      <c r="M2276" s="41" t="str"/>
      <c r="N2276" s="41" t="str"/>
      <c r="O2276" s="41" t="str"/>
      <c r="P2276" s="41" t="str"/>
      <c r="Q2276" s="41" t="str"/>
      <c r="R2276" s="41" t="str"/>
      <c r="S2276" s="41" t="str"/>
      <c r="T2276" s="41" t="str"/>
      <c r="U2276" s="41" t="str"/>
      <c r="V2276" s="41" t="str"/>
      <c r="W2276" s="41" t="str"/>
    </row>
    <row r="2277">
      <c r="B2277" s="2" t="n"/>
      <c r="C2277" s="40" t="n"/>
      <c r="D2277" s="52">
        <f t="array" ref="D2277:W2277">IF(All_Students_Scores!C2275:V2275="","",All_Students_Scores!C2275:V2275)</f>
        <v/>
      </c>
      <c r="E2277" s="57" t="str"/>
      <c r="F2277" s="49" t="str"/>
      <c r="G2277" s="59" t="str"/>
      <c r="H2277" s="64" t="str"/>
      <c r="I2277" s="65" t="str"/>
      <c r="J2277" s="49" t="str"/>
      <c r="K2277" s="41" t="str"/>
      <c r="L2277" s="41" t="str"/>
      <c r="M2277" s="41" t="str"/>
      <c r="N2277" s="41" t="str"/>
      <c r="O2277" s="41" t="str"/>
      <c r="P2277" s="41" t="str"/>
      <c r="Q2277" s="41" t="str"/>
      <c r="R2277" s="41" t="str"/>
      <c r="S2277" s="41" t="str"/>
      <c r="T2277" s="41" t="str"/>
      <c r="U2277" s="41" t="str"/>
      <c r="V2277" s="41" t="str"/>
      <c r="W2277" s="41" t="str"/>
    </row>
    <row r="2278">
      <c r="B2278" s="2" t="n"/>
      <c r="C2278" s="40" t="n"/>
      <c r="D2278" s="52">
        <f t="array" ref="D2278:W2278">IF(All_Students_Scores!C2276:V2276="","",All_Students_Scores!C2276:V2276)</f>
        <v/>
      </c>
      <c r="E2278" s="57" t="str"/>
      <c r="F2278" s="49" t="str"/>
      <c r="G2278" s="59" t="str"/>
      <c r="H2278" s="64" t="str"/>
      <c r="I2278" s="65" t="str"/>
      <c r="J2278" s="49" t="str"/>
      <c r="K2278" s="41" t="str"/>
      <c r="L2278" s="41" t="str"/>
      <c r="M2278" s="41" t="str"/>
      <c r="N2278" s="41" t="str"/>
      <c r="O2278" s="41" t="str"/>
      <c r="P2278" s="41" t="str"/>
      <c r="Q2278" s="41" t="str"/>
      <c r="R2278" s="41" t="str"/>
      <c r="S2278" s="41" t="str"/>
      <c r="T2278" s="41" t="str"/>
      <c r="U2278" s="41" t="str"/>
      <c r="V2278" s="41" t="str"/>
      <c r="W2278" s="41" t="str"/>
    </row>
    <row r="2279">
      <c r="B2279" s="2" t="n"/>
      <c r="C2279" s="40" t="n"/>
      <c r="D2279" s="52">
        <f t="array" ref="D2279:W2279">IF(All_Students_Scores!C2277:V2277="","",All_Students_Scores!C2277:V2277)</f>
        <v/>
      </c>
      <c r="E2279" s="57" t="str"/>
      <c r="F2279" s="49" t="str"/>
      <c r="G2279" s="59" t="str"/>
      <c r="H2279" s="64" t="str"/>
      <c r="I2279" s="65" t="str"/>
      <c r="J2279" s="49" t="str"/>
      <c r="K2279" s="41" t="str"/>
      <c r="L2279" s="41" t="str"/>
      <c r="M2279" s="41" t="str"/>
      <c r="N2279" s="41" t="str"/>
      <c r="O2279" s="41" t="str"/>
      <c r="P2279" s="41" t="str"/>
      <c r="Q2279" s="41" t="str"/>
      <c r="R2279" s="41" t="str"/>
      <c r="S2279" s="41" t="str"/>
      <c r="T2279" s="41" t="str"/>
      <c r="U2279" s="41" t="str"/>
      <c r="V2279" s="41" t="str"/>
      <c r="W2279" s="41" t="str"/>
    </row>
    <row r="2280">
      <c r="B2280" s="2" t="n"/>
      <c r="C2280" s="40" t="n"/>
      <c r="D2280" s="52">
        <f t="array" ref="D2280:W2280">IF(All_Students_Scores!C2278:V2278="","",All_Students_Scores!C2278:V2278)</f>
        <v/>
      </c>
      <c r="E2280" s="57" t="str"/>
      <c r="F2280" s="49" t="str"/>
      <c r="G2280" s="59" t="str"/>
      <c r="H2280" s="64" t="str"/>
      <c r="I2280" s="65" t="str"/>
      <c r="J2280" s="49" t="str"/>
      <c r="K2280" s="41" t="str"/>
      <c r="L2280" s="41" t="str"/>
      <c r="M2280" s="41" t="str"/>
      <c r="N2280" s="41" t="str"/>
      <c r="O2280" s="41" t="str"/>
      <c r="P2280" s="41" t="str"/>
      <c r="Q2280" s="41" t="str"/>
      <c r="R2280" s="41" t="str"/>
      <c r="S2280" s="41" t="str"/>
      <c r="T2280" s="41" t="str"/>
      <c r="U2280" s="41" t="str"/>
      <c r="V2280" s="41" t="str"/>
      <c r="W2280" s="41" t="str"/>
    </row>
    <row r="2281">
      <c r="B2281" s="2" t="n"/>
      <c r="C2281" s="40" t="n"/>
      <c r="D2281" s="52">
        <f t="array" ref="D2281:W2281">IF(All_Students_Scores!C2279:V2279="","",All_Students_Scores!C2279:V2279)</f>
        <v/>
      </c>
      <c r="E2281" s="57" t="str"/>
      <c r="F2281" s="49" t="str"/>
      <c r="G2281" s="59" t="str"/>
      <c r="H2281" s="64" t="str"/>
      <c r="I2281" s="65" t="str"/>
      <c r="J2281" s="49" t="str"/>
      <c r="K2281" s="41" t="str"/>
      <c r="L2281" s="41" t="str"/>
      <c r="M2281" s="41" t="str"/>
      <c r="N2281" s="41" t="str"/>
      <c r="O2281" s="41" t="str"/>
      <c r="P2281" s="41" t="str"/>
      <c r="Q2281" s="41" t="str"/>
      <c r="R2281" s="41" t="str"/>
      <c r="S2281" s="41" t="str"/>
      <c r="T2281" s="41" t="str"/>
      <c r="U2281" s="41" t="str"/>
      <c r="V2281" s="41" t="str"/>
      <c r="W2281" s="41" t="str"/>
    </row>
    <row r="2282">
      <c r="B2282" s="2" t="n"/>
      <c r="C2282" s="40" t="n"/>
      <c r="D2282" s="52">
        <f t="array" ref="D2282:W2282">IF(All_Students_Scores!C2280:V2280="","",All_Students_Scores!C2280:V2280)</f>
        <v/>
      </c>
      <c r="E2282" s="57" t="str"/>
      <c r="F2282" s="49" t="str"/>
      <c r="G2282" s="59" t="str"/>
      <c r="H2282" s="64" t="str"/>
      <c r="I2282" s="65" t="str"/>
      <c r="J2282" s="49" t="str"/>
      <c r="K2282" s="41" t="str"/>
      <c r="L2282" s="41" t="str"/>
      <c r="M2282" s="41" t="str"/>
      <c r="N2282" s="41" t="str"/>
      <c r="O2282" s="41" t="str"/>
      <c r="P2282" s="41" t="str"/>
      <c r="Q2282" s="41" t="str"/>
      <c r="R2282" s="41" t="str"/>
      <c r="S2282" s="41" t="str"/>
      <c r="T2282" s="41" t="str"/>
      <c r="U2282" s="41" t="str"/>
      <c r="V2282" s="41" t="str"/>
      <c r="W2282" s="41" t="str"/>
    </row>
    <row r="2283">
      <c r="B2283" s="2" t="n"/>
      <c r="C2283" s="40" t="n"/>
      <c r="D2283" s="52">
        <f t="array" ref="D2283:W2283">IF(All_Students_Scores!C2281:V2281="","",All_Students_Scores!C2281:V2281)</f>
        <v/>
      </c>
      <c r="E2283" s="57" t="str"/>
      <c r="F2283" s="49" t="str"/>
      <c r="G2283" s="59" t="str"/>
      <c r="H2283" s="64" t="str"/>
      <c r="I2283" s="65" t="str"/>
      <c r="J2283" s="49" t="str"/>
      <c r="K2283" s="41" t="str"/>
      <c r="L2283" s="41" t="str"/>
      <c r="M2283" s="41" t="str"/>
      <c r="N2283" s="41" t="str"/>
      <c r="O2283" s="41" t="str"/>
      <c r="P2283" s="41" t="str"/>
      <c r="Q2283" s="41" t="str"/>
      <c r="R2283" s="41" t="str"/>
      <c r="S2283" s="41" t="str"/>
      <c r="T2283" s="41" t="str"/>
      <c r="U2283" s="41" t="str"/>
      <c r="V2283" s="41" t="str"/>
      <c r="W2283" s="41" t="str"/>
    </row>
    <row r="2284">
      <c r="B2284" s="2" t="n"/>
      <c r="C2284" s="40" t="n"/>
      <c r="D2284" s="52">
        <f t="array" ref="D2284:W2284">IF(All_Students_Scores!C2282:V2282="","",All_Students_Scores!C2282:V2282)</f>
        <v/>
      </c>
      <c r="E2284" s="57" t="str"/>
      <c r="F2284" s="49" t="str"/>
      <c r="G2284" s="59" t="str"/>
      <c r="H2284" s="64" t="str"/>
      <c r="I2284" s="65" t="str"/>
      <c r="J2284" s="49" t="str"/>
      <c r="K2284" s="41" t="str"/>
      <c r="L2284" s="41" t="str"/>
      <c r="M2284" s="41" t="str"/>
      <c r="N2284" s="41" t="str"/>
      <c r="O2284" s="41" t="str"/>
      <c r="P2284" s="41" t="str"/>
      <c r="Q2284" s="41" t="str"/>
      <c r="R2284" s="41" t="str"/>
      <c r="S2284" s="41" t="str"/>
      <c r="T2284" s="41" t="str"/>
      <c r="U2284" s="41" t="str"/>
      <c r="V2284" s="41" t="str"/>
      <c r="W2284" s="41" t="str"/>
    </row>
    <row r="2285">
      <c r="B2285" s="2" t="n"/>
      <c r="C2285" s="40" t="n"/>
      <c r="D2285" s="52">
        <f t="array" ref="D2285:W2285">IF(All_Students_Scores!C2283:V2283="","",All_Students_Scores!C2283:V2283)</f>
        <v/>
      </c>
      <c r="E2285" s="57" t="str"/>
      <c r="F2285" s="49" t="str"/>
      <c r="G2285" s="59" t="str"/>
      <c r="H2285" s="64" t="str"/>
      <c r="I2285" s="65" t="str"/>
      <c r="J2285" s="49" t="str"/>
      <c r="K2285" s="41" t="str"/>
      <c r="L2285" s="41" t="str"/>
      <c r="M2285" s="41" t="str"/>
      <c r="N2285" s="41" t="str"/>
      <c r="O2285" s="41" t="str"/>
      <c r="P2285" s="41" t="str"/>
      <c r="Q2285" s="41" t="str"/>
      <c r="R2285" s="41" t="str"/>
      <c r="S2285" s="41" t="str"/>
      <c r="T2285" s="41" t="str"/>
      <c r="U2285" s="41" t="str"/>
      <c r="V2285" s="41" t="str"/>
      <c r="W2285" s="41" t="str"/>
    </row>
    <row r="2286">
      <c r="B2286" s="2" t="n"/>
      <c r="C2286" s="40" t="n"/>
      <c r="D2286" s="52">
        <f t="array" ref="D2286:W2286">IF(All_Students_Scores!C2284:V2284="","",All_Students_Scores!C2284:V2284)</f>
        <v/>
      </c>
      <c r="E2286" s="57" t="str"/>
      <c r="F2286" s="49" t="str"/>
      <c r="G2286" s="59" t="str"/>
      <c r="H2286" s="64" t="str"/>
      <c r="I2286" s="65" t="str"/>
      <c r="J2286" s="49" t="str"/>
      <c r="K2286" s="41" t="str"/>
      <c r="L2286" s="41" t="str"/>
      <c r="M2286" s="41" t="str"/>
      <c r="N2286" s="41" t="str"/>
      <c r="O2286" s="41" t="str"/>
      <c r="P2286" s="41" t="str"/>
      <c r="Q2286" s="41" t="str"/>
      <c r="R2286" s="41" t="str"/>
      <c r="S2286" s="41" t="str"/>
      <c r="T2286" s="41" t="str"/>
      <c r="U2286" s="41" t="str"/>
      <c r="V2286" s="41" t="str"/>
      <c r="W2286" s="41" t="str"/>
    </row>
    <row r="2287">
      <c r="B2287" s="2" t="n"/>
      <c r="C2287" s="40" t="n"/>
      <c r="D2287" s="52">
        <f t="array" ref="D2287:W2287">IF(All_Students_Scores!C2285:V2285="","",All_Students_Scores!C2285:V2285)</f>
        <v/>
      </c>
      <c r="E2287" s="57" t="str"/>
      <c r="F2287" s="49" t="str"/>
      <c r="G2287" s="59" t="str"/>
      <c r="H2287" s="64" t="str"/>
      <c r="I2287" s="65" t="str"/>
      <c r="J2287" s="49" t="str"/>
      <c r="K2287" s="41" t="str"/>
      <c r="L2287" s="41" t="str"/>
      <c r="M2287" s="41" t="str"/>
      <c r="N2287" s="41" t="str"/>
      <c r="O2287" s="41" t="str"/>
      <c r="P2287" s="41" t="str"/>
      <c r="Q2287" s="41" t="str"/>
      <c r="R2287" s="41" t="str"/>
      <c r="S2287" s="41" t="str"/>
      <c r="T2287" s="41" t="str"/>
      <c r="U2287" s="41" t="str"/>
      <c r="V2287" s="41" t="str"/>
      <c r="W2287" s="41" t="str"/>
    </row>
    <row r="2288">
      <c r="B2288" s="2" t="n"/>
      <c r="C2288" s="40" t="n"/>
      <c r="D2288" s="52">
        <f t="array" ref="D2288:W2288">IF(All_Students_Scores!C2286:V2286="","",All_Students_Scores!C2286:V2286)</f>
        <v/>
      </c>
      <c r="E2288" s="57" t="str"/>
      <c r="F2288" s="49" t="str"/>
      <c r="G2288" s="59" t="str"/>
      <c r="H2288" s="64" t="str"/>
      <c r="I2288" s="65" t="str"/>
      <c r="J2288" s="49" t="str"/>
      <c r="K2288" s="41" t="str"/>
      <c r="L2288" s="41" t="str"/>
      <c r="M2288" s="41" t="str"/>
      <c r="N2288" s="41" t="str"/>
      <c r="O2288" s="41" t="str"/>
      <c r="P2288" s="41" t="str"/>
      <c r="Q2288" s="41" t="str"/>
      <c r="R2288" s="41" t="str"/>
      <c r="S2288" s="41" t="str"/>
      <c r="T2288" s="41" t="str"/>
      <c r="U2288" s="41" t="str"/>
      <c r="V2288" s="41" t="str"/>
      <c r="W2288" s="41" t="str"/>
    </row>
    <row r="2289">
      <c r="B2289" s="2" t="n"/>
      <c r="C2289" s="40" t="n"/>
      <c r="D2289" s="52">
        <f t="array" ref="D2289:W2289">IF(All_Students_Scores!C2287:V2287="","",All_Students_Scores!C2287:V2287)</f>
        <v/>
      </c>
      <c r="E2289" s="57" t="str"/>
      <c r="F2289" s="49" t="str"/>
      <c r="G2289" s="59" t="str"/>
      <c r="H2289" s="64" t="str"/>
      <c r="I2289" s="65" t="str"/>
      <c r="J2289" s="49" t="str"/>
      <c r="K2289" s="41" t="str"/>
      <c r="L2289" s="41" t="str"/>
      <c r="M2289" s="41" t="str"/>
      <c r="N2289" s="41" t="str"/>
      <c r="O2289" s="41" t="str"/>
      <c r="P2289" s="41" t="str"/>
      <c r="Q2289" s="41" t="str"/>
      <c r="R2289" s="41" t="str"/>
      <c r="S2289" s="41" t="str"/>
      <c r="T2289" s="41" t="str"/>
      <c r="U2289" s="41" t="str"/>
      <c r="V2289" s="41" t="str"/>
      <c r="W2289" s="41" t="str"/>
    </row>
    <row r="2290">
      <c r="B2290" s="2" t="n"/>
      <c r="C2290" s="40" t="n"/>
      <c r="D2290" s="52">
        <f t="array" ref="D2290:W2290">IF(All_Students_Scores!C2288:V2288="","",All_Students_Scores!C2288:V2288)</f>
        <v/>
      </c>
      <c r="E2290" s="57" t="str"/>
      <c r="F2290" s="49" t="str"/>
      <c r="G2290" s="59" t="str"/>
      <c r="H2290" s="64" t="str"/>
      <c r="I2290" s="65" t="str"/>
      <c r="J2290" s="49" t="str"/>
      <c r="K2290" s="41" t="str"/>
      <c r="L2290" s="41" t="str"/>
      <c r="M2290" s="41" t="str"/>
      <c r="N2290" s="41" t="str"/>
      <c r="O2290" s="41" t="str"/>
      <c r="P2290" s="41" t="str"/>
      <c r="Q2290" s="41" t="str"/>
      <c r="R2290" s="41" t="str"/>
      <c r="S2290" s="41" t="str"/>
      <c r="T2290" s="41" t="str"/>
      <c r="U2290" s="41" t="str"/>
      <c r="V2290" s="41" t="str"/>
      <c r="W2290" s="41" t="str"/>
    </row>
    <row r="2291">
      <c r="B2291" s="2" t="n"/>
      <c r="C2291" s="40" t="n"/>
      <c r="D2291" s="52">
        <f t="array" ref="D2291:W2291">IF(All_Students_Scores!C2289:V2289="","",All_Students_Scores!C2289:V2289)</f>
        <v/>
      </c>
      <c r="E2291" s="57" t="str"/>
      <c r="F2291" s="49" t="str"/>
      <c r="G2291" s="59" t="str"/>
      <c r="H2291" s="64" t="str"/>
      <c r="I2291" s="65" t="str"/>
      <c r="J2291" s="49" t="str"/>
      <c r="K2291" s="41" t="str"/>
      <c r="L2291" s="41" t="str"/>
      <c r="M2291" s="41" t="str"/>
      <c r="N2291" s="41" t="str"/>
      <c r="O2291" s="41" t="str"/>
      <c r="P2291" s="41" t="str"/>
      <c r="Q2291" s="41" t="str"/>
      <c r="R2291" s="41" t="str"/>
      <c r="S2291" s="41" t="str"/>
      <c r="T2291" s="41" t="str"/>
      <c r="U2291" s="41" t="str"/>
      <c r="V2291" s="41" t="str"/>
      <c r="W2291" s="41" t="str"/>
    </row>
    <row r="2292">
      <c r="B2292" s="2" t="n"/>
      <c r="C2292" s="40" t="n"/>
      <c r="D2292" s="52">
        <f t="array" ref="D2292:W2292">IF(All_Students_Scores!C2290:V2290="","",All_Students_Scores!C2290:V2290)</f>
        <v/>
      </c>
      <c r="E2292" s="57" t="str"/>
      <c r="F2292" s="49" t="str"/>
      <c r="G2292" s="59" t="str"/>
      <c r="H2292" s="64" t="str"/>
      <c r="I2292" s="65" t="str"/>
      <c r="J2292" s="49" t="str"/>
      <c r="K2292" s="41" t="str"/>
      <c r="L2292" s="41" t="str"/>
      <c r="M2292" s="41" t="str"/>
      <c r="N2292" s="41" t="str"/>
      <c r="O2292" s="41" t="str"/>
      <c r="P2292" s="41" t="str"/>
      <c r="Q2292" s="41" t="str"/>
      <c r="R2292" s="41" t="str"/>
      <c r="S2292" s="41" t="str"/>
      <c r="T2292" s="41" t="str"/>
      <c r="U2292" s="41" t="str"/>
      <c r="V2292" s="41" t="str"/>
      <c r="W2292" s="41" t="str"/>
    </row>
    <row r="2293">
      <c r="B2293" s="2" t="n"/>
      <c r="C2293" s="40" t="n"/>
      <c r="D2293" s="52">
        <f t="array" ref="D2293:W2293">IF(All_Students_Scores!C2291:V2291="","",All_Students_Scores!C2291:V2291)</f>
        <v/>
      </c>
      <c r="E2293" s="57" t="str"/>
      <c r="F2293" s="49" t="str"/>
      <c r="G2293" s="59" t="str"/>
      <c r="H2293" s="64" t="str"/>
      <c r="I2293" s="65" t="str"/>
      <c r="J2293" s="49" t="str"/>
      <c r="K2293" s="41" t="str"/>
      <c r="L2293" s="41" t="str"/>
      <c r="M2293" s="41" t="str"/>
      <c r="N2293" s="41" t="str"/>
      <c r="O2293" s="41" t="str"/>
      <c r="P2293" s="41" t="str"/>
      <c r="Q2293" s="41" t="str"/>
      <c r="R2293" s="41" t="str"/>
      <c r="S2293" s="41" t="str"/>
      <c r="T2293" s="41" t="str"/>
      <c r="U2293" s="41" t="str"/>
      <c r="V2293" s="41" t="str"/>
      <c r="W2293" s="41" t="str"/>
    </row>
    <row r="2294">
      <c r="B2294" s="2" t="n"/>
      <c r="C2294" s="40" t="n"/>
      <c r="D2294" s="52">
        <f t="array" ref="D2294:W2294">IF(All_Students_Scores!C2292:V2292="","",All_Students_Scores!C2292:V2292)</f>
        <v/>
      </c>
      <c r="E2294" s="57" t="str"/>
      <c r="F2294" s="49" t="str"/>
      <c r="G2294" s="59" t="str"/>
      <c r="H2294" s="64" t="str"/>
      <c r="I2294" s="65" t="str"/>
      <c r="J2294" s="49" t="str"/>
      <c r="K2294" s="41" t="str"/>
      <c r="L2294" s="41" t="str"/>
      <c r="M2294" s="41" t="str"/>
      <c r="N2294" s="41" t="str"/>
      <c r="O2294" s="41" t="str"/>
      <c r="P2294" s="41" t="str"/>
      <c r="Q2294" s="41" t="str"/>
      <c r="R2294" s="41" t="str"/>
      <c r="S2294" s="41" t="str"/>
      <c r="T2294" s="41" t="str"/>
      <c r="U2294" s="41" t="str"/>
      <c r="V2294" s="41" t="str"/>
      <c r="W2294" s="41" t="str"/>
    </row>
    <row r="2295">
      <c r="B2295" s="2" t="n"/>
      <c r="C2295" s="40" t="n"/>
      <c r="D2295" s="52">
        <f t="array" ref="D2295:W2295">IF(All_Students_Scores!C2293:V2293="","",All_Students_Scores!C2293:V2293)</f>
        <v/>
      </c>
      <c r="E2295" s="57" t="str"/>
      <c r="F2295" s="49" t="str"/>
      <c r="G2295" s="59" t="str"/>
      <c r="H2295" s="64" t="str"/>
      <c r="I2295" s="65" t="str"/>
      <c r="J2295" s="49" t="str"/>
      <c r="K2295" s="41" t="str"/>
      <c r="L2295" s="41" t="str"/>
      <c r="M2295" s="41" t="str"/>
      <c r="N2295" s="41" t="str"/>
      <c r="O2295" s="41" t="str"/>
      <c r="P2295" s="41" t="str"/>
      <c r="Q2295" s="41" t="str"/>
      <c r="R2295" s="41" t="str"/>
      <c r="S2295" s="41" t="str"/>
      <c r="T2295" s="41" t="str"/>
      <c r="U2295" s="41" t="str"/>
      <c r="V2295" s="41" t="str"/>
      <c r="W2295" s="41" t="str"/>
    </row>
    <row r="2296">
      <c r="B2296" s="2" t="n"/>
      <c r="C2296" s="40" t="n"/>
      <c r="D2296" s="52">
        <f t="array" ref="D2296:W2296">IF(All_Students_Scores!C2294:V2294="","",All_Students_Scores!C2294:V2294)</f>
        <v/>
      </c>
      <c r="E2296" s="57" t="str"/>
      <c r="F2296" s="49" t="str"/>
      <c r="G2296" s="59" t="str"/>
      <c r="H2296" s="64" t="str"/>
      <c r="I2296" s="65" t="str"/>
      <c r="J2296" s="49" t="str"/>
      <c r="K2296" s="41" t="str"/>
      <c r="L2296" s="41" t="str"/>
      <c r="M2296" s="41" t="str"/>
      <c r="N2296" s="41" t="str"/>
      <c r="O2296" s="41" t="str"/>
      <c r="P2296" s="41" t="str"/>
      <c r="Q2296" s="41" t="str"/>
      <c r="R2296" s="41" t="str"/>
      <c r="S2296" s="41" t="str"/>
      <c r="T2296" s="41" t="str"/>
      <c r="U2296" s="41" t="str"/>
      <c r="V2296" s="41" t="str"/>
      <c r="W2296" s="41" t="str"/>
    </row>
    <row r="2297">
      <c r="B2297" s="2" t="n"/>
      <c r="C2297" s="40" t="n"/>
      <c r="D2297" s="52">
        <f t="array" ref="D2297:W2297">IF(All_Students_Scores!C2295:V2295="","",All_Students_Scores!C2295:V2295)</f>
        <v/>
      </c>
      <c r="E2297" s="57" t="str"/>
      <c r="F2297" s="49" t="str"/>
      <c r="G2297" s="59" t="str"/>
      <c r="H2297" s="64" t="str"/>
      <c r="I2297" s="65" t="str"/>
      <c r="J2297" s="49" t="str"/>
      <c r="K2297" s="41" t="str"/>
      <c r="L2297" s="41" t="str"/>
      <c r="M2297" s="41" t="str"/>
      <c r="N2297" s="41" t="str"/>
      <c r="O2297" s="41" t="str"/>
      <c r="P2297" s="41" t="str"/>
      <c r="Q2297" s="41" t="str"/>
      <c r="R2297" s="41" t="str"/>
      <c r="S2297" s="41" t="str"/>
      <c r="T2297" s="41" t="str"/>
      <c r="U2297" s="41" t="str"/>
      <c r="V2297" s="41" t="str"/>
      <c r="W2297" s="41" t="str"/>
    </row>
    <row r="2298">
      <c r="B2298" s="2" t="n"/>
      <c r="C2298" s="40" t="n"/>
      <c r="D2298" s="52">
        <f t="array" ref="D2298:W2298">IF(All_Students_Scores!C2296:V2296="","",All_Students_Scores!C2296:V2296)</f>
        <v/>
      </c>
      <c r="E2298" s="57" t="str"/>
      <c r="F2298" s="49" t="str"/>
      <c r="G2298" s="59" t="str"/>
      <c r="H2298" s="64" t="str"/>
      <c r="I2298" s="65" t="str"/>
      <c r="J2298" s="49" t="str"/>
      <c r="K2298" s="41" t="str"/>
      <c r="L2298" s="41" t="str"/>
      <c r="M2298" s="41" t="str"/>
      <c r="N2298" s="41" t="str"/>
      <c r="O2298" s="41" t="str"/>
      <c r="P2298" s="41" t="str"/>
      <c r="Q2298" s="41" t="str"/>
      <c r="R2298" s="41" t="str"/>
      <c r="S2298" s="41" t="str"/>
      <c r="T2298" s="41" t="str"/>
      <c r="U2298" s="41" t="str"/>
      <c r="V2298" s="41" t="str"/>
      <c r="W2298" s="41" t="str"/>
    </row>
    <row r="2299">
      <c r="B2299" s="2" t="n"/>
      <c r="C2299" s="40" t="n"/>
      <c r="D2299" s="52">
        <f t="array" ref="D2299:W2299">IF(All_Students_Scores!C2297:V2297="","",All_Students_Scores!C2297:V2297)</f>
        <v/>
      </c>
      <c r="E2299" s="57" t="str"/>
      <c r="F2299" s="49" t="str"/>
      <c r="G2299" s="59" t="str"/>
      <c r="H2299" s="64" t="str"/>
      <c r="I2299" s="65" t="str"/>
      <c r="J2299" s="49" t="str"/>
      <c r="K2299" s="41" t="str"/>
      <c r="L2299" s="41" t="str"/>
      <c r="M2299" s="41" t="str"/>
      <c r="N2299" s="41" t="str"/>
      <c r="O2299" s="41" t="str"/>
      <c r="P2299" s="41" t="str"/>
      <c r="Q2299" s="41" t="str"/>
      <c r="R2299" s="41" t="str"/>
      <c r="S2299" s="41" t="str"/>
      <c r="T2299" s="41" t="str"/>
      <c r="U2299" s="41" t="str"/>
      <c r="V2299" s="41" t="str"/>
      <c r="W2299" s="41" t="str"/>
    </row>
    <row r="2300">
      <c r="B2300" s="2" t="n"/>
      <c r="C2300" s="40" t="n"/>
      <c r="D2300" s="52">
        <f t="array" ref="D2300:W2300">IF(All_Students_Scores!C2298:V2298="","",All_Students_Scores!C2298:V2298)</f>
        <v/>
      </c>
      <c r="E2300" s="57" t="str"/>
      <c r="F2300" s="49" t="str"/>
      <c r="G2300" s="59" t="str"/>
      <c r="H2300" s="64" t="str"/>
      <c r="I2300" s="65" t="str"/>
      <c r="J2300" s="49" t="str"/>
      <c r="K2300" s="41" t="str"/>
      <c r="L2300" s="41" t="str"/>
      <c r="M2300" s="41" t="str"/>
      <c r="N2300" s="41" t="str"/>
      <c r="O2300" s="41" t="str"/>
      <c r="P2300" s="41" t="str"/>
      <c r="Q2300" s="41" t="str"/>
      <c r="R2300" s="41" t="str"/>
      <c r="S2300" s="41" t="str"/>
      <c r="T2300" s="41" t="str"/>
      <c r="U2300" s="41" t="str"/>
      <c r="V2300" s="41" t="str"/>
      <c r="W2300" s="41" t="str"/>
    </row>
    <row r="2301">
      <c r="B2301" s="2" t="n"/>
      <c r="C2301" s="40" t="n"/>
      <c r="D2301" s="52">
        <f t="array" ref="D2301:W2301">IF(All_Students_Scores!C2299:V2299="","",All_Students_Scores!C2299:V2299)</f>
        <v/>
      </c>
      <c r="E2301" s="57" t="str"/>
      <c r="F2301" s="49" t="str"/>
      <c r="G2301" s="59" t="str"/>
      <c r="H2301" s="64" t="str"/>
      <c r="I2301" s="65" t="str"/>
      <c r="J2301" s="49" t="str"/>
      <c r="K2301" s="41" t="str"/>
      <c r="L2301" s="41" t="str"/>
      <c r="M2301" s="41" t="str"/>
      <c r="N2301" s="41" t="str"/>
      <c r="O2301" s="41" t="str"/>
      <c r="P2301" s="41" t="str"/>
      <c r="Q2301" s="41" t="str"/>
      <c r="R2301" s="41" t="str"/>
      <c r="S2301" s="41" t="str"/>
      <c r="T2301" s="41" t="str"/>
      <c r="U2301" s="41" t="str"/>
      <c r="V2301" s="41" t="str"/>
      <c r="W2301" s="41" t="str"/>
    </row>
    <row r="2302">
      <c r="B2302" s="2" t="n"/>
      <c r="C2302" s="40" t="n"/>
      <c r="D2302" s="52">
        <f t="array" ref="D2302:W2302">IF(All_Students_Scores!C2300:V2300="","",All_Students_Scores!C2300:V2300)</f>
        <v/>
      </c>
      <c r="E2302" s="57" t="str"/>
      <c r="F2302" s="49" t="str"/>
      <c r="G2302" s="59" t="str"/>
      <c r="H2302" s="64" t="str"/>
      <c r="I2302" s="65" t="str"/>
      <c r="J2302" s="49" t="str"/>
      <c r="K2302" s="41" t="str"/>
      <c r="L2302" s="41" t="str"/>
      <c r="M2302" s="41" t="str"/>
      <c r="N2302" s="41" t="str"/>
      <c r="O2302" s="41" t="str"/>
      <c r="P2302" s="41" t="str"/>
      <c r="Q2302" s="41" t="str"/>
      <c r="R2302" s="41" t="str"/>
      <c r="S2302" s="41" t="str"/>
      <c r="T2302" s="41" t="str"/>
      <c r="U2302" s="41" t="str"/>
      <c r="V2302" s="41" t="str"/>
      <c r="W2302" s="41" t="str"/>
    </row>
    <row r="2303">
      <c r="B2303" s="2" t="n"/>
      <c r="C2303" s="40" t="n"/>
      <c r="D2303" s="52">
        <f t="array" ref="D2303:W2303">IF(All_Students_Scores!C2301:V2301="","",All_Students_Scores!C2301:V2301)</f>
        <v/>
      </c>
      <c r="E2303" s="57" t="str"/>
      <c r="F2303" s="49" t="str"/>
      <c r="G2303" s="59" t="str"/>
      <c r="H2303" s="64" t="str"/>
      <c r="I2303" s="65" t="str"/>
      <c r="J2303" s="49" t="str"/>
      <c r="K2303" s="41" t="str"/>
      <c r="L2303" s="41" t="str"/>
      <c r="M2303" s="41" t="str"/>
      <c r="N2303" s="41" t="str"/>
      <c r="O2303" s="41" t="str"/>
      <c r="P2303" s="41" t="str"/>
      <c r="Q2303" s="41" t="str"/>
      <c r="R2303" s="41" t="str"/>
      <c r="S2303" s="41" t="str"/>
      <c r="T2303" s="41" t="str"/>
      <c r="U2303" s="41" t="str"/>
      <c r="V2303" s="41" t="str"/>
      <c r="W2303" s="41" t="str"/>
    </row>
    <row r="2304">
      <c r="B2304" s="2" t="n"/>
      <c r="C2304" s="40" t="n"/>
      <c r="D2304" s="52">
        <f t="array" ref="D2304:W2304">IF(All_Students_Scores!C2302:V2302="","",All_Students_Scores!C2302:V2302)</f>
        <v/>
      </c>
      <c r="E2304" s="57" t="str"/>
      <c r="F2304" s="49" t="str"/>
      <c r="G2304" s="59" t="str"/>
      <c r="H2304" s="64" t="str"/>
      <c r="I2304" s="65" t="str"/>
      <c r="J2304" s="49" t="str"/>
      <c r="K2304" s="41" t="str"/>
      <c r="L2304" s="41" t="str"/>
      <c r="M2304" s="41" t="str"/>
      <c r="N2304" s="41" t="str"/>
      <c r="O2304" s="41" t="str"/>
      <c r="P2304" s="41" t="str"/>
      <c r="Q2304" s="41" t="str"/>
      <c r="R2304" s="41" t="str"/>
      <c r="S2304" s="41" t="str"/>
      <c r="T2304" s="41" t="str"/>
      <c r="U2304" s="41" t="str"/>
      <c r="V2304" s="41" t="str"/>
      <c r="W2304" s="41" t="str"/>
    </row>
    <row r="2305">
      <c r="B2305" s="2" t="n"/>
      <c r="C2305" s="40" t="n"/>
      <c r="D2305" s="52">
        <f t="array" ref="D2305:W2305">IF(All_Students_Scores!C2303:V2303="","",All_Students_Scores!C2303:V2303)</f>
        <v/>
      </c>
      <c r="E2305" s="57" t="str"/>
      <c r="F2305" s="49" t="str"/>
      <c r="G2305" s="59" t="str"/>
      <c r="H2305" s="64" t="str"/>
      <c r="I2305" s="65" t="str"/>
      <c r="J2305" s="49" t="str"/>
      <c r="K2305" s="41" t="str"/>
      <c r="L2305" s="41" t="str"/>
      <c r="M2305" s="41" t="str"/>
      <c r="N2305" s="41" t="str"/>
      <c r="O2305" s="41" t="str"/>
      <c r="P2305" s="41" t="str"/>
      <c r="Q2305" s="41" t="str"/>
      <c r="R2305" s="41" t="str"/>
      <c r="S2305" s="41" t="str"/>
      <c r="T2305" s="41" t="str"/>
      <c r="U2305" s="41" t="str"/>
      <c r="V2305" s="41" t="str"/>
      <c r="W2305" s="41" t="str"/>
    </row>
    <row r="2306">
      <c r="B2306" s="2" t="n"/>
      <c r="C2306" s="40" t="n"/>
      <c r="D2306" s="52">
        <f t="array" ref="D2306:W2306">IF(All_Students_Scores!C2304:V2304="","",All_Students_Scores!C2304:V2304)</f>
        <v/>
      </c>
      <c r="E2306" s="57" t="str"/>
      <c r="F2306" s="49" t="str"/>
      <c r="G2306" s="59" t="str"/>
      <c r="H2306" s="64" t="str"/>
      <c r="I2306" s="65" t="str"/>
      <c r="J2306" s="49" t="str"/>
      <c r="K2306" s="41" t="str"/>
      <c r="L2306" s="41" t="str"/>
      <c r="M2306" s="41" t="str"/>
      <c r="N2306" s="41" t="str"/>
      <c r="O2306" s="41" t="str"/>
      <c r="P2306" s="41" t="str"/>
      <c r="Q2306" s="41" t="str"/>
      <c r="R2306" s="41" t="str"/>
      <c r="S2306" s="41" t="str"/>
      <c r="T2306" s="41" t="str"/>
      <c r="U2306" s="41" t="str"/>
      <c r="V2306" s="41" t="str"/>
      <c r="W2306" s="41" t="str"/>
    </row>
    <row r="2307">
      <c r="B2307" s="2" t="n"/>
      <c r="C2307" s="40" t="n"/>
      <c r="D2307" s="52">
        <f t="array" ref="D2307:W2307">IF(All_Students_Scores!C2305:V2305="","",All_Students_Scores!C2305:V2305)</f>
        <v/>
      </c>
      <c r="E2307" s="57" t="str"/>
      <c r="F2307" s="49" t="str"/>
      <c r="G2307" s="59" t="str"/>
      <c r="H2307" s="64" t="str"/>
      <c r="I2307" s="65" t="str"/>
      <c r="J2307" s="49" t="str"/>
      <c r="K2307" s="41" t="str"/>
      <c r="L2307" s="41" t="str"/>
      <c r="M2307" s="41" t="str"/>
      <c r="N2307" s="41" t="str"/>
      <c r="O2307" s="41" t="str"/>
      <c r="P2307" s="41" t="str"/>
      <c r="Q2307" s="41" t="str"/>
      <c r="R2307" s="41" t="str"/>
      <c r="S2307" s="41" t="str"/>
      <c r="T2307" s="41" t="str"/>
      <c r="U2307" s="41" t="str"/>
      <c r="V2307" s="41" t="str"/>
      <c r="W2307" s="41" t="str"/>
    </row>
    <row r="2308">
      <c r="B2308" s="2" t="n"/>
      <c r="C2308" s="40" t="n"/>
      <c r="D2308" s="52">
        <f t="array" ref="D2308:W2308">IF(All_Students_Scores!C2306:V2306="","",All_Students_Scores!C2306:V2306)</f>
        <v/>
      </c>
      <c r="E2308" s="57" t="str"/>
      <c r="F2308" s="49" t="str"/>
      <c r="G2308" s="59" t="str"/>
      <c r="H2308" s="64" t="str"/>
      <c r="I2308" s="65" t="str"/>
      <c r="J2308" s="49" t="str"/>
      <c r="K2308" s="41" t="str"/>
      <c r="L2308" s="41" t="str"/>
      <c r="M2308" s="41" t="str"/>
      <c r="N2308" s="41" t="str"/>
      <c r="O2308" s="41" t="str"/>
      <c r="P2308" s="41" t="str"/>
      <c r="Q2308" s="41" t="str"/>
      <c r="R2308" s="41" t="str"/>
      <c r="S2308" s="41" t="str"/>
      <c r="T2308" s="41" t="str"/>
      <c r="U2308" s="41" t="str"/>
      <c r="V2308" s="41" t="str"/>
      <c r="W2308" s="41" t="str"/>
    </row>
    <row r="2309">
      <c r="B2309" s="2" t="n"/>
      <c r="C2309" s="40" t="n"/>
      <c r="D2309" s="52">
        <f t="array" ref="D2309:W2309">IF(All_Students_Scores!C2307:V2307="","",All_Students_Scores!C2307:V2307)</f>
        <v/>
      </c>
      <c r="E2309" s="57" t="str"/>
      <c r="F2309" s="49" t="str"/>
      <c r="G2309" s="59" t="str"/>
      <c r="H2309" s="64" t="str"/>
      <c r="I2309" s="65" t="str"/>
      <c r="J2309" s="49" t="str"/>
      <c r="K2309" s="41" t="str"/>
      <c r="L2309" s="41" t="str"/>
      <c r="M2309" s="41" t="str"/>
      <c r="N2309" s="41" t="str"/>
      <c r="O2309" s="41" t="str"/>
      <c r="P2309" s="41" t="str"/>
      <c r="Q2309" s="41" t="str"/>
      <c r="R2309" s="41" t="str"/>
      <c r="S2309" s="41" t="str"/>
      <c r="T2309" s="41" t="str"/>
      <c r="U2309" s="41" t="str"/>
      <c r="V2309" s="41" t="str"/>
      <c r="W2309" s="41" t="str"/>
    </row>
    <row r="2310">
      <c r="B2310" s="2" t="n"/>
      <c r="C2310" s="40" t="n"/>
      <c r="D2310" s="52">
        <f t="array" ref="D2310:W2310">IF(All_Students_Scores!C2308:V2308="","",All_Students_Scores!C2308:V2308)</f>
        <v/>
      </c>
      <c r="E2310" s="57" t="str"/>
      <c r="F2310" s="49" t="str"/>
      <c r="G2310" s="59" t="str"/>
      <c r="H2310" s="64" t="str"/>
      <c r="I2310" s="65" t="str"/>
      <c r="J2310" s="49" t="str"/>
      <c r="K2310" s="41" t="str"/>
      <c r="L2310" s="41" t="str"/>
      <c r="M2310" s="41" t="str"/>
      <c r="N2310" s="41" t="str"/>
      <c r="O2310" s="41" t="str"/>
      <c r="P2310" s="41" t="str"/>
      <c r="Q2310" s="41" t="str"/>
      <c r="R2310" s="41" t="str"/>
      <c r="S2310" s="41" t="str"/>
      <c r="T2310" s="41" t="str"/>
      <c r="U2310" s="41" t="str"/>
      <c r="V2310" s="41" t="str"/>
      <c r="W2310" s="41" t="str"/>
    </row>
    <row r="2311">
      <c r="B2311" s="2" t="n"/>
      <c r="C2311" s="40" t="n"/>
      <c r="D2311" s="52">
        <f t="array" ref="D2311:W2311">IF(All_Students_Scores!C2309:V2309="","",All_Students_Scores!C2309:V2309)</f>
        <v/>
      </c>
      <c r="E2311" s="57" t="str"/>
      <c r="F2311" s="49" t="str"/>
      <c r="G2311" s="59" t="str"/>
      <c r="H2311" s="64" t="str"/>
      <c r="I2311" s="65" t="str"/>
      <c r="J2311" s="49" t="str"/>
      <c r="K2311" s="41" t="str"/>
      <c r="L2311" s="41" t="str"/>
      <c r="M2311" s="41" t="str"/>
      <c r="N2311" s="41" t="str"/>
      <c r="O2311" s="41" t="str"/>
      <c r="P2311" s="41" t="str"/>
      <c r="Q2311" s="41" t="str"/>
      <c r="R2311" s="41" t="str"/>
      <c r="S2311" s="41" t="str"/>
      <c r="T2311" s="41" t="str"/>
      <c r="U2311" s="41" t="str"/>
      <c r="V2311" s="41" t="str"/>
      <c r="W2311" s="41" t="str"/>
    </row>
    <row r="2312">
      <c r="B2312" s="2" t="n"/>
      <c r="C2312" s="40" t="n"/>
      <c r="D2312" s="52">
        <f t="array" ref="D2312:W2312">IF(All_Students_Scores!C2310:V2310="","",All_Students_Scores!C2310:V2310)</f>
        <v/>
      </c>
      <c r="E2312" s="57" t="str"/>
      <c r="F2312" s="49" t="str"/>
      <c r="G2312" s="59" t="str"/>
      <c r="H2312" s="64" t="str"/>
      <c r="I2312" s="65" t="str"/>
      <c r="J2312" s="49" t="str"/>
      <c r="K2312" s="41" t="str"/>
      <c r="L2312" s="41" t="str"/>
      <c r="M2312" s="41" t="str"/>
      <c r="N2312" s="41" t="str"/>
      <c r="O2312" s="41" t="str"/>
      <c r="P2312" s="41" t="str"/>
      <c r="Q2312" s="41" t="str"/>
      <c r="R2312" s="41" t="str"/>
      <c r="S2312" s="41" t="str"/>
      <c r="T2312" s="41" t="str"/>
      <c r="U2312" s="41" t="str"/>
      <c r="V2312" s="41" t="str"/>
      <c r="W2312" s="41" t="str"/>
    </row>
    <row r="2313">
      <c r="B2313" s="2" t="n"/>
      <c r="C2313" s="40" t="n"/>
      <c r="D2313" s="52">
        <f t="array" ref="D2313:W2313">IF(All_Students_Scores!C2311:V2311="","",All_Students_Scores!C2311:V2311)</f>
        <v/>
      </c>
      <c r="E2313" s="57" t="str"/>
      <c r="F2313" s="49" t="str"/>
      <c r="G2313" s="59" t="str"/>
      <c r="H2313" s="64" t="str"/>
      <c r="I2313" s="65" t="str"/>
      <c r="J2313" s="49" t="str"/>
      <c r="K2313" s="41" t="str"/>
      <c r="L2313" s="41" t="str"/>
      <c r="M2313" s="41" t="str"/>
      <c r="N2313" s="41" t="str"/>
      <c r="O2313" s="41" t="str"/>
      <c r="P2313" s="41" t="str"/>
      <c r="Q2313" s="41" t="str"/>
      <c r="R2313" s="41" t="str"/>
      <c r="S2313" s="41" t="str"/>
      <c r="T2313" s="41" t="str"/>
      <c r="U2313" s="41" t="str"/>
      <c r="V2313" s="41" t="str"/>
      <c r="W2313" s="41" t="str"/>
    </row>
    <row r="2314">
      <c r="B2314" s="2" t="n"/>
      <c r="C2314" s="40" t="n"/>
      <c r="D2314" s="52">
        <f t="array" ref="D2314:W2314">IF(All_Students_Scores!C2312:V2312="","",All_Students_Scores!C2312:V2312)</f>
        <v/>
      </c>
      <c r="E2314" s="57" t="str"/>
      <c r="F2314" s="49" t="str"/>
      <c r="G2314" s="59" t="str"/>
      <c r="H2314" s="64" t="str"/>
      <c r="I2314" s="65" t="str"/>
      <c r="J2314" s="49" t="str"/>
      <c r="K2314" s="41" t="str"/>
      <c r="L2314" s="41" t="str"/>
      <c r="M2314" s="41" t="str"/>
      <c r="N2314" s="41" t="str"/>
      <c r="O2314" s="41" t="str"/>
      <c r="P2314" s="41" t="str"/>
      <c r="Q2314" s="41" t="str"/>
      <c r="R2314" s="41" t="str"/>
      <c r="S2314" s="41" t="str"/>
      <c r="T2314" s="41" t="str"/>
      <c r="U2314" s="41" t="str"/>
      <c r="V2314" s="41" t="str"/>
      <c r="W2314" s="41" t="str"/>
    </row>
    <row r="2315">
      <c r="B2315" s="2" t="n"/>
      <c r="C2315" s="40" t="n"/>
      <c r="D2315" s="52">
        <f t="array" ref="D2315:W2315">IF(All_Students_Scores!C2313:V2313="","",All_Students_Scores!C2313:V2313)</f>
        <v/>
      </c>
      <c r="E2315" s="57" t="str"/>
      <c r="F2315" s="49" t="str"/>
      <c r="G2315" s="59" t="str"/>
      <c r="H2315" s="64" t="str"/>
      <c r="I2315" s="65" t="str"/>
      <c r="J2315" s="49" t="str"/>
      <c r="K2315" s="41" t="str"/>
      <c r="L2315" s="41" t="str"/>
      <c r="M2315" s="41" t="str"/>
      <c r="N2315" s="41" t="str"/>
      <c r="O2315" s="41" t="str"/>
      <c r="P2315" s="41" t="str"/>
      <c r="Q2315" s="41" t="str"/>
      <c r="R2315" s="41" t="str"/>
      <c r="S2315" s="41" t="str"/>
      <c r="T2315" s="41" t="str"/>
      <c r="U2315" s="41" t="str"/>
      <c r="V2315" s="41" t="str"/>
      <c r="W2315" s="41" t="str"/>
    </row>
    <row r="2316">
      <c r="B2316" s="2" t="n"/>
      <c r="C2316" s="40" t="n"/>
      <c r="D2316" s="52">
        <f t="array" ref="D2316:W2316">IF(All_Students_Scores!C2314:V2314="","",All_Students_Scores!C2314:V2314)</f>
        <v/>
      </c>
      <c r="E2316" s="57" t="str"/>
      <c r="F2316" s="49" t="str"/>
      <c r="G2316" s="59" t="str"/>
      <c r="H2316" s="64" t="str"/>
      <c r="I2316" s="65" t="str"/>
      <c r="J2316" s="49" t="str"/>
      <c r="K2316" s="41" t="str"/>
      <c r="L2316" s="41" t="str"/>
      <c r="M2316" s="41" t="str"/>
      <c r="N2316" s="41" t="str"/>
      <c r="O2316" s="41" t="str"/>
      <c r="P2316" s="41" t="str"/>
      <c r="Q2316" s="41" t="str"/>
      <c r="R2316" s="41" t="str"/>
      <c r="S2316" s="41" t="str"/>
      <c r="T2316" s="41" t="str"/>
      <c r="U2316" s="41" t="str"/>
      <c r="V2316" s="41" t="str"/>
      <c r="W2316" s="41" t="str"/>
    </row>
    <row r="2317">
      <c r="B2317" s="2" t="n"/>
      <c r="C2317" s="40" t="n"/>
      <c r="D2317" s="52">
        <f t="array" ref="D2317:W2317">IF(All_Students_Scores!C2315:V2315="","",All_Students_Scores!C2315:V2315)</f>
        <v/>
      </c>
      <c r="E2317" s="57" t="str"/>
      <c r="F2317" s="49" t="str"/>
      <c r="G2317" s="59" t="str"/>
      <c r="H2317" s="64" t="str"/>
      <c r="I2317" s="65" t="str"/>
      <c r="J2317" s="49" t="str"/>
      <c r="K2317" s="41" t="str"/>
      <c r="L2317" s="41" t="str"/>
      <c r="M2317" s="41" t="str"/>
      <c r="N2317" s="41" t="str"/>
      <c r="O2317" s="41" t="str"/>
      <c r="P2317" s="41" t="str"/>
      <c r="Q2317" s="41" t="str"/>
      <c r="R2317" s="41" t="str"/>
      <c r="S2317" s="41" t="str"/>
      <c r="T2317" s="41" t="str"/>
      <c r="U2317" s="41" t="str"/>
      <c r="V2317" s="41" t="str"/>
      <c r="W2317" s="41" t="str"/>
    </row>
    <row r="2318">
      <c r="B2318" s="2" t="n"/>
      <c r="C2318" s="40" t="n"/>
      <c r="D2318" s="52">
        <f t="array" ref="D2318:W2318">IF(All_Students_Scores!C2316:V2316="","",All_Students_Scores!C2316:V2316)</f>
        <v/>
      </c>
      <c r="E2318" s="57" t="str"/>
      <c r="F2318" s="49" t="str"/>
      <c r="G2318" s="59" t="str"/>
      <c r="H2318" s="64" t="str"/>
      <c r="I2318" s="65" t="str"/>
      <c r="J2318" s="49" t="str"/>
      <c r="K2318" s="41" t="str"/>
      <c r="L2318" s="41" t="str"/>
      <c r="M2318" s="41" t="str"/>
      <c r="N2318" s="41" t="str"/>
      <c r="O2318" s="41" t="str"/>
      <c r="P2318" s="41" t="str"/>
      <c r="Q2318" s="41" t="str"/>
      <c r="R2318" s="41" t="str"/>
      <c r="S2318" s="41" t="str"/>
      <c r="T2318" s="41" t="str"/>
      <c r="U2318" s="41" t="str"/>
      <c r="V2318" s="41" t="str"/>
      <c r="W2318" s="41" t="str"/>
    </row>
    <row r="2319">
      <c r="B2319" s="2" t="n"/>
      <c r="C2319" s="40" t="n"/>
      <c r="D2319" s="52">
        <f t="array" ref="D2319:W2319">IF(All_Students_Scores!C2317:V2317="","",All_Students_Scores!C2317:V2317)</f>
        <v/>
      </c>
      <c r="E2319" s="57" t="str"/>
      <c r="F2319" s="49" t="str"/>
      <c r="G2319" s="59" t="str"/>
      <c r="H2319" s="64" t="str"/>
      <c r="I2319" s="65" t="str"/>
      <c r="J2319" s="49" t="str"/>
      <c r="K2319" s="41" t="str"/>
      <c r="L2319" s="41" t="str"/>
      <c r="M2319" s="41" t="str"/>
      <c r="N2319" s="41" t="str"/>
      <c r="O2319" s="41" t="str"/>
      <c r="P2319" s="41" t="str"/>
      <c r="Q2319" s="41" t="str"/>
      <c r="R2319" s="41" t="str"/>
      <c r="S2319" s="41" t="str"/>
      <c r="T2319" s="41" t="str"/>
      <c r="U2319" s="41" t="str"/>
      <c r="V2319" s="41" t="str"/>
      <c r="W2319" s="41" t="str"/>
    </row>
    <row r="2320">
      <c r="B2320" s="2" t="n"/>
      <c r="C2320" s="40" t="n"/>
      <c r="D2320" s="52">
        <f t="array" ref="D2320:W2320">IF(All_Students_Scores!C2318:V2318="","",All_Students_Scores!C2318:V2318)</f>
        <v/>
      </c>
      <c r="E2320" s="57" t="str"/>
      <c r="F2320" s="49" t="str"/>
      <c r="G2320" s="59" t="str"/>
      <c r="H2320" s="64" t="str"/>
      <c r="I2320" s="65" t="str"/>
      <c r="J2320" s="49" t="str"/>
      <c r="K2320" s="41" t="str"/>
      <c r="L2320" s="41" t="str"/>
      <c r="M2320" s="41" t="str"/>
      <c r="N2320" s="41" t="str"/>
      <c r="O2320" s="41" t="str"/>
      <c r="P2320" s="41" t="str"/>
      <c r="Q2320" s="41" t="str"/>
      <c r="R2320" s="41" t="str"/>
      <c r="S2320" s="41" t="str"/>
      <c r="T2320" s="41" t="str"/>
      <c r="U2320" s="41" t="str"/>
      <c r="V2320" s="41" t="str"/>
      <c r="W2320" s="41" t="str"/>
    </row>
    <row r="2321">
      <c r="B2321" s="2" t="n"/>
      <c r="C2321" s="40" t="n"/>
      <c r="D2321" s="52">
        <f t="array" ref="D2321:W2321">IF(All_Students_Scores!C2319:V2319="","",All_Students_Scores!C2319:V2319)</f>
        <v/>
      </c>
      <c r="E2321" s="57" t="str"/>
      <c r="F2321" s="49" t="str"/>
      <c r="G2321" s="59" t="str"/>
      <c r="H2321" s="64" t="str"/>
      <c r="I2321" s="65" t="str"/>
      <c r="J2321" s="49" t="str"/>
      <c r="K2321" s="41" t="str"/>
      <c r="L2321" s="41" t="str"/>
      <c r="M2321" s="41" t="str"/>
      <c r="N2321" s="41" t="str"/>
      <c r="O2321" s="41" t="str"/>
      <c r="P2321" s="41" t="str"/>
      <c r="Q2321" s="41" t="str"/>
      <c r="R2321" s="41" t="str"/>
      <c r="S2321" s="41" t="str"/>
      <c r="T2321" s="41" t="str"/>
      <c r="U2321" s="41" t="str"/>
      <c r="V2321" s="41" t="str"/>
      <c r="W2321" s="41" t="str"/>
    </row>
    <row r="2322">
      <c r="B2322" s="2" t="n"/>
      <c r="C2322" s="40" t="n"/>
      <c r="D2322" s="52">
        <f t="array" ref="D2322:W2322">IF(All_Students_Scores!C2320:V2320="","",All_Students_Scores!C2320:V2320)</f>
        <v/>
      </c>
      <c r="E2322" s="57" t="str"/>
      <c r="F2322" s="49" t="str"/>
      <c r="G2322" s="59" t="str"/>
      <c r="H2322" s="64" t="str"/>
      <c r="I2322" s="65" t="str"/>
      <c r="J2322" s="49" t="str"/>
      <c r="K2322" s="41" t="str"/>
      <c r="L2322" s="41" t="str"/>
      <c r="M2322" s="41" t="str"/>
      <c r="N2322" s="41" t="str"/>
      <c r="O2322" s="41" t="str"/>
      <c r="P2322" s="41" t="str"/>
      <c r="Q2322" s="41" t="str"/>
      <c r="R2322" s="41" t="str"/>
      <c r="S2322" s="41" t="str"/>
      <c r="T2322" s="41" t="str"/>
      <c r="U2322" s="41" t="str"/>
      <c r="V2322" s="41" t="str"/>
      <c r="W2322" s="41" t="str"/>
    </row>
    <row r="2323">
      <c r="B2323" s="2" t="n"/>
      <c r="C2323" s="40" t="n"/>
      <c r="D2323" s="52">
        <f t="array" ref="D2323:W2323">IF(All_Students_Scores!C2321:V2321="","",All_Students_Scores!C2321:V2321)</f>
        <v/>
      </c>
      <c r="E2323" s="57" t="str"/>
      <c r="F2323" s="49" t="str"/>
      <c r="G2323" s="59" t="str"/>
      <c r="H2323" s="64" t="str"/>
      <c r="I2323" s="65" t="str"/>
      <c r="J2323" s="49" t="str"/>
      <c r="K2323" s="41" t="str"/>
      <c r="L2323" s="41" t="str"/>
      <c r="M2323" s="41" t="str"/>
      <c r="N2323" s="41" t="str"/>
      <c r="O2323" s="41" t="str"/>
      <c r="P2323" s="41" t="str"/>
      <c r="Q2323" s="41" t="str"/>
      <c r="R2323" s="41" t="str"/>
      <c r="S2323" s="41" t="str"/>
      <c r="T2323" s="41" t="str"/>
      <c r="U2323" s="41" t="str"/>
      <c r="V2323" s="41" t="str"/>
      <c r="W2323" s="41" t="str"/>
    </row>
    <row r="2324">
      <c r="B2324" s="2" t="n"/>
      <c r="C2324" s="40" t="n"/>
      <c r="D2324" s="52">
        <f t="array" ref="D2324:W2324">IF(All_Students_Scores!C2322:V2322="","",All_Students_Scores!C2322:V2322)</f>
        <v/>
      </c>
      <c r="E2324" s="57" t="str"/>
      <c r="F2324" s="49" t="str"/>
      <c r="G2324" s="59" t="str"/>
      <c r="H2324" s="64" t="str"/>
      <c r="I2324" s="65" t="str"/>
      <c r="J2324" s="49" t="str"/>
      <c r="K2324" s="41" t="str"/>
      <c r="L2324" s="41" t="str"/>
      <c r="M2324" s="41" t="str"/>
      <c r="N2324" s="41" t="str"/>
      <c r="O2324" s="41" t="str"/>
      <c r="P2324" s="41" t="str"/>
      <c r="Q2324" s="41" t="str"/>
      <c r="R2324" s="41" t="str"/>
      <c r="S2324" s="41" t="str"/>
      <c r="T2324" s="41" t="str"/>
      <c r="U2324" s="41" t="str"/>
      <c r="V2324" s="41" t="str"/>
      <c r="W2324" s="41" t="str"/>
    </row>
    <row r="2325">
      <c r="B2325" s="2" t="n"/>
      <c r="C2325" s="40" t="n"/>
      <c r="D2325" s="52">
        <f t="array" ref="D2325:W2325">IF(All_Students_Scores!C2323:V2323="","",All_Students_Scores!C2323:V2323)</f>
        <v/>
      </c>
      <c r="E2325" s="57" t="str"/>
      <c r="F2325" s="49" t="str"/>
      <c r="G2325" s="59" t="str"/>
      <c r="H2325" s="64" t="str"/>
      <c r="I2325" s="65" t="str"/>
      <c r="J2325" s="49" t="str"/>
      <c r="K2325" s="41" t="str"/>
      <c r="L2325" s="41" t="str"/>
      <c r="M2325" s="41" t="str"/>
      <c r="N2325" s="41" t="str"/>
      <c r="O2325" s="41" t="str"/>
      <c r="P2325" s="41" t="str"/>
      <c r="Q2325" s="41" t="str"/>
      <c r="R2325" s="41" t="str"/>
      <c r="S2325" s="41" t="str"/>
      <c r="T2325" s="41" t="str"/>
      <c r="U2325" s="41" t="str"/>
      <c r="V2325" s="41" t="str"/>
      <c r="W2325" s="41" t="str"/>
    </row>
    <row r="2326">
      <c r="B2326" s="2" t="n"/>
      <c r="C2326" s="40" t="n"/>
      <c r="D2326" s="52">
        <f t="array" ref="D2326:W2326">IF(All_Students_Scores!C2324:V2324="","",All_Students_Scores!C2324:V2324)</f>
        <v/>
      </c>
      <c r="E2326" s="57" t="str"/>
      <c r="F2326" s="49" t="str"/>
      <c r="G2326" s="59" t="str"/>
      <c r="H2326" s="64" t="str"/>
      <c r="I2326" s="65" t="str"/>
      <c r="J2326" s="49" t="str"/>
      <c r="K2326" s="41" t="str"/>
      <c r="L2326" s="41" t="str"/>
      <c r="M2326" s="41" t="str"/>
      <c r="N2326" s="41" t="str"/>
      <c r="O2326" s="41" t="str"/>
      <c r="P2326" s="41" t="str"/>
      <c r="Q2326" s="41" t="str"/>
      <c r="R2326" s="41" t="str"/>
      <c r="S2326" s="41" t="str"/>
      <c r="T2326" s="41" t="str"/>
      <c r="U2326" s="41" t="str"/>
      <c r="V2326" s="41" t="str"/>
      <c r="W2326" s="41" t="str"/>
    </row>
    <row r="2327">
      <c r="B2327" s="2" t="n"/>
      <c r="C2327" s="40" t="n"/>
      <c r="D2327" s="52">
        <f t="array" ref="D2327:W2327">IF(All_Students_Scores!C2325:V2325="","",All_Students_Scores!C2325:V2325)</f>
        <v/>
      </c>
      <c r="E2327" s="57" t="str"/>
      <c r="F2327" s="49" t="str"/>
      <c r="G2327" s="59" t="str"/>
      <c r="H2327" s="64" t="str"/>
      <c r="I2327" s="65" t="str"/>
      <c r="J2327" s="49" t="str"/>
      <c r="K2327" s="41" t="str"/>
      <c r="L2327" s="41" t="str"/>
      <c r="M2327" s="41" t="str"/>
      <c r="N2327" s="41" t="str"/>
      <c r="O2327" s="41" t="str"/>
      <c r="P2327" s="41" t="str"/>
      <c r="Q2327" s="41" t="str"/>
      <c r="R2327" s="41" t="str"/>
      <c r="S2327" s="41" t="str"/>
      <c r="T2327" s="41" t="str"/>
      <c r="U2327" s="41" t="str"/>
      <c r="V2327" s="41" t="str"/>
      <c r="W2327" s="41" t="str"/>
    </row>
    <row r="2328">
      <c r="B2328" s="2" t="n"/>
      <c r="C2328" s="40" t="n"/>
      <c r="D2328" s="52">
        <f t="array" ref="D2328:W2328">IF(All_Students_Scores!C2326:V2326="","",All_Students_Scores!C2326:V2326)</f>
        <v/>
      </c>
      <c r="E2328" s="57" t="str"/>
      <c r="F2328" s="49" t="str"/>
      <c r="G2328" s="59" t="str"/>
      <c r="H2328" s="64" t="str"/>
      <c r="I2328" s="65" t="str"/>
      <c r="J2328" s="49" t="str"/>
      <c r="K2328" s="41" t="str"/>
      <c r="L2328" s="41" t="str"/>
      <c r="M2328" s="41" t="str"/>
      <c r="N2328" s="41" t="str"/>
      <c r="O2328" s="41" t="str"/>
      <c r="P2328" s="41" t="str"/>
      <c r="Q2328" s="41" t="str"/>
      <c r="R2328" s="41" t="str"/>
      <c r="S2328" s="41" t="str"/>
      <c r="T2328" s="41" t="str"/>
      <c r="U2328" s="41" t="str"/>
      <c r="V2328" s="41" t="str"/>
      <c r="W2328" s="41" t="str"/>
    </row>
    <row r="2329">
      <c r="B2329" s="2" t="n"/>
      <c r="C2329" s="40" t="n"/>
      <c r="D2329" s="52">
        <f t="array" ref="D2329:W2329">IF(All_Students_Scores!C2327:V2327="","",All_Students_Scores!C2327:V2327)</f>
        <v/>
      </c>
      <c r="E2329" s="57" t="str"/>
      <c r="F2329" s="49" t="str"/>
      <c r="G2329" s="59" t="str"/>
      <c r="H2329" s="64" t="str"/>
      <c r="I2329" s="65" t="str"/>
      <c r="J2329" s="49" t="str"/>
      <c r="K2329" s="41" t="str"/>
      <c r="L2329" s="41" t="str"/>
      <c r="M2329" s="41" t="str"/>
      <c r="N2329" s="41" t="str"/>
      <c r="O2329" s="41" t="str"/>
      <c r="P2329" s="41" t="str"/>
      <c r="Q2329" s="41" t="str"/>
      <c r="R2329" s="41" t="str"/>
      <c r="S2329" s="41" t="str"/>
      <c r="T2329" s="41" t="str"/>
      <c r="U2329" s="41" t="str"/>
      <c r="V2329" s="41" t="str"/>
      <c r="W2329" s="41" t="str"/>
    </row>
    <row r="2330">
      <c r="B2330" s="2" t="n"/>
      <c r="C2330" s="40" t="n"/>
      <c r="D2330" s="52">
        <f t="array" ref="D2330:W2330">IF(All_Students_Scores!C2328:V2328="","",All_Students_Scores!C2328:V2328)</f>
        <v/>
      </c>
      <c r="E2330" s="57" t="str"/>
      <c r="F2330" s="49" t="str"/>
      <c r="G2330" s="59" t="str"/>
      <c r="H2330" s="64" t="str"/>
      <c r="I2330" s="65" t="str"/>
      <c r="J2330" s="49" t="str"/>
      <c r="K2330" s="41" t="str"/>
      <c r="L2330" s="41" t="str"/>
      <c r="M2330" s="41" t="str"/>
      <c r="N2330" s="41" t="str"/>
      <c r="O2330" s="41" t="str"/>
      <c r="P2330" s="41" t="str"/>
      <c r="Q2330" s="41" t="str"/>
      <c r="R2330" s="41" t="str"/>
      <c r="S2330" s="41" t="str"/>
      <c r="T2330" s="41" t="str"/>
      <c r="U2330" s="41" t="str"/>
      <c r="V2330" s="41" t="str"/>
      <c r="W2330" s="41" t="str"/>
    </row>
    <row r="2331">
      <c r="B2331" s="2" t="n"/>
      <c r="C2331" s="40" t="n"/>
      <c r="D2331" s="52">
        <f t="array" ref="D2331:W2331">IF(All_Students_Scores!C2329:V2329="","",All_Students_Scores!C2329:V2329)</f>
        <v/>
      </c>
      <c r="E2331" s="57" t="str"/>
      <c r="F2331" s="49" t="str"/>
      <c r="G2331" s="59" t="str"/>
      <c r="H2331" s="64" t="str"/>
      <c r="I2331" s="65" t="str"/>
      <c r="J2331" s="49" t="str"/>
      <c r="K2331" s="41" t="str"/>
      <c r="L2331" s="41" t="str"/>
      <c r="M2331" s="41" t="str"/>
      <c r="N2331" s="41" t="str"/>
      <c r="O2331" s="41" t="str"/>
      <c r="P2331" s="41" t="str"/>
      <c r="Q2331" s="41" t="str"/>
      <c r="R2331" s="41" t="str"/>
      <c r="S2331" s="41" t="str"/>
      <c r="T2331" s="41" t="str"/>
      <c r="U2331" s="41" t="str"/>
      <c r="V2331" s="41" t="str"/>
      <c r="W2331" s="41" t="str"/>
    </row>
    <row r="2332">
      <c r="B2332" s="2" t="n"/>
      <c r="C2332" s="40" t="n"/>
      <c r="D2332" s="52">
        <f t="array" ref="D2332:W2332">IF(All_Students_Scores!C2330:V2330="","",All_Students_Scores!C2330:V2330)</f>
        <v/>
      </c>
      <c r="E2332" s="57" t="str"/>
      <c r="F2332" s="49" t="str"/>
      <c r="G2332" s="59" t="str"/>
      <c r="H2332" s="64" t="str"/>
      <c r="I2332" s="65" t="str"/>
      <c r="J2332" s="49" t="str"/>
      <c r="K2332" s="41" t="str"/>
      <c r="L2332" s="41" t="str"/>
      <c r="M2332" s="41" t="str"/>
      <c r="N2332" s="41" t="str"/>
      <c r="O2332" s="41" t="str"/>
      <c r="P2332" s="41" t="str"/>
      <c r="Q2332" s="41" t="str"/>
      <c r="R2332" s="41" t="str"/>
      <c r="S2332" s="41" t="str"/>
      <c r="T2332" s="41" t="str"/>
      <c r="U2332" s="41" t="str"/>
      <c r="V2332" s="41" t="str"/>
      <c r="W2332" s="41" t="str"/>
    </row>
    <row r="2333">
      <c r="B2333" s="2" t="n"/>
      <c r="C2333" s="40" t="n"/>
      <c r="D2333" s="52">
        <f t="array" ref="D2333:W2333">IF(All_Students_Scores!C2331:V2331="","",All_Students_Scores!C2331:V2331)</f>
        <v/>
      </c>
      <c r="E2333" s="57" t="str"/>
      <c r="F2333" s="49" t="str"/>
      <c r="G2333" s="59" t="str"/>
      <c r="H2333" s="64" t="str"/>
      <c r="I2333" s="65" t="str"/>
      <c r="J2333" s="49" t="str"/>
      <c r="K2333" s="41" t="str"/>
      <c r="L2333" s="41" t="str"/>
      <c r="M2333" s="41" t="str"/>
      <c r="N2333" s="41" t="str"/>
      <c r="O2333" s="41" t="str"/>
      <c r="P2333" s="41" t="str"/>
      <c r="Q2333" s="41" t="str"/>
      <c r="R2333" s="41" t="str"/>
      <c r="S2333" s="41" t="str"/>
      <c r="T2333" s="41" t="str"/>
      <c r="U2333" s="41" t="str"/>
      <c r="V2333" s="41" t="str"/>
      <c r="W2333" s="41" t="str"/>
    </row>
    <row r="2334">
      <c r="B2334" s="2" t="n"/>
      <c r="C2334" s="40" t="n"/>
      <c r="D2334" s="52">
        <f t="array" ref="D2334:W2334">IF(All_Students_Scores!C2332:V2332="","",All_Students_Scores!C2332:V2332)</f>
        <v/>
      </c>
      <c r="E2334" s="57" t="str"/>
      <c r="F2334" s="49" t="str"/>
      <c r="G2334" s="59" t="str"/>
      <c r="H2334" s="64" t="str"/>
      <c r="I2334" s="65" t="str"/>
      <c r="J2334" s="49" t="str"/>
      <c r="K2334" s="41" t="str"/>
      <c r="L2334" s="41" t="str"/>
      <c r="M2334" s="41" t="str"/>
      <c r="N2334" s="41" t="str"/>
      <c r="O2334" s="41" t="str"/>
      <c r="P2334" s="41" t="str"/>
      <c r="Q2334" s="41" t="str"/>
      <c r="R2334" s="41" t="str"/>
      <c r="S2334" s="41" t="str"/>
      <c r="T2334" s="41" t="str"/>
      <c r="U2334" s="41" t="str"/>
      <c r="V2334" s="41" t="str"/>
      <c r="W2334" s="41" t="str"/>
    </row>
    <row r="2335">
      <c r="B2335" s="2" t="n"/>
      <c r="C2335" s="40" t="n"/>
      <c r="D2335" s="52">
        <f t="array" ref="D2335:W2335">IF(All_Students_Scores!C2333:V2333="","",All_Students_Scores!C2333:V2333)</f>
        <v/>
      </c>
      <c r="E2335" s="57" t="str"/>
      <c r="F2335" s="49" t="str"/>
      <c r="G2335" s="59" t="str"/>
      <c r="H2335" s="64" t="str"/>
      <c r="I2335" s="65" t="str"/>
      <c r="J2335" s="49" t="str"/>
      <c r="K2335" s="41" t="str"/>
      <c r="L2335" s="41" t="str"/>
      <c r="M2335" s="41" t="str"/>
      <c r="N2335" s="41" t="str"/>
      <c r="O2335" s="41" t="str"/>
      <c r="P2335" s="41" t="str"/>
      <c r="Q2335" s="41" t="str"/>
      <c r="R2335" s="41" t="str"/>
      <c r="S2335" s="41" t="str"/>
      <c r="T2335" s="41" t="str"/>
      <c r="U2335" s="41" t="str"/>
      <c r="V2335" s="41" t="str"/>
      <c r="W2335" s="41" t="str"/>
    </row>
    <row r="2336">
      <c r="B2336" s="2" t="n"/>
      <c r="C2336" s="40" t="n"/>
      <c r="D2336" s="52">
        <f t="array" ref="D2336:W2336">IF(All_Students_Scores!C2334:V2334="","",All_Students_Scores!C2334:V2334)</f>
        <v/>
      </c>
      <c r="E2336" s="57" t="str"/>
      <c r="F2336" s="49" t="str"/>
      <c r="G2336" s="59" t="str"/>
      <c r="H2336" s="64" t="str"/>
      <c r="I2336" s="65" t="str"/>
      <c r="J2336" s="49" t="str"/>
      <c r="K2336" s="41" t="str"/>
      <c r="L2336" s="41" t="str"/>
      <c r="M2336" s="41" t="str"/>
      <c r="N2336" s="41" t="str"/>
      <c r="O2336" s="41" t="str"/>
      <c r="P2336" s="41" t="str"/>
      <c r="Q2336" s="41" t="str"/>
      <c r="R2336" s="41" t="str"/>
      <c r="S2336" s="41" t="str"/>
      <c r="T2336" s="41" t="str"/>
      <c r="U2336" s="41" t="str"/>
      <c r="V2336" s="41" t="str"/>
      <c r="W2336" s="41" t="str"/>
    </row>
    <row r="2337">
      <c r="B2337" s="2" t="n"/>
      <c r="C2337" s="40" t="n"/>
      <c r="D2337" s="52">
        <f t="array" ref="D2337:W2337">IF(All_Students_Scores!C2335:V2335="","",All_Students_Scores!C2335:V2335)</f>
        <v/>
      </c>
      <c r="E2337" s="57" t="str"/>
      <c r="F2337" s="49" t="str"/>
      <c r="G2337" s="59" t="str"/>
      <c r="H2337" s="64" t="str"/>
      <c r="I2337" s="65" t="str"/>
      <c r="J2337" s="49" t="str"/>
      <c r="K2337" s="41" t="str"/>
      <c r="L2337" s="41" t="str"/>
      <c r="M2337" s="41" t="str"/>
      <c r="N2337" s="41" t="str"/>
      <c r="O2337" s="41" t="str"/>
      <c r="P2337" s="41" t="str"/>
      <c r="Q2337" s="41" t="str"/>
      <c r="R2337" s="41" t="str"/>
      <c r="S2337" s="41" t="str"/>
      <c r="T2337" s="41" t="str"/>
      <c r="U2337" s="41" t="str"/>
      <c r="V2337" s="41" t="str"/>
      <c r="W2337" s="41" t="str"/>
    </row>
    <row r="2338">
      <c r="B2338" s="2" t="n"/>
      <c r="C2338" s="40" t="n"/>
      <c r="D2338" s="52">
        <f t="array" ref="D2338:W2338">IF(All_Students_Scores!C2336:V2336="","",All_Students_Scores!C2336:V2336)</f>
        <v/>
      </c>
      <c r="E2338" s="57" t="str"/>
      <c r="F2338" s="49" t="str"/>
      <c r="G2338" s="59" t="str"/>
      <c r="H2338" s="64" t="str"/>
      <c r="I2338" s="65" t="str"/>
      <c r="J2338" s="49" t="str"/>
      <c r="K2338" s="41" t="str"/>
      <c r="L2338" s="41" t="str"/>
      <c r="M2338" s="41" t="str"/>
      <c r="N2338" s="41" t="str"/>
      <c r="O2338" s="41" t="str"/>
      <c r="P2338" s="41" t="str"/>
      <c r="Q2338" s="41" t="str"/>
      <c r="R2338" s="41" t="str"/>
      <c r="S2338" s="41" t="str"/>
      <c r="T2338" s="41" t="str"/>
      <c r="U2338" s="41" t="str"/>
      <c r="V2338" s="41" t="str"/>
      <c r="W2338" s="41" t="str"/>
    </row>
    <row r="2339">
      <c r="B2339" s="2" t="n"/>
      <c r="C2339" s="40" t="n"/>
      <c r="D2339" s="52">
        <f t="array" ref="D2339:W2339">IF(All_Students_Scores!C2337:V2337="","",All_Students_Scores!C2337:V2337)</f>
        <v/>
      </c>
      <c r="E2339" s="57" t="str"/>
      <c r="F2339" s="49" t="str"/>
      <c r="G2339" s="59" t="str"/>
      <c r="H2339" s="64" t="str"/>
      <c r="I2339" s="65" t="str"/>
      <c r="J2339" s="49" t="str"/>
      <c r="K2339" s="41" t="str"/>
      <c r="L2339" s="41" t="str"/>
      <c r="M2339" s="41" t="str"/>
      <c r="N2339" s="41" t="str"/>
      <c r="O2339" s="41" t="str"/>
      <c r="P2339" s="41" t="str"/>
      <c r="Q2339" s="41" t="str"/>
      <c r="R2339" s="41" t="str"/>
      <c r="S2339" s="41" t="str"/>
      <c r="T2339" s="41" t="str"/>
      <c r="U2339" s="41" t="str"/>
      <c r="V2339" s="41" t="str"/>
      <c r="W2339" s="41" t="str"/>
    </row>
    <row r="2340">
      <c r="B2340" s="2" t="n"/>
      <c r="C2340" s="40" t="n"/>
      <c r="D2340" s="52">
        <f t="array" ref="D2340:W2340">IF(All_Students_Scores!C2338:V2338="","",All_Students_Scores!C2338:V2338)</f>
        <v/>
      </c>
      <c r="E2340" s="57" t="str"/>
      <c r="F2340" s="49" t="str"/>
      <c r="G2340" s="59" t="str"/>
      <c r="H2340" s="64" t="str"/>
      <c r="I2340" s="65" t="str"/>
      <c r="J2340" s="49" t="str"/>
      <c r="K2340" s="41" t="str"/>
      <c r="L2340" s="41" t="str"/>
      <c r="M2340" s="41" t="str"/>
      <c r="N2340" s="41" t="str"/>
      <c r="O2340" s="41" t="str"/>
      <c r="P2340" s="41" t="str"/>
      <c r="Q2340" s="41" t="str"/>
      <c r="R2340" s="41" t="str"/>
      <c r="S2340" s="41" t="str"/>
      <c r="T2340" s="41" t="str"/>
      <c r="U2340" s="41" t="str"/>
      <c r="V2340" s="41" t="str"/>
      <c r="W2340" s="41" t="str"/>
    </row>
    <row r="2341">
      <c r="B2341" s="2" t="n"/>
      <c r="C2341" s="40" t="n"/>
      <c r="D2341" s="52">
        <f t="array" ref="D2341:W2341">IF(All_Students_Scores!C2339:V2339="","",All_Students_Scores!C2339:V2339)</f>
        <v/>
      </c>
      <c r="E2341" s="57" t="str"/>
      <c r="F2341" s="49" t="str"/>
      <c r="G2341" s="59" t="str"/>
      <c r="H2341" s="64" t="str"/>
      <c r="I2341" s="65" t="str"/>
      <c r="J2341" s="49" t="str"/>
      <c r="K2341" s="41" t="str"/>
      <c r="L2341" s="41" t="str"/>
      <c r="M2341" s="41" t="str"/>
      <c r="N2341" s="41" t="str"/>
      <c r="O2341" s="41" t="str"/>
      <c r="P2341" s="41" t="str"/>
      <c r="Q2341" s="41" t="str"/>
      <c r="R2341" s="41" t="str"/>
      <c r="S2341" s="41" t="str"/>
      <c r="T2341" s="41" t="str"/>
      <c r="U2341" s="41" t="str"/>
      <c r="V2341" s="41" t="str"/>
      <c r="W2341" s="41" t="str"/>
    </row>
    <row r="2342">
      <c r="B2342" s="2" t="n"/>
      <c r="C2342" s="40" t="n"/>
      <c r="D2342" s="52">
        <f t="array" ref="D2342:W2342">IF(All_Students_Scores!C2340:V2340="","",All_Students_Scores!C2340:V2340)</f>
        <v/>
      </c>
      <c r="E2342" s="57" t="str"/>
      <c r="F2342" s="49" t="str"/>
      <c r="G2342" s="59" t="str"/>
      <c r="H2342" s="64" t="str"/>
      <c r="I2342" s="65" t="str"/>
      <c r="J2342" s="49" t="str"/>
      <c r="K2342" s="41" t="str"/>
      <c r="L2342" s="41" t="str"/>
      <c r="M2342" s="41" t="str"/>
      <c r="N2342" s="41" t="str"/>
      <c r="O2342" s="41" t="str"/>
      <c r="P2342" s="41" t="str"/>
      <c r="Q2342" s="41" t="str"/>
      <c r="R2342" s="41" t="str"/>
      <c r="S2342" s="41" t="str"/>
      <c r="T2342" s="41" t="str"/>
      <c r="U2342" s="41" t="str"/>
      <c r="V2342" s="41" t="str"/>
      <c r="W2342" s="41" t="str"/>
    </row>
    <row r="2343">
      <c r="B2343" s="2" t="n"/>
      <c r="C2343" s="40" t="n"/>
      <c r="D2343" s="52">
        <f t="array" ref="D2343:W2343">IF(All_Students_Scores!C2341:V2341="","",All_Students_Scores!C2341:V2341)</f>
        <v/>
      </c>
      <c r="E2343" s="57" t="str"/>
      <c r="F2343" s="49" t="str"/>
      <c r="G2343" s="59" t="str"/>
      <c r="H2343" s="64" t="str"/>
      <c r="I2343" s="65" t="str"/>
      <c r="J2343" s="49" t="str"/>
      <c r="K2343" s="41" t="str"/>
      <c r="L2343" s="41" t="str"/>
      <c r="M2343" s="41" t="str"/>
      <c r="N2343" s="41" t="str"/>
      <c r="O2343" s="41" t="str"/>
      <c r="P2343" s="41" t="str"/>
      <c r="Q2343" s="41" t="str"/>
      <c r="R2343" s="41" t="str"/>
      <c r="S2343" s="41" t="str"/>
      <c r="T2343" s="41" t="str"/>
      <c r="U2343" s="41" t="str"/>
      <c r="V2343" s="41" t="str"/>
      <c r="W2343" s="41" t="str"/>
    </row>
    <row r="2344">
      <c r="B2344" s="2" t="n"/>
      <c r="C2344" s="40" t="n"/>
      <c r="D2344" s="52">
        <f t="array" ref="D2344:W2344">IF(All_Students_Scores!C2342:V2342="","",All_Students_Scores!C2342:V2342)</f>
        <v/>
      </c>
      <c r="E2344" s="57" t="str"/>
      <c r="F2344" s="49" t="str"/>
      <c r="G2344" s="59" t="str"/>
      <c r="H2344" s="64" t="str"/>
      <c r="I2344" s="65" t="str"/>
      <c r="J2344" s="49" t="str"/>
      <c r="K2344" s="41" t="str"/>
      <c r="L2344" s="41" t="str"/>
      <c r="M2344" s="41" t="str"/>
      <c r="N2344" s="41" t="str"/>
      <c r="O2344" s="41" t="str"/>
      <c r="P2344" s="41" t="str"/>
      <c r="Q2344" s="41" t="str"/>
      <c r="R2344" s="41" t="str"/>
      <c r="S2344" s="41" t="str"/>
      <c r="T2344" s="41" t="str"/>
      <c r="U2344" s="41" t="str"/>
      <c r="V2344" s="41" t="str"/>
      <c r="W2344" s="41" t="str"/>
    </row>
    <row r="2345">
      <c r="B2345" s="2" t="n"/>
      <c r="C2345" s="40" t="n"/>
      <c r="D2345" s="52">
        <f t="array" ref="D2345:W2345">IF(All_Students_Scores!C2343:V2343="","",All_Students_Scores!C2343:V2343)</f>
        <v/>
      </c>
      <c r="E2345" s="57" t="str"/>
      <c r="F2345" s="49" t="str"/>
      <c r="G2345" s="59" t="str"/>
      <c r="H2345" s="64" t="str"/>
      <c r="I2345" s="65" t="str"/>
      <c r="J2345" s="49" t="str"/>
      <c r="K2345" s="41" t="str"/>
      <c r="L2345" s="41" t="str"/>
      <c r="M2345" s="41" t="str"/>
      <c r="N2345" s="41" t="str"/>
      <c r="O2345" s="41" t="str"/>
      <c r="P2345" s="41" t="str"/>
      <c r="Q2345" s="41" t="str"/>
      <c r="R2345" s="41" t="str"/>
      <c r="S2345" s="41" t="str"/>
      <c r="T2345" s="41" t="str"/>
      <c r="U2345" s="41" t="str"/>
      <c r="V2345" s="41" t="str"/>
      <c r="W2345" s="41" t="str"/>
    </row>
    <row r="2346">
      <c r="B2346" s="2" t="n"/>
      <c r="C2346" s="40" t="n"/>
      <c r="D2346" s="52">
        <f t="array" ref="D2346:W2346">IF(All_Students_Scores!C2344:V2344="","",All_Students_Scores!C2344:V2344)</f>
        <v/>
      </c>
      <c r="E2346" s="57" t="str"/>
      <c r="F2346" s="49" t="str"/>
      <c r="G2346" s="59" t="str"/>
      <c r="H2346" s="64" t="str"/>
      <c r="I2346" s="65" t="str"/>
      <c r="J2346" s="49" t="str"/>
      <c r="K2346" s="41" t="str"/>
      <c r="L2346" s="41" t="str"/>
      <c r="M2346" s="41" t="str"/>
      <c r="N2346" s="41" t="str"/>
      <c r="O2346" s="41" t="str"/>
      <c r="P2346" s="41" t="str"/>
      <c r="Q2346" s="41" t="str"/>
      <c r="R2346" s="41" t="str"/>
      <c r="S2346" s="41" t="str"/>
      <c r="T2346" s="41" t="str"/>
      <c r="U2346" s="41" t="str"/>
      <c r="V2346" s="41" t="str"/>
      <c r="W2346" s="41" t="str"/>
    </row>
    <row r="2347">
      <c r="B2347" s="2" t="n"/>
      <c r="C2347" s="40" t="n"/>
      <c r="D2347" s="52">
        <f t="array" ref="D2347:W2347">IF(All_Students_Scores!C2345:V2345="","",All_Students_Scores!C2345:V2345)</f>
        <v/>
      </c>
      <c r="E2347" s="57" t="str"/>
      <c r="F2347" s="49" t="str"/>
      <c r="G2347" s="59" t="str"/>
      <c r="H2347" s="64" t="str"/>
      <c r="I2347" s="65" t="str"/>
      <c r="J2347" s="49" t="str"/>
      <c r="K2347" s="41" t="str"/>
      <c r="L2347" s="41" t="str"/>
      <c r="M2347" s="41" t="str"/>
      <c r="N2347" s="41" t="str"/>
      <c r="O2347" s="41" t="str"/>
      <c r="P2347" s="41" t="str"/>
      <c r="Q2347" s="41" t="str"/>
      <c r="R2347" s="41" t="str"/>
      <c r="S2347" s="41" t="str"/>
      <c r="T2347" s="41" t="str"/>
      <c r="U2347" s="41" t="str"/>
      <c r="V2347" s="41" t="str"/>
      <c r="W2347" s="41" t="str"/>
    </row>
    <row r="2348">
      <c r="B2348" s="2" t="n"/>
      <c r="C2348" s="40" t="n"/>
      <c r="D2348" s="52">
        <f t="array" ref="D2348:W2348">IF(All_Students_Scores!C2346:V2346="","",All_Students_Scores!C2346:V2346)</f>
        <v/>
      </c>
      <c r="E2348" s="57" t="str"/>
      <c r="F2348" s="49" t="str"/>
      <c r="G2348" s="59" t="str"/>
      <c r="H2348" s="64" t="str"/>
      <c r="I2348" s="65" t="str"/>
      <c r="J2348" s="49" t="str"/>
      <c r="K2348" s="41" t="str"/>
      <c r="L2348" s="41" t="str"/>
      <c r="M2348" s="41" t="str"/>
      <c r="N2348" s="41" t="str"/>
      <c r="O2348" s="41" t="str"/>
      <c r="P2348" s="41" t="str"/>
      <c r="Q2348" s="41" t="str"/>
      <c r="R2348" s="41" t="str"/>
      <c r="S2348" s="41" t="str"/>
      <c r="T2348" s="41" t="str"/>
      <c r="U2348" s="41" t="str"/>
      <c r="V2348" s="41" t="str"/>
      <c r="W2348" s="41" t="str"/>
    </row>
    <row r="2349">
      <c r="B2349" s="2" t="n"/>
      <c r="C2349" s="40" t="n"/>
      <c r="D2349" s="52">
        <f t="array" ref="D2349:W2349">IF(All_Students_Scores!C2347:V2347="","",All_Students_Scores!C2347:V2347)</f>
        <v/>
      </c>
      <c r="E2349" s="57" t="str"/>
      <c r="F2349" s="49" t="str"/>
      <c r="G2349" s="59" t="str"/>
      <c r="H2349" s="64" t="str"/>
      <c r="I2349" s="65" t="str"/>
      <c r="J2349" s="49" t="str"/>
      <c r="K2349" s="41" t="str"/>
      <c r="L2349" s="41" t="str"/>
      <c r="M2349" s="41" t="str"/>
      <c r="N2349" s="41" t="str"/>
      <c r="O2349" s="41" t="str"/>
      <c r="P2349" s="41" t="str"/>
      <c r="Q2349" s="41" t="str"/>
      <c r="R2349" s="41" t="str"/>
      <c r="S2349" s="41" t="str"/>
      <c r="T2349" s="41" t="str"/>
      <c r="U2349" s="41" t="str"/>
      <c r="V2349" s="41" t="str"/>
      <c r="W2349" s="41" t="str"/>
    </row>
    <row r="2350">
      <c r="B2350" s="2" t="n"/>
      <c r="C2350" s="40" t="n"/>
      <c r="D2350" s="52">
        <f t="array" ref="D2350:W2350">IF(All_Students_Scores!C2348:V2348="","",All_Students_Scores!C2348:V2348)</f>
        <v/>
      </c>
      <c r="E2350" s="57" t="str"/>
      <c r="F2350" s="49" t="str"/>
      <c r="G2350" s="59" t="str"/>
      <c r="H2350" s="64" t="str"/>
      <c r="I2350" s="65" t="str"/>
      <c r="J2350" s="49" t="str"/>
      <c r="K2350" s="41" t="str"/>
      <c r="L2350" s="41" t="str"/>
      <c r="M2350" s="41" t="str"/>
      <c r="N2350" s="41" t="str"/>
      <c r="O2350" s="41" t="str"/>
      <c r="P2350" s="41" t="str"/>
      <c r="Q2350" s="41" t="str"/>
      <c r="R2350" s="41" t="str"/>
      <c r="S2350" s="41" t="str"/>
      <c r="T2350" s="41" t="str"/>
      <c r="U2350" s="41" t="str"/>
      <c r="V2350" s="41" t="str"/>
      <c r="W2350" s="41" t="str"/>
    </row>
    <row r="2351">
      <c r="B2351" s="2" t="n"/>
      <c r="C2351" s="40" t="n"/>
      <c r="D2351" s="52">
        <f t="array" ref="D2351:W2351">IF(All_Students_Scores!C2349:V2349="","",All_Students_Scores!C2349:V2349)</f>
        <v/>
      </c>
      <c r="E2351" s="57" t="str"/>
      <c r="F2351" s="49" t="str"/>
      <c r="G2351" s="59" t="str"/>
      <c r="H2351" s="64" t="str"/>
      <c r="I2351" s="65" t="str"/>
      <c r="J2351" s="49" t="str"/>
      <c r="K2351" s="41" t="str"/>
      <c r="L2351" s="41" t="str"/>
      <c r="M2351" s="41" t="str"/>
      <c r="N2351" s="41" t="str"/>
      <c r="O2351" s="41" t="str"/>
      <c r="P2351" s="41" t="str"/>
      <c r="Q2351" s="41" t="str"/>
      <c r="R2351" s="41" t="str"/>
      <c r="S2351" s="41" t="str"/>
      <c r="T2351" s="41" t="str"/>
      <c r="U2351" s="41" t="str"/>
      <c r="V2351" s="41" t="str"/>
      <c r="W2351" s="41" t="str"/>
    </row>
    <row r="2352">
      <c r="B2352" s="2" t="n"/>
      <c r="C2352" s="40" t="n"/>
      <c r="D2352" s="52">
        <f t="array" ref="D2352:W2352">IF(All_Students_Scores!C2350:V2350="","",All_Students_Scores!C2350:V2350)</f>
        <v/>
      </c>
      <c r="E2352" s="57" t="str"/>
      <c r="F2352" s="49" t="str"/>
      <c r="G2352" s="59" t="str"/>
      <c r="H2352" s="64" t="str"/>
      <c r="I2352" s="65" t="str"/>
      <c r="J2352" s="49" t="str"/>
      <c r="K2352" s="41" t="str"/>
      <c r="L2352" s="41" t="str"/>
      <c r="M2352" s="41" t="str"/>
      <c r="N2352" s="41" t="str"/>
      <c r="O2352" s="41" t="str"/>
      <c r="P2352" s="41" t="str"/>
      <c r="Q2352" s="41" t="str"/>
      <c r="R2352" s="41" t="str"/>
      <c r="S2352" s="41" t="str"/>
      <c r="T2352" s="41" t="str"/>
      <c r="U2352" s="41" t="str"/>
      <c r="V2352" s="41" t="str"/>
      <c r="W2352" s="41" t="str"/>
    </row>
    <row r="2353">
      <c r="B2353" s="2" t="n"/>
      <c r="C2353" s="40" t="n"/>
      <c r="D2353" s="52">
        <f t="array" ref="D2353:W2353">IF(All_Students_Scores!C2351:V2351="","",All_Students_Scores!C2351:V2351)</f>
        <v/>
      </c>
      <c r="E2353" s="57" t="str"/>
      <c r="F2353" s="49" t="str"/>
      <c r="G2353" s="59" t="str"/>
      <c r="H2353" s="64" t="str"/>
      <c r="I2353" s="65" t="str"/>
      <c r="J2353" s="49" t="str"/>
      <c r="K2353" s="41" t="str"/>
      <c r="L2353" s="41" t="str"/>
      <c r="M2353" s="41" t="str"/>
      <c r="N2353" s="41" t="str"/>
      <c r="O2353" s="41" t="str"/>
      <c r="P2353" s="41" t="str"/>
      <c r="Q2353" s="41" t="str"/>
      <c r="R2353" s="41" t="str"/>
      <c r="S2353" s="41" t="str"/>
      <c r="T2353" s="41" t="str"/>
      <c r="U2353" s="41" t="str"/>
      <c r="V2353" s="41" t="str"/>
      <c r="W2353" s="41" t="str"/>
    </row>
    <row r="2354">
      <c r="B2354" s="2" t="n"/>
      <c r="C2354" s="40" t="n"/>
      <c r="D2354" s="52">
        <f t="array" ref="D2354:W2354">IF(All_Students_Scores!C2352:V2352="","",All_Students_Scores!C2352:V2352)</f>
        <v/>
      </c>
      <c r="E2354" s="57" t="str"/>
      <c r="F2354" s="49" t="str"/>
      <c r="G2354" s="59" t="str"/>
      <c r="H2354" s="64" t="str"/>
      <c r="I2354" s="65" t="str"/>
      <c r="J2354" s="49" t="str"/>
      <c r="K2354" s="41" t="str"/>
      <c r="L2354" s="41" t="str"/>
      <c r="M2354" s="41" t="str"/>
      <c r="N2354" s="41" t="str"/>
      <c r="O2354" s="41" t="str"/>
      <c r="P2354" s="41" t="str"/>
      <c r="Q2354" s="41" t="str"/>
      <c r="R2354" s="41" t="str"/>
      <c r="S2354" s="41" t="str"/>
      <c r="T2354" s="41" t="str"/>
      <c r="U2354" s="41" t="str"/>
      <c r="V2354" s="41" t="str"/>
      <c r="W2354" s="41" t="str"/>
    </row>
    <row r="2355">
      <c r="B2355" s="2" t="n"/>
      <c r="C2355" s="40" t="n"/>
      <c r="D2355" s="52">
        <f t="array" ref="D2355:W2355">IF(All_Students_Scores!C2353:V2353="","",All_Students_Scores!C2353:V2353)</f>
        <v/>
      </c>
      <c r="E2355" s="57" t="str"/>
      <c r="F2355" s="49" t="str"/>
      <c r="G2355" s="59" t="str"/>
      <c r="H2355" s="64" t="str"/>
      <c r="I2355" s="65" t="str"/>
      <c r="J2355" s="49" t="str"/>
      <c r="K2355" s="41" t="str"/>
      <c r="L2355" s="41" t="str"/>
      <c r="M2355" s="41" t="str"/>
      <c r="N2355" s="41" t="str"/>
      <c r="O2355" s="41" t="str"/>
      <c r="P2355" s="41" t="str"/>
      <c r="Q2355" s="41" t="str"/>
      <c r="R2355" s="41" t="str"/>
      <c r="S2355" s="41" t="str"/>
      <c r="T2355" s="41" t="str"/>
      <c r="U2355" s="41" t="str"/>
      <c r="V2355" s="41" t="str"/>
      <c r="W2355" s="41" t="str"/>
    </row>
    <row r="2356">
      <c r="B2356" s="2" t="n"/>
      <c r="C2356" s="40" t="n"/>
      <c r="D2356" s="52">
        <f t="array" ref="D2356:W2356">IF(All_Students_Scores!C2354:V2354="","",All_Students_Scores!C2354:V2354)</f>
        <v/>
      </c>
      <c r="E2356" s="57" t="str"/>
      <c r="F2356" s="49" t="str"/>
      <c r="G2356" s="59" t="str"/>
      <c r="H2356" s="64" t="str"/>
      <c r="I2356" s="65" t="str"/>
      <c r="J2356" s="49" t="str"/>
      <c r="K2356" s="41" t="str"/>
      <c r="L2356" s="41" t="str"/>
      <c r="M2356" s="41" t="str"/>
      <c r="N2356" s="41" t="str"/>
      <c r="O2356" s="41" t="str"/>
      <c r="P2356" s="41" t="str"/>
      <c r="Q2356" s="41" t="str"/>
      <c r="R2356" s="41" t="str"/>
      <c r="S2356" s="41" t="str"/>
      <c r="T2356" s="41" t="str"/>
      <c r="U2356" s="41" t="str"/>
      <c r="V2356" s="41" t="str"/>
      <c r="W2356" s="41" t="str"/>
    </row>
    <row r="2357">
      <c r="B2357" s="2" t="n"/>
      <c r="C2357" s="40" t="n"/>
      <c r="D2357" s="52">
        <f t="array" ref="D2357:W2357">IF(All_Students_Scores!C2355:V2355="","",All_Students_Scores!C2355:V2355)</f>
        <v/>
      </c>
      <c r="E2357" s="57" t="str"/>
      <c r="F2357" s="49" t="str"/>
      <c r="G2357" s="59" t="str"/>
      <c r="H2357" s="64" t="str"/>
      <c r="I2357" s="65" t="str"/>
      <c r="J2357" s="49" t="str"/>
      <c r="K2357" s="41" t="str"/>
      <c r="L2357" s="41" t="str"/>
      <c r="M2357" s="41" t="str"/>
      <c r="N2357" s="41" t="str"/>
      <c r="O2357" s="41" t="str"/>
      <c r="P2357" s="41" t="str"/>
      <c r="Q2357" s="41" t="str"/>
      <c r="R2357" s="41" t="str"/>
      <c r="S2357" s="41" t="str"/>
      <c r="T2357" s="41" t="str"/>
      <c r="U2357" s="41" t="str"/>
      <c r="V2357" s="41" t="str"/>
      <c r="W2357" s="41" t="str"/>
    </row>
    <row r="2358">
      <c r="B2358" s="2" t="n"/>
      <c r="C2358" s="40" t="n"/>
      <c r="D2358" s="52">
        <f t="array" ref="D2358:W2358">IF(All_Students_Scores!C2356:V2356="","",All_Students_Scores!C2356:V2356)</f>
        <v/>
      </c>
      <c r="E2358" s="57" t="str"/>
      <c r="F2358" s="49" t="str"/>
      <c r="G2358" s="59" t="str"/>
      <c r="H2358" s="64" t="str"/>
      <c r="I2358" s="65" t="str"/>
      <c r="J2358" s="49" t="str"/>
      <c r="K2358" s="41" t="str"/>
      <c r="L2358" s="41" t="str"/>
      <c r="M2358" s="41" t="str"/>
      <c r="N2358" s="41" t="str"/>
      <c r="O2358" s="41" t="str"/>
      <c r="P2358" s="41" t="str"/>
      <c r="Q2358" s="41" t="str"/>
      <c r="R2358" s="41" t="str"/>
      <c r="S2358" s="41" t="str"/>
      <c r="T2358" s="41" t="str"/>
      <c r="U2358" s="41" t="str"/>
      <c r="V2358" s="41" t="str"/>
      <c r="W2358" s="41" t="str"/>
    </row>
    <row r="2359">
      <c r="B2359" s="2" t="n"/>
      <c r="C2359" s="40" t="n"/>
      <c r="D2359" s="52">
        <f t="array" ref="D2359:W2359">IF(All_Students_Scores!C2357:V2357="","",All_Students_Scores!C2357:V2357)</f>
        <v/>
      </c>
      <c r="E2359" s="57" t="str"/>
      <c r="F2359" s="49" t="str"/>
      <c r="G2359" s="59" t="str"/>
      <c r="H2359" s="64" t="str"/>
      <c r="I2359" s="65" t="str"/>
      <c r="J2359" s="49" t="str"/>
      <c r="K2359" s="41" t="str"/>
      <c r="L2359" s="41" t="str"/>
      <c r="M2359" s="41" t="str"/>
      <c r="N2359" s="41" t="str"/>
      <c r="O2359" s="41" t="str"/>
      <c r="P2359" s="41" t="str"/>
      <c r="Q2359" s="41" t="str"/>
      <c r="R2359" s="41" t="str"/>
      <c r="S2359" s="41" t="str"/>
      <c r="T2359" s="41" t="str"/>
      <c r="U2359" s="41" t="str"/>
      <c r="V2359" s="41" t="str"/>
      <c r="W2359" s="41" t="str"/>
    </row>
    <row r="2360">
      <c r="B2360" s="2" t="n"/>
      <c r="C2360" s="40" t="n"/>
      <c r="D2360" s="52">
        <f t="array" ref="D2360:W2360">IF(All_Students_Scores!C2358:V2358="","",All_Students_Scores!C2358:V2358)</f>
        <v/>
      </c>
      <c r="E2360" s="57" t="str"/>
      <c r="F2360" s="49" t="str"/>
      <c r="G2360" s="59" t="str"/>
      <c r="H2360" s="64" t="str"/>
      <c r="I2360" s="65" t="str"/>
      <c r="J2360" s="49" t="str"/>
      <c r="K2360" s="41" t="str"/>
      <c r="L2360" s="41" t="str"/>
      <c r="M2360" s="41" t="str"/>
      <c r="N2360" s="41" t="str"/>
      <c r="O2360" s="41" t="str"/>
      <c r="P2360" s="41" t="str"/>
      <c r="Q2360" s="41" t="str"/>
      <c r="R2360" s="41" t="str"/>
      <c r="S2360" s="41" t="str"/>
      <c r="T2360" s="41" t="str"/>
      <c r="U2360" s="41" t="str"/>
      <c r="V2360" s="41" t="str"/>
      <c r="W2360" s="41" t="str"/>
    </row>
    <row r="2361">
      <c r="B2361" s="2" t="n"/>
      <c r="C2361" s="40" t="n"/>
      <c r="D2361" s="52">
        <f t="array" ref="D2361:W2361">IF(All_Students_Scores!C2359:V2359="","",All_Students_Scores!C2359:V2359)</f>
        <v/>
      </c>
      <c r="E2361" s="57" t="str"/>
      <c r="F2361" s="49" t="str"/>
      <c r="G2361" s="59" t="str"/>
      <c r="H2361" s="64" t="str"/>
      <c r="I2361" s="65" t="str"/>
      <c r="J2361" s="49" t="str"/>
      <c r="K2361" s="41" t="str"/>
      <c r="L2361" s="41" t="str"/>
      <c r="M2361" s="41" t="str"/>
      <c r="N2361" s="41" t="str"/>
      <c r="O2361" s="41" t="str"/>
      <c r="P2361" s="41" t="str"/>
      <c r="Q2361" s="41" t="str"/>
      <c r="R2361" s="41" t="str"/>
      <c r="S2361" s="41" t="str"/>
      <c r="T2361" s="41" t="str"/>
      <c r="U2361" s="41" t="str"/>
      <c r="V2361" s="41" t="str"/>
      <c r="W2361" s="41" t="str"/>
    </row>
    <row r="2362">
      <c r="B2362" s="2" t="n"/>
      <c r="C2362" s="40" t="n"/>
      <c r="D2362" s="52">
        <f t="array" ref="D2362:W2362">IF(All_Students_Scores!C2360:V2360="","",All_Students_Scores!C2360:V2360)</f>
        <v/>
      </c>
      <c r="E2362" s="57" t="str"/>
      <c r="F2362" s="49" t="str"/>
      <c r="G2362" s="59" t="str"/>
      <c r="H2362" s="64" t="str"/>
      <c r="I2362" s="65" t="str"/>
      <c r="J2362" s="49" t="str"/>
      <c r="K2362" s="41" t="str"/>
      <c r="L2362" s="41" t="str"/>
      <c r="M2362" s="41" t="str"/>
      <c r="N2362" s="41" t="str"/>
      <c r="O2362" s="41" t="str"/>
      <c r="P2362" s="41" t="str"/>
      <c r="Q2362" s="41" t="str"/>
      <c r="R2362" s="41" t="str"/>
      <c r="S2362" s="41" t="str"/>
      <c r="T2362" s="41" t="str"/>
      <c r="U2362" s="41" t="str"/>
      <c r="V2362" s="41" t="str"/>
      <c r="W2362" s="41" t="str"/>
    </row>
    <row r="2363">
      <c r="B2363" s="2" t="n"/>
      <c r="C2363" s="40" t="n"/>
      <c r="D2363" s="52">
        <f t="array" ref="D2363:W2363">IF(All_Students_Scores!C2361:V2361="","",All_Students_Scores!C2361:V2361)</f>
        <v/>
      </c>
      <c r="E2363" s="57" t="str"/>
      <c r="F2363" s="49" t="str"/>
      <c r="G2363" s="59" t="str"/>
      <c r="H2363" s="64" t="str"/>
      <c r="I2363" s="65" t="str"/>
      <c r="J2363" s="49" t="str"/>
      <c r="K2363" s="41" t="str"/>
      <c r="L2363" s="41" t="str"/>
      <c r="M2363" s="41" t="str"/>
      <c r="N2363" s="41" t="str"/>
      <c r="O2363" s="41" t="str"/>
      <c r="P2363" s="41" t="str"/>
      <c r="Q2363" s="41" t="str"/>
      <c r="R2363" s="41" t="str"/>
      <c r="S2363" s="41" t="str"/>
      <c r="T2363" s="41" t="str"/>
      <c r="U2363" s="41" t="str"/>
      <c r="V2363" s="41" t="str"/>
      <c r="W2363" s="41" t="str"/>
    </row>
    <row r="2364">
      <c r="B2364" s="2" t="n"/>
      <c r="C2364" s="40" t="n"/>
      <c r="D2364" s="52">
        <f t="array" ref="D2364:W2364">IF(All_Students_Scores!C2362:V2362="","",All_Students_Scores!C2362:V2362)</f>
        <v/>
      </c>
      <c r="E2364" s="57" t="str"/>
      <c r="F2364" s="49" t="str"/>
      <c r="G2364" s="59" t="str"/>
      <c r="H2364" s="64" t="str"/>
      <c r="I2364" s="65" t="str"/>
      <c r="J2364" s="49" t="str"/>
      <c r="K2364" s="41" t="str"/>
      <c r="L2364" s="41" t="str"/>
      <c r="M2364" s="41" t="str"/>
      <c r="N2364" s="41" t="str"/>
      <c r="O2364" s="41" t="str"/>
      <c r="P2364" s="41" t="str"/>
      <c r="Q2364" s="41" t="str"/>
      <c r="R2364" s="41" t="str"/>
      <c r="S2364" s="41" t="str"/>
      <c r="T2364" s="41" t="str"/>
      <c r="U2364" s="41" t="str"/>
      <c r="V2364" s="41" t="str"/>
      <c r="W2364" s="41" t="str"/>
    </row>
    <row r="2365">
      <c r="B2365" s="2" t="n"/>
      <c r="C2365" s="40" t="n"/>
      <c r="D2365" s="52">
        <f t="array" ref="D2365:W2365">IF(All_Students_Scores!C2363:V2363="","",All_Students_Scores!C2363:V2363)</f>
        <v/>
      </c>
      <c r="E2365" s="57" t="str"/>
      <c r="F2365" s="49" t="str"/>
      <c r="G2365" s="59" t="str"/>
      <c r="H2365" s="64" t="str"/>
      <c r="I2365" s="65" t="str"/>
      <c r="J2365" s="49" t="str"/>
      <c r="K2365" s="41" t="str"/>
      <c r="L2365" s="41" t="str"/>
      <c r="M2365" s="41" t="str"/>
      <c r="N2365" s="41" t="str"/>
      <c r="O2365" s="41" t="str"/>
      <c r="P2365" s="41" t="str"/>
      <c r="Q2365" s="41" t="str"/>
      <c r="R2365" s="41" t="str"/>
      <c r="S2365" s="41" t="str"/>
      <c r="T2365" s="41" t="str"/>
      <c r="U2365" s="41" t="str"/>
      <c r="V2365" s="41" t="str"/>
      <c r="W2365" s="41" t="str"/>
    </row>
    <row r="2366">
      <c r="B2366" s="2" t="n"/>
      <c r="C2366" s="40" t="n"/>
      <c r="D2366" s="52">
        <f t="array" ref="D2366:W2366">IF(All_Students_Scores!C2364:V2364="","",All_Students_Scores!C2364:V2364)</f>
        <v/>
      </c>
      <c r="E2366" s="57" t="str"/>
      <c r="F2366" s="49" t="str"/>
      <c r="G2366" s="59" t="str"/>
      <c r="H2366" s="64" t="str"/>
      <c r="I2366" s="65" t="str"/>
      <c r="J2366" s="49" t="str"/>
      <c r="K2366" s="41" t="str"/>
      <c r="L2366" s="41" t="str"/>
      <c r="M2366" s="41" t="str"/>
      <c r="N2366" s="41" t="str"/>
      <c r="O2366" s="41" t="str"/>
      <c r="P2366" s="41" t="str"/>
      <c r="Q2366" s="41" t="str"/>
      <c r="R2366" s="41" t="str"/>
      <c r="S2366" s="41" t="str"/>
      <c r="T2366" s="41" t="str"/>
      <c r="U2366" s="41" t="str"/>
      <c r="V2366" s="41" t="str"/>
      <c r="W2366" s="41" t="str"/>
    </row>
    <row r="2367">
      <c r="B2367" s="2" t="n"/>
      <c r="C2367" s="40" t="n"/>
      <c r="D2367" s="52">
        <f t="array" ref="D2367:W2367">IF(All_Students_Scores!C2365:V2365="","",All_Students_Scores!C2365:V2365)</f>
        <v/>
      </c>
      <c r="E2367" s="57" t="str"/>
      <c r="F2367" s="49" t="str"/>
      <c r="G2367" s="59" t="str"/>
      <c r="H2367" s="64" t="str"/>
      <c r="I2367" s="65" t="str"/>
      <c r="J2367" s="49" t="str"/>
      <c r="K2367" s="41" t="str"/>
      <c r="L2367" s="41" t="str"/>
      <c r="M2367" s="41" t="str"/>
      <c r="N2367" s="41" t="str"/>
      <c r="O2367" s="41" t="str"/>
      <c r="P2367" s="41" t="str"/>
      <c r="Q2367" s="41" t="str"/>
      <c r="R2367" s="41" t="str"/>
      <c r="S2367" s="41" t="str"/>
      <c r="T2367" s="41" t="str"/>
      <c r="U2367" s="41" t="str"/>
      <c r="V2367" s="41" t="str"/>
      <c r="W2367" s="41" t="str"/>
    </row>
    <row r="2368">
      <c r="B2368" s="2" t="n"/>
      <c r="C2368" s="40" t="n"/>
      <c r="D2368" s="52">
        <f t="array" ref="D2368:W2368">IF(All_Students_Scores!C2366:V2366="","",All_Students_Scores!C2366:V2366)</f>
        <v/>
      </c>
      <c r="E2368" s="57" t="str"/>
      <c r="F2368" s="49" t="str"/>
      <c r="G2368" s="59" t="str"/>
      <c r="H2368" s="64" t="str"/>
      <c r="I2368" s="65" t="str"/>
      <c r="J2368" s="49" t="str"/>
      <c r="K2368" s="41" t="str"/>
      <c r="L2368" s="41" t="str"/>
      <c r="M2368" s="41" t="str"/>
      <c r="N2368" s="41" t="str"/>
      <c r="O2368" s="41" t="str"/>
      <c r="P2368" s="41" t="str"/>
      <c r="Q2368" s="41" t="str"/>
      <c r="R2368" s="41" t="str"/>
      <c r="S2368" s="41" t="str"/>
      <c r="T2368" s="41" t="str"/>
      <c r="U2368" s="41" t="str"/>
      <c r="V2368" s="41" t="str"/>
      <c r="W2368" s="41" t="str"/>
    </row>
    <row r="2369">
      <c r="B2369" s="2" t="n"/>
      <c r="C2369" s="40" t="n"/>
      <c r="D2369" s="52">
        <f t="array" ref="D2369:W2369">IF(All_Students_Scores!C2367:V2367="","",All_Students_Scores!C2367:V2367)</f>
        <v/>
      </c>
      <c r="E2369" s="57" t="str"/>
      <c r="F2369" s="49" t="str"/>
      <c r="G2369" s="59" t="str"/>
      <c r="H2369" s="64" t="str"/>
      <c r="I2369" s="65" t="str"/>
      <c r="J2369" s="49" t="str"/>
      <c r="K2369" s="41" t="str"/>
      <c r="L2369" s="41" t="str"/>
      <c r="M2369" s="41" t="str"/>
      <c r="N2369" s="41" t="str"/>
      <c r="O2369" s="41" t="str"/>
      <c r="P2369" s="41" t="str"/>
      <c r="Q2369" s="41" t="str"/>
      <c r="R2369" s="41" t="str"/>
      <c r="S2369" s="41" t="str"/>
      <c r="T2369" s="41" t="str"/>
      <c r="U2369" s="41" t="str"/>
      <c r="V2369" s="41" t="str"/>
      <c r="W2369" s="41" t="str"/>
    </row>
    <row r="2370">
      <c r="B2370" s="2" t="n"/>
      <c r="C2370" s="40" t="n"/>
      <c r="D2370" s="52">
        <f t="array" ref="D2370:W2370">IF(All_Students_Scores!C2368:V2368="","",All_Students_Scores!C2368:V2368)</f>
        <v/>
      </c>
      <c r="E2370" s="57" t="str"/>
      <c r="F2370" s="49" t="str"/>
      <c r="G2370" s="59" t="str"/>
      <c r="H2370" s="64" t="str"/>
      <c r="I2370" s="65" t="str"/>
      <c r="J2370" s="49" t="str"/>
      <c r="K2370" s="41" t="str"/>
      <c r="L2370" s="41" t="str"/>
      <c r="M2370" s="41" t="str"/>
      <c r="N2370" s="41" t="str"/>
      <c r="O2370" s="41" t="str"/>
      <c r="P2370" s="41" t="str"/>
      <c r="Q2370" s="41" t="str"/>
      <c r="R2370" s="41" t="str"/>
      <c r="S2370" s="41" t="str"/>
      <c r="T2370" s="41" t="str"/>
      <c r="U2370" s="41" t="str"/>
      <c r="V2370" s="41" t="str"/>
      <c r="W2370" s="41" t="str"/>
    </row>
    <row r="2371">
      <c r="B2371" s="2" t="n"/>
      <c r="C2371" s="40" t="n"/>
      <c r="D2371" s="52">
        <f t="array" ref="D2371:W2371">IF(All_Students_Scores!C2369:V2369="","",All_Students_Scores!C2369:V2369)</f>
        <v/>
      </c>
      <c r="E2371" s="57" t="str"/>
      <c r="F2371" s="49" t="str"/>
      <c r="G2371" s="59" t="str"/>
      <c r="H2371" s="64" t="str"/>
      <c r="I2371" s="65" t="str"/>
      <c r="J2371" s="49" t="str"/>
      <c r="K2371" s="41" t="str"/>
      <c r="L2371" s="41" t="str"/>
      <c r="M2371" s="41" t="str"/>
      <c r="N2371" s="41" t="str"/>
      <c r="O2371" s="41" t="str"/>
      <c r="P2371" s="41" t="str"/>
      <c r="Q2371" s="41" t="str"/>
      <c r="R2371" s="41" t="str"/>
      <c r="S2371" s="41" t="str"/>
      <c r="T2371" s="41" t="str"/>
      <c r="U2371" s="41" t="str"/>
      <c r="V2371" s="41" t="str"/>
      <c r="W2371" s="41" t="str"/>
    </row>
    <row r="2372">
      <c r="B2372" s="2" t="n"/>
      <c r="C2372" s="40" t="n"/>
      <c r="D2372" s="52">
        <f t="array" ref="D2372:W2372">IF(All_Students_Scores!C2370:V2370="","",All_Students_Scores!C2370:V2370)</f>
        <v/>
      </c>
      <c r="E2372" s="57" t="str"/>
      <c r="F2372" s="49" t="str"/>
      <c r="G2372" s="59" t="str"/>
      <c r="H2372" s="64" t="str"/>
      <c r="I2372" s="65" t="str"/>
      <c r="J2372" s="49" t="str"/>
      <c r="K2372" s="41" t="str"/>
      <c r="L2372" s="41" t="str"/>
      <c r="M2372" s="41" t="str"/>
      <c r="N2372" s="41" t="str"/>
      <c r="O2372" s="41" t="str"/>
      <c r="P2372" s="41" t="str"/>
      <c r="Q2372" s="41" t="str"/>
      <c r="R2372" s="41" t="str"/>
      <c r="S2372" s="41" t="str"/>
      <c r="T2372" s="41" t="str"/>
      <c r="U2372" s="41" t="str"/>
      <c r="V2372" s="41" t="str"/>
      <c r="W2372" s="41" t="str"/>
    </row>
    <row r="2373">
      <c r="B2373" s="2" t="n"/>
      <c r="C2373" s="40" t="n"/>
      <c r="D2373" s="52">
        <f t="array" ref="D2373:W2373">IF(All_Students_Scores!C2371:V2371="","",All_Students_Scores!C2371:V2371)</f>
        <v/>
      </c>
      <c r="E2373" s="57" t="str"/>
      <c r="F2373" s="49" t="str"/>
      <c r="G2373" s="59" t="str"/>
      <c r="H2373" s="64" t="str"/>
      <c r="I2373" s="65" t="str"/>
      <c r="J2373" s="49" t="str"/>
      <c r="K2373" s="41" t="str"/>
      <c r="L2373" s="41" t="str"/>
      <c r="M2373" s="41" t="str"/>
      <c r="N2373" s="41" t="str"/>
      <c r="O2373" s="41" t="str"/>
      <c r="P2373" s="41" t="str"/>
      <c r="Q2373" s="41" t="str"/>
      <c r="R2373" s="41" t="str"/>
      <c r="S2373" s="41" t="str"/>
      <c r="T2373" s="41" t="str"/>
      <c r="U2373" s="41" t="str"/>
      <c r="V2373" s="41" t="str"/>
      <c r="W2373" s="41" t="str"/>
    </row>
    <row r="2374">
      <c r="B2374" s="2" t="n"/>
      <c r="C2374" s="40" t="n"/>
      <c r="D2374" s="52">
        <f t="array" ref="D2374:W2374">IF(All_Students_Scores!C2372:V2372="","",All_Students_Scores!C2372:V2372)</f>
        <v/>
      </c>
      <c r="E2374" s="57" t="str"/>
      <c r="F2374" s="49" t="str"/>
      <c r="G2374" s="59" t="str"/>
      <c r="H2374" s="64" t="str"/>
      <c r="I2374" s="65" t="str"/>
      <c r="J2374" s="49" t="str"/>
      <c r="K2374" s="41" t="str"/>
      <c r="L2374" s="41" t="str"/>
      <c r="M2374" s="41" t="str"/>
      <c r="N2374" s="41" t="str"/>
      <c r="O2374" s="41" t="str"/>
      <c r="P2374" s="41" t="str"/>
      <c r="Q2374" s="41" t="str"/>
      <c r="R2374" s="41" t="str"/>
      <c r="S2374" s="41" t="str"/>
      <c r="T2374" s="41" t="str"/>
      <c r="U2374" s="41" t="str"/>
      <c r="V2374" s="41" t="str"/>
      <c r="W2374" s="41" t="str"/>
    </row>
    <row r="2375">
      <c r="B2375" s="2" t="n"/>
      <c r="C2375" s="40" t="n"/>
      <c r="D2375" s="52">
        <f t="array" ref="D2375:W2375">IF(All_Students_Scores!C2373:V2373="","",All_Students_Scores!C2373:V2373)</f>
        <v/>
      </c>
      <c r="E2375" s="57" t="str"/>
      <c r="F2375" s="49" t="str"/>
      <c r="G2375" s="59" t="str"/>
      <c r="H2375" s="64" t="str"/>
      <c r="I2375" s="65" t="str"/>
      <c r="J2375" s="49" t="str"/>
      <c r="K2375" s="41" t="str"/>
      <c r="L2375" s="41" t="str"/>
      <c r="M2375" s="41" t="str"/>
      <c r="N2375" s="41" t="str"/>
      <c r="O2375" s="41" t="str"/>
      <c r="P2375" s="41" t="str"/>
      <c r="Q2375" s="41" t="str"/>
      <c r="R2375" s="41" t="str"/>
      <c r="S2375" s="41" t="str"/>
      <c r="T2375" s="41" t="str"/>
      <c r="U2375" s="41" t="str"/>
      <c r="V2375" s="41" t="str"/>
      <c r="W2375" s="41" t="str"/>
    </row>
    <row r="2376">
      <c r="B2376" s="2" t="n"/>
      <c r="C2376" s="40" t="n"/>
      <c r="D2376" s="52">
        <f t="array" ref="D2376:W2376">IF(All_Students_Scores!C2374:V2374="","",All_Students_Scores!C2374:V2374)</f>
        <v/>
      </c>
      <c r="E2376" s="57" t="str"/>
      <c r="F2376" s="49" t="str"/>
      <c r="G2376" s="59" t="str"/>
      <c r="H2376" s="64" t="str"/>
      <c r="I2376" s="65" t="str"/>
      <c r="J2376" s="49" t="str"/>
      <c r="K2376" s="41" t="str"/>
      <c r="L2376" s="41" t="str"/>
      <c r="M2376" s="41" t="str"/>
      <c r="N2376" s="41" t="str"/>
      <c r="O2376" s="41" t="str"/>
      <c r="P2376" s="41" t="str"/>
      <c r="Q2376" s="41" t="str"/>
      <c r="R2376" s="41" t="str"/>
      <c r="S2376" s="41" t="str"/>
      <c r="T2376" s="41" t="str"/>
      <c r="U2376" s="41" t="str"/>
      <c r="V2376" s="41" t="str"/>
      <c r="W2376" s="41" t="str"/>
    </row>
    <row r="2377">
      <c r="B2377" s="2" t="n"/>
      <c r="C2377" s="40" t="n"/>
      <c r="D2377" s="52">
        <f t="array" ref="D2377:W2377">IF(All_Students_Scores!C2375:V2375="","",All_Students_Scores!C2375:V2375)</f>
        <v/>
      </c>
      <c r="E2377" s="57" t="str"/>
      <c r="F2377" s="49" t="str"/>
      <c r="G2377" s="59" t="str"/>
      <c r="H2377" s="64" t="str"/>
      <c r="I2377" s="65" t="str"/>
      <c r="J2377" s="49" t="str"/>
      <c r="K2377" s="41" t="str"/>
      <c r="L2377" s="41" t="str"/>
      <c r="M2377" s="41" t="str"/>
      <c r="N2377" s="41" t="str"/>
      <c r="O2377" s="41" t="str"/>
      <c r="P2377" s="41" t="str"/>
      <c r="Q2377" s="41" t="str"/>
      <c r="R2377" s="41" t="str"/>
      <c r="S2377" s="41" t="str"/>
      <c r="T2377" s="41" t="str"/>
      <c r="U2377" s="41" t="str"/>
      <c r="V2377" s="41" t="str"/>
      <c r="W2377" s="41" t="str"/>
    </row>
    <row r="2378">
      <c r="B2378" s="2" t="n"/>
      <c r="C2378" s="40" t="n"/>
      <c r="D2378" s="52">
        <f t="array" ref="D2378:W2378">IF(All_Students_Scores!C2376:V2376="","",All_Students_Scores!C2376:V2376)</f>
        <v/>
      </c>
      <c r="E2378" s="57" t="str"/>
      <c r="F2378" s="49" t="str"/>
      <c r="G2378" s="59" t="str"/>
      <c r="H2378" s="64" t="str"/>
      <c r="I2378" s="65" t="str"/>
      <c r="J2378" s="49" t="str"/>
      <c r="K2378" s="41" t="str"/>
      <c r="L2378" s="41" t="str"/>
      <c r="M2378" s="41" t="str"/>
      <c r="N2378" s="41" t="str"/>
      <c r="O2378" s="41" t="str"/>
      <c r="P2378" s="41" t="str"/>
      <c r="Q2378" s="41" t="str"/>
      <c r="R2378" s="41" t="str"/>
      <c r="S2378" s="41" t="str"/>
      <c r="T2378" s="41" t="str"/>
      <c r="U2378" s="41" t="str"/>
      <c r="V2378" s="41" t="str"/>
      <c r="W2378" s="41" t="str"/>
    </row>
    <row r="2379">
      <c r="B2379" s="2" t="n"/>
      <c r="C2379" s="40" t="n"/>
      <c r="D2379" s="52">
        <f t="array" ref="D2379:W2379">IF(All_Students_Scores!C2377:V2377="","",All_Students_Scores!C2377:V2377)</f>
        <v/>
      </c>
      <c r="E2379" s="57" t="str"/>
      <c r="F2379" s="49" t="str"/>
      <c r="G2379" s="59" t="str"/>
      <c r="H2379" s="64" t="str"/>
      <c r="I2379" s="65" t="str"/>
      <c r="J2379" s="49" t="str"/>
      <c r="K2379" s="41" t="str"/>
      <c r="L2379" s="41" t="str"/>
      <c r="M2379" s="41" t="str"/>
      <c r="N2379" s="41" t="str"/>
      <c r="O2379" s="41" t="str"/>
      <c r="P2379" s="41" t="str"/>
      <c r="Q2379" s="41" t="str"/>
      <c r="R2379" s="41" t="str"/>
      <c r="S2379" s="41" t="str"/>
      <c r="T2379" s="41" t="str"/>
      <c r="U2379" s="41" t="str"/>
      <c r="V2379" s="41" t="str"/>
      <c r="W2379" s="41" t="str"/>
    </row>
    <row r="2380">
      <c r="B2380" s="2" t="n"/>
      <c r="C2380" s="40" t="n"/>
      <c r="D2380" s="52">
        <f t="array" ref="D2380:W2380">IF(All_Students_Scores!C2378:V2378="","",All_Students_Scores!C2378:V2378)</f>
        <v/>
      </c>
      <c r="E2380" s="57" t="str"/>
      <c r="F2380" s="49" t="str"/>
      <c r="G2380" s="59" t="str"/>
      <c r="H2380" s="64" t="str"/>
      <c r="I2380" s="65" t="str"/>
      <c r="J2380" s="49" t="str"/>
      <c r="K2380" s="41" t="str"/>
      <c r="L2380" s="41" t="str"/>
      <c r="M2380" s="41" t="str"/>
      <c r="N2380" s="41" t="str"/>
      <c r="O2380" s="41" t="str"/>
      <c r="P2380" s="41" t="str"/>
      <c r="Q2380" s="41" t="str"/>
      <c r="R2380" s="41" t="str"/>
      <c r="S2380" s="41" t="str"/>
      <c r="T2380" s="41" t="str"/>
      <c r="U2380" s="41" t="str"/>
      <c r="V2380" s="41" t="str"/>
      <c r="W2380" s="41" t="str"/>
    </row>
    <row r="2381">
      <c r="B2381" s="2" t="n"/>
      <c r="C2381" s="40" t="n"/>
      <c r="D2381" s="52">
        <f t="array" ref="D2381:W2381">IF(All_Students_Scores!C2379:V2379="","",All_Students_Scores!C2379:V2379)</f>
        <v/>
      </c>
      <c r="E2381" s="57" t="str"/>
      <c r="F2381" s="49" t="str"/>
      <c r="G2381" s="59" t="str"/>
      <c r="H2381" s="64" t="str"/>
      <c r="I2381" s="65" t="str"/>
      <c r="J2381" s="49" t="str"/>
      <c r="K2381" s="41" t="str"/>
      <c r="L2381" s="41" t="str"/>
      <c r="M2381" s="41" t="str"/>
      <c r="N2381" s="41" t="str"/>
      <c r="O2381" s="41" t="str"/>
      <c r="P2381" s="41" t="str"/>
      <c r="Q2381" s="41" t="str"/>
      <c r="R2381" s="41" t="str"/>
      <c r="S2381" s="41" t="str"/>
      <c r="T2381" s="41" t="str"/>
      <c r="U2381" s="41" t="str"/>
      <c r="V2381" s="41" t="str"/>
      <c r="W2381" s="41" t="str"/>
    </row>
    <row r="2382">
      <c r="B2382" s="2" t="n"/>
      <c r="C2382" s="40" t="n"/>
      <c r="D2382" s="52">
        <f t="array" ref="D2382:W2382">IF(All_Students_Scores!C2380:V2380="","",All_Students_Scores!C2380:V2380)</f>
        <v/>
      </c>
      <c r="E2382" s="57" t="str"/>
      <c r="F2382" s="49" t="str"/>
      <c r="G2382" s="59" t="str"/>
      <c r="H2382" s="64" t="str"/>
      <c r="I2382" s="65" t="str"/>
      <c r="J2382" s="49" t="str"/>
      <c r="K2382" s="41" t="str"/>
      <c r="L2382" s="41" t="str"/>
      <c r="M2382" s="41" t="str"/>
      <c r="N2382" s="41" t="str"/>
      <c r="O2382" s="41" t="str"/>
      <c r="P2382" s="41" t="str"/>
      <c r="Q2382" s="41" t="str"/>
      <c r="R2382" s="41" t="str"/>
      <c r="S2382" s="41" t="str"/>
      <c r="T2382" s="41" t="str"/>
      <c r="U2382" s="41" t="str"/>
      <c r="V2382" s="41" t="str"/>
      <c r="W2382" s="41" t="str"/>
    </row>
    <row r="2383">
      <c r="B2383" s="2" t="n"/>
      <c r="C2383" s="40" t="n"/>
      <c r="D2383" s="52">
        <f t="array" ref="D2383:W2383">IF(All_Students_Scores!C2381:V2381="","",All_Students_Scores!C2381:V2381)</f>
        <v/>
      </c>
      <c r="E2383" s="57" t="str"/>
      <c r="F2383" s="49" t="str"/>
      <c r="G2383" s="59" t="str"/>
      <c r="H2383" s="64" t="str"/>
      <c r="I2383" s="65" t="str"/>
      <c r="J2383" s="49" t="str"/>
      <c r="K2383" s="41" t="str"/>
      <c r="L2383" s="41" t="str"/>
      <c r="M2383" s="41" t="str"/>
      <c r="N2383" s="41" t="str"/>
      <c r="O2383" s="41" t="str"/>
      <c r="P2383" s="41" t="str"/>
      <c r="Q2383" s="41" t="str"/>
      <c r="R2383" s="41" t="str"/>
      <c r="S2383" s="41" t="str"/>
      <c r="T2383" s="41" t="str"/>
      <c r="U2383" s="41" t="str"/>
      <c r="V2383" s="41" t="str"/>
      <c r="W2383" s="41" t="str"/>
    </row>
    <row r="2384">
      <c r="B2384" s="2" t="n"/>
      <c r="C2384" s="40" t="n"/>
      <c r="D2384" s="52">
        <f t="array" ref="D2384:W2384">IF(All_Students_Scores!C2382:V2382="","",All_Students_Scores!C2382:V2382)</f>
        <v/>
      </c>
      <c r="E2384" s="57" t="str"/>
      <c r="F2384" s="49" t="str"/>
      <c r="G2384" s="59" t="str"/>
      <c r="H2384" s="64" t="str"/>
      <c r="I2384" s="65" t="str"/>
      <c r="J2384" s="49" t="str"/>
      <c r="K2384" s="41" t="str"/>
      <c r="L2384" s="41" t="str"/>
      <c r="M2384" s="41" t="str"/>
      <c r="N2384" s="41" t="str"/>
      <c r="O2384" s="41" t="str"/>
      <c r="P2384" s="41" t="str"/>
      <c r="Q2384" s="41" t="str"/>
      <c r="R2384" s="41" t="str"/>
      <c r="S2384" s="41" t="str"/>
      <c r="T2384" s="41" t="str"/>
      <c r="U2384" s="41" t="str"/>
      <c r="V2384" s="41" t="str"/>
      <c r="W2384" s="41" t="str"/>
    </row>
    <row r="2385">
      <c r="B2385" s="2" t="n"/>
      <c r="C2385" s="40" t="n"/>
      <c r="D2385" s="52">
        <f t="array" ref="D2385:W2385">IF(All_Students_Scores!C2383:V2383="","",All_Students_Scores!C2383:V2383)</f>
        <v/>
      </c>
      <c r="E2385" s="57" t="str"/>
      <c r="F2385" s="49" t="str"/>
      <c r="G2385" s="59" t="str"/>
      <c r="H2385" s="64" t="str"/>
      <c r="I2385" s="65" t="str"/>
      <c r="J2385" s="49" t="str"/>
      <c r="K2385" s="41" t="str"/>
      <c r="L2385" s="41" t="str"/>
      <c r="M2385" s="41" t="str"/>
      <c r="N2385" s="41" t="str"/>
      <c r="O2385" s="41" t="str"/>
      <c r="P2385" s="41" t="str"/>
      <c r="Q2385" s="41" t="str"/>
      <c r="R2385" s="41" t="str"/>
      <c r="S2385" s="41" t="str"/>
      <c r="T2385" s="41" t="str"/>
      <c r="U2385" s="41" t="str"/>
      <c r="V2385" s="41" t="str"/>
      <c r="W2385" s="41" t="str"/>
    </row>
    <row r="2386">
      <c r="B2386" s="2" t="n"/>
      <c r="C2386" s="40" t="n"/>
      <c r="D2386" s="52">
        <f t="array" ref="D2386:W2386">IF(All_Students_Scores!C2384:V2384="","",All_Students_Scores!C2384:V2384)</f>
        <v/>
      </c>
      <c r="E2386" s="57" t="str"/>
      <c r="F2386" s="49" t="str"/>
      <c r="G2386" s="59" t="str"/>
      <c r="H2386" s="64" t="str"/>
      <c r="I2386" s="65" t="str"/>
      <c r="J2386" s="49" t="str"/>
      <c r="K2386" s="41" t="str"/>
      <c r="L2386" s="41" t="str"/>
      <c r="M2386" s="41" t="str"/>
      <c r="N2386" s="41" t="str"/>
      <c r="O2386" s="41" t="str"/>
      <c r="P2386" s="41" t="str"/>
      <c r="Q2386" s="41" t="str"/>
      <c r="R2386" s="41" t="str"/>
      <c r="S2386" s="41" t="str"/>
      <c r="T2386" s="41" t="str"/>
      <c r="U2386" s="41" t="str"/>
      <c r="V2386" s="41" t="str"/>
      <c r="W2386" s="41" t="str"/>
    </row>
    <row r="2387">
      <c r="B2387" s="2" t="n"/>
      <c r="C2387" s="40" t="n"/>
      <c r="D2387" s="52">
        <f t="array" ref="D2387:W2387">IF(All_Students_Scores!C2385:V2385="","",All_Students_Scores!C2385:V2385)</f>
        <v/>
      </c>
      <c r="E2387" s="57" t="str"/>
      <c r="F2387" s="49" t="str"/>
      <c r="G2387" s="59" t="str"/>
      <c r="H2387" s="64" t="str"/>
      <c r="I2387" s="65" t="str"/>
      <c r="J2387" s="49" t="str"/>
      <c r="K2387" s="41" t="str"/>
      <c r="L2387" s="41" t="str"/>
      <c r="M2387" s="41" t="str"/>
      <c r="N2387" s="41" t="str"/>
      <c r="O2387" s="41" t="str"/>
      <c r="P2387" s="41" t="str"/>
      <c r="Q2387" s="41" t="str"/>
      <c r="R2387" s="41" t="str"/>
      <c r="S2387" s="41" t="str"/>
      <c r="T2387" s="41" t="str"/>
      <c r="U2387" s="41" t="str"/>
      <c r="V2387" s="41" t="str"/>
      <c r="W2387" s="41" t="str"/>
    </row>
    <row r="2388">
      <c r="B2388" s="2" t="n"/>
      <c r="C2388" s="40" t="n"/>
      <c r="D2388" s="52">
        <f t="array" ref="D2388:W2388">IF(All_Students_Scores!C2386:V2386="","",All_Students_Scores!C2386:V2386)</f>
        <v/>
      </c>
      <c r="E2388" s="57" t="str"/>
      <c r="F2388" s="49" t="str"/>
      <c r="G2388" s="59" t="str"/>
      <c r="H2388" s="64" t="str"/>
      <c r="I2388" s="65" t="str"/>
      <c r="J2388" s="49" t="str"/>
      <c r="K2388" s="41" t="str"/>
      <c r="L2388" s="41" t="str"/>
      <c r="M2388" s="41" t="str"/>
      <c r="N2388" s="41" t="str"/>
      <c r="O2388" s="41" t="str"/>
      <c r="P2388" s="41" t="str"/>
      <c r="Q2388" s="41" t="str"/>
      <c r="R2388" s="41" t="str"/>
      <c r="S2388" s="41" t="str"/>
      <c r="T2388" s="41" t="str"/>
      <c r="U2388" s="41" t="str"/>
      <c r="V2388" s="41" t="str"/>
      <c r="W2388" s="41" t="str"/>
    </row>
    <row r="2389">
      <c r="B2389" s="2" t="n"/>
      <c r="C2389" s="40" t="n"/>
      <c r="D2389" s="52">
        <f t="array" ref="D2389:W2389">IF(All_Students_Scores!C2387:V2387="","",All_Students_Scores!C2387:V2387)</f>
        <v/>
      </c>
      <c r="E2389" s="57" t="str"/>
      <c r="F2389" s="49" t="str"/>
      <c r="G2389" s="59" t="str"/>
      <c r="H2389" s="64" t="str"/>
      <c r="I2389" s="65" t="str"/>
      <c r="J2389" s="49" t="str"/>
      <c r="K2389" s="41" t="str"/>
      <c r="L2389" s="41" t="str"/>
      <c r="M2389" s="41" t="str"/>
      <c r="N2389" s="41" t="str"/>
      <c r="O2389" s="41" t="str"/>
      <c r="P2389" s="41" t="str"/>
      <c r="Q2389" s="41" t="str"/>
      <c r="R2389" s="41" t="str"/>
      <c r="S2389" s="41" t="str"/>
      <c r="T2389" s="41" t="str"/>
      <c r="U2389" s="41" t="str"/>
      <c r="V2389" s="41" t="str"/>
      <c r="W2389" s="41" t="str"/>
    </row>
    <row r="2390">
      <c r="B2390" s="2" t="n"/>
      <c r="C2390" s="40" t="n"/>
      <c r="D2390" s="52">
        <f t="array" ref="D2390:W2390">IF(All_Students_Scores!C2388:V2388="","",All_Students_Scores!C2388:V2388)</f>
        <v/>
      </c>
      <c r="E2390" s="57" t="str"/>
      <c r="F2390" s="49" t="str"/>
      <c r="G2390" s="59" t="str"/>
      <c r="H2390" s="64" t="str"/>
      <c r="I2390" s="65" t="str"/>
      <c r="J2390" s="49" t="str"/>
      <c r="K2390" s="41" t="str"/>
      <c r="L2390" s="41" t="str"/>
      <c r="M2390" s="41" t="str"/>
      <c r="N2390" s="41" t="str"/>
      <c r="O2390" s="41" t="str"/>
      <c r="P2390" s="41" t="str"/>
      <c r="Q2390" s="41" t="str"/>
      <c r="R2390" s="41" t="str"/>
      <c r="S2390" s="41" t="str"/>
      <c r="T2390" s="41" t="str"/>
      <c r="U2390" s="41" t="str"/>
      <c r="V2390" s="41" t="str"/>
      <c r="W2390" s="41" t="str"/>
    </row>
    <row r="2391">
      <c r="B2391" s="2" t="n"/>
      <c r="C2391" s="40" t="n"/>
      <c r="D2391" s="52">
        <f t="array" ref="D2391:W2391">IF(All_Students_Scores!C2389:V2389="","",All_Students_Scores!C2389:V2389)</f>
        <v/>
      </c>
      <c r="E2391" s="57" t="str"/>
      <c r="F2391" s="49" t="str"/>
      <c r="G2391" s="59" t="str"/>
      <c r="H2391" s="64" t="str"/>
      <c r="I2391" s="65" t="str"/>
      <c r="J2391" s="49" t="str"/>
      <c r="K2391" s="41" t="str"/>
      <c r="L2391" s="41" t="str"/>
      <c r="M2391" s="41" t="str"/>
      <c r="N2391" s="41" t="str"/>
      <c r="O2391" s="41" t="str"/>
      <c r="P2391" s="41" t="str"/>
      <c r="Q2391" s="41" t="str"/>
      <c r="R2391" s="41" t="str"/>
      <c r="S2391" s="41" t="str"/>
      <c r="T2391" s="41" t="str"/>
      <c r="U2391" s="41" t="str"/>
      <c r="V2391" s="41" t="str"/>
      <c r="W2391" s="41" t="str"/>
    </row>
    <row r="2392">
      <c r="B2392" s="2" t="n"/>
      <c r="C2392" s="40" t="n"/>
      <c r="D2392" s="52">
        <f t="array" ref="D2392:W2392">IF(All_Students_Scores!C2390:V2390="","",All_Students_Scores!C2390:V2390)</f>
        <v/>
      </c>
      <c r="E2392" s="57" t="str"/>
      <c r="F2392" s="49" t="str"/>
      <c r="G2392" s="59" t="str"/>
      <c r="H2392" s="64" t="str"/>
      <c r="I2392" s="65" t="str"/>
      <c r="J2392" s="49" t="str"/>
      <c r="K2392" s="41" t="str"/>
      <c r="L2392" s="41" t="str"/>
      <c r="M2392" s="41" t="str"/>
      <c r="N2392" s="41" t="str"/>
      <c r="O2392" s="41" t="str"/>
      <c r="P2392" s="41" t="str"/>
      <c r="Q2392" s="41" t="str"/>
      <c r="R2392" s="41" t="str"/>
      <c r="S2392" s="41" t="str"/>
      <c r="T2392" s="41" t="str"/>
      <c r="U2392" s="41" t="str"/>
      <c r="V2392" s="41" t="str"/>
      <c r="W2392" s="41" t="str"/>
    </row>
    <row r="2393">
      <c r="B2393" s="2" t="n"/>
      <c r="C2393" s="40" t="n"/>
      <c r="D2393" s="52">
        <f t="array" ref="D2393:W2393">IF(All_Students_Scores!C2391:V2391="","",All_Students_Scores!C2391:V2391)</f>
        <v/>
      </c>
      <c r="E2393" s="57" t="str"/>
      <c r="F2393" s="49" t="str"/>
      <c r="G2393" s="59" t="str"/>
      <c r="H2393" s="64" t="str"/>
      <c r="I2393" s="65" t="str"/>
      <c r="J2393" s="49" t="str"/>
      <c r="K2393" s="41" t="str"/>
      <c r="L2393" s="41" t="str"/>
      <c r="M2393" s="41" t="str"/>
      <c r="N2393" s="41" t="str"/>
      <c r="O2393" s="41" t="str"/>
      <c r="P2393" s="41" t="str"/>
      <c r="Q2393" s="41" t="str"/>
      <c r="R2393" s="41" t="str"/>
      <c r="S2393" s="41" t="str"/>
      <c r="T2393" s="41" t="str"/>
      <c r="U2393" s="41" t="str"/>
      <c r="V2393" s="41" t="str"/>
      <c r="W2393" s="41" t="str"/>
    </row>
    <row r="2394">
      <c r="B2394" s="2" t="n"/>
      <c r="C2394" s="40" t="n"/>
      <c r="D2394" s="52">
        <f t="array" ref="D2394:W2394">IF(All_Students_Scores!C2392:V2392="","",All_Students_Scores!C2392:V2392)</f>
        <v/>
      </c>
      <c r="E2394" s="57" t="str"/>
      <c r="F2394" s="49" t="str"/>
      <c r="G2394" s="59" t="str"/>
      <c r="H2394" s="64" t="str"/>
      <c r="I2394" s="65" t="str"/>
      <c r="J2394" s="49" t="str"/>
      <c r="K2394" s="41" t="str"/>
      <c r="L2394" s="41" t="str"/>
      <c r="M2394" s="41" t="str"/>
      <c r="N2394" s="41" t="str"/>
      <c r="O2394" s="41" t="str"/>
      <c r="P2394" s="41" t="str"/>
      <c r="Q2394" s="41" t="str"/>
      <c r="R2394" s="41" t="str"/>
      <c r="S2394" s="41" t="str"/>
      <c r="T2394" s="41" t="str"/>
      <c r="U2394" s="41" t="str"/>
      <c r="V2394" s="41" t="str"/>
      <c r="W2394" s="41" t="str"/>
    </row>
    <row r="2395">
      <c r="B2395" s="2" t="n"/>
      <c r="C2395" s="40" t="n"/>
      <c r="D2395" s="52">
        <f t="array" ref="D2395:W2395">IF(All_Students_Scores!C2393:V2393="","",All_Students_Scores!C2393:V2393)</f>
        <v/>
      </c>
      <c r="E2395" s="57" t="str"/>
      <c r="F2395" s="49" t="str"/>
      <c r="G2395" s="59" t="str"/>
      <c r="H2395" s="64" t="str"/>
      <c r="I2395" s="65" t="str"/>
      <c r="J2395" s="49" t="str"/>
      <c r="K2395" s="41" t="str"/>
      <c r="L2395" s="41" t="str"/>
      <c r="M2395" s="41" t="str"/>
      <c r="N2395" s="41" t="str"/>
      <c r="O2395" s="41" t="str"/>
      <c r="P2395" s="41" t="str"/>
      <c r="Q2395" s="41" t="str"/>
      <c r="R2395" s="41" t="str"/>
      <c r="S2395" s="41" t="str"/>
      <c r="T2395" s="41" t="str"/>
      <c r="U2395" s="41" t="str"/>
      <c r="V2395" s="41" t="str"/>
      <c r="W2395" s="41" t="str"/>
    </row>
    <row r="2396">
      <c r="B2396" s="2" t="n"/>
      <c r="C2396" s="40" t="n"/>
      <c r="D2396" s="52">
        <f t="array" ref="D2396:W2396">IF(All_Students_Scores!C2394:V2394="","",All_Students_Scores!C2394:V2394)</f>
        <v/>
      </c>
      <c r="E2396" s="57" t="str"/>
      <c r="F2396" s="49" t="str"/>
      <c r="G2396" s="59" t="str"/>
      <c r="H2396" s="64" t="str"/>
      <c r="I2396" s="65" t="str"/>
      <c r="J2396" s="49" t="str"/>
      <c r="K2396" s="41" t="str"/>
      <c r="L2396" s="41" t="str"/>
      <c r="M2396" s="41" t="str"/>
      <c r="N2396" s="41" t="str"/>
      <c r="O2396" s="41" t="str"/>
      <c r="P2396" s="41" t="str"/>
      <c r="Q2396" s="41" t="str"/>
      <c r="R2396" s="41" t="str"/>
      <c r="S2396" s="41" t="str"/>
      <c r="T2396" s="41" t="str"/>
      <c r="U2396" s="41" t="str"/>
      <c r="V2396" s="41" t="str"/>
      <c r="W2396" s="41" t="str"/>
    </row>
    <row r="2397">
      <c r="B2397" s="2" t="n"/>
      <c r="C2397" s="40" t="n"/>
      <c r="D2397" s="52">
        <f t="array" ref="D2397:W2397">IF(All_Students_Scores!C2395:V2395="","",All_Students_Scores!C2395:V2395)</f>
        <v/>
      </c>
      <c r="E2397" s="57" t="str"/>
      <c r="F2397" s="49" t="str"/>
      <c r="G2397" s="59" t="str"/>
      <c r="H2397" s="64" t="str"/>
      <c r="I2397" s="65" t="str"/>
      <c r="J2397" s="49" t="str"/>
      <c r="K2397" s="41" t="str"/>
      <c r="L2397" s="41" t="str"/>
      <c r="M2397" s="41" t="str"/>
      <c r="N2397" s="41" t="str"/>
      <c r="O2397" s="41" t="str"/>
      <c r="P2397" s="41" t="str"/>
      <c r="Q2397" s="41" t="str"/>
      <c r="R2397" s="41" t="str"/>
      <c r="S2397" s="41" t="str"/>
      <c r="T2397" s="41" t="str"/>
      <c r="U2397" s="41" t="str"/>
      <c r="V2397" s="41" t="str"/>
      <c r="W2397" s="41" t="str"/>
    </row>
    <row r="2398">
      <c r="B2398" s="2" t="n"/>
      <c r="C2398" s="40" t="n"/>
      <c r="D2398" s="52">
        <f t="array" ref="D2398:W2398">IF(All_Students_Scores!C2396:V2396="","",All_Students_Scores!C2396:V2396)</f>
        <v/>
      </c>
      <c r="E2398" s="57" t="str"/>
      <c r="F2398" s="49" t="str"/>
      <c r="G2398" s="59" t="str"/>
      <c r="H2398" s="64" t="str"/>
      <c r="I2398" s="65" t="str"/>
      <c r="J2398" s="49" t="str"/>
      <c r="K2398" s="41" t="str"/>
      <c r="L2398" s="41" t="str"/>
      <c r="M2398" s="41" t="str"/>
      <c r="N2398" s="41" t="str"/>
      <c r="O2398" s="41" t="str"/>
      <c r="P2398" s="41" t="str"/>
      <c r="Q2398" s="41" t="str"/>
      <c r="R2398" s="41" t="str"/>
      <c r="S2398" s="41" t="str"/>
      <c r="T2398" s="41" t="str"/>
      <c r="U2398" s="41" t="str"/>
      <c r="V2398" s="41" t="str"/>
      <c r="W2398" s="41" t="str"/>
    </row>
    <row r="2399">
      <c r="B2399" s="2" t="n"/>
      <c r="C2399" s="40" t="n"/>
      <c r="D2399" s="52">
        <f t="array" ref="D2399:W2399">IF(All_Students_Scores!C2397:V2397="","",All_Students_Scores!C2397:V2397)</f>
        <v/>
      </c>
      <c r="E2399" s="57" t="str"/>
      <c r="F2399" s="49" t="str"/>
      <c r="G2399" s="59" t="str"/>
      <c r="H2399" s="64" t="str"/>
      <c r="I2399" s="65" t="str"/>
      <c r="J2399" s="49" t="str"/>
      <c r="K2399" s="41" t="str"/>
      <c r="L2399" s="41" t="str"/>
      <c r="M2399" s="41" t="str"/>
      <c r="N2399" s="41" t="str"/>
      <c r="O2399" s="41" t="str"/>
      <c r="P2399" s="41" t="str"/>
      <c r="Q2399" s="41" t="str"/>
      <c r="R2399" s="41" t="str"/>
      <c r="S2399" s="41" t="str"/>
      <c r="T2399" s="41" t="str"/>
      <c r="U2399" s="41" t="str"/>
      <c r="V2399" s="41" t="str"/>
      <c r="W2399" s="41" t="str"/>
    </row>
    <row r="2400">
      <c r="B2400" s="2" t="n"/>
      <c r="C2400" s="40" t="n"/>
      <c r="D2400" s="52">
        <f t="array" ref="D2400:W2400">IF(All_Students_Scores!C2398:V2398="","",All_Students_Scores!C2398:V2398)</f>
        <v/>
      </c>
      <c r="E2400" s="57" t="str"/>
      <c r="F2400" s="49" t="str"/>
      <c r="G2400" s="59" t="str"/>
      <c r="H2400" s="64" t="str"/>
      <c r="I2400" s="65" t="str"/>
      <c r="J2400" s="49" t="str"/>
      <c r="K2400" s="41" t="str"/>
      <c r="L2400" s="41" t="str"/>
      <c r="M2400" s="41" t="str"/>
      <c r="N2400" s="41" t="str"/>
      <c r="O2400" s="41" t="str"/>
      <c r="P2400" s="41" t="str"/>
      <c r="Q2400" s="41" t="str"/>
      <c r="R2400" s="41" t="str"/>
      <c r="S2400" s="41" t="str"/>
      <c r="T2400" s="41" t="str"/>
      <c r="U2400" s="41" t="str"/>
      <c r="V2400" s="41" t="str"/>
      <c r="W2400" s="41" t="str"/>
    </row>
    <row r="2401">
      <c r="B2401" s="2" t="n"/>
      <c r="C2401" s="40" t="n"/>
      <c r="D2401" s="52">
        <f t="array" ref="D2401:W2401">IF(All_Students_Scores!C2399:V2399="","",All_Students_Scores!C2399:V2399)</f>
        <v/>
      </c>
      <c r="E2401" s="57" t="str"/>
      <c r="F2401" s="49" t="str"/>
      <c r="G2401" s="59" t="str"/>
      <c r="H2401" s="64" t="str"/>
      <c r="I2401" s="65" t="str"/>
      <c r="J2401" s="49" t="str"/>
      <c r="K2401" s="41" t="str"/>
      <c r="L2401" s="41" t="str"/>
      <c r="M2401" s="41" t="str"/>
      <c r="N2401" s="41" t="str"/>
      <c r="O2401" s="41" t="str"/>
      <c r="P2401" s="41" t="str"/>
      <c r="Q2401" s="41" t="str"/>
      <c r="R2401" s="41" t="str"/>
      <c r="S2401" s="41" t="str"/>
      <c r="T2401" s="41" t="str"/>
      <c r="U2401" s="41" t="str"/>
      <c r="V2401" s="41" t="str"/>
      <c r="W2401" s="41" t="str"/>
    </row>
    <row r="2402">
      <c r="B2402" s="2" t="n"/>
      <c r="C2402" s="40" t="n"/>
      <c r="D2402" s="52">
        <f t="array" ref="D2402:W2402">IF(All_Students_Scores!C2400:V2400="","",All_Students_Scores!C2400:V2400)</f>
        <v/>
      </c>
      <c r="E2402" s="57" t="str"/>
      <c r="F2402" s="49" t="str"/>
      <c r="G2402" s="59" t="str"/>
      <c r="H2402" s="64" t="str"/>
      <c r="I2402" s="65" t="str"/>
      <c r="J2402" s="49" t="str"/>
      <c r="K2402" s="41" t="str"/>
      <c r="L2402" s="41" t="str"/>
      <c r="M2402" s="41" t="str"/>
      <c r="N2402" s="41" t="str"/>
      <c r="O2402" s="41" t="str"/>
      <c r="P2402" s="41" t="str"/>
      <c r="Q2402" s="41" t="str"/>
      <c r="R2402" s="41" t="str"/>
      <c r="S2402" s="41" t="str"/>
      <c r="T2402" s="41" t="str"/>
      <c r="U2402" s="41" t="str"/>
      <c r="V2402" s="41" t="str"/>
      <c r="W2402" s="41" t="str"/>
    </row>
    <row r="2403">
      <c r="B2403" s="2" t="n"/>
      <c r="C2403" s="40" t="n"/>
      <c r="D2403" s="52">
        <f t="array" ref="D2403:W2403">IF(All_Students_Scores!C2401:V2401="","",All_Students_Scores!C2401:V2401)</f>
        <v/>
      </c>
      <c r="E2403" s="57" t="str"/>
      <c r="F2403" s="49" t="str"/>
      <c r="G2403" s="59" t="str"/>
      <c r="H2403" s="64" t="str"/>
      <c r="I2403" s="65" t="str"/>
      <c r="J2403" s="49" t="str"/>
      <c r="K2403" s="41" t="str"/>
      <c r="L2403" s="41" t="str"/>
      <c r="M2403" s="41" t="str"/>
      <c r="N2403" s="41" t="str"/>
      <c r="O2403" s="41" t="str"/>
      <c r="P2403" s="41" t="str"/>
      <c r="Q2403" s="41" t="str"/>
      <c r="R2403" s="41" t="str"/>
      <c r="S2403" s="41" t="str"/>
      <c r="T2403" s="41" t="str"/>
      <c r="U2403" s="41" t="str"/>
      <c r="V2403" s="41" t="str"/>
      <c r="W2403" s="41" t="str"/>
    </row>
    <row r="2404">
      <c r="B2404" s="2" t="n"/>
      <c r="C2404" s="40" t="n"/>
      <c r="D2404" s="52">
        <f t="array" ref="D2404:W2404">IF(All_Students_Scores!C2402:V2402="","",All_Students_Scores!C2402:V2402)</f>
        <v/>
      </c>
      <c r="E2404" s="57" t="str"/>
      <c r="F2404" s="49" t="str"/>
      <c r="G2404" s="59" t="str"/>
      <c r="H2404" s="64" t="str"/>
      <c r="I2404" s="65" t="str"/>
      <c r="J2404" s="49" t="str"/>
      <c r="K2404" s="41" t="str"/>
      <c r="L2404" s="41" t="str"/>
      <c r="M2404" s="41" t="str"/>
      <c r="N2404" s="41" t="str"/>
      <c r="O2404" s="41" t="str"/>
      <c r="P2404" s="41" t="str"/>
      <c r="Q2404" s="41" t="str"/>
      <c r="R2404" s="41" t="str"/>
      <c r="S2404" s="41" t="str"/>
      <c r="T2404" s="41" t="str"/>
      <c r="U2404" s="41" t="str"/>
      <c r="V2404" s="41" t="str"/>
      <c r="W2404" s="41" t="str"/>
    </row>
    <row r="2405">
      <c r="B2405" s="2" t="n"/>
      <c r="C2405" s="40" t="n"/>
      <c r="D2405" s="52">
        <f t="array" ref="D2405:W2405">IF(All_Students_Scores!C2403:V2403="","",All_Students_Scores!C2403:V2403)</f>
        <v/>
      </c>
      <c r="E2405" s="57" t="str"/>
      <c r="F2405" s="49" t="str"/>
      <c r="G2405" s="59" t="str"/>
      <c r="H2405" s="64" t="str"/>
      <c r="I2405" s="65" t="str"/>
      <c r="J2405" s="49" t="str"/>
      <c r="K2405" s="41" t="str"/>
      <c r="L2405" s="41" t="str"/>
      <c r="M2405" s="41" t="str"/>
      <c r="N2405" s="41" t="str"/>
      <c r="O2405" s="41" t="str"/>
      <c r="P2405" s="41" t="str"/>
      <c r="Q2405" s="41" t="str"/>
      <c r="R2405" s="41" t="str"/>
      <c r="S2405" s="41" t="str"/>
      <c r="T2405" s="41" t="str"/>
      <c r="U2405" s="41" t="str"/>
      <c r="V2405" s="41" t="str"/>
      <c r="W2405" s="41" t="str"/>
    </row>
    <row r="2406">
      <c r="B2406" s="2" t="n"/>
      <c r="C2406" s="40" t="n"/>
      <c r="D2406" s="52">
        <f t="array" ref="D2406:W2406">IF(All_Students_Scores!C2404:V2404="","",All_Students_Scores!C2404:V2404)</f>
        <v/>
      </c>
      <c r="E2406" s="57" t="str"/>
      <c r="F2406" s="49" t="str"/>
      <c r="G2406" s="59" t="str"/>
      <c r="H2406" s="64" t="str"/>
      <c r="I2406" s="65" t="str"/>
      <c r="J2406" s="49" t="str"/>
      <c r="K2406" s="41" t="str"/>
      <c r="L2406" s="41" t="str"/>
      <c r="M2406" s="41" t="str"/>
      <c r="N2406" s="41" t="str"/>
      <c r="O2406" s="41" t="str"/>
      <c r="P2406" s="41" t="str"/>
      <c r="Q2406" s="41" t="str"/>
      <c r="R2406" s="41" t="str"/>
      <c r="S2406" s="41" t="str"/>
      <c r="T2406" s="41" t="str"/>
      <c r="U2406" s="41" t="str"/>
      <c r="V2406" s="41" t="str"/>
      <c r="W2406" s="41" t="str"/>
    </row>
    <row r="2407">
      <c r="B2407" s="2" t="n"/>
      <c r="C2407" s="40" t="n"/>
      <c r="D2407" s="52">
        <f t="array" ref="D2407:W2407">IF(All_Students_Scores!C2405:V2405="","",All_Students_Scores!C2405:V2405)</f>
        <v/>
      </c>
      <c r="E2407" s="57" t="str"/>
      <c r="F2407" s="49" t="str"/>
      <c r="G2407" s="59" t="str"/>
      <c r="H2407" s="64" t="str"/>
      <c r="I2407" s="65" t="str"/>
      <c r="J2407" s="49" t="str"/>
      <c r="K2407" s="41" t="str"/>
      <c r="L2407" s="41" t="str"/>
      <c r="M2407" s="41" t="str"/>
      <c r="N2407" s="41" t="str"/>
      <c r="O2407" s="41" t="str"/>
      <c r="P2407" s="41" t="str"/>
      <c r="Q2407" s="41" t="str"/>
      <c r="R2407" s="41" t="str"/>
      <c r="S2407" s="41" t="str"/>
      <c r="T2407" s="41" t="str"/>
      <c r="U2407" s="41" t="str"/>
      <c r="V2407" s="41" t="str"/>
      <c r="W2407" s="41" t="str"/>
    </row>
    <row r="2408">
      <c r="B2408" s="2" t="n"/>
      <c r="C2408" s="40" t="n"/>
      <c r="D2408" s="52">
        <f t="array" ref="D2408:W2408">IF(All_Students_Scores!C2406:V2406="","",All_Students_Scores!C2406:V2406)</f>
        <v/>
      </c>
      <c r="E2408" s="57" t="str"/>
      <c r="F2408" s="49" t="str"/>
      <c r="G2408" s="59" t="str"/>
      <c r="H2408" s="64" t="str"/>
      <c r="I2408" s="65" t="str"/>
      <c r="J2408" s="49" t="str"/>
      <c r="K2408" s="41" t="str"/>
      <c r="L2408" s="41" t="str"/>
      <c r="M2408" s="41" t="str"/>
      <c r="N2408" s="41" t="str"/>
      <c r="O2408" s="41" t="str"/>
      <c r="P2408" s="41" t="str"/>
      <c r="Q2408" s="41" t="str"/>
      <c r="R2408" s="41" t="str"/>
      <c r="S2408" s="41" t="str"/>
      <c r="T2408" s="41" t="str"/>
      <c r="U2408" s="41" t="str"/>
      <c r="V2408" s="41" t="str"/>
      <c r="W2408" s="41" t="str"/>
    </row>
    <row r="2409">
      <c r="B2409" s="2" t="n"/>
      <c r="C2409" s="40" t="n"/>
      <c r="D2409" s="52">
        <f t="array" ref="D2409:W2409">IF(All_Students_Scores!C2407:V2407="","",All_Students_Scores!C2407:V2407)</f>
        <v/>
      </c>
      <c r="E2409" s="57" t="str"/>
      <c r="F2409" s="49" t="str"/>
      <c r="G2409" s="59" t="str"/>
      <c r="H2409" s="64" t="str"/>
      <c r="I2409" s="65" t="str"/>
      <c r="J2409" s="49" t="str"/>
      <c r="K2409" s="41" t="str"/>
      <c r="L2409" s="41" t="str"/>
      <c r="M2409" s="41" t="str"/>
      <c r="N2409" s="41" t="str"/>
      <c r="O2409" s="41" t="str"/>
      <c r="P2409" s="41" t="str"/>
      <c r="Q2409" s="41" t="str"/>
      <c r="R2409" s="41" t="str"/>
      <c r="S2409" s="41" t="str"/>
      <c r="T2409" s="41" t="str"/>
      <c r="U2409" s="41" t="str"/>
      <c r="V2409" s="41" t="str"/>
      <c r="W2409" s="41" t="str"/>
    </row>
    <row r="2410">
      <c r="B2410" s="2" t="n"/>
      <c r="C2410" s="40" t="n"/>
      <c r="D2410" s="52">
        <f t="array" ref="D2410:W2410">IF(All_Students_Scores!C2408:V2408="","",All_Students_Scores!C2408:V2408)</f>
        <v/>
      </c>
      <c r="E2410" s="57" t="str"/>
      <c r="F2410" s="49" t="str"/>
      <c r="G2410" s="59" t="str"/>
      <c r="H2410" s="64" t="str"/>
      <c r="I2410" s="65" t="str"/>
      <c r="J2410" s="49" t="str"/>
      <c r="K2410" s="41" t="str"/>
      <c r="L2410" s="41" t="str"/>
      <c r="M2410" s="41" t="str"/>
      <c r="N2410" s="41" t="str"/>
      <c r="O2410" s="41" t="str"/>
      <c r="P2410" s="41" t="str"/>
      <c r="Q2410" s="41" t="str"/>
      <c r="R2410" s="41" t="str"/>
      <c r="S2410" s="41" t="str"/>
      <c r="T2410" s="41" t="str"/>
      <c r="U2410" s="41" t="str"/>
      <c r="V2410" s="41" t="str"/>
      <c r="W2410" s="41" t="str"/>
    </row>
    <row r="2411">
      <c r="B2411" s="2" t="n"/>
      <c r="C2411" s="40" t="n"/>
      <c r="D2411" s="52">
        <f t="array" ref="D2411:W2411">IF(All_Students_Scores!C2409:V2409="","",All_Students_Scores!C2409:V2409)</f>
        <v/>
      </c>
      <c r="E2411" s="57" t="str"/>
      <c r="F2411" s="49" t="str"/>
      <c r="G2411" s="59" t="str"/>
      <c r="H2411" s="64" t="str"/>
      <c r="I2411" s="65" t="str"/>
      <c r="J2411" s="49" t="str"/>
      <c r="K2411" s="41" t="str"/>
      <c r="L2411" s="41" t="str"/>
      <c r="M2411" s="41" t="str"/>
      <c r="N2411" s="41" t="str"/>
      <c r="O2411" s="41" t="str"/>
      <c r="P2411" s="41" t="str"/>
      <c r="Q2411" s="41" t="str"/>
      <c r="R2411" s="41" t="str"/>
      <c r="S2411" s="41" t="str"/>
      <c r="T2411" s="41" t="str"/>
      <c r="U2411" s="41" t="str"/>
      <c r="V2411" s="41" t="str"/>
      <c r="W2411" s="41" t="str"/>
    </row>
    <row r="2412">
      <c r="B2412" s="2" t="n"/>
      <c r="C2412" s="40" t="n"/>
      <c r="D2412" s="52">
        <f t="array" ref="D2412:W2412">IF(All_Students_Scores!C2410:V2410="","",All_Students_Scores!C2410:V2410)</f>
        <v/>
      </c>
      <c r="E2412" s="57" t="str"/>
      <c r="F2412" s="49" t="str"/>
      <c r="G2412" s="59" t="str"/>
      <c r="H2412" s="64" t="str"/>
      <c r="I2412" s="65" t="str"/>
      <c r="J2412" s="49" t="str"/>
      <c r="K2412" s="41" t="str"/>
      <c r="L2412" s="41" t="str"/>
      <c r="M2412" s="41" t="str"/>
      <c r="N2412" s="41" t="str"/>
      <c r="O2412" s="41" t="str"/>
      <c r="P2412" s="41" t="str"/>
      <c r="Q2412" s="41" t="str"/>
      <c r="R2412" s="41" t="str"/>
      <c r="S2412" s="41" t="str"/>
      <c r="T2412" s="41" t="str"/>
      <c r="U2412" s="41" t="str"/>
      <c r="V2412" s="41" t="str"/>
      <c r="W2412" s="41" t="str"/>
    </row>
    <row r="2413">
      <c r="B2413" s="2" t="n"/>
      <c r="C2413" s="40" t="n"/>
      <c r="D2413" s="52">
        <f t="array" ref="D2413:W2413">IF(All_Students_Scores!C2411:V2411="","",All_Students_Scores!C2411:V2411)</f>
        <v/>
      </c>
      <c r="E2413" s="57" t="str"/>
      <c r="F2413" s="49" t="str"/>
      <c r="G2413" s="59" t="str"/>
      <c r="H2413" s="64" t="str"/>
      <c r="I2413" s="65" t="str"/>
      <c r="J2413" s="49" t="str"/>
      <c r="K2413" s="41" t="str"/>
      <c r="L2413" s="41" t="str"/>
      <c r="M2413" s="41" t="str"/>
      <c r="N2413" s="41" t="str"/>
      <c r="O2413" s="41" t="str"/>
      <c r="P2413" s="41" t="str"/>
      <c r="Q2413" s="41" t="str"/>
      <c r="R2413" s="41" t="str"/>
      <c r="S2413" s="41" t="str"/>
      <c r="T2413" s="41" t="str"/>
      <c r="U2413" s="41" t="str"/>
      <c r="V2413" s="41" t="str"/>
      <c r="W2413" s="41" t="str"/>
    </row>
    <row r="2414">
      <c r="B2414" s="2" t="n"/>
      <c r="C2414" s="40" t="n"/>
      <c r="D2414" s="52">
        <f t="array" ref="D2414:W2414">IF(All_Students_Scores!C2412:V2412="","",All_Students_Scores!C2412:V2412)</f>
        <v/>
      </c>
      <c r="E2414" s="57" t="str"/>
      <c r="F2414" s="49" t="str"/>
      <c r="G2414" s="59" t="str"/>
      <c r="H2414" s="64" t="str"/>
      <c r="I2414" s="65" t="str"/>
      <c r="J2414" s="49" t="str"/>
      <c r="K2414" s="41" t="str"/>
      <c r="L2414" s="41" t="str"/>
      <c r="M2414" s="41" t="str"/>
      <c r="N2414" s="41" t="str"/>
      <c r="O2414" s="41" t="str"/>
      <c r="P2414" s="41" t="str"/>
      <c r="Q2414" s="41" t="str"/>
      <c r="R2414" s="41" t="str"/>
      <c r="S2414" s="41" t="str"/>
      <c r="T2414" s="41" t="str"/>
      <c r="U2414" s="41" t="str"/>
      <c r="V2414" s="41" t="str"/>
      <c r="W2414" s="41" t="str"/>
    </row>
    <row r="2415">
      <c r="B2415" s="2" t="n"/>
      <c r="C2415" s="40" t="n"/>
      <c r="D2415" s="52">
        <f t="array" ref="D2415:W2415">IF(All_Students_Scores!C2413:V2413="","",All_Students_Scores!C2413:V2413)</f>
        <v/>
      </c>
      <c r="E2415" s="57" t="str"/>
      <c r="F2415" s="49" t="str"/>
      <c r="G2415" s="59" t="str"/>
      <c r="H2415" s="64" t="str"/>
      <c r="I2415" s="65" t="str"/>
      <c r="J2415" s="49" t="str"/>
      <c r="K2415" s="41" t="str"/>
      <c r="L2415" s="41" t="str"/>
      <c r="M2415" s="41" t="str"/>
      <c r="N2415" s="41" t="str"/>
      <c r="O2415" s="41" t="str"/>
      <c r="P2415" s="41" t="str"/>
      <c r="Q2415" s="41" t="str"/>
      <c r="R2415" s="41" t="str"/>
      <c r="S2415" s="41" t="str"/>
      <c r="T2415" s="41" t="str"/>
      <c r="U2415" s="41" t="str"/>
      <c r="V2415" s="41" t="str"/>
      <c r="W2415" s="41" t="str"/>
    </row>
    <row r="2416">
      <c r="B2416" s="2" t="n"/>
      <c r="C2416" s="40" t="n"/>
      <c r="D2416" s="52">
        <f t="array" ref="D2416:W2416">IF(All_Students_Scores!C2414:V2414="","",All_Students_Scores!C2414:V2414)</f>
        <v/>
      </c>
      <c r="E2416" s="57" t="str"/>
      <c r="F2416" s="49" t="str"/>
      <c r="G2416" s="59" t="str"/>
      <c r="H2416" s="64" t="str"/>
      <c r="I2416" s="65" t="str"/>
      <c r="J2416" s="49" t="str"/>
      <c r="K2416" s="41" t="str"/>
      <c r="L2416" s="41" t="str"/>
      <c r="M2416" s="41" t="str"/>
      <c r="N2416" s="41" t="str"/>
      <c r="O2416" s="41" t="str"/>
      <c r="P2416" s="41" t="str"/>
      <c r="Q2416" s="41" t="str"/>
      <c r="R2416" s="41" t="str"/>
      <c r="S2416" s="41" t="str"/>
      <c r="T2416" s="41" t="str"/>
      <c r="U2416" s="41" t="str"/>
      <c r="V2416" s="41" t="str"/>
      <c r="W2416" s="41" t="str"/>
    </row>
    <row r="2417">
      <c r="B2417" s="2" t="n"/>
      <c r="C2417" s="40" t="n"/>
      <c r="D2417" s="52">
        <f t="array" ref="D2417:W2417">IF(All_Students_Scores!C2415:V2415="","",All_Students_Scores!C2415:V2415)</f>
        <v/>
      </c>
      <c r="E2417" s="57" t="str"/>
      <c r="F2417" s="49" t="str"/>
      <c r="G2417" s="59" t="str"/>
      <c r="H2417" s="64" t="str"/>
      <c r="I2417" s="65" t="str"/>
      <c r="J2417" s="49" t="str"/>
      <c r="K2417" s="41" t="str"/>
      <c r="L2417" s="41" t="str"/>
      <c r="M2417" s="41" t="str"/>
      <c r="N2417" s="41" t="str"/>
      <c r="O2417" s="41" t="str"/>
      <c r="P2417" s="41" t="str"/>
      <c r="Q2417" s="41" t="str"/>
      <c r="R2417" s="41" t="str"/>
      <c r="S2417" s="41" t="str"/>
      <c r="T2417" s="41" t="str"/>
      <c r="U2417" s="41" t="str"/>
      <c r="V2417" s="41" t="str"/>
      <c r="W2417" s="41" t="str"/>
    </row>
    <row r="2418">
      <c r="B2418" s="2" t="n"/>
      <c r="C2418" s="40" t="n"/>
      <c r="D2418" s="52">
        <f t="array" ref="D2418:W2418">IF(All_Students_Scores!C2416:V2416="","",All_Students_Scores!C2416:V2416)</f>
        <v/>
      </c>
      <c r="E2418" s="57" t="str"/>
      <c r="F2418" s="49" t="str"/>
      <c r="G2418" s="59" t="str"/>
      <c r="H2418" s="64" t="str"/>
      <c r="I2418" s="65" t="str"/>
      <c r="J2418" s="49" t="str"/>
      <c r="K2418" s="41" t="str"/>
      <c r="L2418" s="41" t="str"/>
      <c r="M2418" s="41" t="str"/>
      <c r="N2418" s="41" t="str"/>
      <c r="O2418" s="41" t="str"/>
      <c r="P2418" s="41" t="str"/>
      <c r="Q2418" s="41" t="str"/>
      <c r="R2418" s="41" t="str"/>
      <c r="S2418" s="41" t="str"/>
      <c r="T2418" s="41" t="str"/>
      <c r="U2418" s="41" t="str"/>
      <c r="V2418" s="41" t="str"/>
      <c r="W2418" s="41" t="str"/>
    </row>
    <row r="2419">
      <c r="B2419" s="2" t="n"/>
      <c r="C2419" s="40" t="n"/>
      <c r="D2419" s="52">
        <f t="array" ref="D2419:W2419">IF(All_Students_Scores!C2417:V2417="","",All_Students_Scores!C2417:V2417)</f>
        <v/>
      </c>
      <c r="E2419" s="57" t="str"/>
      <c r="F2419" s="49" t="str"/>
      <c r="G2419" s="59" t="str"/>
      <c r="H2419" s="64" t="str"/>
      <c r="I2419" s="65" t="str"/>
      <c r="J2419" s="49" t="str"/>
      <c r="K2419" s="41" t="str"/>
      <c r="L2419" s="41" t="str"/>
      <c r="M2419" s="41" t="str"/>
      <c r="N2419" s="41" t="str"/>
      <c r="O2419" s="41" t="str"/>
      <c r="P2419" s="41" t="str"/>
      <c r="Q2419" s="41" t="str"/>
      <c r="R2419" s="41" t="str"/>
      <c r="S2419" s="41" t="str"/>
      <c r="T2419" s="41" t="str"/>
      <c r="U2419" s="41" t="str"/>
      <c r="V2419" s="41" t="str"/>
      <c r="W2419" s="41" t="str"/>
    </row>
    <row r="2420">
      <c r="B2420" s="2" t="n"/>
      <c r="C2420" s="40" t="n"/>
      <c r="D2420" s="52">
        <f t="array" ref="D2420:W2420">IF(All_Students_Scores!C2418:V2418="","",All_Students_Scores!C2418:V2418)</f>
        <v/>
      </c>
      <c r="E2420" s="57" t="str"/>
      <c r="F2420" s="49" t="str"/>
      <c r="G2420" s="59" t="str"/>
      <c r="H2420" s="64" t="str"/>
      <c r="I2420" s="65" t="str"/>
      <c r="J2420" s="49" t="str"/>
      <c r="K2420" s="41" t="str"/>
      <c r="L2420" s="41" t="str"/>
      <c r="M2420" s="41" t="str"/>
      <c r="N2420" s="41" t="str"/>
      <c r="O2420" s="41" t="str"/>
      <c r="P2420" s="41" t="str"/>
      <c r="Q2420" s="41" t="str"/>
      <c r="R2420" s="41" t="str"/>
      <c r="S2420" s="41" t="str"/>
      <c r="T2420" s="41" t="str"/>
      <c r="U2420" s="41" t="str"/>
      <c r="V2420" s="41" t="str"/>
      <c r="W2420" s="41" t="str"/>
    </row>
    <row r="2421">
      <c r="B2421" s="2" t="n"/>
      <c r="C2421" s="40" t="n"/>
      <c r="D2421" s="52">
        <f t="array" ref="D2421:W2421">IF(All_Students_Scores!C2419:V2419="","",All_Students_Scores!C2419:V2419)</f>
        <v/>
      </c>
      <c r="E2421" s="57" t="str"/>
      <c r="F2421" s="49" t="str"/>
      <c r="G2421" s="59" t="str"/>
      <c r="H2421" s="64" t="str"/>
      <c r="I2421" s="65" t="str"/>
      <c r="J2421" s="49" t="str"/>
      <c r="K2421" s="41" t="str"/>
      <c r="L2421" s="41" t="str"/>
      <c r="M2421" s="41" t="str"/>
      <c r="N2421" s="41" t="str"/>
      <c r="O2421" s="41" t="str"/>
      <c r="P2421" s="41" t="str"/>
      <c r="Q2421" s="41" t="str"/>
      <c r="R2421" s="41" t="str"/>
      <c r="S2421" s="41" t="str"/>
      <c r="T2421" s="41" t="str"/>
      <c r="U2421" s="41" t="str"/>
      <c r="V2421" s="41" t="str"/>
      <c r="W2421" s="41" t="str"/>
    </row>
    <row r="2422">
      <c r="B2422" s="2" t="n"/>
      <c r="C2422" s="40" t="n"/>
      <c r="D2422" s="52">
        <f t="array" ref="D2422:W2422">IF(All_Students_Scores!C2420:V2420="","",All_Students_Scores!C2420:V2420)</f>
        <v/>
      </c>
      <c r="E2422" s="57" t="str"/>
      <c r="F2422" s="49" t="str"/>
      <c r="G2422" s="59" t="str"/>
      <c r="H2422" s="64" t="str"/>
      <c r="I2422" s="65" t="str"/>
      <c r="J2422" s="49" t="str"/>
      <c r="K2422" s="41" t="str"/>
      <c r="L2422" s="41" t="str"/>
      <c r="M2422" s="41" t="str"/>
      <c r="N2422" s="41" t="str"/>
      <c r="O2422" s="41" t="str"/>
      <c r="P2422" s="41" t="str"/>
      <c r="Q2422" s="41" t="str"/>
      <c r="R2422" s="41" t="str"/>
      <c r="S2422" s="41" t="str"/>
      <c r="T2422" s="41" t="str"/>
      <c r="U2422" s="41" t="str"/>
      <c r="V2422" s="41" t="str"/>
      <c r="W2422" s="41" t="str"/>
    </row>
    <row r="2423">
      <c r="B2423" s="2" t="n"/>
      <c r="C2423" s="40" t="n"/>
      <c r="D2423" s="52">
        <f t="array" ref="D2423:W2423">IF(All_Students_Scores!C2421:V2421="","",All_Students_Scores!C2421:V2421)</f>
        <v/>
      </c>
      <c r="E2423" s="57" t="str"/>
      <c r="F2423" s="49" t="str"/>
      <c r="G2423" s="59" t="str"/>
      <c r="H2423" s="64" t="str"/>
      <c r="I2423" s="65" t="str"/>
      <c r="J2423" s="49" t="str"/>
      <c r="K2423" s="41" t="str"/>
      <c r="L2423" s="41" t="str"/>
      <c r="M2423" s="41" t="str"/>
      <c r="N2423" s="41" t="str"/>
      <c r="O2423" s="41" t="str"/>
      <c r="P2423" s="41" t="str"/>
      <c r="Q2423" s="41" t="str"/>
      <c r="R2423" s="41" t="str"/>
      <c r="S2423" s="41" t="str"/>
      <c r="T2423" s="41" t="str"/>
      <c r="U2423" s="41" t="str"/>
      <c r="V2423" s="41" t="str"/>
      <c r="W2423" s="41" t="str"/>
    </row>
    <row r="2424">
      <c r="B2424" s="2" t="n"/>
      <c r="C2424" s="40" t="n"/>
      <c r="D2424" s="52">
        <f t="array" ref="D2424:W2424">IF(All_Students_Scores!C2422:V2422="","",All_Students_Scores!C2422:V2422)</f>
        <v/>
      </c>
      <c r="E2424" s="57" t="str"/>
      <c r="F2424" s="49" t="str"/>
      <c r="G2424" s="59" t="str"/>
      <c r="H2424" s="64" t="str"/>
      <c r="I2424" s="65" t="str"/>
      <c r="J2424" s="49" t="str"/>
      <c r="K2424" s="41" t="str"/>
      <c r="L2424" s="41" t="str"/>
      <c r="M2424" s="41" t="str"/>
      <c r="N2424" s="41" t="str"/>
      <c r="O2424" s="41" t="str"/>
      <c r="P2424" s="41" t="str"/>
      <c r="Q2424" s="41" t="str"/>
      <c r="R2424" s="41" t="str"/>
      <c r="S2424" s="41" t="str"/>
      <c r="T2424" s="41" t="str"/>
      <c r="U2424" s="41" t="str"/>
      <c r="V2424" s="41" t="str"/>
      <c r="W2424" s="41" t="str"/>
    </row>
    <row r="2425">
      <c r="B2425" s="2" t="n"/>
      <c r="C2425" s="40" t="n"/>
      <c r="D2425" s="52">
        <f t="array" ref="D2425:W2425">IF(All_Students_Scores!C2423:V2423="","",All_Students_Scores!C2423:V2423)</f>
        <v/>
      </c>
      <c r="E2425" s="57" t="str"/>
      <c r="F2425" s="49" t="str"/>
      <c r="G2425" s="59" t="str"/>
      <c r="H2425" s="64" t="str"/>
      <c r="I2425" s="65" t="str"/>
      <c r="J2425" s="49" t="str"/>
      <c r="K2425" s="41" t="str"/>
      <c r="L2425" s="41" t="str"/>
      <c r="M2425" s="41" t="str"/>
      <c r="N2425" s="41" t="str"/>
      <c r="O2425" s="41" t="str"/>
      <c r="P2425" s="41" t="str"/>
      <c r="Q2425" s="41" t="str"/>
      <c r="R2425" s="41" t="str"/>
      <c r="S2425" s="41" t="str"/>
      <c r="T2425" s="41" t="str"/>
      <c r="U2425" s="41" t="str"/>
      <c r="V2425" s="41" t="str"/>
      <c r="W2425" s="41" t="str"/>
    </row>
    <row r="2426">
      <c r="B2426" s="2" t="n"/>
      <c r="C2426" s="40" t="n"/>
      <c r="D2426" s="52">
        <f t="array" ref="D2426:W2426">IF(All_Students_Scores!C2424:V2424="","",All_Students_Scores!C2424:V2424)</f>
        <v/>
      </c>
      <c r="E2426" s="57" t="str"/>
      <c r="F2426" s="49" t="str"/>
      <c r="G2426" s="59" t="str"/>
      <c r="H2426" s="64" t="str"/>
      <c r="I2426" s="65" t="str"/>
      <c r="J2426" s="49" t="str"/>
      <c r="K2426" s="41" t="str"/>
      <c r="L2426" s="41" t="str"/>
      <c r="M2426" s="41" t="str"/>
      <c r="N2426" s="41" t="str"/>
      <c r="O2426" s="41" t="str"/>
      <c r="P2426" s="41" t="str"/>
      <c r="Q2426" s="41" t="str"/>
      <c r="R2426" s="41" t="str"/>
      <c r="S2426" s="41" t="str"/>
      <c r="T2426" s="41" t="str"/>
      <c r="U2426" s="41" t="str"/>
      <c r="V2426" s="41" t="str"/>
      <c r="W2426" s="41" t="str"/>
    </row>
    <row r="2427">
      <c r="B2427" s="2" t="n"/>
      <c r="C2427" s="40" t="n"/>
      <c r="D2427" s="52">
        <f t="array" ref="D2427:W2427">IF(All_Students_Scores!C2425:V2425="","",All_Students_Scores!C2425:V2425)</f>
        <v/>
      </c>
      <c r="E2427" s="57" t="str"/>
      <c r="F2427" s="49" t="str"/>
      <c r="G2427" s="59" t="str"/>
      <c r="H2427" s="64" t="str"/>
      <c r="I2427" s="65" t="str"/>
      <c r="J2427" s="49" t="str"/>
      <c r="K2427" s="41" t="str"/>
      <c r="L2427" s="41" t="str"/>
      <c r="M2427" s="41" t="str"/>
      <c r="N2427" s="41" t="str"/>
      <c r="O2427" s="41" t="str"/>
      <c r="P2427" s="41" t="str"/>
      <c r="Q2427" s="41" t="str"/>
      <c r="R2427" s="41" t="str"/>
      <c r="S2427" s="41" t="str"/>
      <c r="T2427" s="41" t="str"/>
      <c r="U2427" s="41" t="str"/>
      <c r="V2427" s="41" t="str"/>
      <c r="W2427" s="41" t="str"/>
    </row>
    <row r="2428">
      <c r="B2428" s="2" t="n"/>
      <c r="C2428" s="40" t="n"/>
      <c r="D2428" s="52">
        <f t="array" ref="D2428:W2428">IF(All_Students_Scores!C2426:V2426="","",All_Students_Scores!C2426:V2426)</f>
        <v/>
      </c>
      <c r="E2428" s="57" t="str"/>
      <c r="F2428" s="49" t="str"/>
      <c r="G2428" s="59" t="str"/>
      <c r="H2428" s="64" t="str"/>
      <c r="I2428" s="65" t="str"/>
      <c r="J2428" s="49" t="str"/>
      <c r="K2428" s="41" t="str"/>
      <c r="L2428" s="41" t="str"/>
      <c r="M2428" s="41" t="str"/>
      <c r="N2428" s="41" t="str"/>
      <c r="O2428" s="41" t="str"/>
      <c r="P2428" s="41" t="str"/>
      <c r="Q2428" s="41" t="str"/>
      <c r="R2428" s="41" t="str"/>
      <c r="S2428" s="41" t="str"/>
      <c r="T2428" s="41" t="str"/>
      <c r="U2428" s="41" t="str"/>
      <c r="V2428" s="41" t="str"/>
      <c r="W2428" s="41" t="str"/>
    </row>
    <row r="2429">
      <c r="B2429" s="2" t="n"/>
      <c r="C2429" s="40" t="n"/>
      <c r="D2429" s="52">
        <f t="array" ref="D2429:W2429">IF(All_Students_Scores!C2427:V2427="","",All_Students_Scores!C2427:V2427)</f>
        <v/>
      </c>
      <c r="E2429" s="57" t="str"/>
      <c r="F2429" s="49" t="str"/>
      <c r="G2429" s="59" t="str"/>
      <c r="H2429" s="64" t="str"/>
      <c r="I2429" s="65" t="str"/>
      <c r="J2429" s="49" t="str"/>
      <c r="K2429" s="41" t="str"/>
      <c r="L2429" s="41" t="str"/>
      <c r="M2429" s="41" t="str"/>
      <c r="N2429" s="41" t="str"/>
      <c r="O2429" s="41" t="str"/>
      <c r="P2429" s="41" t="str"/>
      <c r="Q2429" s="41" t="str"/>
      <c r="R2429" s="41" t="str"/>
      <c r="S2429" s="41" t="str"/>
      <c r="T2429" s="41" t="str"/>
      <c r="U2429" s="41" t="str"/>
      <c r="V2429" s="41" t="str"/>
      <c r="W2429" s="41" t="str"/>
    </row>
    <row r="2430">
      <c r="B2430" s="2" t="n"/>
      <c r="C2430" s="40" t="n"/>
      <c r="D2430" s="52">
        <f t="array" ref="D2430:W2430">IF(All_Students_Scores!C2428:V2428="","",All_Students_Scores!C2428:V2428)</f>
        <v/>
      </c>
      <c r="E2430" s="57" t="str"/>
      <c r="F2430" s="49" t="str"/>
      <c r="G2430" s="59" t="str"/>
      <c r="H2430" s="64" t="str"/>
      <c r="I2430" s="65" t="str"/>
      <c r="J2430" s="49" t="str"/>
      <c r="K2430" s="41" t="str"/>
      <c r="L2430" s="41" t="str"/>
      <c r="M2430" s="41" t="str"/>
      <c r="N2430" s="41" t="str"/>
      <c r="O2430" s="41" t="str"/>
      <c r="P2430" s="41" t="str"/>
      <c r="Q2430" s="41" t="str"/>
      <c r="R2430" s="41" t="str"/>
      <c r="S2430" s="41" t="str"/>
      <c r="T2430" s="41" t="str"/>
      <c r="U2430" s="41" t="str"/>
      <c r="V2430" s="41" t="str"/>
      <c r="W2430" s="41" t="str"/>
    </row>
    <row r="2431">
      <c r="B2431" s="2" t="n"/>
      <c r="C2431" s="40" t="n"/>
      <c r="D2431" s="52">
        <f t="array" ref="D2431:W2431">IF(All_Students_Scores!C2429:V2429="","",All_Students_Scores!C2429:V2429)</f>
        <v/>
      </c>
      <c r="E2431" s="57" t="str"/>
      <c r="F2431" s="49" t="str"/>
      <c r="G2431" s="59" t="str"/>
      <c r="H2431" s="64" t="str"/>
      <c r="I2431" s="65" t="str"/>
      <c r="J2431" s="49" t="str"/>
      <c r="K2431" s="41" t="str"/>
      <c r="L2431" s="41" t="str"/>
      <c r="M2431" s="41" t="str"/>
      <c r="N2431" s="41" t="str"/>
      <c r="O2431" s="41" t="str"/>
      <c r="P2431" s="41" t="str"/>
      <c r="Q2431" s="41" t="str"/>
      <c r="R2431" s="41" t="str"/>
      <c r="S2431" s="41" t="str"/>
      <c r="T2431" s="41" t="str"/>
      <c r="U2431" s="41" t="str"/>
      <c r="V2431" s="41" t="str"/>
      <c r="W2431" s="41" t="str"/>
    </row>
    <row r="2432">
      <c r="B2432" s="2" t="n"/>
      <c r="C2432" s="40" t="n"/>
      <c r="D2432" s="52">
        <f t="array" ref="D2432:W2432">IF(All_Students_Scores!C2430:V2430="","",All_Students_Scores!C2430:V2430)</f>
        <v/>
      </c>
      <c r="E2432" s="57" t="str"/>
      <c r="F2432" s="49" t="str"/>
      <c r="G2432" s="59" t="str"/>
      <c r="H2432" s="64" t="str"/>
      <c r="I2432" s="65" t="str"/>
      <c r="J2432" s="49" t="str"/>
      <c r="K2432" s="41" t="str"/>
      <c r="L2432" s="41" t="str"/>
      <c r="M2432" s="41" t="str"/>
      <c r="N2432" s="41" t="str"/>
      <c r="O2432" s="41" t="str"/>
      <c r="P2432" s="41" t="str"/>
      <c r="Q2432" s="41" t="str"/>
      <c r="R2432" s="41" t="str"/>
      <c r="S2432" s="41" t="str"/>
      <c r="T2432" s="41" t="str"/>
      <c r="U2432" s="41" t="str"/>
      <c r="V2432" s="41" t="str"/>
      <c r="W2432" s="41" t="str"/>
    </row>
    <row r="2433">
      <c r="B2433" s="2" t="n"/>
      <c r="C2433" s="40" t="n"/>
      <c r="D2433" s="52">
        <f t="array" ref="D2433:W2433">IF(All_Students_Scores!C2431:V2431="","",All_Students_Scores!C2431:V2431)</f>
        <v/>
      </c>
      <c r="E2433" s="57" t="str"/>
      <c r="F2433" s="49" t="str"/>
      <c r="G2433" s="59" t="str"/>
      <c r="H2433" s="64" t="str"/>
      <c r="I2433" s="65" t="str"/>
      <c r="J2433" s="49" t="str"/>
      <c r="K2433" s="41" t="str"/>
      <c r="L2433" s="41" t="str"/>
      <c r="M2433" s="41" t="str"/>
      <c r="N2433" s="41" t="str"/>
      <c r="O2433" s="41" t="str"/>
      <c r="P2433" s="41" t="str"/>
      <c r="Q2433" s="41" t="str"/>
      <c r="R2433" s="41" t="str"/>
      <c r="S2433" s="41" t="str"/>
      <c r="T2433" s="41" t="str"/>
      <c r="U2433" s="41" t="str"/>
      <c r="V2433" s="41" t="str"/>
      <c r="W2433" s="41" t="str"/>
    </row>
    <row r="2434">
      <c r="B2434" s="2" t="n"/>
      <c r="C2434" s="40" t="n"/>
      <c r="D2434" s="52">
        <f t="array" ref="D2434:W2434">IF(All_Students_Scores!C2432:V2432="","",All_Students_Scores!C2432:V2432)</f>
        <v/>
      </c>
      <c r="E2434" s="57" t="str"/>
      <c r="F2434" s="49" t="str"/>
      <c r="G2434" s="59" t="str"/>
      <c r="H2434" s="64" t="str"/>
      <c r="I2434" s="65" t="str"/>
      <c r="J2434" s="49" t="str"/>
      <c r="K2434" s="41" t="str"/>
      <c r="L2434" s="41" t="str"/>
      <c r="M2434" s="41" t="str"/>
      <c r="N2434" s="41" t="str"/>
      <c r="O2434" s="41" t="str"/>
      <c r="P2434" s="41" t="str"/>
      <c r="Q2434" s="41" t="str"/>
      <c r="R2434" s="41" t="str"/>
      <c r="S2434" s="41" t="str"/>
      <c r="T2434" s="41" t="str"/>
      <c r="U2434" s="41" t="str"/>
      <c r="V2434" s="41" t="str"/>
      <c r="W2434" s="41" t="str"/>
    </row>
    <row r="2435">
      <c r="B2435" s="2" t="n"/>
      <c r="C2435" s="40" t="n"/>
      <c r="D2435" s="52">
        <f t="array" ref="D2435:W2435">IF(All_Students_Scores!C2433:V2433="","",All_Students_Scores!C2433:V2433)</f>
        <v/>
      </c>
      <c r="E2435" s="57" t="str"/>
      <c r="F2435" s="49" t="str"/>
      <c r="G2435" s="59" t="str"/>
      <c r="H2435" s="64" t="str"/>
      <c r="I2435" s="65" t="str"/>
      <c r="J2435" s="49" t="str"/>
      <c r="K2435" s="41" t="str"/>
      <c r="L2435" s="41" t="str"/>
      <c r="M2435" s="41" t="str"/>
      <c r="N2435" s="41" t="str"/>
      <c r="O2435" s="41" t="str"/>
      <c r="P2435" s="41" t="str"/>
      <c r="Q2435" s="41" t="str"/>
      <c r="R2435" s="41" t="str"/>
      <c r="S2435" s="41" t="str"/>
      <c r="T2435" s="41" t="str"/>
      <c r="U2435" s="41" t="str"/>
      <c r="V2435" s="41" t="str"/>
      <c r="W2435" s="41" t="str"/>
    </row>
    <row r="2436">
      <c r="B2436" s="2" t="n"/>
      <c r="C2436" s="40" t="n"/>
      <c r="D2436" s="52">
        <f t="array" ref="D2436:W2436">IF(All_Students_Scores!C2434:V2434="","",All_Students_Scores!C2434:V2434)</f>
        <v/>
      </c>
      <c r="E2436" s="57" t="str"/>
      <c r="F2436" s="49" t="str"/>
      <c r="G2436" s="59" t="str"/>
      <c r="H2436" s="64" t="str"/>
      <c r="I2436" s="65" t="str"/>
      <c r="J2436" s="49" t="str"/>
      <c r="K2436" s="41" t="str"/>
      <c r="L2436" s="41" t="str"/>
      <c r="M2436" s="41" t="str"/>
      <c r="N2436" s="41" t="str"/>
      <c r="O2436" s="41" t="str"/>
      <c r="P2436" s="41" t="str"/>
      <c r="Q2436" s="41" t="str"/>
      <c r="R2436" s="41" t="str"/>
      <c r="S2436" s="41" t="str"/>
      <c r="T2436" s="41" t="str"/>
      <c r="U2436" s="41" t="str"/>
      <c r="V2436" s="41" t="str"/>
      <c r="W2436" s="41" t="str"/>
    </row>
    <row r="2437">
      <c r="B2437" s="2" t="n"/>
      <c r="C2437" s="40" t="n"/>
      <c r="D2437" s="52">
        <f t="array" ref="D2437:W2437">IF(All_Students_Scores!C2435:V2435="","",All_Students_Scores!C2435:V2435)</f>
        <v/>
      </c>
      <c r="E2437" s="57" t="str"/>
      <c r="F2437" s="49" t="str"/>
      <c r="G2437" s="59" t="str"/>
      <c r="H2437" s="64" t="str"/>
      <c r="I2437" s="65" t="str"/>
      <c r="J2437" s="49" t="str"/>
      <c r="K2437" s="41" t="str"/>
      <c r="L2437" s="41" t="str"/>
      <c r="M2437" s="41" t="str"/>
      <c r="N2437" s="41" t="str"/>
      <c r="O2437" s="41" t="str"/>
      <c r="P2437" s="41" t="str"/>
      <c r="Q2437" s="41" t="str"/>
      <c r="R2437" s="41" t="str"/>
      <c r="S2437" s="41" t="str"/>
      <c r="T2437" s="41" t="str"/>
      <c r="U2437" s="41" t="str"/>
      <c r="V2437" s="41" t="str"/>
      <c r="W2437" s="41" t="str"/>
    </row>
    <row r="2438">
      <c r="B2438" s="2" t="n"/>
      <c r="C2438" s="40" t="n"/>
      <c r="D2438" s="52">
        <f t="array" ref="D2438:W2438">IF(All_Students_Scores!C2436:V2436="","",All_Students_Scores!C2436:V2436)</f>
        <v/>
      </c>
      <c r="E2438" s="57" t="str"/>
      <c r="F2438" s="49" t="str"/>
      <c r="G2438" s="59" t="str"/>
      <c r="H2438" s="64" t="str"/>
      <c r="I2438" s="65" t="str"/>
      <c r="J2438" s="49" t="str"/>
      <c r="K2438" s="41" t="str"/>
      <c r="L2438" s="41" t="str"/>
      <c r="M2438" s="41" t="str"/>
      <c r="N2438" s="41" t="str"/>
      <c r="O2438" s="41" t="str"/>
      <c r="P2438" s="41" t="str"/>
      <c r="Q2438" s="41" t="str"/>
      <c r="R2438" s="41" t="str"/>
      <c r="S2438" s="41" t="str"/>
      <c r="T2438" s="41" t="str"/>
      <c r="U2438" s="41" t="str"/>
      <c r="V2438" s="41" t="str"/>
      <c r="W2438" s="41" t="str"/>
    </row>
    <row r="2439">
      <c r="B2439" s="2" t="n"/>
      <c r="C2439" s="40" t="n"/>
      <c r="D2439" s="52">
        <f t="array" ref="D2439:W2439">IF(All_Students_Scores!C2437:V2437="","",All_Students_Scores!C2437:V2437)</f>
        <v/>
      </c>
      <c r="E2439" s="57" t="str"/>
      <c r="F2439" s="49" t="str"/>
      <c r="G2439" s="59" t="str"/>
      <c r="H2439" s="64" t="str"/>
      <c r="I2439" s="65" t="str"/>
      <c r="J2439" s="49" t="str"/>
      <c r="K2439" s="41" t="str"/>
      <c r="L2439" s="41" t="str"/>
      <c r="M2439" s="41" t="str"/>
      <c r="N2439" s="41" t="str"/>
      <c r="O2439" s="41" t="str"/>
      <c r="P2439" s="41" t="str"/>
      <c r="Q2439" s="41" t="str"/>
      <c r="R2439" s="41" t="str"/>
      <c r="S2439" s="41" t="str"/>
      <c r="T2439" s="41" t="str"/>
      <c r="U2439" s="41" t="str"/>
      <c r="V2439" s="41" t="str"/>
      <c r="W2439" s="41" t="str"/>
    </row>
    <row r="2440">
      <c r="B2440" s="2" t="n"/>
      <c r="C2440" s="40" t="n"/>
      <c r="D2440" s="52">
        <f t="array" ref="D2440:W2440">IF(All_Students_Scores!C2438:V2438="","",All_Students_Scores!C2438:V2438)</f>
        <v/>
      </c>
      <c r="E2440" s="57" t="str"/>
      <c r="F2440" s="49" t="str"/>
      <c r="G2440" s="59" t="str"/>
      <c r="H2440" s="64" t="str"/>
      <c r="I2440" s="65" t="str"/>
      <c r="J2440" s="49" t="str"/>
      <c r="K2440" s="41" t="str"/>
      <c r="L2440" s="41" t="str"/>
      <c r="M2440" s="41" t="str"/>
      <c r="N2440" s="41" t="str"/>
      <c r="O2440" s="41" t="str"/>
      <c r="P2440" s="41" t="str"/>
      <c r="Q2440" s="41" t="str"/>
      <c r="R2440" s="41" t="str"/>
      <c r="S2440" s="41" t="str"/>
      <c r="T2440" s="41" t="str"/>
      <c r="U2440" s="41" t="str"/>
      <c r="V2440" s="41" t="str"/>
      <c r="W2440" s="41" t="str"/>
    </row>
    <row r="2441">
      <c r="B2441" s="2" t="n"/>
      <c r="C2441" s="40" t="n"/>
      <c r="D2441" s="52">
        <f t="array" ref="D2441:W2441">IF(All_Students_Scores!C2439:V2439="","",All_Students_Scores!C2439:V2439)</f>
        <v/>
      </c>
      <c r="E2441" s="57" t="str"/>
      <c r="F2441" s="49" t="str"/>
      <c r="G2441" s="59" t="str"/>
      <c r="H2441" s="64" t="str"/>
      <c r="I2441" s="65" t="str"/>
      <c r="J2441" s="49" t="str"/>
      <c r="K2441" s="41" t="str"/>
      <c r="L2441" s="41" t="str"/>
      <c r="M2441" s="41" t="str"/>
      <c r="N2441" s="41" t="str"/>
      <c r="O2441" s="41" t="str"/>
      <c r="P2441" s="41" t="str"/>
      <c r="Q2441" s="41" t="str"/>
      <c r="R2441" s="41" t="str"/>
      <c r="S2441" s="41" t="str"/>
      <c r="T2441" s="41" t="str"/>
      <c r="U2441" s="41" t="str"/>
      <c r="V2441" s="41" t="str"/>
      <c r="W2441" s="41" t="str"/>
    </row>
    <row r="2442">
      <c r="B2442" s="2" t="n"/>
      <c r="C2442" s="40" t="n"/>
      <c r="D2442" s="52">
        <f t="array" ref="D2442:W2442">IF(All_Students_Scores!C2440:V2440="","",All_Students_Scores!C2440:V2440)</f>
        <v/>
      </c>
      <c r="E2442" s="57" t="str"/>
      <c r="F2442" s="49" t="str"/>
      <c r="G2442" s="59" t="str"/>
      <c r="H2442" s="64" t="str"/>
      <c r="I2442" s="65" t="str"/>
      <c r="J2442" s="49" t="str"/>
      <c r="K2442" s="41" t="str"/>
      <c r="L2442" s="41" t="str"/>
      <c r="M2442" s="41" t="str"/>
      <c r="N2442" s="41" t="str"/>
      <c r="O2442" s="41" t="str"/>
      <c r="P2442" s="41" t="str"/>
      <c r="Q2442" s="41" t="str"/>
      <c r="R2442" s="41" t="str"/>
      <c r="S2442" s="41" t="str"/>
      <c r="T2442" s="41" t="str"/>
      <c r="U2442" s="41" t="str"/>
      <c r="V2442" s="41" t="str"/>
      <c r="W2442" s="41" t="str"/>
    </row>
    <row r="2443">
      <c r="B2443" s="2" t="n"/>
      <c r="C2443" s="40" t="n"/>
      <c r="D2443" s="52">
        <f t="array" ref="D2443:W2443">IF(All_Students_Scores!C2441:V2441="","",All_Students_Scores!C2441:V2441)</f>
        <v/>
      </c>
      <c r="E2443" s="57" t="str"/>
      <c r="F2443" s="49" t="str"/>
      <c r="G2443" s="59" t="str"/>
      <c r="H2443" s="64" t="str"/>
      <c r="I2443" s="65" t="str"/>
      <c r="J2443" s="49" t="str"/>
      <c r="K2443" s="41" t="str"/>
      <c r="L2443" s="41" t="str"/>
      <c r="M2443" s="41" t="str"/>
      <c r="N2443" s="41" t="str"/>
      <c r="O2443" s="41" t="str"/>
      <c r="P2443" s="41" t="str"/>
      <c r="Q2443" s="41" t="str"/>
      <c r="R2443" s="41" t="str"/>
      <c r="S2443" s="41" t="str"/>
      <c r="T2443" s="41" t="str"/>
      <c r="U2443" s="41" t="str"/>
      <c r="V2443" s="41" t="str"/>
      <c r="W2443" s="41" t="str"/>
    </row>
    <row r="2444">
      <c r="B2444" s="2" t="n"/>
      <c r="C2444" s="40" t="n"/>
      <c r="D2444" s="52">
        <f t="array" ref="D2444:W2444">IF(All_Students_Scores!C2442:V2442="","",All_Students_Scores!C2442:V2442)</f>
        <v/>
      </c>
      <c r="E2444" s="57" t="str"/>
      <c r="F2444" s="49" t="str"/>
      <c r="G2444" s="59" t="str"/>
      <c r="H2444" s="64" t="str"/>
      <c r="I2444" s="65" t="str"/>
      <c r="J2444" s="49" t="str"/>
      <c r="K2444" s="41" t="str"/>
      <c r="L2444" s="41" t="str"/>
      <c r="M2444" s="41" t="str"/>
      <c r="N2444" s="41" t="str"/>
      <c r="O2444" s="41" t="str"/>
      <c r="P2444" s="41" t="str"/>
      <c r="Q2444" s="41" t="str"/>
      <c r="R2444" s="41" t="str"/>
      <c r="S2444" s="41" t="str"/>
      <c r="T2444" s="41" t="str"/>
      <c r="U2444" s="41" t="str"/>
      <c r="V2444" s="41" t="str"/>
      <c r="W2444" s="41" t="str"/>
    </row>
    <row r="2445">
      <c r="B2445" s="2" t="n"/>
      <c r="C2445" s="40" t="n"/>
      <c r="D2445" s="52">
        <f t="array" ref="D2445:W2445">IF(All_Students_Scores!C2443:V2443="","",All_Students_Scores!C2443:V2443)</f>
        <v/>
      </c>
      <c r="E2445" s="57" t="str"/>
      <c r="F2445" s="49" t="str"/>
      <c r="G2445" s="59" t="str"/>
      <c r="H2445" s="64" t="str"/>
      <c r="I2445" s="65" t="str"/>
      <c r="J2445" s="49" t="str"/>
      <c r="K2445" s="41" t="str"/>
      <c r="L2445" s="41" t="str"/>
      <c r="M2445" s="41" t="str"/>
      <c r="N2445" s="41" t="str"/>
      <c r="O2445" s="41" t="str"/>
      <c r="P2445" s="41" t="str"/>
      <c r="Q2445" s="41" t="str"/>
      <c r="R2445" s="41" t="str"/>
      <c r="S2445" s="41" t="str"/>
      <c r="T2445" s="41" t="str"/>
      <c r="U2445" s="41" t="str"/>
      <c r="V2445" s="41" t="str"/>
      <c r="W2445" s="41" t="str"/>
    </row>
    <row r="2446">
      <c r="B2446" s="2" t="n"/>
      <c r="C2446" s="40" t="n"/>
      <c r="D2446" s="52">
        <f t="array" ref="D2446:W2446">IF(All_Students_Scores!C2444:V2444="","",All_Students_Scores!C2444:V2444)</f>
        <v/>
      </c>
      <c r="E2446" s="57" t="str"/>
      <c r="F2446" s="49" t="str"/>
      <c r="G2446" s="59" t="str"/>
      <c r="H2446" s="64" t="str"/>
      <c r="I2446" s="65" t="str"/>
      <c r="J2446" s="49" t="str"/>
      <c r="K2446" s="41" t="str"/>
      <c r="L2446" s="41" t="str"/>
      <c r="M2446" s="41" t="str"/>
      <c r="N2446" s="41" t="str"/>
      <c r="O2446" s="41" t="str"/>
      <c r="P2446" s="41" t="str"/>
      <c r="Q2446" s="41" t="str"/>
      <c r="R2446" s="41" t="str"/>
      <c r="S2446" s="41" t="str"/>
      <c r="T2446" s="41" t="str"/>
      <c r="U2446" s="41" t="str"/>
      <c r="V2446" s="41" t="str"/>
      <c r="W2446" s="41" t="str"/>
    </row>
    <row r="2447">
      <c r="B2447" s="2" t="n"/>
      <c r="C2447" s="40" t="n"/>
      <c r="D2447" s="52">
        <f t="array" ref="D2447:W2447">IF(All_Students_Scores!C2445:V2445="","",All_Students_Scores!C2445:V2445)</f>
        <v/>
      </c>
      <c r="E2447" s="57" t="str"/>
      <c r="F2447" s="49" t="str"/>
      <c r="G2447" s="59" t="str"/>
      <c r="H2447" s="64" t="str"/>
      <c r="I2447" s="65" t="str"/>
      <c r="J2447" s="49" t="str"/>
      <c r="K2447" s="41" t="str"/>
      <c r="L2447" s="41" t="str"/>
      <c r="M2447" s="41" t="str"/>
      <c r="N2447" s="41" t="str"/>
      <c r="O2447" s="41" t="str"/>
      <c r="P2447" s="41" t="str"/>
      <c r="Q2447" s="41" t="str"/>
      <c r="R2447" s="41" t="str"/>
      <c r="S2447" s="41" t="str"/>
      <c r="T2447" s="41" t="str"/>
      <c r="U2447" s="41" t="str"/>
      <c r="V2447" s="41" t="str"/>
      <c r="W2447" s="41" t="str"/>
    </row>
    <row r="2448">
      <c r="B2448" s="2" t="n"/>
      <c r="C2448" s="40" t="n"/>
      <c r="D2448" s="52">
        <f t="array" ref="D2448:W2448">IF(All_Students_Scores!C2446:V2446="","",All_Students_Scores!C2446:V2446)</f>
        <v/>
      </c>
      <c r="E2448" s="57" t="str"/>
      <c r="F2448" s="49" t="str"/>
      <c r="G2448" s="59" t="str"/>
      <c r="H2448" s="64" t="str"/>
      <c r="I2448" s="65" t="str"/>
      <c r="J2448" s="49" t="str"/>
      <c r="K2448" s="41" t="str"/>
      <c r="L2448" s="41" t="str"/>
      <c r="M2448" s="41" t="str"/>
      <c r="N2448" s="41" t="str"/>
      <c r="O2448" s="41" t="str"/>
      <c r="P2448" s="41" t="str"/>
      <c r="Q2448" s="41" t="str"/>
      <c r="R2448" s="41" t="str"/>
      <c r="S2448" s="41" t="str"/>
      <c r="T2448" s="41" t="str"/>
      <c r="U2448" s="41" t="str"/>
      <c r="V2448" s="41" t="str"/>
      <c r="W2448" s="41" t="str"/>
    </row>
    <row r="2449">
      <c r="B2449" s="2" t="n"/>
      <c r="C2449" s="40" t="n"/>
      <c r="D2449" s="52">
        <f t="array" ref="D2449:W2449">IF(All_Students_Scores!C2447:V2447="","",All_Students_Scores!C2447:V2447)</f>
        <v/>
      </c>
      <c r="E2449" s="57" t="str"/>
      <c r="F2449" s="49" t="str"/>
      <c r="G2449" s="59" t="str"/>
      <c r="H2449" s="64" t="str"/>
      <c r="I2449" s="65" t="str"/>
      <c r="J2449" s="49" t="str"/>
      <c r="K2449" s="41" t="str"/>
      <c r="L2449" s="41" t="str"/>
      <c r="M2449" s="41" t="str"/>
      <c r="N2449" s="41" t="str"/>
      <c r="O2449" s="41" t="str"/>
      <c r="P2449" s="41" t="str"/>
      <c r="Q2449" s="41" t="str"/>
      <c r="R2449" s="41" t="str"/>
      <c r="S2449" s="41" t="str"/>
      <c r="T2449" s="41" t="str"/>
      <c r="U2449" s="41" t="str"/>
      <c r="V2449" s="41" t="str"/>
      <c r="W2449" s="41" t="str"/>
    </row>
    <row r="2450">
      <c r="B2450" s="2" t="n"/>
      <c r="C2450" s="40" t="n"/>
      <c r="D2450" s="52">
        <f t="array" ref="D2450:W2450">IF(All_Students_Scores!C2448:V2448="","",All_Students_Scores!C2448:V2448)</f>
        <v/>
      </c>
      <c r="E2450" s="57" t="str"/>
      <c r="F2450" s="49" t="str"/>
      <c r="G2450" s="59" t="str"/>
      <c r="H2450" s="64" t="str"/>
      <c r="I2450" s="65" t="str"/>
      <c r="J2450" s="49" t="str"/>
      <c r="K2450" s="41" t="str"/>
      <c r="L2450" s="41" t="str"/>
      <c r="M2450" s="41" t="str"/>
      <c r="N2450" s="41" t="str"/>
      <c r="O2450" s="41" t="str"/>
      <c r="P2450" s="41" t="str"/>
      <c r="Q2450" s="41" t="str"/>
      <c r="R2450" s="41" t="str"/>
      <c r="S2450" s="41" t="str"/>
      <c r="T2450" s="41" t="str"/>
      <c r="U2450" s="41" t="str"/>
      <c r="V2450" s="41" t="str"/>
      <c r="W2450" s="41" t="str"/>
    </row>
    <row r="2451">
      <c r="B2451" s="2" t="n"/>
      <c r="C2451" s="40" t="n"/>
      <c r="D2451" s="52">
        <f t="array" ref="D2451:W2451">IF(All_Students_Scores!C2449:V2449="","",All_Students_Scores!C2449:V2449)</f>
        <v/>
      </c>
      <c r="E2451" s="57" t="str"/>
      <c r="F2451" s="49" t="str"/>
      <c r="G2451" s="59" t="str"/>
      <c r="H2451" s="64" t="str"/>
      <c r="I2451" s="65" t="str"/>
      <c r="J2451" s="49" t="str"/>
      <c r="K2451" s="41" t="str"/>
      <c r="L2451" s="41" t="str"/>
      <c r="M2451" s="41" t="str"/>
      <c r="N2451" s="41" t="str"/>
      <c r="O2451" s="41" t="str"/>
      <c r="P2451" s="41" t="str"/>
      <c r="Q2451" s="41" t="str"/>
      <c r="R2451" s="41" t="str"/>
      <c r="S2451" s="41" t="str"/>
      <c r="T2451" s="41" t="str"/>
      <c r="U2451" s="41" t="str"/>
      <c r="V2451" s="41" t="str"/>
      <c r="W2451" s="41" t="str"/>
    </row>
    <row r="2452">
      <c r="B2452" s="2" t="n"/>
      <c r="C2452" s="40" t="n"/>
      <c r="D2452" s="52">
        <f t="array" ref="D2452:W2452">IF(All_Students_Scores!C2450:V2450="","",All_Students_Scores!C2450:V2450)</f>
        <v/>
      </c>
      <c r="E2452" s="57" t="str"/>
      <c r="F2452" s="49" t="str"/>
      <c r="G2452" s="59" t="str"/>
      <c r="H2452" s="64" t="str"/>
      <c r="I2452" s="65" t="str"/>
      <c r="J2452" s="49" t="str"/>
      <c r="K2452" s="41" t="str"/>
      <c r="L2452" s="41" t="str"/>
      <c r="M2452" s="41" t="str"/>
      <c r="N2452" s="41" t="str"/>
      <c r="O2452" s="41" t="str"/>
      <c r="P2452" s="41" t="str"/>
      <c r="Q2452" s="41" t="str"/>
      <c r="R2452" s="41" t="str"/>
      <c r="S2452" s="41" t="str"/>
      <c r="T2452" s="41" t="str"/>
      <c r="U2452" s="41" t="str"/>
      <c r="V2452" s="41" t="str"/>
      <c r="W2452" s="41" t="str"/>
    </row>
    <row r="2453">
      <c r="B2453" s="2" t="n"/>
      <c r="C2453" s="40" t="n"/>
      <c r="D2453" s="52">
        <f t="array" ref="D2453:W2453">IF(All_Students_Scores!C2451:V2451="","",All_Students_Scores!C2451:V2451)</f>
        <v/>
      </c>
      <c r="E2453" s="57" t="str"/>
      <c r="F2453" s="49" t="str"/>
      <c r="G2453" s="59" t="str"/>
      <c r="H2453" s="64" t="str"/>
      <c r="I2453" s="65" t="str"/>
      <c r="J2453" s="49" t="str"/>
      <c r="K2453" s="41" t="str"/>
      <c r="L2453" s="41" t="str"/>
      <c r="M2453" s="41" t="str"/>
      <c r="N2453" s="41" t="str"/>
      <c r="O2453" s="41" t="str"/>
      <c r="P2453" s="41" t="str"/>
      <c r="Q2453" s="41" t="str"/>
      <c r="R2453" s="41" t="str"/>
      <c r="S2453" s="41" t="str"/>
      <c r="T2453" s="41" t="str"/>
      <c r="U2453" s="41" t="str"/>
      <c r="V2453" s="41" t="str"/>
      <c r="W2453" s="41" t="str"/>
    </row>
    <row r="2454">
      <c r="B2454" s="2" t="n"/>
      <c r="C2454" s="40" t="n"/>
      <c r="D2454" s="52">
        <f t="array" ref="D2454:W2454">IF(All_Students_Scores!C2452:V2452="","",All_Students_Scores!C2452:V2452)</f>
        <v/>
      </c>
      <c r="E2454" s="57" t="str"/>
      <c r="F2454" s="49" t="str"/>
      <c r="G2454" s="59" t="str"/>
      <c r="H2454" s="64" t="str"/>
      <c r="I2454" s="65" t="str"/>
      <c r="J2454" s="49" t="str"/>
      <c r="K2454" s="41" t="str"/>
      <c r="L2454" s="41" t="str"/>
      <c r="M2454" s="41" t="str"/>
      <c r="N2454" s="41" t="str"/>
      <c r="O2454" s="41" t="str"/>
      <c r="P2454" s="41" t="str"/>
      <c r="Q2454" s="41" t="str"/>
      <c r="R2454" s="41" t="str"/>
      <c r="S2454" s="41" t="str"/>
      <c r="T2454" s="41" t="str"/>
      <c r="U2454" s="41" t="str"/>
      <c r="V2454" s="41" t="str"/>
      <c r="W2454" s="41" t="str"/>
    </row>
    <row r="2455">
      <c r="B2455" s="2" t="n"/>
      <c r="C2455" s="40" t="n"/>
      <c r="D2455" s="52">
        <f t="array" ref="D2455:W2455">IF(All_Students_Scores!C2453:V2453="","",All_Students_Scores!C2453:V2453)</f>
        <v/>
      </c>
      <c r="E2455" s="57" t="str"/>
      <c r="F2455" s="49" t="str"/>
      <c r="G2455" s="59" t="str"/>
      <c r="H2455" s="64" t="str"/>
      <c r="I2455" s="65" t="str"/>
      <c r="J2455" s="49" t="str"/>
      <c r="K2455" s="41" t="str"/>
      <c r="L2455" s="41" t="str"/>
      <c r="M2455" s="41" t="str"/>
      <c r="N2455" s="41" t="str"/>
      <c r="O2455" s="41" t="str"/>
      <c r="P2455" s="41" t="str"/>
      <c r="Q2455" s="41" t="str"/>
      <c r="R2455" s="41" t="str"/>
      <c r="S2455" s="41" t="str"/>
      <c r="T2455" s="41" t="str"/>
      <c r="U2455" s="41" t="str"/>
      <c r="V2455" s="41" t="str"/>
      <c r="W2455" s="41" t="str"/>
    </row>
    <row r="2456">
      <c r="B2456" s="2" t="n"/>
      <c r="C2456" s="40" t="n"/>
      <c r="D2456" s="52">
        <f t="array" ref="D2456:W2456">IF(All_Students_Scores!C2454:V2454="","",All_Students_Scores!C2454:V2454)</f>
        <v/>
      </c>
      <c r="E2456" s="57" t="str"/>
      <c r="F2456" s="49" t="str"/>
      <c r="G2456" s="59" t="str"/>
      <c r="H2456" s="64" t="str"/>
      <c r="I2456" s="65" t="str"/>
      <c r="J2456" s="49" t="str"/>
      <c r="K2456" s="41" t="str"/>
      <c r="L2456" s="41" t="str"/>
      <c r="M2456" s="41" t="str"/>
      <c r="N2456" s="41" t="str"/>
      <c r="O2456" s="41" t="str"/>
      <c r="P2456" s="41" t="str"/>
      <c r="Q2456" s="41" t="str"/>
      <c r="R2456" s="41" t="str"/>
      <c r="S2456" s="41" t="str"/>
      <c r="T2456" s="41" t="str"/>
      <c r="U2456" s="41" t="str"/>
      <c r="V2456" s="41" t="str"/>
      <c r="W2456" s="41" t="str"/>
    </row>
    <row r="2457">
      <c r="B2457" s="2" t="n"/>
      <c r="C2457" s="40" t="n"/>
      <c r="D2457" s="52">
        <f t="array" ref="D2457:W2457">IF(All_Students_Scores!C2455:V2455="","",All_Students_Scores!C2455:V2455)</f>
        <v/>
      </c>
      <c r="E2457" s="57" t="str"/>
      <c r="F2457" s="49" t="str"/>
      <c r="G2457" s="59" t="str"/>
      <c r="H2457" s="64" t="str"/>
      <c r="I2457" s="65" t="str"/>
      <c r="J2457" s="49" t="str"/>
      <c r="K2457" s="41" t="str"/>
      <c r="L2457" s="41" t="str"/>
      <c r="M2457" s="41" t="str"/>
      <c r="N2457" s="41" t="str"/>
      <c r="O2457" s="41" t="str"/>
      <c r="P2457" s="41" t="str"/>
      <c r="Q2457" s="41" t="str"/>
      <c r="R2457" s="41" t="str"/>
      <c r="S2457" s="41" t="str"/>
      <c r="T2457" s="41" t="str"/>
      <c r="U2457" s="41" t="str"/>
      <c r="V2457" s="41" t="str"/>
      <c r="W2457" s="41" t="str"/>
    </row>
    <row r="2458">
      <c r="B2458" s="2" t="n"/>
      <c r="C2458" s="40" t="n"/>
      <c r="D2458" s="52">
        <f t="array" ref="D2458:W2458">IF(All_Students_Scores!C2456:V2456="","",All_Students_Scores!C2456:V2456)</f>
        <v/>
      </c>
      <c r="E2458" s="57" t="str"/>
      <c r="F2458" s="49" t="str"/>
      <c r="G2458" s="59" t="str"/>
      <c r="H2458" s="64" t="str"/>
      <c r="I2458" s="65" t="str"/>
      <c r="J2458" s="49" t="str"/>
      <c r="K2458" s="41" t="str"/>
      <c r="L2458" s="41" t="str"/>
      <c r="M2458" s="41" t="str"/>
      <c r="N2458" s="41" t="str"/>
      <c r="O2458" s="41" t="str"/>
      <c r="P2458" s="41" t="str"/>
      <c r="Q2458" s="41" t="str"/>
      <c r="R2458" s="41" t="str"/>
      <c r="S2458" s="41" t="str"/>
      <c r="T2458" s="41" t="str"/>
      <c r="U2458" s="41" t="str"/>
      <c r="V2458" s="41" t="str"/>
      <c r="W2458" s="41" t="str"/>
    </row>
    <row r="2459">
      <c r="B2459" s="2" t="n"/>
      <c r="C2459" s="40" t="n"/>
      <c r="D2459" s="52">
        <f t="array" ref="D2459:W2459">IF(All_Students_Scores!C2457:V2457="","",All_Students_Scores!C2457:V2457)</f>
        <v/>
      </c>
      <c r="E2459" s="57" t="str"/>
      <c r="F2459" s="49" t="str"/>
      <c r="G2459" s="59" t="str"/>
      <c r="H2459" s="64" t="str"/>
      <c r="I2459" s="65" t="str"/>
      <c r="J2459" s="49" t="str"/>
      <c r="K2459" s="41" t="str"/>
      <c r="L2459" s="41" t="str"/>
      <c r="M2459" s="41" t="str"/>
      <c r="N2459" s="41" t="str"/>
      <c r="O2459" s="41" t="str"/>
      <c r="P2459" s="41" t="str"/>
      <c r="Q2459" s="41" t="str"/>
      <c r="R2459" s="41" t="str"/>
      <c r="S2459" s="41" t="str"/>
      <c r="T2459" s="41" t="str"/>
      <c r="U2459" s="41" t="str"/>
      <c r="V2459" s="41" t="str"/>
      <c r="W2459" s="41" t="str"/>
    </row>
    <row r="2460">
      <c r="B2460" s="2" t="n"/>
      <c r="C2460" s="40" t="n"/>
      <c r="D2460" s="52">
        <f t="array" ref="D2460:W2460">IF(All_Students_Scores!C2458:V2458="","",All_Students_Scores!C2458:V2458)</f>
        <v/>
      </c>
      <c r="E2460" s="57" t="str"/>
      <c r="F2460" s="49" t="str"/>
      <c r="G2460" s="59" t="str"/>
      <c r="H2460" s="64" t="str"/>
      <c r="I2460" s="65" t="str"/>
      <c r="J2460" s="49" t="str"/>
      <c r="K2460" s="41" t="str"/>
      <c r="L2460" s="41" t="str"/>
      <c r="M2460" s="41" t="str"/>
      <c r="N2460" s="41" t="str"/>
      <c r="O2460" s="41" t="str"/>
      <c r="P2460" s="41" t="str"/>
      <c r="Q2460" s="41" t="str"/>
      <c r="R2460" s="41" t="str"/>
      <c r="S2460" s="41" t="str"/>
      <c r="T2460" s="41" t="str"/>
      <c r="U2460" s="41" t="str"/>
      <c r="V2460" s="41" t="str"/>
      <c r="W2460" s="41" t="str"/>
    </row>
    <row r="2461">
      <c r="B2461" s="2" t="n"/>
      <c r="C2461" s="40" t="n"/>
      <c r="D2461" s="52">
        <f t="array" ref="D2461:W2461">IF(All_Students_Scores!C2459:V2459="","",All_Students_Scores!C2459:V2459)</f>
        <v/>
      </c>
      <c r="E2461" s="57" t="str"/>
      <c r="F2461" s="49" t="str"/>
      <c r="G2461" s="59" t="str"/>
      <c r="H2461" s="64" t="str"/>
      <c r="I2461" s="65" t="str"/>
      <c r="J2461" s="49" t="str"/>
      <c r="K2461" s="41" t="str"/>
      <c r="L2461" s="41" t="str"/>
      <c r="M2461" s="41" t="str"/>
      <c r="N2461" s="41" t="str"/>
      <c r="O2461" s="41" t="str"/>
      <c r="P2461" s="41" t="str"/>
      <c r="Q2461" s="41" t="str"/>
      <c r="R2461" s="41" t="str"/>
      <c r="S2461" s="41" t="str"/>
      <c r="T2461" s="41" t="str"/>
      <c r="U2461" s="41" t="str"/>
      <c r="V2461" s="41" t="str"/>
      <c r="W2461" s="41" t="str"/>
    </row>
    <row r="2462">
      <c r="B2462" s="2" t="n"/>
      <c r="C2462" s="40" t="n"/>
      <c r="D2462" s="52">
        <f t="array" ref="D2462:W2462">IF(All_Students_Scores!C2460:V2460="","",All_Students_Scores!C2460:V2460)</f>
        <v/>
      </c>
      <c r="E2462" s="57" t="str"/>
      <c r="F2462" s="49" t="str"/>
      <c r="G2462" s="59" t="str"/>
      <c r="H2462" s="64" t="str"/>
      <c r="I2462" s="65" t="str"/>
      <c r="J2462" s="49" t="str"/>
      <c r="K2462" s="41" t="str"/>
      <c r="L2462" s="41" t="str"/>
      <c r="M2462" s="41" t="str"/>
      <c r="N2462" s="41" t="str"/>
      <c r="O2462" s="41" t="str"/>
      <c r="P2462" s="41" t="str"/>
      <c r="Q2462" s="41" t="str"/>
      <c r="R2462" s="41" t="str"/>
      <c r="S2462" s="41" t="str"/>
      <c r="T2462" s="41" t="str"/>
      <c r="U2462" s="41" t="str"/>
      <c r="V2462" s="41" t="str"/>
      <c r="W2462" s="41" t="str"/>
    </row>
    <row r="2463">
      <c r="B2463" s="2" t="n"/>
      <c r="C2463" s="40" t="n"/>
      <c r="D2463" s="52">
        <f t="array" ref="D2463:W2463">IF(All_Students_Scores!C2461:V2461="","",All_Students_Scores!C2461:V2461)</f>
        <v/>
      </c>
      <c r="E2463" s="57" t="str"/>
      <c r="F2463" s="49" t="str"/>
      <c r="G2463" s="59" t="str"/>
      <c r="H2463" s="64" t="str"/>
      <c r="I2463" s="65" t="str"/>
      <c r="J2463" s="49" t="str"/>
      <c r="K2463" s="41" t="str"/>
      <c r="L2463" s="41" t="str"/>
      <c r="M2463" s="41" t="str"/>
      <c r="N2463" s="41" t="str"/>
      <c r="O2463" s="41" t="str"/>
      <c r="P2463" s="41" t="str"/>
      <c r="Q2463" s="41" t="str"/>
      <c r="R2463" s="41" t="str"/>
      <c r="S2463" s="41" t="str"/>
      <c r="T2463" s="41" t="str"/>
      <c r="U2463" s="41" t="str"/>
      <c r="V2463" s="41" t="str"/>
      <c r="W2463" s="41" t="str"/>
    </row>
    <row r="2464">
      <c r="B2464" s="2" t="n"/>
      <c r="C2464" s="40" t="n"/>
      <c r="D2464" s="52">
        <f t="array" ref="D2464:W2464">IF(All_Students_Scores!C2462:V2462="","",All_Students_Scores!C2462:V2462)</f>
        <v/>
      </c>
      <c r="E2464" s="57" t="str"/>
      <c r="F2464" s="49" t="str"/>
      <c r="G2464" s="59" t="str"/>
      <c r="H2464" s="64" t="str"/>
      <c r="I2464" s="65" t="str"/>
      <c r="J2464" s="49" t="str"/>
      <c r="K2464" s="41" t="str"/>
      <c r="L2464" s="41" t="str"/>
      <c r="M2464" s="41" t="str"/>
      <c r="N2464" s="41" t="str"/>
      <c r="O2464" s="41" t="str"/>
      <c r="P2464" s="41" t="str"/>
      <c r="Q2464" s="41" t="str"/>
      <c r="R2464" s="41" t="str"/>
      <c r="S2464" s="41" t="str"/>
      <c r="T2464" s="41" t="str"/>
      <c r="U2464" s="41" t="str"/>
      <c r="V2464" s="41" t="str"/>
      <c r="W2464" s="41" t="str"/>
    </row>
    <row r="2465">
      <c r="B2465" s="2" t="n"/>
      <c r="C2465" s="40" t="n"/>
      <c r="D2465" s="52">
        <f t="array" ref="D2465:W2465">IF(All_Students_Scores!C2463:V2463="","",All_Students_Scores!C2463:V2463)</f>
        <v/>
      </c>
      <c r="E2465" s="57" t="str"/>
      <c r="F2465" s="49" t="str"/>
      <c r="G2465" s="59" t="str"/>
      <c r="H2465" s="64" t="str"/>
      <c r="I2465" s="65" t="str"/>
      <c r="J2465" s="49" t="str"/>
      <c r="K2465" s="41" t="str"/>
      <c r="L2465" s="41" t="str"/>
      <c r="M2465" s="41" t="str"/>
      <c r="N2465" s="41" t="str"/>
      <c r="O2465" s="41" t="str"/>
      <c r="P2465" s="41" t="str"/>
      <c r="Q2465" s="41" t="str"/>
      <c r="R2465" s="41" t="str"/>
      <c r="S2465" s="41" t="str"/>
      <c r="T2465" s="41" t="str"/>
      <c r="U2465" s="41" t="str"/>
      <c r="V2465" s="41" t="str"/>
      <c r="W2465" s="41" t="str"/>
    </row>
    <row r="2466">
      <c r="B2466" s="2" t="n"/>
      <c r="C2466" s="40" t="n"/>
      <c r="D2466" s="52">
        <f t="array" ref="D2466:W2466">IF(All_Students_Scores!C2464:V2464="","",All_Students_Scores!C2464:V2464)</f>
        <v/>
      </c>
      <c r="E2466" s="57" t="str"/>
      <c r="F2466" s="49" t="str"/>
      <c r="G2466" s="59" t="str"/>
      <c r="H2466" s="64" t="str"/>
      <c r="I2466" s="65" t="str"/>
      <c r="J2466" s="49" t="str"/>
      <c r="K2466" s="41" t="str"/>
      <c r="L2466" s="41" t="str"/>
      <c r="M2466" s="41" t="str"/>
      <c r="N2466" s="41" t="str"/>
      <c r="O2466" s="41" t="str"/>
      <c r="P2466" s="41" t="str"/>
      <c r="Q2466" s="41" t="str"/>
      <c r="R2466" s="41" t="str"/>
      <c r="S2466" s="41" t="str"/>
      <c r="T2466" s="41" t="str"/>
      <c r="U2466" s="41" t="str"/>
      <c r="V2466" s="41" t="str"/>
      <c r="W2466" s="41" t="str"/>
    </row>
    <row r="2467">
      <c r="B2467" s="2" t="n"/>
      <c r="C2467" s="40" t="n"/>
      <c r="D2467" s="52">
        <f t="array" ref="D2467:W2467">IF(All_Students_Scores!C2465:V2465="","",All_Students_Scores!C2465:V2465)</f>
        <v/>
      </c>
      <c r="E2467" s="57" t="str"/>
      <c r="F2467" s="49" t="str"/>
      <c r="G2467" s="59" t="str"/>
      <c r="H2467" s="64" t="str"/>
      <c r="I2467" s="65" t="str"/>
      <c r="J2467" s="49" t="str"/>
      <c r="K2467" s="41" t="str"/>
      <c r="L2467" s="41" t="str"/>
      <c r="M2467" s="41" t="str"/>
      <c r="N2467" s="41" t="str"/>
      <c r="O2467" s="41" t="str"/>
      <c r="P2467" s="41" t="str"/>
      <c r="Q2467" s="41" t="str"/>
      <c r="R2467" s="41" t="str"/>
      <c r="S2467" s="41" t="str"/>
      <c r="T2467" s="41" t="str"/>
      <c r="U2467" s="41" t="str"/>
      <c r="V2467" s="41" t="str"/>
      <c r="W2467" s="41" t="str"/>
    </row>
    <row r="2468">
      <c r="B2468" s="2" t="n"/>
      <c r="C2468" s="40" t="n"/>
      <c r="D2468" s="52">
        <f t="array" ref="D2468:W2468">IF(All_Students_Scores!C2466:V2466="","",All_Students_Scores!C2466:V2466)</f>
        <v/>
      </c>
      <c r="E2468" s="57" t="str"/>
      <c r="F2468" s="49" t="str"/>
      <c r="G2468" s="59" t="str"/>
      <c r="H2468" s="64" t="str"/>
      <c r="I2468" s="65" t="str"/>
      <c r="J2468" s="49" t="str"/>
      <c r="K2468" s="41" t="str"/>
      <c r="L2468" s="41" t="str"/>
      <c r="M2468" s="41" t="str"/>
      <c r="N2468" s="41" t="str"/>
      <c r="O2468" s="41" t="str"/>
      <c r="P2468" s="41" t="str"/>
      <c r="Q2468" s="41" t="str"/>
      <c r="R2468" s="41" t="str"/>
      <c r="S2468" s="41" t="str"/>
      <c r="T2468" s="41" t="str"/>
      <c r="U2468" s="41" t="str"/>
      <c r="V2468" s="41" t="str"/>
      <c r="W2468" s="41" t="str"/>
    </row>
    <row r="2469">
      <c r="B2469" s="2" t="n"/>
      <c r="C2469" s="40" t="n"/>
      <c r="D2469" s="52">
        <f t="array" ref="D2469:W2469">IF(All_Students_Scores!C2467:V2467="","",All_Students_Scores!C2467:V2467)</f>
        <v/>
      </c>
      <c r="E2469" s="57" t="str"/>
      <c r="F2469" s="49" t="str"/>
      <c r="G2469" s="59" t="str"/>
      <c r="H2469" s="64" t="str"/>
      <c r="I2469" s="65" t="str"/>
      <c r="J2469" s="49" t="str"/>
      <c r="K2469" s="41" t="str"/>
      <c r="L2469" s="41" t="str"/>
      <c r="M2469" s="41" t="str"/>
      <c r="N2469" s="41" t="str"/>
      <c r="O2469" s="41" t="str"/>
      <c r="P2469" s="41" t="str"/>
      <c r="Q2469" s="41" t="str"/>
      <c r="R2469" s="41" t="str"/>
      <c r="S2469" s="41" t="str"/>
      <c r="T2469" s="41" t="str"/>
      <c r="U2469" s="41" t="str"/>
      <c r="V2469" s="41" t="str"/>
      <c r="W2469" s="41" t="str"/>
    </row>
    <row r="2470">
      <c r="B2470" s="2" t="n"/>
      <c r="C2470" s="40" t="n"/>
      <c r="D2470" s="52">
        <f t="array" ref="D2470:W2470">IF(All_Students_Scores!C2468:V2468="","",All_Students_Scores!C2468:V2468)</f>
        <v/>
      </c>
      <c r="E2470" s="57" t="str"/>
      <c r="F2470" s="49" t="str"/>
      <c r="G2470" s="59" t="str"/>
      <c r="H2470" s="64" t="str"/>
      <c r="I2470" s="65" t="str"/>
      <c r="J2470" s="49" t="str"/>
      <c r="K2470" s="41" t="str"/>
      <c r="L2470" s="41" t="str"/>
      <c r="M2470" s="41" t="str"/>
      <c r="N2470" s="41" t="str"/>
      <c r="O2470" s="41" t="str"/>
      <c r="P2470" s="41" t="str"/>
      <c r="Q2470" s="41" t="str"/>
      <c r="R2470" s="41" t="str"/>
      <c r="S2470" s="41" t="str"/>
      <c r="T2470" s="41" t="str"/>
      <c r="U2470" s="41" t="str"/>
      <c r="V2470" s="41" t="str"/>
      <c r="W2470" s="41" t="str"/>
    </row>
    <row r="2471">
      <c r="B2471" s="2" t="n"/>
      <c r="C2471" s="40" t="n"/>
      <c r="D2471" s="52">
        <f t="array" ref="D2471:W2471">IF(All_Students_Scores!C2469:V2469="","",All_Students_Scores!C2469:V2469)</f>
        <v/>
      </c>
      <c r="E2471" s="57" t="str"/>
      <c r="F2471" s="49" t="str"/>
      <c r="G2471" s="59" t="str"/>
      <c r="H2471" s="64" t="str"/>
      <c r="I2471" s="65" t="str"/>
      <c r="J2471" s="49" t="str"/>
      <c r="K2471" s="41" t="str"/>
      <c r="L2471" s="41" t="str"/>
      <c r="M2471" s="41" t="str"/>
      <c r="N2471" s="41" t="str"/>
      <c r="O2471" s="41" t="str"/>
      <c r="P2471" s="41" t="str"/>
      <c r="Q2471" s="41" t="str"/>
      <c r="R2471" s="41" t="str"/>
      <c r="S2471" s="41" t="str"/>
      <c r="T2471" s="41" t="str"/>
      <c r="U2471" s="41" t="str"/>
      <c r="V2471" s="41" t="str"/>
      <c r="W2471" s="41" t="str"/>
    </row>
    <row r="2472">
      <c r="B2472" s="2" t="n"/>
      <c r="C2472" s="40" t="n"/>
      <c r="D2472" s="52">
        <f t="array" ref="D2472:W2472">IF(All_Students_Scores!C2470:V2470="","",All_Students_Scores!C2470:V2470)</f>
        <v/>
      </c>
      <c r="E2472" s="57" t="str"/>
      <c r="F2472" s="49" t="str"/>
      <c r="G2472" s="59" t="str"/>
      <c r="H2472" s="64" t="str"/>
      <c r="I2472" s="65" t="str"/>
      <c r="J2472" s="49" t="str"/>
      <c r="K2472" s="41" t="str"/>
      <c r="L2472" s="41" t="str"/>
      <c r="M2472" s="41" t="str"/>
      <c r="N2472" s="41" t="str"/>
      <c r="O2472" s="41" t="str"/>
      <c r="P2472" s="41" t="str"/>
      <c r="Q2472" s="41" t="str"/>
      <c r="R2472" s="41" t="str"/>
      <c r="S2472" s="41" t="str"/>
      <c r="T2472" s="41" t="str"/>
      <c r="U2472" s="41" t="str"/>
      <c r="V2472" s="41" t="str"/>
      <c r="W2472" s="41" t="str"/>
    </row>
    <row r="2473">
      <c r="B2473" s="2" t="n"/>
      <c r="C2473" s="40" t="n"/>
      <c r="D2473" s="52">
        <f t="array" ref="D2473:W2473">IF(All_Students_Scores!C2471:V2471="","",All_Students_Scores!C2471:V2471)</f>
        <v/>
      </c>
      <c r="E2473" s="57" t="str"/>
      <c r="F2473" s="49" t="str"/>
      <c r="G2473" s="59" t="str"/>
      <c r="H2473" s="64" t="str"/>
      <c r="I2473" s="65" t="str"/>
      <c r="J2473" s="49" t="str"/>
      <c r="K2473" s="41" t="str"/>
      <c r="L2473" s="41" t="str"/>
      <c r="M2473" s="41" t="str"/>
      <c r="N2473" s="41" t="str"/>
      <c r="O2473" s="41" t="str"/>
      <c r="P2473" s="41" t="str"/>
      <c r="Q2473" s="41" t="str"/>
      <c r="R2473" s="41" t="str"/>
      <c r="S2473" s="41" t="str"/>
      <c r="T2473" s="41" t="str"/>
      <c r="U2473" s="41" t="str"/>
      <c r="V2473" s="41" t="str"/>
      <c r="W2473" s="41" t="str"/>
    </row>
    <row r="2474">
      <c r="B2474" s="2" t="n"/>
      <c r="C2474" s="40" t="n"/>
      <c r="D2474" s="52">
        <f t="array" ref="D2474:W2474">IF(All_Students_Scores!C2472:V2472="","",All_Students_Scores!C2472:V2472)</f>
        <v/>
      </c>
      <c r="E2474" s="57" t="str"/>
      <c r="F2474" s="49" t="str"/>
      <c r="G2474" s="59" t="str"/>
      <c r="H2474" s="64" t="str"/>
      <c r="I2474" s="65" t="str"/>
      <c r="J2474" s="49" t="str"/>
      <c r="K2474" s="41" t="str"/>
      <c r="L2474" s="41" t="str"/>
      <c r="M2474" s="41" t="str"/>
      <c r="N2474" s="41" t="str"/>
      <c r="O2474" s="41" t="str"/>
      <c r="P2474" s="41" t="str"/>
      <c r="Q2474" s="41" t="str"/>
      <c r="R2474" s="41" t="str"/>
      <c r="S2474" s="41" t="str"/>
      <c r="T2474" s="41" t="str"/>
      <c r="U2474" s="41" t="str"/>
      <c r="V2474" s="41" t="str"/>
      <c r="W2474" s="41" t="str"/>
    </row>
    <row r="2475">
      <c r="B2475" s="2" t="n"/>
      <c r="C2475" s="40" t="n"/>
      <c r="D2475" s="52">
        <f t="array" ref="D2475:W2475">IF(All_Students_Scores!C2473:V2473="","",All_Students_Scores!C2473:V2473)</f>
        <v/>
      </c>
      <c r="E2475" s="57" t="str"/>
      <c r="F2475" s="49" t="str"/>
      <c r="G2475" s="59" t="str"/>
      <c r="H2475" s="64" t="str"/>
      <c r="I2475" s="65" t="str"/>
      <c r="J2475" s="49" t="str"/>
      <c r="K2475" s="41" t="str"/>
      <c r="L2475" s="41" t="str"/>
      <c r="M2475" s="41" t="str"/>
      <c r="N2475" s="41" t="str"/>
      <c r="O2475" s="41" t="str"/>
      <c r="P2475" s="41" t="str"/>
      <c r="Q2475" s="41" t="str"/>
      <c r="R2475" s="41" t="str"/>
      <c r="S2475" s="41" t="str"/>
      <c r="T2475" s="41" t="str"/>
      <c r="U2475" s="41" t="str"/>
      <c r="V2475" s="41" t="str"/>
      <c r="W2475" s="41" t="str"/>
    </row>
    <row r="2476">
      <c r="B2476" s="2" t="n"/>
      <c r="C2476" s="40" t="n"/>
      <c r="D2476" s="52">
        <f t="array" ref="D2476:W2476">IF(All_Students_Scores!C2474:V2474="","",All_Students_Scores!C2474:V2474)</f>
        <v/>
      </c>
      <c r="E2476" s="57" t="str"/>
      <c r="F2476" s="49" t="str"/>
      <c r="G2476" s="59" t="str"/>
      <c r="H2476" s="64" t="str"/>
      <c r="I2476" s="65" t="str"/>
      <c r="J2476" s="49" t="str"/>
      <c r="K2476" s="41" t="str"/>
      <c r="L2476" s="41" t="str"/>
      <c r="M2476" s="41" t="str"/>
      <c r="N2476" s="41" t="str"/>
      <c r="O2476" s="41" t="str"/>
      <c r="P2476" s="41" t="str"/>
      <c r="Q2476" s="41" t="str"/>
      <c r="R2476" s="41" t="str"/>
      <c r="S2476" s="41" t="str"/>
      <c r="T2476" s="41" t="str"/>
      <c r="U2476" s="41" t="str"/>
      <c r="V2476" s="41" t="str"/>
      <c r="W2476" s="41" t="str"/>
    </row>
    <row r="2477">
      <c r="B2477" s="2" t="n"/>
      <c r="C2477" s="40" t="n"/>
      <c r="D2477" s="52">
        <f t="array" ref="D2477:W2477">IF(All_Students_Scores!C2475:V2475="","",All_Students_Scores!C2475:V2475)</f>
        <v/>
      </c>
      <c r="E2477" s="57" t="str"/>
      <c r="F2477" s="49" t="str"/>
      <c r="G2477" s="59" t="str"/>
      <c r="H2477" s="64" t="str"/>
      <c r="I2477" s="65" t="str"/>
      <c r="J2477" s="49" t="str"/>
      <c r="K2477" s="41" t="str"/>
      <c r="L2477" s="41" t="str"/>
      <c r="M2477" s="41" t="str"/>
      <c r="N2477" s="41" t="str"/>
      <c r="O2477" s="41" t="str"/>
      <c r="P2477" s="41" t="str"/>
      <c r="Q2477" s="41" t="str"/>
      <c r="R2477" s="41" t="str"/>
      <c r="S2477" s="41" t="str"/>
      <c r="T2477" s="41" t="str"/>
      <c r="U2477" s="41" t="str"/>
      <c r="V2477" s="41" t="str"/>
      <c r="W2477" s="41" t="str"/>
    </row>
    <row r="2478">
      <c r="B2478" s="2" t="n"/>
      <c r="C2478" s="40" t="n"/>
      <c r="D2478" s="52">
        <f t="array" ref="D2478:W2478">IF(All_Students_Scores!C2476:V2476="","",All_Students_Scores!C2476:V2476)</f>
        <v/>
      </c>
      <c r="E2478" s="57" t="str"/>
      <c r="F2478" s="49" t="str"/>
      <c r="G2478" s="59" t="str"/>
      <c r="H2478" s="64" t="str"/>
      <c r="I2478" s="65" t="str"/>
      <c r="J2478" s="49" t="str"/>
      <c r="K2478" s="41" t="str"/>
      <c r="L2478" s="41" t="str"/>
      <c r="M2478" s="41" t="str"/>
      <c r="N2478" s="41" t="str"/>
      <c r="O2478" s="41" t="str"/>
      <c r="P2478" s="41" t="str"/>
      <c r="Q2478" s="41" t="str"/>
      <c r="R2478" s="41" t="str"/>
      <c r="S2478" s="41" t="str"/>
      <c r="T2478" s="41" t="str"/>
      <c r="U2478" s="41" t="str"/>
      <c r="V2478" s="41" t="str"/>
      <c r="W2478" s="41" t="str"/>
    </row>
    <row r="2479">
      <c r="B2479" s="2" t="n"/>
      <c r="C2479" s="40" t="n"/>
      <c r="D2479" s="52">
        <f t="array" ref="D2479:W2479">IF(All_Students_Scores!C2477:V2477="","",All_Students_Scores!C2477:V2477)</f>
        <v/>
      </c>
      <c r="E2479" s="57" t="str"/>
      <c r="F2479" s="49" t="str"/>
      <c r="G2479" s="59" t="str"/>
      <c r="H2479" s="64" t="str"/>
      <c r="I2479" s="65" t="str"/>
      <c r="J2479" s="49" t="str"/>
      <c r="K2479" s="41" t="str"/>
      <c r="L2479" s="41" t="str"/>
      <c r="M2479" s="41" t="str"/>
      <c r="N2479" s="41" t="str"/>
      <c r="O2479" s="41" t="str"/>
      <c r="P2479" s="41" t="str"/>
      <c r="Q2479" s="41" t="str"/>
      <c r="R2479" s="41" t="str"/>
      <c r="S2479" s="41" t="str"/>
      <c r="T2479" s="41" t="str"/>
      <c r="U2479" s="41" t="str"/>
      <c r="V2479" s="41" t="str"/>
      <c r="W2479" s="41" t="str"/>
    </row>
    <row r="2480">
      <c r="B2480" s="2" t="n"/>
      <c r="C2480" s="40" t="n"/>
      <c r="D2480" s="52">
        <f t="array" ref="D2480:W2480">IF(All_Students_Scores!C2478:V2478="","",All_Students_Scores!C2478:V2478)</f>
        <v/>
      </c>
      <c r="E2480" s="57" t="str"/>
      <c r="F2480" s="49" t="str"/>
      <c r="G2480" s="59" t="str"/>
      <c r="H2480" s="64" t="str"/>
      <c r="I2480" s="65" t="str"/>
      <c r="J2480" s="49" t="str"/>
      <c r="K2480" s="41" t="str"/>
      <c r="L2480" s="41" t="str"/>
      <c r="M2480" s="41" t="str"/>
      <c r="N2480" s="41" t="str"/>
      <c r="O2480" s="41" t="str"/>
      <c r="P2480" s="41" t="str"/>
      <c r="Q2480" s="41" t="str"/>
      <c r="R2480" s="41" t="str"/>
      <c r="S2480" s="41" t="str"/>
      <c r="T2480" s="41" t="str"/>
      <c r="U2480" s="41" t="str"/>
      <c r="V2480" s="41" t="str"/>
      <c r="W2480" s="41" t="str"/>
    </row>
    <row r="2481">
      <c r="B2481" s="2" t="n"/>
      <c r="C2481" s="40" t="n"/>
      <c r="D2481" s="52">
        <f t="array" ref="D2481:W2481">IF(All_Students_Scores!C2479:V2479="","",All_Students_Scores!C2479:V2479)</f>
        <v/>
      </c>
      <c r="E2481" s="57" t="str"/>
      <c r="F2481" s="49" t="str"/>
      <c r="G2481" s="59" t="str"/>
      <c r="H2481" s="64" t="str"/>
      <c r="I2481" s="65" t="str"/>
      <c r="J2481" s="49" t="str"/>
      <c r="K2481" s="41" t="str"/>
      <c r="L2481" s="41" t="str"/>
      <c r="M2481" s="41" t="str"/>
      <c r="N2481" s="41" t="str"/>
      <c r="O2481" s="41" t="str"/>
      <c r="P2481" s="41" t="str"/>
      <c r="Q2481" s="41" t="str"/>
      <c r="R2481" s="41" t="str"/>
      <c r="S2481" s="41" t="str"/>
      <c r="T2481" s="41" t="str"/>
      <c r="U2481" s="41" t="str"/>
      <c r="V2481" s="41" t="str"/>
      <c r="W2481" s="41" t="str"/>
    </row>
    <row r="2482">
      <c r="B2482" s="2" t="n"/>
      <c r="C2482" s="40" t="n"/>
      <c r="D2482" s="52">
        <f t="array" ref="D2482:W2482">IF(All_Students_Scores!C2480:V2480="","",All_Students_Scores!C2480:V2480)</f>
        <v/>
      </c>
      <c r="E2482" s="57" t="str"/>
      <c r="F2482" s="49" t="str"/>
      <c r="G2482" s="59" t="str"/>
      <c r="H2482" s="64" t="str"/>
      <c r="I2482" s="65" t="str"/>
      <c r="J2482" s="49" t="str"/>
      <c r="K2482" s="41" t="str"/>
      <c r="L2482" s="41" t="str"/>
      <c r="M2482" s="41" t="str"/>
      <c r="N2482" s="41" t="str"/>
      <c r="O2482" s="41" t="str"/>
      <c r="P2482" s="41" t="str"/>
      <c r="Q2482" s="41" t="str"/>
      <c r="R2482" s="41" t="str"/>
      <c r="S2482" s="41" t="str"/>
      <c r="T2482" s="41" t="str"/>
      <c r="U2482" s="41" t="str"/>
      <c r="V2482" s="41" t="str"/>
      <c r="W2482" s="41" t="str"/>
    </row>
    <row r="2483">
      <c r="B2483" s="2" t="n"/>
      <c r="C2483" s="40" t="n"/>
      <c r="D2483" s="52">
        <f t="array" ref="D2483:W2483">IF(All_Students_Scores!C2481:V2481="","",All_Students_Scores!C2481:V2481)</f>
        <v/>
      </c>
      <c r="E2483" s="57" t="str"/>
      <c r="F2483" s="49" t="str"/>
      <c r="G2483" s="59" t="str"/>
      <c r="H2483" s="64" t="str"/>
      <c r="I2483" s="65" t="str"/>
      <c r="J2483" s="49" t="str"/>
      <c r="K2483" s="41" t="str"/>
      <c r="L2483" s="41" t="str"/>
      <c r="M2483" s="41" t="str"/>
      <c r="N2483" s="41" t="str"/>
      <c r="O2483" s="41" t="str"/>
      <c r="P2483" s="41" t="str"/>
      <c r="Q2483" s="41" t="str"/>
      <c r="R2483" s="41" t="str"/>
      <c r="S2483" s="41" t="str"/>
      <c r="T2483" s="41" t="str"/>
      <c r="U2483" s="41" t="str"/>
      <c r="V2483" s="41" t="str"/>
      <c r="W2483" s="41" t="str"/>
    </row>
    <row r="2484">
      <c r="B2484" s="2" t="n"/>
      <c r="C2484" s="40" t="n"/>
      <c r="D2484" s="52">
        <f t="array" ref="D2484:W2484">IF(All_Students_Scores!C2482:V2482="","",All_Students_Scores!C2482:V2482)</f>
        <v/>
      </c>
      <c r="E2484" s="57" t="str"/>
      <c r="F2484" s="49" t="str"/>
      <c r="G2484" s="59" t="str"/>
      <c r="H2484" s="64" t="str"/>
      <c r="I2484" s="65" t="str"/>
      <c r="J2484" s="49" t="str"/>
      <c r="K2484" s="41" t="str"/>
      <c r="L2484" s="41" t="str"/>
      <c r="M2484" s="41" t="str"/>
      <c r="N2484" s="41" t="str"/>
      <c r="O2484" s="41" t="str"/>
      <c r="P2484" s="41" t="str"/>
      <c r="Q2484" s="41" t="str"/>
      <c r="R2484" s="41" t="str"/>
      <c r="S2484" s="41" t="str"/>
      <c r="T2484" s="41" t="str"/>
      <c r="U2484" s="41" t="str"/>
      <c r="V2484" s="41" t="str"/>
      <c r="W2484" s="41" t="str"/>
    </row>
    <row r="2485">
      <c r="B2485" s="2" t="n"/>
      <c r="C2485" s="40" t="n"/>
      <c r="D2485" s="52">
        <f t="array" ref="D2485:W2485">IF(All_Students_Scores!C2483:V2483="","",All_Students_Scores!C2483:V2483)</f>
        <v/>
      </c>
      <c r="E2485" s="57" t="str"/>
      <c r="F2485" s="49" t="str"/>
      <c r="G2485" s="59" t="str"/>
      <c r="H2485" s="64" t="str"/>
      <c r="I2485" s="65" t="str"/>
      <c r="J2485" s="49" t="str"/>
      <c r="K2485" s="41" t="str"/>
      <c r="L2485" s="41" t="str"/>
      <c r="M2485" s="41" t="str"/>
      <c r="N2485" s="41" t="str"/>
      <c r="O2485" s="41" t="str"/>
      <c r="P2485" s="41" t="str"/>
      <c r="Q2485" s="41" t="str"/>
      <c r="R2485" s="41" t="str"/>
      <c r="S2485" s="41" t="str"/>
      <c r="T2485" s="41" t="str"/>
      <c r="U2485" s="41" t="str"/>
      <c r="V2485" s="41" t="str"/>
      <c r="W2485" s="41" t="str"/>
    </row>
    <row r="2486">
      <c r="B2486" s="2" t="n"/>
      <c r="C2486" s="40" t="n"/>
      <c r="D2486" s="52">
        <f t="array" ref="D2486:W2486">IF(All_Students_Scores!C2484:V2484="","",All_Students_Scores!C2484:V2484)</f>
        <v/>
      </c>
      <c r="E2486" s="57" t="str"/>
      <c r="F2486" s="49" t="str"/>
      <c r="G2486" s="59" t="str"/>
      <c r="H2486" s="64" t="str"/>
      <c r="I2486" s="65" t="str"/>
      <c r="J2486" s="49" t="str"/>
      <c r="K2486" s="41" t="str"/>
      <c r="L2486" s="41" t="str"/>
      <c r="M2486" s="41" t="str"/>
      <c r="N2486" s="41" t="str"/>
      <c r="O2486" s="41" t="str"/>
      <c r="P2486" s="41" t="str"/>
      <c r="Q2486" s="41" t="str"/>
      <c r="R2486" s="41" t="str"/>
      <c r="S2486" s="41" t="str"/>
      <c r="T2486" s="41" t="str"/>
      <c r="U2486" s="41" t="str"/>
      <c r="V2486" s="41" t="str"/>
      <c r="W2486" s="41" t="str"/>
    </row>
    <row r="2487">
      <c r="B2487" s="2" t="n"/>
      <c r="C2487" s="40" t="n"/>
      <c r="D2487" s="52">
        <f t="array" ref="D2487:W2487">IF(All_Students_Scores!C2485:V2485="","",All_Students_Scores!C2485:V2485)</f>
        <v/>
      </c>
      <c r="E2487" s="57" t="str"/>
      <c r="F2487" s="49" t="str"/>
      <c r="G2487" s="59" t="str"/>
      <c r="H2487" s="64" t="str"/>
      <c r="I2487" s="65" t="str"/>
      <c r="J2487" s="49" t="str"/>
      <c r="K2487" s="41" t="str"/>
      <c r="L2487" s="41" t="str"/>
      <c r="M2487" s="41" t="str"/>
      <c r="N2487" s="41" t="str"/>
      <c r="O2487" s="41" t="str"/>
      <c r="P2487" s="41" t="str"/>
      <c r="Q2487" s="41" t="str"/>
      <c r="R2487" s="41" t="str"/>
      <c r="S2487" s="41" t="str"/>
      <c r="T2487" s="41" t="str"/>
      <c r="U2487" s="41" t="str"/>
      <c r="V2487" s="41" t="str"/>
      <c r="W2487" s="41" t="str"/>
    </row>
    <row r="2488">
      <c r="B2488" s="2" t="n"/>
      <c r="C2488" s="40" t="n"/>
      <c r="D2488" s="52">
        <f t="array" ref="D2488:W2488">IF(All_Students_Scores!C2486:V2486="","",All_Students_Scores!C2486:V2486)</f>
        <v/>
      </c>
      <c r="E2488" s="57" t="str"/>
      <c r="F2488" s="49" t="str"/>
      <c r="G2488" s="59" t="str"/>
      <c r="H2488" s="64" t="str"/>
      <c r="I2488" s="65" t="str"/>
      <c r="J2488" s="49" t="str"/>
      <c r="K2488" s="41" t="str"/>
      <c r="L2488" s="41" t="str"/>
      <c r="M2488" s="41" t="str"/>
      <c r="N2488" s="41" t="str"/>
      <c r="O2488" s="41" t="str"/>
      <c r="P2488" s="41" t="str"/>
      <c r="Q2488" s="41" t="str"/>
      <c r="R2488" s="41" t="str"/>
      <c r="S2488" s="41" t="str"/>
      <c r="T2488" s="41" t="str"/>
      <c r="U2488" s="41" t="str"/>
      <c r="V2488" s="41" t="str"/>
      <c r="W2488" s="41" t="str"/>
    </row>
    <row r="2489">
      <c r="B2489" s="2" t="n"/>
      <c r="C2489" s="40" t="n"/>
      <c r="D2489" s="52">
        <f t="array" ref="D2489:W2489">IF(All_Students_Scores!C2487:V2487="","",All_Students_Scores!C2487:V2487)</f>
        <v/>
      </c>
      <c r="E2489" s="57" t="str"/>
      <c r="F2489" s="49" t="str"/>
      <c r="G2489" s="59" t="str"/>
      <c r="H2489" s="64" t="str"/>
      <c r="I2489" s="65" t="str"/>
      <c r="J2489" s="49" t="str"/>
      <c r="K2489" s="41" t="str"/>
      <c r="L2489" s="41" t="str"/>
      <c r="M2489" s="41" t="str"/>
      <c r="N2489" s="41" t="str"/>
      <c r="O2489" s="41" t="str"/>
      <c r="P2489" s="41" t="str"/>
      <c r="Q2489" s="41" t="str"/>
      <c r="R2489" s="41" t="str"/>
      <c r="S2489" s="41" t="str"/>
      <c r="T2489" s="41" t="str"/>
      <c r="U2489" s="41" t="str"/>
      <c r="V2489" s="41" t="str"/>
      <c r="W2489" s="41" t="str"/>
    </row>
    <row r="2490">
      <c r="B2490" s="2" t="n"/>
      <c r="C2490" s="40" t="n"/>
      <c r="D2490" s="52">
        <f t="array" ref="D2490:W2490">IF(All_Students_Scores!C2488:V2488="","",All_Students_Scores!C2488:V2488)</f>
        <v/>
      </c>
      <c r="E2490" s="57" t="str"/>
      <c r="F2490" s="49" t="str"/>
      <c r="G2490" s="59" t="str"/>
      <c r="H2490" s="64" t="str"/>
      <c r="I2490" s="65" t="str"/>
      <c r="J2490" s="49" t="str"/>
      <c r="K2490" s="41" t="str"/>
      <c r="L2490" s="41" t="str"/>
      <c r="M2490" s="41" t="str"/>
      <c r="N2490" s="41" t="str"/>
      <c r="O2490" s="41" t="str"/>
      <c r="P2490" s="41" t="str"/>
      <c r="Q2490" s="41" t="str"/>
      <c r="R2490" s="41" t="str"/>
      <c r="S2490" s="41" t="str"/>
      <c r="T2490" s="41" t="str"/>
      <c r="U2490" s="41" t="str"/>
      <c r="V2490" s="41" t="str"/>
      <c r="W2490" s="41" t="str"/>
    </row>
    <row r="2491">
      <c r="B2491" s="2" t="n"/>
      <c r="C2491" s="40" t="n"/>
      <c r="D2491" s="52">
        <f t="array" ref="D2491:W2491">IF(All_Students_Scores!C2489:V2489="","",All_Students_Scores!C2489:V2489)</f>
        <v/>
      </c>
      <c r="E2491" s="57" t="str"/>
      <c r="F2491" s="49" t="str"/>
      <c r="G2491" s="59" t="str"/>
      <c r="H2491" s="64" t="str"/>
      <c r="I2491" s="65" t="str"/>
      <c r="J2491" s="49" t="str"/>
      <c r="K2491" s="41" t="str"/>
      <c r="L2491" s="41" t="str"/>
      <c r="M2491" s="41" t="str"/>
      <c r="N2491" s="41" t="str"/>
      <c r="O2491" s="41" t="str"/>
      <c r="P2491" s="41" t="str"/>
      <c r="Q2491" s="41" t="str"/>
      <c r="R2491" s="41" t="str"/>
      <c r="S2491" s="41" t="str"/>
      <c r="T2491" s="41" t="str"/>
      <c r="U2491" s="41" t="str"/>
      <c r="V2491" s="41" t="str"/>
      <c r="W2491" s="41" t="str"/>
    </row>
    <row r="2492">
      <c r="B2492" s="2" t="n"/>
      <c r="C2492" s="40" t="n"/>
      <c r="D2492" s="52">
        <f t="array" ref="D2492:W2492">IF(All_Students_Scores!C2490:V2490="","",All_Students_Scores!C2490:V2490)</f>
        <v/>
      </c>
      <c r="E2492" s="57" t="str"/>
      <c r="F2492" s="49" t="str"/>
      <c r="G2492" s="59" t="str"/>
      <c r="H2492" s="64" t="str"/>
      <c r="I2492" s="65" t="str"/>
      <c r="J2492" s="49" t="str"/>
      <c r="K2492" s="41" t="str"/>
      <c r="L2492" s="41" t="str"/>
      <c r="M2492" s="41" t="str"/>
      <c r="N2492" s="41" t="str"/>
      <c r="O2492" s="41" t="str"/>
      <c r="P2492" s="41" t="str"/>
      <c r="Q2492" s="41" t="str"/>
      <c r="R2492" s="41" t="str"/>
      <c r="S2492" s="41" t="str"/>
      <c r="T2492" s="41" t="str"/>
      <c r="U2492" s="41" t="str"/>
      <c r="V2492" s="41" t="str"/>
      <c r="W2492" s="41" t="str"/>
    </row>
    <row r="2493">
      <c r="B2493" s="2" t="n"/>
      <c r="C2493" s="40" t="n"/>
      <c r="D2493" s="52">
        <f t="array" ref="D2493:W2493">IF(All_Students_Scores!C2491:V2491="","",All_Students_Scores!C2491:V2491)</f>
        <v/>
      </c>
      <c r="E2493" s="57" t="str"/>
      <c r="F2493" s="49" t="str"/>
      <c r="G2493" s="59" t="str"/>
      <c r="H2493" s="64" t="str"/>
      <c r="I2493" s="65" t="str"/>
      <c r="J2493" s="49" t="str"/>
      <c r="K2493" s="41" t="str"/>
      <c r="L2493" s="41" t="str"/>
      <c r="M2493" s="41" t="str"/>
      <c r="N2493" s="41" t="str"/>
      <c r="O2493" s="41" t="str"/>
      <c r="P2493" s="41" t="str"/>
      <c r="Q2493" s="41" t="str"/>
      <c r="R2493" s="41" t="str"/>
      <c r="S2493" s="41" t="str"/>
      <c r="T2493" s="41" t="str"/>
      <c r="U2493" s="41" t="str"/>
      <c r="V2493" s="41" t="str"/>
      <c r="W2493" s="41" t="str"/>
    </row>
    <row r="2494">
      <c r="B2494" s="2" t="n"/>
      <c r="C2494" s="40" t="n"/>
      <c r="D2494" s="52">
        <f t="array" ref="D2494:W2494">IF(All_Students_Scores!C2492:V2492="","",All_Students_Scores!C2492:V2492)</f>
        <v/>
      </c>
      <c r="E2494" s="57" t="str"/>
      <c r="F2494" s="49" t="str"/>
      <c r="G2494" s="59" t="str"/>
      <c r="H2494" s="64" t="str"/>
      <c r="I2494" s="65" t="str"/>
      <c r="J2494" s="49" t="str"/>
      <c r="K2494" s="41" t="str"/>
      <c r="L2494" s="41" t="str"/>
      <c r="M2494" s="41" t="str"/>
      <c r="N2494" s="41" t="str"/>
      <c r="O2494" s="41" t="str"/>
      <c r="P2494" s="41" t="str"/>
      <c r="Q2494" s="41" t="str"/>
      <c r="R2494" s="41" t="str"/>
      <c r="S2494" s="41" t="str"/>
      <c r="T2494" s="41" t="str"/>
      <c r="U2494" s="41" t="str"/>
      <c r="V2494" s="41" t="str"/>
      <c r="W2494" s="41" t="str"/>
    </row>
    <row r="2495">
      <c r="B2495" s="2" t="n"/>
      <c r="C2495" s="40" t="n"/>
      <c r="D2495" s="52">
        <f t="array" ref="D2495:W2495">IF(All_Students_Scores!C2493:V2493="","",All_Students_Scores!C2493:V2493)</f>
        <v/>
      </c>
      <c r="E2495" s="57" t="str"/>
      <c r="F2495" s="49" t="str"/>
      <c r="G2495" s="59" t="str"/>
      <c r="H2495" s="64" t="str"/>
      <c r="I2495" s="65" t="str"/>
      <c r="J2495" s="49" t="str"/>
      <c r="K2495" s="41" t="str"/>
      <c r="L2495" s="41" t="str"/>
      <c r="M2495" s="41" t="str"/>
      <c r="N2495" s="41" t="str"/>
      <c r="O2495" s="41" t="str"/>
      <c r="P2495" s="41" t="str"/>
      <c r="Q2495" s="41" t="str"/>
      <c r="R2495" s="41" t="str"/>
      <c r="S2495" s="41" t="str"/>
      <c r="T2495" s="41" t="str"/>
      <c r="U2495" s="41" t="str"/>
      <c r="V2495" s="41" t="str"/>
      <c r="W2495" s="41" t="str"/>
    </row>
    <row r="2496">
      <c r="B2496" s="2" t="n"/>
      <c r="C2496" s="40" t="n"/>
      <c r="D2496" s="52">
        <f t="array" ref="D2496:W2496">IF(All_Students_Scores!C2494:V2494="","",All_Students_Scores!C2494:V2494)</f>
        <v/>
      </c>
      <c r="E2496" s="57" t="str"/>
      <c r="F2496" s="49" t="str"/>
      <c r="G2496" s="59" t="str"/>
      <c r="H2496" s="64" t="str"/>
      <c r="I2496" s="65" t="str"/>
      <c r="J2496" s="49" t="str"/>
      <c r="K2496" s="41" t="str"/>
      <c r="L2496" s="41" t="str"/>
      <c r="M2496" s="41" t="str"/>
      <c r="N2496" s="41" t="str"/>
      <c r="O2496" s="41" t="str"/>
      <c r="P2496" s="41" t="str"/>
      <c r="Q2496" s="41" t="str"/>
      <c r="R2496" s="41" t="str"/>
      <c r="S2496" s="41" t="str"/>
      <c r="T2496" s="41" t="str"/>
      <c r="U2496" s="41" t="str"/>
      <c r="V2496" s="41" t="str"/>
      <c r="W2496" s="41" t="str"/>
    </row>
    <row r="2497">
      <c r="B2497" s="2" t="n"/>
      <c r="C2497" s="40" t="n"/>
      <c r="D2497" s="52">
        <f t="array" ref="D2497:W2497">IF(All_Students_Scores!C2495:V2495="","",All_Students_Scores!C2495:V2495)</f>
        <v/>
      </c>
      <c r="E2497" s="57" t="str"/>
      <c r="F2497" s="49" t="str"/>
      <c r="G2497" s="59" t="str"/>
      <c r="H2497" s="64" t="str"/>
      <c r="I2497" s="65" t="str"/>
      <c r="J2497" s="49" t="str"/>
      <c r="K2497" s="41" t="str"/>
      <c r="L2497" s="41" t="str"/>
      <c r="M2497" s="41" t="str"/>
      <c r="N2497" s="41" t="str"/>
      <c r="O2497" s="41" t="str"/>
      <c r="P2497" s="41" t="str"/>
      <c r="Q2497" s="41" t="str"/>
      <c r="R2497" s="41" t="str"/>
      <c r="S2497" s="41" t="str"/>
      <c r="T2497" s="41" t="str"/>
      <c r="U2497" s="41" t="str"/>
      <c r="V2497" s="41" t="str"/>
      <c r="W2497" s="41" t="str"/>
    </row>
    <row r="2498">
      <c r="B2498" s="2" t="n"/>
      <c r="C2498" s="40" t="n"/>
      <c r="D2498" s="52">
        <f t="array" ref="D2498:W2498">IF(All_Students_Scores!C2496:V2496="","",All_Students_Scores!C2496:V2496)</f>
        <v/>
      </c>
      <c r="E2498" s="57" t="str"/>
      <c r="F2498" s="49" t="str"/>
      <c r="G2498" s="59" t="str"/>
      <c r="H2498" s="64" t="str"/>
      <c r="I2498" s="65" t="str"/>
      <c r="J2498" s="49" t="str"/>
      <c r="K2498" s="41" t="str"/>
      <c r="L2498" s="41" t="str"/>
      <c r="M2498" s="41" t="str"/>
      <c r="N2498" s="41" t="str"/>
      <c r="O2498" s="41" t="str"/>
      <c r="P2498" s="41" t="str"/>
      <c r="Q2498" s="41" t="str"/>
      <c r="R2498" s="41" t="str"/>
      <c r="S2498" s="41" t="str"/>
      <c r="T2498" s="41" t="str"/>
      <c r="U2498" s="41" t="str"/>
      <c r="V2498" s="41" t="str"/>
      <c r="W2498" s="41" t="str"/>
    </row>
    <row r="2499">
      <c r="B2499" s="2" t="n"/>
      <c r="C2499" s="40" t="n"/>
      <c r="D2499" s="52">
        <f t="array" ref="D2499:W2499">IF(All_Students_Scores!C2497:V2497="","",All_Students_Scores!C2497:V2497)</f>
        <v/>
      </c>
      <c r="E2499" s="57" t="str"/>
      <c r="F2499" s="49" t="str"/>
      <c r="G2499" s="59" t="str"/>
      <c r="H2499" s="64" t="str"/>
      <c r="I2499" s="65" t="str"/>
      <c r="J2499" s="49" t="str"/>
      <c r="K2499" s="41" t="str"/>
      <c r="L2499" s="41" t="str"/>
      <c r="M2499" s="41" t="str"/>
      <c r="N2499" s="41" t="str"/>
      <c r="O2499" s="41" t="str"/>
      <c r="P2499" s="41" t="str"/>
      <c r="Q2499" s="41" t="str"/>
      <c r="R2499" s="41" t="str"/>
      <c r="S2499" s="41" t="str"/>
      <c r="T2499" s="41" t="str"/>
      <c r="U2499" s="41" t="str"/>
      <c r="V2499" s="41" t="str"/>
      <c r="W2499" s="41" t="str"/>
    </row>
    <row r="2500">
      <c r="B2500" s="2" t="n"/>
      <c r="C2500" s="40" t="n"/>
      <c r="D2500" s="52">
        <f t="array" ref="D2500:W2500">IF(All_Students_Scores!C2498:V2498="","",All_Students_Scores!C2498:V2498)</f>
        <v/>
      </c>
      <c r="E2500" s="57" t="str"/>
      <c r="F2500" s="49" t="str"/>
      <c r="G2500" s="59" t="str"/>
      <c r="H2500" s="64" t="str"/>
      <c r="I2500" s="65" t="str"/>
      <c r="J2500" s="49" t="str"/>
      <c r="K2500" s="41" t="str"/>
      <c r="L2500" s="41" t="str"/>
      <c r="M2500" s="41" t="str"/>
      <c r="N2500" s="41" t="str"/>
      <c r="O2500" s="41" t="str"/>
      <c r="P2500" s="41" t="str"/>
      <c r="Q2500" s="41" t="str"/>
      <c r="R2500" s="41" t="str"/>
      <c r="S2500" s="41" t="str"/>
      <c r="T2500" s="41" t="str"/>
      <c r="U2500" s="41" t="str"/>
      <c r="V2500" s="41" t="str"/>
      <c r="W2500" s="41" t="str"/>
    </row>
    <row r="2501">
      <c r="B2501" s="2" t="n"/>
      <c r="C2501" s="40" t="n"/>
      <c r="D2501" s="52">
        <f t="array" ref="D2501:W2501">IF(All_Students_Scores!C2499:V2499="","",All_Students_Scores!C2499:V2499)</f>
        <v/>
      </c>
      <c r="E2501" s="57" t="str"/>
      <c r="F2501" s="49" t="str"/>
      <c r="G2501" s="59" t="str"/>
      <c r="H2501" s="64" t="str"/>
      <c r="I2501" s="65" t="str"/>
      <c r="J2501" s="49" t="str"/>
      <c r="K2501" s="41" t="str"/>
      <c r="L2501" s="41" t="str"/>
      <c r="M2501" s="41" t="str"/>
      <c r="N2501" s="41" t="str"/>
      <c r="O2501" s="41" t="str"/>
      <c r="P2501" s="41" t="str"/>
      <c r="Q2501" s="41" t="str"/>
      <c r="R2501" s="41" t="str"/>
      <c r="S2501" s="41" t="str"/>
      <c r="T2501" s="41" t="str"/>
      <c r="U2501" s="41" t="str"/>
      <c r="V2501" s="41" t="str"/>
      <c r="W2501" s="41" t="str"/>
    </row>
    <row r="2502">
      <c r="B2502" s="2" t="n"/>
      <c r="C2502" s="40" t="n"/>
      <c r="D2502" s="52">
        <f t="array" ref="D2502:W2502">IF(All_Students_Scores!C2500:V2500="","",All_Students_Scores!C2500:V2500)</f>
        <v/>
      </c>
      <c r="E2502" s="57" t="str"/>
      <c r="F2502" s="49" t="str"/>
      <c r="G2502" s="59" t="str"/>
      <c r="H2502" s="64" t="str"/>
      <c r="I2502" s="65" t="str"/>
      <c r="J2502" s="49" t="str"/>
      <c r="K2502" s="41" t="str"/>
      <c r="L2502" s="41" t="str"/>
      <c r="M2502" s="41" t="str"/>
      <c r="N2502" s="41" t="str"/>
      <c r="O2502" s="41" t="str"/>
      <c r="P2502" s="41" t="str"/>
      <c r="Q2502" s="41" t="str"/>
      <c r="R2502" s="41" t="str"/>
      <c r="S2502" s="41" t="str"/>
      <c r="T2502" s="41" t="str"/>
      <c r="U2502" s="41" t="str"/>
      <c r="V2502" s="41" t="str"/>
      <c r="W2502" s="41" t="str"/>
    </row>
    <row r="2503">
      <c r="B2503" s="2" t="n"/>
      <c r="C2503" s="40" t="n"/>
      <c r="D2503" s="52">
        <f t="array" ref="D2503:W2503">IF(All_Students_Scores!C2501:V2501="","",All_Students_Scores!C2501:V2501)</f>
        <v/>
      </c>
      <c r="E2503" s="57" t="str"/>
      <c r="F2503" s="49" t="str"/>
      <c r="G2503" s="59" t="str"/>
      <c r="H2503" s="64" t="str"/>
      <c r="I2503" s="65" t="str"/>
      <c r="J2503" s="49" t="str"/>
      <c r="K2503" s="41" t="str"/>
      <c r="L2503" s="41" t="str"/>
      <c r="M2503" s="41" t="str"/>
      <c r="N2503" s="41" t="str"/>
      <c r="O2503" s="41" t="str"/>
      <c r="P2503" s="41" t="str"/>
      <c r="Q2503" s="41" t="str"/>
      <c r="R2503" s="41" t="str"/>
      <c r="S2503" s="41" t="str"/>
      <c r="T2503" s="41" t="str"/>
      <c r="U2503" s="41" t="str"/>
      <c r="V2503" s="41" t="str"/>
      <c r="W2503" s="41" t="str"/>
    </row>
    <row r="2504">
      <c r="B2504" s="2" t="n"/>
      <c r="C2504" s="40" t="n"/>
      <c r="D2504" s="52">
        <f t="array" ref="D2504:W2504">IF(All_Students_Scores!C2502:V2502="","",All_Students_Scores!C2502:V2502)</f>
        <v/>
      </c>
      <c r="E2504" s="57" t="str"/>
      <c r="F2504" s="49" t="str"/>
      <c r="G2504" s="59" t="str"/>
      <c r="H2504" s="64" t="str"/>
      <c r="I2504" s="65" t="str"/>
      <c r="J2504" s="49" t="str"/>
      <c r="K2504" s="41" t="str"/>
      <c r="L2504" s="41" t="str"/>
      <c r="M2504" s="41" t="str"/>
      <c r="N2504" s="41" t="str"/>
      <c r="O2504" s="41" t="str"/>
      <c r="P2504" s="41" t="str"/>
      <c r="Q2504" s="41" t="str"/>
      <c r="R2504" s="41" t="str"/>
      <c r="S2504" s="41" t="str"/>
      <c r="T2504" s="41" t="str"/>
      <c r="U2504" s="41" t="str"/>
      <c r="V2504" s="41" t="str"/>
      <c r="W2504" s="41" t="str"/>
    </row>
    <row r="2505">
      <c r="B2505" s="2" t="n"/>
      <c r="C2505" s="40" t="n"/>
      <c r="D2505" s="52">
        <f t="array" ref="D2505:W2505">IF(All_Students_Scores!C2503:V2503="","",All_Students_Scores!C2503:V2503)</f>
        <v/>
      </c>
      <c r="E2505" s="57" t="str"/>
      <c r="F2505" s="49" t="str"/>
      <c r="G2505" s="59" t="str"/>
      <c r="H2505" s="64" t="str"/>
      <c r="I2505" s="65" t="str"/>
      <c r="J2505" s="49" t="str"/>
      <c r="K2505" s="41" t="str"/>
      <c r="L2505" s="41" t="str"/>
      <c r="M2505" s="41" t="str"/>
      <c r="N2505" s="41" t="str"/>
      <c r="O2505" s="41" t="str"/>
      <c r="P2505" s="41" t="str"/>
      <c r="Q2505" s="41" t="str"/>
      <c r="R2505" s="41" t="str"/>
      <c r="S2505" s="41" t="str"/>
      <c r="T2505" s="41" t="str"/>
      <c r="U2505" s="41" t="str"/>
      <c r="V2505" s="41" t="str"/>
      <c r="W2505" s="41" t="str"/>
    </row>
    <row r="2506">
      <c r="B2506" s="2" t="n"/>
      <c r="C2506" s="40" t="n"/>
      <c r="D2506" s="52">
        <f t="array" ref="D2506:W2506">IF(All_Students_Scores!C2504:V2504="","",All_Students_Scores!C2504:V2504)</f>
        <v/>
      </c>
      <c r="E2506" s="57" t="str"/>
      <c r="F2506" s="49" t="str"/>
      <c r="G2506" s="59" t="str"/>
      <c r="H2506" s="64" t="str"/>
      <c r="I2506" s="65" t="str"/>
      <c r="J2506" s="49" t="str"/>
      <c r="K2506" s="41" t="str"/>
      <c r="L2506" s="41" t="str"/>
      <c r="M2506" s="41" t="str"/>
      <c r="N2506" s="41" t="str"/>
      <c r="O2506" s="41" t="str"/>
      <c r="P2506" s="41" t="str"/>
      <c r="Q2506" s="41" t="str"/>
      <c r="R2506" s="41" t="str"/>
      <c r="S2506" s="41" t="str"/>
      <c r="T2506" s="41" t="str"/>
      <c r="U2506" s="41" t="str"/>
      <c r="V2506" s="41" t="str"/>
      <c r="W2506" s="41" t="str"/>
    </row>
    <row r="2507">
      <c r="B2507" s="2" t="n"/>
      <c r="C2507" s="40" t="n"/>
      <c r="D2507" s="52">
        <f t="array" ref="D2507:W2507">IF(All_Students_Scores!C2505:V2505="","",All_Students_Scores!C2505:V2505)</f>
        <v/>
      </c>
      <c r="E2507" s="57" t="str"/>
      <c r="F2507" s="49" t="str"/>
      <c r="G2507" s="59" t="str"/>
      <c r="H2507" s="64" t="str"/>
      <c r="I2507" s="65" t="str"/>
      <c r="J2507" s="49" t="str"/>
      <c r="K2507" s="41" t="str"/>
      <c r="L2507" s="41" t="str"/>
      <c r="M2507" s="41" t="str"/>
      <c r="N2507" s="41" t="str"/>
      <c r="O2507" s="41" t="str"/>
      <c r="P2507" s="41" t="str"/>
      <c r="Q2507" s="41" t="str"/>
      <c r="R2507" s="41" t="str"/>
      <c r="S2507" s="41" t="str"/>
      <c r="T2507" s="41" t="str"/>
      <c r="U2507" s="41" t="str"/>
      <c r="V2507" s="41" t="str"/>
      <c r="W2507" s="41" t="str"/>
    </row>
    <row r="2508">
      <c r="B2508" s="2" t="n"/>
      <c r="C2508" s="40" t="n"/>
      <c r="D2508" s="52">
        <f t="array" ref="D2508:W2508">IF(All_Students_Scores!C2506:V2506="","",All_Students_Scores!C2506:V2506)</f>
        <v/>
      </c>
      <c r="E2508" s="57" t="str"/>
      <c r="F2508" s="49" t="str"/>
      <c r="G2508" s="59" t="str"/>
      <c r="H2508" s="64" t="str"/>
      <c r="I2508" s="65" t="str"/>
      <c r="J2508" s="49" t="str"/>
      <c r="K2508" s="41" t="str"/>
      <c r="L2508" s="41" t="str"/>
      <c r="M2508" s="41" t="str"/>
      <c r="N2508" s="41" t="str"/>
      <c r="O2508" s="41" t="str"/>
      <c r="P2508" s="41" t="str"/>
      <c r="Q2508" s="41" t="str"/>
      <c r="R2508" s="41" t="str"/>
      <c r="S2508" s="41" t="str"/>
      <c r="T2508" s="41" t="str"/>
      <c r="U2508" s="41" t="str"/>
      <c r="V2508" s="41" t="str"/>
      <c r="W2508" s="41" t="str"/>
    </row>
    <row r="2509">
      <c r="B2509" s="2" t="n"/>
      <c r="C2509" s="40" t="n"/>
      <c r="D2509" s="52">
        <f t="array" ref="D2509:W2509">IF(All_Students_Scores!C2507:V2507="","",All_Students_Scores!C2507:V2507)</f>
        <v/>
      </c>
      <c r="E2509" s="57" t="str"/>
      <c r="F2509" s="49" t="str"/>
      <c r="G2509" s="59" t="str"/>
      <c r="H2509" s="64" t="str"/>
      <c r="I2509" s="65" t="str"/>
      <c r="J2509" s="49" t="str"/>
      <c r="K2509" s="41" t="str"/>
      <c r="L2509" s="41" t="str"/>
      <c r="M2509" s="41" t="str"/>
      <c r="N2509" s="41" t="str"/>
      <c r="O2509" s="41" t="str"/>
      <c r="P2509" s="41" t="str"/>
      <c r="Q2509" s="41" t="str"/>
      <c r="R2509" s="41" t="str"/>
      <c r="S2509" s="41" t="str"/>
      <c r="T2509" s="41" t="str"/>
      <c r="U2509" s="41" t="str"/>
      <c r="V2509" s="41" t="str"/>
      <c r="W2509" s="41" t="str"/>
    </row>
    <row r="2510">
      <c r="B2510" s="2" t="n"/>
      <c r="C2510" s="40" t="n"/>
      <c r="D2510" s="52">
        <f t="array" ref="D2510:W2510">IF(All_Students_Scores!C2508:V2508="","",All_Students_Scores!C2508:V2508)</f>
        <v/>
      </c>
      <c r="E2510" s="57" t="str"/>
      <c r="F2510" s="49" t="str"/>
      <c r="G2510" s="59" t="str"/>
      <c r="H2510" s="64" t="str"/>
      <c r="I2510" s="65" t="str"/>
      <c r="J2510" s="49" t="str"/>
      <c r="K2510" s="41" t="str"/>
      <c r="L2510" s="41" t="str"/>
      <c r="M2510" s="41" t="str"/>
      <c r="N2510" s="41" t="str"/>
      <c r="O2510" s="41" t="str"/>
      <c r="P2510" s="41" t="str"/>
      <c r="Q2510" s="41" t="str"/>
      <c r="R2510" s="41" t="str"/>
      <c r="S2510" s="41" t="str"/>
      <c r="T2510" s="41" t="str"/>
      <c r="U2510" s="41" t="str"/>
      <c r="V2510" s="41" t="str"/>
      <c r="W2510" s="41" t="str"/>
    </row>
    <row r="2511">
      <c r="B2511" s="2" t="n"/>
      <c r="C2511" s="40" t="n"/>
      <c r="D2511" s="52">
        <f t="array" ref="D2511:W2511">IF(All_Students_Scores!C2509:V2509="","",All_Students_Scores!C2509:V2509)</f>
        <v/>
      </c>
      <c r="E2511" s="57" t="str"/>
      <c r="F2511" s="49" t="str"/>
      <c r="G2511" s="59" t="str"/>
      <c r="H2511" s="64" t="str"/>
      <c r="I2511" s="65" t="str"/>
      <c r="J2511" s="49" t="str"/>
      <c r="K2511" s="41" t="str"/>
      <c r="L2511" s="41" t="str"/>
      <c r="M2511" s="41" t="str"/>
      <c r="N2511" s="41" t="str"/>
      <c r="O2511" s="41" t="str"/>
      <c r="P2511" s="41" t="str"/>
      <c r="Q2511" s="41" t="str"/>
      <c r="R2511" s="41" t="str"/>
      <c r="S2511" s="41" t="str"/>
      <c r="T2511" s="41" t="str"/>
      <c r="U2511" s="41" t="str"/>
      <c r="V2511" s="41" t="str"/>
      <c r="W2511" s="41" t="str"/>
    </row>
    <row r="2512">
      <c r="B2512" s="2" t="n"/>
      <c r="C2512" s="40" t="n"/>
      <c r="D2512" s="52">
        <f t="array" ref="D2512:W2512">IF(All_Students_Scores!C2510:V2510="","",All_Students_Scores!C2510:V2510)</f>
        <v/>
      </c>
      <c r="E2512" s="57" t="str"/>
      <c r="F2512" s="49" t="str"/>
      <c r="G2512" s="59" t="str"/>
      <c r="H2512" s="64" t="str"/>
      <c r="I2512" s="65" t="str"/>
      <c r="J2512" s="49" t="str"/>
      <c r="K2512" s="41" t="str"/>
      <c r="L2512" s="41" t="str"/>
      <c r="M2512" s="41" t="str"/>
      <c r="N2512" s="41" t="str"/>
      <c r="O2512" s="41" t="str"/>
      <c r="P2512" s="41" t="str"/>
      <c r="Q2512" s="41" t="str"/>
      <c r="R2512" s="41" t="str"/>
      <c r="S2512" s="41" t="str"/>
      <c r="T2512" s="41" t="str"/>
      <c r="U2512" s="41" t="str"/>
      <c r="V2512" s="41" t="str"/>
      <c r="W2512" s="41" t="str"/>
    </row>
    <row r="2513">
      <c r="B2513" s="2" t="n"/>
      <c r="C2513" s="40" t="n"/>
      <c r="D2513" s="52">
        <f t="array" ref="D2513:W2513">IF(All_Students_Scores!C2511:V2511="","",All_Students_Scores!C2511:V2511)</f>
        <v/>
      </c>
      <c r="E2513" s="57" t="str"/>
      <c r="F2513" s="49" t="str"/>
      <c r="G2513" s="59" t="str"/>
      <c r="H2513" s="64" t="str"/>
      <c r="I2513" s="65" t="str"/>
      <c r="J2513" s="49" t="str"/>
      <c r="K2513" s="41" t="str"/>
      <c r="L2513" s="41" t="str"/>
      <c r="M2513" s="41" t="str"/>
      <c r="N2513" s="41" t="str"/>
      <c r="O2513" s="41" t="str"/>
      <c r="P2513" s="41" t="str"/>
      <c r="Q2513" s="41" t="str"/>
      <c r="R2513" s="41" t="str"/>
      <c r="S2513" s="41" t="str"/>
      <c r="T2513" s="41" t="str"/>
      <c r="U2513" s="41" t="str"/>
      <c r="V2513" s="41" t="str"/>
      <c r="W2513" s="41" t="str"/>
    </row>
    <row r="2514">
      <c r="B2514" s="2" t="n"/>
      <c r="C2514" s="40" t="n"/>
      <c r="D2514" s="52">
        <f t="array" ref="D2514:W2514">IF(All_Students_Scores!C2512:V2512="","",All_Students_Scores!C2512:V2512)</f>
        <v/>
      </c>
      <c r="E2514" s="57" t="str"/>
      <c r="F2514" s="49" t="str"/>
      <c r="G2514" s="59" t="str"/>
      <c r="H2514" s="64" t="str"/>
      <c r="I2514" s="65" t="str"/>
      <c r="J2514" s="49" t="str"/>
      <c r="K2514" s="41" t="str"/>
      <c r="L2514" s="41" t="str"/>
      <c r="M2514" s="41" t="str"/>
      <c r="N2514" s="41" t="str"/>
      <c r="O2514" s="41" t="str"/>
      <c r="P2514" s="41" t="str"/>
      <c r="Q2514" s="41" t="str"/>
      <c r="R2514" s="41" t="str"/>
      <c r="S2514" s="41" t="str"/>
      <c r="T2514" s="41" t="str"/>
      <c r="U2514" s="41" t="str"/>
      <c r="V2514" s="41" t="str"/>
      <c r="W2514" s="41" t="str"/>
    </row>
    <row r="2515">
      <c r="B2515" s="2" t="n"/>
      <c r="C2515" s="40" t="n"/>
      <c r="D2515" s="52">
        <f t="array" ref="D2515:W2515">IF(All_Students_Scores!C2513:V2513="","",All_Students_Scores!C2513:V2513)</f>
        <v/>
      </c>
      <c r="E2515" s="57" t="str"/>
      <c r="F2515" s="49" t="str"/>
      <c r="G2515" s="59" t="str"/>
      <c r="H2515" s="64" t="str"/>
      <c r="I2515" s="65" t="str"/>
      <c r="J2515" s="49" t="str"/>
      <c r="K2515" s="41" t="str"/>
      <c r="L2515" s="41" t="str"/>
      <c r="M2515" s="41" t="str"/>
      <c r="N2515" s="41" t="str"/>
      <c r="O2515" s="41" t="str"/>
      <c r="P2515" s="41" t="str"/>
      <c r="Q2515" s="41" t="str"/>
      <c r="R2515" s="41" t="str"/>
      <c r="S2515" s="41" t="str"/>
      <c r="T2515" s="41" t="str"/>
      <c r="U2515" s="41" t="str"/>
      <c r="V2515" s="41" t="str"/>
      <c r="W2515" s="41" t="str"/>
    </row>
    <row r="2516">
      <c r="B2516" s="2" t="n"/>
      <c r="C2516" s="40" t="n"/>
      <c r="D2516" s="52">
        <f t="array" ref="D2516:W2516">IF(All_Students_Scores!C2514:V2514="","",All_Students_Scores!C2514:V2514)</f>
        <v/>
      </c>
      <c r="E2516" s="57" t="str"/>
      <c r="F2516" s="49" t="str"/>
      <c r="G2516" s="59" t="str"/>
      <c r="H2516" s="64" t="str"/>
      <c r="I2516" s="65" t="str"/>
      <c r="J2516" s="49" t="str"/>
      <c r="K2516" s="41" t="str"/>
      <c r="L2516" s="41" t="str"/>
      <c r="M2516" s="41" t="str"/>
      <c r="N2516" s="41" t="str"/>
      <c r="O2516" s="41" t="str"/>
      <c r="P2516" s="41" t="str"/>
      <c r="Q2516" s="41" t="str"/>
      <c r="R2516" s="41" t="str"/>
      <c r="S2516" s="41" t="str"/>
      <c r="T2516" s="41" t="str"/>
      <c r="U2516" s="41" t="str"/>
      <c r="V2516" s="41" t="str"/>
      <c r="W2516" s="41" t="str"/>
    </row>
    <row r="2517">
      <c r="B2517" s="2" t="n"/>
      <c r="C2517" s="40" t="n"/>
      <c r="D2517" s="52">
        <f t="array" ref="D2517:W2517">IF(All_Students_Scores!C2515:V2515="","",All_Students_Scores!C2515:V2515)</f>
        <v/>
      </c>
      <c r="E2517" s="57" t="str"/>
      <c r="F2517" s="49" t="str"/>
      <c r="G2517" s="59" t="str"/>
      <c r="H2517" s="64" t="str"/>
      <c r="I2517" s="65" t="str"/>
      <c r="J2517" s="49" t="str"/>
      <c r="K2517" s="41" t="str"/>
      <c r="L2517" s="41" t="str"/>
      <c r="M2517" s="41" t="str"/>
      <c r="N2517" s="41" t="str"/>
      <c r="O2517" s="41" t="str"/>
      <c r="P2517" s="41" t="str"/>
      <c r="Q2517" s="41" t="str"/>
      <c r="R2517" s="41" t="str"/>
      <c r="S2517" s="41" t="str"/>
      <c r="T2517" s="41" t="str"/>
      <c r="U2517" s="41" t="str"/>
      <c r="V2517" s="41" t="str"/>
      <c r="W2517" s="41" t="str"/>
    </row>
    <row r="2518">
      <c r="B2518" s="2" t="n"/>
      <c r="C2518" s="40" t="n"/>
      <c r="D2518" s="52">
        <f t="array" ref="D2518:W2518">IF(All_Students_Scores!C2516:V2516="","",All_Students_Scores!C2516:V2516)</f>
        <v/>
      </c>
      <c r="E2518" s="57" t="str"/>
      <c r="F2518" s="49" t="str"/>
      <c r="G2518" s="59" t="str"/>
      <c r="H2518" s="64" t="str"/>
      <c r="I2518" s="65" t="str"/>
      <c r="J2518" s="49" t="str"/>
      <c r="K2518" s="41" t="str"/>
      <c r="L2518" s="41" t="str"/>
      <c r="M2518" s="41" t="str"/>
      <c r="N2518" s="41" t="str"/>
      <c r="O2518" s="41" t="str"/>
      <c r="P2518" s="41" t="str"/>
      <c r="Q2518" s="41" t="str"/>
      <c r="R2518" s="41" t="str"/>
      <c r="S2518" s="41" t="str"/>
      <c r="T2518" s="41" t="str"/>
      <c r="U2518" s="41" t="str"/>
      <c r="V2518" s="41" t="str"/>
      <c r="W2518" s="41" t="str"/>
    </row>
    <row r="2519">
      <c r="B2519" s="2" t="n"/>
      <c r="C2519" s="40" t="n"/>
      <c r="D2519" s="52">
        <f t="array" ref="D2519:W2519">IF(All_Students_Scores!C2517:V2517="","",All_Students_Scores!C2517:V2517)</f>
        <v/>
      </c>
      <c r="E2519" s="57" t="str"/>
      <c r="F2519" s="49" t="str"/>
      <c r="G2519" s="59" t="str"/>
      <c r="H2519" s="64" t="str"/>
      <c r="I2519" s="65" t="str"/>
      <c r="J2519" s="49" t="str"/>
      <c r="K2519" s="41" t="str"/>
      <c r="L2519" s="41" t="str"/>
      <c r="M2519" s="41" t="str"/>
      <c r="N2519" s="41" t="str"/>
      <c r="O2519" s="41" t="str"/>
      <c r="P2519" s="41" t="str"/>
      <c r="Q2519" s="41" t="str"/>
      <c r="R2519" s="41" t="str"/>
      <c r="S2519" s="41" t="str"/>
      <c r="T2519" s="41" t="str"/>
      <c r="U2519" s="41" t="str"/>
      <c r="V2519" s="41" t="str"/>
      <c r="W2519" s="41" t="str"/>
    </row>
    <row r="2520">
      <c r="B2520" s="2" t="n"/>
      <c r="C2520" s="40" t="n"/>
      <c r="D2520" s="52">
        <f t="array" ref="D2520:W2520">IF(All_Students_Scores!C2518:V2518="","",All_Students_Scores!C2518:V2518)</f>
        <v/>
      </c>
      <c r="E2520" s="57" t="str"/>
      <c r="F2520" s="49" t="str"/>
      <c r="G2520" s="59" t="str"/>
      <c r="H2520" s="64" t="str"/>
      <c r="I2520" s="65" t="str"/>
      <c r="J2520" s="49" t="str"/>
      <c r="K2520" s="41" t="str"/>
      <c r="L2520" s="41" t="str"/>
      <c r="M2520" s="41" t="str"/>
      <c r="N2520" s="41" t="str"/>
      <c r="O2520" s="41" t="str"/>
      <c r="P2520" s="41" t="str"/>
      <c r="Q2520" s="41" t="str"/>
      <c r="R2520" s="41" t="str"/>
      <c r="S2520" s="41" t="str"/>
      <c r="T2520" s="41" t="str"/>
      <c r="U2520" s="41" t="str"/>
      <c r="V2520" s="41" t="str"/>
      <c r="W2520" s="41" t="str"/>
    </row>
    <row r="2521">
      <c r="B2521" s="2" t="n"/>
      <c r="C2521" s="40" t="n"/>
      <c r="D2521" s="52">
        <f t="array" ref="D2521:W2521">IF(All_Students_Scores!C2519:V2519="","",All_Students_Scores!C2519:V2519)</f>
        <v/>
      </c>
      <c r="E2521" s="57" t="str"/>
      <c r="F2521" s="49" t="str"/>
      <c r="G2521" s="59" t="str"/>
      <c r="H2521" s="64" t="str"/>
      <c r="I2521" s="65" t="str"/>
      <c r="J2521" s="49" t="str"/>
      <c r="K2521" s="41" t="str"/>
      <c r="L2521" s="41" t="str"/>
      <c r="M2521" s="41" t="str"/>
      <c r="N2521" s="41" t="str"/>
      <c r="O2521" s="41" t="str"/>
      <c r="P2521" s="41" t="str"/>
      <c r="Q2521" s="41" t="str"/>
      <c r="R2521" s="41" t="str"/>
      <c r="S2521" s="41" t="str"/>
      <c r="T2521" s="41" t="str"/>
      <c r="U2521" s="41" t="str"/>
      <c r="V2521" s="41" t="str"/>
      <c r="W2521" s="41" t="str"/>
    </row>
    <row r="2522">
      <c r="B2522" s="2" t="n"/>
      <c r="C2522" s="40" t="n"/>
      <c r="D2522" s="52">
        <f t="array" ref="D2522:W2522">IF(All_Students_Scores!C2520:V2520="","",All_Students_Scores!C2520:V2520)</f>
        <v/>
      </c>
      <c r="E2522" s="57" t="str"/>
      <c r="F2522" s="49" t="str"/>
      <c r="G2522" s="59" t="str"/>
      <c r="H2522" s="64" t="str"/>
      <c r="I2522" s="65" t="str"/>
      <c r="J2522" s="49" t="str"/>
      <c r="K2522" s="41" t="str"/>
      <c r="L2522" s="41" t="str"/>
      <c r="M2522" s="41" t="str"/>
      <c r="N2522" s="41" t="str"/>
      <c r="O2522" s="41" t="str"/>
      <c r="P2522" s="41" t="str"/>
      <c r="Q2522" s="41" t="str"/>
      <c r="R2522" s="41" t="str"/>
      <c r="S2522" s="41" t="str"/>
      <c r="T2522" s="41" t="str"/>
      <c r="U2522" s="41" t="str"/>
      <c r="V2522" s="41" t="str"/>
      <c r="W2522" s="41" t="str"/>
    </row>
    <row r="2523">
      <c r="B2523" s="2" t="n"/>
      <c r="C2523" s="40" t="n"/>
      <c r="D2523" s="52">
        <f t="array" ref="D2523:W2523">IF(All_Students_Scores!C2521:V2521="","",All_Students_Scores!C2521:V2521)</f>
        <v/>
      </c>
      <c r="E2523" s="57" t="str"/>
      <c r="F2523" s="49" t="str"/>
      <c r="G2523" s="59" t="str"/>
      <c r="H2523" s="64" t="str"/>
      <c r="I2523" s="65" t="str"/>
      <c r="J2523" s="49" t="str"/>
      <c r="K2523" s="41" t="str"/>
      <c r="L2523" s="41" t="str"/>
      <c r="M2523" s="41" t="str"/>
      <c r="N2523" s="41" t="str"/>
      <c r="O2523" s="41" t="str"/>
      <c r="P2523" s="41" t="str"/>
      <c r="Q2523" s="41" t="str"/>
      <c r="R2523" s="41" t="str"/>
      <c r="S2523" s="41" t="str"/>
      <c r="T2523" s="41" t="str"/>
      <c r="U2523" s="41" t="str"/>
      <c r="V2523" s="41" t="str"/>
      <c r="W2523" s="41" t="str"/>
    </row>
    <row r="2524">
      <c r="B2524" s="2" t="n"/>
      <c r="C2524" s="40" t="n"/>
      <c r="D2524" s="52">
        <f t="array" ref="D2524:W2524">IF(All_Students_Scores!C2522:V2522="","",All_Students_Scores!C2522:V2522)</f>
        <v/>
      </c>
      <c r="E2524" s="57" t="str"/>
      <c r="F2524" s="49" t="str"/>
      <c r="G2524" s="59" t="str"/>
      <c r="H2524" s="64" t="str"/>
      <c r="I2524" s="65" t="str"/>
      <c r="J2524" s="49" t="str"/>
      <c r="K2524" s="41" t="str"/>
      <c r="L2524" s="41" t="str"/>
      <c r="M2524" s="41" t="str"/>
      <c r="N2524" s="41" t="str"/>
      <c r="O2524" s="41" t="str"/>
      <c r="P2524" s="41" t="str"/>
      <c r="Q2524" s="41" t="str"/>
      <c r="R2524" s="41" t="str"/>
      <c r="S2524" s="41" t="str"/>
      <c r="T2524" s="41" t="str"/>
      <c r="U2524" s="41" t="str"/>
      <c r="V2524" s="41" t="str"/>
      <c r="W2524" s="41" t="str"/>
    </row>
    <row r="2525">
      <c r="B2525" s="2" t="n"/>
      <c r="C2525" s="40" t="n"/>
      <c r="D2525" s="52">
        <f t="array" ref="D2525:W2525">IF(All_Students_Scores!C2523:V2523="","",All_Students_Scores!C2523:V2523)</f>
        <v/>
      </c>
      <c r="E2525" s="57" t="str"/>
      <c r="F2525" s="49" t="str"/>
      <c r="G2525" s="59" t="str"/>
      <c r="H2525" s="64" t="str"/>
      <c r="I2525" s="65" t="str"/>
      <c r="J2525" s="49" t="str"/>
      <c r="K2525" s="41" t="str"/>
      <c r="L2525" s="41" t="str"/>
      <c r="M2525" s="41" t="str"/>
      <c r="N2525" s="41" t="str"/>
      <c r="O2525" s="41" t="str"/>
      <c r="P2525" s="41" t="str"/>
      <c r="Q2525" s="41" t="str"/>
      <c r="R2525" s="41" t="str"/>
      <c r="S2525" s="41" t="str"/>
      <c r="T2525" s="41" t="str"/>
      <c r="U2525" s="41" t="str"/>
      <c r="V2525" s="41" t="str"/>
      <c r="W2525" s="41" t="str"/>
    </row>
    <row r="2526">
      <c r="B2526" s="2" t="n"/>
      <c r="C2526" s="40" t="n"/>
      <c r="D2526" s="52">
        <f t="array" ref="D2526:W2526">IF(All_Students_Scores!C2524:V2524="","",All_Students_Scores!C2524:V2524)</f>
        <v/>
      </c>
      <c r="E2526" s="57" t="str"/>
      <c r="F2526" s="49" t="str"/>
      <c r="G2526" s="59" t="str"/>
      <c r="H2526" s="64" t="str"/>
      <c r="I2526" s="65" t="str"/>
      <c r="J2526" s="49" t="str"/>
      <c r="K2526" s="41" t="str"/>
      <c r="L2526" s="41" t="str"/>
      <c r="M2526" s="41" t="str"/>
      <c r="N2526" s="41" t="str"/>
      <c r="O2526" s="41" t="str"/>
      <c r="P2526" s="41" t="str"/>
      <c r="Q2526" s="41" t="str"/>
      <c r="R2526" s="41" t="str"/>
      <c r="S2526" s="41" t="str"/>
      <c r="T2526" s="41" t="str"/>
      <c r="U2526" s="41" t="str"/>
      <c r="V2526" s="41" t="str"/>
      <c r="W2526" s="41" t="str"/>
    </row>
    <row r="2527">
      <c r="B2527" s="2" t="n"/>
      <c r="C2527" s="40" t="n"/>
      <c r="D2527" s="52">
        <f t="array" ref="D2527:W2527">IF(All_Students_Scores!C2525:V2525="","",All_Students_Scores!C2525:V2525)</f>
        <v/>
      </c>
      <c r="E2527" s="57" t="str"/>
      <c r="F2527" s="49" t="str"/>
      <c r="G2527" s="59" t="str"/>
      <c r="H2527" s="64" t="str"/>
      <c r="I2527" s="65" t="str"/>
      <c r="J2527" s="49" t="str"/>
      <c r="K2527" s="41" t="str"/>
      <c r="L2527" s="41" t="str"/>
      <c r="M2527" s="41" t="str"/>
      <c r="N2527" s="41" t="str"/>
      <c r="O2527" s="41" t="str"/>
      <c r="P2527" s="41" t="str"/>
      <c r="Q2527" s="41" t="str"/>
      <c r="R2527" s="41" t="str"/>
      <c r="S2527" s="41" t="str"/>
      <c r="T2527" s="41" t="str"/>
      <c r="U2527" s="41" t="str"/>
      <c r="V2527" s="41" t="str"/>
      <c r="W2527" s="41" t="str"/>
    </row>
    <row r="2528">
      <c r="B2528" s="2" t="n"/>
      <c r="C2528" s="40" t="n"/>
      <c r="D2528" s="52">
        <f t="array" ref="D2528:W2528">IF(All_Students_Scores!C2526:V2526="","",All_Students_Scores!C2526:V2526)</f>
        <v/>
      </c>
      <c r="E2528" s="57" t="str"/>
      <c r="F2528" s="49" t="str"/>
      <c r="G2528" s="59" t="str"/>
      <c r="H2528" s="64" t="str"/>
      <c r="I2528" s="65" t="str"/>
      <c r="J2528" s="49" t="str"/>
      <c r="K2528" s="41" t="str"/>
      <c r="L2528" s="41" t="str"/>
      <c r="M2528" s="41" t="str"/>
      <c r="N2528" s="41" t="str"/>
      <c r="O2528" s="41" t="str"/>
      <c r="P2528" s="41" t="str"/>
      <c r="Q2528" s="41" t="str"/>
      <c r="R2528" s="41" t="str"/>
      <c r="S2528" s="41" t="str"/>
      <c r="T2528" s="41" t="str"/>
      <c r="U2528" s="41" t="str"/>
      <c r="V2528" s="41" t="str"/>
      <c r="W2528" s="41" t="str"/>
    </row>
    <row r="2529">
      <c r="B2529" s="2" t="n"/>
      <c r="C2529" s="40" t="n"/>
      <c r="D2529" s="52">
        <f t="array" ref="D2529:W2529">IF(All_Students_Scores!C2527:V2527="","",All_Students_Scores!C2527:V2527)</f>
        <v/>
      </c>
      <c r="E2529" s="57" t="str"/>
      <c r="F2529" s="49" t="str"/>
      <c r="G2529" s="59" t="str"/>
      <c r="H2529" s="64" t="str"/>
      <c r="I2529" s="65" t="str"/>
      <c r="J2529" s="49" t="str"/>
      <c r="K2529" s="41" t="str"/>
      <c r="L2529" s="41" t="str"/>
      <c r="M2529" s="41" t="str"/>
      <c r="N2529" s="41" t="str"/>
      <c r="O2529" s="41" t="str"/>
      <c r="P2529" s="41" t="str"/>
      <c r="Q2529" s="41" t="str"/>
      <c r="R2529" s="41" t="str"/>
      <c r="S2529" s="41" t="str"/>
      <c r="T2529" s="41" t="str"/>
      <c r="U2529" s="41" t="str"/>
      <c r="V2529" s="41" t="str"/>
      <c r="W2529" s="41" t="str"/>
    </row>
    <row r="2530">
      <c r="B2530" s="2" t="n"/>
      <c r="C2530" s="40" t="n"/>
      <c r="D2530" s="52">
        <f t="array" ref="D2530:W2530">IF(All_Students_Scores!C2528:V2528="","",All_Students_Scores!C2528:V2528)</f>
        <v/>
      </c>
      <c r="E2530" s="57" t="str"/>
      <c r="F2530" s="49" t="str"/>
      <c r="G2530" s="59" t="str"/>
      <c r="H2530" s="64" t="str"/>
      <c r="I2530" s="65" t="str"/>
      <c r="J2530" s="49" t="str"/>
      <c r="K2530" s="41" t="str"/>
      <c r="L2530" s="41" t="str"/>
      <c r="M2530" s="41" t="str"/>
      <c r="N2530" s="41" t="str"/>
      <c r="O2530" s="41" t="str"/>
      <c r="P2530" s="41" t="str"/>
      <c r="Q2530" s="41" t="str"/>
      <c r="R2530" s="41" t="str"/>
      <c r="S2530" s="41" t="str"/>
      <c r="T2530" s="41" t="str"/>
      <c r="U2530" s="41" t="str"/>
      <c r="V2530" s="41" t="str"/>
      <c r="W2530" s="41" t="str"/>
    </row>
    <row r="2531">
      <c r="B2531" s="2" t="n"/>
      <c r="C2531" s="40" t="n"/>
      <c r="D2531" s="52">
        <f t="array" ref="D2531:W2531">IF(All_Students_Scores!C2529:V2529="","",All_Students_Scores!C2529:V2529)</f>
        <v/>
      </c>
      <c r="E2531" s="57" t="str"/>
      <c r="F2531" s="49" t="str"/>
      <c r="G2531" s="59" t="str"/>
      <c r="H2531" s="64" t="str"/>
      <c r="I2531" s="65" t="str"/>
      <c r="J2531" s="49" t="str"/>
      <c r="K2531" s="41" t="str"/>
      <c r="L2531" s="41" t="str"/>
      <c r="M2531" s="41" t="str"/>
      <c r="N2531" s="41" t="str"/>
      <c r="O2531" s="41" t="str"/>
      <c r="P2531" s="41" t="str"/>
      <c r="Q2531" s="41" t="str"/>
      <c r="R2531" s="41" t="str"/>
      <c r="S2531" s="41" t="str"/>
      <c r="T2531" s="41" t="str"/>
      <c r="U2531" s="41" t="str"/>
      <c r="V2531" s="41" t="str"/>
      <c r="W2531" s="41" t="str"/>
    </row>
    <row r="2532">
      <c r="B2532" s="2" t="n"/>
      <c r="C2532" s="40" t="n"/>
      <c r="D2532" s="52">
        <f t="array" ref="D2532:W2532">IF(All_Students_Scores!C2530:V2530="","",All_Students_Scores!C2530:V2530)</f>
        <v/>
      </c>
      <c r="E2532" s="57" t="str"/>
      <c r="F2532" s="49" t="str"/>
      <c r="G2532" s="59" t="str"/>
      <c r="H2532" s="64" t="str"/>
      <c r="I2532" s="65" t="str"/>
      <c r="J2532" s="49" t="str"/>
      <c r="K2532" s="41" t="str"/>
      <c r="L2532" s="41" t="str"/>
      <c r="M2532" s="41" t="str"/>
      <c r="N2532" s="41" t="str"/>
      <c r="O2532" s="41" t="str"/>
      <c r="P2532" s="41" t="str"/>
      <c r="Q2532" s="41" t="str"/>
      <c r="R2532" s="41" t="str"/>
      <c r="S2532" s="41" t="str"/>
      <c r="T2532" s="41" t="str"/>
      <c r="U2532" s="41" t="str"/>
      <c r="V2532" s="41" t="str"/>
      <c r="W2532" s="41" t="str"/>
    </row>
    <row r="2533">
      <c r="B2533" s="2" t="n"/>
      <c r="C2533" s="40" t="n"/>
      <c r="D2533" s="52">
        <f t="array" ref="D2533:W2533">IF(All_Students_Scores!C2531:V2531="","",All_Students_Scores!C2531:V2531)</f>
        <v/>
      </c>
      <c r="E2533" s="57" t="str"/>
      <c r="F2533" s="49" t="str"/>
      <c r="G2533" s="59" t="str"/>
      <c r="H2533" s="64" t="str"/>
      <c r="I2533" s="65" t="str"/>
      <c r="J2533" s="49" t="str"/>
      <c r="K2533" s="41" t="str"/>
      <c r="L2533" s="41" t="str"/>
      <c r="M2533" s="41" t="str"/>
      <c r="N2533" s="41" t="str"/>
      <c r="O2533" s="41" t="str"/>
      <c r="P2533" s="41" t="str"/>
      <c r="Q2533" s="41" t="str"/>
      <c r="R2533" s="41" t="str"/>
      <c r="S2533" s="41" t="str"/>
      <c r="T2533" s="41" t="str"/>
      <c r="U2533" s="41" t="str"/>
      <c r="V2533" s="41" t="str"/>
      <c r="W2533" s="41" t="str"/>
    </row>
    <row r="2534">
      <c r="B2534" s="2" t="n"/>
      <c r="C2534" s="40" t="n"/>
      <c r="D2534" s="52">
        <f t="array" ref="D2534:W2534">IF(All_Students_Scores!C2532:V2532="","",All_Students_Scores!C2532:V2532)</f>
        <v/>
      </c>
      <c r="E2534" s="57" t="str"/>
      <c r="F2534" s="49" t="str"/>
      <c r="G2534" s="59" t="str"/>
      <c r="H2534" s="64" t="str"/>
      <c r="I2534" s="65" t="str"/>
      <c r="J2534" s="49" t="str"/>
      <c r="K2534" s="41" t="str"/>
      <c r="L2534" s="41" t="str"/>
      <c r="M2534" s="41" t="str"/>
      <c r="N2534" s="41" t="str"/>
      <c r="O2534" s="41" t="str"/>
      <c r="P2534" s="41" t="str"/>
      <c r="Q2534" s="41" t="str"/>
      <c r="R2534" s="41" t="str"/>
      <c r="S2534" s="41" t="str"/>
      <c r="T2534" s="41" t="str"/>
      <c r="U2534" s="41" t="str"/>
      <c r="V2534" s="41" t="str"/>
      <c r="W2534" s="41" t="str"/>
    </row>
    <row r="2535">
      <c r="B2535" s="2" t="n"/>
      <c r="C2535" s="40" t="n"/>
      <c r="D2535" s="52">
        <f t="array" ref="D2535:W2535">IF(All_Students_Scores!C2533:V2533="","",All_Students_Scores!C2533:V2533)</f>
        <v/>
      </c>
      <c r="E2535" s="57" t="str"/>
      <c r="F2535" s="49" t="str"/>
      <c r="G2535" s="59" t="str"/>
      <c r="H2535" s="64" t="str"/>
      <c r="I2535" s="65" t="str"/>
      <c r="J2535" s="49" t="str"/>
      <c r="K2535" s="41" t="str"/>
      <c r="L2535" s="41" t="str"/>
      <c r="M2535" s="41" t="str"/>
      <c r="N2535" s="41" t="str"/>
      <c r="O2535" s="41" t="str"/>
      <c r="P2535" s="41" t="str"/>
      <c r="Q2535" s="41" t="str"/>
      <c r="R2535" s="41" t="str"/>
      <c r="S2535" s="41" t="str"/>
      <c r="T2535" s="41" t="str"/>
      <c r="U2535" s="41" t="str"/>
      <c r="V2535" s="41" t="str"/>
      <c r="W2535" s="41" t="str"/>
    </row>
    <row r="2536">
      <c r="B2536" s="2" t="n"/>
      <c r="C2536" s="40" t="n"/>
      <c r="D2536" s="52">
        <f t="array" ref="D2536:W2536">IF(All_Students_Scores!C2534:V2534="","",All_Students_Scores!C2534:V2534)</f>
        <v/>
      </c>
      <c r="E2536" s="57" t="str"/>
      <c r="F2536" s="49" t="str"/>
      <c r="G2536" s="59" t="str"/>
      <c r="H2536" s="64" t="str"/>
      <c r="I2536" s="65" t="str"/>
      <c r="J2536" s="49" t="str"/>
      <c r="K2536" s="41" t="str"/>
      <c r="L2536" s="41" t="str"/>
      <c r="M2536" s="41" t="str"/>
      <c r="N2536" s="41" t="str"/>
      <c r="O2536" s="41" t="str"/>
      <c r="P2536" s="41" t="str"/>
      <c r="Q2536" s="41" t="str"/>
      <c r="R2536" s="41" t="str"/>
      <c r="S2536" s="41" t="str"/>
      <c r="T2536" s="41" t="str"/>
      <c r="U2536" s="41" t="str"/>
      <c r="V2536" s="41" t="str"/>
      <c r="W2536" s="41" t="str"/>
    </row>
    <row r="2537">
      <c r="B2537" s="2" t="n"/>
      <c r="C2537" s="40" t="n"/>
      <c r="D2537" s="52">
        <f t="array" ref="D2537:W2537">IF(All_Students_Scores!C2535:V2535="","",All_Students_Scores!C2535:V2535)</f>
        <v/>
      </c>
      <c r="E2537" s="57" t="str"/>
      <c r="F2537" s="49" t="str"/>
      <c r="G2537" s="59" t="str"/>
      <c r="H2537" s="64" t="str"/>
      <c r="I2537" s="65" t="str"/>
      <c r="J2537" s="49" t="str"/>
      <c r="K2537" s="41" t="str"/>
      <c r="L2537" s="41" t="str"/>
      <c r="M2537" s="41" t="str"/>
      <c r="N2537" s="41" t="str"/>
      <c r="O2537" s="41" t="str"/>
      <c r="P2537" s="41" t="str"/>
      <c r="Q2537" s="41" t="str"/>
      <c r="R2537" s="41" t="str"/>
      <c r="S2537" s="41" t="str"/>
      <c r="T2537" s="41" t="str"/>
      <c r="U2537" s="41" t="str"/>
      <c r="V2537" s="41" t="str"/>
      <c r="W2537" s="41" t="str"/>
    </row>
    <row r="2538">
      <c r="B2538" s="2" t="n"/>
      <c r="C2538" s="40" t="n"/>
      <c r="D2538" s="52">
        <f t="array" ref="D2538:W2538">IF(All_Students_Scores!C2536:V2536="","",All_Students_Scores!C2536:V2536)</f>
        <v/>
      </c>
      <c r="E2538" s="57" t="str"/>
      <c r="F2538" s="49" t="str"/>
      <c r="G2538" s="59" t="str"/>
      <c r="H2538" s="64" t="str"/>
      <c r="I2538" s="65" t="str"/>
      <c r="J2538" s="49" t="str"/>
      <c r="K2538" s="41" t="str"/>
      <c r="L2538" s="41" t="str"/>
      <c r="M2538" s="41" t="str"/>
      <c r="N2538" s="41" t="str"/>
      <c r="O2538" s="41" t="str"/>
      <c r="P2538" s="41" t="str"/>
      <c r="Q2538" s="41" t="str"/>
      <c r="R2538" s="41" t="str"/>
      <c r="S2538" s="41" t="str"/>
      <c r="T2538" s="41" t="str"/>
      <c r="U2538" s="41" t="str"/>
      <c r="V2538" s="41" t="str"/>
      <c r="W2538" s="41" t="str"/>
    </row>
    <row r="2539">
      <c r="B2539" s="2" t="n"/>
      <c r="C2539" s="40" t="n"/>
      <c r="D2539" s="52">
        <f t="array" ref="D2539:W2539">IF(All_Students_Scores!C2537:V2537="","",All_Students_Scores!C2537:V2537)</f>
        <v/>
      </c>
      <c r="E2539" s="57" t="str"/>
      <c r="F2539" s="49" t="str"/>
      <c r="G2539" s="59" t="str"/>
      <c r="H2539" s="64" t="str"/>
      <c r="I2539" s="65" t="str"/>
      <c r="J2539" s="49" t="str"/>
      <c r="K2539" s="41" t="str"/>
      <c r="L2539" s="41" t="str"/>
      <c r="M2539" s="41" t="str"/>
      <c r="N2539" s="41" t="str"/>
      <c r="O2539" s="41" t="str"/>
      <c r="P2539" s="41" t="str"/>
      <c r="Q2539" s="41" t="str"/>
      <c r="R2539" s="41" t="str"/>
      <c r="S2539" s="41" t="str"/>
      <c r="T2539" s="41" t="str"/>
      <c r="U2539" s="41" t="str"/>
      <c r="V2539" s="41" t="str"/>
      <c r="W2539" s="41" t="str"/>
    </row>
    <row r="2540">
      <c r="B2540" s="2" t="n"/>
      <c r="C2540" s="40" t="n"/>
      <c r="D2540" s="52">
        <f t="array" ref="D2540:W2540">IF(All_Students_Scores!C2538:V2538="","",All_Students_Scores!C2538:V2538)</f>
        <v/>
      </c>
      <c r="E2540" s="57" t="str"/>
      <c r="F2540" s="49" t="str"/>
      <c r="G2540" s="59" t="str"/>
      <c r="H2540" s="64" t="str"/>
      <c r="I2540" s="65" t="str"/>
      <c r="J2540" s="49" t="str"/>
      <c r="K2540" s="41" t="str"/>
      <c r="L2540" s="41" t="str"/>
      <c r="M2540" s="41" t="str"/>
      <c r="N2540" s="41" t="str"/>
      <c r="O2540" s="41" t="str"/>
      <c r="P2540" s="41" t="str"/>
      <c r="Q2540" s="41" t="str"/>
      <c r="R2540" s="41" t="str"/>
      <c r="S2540" s="41" t="str"/>
      <c r="T2540" s="41" t="str"/>
      <c r="U2540" s="41" t="str"/>
      <c r="V2540" s="41" t="str"/>
      <c r="W2540" s="41" t="str"/>
    </row>
    <row r="2541">
      <c r="B2541" s="2" t="n"/>
      <c r="C2541" s="40" t="n"/>
      <c r="D2541" s="52">
        <f t="array" ref="D2541:W2541">IF(All_Students_Scores!C2539:V2539="","",All_Students_Scores!C2539:V2539)</f>
        <v/>
      </c>
      <c r="E2541" s="57" t="str"/>
      <c r="F2541" s="49" t="str"/>
      <c r="G2541" s="59" t="str"/>
      <c r="H2541" s="64" t="str"/>
      <c r="I2541" s="65" t="str"/>
      <c r="J2541" s="49" t="str"/>
      <c r="K2541" s="41" t="str"/>
      <c r="L2541" s="41" t="str"/>
      <c r="M2541" s="41" t="str"/>
      <c r="N2541" s="41" t="str"/>
      <c r="O2541" s="41" t="str"/>
      <c r="P2541" s="41" t="str"/>
      <c r="Q2541" s="41" t="str"/>
      <c r="R2541" s="41" t="str"/>
      <c r="S2541" s="41" t="str"/>
      <c r="T2541" s="41" t="str"/>
      <c r="U2541" s="41" t="str"/>
      <c r="V2541" s="41" t="str"/>
      <c r="W2541" s="41" t="str"/>
    </row>
    <row r="2542">
      <c r="B2542" s="2" t="n"/>
      <c r="C2542" s="40" t="n"/>
      <c r="D2542" s="52">
        <f t="array" ref="D2542:W2542">IF(All_Students_Scores!C2540:V2540="","",All_Students_Scores!C2540:V2540)</f>
        <v/>
      </c>
      <c r="E2542" s="57" t="str"/>
      <c r="F2542" s="49" t="str"/>
      <c r="G2542" s="59" t="str"/>
      <c r="H2542" s="64" t="str"/>
      <c r="I2542" s="65" t="str"/>
      <c r="J2542" s="49" t="str"/>
      <c r="K2542" s="41" t="str"/>
      <c r="L2542" s="41" t="str"/>
      <c r="M2542" s="41" t="str"/>
      <c r="N2542" s="41" t="str"/>
      <c r="O2542" s="41" t="str"/>
      <c r="P2542" s="41" t="str"/>
      <c r="Q2542" s="41" t="str"/>
      <c r="R2542" s="41" t="str"/>
      <c r="S2542" s="41" t="str"/>
      <c r="T2542" s="41" t="str"/>
      <c r="U2542" s="41" t="str"/>
      <c r="V2542" s="41" t="str"/>
      <c r="W2542" s="41" t="str"/>
    </row>
    <row r="2543">
      <c r="B2543" s="2" t="n"/>
      <c r="C2543" s="40" t="n"/>
      <c r="D2543" s="52">
        <f t="array" ref="D2543:W2543">IF(All_Students_Scores!C2541:V2541="","",All_Students_Scores!C2541:V2541)</f>
        <v/>
      </c>
      <c r="E2543" s="57" t="str"/>
      <c r="F2543" s="49" t="str"/>
      <c r="G2543" s="59" t="str"/>
      <c r="H2543" s="64" t="str"/>
      <c r="I2543" s="65" t="str"/>
      <c r="J2543" s="49" t="str"/>
      <c r="K2543" s="41" t="str"/>
      <c r="L2543" s="41" t="str"/>
      <c r="M2543" s="41" t="str"/>
      <c r="N2543" s="41" t="str"/>
      <c r="O2543" s="41" t="str"/>
      <c r="P2543" s="41" t="str"/>
      <c r="Q2543" s="41" t="str"/>
      <c r="R2543" s="41" t="str"/>
      <c r="S2543" s="41" t="str"/>
      <c r="T2543" s="41" t="str"/>
      <c r="U2543" s="41" t="str"/>
      <c r="V2543" s="41" t="str"/>
      <c r="W2543" s="41" t="str"/>
    </row>
    <row r="2544">
      <c r="B2544" s="2" t="n"/>
      <c r="C2544" s="40" t="n"/>
      <c r="D2544" s="52">
        <f t="array" ref="D2544:W2544">IF(All_Students_Scores!C2542:V2542="","",All_Students_Scores!C2542:V2542)</f>
        <v/>
      </c>
      <c r="E2544" s="57" t="str"/>
      <c r="F2544" s="49" t="str"/>
      <c r="G2544" s="59" t="str"/>
      <c r="H2544" s="64" t="str"/>
      <c r="I2544" s="65" t="str"/>
      <c r="J2544" s="49" t="str"/>
      <c r="K2544" s="41" t="str"/>
      <c r="L2544" s="41" t="str"/>
      <c r="M2544" s="41" t="str"/>
      <c r="N2544" s="41" t="str"/>
      <c r="O2544" s="41" t="str"/>
      <c r="P2544" s="41" t="str"/>
      <c r="Q2544" s="41" t="str"/>
      <c r="R2544" s="41" t="str"/>
      <c r="S2544" s="41" t="str"/>
      <c r="T2544" s="41" t="str"/>
      <c r="U2544" s="41" t="str"/>
      <c r="V2544" s="41" t="str"/>
      <c r="W2544" s="41" t="str"/>
    </row>
    <row r="2545">
      <c r="B2545" s="2" t="n"/>
      <c r="C2545" s="40" t="n"/>
      <c r="D2545" s="52">
        <f t="array" ref="D2545:W2545">IF(All_Students_Scores!C2543:V2543="","",All_Students_Scores!C2543:V2543)</f>
        <v/>
      </c>
      <c r="E2545" s="57" t="str"/>
      <c r="F2545" s="49" t="str"/>
      <c r="G2545" s="59" t="str"/>
      <c r="H2545" s="64" t="str"/>
      <c r="I2545" s="65" t="str"/>
      <c r="J2545" s="49" t="str"/>
      <c r="K2545" s="41" t="str"/>
      <c r="L2545" s="41" t="str"/>
      <c r="M2545" s="41" t="str"/>
      <c r="N2545" s="41" t="str"/>
      <c r="O2545" s="41" t="str"/>
      <c r="P2545" s="41" t="str"/>
      <c r="Q2545" s="41" t="str"/>
      <c r="R2545" s="41" t="str"/>
      <c r="S2545" s="41" t="str"/>
      <c r="T2545" s="41" t="str"/>
      <c r="U2545" s="41" t="str"/>
      <c r="V2545" s="41" t="str"/>
      <c r="W2545" s="41" t="str"/>
    </row>
    <row r="2546">
      <c r="B2546" s="2" t="n"/>
      <c r="C2546" s="40" t="n"/>
      <c r="D2546" s="52">
        <f t="array" ref="D2546:W2546">IF(All_Students_Scores!C2544:V2544="","",All_Students_Scores!C2544:V2544)</f>
        <v/>
      </c>
      <c r="E2546" s="57" t="str"/>
      <c r="F2546" s="49" t="str"/>
      <c r="G2546" s="59" t="str"/>
      <c r="H2546" s="64" t="str"/>
      <c r="I2546" s="65" t="str"/>
      <c r="J2546" s="49" t="str"/>
      <c r="K2546" s="41" t="str"/>
      <c r="L2546" s="41" t="str"/>
      <c r="M2546" s="41" t="str"/>
      <c r="N2546" s="41" t="str"/>
      <c r="O2546" s="41" t="str"/>
      <c r="P2546" s="41" t="str"/>
      <c r="Q2546" s="41" t="str"/>
      <c r="R2546" s="41" t="str"/>
      <c r="S2546" s="41" t="str"/>
      <c r="T2546" s="41" t="str"/>
      <c r="U2546" s="41" t="str"/>
      <c r="V2546" s="41" t="str"/>
      <c r="W2546" s="41" t="str"/>
    </row>
    <row r="2547">
      <c r="B2547" s="2" t="n"/>
      <c r="C2547" s="40" t="n"/>
      <c r="D2547" s="52">
        <f t="array" ref="D2547:W2547">IF(All_Students_Scores!C2545:V2545="","",All_Students_Scores!C2545:V2545)</f>
        <v/>
      </c>
      <c r="E2547" s="57" t="str"/>
      <c r="F2547" s="49" t="str"/>
      <c r="G2547" s="59" t="str"/>
      <c r="H2547" s="64" t="str"/>
      <c r="I2547" s="65" t="str"/>
      <c r="J2547" s="49" t="str"/>
      <c r="K2547" s="41" t="str"/>
      <c r="L2547" s="41" t="str"/>
      <c r="M2547" s="41" t="str"/>
      <c r="N2547" s="41" t="str"/>
      <c r="O2547" s="41" t="str"/>
      <c r="P2547" s="41" t="str"/>
      <c r="Q2547" s="41" t="str"/>
      <c r="R2547" s="41" t="str"/>
      <c r="S2547" s="41" t="str"/>
      <c r="T2547" s="41" t="str"/>
      <c r="U2547" s="41" t="str"/>
      <c r="V2547" s="41" t="str"/>
      <c r="W2547" s="41" t="str"/>
    </row>
    <row r="2548">
      <c r="B2548" s="2" t="n"/>
      <c r="C2548" s="40" t="n"/>
      <c r="D2548" s="52">
        <f t="array" ref="D2548:W2548">IF(All_Students_Scores!C2546:V2546="","",All_Students_Scores!C2546:V2546)</f>
        <v/>
      </c>
      <c r="E2548" s="57" t="str"/>
      <c r="F2548" s="49" t="str"/>
      <c r="G2548" s="59" t="str"/>
      <c r="H2548" s="64" t="str"/>
      <c r="I2548" s="65" t="str"/>
      <c r="J2548" s="49" t="str"/>
      <c r="K2548" s="41" t="str"/>
      <c r="L2548" s="41" t="str"/>
      <c r="M2548" s="41" t="str"/>
      <c r="N2548" s="41" t="str"/>
      <c r="O2548" s="41" t="str"/>
      <c r="P2548" s="41" t="str"/>
      <c r="Q2548" s="41" t="str"/>
      <c r="R2548" s="41" t="str"/>
      <c r="S2548" s="41" t="str"/>
      <c r="T2548" s="41" t="str"/>
      <c r="U2548" s="41" t="str"/>
      <c r="V2548" s="41" t="str"/>
      <c r="W2548" s="41" t="str"/>
    </row>
    <row r="2549">
      <c r="B2549" s="2" t="n"/>
      <c r="C2549" s="40" t="n"/>
      <c r="D2549" s="52">
        <f t="array" ref="D2549:W2549">IF(All_Students_Scores!C2547:V2547="","",All_Students_Scores!C2547:V2547)</f>
        <v/>
      </c>
      <c r="E2549" s="57" t="str"/>
      <c r="F2549" s="49" t="str"/>
      <c r="G2549" s="59" t="str"/>
      <c r="H2549" s="64" t="str"/>
      <c r="I2549" s="65" t="str"/>
      <c r="J2549" s="49" t="str"/>
      <c r="K2549" s="41" t="str"/>
      <c r="L2549" s="41" t="str"/>
      <c r="M2549" s="41" t="str"/>
      <c r="N2549" s="41" t="str"/>
      <c r="O2549" s="41" t="str"/>
      <c r="P2549" s="41" t="str"/>
      <c r="Q2549" s="41" t="str"/>
      <c r="R2549" s="41" t="str"/>
      <c r="S2549" s="41" t="str"/>
      <c r="T2549" s="41" t="str"/>
      <c r="U2549" s="41" t="str"/>
      <c r="V2549" s="41" t="str"/>
      <c r="W2549" s="41" t="str"/>
    </row>
    <row r="2550">
      <c r="B2550" s="2" t="n"/>
      <c r="C2550" s="40" t="n"/>
      <c r="D2550" s="52">
        <f t="array" ref="D2550:W2550">IF(All_Students_Scores!C2548:V2548="","",All_Students_Scores!C2548:V2548)</f>
        <v/>
      </c>
      <c r="E2550" s="57" t="str"/>
      <c r="F2550" s="49" t="str"/>
      <c r="G2550" s="59" t="str"/>
      <c r="H2550" s="64" t="str"/>
      <c r="I2550" s="65" t="str"/>
      <c r="J2550" s="49" t="str"/>
      <c r="K2550" s="41" t="str"/>
      <c r="L2550" s="41" t="str"/>
      <c r="M2550" s="41" t="str"/>
      <c r="N2550" s="41" t="str"/>
      <c r="O2550" s="41" t="str"/>
      <c r="P2550" s="41" t="str"/>
      <c r="Q2550" s="41" t="str"/>
      <c r="R2550" s="41" t="str"/>
      <c r="S2550" s="41" t="str"/>
      <c r="T2550" s="41" t="str"/>
      <c r="U2550" s="41" t="str"/>
      <c r="V2550" s="41" t="str"/>
      <c r="W2550" s="41" t="str"/>
    </row>
    <row r="2551">
      <c r="B2551" s="2" t="n"/>
      <c r="C2551" s="40" t="n"/>
      <c r="D2551" s="52">
        <f t="array" ref="D2551:W2551">IF(All_Students_Scores!C2549:V2549="","",All_Students_Scores!C2549:V2549)</f>
        <v/>
      </c>
      <c r="E2551" s="57" t="str"/>
      <c r="F2551" s="49" t="str"/>
      <c r="G2551" s="59" t="str"/>
      <c r="H2551" s="64" t="str"/>
      <c r="I2551" s="65" t="str"/>
      <c r="J2551" s="49" t="str"/>
      <c r="K2551" s="41" t="str"/>
      <c r="L2551" s="41" t="str"/>
      <c r="M2551" s="41" t="str"/>
      <c r="N2551" s="41" t="str"/>
      <c r="O2551" s="41" t="str"/>
      <c r="P2551" s="41" t="str"/>
      <c r="Q2551" s="41" t="str"/>
      <c r="R2551" s="41" t="str"/>
      <c r="S2551" s="41" t="str"/>
      <c r="T2551" s="41" t="str"/>
      <c r="U2551" s="41" t="str"/>
      <c r="V2551" s="41" t="str"/>
      <c r="W2551" s="41" t="str"/>
    </row>
    <row r="2552">
      <c r="B2552" s="2" t="n"/>
      <c r="C2552" s="40" t="n"/>
      <c r="D2552" s="52">
        <f t="array" ref="D2552:W2552">IF(All_Students_Scores!C2550:V2550="","",All_Students_Scores!C2550:V2550)</f>
        <v/>
      </c>
      <c r="E2552" s="57" t="str"/>
      <c r="F2552" s="49" t="str"/>
      <c r="G2552" s="59" t="str"/>
      <c r="H2552" s="64" t="str"/>
      <c r="I2552" s="65" t="str"/>
      <c r="J2552" s="49" t="str"/>
      <c r="K2552" s="41" t="str"/>
      <c r="L2552" s="41" t="str"/>
      <c r="M2552" s="41" t="str"/>
      <c r="N2552" s="41" t="str"/>
      <c r="O2552" s="41" t="str"/>
      <c r="P2552" s="41" t="str"/>
      <c r="Q2552" s="41" t="str"/>
      <c r="R2552" s="41" t="str"/>
      <c r="S2552" s="41" t="str"/>
      <c r="T2552" s="41" t="str"/>
      <c r="U2552" s="41" t="str"/>
      <c r="V2552" s="41" t="str"/>
      <c r="W2552" s="41" t="str"/>
    </row>
    <row r="2553">
      <c r="B2553" s="2" t="n"/>
      <c r="C2553" s="40" t="n"/>
      <c r="D2553" s="52">
        <f t="array" ref="D2553:W2553">IF(All_Students_Scores!C2551:V2551="","",All_Students_Scores!C2551:V2551)</f>
        <v/>
      </c>
      <c r="E2553" s="57" t="str"/>
      <c r="F2553" s="49" t="str"/>
      <c r="G2553" s="59" t="str"/>
      <c r="H2553" s="64" t="str"/>
      <c r="I2553" s="65" t="str"/>
      <c r="J2553" s="49" t="str"/>
      <c r="K2553" s="41" t="str"/>
      <c r="L2553" s="41" t="str"/>
      <c r="M2553" s="41" t="str"/>
      <c r="N2553" s="41" t="str"/>
      <c r="O2553" s="41" t="str"/>
      <c r="P2553" s="41" t="str"/>
      <c r="Q2553" s="41" t="str"/>
      <c r="R2553" s="41" t="str"/>
      <c r="S2553" s="41" t="str"/>
      <c r="T2553" s="41" t="str"/>
      <c r="U2553" s="41" t="str"/>
      <c r="V2553" s="41" t="str"/>
      <c r="W2553" s="41" t="str"/>
    </row>
    <row r="2554">
      <c r="B2554" s="2" t="n"/>
      <c r="C2554" s="40" t="n"/>
      <c r="D2554" s="52">
        <f t="array" ref="D2554:W2554">IF(All_Students_Scores!C2552:V2552="","",All_Students_Scores!C2552:V2552)</f>
        <v/>
      </c>
      <c r="E2554" s="57" t="str"/>
      <c r="F2554" s="49" t="str"/>
      <c r="G2554" s="59" t="str"/>
      <c r="H2554" s="64" t="str"/>
      <c r="I2554" s="65" t="str"/>
      <c r="J2554" s="49" t="str"/>
      <c r="K2554" s="41" t="str"/>
      <c r="L2554" s="41" t="str"/>
      <c r="M2554" s="41" t="str"/>
      <c r="N2554" s="41" t="str"/>
      <c r="O2554" s="41" t="str"/>
      <c r="P2554" s="41" t="str"/>
      <c r="Q2554" s="41" t="str"/>
      <c r="R2554" s="41" t="str"/>
      <c r="S2554" s="41" t="str"/>
      <c r="T2554" s="41" t="str"/>
      <c r="U2554" s="41" t="str"/>
      <c r="V2554" s="41" t="str"/>
      <c r="W2554" s="41" t="str"/>
    </row>
    <row r="2555">
      <c r="B2555" s="2" t="n"/>
      <c r="C2555" s="40" t="n"/>
      <c r="D2555" s="52">
        <f t="array" ref="D2555:W2555">IF(All_Students_Scores!C2553:V2553="","",All_Students_Scores!C2553:V2553)</f>
        <v/>
      </c>
      <c r="E2555" s="57" t="str"/>
      <c r="F2555" s="49" t="str"/>
      <c r="G2555" s="59" t="str"/>
      <c r="H2555" s="64" t="str"/>
      <c r="I2555" s="65" t="str"/>
      <c r="J2555" s="49" t="str"/>
      <c r="K2555" s="41" t="str"/>
      <c r="L2555" s="41" t="str"/>
      <c r="M2555" s="41" t="str"/>
      <c r="N2555" s="41" t="str"/>
      <c r="O2555" s="41" t="str"/>
      <c r="P2555" s="41" t="str"/>
      <c r="Q2555" s="41" t="str"/>
      <c r="R2555" s="41" t="str"/>
      <c r="S2555" s="41" t="str"/>
      <c r="T2555" s="41" t="str"/>
      <c r="U2555" s="41" t="str"/>
      <c r="V2555" s="41" t="str"/>
      <c r="W2555" s="41" t="str"/>
    </row>
    <row r="2556">
      <c r="B2556" s="2" t="n"/>
      <c r="C2556" s="40" t="n"/>
      <c r="D2556" s="52">
        <f t="array" ref="D2556:W2556">IF(All_Students_Scores!C2554:V2554="","",All_Students_Scores!C2554:V2554)</f>
        <v/>
      </c>
      <c r="E2556" s="57" t="str"/>
      <c r="F2556" s="49" t="str"/>
      <c r="G2556" s="59" t="str"/>
      <c r="H2556" s="64" t="str"/>
      <c r="I2556" s="65" t="str"/>
      <c r="J2556" s="49" t="str"/>
      <c r="K2556" s="41" t="str"/>
      <c r="L2556" s="41" t="str"/>
      <c r="M2556" s="41" t="str"/>
      <c r="N2556" s="41" t="str"/>
      <c r="O2556" s="41" t="str"/>
      <c r="P2556" s="41" t="str"/>
      <c r="Q2556" s="41" t="str"/>
      <c r="R2556" s="41" t="str"/>
      <c r="S2556" s="41" t="str"/>
      <c r="T2556" s="41" t="str"/>
      <c r="U2556" s="41" t="str"/>
      <c r="V2556" s="41" t="str"/>
      <c r="W2556" s="41" t="str"/>
    </row>
    <row r="2557">
      <c r="B2557" s="2" t="n"/>
      <c r="C2557" s="40" t="n"/>
      <c r="D2557" s="52">
        <f t="array" ref="D2557:W2557">IF(All_Students_Scores!C2555:V2555="","",All_Students_Scores!C2555:V2555)</f>
        <v/>
      </c>
      <c r="E2557" s="57" t="str"/>
      <c r="F2557" s="49" t="str"/>
      <c r="G2557" s="59" t="str"/>
      <c r="H2557" s="64" t="str"/>
      <c r="I2557" s="65" t="str"/>
      <c r="J2557" s="49" t="str"/>
      <c r="K2557" s="41" t="str"/>
      <c r="L2557" s="41" t="str"/>
      <c r="M2557" s="41" t="str"/>
      <c r="N2557" s="41" t="str"/>
      <c r="O2557" s="41" t="str"/>
      <c r="P2557" s="41" t="str"/>
      <c r="Q2557" s="41" t="str"/>
      <c r="R2557" s="41" t="str"/>
      <c r="S2557" s="41" t="str"/>
      <c r="T2557" s="41" t="str"/>
      <c r="U2557" s="41" t="str"/>
      <c r="V2557" s="41" t="str"/>
      <c r="W2557" s="41" t="str"/>
    </row>
    <row r="2558">
      <c r="B2558" s="2" t="n"/>
      <c r="C2558" s="40" t="n"/>
      <c r="D2558" s="52">
        <f t="array" ref="D2558:W2558">IF(All_Students_Scores!C2556:V2556="","",All_Students_Scores!C2556:V2556)</f>
        <v/>
      </c>
      <c r="E2558" s="57" t="str"/>
      <c r="F2558" s="49" t="str"/>
      <c r="G2558" s="59" t="str"/>
      <c r="H2558" s="64" t="str"/>
      <c r="I2558" s="65" t="str"/>
      <c r="J2558" s="49" t="str"/>
      <c r="K2558" s="41" t="str"/>
      <c r="L2558" s="41" t="str"/>
      <c r="M2558" s="41" t="str"/>
      <c r="N2558" s="41" t="str"/>
      <c r="O2558" s="41" t="str"/>
      <c r="P2558" s="41" t="str"/>
      <c r="Q2558" s="41" t="str"/>
      <c r="R2558" s="41" t="str"/>
      <c r="S2558" s="41" t="str"/>
      <c r="T2558" s="41" t="str"/>
      <c r="U2558" s="41" t="str"/>
      <c r="V2558" s="41" t="str"/>
      <c r="W2558" s="41" t="str"/>
    </row>
    <row r="2559">
      <c r="B2559" s="2" t="n"/>
      <c r="C2559" s="40" t="n"/>
      <c r="D2559" s="52">
        <f t="array" ref="D2559:W2559">IF(All_Students_Scores!C2557:V2557="","",All_Students_Scores!C2557:V2557)</f>
        <v/>
      </c>
      <c r="E2559" s="57" t="str"/>
      <c r="F2559" s="49" t="str"/>
      <c r="G2559" s="59" t="str"/>
      <c r="H2559" s="64" t="str"/>
      <c r="I2559" s="65" t="str"/>
      <c r="J2559" s="49" t="str"/>
      <c r="K2559" s="41" t="str"/>
      <c r="L2559" s="41" t="str"/>
      <c r="M2559" s="41" t="str"/>
      <c r="N2559" s="41" t="str"/>
      <c r="O2559" s="41" t="str"/>
      <c r="P2559" s="41" t="str"/>
      <c r="Q2559" s="41" t="str"/>
      <c r="R2559" s="41" t="str"/>
      <c r="S2559" s="41" t="str"/>
      <c r="T2559" s="41" t="str"/>
      <c r="U2559" s="41" t="str"/>
      <c r="V2559" s="41" t="str"/>
      <c r="W2559" s="41" t="str"/>
    </row>
    <row r="2560">
      <c r="B2560" s="2" t="n"/>
      <c r="C2560" s="40" t="n"/>
      <c r="D2560" s="52">
        <f t="array" ref="D2560:W2560">IF(All_Students_Scores!C2558:V2558="","",All_Students_Scores!C2558:V2558)</f>
        <v/>
      </c>
      <c r="E2560" s="57" t="str"/>
      <c r="F2560" s="49" t="str"/>
      <c r="G2560" s="59" t="str"/>
      <c r="H2560" s="64" t="str"/>
      <c r="I2560" s="65" t="str"/>
      <c r="J2560" s="49" t="str"/>
      <c r="K2560" s="41" t="str"/>
      <c r="L2560" s="41" t="str"/>
      <c r="M2560" s="41" t="str"/>
      <c r="N2560" s="41" t="str"/>
      <c r="O2560" s="41" t="str"/>
      <c r="P2560" s="41" t="str"/>
      <c r="Q2560" s="41" t="str"/>
      <c r="R2560" s="41" t="str"/>
      <c r="S2560" s="41" t="str"/>
      <c r="T2560" s="41" t="str"/>
      <c r="U2560" s="41" t="str"/>
      <c r="V2560" s="41" t="str"/>
      <c r="W2560" s="41" t="str"/>
    </row>
    <row r="2561">
      <c r="B2561" s="2" t="n"/>
      <c r="C2561" s="40" t="n"/>
      <c r="D2561" s="52">
        <f t="array" ref="D2561:W2561">IF(All_Students_Scores!C2559:V2559="","",All_Students_Scores!C2559:V2559)</f>
        <v/>
      </c>
      <c r="E2561" s="57" t="str"/>
      <c r="F2561" s="49" t="str"/>
      <c r="G2561" s="59" t="str"/>
      <c r="H2561" s="64" t="str"/>
      <c r="I2561" s="65" t="str"/>
      <c r="J2561" s="49" t="str"/>
      <c r="K2561" s="41" t="str"/>
      <c r="L2561" s="41" t="str"/>
      <c r="M2561" s="41" t="str"/>
      <c r="N2561" s="41" t="str"/>
      <c r="O2561" s="41" t="str"/>
      <c r="P2561" s="41" t="str"/>
      <c r="Q2561" s="41" t="str"/>
      <c r="R2561" s="41" t="str"/>
      <c r="S2561" s="41" t="str"/>
      <c r="T2561" s="41" t="str"/>
      <c r="U2561" s="41" t="str"/>
      <c r="V2561" s="41" t="str"/>
      <c r="W2561" s="41" t="str"/>
    </row>
    <row r="2562">
      <c r="B2562" s="2" t="n"/>
      <c r="C2562" s="40" t="n"/>
      <c r="D2562" s="52">
        <f t="array" ref="D2562:W2562">IF(All_Students_Scores!C2560:V2560="","",All_Students_Scores!C2560:V2560)</f>
        <v/>
      </c>
      <c r="E2562" s="57" t="str"/>
      <c r="F2562" s="49" t="str"/>
      <c r="G2562" s="59" t="str"/>
      <c r="H2562" s="64" t="str"/>
      <c r="I2562" s="65" t="str"/>
      <c r="J2562" s="49" t="str"/>
      <c r="K2562" s="41" t="str"/>
      <c r="L2562" s="41" t="str"/>
      <c r="M2562" s="41" t="str"/>
      <c r="N2562" s="41" t="str"/>
      <c r="O2562" s="41" t="str"/>
      <c r="P2562" s="41" t="str"/>
      <c r="Q2562" s="41" t="str"/>
      <c r="R2562" s="41" t="str"/>
      <c r="S2562" s="41" t="str"/>
      <c r="T2562" s="41" t="str"/>
      <c r="U2562" s="41" t="str"/>
      <c r="V2562" s="41" t="str"/>
      <c r="W2562" s="41" t="str"/>
    </row>
    <row r="2563">
      <c r="B2563" s="2" t="n"/>
      <c r="C2563" s="40" t="n"/>
      <c r="D2563" s="52">
        <f t="array" ref="D2563:W2563">IF(All_Students_Scores!C2561:V2561="","",All_Students_Scores!C2561:V2561)</f>
        <v/>
      </c>
      <c r="E2563" s="57" t="str"/>
      <c r="F2563" s="49" t="str"/>
      <c r="G2563" s="59" t="str"/>
      <c r="H2563" s="64" t="str"/>
      <c r="I2563" s="65" t="str"/>
      <c r="J2563" s="49" t="str"/>
      <c r="K2563" s="41" t="str"/>
      <c r="L2563" s="41" t="str"/>
      <c r="M2563" s="41" t="str"/>
      <c r="N2563" s="41" t="str"/>
      <c r="O2563" s="41" t="str"/>
      <c r="P2563" s="41" t="str"/>
      <c r="Q2563" s="41" t="str"/>
      <c r="R2563" s="41" t="str"/>
      <c r="S2563" s="41" t="str"/>
      <c r="T2563" s="41" t="str"/>
      <c r="U2563" s="41" t="str"/>
      <c r="V2563" s="41" t="str"/>
      <c r="W2563" s="41" t="str"/>
    </row>
    <row r="2564">
      <c r="B2564" s="2" t="n"/>
      <c r="C2564" s="40" t="n"/>
      <c r="D2564" s="52">
        <f t="array" ref="D2564:W2564">IF(All_Students_Scores!C2562:V2562="","",All_Students_Scores!C2562:V2562)</f>
        <v/>
      </c>
      <c r="E2564" s="57" t="str"/>
      <c r="F2564" s="49" t="str"/>
      <c r="G2564" s="59" t="str"/>
      <c r="H2564" s="64" t="str"/>
      <c r="I2564" s="65" t="str"/>
      <c r="J2564" s="49" t="str"/>
      <c r="K2564" s="41" t="str"/>
      <c r="L2564" s="41" t="str"/>
      <c r="M2564" s="41" t="str"/>
      <c r="N2564" s="41" t="str"/>
      <c r="O2564" s="41" t="str"/>
      <c r="P2564" s="41" t="str"/>
      <c r="Q2564" s="41" t="str"/>
      <c r="R2564" s="41" t="str"/>
      <c r="S2564" s="41" t="str"/>
      <c r="T2564" s="41" t="str"/>
      <c r="U2564" s="41" t="str"/>
      <c r="V2564" s="41" t="str"/>
      <c r="W2564" s="41" t="str"/>
    </row>
    <row r="2565">
      <c r="B2565" s="2" t="n"/>
      <c r="C2565" s="40" t="n"/>
      <c r="D2565" s="52">
        <f t="array" ref="D2565:W2565">IF(All_Students_Scores!C2563:V2563="","",All_Students_Scores!C2563:V2563)</f>
        <v/>
      </c>
      <c r="E2565" s="57" t="str"/>
      <c r="F2565" s="49" t="str"/>
      <c r="G2565" s="59" t="str"/>
      <c r="H2565" s="64" t="str"/>
      <c r="I2565" s="65" t="str"/>
      <c r="J2565" s="49" t="str"/>
      <c r="K2565" s="41" t="str"/>
      <c r="L2565" s="41" t="str"/>
      <c r="M2565" s="41" t="str"/>
      <c r="N2565" s="41" t="str"/>
      <c r="O2565" s="41" t="str"/>
      <c r="P2565" s="41" t="str"/>
      <c r="Q2565" s="41" t="str"/>
      <c r="R2565" s="41" t="str"/>
      <c r="S2565" s="41" t="str"/>
      <c r="T2565" s="41" t="str"/>
      <c r="U2565" s="41" t="str"/>
      <c r="V2565" s="41" t="str"/>
      <c r="W2565" s="41" t="str"/>
    </row>
    <row r="2566">
      <c r="B2566" s="2" t="n"/>
      <c r="C2566" s="40" t="n"/>
      <c r="D2566" s="52">
        <f t="array" ref="D2566:W2566">IF(All_Students_Scores!C2564:V2564="","",All_Students_Scores!C2564:V2564)</f>
        <v/>
      </c>
      <c r="E2566" s="57" t="str"/>
      <c r="F2566" s="49" t="str"/>
      <c r="G2566" s="59" t="str"/>
      <c r="H2566" s="64" t="str"/>
      <c r="I2566" s="65" t="str"/>
      <c r="J2566" s="49" t="str"/>
      <c r="K2566" s="41" t="str"/>
      <c r="L2566" s="41" t="str"/>
      <c r="M2566" s="41" t="str"/>
      <c r="N2566" s="41" t="str"/>
      <c r="O2566" s="41" t="str"/>
      <c r="P2566" s="41" t="str"/>
      <c r="Q2566" s="41" t="str"/>
      <c r="R2566" s="41" t="str"/>
      <c r="S2566" s="41" t="str"/>
      <c r="T2566" s="41" t="str"/>
      <c r="U2566" s="41" t="str"/>
      <c r="V2566" s="41" t="str"/>
      <c r="W2566" s="41" t="str"/>
    </row>
    <row r="2567">
      <c r="B2567" s="2" t="n"/>
      <c r="C2567" s="40" t="n"/>
      <c r="D2567" s="52">
        <f t="array" ref="D2567:W2567">IF(All_Students_Scores!C2565:V2565="","",All_Students_Scores!C2565:V2565)</f>
        <v/>
      </c>
      <c r="E2567" s="57" t="str"/>
      <c r="F2567" s="49" t="str"/>
      <c r="G2567" s="59" t="str"/>
      <c r="H2567" s="64" t="str"/>
      <c r="I2567" s="65" t="str"/>
      <c r="J2567" s="49" t="str"/>
      <c r="K2567" s="41" t="str"/>
      <c r="L2567" s="41" t="str"/>
      <c r="M2567" s="41" t="str"/>
      <c r="N2567" s="41" t="str"/>
      <c r="O2567" s="41" t="str"/>
      <c r="P2567" s="41" t="str"/>
      <c r="Q2567" s="41" t="str"/>
      <c r="R2567" s="41" t="str"/>
      <c r="S2567" s="41" t="str"/>
      <c r="T2567" s="41" t="str"/>
      <c r="U2567" s="41" t="str"/>
      <c r="V2567" s="41" t="str"/>
      <c r="W2567" s="41" t="str"/>
    </row>
    <row r="2568">
      <c r="B2568" s="2" t="n"/>
      <c r="C2568" s="40" t="n"/>
      <c r="D2568" s="52">
        <f t="array" ref="D2568:W2568">IF(All_Students_Scores!C2566:V2566="","",All_Students_Scores!C2566:V2566)</f>
        <v/>
      </c>
      <c r="E2568" s="57" t="str"/>
      <c r="F2568" s="49" t="str"/>
      <c r="G2568" s="59" t="str"/>
      <c r="H2568" s="64" t="str"/>
      <c r="I2568" s="65" t="str"/>
      <c r="J2568" s="49" t="str"/>
      <c r="K2568" s="41" t="str"/>
      <c r="L2568" s="41" t="str"/>
      <c r="M2568" s="41" t="str"/>
      <c r="N2568" s="41" t="str"/>
      <c r="O2568" s="41" t="str"/>
      <c r="P2568" s="41" t="str"/>
      <c r="Q2568" s="41" t="str"/>
      <c r="R2568" s="41" t="str"/>
      <c r="S2568" s="41" t="str"/>
      <c r="T2568" s="41" t="str"/>
      <c r="U2568" s="41" t="str"/>
      <c r="V2568" s="41" t="str"/>
      <c r="W2568" s="41" t="str"/>
    </row>
    <row r="2569">
      <c r="B2569" s="2" t="n"/>
      <c r="C2569" s="40" t="n"/>
      <c r="D2569" s="52">
        <f t="array" ref="D2569:W2569">IF(All_Students_Scores!C2567:V2567="","",All_Students_Scores!C2567:V2567)</f>
        <v/>
      </c>
      <c r="E2569" s="57" t="str"/>
      <c r="F2569" s="49" t="str"/>
      <c r="G2569" s="59" t="str"/>
      <c r="H2569" s="64" t="str"/>
      <c r="I2569" s="65" t="str"/>
      <c r="J2569" s="49" t="str"/>
      <c r="K2569" s="41" t="str"/>
      <c r="L2569" s="41" t="str"/>
      <c r="M2569" s="41" t="str"/>
      <c r="N2569" s="41" t="str"/>
      <c r="O2569" s="41" t="str"/>
      <c r="P2569" s="41" t="str"/>
      <c r="Q2569" s="41" t="str"/>
      <c r="R2569" s="41" t="str"/>
      <c r="S2569" s="41" t="str"/>
      <c r="T2569" s="41" t="str"/>
      <c r="U2569" s="41" t="str"/>
      <c r="V2569" s="41" t="str"/>
      <c r="W2569" s="41" t="str"/>
    </row>
    <row r="2570">
      <c r="B2570" s="2" t="n"/>
      <c r="C2570" s="40" t="n"/>
      <c r="D2570" s="52">
        <f t="array" ref="D2570:W2570">IF(All_Students_Scores!C2568:V2568="","",All_Students_Scores!C2568:V2568)</f>
        <v/>
      </c>
      <c r="E2570" s="57" t="str"/>
      <c r="F2570" s="49" t="str"/>
      <c r="G2570" s="59" t="str"/>
      <c r="H2570" s="64" t="str"/>
      <c r="I2570" s="65" t="str"/>
      <c r="J2570" s="49" t="str"/>
      <c r="K2570" s="41" t="str"/>
      <c r="L2570" s="41" t="str"/>
      <c r="M2570" s="41" t="str"/>
      <c r="N2570" s="41" t="str"/>
      <c r="O2570" s="41" t="str"/>
      <c r="P2570" s="41" t="str"/>
      <c r="Q2570" s="41" t="str"/>
      <c r="R2570" s="41" t="str"/>
      <c r="S2570" s="41" t="str"/>
      <c r="T2570" s="41" t="str"/>
      <c r="U2570" s="41" t="str"/>
      <c r="V2570" s="41" t="str"/>
      <c r="W2570" s="41" t="str"/>
    </row>
    <row r="2571">
      <c r="B2571" s="2" t="n"/>
      <c r="C2571" s="40" t="n"/>
      <c r="D2571" s="52">
        <f t="array" ref="D2571:W2571">IF(All_Students_Scores!C2569:V2569="","",All_Students_Scores!C2569:V2569)</f>
        <v/>
      </c>
      <c r="E2571" s="57" t="str"/>
      <c r="F2571" s="49" t="str"/>
      <c r="G2571" s="59" t="str"/>
      <c r="H2571" s="64" t="str"/>
      <c r="I2571" s="65" t="str"/>
      <c r="J2571" s="49" t="str"/>
      <c r="K2571" s="41" t="str"/>
      <c r="L2571" s="41" t="str"/>
      <c r="M2571" s="41" t="str"/>
      <c r="N2571" s="41" t="str"/>
      <c r="O2571" s="41" t="str"/>
      <c r="P2571" s="41" t="str"/>
      <c r="Q2571" s="41" t="str"/>
      <c r="R2571" s="41" t="str"/>
      <c r="S2571" s="41" t="str"/>
      <c r="T2571" s="41" t="str"/>
      <c r="U2571" s="41" t="str"/>
      <c r="V2571" s="41" t="str"/>
      <c r="W2571" s="41" t="str"/>
    </row>
    <row r="2572">
      <c r="B2572" s="2" t="n"/>
      <c r="C2572" s="40" t="n"/>
      <c r="D2572" s="52">
        <f t="array" ref="D2572:W2572">IF(All_Students_Scores!C2570:V2570="","",All_Students_Scores!C2570:V2570)</f>
        <v/>
      </c>
      <c r="E2572" s="57" t="str"/>
      <c r="F2572" s="49" t="str"/>
      <c r="G2572" s="59" t="str"/>
      <c r="H2572" s="64" t="str"/>
      <c r="I2572" s="65" t="str"/>
      <c r="J2572" s="49" t="str"/>
      <c r="K2572" s="41" t="str"/>
      <c r="L2572" s="41" t="str"/>
      <c r="M2572" s="41" t="str"/>
      <c r="N2572" s="41" t="str"/>
      <c r="O2572" s="41" t="str"/>
      <c r="P2572" s="41" t="str"/>
      <c r="Q2572" s="41" t="str"/>
      <c r="R2572" s="41" t="str"/>
      <c r="S2572" s="41" t="str"/>
      <c r="T2572" s="41" t="str"/>
      <c r="U2572" s="41" t="str"/>
      <c r="V2572" s="41" t="str"/>
      <c r="W2572" s="41" t="str"/>
    </row>
    <row r="2573">
      <c r="B2573" s="2" t="n"/>
      <c r="C2573" s="40" t="n"/>
      <c r="D2573" s="52">
        <f t="array" ref="D2573:W2573">IF(All_Students_Scores!C2571:V2571="","",All_Students_Scores!C2571:V2571)</f>
        <v/>
      </c>
      <c r="E2573" s="57" t="str"/>
      <c r="F2573" s="49" t="str"/>
      <c r="G2573" s="59" t="str"/>
      <c r="H2573" s="64" t="str"/>
      <c r="I2573" s="65" t="str"/>
      <c r="J2573" s="49" t="str"/>
      <c r="K2573" s="41" t="str"/>
      <c r="L2573" s="41" t="str"/>
      <c r="M2573" s="41" t="str"/>
      <c r="N2573" s="41" t="str"/>
      <c r="O2573" s="41" t="str"/>
      <c r="P2573" s="41" t="str"/>
      <c r="Q2573" s="41" t="str"/>
      <c r="R2573" s="41" t="str"/>
      <c r="S2573" s="41" t="str"/>
      <c r="T2573" s="41" t="str"/>
      <c r="U2573" s="41" t="str"/>
      <c r="V2573" s="41" t="str"/>
      <c r="W2573" s="41" t="str"/>
    </row>
    <row r="2574">
      <c r="B2574" s="2" t="n"/>
      <c r="C2574" s="40" t="n"/>
      <c r="D2574" s="52">
        <f t="array" ref="D2574:W2574">IF(All_Students_Scores!C2572:V2572="","",All_Students_Scores!C2572:V2572)</f>
        <v/>
      </c>
      <c r="E2574" s="57" t="str"/>
      <c r="F2574" s="49" t="str"/>
      <c r="G2574" s="59" t="str"/>
      <c r="H2574" s="64" t="str"/>
      <c r="I2574" s="65" t="str"/>
      <c r="J2574" s="49" t="str"/>
      <c r="K2574" s="41" t="str"/>
      <c r="L2574" s="41" t="str"/>
      <c r="M2574" s="41" t="str"/>
      <c r="N2574" s="41" t="str"/>
      <c r="O2574" s="41" t="str"/>
      <c r="P2574" s="41" t="str"/>
      <c r="Q2574" s="41" t="str"/>
      <c r="R2574" s="41" t="str"/>
      <c r="S2574" s="41" t="str"/>
      <c r="T2574" s="41" t="str"/>
      <c r="U2574" s="41" t="str"/>
      <c r="V2574" s="41" t="str"/>
      <c r="W2574" s="41" t="str"/>
    </row>
    <row r="2575">
      <c r="B2575" s="2" t="n"/>
      <c r="C2575" s="40" t="n"/>
      <c r="D2575" s="52">
        <f t="array" ref="D2575:W2575">IF(All_Students_Scores!C2573:V2573="","",All_Students_Scores!C2573:V2573)</f>
        <v/>
      </c>
      <c r="E2575" s="57" t="str"/>
      <c r="F2575" s="49" t="str"/>
      <c r="G2575" s="59" t="str"/>
      <c r="H2575" s="64" t="str"/>
      <c r="I2575" s="65" t="str"/>
      <c r="J2575" s="49" t="str"/>
      <c r="K2575" s="41" t="str"/>
      <c r="L2575" s="41" t="str"/>
      <c r="M2575" s="41" t="str"/>
      <c r="N2575" s="41" t="str"/>
      <c r="O2575" s="41" t="str"/>
      <c r="P2575" s="41" t="str"/>
      <c r="Q2575" s="41" t="str"/>
      <c r="R2575" s="41" t="str"/>
      <c r="S2575" s="41" t="str"/>
      <c r="T2575" s="41" t="str"/>
      <c r="U2575" s="41" t="str"/>
      <c r="V2575" s="41" t="str"/>
      <c r="W2575" s="41" t="str"/>
    </row>
    <row r="2576">
      <c r="B2576" s="2" t="n"/>
      <c r="C2576" s="40" t="n"/>
      <c r="D2576" s="52">
        <f t="array" ref="D2576:W2576">IF(All_Students_Scores!C2574:V2574="","",All_Students_Scores!C2574:V2574)</f>
        <v/>
      </c>
      <c r="E2576" s="57" t="str"/>
      <c r="F2576" s="49" t="str"/>
      <c r="G2576" s="59" t="str"/>
      <c r="H2576" s="64" t="str"/>
      <c r="I2576" s="65" t="str"/>
      <c r="J2576" s="49" t="str"/>
      <c r="K2576" s="41" t="str"/>
      <c r="L2576" s="41" t="str"/>
      <c r="M2576" s="41" t="str"/>
      <c r="N2576" s="41" t="str"/>
      <c r="O2576" s="41" t="str"/>
      <c r="P2576" s="41" t="str"/>
      <c r="Q2576" s="41" t="str"/>
      <c r="R2576" s="41" t="str"/>
      <c r="S2576" s="41" t="str"/>
      <c r="T2576" s="41" t="str"/>
      <c r="U2576" s="41" t="str"/>
      <c r="V2576" s="41" t="str"/>
      <c r="W2576" s="41" t="str"/>
    </row>
    <row r="2577">
      <c r="B2577" s="2" t="n"/>
      <c r="C2577" s="40" t="n"/>
      <c r="D2577" s="52">
        <f t="array" ref="D2577:W2577">IF(All_Students_Scores!C2575:V2575="","",All_Students_Scores!C2575:V2575)</f>
        <v/>
      </c>
      <c r="E2577" s="57" t="str"/>
      <c r="F2577" s="49" t="str"/>
      <c r="G2577" s="59" t="str"/>
      <c r="H2577" s="64" t="str"/>
      <c r="I2577" s="65" t="str"/>
      <c r="J2577" s="49" t="str"/>
      <c r="K2577" s="41" t="str"/>
      <c r="L2577" s="41" t="str"/>
      <c r="M2577" s="41" t="str"/>
      <c r="N2577" s="41" t="str"/>
      <c r="O2577" s="41" t="str"/>
      <c r="P2577" s="41" t="str"/>
      <c r="Q2577" s="41" t="str"/>
      <c r="R2577" s="41" t="str"/>
      <c r="S2577" s="41" t="str"/>
      <c r="T2577" s="41" t="str"/>
      <c r="U2577" s="41" t="str"/>
      <c r="V2577" s="41" t="str"/>
      <c r="W2577" s="41" t="str"/>
    </row>
    <row r="2578">
      <c r="B2578" s="2" t="n"/>
      <c r="C2578" s="40" t="n"/>
      <c r="D2578" s="52">
        <f t="array" ref="D2578:W2578">IF(All_Students_Scores!C2576:V2576="","",All_Students_Scores!C2576:V2576)</f>
        <v/>
      </c>
      <c r="E2578" s="57" t="str"/>
      <c r="F2578" s="49" t="str"/>
      <c r="G2578" s="59" t="str"/>
      <c r="H2578" s="64" t="str"/>
      <c r="I2578" s="65" t="str"/>
      <c r="J2578" s="49" t="str"/>
      <c r="K2578" s="41" t="str"/>
      <c r="L2578" s="41" t="str"/>
      <c r="M2578" s="41" t="str"/>
      <c r="N2578" s="41" t="str"/>
      <c r="O2578" s="41" t="str"/>
      <c r="P2578" s="41" t="str"/>
      <c r="Q2578" s="41" t="str"/>
      <c r="R2578" s="41" t="str"/>
      <c r="S2578" s="41" t="str"/>
      <c r="T2578" s="41" t="str"/>
      <c r="U2578" s="41" t="str"/>
      <c r="V2578" s="41" t="str"/>
      <c r="W2578" s="41" t="str"/>
    </row>
    <row r="2579">
      <c r="B2579" s="2" t="n"/>
      <c r="C2579" s="40" t="n"/>
      <c r="D2579" s="52">
        <f t="array" ref="D2579:W2579">IF(All_Students_Scores!C2577:V2577="","",All_Students_Scores!C2577:V2577)</f>
        <v/>
      </c>
      <c r="E2579" s="57" t="str"/>
      <c r="F2579" s="49" t="str"/>
      <c r="G2579" s="59" t="str"/>
      <c r="H2579" s="64" t="str"/>
      <c r="I2579" s="65" t="str"/>
      <c r="J2579" s="49" t="str"/>
      <c r="K2579" s="41" t="str"/>
      <c r="L2579" s="41" t="str"/>
      <c r="M2579" s="41" t="str"/>
      <c r="N2579" s="41" t="str"/>
      <c r="O2579" s="41" t="str"/>
      <c r="P2579" s="41" t="str"/>
      <c r="Q2579" s="41" t="str"/>
      <c r="R2579" s="41" t="str"/>
      <c r="S2579" s="41" t="str"/>
      <c r="T2579" s="41" t="str"/>
      <c r="U2579" s="41" t="str"/>
      <c r="V2579" s="41" t="str"/>
      <c r="W2579" s="41" t="str"/>
    </row>
    <row r="2580">
      <c r="B2580" s="2" t="n"/>
      <c r="C2580" s="40" t="n"/>
      <c r="D2580" s="52">
        <f t="array" ref="D2580:W2580">IF(All_Students_Scores!C2578:V2578="","",All_Students_Scores!C2578:V2578)</f>
        <v/>
      </c>
      <c r="E2580" s="57" t="str"/>
      <c r="F2580" s="49" t="str"/>
      <c r="G2580" s="59" t="str"/>
      <c r="H2580" s="64" t="str"/>
      <c r="I2580" s="65" t="str"/>
      <c r="J2580" s="49" t="str"/>
      <c r="K2580" s="41" t="str"/>
      <c r="L2580" s="41" t="str"/>
      <c r="M2580" s="41" t="str"/>
      <c r="N2580" s="41" t="str"/>
      <c r="O2580" s="41" t="str"/>
      <c r="P2580" s="41" t="str"/>
      <c r="Q2580" s="41" t="str"/>
      <c r="R2580" s="41" t="str"/>
      <c r="S2580" s="41" t="str"/>
      <c r="T2580" s="41" t="str"/>
      <c r="U2580" s="41" t="str"/>
      <c r="V2580" s="41" t="str"/>
      <c r="W2580" s="41" t="str"/>
    </row>
    <row r="2581">
      <c r="B2581" s="2" t="n"/>
      <c r="C2581" s="40" t="n"/>
      <c r="D2581" s="52">
        <f t="array" ref="D2581:W2581">IF(All_Students_Scores!C2579:V2579="","",All_Students_Scores!C2579:V2579)</f>
        <v/>
      </c>
      <c r="E2581" s="57" t="str"/>
      <c r="F2581" s="49" t="str"/>
      <c r="G2581" s="59" t="str"/>
      <c r="H2581" s="64" t="str"/>
      <c r="I2581" s="65" t="str"/>
      <c r="J2581" s="49" t="str"/>
      <c r="K2581" s="41" t="str"/>
      <c r="L2581" s="41" t="str"/>
      <c r="M2581" s="41" t="str"/>
      <c r="N2581" s="41" t="str"/>
      <c r="O2581" s="41" t="str"/>
      <c r="P2581" s="41" t="str"/>
      <c r="Q2581" s="41" t="str"/>
      <c r="R2581" s="41" t="str"/>
      <c r="S2581" s="41" t="str"/>
      <c r="T2581" s="41" t="str"/>
      <c r="U2581" s="41" t="str"/>
      <c r="V2581" s="41" t="str"/>
      <c r="W2581" s="41" t="str"/>
    </row>
    <row r="2582">
      <c r="B2582" s="2" t="n"/>
      <c r="C2582" s="40" t="n"/>
      <c r="D2582" s="52">
        <f t="array" ref="D2582:W2582">IF(All_Students_Scores!C2580:V2580="","",All_Students_Scores!C2580:V2580)</f>
        <v/>
      </c>
      <c r="E2582" s="57" t="str"/>
      <c r="F2582" s="49" t="str"/>
      <c r="G2582" s="59" t="str"/>
      <c r="H2582" s="64" t="str"/>
      <c r="I2582" s="65" t="str"/>
      <c r="J2582" s="49" t="str"/>
      <c r="K2582" s="41" t="str"/>
      <c r="L2582" s="41" t="str"/>
      <c r="M2582" s="41" t="str"/>
      <c r="N2582" s="41" t="str"/>
      <c r="O2582" s="41" t="str"/>
      <c r="P2582" s="41" t="str"/>
      <c r="Q2582" s="41" t="str"/>
      <c r="R2582" s="41" t="str"/>
      <c r="S2582" s="41" t="str"/>
      <c r="T2582" s="41" t="str"/>
      <c r="U2582" s="41" t="str"/>
      <c r="V2582" s="41" t="str"/>
      <c r="W2582" s="41" t="str"/>
    </row>
    <row r="2583">
      <c r="B2583" s="2" t="n"/>
      <c r="C2583" s="40" t="n"/>
      <c r="D2583" s="52">
        <f t="array" ref="D2583:W2583">IF(All_Students_Scores!C2581:V2581="","",All_Students_Scores!C2581:V2581)</f>
        <v/>
      </c>
      <c r="E2583" s="57" t="str"/>
      <c r="F2583" s="49" t="str"/>
      <c r="G2583" s="59" t="str"/>
      <c r="H2583" s="64" t="str"/>
      <c r="I2583" s="65" t="str"/>
      <c r="J2583" s="49" t="str"/>
      <c r="K2583" s="41" t="str"/>
      <c r="L2583" s="41" t="str"/>
      <c r="M2583" s="41" t="str"/>
      <c r="N2583" s="41" t="str"/>
      <c r="O2583" s="41" t="str"/>
      <c r="P2583" s="41" t="str"/>
      <c r="Q2583" s="41" t="str"/>
      <c r="R2583" s="41" t="str"/>
      <c r="S2583" s="41" t="str"/>
      <c r="T2583" s="41" t="str"/>
      <c r="U2583" s="41" t="str"/>
      <c r="V2583" s="41" t="str"/>
      <c r="W2583" s="41" t="str"/>
    </row>
    <row r="2584">
      <c r="B2584" s="2" t="n"/>
      <c r="C2584" s="40" t="n"/>
      <c r="D2584" s="52">
        <f t="array" ref="D2584:W2584">IF(All_Students_Scores!C2582:V2582="","",All_Students_Scores!C2582:V2582)</f>
        <v/>
      </c>
      <c r="E2584" s="57" t="str"/>
      <c r="F2584" s="49" t="str"/>
      <c r="G2584" s="59" t="str"/>
      <c r="H2584" s="64" t="str"/>
      <c r="I2584" s="65" t="str"/>
      <c r="J2584" s="49" t="str"/>
      <c r="K2584" s="41" t="str"/>
      <c r="L2584" s="41" t="str"/>
      <c r="M2584" s="41" t="str"/>
      <c r="N2584" s="41" t="str"/>
      <c r="O2584" s="41" t="str"/>
      <c r="P2584" s="41" t="str"/>
      <c r="Q2584" s="41" t="str"/>
      <c r="R2584" s="41" t="str"/>
      <c r="S2584" s="41" t="str"/>
      <c r="T2584" s="41" t="str"/>
      <c r="U2584" s="41" t="str"/>
      <c r="V2584" s="41" t="str"/>
      <c r="W2584" s="41" t="str"/>
    </row>
    <row r="2585">
      <c r="B2585" s="2" t="n"/>
      <c r="C2585" s="40" t="n"/>
      <c r="D2585" s="52">
        <f t="array" ref="D2585:W2585">IF(All_Students_Scores!C2583:V2583="","",All_Students_Scores!C2583:V2583)</f>
        <v/>
      </c>
      <c r="E2585" s="57" t="str"/>
      <c r="F2585" s="49" t="str"/>
      <c r="G2585" s="59" t="str"/>
      <c r="H2585" s="64" t="str"/>
      <c r="I2585" s="65" t="str"/>
      <c r="J2585" s="49" t="str"/>
      <c r="K2585" s="41" t="str"/>
      <c r="L2585" s="41" t="str"/>
      <c r="M2585" s="41" t="str"/>
      <c r="N2585" s="41" t="str"/>
      <c r="O2585" s="41" t="str"/>
      <c r="P2585" s="41" t="str"/>
      <c r="Q2585" s="41" t="str"/>
      <c r="R2585" s="41" t="str"/>
      <c r="S2585" s="41" t="str"/>
      <c r="T2585" s="41" t="str"/>
      <c r="U2585" s="41" t="str"/>
      <c r="V2585" s="41" t="str"/>
      <c r="W2585" s="41" t="str"/>
    </row>
    <row r="2586">
      <c r="B2586" s="2" t="n"/>
      <c r="C2586" s="40" t="n"/>
      <c r="D2586" s="52">
        <f t="array" ref="D2586:W2586">IF(All_Students_Scores!C2584:V2584="","",All_Students_Scores!C2584:V2584)</f>
        <v/>
      </c>
      <c r="E2586" s="57" t="str"/>
      <c r="F2586" s="49" t="str"/>
      <c r="G2586" s="59" t="str"/>
      <c r="H2586" s="64" t="str"/>
      <c r="I2586" s="65" t="str"/>
      <c r="J2586" s="49" t="str"/>
      <c r="K2586" s="41" t="str"/>
      <c r="L2586" s="41" t="str"/>
      <c r="M2586" s="41" t="str"/>
      <c r="N2586" s="41" t="str"/>
      <c r="O2586" s="41" t="str"/>
      <c r="P2586" s="41" t="str"/>
      <c r="Q2586" s="41" t="str"/>
      <c r="R2586" s="41" t="str"/>
      <c r="S2586" s="41" t="str"/>
      <c r="T2586" s="41" t="str"/>
      <c r="U2586" s="41" t="str"/>
      <c r="V2586" s="41" t="str"/>
      <c r="W2586" s="41" t="str"/>
    </row>
    <row r="2587">
      <c r="B2587" s="2" t="n"/>
      <c r="C2587" s="40" t="n"/>
      <c r="D2587" s="52">
        <f t="array" ref="D2587:W2587">IF(All_Students_Scores!C2585:V2585="","",All_Students_Scores!C2585:V2585)</f>
        <v/>
      </c>
      <c r="E2587" s="57" t="str"/>
      <c r="F2587" s="49" t="str"/>
      <c r="G2587" s="59" t="str"/>
      <c r="H2587" s="64" t="str"/>
      <c r="I2587" s="65" t="str"/>
      <c r="J2587" s="49" t="str"/>
      <c r="K2587" s="41" t="str"/>
      <c r="L2587" s="41" t="str"/>
      <c r="M2587" s="41" t="str"/>
      <c r="N2587" s="41" t="str"/>
      <c r="O2587" s="41" t="str"/>
      <c r="P2587" s="41" t="str"/>
      <c r="Q2587" s="41" t="str"/>
      <c r="R2587" s="41" t="str"/>
      <c r="S2587" s="41" t="str"/>
      <c r="T2587" s="41" t="str"/>
      <c r="U2587" s="41" t="str"/>
      <c r="V2587" s="41" t="str"/>
      <c r="W2587" s="41" t="str"/>
    </row>
    <row r="2588">
      <c r="B2588" s="2" t="n"/>
      <c r="C2588" s="40" t="n"/>
      <c r="D2588" s="52">
        <f t="array" ref="D2588:W2588">IF(All_Students_Scores!C2586:V2586="","",All_Students_Scores!C2586:V2586)</f>
        <v/>
      </c>
      <c r="E2588" s="57" t="str"/>
      <c r="F2588" s="49" t="str"/>
      <c r="G2588" s="59" t="str"/>
      <c r="H2588" s="64" t="str"/>
      <c r="I2588" s="65" t="str"/>
      <c r="J2588" s="49" t="str"/>
      <c r="K2588" s="41" t="str"/>
      <c r="L2588" s="41" t="str"/>
      <c r="M2588" s="41" t="str"/>
      <c r="N2588" s="41" t="str"/>
      <c r="O2588" s="41" t="str"/>
      <c r="P2588" s="41" t="str"/>
      <c r="Q2588" s="41" t="str"/>
      <c r="R2588" s="41" t="str"/>
      <c r="S2588" s="41" t="str"/>
      <c r="T2588" s="41" t="str"/>
      <c r="U2588" s="41" t="str"/>
      <c r="V2588" s="41" t="str"/>
      <c r="W2588" s="41" t="str"/>
    </row>
    <row r="2589">
      <c r="B2589" s="2" t="n"/>
      <c r="C2589" s="40" t="n"/>
      <c r="D2589" s="52">
        <f t="array" ref="D2589:W2589">IF(All_Students_Scores!C2587:V2587="","",All_Students_Scores!C2587:V2587)</f>
        <v/>
      </c>
      <c r="E2589" s="57" t="str"/>
      <c r="F2589" s="49" t="str"/>
      <c r="G2589" s="59" t="str"/>
      <c r="H2589" s="64" t="str"/>
      <c r="I2589" s="65" t="str"/>
      <c r="J2589" s="49" t="str"/>
      <c r="K2589" s="41" t="str"/>
      <c r="L2589" s="41" t="str"/>
      <c r="M2589" s="41" t="str"/>
      <c r="N2589" s="41" t="str"/>
      <c r="O2589" s="41" t="str"/>
      <c r="P2589" s="41" t="str"/>
      <c r="Q2589" s="41" t="str"/>
      <c r="R2589" s="41" t="str"/>
      <c r="S2589" s="41" t="str"/>
      <c r="T2589" s="41" t="str"/>
      <c r="U2589" s="41" t="str"/>
      <c r="V2589" s="41" t="str"/>
      <c r="W2589" s="41" t="str"/>
    </row>
    <row r="2590">
      <c r="B2590" s="2" t="n"/>
      <c r="C2590" s="40" t="n"/>
      <c r="D2590" s="52">
        <f t="array" ref="D2590:W2590">IF(All_Students_Scores!C2588:V2588="","",All_Students_Scores!C2588:V2588)</f>
        <v/>
      </c>
      <c r="E2590" s="57" t="str"/>
      <c r="F2590" s="49" t="str"/>
      <c r="G2590" s="59" t="str"/>
      <c r="H2590" s="64" t="str"/>
      <c r="I2590" s="65" t="str"/>
      <c r="J2590" s="49" t="str"/>
      <c r="K2590" s="41" t="str"/>
      <c r="L2590" s="41" t="str"/>
      <c r="M2590" s="41" t="str"/>
      <c r="N2590" s="41" t="str"/>
      <c r="O2590" s="41" t="str"/>
      <c r="P2590" s="41" t="str"/>
      <c r="Q2590" s="41" t="str"/>
      <c r="R2590" s="41" t="str"/>
      <c r="S2590" s="41" t="str"/>
      <c r="T2590" s="41" t="str"/>
      <c r="U2590" s="41" t="str"/>
      <c r="V2590" s="41" t="str"/>
      <c r="W2590" s="41" t="str"/>
    </row>
    <row r="2591">
      <c r="B2591" s="2" t="n"/>
      <c r="C2591" s="40" t="n"/>
      <c r="D2591" s="52">
        <f t="array" ref="D2591:W2591">IF(All_Students_Scores!C2589:V2589="","",All_Students_Scores!C2589:V2589)</f>
        <v/>
      </c>
      <c r="E2591" s="57" t="str"/>
      <c r="F2591" s="49" t="str"/>
      <c r="G2591" s="59" t="str"/>
      <c r="H2591" s="64" t="str"/>
      <c r="I2591" s="65" t="str"/>
      <c r="J2591" s="49" t="str"/>
      <c r="K2591" s="41" t="str"/>
      <c r="L2591" s="41" t="str"/>
      <c r="M2591" s="41" t="str"/>
      <c r="N2591" s="41" t="str"/>
      <c r="O2591" s="41" t="str"/>
      <c r="P2591" s="41" t="str"/>
      <c r="Q2591" s="41" t="str"/>
      <c r="R2591" s="41" t="str"/>
      <c r="S2591" s="41" t="str"/>
      <c r="T2591" s="41" t="str"/>
      <c r="U2591" s="41" t="str"/>
      <c r="V2591" s="41" t="str"/>
      <c r="W2591" s="41" t="str"/>
    </row>
    <row r="2592">
      <c r="B2592" s="2" t="n"/>
      <c r="C2592" s="40" t="n"/>
      <c r="D2592" s="52">
        <f t="array" ref="D2592:W2592">IF(All_Students_Scores!C2590:V2590="","",All_Students_Scores!C2590:V2590)</f>
        <v/>
      </c>
      <c r="E2592" s="57" t="str"/>
      <c r="F2592" s="49" t="str"/>
      <c r="G2592" s="59" t="str"/>
      <c r="H2592" s="64" t="str"/>
      <c r="I2592" s="65" t="str"/>
      <c r="J2592" s="49" t="str"/>
      <c r="K2592" s="41" t="str"/>
      <c r="L2592" s="41" t="str"/>
      <c r="M2592" s="41" t="str"/>
      <c r="N2592" s="41" t="str"/>
      <c r="O2592" s="41" t="str"/>
      <c r="P2592" s="41" t="str"/>
      <c r="Q2592" s="41" t="str"/>
      <c r="R2592" s="41" t="str"/>
      <c r="S2592" s="41" t="str"/>
      <c r="T2592" s="41" t="str"/>
      <c r="U2592" s="41" t="str"/>
      <c r="V2592" s="41" t="str"/>
      <c r="W2592" s="41" t="str"/>
    </row>
    <row r="2593">
      <c r="B2593" s="2" t="n"/>
      <c r="C2593" s="40" t="n"/>
      <c r="D2593" s="52">
        <f t="array" ref="D2593:W2593">IF(All_Students_Scores!C2591:V2591="","",All_Students_Scores!C2591:V2591)</f>
        <v/>
      </c>
      <c r="E2593" s="57" t="str"/>
      <c r="F2593" s="49" t="str"/>
      <c r="G2593" s="59" t="str"/>
      <c r="H2593" s="64" t="str"/>
      <c r="I2593" s="65" t="str"/>
      <c r="J2593" s="49" t="str"/>
      <c r="K2593" s="41" t="str"/>
      <c r="L2593" s="41" t="str"/>
      <c r="M2593" s="41" t="str"/>
      <c r="N2593" s="41" t="str"/>
      <c r="O2593" s="41" t="str"/>
      <c r="P2593" s="41" t="str"/>
      <c r="Q2593" s="41" t="str"/>
      <c r="R2593" s="41" t="str"/>
      <c r="S2593" s="41" t="str"/>
      <c r="T2593" s="41" t="str"/>
      <c r="U2593" s="41" t="str"/>
      <c r="V2593" s="41" t="str"/>
      <c r="W2593" s="41" t="str"/>
    </row>
    <row r="2594">
      <c r="B2594" s="2" t="n"/>
      <c r="C2594" s="40" t="n"/>
      <c r="D2594" s="52">
        <f t="array" ref="D2594:W2594">IF(All_Students_Scores!C2592:V2592="","",All_Students_Scores!C2592:V2592)</f>
        <v/>
      </c>
      <c r="E2594" s="57" t="str"/>
      <c r="F2594" s="49" t="str"/>
      <c r="G2594" s="59" t="str"/>
      <c r="H2594" s="64" t="str"/>
      <c r="I2594" s="65" t="str"/>
      <c r="J2594" s="49" t="str"/>
      <c r="K2594" s="41" t="str"/>
      <c r="L2594" s="41" t="str"/>
      <c r="M2594" s="41" t="str"/>
      <c r="N2594" s="41" t="str"/>
      <c r="O2594" s="41" t="str"/>
      <c r="P2594" s="41" t="str"/>
      <c r="Q2594" s="41" t="str"/>
      <c r="R2594" s="41" t="str"/>
      <c r="S2594" s="41" t="str"/>
      <c r="T2594" s="41" t="str"/>
      <c r="U2594" s="41" t="str"/>
      <c r="V2594" s="41" t="str"/>
      <c r="W2594" s="41" t="str"/>
    </row>
    <row r="2595">
      <c r="B2595" s="2" t="n"/>
      <c r="C2595" s="40" t="n"/>
      <c r="D2595" s="52">
        <f t="array" ref="D2595:W2595">IF(All_Students_Scores!C2593:V2593="","",All_Students_Scores!C2593:V2593)</f>
        <v/>
      </c>
      <c r="E2595" s="57" t="str"/>
      <c r="F2595" s="49" t="str"/>
      <c r="G2595" s="59" t="str"/>
      <c r="H2595" s="64" t="str"/>
      <c r="I2595" s="65" t="str"/>
      <c r="J2595" s="49" t="str"/>
      <c r="K2595" s="41" t="str"/>
      <c r="L2595" s="41" t="str"/>
      <c r="M2595" s="41" t="str"/>
      <c r="N2595" s="41" t="str"/>
      <c r="O2595" s="41" t="str"/>
      <c r="P2595" s="41" t="str"/>
      <c r="Q2595" s="41" t="str"/>
      <c r="R2595" s="41" t="str"/>
      <c r="S2595" s="41" t="str"/>
      <c r="T2595" s="41" t="str"/>
      <c r="U2595" s="41" t="str"/>
      <c r="V2595" s="41" t="str"/>
      <c r="W2595" s="41" t="str"/>
    </row>
    <row r="2596">
      <c r="B2596" s="2" t="n"/>
      <c r="C2596" s="40" t="n"/>
      <c r="D2596" s="52">
        <f t="array" ref="D2596:W2596">IF(All_Students_Scores!C2594:V2594="","",All_Students_Scores!C2594:V2594)</f>
        <v/>
      </c>
      <c r="E2596" s="57" t="str"/>
      <c r="F2596" s="49" t="str"/>
      <c r="G2596" s="59" t="str"/>
      <c r="H2596" s="64" t="str"/>
      <c r="I2596" s="65" t="str"/>
      <c r="J2596" s="49" t="str"/>
      <c r="K2596" s="41" t="str"/>
      <c r="L2596" s="41" t="str"/>
      <c r="M2596" s="41" t="str"/>
      <c r="N2596" s="41" t="str"/>
      <c r="O2596" s="41" t="str"/>
      <c r="P2596" s="41" t="str"/>
      <c r="Q2596" s="41" t="str"/>
      <c r="R2596" s="41" t="str"/>
      <c r="S2596" s="41" t="str"/>
      <c r="T2596" s="41" t="str"/>
      <c r="U2596" s="41" t="str"/>
      <c r="V2596" s="41" t="str"/>
      <c r="W2596" s="41" t="str"/>
    </row>
    <row r="2597">
      <c r="B2597" s="2" t="n"/>
      <c r="C2597" s="40" t="n"/>
      <c r="D2597" s="52">
        <f t="array" ref="D2597:W2597">IF(All_Students_Scores!C2595:V2595="","",All_Students_Scores!C2595:V2595)</f>
        <v/>
      </c>
      <c r="E2597" s="57" t="str"/>
      <c r="F2597" s="49" t="str"/>
      <c r="G2597" s="59" t="str"/>
      <c r="H2597" s="64" t="str"/>
      <c r="I2597" s="65" t="str"/>
      <c r="J2597" s="49" t="str"/>
      <c r="K2597" s="41" t="str"/>
      <c r="L2597" s="41" t="str"/>
      <c r="M2597" s="41" t="str"/>
      <c r="N2597" s="41" t="str"/>
      <c r="O2597" s="41" t="str"/>
      <c r="P2597" s="41" t="str"/>
      <c r="Q2597" s="41" t="str"/>
      <c r="R2597" s="41" t="str"/>
      <c r="S2597" s="41" t="str"/>
      <c r="T2597" s="41" t="str"/>
      <c r="U2597" s="41" t="str"/>
      <c r="V2597" s="41" t="str"/>
      <c r="W2597" s="41" t="str"/>
    </row>
    <row r="2598">
      <c r="B2598" s="2" t="n"/>
      <c r="C2598" s="40" t="n"/>
      <c r="D2598" s="52">
        <f t="array" ref="D2598:W2598">IF(All_Students_Scores!C2596:V2596="","",All_Students_Scores!C2596:V2596)</f>
        <v/>
      </c>
      <c r="E2598" s="57" t="str"/>
      <c r="F2598" s="49" t="str"/>
      <c r="G2598" s="59" t="str"/>
      <c r="H2598" s="64" t="str"/>
      <c r="I2598" s="65" t="str"/>
      <c r="J2598" s="49" t="str"/>
      <c r="K2598" s="41" t="str"/>
      <c r="L2598" s="41" t="str"/>
      <c r="M2598" s="41" t="str"/>
      <c r="N2598" s="41" t="str"/>
      <c r="O2598" s="41" t="str"/>
      <c r="P2598" s="41" t="str"/>
      <c r="Q2598" s="41" t="str"/>
      <c r="R2598" s="41" t="str"/>
      <c r="S2598" s="41" t="str"/>
      <c r="T2598" s="41" t="str"/>
      <c r="U2598" s="41" t="str"/>
      <c r="V2598" s="41" t="str"/>
      <c r="W2598" s="41" t="str"/>
    </row>
    <row r="2599">
      <c r="B2599" s="2" t="n"/>
      <c r="C2599" s="40" t="n"/>
      <c r="D2599" s="52">
        <f t="array" ref="D2599:W2599">IF(All_Students_Scores!C2597:V2597="","",All_Students_Scores!C2597:V2597)</f>
        <v/>
      </c>
      <c r="E2599" s="57" t="str"/>
      <c r="F2599" s="49" t="str"/>
      <c r="G2599" s="59" t="str"/>
      <c r="H2599" s="64" t="str"/>
      <c r="I2599" s="65" t="str"/>
      <c r="J2599" s="49" t="str"/>
      <c r="K2599" s="41" t="str"/>
      <c r="L2599" s="41" t="str"/>
      <c r="M2599" s="41" t="str"/>
      <c r="N2599" s="41" t="str"/>
      <c r="O2599" s="41" t="str"/>
      <c r="P2599" s="41" t="str"/>
      <c r="Q2599" s="41" t="str"/>
      <c r="R2599" s="41" t="str"/>
      <c r="S2599" s="41" t="str"/>
      <c r="T2599" s="41" t="str"/>
      <c r="U2599" s="41" t="str"/>
      <c r="V2599" s="41" t="str"/>
      <c r="W2599" s="41" t="str"/>
    </row>
    <row r="2600">
      <c r="B2600" s="2" t="n"/>
      <c r="C2600" s="40" t="n"/>
      <c r="D2600" s="52">
        <f t="array" ref="D2600:W2600">IF(All_Students_Scores!C2598:V2598="","",All_Students_Scores!C2598:V2598)</f>
        <v/>
      </c>
      <c r="E2600" s="57" t="str"/>
      <c r="F2600" s="49" t="str"/>
      <c r="G2600" s="59" t="str"/>
      <c r="H2600" s="64" t="str"/>
      <c r="I2600" s="65" t="str"/>
      <c r="J2600" s="49" t="str"/>
      <c r="K2600" s="41" t="str"/>
      <c r="L2600" s="41" t="str"/>
      <c r="M2600" s="41" t="str"/>
      <c r="N2600" s="41" t="str"/>
      <c r="O2600" s="41" t="str"/>
      <c r="P2600" s="41" t="str"/>
      <c r="Q2600" s="41" t="str"/>
      <c r="R2600" s="41" t="str"/>
      <c r="S2600" s="41" t="str"/>
      <c r="T2600" s="41" t="str"/>
      <c r="U2600" s="41" t="str"/>
      <c r="V2600" s="41" t="str"/>
      <c r="W2600" s="41" t="str"/>
    </row>
    <row r="2601">
      <c r="B2601" s="2" t="n"/>
      <c r="C2601" s="40" t="n"/>
      <c r="D2601" s="52">
        <f t="array" ref="D2601:W2601">IF(All_Students_Scores!C2599:V2599="","",All_Students_Scores!C2599:V2599)</f>
        <v/>
      </c>
      <c r="E2601" s="57" t="str"/>
      <c r="F2601" s="49" t="str"/>
      <c r="G2601" s="59" t="str"/>
      <c r="H2601" s="64" t="str"/>
      <c r="I2601" s="65" t="str"/>
      <c r="J2601" s="49" t="str"/>
      <c r="K2601" s="41" t="str"/>
      <c r="L2601" s="41" t="str"/>
      <c r="M2601" s="41" t="str"/>
      <c r="N2601" s="41" t="str"/>
      <c r="O2601" s="41" t="str"/>
      <c r="P2601" s="41" t="str"/>
      <c r="Q2601" s="41" t="str"/>
      <c r="R2601" s="41" t="str"/>
      <c r="S2601" s="41" t="str"/>
      <c r="T2601" s="41" t="str"/>
      <c r="U2601" s="41" t="str"/>
      <c r="V2601" s="41" t="str"/>
      <c r="W2601" s="41" t="str"/>
    </row>
    <row r="2602">
      <c r="B2602" s="2" t="n"/>
      <c r="C2602" s="40" t="n"/>
      <c r="D2602" s="52">
        <f t="array" ref="D2602:W2602">IF(All_Students_Scores!C2600:V2600="","",All_Students_Scores!C2600:V2600)</f>
        <v/>
      </c>
      <c r="E2602" s="57" t="str"/>
      <c r="F2602" s="49" t="str"/>
      <c r="G2602" s="59" t="str"/>
      <c r="H2602" s="64" t="str"/>
      <c r="I2602" s="65" t="str"/>
      <c r="J2602" s="49" t="str"/>
      <c r="K2602" s="41" t="str"/>
      <c r="L2602" s="41" t="str"/>
      <c r="M2602" s="41" t="str"/>
      <c r="N2602" s="41" t="str"/>
      <c r="O2602" s="41" t="str"/>
      <c r="P2602" s="41" t="str"/>
      <c r="Q2602" s="41" t="str"/>
      <c r="R2602" s="41" t="str"/>
      <c r="S2602" s="41" t="str"/>
      <c r="T2602" s="41" t="str"/>
      <c r="U2602" s="41" t="str"/>
      <c r="V2602" s="41" t="str"/>
      <c r="W2602" s="41" t="str"/>
    </row>
    <row r="2603">
      <c r="B2603" s="2" t="n"/>
      <c r="C2603" s="40" t="n"/>
      <c r="D2603" s="52">
        <f t="array" ref="D2603:W2603">IF(All_Students_Scores!C2601:V2601="","",All_Students_Scores!C2601:V2601)</f>
        <v/>
      </c>
      <c r="E2603" s="57" t="str"/>
      <c r="F2603" s="49" t="str"/>
      <c r="G2603" s="59" t="str"/>
      <c r="H2603" s="64" t="str"/>
      <c r="I2603" s="65" t="str"/>
      <c r="J2603" s="49" t="str"/>
      <c r="K2603" s="41" t="str"/>
      <c r="L2603" s="41" t="str"/>
      <c r="M2603" s="41" t="str"/>
      <c r="N2603" s="41" t="str"/>
      <c r="O2603" s="41" t="str"/>
      <c r="P2603" s="41" t="str"/>
      <c r="Q2603" s="41" t="str"/>
      <c r="R2603" s="41" t="str"/>
      <c r="S2603" s="41" t="str"/>
      <c r="T2603" s="41" t="str"/>
      <c r="U2603" s="41" t="str"/>
      <c r="V2603" s="41" t="str"/>
      <c r="W2603" s="41" t="str"/>
    </row>
    <row r="2604">
      <c r="B2604" s="2" t="n"/>
      <c r="C2604" s="40" t="n"/>
      <c r="D2604" s="52">
        <f t="array" ref="D2604:W2604">IF(All_Students_Scores!C2602:V2602="","",All_Students_Scores!C2602:V2602)</f>
        <v/>
      </c>
      <c r="E2604" s="57" t="str"/>
      <c r="F2604" s="49" t="str"/>
      <c r="G2604" s="59" t="str"/>
      <c r="H2604" s="64" t="str"/>
      <c r="I2604" s="65" t="str"/>
      <c r="J2604" s="49" t="str"/>
      <c r="K2604" s="41" t="str"/>
      <c r="L2604" s="41" t="str"/>
      <c r="M2604" s="41" t="str"/>
      <c r="N2604" s="41" t="str"/>
      <c r="O2604" s="41" t="str"/>
      <c r="P2604" s="41" t="str"/>
      <c r="Q2604" s="41" t="str"/>
      <c r="R2604" s="41" t="str"/>
      <c r="S2604" s="41" t="str"/>
      <c r="T2604" s="41" t="str"/>
      <c r="U2604" s="41" t="str"/>
      <c r="V2604" s="41" t="str"/>
      <c r="W2604" s="41" t="str"/>
    </row>
    <row r="2605">
      <c r="B2605" s="2" t="n"/>
      <c r="C2605" s="40" t="n"/>
      <c r="D2605" s="52">
        <f t="array" ref="D2605:W2605">IF(All_Students_Scores!C2603:V2603="","",All_Students_Scores!C2603:V2603)</f>
        <v/>
      </c>
      <c r="E2605" s="57" t="str"/>
      <c r="F2605" s="49" t="str"/>
      <c r="G2605" s="59" t="str"/>
      <c r="H2605" s="64" t="str"/>
      <c r="I2605" s="65" t="str"/>
      <c r="J2605" s="49" t="str"/>
      <c r="K2605" s="41" t="str"/>
      <c r="L2605" s="41" t="str"/>
      <c r="M2605" s="41" t="str"/>
      <c r="N2605" s="41" t="str"/>
      <c r="O2605" s="41" t="str"/>
      <c r="P2605" s="41" t="str"/>
      <c r="Q2605" s="41" t="str"/>
      <c r="R2605" s="41" t="str"/>
      <c r="S2605" s="41" t="str"/>
      <c r="T2605" s="41" t="str"/>
      <c r="U2605" s="41" t="str"/>
      <c r="V2605" s="41" t="str"/>
      <c r="W2605" s="41" t="str"/>
    </row>
    <row r="2606">
      <c r="B2606" s="2" t="n"/>
      <c r="C2606" s="40" t="n"/>
      <c r="D2606" s="52">
        <f t="array" ref="D2606:W2606">IF(All_Students_Scores!C2604:V2604="","",All_Students_Scores!C2604:V2604)</f>
        <v/>
      </c>
      <c r="E2606" s="57" t="str"/>
      <c r="F2606" s="49" t="str"/>
      <c r="G2606" s="59" t="str"/>
      <c r="H2606" s="64" t="str"/>
      <c r="I2606" s="65" t="str"/>
      <c r="J2606" s="49" t="str"/>
      <c r="K2606" s="41" t="str"/>
      <c r="L2606" s="41" t="str"/>
      <c r="M2606" s="41" t="str"/>
      <c r="N2606" s="41" t="str"/>
      <c r="O2606" s="41" t="str"/>
      <c r="P2606" s="41" t="str"/>
      <c r="Q2606" s="41" t="str"/>
      <c r="R2606" s="41" t="str"/>
      <c r="S2606" s="41" t="str"/>
      <c r="T2606" s="41" t="str"/>
      <c r="U2606" s="41" t="str"/>
      <c r="V2606" s="41" t="str"/>
      <c r="W2606" s="41" t="str"/>
    </row>
    <row r="2607">
      <c r="B2607" s="2" t="n"/>
      <c r="C2607" s="40" t="n"/>
      <c r="D2607" s="52">
        <f t="array" ref="D2607:W2607">IF(All_Students_Scores!C2605:V2605="","",All_Students_Scores!C2605:V2605)</f>
        <v/>
      </c>
      <c r="E2607" s="57" t="str"/>
      <c r="F2607" s="49" t="str"/>
      <c r="G2607" s="59" t="str"/>
      <c r="H2607" s="64" t="str"/>
      <c r="I2607" s="65" t="str"/>
      <c r="J2607" s="49" t="str"/>
      <c r="K2607" s="41" t="str"/>
      <c r="L2607" s="41" t="str"/>
      <c r="M2607" s="41" t="str"/>
      <c r="N2607" s="41" t="str"/>
      <c r="O2607" s="41" t="str"/>
      <c r="P2607" s="41" t="str"/>
      <c r="Q2607" s="41" t="str"/>
      <c r="R2607" s="41" t="str"/>
      <c r="S2607" s="41" t="str"/>
      <c r="T2607" s="41" t="str"/>
      <c r="U2607" s="41" t="str"/>
      <c r="V2607" s="41" t="str"/>
      <c r="W2607" s="41" t="str"/>
    </row>
    <row r="2608">
      <c r="B2608" s="2" t="n"/>
      <c r="C2608" s="40" t="n"/>
      <c r="D2608" s="52">
        <f t="array" ref="D2608:W2608">IF(All_Students_Scores!C2606:V2606="","",All_Students_Scores!C2606:V2606)</f>
        <v/>
      </c>
      <c r="E2608" s="57" t="str"/>
      <c r="F2608" s="49" t="str"/>
      <c r="G2608" s="59" t="str"/>
      <c r="H2608" s="64" t="str"/>
      <c r="I2608" s="65" t="str"/>
      <c r="J2608" s="49" t="str"/>
      <c r="K2608" s="41" t="str"/>
      <c r="L2608" s="41" t="str"/>
      <c r="M2608" s="41" t="str"/>
      <c r="N2608" s="41" t="str"/>
      <c r="O2608" s="41" t="str"/>
      <c r="P2608" s="41" t="str"/>
      <c r="Q2608" s="41" t="str"/>
      <c r="R2608" s="41" t="str"/>
      <c r="S2608" s="41" t="str"/>
      <c r="T2608" s="41" t="str"/>
      <c r="U2608" s="41" t="str"/>
      <c r="V2608" s="41" t="str"/>
      <c r="W2608" s="41" t="str"/>
    </row>
    <row r="2609">
      <c r="B2609" s="2" t="n"/>
      <c r="C2609" s="40" t="n"/>
      <c r="D2609" s="52">
        <f t="array" ref="D2609:W2609">IF(All_Students_Scores!C2607:V2607="","",All_Students_Scores!C2607:V2607)</f>
        <v/>
      </c>
      <c r="E2609" s="57" t="str"/>
      <c r="F2609" s="49" t="str"/>
      <c r="G2609" s="59" t="str"/>
      <c r="H2609" s="64" t="str"/>
      <c r="I2609" s="65" t="str"/>
      <c r="J2609" s="49" t="str"/>
      <c r="K2609" s="41" t="str"/>
      <c r="L2609" s="41" t="str"/>
      <c r="M2609" s="41" t="str"/>
      <c r="N2609" s="41" t="str"/>
      <c r="O2609" s="41" t="str"/>
      <c r="P2609" s="41" t="str"/>
      <c r="Q2609" s="41" t="str"/>
      <c r="R2609" s="41" t="str"/>
      <c r="S2609" s="41" t="str"/>
      <c r="T2609" s="41" t="str"/>
      <c r="U2609" s="41" t="str"/>
      <c r="V2609" s="41" t="str"/>
      <c r="W2609" s="41" t="str"/>
    </row>
    <row r="2610">
      <c r="B2610" s="2" t="n"/>
      <c r="C2610" s="40" t="n"/>
      <c r="D2610" s="52">
        <f t="array" ref="D2610:W2610">IF(All_Students_Scores!C2608:V2608="","",All_Students_Scores!C2608:V2608)</f>
        <v/>
      </c>
      <c r="E2610" s="57" t="str"/>
      <c r="F2610" s="49" t="str"/>
      <c r="G2610" s="59" t="str"/>
      <c r="H2610" s="64" t="str"/>
      <c r="I2610" s="65" t="str"/>
      <c r="J2610" s="49" t="str"/>
      <c r="K2610" s="41" t="str"/>
      <c r="L2610" s="41" t="str"/>
      <c r="M2610" s="41" t="str"/>
      <c r="N2610" s="41" t="str"/>
      <c r="O2610" s="41" t="str"/>
      <c r="P2610" s="41" t="str"/>
      <c r="Q2610" s="41" t="str"/>
      <c r="R2610" s="41" t="str"/>
      <c r="S2610" s="41" t="str"/>
      <c r="T2610" s="41" t="str"/>
      <c r="U2610" s="41" t="str"/>
      <c r="V2610" s="41" t="str"/>
      <c r="W2610" s="41" t="str"/>
    </row>
    <row r="2611">
      <c r="B2611" s="2" t="n"/>
      <c r="C2611" s="40" t="n"/>
      <c r="D2611" s="52">
        <f t="array" ref="D2611:W2611">IF(All_Students_Scores!C2609:V2609="","",All_Students_Scores!C2609:V2609)</f>
        <v/>
      </c>
      <c r="E2611" s="57" t="str"/>
      <c r="F2611" s="49" t="str"/>
      <c r="G2611" s="59" t="str"/>
      <c r="H2611" s="64" t="str"/>
      <c r="I2611" s="65" t="str"/>
      <c r="J2611" s="49" t="str"/>
      <c r="K2611" s="41" t="str"/>
      <c r="L2611" s="41" t="str"/>
      <c r="M2611" s="41" t="str"/>
      <c r="N2611" s="41" t="str"/>
      <c r="O2611" s="41" t="str"/>
      <c r="P2611" s="41" t="str"/>
      <c r="Q2611" s="41" t="str"/>
      <c r="R2611" s="41" t="str"/>
      <c r="S2611" s="41" t="str"/>
      <c r="T2611" s="41" t="str"/>
      <c r="U2611" s="41" t="str"/>
      <c r="V2611" s="41" t="str"/>
      <c r="W2611" s="41" t="str"/>
    </row>
    <row r="2612">
      <c r="B2612" s="2" t="n"/>
      <c r="C2612" s="40" t="n"/>
      <c r="D2612" s="52">
        <f t="array" ref="D2612:W2612">IF(All_Students_Scores!C2610:V2610="","",All_Students_Scores!C2610:V2610)</f>
        <v/>
      </c>
      <c r="E2612" s="57" t="str"/>
      <c r="F2612" s="49" t="str"/>
      <c r="G2612" s="59" t="str"/>
      <c r="H2612" s="64" t="str"/>
      <c r="I2612" s="65" t="str"/>
      <c r="J2612" s="49" t="str"/>
      <c r="K2612" s="41" t="str"/>
      <c r="L2612" s="41" t="str"/>
      <c r="M2612" s="41" t="str"/>
      <c r="N2612" s="41" t="str"/>
      <c r="O2612" s="41" t="str"/>
      <c r="P2612" s="41" t="str"/>
      <c r="Q2612" s="41" t="str"/>
      <c r="R2612" s="41" t="str"/>
      <c r="S2612" s="41" t="str"/>
      <c r="T2612" s="41" t="str"/>
      <c r="U2612" s="41" t="str"/>
      <c r="V2612" s="41" t="str"/>
      <c r="W2612" s="41" t="str"/>
    </row>
    <row r="2613">
      <c r="B2613" s="2" t="n"/>
      <c r="C2613" s="40" t="n"/>
      <c r="D2613" s="52">
        <f t="array" ref="D2613:W2613">IF(All_Students_Scores!C2611:V2611="","",All_Students_Scores!C2611:V2611)</f>
        <v/>
      </c>
      <c r="E2613" s="57" t="str"/>
      <c r="F2613" s="49" t="str"/>
      <c r="G2613" s="59" t="str"/>
      <c r="H2613" s="64" t="str"/>
      <c r="I2613" s="65" t="str"/>
      <c r="J2613" s="49" t="str"/>
      <c r="K2613" s="41" t="str"/>
      <c r="L2613" s="41" t="str"/>
      <c r="M2613" s="41" t="str"/>
      <c r="N2613" s="41" t="str"/>
      <c r="O2613" s="41" t="str"/>
      <c r="P2613" s="41" t="str"/>
      <c r="Q2613" s="41" t="str"/>
      <c r="R2613" s="41" t="str"/>
      <c r="S2613" s="41" t="str"/>
      <c r="T2613" s="41" t="str"/>
      <c r="U2613" s="41" t="str"/>
      <c r="V2613" s="41" t="str"/>
      <c r="W2613" s="41" t="str"/>
    </row>
    <row r="2614">
      <c r="B2614" s="2" t="n"/>
      <c r="C2614" s="40" t="n"/>
      <c r="D2614" s="52">
        <f t="array" ref="D2614:W2614">IF(All_Students_Scores!C2612:V2612="","",All_Students_Scores!C2612:V2612)</f>
        <v/>
      </c>
      <c r="E2614" s="57" t="str"/>
      <c r="F2614" s="49" t="str"/>
      <c r="G2614" s="59" t="str"/>
      <c r="H2614" s="64" t="str"/>
      <c r="I2614" s="65" t="str"/>
      <c r="J2614" s="49" t="str"/>
      <c r="K2614" s="41" t="str"/>
      <c r="L2614" s="41" t="str"/>
      <c r="M2614" s="41" t="str"/>
      <c r="N2614" s="41" t="str"/>
      <c r="O2614" s="41" t="str"/>
      <c r="P2614" s="41" t="str"/>
      <c r="Q2614" s="41" t="str"/>
      <c r="R2614" s="41" t="str"/>
      <c r="S2614" s="41" t="str"/>
      <c r="T2614" s="41" t="str"/>
      <c r="U2614" s="41" t="str"/>
      <c r="V2614" s="41" t="str"/>
      <c r="W2614" s="41" t="str"/>
    </row>
    <row r="2615">
      <c r="B2615" s="2" t="n"/>
      <c r="C2615" s="40" t="n"/>
      <c r="D2615" s="52">
        <f t="array" ref="D2615:W2615">IF(All_Students_Scores!C2613:V2613="","",All_Students_Scores!C2613:V2613)</f>
        <v/>
      </c>
      <c r="E2615" s="57" t="str"/>
      <c r="F2615" s="49" t="str"/>
      <c r="G2615" s="59" t="str"/>
      <c r="H2615" s="64" t="str"/>
      <c r="I2615" s="65" t="str"/>
      <c r="J2615" s="49" t="str"/>
      <c r="K2615" s="41" t="str"/>
      <c r="L2615" s="41" t="str"/>
      <c r="M2615" s="41" t="str"/>
      <c r="N2615" s="41" t="str"/>
      <c r="O2615" s="41" t="str"/>
      <c r="P2615" s="41" t="str"/>
      <c r="Q2615" s="41" t="str"/>
      <c r="R2615" s="41" t="str"/>
      <c r="S2615" s="41" t="str"/>
      <c r="T2615" s="41" t="str"/>
      <c r="U2615" s="41" t="str"/>
      <c r="V2615" s="41" t="str"/>
      <c r="W2615" s="41" t="str"/>
    </row>
    <row r="2616">
      <c r="B2616" s="2" t="n"/>
      <c r="C2616" s="40" t="n"/>
      <c r="D2616" s="52">
        <f t="array" ref="D2616:W2616">IF(All_Students_Scores!C2614:V2614="","",All_Students_Scores!C2614:V2614)</f>
        <v/>
      </c>
      <c r="E2616" s="57" t="str"/>
      <c r="F2616" s="49" t="str"/>
      <c r="G2616" s="59" t="str"/>
      <c r="H2616" s="64" t="str"/>
      <c r="I2616" s="65" t="str"/>
      <c r="J2616" s="49" t="str"/>
      <c r="K2616" s="41" t="str"/>
      <c r="L2616" s="41" t="str"/>
      <c r="M2616" s="41" t="str"/>
      <c r="N2616" s="41" t="str"/>
      <c r="O2616" s="41" t="str"/>
      <c r="P2616" s="41" t="str"/>
      <c r="Q2616" s="41" t="str"/>
      <c r="R2616" s="41" t="str"/>
      <c r="S2616" s="41" t="str"/>
      <c r="T2616" s="41" t="str"/>
      <c r="U2616" s="41" t="str"/>
      <c r="V2616" s="41" t="str"/>
      <c r="W2616" s="41" t="str"/>
    </row>
    <row r="2617">
      <c r="B2617" s="2" t="n"/>
      <c r="C2617" s="40" t="n"/>
      <c r="D2617" s="52">
        <f t="array" ref="D2617:W2617">IF(All_Students_Scores!C2615:V2615="","",All_Students_Scores!C2615:V2615)</f>
        <v/>
      </c>
      <c r="E2617" s="57" t="str"/>
      <c r="F2617" s="49" t="str"/>
      <c r="G2617" s="59" t="str"/>
      <c r="H2617" s="64" t="str"/>
      <c r="I2617" s="65" t="str"/>
      <c r="J2617" s="49" t="str"/>
      <c r="K2617" s="41" t="str"/>
      <c r="L2617" s="41" t="str"/>
      <c r="M2617" s="41" t="str"/>
      <c r="N2617" s="41" t="str"/>
      <c r="O2617" s="41" t="str"/>
      <c r="P2617" s="41" t="str"/>
      <c r="Q2617" s="41" t="str"/>
      <c r="R2617" s="41" t="str"/>
      <c r="S2617" s="41" t="str"/>
      <c r="T2617" s="41" t="str"/>
      <c r="U2617" s="41" t="str"/>
      <c r="V2617" s="41" t="str"/>
      <c r="W2617" s="41" t="str"/>
    </row>
    <row r="2618">
      <c r="B2618" s="2" t="n"/>
      <c r="C2618" s="40" t="n"/>
      <c r="D2618" s="52">
        <f t="array" ref="D2618:W2618">IF(All_Students_Scores!C2616:V2616="","",All_Students_Scores!C2616:V2616)</f>
        <v/>
      </c>
      <c r="E2618" s="57" t="str"/>
      <c r="F2618" s="49" t="str"/>
      <c r="G2618" s="59" t="str"/>
      <c r="H2618" s="64" t="str"/>
      <c r="I2618" s="65" t="str"/>
      <c r="J2618" s="49" t="str"/>
      <c r="K2618" s="41" t="str"/>
      <c r="L2618" s="41" t="str"/>
      <c r="M2618" s="41" t="str"/>
      <c r="N2618" s="41" t="str"/>
      <c r="O2618" s="41" t="str"/>
      <c r="P2618" s="41" t="str"/>
      <c r="Q2618" s="41" t="str"/>
      <c r="R2618" s="41" t="str"/>
      <c r="S2618" s="41" t="str"/>
      <c r="T2618" s="41" t="str"/>
      <c r="U2618" s="41" t="str"/>
      <c r="V2618" s="41" t="str"/>
      <c r="W2618" s="41" t="str"/>
    </row>
    <row r="2619">
      <c r="B2619" s="2" t="n"/>
      <c r="C2619" s="40" t="n"/>
      <c r="D2619" s="52">
        <f t="array" ref="D2619:W2619">IF(All_Students_Scores!C2617:V2617="","",All_Students_Scores!C2617:V2617)</f>
        <v/>
      </c>
      <c r="E2619" s="57" t="str"/>
      <c r="F2619" s="49" t="str"/>
      <c r="G2619" s="59" t="str"/>
      <c r="H2619" s="64" t="str"/>
      <c r="I2619" s="65" t="str"/>
      <c r="J2619" s="49" t="str"/>
      <c r="K2619" s="41" t="str"/>
      <c r="L2619" s="41" t="str"/>
      <c r="M2619" s="41" t="str"/>
      <c r="N2619" s="41" t="str"/>
      <c r="O2619" s="41" t="str"/>
      <c r="P2619" s="41" t="str"/>
      <c r="Q2619" s="41" t="str"/>
      <c r="R2619" s="41" t="str"/>
      <c r="S2619" s="41" t="str"/>
      <c r="T2619" s="41" t="str"/>
      <c r="U2619" s="41" t="str"/>
      <c r="V2619" s="41" t="str"/>
      <c r="W2619" s="41" t="str"/>
    </row>
    <row r="2620">
      <c r="B2620" s="2" t="n"/>
      <c r="C2620" s="40" t="n"/>
      <c r="D2620" s="52">
        <f t="array" ref="D2620:W2620">IF(All_Students_Scores!C2618:V2618="","",All_Students_Scores!C2618:V2618)</f>
        <v/>
      </c>
      <c r="E2620" s="57" t="str"/>
      <c r="F2620" s="49" t="str"/>
      <c r="G2620" s="59" t="str"/>
      <c r="H2620" s="64" t="str"/>
      <c r="I2620" s="65" t="str"/>
      <c r="J2620" s="49" t="str"/>
      <c r="K2620" s="41" t="str"/>
      <c r="L2620" s="41" t="str"/>
      <c r="M2620" s="41" t="str"/>
      <c r="N2620" s="41" t="str"/>
      <c r="O2620" s="41" t="str"/>
      <c r="P2620" s="41" t="str"/>
      <c r="Q2620" s="41" t="str"/>
      <c r="R2620" s="41" t="str"/>
      <c r="S2620" s="41" t="str"/>
      <c r="T2620" s="41" t="str"/>
      <c r="U2620" s="41" t="str"/>
      <c r="V2620" s="41" t="str"/>
      <c r="W2620" s="41" t="str"/>
    </row>
    <row r="2621">
      <c r="B2621" s="2" t="n"/>
      <c r="C2621" s="40" t="n"/>
      <c r="D2621" s="52">
        <f t="array" ref="D2621:W2621">IF(All_Students_Scores!C2619:V2619="","",All_Students_Scores!C2619:V2619)</f>
        <v/>
      </c>
      <c r="E2621" s="57" t="str"/>
      <c r="F2621" s="49" t="str"/>
      <c r="G2621" s="59" t="str"/>
      <c r="H2621" s="64" t="str"/>
      <c r="I2621" s="65" t="str"/>
      <c r="J2621" s="49" t="str"/>
      <c r="K2621" s="41" t="str"/>
      <c r="L2621" s="41" t="str"/>
      <c r="M2621" s="41" t="str"/>
      <c r="N2621" s="41" t="str"/>
      <c r="O2621" s="41" t="str"/>
      <c r="P2621" s="41" t="str"/>
      <c r="Q2621" s="41" t="str"/>
      <c r="R2621" s="41" t="str"/>
      <c r="S2621" s="41" t="str"/>
      <c r="T2621" s="41" t="str"/>
      <c r="U2621" s="41" t="str"/>
      <c r="V2621" s="41" t="str"/>
      <c r="W2621" s="41" t="str"/>
    </row>
    <row r="2622">
      <c r="B2622" s="2" t="n"/>
      <c r="C2622" s="40" t="n"/>
      <c r="D2622" s="52">
        <f t="array" ref="D2622:W2622">IF(All_Students_Scores!C2620:V2620="","",All_Students_Scores!C2620:V2620)</f>
        <v/>
      </c>
      <c r="E2622" s="57" t="str"/>
      <c r="F2622" s="49" t="str"/>
      <c r="G2622" s="59" t="str"/>
      <c r="H2622" s="64" t="str"/>
      <c r="I2622" s="65" t="str"/>
      <c r="J2622" s="49" t="str"/>
      <c r="K2622" s="41" t="str"/>
      <c r="L2622" s="41" t="str"/>
      <c r="M2622" s="41" t="str"/>
      <c r="N2622" s="41" t="str"/>
      <c r="O2622" s="41" t="str"/>
      <c r="P2622" s="41" t="str"/>
      <c r="Q2622" s="41" t="str"/>
      <c r="R2622" s="41" t="str"/>
      <c r="S2622" s="41" t="str"/>
      <c r="T2622" s="41" t="str"/>
      <c r="U2622" s="41" t="str"/>
      <c r="V2622" s="41" t="str"/>
      <c r="W2622" s="41" t="str"/>
    </row>
    <row r="2623">
      <c r="B2623" s="2" t="n"/>
      <c r="C2623" s="40" t="n"/>
      <c r="D2623" s="52">
        <f t="array" ref="D2623:W2623">IF(All_Students_Scores!C2621:V2621="","",All_Students_Scores!C2621:V2621)</f>
        <v/>
      </c>
      <c r="E2623" s="57" t="str"/>
      <c r="F2623" s="49" t="str"/>
      <c r="G2623" s="59" t="str"/>
      <c r="H2623" s="64" t="str"/>
      <c r="I2623" s="65" t="str"/>
      <c r="J2623" s="49" t="str"/>
      <c r="K2623" s="41" t="str"/>
      <c r="L2623" s="41" t="str"/>
      <c r="M2623" s="41" t="str"/>
      <c r="N2623" s="41" t="str"/>
      <c r="O2623" s="41" t="str"/>
      <c r="P2623" s="41" t="str"/>
      <c r="Q2623" s="41" t="str"/>
      <c r="R2623" s="41" t="str"/>
      <c r="S2623" s="41" t="str"/>
      <c r="T2623" s="41" t="str"/>
      <c r="U2623" s="41" t="str"/>
      <c r="V2623" s="41" t="str"/>
      <c r="W2623" s="41" t="str"/>
    </row>
    <row r="2624">
      <c r="B2624" s="2" t="n"/>
      <c r="C2624" s="40" t="n"/>
      <c r="D2624" s="52">
        <f t="array" ref="D2624:W2624">IF(All_Students_Scores!C2622:V2622="","",All_Students_Scores!C2622:V2622)</f>
        <v/>
      </c>
      <c r="E2624" s="57" t="str"/>
      <c r="F2624" s="49" t="str"/>
      <c r="G2624" s="59" t="str"/>
      <c r="H2624" s="64" t="str"/>
      <c r="I2624" s="65" t="str"/>
      <c r="J2624" s="49" t="str"/>
      <c r="K2624" s="41" t="str"/>
      <c r="L2624" s="41" t="str"/>
      <c r="M2624" s="41" t="str"/>
      <c r="N2624" s="41" t="str"/>
      <c r="O2624" s="41" t="str"/>
      <c r="P2624" s="41" t="str"/>
      <c r="Q2624" s="41" t="str"/>
      <c r="R2624" s="41" t="str"/>
      <c r="S2624" s="41" t="str"/>
      <c r="T2624" s="41" t="str"/>
      <c r="U2624" s="41" t="str"/>
      <c r="V2624" s="41" t="str"/>
      <c r="W2624" s="41" t="str"/>
    </row>
    <row r="2625">
      <c r="B2625" s="2" t="n"/>
      <c r="C2625" s="40" t="n"/>
      <c r="D2625" s="52">
        <f t="array" ref="D2625:W2625">IF(All_Students_Scores!C2623:V2623="","",All_Students_Scores!C2623:V2623)</f>
        <v/>
      </c>
      <c r="E2625" s="57" t="str"/>
      <c r="F2625" s="49" t="str"/>
      <c r="G2625" s="59" t="str"/>
      <c r="H2625" s="64" t="str"/>
      <c r="I2625" s="65" t="str"/>
      <c r="J2625" s="49" t="str"/>
      <c r="K2625" s="41" t="str"/>
      <c r="L2625" s="41" t="str"/>
      <c r="M2625" s="41" t="str"/>
      <c r="N2625" s="41" t="str"/>
      <c r="O2625" s="41" t="str"/>
      <c r="P2625" s="41" t="str"/>
      <c r="Q2625" s="41" t="str"/>
      <c r="R2625" s="41" t="str"/>
      <c r="S2625" s="41" t="str"/>
      <c r="T2625" s="41" t="str"/>
      <c r="U2625" s="41" t="str"/>
      <c r="V2625" s="41" t="str"/>
      <c r="W2625" s="41" t="str"/>
    </row>
    <row r="2626">
      <c r="B2626" s="2" t="n"/>
      <c r="C2626" s="40" t="n"/>
      <c r="D2626" s="52">
        <f t="array" ref="D2626:W2626">IF(All_Students_Scores!C2624:V2624="","",All_Students_Scores!C2624:V2624)</f>
        <v/>
      </c>
      <c r="E2626" s="57" t="str"/>
      <c r="F2626" s="49" t="str"/>
      <c r="G2626" s="59" t="str"/>
      <c r="H2626" s="64" t="str"/>
      <c r="I2626" s="65" t="str"/>
      <c r="J2626" s="49" t="str"/>
      <c r="K2626" s="41" t="str"/>
      <c r="L2626" s="41" t="str"/>
      <c r="M2626" s="41" t="str"/>
      <c r="N2626" s="41" t="str"/>
      <c r="O2626" s="41" t="str"/>
      <c r="P2626" s="41" t="str"/>
      <c r="Q2626" s="41" t="str"/>
      <c r="R2626" s="41" t="str"/>
      <c r="S2626" s="41" t="str"/>
      <c r="T2626" s="41" t="str"/>
      <c r="U2626" s="41" t="str"/>
      <c r="V2626" s="41" t="str"/>
      <c r="W2626" s="41" t="str"/>
    </row>
    <row r="2627">
      <c r="B2627" s="2" t="n"/>
      <c r="C2627" s="40" t="n"/>
      <c r="D2627" s="52">
        <f t="array" ref="D2627:W2627">IF(All_Students_Scores!C2625:V2625="","",All_Students_Scores!C2625:V2625)</f>
        <v/>
      </c>
      <c r="E2627" s="57" t="str"/>
      <c r="F2627" s="49" t="str"/>
      <c r="G2627" s="59" t="str"/>
      <c r="H2627" s="64" t="str"/>
      <c r="I2627" s="65" t="str"/>
      <c r="J2627" s="49" t="str"/>
      <c r="K2627" s="41" t="str"/>
      <c r="L2627" s="41" t="str"/>
      <c r="M2627" s="41" t="str"/>
      <c r="N2627" s="41" t="str"/>
      <c r="O2627" s="41" t="str"/>
      <c r="P2627" s="41" t="str"/>
      <c r="Q2627" s="41" t="str"/>
      <c r="R2627" s="41" t="str"/>
      <c r="S2627" s="41" t="str"/>
      <c r="T2627" s="41" t="str"/>
      <c r="U2627" s="41" t="str"/>
      <c r="V2627" s="41" t="str"/>
      <c r="W2627" s="41" t="str"/>
    </row>
    <row r="2628">
      <c r="B2628" s="2" t="n"/>
      <c r="C2628" s="40" t="n"/>
      <c r="D2628" s="52">
        <f t="array" ref="D2628:W2628">IF(All_Students_Scores!C2626:V2626="","",All_Students_Scores!C2626:V2626)</f>
        <v/>
      </c>
      <c r="E2628" s="57" t="str"/>
      <c r="F2628" s="49" t="str"/>
      <c r="G2628" s="59" t="str"/>
      <c r="H2628" s="64" t="str"/>
      <c r="I2628" s="65" t="str"/>
      <c r="J2628" s="49" t="str"/>
      <c r="K2628" s="41" t="str"/>
      <c r="L2628" s="41" t="str"/>
      <c r="M2628" s="41" t="str"/>
      <c r="N2628" s="41" t="str"/>
      <c r="O2628" s="41" t="str"/>
      <c r="P2628" s="41" t="str"/>
      <c r="Q2628" s="41" t="str"/>
      <c r="R2628" s="41" t="str"/>
      <c r="S2628" s="41" t="str"/>
      <c r="T2628" s="41" t="str"/>
      <c r="U2628" s="41" t="str"/>
      <c r="V2628" s="41" t="str"/>
      <c r="W2628" s="41" t="str"/>
    </row>
    <row r="2629">
      <c r="B2629" s="2" t="n"/>
      <c r="C2629" s="40" t="n"/>
      <c r="D2629" s="52">
        <f t="array" ref="D2629:W2629">IF(All_Students_Scores!C2627:V2627="","",All_Students_Scores!C2627:V2627)</f>
        <v/>
      </c>
      <c r="E2629" s="57" t="str"/>
      <c r="F2629" s="49" t="str"/>
      <c r="G2629" s="59" t="str"/>
      <c r="H2629" s="64" t="str"/>
      <c r="I2629" s="65" t="str"/>
      <c r="J2629" s="49" t="str"/>
      <c r="K2629" s="41" t="str"/>
      <c r="L2629" s="41" t="str"/>
      <c r="M2629" s="41" t="str"/>
      <c r="N2629" s="41" t="str"/>
      <c r="O2629" s="41" t="str"/>
      <c r="P2629" s="41" t="str"/>
      <c r="Q2629" s="41" t="str"/>
      <c r="R2629" s="41" t="str"/>
      <c r="S2629" s="41" t="str"/>
      <c r="T2629" s="41" t="str"/>
      <c r="U2629" s="41" t="str"/>
      <c r="V2629" s="41" t="str"/>
      <c r="W2629" s="41" t="str"/>
    </row>
    <row r="2630">
      <c r="B2630" s="2" t="n"/>
      <c r="C2630" s="40" t="n"/>
      <c r="D2630" s="52">
        <f t="array" ref="D2630:W2630">IF(All_Students_Scores!C2628:V2628="","",All_Students_Scores!C2628:V2628)</f>
        <v/>
      </c>
      <c r="E2630" s="57" t="str"/>
      <c r="F2630" s="49" t="str"/>
      <c r="G2630" s="59" t="str"/>
      <c r="H2630" s="64" t="str"/>
      <c r="I2630" s="65" t="str"/>
      <c r="J2630" s="49" t="str"/>
      <c r="K2630" s="41" t="str"/>
      <c r="L2630" s="41" t="str"/>
      <c r="M2630" s="41" t="str"/>
      <c r="N2630" s="41" t="str"/>
      <c r="O2630" s="41" t="str"/>
      <c r="P2630" s="41" t="str"/>
      <c r="Q2630" s="41" t="str"/>
      <c r="R2630" s="41" t="str"/>
      <c r="S2630" s="41" t="str"/>
      <c r="T2630" s="41" t="str"/>
      <c r="U2630" s="41" t="str"/>
      <c r="V2630" s="41" t="str"/>
      <c r="W2630" s="41" t="str"/>
    </row>
    <row r="2631">
      <c r="B2631" s="2" t="n"/>
      <c r="C2631" s="40" t="n"/>
      <c r="D2631" s="52">
        <f t="array" ref="D2631:W2631">IF(All_Students_Scores!C2629:V2629="","",All_Students_Scores!C2629:V2629)</f>
        <v/>
      </c>
      <c r="E2631" s="57" t="str"/>
      <c r="F2631" s="49" t="str"/>
      <c r="G2631" s="59" t="str"/>
      <c r="H2631" s="64" t="str"/>
      <c r="I2631" s="65" t="str"/>
      <c r="J2631" s="49" t="str"/>
      <c r="K2631" s="41" t="str"/>
      <c r="L2631" s="41" t="str"/>
      <c r="M2631" s="41" t="str"/>
      <c r="N2631" s="41" t="str"/>
      <c r="O2631" s="41" t="str"/>
      <c r="P2631" s="41" t="str"/>
      <c r="Q2631" s="41" t="str"/>
      <c r="R2631" s="41" t="str"/>
      <c r="S2631" s="41" t="str"/>
      <c r="T2631" s="41" t="str"/>
      <c r="U2631" s="41" t="str"/>
      <c r="V2631" s="41" t="str"/>
      <c r="W2631" s="41" t="str"/>
    </row>
    <row r="2632">
      <c r="B2632" s="2" t="n"/>
      <c r="C2632" s="40" t="n"/>
      <c r="D2632" s="52">
        <f t="array" ref="D2632:W2632">IF(All_Students_Scores!C2630:V2630="","",All_Students_Scores!C2630:V2630)</f>
        <v/>
      </c>
      <c r="E2632" s="57" t="str"/>
      <c r="F2632" s="49" t="str"/>
      <c r="G2632" s="59" t="str"/>
      <c r="H2632" s="64" t="str"/>
      <c r="I2632" s="65" t="str"/>
      <c r="J2632" s="49" t="str"/>
      <c r="K2632" s="41" t="str"/>
      <c r="L2632" s="41" t="str"/>
      <c r="M2632" s="41" t="str"/>
      <c r="N2632" s="41" t="str"/>
      <c r="O2632" s="41" t="str"/>
      <c r="P2632" s="41" t="str"/>
      <c r="Q2632" s="41" t="str"/>
      <c r="R2632" s="41" t="str"/>
      <c r="S2632" s="41" t="str"/>
      <c r="T2632" s="41" t="str"/>
      <c r="U2632" s="41" t="str"/>
      <c r="V2632" s="41" t="str"/>
      <c r="W2632" s="41" t="str"/>
    </row>
    <row r="2633">
      <c r="B2633" s="2" t="n"/>
      <c r="C2633" s="40" t="n"/>
      <c r="D2633" s="52">
        <f t="array" ref="D2633:W2633">IF(All_Students_Scores!C2631:V2631="","",All_Students_Scores!C2631:V2631)</f>
        <v/>
      </c>
      <c r="E2633" s="57" t="str"/>
      <c r="F2633" s="49" t="str"/>
      <c r="G2633" s="59" t="str"/>
      <c r="H2633" s="64" t="str"/>
      <c r="I2633" s="65" t="str"/>
      <c r="J2633" s="49" t="str"/>
      <c r="K2633" s="41" t="str"/>
      <c r="L2633" s="41" t="str"/>
      <c r="M2633" s="41" t="str"/>
      <c r="N2633" s="41" t="str"/>
      <c r="O2633" s="41" t="str"/>
      <c r="P2633" s="41" t="str"/>
      <c r="Q2633" s="41" t="str"/>
      <c r="R2633" s="41" t="str"/>
      <c r="S2633" s="41" t="str"/>
      <c r="T2633" s="41" t="str"/>
      <c r="U2633" s="41" t="str"/>
      <c r="V2633" s="41" t="str"/>
      <c r="W2633" s="41" t="str"/>
    </row>
    <row r="2634">
      <c r="B2634" s="2" t="n"/>
      <c r="C2634" s="40" t="n"/>
      <c r="D2634" s="52">
        <f t="array" ref="D2634:W2634">IF(All_Students_Scores!C2632:V2632="","",All_Students_Scores!C2632:V2632)</f>
        <v/>
      </c>
      <c r="E2634" s="57" t="str"/>
      <c r="F2634" s="49" t="str"/>
      <c r="G2634" s="59" t="str"/>
      <c r="H2634" s="64" t="str"/>
      <c r="I2634" s="65" t="str"/>
      <c r="J2634" s="49" t="str"/>
      <c r="K2634" s="41" t="str"/>
      <c r="L2634" s="41" t="str"/>
      <c r="M2634" s="41" t="str"/>
      <c r="N2634" s="41" t="str"/>
      <c r="O2634" s="41" t="str"/>
      <c r="P2634" s="41" t="str"/>
      <c r="Q2634" s="41" t="str"/>
      <c r="R2634" s="41" t="str"/>
      <c r="S2634" s="41" t="str"/>
      <c r="T2634" s="41" t="str"/>
      <c r="U2634" s="41" t="str"/>
      <c r="V2634" s="41" t="str"/>
      <c r="W2634" s="41" t="str"/>
    </row>
    <row r="2635">
      <c r="B2635" s="2" t="n"/>
      <c r="C2635" s="40" t="n"/>
      <c r="D2635" s="52">
        <f t="array" ref="D2635:W2635">IF(All_Students_Scores!C2633:V2633="","",All_Students_Scores!C2633:V2633)</f>
        <v/>
      </c>
      <c r="E2635" s="57" t="str"/>
      <c r="F2635" s="49" t="str"/>
      <c r="G2635" s="59" t="str"/>
      <c r="H2635" s="64" t="str"/>
      <c r="I2635" s="65" t="str"/>
      <c r="J2635" s="49" t="str"/>
      <c r="K2635" s="41" t="str"/>
      <c r="L2635" s="41" t="str"/>
      <c r="M2635" s="41" t="str"/>
      <c r="N2635" s="41" t="str"/>
      <c r="O2635" s="41" t="str"/>
      <c r="P2635" s="41" t="str"/>
      <c r="Q2635" s="41" t="str"/>
      <c r="R2635" s="41" t="str"/>
      <c r="S2635" s="41" t="str"/>
      <c r="T2635" s="41" t="str"/>
      <c r="U2635" s="41" t="str"/>
      <c r="V2635" s="41" t="str"/>
      <c r="W2635" s="41" t="str"/>
    </row>
    <row r="2636">
      <c r="B2636" s="2" t="n"/>
      <c r="C2636" s="40" t="n"/>
      <c r="D2636" s="52">
        <f t="array" ref="D2636:W2636">IF(All_Students_Scores!C2634:V2634="","",All_Students_Scores!C2634:V2634)</f>
        <v/>
      </c>
      <c r="E2636" s="57" t="str"/>
      <c r="F2636" s="49" t="str"/>
      <c r="G2636" s="59" t="str"/>
      <c r="H2636" s="64" t="str"/>
      <c r="I2636" s="65" t="str"/>
      <c r="J2636" s="49" t="str"/>
      <c r="K2636" s="41" t="str"/>
      <c r="L2636" s="41" t="str"/>
      <c r="M2636" s="41" t="str"/>
      <c r="N2636" s="41" t="str"/>
      <c r="O2636" s="41" t="str"/>
      <c r="P2636" s="41" t="str"/>
      <c r="Q2636" s="41" t="str"/>
      <c r="R2636" s="41" t="str"/>
      <c r="S2636" s="41" t="str"/>
      <c r="T2636" s="41" t="str"/>
      <c r="U2636" s="41" t="str"/>
      <c r="V2636" s="41" t="str"/>
      <c r="W2636" s="41" t="str"/>
    </row>
    <row r="2637">
      <c r="B2637" s="2" t="n"/>
      <c r="C2637" s="40" t="n"/>
      <c r="D2637" s="52">
        <f t="array" ref="D2637:W2637">IF(All_Students_Scores!C2635:V2635="","",All_Students_Scores!C2635:V2635)</f>
        <v/>
      </c>
      <c r="E2637" s="57" t="str"/>
      <c r="F2637" s="49" t="str"/>
      <c r="G2637" s="59" t="str"/>
      <c r="H2637" s="64" t="str"/>
      <c r="I2637" s="65" t="str"/>
      <c r="J2637" s="49" t="str"/>
      <c r="K2637" s="41" t="str"/>
      <c r="L2637" s="41" t="str"/>
      <c r="M2637" s="41" t="str"/>
      <c r="N2637" s="41" t="str"/>
      <c r="O2637" s="41" t="str"/>
      <c r="P2637" s="41" t="str"/>
      <c r="Q2637" s="41" t="str"/>
      <c r="R2637" s="41" t="str"/>
      <c r="S2637" s="41" t="str"/>
      <c r="T2637" s="41" t="str"/>
      <c r="U2637" s="41" t="str"/>
      <c r="V2637" s="41" t="str"/>
      <c r="W2637" s="41" t="str"/>
    </row>
    <row r="2638">
      <c r="B2638" s="2" t="n"/>
      <c r="C2638" s="40" t="n"/>
      <c r="D2638" s="52">
        <f t="array" ref="D2638:W2638">IF(All_Students_Scores!C2636:V2636="","",All_Students_Scores!C2636:V2636)</f>
        <v/>
      </c>
      <c r="E2638" s="57" t="str"/>
      <c r="F2638" s="49" t="str"/>
      <c r="G2638" s="59" t="str"/>
      <c r="H2638" s="64" t="str"/>
      <c r="I2638" s="65" t="str"/>
      <c r="J2638" s="49" t="str"/>
      <c r="K2638" s="41" t="str"/>
      <c r="L2638" s="41" t="str"/>
      <c r="M2638" s="41" t="str"/>
      <c r="N2638" s="41" t="str"/>
      <c r="O2638" s="41" t="str"/>
      <c r="P2638" s="41" t="str"/>
      <c r="Q2638" s="41" t="str"/>
      <c r="R2638" s="41" t="str"/>
      <c r="S2638" s="41" t="str"/>
      <c r="T2638" s="41" t="str"/>
      <c r="U2638" s="41" t="str"/>
      <c r="V2638" s="41" t="str"/>
      <c r="W2638" s="41" t="str"/>
    </row>
    <row r="2639">
      <c r="B2639" s="2" t="n"/>
      <c r="C2639" s="40" t="n"/>
      <c r="D2639" s="52">
        <f t="array" ref="D2639:W2639">IF(All_Students_Scores!C2637:V2637="","",All_Students_Scores!C2637:V2637)</f>
        <v/>
      </c>
      <c r="E2639" s="57" t="str"/>
      <c r="F2639" s="49" t="str"/>
      <c r="G2639" s="59" t="str"/>
      <c r="H2639" s="64" t="str"/>
      <c r="I2639" s="65" t="str"/>
      <c r="J2639" s="49" t="str"/>
      <c r="K2639" s="41" t="str"/>
      <c r="L2639" s="41" t="str"/>
      <c r="M2639" s="41" t="str"/>
      <c r="N2639" s="41" t="str"/>
      <c r="O2639" s="41" t="str"/>
      <c r="P2639" s="41" t="str"/>
      <c r="Q2639" s="41" t="str"/>
      <c r="R2639" s="41" t="str"/>
      <c r="S2639" s="41" t="str"/>
      <c r="T2639" s="41" t="str"/>
      <c r="U2639" s="41" t="str"/>
      <c r="V2639" s="41" t="str"/>
      <c r="W2639" s="41" t="str"/>
    </row>
    <row r="2640">
      <c r="B2640" s="2" t="n"/>
      <c r="C2640" s="40" t="n"/>
      <c r="D2640" s="52">
        <f t="array" ref="D2640:W2640">IF(All_Students_Scores!C2638:V2638="","",All_Students_Scores!C2638:V2638)</f>
        <v/>
      </c>
      <c r="E2640" s="57" t="str"/>
      <c r="F2640" s="49" t="str"/>
      <c r="G2640" s="59" t="str"/>
      <c r="H2640" s="64" t="str"/>
      <c r="I2640" s="65" t="str"/>
      <c r="J2640" s="49" t="str"/>
      <c r="K2640" s="41" t="str"/>
      <c r="L2640" s="41" t="str"/>
      <c r="M2640" s="41" t="str"/>
      <c r="N2640" s="41" t="str"/>
      <c r="O2640" s="41" t="str"/>
      <c r="P2640" s="41" t="str"/>
      <c r="Q2640" s="41" t="str"/>
      <c r="R2640" s="41" t="str"/>
      <c r="S2640" s="41" t="str"/>
      <c r="T2640" s="41" t="str"/>
      <c r="U2640" s="41" t="str"/>
      <c r="V2640" s="41" t="str"/>
      <c r="W2640" s="41" t="str"/>
    </row>
    <row r="2641">
      <c r="B2641" s="2" t="n"/>
      <c r="C2641" s="40" t="n"/>
      <c r="D2641" s="52">
        <f t="array" ref="D2641:W2641">IF(All_Students_Scores!C2639:V2639="","",All_Students_Scores!C2639:V2639)</f>
        <v/>
      </c>
      <c r="E2641" s="57" t="str"/>
      <c r="F2641" s="49" t="str"/>
      <c r="G2641" s="59" t="str"/>
      <c r="H2641" s="64" t="str"/>
      <c r="I2641" s="65" t="str"/>
      <c r="J2641" s="49" t="str"/>
      <c r="K2641" s="41" t="str"/>
      <c r="L2641" s="41" t="str"/>
      <c r="M2641" s="41" t="str"/>
      <c r="N2641" s="41" t="str"/>
      <c r="O2641" s="41" t="str"/>
      <c r="P2641" s="41" t="str"/>
      <c r="Q2641" s="41" t="str"/>
      <c r="R2641" s="41" t="str"/>
      <c r="S2641" s="41" t="str"/>
      <c r="T2641" s="41" t="str"/>
      <c r="U2641" s="41" t="str"/>
      <c r="V2641" s="41" t="str"/>
      <c r="W2641" s="41" t="str"/>
    </row>
    <row r="2642">
      <c r="B2642" s="2" t="n"/>
      <c r="C2642" s="40" t="n"/>
      <c r="D2642" s="52">
        <f t="array" ref="D2642:W2642">IF(All_Students_Scores!C2640:V2640="","",All_Students_Scores!C2640:V2640)</f>
        <v/>
      </c>
      <c r="E2642" s="57" t="str"/>
      <c r="F2642" s="49" t="str"/>
      <c r="G2642" s="59" t="str"/>
      <c r="H2642" s="64" t="str"/>
      <c r="I2642" s="65" t="str"/>
      <c r="J2642" s="49" t="str"/>
      <c r="K2642" s="41" t="str"/>
      <c r="L2642" s="41" t="str"/>
      <c r="M2642" s="41" t="str"/>
      <c r="N2642" s="41" t="str"/>
      <c r="O2642" s="41" t="str"/>
      <c r="P2642" s="41" t="str"/>
      <c r="Q2642" s="41" t="str"/>
      <c r="R2642" s="41" t="str"/>
      <c r="S2642" s="41" t="str"/>
      <c r="T2642" s="41" t="str"/>
      <c r="U2642" s="41" t="str"/>
      <c r="V2642" s="41" t="str"/>
      <c r="W2642" s="41" t="str"/>
    </row>
    <row r="2643">
      <c r="B2643" s="2" t="n"/>
      <c r="C2643" s="40" t="n"/>
      <c r="D2643" s="52">
        <f t="array" ref="D2643:W2643">IF(All_Students_Scores!C2641:V2641="","",All_Students_Scores!C2641:V2641)</f>
        <v/>
      </c>
      <c r="E2643" s="57" t="str"/>
      <c r="F2643" s="49" t="str"/>
      <c r="G2643" s="59" t="str"/>
      <c r="H2643" s="64" t="str"/>
      <c r="I2643" s="65" t="str"/>
      <c r="J2643" s="49" t="str"/>
      <c r="K2643" s="41" t="str"/>
      <c r="L2643" s="41" t="str"/>
      <c r="M2643" s="41" t="str"/>
      <c r="N2643" s="41" t="str"/>
      <c r="O2643" s="41" t="str"/>
      <c r="P2643" s="41" t="str"/>
      <c r="Q2643" s="41" t="str"/>
      <c r="R2643" s="41" t="str"/>
      <c r="S2643" s="41" t="str"/>
      <c r="T2643" s="41" t="str"/>
      <c r="U2643" s="41" t="str"/>
      <c r="V2643" s="41" t="str"/>
      <c r="W2643" s="41" t="str"/>
    </row>
    <row r="2644">
      <c r="B2644" s="2" t="n"/>
      <c r="C2644" s="40" t="n"/>
      <c r="D2644" s="52">
        <f t="array" ref="D2644:W2644">IF(All_Students_Scores!C2642:V2642="","",All_Students_Scores!C2642:V2642)</f>
        <v/>
      </c>
      <c r="E2644" s="57" t="str"/>
      <c r="F2644" s="49" t="str"/>
      <c r="G2644" s="59" t="str"/>
      <c r="H2644" s="64" t="str"/>
      <c r="I2644" s="65" t="str"/>
      <c r="J2644" s="49" t="str"/>
      <c r="K2644" s="41" t="str"/>
      <c r="L2644" s="41" t="str"/>
      <c r="M2644" s="41" t="str"/>
      <c r="N2644" s="41" t="str"/>
      <c r="O2644" s="41" t="str"/>
      <c r="P2644" s="41" t="str"/>
      <c r="Q2644" s="41" t="str"/>
      <c r="R2644" s="41" t="str"/>
      <c r="S2644" s="41" t="str"/>
      <c r="T2644" s="41" t="str"/>
      <c r="U2644" s="41" t="str"/>
      <c r="V2644" s="41" t="str"/>
      <c r="W2644" s="41" t="str"/>
    </row>
    <row r="2645">
      <c r="B2645" s="2" t="n"/>
      <c r="C2645" s="40" t="n"/>
      <c r="D2645" s="52">
        <f t="array" ref="D2645:W2645">IF(All_Students_Scores!C2643:V2643="","",All_Students_Scores!C2643:V2643)</f>
        <v/>
      </c>
      <c r="E2645" s="57" t="str"/>
      <c r="F2645" s="49" t="str"/>
      <c r="G2645" s="59" t="str"/>
      <c r="H2645" s="64" t="str"/>
      <c r="I2645" s="65" t="str"/>
      <c r="J2645" s="49" t="str"/>
      <c r="K2645" s="41" t="str"/>
      <c r="L2645" s="41" t="str"/>
      <c r="M2645" s="41" t="str"/>
      <c r="N2645" s="41" t="str"/>
      <c r="O2645" s="41" t="str"/>
      <c r="P2645" s="41" t="str"/>
      <c r="Q2645" s="41" t="str"/>
      <c r="R2645" s="41" t="str"/>
      <c r="S2645" s="41" t="str"/>
      <c r="T2645" s="41" t="str"/>
      <c r="U2645" s="41" t="str"/>
      <c r="V2645" s="41" t="str"/>
      <c r="W2645" s="41" t="str"/>
    </row>
    <row r="2646">
      <c r="B2646" s="2" t="n"/>
      <c r="C2646" s="40" t="n"/>
      <c r="D2646" s="52">
        <f t="array" ref="D2646:W2646">IF(All_Students_Scores!C2644:V2644="","",All_Students_Scores!C2644:V2644)</f>
        <v/>
      </c>
      <c r="E2646" s="57" t="str"/>
      <c r="F2646" s="49" t="str"/>
      <c r="G2646" s="59" t="str"/>
      <c r="H2646" s="64" t="str"/>
      <c r="I2646" s="65" t="str"/>
      <c r="J2646" s="49" t="str"/>
      <c r="K2646" s="41" t="str"/>
      <c r="L2646" s="41" t="str"/>
      <c r="M2646" s="41" t="str"/>
      <c r="N2646" s="41" t="str"/>
      <c r="O2646" s="41" t="str"/>
      <c r="P2646" s="41" t="str"/>
      <c r="Q2646" s="41" t="str"/>
      <c r="R2646" s="41" t="str"/>
      <c r="S2646" s="41" t="str"/>
      <c r="T2646" s="41" t="str"/>
      <c r="U2646" s="41" t="str"/>
      <c r="V2646" s="41" t="str"/>
      <c r="W2646" s="41" t="str"/>
    </row>
    <row r="2647">
      <c r="B2647" s="2" t="n"/>
      <c r="C2647" s="40" t="n"/>
      <c r="D2647" s="52">
        <f t="array" ref="D2647:W2647">IF(All_Students_Scores!C2645:V2645="","",All_Students_Scores!C2645:V2645)</f>
        <v/>
      </c>
      <c r="E2647" s="57" t="str"/>
      <c r="F2647" s="49" t="str"/>
      <c r="G2647" s="59" t="str"/>
      <c r="H2647" s="64" t="str"/>
      <c r="I2647" s="65" t="str"/>
      <c r="J2647" s="49" t="str"/>
      <c r="K2647" s="41" t="str"/>
      <c r="L2647" s="41" t="str"/>
      <c r="M2647" s="41" t="str"/>
      <c r="N2647" s="41" t="str"/>
      <c r="O2647" s="41" t="str"/>
      <c r="P2647" s="41" t="str"/>
      <c r="Q2647" s="41" t="str"/>
      <c r="R2647" s="41" t="str"/>
      <c r="S2647" s="41" t="str"/>
      <c r="T2647" s="41" t="str"/>
      <c r="U2647" s="41" t="str"/>
      <c r="V2647" s="41" t="str"/>
      <c r="W2647" s="41" t="str"/>
    </row>
    <row r="2648">
      <c r="B2648" s="2" t="n"/>
      <c r="C2648" s="40" t="n"/>
      <c r="D2648" s="52">
        <f t="array" ref="D2648:W2648">IF(All_Students_Scores!C2646:V2646="","",All_Students_Scores!C2646:V2646)</f>
        <v/>
      </c>
      <c r="E2648" s="57" t="str"/>
      <c r="F2648" s="49" t="str"/>
      <c r="G2648" s="59" t="str"/>
      <c r="H2648" s="64" t="str"/>
      <c r="I2648" s="65" t="str"/>
      <c r="J2648" s="49" t="str"/>
      <c r="K2648" s="41" t="str"/>
      <c r="L2648" s="41" t="str"/>
      <c r="M2648" s="41" t="str"/>
      <c r="N2648" s="41" t="str"/>
      <c r="O2648" s="41" t="str"/>
      <c r="P2648" s="41" t="str"/>
      <c r="Q2648" s="41" t="str"/>
      <c r="R2648" s="41" t="str"/>
      <c r="S2648" s="41" t="str"/>
      <c r="T2648" s="41" t="str"/>
      <c r="U2648" s="41" t="str"/>
      <c r="V2648" s="41" t="str"/>
      <c r="W2648" s="41" t="str"/>
    </row>
    <row r="2649">
      <c r="B2649" s="2" t="n"/>
      <c r="C2649" s="40" t="n"/>
      <c r="D2649" s="52">
        <f t="array" ref="D2649:W2649">IF(All_Students_Scores!C2647:V2647="","",All_Students_Scores!C2647:V2647)</f>
        <v/>
      </c>
      <c r="E2649" s="57" t="str"/>
      <c r="F2649" s="49" t="str"/>
      <c r="G2649" s="59" t="str"/>
      <c r="H2649" s="64" t="str"/>
      <c r="I2649" s="65" t="str"/>
      <c r="J2649" s="49" t="str"/>
      <c r="K2649" s="41" t="str"/>
      <c r="L2649" s="41" t="str"/>
      <c r="M2649" s="41" t="str"/>
      <c r="N2649" s="41" t="str"/>
      <c r="O2649" s="41" t="str"/>
      <c r="P2649" s="41" t="str"/>
      <c r="Q2649" s="41" t="str"/>
      <c r="R2649" s="41" t="str"/>
      <c r="S2649" s="41" t="str"/>
      <c r="T2649" s="41" t="str"/>
      <c r="U2649" s="41" t="str"/>
      <c r="V2649" s="41" t="str"/>
      <c r="W2649" s="41" t="str"/>
    </row>
    <row r="2650">
      <c r="B2650" s="2" t="n"/>
      <c r="C2650" s="40" t="n"/>
      <c r="D2650" s="52">
        <f t="array" ref="D2650:W2650">IF(All_Students_Scores!C2648:V2648="","",All_Students_Scores!C2648:V2648)</f>
        <v/>
      </c>
      <c r="E2650" s="57" t="str"/>
      <c r="F2650" s="49" t="str"/>
      <c r="G2650" s="59" t="str"/>
      <c r="H2650" s="64" t="str"/>
      <c r="I2650" s="65" t="str"/>
      <c r="J2650" s="49" t="str"/>
      <c r="K2650" s="41" t="str"/>
      <c r="L2650" s="41" t="str"/>
      <c r="M2650" s="41" t="str"/>
      <c r="N2650" s="41" t="str"/>
      <c r="O2650" s="41" t="str"/>
      <c r="P2650" s="41" t="str"/>
      <c r="Q2650" s="41" t="str"/>
      <c r="R2650" s="41" t="str"/>
      <c r="S2650" s="41" t="str"/>
      <c r="T2650" s="41" t="str"/>
      <c r="U2650" s="41" t="str"/>
      <c r="V2650" s="41" t="str"/>
      <c r="W2650" s="41" t="str"/>
    </row>
    <row r="2651">
      <c r="B2651" s="2" t="n"/>
      <c r="C2651" s="40" t="n"/>
      <c r="D2651" s="52">
        <f t="array" ref="D2651:W2651">IF(All_Students_Scores!C2649:V2649="","",All_Students_Scores!C2649:V2649)</f>
        <v/>
      </c>
      <c r="E2651" s="57" t="str"/>
      <c r="F2651" s="49" t="str"/>
      <c r="G2651" s="59" t="str"/>
      <c r="H2651" s="64" t="str"/>
      <c r="I2651" s="65" t="str"/>
      <c r="J2651" s="49" t="str"/>
      <c r="K2651" s="41" t="str"/>
      <c r="L2651" s="41" t="str"/>
      <c r="M2651" s="41" t="str"/>
      <c r="N2651" s="41" t="str"/>
      <c r="O2651" s="41" t="str"/>
      <c r="P2651" s="41" t="str"/>
      <c r="Q2651" s="41" t="str"/>
      <c r="R2651" s="41" t="str"/>
      <c r="S2651" s="41" t="str"/>
      <c r="T2651" s="41" t="str"/>
      <c r="U2651" s="41" t="str"/>
      <c r="V2651" s="41" t="str"/>
      <c r="W2651" s="41" t="str"/>
    </row>
    <row r="2652">
      <c r="B2652" s="2" t="n"/>
      <c r="C2652" s="40" t="n"/>
      <c r="D2652" s="52">
        <f t="array" ref="D2652:W2652">IF(All_Students_Scores!C2650:V2650="","",All_Students_Scores!C2650:V2650)</f>
        <v/>
      </c>
      <c r="E2652" s="57" t="str"/>
      <c r="F2652" s="49" t="str"/>
      <c r="G2652" s="59" t="str"/>
      <c r="H2652" s="64" t="str"/>
      <c r="I2652" s="65" t="str"/>
      <c r="J2652" s="49" t="str"/>
      <c r="K2652" s="41" t="str"/>
      <c r="L2652" s="41" t="str"/>
      <c r="M2652" s="41" t="str"/>
      <c r="N2652" s="41" t="str"/>
      <c r="O2652" s="41" t="str"/>
      <c r="P2652" s="41" t="str"/>
      <c r="Q2652" s="41" t="str"/>
      <c r="R2652" s="41" t="str"/>
      <c r="S2652" s="41" t="str"/>
      <c r="T2652" s="41" t="str"/>
      <c r="U2652" s="41" t="str"/>
      <c r="V2652" s="41" t="str"/>
      <c r="W2652" s="41" t="str"/>
    </row>
    <row r="2653">
      <c r="B2653" s="2" t="n"/>
      <c r="C2653" s="40" t="n"/>
      <c r="D2653" s="52">
        <f t="array" ref="D2653:W2653">IF(All_Students_Scores!C2651:V2651="","",All_Students_Scores!C2651:V2651)</f>
        <v/>
      </c>
      <c r="E2653" s="57" t="str"/>
      <c r="F2653" s="49" t="str"/>
      <c r="G2653" s="59" t="str"/>
      <c r="H2653" s="64" t="str"/>
      <c r="I2653" s="65" t="str"/>
      <c r="J2653" s="49" t="str"/>
      <c r="K2653" s="41" t="str"/>
      <c r="L2653" s="41" t="str"/>
      <c r="M2653" s="41" t="str"/>
      <c r="N2653" s="41" t="str"/>
      <c r="O2653" s="41" t="str"/>
      <c r="P2653" s="41" t="str"/>
      <c r="Q2653" s="41" t="str"/>
      <c r="R2653" s="41" t="str"/>
      <c r="S2653" s="41" t="str"/>
      <c r="T2653" s="41" t="str"/>
      <c r="U2653" s="41" t="str"/>
      <c r="V2653" s="41" t="str"/>
      <c r="W2653" s="41" t="str"/>
    </row>
    <row r="2654">
      <c r="B2654" s="2" t="n"/>
      <c r="C2654" s="40" t="n"/>
      <c r="D2654" s="52">
        <f t="array" ref="D2654:W2654">IF(All_Students_Scores!C2652:V2652="","",All_Students_Scores!C2652:V2652)</f>
        <v/>
      </c>
      <c r="E2654" s="57" t="str"/>
      <c r="F2654" s="49" t="str"/>
      <c r="G2654" s="59" t="str"/>
      <c r="H2654" s="64" t="str"/>
      <c r="I2654" s="65" t="str"/>
      <c r="J2654" s="49" t="str"/>
      <c r="K2654" s="41" t="str"/>
      <c r="L2654" s="41" t="str"/>
      <c r="M2654" s="41" t="str"/>
      <c r="N2654" s="41" t="str"/>
      <c r="O2654" s="41" t="str"/>
      <c r="P2654" s="41" t="str"/>
      <c r="Q2654" s="41" t="str"/>
      <c r="R2654" s="41" t="str"/>
      <c r="S2654" s="41" t="str"/>
      <c r="T2654" s="41" t="str"/>
      <c r="U2654" s="41" t="str"/>
      <c r="V2654" s="41" t="str"/>
      <c r="W2654" s="41" t="str"/>
    </row>
    <row r="2655">
      <c r="B2655" s="2" t="n"/>
      <c r="C2655" s="40" t="n"/>
      <c r="D2655" s="52">
        <f t="array" ref="D2655:W2655">IF(All_Students_Scores!C2653:V2653="","",All_Students_Scores!C2653:V2653)</f>
        <v/>
      </c>
      <c r="E2655" s="57" t="str"/>
      <c r="F2655" s="49" t="str"/>
      <c r="G2655" s="59" t="str"/>
      <c r="H2655" s="64" t="str"/>
      <c r="I2655" s="65" t="str"/>
      <c r="J2655" s="49" t="str"/>
      <c r="K2655" s="41" t="str"/>
      <c r="L2655" s="41" t="str"/>
      <c r="M2655" s="41" t="str"/>
      <c r="N2655" s="41" t="str"/>
      <c r="O2655" s="41" t="str"/>
      <c r="P2655" s="41" t="str"/>
      <c r="Q2655" s="41" t="str"/>
      <c r="R2655" s="41" t="str"/>
      <c r="S2655" s="41" t="str"/>
      <c r="T2655" s="41" t="str"/>
      <c r="U2655" s="41" t="str"/>
      <c r="V2655" s="41" t="str"/>
      <c r="W2655" s="41" t="str"/>
    </row>
    <row r="2656">
      <c r="B2656" s="2" t="n"/>
      <c r="C2656" s="40" t="n"/>
      <c r="D2656" s="52">
        <f t="array" ref="D2656:W2656">IF(All_Students_Scores!C2654:V2654="","",All_Students_Scores!C2654:V2654)</f>
        <v/>
      </c>
      <c r="E2656" s="57" t="str"/>
      <c r="F2656" s="49" t="str"/>
      <c r="G2656" s="59" t="str"/>
      <c r="H2656" s="64" t="str"/>
      <c r="I2656" s="65" t="str"/>
      <c r="J2656" s="49" t="str"/>
      <c r="K2656" s="41" t="str"/>
      <c r="L2656" s="41" t="str"/>
      <c r="M2656" s="41" t="str"/>
      <c r="N2656" s="41" t="str"/>
      <c r="O2656" s="41" t="str"/>
      <c r="P2656" s="41" t="str"/>
      <c r="Q2656" s="41" t="str"/>
      <c r="R2656" s="41" t="str"/>
      <c r="S2656" s="41" t="str"/>
      <c r="T2656" s="41" t="str"/>
      <c r="U2656" s="41" t="str"/>
      <c r="V2656" s="41" t="str"/>
      <c r="W2656" s="41" t="str"/>
    </row>
    <row r="2657">
      <c r="B2657" s="2" t="n"/>
      <c r="C2657" s="40" t="n"/>
      <c r="D2657" s="52">
        <f t="array" ref="D2657:W2657">IF(All_Students_Scores!C2655:V2655="","",All_Students_Scores!C2655:V2655)</f>
        <v/>
      </c>
      <c r="E2657" s="57" t="str"/>
      <c r="F2657" s="49" t="str"/>
      <c r="G2657" s="59" t="str"/>
      <c r="H2657" s="64" t="str"/>
      <c r="I2657" s="65" t="str"/>
      <c r="J2657" s="49" t="str"/>
      <c r="K2657" s="41" t="str"/>
      <c r="L2657" s="41" t="str"/>
      <c r="M2657" s="41" t="str"/>
      <c r="N2657" s="41" t="str"/>
      <c r="O2657" s="41" t="str"/>
      <c r="P2657" s="41" t="str"/>
      <c r="Q2657" s="41" t="str"/>
      <c r="R2657" s="41" t="str"/>
      <c r="S2657" s="41" t="str"/>
      <c r="T2657" s="41" t="str"/>
      <c r="U2657" s="41" t="str"/>
      <c r="V2657" s="41" t="str"/>
      <c r="W2657" s="41" t="str"/>
    </row>
    <row r="2658">
      <c r="B2658" s="2" t="n"/>
      <c r="C2658" s="40" t="n"/>
      <c r="D2658" s="52">
        <f t="array" ref="D2658:W2658">IF(All_Students_Scores!C2656:V2656="","",All_Students_Scores!C2656:V2656)</f>
        <v/>
      </c>
      <c r="E2658" s="57" t="str"/>
      <c r="F2658" s="49" t="str"/>
      <c r="G2658" s="59" t="str"/>
      <c r="H2658" s="64" t="str"/>
      <c r="I2658" s="65" t="str"/>
      <c r="J2658" s="49" t="str"/>
      <c r="K2658" s="41" t="str"/>
      <c r="L2658" s="41" t="str"/>
      <c r="M2658" s="41" t="str"/>
      <c r="N2658" s="41" t="str"/>
      <c r="O2658" s="41" t="str"/>
      <c r="P2658" s="41" t="str"/>
      <c r="Q2658" s="41" t="str"/>
      <c r="R2658" s="41" t="str"/>
      <c r="S2658" s="41" t="str"/>
      <c r="T2658" s="41" t="str"/>
      <c r="U2658" s="41" t="str"/>
      <c r="V2658" s="41" t="str"/>
      <c r="W2658" s="41" t="str"/>
    </row>
    <row r="2659">
      <c r="B2659" s="2" t="n"/>
      <c r="C2659" s="40" t="n"/>
      <c r="D2659" s="52">
        <f t="array" ref="D2659:W2659">IF(All_Students_Scores!C2657:V2657="","",All_Students_Scores!C2657:V2657)</f>
        <v/>
      </c>
      <c r="E2659" s="57" t="str"/>
      <c r="F2659" s="49" t="str"/>
      <c r="G2659" s="59" t="str"/>
      <c r="H2659" s="64" t="str"/>
      <c r="I2659" s="65" t="str"/>
      <c r="J2659" s="49" t="str"/>
      <c r="K2659" s="41" t="str"/>
      <c r="L2659" s="41" t="str"/>
      <c r="M2659" s="41" t="str"/>
      <c r="N2659" s="41" t="str"/>
      <c r="O2659" s="41" t="str"/>
      <c r="P2659" s="41" t="str"/>
      <c r="Q2659" s="41" t="str"/>
      <c r="R2659" s="41" t="str"/>
      <c r="S2659" s="41" t="str"/>
      <c r="T2659" s="41" t="str"/>
      <c r="U2659" s="41" t="str"/>
      <c r="V2659" s="41" t="str"/>
      <c r="W2659" s="41" t="str"/>
    </row>
    <row r="2660">
      <c r="B2660" s="2" t="n"/>
      <c r="C2660" s="40" t="n"/>
      <c r="D2660" s="52">
        <f t="array" ref="D2660:W2660">IF(All_Students_Scores!C2658:V2658="","",All_Students_Scores!C2658:V2658)</f>
        <v/>
      </c>
      <c r="E2660" s="57" t="str"/>
      <c r="F2660" s="49" t="str"/>
      <c r="G2660" s="59" t="str"/>
      <c r="H2660" s="64" t="str"/>
      <c r="I2660" s="65" t="str"/>
      <c r="J2660" s="49" t="str"/>
      <c r="K2660" s="41" t="str"/>
      <c r="L2660" s="41" t="str"/>
      <c r="M2660" s="41" t="str"/>
      <c r="N2660" s="41" t="str"/>
      <c r="O2660" s="41" t="str"/>
      <c r="P2660" s="41" t="str"/>
      <c r="Q2660" s="41" t="str"/>
      <c r="R2660" s="41" t="str"/>
      <c r="S2660" s="41" t="str"/>
      <c r="T2660" s="41" t="str"/>
      <c r="U2660" s="41" t="str"/>
      <c r="V2660" s="41" t="str"/>
      <c r="W2660" s="41" t="str"/>
    </row>
    <row r="2661">
      <c r="B2661" s="2" t="n"/>
      <c r="C2661" s="40" t="n"/>
      <c r="D2661" s="52">
        <f t="array" ref="D2661:W2661">IF(All_Students_Scores!C2659:V2659="","",All_Students_Scores!C2659:V2659)</f>
        <v/>
      </c>
      <c r="E2661" s="57" t="str"/>
      <c r="F2661" s="49" t="str"/>
      <c r="G2661" s="59" t="str"/>
      <c r="H2661" s="64" t="str"/>
      <c r="I2661" s="65" t="str"/>
      <c r="J2661" s="49" t="str"/>
      <c r="K2661" s="41" t="str"/>
      <c r="L2661" s="41" t="str"/>
      <c r="M2661" s="41" t="str"/>
      <c r="N2661" s="41" t="str"/>
      <c r="O2661" s="41" t="str"/>
      <c r="P2661" s="41" t="str"/>
      <c r="Q2661" s="41" t="str"/>
      <c r="R2661" s="41" t="str"/>
      <c r="S2661" s="41" t="str"/>
      <c r="T2661" s="41" t="str"/>
      <c r="U2661" s="41" t="str"/>
      <c r="V2661" s="41" t="str"/>
      <c r="W2661" s="41" t="str"/>
    </row>
    <row r="2662">
      <c r="B2662" s="2" t="n"/>
      <c r="C2662" s="40" t="n"/>
      <c r="D2662" s="52">
        <f t="array" ref="D2662:W2662">IF(All_Students_Scores!C2660:V2660="","",All_Students_Scores!C2660:V2660)</f>
        <v/>
      </c>
      <c r="E2662" s="57" t="str"/>
      <c r="F2662" s="49" t="str"/>
      <c r="G2662" s="59" t="str"/>
      <c r="H2662" s="64" t="str"/>
      <c r="I2662" s="65" t="str"/>
      <c r="J2662" s="49" t="str"/>
      <c r="K2662" s="41" t="str"/>
      <c r="L2662" s="41" t="str"/>
      <c r="M2662" s="41" t="str"/>
      <c r="N2662" s="41" t="str"/>
      <c r="O2662" s="41" t="str"/>
      <c r="P2662" s="41" t="str"/>
      <c r="Q2662" s="41" t="str"/>
      <c r="R2662" s="41" t="str"/>
      <c r="S2662" s="41" t="str"/>
      <c r="T2662" s="41" t="str"/>
      <c r="U2662" s="41" t="str"/>
      <c r="V2662" s="41" t="str"/>
      <c r="W2662" s="41" t="str"/>
    </row>
    <row r="2663">
      <c r="B2663" s="2" t="n"/>
      <c r="C2663" s="40" t="n"/>
      <c r="D2663" s="52">
        <f t="array" ref="D2663:W2663">IF(All_Students_Scores!C2661:V2661="","",All_Students_Scores!C2661:V2661)</f>
        <v/>
      </c>
      <c r="E2663" s="57" t="str"/>
      <c r="F2663" s="49" t="str"/>
      <c r="G2663" s="59" t="str"/>
      <c r="H2663" s="64" t="str"/>
      <c r="I2663" s="65" t="str"/>
      <c r="J2663" s="49" t="str"/>
      <c r="K2663" s="41" t="str"/>
      <c r="L2663" s="41" t="str"/>
      <c r="M2663" s="41" t="str"/>
      <c r="N2663" s="41" t="str"/>
      <c r="O2663" s="41" t="str"/>
      <c r="P2663" s="41" t="str"/>
      <c r="Q2663" s="41" t="str"/>
      <c r="R2663" s="41" t="str"/>
      <c r="S2663" s="41" t="str"/>
      <c r="T2663" s="41" t="str"/>
      <c r="U2663" s="41" t="str"/>
      <c r="V2663" s="41" t="str"/>
      <c r="W2663" s="41" t="str"/>
    </row>
    <row r="2664">
      <c r="B2664" s="2" t="n"/>
      <c r="C2664" s="40" t="n"/>
      <c r="D2664" s="52">
        <f t="array" ref="D2664:W2664">IF(All_Students_Scores!C2662:V2662="","",All_Students_Scores!C2662:V2662)</f>
        <v/>
      </c>
      <c r="E2664" s="57" t="str"/>
      <c r="F2664" s="49" t="str"/>
      <c r="G2664" s="59" t="str"/>
      <c r="H2664" s="64" t="str"/>
      <c r="I2664" s="65" t="str"/>
      <c r="J2664" s="49" t="str"/>
      <c r="K2664" s="41" t="str"/>
      <c r="L2664" s="41" t="str"/>
      <c r="M2664" s="41" t="str"/>
      <c r="N2664" s="41" t="str"/>
      <c r="O2664" s="41" t="str"/>
      <c r="P2664" s="41" t="str"/>
      <c r="Q2664" s="41" t="str"/>
      <c r="R2664" s="41" t="str"/>
      <c r="S2664" s="41" t="str"/>
      <c r="T2664" s="41" t="str"/>
      <c r="U2664" s="41" t="str"/>
      <c r="V2664" s="41" t="str"/>
      <c r="W2664" s="41" t="str"/>
    </row>
    <row r="2665">
      <c r="B2665" s="2" t="n"/>
      <c r="C2665" s="40" t="n"/>
      <c r="D2665" s="52">
        <f t="array" ref="D2665:W2665">IF(All_Students_Scores!C2663:V2663="","",All_Students_Scores!C2663:V2663)</f>
        <v/>
      </c>
      <c r="E2665" s="57" t="str"/>
      <c r="F2665" s="49" t="str"/>
      <c r="G2665" s="59" t="str"/>
      <c r="H2665" s="64" t="str"/>
      <c r="I2665" s="65" t="str"/>
      <c r="J2665" s="49" t="str"/>
      <c r="K2665" s="41" t="str"/>
      <c r="L2665" s="41" t="str"/>
      <c r="M2665" s="41" t="str"/>
      <c r="N2665" s="41" t="str"/>
      <c r="O2665" s="41" t="str"/>
      <c r="P2665" s="41" t="str"/>
      <c r="Q2665" s="41" t="str"/>
      <c r="R2665" s="41" t="str"/>
      <c r="S2665" s="41" t="str"/>
      <c r="T2665" s="41" t="str"/>
      <c r="U2665" s="41" t="str"/>
      <c r="V2665" s="41" t="str"/>
      <c r="W2665" s="41" t="str"/>
    </row>
    <row r="2666">
      <c r="B2666" s="2" t="n"/>
      <c r="C2666" s="40" t="n"/>
      <c r="D2666" s="52">
        <f t="array" ref="D2666:W2666">IF(All_Students_Scores!C2664:V2664="","",All_Students_Scores!C2664:V2664)</f>
        <v/>
      </c>
      <c r="E2666" s="57" t="str"/>
      <c r="F2666" s="49" t="str"/>
      <c r="G2666" s="59" t="str"/>
      <c r="H2666" s="64" t="str"/>
      <c r="I2666" s="65" t="str"/>
      <c r="J2666" s="49" t="str"/>
      <c r="K2666" s="41" t="str"/>
      <c r="L2666" s="41" t="str"/>
      <c r="M2666" s="41" t="str"/>
      <c r="N2666" s="41" t="str"/>
      <c r="O2666" s="41" t="str"/>
      <c r="P2666" s="41" t="str"/>
      <c r="Q2666" s="41" t="str"/>
      <c r="R2666" s="41" t="str"/>
      <c r="S2666" s="41" t="str"/>
      <c r="T2666" s="41" t="str"/>
      <c r="U2666" s="41" t="str"/>
      <c r="V2666" s="41" t="str"/>
      <c r="W2666" s="41" t="str"/>
    </row>
    <row r="2667">
      <c r="B2667" s="2" t="n"/>
      <c r="C2667" s="40" t="n"/>
      <c r="D2667" s="52">
        <f t="array" ref="D2667:W2667">IF(All_Students_Scores!C2665:V2665="","",All_Students_Scores!C2665:V2665)</f>
        <v/>
      </c>
      <c r="E2667" s="57" t="str"/>
      <c r="F2667" s="49" t="str"/>
      <c r="G2667" s="59" t="str"/>
      <c r="H2667" s="64" t="str"/>
      <c r="I2667" s="65" t="str"/>
      <c r="J2667" s="49" t="str"/>
      <c r="K2667" s="41" t="str"/>
      <c r="L2667" s="41" t="str"/>
      <c r="M2667" s="41" t="str"/>
      <c r="N2667" s="41" t="str"/>
      <c r="O2667" s="41" t="str"/>
      <c r="P2667" s="41" t="str"/>
      <c r="Q2667" s="41" t="str"/>
      <c r="R2667" s="41" t="str"/>
      <c r="S2667" s="41" t="str"/>
      <c r="T2667" s="41" t="str"/>
      <c r="U2667" s="41" t="str"/>
      <c r="V2667" s="41" t="str"/>
      <c r="W2667" s="41" t="str"/>
    </row>
    <row r="2668">
      <c r="B2668" s="2" t="n"/>
      <c r="C2668" s="40" t="n"/>
      <c r="D2668" s="52">
        <f t="array" ref="D2668:W2668">IF(All_Students_Scores!C2666:V2666="","",All_Students_Scores!C2666:V2666)</f>
        <v/>
      </c>
      <c r="E2668" s="57" t="str"/>
      <c r="F2668" s="49" t="str"/>
      <c r="G2668" s="59" t="str"/>
      <c r="H2668" s="64" t="str"/>
      <c r="I2668" s="65" t="str"/>
      <c r="J2668" s="49" t="str"/>
      <c r="K2668" s="41" t="str"/>
      <c r="L2668" s="41" t="str"/>
      <c r="M2668" s="41" t="str"/>
      <c r="N2668" s="41" t="str"/>
      <c r="O2668" s="41" t="str"/>
      <c r="P2668" s="41" t="str"/>
      <c r="Q2668" s="41" t="str"/>
      <c r="R2668" s="41" t="str"/>
      <c r="S2668" s="41" t="str"/>
      <c r="T2668" s="41" t="str"/>
      <c r="U2668" s="41" t="str"/>
      <c r="V2668" s="41" t="str"/>
      <c r="W2668" s="41" t="str"/>
    </row>
    <row r="2669">
      <c r="B2669" s="2" t="n"/>
      <c r="C2669" s="40" t="n"/>
      <c r="D2669" s="52">
        <f t="array" ref="D2669:W2669">IF(All_Students_Scores!C2667:V2667="","",All_Students_Scores!C2667:V2667)</f>
        <v/>
      </c>
      <c r="E2669" s="57" t="str"/>
      <c r="F2669" s="49" t="str"/>
      <c r="G2669" s="59" t="str"/>
      <c r="H2669" s="64" t="str"/>
      <c r="I2669" s="65" t="str"/>
      <c r="J2669" s="49" t="str"/>
      <c r="K2669" s="41" t="str"/>
      <c r="L2669" s="41" t="str"/>
      <c r="M2669" s="41" t="str"/>
      <c r="N2669" s="41" t="str"/>
      <c r="O2669" s="41" t="str"/>
      <c r="P2669" s="41" t="str"/>
      <c r="Q2669" s="41" t="str"/>
      <c r="R2669" s="41" t="str"/>
      <c r="S2669" s="41" t="str"/>
      <c r="T2669" s="41" t="str"/>
      <c r="U2669" s="41" t="str"/>
      <c r="V2669" s="41" t="str"/>
      <c r="W2669" s="41" t="str"/>
    </row>
    <row r="2670">
      <c r="B2670" s="2" t="n"/>
      <c r="C2670" s="40" t="n"/>
      <c r="D2670" s="52">
        <f t="array" ref="D2670:W2670">IF(All_Students_Scores!C2668:V2668="","",All_Students_Scores!C2668:V2668)</f>
        <v/>
      </c>
      <c r="E2670" s="57" t="str"/>
      <c r="F2670" s="49" t="str"/>
      <c r="G2670" s="59" t="str"/>
      <c r="H2670" s="64" t="str"/>
      <c r="I2670" s="65" t="str"/>
      <c r="J2670" s="49" t="str"/>
      <c r="K2670" s="41" t="str"/>
      <c r="L2670" s="41" t="str"/>
      <c r="M2670" s="41" t="str"/>
      <c r="N2670" s="41" t="str"/>
      <c r="O2670" s="41" t="str"/>
      <c r="P2670" s="41" t="str"/>
      <c r="Q2670" s="41" t="str"/>
      <c r="R2670" s="41" t="str"/>
      <c r="S2670" s="41" t="str"/>
      <c r="T2670" s="41" t="str"/>
      <c r="U2670" s="41" t="str"/>
      <c r="V2670" s="41" t="str"/>
      <c r="W2670" s="41" t="str"/>
    </row>
    <row r="2671">
      <c r="B2671" s="2" t="n"/>
      <c r="C2671" s="40" t="n"/>
      <c r="D2671" s="52">
        <f t="array" ref="D2671:W2671">IF(All_Students_Scores!C2669:V2669="","",All_Students_Scores!C2669:V2669)</f>
        <v/>
      </c>
      <c r="E2671" s="57" t="str"/>
      <c r="F2671" s="49" t="str"/>
      <c r="G2671" s="59" t="str"/>
      <c r="H2671" s="64" t="str"/>
      <c r="I2671" s="65" t="str"/>
      <c r="J2671" s="49" t="str"/>
      <c r="K2671" s="41" t="str"/>
      <c r="L2671" s="41" t="str"/>
      <c r="M2671" s="41" t="str"/>
      <c r="N2671" s="41" t="str"/>
      <c r="O2671" s="41" t="str"/>
      <c r="P2671" s="41" t="str"/>
      <c r="Q2671" s="41" t="str"/>
      <c r="R2671" s="41" t="str"/>
      <c r="S2671" s="41" t="str"/>
      <c r="T2671" s="41" t="str"/>
      <c r="U2671" s="41" t="str"/>
      <c r="V2671" s="41" t="str"/>
      <c r="W2671" s="41" t="str"/>
    </row>
    <row r="2672">
      <c r="B2672" s="2" t="n"/>
      <c r="C2672" s="40" t="n"/>
      <c r="D2672" s="52">
        <f t="array" ref="D2672:W2672">IF(All_Students_Scores!C2670:V2670="","",All_Students_Scores!C2670:V2670)</f>
        <v/>
      </c>
      <c r="E2672" s="57" t="str"/>
      <c r="F2672" s="49" t="str"/>
      <c r="G2672" s="59" t="str"/>
      <c r="H2672" s="64" t="str"/>
      <c r="I2672" s="65" t="str"/>
      <c r="J2672" s="49" t="str"/>
      <c r="K2672" s="41" t="str"/>
      <c r="L2672" s="41" t="str"/>
      <c r="M2672" s="41" t="str"/>
      <c r="N2672" s="41" t="str"/>
      <c r="O2672" s="41" t="str"/>
      <c r="P2672" s="41" t="str"/>
      <c r="Q2672" s="41" t="str"/>
      <c r="R2672" s="41" t="str"/>
      <c r="S2672" s="41" t="str"/>
      <c r="T2672" s="41" t="str"/>
      <c r="U2672" s="41" t="str"/>
      <c r="V2672" s="41" t="str"/>
      <c r="W2672" s="41" t="str"/>
    </row>
    <row r="2673">
      <c r="B2673" s="2" t="n"/>
      <c r="C2673" s="40" t="n"/>
      <c r="D2673" s="52">
        <f t="array" ref="D2673:W2673">IF(All_Students_Scores!C2671:V2671="","",All_Students_Scores!C2671:V2671)</f>
        <v/>
      </c>
      <c r="E2673" s="57" t="str"/>
      <c r="F2673" s="49" t="str"/>
      <c r="G2673" s="59" t="str"/>
      <c r="H2673" s="64" t="str"/>
      <c r="I2673" s="65" t="str"/>
      <c r="J2673" s="49" t="str"/>
      <c r="K2673" s="41" t="str"/>
      <c r="L2673" s="41" t="str"/>
      <c r="M2673" s="41" t="str"/>
      <c r="N2673" s="41" t="str"/>
      <c r="O2673" s="41" t="str"/>
      <c r="P2673" s="41" t="str"/>
      <c r="Q2673" s="41" t="str"/>
      <c r="R2673" s="41" t="str"/>
      <c r="S2673" s="41" t="str"/>
      <c r="T2673" s="41" t="str"/>
      <c r="U2673" s="41" t="str"/>
      <c r="V2673" s="41" t="str"/>
      <c r="W2673" s="41" t="str"/>
    </row>
    <row r="2674">
      <c r="B2674" s="2" t="n"/>
      <c r="C2674" s="40" t="n"/>
      <c r="D2674" s="52">
        <f t="array" ref="D2674:W2674">IF(All_Students_Scores!C2672:V2672="","",All_Students_Scores!C2672:V2672)</f>
        <v/>
      </c>
      <c r="E2674" s="57" t="str"/>
      <c r="F2674" s="49" t="str"/>
      <c r="G2674" s="59" t="str"/>
      <c r="H2674" s="64" t="str"/>
      <c r="I2674" s="65" t="str"/>
      <c r="J2674" s="49" t="str"/>
      <c r="K2674" s="41" t="str"/>
      <c r="L2674" s="41" t="str"/>
      <c r="M2674" s="41" t="str"/>
      <c r="N2674" s="41" t="str"/>
      <c r="O2674" s="41" t="str"/>
      <c r="P2674" s="41" t="str"/>
      <c r="Q2674" s="41" t="str"/>
      <c r="R2674" s="41" t="str"/>
      <c r="S2674" s="41" t="str"/>
      <c r="T2674" s="41" t="str"/>
      <c r="U2674" s="41" t="str"/>
      <c r="V2674" s="41" t="str"/>
      <c r="W2674" s="41" t="str"/>
    </row>
    <row r="2675">
      <c r="B2675" s="2" t="n"/>
      <c r="C2675" s="40" t="n"/>
      <c r="D2675" s="52">
        <f t="array" ref="D2675:W2675">IF(All_Students_Scores!C2673:V2673="","",All_Students_Scores!C2673:V2673)</f>
        <v/>
      </c>
      <c r="E2675" s="57" t="str"/>
      <c r="F2675" s="49" t="str"/>
      <c r="G2675" s="59" t="str"/>
      <c r="H2675" s="64" t="str"/>
      <c r="I2675" s="65" t="str"/>
      <c r="J2675" s="49" t="str"/>
      <c r="K2675" s="41" t="str"/>
      <c r="L2675" s="41" t="str"/>
      <c r="M2675" s="41" t="str"/>
      <c r="N2675" s="41" t="str"/>
      <c r="O2675" s="41" t="str"/>
      <c r="P2675" s="41" t="str"/>
      <c r="Q2675" s="41" t="str"/>
      <c r="R2675" s="41" t="str"/>
      <c r="S2675" s="41" t="str"/>
      <c r="T2675" s="41" t="str"/>
      <c r="U2675" s="41" t="str"/>
      <c r="V2675" s="41" t="str"/>
      <c r="W2675" s="41" t="str"/>
    </row>
    <row r="2676">
      <c r="B2676" s="2" t="n"/>
      <c r="C2676" s="40" t="n"/>
      <c r="D2676" s="52">
        <f t="array" ref="D2676:W2676">IF(All_Students_Scores!C2674:V2674="","",All_Students_Scores!C2674:V2674)</f>
        <v/>
      </c>
      <c r="E2676" s="57" t="str"/>
      <c r="F2676" s="49" t="str"/>
      <c r="G2676" s="59" t="str"/>
      <c r="H2676" s="64" t="str"/>
      <c r="I2676" s="65" t="str"/>
      <c r="J2676" s="49" t="str"/>
      <c r="K2676" s="41" t="str"/>
      <c r="L2676" s="41" t="str"/>
      <c r="M2676" s="41" t="str"/>
      <c r="N2676" s="41" t="str"/>
      <c r="O2676" s="41" t="str"/>
      <c r="P2676" s="41" t="str"/>
      <c r="Q2676" s="41" t="str"/>
      <c r="R2676" s="41" t="str"/>
      <c r="S2676" s="41" t="str"/>
      <c r="T2676" s="41" t="str"/>
      <c r="U2676" s="41" t="str"/>
      <c r="V2676" s="41" t="str"/>
      <c r="W2676" s="41" t="str"/>
    </row>
    <row r="2677">
      <c r="B2677" s="2" t="n"/>
      <c r="C2677" s="40" t="n"/>
      <c r="D2677" s="52">
        <f t="array" ref="D2677:W2677">IF(All_Students_Scores!C2675:V2675="","",All_Students_Scores!C2675:V2675)</f>
        <v/>
      </c>
      <c r="E2677" s="57" t="str"/>
      <c r="F2677" s="49" t="str"/>
      <c r="G2677" s="59" t="str"/>
      <c r="H2677" s="64" t="str"/>
      <c r="I2677" s="65" t="str"/>
      <c r="J2677" s="49" t="str"/>
      <c r="K2677" s="41" t="str"/>
      <c r="L2677" s="41" t="str"/>
      <c r="M2677" s="41" t="str"/>
      <c r="N2677" s="41" t="str"/>
      <c r="O2677" s="41" t="str"/>
      <c r="P2677" s="41" t="str"/>
      <c r="Q2677" s="41" t="str"/>
      <c r="R2677" s="41" t="str"/>
      <c r="S2677" s="41" t="str"/>
      <c r="T2677" s="41" t="str"/>
      <c r="U2677" s="41" t="str"/>
      <c r="V2677" s="41" t="str"/>
      <c r="W2677" s="41" t="str"/>
    </row>
    <row r="2678">
      <c r="B2678" s="2" t="n"/>
      <c r="C2678" s="40" t="n"/>
      <c r="D2678" s="52">
        <f t="array" ref="D2678:W2678">IF(All_Students_Scores!C2676:V2676="","",All_Students_Scores!C2676:V2676)</f>
        <v/>
      </c>
      <c r="E2678" s="57" t="str"/>
      <c r="F2678" s="49" t="str"/>
      <c r="G2678" s="59" t="str"/>
      <c r="H2678" s="64" t="str"/>
      <c r="I2678" s="65" t="str"/>
      <c r="J2678" s="49" t="str"/>
      <c r="K2678" s="41" t="str"/>
      <c r="L2678" s="41" t="str"/>
      <c r="M2678" s="41" t="str"/>
      <c r="N2678" s="41" t="str"/>
      <c r="O2678" s="41" t="str"/>
      <c r="P2678" s="41" t="str"/>
      <c r="Q2678" s="41" t="str"/>
      <c r="R2678" s="41" t="str"/>
      <c r="S2678" s="41" t="str"/>
      <c r="T2678" s="41" t="str"/>
      <c r="U2678" s="41" t="str"/>
      <c r="V2678" s="41" t="str"/>
      <c r="W2678" s="41" t="str"/>
    </row>
    <row r="2679">
      <c r="B2679" s="2" t="n"/>
      <c r="C2679" s="40" t="n"/>
      <c r="D2679" s="52">
        <f t="array" ref="D2679:W2679">IF(All_Students_Scores!C2677:V2677="","",All_Students_Scores!C2677:V2677)</f>
        <v/>
      </c>
      <c r="E2679" s="57" t="str"/>
      <c r="F2679" s="49" t="str"/>
      <c r="G2679" s="59" t="str"/>
      <c r="H2679" s="64" t="str"/>
      <c r="I2679" s="65" t="str"/>
      <c r="J2679" s="49" t="str"/>
      <c r="K2679" s="41" t="str"/>
      <c r="L2679" s="41" t="str"/>
      <c r="M2679" s="41" t="str"/>
      <c r="N2679" s="41" t="str"/>
      <c r="O2679" s="41" t="str"/>
      <c r="P2679" s="41" t="str"/>
      <c r="Q2679" s="41" t="str"/>
      <c r="R2679" s="41" t="str"/>
      <c r="S2679" s="41" t="str"/>
      <c r="T2679" s="41" t="str"/>
      <c r="U2679" s="41" t="str"/>
      <c r="V2679" s="41" t="str"/>
      <c r="W2679" s="41" t="str"/>
    </row>
    <row r="2680">
      <c r="B2680" s="2" t="n"/>
      <c r="C2680" s="40" t="n"/>
      <c r="D2680" s="52">
        <f t="array" ref="D2680:W2680">IF(All_Students_Scores!C2678:V2678="","",All_Students_Scores!C2678:V2678)</f>
        <v/>
      </c>
      <c r="E2680" s="57" t="str"/>
      <c r="F2680" s="49" t="str"/>
      <c r="G2680" s="59" t="str"/>
      <c r="H2680" s="64" t="str"/>
      <c r="I2680" s="65" t="str"/>
      <c r="J2680" s="49" t="str"/>
      <c r="K2680" s="41" t="str"/>
      <c r="L2680" s="41" t="str"/>
      <c r="M2680" s="41" t="str"/>
      <c r="N2680" s="41" t="str"/>
      <c r="O2680" s="41" t="str"/>
      <c r="P2680" s="41" t="str"/>
      <c r="Q2680" s="41" t="str"/>
      <c r="R2680" s="41" t="str"/>
      <c r="S2680" s="41" t="str"/>
      <c r="T2680" s="41" t="str"/>
      <c r="U2680" s="41" t="str"/>
      <c r="V2680" s="41" t="str"/>
      <c r="W2680" s="41" t="str"/>
    </row>
    <row r="2681">
      <c r="B2681" s="2" t="n"/>
      <c r="C2681" s="40" t="n"/>
      <c r="D2681" s="52">
        <f t="array" ref="D2681:W2681">IF(All_Students_Scores!C2679:V2679="","",All_Students_Scores!C2679:V2679)</f>
        <v/>
      </c>
      <c r="E2681" s="57" t="str"/>
      <c r="F2681" s="49" t="str"/>
      <c r="G2681" s="59" t="str"/>
      <c r="H2681" s="64" t="str"/>
      <c r="I2681" s="65" t="str"/>
      <c r="J2681" s="49" t="str"/>
      <c r="K2681" s="41" t="str"/>
      <c r="L2681" s="41" t="str"/>
      <c r="M2681" s="41" t="str"/>
      <c r="N2681" s="41" t="str"/>
      <c r="O2681" s="41" t="str"/>
      <c r="P2681" s="41" t="str"/>
      <c r="Q2681" s="41" t="str"/>
      <c r="R2681" s="41" t="str"/>
      <c r="S2681" s="41" t="str"/>
      <c r="T2681" s="41" t="str"/>
      <c r="U2681" s="41" t="str"/>
      <c r="V2681" s="41" t="str"/>
      <c r="W2681" s="41" t="str"/>
    </row>
    <row r="2682">
      <c r="B2682" s="2" t="n"/>
      <c r="C2682" s="40" t="n"/>
      <c r="D2682" s="52">
        <f t="array" ref="D2682:W2682">IF(All_Students_Scores!C2680:V2680="","",All_Students_Scores!C2680:V2680)</f>
        <v/>
      </c>
      <c r="E2682" s="57" t="str"/>
      <c r="F2682" s="49" t="str"/>
      <c r="G2682" s="59" t="str"/>
      <c r="H2682" s="64" t="str"/>
      <c r="I2682" s="65" t="str"/>
      <c r="J2682" s="49" t="str"/>
      <c r="K2682" s="41" t="str"/>
      <c r="L2682" s="41" t="str"/>
      <c r="M2682" s="41" t="str"/>
      <c r="N2682" s="41" t="str"/>
      <c r="O2682" s="41" t="str"/>
      <c r="P2682" s="41" t="str"/>
      <c r="Q2682" s="41" t="str"/>
      <c r="R2682" s="41" t="str"/>
      <c r="S2682" s="41" t="str"/>
      <c r="T2682" s="41" t="str"/>
      <c r="U2682" s="41" t="str"/>
      <c r="V2682" s="41" t="str"/>
      <c r="W2682" s="41" t="str"/>
    </row>
    <row r="2683">
      <c r="B2683" s="2" t="n"/>
      <c r="C2683" s="40" t="n"/>
      <c r="D2683" s="52">
        <f t="array" ref="D2683:W2683">IF(All_Students_Scores!C2681:V2681="","",All_Students_Scores!C2681:V2681)</f>
        <v/>
      </c>
      <c r="E2683" s="57" t="str"/>
      <c r="F2683" s="49" t="str"/>
      <c r="G2683" s="59" t="str"/>
      <c r="H2683" s="64" t="str"/>
      <c r="I2683" s="65" t="str"/>
      <c r="J2683" s="49" t="str"/>
      <c r="K2683" s="41" t="str"/>
      <c r="L2683" s="41" t="str"/>
      <c r="M2683" s="41" t="str"/>
      <c r="N2683" s="41" t="str"/>
      <c r="O2683" s="41" t="str"/>
      <c r="P2683" s="41" t="str"/>
      <c r="Q2683" s="41" t="str"/>
      <c r="R2683" s="41" t="str"/>
      <c r="S2683" s="41" t="str"/>
      <c r="T2683" s="41" t="str"/>
      <c r="U2683" s="41" t="str"/>
      <c r="V2683" s="41" t="str"/>
      <c r="W2683" s="41" t="str"/>
    </row>
    <row r="2684">
      <c r="B2684" s="2" t="n"/>
      <c r="C2684" s="40" t="n"/>
      <c r="D2684" s="52">
        <f t="array" ref="D2684:W2684">IF(All_Students_Scores!C2682:V2682="","",All_Students_Scores!C2682:V2682)</f>
        <v/>
      </c>
      <c r="E2684" s="57" t="str"/>
      <c r="F2684" s="49" t="str"/>
      <c r="G2684" s="59" t="str"/>
      <c r="H2684" s="64" t="str"/>
      <c r="I2684" s="65" t="str"/>
      <c r="J2684" s="49" t="str"/>
      <c r="K2684" s="41" t="str"/>
      <c r="L2684" s="41" t="str"/>
      <c r="M2684" s="41" t="str"/>
      <c r="N2684" s="41" t="str"/>
      <c r="O2684" s="41" t="str"/>
      <c r="P2684" s="41" t="str"/>
      <c r="Q2684" s="41" t="str"/>
      <c r="R2684" s="41" t="str"/>
      <c r="S2684" s="41" t="str"/>
      <c r="T2684" s="41" t="str"/>
      <c r="U2684" s="41" t="str"/>
      <c r="V2684" s="41" t="str"/>
      <c r="W2684" s="41" t="str"/>
    </row>
    <row r="2685">
      <c r="B2685" s="2" t="n"/>
      <c r="C2685" s="40" t="n"/>
      <c r="D2685" s="52">
        <f t="array" ref="D2685:W2685">IF(All_Students_Scores!C2683:V2683="","",All_Students_Scores!C2683:V2683)</f>
        <v/>
      </c>
      <c r="E2685" s="57" t="str"/>
      <c r="F2685" s="49" t="str"/>
      <c r="G2685" s="59" t="str"/>
      <c r="H2685" s="64" t="str"/>
      <c r="I2685" s="65" t="str"/>
      <c r="J2685" s="49" t="str"/>
      <c r="K2685" s="41" t="str"/>
      <c r="L2685" s="41" t="str"/>
      <c r="M2685" s="41" t="str"/>
      <c r="N2685" s="41" t="str"/>
      <c r="O2685" s="41" t="str"/>
      <c r="P2685" s="41" t="str"/>
      <c r="Q2685" s="41" t="str"/>
      <c r="R2685" s="41" t="str"/>
      <c r="S2685" s="41" t="str"/>
      <c r="T2685" s="41" t="str"/>
      <c r="U2685" s="41" t="str"/>
      <c r="V2685" s="41" t="str"/>
      <c r="W2685" s="41" t="str"/>
    </row>
    <row r="2686">
      <c r="B2686" s="2" t="n"/>
      <c r="C2686" s="40" t="n"/>
      <c r="D2686" s="52">
        <f t="array" ref="D2686:W2686">IF(All_Students_Scores!C2684:V2684="","",All_Students_Scores!C2684:V2684)</f>
        <v/>
      </c>
      <c r="E2686" s="57" t="str"/>
      <c r="F2686" s="49" t="str"/>
      <c r="G2686" s="59" t="str"/>
      <c r="H2686" s="64" t="str"/>
      <c r="I2686" s="65" t="str"/>
      <c r="J2686" s="49" t="str"/>
      <c r="K2686" s="41" t="str"/>
      <c r="L2686" s="41" t="str"/>
      <c r="M2686" s="41" t="str"/>
      <c r="N2686" s="41" t="str"/>
      <c r="O2686" s="41" t="str"/>
      <c r="P2686" s="41" t="str"/>
      <c r="Q2686" s="41" t="str"/>
      <c r="R2686" s="41" t="str"/>
      <c r="S2686" s="41" t="str"/>
      <c r="T2686" s="41" t="str"/>
      <c r="U2686" s="41" t="str"/>
      <c r="V2686" s="41" t="str"/>
      <c r="W2686" s="41" t="str"/>
    </row>
    <row r="2687">
      <c r="B2687" s="2" t="n"/>
      <c r="C2687" s="40" t="n"/>
      <c r="D2687" s="52">
        <f t="array" ref="D2687:W2687">IF(All_Students_Scores!C2685:V2685="","",All_Students_Scores!C2685:V2685)</f>
        <v/>
      </c>
      <c r="E2687" s="57" t="str"/>
      <c r="F2687" s="49" t="str"/>
      <c r="G2687" s="59" t="str"/>
      <c r="H2687" s="64" t="str"/>
      <c r="I2687" s="65" t="str"/>
      <c r="J2687" s="49" t="str"/>
      <c r="K2687" s="41" t="str"/>
      <c r="L2687" s="41" t="str"/>
      <c r="M2687" s="41" t="str"/>
      <c r="N2687" s="41" t="str"/>
      <c r="O2687" s="41" t="str"/>
      <c r="P2687" s="41" t="str"/>
      <c r="Q2687" s="41" t="str"/>
      <c r="R2687" s="41" t="str"/>
      <c r="S2687" s="41" t="str"/>
      <c r="T2687" s="41" t="str"/>
      <c r="U2687" s="41" t="str"/>
      <c r="V2687" s="41" t="str"/>
      <c r="W2687" s="41" t="str"/>
    </row>
    <row r="2688">
      <c r="B2688" s="2" t="n"/>
      <c r="C2688" s="40" t="n"/>
      <c r="D2688" s="52">
        <f t="array" ref="D2688:W2688">IF(All_Students_Scores!C2686:V2686="","",All_Students_Scores!C2686:V2686)</f>
        <v/>
      </c>
      <c r="E2688" s="57" t="str"/>
      <c r="F2688" s="49" t="str"/>
      <c r="G2688" s="59" t="str"/>
      <c r="H2688" s="64" t="str"/>
      <c r="I2688" s="65" t="str"/>
      <c r="J2688" s="49" t="str"/>
      <c r="K2688" s="41" t="str"/>
      <c r="L2688" s="41" t="str"/>
      <c r="M2688" s="41" t="str"/>
      <c r="N2688" s="41" t="str"/>
      <c r="O2688" s="41" t="str"/>
      <c r="P2688" s="41" t="str"/>
      <c r="Q2688" s="41" t="str"/>
      <c r="R2688" s="41" t="str"/>
      <c r="S2688" s="41" t="str"/>
      <c r="T2688" s="41" t="str"/>
      <c r="U2688" s="41" t="str"/>
      <c r="V2688" s="41" t="str"/>
      <c r="W2688" s="41" t="str"/>
    </row>
    <row r="2689">
      <c r="B2689" s="2" t="n"/>
      <c r="C2689" s="40" t="n"/>
      <c r="D2689" s="52">
        <f t="array" ref="D2689:W2689">IF(All_Students_Scores!C2687:V2687="","",All_Students_Scores!C2687:V2687)</f>
        <v/>
      </c>
      <c r="E2689" s="57" t="str"/>
      <c r="F2689" s="49" t="str"/>
      <c r="G2689" s="59" t="str"/>
      <c r="H2689" s="64" t="str"/>
      <c r="I2689" s="65" t="str"/>
      <c r="J2689" s="49" t="str"/>
      <c r="K2689" s="41" t="str"/>
      <c r="L2689" s="41" t="str"/>
      <c r="M2689" s="41" t="str"/>
      <c r="N2689" s="41" t="str"/>
      <c r="O2689" s="41" t="str"/>
      <c r="P2689" s="41" t="str"/>
      <c r="Q2689" s="41" t="str"/>
      <c r="R2689" s="41" t="str"/>
      <c r="S2689" s="41" t="str"/>
      <c r="T2689" s="41" t="str"/>
      <c r="U2689" s="41" t="str"/>
      <c r="V2689" s="41" t="str"/>
      <c r="W2689" s="41" t="str"/>
    </row>
    <row r="2690">
      <c r="B2690" s="2" t="n"/>
      <c r="C2690" s="40" t="n"/>
      <c r="D2690" s="52">
        <f t="array" ref="D2690:W2690">IF(All_Students_Scores!C2688:V2688="","",All_Students_Scores!C2688:V2688)</f>
        <v/>
      </c>
      <c r="E2690" s="57" t="str"/>
      <c r="F2690" s="49" t="str"/>
      <c r="G2690" s="59" t="str"/>
      <c r="H2690" s="64" t="str"/>
      <c r="I2690" s="65" t="str"/>
      <c r="J2690" s="49" t="str"/>
      <c r="K2690" s="41" t="str"/>
      <c r="L2690" s="41" t="str"/>
      <c r="M2690" s="41" t="str"/>
      <c r="N2690" s="41" t="str"/>
      <c r="O2690" s="41" t="str"/>
      <c r="P2690" s="41" t="str"/>
      <c r="Q2690" s="41" t="str"/>
      <c r="R2690" s="41" t="str"/>
      <c r="S2690" s="41" t="str"/>
      <c r="T2690" s="41" t="str"/>
      <c r="U2690" s="41" t="str"/>
      <c r="V2690" s="41" t="str"/>
      <c r="W2690" s="41" t="str"/>
    </row>
    <row r="2691">
      <c r="B2691" s="2" t="n"/>
      <c r="C2691" s="40" t="n"/>
      <c r="D2691" s="52">
        <f t="array" ref="D2691:W2691">IF(All_Students_Scores!C2689:V2689="","",All_Students_Scores!C2689:V2689)</f>
        <v/>
      </c>
      <c r="E2691" s="57" t="str"/>
      <c r="F2691" s="49" t="str"/>
      <c r="G2691" s="59" t="str"/>
      <c r="H2691" s="64" t="str"/>
      <c r="I2691" s="65" t="str"/>
      <c r="J2691" s="49" t="str"/>
      <c r="K2691" s="41" t="str"/>
      <c r="L2691" s="41" t="str"/>
      <c r="M2691" s="41" t="str"/>
      <c r="N2691" s="41" t="str"/>
      <c r="O2691" s="41" t="str"/>
      <c r="P2691" s="41" t="str"/>
      <c r="Q2691" s="41" t="str"/>
      <c r="R2691" s="41" t="str"/>
      <c r="S2691" s="41" t="str"/>
      <c r="T2691" s="41" t="str"/>
      <c r="U2691" s="41" t="str"/>
      <c r="V2691" s="41" t="str"/>
      <c r="W2691" s="41" t="str"/>
    </row>
    <row r="2692">
      <c r="B2692" s="2" t="n"/>
      <c r="C2692" s="40" t="n"/>
      <c r="D2692" s="52">
        <f t="array" ref="D2692:W2692">IF(All_Students_Scores!C2690:V2690="","",All_Students_Scores!C2690:V2690)</f>
        <v/>
      </c>
      <c r="E2692" s="57" t="str"/>
      <c r="F2692" s="49" t="str"/>
      <c r="G2692" s="59" t="str"/>
      <c r="H2692" s="64" t="str"/>
      <c r="I2692" s="65" t="str"/>
      <c r="J2692" s="49" t="str"/>
      <c r="K2692" s="41" t="str"/>
      <c r="L2692" s="41" t="str"/>
      <c r="M2692" s="41" t="str"/>
      <c r="N2692" s="41" t="str"/>
      <c r="O2692" s="41" t="str"/>
      <c r="P2692" s="41" t="str"/>
      <c r="Q2692" s="41" t="str"/>
      <c r="R2692" s="41" t="str"/>
      <c r="S2692" s="41" t="str"/>
      <c r="T2692" s="41" t="str"/>
      <c r="U2692" s="41" t="str"/>
      <c r="V2692" s="41" t="str"/>
      <c r="W2692" s="41" t="str"/>
    </row>
    <row r="2693">
      <c r="B2693" s="2" t="n"/>
      <c r="C2693" s="40" t="n"/>
      <c r="D2693" s="52">
        <f t="array" ref="D2693:W2693">IF(All_Students_Scores!C2691:V2691="","",All_Students_Scores!C2691:V2691)</f>
        <v/>
      </c>
      <c r="E2693" s="57" t="str"/>
      <c r="F2693" s="49" t="str"/>
      <c r="G2693" s="59" t="str"/>
      <c r="H2693" s="64" t="str"/>
      <c r="I2693" s="65" t="str"/>
      <c r="J2693" s="49" t="str"/>
      <c r="K2693" s="41" t="str"/>
      <c r="L2693" s="41" t="str"/>
      <c r="M2693" s="41" t="str"/>
      <c r="N2693" s="41" t="str"/>
      <c r="O2693" s="41" t="str"/>
      <c r="P2693" s="41" t="str"/>
      <c r="Q2693" s="41" t="str"/>
      <c r="R2693" s="41" t="str"/>
      <c r="S2693" s="41" t="str"/>
      <c r="T2693" s="41" t="str"/>
      <c r="U2693" s="41" t="str"/>
      <c r="V2693" s="41" t="str"/>
      <c r="W2693" s="41" t="str"/>
    </row>
    <row r="2694">
      <c r="B2694" s="2" t="n"/>
      <c r="C2694" s="40" t="n"/>
      <c r="D2694" s="52">
        <f t="array" ref="D2694:W2694">IF(All_Students_Scores!C2692:V2692="","",All_Students_Scores!C2692:V2692)</f>
        <v/>
      </c>
      <c r="E2694" s="57" t="str"/>
      <c r="F2694" s="49" t="str"/>
      <c r="G2694" s="59" t="str"/>
      <c r="H2694" s="64" t="str"/>
      <c r="I2694" s="65" t="str"/>
      <c r="J2694" s="49" t="str"/>
      <c r="K2694" s="41" t="str"/>
      <c r="L2694" s="41" t="str"/>
      <c r="M2694" s="41" t="str"/>
      <c r="N2694" s="41" t="str"/>
      <c r="O2694" s="41" t="str"/>
      <c r="P2694" s="41" t="str"/>
      <c r="Q2694" s="41" t="str"/>
      <c r="R2694" s="41" t="str"/>
      <c r="S2694" s="41" t="str"/>
      <c r="T2694" s="41" t="str"/>
      <c r="U2694" s="41" t="str"/>
      <c r="V2694" s="41" t="str"/>
      <c r="W2694" s="41" t="str"/>
    </row>
    <row r="2695">
      <c r="B2695" s="2" t="n"/>
      <c r="C2695" s="40" t="n"/>
      <c r="D2695" s="52">
        <f t="array" ref="D2695:W2695">IF(All_Students_Scores!C2693:V2693="","",All_Students_Scores!C2693:V2693)</f>
        <v/>
      </c>
      <c r="E2695" s="57" t="str"/>
      <c r="F2695" s="49" t="str"/>
      <c r="G2695" s="59" t="str"/>
      <c r="H2695" s="64" t="str"/>
      <c r="I2695" s="65" t="str"/>
      <c r="J2695" s="49" t="str"/>
      <c r="K2695" s="41" t="str"/>
      <c r="L2695" s="41" t="str"/>
      <c r="M2695" s="41" t="str"/>
      <c r="N2695" s="41" t="str"/>
      <c r="O2695" s="41" t="str"/>
      <c r="P2695" s="41" t="str"/>
      <c r="Q2695" s="41" t="str"/>
      <c r="R2695" s="41" t="str"/>
      <c r="S2695" s="41" t="str"/>
      <c r="T2695" s="41" t="str"/>
      <c r="U2695" s="41" t="str"/>
      <c r="V2695" s="41" t="str"/>
      <c r="W2695" s="41" t="str"/>
    </row>
    <row r="2696">
      <c r="B2696" s="2" t="n"/>
      <c r="C2696" s="40" t="n"/>
      <c r="D2696" s="52">
        <f t="array" ref="D2696:W2696">IF(All_Students_Scores!C2694:V2694="","",All_Students_Scores!C2694:V2694)</f>
        <v/>
      </c>
      <c r="E2696" s="57" t="str"/>
      <c r="F2696" s="49" t="str"/>
      <c r="G2696" s="59" t="str"/>
      <c r="H2696" s="64" t="str"/>
      <c r="I2696" s="65" t="str"/>
      <c r="J2696" s="49" t="str"/>
      <c r="K2696" s="41" t="str"/>
      <c r="L2696" s="41" t="str"/>
      <c r="M2696" s="41" t="str"/>
      <c r="N2696" s="41" t="str"/>
      <c r="O2696" s="41" t="str"/>
      <c r="P2696" s="41" t="str"/>
      <c r="Q2696" s="41" t="str"/>
      <c r="R2696" s="41" t="str"/>
      <c r="S2696" s="41" t="str"/>
      <c r="T2696" s="41" t="str"/>
      <c r="U2696" s="41" t="str"/>
      <c r="V2696" s="41" t="str"/>
      <c r="W2696" s="41" t="str"/>
    </row>
    <row r="2697">
      <c r="B2697" s="2" t="n"/>
      <c r="C2697" s="40" t="n"/>
      <c r="D2697" s="52">
        <f t="array" ref="D2697:W2697">IF(All_Students_Scores!C2695:V2695="","",All_Students_Scores!C2695:V2695)</f>
        <v/>
      </c>
      <c r="E2697" s="57" t="str"/>
      <c r="F2697" s="49" t="str"/>
      <c r="G2697" s="59" t="str"/>
      <c r="H2697" s="64" t="str"/>
      <c r="I2697" s="65" t="str"/>
      <c r="J2697" s="49" t="str"/>
      <c r="K2697" s="41" t="str"/>
      <c r="L2697" s="41" t="str"/>
      <c r="M2697" s="41" t="str"/>
      <c r="N2697" s="41" t="str"/>
      <c r="O2697" s="41" t="str"/>
      <c r="P2697" s="41" t="str"/>
      <c r="Q2697" s="41" t="str"/>
      <c r="R2697" s="41" t="str"/>
      <c r="S2697" s="41" t="str"/>
      <c r="T2697" s="41" t="str"/>
      <c r="U2697" s="41" t="str"/>
      <c r="V2697" s="41" t="str"/>
      <c r="W2697" s="41" t="str"/>
    </row>
    <row r="2698">
      <c r="B2698" s="2" t="n"/>
      <c r="C2698" s="40" t="n"/>
      <c r="D2698" s="52">
        <f t="array" ref="D2698:W2698">IF(All_Students_Scores!C2696:V2696="","",All_Students_Scores!C2696:V2696)</f>
        <v/>
      </c>
      <c r="E2698" s="57" t="str"/>
      <c r="F2698" s="49" t="str"/>
      <c r="G2698" s="59" t="str"/>
      <c r="H2698" s="64" t="str"/>
      <c r="I2698" s="65" t="str"/>
      <c r="J2698" s="49" t="str"/>
      <c r="K2698" s="41" t="str"/>
      <c r="L2698" s="41" t="str"/>
      <c r="M2698" s="41" t="str"/>
      <c r="N2698" s="41" t="str"/>
      <c r="O2698" s="41" t="str"/>
      <c r="P2698" s="41" t="str"/>
      <c r="Q2698" s="41" t="str"/>
      <c r="R2698" s="41" t="str"/>
      <c r="S2698" s="41" t="str"/>
      <c r="T2698" s="41" t="str"/>
      <c r="U2698" s="41" t="str"/>
      <c r="V2698" s="41" t="str"/>
      <c r="W2698" s="41" t="str"/>
    </row>
    <row r="2699">
      <c r="B2699" s="2" t="n"/>
      <c r="C2699" s="40" t="n"/>
      <c r="D2699" s="52">
        <f t="array" ref="D2699:W2699">IF(All_Students_Scores!C2697:V2697="","",All_Students_Scores!C2697:V2697)</f>
        <v/>
      </c>
      <c r="E2699" s="57" t="str"/>
      <c r="F2699" s="49" t="str"/>
      <c r="G2699" s="59" t="str"/>
      <c r="H2699" s="64" t="str"/>
      <c r="I2699" s="65" t="str"/>
      <c r="J2699" s="49" t="str"/>
      <c r="K2699" s="41" t="str"/>
      <c r="L2699" s="41" t="str"/>
      <c r="M2699" s="41" t="str"/>
      <c r="N2699" s="41" t="str"/>
      <c r="O2699" s="41" t="str"/>
      <c r="P2699" s="41" t="str"/>
      <c r="Q2699" s="41" t="str"/>
      <c r="R2699" s="41" t="str"/>
      <c r="S2699" s="41" t="str"/>
      <c r="T2699" s="41" t="str"/>
      <c r="U2699" s="41" t="str"/>
      <c r="V2699" s="41" t="str"/>
      <c r="W2699" s="41" t="str"/>
    </row>
    <row r="2700">
      <c r="B2700" s="2" t="n"/>
      <c r="C2700" s="40" t="n"/>
      <c r="D2700" s="52">
        <f t="array" ref="D2700:W2700">IF(All_Students_Scores!C2698:V2698="","",All_Students_Scores!C2698:V2698)</f>
        <v/>
      </c>
      <c r="E2700" s="57" t="str"/>
      <c r="F2700" s="49" t="str"/>
      <c r="G2700" s="59" t="str"/>
      <c r="H2700" s="64" t="str"/>
      <c r="I2700" s="65" t="str"/>
      <c r="J2700" s="49" t="str"/>
      <c r="K2700" s="41" t="str"/>
      <c r="L2700" s="41" t="str"/>
      <c r="M2700" s="41" t="str"/>
      <c r="N2700" s="41" t="str"/>
      <c r="O2700" s="41" t="str"/>
      <c r="P2700" s="41" t="str"/>
      <c r="Q2700" s="41" t="str"/>
      <c r="R2700" s="41" t="str"/>
      <c r="S2700" s="41" t="str"/>
      <c r="T2700" s="41" t="str"/>
      <c r="U2700" s="41" t="str"/>
      <c r="V2700" s="41" t="str"/>
      <c r="W2700" s="41" t="str"/>
    </row>
    <row r="2701">
      <c r="B2701" s="2" t="n"/>
      <c r="C2701" s="40" t="n"/>
      <c r="D2701" s="52">
        <f t="array" ref="D2701:W2701">IF(All_Students_Scores!C2699:V2699="","",All_Students_Scores!C2699:V2699)</f>
        <v/>
      </c>
      <c r="E2701" s="57" t="str"/>
      <c r="F2701" s="49" t="str"/>
      <c r="G2701" s="59" t="str"/>
      <c r="H2701" s="64" t="str"/>
      <c r="I2701" s="65" t="str"/>
      <c r="J2701" s="49" t="str"/>
      <c r="K2701" s="41" t="str"/>
      <c r="L2701" s="41" t="str"/>
      <c r="M2701" s="41" t="str"/>
      <c r="N2701" s="41" t="str"/>
      <c r="O2701" s="41" t="str"/>
      <c r="P2701" s="41" t="str"/>
      <c r="Q2701" s="41" t="str"/>
      <c r="R2701" s="41" t="str"/>
      <c r="S2701" s="41" t="str"/>
      <c r="T2701" s="41" t="str"/>
      <c r="U2701" s="41" t="str"/>
      <c r="V2701" s="41" t="str"/>
      <c r="W2701" s="41" t="str"/>
    </row>
    <row r="2702">
      <c r="B2702" s="2" t="n"/>
      <c r="C2702" s="40" t="n"/>
      <c r="D2702" s="52">
        <f t="array" ref="D2702:W2702">IF(All_Students_Scores!C2700:V2700="","",All_Students_Scores!C2700:V2700)</f>
        <v/>
      </c>
      <c r="E2702" s="57" t="str"/>
      <c r="F2702" s="49" t="str"/>
      <c r="G2702" s="59" t="str"/>
      <c r="H2702" s="64" t="str"/>
      <c r="I2702" s="65" t="str"/>
      <c r="J2702" s="49" t="str"/>
      <c r="K2702" s="41" t="str"/>
      <c r="L2702" s="41" t="str"/>
      <c r="M2702" s="41" t="str"/>
      <c r="N2702" s="41" t="str"/>
      <c r="O2702" s="41" t="str"/>
      <c r="P2702" s="41" t="str"/>
      <c r="Q2702" s="41" t="str"/>
      <c r="R2702" s="41" t="str"/>
      <c r="S2702" s="41" t="str"/>
      <c r="T2702" s="41" t="str"/>
      <c r="U2702" s="41" t="str"/>
      <c r="V2702" s="41" t="str"/>
      <c r="W2702" s="41" t="str"/>
    </row>
    <row r="2703">
      <c r="B2703" s="2" t="n"/>
      <c r="C2703" s="40" t="n"/>
      <c r="D2703" s="52">
        <f t="array" ref="D2703:W2703">IF(All_Students_Scores!C2701:V2701="","",All_Students_Scores!C2701:V2701)</f>
        <v/>
      </c>
      <c r="E2703" s="57" t="str"/>
      <c r="F2703" s="49" t="str"/>
      <c r="G2703" s="59" t="str"/>
      <c r="H2703" s="64" t="str"/>
      <c r="I2703" s="65" t="str"/>
      <c r="J2703" s="49" t="str"/>
      <c r="K2703" s="41" t="str"/>
      <c r="L2703" s="41" t="str"/>
      <c r="M2703" s="41" t="str"/>
      <c r="N2703" s="41" t="str"/>
      <c r="O2703" s="41" t="str"/>
      <c r="P2703" s="41" t="str"/>
      <c r="Q2703" s="41" t="str"/>
      <c r="R2703" s="41" t="str"/>
      <c r="S2703" s="41" t="str"/>
      <c r="T2703" s="41" t="str"/>
      <c r="U2703" s="41" t="str"/>
      <c r="V2703" s="41" t="str"/>
      <c r="W2703" s="41" t="str"/>
    </row>
    <row r="2704">
      <c r="B2704" s="2" t="n"/>
      <c r="C2704" s="40" t="n"/>
      <c r="D2704" s="52">
        <f t="array" ref="D2704:W2704">IF(All_Students_Scores!C2702:V2702="","",All_Students_Scores!C2702:V2702)</f>
        <v/>
      </c>
      <c r="E2704" s="57" t="str"/>
      <c r="F2704" s="49" t="str"/>
      <c r="G2704" s="59" t="str"/>
      <c r="H2704" s="64" t="str"/>
      <c r="I2704" s="65" t="str"/>
      <c r="J2704" s="49" t="str"/>
      <c r="K2704" s="41" t="str"/>
      <c r="L2704" s="41" t="str"/>
      <c r="M2704" s="41" t="str"/>
      <c r="N2704" s="41" t="str"/>
      <c r="O2704" s="41" t="str"/>
      <c r="P2704" s="41" t="str"/>
      <c r="Q2704" s="41" t="str"/>
      <c r="R2704" s="41" t="str"/>
      <c r="S2704" s="41" t="str"/>
      <c r="T2704" s="41" t="str"/>
      <c r="U2704" s="41" t="str"/>
      <c r="V2704" s="41" t="str"/>
      <c r="W2704" s="41" t="str"/>
    </row>
    <row r="2705">
      <c r="B2705" s="2" t="n"/>
      <c r="C2705" s="40" t="n"/>
      <c r="D2705" s="52">
        <f t="array" ref="D2705:W2705">IF(All_Students_Scores!C2703:V2703="","",All_Students_Scores!C2703:V2703)</f>
        <v/>
      </c>
      <c r="E2705" s="57" t="str"/>
      <c r="F2705" s="49" t="str"/>
      <c r="G2705" s="59" t="str"/>
      <c r="H2705" s="64" t="str"/>
      <c r="I2705" s="65" t="str"/>
      <c r="J2705" s="49" t="str"/>
      <c r="K2705" s="41" t="str"/>
      <c r="L2705" s="41" t="str"/>
      <c r="M2705" s="41" t="str"/>
      <c r="N2705" s="41" t="str"/>
      <c r="O2705" s="41" t="str"/>
      <c r="P2705" s="41" t="str"/>
      <c r="Q2705" s="41" t="str"/>
      <c r="R2705" s="41" t="str"/>
      <c r="S2705" s="41" t="str"/>
      <c r="T2705" s="41" t="str"/>
      <c r="U2705" s="41" t="str"/>
      <c r="V2705" s="41" t="str"/>
      <c r="W2705" s="41" t="str"/>
    </row>
    <row r="2706">
      <c r="B2706" s="2" t="n"/>
      <c r="C2706" s="40" t="n"/>
      <c r="D2706" s="52">
        <f t="array" ref="D2706:W2706">IF(All_Students_Scores!C2704:V2704="","",All_Students_Scores!C2704:V2704)</f>
        <v/>
      </c>
      <c r="E2706" s="57" t="str"/>
      <c r="F2706" s="49" t="str"/>
      <c r="G2706" s="59" t="str"/>
      <c r="H2706" s="64" t="str"/>
      <c r="I2706" s="65" t="str"/>
      <c r="J2706" s="49" t="str"/>
      <c r="K2706" s="41" t="str"/>
      <c r="L2706" s="41" t="str"/>
      <c r="M2706" s="41" t="str"/>
      <c r="N2706" s="41" t="str"/>
      <c r="O2706" s="41" t="str"/>
      <c r="P2706" s="41" t="str"/>
      <c r="Q2706" s="41" t="str"/>
      <c r="R2706" s="41" t="str"/>
      <c r="S2706" s="41" t="str"/>
      <c r="T2706" s="41" t="str"/>
      <c r="U2706" s="41" t="str"/>
      <c r="V2706" s="41" t="str"/>
      <c r="W2706" s="41" t="str"/>
    </row>
    <row r="2707">
      <c r="B2707" s="2" t="n"/>
      <c r="C2707" s="40" t="n"/>
      <c r="D2707" s="52">
        <f t="array" ref="D2707:W2707">IF(All_Students_Scores!C2705:V2705="","",All_Students_Scores!C2705:V2705)</f>
        <v/>
      </c>
      <c r="E2707" s="57" t="str"/>
      <c r="F2707" s="49" t="str"/>
      <c r="G2707" s="59" t="str"/>
      <c r="H2707" s="64" t="str"/>
      <c r="I2707" s="65" t="str"/>
      <c r="J2707" s="49" t="str"/>
      <c r="K2707" s="41" t="str"/>
      <c r="L2707" s="41" t="str"/>
      <c r="M2707" s="41" t="str"/>
      <c r="N2707" s="41" t="str"/>
      <c r="O2707" s="41" t="str"/>
      <c r="P2707" s="41" t="str"/>
      <c r="Q2707" s="41" t="str"/>
      <c r="R2707" s="41" t="str"/>
      <c r="S2707" s="41" t="str"/>
      <c r="T2707" s="41" t="str"/>
      <c r="U2707" s="41" t="str"/>
      <c r="V2707" s="41" t="str"/>
      <c r="W2707" s="41" t="str"/>
    </row>
    <row r="2708">
      <c r="B2708" s="2" t="n"/>
      <c r="C2708" s="40" t="n"/>
      <c r="D2708" s="52">
        <f t="array" ref="D2708:W2708">IF(All_Students_Scores!C2706:V2706="","",All_Students_Scores!C2706:V2706)</f>
        <v/>
      </c>
      <c r="E2708" s="57" t="str"/>
      <c r="F2708" s="49" t="str"/>
      <c r="G2708" s="59" t="str"/>
      <c r="H2708" s="64" t="str"/>
      <c r="I2708" s="65" t="str"/>
      <c r="J2708" s="49" t="str"/>
      <c r="K2708" s="41" t="str"/>
      <c r="L2708" s="41" t="str"/>
      <c r="M2708" s="41" t="str"/>
      <c r="N2708" s="41" t="str"/>
      <c r="O2708" s="41" t="str"/>
      <c r="P2708" s="41" t="str"/>
      <c r="Q2708" s="41" t="str"/>
      <c r="R2708" s="41" t="str"/>
      <c r="S2708" s="41" t="str"/>
      <c r="T2708" s="41" t="str"/>
      <c r="U2708" s="41" t="str"/>
      <c r="V2708" s="41" t="str"/>
      <c r="W2708" s="41" t="str"/>
    </row>
    <row r="2709">
      <c r="B2709" s="2" t="n"/>
      <c r="C2709" s="40" t="n"/>
      <c r="D2709" s="52">
        <f t="array" ref="D2709:W2709">IF(All_Students_Scores!C2707:V2707="","",All_Students_Scores!C2707:V2707)</f>
        <v/>
      </c>
      <c r="E2709" s="57" t="str"/>
      <c r="F2709" s="49" t="str"/>
      <c r="G2709" s="59" t="str"/>
      <c r="H2709" s="64" t="str"/>
      <c r="I2709" s="65" t="str"/>
      <c r="J2709" s="49" t="str"/>
      <c r="K2709" s="41" t="str"/>
      <c r="L2709" s="41" t="str"/>
      <c r="M2709" s="41" t="str"/>
      <c r="N2709" s="41" t="str"/>
      <c r="O2709" s="41" t="str"/>
      <c r="P2709" s="41" t="str"/>
      <c r="Q2709" s="41" t="str"/>
      <c r="R2709" s="41" t="str"/>
      <c r="S2709" s="41" t="str"/>
      <c r="T2709" s="41" t="str"/>
      <c r="U2709" s="41" t="str"/>
      <c r="V2709" s="41" t="str"/>
      <c r="W2709" s="41" t="str"/>
    </row>
    <row r="2710">
      <c r="B2710" s="2" t="n"/>
      <c r="C2710" s="40" t="n"/>
      <c r="D2710" s="52">
        <f t="array" ref="D2710:W2710">IF(All_Students_Scores!C2708:V2708="","",All_Students_Scores!C2708:V2708)</f>
        <v/>
      </c>
      <c r="E2710" s="57" t="str"/>
      <c r="F2710" s="49" t="str"/>
      <c r="G2710" s="59" t="str"/>
      <c r="H2710" s="64" t="str"/>
      <c r="I2710" s="65" t="str"/>
      <c r="J2710" s="49" t="str"/>
      <c r="K2710" s="41" t="str"/>
      <c r="L2710" s="41" t="str"/>
      <c r="M2710" s="41" t="str"/>
      <c r="N2710" s="41" t="str"/>
      <c r="O2710" s="41" t="str"/>
      <c r="P2710" s="41" t="str"/>
      <c r="Q2710" s="41" t="str"/>
      <c r="R2710" s="41" t="str"/>
      <c r="S2710" s="41" t="str"/>
      <c r="T2710" s="41" t="str"/>
      <c r="U2710" s="41" t="str"/>
      <c r="V2710" s="41" t="str"/>
      <c r="W2710" s="41" t="str"/>
    </row>
    <row r="2711">
      <c r="B2711" s="2" t="n"/>
      <c r="C2711" s="40" t="n"/>
      <c r="D2711" s="52">
        <f t="array" ref="D2711:W2711">IF(All_Students_Scores!C2709:V2709="","",All_Students_Scores!C2709:V2709)</f>
        <v/>
      </c>
      <c r="E2711" s="57" t="str"/>
      <c r="F2711" s="49" t="str"/>
      <c r="G2711" s="59" t="str"/>
      <c r="H2711" s="64" t="str"/>
      <c r="I2711" s="65" t="str"/>
      <c r="J2711" s="49" t="str"/>
      <c r="K2711" s="41" t="str"/>
      <c r="L2711" s="41" t="str"/>
      <c r="M2711" s="41" t="str"/>
      <c r="N2711" s="41" t="str"/>
      <c r="O2711" s="41" t="str"/>
      <c r="P2711" s="41" t="str"/>
      <c r="Q2711" s="41" t="str"/>
      <c r="R2711" s="41" t="str"/>
      <c r="S2711" s="41" t="str"/>
      <c r="T2711" s="41" t="str"/>
      <c r="U2711" s="41" t="str"/>
      <c r="V2711" s="41" t="str"/>
      <c r="W2711" s="41" t="str"/>
    </row>
    <row r="2712">
      <c r="B2712" s="2" t="n"/>
      <c r="C2712" s="40" t="n"/>
      <c r="D2712" s="52">
        <f t="array" ref="D2712:W2712">IF(All_Students_Scores!C2710:V2710="","",All_Students_Scores!C2710:V2710)</f>
        <v/>
      </c>
      <c r="E2712" s="57" t="str"/>
      <c r="F2712" s="49" t="str"/>
      <c r="G2712" s="59" t="str"/>
      <c r="H2712" s="64" t="str"/>
      <c r="I2712" s="65" t="str"/>
      <c r="J2712" s="49" t="str"/>
      <c r="K2712" s="41" t="str"/>
      <c r="L2712" s="41" t="str"/>
      <c r="M2712" s="41" t="str"/>
      <c r="N2712" s="41" t="str"/>
      <c r="O2712" s="41" t="str"/>
      <c r="P2712" s="41" t="str"/>
      <c r="Q2712" s="41" t="str"/>
      <c r="R2712" s="41" t="str"/>
      <c r="S2712" s="41" t="str"/>
      <c r="T2712" s="41" t="str"/>
      <c r="U2712" s="41" t="str"/>
      <c r="V2712" s="41" t="str"/>
      <c r="W2712" s="41" t="str"/>
    </row>
    <row r="2713">
      <c r="B2713" s="2" t="n"/>
      <c r="C2713" s="40" t="n"/>
      <c r="D2713" s="52">
        <f t="array" ref="D2713:W2713">IF(All_Students_Scores!C2711:V2711="","",All_Students_Scores!C2711:V2711)</f>
        <v/>
      </c>
      <c r="E2713" s="57" t="str"/>
      <c r="F2713" s="49" t="str"/>
      <c r="G2713" s="59" t="str"/>
      <c r="H2713" s="64" t="str"/>
      <c r="I2713" s="65" t="str"/>
      <c r="J2713" s="49" t="str"/>
      <c r="K2713" s="41" t="str"/>
      <c r="L2713" s="41" t="str"/>
      <c r="M2713" s="41" t="str"/>
      <c r="N2713" s="41" t="str"/>
      <c r="O2713" s="41" t="str"/>
      <c r="P2713" s="41" t="str"/>
      <c r="Q2713" s="41" t="str"/>
      <c r="R2713" s="41" t="str"/>
      <c r="S2713" s="41" t="str"/>
      <c r="T2713" s="41" t="str"/>
      <c r="U2713" s="41" t="str"/>
      <c r="V2713" s="41" t="str"/>
      <c r="W2713" s="41" t="str"/>
    </row>
    <row r="2714">
      <c r="B2714" s="2" t="n"/>
      <c r="C2714" s="40" t="n"/>
      <c r="D2714" s="52">
        <f t="array" ref="D2714:W2714">IF(All_Students_Scores!C2712:V2712="","",All_Students_Scores!C2712:V2712)</f>
        <v/>
      </c>
      <c r="E2714" s="57" t="str"/>
      <c r="F2714" s="49" t="str"/>
      <c r="G2714" s="59" t="str"/>
      <c r="H2714" s="64" t="str"/>
      <c r="I2714" s="65" t="str"/>
      <c r="J2714" s="49" t="str"/>
      <c r="K2714" s="41" t="str"/>
      <c r="L2714" s="41" t="str"/>
      <c r="M2714" s="41" t="str"/>
      <c r="N2714" s="41" t="str"/>
      <c r="O2714" s="41" t="str"/>
      <c r="P2714" s="41" t="str"/>
      <c r="Q2714" s="41" t="str"/>
      <c r="R2714" s="41" t="str"/>
      <c r="S2714" s="41" t="str"/>
      <c r="T2714" s="41" t="str"/>
      <c r="U2714" s="41" t="str"/>
      <c r="V2714" s="41" t="str"/>
      <c r="W2714" s="41" t="str"/>
    </row>
    <row r="2715">
      <c r="B2715" s="2" t="n"/>
      <c r="C2715" s="40" t="n"/>
      <c r="D2715" s="52">
        <f t="array" ref="D2715:W2715">IF(All_Students_Scores!C2713:V2713="","",All_Students_Scores!C2713:V2713)</f>
        <v/>
      </c>
      <c r="E2715" s="57" t="str"/>
      <c r="F2715" s="49" t="str"/>
      <c r="G2715" s="59" t="str"/>
      <c r="H2715" s="64" t="str"/>
      <c r="I2715" s="65" t="str"/>
      <c r="J2715" s="49" t="str"/>
      <c r="K2715" s="41" t="str"/>
      <c r="L2715" s="41" t="str"/>
      <c r="M2715" s="41" t="str"/>
      <c r="N2715" s="41" t="str"/>
      <c r="O2715" s="41" t="str"/>
      <c r="P2715" s="41" t="str"/>
      <c r="Q2715" s="41" t="str"/>
      <c r="R2715" s="41" t="str"/>
      <c r="S2715" s="41" t="str"/>
      <c r="T2715" s="41" t="str"/>
      <c r="U2715" s="41" t="str"/>
      <c r="V2715" s="41" t="str"/>
      <c r="W2715" s="41" t="str"/>
    </row>
    <row r="2716">
      <c r="B2716" s="2" t="n"/>
      <c r="C2716" s="40" t="n"/>
      <c r="D2716" s="52">
        <f t="array" ref="D2716:W2716">IF(All_Students_Scores!C2714:V2714="","",All_Students_Scores!C2714:V2714)</f>
        <v/>
      </c>
      <c r="E2716" s="57" t="str"/>
      <c r="F2716" s="49" t="str"/>
      <c r="G2716" s="59" t="str"/>
      <c r="H2716" s="64" t="str"/>
      <c r="I2716" s="65" t="str"/>
      <c r="J2716" s="49" t="str"/>
      <c r="K2716" s="41" t="str"/>
      <c r="L2716" s="41" t="str"/>
      <c r="M2716" s="41" t="str"/>
      <c r="N2716" s="41" t="str"/>
      <c r="O2716" s="41" t="str"/>
      <c r="P2716" s="41" t="str"/>
      <c r="Q2716" s="41" t="str"/>
      <c r="R2716" s="41" t="str"/>
      <c r="S2716" s="41" t="str"/>
      <c r="T2716" s="41" t="str"/>
      <c r="U2716" s="41" t="str"/>
      <c r="V2716" s="41" t="str"/>
      <c r="W2716" s="41" t="str"/>
    </row>
    <row r="2717">
      <c r="B2717" s="2" t="n"/>
      <c r="C2717" s="40" t="n"/>
      <c r="D2717" s="52">
        <f t="array" ref="D2717:W2717">IF(All_Students_Scores!C2715:V2715="","",All_Students_Scores!C2715:V2715)</f>
        <v/>
      </c>
      <c r="E2717" s="57" t="str"/>
      <c r="F2717" s="49" t="str"/>
      <c r="G2717" s="59" t="str"/>
      <c r="H2717" s="64" t="str"/>
      <c r="I2717" s="65" t="str"/>
      <c r="J2717" s="49" t="str"/>
      <c r="K2717" s="41" t="str"/>
      <c r="L2717" s="41" t="str"/>
      <c r="M2717" s="41" t="str"/>
      <c r="N2717" s="41" t="str"/>
      <c r="O2717" s="41" t="str"/>
      <c r="P2717" s="41" t="str"/>
      <c r="Q2717" s="41" t="str"/>
      <c r="R2717" s="41" t="str"/>
      <c r="S2717" s="41" t="str"/>
      <c r="T2717" s="41" t="str"/>
      <c r="U2717" s="41" t="str"/>
      <c r="V2717" s="41" t="str"/>
      <c r="W2717" s="41" t="str"/>
    </row>
    <row r="2718">
      <c r="B2718" s="2" t="n"/>
      <c r="C2718" s="40" t="n"/>
      <c r="D2718" s="52">
        <f t="array" ref="D2718:W2718">IF(All_Students_Scores!C2716:V2716="","",All_Students_Scores!C2716:V2716)</f>
        <v/>
      </c>
      <c r="E2718" s="57" t="str"/>
      <c r="F2718" s="49" t="str"/>
      <c r="G2718" s="59" t="str"/>
      <c r="H2718" s="64" t="str"/>
      <c r="I2718" s="65" t="str"/>
      <c r="J2718" s="49" t="str"/>
      <c r="K2718" s="41" t="str"/>
      <c r="L2718" s="41" t="str"/>
      <c r="M2718" s="41" t="str"/>
      <c r="N2718" s="41" t="str"/>
      <c r="O2718" s="41" t="str"/>
      <c r="P2718" s="41" t="str"/>
      <c r="Q2718" s="41" t="str"/>
      <c r="R2718" s="41" t="str"/>
      <c r="S2718" s="41" t="str"/>
      <c r="T2718" s="41" t="str"/>
      <c r="U2718" s="41" t="str"/>
      <c r="V2718" s="41" t="str"/>
      <c r="W2718" s="41" t="str"/>
    </row>
    <row r="2719">
      <c r="B2719" s="2" t="n"/>
      <c r="C2719" s="40" t="n"/>
      <c r="D2719" s="52">
        <f t="array" ref="D2719:W2719">IF(All_Students_Scores!C2717:V2717="","",All_Students_Scores!C2717:V2717)</f>
        <v/>
      </c>
      <c r="E2719" s="57" t="str"/>
      <c r="F2719" s="49" t="str"/>
      <c r="G2719" s="59" t="str"/>
      <c r="H2719" s="64" t="str"/>
      <c r="I2719" s="65" t="str"/>
      <c r="J2719" s="49" t="str"/>
      <c r="K2719" s="41" t="str"/>
      <c r="L2719" s="41" t="str"/>
      <c r="M2719" s="41" t="str"/>
      <c r="N2719" s="41" t="str"/>
      <c r="O2719" s="41" t="str"/>
      <c r="P2719" s="41" t="str"/>
      <c r="Q2719" s="41" t="str"/>
      <c r="R2719" s="41" t="str"/>
      <c r="S2719" s="41" t="str"/>
      <c r="T2719" s="41" t="str"/>
      <c r="U2719" s="41" t="str"/>
      <c r="V2719" s="41" t="str"/>
      <c r="W2719" s="41" t="str"/>
    </row>
    <row r="2720">
      <c r="B2720" s="2" t="n"/>
      <c r="C2720" s="40" t="n"/>
      <c r="D2720" s="52">
        <f t="array" ref="D2720:W2720">IF(All_Students_Scores!C2718:V2718="","",All_Students_Scores!C2718:V2718)</f>
        <v/>
      </c>
      <c r="E2720" s="57" t="str"/>
      <c r="F2720" s="49" t="str"/>
      <c r="G2720" s="59" t="str"/>
      <c r="H2720" s="64" t="str"/>
      <c r="I2720" s="65" t="str"/>
      <c r="J2720" s="49" t="str"/>
      <c r="K2720" s="41" t="str"/>
      <c r="L2720" s="41" t="str"/>
      <c r="M2720" s="41" t="str"/>
      <c r="N2720" s="41" t="str"/>
      <c r="O2720" s="41" t="str"/>
      <c r="P2720" s="41" t="str"/>
      <c r="Q2720" s="41" t="str"/>
      <c r="R2720" s="41" t="str"/>
      <c r="S2720" s="41" t="str"/>
      <c r="T2720" s="41" t="str"/>
      <c r="U2720" s="41" t="str"/>
      <c r="V2720" s="41" t="str"/>
      <c r="W2720" s="41" t="str"/>
    </row>
    <row r="2721">
      <c r="B2721" s="2" t="n"/>
      <c r="C2721" s="40" t="n"/>
      <c r="D2721" s="52">
        <f t="array" ref="D2721:W2721">IF(All_Students_Scores!C2719:V2719="","",All_Students_Scores!C2719:V2719)</f>
        <v/>
      </c>
      <c r="E2721" s="57" t="str"/>
      <c r="F2721" s="49" t="str"/>
      <c r="G2721" s="59" t="str"/>
      <c r="H2721" s="64" t="str"/>
      <c r="I2721" s="65" t="str"/>
      <c r="J2721" s="49" t="str"/>
      <c r="K2721" s="41" t="str"/>
      <c r="L2721" s="41" t="str"/>
      <c r="M2721" s="41" t="str"/>
      <c r="N2721" s="41" t="str"/>
      <c r="O2721" s="41" t="str"/>
      <c r="P2721" s="41" t="str"/>
      <c r="Q2721" s="41" t="str"/>
      <c r="R2721" s="41" t="str"/>
      <c r="S2721" s="41" t="str"/>
      <c r="T2721" s="41" t="str"/>
      <c r="U2721" s="41" t="str"/>
      <c r="V2721" s="41" t="str"/>
      <c r="W2721" s="41" t="str"/>
    </row>
    <row r="2722">
      <c r="B2722" s="2" t="n"/>
      <c r="C2722" s="40" t="n"/>
      <c r="D2722" s="52">
        <f t="array" ref="D2722:W2722">IF(All_Students_Scores!C2720:V2720="","",All_Students_Scores!C2720:V2720)</f>
        <v/>
      </c>
      <c r="E2722" s="57" t="str"/>
      <c r="F2722" s="49" t="str"/>
      <c r="G2722" s="59" t="str"/>
      <c r="H2722" s="64" t="str"/>
      <c r="I2722" s="65" t="str"/>
      <c r="J2722" s="49" t="str"/>
      <c r="K2722" s="41" t="str"/>
      <c r="L2722" s="41" t="str"/>
      <c r="M2722" s="41" t="str"/>
      <c r="N2722" s="41" t="str"/>
      <c r="O2722" s="41" t="str"/>
      <c r="P2722" s="41" t="str"/>
      <c r="Q2722" s="41" t="str"/>
      <c r="R2722" s="41" t="str"/>
      <c r="S2722" s="41" t="str"/>
      <c r="T2722" s="41" t="str"/>
      <c r="U2722" s="41" t="str"/>
      <c r="V2722" s="41" t="str"/>
      <c r="W2722" s="41" t="str"/>
    </row>
    <row r="2723">
      <c r="B2723" s="2" t="n"/>
      <c r="C2723" s="40" t="n"/>
      <c r="D2723" s="52">
        <f t="array" ref="D2723:W2723">IF(All_Students_Scores!C2721:V2721="","",All_Students_Scores!C2721:V2721)</f>
        <v/>
      </c>
      <c r="E2723" s="57" t="str"/>
      <c r="F2723" s="49" t="str"/>
      <c r="G2723" s="59" t="str"/>
      <c r="H2723" s="64" t="str"/>
      <c r="I2723" s="65" t="str"/>
      <c r="J2723" s="49" t="str"/>
      <c r="K2723" s="41" t="str"/>
      <c r="L2723" s="41" t="str"/>
      <c r="M2723" s="41" t="str"/>
      <c r="N2723" s="41" t="str"/>
      <c r="O2723" s="41" t="str"/>
      <c r="P2723" s="41" t="str"/>
      <c r="Q2723" s="41" t="str"/>
      <c r="R2723" s="41" t="str"/>
      <c r="S2723" s="41" t="str"/>
      <c r="T2723" s="41" t="str"/>
      <c r="U2723" s="41" t="str"/>
      <c r="V2723" s="41" t="str"/>
      <c r="W2723" s="41" t="str"/>
    </row>
    <row r="2724">
      <c r="B2724" s="2" t="n"/>
      <c r="C2724" s="40" t="n"/>
      <c r="D2724" s="52">
        <f t="array" ref="D2724:W2724">IF(All_Students_Scores!C2722:V2722="","",All_Students_Scores!C2722:V2722)</f>
        <v/>
      </c>
      <c r="E2724" s="57" t="str"/>
      <c r="F2724" s="49" t="str"/>
      <c r="G2724" s="59" t="str"/>
      <c r="H2724" s="64" t="str"/>
      <c r="I2724" s="65" t="str"/>
      <c r="J2724" s="49" t="str"/>
      <c r="K2724" s="41" t="str"/>
      <c r="L2724" s="41" t="str"/>
      <c r="M2724" s="41" t="str"/>
      <c r="N2724" s="41" t="str"/>
      <c r="O2724" s="41" t="str"/>
      <c r="P2724" s="41" t="str"/>
      <c r="Q2724" s="41" t="str"/>
      <c r="R2724" s="41" t="str"/>
      <c r="S2724" s="41" t="str"/>
      <c r="T2724" s="41" t="str"/>
      <c r="U2724" s="41" t="str"/>
      <c r="V2724" s="41" t="str"/>
      <c r="W2724" s="41" t="str"/>
    </row>
    <row r="2725">
      <c r="B2725" s="2" t="n"/>
      <c r="C2725" s="40" t="n"/>
      <c r="D2725" s="52">
        <f t="array" ref="D2725:W2725">IF(All_Students_Scores!C2723:V2723="","",All_Students_Scores!C2723:V2723)</f>
        <v/>
      </c>
      <c r="E2725" s="57" t="str"/>
      <c r="F2725" s="49" t="str"/>
      <c r="G2725" s="59" t="str"/>
      <c r="H2725" s="64" t="str"/>
      <c r="I2725" s="65" t="str"/>
      <c r="J2725" s="49" t="str"/>
      <c r="K2725" s="41" t="str"/>
      <c r="L2725" s="41" t="str"/>
      <c r="M2725" s="41" t="str"/>
      <c r="N2725" s="41" t="str"/>
      <c r="O2725" s="41" t="str"/>
      <c r="P2725" s="41" t="str"/>
      <c r="Q2725" s="41" t="str"/>
      <c r="R2725" s="41" t="str"/>
      <c r="S2725" s="41" t="str"/>
      <c r="T2725" s="41" t="str"/>
      <c r="U2725" s="41" t="str"/>
      <c r="V2725" s="41" t="str"/>
      <c r="W2725" s="41" t="str"/>
    </row>
    <row r="2726">
      <c r="B2726" s="2" t="n"/>
      <c r="C2726" s="40" t="n"/>
      <c r="D2726" s="52">
        <f t="array" ref="D2726:W2726">IF(All_Students_Scores!C2724:V2724="","",All_Students_Scores!C2724:V2724)</f>
        <v/>
      </c>
      <c r="E2726" s="57" t="str"/>
      <c r="F2726" s="49" t="str"/>
      <c r="G2726" s="59" t="str"/>
      <c r="H2726" s="64" t="str"/>
      <c r="I2726" s="65" t="str"/>
      <c r="J2726" s="49" t="str"/>
      <c r="K2726" s="41" t="str"/>
      <c r="L2726" s="41" t="str"/>
      <c r="M2726" s="41" t="str"/>
      <c r="N2726" s="41" t="str"/>
      <c r="O2726" s="41" t="str"/>
      <c r="P2726" s="41" t="str"/>
      <c r="Q2726" s="41" t="str"/>
      <c r="R2726" s="41" t="str"/>
      <c r="S2726" s="41" t="str"/>
      <c r="T2726" s="41" t="str"/>
      <c r="U2726" s="41" t="str"/>
      <c r="V2726" s="41" t="str"/>
      <c r="W2726" s="41" t="str"/>
    </row>
    <row r="2727">
      <c r="B2727" s="2" t="n"/>
      <c r="C2727" s="40" t="n"/>
      <c r="D2727" s="52">
        <f t="array" ref="D2727:W2727">IF(All_Students_Scores!C2725:V2725="","",All_Students_Scores!C2725:V2725)</f>
        <v/>
      </c>
      <c r="E2727" s="57" t="str"/>
      <c r="F2727" s="49" t="str"/>
      <c r="G2727" s="59" t="str"/>
      <c r="H2727" s="64" t="str"/>
      <c r="I2727" s="65" t="str"/>
      <c r="J2727" s="49" t="str"/>
      <c r="K2727" s="41" t="str"/>
      <c r="L2727" s="41" t="str"/>
      <c r="M2727" s="41" t="str"/>
      <c r="N2727" s="41" t="str"/>
      <c r="O2727" s="41" t="str"/>
      <c r="P2727" s="41" t="str"/>
      <c r="Q2727" s="41" t="str"/>
      <c r="R2727" s="41" t="str"/>
      <c r="S2727" s="41" t="str"/>
      <c r="T2727" s="41" t="str"/>
      <c r="U2727" s="41" t="str"/>
      <c r="V2727" s="41" t="str"/>
      <c r="W2727" s="41" t="str"/>
    </row>
    <row r="2728">
      <c r="B2728" s="2" t="n"/>
      <c r="C2728" s="40" t="n"/>
      <c r="D2728" s="52">
        <f t="array" ref="D2728:W2728">IF(All_Students_Scores!C2726:V2726="","",All_Students_Scores!C2726:V2726)</f>
        <v/>
      </c>
      <c r="E2728" s="57" t="str"/>
      <c r="F2728" s="49" t="str"/>
      <c r="G2728" s="59" t="str"/>
      <c r="H2728" s="64" t="str"/>
      <c r="I2728" s="65" t="str"/>
      <c r="J2728" s="49" t="str"/>
      <c r="K2728" s="41" t="str"/>
      <c r="L2728" s="41" t="str"/>
      <c r="M2728" s="41" t="str"/>
      <c r="N2728" s="41" t="str"/>
      <c r="O2728" s="41" t="str"/>
      <c r="P2728" s="41" t="str"/>
      <c r="Q2728" s="41" t="str"/>
      <c r="R2728" s="41" t="str"/>
      <c r="S2728" s="41" t="str"/>
      <c r="T2728" s="41" t="str"/>
      <c r="U2728" s="41" t="str"/>
      <c r="V2728" s="41" t="str"/>
      <c r="W2728" s="41" t="str"/>
    </row>
    <row r="2729">
      <c r="B2729" s="2" t="n"/>
      <c r="C2729" s="40" t="n"/>
      <c r="D2729" s="52">
        <f t="array" ref="D2729:W2729">IF(All_Students_Scores!C2727:V2727="","",All_Students_Scores!C2727:V2727)</f>
        <v/>
      </c>
      <c r="E2729" s="57" t="str"/>
      <c r="F2729" s="49" t="str"/>
      <c r="G2729" s="59" t="str"/>
      <c r="H2729" s="64" t="str"/>
      <c r="I2729" s="65" t="str"/>
      <c r="J2729" s="49" t="str"/>
      <c r="K2729" s="41" t="str"/>
      <c r="L2729" s="41" t="str"/>
      <c r="M2729" s="41" t="str"/>
      <c r="N2729" s="41" t="str"/>
      <c r="O2729" s="41" t="str"/>
      <c r="P2729" s="41" t="str"/>
      <c r="Q2729" s="41" t="str"/>
      <c r="R2729" s="41" t="str"/>
      <c r="S2729" s="41" t="str"/>
      <c r="T2729" s="41" t="str"/>
      <c r="U2729" s="41" t="str"/>
      <c r="V2729" s="41" t="str"/>
      <c r="W2729" s="41" t="str"/>
    </row>
    <row r="2730">
      <c r="B2730" s="2" t="n"/>
      <c r="C2730" s="40" t="n"/>
      <c r="D2730" s="52">
        <f t="array" ref="D2730:W2730">IF(All_Students_Scores!C2728:V2728="","",All_Students_Scores!C2728:V2728)</f>
        <v/>
      </c>
      <c r="E2730" s="57" t="str"/>
      <c r="F2730" s="49" t="str"/>
      <c r="G2730" s="59" t="str"/>
      <c r="H2730" s="64" t="str"/>
      <c r="I2730" s="65" t="str"/>
      <c r="J2730" s="49" t="str"/>
      <c r="K2730" s="41" t="str"/>
      <c r="L2730" s="41" t="str"/>
      <c r="M2730" s="41" t="str"/>
      <c r="N2730" s="41" t="str"/>
      <c r="O2730" s="41" t="str"/>
      <c r="P2730" s="41" t="str"/>
      <c r="Q2730" s="41" t="str"/>
      <c r="R2730" s="41" t="str"/>
      <c r="S2730" s="41" t="str"/>
      <c r="T2730" s="41" t="str"/>
      <c r="U2730" s="41" t="str"/>
      <c r="V2730" s="41" t="str"/>
      <c r="W2730" s="41" t="str"/>
    </row>
    <row r="2731">
      <c r="B2731" s="2" t="n"/>
      <c r="C2731" s="40" t="n"/>
      <c r="D2731" s="52">
        <f t="array" ref="D2731:W2731">IF(All_Students_Scores!C2729:V2729="","",All_Students_Scores!C2729:V2729)</f>
        <v/>
      </c>
      <c r="E2731" s="57" t="str"/>
      <c r="F2731" s="49" t="str"/>
      <c r="G2731" s="59" t="str"/>
      <c r="H2731" s="64" t="str"/>
      <c r="I2731" s="65" t="str"/>
      <c r="J2731" s="49" t="str"/>
      <c r="K2731" s="41" t="str"/>
      <c r="L2731" s="41" t="str"/>
      <c r="M2731" s="41" t="str"/>
      <c r="N2731" s="41" t="str"/>
      <c r="O2731" s="41" t="str"/>
      <c r="P2731" s="41" t="str"/>
      <c r="Q2731" s="41" t="str"/>
      <c r="R2731" s="41" t="str"/>
      <c r="S2731" s="41" t="str"/>
      <c r="T2731" s="41" t="str"/>
      <c r="U2731" s="41" t="str"/>
      <c r="V2731" s="41" t="str"/>
      <c r="W2731" s="41" t="str"/>
    </row>
    <row r="2732">
      <c r="B2732" s="2" t="n"/>
      <c r="C2732" s="40" t="n"/>
      <c r="D2732" s="52">
        <f t="array" ref="D2732:W2732">IF(All_Students_Scores!C2730:V2730="","",All_Students_Scores!C2730:V2730)</f>
        <v/>
      </c>
      <c r="E2732" s="57" t="str"/>
      <c r="F2732" s="49" t="str"/>
      <c r="G2732" s="59" t="str"/>
      <c r="H2732" s="64" t="str"/>
      <c r="I2732" s="65" t="str"/>
      <c r="J2732" s="49" t="str"/>
      <c r="K2732" s="41" t="str"/>
      <c r="L2732" s="41" t="str"/>
      <c r="M2732" s="41" t="str"/>
      <c r="N2732" s="41" t="str"/>
      <c r="O2732" s="41" t="str"/>
      <c r="P2732" s="41" t="str"/>
      <c r="Q2732" s="41" t="str"/>
      <c r="R2732" s="41" t="str"/>
      <c r="S2732" s="41" t="str"/>
      <c r="T2732" s="41" t="str"/>
      <c r="U2732" s="41" t="str"/>
      <c r="V2732" s="41" t="str"/>
      <c r="W2732" s="41" t="str"/>
    </row>
    <row r="2733">
      <c r="B2733" s="2" t="n"/>
      <c r="C2733" s="40" t="n"/>
      <c r="D2733" s="52">
        <f t="array" ref="D2733:W2733">IF(All_Students_Scores!C2731:V2731="","",All_Students_Scores!C2731:V2731)</f>
        <v/>
      </c>
      <c r="E2733" s="57" t="str"/>
      <c r="F2733" s="49" t="str"/>
      <c r="G2733" s="59" t="str"/>
      <c r="H2733" s="64" t="str"/>
      <c r="I2733" s="65" t="str"/>
      <c r="J2733" s="49" t="str"/>
      <c r="K2733" s="41" t="str"/>
      <c r="L2733" s="41" t="str"/>
      <c r="M2733" s="41" t="str"/>
      <c r="N2733" s="41" t="str"/>
      <c r="O2733" s="41" t="str"/>
      <c r="P2733" s="41" t="str"/>
      <c r="Q2733" s="41" t="str"/>
      <c r="R2733" s="41" t="str"/>
      <c r="S2733" s="41" t="str"/>
      <c r="T2733" s="41" t="str"/>
      <c r="U2733" s="41" t="str"/>
      <c r="V2733" s="41" t="str"/>
      <c r="W2733" s="41" t="str"/>
    </row>
    <row r="2734">
      <c r="B2734" s="2" t="n"/>
      <c r="C2734" s="40" t="n"/>
      <c r="D2734" s="52">
        <f t="array" ref="D2734:W2734">IF(All_Students_Scores!C2732:V2732="","",All_Students_Scores!C2732:V2732)</f>
        <v/>
      </c>
      <c r="E2734" s="57" t="str"/>
      <c r="F2734" s="49" t="str"/>
      <c r="G2734" s="59" t="str"/>
      <c r="H2734" s="64" t="str"/>
      <c r="I2734" s="65" t="str"/>
      <c r="J2734" s="49" t="str"/>
      <c r="K2734" s="41" t="str"/>
      <c r="L2734" s="41" t="str"/>
      <c r="M2734" s="41" t="str"/>
      <c r="N2734" s="41" t="str"/>
      <c r="O2734" s="41" t="str"/>
      <c r="P2734" s="41" t="str"/>
      <c r="Q2734" s="41" t="str"/>
      <c r="R2734" s="41" t="str"/>
      <c r="S2734" s="41" t="str"/>
      <c r="T2734" s="41" t="str"/>
      <c r="U2734" s="41" t="str"/>
      <c r="V2734" s="41" t="str"/>
      <c r="W2734" s="41" t="str"/>
    </row>
    <row r="2735">
      <c r="B2735" s="2" t="n"/>
      <c r="C2735" s="40" t="n"/>
      <c r="D2735" s="52">
        <f t="array" ref="D2735:W2735">IF(All_Students_Scores!C2733:V2733="","",All_Students_Scores!C2733:V2733)</f>
        <v/>
      </c>
      <c r="E2735" s="57" t="str"/>
      <c r="F2735" s="49" t="str"/>
      <c r="G2735" s="59" t="str"/>
      <c r="H2735" s="64" t="str"/>
      <c r="I2735" s="65" t="str"/>
      <c r="J2735" s="49" t="str"/>
      <c r="K2735" s="41" t="str"/>
      <c r="L2735" s="41" t="str"/>
      <c r="M2735" s="41" t="str"/>
      <c r="N2735" s="41" t="str"/>
      <c r="O2735" s="41" t="str"/>
      <c r="P2735" s="41" t="str"/>
      <c r="Q2735" s="41" t="str"/>
      <c r="R2735" s="41" t="str"/>
      <c r="S2735" s="41" t="str"/>
      <c r="T2735" s="41" t="str"/>
      <c r="U2735" s="41" t="str"/>
      <c r="V2735" s="41" t="str"/>
      <c r="W2735" s="41" t="str"/>
    </row>
    <row r="2736">
      <c r="B2736" s="2" t="n"/>
      <c r="C2736" s="40" t="n"/>
      <c r="D2736" s="52">
        <f t="array" ref="D2736:W2736">IF(All_Students_Scores!C2734:V2734="","",All_Students_Scores!C2734:V2734)</f>
        <v/>
      </c>
      <c r="E2736" s="57" t="str"/>
      <c r="F2736" s="49" t="str"/>
      <c r="G2736" s="59" t="str"/>
      <c r="H2736" s="64" t="str"/>
      <c r="I2736" s="65" t="str"/>
      <c r="J2736" s="49" t="str"/>
      <c r="K2736" s="41" t="str"/>
      <c r="L2736" s="41" t="str"/>
      <c r="M2736" s="41" t="str"/>
      <c r="N2736" s="41" t="str"/>
      <c r="O2736" s="41" t="str"/>
      <c r="P2736" s="41" t="str"/>
      <c r="Q2736" s="41" t="str"/>
      <c r="R2736" s="41" t="str"/>
      <c r="S2736" s="41" t="str"/>
      <c r="T2736" s="41" t="str"/>
      <c r="U2736" s="41" t="str"/>
      <c r="V2736" s="41" t="str"/>
      <c r="W2736" s="41" t="str"/>
    </row>
    <row r="2737">
      <c r="B2737" s="2" t="n"/>
      <c r="C2737" s="40" t="n"/>
      <c r="D2737" s="52">
        <f t="array" ref="D2737:W2737">IF(All_Students_Scores!C2735:V2735="","",All_Students_Scores!C2735:V2735)</f>
        <v/>
      </c>
      <c r="E2737" s="57" t="str"/>
      <c r="F2737" s="49" t="str"/>
      <c r="G2737" s="59" t="str"/>
      <c r="H2737" s="64" t="str"/>
      <c r="I2737" s="65" t="str"/>
      <c r="J2737" s="49" t="str"/>
      <c r="K2737" s="41" t="str"/>
      <c r="L2737" s="41" t="str"/>
      <c r="M2737" s="41" t="str"/>
      <c r="N2737" s="41" t="str"/>
      <c r="O2737" s="41" t="str"/>
      <c r="P2737" s="41" t="str"/>
      <c r="Q2737" s="41" t="str"/>
      <c r="R2737" s="41" t="str"/>
      <c r="S2737" s="41" t="str"/>
      <c r="T2737" s="41" t="str"/>
      <c r="U2737" s="41" t="str"/>
      <c r="V2737" s="41" t="str"/>
      <c r="W2737" s="41" t="str"/>
    </row>
    <row r="2738">
      <c r="B2738" s="2" t="n"/>
      <c r="C2738" s="40" t="n"/>
      <c r="D2738" s="52">
        <f t="array" ref="D2738:W2738">IF(All_Students_Scores!C2736:V2736="","",All_Students_Scores!C2736:V2736)</f>
        <v/>
      </c>
      <c r="E2738" s="57" t="str"/>
      <c r="F2738" s="49" t="str"/>
      <c r="G2738" s="59" t="str"/>
      <c r="H2738" s="64" t="str"/>
      <c r="I2738" s="65" t="str"/>
      <c r="J2738" s="49" t="str"/>
      <c r="K2738" s="41" t="str"/>
      <c r="L2738" s="41" t="str"/>
      <c r="M2738" s="41" t="str"/>
      <c r="N2738" s="41" t="str"/>
      <c r="O2738" s="41" t="str"/>
      <c r="P2738" s="41" t="str"/>
      <c r="Q2738" s="41" t="str"/>
      <c r="R2738" s="41" t="str"/>
      <c r="S2738" s="41" t="str"/>
      <c r="T2738" s="41" t="str"/>
      <c r="U2738" s="41" t="str"/>
      <c r="V2738" s="41" t="str"/>
      <c r="W2738" s="41" t="str"/>
    </row>
    <row r="2739">
      <c r="B2739" s="2" t="n"/>
      <c r="C2739" s="40" t="n"/>
      <c r="D2739" s="52">
        <f t="array" ref="D2739:W2739">IF(All_Students_Scores!C2737:V2737="","",All_Students_Scores!C2737:V2737)</f>
        <v/>
      </c>
      <c r="E2739" s="57" t="str"/>
      <c r="F2739" s="49" t="str"/>
      <c r="G2739" s="59" t="str"/>
      <c r="H2739" s="64" t="str"/>
      <c r="I2739" s="65" t="str"/>
      <c r="J2739" s="49" t="str"/>
      <c r="K2739" s="41" t="str"/>
      <c r="L2739" s="41" t="str"/>
      <c r="M2739" s="41" t="str"/>
      <c r="N2739" s="41" t="str"/>
      <c r="O2739" s="41" t="str"/>
      <c r="P2739" s="41" t="str"/>
      <c r="Q2739" s="41" t="str"/>
      <c r="R2739" s="41" t="str"/>
      <c r="S2739" s="41" t="str"/>
      <c r="T2739" s="41" t="str"/>
      <c r="U2739" s="41" t="str"/>
      <c r="V2739" s="41" t="str"/>
      <c r="W2739" s="41" t="str"/>
    </row>
    <row r="2740">
      <c r="B2740" s="2" t="n"/>
      <c r="C2740" s="40" t="n"/>
      <c r="D2740" s="52">
        <f t="array" ref="D2740:W2740">IF(All_Students_Scores!C2738:V2738="","",All_Students_Scores!C2738:V2738)</f>
        <v/>
      </c>
      <c r="E2740" s="57" t="str"/>
      <c r="F2740" s="49" t="str"/>
      <c r="G2740" s="59" t="str"/>
      <c r="H2740" s="64" t="str"/>
      <c r="I2740" s="65" t="str"/>
      <c r="J2740" s="49" t="str"/>
      <c r="K2740" s="41" t="str"/>
      <c r="L2740" s="41" t="str"/>
      <c r="M2740" s="41" t="str"/>
      <c r="N2740" s="41" t="str"/>
      <c r="O2740" s="41" t="str"/>
      <c r="P2740" s="41" t="str"/>
      <c r="Q2740" s="41" t="str"/>
      <c r="R2740" s="41" t="str"/>
      <c r="S2740" s="41" t="str"/>
      <c r="T2740" s="41" t="str"/>
      <c r="U2740" s="41" t="str"/>
      <c r="V2740" s="41" t="str"/>
      <c r="W2740" s="41" t="str"/>
    </row>
    <row r="2741">
      <c r="B2741" s="2" t="n"/>
      <c r="C2741" s="40" t="n"/>
      <c r="D2741" s="52">
        <f t="array" ref="D2741:W2741">IF(All_Students_Scores!C2739:V2739="","",All_Students_Scores!C2739:V2739)</f>
        <v/>
      </c>
      <c r="E2741" s="57" t="str"/>
      <c r="F2741" s="49" t="str"/>
      <c r="G2741" s="59" t="str"/>
      <c r="H2741" s="64" t="str"/>
      <c r="I2741" s="65" t="str"/>
      <c r="J2741" s="49" t="str"/>
      <c r="K2741" s="41" t="str"/>
      <c r="L2741" s="41" t="str"/>
      <c r="M2741" s="41" t="str"/>
      <c r="N2741" s="41" t="str"/>
      <c r="O2741" s="41" t="str"/>
      <c r="P2741" s="41" t="str"/>
      <c r="Q2741" s="41" t="str"/>
      <c r="R2741" s="41" t="str"/>
      <c r="S2741" s="41" t="str"/>
      <c r="T2741" s="41" t="str"/>
      <c r="U2741" s="41" t="str"/>
      <c r="V2741" s="41" t="str"/>
      <c r="W2741" s="41" t="str"/>
    </row>
    <row r="2742">
      <c r="B2742" s="2" t="n"/>
      <c r="C2742" s="40" t="n"/>
      <c r="D2742" s="52">
        <f t="array" ref="D2742:W2742">IF(All_Students_Scores!C2740:V2740="","",All_Students_Scores!C2740:V2740)</f>
        <v/>
      </c>
      <c r="E2742" s="57" t="str"/>
      <c r="F2742" s="49" t="str"/>
      <c r="G2742" s="59" t="str"/>
      <c r="H2742" s="64" t="str"/>
      <c r="I2742" s="65" t="str"/>
      <c r="J2742" s="49" t="str"/>
      <c r="K2742" s="41" t="str"/>
      <c r="L2742" s="41" t="str"/>
      <c r="M2742" s="41" t="str"/>
      <c r="N2742" s="41" t="str"/>
      <c r="O2742" s="41" t="str"/>
      <c r="P2742" s="41" t="str"/>
      <c r="Q2742" s="41" t="str"/>
      <c r="R2742" s="41" t="str"/>
      <c r="S2742" s="41" t="str"/>
      <c r="T2742" s="41" t="str"/>
      <c r="U2742" s="41" t="str"/>
      <c r="V2742" s="41" t="str"/>
      <c r="W2742" s="41" t="str"/>
    </row>
    <row r="2743">
      <c r="B2743" s="2" t="n"/>
      <c r="C2743" s="40" t="n"/>
      <c r="D2743" s="52">
        <f t="array" ref="D2743:W2743">IF(All_Students_Scores!C2741:V2741="","",All_Students_Scores!C2741:V2741)</f>
        <v/>
      </c>
      <c r="E2743" s="57" t="str"/>
      <c r="F2743" s="49" t="str"/>
      <c r="G2743" s="59" t="str"/>
      <c r="H2743" s="64" t="str"/>
      <c r="I2743" s="65" t="str"/>
      <c r="J2743" s="49" t="str"/>
      <c r="K2743" s="41" t="str"/>
      <c r="L2743" s="41" t="str"/>
      <c r="M2743" s="41" t="str"/>
      <c r="N2743" s="41" t="str"/>
      <c r="O2743" s="41" t="str"/>
      <c r="P2743" s="41" t="str"/>
      <c r="Q2743" s="41" t="str"/>
      <c r="R2743" s="41" t="str"/>
      <c r="S2743" s="41" t="str"/>
      <c r="T2743" s="41" t="str"/>
      <c r="U2743" s="41" t="str"/>
      <c r="V2743" s="41" t="str"/>
      <c r="W2743" s="41" t="str"/>
    </row>
    <row r="2744">
      <c r="B2744" s="2" t="n"/>
      <c r="C2744" s="40" t="n"/>
      <c r="D2744" s="52">
        <f t="array" ref="D2744:W2744">IF(All_Students_Scores!C2742:V2742="","",All_Students_Scores!C2742:V2742)</f>
        <v/>
      </c>
      <c r="E2744" s="57" t="str"/>
      <c r="F2744" s="49" t="str"/>
      <c r="G2744" s="59" t="str"/>
      <c r="H2744" s="64" t="str"/>
      <c r="I2744" s="65" t="str"/>
      <c r="J2744" s="49" t="str"/>
      <c r="K2744" s="41" t="str"/>
      <c r="L2744" s="41" t="str"/>
      <c r="M2744" s="41" t="str"/>
      <c r="N2744" s="41" t="str"/>
      <c r="O2744" s="41" t="str"/>
      <c r="P2744" s="41" t="str"/>
      <c r="Q2744" s="41" t="str"/>
      <c r="R2744" s="41" t="str"/>
      <c r="S2744" s="41" t="str"/>
      <c r="T2744" s="41" t="str"/>
      <c r="U2744" s="41" t="str"/>
      <c r="V2744" s="41" t="str"/>
      <c r="W2744" s="41" t="str"/>
    </row>
    <row r="2745">
      <c r="B2745" s="2" t="n"/>
      <c r="C2745" s="40" t="n"/>
      <c r="D2745" s="52">
        <f t="array" ref="D2745:W2745">IF(All_Students_Scores!C2743:V2743="","",All_Students_Scores!C2743:V2743)</f>
        <v/>
      </c>
      <c r="E2745" s="57" t="str"/>
      <c r="F2745" s="49" t="str"/>
      <c r="G2745" s="59" t="str"/>
      <c r="H2745" s="64" t="str"/>
      <c r="I2745" s="65" t="str"/>
      <c r="J2745" s="49" t="str"/>
      <c r="K2745" s="41" t="str"/>
      <c r="L2745" s="41" t="str"/>
      <c r="M2745" s="41" t="str"/>
      <c r="N2745" s="41" t="str"/>
      <c r="O2745" s="41" t="str"/>
      <c r="P2745" s="41" t="str"/>
      <c r="Q2745" s="41" t="str"/>
      <c r="R2745" s="41" t="str"/>
      <c r="S2745" s="41" t="str"/>
      <c r="T2745" s="41" t="str"/>
      <c r="U2745" s="41" t="str"/>
      <c r="V2745" s="41" t="str"/>
      <c r="W2745" s="41" t="str"/>
    </row>
    <row r="2746">
      <c r="B2746" s="2" t="n"/>
      <c r="C2746" s="40" t="n"/>
      <c r="D2746" s="52">
        <f t="array" ref="D2746:W2746">IF(All_Students_Scores!C2744:V2744="","",All_Students_Scores!C2744:V2744)</f>
        <v/>
      </c>
      <c r="E2746" s="57" t="str"/>
      <c r="F2746" s="49" t="str"/>
      <c r="G2746" s="59" t="str"/>
      <c r="H2746" s="64" t="str"/>
      <c r="I2746" s="65" t="str"/>
      <c r="J2746" s="49" t="str"/>
      <c r="K2746" s="41" t="str"/>
      <c r="L2746" s="41" t="str"/>
      <c r="M2746" s="41" t="str"/>
      <c r="N2746" s="41" t="str"/>
      <c r="O2746" s="41" t="str"/>
      <c r="P2746" s="41" t="str"/>
      <c r="Q2746" s="41" t="str"/>
      <c r="R2746" s="41" t="str"/>
      <c r="S2746" s="41" t="str"/>
      <c r="T2746" s="41" t="str"/>
      <c r="U2746" s="41" t="str"/>
      <c r="V2746" s="41" t="str"/>
      <c r="W2746" s="41" t="str"/>
    </row>
    <row r="2747">
      <c r="B2747" s="2" t="n"/>
      <c r="C2747" s="40" t="n"/>
      <c r="D2747" s="52">
        <f t="array" ref="D2747:W2747">IF(All_Students_Scores!C2745:V2745="","",All_Students_Scores!C2745:V2745)</f>
        <v/>
      </c>
      <c r="E2747" s="57" t="str"/>
      <c r="F2747" s="49" t="str"/>
      <c r="G2747" s="59" t="str"/>
      <c r="H2747" s="64" t="str"/>
      <c r="I2747" s="65" t="str"/>
      <c r="J2747" s="49" t="str"/>
      <c r="K2747" s="41" t="str"/>
      <c r="L2747" s="41" t="str"/>
      <c r="M2747" s="41" t="str"/>
      <c r="N2747" s="41" t="str"/>
      <c r="O2747" s="41" t="str"/>
      <c r="P2747" s="41" t="str"/>
      <c r="Q2747" s="41" t="str"/>
      <c r="R2747" s="41" t="str"/>
      <c r="S2747" s="41" t="str"/>
      <c r="T2747" s="41" t="str"/>
      <c r="U2747" s="41" t="str"/>
      <c r="V2747" s="41" t="str"/>
      <c r="W2747" s="41" t="str"/>
    </row>
    <row r="2748">
      <c r="B2748" s="2" t="n"/>
      <c r="C2748" s="40" t="n"/>
      <c r="D2748" s="52">
        <f t="array" ref="D2748:W2748">IF(All_Students_Scores!C2746:V2746="","",All_Students_Scores!C2746:V2746)</f>
        <v/>
      </c>
      <c r="E2748" s="57" t="str"/>
      <c r="F2748" s="49" t="str"/>
      <c r="G2748" s="59" t="str"/>
      <c r="H2748" s="64" t="str"/>
      <c r="I2748" s="65" t="str"/>
      <c r="J2748" s="49" t="str"/>
      <c r="K2748" s="41" t="str"/>
      <c r="L2748" s="41" t="str"/>
      <c r="M2748" s="41" t="str"/>
      <c r="N2748" s="41" t="str"/>
      <c r="O2748" s="41" t="str"/>
      <c r="P2748" s="41" t="str"/>
      <c r="Q2748" s="41" t="str"/>
      <c r="R2748" s="41" t="str"/>
      <c r="S2748" s="41" t="str"/>
      <c r="T2748" s="41" t="str"/>
      <c r="U2748" s="41" t="str"/>
      <c r="V2748" s="41" t="str"/>
      <c r="W2748" s="41" t="str"/>
    </row>
    <row r="2749">
      <c r="B2749" s="2" t="n"/>
      <c r="C2749" s="40" t="n"/>
      <c r="D2749" s="52">
        <f t="array" ref="D2749:W2749">IF(All_Students_Scores!C2747:V2747="","",All_Students_Scores!C2747:V2747)</f>
        <v/>
      </c>
      <c r="E2749" s="57" t="str"/>
      <c r="F2749" s="49" t="str"/>
      <c r="G2749" s="59" t="str"/>
      <c r="H2749" s="64" t="str"/>
      <c r="I2749" s="65" t="str"/>
      <c r="J2749" s="49" t="str"/>
      <c r="K2749" s="41" t="str"/>
      <c r="L2749" s="41" t="str"/>
      <c r="M2749" s="41" t="str"/>
      <c r="N2749" s="41" t="str"/>
      <c r="O2749" s="41" t="str"/>
      <c r="P2749" s="41" t="str"/>
      <c r="Q2749" s="41" t="str"/>
      <c r="R2749" s="41" t="str"/>
      <c r="S2749" s="41" t="str"/>
      <c r="T2749" s="41" t="str"/>
      <c r="U2749" s="41" t="str"/>
      <c r="V2749" s="41" t="str"/>
      <c r="W2749" s="41" t="str"/>
    </row>
    <row r="2750">
      <c r="B2750" s="2" t="n"/>
      <c r="C2750" s="40" t="n"/>
      <c r="D2750" s="52">
        <f t="array" ref="D2750:W2750">IF(All_Students_Scores!C2748:V2748="","",All_Students_Scores!C2748:V2748)</f>
        <v/>
      </c>
      <c r="E2750" s="57" t="str"/>
      <c r="F2750" s="49" t="str"/>
      <c r="G2750" s="59" t="str"/>
      <c r="H2750" s="64" t="str"/>
      <c r="I2750" s="65" t="str"/>
      <c r="J2750" s="49" t="str"/>
      <c r="K2750" s="41" t="str"/>
      <c r="L2750" s="41" t="str"/>
      <c r="M2750" s="41" t="str"/>
      <c r="N2750" s="41" t="str"/>
      <c r="O2750" s="41" t="str"/>
      <c r="P2750" s="41" t="str"/>
      <c r="Q2750" s="41" t="str"/>
      <c r="R2750" s="41" t="str"/>
      <c r="S2750" s="41" t="str"/>
      <c r="T2750" s="41" t="str"/>
      <c r="U2750" s="41" t="str"/>
      <c r="V2750" s="41" t="str"/>
      <c r="W2750" s="41" t="str"/>
    </row>
    <row r="2751">
      <c r="B2751" s="2" t="n"/>
      <c r="C2751" s="40" t="n"/>
      <c r="D2751" s="52">
        <f t="array" ref="D2751:W2751">IF(All_Students_Scores!C2749:V2749="","",All_Students_Scores!C2749:V2749)</f>
        <v/>
      </c>
      <c r="E2751" s="57" t="str"/>
      <c r="F2751" s="49" t="str"/>
      <c r="G2751" s="59" t="str"/>
      <c r="H2751" s="64" t="str"/>
      <c r="I2751" s="65" t="str"/>
      <c r="J2751" s="49" t="str"/>
      <c r="K2751" s="41" t="str"/>
      <c r="L2751" s="41" t="str"/>
      <c r="M2751" s="41" t="str"/>
      <c r="N2751" s="41" t="str"/>
      <c r="O2751" s="41" t="str"/>
      <c r="P2751" s="41" t="str"/>
      <c r="Q2751" s="41" t="str"/>
      <c r="R2751" s="41" t="str"/>
      <c r="S2751" s="41" t="str"/>
      <c r="T2751" s="41" t="str"/>
      <c r="U2751" s="41" t="str"/>
      <c r="V2751" s="41" t="str"/>
      <c r="W2751" s="41" t="str"/>
    </row>
    <row r="2752">
      <c r="B2752" s="2" t="n"/>
      <c r="C2752" s="40" t="n"/>
      <c r="D2752" s="52">
        <f t="array" ref="D2752:W2752">IF(All_Students_Scores!C2750:V2750="","",All_Students_Scores!C2750:V2750)</f>
        <v/>
      </c>
      <c r="E2752" s="57" t="str"/>
      <c r="F2752" s="49" t="str"/>
      <c r="G2752" s="59" t="str"/>
      <c r="H2752" s="64" t="str"/>
      <c r="I2752" s="65" t="str"/>
      <c r="J2752" s="49" t="str"/>
      <c r="K2752" s="41" t="str"/>
      <c r="L2752" s="41" t="str"/>
      <c r="M2752" s="41" t="str"/>
      <c r="N2752" s="41" t="str"/>
      <c r="O2752" s="41" t="str"/>
      <c r="P2752" s="41" t="str"/>
      <c r="Q2752" s="41" t="str"/>
      <c r="R2752" s="41" t="str"/>
      <c r="S2752" s="41" t="str"/>
      <c r="T2752" s="41" t="str"/>
      <c r="U2752" s="41" t="str"/>
      <c r="V2752" s="41" t="str"/>
      <c r="W2752" s="41" t="str"/>
    </row>
    <row r="2753">
      <c r="B2753" s="2" t="n"/>
      <c r="C2753" s="40" t="n"/>
      <c r="D2753" s="52">
        <f t="array" ref="D2753:W2753">IF(All_Students_Scores!C2751:V2751="","",All_Students_Scores!C2751:V2751)</f>
        <v/>
      </c>
      <c r="E2753" s="57" t="str"/>
      <c r="F2753" s="49" t="str"/>
      <c r="G2753" s="59" t="str"/>
      <c r="H2753" s="64" t="str"/>
      <c r="I2753" s="65" t="str"/>
      <c r="J2753" s="49" t="str"/>
      <c r="K2753" s="41" t="str"/>
      <c r="L2753" s="41" t="str"/>
      <c r="M2753" s="41" t="str"/>
      <c r="N2753" s="41" t="str"/>
      <c r="O2753" s="41" t="str"/>
      <c r="P2753" s="41" t="str"/>
      <c r="Q2753" s="41" t="str"/>
      <c r="R2753" s="41" t="str"/>
      <c r="S2753" s="41" t="str"/>
      <c r="T2753" s="41" t="str"/>
      <c r="U2753" s="41" t="str"/>
      <c r="V2753" s="41" t="str"/>
      <c r="W2753" s="41" t="str"/>
    </row>
    <row r="2754">
      <c r="B2754" s="2" t="n"/>
      <c r="C2754" s="40" t="n"/>
      <c r="D2754" s="52">
        <f t="array" ref="D2754:W2754">IF(All_Students_Scores!C2752:V2752="","",All_Students_Scores!C2752:V2752)</f>
        <v/>
      </c>
      <c r="E2754" s="57" t="str"/>
      <c r="F2754" s="49" t="str"/>
      <c r="G2754" s="59" t="str"/>
      <c r="H2754" s="64" t="str"/>
      <c r="I2754" s="65" t="str"/>
      <c r="J2754" s="49" t="str"/>
      <c r="K2754" s="41" t="str"/>
      <c r="L2754" s="41" t="str"/>
      <c r="M2754" s="41" t="str"/>
      <c r="N2754" s="41" t="str"/>
      <c r="O2754" s="41" t="str"/>
      <c r="P2754" s="41" t="str"/>
      <c r="Q2754" s="41" t="str"/>
      <c r="R2754" s="41" t="str"/>
      <c r="S2754" s="41" t="str"/>
      <c r="T2754" s="41" t="str"/>
      <c r="U2754" s="41" t="str"/>
      <c r="V2754" s="41" t="str"/>
      <c r="W2754" s="41" t="str"/>
    </row>
    <row r="2755">
      <c r="B2755" s="2" t="n"/>
      <c r="C2755" s="40" t="n"/>
      <c r="D2755" s="52">
        <f t="array" ref="D2755:W2755">IF(All_Students_Scores!C2753:V2753="","",All_Students_Scores!C2753:V2753)</f>
        <v/>
      </c>
      <c r="E2755" s="57" t="str"/>
      <c r="F2755" s="49" t="str"/>
      <c r="G2755" s="59" t="str"/>
      <c r="H2755" s="64" t="str"/>
      <c r="I2755" s="65" t="str"/>
      <c r="J2755" s="49" t="str"/>
      <c r="K2755" s="41" t="str"/>
      <c r="L2755" s="41" t="str"/>
      <c r="M2755" s="41" t="str"/>
      <c r="N2755" s="41" t="str"/>
      <c r="O2755" s="41" t="str"/>
      <c r="P2755" s="41" t="str"/>
      <c r="Q2755" s="41" t="str"/>
      <c r="R2755" s="41" t="str"/>
      <c r="S2755" s="41" t="str"/>
      <c r="T2755" s="41" t="str"/>
      <c r="U2755" s="41" t="str"/>
      <c r="V2755" s="41" t="str"/>
      <c r="W2755" s="41" t="str"/>
    </row>
    <row r="2756">
      <c r="B2756" s="2" t="n"/>
      <c r="C2756" s="40" t="n"/>
      <c r="D2756" s="52">
        <f t="array" ref="D2756:W2756">IF(All_Students_Scores!C2754:V2754="","",All_Students_Scores!C2754:V2754)</f>
        <v/>
      </c>
      <c r="E2756" s="57" t="str"/>
      <c r="F2756" s="49" t="str"/>
      <c r="G2756" s="59" t="str"/>
      <c r="H2756" s="64" t="str"/>
      <c r="I2756" s="65" t="str"/>
      <c r="J2756" s="49" t="str"/>
      <c r="K2756" s="41" t="str"/>
      <c r="L2756" s="41" t="str"/>
      <c r="M2756" s="41" t="str"/>
      <c r="N2756" s="41" t="str"/>
      <c r="O2756" s="41" t="str"/>
      <c r="P2756" s="41" t="str"/>
      <c r="Q2756" s="41" t="str"/>
      <c r="R2756" s="41" t="str"/>
      <c r="S2756" s="41" t="str"/>
      <c r="T2756" s="41" t="str"/>
      <c r="U2756" s="41" t="str"/>
      <c r="V2756" s="41" t="str"/>
      <c r="W2756" s="41" t="str"/>
    </row>
    <row r="2757">
      <c r="B2757" s="2" t="n"/>
      <c r="C2757" s="40" t="n"/>
      <c r="D2757" s="52">
        <f t="array" ref="D2757:W2757">IF(All_Students_Scores!C2755:V2755="","",All_Students_Scores!C2755:V2755)</f>
        <v/>
      </c>
      <c r="E2757" s="57" t="str"/>
      <c r="F2757" s="49" t="str"/>
      <c r="G2757" s="59" t="str"/>
      <c r="H2757" s="64" t="str"/>
      <c r="I2757" s="65" t="str"/>
      <c r="J2757" s="49" t="str"/>
      <c r="K2757" s="41" t="str"/>
      <c r="L2757" s="41" t="str"/>
      <c r="M2757" s="41" t="str"/>
      <c r="N2757" s="41" t="str"/>
      <c r="O2757" s="41" t="str"/>
      <c r="P2757" s="41" t="str"/>
      <c r="Q2757" s="41" t="str"/>
      <c r="R2757" s="41" t="str"/>
      <c r="S2757" s="41" t="str"/>
      <c r="T2757" s="41" t="str"/>
      <c r="U2757" s="41" t="str"/>
      <c r="V2757" s="41" t="str"/>
      <c r="W2757" s="41" t="str"/>
    </row>
    <row r="2758">
      <c r="B2758" s="2" t="n"/>
      <c r="C2758" s="40" t="n"/>
      <c r="D2758" s="52">
        <f t="array" ref="D2758:W2758">IF(All_Students_Scores!C2756:V2756="","",All_Students_Scores!C2756:V2756)</f>
        <v/>
      </c>
      <c r="E2758" s="57" t="str"/>
      <c r="F2758" s="49" t="str"/>
      <c r="G2758" s="59" t="str"/>
      <c r="H2758" s="64" t="str"/>
      <c r="I2758" s="65" t="str"/>
      <c r="J2758" s="49" t="str"/>
      <c r="K2758" s="41" t="str"/>
      <c r="L2758" s="41" t="str"/>
      <c r="M2758" s="41" t="str"/>
      <c r="N2758" s="41" t="str"/>
      <c r="O2758" s="41" t="str"/>
      <c r="P2758" s="41" t="str"/>
      <c r="Q2758" s="41" t="str"/>
      <c r="R2758" s="41" t="str"/>
      <c r="S2758" s="41" t="str"/>
      <c r="T2758" s="41" t="str"/>
      <c r="U2758" s="41" t="str"/>
      <c r="V2758" s="41" t="str"/>
      <c r="W2758" s="41" t="str"/>
    </row>
    <row r="2759">
      <c r="B2759" s="2" t="n"/>
      <c r="C2759" s="40" t="n"/>
      <c r="D2759" s="52">
        <f t="array" ref="D2759:W2759">IF(All_Students_Scores!C2757:V2757="","",All_Students_Scores!C2757:V2757)</f>
        <v/>
      </c>
      <c r="E2759" s="57" t="str"/>
      <c r="F2759" s="49" t="str"/>
      <c r="G2759" s="59" t="str"/>
      <c r="H2759" s="64" t="str"/>
      <c r="I2759" s="65" t="str"/>
      <c r="J2759" s="49" t="str"/>
      <c r="K2759" s="41" t="str"/>
      <c r="L2759" s="41" t="str"/>
      <c r="M2759" s="41" t="str"/>
      <c r="N2759" s="41" t="str"/>
      <c r="O2759" s="41" t="str"/>
      <c r="P2759" s="41" t="str"/>
      <c r="Q2759" s="41" t="str"/>
      <c r="R2759" s="41" t="str"/>
      <c r="S2759" s="41" t="str"/>
      <c r="T2759" s="41" t="str"/>
      <c r="U2759" s="41" t="str"/>
      <c r="V2759" s="41" t="str"/>
      <c r="W2759" s="41" t="str"/>
    </row>
    <row r="2760">
      <c r="B2760" s="2" t="n"/>
      <c r="C2760" s="40" t="n"/>
      <c r="D2760" s="52">
        <f t="array" ref="D2760:W2760">IF(All_Students_Scores!C2758:V2758="","",All_Students_Scores!C2758:V2758)</f>
        <v/>
      </c>
      <c r="E2760" s="57" t="str"/>
      <c r="F2760" s="49" t="str"/>
      <c r="G2760" s="59" t="str"/>
      <c r="H2760" s="64" t="str"/>
      <c r="I2760" s="65" t="str"/>
      <c r="J2760" s="49" t="str"/>
      <c r="K2760" s="41" t="str"/>
      <c r="L2760" s="41" t="str"/>
      <c r="M2760" s="41" t="str"/>
      <c r="N2760" s="41" t="str"/>
      <c r="O2760" s="41" t="str"/>
      <c r="P2760" s="41" t="str"/>
      <c r="Q2760" s="41" t="str"/>
      <c r="R2760" s="41" t="str"/>
      <c r="S2760" s="41" t="str"/>
      <c r="T2760" s="41" t="str"/>
      <c r="U2760" s="41" t="str"/>
      <c r="V2760" s="41" t="str"/>
      <c r="W2760" s="41" t="str"/>
    </row>
    <row r="2761">
      <c r="B2761" s="2" t="n"/>
      <c r="C2761" s="40" t="n"/>
      <c r="D2761" s="52">
        <f t="array" ref="D2761:W2761">IF(All_Students_Scores!C2759:V2759="","",All_Students_Scores!C2759:V2759)</f>
        <v/>
      </c>
      <c r="E2761" s="57" t="str"/>
      <c r="F2761" s="49" t="str"/>
      <c r="G2761" s="59" t="str"/>
      <c r="H2761" s="64" t="str"/>
      <c r="I2761" s="65" t="str"/>
      <c r="J2761" s="49" t="str"/>
      <c r="K2761" s="41" t="str"/>
      <c r="L2761" s="41" t="str"/>
      <c r="M2761" s="41" t="str"/>
      <c r="N2761" s="41" t="str"/>
      <c r="O2761" s="41" t="str"/>
      <c r="P2761" s="41" t="str"/>
      <c r="Q2761" s="41" t="str"/>
      <c r="R2761" s="41" t="str"/>
      <c r="S2761" s="41" t="str"/>
      <c r="T2761" s="41" t="str"/>
      <c r="U2761" s="41" t="str"/>
      <c r="V2761" s="41" t="str"/>
      <c r="W2761" s="41" t="str"/>
    </row>
    <row r="2762">
      <c r="B2762" s="2" t="n"/>
      <c r="C2762" s="40" t="n"/>
      <c r="D2762" s="52">
        <f t="array" ref="D2762:W2762">IF(All_Students_Scores!C2760:V2760="","",All_Students_Scores!C2760:V2760)</f>
        <v/>
      </c>
      <c r="E2762" s="57" t="str"/>
      <c r="F2762" s="49" t="str"/>
      <c r="G2762" s="59" t="str"/>
      <c r="H2762" s="64" t="str"/>
      <c r="I2762" s="65" t="str"/>
      <c r="J2762" s="49" t="str"/>
      <c r="K2762" s="41" t="str"/>
      <c r="L2762" s="41" t="str"/>
      <c r="M2762" s="41" t="str"/>
      <c r="N2762" s="41" t="str"/>
      <c r="O2762" s="41" t="str"/>
      <c r="P2762" s="41" t="str"/>
      <c r="Q2762" s="41" t="str"/>
      <c r="R2762" s="41" t="str"/>
      <c r="S2762" s="41" t="str"/>
      <c r="T2762" s="41" t="str"/>
      <c r="U2762" s="41" t="str"/>
      <c r="V2762" s="41" t="str"/>
      <c r="W2762" s="41" t="str"/>
    </row>
    <row r="2763">
      <c r="B2763" s="2" t="n"/>
      <c r="C2763" s="40" t="n"/>
      <c r="D2763" s="52">
        <f t="array" ref="D2763:W2763">IF(All_Students_Scores!C2761:V2761="","",All_Students_Scores!C2761:V2761)</f>
        <v/>
      </c>
      <c r="E2763" s="57" t="str"/>
      <c r="F2763" s="49" t="str"/>
      <c r="G2763" s="59" t="str"/>
      <c r="H2763" s="64" t="str"/>
      <c r="I2763" s="65" t="str"/>
      <c r="J2763" s="49" t="str"/>
      <c r="K2763" s="41" t="str"/>
      <c r="L2763" s="41" t="str"/>
      <c r="M2763" s="41" t="str"/>
      <c r="N2763" s="41" t="str"/>
      <c r="O2763" s="41" t="str"/>
      <c r="P2763" s="41" t="str"/>
      <c r="Q2763" s="41" t="str"/>
      <c r="R2763" s="41" t="str"/>
      <c r="S2763" s="41" t="str"/>
      <c r="T2763" s="41" t="str"/>
      <c r="U2763" s="41" t="str"/>
      <c r="V2763" s="41" t="str"/>
      <c r="W2763" s="41" t="str"/>
    </row>
    <row r="2764">
      <c r="B2764" s="2" t="n"/>
      <c r="C2764" s="40" t="n"/>
      <c r="D2764" s="52">
        <f t="array" ref="D2764:W2764">IF(All_Students_Scores!C2762:V2762="","",All_Students_Scores!C2762:V2762)</f>
        <v/>
      </c>
      <c r="E2764" s="57" t="str"/>
      <c r="F2764" s="49" t="str"/>
      <c r="G2764" s="59" t="str"/>
      <c r="H2764" s="64" t="str"/>
      <c r="I2764" s="65" t="str"/>
      <c r="J2764" s="49" t="str"/>
      <c r="K2764" s="41" t="str"/>
      <c r="L2764" s="41" t="str"/>
      <c r="M2764" s="41" t="str"/>
      <c r="N2764" s="41" t="str"/>
      <c r="O2764" s="41" t="str"/>
      <c r="P2764" s="41" t="str"/>
      <c r="Q2764" s="41" t="str"/>
      <c r="R2764" s="41" t="str"/>
      <c r="S2764" s="41" t="str"/>
      <c r="T2764" s="41" t="str"/>
      <c r="U2764" s="41" t="str"/>
      <c r="V2764" s="41" t="str"/>
      <c r="W2764" s="41" t="str"/>
    </row>
    <row r="2765">
      <c r="B2765" s="2" t="n"/>
      <c r="C2765" s="40" t="n"/>
      <c r="D2765" s="52">
        <f t="array" ref="D2765:W2765">IF(All_Students_Scores!C2763:V2763="","",All_Students_Scores!C2763:V2763)</f>
        <v/>
      </c>
      <c r="E2765" s="57" t="str"/>
      <c r="F2765" s="49" t="str"/>
      <c r="G2765" s="59" t="str"/>
      <c r="H2765" s="64" t="str"/>
      <c r="I2765" s="65" t="str"/>
      <c r="J2765" s="49" t="str"/>
      <c r="K2765" s="41" t="str"/>
      <c r="L2765" s="41" t="str"/>
      <c r="M2765" s="41" t="str"/>
      <c r="N2765" s="41" t="str"/>
      <c r="O2765" s="41" t="str"/>
      <c r="P2765" s="41" t="str"/>
      <c r="Q2765" s="41" t="str"/>
      <c r="R2765" s="41" t="str"/>
      <c r="S2765" s="41" t="str"/>
      <c r="T2765" s="41" t="str"/>
      <c r="U2765" s="41" t="str"/>
      <c r="V2765" s="41" t="str"/>
      <c r="W2765" s="41" t="str"/>
    </row>
    <row r="2766">
      <c r="B2766" s="2" t="n"/>
      <c r="C2766" s="40" t="n"/>
      <c r="D2766" s="52">
        <f t="array" ref="D2766:W2766">IF(All_Students_Scores!C2764:V2764="","",All_Students_Scores!C2764:V2764)</f>
        <v/>
      </c>
      <c r="E2766" s="57" t="str"/>
      <c r="F2766" s="49" t="str"/>
      <c r="G2766" s="59" t="str"/>
      <c r="H2766" s="64" t="str"/>
      <c r="I2766" s="65" t="str"/>
      <c r="J2766" s="49" t="str"/>
      <c r="K2766" s="41" t="str"/>
      <c r="L2766" s="41" t="str"/>
      <c r="M2766" s="41" t="str"/>
      <c r="N2766" s="41" t="str"/>
      <c r="O2766" s="41" t="str"/>
      <c r="P2766" s="41" t="str"/>
      <c r="Q2766" s="41" t="str"/>
      <c r="R2766" s="41" t="str"/>
      <c r="S2766" s="41" t="str"/>
      <c r="T2766" s="41" t="str"/>
      <c r="U2766" s="41" t="str"/>
      <c r="V2766" s="41" t="str"/>
      <c r="W2766" s="41" t="str"/>
    </row>
    <row r="2767">
      <c r="B2767" s="2" t="n"/>
      <c r="C2767" s="40" t="n"/>
      <c r="D2767" s="52">
        <f t="array" ref="D2767:W2767">IF(All_Students_Scores!C2765:V2765="","",All_Students_Scores!C2765:V2765)</f>
        <v/>
      </c>
      <c r="E2767" s="57" t="str"/>
      <c r="F2767" s="49" t="str"/>
      <c r="G2767" s="59" t="str"/>
      <c r="H2767" s="64" t="str"/>
      <c r="I2767" s="65" t="str"/>
      <c r="J2767" s="49" t="str"/>
      <c r="K2767" s="41" t="str"/>
      <c r="L2767" s="41" t="str"/>
      <c r="M2767" s="41" t="str"/>
      <c r="N2767" s="41" t="str"/>
      <c r="O2767" s="41" t="str"/>
      <c r="P2767" s="41" t="str"/>
      <c r="Q2767" s="41" t="str"/>
      <c r="R2767" s="41" t="str"/>
      <c r="S2767" s="41" t="str"/>
      <c r="T2767" s="41" t="str"/>
      <c r="U2767" s="41" t="str"/>
      <c r="V2767" s="41" t="str"/>
      <c r="W2767" s="41" t="str"/>
    </row>
    <row r="2768">
      <c r="B2768" s="2" t="n"/>
      <c r="C2768" s="40" t="n"/>
      <c r="D2768" s="52">
        <f t="array" ref="D2768:W2768">IF(All_Students_Scores!C2766:V2766="","",All_Students_Scores!C2766:V2766)</f>
        <v/>
      </c>
      <c r="E2768" s="57" t="str"/>
      <c r="F2768" s="49" t="str"/>
      <c r="G2768" s="59" t="str"/>
      <c r="H2768" s="64" t="str"/>
      <c r="I2768" s="65" t="str"/>
      <c r="J2768" s="49" t="str"/>
      <c r="K2768" s="41" t="str"/>
      <c r="L2768" s="41" t="str"/>
      <c r="M2768" s="41" t="str"/>
      <c r="N2768" s="41" t="str"/>
      <c r="O2768" s="41" t="str"/>
      <c r="P2768" s="41" t="str"/>
      <c r="Q2768" s="41" t="str"/>
      <c r="R2768" s="41" t="str"/>
      <c r="S2768" s="41" t="str"/>
      <c r="T2768" s="41" t="str"/>
      <c r="U2768" s="41" t="str"/>
      <c r="V2768" s="41" t="str"/>
      <c r="W2768" s="41" t="str"/>
    </row>
    <row r="2769">
      <c r="B2769" s="2" t="n"/>
      <c r="C2769" s="40" t="n"/>
      <c r="D2769" s="52">
        <f t="array" ref="D2769:W2769">IF(All_Students_Scores!C2767:V2767="","",All_Students_Scores!C2767:V2767)</f>
        <v/>
      </c>
      <c r="E2769" s="57" t="str"/>
      <c r="F2769" s="49" t="str"/>
      <c r="G2769" s="59" t="str"/>
      <c r="H2769" s="64" t="str"/>
      <c r="I2769" s="65" t="str"/>
      <c r="J2769" s="49" t="str"/>
      <c r="K2769" s="41" t="str"/>
      <c r="L2769" s="41" t="str"/>
      <c r="M2769" s="41" t="str"/>
      <c r="N2769" s="41" t="str"/>
      <c r="O2769" s="41" t="str"/>
      <c r="P2769" s="41" t="str"/>
      <c r="Q2769" s="41" t="str"/>
      <c r="R2769" s="41" t="str"/>
      <c r="S2769" s="41" t="str"/>
      <c r="T2769" s="41" t="str"/>
      <c r="U2769" s="41" t="str"/>
      <c r="V2769" s="41" t="str"/>
      <c r="W2769" s="41" t="str"/>
    </row>
    <row r="2770">
      <c r="B2770" s="2" t="n"/>
      <c r="C2770" s="40" t="n"/>
      <c r="D2770" s="52">
        <f t="array" ref="D2770:W2770">IF(All_Students_Scores!C2768:V2768="","",All_Students_Scores!C2768:V2768)</f>
        <v/>
      </c>
      <c r="E2770" s="57" t="str"/>
      <c r="F2770" s="49" t="str"/>
      <c r="G2770" s="59" t="str"/>
      <c r="H2770" s="64" t="str"/>
      <c r="I2770" s="65" t="str"/>
      <c r="J2770" s="49" t="str"/>
      <c r="K2770" s="41" t="str"/>
      <c r="L2770" s="41" t="str"/>
      <c r="M2770" s="41" t="str"/>
      <c r="N2770" s="41" t="str"/>
      <c r="O2770" s="41" t="str"/>
      <c r="P2770" s="41" t="str"/>
      <c r="Q2770" s="41" t="str"/>
      <c r="R2770" s="41" t="str"/>
      <c r="S2770" s="41" t="str"/>
      <c r="T2770" s="41" t="str"/>
      <c r="U2770" s="41" t="str"/>
      <c r="V2770" s="41" t="str"/>
      <c r="W2770" s="41" t="str"/>
    </row>
    <row r="2771">
      <c r="B2771" s="2" t="n"/>
      <c r="C2771" s="40" t="n"/>
      <c r="D2771" s="52">
        <f t="array" ref="D2771:W2771">IF(All_Students_Scores!C2769:V2769="","",All_Students_Scores!C2769:V2769)</f>
        <v/>
      </c>
      <c r="E2771" s="57" t="str"/>
      <c r="F2771" s="49" t="str"/>
      <c r="G2771" s="59" t="str"/>
      <c r="H2771" s="64" t="str"/>
      <c r="I2771" s="65" t="str"/>
      <c r="J2771" s="49" t="str"/>
      <c r="K2771" s="41" t="str"/>
      <c r="L2771" s="41" t="str"/>
      <c r="M2771" s="41" t="str"/>
      <c r="N2771" s="41" t="str"/>
      <c r="O2771" s="41" t="str"/>
      <c r="P2771" s="41" t="str"/>
      <c r="Q2771" s="41" t="str"/>
      <c r="R2771" s="41" t="str"/>
      <c r="S2771" s="41" t="str"/>
      <c r="T2771" s="41" t="str"/>
      <c r="U2771" s="41" t="str"/>
      <c r="V2771" s="41" t="str"/>
      <c r="W2771" s="41" t="str"/>
    </row>
    <row r="2772">
      <c r="B2772" s="2" t="n"/>
      <c r="C2772" s="40" t="n"/>
      <c r="D2772" s="52">
        <f t="array" ref="D2772:W2772">IF(All_Students_Scores!C2770:V2770="","",All_Students_Scores!C2770:V2770)</f>
        <v/>
      </c>
      <c r="E2772" s="57" t="str"/>
      <c r="F2772" s="49" t="str"/>
      <c r="G2772" s="59" t="str"/>
      <c r="H2772" s="64" t="str"/>
      <c r="I2772" s="65" t="str"/>
      <c r="J2772" s="49" t="str"/>
      <c r="K2772" s="41" t="str"/>
      <c r="L2772" s="41" t="str"/>
      <c r="M2772" s="41" t="str"/>
      <c r="N2772" s="41" t="str"/>
      <c r="O2772" s="41" t="str"/>
      <c r="P2772" s="41" t="str"/>
      <c r="Q2772" s="41" t="str"/>
      <c r="R2772" s="41" t="str"/>
      <c r="S2772" s="41" t="str"/>
      <c r="T2772" s="41" t="str"/>
      <c r="U2772" s="41" t="str"/>
      <c r="V2772" s="41" t="str"/>
      <c r="W2772" s="41" t="str"/>
    </row>
    <row r="2773">
      <c r="B2773" s="2" t="n"/>
      <c r="C2773" s="40" t="n"/>
      <c r="D2773" s="52">
        <f t="array" ref="D2773:W2773">IF(All_Students_Scores!C2771:V2771="","",All_Students_Scores!C2771:V2771)</f>
        <v/>
      </c>
      <c r="E2773" s="57" t="str"/>
      <c r="F2773" s="49" t="str"/>
      <c r="G2773" s="59" t="str"/>
      <c r="H2773" s="64" t="str"/>
      <c r="I2773" s="65" t="str"/>
      <c r="J2773" s="49" t="str"/>
      <c r="K2773" s="41" t="str"/>
      <c r="L2773" s="41" t="str"/>
      <c r="M2773" s="41" t="str"/>
      <c r="N2773" s="41" t="str"/>
      <c r="O2773" s="41" t="str"/>
      <c r="P2773" s="41" t="str"/>
      <c r="Q2773" s="41" t="str"/>
      <c r="R2773" s="41" t="str"/>
      <c r="S2773" s="41" t="str"/>
      <c r="T2773" s="41" t="str"/>
      <c r="U2773" s="41" t="str"/>
      <c r="V2773" s="41" t="str"/>
      <c r="W2773" s="41" t="str"/>
    </row>
    <row r="2774">
      <c r="B2774" s="2" t="n"/>
      <c r="C2774" s="40" t="n"/>
      <c r="D2774" s="52">
        <f t="array" ref="D2774:W2774">IF(All_Students_Scores!C2772:V2772="","",All_Students_Scores!C2772:V2772)</f>
        <v/>
      </c>
      <c r="E2774" s="57" t="str"/>
      <c r="F2774" s="49" t="str"/>
      <c r="G2774" s="59" t="str"/>
      <c r="H2774" s="64" t="str"/>
      <c r="I2774" s="65" t="str"/>
      <c r="J2774" s="49" t="str"/>
      <c r="K2774" s="41" t="str"/>
      <c r="L2774" s="41" t="str"/>
      <c r="M2774" s="41" t="str"/>
      <c r="N2774" s="41" t="str"/>
      <c r="O2774" s="41" t="str"/>
      <c r="P2774" s="41" t="str"/>
      <c r="Q2774" s="41" t="str"/>
      <c r="R2774" s="41" t="str"/>
      <c r="S2774" s="41" t="str"/>
      <c r="T2774" s="41" t="str"/>
      <c r="U2774" s="41" t="str"/>
      <c r="V2774" s="41" t="str"/>
      <c r="W2774" s="41" t="str"/>
    </row>
    <row r="2775">
      <c r="B2775" s="2" t="n"/>
      <c r="C2775" s="40" t="n"/>
      <c r="D2775" s="52">
        <f t="array" ref="D2775:W2775">IF(All_Students_Scores!C2773:V2773="","",All_Students_Scores!C2773:V2773)</f>
        <v/>
      </c>
      <c r="E2775" s="57" t="str"/>
      <c r="F2775" s="49" t="str"/>
      <c r="G2775" s="59" t="str"/>
      <c r="H2775" s="64" t="str"/>
      <c r="I2775" s="65" t="str"/>
      <c r="J2775" s="49" t="str"/>
      <c r="K2775" s="41" t="str"/>
      <c r="L2775" s="41" t="str"/>
      <c r="M2775" s="41" t="str"/>
      <c r="N2775" s="41" t="str"/>
      <c r="O2775" s="41" t="str"/>
      <c r="P2775" s="41" t="str"/>
      <c r="Q2775" s="41" t="str"/>
      <c r="R2775" s="41" t="str"/>
      <c r="S2775" s="41" t="str"/>
      <c r="T2775" s="41" t="str"/>
      <c r="U2775" s="41" t="str"/>
      <c r="V2775" s="41" t="str"/>
      <c r="W2775" s="41" t="str"/>
    </row>
    <row r="2776">
      <c r="B2776" s="2" t="n"/>
      <c r="C2776" s="40" t="n"/>
      <c r="D2776" s="52">
        <f t="array" ref="D2776:W2776">IF(All_Students_Scores!C2774:V2774="","",All_Students_Scores!C2774:V2774)</f>
        <v/>
      </c>
      <c r="E2776" s="57" t="str"/>
      <c r="F2776" s="49" t="str"/>
      <c r="G2776" s="59" t="str"/>
      <c r="H2776" s="64" t="str"/>
      <c r="I2776" s="65" t="str"/>
      <c r="J2776" s="49" t="str"/>
      <c r="K2776" s="41" t="str"/>
      <c r="L2776" s="41" t="str"/>
      <c r="M2776" s="41" t="str"/>
      <c r="N2776" s="41" t="str"/>
      <c r="O2776" s="41" t="str"/>
      <c r="P2776" s="41" t="str"/>
      <c r="Q2776" s="41" t="str"/>
      <c r="R2776" s="41" t="str"/>
      <c r="S2776" s="41" t="str"/>
      <c r="T2776" s="41" t="str"/>
      <c r="U2776" s="41" t="str"/>
      <c r="V2776" s="41" t="str"/>
      <c r="W2776" s="41" t="str"/>
    </row>
    <row r="2777">
      <c r="B2777" s="2" t="n"/>
      <c r="C2777" s="40" t="n"/>
      <c r="D2777" s="52">
        <f t="array" ref="D2777:W2777">IF(All_Students_Scores!C2775:V2775="","",All_Students_Scores!C2775:V2775)</f>
        <v/>
      </c>
      <c r="E2777" s="57" t="str"/>
      <c r="F2777" s="49" t="str"/>
      <c r="G2777" s="59" t="str"/>
      <c r="H2777" s="64" t="str"/>
      <c r="I2777" s="65" t="str"/>
      <c r="J2777" s="49" t="str"/>
      <c r="K2777" s="41" t="str"/>
      <c r="L2777" s="41" t="str"/>
      <c r="M2777" s="41" t="str"/>
      <c r="N2777" s="41" t="str"/>
      <c r="O2777" s="41" t="str"/>
      <c r="P2777" s="41" t="str"/>
      <c r="Q2777" s="41" t="str"/>
      <c r="R2777" s="41" t="str"/>
      <c r="S2777" s="41" t="str"/>
      <c r="T2777" s="41" t="str"/>
      <c r="U2777" s="41" t="str"/>
      <c r="V2777" s="41" t="str"/>
      <c r="W2777" s="41" t="str"/>
    </row>
    <row r="2778">
      <c r="B2778" s="2" t="n"/>
      <c r="C2778" s="40" t="n"/>
      <c r="D2778" s="52">
        <f t="array" ref="D2778:W2778">IF(All_Students_Scores!C2776:V2776="","",All_Students_Scores!C2776:V2776)</f>
        <v/>
      </c>
      <c r="E2778" s="57" t="str"/>
      <c r="F2778" s="49" t="str"/>
      <c r="G2778" s="59" t="str"/>
      <c r="H2778" s="64" t="str"/>
      <c r="I2778" s="65" t="str"/>
      <c r="J2778" s="49" t="str"/>
      <c r="K2778" s="41" t="str"/>
      <c r="L2778" s="41" t="str"/>
      <c r="M2778" s="41" t="str"/>
      <c r="N2778" s="41" t="str"/>
      <c r="O2778" s="41" t="str"/>
      <c r="P2778" s="41" t="str"/>
      <c r="Q2778" s="41" t="str"/>
      <c r="R2778" s="41" t="str"/>
      <c r="S2778" s="41" t="str"/>
      <c r="T2778" s="41" t="str"/>
      <c r="U2778" s="41" t="str"/>
      <c r="V2778" s="41" t="str"/>
      <c r="W2778" s="41" t="str"/>
    </row>
    <row r="2779">
      <c r="B2779" s="2" t="n"/>
      <c r="C2779" s="40" t="n"/>
      <c r="D2779" s="52">
        <f t="array" ref="D2779:W2779">IF(All_Students_Scores!C2777:V2777="","",All_Students_Scores!C2777:V2777)</f>
        <v/>
      </c>
      <c r="E2779" s="57" t="str"/>
      <c r="F2779" s="49" t="str"/>
      <c r="G2779" s="59" t="str"/>
      <c r="H2779" s="64" t="str"/>
      <c r="I2779" s="65" t="str"/>
      <c r="J2779" s="49" t="str"/>
      <c r="K2779" s="41" t="str"/>
      <c r="L2779" s="41" t="str"/>
      <c r="M2779" s="41" t="str"/>
      <c r="N2779" s="41" t="str"/>
      <c r="O2779" s="41" t="str"/>
      <c r="P2779" s="41" t="str"/>
      <c r="Q2779" s="41" t="str"/>
      <c r="R2779" s="41" t="str"/>
      <c r="S2779" s="41" t="str"/>
      <c r="T2779" s="41" t="str"/>
      <c r="U2779" s="41" t="str"/>
      <c r="V2779" s="41" t="str"/>
      <c r="W2779" s="41" t="str"/>
    </row>
    <row r="2780">
      <c r="B2780" s="2" t="n"/>
      <c r="C2780" s="40" t="n"/>
      <c r="D2780" s="52">
        <f t="array" ref="D2780:W2780">IF(All_Students_Scores!C2778:V2778="","",All_Students_Scores!C2778:V2778)</f>
        <v/>
      </c>
      <c r="E2780" s="57" t="str"/>
      <c r="F2780" s="49" t="str"/>
      <c r="G2780" s="59" t="str"/>
      <c r="H2780" s="64" t="str"/>
      <c r="I2780" s="65" t="str"/>
      <c r="J2780" s="49" t="str"/>
      <c r="K2780" s="41" t="str"/>
      <c r="L2780" s="41" t="str"/>
      <c r="M2780" s="41" t="str"/>
      <c r="N2780" s="41" t="str"/>
      <c r="O2780" s="41" t="str"/>
      <c r="P2780" s="41" t="str"/>
      <c r="Q2780" s="41" t="str"/>
      <c r="R2780" s="41" t="str"/>
      <c r="S2780" s="41" t="str"/>
      <c r="T2780" s="41" t="str"/>
      <c r="U2780" s="41" t="str"/>
      <c r="V2780" s="41" t="str"/>
      <c r="W2780" s="41" t="str"/>
    </row>
    <row r="2781">
      <c r="B2781" s="2" t="n"/>
      <c r="C2781" s="40" t="n"/>
      <c r="D2781" s="52">
        <f t="array" ref="D2781:W2781">IF(All_Students_Scores!C2779:V2779="","",All_Students_Scores!C2779:V2779)</f>
        <v/>
      </c>
      <c r="E2781" s="57" t="str"/>
      <c r="F2781" s="49" t="str"/>
      <c r="G2781" s="59" t="str"/>
      <c r="H2781" s="64" t="str"/>
      <c r="I2781" s="65" t="str"/>
      <c r="J2781" s="49" t="str"/>
      <c r="K2781" s="41" t="str"/>
      <c r="L2781" s="41" t="str"/>
      <c r="M2781" s="41" t="str"/>
      <c r="N2781" s="41" t="str"/>
      <c r="O2781" s="41" t="str"/>
      <c r="P2781" s="41" t="str"/>
      <c r="Q2781" s="41" t="str"/>
      <c r="R2781" s="41" t="str"/>
      <c r="S2781" s="41" t="str"/>
      <c r="T2781" s="41" t="str"/>
      <c r="U2781" s="41" t="str"/>
      <c r="V2781" s="41" t="str"/>
      <c r="W2781" s="41" t="str"/>
    </row>
    <row r="2782">
      <c r="B2782" s="2" t="n"/>
      <c r="C2782" s="40" t="n"/>
      <c r="D2782" s="52">
        <f t="array" ref="D2782:W2782">IF(All_Students_Scores!C2780:V2780="","",All_Students_Scores!C2780:V2780)</f>
        <v/>
      </c>
      <c r="E2782" s="57" t="str"/>
      <c r="F2782" s="49" t="str"/>
      <c r="G2782" s="59" t="str"/>
      <c r="H2782" s="64" t="str"/>
      <c r="I2782" s="65" t="str"/>
      <c r="J2782" s="49" t="str"/>
      <c r="K2782" s="41" t="str"/>
      <c r="L2782" s="41" t="str"/>
      <c r="M2782" s="41" t="str"/>
      <c r="N2782" s="41" t="str"/>
      <c r="O2782" s="41" t="str"/>
      <c r="P2782" s="41" t="str"/>
      <c r="Q2782" s="41" t="str"/>
      <c r="R2782" s="41" t="str"/>
      <c r="S2782" s="41" t="str"/>
      <c r="T2782" s="41" t="str"/>
      <c r="U2782" s="41" t="str"/>
      <c r="V2782" s="41" t="str"/>
      <c r="W2782" s="41" t="str"/>
    </row>
    <row r="2783">
      <c r="B2783" s="2" t="n"/>
      <c r="C2783" s="40" t="n"/>
      <c r="D2783" s="52">
        <f t="array" ref="D2783:W2783">IF(All_Students_Scores!C2781:V2781="","",All_Students_Scores!C2781:V2781)</f>
        <v/>
      </c>
      <c r="E2783" s="57" t="str"/>
      <c r="F2783" s="49" t="str"/>
      <c r="G2783" s="59" t="str"/>
      <c r="H2783" s="64" t="str"/>
      <c r="I2783" s="65" t="str"/>
      <c r="J2783" s="49" t="str"/>
      <c r="K2783" s="41" t="str"/>
      <c r="L2783" s="41" t="str"/>
      <c r="M2783" s="41" t="str"/>
      <c r="N2783" s="41" t="str"/>
      <c r="O2783" s="41" t="str"/>
      <c r="P2783" s="41" t="str"/>
      <c r="Q2783" s="41" t="str"/>
      <c r="R2783" s="41" t="str"/>
      <c r="S2783" s="41" t="str"/>
      <c r="T2783" s="41" t="str"/>
      <c r="U2783" s="41" t="str"/>
      <c r="V2783" s="41" t="str"/>
      <c r="W2783" s="41" t="str"/>
    </row>
    <row r="2784">
      <c r="B2784" s="2" t="n"/>
      <c r="C2784" s="40" t="n"/>
      <c r="D2784" s="52">
        <f t="array" ref="D2784:W2784">IF(All_Students_Scores!C2782:V2782="","",All_Students_Scores!C2782:V2782)</f>
        <v/>
      </c>
      <c r="E2784" s="57" t="str"/>
      <c r="F2784" s="49" t="str"/>
      <c r="G2784" s="59" t="str"/>
      <c r="H2784" s="64" t="str"/>
      <c r="I2784" s="65" t="str"/>
      <c r="J2784" s="49" t="str"/>
      <c r="K2784" s="41" t="str"/>
      <c r="L2784" s="41" t="str"/>
      <c r="M2784" s="41" t="str"/>
      <c r="N2784" s="41" t="str"/>
      <c r="O2784" s="41" t="str"/>
      <c r="P2784" s="41" t="str"/>
      <c r="Q2784" s="41" t="str"/>
      <c r="R2784" s="41" t="str"/>
      <c r="S2784" s="41" t="str"/>
      <c r="T2784" s="41" t="str"/>
      <c r="U2784" s="41" t="str"/>
      <c r="V2784" s="41" t="str"/>
      <c r="W2784" s="41" t="str"/>
    </row>
    <row r="2785">
      <c r="B2785" s="2" t="n"/>
      <c r="C2785" s="40" t="n"/>
      <c r="D2785" s="52">
        <f t="array" ref="D2785:W2785">IF(All_Students_Scores!C2783:V2783="","",All_Students_Scores!C2783:V2783)</f>
        <v/>
      </c>
      <c r="E2785" s="57" t="str"/>
      <c r="F2785" s="49" t="str"/>
      <c r="G2785" s="59" t="str"/>
      <c r="H2785" s="64" t="str"/>
      <c r="I2785" s="65" t="str"/>
      <c r="J2785" s="49" t="str"/>
      <c r="K2785" s="41" t="str"/>
      <c r="L2785" s="41" t="str"/>
      <c r="M2785" s="41" t="str"/>
      <c r="N2785" s="41" t="str"/>
      <c r="O2785" s="41" t="str"/>
      <c r="P2785" s="41" t="str"/>
      <c r="Q2785" s="41" t="str"/>
      <c r="R2785" s="41" t="str"/>
      <c r="S2785" s="41" t="str"/>
      <c r="T2785" s="41" t="str"/>
      <c r="U2785" s="41" t="str"/>
      <c r="V2785" s="41" t="str"/>
      <c r="W2785" s="41" t="str"/>
    </row>
    <row r="2786">
      <c r="B2786" s="2" t="n"/>
      <c r="C2786" s="40" t="n"/>
      <c r="D2786" s="52">
        <f t="array" ref="D2786:W2786">IF(All_Students_Scores!C2784:V2784="","",All_Students_Scores!C2784:V2784)</f>
        <v/>
      </c>
      <c r="E2786" s="57" t="str"/>
      <c r="F2786" s="49" t="str"/>
      <c r="G2786" s="59" t="str"/>
      <c r="H2786" s="64" t="str"/>
      <c r="I2786" s="65" t="str"/>
      <c r="J2786" s="49" t="str"/>
      <c r="K2786" s="41" t="str"/>
      <c r="L2786" s="41" t="str"/>
      <c r="M2786" s="41" t="str"/>
      <c r="N2786" s="41" t="str"/>
      <c r="O2786" s="41" t="str"/>
      <c r="P2786" s="41" t="str"/>
      <c r="Q2786" s="41" t="str"/>
      <c r="R2786" s="41" t="str"/>
      <c r="S2786" s="41" t="str"/>
      <c r="T2786" s="41" t="str"/>
      <c r="U2786" s="41" t="str"/>
      <c r="V2786" s="41" t="str"/>
      <c r="W2786" s="41" t="str"/>
    </row>
    <row r="2787">
      <c r="B2787" s="2" t="n"/>
      <c r="C2787" s="40" t="n"/>
      <c r="D2787" s="52">
        <f t="array" ref="D2787:W2787">IF(All_Students_Scores!C2785:V2785="","",All_Students_Scores!C2785:V2785)</f>
        <v/>
      </c>
      <c r="E2787" s="57" t="str"/>
      <c r="F2787" s="49" t="str"/>
      <c r="G2787" s="59" t="str"/>
      <c r="H2787" s="64" t="str"/>
      <c r="I2787" s="65" t="str"/>
      <c r="J2787" s="49" t="str"/>
      <c r="K2787" s="41" t="str"/>
      <c r="L2787" s="41" t="str"/>
      <c r="M2787" s="41" t="str"/>
      <c r="N2787" s="41" t="str"/>
      <c r="O2787" s="41" t="str"/>
      <c r="P2787" s="41" t="str"/>
      <c r="Q2787" s="41" t="str"/>
      <c r="R2787" s="41" t="str"/>
      <c r="S2787" s="41" t="str"/>
      <c r="T2787" s="41" t="str"/>
      <c r="U2787" s="41" t="str"/>
      <c r="V2787" s="41" t="str"/>
      <c r="W2787" s="41" t="str"/>
    </row>
    <row r="2788">
      <c r="B2788" s="2" t="n"/>
      <c r="C2788" s="40" t="n"/>
      <c r="D2788" s="52">
        <f t="array" ref="D2788:W2788">IF(All_Students_Scores!C2786:V2786="","",All_Students_Scores!C2786:V2786)</f>
        <v/>
      </c>
      <c r="E2788" s="57" t="str"/>
      <c r="F2788" s="49" t="str"/>
      <c r="G2788" s="59" t="str"/>
      <c r="H2788" s="64" t="str"/>
      <c r="I2788" s="65" t="str"/>
      <c r="J2788" s="49" t="str"/>
      <c r="K2788" s="41" t="str"/>
      <c r="L2788" s="41" t="str"/>
      <c r="M2788" s="41" t="str"/>
      <c r="N2788" s="41" t="str"/>
      <c r="O2788" s="41" t="str"/>
      <c r="P2788" s="41" t="str"/>
      <c r="Q2788" s="41" t="str"/>
      <c r="R2788" s="41" t="str"/>
      <c r="S2788" s="41" t="str"/>
      <c r="T2788" s="41" t="str"/>
      <c r="U2788" s="41" t="str"/>
      <c r="V2788" s="41" t="str"/>
      <c r="W2788" s="41" t="str"/>
    </row>
    <row r="2789">
      <c r="B2789" s="2" t="n"/>
      <c r="C2789" s="40" t="n"/>
      <c r="D2789" s="52">
        <f t="array" ref="D2789:W2789">IF(All_Students_Scores!C2787:V2787="","",All_Students_Scores!C2787:V2787)</f>
        <v/>
      </c>
      <c r="E2789" s="57" t="str"/>
      <c r="F2789" s="49" t="str"/>
      <c r="G2789" s="59" t="str"/>
      <c r="H2789" s="64" t="str"/>
      <c r="I2789" s="65" t="str"/>
      <c r="J2789" s="49" t="str"/>
      <c r="K2789" s="41" t="str"/>
      <c r="L2789" s="41" t="str"/>
      <c r="M2789" s="41" t="str"/>
      <c r="N2789" s="41" t="str"/>
      <c r="O2789" s="41" t="str"/>
      <c r="P2789" s="41" t="str"/>
      <c r="Q2789" s="41" t="str"/>
      <c r="R2789" s="41" t="str"/>
      <c r="S2789" s="41" t="str"/>
      <c r="T2789" s="41" t="str"/>
      <c r="U2789" s="41" t="str"/>
      <c r="V2789" s="41" t="str"/>
      <c r="W2789" s="41" t="str"/>
    </row>
    <row r="2790">
      <c r="B2790" s="2" t="n"/>
      <c r="C2790" s="40" t="n"/>
      <c r="D2790" s="52">
        <f t="array" ref="D2790:W2790">IF(All_Students_Scores!C2788:V2788="","",All_Students_Scores!C2788:V2788)</f>
        <v/>
      </c>
      <c r="E2790" s="57" t="str"/>
      <c r="F2790" s="49" t="str"/>
      <c r="G2790" s="59" t="str"/>
      <c r="H2790" s="64" t="str"/>
      <c r="I2790" s="65" t="str"/>
      <c r="J2790" s="49" t="str"/>
      <c r="K2790" s="41" t="str"/>
      <c r="L2790" s="41" t="str"/>
      <c r="M2790" s="41" t="str"/>
      <c r="N2790" s="41" t="str"/>
      <c r="O2790" s="41" t="str"/>
      <c r="P2790" s="41" t="str"/>
      <c r="Q2790" s="41" t="str"/>
      <c r="R2790" s="41" t="str"/>
      <c r="S2790" s="41" t="str"/>
      <c r="T2790" s="41" t="str"/>
      <c r="U2790" s="41" t="str"/>
      <c r="V2790" s="41" t="str"/>
      <c r="W2790" s="41" t="str"/>
    </row>
    <row r="2791">
      <c r="B2791" s="2" t="n"/>
      <c r="C2791" s="40" t="n"/>
      <c r="D2791" s="52">
        <f t="array" ref="D2791:W2791">IF(All_Students_Scores!C2789:V2789="","",All_Students_Scores!C2789:V2789)</f>
        <v/>
      </c>
      <c r="E2791" s="57" t="str"/>
      <c r="F2791" s="49" t="str"/>
      <c r="G2791" s="59" t="str"/>
      <c r="H2791" s="64" t="str"/>
      <c r="I2791" s="65" t="str"/>
      <c r="J2791" s="49" t="str"/>
      <c r="K2791" s="41" t="str"/>
      <c r="L2791" s="41" t="str"/>
      <c r="M2791" s="41" t="str"/>
      <c r="N2791" s="41" t="str"/>
      <c r="O2791" s="41" t="str"/>
      <c r="P2791" s="41" t="str"/>
      <c r="Q2791" s="41" t="str"/>
      <c r="R2791" s="41" t="str"/>
      <c r="S2791" s="41" t="str"/>
      <c r="T2791" s="41" t="str"/>
      <c r="U2791" s="41" t="str"/>
      <c r="V2791" s="41" t="str"/>
      <c r="W2791" s="41" t="str"/>
    </row>
    <row r="2792">
      <c r="B2792" s="2" t="n"/>
      <c r="C2792" s="40" t="n"/>
      <c r="D2792" s="52">
        <f t="array" ref="D2792:W2792">IF(All_Students_Scores!C2790:V2790="","",All_Students_Scores!C2790:V2790)</f>
        <v/>
      </c>
      <c r="E2792" s="57" t="str"/>
      <c r="F2792" s="49" t="str"/>
      <c r="G2792" s="59" t="str"/>
      <c r="H2792" s="64" t="str"/>
      <c r="I2792" s="65" t="str"/>
      <c r="J2792" s="49" t="str"/>
      <c r="K2792" s="41" t="str"/>
      <c r="L2792" s="41" t="str"/>
      <c r="M2792" s="41" t="str"/>
      <c r="N2792" s="41" t="str"/>
      <c r="O2792" s="41" t="str"/>
      <c r="P2792" s="41" t="str"/>
      <c r="Q2792" s="41" t="str"/>
      <c r="R2792" s="41" t="str"/>
      <c r="S2792" s="41" t="str"/>
      <c r="T2792" s="41" t="str"/>
      <c r="U2792" s="41" t="str"/>
      <c r="V2792" s="41" t="str"/>
      <c r="W2792" s="41" t="str"/>
    </row>
    <row r="2793">
      <c r="B2793" s="2" t="n"/>
      <c r="C2793" s="40" t="n"/>
      <c r="D2793" s="52">
        <f t="array" ref="D2793:W2793">IF(All_Students_Scores!C2791:V2791="","",All_Students_Scores!C2791:V2791)</f>
        <v/>
      </c>
      <c r="E2793" s="57" t="str"/>
      <c r="F2793" s="49" t="str"/>
      <c r="G2793" s="59" t="str"/>
      <c r="H2793" s="64" t="str"/>
      <c r="I2793" s="65" t="str"/>
      <c r="J2793" s="49" t="str"/>
      <c r="K2793" s="41" t="str"/>
      <c r="L2793" s="41" t="str"/>
      <c r="M2793" s="41" t="str"/>
      <c r="N2793" s="41" t="str"/>
      <c r="O2793" s="41" t="str"/>
      <c r="P2793" s="41" t="str"/>
      <c r="Q2793" s="41" t="str"/>
      <c r="R2793" s="41" t="str"/>
      <c r="S2793" s="41" t="str"/>
      <c r="T2793" s="41" t="str"/>
      <c r="U2793" s="41" t="str"/>
      <c r="V2793" s="41" t="str"/>
      <c r="W2793" s="41" t="str"/>
    </row>
    <row r="2794">
      <c r="B2794" s="2" t="n"/>
      <c r="C2794" s="40" t="n"/>
      <c r="D2794" s="52">
        <f t="array" ref="D2794:W2794">IF(All_Students_Scores!C2792:V2792="","",All_Students_Scores!C2792:V2792)</f>
        <v/>
      </c>
      <c r="E2794" s="57" t="str"/>
      <c r="F2794" s="49" t="str"/>
      <c r="G2794" s="59" t="str"/>
      <c r="H2794" s="64" t="str"/>
      <c r="I2794" s="65" t="str"/>
      <c r="J2794" s="49" t="str"/>
      <c r="K2794" s="41" t="str"/>
      <c r="L2794" s="41" t="str"/>
      <c r="M2794" s="41" t="str"/>
      <c r="N2794" s="41" t="str"/>
      <c r="O2794" s="41" t="str"/>
      <c r="P2794" s="41" t="str"/>
      <c r="Q2794" s="41" t="str"/>
      <c r="R2794" s="41" t="str"/>
      <c r="S2794" s="41" t="str"/>
      <c r="T2794" s="41" t="str"/>
      <c r="U2794" s="41" t="str"/>
      <c r="V2794" s="41" t="str"/>
      <c r="W2794" s="41" t="str"/>
    </row>
    <row r="2795">
      <c r="B2795" s="2" t="n"/>
      <c r="C2795" s="40" t="n"/>
      <c r="D2795" s="52">
        <f t="array" ref="D2795:W2795">IF(All_Students_Scores!C2793:V2793="","",All_Students_Scores!C2793:V2793)</f>
        <v/>
      </c>
      <c r="E2795" s="57" t="str"/>
      <c r="F2795" s="49" t="str"/>
      <c r="G2795" s="59" t="str"/>
      <c r="H2795" s="64" t="str"/>
      <c r="I2795" s="65" t="str"/>
      <c r="J2795" s="49" t="str"/>
      <c r="K2795" s="41" t="str"/>
      <c r="L2795" s="41" t="str"/>
      <c r="M2795" s="41" t="str"/>
      <c r="N2795" s="41" t="str"/>
      <c r="O2795" s="41" t="str"/>
      <c r="P2795" s="41" t="str"/>
      <c r="Q2795" s="41" t="str"/>
      <c r="R2795" s="41" t="str"/>
      <c r="S2795" s="41" t="str"/>
      <c r="T2795" s="41" t="str"/>
      <c r="U2795" s="41" t="str"/>
      <c r="V2795" s="41" t="str"/>
      <c r="W2795" s="41" t="str"/>
    </row>
    <row r="2796">
      <c r="B2796" s="2" t="n"/>
      <c r="C2796" s="40" t="n"/>
      <c r="D2796" s="52">
        <f t="array" ref="D2796:W2796">IF(All_Students_Scores!C2794:V2794="","",All_Students_Scores!C2794:V2794)</f>
        <v/>
      </c>
      <c r="E2796" s="57" t="str"/>
      <c r="F2796" s="49" t="str"/>
      <c r="G2796" s="59" t="str"/>
      <c r="H2796" s="64" t="str"/>
      <c r="I2796" s="65" t="str"/>
      <c r="J2796" s="49" t="str"/>
      <c r="K2796" s="41" t="str"/>
      <c r="L2796" s="41" t="str"/>
      <c r="M2796" s="41" t="str"/>
      <c r="N2796" s="41" t="str"/>
      <c r="O2796" s="41" t="str"/>
      <c r="P2796" s="41" t="str"/>
      <c r="Q2796" s="41" t="str"/>
      <c r="R2796" s="41" t="str"/>
      <c r="S2796" s="41" t="str"/>
      <c r="T2796" s="41" t="str"/>
      <c r="U2796" s="41" t="str"/>
      <c r="V2796" s="41" t="str"/>
      <c r="W2796" s="41" t="str"/>
    </row>
    <row r="2797">
      <c r="B2797" s="2" t="n"/>
      <c r="C2797" s="40" t="n"/>
      <c r="D2797" s="52">
        <f t="array" ref="D2797:W2797">IF(All_Students_Scores!C2795:V2795="","",All_Students_Scores!C2795:V2795)</f>
        <v/>
      </c>
      <c r="E2797" s="57" t="str"/>
      <c r="F2797" s="49" t="str"/>
      <c r="G2797" s="59" t="str"/>
      <c r="H2797" s="64" t="str"/>
      <c r="I2797" s="65" t="str"/>
      <c r="J2797" s="49" t="str"/>
      <c r="K2797" s="41" t="str"/>
      <c r="L2797" s="41" t="str"/>
      <c r="M2797" s="41" t="str"/>
      <c r="N2797" s="41" t="str"/>
      <c r="O2797" s="41" t="str"/>
      <c r="P2797" s="41" t="str"/>
      <c r="Q2797" s="41" t="str"/>
      <c r="R2797" s="41" t="str"/>
      <c r="S2797" s="41" t="str"/>
      <c r="T2797" s="41" t="str"/>
      <c r="U2797" s="41" t="str"/>
      <c r="V2797" s="41" t="str"/>
      <c r="W2797" s="41" t="str"/>
    </row>
    <row r="2798">
      <c r="B2798" s="2" t="n"/>
      <c r="C2798" s="40" t="n"/>
      <c r="D2798" s="52">
        <f t="array" ref="D2798:W2798">IF(All_Students_Scores!C2796:V2796="","",All_Students_Scores!C2796:V2796)</f>
        <v/>
      </c>
      <c r="E2798" s="57" t="str"/>
      <c r="F2798" s="49" t="str"/>
      <c r="G2798" s="59" t="str"/>
      <c r="H2798" s="64" t="str"/>
      <c r="I2798" s="65" t="str"/>
      <c r="J2798" s="49" t="str"/>
      <c r="K2798" s="41" t="str"/>
      <c r="L2798" s="41" t="str"/>
      <c r="M2798" s="41" t="str"/>
      <c r="N2798" s="41" t="str"/>
      <c r="O2798" s="41" t="str"/>
      <c r="P2798" s="41" t="str"/>
      <c r="Q2798" s="41" t="str"/>
      <c r="R2798" s="41" t="str"/>
      <c r="S2798" s="41" t="str"/>
      <c r="T2798" s="41" t="str"/>
      <c r="U2798" s="41" t="str"/>
      <c r="V2798" s="41" t="str"/>
      <c r="W2798" s="41" t="str"/>
    </row>
    <row r="2799">
      <c r="B2799" s="2" t="n"/>
      <c r="C2799" s="40" t="n"/>
      <c r="D2799" s="52">
        <f t="array" ref="D2799:W2799">IF(All_Students_Scores!C2797:V2797="","",All_Students_Scores!C2797:V2797)</f>
        <v/>
      </c>
      <c r="E2799" s="57" t="str"/>
      <c r="F2799" s="49" t="str"/>
      <c r="G2799" s="59" t="str"/>
      <c r="H2799" s="64" t="str"/>
      <c r="I2799" s="65" t="str"/>
      <c r="J2799" s="49" t="str"/>
      <c r="K2799" s="41" t="str"/>
      <c r="L2799" s="41" t="str"/>
      <c r="M2799" s="41" t="str"/>
      <c r="N2799" s="41" t="str"/>
      <c r="O2799" s="41" t="str"/>
      <c r="P2799" s="41" t="str"/>
      <c r="Q2799" s="41" t="str"/>
      <c r="R2799" s="41" t="str"/>
      <c r="S2799" s="41" t="str"/>
      <c r="T2799" s="41" t="str"/>
      <c r="U2799" s="41" t="str"/>
      <c r="V2799" s="41" t="str"/>
      <c r="W2799" s="41" t="str"/>
    </row>
    <row r="2800">
      <c r="B2800" s="2" t="n"/>
      <c r="C2800" s="40" t="n"/>
      <c r="D2800" s="52">
        <f t="array" ref="D2800:W2800">IF(All_Students_Scores!C2798:V2798="","",All_Students_Scores!C2798:V2798)</f>
        <v/>
      </c>
      <c r="E2800" s="57" t="str"/>
      <c r="F2800" s="49" t="str"/>
      <c r="G2800" s="59" t="str"/>
      <c r="H2800" s="64" t="str"/>
      <c r="I2800" s="65" t="str"/>
      <c r="J2800" s="49" t="str"/>
      <c r="K2800" s="41" t="str"/>
      <c r="L2800" s="41" t="str"/>
      <c r="M2800" s="41" t="str"/>
      <c r="N2800" s="41" t="str"/>
      <c r="O2800" s="41" t="str"/>
      <c r="P2800" s="41" t="str"/>
      <c r="Q2800" s="41" t="str"/>
      <c r="R2800" s="41" t="str"/>
      <c r="S2800" s="41" t="str"/>
      <c r="T2800" s="41" t="str"/>
      <c r="U2800" s="41" t="str"/>
      <c r="V2800" s="41" t="str"/>
      <c r="W2800" s="41" t="str"/>
    </row>
    <row r="2801">
      <c r="B2801" s="2" t="n"/>
      <c r="C2801" s="40" t="n"/>
      <c r="D2801" s="52">
        <f t="array" ref="D2801:W2801">IF(All_Students_Scores!C2799:V2799="","",All_Students_Scores!C2799:V2799)</f>
        <v/>
      </c>
      <c r="E2801" s="57" t="str"/>
      <c r="F2801" s="49" t="str"/>
      <c r="G2801" s="59" t="str"/>
      <c r="H2801" s="64" t="str"/>
      <c r="I2801" s="65" t="str"/>
      <c r="J2801" s="49" t="str"/>
      <c r="K2801" s="41" t="str"/>
      <c r="L2801" s="41" t="str"/>
      <c r="M2801" s="41" t="str"/>
      <c r="N2801" s="41" t="str"/>
      <c r="O2801" s="41" t="str"/>
      <c r="P2801" s="41" t="str"/>
      <c r="Q2801" s="41" t="str"/>
      <c r="R2801" s="41" t="str"/>
      <c r="S2801" s="41" t="str"/>
      <c r="T2801" s="41" t="str"/>
      <c r="U2801" s="41" t="str"/>
      <c r="V2801" s="41" t="str"/>
      <c r="W2801" s="41" t="str"/>
    </row>
    <row r="2802">
      <c r="B2802" s="2" t="n"/>
      <c r="C2802" s="40" t="n"/>
      <c r="D2802" s="52">
        <f t="array" ref="D2802:W2802">IF(All_Students_Scores!C2800:V2800="","",All_Students_Scores!C2800:V2800)</f>
        <v/>
      </c>
      <c r="E2802" s="57" t="str"/>
      <c r="F2802" s="49" t="str"/>
      <c r="G2802" s="59" t="str"/>
      <c r="H2802" s="64" t="str"/>
      <c r="I2802" s="65" t="str"/>
      <c r="J2802" s="49" t="str"/>
      <c r="K2802" s="41" t="str"/>
      <c r="L2802" s="41" t="str"/>
      <c r="M2802" s="41" t="str"/>
      <c r="N2802" s="41" t="str"/>
      <c r="O2802" s="41" t="str"/>
      <c r="P2802" s="41" t="str"/>
      <c r="Q2802" s="41" t="str"/>
      <c r="R2802" s="41" t="str"/>
      <c r="S2802" s="41" t="str"/>
      <c r="T2802" s="41" t="str"/>
      <c r="U2802" s="41" t="str"/>
      <c r="V2802" s="41" t="str"/>
      <c r="W2802" s="41" t="str"/>
    </row>
    <row r="2803">
      <c r="B2803" s="2" t="n"/>
      <c r="C2803" s="40" t="n"/>
      <c r="D2803" s="52">
        <f t="array" ref="D2803:W2803">IF(All_Students_Scores!C2801:V2801="","",All_Students_Scores!C2801:V2801)</f>
        <v/>
      </c>
      <c r="E2803" s="57" t="str"/>
      <c r="F2803" s="49" t="str"/>
      <c r="G2803" s="59" t="str"/>
      <c r="H2803" s="64" t="str"/>
      <c r="I2803" s="65" t="str"/>
      <c r="J2803" s="49" t="str"/>
      <c r="K2803" s="41" t="str"/>
      <c r="L2803" s="41" t="str"/>
      <c r="M2803" s="41" t="str"/>
      <c r="N2803" s="41" t="str"/>
      <c r="O2803" s="41" t="str"/>
      <c r="P2803" s="41" t="str"/>
      <c r="Q2803" s="41" t="str"/>
      <c r="R2803" s="41" t="str"/>
      <c r="S2803" s="41" t="str"/>
      <c r="T2803" s="41" t="str"/>
      <c r="U2803" s="41" t="str"/>
      <c r="V2803" s="41" t="str"/>
      <c r="W2803" s="41" t="str"/>
    </row>
    <row r="2804">
      <c r="B2804" s="2" t="n"/>
      <c r="C2804" s="40" t="n"/>
      <c r="D2804" s="52">
        <f t="array" ref="D2804:W2804">IF(All_Students_Scores!C2802:V2802="","",All_Students_Scores!C2802:V2802)</f>
        <v/>
      </c>
      <c r="E2804" s="57" t="str"/>
      <c r="F2804" s="49" t="str"/>
      <c r="G2804" s="59" t="str"/>
      <c r="H2804" s="64" t="str"/>
      <c r="I2804" s="65" t="str"/>
      <c r="J2804" s="49" t="str"/>
      <c r="K2804" s="41" t="str"/>
      <c r="L2804" s="41" t="str"/>
      <c r="M2804" s="41" t="str"/>
      <c r="N2804" s="41" t="str"/>
      <c r="O2804" s="41" t="str"/>
      <c r="P2804" s="41" t="str"/>
      <c r="Q2804" s="41" t="str"/>
      <c r="R2804" s="41" t="str"/>
      <c r="S2804" s="41" t="str"/>
      <c r="T2804" s="41" t="str"/>
      <c r="U2804" s="41" t="str"/>
      <c r="V2804" s="41" t="str"/>
      <c r="W2804" s="41" t="str"/>
    </row>
    <row r="2805">
      <c r="B2805" s="2" t="n"/>
      <c r="C2805" s="40" t="n"/>
      <c r="D2805" s="52">
        <f t="array" ref="D2805:W2805">IF(All_Students_Scores!C2803:V2803="","",All_Students_Scores!C2803:V2803)</f>
        <v/>
      </c>
      <c r="E2805" s="57" t="str"/>
      <c r="F2805" s="49" t="str"/>
      <c r="G2805" s="59" t="str"/>
      <c r="H2805" s="64" t="str"/>
      <c r="I2805" s="65" t="str"/>
      <c r="J2805" s="49" t="str"/>
      <c r="K2805" s="41" t="str"/>
      <c r="L2805" s="41" t="str"/>
      <c r="M2805" s="41" t="str"/>
      <c r="N2805" s="41" t="str"/>
      <c r="O2805" s="41" t="str"/>
      <c r="P2805" s="41" t="str"/>
      <c r="Q2805" s="41" t="str"/>
      <c r="R2805" s="41" t="str"/>
      <c r="S2805" s="41" t="str"/>
      <c r="T2805" s="41" t="str"/>
      <c r="U2805" s="41" t="str"/>
      <c r="V2805" s="41" t="str"/>
      <c r="W2805" s="41" t="str"/>
    </row>
    <row r="2806">
      <c r="B2806" s="2" t="n"/>
      <c r="C2806" s="40" t="n"/>
      <c r="D2806" s="52">
        <f t="array" ref="D2806:W2806">IF(All_Students_Scores!C2804:V2804="","",All_Students_Scores!C2804:V2804)</f>
        <v/>
      </c>
      <c r="E2806" s="57" t="str"/>
      <c r="F2806" s="49" t="str"/>
      <c r="G2806" s="59" t="str"/>
      <c r="H2806" s="64" t="str"/>
      <c r="I2806" s="65" t="str"/>
      <c r="J2806" s="49" t="str"/>
      <c r="K2806" s="41" t="str"/>
      <c r="L2806" s="41" t="str"/>
      <c r="M2806" s="41" t="str"/>
      <c r="N2806" s="41" t="str"/>
      <c r="O2806" s="41" t="str"/>
      <c r="P2806" s="41" t="str"/>
      <c r="Q2806" s="41" t="str"/>
      <c r="R2806" s="41" t="str"/>
      <c r="S2806" s="41" t="str"/>
      <c r="T2806" s="41" t="str"/>
      <c r="U2806" s="41" t="str"/>
      <c r="V2806" s="41" t="str"/>
      <c r="W2806" s="41" t="str"/>
    </row>
    <row r="2807">
      <c r="B2807" s="2" t="n"/>
      <c r="C2807" s="40" t="n"/>
      <c r="D2807" s="52">
        <f t="array" ref="D2807:W2807">IF(All_Students_Scores!C2805:V2805="","",All_Students_Scores!C2805:V2805)</f>
        <v/>
      </c>
      <c r="E2807" s="57" t="str"/>
      <c r="F2807" s="49" t="str"/>
      <c r="G2807" s="59" t="str"/>
      <c r="H2807" s="64" t="str"/>
      <c r="I2807" s="65" t="str"/>
      <c r="J2807" s="49" t="str"/>
      <c r="K2807" s="41" t="str"/>
      <c r="L2807" s="41" t="str"/>
      <c r="M2807" s="41" t="str"/>
      <c r="N2807" s="41" t="str"/>
      <c r="O2807" s="41" t="str"/>
      <c r="P2807" s="41" t="str"/>
      <c r="Q2807" s="41" t="str"/>
      <c r="R2807" s="41" t="str"/>
      <c r="S2807" s="41" t="str"/>
      <c r="T2807" s="41" t="str"/>
      <c r="U2807" s="41" t="str"/>
      <c r="V2807" s="41" t="str"/>
      <c r="W2807" s="41" t="str"/>
    </row>
    <row r="2808">
      <c r="B2808" s="2" t="n"/>
      <c r="C2808" s="40" t="n"/>
      <c r="D2808" s="52">
        <f t="array" ref="D2808:W2808">IF(All_Students_Scores!C2806:V2806="","",All_Students_Scores!C2806:V2806)</f>
        <v/>
      </c>
      <c r="E2808" s="57" t="str"/>
      <c r="F2808" s="49" t="str"/>
      <c r="G2808" s="59" t="str"/>
      <c r="H2808" s="64" t="str"/>
      <c r="I2808" s="65" t="str"/>
      <c r="J2808" s="49" t="str"/>
      <c r="K2808" s="41" t="str"/>
      <c r="L2808" s="41" t="str"/>
      <c r="M2808" s="41" t="str"/>
      <c r="N2808" s="41" t="str"/>
      <c r="O2808" s="41" t="str"/>
      <c r="P2808" s="41" t="str"/>
      <c r="Q2808" s="41" t="str"/>
      <c r="R2808" s="41" t="str"/>
      <c r="S2808" s="41" t="str"/>
      <c r="T2808" s="41" t="str"/>
      <c r="U2808" s="41" t="str"/>
      <c r="V2808" s="41" t="str"/>
      <c r="W2808" s="41" t="str"/>
    </row>
    <row r="2809">
      <c r="B2809" s="2" t="n"/>
      <c r="C2809" s="40" t="n"/>
      <c r="D2809" s="52">
        <f t="array" ref="D2809:W2809">IF(All_Students_Scores!C2807:V2807="","",All_Students_Scores!C2807:V2807)</f>
        <v/>
      </c>
      <c r="E2809" s="57" t="str"/>
      <c r="F2809" s="49" t="str"/>
      <c r="G2809" s="59" t="str"/>
      <c r="H2809" s="64" t="str"/>
      <c r="I2809" s="65" t="str"/>
      <c r="J2809" s="49" t="str"/>
      <c r="K2809" s="41" t="str"/>
      <c r="L2809" s="41" t="str"/>
      <c r="M2809" s="41" t="str"/>
      <c r="N2809" s="41" t="str"/>
      <c r="O2809" s="41" t="str"/>
      <c r="P2809" s="41" t="str"/>
      <c r="Q2809" s="41" t="str"/>
      <c r="R2809" s="41" t="str"/>
      <c r="S2809" s="41" t="str"/>
      <c r="T2809" s="41" t="str"/>
      <c r="U2809" s="41" t="str"/>
      <c r="V2809" s="41" t="str"/>
      <c r="W2809" s="41" t="str"/>
    </row>
    <row r="2810">
      <c r="B2810" s="2" t="n"/>
      <c r="C2810" s="40" t="n"/>
      <c r="D2810" s="52">
        <f t="array" ref="D2810:W2810">IF(All_Students_Scores!C2808:V2808="","",All_Students_Scores!C2808:V2808)</f>
        <v/>
      </c>
      <c r="E2810" s="57" t="str"/>
      <c r="F2810" s="49" t="str"/>
      <c r="G2810" s="59" t="str"/>
      <c r="H2810" s="64" t="str"/>
      <c r="I2810" s="65" t="str"/>
      <c r="J2810" s="49" t="str"/>
      <c r="K2810" s="41" t="str"/>
      <c r="L2810" s="41" t="str"/>
      <c r="M2810" s="41" t="str"/>
      <c r="N2810" s="41" t="str"/>
      <c r="O2810" s="41" t="str"/>
      <c r="P2810" s="41" t="str"/>
      <c r="Q2810" s="41" t="str"/>
      <c r="R2810" s="41" t="str"/>
      <c r="S2810" s="41" t="str"/>
      <c r="T2810" s="41" t="str"/>
      <c r="U2810" s="41" t="str"/>
      <c r="V2810" s="41" t="str"/>
      <c r="W2810" s="41" t="str"/>
    </row>
    <row r="2811">
      <c r="B2811" s="2" t="n"/>
      <c r="C2811" s="40" t="n"/>
      <c r="D2811" s="52">
        <f t="array" ref="D2811:W2811">IF(All_Students_Scores!C2809:V2809="","",All_Students_Scores!C2809:V2809)</f>
        <v/>
      </c>
      <c r="E2811" s="57" t="str"/>
      <c r="F2811" s="49" t="str"/>
      <c r="G2811" s="59" t="str"/>
      <c r="H2811" s="64" t="str"/>
      <c r="I2811" s="65" t="str"/>
      <c r="J2811" s="49" t="str"/>
      <c r="K2811" s="41" t="str"/>
      <c r="L2811" s="41" t="str"/>
      <c r="M2811" s="41" t="str"/>
      <c r="N2811" s="41" t="str"/>
      <c r="O2811" s="41" t="str"/>
      <c r="P2811" s="41" t="str"/>
      <c r="Q2811" s="41" t="str"/>
      <c r="R2811" s="41" t="str"/>
      <c r="S2811" s="41" t="str"/>
      <c r="T2811" s="41" t="str"/>
      <c r="U2811" s="41" t="str"/>
      <c r="V2811" s="41" t="str"/>
      <c r="W2811" s="41" t="str"/>
    </row>
    <row r="2812">
      <c r="B2812" s="2" t="n"/>
      <c r="C2812" s="40" t="n"/>
      <c r="D2812" s="52">
        <f t="array" ref="D2812:W2812">IF(All_Students_Scores!C2810:V2810="","",All_Students_Scores!C2810:V2810)</f>
        <v/>
      </c>
      <c r="E2812" s="57" t="str"/>
      <c r="F2812" s="49" t="str"/>
      <c r="G2812" s="59" t="str"/>
      <c r="H2812" s="64" t="str"/>
      <c r="I2812" s="65" t="str"/>
      <c r="J2812" s="49" t="str"/>
      <c r="K2812" s="41" t="str"/>
      <c r="L2812" s="41" t="str"/>
      <c r="M2812" s="41" t="str"/>
      <c r="N2812" s="41" t="str"/>
      <c r="O2812" s="41" t="str"/>
      <c r="P2812" s="41" t="str"/>
      <c r="Q2812" s="41" t="str"/>
      <c r="R2812" s="41" t="str"/>
      <c r="S2812" s="41" t="str"/>
      <c r="T2812" s="41" t="str"/>
      <c r="U2812" s="41" t="str"/>
      <c r="V2812" s="41" t="str"/>
      <c r="W2812" s="41" t="str"/>
    </row>
    <row r="2813">
      <c r="B2813" s="2" t="n"/>
      <c r="C2813" s="40" t="n"/>
      <c r="D2813" s="52">
        <f t="array" ref="D2813:W2813">IF(All_Students_Scores!C2811:V2811="","",All_Students_Scores!C2811:V2811)</f>
        <v/>
      </c>
      <c r="E2813" s="57" t="str"/>
      <c r="F2813" s="49" t="str"/>
      <c r="G2813" s="59" t="str"/>
      <c r="H2813" s="64" t="str"/>
      <c r="I2813" s="65" t="str"/>
      <c r="J2813" s="49" t="str"/>
      <c r="K2813" s="41" t="str"/>
      <c r="L2813" s="41" t="str"/>
      <c r="M2813" s="41" t="str"/>
      <c r="N2813" s="41" t="str"/>
      <c r="O2813" s="41" t="str"/>
      <c r="P2813" s="41" t="str"/>
      <c r="Q2813" s="41" t="str"/>
      <c r="R2813" s="41" t="str"/>
      <c r="S2813" s="41" t="str"/>
      <c r="T2813" s="41" t="str"/>
      <c r="U2813" s="41" t="str"/>
      <c r="V2813" s="41" t="str"/>
      <c r="W2813" s="41" t="str"/>
    </row>
    <row r="2814">
      <c r="B2814" s="2" t="n"/>
      <c r="C2814" s="40" t="n"/>
      <c r="D2814" s="52">
        <f t="array" ref="D2814:W2814">IF(All_Students_Scores!C2812:V2812="","",All_Students_Scores!C2812:V2812)</f>
        <v/>
      </c>
      <c r="E2814" s="57" t="str"/>
      <c r="F2814" s="49" t="str"/>
      <c r="G2814" s="59" t="str"/>
      <c r="H2814" s="64" t="str"/>
      <c r="I2814" s="65" t="str"/>
      <c r="J2814" s="49" t="str"/>
      <c r="K2814" s="41" t="str"/>
      <c r="L2814" s="41" t="str"/>
      <c r="M2814" s="41" t="str"/>
      <c r="N2814" s="41" t="str"/>
      <c r="O2814" s="41" t="str"/>
      <c r="P2814" s="41" t="str"/>
      <c r="Q2814" s="41" t="str"/>
      <c r="R2814" s="41" t="str"/>
      <c r="S2814" s="41" t="str"/>
      <c r="T2814" s="41" t="str"/>
      <c r="U2814" s="41" t="str"/>
      <c r="V2814" s="41" t="str"/>
      <c r="W2814" s="41" t="str"/>
    </row>
    <row r="2815">
      <c r="B2815" s="2" t="n"/>
      <c r="C2815" s="40" t="n"/>
      <c r="D2815" s="52">
        <f t="array" ref="D2815:W2815">IF(All_Students_Scores!C2813:V2813="","",All_Students_Scores!C2813:V2813)</f>
        <v/>
      </c>
      <c r="E2815" s="57" t="str"/>
      <c r="F2815" s="49" t="str"/>
      <c r="G2815" s="59" t="str"/>
      <c r="H2815" s="64" t="str"/>
      <c r="I2815" s="65" t="str"/>
      <c r="J2815" s="49" t="str"/>
      <c r="K2815" s="41" t="str"/>
      <c r="L2815" s="41" t="str"/>
      <c r="M2815" s="41" t="str"/>
      <c r="N2815" s="41" t="str"/>
      <c r="O2815" s="41" t="str"/>
      <c r="P2815" s="41" t="str"/>
      <c r="Q2815" s="41" t="str"/>
      <c r="R2815" s="41" t="str"/>
      <c r="S2815" s="41" t="str"/>
      <c r="T2815" s="41" t="str"/>
      <c r="U2815" s="41" t="str"/>
      <c r="V2815" s="41" t="str"/>
      <c r="W2815" s="41" t="str"/>
    </row>
    <row r="2816">
      <c r="B2816" s="2" t="n"/>
      <c r="C2816" s="40" t="n"/>
      <c r="D2816" s="52">
        <f t="array" ref="D2816:W2816">IF(All_Students_Scores!C2814:V2814="","",All_Students_Scores!C2814:V2814)</f>
        <v/>
      </c>
      <c r="E2816" s="57" t="str"/>
      <c r="F2816" s="49" t="str"/>
      <c r="G2816" s="59" t="str"/>
      <c r="H2816" s="64" t="str"/>
      <c r="I2816" s="65" t="str"/>
      <c r="J2816" s="49" t="str"/>
      <c r="K2816" s="41" t="str"/>
      <c r="L2816" s="41" t="str"/>
      <c r="M2816" s="41" t="str"/>
      <c r="N2816" s="41" t="str"/>
      <c r="O2816" s="41" t="str"/>
      <c r="P2816" s="41" t="str"/>
      <c r="Q2816" s="41" t="str"/>
      <c r="R2816" s="41" t="str"/>
      <c r="S2816" s="41" t="str"/>
      <c r="T2816" s="41" t="str"/>
      <c r="U2816" s="41" t="str"/>
      <c r="V2816" s="41" t="str"/>
      <c r="W2816" s="41" t="str"/>
    </row>
    <row r="2817">
      <c r="B2817" s="2" t="n"/>
      <c r="C2817" s="40" t="n"/>
      <c r="D2817" s="52">
        <f t="array" ref="D2817:W2817">IF(All_Students_Scores!C2815:V2815="","",All_Students_Scores!C2815:V2815)</f>
        <v/>
      </c>
      <c r="E2817" s="57" t="str"/>
      <c r="F2817" s="49" t="str"/>
      <c r="G2817" s="59" t="str"/>
      <c r="H2817" s="64" t="str"/>
      <c r="I2817" s="65" t="str"/>
      <c r="J2817" s="49" t="str"/>
      <c r="K2817" s="41" t="str"/>
      <c r="L2817" s="41" t="str"/>
      <c r="M2817" s="41" t="str"/>
      <c r="N2817" s="41" t="str"/>
      <c r="O2817" s="41" t="str"/>
      <c r="P2817" s="41" t="str"/>
      <c r="Q2817" s="41" t="str"/>
      <c r="R2817" s="41" t="str"/>
      <c r="S2817" s="41" t="str"/>
      <c r="T2817" s="41" t="str"/>
      <c r="U2817" s="41" t="str"/>
      <c r="V2817" s="41" t="str"/>
      <c r="W2817" s="41" t="str"/>
    </row>
    <row r="2818">
      <c r="B2818" s="2" t="n"/>
      <c r="C2818" s="40" t="n"/>
      <c r="D2818" s="52">
        <f t="array" ref="D2818:W2818">IF(All_Students_Scores!C2816:V2816="","",All_Students_Scores!C2816:V2816)</f>
        <v/>
      </c>
      <c r="E2818" s="57" t="str"/>
      <c r="F2818" s="49" t="str"/>
      <c r="G2818" s="59" t="str"/>
      <c r="H2818" s="64" t="str"/>
      <c r="I2818" s="65" t="str"/>
      <c r="J2818" s="49" t="str"/>
      <c r="K2818" s="41" t="str"/>
      <c r="L2818" s="41" t="str"/>
      <c r="M2818" s="41" t="str"/>
      <c r="N2818" s="41" t="str"/>
      <c r="O2818" s="41" t="str"/>
      <c r="P2818" s="41" t="str"/>
      <c r="Q2818" s="41" t="str"/>
      <c r="R2818" s="41" t="str"/>
      <c r="S2818" s="41" t="str"/>
      <c r="T2818" s="41" t="str"/>
      <c r="U2818" s="41" t="str"/>
      <c r="V2818" s="41" t="str"/>
      <c r="W2818" s="41" t="str"/>
    </row>
    <row r="2819">
      <c r="B2819" s="2" t="n"/>
      <c r="C2819" s="40" t="n"/>
      <c r="D2819" s="52">
        <f t="array" ref="D2819:W2819">IF(All_Students_Scores!C2817:V2817="","",All_Students_Scores!C2817:V2817)</f>
        <v/>
      </c>
      <c r="E2819" s="57" t="str"/>
      <c r="F2819" s="49" t="str"/>
      <c r="G2819" s="59" t="str"/>
      <c r="H2819" s="64" t="str"/>
      <c r="I2819" s="65" t="str"/>
      <c r="J2819" s="49" t="str"/>
      <c r="K2819" s="41" t="str"/>
      <c r="L2819" s="41" t="str"/>
      <c r="M2819" s="41" t="str"/>
      <c r="N2819" s="41" t="str"/>
      <c r="O2819" s="41" t="str"/>
      <c r="P2819" s="41" t="str"/>
      <c r="Q2819" s="41" t="str"/>
      <c r="R2819" s="41" t="str"/>
      <c r="S2819" s="41" t="str"/>
      <c r="T2819" s="41" t="str"/>
      <c r="U2819" s="41" t="str"/>
      <c r="V2819" s="41" t="str"/>
      <c r="W2819" s="41" t="str"/>
    </row>
    <row r="2820">
      <c r="B2820" s="2" t="n"/>
      <c r="C2820" s="40" t="n"/>
      <c r="D2820" s="52">
        <f t="array" ref="D2820:W2820">IF(All_Students_Scores!C2818:V2818="","",All_Students_Scores!C2818:V2818)</f>
        <v/>
      </c>
      <c r="E2820" s="57" t="str"/>
      <c r="F2820" s="49" t="str"/>
      <c r="G2820" s="59" t="str"/>
      <c r="H2820" s="64" t="str"/>
      <c r="I2820" s="65" t="str"/>
      <c r="J2820" s="49" t="str"/>
      <c r="K2820" s="41" t="str"/>
      <c r="L2820" s="41" t="str"/>
      <c r="M2820" s="41" t="str"/>
      <c r="N2820" s="41" t="str"/>
      <c r="O2820" s="41" t="str"/>
      <c r="P2820" s="41" t="str"/>
      <c r="Q2820" s="41" t="str"/>
      <c r="R2820" s="41" t="str"/>
      <c r="S2820" s="41" t="str"/>
      <c r="T2820" s="41" t="str"/>
      <c r="U2820" s="41" t="str"/>
      <c r="V2820" s="41" t="str"/>
      <c r="W2820" s="41" t="str"/>
    </row>
    <row r="2821">
      <c r="B2821" s="2" t="n"/>
      <c r="C2821" s="40" t="n"/>
      <c r="D2821" s="52">
        <f t="array" ref="D2821:W2821">IF(All_Students_Scores!C2819:V2819="","",All_Students_Scores!C2819:V2819)</f>
        <v/>
      </c>
      <c r="E2821" s="57" t="str"/>
      <c r="F2821" s="49" t="str"/>
      <c r="G2821" s="59" t="str"/>
      <c r="H2821" s="64" t="str"/>
      <c r="I2821" s="65" t="str"/>
      <c r="J2821" s="49" t="str"/>
      <c r="K2821" s="41" t="str"/>
      <c r="L2821" s="41" t="str"/>
      <c r="M2821" s="41" t="str"/>
      <c r="N2821" s="41" t="str"/>
      <c r="O2821" s="41" t="str"/>
      <c r="P2821" s="41" t="str"/>
      <c r="Q2821" s="41" t="str"/>
      <c r="R2821" s="41" t="str"/>
      <c r="S2821" s="41" t="str"/>
      <c r="T2821" s="41" t="str"/>
      <c r="U2821" s="41" t="str"/>
      <c r="V2821" s="41" t="str"/>
      <c r="W2821" s="41" t="str"/>
    </row>
    <row r="2822">
      <c r="B2822" s="2" t="n"/>
      <c r="C2822" s="40" t="n"/>
      <c r="D2822" s="52">
        <f t="array" ref="D2822:W2822">IF(All_Students_Scores!C2820:V2820="","",All_Students_Scores!C2820:V2820)</f>
        <v/>
      </c>
      <c r="E2822" s="57" t="str"/>
      <c r="F2822" s="49" t="str"/>
      <c r="G2822" s="59" t="str"/>
      <c r="H2822" s="64" t="str"/>
      <c r="I2822" s="65" t="str"/>
      <c r="J2822" s="49" t="str"/>
      <c r="K2822" s="41" t="str"/>
      <c r="L2822" s="41" t="str"/>
      <c r="M2822" s="41" t="str"/>
      <c r="N2822" s="41" t="str"/>
      <c r="O2822" s="41" t="str"/>
      <c r="P2822" s="41" t="str"/>
      <c r="Q2822" s="41" t="str"/>
      <c r="R2822" s="41" t="str"/>
      <c r="S2822" s="41" t="str"/>
      <c r="T2822" s="41" t="str"/>
      <c r="U2822" s="41" t="str"/>
      <c r="V2822" s="41" t="str"/>
      <c r="W2822" s="41" t="str"/>
    </row>
    <row r="2823">
      <c r="B2823" s="2" t="n"/>
      <c r="C2823" s="40" t="n"/>
      <c r="D2823" s="52">
        <f t="array" ref="D2823:W2823">IF(All_Students_Scores!C2821:V2821="","",All_Students_Scores!C2821:V2821)</f>
        <v/>
      </c>
      <c r="E2823" s="57" t="str"/>
      <c r="F2823" s="49" t="str"/>
      <c r="G2823" s="59" t="str"/>
      <c r="H2823" s="64" t="str"/>
      <c r="I2823" s="65" t="str"/>
      <c r="J2823" s="49" t="str"/>
      <c r="K2823" s="41" t="str"/>
      <c r="L2823" s="41" t="str"/>
      <c r="M2823" s="41" t="str"/>
      <c r="N2823" s="41" t="str"/>
      <c r="O2823" s="41" t="str"/>
      <c r="P2823" s="41" t="str"/>
      <c r="Q2823" s="41" t="str"/>
      <c r="R2823" s="41" t="str"/>
      <c r="S2823" s="41" t="str"/>
      <c r="T2823" s="41" t="str"/>
      <c r="U2823" s="41" t="str"/>
      <c r="V2823" s="41" t="str"/>
      <c r="W2823" s="41" t="str"/>
    </row>
    <row r="2824">
      <c r="B2824" s="2" t="n"/>
      <c r="C2824" s="40" t="n"/>
      <c r="D2824" s="52">
        <f t="array" ref="D2824:W2824">IF(All_Students_Scores!C2822:V2822="","",All_Students_Scores!C2822:V2822)</f>
        <v/>
      </c>
      <c r="E2824" s="57" t="str"/>
      <c r="F2824" s="49" t="str"/>
      <c r="G2824" s="59" t="str"/>
      <c r="H2824" s="64" t="str"/>
      <c r="I2824" s="65" t="str"/>
      <c r="J2824" s="49" t="str"/>
      <c r="K2824" s="41" t="str"/>
      <c r="L2824" s="41" t="str"/>
      <c r="M2824" s="41" t="str"/>
      <c r="N2824" s="41" t="str"/>
      <c r="O2824" s="41" t="str"/>
      <c r="P2824" s="41" t="str"/>
      <c r="Q2824" s="41" t="str"/>
      <c r="R2824" s="41" t="str"/>
      <c r="S2824" s="41" t="str"/>
      <c r="T2824" s="41" t="str"/>
      <c r="U2824" s="41" t="str"/>
      <c r="V2824" s="41" t="str"/>
      <c r="W2824" s="41" t="str"/>
    </row>
    <row r="2825">
      <c r="B2825" s="2" t="n"/>
      <c r="C2825" s="40" t="n"/>
      <c r="D2825" s="52">
        <f t="array" ref="D2825:W2825">IF(All_Students_Scores!C2823:V2823="","",All_Students_Scores!C2823:V2823)</f>
        <v/>
      </c>
      <c r="E2825" s="57" t="str"/>
      <c r="F2825" s="49" t="str"/>
      <c r="G2825" s="59" t="str"/>
      <c r="H2825" s="64" t="str"/>
      <c r="I2825" s="65" t="str"/>
      <c r="J2825" s="49" t="str"/>
      <c r="K2825" s="41" t="str"/>
      <c r="L2825" s="41" t="str"/>
      <c r="M2825" s="41" t="str"/>
      <c r="N2825" s="41" t="str"/>
      <c r="O2825" s="41" t="str"/>
      <c r="P2825" s="41" t="str"/>
      <c r="Q2825" s="41" t="str"/>
      <c r="R2825" s="41" t="str"/>
      <c r="S2825" s="41" t="str"/>
      <c r="T2825" s="41" t="str"/>
      <c r="U2825" s="41" t="str"/>
      <c r="V2825" s="41" t="str"/>
      <c r="W2825" s="41" t="str"/>
    </row>
    <row r="2826">
      <c r="B2826" s="2" t="n"/>
      <c r="C2826" s="40" t="n"/>
      <c r="D2826" s="52">
        <f t="array" ref="D2826:W2826">IF(All_Students_Scores!C2824:V2824="","",All_Students_Scores!C2824:V2824)</f>
        <v/>
      </c>
      <c r="E2826" s="57" t="str"/>
      <c r="F2826" s="49" t="str"/>
      <c r="G2826" s="59" t="str"/>
      <c r="H2826" s="64" t="str"/>
      <c r="I2826" s="65" t="str"/>
      <c r="J2826" s="49" t="str"/>
      <c r="K2826" s="41" t="str"/>
      <c r="L2826" s="41" t="str"/>
      <c r="M2826" s="41" t="str"/>
      <c r="N2826" s="41" t="str"/>
      <c r="O2826" s="41" t="str"/>
      <c r="P2826" s="41" t="str"/>
      <c r="Q2826" s="41" t="str"/>
      <c r="R2826" s="41" t="str"/>
      <c r="S2826" s="41" t="str"/>
      <c r="T2826" s="41" t="str"/>
      <c r="U2826" s="41" t="str"/>
      <c r="V2826" s="41" t="str"/>
      <c r="W2826" s="41" t="str"/>
    </row>
    <row r="2827">
      <c r="B2827" s="2" t="n"/>
      <c r="C2827" s="40" t="n"/>
      <c r="D2827" s="52">
        <f t="array" ref="D2827:W2827">IF(All_Students_Scores!C2825:V2825="","",All_Students_Scores!C2825:V2825)</f>
        <v/>
      </c>
      <c r="E2827" s="57" t="str"/>
      <c r="F2827" s="49" t="str"/>
      <c r="G2827" s="59" t="str"/>
      <c r="H2827" s="64" t="str"/>
      <c r="I2827" s="65" t="str"/>
      <c r="J2827" s="49" t="str"/>
      <c r="K2827" s="41" t="str"/>
      <c r="L2827" s="41" t="str"/>
      <c r="M2827" s="41" t="str"/>
      <c r="N2827" s="41" t="str"/>
      <c r="O2827" s="41" t="str"/>
      <c r="P2827" s="41" t="str"/>
      <c r="Q2827" s="41" t="str"/>
      <c r="R2827" s="41" t="str"/>
      <c r="S2827" s="41" t="str"/>
      <c r="T2827" s="41" t="str"/>
      <c r="U2827" s="41" t="str"/>
      <c r="V2827" s="41" t="str"/>
      <c r="W2827" s="41" t="str"/>
    </row>
    <row r="2828">
      <c r="B2828" s="2" t="n"/>
      <c r="C2828" s="40" t="n"/>
      <c r="D2828" s="52">
        <f t="array" ref="D2828:W2828">IF(All_Students_Scores!C2826:V2826="","",All_Students_Scores!C2826:V2826)</f>
        <v/>
      </c>
      <c r="E2828" s="57" t="str"/>
      <c r="F2828" s="49" t="str"/>
      <c r="G2828" s="59" t="str"/>
      <c r="H2828" s="64" t="str"/>
      <c r="I2828" s="65" t="str"/>
      <c r="J2828" s="49" t="str"/>
      <c r="K2828" s="41" t="str"/>
      <c r="L2828" s="41" t="str"/>
      <c r="M2828" s="41" t="str"/>
      <c r="N2828" s="41" t="str"/>
      <c r="O2828" s="41" t="str"/>
      <c r="P2828" s="41" t="str"/>
      <c r="Q2828" s="41" t="str"/>
      <c r="R2828" s="41" t="str"/>
      <c r="S2828" s="41" t="str"/>
      <c r="T2828" s="41" t="str"/>
      <c r="U2828" s="41" t="str"/>
      <c r="V2828" s="41" t="str"/>
      <c r="W2828" s="41" t="str"/>
    </row>
    <row r="2829">
      <c r="B2829" s="2" t="n"/>
      <c r="C2829" s="40" t="n"/>
      <c r="D2829" s="52">
        <f t="array" ref="D2829:W2829">IF(All_Students_Scores!C2827:V2827="","",All_Students_Scores!C2827:V2827)</f>
        <v/>
      </c>
      <c r="E2829" s="57" t="str"/>
      <c r="F2829" s="49" t="str"/>
      <c r="G2829" s="59" t="str"/>
      <c r="H2829" s="64" t="str"/>
      <c r="I2829" s="65" t="str"/>
      <c r="J2829" s="49" t="str"/>
      <c r="K2829" s="41" t="str"/>
      <c r="L2829" s="41" t="str"/>
      <c r="M2829" s="41" t="str"/>
      <c r="N2829" s="41" t="str"/>
      <c r="O2829" s="41" t="str"/>
      <c r="P2829" s="41" t="str"/>
      <c r="Q2829" s="41" t="str"/>
      <c r="R2829" s="41" t="str"/>
      <c r="S2829" s="41" t="str"/>
      <c r="T2829" s="41" t="str"/>
      <c r="U2829" s="41" t="str"/>
      <c r="V2829" s="41" t="str"/>
      <c r="W2829" s="41" t="str"/>
    </row>
    <row r="2830">
      <c r="B2830" s="2" t="n"/>
      <c r="C2830" s="40" t="n"/>
      <c r="D2830" s="52">
        <f t="array" ref="D2830:W2830">IF(All_Students_Scores!C2828:V2828="","",All_Students_Scores!C2828:V2828)</f>
        <v/>
      </c>
      <c r="E2830" s="57" t="str"/>
      <c r="F2830" s="49" t="str"/>
      <c r="G2830" s="59" t="str"/>
      <c r="H2830" s="64" t="str"/>
      <c r="I2830" s="65" t="str"/>
      <c r="J2830" s="49" t="str"/>
      <c r="K2830" s="41" t="str"/>
      <c r="L2830" s="41" t="str"/>
      <c r="M2830" s="41" t="str"/>
      <c r="N2830" s="41" t="str"/>
      <c r="O2830" s="41" t="str"/>
      <c r="P2830" s="41" t="str"/>
      <c r="Q2830" s="41" t="str"/>
      <c r="R2830" s="41" t="str"/>
      <c r="S2830" s="41" t="str"/>
      <c r="T2830" s="41" t="str"/>
      <c r="U2830" s="41" t="str"/>
      <c r="V2830" s="41" t="str"/>
      <c r="W2830" s="41" t="str"/>
    </row>
    <row r="2831">
      <c r="B2831" s="2" t="n"/>
      <c r="C2831" s="40" t="n"/>
      <c r="D2831" s="52">
        <f t="array" ref="D2831:W2831">IF(All_Students_Scores!C2829:V2829="","",All_Students_Scores!C2829:V2829)</f>
        <v/>
      </c>
      <c r="E2831" s="57" t="str"/>
      <c r="F2831" s="49" t="str"/>
      <c r="G2831" s="59" t="str"/>
      <c r="H2831" s="64" t="str"/>
      <c r="I2831" s="65" t="str"/>
      <c r="J2831" s="49" t="str"/>
      <c r="K2831" s="41" t="str"/>
      <c r="L2831" s="41" t="str"/>
      <c r="M2831" s="41" t="str"/>
      <c r="N2831" s="41" t="str"/>
      <c r="O2831" s="41" t="str"/>
      <c r="P2831" s="41" t="str"/>
      <c r="Q2831" s="41" t="str"/>
      <c r="R2831" s="41" t="str"/>
      <c r="S2831" s="41" t="str"/>
      <c r="T2831" s="41" t="str"/>
      <c r="U2831" s="41" t="str"/>
      <c r="V2831" s="41" t="str"/>
      <c r="W2831" s="41" t="str"/>
    </row>
    <row r="2832">
      <c r="B2832" s="2" t="n"/>
      <c r="C2832" s="40" t="n"/>
      <c r="D2832" s="52">
        <f t="array" ref="D2832:W2832">IF(All_Students_Scores!C2830:V2830="","",All_Students_Scores!C2830:V2830)</f>
        <v/>
      </c>
      <c r="E2832" s="57" t="str"/>
      <c r="F2832" s="49" t="str"/>
      <c r="G2832" s="59" t="str"/>
      <c r="H2832" s="64" t="str"/>
      <c r="I2832" s="65" t="str"/>
      <c r="J2832" s="49" t="str"/>
      <c r="K2832" s="41" t="str"/>
      <c r="L2832" s="41" t="str"/>
      <c r="M2832" s="41" t="str"/>
      <c r="N2832" s="41" t="str"/>
      <c r="O2832" s="41" t="str"/>
      <c r="P2832" s="41" t="str"/>
      <c r="Q2832" s="41" t="str"/>
      <c r="R2832" s="41" t="str"/>
      <c r="S2832" s="41" t="str"/>
      <c r="T2832" s="41" t="str"/>
      <c r="U2832" s="41" t="str"/>
      <c r="V2832" s="41" t="str"/>
      <c r="W2832" s="41" t="str"/>
    </row>
    <row r="2833">
      <c r="B2833" s="2" t="n"/>
      <c r="C2833" s="40" t="n"/>
      <c r="D2833" s="52">
        <f t="array" ref="D2833:W2833">IF(All_Students_Scores!C2831:V2831="","",All_Students_Scores!C2831:V2831)</f>
        <v/>
      </c>
      <c r="E2833" s="57" t="str"/>
      <c r="F2833" s="49" t="str"/>
      <c r="G2833" s="59" t="str"/>
      <c r="H2833" s="64" t="str"/>
      <c r="I2833" s="65" t="str"/>
      <c r="J2833" s="49" t="str"/>
      <c r="K2833" s="41" t="str"/>
      <c r="L2833" s="41" t="str"/>
      <c r="M2833" s="41" t="str"/>
      <c r="N2833" s="41" t="str"/>
      <c r="O2833" s="41" t="str"/>
      <c r="P2833" s="41" t="str"/>
      <c r="Q2833" s="41" t="str"/>
      <c r="R2833" s="41" t="str"/>
      <c r="S2833" s="41" t="str"/>
      <c r="T2833" s="41" t="str"/>
      <c r="U2833" s="41" t="str"/>
      <c r="V2833" s="41" t="str"/>
      <c r="W2833" s="41" t="str"/>
    </row>
    <row r="2834">
      <c r="B2834" s="2" t="n"/>
      <c r="C2834" s="40" t="n"/>
      <c r="D2834" s="52">
        <f t="array" ref="D2834:W2834">IF(All_Students_Scores!C2832:V2832="","",All_Students_Scores!C2832:V2832)</f>
        <v/>
      </c>
      <c r="E2834" s="57" t="str"/>
      <c r="F2834" s="49" t="str"/>
      <c r="G2834" s="59" t="str"/>
      <c r="H2834" s="64" t="str"/>
      <c r="I2834" s="65" t="str"/>
      <c r="J2834" s="49" t="str"/>
      <c r="K2834" s="41" t="str"/>
      <c r="L2834" s="41" t="str"/>
      <c r="M2834" s="41" t="str"/>
      <c r="N2834" s="41" t="str"/>
      <c r="O2834" s="41" t="str"/>
      <c r="P2834" s="41" t="str"/>
      <c r="Q2834" s="41" t="str"/>
      <c r="R2834" s="41" t="str"/>
      <c r="S2834" s="41" t="str"/>
      <c r="T2834" s="41" t="str"/>
      <c r="U2834" s="41" t="str"/>
      <c r="V2834" s="41" t="str"/>
      <c r="W2834" s="41" t="str"/>
    </row>
    <row r="2835">
      <c r="B2835" s="2" t="n"/>
      <c r="C2835" s="40" t="n"/>
      <c r="D2835" s="52">
        <f t="array" ref="D2835:W2835">IF(All_Students_Scores!C2833:V2833="","",All_Students_Scores!C2833:V2833)</f>
        <v/>
      </c>
      <c r="E2835" s="57" t="str"/>
      <c r="F2835" s="49" t="str"/>
      <c r="G2835" s="59" t="str"/>
      <c r="H2835" s="64" t="str"/>
      <c r="I2835" s="65" t="str"/>
      <c r="J2835" s="49" t="str"/>
      <c r="K2835" s="41" t="str"/>
      <c r="L2835" s="41" t="str"/>
      <c r="M2835" s="41" t="str"/>
      <c r="N2835" s="41" t="str"/>
      <c r="O2835" s="41" t="str"/>
      <c r="P2835" s="41" t="str"/>
      <c r="Q2835" s="41" t="str"/>
      <c r="R2835" s="41" t="str"/>
      <c r="S2835" s="41" t="str"/>
      <c r="T2835" s="41" t="str"/>
      <c r="U2835" s="41" t="str"/>
      <c r="V2835" s="41" t="str"/>
      <c r="W2835" s="41" t="str"/>
    </row>
    <row r="2836">
      <c r="B2836" s="2" t="n"/>
      <c r="C2836" s="40" t="n"/>
      <c r="D2836" s="52">
        <f t="array" ref="D2836:W2836">IF(All_Students_Scores!C2834:V2834="","",All_Students_Scores!C2834:V2834)</f>
        <v/>
      </c>
      <c r="E2836" s="57" t="str"/>
      <c r="F2836" s="49" t="str"/>
      <c r="G2836" s="59" t="str"/>
      <c r="H2836" s="64" t="str"/>
      <c r="I2836" s="65" t="str"/>
      <c r="J2836" s="49" t="str"/>
      <c r="K2836" s="41" t="str"/>
      <c r="L2836" s="41" t="str"/>
      <c r="M2836" s="41" t="str"/>
      <c r="N2836" s="41" t="str"/>
      <c r="O2836" s="41" t="str"/>
      <c r="P2836" s="41" t="str"/>
      <c r="Q2836" s="41" t="str"/>
      <c r="R2836" s="41" t="str"/>
      <c r="S2836" s="41" t="str"/>
      <c r="T2836" s="41" t="str"/>
      <c r="U2836" s="41" t="str"/>
      <c r="V2836" s="41" t="str"/>
      <c r="W2836" s="41" t="str"/>
    </row>
    <row r="2837">
      <c r="B2837" s="2" t="n"/>
      <c r="C2837" s="40" t="n"/>
      <c r="D2837" s="52">
        <f t="array" ref="D2837:W2837">IF(All_Students_Scores!C2835:V2835="","",All_Students_Scores!C2835:V2835)</f>
        <v/>
      </c>
      <c r="E2837" s="57" t="str"/>
      <c r="F2837" s="49" t="str"/>
      <c r="G2837" s="59" t="str"/>
      <c r="H2837" s="64" t="str"/>
      <c r="I2837" s="65" t="str"/>
      <c r="J2837" s="49" t="str"/>
      <c r="K2837" s="41" t="str"/>
      <c r="L2837" s="41" t="str"/>
      <c r="M2837" s="41" t="str"/>
      <c r="N2837" s="41" t="str"/>
      <c r="O2837" s="41" t="str"/>
      <c r="P2837" s="41" t="str"/>
      <c r="Q2837" s="41" t="str"/>
      <c r="R2837" s="41" t="str"/>
      <c r="S2837" s="41" t="str"/>
      <c r="T2837" s="41" t="str"/>
      <c r="U2837" s="41" t="str"/>
      <c r="V2837" s="41" t="str"/>
      <c r="W2837" s="41" t="str"/>
    </row>
    <row r="2838">
      <c r="B2838" s="2" t="n"/>
      <c r="C2838" s="40" t="n"/>
      <c r="D2838" s="52">
        <f t="array" ref="D2838:W2838">IF(All_Students_Scores!C2836:V2836="","",All_Students_Scores!C2836:V2836)</f>
        <v/>
      </c>
      <c r="E2838" s="57" t="str"/>
      <c r="F2838" s="49" t="str"/>
      <c r="G2838" s="59" t="str"/>
      <c r="H2838" s="64" t="str"/>
      <c r="I2838" s="65" t="str"/>
      <c r="J2838" s="49" t="str"/>
      <c r="K2838" s="41" t="str"/>
      <c r="L2838" s="41" t="str"/>
      <c r="M2838" s="41" t="str"/>
      <c r="N2838" s="41" t="str"/>
      <c r="O2838" s="41" t="str"/>
      <c r="P2838" s="41" t="str"/>
      <c r="Q2838" s="41" t="str"/>
      <c r="R2838" s="41" t="str"/>
      <c r="S2838" s="41" t="str"/>
      <c r="T2838" s="41" t="str"/>
      <c r="U2838" s="41" t="str"/>
      <c r="V2838" s="41" t="str"/>
      <c r="W2838" s="41" t="str"/>
    </row>
    <row r="2839">
      <c r="B2839" s="2" t="n"/>
      <c r="C2839" s="40" t="n"/>
      <c r="D2839" s="52">
        <f t="array" ref="D2839:W2839">IF(All_Students_Scores!C2837:V2837="","",All_Students_Scores!C2837:V2837)</f>
        <v/>
      </c>
      <c r="E2839" s="57" t="str"/>
      <c r="F2839" s="49" t="str"/>
      <c r="G2839" s="59" t="str"/>
      <c r="H2839" s="64" t="str"/>
      <c r="I2839" s="65" t="str"/>
      <c r="J2839" s="49" t="str"/>
      <c r="K2839" s="41" t="str"/>
      <c r="L2839" s="41" t="str"/>
      <c r="M2839" s="41" t="str"/>
      <c r="N2839" s="41" t="str"/>
      <c r="O2839" s="41" t="str"/>
      <c r="P2839" s="41" t="str"/>
      <c r="Q2839" s="41" t="str"/>
      <c r="R2839" s="41" t="str"/>
      <c r="S2839" s="41" t="str"/>
      <c r="T2839" s="41" t="str"/>
      <c r="U2839" s="41" t="str"/>
      <c r="V2839" s="41" t="str"/>
      <c r="W2839" s="41" t="str"/>
    </row>
    <row r="2840">
      <c r="B2840" s="2" t="n"/>
      <c r="C2840" s="40" t="n"/>
      <c r="D2840" s="52">
        <f t="array" ref="D2840:W2840">IF(All_Students_Scores!C2838:V2838="","",All_Students_Scores!C2838:V2838)</f>
        <v/>
      </c>
      <c r="E2840" s="57" t="str"/>
      <c r="F2840" s="49" t="str"/>
      <c r="G2840" s="59" t="str"/>
      <c r="H2840" s="64" t="str"/>
      <c r="I2840" s="65" t="str"/>
      <c r="J2840" s="49" t="str"/>
      <c r="K2840" s="41" t="str"/>
      <c r="L2840" s="41" t="str"/>
      <c r="M2840" s="41" t="str"/>
      <c r="N2840" s="41" t="str"/>
      <c r="O2840" s="41" t="str"/>
      <c r="P2840" s="41" t="str"/>
      <c r="Q2840" s="41" t="str"/>
      <c r="R2840" s="41" t="str"/>
      <c r="S2840" s="41" t="str"/>
      <c r="T2840" s="41" t="str"/>
      <c r="U2840" s="41" t="str"/>
      <c r="V2840" s="41" t="str"/>
      <c r="W2840" s="41" t="str"/>
    </row>
    <row r="2841">
      <c r="B2841" s="2" t="n"/>
      <c r="C2841" s="40" t="n"/>
      <c r="D2841" s="52">
        <f t="array" ref="D2841:W2841">IF(All_Students_Scores!C2839:V2839="","",All_Students_Scores!C2839:V2839)</f>
        <v/>
      </c>
      <c r="E2841" s="57" t="str"/>
      <c r="F2841" s="49" t="str"/>
      <c r="G2841" s="59" t="str"/>
      <c r="H2841" s="64" t="str"/>
      <c r="I2841" s="65" t="str"/>
      <c r="J2841" s="49" t="str"/>
      <c r="K2841" s="41" t="str"/>
      <c r="L2841" s="41" t="str"/>
      <c r="M2841" s="41" t="str"/>
      <c r="N2841" s="41" t="str"/>
      <c r="O2841" s="41" t="str"/>
      <c r="P2841" s="41" t="str"/>
      <c r="Q2841" s="41" t="str"/>
      <c r="R2841" s="41" t="str"/>
      <c r="S2841" s="41" t="str"/>
      <c r="T2841" s="41" t="str"/>
      <c r="U2841" s="41" t="str"/>
      <c r="V2841" s="41" t="str"/>
      <c r="W2841" s="41" t="str"/>
    </row>
    <row r="2842">
      <c r="B2842" s="2" t="n"/>
      <c r="C2842" s="40" t="n"/>
      <c r="D2842" s="52">
        <f t="array" ref="D2842:W2842">IF(All_Students_Scores!C2840:V2840="","",All_Students_Scores!C2840:V2840)</f>
        <v/>
      </c>
      <c r="E2842" s="57" t="str"/>
      <c r="F2842" s="49" t="str"/>
      <c r="G2842" s="59" t="str"/>
      <c r="H2842" s="64" t="str"/>
      <c r="I2842" s="65" t="str"/>
      <c r="J2842" s="49" t="str"/>
      <c r="K2842" s="41" t="str"/>
      <c r="L2842" s="41" t="str"/>
      <c r="M2842" s="41" t="str"/>
      <c r="N2842" s="41" t="str"/>
      <c r="O2842" s="41" t="str"/>
      <c r="P2842" s="41" t="str"/>
      <c r="Q2842" s="41" t="str"/>
      <c r="R2842" s="41" t="str"/>
      <c r="S2842" s="41" t="str"/>
      <c r="T2842" s="41" t="str"/>
      <c r="U2842" s="41" t="str"/>
      <c r="V2842" s="41" t="str"/>
      <c r="W2842" s="41" t="str"/>
    </row>
    <row r="2843">
      <c r="B2843" s="2" t="n"/>
      <c r="C2843" s="40" t="n"/>
      <c r="D2843" s="52">
        <f t="array" ref="D2843:W2843">IF(All_Students_Scores!C2841:V2841="","",All_Students_Scores!C2841:V2841)</f>
        <v/>
      </c>
      <c r="E2843" s="57" t="str"/>
      <c r="F2843" s="49" t="str"/>
      <c r="G2843" s="59" t="str"/>
      <c r="H2843" s="64" t="str"/>
      <c r="I2843" s="65" t="str"/>
      <c r="J2843" s="49" t="str"/>
      <c r="K2843" s="41" t="str"/>
      <c r="L2843" s="41" t="str"/>
      <c r="M2843" s="41" t="str"/>
      <c r="N2843" s="41" t="str"/>
      <c r="O2843" s="41" t="str"/>
      <c r="P2843" s="41" t="str"/>
      <c r="Q2843" s="41" t="str"/>
      <c r="R2843" s="41" t="str"/>
      <c r="S2843" s="41" t="str"/>
      <c r="T2843" s="41" t="str"/>
      <c r="U2843" s="41" t="str"/>
      <c r="V2843" s="41" t="str"/>
      <c r="W2843" s="41" t="str"/>
    </row>
    <row r="2844">
      <c r="B2844" s="2" t="n"/>
      <c r="C2844" s="40" t="n"/>
      <c r="D2844" s="52">
        <f t="array" ref="D2844:W2844">IF(All_Students_Scores!C2842:V2842="","",All_Students_Scores!C2842:V2842)</f>
        <v/>
      </c>
      <c r="E2844" s="57" t="str"/>
      <c r="F2844" s="49" t="str"/>
      <c r="G2844" s="59" t="str"/>
      <c r="H2844" s="64" t="str"/>
      <c r="I2844" s="65" t="str"/>
      <c r="J2844" s="49" t="str"/>
      <c r="K2844" s="41" t="str"/>
      <c r="L2844" s="41" t="str"/>
      <c r="M2844" s="41" t="str"/>
      <c r="N2844" s="41" t="str"/>
      <c r="O2844" s="41" t="str"/>
      <c r="P2844" s="41" t="str"/>
      <c r="Q2844" s="41" t="str"/>
      <c r="R2844" s="41" t="str"/>
      <c r="S2844" s="41" t="str"/>
      <c r="T2844" s="41" t="str"/>
      <c r="U2844" s="41" t="str"/>
      <c r="V2844" s="41" t="str"/>
      <c r="W2844" s="41" t="str"/>
    </row>
    <row r="2845">
      <c r="B2845" s="2" t="n"/>
      <c r="C2845" s="40" t="n"/>
      <c r="D2845" s="52">
        <f t="array" ref="D2845:W2845">IF(All_Students_Scores!C2843:V2843="","",All_Students_Scores!C2843:V2843)</f>
        <v/>
      </c>
      <c r="E2845" s="57" t="str"/>
      <c r="F2845" s="49" t="str"/>
      <c r="G2845" s="59" t="str"/>
      <c r="H2845" s="64" t="str"/>
      <c r="I2845" s="65" t="str"/>
      <c r="J2845" s="49" t="str"/>
      <c r="K2845" s="41" t="str"/>
      <c r="L2845" s="41" t="str"/>
      <c r="M2845" s="41" t="str"/>
      <c r="N2845" s="41" t="str"/>
      <c r="O2845" s="41" t="str"/>
      <c r="P2845" s="41" t="str"/>
      <c r="Q2845" s="41" t="str"/>
      <c r="R2845" s="41" t="str"/>
      <c r="S2845" s="41" t="str"/>
      <c r="T2845" s="41" t="str"/>
      <c r="U2845" s="41" t="str"/>
      <c r="V2845" s="41" t="str"/>
      <c r="W2845" s="41" t="str"/>
    </row>
    <row r="2846">
      <c r="B2846" s="2" t="n"/>
      <c r="C2846" s="40" t="n"/>
      <c r="D2846" s="52">
        <f t="array" ref="D2846:W2846">IF(All_Students_Scores!C2844:V2844="","",All_Students_Scores!C2844:V2844)</f>
        <v/>
      </c>
      <c r="E2846" s="57" t="str"/>
      <c r="F2846" s="49" t="str"/>
      <c r="G2846" s="59" t="str"/>
      <c r="H2846" s="64" t="str"/>
      <c r="I2846" s="65" t="str"/>
      <c r="J2846" s="49" t="str"/>
      <c r="K2846" s="41" t="str"/>
      <c r="L2846" s="41" t="str"/>
      <c r="M2846" s="41" t="str"/>
      <c r="N2846" s="41" t="str"/>
      <c r="O2846" s="41" t="str"/>
      <c r="P2846" s="41" t="str"/>
      <c r="Q2846" s="41" t="str"/>
      <c r="R2846" s="41" t="str"/>
      <c r="S2846" s="41" t="str"/>
      <c r="T2846" s="41" t="str"/>
      <c r="U2846" s="41" t="str"/>
      <c r="V2846" s="41" t="str"/>
      <c r="W2846" s="41" t="str"/>
    </row>
    <row r="2847">
      <c r="B2847" s="2" t="n"/>
      <c r="C2847" s="40" t="n"/>
      <c r="D2847" s="52">
        <f t="array" ref="D2847:W2847">IF(All_Students_Scores!C2845:V2845="","",All_Students_Scores!C2845:V2845)</f>
        <v/>
      </c>
      <c r="E2847" s="57" t="str"/>
      <c r="F2847" s="49" t="str"/>
      <c r="G2847" s="59" t="str"/>
      <c r="H2847" s="64" t="str"/>
      <c r="I2847" s="65" t="str"/>
      <c r="J2847" s="49" t="str"/>
      <c r="K2847" s="41" t="str"/>
      <c r="L2847" s="41" t="str"/>
      <c r="M2847" s="41" t="str"/>
      <c r="N2847" s="41" t="str"/>
      <c r="O2847" s="41" t="str"/>
      <c r="P2847" s="41" t="str"/>
      <c r="Q2847" s="41" t="str"/>
      <c r="R2847" s="41" t="str"/>
      <c r="S2847" s="41" t="str"/>
      <c r="T2847" s="41" t="str"/>
      <c r="U2847" s="41" t="str"/>
      <c r="V2847" s="41" t="str"/>
      <c r="W2847" s="41" t="str"/>
    </row>
    <row r="2848">
      <c r="B2848" s="2" t="n"/>
      <c r="C2848" s="40" t="n"/>
      <c r="D2848" s="52">
        <f t="array" ref="D2848:W2848">IF(All_Students_Scores!C2846:V2846="","",All_Students_Scores!C2846:V2846)</f>
        <v/>
      </c>
      <c r="E2848" s="57" t="str"/>
      <c r="F2848" s="49" t="str"/>
      <c r="G2848" s="59" t="str"/>
      <c r="H2848" s="64" t="str"/>
      <c r="I2848" s="65" t="str"/>
      <c r="J2848" s="49" t="str"/>
      <c r="K2848" s="41" t="str"/>
      <c r="L2848" s="41" t="str"/>
      <c r="M2848" s="41" t="str"/>
      <c r="N2848" s="41" t="str"/>
      <c r="O2848" s="41" t="str"/>
      <c r="P2848" s="41" t="str"/>
      <c r="Q2848" s="41" t="str"/>
      <c r="R2848" s="41" t="str"/>
      <c r="S2848" s="41" t="str"/>
      <c r="T2848" s="41" t="str"/>
      <c r="U2848" s="41" t="str"/>
      <c r="V2848" s="41" t="str"/>
      <c r="W2848" s="41" t="str"/>
    </row>
    <row r="2849">
      <c r="B2849" s="2" t="n"/>
      <c r="C2849" s="40" t="n"/>
      <c r="D2849" s="52">
        <f t="array" ref="D2849:W2849">IF(All_Students_Scores!C2847:V2847="","",All_Students_Scores!C2847:V2847)</f>
        <v/>
      </c>
      <c r="E2849" s="57" t="str"/>
      <c r="F2849" s="49" t="str"/>
      <c r="G2849" s="59" t="str"/>
      <c r="H2849" s="64" t="str"/>
      <c r="I2849" s="65" t="str"/>
      <c r="J2849" s="49" t="str"/>
      <c r="K2849" s="41" t="str"/>
      <c r="L2849" s="41" t="str"/>
      <c r="M2849" s="41" t="str"/>
      <c r="N2849" s="41" t="str"/>
      <c r="O2849" s="41" t="str"/>
      <c r="P2849" s="41" t="str"/>
      <c r="Q2849" s="41" t="str"/>
      <c r="R2849" s="41" t="str"/>
      <c r="S2849" s="41" t="str"/>
      <c r="T2849" s="41" t="str"/>
      <c r="U2849" s="41" t="str"/>
      <c r="V2849" s="41" t="str"/>
      <c r="W2849" s="41" t="str"/>
    </row>
    <row r="2850">
      <c r="B2850" s="2" t="n"/>
      <c r="C2850" s="40" t="n"/>
      <c r="D2850" s="52">
        <f t="array" ref="D2850:W2850">IF(All_Students_Scores!C2848:V2848="","",All_Students_Scores!C2848:V2848)</f>
        <v/>
      </c>
      <c r="E2850" s="57" t="str"/>
      <c r="F2850" s="49" t="str"/>
      <c r="G2850" s="59" t="str"/>
      <c r="H2850" s="64" t="str"/>
      <c r="I2850" s="65" t="str"/>
      <c r="J2850" s="49" t="str"/>
      <c r="K2850" s="41" t="str"/>
      <c r="L2850" s="41" t="str"/>
      <c r="M2850" s="41" t="str"/>
      <c r="N2850" s="41" t="str"/>
      <c r="O2850" s="41" t="str"/>
      <c r="P2850" s="41" t="str"/>
      <c r="Q2850" s="41" t="str"/>
      <c r="R2850" s="41" t="str"/>
      <c r="S2850" s="41" t="str"/>
      <c r="T2850" s="41" t="str"/>
      <c r="U2850" s="41" t="str"/>
      <c r="V2850" s="41" t="str"/>
      <c r="W2850" s="41" t="str"/>
    </row>
    <row r="2851">
      <c r="B2851" s="2" t="n"/>
      <c r="C2851" s="40" t="n"/>
      <c r="D2851" s="52">
        <f t="array" ref="D2851:W2851">IF(All_Students_Scores!C2849:V2849="","",All_Students_Scores!C2849:V2849)</f>
        <v/>
      </c>
      <c r="E2851" s="57" t="str"/>
      <c r="F2851" s="49" t="str"/>
      <c r="G2851" s="59" t="str"/>
      <c r="H2851" s="64" t="str"/>
      <c r="I2851" s="65" t="str"/>
      <c r="J2851" s="49" t="str"/>
      <c r="K2851" s="41" t="str"/>
      <c r="L2851" s="41" t="str"/>
      <c r="M2851" s="41" t="str"/>
      <c r="N2851" s="41" t="str"/>
      <c r="O2851" s="41" t="str"/>
      <c r="P2851" s="41" t="str"/>
      <c r="Q2851" s="41" t="str"/>
      <c r="R2851" s="41" t="str"/>
      <c r="S2851" s="41" t="str"/>
      <c r="T2851" s="41" t="str"/>
      <c r="U2851" s="41" t="str"/>
      <c r="V2851" s="41" t="str"/>
      <c r="W2851" s="41" t="str"/>
    </row>
    <row r="2852">
      <c r="B2852" s="2" t="n"/>
      <c r="C2852" s="40" t="n"/>
      <c r="D2852" s="52">
        <f t="array" ref="D2852:W2852">IF(All_Students_Scores!C2850:V2850="","",All_Students_Scores!C2850:V2850)</f>
        <v/>
      </c>
      <c r="E2852" s="57" t="str"/>
      <c r="F2852" s="49" t="str"/>
      <c r="G2852" s="59" t="str"/>
      <c r="H2852" s="64" t="str"/>
      <c r="I2852" s="65" t="str"/>
      <c r="J2852" s="49" t="str"/>
      <c r="K2852" s="41" t="str"/>
      <c r="L2852" s="41" t="str"/>
      <c r="M2852" s="41" t="str"/>
      <c r="N2852" s="41" t="str"/>
      <c r="O2852" s="41" t="str"/>
      <c r="P2852" s="41" t="str"/>
      <c r="Q2852" s="41" t="str"/>
      <c r="R2852" s="41" t="str"/>
      <c r="S2852" s="41" t="str"/>
      <c r="T2852" s="41" t="str"/>
      <c r="U2852" s="41" t="str"/>
      <c r="V2852" s="41" t="str"/>
      <c r="W2852" s="41" t="str"/>
    </row>
    <row r="2853">
      <c r="B2853" s="2" t="n"/>
      <c r="C2853" s="40" t="n"/>
      <c r="D2853" s="52">
        <f t="array" ref="D2853:W2853">IF(All_Students_Scores!C2851:V2851="","",All_Students_Scores!C2851:V2851)</f>
        <v/>
      </c>
      <c r="E2853" s="57" t="str"/>
      <c r="F2853" s="49" t="str"/>
      <c r="G2853" s="59" t="str"/>
      <c r="H2853" s="64" t="str"/>
      <c r="I2853" s="65" t="str"/>
      <c r="J2853" s="49" t="str"/>
      <c r="K2853" s="41" t="str"/>
      <c r="L2853" s="41" t="str"/>
      <c r="M2853" s="41" t="str"/>
      <c r="N2853" s="41" t="str"/>
      <c r="O2853" s="41" t="str"/>
      <c r="P2853" s="41" t="str"/>
      <c r="Q2853" s="41" t="str"/>
      <c r="R2853" s="41" t="str"/>
      <c r="S2853" s="41" t="str"/>
      <c r="T2853" s="41" t="str"/>
      <c r="U2853" s="41" t="str"/>
      <c r="V2853" s="41" t="str"/>
      <c r="W2853" s="41" t="str"/>
    </row>
    <row r="2854">
      <c r="B2854" s="2" t="n"/>
      <c r="C2854" s="40" t="n"/>
      <c r="D2854" s="52">
        <f t="array" ref="D2854:W2854">IF(All_Students_Scores!C2852:V2852="","",All_Students_Scores!C2852:V2852)</f>
        <v/>
      </c>
      <c r="E2854" s="57" t="str"/>
      <c r="F2854" s="49" t="str"/>
      <c r="G2854" s="59" t="str"/>
      <c r="H2854" s="64" t="str"/>
      <c r="I2854" s="65" t="str"/>
      <c r="J2854" s="49" t="str"/>
      <c r="K2854" s="41" t="str"/>
      <c r="L2854" s="41" t="str"/>
      <c r="M2854" s="41" t="str"/>
      <c r="N2854" s="41" t="str"/>
      <c r="O2854" s="41" t="str"/>
      <c r="P2854" s="41" t="str"/>
      <c r="Q2854" s="41" t="str"/>
      <c r="R2854" s="41" t="str"/>
      <c r="S2854" s="41" t="str"/>
      <c r="T2854" s="41" t="str"/>
      <c r="U2854" s="41" t="str"/>
      <c r="V2854" s="41" t="str"/>
      <c r="W2854" s="41" t="str"/>
    </row>
    <row r="2855">
      <c r="B2855" s="2" t="n"/>
      <c r="C2855" s="40" t="n"/>
      <c r="D2855" s="52">
        <f t="array" ref="D2855:W2855">IF(All_Students_Scores!C2853:V2853="","",All_Students_Scores!C2853:V2853)</f>
        <v/>
      </c>
      <c r="E2855" s="57" t="str"/>
      <c r="F2855" s="49" t="str"/>
      <c r="G2855" s="59" t="str"/>
      <c r="H2855" s="64" t="str"/>
      <c r="I2855" s="65" t="str"/>
      <c r="J2855" s="49" t="str"/>
      <c r="K2855" s="41" t="str"/>
      <c r="L2855" s="41" t="str"/>
      <c r="M2855" s="41" t="str"/>
      <c r="N2855" s="41" t="str"/>
      <c r="O2855" s="41" t="str"/>
      <c r="P2855" s="41" t="str"/>
      <c r="Q2855" s="41" t="str"/>
      <c r="R2855" s="41" t="str"/>
      <c r="S2855" s="41" t="str"/>
      <c r="T2855" s="41" t="str"/>
      <c r="U2855" s="41" t="str"/>
      <c r="V2855" s="41" t="str"/>
      <c r="W2855" s="41" t="str"/>
    </row>
    <row r="2856">
      <c r="B2856" s="2" t="n"/>
      <c r="C2856" s="40" t="n"/>
      <c r="D2856" s="52">
        <f t="array" ref="D2856:W2856">IF(All_Students_Scores!C2854:V2854="","",All_Students_Scores!C2854:V2854)</f>
        <v/>
      </c>
      <c r="E2856" s="57" t="str"/>
      <c r="F2856" s="49" t="str"/>
      <c r="G2856" s="59" t="str"/>
      <c r="H2856" s="64" t="str"/>
      <c r="I2856" s="65" t="str"/>
      <c r="J2856" s="49" t="str"/>
      <c r="K2856" s="41" t="str"/>
      <c r="L2856" s="41" t="str"/>
      <c r="M2856" s="41" t="str"/>
      <c r="N2856" s="41" t="str"/>
      <c r="O2856" s="41" t="str"/>
      <c r="P2856" s="41" t="str"/>
      <c r="Q2856" s="41" t="str"/>
      <c r="R2856" s="41" t="str"/>
      <c r="S2856" s="41" t="str"/>
      <c r="T2856" s="41" t="str"/>
      <c r="U2856" s="41" t="str"/>
      <c r="V2856" s="41" t="str"/>
      <c r="W2856" s="41" t="str"/>
    </row>
    <row r="2857">
      <c r="B2857" s="2" t="n"/>
      <c r="C2857" s="40" t="n"/>
      <c r="D2857" s="52">
        <f t="array" ref="D2857:W2857">IF(All_Students_Scores!C2855:V2855="","",All_Students_Scores!C2855:V2855)</f>
        <v/>
      </c>
      <c r="E2857" s="57" t="str"/>
      <c r="F2857" s="49" t="str"/>
      <c r="G2857" s="59" t="str"/>
      <c r="H2857" s="64" t="str"/>
      <c r="I2857" s="65" t="str"/>
      <c r="J2857" s="49" t="str"/>
      <c r="K2857" s="41" t="str"/>
      <c r="L2857" s="41" t="str"/>
      <c r="M2857" s="41" t="str"/>
      <c r="N2857" s="41" t="str"/>
      <c r="O2857" s="41" t="str"/>
      <c r="P2857" s="41" t="str"/>
      <c r="Q2857" s="41" t="str"/>
      <c r="R2857" s="41" t="str"/>
      <c r="S2857" s="41" t="str"/>
      <c r="T2857" s="41" t="str"/>
      <c r="U2857" s="41" t="str"/>
      <c r="V2857" s="41" t="str"/>
      <c r="W2857" s="41" t="str"/>
    </row>
    <row r="2858">
      <c r="B2858" s="2" t="n"/>
      <c r="C2858" s="40" t="n"/>
      <c r="D2858" s="52">
        <f t="array" ref="D2858:W2858">IF(All_Students_Scores!C2856:V2856="","",All_Students_Scores!C2856:V2856)</f>
        <v/>
      </c>
      <c r="E2858" s="57" t="str"/>
      <c r="F2858" s="49" t="str"/>
      <c r="G2858" s="59" t="str"/>
      <c r="H2858" s="64" t="str"/>
      <c r="I2858" s="65" t="str"/>
      <c r="J2858" s="49" t="str"/>
      <c r="K2858" s="41" t="str"/>
      <c r="L2858" s="41" t="str"/>
      <c r="M2858" s="41" t="str"/>
      <c r="N2858" s="41" t="str"/>
      <c r="O2858" s="41" t="str"/>
      <c r="P2858" s="41" t="str"/>
      <c r="Q2858" s="41" t="str"/>
      <c r="R2858" s="41" t="str"/>
      <c r="S2858" s="41" t="str"/>
      <c r="T2858" s="41" t="str"/>
      <c r="U2858" s="41" t="str"/>
      <c r="V2858" s="41" t="str"/>
      <c r="W2858" s="41" t="str"/>
    </row>
    <row r="2859">
      <c r="B2859" s="2" t="n"/>
      <c r="C2859" s="40" t="n"/>
      <c r="D2859" s="52">
        <f t="array" ref="D2859:W2859">IF(All_Students_Scores!C2857:V2857="","",All_Students_Scores!C2857:V2857)</f>
        <v/>
      </c>
      <c r="E2859" s="57" t="str"/>
      <c r="F2859" s="49" t="str"/>
      <c r="G2859" s="59" t="str"/>
      <c r="H2859" s="64" t="str"/>
      <c r="I2859" s="65" t="str"/>
      <c r="J2859" s="49" t="str"/>
      <c r="K2859" s="41" t="str"/>
      <c r="L2859" s="41" t="str"/>
      <c r="M2859" s="41" t="str"/>
      <c r="N2859" s="41" t="str"/>
      <c r="O2859" s="41" t="str"/>
      <c r="P2859" s="41" t="str"/>
      <c r="Q2859" s="41" t="str"/>
      <c r="R2859" s="41" t="str"/>
      <c r="S2859" s="41" t="str"/>
      <c r="T2859" s="41" t="str"/>
      <c r="U2859" s="41" t="str"/>
      <c r="V2859" s="41" t="str"/>
      <c r="W2859" s="41" t="str"/>
    </row>
    <row r="2860">
      <c r="B2860" s="2" t="n"/>
      <c r="C2860" s="40" t="n"/>
      <c r="D2860" s="52">
        <f t="array" ref="D2860:W2860">IF(All_Students_Scores!C2858:V2858="","",All_Students_Scores!C2858:V2858)</f>
        <v/>
      </c>
      <c r="E2860" s="57" t="str"/>
      <c r="F2860" s="49" t="str"/>
      <c r="G2860" s="59" t="str"/>
      <c r="H2860" s="64" t="str"/>
      <c r="I2860" s="65" t="str"/>
      <c r="J2860" s="49" t="str"/>
      <c r="K2860" s="41" t="str"/>
      <c r="L2860" s="41" t="str"/>
      <c r="M2860" s="41" t="str"/>
      <c r="N2860" s="41" t="str"/>
      <c r="O2860" s="41" t="str"/>
      <c r="P2860" s="41" t="str"/>
      <c r="Q2860" s="41" t="str"/>
      <c r="R2860" s="41" t="str"/>
      <c r="S2860" s="41" t="str"/>
      <c r="T2860" s="41" t="str"/>
      <c r="U2860" s="41" t="str"/>
      <c r="V2860" s="41" t="str"/>
      <c r="W2860" s="41" t="str"/>
    </row>
    <row r="2861">
      <c r="B2861" s="2" t="n"/>
      <c r="C2861" s="40" t="n"/>
      <c r="D2861" s="52">
        <f t="array" ref="D2861:W2861">IF(All_Students_Scores!C2859:V2859="","",All_Students_Scores!C2859:V2859)</f>
        <v/>
      </c>
      <c r="E2861" s="57" t="str"/>
      <c r="F2861" s="49" t="str"/>
      <c r="G2861" s="59" t="str"/>
      <c r="H2861" s="64" t="str"/>
      <c r="I2861" s="65" t="str"/>
      <c r="J2861" s="49" t="str"/>
      <c r="K2861" s="41" t="str"/>
      <c r="L2861" s="41" t="str"/>
      <c r="M2861" s="41" t="str"/>
      <c r="N2861" s="41" t="str"/>
      <c r="O2861" s="41" t="str"/>
      <c r="P2861" s="41" t="str"/>
      <c r="Q2861" s="41" t="str"/>
      <c r="R2861" s="41" t="str"/>
      <c r="S2861" s="41" t="str"/>
      <c r="T2861" s="41" t="str"/>
      <c r="U2861" s="41" t="str"/>
      <c r="V2861" s="41" t="str"/>
      <c r="W2861" s="41" t="str"/>
    </row>
    <row r="2862">
      <c r="B2862" s="2" t="n"/>
      <c r="C2862" s="40" t="n"/>
      <c r="D2862" s="52">
        <f t="array" ref="D2862:W2862">IF(All_Students_Scores!C2860:V2860="","",All_Students_Scores!C2860:V2860)</f>
        <v/>
      </c>
      <c r="E2862" s="57" t="str"/>
      <c r="F2862" s="49" t="str"/>
      <c r="G2862" s="59" t="str"/>
      <c r="H2862" s="64" t="str"/>
      <c r="I2862" s="65" t="str"/>
      <c r="J2862" s="49" t="str"/>
      <c r="K2862" s="41" t="str"/>
      <c r="L2862" s="41" t="str"/>
      <c r="M2862" s="41" t="str"/>
      <c r="N2862" s="41" t="str"/>
      <c r="O2862" s="41" t="str"/>
      <c r="P2862" s="41" t="str"/>
      <c r="Q2862" s="41" t="str"/>
      <c r="R2862" s="41" t="str"/>
      <c r="S2862" s="41" t="str"/>
      <c r="T2862" s="41" t="str"/>
      <c r="U2862" s="41" t="str"/>
      <c r="V2862" s="41" t="str"/>
      <c r="W2862" s="41" t="str"/>
    </row>
    <row r="2863">
      <c r="B2863" s="2" t="n"/>
      <c r="C2863" s="40" t="n"/>
      <c r="D2863" s="52">
        <f t="array" ref="D2863:W2863">IF(All_Students_Scores!C2861:V2861="","",All_Students_Scores!C2861:V2861)</f>
        <v/>
      </c>
      <c r="E2863" s="57" t="str"/>
      <c r="F2863" s="49" t="str"/>
      <c r="G2863" s="59" t="str"/>
      <c r="H2863" s="64" t="str"/>
      <c r="I2863" s="65" t="str"/>
      <c r="J2863" s="49" t="str"/>
      <c r="K2863" s="41" t="str"/>
      <c r="L2863" s="41" t="str"/>
      <c r="M2863" s="41" t="str"/>
      <c r="N2863" s="41" t="str"/>
      <c r="O2863" s="41" t="str"/>
      <c r="P2863" s="41" t="str"/>
      <c r="Q2863" s="41" t="str"/>
      <c r="R2863" s="41" t="str"/>
      <c r="S2863" s="41" t="str"/>
      <c r="T2863" s="41" t="str"/>
      <c r="U2863" s="41" t="str"/>
      <c r="V2863" s="41" t="str"/>
      <c r="W2863" s="41" t="str"/>
    </row>
    <row r="2864">
      <c r="B2864" s="2" t="n"/>
      <c r="C2864" s="40" t="n"/>
      <c r="D2864" s="52">
        <f t="array" ref="D2864:W2864">IF(All_Students_Scores!C2862:V2862="","",All_Students_Scores!C2862:V2862)</f>
        <v/>
      </c>
      <c r="E2864" s="57" t="str"/>
      <c r="F2864" s="49" t="str"/>
      <c r="G2864" s="59" t="str"/>
      <c r="H2864" s="64" t="str"/>
      <c r="I2864" s="65" t="str"/>
      <c r="J2864" s="49" t="str"/>
      <c r="K2864" s="41" t="str"/>
      <c r="L2864" s="41" t="str"/>
      <c r="M2864" s="41" t="str"/>
      <c r="N2864" s="41" t="str"/>
      <c r="O2864" s="41" t="str"/>
      <c r="P2864" s="41" t="str"/>
      <c r="Q2864" s="41" t="str"/>
      <c r="R2864" s="41" t="str"/>
      <c r="S2864" s="41" t="str"/>
      <c r="T2864" s="41" t="str"/>
      <c r="U2864" s="41" t="str"/>
      <c r="V2864" s="41" t="str"/>
      <c r="W2864" s="41" t="str"/>
    </row>
    <row r="2865">
      <c r="B2865" s="2" t="n"/>
      <c r="C2865" s="40" t="n"/>
      <c r="D2865" s="52">
        <f t="array" ref="D2865:W2865">IF(All_Students_Scores!C2863:V2863="","",All_Students_Scores!C2863:V2863)</f>
        <v/>
      </c>
      <c r="E2865" s="57" t="str"/>
      <c r="F2865" s="49" t="str"/>
      <c r="G2865" s="59" t="str"/>
      <c r="H2865" s="64" t="str"/>
      <c r="I2865" s="65" t="str"/>
      <c r="J2865" s="49" t="str"/>
      <c r="K2865" s="41" t="str"/>
      <c r="L2865" s="41" t="str"/>
      <c r="M2865" s="41" t="str"/>
      <c r="N2865" s="41" t="str"/>
      <c r="O2865" s="41" t="str"/>
      <c r="P2865" s="41" t="str"/>
      <c r="Q2865" s="41" t="str"/>
      <c r="R2865" s="41" t="str"/>
      <c r="S2865" s="41" t="str"/>
      <c r="T2865" s="41" t="str"/>
      <c r="U2865" s="41" t="str"/>
      <c r="V2865" s="41" t="str"/>
      <c r="W2865" s="41" t="str"/>
    </row>
    <row r="2866">
      <c r="B2866" s="2" t="n"/>
      <c r="C2866" s="40" t="n"/>
      <c r="D2866" s="52">
        <f t="array" ref="D2866:W2866">IF(All_Students_Scores!C2864:V2864="","",All_Students_Scores!C2864:V2864)</f>
        <v/>
      </c>
      <c r="E2866" s="57" t="str"/>
      <c r="F2866" s="49" t="str"/>
      <c r="G2866" s="59" t="str"/>
      <c r="H2866" s="64" t="str"/>
      <c r="I2866" s="65" t="str"/>
      <c r="J2866" s="49" t="str"/>
      <c r="K2866" s="41" t="str"/>
      <c r="L2866" s="41" t="str"/>
      <c r="M2866" s="41" t="str"/>
      <c r="N2866" s="41" t="str"/>
      <c r="O2866" s="41" t="str"/>
      <c r="P2866" s="41" t="str"/>
      <c r="Q2866" s="41" t="str"/>
      <c r="R2866" s="41" t="str"/>
      <c r="S2866" s="41" t="str"/>
      <c r="T2866" s="41" t="str"/>
      <c r="U2866" s="41" t="str"/>
      <c r="V2866" s="41" t="str"/>
      <c r="W2866" s="41" t="str"/>
    </row>
    <row r="2867">
      <c r="B2867" s="2" t="n"/>
      <c r="C2867" s="40" t="n"/>
      <c r="D2867" s="52">
        <f t="array" ref="D2867:W2867">IF(All_Students_Scores!C2865:V2865="","",All_Students_Scores!C2865:V2865)</f>
        <v/>
      </c>
      <c r="E2867" s="57" t="str"/>
      <c r="F2867" s="49" t="str"/>
      <c r="G2867" s="59" t="str"/>
      <c r="H2867" s="64" t="str"/>
      <c r="I2867" s="65" t="str"/>
      <c r="J2867" s="49" t="str"/>
      <c r="K2867" s="41" t="str"/>
      <c r="L2867" s="41" t="str"/>
      <c r="M2867" s="41" t="str"/>
      <c r="N2867" s="41" t="str"/>
      <c r="O2867" s="41" t="str"/>
      <c r="P2867" s="41" t="str"/>
      <c r="Q2867" s="41" t="str"/>
      <c r="R2867" s="41" t="str"/>
      <c r="S2867" s="41" t="str"/>
      <c r="T2867" s="41" t="str"/>
      <c r="U2867" s="41" t="str"/>
      <c r="V2867" s="41" t="str"/>
      <c r="W2867" s="41" t="str"/>
    </row>
    <row r="2868">
      <c r="B2868" s="2" t="n"/>
      <c r="C2868" s="40" t="n"/>
      <c r="D2868" s="52">
        <f t="array" ref="D2868:W2868">IF(All_Students_Scores!C2866:V2866="","",All_Students_Scores!C2866:V2866)</f>
        <v/>
      </c>
      <c r="E2868" s="57" t="str"/>
      <c r="F2868" s="49" t="str"/>
      <c r="G2868" s="59" t="str"/>
      <c r="H2868" s="64" t="str"/>
      <c r="I2868" s="65" t="str"/>
      <c r="J2868" s="49" t="str"/>
      <c r="K2868" s="41" t="str"/>
      <c r="L2868" s="41" t="str"/>
      <c r="M2868" s="41" t="str"/>
      <c r="N2868" s="41" t="str"/>
      <c r="O2868" s="41" t="str"/>
      <c r="P2868" s="41" t="str"/>
      <c r="Q2868" s="41" t="str"/>
      <c r="R2868" s="41" t="str"/>
      <c r="S2868" s="41" t="str"/>
      <c r="T2868" s="41" t="str"/>
      <c r="U2868" s="41" t="str"/>
      <c r="V2868" s="41" t="str"/>
      <c r="W2868" s="41" t="str"/>
    </row>
    <row r="2869">
      <c r="B2869" s="2" t="n"/>
      <c r="C2869" s="40" t="n"/>
      <c r="D2869" s="52">
        <f t="array" ref="D2869:W2869">IF(All_Students_Scores!C2867:V2867="","",All_Students_Scores!C2867:V2867)</f>
        <v/>
      </c>
      <c r="E2869" s="57" t="str"/>
      <c r="F2869" s="49" t="str"/>
      <c r="G2869" s="59" t="str"/>
      <c r="H2869" s="64" t="str"/>
      <c r="I2869" s="65" t="str"/>
      <c r="J2869" s="49" t="str"/>
      <c r="K2869" s="41" t="str"/>
      <c r="L2869" s="41" t="str"/>
      <c r="M2869" s="41" t="str"/>
      <c r="N2869" s="41" t="str"/>
      <c r="O2869" s="41" t="str"/>
      <c r="P2869" s="41" t="str"/>
      <c r="Q2869" s="41" t="str"/>
      <c r="R2869" s="41" t="str"/>
      <c r="S2869" s="41" t="str"/>
      <c r="T2869" s="41" t="str"/>
      <c r="U2869" s="41" t="str"/>
      <c r="V2869" s="41" t="str"/>
      <c r="W2869" s="41" t="str"/>
    </row>
    <row r="2870">
      <c r="B2870" s="2" t="n"/>
      <c r="C2870" s="40" t="n"/>
      <c r="D2870" s="52">
        <f t="array" ref="D2870:W2870">IF(All_Students_Scores!C2868:V2868="","",All_Students_Scores!C2868:V2868)</f>
        <v/>
      </c>
      <c r="E2870" s="57" t="str"/>
      <c r="F2870" s="49" t="str"/>
      <c r="G2870" s="59" t="str"/>
      <c r="H2870" s="64" t="str"/>
      <c r="I2870" s="65" t="str"/>
      <c r="J2870" s="49" t="str"/>
      <c r="K2870" s="41" t="str"/>
      <c r="L2870" s="41" t="str"/>
      <c r="M2870" s="41" t="str"/>
      <c r="N2870" s="41" t="str"/>
      <c r="O2870" s="41" t="str"/>
      <c r="P2870" s="41" t="str"/>
      <c r="Q2870" s="41" t="str"/>
      <c r="R2870" s="41" t="str"/>
      <c r="S2870" s="41" t="str"/>
      <c r="T2870" s="41" t="str"/>
      <c r="U2870" s="41" t="str"/>
      <c r="V2870" s="41" t="str"/>
      <c r="W2870" s="41" t="str"/>
    </row>
    <row r="2871">
      <c r="B2871" s="2" t="n"/>
      <c r="C2871" s="40" t="n"/>
      <c r="D2871" s="52">
        <f t="array" ref="D2871:W2871">IF(All_Students_Scores!C2869:V2869="","",All_Students_Scores!C2869:V2869)</f>
        <v/>
      </c>
      <c r="E2871" s="57" t="str"/>
      <c r="F2871" s="49" t="str"/>
      <c r="G2871" s="59" t="str"/>
      <c r="H2871" s="64" t="str"/>
      <c r="I2871" s="65" t="str"/>
      <c r="J2871" s="49" t="str"/>
      <c r="K2871" s="41" t="str"/>
      <c r="L2871" s="41" t="str"/>
      <c r="M2871" s="41" t="str"/>
      <c r="N2871" s="41" t="str"/>
      <c r="O2871" s="41" t="str"/>
      <c r="P2871" s="41" t="str"/>
      <c r="Q2871" s="41" t="str"/>
      <c r="R2871" s="41" t="str"/>
      <c r="S2871" s="41" t="str"/>
      <c r="T2871" s="41" t="str"/>
      <c r="U2871" s="41" t="str"/>
      <c r="V2871" s="41" t="str"/>
      <c r="W2871" s="41" t="str"/>
    </row>
    <row r="2872">
      <c r="B2872" s="2" t="n"/>
      <c r="C2872" s="40" t="n"/>
      <c r="D2872" s="52">
        <f t="array" ref="D2872:W2872">IF(All_Students_Scores!C2870:V2870="","",All_Students_Scores!C2870:V2870)</f>
        <v/>
      </c>
      <c r="E2872" s="57" t="str"/>
      <c r="F2872" s="49" t="str"/>
      <c r="G2872" s="59" t="str"/>
      <c r="H2872" s="64" t="str"/>
      <c r="I2872" s="65" t="str"/>
      <c r="J2872" s="49" t="str"/>
      <c r="K2872" s="41" t="str"/>
      <c r="L2872" s="41" t="str"/>
      <c r="M2872" s="41" t="str"/>
      <c r="N2872" s="41" t="str"/>
      <c r="O2872" s="41" t="str"/>
      <c r="P2872" s="41" t="str"/>
      <c r="Q2872" s="41" t="str"/>
      <c r="R2872" s="41" t="str"/>
      <c r="S2872" s="41" t="str"/>
      <c r="T2872" s="41" t="str"/>
      <c r="U2872" s="41" t="str"/>
      <c r="V2872" s="41" t="str"/>
      <c r="W2872" s="41" t="str"/>
    </row>
    <row r="2873">
      <c r="B2873" s="2" t="n"/>
      <c r="C2873" s="40" t="n"/>
      <c r="D2873" s="52">
        <f t="array" ref="D2873:W2873">IF(All_Students_Scores!C2871:V2871="","",All_Students_Scores!C2871:V2871)</f>
        <v/>
      </c>
      <c r="E2873" s="57" t="str"/>
      <c r="F2873" s="49" t="str"/>
      <c r="G2873" s="59" t="str"/>
      <c r="H2873" s="64" t="str"/>
      <c r="I2873" s="65" t="str"/>
      <c r="J2873" s="49" t="str"/>
      <c r="K2873" s="41" t="str"/>
      <c r="L2873" s="41" t="str"/>
      <c r="M2873" s="41" t="str"/>
      <c r="N2873" s="41" t="str"/>
      <c r="O2873" s="41" t="str"/>
      <c r="P2873" s="41" t="str"/>
      <c r="Q2873" s="41" t="str"/>
      <c r="R2873" s="41" t="str"/>
      <c r="S2873" s="41" t="str"/>
      <c r="T2873" s="41" t="str"/>
      <c r="U2873" s="41" t="str"/>
      <c r="V2873" s="41" t="str"/>
      <c r="W2873" s="41" t="str"/>
    </row>
    <row r="2874">
      <c r="B2874" s="2" t="n"/>
      <c r="C2874" s="40" t="n"/>
      <c r="D2874" s="52">
        <f t="array" ref="D2874:W2874">IF(All_Students_Scores!C2872:V2872="","",All_Students_Scores!C2872:V2872)</f>
        <v/>
      </c>
      <c r="E2874" s="57" t="str"/>
      <c r="F2874" s="49" t="str"/>
      <c r="G2874" s="59" t="str"/>
      <c r="H2874" s="64" t="str"/>
      <c r="I2874" s="65" t="str"/>
      <c r="J2874" s="49" t="str"/>
      <c r="K2874" s="41" t="str"/>
      <c r="L2874" s="41" t="str"/>
      <c r="M2874" s="41" t="str"/>
      <c r="N2874" s="41" t="str"/>
      <c r="O2874" s="41" t="str"/>
      <c r="P2874" s="41" t="str"/>
      <c r="Q2874" s="41" t="str"/>
      <c r="R2874" s="41" t="str"/>
      <c r="S2874" s="41" t="str"/>
      <c r="T2874" s="41" t="str"/>
      <c r="U2874" s="41" t="str"/>
      <c r="V2874" s="41" t="str"/>
      <c r="W2874" s="41" t="str"/>
    </row>
    <row r="2875">
      <c r="B2875" s="2" t="n"/>
      <c r="C2875" s="40" t="n"/>
      <c r="D2875" s="52">
        <f t="array" ref="D2875:W2875">IF(All_Students_Scores!C2873:V2873="","",All_Students_Scores!C2873:V2873)</f>
        <v/>
      </c>
      <c r="E2875" s="57" t="str"/>
      <c r="F2875" s="49" t="str"/>
      <c r="G2875" s="59" t="str"/>
      <c r="H2875" s="64" t="str"/>
      <c r="I2875" s="65" t="str"/>
      <c r="J2875" s="49" t="str"/>
      <c r="K2875" s="41" t="str"/>
      <c r="L2875" s="41" t="str"/>
      <c r="M2875" s="41" t="str"/>
      <c r="N2875" s="41" t="str"/>
      <c r="O2875" s="41" t="str"/>
      <c r="P2875" s="41" t="str"/>
      <c r="Q2875" s="41" t="str"/>
      <c r="R2875" s="41" t="str"/>
      <c r="S2875" s="41" t="str"/>
      <c r="T2875" s="41" t="str"/>
      <c r="U2875" s="41" t="str"/>
      <c r="V2875" s="41" t="str"/>
      <c r="W2875" s="41" t="str"/>
    </row>
    <row r="2876">
      <c r="B2876" s="2" t="n"/>
      <c r="C2876" s="40" t="n"/>
      <c r="D2876" s="52">
        <f t="array" ref="D2876:W2876">IF(All_Students_Scores!C2874:V2874="","",All_Students_Scores!C2874:V2874)</f>
        <v/>
      </c>
      <c r="E2876" s="57" t="str"/>
      <c r="F2876" s="49" t="str"/>
      <c r="G2876" s="59" t="str"/>
      <c r="H2876" s="64" t="str"/>
      <c r="I2876" s="65" t="str"/>
      <c r="J2876" s="49" t="str"/>
      <c r="K2876" s="41" t="str"/>
      <c r="L2876" s="41" t="str"/>
      <c r="M2876" s="41" t="str"/>
      <c r="N2876" s="41" t="str"/>
      <c r="O2876" s="41" t="str"/>
      <c r="P2876" s="41" t="str"/>
      <c r="Q2876" s="41" t="str"/>
      <c r="R2876" s="41" t="str"/>
      <c r="S2876" s="41" t="str"/>
      <c r="T2876" s="41" t="str"/>
      <c r="U2876" s="41" t="str"/>
      <c r="V2876" s="41" t="str"/>
      <c r="W2876" s="41" t="str"/>
    </row>
    <row r="2877">
      <c r="B2877" s="2" t="n"/>
      <c r="C2877" s="40" t="n"/>
      <c r="D2877" s="52">
        <f t="array" ref="D2877:W2877">IF(All_Students_Scores!C2875:V2875="","",All_Students_Scores!C2875:V2875)</f>
        <v/>
      </c>
      <c r="E2877" s="57" t="str"/>
      <c r="F2877" s="49" t="str"/>
      <c r="G2877" s="59" t="str"/>
      <c r="H2877" s="64" t="str"/>
      <c r="I2877" s="65" t="str"/>
      <c r="J2877" s="49" t="str"/>
      <c r="K2877" s="41" t="str"/>
      <c r="L2877" s="41" t="str"/>
      <c r="M2877" s="41" t="str"/>
      <c r="N2877" s="41" t="str"/>
      <c r="O2877" s="41" t="str"/>
      <c r="P2877" s="41" t="str"/>
      <c r="Q2877" s="41" t="str"/>
      <c r="R2877" s="41" t="str"/>
      <c r="S2877" s="41" t="str"/>
      <c r="T2877" s="41" t="str"/>
      <c r="U2877" s="41" t="str"/>
      <c r="V2877" s="41" t="str"/>
      <c r="W2877" s="41" t="str"/>
    </row>
    <row r="2878">
      <c r="B2878" s="2" t="n"/>
      <c r="C2878" s="40" t="n"/>
      <c r="D2878" s="52">
        <f t="array" ref="D2878:W2878">IF(All_Students_Scores!C2876:V2876="","",All_Students_Scores!C2876:V2876)</f>
        <v/>
      </c>
      <c r="E2878" s="57" t="str"/>
      <c r="F2878" s="49" t="str"/>
      <c r="G2878" s="59" t="str"/>
      <c r="H2878" s="64" t="str"/>
      <c r="I2878" s="65" t="str"/>
      <c r="J2878" s="49" t="str"/>
      <c r="K2878" s="41" t="str"/>
      <c r="L2878" s="41" t="str"/>
      <c r="M2878" s="41" t="str"/>
      <c r="N2878" s="41" t="str"/>
      <c r="O2878" s="41" t="str"/>
      <c r="P2878" s="41" t="str"/>
      <c r="Q2878" s="41" t="str"/>
      <c r="R2878" s="41" t="str"/>
      <c r="S2878" s="41" t="str"/>
      <c r="T2878" s="41" t="str"/>
      <c r="U2878" s="41" t="str"/>
      <c r="V2878" s="41" t="str"/>
      <c r="W2878" s="41" t="str"/>
    </row>
    <row r="2879">
      <c r="B2879" s="2" t="n"/>
      <c r="C2879" s="40" t="n"/>
      <c r="D2879" s="52">
        <f t="array" ref="D2879:W2879">IF(All_Students_Scores!C2877:V2877="","",All_Students_Scores!C2877:V2877)</f>
        <v/>
      </c>
      <c r="E2879" s="57" t="str"/>
      <c r="F2879" s="49" t="str"/>
      <c r="G2879" s="59" t="str"/>
      <c r="H2879" s="64" t="str"/>
      <c r="I2879" s="65" t="str"/>
      <c r="J2879" s="49" t="str"/>
      <c r="K2879" s="41" t="str"/>
      <c r="L2879" s="41" t="str"/>
      <c r="M2879" s="41" t="str"/>
      <c r="N2879" s="41" t="str"/>
      <c r="O2879" s="41" t="str"/>
      <c r="P2879" s="41" t="str"/>
      <c r="Q2879" s="41" t="str"/>
      <c r="R2879" s="41" t="str"/>
      <c r="S2879" s="41" t="str"/>
      <c r="T2879" s="41" t="str"/>
      <c r="U2879" s="41" t="str"/>
      <c r="V2879" s="41" t="str"/>
      <c r="W2879" s="41" t="str"/>
    </row>
    <row r="2880">
      <c r="B2880" s="2" t="n"/>
      <c r="C2880" s="40" t="n"/>
      <c r="D2880" s="52">
        <f t="array" ref="D2880:W2880">IF(All_Students_Scores!C2878:V2878="","",All_Students_Scores!C2878:V2878)</f>
        <v/>
      </c>
      <c r="E2880" s="57" t="str"/>
      <c r="F2880" s="49" t="str"/>
      <c r="G2880" s="59" t="str"/>
      <c r="H2880" s="64" t="str"/>
      <c r="I2880" s="65" t="str"/>
      <c r="J2880" s="49" t="str"/>
      <c r="K2880" s="41" t="str"/>
      <c r="L2880" s="41" t="str"/>
      <c r="M2880" s="41" t="str"/>
      <c r="N2880" s="41" t="str"/>
      <c r="O2880" s="41" t="str"/>
      <c r="P2880" s="41" t="str"/>
      <c r="Q2880" s="41" t="str"/>
      <c r="R2880" s="41" t="str"/>
      <c r="S2880" s="41" t="str"/>
      <c r="T2880" s="41" t="str"/>
      <c r="U2880" s="41" t="str"/>
      <c r="V2880" s="41" t="str"/>
      <c r="W2880" s="41" t="str"/>
    </row>
    <row r="2881">
      <c r="B2881" s="2" t="n"/>
      <c r="C2881" s="40" t="n"/>
      <c r="D2881" s="52">
        <f t="array" ref="D2881:W2881">IF(All_Students_Scores!C2879:V2879="","",All_Students_Scores!C2879:V2879)</f>
        <v/>
      </c>
      <c r="E2881" s="57" t="str"/>
      <c r="F2881" s="49" t="str"/>
      <c r="G2881" s="59" t="str"/>
      <c r="H2881" s="64" t="str"/>
      <c r="I2881" s="65" t="str"/>
      <c r="J2881" s="49" t="str"/>
      <c r="K2881" s="41" t="str"/>
      <c r="L2881" s="41" t="str"/>
      <c r="M2881" s="41" t="str"/>
      <c r="N2881" s="41" t="str"/>
      <c r="O2881" s="41" t="str"/>
      <c r="P2881" s="41" t="str"/>
      <c r="Q2881" s="41" t="str"/>
      <c r="R2881" s="41" t="str"/>
      <c r="S2881" s="41" t="str"/>
      <c r="T2881" s="41" t="str"/>
      <c r="U2881" s="41" t="str"/>
      <c r="V2881" s="41" t="str"/>
      <c r="W2881" s="41" t="str"/>
    </row>
    <row r="2882">
      <c r="B2882" s="2" t="n"/>
      <c r="C2882" s="40" t="n"/>
      <c r="D2882" s="52">
        <f t="array" ref="D2882:W2882">IF(All_Students_Scores!C2880:V2880="","",All_Students_Scores!C2880:V2880)</f>
        <v/>
      </c>
      <c r="E2882" s="57" t="str"/>
      <c r="F2882" s="49" t="str"/>
      <c r="G2882" s="59" t="str"/>
      <c r="H2882" s="64" t="str"/>
      <c r="I2882" s="65" t="str"/>
      <c r="J2882" s="49" t="str"/>
      <c r="K2882" s="41" t="str"/>
      <c r="L2882" s="41" t="str"/>
      <c r="M2882" s="41" t="str"/>
      <c r="N2882" s="41" t="str"/>
      <c r="O2882" s="41" t="str"/>
      <c r="P2882" s="41" t="str"/>
      <c r="Q2882" s="41" t="str"/>
      <c r="R2882" s="41" t="str"/>
      <c r="S2882" s="41" t="str"/>
      <c r="T2882" s="41" t="str"/>
      <c r="U2882" s="41" t="str"/>
      <c r="V2882" s="41" t="str"/>
      <c r="W2882" s="41" t="str"/>
    </row>
    <row r="2883">
      <c r="B2883" s="2" t="n"/>
      <c r="C2883" s="40" t="n"/>
      <c r="D2883" s="52">
        <f t="array" ref="D2883:W2883">IF(All_Students_Scores!C2881:V2881="","",All_Students_Scores!C2881:V2881)</f>
        <v/>
      </c>
      <c r="E2883" s="57" t="str"/>
      <c r="F2883" s="49" t="str"/>
      <c r="G2883" s="59" t="str"/>
      <c r="H2883" s="64" t="str"/>
      <c r="I2883" s="65" t="str"/>
      <c r="J2883" s="49" t="str"/>
      <c r="K2883" s="41" t="str"/>
      <c r="L2883" s="41" t="str"/>
      <c r="M2883" s="41" t="str"/>
      <c r="N2883" s="41" t="str"/>
      <c r="O2883" s="41" t="str"/>
      <c r="P2883" s="41" t="str"/>
      <c r="Q2883" s="41" t="str"/>
      <c r="R2883" s="41" t="str"/>
      <c r="S2883" s="41" t="str"/>
      <c r="T2883" s="41" t="str"/>
      <c r="U2883" s="41" t="str"/>
      <c r="V2883" s="41" t="str"/>
      <c r="W2883" s="41" t="str"/>
    </row>
    <row r="2884">
      <c r="B2884" s="2" t="n"/>
      <c r="C2884" s="40" t="n"/>
      <c r="D2884" s="52">
        <f t="array" ref="D2884:W2884">IF(All_Students_Scores!C2882:V2882="","",All_Students_Scores!C2882:V2882)</f>
        <v/>
      </c>
      <c r="E2884" s="57" t="str"/>
      <c r="F2884" s="49" t="str"/>
      <c r="G2884" s="59" t="str"/>
      <c r="H2884" s="64" t="str"/>
      <c r="I2884" s="65" t="str"/>
      <c r="J2884" s="49" t="str"/>
      <c r="K2884" s="41" t="str"/>
      <c r="L2884" s="41" t="str"/>
      <c r="M2884" s="41" t="str"/>
      <c r="N2884" s="41" t="str"/>
      <c r="O2884" s="41" t="str"/>
      <c r="P2884" s="41" t="str"/>
      <c r="Q2884" s="41" t="str"/>
      <c r="R2884" s="41" t="str"/>
      <c r="S2884" s="41" t="str"/>
      <c r="T2884" s="41" t="str"/>
      <c r="U2884" s="41" t="str"/>
      <c r="V2884" s="41" t="str"/>
      <c r="W2884" s="41" t="str"/>
    </row>
    <row r="2885">
      <c r="B2885" s="2" t="n"/>
      <c r="C2885" s="40" t="n"/>
      <c r="D2885" s="52">
        <f t="array" ref="D2885:W2885">IF(All_Students_Scores!C2883:V2883="","",All_Students_Scores!C2883:V2883)</f>
        <v/>
      </c>
      <c r="E2885" s="57" t="str"/>
      <c r="F2885" s="49" t="str"/>
      <c r="G2885" s="59" t="str"/>
      <c r="H2885" s="64" t="str"/>
      <c r="I2885" s="65" t="str"/>
      <c r="J2885" s="49" t="str"/>
      <c r="K2885" s="41" t="str"/>
      <c r="L2885" s="41" t="str"/>
      <c r="M2885" s="41" t="str"/>
      <c r="N2885" s="41" t="str"/>
      <c r="O2885" s="41" t="str"/>
      <c r="P2885" s="41" t="str"/>
      <c r="Q2885" s="41" t="str"/>
      <c r="R2885" s="41" t="str"/>
      <c r="S2885" s="41" t="str"/>
      <c r="T2885" s="41" t="str"/>
      <c r="U2885" s="41" t="str"/>
      <c r="V2885" s="41" t="str"/>
      <c r="W2885" s="41" t="str"/>
    </row>
    <row r="2886">
      <c r="B2886" s="2" t="n"/>
      <c r="C2886" s="40" t="n"/>
      <c r="D2886" s="52">
        <f t="array" ref="D2886:W2886">IF(All_Students_Scores!C2884:V2884="","",All_Students_Scores!C2884:V2884)</f>
        <v/>
      </c>
      <c r="E2886" s="57" t="str"/>
      <c r="F2886" s="49" t="str"/>
      <c r="G2886" s="59" t="str"/>
      <c r="H2886" s="64" t="str"/>
      <c r="I2886" s="65" t="str"/>
      <c r="J2886" s="49" t="str"/>
      <c r="K2886" s="41" t="str"/>
      <c r="L2886" s="41" t="str"/>
      <c r="M2886" s="41" t="str"/>
      <c r="N2886" s="41" t="str"/>
      <c r="O2886" s="41" t="str"/>
      <c r="P2886" s="41" t="str"/>
      <c r="Q2886" s="41" t="str"/>
      <c r="R2886" s="41" t="str"/>
      <c r="S2886" s="41" t="str"/>
      <c r="T2886" s="41" t="str"/>
      <c r="U2886" s="41" t="str"/>
      <c r="V2886" s="41" t="str"/>
      <c r="W2886" s="41" t="str"/>
    </row>
    <row r="2887">
      <c r="B2887" s="2" t="n"/>
      <c r="C2887" s="40" t="n"/>
      <c r="D2887" s="52">
        <f t="array" ref="D2887:W2887">IF(All_Students_Scores!C2885:V2885="","",All_Students_Scores!C2885:V2885)</f>
        <v/>
      </c>
      <c r="E2887" s="57" t="str"/>
      <c r="F2887" s="49" t="str"/>
      <c r="G2887" s="59" t="str"/>
      <c r="H2887" s="64" t="str"/>
      <c r="I2887" s="65" t="str"/>
      <c r="J2887" s="49" t="str"/>
      <c r="K2887" s="41" t="str"/>
      <c r="L2887" s="41" t="str"/>
      <c r="M2887" s="41" t="str"/>
      <c r="N2887" s="41" t="str"/>
      <c r="O2887" s="41" t="str"/>
      <c r="P2887" s="41" t="str"/>
      <c r="Q2887" s="41" t="str"/>
      <c r="R2887" s="41" t="str"/>
      <c r="S2887" s="41" t="str"/>
      <c r="T2887" s="41" t="str"/>
      <c r="U2887" s="41" t="str"/>
      <c r="V2887" s="41" t="str"/>
      <c r="W2887" s="41" t="str"/>
    </row>
    <row r="2888">
      <c r="B2888" s="2" t="n"/>
      <c r="C2888" s="40" t="n"/>
      <c r="D2888" s="52">
        <f t="array" ref="D2888:W2888">IF(All_Students_Scores!C2886:V2886="","",All_Students_Scores!C2886:V2886)</f>
        <v/>
      </c>
      <c r="E2888" s="57" t="str"/>
      <c r="F2888" s="49" t="str"/>
      <c r="G2888" s="59" t="str"/>
      <c r="H2888" s="64" t="str"/>
      <c r="I2888" s="65" t="str"/>
      <c r="J2888" s="49" t="str"/>
      <c r="K2888" s="41" t="str"/>
      <c r="L2888" s="41" t="str"/>
      <c r="M2888" s="41" t="str"/>
      <c r="N2888" s="41" t="str"/>
      <c r="O2888" s="41" t="str"/>
      <c r="P2888" s="41" t="str"/>
      <c r="Q2888" s="41" t="str"/>
      <c r="R2888" s="41" t="str"/>
      <c r="S2888" s="41" t="str"/>
      <c r="T2888" s="41" t="str"/>
      <c r="U2888" s="41" t="str"/>
      <c r="V2888" s="41" t="str"/>
      <c r="W2888" s="41" t="str"/>
    </row>
    <row r="2889">
      <c r="B2889" s="2" t="n"/>
      <c r="C2889" s="40" t="n"/>
      <c r="D2889" s="52">
        <f t="array" ref="D2889:W2889">IF(All_Students_Scores!C2887:V2887="","",All_Students_Scores!C2887:V2887)</f>
        <v/>
      </c>
      <c r="E2889" s="57" t="str"/>
      <c r="F2889" s="49" t="str"/>
      <c r="G2889" s="59" t="str"/>
      <c r="H2889" s="64" t="str"/>
      <c r="I2889" s="65" t="str"/>
      <c r="J2889" s="49" t="str"/>
      <c r="K2889" s="41" t="str"/>
      <c r="L2889" s="41" t="str"/>
      <c r="M2889" s="41" t="str"/>
      <c r="N2889" s="41" t="str"/>
      <c r="O2889" s="41" t="str"/>
      <c r="P2889" s="41" t="str"/>
      <c r="Q2889" s="41" t="str"/>
      <c r="R2889" s="41" t="str"/>
      <c r="S2889" s="41" t="str"/>
      <c r="T2889" s="41" t="str"/>
      <c r="U2889" s="41" t="str"/>
      <c r="V2889" s="41" t="str"/>
      <c r="W2889" s="41" t="str"/>
    </row>
    <row r="2890">
      <c r="B2890" s="2" t="n"/>
      <c r="C2890" s="40" t="n"/>
      <c r="D2890" s="52">
        <f t="array" ref="D2890:W2890">IF(All_Students_Scores!C2888:V2888="","",All_Students_Scores!C2888:V2888)</f>
        <v/>
      </c>
      <c r="E2890" s="57" t="str"/>
      <c r="F2890" s="49" t="str"/>
      <c r="G2890" s="59" t="str"/>
      <c r="H2890" s="64" t="str"/>
      <c r="I2890" s="65" t="str"/>
      <c r="J2890" s="49" t="str"/>
      <c r="K2890" s="41" t="str"/>
      <c r="L2890" s="41" t="str"/>
      <c r="M2890" s="41" t="str"/>
      <c r="N2890" s="41" t="str"/>
      <c r="O2890" s="41" t="str"/>
      <c r="P2890" s="41" t="str"/>
      <c r="Q2890" s="41" t="str"/>
      <c r="R2890" s="41" t="str"/>
      <c r="S2890" s="41" t="str"/>
      <c r="T2890" s="41" t="str"/>
      <c r="U2890" s="41" t="str"/>
      <c r="V2890" s="41" t="str"/>
      <c r="W2890" s="41" t="str"/>
    </row>
    <row r="2891">
      <c r="B2891" s="2" t="n"/>
      <c r="C2891" s="40" t="n"/>
      <c r="D2891" s="52">
        <f t="array" ref="D2891:W2891">IF(All_Students_Scores!C2889:V2889="","",All_Students_Scores!C2889:V2889)</f>
        <v/>
      </c>
      <c r="E2891" s="57" t="str"/>
      <c r="F2891" s="49" t="str"/>
      <c r="G2891" s="59" t="str"/>
      <c r="H2891" s="64" t="str"/>
      <c r="I2891" s="65" t="str"/>
      <c r="J2891" s="49" t="str"/>
      <c r="K2891" s="41" t="str"/>
      <c r="L2891" s="41" t="str"/>
      <c r="M2891" s="41" t="str"/>
      <c r="N2891" s="41" t="str"/>
      <c r="O2891" s="41" t="str"/>
      <c r="P2891" s="41" t="str"/>
      <c r="Q2891" s="41" t="str"/>
      <c r="R2891" s="41" t="str"/>
      <c r="S2891" s="41" t="str"/>
      <c r="T2891" s="41" t="str"/>
      <c r="U2891" s="41" t="str"/>
      <c r="V2891" s="41" t="str"/>
      <c r="W2891" s="41" t="str"/>
    </row>
    <row r="2892">
      <c r="B2892" s="2" t="n"/>
      <c r="C2892" s="40" t="n"/>
      <c r="D2892" s="52">
        <f t="array" ref="D2892:W2892">IF(All_Students_Scores!C2890:V2890="","",All_Students_Scores!C2890:V2890)</f>
        <v/>
      </c>
      <c r="E2892" s="57" t="str"/>
      <c r="F2892" s="49" t="str"/>
      <c r="G2892" s="59" t="str"/>
      <c r="H2892" s="64" t="str"/>
      <c r="I2892" s="65" t="str"/>
      <c r="J2892" s="49" t="str"/>
      <c r="K2892" s="41" t="str"/>
      <c r="L2892" s="41" t="str"/>
      <c r="M2892" s="41" t="str"/>
      <c r="N2892" s="41" t="str"/>
      <c r="O2892" s="41" t="str"/>
      <c r="P2892" s="41" t="str"/>
      <c r="Q2892" s="41" t="str"/>
      <c r="R2892" s="41" t="str"/>
      <c r="S2892" s="41" t="str"/>
      <c r="T2892" s="41" t="str"/>
      <c r="U2892" s="41" t="str"/>
      <c r="V2892" s="41" t="str"/>
      <c r="W2892" s="41" t="str"/>
    </row>
    <row r="2893">
      <c r="B2893" s="2" t="n"/>
      <c r="C2893" s="40" t="n"/>
      <c r="D2893" s="52">
        <f t="array" ref="D2893:W2893">IF(All_Students_Scores!C2891:V2891="","",All_Students_Scores!C2891:V2891)</f>
        <v/>
      </c>
      <c r="E2893" s="57" t="str"/>
      <c r="F2893" s="49" t="str"/>
      <c r="G2893" s="59" t="str"/>
      <c r="H2893" s="64" t="str"/>
      <c r="I2893" s="65" t="str"/>
      <c r="J2893" s="49" t="str"/>
      <c r="K2893" s="41" t="str"/>
      <c r="L2893" s="41" t="str"/>
      <c r="M2893" s="41" t="str"/>
      <c r="N2893" s="41" t="str"/>
      <c r="O2893" s="41" t="str"/>
      <c r="P2893" s="41" t="str"/>
      <c r="Q2893" s="41" t="str"/>
      <c r="R2893" s="41" t="str"/>
      <c r="S2893" s="41" t="str"/>
      <c r="T2893" s="41" t="str"/>
      <c r="U2893" s="41" t="str"/>
      <c r="V2893" s="41" t="str"/>
      <c r="W2893" s="41" t="str"/>
    </row>
    <row r="2894">
      <c r="B2894" s="2" t="n"/>
      <c r="C2894" s="40" t="n"/>
      <c r="D2894" s="52">
        <f t="array" ref="D2894:W2894">IF(All_Students_Scores!C2892:V2892="","",All_Students_Scores!C2892:V2892)</f>
        <v/>
      </c>
      <c r="E2894" s="57" t="str"/>
      <c r="F2894" s="49" t="str"/>
      <c r="G2894" s="59" t="str"/>
      <c r="H2894" s="64" t="str"/>
      <c r="I2894" s="65" t="str"/>
      <c r="J2894" s="49" t="str"/>
      <c r="K2894" s="41" t="str"/>
      <c r="L2894" s="41" t="str"/>
      <c r="M2894" s="41" t="str"/>
      <c r="N2894" s="41" t="str"/>
      <c r="O2894" s="41" t="str"/>
      <c r="P2894" s="41" t="str"/>
      <c r="Q2894" s="41" t="str"/>
      <c r="R2894" s="41" t="str"/>
      <c r="S2894" s="41" t="str"/>
      <c r="T2894" s="41" t="str"/>
      <c r="U2894" s="41" t="str"/>
      <c r="V2894" s="41" t="str"/>
      <c r="W2894" s="41" t="str"/>
    </row>
    <row r="2895">
      <c r="B2895" s="2" t="n"/>
      <c r="C2895" s="40" t="n"/>
      <c r="D2895" s="52">
        <f t="array" ref="D2895:W2895">IF(All_Students_Scores!C2893:V2893="","",All_Students_Scores!C2893:V2893)</f>
        <v/>
      </c>
      <c r="E2895" s="57" t="str"/>
      <c r="F2895" s="49" t="str"/>
      <c r="G2895" s="59" t="str"/>
      <c r="H2895" s="64" t="str"/>
      <c r="I2895" s="65" t="str"/>
      <c r="J2895" s="49" t="str"/>
      <c r="K2895" s="41" t="str"/>
      <c r="L2895" s="41" t="str"/>
      <c r="M2895" s="41" t="str"/>
      <c r="N2895" s="41" t="str"/>
      <c r="O2895" s="41" t="str"/>
      <c r="P2895" s="41" t="str"/>
      <c r="Q2895" s="41" t="str"/>
      <c r="R2895" s="41" t="str"/>
      <c r="S2895" s="41" t="str"/>
      <c r="T2895" s="41" t="str"/>
      <c r="U2895" s="41" t="str"/>
      <c r="V2895" s="41" t="str"/>
      <c r="W2895" s="41" t="str"/>
    </row>
    <row r="2896">
      <c r="B2896" s="2" t="n"/>
      <c r="C2896" s="40" t="n"/>
      <c r="D2896" s="52">
        <f t="array" ref="D2896:W2896">IF(All_Students_Scores!C2894:V2894="","",All_Students_Scores!C2894:V2894)</f>
        <v/>
      </c>
      <c r="E2896" s="57" t="str"/>
      <c r="F2896" s="49" t="str"/>
      <c r="G2896" s="59" t="str"/>
      <c r="H2896" s="64" t="str"/>
      <c r="I2896" s="65" t="str"/>
      <c r="J2896" s="49" t="str"/>
      <c r="K2896" s="41" t="str"/>
      <c r="L2896" s="41" t="str"/>
      <c r="M2896" s="41" t="str"/>
      <c r="N2896" s="41" t="str"/>
      <c r="O2896" s="41" t="str"/>
      <c r="P2896" s="41" t="str"/>
      <c r="Q2896" s="41" t="str"/>
      <c r="R2896" s="41" t="str"/>
      <c r="S2896" s="41" t="str"/>
      <c r="T2896" s="41" t="str"/>
      <c r="U2896" s="41" t="str"/>
      <c r="V2896" s="41" t="str"/>
      <c r="W2896" s="41" t="str"/>
    </row>
    <row r="2897">
      <c r="B2897" s="2" t="n"/>
      <c r="C2897" s="40" t="n"/>
      <c r="D2897" s="52">
        <f t="array" ref="D2897:W2897">IF(All_Students_Scores!C2895:V2895="","",All_Students_Scores!C2895:V2895)</f>
        <v/>
      </c>
      <c r="E2897" s="57" t="str"/>
      <c r="F2897" s="49" t="str"/>
      <c r="G2897" s="59" t="str"/>
      <c r="H2897" s="64" t="str"/>
      <c r="I2897" s="65" t="str"/>
      <c r="J2897" s="49" t="str"/>
      <c r="K2897" s="41" t="str"/>
      <c r="L2897" s="41" t="str"/>
      <c r="M2897" s="41" t="str"/>
      <c r="N2897" s="41" t="str"/>
      <c r="O2897" s="41" t="str"/>
      <c r="P2897" s="41" t="str"/>
      <c r="Q2897" s="41" t="str"/>
      <c r="R2897" s="41" t="str"/>
      <c r="S2897" s="41" t="str"/>
      <c r="T2897" s="41" t="str"/>
      <c r="U2897" s="41" t="str"/>
      <c r="V2897" s="41" t="str"/>
      <c r="W2897" s="41" t="str"/>
    </row>
    <row r="2898">
      <c r="B2898" s="2" t="n"/>
      <c r="C2898" s="40" t="n"/>
      <c r="D2898" s="52">
        <f t="array" ref="D2898:W2898">IF(All_Students_Scores!C2896:V2896="","",All_Students_Scores!C2896:V2896)</f>
        <v/>
      </c>
      <c r="E2898" s="57" t="str"/>
      <c r="F2898" s="49" t="str"/>
      <c r="G2898" s="59" t="str"/>
      <c r="H2898" s="64" t="str"/>
      <c r="I2898" s="65" t="str"/>
      <c r="J2898" s="49" t="str"/>
      <c r="K2898" s="41" t="str"/>
      <c r="L2898" s="41" t="str"/>
      <c r="M2898" s="41" t="str"/>
      <c r="N2898" s="41" t="str"/>
      <c r="O2898" s="41" t="str"/>
      <c r="P2898" s="41" t="str"/>
      <c r="Q2898" s="41" t="str"/>
      <c r="R2898" s="41" t="str"/>
      <c r="S2898" s="41" t="str"/>
      <c r="T2898" s="41" t="str"/>
      <c r="U2898" s="41" t="str"/>
      <c r="V2898" s="41" t="str"/>
      <c r="W2898" s="41" t="str"/>
    </row>
    <row r="2899">
      <c r="B2899" s="2" t="n"/>
      <c r="C2899" s="40" t="n"/>
      <c r="D2899" s="52">
        <f t="array" ref="D2899:W2899">IF(All_Students_Scores!C2897:V2897="","",All_Students_Scores!C2897:V2897)</f>
        <v/>
      </c>
      <c r="E2899" s="57" t="str"/>
      <c r="F2899" s="49" t="str"/>
      <c r="G2899" s="59" t="str"/>
      <c r="H2899" s="64" t="str"/>
      <c r="I2899" s="65" t="str"/>
      <c r="J2899" s="49" t="str"/>
      <c r="K2899" s="41" t="str"/>
      <c r="L2899" s="41" t="str"/>
      <c r="M2899" s="41" t="str"/>
      <c r="N2899" s="41" t="str"/>
      <c r="O2899" s="41" t="str"/>
      <c r="P2899" s="41" t="str"/>
      <c r="Q2899" s="41" t="str"/>
      <c r="R2899" s="41" t="str"/>
      <c r="S2899" s="41" t="str"/>
      <c r="T2899" s="41" t="str"/>
      <c r="U2899" s="41" t="str"/>
      <c r="V2899" s="41" t="str"/>
      <c r="W2899" s="41" t="str"/>
    </row>
    <row r="2900">
      <c r="B2900" s="2" t="n"/>
      <c r="C2900" s="40" t="n"/>
      <c r="D2900" s="52">
        <f t="array" ref="D2900:W2900">IF(All_Students_Scores!C2898:V2898="","",All_Students_Scores!C2898:V2898)</f>
        <v/>
      </c>
      <c r="E2900" s="57" t="str"/>
      <c r="F2900" s="49" t="str"/>
      <c r="G2900" s="59" t="str"/>
      <c r="H2900" s="64" t="str"/>
      <c r="I2900" s="65" t="str"/>
      <c r="J2900" s="49" t="str"/>
      <c r="K2900" s="41" t="str"/>
      <c r="L2900" s="41" t="str"/>
      <c r="M2900" s="41" t="str"/>
      <c r="N2900" s="41" t="str"/>
      <c r="O2900" s="41" t="str"/>
      <c r="P2900" s="41" t="str"/>
      <c r="Q2900" s="41" t="str"/>
      <c r="R2900" s="41" t="str"/>
      <c r="S2900" s="41" t="str"/>
      <c r="T2900" s="41" t="str"/>
      <c r="U2900" s="41" t="str"/>
      <c r="V2900" s="41" t="str"/>
      <c r="W2900" s="41" t="str"/>
    </row>
    <row r="2901">
      <c r="B2901" s="2" t="n"/>
      <c r="C2901" s="40" t="n"/>
      <c r="D2901" s="52">
        <f t="array" ref="D2901:W2901">IF(All_Students_Scores!C2899:V2899="","",All_Students_Scores!C2899:V2899)</f>
        <v/>
      </c>
      <c r="E2901" s="57" t="str"/>
      <c r="F2901" s="49" t="str"/>
      <c r="G2901" s="59" t="str"/>
      <c r="H2901" s="64" t="str"/>
      <c r="I2901" s="65" t="str"/>
      <c r="J2901" s="49" t="str"/>
      <c r="K2901" s="41" t="str"/>
      <c r="L2901" s="41" t="str"/>
      <c r="M2901" s="41" t="str"/>
      <c r="N2901" s="41" t="str"/>
      <c r="O2901" s="41" t="str"/>
      <c r="P2901" s="41" t="str"/>
      <c r="Q2901" s="41" t="str"/>
      <c r="R2901" s="41" t="str"/>
      <c r="S2901" s="41" t="str"/>
      <c r="T2901" s="41" t="str"/>
      <c r="U2901" s="41" t="str"/>
      <c r="V2901" s="41" t="str"/>
      <c r="W2901" s="41" t="str"/>
    </row>
    <row r="2902">
      <c r="B2902" s="2" t="n"/>
      <c r="C2902" s="40" t="n"/>
      <c r="D2902" s="52">
        <f t="array" ref="D2902:W2902">IF(All_Students_Scores!C2900:V2900="","",All_Students_Scores!C2900:V2900)</f>
        <v/>
      </c>
      <c r="E2902" s="57" t="str"/>
      <c r="F2902" s="49" t="str"/>
      <c r="G2902" s="59" t="str"/>
      <c r="H2902" s="64" t="str"/>
      <c r="I2902" s="65" t="str"/>
      <c r="J2902" s="49" t="str"/>
      <c r="K2902" s="41" t="str"/>
      <c r="L2902" s="41" t="str"/>
      <c r="M2902" s="41" t="str"/>
      <c r="N2902" s="41" t="str"/>
      <c r="O2902" s="41" t="str"/>
      <c r="P2902" s="41" t="str"/>
      <c r="Q2902" s="41" t="str"/>
      <c r="R2902" s="41" t="str"/>
      <c r="S2902" s="41" t="str"/>
      <c r="T2902" s="41" t="str"/>
      <c r="U2902" s="41" t="str"/>
      <c r="V2902" s="41" t="str"/>
      <c r="W2902" s="41" t="str"/>
    </row>
    <row r="2903">
      <c r="B2903" s="2" t="n"/>
      <c r="C2903" s="40" t="n"/>
      <c r="D2903" s="52">
        <f t="array" ref="D2903:W2903">IF(All_Students_Scores!C2901:V2901="","",All_Students_Scores!C2901:V2901)</f>
        <v/>
      </c>
      <c r="E2903" s="57" t="str"/>
      <c r="F2903" s="49" t="str"/>
      <c r="G2903" s="59" t="str"/>
      <c r="H2903" s="64" t="str"/>
      <c r="I2903" s="65" t="str"/>
      <c r="J2903" s="49" t="str"/>
      <c r="K2903" s="41" t="str"/>
      <c r="L2903" s="41" t="str"/>
      <c r="M2903" s="41" t="str"/>
      <c r="N2903" s="41" t="str"/>
      <c r="O2903" s="41" t="str"/>
      <c r="P2903" s="41" t="str"/>
      <c r="Q2903" s="41" t="str"/>
      <c r="R2903" s="41" t="str"/>
      <c r="S2903" s="41" t="str"/>
      <c r="T2903" s="41" t="str"/>
      <c r="U2903" s="41" t="str"/>
      <c r="V2903" s="41" t="str"/>
      <c r="W2903" s="41" t="str"/>
    </row>
    <row r="2904">
      <c r="B2904" s="2" t="n"/>
      <c r="C2904" s="40" t="n"/>
      <c r="D2904" s="52">
        <f t="array" ref="D2904:W2904">IF(All_Students_Scores!C2902:V2902="","",All_Students_Scores!C2902:V2902)</f>
        <v/>
      </c>
      <c r="E2904" s="57" t="str"/>
      <c r="F2904" s="49" t="str"/>
      <c r="G2904" s="59" t="str"/>
      <c r="H2904" s="64" t="str"/>
      <c r="I2904" s="65" t="str"/>
      <c r="J2904" s="49" t="str"/>
      <c r="K2904" s="41" t="str"/>
      <c r="L2904" s="41" t="str"/>
      <c r="M2904" s="41" t="str"/>
      <c r="N2904" s="41" t="str"/>
      <c r="O2904" s="41" t="str"/>
      <c r="P2904" s="41" t="str"/>
      <c r="Q2904" s="41" t="str"/>
      <c r="R2904" s="41" t="str"/>
      <c r="S2904" s="41" t="str"/>
      <c r="T2904" s="41" t="str"/>
      <c r="U2904" s="41" t="str"/>
      <c r="V2904" s="41" t="str"/>
      <c r="W2904" s="41" t="str"/>
    </row>
    <row r="2905">
      <c r="B2905" s="2" t="n"/>
      <c r="C2905" s="40" t="n"/>
      <c r="D2905" s="52">
        <f t="array" ref="D2905:W2905">IF(All_Students_Scores!C2903:V2903="","",All_Students_Scores!C2903:V2903)</f>
        <v/>
      </c>
      <c r="E2905" s="57" t="str"/>
      <c r="F2905" s="49" t="str"/>
      <c r="G2905" s="59" t="str"/>
      <c r="H2905" s="64" t="str"/>
      <c r="I2905" s="65" t="str"/>
      <c r="J2905" s="49" t="str"/>
      <c r="K2905" s="41" t="str"/>
      <c r="L2905" s="41" t="str"/>
      <c r="M2905" s="41" t="str"/>
      <c r="N2905" s="41" t="str"/>
      <c r="O2905" s="41" t="str"/>
      <c r="P2905" s="41" t="str"/>
      <c r="Q2905" s="41" t="str"/>
      <c r="R2905" s="41" t="str"/>
      <c r="S2905" s="41" t="str"/>
      <c r="T2905" s="41" t="str"/>
      <c r="U2905" s="41" t="str"/>
      <c r="V2905" s="41" t="str"/>
      <c r="W2905" s="41" t="str"/>
    </row>
    <row r="2906">
      <c r="B2906" s="2" t="n"/>
      <c r="C2906" s="40" t="n"/>
      <c r="D2906" s="52">
        <f t="array" ref="D2906:W2906">IF(All_Students_Scores!C2904:V2904="","",All_Students_Scores!C2904:V2904)</f>
        <v/>
      </c>
      <c r="E2906" s="57" t="str"/>
      <c r="F2906" s="49" t="str"/>
      <c r="G2906" s="59" t="str"/>
      <c r="H2906" s="64" t="str"/>
      <c r="I2906" s="65" t="str"/>
      <c r="J2906" s="49" t="str"/>
      <c r="K2906" s="41" t="str"/>
      <c r="L2906" s="41" t="str"/>
      <c r="M2906" s="41" t="str"/>
      <c r="N2906" s="41" t="str"/>
      <c r="O2906" s="41" t="str"/>
      <c r="P2906" s="41" t="str"/>
      <c r="Q2906" s="41" t="str"/>
      <c r="R2906" s="41" t="str"/>
      <c r="S2906" s="41" t="str"/>
      <c r="T2906" s="41" t="str"/>
      <c r="U2906" s="41" t="str"/>
      <c r="V2906" s="41" t="str"/>
      <c r="W2906" s="41" t="str"/>
    </row>
    <row r="2907">
      <c r="B2907" s="2" t="n"/>
      <c r="C2907" s="40" t="n"/>
      <c r="D2907" s="52">
        <f t="array" ref="D2907:W2907">IF(All_Students_Scores!C2905:V2905="","",All_Students_Scores!C2905:V2905)</f>
        <v/>
      </c>
      <c r="E2907" s="57" t="str"/>
      <c r="F2907" s="49" t="str"/>
      <c r="G2907" s="59" t="str"/>
      <c r="H2907" s="64" t="str"/>
      <c r="I2907" s="65" t="str"/>
      <c r="J2907" s="49" t="str"/>
      <c r="K2907" s="41" t="str"/>
      <c r="L2907" s="41" t="str"/>
      <c r="M2907" s="41" t="str"/>
      <c r="N2907" s="41" t="str"/>
      <c r="O2907" s="41" t="str"/>
      <c r="P2907" s="41" t="str"/>
      <c r="Q2907" s="41" t="str"/>
      <c r="R2907" s="41" t="str"/>
      <c r="S2907" s="41" t="str"/>
      <c r="T2907" s="41" t="str"/>
      <c r="U2907" s="41" t="str"/>
      <c r="V2907" s="41" t="str"/>
      <c r="W2907" s="41" t="str"/>
    </row>
    <row r="2908">
      <c r="B2908" s="2" t="n"/>
      <c r="C2908" s="40" t="n"/>
      <c r="D2908" s="52">
        <f t="array" ref="D2908:W2908">IF(All_Students_Scores!C2906:V2906="","",All_Students_Scores!C2906:V2906)</f>
        <v/>
      </c>
      <c r="E2908" s="57" t="str"/>
      <c r="F2908" s="49" t="str"/>
      <c r="G2908" s="59" t="str"/>
      <c r="H2908" s="64" t="str"/>
      <c r="I2908" s="65" t="str"/>
      <c r="J2908" s="49" t="str"/>
      <c r="K2908" s="41" t="str"/>
      <c r="L2908" s="41" t="str"/>
      <c r="M2908" s="41" t="str"/>
      <c r="N2908" s="41" t="str"/>
      <c r="O2908" s="41" t="str"/>
      <c r="P2908" s="41" t="str"/>
      <c r="Q2908" s="41" t="str"/>
      <c r="R2908" s="41" t="str"/>
      <c r="S2908" s="41" t="str"/>
      <c r="T2908" s="41" t="str"/>
      <c r="U2908" s="41" t="str"/>
      <c r="V2908" s="41" t="str"/>
      <c r="W2908" s="41" t="str"/>
    </row>
    <row r="2909">
      <c r="B2909" s="2" t="n"/>
      <c r="C2909" s="40" t="n"/>
      <c r="D2909" s="52">
        <f t="array" ref="D2909:W2909">IF(All_Students_Scores!C2907:V2907="","",All_Students_Scores!C2907:V2907)</f>
        <v/>
      </c>
      <c r="E2909" s="57" t="str"/>
      <c r="F2909" s="49" t="str"/>
      <c r="G2909" s="59" t="str"/>
      <c r="H2909" s="64" t="str"/>
      <c r="I2909" s="65" t="str"/>
      <c r="J2909" s="49" t="str"/>
      <c r="K2909" s="41" t="str"/>
      <c r="L2909" s="41" t="str"/>
      <c r="M2909" s="41" t="str"/>
      <c r="N2909" s="41" t="str"/>
      <c r="O2909" s="41" t="str"/>
      <c r="P2909" s="41" t="str"/>
      <c r="Q2909" s="41" t="str"/>
      <c r="R2909" s="41" t="str"/>
      <c r="S2909" s="41" t="str"/>
      <c r="T2909" s="41" t="str"/>
      <c r="U2909" s="41" t="str"/>
      <c r="V2909" s="41" t="str"/>
      <c r="W2909" s="41" t="str"/>
    </row>
    <row r="2910">
      <c r="B2910" s="2" t="n"/>
      <c r="C2910" s="40" t="n"/>
      <c r="D2910" s="52">
        <f t="array" ref="D2910:W2910">IF(All_Students_Scores!C2908:V2908="","",All_Students_Scores!C2908:V2908)</f>
        <v/>
      </c>
      <c r="E2910" s="57" t="str"/>
      <c r="F2910" s="49" t="str"/>
      <c r="G2910" s="59" t="str"/>
      <c r="H2910" s="64" t="str"/>
      <c r="I2910" s="65" t="str"/>
      <c r="J2910" s="49" t="str"/>
      <c r="K2910" s="41" t="str"/>
      <c r="L2910" s="41" t="str"/>
      <c r="M2910" s="41" t="str"/>
      <c r="N2910" s="41" t="str"/>
      <c r="O2910" s="41" t="str"/>
      <c r="P2910" s="41" t="str"/>
      <c r="Q2910" s="41" t="str"/>
      <c r="R2910" s="41" t="str"/>
      <c r="S2910" s="41" t="str"/>
      <c r="T2910" s="41" t="str"/>
      <c r="U2910" s="41" t="str"/>
      <c r="V2910" s="41" t="str"/>
      <c r="W2910" s="41" t="str"/>
    </row>
    <row r="2911">
      <c r="B2911" s="2" t="n"/>
      <c r="C2911" s="40" t="n"/>
      <c r="D2911" s="52">
        <f t="array" ref="D2911:W2911">IF(All_Students_Scores!C2909:V2909="","",All_Students_Scores!C2909:V2909)</f>
        <v/>
      </c>
      <c r="E2911" s="57" t="str"/>
      <c r="F2911" s="49" t="str"/>
      <c r="G2911" s="59" t="str"/>
      <c r="H2911" s="64" t="str"/>
      <c r="I2911" s="65" t="str"/>
      <c r="J2911" s="49" t="str"/>
      <c r="K2911" s="41" t="str"/>
      <c r="L2911" s="41" t="str"/>
      <c r="M2911" s="41" t="str"/>
      <c r="N2911" s="41" t="str"/>
      <c r="O2911" s="41" t="str"/>
      <c r="P2911" s="41" t="str"/>
      <c r="Q2911" s="41" t="str"/>
      <c r="R2911" s="41" t="str"/>
      <c r="S2911" s="41" t="str"/>
      <c r="T2911" s="41" t="str"/>
      <c r="U2911" s="41" t="str"/>
      <c r="V2911" s="41" t="str"/>
      <c r="W2911" s="41" t="str"/>
    </row>
    <row r="2912">
      <c r="B2912" s="2" t="n"/>
      <c r="C2912" s="40" t="n"/>
      <c r="D2912" s="52">
        <f t="array" ref="D2912:W2912">IF(All_Students_Scores!C2910:V2910="","",All_Students_Scores!C2910:V2910)</f>
        <v/>
      </c>
      <c r="E2912" s="57" t="str"/>
      <c r="F2912" s="49" t="str"/>
      <c r="G2912" s="59" t="str"/>
      <c r="H2912" s="64" t="str"/>
      <c r="I2912" s="65" t="str"/>
      <c r="J2912" s="49" t="str"/>
      <c r="K2912" s="41" t="str"/>
      <c r="L2912" s="41" t="str"/>
      <c r="M2912" s="41" t="str"/>
      <c r="N2912" s="41" t="str"/>
      <c r="O2912" s="41" t="str"/>
      <c r="P2912" s="41" t="str"/>
      <c r="Q2912" s="41" t="str"/>
      <c r="R2912" s="41" t="str"/>
      <c r="S2912" s="41" t="str"/>
      <c r="T2912" s="41" t="str"/>
      <c r="U2912" s="41" t="str"/>
      <c r="V2912" s="41" t="str"/>
      <c r="W2912" s="41" t="str"/>
    </row>
    <row r="2913">
      <c r="B2913" s="2" t="n"/>
      <c r="C2913" s="40" t="n"/>
      <c r="D2913" s="52">
        <f t="array" ref="D2913:W2913">IF(All_Students_Scores!C2911:V2911="","",All_Students_Scores!C2911:V2911)</f>
        <v/>
      </c>
      <c r="E2913" s="57" t="str"/>
      <c r="F2913" s="49" t="str"/>
      <c r="G2913" s="59" t="str"/>
      <c r="H2913" s="64" t="str"/>
      <c r="I2913" s="65" t="str"/>
      <c r="J2913" s="49" t="str"/>
      <c r="K2913" s="41" t="str"/>
      <c r="L2913" s="41" t="str"/>
      <c r="M2913" s="41" t="str"/>
      <c r="N2913" s="41" t="str"/>
      <c r="O2913" s="41" t="str"/>
      <c r="P2913" s="41" t="str"/>
      <c r="Q2913" s="41" t="str"/>
      <c r="R2913" s="41" t="str"/>
      <c r="S2913" s="41" t="str"/>
      <c r="T2913" s="41" t="str"/>
      <c r="U2913" s="41" t="str"/>
      <c r="V2913" s="41" t="str"/>
      <c r="W2913" s="41" t="str"/>
    </row>
    <row r="2914">
      <c r="B2914" s="2" t="n"/>
      <c r="C2914" s="40" t="n"/>
      <c r="D2914" s="52">
        <f t="array" ref="D2914:W2914">IF(All_Students_Scores!C2912:V2912="","",All_Students_Scores!C2912:V2912)</f>
        <v/>
      </c>
      <c r="E2914" s="57" t="str"/>
      <c r="F2914" s="49" t="str"/>
      <c r="G2914" s="59" t="str"/>
      <c r="H2914" s="64" t="str"/>
      <c r="I2914" s="65" t="str"/>
      <c r="J2914" s="49" t="str"/>
      <c r="K2914" s="41" t="str"/>
      <c r="L2914" s="41" t="str"/>
      <c r="M2914" s="41" t="str"/>
      <c r="N2914" s="41" t="str"/>
      <c r="O2914" s="41" t="str"/>
      <c r="P2914" s="41" t="str"/>
      <c r="Q2914" s="41" t="str"/>
      <c r="R2914" s="41" t="str"/>
      <c r="S2914" s="41" t="str"/>
      <c r="T2914" s="41" t="str"/>
      <c r="U2914" s="41" t="str"/>
      <c r="V2914" s="41" t="str"/>
      <c r="W2914" s="41" t="str"/>
    </row>
    <row r="2915">
      <c r="B2915" s="2" t="n"/>
      <c r="C2915" s="40" t="n"/>
      <c r="D2915" s="52">
        <f t="array" ref="D2915:W2915">IF(All_Students_Scores!C2913:V2913="","",All_Students_Scores!C2913:V2913)</f>
        <v/>
      </c>
      <c r="E2915" s="57" t="str"/>
      <c r="F2915" s="49" t="str"/>
      <c r="G2915" s="59" t="str"/>
      <c r="H2915" s="64" t="str"/>
      <c r="I2915" s="65" t="str"/>
      <c r="J2915" s="49" t="str"/>
      <c r="K2915" s="41" t="str"/>
      <c r="L2915" s="41" t="str"/>
      <c r="M2915" s="41" t="str"/>
      <c r="N2915" s="41" t="str"/>
      <c r="O2915" s="41" t="str"/>
      <c r="P2915" s="41" t="str"/>
      <c r="Q2915" s="41" t="str"/>
      <c r="R2915" s="41" t="str"/>
      <c r="S2915" s="41" t="str"/>
      <c r="T2915" s="41" t="str"/>
      <c r="U2915" s="41" t="str"/>
      <c r="V2915" s="41" t="str"/>
      <c r="W2915" s="41" t="str"/>
    </row>
    <row r="2916">
      <c r="B2916" s="2" t="n"/>
      <c r="C2916" s="40" t="n"/>
      <c r="D2916" s="52">
        <f t="array" ref="D2916:W2916">IF(All_Students_Scores!C2914:V2914="","",All_Students_Scores!C2914:V2914)</f>
        <v/>
      </c>
      <c r="E2916" s="57" t="str"/>
      <c r="F2916" s="49" t="str"/>
      <c r="G2916" s="59" t="str"/>
      <c r="H2916" s="64" t="str"/>
      <c r="I2916" s="65" t="str"/>
      <c r="J2916" s="49" t="str"/>
      <c r="K2916" s="41" t="str"/>
      <c r="L2916" s="41" t="str"/>
      <c r="M2916" s="41" t="str"/>
      <c r="N2916" s="41" t="str"/>
      <c r="O2916" s="41" t="str"/>
      <c r="P2916" s="41" t="str"/>
      <c r="Q2916" s="41" t="str"/>
      <c r="R2916" s="41" t="str"/>
      <c r="S2916" s="41" t="str"/>
      <c r="T2916" s="41" t="str"/>
      <c r="U2916" s="41" t="str"/>
      <c r="V2916" s="41" t="str"/>
      <c r="W2916" s="41" t="str"/>
    </row>
    <row r="2917">
      <c r="B2917" s="2" t="n"/>
      <c r="C2917" s="40" t="n"/>
      <c r="D2917" s="52">
        <f t="array" ref="D2917:W2917">IF(All_Students_Scores!C2915:V2915="","",All_Students_Scores!C2915:V2915)</f>
        <v/>
      </c>
      <c r="E2917" s="57" t="str"/>
      <c r="F2917" s="49" t="str"/>
      <c r="G2917" s="59" t="str"/>
      <c r="H2917" s="64" t="str"/>
      <c r="I2917" s="65" t="str"/>
      <c r="J2917" s="49" t="str"/>
      <c r="K2917" s="41" t="str"/>
      <c r="L2917" s="41" t="str"/>
      <c r="M2917" s="41" t="str"/>
      <c r="N2917" s="41" t="str"/>
      <c r="O2917" s="41" t="str"/>
      <c r="P2917" s="41" t="str"/>
      <c r="Q2917" s="41" t="str"/>
      <c r="R2917" s="41" t="str"/>
      <c r="S2917" s="41" t="str"/>
      <c r="T2917" s="41" t="str"/>
      <c r="U2917" s="41" t="str"/>
      <c r="V2917" s="41" t="str"/>
      <c r="W2917" s="41" t="str"/>
    </row>
    <row r="2918">
      <c r="B2918" s="2" t="n"/>
      <c r="C2918" s="40" t="n"/>
      <c r="D2918" s="52">
        <f t="array" ref="D2918:W2918">IF(All_Students_Scores!C2916:V2916="","",All_Students_Scores!C2916:V2916)</f>
        <v/>
      </c>
      <c r="E2918" s="57" t="str"/>
      <c r="F2918" s="49" t="str"/>
      <c r="G2918" s="59" t="str"/>
      <c r="H2918" s="64" t="str"/>
      <c r="I2918" s="65" t="str"/>
      <c r="J2918" s="49" t="str"/>
      <c r="K2918" s="41" t="str"/>
      <c r="L2918" s="41" t="str"/>
      <c r="M2918" s="41" t="str"/>
      <c r="N2918" s="41" t="str"/>
      <c r="O2918" s="41" t="str"/>
      <c r="P2918" s="41" t="str"/>
      <c r="Q2918" s="41" t="str"/>
      <c r="R2918" s="41" t="str"/>
      <c r="S2918" s="41" t="str"/>
      <c r="T2918" s="41" t="str"/>
      <c r="U2918" s="41" t="str"/>
      <c r="V2918" s="41" t="str"/>
      <c r="W2918" s="41" t="str"/>
    </row>
    <row r="2919">
      <c r="B2919" s="2" t="n"/>
      <c r="C2919" s="40" t="n"/>
      <c r="D2919" s="52">
        <f t="array" ref="D2919:W2919">IF(All_Students_Scores!C2917:V2917="","",All_Students_Scores!C2917:V2917)</f>
        <v/>
      </c>
      <c r="E2919" s="57" t="str"/>
      <c r="F2919" s="49" t="str"/>
      <c r="G2919" s="59" t="str"/>
      <c r="H2919" s="64" t="str"/>
      <c r="I2919" s="65" t="str"/>
      <c r="J2919" s="49" t="str"/>
      <c r="K2919" s="41" t="str"/>
      <c r="L2919" s="41" t="str"/>
      <c r="M2919" s="41" t="str"/>
      <c r="N2919" s="41" t="str"/>
      <c r="O2919" s="41" t="str"/>
      <c r="P2919" s="41" t="str"/>
      <c r="Q2919" s="41" t="str"/>
      <c r="R2919" s="41" t="str"/>
      <c r="S2919" s="41" t="str"/>
      <c r="T2919" s="41" t="str"/>
      <c r="U2919" s="41" t="str"/>
      <c r="V2919" s="41" t="str"/>
      <c r="W2919" s="41" t="str"/>
    </row>
    <row r="2920">
      <c r="B2920" s="2" t="n"/>
      <c r="C2920" s="40" t="n"/>
      <c r="D2920" s="52">
        <f t="array" ref="D2920:W2920">IF(All_Students_Scores!C2918:V2918="","",All_Students_Scores!C2918:V2918)</f>
        <v/>
      </c>
      <c r="E2920" s="57" t="str"/>
      <c r="F2920" s="49" t="str"/>
      <c r="G2920" s="59" t="str"/>
      <c r="H2920" s="64" t="str"/>
      <c r="I2920" s="65" t="str"/>
      <c r="J2920" s="49" t="str"/>
      <c r="K2920" s="41" t="str"/>
      <c r="L2920" s="41" t="str"/>
      <c r="M2920" s="41" t="str"/>
      <c r="N2920" s="41" t="str"/>
      <c r="O2920" s="41" t="str"/>
      <c r="P2920" s="41" t="str"/>
      <c r="Q2920" s="41" t="str"/>
      <c r="R2920" s="41" t="str"/>
      <c r="S2920" s="41" t="str"/>
      <c r="T2920" s="41" t="str"/>
      <c r="U2920" s="41" t="str"/>
      <c r="V2920" s="41" t="str"/>
      <c r="W2920" s="41" t="str"/>
    </row>
    <row r="2921">
      <c r="B2921" s="2" t="n"/>
      <c r="C2921" s="40" t="n"/>
      <c r="D2921" s="52">
        <f t="array" ref="D2921:W2921">IF(All_Students_Scores!C2919:V2919="","",All_Students_Scores!C2919:V2919)</f>
        <v/>
      </c>
      <c r="E2921" s="57" t="str"/>
      <c r="F2921" s="49" t="str"/>
      <c r="G2921" s="59" t="str"/>
      <c r="H2921" s="64" t="str"/>
      <c r="I2921" s="65" t="str"/>
      <c r="J2921" s="49" t="str"/>
      <c r="K2921" s="41" t="str"/>
      <c r="L2921" s="41" t="str"/>
      <c r="M2921" s="41" t="str"/>
      <c r="N2921" s="41" t="str"/>
      <c r="O2921" s="41" t="str"/>
      <c r="P2921" s="41" t="str"/>
      <c r="Q2921" s="41" t="str"/>
      <c r="R2921" s="41" t="str"/>
      <c r="S2921" s="41" t="str"/>
      <c r="T2921" s="41" t="str"/>
      <c r="U2921" s="41" t="str"/>
      <c r="V2921" s="41" t="str"/>
      <c r="W2921" s="41" t="str"/>
    </row>
    <row r="2922">
      <c r="B2922" s="2" t="n"/>
      <c r="C2922" s="40" t="n"/>
      <c r="D2922" s="52">
        <f t="array" ref="D2922:W2922">IF(All_Students_Scores!C2920:V2920="","",All_Students_Scores!C2920:V2920)</f>
        <v/>
      </c>
      <c r="E2922" s="57" t="str"/>
      <c r="F2922" s="49" t="str"/>
      <c r="G2922" s="59" t="str"/>
      <c r="H2922" s="64" t="str"/>
      <c r="I2922" s="65" t="str"/>
      <c r="J2922" s="49" t="str"/>
      <c r="K2922" s="41" t="str"/>
      <c r="L2922" s="41" t="str"/>
      <c r="M2922" s="41" t="str"/>
      <c r="N2922" s="41" t="str"/>
      <c r="O2922" s="41" t="str"/>
      <c r="P2922" s="41" t="str"/>
      <c r="Q2922" s="41" t="str"/>
      <c r="R2922" s="41" t="str"/>
      <c r="S2922" s="41" t="str"/>
      <c r="T2922" s="41" t="str"/>
      <c r="U2922" s="41" t="str"/>
      <c r="V2922" s="41" t="str"/>
      <c r="W2922" s="41" t="str"/>
    </row>
    <row r="2923">
      <c r="B2923" s="2" t="n"/>
      <c r="C2923" s="40" t="n"/>
      <c r="D2923" s="52">
        <f t="array" ref="D2923:W2923">IF(All_Students_Scores!C2921:V2921="","",All_Students_Scores!C2921:V2921)</f>
        <v/>
      </c>
      <c r="E2923" s="57" t="str"/>
      <c r="F2923" s="49" t="str"/>
      <c r="G2923" s="59" t="str"/>
      <c r="H2923" s="64" t="str"/>
      <c r="I2923" s="65" t="str"/>
      <c r="J2923" s="49" t="str"/>
      <c r="K2923" s="41" t="str"/>
      <c r="L2923" s="41" t="str"/>
      <c r="M2923" s="41" t="str"/>
      <c r="N2923" s="41" t="str"/>
      <c r="O2923" s="41" t="str"/>
      <c r="P2923" s="41" t="str"/>
      <c r="Q2923" s="41" t="str"/>
      <c r="R2923" s="41" t="str"/>
      <c r="S2923" s="41" t="str"/>
      <c r="T2923" s="41" t="str"/>
      <c r="U2923" s="41" t="str"/>
      <c r="V2923" s="41" t="str"/>
      <c r="W2923" s="41" t="str"/>
    </row>
    <row r="2924">
      <c r="B2924" s="2" t="n"/>
      <c r="C2924" s="40" t="n"/>
      <c r="D2924" s="52">
        <f t="array" ref="D2924:W2924">IF(All_Students_Scores!C2922:V2922="","",All_Students_Scores!C2922:V2922)</f>
        <v/>
      </c>
      <c r="E2924" s="57" t="str"/>
      <c r="F2924" s="49" t="str"/>
      <c r="G2924" s="59" t="str"/>
      <c r="H2924" s="64" t="str"/>
      <c r="I2924" s="65" t="str"/>
      <c r="J2924" s="49" t="str"/>
      <c r="K2924" s="41" t="str"/>
      <c r="L2924" s="41" t="str"/>
      <c r="M2924" s="41" t="str"/>
      <c r="N2924" s="41" t="str"/>
      <c r="O2924" s="41" t="str"/>
      <c r="P2924" s="41" t="str"/>
      <c r="Q2924" s="41" t="str"/>
      <c r="R2924" s="41" t="str"/>
      <c r="S2924" s="41" t="str"/>
      <c r="T2924" s="41" t="str"/>
      <c r="U2924" s="41" t="str"/>
      <c r="V2924" s="41" t="str"/>
      <c r="W2924" s="41" t="str"/>
    </row>
    <row r="2925">
      <c r="B2925" s="2" t="n"/>
      <c r="C2925" s="40" t="n"/>
      <c r="D2925" s="52">
        <f t="array" ref="D2925:W2925">IF(All_Students_Scores!C2923:V2923="","",All_Students_Scores!C2923:V2923)</f>
        <v/>
      </c>
      <c r="E2925" s="57" t="str"/>
      <c r="F2925" s="49" t="str"/>
      <c r="G2925" s="59" t="str"/>
      <c r="H2925" s="64" t="str"/>
      <c r="I2925" s="65" t="str"/>
      <c r="J2925" s="49" t="str"/>
      <c r="K2925" s="41" t="str"/>
      <c r="L2925" s="41" t="str"/>
      <c r="M2925" s="41" t="str"/>
      <c r="N2925" s="41" t="str"/>
      <c r="O2925" s="41" t="str"/>
      <c r="P2925" s="41" t="str"/>
      <c r="Q2925" s="41" t="str"/>
      <c r="R2925" s="41" t="str"/>
      <c r="S2925" s="41" t="str"/>
      <c r="T2925" s="41" t="str"/>
      <c r="U2925" s="41" t="str"/>
      <c r="V2925" s="41" t="str"/>
      <c r="W2925" s="41" t="str"/>
    </row>
    <row r="2926">
      <c r="B2926" s="2" t="n"/>
      <c r="C2926" s="40" t="n"/>
      <c r="D2926" s="52">
        <f t="array" ref="D2926:W2926">IF(All_Students_Scores!C2924:V2924="","",All_Students_Scores!C2924:V2924)</f>
        <v/>
      </c>
      <c r="E2926" s="57" t="str"/>
      <c r="F2926" s="49" t="str"/>
      <c r="G2926" s="59" t="str"/>
      <c r="H2926" s="64" t="str"/>
      <c r="I2926" s="65" t="str"/>
      <c r="J2926" s="49" t="str"/>
      <c r="K2926" s="41" t="str"/>
      <c r="L2926" s="41" t="str"/>
      <c r="M2926" s="41" t="str"/>
      <c r="N2926" s="41" t="str"/>
      <c r="O2926" s="41" t="str"/>
      <c r="P2926" s="41" t="str"/>
      <c r="Q2926" s="41" t="str"/>
      <c r="R2926" s="41" t="str"/>
      <c r="S2926" s="41" t="str"/>
      <c r="T2926" s="41" t="str"/>
      <c r="U2926" s="41" t="str"/>
      <c r="V2926" s="41" t="str"/>
      <c r="W2926" s="41" t="str"/>
    </row>
    <row r="2927">
      <c r="B2927" s="2" t="n"/>
      <c r="C2927" s="40" t="n"/>
      <c r="D2927" s="52">
        <f t="array" ref="D2927:W2927">IF(All_Students_Scores!C2925:V2925="","",All_Students_Scores!C2925:V2925)</f>
        <v/>
      </c>
      <c r="E2927" s="57" t="str"/>
      <c r="F2927" s="49" t="str"/>
      <c r="G2927" s="59" t="str"/>
      <c r="H2927" s="64" t="str"/>
      <c r="I2927" s="65" t="str"/>
      <c r="J2927" s="49" t="str"/>
      <c r="K2927" s="41" t="str"/>
      <c r="L2927" s="41" t="str"/>
      <c r="M2927" s="41" t="str"/>
      <c r="N2927" s="41" t="str"/>
      <c r="O2927" s="41" t="str"/>
      <c r="P2927" s="41" t="str"/>
      <c r="Q2927" s="41" t="str"/>
      <c r="R2927" s="41" t="str"/>
      <c r="S2927" s="41" t="str"/>
      <c r="T2927" s="41" t="str"/>
      <c r="U2927" s="41" t="str"/>
      <c r="V2927" s="41" t="str"/>
      <c r="W2927" s="41" t="str"/>
    </row>
    <row r="2928">
      <c r="B2928" s="2" t="n"/>
      <c r="C2928" s="40" t="n"/>
      <c r="D2928" s="52">
        <f t="array" ref="D2928:W2928">IF(All_Students_Scores!C2926:V2926="","",All_Students_Scores!C2926:V2926)</f>
        <v/>
      </c>
      <c r="E2928" s="57" t="str"/>
      <c r="F2928" s="49" t="str"/>
      <c r="G2928" s="59" t="str"/>
      <c r="H2928" s="64" t="str"/>
      <c r="I2928" s="65" t="str"/>
      <c r="J2928" s="49" t="str"/>
      <c r="K2928" s="41" t="str"/>
      <c r="L2928" s="41" t="str"/>
      <c r="M2928" s="41" t="str"/>
      <c r="N2928" s="41" t="str"/>
      <c r="O2928" s="41" t="str"/>
      <c r="P2928" s="41" t="str"/>
      <c r="Q2928" s="41" t="str"/>
      <c r="R2928" s="41" t="str"/>
      <c r="S2928" s="41" t="str"/>
      <c r="T2928" s="41" t="str"/>
      <c r="U2928" s="41" t="str"/>
      <c r="V2928" s="41" t="str"/>
      <c r="W2928" s="41" t="str"/>
    </row>
    <row r="2929">
      <c r="B2929" s="2" t="n"/>
      <c r="C2929" s="40" t="n"/>
      <c r="D2929" s="52">
        <f t="array" ref="D2929:W2929">IF(All_Students_Scores!C2927:V2927="","",All_Students_Scores!C2927:V2927)</f>
        <v/>
      </c>
      <c r="E2929" s="57" t="str"/>
      <c r="F2929" s="49" t="str"/>
      <c r="G2929" s="59" t="str"/>
      <c r="H2929" s="64" t="str"/>
      <c r="I2929" s="65" t="str"/>
      <c r="J2929" s="49" t="str"/>
      <c r="K2929" s="41" t="str"/>
      <c r="L2929" s="41" t="str"/>
      <c r="M2929" s="41" t="str"/>
      <c r="N2929" s="41" t="str"/>
      <c r="O2929" s="41" t="str"/>
      <c r="P2929" s="41" t="str"/>
      <c r="Q2929" s="41" t="str"/>
      <c r="R2929" s="41" t="str"/>
      <c r="S2929" s="41" t="str"/>
      <c r="T2929" s="41" t="str"/>
      <c r="U2929" s="41" t="str"/>
      <c r="V2929" s="41" t="str"/>
      <c r="W2929" s="41" t="str"/>
    </row>
    <row r="2930">
      <c r="B2930" s="2" t="n"/>
      <c r="C2930" s="40" t="n"/>
      <c r="D2930" s="52">
        <f t="array" ref="D2930:W2930">IF(All_Students_Scores!C2928:V2928="","",All_Students_Scores!C2928:V2928)</f>
        <v/>
      </c>
      <c r="E2930" s="57" t="str"/>
      <c r="F2930" s="49" t="str"/>
      <c r="G2930" s="59" t="str"/>
      <c r="H2930" s="64" t="str"/>
      <c r="I2930" s="65" t="str"/>
      <c r="J2930" s="49" t="str"/>
      <c r="K2930" s="41" t="str"/>
      <c r="L2930" s="41" t="str"/>
      <c r="M2930" s="41" t="str"/>
      <c r="N2930" s="41" t="str"/>
      <c r="O2930" s="41" t="str"/>
      <c r="P2930" s="41" t="str"/>
      <c r="Q2930" s="41" t="str"/>
      <c r="R2930" s="41" t="str"/>
      <c r="S2930" s="41" t="str"/>
      <c r="T2930" s="41" t="str"/>
      <c r="U2930" s="41" t="str"/>
      <c r="V2930" s="41" t="str"/>
      <c r="W2930" s="41" t="str"/>
    </row>
    <row r="2931">
      <c r="B2931" s="2" t="n"/>
      <c r="C2931" s="40" t="n"/>
      <c r="D2931" s="52">
        <f t="array" ref="D2931:W2931">IF(All_Students_Scores!C2929:V2929="","",All_Students_Scores!C2929:V2929)</f>
        <v/>
      </c>
      <c r="E2931" s="57" t="str"/>
      <c r="F2931" s="49" t="str"/>
      <c r="G2931" s="59" t="str"/>
      <c r="H2931" s="64" t="str"/>
      <c r="I2931" s="65" t="str"/>
      <c r="J2931" s="49" t="str"/>
      <c r="K2931" s="41" t="str"/>
      <c r="L2931" s="41" t="str"/>
      <c r="M2931" s="41" t="str"/>
      <c r="N2931" s="41" t="str"/>
      <c r="O2931" s="41" t="str"/>
      <c r="P2931" s="41" t="str"/>
      <c r="Q2931" s="41" t="str"/>
      <c r="R2931" s="41" t="str"/>
      <c r="S2931" s="41" t="str"/>
      <c r="T2931" s="41" t="str"/>
      <c r="U2931" s="41" t="str"/>
      <c r="V2931" s="41" t="str"/>
      <c r="W2931" s="41" t="str"/>
    </row>
    <row r="2932">
      <c r="B2932" s="2" t="n"/>
      <c r="C2932" s="40" t="n"/>
      <c r="D2932" s="52">
        <f t="array" ref="D2932:W2932">IF(All_Students_Scores!C2930:V2930="","",All_Students_Scores!C2930:V2930)</f>
        <v/>
      </c>
      <c r="E2932" s="57" t="str"/>
      <c r="F2932" s="49" t="str"/>
      <c r="G2932" s="59" t="str"/>
      <c r="H2932" s="64" t="str"/>
      <c r="I2932" s="65" t="str"/>
      <c r="J2932" s="49" t="str"/>
      <c r="K2932" s="41" t="str"/>
      <c r="L2932" s="41" t="str"/>
      <c r="M2932" s="41" t="str"/>
      <c r="N2932" s="41" t="str"/>
      <c r="O2932" s="41" t="str"/>
      <c r="P2932" s="41" t="str"/>
      <c r="Q2932" s="41" t="str"/>
      <c r="R2932" s="41" t="str"/>
      <c r="S2932" s="41" t="str"/>
      <c r="T2932" s="41" t="str"/>
      <c r="U2932" s="41" t="str"/>
      <c r="V2932" s="41" t="str"/>
      <c r="W2932" s="41" t="str"/>
    </row>
    <row r="2933">
      <c r="B2933" s="2" t="n"/>
      <c r="C2933" s="40" t="n"/>
      <c r="D2933" s="52">
        <f t="array" ref="D2933:W2933">IF(All_Students_Scores!C2931:V2931="","",All_Students_Scores!C2931:V2931)</f>
        <v/>
      </c>
      <c r="E2933" s="57" t="str"/>
      <c r="F2933" s="49" t="str"/>
      <c r="G2933" s="59" t="str"/>
      <c r="H2933" s="64" t="str"/>
      <c r="I2933" s="65" t="str"/>
      <c r="J2933" s="49" t="str"/>
      <c r="K2933" s="41" t="str"/>
      <c r="L2933" s="41" t="str"/>
      <c r="M2933" s="41" t="str"/>
      <c r="N2933" s="41" t="str"/>
      <c r="O2933" s="41" t="str"/>
      <c r="P2933" s="41" t="str"/>
      <c r="Q2933" s="41" t="str"/>
      <c r="R2933" s="41" t="str"/>
      <c r="S2933" s="41" t="str"/>
      <c r="T2933" s="41" t="str"/>
      <c r="U2933" s="41" t="str"/>
      <c r="V2933" s="41" t="str"/>
      <c r="W2933" s="41" t="str"/>
    </row>
    <row r="2934">
      <c r="B2934" s="2" t="n"/>
      <c r="C2934" s="40" t="n"/>
      <c r="D2934" s="52">
        <f t="array" ref="D2934:W2934">IF(All_Students_Scores!C2932:V2932="","",All_Students_Scores!C2932:V2932)</f>
        <v/>
      </c>
      <c r="E2934" s="57" t="str"/>
      <c r="F2934" s="49" t="str"/>
      <c r="G2934" s="59" t="str"/>
      <c r="H2934" s="64" t="str"/>
      <c r="I2934" s="65" t="str"/>
      <c r="J2934" s="49" t="str"/>
      <c r="K2934" s="41" t="str"/>
      <c r="L2934" s="41" t="str"/>
      <c r="M2934" s="41" t="str"/>
      <c r="N2934" s="41" t="str"/>
      <c r="O2934" s="41" t="str"/>
      <c r="P2934" s="41" t="str"/>
      <c r="Q2934" s="41" t="str"/>
      <c r="R2934" s="41" t="str"/>
      <c r="S2934" s="41" t="str"/>
      <c r="T2934" s="41" t="str"/>
      <c r="U2934" s="41" t="str"/>
      <c r="V2934" s="41" t="str"/>
      <c r="W2934" s="41" t="str"/>
    </row>
    <row r="2935">
      <c r="B2935" s="2" t="n"/>
      <c r="C2935" s="40" t="n"/>
      <c r="D2935" s="52">
        <f t="array" ref="D2935:W2935">IF(All_Students_Scores!C2933:V2933="","",All_Students_Scores!C2933:V2933)</f>
        <v/>
      </c>
      <c r="E2935" s="57" t="str"/>
      <c r="F2935" s="49" t="str"/>
      <c r="G2935" s="59" t="str"/>
      <c r="H2935" s="64" t="str"/>
      <c r="I2935" s="65" t="str"/>
      <c r="J2935" s="49" t="str"/>
      <c r="K2935" s="41" t="str"/>
      <c r="L2935" s="41" t="str"/>
      <c r="M2935" s="41" t="str"/>
      <c r="N2935" s="41" t="str"/>
      <c r="O2935" s="41" t="str"/>
      <c r="P2935" s="41" t="str"/>
      <c r="Q2935" s="41" t="str"/>
      <c r="R2935" s="41" t="str"/>
      <c r="S2935" s="41" t="str"/>
      <c r="T2935" s="41" t="str"/>
      <c r="U2935" s="41" t="str"/>
      <c r="V2935" s="41" t="str"/>
      <c r="W2935" s="41" t="str"/>
    </row>
    <row r="2936">
      <c r="B2936" s="2" t="n"/>
      <c r="C2936" s="40" t="n"/>
      <c r="D2936" s="52">
        <f t="array" ref="D2936:W2936">IF(All_Students_Scores!C2934:V2934="","",All_Students_Scores!C2934:V2934)</f>
        <v/>
      </c>
      <c r="E2936" s="57" t="str"/>
      <c r="F2936" s="49" t="str"/>
      <c r="G2936" s="59" t="str"/>
      <c r="H2936" s="64" t="str"/>
      <c r="I2936" s="65" t="str"/>
      <c r="J2936" s="49" t="str"/>
      <c r="K2936" s="41" t="str"/>
      <c r="L2936" s="41" t="str"/>
      <c r="M2936" s="41" t="str"/>
      <c r="N2936" s="41" t="str"/>
      <c r="O2936" s="41" t="str"/>
      <c r="P2936" s="41" t="str"/>
      <c r="Q2936" s="41" t="str"/>
      <c r="R2936" s="41" t="str"/>
      <c r="S2936" s="41" t="str"/>
      <c r="T2936" s="41" t="str"/>
      <c r="U2936" s="41" t="str"/>
      <c r="V2936" s="41" t="str"/>
      <c r="W2936" s="41" t="str"/>
    </row>
    <row r="2937">
      <c r="B2937" s="2" t="n"/>
      <c r="C2937" s="40" t="n"/>
      <c r="D2937" s="52">
        <f t="array" ref="D2937:W2937">IF(All_Students_Scores!C2935:V2935="","",All_Students_Scores!C2935:V2935)</f>
        <v/>
      </c>
      <c r="E2937" s="57" t="str"/>
      <c r="F2937" s="49" t="str"/>
      <c r="G2937" s="59" t="str"/>
      <c r="H2937" s="64" t="str"/>
      <c r="I2937" s="65" t="str"/>
      <c r="J2937" s="49" t="str"/>
      <c r="K2937" s="41" t="str"/>
      <c r="L2937" s="41" t="str"/>
      <c r="M2937" s="41" t="str"/>
      <c r="N2937" s="41" t="str"/>
      <c r="O2937" s="41" t="str"/>
      <c r="P2937" s="41" t="str"/>
      <c r="Q2937" s="41" t="str"/>
      <c r="R2937" s="41" t="str"/>
      <c r="S2937" s="41" t="str"/>
      <c r="T2937" s="41" t="str"/>
      <c r="U2937" s="41" t="str"/>
      <c r="V2937" s="41" t="str"/>
      <c r="W2937" s="41" t="str"/>
    </row>
    <row r="2938">
      <c r="B2938" s="2" t="n"/>
      <c r="C2938" s="40" t="n"/>
      <c r="D2938" s="52">
        <f t="array" ref="D2938:W2938">IF(All_Students_Scores!C2936:V2936="","",All_Students_Scores!C2936:V2936)</f>
        <v/>
      </c>
      <c r="E2938" s="57" t="str"/>
      <c r="F2938" s="49" t="str"/>
      <c r="G2938" s="59" t="str"/>
      <c r="H2938" s="64" t="str"/>
      <c r="I2938" s="65" t="str"/>
      <c r="J2938" s="49" t="str"/>
      <c r="K2938" s="41" t="str"/>
      <c r="L2938" s="41" t="str"/>
      <c r="M2938" s="41" t="str"/>
      <c r="N2938" s="41" t="str"/>
      <c r="O2938" s="41" t="str"/>
      <c r="P2938" s="41" t="str"/>
      <c r="Q2938" s="41" t="str"/>
      <c r="R2938" s="41" t="str"/>
      <c r="S2938" s="41" t="str"/>
      <c r="T2938" s="41" t="str"/>
      <c r="U2938" s="41" t="str"/>
      <c r="V2938" s="41" t="str"/>
      <c r="W2938" s="41" t="str"/>
    </row>
    <row r="2939">
      <c r="B2939" s="2" t="n"/>
      <c r="C2939" s="40" t="n"/>
      <c r="D2939" s="52">
        <f t="array" ref="D2939:W2939">IF(All_Students_Scores!C2937:V2937="","",All_Students_Scores!C2937:V2937)</f>
        <v/>
      </c>
      <c r="E2939" s="57" t="str"/>
      <c r="F2939" s="49" t="str"/>
      <c r="G2939" s="59" t="str"/>
      <c r="H2939" s="64" t="str"/>
      <c r="I2939" s="65" t="str"/>
      <c r="J2939" s="49" t="str"/>
      <c r="K2939" s="41" t="str"/>
      <c r="L2939" s="41" t="str"/>
      <c r="M2939" s="41" t="str"/>
      <c r="N2939" s="41" t="str"/>
      <c r="O2939" s="41" t="str"/>
      <c r="P2939" s="41" t="str"/>
      <c r="Q2939" s="41" t="str"/>
      <c r="R2939" s="41" t="str"/>
      <c r="S2939" s="41" t="str"/>
      <c r="T2939" s="41" t="str"/>
      <c r="U2939" s="41" t="str"/>
      <c r="V2939" s="41" t="str"/>
      <c r="W2939" s="41" t="str"/>
    </row>
    <row r="2940">
      <c r="B2940" s="2" t="n"/>
      <c r="C2940" s="40" t="n"/>
      <c r="D2940" s="52">
        <f t="array" ref="D2940:W2940">IF(All_Students_Scores!C2938:V2938="","",All_Students_Scores!C2938:V2938)</f>
        <v/>
      </c>
      <c r="E2940" s="57" t="str"/>
      <c r="F2940" s="49" t="str"/>
      <c r="G2940" s="59" t="str"/>
      <c r="H2940" s="64" t="str"/>
      <c r="I2940" s="65" t="str"/>
      <c r="J2940" s="49" t="str"/>
      <c r="K2940" s="41" t="str"/>
      <c r="L2940" s="41" t="str"/>
      <c r="M2940" s="41" t="str"/>
      <c r="N2940" s="41" t="str"/>
      <c r="O2940" s="41" t="str"/>
      <c r="P2940" s="41" t="str"/>
      <c r="Q2940" s="41" t="str"/>
      <c r="R2940" s="41" t="str"/>
      <c r="S2940" s="41" t="str"/>
      <c r="T2940" s="41" t="str"/>
      <c r="U2940" s="41" t="str"/>
      <c r="V2940" s="41" t="str"/>
      <c r="W2940" s="41" t="str"/>
    </row>
    <row r="2941">
      <c r="B2941" s="2" t="n"/>
      <c r="C2941" s="40" t="n"/>
      <c r="D2941" s="52">
        <f t="array" ref="D2941:W2941">IF(All_Students_Scores!C2939:V2939="","",All_Students_Scores!C2939:V2939)</f>
        <v/>
      </c>
      <c r="E2941" s="57" t="str"/>
      <c r="F2941" s="49" t="str"/>
      <c r="G2941" s="59" t="str"/>
      <c r="H2941" s="64" t="str"/>
      <c r="I2941" s="65" t="str"/>
      <c r="J2941" s="49" t="str"/>
      <c r="K2941" s="41" t="str"/>
      <c r="L2941" s="41" t="str"/>
      <c r="M2941" s="41" t="str"/>
      <c r="N2941" s="41" t="str"/>
      <c r="O2941" s="41" t="str"/>
      <c r="P2941" s="41" t="str"/>
      <c r="Q2941" s="41" t="str"/>
      <c r="R2941" s="41" t="str"/>
      <c r="S2941" s="41" t="str"/>
      <c r="T2941" s="41" t="str"/>
      <c r="U2941" s="41" t="str"/>
      <c r="V2941" s="41" t="str"/>
      <c r="W2941" s="41" t="str"/>
    </row>
    <row r="2942">
      <c r="B2942" s="2" t="n"/>
      <c r="C2942" s="40" t="n"/>
      <c r="D2942" s="52">
        <f t="array" ref="D2942:W2942">IF(All_Students_Scores!C2940:V2940="","",All_Students_Scores!C2940:V2940)</f>
        <v/>
      </c>
      <c r="E2942" s="57" t="str"/>
      <c r="F2942" s="49" t="str"/>
      <c r="G2942" s="59" t="str"/>
      <c r="H2942" s="64" t="str"/>
      <c r="I2942" s="65" t="str"/>
      <c r="J2942" s="49" t="str"/>
      <c r="K2942" s="41" t="str"/>
      <c r="L2942" s="41" t="str"/>
      <c r="M2942" s="41" t="str"/>
      <c r="N2942" s="41" t="str"/>
      <c r="O2942" s="41" t="str"/>
      <c r="P2942" s="41" t="str"/>
      <c r="Q2942" s="41" t="str"/>
      <c r="R2942" s="41" t="str"/>
      <c r="S2942" s="41" t="str"/>
      <c r="T2942" s="41" t="str"/>
      <c r="U2942" s="41" t="str"/>
      <c r="V2942" s="41" t="str"/>
      <c r="W2942" s="41" t="str"/>
    </row>
    <row r="2943">
      <c r="B2943" s="2" t="n"/>
      <c r="C2943" s="40" t="n"/>
      <c r="D2943" s="52">
        <f t="array" ref="D2943:W2943">IF(All_Students_Scores!C2941:V2941="","",All_Students_Scores!C2941:V2941)</f>
        <v/>
      </c>
      <c r="E2943" s="57" t="str"/>
      <c r="F2943" s="49" t="str"/>
      <c r="G2943" s="59" t="str"/>
      <c r="H2943" s="64" t="str"/>
      <c r="I2943" s="65" t="str"/>
      <c r="J2943" s="49" t="str"/>
      <c r="K2943" s="41" t="str"/>
      <c r="L2943" s="41" t="str"/>
      <c r="M2943" s="41" t="str"/>
      <c r="N2943" s="41" t="str"/>
      <c r="O2943" s="41" t="str"/>
      <c r="P2943" s="41" t="str"/>
      <c r="Q2943" s="41" t="str"/>
      <c r="R2943" s="41" t="str"/>
      <c r="S2943" s="41" t="str"/>
      <c r="T2943" s="41" t="str"/>
      <c r="U2943" s="41" t="str"/>
      <c r="V2943" s="41" t="str"/>
      <c r="W2943" s="41" t="str"/>
    </row>
    <row r="2944">
      <c r="B2944" s="2" t="n"/>
      <c r="C2944" s="40" t="n"/>
      <c r="D2944" s="52">
        <f t="array" ref="D2944:W2944">IF(All_Students_Scores!C2942:V2942="","",All_Students_Scores!C2942:V2942)</f>
        <v/>
      </c>
      <c r="E2944" s="57" t="str"/>
      <c r="F2944" s="49" t="str"/>
      <c r="G2944" s="59" t="str"/>
      <c r="H2944" s="64" t="str"/>
      <c r="I2944" s="65" t="str"/>
      <c r="J2944" s="49" t="str"/>
      <c r="K2944" s="41" t="str"/>
      <c r="L2944" s="41" t="str"/>
      <c r="M2944" s="41" t="str"/>
      <c r="N2944" s="41" t="str"/>
      <c r="O2944" s="41" t="str"/>
      <c r="P2944" s="41" t="str"/>
      <c r="Q2944" s="41" t="str"/>
      <c r="R2944" s="41" t="str"/>
      <c r="S2944" s="41" t="str"/>
      <c r="T2944" s="41" t="str"/>
      <c r="U2944" s="41" t="str"/>
      <c r="V2944" s="41" t="str"/>
      <c r="W2944" s="41" t="str"/>
    </row>
    <row r="2945">
      <c r="B2945" s="2" t="n"/>
      <c r="C2945" s="40" t="n"/>
      <c r="D2945" s="52">
        <f t="array" ref="D2945:W2945">IF(All_Students_Scores!C2943:V2943="","",All_Students_Scores!C2943:V2943)</f>
        <v/>
      </c>
      <c r="E2945" s="57" t="str"/>
      <c r="F2945" s="49" t="str"/>
      <c r="G2945" s="59" t="str"/>
      <c r="H2945" s="64" t="str"/>
      <c r="I2945" s="65" t="str"/>
      <c r="J2945" s="49" t="str"/>
      <c r="K2945" s="41" t="str"/>
      <c r="L2945" s="41" t="str"/>
      <c r="M2945" s="41" t="str"/>
      <c r="N2945" s="41" t="str"/>
      <c r="O2945" s="41" t="str"/>
      <c r="P2945" s="41" t="str"/>
      <c r="Q2945" s="41" t="str"/>
      <c r="R2945" s="41" t="str"/>
      <c r="S2945" s="41" t="str"/>
      <c r="T2945" s="41" t="str"/>
      <c r="U2945" s="41" t="str"/>
      <c r="V2945" s="41" t="str"/>
      <c r="W2945" s="41" t="str"/>
    </row>
    <row r="2946">
      <c r="B2946" s="2" t="n"/>
      <c r="C2946" s="40" t="n"/>
      <c r="D2946" s="52">
        <f t="array" ref="D2946:W2946">IF(All_Students_Scores!C2944:V2944="","",All_Students_Scores!C2944:V2944)</f>
        <v/>
      </c>
      <c r="E2946" s="57" t="str"/>
      <c r="F2946" s="49" t="str"/>
      <c r="G2946" s="59" t="str"/>
      <c r="H2946" s="64" t="str"/>
      <c r="I2946" s="65" t="str"/>
      <c r="J2946" s="49" t="str"/>
      <c r="K2946" s="41" t="str"/>
      <c r="L2946" s="41" t="str"/>
      <c r="M2946" s="41" t="str"/>
      <c r="N2946" s="41" t="str"/>
      <c r="O2946" s="41" t="str"/>
      <c r="P2946" s="41" t="str"/>
      <c r="Q2946" s="41" t="str"/>
      <c r="R2946" s="41" t="str"/>
      <c r="S2946" s="41" t="str"/>
      <c r="T2946" s="41" t="str"/>
      <c r="U2946" s="41" t="str"/>
      <c r="V2946" s="41" t="str"/>
      <c r="W2946" s="41" t="str"/>
    </row>
    <row r="2947">
      <c r="B2947" s="2" t="n"/>
      <c r="C2947" s="40" t="n"/>
      <c r="D2947" s="52">
        <f t="array" ref="D2947:W2947">IF(All_Students_Scores!C2945:V2945="","",All_Students_Scores!C2945:V2945)</f>
        <v/>
      </c>
      <c r="E2947" s="57" t="str"/>
      <c r="F2947" s="49" t="str"/>
      <c r="G2947" s="59" t="str"/>
      <c r="H2947" s="64" t="str"/>
      <c r="I2947" s="65" t="str"/>
      <c r="J2947" s="49" t="str"/>
      <c r="K2947" s="41" t="str"/>
      <c r="L2947" s="41" t="str"/>
      <c r="M2947" s="41" t="str"/>
      <c r="N2947" s="41" t="str"/>
      <c r="O2947" s="41" t="str"/>
      <c r="P2947" s="41" t="str"/>
      <c r="Q2947" s="41" t="str"/>
      <c r="R2947" s="41" t="str"/>
      <c r="S2947" s="41" t="str"/>
      <c r="T2947" s="41" t="str"/>
      <c r="U2947" s="41" t="str"/>
      <c r="V2947" s="41" t="str"/>
      <c r="W2947" s="41" t="str"/>
    </row>
    <row r="2948">
      <c r="B2948" s="2" t="n"/>
      <c r="C2948" s="40" t="n"/>
      <c r="D2948" s="52">
        <f t="array" ref="D2948:W2948">IF(All_Students_Scores!C2946:V2946="","",All_Students_Scores!C2946:V2946)</f>
        <v/>
      </c>
      <c r="E2948" s="57" t="str"/>
      <c r="F2948" s="49" t="str"/>
      <c r="G2948" s="59" t="str"/>
      <c r="H2948" s="64" t="str"/>
      <c r="I2948" s="65" t="str"/>
      <c r="J2948" s="49" t="str"/>
      <c r="K2948" s="41" t="str"/>
      <c r="L2948" s="41" t="str"/>
      <c r="M2948" s="41" t="str"/>
      <c r="N2948" s="41" t="str"/>
      <c r="O2948" s="41" t="str"/>
      <c r="P2948" s="41" t="str"/>
      <c r="Q2948" s="41" t="str"/>
      <c r="R2948" s="41" t="str"/>
      <c r="S2948" s="41" t="str"/>
      <c r="T2948" s="41" t="str"/>
      <c r="U2948" s="41" t="str"/>
      <c r="V2948" s="41" t="str"/>
      <c r="W2948" s="41" t="str"/>
    </row>
    <row r="2949">
      <c r="B2949" s="2" t="n"/>
      <c r="C2949" s="40" t="n"/>
      <c r="D2949" s="52">
        <f t="array" ref="D2949:W2949">IF(All_Students_Scores!C2947:V2947="","",All_Students_Scores!C2947:V2947)</f>
        <v/>
      </c>
      <c r="E2949" s="57" t="str"/>
      <c r="F2949" s="49" t="str"/>
      <c r="G2949" s="59" t="str"/>
      <c r="H2949" s="64" t="str"/>
      <c r="I2949" s="65" t="str"/>
      <c r="J2949" s="49" t="str"/>
      <c r="K2949" s="41" t="str"/>
      <c r="L2949" s="41" t="str"/>
      <c r="M2949" s="41" t="str"/>
      <c r="N2949" s="41" t="str"/>
      <c r="O2949" s="41" t="str"/>
      <c r="P2949" s="41" t="str"/>
      <c r="Q2949" s="41" t="str"/>
      <c r="R2949" s="41" t="str"/>
      <c r="S2949" s="41" t="str"/>
      <c r="T2949" s="41" t="str"/>
      <c r="U2949" s="41" t="str"/>
      <c r="V2949" s="41" t="str"/>
      <c r="W2949" s="41" t="str"/>
    </row>
    <row r="2950">
      <c r="B2950" s="2" t="n"/>
      <c r="C2950" s="40" t="n"/>
      <c r="D2950" s="52">
        <f t="array" ref="D2950:W2950">IF(All_Students_Scores!C2948:V2948="","",All_Students_Scores!C2948:V2948)</f>
        <v/>
      </c>
      <c r="E2950" s="57" t="str"/>
      <c r="F2950" s="49" t="str"/>
      <c r="G2950" s="59" t="str"/>
      <c r="H2950" s="64" t="str"/>
      <c r="I2950" s="65" t="str"/>
      <c r="J2950" s="49" t="str"/>
      <c r="K2950" s="41" t="str"/>
      <c r="L2950" s="41" t="str"/>
      <c r="M2950" s="41" t="str"/>
      <c r="N2950" s="41" t="str"/>
      <c r="O2950" s="41" t="str"/>
      <c r="P2950" s="41" t="str"/>
      <c r="Q2950" s="41" t="str"/>
      <c r="R2950" s="41" t="str"/>
      <c r="S2950" s="41" t="str"/>
      <c r="T2950" s="41" t="str"/>
      <c r="U2950" s="41" t="str"/>
      <c r="V2950" s="41" t="str"/>
      <c r="W2950" s="41" t="str"/>
    </row>
    <row r="2951">
      <c r="B2951" s="2" t="n"/>
      <c r="C2951" s="40" t="n"/>
      <c r="D2951" s="52">
        <f t="array" ref="D2951:W2951">IF(All_Students_Scores!C2949:V2949="","",All_Students_Scores!C2949:V2949)</f>
        <v/>
      </c>
      <c r="E2951" s="57" t="str"/>
      <c r="F2951" s="49" t="str"/>
      <c r="G2951" s="59" t="str"/>
      <c r="H2951" s="64" t="str"/>
      <c r="I2951" s="65" t="str"/>
      <c r="J2951" s="49" t="str"/>
      <c r="K2951" s="41" t="str"/>
      <c r="L2951" s="41" t="str"/>
      <c r="M2951" s="41" t="str"/>
      <c r="N2951" s="41" t="str"/>
      <c r="O2951" s="41" t="str"/>
      <c r="P2951" s="41" t="str"/>
      <c r="Q2951" s="41" t="str"/>
      <c r="R2951" s="41" t="str"/>
      <c r="S2951" s="41" t="str"/>
      <c r="T2951" s="41" t="str"/>
      <c r="U2951" s="41" t="str"/>
      <c r="V2951" s="41" t="str"/>
      <c r="W2951" s="41" t="str"/>
    </row>
    <row r="2952">
      <c r="B2952" s="2" t="n"/>
      <c r="C2952" s="40" t="n"/>
      <c r="D2952" s="52">
        <f t="array" ref="D2952:W2952">IF(All_Students_Scores!C2950:V2950="","",All_Students_Scores!C2950:V2950)</f>
        <v/>
      </c>
      <c r="E2952" s="57" t="str"/>
      <c r="F2952" s="49" t="str"/>
      <c r="G2952" s="59" t="str"/>
      <c r="H2952" s="64" t="str"/>
      <c r="I2952" s="65" t="str"/>
      <c r="J2952" s="49" t="str"/>
      <c r="K2952" s="41" t="str"/>
      <c r="L2952" s="41" t="str"/>
      <c r="M2952" s="41" t="str"/>
      <c r="N2952" s="41" t="str"/>
      <c r="O2952" s="41" t="str"/>
      <c r="P2952" s="41" t="str"/>
      <c r="Q2952" s="41" t="str"/>
      <c r="R2952" s="41" t="str"/>
      <c r="S2952" s="41" t="str"/>
      <c r="T2952" s="41" t="str"/>
      <c r="U2952" s="41" t="str"/>
      <c r="V2952" s="41" t="str"/>
      <c r="W2952" s="41" t="str"/>
    </row>
    <row r="2953">
      <c r="B2953" s="2" t="n"/>
      <c r="C2953" s="40" t="n"/>
      <c r="D2953" s="52">
        <f t="array" ref="D2953:W2953">IF(All_Students_Scores!C2951:V2951="","",All_Students_Scores!C2951:V2951)</f>
        <v/>
      </c>
      <c r="E2953" s="57" t="str"/>
      <c r="F2953" s="49" t="str"/>
      <c r="G2953" s="59" t="str"/>
      <c r="H2953" s="64" t="str"/>
      <c r="I2953" s="65" t="str"/>
      <c r="J2953" s="49" t="str"/>
      <c r="K2953" s="41" t="str"/>
      <c r="L2953" s="41" t="str"/>
      <c r="M2953" s="41" t="str"/>
      <c r="N2953" s="41" t="str"/>
      <c r="O2953" s="41" t="str"/>
      <c r="P2953" s="41" t="str"/>
      <c r="Q2953" s="41" t="str"/>
      <c r="R2953" s="41" t="str"/>
      <c r="S2953" s="41" t="str"/>
      <c r="T2953" s="41" t="str"/>
      <c r="U2953" s="41" t="str"/>
      <c r="V2953" s="41" t="str"/>
      <c r="W2953" s="41" t="str"/>
    </row>
    <row r="2954">
      <c r="B2954" s="2" t="n"/>
      <c r="C2954" s="40" t="n"/>
      <c r="D2954" s="52">
        <f t="array" ref="D2954:W2954">IF(All_Students_Scores!C2952:V2952="","",All_Students_Scores!C2952:V2952)</f>
        <v/>
      </c>
      <c r="E2954" s="57" t="str"/>
      <c r="F2954" s="49" t="str"/>
      <c r="G2954" s="59" t="str"/>
      <c r="H2954" s="64" t="str"/>
      <c r="I2954" s="65" t="str"/>
      <c r="J2954" s="49" t="str"/>
      <c r="K2954" s="41" t="str"/>
      <c r="L2954" s="41" t="str"/>
      <c r="M2954" s="41" t="str"/>
      <c r="N2954" s="41" t="str"/>
      <c r="O2954" s="41" t="str"/>
      <c r="P2954" s="41" t="str"/>
      <c r="Q2954" s="41" t="str"/>
      <c r="R2954" s="41" t="str"/>
      <c r="S2954" s="41" t="str"/>
      <c r="T2954" s="41" t="str"/>
      <c r="U2954" s="41" t="str"/>
      <c r="V2954" s="41" t="str"/>
      <c r="W2954" s="41" t="str"/>
    </row>
    <row r="2955">
      <c r="B2955" s="2" t="n"/>
      <c r="C2955" s="40" t="n"/>
      <c r="D2955" s="52">
        <f t="array" ref="D2955:W2955">IF(All_Students_Scores!C2953:V2953="","",All_Students_Scores!C2953:V2953)</f>
        <v/>
      </c>
      <c r="E2955" s="57" t="str"/>
      <c r="F2955" s="49" t="str"/>
      <c r="G2955" s="59" t="str"/>
      <c r="H2955" s="64" t="str"/>
      <c r="I2955" s="65" t="str"/>
      <c r="J2955" s="49" t="str"/>
      <c r="K2955" s="41" t="str"/>
      <c r="L2955" s="41" t="str"/>
      <c r="M2955" s="41" t="str"/>
      <c r="N2955" s="41" t="str"/>
      <c r="O2955" s="41" t="str"/>
      <c r="P2955" s="41" t="str"/>
      <c r="Q2955" s="41" t="str"/>
      <c r="R2955" s="41" t="str"/>
      <c r="S2955" s="41" t="str"/>
      <c r="T2955" s="41" t="str"/>
      <c r="U2955" s="41" t="str"/>
      <c r="V2955" s="41" t="str"/>
      <c r="W2955" s="41" t="str"/>
    </row>
    <row r="2956">
      <c r="B2956" s="2" t="n"/>
      <c r="C2956" s="40" t="n"/>
      <c r="D2956" s="52">
        <f t="array" ref="D2956:W2956">IF(All_Students_Scores!C2954:V2954="","",All_Students_Scores!C2954:V2954)</f>
        <v/>
      </c>
      <c r="E2956" s="57" t="str"/>
      <c r="F2956" s="49" t="str"/>
      <c r="G2956" s="59" t="str"/>
      <c r="H2956" s="64" t="str"/>
      <c r="I2956" s="65" t="str"/>
      <c r="J2956" s="49" t="str"/>
      <c r="K2956" s="41" t="str"/>
      <c r="L2956" s="41" t="str"/>
      <c r="M2956" s="41" t="str"/>
      <c r="N2956" s="41" t="str"/>
      <c r="O2956" s="41" t="str"/>
      <c r="P2956" s="41" t="str"/>
      <c r="Q2956" s="41" t="str"/>
      <c r="R2956" s="41" t="str"/>
      <c r="S2956" s="41" t="str"/>
      <c r="T2956" s="41" t="str"/>
      <c r="U2956" s="41" t="str"/>
      <c r="V2956" s="41" t="str"/>
      <c r="W2956" s="41" t="str"/>
    </row>
    <row r="2957">
      <c r="B2957" s="2" t="n"/>
      <c r="C2957" s="40" t="n"/>
      <c r="D2957" s="52">
        <f t="array" ref="D2957:W2957">IF(All_Students_Scores!C2955:V2955="","",All_Students_Scores!C2955:V2955)</f>
        <v/>
      </c>
      <c r="E2957" s="57" t="str"/>
      <c r="F2957" s="49" t="str"/>
      <c r="G2957" s="59" t="str"/>
      <c r="H2957" s="64" t="str"/>
      <c r="I2957" s="65" t="str"/>
      <c r="J2957" s="49" t="str"/>
      <c r="K2957" s="41" t="str"/>
      <c r="L2957" s="41" t="str"/>
      <c r="M2957" s="41" t="str"/>
      <c r="N2957" s="41" t="str"/>
      <c r="O2957" s="41" t="str"/>
      <c r="P2957" s="41" t="str"/>
      <c r="Q2957" s="41" t="str"/>
      <c r="R2957" s="41" t="str"/>
      <c r="S2957" s="41" t="str"/>
      <c r="T2957" s="41" t="str"/>
      <c r="U2957" s="41" t="str"/>
      <c r="V2957" s="41" t="str"/>
      <c r="W2957" s="41" t="str"/>
    </row>
    <row r="2958">
      <c r="B2958" s="2" t="n"/>
      <c r="C2958" s="40" t="n"/>
      <c r="D2958" s="52">
        <f t="array" ref="D2958:W2958">IF(All_Students_Scores!C2956:V2956="","",All_Students_Scores!C2956:V2956)</f>
        <v/>
      </c>
      <c r="E2958" s="57" t="str"/>
      <c r="F2958" s="49" t="str"/>
      <c r="G2958" s="59" t="str"/>
      <c r="H2958" s="64" t="str"/>
      <c r="I2958" s="65" t="str"/>
      <c r="J2958" s="49" t="str"/>
      <c r="K2958" s="41" t="str"/>
      <c r="L2958" s="41" t="str"/>
      <c r="M2958" s="41" t="str"/>
      <c r="N2958" s="41" t="str"/>
      <c r="O2958" s="41" t="str"/>
      <c r="P2958" s="41" t="str"/>
      <c r="Q2958" s="41" t="str"/>
      <c r="R2958" s="41" t="str"/>
      <c r="S2958" s="41" t="str"/>
      <c r="T2958" s="41" t="str"/>
      <c r="U2958" s="41" t="str"/>
      <c r="V2958" s="41" t="str"/>
      <c r="W2958" s="41" t="str"/>
    </row>
    <row r="2959">
      <c r="B2959" s="2" t="n"/>
      <c r="C2959" s="40" t="n"/>
      <c r="D2959" s="52">
        <f t="array" ref="D2959:W2959">IF(All_Students_Scores!C2957:V2957="","",All_Students_Scores!C2957:V2957)</f>
        <v/>
      </c>
      <c r="E2959" s="57" t="str"/>
      <c r="F2959" s="49" t="str"/>
      <c r="G2959" s="59" t="str"/>
      <c r="H2959" s="64" t="str"/>
      <c r="I2959" s="65" t="str"/>
      <c r="J2959" s="49" t="str"/>
      <c r="K2959" s="41" t="str"/>
      <c r="L2959" s="41" t="str"/>
      <c r="M2959" s="41" t="str"/>
      <c r="N2959" s="41" t="str"/>
      <c r="O2959" s="41" t="str"/>
      <c r="P2959" s="41" t="str"/>
      <c r="Q2959" s="41" t="str"/>
      <c r="R2959" s="41" t="str"/>
      <c r="S2959" s="41" t="str"/>
      <c r="T2959" s="41" t="str"/>
      <c r="U2959" s="41" t="str"/>
      <c r="V2959" s="41" t="str"/>
      <c r="W2959" s="41" t="str"/>
    </row>
    <row r="2960">
      <c r="B2960" s="2" t="n"/>
      <c r="C2960" s="40" t="n"/>
      <c r="D2960" s="52">
        <f t="array" ref="D2960:W2960">IF(All_Students_Scores!C2958:V2958="","",All_Students_Scores!C2958:V2958)</f>
        <v/>
      </c>
      <c r="E2960" s="57" t="str"/>
      <c r="F2960" s="49" t="str"/>
      <c r="G2960" s="59" t="str"/>
      <c r="H2960" s="64" t="str"/>
      <c r="I2960" s="65" t="str"/>
      <c r="J2960" s="49" t="str"/>
      <c r="K2960" s="41" t="str"/>
      <c r="L2960" s="41" t="str"/>
      <c r="M2960" s="41" t="str"/>
      <c r="N2960" s="41" t="str"/>
      <c r="O2960" s="41" t="str"/>
      <c r="P2960" s="41" t="str"/>
      <c r="Q2960" s="41" t="str"/>
      <c r="R2960" s="41" t="str"/>
      <c r="S2960" s="41" t="str"/>
      <c r="T2960" s="41" t="str"/>
      <c r="U2960" s="41" t="str"/>
      <c r="V2960" s="41" t="str"/>
      <c r="W2960" s="41" t="str"/>
    </row>
    <row r="2961">
      <c r="B2961" s="2" t="n"/>
      <c r="C2961" s="40" t="n"/>
      <c r="D2961" s="52">
        <f t="array" ref="D2961:W2961">IF(All_Students_Scores!C2959:V2959="","",All_Students_Scores!C2959:V2959)</f>
        <v/>
      </c>
      <c r="E2961" s="57" t="str"/>
      <c r="F2961" s="49" t="str"/>
      <c r="G2961" s="59" t="str"/>
      <c r="H2961" s="64" t="str"/>
      <c r="I2961" s="65" t="str"/>
      <c r="J2961" s="49" t="str"/>
      <c r="K2961" s="41" t="str"/>
      <c r="L2961" s="41" t="str"/>
      <c r="M2961" s="41" t="str"/>
      <c r="N2961" s="41" t="str"/>
      <c r="O2961" s="41" t="str"/>
      <c r="P2961" s="41" t="str"/>
      <c r="Q2961" s="41" t="str"/>
      <c r="R2961" s="41" t="str"/>
      <c r="S2961" s="41" t="str"/>
      <c r="T2961" s="41" t="str"/>
      <c r="U2961" s="41" t="str"/>
      <c r="V2961" s="41" t="str"/>
      <c r="W2961" s="41" t="str"/>
    </row>
    <row r="2962">
      <c r="B2962" s="2" t="n"/>
      <c r="C2962" s="40" t="n"/>
      <c r="D2962" s="52">
        <f t="array" ref="D2962:W2962">IF(All_Students_Scores!C2960:V2960="","",All_Students_Scores!C2960:V2960)</f>
        <v/>
      </c>
      <c r="E2962" s="57" t="str"/>
      <c r="F2962" s="49" t="str"/>
      <c r="G2962" s="59" t="str"/>
      <c r="H2962" s="64" t="str"/>
      <c r="I2962" s="65" t="str"/>
      <c r="J2962" s="49" t="str"/>
      <c r="K2962" s="41" t="str"/>
      <c r="L2962" s="41" t="str"/>
      <c r="M2962" s="41" t="str"/>
      <c r="N2962" s="41" t="str"/>
      <c r="O2962" s="41" t="str"/>
      <c r="P2962" s="41" t="str"/>
      <c r="Q2962" s="41" t="str"/>
      <c r="R2962" s="41" t="str"/>
      <c r="S2962" s="41" t="str"/>
      <c r="T2962" s="41" t="str"/>
      <c r="U2962" s="41" t="str"/>
      <c r="V2962" s="41" t="str"/>
      <c r="W2962" s="41" t="str"/>
    </row>
    <row r="2963">
      <c r="B2963" s="2" t="n"/>
      <c r="C2963" s="40" t="n"/>
      <c r="D2963" s="52">
        <f t="array" ref="D2963:W2963">IF(All_Students_Scores!C2961:V2961="","",All_Students_Scores!C2961:V2961)</f>
        <v/>
      </c>
      <c r="E2963" s="57" t="str"/>
      <c r="F2963" s="49" t="str"/>
      <c r="G2963" s="59" t="str"/>
      <c r="H2963" s="64" t="str"/>
      <c r="I2963" s="65" t="str"/>
      <c r="J2963" s="49" t="str"/>
      <c r="K2963" s="41" t="str"/>
      <c r="L2963" s="41" t="str"/>
      <c r="M2963" s="41" t="str"/>
      <c r="N2963" s="41" t="str"/>
      <c r="O2963" s="41" t="str"/>
      <c r="P2963" s="41" t="str"/>
      <c r="Q2963" s="41" t="str"/>
      <c r="R2963" s="41" t="str"/>
      <c r="S2963" s="41" t="str"/>
      <c r="T2963" s="41" t="str"/>
      <c r="U2963" s="41" t="str"/>
      <c r="V2963" s="41" t="str"/>
      <c r="W2963" s="41" t="str"/>
    </row>
    <row r="2964">
      <c r="B2964" s="2" t="n"/>
      <c r="C2964" s="40" t="n"/>
      <c r="D2964" s="52">
        <f t="array" ref="D2964:W2964">IF(All_Students_Scores!C2962:V2962="","",All_Students_Scores!C2962:V2962)</f>
        <v/>
      </c>
      <c r="E2964" s="57" t="str"/>
      <c r="F2964" s="49" t="str"/>
      <c r="G2964" s="59" t="str"/>
      <c r="H2964" s="64" t="str"/>
      <c r="I2964" s="65" t="str"/>
      <c r="J2964" s="49" t="str"/>
      <c r="K2964" s="41" t="str"/>
      <c r="L2964" s="41" t="str"/>
      <c r="M2964" s="41" t="str"/>
      <c r="N2964" s="41" t="str"/>
      <c r="O2964" s="41" t="str"/>
      <c r="P2964" s="41" t="str"/>
      <c r="Q2964" s="41" t="str"/>
      <c r="R2964" s="41" t="str"/>
      <c r="S2964" s="41" t="str"/>
      <c r="T2964" s="41" t="str"/>
      <c r="U2964" s="41" t="str"/>
      <c r="V2964" s="41" t="str"/>
      <c r="W2964" s="41" t="str"/>
    </row>
    <row r="2965">
      <c r="B2965" s="2" t="n"/>
      <c r="C2965" s="40" t="n"/>
      <c r="D2965" s="52">
        <f t="array" ref="D2965:W2965">IF(All_Students_Scores!C2963:V2963="","",All_Students_Scores!C2963:V2963)</f>
        <v/>
      </c>
      <c r="E2965" s="57" t="str"/>
      <c r="F2965" s="49" t="str"/>
      <c r="G2965" s="59" t="str"/>
      <c r="H2965" s="64" t="str"/>
      <c r="I2965" s="65" t="str"/>
      <c r="J2965" s="49" t="str"/>
      <c r="K2965" s="41" t="str"/>
      <c r="L2965" s="41" t="str"/>
      <c r="M2965" s="41" t="str"/>
      <c r="N2965" s="41" t="str"/>
      <c r="O2965" s="41" t="str"/>
      <c r="P2965" s="41" t="str"/>
      <c r="Q2965" s="41" t="str"/>
      <c r="R2965" s="41" t="str"/>
      <c r="S2965" s="41" t="str"/>
      <c r="T2965" s="41" t="str"/>
      <c r="U2965" s="41" t="str"/>
      <c r="V2965" s="41" t="str"/>
      <c r="W2965" s="41" t="str"/>
    </row>
    <row r="2966">
      <c r="B2966" s="2" t="n"/>
      <c r="C2966" s="40" t="n"/>
      <c r="D2966" s="52">
        <f t="array" ref="D2966:W2966">IF(All_Students_Scores!C2964:V2964="","",All_Students_Scores!C2964:V2964)</f>
        <v/>
      </c>
      <c r="E2966" s="57" t="str"/>
      <c r="F2966" s="49" t="str"/>
      <c r="G2966" s="59" t="str"/>
      <c r="H2966" s="64" t="str"/>
      <c r="I2966" s="65" t="str"/>
      <c r="J2966" s="49" t="str"/>
      <c r="K2966" s="41" t="str"/>
      <c r="L2966" s="41" t="str"/>
      <c r="M2966" s="41" t="str"/>
      <c r="N2966" s="41" t="str"/>
      <c r="O2966" s="41" t="str"/>
      <c r="P2966" s="41" t="str"/>
      <c r="Q2966" s="41" t="str"/>
      <c r="R2966" s="41" t="str"/>
      <c r="S2966" s="41" t="str"/>
      <c r="T2966" s="41" t="str"/>
      <c r="U2966" s="41" t="str"/>
      <c r="V2966" s="41" t="str"/>
      <c r="W2966" s="41" t="str"/>
    </row>
    <row r="2967">
      <c r="B2967" s="2" t="n"/>
      <c r="C2967" s="40" t="n"/>
      <c r="D2967" s="52">
        <f t="array" ref="D2967:W2967">IF(All_Students_Scores!C2965:V2965="","",All_Students_Scores!C2965:V2965)</f>
        <v/>
      </c>
      <c r="E2967" s="57" t="str"/>
      <c r="F2967" s="49" t="str"/>
      <c r="G2967" s="59" t="str"/>
      <c r="H2967" s="64" t="str"/>
      <c r="I2967" s="65" t="str"/>
      <c r="J2967" s="49" t="str"/>
      <c r="K2967" s="41" t="str"/>
      <c r="L2967" s="41" t="str"/>
      <c r="M2967" s="41" t="str"/>
      <c r="N2967" s="41" t="str"/>
      <c r="O2967" s="41" t="str"/>
      <c r="P2967" s="41" t="str"/>
      <c r="Q2967" s="41" t="str"/>
      <c r="R2967" s="41" t="str"/>
      <c r="S2967" s="41" t="str"/>
      <c r="T2967" s="41" t="str"/>
      <c r="U2967" s="41" t="str"/>
      <c r="V2967" s="41" t="str"/>
      <c r="W2967" s="41" t="str"/>
    </row>
    <row r="2968">
      <c r="B2968" s="2" t="n"/>
      <c r="C2968" s="40" t="n"/>
      <c r="D2968" s="52">
        <f t="array" ref="D2968:W2968">IF(All_Students_Scores!C2966:V2966="","",All_Students_Scores!C2966:V2966)</f>
        <v/>
      </c>
      <c r="E2968" s="57" t="str"/>
      <c r="F2968" s="49" t="str"/>
      <c r="G2968" s="59" t="str"/>
      <c r="H2968" s="64" t="str"/>
      <c r="I2968" s="65" t="str"/>
      <c r="J2968" s="49" t="str"/>
      <c r="K2968" s="41" t="str"/>
      <c r="L2968" s="41" t="str"/>
      <c r="M2968" s="41" t="str"/>
      <c r="N2968" s="41" t="str"/>
      <c r="O2968" s="41" t="str"/>
      <c r="P2968" s="41" t="str"/>
      <c r="Q2968" s="41" t="str"/>
      <c r="R2968" s="41" t="str"/>
      <c r="S2968" s="41" t="str"/>
      <c r="T2968" s="41" t="str"/>
      <c r="U2968" s="41" t="str"/>
      <c r="V2968" s="41" t="str"/>
      <c r="W2968" s="41" t="str"/>
    </row>
    <row r="2969">
      <c r="B2969" s="2" t="n"/>
      <c r="C2969" s="40" t="n"/>
      <c r="D2969" s="52">
        <f t="array" ref="D2969:W2969">IF(All_Students_Scores!C2967:V2967="","",All_Students_Scores!C2967:V2967)</f>
        <v/>
      </c>
      <c r="E2969" s="57" t="str"/>
      <c r="F2969" s="49" t="str"/>
      <c r="G2969" s="59" t="str"/>
      <c r="H2969" s="64" t="str"/>
      <c r="I2969" s="65" t="str"/>
      <c r="J2969" s="49" t="str"/>
      <c r="K2969" s="41" t="str"/>
      <c r="L2969" s="41" t="str"/>
      <c r="M2969" s="41" t="str"/>
      <c r="N2969" s="41" t="str"/>
      <c r="O2969" s="41" t="str"/>
      <c r="P2969" s="41" t="str"/>
      <c r="Q2969" s="41" t="str"/>
      <c r="R2969" s="41" t="str"/>
      <c r="S2969" s="41" t="str"/>
      <c r="T2969" s="41" t="str"/>
      <c r="U2969" s="41" t="str"/>
      <c r="V2969" s="41" t="str"/>
      <c r="W2969" s="41" t="str"/>
    </row>
    <row r="2970">
      <c r="B2970" s="2" t="n"/>
      <c r="C2970" s="40" t="n"/>
      <c r="D2970" s="52">
        <f t="array" ref="D2970:W2970">IF(All_Students_Scores!C2968:V2968="","",All_Students_Scores!C2968:V2968)</f>
        <v/>
      </c>
      <c r="E2970" s="57" t="str"/>
      <c r="F2970" s="49" t="str"/>
      <c r="G2970" s="59" t="str"/>
      <c r="H2970" s="64" t="str"/>
      <c r="I2970" s="65" t="str"/>
      <c r="J2970" s="49" t="str"/>
      <c r="K2970" s="41" t="str"/>
      <c r="L2970" s="41" t="str"/>
      <c r="M2970" s="41" t="str"/>
      <c r="N2970" s="41" t="str"/>
      <c r="O2970" s="41" t="str"/>
      <c r="P2970" s="41" t="str"/>
      <c r="Q2970" s="41" t="str"/>
      <c r="R2970" s="41" t="str"/>
      <c r="S2970" s="41" t="str"/>
      <c r="T2970" s="41" t="str"/>
      <c r="U2970" s="41" t="str"/>
      <c r="V2970" s="41" t="str"/>
      <c r="W2970" s="41" t="str"/>
    </row>
    <row r="2971">
      <c r="B2971" s="2" t="n"/>
      <c r="C2971" s="40" t="n"/>
      <c r="D2971" s="52">
        <f t="array" ref="D2971:W2971">IF(All_Students_Scores!C2969:V2969="","",All_Students_Scores!C2969:V2969)</f>
        <v/>
      </c>
      <c r="E2971" s="57" t="str"/>
      <c r="F2971" s="49" t="str"/>
      <c r="G2971" s="59" t="str"/>
      <c r="H2971" s="64" t="str"/>
      <c r="I2971" s="65" t="str"/>
      <c r="J2971" s="49" t="str"/>
      <c r="K2971" s="41" t="str"/>
      <c r="L2971" s="41" t="str"/>
      <c r="M2971" s="41" t="str"/>
      <c r="N2971" s="41" t="str"/>
      <c r="O2971" s="41" t="str"/>
      <c r="P2971" s="41" t="str"/>
      <c r="Q2971" s="41" t="str"/>
      <c r="R2971" s="41" t="str"/>
      <c r="S2971" s="41" t="str"/>
      <c r="T2971" s="41" t="str"/>
      <c r="U2971" s="41" t="str"/>
      <c r="V2971" s="41" t="str"/>
      <c r="W2971" s="41" t="str"/>
    </row>
    <row r="2972">
      <c r="B2972" s="2" t="n"/>
      <c r="C2972" s="40" t="n"/>
      <c r="D2972" s="52">
        <f t="array" ref="D2972:W2972">IF(All_Students_Scores!C2970:V2970="","",All_Students_Scores!C2970:V2970)</f>
        <v/>
      </c>
      <c r="E2972" s="57" t="str"/>
      <c r="F2972" s="49" t="str"/>
      <c r="G2972" s="59" t="str"/>
      <c r="H2972" s="64" t="str"/>
      <c r="I2972" s="65" t="str"/>
      <c r="J2972" s="49" t="str"/>
      <c r="K2972" s="41" t="str"/>
      <c r="L2972" s="41" t="str"/>
      <c r="M2972" s="41" t="str"/>
      <c r="N2972" s="41" t="str"/>
      <c r="O2972" s="41" t="str"/>
      <c r="P2972" s="41" t="str"/>
      <c r="Q2972" s="41" t="str"/>
      <c r="R2972" s="41" t="str"/>
      <c r="S2972" s="41" t="str"/>
      <c r="T2972" s="41" t="str"/>
      <c r="U2972" s="41" t="str"/>
      <c r="V2972" s="41" t="str"/>
      <c r="W2972" s="41" t="str"/>
    </row>
    <row r="2973">
      <c r="B2973" s="2" t="n"/>
      <c r="C2973" s="40" t="n"/>
      <c r="D2973" s="52">
        <f t="array" ref="D2973:W2973">IF(All_Students_Scores!C2971:V2971="","",All_Students_Scores!C2971:V2971)</f>
        <v/>
      </c>
      <c r="E2973" s="57" t="str"/>
      <c r="F2973" s="49" t="str"/>
      <c r="G2973" s="59" t="str"/>
      <c r="H2973" s="64" t="str"/>
      <c r="I2973" s="65" t="str"/>
      <c r="J2973" s="49" t="str"/>
      <c r="K2973" s="41" t="str"/>
      <c r="L2973" s="41" t="str"/>
      <c r="M2973" s="41" t="str"/>
      <c r="N2973" s="41" t="str"/>
      <c r="O2973" s="41" t="str"/>
      <c r="P2973" s="41" t="str"/>
      <c r="Q2973" s="41" t="str"/>
      <c r="R2973" s="41" t="str"/>
      <c r="S2973" s="41" t="str"/>
      <c r="T2973" s="41" t="str"/>
      <c r="U2973" s="41" t="str"/>
      <c r="V2973" s="41" t="str"/>
      <c r="W2973" s="41" t="str"/>
    </row>
    <row r="2974">
      <c r="B2974" s="2" t="n"/>
      <c r="C2974" s="40" t="n"/>
      <c r="D2974" s="52">
        <f t="array" ref="D2974:W2974">IF(All_Students_Scores!C2972:V2972="","",All_Students_Scores!C2972:V2972)</f>
        <v/>
      </c>
      <c r="E2974" s="57" t="str"/>
      <c r="F2974" s="49" t="str"/>
      <c r="G2974" s="59" t="str"/>
      <c r="H2974" s="64" t="str"/>
      <c r="I2974" s="65" t="str"/>
      <c r="J2974" s="49" t="str"/>
      <c r="K2974" s="41" t="str"/>
      <c r="L2974" s="41" t="str"/>
      <c r="M2974" s="41" t="str"/>
      <c r="N2974" s="41" t="str"/>
      <c r="O2974" s="41" t="str"/>
      <c r="P2974" s="41" t="str"/>
      <c r="Q2974" s="41" t="str"/>
      <c r="R2974" s="41" t="str"/>
      <c r="S2974" s="41" t="str"/>
      <c r="T2974" s="41" t="str"/>
      <c r="U2974" s="41" t="str"/>
      <c r="V2974" s="41" t="str"/>
      <c r="W2974" s="41" t="str"/>
    </row>
    <row r="2975">
      <c r="B2975" s="2" t="n"/>
      <c r="C2975" s="40" t="n"/>
      <c r="D2975" s="52">
        <f t="array" ref="D2975:W2975">IF(All_Students_Scores!C2973:V2973="","",All_Students_Scores!C2973:V2973)</f>
        <v/>
      </c>
      <c r="E2975" s="57" t="str"/>
      <c r="F2975" s="49" t="str"/>
      <c r="G2975" s="59" t="str"/>
      <c r="H2975" s="64" t="str"/>
      <c r="I2975" s="65" t="str"/>
      <c r="J2975" s="49" t="str"/>
      <c r="K2975" s="41" t="str"/>
      <c r="L2975" s="41" t="str"/>
      <c r="M2975" s="41" t="str"/>
      <c r="N2975" s="41" t="str"/>
      <c r="O2975" s="41" t="str"/>
      <c r="P2975" s="41" t="str"/>
      <c r="Q2975" s="41" t="str"/>
      <c r="R2975" s="41" t="str"/>
      <c r="S2975" s="41" t="str"/>
      <c r="T2975" s="41" t="str"/>
      <c r="U2975" s="41" t="str"/>
      <c r="V2975" s="41" t="str"/>
      <c r="W2975" s="41" t="str"/>
    </row>
    <row r="2976">
      <c r="B2976" s="2" t="n"/>
      <c r="C2976" s="40" t="n"/>
      <c r="D2976" s="52">
        <f t="array" ref="D2976:W2976">IF(All_Students_Scores!C2974:V2974="","",All_Students_Scores!C2974:V2974)</f>
        <v/>
      </c>
      <c r="E2976" s="57" t="str"/>
      <c r="F2976" s="49" t="str"/>
      <c r="G2976" s="59" t="str"/>
      <c r="H2976" s="64" t="str"/>
      <c r="I2976" s="65" t="str"/>
      <c r="J2976" s="49" t="str"/>
      <c r="K2976" s="41" t="str"/>
      <c r="L2976" s="41" t="str"/>
      <c r="M2976" s="41" t="str"/>
      <c r="N2976" s="41" t="str"/>
      <c r="O2976" s="41" t="str"/>
      <c r="P2976" s="41" t="str"/>
      <c r="Q2976" s="41" t="str"/>
      <c r="R2976" s="41" t="str"/>
      <c r="S2976" s="41" t="str"/>
      <c r="T2976" s="41" t="str"/>
      <c r="U2976" s="41" t="str"/>
      <c r="V2976" s="41" t="str"/>
      <c r="W2976" s="41" t="str"/>
    </row>
    <row r="2977">
      <c r="B2977" s="2" t="n"/>
      <c r="C2977" s="40" t="n"/>
      <c r="D2977" s="52">
        <f t="array" ref="D2977:W2977">IF(All_Students_Scores!C2975:V2975="","",All_Students_Scores!C2975:V2975)</f>
        <v/>
      </c>
      <c r="E2977" s="57" t="str"/>
      <c r="F2977" s="49" t="str"/>
      <c r="G2977" s="59" t="str"/>
      <c r="H2977" s="64" t="str"/>
      <c r="I2977" s="65" t="str"/>
      <c r="J2977" s="49" t="str"/>
      <c r="K2977" s="41" t="str"/>
      <c r="L2977" s="41" t="str"/>
      <c r="M2977" s="41" t="str"/>
      <c r="N2977" s="41" t="str"/>
      <c r="O2977" s="41" t="str"/>
      <c r="P2977" s="41" t="str"/>
      <c r="Q2977" s="41" t="str"/>
      <c r="R2977" s="41" t="str"/>
      <c r="S2977" s="41" t="str"/>
      <c r="T2977" s="41" t="str"/>
      <c r="U2977" s="41" t="str"/>
      <c r="V2977" s="41" t="str"/>
      <c r="W2977" s="41" t="str"/>
    </row>
    <row r="2978">
      <c r="B2978" s="2" t="n"/>
      <c r="C2978" s="40" t="n"/>
      <c r="D2978" s="52">
        <f t="array" ref="D2978:W2978">IF(All_Students_Scores!C2976:V2976="","",All_Students_Scores!C2976:V2976)</f>
        <v/>
      </c>
      <c r="E2978" s="57" t="str"/>
      <c r="F2978" s="49" t="str"/>
      <c r="G2978" s="59" t="str"/>
      <c r="H2978" s="64" t="str"/>
      <c r="I2978" s="65" t="str"/>
      <c r="J2978" s="49" t="str"/>
      <c r="K2978" s="41" t="str"/>
      <c r="L2978" s="41" t="str"/>
      <c r="M2978" s="41" t="str"/>
      <c r="N2978" s="41" t="str"/>
      <c r="O2978" s="41" t="str"/>
      <c r="P2978" s="41" t="str"/>
      <c r="Q2978" s="41" t="str"/>
      <c r="R2978" s="41" t="str"/>
      <c r="S2978" s="41" t="str"/>
      <c r="T2978" s="41" t="str"/>
      <c r="U2978" s="41" t="str"/>
      <c r="V2978" s="41" t="str"/>
      <c r="W2978" s="41" t="str"/>
    </row>
    <row r="2979">
      <c r="B2979" s="2" t="n"/>
      <c r="C2979" s="40" t="n"/>
      <c r="D2979" s="52">
        <f t="array" ref="D2979:W2979">IF(All_Students_Scores!C2977:V2977="","",All_Students_Scores!C2977:V2977)</f>
        <v/>
      </c>
      <c r="E2979" s="57" t="str"/>
      <c r="F2979" s="49" t="str"/>
      <c r="G2979" s="59" t="str"/>
      <c r="H2979" s="64" t="str"/>
      <c r="I2979" s="65" t="str"/>
      <c r="J2979" s="49" t="str"/>
      <c r="K2979" s="41" t="str"/>
      <c r="L2979" s="41" t="str"/>
      <c r="M2979" s="41" t="str"/>
      <c r="N2979" s="41" t="str"/>
      <c r="O2979" s="41" t="str"/>
      <c r="P2979" s="41" t="str"/>
      <c r="Q2979" s="41" t="str"/>
      <c r="R2979" s="41" t="str"/>
      <c r="S2979" s="41" t="str"/>
      <c r="T2979" s="41" t="str"/>
      <c r="U2979" s="41" t="str"/>
      <c r="V2979" s="41" t="str"/>
      <c r="W2979" s="41" t="str"/>
    </row>
    <row r="2980">
      <c r="B2980" s="2" t="n"/>
      <c r="C2980" s="40" t="n"/>
      <c r="D2980" s="52">
        <f t="array" ref="D2980:W2980">IF(All_Students_Scores!C2978:V2978="","",All_Students_Scores!C2978:V2978)</f>
        <v/>
      </c>
      <c r="E2980" s="57" t="str"/>
      <c r="F2980" s="49" t="str"/>
      <c r="G2980" s="59" t="str"/>
      <c r="H2980" s="64" t="str"/>
      <c r="I2980" s="65" t="str"/>
      <c r="J2980" s="49" t="str"/>
      <c r="K2980" s="41" t="str"/>
      <c r="L2980" s="41" t="str"/>
      <c r="M2980" s="41" t="str"/>
      <c r="N2980" s="41" t="str"/>
      <c r="O2980" s="41" t="str"/>
      <c r="P2980" s="41" t="str"/>
      <c r="Q2980" s="41" t="str"/>
      <c r="R2980" s="41" t="str"/>
      <c r="S2980" s="41" t="str"/>
      <c r="T2980" s="41" t="str"/>
      <c r="U2980" s="41" t="str"/>
      <c r="V2980" s="41" t="str"/>
      <c r="W2980" s="41" t="str"/>
    </row>
    <row r="2981">
      <c r="B2981" s="2" t="n"/>
      <c r="C2981" s="40" t="n"/>
      <c r="D2981" s="52">
        <f t="array" ref="D2981:W2981">IF(All_Students_Scores!C2979:V2979="","",All_Students_Scores!C2979:V2979)</f>
        <v/>
      </c>
      <c r="E2981" s="57" t="str"/>
      <c r="F2981" s="49" t="str"/>
      <c r="G2981" s="59" t="str"/>
      <c r="H2981" s="64" t="str"/>
      <c r="I2981" s="65" t="str"/>
      <c r="J2981" s="49" t="str"/>
      <c r="K2981" s="41" t="str"/>
      <c r="L2981" s="41" t="str"/>
      <c r="M2981" s="41" t="str"/>
      <c r="N2981" s="41" t="str"/>
      <c r="O2981" s="41" t="str"/>
      <c r="P2981" s="41" t="str"/>
      <c r="Q2981" s="41" t="str"/>
      <c r="R2981" s="41" t="str"/>
      <c r="S2981" s="41" t="str"/>
      <c r="T2981" s="41" t="str"/>
      <c r="U2981" s="41" t="str"/>
      <c r="V2981" s="41" t="str"/>
      <c r="W2981" s="41" t="str"/>
    </row>
    <row r="2982">
      <c r="B2982" s="2" t="n"/>
      <c r="C2982" s="40" t="n"/>
      <c r="D2982" s="52">
        <f t="array" ref="D2982:W2982">IF(All_Students_Scores!C2980:V2980="","",All_Students_Scores!C2980:V2980)</f>
        <v/>
      </c>
      <c r="E2982" s="57" t="str"/>
      <c r="F2982" s="49" t="str"/>
      <c r="G2982" s="59" t="str"/>
      <c r="H2982" s="64" t="str"/>
      <c r="I2982" s="65" t="str"/>
      <c r="J2982" s="49" t="str"/>
      <c r="K2982" s="41" t="str"/>
      <c r="L2982" s="41" t="str"/>
      <c r="M2982" s="41" t="str"/>
      <c r="N2982" s="41" t="str"/>
      <c r="O2982" s="41" t="str"/>
      <c r="P2982" s="41" t="str"/>
      <c r="Q2982" s="41" t="str"/>
      <c r="R2982" s="41" t="str"/>
      <c r="S2982" s="41" t="str"/>
      <c r="T2982" s="41" t="str"/>
      <c r="U2982" s="41" t="str"/>
      <c r="V2982" s="41" t="str"/>
      <c r="W2982" s="41" t="str"/>
    </row>
    <row r="2983">
      <c r="B2983" s="2" t="n"/>
      <c r="C2983" s="40" t="n"/>
      <c r="D2983" s="52">
        <f t="array" ref="D2983:W2983">IF(All_Students_Scores!C2981:V2981="","",All_Students_Scores!C2981:V2981)</f>
        <v/>
      </c>
      <c r="E2983" s="57" t="str"/>
      <c r="F2983" s="49" t="str"/>
      <c r="G2983" s="59" t="str"/>
      <c r="H2983" s="64" t="str"/>
      <c r="I2983" s="65" t="str"/>
      <c r="J2983" s="49" t="str"/>
      <c r="K2983" s="41" t="str"/>
      <c r="L2983" s="41" t="str"/>
      <c r="M2983" s="41" t="str"/>
      <c r="N2983" s="41" t="str"/>
      <c r="O2983" s="41" t="str"/>
      <c r="P2983" s="41" t="str"/>
      <c r="Q2983" s="41" t="str"/>
      <c r="R2983" s="41" t="str"/>
      <c r="S2983" s="41" t="str"/>
      <c r="T2983" s="41" t="str"/>
      <c r="U2983" s="41" t="str"/>
      <c r="V2983" s="41" t="str"/>
      <c r="W2983" s="41" t="str"/>
    </row>
    <row r="2984">
      <c r="B2984" s="2" t="n"/>
      <c r="C2984" s="40" t="n"/>
      <c r="D2984" s="52">
        <f t="array" ref="D2984:W2984">IF(All_Students_Scores!C2982:V2982="","",All_Students_Scores!C2982:V2982)</f>
        <v/>
      </c>
      <c r="E2984" s="57" t="str"/>
      <c r="F2984" s="49" t="str"/>
      <c r="G2984" s="59" t="str"/>
      <c r="H2984" s="64" t="str"/>
      <c r="I2984" s="65" t="str"/>
      <c r="J2984" s="49" t="str"/>
      <c r="K2984" s="41" t="str"/>
      <c r="L2984" s="41" t="str"/>
      <c r="M2984" s="41" t="str"/>
      <c r="N2984" s="41" t="str"/>
      <c r="O2984" s="41" t="str"/>
      <c r="P2984" s="41" t="str"/>
      <c r="Q2984" s="41" t="str"/>
      <c r="R2984" s="41" t="str"/>
      <c r="S2984" s="41" t="str"/>
      <c r="T2984" s="41" t="str"/>
      <c r="U2984" s="41" t="str"/>
      <c r="V2984" s="41" t="str"/>
      <c r="W2984" s="41" t="str"/>
    </row>
    <row r="2985">
      <c r="B2985" s="2" t="n"/>
      <c r="C2985" s="40" t="n"/>
      <c r="D2985" s="52">
        <f t="array" ref="D2985:W2985">IF(All_Students_Scores!C2983:V2983="","",All_Students_Scores!C2983:V2983)</f>
        <v/>
      </c>
      <c r="E2985" s="57" t="str"/>
      <c r="F2985" s="49" t="str"/>
      <c r="G2985" s="59" t="str"/>
      <c r="H2985" s="64" t="str"/>
      <c r="I2985" s="65" t="str"/>
      <c r="J2985" s="49" t="str"/>
      <c r="K2985" s="41" t="str"/>
      <c r="L2985" s="41" t="str"/>
      <c r="M2985" s="41" t="str"/>
      <c r="N2985" s="41" t="str"/>
      <c r="O2985" s="41" t="str"/>
      <c r="P2985" s="41" t="str"/>
      <c r="Q2985" s="41" t="str"/>
      <c r="R2985" s="41" t="str"/>
      <c r="S2985" s="41" t="str"/>
      <c r="T2985" s="41" t="str"/>
      <c r="U2985" s="41" t="str"/>
      <c r="V2985" s="41" t="str"/>
      <c r="W2985" s="41" t="str"/>
    </row>
    <row r="2986">
      <c r="B2986" s="2" t="n"/>
      <c r="C2986" s="40" t="n"/>
      <c r="D2986" s="52">
        <f t="array" ref="D2986:W2986">IF(All_Students_Scores!C2984:V2984="","",All_Students_Scores!C2984:V2984)</f>
        <v/>
      </c>
      <c r="E2986" s="57" t="str"/>
      <c r="F2986" s="49" t="str"/>
      <c r="G2986" s="59" t="str"/>
      <c r="H2986" s="64" t="str"/>
      <c r="I2986" s="65" t="str"/>
      <c r="J2986" s="49" t="str"/>
      <c r="K2986" s="41" t="str"/>
      <c r="L2986" s="41" t="str"/>
      <c r="M2986" s="41" t="str"/>
      <c r="N2986" s="41" t="str"/>
      <c r="O2986" s="41" t="str"/>
      <c r="P2986" s="41" t="str"/>
      <c r="Q2986" s="41" t="str"/>
      <c r="R2986" s="41" t="str"/>
      <c r="S2986" s="41" t="str"/>
      <c r="T2986" s="41" t="str"/>
      <c r="U2986" s="41" t="str"/>
      <c r="V2986" s="41" t="str"/>
      <c r="W2986" s="41" t="str"/>
    </row>
    <row r="2987">
      <c r="B2987" s="2" t="n"/>
      <c r="C2987" s="40" t="n"/>
      <c r="D2987" s="52">
        <f t="array" ref="D2987:W2987">IF(All_Students_Scores!C2985:V2985="","",All_Students_Scores!C2985:V2985)</f>
        <v/>
      </c>
      <c r="E2987" s="57" t="str"/>
      <c r="F2987" s="49" t="str"/>
      <c r="G2987" s="59" t="str"/>
      <c r="H2987" s="64" t="str"/>
      <c r="I2987" s="65" t="str"/>
      <c r="J2987" s="49" t="str"/>
      <c r="K2987" s="41" t="str"/>
      <c r="L2987" s="41" t="str"/>
      <c r="M2987" s="41" t="str"/>
      <c r="N2987" s="41" t="str"/>
      <c r="O2987" s="41" t="str"/>
      <c r="P2987" s="41" t="str"/>
      <c r="Q2987" s="41" t="str"/>
      <c r="R2987" s="41" t="str"/>
      <c r="S2987" s="41" t="str"/>
      <c r="T2987" s="41" t="str"/>
      <c r="U2987" s="41" t="str"/>
      <c r="V2987" s="41" t="str"/>
      <c r="W2987" s="41" t="str"/>
    </row>
    <row r="2988">
      <c r="B2988" s="2" t="n"/>
      <c r="C2988" s="40" t="n"/>
      <c r="D2988" s="52">
        <f t="array" ref="D2988:W2988">IF(All_Students_Scores!C2986:V2986="","",All_Students_Scores!C2986:V2986)</f>
        <v/>
      </c>
      <c r="E2988" s="57" t="str"/>
      <c r="F2988" s="49" t="str"/>
      <c r="G2988" s="59" t="str"/>
      <c r="H2988" s="64" t="str"/>
      <c r="I2988" s="65" t="str"/>
      <c r="J2988" s="49" t="str"/>
      <c r="K2988" s="41" t="str"/>
      <c r="L2988" s="41" t="str"/>
      <c r="M2988" s="41" t="str"/>
      <c r="N2988" s="41" t="str"/>
      <c r="O2988" s="41" t="str"/>
      <c r="P2988" s="41" t="str"/>
      <c r="Q2988" s="41" t="str"/>
      <c r="R2988" s="41" t="str"/>
      <c r="S2988" s="41" t="str"/>
      <c r="T2988" s="41" t="str"/>
      <c r="U2988" s="41" t="str"/>
      <c r="V2988" s="41" t="str"/>
      <c r="W2988" s="41" t="str"/>
    </row>
    <row r="2989">
      <c r="B2989" s="2" t="n"/>
      <c r="C2989" s="40" t="n"/>
      <c r="D2989" s="52">
        <f t="array" ref="D2989:W2989">IF(All_Students_Scores!C2987:V2987="","",All_Students_Scores!C2987:V2987)</f>
        <v/>
      </c>
      <c r="E2989" s="57" t="str"/>
      <c r="F2989" s="49" t="str"/>
      <c r="G2989" s="59" t="str"/>
      <c r="H2989" s="64" t="str"/>
      <c r="I2989" s="65" t="str"/>
      <c r="J2989" s="49" t="str"/>
      <c r="K2989" s="41" t="str"/>
      <c r="L2989" s="41" t="str"/>
      <c r="M2989" s="41" t="str"/>
      <c r="N2989" s="41" t="str"/>
      <c r="O2989" s="41" t="str"/>
      <c r="P2989" s="41" t="str"/>
      <c r="Q2989" s="41" t="str"/>
      <c r="R2989" s="41" t="str"/>
      <c r="S2989" s="41" t="str"/>
      <c r="T2989" s="41" t="str"/>
      <c r="U2989" s="41" t="str"/>
      <c r="V2989" s="41" t="str"/>
      <c r="W2989" s="41" t="str"/>
    </row>
    <row r="2990">
      <c r="B2990" s="2" t="n"/>
      <c r="C2990" s="40" t="n"/>
      <c r="D2990" s="52">
        <f t="array" ref="D2990:W2990">IF(All_Students_Scores!C2988:V2988="","",All_Students_Scores!C2988:V2988)</f>
        <v/>
      </c>
      <c r="E2990" s="57" t="str"/>
      <c r="F2990" s="49" t="str"/>
      <c r="G2990" s="59" t="str"/>
      <c r="H2990" s="64" t="str"/>
      <c r="I2990" s="65" t="str"/>
      <c r="J2990" s="49" t="str"/>
      <c r="K2990" s="41" t="str"/>
      <c r="L2990" s="41" t="str"/>
      <c r="M2990" s="41" t="str"/>
      <c r="N2990" s="41" t="str"/>
      <c r="O2990" s="41" t="str"/>
      <c r="P2990" s="41" t="str"/>
      <c r="Q2990" s="41" t="str"/>
      <c r="R2990" s="41" t="str"/>
      <c r="S2990" s="41" t="str"/>
      <c r="T2990" s="41" t="str"/>
      <c r="U2990" s="41" t="str"/>
      <c r="V2990" s="41" t="str"/>
      <c r="W2990" s="41" t="str"/>
    </row>
    <row r="2991">
      <c r="B2991" s="2" t="n"/>
      <c r="C2991" s="40" t="n"/>
      <c r="D2991" s="52">
        <f t="array" ref="D2991:W2991">IF(All_Students_Scores!C2989:V2989="","",All_Students_Scores!C2989:V2989)</f>
        <v/>
      </c>
      <c r="E2991" s="57" t="str"/>
      <c r="F2991" s="49" t="str"/>
      <c r="G2991" s="59" t="str"/>
      <c r="H2991" s="64" t="str"/>
      <c r="I2991" s="65" t="str"/>
      <c r="J2991" s="49" t="str"/>
      <c r="K2991" s="41" t="str"/>
      <c r="L2991" s="41" t="str"/>
      <c r="M2991" s="41" t="str"/>
      <c r="N2991" s="41" t="str"/>
      <c r="O2991" s="41" t="str"/>
      <c r="P2991" s="41" t="str"/>
      <c r="Q2991" s="41" t="str"/>
      <c r="R2991" s="41" t="str"/>
      <c r="S2991" s="41" t="str"/>
      <c r="T2991" s="41" t="str"/>
      <c r="U2991" s="41" t="str"/>
      <c r="V2991" s="41" t="str"/>
      <c r="W2991" s="41" t="str"/>
    </row>
    <row r="2992">
      <c r="B2992" s="2" t="n"/>
      <c r="C2992" s="40" t="n"/>
      <c r="D2992" s="52">
        <f t="array" ref="D2992:W2992">IF(All_Students_Scores!C2990:V2990="","",All_Students_Scores!C2990:V2990)</f>
        <v/>
      </c>
      <c r="E2992" s="57" t="str"/>
      <c r="F2992" s="49" t="str"/>
      <c r="G2992" s="59" t="str"/>
      <c r="H2992" s="64" t="str"/>
      <c r="I2992" s="65" t="str"/>
      <c r="J2992" s="49" t="str"/>
      <c r="K2992" s="41" t="str"/>
      <c r="L2992" s="41" t="str"/>
      <c r="M2992" s="41" t="str"/>
      <c r="N2992" s="41" t="str"/>
      <c r="O2992" s="41" t="str"/>
      <c r="P2992" s="41" t="str"/>
      <c r="Q2992" s="41" t="str"/>
      <c r="R2992" s="41" t="str"/>
      <c r="S2992" s="41" t="str"/>
      <c r="T2992" s="41" t="str"/>
      <c r="U2992" s="41" t="str"/>
      <c r="V2992" s="41" t="str"/>
      <c r="W2992" s="41" t="str"/>
    </row>
    <row r="2993">
      <c r="B2993" s="2" t="n"/>
      <c r="C2993" s="40" t="n"/>
      <c r="D2993" s="52">
        <f t="array" ref="D2993:W2993">IF(All_Students_Scores!C2991:V2991="","",All_Students_Scores!C2991:V2991)</f>
        <v/>
      </c>
      <c r="E2993" s="57" t="str"/>
      <c r="F2993" s="49" t="str"/>
      <c r="G2993" s="59" t="str"/>
      <c r="H2993" s="64" t="str"/>
      <c r="I2993" s="65" t="str"/>
      <c r="J2993" s="49" t="str"/>
      <c r="K2993" s="41" t="str"/>
      <c r="L2993" s="41" t="str"/>
      <c r="M2993" s="41" t="str"/>
      <c r="N2993" s="41" t="str"/>
      <c r="O2993" s="41" t="str"/>
      <c r="P2993" s="41" t="str"/>
      <c r="Q2993" s="41" t="str"/>
      <c r="R2993" s="41" t="str"/>
      <c r="S2993" s="41" t="str"/>
      <c r="T2993" s="41" t="str"/>
      <c r="U2993" s="41" t="str"/>
      <c r="V2993" s="41" t="str"/>
      <c r="W2993" s="41" t="str"/>
    </row>
    <row r="2994">
      <c r="B2994" s="2" t="n"/>
      <c r="C2994" s="40" t="n"/>
      <c r="D2994" s="52">
        <f t="array" ref="D2994:W2994">IF(All_Students_Scores!C2992:V2992="","",All_Students_Scores!C2992:V2992)</f>
        <v/>
      </c>
      <c r="E2994" s="57" t="str"/>
      <c r="F2994" s="49" t="str"/>
      <c r="G2994" s="59" t="str"/>
      <c r="H2994" s="64" t="str"/>
      <c r="I2994" s="65" t="str"/>
      <c r="J2994" s="49" t="str"/>
      <c r="K2994" s="41" t="str"/>
      <c r="L2994" s="41" t="str"/>
      <c r="M2994" s="41" t="str"/>
      <c r="N2994" s="41" t="str"/>
      <c r="O2994" s="41" t="str"/>
      <c r="P2994" s="41" t="str"/>
      <c r="Q2994" s="41" t="str"/>
      <c r="R2994" s="41" t="str"/>
      <c r="S2994" s="41" t="str"/>
      <c r="T2994" s="41" t="str"/>
      <c r="U2994" s="41" t="str"/>
      <c r="V2994" s="41" t="str"/>
      <c r="W2994" s="41" t="str"/>
    </row>
    <row r="2995">
      <c r="B2995" s="2" t="n"/>
      <c r="C2995" s="40" t="n"/>
      <c r="D2995" s="52">
        <f t="array" ref="D2995:W2995">IF(All_Students_Scores!C2993:V2993="","",All_Students_Scores!C2993:V2993)</f>
        <v/>
      </c>
      <c r="E2995" s="57" t="str"/>
      <c r="F2995" s="49" t="str"/>
      <c r="G2995" s="59" t="str"/>
      <c r="H2995" s="64" t="str"/>
      <c r="I2995" s="65" t="str"/>
      <c r="J2995" s="49" t="str"/>
      <c r="K2995" s="41" t="str"/>
      <c r="L2995" s="41" t="str"/>
      <c r="M2995" s="41" t="str"/>
      <c r="N2995" s="41" t="str"/>
      <c r="O2995" s="41" t="str"/>
      <c r="P2995" s="41" t="str"/>
      <c r="Q2995" s="41" t="str"/>
      <c r="R2995" s="41" t="str"/>
      <c r="S2995" s="41" t="str"/>
      <c r="T2995" s="41" t="str"/>
      <c r="U2995" s="41" t="str"/>
      <c r="V2995" s="41" t="str"/>
      <c r="W2995" s="41" t="str"/>
    </row>
    <row r="2996">
      <c r="B2996" s="2" t="n"/>
      <c r="C2996" s="40" t="n"/>
      <c r="D2996" s="52">
        <f t="array" ref="D2996:W2996">IF(All_Students_Scores!C2994:V2994="","",All_Students_Scores!C2994:V2994)</f>
        <v/>
      </c>
      <c r="E2996" s="57" t="str"/>
      <c r="F2996" s="49" t="str"/>
      <c r="G2996" s="59" t="str"/>
      <c r="H2996" s="64" t="str"/>
      <c r="I2996" s="65" t="str"/>
      <c r="J2996" s="49" t="str"/>
      <c r="K2996" s="41" t="str"/>
      <c r="L2996" s="41" t="str"/>
      <c r="M2996" s="41" t="str"/>
      <c r="N2996" s="41" t="str"/>
      <c r="O2996" s="41" t="str"/>
      <c r="P2996" s="41" t="str"/>
      <c r="Q2996" s="41" t="str"/>
      <c r="R2996" s="41" t="str"/>
      <c r="S2996" s="41" t="str"/>
      <c r="T2996" s="41" t="str"/>
      <c r="U2996" s="41" t="str"/>
      <c r="V2996" s="41" t="str"/>
      <c r="W2996" s="41" t="str"/>
    </row>
    <row r="2997">
      <c r="B2997" s="2" t="n"/>
      <c r="C2997" s="40" t="n"/>
      <c r="D2997" s="52">
        <f t="array" ref="D2997:W2997">IF(All_Students_Scores!C2995:V2995="","",All_Students_Scores!C2995:V2995)</f>
        <v/>
      </c>
      <c r="E2997" s="57" t="str"/>
      <c r="F2997" s="49" t="str"/>
      <c r="G2997" s="59" t="str"/>
      <c r="H2997" s="64" t="str"/>
      <c r="I2997" s="65" t="str"/>
      <c r="J2997" s="49" t="str"/>
      <c r="K2997" s="41" t="str"/>
      <c r="L2997" s="41" t="str"/>
      <c r="M2997" s="41" t="str"/>
      <c r="N2997" s="41" t="str"/>
      <c r="O2997" s="41" t="str"/>
      <c r="P2997" s="41" t="str"/>
      <c r="Q2997" s="41" t="str"/>
      <c r="R2997" s="41" t="str"/>
      <c r="S2997" s="41" t="str"/>
      <c r="T2997" s="41" t="str"/>
      <c r="U2997" s="41" t="str"/>
      <c r="V2997" s="41" t="str"/>
      <c r="W2997" s="41" t="str"/>
    </row>
    <row r="2998">
      <c r="B2998" s="2" t="n"/>
      <c r="C2998" s="40" t="n"/>
      <c r="D2998" s="52">
        <f t="array" ref="D2998:W2998">IF(All_Students_Scores!C2996:V2996="","",All_Students_Scores!C2996:V2996)</f>
        <v/>
      </c>
      <c r="E2998" s="57" t="str"/>
      <c r="F2998" s="49" t="str"/>
      <c r="G2998" s="59" t="str"/>
      <c r="H2998" s="64" t="str"/>
      <c r="I2998" s="65" t="str"/>
      <c r="J2998" s="49" t="str"/>
      <c r="K2998" s="41" t="str"/>
      <c r="L2998" s="41" t="str"/>
      <c r="M2998" s="41" t="str"/>
      <c r="N2998" s="41" t="str"/>
      <c r="O2998" s="41" t="str"/>
      <c r="P2998" s="41" t="str"/>
      <c r="Q2998" s="41" t="str"/>
      <c r="R2998" s="41" t="str"/>
      <c r="S2998" s="41" t="str"/>
      <c r="T2998" s="41" t="str"/>
      <c r="U2998" s="41" t="str"/>
      <c r="V2998" s="41" t="str"/>
      <c r="W2998" s="41" t="str"/>
    </row>
    <row r="2999">
      <c r="B2999" s="2" t="n"/>
      <c r="C2999" s="40" t="n"/>
      <c r="D2999" s="52">
        <f t="array" ref="D2999:W2999">IF(All_Students_Scores!C2997:V2997="","",All_Students_Scores!C2997:V2997)</f>
        <v/>
      </c>
      <c r="E2999" s="57" t="str"/>
      <c r="F2999" s="49" t="str"/>
      <c r="G2999" s="59" t="str"/>
      <c r="H2999" s="64" t="str"/>
      <c r="I2999" s="65" t="str"/>
      <c r="J2999" s="49" t="str"/>
      <c r="K2999" s="41" t="str"/>
      <c r="L2999" s="41" t="str"/>
      <c r="M2999" s="41" t="str"/>
      <c r="N2999" s="41" t="str"/>
      <c r="O2999" s="41" t="str"/>
      <c r="P2999" s="41" t="str"/>
      <c r="Q2999" s="41" t="str"/>
      <c r="R2999" s="41" t="str"/>
      <c r="S2999" s="41" t="str"/>
      <c r="T2999" s="41" t="str"/>
      <c r="U2999" s="41" t="str"/>
      <c r="V2999" s="41" t="str"/>
      <c r="W2999" s="41" t="str"/>
    </row>
    <row r="3000">
      <c r="B3000" s="2" t="n"/>
      <c r="C3000" s="40" t="n"/>
      <c r="D3000" s="52">
        <f t="array" ref="D3000:W3000">IF(All_Students_Scores!C2998:V2998="","",All_Students_Scores!C2998:V2998)</f>
        <v/>
      </c>
      <c r="E3000" s="57" t="str"/>
      <c r="F3000" s="49" t="str"/>
      <c r="G3000" s="59" t="str"/>
      <c r="H3000" s="64" t="str"/>
      <c r="I3000" s="65" t="str"/>
      <c r="J3000" s="49" t="str"/>
      <c r="K3000" s="41" t="str"/>
      <c r="L3000" s="41" t="str"/>
      <c r="M3000" s="41" t="str"/>
      <c r="N3000" s="41" t="str"/>
      <c r="O3000" s="41" t="str"/>
      <c r="P3000" s="41" t="str"/>
      <c r="Q3000" s="41" t="str"/>
      <c r="R3000" s="41" t="str"/>
      <c r="S3000" s="41" t="str"/>
      <c r="T3000" s="41" t="str"/>
      <c r="U3000" s="41" t="str"/>
      <c r="V3000" s="41" t="str"/>
      <c r="W3000" s="41" t="str"/>
    </row>
    <row r="3001">
      <c r="B3001" s="2" t="n"/>
      <c r="C3001" s="40" t="n"/>
      <c r="D3001" s="52">
        <f t="array" ref="D3001:W3001">IF(All_Students_Scores!C2999:V2999="","",All_Students_Scores!C2999:V2999)</f>
        <v/>
      </c>
      <c r="E3001" s="57" t="str"/>
      <c r="F3001" s="49" t="str"/>
      <c r="G3001" s="59" t="str"/>
      <c r="H3001" s="64" t="str"/>
      <c r="I3001" s="65" t="str"/>
      <c r="J3001" s="49" t="str"/>
      <c r="K3001" s="41" t="str"/>
      <c r="L3001" s="41" t="str"/>
      <c r="M3001" s="41" t="str"/>
      <c r="N3001" s="41" t="str"/>
      <c r="O3001" s="41" t="str"/>
      <c r="P3001" s="41" t="str"/>
      <c r="Q3001" s="41" t="str"/>
      <c r="R3001" s="41" t="str"/>
      <c r="S3001" s="41" t="str"/>
      <c r="T3001" s="41" t="str"/>
      <c r="U3001" s="41" t="str"/>
      <c r="V3001" s="41" t="str"/>
      <c r="W3001" s="41" t="str"/>
    </row>
    <row r="3002">
      <c r="B3002" s="2" t="n"/>
      <c r="C3002" s="40" t="n"/>
      <c r="D3002" s="52">
        <f t="array" ref="D3002:W3002">IF(All_Students_Scores!C3000:V3000="","",All_Students_Scores!C3000:V3000)</f>
        <v/>
      </c>
      <c r="E3002" s="57" t="str"/>
      <c r="F3002" s="49" t="str"/>
      <c r="G3002" s="59" t="str"/>
      <c r="H3002" s="64" t="str"/>
      <c r="I3002" s="65" t="str"/>
      <c r="J3002" s="49" t="str"/>
      <c r="K3002" s="41" t="str"/>
      <c r="L3002" s="41" t="str"/>
      <c r="M3002" s="41" t="str"/>
      <c r="N3002" s="41" t="str"/>
      <c r="O3002" s="41" t="str"/>
      <c r="P3002" s="41" t="str"/>
      <c r="Q3002" s="41" t="str"/>
      <c r="R3002" s="41" t="str"/>
      <c r="S3002" s="41" t="str"/>
      <c r="T3002" s="41" t="str"/>
      <c r="U3002" s="41" t="str"/>
      <c r="V3002" s="41" t="str"/>
      <c r="W3002" s="41" t="str"/>
    </row>
    <row r="3003">
      <c r="B3003" s="2" t="n"/>
      <c r="C3003" s="40" t="n"/>
      <c r="D3003" s="52">
        <f t="array" ref="D3003:W3003">IF(All_Students_Scores!C3001:V3001="","",All_Students_Scores!C3001:V3001)</f>
        <v/>
      </c>
      <c r="E3003" s="57" t="str"/>
      <c r="F3003" s="49" t="str"/>
      <c r="G3003" s="59" t="str"/>
      <c r="H3003" s="64" t="str"/>
      <c r="I3003" s="65" t="str"/>
      <c r="J3003" s="49" t="str"/>
      <c r="K3003" s="41" t="str"/>
      <c r="L3003" s="41" t="str"/>
      <c r="M3003" s="41" t="str"/>
      <c r="N3003" s="41" t="str"/>
      <c r="O3003" s="41" t="str"/>
      <c r="P3003" s="41" t="str"/>
      <c r="Q3003" s="41" t="str"/>
      <c r="R3003" s="41" t="str"/>
      <c r="S3003" s="41" t="str"/>
      <c r="T3003" s="41" t="str"/>
      <c r="U3003" s="41" t="str"/>
      <c r="V3003" s="41" t="str"/>
      <c r="W3003" s="41" t="str"/>
    </row>
    <row r="3004">
      <c r="B3004" s="2" t="n"/>
      <c r="C3004" s="40" t="n"/>
      <c r="D3004" s="52">
        <f t="array" ref="D3004:W3004">IF(All_Students_Scores!C3002:V3002="","",All_Students_Scores!C3002:V3002)</f>
        <v/>
      </c>
      <c r="E3004" s="57" t="str"/>
      <c r="F3004" s="49" t="str"/>
      <c r="G3004" s="59" t="str"/>
      <c r="H3004" s="64" t="str"/>
      <c r="I3004" s="65" t="str"/>
      <c r="J3004" s="49" t="str"/>
      <c r="K3004" s="41" t="str"/>
      <c r="L3004" s="41" t="str"/>
      <c r="M3004" s="41" t="str"/>
      <c r="N3004" s="41" t="str"/>
      <c r="O3004" s="41" t="str"/>
      <c r="P3004" s="41" t="str"/>
      <c r="Q3004" s="41" t="str"/>
      <c r="R3004" s="41" t="str"/>
      <c r="S3004" s="41" t="str"/>
      <c r="T3004" s="41" t="str"/>
      <c r="U3004" s="41" t="str"/>
      <c r="V3004" s="41" t="str"/>
      <c r="W3004" s="41" t="str"/>
    </row>
    <row r="3005">
      <c r="B3005" s="2" t="n"/>
      <c r="C3005" s="40" t="n"/>
      <c r="D3005" s="52">
        <f t="array" ref="D3005:W3005">IF(All_Students_Scores!C3003:V3003="","",All_Students_Scores!C3003:V3003)</f>
        <v/>
      </c>
      <c r="E3005" s="57" t="str"/>
      <c r="F3005" s="49" t="str"/>
      <c r="G3005" s="59" t="str"/>
      <c r="H3005" s="64" t="str"/>
      <c r="I3005" s="65" t="str"/>
      <c r="J3005" s="49" t="str"/>
      <c r="K3005" s="41" t="str"/>
      <c r="L3005" s="41" t="str"/>
      <c r="M3005" s="41" t="str"/>
      <c r="N3005" s="41" t="str"/>
      <c r="O3005" s="41" t="str"/>
      <c r="P3005" s="41" t="str"/>
      <c r="Q3005" s="41" t="str"/>
      <c r="R3005" s="41" t="str"/>
      <c r="S3005" s="41" t="str"/>
      <c r="T3005" s="41" t="str"/>
      <c r="U3005" s="41" t="str"/>
      <c r="V3005" s="41" t="str"/>
      <c r="W3005" s="41" t="str"/>
    </row>
    <row r="3006">
      <c r="B3006" s="2" t="n"/>
      <c r="C3006" s="40" t="n"/>
      <c r="D3006" s="52">
        <f t="array" ref="D3006:W3006">IF(All_Students_Scores!C3004:V3004="","",All_Students_Scores!C3004:V3004)</f>
        <v/>
      </c>
      <c r="E3006" s="57" t="str"/>
      <c r="F3006" s="49" t="str"/>
      <c r="G3006" s="59" t="str"/>
      <c r="H3006" s="64" t="str"/>
      <c r="I3006" s="65" t="str"/>
      <c r="J3006" s="49" t="str"/>
      <c r="K3006" s="41" t="str"/>
      <c r="L3006" s="41" t="str"/>
      <c r="M3006" s="41" t="str"/>
      <c r="N3006" s="41" t="str"/>
      <c r="O3006" s="41" t="str"/>
      <c r="P3006" s="41" t="str"/>
      <c r="Q3006" s="41" t="str"/>
      <c r="R3006" s="41" t="str"/>
      <c r="S3006" s="41" t="str"/>
      <c r="T3006" s="41" t="str"/>
      <c r="U3006" s="41" t="str"/>
      <c r="V3006" s="41" t="str"/>
      <c r="W3006" s="41" t="str"/>
    </row>
    <row r="3007">
      <c r="B3007" s="2" t="n"/>
      <c r="C3007" s="40" t="n"/>
      <c r="D3007" s="52">
        <f t="array" ref="D3007:W3007">IF(All_Students_Scores!C3005:V3005="","",All_Students_Scores!C3005:V3005)</f>
        <v/>
      </c>
      <c r="E3007" s="57" t="str"/>
      <c r="F3007" s="49" t="str"/>
      <c r="G3007" s="59" t="str"/>
      <c r="H3007" s="64" t="str"/>
      <c r="I3007" s="65" t="str"/>
      <c r="J3007" s="49" t="str"/>
      <c r="K3007" s="41" t="str"/>
      <c r="L3007" s="41" t="str"/>
      <c r="M3007" s="41" t="str"/>
      <c r="N3007" s="41" t="str"/>
      <c r="O3007" s="41" t="str"/>
      <c r="P3007" s="41" t="str"/>
      <c r="Q3007" s="41" t="str"/>
      <c r="R3007" s="41" t="str"/>
      <c r="S3007" s="41" t="str"/>
      <c r="T3007" s="41" t="str"/>
      <c r="U3007" s="41" t="str"/>
      <c r="V3007" s="41" t="str"/>
      <c r="W3007" s="41" t="str"/>
    </row>
    <row r="3008">
      <c r="B3008" s="2" t="n"/>
      <c r="C3008" s="40" t="n"/>
      <c r="D3008" s="52">
        <f t="array" ref="D3008:W3008">IF(All_Students_Scores!C3006:V3006="","",All_Students_Scores!C3006:V3006)</f>
        <v/>
      </c>
      <c r="E3008" s="57" t="str"/>
      <c r="F3008" s="49" t="str"/>
      <c r="G3008" s="59" t="str"/>
      <c r="H3008" s="64" t="str"/>
      <c r="I3008" s="65" t="str"/>
      <c r="J3008" s="49" t="str"/>
      <c r="K3008" s="41" t="str"/>
      <c r="L3008" s="41" t="str"/>
      <c r="M3008" s="41" t="str"/>
      <c r="N3008" s="41" t="str"/>
      <c r="O3008" s="41" t="str"/>
      <c r="P3008" s="41" t="str"/>
      <c r="Q3008" s="41" t="str"/>
      <c r="R3008" s="41" t="str"/>
      <c r="S3008" s="41" t="str"/>
      <c r="T3008" s="41" t="str"/>
      <c r="U3008" s="41" t="str"/>
      <c r="V3008" s="41" t="str"/>
      <c r="W3008" s="41" t="str"/>
    </row>
    <row r="3009">
      <c r="B3009" s="2" t="n"/>
      <c r="C3009" s="40" t="n"/>
      <c r="D3009" s="52">
        <f t="array" ref="D3009:W3009">IF(All_Students_Scores!C3007:V3007="","",All_Students_Scores!C3007:V3007)</f>
        <v/>
      </c>
      <c r="E3009" s="57" t="str"/>
      <c r="F3009" s="49" t="str"/>
      <c r="G3009" s="59" t="str"/>
      <c r="H3009" s="64" t="str"/>
      <c r="I3009" s="65" t="str"/>
      <c r="J3009" s="49" t="str"/>
      <c r="K3009" s="41" t="str"/>
      <c r="L3009" s="41" t="str"/>
      <c r="M3009" s="41" t="str"/>
      <c r="N3009" s="41" t="str"/>
      <c r="O3009" s="41" t="str"/>
      <c r="P3009" s="41" t="str"/>
      <c r="Q3009" s="41" t="str"/>
      <c r="R3009" s="41" t="str"/>
      <c r="S3009" s="41" t="str"/>
      <c r="T3009" s="41" t="str"/>
      <c r="U3009" s="41" t="str"/>
      <c r="V3009" s="41" t="str"/>
      <c r="W3009" s="41" t="str"/>
    </row>
    <row r="3010">
      <c r="B3010" s="2" t="n"/>
      <c r="C3010" s="40" t="n"/>
      <c r="D3010" s="52">
        <f t="array" ref="D3010:W3010">IF(All_Students_Scores!C3008:V3008="","",All_Students_Scores!C3008:V3008)</f>
        <v/>
      </c>
      <c r="E3010" s="57" t="str"/>
      <c r="F3010" s="49" t="str"/>
      <c r="G3010" s="59" t="str"/>
      <c r="H3010" s="64" t="str"/>
      <c r="I3010" s="65" t="str"/>
      <c r="J3010" s="49" t="str"/>
      <c r="K3010" s="41" t="str"/>
      <c r="L3010" s="41" t="str"/>
      <c r="M3010" s="41" t="str"/>
      <c r="N3010" s="41" t="str"/>
      <c r="O3010" s="41" t="str"/>
      <c r="P3010" s="41" t="str"/>
      <c r="Q3010" s="41" t="str"/>
      <c r="R3010" s="41" t="str"/>
      <c r="S3010" s="41" t="str"/>
      <c r="T3010" s="41" t="str"/>
      <c r="U3010" s="41" t="str"/>
      <c r="V3010" s="41" t="str"/>
      <c r="W3010" s="41" t="str"/>
    </row>
    <row r="3011">
      <c r="B3011" s="2" t="n"/>
      <c r="C3011" s="40" t="n"/>
      <c r="D3011" s="52">
        <f t="array" ref="D3011:W3011">IF(All_Students_Scores!C3009:V3009="","",All_Students_Scores!C3009:V3009)</f>
        <v/>
      </c>
      <c r="E3011" s="57" t="str"/>
      <c r="F3011" s="49" t="str"/>
      <c r="G3011" s="59" t="str"/>
      <c r="H3011" s="64" t="str"/>
      <c r="I3011" s="65" t="str"/>
      <c r="J3011" s="49" t="str"/>
      <c r="K3011" s="41" t="str"/>
      <c r="L3011" s="41" t="str"/>
      <c r="M3011" s="41" t="str"/>
      <c r="N3011" s="41" t="str"/>
      <c r="O3011" s="41" t="str"/>
      <c r="P3011" s="41" t="str"/>
      <c r="Q3011" s="41" t="str"/>
      <c r="R3011" s="41" t="str"/>
      <c r="S3011" s="41" t="str"/>
      <c r="T3011" s="41" t="str"/>
      <c r="U3011" s="41" t="str"/>
      <c r="V3011" s="41" t="str"/>
      <c r="W3011" s="41" t="str"/>
    </row>
    <row r="3012">
      <c r="B3012" s="2" t="n"/>
      <c r="C3012" s="40" t="n"/>
      <c r="D3012" s="52">
        <f t="array" ref="D3012:W3012">IF(All_Students_Scores!C3010:V3010="","",All_Students_Scores!C3010:V3010)</f>
        <v/>
      </c>
      <c r="E3012" s="57" t="str"/>
      <c r="F3012" s="49" t="str"/>
      <c r="G3012" s="59" t="str"/>
      <c r="H3012" s="64" t="str"/>
      <c r="I3012" s="65" t="str"/>
      <c r="J3012" s="49" t="str"/>
      <c r="K3012" s="41" t="str"/>
      <c r="L3012" s="41" t="str"/>
      <c r="M3012" s="41" t="str"/>
      <c r="N3012" s="41" t="str"/>
      <c r="O3012" s="41" t="str"/>
      <c r="P3012" s="41" t="str"/>
      <c r="Q3012" s="41" t="str"/>
      <c r="R3012" s="41" t="str"/>
      <c r="S3012" s="41" t="str"/>
      <c r="T3012" s="41" t="str"/>
      <c r="U3012" s="41" t="str"/>
      <c r="V3012" s="41" t="str"/>
      <c r="W3012" s="41" t="str"/>
    </row>
    <row r="3013">
      <c r="B3013" s="2" t="n"/>
      <c r="C3013" s="40" t="n"/>
      <c r="D3013" s="52">
        <f t="array" ref="D3013:W3013">IF(All_Students_Scores!C3011:V3011="","",All_Students_Scores!C3011:V3011)</f>
        <v/>
      </c>
      <c r="E3013" s="57" t="str"/>
      <c r="F3013" s="49" t="str"/>
      <c r="G3013" s="59" t="str"/>
      <c r="H3013" s="64" t="str"/>
      <c r="I3013" s="65" t="str"/>
      <c r="J3013" s="49" t="str"/>
      <c r="K3013" s="41" t="str"/>
      <c r="L3013" s="41" t="str"/>
      <c r="M3013" s="41" t="str"/>
      <c r="N3013" s="41" t="str"/>
      <c r="O3013" s="41" t="str"/>
      <c r="P3013" s="41" t="str"/>
      <c r="Q3013" s="41" t="str"/>
      <c r="R3013" s="41" t="str"/>
      <c r="S3013" s="41" t="str"/>
      <c r="T3013" s="41" t="str"/>
      <c r="U3013" s="41" t="str"/>
      <c r="V3013" s="41" t="str"/>
      <c r="W3013" s="41" t="str"/>
    </row>
    <row r="3014">
      <c r="B3014" s="2" t="n"/>
      <c r="C3014" s="40" t="n"/>
      <c r="D3014" s="52">
        <f t="array" ref="D3014:W3014">IF(All_Students_Scores!C3012:V3012="","",All_Students_Scores!C3012:V3012)</f>
        <v/>
      </c>
      <c r="E3014" s="57" t="str"/>
      <c r="F3014" s="49" t="str"/>
      <c r="G3014" s="59" t="str"/>
      <c r="H3014" s="64" t="str"/>
      <c r="I3014" s="65" t="str"/>
      <c r="J3014" s="49" t="str"/>
      <c r="K3014" s="41" t="str"/>
      <c r="L3014" s="41" t="str"/>
      <c r="M3014" s="41" t="str"/>
      <c r="N3014" s="41" t="str"/>
      <c r="O3014" s="41" t="str"/>
      <c r="P3014" s="41" t="str"/>
      <c r="Q3014" s="41" t="str"/>
      <c r="R3014" s="41" t="str"/>
      <c r="S3014" s="41" t="str"/>
      <c r="T3014" s="41" t="str"/>
      <c r="U3014" s="41" t="str"/>
      <c r="V3014" s="41" t="str"/>
      <c r="W3014" s="41" t="str"/>
    </row>
    <row r="3015">
      <c r="B3015" s="2" t="n"/>
      <c r="C3015" s="40" t="n"/>
      <c r="D3015" s="52">
        <f t="array" ref="D3015:W3015">IF(All_Students_Scores!C3013:V3013="","",All_Students_Scores!C3013:V3013)</f>
        <v/>
      </c>
      <c r="E3015" s="57" t="str"/>
      <c r="F3015" s="49" t="str"/>
      <c r="G3015" s="59" t="str"/>
      <c r="H3015" s="64" t="str"/>
      <c r="I3015" s="65" t="str"/>
      <c r="J3015" s="49" t="str"/>
      <c r="K3015" s="41" t="str"/>
      <c r="L3015" s="41" t="str"/>
      <c r="M3015" s="41" t="str"/>
      <c r="N3015" s="41" t="str"/>
      <c r="O3015" s="41" t="str"/>
      <c r="P3015" s="41" t="str"/>
      <c r="Q3015" s="41" t="str"/>
      <c r="R3015" s="41" t="str"/>
      <c r="S3015" s="41" t="str"/>
      <c r="T3015" s="41" t="str"/>
      <c r="U3015" s="41" t="str"/>
      <c r="V3015" s="41" t="str"/>
      <c r="W3015" s="41" t="str"/>
    </row>
    <row r="3016">
      <c r="B3016" s="2" t="n"/>
      <c r="C3016" s="40" t="n"/>
      <c r="D3016" s="52">
        <f t="array" ref="D3016:W3016">IF(All_Students_Scores!C3014:V3014="","",All_Students_Scores!C3014:V3014)</f>
        <v/>
      </c>
      <c r="E3016" s="57" t="str"/>
      <c r="F3016" s="49" t="str"/>
      <c r="G3016" s="59" t="str"/>
      <c r="H3016" s="64" t="str"/>
      <c r="I3016" s="65" t="str"/>
      <c r="J3016" s="49" t="str"/>
      <c r="K3016" s="41" t="str"/>
      <c r="L3016" s="41" t="str"/>
      <c r="M3016" s="41" t="str"/>
      <c r="N3016" s="41" t="str"/>
      <c r="O3016" s="41" t="str"/>
      <c r="P3016" s="41" t="str"/>
      <c r="Q3016" s="41" t="str"/>
      <c r="R3016" s="41" t="str"/>
      <c r="S3016" s="41" t="str"/>
      <c r="T3016" s="41" t="str"/>
      <c r="U3016" s="41" t="str"/>
      <c r="V3016" s="41" t="str"/>
      <c r="W3016" s="41" t="str"/>
    </row>
    <row r="3017">
      <c r="B3017" s="2" t="n"/>
      <c r="C3017" s="40" t="n"/>
      <c r="D3017" s="52">
        <f t="array" ref="D3017:W3017">IF(All_Students_Scores!C3015:V3015="","",All_Students_Scores!C3015:V3015)</f>
        <v/>
      </c>
      <c r="E3017" s="57" t="str"/>
      <c r="F3017" s="49" t="str"/>
      <c r="G3017" s="59" t="str"/>
      <c r="H3017" s="64" t="str"/>
      <c r="I3017" s="65" t="str"/>
      <c r="J3017" s="49" t="str"/>
      <c r="K3017" s="41" t="str"/>
      <c r="L3017" s="41" t="str"/>
      <c r="M3017" s="41" t="str"/>
      <c r="N3017" s="41" t="str"/>
      <c r="O3017" s="41" t="str"/>
      <c r="P3017" s="41" t="str"/>
      <c r="Q3017" s="41" t="str"/>
      <c r="R3017" s="41" t="str"/>
      <c r="S3017" s="41" t="str"/>
      <c r="T3017" s="41" t="str"/>
      <c r="U3017" s="41" t="str"/>
      <c r="V3017" s="41" t="str"/>
      <c r="W3017" s="41" t="str"/>
    </row>
    <row r="3018">
      <c r="B3018" s="2" t="n"/>
      <c r="C3018" s="40" t="n"/>
      <c r="D3018" s="52">
        <f t="array" ref="D3018:W3018">IF(All_Students_Scores!C3016:V3016="","",All_Students_Scores!C3016:V3016)</f>
        <v/>
      </c>
      <c r="E3018" s="57" t="str"/>
      <c r="F3018" s="49" t="str"/>
      <c r="G3018" s="59" t="str"/>
      <c r="H3018" s="64" t="str"/>
      <c r="I3018" s="65" t="str"/>
      <c r="J3018" s="49" t="str"/>
      <c r="K3018" s="41" t="str"/>
      <c r="L3018" s="41" t="str"/>
      <c r="M3018" s="41" t="str"/>
      <c r="N3018" s="41" t="str"/>
      <c r="O3018" s="41" t="str"/>
      <c r="P3018" s="41" t="str"/>
      <c r="Q3018" s="41" t="str"/>
      <c r="R3018" s="41" t="str"/>
      <c r="S3018" s="41" t="str"/>
      <c r="T3018" s="41" t="str"/>
      <c r="U3018" s="41" t="str"/>
      <c r="V3018" s="41" t="str"/>
      <c r="W3018" s="41" t="str"/>
    </row>
    <row r="3019">
      <c r="B3019" s="2" t="n"/>
      <c r="C3019" s="40" t="n"/>
      <c r="D3019" s="52">
        <f t="array" ref="D3019:W3019">IF(All_Students_Scores!C3017:V3017="","",All_Students_Scores!C3017:V3017)</f>
        <v/>
      </c>
      <c r="E3019" s="57" t="str"/>
      <c r="F3019" s="49" t="str"/>
      <c r="G3019" s="59" t="str"/>
      <c r="H3019" s="64" t="str"/>
      <c r="I3019" s="65" t="str"/>
      <c r="J3019" s="49" t="str"/>
      <c r="K3019" s="41" t="str"/>
      <c r="L3019" s="41" t="str"/>
      <c r="M3019" s="41" t="str"/>
      <c r="N3019" s="41" t="str"/>
      <c r="O3019" s="41" t="str"/>
      <c r="P3019" s="41" t="str"/>
      <c r="Q3019" s="41" t="str"/>
      <c r="R3019" s="41" t="str"/>
      <c r="S3019" s="41" t="str"/>
      <c r="T3019" s="41" t="str"/>
      <c r="U3019" s="41" t="str"/>
      <c r="V3019" s="41" t="str"/>
      <c r="W3019" s="41" t="str"/>
    </row>
    <row r="3020">
      <c r="B3020" s="2" t="n"/>
      <c r="C3020" s="40" t="n"/>
      <c r="D3020" s="52">
        <f t="array" ref="D3020:W3020">IF(All_Students_Scores!C3018:V3018="","",All_Students_Scores!C3018:V3018)</f>
        <v/>
      </c>
      <c r="E3020" s="57" t="str"/>
      <c r="F3020" s="49" t="str"/>
      <c r="G3020" s="59" t="str"/>
      <c r="H3020" s="64" t="str"/>
      <c r="I3020" s="65" t="str"/>
      <c r="J3020" s="49" t="str"/>
      <c r="K3020" s="41" t="str"/>
      <c r="L3020" s="41" t="str"/>
      <c r="M3020" s="41" t="str"/>
      <c r="N3020" s="41" t="str"/>
      <c r="O3020" s="41" t="str"/>
      <c r="P3020" s="41" t="str"/>
      <c r="Q3020" s="41" t="str"/>
      <c r="R3020" s="41" t="str"/>
      <c r="S3020" s="41" t="str"/>
      <c r="T3020" s="41" t="str"/>
      <c r="U3020" s="41" t="str"/>
      <c r="V3020" s="41" t="str"/>
      <c r="W3020" s="41" t="str"/>
    </row>
    <row r="3021">
      <c r="B3021" s="2" t="n"/>
      <c r="C3021" s="40" t="n"/>
      <c r="D3021" s="52">
        <f t="array" ref="D3021:W3021">IF(All_Students_Scores!C3019:V3019="","",All_Students_Scores!C3019:V3019)</f>
        <v/>
      </c>
      <c r="E3021" s="57" t="str"/>
      <c r="F3021" s="49" t="str"/>
      <c r="G3021" s="59" t="str"/>
      <c r="H3021" s="64" t="str"/>
      <c r="I3021" s="65" t="str"/>
      <c r="J3021" s="49" t="str"/>
      <c r="K3021" s="41" t="str"/>
      <c r="L3021" s="41" t="str"/>
      <c r="M3021" s="41" t="str"/>
      <c r="N3021" s="41" t="str"/>
      <c r="O3021" s="41" t="str"/>
      <c r="P3021" s="41" t="str"/>
      <c r="Q3021" s="41" t="str"/>
      <c r="R3021" s="41" t="str"/>
      <c r="S3021" s="41" t="str"/>
      <c r="T3021" s="41" t="str"/>
      <c r="U3021" s="41" t="str"/>
      <c r="V3021" s="41" t="str"/>
      <c r="W3021" s="41" t="str"/>
    </row>
    <row r="3022">
      <c r="B3022" s="2" t="n"/>
      <c r="C3022" s="40" t="n"/>
      <c r="D3022" s="52">
        <f t="array" ref="D3022:W3022">IF(All_Students_Scores!C3020:V3020="","",All_Students_Scores!C3020:V3020)</f>
        <v/>
      </c>
      <c r="E3022" s="57" t="str"/>
      <c r="F3022" s="49" t="str"/>
      <c r="G3022" s="59" t="str"/>
      <c r="H3022" s="64" t="str"/>
      <c r="I3022" s="65" t="str"/>
      <c r="J3022" s="49" t="str"/>
      <c r="K3022" s="41" t="str"/>
      <c r="L3022" s="41" t="str"/>
      <c r="M3022" s="41" t="str"/>
      <c r="N3022" s="41" t="str"/>
      <c r="O3022" s="41" t="str"/>
      <c r="P3022" s="41" t="str"/>
      <c r="Q3022" s="41" t="str"/>
      <c r="R3022" s="41" t="str"/>
      <c r="S3022" s="41" t="str"/>
      <c r="T3022" s="41" t="str"/>
      <c r="U3022" s="41" t="str"/>
      <c r="V3022" s="41" t="str"/>
      <c r="W3022" s="41" t="str"/>
    </row>
    <row r="3023">
      <c r="B3023" s="2" t="n"/>
      <c r="C3023" s="40" t="n"/>
      <c r="D3023" s="52">
        <f t="array" ref="D3023:W3023">IF(All_Students_Scores!C3021:V3021="","",All_Students_Scores!C3021:V3021)</f>
        <v/>
      </c>
      <c r="E3023" s="57" t="str"/>
      <c r="F3023" s="49" t="str"/>
      <c r="G3023" s="59" t="str"/>
      <c r="H3023" s="64" t="str"/>
      <c r="I3023" s="65" t="str"/>
      <c r="J3023" s="49" t="str"/>
      <c r="K3023" s="41" t="str"/>
      <c r="L3023" s="41" t="str"/>
      <c r="M3023" s="41" t="str"/>
      <c r="N3023" s="41" t="str"/>
      <c r="O3023" s="41" t="str"/>
      <c r="P3023" s="41" t="str"/>
      <c r="Q3023" s="41" t="str"/>
      <c r="R3023" s="41" t="str"/>
      <c r="S3023" s="41" t="str"/>
      <c r="T3023" s="41" t="str"/>
      <c r="U3023" s="41" t="str"/>
      <c r="V3023" s="41" t="str"/>
      <c r="W3023" s="41" t="str"/>
    </row>
    <row r="3024">
      <c r="B3024" s="2" t="n"/>
      <c r="C3024" s="40" t="n"/>
      <c r="D3024" s="52">
        <f t="array" ref="D3024:W3024">IF(All_Students_Scores!C3022:V3022="","",All_Students_Scores!C3022:V3022)</f>
        <v/>
      </c>
      <c r="E3024" s="57" t="str"/>
      <c r="F3024" s="49" t="str"/>
      <c r="G3024" s="59" t="str"/>
      <c r="H3024" s="64" t="str"/>
      <c r="I3024" s="65" t="str"/>
      <c r="J3024" s="49" t="str"/>
      <c r="K3024" s="41" t="str"/>
      <c r="L3024" s="41" t="str"/>
      <c r="M3024" s="41" t="str"/>
      <c r="N3024" s="41" t="str"/>
      <c r="O3024" s="41" t="str"/>
      <c r="P3024" s="41" t="str"/>
      <c r="Q3024" s="41" t="str"/>
      <c r="R3024" s="41" t="str"/>
      <c r="S3024" s="41" t="str"/>
      <c r="T3024" s="41" t="str"/>
      <c r="U3024" s="41" t="str"/>
      <c r="V3024" s="41" t="str"/>
      <c r="W3024" s="41" t="str"/>
    </row>
    <row r="3025">
      <c r="B3025" s="2" t="n"/>
      <c r="C3025" s="40" t="n"/>
      <c r="D3025" s="52">
        <f t="array" ref="D3025:W3025">IF(All_Students_Scores!C3023:V3023="","",All_Students_Scores!C3023:V3023)</f>
        <v/>
      </c>
      <c r="E3025" s="57" t="str"/>
      <c r="F3025" s="49" t="str"/>
      <c r="G3025" s="59" t="str"/>
      <c r="H3025" s="64" t="str"/>
      <c r="I3025" s="65" t="str"/>
      <c r="J3025" s="49" t="str"/>
      <c r="K3025" s="41" t="str"/>
      <c r="L3025" s="41" t="str"/>
      <c r="M3025" s="41" t="str"/>
      <c r="N3025" s="41" t="str"/>
      <c r="O3025" s="41" t="str"/>
      <c r="P3025" s="41" t="str"/>
      <c r="Q3025" s="41" t="str"/>
      <c r="R3025" s="41" t="str"/>
      <c r="S3025" s="41" t="str"/>
      <c r="T3025" s="41" t="str"/>
      <c r="U3025" s="41" t="str"/>
      <c r="V3025" s="41" t="str"/>
      <c r="W3025" s="41" t="str"/>
    </row>
    <row r="3026">
      <c r="B3026" s="2" t="n"/>
      <c r="C3026" s="40" t="n"/>
      <c r="D3026" s="52">
        <f t="array" ref="D3026:W3026">IF(All_Students_Scores!C3024:V3024="","",All_Students_Scores!C3024:V3024)</f>
        <v/>
      </c>
      <c r="E3026" s="57" t="str"/>
      <c r="F3026" s="49" t="str"/>
      <c r="G3026" s="59" t="str"/>
      <c r="H3026" s="64" t="str"/>
      <c r="I3026" s="65" t="str"/>
      <c r="J3026" s="49" t="str"/>
      <c r="K3026" s="41" t="str"/>
      <c r="L3026" s="41" t="str"/>
      <c r="M3026" s="41" t="str"/>
      <c r="N3026" s="41" t="str"/>
      <c r="O3026" s="41" t="str"/>
      <c r="P3026" s="41" t="str"/>
      <c r="Q3026" s="41" t="str"/>
      <c r="R3026" s="41" t="str"/>
      <c r="S3026" s="41" t="str"/>
      <c r="T3026" s="41" t="str"/>
      <c r="U3026" s="41" t="str"/>
      <c r="V3026" s="41" t="str"/>
      <c r="W3026" s="41" t="str"/>
    </row>
    <row r="3027">
      <c r="B3027" s="2" t="n"/>
      <c r="C3027" s="40" t="n"/>
      <c r="D3027" s="52">
        <f t="array" ref="D3027:W3027">IF(All_Students_Scores!C3025:V3025="","",All_Students_Scores!C3025:V3025)</f>
        <v/>
      </c>
      <c r="E3027" s="57" t="str"/>
      <c r="F3027" s="49" t="str"/>
      <c r="G3027" s="59" t="str"/>
      <c r="H3027" s="64" t="str"/>
      <c r="I3027" s="65" t="str"/>
      <c r="J3027" s="49" t="str"/>
      <c r="K3027" s="41" t="str"/>
      <c r="L3027" s="41" t="str"/>
      <c r="M3027" s="41" t="str"/>
      <c r="N3027" s="41" t="str"/>
      <c r="O3027" s="41" t="str"/>
      <c r="P3027" s="41" t="str"/>
      <c r="Q3027" s="41" t="str"/>
      <c r="R3027" s="41" t="str"/>
      <c r="S3027" s="41" t="str"/>
      <c r="T3027" s="41" t="str"/>
      <c r="U3027" s="41" t="str"/>
      <c r="V3027" s="41" t="str"/>
      <c r="W3027" s="41" t="str"/>
    </row>
    <row r="3028">
      <c r="B3028" s="2" t="n"/>
      <c r="C3028" s="40" t="n"/>
      <c r="D3028" s="52">
        <f t="array" ref="D3028:W3028">IF(All_Students_Scores!C3026:V3026="","",All_Students_Scores!C3026:V3026)</f>
        <v/>
      </c>
      <c r="E3028" s="57" t="str"/>
      <c r="F3028" s="49" t="str"/>
      <c r="G3028" s="59" t="str"/>
      <c r="H3028" s="64" t="str"/>
      <c r="I3028" s="65" t="str"/>
      <c r="J3028" s="49" t="str"/>
      <c r="K3028" s="41" t="str"/>
      <c r="L3028" s="41" t="str"/>
      <c r="M3028" s="41" t="str"/>
      <c r="N3028" s="41" t="str"/>
      <c r="O3028" s="41" t="str"/>
      <c r="P3028" s="41" t="str"/>
      <c r="Q3028" s="41" t="str"/>
      <c r="R3028" s="41" t="str"/>
      <c r="S3028" s="41" t="str"/>
      <c r="T3028" s="41" t="str"/>
      <c r="U3028" s="41" t="str"/>
      <c r="V3028" s="41" t="str"/>
      <c r="W3028" s="41" t="str"/>
    </row>
    <row r="3029">
      <c r="B3029" s="2" t="n"/>
      <c r="C3029" s="40" t="n"/>
      <c r="D3029" s="52">
        <f t="array" ref="D3029:W3029">IF(All_Students_Scores!C3027:V3027="","",All_Students_Scores!C3027:V3027)</f>
        <v/>
      </c>
      <c r="E3029" s="57" t="str"/>
      <c r="F3029" s="49" t="str"/>
      <c r="G3029" s="59" t="str"/>
      <c r="H3029" s="64" t="str"/>
      <c r="I3029" s="65" t="str"/>
      <c r="J3029" s="49" t="str"/>
      <c r="K3029" s="41" t="str"/>
      <c r="L3029" s="41" t="str"/>
      <c r="M3029" s="41" t="str"/>
      <c r="N3029" s="41" t="str"/>
      <c r="O3029" s="41" t="str"/>
      <c r="P3029" s="41" t="str"/>
      <c r="Q3029" s="41" t="str"/>
      <c r="R3029" s="41" t="str"/>
      <c r="S3029" s="41" t="str"/>
      <c r="T3029" s="41" t="str"/>
      <c r="U3029" s="41" t="str"/>
      <c r="V3029" s="41" t="str"/>
      <c r="W3029" s="41" t="str"/>
    </row>
    <row r="3030">
      <c r="B3030" s="2" t="n"/>
      <c r="C3030" s="40" t="n"/>
      <c r="D3030" s="52">
        <f t="array" ref="D3030:W3030">IF(All_Students_Scores!C3028:V3028="","",All_Students_Scores!C3028:V3028)</f>
        <v/>
      </c>
      <c r="E3030" s="57" t="str"/>
      <c r="F3030" s="49" t="str"/>
      <c r="G3030" s="59" t="str"/>
      <c r="H3030" s="64" t="str"/>
      <c r="I3030" s="65" t="str"/>
      <c r="J3030" s="49" t="str"/>
      <c r="K3030" s="41" t="str"/>
      <c r="L3030" s="41" t="str"/>
      <c r="M3030" s="41" t="str"/>
      <c r="N3030" s="41" t="str"/>
      <c r="O3030" s="41" t="str"/>
      <c r="P3030" s="41" t="str"/>
      <c r="Q3030" s="41" t="str"/>
      <c r="R3030" s="41" t="str"/>
      <c r="S3030" s="41" t="str"/>
      <c r="T3030" s="41" t="str"/>
      <c r="U3030" s="41" t="str"/>
      <c r="V3030" s="41" t="str"/>
      <c r="W3030" s="41" t="str"/>
    </row>
    <row r="3031">
      <c r="B3031" s="2" t="n"/>
      <c r="C3031" s="40" t="n"/>
      <c r="D3031" s="52">
        <f t="array" ref="D3031:W3031">IF(All_Students_Scores!C3029:V3029="","",All_Students_Scores!C3029:V3029)</f>
        <v/>
      </c>
      <c r="E3031" s="57" t="str"/>
      <c r="F3031" s="49" t="str"/>
      <c r="G3031" s="59" t="str"/>
      <c r="H3031" s="64" t="str"/>
      <c r="I3031" s="65" t="str"/>
      <c r="J3031" s="49" t="str"/>
      <c r="K3031" s="41" t="str"/>
      <c r="L3031" s="41" t="str"/>
      <c r="M3031" s="41" t="str"/>
      <c r="N3031" s="41" t="str"/>
      <c r="O3031" s="41" t="str"/>
      <c r="P3031" s="41" t="str"/>
      <c r="Q3031" s="41" t="str"/>
      <c r="R3031" s="41" t="str"/>
      <c r="S3031" s="41" t="str"/>
      <c r="T3031" s="41" t="str"/>
      <c r="U3031" s="41" t="str"/>
      <c r="V3031" s="41" t="str"/>
      <c r="W3031" s="41" t="str"/>
    </row>
    <row r="3032">
      <c r="B3032" s="2" t="n"/>
      <c r="C3032" s="40" t="n"/>
      <c r="D3032" s="52">
        <f t="array" ref="D3032:W3032">IF(All_Students_Scores!C3030:V3030="","",All_Students_Scores!C3030:V3030)</f>
        <v/>
      </c>
      <c r="E3032" s="57" t="str"/>
      <c r="F3032" s="49" t="str"/>
      <c r="G3032" s="59" t="str"/>
      <c r="H3032" s="64" t="str"/>
      <c r="I3032" s="65" t="str"/>
      <c r="J3032" s="49" t="str"/>
      <c r="K3032" s="41" t="str"/>
      <c r="L3032" s="41" t="str"/>
      <c r="M3032" s="41" t="str"/>
      <c r="N3032" s="41" t="str"/>
      <c r="O3032" s="41" t="str"/>
      <c r="P3032" s="41" t="str"/>
      <c r="Q3032" s="41" t="str"/>
      <c r="R3032" s="41" t="str"/>
      <c r="S3032" s="41" t="str"/>
      <c r="T3032" s="41" t="str"/>
      <c r="U3032" s="41" t="str"/>
      <c r="V3032" s="41" t="str"/>
      <c r="W3032" s="41" t="str"/>
    </row>
    <row r="3033">
      <c r="B3033" s="2" t="n"/>
      <c r="C3033" s="40" t="n"/>
      <c r="D3033" s="52">
        <f t="array" ref="D3033:W3033">IF(All_Students_Scores!C3031:V3031="","",All_Students_Scores!C3031:V3031)</f>
        <v/>
      </c>
      <c r="E3033" s="57" t="str"/>
      <c r="F3033" s="49" t="str"/>
      <c r="G3033" s="59" t="str"/>
      <c r="H3033" s="64" t="str"/>
      <c r="I3033" s="65" t="str"/>
      <c r="J3033" s="49" t="str"/>
      <c r="K3033" s="41" t="str"/>
      <c r="L3033" s="41" t="str"/>
      <c r="M3033" s="41" t="str"/>
      <c r="N3033" s="41" t="str"/>
      <c r="O3033" s="41" t="str"/>
      <c r="P3033" s="41" t="str"/>
      <c r="Q3033" s="41" t="str"/>
      <c r="R3033" s="41" t="str"/>
      <c r="S3033" s="41" t="str"/>
      <c r="T3033" s="41" t="str"/>
      <c r="U3033" s="41" t="str"/>
      <c r="V3033" s="41" t="str"/>
      <c r="W3033" s="41" t="str"/>
    </row>
    <row r="3034">
      <c r="B3034" s="2" t="n"/>
      <c r="C3034" s="40" t="n"/>
      <c r="D3034" s="52">
        <f t="array" ref="D3034:W3034">IF(All_Students_Scores!C3032:V3032="","",All_Students_Scores!C3032:V3032)</f>
        <v/>
      </c>
      <c r="E3034" s="57" t="str"/>
      <c r="F3034" s="49" t="str"/>
      <c r="G3034" s="59" t="str"/>
      <c r="H3034" s="64" t="str"/>
      <c r="I3034" s="65" t="str"/>
      <c r="J3034" s="49" t="str"/>
      <c r="K3034" s="41" t="str"/>
      <c r="L3034" s="41" t="str"/>
      <c r="M3034" s="41" t="str"/>
      <c r="N3034" s="41" t="str"/>
      <c r="O3034" s="41" t="str"/>
      <c r="P3034" s="41" t="str"/>
      <c r="Q3034" s="41" t="str"/>
      <c r="R3034" s="41" t="str"/>
      <c r="S3034" s="41" t="str"/>
      <c r="T3034" s="41" t="str"/>
      <c r="U3034" s="41" t="str"/>
      <c r="V3034" s="41" t="str"/>
      <c r="W3034" s="41" t="str"/>
    </row>
    <row r="3035">
      <c r="B3035" s="2" t="n"/>
      <c r="C3035" s="40" t="n"/>
      <c r="D3035" s="52">
        <f t="array" ref="D3035:W3035">IF(All_Students_Scores!C3033:V3033="","",All_Students_Scores!C3033:V3033)</f>
        <v/>
      </c>
      <c r="E3035" s="57" t="str"/>
      <c r="F3035" s="49" t="str"/>
      <c r="G3035" s="59" t="str"/>
      <c r="H3035" s="64" t="str"/>
      <c r="I3035" s="65" t="str"/>
      <c r="J3035" s="49" t="str"/>
      <c r="K3035" s="41" t="str"/>
      <c r="L3035" s="41" t="str"/>
      <c r="M3035" s="41" t="str"/>
      <c r="N3035" s="41" t="str"/>
      <c r="O3035" s="41" t="str"/>
      <c r="P3035" s="41" t="str"/>
      <c r="Q3035" s="41" t="str"/>
      <c r="R3035" s="41" t="str"/>
      <c r="S3035" s="41" t="str"/>
      <c r="T3035" s="41" t="str"/>
      <c r="U3035" s="41" t="str"/>
      <c r="V3035" s="41" t="str"/>
      <c r="W3035" s="41" t="str"/>
    </row>
    <row r="3036">
      <c r="B3036" s="2" t="n"/>
      <c r="C3036" s="40" t="n"/>
      <c r="D3036" s="52">
        <f t="array" ref="D3036:W3036">IF(All_Students_Scores!C3034:V3034="","",All_Students_Scores!C3034:V3034)</f>
        <v/>
      </c>
      <c r="E3036" s="57" t="str"/>
      <c r="F3036" s="49" t="str"/>
      <c r="G3036" s="59" t="str"/>
      <c r="H3036" s="64" t="str"/>
      <c r="I3036" s="65" t="str"/>
      <c r="J3036" s="49" t="str"/>
      <c r="K3036" s="41" t="str"/>
      <c r="L3036" s="41" t="str"/>
      <c r="M3036" s="41" t="str"/>
      <c r="N3036" s="41" t="str"/>
      <c r="O3036" s="41" t="str"/>
      <c r="P3036" s="41" t="str"/>
      <c r="Q3036" s="41" t="str"/>
      <c r="R3036" s="41" t="str"/>
      <c r="S3036" s="41" t="str"/>
      <c r="T3036" s="41" t="str"/>
      <c r="U3036" s="41" t="str"/>
      <c r="V3036" s="41" t="str"/>
      <c r="W3036" s="41" t="str"/>
    </row>
    <row r="3037">
      <c r="B3037" s="2" t="n"/>
      <c r="C3037" s="40" t="n"/>
      <c r="D3037" s="52">
        <f t="array" ref="D3037:W3037">IF(All_Students_Scores!C3035:V3035="","",All_Students_Scores!C3035:V3035)</f>
        <v/>
      </c>
      <c r="E3037" s="57" t="str"/>
      <c r="F3037" s="49" t="str"/>
      <c r="G3037" s="59" t="str"/>
      <c r="H3037" s="64" t="str"/>
      <c r="I3037" s="65" t="str"/>
      <c r="J3037" s="49" t="str"/>
      <c r="K3037" s="41" t="str"/>
      <c r="L3037" s="41" t="str"/>
      <c r="M3037" s="41" t="str"/>
      <c r="N3037" s="41" t="str"/>
      <c r="O3037" s="41" t="str"/>
      <c r="P3037" s="41" t="str"/>
      <c r="Q3037" s="41" t="str"/>
      <c r="R3037" s="41" t="str"/>
      <c r="S3037" s="41" t="str"/>
      <c r="T3037" s="41" t="str"/>
      <c r="U3037" s="41" t="str"/>
      <c r="V3037" s="41" t="str"/>
      <c r="W3037" s="41" t="str"/>
    </row>
    <row r="3038">
      <c r="B3038" s="2" t="n"/>
      <c r="C3038" s="40" t="n"/>
      <c r="D3038" s="52">
        <f t="array" ref="D3038:W3038">IF(All_Students_Scores!C3036:V3036="","",All_Students_Scores!C3036:V3036)</f>
        <v/>
      </c>
      <c r="E3038" s="57" t="str"/>
      <c r="F3038" s="49" t="str"/>
      <c r="G3038" s="59" t="str"/>
      <c r="H3038" s="64" t="str"/>
      <c r="I3038" s="65" t="str"/>
      <c r="J3038" s="49" t="str"/>
      <c r="K3038" s="41" t="str"/>
      <c r="L3038" s="41" t="str"/>
      <c r="M3038" s="41" t="str"/>
      <c r="N3038" s="41" t="str"/>
      <c r="O3038" s="41" t="str"/>
      <c r="P3038" s="41" t="str"/>
      <c r="Q3038" s="41" t="str"/>
      <c r="R3038" s="41" t="str"/>
      <c r="S3038" s="41" t="str"/>
      <c r="T3038" s="41" t="str"/>
      <c r="U3038" s="41" t="str"/>
      <c r="V3038" s="41" t="str"/>
      <c r="W3038" s="41" t="str"/>
    </row>
    <row r="3039">
      <c r="B3039" s="2" t="n"/>
      <c r="C3039" s="40" t="n"/>
      <c r="D3039" s="52">
        <f t="array" ref="D3039:W3039">IF(All_Students_Scores!C3037:V3037="","",All_Students_Scores!C3037:V3037)</f>
        <v/>
      </c>
      <c r="E3039" s="57" t="str"/>
      <c r="F3039" s="49" t="str"/>
      <c r="G3039" s="59" t="str"/>
      <c r="H3039" s="64" t="str"/>
      <c r="I3039" s="65" t="str"/>
      <c r="J3039" s="49" t="str"/>
      <c r="K3039" s="41" t="str"/>
      <c r="L3039" s="41" t="str"/>
      <c r="M3039" s="41" t="str"/>
      <c r="N3039" s="41" t="str"/>
      <c r="O3039" s="41" t="str"/>
      <c r="P3039" s="41" t="str"/>
      <c r="Q3039" s="41" t="str"/>
      <c r="R3039" s="41" t="str"/>
      <c r="S3039" s="41" t="str"/>
      <c r="T3039" s="41" t="str"/>
      <c r="U3039" s="41" t="str"/>
      <c r="V3039" s="41" t="str"/>
      <c r="W3039" s="41" t="str"/>
    </row>
    <row r="3040">
      <c r="B3040" s="2" t="n"/>
      <c r="C3040" s="40" t="n"/>
      <c r="D3040" s="52">
        <f t="array" ref="D3040:W3040">IF(All_Students_Scores!C3038:V3038="","",All_Students_Scores!C3038:V3038)</f>
        <v/>
      </c>
      <c r="E3040" s="57" t="str"/>
      <c r="F3040" s="49" t="str"/>
      <c r="G3040" s="59" t="str"/>
      <c r="H3040" s="64" t="str"/>
      <c r="I3040" s="65" t="str"/>
      <c r="J3040" s="49" t="str"/>
      <c r="K3040" s="41" t="str"/>
      <c r="L3040" s="41" t="str"/>
      <c r="M3040" s="41" t="str"/>
      <c r="N3040" s="41" t="str"/>
      <c r="O3040" s="41" t="str"/>
      <c r="P3040" s="41" t="str"/>
      <c r="Q3040" s="41" t="str"/>
      <c r="R3040" s="41" t="str"/>
      <c r="S3040" s="41" t="str"/>
      <c r="T3040" s="41" t="str"/>
      <c r="U3040" s="41" t="str"/>
      <c r="V3040" s="41" t="str"/>
      <c r="W3040" s="41" t="str"/>
    </row>
    <row r="3041">
      <c r="B3041" s="2" t="n"/>
      <c r="C3041" s="40" t="n"/>
      <c r="D3041" s="52">
        <f t="array" ref="D3041:W3041">IF(All_Students_Scores!C3039:V3039="","",All_Students_Scores!C3039:V3039)</f>
        <v/>
      </c>
      <c r="E3041" s="57" t="str"/>
      <c r="F3041" s="49" t="str"/>
      <c r="G3041" s="59" t="str"/>
      <c r="H3041" s="64" t="str"/>
      <c r="I3041" s="65" t="str"/>
      <c r="J3041" s="49" t="str"/>
      <c r="K3041" s="41" t="str"/>
      <c r="L3041" s="41" t="str"/>
      <c r="M3041" s="41" t="str"/>
      <c r="N3041" s="41" t="str"/>
      <c r="O3041" s="41" t="str"/>
      <c r="P3041" s="41" t="str"/>
      <c r="Q3041" s="41" t="str"/>
      <c r="R3041" s="41" t="str"/>
      <c r="S3041" s="41" t="str"/>
      <c r="T3041" s="41" t="str"/>
      <c r="U3041" s="41" t="str"/>
      <c r="V3041" s="41" t="str"/>
      <c r="W3041" s="41" t="str"/>
    </row>
    <row r="3042">
      <c r="B3042" s="2" t="n"/>
      <c r="C3042" s="40" t="n"/>
      <c r="D3042" s="52">
        <f t="array" ref="D3042:W3042">IF(All_Students_Scores!C3040:V3040="","",All_Students_Scores!C3040:V3040)</f>
        <v/>
      </c>
      <c r="E3042" s="57" t="str"/>
      <c r="F3042" s="49" t="str"/>
      <c r="G3042" s="59" t="str"/>
      <c r="H3042" s="64" t="str"/>
      <c r="I3042" s="65" t="str"/>
      <c r="J3042" s="49" t="str"/>
      <c r="K3042" s="41" t="str"/>
      <c r="L3042" s="41" t="str"/>
      <c r="M3042" s="41" t="str"/>
      <c r="N3042" s="41" t="str"/>
      <c r="O3042" s="41" t="str"/>
      <c r="P3042" s="41" t="str"/>
      <c r="Q3042" s="41" t="str"/>
      <c r="R3042" s="41" t="str"/>
      <c r="S3042" s="41" t="str"/>
      <c r="T3042" s="41" t="str"/>
      <c r="U3042" s="41" t="str"/>
      <c r="V3042" s="41" t="str"/>
      <c r="W3042" s="41" t="str"/>
    </row>
    <row r="3043">
      <c r="B3043" s="2" t="n"/>
      <c r="C3043" s="40" t="n"/>
      <c r="D3043" s="52">
        <f t="array" ref="D3043:W3043">IF(All_Students_Scores!C3041:V3041="","",All_Students_Scores!C3041:V3041)</f>
        <v/>
      </c>
      <c r="E3043" s="57" t="str"/>
      <c r="F3043" s="49" t="str"/>
      <c r="G3043" s="59" t="str"/>
      <c r="H3043" s="64" t="str"/>
      <c r="I3043" s="65" t="str"/>
      <c r="J3043" s="49" t="str"/>
      <c r="K3043" s="41" t="str"/>
      <c r="L3043" s="41" t="str"/>
      <c r="M3043" s="41" t="str"/>
      <c r="N3043" s="41" t="str"/>
      <c r="O3043" s="41" t="str"/>
      <c r="P3043" s="41" t="str"/>
      <c r="Q3043" s="41" t="str"/>
      <c r="R3043" s="41" t="str"/>
      <c r="S3043" s="41" t="str"/>
      <c r="T3043" s="41" t="str"/>
      <c r="U3043" s="41" t="str"/>
      <c r="V3043" s="41" t="str"/>
      <c r="W3043" s="41" t="str"/>
    </row>
    <row r="3044">
      <c r="B3044" s="2" t="n"/>
      <c r="C3044" s="40" t="n"/>
      <c r="D3044" s="52">
        <f t="array" ref="D3044:W3044">IF(All_Students_Scores!C3042:V3042="","",All_Students_Scores!C3042:V3042)</f>
        <v/>
      </c>
      <c r="E3044" s="57" t="str"/>
      <c r="F3044" s="49" t="str"/>
      <c r="G3044" s="59" t="str"/>
      <c r="H3044" s="64" t="str"/>
      <c r="I3044" s="65" t="str"/>
      <c r="J3044" s="49" t="str"/>
      <c r="K3044" s="41" t="str"/>
      <c r="L3044" s="41" t="str"/>
      <c r="M3044" s="41" t="str"/>
      <c r="N3044" s="41" t="str"/>
      <c r="O3044" s="41" t="str"/>
      <c r="P3044" s="41" t="str"/>
      <c r="Q3044" s="41" t="str"/>
      <c r="R3044" s="41" t="str"/>
      <c r="S3044" s="41" t="str"/>
      <c r="T3044" s="41" t="str"/>
      <c r="U3044" s="41" t="str"/>
      <c r="V3044" s="41" t="str"/>
      <c r="W3044" s="41" t="str"/>
    </row>
    <row r="3045">
      <c r="B3045" s="2" t="n"/>
      <c r="C3045" s="40" t="n"/>
      <c r="D3045" s="52">
        <f t="array" ref="D3045:W3045">IF(All_Students_Scores!C3043:V3043="","",All_Students_Scores!C3043:V3043)</f>
        <v/>
      </c>
      <c r="E3045" s="57" t="str"/>
      <c r="F3045" s="49" t="str"/>
      <c r="G3045" s="59" t="str"/>
      <c r="H3045" s="64" t="str"/>
      <c r="I3045" s="65" t="str"/>
      <c r="J3045" s="49" t="str"/>
      <c r="K3045" s="41" t="str"/>
      <c r="L3045" s="41" t="str"/>
      <c r="M3045" s="41" t="str"/>
      <c r="N3045" s="41" t="str"/>
      <c r="O3045" s="41" t="str"/>
      <c r="P3045" s="41" t="str"/>
      <c r="Q3045" s="41" t="str"/>
      <c r="R3045" s="41" t="str"/>
      <c r="S3045" s="41" t="str"/>
      <c r="T3045" s="41" t="str"/>
      <c r="U3045" s="41" t="str"/>
      <c r="V3045" s="41" t="str"/>
      <c r="W3045" s="41" t="str"/>
    </row>
    <row r="3046">
      <c r="B3046" s="2" t="n"/>
      <c r="C3046" s="40" t="n"/>
      <c r="D3046" s="52">
        <f t="array" ref="D3046:W3046">IF(All_Students_Scores!C3044:V3044="","",All_Students_Scores!C3044:V3044)</f>
        <v/>
      </c>
      <c r="E3046" s="57" t="str"/>
      <c r="F3046" s="49" t="str"/>
      <c r="G3046" s="59" t="str"/>
      <c r="H3046" s="64" t="str"/>
      <c r="I3046" s="65" t="str"/>
      <c r="J3046" s="49" t="str"/>
      <c r="K3046" s="41" t="str"/>
      <c r="L3046" s="41" t="str"/>
      <c r="M3046" s="41" t="str"/>
      <c r="N3046" s="41" t="str"/>
      <c r="O3046" s="41" t="str"/>
      <c r="P3046" s="41" t="str"/>
      <c r="Q3046" s="41" t="str"/>
      <c r="R3046" s="41" t="str"/>
      <c r="S3046" s="41" t="str"/>
      <c r="T3046" s="41" t="str"/>
      <c r="U3046" s="41" t="str"/>
      <c r="V3046" s="41" t="str"/>
      <c r="W3046" s="41" t="str"/>
    </row>
    <row r="3047">
      <c r="B3047" s="2" t="n"/>
      <c r="C3047" s="40" t="n"/>
      <c r="D3047" s="52">
        <f t="array" ref="D3047:W3047">IF(All_Students_Scores!C3045:V3045="","",All_Students_Scores!C3045:V3045)</f>
        <v/>
      </c>
      <c r="E3047" s="57" t="str"/>
      <c r="F3047" s="49" t="str"/>
      <c r="G3047" s="59" t="str"/>
      <c r="H3047" s="64" t="str"/>
      <c r="I3047" s="65" t="str"/>
      <c r="J3047" s="49" t="str"/>
      <c r="K3047" s="41" t="str"/>
      <c r="L3047" s="41" t="str"/>
      <c r="M3047" s="41" t="str"/>
      <c r="N3047" s="41" t="str"/>
      <c r="O3047" s="41" t="str"/>
      <c r="P3047" s="41" t="str"/>
      <c r="Q3047" s="41" t="str"/>
      <c r="R3047" s="41" t="str"/>
      <c r="S3047" s="41" t="str"/>
      <c r="T3047" s="41" t="str"/>
      <c r="U3047" s="41" t="str"/>
      <c r="V3047" s="41" t="str"/>
      <c r="W3047" s="41" t="str"/>
    </row>
    <row r="3048">
      <c r="B3048" s="2" t="n"/>
      <c r="C3048" s="40" t="n"/>
      <c r="D3048" s="52">
        <f t="array" ref="D3048:W3048">IF(All_Students_Scores!C3046:V3046="","",All_Students_Scores!C3046:V3046)</f>
        <v/>
      </c>
      <c r="E3048" s="57" t="str"/>
      <c r="F3048" s="49" t="str"/>
      <c r="G3048" s="59" t="str"/>
      <c r="H3048" s="64" t="str"/>
      <c r="I3048" s="65" t="str"/>
      <c r="J3048" s="49" t="str"/>
      <c r="K3048" s="41" t="str"/>
      <c r="L3048" s="41" t="str"/>
      <c r="M3048" s="41" t="str"/>
      <c r="N3048" s="41" t="str"/>
      <c r="O3048" s="41" t="str"/>
      <c r="P3048" s="41" t="str"/>
      <c r="Q3048" s="41" t="str"/>
      <c r="R3048" s="41" t="str"/>
      <c r="S3048" s="41" t="str"/>
      <c r="T3048" s="41" t="str"/>
      <c r="U3048" s="41" t="str"/>
      <c r="V3048" s="41" t="str"/>
      <c r="W3048" s="41" t="str"/>
    </row>
    <row r="3049">
      <c r="B3049" s="2" t="n"/>
      <c r="C3049" s="40" t="n"/>
      <c r="D3049" s="52">
        <f t="array" ref="D3049:W3049">IF(All_Students_Scores!C3047:V3047="","",All_Students_Scores!C3047:V3047)</f>
        <v/>
      </c>
      <c r="E3049" s="57" t="str"/>
      <c r="F3049" s="49" t="str"/>
      <c r="G3049" s="59" t="str"/>
      <c r="H3049" s="64" t="str"/>
      <c r="I3049" s="65" t="str"/>
      <c r="J3049" s="49" t="str"/>
      <c r="K3049" s="41" t="str"/>
      <c r="L3049" s="41" t="str"/>
      <c r="M3049" s="41" t="str"/>
      <c r="N3049" s="41" t="str"/>
      <c r="O3049" s="41" t="str"/>
      <c r="P3049" s="41" t="str"/>
      <c r="Q3049" s="41" t="str"/>
      <c r="R3049" s="41" t="str"/>
      <c r="S3049" s="41" t="str"/>
      <c r="T3049" s="41" t="str"/>
      <c r="U3049" s="41" t="str"/>
      <c r="V3049" s="41" t="str"/>
      <c r="W3049" s="41" t="str"/>
    </row>
    <row r="3050">
      <c r="B3050" s="2" t="n"/>
      <c r="C3050" s="40" t="n"/>
      <c r="D3050" s="52">
        <f t="array" ref="D3050:W3050">IF(All_Students_Scores!C3048:V3048="","",All_Students_Scores!C3048:V3048)</f>
        <v/>
      </c>
      <c r="E3050" s="57" t="str"/>
      <c r="F3050" s="49" t="str"/>
      <c r="G3050" s="59" t="str"/>
      <c r="H3050" s="64" t="str"/>
      <c r="I3050" s="65" t="str"/>
      <c r="J3050" s="49" t="str"/>
      <c r="K3050" s="41" t="str"/>
      <c r="L3050" s="41" t="str"/>
      <c r="M3050" s="41" t="str"/>
      <c r="N3050" s="41" t="str"/>
      <c r="O3050" s="41" t="str"/>
      <c r="P3050" s="41" t="str"/>
      <c r="Q3050" s="41" t="str"/>
      <c r="R3050" s="41" t="str"/>
      <c r="S3050" s="41" t="str"/>
      <c r="T3050" s="41" t="str"/>
      <c r="U3050" s="41" t="str"/>
      <c r="V3050" s="41" t="str"/>
      <c r="W3050" s="41" t="str"/>
    </row>
    <row r="3051">
      <c r="B3051" s="2" t="n"/>
      <c r="C3051" s="40" t="n"/>
      <c r="D3051" s="52">
        <f t="array" ref="D3051:W3051">IF(All_Students_Scores!C3049:V3049="","",All_Students_Scores!C3049:V3049)</f>
        <v/>
      </c>
      <c r="E3051" s="57" t="str"/>
      <c r="F3051" s="49" t="str"/>
      <c r="G3051" s="59" t="str"/>
      <c r="H3051" s="64" t="str"/>
      <c r="I3051" s="65" t="str"/>
      <c r="J3051" s="49" t="str"/>
      <c r="K3051" s="41" t="str"/>
      <c r="L3051" s="41" t="str"/>
      <c r="M3051" s="41" t="str"/>
      <c r="N3051" s="41" t="str"/>
      <c r="O3051" s="41" t="str"/>
      <c r="P3051" s="41" t="str"/>
      <c r="Q3051" s="41" t="str"/>
      <c r="R3051" s="41" t="str"/>
      <c r="S3051" s="41" t="str"/>
      <c r="T3051" s="41" t="str"/>
      <c r="U3051" s="41" t="str"/>
      <c r="V3051" s="41" t="str"/>
      <c r="W3051" s="41" t="str"/>
    </row>
    <row r="3052">
      <c r="B3052" s="2" t="n"/>
      <c r="C3052" s="40" t="n"/>
      <c r="D3052" s="52">
        <f t="array" ref="D3052:W3052">IF(All_Students_Scores!C3050:V3050="","",All_Students_Scores!C3050:V3050)</f>
        <v/>
      </c>
      <c r="E3052" s="57" t="str"/>
      <c r="F3052" s="49" t="str"/>
      <c r="G3052" s="59" t="str"/>
      <c r="H3052" s="64" t="str"/>
      <c r="I3052" s="65" t="str"/>
      <c r="J3052" s="49" t="str"/>
      <c r="K3052" s="41" t="str"/>
      <c r="L3052" s="41" t="str"/>
      <c r="M3052" s="41" t="str"/>
      <c r="N3052" s="41" t="str"/>
      <c r="O3052" s="41" t="str"/>
      <c r="P3052" s="41" t="str"/>
      <c r="Q3052" s="41" t="str"/>
      <c r="R3052" s="41" t="str"/>
      <c r="S3052" s="41" t="str"/>
      <c r="T3052" s="41" t="str"/>
      <c r="U3052" s="41" t="str"/>
      <c r="V3052" s="41" t="str"/>
      <c r="W3052" s="41" t="str"/>
    </row>
    <row r="3053">
      <c r="B3053" s="2" t="n"/>
      <c r="C3053" s="40" t="n"/>
      <c r="D3053" s="52">
        <f t="array" ref="D3053:W3053">IF(All_Students_Scores!C3051:V3051="","",All_Students_Scores!C3051:V3051)</f>
        <v/>
      </c>
      <c r="E3053" s="57" t="str"/>
      <c r="F3053" s="49" t="str"/>
      <c r="G3053" s="59" t="str"/>
      <c r="H3053" s="64" t="str"/>
      <c r="I3053" s="65" t="str"/>
      <c r="J3053" s="49" t="str"/>
      <c r="K3053" s="41" t="str"/>
      <c r="L3053" s="41" t="str"/>
      <c r="M3053" s="41" t="str"/>
      <c r="N3053" s="41" t="str"/>
      <c r="O3053" s="41" t="str"/>
      <c r="P3053" s="41" t="str"/>
      <c r="Q3053" s="41" t="str"/>
      <c r="R3053" s="41" t="str"/>
      <c r="S3053" s="41" t="str"/>
      <c r="T3053" s="41" t="str"/>
      <c r="U3053" s="41" t="str"/>
      <c r="V3053" s="41" t="str"/>
      <c r="W3053" s="41" t="str"/>
    </row>
    <row r="3054">
      <c r="B3054" s="2" t="n"/>
      <c r="C3054" s="40" t="n"/>
      <c r="D3054" s="52">
        <f t="array" ref="D3054:W3054">IF(All_Students_Scores!C3052:V3052="","",All_Students_Scores!C3052:V3052)</f>
        <v/>
      </c>
      <c r="E3054" s="57" t="str"/>
      <c r="F3054" s="49" t="str"/>
      <c r="G3054" s="59" t="str"/>
      <c r="H3054" s="64" t="str"/>
      <c r="I3054" s="65" t="str"/>
      <c r="J3054" s="49" t="str"/>
      <c r="K3054" s="41" t="str"/>
      <c r="L3054" s="41" t="str"/>
      <c r="M3054" s="41" t="str"/>
      <c r="N3054" s="41" t="str"/>
      <c r="O3054" s="41" t="str"/>
      <c r="P3054" s="41" t="str"/>
      <c r="Q3054" s="41" t="str"/>
      <c r="R3054" s="41" t="str"/>
      <c r="S3054" s="41" t="str"/>
      <c r="T3054" s="41" t="str"/>
      <c r="U3054" s="41" t="str"/>
      <c r="V3054" s="41" t="str"/>
      <c r="W3054" s="41" t="str"/>
    </row>
    <row r="3055">
      <c r="B3055" s="2" t="n"/>
      <c r="C3055" s="40" t="n"/>
      <c r="D3055" s="52">
        <f t="array" ref="D3055:W3055">IF(All_Students_Scores!C3053:V3053="","",All_Students_Scores!C3053:V3053)</f>
        <v/>
      </c>
      <c r="E3055" s="57" t="str"/>
      <c r="F3055" s="49" t="str"/>
      <c r="G3055" s="59" t="str"/>
      <c r="H3055" s="64" t="str"/>
      <c r="I3055" s="65" t="str"/>
      <c r="J3055" s="49" t="str"/>
      <c r="K3055" s="41" t="str"/>
      <c r="L3055" s="41" t="str"/>
      <c r="M3055" s="41" t="str"/>
      <c r="N3055" s="41" t="str"/>
      <c r="O3055" s="41" t="str"/>
      <c r="P3055" s="41" t="str"/>
      <c r="Q3055" s="41" t="str"/>
      <c r="R3055" s="41" t="str"/>
      <c r="S3055" s="41" t="str"/>
      <c r="T3055" s="41" t="str"/>
      <c r="U3055" s="41" t="str"/>
      <c r="V3055" s="41" t="str"/>
      <c r="W3055" s="41" t="str"/>
    </row>
    <row r="3056">
      <c r="B3056" s="2" t="n"/>
      <c r="C3056" s="40" t="n"/>
      <c r="D3056" s="52">
        <f t="array" ref="D3056:W3056">IF(All_Students_Scores!C3054:V3054="","",All_Students_Scores!C3054:V3054)</f>
        <v/>
      </c>
      <c r="E3056" s="57" t="str"/>
      <c r="F3056" s="49" t="str"/>
      <c r="G3056" s="59" t="str"/>
      <c r="H3056" s="64" t="str"/>
      <c r="I3056" s="65" t="str"/>
      <c r="J3056" s="49" t="str"/>
      <c r="K3056" s="41" t="str"/>
      <c r="L3056" s="41" t="str"/>
      <c r="M3056" s="41" t="str"/>
      <c r="N3056" s="41" t="str"/>
      <c r="O3056" s="41" t="str"/>
      <c r="P3056" s="41" t="str"/>
      <c r="Q3056" s="41" t="str"/>
      <c r="R3056" s="41" t="str"/>
      <c r="S3056" s="41" t="str"/>
      <c r="T3056" s="41" t="str"/>
      <c r="U3056" s="41" t="str"/>
      <c r="V3056" s="41" t="str"/>
      <c r="W3056" s="41" t="str"/>
    </row>
    <row r="3057">
      <c r="B3057" s="2" t="n"/>
      <c r="C3057" s="40" t="n"/>
      <c r="D3057" s="52">
        <f t="array" ref="D3057:W3057">IF(All_Students_Scores!C3055:V3055="","",All_Students_Scores!C3055:V3055)</f>
        <v/>
      </c>
      <c r="E3057" s="57" t="str"/>
      <c r="F3057" s="49" t="str"/>
      <c r="G3057" s="59" t="str"/>
      <c r="H3057" s="64" t="str"/>
      <c r="I3057" s="65" t="str"/>
      <c r="J3057" s="49" t="str"/>
      <c r="K3057" s="41" t="str"/>
      <c r="L3057" s="41" t="str"/>
      <c r="M3057" s="41" t="str"/>
      <c r="N3057" s="41" t="str"/>
      <c r="O3057" s="41" t="str"/>
      <c r="P3057" s="41" t="str"/>
      <c r="Q3057" s="41" t="str"/>
      <c r="R3057" s="41" t="str"/>
      <c r="S3057" s="41" t="str"/>
      <c r="T3057" s="41" t="str"/>
      <c r="U3057" s="41" t="str"/>
      <c r="V3057" s="41" t="str"/>
      <c r="W3057" s="41" t="str"/>
    </row>
    <row r="3058">
      <c r="B3058" s="2" t="n"/>
      <c r="C3058" s="40" t="n"/>
      <c r="D3058" s="52">
        <f t="array" ref="D3058:W3058">IF(All_Students_Scores!C3056:V3056="","",All_Students_Scores!C3056:V3056)</f>
        <v/>
      </c>
      <c r="E3058" s="57" t="str"/>
      <c r="F3058" s="49" t="str"/>
      <c r="G3058" s="59" t="str"/>
      <c r="H3058" s="64" t="str"/>
      <c r="I3058" s="65" t="str"/>
      <c r="J3058" s="49" t="str"/>
      <c r="K3058" s="41" t="str"/>
      <c r="L3058" s="41" t="str"/>
      <c r="M3058" s="41" t="str"/>
      <c r="N3058" s="41" t="str"/>
      <c r="O3058" s="41" t="str"/>
      <c r="P3058" s="41" t="str"/>
      <c r="Q3058" s="41" t="str"/>
      <c r="R3058" s="41" t="str"/>
      <c r="S3058" s="41" t="str"/>
      <c r="T3058" s="41" t="str"/>
      <c r="U3058" s="41" t="str"/>
      <c r="V3058" s="41" t="str"/>
      <c r="W3058" s="41" t="str"/>
    </row>
    <row r="3059">
      <c r="B3059" s="2" t="n"/>
      <c r="C3059" s="40" t="n"/>
      <c r="D3059" s="52">
        <f t="array" ref="D3059:W3059">IF(All_Students_Scores!C3057:V3057="","",All_Students_Scores!C3057:V3057)</f>
        <v/>
      </c>
      <c r="E3059" s="57" t="str"/>
      <c r="F3059" s="49" t="str"/>
      <c r="G3059" s="59" t="str"/>
      <c r="H3059" s="64" t="str"/>
      <c r="I3059" s="65" t="str"/>
      <c r="J3059" s="49" t="str"/>
      <c r="K3059" s="41" t="str"/>
      <c r="L3059" s="41" t="str"/>
      <c r="M3059" s="41" t="str"/>
      <c r="N3059" s="41" t="str"/>
      <c r="O3059" s="41" t="str"/>
      <c r="P3059" s="41" t="str"/>
      <c r="Q3059" s="41" t="str"/>
      <c r="R3059" s="41" t="str"/>
      <c r="S3059" s="41" t="str"/>
      <c r="T3059" s="41" t="str"/>
      <c r="U3059" s="41" t="str"/>
      <c r="V3059" s="41" t="str"/>
      <c r="W3059" s="41" t="str"/>
    </row>
    <row r="3060">
      <c r="B3060" s="2" t="n"/>
      <c r="C3060" s="40" t="n"/>
      <c r="D3060" s="52">
        <f t="array" ref="D3060:W3060">IF(All_Students_Scores!C3058:V3058="","",All_Students_Scores!C3058:V3058)</f>
        <v/>
      </c>
      <c r="E3060" s="57" t="str"/>
      <c r="F3060" s="49" t="str"/>
      <c r="G3060" s="59" t="str"/>
      <c r="H3060" s="64" t="str"/>
      <c r="I3060" s="65" t="str"/>
      <c r="J3060" s="49" t="str"/>
      <c r="K3060" s="41" t="str"/>
      <c r="L3060" s="41" t="str"/>
      <c r="M3060" s="41" t="str"/>
      <c r="N3060" s="41" t="str"/>
      <c r="O3060" s="41" t="str"/>
      <c r="P3060" s="41" t="str"/>
      <c r="Q3060" s="41" t="str"/>
      <c r="R3060" s="41" t="str"/>
      <c r="S3060" s="41" t="str"/>
      <c r="T3060" s="41" t="str"/>
      <c r="U3060" s="41" t="str"/>
      <c r="V3060" s="41" t="str"/>
      <c r="W3060" s="41" t="str"/>
    </row>
    <row r="3061">
      <c r="B3061" s="2" t="n"/>
      <c r="C3061" s="40" t="n"/>
      <c r="D3061" s="52">
        <f t="array" ref="D3061:W3061">IF(All_Students_Scores!C3059:V3059="","",All_Students_Scores!C3059:V3059)</f>
        <v/>
      </c>
      <c r="E3061" s="57" t="str"/>
      <c r="F3061" s="49" t="str"/>
      <c r="G3061" s="59" t="str"/>
      <c r="H3061" s="64" t="str"/>
      <c r="I3061" s="65" t="str"/>
      <c r="J3061" s="49" t="str"/>
      <c r="K3061" s="41" t="str"/>
      <c r="L3061" s="41" t="str"/>
      <c r="M3061" s="41" t="str"/>
      <c r="N3061" s="41" t="str"/>
      <c r="O3061" s="41" t="str"/>
      <c r="P3061" s="41" t="str"/>
      <c r="Q3061" s="41" t="str"/>
      <c r="R3061" s="41" t="str"/>
      <c r="S3061" s="41" t="str"/>
      <c r="T3061" s="41" t="str"/>
      <c r="U3061" s="41" t="str"/>
      <c r="V3061" s="41" t="str"/>
      <c r="W3061" s="41" t="str"/>
    </row>
    <row r="3062">
      <c r="B3062" s="2" t="n"/>
      <c r="C3062" s="40" t="n"/>
      <c r="D3062" s="52">
        <f t="array" ref="D3062:W3062">IF(All_Students_Scores!C3060:V3060="","",All_Students_Scores!C3060:V3060)</f>
        <v/>
      </c>
      <c r="E3062" s="57" t="str"/>
      <c r="F3062" s="49" t="str"/>
      <c r="G3062" s="59" t="str"/>
      <c r="H3062" s="64" t="str"/>
      <c r="I3062" s="65" t="str"/>
      <c r="J3062" s="49" t="str"/>
      <c r="K3062" s="41" t="str"/>
      <c r="L3062" s="41" t="str"/>
      <c r="M3062" s="41" t="str"/>
      <c r="N3062" s="41" t="str"/>
      <c r="O3062" s="41" t="str"/>
      <c r="P3062" s="41" t="str"/>
      <c r="Q3062" s="41" t="str"/>
      <c r="R3062" s="41" t="str"/>
      <c r="S3062" s="41" t="str"/>
      <c r="T3062" s="41" t="str"/>
      <c r="U3062" s="41" t="str"/>
      <c r="V3062" s="41" t="str"/>
      <c r="W3062" s="41" t="str"/>
    </row>
    <row r="3063">
      <c r="B3063" s="2" t="n"/>
      <c r="C3063" s="40" t="n"/>
      <c r="D3063" s="52">
        <f t="array" ref="D3063:W3063">IF(All_Students_Scores!C3061:V3061="","",All_Students_Scores!C3061:V3061)</f>
        <v/>
      </c>
      <c r="E3063" s="57" t="str"/>
      <c r="F3063" s="49" t="str"/>
      <c r="G3063" s="59" t="str"/>
      <c r="H3063" s="64" t="str"/>
      <c r="I3063" s="65" t="str"/>
      <c r="J3063" s="49" t="str"/>
      <c r="K3063" s="41" t="str"/>
      <c r="L3063" s="41" t="str"/>
      <c r="M3063" s="41" t="str"/>
      <c r="N3063" s="41" t="str"/>
      <c r="O3063" s="41" t="str"/>
      <c r="P3063" s="41" t="str"/>
      <c r="Q3063" s="41" t="str"/>
      <c r="R3063" s="41" t="str"/>
      <c r="S3063" s="41" t="str"/>
      <c r="T3063" s="41" t="str"/>
      <c r="U3063" s="41" t="str"/>
      <c r="V3063" s="41" t="str"/>
      <c r="W3063" s="41" t="str"/>
    </row>
    <row r="3064">
      <c r="B3064" s="2" t="n"/>
      <c r="C3064" s="40" t="n"/>
      <c r="D3064" s="52">
        <f t="array" ref="D3064:W3064">IF(All_Students_Scores!C3062:V3062="","",All_Students_Scores!C3062:V3062)</f>
        <v/>
      </c>
      <c r="E3064" s="57" t="str"/>
      <c r="F3064" s="49" t="str"/>
      <c r="G3064" s="59" t="str"/>
      <c r="H3064" s="64" t="str"/>
      <c r="I3064" s="65" t="str"/>
      <c r="J3064" s="49" t="str"/>
      <c r="K3064" s="41" t="str"/>
      <c r="L3064" s="41" t="str"/>
      <c r="M3064" s="41" t="str"/>
      <c r="N3064" s="41" t="str"/>
      <c r="O3064" s="41" t="str"/>
      <c r="P3064" s="41" t="str"/>
      <c r="Q3064" s="41" t="str"/>
      <c r="R3064" s="41" t="str"/>
      <c r="S3064" s="41" t="str"/>
      <c r="T3064" s="41" t="str"/>
      <c r="U3064" s="41" t="str"/>
      <c r="V3064" s="41" t="str"/>
      <c r="W3064" s="41" t="str"/>
    </row>
    <row r="3065">
      <c r="B3065" s="2" t="n"/>
      <c r="C3065" s="40" t="n"/>
      <c r="D3065" s="52">
        <f t="array" ref="D3065:W3065">IF(All_Students_Scores!C3063:V3063="","",All_Students_Scores!C3063:V3063)</f>
        <v/>
      </c>
      <c r="E3065" s="57" t="str"/>
      <c r="F3065" s="49" t="str"/>
      <c r="G3065" s="59" t="str"/>
      <c r="H3065" s="64" t="str"/>
      <c r="I3065" s="65" t="str"/>
      <c r="J3065" s="49" t="str"/>
      <c r="K3065" s="41" t="str"/>
      <c r="L3065" s="41" t="str"/>
      <c r="M3065" s="41" t="str"/>
      <c r="N3065" s="41" t="str"/>
      <c r="O3065" s="41" t="str"/>
      <c r="P3065" s="41" t="str"/>
      <c r="Q3065" s="41" t="str"/>
      <c r="R3065" s="41" t="str"/>
      <c r="S3065" s="41" t="str"/>
      <c r="T3065" s="41" t="str"/>
      <c r="U3065" s="41" t="str"/>
      <c r="V3065" s="41" t="str"/>
      <c r="W3065" s="41" t="str"/>
    </row>
    <row r="3066">
      <c r="B3066" s="2" t="n"/>
      <c r="C3066" s="40" t="n"/>
      <c r="D3066" s="52">
        <f t="array" ref="D3066:W3066">IF(All_Students_Scores!C3064:V3064="","",All_Students_Scores!C3064:V3064)</f>
        <v/>
      </c>
      <c r="E3066" s="57" t="str"/>
      <c r="F3066" s="49" t="str"/>
      <c r="G3066" s="59" t="str"/>
      <c r="H3066" s="64" t="str"/>
      <c r="I3066" s="65" t="str"/>
      <c r="J3066" s="49" t="str"/>
      <c r="K3066" s="41" t="str"/>
      <c r="L3066" s="41" t="str"/>
      <c r="M3066" s="41" t="str"/>
      <c r="N3066" s="41" t="str"/>
      <c r="O3066" s="41" t="str"/>
      <c r="P3066" s="41" t="str"/>
      <c r="Q3066" s="41" t="str"/>
      <c r="R3066" s="41" t="str"/>
      <c r="S3066" s="41" t="str"/>
      <c r="T3066" s="41" t="str"/>
      <c r="U3066" s="41" t="str"/>
      <c r="V3066" s="41" t="str"/>
      <c r="W3066" s="41" t="str"/>
    </row>
    <row r="3067">
      <c r="B3067" s="2" t="n"/>
      <c r="C3067" s="40" t="n"/>
      <c r="D3067" s="52">
        <f t="array" ref="D3067:W3067">IF(All_Students_Scores!C3065:V3065="","",All_Students_Scores!C3065:V3065)</f>
        <v/>
      </c>
      <c r="E3067" s="57" t="str"/>
      <c r="F3067" s="49" t="str"/>
      <c r="G3067" s="59" t="str"/>
      <c r="H3067" s="64" t="str"/>
      <c r="I3067" s="65" t="str"/>
      <c r="J3067" s="49" t="str"/>
      <c r="K3067" s="41" t="str"/>
      <c r="L3067" s="41" t="str"/>
      <c r="M3067" s="41" t="str"/>
      <c r="N3067" s="41" t="str"/>
      <c r="O3067" s="41" t="str"/>
      <c r="P3067" s="41" t="str"/>
      <c r="Q3067" s="41" t="str"/>
      <c r="R3067" s="41" t="str"/>
      <c r="S3067" s="41" t="str"/>
      <c r="T3067" s="41" t="str"/>
      <c r="U3067" s="41" t="str"/>
      <c r="V3067" s="41" t="str"/>
      <c r="W3067" s="41" t="str"/>
    </row>
    <row r="3068">
      <c r="B3068" s="2" t="n"/>
      <c r="C3068" s="40" t="n"/>
      <c r="D3068" s="52">
        <f t="array" ref="D3068:W3068">IF(All_Students_Scores!C3066:V3066="","",All_Students_Scores!C3066:V3066)</f>
        <v/>
      </c>
      <c r="E3068" s="57" t="str"/>
      <c r="F3068" s="49" t="str"/>
      <c r="G3068" s="59" t="str"/>
      <c r="H3068" s="64" t="str"/>
      <c r="I3068" s="65" t="str"/>
      <c r="J3068" s="49" t="str"/>
      <c r="K3068" s="41" t="str"/>
      <c r="L3068" s="41" t="str"/>
      <c r="M3068" s="41" t="str"/>
      <c r="N3068" s="41" t="str"/>
      <c r="O3068" s="41" t="str"/>
      <c r="P3068" s="41" t="str"/>
      <c r="Q3068" s="41" t="str"/>
      <c r="R3068" s="41" t="str"/>
      <c r="S3068" s="41" t="str"/>
      <c r="T3068" s="41" t="str"/>
      <c r="U3068" s="41" t="str"/>
      <c r="V3068" s="41" t="str"/>
      <c r="W3068" s="41" t="str"/>
    </row>
    <row r="3069">
      <c r="B3069" s="2" t="n"/>
      <c r="C3069" s="40" t="n"/>
      <c r="D3069" s="52">
        <f t="array" ref="D3069:W3069">IF(All_Students_Scores!C3067:V3067="","",All_Students_Scores!C3067:V3067)</f>
        <v/>
      </c>
      <c r="E3069" s="57" t="str"/>
      <c r="F3069" s="49" t="str"/>
      <c r="G3069" s="59" t="str"/>
      <c r="H3069" s="64" t="str"/>
      <c r="I3069" s="65" t="str"/>
      <c r="J3069" s="49" t="str"/>
      <c r="K3069" s="41" t="str"/>
      <c r="L3069" s="41" t="str"/>
      <c r="M3069" s="41" t="str"/>
      <c r="N3069" s="41" t="str"/>
      <c r="O3069" s="41" t="str"/>
      <c r="P3069" s="41" t="str"/>
      <c r="Q3069" s="41" t="str"/>
      <c r="R3069" s="41" t="str"/>
      <c r="S3069" s="41" t="str"/>
      <c r="T3069" s="41" t="str"/>
      <c r="U3069" s="41" t="str"/>
      <c r="V3069" s="41" t="str"/>
      <c r="W3069" s="41" t="str"/>
    </row>
    <row r="3070">
      <c r="B3070" s="2" t="n"/>
      <c r="C3070" s="40" t="n"/>
      <c r="D3070" s="52">
        <f t="array" ref="D3070:W3070">IF(All_Students_Scores!C3068:V3068="","",All_Students_Scores!C3068:V3068)</f>
        <v/>
      </c>
      <c r="E3070" s="57" t="str"/>
      <c r="F3070" s="49" t="str"/>
      <c r="G3070" s="59" t="str"/>
      <c r="H3070" s="64" t="str"/>
      <c r="I3070" s="65" t="str"/>
      <c r="J3070" s="49" t="str"/>
      <c r="K3070" s="41" t="str"/>
      <c r="L3070" s="41" t="str"/>
      <c r="M3070" s="41" t="str"/>
      <c r="N3070" s="41" t="str"/>
      <c r="O3070" s="41" t="str"/>
      <c r="P3070" s="41" t="str"/>
      <c r="Q3070" s="41" t="str"/>
      <c r="R3070" s="41" t="str"/>
      <c r="S3070" s="41" t="str"/>
      <c r="T3070" s="41" t="str"/>
      <c r="U3070" s="41" t="str"/>
      <c r="V3070" s="41" t="str"/>
      <c r="W3070" s="41" t="str"/>
    </row>
    <row r="3071">
      <c r="B3071" s="2" t="n"/>
      <c r="C3071" s="40" t="n"/>
      <c r="D3071" s="52">
        <f t="array" ref="D3071:W3071">IF(All_Students_Scores!C3069:V3069="","",All_Students_Scores!C3069:V3069)</f>
        <v/>
      </c>
      <c r="E3071" s="57" t="str"/>
      <c r="F3071" s="49" t="str"/>
      <c r="G3071" s="59" t="str"/>
      <c r="H3071" s="64" t="str"/>
      <c r="I3071" s="65" t="str"/>
      <c r="J3071" s="49" t="str"/>
      <c r="K3071" s="41" t="str"/>
      <c r="L3071" s="41" t="str"/>
      <c r="M3071" s="41" t="str"/>
      <c r="N3071" s="41" t="str"/>
      <c r="O3071" s="41" t="str"/>
      <c r="P3071" s="41" t="str"/>
      <c r="Q3071" s="41" t="str"/>
      <c r="R3071" s="41" t="str"/>
      <c r="S3071" s="41" t="str"/>
      <c r="T3071" s="41" t="str"/>
      <c r="U3071" s="41" t="str"/>
      <c r="V3071" s="41" t="str"/>
      <c r="W3071" s="41" t="str"/>
    </row>
    <row r="3072">
      <c r="B3072" s="2" t="n"/>
      <c r="C3072" s="40" t="n"/>
      <c r="D3072" s="52">
        <f t="array" ref="D3072:W3072">IF(All_Students_Scores!C3070:V3070="","",All_Students_Scores!C3070:V3070)</f>
        <v/>
      </c>
      <c r="E3072" s="57" t="str"/>
      <c r="F3072" s="49" t="str"/>
      <c r="G3072" s="59" t="str"/>
      <c r="H3072" s="64" t="str"/>
      <c r="I3072" s="65" t="str"/>
      <c r="J3072" s="49" t="str"/>
      <c r="K3072" s="41" t="str"/>
      <c r="L3072" s="41" t="str"/>
      <c r="M3072" s="41" t="str"/>
      <c r="N3072" s="41" t="str"/>
      <c r="O3072" s="41" t="str"/>
      <c r="P3072" s="41" t="str"/>
      <c r="Q3072" s="41" t="str"/>
      <c r="R3072" s="41" t="str"/>
      <c r="S3072" s="41" t="str"/>
      <c r="T3072" s="41" t="str"/>
      <c r="U3072" s="41" t="str"/>
      <c r="V3072" s="41" t="str"/>
      <c r="W3072" s="41" t="str"/>
    </row>
    <row r="3073">
      <c r="B3073" s="2" t="n"/>
      <c r="C3073" s="40" t="n"/>
      <c r="D3073" s="52">
        <f t="array" ref="D3073:W3073">IF(All_Students_Scores!C3071:V3071="","",All_Students_Scores!C3071:V3071)</f>
        <v/>
      </c>
      <c r="E3073" s="57" t="str"/>
      <c r="F3073" s="49" t="str"/>
      <c r="G3073" s="59" t="str"/>
      <c r="H3073" s="64" t="str"/>
      <c r="I3073" s="65" t="str"/>
      <c r="J3073" s="49" t="str"/>
      <c r="K3073" s="41" t="str"/>
      <c r="L3073" s="41" t="str"/>
      <c r="M3073" s="41" t="str"/>
      <c r="N3073" s="41" t="str"/>
      <c r="O3073" s="41" t="str"/>
      <c r="P3073" s="41" t="str"/>
      <c r="Q3073" s="41" t="str"/>
      <c r="R3073" s="41" t="str"/>
      <c r="S3073" s="41" t="str"/>
      <c r="T3073" s="41" t="str"/>
      <c r="U3073" s="41" t="str"/>
      <c r="V3073" s="41" t="str"/>
      <c r="W3073" s="41" t="str"/>
    </row>
    <row r="3074">
      <c r="B3074" s="2" t="n"/>
      <c r="C3074" s="40" t="n"/>
      <c r="D3074" s="52">
        <f t="array" ref="D3074:W3074">IF(All_Students_Scores!C3072:V3072="","",All_Students_Scores!C3072:V3072)</f>
        <v/>
      </c>
      <c r="E3074" s="57" t="str"/>
      <c r="F3074" s="49" t="str"/>
      <c r="G3074" s="59" t="str"/>
      <c r="H3074" s="64" t="str"/>
      <c r="I3074" s="65" t="str"/>
      <c r="J3074" s="49" t="str"/>
      <c r="K3074" s="41" t="str"/>
      <c r="L3074" s="41" t="str"/>
      <c r="M3074" s="41" t="str"/>
      <c r="N3074" s="41" t="str"/>
      <c r="O3074" s="41" t="str"/>
      <c r="P3074" s="41" t="str"/>
      <c r="Q3074" s="41" t="str"/>
      <c r="R3074" s="41" t="str"/>
      <c r="S3074" s="41" t="str"/>
      <c r="T3074" s="41" t="str"/>
      <c r="U3074" s="41" t="str"/>
      <c r="V3074" s="41" t="str"/>
      <c r="W3074" s="41" t="str"/>
    </row>
    <row r="3075">
      <c r="B3075" s="2" t="n"/>
      <c r="C3075" s="40" t="n"/>
      <c r="D3075" s="52">
        <f t="array" ref="D3075:W3075">IF(All_Students_Scores!C3073:V3073="","",All_Students_Scores!C3073:V3073)</f>
        <v/>
      </c>
      <c r="E3075" s="57" t="str"/>
      <c r="F3075" s="49" t="str"/>
      <c r="G3075" s="59" t="str"/>
      <c r="H3075" s="64" t="str"/>
      <c r="I3075" s="65" t="str"/>
      <c r="J3075" s="49" t="str"/>
      <c r="K3075" s="41" t="str"/>
      <c r="L3075" s="41" t="str"/>
      <c r="M3075" s="41" t="str"/>
      <c r="N3075" s="41" t="str"/>
      <c r="O3075" s="41" t="str"/>
      <c r="P3075" s="41" t="str"/>
      <c r="Q3075" s="41" t="str"/>
      <c r="R3075" s="41" t="str"/>
      <c r="S3075" s="41" t="str"/>
      <c r="T3075" s="41" t="str"/>
      <c r="U3075" s="41" t="str"/>
      <c r="V3075" s="41" t="str"/>
      <c r="W3075" s="41" t="str"/>
    </row>
    <row r="3076">
      <c r="B3076" s="2" t="n"/>
      <c r="C3076" s="40" t="n"/>
      <c r="D3076" s="52">
        <f t="array" ref="D3076:W3076">IF(All_Students_Scores!C3074:V3074="","",All_Students_Scores!C3074:V3074)</f>
        <v/>
      </c>
      <c r="E3076" s="57" t="str"/>
      <c r="F3076" s="49" t="str"/>
      <c r="G3076" s="59" t="str"/>
      <c r="H3076" s="64" t="str"/>
      <c r="I3076" s="65" t="str"/>
      <c r="J3076" s="49" t="str"/>
      <c r="K3076" s="41" t="str"/>
      <c r="L3076" s="41" t="str"/>
      <c r="M3076" s="41" t="str"/>
      <c r="N3076" s="41" t="str"/>
      <c r="O3076" s="41" t="str"/>
      <c r="P3076" s="41" t="str"/>
      <c r="Q3076" s="41" t="str"/>
      <c r="R3076" s="41" t="str"/>
      <c r="S3076" s="41" t="str"/>
      <c r="T3076" s="41" t="str"/>
      <c r="U3076" s="41" t="str"/>
      <c r="V3076" s="41" t="str"/>
      <c r="W3076" s="41" t="str"/>
    </row>
    <row r="3077">
      <c r="B3077" s="2" t="n"/>
      <c r="C3077" s="40" t="n"/>
      <c r="D3077" s="52">
        <f t="array" ref="D3077:W3077">IF(All_Students_Scores!C3075:V3075="","",All_Students_Scores!C3075:V3075)</f>
        <v/>
      </c>
      <c r="E3077" s="57" t="str"/>
      <c r="F3077" s="49" t="str"/>
      <c r="G3077" s="59" t="str"/>
      <c r="H3077" s="64" t="str"/>
      <c r="I3077" s="65" t="str"/>
      <c r="J3077" s="49" t="str"/>
      <c r="K3077" s="41" t="str"/>
      <c r="L3077" s="41" t="str"/>
      <c r="M3077" s="41" t="str"/>
      <c r="N3077" s="41" t="str"/>
      <c r="O3077" s="41" t="str"/>
      <c r="P3077" s="41" t="str"/>
      <c r="Q3077" s="41" t="str"/>
      <c r="R3077" s="41" t="str"/>
      <c r="S3077" s="41" t="str"/>
      <c r="T3077" s="41" t="str"/>
      <c r="U3077" s="41" t="str"/>
      <c r="V3077" s="41" t="str"/>
      <c r="W3077" s="41" t="str"/>
    </row>
    <row r="3078">
      <c r="B3078" s="2" t="n"/>
      <c r="C3078" s="40" t="n"/>
      <c r="D3078" s="52">
        <f t="array" ref="D3078:W3078">IF(All_Students_Scores!C3076:V3076="","",All_Students_Scores!C3076:V3076)</f>
        <v/>
      </c>
      <c r="E3078" s="57" t="str"/>
      <c r="F3078" s="49" t="str"/>
      <c r="G3078" s="59" t="str"/>
      <c r="H3078" s="64" t="str"/>
      <c r="I3078" s="65" t="str"/>
      <c r="J3078" s="49" t="str"/>
      <c r="K3078" s="41" t="str"/>
      <c r="L3078" s="41" t="str"/>
      <c r="M3078" s="41" t="str"/>
      <c r="N3078" s="41" t="str"/>
      <c r="O3078" s="41" t="str"/>
      <c r="P3078" s="41" t="str"/>
      <c r="Q3078" s="41" t="str"/>
      <c r="R3078" s="41" t="str"/>
      <c r="S3078" s="41" t="str"/>
      <c r="T3078" s="41" t="str"/>
      <c r="U3078" s="41" t="str"/>
      <c r="V3078" s="41" t="str"/>
      <c r="W3078" s="41" t="str"/>
    </row>
    <row r="3079">
      <c r="B3079" s="2" t="n"/>
      <c r="C3079" s="40" t="n"/>
      <c r="D3079" s="52">
        <f t="array" ref="D3079:W3079">IF(All_Students_Scores!C3077:V3077="","",All_Students_Scores!C3077:V3077)</f>
        <v/>
      </c>
      <c r="E3079" s="57" t="str"/>
      <c r="F3079" s="49" t="str"/>
      <c r="G3079" s="59" t="str"/>
      <c r="H3079" s="64" t="str"/>
      <c r="I3079" s="65" t="str"/>
      <c r="J3079" s="49" t="str"/>
      <c r="K3079" s="41" t="str"/>
      <c r="L3079" s="41" t="str"/>
      <c r="M3079" s="41" t="str"/>
      <c r="N3079" s="41" t="str"/>
      <c r="O3079" s="41" t="str"/>
      <c r="P3079" s="41" t="str"/>
      <c r="Q3079" s="41" t="str"/>
      <c r="R3079" s="41" t="str"/>
      <c r="S3079" s="41" t="str"/>
      <c r="T3079" s="41" t="str"/>
      <c r="U3079" s="41" t="str"/>
      <c r="V3079" s="41" t="str"/>
      <c r="W3079" s="41" t="str"/>
    </row>
    <row r="3080">
      <c r="B3080" s="2" t="n"/>
      <c r="C3080" s="40" t="n"/>
      <c r="D3080" s="52">
        <f t="array" ref="D3080:W3080">IF(All_Students_Scores!C3078:V3078="","",All_Students_Scores!C3078:V3078)</f>
        <v/>
      </c>
      <c r="E3080" s="57" t="str"/>
      <c r="F3080" s="49" t="str"/>
      <c r="G3080" s="59" t="str"/>
      <c r="H3080" s="64" t="str"/>
      <c r="I3080" s="65" t="str"/>
      <c r="J3080" s="49" t="str"/>
      <c r="K3080" s="41" t="str"/>
      <c r="L3080" s="41" t="str"/>
      <c r="M3080" s="41" t="str"/>
      <c r="N3080" s="41" t="str"/>
      <c r="O3080" s="41" t="str"/>
      <c r="P3080" s="41" t="str"/>
      <c r="Q3080" s="41" t="str"/>
      <c r="R3080" s="41" t="str"/>
      <c r="S3080" s="41" t="str"/>
      <c r="T3080" s="41" t="str"/>
      <c r="U3080" s="41" t="str"/>
      <c r="V3080" s="41" t="str"/>
      <c r="W3080" s="41" t="str"/>
    </row>
    <row r="3081">
      <c r="B3081" s="2" t="n"/>
      <c r="C3081" s="40" t="n"/>
      <c r="D3081" s="52">
        <f t="array" ref="D3081:W3081">IF(All_Students_Scores!C3079:V3079="","",All_Students_Scores!C3079:V3079)</f>
        <v/>
      </c>
      <c r="E3081" s="57" t="str"/>
      <c r="F3081" s="49" t="str"/>
      <c r="G3081" s="59" t="str"/>
      <c r="H3081" s="64" t="str"/>
      <c r="I3081" s="65" t="str"/>
      <c r="J3081" s="49" t="str"/>
      <c r="K3081" s="41" t="str"/>
      <c r="L3081" s="41" t="str"/>
      <c r="M3081" s="41" t="str"/>
      <c r="N3081" s="41" t="str"/>
      <c r="O3081" s="41" t="str"/>
      <c r="P3081" s="41" t="str"/>
      <c r="Q3081" s="41" t="str"/>
      <c r="R3081" s="41" t="str"/>
      <c r="S3081" s="41" t="str"/>
      <c r="T3081" s="41" t="str"/>
      <c r="U3081" s="41" t="str"/>
      <c r="V3081" s="41" t="str"/>
      <c r="W3081" s="41" t="str"/>
    </row>
    <row r="3082">
      <c r="B3082" s="2" t="n"/>
      <c r="C3082" s="40" t="n"/>
      <c r="D3082" s="52">
        <f t="array" ref="D3082:W3082">IF(All_Students_Scores!C3080:V3080="","",All_Students_Scores!C3080:V3080)</f>
        <v/>
      </c>
      <c r="E3082" s="57" t="str"/>
      <c r="F3082" s="49" t="str"/>
      <c r="G3082" s="59" t="str"/>
      <c r="H3082" s="64" t="str"/>
      <c r="I3082" s="65" t="str"/>
      <c r="J3082" s="49" t="str"/>
      <c r="K3082" s="41" t="str"/>
      <c r="L3082" s="41" t="str"/>
      <c r="M3082" s="41" t="str"/>
      <c r="N3082" s="41" t="str"/>
      <c r="O3082" s="41" t="str"/>
      <c r="P3082" s="41" t="str"/>
      <c r="Q3082" s="41" t="str"/>
      <c r="R3082" s="41" t="str"/>
      <c r="S3082" s="41" t="str"/>
      <c r="T3082" s="41" t="str"/>
      <c r="U3082" s="41" t="str"/>
      <c r="V3082" s="41" t="str"/>
      <c r="W3082" s="41" t="str"/>
    </row>
    <row r="3083">
      <c r="B3083" s="2" t="n"/>
      <c r="C3083" s="40" t="n"/>
      <c r="D3083" s="52">
        <f t="array" ref="D3083:W3083">IF(All_Students_Scores!C3081:V3081="","",All_Students_Scores!C3081:V3081)</f>
        <v/>
      </c>
      <c r="E3083" s="57" t="str"/>
      <c r="F3083" s="49" t="str"/>
      <c r="G3083" s="59" t="str"/>
      <c r="H3083" s="64" t="str"/>
      <c r="I3083" s="65" t="str"/>
      <c r="J3083" s="49" t="str"/>
      <c r="K3083" s="41" t="str"/>
      <c r="L3083" s="41" t="str"/>
      <c r="M3083" s="41" t="str"/>
      <c r="N3083" s="41" t="str"/>
      <c r="O3083" s="41" t="str"/>
      <c r="P3083" s="41" t="str"/>
      <c r="Q3083" s="41" t="str"/>
      <c r="R3083" s="41" t="str"/>
      <c r="S3083" s="41" t="str"/>
      <c r="T3083" s="41" t="str"/>
      <c r="U3083" s="41" t="str"/>
      <c r="V3083" s="41" t="str"/>
      <c r="W3083" s="41" t="str"/>
    </row>
    <row r="3084">
      <c r="B3084" s="2" t="n"/>
      <c r="C3084" s="40" t="n"/>
      <c r="D3084" s="52">
        <f t="array" ref="D3084:W3084">IF(All_Students_Scores!C3082:V3082="","",All_Students_Scores!C3082:V3082)</f>
        <v/>
      </c>
      <c r="E3084" s="57" t="str"/>
      <c r="F3084" s="49" t="str"/>
      <c r="G3084" s="59" t="str"/>
      <c r="H3084" s="64" t="str"/>
      <c r="I3084" s="65" t="str"/>
      <c r="J3084" s="49" t="str"/>
      <c r="K3084" s="41" t="str"/>
      <c r="L3084" s="41" t="str"/>
      <c r="M3084" s="41" t="str"/>
      <c r="N3084" s="41" t="str"/>
      <c r="O3084" s="41" t="str"/>
      <c r="P3084" s="41" t="str"/>
      <c r="Q3084" s="41" t="str"/>
      <c r="R3084" s="41" t="str"/>
      <c r="S3084" s="41" t="str"/>
      <c r="T3084" s="41" t="str"/>
      <c r="U3084" s="41" t="str"/>
      <c r="V3084" s="41" t="str"/>
      <c r="W3084" s="41" t="str"/>
    </row>
    <row r="3085">
      <c r="B3085" s="2" t="n"/>
      <c r="C3085" s="40" t="n"/>
      <c r="D3085" s="52">
        <f t="array" ref="D3085:W3085">IF(All_Students_Scores!C3083:V3083="","",All_Students_Scores!C3083:V3083)</f>
        <v/>
      </c>
      <c r="E3085" s="57" t="str"/>
      <c r="F3085" s="49" t="str"/>
      <c r="G3085" s="59" t="str"/>
      <c r="H3085" s="64" t="str"/>
      <c r="I3085" s="65" t="str"/>
      <c r="J3085" s="49" t="str"/>
      <c r="K3085" s="41" t="str"/>
      <c r="L3085" s="41" t="str"/>
      <c r="M3085" s="41" t="str"/>
      <c r="N3085" s="41" t="str"/>
      <c r="O3085" s="41" t="str"/>
      <c r="P3085" s="41" t="str"/>
      <c r="Q3085" s="41" t="str"/>
      <c r="R3085" s="41" t="str"/>
      <c r="S3085" s="41" t="str"/>
      <c r="T3085" s="41" t="str"/>
      <c r="U3085" s="41" t="str"/>
      <c r="V3085" s="41" t="str"/>
      <c r="W3085" s="41" t="str"/>
    </row>
    <row r="3086">
      <c r="B3086" s="2" t="n"/>
      <c r="C3086" s="40" t="n"/>
      <c r="D3086" s="52">
        <f t="array" ref="D3086:W3086">IF(All_Students_Scores!C3084:V3084="","",All_Students_Scores!C3084:V3084)</f>
        <v/>
      </c>
      <c r="E3086" s="57" t="str"/>
      <c r="F3086" s="49" t="str"/>
      <c r="G3086" s="59" t="str"/>
      <c r="H3086" s="64" t="str"/>
      <c r="I3086" s="65" t="str"/>
      <c r="J3086" s="49" t="str"/>
      <c r="K3086" s="41" t="str"/>
      <c r="L3086" s="41" t="str"/>
      <c r="M3086" s="41" t="str"/>
      <c r="N3086" s="41" t="str"/>
      <c r="O3086" s="41" t="str"/>
      <c r="P3086" s="41" t="str"/>
      <c r="Q3086" s="41" t="str"/>
      <c r="R3086" s="41" t="str"/>
      <c r="S3086" s="41" t="str"/>
      <c r="T3086" s="41" t="str"/>
      <c r="U3086" s="41" t="str"/>
      <c r="V3086" s="41" t="str"/>
      <c r="W3086" s="41" t="str"/>
    </row>
    <row r="3087">
      <c r="B3087" s="2" t="n"/>
      <c r="C3087" s="40" t="n"/>
      <c r="D3087" s="52">
        <f t="array" ref="D3087:W3087">IF(All_Students_Scores!C3085:V3085="","",All_Students_Scores!C3085:V3085)</f>
        <v/>
      </c>
      <c r="E3087" s="57" t="str"/>
      <c r="F3087" s="49" t="str"/>
      <c r="G3087" s="59" t="str"/>
      <c r="H3087" s="64" t="str"/>
      <c r="I3087" s="65" t="str"/>
      <c r="J3087" s="49" t="str"/>
      <c r="K3087" s="41" t="str"/>
      <c r="L3087" s="41" t="str"/>
      <c r="M3087" s="41" t="str"/>
      <c r="N3087" s="41" t="str"/>
      <c r="O3087" s="41" t="str"/>
      <c r="P3087" s="41" t="str"/>
      <c r="Q3087" s="41" t="str"/>
      <c r="R3087" s="41" t="str"/>
      <c r="S3087" s="41" t="str"/>
      <c r="T3087" s="41" t="str"/>
      <c r="U3087" s="41" t="str"/>
      <c r="V3087" s="41" t="str"/>
      <c r="W3087" s="41" t="str"/>
    </row>
    <row r="3088">
      <c r="B3088" s="2" t="n"/>
      <c r="C3088" s="40" t="n"/>
      <c r="D3088" s="52">
        <f t="array" ref="D3088:W3088">IF(All_Students_Scores!C3086:V3086="","",All_Students_Scores!C3086:V3086)</f>
        <v/>
      </c>
      <c r="E3088" s="57" t="str"/>
      <c r="F3088" s="49" t="str"/>
      <c r="G3088" s="59" t="str"/>
      <c r="H3088" s="64" t="str"/>
      <c r="I3088" s="65" t="str"/>
      <c r="J3088" s="49" t="str"/>
      <c r="K3088" s="41" t="str"/>
      <c r="L3088" s="41" t="str"/>
      <c r="M3088" s="41" t="str"/>
      <c r="N3088" s="41" t="str"/>
      <c r="O3088" s="41" t="str"/>
      <c r="P3088" s="41" t="str"/>
      <c r="Q3088" s="41" t="str"/>
      <c r="R3088" s="41" t="str"/>
      <c r="S3088" s="41" t="str"/>
      <c r="T3088" s="41" t="str"/>
      <c r="U3088" s="41" t="str"/>
      <c r="V3088" s="41" t="str"/>
      <c r="W3088" s="41" t="str"/>
    </row>
    <row r="3089">
      <c r="B3089" s="2" t="n"/>
      <c r="C3089" s="40" t="n"/>
      <c r="D3089" s="52">
        <f t="array" ref="D3089:W3089">IF(All_Students_Scores!C3087:V3087="","",All_Students_Scores!C3087:V3087)</f>
        <v/>
      </c>
      <c r="E3089" s="57" t="str"/>
      <c r="F3089" s="49" t="str"/>
      <c r="G3089" s="59" t="str"/>
      <c r="H3089" s="64" t="str"/>
      <c r="I3089" s="65" t="str"/>
      <c r="J3089" s="49" t="str"/>
      <c r="K3089" s="41" t="str"/>
      <c r="L3089" s="41" t="str"/>
      <c r="M3089" s="41" t="str"/>
      <c r="N3089" s="41" t="str"/>
      <c r="O3089" s="41" t="str"/>
      <c r="P3089" s="41" t="str"/>
      <c r="Q3089" s="41" t="str"/>
      <c r="R3089" s="41" t="str"/>
      <c r="S3089" s="41" t="str"/>
      <c r="T3089" s="41" t="str"/>
      <c r="U3089" s="41" t="str"/>
      <c r="V3089" s="41" t="str"/>
      <c r="W3089" s="41" t="str"/>
    </row>
    <row r="3090">
      <c r="B3090" s="2" t="n"/>
      <c r="C3090" s="40" t="n"/>
      <c r="D3090" s="52">
        <f t="array" ref="D3090:W3090">IF(All_Students_Scores!C3088:V3088="","",All_Students_Scores!C3088:V3088)</f>
        <v/>
      </c>
      <c r="E3090" s="57" t="str"/>
      <c r="F3090" s="49" t="str"/>
      <c r="G3090" s="59" t="str"/>
      <c r="H3090" s="64" t="str"/>
      <c r="I3090" s="65" t="str"/>
      <c r="J3090" s="49" t="str"/>
      <c r="K3090" s="41" t="str"/>
      <c r="L3090" s="41" t="str"/>
      <c r="M3090" s="41" t="str"/>
      <c r="N3090" s="41" t="str"/>
      <c r="O3090" s="41" t="str"/>
      <c r="P3090" s="41" t="str"/>
      <c r="Q3090" s="41" t="str"/>
      <c r="R3090" s="41" t="str"/>
      <c r="S3090" s="41" t="str"/>
      <c r="T3090" s="41" t="str"/>
      <c r="U3090" s="41" t="str"/>
      <c r="V3090" s="41" t="str"/>
      <c r="W3090" s="41" t="str"/>
    </row>
    <row r="3091">
      <c r="B3091" s="2" t="n"/>
      <c r="C3091" s="40" t="n"/>
      <c r="D3091" s="52">
        <f t="array" ref="D3091:W3091">IF(All_Students_Scores!C3089:V3089="","",All_Students_Scores!C3089:V3089)</f>
        <v/>
      </c>
      <c r="E3091" s="57" t="str"/>
      <c r="F3091" s="49" t="str"/>
      <c r="G3091" s="59" t="str"/>
      <c r="H3091" s="64" t="str"/>
      <c r="I3091" s="65" t="str"/>
      <c r="J3091" s="49" t="str"/>
      <c r="K3091" s="41" t="str"/>
      <c r="L3091" s="41" t="str"/>
      <c r="M3091" s="41" t="str"/>
      <c r="N3091" s="41" t="str"/>
      <c r="O3091" s="41" t="str"/>
      <c r="P3091" s="41" t="str"/>
      <c r="Q3091" s="41" t="str"/>
      <c r="R3091" s="41" t="str"/>
      <c r="S3091" s="41" t="str"/>
      <c r="T3091" s="41" t="str"/>
      <c r="U3091" s="41" t="str"/>
      <c r="V3091" s="41" t="str"/>
      <c r="W3091" s="41" t="str"/>
    </row>
    <row r="3092">
      <c r="B3092" s="2" t="n"/>
      <c r="C3092" s="40" t="n"/>
      <c r="D3092" s="52">
        <f t="array" ref="D3092:W3092">IF(All_Students_Scores!C3090:V3090="","",All_Students_Scores!C3090:V3090)</f>
        <v/>
      </c>
      <c r="E3092" s="57" t="str"/>
      <c r="F3092" s="49" t="str"/>
      <c r="G3092" s="59" t="str"/>
      <c r="H3092" s="64" t="str"/>
      <c r="I3092" s="65" t="str"/>
      <c r="J3092" s="49" t="str"/>
      <c r="K3092" s="41" t="str"/>
      <c r="L3092" s="41" t="str"/>
      <c r="M3092" s="41" t="str"/>
      <c r="N3092" s="41" t="str"/>
      <c r="O3092" s="41" t="str"/>
      <c r="P3092" s="41" t="str"/>
      <c r="Q3092" s="41" t="str"/>
      <c r="R3092" s="41" t="str"/>
      <c r="S3092" s="41" t="str"/>
      <c r="T3092" s="41" t="str"/>
      <c r="U3092" s="41" t="str"/>
      <c r="V3092" s="41" t="str"/>
      <c r="W3092" s="41" t="str"/>
    </row>
    <row r="3093">
      <c r="B3093" s="2" t="n"/>
      <c r="C3093" s="40" t="n"/>
      <c r="D3093" s="52">
        <f t="array" ref="D3093:W3093">IF(All_Students_Scores!C3091:V3091="","",All_Students_Scores!C3091:V3091)</f>
        <v/>
      </c>
      <c r="E3093" s="57" t="str"/>
      <c r="F3093" s="49" t="str"/>
      <c r="G3093" s="59" t="str"/>
      <c r="H3093" s="64" t="str"/>
      <c r="I3093" s="65" t="str"/>
      <c r="J3093" s="49" t="str"/>
      <c r="K3093" s="41" t="str"/>
      <c r="L3093" s="41" t="str"/>
      <c r="M3093" s="41" t="str"/>
      <c r="N3093" s="41" t="str"/>
      <c r="O3093" s="41" t="str"/>
      <c r="P3093" s="41" t="str"/>
      <c r="Q3093" s="41" t="str"/>
      <c r="R3093" s="41" t="str"/>
      <c r="S3093" s="41" t="str"/>
      <c r="T3093" s="41" t="str"/>
      <c r="U3093" s="41" t="str"/>
      <c r="V3093" s="41" t="str"/>
      <c r="W3093" s="41" t="str"/>
    </row>
    <row r="3094">
      <c r="B3094" s="2" t="n"/>
      <c r="C3094" s="40" t="n"/>
      <c r="D3094" s="52">
        <f t="array" ref="D3094:W3094">IF(All_Students_Scores!C3092:V3092="","",All_Students_Scores!C3092:V3092)</f>
        <v/>
      </c>
      <c r="E3094" s="57" t="str"/>
      <c r="F3094" s="49" t="str"/>
      <c r="G3094" s="59" t="str"/>
      <c r="H3094" s="64" t="str"/>
      <c r="I3094" s="65" t="str"/>
      <c r="J3094" s="49" t="str"/>
      <c r="K3094" s="41" t="str"/>
      <c r="L3094" s="41" t="str"/>
      <c r="M3094" s="41" t="str"/>
      <c r="N3094" s="41" t="str"/>
      <c r="O3094" s="41" t="str"/>
      <c r="P3094" s="41" t="str"/>
      <c r="Q3094" s="41" t="str"/>
      <c r="R3094" s="41" t="str"/>
      <c r="S3094" s="41" t="str"/>
      <c r="T3094" s="41" t="str"/>
      <c r="U3094" s="41" t="str"/>
      <c r="V3094" s="41" t="str"/>
      <c r="W3094" s="41" t="str"/>
    </row>
    <row r="3095">
      <c r="B3095" s="2" t="n"/>
      <c r="C3095" s="40" t="n"/>
      <c r="D3095" s="52">
        <f t="array" ref="D3095:W3095">IF(All_Students_Scores!C3093:V3093="","",All_Students_Scores!C3093:V3093)</f>
        <v/>
      </c>
      <c r="E3095" s="57" t="str"/>
      <c r="F3095" s="49" t="str"/>
      <c r="G3095" s="59" t="str"/>
      <c r="H3095" s="64" t="str"/>
      <c r="I3095" s="65" t="str"/>
      <c r="J3095" s="49" t="str"/>
      <c r="K3095" s="41" t="str"/>
      <c r="L3095" s="41" t="str"/>
      <c r="M3095" s="41" t="str"/>
      <c r="N3095" s="41" t="str"/>
      <c r="O3095" s="41" t="str"/>
      <c r="P3095" s="41" t="str"/>
      <c r="Q3095" s="41" t="str"/>
      <c r="R3095" s="41" t="str"/>
      <c r="S3095" s="41" t="str"/>
      <c r="T3095" s="41" t="str"/>
      <c r="U3095" s="41" t="str"/>
      <c r="V3095" s="41" t="str"/>
      <c r="W3095" s="41" t="str"/>
    </row>
    <row r="3096">
      <c r="B3096" s="2" t="n"/>
      <c r="C3096" s="40" t="n"/>
      <c r="D3096" s="52">
        <f t="array" ref="D3096:W3096">IF(All_Students_Scores!C3094:V3094="","",All_Students_Scores!C3094:V3094)</f>
        <v/>
      </c>
      <c r="E3096" s="57" t="str"/>
      <c r="F3096" s="49" t="str"/>
      <c r="G3096" s="59" t="str"/>
      <c r="H3096" s="64" t="str"/>
      <c r="I3096" s="65" t="str"/>
      <c r="J3096" s="49" t="str"/>
      <c r="K3096" s="41" t="str"/>
      <c r="L3096" s="41" t="str"/>
      <c r="M3096" s="41" t="str"/>
      <c r="N3096" s="41" t="str"/>
      <c r="O3096" s="41" t="str"/>
      <c r="P3096" s="41" t="str"/>
      <c r="Q3096" s="41" t="str"/>
      <c r="R3096" s="41" t="str"/>
      <c r="S3096" s="41" t="str"/>
      <c r="T3096" s="41" t="str"/>
      <c r="U3096" s="41" t="str"/>
      <c r="V3096" s="41" t="str"/>
      <c r="W3096" s="41" t="str"/>
    </row>
    <row r="3097">
      <c r="B3097" s="2" t="n"/>
      <c r="C3097" s="40" t="n"/>
      <c r="D3097" s="52">
        <f t="array" ref="D3097:W3097">IF(All_Students_Scores!C3095:V3095="","",All_Students_Scores!C3095:V3095)</f>
        <v/>
      </c>
      <c r="E3097" s="57" t="str"/>
      <c r="F3097" s="49" t="str"/>
      <c r="G3097" s="59" t="str"/>
      <c r="H3097" s="64" t="str"/>
      <c r="I3097" s="65" t="str"/>
      <c r="J3097" s="49" t="str"/>
      <c r="K3097" s="41" t="str"/>
      <c r="L3097" s="41" t="str"/>
      <c r="M3097" s="41" t="str"/>
      <c r="N3097" s="41" t="str"/>
      <c r="O3097" s="41" t="str"/>
      <c r="P3097" s="41" t="str"/>
      <c r="Q3097" s="41" t="str"/>
      <c r="R3097" s="41" t="str"/>
      <c r="S3097" s="41" t="str"/>
      <c r="T3097" s="41" t="str"/>
      <c r="U3097" s="41" t="str"/>
      <c r="V3097" s="41" t="str"/>
      <c r="W3097" s="41" t="str"/>
    </row>
    <row r="3098">
      <c r="B3098" s="2" t="n"/>
      <c r="C3098" s="40" t="n"/>
      <c r="D3098" s="52">
        <f t="array" ref="D3098:W3098">IF(All_Students_Scores!C3096:V3096="","",All_Students_Scores!C3096:V3096)</f>
        <v/>
      </c>
      <c r="E3098" s="57" t="str"/>
      <c r="F3098" s="49" t="str"/>
      <c r="G3098" s="59" t="str"/>
      <c r="H3098" s="64" t="str"/>
      <c r="I3098" s="65" t="str"/>
      <c r="J3098" s="49" t="str"/>
      <c r="K3098" s="41" t="str"/>
      <c r="L3098" s="41" t="str"/>
      <c r="M3098" s="41" t="str"/>
      <c r="N3098" s="41" t="str"/>
      <c r="O3098" s="41" t="str"/>
      <c r="P3098" s="41" t="str"/>
      <c r="Q3098" s="41" t="str"/>
      <c r="R3098" s="41" t="str"/>
      <c r="S3098" s="41" t="str"/>
      <c r="T3098" s="41" t="str"/>
      <c r="U3098" s="41" t="str"/>
      <c r="V3098" s="41" t="str"/>
      <c r="W3098" s="41" t="str"/>
    </row>
    <row r="3099">
      <c r="B3099" s="2" t="n"/>
      <c r="C3099" s="40" t="n"/>
      <c r="D3099" s="52">
        <f t="array" ref="D3099:W3099">IF(All_Students_Scores!C3097:V3097="","",All_Students_Scores!C3097:V3097)</f>
        <v/>
      </c>
      <c r="E3099" s="57" t="str"/>
      <c r="F3099" s="49" t="str"/>
      <c r="G3099" s="59" t="str"/>
      <c r="H3099" s="64" t="str"/>
      <c r="I3099" s="65" t="str"/>
      <c r="J3099" s="49" t="str"/>
      <c r="K3099" s="41" t="str"/>
      <c r="L3099" s="41" t="str"/>
      <c r="M3099" s="41" t="str"/>
      <c r="N3099" s="41" t="str"/>
      <c r="O3099" s="41" t="str"/>
      <c r="P3099" s="41" t="str"/>
      <c r="Q3099" s="41" t="str"/>
      <c r="R3099" s="41" t="str"/>
      <c r="S3099" s="41" t="str"/>
      <c r="T3099" s="41" t="str"/>
      <c r="U3099" s="41" t="str"/>
      <c r="V3099" s="41" t="str"/>
      <c r="W3099" s="41" t="str"/>
    </row>
    <row r="3100">
      <c r="B3100" s="2" t="n"/>
      <c r="C3100" s="40" t="n"/>
      <c r="D3100" s="52">
        <f t="array" ref="D3100:W3100">IF(All_Students_Scores!C3098:V3098="","",All_Students_Scores!C3098:V3098)</f>
        <v/>
      </c>
      <c r="E3100" s="57" t="str"/>
      <c r="F3100" s="49" t="str"/>
      <c r="G3100" s="59" t="str"/>
      <c r="H3100" s="64" t="str"/>
      <c r="I3100" s="65" t="str"/>
      <c r="J3100" s="49" t="str"/>
      <c r="K3100" s="41" t="str"/>
      <c r="L3100" s="41" t="str"/>
      <c r="M3100" s="41" t="str"/>
      <c r="N3100" s="41" t="str"/>
      <c r="O3100" s="41" t="str"/>
      <c r="P3100" s="41" t="str"/>
      <c r="Q3100" s="41" t="str"/>
      <c r="R3100" s="41" t="str"/>
      <c r="S3100" s="41" t="str"/>
      <c r="T3100" s="41" t="str"/>
      <c r="U3100" s="41" t="str"/>
      <c r="V3100" s="41" t="str"/>
      <c r="W3100" s="41" t="str"/>
    </row>
    <row r="3101">
      <c r="B3101" s="2" t="n"/>
      <c r="C3101" s="40" t="n"/>
      <c r="D3101" s="52">
        <f t="array" ref="D3101:W3101">IF(All_Students_Scores!C3099:V3099="","",All_Students_Scores!C3099:V3099)</f>
        <v/>
      </c>
      <c r="E3101" s="57" t="str"/>
      <c r="F3101" s="49" t="str"/>
      <c r="G3101" s="59" t="str"/>
      <c r="H3101" s="64" t="str"/>
      <c r="I3101" s="65" t="str"/>
      <c r="J3101" s="49" t="str"/>
      <c r="K3101" s="41" t="str"/>
      <c r="L3101" s="41" t="str"/>
      <c r="M3101" s="41" t="str"/>
      <c r="N3101" s="41" t="str"/>
      <c r="O3101" s="41" t="str"/>
      <c r="P3101" s="41" t="str"/>
      <c r="Q3101" s="41" t="str"/>
      <c r="R3101" s="41" t="str"/>
      <c r="S3101" s="41" t="str"/>
      <c r="T3101" s="41" t="str"/>
      <c r="U3101" s="41" t="str"/>
      <c r="V3101" s="41" t="str"/>
      <c r="W3101" s="41" t="str"/>
    </row>
    <row r="3102">
      <c r="B3102" s="2" t="n"/>
      <c r="C3102" s="40" t="n"/>
      <c r="D3102" s="52">
        <f t="array" ref="D3102:W3102">IF(All_Students_Scores!C3100:V3100="","",All_Students_Scores!C3100:V3100)</f>
        <v/>
      </c>
      <c r="E3102" s="57" t="str"/>
      <c r="F3102" s="49" t="str"/>
      <c r="G3102" s="59" t="str"/>
      <c r="H3102" s="64" t="str"/>
      <c r="I3102" s="65" t="str"/>
      <c r="J3102" s="49" t="str"/>
      <c r="K3102" s="41" t="str"/>
      <c r="L3102" s="41" t="str"/>
      <c r="M3102" s="41" t="str"/>
      <c r="N3102" s="41" t="str"/>
      <c r="O3102" s="41" t="str"/>
      <c r="P3102" s="41" t="str"/>
      <c r="Q3102" s="41" t="str"/>
      <c r="R3102" s="41" t="str"/>
      <c r="S3102" s="41" t="str"/>
      <c r="T3102" s="41" t="str"/>
      <c r="U3102" s="41" t="str"/>
      <c r="V3102" s="41" t="str"/>
      <c r="W3102" s="41" t="str"/>
    </row>
    <row r="3103">
      <c r="B3103" s="2" t="n"/>
      <c r="C3103" s="40" t="n"/>
      <c r="D3103" s="52">
        <f t="array" ref="D3103:W3103">IF(All_Students_Scores!C3101:V3101="","",All_Students_Scores!C3101:V3101)</f>
        <v/>
      </c>
      <c r="E3103" s="57" t="str"/>
      <c r="F3103" s="49" t="str"/>
      <c r="G3103" s="59" t="str"/>
      <c r="H3103" s="64" t="str"/>
      <c r="I3103" s="65" t="str"/>
      <c r="J3103" s="49" t="str"/>
      <c r="K3103" s="41" t="str"/>
      <c r="L3103" s="41" t="str"/>
      <c r="M3103" s="41" t="str"/>
      <c r="N3103" s="41" t="str"/>
      <c r="O3103" s="41" t="str"/>
      <c r="P3103" s="41" t="str"/>
      <c r="Q3103" s="41" t="str"/>
      <c r="R3103" s="41" t="str"/>
      <c r="S3103" s="41" t="str"/>
      <c r="T3103" s="41" t="str"/>
      <c r="U3103" s="41" t="str"/>
      <c r="V3103" s="41" t="str"/>
      <c r="W3103" s="41" t="str"/>
    </row>
    <row r="3104">
      <c r="B3104" s="2" t="n"/>
      <c r="C3104" s="40" t="n"/>
      <c r="D3104" s="52">
        <f t="array" ref="D3104:W3104">IF(All_Students_Scores!C3102:V3102="","",All_Students_Scores!C3102:V3102)</f>
        <v/>
      </c>
      <c r="E3104" s="57" t="str"/>
      <c r="F3104" s="49" t="str"/>
      <c r="G3104" s="59" t="str"/>
      <c r="H3104" s="64" t="str"/>
      <c r="I3104" s="65" t="str"/>
      <c r="J3104" s="49" t="str"/>
      <c r="K3104" s="41" t="str"/>
      <c r="L3104" s="41" t="str"/>
      <c r="M3104" s="41" t="str"/>
      <c r="N3104" s="41" t="str"/>
      <c r="O3104" s="41" t="str"/>
      <c r="P3104" s="41" t="str"/>
      <c r="Q3104" s="41" t="str"/>
      <c r="R3104" s="41" t="str"/>
      <c r="S3104" s="41" t="str"/>
      <c r="T3104" s="41" t="str"/>
      <c r="U3104" s="41" t="str"/>
      <c r="V3104" s="41" t="str"/>
      <c r="W3104" s="41" t="str"/>
    </row>
    <row r="3105">
      <c r="B3105" s="2" t="n"/>
      <c r="C3105" s="40" t="n"/>
      <c r="D3105" s="52">
        <f t="array" ref="D3105:W3105">IF(All_Students_Scores!C3103:V3103="","",All_Students_Scores!C3103:V3103)</f>
        <v/>
      </c>
      <c r="E3105" s="57" t="str"/>
      <c r="F3105" s="49" t="str"/>
      <c r="G3105" s="59" t="str"/>
      <c r="H3105" s="64" t="str"/>
      <c r="I3105" s="65" t="str"/>
      <c r="J3105" s="49" t="str"/>
      <c r="K3105" s="41" t="str"/>
      <c r="L3105" s="41" t="str"/>
      <c r="M3105" s="41" t="str"/>
      <c r="N3105" s="41" t="str"/>
      <c r="O3105" s="41" t="str"/>
      <c r="P3105" s="41" t="str"/>
      <c r="Q3105" s="41" t="str"/>
      <c r="R3105" s="41" t="str"/>
      <c r="S3105" s="41" t="str"/>
      <c r="T3105" s="41" t="str"/>
      <c r="U3105" s="41" t="str"/>
      <c r="V3105" s="41" t="str"/>
      <c r="W3105" s="41" t="str"/>
    </row>
    <row r="3106">
      <c r="B3106" s="2" t="n"/>
      <c r="C3106" s="40" t="n"/>
      <c r="D3106" s="52">
        <f t="array" ref="D3106:W3106">IF(All_Students_Scores!C3104:V3104="","",All_Students_Scores!C3104:V3104)</f>
        <v/>
      </c>
      <c r="E3106" s="57" t="str"/>
      <c r="F3106" s="49" t="str"/>
      <c r="G3106" s="59" t="str"/>
      <c r="H3106" s="64" t="str"/>
      <c r="I3106" s="65" t="str"/>
      <c r="J3106" s="49" t="str"/>
      <c r="K3106" s="41" t="str"/>
      <c r="L3106" s="41" t="str"/>
      <c r="M3106" s="41" t="str"/>
      <c r="N3106" s="41" t="str"/>
      <c r="O3106" s="41" t="str"/>
      <c r="P3106" s="41" t="str"/>
      <c r="Q3106" s="41" t="str"/>
      <c r="R3106" s="41" t="str"/>
      <c r="S3106" s="41" t="str"/>
      <c r="T3106" s="41" t="str"/>
      <c r="U3106" s="41" t="str"/>
      <c r="V3106" s="41" t="str"/>
      <c r="W3106" s="41" t="str"/>
    </row>
    <row r="3107">
      <c r="B3107" s="2" t="n"/>
      <c r="C3107" s="40" t="n"/>
      <c r="D3107" s="52">
        <f t="array" ref="D3107:W3107">IF(All_Students_Scores!C3105:V3105="","",All_Students_Scores!C3105:V3105)</f>
        <v/>
      </c>
      <c r="E3107" s="57" t="str"/>
      <c r="F3107" s="49" t="str"/>
      <c r="G3107" s="59" t="str"/>
      <c r="H3107" s="64" t="str"/>
      <c r="I3107" s="65" t="str"/>
      <c r="J3107" s="49" t="str"/>
      <c r="K3107" s="41" t="str"/>
      <c r="L3107" s="41" t="str"/>
      <c r="M3107" s="41" t="str"/>
      <c r="N3107" s="41" t="str"/>
      <c r="O3107" s="41" t="str"/>
      <c r="P3107" s="41" t="str"/>
      <c r="Q3107" s="41" t="str"/>
      <c r="R3107" s="41" t="str"/>
      <c r="S3107" s="41" t="str"/>
      <c r="T3107" s="41" t="str"/>
      <c r="U3107" s="41" t="str"/>
      <c r="V3107" s="41" t="str"/>
      <c r="W3107" s="41" t="str"/>
    </row>
    <row r="3108">
      <c r="B3108" s="2" t="n"/>
      <c r="C3108" s="40" t="n"/>
      <c r="D3108" s="52">
        <f t="array" ref="D3108:W3108">IF(All_Students_Scores!C3106:V3106="","",All_Students_Scores!C3106:V3106)</f>
        <v/>
      </c>
      <c r="E3108" s="57" t="str"/>
      <c r="F3108" s="49" t="str"/>
      <c r="G3108" s="59" t="str"/>
      <c r="H3108" s="64" t="str"/>
      <c r="I3108" s="65" t="str"/>
      <c r="J3108" s="49" t="str"/>
      <c r="K3108" s="41" t="str"/>
      <c r="L3108" s="41" t="str"/>
      <c r="M3108" s="41" t="str"/>
      <c r="N3108" s="41" t="str"/>
      <c r="O3108" s="41" t="str"/>
      <c r="P3108" s="41" t="str"/>
      <c r="Q3108" s="41" t="str"/>
      <c r="R3108" s="41" t="str"/>
      <c r="S3108" s="41" t="str"/>
      <c r="T3108" s="41" t="str"/>
      <c r="U3108" s="41" t="str"/>
      <c r="V3108" s="41" t="str"/>
      <c r="W3108" s="41" t="str"/>
    </row>
    <row r="3109">
      <c r="B3109" s="2" t="n"/>
      <c r="C3109" s="40" t="n"/>
      <c r="D3109" s="52">
        <f t="array" ref="D3109:W3109">IF(All_Students_Scores!C3107:V3107="","",All_Students_Scores!C3107:V3107)</f>
        <v/>
      </c>
      <c r="E3109" s="57" t="str"/>
      <c r="F3109" s="49" t="str"/>
      <c r="G3109" s="59" t="str"/>
      <c r="H3109" s="64" t="str"/>
      <c r="I3109" s="65" t="str"/>
      <c r="J3109" s="49" t="str"/>
      <c r="K3109" s="41" t="str"/>
      <c r="L3109" s="41" t="str"/>
      <c r="M3109" s="41" t="str"/>
      <c r="N3109" s="41" t="str"/>
      <c r="O3109" s="41" t="str"/>
      <c r="P3109" s="41" t="str"/>
      <c r="Q3109" s="41" t="str"/>
      <c r="R3109" s="41" t="str"/>
      <c r="S3109" s="41" t="str"/>
      <c r="T3109" s="41" t="str"/>
      <c r="U3109" s="41" t="str"/>
      <c r="V3109" s="41" t="str"/>
      <c r="W3109" s="41" t="str"/>
    </row>
    <row r="3110">
      <c r="B3110" s="2" t="n"/>
      <c r="C3110" s="40" t="n"/>
      <c r="D3110" s="52">
        <f t="array" ref="D3110:W3110">IF(All_Students_Scores!C3108:V3108="","",All_Students_Scores!C3108:V3108)</f>
        <v/>
      </c>
      <c r="E3110" s="57" t="str"/>
      <c r="F3110" s="49" t="str"/>
      <c r="G3110" s="59" t="str"/>
      <c r="H3110" s="64" t="str"/>
      <c r="I3110" s="65" t="str"/>
      <c r="J3110" s="49" t="str"/>
      <c r="K3110" s="41" t="str"/>
      <c r="L3110" s="41" t="str"/>
      <c r="M3110" s="41" t="str"/>
      <c r="N3110" s="41" t="str"/>
      <c r="O3110" s="41" t="str"/>
      <c r="P3110" s="41" t="str"/>
      <c r="Q3110" s="41" t="str"/>
      <c r="R3110" s="41" t="str"/>
      <c r="S3110" s="41" t="str"/>
      <c r="T3110" s="41" t="str"/>
      <c r="U3110" s="41" t="str"/>
      <c r="V3110" s="41" t="str"/>
      <c r="W3110" s="41" t="str"/>
    </row>
    <row r="3111">
      <c r="B3111" s="2" t="n"/>
      <c r="C3111" s="40" t="n"/>
      <c r="D3111" s="52">
        <f t="array" ref="D3111:W3111">IF(All_Students_Scores!C3109:V3109="","",All_Students_Scores!C3109:V3109)</f>
        <v/>
      </c>
      <c r="E3111" s="57" t="str"/>
      <c r="F3111" s="49" t="str"/>
      <c r="G3111" s="59" t="str"/>
      <c r="H3111" s="64" t="str"/>
      <c r="I3111" s="65" t="str"/>
      <c r="J3111" s="49" t="str"/>
      <c r="K3111" s="41" t="str"/>
      <c r="L3111" s="41" t="str"/>
      <c r="M3111" s="41" t="str"/>
      <c r="N3111" s="41" t="str"/>
      <c r="O3111" s="41" t="str"/>
      <c r="P3111" s="41" t="str"/>
      <c r="Q3111" s="41" t="str"/>
      <c r="R3111" s="41" t="str"/>
      <c r="S3111" s="41" t="str"/>
      <c r="T3111" s="41" t="str"/>
      <c r="U3111" s="41" t="str"/>
      <c r="V3111" s="41" t="str"/>
      <c r="W3111" s="41" t="str"/>
    </row>
    <row r="3112">
      <c r="B3112" s="2" t="n"/>
      <c r="C3112" s="40" t="n"/>
      <c r="D3112" s="52">
        <f t="array" ref="D3112:W3112">IF(All_Students_Scores!C3110:V3110="","",All_Students_Scores!C3110:V3110)</f>
        <v/>
      </c>
      <c r="E3112" s="57" t="str"/>
      <c r="F3112" s="49" t="str"/>
      <c r="G3112" s="59" t="str"/>
      <c r="H3112" s="64" t="str"/>
      <c r="I3112" s="65" t="str"/>
      <c r="J3112" s="49" t="str"/>
      <c r="K3112" s="41" t="str"/>
      <c r="L3112" s="41" t="str"/>
      <c r="M3112" s="41" t="str"/>
      <c r="N3112" s="41" t="str"/>
      <c r="O3112" s="41" t="str"/>
      <c r="P3112" s="41" t="str"/>
      <c r="Q3112" s="41" t="str"/>
      <c r="R3112" s="41" t="str"/>
      <c r="S3112" s="41" t="str"/>
      <c r="T3112" s="41" t="str"/>
      <c r="U3112" s="41" t="str"/>
      <c r="V3112" s="41" t="str"/>
      <c r="W3112" s="41" t="str"/>
    </row>
    <row r="3113">
      <c r="B3113" s="2" t="n"/>
      <c r="C3113" s="40" t="n"/>
      <c r="D3113" s="52">
        <f t="array" ref="D3113:W3113">IF(All_Students_Scores!C3111:V3111="","",All_Students_Scores!C3111:V3111)</f>
        <v/>
      </c>
      <c r="E3113" s="57" t="str"/>
      <c r="F3113" s="49" t="str"/>
      <c r="G3113" s="59" t="str"/>
      <c r="H3113" s="64" t="str"/>
      <c r="I3113" s="65" t="str"/>
      <c r="J3113" s="49" t="str"/>
      <c r="K3113" s="41" t="str"/>
      <c r="L3113" s="41" t="str"/>
      <c r="M3113" s="41" t="str"/>
      <c r="N3113" s="41" t="str"/>
      <c r="O3113" s="41" t="str"/>
      <c r="P3113" s="41" t="str"/>
      <c r="Q3113" s="41" t="str"/>
      <c r="R3113" s="41" t="str"/>
      <c r="S3113" s="41" t="str"/>
      <c r="T3113" s="41" t="str"/>
      <c r="U3113" s="41" t="str"/>
      <c r="V3113" s="41" t="str"/>
      <c r="W3113" s="41" t="str"/>
    </row>
    <row r="3114">
      <c r="B3114" s="2" t="n"/>
      <c r="C3114" s="40" t="n"/>
      <c r="D3114" s="52">
        <f t="array" ref="D3114:W3114">IF(All_Students_Scores!C3112:V3112="","",All_Students_Scores!C3112:V3112)</f>
        <v/>
      </c>
      <c r="E3114" s="57" t="str"/>
      <c r="F3114" s="49" t="str"/>
      <c r="G3114" s="59" t="str"/>
      <c r="H3114" s="64" t="str"/>
      <c r="I3114" s="65" t="str"/>
      <c r="J3114" s="49" t="str"/>
      <c r="K3114" s="41" t="str"/>
      <c r="L3114" s="41" t="str"/>
      <c r="M3114" s="41" t="str"/>
      <c r="N3114" s="41" t="str"/>
      <c r="O3114" s="41" t="str"/>
      <c r="P3114" s="41" t="str"/>
      <c r="Q3114" s="41" t="str"/>
      <c r="R3114" s="41" t="str"/>
      <c r="S3114" s="41" t="str"/>
      <c r="T3114" s="41" t="str"/>
      <c r="U3114" s="41" t="str"/>
      <c r="V3114" s="41" t="str"/>
      <c r="W3114" s="41" t="str"/>
    </row>
    <row r="3115">
      <c r="B3115" s="2" t="n"/>
      <c r="C3115" s="40" t="n"/>
      <c r="D3115" s="52">
        <f t="array" ref="D3115:W3115">IF(All_Students_Scores!C3113:V3113="","",All_Students_Scores!C3113:V3113)</f>
        <v/>
      </c>
      <c r="E3115" s="57" t="str"/>
      <c r="F3115" s="49" t="str"/>
      <c r="G3115" s="59" t="str"/>
      <c r="H3115" s="64" t="str"/>
      <c r="I3115" s="65" t="str"/>
      <c r="J3115" s="49" t="str"/>
      <c r="K3115" s="41" t="str"/>
      <c r="L3115" s="41" t="str"/>
      <c r="M3115" s="41" t="str"/>
      <c r="N3115" s="41" t="str"/>
      <c r="O3115" s="41" t="str"/>
      <c r="P3115" s="41" t="str"/>
      <c r="Q3115" s="41" t="str"/>
      <c r="R3115" s="41" t="str"/>
      <c r="S3115" s="41" t="str"/>
      <c r="T3115" s="41" t="str"/>
      <c r="U3115" s="41" t="str"/>
      <c r="V3115" s="41" t="str"/>
      <c r="W3115" s="41" t="str"/>
    </row>
    <row r="3116">
      <c r="B3116" s="2" t="n"/>
      <c r="C3116" s="40" t="n"/>
      <c r="D3116" s="52">
        <f t="array" ref="D3116:W3116">IF(All_Students_Scores!C3114:V3114="","",All_Students_Scores!C3114:V3114)</f>
        <v/>
      </c>
      <c r="E3116" s="57" t="str"/>
      <c r="F3116" s="49" t="str"/>
      <c r="G3116" s="59" t="str"/>
      <c r="H3116" s="64" t="str"/>
      <c r="I3116" s="65" t="str"/>
      <c r="J3116" s="49" t="str"/>
      <c r="K3116" s="41" t="str"/>
      <c r="L3116" s="41" t="str"/>
      <c r="M3116" s="41" t="str"/>
      <c r="N3116" s="41" t="str"/>
      <c r="O3116" s="41" t="str"/>
      <c r="P3116" s="41" t="str"/>
      <c r="Q3116" s="41" t="str"/>
      <c r="R3116" s="41" t="str"/>
      <c r="S3116" s="41" t="str"/>
      <c r="T3116" s="41" t="str"/>
      <c r="U3116" s="41" t="str"/>
      <c r="V3116" s="41" t="str"/>
      <c r="W3116" s="41" t="str"/>
    </row>
    <row r="3117">
      <c r="B3117" s="2" t="n"/>
      <c r="C3117" s="40" t="n"/>
      <c r="D3117" s="52">
        <f t="array" ref="D3117:W3117">IF(All_Students_Scores!C3115:V3115="","",All_Students_Scores!C3115:V3115)</f>
        <v/>
      </c>
      <c r="E3117" s="57" t="str"/>
      <c r="F3117" s="49" t="str"/>
      <c r="G3117" s="59" t="str"/>
      <c r="H3117" s="64" t="str"/>
      <c r="I3117" s="65" t="str"/>
      <c r="J3117" s="49" t="str"/>
      <c r="K3117" s="41" t="str"/>
      <c r="L3117" s="41" t="str"/>
      <c r="M3117" s="41" t="str"/>
      <c r="N3117" s="41" t="str"/>
      <c r="O3117" s="41" t="str"/>
      <c r="P3117" s="41" t="str"/>
      <c r="Q3117" s="41" t="str"/>
      <c r="R3117" s="41" t="str"/>
      <c r="S3117" s="41" t="str"/>
      <c r="T3117" s="41" t="str"/>
      <c r="U3117" s="41" t="str"/>
      <c r="V3117" s="41" t="str"/>
      <c r="W3117" s="41" t="str"/>
    </row>
    <row r="3118">
      <c r="B3118" s="2" t="n"/>
      <c r="C3118" s="40" t="n"/>
      <c r="D3118" s="52">
        <f t="array" ref="D3118:W3118">IF(All_Students_Scores!C3116:V3116="","",All_Students_Scores!C3116:V3116)</f>
        <v/>
      </c>
      <c r="E3118" s="57" t="str"/>
      <c r="F3118" s="49" t="str"/>
      <c r="G3118" s="59" t="str"/>
      <c r="H3118" s="64" t="str"/>
      <c r="I3118" s="65" t="str"/>
      <c r="J3118" s="49" t="str"/>
      <c r="K3118" s="41" t="str"/>
      <c r="L3118" s="41" t="str"/>
      <c r="M3118" s="41" t="str"/>
      <c r="N3118" s="41" t="str"/>
      <c r="O3118" s="41" t="str"/>
      <c r="P3118" s="41" t="str"/>
      <c r="Q3118" s="41" t="str"/>
      <c r="R3118" s="41" t="str"/>
      <c r="S3118" s="41" t="str"/>
      <c r="T3118" s="41" t="str"/>
      <c r="U3118" s="41" t="str"/>
      <c r="V3118" s="41" t="str"/>
      <c r="W3118" s="41" t="str"/>
    </row>
    <row r="3119">
      <c r="B3119" s="2" t="n"/>
      <c r="C3119" s="40" t="n"/>
      <c r="D3119" s="52">
        <f t="array" ref="D3119:W3119">IF(All_Students_Scores!C3117:V3117="","",All_Students_Scores!C3117:V3117)</f>
        <v/>
      </c>
      <c r="E3119" s="57" t="str"/>
      <c r="F3119" s="49" t="str"/>
      <c r="G3119" s="59" t="str"/>
      <c r="H3119" s="64" t="str"/>
      <c r="I3119" s="65" t="str"/>
      <c r="J3119" s="49" t="str"/>
      <c r="K3119" s="41" t="str"/>
      <c r="L3119" s="41" t="str"/>
      <c r="M3119" s="41" t="str"/>
      <c r="N3119" s="41" t="str"/>
      <c r="O3119" s="41" t="str"/>
      <c r="P3119" s="41" t="str"/>
      <c r="Q3119" s="41" t="str"/>
      <c r="R3119" s="41" t="str"/>
      <c r="S3119" s="41" t="str"/>
      <c r="T3119" s="41" t="str"/>
      <c r="U3119" s="41" t="str"/>
      <c r="V3119" s="41" t="str"/>
      <c r="W3119" s="41" t="str"/>
    </row>
    <row r="3120">
      <c r="B3120" s="2" t="n"/>
      <c r="C3120" s="40" t="n"/>
      <c r="D3120" s="52">
        <f t="array" ref="D3120:W3120">IF(All_Students_Scores!C3118:V3118="","",All_Students_Scores!C3118:V3118)</f>
        <v/>
      </c>
      <c r="E3120" s="57" t="str"/>
      <c r="F3120" s="49" t="str"/>
      <c r="G3120" s="59" t="str"/>
      <c r="H3120" s="64" t="str"/>
      <c r="I3120" s="65" t="str"/>
      <c r="J3120" s="49" t="str"/>
      <c r="K3120" s="41" t="str"/>
      <c r="L3120" s="41" t="str"/>
      <c r="M3120" s="41" t="str"/>
      <c r="N3120" s="41" t="str"/>
      <c r="O3120" s="41" t="str"/>
      <c r="P3120" s="41" t="str"/>
      <c r="Q3120" s="41" t="str"/>
      <c r="R3120" s="41" t="str"/>
      <c r="S3120" s="41" t="str"/>
      <c r="T3120" s="41" t="str"/>
      <c r="U3120" s="41" t="str"/>
      <c r="V3120" s="41" t="str"/>
      <c r="W3120" s="41" t="str"/>
    </row>
    <row r="3121">
      <c r="B3121" s="2" t="n"/>
      <c r="C3121" s="40" t="n"/>
      <c r="D3121" s="52">
        <f t="array" ref="D3121:W3121">IF(All_Students_Scores!C3119:V3119="","",All_Students_Scores!C3119:V3119)</f>
        <v/>
      </c>
      <c r="E3121" s="57" t="str"/>
      <c r="F3121" s="49" t="str"/>
      <c r="G3121" s="59" t="str"/>
      <c r="H3121" s="64" t="str"/>
      <c r="I3121" s="65" t="str"/>
      <c r="J3121" s="49" t="str"/>
      <c r="K3121" s="41" t="str"/>
      <c r="L3121" s="41" t="str"/>
      <c r="M3121" s="41" t="str"/>
      <c r="N3121" s="41" t="str"/>
      <c r="O3121" s="41" t="str"/>
      <c r="P3121" s="41" t="str"/>
      <c r="Q3121" s="41" t="str"/>
      <c r="R3121" s="41" t="str"/>
      <c r="S3121" s="41" t="str"/>
      <c r="T3121" s="41" t="str"/>
      <c r="U3121" s="41" t="str"/>
      <c r="V3121" s="41" t="str"/>
      <c r="W3121" s="41" t="str"/>
    </row>
    <row r="3122">
      <c r="B3122" s="2" t="n"/>
      <c r="C3122" s="40" t="n"/>
      <c r="D3122" s="52">
        <f t="array" ref="D3122:W3122">IF(All_Students_Scores!C3120:V3120="","",All_Students_Scores!C3120:V3120)</f>
        <v/>
      </c>
      <c r="E3122" s="57" t="str"/>
      <c r="F3122" s="49" t="str"/>
      <c r="G3122" s="59" t="str"/>
      <c r="H3122" s="64" t="str"/>
      <c r="I3122" s="65" t="str"/>
      <c r="J3122" s="49" t="str"/>
      <c r="K3122" s="41" t="str"/>
      <c r="L3122" s="41" t="str"/>
      <c r="M3122" s="41" t="str"/>
      <c r="N3122" s="41" t="str"/>
      <c r="O3122" s="41" t="str"/>
      <c r="P3122" s="41" t="str"/>
      <c r="Q3122" s="41" t="str"/>
      <c r="R3122" s="41" t="str"/>
      <c r="S3122" s="41" t="str"/>
      <c r="T3122" s="41" t="str"/>
      <c r="U3122" s="41" t="str"/>
      <c r="V3122" s="41" t="str"/>
      <c r="W3122" s="41" t="str"/>
    </row>
    <row r="3123">
      <c r="B3123" s="2" t="n"/>
      <c r="C3123" s="40" t="n"/>
      <c r="D3123" s="52">
        <f t="array" ref="D3123:W3123">IF(All_Students_Scores!C3121:V3121="","",All_Students_Scores!C3121:V3121)</f>
        <v/>
      </c>
      <c r="E3123" s="57" t="str"/>
      <c r="F3123" s="49" t="str"/>
      <c r="G3123" s="59" t="str"/>
      <c r="H3123" s="64" t="str"/>
      <c r="I3123" s="65" t="str"/>
      <c r="J3123" s="49" t="str"/>
      <c r="K3123" s="41" t="str"/>
      <c r="L3123" s="41" t="str"/>
      <c r="M3123" s="41" t="str"/>
      <c r="N3123" s="41" t="str"/>
      <c r="O3123" s="41" t="str"/>
      <c r="P3123" s="41" t="str"/>
      <c r="Q3123" s="41" t="str"/>
      <c r="R3123" s="41" t="str"/>
      <c r="S3123" s="41" t="str"/>
      <c r="T3123" s="41" t="str"/>
      <c r="U3123" s="41" t="str"/>
      <c r="V3123" s="41" t="str"/>
      <c r="W3123" s="41" t="str"/>
    </row>
    <row r="3124">
      <c r="B3124" s="2" t="n"/>
      <c r="C3124" s="40" t="n"/>
      <c r="D3124" s="52">
        <f t="array" ref="D3124:W3124">IF(All_Students_Scores!C3122:V3122="","",All_Students_Scores!C3122:V3122)</f>
        <v/>
      </c>
      <c r="E3124" s="57" t="str"/>
      <c r="F3124" s="49" t="str"/>
      <c r="G3124" s="59" t="str"/>
      <c r="H3124" s="64" t="str"/>
      <c r="I3124" s="65" t="str"/>
      <c r="J3124" s="49" t="str"/>
      <c r="K3124" s="41" t="str"/>
      <c r="L3124" s="41" t="str"/>
      <c r="M3124" s="41" t="str"/>
      <c r="N3124" s="41" t="str"/>
      <c r="O3124" s="41" t="str"/>
      <c r="P3124" s="41" t="str"/>
      <c r="Q3124" s="41" t="str"/>
      <c r="R3124" s="41" t="str"/>
      <c r="S3124" s="41" t="str"/>
      <c r="T3124" s="41" t="str"/>
      <c r="U3124" s="41" t="str"/>
      <c r="V3124" s="41" t="str"/>
      <c r="W3124" s="41" t="str"/>
    </row>
    <row r="3125">
      <c r="B3125" s="2" t="n"/>
      <c r="C3125" s="40" t="n"/>
      <c r="D3125" s="52">
        <f t="array" ref="D3125:W3125">IF(All_Students_Scores!C3123:V3123="","",All_Students_Scores!C3123:V3123)</f>
        <v/>
      </c>
      <c r="E3125" s="57" t="str"/>
      <c r="F3125" s="49" t="str"/>
      <c r="G3125" s="59" t="str"/>
      <c r="H3125" s="64" t="str"/>
      <c r="I3125" s="65" t="str"/>
      <c r="J3125" s="49" t="str"/>
      <c r="K3125" s="41" t="str"/>
      <c r="L3125" s="41" t="str"/>
      <c r="M3125" s="41" t="str"/>
      <c r="N3125" s="41" t="str"/>
      <c r="O3125" s="41" t="str"/>
      <c r="P3125" s="41" t="str"/>
      <c r="Q3125" s="41" t="str"/>
      <c r="R3125" s="41" t="str"/>
      <c r="S3125" s="41" t="str"/>
      <c r="T3125" s="41" t="str"/>
      <c r="U3125" s="41" t="str"/>
      <c r="V3125" s="41" t="str"/>
      <c r="W3125" s="41" t="str"/>
    </row>
    <row r="3126">
      <c r="B3126" s="2" t="n"/>
      <c r="C3126" s="40" t="n"/>
      <c r="D3126" s="52">
        <f t="array" ref="D3126:W3126">IF(All_Students_Scores!C3124:V3124="","",All_Students_Scores!C3124:V3124)</f>
        <v/>
      </c>
      <c r="E3126" s="57" t="str"/>
      <c r="F3126" s="49" t="str"/>
      <c r="G3126" s="59" t="str"/>
      <c r="H3126" s="64" t="str"/>
      <c r="I3126" s="65" t="str"/>
      <c r="J3126" s="49" t="str"/>
      <c r="K3126" s="41" t="str"/>
      <c r="L3126" s="41" t="str"/>
      <c r="M3126" s="41" t="str"/>
      <c r="N3126" s="41" t="str"/>
      <c r="O3126" s="41" t="str"/>
      <c r="P3126" s="41" t="str"/>
      <c r="Q3126" s="41" t="str"/>
      <c r="R3126" s="41" t="str"/>
      <c r="S3126" s="41" t="str"/>
      <c r="T3126" s="41" t="str"/>
      <c r="U3126" s="41" t="str"/>
      <c r="V3126" s="41" t="str"/>
      <c r="W3126" s="41" t="str"/>
    </row>
    <row r="3127">
      <c r="B3127" s="2" t="n"/>
      <c r="C3127" s="40" t="n"/>
      <c r="D3127" s="52">
        <f t="array" ref="D3127:W3127">IF(All_Students_Scores!C3125:V3125="","",All_Students_Scores!C3125:V3125)</f>
        <v/>
      </c>
      <c r="E3127" s="57" t="str"/>
      <c r="F3127" s="49" t="str"/>
      <c r="G3127" s="59" t="str"/>
      <c r="H3127" s="64" t="str"/>
      <c r="I3127" s="65" t="str"/>
      <c r="J3127" s="49" t="str"/>
      <c r="K3127" s="41" t="str"/>
      <c r="L3127" s="41" t="str"/>
      <c r="M3127" s="41" t="str"/>
      <c r="N3127" s="41" t="str"/>
      <c r="O3127" s="41" t="str"/>
      <c r="P3127" s="41" t="str"/>
      <c r="Q3127" s="41" t="str"/>
      <c r="R3127" s="41" t="str"/>
      <c r="S3127" s="41" t="str"/>
      <c r="T3127" s="41" t="str"/>
      <c r="U3127" s="41" t="str"/>
      <c r="V3127" s="41" t="str"/>
      <c r="W3127" s="41" t="str"/>
    </row>
    <row r="3128">
      <c r="B3128" s="2" t="n"/>
      <c r="C3128" s="40" t="n"/>
      <c r="D3128" s="52">
        <f t="array" ref="D3128:W3128">IF(All_Students_Scores!C3126:V3126="","",All_Students_Scores!C3126:V3126)</f>
        <v/>
      </c>
      <c r="E3128" s="57" t="str"/>
      <c r="F3128" s="49" t="str"/>
      <c r="G3128" s="59" t="str"/>
      <c r="H3128" s="64" t="str"/>
      <c r="I3128" s="65" t="str"/>
      <c r="J3128" s="49" t="str"/>
      <c r="K3128" s="41" t="str"/>
      <c r="L3128" s="41" t="str"/>
      <c r="M3128" s="41" t="str"/>
      <c r="N3128" s="41" t="str"/>
      <c r="O3128" s="41" t="str"/>
      <c r="P3128" s="41" t="str"/>
      <c r="Q3128" s="41" t="str"/>
      <c r="R3128" s="41" t="str"/>
      <c r="S3128" s="41" t="str"/>
      <c r="T3128" s="41" t="str"/>
      <c r="U3128" s="41" t="str"/>
      <c r="V3128" s="41" t="str"/>
      <c r="W3128" s="41" t="str"/>
    </row>
    <row r="3129">
      <c r="B3129" s="2" t="n"/>
      <c r="C3129" s="40" t="n"/>
      <c r="D3129" s="52">
        <f t="array" ref="D3129:W3129">IF(All_Students_Scores!C3127:V3127="","",All_Students_Scores!C3127:V3127)</f>
        <v/>
      </c>
      <c r="E3129" s="57" t="str"/>
      <c r="F3129" s="49" t="str"/>
      <c r="G3129" s="59" t="str"/>
      <c r="H3129" s="64" t="str"/>
      <c r="I3129" s="65" t="str"/>
      <c r="J3129" s="49" t="str"/>
      <c r="K3129" s="41" t="str"/>
      <c r="L3129" s="41" t="str"/>
      <c r="M3129" s="41" t="str"/>
      <c r="N3129" s="41" t="str"/>
      <c r="O3129" s="41" t="str"/>
      <c r="P3129" s="41" t="str"/>
      <c r="Q3129" s="41" t="str"/>
      <c r="R3129" s="41" t="str"/>
      <c r="S3129" s="41" t="str"/>
      <c r="T3129" s="41" t="str"/>
      <c r="U3129" s="41" t="str"/>
      <c r="V3129" s="41" t="str"/>
      <c r="W3129" s="41" t="str"/>
    </row>
    <row r="3130">
      <c r="B3130" s="2" t="n"/>
      <c r="C3130" s="40" t="n"/>
      <c r="D3130" s="52">
        <f t="array" ref="D3130:W3130">IF(All_Students_Scores!C3128:V3128="","",All_Students_Scores!C3128:V3128)</f>
        <v/>
      </c>
      <c r="E3130" s="57" t="str"/>
      <c r="F3130" s="49" t="str"/>
      <c r="G3130" s="59" t="str"/>
      <c r="H3130" s="64" t="str"/>
      <c r="I3130" s="65" t="str"/>
      <c r="J3130" s="49" t="str"/>
      <c r="K3130" s="41" t="str"/>
      <c r="L3130" s="41" t="str"/>
      <c r="M3130" s="41" t="str"/>
      <c r="N3130" s="41" t="str"/>
      <c r="O3130" s="41" t="str"/>
      <c r="P3130" s="41" t="str"/>
      <c r="Q3130" s="41" t="str"/>
      <c r="R3130" s="41" t="str"/>
      <c r="S3130" s="41" t="str"/>
      <c r="T3130" s="41" t="str"/>
      <c r="U3130" s="41" t="str"/>
      <c r="V3130" s="41" t="str"/>
      <c r="W3130" s="41" t="str"/>
    </row>
    <row r="3131">
      <c r="B3131" s="2" t="n"/>
      <c r="C3131" s="40" t="n"/>
      <c r="D3131" s="52">
        <f t="array" ref="D3131:W3131">IF(All_Students_Scores!C3129:V3129="","",All_Students_Scores!C3129:V3129)</f>
        <v/>
      </c>
      <c r="E3131" s="57" t="str"/>
      <c r="F3131" s="49" t="str"/>
      <c r="G3131" s="59" t="str"/>
      <c r="H3131" s="64" t="str"/>
      <c r="I3131" s="65" t="str"/>
      <c r="J3131" s="49" t="str"/>
      <c r="K3131" s="41" t="str"/>
      <c r="L3131" s="41" t="str"/>
      <c r="M3131" s="41" t="str"/>
      <c r="N3131" s="41" t="str"/>
      <c r="O3131" s="41" t="str"/>
      <c r="P3131" s="41" t="str"/>
      <c r="Q3131" s="41" t="str"/>
      <c r="R3131" s="41" t="str"/>
      <c r="S3131" s="41" t="str"/>
      <c r="T3131" s="41" t="str"/>
      <c r="U3131" s="41" t="str"/>
      <c r="V3131" s="41" t="str"/>
      <c r="W3131" s="41" t="str"/>
    </row>
    <row r="3132">
      <c r="B3132" s="2" t="n"/>
      <c r="C3132" s="40" t="n"/>
      <c r="D3132" s="52">
        <f t="array" ref="D3132:W3132">IF(All_Students_Scores!C3130:V3130="","",All_Students_Scores!C3130:V3130)</f>
        <v/>
      </c>
      <c r="E3132" s="57" t="str"/>
      <c r="F3132" s="49" t="str"/>
      <c r="G3132" s="59" t="str"/>
      <c r="H3132" s="64" t="str"/>
      <c r="I3132" s="65" t="str"/>
      <c r="J3132" s="49" t="str"/>
      <c r="K3132" s="41" t="str"/>
      <c r="L3132" s="41" t="str"/>
      <c r="M3132" s="41" t="str"/>
      <c r="N3132" s="41" t="str"/>
      <c r="O3132" s="41" t="str"/>
      <c r="P3132" s="41" t="str"/>
      <c r="Q3132" s="41" t="str"/>
      <c r="R3132" s="41" t="str"/>
      <c r="S3132" s="41" t="str"/>
      <c r="T3132" s="41" t="str"/>
      <c r="U3132" s="41" t="str"/>
      <c r="V3132" s="41" t="str"/>
      <c r="W3132" s="41" t="str"/>
    </row>
    <row r="3133">
      <c r="B3133" s="2" t="n"/>
      <c r="C3133" s="40" t="n"/>
      <c r="D3133" s="52">
        <f t="array" ref="D3133:W3133">IF(All_Students_Scores!C3131:V3131="","",All_Students_Scores!C3131:V3131)</f>
        <v/>
      </c>
      <c r="E3133" s="57" t="str"/>
      <c r="F3133" s="49" t="str"/>
      <c r="G3133" s="59" t="str"/>
      <c r="H3133" s="64" t="str"/>
      <c r="I3133" s="65" t="str"/>
      <c r="J3133" s="49" t="str"/>
      <c r="K3133" s="41" t="str"/>
      <c r="L3133" s="41" t="str"/>
      <c r="M3133" s="41" t="str"/>
      <c r="N3133" s="41" t="str"/>
      <c r="O3133" s="41" t="str"/>
      <c r="P3133" s="41" t="str"/>
      <c r="Q3133" s="41" t="str"/>
      <c r="R3133" s="41" t="str"/>
      <c r="S3133" s="41" t="str"/>
      <c r="T3133" s="41" t="str"/>
      <c r="U3133" s="41" t="str"/>
      <c r="V3133" s="41" t="str"/>
      <c r="W3133" s="41" t="str"/>
    </row>
    <row r="3134">
      <c r="B3134" s="2" t="n"/>
      <c r="C3134" s="40" t="n"/>
      <c r="D3134" s="52">
        <f t="array" ref="D3134:W3134">IF(All_Students_Scores!C3132:V3132="","",All_Students_Scores!C3132:V3132)</f>
        <v/>
      </c>
      <c r="E3134" s="57" t="str"/>
      <c r="F3134" s="49" t="str"/>
      <c r="G3134" s="59" t="str"/>
      <c r="H3134" s="64" t="str"/>
      <c r="I3134" s="65" t="str"/>
      <c r="J3134" s="49" t="str"/>
      <c r="K3134" s="41" t="str"/>
      <c r="L3134" s="41" t="str"/>
      <c r="M3134" s="41" t="str"/>
      <c r="N3134" s="41" t="str"/>
      <c r="O3134" s="41" t="str"/>
      <c r="P3134" s="41" t="str"/>
      <c r="Q3134" s="41" t="str"/>
      <c r="R3134" s="41" t="str"/>
      <c r="S3134" s="41" t="str"/>
      <c r="T3134" s="41" t="str"/>
      <c r="U3134" s="41" t="str"/>
      <c r="V3134" s="41" t="str"/>
      <c r="W3134" s="41" t="str"/>
    </row>
    <row r="3135">
      <c r="B3135" s="2" t="n"/>
      <c r="C3135" s="40" t="n"/>
      <c r="D3135" s="52">
        <f t="array" ref="D3135:W3135">IF(All_Students_Scores!C3133:V3133="","",All_Students_Scores!C3133:V3133)</f>
        <v/>
      </c>
      <c r="E3135" s="57" t="str"/>
      <c r="F3135" s="49" t="str"/>
      <c r="G3135" s="59" t="str"/>
      <c r="H3135" s="64" t="str"/>
      <c r="I3135" s="65" t="str"/>
      <c r="J3135" s="49" t="str"/>
      <c r="K3135" s="41" t="str"/>
      <c r="L3135" s="41" t="str"/>
      <c r="M3135" s="41" t="str"/>
      <c r="N3135" s="41" t="str"/>
      <c r="O3135" s="41" t="str"/>
      <c r="P3135" s="41" t="str"/>
      <c r="Q3135" s="41" t="str"/>
      <c r="R3135" s="41" t="str"/>
      <c r="S3135" s="41" t="str"/>
      <c r="T3135" s="41" t="str"/>
      <c r="U3135" s="41" t="str"/>
      <c r="V3135" s="41" t="str"/>
      <c r="W3135" s="41" t="str"/>
    </row>
    <row r="3136">
      <c r="B3136" s="2" t="n"/>
      <c r="C3136" s="40" t="n"/>
      <c r="D3136" s="52">
        <f t="array" ref="D3136:W3136">IF(All_Students_Scores!C3134:V3134="","",All_Students_Scores!C3134:V3134)</f>
        <v/>
      </c>
      <c r="E3136" s="57" t="str"/>
      <c r="F3136" s="49" t="str"/>
      <c r="G3136" s="59" t="str"/>
      <c r="H3136" s="64" t="str"/>
      <c r="I3136" s="65" t="str"/>
      <c r="J3136" s="49" t="str"/>
      <c r="K3136" s="41" t="str"/>
      <c r="L3136" s="41" t="str"/>
      <c r="M3136" s="41" t="str"/>
      <c r="N3136" s="41" t="str"/>
      <c r="O3136" s="41" t="str"/>
      <c r="P3136" s="41" t="str"/>
      <c r="Q3136" s="41" t="str"/>
      <c r="R3136" s="41" t="str"/>
      <c r="S3136" s="41" t="str"/>
      <c r="T3136" s="41" t="str"/>
      <c r="U3136" s="41" t="str"/>
      <c r="V3136" s="41" t="str"/>
      <c r="W3136" s="41" t="str"/>
    </row>
    <row r="3137">
      <c r="B3137" s="2" t="n"/>
      <c r="C3137" s="40" t="n"/>
      <c r="D3137" s="52">
        <f t="array" ref="D3137:W3137">IF(All_Students_Scores!C3135:V3135="","",All_Students_Scores!C3135:V3135)</f>
        <v/>
      </c>
      <c r="E3137" s="57" t="str"/>
      <c r="F3137" s="49" t="str"/>
      <c r="G3137" s="59" t="str"/>
      <c r="H3137" s="64" t="str"/>
      <c r="I3137" s="65" t="str"/>
      <c r="J3137" s="49" t="str"/>
      <c r="K3137" s="41" t="str"/>
      <c r="L3137" s="41" t="str"/>
      <c r="M3137" s="41" t="str"/>
      <c r="N3137" s="41" t="str"/>
      <c r="O3137" s="41" t="str"/>
      <c r="P3137" s="41" t="str"/>
      <c r="Q3137" s="41" t="str"/>
      <c r="R3137" s="41" t="str"/>
      <c r="S3137" s="41" t="str"/>
      <c r="T3137" s="41" t="str"/>
      <c r="U3137" s="41" t="str"/>
      <c r="V3137" s="41" t="str"/>
      <c r="W3137" s="41" t="str"/>
    </row>
    <row r="3138">
      <c r="B3138" s="2" t="n"/>
      <c r="C3138" s="40" t="n"/>
      <c r="D3138" s="52">
        <f t="array" ref="D3138:W3138">IF(All_Students_Scores!C3136:V3136="","",All_Students_Scores!C3136:V3136)</f>
        <v/>
      </c>
      <c r="E3138" s="57" t="str"/>
      <c r="F3138" s="49" t="str"/>
      <c r="G3138" s="59" t="str"/>
      <c r="H3138" s="64" t="str"/>
      <c r="I3138" s="65" t="str"/>
      <c r="J3138" s="49" t="str"/>
      <c r="K3138" s="41" t="str"/>
      <c r="L3138" s="41" t="str"/>
      <c r="M3138" s="41" t="str"/>
      <c r="N3138" s="41" t="str"/>
      <c r="O3138" s="41" t="str"/>
      <c r="P3138" s="41" t="str"/>
      <c r="Q3138" s="41" t="str"/>
      <c r="R3138" s="41" t="str"/>
      <c r="S3138" s="41" t="str"/>
      <c r="T3138" s="41" t="str"/>
      <c r="U3138" s="41" t="str"/>
      <c r="V3138" s="41" t="str"/>
      <c r="W3138" s="41" t="str"/>
    </row>
    <row r="3139">
      <c r="B3139" s="2" t="n"/>
      <c r="C3139" s="40" t="n"/>
      <c r="D3139" s="52">
        <f t="array" ref="D3139:W3139">IF(All_Students_Scores!C3137:V3137="","",All_Students_Scores!C3137:V3137)</f>
        <v/>
      </c>
      <c r="E3139" s="57" t="str"/>
      <c r="F3139" s="49" t="str"/>
      <c r="G3139" s="59" t="str"/>
      <c r="H3139" s="64" t="str"/>
      <c r="I3139" s="65" t="str"/>
      <c r="J3139" s="49" t="str"/>
      <c r="K3139" s="41" t="str"/>
      <c r="L3139" s="41" t="str"/>
      <c r="M3139" s="41" t="str"/>
      <c r="N3139" s="41" t="str"/>
      <c r="O3139" s="41" t="str"/>
      <c r="P3139" s="41" t="str"/>
      <c r="Q3139" s="41" t="str"/>
      <c r="R3139" s="41" t="str"/>
      <c r="S3139" s="41" t="str"/>
      <c r="T3139" s="41" t="str"/>
      <c r="U3139" s="41" t="str"/>
      <c r="V3139" s="41" t="str"/>
      <c r="W3139" s="41" t="str"/>
    </row>
    <row r="3140">
      <c r="B3140" s="2" t="n"/>
      <c r="C3140" s="40" t="n"/>
      <c r="D3140" s="52">
        <f t="array" ref="D3140:W3140">IF(All_Students_Scores!C3138:V3138="","",All_Students_Scores!C3138:V3138)</f>
        <v/>
      </c>
      <c r="E3140" s="57" t="str"/>
      <c r="F3140" s="49" t="str"/>
      <c r="G3140" s="59" t="str"/>
      <c r="H3140" s="64" t="str"/>
      <c r="I3140" s="65" t="str"/>
      <c r="J3140" s="49" t="str"/>
      <c r="K3140" s="41" t="str"/>
      <c r="L3140" s="41" t="str"/>
      <c r="M3140" s="41" t="str"/>
      <c r="N3140" s="41" t="str"/>
      <c r="O3140" s="41" t="str"/>
      <c r="P3140" s="41" t="str"/>
      <c r="Q3140" s="41" t="str"/>
      <c r="R3140" s="41" t="str"/>
      <c r="S3140" s="41" t="str"/>
      <c r="T3140" s="41" t="str"/>
      <c r="U3140" s="41" t="str"/>
      <c r="V3140" s="41" t="str"/>
      <c r="W3140" s="41" t="str"/>
    </row>
    <row r="3141">
      <c r="B3141" s="2" t="n"/>
      <c r="C3141" s="40" t="n"/>
      <c r="D3141" s="52">
        <f t="array" ref="D3141:W3141">IF(All_Students_Scores!C3139:V3139="","",All_Students_Scores!C3139:V3139)</f>
        <v/>
      </c>
      <c r="E3141" s="57" t="str"/>
      <c r="F3141" s="49" t="str"/>
      <c r="G3141" s="59" t="str"/>
      <c r="H3141" s="64" t="str"/>
      <c r="I3141" s="65" t="str"/>
      <c r="J3141" s="49" t="str"/>
      <c r="K3141" s="41" t="str"/>
      <c r="L3141" s="41" t="str"/>
      <c r="M3141" s="41" t="str"/>
      <c r="N3141" s="41" t="str"/>
      <c r="O3141" s="41" t="str"/>
      <c r="P3141" s="41" t="str"/>
      <c r="Q3141" s="41" t="str"/>
      <c r="R3141" s="41" t="str"/>
      <c r="S3141" s="41" t="str"/>
      <c r="T3141" s="41" t="str"/>
      <c r="U3141" s="41" t="str"/>
      <c r="V3141" s="41" t="str"/>
      <c r="W3141" s="41" t="str"/>
    </row>
    <row r="3142">
      <c r="B3142" s="2" t="n"/>
      <c r="C3142" s="40" t="n"/>
      <c r="D3142" s="52">
        <f t="array" ref="D3142:W3142">IF(All_Students_Scores!C3140:V3140="","",All_Students_Scores!C3140:V3140)</f>
        <v/>
      </c>
      <c r="E3142" s="57" t="str"/>
      <c r="F3142" s="49" t="str"/>
      <c r="G3142" s="59" t="str"/>
      <c r="H3142" s="64" t="str"/>
      <c r="I3142" s="65" t="str"/>
      <c r="J3142" s="49" t="str"/>
      <c r="K3142" s="41" t="str"/>
      <c r="L3142" s="41" t="str"/>
      <c r="M3142" s="41" t="str"/>
      <c r="N3142" s="41" t="str"/>
      <c r="O3142" s="41" t="str"/>
      <c r="P3142" s="41" t="str"/>
      <c r="Q3142" s="41" t="str"/>
      <c r="R3142" s="41" t="str"/>
      <c r="S3142" s="41" t="str"/>
      <c r="T3142" s="41" t="str"/>
      <c r="U3142" s="41" t="str"/>
      <c r="V3142" s="41" t="str"/>
      <c r="W3142" s="41" t="str"/>
    </row>
    <row r="3143">
      <c r="B3143" s="2" t="n"/>
      <c r="C3143" s="40" t="n"/>
      <c r="D3143" s="52">
        <f t="array" ref="D3143:W3143">IF(All_Students_Scores!C3141:V3141="","",All_Students_Scores!C3141:V3141)</f>
        <v/>
      </c>
      <c r="E3143" s="57" t="str"/>
      <c r="F3143" s="49" t="str"/>
      <c r="G3143" s="59" t="str"/>
      <c r="H3143" s="64" t="str"/>
      <c r="I3143" s="65" t="str"/>
      <c r="J3143" s="49" t="str"/>
      <c r="K3143" s="41" t="str"/>
      <c r="L3143" s="41" t="str"/>
      <c r="M3143" s="41" t="str"/>
      <c r="N3143" s="41" t="str"/>
      <c r="O3143" s="41" t="str"/>
      <c r="P3143" s="41" t="str"/>
      <c r="Q3143" s="41" t="str"/>
      <c r="R3143" s="41" t="str"/>
      <c r="S3143" s="41" t="str"/>
      <c r="T3143" s="41" t="str"/>
      <c r="U3143" s="41" t="str"/>
      <c r="V3143" s="41" t="str"/>
      <c r="W3143" s="41" t="str"/>
    </row>
    <row r="3144">
      <c r="B3144" s="2" t="n"/>
      <c r="C3144" s="40" t="n"/>
      <c r="D3144" s="52">
        <f t="array" ref="D3144:W3144">IF(All_Students_Scores!C3142:V3142="","",All_Students_Scores!C3142:V3142)</f>
        <v/>
      </c>
      <c r="E3144" s="57" t="str"/>
      <c r="F3144" s="49" t="str"/>
      <c r="G3144" s="59" t="str"/>
      <c r="H3144" s="64" t="str"/>
      <c r="I3144" s="65" t="str"/>
      <c r="J3144" s="49" t="str"/>
      <c r="K3144" s="41" t="str"/>
      <c r="L3144" s="41" t="str"/>
      <c r="M3144" s="41" t="str"/>
      <c r="N3144" s="41" t="str"/>
      <c r="O3144" s="41" t="str"/>
      <c r="P3144" s="41" t="str"/>
      <c r="Q3144" s="41" t="str"/>
      <c r="R3144" s="41" t="str"/>
      <c r="S3144" s="41" t="str"/>
      <c r="T3144" s="41" t="str"/>
      <c r="U3144" s="41" t="str"/>
      <c r="V3144" s="41" t="str"/>
      <c r="W3144" s="41" t="str"/>
    </row>
    <row r="3145">
      <c r="B3145" s="2" t="n"/>
      <c r="C3145" s="40" t="n"/>
      <c r="D3145" s="52">
        <f t="array" ref="D3145:W3145">IF(All_Students_Scores!C3143:V3143="","",All_Students_Scores!C3143:V3143)</f>
        <v/>
      </c>
      <c r="E3145" s="57" t="str"/>
      <c r="F3145" s="49" t="str"/>
      <c r="G3145" s="59" t="str"/>
      <c r="H3145" s="64" t="str"/>
      <c r="I3145" s="65" t="str"/>
      <c r="J3145" s="49" t="str"/>
      <c r="K3145" s="41" t="str"/>
      <c r="L3145" s="41" t="str"/>
      <c r="M3145" s="41" t="str"/>
      <c r="N3145" s="41" t="str"/>
      <c r="O3145" s="41" t="str"/>
      <c r="P3145" s="41" t="str"/>
      <c r="Q3145" s="41" t="str"/>
      <c r="R3145" s="41" t="str"/>
      <c r="S3145" s="41" t="str"/>
      <c r="T3145" s="41" t="str"/>
      <c r="U3145" s="41" t="str"/>
      <c r="V3145" s="41" t="str"/>
      <c r="W3145" s="41" t="str"/>
    </row>
    <row r="3146">
      <c r="B3146" s="2" t="n"/>
      <c r="C3146" s="40" t="n"/>
      <c r="D3146" s="52">
        <f t="array" ref="D3146:W3146">IF(All_Students_Scores!C3144:V3144="","",All_Students_Scores!C3144:V3144)</f>
        <v/>
      </c>
      <c r="E3146" s="57" t="str"/>
      <c r="F3146" s="49" t="str"/>
      <c r="G3146" s="59" t="str"/>
      <c r="H3146" s="64" t="str"/>
      <c r="I3146" s="65" t="str"/>
      <c r="J3146" s="49" t="str"/>
      <c r="K3146" s="41" t="str"/>
      <c r="L3146" s="41" t="str"/>
      <c r="M3146" s="41" t="str"/>
      <c r="N3146" s="41" t="str"/>
      <c r="O3146" s="41" t="str"/>
      <c r="P3146" s="41" t="str"/>
      <c r="Q3146" s="41" t="str"/>
      <c r="R3146" s="41" t="str"/>
      <c r="S3146" s="41" t="str"/>
      <c r="T3146" s="41" t="str"/>
      <c r="U3146" s="41" t="str"/>
      <c r="V3146" s="41" t="str"/>
      <c r="W3146" s="41" t="str"/>
    </row>
    <row r="3147">
      <c r="B3147" s="2" t="n"/>
      <c r="C3147" s="40" t="n"/>
      <c r="D3147" s="52">
        <f t="array" ref="D3147:W3147">IF(All_Students_Scores!C3145:V3145="","",All_Students_Scores!C3145:V3145)</f>
        <v/>
      </c>
      <c r="E3147" s="57" t="str"/>
      <c r="F3147" s="49" t="str"/>
      <c r="G3147" s="59" t="str"/>
      <c r="H3147" s="64" t="str"/>
      <c r="I3147" s="65" t="str"/>
      <c r="J3147" s="49" t="str"/>
      <c r="K3147" s="41" t="str"/>
      <c r="L3147" s="41" t="str"/>
      <c r="M3147" s="41" t="str"/>
      <c r="N3147" s="41" t="str"/>
      <c r="O3147" s="41" t="str"/>
      <c r="P3147" s="41" t="str"/>
      <c r="Q3147" s="41" t="str"/>
      <c r="R3147" s="41" t="str"/>
      <c r="S3147" s="41" t="str"/>
      <c r="T3147" s="41" t="str"/>
      <c r="U3147" s="41" t="str"/>
      <c r="V3147" s="41" t="str"/>
      <c r="W3147" s="41" t="str"/>
    </row>
    <row r="3148">
      <c r="B3148" s="2" t="n"/>
      <c r="C3148" s="40" t="n"/>
      <c r="D3148" s="52">
        <f t="array" ref="D3148:W3148">IF(All_Students_Scores!C3146:V3146="","",All_Students_Scores!C3146:V3146)</f>
        <v/>
      </c>
      <c r="E3148" s="57" t="str"/>
      <c r="F3148" s="49" t="str"/>
      <c r="G3148" s="59" t="str"/>
      <c r="H3148" s="64" t="str"/>
      <c r="I3148" s="65" t="str"/>
      <c r="J3148" s="49" t="str"/>
      <c r="K3148" s="41" t="str"/>
      <c r="L3148" s="41" t="str"/>
      <c r="M3148" s="41" t="str"/>
      <c r="N3148" s="41" t="str"/>
      <c r="O3148" s="41" t="str"/>
      <c r="P3148" s="41" t="str"/>
      <c r="Q3148" s="41" t="str"/>
      <c r="R3148" s="41" t="str"/>
      <c r="S3148" s="41" t="str"/>
      <c r="T3148" s="41" t="str"/>
      <c r="U3148" s="41" t="str"/>
      <c r="V3148" s="41" t="str"/>
      <c r="W3148" s="41" t="str"/>
    </row>
    <row r="3149">
      <c r="B3149" s="2" t="n"/>
      <c r="C3149" s="40" t="n"/>
      <c r="D3149" s="52">
        <f t="array" ref="D3149:W3149">IF(All_Students_Scores!C3147:V3147="","",All_Students_Scores!C3147:V3147)</f>
        <v/>
      </c>
      <c r="E3149" s="57" t="str"/>
      <c r="F3149" s="49" t="str"/>
      <c r="G3149" s="59" t="str"/>
      <c r="H3149" s="64" t="str"/>
      <c r="I3149" s="65" t="str"/>
      <c r="J3149" s="49" t="str"/>
      <c r="K3149" s="41" t="str"/>
      <c r="L3149" s="41" t="str"/>
      <c r="M3149" s="41" t="str"/>
      <c r="N3149" s="41" t="str"/>
      <c r="O3149" s="41" t="str"/>
      <c r="P3149" s="41" t="str"/>
      <c r="Q3149" s="41" t="str"/>
      <c r="R3149" s="41" t="str"/>
      <c r="S3149" s="41" t="str"/>
      <c r="T3149" s="41" t="str"/>
      <c r="U3149" s="41" t="str"/>
      <c r="V3149" s="41" t="str"/>
      <c r="W3149" s="41" t="str"/>
    </row>
    <row r="3150">
      <c r="B3150" s="2" t="n"/>
      <c r="C3150" s="40" t="n"/>
      <c r="D3150" s="52">
        <f t="array" ref="D3150:W3150">IF(All_Students_Scores!C3148:V3148="","",All_Students_Scores!C3148:V3148)</f>
        <v/>
      </c>
      <c r="E3150" s="57" t="str"/>
      <c r="F3150" s="49" t="str"/>
      <c r="G3150" s="59" t="str"/>
      <c r="H3150" s="64" t="str"/>
      <c r="I3150" s="65" t="str"/>
      <c r="J3150" s="49" t="str"/>
      <c r="K3150" s="41" t="str"/>
      <c r="L3150" s="41" t="str"/>
      <c r="M3150" s="41" t="str"/>
      <c r="N3150" s="41" t="str"/>
      <c r="O3150" s="41" t="str"/>
      <c r="P3150" s="41" t="str"/>
      <c r="Q3150" s="41" t="str"/>
      <c r="R3150" s="41" t="str"/>
      <c r="S3150" s="41" t="str"/>
      <c r="T3150" s="41" t="str"/>
      <c r="U3150" s="41" t="str"/>
      <c r="V3150" s="41" t="str"/>
      <c r="W3150" s="41" t="str"/>
    </row>
    <row r="3151">
      <c r="B3151" s="2" t="n"/>
      <c r="C3151" s="40" t="n"/>
      <c r="D3151" s="52">
        <f t="array" ref="D3151:W3151">IF(All_Students_Scores!C3149:V3149="","",All_Students_Scores!C3149:V3149)</f>
        <v/>
      </c>
      <c r="E3151" s="57" t="str"/>
      <c r="F3151" s="49" t="str"/>
      <c r="G3151" s="59" t="str"/>
      <c r="H3151" s="64" t="str"/>
      <c r="I3151" s="65" t="str"/>
      <c r="J3151" s="49" t="str"/>
      <c r="K3151" s="41" t="str"/>
      <c r="L3151" s="41" t="str"/>
      <c r="M3151" s="41" t="str"/>
      <c r="N3151" s="41" t="str"/>
      <c r="O3151" s="41" t="str"/>
      <c r="P3151" s="41" t="str"/>
      <c r="Q3151" s="41" t="str"/>
      <c r="R3151" s="41" t="str"/>
      <c r="S3151" s="41" t="str"/>
      <c r="T3151" s="41" t="str"/>
      <c r="U3151" s="41" t="str"/>
      <c r="V3151" s="41" t="str"/>
      <c r="W3151" s="41" t="str"/>
    </row>
    <row r="3152">
      <c r="B3152" s="2" t="n"/>
      <c r="C3152" s="40" t="n"/>
      <c r="D3152" s="52">
        <f t="array" ref="D3152:W3152">IF(All_Students_Scores!C3150:V3150="","",All_Students_Scores!C3150:V3150)</f>
        <v/>
      </c>
      <c r="E3152" s="57" t="str"/>
      <c r="F3152" s="49" t="str"/>
      <c r="G3152" s="59" t="str"/>
      <c r="H3152" s="64" t="str"/>
      <c r="I3152" s="65" t="str"/>
      <c r="J3152" s="49" t="str"/>
      <c r="K3152" s="41" t="str"/>
      <c r="L3152" s="41" t="str"/>
      <c r="M3152" s="41" t="str"/>
      <c r="N3152" s="41" t="str"/>
      <c r="O3152" s="41" t="str"/>
      <c r="P3152" s="41" t="str"/>
      <c r="Q3152" s="41" t="str"/>
      <c r="R3152" s="41" t="str"/>
      <c r="S3152" s="41" t="str"/>
      <c r="T3152" s="41" t="str"/>
      <c r="U3152" s="41" t="str"/>
      <c r="V3152" s="41" t="str"/>
      <c r="W3152" s="41" t="str"/>
    </row>
    <row r="3153">
      <c r="B3153" s="2" t="n"/>
      <c r="C3153" s="40" t="n"/>
      <c r="D3153" s="52">
        <f t="array" ref="D3153:W3153">IF(All_Students_Scores!C3151:V3151="","",All_Students_Scores!C3151:V3151)</f>
        <v/>
      </c>
      <c r="E3153" s="57" t="str"/>
      <c r="F3153" s="49" t="str"/>
      <c r="G3153" s="59" t="str"/>
      <c r="H3153" s="64" t="str"/>
      <c r="I3153" s="65" t="str"/>
      <c r="J3153" s="49" t="str"/>
      <c r="K3153" s="41" t="str"/>
      <c r="L3153" s="41" t="str"/>
      <c r="M3153" s="41" t="str"/>
      <c r="N3153" s="41" t="str"/>
      <c r="O3153" s="41" t="str"/>
      <c r="P3153" s="41" t="str"/>
      <c r="Q3153" s="41" t="str"/>
      <c r="R3153" s="41" t="str"/>
      <c r="S3153" s="41" t="str"/>
      <c r="T3153" s="41" t="str"/>
      <c r="U3153" s="41" t="str"/>
      <c r="V3153" s="41" t="str"/>
      <c r="W3153" s="41" t="str"/>
    </row>
    <row r="3154">
      <c r="B3154" s="2" t="n"/>
      <c r="C3154" s="40" t="n"/>
      <c r="D3154" s="52">
        <f t="array" ref="D3154:W3154">IF(All_Students_Scores!C3152:V3152="","",All_Students_Scores!C3152:V3152)</f>
        <v/>
      </c>
      <c r="E3154" s="57" t="str"/>
      <c r="F3154" s="49" t="str"/>
      <c r="G3154" s="59" t="str"/>
      <c r="H3154" s="64" t="str"/>
      <c r="I3154" s="65" t="str"/>
      <c r="J3154" s="49" t="str"/>
      <c r="K3154" s="41" t="str"/>
      <c r="L3154" s="41" t="str"/>
      <c r="M3154" s="41" t="str"/>
      <c r="N3154" s="41" t="str"/>
      <c r="O3154" s="41" t="str"/>
      <c r="P3154" s="41" t="str"/>
      <c r="Q3154" s="41" t="str"/>
      <c r="R3154" s="41" t="str"/>
      <c r="S3154" s="41" t="str"/>
      <c r="T3154" s="41" t="str"/>
      <c r="U3154" s="41" t="str"/>
      <c r="V3154" s="41" t="str"/>
      <c r="W3154" s="41" t="str"/>
    </row>
    <row r="3155">
      <c r="B3155" s="2" t="n"/>
      <c r="C3155" s="40" t="n"/>
      <c r="D3155" s="52">
        <f t="array" ref="D3155:W3155">IF(All_Students_Scores!C3153:V3153="","",All_Students_Scores!C3153:V3153)</f>
        <v/>
      </c>
      <c r="E3155" s="57" t="str"/>
      <c r="F3155" s="49" t="str"/>
      <c r="G3155" s="59" t="str"/>
      <c r="H3155" s="64" t="str"/>
      <c r="I3155" s="65" t="str"/>
      <c r="J3155" s="49" t="str"/>
      <c r="K3155" s="41" t="str"/>
      <c r="L3155" s="41" t="str"/>
      <c r="M3155" s="41" t="str"/>
      <c r="N3155" s="41" t="str"/>
      <c r="O3155" s="41" t="str"/>
      <c r="P3155" s="41" t="str"/>
      <c r="Q3155" s="41" t="str"/>
      <c r="R3155" s="41" t="str"/>
      <c r="S3155" s="41" t="str"/>
      <c r="T3155" s="41" t="str"/>
      <c r="U3155" s="41" t="str"/>
      <c r="V3155" s="41" t="str"/>
      <c r="W3155" s="41" t="str"/>
    </row>
    <row r="3156">
      <c r="B3156" s="2" t="n"/>
      <c r="C3156" s="40" t="n"/>
      <c r="D3156" s="52">
        <f t="array" ref="D3156:W3156">IF(All_Students_Scores!C3154:V3154="","",All_Students_Scores!C3154:V3154)</f>
        <v/>
      </c>
      <c r="E3156" s="57" t="str"/>
      <c r="F3156" s="49" t="str"/>
      <c r="G3156" s="59" t="str"/>
      <c r="H3156" s="64" t="str"/>
      <c r="I3156" s="65" t="str"/>
      <c r="J3156" s="49" t="str"/>
      <c r="K3156" s="41" t="str"/>
      <c r="L3156" s="41" t="str"/>
      <c r="M3156" s="41" t="str"/>
      <c r="N3156" s="41" t="str"/>
      <c r="O3156" s="41" t="str"/>
      <c r="P3156" s="41" t="str"/>
      <c r="Q3156" s="41" t="str"/>
      <c r="R3156" s="41" t="str"/>
      <c r="S3156" s="41" t="str"/>
      <c r="T3156" s="41" t="str"/>
      <c r="U3156" s="41" t="str"/>
      <c r="V3156" s="41" t="str"/>
      <c r="W3156" s="41" t="str"/>
    </row>
    <row r="3157">
      <c r="B3157" s="2" t="n"/>
      <c r="C3157" s="40" t="n"/>
      <c r="D3157" s="52">
        <f t="array" ref="D3157:W3157">IF(All_Students_Scores!C3155:V3155="","",All_Students_Scores!C3155:V3155)</f>
        <v/>
      </c>
      <c r="E3157" s="57" t="str"/>
      <c r="F3157" s="49" t="str"/>
      <c r="G3157" s="59" t="str"/>
      <c r="H3157" s="64" t="str"/>
      <c r="I3157" s="65" t="str"/>
      <c r="J3157" s="49" t="str"/>
      <c r="K3157" s="41" t="str"/>
      <c r="L3157" s="41" t="str"/>
      <c r="M3157" s="41" t="str"/>
      <c r="N3157" s="41" t="str"/>
      <c r="O3157" s="41" t="str"/>
      <c r="P3157" s="41" t="str"/>
      <c r="Q3157" s="41" t="str"/>
      <c r="R3157" s="41" t="str"/>
      <c r="S3157" s="41" t="str"/>
      <c r="T3157" s="41" t="str"/>
      <c r="U3157" s="41" t="str"/>
      <c r="V3157" s="41" t="str"/>
      <c r="W3157" s="41" t="str"/>
    </row>
    <row r="3158">
      <c r="B3158" s="2" t="n"/>
      <c r="C3158" s="40" t="n"/>
      <c r="D3158" s="52">
        <f t="array" ref="D3158:W3158">IF(All_Students_Scores!C3156:V3156="","",All_Students_Scores!C3156:V3156)</f>
        <v/>
      </c>
      <c r="E3158" s="57" t="str"/>
      <c r="F3158" s="49" t="str"/>
      <c r="G3158" s="59" t="str"/>
      <c r="H3158" s="64" t="str"/>
      <c r="I3158" s="65" t="str"/>
      <c r="J3158" s="49" t="str"/>
      <c r="K3158" s="41" t="str"/>
      <c r="L3158" s="41" t="str"/>
      <c r="M3158" s="41" t="str"/>
      <c r="N3158" s="41" t="str"/>
      <c r="O3158" s="41" t="str"/>
      <c r="P3158" s="41" t="str"/>
      <c r="Q3158" s="41" t="str"/>
      <c r="R3158" s="41" t="str"/>
      <c r="S3158" s="41" t="str"/>
      <c r="T3158" s="41" t="str"/>
      <c r="U3158" s="41" t="str"/>
      <c r="V3158" s="41" t="str"/>
      <c r="W3158" s="41" t="str"/>
    </row>
    <row r="3159">
      <c r="B3159" s="2" t="n"/>
      <c r="C3159" s="40" t="n"/>
      <c r="D3159" s="52">
        <f t="array" ref="D3159:W3159">IF(All_Students_Scores!C3157:V3157="","",All_Students_Scores!C3157:V3157)</f>
        <v/>
      </c>
      <c r="E3159" s="57" t="str"/>
      <c r="F3159" s="49" t="str"/>
      <c r="G3159" s="59" t="str"/>
      <c r="H3159" s="64" t="str"/>
      <c r="I3159" s="65" t="str"/>
      <c r="J3159" s="49" t="str"/>
      <c r="K3159" s="41" t="str"/>
      <c r="L3159" s="41" t="str"/>
      <c r="M3159" s="41" t="str"/>
      <c r="N3159" s="41" t="str"/>
      <c r="O3159" s="41" t="str"/>
      <c r="P3159" s="41" t="str"/>
      <c r="Q3159" s="41" t="str"/>
      <c r="R3159" s="41" t="str"/>
      <c r="S3159" s="41" t="str"/>
      <c r="T3159" s="41" t="str"/>
      <c r="U3159" s="41" t="str"/>
      <c r="V3159" s="41" t="str"/>
      <c r="W3159" s="41" t="str"/>
    </row>
    <row r="3160">
      <c r="B3160" s="2" t="n"/>
      <c r="C3160" s="40" t="n"/>
      <c r="D3160" s="52">
        <f t="array" ref="D3160:W3160">IF(All_Students_Scores!C3158:V3158="","",All_Students_Scores!C3158:V3158)</f>
        <v/>
      </c>
      <c r="E3160" s="57" t="str"/>
      <c r="F3160" s="49" t="str"/>
      <c r="G3160" s="59" t="str"/>
      <c r="H3160" s="64" t="str"/>
      <c r="I3160" s="65" t="str"/>
      <c r="J3160" s="49" t="str"/>
      <c r="K3160" s="41" t="str"/>
      <c r="L3160" s="41" t="str"/>
      <c r="M3160" s="41" t="str"/>
      <c r="N3160" s="41" t="str"/>
      <c r="O3160" s="41" t="str"/>
      <c r="P3160" s="41" t="str"/>
      <c r="Q3160" s="41" t="str"/>
      <c r="R3160" s="41" t="str"/>
      <c r="S3160" s="41" t="str"/>
      <c r="T3160" s="41" t="str"/>
      <c r="U3160" s="41" t="str"/>
      <c r="V3160" s="41" t="str"/>
      <c r="W3160" s="41" t="str"/>
    </row>
    <row r="3161">
      <c r="B3161" s="2" t="n"/>
      <c r="C3161" s="40" t="n"/>
      <c r="D3161" s="52">
        <f t="array" ref="D3161:W3161">IF(All_Students_Scores!C3159:V3159="","",All_Students_Scores!C3159:V3159)</f>
        <v/>
      </c>
      <c r="E3161" s="57" t="str"/>
      <c r="F3161" s="49" t="str"/>
      <c r="G3161" s="59" t="str"/>
      <c r="H3161" s="64" t="str"/>
      <c r="I3161" s="65" t="str"/>
      <c r="J3161" s="49" t="str"/>
      <c r="K3161" s="41" t="str"/>
      <c r="L3161" s="41" t="str"/>
      <c r="M3161" s="41" t="str"/>
      <c r="N3161" s="41" t="str"/>
      <c r="O3161" s="41" t="str"/>
      <c r="P3161" s="41" t="str"/>
      <c r="Q3161" s="41" t="str"/>
      <c r="R3161" s="41" t="str"/>
      <c r="S3161" s="41" t="str"/>
      <c r="T3161" s="41" t="str"/>
      <c r="U3161" s="41" t="str"/>
      <c r="V3161" s="41" t="str"/>
      <c r="W3161" s="41" t="str"/>
    </row>
    <row r="3162">
      <c r="B3162" s="2" t="n"/>
      <c r="C3162" s="40" t="n"/>
      <c r="D3162" s="52">
        <f t="array" ref="D3162:W3162">IF(All_Students_Scores!C3160:V3160="","",All_Students_Scores!C3160:V3160)</f>
        <v/>
      </c>
      <c r="E3162" s="57" t="str"/>
      <c r="F3162" s="49" t="str"/>
      <c r="G3162" s="59" t="str"/>
      <c r="H3162" s="64" t="str"/>
      <c r="I3162" s="65" t="str"/>
      <c r="J3162" s="49" t="str"/>
      <c r="K3162" s="41" t="str"/>
      <c r="L3162" s="41" t="str"/>
      <c r="M3162" s="41" t="str"/>
      <c r="N3162" s="41" t="str"/>
      <c r="O3162" s="41" t="str"/>
      <c r="P3162" s="41" t="str"/>
      <c r="Q3162" s="41" t="str"/>
      <c r="R3162" s="41" t="str"/>
      <c r="S3162" s="41" t="str"/>
      <c r="T3162" s="41" t="str"/>
      <c r="U3162" s="41" t="str"/>
      <c r="V3162" s="41" t="str"/>
      <c r="W3162" s="41" t="str"/>
    </row>
    <row r="3163">
      <c r="B3163" s="2" t="n"/>
      <c r="C3163" s="40" t="n"/>
      <c r="D3163" s="52">
        <f t="array" ref="D3163:W3163">IF(All_Students_Scores!C3161:V3161="","",All_Students_Scores!C3161:V3161)</f>
        <v/>
      </c>
      <c r="E3163" s="57" t="str"/>
      <c r="F3163" s="49" t="str"/>
      <c r="G3163" s="59" t="str"/>
      <c r="H3163" s="64" t="str"/>
      <c r="I3163" s="65" t="str"/>
      <c r="J3163" s="49" t="str"/>
      <c r="K3163" s="41" t="str"/>
      <c r="L3163" s="41" t="str"/>
      <c r="M3163" s="41" t="str"/>
      <c r="N3163" s="41" t="str"/>
      <c r="O3163" s="41" t="str"/>
      <c r="P3163" s="41" t="str"/>
      <c r="Q3163" s="41" t="str"/>
      <c r="R3163" s="41" t="str"/>
      <c r="S3163" s="41" t="str"/>
      <c r="T3163" s="41" t="str"/>
      <c r="U3163" s="41" t="str"/>
      <c r="V3163" s="41" t="str"/>
      <c r="W3163" s="41" t="str"/>
    </row>
    <row r="3164">
      <c r="B3164" s="2" t="n"/>
      <c r="C3164" s="40" t="n"/>
      <c r="D3164" s="52">
        <f t="array" ref="D3164:W3164">IF(All_Students_Scores!C3162:V3162="","",All_Students_Scores!C3162:V3162)</f>
        <v/>
      </c>
      <c r="E3164" s="57" t="str"/>
      <c r="F3164" s="49" t="str"/>
      <c r="G3164" s="59" t="str"/>
      <c r="H3164" s="64" t="str"/>
      <c r="I3164" s="65" t="str"/>
      <c r="J3164" s="49" t="str"/>
      <c r="K3164" s="41" t="str"/>
      <c r="L3164" s="41" t="str"/>
      <c r="M3164" s="41" t="str"/>
      <c r="N3164" s="41" t="str"/>
      <c r="O3164" s="41" t="str"/>
      <c r="P3164" s="41" t="str"/>
      <c r="Q3164" s="41" t="str"/>
      <c r="R3164" s="41" t="str"/>
      <c r="S3164" s="41" t="str"/>
      <c r="T3164" s="41" t="str"/>
      <c r="U3164" s="41" t="str"/>
      <c r="V3164" s="41" t="str"/>
      <c r="W3164" s="41" t="str"/>
    </row>
    <row r="3165">
      <c r="B3165" s="2" t="n"/>
      <c r="C3165" s="40" t="n"/>
      <c r="D3165" s="52">
        <f t="array" ref="D3165:W3165">IF(All_Students_Scores!C3163:V3163="","",All_Students_Scores!C3163:V3163)</f>
        <v/>
      </c>
      <c r="E3165" s="57" t="str"/>
      <c r="F3165" s="49" t="str"/>
      <c r="G3165" s="59" t="str"/>
      <c r="H3165" s="64" t="str"/>
      <c r="I3165" s="65" t="str"/>
      <c r="J3165" s="49" t="str"/>
      <c r="K3165" s="41" t="str"/>
      <c r="L3165" s="41" t="str"/>
      <c r="M3165" s="41" t="str"/>
      <c r="N3165" s="41" t="str"/>
      <c r="O3165" s="41" t="str"/>
      <c r="P3165" s="41" t="str"/>
      <c r="Q3165" s="41" t="str"/>
      <c r="R3165" s="41" t="str"/>
      <c r="S3165" s="41" t="str"/>
      <c r="T3165" s="41" t="str"/>
      <c r="U3165" s="41" t="str"/>
      <c r="V3165" s="41" t="str"/>
      <c r="W3165" s="41" t="str"/>
    </row>
    <row r="3166">
      <c r="B3166" s="2" t="n"/>
      <c r="C3166" s="40" t="n"/>
      <c r="D3166" s="52">
        <f t="array" ref="D3166:W3166">IF(All_Students_Scores!C3164:V3164="","",All_Students_Scores!C3164:V3164)</f>
        <v/>
      </c>
      <c r="E3166" s="57" t="str"/>
      <c r="F3166" s="49" t="str"/>
      <c r="G3166" s="59" t="str"/>
      <c r="H3166" s="64" t="str"/>
      <c r="I3166" s="65" t="str"/>
      <c r="J3166" s="49" t="str"/>
      <c r="K3166" s="41" t="str"/>
      <c r="L3166" s="41" t="str"/>
      <c r="M3166" s="41" t="str"/>
      <c r="N3166" s="41" t="str"/>
      <c r="O3166" s="41" t="str"/>
      <c r="P3166" s="41" t="str"/>
      <c r="Q3166" s="41" t="str"/>
      <c r="R3166" s="41" t="str"/>
      <c r="S3166" s="41" t="str"/>
      <c r="T3166" s="41" t="str"/>
      <c r="U3166" s="41" t="str"/>
      <c r="V3166" s="41" t="str"/>
      <c r="W3166" s="41" t="str"/>
    </row>
    <row r="3167">
      <c r="B3167" s="2" t="n"/>
      <c r="C3167" s="40" t="n"/>
      <c r="D3167" s="52">
        <f t="array" ref="D3167:W3167">IF(All_Students_Scores!C3165:V3165="","",All_Students_Scores!C3165:V3165)</f>
        <v/>
      </c>
      <c r="E3167" s="57" t="str"/>
      <c r="F3167" s="49" t="str"/>
      <c r="G3167" s="59" t="str"/>
      <c r="H3167" s="64" t="str"/>
      <c r="I3167" s="65" t="str"/>
      <c r="J3167" s="49" t="str"/>
      <c r="K3167" s="41" t="str"/>
      <c r="L3167" s="41" t="str"/>
      <c r="M3167" s="41" t="str"/>
      <c r="N3167" s="41" t="str"/>
      <c r="O3167" s="41" t="str"/>
      <c r="P3167" s="41" t="str"/>
      <c r="Q3167" s="41" t="str"/>
      <c r="R3167" s="41" t="str"/>
      <c r="S3167" s="41" t="str"/>
      <c r="T3167" s="41" t="str"/>
      <c r="U3167" s="41" t="str"/>
      <c r="V3167" s="41" t="str"/>
      <c r="W3167" s="41" t="str"/>
    </row>
    <row r="3168">
      <c r="B3168" s="2" t="n"/>
      <c r="C3168" s="40" t="n"/>
      <c r="D3168" s="52">
        <f t="array" ref="D3168:W3168">IF(All_Students_Scores!C3166:V3166="","",All_Students_Scores!C3166:V3166)</f>
        <v/>
      </c>
      <c r="E3168" s="57" t="str"/>
      <c r="F3168" s="49" t="str"/>
      <c r="G3168" s="59" t="str"/>
      <c r="H3168" s="64" t="str"/>
      <c r="I3168" s="65" t="str"/>
      <c r="J3168" s="49" t="str"/>
      <c r="K3168" s="41" t="str"/>
      <c r="L3168" s="41" t="str"/>
      <c r="M3168" s="41" t="str"/>
      <c r="N3168" s="41" t="str"/>
      <c r="O3168" s="41" t="str"/>
      <c r="P3168" s="41" t="str"/>
      <c r="Q3168" s="41" t="str"/>
      <c r="R3168" s="41" t="str"/>
      <c r="S3168" s="41" t="str"/>
      <c r="T3168" s="41" t="str"/>
      <c r="U3168" s="41" t="str"/>
      <c r="V3168" s="41" t="str"/>
      <c r="W3168" s="41" t="str"/>
    </row>
    <row r="3169">
      <c r="B3169" s="2" t="n"/>
      <c r="C3169" s="40" t="n"/>
      <c r="D3169" s="52">
        <f t="array" ref="D3169:W3169">IF(All_Students_Scores!C3167:V3167="","",All_Students_Scores!C3167:V3167)</f>
        <v/>
      </c>
      <c r="E3169" s="57" t="str"/>
      <c r="F3169" s="49" t="str"/>
      <c r="G3169" s="59" t="str"/>
      <c r="H3169" s="64" t="str"/>
      <c r="I3169" s="65" t="str"/>
      <c r="J3169" s="49" t="str"/>
      <c r="K3169" s="41" t="str"/>
      <c r="L3169" s="41" t="str"/>
      <c r="M3169" s="41" t="str"/>
      <c r="N3169" s="41" t="str"/>
      <c r="O3169" s="41" t="str"/>
      <c r="P3169" s="41" t="str"/>
      <c r="Q3169" s="41" t="str"/>
      <c r="R3169" s="41" t="str"/>
      <c r="S3169" s="41" t="str"/>
      <c r="T3169" s="41" t="str"/>
      <c r="U3169" s="41" t="str"/>
      <c r="V3169" s="41" t="str"/>
      <c r="W3169" s="41" t="str"/>
    </row>
    <row r="3170">
      <c r="B3170" s="2" t="n"/>
      <c r="C3170" s="40" t="n"/>
      <c r="D3170" s="52">
        <f t="array" ref="D3170:W3170">IF(All_Students_Scores!C3168:V3168="","",All_Students_Scores!C3168:V3168)</f>
        <v/>
      </c>
      <c r="E3170" s="57" t="str"/>
      <c r="F3170" s="49" t="str"/>
      <c r="G3170" s="59" t="str"/>
      <c r="H3170" s="64" t="str"/>
      <c r="I3170" s="65" t="str"/>
      <c r="J3170" s="49" t="str"/>
      <c r="K3170" s="41" t="str"/>
      <c r="L3170" s="41" t="str"/>
      <c r="M3170" s="41" t="str"/>
      <c r="N3170" s="41" t="str"/>
      <c r="O3170" s="41" t="str"/>
      <c r="P3170" s="41" t="str"/>
      <c r="Q3170" s="41" t="str"/>
      <c r="R3170" s="41" t="str"/>
      <c r="S3170" s="41" t="str"/>
      <c r="T3170" s="41" t="str"/>
      <c r="U3170" s="41" t="str"/>
      <c r="V3170" s="41" t="str"/>
      <c r="W3170" s="41" t="str"/>
    </row>
    <row r="3171">
      <c r="B3171" s="2" t="n"/>
      <c r="C3171" s="40" t="n"/>
      <c r="D3171" s="52">
        <f t="array" ref="D3171:W3171">IF(All_Students_Scores!C3169:V3169="","",All_Students_Scores!C3169:V3169)</f>
        <v/>
      </c>
      <c r="E3171" s="57" t="str"/>
      <c r="F3171" s="49" t="str"/>
      <c r="G3171" s="59" t="str"/>
      <c r="H3171" s="64" t="str"/>
      <c r="I3171" s="65" t="str"/>
      <c r="J3171" s="49" t="str"/>
      <c r="K3171" s="41" t="str"/>
      <c r="L3171" s="41" t="str"/>
      <c r="M3171" s="41" t="str"/>
      <c r="N3171" s="41" t="str"/>
      <c r="O3171" s="41" t="str"/>
      <c r="P3171" s="41" t="str"/>
      <c r="Q3171" s="41" t="str"/>
      <c r="R3171" s="41" t="str"/>
      <c r="S3171" s="41" t="str"/>
      <c r="T3171" s="41" t="str"/>
      <c r="U3171" s="41" t="str"/>
      <c r="V3171" s="41" t="str"/>
      <c r="W3171" s="41" t="str"/>
    </row>
    <row r="3172">
      <c r="B3172" s="2" t="n"/>
      <c r="C3172" s="40" t="n"/>
      <c r="D3172" s="52">
        <f t="array" ref="D3172:W3172">IF(All_Students_Scores!C3170:V3170="","",All_Students_Scores!C3170:V3170)</f>
        <v/>
      </c>
      <c r="E3172" s="57" t="str"/>
      <c r="F3172" s="49" t="str"/>
      <c r="G3172" s="59" t="str"/>
      <c r="H3172" s="64" t="str"/>
      <c r="I3172" s="65" t="str"/>
      <c r="J3172" s="49" t="str"/>
      <c r="K3172" s="41" t="str"/>
      <c r="L3172" s="41" t="str"/>
      <c r="M3172" s="41" t="str"/>
      <c r="N3172" s="41" t="str"/>
      <c r="O3172" s="41" t="str"/>
      <c r="P3172" s="41" t="str"/>
      <c r="Q3172" s="41" t="str"/>
      <c r="R3172" s="41" t="str"/>
      <c r="S3172" s="41" t="str"/>
      <c r="T3172" s="41" t="str"/>
      <c r="U3172" s="41" t="str"/>
      <c r="V3172" s="41" t="str"/>
      <c r="W3172" s="41" t="str"/>
    </row>
    <row r="3173">
      <c r="B3173" s="2" t="n"/>
      <c r="C3173" s="40" t="n"/>
      <c r="D3173" s="52">
        <f t="array" ref="D3173:W3173">IF(All_Students_Scores!C3171:V3171="","",All_Students_Scores!C3171:V3171)</f>
        <v/>
      </c>
      <c r="E3173" s="57" t="str"/>
      <c r="F3173" s="49" t="str"/>
      <c r="G3173" s="59" t="str"/>
      <c r="H3173" s="64" t="str"/>
      <c r="I3173" s="65" t="str"/>
      <c r="J3173" s="49" t="str"/>
      <c r="K3173" s="41" t="str"/>
      <c r="L3173" s="41" t="str"/>
      <c r="M3173" s="41" t="str"/>
      <c r="N3173" s="41" t="str"/>
      <c r="O3173" s="41" t="str"/>
      <c r="P3173" s="41" t="str"/>
      <c r="Q3173" s="41" t="str"/>
      <c r="R3173" s="41" t="str"/>
      <c r="S3173" s="41" t="str"/>
      <c r="T3173" s="41" t="str"/>
      <c r="U3173" s="41" t="str"/>
      <c r="V3173" s="41" t="str"/>
      <c r="W3173" s="41" t="str"/>
    </row>
    <row r="3174">
      <c r="B3174" s="2" t="n"/>
      <c r="C3174" s="40" t="n"/>
      <c r="D3174" s="52">
        <f t="array" ref="D3174:W3174">IF(All_Students_Scores!C3172:V3172="","",All_Students_Scores!C3172:V3172)</f>
        <v/>
      </c>
      <c r="E3174" s="57" t="str"/>
      <c r="F3174" s="49" t="str"/>
      <c r="G3174" s="59" t="str"/>
      <c r="H3174" s="64" t="str"/>
      <c r="I3174" s="65" t="str"/>
      <c r="J3174" s="49" t="str"/>
      <c r="K3174" s="41" t="str"/>
      <c r="L3174" s="41" t="str"/>
      <c r="M3174" s="41" t="str"/>
      <c r="N3174" s="41" t="str"/>
      <c r="O3174" s="41" t="str"/>
      <c r="P3174" s="41" t="str"/>
      <c r="Q3174" s="41" t="str"/>
      <c r="R3174" s="41" t="str"/>
      <c r="S3174" s="41" t="str"/>
      <c r="T3174" s="41" t="str"/>
      <c r="U3174" s="41" t="str"/>
      <c r="V3174" s="41" t="str"/>
      <c r="W3174" s="41" t="str"/>
    </row>
    <row r="3175">
      <c r="B3175" s="2" t="n"/>
      <c r="C3175" s="40" t="n"/>
      <c r="D3175" s="52">
        <f t="array" ref="D3175:W3175">IF(All_Students_Scores!C3173:V3173="","",All_Students_Scores!C3173:V3173)</f>
        <v/>
      </c>
      <c r="E3175" s="57" t="str"/>
      <c r="F3175" s="49" t="str"/>
      <c r="G3175" s="59" t="str"/>
      <c r="H3175" s="64" t="str"/>
      <c r="I3175" s="65" t="str"/>
      <c r="J3175" s="49" t="str"/>
      <c r="K3175" s="41" t="str"/>
      <c r="L3175" s="41" t="str"/>
      <c r="M3175" s="41" t="str"/>
      <c r="N3175" s="41" t="str"/>
      <c r="O3175" s="41" t="str"/>
      <c r="P3175" s="41" t="str"/>
      <c r="Q3175" s="41" t="str"/>
      <c r="R3175" s="41" t="str"/>
      <c r="S3175" s="41" t="str"/>
      <c r="T3175" s="41" t="str"/>
      <c r="U3175" s="41" t="str"/>
      <c r="V3175" s="41" t="str"/>
      <c r="W3175" s="41" t="str"/>
    </row>
    <row r="3176">
      <c r="B3176" s="2" t="n"/>
      <c r="C3176" s="40" t="n"/>
      <c r="D3176" s="52">
        <f t="array" ref="D3176:W3176">IF(All_Students_Scores!C3174:V3174="","",All_Students_Scores!C3174:V3174)</f>
        <v/>
      </c>
      <c r="E3176" s="57" t="str"/>
      <c r="F3176" s="49" t="str"/>
      <c r="G3176" s="59" t="str"/>
      <c r="H3176" s="64" t="str"/>
      <c r="I3176" s="65" t="str"/>
      <c r="J3176" s="49" t="str"/>
      <c r="K3176" s="41" t="str"/>
      <c r="L3176" s="41" t="str"/>
      <c r="M3176" s="41" t="str"/>
      <c r="N3176" s="41" t="str"/>
      <c r="O3176" s="41" t="str"/>
      <c r="P3176" s="41" t="str"/>
      <c r="Q3176" s="41" t="str"/>
      <c r="R3176" s="41" t="str"/>
      <c r="S3176" s="41" t="str"/>
      <c r="T3176" s="41" t="str"/>
      <c r="U3176" s="41" t="str"/>
      <c r="V3176" s="41" t="str"/>
      <c r="W3176" s="41" t="str"/>
    </row>
    <row r="3177">
      <c r="B3177" s="2" t="n"/>
      <c r="C3177" s="40" t="n"/>
      <c r="D3177" s="52">
        <f t="array" ref="D3177:W3177">IF(All_Students_Scores!C3175:V3175="","",All_Students_Scores!C3175:V3175)</f>
        <v/>
      </c>
      <c r="E3177" s="57" t="str"/>
      <c r="F3177" s="49" t="str"/>
      <c r="G3177" s="59" t="str"/>
      <c r="H3177" s="64" t="str"/>
      <c r="I3177" s="65" t="str"/>
      <c r="J3177" s="49" t="str"/>
      <c r="K3177" s="41" t="str"/>
      <c r="L3177" s="41" t="str"/>
      <c r="M3177" s="41" t="str"/>
      <c r="N3177" s="41" t="str"/>
      <c r="O3177" s="41" t="str"/>
      <c r="P3177" s="41" t="str"/>
      <c r="Q3177" s="41" t="str"/>
      <c r="R3177" s="41" t="str"/>
      <c r="S3177" s="41" t="str"/>
      <c r="T3177" s="41" t="str"/>
      <c r="U3177" s="41" t="str"/>
      <c r="V3177" s="41" t="str"/>
      <c r="W3177" s="41" t="str"/>
    </row>
    <row r="3178">
      <c r="B3178" s="2" t="n"/>
      <c r="C3178" s="40" t="n"/>
      <c r="D3178" s="52">
        <f t="array" ref="D3178:W3178">IF(All_Students_Scores!C3176:V3176="","",All_Students_Scores!C3176:V3176)</f>
        <v/>
      </c>
      <c r="E3178" s="57" t="str"/>
      <c r="F3178" s="49" t="str"/>
      <c r="G3178" s="59" t="str"/>
      <c r="H3178" s="64" t="str"/>
      <c r="I3178" s="65" t="str"/>
      <c r="J3178" s="49" t="str"/>
      <c r="K3178" s="41" t="str"/>
      <c r="L3178" s="41" t="str"/>
      <c r="M3178" s="41" t="str"/>
      <c r="N3178" s="41" t="str"/>
      <c r="O3178" s="41" t="str"/>
      <c r="P3178" s="41" t="str"/>
      <c r="Q3178" s="41" t="str"/>
      <c r="R3178" s="41" t="str"/>
      <c r="S3178" s="41" t="str"/>
      <c r="T3178" s="41" t="str"/>
      <c r="U3178" s="41" t="str"/>
      <c r="V3178" s="41" t="str"/>
      <c r="W3178" s="41" t="str"/>
    </row>
    <row r="3179">
      <c r="B3179" s="2" t="n"/>
      <c r="C3179" s="40" t="n"/>
      <c r="D3179" s="52">
        <f t="array" ref="D3179:W3179">IF(All_Students_Scores!C3177:V3177="","",All_Students_Scores!C3177:V3177)</f>
        <v/>
      </c>
      <c r="E3179" s="57" t="str"/>
      <c r="F3179" s="49" t="str"/>
      <c r="G3179" s="59" t="str"/>
      <c r="H3179" s="64" t="str"/>
      <c r="I3179" s="65" t="str"/>
      <c r="J3179" s="49" t="str"/>
      <c r="K3179" s="41" t="str"/>
      <c r="L3179" s="41" t="str"/>
      <c r="M3179" s="41" t="str"/>
      <c r="N3179" s="41" t="str"/>
      <c r="O3179" s="41" t="str"/>
      <c r="P3179" s="41" t="str"/>
      <c r="Q3179" s="41" t="str"/>
      <c r="R3179" s="41" t="str"/>
      <c r="S3179" s="41" t="str"/>
      <c r="T3179" s="41" t="str"/>
      <c r="U3179" s="41" t="str"/>
      <c r="V3179" s="41" t="str"/>
      <c r="W3179" s="41" t="str"/>
    </row>
    <row r="3180">
      <c r="B3180" s="2" t="n"/>
      <c r="C3180" s="40" t="n"/>
      <c r="D3180" s="52">
        <f t="array" ref="D3180:W3180">IF(All_Students_Scores!C3178:V3178="","",All_Students_Scores!C3178:V3178)</f>
        <v/>
      </c>
      <c r="E3180" s="57" t="str"/>
      <c r="F3180" s="49" t="str"/>
      <c r="G3180" s="59" t="str"/>
      <c r="H3180" s="64" t="str"/>
      <c r="I3180" s="65" t="str"/>
      <c r="J3180" s="49" t="str"/>
      <c r="K3180" s="41" t="str"/>
      <c r="L3180" s="41" t="str"/>
      <c r="M3180" s="41" t="str"/>
      <c r="N3180" s="41" t="str"/>
      <c r="O3180" s="41" t="str"/>
      <c r="P3180" s="41" t="str"/>
      <c r="Q3180" s="41" t="str"/>
      <c r="R3180" s="41" t="str"/>
      <c r="S3180" s="41" t="str"/>
      <c r="T3180" s="41" t="str"/>
      <c r="U3180" s="41" t="str"/>
      <c r="V3180" s="41" t="str"/>
      <c r="W3180" s="41" t="str"/>
    </row>
    <row r="3181">
      <c r="B3181" s="2" t="n"/>
      <c r="C3181" s="40" t="n"/>
      <c r="D3181" s="52">
        <f t="array" ref="D3181:W3181">IF(All_Students_Scores!C3179:V3179="","",All_Students_Scores!C3179:V3179)</f>
        <v/>
      </c>
      <c r="E3181" s="57" t="str"/>
      <c r="F3181" s="49" t="str"/>
      <c r="G3181" s="59" t="str"/>
      <c r="H3181" s="64" t="str"/>
      <c r="I3181" s="65" t="str"/>
      <c r="J3181" s="49" t="str"/>
      <c r="K3181" s="41" t="str"/>
      <c r="L3181" s="41" t="str"/>
      <c r="M3181" s="41" t="str"/>
      <c r="N3181" s="41" t="str"/>
      <c r="O3181" s="41" t="str"/>
      <c r="P3181" s="41" t="str"/>
      <c r="Q3181" s="41" t="str"/>
      <c r="R3181" s="41" t="str"/>
      <c r="S3181" s="41" t="str"/>
      <c r="T3181" s="41" t="str"/>
      <c r="U3181" s="41" t="str"/>
      <c r="V3181" s="41" t="str"/>
      <c r="W3181" s="41" t="str"/>
    </row>
    <row r="3182">
      <c r="B3182" s="2" t="n"/>
      <c r="C3182" s="40" t="n"/>
      <c r="D3182" s="52">
        <f t="array" ref="D3182:W3182">IF(All_Students_Scores!C3180:V3180="","",All_Students_Scores!C3180:V3180)</f>
        <v/>
      </c>
      <c r="E3182" s="57" t="str"/>
      <c r="F3182" s="49" t="str"/>
      <c r="G3182" s="59" t="str"/>
      <c r="H3182" s="64" t="str"/>
      <c r="I3182" s="65" t="str"/>
      <c r="J3182" s="49" t="str"/>
      <c r="K3182" s="41" t="str"/>
      <c r="L3182" s="41" t="str"/>
      <c r="M3182" s="41" t="str"/>
      <c r="N3182" s="41" t="str"/>
      <c r="O3182" s="41" t="str"/>
      <c r="P3182" s="41" t="str"/>
      <c r="Q3182" s="41" t="str"/>
      <c r="R3182" s="41" t="str"/>
      <c r="S3182" s="41" t="str"/>
      <c r="T3182" s="41" t="str"/>
      <c r="U3182" s="41" t="str"/>
      <c r="V3182" s="41" t="str"/>
      <c r="W3182" s="41" t="str"/>
    </row>
    <row r="3183">
      <c r="B3183" s="2" t="n"/>
      <c r="C3183" s="40" t="n"/>
      <c r="D3183" s="52">
        <f t="array" ref="D3183:W3183">IF(All_Students_Scores!C3181:V3181="","",All_Students_Scores!C3181:V3181)</f>
        <v/>
      </c>
      <c r="E3183" s="57" t="str"/>
      <c r="F3183" s="49" t="str"/>
      <c r="G3183" s="59" t="str"/>
      <c r="H3183" s="64" t="str"/>
      <c r="I3183" s="65" t="str"/>
      <c r="J3183" s="49" t="str"/>
      <c r="K3183" s="41" t="str"/>
      <c r="L3183" s="41" t="str"/>
      <c r="M3183" s="41" t="str"/>
      <c r="N3183" s="41" t="str"/>
      <c r="O3183" s="41" t="str"/>
      <c r="P3183" s="41" t="str"/>
      <c r="Q3183" s="41" t="str"/>
      <c r="R3183" s="41" t="str"/>
      <c r="S3183" s="41" t="str"/>
      <c r="T3183" s="41" t="str"/>
      <c r="U3183" s="41" t="str"/>
      <c r="V3183" s="41" t="str"/>
      <c r="W3183" s="41" t="str"/>
    </row>
    <row r="3184">
      <c r="B3184" s="2" t="n"/>
      <c r="C3184" s="40" t="n"/>
      <c r="D3184" s="52">
        <f t="array" ref="D3184:W3184">IF(All_Students_Scores!C3182:V3182="","",All_Students_Scores!C3182:V3182)</f>
        <v/>
      </c>
      <c r="E3184" s="57" t="str"/>
      <c r="F3184" s="49" t="str"/>
      <c r="G3184" s="59" t="str"/>
      <c r="H3184" s="64" t="str"/>
      <c r="I3184" s="65" t="str"/>
      <c r="J3184" s="49" t="str"/>
      <c r="K3184" s="41" t="str"/>
      <c r="L3184" s="41" t="str"/>
      <c r="M3184" s="41" t="str"/>
      <c r="N3184" s="41" t="str"/>
      <c r="O3184" s="41" t="str"/>
      <c r="P3184" s="41" t="str"/>
      <c r="Q3184" s="41" t="str"/>
      <c r="R3184" s="41" t="str"/>
      <c r="S3184" s="41" t="str"/>
      <c r="T3184" s="41" t="str"/>
      <c r="U3184" s="41" t="str"/>
      <c r="V3184" s="41" t="str"/>
      <c r="W3184" s="41" t="str"/>
    </row>
    <row r="3185">
      <c r="B3185" s="2" t="n"/>
      <c r="C3185" s="40" t="n"/>
      <c r="D3185" s="52">
        <f t="array" ref="D3185:W3185">IF(All_Students_Scores!C3183:V3183="","",All_Students_Scores!C3183:V3183)</f>
        <v/>
      </c>
      <c r="E3185" s="57" t="str"/>
      <c r="F3185" s="49" t="str"/>
      <c r="G3185" s="59" t="str"/>
      <c r="H3185" s="64" t="str"/>
      <c r="I3185" s="65" t="str"/>
      <c r="J3185" s="49" t="str"/>
      <c r="K3185" s="41" t="str"/>
      <c r="L3185" s="41" t="str"/>
      <c r="M3185" s="41" t="str"/>
      <c r="N3185" s="41" t="str"/>
      <c r="O3185" s="41" t="str"/>
      <c r="P3185" s="41" t="str"/>
      <c r="Q3185" s="41" t="str"/>
      <c r="R3185" s="41" t="str"/>
      <c r="S3185" s="41" t="str"/>
      <c r="T3185" s="41" t="str"/>
      <c r="U3185" s="41" t="str"/>
      <c r="V3185" s="41" t="str"/>
      <c r="W3185" s="41" t="str"/>
    </row>
    <row r="3186">
      <c r="B3186" s="2" t="n"/>
      <c r="C3186" s="40" t="n"/>
      <c r="D3186" s="52">
        <f t="array" ref="D3186:W3186">IF(All_Students_Scores!C3184:V3184="","",All_Students_Scores!C3184:V3184)</f>
        <v/>
      </c>
      <c r="E3186" s="57" t="str"/>
      <c r="F3186" s="49" t="str"/>
      <c r="G3186" s="59" t="str"/>
      <c r="H3186" s="64" t="str"/>
      <c r="I3186" s="65" t="str"/>
      <c r="J3186" s="49" t="str"/>
      <c r="K3186" s="41" t="str"/>
      <c r="L3186" s="41" t="str"/>
      <c r="M3186" s="41" t="str"/>
      <c r="N3186" s="41" t="str"/>
      <c r="O3186" s="41" t="str"/>
      <c r="P3186" s="41" t="str"/>
      <c r="Q3186" s="41" t="str"/>
      <c r="R3186" s="41" t="str"/>
      <c r="S3186" s="41" t="str"/>
      <c r="T3186" s="41" t="str"/>
      <c r="U3186" s="41" t="str"/>
      <c r="V3186" s="41" t="str"/>
      <c r="W3186" s="41" t="str"/>
    </row>
    <row r="3187">
      <c r="B3187" s="2" t="n"/>
      <c r="C3187" s="40" t="n"/>
      <c r="D3187" s="52">
        <f t="array" ref="D3187:W3187">IF(All_Students_Scores!C3185:V3185="","",All_Students_Scores!C3185:V3185)</f>
        <v/>
      </c>
      <c r="E3187" s="57" t="str"/>
      <c r="F3187" s="49" t="str"/>
      <c r="G3187" s="59" t="str"/>
      <c r="H3187" s="64" t="str"/>
      <c r="I3187" s="65" t="str"/>
      <c r="J3187" s="49" t="str"/>
      <c r="K3187" s="41" t="str"/>
      <c r="L3187" s="41" t="str"/>
      <c r="M3187" s="41" t="str"/>
      <c r="N3187" s="41" t="str"/>
      <c r="O3187" s="41" t="str"/>
      <c r="P3187" s="41" t="str"/>
      <c r="Q3187" s="41" t="str"/>
      <c r="R3187" s="41" t="str"/>
      <c r="S3187" s="41" t="str"/>
      <c r="T3187" s="41" t="str"/>
      <c r="U3187" s="41" t="str"/>
      <c r="V3187" s="41" t="str"/>
      <c r="W3187" s="41" t="str"/>
    </row>
    <row r="3188">
      <c r="B3188" s="2" t="n"/>
      <c r="C3188" s="40" t="n"/>
      <c r="D3188" s="52">
        <f t="array" ref="D3188:W3188">IF(All_Students_Scores!C3186:V3186="","",All_Students_Scores!C3186:V3186)</f>
        <v/>
      </c>
      <c r="E3188" s="57" t="str"/>
      <c r="F3188" s="49" t="str"/>
      <c r="G3188" s="59" t="str"/>
      <c r="H3188" s="64" t="str"/>
      <c r="I3188" s="65" t="str"/>
      <c r="J3188" s="49" t="str"/>
      <c r="K3188" s="41" t="str"/>
      <c r="L3188" s="41" t="str"/>
      <c r="M3188" s="41" t="str"/>
      <c r="N3188" s="41" t="str"/>
      <c r="O3188" s="41" t="str"/>
      <c r="P3188" s="41" t="str"/>
      <c r="Q3188" s="41" t="str"/>
      <c r="R3188" s="41" t="str"/>
      <c r="S3188" s="41" t="str"/>
      <c r="T3188" s="41" t="str"/>
      <c r="U3188" s="41" t="str"/>
      <c r="V3188" s="41" t="str"/>
      <c r="W3188" s="41" t="str"/>
    </row>
    <row r="3189">
      <c r="B3189" s="2" t="n"/>
      <c r="C3189" s="40" t="n"/>
      <c r="D3189" s="52">
        <f t="array" ref="D3189:W3189">IF(All_Students_Scores!C3187:V3187="","",All_Students_Scores!C3187:V3187)</f>
        <v/>
      </c>
      <c r="E3189" s="57" t="str"/>
      <c r="F3189" s="49" t="str"/>
      <c r="G3189" s="59" t="str"/>
      <c r="H3189" s="64" t="str"/>
      <c r="I3189" s="65" t="str"/>
      <c r="J3189" s="49" t="str"/>
      <c r="K3189" s="41" t="str"/>
      <c r="L3189" s="41" t="str"/>
      <c r="M3189" s="41" t="str"/>
      <c r="N3189" s="41" t="str"/>
      <c r="O3189" s="41" t="str"/>
      <c r="P3189" s="41" t="str"/>
      <c r="Q3189" s="41" t="str"/>
      <c r="R3189" s="41" t="str"/>
      <c r="S3189" s="41" t="str"/>
      <c r="T3189" s="41" t="str"/>
      <c r="U3189" s="41" t="str"/>
      <c r="V3189" s="41" t="str"/>
      <c r="W3189" s="41" t="str"/>
    </row>
    <row r="3190">
      <c r="B3190" s="2" t="n"/>
      <c r="C3190" s="40" t="n"/>
      <c r="D3190" s="52">
        <f t="array" ref="D3190:W3190">IF(All_Students_Scores!C3188:V3188="","",All_Students_Scores!C3188:V3188)</f>
        <v/>
      </c>
      <c r="E3190" s="57" t="str"/>
      <c r="F3190" s="49" t="str"/>
      <c r="G3190" s="59" t="str"/>
      <c r="H3190" s="64" t="str"/>
      <c r="I3190" s="65" t="str"/>
      <c r="J3190" s="49" t="str"/>
      <c r="K3190" s="41" t="str"/>
      <c r="L3190" s="41" t="str"/>
      <c r="M3190" s="41" t="str"/>
      <c r="N3190" s="41" t="str"/>
      <c r="O3190" s="41" t="str"/>
      <c r="P3190" s="41" t="str"/>
      <c r="Q3190" s="41" t="str"/>
      <c r="R3190" s="41" t="str"/>
      <c r="S3190" s="41" t="str"/>
      <c r="T3190" s="41" t="str"/>
      <c r="U3190" s="41" t="str"/>
      <c r="V3190" s="41" t="str"/>
      <c r="W3190" s="41" t="str"/>
    </row>
    <row r="3191">
      <c r="B3191" s="2" t="n"/>
      <c r="C3191" s="40" t="n"/>
      <c r="D3191" s="52">
        <f t="array" ref="D3191:W3191">IF(All_Students_Scores!C3189:V3189="","",All_Students_Scores!C3189:V3189)</f>
        <v/>
      </c>
      <c r="E3191" s="57" t="str"/>
      <c r="F3191" s="49" t="str"/>
      <c r="G3191" s="59" t="str"/>
      <c r="H3191" s="64" t="str"/>
      <c r="I3191" s="65" t="str"/>
      <c r="J3191" s="49" t="str"/>
      <c r="K3191" s="41" t="str"/>
      <c r="L3191" s="41" t="str"/>
      <c r="M3191" s="41" t="str"/>
      <c r="N3191" s="41" t="str"/>
      <c r="O3191" s="41" t="str"/>
      <c r="P3191" s="41" t="str"/>
      <c r="Q3191" s="41" t="str"/>
      <c r="R3191" s="41" t="str"/>
      <c r="S3191" s="41" t="str"/>
      <c r="T3191" s="41" t="str"/>
      <c r="U3191" s="41" t="str"/>
      <c r="V3191" s="41" t="str"/>
      <c r="W3191" s="41" t="str"/>
    </row>
    <row r="3192">
      <c r="B3192" s="2" t="n"/>
      <c r="C3192" s="40" t="n"/>
      <c r="D3192" s="52">
        <f t="array" ref="D3192:W3192">IF(All_Students_Scores!C3190:V3190="","",All_Students_Scores!C3190:V3190)</f>
        <v/>
      </c>
      <c r="E3192" s="57" t="str"/>
      <c r="F3192" s="49" t="str"/>
      <c r="G3192" s="59" t="str"/>
      <c r="H3192" s="64" t="str"/>
      <c r="I3192" s="65" t="str"/>
      <c r="J3192" s="49" t="str"/>
      <c r="K3192" s="41" t="str"/>
      <c r="L3192" s="41" t="str"/>
      <c r="M3192" s="41" t="str"/>
      <c r="N3192" s="41" t="str"/>
      <c r="O3192" s="41" t="str"/>
      <c r="P3192" s="41" t="str"/>
      <c r="Q3192" s="41" t="str"/>
      <c r="R3192" s="41" t="str"/>
      <c r="S3192" s="41" t="str"/>
      <c r="T3192" s="41" t="str"/>
      <c r="U3192" s="41" t="str"/>
      <c r="V3192" s="41" t="str"/>
      <c r="W3192" s="41" t="str"/>
    </row>
    <row r="3193">
      <c r="B3193" s="2" t="n"/>
      <c r="C3193" s="40" t="n"/>
      <c r="D3193" s="52">
        <f t="array" ref="D3193:W3193">IF(All_Students_Scores!C3191:V3191="","",All_Students_Scores!C3191:V3191)</f>
        <v/>
      </c>
      <c r="E3193" s="57" t="str"/>
      <c r="F3193" s="49" t="str"/>
      <c r="G3193" s="59" t="str"/>
      <c r="H3193" s="64" t="str"/>
      <c r="I3193" s="65" t="str"/>
      <c r="J3193" s="49" t="str"/>
      <c r="K3193" s="41" t="str"/>
      <c r="L3193" s="41" t="str"/>
      <c r="M3193" s="41" t="str"/>
      <c r="N3193" s="41" t="str"/>
      <c r="O3193" s="41" t="str"/>
      <c r="P3193" s="41" t="str"/>
      <c r="Q3193" s="41" t="str"/>
      <c r="R3193" s="41" t="str"/>
      <c r="S3193" s="41" t="str"/>
      <c r="T3193" s="41" t="str"/>
      <c r="U3193" s="41" t="str"/>
      <c r="V3193" s="41" t="str"/>
      <c r="W3193" s="41" t="str"/>
    </row>
    <row r="3194">
      <c r="B3194" s="2" t="n"/>
      <c r="C3194" s="40" t="n"/>
      <c r="D3194" s="52">
        <f t="array" ref="D3194:W3194">IF(All_Students_Scores!C3192:V3192="","",All_Students_Scores!C3192:V3192)</f>
        <v/>
      </c>
      <c r="E3194" s="57" t="str"/>
      <c r="F3194" s="49" t="str"/>
      <c r="G3194" s="59" t="str"/>
      <c r="H3194" s="64" t="str"/>
      <c r="I3194" s="65" t="str"/>
      <c r="J3194" s="49" t="str"/>
      <c r="K3194" s="41" t="str"/>
      <c r="L3194" s="41" t="str"/>
      <c r="M3194" s="41" t="str"/>
      <c r="N3194" s="41" t="str"/>
      <c r="O3194" s="41" t="str"/>
      <c r="P3194" s="41" t="str"/>
      <c r="Q3194" s="41" t="str"/>
      <c r="R3194" s="41" t="str"/>
      <c r="S3194" s="41" t="str"/>
      <c r="T3194" s="41" t="str"/>
      <c r="U3194" s="41" t="str"/>
      <c r="V3194" s="41" t="str"/>
      <c r="W3194" s="41" t="str"/>
    </row>
    <row r="3195">
      <c r="B3195" s="2" t="n"/>
      <c r="C3195" s="40" t="n"/>
      <c r="D3195" s="52">
        <f t="array" ref="D3195:W3195">IF(All_Students_Scores!C3193:V3193="","",All_Students_Scores!C3193:V3193)</f>
        <v/>
      </c>
      <c r="E3195" s="57" t="str"/>
      <c r="F3195" s="49" t="str"/>
      <c r="G3195" s="59" t="str"/>
      <c r="H3195" s="64" t="str"/>
      <c r="I3195" s="65" t="str"/>
      <c r="J3195" s="49" t="str"/>
      <c r="K3195" s="41" t="str"/>
      <c r="L3195" s="41" t="str"/>
      <c r="M3195" s="41" t="str"/>
      <c r="N3195" s="41" t="str"/>
      <c r="O3195" s="41" t="str"/>
      <c r="P3195" s="41" t="str"/>
      <c r="Q3195" s="41" t="str"/>
      <c r="R3195" s="41" t="str"/>
      <c r="S3195" s="41" t="str"/>
      <c r="T3195" s="41" t="str"/>
      <c r="U3195" s="41" t="str"/>
      <c r="V3195" s="41" t="str"/>
      <c r="W3195" s="41" t="str"/>
    </row>
    <row r="3196">
      <c r="B3196" s="2" t="n"/>
      <c r="C3196" s="40" t="n"/>
      <c r="D3196" s="52">
        <f t="array" ref="D3196:W3196">IF(All_Students_Scores!C3194:V3194="","",All_Students_Scores!C3194:V3194)</f>
        <v/>
      </c>
      <c r="E3196" s="57" t="str"/>
      <c r="F3196" s="49" t="str"/>
      <c r="G3196" s="59" t="str"/>
      <c r="H3196" s="64" t="str"/>
      <c r="I3196" s="65" t="str"/>
      <c r="J3196" s="49" t="str"/>
      <c r="K3196" s="41" t="str"/>
      <c r="L3196" s="41" t="str"/>
      <c r="M3196" s="41" t="str"/>
      <c r="N3196" s="41" t="str"/>
      <c r="O3196" s="41" t="str"/>
      <c r="P3196" s="41" t="str"/>
      <c r="Q3196" s="41" t="str"/>
      <c r="R3196" s="41" t="str"/>
      <c r="S3196" s="41" t="str"/>
      <c r="T3196" s="41" t="str"/>
      <c r="U3196" s="41" t="str"/>
      <c r="V3196" s="41" t="str"/>
      <c r="W3196" s="41" t="str"/>
    </row>
    <row r="3197">
      <c r="B3197" s="2" t="n"/>
      <c r="C3197" s="40" t="n"/>
      <c r="D3197" s="52">
        <f t="array" ref="D3197:W3197">IF(All_Students_Scores!C3195:V3195="","",All_Students_Scores!C3195:V3195)</f>
        <v/>
      </c>
      <c r="E3197" s="57" t="str"/>
      <c r="F3197" s="49" t="str"/>
      <c r="G3197" s="59" t="str"/>
      <c r="H3197" s="64" t="str"/>
      <c r="I3197" s="65" t="str"/>
      <c r="J3197" s="49" t="str"/>
      <c r="K3197" s="41" t="str"/>
      <c r="L3197" s="41" t="str"/>
      <c r="M3197" s="41" t="str"/>
      <c r="N3197" s="41" t="str"/>
      <c r="O3197" s="41" t="str"/>
      <c r="P3197" s="41" t="str"/>
      <c r="Q3197" s="41" t="str"/>
      <c r="R3197" s="41" t="str"/>
      <c r="S3197" s="41" t="str"/>
      <c r="T3197" s="41" t="str"/>
      <c r="U3197" s="41" t="str"/>
      <c r="V3197" s="41" t="str"/>
      <c r="W3197" s="41" t="str"/>
    </row>
    <row r="3198">
      <c r="B3198" s="2" t="n"/>
      <c r="C3198" s="40" t="n"/>
      <c r="D3198" s="52">
        <f t="array" ref="D3198:W3198">IF(All_Students_Scores!C3196:V3196="","",All_Students_Scores!C3196:V3196)</f>
        <v/>
      </c>
      <c r="E3198" s="57" t="str"/>
      <c r="F3198" s="49" t="str"/>
      <c r="G3198" s="59" t="str"/>
      <c r="H3198" s="64" t="str"/>
      <c r="I3198" s="65" t="str"/>
      <c r="J3198" s="49" t="str"/>
      <c r="K3198" s="41" t="str"/>
      <c r="L3198" s="41" t="str"/>
      <c r="M3198" s="41" t="str"/>
      <c r="N3198" s="41" t="str"/>
      <c r="O3198" s="41" t="str"/>
      <c r="P3198" s="41" t="str"/>
      <c r="Q3198" s="41" t="str"/>
      <c r="R3198" s="41" t="str"/>
      <c r="S3198" s="41" t="str"/>
      <c r="T3198" s="41" t="str"/>
      <c r="U3198" s="41" t="str"/>
      <c r="V3198" s="41" t="str"/>
      <c r="W3198" s="41" t="str"/>
    </row>
    <row r="3199">
      <c r="B3199" s="2" t="n"/>
      <c r="C3199" s="40" t="n"/>
      <c r="D3199" s="52">
        <f t="array" ref="D3199:W3199">IF(All_Students_Scores!C3197:V3197="","",All_Students_Scores!C3197:V3197)</f>
        <v/>
      </c>
      <c r="E3199" s="57" t="str"/>
      <c r="F3199" s="49" t="str"/>
      <c r="G3199" s="59" t="str"/>
      <c r="H3199" s="64" t="str"/>
      <c r="I3199" s="65" t="str"/>
      <c r="J3199" s="49" t="str"/>
      <c r="K3199" s="41" t="str"/>
      <c r="L3199" s="41" t="str"/>
      <c r="M3199" s="41" t="str"/>
      <c r="N3199" s="41" t="str"/>
      <c r="O3199" s="41" t="str"/>
      <c r="P3199" s="41" t="str"/>
      <c r="Q3199" s="41" t="str"/>
      <c r="R3199" s="41" t="str"/>
      <c r="S3199" s="41" t="str"/>
      <c r="T3199" s="41" t="str"/>
      <c r="U3199" s="41" t="str"/>
      <c r="V3199" s="41" t="str"/>
      <c r="W3199" s="41" t="str"/>
    </row>
    <row r="3200">
      <c r="B3200" s="2" t="n"/>
      <c r="C3200" s="40" t="n"/>
      <c r="D3200" s="52">
        <f t="array" ref="D3200:W3200">IF(All_Students_Scores!C3198:V3198="","",All_Students_Scores!C3198:V3198)</f>
        <v/>
      </c>
      <c r="E3200" s="57" t="str"/>
      <c r="F3200" s="49" t="str"/>
      <c r="G3200" s="59" t="str"/>
      <c r="H3200" s="64" t="str"/>
      <c r="I3200" s="65" t="str"/>
      <c r="J3200" s="49" t="str"/>
      <c r="K3200" s="41" t="str"/>
      <c r="L3200" s="41" t="str"/>
      <c r="M3200" s="41" t="str"/>
      <c r="N3200" s="41" t="str"/>
      <c r="O3200" s="41" t="str"/>
      <c r="P3200" s="41" t="str"/>
      <c r="Q3200" s="41" t="str"/>
      <c r="R3200" s="41" t="str"/>
      <c r="S3200" s="41" t="str"/>
      <c r="T3200" s="41" t="str"/>
      <c r="U3200" s="41" t="str"/>
      <c r="V3200" s="41" t="str"/>
      <c r="W3200" s="41" t="str"/>
    </row>
    <row r="3201">
      <c r="B3201" s="2" t="n"/>
      <c r="C3201" s="40" t="n"/>
      <c r="D3201" s="52">
        <f t="array" ref="D3201:W3201">IF(All_Students_Scores!C3199:V3199="","",All_Students_Scores!C3199:V3199)</f>
        <v/>
      </c>
      <c r="E3201" s="57" t="str"/>
      <c r="F3201" s="49" t="str"/>
      <c r="G3201" s="59" t="str"/>
      <c r="H3201" s="64" t="str"/>
      <c r="I3201" s="65" t="str"/>
      <c r="J3201" s="49" t="str"/>
      <c r="K3201" s="41" t="str"/>
      <c r="L3201" s="41" t="str"/>
      <c r="M3201" s="41" t="str"/>
      <c r="N3201" s="41" t="str"/>
      <c r="O3201" s="41" t="str"/>
      <c r="P3201" s="41" t="str"/>
      <c r="Q3201" s="41" t="str"/>
      <c r="R3201" s="41" t="str"/>
      <c r="S3201" s="41" t="str"/>
      <c r="T3201" s="41" t="str"/>
      <c r="U3201" s="41" t="str"/>
      <c r="V3201" s="41" t="str"/>
      <c r="W3201" s="41" t="str"/>
    </row>
    <row r="3202">
      <c r="B3202" s="2" t="n"/>
      <c r="C3202" s="40" t="n"/>
      <c r="D3202" s="52">
        <f t="array" ref="D3202:W3202">IF(All_Students_Scores!C3200:V3200="","",All_Students_Scores!C3200:V3200)</f>
        <v/>
      </c>
      <c r="E3202" s="57" t="str"/>
      <c r="F3202" s="49" t="str"/>
      <c r="G3202" s="59" t="str"/>
      <c r="H3202" s="64" t="str"/>
      <c r="I3202" s="65" t="str"/>
      <c r="J3202" s="49" t="str"/>
      <c r="K3202" s="41" t="str"/>
      <c r="L3202" s="41" t="str"/>
      <c r="M3202" s="41" t="str"/>
      <c r="N3202" s="41" t="str"/>
      <c r="O3202" s="41" t="str"/>
      <c r="P3202" s="41" t="str"/>
      <c r="Q3202" s="41" t="str"/>
      <c r="R3202" s="41" t="str"/>
      <c r="S3202" s="41" t="str"/>
      <c r="T3202" s="41" t="str"/>
      <c r="U3202" s="41" t="str"/>
      <c r="V3202" s="41" t="str"/>
      <c r="W3202" s="41" t="str"/>
    </row>
    <row r="3203">
      <c r="B3203" s="2" t="n"/>
      <c r="C3203" s="40" t="n"/>
      <c r="D3203" s="52">
        <f t="array" ref="D3203:W3203">IF(All_Students_Scores!C3201:V3201="","",All_Students_Scores!C3201:V3201)</f>
        <v/>
      </c>
      <c r="E3203" s="57" t="str"/>
      <c r="F3203" s="49" t="str"/>
      <c r="G3203" s="59" t="str"/>
      <c r="H3203" s="64" t="str"/>
      <c r="I3203" s="65" t="str"/>
      <c r="J3203" s="49" t="str"/>
      <c r="K3203" s="41" t="str"/>
      <c r="L3203" s="41" t="str"/>
      <c r="M3203" s="41" t="str"/>
      <c r="N3203" s="41" t="str"/>
      <c r="O3203" s="41" t="str"/>
      <c r="P3203" s="41" t="str"/>
      <c r="Q3203" s="41" t="str"/>
      <c r="R3203" s="41" t="str"/>
      <c r="S3203" s="41" t="str"/>
      <c r="T3203" s="41" t="str"/>
      <c r="U3203" s="41" t="str"/>
      <c r="V3203" s="41" t="str"/>
      <c r="W3203" s="41" t="str"/>
    </row>
    <row r="3204">
      <c r="B3204" s="2" t="n"/>
      <c r="C3204" s="40" t="n"/>
      <c r="D3204" s="52">
        <f t="array" ref="D3204:W3204">IF(All_Students_Scores!C3202:V3202="","",All_Students_Scores!C3202:V3202)</f>
        <v/>
      </c>
      <c r="E3204" s="57" t="str"/>
      <c r="F3204" s="49" t="str"/>
      <c r="G3204" s="59" t="str"/>
      <c r="H3204" s="64" t="str"/>
      <c r="I3204" s="65" t="str"/>
      <c r="J3204" s="49" t="str"/>
      <c r="K3204" s="41" t="str"/>
      <c r="L3204" s="41" t="str"/>
      <c r="M3204" s="41" t="str"/>
      <c r="N3204" s="41" t="str"/>
      <c r="O3204" s="41" t="str"/>
      <c r="P3204" s="41" t="str"/>
      <c r="Q3204" s="41" t="str"/>
      <c r="R3204" s="41" t="str"/>
      <c r="S3204" s="41" t="str"/>
      <c r="T3204" s="41" t="str"/>
      <c r="U3204" s="41" t="str"/>
      <c r="V3204" s="41" t="str"/>
      <c r="W3204" s="41" t="str"/>
    </row>
    <row r="3205">
      <c r="B3205" s="2" t="n"/>
      <c r="C3205" s="40" t="n"/>
      <c r="D3205" s="52">
        <f t="array" ref="D3205:W3205">IF(All_Students_Scores!C3203:V3203="","",All_Students_Scores!C3203:V3203)</f>
        <v/>
      </c>
      <c r="E3205" s="57" t="str"/>
      <c r="F3205" s="49" t="str"/>
      <c r="G3205" s="59" t="str"/>
      <c r="H3205" s="64" t="str"/>
      <c r="I3205" s="65" t="str"/>
      <c r="J3205" s="49" t="str"/>
      <c r="K3205" s="41" t="str"/>
      <c r="L3205" s="41" t="str"/>
      <c r="M3205" s="41" t="str"/>
      <c r="N3205" s="41" t="str"/>
      <c r="O3205" s="41" t="str"/>
      <c r="P3205" s="41" t="str"/>
      <c r="Q3205" s="41" t="str"/>
      <c r="R3205" s="41" t="str"/>
      <c r="S3205" s="41" t="str"/>
      <c r="T3205" s="41" t="str"/>
      <c r="U3205" s="41" t="str"/>
      <c r="V3205" s="41" t="str"/>
      <c r="W3205" s="41" t="str"/>
    </row>
    <row r="3206">
      <c r="B3206" s="2" t="n"/>
      <c r="C3206" s="40" t="n"/>
      <c r="D3206" s="52">
        <f t="array" ref="D3206:W3206">IF(All_Students_Scores!C3204:V3204="","",All_Students_Scores!C3204:V3204)</f>
        <v/>
      </c>
      <c r="E3206" s="57" t="str"/>
      <c r="F3206" s="49" t="str"/>
      <c r="G3206" s="59" t="str"/>
      <c r="H3206" s="64" t="str"/>
      <c r="I3206" s="65" t="str"/>
      <c r="J3206" s="49" t="str"/>
      <c r="K3206" s="41" t="str"/>
      <c r="L3206" s="41" t="str"/>
      <c r="M3206" s="41" t="str"/>
      <c r="N3206" s="41" t="str"/>
      <c r="O3206" s="41" t="str"/>
      <c r="P3206" s="41" t="str"/>
      <c r="Q3206" s="41" t="str"/>
      <c r="R3206" s="41" t="str"/>
      <c r="S3206" s="41" t="str"/>
      <c r="T3206" s="41" t="str"/>
      <c r="U3206" s="41" t="str"/>
      <c r="V3206" s="41" t="str"/>
      <c r="W3206" s="41" t="str"/>
    </row>
    <row r="3207">
      <c r="B3207" s="2" t="n"/>
      <c r="C3207" s="40" t="n"/>
      <c r="D3207" s="52">
        <f t="array" ref="D3207:W3207">IF(All_Students_Scores!C3205:V3205="","",All_Students_Scores!C3205:V3205)</f>
        <v/>
      </c>
      <c r="E3207" s="57" t="str"/>
      <c r="F3207" s="49" t="str"/>
      <c r="G3207" s="59" t="str"/>
      <c r="H3207" s="64" t="str"/>
      <c r="I3207" s="65" t="str"/>
      <c r="J3207" s="49" t="str"/>
      <c r="K3207" s="41" t="str"/>
      <c r="L3207" s="41" t="str"/>
      <c r="M3207" s="41" t="str"/>
      <c r="N3207" s="41" t="str"/>
      <c r="O3207" s="41" t="str"/>
      <c r="P3207" s="41" t="str"/>
      <c r="Q3207" s="41" t="str"/>
      <c r="R3207" s="41" t="str"/>
      <c r="S3207" s="41" t="str"/>
      <c r="T3207" s="41" t="str"/>
      <c r="U3207" s="41" t="str"/>
      <c r="V3207" s="41" t="str"/>
      <c r="W3207" s="41" t="str"/>
    </row>
    <row r="3208">
      <c r="B3208" s="2" t="n"/>
      <c r="C3208" s="40" t="n"/>
      <c r="D3208" s="52">
        <f t="array" ref="D3208:W3208">IF(All_Students_Scores!C3206:V3206="","",All_Students_Scores!C3206:V3206)</f>
        <v/>
      </c>
      <c r="E3208" s="57" t="str"/>
      <c r="F3208" s="49" t="str"/>
      <c r="G3208" s="59" t="str"/>
      <c r="H3208" s="64" t="str"/>
      <c r="I3208" s="65" t="str"/>
      <c r="J3208" s="49" t="str"/>
      <c r="K3208" s="41" t="str"/>
      <c r="L3208" s="41" t="str"/>
      <c r="M3208" s="41" t="str"/>
      <c r="N3208" s="41" t="str"/>
      <c r="O3208" s="41" t="str"/>
      <c r="P3208" s="41" t="str"/>
      <c r="Q3208" s="41" t="str"/>
      <c r="R3208" s="41" t="str"/>
      <c r="S3208" s="41" t="str"/>
      <c r="T3208" s="41" t="str"/>
      <c r="U3208" s="41" t="str"/>
      <c r="V3208" s="41" t="str"/>
      <c r="W3208" s="41" t="str"/>
    </row>
    <row r="3209">
      <c r="B3209" s="2" t="n"/>
      <c r="C3209" s="40" t="n"/>
      <c r="D3209" s="52">
        <f t="array" ref="D3209:W3209">IF(All_Students_Scores!C3207:V3207="","",All_Students_Scores!C3207:V3207)</f>
        <v/>
      </c>
      <c r="E3209" s="57" t="str"/>
      <c r="F3209" s="49" t="str"/>
      <c r="G3209" s="59" t="str"/>
      <c r="H3209" s="64" t="str"/>
      <c r="I3209" s="65" t="str"/>
      <c r="J3209" s="49" t="str"/>
      <c r="K3209" s="41" t="str"/>
      <c r="L3209" s="41" t="str"/>
      <c r="M3209" s="41" t="str"/>
      <c r="N3209" s="41" t="str"/>
      <c r="O3209" s="41" t="str"/>
      <c r="P3209" s="41" t="str"/>
      <c r="Q3209" s="41" t="str"/>
      <c r="R3209" s="41" t="str"/>
      <c r="S3209" s="41" t="str"/>
      <c r="T3209" s="41" t="str"/>
      <c r="U3209" s="41" t="str"/>
      <c r="V3209" s="41" t="str"/>
      <c r="W3209" s="41" t="str"/>
    </row>
    <row r="3210">
      <c r="B3210" s="2" t="n"/>
      <c r="C3210" s="40" t="n"/>
      <c r="D3210" s="52">
        <f t="array" ref="D3210:W3210">IF(All_Students_Scores!C3208:V3208="","",All_Students_Scores!C3208:V3208)</f>
        <v/>
      </c>
      <c r="E3210" s="57" t="str"/>
      <c r="F3210" s="49" t="str"/>
      <c r="G3210" s="59" t="str"/>
      <c r="H3210" s="64" t="str"/>
      <c r="I3210" s="65" t="str"/>
      <c r="J3210" s="49" t="str"/>
      <c r="K3210" s="41" t="str"/>
      <c r="L3210" s="41" t="str"/>
      <c r="M3210" s="41" t="str"/>
      <c r="N3210" s="41" t="str"/>
      <c r="O3210" s="41" t="str"/>
      <c r="P3210" s="41" t="str"/>
      <c r="Q3210" s="41" t="str"/>
      <c r="R3210" s="41" t="str"/>
      <c r="S3210" s="41" t="str"/>
      <c r="T3210" s="41" t="str"/>
      <c r="U3210" s="41" t="str"/>
      <c r="V3210" s="41" t="str"/>
      <c r="W3210" s="41" t="str"/>
    </row>
    <row r="3211">
      <c r="B3211" s="2" t="n"/>
      <c r="C3211" s="40" t="n"/>
      <c r="D3211" s="52">
        <f t="array" ref="D3211:W3211">IF(All_Students_Scores!C3209:V3209="","",All_Students_Scores!C3209:V3209)</f>
        <v/>
      </c>
      <c r="E3211" s="57" t="str"/>
      <c r="F3211" s="49" t="str"/>
      <c r="G3211" s="59" t="str"/>
      <c r="H3211" s="64" t="str"/>
      <c r="I3211" s="65" t="str"/>
      <c r="J3211" s="49" t="str"/>
      <c r="K3211" s="41" t="str"/>
      <c r="L3211" s="41" t="str"/>
      <c r="M3211" s="41" t="str"/>
      <c r="N3211" s="41" t="str"/>
      <c r="O3211" s="41" t="str"/>
      <c r="P3211" s="41" t="str"/>
      <c r="Q3211" s="41" t="str"/>
      <c r="R3211" s="41" t="str"/>
      <c r="S3211" s="41" t="str"/>
      <c r="T3211" s="41" t="str"/>
      <c r="U3211" s="41" t="str"/>
      <c r="V3211" s="41" t="str"/>
      <c r="W3211" s="41" t="str"/>
    </row>
    <row r="3212">
      <c r="B3212" s="2" t="n"/>
      <c r="C3212" s="40" t="n"/>
      <c r="D3212" s="52">
        <f t="array" ref="D3212:W3212">IF(All_Students_Scores!C3210:V3210="","",All_Students_Scores!C3210:V3210)</f>
        <v/>
      </c>
      <c r="E3212" s="57" t="str"/>
      <c r="F3212" s="49" t="str"/>
      <c r="G3212" s="59" t="str"/>
      <c r="H3212" s="64" t="str"/>
      <c r="I3212" s="65" t="str"/>
      <c r="J3212" s="49" t="str"/>
      <c r="K3212" s="41" t="str"/>
      <c r="L3212" s="41" t="str"/>
      <c r="M3212" s="41" t="str"/>
      <c r="N3212" s="41" t="str"/>
      <c r="O3212" s="41" t="str"/>
      <c r="P3212" s="41" t="str"/>
      <c r="Q3212" s="41" t="str"/>
      <c r="R3212" s="41" t="str"/>
      <c r="S3212" s="41" t="str"/>
      <c r="T3212" s="41" t="str"/>
      <c r="U3212" s="41" t="str"/>
      <c r="V3212" s="41" t="str"/>
      <c r="W3212" s="41" t="str"/>
    </row>
    <row r="3213">
      <c r="B3213" s="2" t="n"/>
      <c r="C3213" s="40" t="n"/>
      <c r="D3213" s="52">
        <f t="array" ref="D3213:W3213">IF(All_Students_Scores!C3211:V3211="","",All_Students_Scores!C3211:V3211)</f>
        <v/>
      </c>
      <c r="E3213" s="57" t="str"/>
      <c r="F3213" s="49" t="str"/>
      <c r="G3213" s="59" t="str"/>
      <c r="H3213" s="64" t="str"/>
      <c r="I3213" s="65" t="str"/>
      <c r="J3213" s="49" t="str"/>
      <c r="K3213" s="41" t="str"/>
      <c r="L3213" s="41" t="str"/>
      <c r="M3213" s="41" t="str"/>
      <c r="N3213" s="41" t="str"/>
      <c r="O3213" s="41" t="str"/>
      <c r="P3213" s="41" t="str"/>
      <c r="Q3213" s="41" t="str"/>
      <c r="R3213" s="41" t="str"/>
      <c r="S3213" s="41" t="str"/>
      <c r="T3213" s="41" t="str"/>
      <c r="U3213" s="41" t="str"/>
      <c r="V3213" s="41" t="str"/>
      <c r="W3213" s="41" t="str"/>
    </row>
    <row r="3214">
      <c r="B3214" s="2" t="n"/>
      <c r="C3214" s="40" t="n"/>
      <c r="D3214" s="52">
        <f t="array" ref="D3214:W3214">IF(All_Students_Scores!C3212:V3212="","",All_Students_Scores!C3212:V3212)</f>
        <v/>
      </c>
      <c r="E3214" s="57" t="str"/>
      <c r="F3214" s="49" t="str"/>
      <c r="G3214" s="59" t="str"/>
      <c r="H3214" s="64" t="str"/>
      <c r="I3214" s="65" t="str"/>
      <c r="J3214" s="49" t="str"/>
      <c r="K3214" s="41" t="str"/>
      <c r="L3214" s="41" t="str"/>
      <c r="M3214" s="41" t="str"/>
      <c r="N3214" s="41" t="str"/>
      <c r="O3214" s="41" t="str"/>
      <c r="P3214" s="41" t="str"/>
      <c r="Q3214" s="41" t="str"/>
      <c r="R3214" s="41" t="str"/>
      <c r="S3214" s="41" t="str"/>
      <c r="T3214" s="41" t="str"/>
      <c r="U3214" s="41" t="str"/>
      <c r="V3214" s="41" t="str"/>
      <c r="W3214" s="41" t="str"/>
    </row>
    <row r="3215">
      <c r="B3215" s="2" t="n"/>
      <c r="C3215" s="40" t="n"/>
      <c r="D3215" s="52">
        <f t="array" ref="D3215:W3215">IF(All_Students_Scores!C3213:V3213="","",All_Students_Scores!C3213:V3213)</f>
        <v/>
      </c>
      <c r="E3215" s="57" t="str"/>
      <c r="F3215" s="49" t="str"/>
      <c r="G3215" s="59" t="str"/>
      <c r="H3215" s="64" t="str"/>
      <c r="I3215" s="65" t="str"/>
      <c r="J3215" s="49" t="str"/>
      <c r="K3215" s="41" t="str"/>
      <c r="L3215" s="41" t="str"/>
      <c r="M3215" s="41" t="str"/>
      <c r="N3215" s="41" t="str"/>
      <c r="O3215" s="41" t="str"/>
      <c r="P3215" s="41" t="str"/>
      <c r="Q3215" s="41" t="str"/>
      <c r="R3215" s="41" t="str"/>
      <c r="S3215" s="41" t="str"/>
      <c r="T3215" s="41" t="str"/>
      <c r="U3215" s="41" t="str"/>
      <c r="V3215" s="41" t="str"/>
      <c r="W3215" s="41" t="str"/>
    </row>
    <row r="3216">
      <c r="B3216" s="2" t="n"/>
      <c r="C3216" s="40" t="n"/>
      <c r="D3216" s="52">
        <f t="array" ref="D3216:W3216">IF(All_Students_Scores!C3214:V3214="","",All_Students_Scores!C3214:V3214)</f>
        <v/>
      </c>
      <c r="E3216" s="57" t="str"/>
      <c r="F3216" s="49" t="str"/>
      <c r="G3216" s="59" t="str"/>
      <c r="H3216" s="64" t="str"/>
      <c r="I3216" s="65" t="str"/>
      <c r="J3216" s="49" t="str"/>
      <c r="K3216" s="41" t="str"/>
      <c r="L3216" s="41" t="str"/>
      <c r="M3216" s="41" t="str"/>
      <c r="N3216" s="41" t="str"/>
      <c r="O3216" s="41" t="str"/>
      <c r="P3216" s="41" t="str"/>
      <c r="Q3216" s="41" t="str"/>
      <c r="R3216" s="41" t="str"/>
      <c r="S3216" s="41" t="str"/>
      <c r="T3216" s="41" t="str"/>
      <c r="U3216" s="41" t="str"/>
      <c r="V3216" s="41" t="str"/>
      <c r="W3216" s="41" t="str"/>
    </row>
    <row r="3217">
      <c r="B3217" s="2" t="n"/>
      <c r="C3217" s="40" t="n"/>
      <c r="D3217" s="52">
        <f t="array" ref="D3217:W3217">IF(All_Students_Scores!C3215:V3215="","",All_Students_Scores!C3215:V3215)</f>
        <v/>
      </c>
      <c r="E3217" s="57" t="str"/>
      <c r="F3217" s="49" t="str"/>
      <c r="G3217" s="59" t="str"/>
      <c r="H3217" s="64" t="str"/>
      <c r="I3217" s="65" t="str"/>
      <c r="J3217" s="49" t="str"/>
      <c r="K3217" s="41" t="str"/>
      <c r="L3217" s="41" t="str"/>
      <c r="M3217" s="41" t="str"/>
      <c r="N3217" s="41" t="str"/>
      <c r="O3217" s="41" t="str"/>
      <c r="P3217" s="41" t="str"/>
      <c r="Q3217" s="41" t="str"/>
      <c r="R3217" s="41" t="str"/>
      <c r="S3217" s="41" t="str"/>
      <c r="T3217" s="41" t="str"/>
      <c r="U3217" s="41" t="str"/>
      <c r="V3217" s="41" t="str"/>
      <c r="W3217" s="41" t="str"/>
    </row>
    <row r="3218">
      <c r="B3218" s="2" t="n"/>
      <c r="C3218" s="40" t="n"/>
      <c r="D3218" s="52">
        <f t="array" ref="D3218:W3218">IF(All_Students_Scores!C3216:V3216="","",All_Students_Scores!C3216:V3216)</f>
        <v/>
      </c>
      <c r="E3218" s="57" t="str"/>
      <c r="F3218" s="49" t="str"/>
      <c r="G3218" s="59" t="str"/>
      <c r="H3218" s="64" t="str"/>
      <c r="I3218" s="65" t="str"/>
      <c r="J3218" s="49" t="str"/>
      <c r="K3218" s="41" t="str"/>
      <c r="L3218" s="41" t="str"/>
      <c r="M3218" s="41" t="str"/>
      <c r="N3218" s="41" t="str"/>
      <c r="O3218" s="41" t="str"/>
      <c r="P3218" s="41" t="str"/>
      <c r="Q3218" s="41" t="str"/>
      <c r="R3218" s="41" t="str"/>
      <c r="S3218" s="41" t="str"/>
      <c r="T3218" s="41" t="str"/>
      <c r="U3218" s="41" t="str"/>
      <c r="V3218" s="41" t="str"/>
      <c r="W3218" s="41" t="str"/>
    </row>
    <row r="3219">
      <c r="B3219" s="2" t="n"/>
      <c r="C3219" s="40" t="n"/>
      <c r="D3219" s="52">
        <f t="array" ref="D3219:W3219">IF(All_Students_Scores!C3217:V3217="","",All_Students_Scores!C3217:V3217)</f>
        <v/>
      </c>
      <c r="E3219" s="57" t="str"/>
      <c r="F3219" s="49" t="str"/>
      <c r="G3219" s="59" t="str"/>
      <c r="H3219" s="64" t="str"/>
      <c r="I3219" s="65" t="str"/>
      <c r="J3219" s="49" t="str"/>
      <c r="K3219" s="41" t="str"/>
      <c r="L3219" s="41" t="str"/>
      <c r="M3219" s="41" t="str"/>
      <c r="N3219" s="41" t="str"/>
      <c r="O3219" s="41" t="str"/>
      <c r="P3219" s="41" t="str"/>
      <c r="Q3219" s="41" t="str"/>
      <c r="R3219" s="41" t="str"/>
      <c r="S3219" s="41" t="str"/>
      <c r="T3219" s="41" t="str"/>
      <c r="U3219" s="41" t="str"/>
      <c r="V3219" s="41" t="str"/>
      <c r="W3219" s="41" t="str"/>
    </row>
    <row r="3220">
      <c r="B3220" s="2" t="n"/>
      <c r="C3220" s="40" t="n"/>
      <c r="D3220" s="52">
        <f t="array" ref="D3220:W3220">IF(All_Students_Scores!C3218:V3218="","",All_Students_Scores!C3218:V3218)</f>
        <v/>
      </c>
      <c r="E3220" s="57" t="str"/>
      <c r="F3220" s="49" t="str"/>
      <c r="G3220" s="59" t="str"/>
      <c r="H3220" s="64" t="str"/>
      <c r="I3220" s="65" t="str"/>
      <c r="J3220" s="49" t="str"/>
      <c r="K3220" s="41" t="str"/>
      <c r="L3220" s="41" t="str"/>
      <c r="M3220" s="41" t="str"/>
      <c r="N3220" s="41" t="str"/>
      <c r="O3220" s="41" t="str"/>
      <c r="P3220" s="41" t="str"/>
      <c r="Q3220" s="41" t="str"/>
      <c r="R3220" s="41" t="str"/>
      <c r="S3220" s="41" t="str"/>
      <c r="T3220" s="41" t="str"/>
      <c r="U3220" s="41" t="str"/>
      <c r="V3220" s="41" t="str"/>
      <c r="W3220" s="41" t="str"/>
    </row>
    <row r="3221">
      <c r="B3221" s="2" t="n"/>
      <c r="C3221" s="40" t="n"/>
      <c r="D3221" s="52">
        <f t="array" ref="D3221:W3221">IF(All_Students_Scores!C3219:V3219="","",All_Students_Scores!C3219:V3219)</f>
        <v/>
      </c>
      <c r="E3221" s="57" t="str"/>
      <c r="F3221" s="49" t="str"/>
      <c r="G3221" s="59" t="str"/>
      <c r="H3221" s="64" t="str"/>
      <c r="I3221" s="65" t="str"/>
      <c r="J3221" s="49" t="str"/>
      <c r="K3221" s="41" t="str"/>
      <c r="L3221" s="41" t="str"/>
      <c r="M3221" s="41" t="str"/>
      <c r="N3221" s="41" t="str"/>
      <c r="O3221" s="41" t="str"/>
      <c r="P3221" s="41" t="str"/>
      <c r="Q3221" s="41" t="str"/>
      <c r="R3221" s="41" t="str"/>
      <c r="S3221" s="41" t="str"/>
      <c r="T3221" s="41" t="str"/>
      <c r="U3221" s="41" t="str"/>
      <c r="V3221" s="41" t="str"/>
      <c r="W3221" s="41" t="str"/>
    </row>
    <row r="3222">
      <c r="B3222" s="2" t="n"/>
      <c r="C3222" s="40" t="n"/>
      <c r="D3222" s="52">
        <f t="array" ref="D3222:W3222">IF(All_Students_Scores!C3220:V3220="","",All_Students_Scores!C3220:V3220)</f>
        <v/>
      </c>
      <c r="E3222" s="57" t="str"/>
      <c r="F3222" s="49" t="str"/>
      <c r="G3222" s="59" t="str"/>
      <c r="H3222" s="64" t="str"/>
      <c r="I3222" s="65" t="str"/>
      <c r="J3222" s="49" t="str"/>
      <c r="K3222" s="41" t="str"/>
      <c r="L3222" s="41" t="str"/>
      <c r="M3222" s="41" t="str"/>
      <c r="N3222" s="41" t="str"/>
      <c r="O3222" s="41" t="str"/>
      <c r="P3222" s="41" t="str"/>
      <c r="Q3222" s="41" t="str"/>
      <c r="R3222" s="41" t="str"/>
      <c r="S3222" s="41" t="str"/>
      <c r="T3222" s="41" t="str"/>
      <c r="U3222" s="41" t="str"/>
      <c r="V3222" s="41" t="str"/>
      <c r="W3222" s="41" t="str"/>
    </row>
    <row r="3223">
      <c r="B3223" s="2" t="n"/>
      <c r="C3223" s="40" t="n"/>
      <c r="D3223" s="52">
        <f t="array" ref="D3223:W3223">IF(All_Students_Scores!C3221:V3221="","",All_Students_Scores!C3221:V3221)</f>
        <v/>
      </c>
      <c r="E3223" s="57" t="str"/>
      <c r="F3223" s="49" t="str"/>
      <c r="G3223" s="59" t="str"/>
      <c r="H3223" s="64" t="str"/>
      <c r="I3223" s="65" t="str"/>
      <c r="J3223" s="49" t="str"/>
      <c r="K3223" s="41" t="str"/>
      <c r="L3223" s="41" t="str"/>
      <c r="M3223" s="41" t="str"/>
      <c r="N3223" s="41" t="str"/>
      <c r="O3223" s="41" t="str"/>
      <c r="P3223" s="41" t="str"/>
      <c r="Q3223" s="41" t="str"/>
      <c r="R3223" s="41" t="str"/>
      <c r="S3223" s="41" t="str"/>
      <c r="T3223" s="41" t="str"/>
      <c r="U3223" s="41" t="str"/>
      <c r="V3223" s="41" t="str"/>
      <c r="W3223" s="41" t="str"/>
    </row>
    <row r="3224">
      <c r="B3224" s="2" t="n"/>
      <c r="C3224" s="40" t="n"/>
      <c r="D3224" s="52">
        <f t="array" ref="D3224:W3224">IF(All_Students_Scores!C3222:V3222="","",All_Students_Scores!C3222:V3222)</f>
        <v/>
      </c>
      <c r="E3224" s="57" t="str"/>
      <c r="F3224" s="49" t="str"/>
      <c r="G3224" s="59" t="str"/>
      <c r="H3224" s="64" t="str"/>
      <c r="I3224" s="65" t="str"/>
      <c r="J3224" s="49" t="str"/>
      <c r="K3224" s="41" t="str"/>
      <c r="L3224" s="41" t="str"/>
      <c r="M3224" s="41" t="str"/>
      <c r="N3224" s="41" t="str"/>
      <c r="O3224" s="41" t="str"/>
      <c r="P3224" s="41" t="str"/>
      <c r="Q3224" s="41" t="str"/>
      <c r="R3224" s="41" t="str"/>
      <c r="S3224" s="41" t="str"/>
      <c r="T3224" s="41" t="str"/>
      <c r="U3224" s="41" t="str"/>
      <c r="V3224" s="41" t="str"/>
      <c r="W3224" s="41" t="str"/>
    </row>
    <row r="3225">
      <c r="B3225" s="2" t="n"/>
      <c r="C3225" s="40" t="n"/>
      <c r="D3225" s="52">
        <f t="array" ref="D3225:W3225">IF(All_Students_Scores!C3223:V3223="","",All_Students_Scores!C3223:V3223)</f>
        <v/>
      </c>
      <c r="E3225" s="57" t="str"/>
      <c r="F3225" s="49" t="str"/>
      <c r="G3225" s="59" t="str"/>
      <c r="H3225" s="64" t="str"/>
      <c r="I3225" s="65" t="str"/>
      <c r="J3225" s="49" t="str"/>
      <c r="K3225" s="41" t="str"/>
      <c r="L3225" s="41" t="str"/>
      <c r="M3225" s="41" t="str"/>
      <c r="N3225" s="41" t="str"/>
      <c r="O3225" s="41" t="str"/>
      <c r="P3225" s="41" t="str"/>
      <c r="Q3225" s="41" t="str"/>
      <c r="R3225" s="41" t="str"/>
      <c r="S3225" s="41" t="str"/>
      <c r="T3225" s="41" t="str"/>
      <c r="U3225" s="41" t="str"/>
      <c r="V3225" s="41" t="str"/>
      <c r="W3225" s="41" t="str"/>
    </row>
    <row r="3226">
      <c r="B3226" s="2" t="n"/>
      <c r="C3226" s="40" t="n"/>
      <c r="D3226" s="52">
        <f t="array" ref="D3226:W3226">IF(All_Students_Scores!C3224:V3224="","",All_Students_Scores!C3224:V3224)</f>
        <v/>
      </c>
      <c r="E3226" s="57" t="str"/>
      <c r="F3226" s="49" t="str"/>
      <c r="G3226" s="59" t="str"/>
      <c r="H3226" s="64" t="str"/>
      <c r="I3226" s="65" t="str"/>
      <c r="J3226" s="49" t="str"/>
      <c r="K3226" s="41" t="str"/>
      <c r="L3226" s="41" t="str"/>
      <c r="M3226" s="41" t="str"/>
      <c r="N3226" s="41" t="str"/>
      <c r="O3226" s="41" t="str"/>
      <c r="P3226" s="41" t="str"/>
      <c r="Q3226" s="41" t="str"/>
      <c r="R3226" s="41" t="str"/>
      <c r="S3226" s="41" t="str"/>
      <c r="T3226" s="41" t="str"/>
      <c r="U3226" s="41" t="str"/>
      <c r="V3226" s="41" t="str"/>
      <c r="W3226" s="41" t="str"/>
    </row>
    <row r="3227">
      <c r="B3227" s="2" t="n"/>
      <c r="C3227" s="40" t="n"/>
      <c r="D3227" s="52">
        <f t="array" ref="D3227:W3227">IF(All_Students_Scores!C3225:V3225="","",All_Students_Scores!C3225:V3225)</f>
        <v/>
      </c>
      <c r="E3227" s="57" t="str"/>
      <c r="F3227" s="49" t="str"/>
      <c r="G3227" s="59" t="str"/>
      <c r="H3227" s="64" t="str"/>
      <c r="I3227" s="65" t="str"/>
      <c r="J3227" s="49" t="str"/>
      <c r="K3227" s="41" t="str"/>
      <c r="L3227" s="41" t="str"/>
      <c r="M3227" s="41" t="str"/>
      <c r="N3227" s="41" t="str"/>
      <c r="O3227" s="41" t="str"/>
      <c r="P3227" s="41" t="str"/>
      <c r="Q3227" s="41" t="str"/>
      <c r="R3227" s="41" t="str"/>
      <c r="S3227" s="41" t="str"/>
      <c r="T3227" s="41" t="str"/>
      <c r="U3227" s="41" t="str"/>
      <c r="V3227" s="41" t="str"/>
      <c r="W3227" s="41" t="str"/>
    </row>
    <row r="3228">
      <c r="B3228" s="2" t="n"/>
      <c r="C3228" s="40" t="n"/>
      <c r="D3228" s="52">
        <f t="array" ref="D3228:W3228">IF(All_Students_Scores!C3226:V3226="","",All_Students_Scores!C3226:V3226)</f>
        <v/>
      </c>
      <c r="E3228" s="57" t="str"/>
      <c r="F3228" s="49" t="str"/>
      <c r="G3228" s="59" t="str"/>
      <c r="H3228" s="64" t="str"/>
      <c r="I3228" s="65" t="str"/>
      <c r="J3228" s="49" t="str"/>
      <c r="K3228" s="41" t="str"/>
      <c r="L3228" s="41" t="str"/>
      <c r="M3228" s="41" t="str"/>
      <c r="N3228" s="41" t="str"/>
      <c r="O3228" s="41" t="str"/>
      <c r="P3228" s="41" t="str"/>
      <c r="Q3228" s="41" t="str"/>
      <c r="R3228" s="41" t="str"/>
      <c r="S3228" s="41" t="str"/>
      <c r="T3228" s="41" t="str"/>
      <c r="U3228" s="41" t="str"/>
      <c r="V3228" s="41" t="str"/>
      <c r="W3228" s="41" t="str"/>
    </row>
    <row r="3229">
      <c r="B3229" s="2" t="n"/>
      <c r="C3229" s="40" t="n"/>
      <c r="D3229" s="52">
        <f t="array" ref="D3229:W3229">IF(All_Students_Scores!C3227:V3227="","",All_Students_Scores!C3227:V3227)</f>
        <v/>
      </c>
      <c r="E3229" s="57" t="str"/>
      <c r="F3229" s="49" t="str"/>
      <c r="G3229" s="59" t="str"/>
      <c r="H3229" s="64" t="str"/>
      <c r="I3229" s="65" t="str"/>
      <c r="J3229" s="49" t="str"/>
      <c r="K3229" s="41" t="str"/>
      <c r="L3229" s="41" t="str"/>
      <c r="M3229" s="41" t="str"/>
      <c r="N3229" s="41" t="str"/>
      <c r="O3229" s="41" t="str"/>
      <c r="P3229" s="41" t="str"/>
      <c r="Q3229" s="41" t="str"/>
      <c r="R3229" s="41" t="str"/>
      <c r="S3229" s="41" t="str"/>
      <c r="T3229" s="41" t="str"/>
      <c r="U3229" s="41" t="str"/>
      <c r="V3229" s="41" t="str"/>
      <c r="W3229" s="41" t="str"/>
    </row>
    <row r="3230">
      <c r="B3230" s="2" t="n"/>
      <c r="C3230" s="40" t="n"/>
      <c r="D3230" s="52">
        <f t="array" ref="D3230:W3230">IF(All_Students_Scores!C3228:V3228="","",All_Students_Scores!C3228:V3228)</f>
        <v/>
      </c>
      <c r="E3230" s="57" t="str"/>
      <c r="F3230" s="49" t="str"/>
      <c r="G3230" s="59" t="str"/>
      <c r="H3230" s="64" t="str"/>
      <c r="I3230" s="65" t="str"/>
      <c r="J3230" s="49" t="str"/>
      <c r="K3230" s="41" t="str"/>
      <c r="L3230" s="41" t="str"/>
      <c r="M3230" s="41" t="str"/>
      <c r="N3230" s="41" t="str"/>
      <c r="O3230" s="41" t="str"/>
      <c r="P3230" s="41" t="str"/>
      <c r="Q3230" s="41" t="str"/>
      <c r="R3230" s="41" t="str"/>
      <c r="S3230" s="41" t="str"/>
      <c r="T3230" s="41" t="str"/>
      <c r="U3230" s="41" t="str"/>
      <c r="V3230" s="41" t="str"/>
      <c r="W3230" s="41" t="str"/>
    </row>
    <row r="3231">
      <c r="B3231" s="2" t="n"/>
      <c r="C3231" s="40" t="n"/>
      <c r="D3231" s="52">
        <f t="array" ref="D3231:W3231">IF(All_Students_Scores!C3229:V3229="","",All_Students_Scores!C3229:V3229)</f>
        <v/>
      </c>
      <c r="E3231" s="57" t="str"/>
      <c r="F3231" s="49" t="str"/>
      <c r="G3231" s="59" t="str"/>
      <c r="H3231" s="64" t="str"/>
      <c r="I3231" s="65" t="str"/>
      <c r="J3231" s="49" t="str"/>
      <c r="K3231" s="41" t="str"/>
      <c r="L3231" s="41" t="str"/>
      <c r="M3231" s="41" t="str"/>
      <c r="N3231" s="41" t="str"/>
      <c r="O3231" s="41" t="str"/>
      <c r="P3231" s="41" t="str"/>
      <c r="Q3231" s="41" t="str"/>
      <c r="R3231" s="41" t="str"/>
      <c r="S3231" s="41" t="str"/>
      <c r="T3231" s="41" t="str"/>
      <c r="U3231" s="41" t="str"/>
      <c r="V3231" s="41" t="str"/>
      <c r="W3231" s="41" t="str"/>
    </row>
    <row r="3232">
      <c r="B3232" s="2" t="n"/>
      <c r="C3232" s="40" t="n"/>
      <c r="D3232" s="52">
        <f t="array" ref="D3232:W3232">IF(All_Students_Scores!C3230:V3230="","",All_Students_Scores!C3230:V3230)</f>
        <v/>
      </c>
      <c r="E3232" s="57" t="str"/>
      <c r="F3232" s="49" t="str"/>
      <c r="G3232" s="59" t="str"/>
      <c r="H3232" s="64" t="str"/>
      <c r="I3232" s="65" t="str"/>
      <c r="J3232" s="49" t="str"/>
      <c r="K3232" s="41" t="str"/>
      <c r="L3232" s="41" t="str"/>
      <c r="M3232" s="41" t="str"/>
      <c r="N3232" s="41" t="str"/>
      <c r="O3232" s="41" t="str"/>
      <c r="P3232" s="41" t="str"/>
      <c r="Q3232" s="41" t="str"/>
      <c r="R3232" s="41" t="str"/>
      <c r="S3232" s="41" t="str"/>
      <c r="T3232" s="41" t="str"/>
      <c r="U3232" s="41" t="str"/>
      <c r="V3232" s="41" t="str"/>
      <c r="W3232" s="41" t="str"/>
    </row>
    <row r="3233">
      <c r="B3233" s="2" t="n"/>
      <c r="C3233" s="40" t="n"/>
      <c r="D3233" s="52">
        <f t="array" ref="D3233:W3233">IF(All_Students_Scores!C3231:V3231="","",All_Students_Scores!C3231:V3231)</f>
        <v/>
      </c>
      <c r="E3233" s="57" t="str"/>
      <c r="F3233" s="49" t="str"/>
      <c r="G3233" s="59" t="str"/>
      <c r="H3233" s="64" t="str"/>
      <c r="I3233" s="65" t="str"/>
      <c r="J3233" s="49" t="str"/>
      <c r="K3233" s="41" t="str"/>
      <c r="L3233" s="41" t="str"/>
      <c r="M3233" s="41" t="str"/>
      <c r="N3233" s="41" t="str"/>
      <c r="O3233" s="41" t="str"/>
      <c r="P3233" s="41" t="str"/>
      <c r="Q3233" s="41" t="str"/>
      <c r="R3233" s="41" t="str"/>
      <c r="S3233" s="41" t="str"/>
      <c r="T3233" s="41" t="str"/>
      <c r="U3233" s="41" t="str"/>
      <c r="V3233" s="41" t="str"/>
      <c r="W3233" s="41" t="str"/>
    </row>
    <row r="3234">
      <c r="B3234" s="2" t="n"/>
      <c r="C3234" s="40" t="n"/>
      <c r="D3234" s="52">
        <f t="array" ref="D3234:W3234">IF(All_Students_Scores!C3232:V3232="","",All_Students_Scores!C3232:V3232)</f>
        <v/>
      </c>
      <c r="E3234" s="57" t="str"/>
      <c r="F3234" s="49" t="str"/>
      <c r="G3234" s="59" t="str"/>
      <c r="H3234" s="64" t="str"/>
      <c r="I3234" s="65" t="str"/>
      <c r="J3234" s="49" t="str"/>
      <c r="K3234" s="41" t="str"/>
      <c r="L3234" s="41" t="str"/>
      <c r="M3234" s="41" t="str"/>
      <c r="N3234" s="41" t="str"/>
      <c r="O3234" s="41" t="str"/>
      <c r="P3234" s="41" t="str"/>
      <c r="Q3234" s="41" t="str"/>
      <c r="R3234" s="41" t="str"/>
      <c r="S3234" s="41" t="str"/>
      <c r="T3234" s="41" t="str"/>
      <c r="U3234" s="41" t="str"/>
      <c r="V3234" s="41" t="str"/>
      <c r="W3234" s="41" t="str"/>
    </row>
    <row r="3235">
      <c r="B3235" s="2" t="n"/>
      <c r="C3235" s="40" t="n"/>
      <c r="D3235" s="52">
        <f t="array" ref="D3235:W3235">IF(All_Students_Scores!C3233:V3233="","",All_Students_Scores!C3233:V3233)</f>
        <v/>
      </c>
      <c r="E3235" s="57" t="str"/>
      <c r="F3235" s="49" t="str"/>
      <c r="G3235" s="59" t="str"/>
      <c r="H3235" s="64" t="str"/>
      <c r="I3235" s="65" t="str"/>
      <c r="J3235" s="49" t="str"/>
      <c r="K3235" s="41" t="str"/>
      <c r="L3235" s="41" t="str"/>
      <c r="M3235" s="41" t="str"/>
      <c r="N3235" s="41" t="str"/>
      <c r="O3235" s="41" t="str"/>
      <c r="P3235" s="41" t="str"/>
      <c r="Q3235" s="41" t="str"/>
      <c r="R3235" s="41" t="str"/>
      <c r="S3235" s="41" t="str"/>
      <c r="T3235" s="41" t="str"/>
      <c r="U3235" s="41" t="str"/>
      <c r="V3235" s="41" t="str"/>
      <c r="W3235" s="41" t="str"/>
    </row>
    <row r="3236">
      <c r="B3236" s="2" t="n"/>
      <c r="C3236" s="40" t="n"/>
      <c r="D3236" s="52">
        <f t="array" ref="D3236:W3236">IF(All_Students_Scores!C3234:V3234="","",All_Students_Scores!C3234:V3234)</f>
        <v/>
      </c>
      <c r="E3236" s="57" t="str"/>
      <c r="F3236" s="49" t="str"/>
      <c r="G3236" s="59" t="str"/>
      <c r="H3236" s="64" t="str"/>
      <c r="I3236" s="65" t="str"/>
      <c r="J3236" s="49" t="str"/>
      <c r="K3236" s="41" t="str"/>
      <c r="L3236" s="41" t="str"/>
      <c r="M3236" s="41" t="str"/>
      <c r="N3236" s="41" t="str"/>
      <c r="O3236" s="41" t="str"/>
      <c r="P3236" s="41" t="str"/>
      <c r="Q3236" s="41" t="str"/>
      <c r="R3236" s="41" t="str"/>
      <c r="S3236" s="41" t="str"/>
      <c r="T3236" s="41" t="str"/>
      <c r="U3236" s="41" t="str"/>
      <c r="V3236" s="41" t="str"/>
      <c r="W3236" s="41" t="str"/>
    </row>
    <row r="3237">
      <c r="B3237" s="2" t="n"/>
      <c r="C3237" s="40" t="n"/>
      <c r="D3237" s="52">
        <f t="array" ref="D3237:W3237">IF(All_Students_Scores!C3235:V3235="","",All_Students_Scores!C3235:V3235)</f>
        <v/>
      </c>
      <c r="E3237" s="57" t="str"/>
      <c r="F3237" s="49" t="str"/>
      <c r="G3237" s="59" t="str"/>
      <c r="H3237" s="64" t="str"/>
      <c r="I3237" s="65" t="str"/>
      <c r="J3237" s="49" t="str"/>
      <c r="K3237" s="41" t="str"/>
      <c r="L3237" s="41" t="str"/>
      <c r="M3237" s="41" t="str"/>
      <c r="N3237" s="41" t="str"/>
      <c r="O3237" s="41" t="str"/>
      <c r="P3237" s="41" t="str"/>
      <c r="Q3237" s="41" t="str"/>
      <c r="R3237" s="41" t="str"/>
      <c r="S3237" s="41" t="str"/>
      <c r="T3237" s="41" t="str"/>
      <c r="U3237" s="41" t="str"/>
      <c r="V3237" s="41" t="str"/>
      <c r="W3237" s="41" t="str"/>
    </row>
    <row r="3238">
      <c r="B3238" s="2" t="n"/>
      <c r="C3238" s="40" t="n"/>
      <c r="D3238" s="52">
        <f t="array" ref="D3238:W3238">IF(All_Students_Scores!C3236:V3236="","",All_Students_Scores!C3236:V3236)</f>
        <v/>
      </c>
      <c r="E3238" s="57" t="str"/>
      <c r="F3238" s="49" t="str"/>
      <c r="G3238" s="59" t="str"/>
      <c r="H3238" s="64" t="str"/>
      <c r="I3238" s="65" t="str"/>
      <c r="J3238" s="49" t="str"/>
      <c r="K3238" s="41" t="str"/>
      <c r="L3238" s="41" t="str"/>
      <c r="M3238" s="41" t="str"/>
      <c r="N3238" s="41" t="str"/>
      <c r="O3238" s="41" t="str"/>
      <c r="P3238" s="41" t="str"/>
      <c r="Q3238" s="41" t="str"/>
      <c r="R3238" s="41" t="str"/>
      <c r="S3238" s="41" t="str"/>
      <c r="T3238" s="41" t="str"/>
      <c r="U3238" s="41" t="str"/>
      <c r="V3238" s="41" t="str"/>
      <c r="W3238" s="41" t="str"/>
    </row>
    <row r="3239">
      <c r="B3239" s="2" t="n"/>
      <c r="C3239" s="40" t="n"/>
      <c r="D3239" s="52">
        <f t="array" ref="D3239:W3239">IF(All_Students_Scores!C3237:V3237="","",All_Students_Scores!C3237:V3237)</f>
        <v/>
      </c>
      <c r="E3239" s="57" t="str"/>
      <c r="F3239" s="49" t="str"/>
      <c r="G3239" s="59" t="str"/>
      <c r="H3239" s="64" t="str"/>
      <c r="I3239" s="65" t="str"/>
      <c r="J3239" s="49" t="str"/>
      <c r="K3239" s="41" t="str"/>
      <c r="L3239" s="41" t="str"/>
      <c r="M3239" s="41" t="str"/>
      <c r="N3239" s="41" t="str"/>
      <c r="O3239" s="41" t="str"/>
      <c r="P3239" s="41" t="str"/>
      <c r="Q3239" s="41" t="str"/>
      <c r="R3239" s="41" t="str"/>
      <c r="S3239" s="41" t="str"/>
      <c r="T3239" s="41" t="str"/>
      <c r="U3239" s="41" t="str"/>
      <c r="V3239" s="41" t="str"/>
      <c r="W3239" s="41" t="str"/>
    </row>
    <row r="3240">
      <c r="B3240" s="2" t="n"/>
      <c r="C3240" s="40" t="n"/>
      <c r="D3240" s="52">
        <f t="array" ref="D3240:W3240">IF(All_Students_Scores!C3238:V3238="","",All_Students_Scores!C3238:V3238)</f>
        <v/>
      </c>
      <c r="E3240" s="57" t="str"/>
      <c r="F3240" s="49" t="str"/>
      <c r="G3240" s="59" t="str"/>
      <c r="H3240" s="64" t="str"/>
      <c r="I3240" s="65" t="str"/>
      <c r="J3240" s="49" t="str"/>
      <c r="K3240" s="41" t="str"/>
      <c r="L3240" s="41" t="str"/>
      <c r="M3240" s="41" t="str"/>
      <c r="N3240" s="41" t="str"/>
      <c r="O3240" s="41" t="str"/>
      <c r="P3240" s="41" t="str"/>
      <c r="Q3240" s="41" t="str"/>
      <c r="R3240" s="41" t="str"/>
      <c r="S3240" s="41" t="str"/>
      <c r="T3240" s="41" t="str"/>
      <c r="U3240" s="41" t="str"/>
      <c r="V3240" s="41" t="str"/>
      <c r="W3240" s="41" t="str"/>
    </row>
    <row r="3241">
      <c r="B3241" s="2" t="n"/>
      <c r="C3241" s="40" t="n"/>
      <c r="D3241" s="52">
        <f t="array" ref="D3241:W3241">IF(All_Students_Scores!C3239:V3239="","",All_Students_Scores!C3239:V3239)</f>
        <v/>
      </c>
      <c r="E3241" s="57" t="str"/>
      <c r="F3241" s="49" t="str"/>
      <c r="G3241" s="59" t="str"/>
      <c r="H3241" s="64" t="str"/>
      <c r="I3241" s="65" t="str"/>
      <c r="J3241" s="49" t="str"/>
      <c r="K3241" s="41" t="str"/>
      <c r="L3241" s="41" t="str"/>
      <c r="M3241" s="41" t="str"/>
      <c r="N3241" s="41" t="str"/>
      <c r="O3241" s="41" t="str"/>
      <c r="P3241" s="41" t="str"/>
      <c r="Q3241" s="41" t="str"/>
      <c r="R3241" s="41" t="str"/>
      <c r="S3241" s="41" t="str"/>
      <c r="T3241" s="41" t="str"/>
      <c r="U3241" s="41" t="str"/>
      <c r="V3241" s="41" t="str"/>
      <c r="W3241" s="41" t="str"/>
    </row>
    <row r="3242">
      <c r="B3242" s="2" t="n"/>
      <c r="C3242" s="40" t="n"/>
      <c r="D3242" s="52">
        <f t="array" ref="D3242:W3242">IF(All_Students_Scores!C3240:V3240="","",All_Students_Scores!C3240:V3240)</f>
        <v/>
      </c>
      <c r="E3242" s="57" t="str"/>
      <c r="F3242" s="49" t="str"/>
      <c r="G3242" s="59" t="str"/>
      <c r="H3242" s="64" t="str"/>
      <c r="I3242" s="65" t="str"/>
      <c r="J3242" s="49" t="str"/>
      <c r="K3242" s="41" t="str"/>
      <c r="L3242" s="41" t="str"/>
      <c r="M3242" s="41" t="str"/>
      <c r="N3242" s="41" t="str"/>
      <c r="O3242" s="41" t="str"/>
      <c r="P3242" s="41" t="str"/>
      <c r="Q3242" s="41" t="str"/>
      <c r="R3242" s="41" t="str"/>
      <c r="S3242" s="41" t="str"/>
      <c r="T3242" s="41" t="str"/>
      <c r="U3242" s="41" t="str"/>
      <c r="V3242" s="41" t="str"/>
      <c r="W3242" s="41" t="str"/>
    </row>
    <row r="3243">
      <c r="B3243" s="2" t="n"/>
      <c r="C3243" s="40" t="n"/>
      <c r="D3243" s="52">
        <f t="array" ref="D3243:W3243">IF(All_Students_Scores!C3241:V3241="","",All_Students_Scores!C3241:V3241)</f>
        <v/>
      </c>
      <c r="E3243" s="57" t="str"/>
      <c r="F3243" s="49" t="str"/>
      <c r="G3243" s="59" t="str"/>
      <c r="H3243" s="64" t="str"/>
      <c r="I3243" s="65" t="str"/>
      <c r="J3243" s="49" t="str"/>
      <c r="K3243" s="41" t="str"/>
      <c r="L3243" s="41" t="str"/>
      <c r="M3243" s="41" t="str"/>
      <c r="N3243" s="41" t="str"/>
      <c r="O3243" s="41" t="str"/>
      <c r="P3243" s="41" t="str"/>
      <c r="Q3243" s="41" t="str"/>
      <c r="R3243" s="41" t="str"/>
      <c r="S3243" s="41" t="str"/>
      <c r="T3243" s="41" t="str"/>
      <c r="U3243" s="41" t="str"/>
      <c r="V3243" s="41" t="str"/>
      <c r="W3243" s="41" t="str"/>
    </row>
    <row r="3244">
      <c r="B3244" s="2" t="n"/>
      <c r="C3244" s="40" t="n"/>
      <c r="D3244" s="52">
        <f t="array" ref="D3244:W3244">IF(All_Students_Scores!C3242:V3242="","",All_Students_Scores!C3242:V3242)</f>
        <v/>
      </c>
      <c r="E3244" s="57" t="str"/>
      <c r="F3244" s="49" t="str"/>
      <c r="G3244" s="59" t="str"/>
      <c r="H3244" s="64" t="str"/>
      <c r="I3244" s="65" t="str"/>
      <c r="J3244" s="49" t="str"/>
      <c r="K3244" s="41" t="str"/>
      <c r="L3244" s="41" t="str"/>
      <c r="M3244" s="41" t="str"/>
      <c r="N3244" s="41" t="str"/>
      <c r="O3244" s="41" t="str"/>
      <c r="P3244" s="41" t="str"/>
      <c r="Q3244" s="41" t="str"/>
      <c r="R3244" s="41" t="str"/>
      <c r="S3244" s="41" t="str"/>
      <c r="T3244" s="41" t="str"/>
      <c r="U3244" s="41" t="str"/>
      <c r="V3244" s="41" t="str"/>
      <c r="W3244" s="41" t="str"/>
    </row>
    <row r="3245">
      <c r="B3245" s="2" t="n"/>
      <c r="C3245" s="40" t="n"/>
      <c r="D3245" s="52">
        <f t="array" ref="D3245:W3245">IF(All_Students_Scores!C3243:V3243="","",All_Students_Scores!C3243:V3243)</f>
        <v/>
      </c>
      <c r="E3245" s="57" t="str"/>
      <c r="F3245" s="49" t="str"/>
      <c r="G3245" s="59" t="str"/>
      <c r="H3245" s="64" t="str"/>
      <c r="I3245" s="65" t="str"/>
      <c r="J3245" s="49" t="str"/>
      <c r="K3245" s="41" t="str"/>
      <c r="L3245" s="41" t="str"/>
      <c r="M3245" s="41" t="str"/>
      <c r="N3245" s="41" t="str"/>
      <c r="O3245" s="41" t="str"/>
      <c r="P3245" s="41" t="str"/>
      <c r="Q3245" s="41" t="str"/>
      <c r="R3245" s="41" t="str"/>
      <c r="S3245" s="41" t="str"/>
      <c r="T3245" s="41" t="str"/>
      <c r="U3245" s="41" t="str"/>
      <c r="V3245" s="41" t="str"/>
      <c r="W3245" s="41" t="str"/>
    </row>
    <row r="3246">
      <c r="B3246" s="2" t="n"/>
      <c r="C3246" s="40" t="n"/>
      <c r="D3246" s="52">
        <f t="array" ref="D3246:W3246">IF(All_Students_Scores!C3244:V3244="","",All_Students_Scores!C3244:V3244)</f>
        <v/>
      </c>
      <c r="E3246" s="57" t="str"/>
      <c r="F3246" s="49" t="str"/>
      <c r="G3246" s="59" t="str"/>
      <c r="H3246" s="64" t="str"/>
      <c r="I3246" s="65" t="str"/>
      <c r="J3246" s="49" t="str"/>
      <c r="K3246" s="41" t="str"/>
      <c r="L3246" s="41" t="str"/>
      <c r="M3246" s="41" t="str"/>
      <c r="N3246" s="41" t="str"/>
      <c r="O3246" s="41" t="str"/>
      <c r="P3246" s="41" t="str"/>
      <c r="Q3246" s="41" t="str"/>
      <c r="R3246" s="41" t="str"/>
      <c r="S3246" s="41" t="str"/>
      <c r="T3246" s="41" t="str"/>
      <c r="U3246" s="41" t="str"/>
      <c r="V3246" s="41" t="str"/>
      <c r="W3246" s="41" t="str"/>
    </row>
    <row r="3247">
      <c r="B3247" s="2" t="n"/>
      <c r="C3247" s="40" t="n"/>
      <c r="D3247" s="52">
        <f t="array" ref="D3247:W3247">IF(All_Students_Scores!C3245:V3245="","",All_Students_Scores!C3245:V3245)</f>
        <v/>
      </c>
      <c r="E3247" s="57" t="str"/>
      <c r="F3247" s="49" t="str"/>
      <c r="G3247" s="59" t="str"/>
      <c r="H3247" s="64" t="str"/>
      <c r="I3247" s="65" t="str"/>
      <c r="J3247" s="49" t="str"/>
      <c r="K3247" s="41" t="str"/>
      <c r="L3247" s="41" t="str"/>
      <c r="M3247" s="41" t="str"/>
      <c r="N3247" s="41" t="str"/>
      <c r="O3247" s="41" t="str"/>
      <c r="P3247" s="41" t="str"/>
      <c r="Q3247" s="41" t="str"/>
      <c r="R3247" s="41" t="str"/>
      <c r="S3247" s="41" t="str"/>
      <c r="T3247" s="41" t="str"/>
      <c r="U3247" s="41" t="str"/>
      <c r="V3247" s="41" t="str"/>
      <c r="W3247" s="41" t="str"/>
    </row>
    <row r="3248">
      <c r="B3248" s="2" t="n"/>
      <c r="C3248" s="40" t="n"/>
      <c r="D3248" s="52">
        <f t="array" ref="D3248:W3248">IF(All_Students_Scores!C3246:V3246="","",All_Students_Scores!C3246:V3246)</f>
        <v/>
      </c>
      <c r="E3248" s="57" t="str"/>
      <c r="F3248" s="49" t="str"/>
      <c r="G3248" s="59" t="str"/>
      <c r="H3248" s="64" t="str"/>
      <c r="I3248" s="65" t="str"/>
      <c r="J3248" s="49" t="str"/>
      <c r="K3248" s="41" t="str"/>
      <c r="L3248" s="41" t="str"/>
      <c r="M3248" s="41" t="str"/>
      <c r="N3248" s="41" t="str"/>
      <c r="O3248" s="41" t="str"/>
      <c r="P3248" s="41" t="str"/>
      <c r="Q3248" s="41" t="str"/>
      <c r="R3248" s="41" t="str"/>
      <c r="S3248" s="41" t="str"/>
      <c r="T3248" s="41" t="str"/>
      <c r="U3248" s="41" t="str"/>
      <c r="V3248" s="41" t="str"/>
      <c r="W3248" s="41" t="str"/>
    </row>
    <row r="3249">
      <c r="B3249" s="2" t="n"/>
      <c r="C3249" s="40" t="n"/>
      <c r="D3249" s="52">
        <f t="array" ref="D3249:W3249">IF(All_Students_Scores!C3247:V3247="","",All_Students_Scores!C3247:V3247)</f>
        <v/>
      </c>
      <c r="E3249" s="57" t="str"/>
      <c r="F3249" s="49" t="str"/>
      <c r="G3249" s="59" t="str"/>
      <c r="H3249" s="64" t="str"/>
      <c r="I3249" s="65" t="str"/>
      <c r="J3249" s="49" t="str"/>
      <c r="K3249" s="41" t="str"/>
      <c r="L3249" s="41" t="str"/>
      <c r="M3249" s="41" t="str"/>
      <c r="N3249" s="41" t="str"/>
      <c r="O3249" s="41" t="str"/>
      <c r="P3249" s="41" t="str"/>
      <c r="Q3249" s="41" t="str"/>
      <c r="R3249" s="41" t="str"/>
      <c r="S3249" s="41" t="str"/>
      <c r="T3249" s="41" t="str"/>
      <c r="U3249" s="41" t="str"/>
      <c r="V3249" s="41" t="str"/>
      <c r="W3249" s="41" t="str"/>
    </row>
    <row r="3250">
      <c r="B3250" s="2" t="n"/>
      <c r="C3250" s="40" t="n"/>
      <c r="D3250" s="52">
        <f t="array" ref="D3250:W3250">IF(All_Students_Scores!C3248:V3248="","",All_Students_Scores!C3248:V3248)</f>
        <v/>
      </c>
      <c r="E3250" s="57" t="str"/>
      <c r="F3250" s="49" t="str"/>
      <c r="G3250" s="59" t="str"/>
      <c r="H3250" s="64" t="str"/>
      <c r="I3250" s="65" t="str"/>
      <c r="J3250" s="49" t="str"/>
      <c r="K3250" s="41" t="str"/>
      <c r="L3250" s="41" t="str"/>
      <c r="M3250" s="41" t="str"/>
      <c r="N3250" s="41" t="str"/>
      <c r="O3250" s="41" t="str"/>
      <c r="P3250" s="41" t="str"/>
      <c r="Q3250" s="41" t="str"/>
      <c r="R3250" s="41" t="str"/>
      <c r="S3250" s="41" t="str"/>
      <c r="T3250" s="41" t="str"/>
      <c r="U3250" s="41" t="str"/>
      <c r="V3250" s="41" t="str"/>
      <c r="W3250" s="41" t="str"/>
    </row>
    <row r="3251">
      <c r="B3251" s="2" t="n"/>
      <c r="C3251" s="40" t="n"/>
      <c r="D3251" s="52">
        <f t="array" ref="D3251:W3251">IF(All_Students_Scores!C3249:V3249="","",All_Students_Scores!C3249:V3249)</f>
        <v/>
      </c>
      <c r="E3251" s="57" t="str"/>
      <c r="F3251" s="49" t="str"/>
      <c r="G3251" s="59" t="str"/>
      <c r="H3251" s="64" t="str"/>
      <c r="I3251" s="65" t="str"/>
      <c r="J3251" s="49" t="str"/>
      <c r="K3251" s="41" t="str"/>
      <c r="L3251" s="41" t="str"/>
      <c r="M3251" s="41" t="str"/>
      <c r="N3251" s="41" t="str"/>
      <c r="O3251" s="41" t="str"/>
      <c r="P3251" s="41" t="str"/>
      <c r="Q3251" s="41" t="str"/>
      <c r="R3251" s="41" t="str"/>
      <c r="S3251" s="41" t="str"/>
      <c r="T3251" s="41" t="str"/>
      <c r="U3251" s="41" t="str"/>
      <c r="V3251" s="41" t="str"/>
      <c r="W3251" s="41" t="str"/>
    </row>
    <row r="3252">
      <c r="B3252" s="2" t="n"/>
      <c r="C3252" s="40" t="n"/>
      <c r="D3252" s="52">
        <f t="array" ref="D3252:W3252">IF(All_Students_Scores!C3250:V3250="","",All_Students_Scores!C3250:V3250)</f>
        <v/>
      </c>
      <c r="E3252" s="57" t="str"/>
      <c r="F3252" s="49" t="str"/>
      <c r="G3252" s="59" t="str"/>
      <c r="H3252" s="64" t="str"/>
      <c r="I3252" s="65" t="str"/>
      <c r="J3252" s="49" t="str"/>
      <c r="K3252" s="41" t="str"/>
      <c r="L3252" s="41" t="str"/>
      <c r="M3252" s="41" t="str"/>
      <c r="N3252" s="41" t="str"/>
      <c r="O3252" s="41" t="str"/>
      <c r="P3252" s="41" t="str"/>
      <c r="Q3252" s="41" t="str"/>
      <c r="R3252" s="41" t="str"/>
      <c r="S3252" s="41" t="str"/>
      <c r="T3252" s="41" t="str"/>
      <c r="U3252" s="41" t="str"/>
      <c r="V3252" s="41" t="str"/>
      <c r="W3252" s="41" t="str"/>
    </row>
    <row r="3253">
      <c r="B3253" s="2" t="n"/>
      <c r="C3253" s="40" t="n"/>
      <c r="D3253" s="52">
        <f t="array" ref="D3253:W3253">IF(All_Students_Scores!C3251:V3251="","",All_Students_Scores!C3251:V3251)</f>
        <v/>
      </c>
      <c r="E3253" s="57" t="str"/>
      <c r="F3253" s="49" t="str"/>
      <c r="G3253" s="59" t="str"/>
      <c r="H3253" s="64" t="str"/>
      <c r="I3253" s="65" t="str"/>
      <c r="J3253" s="49" t="str"/>
      <c r="K3253" s="41" t="str"/>
      <c r="L3253" s="41" t="str"/>
      <c r="M3253" s="41" t="str"/>
      <c r="N3253" s="41" t="str"/>
      <c r="O3253" s="41" t="str"/>
      <c r="P3253" s="41" t="str"/>
      <c r="Q3253" s="41" t="str"/>
      <c r="R3253" s="41" t="str"/>
      <c r="S3253" s="41" t="str"/>
      <c r="T3253" s="41" t="str"/>
      <c r="U3253" s="41" t="str"/>
      <c r="V3253" s="41" t="str"/>
      <c r="W3253" s="41" t="str"/>
    </row>
    <row r="3254">
      <c r="B3254" s="2" t="n"/>
      <c r="C3254" s="40" t="n"/>
      <c r="D3254" s="52">
        <f t="array" ref="D3254:W3254">IF(All_Students_Scores!C3252:V3252="","",All_Students_Scores!C3252:V3252)</f>
        <v/>
      </c>
      <c r="E3254" s="57" t="str"/>
      <c r="F3254" s="49" t="str"/>
      <c r="G3254" s="59" t="str"/>
      <c r="H3254" s="64" t="str"/>
      <c r="I3254" s="65" t="str"/>
      <c r="J3254" s="49" t="str"/>
      <c r="K3254" s="41" t="str"/>
      <c r="L3254" s="41" t="str"/>
      <c r="M3254" s="41" t="str"/>
      <c r="N3254" s="41" t="str"/>
      <c r="O3254" s="41" t="str"/>
      <c r="P3254" s="41" t="str"/>
      <c r="Q3254" s="41" t="str"/>
      <c r="R3254" s="41" t="str"/>
      <c r="S3254" s="41" t="str"/>
      <c r="T3254" s="41" t="str"/>
      <c r="U3254" s="41" t="str"/>
      <c r="V3254" s="41" t="str"/>
      <c r="W3254" s="41" t="str"/>
    </row>
    <row r="3255">
      <c r="B3255" s="2" t="n"/>
      <c r="C3255" s="40" t="n"/>
      <c r="D3255" s="52">
        <f t="array" ref="D3255:W3255">IF(All_Students_Scores!C3253:V3253="","",All_Students_Scores!C3253:V3253)</f>
        <v/>
      </c>
      <c r="E3255" s="57" t="str"/>
      <c r="F3255" s="49" t="str"/>
      <c r="G3255" s="59" t="str"/>
      <c r="H3255" s="64" t="str"/>
      <c r="I3255" s="65" t="str"/>
      <c r="J3255" s="49" t="str"/>
      <c r="K3255" s="41" t="str"/>
      <c r="L3255" s="41" t="str"/>
      <c r="M3255" s="41" t="str"/>
      <c r="N3255" s="41" t="str"/>
      <c r="O3255" s="41" t="str"/>
      <c r="P3255" s="41" t="str"/>
      <c r="Q3255" s="41" t="str"/>
      <c r="R3255" s="41" t="str"/>
      <c r="S3255" s="41" t="str"/>
      <c r="T3255" s="41" t="str"/>
      <c r="U3255" s="41" t="str"/>
      <c r="V3255" s="41" t="str"/>
      <c r="W3255" s="41" t="str"/>
    </row>
    <row r="3256">
      <c r="B3256" s="2" t="n"/>
      <c r="C3256" s="40" t="n"/>
      <c r="D3256" s="52">
        <f t="array" ref="D3256:W3256">IF(All_Students_Scores!C3254:V3254="","",All_Students_Scores!C3254:V3254)</f>
        <v/>
      </c>
      <c r="E3256" s="57" t="str"/>
      <c r="F3256" s="49" t="str"/>
      <c r="G3256" s="59" t="str"/>
      <c r="H3256" s="64" t="str"/>
      <c r="I3256" s="65" t="str"/>
      <c r="J3256" s="49" t="str"/>
      <c r="K3256" s="41" t="str"/>
      <c r="L3256" s="41" t="str"/>
      <c r="M3256" s="41" t="str"/>
      <c r="N3256" s="41" t="str"/>
      <c r="O3256" s="41" t="str"/>
      <c r="P3256" s="41" t="str"/>
      <c r="Q3256" s="41" t="str"/>
      <c r="R3256" s="41" t="str"/>
      <c r="S3256" s="41" t="str"/>
      <c r="T3256" s="41" t="str"/>
      <c r="U3256" s="41" t="str"/>
      <c r="V3256" s="41" t="str"/>
      <c r="W3256" s="41" t="str"/>
    </row>
    <row r="3257">
      <c r="B3257" s="2" t="n"/>
      <c r="C3257" s="40" t="n"/>
      <c r="D3257" s="52">
        <f t="array" ref="D3257:W3257">IF(All_Students_Scores!C3255:V3255="","",All_Students_Scores!C3255:V3255)</f>
        <v/>
      </c>
      <c r="E3257" s="57" t="str"/>
      <c r="F3257" s="49" t="str"/>
      <c r="G3257" s="59" t="str"/>
      <c r="H3257" s="64" t="str"/>
      <c r="I3257" s="65" t="str"/>
      <c r="J3257" s="49" t="str"/>
      <c r="K3257" s="41" t="str"/>
      <c r="L3257" s="41" t="str"/>
      <c r="M3257" s="41" t="str"/>
      <c r="N3257" s="41" t="str"/>
      <c r="O3257" s="41" t="str"/>
      <c r="P3257" s="41" t="str"/>
      <c r="Q3257" s="41" t="str"/>
      <c r="R3257" s="41" t="str"/>
      <c r="S3257" s="41" t="str"/>
      <c r="T3257" s="41" t="str"/>
      <c r="U3257" s="41" t="str"/>
      <c r="V3257" s="41" t="str"/>
      <c r="W3257" s="41" t="str"/>
    </row>
    <row r="3258">
      <c r="B3258" s="2" t="n"/>
      <c r="C3258" s="40" t="n"/>
      <c r="D3258" s="52">
        <f t="array" ref="D3258:W3258">IF(All_Students_Scores!C3256:V3256="","",All_Students_Scores!C3256:V3256)</f>
        <v/>
      </c>
      <c r="E3258" s="57" t="str"/>
      <c r="F3258" s="49" t="str"/>
      <c r="G3258" s="59" t="str"/>
      <c r="H3258" s="64" t="str"/>
      <c r="I3258" s="65" t="str"/>
      <c r="J3258" s="49" t="str"/>
      <c r="K3258" s="41" t="str"/>
      <c r="L3258" s="41" t="str"/>
      <c r="M3258" s="41" t="str"/>
      <c r="N3258" s="41" t="str"/>
      <c r="O3258" s="41" t="str"/>
      <c r="P3258" s="41" t="str"/>
      <c r="Q3258" s="41" t="str"/>
      <c r="R3258" s="41" t="str"/>
      <c r="S3258" s="41" t="str"/>
      <c r="T3258" s="41" t="str"/>
      <c r="U3258" s="41" t="str"/>
      <c r="V3258" s="41" t="str"/>
      <c r="W3258" s="41" t="str"/>
    </row>
    <row r="3259">
      <c r="B3259" s="2" t="n"/>
      <c r="C3259" s="40" t="n"/>
      <c r="D3259" s="52">
        <f t="array" ref="D3259:W3259">IF(All_Students_Scores!C3257:V3257="","",All_Students_Scores!C3257:V3257)</f>
        <v/>
      </c>
      <c r="E3259" s="57" t="str"/>
      <c r="F3259" s="49" t="str"/>
      <c r="G3259" s="59" t="str"/>
      <c r="H3259" s="64" t="str"/>
      <c r="I3259" s="65" t="str"/>
      <c r="J3259" s="49" t="str"/>
      <c r="K3259" s="41" t="str"/>
      <c r="L3259" s="41" t="str"/>
      <c r="M3259" s="41" t="str"/>
      <c r="N3259" s="41" t="str"/>
      <c r="O3259" s="41" t="str"/>
      <c r="P3259" s="41" t="str"/>
      <c r="Q3259" s="41" t="str"/>
      <c r="R3259" s="41" t="str"/>
      <c r="S3259" s="41" t="str"/>
      <c r="T3259" s="41" t="str"/>
      <c r="U3259" s="41" t="str"/>
      <c r="V3259" s="41" t="str"/>
      <c r="W3259" s="41" t="str"/>
    </row>
    <row r="3260">
      <c r="B3260" s="2" t="n"/>
      <c r="C3260" s="40" t="n"/>
      <c r="D3260" s="52">
        <f t="array" ref="D3260:W3260">IF(All_Students_Scores!C3258:V3258="","",All_Students_Scores!C3258:V3258)</f>
        <v/>
      </c>
      <c r="E3260" s="57" t="str"/>
      <c r="F3260" s="49" t="str"/>
      <c r="G3260" s="59" t="str"/>
      <c r="H3260" s="64" t="str"/>
      <c r="I3260" s="65" t="str"/>
      <c r="J3260" s="49" t="str"/>
      <c r="K3260" s="41" t="str"/>
      <c r="L3260" s="41" t="str"/>
      <c r="M3260" s="41" t="str"/>
      <c r="N3260" s="41" t="str"/>
      <c r="O3260" s="41" t="str"/>
      <c r="P3260" s="41" t="str"/>
      <c r="Q3260" s="41" t="str"/>
      <c r="R3260" s="41" t="str"/>
      <c r="S3260" s="41" t="str"/>
      <c r="T3260" s="41" t="str"/>
      <c r="U3260" s="41" t="str"/>
      <c r="V3260" s="41" t="str"/>
      <c r="W3260" s="41" t="str"/>
    </row>
    <row r="3261">
      <c r="B3261" s="2" t="n"/>
      <c r="C3261" s="40" t="n"/>
      <c r="D3261" s="52">
        <f t="array" ref="D3261:W3261">IF(All_Students_Scores!C3259:V3259="","",All_Students_Scores!C3259:V3259)</f>
        <v/>
      </c>
      <c r="E3261" s="57" t="str"/>
      <c r="F3261" s="49" t="str"/>
      <c r="G3261" s="59" t="str"/>
      <c r="H3261" s="64" t="str"/>
      <c r="I3261" s="65" t="str"/>
      <c r="J3261" s="49" t="str"/>
      <c r="K3261" s="41" t="str"/>
      <c r="L3261" s="41" t="str"/>
      <c r="M3261" s="41" t="str"/>
      <c r="N3261" s="41" t="str"/>
      <c r="O3261" s="41" t="str"/>
      <c r="P3261" s="41" t="str"/>
      <c r="Q3261" s="41" t="str"/>
      <c r="R3261" s="41" t="str"/>
      <c r="S3261" s="41" t="str"/>
      <c r="T3261" s="41" t="str"/>
      <c r="U3261" s="41" t="str"/>
      <c r="V3261" s="41" t="str"/>
      <c r="W3261" s="41" t="str"/>
    </row>
    <row r="3262">
      <c r="B3262" s="2" t="n"/>
      <c r="C3262" s="40" t="n"/>
      <c r="D3262" s="52">
        <f t="array" ref="D3262:W3262">IF(All_Students_Scores!C3260:V3260="","",All_Students_Scores!C3260:V3260)</f>
        <v/>
      </c>
      <c r="E3262" s="57" t="str"/>
      <c r="F3262" s="49" t="str"/>
      <c r="G3262" s="59" t="str"/>
      <c r="H3262" s="64" t="str"/>
      <c r="I3262" s="65" t="str"/>
      <c r="J3262" s="49" t="str"/>
      <c r="K3262" s="41" t="str"/>
      <c r="L3262" s="41" t="str"/>
      <c r="M3262" s="41" t="str"/>
      <c r="N3262" s="41" t="str"/>
      <c r="O3262" s="41" t="str"/>
      <c r="P3262" s="41" t="str"/>
      <c r="Q3262" s="41" t="str"/>
      <c r="R3262" s="41" t="str"/>
      <c r="S3262" s="41" t="str"/>
      <c r="T3262" s="41" t="str"/>
      <c r="U3262" s="41" t="str"/>
      <c r="V3262" s="41" t="str"/>
      <c r="W3262" s="41" t="str"/>
    </row>
    <row r="3263">
      <c r="B3263" s="2" t="n"/>
      <c r="C3263" s="40" t="n"/>
      <c r="D3263" s="52">
        <f t="array" ref="D3263:W3263">IF(All_Students_Scores!C3261:V3261="","",All_Students_Scores!C3261:V3261)</f>
        <v/>
      </c>
      <c r="E3263" s="57" t="str"/>
      <c r="F3263" s="49" t="str"/>
      <c r="G3263" s="59" t="str"/>
      <c r="H3263" s="64" t="str"/>
      <c r="I3263" s="65" t="str"/>
      <c r="J3263" s="49" t="str"/>
      <c r="K3263" s="41" t="str"/>
      <c r="L3263" s="41" t="str"/>
      <c r="M3263" s="41" t="str"/>
      <c r="N3263" s="41" t="str"/>
      <c r="O3263" s="41" t="str"/>
      <c r="P3263" s="41" t="str"/>
      <c r="Q3263" s="41" t="str"/>
      <c r="R3263" s="41" t="str"/>
      <c r="S3263" s="41" t="str"/>
      <c r="T3263" s="41" t="str"/>
      <c r="U3263" s="41" t="str"/>
      <c r="V3263" s="41" t="str"/>
      <c r="W3263" s="41" t="str"/>
    </row>
    <row r="3264">
      <c r="B3264" s="2" t="n"/>
      <c r="C3264" s="40" t="n"/>
      <c r="D3264" s="52">
        <f t="array" ref="D3264:W3264">IF(All_Students_Scores!C3262:V3262="","",All_Students_Scores!C3262:V3262)</f>
        <v/>
      </c>
      <c r="E3264" s="57" t="str"/>
      <c r="F3264" s="49" t="str"/>
      <c r="G3264" s="59" t="str"/>
      <c r="H3264" s="64" t="str"/>
      <c r="I3264" s="65" t="str"/>
      <c r="J3264" s="49" t="str"/>
      <c r="K3264" s="41" t="str"/>
      <c r="L3264" s="41" t="str"/>
      <c r="M3264" s="41" t="str"/>
      <c r="N3264" s="41" t="str"/>
      <c r="O3264" s="41" t="str"/>
      <c r="P3264" s="41" t="str"/>
      <c r="Q3264" s="41" t="str"/>
      <c r="R3264" s="41" t="str"/>
      <c r="S3264" s="41" t="str"/>
      <c r="T3264" s="41" t="str"/>
      <c r="U3264" s="41" t="str"/>
      <c r="V3264" s="41" t="str"/>
      <c r="W3264" s="41" t="str"/>
    </row>
    <row r="3265">
      <c r="B3265" s="2" t="n"/>
      <c r="C3265" s="40" t="n"/>
      <c r="D3265" s="52">
        <f t="array" ref="D3265:W3265">IF(All_Students_Scores!C3263:V3263="","",All_Students_Scores!C3263:V3263)</f>
        <v/>
      </c>
      <c r="E3265" s="57" t="str"/>
      <c r="F3265" s="49" t="str"/>
      <c r="G3265" s="59" t="str"/>
      <c r="H3265" s="64" t="str"/>
      <c r="I3265" s="65" t="str"/>
      <c r="J3265" s="49" t="str"/>
      <c r="K3265" s="41" t="str"/>
      <c r="L3265" s="41" t="str"/>
      <c r="M3265" s="41" t="str"/>
      <c r="N3265" s="41" t="str"/>
      <c r="O3265" s="41" t="str"/>
      <c r="P3265" s="41" t="str"/>
      <c r="Q3265" s="41" t="str"/>
      <c r="R3265" s="41" t="str"/>
      <c r="S3265" s="41" t="str"/>
      <c r="T3265" s="41" t="str"/>
      <c r="U3265" s="41" t="str"/>
      <c r="V3265" s="41" t="str"/>
      <c r="W3265" s="41" t="str"/>
    </row>
    <row r="3266">
      <c r="B3266" s="2" t="n"/>
      <c r="C3266" s="40" t="n"/>
      <c r="D3266" s="52">
        <f t="array" ref="D3266:W3266">IF(All_Students_Scores!C3264:V3264="","",All_Students_Scores!C3264:V3264)</f>
        <v/>
      </c>
      <c r="E3266" s="57" t="str"/>
      <c r="F3266" s="49" t="str"/>
      <c r="G3266" s="59" t="str"/>
      <c r="H3266" s="64" t="str"/>
      <c r="I3266" s="65" t="str"/>
      <c r="J3266" s="49" t="str"/>
      <c r="K3266" s="41" t="str"/>
      <c r="L3266" s="41" t="str"/>
      <c r="M3266" s="41" t="str"/>
      <c r="N3266" s="41" t="str"/>
      <c r="O3266" s="41" t="str"/>
      <c r="P3266" s="41" t="str"/>
      <c r="Q3266" s="41" t="str"/>
      <c r="R3266" s="41" t="str"/>
      <c r="S3266" s="41" t="str"/>
      <c r="T3266" s="41" t="str"/>
      <c r="U3266" s="41" t="str"/>
      <c r="V3266" s="41" t="str"/>
      <c r="W3266" s="41" t="str"/>
    </row>
    <row r="3267">
      <c r="B3267" s="2" t="n"/>
      <c r="C3267" s="40" t="n"/>
      <c r="D3267" s="52">
        <f t="array" ref="D3267:W3267">IF(All_Students_Scores!C3265:V3265="","",All_Students_Scores!C3265:V3265)</f>
        <v/>
      </c>
      <c r="E3267" s="57" t="str"/>
      <c r="F3267" s="49" t="str"/>
      <c r="G3267" s="59" t="str"/>
      <c r="H3267" s="64" t="str"/>
      <c r="I3267" s="65" t="str"/>
      <c r="J3267" s="49" t="str"/>
      <c r="K3267" s="41" t="str"/>
      <c r="L3267" s="41" t="str"/>
      <c r="M3267" s="41" t="str"/>
      <c r="N3267" s="41" t="str"/>
      <c r="O3267" s="41" t="str"/>
      <c r="P3267" s="41" t="str"/>
      <c r="Q3267" s="41" t="str"/>
      <c r="R3267" s="41" t="str"/>
      <c r="S3267" s="41" t="str"/>
      <c r="T3267" s="41" t="str"/>
      <c r="U3267" s="41" t="str"/>
      <c r="V3267" s="41" t="str"/>
      <c r="W3267" s="41" t="str"/>
    </row>
    <row r="3268">
      <c r="B3268" s="2" t="n"/>
      <c r="C3268" s="40" t="n"/>
      <c r="D3268" s="52">
        <f t="array" ref="D3268:W3268">IF(All_Students_Scores!C3266:V3266="","",All_Students_Scores!C3266:V3266)</f>
        <v/>
      </c>
      <c r="E3268" s="57" t="str"/>
      <c r="F3268" s="49" t="str"/>
      <c r="G3268" s="59" t="str"/>
      <c r="H3268" s="64" t="str"/>
      <c r="I3268" s="65" t="str"/>
      <c r="J3268" s="49" t="str"/>
      <c r="K3268" s="41" t="str"/>
      <c r="L3268" s="41" t="str"/>
      <c r="M3268" s="41" t="str"/>
      <c r="N3268" s="41" t="str"/>
      <c r="O3268" s="41" t="str"/>
      <c r="P3268" s="41" t="str"/>
      <c r="Q3268" s="41" t="str"/>
      <c r="R3268" s="41" t="str"/>
      <c r="S3268" s="41" t="str"/>
      <c r="T3268" s="41" t="str"/>
      <c r="U3268" s="41" t="str"/>
      <c r="V3268" s="41" t="str"/>
      <c r="W3268" s="41" t="str"/>
    </row>
    <row r="3269">
      <c r="B3269" s="2" t="n"/>
      <c r="C3269" s="40" t="n"/>
      <c r="D3269" s="52">
        <f t="array" ref="D3269:W3269">IF(All_Students_Scores!C3267:V3267="","",All_Students_Scores!C3267:V3267)</f>
        <v/>
      </c>
      <c r="E3269" s="57" t="str"/>
      <c r="F3269" s="49" t="str"/>
      <c r="G3269" s="59" t="str"/>
      <c r="H3269" s="64" t="str"/>
      <c r="I3269" s="65" t="str"/>
      <c r="J3269" s="49" t="str"/>
      <c r="K3269" s="41" t="str"/>
      <c r="L3269" s="41" t="str"/>
      <c r="M3269" s="41" t="str"/>
      <c r="N3269" s="41" t="str"/>
      <c r="O3269" s="41" t="str"/>
      <c r="P3269" s="41" t="str"/>
      <c r="Q3269" s="41" t="str"/>
      <c r="R3269" s="41" t="str"/>
      <c r="S3269" s="41" t="str"/>
      <c r="T3269" s="41" t="str"/>
      <c r="U3269" s="41" t="str"/>
      <c r="V3269" s="41" t="str"/>
      <c r="W3269" s="41" t="str"/>
    </row>
    <row r="3270">
      <c r="B3270" s="2" t="n"/>
      <c r="C3270" s="40" t="n"/>
      <c r="D3270" s="52">
        <f t="array" ref="D3270:W3270">IF(All_Students_Scores!C3268:V3268="","",All_Students_Scores!C3268:V3268)</f>
        <v/>
      </c>
      <c r="E3270" s="57" t="str"/>
      <c r="F3270" s="49" t="str"/>
      <c r="G3270" s="59" t="str"/>
      <c r="H3270" s="64" t="str"/>
      <c r="I3270" s="65" t="str"/>
      <c r="J3270" s="49" t="str"/>
      <c r="K3270" s="41" t="str"/>
      <c r="L3270" s="41" t="str"/>
      <c r="M3270" s="41" t="str"/>
      <c r="N3270" s="41" t="str"/>
      <c r="O3270" s="41" t="str"/>
      <c r="P3270" s="41" t="str"/>
      <c r="Q3270" s="41" t="str"/>
      <c r="R3270" s="41" t="str"/>
      <c r="S3270" s="41" t="str"/>
      <c r="T3270" s="41" t="str"/>
      <c r="U3270" s="41" t="str"/>
      <c r="V3270" s="41" t="str"/>
      <c r="W3270" s="41" t="str"/>
    </row>
    <row r="3271">
      <c r="B3271" s="2" t="n"/>
      <c r="C3271" s="40" t="n"/>
      <c r="D3271" s="52">
        <f t="array" ref="D3271:W3271">IF(All_Students_Scores!C3269:V3269="","",All_Students_Scores!C3269:V3269)</f>
        <v/>
      </c>
      <c r="E3271" s="57" t="str"/>
      <c r="F3271" s="49" t="str"/>
      <c r="G3271" s="59" t="str"/>
      <c r="H3271" s="64" t="str"/>
      <c r="I3271" s="65" t="str"/>
      <c r="J3271" s="49" t="str"/>
      <c r="K3271" s="41" t="str"/>
      <c r="L3271" s="41" t="str"/>
      <c r="M3271" s="41" t="str"/>
      <c r="N3271" s="41" t="str"/>
      <c r="O3271" s="41" t="str"/>
      <c r="P3271" s="41" t="str"/>
      <c r="Q3271" s="41" t="str"/>
      <c r="R3271" s="41" t="str"/>
      <c r="S3271" s="41" t="str"/>
      <c r="T3271" s="41" t="str"/>
      <c r="U3271" s="41" t="str"/>
      <c r="V3271" s="41" t="str"/>
      <c r="W3271" s="41" t="str"/>
    </row>
    <row r="3272">
      <c r="B3272" s="2" t="n"/>
      <c r="C3272" s="40" t="n"/>
      <c r="D3272" s="52">
        <f t="array" ref="D3272:W3272">IF(All_Students_Scores!C3270:V3270="","",All_Students_Scores!C3270:V3270)</f>
        <v/>
      </c>
      <c r="E3272" s="57" t="str"/>
      <c r="F3272" s="49" t="str"/>
      <c r="G3272" s="59" t="str"/>
      <c r="H3272" s="64" t="str"/>
      <c r="I3272" s="65" t="str"/>
      <c r="J3272" s="49" t="str"/>
      <c r="K3272" s="41" t="str"/>
      <c r="L3272" s="41" t="str"/>
      <c r="M3272" s="41" t="str"/>
      <c r="N3272" s="41" t="str"/>
      <c r="O3272" s="41" t="str"/>
      <c r="P3272" s="41" t="str"/>
      <c r="Q3272" s="41" t="str"/>
      <c r="R3272" s="41" t="str"/>
      <c r="S3272" s="41" t="str"/>
      <c r="T3272" s="41" t="str"/>
      <c r="U3272" s="41" t="str"/>
      <c r="V3272" s="41" t="str"/>
      <c r="W3272" s="41" t="str"/>
    </row>
    <row r="3273">
      <c r="B3273" s="2" t="n"/>
      <c r="C3273" s="40" t="n"/>
      <c r="D3273" s="52">
        <f t="array" ref="D3273:W3273">IF(All_Students_Scores!C3271:V3271="","",All_Students_Scores!C3271:V3271)</f>
        <v/>
      </c>
      <c r="E3273" s="57" t="str"/>
      <c r="F3273" s="49" t="str"/>
      <c r="G3273" s="59" t="str"/>
      <c r="H3273" s="64" t="str"/>
      <c r="I3273" s="65" t="str"/>
      <c r="J3273" s="49" t="str"/>
      <c r="K3273" s="41" t="str"/>
      <c r="L3273" s="41" t="str"/>
      <c r="M3273" s="41" t="str"/>
      <c r="N3273" s="41" t="str"/>
      <c r="O3273" s="41" t="str"/>
      <c r="P3273" s="41" t="str"/>
      <c r="Q3273" s="41" t="str"/>
      <c r="R3273" s="41" t="str"/>
      <c r="S3273" s="41" t="str"/>
      <c r="T3273" s="41" t="str"/>
      <c r="U3273" s="41" t="str"/>
      <c r="V3273" s="41" t="str"/>
      <c r="W3273" s="41" t="str"/>
    </row>
    <row r="3274">
      <c r="B3274" s="2" t="n"/>
      <c r="C3274" s="40" t="n"/>
      <c r="D3274" s="52">
        <f t="array" ref="D3274:W3274">IF(All_Students_Scores!C3272:V3272="","",All_Students_Scores!C3272:V3272)</f>
        <v/>
      </c>
      <c r="E3274" s="57" t="str"/>
      <c r="F3274" s="49" t="str"/>
      <c r="G3274" s="59" t="str"/>
      <c r="H3274" s="64" t="str"/>
      <c r="I3274" s="65" t="str"/>
      <c r="J3274" s="49" t="str"/>
      <c r="K3274" s="41" t="str"/>
      <c r="L3274" s="41" t="str"/>
      <c r="M3274" s="41" t="str"/>
      <c r="N3274" s="41" t="str"/>
      <c r="O3274" s="41" t="str"/>
      <c r="P3274" s="41" t="str"/>
      <c r="Q3274" s="41" t="str"/>
      <c r="R3274" s="41" t="str"/>
      <c r="S3274" s="41" t="str"/>
      <c r="T3274" s="41" t="str"/>
      <c r="U3274" s="41" t="str"/>
      <c r="V3274" s="41" t="str"/>
      <c r="W3274" s="41" t="str"/>
    </row>
    <row r="3275">
      <c r="B3275" s="2" t="n"/>
      <c r="C3275" s="40" t="n"/>
      <c r="D3275" s="52">
        <f t="array" ref="D3275:W3275">IF(All_Students_Scores!C3273:V3273="","",All_Students_Scores!C3273:V3273)</f>
        <v/>
      </c>
      <c r="E3275" s="57" t="str"/>
      <c r="F3275" s="49" t="str"/>
      <c r="G3275" s="59" t="str"/>
      <c r="H3275" s="64" t="str"/>
      <c r="I3275" s="65" t="str"/>
      <c r="J3275" s="49" t="str"/>
      <c r="K3275" s="41" t="str"/>
      <c r="L3275" s="41" t="str"/>
      <c r="M3275" s="41" t="str"/>
      <c r="N3275" s="41" t="str"/>
      <c r="O3275" s="41" t="str"/>
      <c r="P3275" s="41" t="str"/>
      <c r="Q3275" s="41" t="str"/>
      <c r="R3275" s="41" t="str"/>
      <c r="S3275" s="41" t="str"/>
      <c r="T3275" s="41" t="str"/>
      <c r="U3275" s="41" t="str"/>
      <c r="V3275" s="41" t="str"/>
      <c r="W3275" s="41" t="str"/>
    </row>
    <row r="3276">
      <c r="B3276" s="2" t="n"/>
      <c r="C3276" s="40" t="n"/>
      <c r="D3276" s="52">
        <f t="array" ref="D3276:W3276">IF(All_Students_Scores!C3274:V3274="","",All_Students_Scores!C3274:V3274)</f>
        <v/>
      </c>
      <c r="E3276" s="57" t="str"/>
      <c r="F3276" s="49" t="str"/>
      <c r="G3276" s="59" t="str"/>
      <c r="H3276" s="64" t="str"/>
      <c r="I3276" s="65" t="str"/>
      <c r="J3276" s="49" t="str"/>
      <c r="K3276" s="41" t="str"/>
      <c r="L3276" s="41" t="str"/>
      <c r="M3276" s="41" t="str"/>
      <c r="N3276" s="41" t="str"/>
      <c r="O3276" s="41" t="str"/>
      <c r="P3276" s="41" t="str"/>
      <c r="Q3276" s="41" t="str"/>
      <c r="R3276" s="41" t="str"/>
      <c r="S3276" s="41" t="str"/>
      <c r="T3276" s="41" t="str"/>
      <c r="U3276" s="41" t="str"/>
      <c r="V3276" s="41" t="str"/>
      <c r="W3276" s="41" t="str"/>
    </row>
    <row r="3277">
      <c r="B3277" s="2" t="n"/>
      <c r="C3277" s="40" t="n"/>
      <c r="D3277" s="52">
        <f t="array" ref="D3277:W3277">IF(All_Students_Scores!C3275:V3275="","",All_Students_Scores!C3275:V3275)</f>
        <v/>
      </c>
      <c r="E3277" s="57" t="str"/>
      <c r="F3277" s="49" t="str"/>
      <c r="G3277" s="59" t="str"/>
      <c r="H3277" s="64" t="str"/>
      <c r="I3277" s="65" t="str"/>
      <c r="J3277" s="49" t="str"/>
      <c r="K3277" s="41" t="str"/>
      <c r="L3277" s="41" t="str"/>
      <c r="M3277" s="41" t="str"/>
      <c r="N3277" s="41" t="str"/>
      <c r="O3277" s="41" t="str"/>
      <c r="P3277" s="41" t="str"/>
      <c r="Q3277" s="41" t="str"/>
      <c r="R3277" s="41" t="str"/>
      <c r="S3277" s="41" t="str"/>
      <c r="T3277" s="41" t="str"/>
      <c r="U3277" s="41" t="str"/>
      <c r="V3277" s="41" t="str"/>
      <c r="W3277" s="41" t="str"/>
    </row>
    <row r="3278">
      <c r="B3278" s="2" t="n"/>
      <c r="C3278" s="40" t="n"/>
      <c r="D3278" s="52">
        <f t="array" ref="D3278:W3278">IF(All_Students_Scores!C3276:V3276="","",All_Students_Scores!C3276:V3276)</f>
        <v/>
      </c>
      <c r="E3278" s="57" t="str"/>
      <c r="F3278" s="49" t="str"/>
      <c r="G3278" s="59" t="str"/>
      <c r="H3278" s="64" t="str"/>
      <c r="I3278" s="65" t="str"/>
      <c r="J3278" s="49" t="str"/>
      <c r="K3278" s="41" t="str"/>
      <c r="L3278" s="41" t="str"/>
      <c r="M3278" s="41" t="str"/>
      <c r="N3278" s="41" t="str"/>
      <c r="O3278" s="41" t="str"/>
      <c r="P3278" s="41" t="str"/>
      <c r="Q3278" s="41" t="str"/>
      <c r="R3278" s="41" t="str"/>
      <c r="S3278" s="41" t="str"/>
      <c r="T3278" s="41" t="str"/>
      <c r="U3278" s="41" t="str"/>
      <c r="V3278" s="41" t="str"/>
      <c r="W3278" s="41" t="str"/>
    </row>
    <row r="3279">
      <c r="B3279" s="2" t="n"/>
      <c r="C3279" s="40" t="n"/>
      <c r="D3279" s="52">
        <f t="array" ref="D3279:W3279">IF(All_Students_Scores!C3277:V3277="","",All_Students_Scores!C3277:V3277)</f>
        <v/>
      </c>
      <c r="E3279" s="57" t="str"/>
      <c r="F3279" s="49" t="str"/>
      <c r="G3279" s="59" t="str"/>
      <c r="H3279" s="64" t="str"/>
      <c r="I3279" s="65" t="str"/>
      <c r="J3279" s="49" t="str"/>
      <c r="K3279" s="41" t="str"/>
      <c r="L3279" s="41" t="str"/>
      <c r="M3279" s="41" t="str"/>
      <c r="N3279" s="41" t="str"/>
      <c r="O3279" s="41" t="str"/>
      <c r="P3279" s="41" t="str"/>
      <c r="Q3279" s="41" t="str"/>
      <c r="R3279" s="41" t="str"/>
      <c r="S3279" s="41" t="str"/>
      <c r="T3279" s="41" t="str"/>
      <c r="U3279" s="41" t="str"/>
      <c r="V3279" s="41" t="str"/>
      <c r="W3279" s="41" t="str"/>
    </row>
    <row r="3280">
      <c r="B3280" s="2" t="n"/>
      <c r="C3280" s="40" t="n"/>
      <c r="D3280" s="52">
        <f t="array" ref="D3280:W3280">IF(All_Students_Scores!C3278:V3278="","",All_Students_Scores!C3278:V3278)</f>
        <v/>
      </c>
      <c r="E3280" s="57" t="str"/>
      <c r="F3280" s="49" t="str"/>
      <c r="G3280" s="59" t="str"/>
      <c r="H3280" s="64" t="str"/>
      <c r="I3280" s="65" t="str"/>
      <c r="J3280" s="49" t="str"/>
      <c r="K3280" s="41" t="str"/>
      <c r="L3280" s="41" t="str"/>
      <c r="M3280" s="41" t="str"/>
      <c r="N3280" s="41" t="str"/>
      <c r="O3280" s="41" t="str"/>
      <c r="P3280" s="41" t="str"/>
      <c r="Q3280" s="41" t="str"/>
      <c r="R3280" s="41" t="str"/>
      <c r="S3280" s="41" t="str"/>
      <c r="T3280" s="41" t="str"/>
      <c r="U3280" s="41" t="str"/>
      <c r="V3280" s="41" t="str"/>
      <c r="W3280" s="41" t="str"/>
    </row>
    <row r="3281">
      <c r="B3281" s="2" t="n"/>
      <c r="C3281" s="40" t="n"/>
      <c r="D3281" s="52">
        <f t="array" ref="D3281:W3281">IF(All_Students_Scores!C3279:V3279="","",All_Students_Scores!C3279:V3279)</f>
        <v/>
      </c>
      <c r="E3281" s="57" t="str"/>
      <c r="F3281" s="49" t="str"/>
      <c r="G3281" s="59" t="str"/>
      <c r="H3281" s="64" t="str"/>
      <c r="I3281" s="65" t="str"/>
      <c r="J3281" s="49" t="str"/>
      <c r="K3281" s="41" t="str"/>
      <c r="L3281" s="41" t="str"/>
      <c r="M3281" s="41" t="str"/>
      <c r="N3281" s="41" t="str"/>
      <c r="O3281" s="41" t="str"/>
      <c r="P3281" s="41" t="str"/>
      <c r="Q3281" s="41" t="str"/>
      <c r="R3281" s="41" t="str"/>
      <c r="S3281" s="41" t="str"/>
      <c r="T3281" s="41" t="str"/>
      <c r="U3281" s="41" t="str"/>
      <c r="V3281" s="41" t="str"/>
      <c r="W3281" s="41" t="str"/>
    </row>
    <row r="3282">
      <c r="B3282" s="2" t="n"/>
      <c r="C3282" s="40" t="n"/>
      <c r="D3282" s="52">
        <f t="array" ref="D3282:W3282">IF(All_Students_Scores!C3280:V3280="","",All_Students_Scores!C3280:V3280)</f>
        <v/>
      </c>
      <c r="E3282" s="57" t="str"/>
      <c r="F3282" s="49" t="str"/>
      <c r="G3282" s="59" t="str"/>
      <c r="H3282" s="64" t="str"/>
      <c r="I3282" s="65" t="str"/>
      <c r="J3282" s="49" t="str"/>
      <c r="K3282" s="41" t="str"/>
      <c r="L3282" s="41" t="str"/>
      <c r="M3282" s="41" t="str"/>
      <c r="N3282" s="41" t="str"/>
      <c r="O3282" s="41" t="str"/>
      <c r="P3282" s="41" t="str"/>
      <c r="Q3282" s="41" t="str"/>
      <c r="R3282" s="41" t="str"/>
      <c r="S3282" s="41" t="str"/>
      <c r="T3282" s="41" t="str"/>
      <c r="U3282" s="41" t="str"/>
      <c r="V3282" s="41" t="str"/>
      <c r="W3282" s="41" t="str"/>
    </row>
    <row r="3283">
      <c r="B3283" s="2" t="n"/>
      <c r="C3283" s="40" t="n"/>
      <c r="D3283" s="52">
        <f t="array" ref="D3283:W3283">IF(All_Students_Scores!C3281:V3281="","",All_Students_Scores!C3281:V3281)</f>
        <v/>
      </c>
      <c r="E3283" s="57" t="str"/>
      <c r="F3283" s="49" t="str"/>
      <c r="G3283" s="59" t="str"/>
      <c r="H3283" s="64" t="str"/>
      <c r="I3283" s="65" t="str"/>
      <c r="J3283" s="49" t="str"/>
      <c r="K3283" s="41" t="str"/>
      <c r="L3283" s="41" t="str"/>
      <c r="M3283" s="41" t="str"/>
      <c r="N3283" s="41" t="str"/>
      <c r="O3283" s="41" t="str"/>
      <c r="P3283" s="41" t="str"/>
      <c r="Q3283" s="41" t="str"/>
      <c r="R3283" s="41" t="str"/>
      <c r="S3283" s="41" t="str"/>
      <c r="T3283" s="41" t="str"/>
      <c r="U3283" s="41" t="str"/>
      <c r="V3283" s="41" t="str"/>
      <c r="W3283" s="41" t="str"/>
    </row>
    <row r="3284">
      <c r="B3284" s="2" t="n"/>
      <c r="C3284" s="40" t="n"/>
      <c r="D3284" s="52">
        <f t="array" ref="D3284:W3284">IF(All_Students_Scores!C3282:V3282="","",All_Students_Scores!C3282:V3282)</f>
        <v/>
      </c>
      <c r="E3284" s="57" t="str"/>
      <c r="F3284" s="49" t="str"/>
      <c r="G3284" s="59" t="str"/>
      <c r="H3284" s="64" t="str"/>
      <c r="I3284" s="65" t="str"/>
      <c r="J3284" s="49" t="str"/>
      <c r="K3284" s="41" t="str"/>
      <c r="L3284" s="41" t="str"/>
      <c r="M3284" s="41" t="str"/>
      <c r="N3284" s="41" t="str"/>
      <c r="O3284" s="41" t="str"/>
      <c r="P3284" s="41" t="str"/>
      <c r="Q3284" s="41" t="str"/>
      <c r="R3284" s="41" t="str"/>
      <c r="S3284" s="41" t="str"/>
      <c r="T3284" s="41" t="str"/>
      <c r="U3284" s="41" t="str"/>
      <c r="V3284" s="41" t="str"/>
      <c r="W3284" s="41" t="str"/>
    </row>
    <row r="3285">
      <c r="B3285" s="2" t="n"/>
      <c r="C3285" s="40" t="n"/>
      <c r="D3285" s="52">
        <f t="array" ref="D3285:W3285">IF(All_Students_Scores!C3283:V3283="","",All_Students_Scores!C3283:V3283)</f>
        <v/>
      </c>
      <c r="E3285" s="57" t="str"/>
      <c r="F3285" s="49" t="str"/>
      <c r="G3285" s="59" t="str"/>
      <c r="H3285" s="64" t="str"/>
      <c r="I3285" s="65" t="str"/>
      <c r="J3285" s="49" t="str"/>
      <c r="K3285" s="41" t="str"/>
      <c r="L3285" s="41" t="str"/>
      <c r="M3285" s="41" t="str"/>
      <c r="N3285" s="41" t="str"/>
      <c r="O3285" s="41" t="str"/>
      <c r="P3285" s="41" t="str"/>
      <c r="Q3285" s="41" t="str"/>
      <c r="R3285" s="41" t="str"/>
      <c r="S3285" s="41" t="str"/>
      <c r="T3285" s="41" t="str"/>
      <c r="U3285" s="41" t="str"/>
      <c r="V3285" s="41" t="str"/>
      <c r="W3285" s="41" t="str"/>
    </row>
    <row r="3286">
      <c r="B3286" s="2" t="n"/>
      <c r="C3286" s="40" t="n"/>
      <c r="D3286" s="52">
        <f t="array" ref="D3286:W3286">IF(All_Students_Scores!C3284:V3284="","",All_Students_Scores!C3284:V3284)</f>
        <v/>
      </c>
      <c r="E3286" s="57" t="str"/>
      <c r="F3286" s="49" t="str"/>
      <c r="G3286" s="59" t="str"/>
      <c r="H3286" s="64" t="str"/>
      <c r="I3286" s="65" t="str"/>
      <c r="J3286" s="49" t="str"/>
      <c r="K3286" s="41" t="str"/>
      <c r="L3286" s="41" t="str"/>
      <c r="M3286" s="41" t="str"/>
      <c r="N3286" s="41" t="str"/>
      <c r="O3286" s="41" t="str"/>
      <c r="P3286" s="41" t="str"/>
      <c r="Q3286" s="41" t="str"/>
      <c r="R3286" s="41" t="str"/>
      <c r="S3286" s="41" t="str"/>
      <c r="T3286" s="41" t="str"/>
      <c r="U3286" s="41" t="str"/>
      <c r="V3286" s="41" t="str"/>
      <c r="W3286" s="41" t="str"/>
    </row>
    <row r="3287">
      <c r="B3287" s="2" t="n"/>
      <c r="C3287" s="40" t="n"/>
      <c r="D3287" s="52">
        <f t="array" ref="D3287:W3287">IF(All_Students_Scores!C3285:V3285="","",All_Students_Scores!C3285:V3285)</f>
        <v/>
      </c>
      <c r="E3287" s="57" t="str"/>
      <c r="F3287" s="49" t="str"/>
      <c r="G3287" s="59" t="str"/>
      <c r="H3287" s="64" t="str"/>
      <c r="I3287" s="65" t="str"/>
      <c r="J3287" s="49" t="str"/>
      <c r="K3287" s="41" t="str"/>
      <c r="L3287" s="41" t="str"/>
      <c r="M3287" s="41" t="str"/>
      <c r="N3287" s="41" t="str"/>
      <c r="O3287" s="41" t="str"/>
      <c r="P3287" s="41" t="str"/>
      <c r="Q3287" s="41" t="str"/>
      <c r="R3287" s="41" t="str"/>
      <c r="S3287" s="41" t="str"/>
      <c r="T3287" s="41" t="str"/>
      <c r="U3287" s="41" t="str"/>
      <c r="V3287" s="41" t="str"/>
      <c r="W3287" s="41" t="str"/>
    </row>
    <row r="3288">
      <c r="B3288" s="2" t="n"/>
      <c r="C3288" s="40" t="n"/>
      <c r="D3288" s="52">
        <f t="array" ref="D3288:W3288">IF(All_Students_Scores!C3286:V3286="","",All_Students_Scores!C3286:V3286)</f>
        <v/>
      </c>
      <c r="E3288" s="57" t="str"/>
      <c r="F3288" s="49" t="str"/>
      <c r="G3288" s="59" t="str"/>
      <c r="H3288" s="64" t="str"/>
      <c r="I3288" s="65" t="str"/>
      <c r="J3288" s="49" t="str"/>
      <c r="K3288" s="41" t="str"/>
      <c r="L3288" s="41" t="str"/>
      <c r="M3288" s="41" t="str"/>
      <c r="N3288" s="41" t="str"/>
      <c r="O3288" s="41" t="str"/>
      <c r="P3288" s="41" t="str"/>
      <c r="Q3288" s="41" t="str"/>
      <c r="R3288" s="41" t="str"/>
      <c r="S3288" s="41" t="str"/>
      <c r="T3288" s="41" t="str"/>
      <c r="U3288" s="41" t="str"/>
      <c r="V3288" s="41" t="str"/>
      <c r="W3288" s="41" t="str"/>
    </row>
    <row r="3289">
      <c r="B3289" s="2" t="n"/>
      <c r="C3289" s="40" t="n"/>
      <c r="D3289" s="52">
        <f t="array" ref="D3289:W3289">IF(All_Students_Scores!C3287:V3287="","",All_Students_Scores!C3287:V3287)</f>
        <v/>
      </c>
      <c r="E3289" s="57" t="str"/>
      <c r="F3289" s="49" t="str"/>
      <c r="G3289" s="59" t="str"/>
      <c r="H3289" s="64" t="str"/>
      <c r="I3289" s="65" t="str"/>
      <c r="J3289" s="49" t="str"/>
      <c r="K3289" s="41" t="str"/>
      <c r="L3289" s="41" t="str"/>
      <c r="M3289" s="41" t="str"/>
      <c r="N3289" s="41" t="str"/>
      <c r="O3289" s="41" t="str"/>
      <c r="P3289" s="41" t="str"/>
      <c r="Q3289" s="41" t="str"/>
      <c r="R3289" s="41" t="str"/>
      <c r="S3289" s="41" t="str"/>
      <c r="T3289" s="41" t="str"/>
      <c r="U3289" s="41" t="str"/>
      <c r="V3289" s="41" t="str"/>
      <c r="W3289" s="41" t="str"/>
    </row>
    <row r="3290">
      <c r="B3290" s="2" t="n"/>
      <c r="C3290" s="40" t="n"/>
      <c r="D3290" s="52">
        <f t="array" ref="D3290:W3290">IF(All_Students_Scores!C3288:V3288="","",All_Students_Scores!C3288:V3288)</f>
        <v/>
      </c>
      <c r="E3290" s="57" t="str"/>
      <c r="F3290" s="49" t="str"/>
      <c r="G3290" s="59" t="str"/>
      <c r="H3290" s="64" t="str"/>
      <c r="I3290" s="65" t="str"/>
      <c r="J3290" s="49" t="str"/>
      <c r="K3290" s="41" t="str"/>
      <c r="L3290" s="41" t="str"/>
      <c r="M3290" s="41" t="str"/>
      <c r="N3290" s="41" t="str"/>
      <c r="O3290" s="41" t="str"/>
      <c r="P3290" s="41" t="str"/>
      <c r="Q3290" s="41" t="str"/>
      <c r="R3290" s="41" t="str"/>
      <c r="S3290" s="41" t="str"/>
      <c r="T3290" s="41" t="str"/>
      <c r="U3290" s="41" t="str"/>
      <c r="V3290" s="41" t="str"/>
      <c r="W3290" s="41" t="str"/>
    </row>
    <row r="3291">
      <c r="B3291" s="2" t="n"/>
      <c r="C3291" s="40" t="n"/>
      <c r="D3291" s="52">
        <f t="array" ref="D3291:W3291">IF(All_Students_Scores!C3289:V3289="","",All_Students_Scores!C3289:V3289)</f>
        <v/>
      </c>
      <c r="E3291" s="57" t="str"/>
      <c r="F3291" s="49" t="str"/>
      <c r="G3291" s="59" t="str"/>
      <c r="H3291" s="64" t="str"/>
      <c r="I3291" s="65" t="str"/>
      <c r="J3291" s="49" t="str"/>
      <c r="K3291" s="41" t="str"/>
      <c r="L3291" s="41" t="str"/>
      <c r="M3291" s="41" t="str"/>
      <c r="N3291" s="41" t="str"/>
      <c r="O3291" s="41" t="str"/>
      <c r="P3291" s="41" t="str"/>
      <c r="Q3291" s="41" t="str"/>
      <c r="R3291" s="41" t="str"/>
      <c r="S3291" s="41" t="str"/>
      <c r="T3291" s="41" t="str"/>
      <c r="U3291" s="41" t="str"/>
      <c r="V3291" s="41" t="str"/>
      <c r="W3291" s="41" t="str"/>
    </row>
    <row r="3292">
      <c r="B3292" s="2" t="n"/>
      <c r="C3292" s="40" t="n"/>
      <c r="D3292" s="52">
        <f t="array" ref="D3292:W3292">IF(All_Students_Scores!C3290:V3290="","",All_Students_Scores!C3290:V3290)</f>
        <v/>
      </c>
      <c r="E3292" s="57" t="str"/>
      <c r="F3292" s="49" t="str"/>
      <c r="G3292" s="59" t="str"/>
      <c r="H3292" s="64" t="str"/>
      <c r="I3292" s="65" t="str"/>
      <c r="J3292" s="49" t="str"/>
      <c r="K3292" s="41" t="str"/>
      <c r="L3292" s="41" t="str"/>
      <c r="M3292" s="41" t="str"/>
      <c r="N3292" s="41" t="str"/>
      <c r="O3292" s="41" t="str"/>
      <c r="P3292" s="41" t="str"/>
      <c r="Q3292" s="41" t="str"/>
      <c r="R3292" s="41" t="str"/>
      <c r="S3292" s="41" t="str"/>
      <c r="T3292" s="41" t="str"/>
      <c r="U3292" s="41" t="str"/>
      <c r="V3292" s="41" t="str"/>
      <c r="W3292" s="41" t="str"/>
    </row>
    <row r="3293">
      <c r="B3293" s="2" t="n"/>
      <c r="C3293" s="40" t="n"/>
      <c r="D3293" s="52">
        <f t="array" ref="D3293:W3293">IF(All_Students_Scores!C3291:V3291="","",All_Students_Scores!C3291:V3291)</f>
        <v/>
      </c>
      <c r="E3293" s="57" t="str"/>
      <c r="F3293" s="49" t="str"/>
      <c r="G3293" s="59" t="str"/>
      <c r="H3293" s="64" t="str"/>
      <c r="I3293" s="65" t="str"/>
      <c r="J3293" s="49" t="str"/>
      <c r="K3293" s="41" t="str"/>
      <c r="L3293" s="41" t="str"/>
      <c r="M3293" s="41" t="str"/>
      <c r="N3293" s="41" t="str"/>
      <c r="O3293" s="41" t="str"/>
      <c r="P3293" s="41" t="str"/>
      <c r="Q3293" s="41" t="str"/>
      <c r="R3293" s="41" t="str"/>
      <c r="S3293" s="41" t="str"/>
      <c r="T3293" s="41" t="str"/>
      <c r="U3293" s="41" t="str"/>
      <c r="V3293" s="41" t="str"/>
      <c r="W3293" s="41" t="str"/>
    </row>
    <row r="3294">
      <c r="B3294" s="2" t="n"/>
      <c r="C3294" s="40" t="n"/>
      <c r="D3294" s="52">
        <f t="array" ref="D3294:W3294">IF(All_Students_Scores!C3292:V3292="","",All_Students_Scores!C3292:V3292)</f>
        <v/>
      </c>
      <c r="E3294" s="57" t="str"/>
      <c r="F3294" s="49" t="str"/>
      <c r="G3294" s="59" t="str"/>
      <c r="H3294" s="64" t="str"/>
      <c r="I3294" s="65" t="str"/>
      <c r="J3294" s="49" t="str"/>
      <c r="K3294" s="41" t="str"/>
      <c r="L3294" s="41" t="str"/>
      <c r="M3294" s="41" t="str"/>
      <c r="N3294" s="41" t="str"/>
      <c r="O3294" s="41" t="str"/>
      <c r="P3294" s="41" t="str"/>
      <c r="Q3294" s="41" t="str"/>
      <c r="R3294" s="41" t="str"/>
      <c r="S3294" s="41" t="str"/>
      <c r="T3294" s="41" t="str"/>
      <c r="U3294" s="41" t="str"/>
      <c r="V3294" s="41" t="str"/>
      <c r="W3294" s="41" t="str"/>
    </row>
    <row r="3295">
      <c r="B3295" s="2" t="n"/>
      <c r="C3295" s="40" t="n"/>
      <c r="D3295" s="52">
        <f t="array" ref="D3295:W3295">IF(All_Students_Scores!C3293:V3293="","",All_Students_Scores!C3293:V3293)</f>
        <v/>
      </c>
      <c r="E3295" s="57" t="str"/>
      <c r="F3295" s="49" t="str"/>
      <c r="G3295" s="59" t="str"/>
      <c r="H3295" s="64" t="str"/>
      <c r="I3295" s="65" t="str"/>
      <c r="J3295" s="49" t="str"/>
      <c r="K3295" s="41" t="str"/>
      <c r="L3295" s="41" t="str"/>
      <c r="M3295" s="41" t="str"/>
      <c r="N3295" s="41" t="str"/>
      <c r="O3295" s="41" t="str"/>
      <c r="P3295" s="41" t="str"/>
      <c r="Q3295" s="41" t="str"/>
      <c r="R3295" s="41" t="str"/>
      <c r="S3295" s="41" t="str"/>
      <c r="T3295" s="41" t="str"/>
      <c r="U3295" s="41" t="str"/>
      <c r="V3295" s="41" t="str"/>
      <c r="W3295" s="41" t="str"/>
    </row>
    <row r="3296">
      <c r="B3296" s="2" t="n"/>
      <c r="C3296" s="40" t="n"/>
      <c r="D3296" s="52">
        <f t="array" ref="D3296:W3296">IF(All_Students_Scores!C3294:V3294="","",All_Students_Scores!C3294:V3294)</f>
        <v/>
      </c>
      <c r="E3296" s="57" t="str"/>
      <c r="F3296" s="49" t="str"/>
      <c r="G3296" s="59" t="str"/>
      <c r="H3296" s="64" t="str"/>
      <c r="I3296" s="65" t="str"/>
      <c r="J3296" s="49" t="str"/>
      <c r="K3296" s="41" t="str"/>
      <c r="L3296" s="41" t="str"/>
      <c r="M3296" s="41" t="str"/>
      <c r="N3296" s="41" t="str"/>
      <c r="O3296" s="41" t="str"/>
      <c r="P3296" s="41" t="str"/>
      <c r="Q3296" s="41" t="str"/>
      <c r="R3296" s="41" t="str"/>
      <c r="S3296" s="41" t="str"/>
      <c r="T3296" s="41" t="str"/>
      <c r="U3296" s="41" t="str"/>
      <c r="V3296" s="41" t="str"/>
      <c r="W3296" s="41" t="str"/>
    </row>
    <row r="3297">
      <c r="B3297" s="2" t="n"/>
      <c r="C3297" s="40" t="n"/>
      <c r="D3297" s="52">
        <f t="array" ref="D3297:W3297">IF(All_Students_Scores!C3295:V3295="","",All_Students_Scores!C3295:V3295)</f>
        <v/>
      </c>
      <c r="E3297" s="57" t="str"/>
      <c r="F3297" s="49" t="str"/>
      <c r="G3297" s="59" t="str"/>
      <c r="H3297" s="64" t="str"/>
      <c r="I3297" s="65" t="str"/>
      <c r="J3297" s="49" t="str"/>
      <c r="K3297" s="41" t="str"/>
      <c r="L3297" s="41" t="str"/>
      <c r="M3297" s="41" t="str"/>
      <c r="N3297" s="41" t="str"/>
      <c r="O3297" s="41" t="str"/>
      <c r="P3297" s="41" t="str"/>
      <c r="Q3297" s="41" t="str"/>
      <c r="R3297" s="41" t="str"/>
      <c r="S3297" s="41" t="str"/>
      <c r="T3297" s="41" t="str"/>
      <c r="U3297" s="41" t="str"/>
      <c r="V3297" s="41" t="str"/>
      <c r="W3297" s="41" t="str"/>
    </row>
    <row r="3298">
      <c r="B3298" s="2" t="n"/>
      <c r="C3298" s="40" t="n"/>
      <c r="D3298" s="52">
        <f t="array" ref="D3298:W3298">IF(All_Students_Scores!C3296:V3296="","",All_Students_Scores!C3296:V3296)</f>
        <v/>
      </c>
      <c r="E3298" s="57" t="str"/>
      <c r="F3298" s="49" t="str"/>
      <c r="G3298" s="59" t="str"/>
      <c r="H3298" s="64" t="str"/>
      <c r="I3298" s="65" t="str"/>
      <c r="J3298" s="49" t="str"/>
      <c r="K3298" s="41" t="str"/>
      <c r="L3298" s="41" t="str"/>
      <c r="M3298" s="41" t="str"/>
      <c r="N3298" s="41" t="str"/>
      <c r="O3298" s="41" t="str"/>
      <c r="P3298" s="41" t="str"/>
      <c r="Q3298" s="41" t="str"/>
      <c r="R3298" s="41" t="str"/>
      <c r="S3298" s="41" t="str"/>
      <c r="T3298" s="41" t="str"/>
      <c r="U3298" s="41" t="str"/>
      <c r="V3298" s="41" t="str"/>
      <c r="W3298" s="41" t="str"/>
    </row>
    <row r="3299">
      <c r="B3299" s="2" t="n"/>
      <c r="C3299" s="40" t="n"/>
      <c r="D3299" s="52">
        <f t="array" ref="D3299:W3299">IF(All_Students_Scores!C3297:V3297="","",All_Students_Scores!C3297:V3297)</f>
        <v/>
      </c>
      <c r="E3299" s="57" t="str"/>
      <c r="F3299" s="49" t="str"/>
      <c r="G3299" s="59" t="str"/>
      <c r="H3299" s="64" t="str"/>
      <c r="I3299" s="65" t="str"/>
      <c r="J3299" s="49" t="str"/>
      <c r="K3299" s="41" t="str"/>
      <c r="L3299" s="41" t="str"/>
      <c r="M3299" s="41" t="str"/>
      <c r="N3299" s="41" t="str"/>
      <c r="O3299" s="41" t="str"/>
      <c r="P3299" s="41" t="str"/>
      <c r="Q3299" s="41" t="str"/>
      <c r="R3299" s="41" t="str"/>
      <c r="S3299" s="41" t="str"/>
      <c r="T3299" s="41" t="str"/>
      <c r="U3299" s="41" t="str"/>
      <c r="V3299" s="41" t="str"/>
      <c r="W3299" s="41" t="str"/>
    </row>
    <row r="3300">
      <c r="B3300" s="2" t="n"/>
      <c r="C3300" s="40" t="n"/>
      <c r="D3300" s="52">
        <f t="array" ref="D3300:W3300">IF(All_Students_Scores!C3298:V3298="","",All_Students_Scores!C3298:V3298)</f>
        <v/>
      </c>
      <c r="E3300" s="57" t="str"/>
      <c r="F3300" s="49" t="str"/>
      <c r="G3300" s="59" t="str"/>
      <c r="H3300" s="64" t="str"/>
      <c r="I3300" s="65" t="str"/>
      <c r="J3300" s="49" t="str"/>
      <c r="K3300" s="41" t="str"/>
      <c r="L3300" s="41" t="str"/>
      <c r="M3300" s="41" t="str"/>
      <c r="N3300" s="41" t="str"/>
      <c r="O3300" s="41" t="str"/>
      <c r="P3300" s="41" t="str"/>
      <c r="Q3300" s="41" t="str"/>
      <c r="R3300" s="41" t="str"/>
      <c r="S3300" s="41" t="str"/>
      <c r="T3300" s="41" t="str"/>
      <c r="U3300" s="41" t="str"/>
      <c r="V3300" s="41" t="str"/>
      <c r="W3300" s="41" t="str"/>
    </row>
    <row r="3301">
      <c r="B3301" s="2" t="n"/>
      <c r="C3301" s="40" t="n"/>
      <c r="D3301" s="52">
        <f t="array" ref="D3301:W3301">IF(All_Students_Scores!C3299:V3299="","",All_Students_Scores!C3299:V3299)</f>
        <v/>
      </c>
      <c r="E3301" s="57" t="str"/>
      <c r="F3301" s="49" t="str"/>
      <c r="G3301" s="59" t="str"/>
      <c r="H3301" s="64" t="str"/>
      <c r="I3301" s="65" t="str"/>
      <c r="J3301" s="49" t="str"/>
      <c r="K3301" s="41" t="str"/>
      <c r="L3301" s="41" t="str"/>
      <c r="M3301" s="41" t="str"/>
      <c r="N3301" s="41" t="str"/>
      <c r="O3301" s="41" t="str"/>
      <c r="P3301" s="41" t="str"/>
      <c r="Q3301" s="41" t="str"/>
      <c r="R3301" s="41" t="str"/>
      <c r="S3301" s="41" t="str"/>
      <c r="T3301" s="41" t="str"/>
      <c r="U3301" s="41" t="str"/>
      <c r="V3301" s="41" t="str"/>
      <c r="W3301" s="41" t="str"/>
    </row>
    <row r="3302">
      <c r="B3302" s="2" t="n"/>
      <c r="C3302" s="40" t="n"/>
      <c r="D3302" s="52">
        <f t="array" ref="D3302:W3302">IF(All_Students_Scores!C3300:V3300="","",All_Students_Scores!C3300:V3300)</f>
        <v/>
      </c>
      <c r="E3302" s="57" t="str"/>
      <c r="F3302" s="49" t="str"/>
      <c r="G3302" s="59" t="str"/>
      <c r="H3302" s="64" t="str"/>
      <c r="I3302" s="65" t="str"/>
      <c r="J3302" s="49" t="str"/>
      <c r="K3302" s="41" t="str"/>
      <c r="L3302" s="41" t="str"/>
      <c r="M3302" s="41" t="str"/>
      <c r="N3302" s="41" t="str"/>
      <c r="O3302" s="41" t="str"/>
      <c r="P3302" s="41" t="str"/>
      <c r="Q3302" s="41" t="str"/>
      <c r="R3302" s="41" t="str"/>
      <c r="S3302" s="41" t="str"/>
      <c r="T3302" s="41" t="str"/>
      <c r="U3302" s="41" t="str"/>
      <c r="V3302" s="41" t="str"/>
      <c r="W3302" s="41" t="str"/>
    </row>
    <row r="3303">
      <c r="B3303" s="2" t="n"/>
      <c r="C3303" s="40" t="n"/>
      <c r="D3303" s="52">
        <f t="array" ref="D3303:W3303">IF(All_Students_Scores!C3301:V3301="","",All_Students_Scores!C3301:V3301)</f>
        <v/>
      </c>
      <c r="E3303" s="57" t="str"/>
      <c r="F3303" s="49" t="str"/>
      <c r="G3303" s="59" t="str"/>
      <c r="H3303" s="64" t="str"/>
      <c r="I3303" s="65" t="str"/>
      <c r="J3303" s="49" t="str"/>
      <c r="K3303" s="41" t="str"/>
      <c r="L3303" s="41" t="str"/>
      <c r="M3303" s="41" t="str"/>
      <c r="N3303" s="41" t="str"/>
      <c r="O3303" s="41" t="str"/>
      <c r="P3303" s="41" t="str"/>
      <c r="Q3303" s="41" t="str"/>
      <c r="R3303" s="41" t="str"/>
      <c r="S3303" s="41" t="str"/>
      <c r="T3303" s="41" t="str"/>
      <c r="U3303" s="41" t="str"/>
      <c r="V3303" s="41" t="str"/>
      <c r="W3303" s="41" t="str"/>
    </row>
    <row r="3304">
      <c r="B3304" s="2" t="n"/>
      <c r="C3304" s="40" t="n"/>
      <c r="D3304" s="52">
        <f t="array" ref="D3304:W3304">IF(All_Students_Scores!C3302:V3302="","",All_Students_Scores!C3302:V3302)</f>
        <v/>
      </c>
      <c r="E3304" s="57" t="str"/>
      <c r="F3304" s="49" t="str"/>
      <c r="G3304" s="59" t="str"/>
      <c r="H3304" s="64" t="str"/>
      <c r="I3304" s="65" t="str"/>
      <c r="J3304" s="49" t="str"/>
      <c r="K3304" s="41" t="str"/>
      <c r="L3304" s="41" t="str"/>
      <c r="M3304" s="41" t="str"/>
      <c r="N3304" s="41" t="str"/>
      <c r="O3304" s="41" t="str"/>
      <c r="P3304" s="41" t="str"/>
      <c r="Q3304" s="41" t="str"/>
      <c r="R3304" s="41" t="str"/>
      <c r="S3304" s="41" t="str"/>
      <c r="T3304" s="41" t="str"/>
      <c r="U3304" s="41" t="str"/>
      <c r="V3304" s="41" t="str"/>
      <c r="W3304" s="41" t="str"/>
    </row>
    <row r="3305">
      <c r="B3305" s="2" t="n"/>
      <c r="C3305" s="40" t="n"/>
      <c r="D3305" s="52">
        <f t="array" ref="D3305:W3305">IF(All_Students_Scores!C3303:V3303="","",All_Students_Scores!C3303:V3303)</f>
        <v/>
      </c>
      <c r="E3305" s="57" t="str"/>
      <c r="F3305" s="49" t="str"/>
      <c r="G3305" s="59" t="str"/>
      <c r="H3305" s="64" t="str"/>
      <c r="I3305" s="65" t="str"/>
      <c r="J3305" s="49" t="str"/>
      <c r="K3305" s="41" t="str"/>
      <c r="L3305" s="41" t="str"/>
      <c r="M3305" s="41" t="str"/>
      <c r="N3305" s="41" t="str"/>
      <c r="O3305" s="41" t="str"/>
      <c r="P3305" s="41" t="str"/>
      <c r="Q3305" s="41" t="str"/>
      <c r="R3305" s="41" t="str"/>
      <c r="S3305" s="41" t="str"/>
      <c r="T3305" s="41" t="str"/>
      <c r="U3305" s="41" t="str"/>
      <c r="V3305" s="41" t="str"/>
      <c r="W3305" s="41" t="str"/>
    </row>
    <row r="3306">
      <c r="B3306" s="2" t="n"/>
      <c r="C3306" s="40" t="n"/>
      <c r="D3306" s="52">
        <f t="array" ref="D3306:W3306">IF(All_Students_Scores!C3304:V3304="","",All_Students_Scores!C3304:V3304)</f>
        <v/>
      </c>
      <c r="E3306" s="57" t="str"/>
      <c r="F3306" s="49" t="str"/>
      <c r="G3306" s="59" t="str"/>
      <c r="H3306" s="64" t="str"/>
      <c r="I3306" s="65" t="str"/>
      <c r="J3306" s="49" t="str"/>
      <c r="K3306" s="41" t="str"/>
      <c r="L3306" s="41" t="str"/>
      <c r="M3306" s="41" t="str"/>
      <c r="N3306" s="41" t="str"/>
      <c r="O3306" s="41" t="str"/>
      <c r="P3306" s="41" t="str"/>
      <c r="Q3306" s="41" t="str"/>
      <c r="R3306" s="41" t="str"/>
      <c r="S3306" s="41" t="str"/>
      <c r="T3306" s="41" t="str"/>
      <c r="U3306" s="41" t="str"/>
      <c r="V3306" s="41" t="str"/>
      <c r="W3306" s="41" t="str"/>
    </row>
    <row r="3307">
      <c r="B3307" s="2" t="n"/>
      <c r="C3307" s="40" t="n"/>
      <c r="D3307" s="52">
        <f t="array" ref="D3307:W3307">IF(All_Students_Scores!C3305:V3305="","",All_Students_Scores!C3305:V3305)</f>
        <v/>
      </c>
      <c r="E3307" s="57" t="str"/>
      <c r="F3307" s="49" t="str"/>
      <c r="G3307" s="59" t="str"/>
      <c r="H3307" s="64" t="str"/>
      <c r="I3307" s="65" t="str"/>
      <c r="J3307" s="49" t="str"/>
      <c r="K3307" s="41" t="str"/>
      <c r="L3307" s="41" t="str"/>
      <c r="M3307" s="41" t="str"/>
      <c r="N3307" s="41" t="str"/>
      <c r="O3307" s="41" t="str"/>
      <c r="P3307" s="41" t="str"/>
      <c r="Q3307" s="41" t="str"/>
      <c r="R3307" s="41" t="str"/>
      <c r="S3307" s="41" t="str"/>
      <c r="T3307" s="41" t="str"/>
      <c r="U3307" s="41" t="str"/>
      <c r="V3307" s="41" t="str"/>
      <c r="W3307" s="41" t="str"/>
    </row>
    <row r="3308">
      <c r="B3308" s="2" t="n"/>
      <c r="C3308" s="40" t="n"/>
      <c r="D3308" s="52">
        <f t="array" ref="D3308:W3308">IF(All_Students_Scores!C3306:V3306="","",All_Students_Scores!C3306:V3306)</f>
        <v/>
      </c>
      <c r="E3308" s="57" t="str"/>
      <c r="F3308" s="49" t="str"/>
      <c r="G3308" s="59" t="str"/>
      <c r="H3308" s="64" t="str"/>
      <c r="I3308" s="65" t="str"/>
      <c r="J3308" s="49" t="str"/>
      <c r="K3308" s="41" t="str"/>
      <c r="L3308" s="41" t="str"/>
      <c r="M3308" s="41" t="str"/>
      <c r="N3308" s="41" t="str"/>
      <c r="O3308" s="41" t="str"/>
      <c r="P3308" s="41" t="str"/>
      <c r="Q3308" s="41" t="str"/>
      <c r="R3308" s="41" t="str"/>
      <c r="S3308" s="41" t="str"/>
      <c r="T3308" s="41" t="str"/>
      <c r="U3308" s="41" t="str"/>
      <c r="V3308" s="41" t="str"/>
      <c r="W3308" s="41" t="str"/>
    </row>
    <row r="3309">
      <c r="B3309" s="2" t="n"/>
      <c r="C3309" s="40" t="n"/>
      <c r="D3309" s="52">
        <f t="array" ref="D3309:W3309">IF(All_Students_Scores!C3307:V3307="","",All_Students_Scores!C3307:V3307)</f>
        <v/>
      </c>
      <c r="E3309" s="57" t="str"/>
      <c r="F3309" s="49" t="str"/>
      <c r="G3309" s="59" t="str"/>
      <c r="H3309" s="64" t="str"/>
      <c r="I3309" s="65" t="str"/>
      <c r="J3309" s="49" t="str"/>
      <c r="K3309" s="41" t="str"/>
      <c r="L3309" s="41" t="str"/>
      <c r="M3309" s="41" t="str"/>
      <c r="N3309" s="41" t="str"/>
      <c r="O3309" s="41" t="str"/>
      <c r="P3309" s="41" t="str"/>
      <c r="Q3309" s="41" t="str"/>
      <c r="R3309" s="41" t="str"/>
      <c r="S3309" s="41" t="str"/>
      <c r="T3309" s="41" t="str"/>
      <c r="U3309" s="41" t="str"/>
      <c r="V3309" s="41" t="str"/>
      <c r="W3309" s="41" t="str"/>
    </row>
    <row r="3310">
      <c r="B3310" s="2" t="n"/>
      <c r="C3310" s="40" t="n"/>
      <c r="D3310" s="52">
        <f t="array" ref="D3310:W3310">IF(All_Students_Scores!C3308:V3308="","",All_Students_Scores!C3308:V3308)</f>
        <v/>
      </c>
      <c r="E3310" s="57" t="str"/>
      <c r="F3310" s="49" t="str"/>
      <c r="G3310" s="59" t="str"/>
      <c r="H3310" s="64" t="str"/>
      <c r="I3310" s="65" t="str"/>
      <c r="J3310" s="49" t="str"/>
      <c r="K3310" s="41" t="str"/>
      <c r="L3310" s="41" t="str"/>
      <c r="M3310" s="41" t="str"/>
      <c r="N3310" s="41" t="str"/>
      <c r="O3310" s="41" t="str"/>
      <c r="P3310" s="41" t="str"/>
      <c r="Q3310" s="41" t="str"/>
      <c r="R3310" s="41" t="str"/>
      <c r="S3310" s="41" t="str"/>
      <c r="T3310" s="41" t="str"/>
      <c r="U3310" s="41" t="str"/>
      <c r="V3310" s="41" t="str"/>
      <c r="W3310" s="41" t="str"/>
    </row>
    <row r="3311">
      <c r="B3311" s="2" t="n"/>
      <c r="C3311" s="40" t="n"/>
      <c r="D3311" s="52">
        <f t="array" ref="D3311:W3311">IF(All_Students_Scores!C3309:V3309="","",All_Students_Scores!C3309:V3309)</f>
        <v/>
      </c>
      <c r="E3311" s="57" t="str"/>
      <c r="F3311" s="49" t="str"/>
      <c r="G3311" s="59" t="str"/>
      <c r="H3311" s="64" t="str"/>
      <c r="I3311" s="65" t="str"/>
      <c r="J3311" s="49" t="str"/>
      <c r="K3311" s="41" t="str"/>
      <c r="L3311" s="41" t="str"/>
      <c r="M3311" s="41" t="str"/>
      <c r="N3311" s="41" t="str"/>
      <c r="O3311" s="41" t="str"/>
      <c r="P3311" s="41" t="str"/>
      <c r="Q3311" s="41" t="str"/>
      <c r="R3311" s="41" t="str"/>
      <c r="S3311" s="41" t="str"/>
      <c r="T3311" s="41" t="str"/>
      <c r="U3311" s="41" t="str"/>
      <c r="V3311" s="41" t="str"/>
      <c r="W3311" s="41" t="str"/>
    </row>
    <row r="3312">
      <c r="B3312" s="2" t="n"/>
      <c r="C3312" s="40" t="n"/>
      <c r="D3312" s="52">
        <f t="array" ref="D3312:W3312">IF(All_Students_Scores!C3310:V3310="","",All_Students_Scores!C3310:V3310)</f>
        <v/>
      </c>
      <c r="E3312" s="57" t="str"/>
      <c r="F3312" s="49" t="str"/>
      <c r="G3312" s="59" t="str"/>
      <c r="H3312" s="64" t="str"/>
      <c r="I3312" s="65" t="str"/>
      <c r="J3312" s="49" t="str"/>
      <c r="K3312" s="41" t="str"/>
      <c r="L3312" s="41" t="str"/>
      <c r="M3312" s="41" t="str"/>
      <c r="N3312" s="41" t="str"/>
      <c r="O3312" s="41" t="str"/>
      <c r="P3312" s="41" t="str"/>
      <c r="Q3312" s="41" t="str"/>
      <c r="R3312" s="41" t="str"/>
      <c r="S3312" s="41" t="str"/>
      <c r="T3312" s="41" t="str"/>
      <c r="U3312" s="41" t="str"/>
      <c r="V3312" s="41" t="str"/>
      <c r="W3312" s="41" t="str"/>
    </row>
    <row r="3313">
      <c r="B3313" s="2" t="n"/>
      <c r="C3313" s="40" t="n"/>
      <c r="D3313" s="52">
        <f t="array" ref="D3313:W3313">IF(All_Students_Scores!C3311:V3311="","",All_Students_Scores!C3311:V3311)</f>
        <v/>
      </c>
      <c r="E3313" s="57" t="str"/>
      <c r="F3313" s="49" t="str"/>
      <c r="G3313" s="59" t="str"/>
      <c r="H3313" s="64" t="str"/>
      <c r="I3313" s="65" t="str"/>
      <c r="J3313" s="49" t="str"/>
      <c r="K3313" s="41" t="str"/>
      <c r="L3313" s="41" t="str"/>
      <c r="M3313" s="41" t="str"/>
      <c r="N3313" s="41" t="str"/>
      <c r="O3313" s="41" t="str"/>
      <c r="P3313" s="41" t="str"/>
      <c r="Q3313" s="41" t="str"/>
      <c r="R3313" s="41" t="str"/>
      <c r="S3313" s="41" t="str"/>
      <c r="T3313" s="41" t="str"/>
      <c r="U3313" s="41" t="str"/>
      <c r="V3313" s="41" t="str"/>
      <c r="W3313" s="41" t="str"/>
    </row>
    <row r="3314">
      <c r="B3314" s="2" t="n"/>
      <c r="C3314" s="40" t="n"/>
      <c r="D3314" s="52">
        <f t="array" ref="D3314:W3314">IF(All_Students_Scores!C3312:V3312="","",All_Students_Scores!C3312:V3312)</f>
        <v/>
      </c>
      <c r="E3314" s="57" t="str"/>
      <c r="F3314" s="49" t="str"/>
      <c r="G3314" s="59" t="str"/>
      <c r="H3314" s="64" t="str"/>
      <c r="I3314" s="65" t="str"/>
      <c r="J3314" s="49" t="str"/>
      <c r="K3314" s="41" t="str"/>
      <c r="L3314" s="41" t="str"/>
      <c r="M3314" s="41" t="str"/>
      <c r="N3314" s="41" t="str"/>
      <c r="O3314" s="41" t="str"/>
      <c r="P3314" s="41" t="str"/>
      <c r="Q3314" s="41" t="str"/>
      <c r="R3314" s="41" t="str"/>
      <c r="S3314" s="41" t="str"/>
      <c r="T3314" s="41" t="str"/>
      <c r="U3314" s="41" t="str"/>
      <c r="V3314" s="41" t="str"/>
      <c r="W3314" s="41" t="str"/>
    </row>
    <row r="3315">
      <c r="B3315" s="2" t="n"/>
      <c r="C3315" s="40" t="n"/>
      <c r="D3315" s="52">
        <f t="array" ref="D3315:W3315">IF(All_Students_Scores!C3313:V3313="","",All_Students_Scores!C3313:V3313)</f>
        <v/>
      </c>
      <c r="E3315" s="57" t="str"/>
      <c r="F3315" s="49" t="str"/>
      <c r="G3315" s="59" t="str"/>
      <c r="H3315" s="64" t="str"/>
      <c r="I3315" s="65" t="str"/>
      <c r="J3315" s="49" t="str"/>
      <c r="K3315" s="41" t="str"/>
      <c r="L3315" s="41" t="str"/>
      <c r="M3315" s="41" t="str"/>
      <c r="N3315" s="41" t="str"/>
      <c r="O3315" s="41" t="str"/>
      <c r="P3315" s="41" t="str"/>
      <c r="Q3315" s="41" t="str"/>
      <c r="R3315" s="41" t="str"/>
      <c r="S3315" s="41" t="str"/>
      <c r="T3315" s="41" t="str"/>
      <c r="U3315" s="41" t="str"/>
      <c r="V3315" s="41" t="str"/>
      <c r="W3315" s="41" t="str"/>
    </row>
    <row r="3316">
      <c r="B3316" s="2" t="n"/>
      <c r="C3316" s="40" t="n"/>
      <c r="D3316" s="52">
        <f t="array" ref="D3316:W3316">IF(All_Students_Scores!C3314:V3314="","",All_Students_Scores!C3314:V3314)</f>
        <v/>
      </c>
      <c r="E3316" s="57" t="str"/>
      <c r="F3316" s="49" t="str"/>
      <c r="G3316" s="59" t="str"/>
      <c r="H3316" s="64" t="str"/>
      <c r="I3316" s="65" t="str"/>
      <c r="J3316" s="49" t="str"/>
      <c r="K3316" s="41" t="str"/>
      <c r="L3316" s="41" t="str"/>
      <c r="M3316" s="41" t="str"/>
      <c r="N3316" s="41" t="str"/>
      <c r="O3316" s="41" t="str"/>
      <c r="P3316" s="41" t="str"/>
      <c r="Q3316" s="41" t="str"/>
      <c r="R3316" s="41" t="str"/>
      <c r="S3316" s="41" t="str"/>
      <c r="T3316" s="41" t="str"/>
      <c r="U3316" s="41" t="str"/>
      <c r="V3316" s="41" t="str"/>
      <c r="W3316" s="41" t="str"/>
    </row>
    <row r="3317">
      <c r="B3317" s="2" t="n"/>
      <c r="C3317" s="40" t="n"/>
      <c r="D3317" s="52">
        <f t="array" ref="D3317:W3317">IF(All_Students_Scores!C3315:V3315="","",All_Students_Scores!C3315:V3315)</f>
        <v/>
      </c>
      <c r="E3317" s="57" t="str"/>
      <c r="F3317" s="49" t="str"/>
      <c r="G3317" s="59" t="str"/>
      <c r="H3317" s="64" t="str"/>
      <c r="I3317" s="65" t="str"/>
      <c r="J3317" s="49" t="str"/>
      <c r="K3317" s="41" t="str"/>
      <c r="L3317" s="41" t="str"/>
      <c r="M3317" s="41" t="str"/>
      <c r="N3317" s="41" t="str"/>
      <c r="O3317" s="41" t="str"/>
      <c r="P3317" s="41" t="str"/>
      <c r="Q3317" s="41" t="str"/>
      <c r="R3317" s="41" t="str"/>
      <c r="S3317" s="41" t="str"/>
      <c r="T3317" s="41" t="str"/>
      <c r="U3317" s="41" t="str"/>
      <c r="V3317" s="41" t="str"/>
      <c r="W3317" s="41" t="str"/>
    </row>
    <row r="3318">
      <c r="B3318" s="2" t="n"/>
      <c r="C3318" s="40" t="n"/>
      <c r="D3318" s="52">
        <f t="array" ref="D3318:W3318">IF(All_Students_Scores!C3316:V3316="","",All_Students_Scores!C3316:V3316)</f>
        <v/>
      </c>
      <c r="E3318" s="57" t="str"/>
      <c r="F3318" s="49" t="str"/>
      <c r="G3318" s="59" t="str"/>
      <c r="H3318" s="64" t="str"/>
      <c r="I3318" s="65" t="str"/>
      <c r="J3318" s="49" t="str"/>
      <c r="K3318" s="41" t="str"/>
      <c r="L3318" s="41" t="str"/>
      <c r="M3318" s="41" t="str"/>
      <c r="N3318" s="41" t="str"/>
      <c r="O3318" s="41" t="str"/>
      <c r="P3318" s="41" t="str"/>
      <c r="Q3318" s="41" t="str"/>
      <c r="R3318" s="41" t="str"/>
      <c r="S3318" s="41" t="str"/>
      <c r="T3318" s="41" t="str"/>
      <c r="U3318" s="41" t="str"/>
      <c r="V3318" s="41" t="str"/>
      <c r="W3318" s="41" t="str"/>
    </row>
    <row r="3319">
      <c r="B3319" s="2" t="n"/>
      <c r="C3319" s="40" t="n"/>
      <c r="D3319" s="52">
        <f t="array" ref="D3319:W3319">IF(All_Students_Scores!C3317:V3317="","",All_Students_Scores!C3317:V3317)</f>
        <v/>
      </c>
      <c r="E3319" s="57" t="str"/>
      <c r="F3319" s="49" t="str"/>
      <c r="G3319" s="59" t="str"/>
      <c r="H3319" s="64" t="str"/>
      <c r="I3319" s="65" t="str"/>
      <c r="J3319" s="49" t="str"/>
      <c r="K3319" s="41" t="str"/>
      <c r="L3319" s="41" t="str"/>
      <c r="M3319" s="41" t="str"/>
      <c r="N3319" s="41" t="str"/>
      <c r="O3319" s="41" t="str"/>
      <c r="P3319" s="41" t="str"/>
      <c r="Q3319" s="41" t="str"/>
      <c r="R3319" s="41" t="str"/>
      <c r="S3319" s="41" t="str"/>
      <c r="T3319" s="41" t="str"/>
      <c r="U3319" s="41" t="str"/>
      <c r="V3319" s="41" t="str"/>
      <c r="W3319" s="41" t="str"/>
    </row>
    <row r="3320">
      <c r="B3320" s="2" t="n"/>
      <c r="C3320" s="40" t="n"/>
      <c r="D3320" s="52">
        <f t="array" ref="D3320:W3320">IF(All_Students_Scores!C3318:V3318="","",All_Students_Scores!C3318:V3318)</f>
        <v/>
      </c>
      <c r="E3320" s="57" t="str"/>
      <c r="F3320" s="49" t="str"/>
      <c r="G3320" s="59" t="str"/>
      <c r="H3320" s="64" t="str"/>
      <c r="I3320" s="65" t="str"/>
      <c r="J3320" s="49" t="str"/>
      <c r="K3320" s="41" t="str"/>
      <c r="L3320" s="41" t="str"/>
      <c r="M3320" s="41" t="str"/>
      <c r="N3320" s="41" t="str"/>
      <c r="O3320" s="41" t="str"/>
      <c r="P3320" s="41" t="str"/>
      <c r="Q3320" s="41" t="str"/>
      <c r="R3320" s="41" t="str"/>
      <c r="S3320" s="41" t="str"/>
      <c r="T3320" s="41" t="str"/>
      <c r="U3320" s="41" t="str"/>
      <c r="V3320" s="41" t="str"/>
      <c r="W3320" s="41" t="str"/>
    </row>
    <row r="3321">
      <c r="B3321" s="2" t="n"/>
      <c r="C3321" s="40" t="n"/>
      <c r="D3321" s="52">
        <f t="array" ref="D3321:W3321">IF(All_Students_Scores!C3319:V3319="","",All_Students_Scores!C3319:V3319)</f>
        <v/>
      </c>
      <c r="E3321" s="57" t="str"/>
      <c r="F3321" s="49" t="str"/>
      <c r="G3321" s="59" t="str"/>
      <c r="H3321" s="64" t="str"/>
      <c r="I3321" s="65" t="str"/>
      <c r="J3321" s="49" t="str"/>
      <c r="K3321" s="41" t="str"/>
      <c r="L3321" s="41" t="str"/>
      <c r="M3321" s="41" t="str"/>
      <c r="N3321" s="41" t="str"/>
      <c r="O3321" s="41" t="str"/>
      <c r="P3321" s="41" t="str"/>
      <c r="Q3321" s="41" t="str"/>
      <c r="R3321" s="41" t="str"/>
      <c r="S3321" s="41" t="str"/>
      <c r="T3321" s="41" t="str"/>
      <c r="U3321" s="41" t="str"/>
      <c r="V3321" s="41" t="str"/>
      <c r="W3321" s="41" t="str"/>
    </row>
    <row r="3322">
      <c r="B3322" s="2" t="n"/>
      <c r="C3322" s="40" t="n"/>
      <c r="D3322" s="52">
        <f t="array" ref="D3322:W3322">IF(All_Students_Scores!C3320:V3320="","",All_Students_Scores!C3320:V3320)</f>
        <v/>
      </c>
      <c r="E3322" s="57" t="str"/>
      <c r="F3322" s="49" t="str"/>
      <c r="G3322" s="59" t="str"/>
      <c r="H3322" s="64" t="str"/>
      <c r="I3322" s="65" t="str"/>
      <c r="J3322" s="49" t="str"/>
      <c r="K3322" s="41" t="str"/>
      <c r="L3322" s="41" t="str"/>
      <c r="M3322" s="41" t="str"/>
      <c r="N3322" s="41" t="str"/>
      <c r="O3322" s="41" t="str"/>
      <c r="P3322" s="41" t="str"/>
      <c r="Q3322" s="41" t="str"/>
      <c r="R3322" s="41" t="str"/>
      <c r="S3322" s="41" t="str"/>
      <c r="T3322" s="41" t="str"/>
      <c r="U3322" s="41" t="str"/>
      <c r="V3322" s="41" t="str"/>
      <c r="W3322" s="41" t="str"/>
    </row>
    <row r="3323">
      <c r="B3323" s="2" t="n"/>
      <c r="C3323" s="40" t="n"/>
      <c r="D3323" s="52">
        <f t="array" ref="D3323:W3323">IF(All_Students_Scores!C3321:V3321="","",All_Students_Scores!C3321:V3321)</f>
        <v/>
      </c>
      <c r="E3323" s="57" t="str"/>
      <c r="F3323" s="49" t="str"/>
      <c r="G3323" s="59" t="str"/>
      <c r="H3323" s="64" t="str"/>
      <c r="I3323" s="65" t="str"/>
      <c r="J3323" s="49" t="str"/>
      <c r="K3323" s="41" t="str"/>
      <c r="L3323" s="41" t="str"/>
      <c r="M3323" s="41" t="str"/>
      <c r="N3323" s="41" t="str"/>
      <c r="O3323" s="41" t="str"/>
      <c r="P3323" s="41" t="str"/>
      <c r="Q3323" s="41" t="str"/>
      <c r="R3323" s="41" t="str"/>
      <c r="S3323" s="41" t="str"/>
      <c r="T3323" s="41" t="str"/>
      <c r="U3323" s="41" t="str"/>
      <c r="V3323" s="41" t="str"/>
      <c r="W3323" s="41" t="str"/>
    </row>
    <row r="3324">
      <c r="B3324" s="2" t="n"/>
      <c r="C3324" s="40" t="n"/>
      <c r="D3324" s="52">
        <f t="array" ref="D3324:W3324">IF(All_Students_Scores!C3322:V3322="","",All_Students_Scores!C3322:V3322)</f>
        <v/>
      </c>
      <c r="E3324" s="57" t="str"/>
      <c r="F3324" s="49" t="str"/>
      <c r="G3324" s="59" t="str"/>
      <c r="H3324" s="64" t="str"/>
      <c r="I3324" s="65" t="str"/>
      <c r="J3324" s="49" t="str"/>
      <c r="K3324" s="41" t="str"/>
      <c r="L3324" s="41" t="str"/>
      <c r="M3324" s="41" t="str"/>
      <c r="N3324" s="41" t="str"/>
      <c r="O3324" s="41" t="str"/>
      <c r="P3324" s="41" t="str"/>
      <c r="Q3324" s="41" t="str"/>
      <c r="R3324" s="41" t="str"/>
      <c r="S3324" s="41" t="str"/>
      <c r="T3324" s="41" t="str"/>
      <c r="U3324" s="41" t="str"/>
      <c r="V3324" s="41" t="str"/>
      <c r="W3324" s="41" t="str"/>
    </row>
    <row r="3325">
      <c r="B3325" s="2" t="n"/>
      <c r="C3325" s="40" t="n"/>
      <c r="D3325" s="52">
        <f t="array" ref="D3325:W3325">IF(All_Students_Scores!C3323:V3323="","",All_Students_Scores!C3323:V3323)</f>
        <v/>
      </c>
      <c r="E3325" s="57" t="str"/>
      <c r="F3325" s="49" t="str"/>
      <c r="G3325" s="59" t="str"/>
      <c r="H3325" s="64" t="str"/>
      <c r="I3325" s="65" t="str"/>
      <c r="J3325" s="49" t="str"/>
      <c r="K3325" s="41" t="str"/>
      <c r="L3325" s="41" t="str"/>
      <c r="M3325" s="41" t="str"/>
      <c r="N3325" s="41" t="str"/>
      <c r="O3325" s="41" t="str"/>
      <c r="P3325" s="41" t="str"/>
      <c r="Q3325" s="41" t="str"/>
      <c r="R3325" s="41" t="str"/>
      <c r="S3325" s="41" t="str"/>
      <c r="T3325" s="41" t="str"/>
      <c r="U3325" s="41" t="str"/>
      <c r="V3325" s="41" t="str"/>
      <c r="W3325" s="41" t="str"/>
    </row>
    <row r="3326">
      <c r="B3326" s="2" t="n"/>
      <c r="C3326" s="40" t="n"/>
      <c r="D3326" s="52">
        <f t="array" ref="D3326:W3326">IF(All_Students_Scores!C3324:V3324="","",All_Students_Scores!C3324:V3324)</f>
        <v/>
      </c>
      <c r="E3326" s="57" t="str"/>
      <c r="F3326" s="49" t="str"/>
      <c r="G3326" s="59" t="str"/>
      <c r="H3326" s="64" t="str"/>
      <c r="I3326" s="65" t="str"/>
      <c r="J3326" s="49" t="str"/>
      <c r="K3326" s="41" t="str"/>
      <c r="L3326" s="41" t="str"/>
      <c r="M3326" s="41" t="str"/>
      <c r="N3326" s="41" t="str"/>
      <c r="O3326" s="41" t="str"/>
      <c r="P3326" s="41" t="str"/>
      <c r="Q3326" s="41" t="str"/>
      <c r="R3326" s="41" t="str"/>
      <c r="S3326" s="41" t="str"/>
      <c r="T3326" s="41" t="str"/>
      <c r="U3326" s="41" t="str"/>
      <c r="V3326" s="41" t="str"/>
      <c r="W3326" s="41" t="str"/>
    </row>
    <row r="3327">
      <c r="B3327" s="2" t="n"/>
      <c r="C3327" s="40" t="n"/>
      <c r="D3327" s="52">
        <f t="array" ref="D3327:W3327">IF(All_Students_Scores!C3325:V3325="","",All_Students_Scores!C3325:V3325)</f>
        <v/>
      </c>
      <c r="E3327" s="57" t="str"/>
      <c r="F3327" s="49" t="str"/>
      <c r="G3327" s="59" t="str"/>
      <c r="H3327" s="64" t="str"/>
      <c r="I3327" s="65" t="str"/>
      <c r="J3327" s="49" t="str"/>
      <c r="K3327" s="41" t="str"/>
      <c r="L3327" s="41" t="str"/>
      <c r="M3327" s="41" t="str"/>
      <c r="N3327" s="41" t="str"/>
      <c r="O3327" s="41" t="str"/>
      <c r="P3327" s="41" t="str"/>
      <c r="Q3327" s="41" t="str"/>
      <c r="R3327" s="41" t="str"/>
      <c r="S3327" s="41" t="str"/>
      <c r="T3327" s="41" t="str"/>
      <c r="U3327" s="41" t="str"/>
      <c r="V3327" s="41" t="str"/>
      <c r="W3327" s="41" t="str"/>
    </row>
    <row r="3328">
      <c r="B3328" s="2" t="n"/>
      <c r="C3328" s="40" t="n"/>
      <c r="D3328" s="52">
        <f t="array" ref="D3328:W3328">IF(All_Students_Scores!C3326:V3326="","",All_Students_Scores!C3326:V3326)</f>
        <v/>
      </c>
      <c r="E3328" s="57" t="str"/>
      <c r="F3328" s="49" t="str"/>
      <c r="G3328" s="59" t="str"/>
      <c r="H3328" s="64" t="str"/>
      <c r="I3328" s="65" t="str"/>
      <c r="J3328" s="49" t="str"/>
      <c r="K3328" s="41" t="str"/>
      <c r="L3328" s="41" t="str"/>
      <c r="M3328" s="41" t="str"/>
      <c r="N3328" s="41" t="str"/>
      <c r="O3328" s="41" t="str"/>
      <c r="P3328" s="41" t="str"/>
      <c r="Q3328" s="41" t="str"/>
      <c r="R3328" s="41" t="str"/>
      <c r="S3328" s="41" t="str"/>
      <c r="T3328" s="41" t="str"/>
      <c r="U3328" s="41" t="str"/>
      <c r="V3328" s="41" t="str"/>
      <c r="W3328" s="41" t="str"/>
    </row>
    <row r="3329">
      <c r="B3329" s="2" t="n"/>
      <c r="C3329" s="40" t="n"/>
      <c r="D3329" s="52">
        <f t="array" ref="D3329:W3329">IF(All_Students_Scores!C3327:V3327="","",All_Students_Scores!C3327:V3327)</f>
        <v/>
      </c>
      <c r="E3329" s="57" t="str"/>
      <c r="F3329" s="49" t="str"/>
      <c r="G3329" s="59" t="str"/>
      <c r="H3329" s="64" t="str"/>
      <c r="I3329" s="65" t="str"/>
      <c r="J3329" s="49" t="str"/>
      <c r="K3329" s="41" t="str"/>
      <c r="L3329" s="41" t="str"/>
      <c r="M3329" s="41" t="str"/>
      <c r="N3329" s="41" t="str"/>
      <c r="O3329" s="41" t="str"/>
      <c r="P3329" s="41" t="str"/>
      <c r="Q3329" s="41" t="str"/>
      <c r="R3329" s="41" t="str"/>
      <c r="S3329" s="41" t="str"/>
      <c r="T3329" s="41" t="str"/>
      <c r="U3329" s="41" t="str"/>
      <c r="V3329" s="41" t="str"/>
      <c r="W3329" s="41" t="str"/>
    </row>
    <row r="3330">
      <c r="B3330" s="2" t="n"/>
      <c r="C3330" s="40" t="n"/>
      <c r="D3330" s="52">
        <f t="array" ref="D3330:W3330">IF(All_Students_Scores!C3328:V3328="","",All_Students_Scores!C3328:V3328)</f>
        <v/>
      </c>
      <c r="E3330" s="57" t="str"/>
      <c r="F3330" s="49" t="str"/>
      <c r="G3330" s="59" t="str"/>
      <c r="H3330" s="64" t="str"/>
      <c r="I3330" s="65" t="str"/>
      <c r="J3330" s="49" t="str"/>
      <c r="K3330" s="41" t="str"/>
      <c r="L3330" s="41" t="str"/>
      <c r="M3330" s="41" t="str"/>
      <c r="N3330" s="41" t="str"/>
      <c r="O3330" s="41" t="str"/>
      <c r="P3330" s="41" t="str"/>
      <c r="Q3330" s="41" t="str"/>
      <c r="R3330" s="41" t="str"/>
      <c r="S3330" s="41" t="str"/>
      <c r="T3330" s="41" t="str"/>
      <c r="U3330" s="41" t="str"/>
      <c r="V3330" s="41" t="str"/>
      <c r="W3330" s="41" t="str"/>
    </row>
    <row r="3331">
      <c r="B3331" s="2" t="n"/>
      <c r="C3331" s="40" t="n"/>
      <c r="D3331" s="52">
        <f t="array" ref="D3331:W3331">IF(All_Students_Scores!C3329:V3329="","",All_Students_Scores!C3329:V3329)</f>
        <v/>
      </c>
      <c r="E3331" s="57" t="str"/>
      <c r="F3331" s="49" t="str"/>
      <c r="G3331" s="59" t="str"/>
      <c r="H3331" s="64" t="str"/>
      <c r="I3331" s="65" t="str"/>
      <c r="J3331" s="49" t="str"/>
      <c r="K3331" s="41" t="str"/>
      <c r="L3331" s="41" t="str"/>
      <c r="M3331" s="41" t="str"/>
      <c r="N3331" s="41" t="str"/>
      <c r="O3331" s="41" t="str"/>
      <c r="P3331" s="41" t="str"/>
      <c r="Q3331" s="41" t="str"/>
      <c r="R3331" s="41" t="str"/>
      <c r="S3331" s="41" t="str"/>
      <c r="T3331" s="41" t="str"/>
      <c r="U3331" s="41" t="str"/>
      <c r="V3331" s="41" t="str"/>
      <c r="W3331" s="41" t="str"/>
    </row>
    <row r="3332">
      <c r="B3332" s="2" t="n"/>
      <c r="C3332" s="40" t="n"/>
      <c r="D3332" s="52">
        <f t="array" ref="D3332:W3332">IF(All_Students_Scores!C3330:V3330="","",All_Students_Scores!C3330:V3330)</f>
        <v/>
      </c>
      <c r="E3332" s="57" t="str"/>
      <c r="F3332" s="49" t="str"/>
      <c r="G3332" s="59" t="str"/>
      <c r="H3332" s="64" t="str"/>
      <c r="I3332" s="65" t="str"/>
      <c r="J3332" s="49" t="str"/>
      <c r="K3332" s="41" t="str"/>
      <c r="L3332" s="41" t="str"/>
      <c r="M3332" s="41" t="str"/>
      <c r="N3332" s="41" t="str"/>
      <c r="O3332" s="41" t="str"/>
      <c r="P3332" s="41" t="str"/>
      <c r="Q3332" s="41" t="str"/>
      <c r="R3332" s="41" t="str"/>
      <c r="S3332" s="41" t="str"/>
      <c r="T3332" s="41" t="str"/>
      <c r="U3332" s="41" t="str"/>
      <c r="V3332" s="41" t="str"/>
      <c r="W3332" s="41" t="str"/>
    </row>
    <row r="3333">
      <c r="B3333" s="2" t="n"/>
      <c r="C3333" s="40" t="n"/>
      <c r="D3333" s="52">
        <f t="array" ref="D3333:W3333">IF(All_Students_Scores!C3331:V3331="","",All_Students_Scores!C3331:V3331)</f>
        <v/>
      </c>
      <c r="E3333" s="57" t="str"/>
      <c r="F3333" s="49" t="str"/>
      <c r="G3333" s="59" t="str"/>
      <c r="H3333" s="64" t="str"/>
      <c r="I3333" s="65" t="str"/>
      <c r="J3333" s="49" t="str"/>
      <c r="K3333" s="41" t="str"/>
      <c r="L3333" s="41" t="str"/>
      <c r="M3333" s="41" t="str"/>
      <c r="N3333" s="41" t="str"/>
      <c r="O3333" s="41" t="str"/>
      <c r="P3333" s="41" t="str"/>
      <c r="Q3333" s="41" t="str"/>
      <c r="R3333" s="41" t="str"/>
      <c r="S3333" s="41" t="str"/>
      <c r="T3333" s="41" t="str"/>
      <c r="U3333" s="41" t="str"/>
      <c r="V3333" s="41" t="str"/>
      <c r="W3333" s="41" t="str"/>
    </row>
    <row r="3334">
      <c r="B3334" s="2" t="n"/>
      <c r="C3334" s="40" t="n"/>
      <c r="D3334" s="52">
        <f t="array" ref="D3334:W3334">IF(All_Students_Scores!C3332:V3332="","",All_Students_Scores!C3332:V3332)</f>
        <v/>
      </c>
      <c r="E3334" s="57" t="str"/>
      <c r="F3334" s="49" t="str"/>
      <c r="G3334" s="59" t="str"/>
      <c r="H3334" s="64" t="str"/>
      <c r="I3334" s="65" t="str"/>
      <c r="J3334" s="49" t="str"/>
      <c r="K3334" s="41" t="str"/>
      <c r="L3334" s="41" t="str"/>
      <c r="M3334" s="41" t="str"/>
      <c r="N3334" s="41" t="str"/>
      <c r="O3334" s="41" t="str"/>
      <c r="P3334" s="41" t="str"/>
      <c r="Q3334" s="41" t="str"/>
      <c r="R3334" s="41" t="str"/>
      <c r="S3334" s="41" t="str"/>
      <c r="T3334" s="41" t="str"/>
      <c r="U3334" s="41" t="str"/>
      <c r="V3334" s="41" t="str"/>
      <c r="W3334" s="41" t="str"/>
    </row>
    <row r="3335">
      <c r="B3335" s="2" t="n"/>
      <c r="C3335" s="40" t="n"/>
      <c r="D3335" s="52">
        <f t="array" ref="D3335:W3335">IF(All_Students_Scores!C3333:V3333="","",All_Students_Scores!C3333:V3333)</f>
        <v/>
      </c>
      <c r="E3335" s="57" t="str"/>
      <c r="F3335" s="49" t="str"/>
      <c r="G3335" s="59" t="str"/>
      <c r="H3335" s="64" t="str"/>
      <c r="I3335" s="65" t="str"/>
      <c r="J3335" s="49" t="str"/>
      <c r="K3335" s="41" t="str"/>
      <c r="L3335" s="41" t="str"/>
      <c r="M3335" s="41" t="str"/>
      <c r="N3335" s="41" t="str"/>
      <c r="O3335" s="41" t="str"/>
      <c r="P3335" s="41" t="str"/>
      <c r="Q3335" s="41" t="str"/>
      <c r="R3335" s="41" t="str"/>
      <c r="S3335" s="41" t="str"/>
      <c r="T3335" s="41" t="str"/>
      <c r="U3335" s="41" t="str"/>
      <c r="V3335" s="41" t="str"/>
      <c r="W3335" s="41" t="str"/>
    </row>
    <row r="3336">
      <c r="B3336" s="2" t="n"/>
      <c r="C3336" s="40" t="n"/>
      <c r="D3336" s="52">
        <f t="array" ref="D3336:W3336">IF(All_Students_Scores!C3334:V3334="","",All_Students_Scores!C3334:V3334)</f>
        <v/>
      </c>
      <c r="E3336" s="57" t="str"/>
      <c r="F3336" s="49" t="str"/>
      <c r="G3336" s="59" t="str"/>
      <c r="H3336" s="64" t="str"/>
      <c r="I3336" s="65" t="str"/>
      <c r="J3336" s="49" t="str"/>
      <c r="K3336" s="41" t="str"/>
      <c r="L3336" s="41" t="str"/>
      <c r="M3336" s="41" t="str"/>
      <c r="N3336" s="41" t="str"/>
      <c r="O3336" s="41" t="str"/>
      <c r="P3336" s="41" t="str"/>
      <c r="Q3336" s="41" t="str"/>
      <c r="R3336" s="41" t="str"/>
      <c r="S3336" s="41" t="str"/>
      <c r="T3336" s="41" t="str"/>
      <c r="U3336" s="41" t="str"/>
      <c r="V3336" s="41" t="str"/>
      <c r="W3336" s="41" t="str"/>
    </row>
    <row r="3337">
      <c r="B3337" s="2" t="n"/>
      <c r="C3337" s="40" t="n"/>
      <c r="D3337" s="52">
        <f t="array" ref="D3337:W3337">IF(All_Students_Scores!C3335:V3335="","",All_Students_Scores!C3335:V3335)</f>
        <v/>
      </c>
      <c r="E3337" s="57" t="str"/>
      <c r="F3337" s="49" t="str"/>
      <c r="G3337" s="59" t="str"/>
      <c r="H3337" s="64" t="str"/>
      <c r="I3337" s="65" t="str"/>
      <c r="J3337" s="49" t="str"/>
      <c r="K3337" s="41" t="str"/>
      <c r="L3337" s="41" t="str"/>
      <c r="M3337" s="41" t="str"/>
      <c r="N3337" s="41" t="str"/>
      <c r="O3337" s="41" t="str"/>
      <c r="P3337" s="41" t="str"/>
      <c r="Q3337" s="41" t="str"/>
      <c r="R3337" s="41" t="str"/>
      <c r="S3337" s="41" t="str"/>
      <c r="T3337" s="41" t="str"/>
      <c r="U3337" s="41" t="str"/>
      <c r="V3337" s="41" t="str"/>
      <c r="W3337" s="41" t="str"/>
    </row>
    <row r="3338">
      <c r="B3338" s="2" t="n"/>
      <c r="C3338" s="40" t="n"/>
      <c r="D3338" s="52">
        <f t="array" ref="D3338:W3338">IF(All_Students_Scores!C3336:V3336="","",All_Students_Scores!C3336:V3336)</f>
        <v/>
      </c>
      <c r="E3338" s="57" t="str"/>
      <c r="F3338" s="49" t="str"/>
      <c r="G3338" s="59" t="str"/>
      <c r="H3338" s="64" t="str"/>
      <c r="I3338" s="65" t="str"/>
      <c r="J3338" s="49" t="str"/>
      <c r="K3338" s="41" t="str"/>
      <c r="L3338" s="41" t="str"/>
      <c r="M3338" s="41" t="str"/>
      <c r="N3338" s="41" t="str"/>
      <c r="O3338" s="41" t="str"/>
      <c r="P3338" s="41" t="str"/>
      <c r="Q3338" s="41" t="str"/>
      <c r="R3338" s="41" t="str"/>
      <c r="S3338" s="41" t="str"/>
      <c r="T3338" s="41" t="str"/>
      <c r="U3338" s="41" t="str"/>
      <c r="V3338" s="41" t="str"/>
      <c r="W3338" s="41" t="str"/>
    </row>
    <row r="3339">
      <c r="B3339" s="2" t="n"/>
      <c r="C3339" s="40" t="n"/>
      <c r="D3339" s="52">
        <f t="array" ref="D3339:W3339">IF(All_Students_Scores!C3337:V3337="","",All_Students_Scores!C3337:V3337)</f>
        <v/>
      </c>
      <c r="E3339" s="57" t="str"/>
      <c r="F3339" s="49" t="str"/>
      <c r="G3339" s="59" t="str"/>
      <c r="H3339" s="64" t="str"/>
      <c r="I3339" s="65" t="str"/>
      <c r="J3339" s="49" t="str"/>
      <c r="K3339" s="41" t="str"/>
      <c r="L3339" s="41" t="str"/>
      <c r="M3339" s="41" t="str"/>
      <c r="N3339" s="41" t="str"/>
      <c r="O3339" s="41" t="str"/>
      <c r="P3339" s="41" t="str"/>
      <c r="Q3339" s="41" t="str"/>
      <c r="R3339" s="41" t="str"/>
      <c r="S3339" s="41" t="str"/>
      <c r="T3339" s="41" t="str"/>
      <c r="U3339" s="41" t="str"/>
      <c r="V3339" s="41" t="str"/>
      <c r="W3339" s="41" t="str"/>
    </row>
    <row r="3340">
      <c r="B3340" s="2" t="n"/>
      <c r="C3340" s="40" t="n"/>
      <c r="D3340" s="52">
        <f t="array" ref="D3340:W3340">IF(All_Students_Scores!C3338:V3338="","",All_Students_Scores!C3338:V3338)</f>
        <v/>
      </c>
      <c r="E3340" s="57" t="str"/>
      <c r="F3340" s="49" t="str"/>
      <c r="G3340" s="59" t="str"/>
      <c r="H3340" s="64" t="str"/>
      <c r="I3340" s="65" t="str"/>
      <c r="J3340" s="49" t="str"/>
      <c r="K3340" s="41" t="str"/>
      <c r="L3340" s="41" t="str"/>
      <c r="M3340" s="41" t="str"/>
      <c r="N3340" s="41" t="str"/>
      <c r="O3340" s="41" t="str"/>
      <c r="P3340" s="41" t="str"/>
      <c r="Q3340" s="41" t="str"/>
      <c r="R3340" s="41" t="str"/>
      <c r="S3340" s="41" t="str"/>
      <c r="T3340" s="41" t="str"/>
      <c r="U3340" s="41" t="str"/>
      <c r="V3340" s="41" t="str"/>
      <c r="W3340" s="41" t="str"/>
    </row>
    <row r="3341">
      <c r="B3341" s="2" t="n"/>
      <c r="C3341" s="40" t="n"/>
      <c r="D3341" s="52">
        <f t="array" ref="D3341:W3341">IF(All_Students_Scores!C3339:V3339="","",All_Students_Scores!C3339:V3339)</f>
        <v/>
      </c>
      <c r="E3341" s="57" t="str"/>
      <c r="F3341" s="49" t="str"/>
      <c r="G3341" s="59" t="str"/>
      <c r="H3341" s="64" t="str"/>
      <c r="I3341" s="65" t="str"/>
      <c r="J3341" s="49" t="str"/>
      <c r="K3341" s="41" t="str"/>
      <c r="L3341" s="41" t="str"/>
      <c r="M3341" s="41" t="str"/>
      <c r="N3341" s="41" t="str"/>
      <c r="O3341" s="41" t="str"/>
      <c r="P3341" s="41" t="str"/>
      <c r="Q3341" s="41" t="str"/>
      <c r="R3341" s="41" t="str"/>
      <c r="S3341" s="41" t="str"/>
      <c r="T3341" s="41" t="str"/>
      <c r="U3341" s="41" t="str"/>
      <c r="V3341" s="41" t="str"/>
      <c r="W3341" s="41" t="str"/>
    </row>
    <row r="3342">
      <c r="B3342" s="2" t="n"/>
      <c r="C3342" s="40" t="n"/>
      <c r="D3342" s="52">
        <f t="array" ref="D3342:W3342">IF(All_Students_Scores!C3340:V3340="","",All_Students_Scores!C3340:V3340)</f>
        <v/>
      </c>
      <c r="E3342" s="57" t="str"/>
      <c r="F3342" s="49" t="str"/>
      <c r="G3342" s="59" t="str"/>
      <c r="H3342" s="64" t="str"/>
      <c r="I3342" s="65" t="str"/>
      <c r="J3342" s="49" t="str"/>
      <c r="K3342" s="41" t="str"/>
      <c r="L3342" s="41" t="str"/>
      <c r="M3342" s="41" t="str"/>
      <c r="N3342" s="41" t="str"/>
      <c r="O3342" s="41" t="str"/>
      <c r="P3342" s="41" t="str"/>
      <c r="Q3342" s="41" t="str"/>
      <c r="R3342" s="41" t="str"/>
      <c r="S3342" s="41" t="str"/>
      <c r="T3342" s="41" t="str"/>
      <c r="U3342" s="41" t="str"/>
      <c r="V3342" s="41" t="str"/>
      <c r="W3342" s="41" t="str"/>
    </row>
    <row r="3343">
      <c r="B3343" s="2" t="n"/>
      <c r="C3343" s="40" t="n"/>
      <c r="D3343" s="52">
        <f t="array" ref="D3343:W3343">IF(All_Students_Scores!C3341:V3341="","",All_Students_Scores!C3341:V3341)</f>
        <v/>
      </c>
      <c r="E3343" s="57" t="str"/>
      <c r="F3343" s="49" t="str"/>
      <c r="G3343" s="59" t="str"/>
      <c r="H3343" s="64" t="str"/>
      <c r="I3343" s="65" t="str"/>
      <c r="J3343" s="49" t="str"/>
      <c r="K3343" s="41" t="str"/>
      <c r="L3343" s="41" t="str"/>
      <c r="M3343" s="41" t="str"/>
      <c r="N3343" s="41" t="str"/>
      <c r="O3343" s="41" t="str"/>
      <c r="P3343" s="41" t="str"/>
      <c r="Q3343" s="41" t="str"/>
      <c r="R3343" s="41" t="str"/>
      <c r="S3343" s="41" t="str"/>
      <c r="T3343" s="41" t="str"/>
      <c r="U3343" s="41" t="str"/>
      <c r="V3343" s="41" t="str"/>
      <c r="W3343" s="41" t="str"/>
    </row>
    <row r="3344">
      <c r="B3344" s="2" t="n"/>
      <c r="C3344" s="40" t="n"/>
      <c r="D3344" s="52">
        <f t="array" ref="D3344:W3344">IF(All_Students_Scores!C3342:V3342="","",All_Students_Scores!C3342:V3342)</f>
        <v/>
      </c>
      <c r="E3344" s="57" t="str"/>
      <c r="F3344" s="49" t="str"/>
      <c r="G3344" s="59" t="str"/>
      <c r="H3344" s="64" t="str"/>
      <c r="I3344" s="65" t="str"/>
      <c r="J3344" s="49" t="str"/>
      <c r="K3344" s="41" t="str"/>
      <c r="L3344" s="41" t="str"/>
      <c r="M3344" s="41" t="str"/>
      <c r="N3344" s="41" t="str"/>
      <c r="O3344" s="41" t="str"/>
      <c r="P3344" s="41" t="str"/>
      <c r="Q3344" s="41" t="str"/>
      <c r="R3344" s="41" t="str"/>
      <c r="S3344" s="41" t="str"/>
      <c r="T3344" s="41" t="str"/>
      <c r="U3344" s="41" t="str"/>
      <c r="V3344" s="41" t="str"/>
      <c r="W3344" s="41" t="str"/>
    </row>
    <row r="3345">
      <c r="B3345" s="2" t="n"/>
      <c r="C3345" s="40" t="n"/>
      <c r="D3345" s="52">
        <f t="array" ref="D3345:W3345">IF(All_Students_Scores!C3343:V3343="","",All_Students_Scores!C3343:V3343)</f>
        <v/>
      </c>
      <c r="E3345" s="57" t="str"/>
      <c r="F3345" s="49" t="str"/>
      <c r="G3345" s="59" t="str"/>
      <c r="H3345" s="64" t="str"/>
      <c r="I3345" s="65" t="str"/>
      <c r="J3345" s="49" t="str"/>
      <c r="K3345" s="41" t="str"/>
      <c r="L3345" s="41" t="str"/>
      <c r="M3345" s="41" t="str"/>
      <c r="N3345" s="41" t="str"/>
      <c r="O3345" s="41" t="str"/>
      <c r="P3345" s="41" t="str"/>
      <c r="Q3345" s="41" t="str"/>
      <c r="R3345" s="41" t="str"/>
      <c r="S3345" s="41" t="str"/>
      <c r="T3345" s="41" t="str"/>
      <c r="U3345" s="41" t="str"/>
      <c r="V3345" s="41" t="str"/>
      <c r="W3345" s="41" t="str"/>
    </row>
    <row r="3346">
      <c r="B3346" s="2" t="n"/>
      <c r="C3346" s="40" t="n"/>
      <c r="D3346" s="52">
        <f t="array" ref="D3346:W3346">IF(All_Students_Scores!C3344:V3344="","",All_Students_Scores!C3344:V3344)</f>
        <v/>
      </c>
      <c r="E3346" s="57" t="str"/>
      <c r="F3346" s="49" t="str"/>
      <c r="G3346" s="59" t="str"/>
      <c r="H3346" s="64" t="str"/>
      <c r="I3346" s="65" t="str"/>
      <c r="J3346" s="49" t="str"/>
      <c r="K3346" s="41" t="str"/>
      <c r="L3346" s="41" t="str"/>
      <c r="M3346" s="41" t="str"/>
      <c r="N3346" s="41" t="str"/>
      <c r="O3346" s="41" t="str"/>
      <c r="P3346" s="41" t="str"/>
      <c r="Q3346" s="41" t="str"/>
      <c r="R3346" s="41" t="str"/>
      <c r="S3346" s="41" t="str"/>
      <c r="T3346" s="41" t="str"/>
      <c r="U3346" s="41" t="str"/>
      <c r="V3346" s="41" t="str"/>
      <c r="W3346" s="41" t="str"/>
    </row>
    <row r="3347">
      <c r="B3347" s="2" t="n"/>
      <c r="C3347" s="40" t="n"/>
      <c r="D3347" s="52">
        <f t="array" ref="D3347:W3347">IF(All_Students_Scores!C3345:V3345="","",All_Students_Scores!C3345:V3345)</f>
        <v/>
      </c>
      <c r="E3347" s="57" t="str"/>
      <c r="F3347" s="49" t="str"/>
      <c r="G3347" s="59" t="str"/>
      <c r="H3347" s="64" t="str"/>
      <c r="I3347" s="65" t="str"/>
      <c r="J3347" s="49" t="str"/>
      <c r="K3347" s="41" t="str"/>
      <c r="L3347" s="41" t="str"/>
      <c r="M3347" s="41" t="str"/>
      <c r="N3347" s="41" t="str"/>
      <c r="O3347" s="41" t="str"/>
      <c r="P3347" s="41" t="str"/>
      <c r="Q3347" s="41" t="str"/>
      <c r="R3347" s="41" t="str"/>
      <c r="S3347" s="41" t="str"/>
      <c r="T3347" s="41" t="str"/>
      <c r="U3347" s="41" t="str"/>
      <c r="V3347" s="41" t="str"/>
      <c r="W3347" s="41" t="str"/>
    </row>
    <row r="3348">
      <c r="B3348" s="2" t="n"/>
      <c r="C3348" s="40" t="n"/>
      <c r="D3348" s="52">
        <f t="array" ref="D3348:W3348">IF(All_Students_Scores!C3346:V3346="","",All_Students_Scores!C3346:V3346)</f>
        <v/>
      </c>
      <c r="E3348" s="57" t="str"/>
      <c r="F3348" s="49" t="str"/>
      <c r="G3348" s="59" t="str"/>
      <c r="H3348" s="64" t="str"/>
      <c r="I3348" s="65" t="str"/>
      <c r="J3348" s="49" t="str"/>
      <c r="K3348" s="41" t="str"/>
      <c r="L3348" s="41" t="str"/>
      <c r="M3348" s="41" t="str"/>
      <c r="N3348" s="41" t="str"/>
      <c r="O3348" s="41" t="str"/>
      <c r="P3348" s="41" t="str"/>
      <c r="Q3348" s="41" t="str"/>
      <c r="R3348" s="41" t="str"/>
      <c r="S3348" s="41" t="str"/>
      <c r="T3348" s="41" t="str"/>
      <c r="U3348" s="41" t="str"/>
      <c r="V3348" s="41" t="str"/>
      <c r="W3348" s="41" t="str"/>
    </row>
    <row r="3349">
      <c r="B3349" s="2" t="n"/>
      <c r="C3349" s="40" t="n"/>
      <c r="D3349" s="52">
        <f t="array" ref="D3349:W3349">IF(All_Students_Scores!C3347:V3347="","",All_Students_Scores!C3347:V3347)</f>
        <v/>
      </c>
      <c r="E3349" s="57" t="str"/>
      <c r="F3349" s="49" t="str"/>
      <c r="G3349" s="59" t="str"/>
      <c r="H3349" s="64" t="str"/>
      <c r="I3349" s="65" t="str"/>
      <c r="J3349" s="49" t="str"/>
      <c r="K3349" s="41" t="str"/>
      <c r="L3349" s="41" t="str"/>
      <c r="M3349" s="41" t="str"/>
      <c r="N3349" s="41" t="str"/>
      <c r="O3349" s="41" t="str"/>
      <c r="P3349" s="41" t="str"/>
      <c r="Q3349" s="41" t="str"/>
      <c r="R3349" s="41" t="str"/>
      <c r="S3349" s="41" t="str"/>
      <c r="T3349" s="41" t="str"/>
      <c r="U3349" s="41" t="str"/>
      <c r="V3349" s="41" t="str"/>
      <c r="W3349" s="41" t="str"/>
    </row>
    <row r="3350">
      <c r="B3350" s="2" t="n"/>
      <c r="C3350" s="40" t="n"/>
      <c r="D3350" s="52">
        <f t="array" ref="D3350:W3350">IF(All_Students_Scores!C3348:V3348="","",All_Students_Scores!C3348:V3348)</f>
        <v/>
      </c>
      <c r="E3350" s="57" t="str"/>
      <c r="F3350" s="49" t="str"/>
      <c r="G3350" s="59" t="str"/>
      <c r="H3350" s="64" t="str"/>
      <c r="I3350" s="65" t="str"/>
      <c r="J3350" s="49" t="str"/>
      <c r="K3350" s="41" t="str"/>
      <c r="L3350" s="41" t="str"/>
      <c r="M3350" s="41" t="str"/>
      <c r="N3350" s="41" t="str"/>
      <c r="O3350" s="41" t="str"/>
      <c r="P3350" s="41" t="str"/>
      <c r="Q3350" s="41" t="str"/>
      <c r="R3350" s="41" t="str"/>
      <c r="S3350" s="41" t="str"/>
      <c r="T3350" s="41" t="str"/>
      <c r="U3350" s="41" t="str"/>
      <c r="V3350" s="41" t="str"/>
      <c r="W3350" s="41" t="str"/>
    </row>
    <row r="3351">
      <c r="B3351" s="2" t="n"/>
      <c r="C3351" s="40" t="n"/>
      <c r="D3351" s="52">
        <f t="array" ref="D3351:W3351">IF(All_Students_Scores!C3349:V3349="","",All_Students_Scores!C3349:V3349)</f>
        <v/>
      </c>
      <c r="E3351" s="57" t="str"/>
      <c r="F3351" s="49" t="str"/>
      <c r="G3351" s="59" t="str"/>
      <c r="H3351" s="64" t="str"/>
      <c r="I3351" s="65" t="str"/>
      <c r="J3351" s="49" t="str"/>
      <c r="K3351" s="41" t="str"/>
      <c r="L3351" s="41" t="str"/>
      <c r="M3351" s="41" t="str"/>
      <c r="N3351" s="41" t="str"/>
      <c r="O3351" s="41" t="str"/>
      <c r="P3351" s="41" t="str"/>
      <c r="Q3351" s="41" t="str"/>
      <c r="R3351" s="41" t="str"/>
      <c r="S3351" s="41" t="str"/>
      <c r="T3351" s="41" t="str"/>
      <c r="U3351" s="41" t="str"/>
      <c r="V3351" s="41" t="str"/>
      <c r="W3351" s="41" t="str"/>
    </row>
    <row r="3352">
      <c r="B3352" s="2" t="n"/>
      <c r="C3352" s="40" t="n"/>
      <c r="D3352" s="52">
        <f t="array" ref="D3352:W3352">IF(All_Students_Scores!C3350:V3350="","",All_Students_Scores!C3350:V3350)</f>
        <v/>
      </c>
      <c r="E3352" s="57" t="str"/>
      <c r="F3352" s="49" t="str"/>
      <c r="G3352" s="59" t="str"/>
      <c r="H3352" s="64" t="str"/>
      <c r="I3352" s="65" t="str"/>
      <c r="J3352" s="49" t="str"/>
      <c r="K3352" s="41" t="str"/>
      <c r="L3352" s="41" t="str"/>
      <c r="M3352" s="41" t="str"/>
      <c r="N3352" s="41" t="str"/>
      <c r="O3352" s="41" t="str"/>
      <c r="P3352" s="41" t="str"/>
      <c r="Q3352" s="41" t="str"/>
      <c r="R3352" s="41" t="str"/>
      <c r="S3352" s="41" t="str"/>
      <c r="T3352" s="41" t="str"/>
      <c r="U3352" s="41" t="str"/>
      <c r="V3352" s="41" t="str"/>
      <c r="W3352" s="41" t="str"/>
    </row>
    <row r="3353">
      <c r="B3353" s="2" t="n"/>
      <c r="C3353" s="40" t="n"/>
      <c r="D3353" s="52">
        <f t="array" ref="D3353:W3353">IF(All_Students_Scores!C3351:V3351="","",All_Students_Scores!C3351:V3351)</f>
        <v/>
      </c>
      <c r="E3353" s="57" t="str"/>
      <c r="F3353" s="49" t="str"/>
      <c r="G3353" s="59" t="str"/>
      <c r="H3353" s="64" t="str"/>
      <c r="I3353" s="65" t="str"/>
      <c r="J3353" s="49" t="str"/>
      <c r="K3353" s="41" t="str"/>
      <c r="L3353" s="41" t="str"/>
      <c r="M3353" s="41" t="str"/>
      <c r="N3353" s="41" t="str"/>
      <c r="O3353" s="41" t="str"/>
      <c r="P3353" s="41" t="str"/>
      <c r="Q3353" s="41" t="str"/>
      <c r="R3353" s="41" t="str"/>
      <c r="S3353" s="41" t="str"/>
      <c r="T3353" s="41" t="str"/>
      <c r="U3353" s="41" t="str"/>
      <c r="V3353" s="41" t="str"/>
      <c r="W3353" s="41" t="str"/>
    </row>
    <row r="3354">
      <c r="B3354" s="2" t="n"/>
      <c r="C3354" s="40" t="n"/>
      <c r="D3354" s="52">
        <f t="array" ref="D3354:W3354">IF(All_Students_Scores!C3352:V3352="","",All_Students_Scores!C3352:V3352)</f>
        <v/>
      </c>
      <c r="E3354" s="57" t="str"/>
      <c r="F3354" s="49" t="str"/>
      <c r="G3354" s="59" t="str"/>
      <c r="H3354" s="64" t="str"/>
      <c r="I3354" s="65" t="str"/>
      <c r="J3354" s="49" t="str"/>
      <c r="K3354" s="41" t="str"/>
      <c r="L3354" s="41" t="str"/>
      <c r="M3354" s="41" t="str"/>
      <c r="N3354" s="41" t="str"/>
      <c r="O3354" s="41" t="str"/>
      <c r="P3354" s="41" t="str"/>
      <c r="Q3354" s="41" t="str"/>
      <c r="R3354" s="41" t="str"/>
      <c r="S3354" s="41" t="str"/>
      <c r="T3354" s="41" t="str"/>
      <c r="U3354" s="41" t="str"/>
      <c r="V3354" s="41" t="str"/>
      <c r="W3354" s="41" t="str"/>
    </row>
    <row r="3355">
      <c r="B3355" s="2" t="n"/>
      <c r="C3355" s="40" t="n"/>
      <c r="D3355" s="52">
        <f t="array" ref="D3355:W3355">IF(All_Students_Scores!C3353:V3353="","",All_Students_Scores!C3353:V3353)</f>
        <v/>
      </c>
      <c r="E3355" s="57" t="str"/>
      <c r="F3355" s="49" t="str"/>
      <c r="G3355" s="59" t="str"/>
      <c r="H3355" s="64" t="str"/>
      <c r="I3355" s="65" t="str"/>
      <c r="J3355" s="49" t="str"/>
      <c r="K3355" s="41" t="str"/>
      <c r="L3355" s="41" t="str"/>
      <c r="M3355" s="41" t="str"/>
      <c r="N3355" s="41" t="str"/>
      <c r="O3355" s="41" t="str"/>
      <c r="P3355" s="41" t="str"/>
      <c r="Q3355" s="41" t="str"/>
      <c r="R3355" s="41" t="str"/>
      <c r="S3355" s="41" t="str"/>
      <c r="T3355" s="41" t="str"/>
      <c r="U3355" s="41" t="str"/>
      <c r="V3355" s="41" t="str"/>
      <c r="W3355" s="41" t="str"/>
    </row>
    <row r="3356">
      <c r="B3356" s="2" t="n"/>
      <c r="C3356" s="40" t="n"/>
      <c r="D3356" s="52">
        <f t="array" ref="D3356:W3356">IF(All_Students_Scores!C3354:V3354="","",All_Students_Scores!C3354:V3354)</f>
        <v/>
      </c>
      <c r="E3356" s="57" t="str"/>
      <c r="F3356" s="49" t="str"/>
      <c r="G3356" s="59" t="str"/>
      <c r="H3356" s="64" t="str"/>
      <c r="I3356" s="65" t="str"/>
      <c r="J3356" s="49" t="str"/>
      <c r="K3356" s="41" t="str"/>
      <c r="L3356" s="41" t="str"/>
      <c r="M3356" s="41" t="str"/>
      <c r="N3356" s="41" t="str"/>
      <c r="O3356" s="41" t="str"/>
      <c r="P3356" s="41" t="str"/>
      <c r="Q3356" s="41" t="str"/>
      <c r="R3356" s="41" t="str"/>
      <c r="S3356" s="41" t="str"/>
      <c r="T3356" s="41" t="str"/>
      <c r="U3356" s="41" t="str"/>
      <c r="V3356" s="41" t="str"/>
      <c r="W3356" s="41" t="str"/>
    </row>
    <row r="3357">
      <c r="B3357" s="2" t="n"/>
      <c r="C3357" s="40" t="n"/>
      <c r="D3357" s="52">
        <f t="array" ref="D3357:W3357">IF(All_Students_Scores!C3355:V3355="","",All_Students_Scores!C3355:V3355)</f>
        <v/>
      </c>
      <c r="E3357" s="57" t="str"/>
      <c r="F3357" s="49" t="str"/>
      <c r="G3357" s="59" t="str"/>
      <c r="H3357" s="64" t="str"/>
      <c r="I3357" s="65" t="str"/>
      <c r="J3357" s="49" t="str"/>
      <c r="K3357" s="41" t="str"/>
      <c r="L3357" s="41" t="str"/>
      <c r="M3357" s="41" t="str"/>
      <c r="N3357" s="41" t="str"/>
      <c r="O3357" s="41" t="str"/>
      <c r="P3357" s="41" t="str"/>
      <c r="Q3357" s="41" t="str"/>
      <c r="R3357" s="41" t="str"/>
      <c r="S3357" s="41" t="str"/>
      <c r="T3357" s="41" t="str"/>
      <c r="U3357" s="41" t="str"/>
      <c r="V3357" s="41" t="str"/>
      <c r="W3357" s="41" t="str"/>
    </row>
    <row r="3358">
      <c r="B3358" s="2" t="n"/>
      <c r="C3358" s="40" t="n"/>
      <c r="D3358" s="52">
        <f t="array" ref="D3358:W3358">IF(All_Students_Scores!C3356:V3356="","",All_Students_Scores!C3356:V3356)</f>
        <v/>
      </c>
      <c r="E3358" s="57" t="str"/>
      <c r="F3358" s="49" t="str"/>
      <c r="G3358" s="59" t="str"/>
      <c r="H3358" s="64" t="str"/>
      <c r="I3358" s="65" t="str"/>
      <c r="J3358" s="49" t="str"/>
      <c r="K3358" s="41" t="str"/>
      <c r="L3358" s="41" t="str"/>
      <c r="M3358" s="41" t="str"/>
      <c r="N3358" s="41" t="str"/>
      <c r="O3358" s="41" t="str"/>
      <c r="P3358" s="41" t="str"/>
      <c r="Q3358" s="41" t="str"/>
      <c r="R3358" s="41" t="str"/>
      <c r="S3358" s="41" t="str"/>
      <c r="T3358" s="41" t="str"/>
      <c r="U3358" s="41" t="str"/>
      <c r="V3358" s="41" t="str"/>
      <c r="W3358" s="41" t="str"/>
    </row>
    <row r="3359">
      <c r="B3359" s="2" t="n"/>
      <c r="C3359" s="40" t="n"/>
      <c r="D3359" s="52">
        <f t="array" ref="D3359:W3359">IF(All_Students_Scores!C3357:V3357="","",All_Students_Scores!C3357:V3357)</f>
        <v/>
      </c>
      <c r="E3359" s="57" t="str"/>
      <c r="F3359" s="49" t="str"/>
      <c r="G3359" s="59" t="str"/>
      <c r="H3359" s="64" t="str"/>
      <c r="I3359" s="65" t="str"/>
      <c r="J3359" s="49" t="str"/>
      <c r="K3359" s="41" t="str"/>
      <c r="L3359" s="41" t="str"/>
      <c r="M3359" s="41" t="str"/>
      <c r="N3359" s="41" t="str"/>
      <c r="O3359" s="41" t="str"/>
      <c r="P3359" s="41" t="str"/>
      <c r="Q3359" s="41" t="str"/>
      <c r="R3359" s="41" t="str"/>
      <c r="S3359" s="41" t="str"/>
      <c r="T3359" s="41" t="str"/>
      <c r="U3359" s="41" t="str"/>
      <c r="V3359" s="41" t="str"/>
      <c r="W3359" s="41" t="str"/>
    </row>
    <row r="3360">
      <c r="B3360" s="2" t="n"/>
      <c r="C3360" s="40" t="n"/>
      <c r="D3360" s="52">
        <f t="array" ref="D3360:W3360">IF(All_Students_Scores!C3358:V3358="","",All_Students_Scores!C3358:V3358)</f>
        <v/>
      </c>
      <c r="E3360" s="57" t="str"/>
      <c r="F3360" s="49" t="str"/>
      <c r="G3360" s="59" t="str"/>
      <c r="H3360" s="64" t="str"/>
      <c r="I3360" s="65" t="str"/>
      <c r="J3360" s="49" t="str"/>
      <c r="K3360" s="41" t="str"/>
      <c r="L3360" s="41" t="str"/>
      <c r="M3360" s="41" t="str"/>
      <c r="N3360" s="41" t="str"/>
      <c r="O3360" s="41" t="str"/>
      <c r="P3360" s="41" t="str"/>
      <c r="Q3360" s="41" t="str"/>
      <c r="R3360" s="41" t="str"/>
      <c r="S3360" s="41" t="str"/>
      <c r="T3360" s="41" t="str"/>
      <c r="U3360" s="41" t="str"/>
      <c r="V3360" s="41" t="str"/>
      <c r="W3360" s="41" t="str"/>
    </row>
    <row r="3361">
      <c r="B3361" s="2" t="n"/>
      <c r="C3361" s="40" t="n"/>
      <c r="D3361" s="52">
        <f t="array" ref="D3361:W3361">IF(All_Students_Scores!C3359:V3359="","",All_Students_Scores!C3359:V3359)</f>
        <v/>
      </c>
      <c r="E3361" s="57" t="str"/>
      <c r="F3361" s="49" t="str"/>
      <c r="G3361" s="59" t="str"/>
      <c r="H3361" s="64" t="str"/>
      <c r="I3361" s="65" t="str"/>
      <c r="J3361" s="49" t="str"/>
      <c r="K3361" s="41" t="str"/>
      <c r="L3361" s="41" t="str"/>
      <c r="M3361" s="41" t="str"/>
      <c r="N3361" s="41" t="str"/>
      <c r="O3361" s="41" t="str"/>
      <c r="P3361" s="41" t="str"/>
      <c r="Q3361" s="41" t="str"/>
      <c r="R3361" s="41" t="str"/>
      <c r="S3361" s="41" t="str"/>
      <c r="T3361" s="41" t="str"/>
      <c r="U3361" s="41" t="str"/>
      <c r="V3361" s="41" t="str"/>
      <c r="W3361" s="41" t="str"/>
    </row>
    <row r="3362">
      <c r="B3362" s="2" t="n"/>
      <c r="C3362" s="40" t="n"/>
      <c r="D3362" s="52">
        <f t="array" ref="D3362:W3362">IF(All_Students_Scores!C3360:V3360="","",All_Students_Scores!C3360:V3360)</f>
        <v/>
      </c>
      <c r="E3362" s="57" t="str"/>
      <c r="F3362" s="49" t="str"/>
      <c r="G3362" s="59" t="str"/>
      <c r="H3362" s="64" t="str"/>
      <c r="I3362" s="65" t="str"/>
      <c r="J3362" s="49" t="str"/>
      <c r="K3362" s="41" t="str"/>
      <c r="L3362" s="41" t="str"/>
      <c r="M3362" s="41" t="str"/>
      <c r="N3362" s="41" t="str"/>
      <c r="O3362" s="41" t="str"/>
      <c r="P3362" s="41" t="str"/>
      <c r="Q3362" s="41" t="str"/>
      <c r="R3362" s="41" t="str"/>
      <c r="S3362" s="41" t="str"/>
      <c r="T3362" s="41" t="str"/>
      <c r="U3362" s="41" t="str"/>
      <c r="V3362" s="41" t="str"/>
      <c r="W3362" s="41" t="str"/>
    </row>
    <row r="3363">
      <c r="B3363" s="2" t="n"/>
      <c r="C3363" s="40" t="n"/>
      <c r="D3363" s="52">
        <f t="array" ref="D3363:W3363">IF(All_Students_Scores!C3361:V3361="","",All_Students_Scores!C3361:V3361)</f>
        <v/>
      </c>
      <c r="E3363" s="57" t="str"/>
      <c r="F3363" s="49" t="str"/>
      <c r="G3363" s="59" t="str"/>
      <c r="H3363" s="64" t="str"/>
      <c r="I3363" s="65" t="str"/>
      <c r="J3363" s="49" t="str"/>
      <c r="K3363" s="41" t="str"/>
      <c r="L3363" s="41" t="str"/>
      <c r="M3363" s="41" t="str"/>
      <c r="N3363" s="41" t="str"/>
      <c r="O3363" s="41" t="str"/>
      <c r="P3363" s="41" t="str"/>
      <c r="Q3363" s="41" t="str"/>
      <c r="R3363" s="41" t="str"/>
      <c r="S3363" s="41" t="str"/>
      <c r="T3363" s="41" t="str"/>
      <c r="U3363" s="41" t="str"/>
      <c r="V3363" s="41" t="str"/>
      <c r="W3363" s="41" t="str"/>
    </row>
    <row r="3364">
      <c r="B3364" s="2" t="n"/>
      <c r="C3364" s="40" t="n"/>
      <c r="D3364" s="52">
        <f t="array" ref="D3364:W3364">IF(All_Students_Scores!C3362:V3362="","",All_Students_Scores!C3362:V3362)</f>
        <v/>
      </c>
      <c r="E3364" s="57" t="str"/>
      <c r="F3364" s="49" t="str"/>
      <c r="G3364" s="59" t="str"/>
      <c r="H3364" s="64" t="str"/>
      <c r="I3364" s="65" t="str"/>
      <c r="J3364" s="49" t="str"/>
      <c r="K3364" s="41" t="str"/>
      <c r="L3364" s="41" t="str"/>
      <c r="M3364" s="41" t="str"/>
      <c r="N3364" s="41" t="str"/>
      <c r="O3364" s="41" t="str"/>
      <c r="P3364" s="41" t="str"/>
      <c r="Q3364" s="41" t="str"/>
      <c r="R3364" s="41" t="str"/>
      <c r="S3364" s="41" t="str"/>
      <c r="T3364" s="41" t="str"/>
      <c r="U3364" s="41" t="str"/>
      <c r="V3364" s="41" t="str"/>
      <c r="W3364" s="41" t="str"/>
    </row>
    <row r="3365">
      <c r="B3365" s="2" t="n"/>
      <c r="C3365" s="40" t="n"/>
      <c r="D3365" s="52">
        <f t="array" ref="D3365:W3365">IF(All_Students_Scores!C3363:V3363="","",All_Students_Scores!C3363:V3363)</f>
        <v/>
      </c>
      <c r="E3365" s="57" t="str"/>
      <c r="F3365" s="49" t="str"/>
      <c r="G3365" s="59" t="str"/>
      <c r="H3365" s="64" t="str"/>
      <c r="I3365" s="65" t="str"/>
      <c r="J3365" s="49" t="str"/>
      <c r="K3365" s="41" t="str"/>
      <c r="L3365" s="41" t="str"/>
      <c r="M3365" s="41" t="str"/>
      <c r="N3365" s="41" t="str"/>
      <c r="O3365" s="41" t="str"/>
      <c r="P3365" s="41" t="str"/>
      <c r="Q3365" s="41" t="str"/>
      <c r="R3365" s="41" t="str"/>
      <c r="S3365" s="41" t="str"/>
      <c r="T3365" s="41" t="str"/>
      <c r="U3365" s="41" t="str"/>
      <c r="V3365" s="41" t="str"/>
      <c r="W3365" s="41" t="str"/>
    </row>
    <row r="3366">
      <c r="B3366" s="2" t="n"/>
      <c r="C3366" s="40" t="n"/>
      <c r="D3366" s="52">
        <f t="array" ref="D3366:W3366">IF(All_Students_Scores!C3364:V3364="","",All_Students_Scores!C3364:V3364)</f>
        <v/>
      </c>
      <c r="E3366" s="57" t="str"/>
      <c r="F3366" s="49" t="str"/>
      <c r="G3366" s="59" t="str"/>
      <c r="H3366" s="64" t="str"/>
      <c r="I3366" s="65" t="str"/>
      <c r="J3366" s="49" t="str"/>
      <c r="K3366" s="41" t="str"/>
      <c r="L3366" s="41" t="str"/>
      <c r="M3366" s="41" t="str"/>
      <c r="N3366" s="41" t="str"/>
      <c r="O3366" s="41" t="str"/>
      <c r="P3366" s="41" t="str"/>
      <c r="Q3366" s="41" t="str"/>
      <c r="R3366" s="41" t="str"/>
      <c r="S3366" s="41" t="str"/>
      <c r="T3366" s="41" t="str"/>
      <c r="U3366" s="41" t="str"/>
      <c r="V3366" s="41" t="str"/>
      <c r="W3366" s="41" t="str"/>
    </row>
    <row r="3367">
      <c r="B3367" s="2" t="n"/>
      <c r="C3367" s="40" t="n"/>
      <c r="D3367" s="52">
        <f t="array" ref="D3367:W3367">IF(All_Students_Scores!C3365:V3365="","",All_Students_Scores!C3365:V3365)</f>
        <v/>
      </c>
      <c r="E3367" s="57" t="str"/>
      <c r="F3367" s="49" t="str"/>
      <c r="G3367" s="59" t="str"/>
      <c r="H3367" s="64" t="str"/>
      <c r="I3367" s="65" t="str"/>
      <c r="J3367" s="49" t="str"/>
      <c r="K3367" s="41" t="str"/>
      <c r="L3367" s="41" t="str"/>
      <c r="M3367" s="41" t="str"/>
      <c r="N3367" s="41" t="str"/>
      <c r="O3367" s="41" t="str"/>
      <c r="P3367" s="41" t="str"/>
      <c r="Q3367" s="41" t="str"/>
      <c r="R3367" s="41" t="str"/>
      <c r="S3367" s="41" t="str"/>
      <c r="T3367" s="41" t="str"/>
      <c r="U3367" s="41" t="str"/>
      <c r="V3367" s="41" t="str"/>
      <c r="W3367" s="41" t="str"/>
    </row>
    <row r="3368">
      <c r="B3368" s="2" t="n"/>
      <c r="C3368" s="40" t="n"/>
      <c r="D3368" s="52">
        <f t="array" ref="D3368:W3368">IF(All_Students_Scores!C3366:V3366="","",All_Students_Scores!C3366:V3366)</f>
        <v/>
      </c>
      <c r="E3368" s="57" t="str"/>
      <c r="F3368" s="49" t="str"/>
      <c r="G3368" s="59" t="str"/>
      <c r="H3368" s="64" t="str"/>
      <c r="I3368" s="65" t="str"/>
      <c r="J3368" s="49" t="str"/>
      <c r="K3368" s="41" t="str"/>
      <c r="L3368" s="41" t="str"/>
      <c r="M3368" s="41" t="str"/>
      <c r="N3368" s="41" t="str"/>
      <c r="O3368" s="41" t="str"/>
      <c r="P3368" s="41" t="str"/>
      <c r="Q3368" s="41" t="str"/>
      <c r="R3368" s="41" t="str"/>
      <c r="S3368" s="41" t="str"/>
      <c r="T3368" s="41" t="str"/>
      <c r="U3368" s="41" t="str"/>
      <c r="V3368" s="41" t="str"/>
      <c r="W3368" s="41" t="str"/>
    </row>
    <row r="3369">
      <c r="B3369" s="2" t="n"/>
      <c r="C3369" s="40" t="n"/>
      <c r="D3369" s="52">
        <f t="array" ref="D3369:W3369">IF(All_Students_Scores!C3367:V3367="","",All_Students_Scores!C3367:V3367)</f>
        <v/>
      </c>
      <c r="E3369" s="57" t="str"/>
      <c r="F3369" s="49" t="str"/>
      <c r="G3369" s="59" t="str"/>
      <c r="H3369" s="64" t="str"/>
      <c r="I3369" s="65" t="str"/>
      <c r="J3369" s="49" t="str"/>
      <c r="K3369" s="41" t="str"/>
      <c r="L3369" s="41" t="str"/>
      <c r="M3369" s="41" t="str"/>
      <c r="N3369" s="41" t="str"/>
      <c r="O3369" s="41" t="str"/>
      <c r="P3369" s="41" t="str"/>
      <c r="Q3369" s="41" t="str"/>
      <c r="R3369" s="41" t="str"/>
      <c r="S3369" s="41" t="str"/>
      <c r="T3369" s="41" t="str"/>
      <c r="U3369" s="41" t="str"/>
      <c r="V3369" s="41" t="str"/>
      <c r="W3369" s="41" t="str"/>
    </row>
    <row r="3370">
      <c r="B3370" s="2" t="n"/>
      <c r="C3370" s="40" t="n"/>
      <c r="D3370" s="52">
        <f t="array" ref="D3370:W3370">IF(All_Students_Scores!C3368:V3368="","",All_Students_Scores!C3368:V3368)</f>
        <v/>
      </c>
      <c r="E3370" s="57" t="str"/>
      <c r="F3370" s="49" t="str"/>
      <c r="G3370" s="59" t="str"/>
      <c r="H3370" s="64" t="str"/>
      <c r="I3370" s="65" t="str"/>
      <c r="J3370" s="49" t="str"/>
      <c r="K3370" s="41" t="str"/>
      <c r="L3370" s="41" t="str"/>
      <c r="M3370" s="41" t="str"/>
      <c r="N3370" s="41" t="str"/>
      <c r="O3370" s="41" t="str"/>
      <c r="P3370" s="41" t="str"/>
      <c r="Q3370" s="41" t="str"/>
      <c r="R3370" s="41" t="str"/>
      <c r="S3370" s="41" t="str"/>
      <c r="T3370" s="41" t="str"/>
      <c r="U3370" s="41" t="str"/>
      <c r="V3370" s="41" t="str"/>
      <c r="W3370" s="41" t="str"/>
    </row>
    <row r="3371">
      <c r="B3371" s="2" t="n"/>
      <c r="C3371" s="40" t="n"/>
      <c r="D3371" s="52">
        <f t="array" ref="D3371:W3371">IF(All_Students_Scores!C3369:V3369="","",All_Students_Scores!C3369:V3369)</f>
        <v/>
      </c>
      <c r="E3371" s="57" t="str"/>
      <c r="F3371" s="49" t="str"/>
      <c r="G3371" s="59" t="str"/>
      <c r="H3371" s="64" t="str"/>
      <c r="I3371" s="65" t="str"/>
      <c r="J3371" s="49" t="str"/>
      <c r="K3371" s="41" t="str"/>
      <c r="L3371" s="41" t="str"/>
      <c r="M3371" s="41" t="str"/>
      <c r="N3371" s="41" t="str"/>
      <c r="O3371" s="41" t="str"/>
      <c r="P3371" s="41" t="str"/>
      <c r="Q3371" s="41" t="str"/>
      <c r="R3371" s="41" t="str"/>
      <c r="S3371" s="41" t="str"/>
      <c r="T3371" s="41" t="str"/>
      <c r="U3371" s="41" t="str"/>
      <c r="V3371" s="41" t="str"/>
      <c r="W3371" s="41" t="str"/>
    </row>
    <row r="3372">
      <c r="B3372" s="2" t="n"/>
      <c r="C3372" s="40" t="n"/>
      <c r="D3372" s="52">
        <f t="array" ref="D3372:W3372">IF(All_Students_Scores!C3370:V3370="","",All_Students_Scores!C3370:V3370)</f>
        <v/>
      </c>
      <c r="E3372" s="57" t="str"/>
      <c r="F3372" s="49" t="str"/>
      <c r="G3372" s="59" t="str"/>
      <c r="H3372" s="64" t="str"/>
      <c r="I3372" s="65" t="str"/>
      <c r="J3372" s="49" t="str"/>
      <c r="K3372" s="41" t="str"/>
      <c r="L3372" s="41" t="str"/>
      <c r="M3372" s="41" t="str"/>
      <c r="N3372" s="41" t="str"/>
      <c r="O3372" s="41" t="str"/>
      <c r="P3372" s="41" t="str"/>
      <c r="Q3372" s="41" t="str"/>
      <c r="R3372" s="41" t="str"/>
      <c r="S3372" s="41" t="str"/>
      <c r="T3372" s="41" t="str"/>
      <c r="U3372" s="41" t="str"/>
      <c r="V3372" s="41" t="str"/>
      <c r="W3372" s="41" t="str"/>
    </row>
    <row r="3373">
      <c r="B3373" s="2" t="n"/>
      <c r="C3373" s="40" t="n"/>
      <c r="D3373" s="52">
        <f t="array" ref="D3373:W3373">IF(All_Students_Scores!C3371:V3371="","",All_Students_Scores!C3371:V3371)</f>
        <v/>
      </c>
      <c r="E3373" s="57" t="str"/>
      <c r="F3373" s="49" t="str"/>
      <c r="G3373" s="59" t="str"/>
      <c r="H3373" s="64" t="str"/>
      <c r="I3373" s="65" t="str"/>
      <c r="J3373" s="49" t="str"/>
      <c r="K3373" s="41" t="str"/>
      <c r="L3373" s="41" t="str"/>
      <c r="M3373" s="41" t="str"/>
      <c r="N3373" s="41" t="str"/>
      <c r="O3373" s="41" t="str"/>
      <c r="P3373" s="41" t="str"/>
      <c r="Q3373" s="41" t="str"/>
      <c r="R3373" s="41" t="str"/>
      <c r="S3373" s="41" t="str"/>
      <c r="T3373" s="41" t="str"/>
      <c r="U3373" s="41" t="str"/>
      <c r="V3373" s="41" t="str"/>
      <c r="W3373" s="41" t="str"/>
    </row>
    <row r="3374">
      <c r="B3374" s="2" t="n"/>
      <c r="C3374" s="40" t="n"/>
      <c r="D3374" s="52">
        <f t="array" ref="D3374:W3374">IF(All_Students_Scores!C3372:V3372="","",All_Students_Scores!C3372:V3372)</f>
        <v/>
      </c>
      <c r="E3374" s="57" t="str"/>
      <c r="F3374" s="49" t="str"/>
      <c r="G3374" s="59" t="str"/>
      <c r="H3374" s="64" t="str"/>
      <c r="I3374" s="65" t="str"/>
      <c r="J3374" s="49" t="str"/>
      <c r="K3374" s="41" t="str"/>
      <c r="L3374" s="41" t="str"/>
      <c r="M3374" s="41" t="str"/>
      <c r="N3374" s="41" t="str"/>
      <c r="O3374" s="41" t="str"/>
      <c r="P3374" s="41" t="str"/>
      <c r="Q3374" s="41" t="str"/>
      <c r="R3374" s="41" t="str"/>
      <c r="S3374" s="41" t="str"/>
      <c r="T3374" s="41" t="str"/>
      <c r="U3374" s="41" t="str"/>
      <c r="V3374" s="41" t="str"/>
      <c r="W3374" s="41" t="str"/>
    </row>
    <row r="3375">
      <c r="B3375" s="2" t="n"/>
      <c r="C3375" s="40" t="n"/>
      <c r="D3375" s="52">
        <f t="array" ref="D3375:W3375">IF(All_Students_Scores!C3373:V3373="","",All_Students_Scores!C3373:V3373)</f>
        <v/>
      </c>
      <c r="E3375" s="57" t="str"/>
      <c r="F3375" s="49" t="str"/>
      <c r="G3375" s="59" t="str"/>
      <c r="H3375" s="64" t="str"/>
      <c r="I3375" s="65" t="str"/>
      <c r="J3375" s="49" t="str"/>
      <c r="K3375" s="41" t="str"/>
      <c r="L3375" s="41" t="str"/>
      <c r="M3375" s="41" t="str"/>
      <c r="N3375" s="41" t="str"/>
      <c r="O3375" s="41" t="str"/>
      <c r="P3375" s="41" t="str"/>
      <c r="Q3375" s="41" t="str"/>
      <c r="R3375" s="41" t="str"/>
      <c r="S3375" s="41" t="str"/>
      <c r="T3375" s="41" t="str"/>
      <c r="U3375" s="41" t="str"/>
      <c r="V3375" s="41" t="str"/>
      <c r="W3375" s="41" t="str"/>
    </row>
    <row r="3376">
      <c r="B3376" s="2" t="n"/>
      <c r="C3376" s="40" t="n"/>
      <c r="D3376" s="52">
        <f t="array" ref="D3376:W3376">IF(All_Students_Scores!C3374:V3374="","",All_Students_Scores!C3374:V3374)</f>
        <v/>
      </c>
      <c r="E3376" s="57" t="str"/>
      <c r="F3376" s="49" t="str"/>
      <c r="G3376" s="59" t="str"/>
      <c r="H3376" s="64" t="str"/>
      <c r="I3376" s="65" t="str"/>
      <c r="J3376" s="49" t="str"/>
      <c r="K3376" s="41" t="str"/>
      <c r="L3376" s="41" t="str"/>
      <c r="M3376" s="41" t="str"/>
      <c r="N3376" s="41" t="str"/>
      <c r="O3376" s="41" t="str"/>
      <c r="P3376" s="41" t="str"/>
      <c r="Q3376" s="41" t="str"/>
      <c r="R3376" s="41" t="str"/>
      <c r="S3376" s="41" t="str"/>
      <c r="T3376" s="41" t="str"/>
      <c r="U3376" s="41" t="str"/>
      <c r="V3376" s="41" t="str"/>
      <c r="W3376" s="41" t="str"/>
    </row>
    <row r="3377">
      <c r="B3377" s="2" t="n"/>
      <c r="C3377" s="40" t="n"/>
      <c r="D3377" s="52">
        <f t="array" ref="D3377:W3377">IF(All_Students_Scores!C3375:V3375="","",All_Students_Scores!C3375:V3375)</f>
        <v/>
      </c>
      <c r="E3377" s="57" t="str"/>
      <c r="F3377" s="49" t="str"/>
      <c r="G3377" s="59" t="str"/>
      <c r="H3377" s="64" t="str"/>
      <c r="I3377" s="65" t="str"/>
      <c r="J3377" s="49" t="str"/>
      <c r="K3377" s="41" t="str"/>
      <c r="L3377" s="41" t="str"/>
      <c r="M3377" s="41" t="str"/>
      <c r="N3377" s="41" t="str"/>
      <c r="O3377" s="41" t="str"/>
      <c r="P3377" s="41" t="str"/>
      <c r="Q3377" s="41" t="str"/>
      <c r="R3377" s="41" t="str"/>
      <c r="S3377" s="41" t="str"/>
      <c r="T3377" s="41" t="str"/>
      <c r="U3377" s="41" t="str"/>
      <c r="V3377" s="41" t="str"/>
      <c r="W3377" s="41" t="str"/>
    </row>
    <row r="3378">
      <c r="B3378" s="2" t="n"/>
      <c r="C3378" s="40" t="n"/>
      <c r="D3378" s="52">
        <f t="array" ref="D3378:W3378">IF(All_Students_Scores!C3376:V3376="","",All_Students_Scores!C3376:V3376)</f>
        <v/>
      </c>
      <c r="E3378" s="57" t="str"/>
      <c r="F3378" s="49" t="str"/>
      <c r="G3378" s="59" t="str"/>
      <c r="H3378" s="64" t="str"/>
      <c r="I3378" s="65" t="str"/>
      <c r="J3378" s="49" t="str"/>
      <c r="K3378" s="41" t="str"/>
      <c r="L3378" s="41" t="str"/>
      <c r="M3378" s="41" t="str"/>
      <c r="N3378" s="41" t="str"/>
      <c r="O3378" s="41" t="str"/>
      <c r="P3378" s="41" t="str"/>
      <c r="Q3378" s="41" t="str"/>
      <c r="R3378" s="41" t="str"/>
      <c r="S3378" s="41" t="str"/>
      <c r="T3378" s="41" t="str"/>
      <c r="U3378" s="41" t="str"/>
      <c r="V3378" s="41" t="str"/>
      <c r="W3378" s="41" t="str"/>
    </row>
    <row r="3379">
      <c r="B3379" s="2" t="n"/>
      <c r="C3379" s="40" t="n"/>
      <c r="D3379" s="52">
        <f t="array" ref="D3379:W3379">IF(All_Students_Scores!C3377:V3377="","",All_Students_Scores!C3377:V3377)</f>
        <v/>
      </c>
      <c r="E3379" s="57" t="str"/>
      <c r="F3379" s="49" t="str"/>
      <c r="G3379" s="59" t="str"/>
      <c r="H3379" s="64" t="str"/>
      <c r="I3379" s="65" t="str"/>
      <c r="J3379" s="49" t="str"/>
      <c r="K3379" s="41" t="str"/>
      <c r="L3379" s="41" t="str"/>
      <c r="M3379" s="41" t="str"/>
      <c r="N3379" s="41" t="str"/>
      <c r="O3379" s="41" t="str"/>
      <c r="P3379" s="41" t="str"/>
      <c r="Q3379" s="41" t="str"/>
      <c r="R3379" s="41" t="str"/>
      <c r="S3379" s="41" t="str"/>
      <c r="T3379" s="41" t="str"/>
      <c r="U3379" s="41" t="str"/>
      <c r="V3379" s="41" t="str"/>
      <c r="W3379" s="41" t="str"/>
    </row>
    <row r="3380">
      <c r="B3380" s="2" t="n"/>
      <c r="C3380" s="40" t="n"/>
      <c r="D3380" s="52">
        <f t="array" ref="D3380:W3380">IF(All_Students_Scores!C3378:V3378="","",All_Students_Scores!C3378:V3378)</f>
        <v/>
      </c>
      <c r="E3380" s="57" t="str"/>
      <c r="F3380" s="49" t="str"/>
      <c r="G3380" s="59" t="str"/>
      <c r="H3380" s="64" t="str"/>
      <c r="I3380" s="65" t="str"/>
      <c r="J3380" s="49" t="str"/>
      <c r="K3380" s="41" t="str"/>
      <c r="L3380" s="41" t="str"/>
      <c r="M3380" s="41" t="str"/>
      <c r="N3380" s="41" t="str"/>
      <c r="O3380" s="41" t="str"/>
      <c r="P3380" s="41" t="str"/>
      <c r="Q3380" s="41" t="str"/>
      <c r="R3380" s="41" t="str"/>
      <c r="S3380" s="41" t="str"/>
      <c r="T3380" s="41" t="str"/>
      <c r="U3380" s="41" t="str"/>
      <c r="V3380" s="41" t="str"/>
      <c r="W3380" s="41" t="str"/>
    </row>
    <row r="3381">
      <c r="B3381" s="2" t="n"/>
      <c r="C3381" s="40" t="n"/>
      <c r="D3381" s="52">
        <f t="array" ref="D3381:W3381">IF(All_Students_Scores!C3379:V3379="","",All_Students_Scores!C3379:V3379)</f>
        <v/>
      </c>
      <c r="E3381" s="57" t="str"/>
      <c r="F3381" s="49" t="str"/>
      <c r="G3381" s="59" t="str"/>
      <c r="H3381" s="64" t="str"/>
      <c r="I3381" s="65" t="str"/>
      <c r="J3381" s="49" t="str"/>
      <c r="K3381" s="41" t="str"/>
      <c r="L3381" s="41" t="str"/>
      <c r="M3381" s="41" t="str"/>
      <c r="N3381" s="41" t="str"/>
      <c r="O3381" s="41" t="str"/>
      <c r="P3381" s="41" t="str"/>
      <c r="Q3381" s="41" t="str"/>
      <c r="R3381" s="41" t="str"/>
      <c r="S3381" s="41" t="str"/>
      <c r="T3381" s="41" t="str"/>
      <c r="U3381" s="41" t="str"/>
      <c r="V3381" s="41" t="str"/>
      <c r="W3381" s="41" t="str"/>
    </row>
    <row r="3382">
      <c r="B3382" s="2" t="n"/>
      <c r="C3382" s="40" t="n"/>
      <c r="D3382" s="52">
        <f t="array" ref="D3382:W3382">IF(All_Students_Scores!C3380:V3380="","",All_Students_Scores!C3380:V3380)</f>
        <v/>
      </c>
      <c r="E3382" s="57" t="str"/>
      <c r="F3382" s="49" t="str"/>
      <c r="G3382" s="59" t="str"/>
      <c r="H3382" s="64" t="str"/>
      <c r="I3382" s="65" t="str"/>
      <c r="J3382" s="49" t="str"/>
      <c r="K3382" s="41" t="str"/>
      <c r="L3382" s="41" t="str"/>
      <c r="M3382" s="41" t="str"/>
      <c r="N3382" s="41" t="str"/>
      <c r="O3382" s="41" t="str"/>
      <c r="P3382" s="41" t="str"/>
      <c r="Q3382" s="41" t="str"/>
      <c r="R3382" s="41" t="str"/>
      <c r="S3382" s="41" t="str"/>
      <c r="T3382" s="41" t="str"/>
      <c r="U3382" s="41" t="str"/>
      <c r="V3382" s="41" t="str"/>
      <c r="W3382" s="41" t="str"/>
    </row>
    <row r="3383">
      <c r="B3383" s="2" t="n"/>
      <c r="C3383" s="40" t="n"/>
      <c r="D3383" s="52">
        <f t="array" ref="D3383:W3383">IF(All_Students_Scores!C3381:V3381="","",All_Students_Scores!C3381:V3381)</f>
        <v/>
      </c>
      <c r="E3383" s="57" t="str"/>
      <c r="F3383" s="49" t="str"/>
      <c r="G3383" s="59" t="str"/>
      <c r="H3383" s="64" t="str"/>
      <c r="I3383" s="65" t="str"/>
      <c r="J3383" s="49" t="str"/>
      <c r="K3383" s="41" t="str"/>
      <c r="L3383" s="41" t="str"/>
      <c r="M3383" s="41" t="str"/>
      <c r="N3383" s="41" t="str"/>
      <c r="O3383" s="41" t="str"/>
      <c r="P3383" s="41" t="str"/>
      <c r="Q3383" s="41" t="str"/>
      <c r="R3383" s="41" t="str"/>
      <c r="S3383" s="41" t="str"/>
      <c r="T3383" s="41" t="str"/>
      <c r="U3383" s="41" t="str"/>
      <c r="V3383" s="41" t="str"/>
      <c r="W3383" s="41" t="str"/>
    </row>
    <row r="3384">
      <c r="B3384" s="2" t="n"/>
      <c r="C3384" s="40" t="n"/>
      <c r="D3384" s="52">
        <f t="array" ref="D3384:W3384">IF(All_Students_Scores!C3382:V3382="","",All_Students_Scores!C3382:V3382)</f>
        <v/>
      </c>
      <c r="E3384" s="57" t="str"/>
      <c r="F3384" s="49" t="str"/>
      <c r="G3384" s="59" t="str"/>
      <c r="H3384" s="64" t="str"/>
      <c r="I3384" s="65" t="str"/>
      <c r="J3384" s="49" t="str"/>
      <c r="K3384" s="41" t="str"/>
      <c r="L3384" s="41" t="str"/>
      <c r="M3384" s="41" t="str"/>
      <c r="N3384" s="41" t="str"/>
      <c r="O3384" s="41" t="str"/>
      <c r="P3384" s="41" t="str"/>
      <c r="Q3384" s="41" t="str"/>
      <c r="R3384" s="41" t="str"/>
      <c r="S3384" s="41" t="str"/>
      <c r="T3384" s="41" t="str"/>
      <c r="U3384" s="41" t="str"/>
      <c r="V3384" s="41" t="str"/>
      <c r="W3384" s="41" t="str"/>
    </row>
    <row r="3385">
      <c r="B3385" s="2" t="n"/>
      <c r="C3385" s="40" t="n"/>
      <c r="D3385" s="52">
        <f t="array" ref="D3385:W3385">IF(All_Students_Scores!C3383:V3383="","",All_Students_Scores!C3383:V3383)</f>
        <v/>
      </c>
      <c r="E3385" s="57" t="str"/>
      <c r="F3385" s="49" t="str"/>
      <c r="G3385" s="59" t="str"/>
      <c r="H3385" s="64" t="str"/>
      <c r="I3385" s="65" t="str"/>
      <c r="J3385" s="49" t="str"/>
      <c r="K3385" s="41" t="str"/>
      <c r="L3385" s="41" t="str"/>
      <c r="M3385" s="41" t="str"/>
      <c r="N3385" s="41" t="str"/>
      <c r="O3385" s="41" t="str"/>
      <c r="P3385" s="41" t="str"/>
      <c r="Q3385" s="41" t="str"/>
      <c r="R3385" s="41" t="str"/>
      <c r="S3385" s="41" t="str"/>
      <c r="T3385" s="41" t="str"/>
      <c r="U3385" s="41" t="str"/>
      <c r="V3385" s="41" t="str"/>
      <c r="W3385" s="41" t="str"/>
    </row>
    <row r="3386">
      <c r="B3386" s="2" t="n"/>
      <c r="C3386" s="40" t="n"/>
      <c r="D3386" s="52">
        <f t="array" ref="D3386:W3386">IF(All_Students_Scores!C3384:V3384="","",All_Students_Scores!C3384:V3384)</f>
        <v/>
      </c>
      <c r="E3386" s="57" t="str"/>
      <c r="F3386" s="49" t="str"/>
      <c r="G3386" s="59" t="str"/>
      <c r="H3386" s="64" t="str"/>
      <c r="I3386" s="65" t="str"/>
      <c r="J3386" s="49" t="str"/>
      <c r="K3386" s="41" t="str"/>
      <c r="L3386" s="41" t="str"/>
      <c r="M3386" s="41" t="str"/>
      <c r="N3386" s="41" t="str"/>
      <c r="O3386" s="41" t="str"/>
      <c r="P3386" s="41" t="str"/>
      <c r="Q3386" s="41" t="str"/>
      <c r="R3386" s="41" t="str"/>
      <c r="S3386" s="41" t="str"/>
      <c r="T3386" s="41" t="str"/>
      <c r="U3386" s="41" t="str"/>
      <c r="V3386" s="41" t="str"/>
      <c r="W3386" s="41" t="str"/>
    </row>
    <row r="3387">
      <c r="B3387" s="2" t="n"/>
      <c r="C3387" s="40" t="n"/>
      <c r="D3387" s="52">
        <f t="array" ref="D3387:W3387">IF(All_Students_Scores!C3385:V3385="","",All_Students_Scores!C3385:V3385)</f>
        <v/>
      </c>
      <c r="E3387" s="57" t="str"/>
      <c r="F3387" s="49" t="str"/>
      <c r="G3387" s="59" t="str"/>
      <c r="H3387" s="64" t="str"/>
      <c r="I3387" s="65" t="str"/>
      <c r="J3387" s="49" t="str"/>
      <c r="K3387" s="41" t="str"/>
      <c r="L3387" s="41" t="str"/>
      <c r="M3387" s="41" t="str"/>
      <c r="N3387" s="41" t="str"/>
      <c r="O3387" s="41" t="str"/>
      <c r="P3387" s="41" t="str"/>
      <c r="Q3387" s="41" t="str"/>
      <c r="R3387" s="41" t="str"/>
      <c r="S3387" s="41" t="str"/>
      <c r="T3387" s="41" t="str"/>
      <c r="U3387" s="41" t="str"/>
      <c r="V3387" s="41" t="str"/>
      <c r="W3387" s="41" t="str"/>
    </row>
    <row r="3388">
      <c r="B3388" s="2" t="n"/>
      <c r="C3388" s="40" t="n"/>
      <c r="D3388" s="52">
        <f t="array" ref="D3388:W3388">IF(All_Students_Scores!C3386:V3386="","",All_Students_Scores!C3386:V3386)</f>
        <v/>
      </c>
      <c r="E3388" s="57" t="str"/>
      <c r="F3388" s="49" t="str"/>
      <c r="G3388" s="59" t="str"/>
      <c r="H3388" s="64" t="str"/>
      <c r="I3388" s="65" t="str"/>
      <c r="J3388" s="49" t="str"/>
      <c r="K3388" s="41" t="str"/>
      <c r="L3388" s="41" t="str"/>
      <c r="M3388" s="41" t="str"/>
      <c r="N3388" s="41" t="str"/>
      <c r="O3388" s="41" t="str"/>
      <c r="P3388" s="41" t="str"/>
      <c r="Q3388" s="41" t="str"/>
      <c r="R3388" s="41" t="str"/>
      <c r="S3388" s="41" t="str"/>
      <c r="T3388" s="41" t="str"/>
      <c r="U3388" s="41" t="str"/>
      <c r="V3388" s="41" t="str"/>
      <c r="W3388" s="41" t="str"/>
    </row>
    <row r="3389">
      <c r="B3389" s="2" t="n"/>
      <c r="C3389" s="40" t="n"/>
      <c r="D3389" s="52">
        <f t="array" ref="D3389:W3389">IF(All_Students_Scores!C3387:V3387="","",All_Students_Scores!C3387:V3387)</f>
        <v/>
      </c>
      <c r="E3389" s="57" t="str"/>
      <c r="F3389" s="49" t="str"/>
      <c r="G3389" s="59" t="str"/>
      <c r="H3389" s="64" t="str"/>
      <c r="I3389" s="65" t="str"/>
      <c r="J3389" s="49" t="str"/>
      <c r="K3389" s="41" t="str"/>
      <c r="L3389" s="41" t="str"/>
      <c r="M3389" s="41" t="str"/>
      <c r="N3389" s="41" t="str"/>
      <c r="O3389" s="41" t="str"/>
      <c r="P3389" s="41" t="str"/>
      <c r="Q3389" s="41" t="str"/>
      <c r="R3389" s="41" t="str"/>
      <c r="S3389" s="41" t="str"/>
      <c r="T3389" s="41" t="str"/>
      <c r="U3389" s="41" t="str"/>
      <c r="V3389" s="41" t="str"/>
      <c r="W3389" s="41" t="str"/>
    </row>
    <row r="3390">
      <c r="B3390" s="2" t="n"/>
      <c r="C3390" s="40" t="n"/>
      <c r="D3390" s="52">
        <f t="array" ref="D3390:W3390">IF(All_Students_Scores!C3388:V3388="","",All_Students_Scores!C3388:V3388)</f>
        <v/>
      </c>
      <c r="E3390" s="57" t="str"/>
      <c r="F3390" s="49" t="str"/>
      <c r="G3390" s="59" t="str"/>
      <c r="H3390" s="64" t="str"/>
      <c r="I3390" s="65" t="str"/>
      <c r="J3390" s="49" t="str"/>
      <c r="K3390" s="41" t="str"/>
      <c r="L3390" s="41" t="str"/>
      <c r="M3390" s="41" t="str"/>
      <c r="N3390" s="41" t="str"/>
      <c r="O3390" s="41" t="str"/>
      <c r="P3390" s="41" t="str"/>
      <c r="Q3390" s="41" t="str"/>
      <c r="R3390" s="41" t="str"/>
      <c r="S3390" s="41" t="str"/>
      <c r="T3390" s="41" t="str"/>
      <c r="U3390" s="41" t="str"/>
      <c r="V3390" s="41" t="str"/>
      <c r="W3390" s="41" t="str"/>
    </row>
    <row r="3391">
      <c r="B3391" s="2" t="n"/>
      <c r="C3391" s="40" t="n"/>
      <c r="D3391" s="52">
        <f t="array" ref="D3391:W3391">IF(All_Students_Scores!C3389:V3389="","",All_Students_Scores!C3389:V3389)</f>
        <v/>
      </c>
      <c r="E3391" s="57" t="str"/>
      <c r="F3391" s="49" t="str"/>
      <c r="G3391" s="59" t="str"/>
      <c r="H3391" s="64" t="str"/>
      <c r="I3391" s="65" t="str"/>
      <c r="J3391" s="49" t="str"/>
      <c r="K3391" s="41" t="str"/>
      <c r="L3391" s="41" t="str"/>
      <c r="M3391" s="41" t="str"/>
      <c r="N3391" s="41" t="str"/>
      <c r="O3391" s="41" t="str"/>
      <c r="P3391" s="41" t="str"/>
      <c r="Q3391" s="41" t="str"/>
      <c r="R3391" s="41" t="str"/>
      <c r="S3391" s="41" t="str"/>
      <c r="T3391" s="41" t="str"/>
      <c r="U3391" s="41" t="str"/>
      <c r="V3391" s="41" t="str"/>
      <c r="W3391" s="41" t="str"/>
    </row>
    <row r="3392">
      <c r="B3392" s="2" t="n"/>
      <c r="C3392" s="40" t="n"/>
      <c r="D3392" s="52">
        <f t="array" ref="D3392:W3392">IF(All_Students_Scores!C3390:V3390="","",All_Students_Scores!C3390:V3390)</f>
        <v/>
      </c>
      <c r="E3392" s="57" t="str"/>
      <c r="F3392" s="49" t="str"/>
      <c r="G3392" s="59" t="str"/>
      <c r="H3392" s="64" t="str"/>
      <c r="I3392" s="65" t="str"/>
      <c r="J3392" s="49" t="str"/>
      <c r="K3392" s="41" t="str"/>
      <c r="L3392" s="41" t="str"/>
      <c r="M3392" s="41" t="str"/>
      <c r="N3392" s="41" t="str"/>
      <c r="O3392" s="41" t="str"/>
      <c r="P3392" s="41" t="str"/>
      <c r="Q3392" s="41" t="str"/>
      <c r="R3392" s="41" t="str"/>
      <c r="S3392" s="41" t="str"/>
      <c r="T3392" s="41" t="str"/>
      <c r="U3392" s="41" t="str"/>
      <c r="V3392" s="41" t="str"/>
      <c r="W3392" s="41" t="str"/>
    </row>
    <row r="3393">
      <c r="B3393" s="2" t="n"/>
      <c r="C3393" s="40" t="n"/>
      <c r="D3393" s="52">
        <f t="array" ref="D3393:W3393">IF(All_Students_Scores!C3391:V3391="","",All_Students_Scores!C3391:V3391)</f>
        <v/>
      </c>
      <c r="E3393" s="57" t="str"/>
      <c r="F3393" s="49" t="str"/>
      <c r="G3393" s="59" t="str"/>
      <c r="H3393" s="64" t="str"/>
      <c r="I3393" s="65" t="str"/>
      <c r="J3393" s="49" t="str"/>
      <c r="K3393" s="41" t="str"/>
      <c r="L3393" s="41" t="str"/>
      <c r="M3393" s="41" t="str"/>
      <c r="N3393" s="41" t="str"/>
      <c r="O3393" s="41" t="str"/>
      <c r="P3393" s="41" t="str"/>
      <c r="Q3393" s="41" t="str"/>
      <c r="R3393" s="41" t="str"/>
      <c r="S3393" s="41" t="str"/>
      <c r="T3393" s="41" t="str"/>
      <c r="U3393" s="41" t="str"/>
      <c r="V3393" s="41" t="str"/>
      <c r="W3393" s="41" t="str"/>
    </row>
    <row r="3394">
      <c r="B3394" s="2" t="n"/>
      <c r="C3394" s="40" t="n"/>
      <c r="D3394" s="52">
        <f t="array" ref="D3394:W3394">IF(All_Students_Scores!C3392:V3392="","",All_Students_Scores!C3392:V3392)</f>
        <v/>
      </c>
      <c r="E3394" s="57" t="str"/>
      <c r="F3394" s="49" t="str"/>
      <c r="G3394" s="59" t="str"/>
      <c r="H3394" s="64" t="str"/>
      <c r="I3394" s="65" t="str"/>
      <c r="J3394" s="49" t="str"/>
      <c r="K3394" s="41" t="str"/>
      <c r="L3394" s="41" t="str"/>
      <c r="M3394" s="41" t="str"/>
      <c r="N3394" s="41" t="str"/>
      <c r="O3394" s="41" t="str"/>
      <c r="P3394" s="41" t="str"/>
      <c r="Q3394" s="41" t="str"/>
      <c r="R3394" s="41" t="str"/>
      <c r="S3394" s="41" t="str"/>
      <c r="T3394" s="41" t="str"/>
      <c r="U3394" s="41" t="str"/>
      <c r="V3394" s="41" t="str"/>
      <c r="W3394" s="41" t="str"/>
    </row>
    <row r="3395">
      <c r="B3395" s="2" t="n"/>
      <c r="C3395" s="40" t="n"/>
      <c r="D3395" s="52">
        <f t="array" ref="D3395:W3395">IF(All_Students_Scores!C3393:V3393="","",All_Students_Scores!C3393:V3393)</f>
        <v/>
      </c>
      <c r="E3395" s="57" t="str"/>
      <c r="F3395" s="49" t="str"/>
      <c r="G3395" s="59" t="str"/>
      <c r="H3395" s="64" t="str"/>
      <c r="I3395" s="65" t="str"/>
      <c r="J3395" s="49" t="str"/>
      <c r="K3395" s="41" t="str"/>
      <c r="L3395" s="41" t="str"/>
      <c r="M3395" s="41" t="str"/>
      <c r="N3395" s="41" t="str"/>
      <c r="O3395" s="41" t="str"/>
      <c r="P3395" s="41" t="str"/>
      <c r="Q3395" s="41" t="str"/>
      <c r="R3395" s="41" t="str"/>
      <c r="S3395" s="41" t="str"/>
      <c r="T3395" s="41" t="str"/>
      <c r="U3395" s="41" t="str"/>
      <c r="V3395" s="41" t="str"/>
      <c r="W3395" s="41" t="str"/>
    </row>
    <row r="3396">
      <c r="B3396" s="2" t="n"/>
      <c r="C3396" s="40" t="n"/>
      <c r="D3396" s="52">
        <f t="array" ref="D3396:W3396">IF(All_Students_Scores!C3394:V3394="","",All_Students_Scores!C3394:V3394)</f>
        <v/>
      </c>
      <c r="E3396" s="57" t="str"/>
      <c r="F3396" s="49" t="str"/>
      <c r="G3396" s="59" t="str"/>
      <c r="H3396" s="64" t="str"/>
      <c r="I3396" s="65" t="str"/>
      <c r="J3396" s="49" t="str"/>
      <c r="K3396" s="41" t="str"/>
      <c r="L3396" s="41" t="str"/>
      <c r="M3396" s="41" t="str"/>
      <c r="N3396" s="41" t="str"/>
      <c r="O3396" s="41" t="str"/>
      <c r="P3396" s="41" t="str"/>
      <c r="Q3396" s="41" t="str"/>
      <c r="R3396" s="41" t="str"/>
      <c r="S3396" s="41" t="str"/>
      <c r="T3396" s="41" t="str"/>
      <c r="U3396" s="41" t="str"/>
      <c r="V3396" s="41" t="str"/>
      <c r="W3396" s="41" t="str"/>
    </row>
    <row r="3397">
      <c r="B3397" s="2" t="n"/>
      <c r="C3397" s="40" t="n"/>
      <c r="D3397" s="52">
        <f t="array" ref="D3397:W3397">IF(All_Students_Scores!C3395:V3395="","",All_Students_Scores!C3395:V3395)</f>
        <v/>
      </c>
      <c r="E3397" s="57" t="str"/>
      <c r="F3397" s="49" t="str"/>
      <c r="G3397" s="59" t="str"/>
      <c r="H3397" s="64" t="str"/>
      <c r="I3397" s="65" t="str"/>
      <c r="J3397" s="49" t="str"/>
      <c r="K3397" s="41" t="str"/>
      <c r="L3397" s="41" t="str"/>
      <c r="M3397" s="41" t="str"/>
      <c r="N3397" s="41" t="str"/>
      <c r="O3397" s="41" t="str"/>
      <c r="P3397" s="41" t="str"/>
      <c r="Q3397" s="41" t="str"/>
      <c r="R3397" s="41" t="str"/>
      <c r="S3397" s="41" t="str"/>
      <c r="T3397" s="41" t="str"/>
      <c r="U3397" s="41" t="str"/>
      <c r="V3397" s="41" t="str"/>
      <c r="W3397" s="41" t="str"/>
    </row>
    <row r="3398">
      <c r="B3398" s="2" t="n"/>
      <c r="C3398" s="40" t="n"/>
      <c r="D3398" s="52">
        <f t="array" ref="D3398:W3398">IF(All_Students_Scores!C3396:V3396="","",All_Students_Scores!C3396:V3396)</f>
        <v/>
      </c>
      <c r="E3398" s="57" t="str"/>
      <c r="F3398" s="49" t="str"/>
      <c r="G3398" s="59" t="str"/>
      <c r="H3398" s="64" t="str"/>
      <c r="I3398" s="65" t="str"/>
      <c r="J3398" s="49" t="str"/>
      <c r="K3398" s="41" t="str"/>
      <c r="L3398" s="41" t="str"/>
      <c r="M3398" s="41" t="str"/>
      <c r="N3398" s="41" t="str"/>
      <c r="O3398" s="41" t="str"/>
      <c r="P3398" s="41" t="str"/>
      <c r="Q3398" s="41" t="str"/>
      <c r="R3398" s="41" t="str"/>
      <c r="S3398" s="41" t="str"/>
      <c r="T3398" s="41" t="str"/>
      <c r="U3398" s="41" t="str"/>
      <c r="V3398" s="41" t="str"/>
      <c r="W3398" s="41" t="str"/>
    </row>
    <row r="3399">
      <c r="B3399" s="2" t="n"/>
      <c r="C3399" s="40" t="n"/>
      <c r="D3399" s="52">
        <f t="array" ref="D3399:W3399">IF(All_Students_Scores!C3397:V3397="","",All_Students_Scores!C3397:V3397)</f>
        <v/>
      </c>
      <c r="E3399" s="57" t="str"/>
      <c r="F3399" s="49" t="str"/>
      <c r="G3399" s="59" t="str"/>
      <c r="H3399" s="64" t="str"/>
      <c r="I3399" s="65" t="str"/>
      <c r="J3399" s="49" t="str"/>
      <c r="K3399" s="41" t="str"/>
      <c r="L3399" s="41" t="str"/>
      <c r="M3399" s="41" t="str"/>
      <c r="N3399" s="41" t="str"/>
      <c r="O3399" s="41" t="str"/>
      <c r="P3399" s="41" t="str"/>
      <c r="Q3399" s="41" t="str"/>
      <c r="R3399" s="41" t="str"/>
      <c r="S3399" s="41" t="str"/>
      <c r="T3399" s="41" t="str"/>
      <c r="U3399" s="41" t="str"/>
      <c r="V3399" s="41" t="str"/>
      <c r="W3399" s="41" t="str"/>
    </row>
    <row r="3400">
      <c r="B3400" s="2" t="n"/>
      <c r="C3400" s="40" t="n"/>
      <c r="D3400" s="52">
        <f t="array" ref="D3400:W3400">IF(All_Students_Scores!C3398:V3398="","",All_Students_Scores!C3398:V3398)</f>
        <v/>
      </c>
      <c r="E3400" s="57" t="str"/>
      <c r="F3400" s="49" t="str"/>
      <c r="G3400" s="59" t="str"/>
      <c r="H3400" s="64" t="str"/>
      <c r="I3400" s="65" t="str"/>
      <c r="J3400" s="49" t="str"/>
      <c r="K3400" s="41" t="str"/>
      <c r="L3400" s="41" t="str"/>
      <c r="M3400" s="41" t="str"/>
      <c r="N3400" s="41" t="str"/>
      <c r="O3400" s="41" t="str"/>
      <c r="P3400" s="41" t="str"/>
      <c r="Q3400" s="41" t="str"/>
      <c r="R3400" s="41" t="str"/>
      <c r="S3400" s="41" t="str"/>
      <c r="T3400" s="41" t="str"/>
      <c r="U3400" s="41" t="str"/>
      <c r="V3400" s="41" t="str"/>
      <c r="W3400" s="41" t="str"/>
    </row>
    <row r="3401">
      <c r="B3401" s="2" t="n"/>
      <c r="C3401" s="40" t="n"/>
      <c r="D3401" s="52">
        <f t="array" ref="D3401:W3401">IF(All_Students_Scores!C3399:V3399="","",All_Students_Scores!C3399:V3399)</f>
        <v/>
      </c>
      <c r="E3401" s="57" t="str"/>
      <c r="F3401" s="49" t="str"/>
      <c r="G3401" s="59" t="str"/>
      <c r="H3401" s="64" t="str"/>
      <c r="I3401" s="65" t="str"/>
      <c r="J3401" s="49" t="str"/>
      <c r="K3401" s="41" t="str"/>
      <c r="L3401" s="41" t="str"/>
      <c r="M3401" s="41" t="str"/>
      <c r="N3401" s="41" t="str"/>
      <c r="O3401" s="41" t="str"/>
      <c r="P3401" s="41" t="str"/>
      <c r="Q3401" s="41" t="str"/>
      <c r="R3401" s="41" t="str"/>
      <c r="S3401" s="41" t="str"/>
      <c r="T3401" s="41" t="str"/>
      <c r="U3401" s="41" t="str"/>
      <c r="V3401" s="41" t="str"/>
      <c r="W3401" s="41" t="str"/>
    </row>
    <row r="3402">
      <c r="B3402" s="2" t="n"/>
      <c r="C3402" s="40" t="n"/>
      <c r="D3402" s="52">
        <f t="array" ref="D3402:W3402">IF(All_Students_Scores!C3400:V3400="","",All_Students_Scores!C3400:V3400)</f>
        <v/>
      </c>
      <c r="E3402" s="57" t="str"/>
      <c r="F3402" s="49" t="str"/>
      <c r="G3402" s="59" t="str"/>
      <c r="H3402" s="64" t="str"/>
      <c r="I3402" s="65" t="str"/>
      <c r="J3402" s="49" t="str"/>
      <c r="K3402" s="41" t="str"/>
      <c r="L3402" s="41" t="str"/>
      <c r="M3402" s="41" t="str"/>
      <c r="N3402" s="41" t="str"/>
      <c r="O3402" s="41" t="str"/>
      <c r="P3402" s="41" t="str"/>
      <c r="Q3402" s="41" t="str"/>
      <c r="R3402" s="41" t="str"/>
      <c r="S3402" s="41" t="str"/>
      <c r="T3402" s="41" t="str"/>
      <c r="U3402" s="41" t="str"/>
      <c r="V3402" s="41" t="str"/>
      <c r="W3402" s="41" t="str"/>
    </row>
    <row r="3403">
      <c r="B3403" s="2" t="n"/>
      <c r="C3403" s="40" t="n"/>
      <c r="D3403" s="52">
        <f t="array" ref="D3403:W3403">IF(All_Students_Scores!C3401:V3401="","",All_Students_Scores!C3401:V3401)</f>
        <v/>
      </c>
      <c r="E3403" s="57" t="str"/>
      <c r="F3403" s="49" t="str"/>
      <c r="G3403" s="59" t="str"/>
      <c r="H3403" s="64" t="str"/>
      <c r="I3403" s="65" t="str"/>
      <c r="J3403" s="49" t="str"/>
      <c r="K3403" s="41" t="str"/>
      <c r="L3403" s="41" t="str"/>
      <c r="M3403" s="41" t="str"/>
      <c r="N3403" s="41" t="str"/>
      <c r="O3403" s="41" t="str"/>
      <c r="P3403" s="41" t="str"/>
      <c r="Q3403" s="41" t="str"/>
      <c r="R3403" s="41" t="str"/>
      <c r="S3403" s="41" t="str"/>
      <c r="T3403" s="41" t="str"/>
      <c r="U3403" s="41" t="str"/>
      <c r="V3403" s="41" t="str"/>
      <c r="W3403" s="41" t="str"/>
    </row>
    <row r="3404">
      <c r="B3404" s="2" t="n"/>
      <c r="C3404" s="40" t="n"/>
      <c r="D3404" s="52">
        <f t="array" ref="D3404:W3404">IF(All_Students_Scores!C3402:V3402="","",All_Students_Scores!C3402:V3402)</f>
        <v/>
      </c>
      <c r="E3404" s="57" t="str"/>
      <c r="F3404" s="49" t="str"/>
      <c r="G3404" s="59" t="str"/>
      <c r="H3404" s="64" t="str"/>
      <c r="I3404" s="65" t="str"/>
      <c r="J3404" s="49" t="str"/>
      <c r="K3404" s="41" t="str"/>
      <c r="L3404" s="41" t="str"/>
      <c r="M3404" s="41" t="str"/>
      <c r="N3404" s="41" t="str"/>
      <c r="O3404" s="41" t="str"/>
      <c r="P3404" s="41" t="str"/>
      <c r="Q3404" s="41" t="str"/>
      <c r="R3404" s="41" t="str"/>
      <c r="S3404" s="41" t="str"/>
      <c r="T3404" s="41" t="str"/>
      <c r="U3404" s="41" t="str"/>
      <c r="V3404" s="41" t="str"/>
      <c r="W3404" s="41" t="str"/>
    </row>
    <row r="3405">
      <c r="B3405" s="2" t="n"/>
      <c r="C3405" s="40" t="n"/>
      <c r="D3405" s="52">
        <f t="array" ref="D3405:W3405">IF(All_Students_Scores!C3403:V3403="","",All_Students_Scores!C3403:V3403)</f>
        <v/>
      </c>
      <c r="E3405" s="57" t="str"/>
      <c r="F3405" s="49" t="str"/>
      <c r="G3405" s="59" t="str"/>
      <c r="H3405" s="64" t="str"/>
      <c r="I3405" s="65" t="str"/>
      <c r="J3405" s="49" t="str"/>
      <c r="K3405" s="41" t="str"/>
      <c r="L3405" s="41" t="str"/>
      <c r="M3405" s="41" t="str"/>
      <c r="N3405" s="41" t="str"/>
      <c r="O3405" s="41" t="str"/>
      <c r="P3405" s="41" t="str"/>
      <c r="Q3405" s="41" t="str"/>
      <c r="R3405" s="41" t="str"/>
      <c r="S3405" s="41" t="str"/>
      <c r="T3405" s="41" t="str"/>
      <c r="U3405" s="41" t="str"/>
      <c r="V3405" s="41" t="str"/>
      <c r="W3405" s="41" t="str"/>
    </row>
    <row r="3406">
      <c r="B3406" s="2" t="n"/>
      <c r="C3406" s="40" t="n"/>
      <c r="D3406" s="52">
        <f t="array" ref="D3406:W3406">IF(All_Students_Scores!C3404:V3404="","",All_Students_Scores!C3404:V3404)</f>
        <v/>
      </c>
      <c r="E3406" s="57" t="str"/>
      <c r="F3406" s="49" t="str"/>
      <c r="G3406" s="59" t="str"/>
      <c r="H3406" s="64" t="str"/>
      <c r="I3406" s="65" t="str"/>
      <c r="J3406" s="49" t="str"/>
      <c r="K3406" s="41" t="str"/>
      <c r="L3406" s="41" t="str"/>
      <c r="M3406" s="41" t="str"/>
      <c r="N3406" s="41" t="str"/>
      <c r="O3406" s="41" t="str"/>
      <c r="P3406" s="41" t="str"/>
      <c r="Q3406" s="41" t="str"/>
      <c r="R3406" s="41" t="str"/>
      <c r="S3406" s="41" t="str"/>
      <c r="T3406" s="41" t="str"/>
      <c r="U3406" s="41" t="str"/>
      <c r="V3406" s="41" t="str"/>
      <c r="W3406" s="41" t="str"/>
    </row>
    <row r="3407">
      <c r="B3407" s="2" t="n"/>
      <c r="C3407" s="40" t="n"/>
      <c r="D3407" s="52">
        <f t="array" ref="D3407:W3407">IF(All_Students_Scores!C3405:V3405="","",All_Students_Scores!C3405:V3405)</f>
        <v/>
      </c>
      <c r="E3407" s="57" t="str"/>
      <c r="F3407" s="49" t="str"/>
      <c r="G3407" s="59" t="str"/>
      <c r="H3407" s="64" t="str"/>
      <c r="I3407" s="65" t="str"/>
      <c r="J3407" s="49" t="str"/>
      <c r="K3407" s="41" t="str"/>
      <c r="L3407" s="41" t="str"/>
      <c r="M3407" s="41" t="str"/>
      <c r="N3407" s="41" t="str"/>
      <c r="O3407" s="41" t="str"/>
      <c r="P3407" s="41" t="str"/>
      <c r="Q3407" s="41" t="str"/>
      <c r="R3407" s="41" t="str"/>
      <c r="S3407" s="41" t="str"/>
      <c r="T3407" s="41" t="str"/>
      <c r="U3407" s="41" t="str"/>
      <c r="V3407" s="41" t="str"/>
      <c r="W3407" s="41" t="str"/>
    </row>
    <row r="3408">
      <c r="B3408" s="2" t="n"/>
      <c r="C3408" s="40" t="n"/>
      <c r="D3408" s="52">
        <f t="array" ref="D3408:W3408">IF(All_Students_Scores!C3406:V3406="","",All_Students_Scores!C3406:V3406)</f>
        <v/>
      </c>
      <c r="E3408" s="57" t="str"/>
      <c r="F3408" s="49" t="str"/>
      <c r="G3408" s="59" t="str"/>
      <c r="H3408" s="64" t="str"/>
      <c r="I3408" s="65" t="str"/>
      <c r="J3408" s="49" t="str"/>
      <c r="K3408" s="41" t="str"/>
      <c r="L3408" s="41" t="str"/>
      <c r="M3408" s="41" t="str"/>
      <c r="N3408" s="41" t="str"/>
      <c r="O3408" s="41" t="str"/>
      <c r="P3408" s="41" t="str"/>
      <c r="Q3408" s="41" t="str"/>
      <c r="R3408" s="41" t="str"/>
      <c r="S3408" s="41" t="str"/>
      <c r="T3408" s="41" t="str"/>
      <c r="U3408" s="41" t="str"/>
      <c r="V3408" s="41" t="str"/>
      <c r="W3408" s="41" t="str"/>
    </row>
    <row r="3409">
      <c r="B3409" s="2" t="n"/>
      <c r="C3409" s="40" t="n"/>
      <c r="D3409" s="52">
        <f t="array" ref="D3409:W3409">IF(All_Students_Scores!C3407:V3407="","",All_Students_Scores!C3407:V3407)</f>
        <v/>
      </c>
      <c r="E3409" s="57" t="str"/>
      <c r="F3409" s="49" t="str"/>
      <c r="G3409" s="59" t="str"/>
      <c r="H3409" s="64" t="str"/>
      <c r="I3409" s="65" t="str"/>
      <c r="J3409" s="49" t="str"/>
      <c r="K3409" s="41" t="str"/>
      <c r="L3409" s="41" t="str"/>
      <c r="M3409" s="41" t="str"/>
      <c r="N3409" s="41" t="str"/>
      <c r="O3409" s="41" t="str"/>
      <c r="P3409" s="41" t="str"/>
      <c r="Q3409" s="41" t="str"/>
      <c r="R3409" s="41" t="str"/>
      <c r="S3409" s="41" t="str"/>
      <c r="T3409" s="41" t="str"/>
      <c r="U3409" s="41" t="str"/>
      <c r="V3409" s="41" t="str"/>
      <c r="W3409" s="41" t="str"/>
    </row>
    <row r="3410">
      <c r="B3410" s="2" t="n"/>
      <c r="C3410" s="40" t="n"/>
      <c r="D3410" s="52">
        <f t="array" ref="D3410:W3410">IF(All_Students_Scores!C3408:V3408="","",All_Students_Scores!C3408:V3408)</f>
        <v/>
      </c>
      <c r="E3410" s="57" t="str"/>
      <c r="F3410" s="49" t="str"/>
      <c r="G3410" s="59" t="str"/>
      <c r="H3410" s="64" t="str"/>
      <c r="I3410" s="65" t="str"/>
      <c r="J3410" s="49" t="str"/>
      <c r="K3410" s="41" t="str"/>
      <c r="L3410" s="41" t="str"/>
      <c r="M3410" s="41" t="str"/>
      <c r="N3410" s="41" t="str"/>
      <c r="O3410" s="41" t="str"/>
      <c r="P3410" s="41" t="str"/>
      <c r="Q3410" s="41" t="str"/>
      <c r="R3410" s="41" t="str"/>
      <c r="S3410" s="41" t="str"/>
      <c r="T3410" s="41" t="str"/>
      <c r="U3410" s="41" t="str"/>
      <c r="V3410" s="41" t="str"/>
      <c r="W3410" s="41" t="str"/>
    </row>
    <row r="3411">
      <c r="B3411" s="2" t="n"/>
      <c r="C3411" s="40" t="n"/>
      <c r="D3411" s="52">
        <f t="array" ref="D3411:W3411">IF(All_Students_Scores!C3409:V3409="","",All_Students_Scores!C3409:V3409)</f>
        <v/>
      </c>
      <c r="E3411" s="57" t="str"/>
      <c r="F3411" s="49" t="str"/>
      <c r="G3411" s="59" t="str"/>
      <c r="H3411" s="64" t="str"/>
      <c r="I3411" s="65" t="str"/>
      <c r="J3411" s="49" t="str"/>
      <c r="K3411" s="41" t="str"/>
      <c r="L3411" s="41" t="str"/>
      <c r="M3411" s="41" t="str"/>
      <c r="N3411" s="41" t="str"/>
      <c r="O3411" s="41" t="str"/>
      <c r="P3411" s="41" t="str"/>
      <c r="Q3411" s="41" t="str"/>
      <c r="R3411" s="41" t="str"/>
      <c r="S3411" s="41" t="str"/>
      <c r="T3411" s="41" t="str"/>
      <c r="U3411" s="41" t="str"/>
      <c r="V3411" s="41" t="str"/>
      <c r="W3411" s="41" t="str"/>
    </row>
    <row r="3412">
      <c r="B3412" s="2" t="n"/>
      <c r="C3412" s="40" t="n"/>
      <c r="D3412" s="52">
        <f t="array" ref="D3412:W3412">IF(All_Students_Scores!C3410:V3410="","",All_Students_Scores!C3410:V3410)</f>
        <v/>
      </c>
      <c r="E3412" s="57" t="str"/>
      <c r="F3412" s="49" t="str"/>
      <c r="G3412" s="59" t="str"/>
      <c r="H3412" s="64" t="str"/>
      <c r="I3412" s="65" t="str"/>
      <c r="J3412" s="49" t="str"/>
      <c r="K3412" s="41" t="str"/>
      <c r="L3412" s="41" t="str"/>
      <c r="M3412" s="41" t="str"/>
      <c r="N3412" s="41" t="str"/>
      <c r="O3412" s="41" t="str"/>
      <c r="P3412" s="41" t="str"/>
      <c r="Q3412" s="41" t="str"/>
      <c r="R3412" s="41" t="str"/>
      <c r="S3412" s="41" t="str"/>
      <c r="T3412" s="41" t="str"/>
      <c r="U3412" s="41" t="str"/>
      <c r="V3412" s="41" t="str"/>
      <c r="W3412" s="41" t="str"/>
    </row>
    <row r="3413">
      <c r="B3413" s="2" t="n"/>
      <c r="C3413" s="40" t="n"/>
      <c r="D3413" s="52">
        <f t="array" ref="D3413:W3413">IF(All_Students_Scores!C3411:V3411="","",All_Students_Scores!C3411:V3411)</f>
        <v/>
      </c>
      <c r="E3413" s="57" t="str"/>
      <c r="F3413" s="49" t="str"/>
      <c r="G3413" s="59" t="str"/>
      <c r="H3413" s="64" t="str"/>
      <c r="I3413" s="65" t="str"/>
      <c r="J3413" s="49" t="str"/>
      <c r="K3413" s="41" t="str"/>
      <c r="L3413" s="41" t="str"/>
      <c r="M3413" s="41" t="str"/>
      <c r="N3413" s="41" t="str"/>
      <c r="O3413" s="41" t="str"/>
      <c r="P3413" s="41" t="str"/>
      <c r="Q3413" s="41" t="str"/>
      <c r="R3413" s="41" t="str"/>
      <c r="S3413" s="41" t="str"/>
      <c r="T3413" s="41" t="str"/>
      <c r="U3413" s="41" t="str"/>
      <c r="V3413" s="41" t="str"/>
      <c r="W3413" s="41" t="str"/>
    </row>
    <row r="3414">
      <c r="B3414" s="2" t="n"/>
      <c r="C3414" s="40" t="n"/>
      <c r="D3414" s="52">
        <f t="array" ref="D3414:W3414">IF(All_Students_Scores!C3412:V3412="","",All_Students_Scores!C3412:V3412)</f>
        <v/>
      </c>
      <c r="E3414" s="57" t="str"/>
      <c r="F3414" s="49" t="str"/>
      <c r="G3414" s="59" t="str"/>
      <c r="H3414" s="64" t="str"/>
      <c r="I3414" s="65" t="str"/>
      <c r="J3414" s="49" t="str"/>
      <c r="K3414" s="41" t="str"/>
      <c r="L3414" s="41" t="str"/>
      <c r="M3414" s="41" t="str"/>
      <c r="N3414" s="41" t="str"/>
      <c r="O3414" s="41" t="str"/>
      <c r="P3414" s="41" t="str"/>
      <c r="Q3414" s="41" t="str"/>
      <c r="R3414" s="41" t="str"/>
      <c r="S3414" s="41" t="str"/>
      <c r="T3414" s="41" t="str"/>
      <c r="U3414" s="41" t="str"/>
      <c r="V3414" s="41" t="str"/>
      <c r="W3414" s="41" t="str"/>
    </row>
    <row r="3415">
      <c r="B3415" s="2" t="n"/>
      <c r="C3415" s="40" t="n"/>
      <c r="D3415" s="52">
        <f t="array" ref="D3415:W3415">IF(All_Students_Scores!C3413:V3413="","",All_Students_Scores!C3413:V3413)</f>
        <v/>
      </c>
      <c r="E3415" s="57" t="str"/>
      <c r="F3415" s="49" t="str"/>
      <c r="G3415" s="59" t="str"/>
      <c r="H3415" s="64" t="str"/>
      <c r="I3415" s="65" t="str"/>
      <c r="J3415" s="49" t="str"/>
      <c r="K3415" s="41" t="str"/>
      <c r="L3415" s="41" t="str"/>
      <c r="M3415" s="41" t="str"/>
      <c r="N3415" s="41" t="str"/>
      <c r="O3415" s="41" t="str"/>
      <c r="P3415" s="41" t="str"/>
      <c r="Q3415" s="41" t="str"/>
      <c r="R3415" s="41" t="str"/>
      <c r="S3415" s="41" t="str"/>
      <c r="T3415" s="41" t="str"/>
      <c r="U3415" s="41" t="str"/>
      <c r="V3415" s="41" t="str"/>
      <c r="W3415" s="41" t="str"/>
    </row>
    <row r="3416">
      <c r="B3416" s="2" t="n"/>
      <c r="C3416" s="40" t="n"/>
      <c r="D3416" s="52">
        <f t="array" ref="D3416:W3416">IF(All_Students_Scores!C3414:V3414="","",All_Students_Scores!C3414:V3414)</f>
        <v/>
      </c>
      <c r="E3416" s="57" t="str"/>
      <c r="F3416" s="49" t="str"/>
      <c r="G3416" s="59" t="str"/>
      <c r="H3416" s="64" t="str"/>
      <c r="I3416" s="65" t="str"/>
      <c r="J3416" s="49" t="str"/>
      <c r="K3416" s="41" t="str"/>
      <c r="L3416" s="41" t="str"/>
      <c r="M3416" s="41" t="str"/>
      <c r="N3416" s="41" t="str"/>
      <c r="O3416" s="41" t="str"/>
      <c r="P3416" s="41" t="str"/>
      <c r="Q3416" s="41" t="str"/>
      <c r="R3416" s="41" t="str"/>
      <c r="S3416" s="41" t="str"/>
      <c r="T3416" s="41" t="str"/>
      <c r="U3416" s="41" t="str"/>
      <c r="V3416" s="41" t="str"/>
      <c r="W3416" s="41" t="str"/>
    </row>
    <row r="3417">
      <c r="B3417" s="2" t="n"/>
      <c r="C3417" s="40" t="n"/>
      <c r="D3417" s="52">
        <f t="array" ref="D3417:W3417">IF(All_Students_Scores!C3415:V3415="","",All_Students_Scores!C3415:V3415)</f>
        <v/>
      </c>
      <c r="E3417" s="57" t="str"/>
      <c r="F3417" s="49" t="str"/>
      <c r="G3417" s="59" t="str"/>
      <c r="H3417" s="64" t="str"/>
      <c r="I3417" s="65" t="str"/>
      <c r="J3417" s="49" t="str"/>
      <c r="K3417" s="41" t="str"/>
      <c r="L3417" s="41" t="str"/>
      <c r="M3417" s="41" t="str"/>
      <c r="N3417" s="41" t="str"/>
      <c r="O3417" s="41" t="str"/>
      <c r="P3417" s="41" t="str"/>
      <c r="Q3417" s="41" t="str"/>
      <c r="R3417" s="41" t="str"/>
      <c r="S3417" s="41" t="str"/>
      <c r="T3417" s="41" t="str"/>
      <c r="U3417" s="41" t="str"/>
      <c r="V3417" s="41" t="str"/>
      <c r="W3417" s="41" t="str"/>
    </row>
    <row r="3418">
      <c r="B3418" s="2" t="n"/>
      <c r="C3418" s="40" t="n"/>
      <c r="D3418" s="52">
        <f t="array" ref="D3418:W3418">IF(All_Students_Scores!C3416:V3416="","",All_Students_Scores!C3416:V3416)</f>
        <v/>
      </c>
      <c r="E3418" s="57" t="str"/>
      <c r="F3418" s="49" t="str"/>
      <c r="G3418" s="59" t="str"/>
      <c r="H3418" s="64" t="str"/>
      <c r="I3418" s="65" t="str"/>
      <c r="J3418" s="49" t="str"/>
      <c r="K3418" s="41" t="str"/>
      <c r="L3418" s="41" t="str"/>
      <c r="M3418" s="41" t="str"/>
      <c r="N3418" s="41" t="str"/>
      <c r="O3418" s="41" t="str"/>
      <c r="P3418" s="41" t="str"/>
      <c r="Q3418" s="41" t="str"/>
      <c r="R3418" s="41" t="str"/>
      <c r="S3418" s="41" t="str"/>
      <c r="T3418" s="41" t="str"/>
      <c r="U3418" s="41" t="str"/>
      <c r="V3418" s="41" t="str"/>
      <c r="W3418" s="41" t="str"/>
    </row>
    <row r="3419">
      <c r="B3419" s="2" t="n"/>
      <c r="C3419" s="40" t="n"/>
      <c r="D3419" s="52">
        <f t="array" ref="D3419:W3419">IF(All_Students_Scores!C3417:V3417="","",All_Students_Scores!C3417:V3417)</f>
        <v/>
      </c>
      <c r="E3419" s="57" t="str"/>
      <c r="F3419" s="49" t="str"/>
      <c r="G3419" s="59" t="str"/>
      <c r="H3419" s="64" t="str"/>
      <c r="I3419" s="65" t="str"/>
      <c r="J3419" s="49" t="str"/>
      <c r="K3419" s="41" t="str"/>
      <c r="L3419" s="41" t="str"/>
      <c r="M3419" s="41" t="str"/>
      <c r="N3419" s="41" t="str"/>
      <c r="O3419" s="41" t="str"/>
      <c r="P3419" s="41" t="str"/>
      <c r="Q3419" s="41" t="str"/>
      <c r="R3419" s="41" t="str"/>
      <c r="S3419" s="41" t="str"/>
      <c r="T3419" s="41" t="str"/>
      <c r="U3419" s="41" t="str"/>
      <c r="V3419" s="41" t="str"/>
      <c r="W3419" s="41" t="str"/>
    </row>
    <row r="3420">
      <c r="B3420" s="2" t="n"/>
      <c r="C3420" s="40" t="n"/>
      <c r="D3420" s="52">
        <f t="array" ref="D3420:W3420">IF(All_Students_Scores!C3418:V3418="","",All_Students_Scores!C3418:V3418)</f>
        <v/>
      </c>
      <c r="E3420" s="57" t="str"/>
      <c r="F3420" s="49" t="str"/>
      <c r="G3420" s="59" t="str"/>
      <c r="H3420" s="64" t="str"/>
      <c r="I3420" s="65" t="str"/>
      <c r="J3420" s="49" t="str"/>
      <c r="K3420" s="41" t="str"/>
      <c r="L3420" s="41" t="str"/>
      <c r="M3420" s="41" t="str"/>
      <c r="N3420" s="41" t="str"/>
      <c r="O3420" s="41" t="str"/>
      <c r="P3420" s="41" t="str"/>
      <c r="Q3420" s="41" t="str"/>
      <c r="R3420" s="41" t="str"/>
      <c r="S3420" s="41" t="str"/>
      <c r="T3420" s="41" t="str"/>
      <c r="U3420" s="41" t="str"/>
      <c r="V3420" s="41" t="str"/>
      <c r="W3420" s="41" t="str"/>
    </row>
    <row r="3421">
      <c r="B3421" s="2" t="n"/>
      <c r="C3421" s="40" t="n"/>
      <c r="D3421" s="52">
        <f t="array" ref="D3421:W3421">IF(All_Students_Scores!C3419:V3419="","",All_Students_Scores!C3419:V3419)</f>
        <v/>
      </c>
      <c r="E3421" s="57" t="str"/>
      <c r="F3421" s="49" t="str"/>
      <c r="G3421" s="59" t="str"/>
      <c r="H3421" s="64" t="str"/>
      <c r="I3421" s="65" t="str"/>
      <c r="J3421" s="49" t="str"/>
      <c r="K3421" s="41" t="str"/>
      <c r="L3421" s="41" t="str"/>
      <c r="M3421" s="41" t="str"/>
      <c r="N3421" s="41" t="str"/>
      <c r="O3421" s="41" t="str"/>
      <c r="P3421" s="41" t="str"/>
      <c r="Q3421" s="41" t="str"/>
      <c r="R3421" s="41" t="str"/>
      <c r="S3421" s="41" t="str"/>
      <c r="T3421" s="41" t="str"/>
      <c r="U3421" s="41" t="str"/>
      <c r="V3421" s="41" t="str"/>
      <c r="W3421" s="41" t="str"/>
    </row>
    <row r="3422">
      <c r="B3422" s="2" t="n"/>
      <c r="C3422" s="40" t="n"/>
      <c r="D3422" s="52">
        <f t="array" ref="D3422:W3422">IF(All_Students_Scores!C3420:V3420="","",All_Students_Scores!C3420:V3420)</f>
        <v/>
      </c>
      <c r="E3422" s="57" t="str"/>
      <c r="F3422" s="49" t="str"/>
      <c r="G3422" s="59" t="str"/>
      <c r="H3422" s="64" t="str"/>
      <c r="I3422" s="65" t="str"/>
      <c r="J3422" s="49" t="str"/>
      <c r="K3422" s="41" t="str"/>
      <c r="L3422" s="41" t="str"/>
      <c r="M3422" s="41" t="str"/>
      <c r="N3422" s="41" t="str"/>
      <c r="O3422" s="41" t="str"/>
      <c r="P3422" s="41" t="str"/>
      <c r="Q3422" s="41" t="str"/>
      <c r="R3422" s="41" t="str"/>
      <c r="S3422" s="41" t="str"/>
      <c r="T3422" s="41" t="str"/>
      <c r="U3422" s="41" t="str"/>
      <c r="V3422" s="41" t="str"/>
      <c r="W3422" s="41" t="str"/>
    </row>
    <row r="3423">
      <c r="B3423" s="2" t="n"/>
      <c r="C3423" s="40" t="n"/>
      <c r="D3423" s="52">
        <f t="array" ref="D3423:W3423">IF(All_Students_Scores!C3421:V3421="","",All_Students_Scores!C3421:V3421)</f>
        <v/>
      </c>
      <c r="E3423" s="57" t="str"/>
      <c r="F3423" s="49" t="str"/>
      <c r="G3423" s="59" t="str"/>
      <c r="H3423" s="64" t="str"/>
      <c r="I3423" s="65" t="str"/>
      <c r="J3423" s="49" t="str"/>
      <c r="K3423" s="41" t="str"/>
      <c r="L3423" s="41" t="str"/>
      <c r="M3423" s="41" t="str"/>
      <c r="N3423" s="41" t="str"/>
      <c r="O3423" s="41" t="str"/>
      <c r="P3423" s="41" t="str"/>
      <c r="Q3423" s="41" t="str"/>
      <c r="R3423" s="41" t="str"/>
      <c r="S3423" s="41" t="str"/>
      <c r="T3423" s="41" t="str"/>
      <c r="U3423" s="41" t="str"/>
      <c r="V3423" s="41" t="str"/>
      <c r="W3423" s="41" t="str"/>
    </row>
    <row r="3424">
      <c r="B3424" s="2" t="n"/>
      <c r="C3424" s="40" t="n"/>
      <c r="D3424" s="52">
        <f t="array" ref="D3424:W3424">IF(All_Students_Scores!C3422:V3422="","",All_Students_Scores!C3422:V3422)</f>
        <v/>
      </c>
      <c r="E3424" s="57" t="str"/>
      <c r="F3424" s="49" t="str"/>
      <c r="G3424" s="59" t="str"/>
      <c r="H3424" s="64" t="str"/>
      <c r="I3424" s="65" t="str"/>
      <c r="J3424" s="49" t="str"/>
      <c r="K3424" s="41" t="str"/>
      <c r="L3424" s="41" t="str"/>
      <c r="M3424" s="41" t="str"/>
      <c r="N3424" s="41" t="str"/>
      <c r="O3424" s="41" t="str"/>
      <c r="P3424" s="41" t="str"/>
      <c r="Q3424" s="41" t="str"/>
      <c r="R3424" s="41" t="str"/>
      <c r="S3424" s="41" t="str"/>
      <c r="T3424" s="41" t="str"/>
      <c r="U3424" s="41" t="str"/>
      <c r="V3424" s="41" t="str"/>
      <c r="W3424" s="41" t="str"/>
    </row>
    <row r="3425">
      <c r="B3425" s="2" t="n"/>
      <c r="C3425" s="40" t="n"/>
      <c r="D3425" s="52">
        <f t="array" ref="D3425:W3425">IF(All_Students_Scores!C3423:V3423="","",All_Students_Scores!C3423:V3423)</f>
        <v/>
      </c>
      <c r="E3425" s="57" t="str"/>
      <c r="F3425" s="49" t="str"/>
      <c r="G3425" s="59" t="str"/>
      <c r="H3425" s="64" t="str"/>
      <c r="I3425" s="65" t="str"/>
      <c r="J3425" s="49" t="str"/>
      <c r="K3425" s="41" t="str"/>
      <c r="L3425" s="41" t="str"/>
      <c r="M3425" s="41" t="str"/>
      <c r="N3425" s="41" t="str"/>
      <c r="O3425" s="41" t="str"/>
      <c r="P3425" s="41" t="str"/>
      <c r="Q3425" s="41" t="str"/>
      <c r="R3425" s="41" t="str"/>
      <c r="S3425" s="41" t="str"/>
      <c r="T3425" s="41" t="str"/>
      <c r="U3425" s="41" t="str"/>
      <c r="V3425" s="41" t="str"/>
      <c r="W3425" s="41" t="str"/>
    </row>
    <row r="3426">
      <c r="B3426" s="2" t="n"/>
      <c r="C3426" s="40" t="n"/>
      <c r="D3426" s="52">
        <f t="array" ref="D3426:W3426">IF(All_Students_Scores!C3424:V3424="","",All_Students_Scores!C3424:V3424)</f>
        <v/>
      </c>
      <c r="E3426" s="57" t="str"/>
      <c r="F3426" s="49" t="str"/>
      <c r="G3426" s="59" t="str"/>
      <c r="H3426" s="64" t="str"/>
      <c r="I3426" s="65" t="str"/>
      <c r="J3426" s="49" t="str"/>
      <c r="K3426" s="41" t="str"/>
      <c r="L3426" s="41" t="str"/>
      <c r="M3426" s="41" t="str"/>
      <c r="N3426" s="41" t="str"/>
      <c r="O3426" s="41" t="str"/>
      <c r="P3426" s="41" t="str"/>
      <c r="Q3426" s="41" t="str"/>
      <c r="R3426" s="41" t="str"/>
      <c r="S3426" s="41" t="str"/>
      <c r="T3426" s="41" t="str"/>
      <c r="U3426" s="41" t="str"/>
      <c r="V3426" s="41" t="str"/>
      <c r="W3426" s="41" t="str"/>
    </row>
    <row r="3427">
      <c r="B3427" s="2" t="n"/>
      <c r="C3427" s="40" t="n"/>
      <c r="D3427" s="52">
        <f t="array" ref="D3427:W3427">IF(All_Students_Scores!C3425:V3425="","",All_Students_Scores!C3425:V3425)</f>
        <v/>
      </c>
      <c r="E3427" s="57" t="str"/>
      <c r="F3427" s="49" t="str"/>
      <c r="G3427" s="59" t="str"/>
      <c r="H3427" s="64" t="str"/>
      <c r="I3427" s="65" t="str"/>
      <c r="J3427" s="49" t="str"/>
      <c r="K3427" s="41" t="str"/>
      <c r="L3427" s="41" t="str"/>
      <c r="M3427" s="41" t="str"/>
      <c r="N3427" s="41" t="str"/>
      <c r="O3427" s="41" t="str"/>
      <c r="P3427" s="41" t="str"/>
      <c r="Q3427" s="41" t="str"/>
      <c r="R3427" s="41" t="str"/>
      <c r="S3427" s="41" t="str"/>
      <c r="T3427" s="41" t="str"/>
      <c r="U3427" s="41" t="str"/>
      <c r="V3427" s="41" t="str"/>
      <c r="W3427" s="41" t="str"/>
    </row>
    <row r="3428">
      <c r="B3428" s="2" t="n"/>
      <c r="C3428" s="40" t="n"/>
      <c r="D3428" s="52">
        <f t="array" ref="D3428:W3428">IF(All_Students_Scores!C3426:V3426="","",All_Students_Scores!C3426:V3426)</f>
        <v/>
      </c>
      <c r="E3428" s="57" t="str"/>
      <c r="F3428" s="49" t="str"/>
      <c r="G3428" s="59" t="str"/>
      <c r="H3428" s="64" t="str"/>
      <c r="I3428" s="65" t="str"/>
      <c r="J3428" s="49" t="str"/>
      <c r="K3428" s="41" t="str"/>
      <c r="L3428" s="41" t="str"/>
      <c r="M3428" s="41" t="str"/>
      <c r="N3428" s="41" t="str"/>
      <c r="O3428" s="41" t="str"/>
      <c r="P3428" s="41" t="str"/>
      <c r="Q3428" s="41" t="str"/>
      <c r="R3428" s="41" t="str"/>
      <c r="S3428" s="41" t="str"/>
      <c r="T3428" s="41" t="str"/>
      <c r="U3428" s="41" t="str"/>
      <c r="V3428" s="41" t="str"/>
      <c r="W3428" s="41" t="str"/>
    </row>
    <row r="3429">
      <c r="B3429" s="2" t="n"/>
      <c r="C3429" s="40" t="n"/>
      <c r="D3429" s="52">
        <f t="array" ref="D3429:W3429">IF(All_Students_Scores!C3427:V3427="","",All_Students_Scores!C3427:V3427)</f>
        <v/>
      </c>
      <c r="E3429" s="57" t="str"/>
      <c r="F3429" s="49" t="str"/>
      <c r="G3429" s="59" t="str"/>
      <c r="H3429" s="64" t="str"/>
      <c r="I3429" s="65" t="str"/>
      <c r="J3429" s="49" t="str"/>
      <c r="K3429" s="41" t="str"/>
      <c r="L3429" s="41" t="str"/>
      <c r="M3429" s="41" t="str"/>
      <c r="N3429" s="41" t="str"/>
      <c r="O3429" s="41" t="str"/>
      <c r="P3429" s="41" t="str"/>
      <c r="Q3429" s="41" t="str"/>
      <c r="R3429" s="41" t="str"/>
      <c r="S3429" s="41" t="str"/>
      <c r="T3429" s="41" t="str"/>
      <c r="U3429" s="41" t="str"/>
      <c r="V3429" s="41" t="str"/>
      <c r="W3429" s="41" t="str"/>
    </row>
    <row r="3430">
      <c r="B3430" s="2" t="n"/>
      <c r="C3430" s="40" t="n"/>
      <c r="D3430" s="52">
        <f t="array" ref="D3430:W3430">IF(All_Students_Scores!C3428:V3428="","",All_Students_Scores!C3428:V3428)</f>
        <v/>
      </c>
      <c r="E3430" s="57" t="str"/>
      <c r="F3430" s="49" t="str"/>
      <c r="G3430" s="59" t="str"/>
      <c r="H3430" s="64" t="str"/>
      <c r="I3430" s="65" t="str"/>
      <c r="J3430" s="49" t="str"/>
      <c r="K3430" s="41" t="str"/>
      <c r="L3430" s="41" t="str"/>
      <c r="M3430" s="41" t="str"/>
      <c r="N3430" s="41" t="str"/>
      <c r="O3430" s="41" t="str"/>
      <c r="P3430" s="41" t="str"/>
      <c r="Q3430" s="41" t="str"/>
      <c r="R3430" s="41" t="str"/>
      <c r="S3430" s="41" t="str"/>
      <c r="T3430" s="41" t="str"/>
      <c r="U3430" s="41" t="str"/>
      <c r="V3430" s="41" t="str"/>
      <c r="W3430" s="41" t="str"/>
    </row>
    <row r="3431">
      <c r="B3431" s="2" t="n"/>
      <c r="C3431" s="40" t="n"/>
      <c r="D3431" s="52">
        <f t="array" ref="D3431:W3431">IF(All_Students_Scores!C3429:V3429="","",All_Students_Scores!C3429:V3429)</f>
        <v/>
      </c>
      <c r="E3431" s="57" t="str"/>
      <c r="F3431" s="49" t="str"/>
      <c r="G3431" s="59" t="str"/>
      <c r="H3431" s="64" t="str"/>
      <c r="I3431" s="65" t="str"/>
      <c r="J3431" s="49" t="str"/>
      <c r="K3431" s="41" t="str"/>
      <c r="L3431" s="41" t="str"/>
      <c r="M3431" s="41" t="str"/>
      <c r="N3431" s="41" t="str"/>
      <c r="O3431" s="41" t="str"/>
      <c r="P3431" s="41" t="str"/>
      <c r="Q3431" s="41" t="str"/>
      <c r="R3431" s="41" t="str"/>
      <c r="S3431" s="41" t="str"/>
      <c r="T3431" s="41" t="str"/>
      <c r="U3431" s="41" t="str"/>
      <c r="V3431" s="41" t="str"/>
      <c r="W3431" s="41" t="str"/>
    </row>
    <row r="3432">
      <c r="B3432" s="2" t="n"/>
      <c r="C3432" s="40" t="n"/>
      <c r="D3432" s="52">
        <f t="array" ref="D3432:W3432">IF(All_Students_Scores!C3430:V3430="","",All_Students_Scores!C3430:V3430)</f>
        <v/>
      </c>
      <c r="E3432" s="57" t="str"/>
      <c r="F3432" s="49" t="str"/>
      <c r="G3432" s="59" t="str"/>
      <c r="H3432" s="64" t="str"/>
      <c r="I3432" s="65" t="str"/>
      <c r="J3432" s="49" t="str"/>
      <c r="K3432" s="41" t="str"/>
      <c r="L3432" s="41" t="str"/>
      <c r="M3432" s="41" t="str"/>
      <c r="N3432" s="41" t="str"/>
      <c r="O3432" s="41" t="str"/>
      <c r="P3432" s="41" t="str"/>
      <c r="Q3432" s="41" t="str"/>
      <c r="R3432" s="41" t="str"/>
      <c r="S3432" s="41" t="str"/>
      <c r="T3432" s="41" t="str"/>
      <c r="U3432" s="41" t="str"/>
      <c r="V3432" s="41" t="str"/>
      <c r="W3432" s="41" t="str"/>
    </row>
    <row r="3433">
      <c r="B3433" s="2" t="n"/>
      <c r="C3433" s="40" t="n"/>
      <c r="D3433" s="52">
        <f t="array" ref="D3433:W3433">IF(All_Students_Scores!C3431:V3431="","",All_Students_Scores!C3431:V3431)</f>
        <v/>
      </c>
      <c r="E3433" s="57" t="str"/>
      <c r="F3433" s="49" t="str"/>
      <c r="G3433" s="59" t="str"/>
      <c r="H3433" s="64" t="str"/>
      <c r="I3433" s="65" t="str"/>
      <c r="J3433" s="49" t="str"/>
      <c r="K3433" s="41" t="str"/>
      <c r="L3433" s="41" t="str"/>
      <c r="M3433" s="41" t="str"/>
      <c r="N3433" s="41" t="str"/>
      <c r="O3433" s="41" t="str"/>
      <c r="P3433" s="41" t="str"/>
      <c r="Q3433" s="41" t="str"/>
      <c r="R3433" s="41" t="str"/>
      <c r="S3433" s="41" t="str"/>
      <c r="T3433" s="41" t="str"/>
      <c r="U3433" s="41" t="str"/>
      <c r="V3433" s="41" t="str"/>
      <c r="W3433" s="41" t="str"/>
    </row>
    <row r="3434">
      <c r="B3434" s="2" t="n"/>
      <c r="C3434" s="40" t="n"/>
      <c r="D3434" s="52">
        <f t="array" ref="D3434:W3434">IF(All_Students_Scores!C3432:V3432="","",All_Students_Scores!C3432:V3432)</f>
        <v/>
      </c>
      <c r="E3434" s="57" t="str"/>
      <c r="F3434" s="49" t="str"/>
      <c r="G3434" s="59" t="str"/>
      <c r="H3434" s="64" t="str"/>
      <c r="I3434" s="65" t="str"/>
      <c r="J3434" s="49" t="str"/>
      <c r="K3434" s="41" t="str"/>
      <c r="L3434" s="41" t="str"/>
      <c r="M3434" s="41" t="str"/>
      <c r="N3434" s="41" t="str"/>
      <c r="O3434" s="41" t="str"/>
      <c r="P3434" s="41" t="str"/>
      <c r="Q3434" s="41" t="str"/>
      <c r="R3434" s="41" t="str"/>
      <c r="S3434" s="41" t="str"/>
      <c r="T3434" s="41" t="str"/>
      <c r="U3434" s="41" t="str"/>
      <c r="V3434" s="41" t="str"/>
      <c r="W3434" s="41" t="str"/>
    </row>
    <row r="3435">
      <c r="B3435" s="2" t="n"/>
      <c r="C3435" s="40" t="n"/>
      <c r="D3435" s="52">
        <f t="array" ref="D3435:W3435">IF(All_Students_Scores!C3433:V3433="","",All_Students_Scores!C3433:V3433)</f>
        <v/>
      </c>
      <c r="E3435" s="57" t="str"/>
      <c r="F3435" s="49" t="str"/>
      <c r="G3435" s="59" t="str"/>
      <c r="H3435" s="64" t="str"/>
      <c r="I3435" s="65" t="str"/>
      <c r="J3435" s="49" t="str"/>
      <c r="K3435" s="41" t="str"/>
      <c r="L3435" s="41" t="str"/>
      <c r="M3435" s="41" t="str"/>
      <c r="N3435" s="41" t="str"/>
      <c r="O3435" s="41" t="str"/>
      <c r="P3435" s="41" t="str"/>
      <c r="Q3435" s="41" t="str"/>
      <c r="R3435" s="41" t="str"/>
      <c r="S3435" s="41" t="str"/>
      <c r="T3435" s="41" t="str"/>
      <c r="U3435" s="41" t="str"/>
      <c r="V3435" s="41" t="str"/>
      <c r="W3435" s="41" t="str"/>
    </row>
    <row r="3436">
      <c r="B3436" s="2" t="n"/>
      <c r="C3436" s="40" t="n"/>
      <c r="D3436" s="52">
        <f t="array" ref="D3436:W3436">IF(All_Students_Scores!C3434:V3434="","",All_Students_Scores!C3434:V3434)</f>
        <v/>
      </c>
      <c r="E3436" s="57" t="str"/>
      <c r="F3436" s="49" t="str"/>
      <c r="G3436" s="59" t="str"/>
      <c r="H3436" s="64" t="str"/>
      <c r="I3436" s="65" t="str"/>
      <c r="J3436" s="49" t="str"/>
      <c r="K3436" s="41" t="str"/>
      <c r="L3436" s="41" t="str"/>
      <c r="M3436" s="41" t="str"/>
      <c r="N3436" s="41" t="str"/>
      <c r="O3436" s="41" t="str"/>
      <c r="P3436" s="41" t="str"/>
      <c r="Q3436" s="41" t="str"/>
      <c r="R3436" s="41" t="str"/>
      <c r="S3436" s="41" t="str"/>
      <c r="T3436" s="41" t="str"/>
      <c r="U3436" s="41" t="str"/>
      <c r="V3436" s="41" t="str"/>
      <c r="W3436" s="41" t="str"/>
    </row>
    <row r="3437">
      <c r="B3437" s="2" t="n"/>
      <c r="C3437" s="40" t="n"/>
      <c r="D3437" s="52">
        <f t="array" ref="D3437:W3437">IF(All_Students_Scores!C3435:V3435="","",All_Students_Scores!C3435:V3435)</f>
        <v/>
      </c>
      <c r="E3437" s="57" t="str"/>
      <c r="F3437" s="49" t="str"/>
      <c r="G3437" s="59" t="str"/>
      <c r="H3437" s="64" t="str"/>
      <c r="I3437" s="65" t="str"/>
      <c r="J3437" s="49" t="str"/>
      <c r="K3437" s="41" t="str"/>
      <c r="L3437" s="41" t="str"/>
      <c r="M3437" s="41" t="str"/>
      <c r="N3437" s="41" t="str"/>
      <c r="O3437" s="41" t="str"/>
      <c r="P3437" s="41" t="str"/>
      <c r="Q3437" s="41" t="str"/>
      <c r="R3437" s="41" t="str"/>
      <c r="S3437" s="41" t="str"/>
      <c r="T3437" s="41" t="str"/>
      <c r="U3437" s="41" t="str"/>
      <c r="V3437" s="41" t="str"/>
      <c r="W3437" s="41" t="str"/>
    </row>
    <row r="3438">
      <c r="B3438" s="2" t="n"/>
      <c r="C3438" s="40" t="n"/>
      <c r="D3438" s="52">
        <f t="array" ref="D3438:W3438">IF(All_Students_Scores!C3436:V3436="","",All_Students_Scores!C3436:V3436)</f>
        <v/>
      </c>
      <c r="E3438" s="57" t="str"/>
      <c r="F3438" s="49" t="str"/>
      <c r="G3438" s="59" t="str"/>
      <c r="H3438" s="64" t="str"/>
      <c r="I3438" s="65" t="str"/>
      <c r="J3438" s="49" t="str"/>
      <c r="K3438" s="41" t="str"/>
      <c r="L3438" s="41" t="str"/>
      <c r="M3438" s="41" t="str"/>
      <c r="N3438" s="41" t="str"/>
      <c r="O3438" s="41" t="str"/>
      <c r="P3438" s="41" t="str"/>
      <c r="Q3438" s="41" t="str"/>
      <c r="R3438" s="41" t="str"/>
      <c r="S3438" s="41" t="str"/>
      <c r="T3438" s="41" t="str"/>
      <c r="U3438" s="41" t="str"/>
      <c r="V3438" s="41" t="str"/>
      <c r="W3438" s="41" t="str"/>
    </row>
    <row r="3439">
      <c r="B3439" s="2" t="n"/>
      <c r="C3439" s="40" t="n"/>
      <c r="D3439" s="52">
        <f t="array" ref="D3439:W3439">IF(All_Students_Scores!C3437:V3437="","",All_Students_Scores!C3437:V3437)</f>
        <v/>
      </c>
      <c r="E3439" s="57" t="str"/>
      <c r="F3439" s="49" t="str"/>
      <c r="G3439" s="59" t="str"/>
      <c r="H3439" s="64" t="str"/>
      <c r="I3439" s="65" t="str"/>
      <c r="J3439" s="49" t="str"/>
      <c r="K3439" s="41" t="str"/>
      <c r="L3439" s="41" t="str"/>
      <c r="M3439" s="41" t="str"/>
      <c r="N3439" s="41" t="str"/>
      <c r="O3439" s="41" t="str"/>
      <c r="P3439" s="41" t="str"/>
      <c r="Q3439" s="41" t="str"/>
      <c r="R3439" s="41" t="str"/>
      <c r="S3439" s="41" t="str"/>
      <c r="T3439" s="41" t="str"/>
      <c r="U3439" s="41" t="str"/>
      <c r="V3439" s="41" t="str"/>
      <c r="W3439" s="41" t="str"/>
    </row>
    <row r="3440">
      <c r="B3440" s="2" t="n"/>
      <c r="C3440" s="40" t="n"/>
      <c r="D3440" s="52">
        <f t="array" ref="D3440:W3440">IF(All_Students_Scores!C3438:V3438="","",All_Students_Scores!C3438:V3438)</f>
        <v/>
      </c>
      <c r="E3440" s="57" t="str"/>
      <c r="F3440" s="49" t="str"/>
      <c r="G3440" s="59" t="str"/>
      <c r="H3440" s="64" t="str"/>
      <c r="I3440" s="65" t="str"/>
      <c r="J3440" s="49" t="str"/>
      <c r="K3440" s="41" t="str"/>
      <c r="L3440" s="41" t="str"/>
      <c r="M3440" s="41" t="str"/>
      <c r="N3440" s="41" t="str"/>
      <c r="O3440" s="41" t="str"/>
      <c r="P3440" s="41" t="str"/>
      <c r="Q3440" s="41" t="str"/>
      <c r="R3440" s="41" t="str"/>
      <c r="S3440" s="41" t="str"/>
      <c r="T3440" s="41" t="str"/>
      <c r="U3440" s="41" t="str"/>
      <c r="V3440" s="41" t="str"/>
      <c r="W3440" s="41" t="str"/>
    </row>
    <row r="3441">
      <c r="B3441" s="2" t="n"/>
      <c r="C3441" s="40" t="n"/>
      <c r="D3441" s="52">
        <f t="array" ref="D3441:W3441">IF(All_Students_Scores!C3439:V3439="","",All_Students_Scores!C3439:V3439)</f>
        <v/>
      </c>
      <c r="E3441" s="57" t="str"/>
      <c r="F3441" s="49" t="str"/>
      <c r="G3441" s="59" t="str"/>
      <c r="H3441" s="64" t="str"/>
      <c r="I3441" s="65" t="str"/>
      <c r="J3441" s="49" t="str"/>
      <c r="K3441" s="41" t="str"/>
      <c r="L3441" s="41" t="str"/>
      <c r="M3441" s="41" t="str"/>
      <c r="N3441" s="41" t="str"/>
      <c r="O3441" s="41" t="str"/>
      <c r="P3441" s="41" t="str"/>
      <c r="Q3441" s="41" t="str"/>
      <c r="R3441" s="41" t="str"/>
      <c r="S3441" s="41" t="str"/>
      <c r="T3441" s="41" t="str"/>
      <c r="U3441" s="41" t="str"/>
      <c r="V3441" s="41" t="str"/>
      <c r="W3441" s="41" t="str"/>
    </row>
    <row r="3442">
      <c r="B3442" s="2" t="n"/>
      <c r="C3442" s="40" t="n"/>
      <c r="D3442" s="52">
        <f t="array" ref="D3442:W3442">IF(All_Students_Scores!C3440:V3440="","",All_Students_Scores!C3440:V3440)</f>
        <v/>
      </c>
      <c r="E3442" s="57" t="str"/>
      <c r="F3442" s="49" t="str"/>
      <c r="G3442" s="59" t="str"/>
      <c r="H3442" s="64" t="str"/>
      <c r="I3442" s="65" t="str"/>
      <c r="J3442" s="49" t="str"/>
      <c r="K3442" s="41" t="str"/>
      <c r="L3442" s="41" t="str"/>
      <c r="M3442" s="41" t="str"/>
      <c r="N3442" s="41" t="str"/>
      <c r="O3442" s="41" t="str"/>
      <c r="P3442" s="41" t="str"/>
      <c r="Q3442" s="41" t="str"/>
      <c r="R3442" s="41" t="str"/>
      <c r="S3442" s="41" t="str"/>
      <c r="T3442" s="41" t="str"/>
      <c r="U3442" s="41" t="str"/>
      <c r="V3442" s="41" t="str"/>
      <c r="W3442" s="41" t="str"/>
    </row>
    <row r="3443">
      <c r="B3443" s="2" t="n"/>
      <c r="C3443" s="40" t="n"/>
      <c r="D3443" s="52">
        <f t="array" ref="D3443:W3443">IF(All_Students_Scores!C3441:V3441="","",All_Students_Scores!C3441:V3441)</f>
        <v/>
      </c>
      <c r="E3443" s="57" t="str"/>
      <c r="F3443" s="49" t="str"/>
      <c r="G3443" s="59" t="str"/>
      <c r="H3443" s="64" t="str"/>
      <c r="I3443" s="65" t="str"/>
      <c r="J3443" s="49" t="str"/>
      <c r="K3443" s="41" t="str"/>
      <c r="L3443" s="41" t="str"/>
      <c r="M3443" s="41" t="str"/>
      <c r="N3443" s="41" t="str"/>
      <c r="O3443" s="41" t="str"/>
      <c r="P3443" s="41" t="str"/>
      <c r="Q3443" s="41" t="str"/>
      <c r="R3443" s="41" t="str"/>
      <c r="S3443" s="41" t="str"/>
      <c r="T3443" s="41" t="str"/>
      <c r="U3443" s="41" t="str"/>
      <c r="V3443" s="41" t="str"/>
      <c r="W3443" s="41" t="str"/>
    </row>
    <row r="3444">
      <c r="B3444" s="2" t="n"/>
      <c r="C3444" s="40" t="n"/>
      <c r="D3444" s="52">
        <f t="array" ref="D3444:W3444">IF(All_Students_Scores!C3442:V3442="","",All_Students_Scores!C3442:V3442)</f>
        <v/>
      </c>
      <c r="E3444" s="57" t="str"/>
      <c r="F3444" s="49" t="str"/>
      <c r="G3444" s="59" t="str"/>
      <c r="H3444" s="64" t="str"/>
      <c r="I3444" s="65" t="str"/>
      <c r="J3444" s="49" t="str"/>
      <c r="K3444" s="41" t="str"/>
      <c r="L3444" s="41" t="str"/>
      <c r="M3444" s="41" t="str"/>
      <c r="N3444" s="41" t="str"/>
      <c r="O3444" s="41" t="str"/>
      <c r="P3444" s="41" t="str"/>
      <c r="Q3444" s="41" t="str"/>
      <c r="R3444" s="41" t="str"/>
      <c r="S3444" s="41" t="str"/>
      <c r="T3444" s="41" t="str"/>
      <c r="U3444" s="41" t="str"/>
      <c r="V3444" s="41" t="str"/>
      <c r="W3444" s="41" t="str"/>
    </row>
    <row r="3445">
      <c r="B3445" s="2" t="n"/>
      <c r="C3445" s="40" t="n"/>
      <c r="D3445" s="52">
        <f t="array" ref="D3445:W3445">IF(All_Students_Scores!C3443:V3443="","",All_Students_Scores!C3443:V3443)</f>
        <v/>
      </c>
      <c r="E3445" s="57" t="str"/>
      <c r="F3445" s="49" t="str"/>
      <c r="G3445" s="59" t="str"/>
      <c r="H3445" s="64" t="str"/>
      <c r="I3445" s="65" t="str"/>
      <c r="J3445" s="49" t="str"/>
      <c r="K3445" s="41" t="str"/>
      <c r="L3445" s="41" t="str"/>
      <c r="M3445" s="41" t="str"/>
      <c r="N3445" s="41" t="str"/>
      <c r="O3445" s="41" t="str"/>
      <c r="P3445" s="41" t="str"/>
      <c r="Q3445" s="41" t="str"/>
      <c r="R3445" s="41" t="str"/>
      <c r="S3445" s="41" t="str"/>
      <c r="T3445" s="41" t="str"/>
      <c r="U3445" s="41" t="str"/>
      <c r="V3445" s="41" t="str"/>
      <c r="W3445" s="41" t="str"/>
    </row>
    <row r="3446">
      <c r="B3446" s="2" t="n"/>
      <c r="C3446" s="40" t="n"/>
      <c r="D3446" s="52">
        <f t="array" ref="D3446:W3446">IF(All_Students_Scores!C3444:V3444="","",All_Students_Scores!C3444:V3444)</f>
        <v/>
      </c>
      <c r="E3446" s="57" t="str"/>
      <c r="F3446" s="49" t="str"/>
      <c r="G3446" s="59" t="str"/>
      <c r="H3446" s="64" t="str"/>
      <c r="I3446" s="65" t="str"/>
      <c r="J3446" s="49" t="str"/>
      <c r="K3446" s="41" t="str"/>
      <c r="L3446" s="41" t="str"/>
      <c r="M3446" s="41" t="str"/>
      <c r="N3446" s="41" t="str"/>
      <c r="O3446" s="41" t="str"/>
      <c r="P3446" s="41" t="str"/>
      <c r="Q3446" s="41" t="str"/>
      <c r="R3446" s="41" t="str"/>
      <c r="S3446" s="41" t="str"/>
      <c r="T3446" s="41" t="str"/>
      <c r="U3446" s="41" t="str"/>
      <c r="V3446" s="41" t="str"/>
      <c r="W3446" s="41" t="str"/>
    </row>
    <row r="3447">
      <c r="B3447" s="2" t="n"/>
      <c r="C3447" s="40" t="n"/>
      <c r="D3447" s="52">
        <f t="array" ref="D3447:W3447">IF(All_Students_Scores!C3445:V3445="","",All_Students_Scores!C3445:V3445)</f>
        <v/>
      </c>
      <c r="E3447" s="57" t="str"/>
      <c r="F3447" s="49" t="str"/>
      <c r="G3447" s="59" t="str"/>
      <c r="H3447" s="64" t="str"/>
      <c r="I3447" s="65" t="str"/>
      <c r="J3447" s="49" t="str"/>
      <c r="K3447" s="41" t="str"/>
      <c r="L3447" s="41" t="str"/>
      <c r="M3447" s="41" t="str"/>
      <c r="N3447" s="41" t="str"/>
      <c r="O3447" s="41" t="str"/>
      <c r="P3447" s="41" t="str"/>
      <c r="Q3447" s="41" t="str"/>
      <c r="R3447" s="41" t="str"/>
      <c r="S3447" s="41" t="str"/>
      <c r="T3447" s="41" t="str"/>
      <c r="U3447" s="41" t="str"/>
      <c r="V3447" s="41" t="str"/>
      <c r="W3447" s="41" t="str"/>
    </row>
    <row r="3448">
      <c r="B3448" s="2" t="n"/>
      <c r="C3448" s="40" t="n"/>
      <c r="D3448" s="52">
        <f t="array" ref="D3448:W3448">IF(All_Students_Scores!C3446:V3446="","",All_Students_Scores!C3446:V3446)</f>
        <v/>
      </c>
      <c r="E3448" s="57" t="str"/>
      <c r="F3448" s="49" t="str"/>
      <c r="G3448" s="59" t="str"/>
      <c r="H3448" s="64" t="str"/>
      <c r="I3448" s="65" t="str"/>
      <c r="J3448" s="49" t="str"/>
      <c r="K3448" s="41" t="str"/>
      <c r="L3448" s="41" t="str"/>
      <c r="M3448" s="41" t="str"/>
      <c r="N3448" s="41" t="str"/>
      <c r="O3448" s="41" t="str"/>
      <c r="P3448" s="41" t="str"/>
      <c r="Q3448" s="41" t="str"/>
      <c r="R3448" s="41" t="str"/>
      <c r="S3448" s="41" t="str"/>
      <c r="T3448" s="41" t="str"/>
      <c r="U3448" s="41" t="str"/>
      <c r="V3448" s="41" t="str"/>
      <c r="W3448" s="41" t="str"/>
    </row>
    <row r="3449">
      <c r="B3449" s="2" t="n"/>
      <c r="C3449" s="40" t="n"/>
      <c r="D3449" s="52">
        <f t="array" ref="D3449:W3449">IF(All_Students_Scores!C3447:V3447="","",All_Students_Scores!C3447:V3447)</f>
        <v/>
      </c>
      <c r="E3449" s="57" t="str"/>
      <c r="F3449" s="49" t="str"/>
      <c r="G3449" s="59" t="str"/>
      <c r="H3449" s="64" t="str"/>
      <c r="I3449" s="65" t="str"/>
      <c r="J3449" s="49" t="str"/>
      <c r="K3449" s="41" t="str"/>
      <c r="L3449" s="41" t="str"/>
      <c r="M3449" s="41" t="str"/>
      <c r="N3449" s="41" t="str"/>
      <c r="O3449" s="41" t="str"/>
      <c r="P3449" s="41" t="str"/>
      <c r="Q3449" s="41" t="str"/>
      <c r="R3449" s="41" t="str"/>
      <c r="S3449" s="41" t="str"/>
      <c r="T3449" s="41" t="str"/>
      <c r="U3449" s="41" t="str"/>
      <c r="V3449" s="41" t="str"/>
      <c r="W3449" s="41" t="str"/>
    </row>
    <row r="3450">
      <c r="B3450" s="2" t="n"/>
      <c r="C3450" s="40" t="n"/>
      <c r="D3450" s="52">
        <f t="array" ref="D3450:W3450">IF(All_Students_Scores!C3448:V3448="","",All_Students_Scores!C3448:V3448)</f>
        <v/>
      </c>
      <c r="E3450" s="57" t="str"/>
      <c r="F3450" s="49" t="str"/>
      <c r="G3450" s="59" t="str"/>
      <c r="H3450" s="64" t="str"/>
      <c r="I3450" s="65" t="str"/>
      <c r="J3450" s="49" t="str"/>
      <c r="K3450" s="41" t="str"/>
      <c r="L3450" s="41" t="str"/>
      <c r="M3450" s="41" t="str"/>
      <c r="N3450" s="41" t="str"/>
      <c r="O3450" s="41" t="str"/>
      <c r="P3450" s="41" t="str"/>
      <c r="Q3450" s="41" t="str"/>
      <c r="R3450" s="41" t="str"/>
      <c r="S3450" s="41" t="str"/>
      <c r="T3450" s="41" t="str"/>
      <c r="U3450" s="41" t="str"/>
      <c r="V3450" s="41" t="str"/>
      <c r="W3450" s="41" t="str"/>
    </row>
    <row r="3451">
      <c r="B3451" s="2" t="n"/>
      <c r="C3451" s="40" t="n"/>
      <c r="D3451" s="52">
        <f t="array" ref="D3451:W3451">IF(All_Students_Scores!C3449:V3449="","",All_Students_Scores!C3449:V3449)</f>
        <v/>
      </c>
      <c r="E3451" s="57" t="str"/>
      <c r="F3451" s="49" t="str"/>
      <c r="G3451" s="59" t="str"/>
      <c r="H3451" s="64" t="str"/>
      <c r="I3451" s="65" t="str"/>
      <c r="J3451" s="49" t="str"/>
      <c r="K3451" s="41" t="str"/>
      <c r="L3451" s="41" t="str"/>
      <c r="M3451" s="41" t="str"/>
      <c r="N3451" s="41" t="str"/>
      <c r="O3451" s="41" t="str"/>
      <c r="P3451" s="41" t="str"/>
      <c r="Q3451" s="41" t="str"/>
      <c r="R3451" s="41" t="str"/>
      <c r="S3451" s="41" t="str"/>
      <c r="T3451" s="41" t="str"/>
      <c r="U3451" s="41" t="str"/>
      <c r="V3451" s="41" t="str"/>
      <c r="W3451" s="41" t="str"/>
    </row>
    <row r="3452">
      <c r="B3452" s="2" t="n"/>
      <c r="C3452" s="40" t="n"/>
      <c r="D3452" s="52">
        <f t="array" ref="D3452:W3452">IF(All_Students_Scores!C3450:V3450="","",All_Students_Scores!C3450:V3450)</f>
        <v/>
      </c>
      <c r="E3452" s="57" t="str"/>
      <c r="F3452" s="49" t="str"/>
      <c r="G3452" s="59" t="str"/>
      <c r="H3452" s="64" t="str"/>
      <c r="I3452" s="65" t="str"/>
      <c r="J3452" s="49" t="str"/>
      <c r="K3452" s="41" t="str"/>
      <c r="L3452" s="41" t="str"/>
      <c r="M3452" s="41" t="str"/>
      <c r="N3452" s="41" t="str"/>
      <c r="O3452" s="41" t="str"/>
      <c r="P3452" s="41" t="str"/>
      <c r="Q3452" s="41" t="str"/>
      <c r="R3452" s="41" t="str"/>
      <c r="S3452" s="41" t="str"/>
      <c r="T3452" s="41" t="str"/>
      <c r="U3452" s="41" t="str"/>
      <c r="V3452" s="41" t="str"/>
      <c r="W3452" s="41" t="str"/>
    </row>
    <row r="3453">
      <c r="B3453" s="2" t="n"/>
      <c r="C3453" s="40" t="n"/>
      <c r="D3453" s="52">
        <f t="array" ref="D3453:W3453">IF(All_Students_Scores!C3451:V3451="","",All_Students_Scores!C3451:V3451)</f>
        <v/>
      </c>
      <c r="E3453" s="57" t="str"/>
      <c r="F3453" s="49" t="str"/>
      <c r="G3453" s="59" t="str"/>
      <c r="H3453" s="64" t="str"/>
      <c r="I3453" s="65" t="str"/>
      <c r="J3453" s="49" t="str"/>
      <c r="K3453" s="41" t="str"/>
      <c r="L3453" s="41" t="str"/>
      <c r="M3453" s="41" t="str"/>
      <c r="N3453" s="41" t="str"/>
      <c r="O3453" s="41" t="str"/>
      <c r="P3453" s="41" t="str"/>
      <c r="Q3453" s="41" t="str"/>
      <c r="R3453" s="41" t="str"/>
      <c r="S3453" s="41" t="str"/>
      <c r="T3453" s="41" t="str"/>
      <c r="U3453" s="41" t="str"/>
      <c r="V3453" s="41" t="str"/>
      <c r="W3453" s="41" t="str"/>
    </row>
    <row r="3454">
      <c r="B3454" s="2" t="n"/>
      <c r="C3454" s="40" t="n"/>
      <c r="D3454" s="52">
        <f t="array" ref="D3454:W3454">IF(All_Students_Scores!C3452:V3452="","",All_Students_Scores!C3452:V3452)</f>
        <v/>
      </c>
      <c r="E3454" s="57" t="str"/>
      <c r="F3454" s="49" t="str"/>
      <c r="G3454" s="59" t="str"/>
      <c r="H3454" s="64" t="str"/>
      <c r="I3454" s="65" t="str"/>
      <c r="J3454" s="49" t="str"/>
      <c r="K3454" s="41" t="str"/>
      <c r="L3454" s="41" t="str"/>
      <c r="M3454" s="41" t="str"/>
      <c r="N3454" s="41" t="str"/>
      <c r="O3454" s="41" t="str"/>
      <c r="P3454" s="41" t="str"/>
      <c r="Q3454" s="41" t="str"/>
      <c r="R3454" s="41" t="str"/>
      <c r="S3454" s="41" t="str"/>
      <c r="T3454" s="41" t="str"/>
      <c r="U3454" s="41" t="str"/>
      <c r="V3454" s="41" t="str"/>
      <c r="W3454" s="41" t="str"/>
    </row>
    <row r="3455">
      <c r="B3455" s="2" t="n"/>
      <c r="C3455" s="40" t="n"/>
      <c r="D3455" s="52">
        <f t="array" ref="D3455:W3455">IF(All_Students_Scores!C3453:V3453="","",All_Students_Scores!C3453:V3453)</f>
        <v/>
      </c>
      <c r="E3455" s="57" t="str"/>
      <c r="F3455" s="49" t="str"/>
      <c r="G3455" s="59" t="str"/>
      <c r="H3455" s="64" t="str"/>
      <c r="I3455" s="65" t="str"/>
      <c r="J3455" s="49" t="str"/>
      <c r="K3455" s="41" t="str"/>
      <c r="L3455" s="41" t="str"/>
      <c r="M3455" s="41" t="str"/>
      <c r="N3455" s="41" t="str"/>
      <c r="O3455" s="41" t="str"/>
      <c r="P3455" s="41" t="str"/>
      <c r="Q3455" s="41" t="str"/>
      <c r="R3455" s="41" t="str"/>
      <c r="S3455" s="41" t="str"/>
      <c r="T3455" s="41" t="str"/>
      <c r="U3455" s="41" t="str"/>
      <c r="V3455" s="41" t="str"/>
      <c r="W3455" s="41" t="str"/>
    </row>
    <row r="3456">
      <c r="B3456" s="2" t="n"/>
      <c r="C3456" s="40" t="n"/>
      <c r="D3456" s="52">
        <f t="array" ref="D3456:W3456">IF(All_Students_Scores!C3454:V3454="","",All_Students_Scores!C3454:V3454)</f>
        <v/>
      </c>
      <c r="E3456" s="57" t="str"/>
      <c r="F3456" s="49" t="str"/>
      <c r="G3456" s="59" t="str"/>
      <c r="H3456" s="64" t="str"/>
      <c r="I3456" s="65" t="str"/>
      <c r="J3456" s="49" t="str"/>
      <c r="K3456" s="41" t="str"/>
      <c r="L3456" s="41" t="str"/>
      <c r="M3456" s="41" t="str"/>
      <c r="N3456" s="41" t="str"/>
      <c r="O3456" s="41" t="str"/>
      <c r="P3456" s="41" t="str"/>
      <c r="Q3456" s="41" t="str"/>
      <c r="R3456" s="41" t="str"/>
      <c r="S3456" s="41" t="str"/>
      <c r="T3456" s="41" t="str"/>
      <c r="U3456" s="41" t="str"/>
      <c r="V3456" s="41" t="str"/>
      <c r="W3456" s="41" t="str"/>
    </row>
    <row r="3457">
      <c r="B3457" s="2" t="n"/>
      <c r="C3457" s="40" t="n"/>
      <c r="D3457" s="52">
        <f t="array" ref="D3457:W3457">IF(All_Students_Scores!C3455:V3455="","",All_Students_Scores!C3455:V3455)</f>
        <v/>
      </c>
      <c r="E3457" s="57" t="str"/>
      <c r="F3457" s="49" t="str"/>
      <c r="G3457" s="59" t="str"/>
      <c r="H3457" s="64" t="str"/>
      <c r="I3457" s="65" t="str"/>
      <c r="J3457" s="49" t="str"/>
      <c r="K3457" s="41" t="str"/>
      <c r="L3457" s="41" t="str"/>
      <c r="M3457" s="41" t="str"/>
      <c r="N3457" s="41" t="str"/>
      <c r="O3457" s="41" t="str"/>
      <c r="P3457" s="41" t="str"/>
      <c r="Q3457" s="41" t="str"/>
      <c r="R3457" s="41" t="str"/>
      <c r="S3457" s="41" t="str"/>
      <c r="T3457" s="41" t="str"/>
      <c r="U3457" s="41" t="str"/>
      <c r="V3457" s="41" t="str"/>
      <c r="W3457" s="41" t="str"/>
    </row>
    <row r="3458">
      <c r="B3458" s="2" t="n"/>
      <c r="C3458" s="40" t="n"/>
      <c r="D3458" s="52">
        <f t="array" ref="D3458:W3458">IF(All_Students_Scores!C3456:V3456="","",All_Students_Scores!C3456:V3456)</f>
        <v/>
      </c>
      <c r="E3458" s="57" t="str"/>
      <c r="F3458" s="49" t="str"/>
      <c r="G3458" s="59" t="str"/>
      <c r="H3458" s="64" t="str"/>
      <c r="I3458" s="65" t="str"/>
      <c r="J3458" s="49" t="str"/>
      <c r="K3458" s="41" t="str"/>
      <c r="L3458" s="41" t="str"/>
      <c r="M3458" s="41" t="str"/>
      <c r="N3458" s="41" t="str"/>
      <c r="O3458" s="41" t="str"/>
      <c r="P3458" s="41" t="str"/>
      <c r="Q3458" s="41" t="str"/>
      <c r="R3458" s="41" t="str"/>
      <c r="S3458" s="41" t="str"/>
      <c r="T3458" s="41" t="str"/>
      <c r="U3458" s="41" t="str"/>
      <c r="V3458" s="41" t="str"/>
      <c r="W3458" s="41" t="str"/>
    </row>
    <row r="3459">
      <c r="B3459" s="2" t="n"/>
      <c r="C3459" s="40" t="n"/>
      <c r="D3459" s="52">
        <f t="array" ref="D3459:W3459">IF(All_Students_Scores!C3457:V3457="","",All_Students_Scores!C3457:V3457)</f>
        <v/>
      </c>
      <c r="E3459" s="57" t="str"/>
      <c r="F3459" s="49" t="str"/>
      <c r="G3459" s="59" t="str"/>
      <c r="H3459" s="64" t="str"/>
      <c r="I3459" s="65" t="str"/>
      <c r="J3459" s="49" t="str"/>
      <c r="K3459" s="41" t="str"/>
      <c r="L3459" s="41" t="str"/>
      <c r="M3459" s="41" t="str"/>
      <c r="N3459" s="41" t="str"/>
      <c r="O3459" s="41" t="str"/>
      <c r="P3459" s="41" t="str"/>
      <c r="Q3459" s="41" t="str"/>
      <c r="R3459" s="41" t="str"/>
      <c r="S3459" s="41" t="str"/>
      <c r="T3459" s="41" t="str"/>
      <c r="U3459" s="41" t="str"/>
      <c r="V3459" s="41" t="str"/>
      <c r="W3459" s="41" t="str"/>
    </row>
    <row r="3460">
      <c r="B3460" s="2" t="n"/>
      <c r="C3460" s="40" t="n"/>
      <c r="D3460" s="52">
        <f t="array" ref="D3460:W3460">IF(All_Students_Scores!C3458:V3458="","",All_Students_Scores!C3458:V3458)</f>
        <v/>
      </c>
      <c r="E3460" s="57" t="str"/>
      <c r="F3460" s="49" t="str"/>
      <c r="G3460" s="59" t="str"/>
      <c r="H3460" s="64" t="str"/>
      <c r="I3460" s="65" t="str"/>
      <c r="J3460" s="49" t="str"/>
      <c r="K3460" s="41" t="str"/>
      <c r="L3460" s="41" t="str"/>
      <c r="M3460" s="41" t="str"/>
      <c r="N3460" s="41" t="str"/>
      <c r="O3460" s="41" t="str"/>
      <c r="P3460" s="41" t="str"/>
      <c r="Q3460" s="41" t="str"/>
      <c r="R3460" s="41" t="str"/>
      <c r="S3460" s="41" t="str"/>
      <c r="T3460" s="41" t="str"/>
      <c r="U3460" s="41" t="str"/>
      <c r="V3460" s="41" t="str"/>
      <c r="W3460" s="41" t="str"/>
    </row>
    <row r="3461">
      <c r="B3461" s="2" t="n"/>
      <c r="C3461" s="40" t="n"/>
      <c r="D3461" s="52">
        <f t="array" ref="D3461:W3461">IF(All_Students_Scores!C3459:V3459="","",All_Students_Scores!C3459:V3459)</f>
        <v/>
      </c>
      <c r="E3461" s="57" t="str"/>
      <c r="F3461" s="49" t="str"/>
      <c r="G3461" s="59" t="str"/>
      <c r="H3461" s="64" t="str"/>
      <c r="I3461" s="65" t="str"/>
      <c r="J3461" s="49" t="str"/>
      <c r="K3461" s="41" t="str"/>
      <c r="L3461" s="41" t="str"/>
      <c r="M3461" s="41" t="str"/>
      <c r="N3461" s="41" t="str"/>
      <c r="O3461" s="41" t="str"/>
      <c r="P3461" s="41" t="str"/>
      <c r="Q3461" s="41" t="str"/>
      <c r="R3461" s="41" t="str"/>
      <c r="S3461" s="41" t="str"/>
      <c r="T3461" s="41" t="str"/>
      <c r="U3461" s="41" t="str"/>
      <c r="V3461" s="41" t="str"/>
      <c r="W3461" s="41" t="str"/>
    </row>
    <row r="3462">
      <c r="B3462" s="2" t="n"/>
      <c r="C3462" s="40" t="n"/>
      <c r="D3462" s="52">
        <f t="array" ref="D3462:W3462">IF(All_Students_Scores!C3460:V3460="","",All_Students_Scores!C3460:V3460)</f>
        <v/>
      </c>
      <c r="E3462" s="57" t="str"/>
      <c r="F3462" s="49" t="str"/>
      <c r="G3462" s="59" t="str"/>
      <c r="H3462" s="64" t="str"/>
      <c r="I3462" s="65" t="str"/>
      <c r="J3462" s="49" t="str"/>
      <c r="K3462" s="41" t="str"/>
      <c r="L3462" s="41" t="str"/>
      <c r="M3462" s="41" t="str"/>
      <c r="N3462" s="41" t="str"/>
      <c r="O3462" s="41" t="str"/>
      <c r="P3462" s="41" t="str"/>
      <c r="Q3462" s="41" t="str"/>
      <c r="R3462" s="41" t="str"/>
      <c r="S3462" s="41" t="str"/>
      <c r="T3462" s="41" t="str"/>
      <c r="U3462" s="41" t="str"/>
      <c r="V3462" s="41" t="str"/>
      <c r="W3462" s="41" t="str"/>
    </row>
    <row r="3463">
      <c r="B3463" s="2" t="n"/>
      <c r="C3463" s="40" t="n"/>
      <c r="D3463" s="52">
        <f t="array" ref="D3463:W3463">IF(All_Students_Scores!C3461:V3461="","",All_Students_Scores!C3461:V3461)</f>
        <v/>
      </c>
      <c r="E3463" s="57" t="str"/>
      <c r="F3463" s="49" t="str"/>
      <c r="G3463" s="59" t="str"/>
      <c r="H3463" s="64" t="str"/>
      <c r="I3463" s="65" t="str"/>
      <c r="J3463" s="49" t="str"/>
      <c r="K3463" s="41" t="str"/>
      <c r="L3463" s="41" t="str"/>
      <c r="M3463" s="41" t="str"/>
      <c r="N3463" s="41" t="str"/>
      <c r="O3463" s="41" t="str"/>
      <c r="P3463" s="41" t="str"/>
      <c r="Q3463" s="41" t="str"/>
      <c r="R3463" s="41" t="str"/>
      <c r="S3463" s="41" t="str"/>
      <c r="T3463" s="41" t="str"/>
      <c r="U3463" s="41" t="str"/>
      <c r="V3463" s="41" t="str"/>
      <c r="W3463" s="41" t="str"/>
    </row>
    <row r="3464">
      <c r="B3464" s="2" t="n"/>
      <c r="C3464" s="40" t="n"/>
      <c r="D3464" s="52">
        <f t="array" ref="D3464:W3464">IF(All_Students_Scores!C3462:V3462="","",All_Students_Scores!C3462:V3462)</f>
        <v/>
      </c>
      <c r="E3464" s="57" t="str"/>
      <c r="F3464" s="49" t="str"/>
      <c r="G3464" s="59" t="str"/>
      <c r="H3464" s="64" t="str"/>
      <c r="I3464" s="65" t="str"/>
      <c r="J3464" s="49" t="str"/>
      <c r="K3464" s="41" t="str"/>
      <c r="L3464" s="41" t="str"/>
      <c r="M3464" s="41" t="str"/>
      <c r="N3464" s="41" t="str"/>
      <c r="O3464" s="41" t="str"/>
      <c r="P3464" s="41" t="str"/>
      <c r="Q3464" s="41" t="str"/>
      <c r="R3464" s="41" t="str"/>
      <c r="S3464" s="41" t="str"/>
      <c r="T3464" s="41" t="str"/>
      <c r="U3464" s="41" t="str"/>
      <c r="V3464" s="41" t="str"/>
      <c r="W3464" s="41" t="str"/>
    </row>
    <row r="3465">
      <c r="B3465" s="2" t="n"/>
      <c r="C3465" s="40" t="n"/>
      <c r="D3465" s="52">
        <f t="array" ref="D3465:W3465">IF(All_Students_Scores!C3463:V3463="","",All_Students_Scores!C3463:V3463)</f>
        <v/>
      </c>
      <c r="E3465" s="57" t="str"/>
      <c r="F3465" s="49" t="str"/>
      <c r="G3465" s="59" t="str"/>
      <c r="H3465" s="64" t="str"/>
      <c r="I3465" s="65" t="str"/>
      <c r="J3465" s="49" t="str"/>
      <c r="K3465" s="41" t="str"/>
      <c r="L3465" s="41" t="str"/>
      <c r="M3465" s="41" t="str"/>
      <c r="N3465" s="41" t="str"/>
      <c r="O3465" s="41" t="str"/>
      <c r="P3465" s="41" t="str"/>
      <c r="Q3465" s="41" t="str"/>
      <c r="R3465" s="41" t="str"/>
      <c r="S3465" s="41" t="str"/>
      <c r="T3465" s="41" t="str"/>
      <c r="U3465" s="41" t="str"/>
      <c r="V3465" s="41" t="str"/>
      <c r="W3465" s="41" t="str"/>
    </row>
    <row r="3466">
      <c r="B3466" s="2" t="n"/>
      <c r="C3466" s="40" t="n"/>
      <c r="D3466" s="52">
        <f t="array" ref="D3466:W3466">IF(All_Students_Scores!C3464:V3464="","",All_Students_Scores!C3464:V3464)</f>
        <v/>
      </c>
      <c r="E3466" s="57" t="str"/>
      <c r="F3466" s="49" t="str"/>
      <c r="G3466" s="59" t="str"/>
      <c r="H3466" s="64" t="str"/>
      <c r="I3466" s="65" t="str"/>
      <c r="J3466" s="49" t="str"/>
      <c r="K3466" s="41" t="str"/>
      <c r="L3466" s="41" t="str"/>
      <c r="M3466" s="41" t="str"/>
      <c r="N3466" s="41" t="str"/>
      <c r="O3466" s="41" t="str"/>
      <c r="P3466" s="41" t="str"/>
      <c r="Q3466" s="41" t="str"/>
      <c r="R3466" s="41" t="str"/>
      <c r="S3466" s="41" t="str"/>
      <c r="T3466" s="41" t="str"/>
      <c r="U3466" s="41" t="str"/>
      <c r="V3466" s="41" t="str"/>
      <c r="W3466" s="41" t="str"/>
    </row>
    <row r="3467">
      <c r="B3467" s="2" t="n"/>
      <c r="C3467" s="40" t="n"/>
      <c r="D3467" s="52">
        <f t="array" ref="D3467:W3467">IF(All_Students_Scores!C3465:V3465="","",All_Students_Scores!C3465:V3465)</f>
        <v/>
      </c>
      <c r="E3467" s="57" t="str"/>
      <c r="F3467" s="49" t="str"/>
      <c r="G3467" s="59" t="str"/>
      <c r="H3467" s="64" t="str"/>
      <c r="I3467" s="65" t="str"/>
      <c r="J3467" s="49" t="str"/>
      <c r="K3467" s="41" t="str"/>
      <c r="L3467" s="41" t="str"/>
      <c r="M3467" s="41" t="str"/>
      <c r="N3467" s="41" t="str"/>
      <c r="O3467" s="41" t="str"/>
      <c r="P3467" s="41" t="str"/>
      <c r="Q3467" s="41" t="str"/>
      <c r="R3467" s="41" t="str"/>
      <c r="S3467" s="41" t="str"/>
      <c r="T3467" s="41" t="str"/>
      <c r="U3467" s="41" t="str"/>
      <c r="V3467" s="41" t="str"/>
      <c r="W3467" s="41" t="str"/>
    </row>
    <row r="3468">
      <c r="B3468" s="2" t="n"/>
      <c r="C3468" s="40" t="n"/>
      <c r="D3468" s="52">
        <f t="array" ref="D3468:W3468">IF(All_Students_Scores!C3466:V3466="","",All_Students_Scores!C3466:V3466)</f>
        <v/>
      </c>
      <c r="E3468" s="57" t="str"/>
      <c r="F3468" s="49" t="str"/>
      <c r="G3468" s="59" t="str"/>
      <c r="H3468" s="64" t="str"/>
      <c r="I3468" s="65" t="str"/>
      <c r="J3468" s="49" t="str"/>
      <c r="K3468" s="41" t="str"/>
      <c r="L3468" s="41" t="str"/>
      <c r="M3468" s="41" t="str"/>
      <c r="N3468" s="41" t="str"/>
      <c r="O3468" s="41" t="str"/>
      <c r="P3468" s="41" t="str"/>
      <c r="Q3468" s="41" t="str"/>
      <c r="R3468" s="41" t="str"/>
      <c r="S3468" s="41" t="str"/>
      <c r="T3468" s="41" t="str"/>
      <c r="U3468" s="41" t="str"/>
      <c r="V3468" s="41" t="str"/>
      <c r="W3468" s="41" t="str"/>
    </row>
    <row r="3469">
      <c r="B3469" s="2" t="n"/>
      <c r="C3469" s="40" t="n"/>
      <c r="D3469" s="52">
        <f t="array" ref="D3469:W3469">IF(All_Students_Scores!C3467:V3467="","",All_Students_Scores!C3467:V3467)</f>
        <v/>
      </c>
      <c r="E3469" s="57" t="str"/>
      <c r="F3469" s="49" t="str"/>
      <c r="G3469" s="59" t="str"/>
      <c r="H3469" s="64" t="str"/>
      <c r="I3469" s="65" t="str"/>
      <c r="J3469" s="49" t="str"/>
      <c r="K3469" s="41" t="str"/>
      <c r="L3469" s="41" t="str"/>
      <c r="M3469" s="41" t="str"/>
      <c r="N3469" s="41" t="str"/>
      <c r="O3469" s="41" t="str"/>
      <c r="P3469" s="41" t="str"/>
      <c r="Q3469" s="41" t="str"/>
      <c r="R3469" s="41" t="str"/>
      <c r="S3469" s="41" t="str"/>
      <c r="T3469" s="41" t="str"/>
      <c r="U3469" s="41" t="str"/>
      <c r="V3469" s="41" t="str"/>
      <c r="W3469" s="41" t="str"/>
    </row>
    <row r="3470">
      <c r="B3470" s="2" t="n"/>
      <c r="C3470" s="40" t="n"/>
      <c r="D3470" s="52">
        <f t="array" ref="D3470:W3470">IF(All_Students_Scores!C3468:V3468="","",All_Students_Scores!C3468:V3468)</f>
        <v/>
      </c>
      <c r="E3470" s="57" t="str"/>
      <c r="F3470" s="49" t="str"/>
      <c r="G3470" s="59" t="str"/>
      <c r="H3470" s="64" t="str"/>
      <c r="I3470" s="65" t="str"/>
      <c r="J3470" s="49" t="str"/>
      <c r="K3470" s="41" t="str"/>
      <c r="L3470" s="41" t="str"/>
      <c r="M3470" s="41" t="str"/>
      <c r="N3470" s="41" t="str"/>
      <c r="O3470" s="41" t="str"/>
      <c r="P3470" s="41" t="str"/>
      <c r="Q3470" s="41" t="str"/>
      <c r="R3470" s="41" t="str"/>
      <c r="S3470" s="41" t="str"/>
      <c r="T3470" s="41" t="str"/>
      <c r="U3470" s="41" t="str"/>
      <c r="V3470" s="41" t="str"/>
      <c r="W3470" s="41" t="str"/>
    </row>
    <row r="3471">
      <c r="B3471" s="2" t="n"/>
      <c r="C3471" s="40" t="n"/>
      <c r="D3471" s="52">
        <f t="array" ref="D3471:W3471">IF(All_Students_Scores!C3469:V3469="","",All_Students_Scores!C3469:V3469)</f>
        <v/>
      </c>
      <c r="E3471" s="57" t="str"/>
      <c r="F3471" s="49" t="str"/>
      <c r="G3471" s="59" t="str"/>
      <c r="H3471" s="64" t="str"/>
      <c r="I3471" s="65" t="str"/>
      <c r="J3471" s="49" t="str"/>
      <c r="K3471" s="41" t="str"/>
      <c r="L3471" s="41" t="str"/>
      <c r="M3471" s="41" t="str"/>
      <c r="N3471" s="41" t="str"/>
      <c r="O3471" s="41" t="str"/>
      <c r="P3471" s="41" t="str"/>
      <c r="Q3471" s="41" t="str"/>
      <c r="R3471" s="41" t="str"/>
      <c r="S3471" s="41" t="str"/>
      <c r="T3471" s="41" t="str"/>
      <c r="U3471" s="41" t="str"/>
      <c r="V3471" s="41" t="str"/>
      <c r="W3471" s="41" t="str"/>
    </row>
    <row r="3472">
      <c r="B3472" s="2" t="n"/>
      <c r="C3472" s="40" t="n"/>
      <c r="D3472" s="52">
        <f t="array" ref="D3472:W3472">IF(All_Students_Scores!C3470:V3470="","",All_Students_Scores!C3470:V3470)</f>
        <v/>
      </c>
      <c r="E3472" s="57" t="str"/>
      <c r="F3472" s="49" t="str"/>
      <c r="G3472" s="59" t="str"/>
      <c r="H3472" s="64" t="str"/>
      <c r="I3472" s="65" t="str"/>
      <c r="J3472" s="49" t="str"/>
      <c r="K3472" s="41" t="str"/>
      <c r="L3472" s="41" t="str"/>
      <c r="M3472" s="41" t="str"/>
      <c r="N3472" s="41" t="str"/>
      <c r="O3472" s="41" t="str"/>
      <c r="P3472" s="41" t="str"/>
      <c r="Q3472" s="41" t="str"/>
      <c r="R3472" s="41" t="str"/>
      <c r="S3472" s="41" t="str"/>
      <c r="T3472" s="41" t="str"/>
      <c r="U3472" s="41" t="str"/>
      <c r="V3472" s="41" t="str"/>
      <c r="W3472" s="41" t="str"/>
    </row>
    <row r="3473">
      <c r="B3473" s="2" t="n"/>
      <c r="C3473" s="40" t="n"/>
      <c r="D3473" s="52">
        <f t="array" ref="D3473:W3473">IF(All_Students_Scores!C3471:V3471="","",All_Students_Scores!C3471:V3471)</f>
        <v/>
      </c>
      <c r="E3473" s="57" t="str"/>
      <c r="F3473" s="49" t="str"/>
      <c r="G3473" s="59" t="str"/>
      <c r="H3473" s="64" t="str"/>
      <c r="I3473" s="65" t="str"/>
      <c r="J3473" s="49" t="str"/>
      <c r="K3473" s="41" t="str"/>
      <c r="L3473" s="41" t="str"/>
      <c r="M3473" s="41" t="str"/>
      <c r="N3473" s="41" t="str"/>
      <c r="O3473" s="41" t="str"/>
      <c r="P3473" s="41" t="str"/>
      <c r="Q3473" s="41" t="str"/>
      <c r="R3473" s="41" t="str"/>
      <c r="S3473" s="41" t="str"/>
      <c r="T3473" s="41" t="str"/>
      <c r="U3473" s="41" t="str"/>
      <c r="V3473" s="41" t="str"/>
      <c r="W3473" s="41" t="str"/>
    </row>
    <row r="3474">
      <c r="B3474" s="2" t="n"/>
      <c r="C3474" s="40" t="n"/>
      <c r="D3474" s="52">
        <f t="array" ref="D3474:W3474">IF(All_Students_Scores!C3472:V3472="","",All_Students_Scores!C3472:V3472)</f>
        <v/>
      </c>
      <c r="E3474" s="57" t="str"/>
      <c r="F3474" s="49" t="str"/>
      <c r="G3474" s="59" t="str"/>
      <c r="H3474" s="64" t="str"/>
      <c r="I3474" s="65" t="str"/>
      <c r="J3474" s="49" t="str"/>
      <c r="K3474" s="41" t="str"/>
      <c r="L3474" s="41" t="str"/>
      <c r="M3474" s="41" t="str"/>
      <c r="N3474" s="41" t="str"/>
      <c r="O3474" s="41" t="str"/>
      <c r="P3474" s="41" t="str"/>
      <c r="Q3474" s="41" t="str"/>
      <c r="R3474" s="41" t="str"/>
      <c r="S3474" s="41" t="str"/>
      <c r="T3474" s="41" t="str"/>
      <c r="U3474" s="41" t="str"/>
      <c r="V3474" s="41" t="str"/>
      <c r="W3474" s="41" t="str"/>
    </row>
    <row r="3475">
      <c r="B3475" s="2" t="n"/>
      <c r="C3475" s="40" t="n"/>
      <c r="D3475" s="52">
        <f t="array" ref="D3475:W3475">IF(All_Students_Scores!C3473:V3473="","",All_Students_Scores!C3473:V3473)</f>
        <v/>
      </c>
      <c r="E3475" s="57" t="str"/>
      <c r="F3475" s="49" t="str"/>
      <c r="G3475" s="59" t="str"/>
      <c r="H3475" s="64" t="str"/>
      <c r="I3475" s="65" t="str"/>
      <c r="J3475" s="49" t="str"/>
      <c r="K3475" s="41" t="str"/>
      <c r="L3475" s="41" t="str"/>
      <c r="M3475" s="41" t="str"/>
      <c r="N3475" s="41" t="str"/>
      <c r="O3475" s="41" t="str"/>
      <c r="P3475" s="41" t="str"/>
      <c r="Q3475" s="41" t="str"/>
      <c r="R3475" s="41" t="str"/>
      <c r="S3475" s="41" t="str"/>
      <c r="T3475" s="41" t="str"/>
      <c r="U3475" s="41" t="str"/>
      <c r="V3475" s="41" t="str"/>
      <c r="W3475" s="41" t="str"/>
    </row>
    <row r="3476">
      <c r="B3476" s="2" t="n"/>
      <c r="C3476" s="40" t="n"/>
      <c r="D3476" s="52">
        <f t="array" ref="D3476:W3476">IF(All_Students_Scores!C3474:V3474="","",All_Students_Scores!C3474:V3474)</f>
        <v/>
      </c>
      <c r="E3476" s="57" t="str"/>
      <c r="F3476" s="49" t="str"/>
      <c r="G3476" s="59" t="str"/>
      <c r="H3476" s="64" t="str"/>
      <c r="I3476" s="65" t="str"/>
      <c r="J3476" s="49" t="str"/>
      <c r="K3476" s="41" t="str"/>
      <c r="L3476" s="41" t="str"/>
      <c r="M3476" s="41" t="str"/>
      <c r="N3476" s="41" t="str"/>
      <c r="O3476" s="41" t="str"/>
      <c r="P3476" s="41" t="str"/>
      <c r="Q3476" s="41" t="str"/>
      <c r="R3476" s="41" t="str"/>
      <c r="S3476" s="41" t="str"/>
      <c r="T3476" s="41" t="str"/>
      <c r="U3476" s="41" t="str"/>
      <c r="V3476" s="41" t="str"/>
      <c r="W3476" s="41" t="str"/>
    </row>
    <row r="3477">
      <c r="B3477" s="2" t="n"/>
      <c r="C3477" s="40" t="n"/>
      <c r="D3477" s="52">
        <f t="array" ref="D3477:W3477">IF(All_Students_Scores!C3475:V3475="","",All_Students_Scores!C3475:V3475)</f>
        <v/>
      </c>
      <c r="E3477" s="57" t="str"/>
      <c r="F3477" s="49" t="str"/>
      <c r="G3477" s="59" t="str"/>
      <c r="H3477" s="64" t="str"/>
      <c r="I3477" s="65" t="str"/>
      <c r="J3477" s="49" t="str"/>
      <c r="K3477" s="41" t="str"/>
      <c r="L3477" s="41" t="str"/>
      <c r="M3477" s="41" t="str"/>
      <c r="N3477" s="41" t="str"/>
      <c r="O3477" s="41" t="str"/>
      <c r="P3477" s="41" t="str"/>
      <c r="Q3477" s="41" t="str"/>
      <c r="R3477" s="41" t="str"/>
      <c r="S3477" s="41" t="str"/>
      <c r="T3477" s="41" t="str"/>
      <c r="U3477" s="41" t="str"/>
      <c r="V3477" s="41" t="str"/>
      <c r="W3477" s="41" t="str"/>
    </row>
    <row r="3478">
      <c r="B3478" s="2" t="n"/>
      <c r="C3478" s="40" t="n"/>
      <c r="D3478" s="52">
        <f t="array" ref="D3478:W3478">IF(All_Students_Scores!C3476:V3476="","",All_Students_Scores!C3476:V3476)</f>
        <v/>
      </c>
      <c r="E3478" s="57" t="str"/>
      <c r="F3478" s="49" t="str"/>
      <c r="G3478" s="59" t="str"/>
      <c r="H3478" s="64" t="str"/>
      <c r="I3478" s="65" t="str"/>
      <c r="J3478" s="49" t="str"/>
      <c r="K3478" s="41" t="str"/>
      <c r="L3478" s="41" t="str"/>
      <c r="M3478" s="41" t="str"/>
      <c r="N3478" s="41" t="str"/>
      <c r="O3478" s="41" t="str"/>
      <c r="P3478" s="41" t="str"/>
      <c r="Q3478" s="41" t="str"/>
      <c r="R3478" s="41" t="str"/>
      <c r="S3478" s="41" t="str"/>
      <c r="T3478" s="41" t="str"/>
      <c r="U3478" s="41" t="str"/>
      <c r="V3478" s="41" t="str"/>
      <c r="W3478" s="41" t="str"/>
    </row>
    <row r="3479">
      <c r="B3479" s="2" t="n"/>
      <c r="C3479" s="40" t="n"/>
      <c r="D3479" s="52">
        <f t="array" ref="D3479:W3479">IF(All_Students_Scores!C3477:V3477="","",All_Students_Scores!C3477:V3477)</f>
        <v/>
      </c>
      <c r="E3479" s="57" t="str"/>
      <c r="F3479" s="49" t="str"/>
      <c r="G3479" s="59" t="str"/>
      <c r="H3479" s="64" t="str"/>
      <c r="I3479" s="65" t="str"/>
      <c r="J3479" s="49" t="str"/>
      <c r="K3479" s="41" t="str"/>
      <c r="L3479" s="41" t="str"/>
      <c r="M3479" s="41" t="str"/>
      <c r="N3479" s="41" t="str"/>
      <c r="O3479" s="41" t="str"/>
      <c r="P3479" s="41" t="str"/>
      <c r="Q3479" s="41" t="str"/>
      <c r="R3479" s="41" t="str"/>
      <c r="S3479" s="41" t="str"/>
      <c r="T3479" s="41" t="str"/>
      <c r="U3479" s="41" t="str"/>
      <c r="V3479" s="41" t="str"/>
      <c r="W3479" s="41" t="str"/>
    </row>
    <row r="3480">
      <c r="B3480" s="2" t="n"/>
      <c r="C3480" s="40" t="n"/>
      <c r="D3480" s="52">
        <f t="array" ref="D3480:W3480">IF(All_Students_Scores!C3478:V3478="","",All_Students_Scores!C3478:V3478)</f>
        <v/>
      </c>
      <c r="E3480" s="57" t="str"/>
      <c r="F3480" s="49" t="str"/>
      <c r="G3480" s="59" t="str"/>
      <c r="H3480" s="64" t="str"/>
      <c r="I3480" s="65" t="str"/>
      <c r="J3480" s="49" t="str"/>
      <c r="K3480" s="41" t="str"/>
      <c r="L3480" s="41" t="str"/>
      <c r="M3480" s="41" t="str"/>
      <c r="N3480" s="41" t="str"/>
      <c r="O3480" s="41" t="str"/>
      <c r="P3480" s="41" t="str"/>
      <c r="Q3480" s="41" t="str"/>
      <c r="R3480" s="41" t="str"/>
      <c r="S3480" s="41" t="str"/>
      <c r="T3480" s="41" t="str"/>
      <c r="U3480" s="41" t="str"/>
      <c r="V3480" s="41" t="str"/>
      <c r="W3480" s="41" t="str"/>
    </row>
    <row r="3481">
      <c r="B3481" s="2" t="n"/>
      <c r="C3481" s="40" t="n"/>
      <c r="D3481" s="52">
        <f t="array" ref="D3481:W3481">IF(All_Students_Scores!C3479:V3479="","",All_Students_Scores!C3479:V3479)</f>
        <v/>
      </c>
      <c r="E3481" s="57" t="str"/>
      <c r="F3481" s="49" t="str"/>
      <c r="G3481" s="59" t="str"/>
      <c r="H3481" s="64" t="str"/>
      <c r="I3481" s="65" t="str"/>
      <c r="J3481" s="49" t="str"/>
      <c r="K3481" s="41" t="str"/>
      <c r="L3481" s="41" t="str"/>
      <c r="M3481" s="41" t="str"/>
      <c r="N3481" s="41" t="str"/>
      <c r="O3481" s="41" t="str"/>
      <c r="P3481" s="41" t="str"/>
      <c r="Q3481" s="41" t="str"/>
      <c r="R3481" s="41" t="str"/>
      <c r="S3481" s="41" t="str"/>
      <c r="T3481" s="41" t="str"/>
      <c r="U3481" s="41" t="str"/>
      <c r="V3481" s="41" t="str"/>
      <c r="W3481" s="41" t="str"/>
    </row>
    <row r="3482">
      <c r="B3482" s="2" t="n"/>
      <c r="C3482" s="40" t="n"/>
      <c r="D3482" s="52">
        <f t="array" ref="D3482:W3482">IF(All_Students_Scores!C3480:V3480="","",All_Students_Scores!C3480:V3480)</f>
        <v/>
      </c>
      <c r="E3482" s="57" t="str"/>
      <c r="F3482" s="49" t="str"/>
      <c r="G3482" s="59" t="str"/>
      <c r="H3482" s="64" t="str"/>
      <c r="I3482" s="65" t="str"/>
      <c r="J3482" s="49" t="str"/>
      <c r="K3482" s="41" t="str"/>
      <c r="L3482" s="41" t="str"/>
      <c r="M3482" s="41" t="str"/>
      <c r="N3482" s="41" t="str"/>
      <c r="O3482" s="41" t="str"/>
      <c r="P3482" s="41" t="str"/>
      <c r="Q3482" s="41" t="str"/>
      <c r="R3482" s="41" t="str"/>
      <c r="S3482" s="41" t="str"/>
      <c r="T3482" s="41" t="str"/>
      <c r="U3482" s="41" t="str"/>
      <c r="V3482" s="41" t="str"/>
      <c r="W3482" s="41" t="str"/>
    </row>
    <row r="3483">
      <c r="B3483" s="2" t="n"/>
      <c r="C3483" s="40" t="n"/>
      <c r="D3483" s="52">
        <f t="array" ref="D3483:W3483">IF(All_Students_Scores!C3481:V3481="","",All_Students_Scores!C3481:V3481)</f>
        <v/>
      </c>
      <c r="E3483" s="57" t="str"/>
      <c r="F3483" s="49" t="str"/>
      <c r="G3483" s="59" t="str"/>
      <c r="H3483" s="64" t="str"/>
      <c r="I3483" s="65" t="str"/>
      <c r="J3483" s="49" t="str"/>
      <c r="K3483" s="41" t="str"/>
      <c r="L3483" s="41" t="str"/>
      <c r="M3483" s="41" t="str"/>
      <c r="N3483" s="41" t="str"/>
      <c r="O3483" s="41" t="str"/>
      <c r="P3483" s="41" t="str"/>
      <c r="Q3483" s="41" t="str"/>
      <c r="R3483" s="41" t="str"/>
      <c r="S3483" s="41" t="str"/>
      <c r="T3483" s="41" t="str"/>
      <c r="U3483" s="41" t="str"/>
      <c r="V3483" s="41" t="str"/>
      <c r="W3483" s="41" t="str"/>
    </row>
    <row r="3484">
      <c r="B3484" s="2" t="n"/>
      <c r="C3484" s="40" t="n"/>
      <c r="D3484" s="52">
        <f t="array" ref="D3484:W3484">IF(All_Students_Scores!C3482:V3482="","",All_Students_Scores!C3482:V3482)</f>
        <v/>
      </c>
      <c r="E3484" s="57" t="str"/>
      <c r="F3484" s="49" t="str"/>
      <c r="G3484" s="59" t="str"/>
      <c r="H3484" s="64" t="str"/>
      <c r="I3484" s="65" t="str"/>
      <c r="J3484" s="49" t="str"/>
      <c r="K3484" s="41" t="str"/>
      <c r="L3484" s="41" t="str"/>
      <c r="M3484" s="41" t="str"/>
      <c r="N3484" s="41" t="str"/>
      <c r="O3484" s="41" t="str"/>
      <c r="P3484" s="41" t="str"/>
      <c r="Q3484" s="41" t="str"/>
      <c r="R3484" s="41" t="str"/>
      <c r="S3484" s="41" t="str"/>
      <c r="T3484" s="41" t="str"/>
      <c r="U3484" s="41" t="str"/>
      <c r="V3484" s="41" t="str"/>
      <c r="W3484" s="41" t="str"/>
    </row>
    <row r="3485">
      <c r="B3485" s="2" t="n"/>
      <c r="C3485" s="40" t="n"/>
      <c r="D3485" s="52">
        <f t="array" ref="D3485:W3485">IF(All_Students_Scores!C3483:V3483="","",All_Students_Scores!C3483:V3483)</f>
        <v/>
      </c>
      <c r="E3485" s="57" t="str"/>
      <c r="F3485" s="49" t="str"/>
      <c r="G3485" s="59" t="str"/>
      <c r="H3485" s="64" t="str"/>
      <c r="I3485" s="65" t="str"/>
      <c r="J3485" s="49" t="str"/>
      <c r="K3485" s="41" t="str"/>
      <c r="L3485" s="41" t="str"/>
      <c r="M3485" s="41" t="str"/>
      <c r="N3485" s="41" t="str"/>
      <c r="O3485" s="41" t="str"/>
      <c r="P3485" s="41" t="str"/>
      <c r="Q3485" s="41" t="str"/>
      <c r="R3485" s="41" t="str"/>
      <c r="S3485" s="41" t="str"/>
      <c r="T3485" s="41" t="str"/>
      <c r="U3485" s="41" t="str"/>
      <c r="V3485" s="41" t="str"/>
      <c r="W3485" s="41" t="str"/>
    </row>
    <row r="3486">
      <c r="B3486" s="2" t="n"/>
      <c r="C3486" s="40" t="n"/>
      <c r="D3486" s="52">
        <f t="array" ref="D3486:W3486">IF(All_Students_Scores!C3484:V3484="","",All_Students_Scores!C3484:V3484)</f>
        <v/>
      </c>
      <c r="E3486" s="57" t="str"/>
      <c r="F3486" s="49" t="str"/>
      <c r="G3486" s="59" t="str"/>
      <c r="H3486" s="64" t="str"/>
      <c r="I3486" s="65" t="str"/>
      <c r="J3486" s="49" t="str"/>
      <c r="K3486" s="41" t="str"/>
      <c r="L3486" s="41" t="str"/>
      <c r="M3486" s="41" t="str"/>
      <c r="N3486" s="41" t="str"/>
      <c r="O3486" s="41" t="str"/>
      <c r="P3486" s="41" t="str"/>
      <c r="Q3486" s="41" t="str"/>
      <c r="R3486" s="41" t="str"/>
      <c r="S3486" s="41" t="str"/>
      <c r="T3486" s="41" t="str"/>
      <c r="U3486" s="41" t="str"/>
      <c r="V3486" s="41" t="str"/>
      <c r="W3486" s="41" t="str"/>
    </row>
    <row r="3487">
      <c r="B3487" s="2" t="n"/>
      <c r="C3487" s="40" t="n"/>
      <c r="D3487" s="52">
        <f t="array" ref="D3487:W3487">IF(All_Students_Scores!C3485:V3485="","",All_Students_Scores!C3485:V3485)</f>
        <v/>
      </c>
      <c r="E3487" s="57" t="str"/>
      <c r="F3487" s="49" t="str"/>
      <c r="G3487" s="59" t="str"/>
      <c r="H3487" s="64" t="str"/>
      <c r="I3487" s="65" t="str"/>
      <c r="J3487" s="49" t="str"/>
      <c r="K3487" s="41" t="str"/>
      <c r="L3487" s="41" t="str"/>
      <c r="M3487" s="41" t="str"/>
      <c r="N3487" s="41" t="str"/>
      <c r="O3487" s="41" t="str"/>
      <c r="P3487" s="41" t="str"/>
      <c r="Q3487" s="41" t="str"/>
      <c r="R3487" s="41" t="str"/>
      <c r="S3487" s="41" t="str"/>
      <c r="T3487" s="41" t="str"/>
      <c r="U3487" s="41" t="str"/>
      <c r="V3487" s="41" t="str"/>
      <c r="W3487" s="41" t="str"/>
    </row>
    <row r="3488">
      <c r="B3488" s="2" t="n"/>
      <c r="C3488" s="40" t="n"/>
      <c r="D3488" s="52">
        <f t="array" ref="D3488:W3488">IF(All_Students_Scores!C3486:V3486="","",All_Students_Scores!C3486:V3486)</f>
        <v/>
      </c>
      <c r="E3488" s="57" t="str"/>
      <c r="F3488" s="49" t="str"/>
      <c r="G3488" s="59" t="str"/>
      <c r="H3488" s="64" t="str"/>
      <c r="I3488" s="65" t="str"/>
      <c r="J3488" s="49" t="str"/>
      <c r="K3488" s="41" t="str"/>
      <c r="L3488" s="41" t="str"/>
      <c r="M3488" s="41" t="str"/>
      <c r="N3488" s="41" t="str"/>
      <c r="O3488" s="41" t="str"/>
      <c r="P3488" s="41" t="str"/>
      <c r="Q3488" s="41" t="str"/>
      <c r="R3488" s="41" t="str"/>
      <c r="S3488" s="41" t="str"/>
      <c r="T3488" s="41" t="str"/>
      <c r="U3488" s="41" t="str"/>
      <c r="V3488" s="41" t="str"/>
      <c r="W3488" s="41" t="str"/>
    </row>
    <row r="3489">
      <c r="B3489" s="2" t="n"/>
      <c r="C3489" s="40" t="n"/>
      <c r="D3489" s="52">
        <f t="array" ref="D3489:W3489">IF(All_Students_Scores!C3487:V3487="","",All_Students_Scores!C3487:V3487)</f>
        <v/>
      </c>
      <c r="E3489" s="57" t="str"/>
      <c r="F3489" s="49" t="str"/>
      <c r="G3489" s="59" t="str"/>
      <c r="H3489" s="64" t="str"/>
      <c r="I3489" s="65" t="str"/>
      <c r="J3489" s="49" t="str"/>
      <c r="K3489" s="41" t="str"/>
      <c r="L3489" s="41" t="str"/>
      <c r="M3489" s="41" t="str"/>
      <c r="N3489" s="41" t="str"/>
      <c r="O3489" s="41" t="str"/>
      <c r="P3489" s="41" t="str"/>
      <c r="Q3489" s="41" t="str"/>
      <c r="R3489" s="41" t="str"/>
      <c r="S3489" s="41" t="str"/>
      <c r="T3489" s="41" t="str"/>
      <c r="U3489" s="41" t="str"/>
      <c r="V3489" s="41" t="str"/>
      <c r="W3489" s="41" t="str"/>
    </row>
    <row r="3490">
      <c r="B3490" s="2" t="n"/>
      <c r="C3490" s="40" t="n"/>
      <c r="D3490" s="52">
        <f t="array" ref="D3490:W3490">IF(All_Students_Scores!C3488:V3488="","",All_Students_Scores!C3488:V3488)</f>
        <v/>
      </c>
      <c r="E3490" s="57" t="str"/>
      <c r="F3490" s="49" t="str"/>
      <c r="G3490" s="59" t="str"/>
      <c r="H3490" s="64" t="str"/>
      <c r="I3490" s="65" t="str"/>
      <c r="J3490" s="49" t="str"/>
      <c r="K3490" s="41" t="str"/>
      <c r="L3490" s="41" t="str"/>
      <c r="M3490" s="41" t="str"/>
      <c r="N3490" s="41" t="str"/>
      <c r="O3490" s="41" t="str"/>
      <c r="P3490" s="41" t="str"/>
      <c r="Q3490" s="41" t="str"/>
      <c r="R3490" s="41" t="str"/>
      <c r="S3490" s="41" t="str"/>
      <c r="T3490" s="41" t="str"/>
      <c r="U3490" s="41" t="str"/>
      <c r="V3490" s="41" t="str"/>
      <c r="W3490" s="41" t="str"/>
    </row>
    <row r="3491">
      <c r="B3491" s="2" t="n"/>
      <c r="C3491" s="40" t="n"/>
      <c r="D3491" s="52">
        <f t="array" ref="D3491:W3491">IF(All_Students_Scores!C3489:V3489="","",All_Students_Scores!C3489:V3489)</f>
        <v/>
      </c>
      <c r="E3491" s="57" t="str"/>
      <c r="F3491" s="49" t="str"/>
      <c r="G3491" s="59" t="str"/>
      <c r="H3491" s="64" t="str"/>
      <c r="I3491" s="65" t="str"/>
      <c r="J3491" s="49" t="str"/>
      <c r="K3491" s="41" t="str"/>
      <c r="L3491" s="41" t="str"/>
      <c r="M3491" s="41" t="str"/>
      <c r="N3491" s="41" t="str"/>
      <c r="O3491" s="41" t="str"/>
      <c r="P3491" s="41" t="str"/>
      <c r="Q3491" s="41" t="str"/>
      <c r="R3491" s="41" t="str"/>
      <c r="S3491" s="41" t="str"/>
      <c r="T3491" s="41" t="str"/>
      <c r="U3491" s="41" t="str"/>
      <c r="V3491" s="41" t="str"/>
      <c r="W3491" s="41" t="str"/>
    </row>
    <row r="3492">
      <c r="B3492" s="2" t="n"/>
      <c r="C3492" s="40" t="n"/>
      <c r="D3492" s="52">
        <f t="array" ref="D3492:W3492">IF(All_Students_Scores!C3490:V3490="","",All_Students_Scores!C3490:V3490)</f>
        <v/>
      </c>
      <c r="E3492" s="57" t="str"/>
      <c r="F3492" s="49" t="str"/>
      <c r="G3492" s="59" t="str"/>
      <c r="H3492" s="64" t="str"/>
      <c r="I3492" s="65" t="str"/>
      <c r="J3492" s="49" t="str"/>
      <c r="K3492" s="41" t="str"/>
      <c r="L3492" s="41" t="str"/>
      <c r="M3492" s="41" t="str"/>
      <c r="N3492" s="41" t="str"/>
      <c r="O3492" s="41" t="str"/>
      <c r="P3492" s="41" t="str"/>
      <c r="Q3492" s="41" t="str"/>
      <c r="R3492" s="41" t="str"/>
      <c r="S3492" s="41" t="str"/>
      <c r="T3492" s="41" t="str"/>
      <c r="U3492" s="41" t="str"/>
      <c r="V3492" s="41" t="str"/>
      <c r="W3492" s="41" t="str"/>
    </row>
    <row r="3493">
      <c r="B3493" s="2" t="n"/>
      <c r="C3493" s="40" t="n"/>
      <c r="D3493" s="52">
        <f t="array" ref="D3493:W3493">IF(All_Students_Scores!C3491:V3491="","",All_Students_Scores!C3491:V3491)</f>
        <v/>
      </c>
      <c r="E3493" s="57" t="str"/>
      <c r="F3493" s="49" t="str"/>
      <c r="G3493" s="59" t="str"/>
      <c r="H3493" s="64" t="str"/>
      <c r="I3493" s="65" t="str"/>
      <c r="J3493" s="49" t="str"/>
      <c r="K3493" s="41" t="str"/>
      <c r="L3493" s="41" t="str"/>
      <c r="M3493" s="41" t="str"/>
      <c r="N3493" s="41" t="str"/>
      <c r="O3493" s="41" t="str"/>
      <c r="P3493" s="41" t="str"/>
      <c r="Q3493" s="41" t="str"/>
      <c r="R3493" s="41" t="str"/>
      <c r="S3493" s="41" t="str"/>
      <c r="T3493" s="41" t="str"/>
      <c r="U3493" s="41" t="str"/>
      <c r="V3493" s="41" t="str"/>
      <c r="W3493" s="41" t="str"/>
    </row>
    <row r="3494">
      <c r="B3494" s="2" t="n"/>
      <c r="C3494" s="40" t="n"/>
      <c r="D3494" s="52">
        <f t="array" ref="D3494:W3494">IF(All_Students_Scores!C3492:V3492="","",All_Students_Scores!C3492:V3492)</f>
        <v/>
      </c>
      <c r="E3494" s="57" t="str"/>
      <c r="F3494" s="49" t="str"/>
      <c r="G3494" s="59" t="str"/>
      <c r="H3494" s="64" t="str"/>
      <c r="I3494" s="65" t="str"/>
      <c r="J3494" s="49" t="str"/>
      <c r="K3494" s="41" t="str"/>
      <c r="L3494" s="41" t="str"/>
      <c r="M3494" s="41" t="str"/>
      <c r="N3494" s="41" t="str"/>
      <c r="O3494" s="41" t="str"/>
      <c r="P3494" s="41" t="str"/>
      <c r="Q3494" s="41" t="str"/>
      <c r="R3494" s="41" t="str"/>
      <c r="S3494" s="41" t="str"/>
      <c r="T3494" s="41" t="str"/>
      <c r="U3494" s="41" t="str"/>
      <c r="V3494" s="41" t="str"/>
      <c r="W3494" s="41" t="str"/>
    </row>
    <row r="3495">
      <c r="B3495" s="2" t="n"/>
      <c r="C3495" s="40" t="n"/>
      <c r="D3495" s="52">
        <f t="array" ref="D3495:W3495">IF(All_Students_Scores!C3493:V3493="","",All_Students_Scores!C3493:V3493)</f>
        <v/>
      </c>
      <c r="E3495" s="57" t="str"/>
      <c r="F3495" s="49" t="str"/>
      <c r="G3495" s="59" t="str"/>
      <c r="H3495" s="64" t="str"/>
      <c r="I3495" s="65" t="str"/>
      <c r="J3495" s="49" t="str"/>
      <c r="K3495" s="41" t="str"/>
      <c r="L3495" s="41" t="str"/>
      <c r="M3495" s="41" t="str"/>
      <c r="N3495" s="41" t="str"/>
      <c r="O3495" s="41" t="str"/>
      <c r="P3495" s="41" t="str"/>
      <c r="Q3495" s="41" t="str"/>
      <c r="R3495" s="41" t="str"/>
      <c r="S3495" s="41" t="str"/>
      <c r="T3495" s="41" t="str"/>
      <c r="U3495" s="41" t="str"/>
      <c r="V3495" s="41" t="str"/>
      <c r="W3495" s="41" t="str"/>
    </row>
    <row r="3496">
      <c r="B3496" s="2" t="n"/>
      <c r="C3496" s="40" t="n"/>
      <c r="D3496" s="52">
        <f t="array" ref="D3496:W3496">IF(All_Students_Scores!C3494:V3494="","",All_Students_Scores!C3494:V3494)</f>
        <v/>
      </c>
      <c r="E3496" s="57" t="str"/>
      <c r="F3496" s="49" t="str"/>
      <c r="G3496" s="59" t="str"/>
      <c r="H3496" s="64" t="str"/>
      <c r="I3496" s="65" t="str"/>
      <c r="J3496" s="49" t="str"/>
      <c r="K3496" s="41" t="str"/>
      <c r="L3496" s="41" t="str"/>
      <c r="M3496" s="41" t="str"/>
      <c r="N3496" s="41" t="str"/>
      <c r="O3496" s="41" t="str"/>
      <c r="P3496" s="41" t="str"/>
      <c r="Q3496" s="41" t="str"/>
      <c r="R3496" s="41" t="str"/>
      <c r="S3496" s="41" t="str"/>
      <c r="T3496" s="41" t="str"/>
      <c r="U3496" s="41" t="str"/>
      <c r="V3496" s="41" t="str"/>
      <c r="W3496" s="41" t="str"/>
    </row>
    <row r="3497">
      <c r="B3497" s="2" t="n"/>
      <c r="C3497" s="40" t="n"/>
      <c r="D3497" s="52">
        <f t="array" ref="D3497:W3497">IF(All_Students_Scores!C3495:V3495="","",All_Students_Scores!C3495:V3495)</f>
        <v/>
      </c>
      <c r="E3497" s="57" t="str"/>
      <c r="F3497" s="49" t="str"/>
      <c r="G3497" s="59" t="str"/>
      <c r="H3497" s="64" t="str"/>
      <c r="I3497" s="65" t="str"/>
      <c r="J3497" s="49" t="str"/>
      <c r="K3497" s="41" t="str"/>
      <c r="L3497" s="41" t="str"/>
      <c r="M3497" s="41" t="str"/>
      <c r="N3497" s="41" t="str"/>
      <c r="O3497" s="41" t="str"/>
      <c r="P3497" s="41" t="str"/>
      <c r="Q3497" s="41" t="str"/>
      <c r="R3497" s="41" t="str"/>
      <c r="S3497" s="41" t="str"/>
      <c r="T3497" s="41" t="str"/>
      <c r="U3497" s="41" t="str"/>
      <c r="V3497" s="41" t="str"/>
      <c r="W3497" s="41" t="str"/>
    </row>
    <row r="3498">
      <c r="B3498" s="2" t="n"/>
      <c r="C3498" s="40" t="n"/>
      <c r="D3498" s="52">
        <f t="array" ref="D3498:W3498">IF(All_Students_Scores!C3496:V3496="","",All_Students_Scores!C3496:V3496)</f>
        <v/>
      </c>
      <c r="E3498" s="57" t="str"/>
      <c r="F3498" s="49" t="str"/>
      <c r="G3498" s="59" t="str"/>
      <c r="H3498" s="64" t="str"/>
      <c r="I3498" s="65" t="str"/>
      <c r="J3498" s="49" t="str"/>
      <c r="K3498" s="41" t="str"/>
      <c r="L3498" s="41" t="str"/>
      <c r="M3498" s="41" t="str"/>
      <c r="N3498" s="41" t="str"/>
      <c r="O3498" s="41" t="str"/>
      <c r="P3498" s="41" t="str"/>
      <c r="Q3498" s="41" t="str"/>
      <c r="R3498" s="41" t="str"/>
      <c r="S3498" s="41" t="str"/>
      <c r="T3498" s="41" t="str"/>
      <c r="U3498" s="41" t="str"/>
      <c r="V3498" s="41" t="str"/>
      <c r="W3498" s="41" t="str"/>
    </row>
    <row r="3499">
      <c r="B3499" s="2" t="n"/>
      <c r="C3499" s="40" t="n"/>
      <c r="D3499" s="52">
        <f t="array" ref="D3499:W3499">IF(All_Students_Scores!C3497:V3497="","",All_Students_Scores!C3497:V3497)</f>
        <v/>
      </c>
      <c r="E3499" s="57" t="str"/>
      <c r="F3499" s="49" t="str"/>
      <c r="G3499" s="59" t="str"/>
      <c r="H3499" s="64" t="str"/>
      <c r="I3499" s="65" t="str"/>
      <c r="J3499" s="49" t="str"/>
      <c r="K3499" s="41" t="str"/>
      <c r="L3499" s="41" t="str"/>
      <c r="M3499" s="41" t="str"/>
      <c r="N3499" s="41" t="str"/>
      <c r="O3499" s="41" t="str"/>
      <c r="P3499" s="41" t="str"/>
      <c r="Q3499" s="41" t="str"/>
      <c r="R3499" s="41" t="str"/>
      <c r="S3499" s="41" t="str"/>
      <c r="T3499" s="41" t="str"/>
      <c r="U3499" s="41" t="str"/>
      <c r="V3499" s="41" t="str"/>
      <c r="W3499" s="41" t="str"/>
    </row>
    <row r="3500">
      <c r="B3500" s="2" t="n"/>
      <c r="C3500" s="40" t="n"/>
      <c r="D3500" s="52">
        <f t="array" ref="D3500:W3500">IF(All_Students_Scores!C3498:V3498="","",All_Students_Scores!C3498:V3498)</f>
        <v/>
      </c>
      <c r="E3500" s="57" t="str"/>
      <c r="F3500" s="49" t="str"/>
      <c r="G3500" s="59" t="str"/>
      <c r="H3500" s="64" t="str"/>
      <c r="I3500" s="65" t="str"/>
      <c r="J3500" s="49" t="str"/>
      <c r="K3500" s="41" t="str"/>
      <c r="L3500" s="41" t="str"/>
      <c r="M3500" s="41" t="str"/>
      <c r="N3500" s="41" t="str"/>
      <c r="O3500" s="41" t="str"/>
      <c r="P3500" s="41" t="str"/>
      <c r="Q3500" s="41" t="str"/>
      <c r="R3500" s="41" t="str"/>
      <c r="S3500" s="41" t="str"/>
      <c r="T3500" s="41" t="str"/>
      <c r="U3500" s="41" t="str"/>
      <c r="V3500" s="41" t="str"/>
      <c r="W3500" s="41" t="str"/>
    </row>
    <row r="3501">
      <c r="B3501" s="2" t="n"/>
      <c r="C3501" s="40" t="n"/>
      <c r="D3501" s="52">
        <f t="array" ref="D3501:W3501">IF(All_Students_Scores!C3499:V3499="","",All_Students_Scores!C3499:V3499)</f>
        <v/>
      </c>
      <c r="E3501" s="57" t="str"/>
      <c r="F3501" s="49" t="str"/>
      <c r="G3501" s="59" t="str"/>
      <c r="H3501" s="64" t="str"/>
      <c r="I3501" s="65" t="str"/>
      <c r="J3501" s="49" t="str"/>
      <c r="K3501" s="41" t="str"/>
      <c r="L3501" s="41" t="str"/>
      <c r="M3501" s="41" t="str"/>
      <c r="N3501" s="41" t="str"/>
      <c r="O3501" s="41" t="str"/>
      <c r="P3501" s="41" t="str"/>
      <c r="Q3501" s="41" t="str"/>
      <c r="R3501" s="41" t="str"/>
      <c r="S3501" s="41" t="str"/>
      <c r="T3501" s="41" t="str"/>
      <c r="U3501" s="41" t="str"/>
      <c r="V3501" s="41" t="str"/>
      <c r="W3501" s="41" t="str"/>
    </row>
    <row r="3502">
      <c r="B3502" s="2" t="n"/>
      <c r="C3502" s="40" t="n"/>
      <c r="D3502" s="52">
        <f t="array" ref="D3502:W3502">IF(All_Students_Scores!C3500:V3500="","",All_Students_Scores!C3500:V3500)</f>
        <v/>
      </c>
      <c r="E3502" s="57" t="str"/>
      <c r="F3502" s="49" t="str"/>
      <c r="G3502" s="59" t="str"/>
      <c r="H3502" s="64" t="str"/>
      <c r="I3502" s="65" t="str"/>
      <c r="J3502" s="49" t="str"/>
      <c r="K3502" s="41" t="str"/>
      <c r="L3502" s="41" t="str"/>
      <c r="M3502" s="41" t="str"/>
      <c r="N3502" s="41" t="str"/>
      <c r="O3502" s="41" t="str"/>
      <c r="P3502" s="41" t="str"/>
      <c r="Q3502" s="41" t="str"/>
      <c r="R3502" s="41" t="str"/>
      <c r="S3502" s="41" t="str"/>
      <c r="T3502" s="41" t="str"/>
      <c r="U3502" s="41" t="str"/>
      <c r="V3502" s="41" t="str"/>
      <c r="W3502" s="41" t="str"/>
    </row>
    <row r="3503">
      <c r="B3503" s="2" t="n"/>
      <c r="C3503" s="40" t="n"/>
      <c r="D3503" s="52">
        <f t="array" ref="D3503:W3503">IF(All_Students_Scores!C3501:V3501="","",All_Students_Scores!C3501:V3501)</f>
        <v/>
      </c>
      <c r="E3503" s="57" t="str"/>
      <c r="F3503" s="49" t="str"/>
      <c r="G3503" s="59" t="str"/>
      <c r="H3503" s="64" t="str"/>
      <c r="I3503" s="65" t="str"/>
      <c r="J3503" s="49" t="str"/>
      <c r="K3503" s="41" t="str"/>
      <c r="L3503" s="41" t="str"/>
      <c r="M3503" s="41" t="str"/>
      <c r="N3503" s="41" t="str"/>
      <c r="O3503" s="41" t="str"/>
      <c r="P3503" s="41" t="str"/>
      <c r="Q3503" s="41" t="str"/>
      <c r="R3503" s="41" t="str"/>
      <c r="S3503" s="41" t="str"/>
      <c r="T3503" s="41" t="str"/>
      <c r="U3503" s="41" t="str"/>
      <c r="V3503" s="41" t="str"/>
      <c r="W3503" s="41" t="str"/>
    </row>
    <row r="3504">
      <c r="B3504" s="2" t="n"/>
      <c r="C3504" s="40" t="n"/>
      <c r="D3504" s="52">
        <f t="array" ref="D3504:W3504">IF(All_Students_Scores!C3502:V3502="","",All_Students_Scores!C3502:V3502)</f>
        <v/>
      </c>
      <c r="E3504" s="57" t="str"/>
      <c r="F3504" s="49" t="str"/>
      <c r="G3504" s="59" t="str"/>
      <c r="H3504" s="64" t="str"/>
      <c r="I3504" s="65" t="str"/>
      <c r="J3504" s="49" t="str"/>
      <c r="K3504" s="41" t="str"/>
      <c r="L3504" s="41" t="str"/>
      <c r="M3504" s="41" t="str"/>
      <c r="N3504" s="41" t="str"/>
      <c r="O3504" s="41" t="str"/>
      <c r="P3504" s="41" t="str"/>
      <c r="Q3504" s="41" t="str"/>
      <c r="R3504" s="41" t="str"/>
      <c r="S3504" s="41" t="str"/>
      <c r="T3504" s="41" t="str"/>
      <c r="U3504" s="41" t="str"/>
      <c r="V3504" s="41" t="str"/>
      <c r="W3504" s="41" t="str"/>
    </row>
    <row r="3505">
      <c r="B3505" s="2" t="n"/>
      <c r="C3505" s="40" t="n"/>
      <c r="D3505" s="52">
        <f t="array" ref="D3505:W3505">IF(All_Students_Scores!C3503:V3503="","",All_Students_Scores!C3503:V3503)</f>
        <v/>
      </c>
      <c r="E3505" s="57" t="str"/>
      <c r="F3505" s="49" t="str"/>
      <c r="G3505" s="59" t="str"/>
      <c r="H3505" s="64" t="str"/>
      <c r="I3505" s="65" t="str"/>
      <c r="J3505" s="49" t="str"/>
      <c r="K3505" s="41" t="str"/>
      <c r="L3505" s="41" t="str"/>
      <c r="M3505" s="41" t="str"/>
      <c r="N3505" s="41" t="str"/>
      <c r="O3505" s="41" t="str"/>
      <c r="P3505" s="41" t="str"/>
      <c r="Q3505" s="41" t="str"/>
      <c r="R3505" s="41" t="str"/>
      <c r="S3505" s="41" t="str"/>
      <c r="T3505" s="41" t="str"/>
      <c r="U3505" s="41" t="str"/>
      <c r="V3505" s="41" t="str"/>
      <c r="W3505" s="41" t="str"/>
    </row>
    <row r="3506">
      <c r="B3506" s="2" t="n"/>
      <c r="C3506" s="40" t="n"/>
      <c r="D3506" s="52">
        <f t="array" ref="D3506:W3506">IF(All_Students_Scores!C3504:V3504="","",All_Students_Scores!C3504:V3504)</f>
        <v/>
      </c>
      <c r="E3506" s="57" t="str"/>
      <c r="F3506" s="49" t="str"/>
      <c r="G3506" s="59" t="str"/>
      <c r="H3506" s="64" t="str"/>
      <c r="I3506" s="65" t="str"/>
      <c r="J3506" s="49" t="str"/>
      <c r="K3506" s="41" t="str"/>
      <c r="L3506" s="41" t="str"/>
      <c r="M3506" s="41" t="str"/>
      <c r="N3506" s="41" t="str"/>
      <c r="O3506" s="41" t="str"/>
      <c r="P3506" s="41" t="str"/>
      <c r="Q3506" s="41" t="str"/>
      <c r="R3506" s="41" t="str"/>
      <c r="S3506" s="41" t="str"/>
      <c r="T3506" s="41" t="str"/>
      <c r="U3506" s="41" t="str"/>
      <c r="V3506" s="41" t="str"/>
      <c r="W3506" s="41" t="str"/>
    </row>
    <row r="3507">
      <c r="B3507" s="2" t="n"/>
      <c r="C3507" s="40" t="n"/>
      <c r="D3507" s="52">
        <f t="array" ref="D3507:W3507">IF(All_Students_Scores!C3505:V3505="","",All_Students_Scores!C3505:V3505)</f>
        <v/>
      </c>
      <c r="E3507" s="57" t="str"/>
      <c r="F3507" s="49" t="str"/>
      <c r="G3507" s="59" t="str"/>
      <c r="H3507" s="64" t="str"/>
      <c r="I3507" s="65" t="str"/>
      <c r="J3507" s="49" t="str"/>
      <c r="K3507" s="41" t="str"/>
      <c r="L3507" s="41" t="str"/>
      <c r="M3507" s="41" t="str"/>
      <c r="N3507" s="41" t="str"/>
      <c r="O3507" s="41" t="str"/>
      <c r="P3507" s="41" t="str"/>
      <c r="Q3507" s="41" t="str"/>
      <c r="R3507" s="41" t="str"/>
      <c r="S3507" s="41" t="str"/>
      <c r="T3507" s="41" t="str"/>
      <c r="U3507" s="41" t="str"/>
      <c r="V3507" s="41" t="str"/>
      <c r="W3507" s="41" t="str"/>
    </row>
    <row r="3508">
      <c r="B3508" s="2" t="n"/>
      <c r="C3508" s="40" t="n"/>
      <c r="D3508" s="52">
        <f t="array" ref="D3508:W3508">IF(All_Students_Scores!C3506:V3506="","",All_Students_Scores!C3506:V3506)</f>
        <v/>
      </c>
      <c r="E3508" s="57" t="str"/>
      <c r="F3508" s="49" t="str"/>
      <c r="G3508" s="59" t="str"/>
      <c r="H3508" s="64" t="str"/>
      <c r="I3508" s="65" t="str"/>
      <c r="J3508" s="49" t="str"/>
      <c r="K3508" s="41" t="str"/>
      <c r="L3508" s="41" t="str"/>
      <c r="M3508" s="41" t="str"/>
      <c r="N3508" s="41" t="str"/>
      <c r="O3508" s="41" t="str"/>
      <c r="P3508" s="41" t="str"/>
      <c r="Q3508" s="41" t="str"/>
      <c r="R3508" s="41" t="str"/>
      <c r="S3508" s="41" t="str"/>
      <c r="T3508" s="41" t="str"/>
      <c r="U3508" s="41" t="str"/>
      <c r="V3508" s="41" t="str"/>
      <c r="W3508" s="41" t="str"/>
    </row>
    <row r="3509">
      <c r="B3509" s="2" t="n"/>
      <c r="C3509" s="40" t="n"/>
      <c r="D3509" s="52">
        <f t="array" ref="D3509:W3509">IF(All_Students_Scores!C3507:V3507="","",All_Students_Scores!C3507:V3507)</f>
        <v/>
      </c>
      <c r="E3509" s="57" t="str"/>
      <c r="F3509" s="49" t="str"/>
      <c r="G3509" s="59" t="str"/>
      <c r="H3509" s="64" t="str"/>
      <c r="I3509" s="65" t="str"/>
      <c r="J3509" s="49" t="str"/>
      <c r="K3509" s="41" t="str"/>
      <c r="L3509" s="41" t="str"/>
      <c r="M3509" s="41" t="str"/>
      <c r="N3509" s="41" t="str"/>
      <c r="O3509" s="41" t="str"/>
      <c r="P3509" s="41" t="str"/>
      <c r="Q3509" s="41" t="str"/>
      <c r="R3509" s="41" t="str"/>
      <c r="S3509" s="41" t="str"/>
      <c r="T3509" s="41" t="str"/>
      <c r="U3509" s="41" t="str"/>
      <c r="V3509" s="41" t="str"/>
      <c r="W3509" s="41" t="str"/>
    </row>
    <row r="3510">
      <c r="B3510" s="2" t="n"/>
      <c r="C3510" s="40" t="n"/>
      <c r="D3510" s="52">
        <f t="array" ref="D3510:W3510">IF(All_Students_Scores!C3508:V3508="","",All_Students_Scores!C3508:V3508)</f>
        <v/>
      </c>
      <c r="E3510" s="57" t="str"/>
      <c r="F3510" s="49" t="str"/>
      <c r="G3510" s="59" t="str"/>
      <c r="H3510" s="64" t="str"/>
      <c r="I3510" s="65" t="str"/>
      <c r="J3510" s="49" t="str"/>
      <c r="K3510" s="41" t="str"/>
      <c r="L3510" s="41" t="str"/>
      <c r="M3510" s="41" t="str"/>
      <c r="N3510" s="41" t="str"/>
      <c r="O3510" s="41" t="str"/>
      <c r="P3510" s="41" t="str"/>
      <c r="Q3510" s="41" t="str"/>
      <c r="R3510" s="41" t="str"/>
      <c r="S3510" s="41" t="str"/>
      <c r="T3510" s="41" t="str"/>
      <c r="U3510" s="41" t="str"/>
      <c r="V3510" s="41" t="str"/>
      <c r="W3510" s="41" t="str"/>
    </row>
    <row r="3511">
      <c r="B3511" s="2" t="n"/>
      <c r="C3511" s="40" t="n"/>
      <c r="D3511" s="52">
        <f t="array" ref="D3511:W3511">IF(All_Students_Scores!C3509:V3509="","",All_Students_Scores!C3509:V3509)</f>
        <v/>
      </c>
      <c r="E3511" s="57" t="str"/>
      <c r="F3511" s="49" t="str"/>
      <c r="G3511" s="59" t="str"/>
      <c r="H3511" s="64" t="str"/>
      <c r="I3511" s="65" t="str"/>
      <c r="J3511" s="49" t="str"/>
      <c r="K3511" s="41" t="str"/>
      <c r="L3511" s="41" t="str"/>
      <c r="M3511" s="41" t="str"/>
      <c r="N3511" s="41" t="str"/>
      <c r="O3511" s="41" t="str"/>
      <c r="P3511" s="41" t="str"/>
      <c r="Q3511" s="41" t="str"/>
      <c r="R3511" s="41" t="str"/>
      <c r="S3511" s="41" t="str"/>
      <c r="T3511" s="41" t="str"/>
      <c r="U3511" s="41" t="str"/>
      <c r="V3511" s="41" t="str"/>
      <c r="W3511" s="41" t="str"/>
    </row>
    <row r="3512">
      <c r="B3512" s="2" t="n"/>
      <c r="C3512" s="40" t="n"/>
      <c r="D3512" s="52">
        <f t="array" ref="D3512:W3512">IF(All_Students_Scores!C3510:V3510="","",All_Students_Scores!C3510:V3510)</f>
        <v/>
      </c>
      <c r="E3512" s="57" t="str"/>
      <c r="F3512" s="49" t="str"/>
      <c r="G3512" s="59" t="str"/>
      <c r="H3512" s="64" t="str"/>
      <c r="I3512" s="65" t="str"/>
      <c r="J3512" s="49" t="str"/>
      <c r="K3512" s="41" t="str"/>
      <c r="L3512" s="41" t="str"/>
      <c r="M3512" s="41" t="str"/>
      <c r="N3512" s="41" t="str"/>
      <c r="O3512" s="41" t="str"/>
      <c r="P3512" s="41" t="str"/>
      <c r="Q3512" s="41" t="str"/>
      <c r="R3512" s="41" t="str"/>
      <c r="S3512" s="41" t="str"/>
      <c r="T3512" s="41" t="str"/>
      <c r="U3512" s="41" t="str"/>
      <c r="V3512" s="41" t="str"/>
      <c r="W3512" s="41" t="str"/>
    </row>
    <row r="3513">
      <c r="B3513" s="2" t="n"/>
      <c r="C3513" s="40" t="n"/>
      <c r="D3513" s="52">
        <f t="array" ref="D3513:W3513">IF(All_Students_Scores!C3511:V3511="","",All_Students_Scores!C3511:V3511)</f>
        <v/>
      </c>
      <c r="E3513" s="57" t="str"/>
      <c r="F3513" s="49" t="str"/>
      <c r="G3513" s="59" t="str"/>
      <c r="H3513" s="64" t="str"/>
      <c r="I3513" s="65" t="str"/>
      <c r="J3513" s="49" t="str"/>
      <c r="K3513" s="41" t="str"/>
      <c r="L3513" s="41" t="str"/>
      <c r="M3513" s="41" t="str"/>
      <c r="N3513" s="41" t="str"/>
      <c r="O3513" s="41" t="str"/>
      <c r="P3513" s="41" t="str"/>
      <c r="Q3513" s="41" t="str"/>
      <c r="R3513" s="41" t="str"/>
      <c r="S3513" s="41" t="str"/>
      <c r="T3513" s="41" t="str"/>
      <c r="U3513" s="41" t="str"/>
      <c r="V3513" s="41" t="str"/>
      <c r="W3513" s="41" t="str"/>
    </row>
    <row r="3514">
      <c r="B3514" s="2" t="n"/>
      <c r="C3514" s="40" t="n"/>
      <c r="D3514" s="52">
        <f t="array" ref="D3514:W3514">IF(All_Students_Scores!C3512:V3512="","",All_Students_Scores!C3512:V3512)</f>
        <v/>
      </c>
      <c r="E3514" s="57" t="str"/>
      <c r="F3514" s="49" t="str"/>
      <c r="G3514" s="59" t="str"/>
      <c r="H3514" s="64" t="str"/>
      <c r="I3514" s="65" t="str"/>
      <c r="J3514" s="49" t="str"/>
      <c r="K3514" s="41" t="str"/>
      <c r="L3514" s="41" t="str"/>
      <c r="M3514" s="41" t="str"/>
      <c r="N3514" s="41" t="str"/>
      <c r="O3514" s="41" t="str"/>
      <c r="P3514" s="41" t="str"/>
      <c r="Q3514" s="41" t="str"/>
      <c r="R3514" s="41" t="str"/>
      <c r="S3514" s="41" t="str"/>
      <c r="T3514" s="41" t="str"/>
      <c r="U3514" s="41" t="str"/>
      <c r="V3514" s="41" t="str"/>
      <c r="W3514" s="41" t="str"/>
    </row>
    <row r="3515">
      <c r="B3515" s="2" t="n"/>
      <c r="C3515" s="40" t="n"/>
      <c r="D3515" s="52">
        <f t="array" ref="D3515:W3515">IF(All_Students_Scores!C3513:V3513="","",All_Students_Scores!C3513:V3513)</f>
        <v/>
      </c>
      <c r="E3515" s="57" t="str"/>
      <c r="F3515" s="49" t="str"/>
      <c r="G3515" s="59" t="str"/>
      <c r="H3515" s="64" t="str"/>
      <c r="I3515" s="65" t="str"/>
      <c r="J3515" s="49" t="str"/>
      <c r="K3515" s="41" t="str"/>
      <c r="L3515" s="41" t="str"/>
      <c r="M3515" s="41" t="str"/>
      <c r="N3515" s="41" t="str"/>
      <c r="O3515" s="41" t="str"/>
      <c r="P3515" s="41" t="str"/>
      <c r="Q3515" s="41" t="str"/>
      <c r="R3515" s="41" t="str"/>
      <c r="S3515" s="41" t="str"/>
      <c r="T3515" s="41" t="str"/>
      <c r="U3515" s="41" t="str"/>
      <c r="V3515" s="41" t="str"/>
      <c r="W3515" s="41" t="str"/>
    </row>
    <row r="3516">
      <c r="B3516" s="2" t="n"/>
      <c r="C3516" s="40" t="n"/>
      <c r="D3516" s="52">
        <f t="array" ref="D3516:W3516">IF(All_Students_Scores!C3514:V3514="","",All_Students_Scores!C3514:V3514)</f>
        <v/>
      </c>
      <c r="E3516" s="57" t="str"/>
      <c r="F3516" s="49" t="str"/>
      <c r="G3516" s="59" t="str"/>
      <c r="H3516" s="64" t="str"/>
      <c r="I3516" s="65" t="str"/>
      <c r="J3516" s="49" t="str"/>
      <c r="K3516" s="41" t="str"/>
      <c r="L3516" s="41" t="str"/>
      <c r="M3516" s="41" t="str"/>
      <c r="N3516" s="41" t="str"/>
      <c r="O3516" s="41" t="str"/>
      <c r="P3516" s="41" t="str"/>
      <c r="Q3516" s="41" t="str"/>
      <c r="R3516" s="41" t="str"/>
      <c r="S3516" s="41" t="str"/>
      <c r="T3516" s="41" t="str"/>
      <c r="U3516" s="41" t="str"/>
      <c r="V3516" s="41" t="str"/>
      <c r="W3516" s="41" t="str"/>
    </row>
    <row r="3517">
      <c r="B3517" s="2" t="n"/>
      <c r="C3517" s="40" t="n"/>
      <c r="D3517" s="52">
        <f t="array" ref="D3517:W3517">IF(All_Students_Scores!C3515:V3515="","",All_Students_Scores!C3515:V3515)</f>
        <v/>
      </c>
      <c r="E3517" s="57" t="str"/>
      <c r="F3517" s="49" t="str"/>
      <c r="G3517" s="59" t="str"/>
      <c r="H3517" s="64" t="str"/>
      <c r="I3517" s="65" t="str"/>
      <c r="J3517" s="49" t="str"/>
      <c r="K3517" s="41" t="str"/>
      <c r="L3517" s="41" t="str"/>
      <c r="M3517" s="41" t="str"/>
      <c r="N3517" s="41" t="str"/>
      <c r="O3517" s="41" t="str"/>
      <c r="P3517" s="41" t="str"/>
      <c r="Q3517" s="41" t="str"/>
      <c r="R3517" s="41" t="str"/>
      <c r="S3517" s="41" t="str"/>
      <c r="T3517" s="41" t="str"/>
      <c r="U3517" s="41" t="str"/>
      <c r="V3517" s="41" t="str"/>
      <c r="W3517" s="41" t="str"/>
    </row>
    <row r="3518">
      <c r="B3518" s="2" t="n"/>
      <c r="C3518" s="40" t="n"/>
      <c r="D3518" s="52">
        <f t="array" ref="D3518:W3518">IF(All_Students_Scores!C3516:V3516="","",All_Students_Scores!C3516:V3516)</f>
        <v/>
      </c>
      <c r="E3518" s="57" t="str"/>
      <c r="F3518" s="49" t="str"/>
      <c r="G3518" s="59" t="str"/>
      <c r="H3518" s="64" t="str"/>
      <c r="I3518" s="65" t="str"/>
      <c r="J3518" s="49" t="str"/>
      <c r="K3518" s="41" t="str"/>
      <c r="L3518" s="41" t="str"/>
      <c r="M3518" s="41" t="str"/>
      <c r="N3518" s="41" t="str"/>
      <c r="O3518" s="41" t="str"/>
      <c r="P3518" s="41" t="str"/>
      <c r="Q3518" s="41" t="str"/>
      <c r="R3518" s="41" t="str"/>
      <c r="S3518" s="41" t="str"/>
      <c r="T3518" s="41" t="str"/>
      <c r="U3518" s="41" t="str"/>
      <c r="V3518" s="41" t="str"/>
      <c r="W3518" s="41" t="str"/>
    </row>
    <row r="3519">
      <c r="B3519" s="2" t="n"/>
      <c r="C3519" s="40" t="n"/>
      <c r="D3519" s="52">
        <f t="array" ref="D3519:W3519">IF(All_Students_Scores!C3517:V3517="","",All_Students_Scores!C3517:V3517)</f>
        <v/>
      </c>
      <c r="E3519" s="57" t="str"/>
      <c r="F3519" s="49" t="str"/>
      <c r="G3519" s="59" t="str"/>
      <c r="H3519" s="64" t="str"/>
      <c r="I3519" s="65" t="str"/>
      <c r="J3519" s="49" t="str"/>
      <c r="K3519" s="41" t="str"/>
      <c r="L3519" s="41" t="str"/>
      <c r="M3519" s="41" t="str"/>
      <c r="N3519" s="41" t="str"/>
      <c r="O3519" s="41" t="str"/>
      <c r="P3519" s="41" t="str"/>
      <c r="Q3519" s="41" t="str"/>
      <c r="R3519" s="41" t="str"/>
      <c r="S3519" s="41" t="str"/>
      <c r="T3519" s="41" t="str"/>
      <c r="U3519" s="41" t="str"/>
      <c r="V3519" s="41" t="str"/>
      <c r="W3519" s="41" t="str"/>
    </row>
    <row r="3520">
      <c r="B3520" s="2" t="n"/>
      <c r="C3520" s="40" t="n"/>
      <c r="D3520" s="52">
        <f t="array" ref="D3520:W3520">IF(All_Students_Scores!C3518:V3518="","",All_Students_Scores!C3518:V3518)</f>
        <v/>
      </c>
      <c r="E3520" s="57" t="str"/>
      <c r="F3520" s="49" t="str"/>
      <c r="G3520" s="59" t="str"/>
      <c r="H3520" s="64" t="str"/>
      <c r="I3520" s="65" t="str"/>
      <c r="J3520" s="49" t="str"/>
      <c r="K3520" s="41" t="str"/>
      <c r="L3520" s="41" t="str"/>
      <c r="M3520" s="41" t="str"/>
      <c r="N3520" s="41" t="str"/>
      <c r="O3520" s="41" t="str"/>
      <c r="P3520" s="41" t="str"/>
      <c r="Q3520" s="41" t="str"/>
      <c r="R3520" s="41" t="str"/>
      <c r="S3520" s="41" t="str"/>
      <c r="T3520" s="41" t="str"/>
      <c r="U3520" s="41" t="str"/>
      <c r="V3520" s="41" t="str"/>
      <c r="W3520" s="41" t="str"/>
    </row>
    <row r="3521">
      <c r="B3521" s="2" t="n"/>
      <c r="C3521" s="40" t="n"/>
      <c r="D3521" s="52">
        <f t="array" ref="D3521:W3521">IF(All_Students_Scores!C3519:V3519="","",All_Students_Scores!C3519:V3519)</f>
        <v/>
      </c>
      <c r="E3521" s="57" t="str"/>
      <c r="F3521" s="49" t="str"/>
      <c r="G3521" s="59" t="str"/>
      <c r="H3521" s="64" t="str"/>
      <c r="I3521" s="65" t="str"/>
      <c r="J3521" s="49" t="str"/>
      <c r="K3521" s="41" t="str"/>
      <c r="L3521" s="41" t="str"/>
      <c r="M3521" s="41" t="str"/>
      <c r="N3521" s="41" t="str"/>
      <c r="O3521" s="41" t="str"/>
      <c r="P3521" s="41" t="str"/>
      <c r="Q3521" s="41" t="str"/>
      <c r="R3521" s="41" t="str"/>
      <c r="S3521" s="41" t="str"/>
      <c r="T3521" s="41" t="str"/>
      <c r="U3521" s="41" t="str"/>
      <c r="V3521" s="41" t="str"/>
      <c r="W3521" s="41" t="str"/>
    </row>
    <row r="3522">
      <c r="B3522" s="2" t="n"/>
      <c r="C3522" s="40" t="n"/>
      <c r="D3522" s="52">
        <f t="array" ref="D3522:W3522">IF(All_Students_Scores!C3520:V3520="","",All_Students_Scores!C3520:V3520)</f>
        <v/>
      </c>
      <c r="E3522" s="57" t="str"/>
      <c r="F3522" s="49" t="str"/>
      <c r="G3522" s="59" t="str"/>
      <c r="H3522" s="64" t="str"/>
      <c r="I3522" s="65" t="str"/>
      <c r="J3522" s="49" t="str"/>
      <c r="K3522" s="41" t="str"/>
      <c r="L3522" s="41" t="str"/>
      <c r="M3522" s="41" t="str"/>
      <c r="N3522" s="41" t="str"/>
      <c r="O3522" s="41" t="str"/>
      <c r="P3522" s="41" t="str"/>
      <c r="Q3522" s="41" t="str"/>
      <c r="R3522" s="41" t="str"/>
      <c r="S3522" s="41" t="str"/>
      <c r="T3522" s="41" t="str"/>
      <c r="U3522" s="41" t="str"/>
      <c r="V3522" s="41" t="str"/>
      <c r="W3522" s="41" t="str"/>
    </row>
    <row r="3523">
      <c r="B3523" s="2" t="n"/>
      <c r="C3523" s="40" t="n"/>
      <c r="D3523" s="52">
        <f t="array" ref="D3523:W3523">IF(All_Students_Scores!C3521:V3521="","",All_Students_Scores!C3521:V3521)</f>
        <v/>
      </c>
      <c r="E3523" s="57" t="str"/>
      <c r="F3523" s="49" t="str"/>
      <c r="G3523" s="59" t="str"/>
      <c r="H3523" s="64" t="str"/>
      <c r="I3523" s="65" t="str"/>
      <c r="J3523" s="49" t="str"/>
      <c r="K3523" s="41" t="str"/>
      <c r="L3523" s="41" t="str"/>
      <c r="M3523" s="41" t="str"/>
      <c r="N3523" s="41" t="str"/>
      <c r="O3523" s="41" t="str"/>
      <c r="P3523" s="41" t="str"/>
      <c r="Q3523" s="41" t="str"/>
      <c r="R3523" s="41" t="str"/>
      <c r="S3523" s="41" t="str"/>
      <c r="T3523" s="41" t="str"/>
      <c r="U3523" s="41" t="str"/>
      <c r="V3523" s="41" t="str"/>
      <c r="W3523" s="41" t="str"/>
    </row>
    <row r="3524">
      <c r="B3524" s="2" t="n"/>
      <c r="C3524" s="40" t="n"/>
      <c r="D3524" s="52">
        <f t="array" ref="D3524:W3524">IF(All_Students_Scores!C3522:V3522="","",All_Students_Scores!C3522:V3522)</f>
        <v/>
      </c>
      <c r="E3524" s="57" t="str"/>
      <c r="F3524" s="49" t="str"/>
      <c r="G3524" s="59" t="str"/>
      <c r="H3524" s="64" t="str"/>
      <c r="I3524" s="65" t="str"/>
      <c r="J3524" s="49" t="str"/>
      <c r="K3524" s="41" t="str"/>
      <c r="L3524" s="41" t="str"/>
      <c r="M3524" s="41" t="str"/>
      <c r="N3524" s="41" t="str"/>
      <c r="O3524" s="41" t="str"/>
      <c r="P3524" s="41" t="str"/>
      <c r="Q3524" s="41" t="str"/>
      <c r="R3524" s="41" t="str"/>
      <c r="S3524" s="41" t="str"/>
      <c r="T3524" s="41" t="str"/>
      <c r="U3524" s="41" t="str"/>
      <c r="V3524" s="41" t="str"/>
      <c r="W3524" s="41" t="str"/>
    </row>
    <row r="3525">
      <c r="B3525" s="2" t="n"/>
      <c r="C3525" s="40" t="n"/>
      <c r="D3525" s="52">
        <f t="array" ref="D3525:W3525">IF(All_Students_Scores!C3523:V3523="","",All_Students_Scores!C3523:V3523)</f>
        <v/>
      </c>
      <c r="E3525" s="57" t="str"/>
      <c r="F3525" s="49" t="str"/>
      <c r="G3525" s="59" t="str"/>
      <c r="H3525" s="64" t="str"/>
      <c r="I3525" s="65" t="str"/>
      <c r="J3525" s="49" t="str"/>
      <c r="K3525" s="41" t="str"/>
      <c r="L3525" s="41" t="str"/>
      <c r="M3525" s="41" t="str"/>
      <c r="N3525" s="41" t="str"/>
      <c r="O3525" s="41" t="str"/>
      <c r="P3525" s="41" t="str"/>
      <c r="Q3525" s="41" t="str"/>
      <c r="R3525" s="41" t="str"/>
      <c r="S3525" s="41" t="str"/>
      <c r="T3525" s="41" t="str"/>
      <c r="U3525" s="41" t="str"/>
      <c r="V3525" s="41" t="str"/>
      <c r="W3525" s="41" t="str"/>
    </row>
    <row r="3526">
      <c r="B3526" s="2" t="n"/>
      <c r="C3526" s="40" t="n"/>
      <c r="D3526" s="52">
        <f t="array" ref="D3526:W3526">IF(All_Students_Scores!C3524:V3524="","",All_Students_Scores!C3524:V3524)</f>
        <v/>
      </c>
      <c r="E3526" s="57" t="str"/>
      <c r="F3526" s="49" t="str"/>
      <c r="G3526" s="59" t="str"/>
      <c r="H3526" s="64" t="str"/>
      <c r="I3526" s="65" t="str"/>
      <c r="J3526" s="49" t="str"/>
      <c r="K3526" s="41" t="str"/>
      <c r="L3526" s="41" t="str"/>
      <c r="M3526" s="41" t="str"/>
      <c r="N3526" s="41" t="str"/>
      <c r="O3526" s="41" t="str"/>
      <c r="P3526" s="41" t="str"/>
      <c r="Q3526" s="41" t="str"/>
      <c r="R3526" s="41" t="str"/>
      <c r="S3526" s="41" t="str"/>
      <c r="T3526" s="41" t="str"/>
      <c r="U3526" s="41" t="str"/>
      <c r="V3526" s="41" t="str"/>
      <c r="W3526" s="41" t="str"/>
    </row>
    <row r="3527">
      <c r="B3527" s="2" t="n"/>
      <c r="C3527" s="40" t="n"/>
      <c r="D3527" s="52">
        <f t="array" ref="D3527:W3527">IF(All_Students_Scores!C3525:V3525="","",All_Students_Scores!C3525:V3525)</f>
        <v/>
      </c>
      <c r="E3527" s="57" t="str"/>
      <c r="F3527" s="49" t="str"/>
      <c r="G3527" s="59" t="str"/>
      <c r="H3527" s="64" t="str"/>
      <c r="I3527" s="65" t="str"/>
      <c r="J3527" s="49" t="str"/>
      <c r="K3527" s="41" t="str"/>
      <c r="L3527" s="41" t="str"/>
      <c r="M3527" s="41" t="str"/>
      <c r="N3527" s="41" t="str"/>
      <c r="O3527" s="41" t="str"/>
      <c r="P3527" s="41" t="str"/>
      <c r="Q3527" s="41" t="str"/>
      <c r="R3527" s="41" t="str"/>
      <c r="S3527" s="41" t="str"/>
      <c r="T3527" s="41" t="str"/>
      <c r="U3527" s="41" t="str"/>
      <c r="V3527" s="41" t="str"/>
      <c r="W3527" s="41" t="str"/>
    </row>
    <row r="3528">
      <c r="B3528" s="2" t="n"/>
      <c r="C3528" s="40" t="n"/>
      <c r="D3528" s="52">
        <f t="array" ref="D3528:W3528">IF(All_Students_Scores!C3526:V3526="","",All_Students_Scores!C3526:V3526)</f>
        <v/>
      </c>
      <c r="E3528" s="57" t="str"/>
      <c r="F3528" s="49" t="str"/>
      <c r="G3528" s="59" t="str"/>
      <c r="H3528" s="64" t="str"/>
      <c r="I3528" s="65" t="str"/>
      <c r="J3528" s="49" t="str"/>
      <c r="K3528" s="41" t="str"/>
      <c r="L3528" s="41" t="str"/>
      <c r="M3528" s="41" t="str"/>
      <c r="N3528" s="41" t="str"/>
      <c r="O3528" s="41" t="str"/>
      <c r="P3528" s="41" t="str"/>
      <c r="Q3528" s="41" t="str"/>
      <c r="R3528" s="41" t="str"/>
      <c r="S3528" s="41" t="str"/>
      <c r="T3528" s="41" t="str"/>
      <c r="U3528" s="41" t="str"/>
      <c r="V3528" s="41" t="str"/>
      <c r="W3528" s="41" t="str"/>
    </row>
    <row r="3529">
      <c r="B3529" s="2" t="n"/>
      <c r="C3529" s="40" t="n"/>
      <c r="D3529" s="52">
        <f t="array" ref="D3529:W3529">IF(All_Students_Scores!C3527:V3527="","",All_Students_Scores!C3527:V3527)</f>
        <v/>
      </c>
      <c r="E3529" s="57" t="str"/>
      <c r="F3529" s="49" t="str"/>
      <c r="G3529" s="59" t="str"/>
      <c r="H3529" s="64" t="str"/>
      <c r="I3529" s="65" t="str"/>
      <c r="J3529" s="49" t="str"/>
      <c r="K3529" s="41" t="str"/>
      <c r="L3529" s="41" t="str"/>
      <c r="M3529" s="41" t="str"/>
      <c r="N3529" s="41" t="str"/>
      <c r="O3529" s="41" t="str"/>
      <c r="P3529" s="41" t="str"/>
      <c r="Q3529" s="41" t="str"/>
      <c r="R3529" s="41" t="str"/>
      <c r="S3529" s="41" t="str"/>
      <c r="T3529" s="41" t="str"/>
      <c r="U3529" s="41" t="str"/>
      <c r="V3529" s="41" t="str"/>
      <c r="W3529" s="41" t="str"/>
    </row>
    <row r="3530">
      <c r="B3530" s="2" t="n"/>
      <c r="C3530" s="40" t="n"/>
      <c r="D3530" s="52">
        <f t="array" ref="D3530:W3530">IF(All_Students_Scores!C3528:V3528="","",All_Students_Scores!C3528:V3528)</f>
        <v/>
      </c>
      <c r="E3530" s="57" t="str"/>
      <c r="F3530" s="49" t="str"/>
      <c r="G3530" s="59" t="str"/>
      <c r="H3530" s="64" t="str"/>
      <c r="I3530" s="65" t="str"/>
      <c r="J3530" s="49" t="str"/>
      <c r="K3530" s="41" t="str"/>
      <c r="L3530" s="41" t="str"/>
      <c r="M3530" s="41" t="str"/>
      <c r="N3530" s="41" t="str"/>
      <c r="O3530" s="41" t="str"/>
      <c r="P3530" s="41" t="str"/>
      <c r="Q3530" s="41" t="str"/>
      <c r="R3530" s="41" t="str"/>
      <c r="S3530" s="41" t="str"/>
      <c r="T3530" s="41" t="str"/>
      <c r="U3530" s="41" t="str"/>
      <c r="V3530" s="41" t="str"/>
      <c r="W3530" s="41" t="str"/>
    </row>
    <row r="3531">
      <c r="B3531" s="2" t="n"/>
      <c r="C3531" s="40" t="n"/>
      <c r="D3531" s="52">
        <f t="array" ref="D3531:W3531">IF(All_Students_Scores!C3529:V3529="","",All_Students_Scores!C3529:V3529)</f>
        <v/>
      </c>
      <c r="E3531" s="57" t="str"/>
      <c r="F3531" s="49" t="str"/>
      <c r="G3531" s="59" t="str"/>
      <c r="H3531" s="64" t="str"/>
      <c r="I3531" s="65" t="str"/>
      <c r="J3531" s="49" t="str"/>
      <c r="K3531" s="41" t="str"/>
      <c r="L3531" s="41" t="str"/>
      <c r="M3531" s="41" t="str"/>
      <c r="N3531" s="41" t="str"/>
      <c r="O3531" s="41" t="str"/>
      <c r="P3531" s="41" t="str"/>
      <c r="Q3531" s="41" t="str"/>
      <c r="R3531" s="41" t="str"/>
      <c r="S3531" s="41" t="str"/>
      <c r="T3531" s="41" t="str"/>
      <c r="U3531" s="41" t="str"/>
      <c r="V3531" s="41" t="str"/>
      <c r="W3531" s="41" t="str"/>
    </row>
    <row r="3532">
      <c r="B3532" s="2" t="n"/>
      <c r="C3532" s="40" t="n"/>
      <c r="D3532" s="52">
        <f t="array" ref="D3532:W3532">IF(All_Students_Scores!C3530:V3530="","",All_Students_Scores!C3530:V3530)</f>
        <v/>
      </c>
      <c r="E3532" s="57" t="str"/>
      <c r="F3532" s="49" t="str"/>
      <c r="G3532" s="59" t="str"/>
      <c r="H3532" s="64" t="str"/>
      <c r="I3532" s="65" t="str"/>
      <c r="J3532" s="49" t="str"/>
      <c r="K3532" s="41" t="str"/>
      <c r="L3532" s="41" t="str"/>
      <c r="M3532" s="41" t="str"/>
      <c r="N3532" s="41" t="str"/>
      <c r="O3532" s="41" t="str"/>
      <c r="P3532" s="41" t="str"/>
      <c r="Q3532" s="41" t="str"/>
      <c r="R3532" s="41" t="str"/>
      <c r="S3532" s="41" t="str"/>
      <c r="T3532" s="41" t="str"/>
      <c r="U3532" s="41" t="str"/>
      <c r="V3532" s="41" t="str"/>
      <c r="W3532" s="41" t="str"/>
    </row>
    <row r="3533">
      <c r="B3533" s="2" t="n"/>
      <c r="C3533" s="40" t="n"/>
      <c r="D3533" s="52">
        <f t="array" ref="D3533:W3533">IF(All_Students_Scores!C3531:V3531="","",All_Students_Scores!C3531:V3531)</f>
        <v/>
      </c>
      <c r="E3533" s="57" t="str"/>
      <c r="F3533" s="49" t="str"/>
      <c r="G3533" s="59" t="str"/>
      <c r="H3533" s="64" t="str"/>
      <c r="I3533" s="65" t="str"/>
      <c r="J3533" s="49" t="str"/>
      <c r="K3533" s="41" t="str"/>
      <c r="L3533" s="41" t="str"/>
      <c r="M3533" s="41" t="str"/>
      <c r="N3533" s="41" t="str"/>
      <c r="O3533" s="41" t="str"/>
      <c r="P3533" s="41" t="str"/>
      <c r="Q3533" s="41" t="str"/>
      <c r="R3533" s="41" t="str"/>
      <c r="S3533" s="41" t="str"/>
      <c r="T3533" s="41" t="str"/>
      <c r="U3533" s="41" t="str"/>
      <c r="V3533" s="41" t="str"/>
      <c r="W3533" s="41" t="str"/>
    </row>
    <row r="3534">
      <c r="B3534" s="2" t="n"/>
      <c r="C3534" s="40" t="n"/>
      <c r="D3534" s="52">
        <f t="array" ref="D3534:W3534">IF(All_Students_Scores!C3532:V3532="","",All_Students_Scores!C3532:V3532)</f>
        <v/>
      </c>
      <c r="E3534" s="57" t="str"/>
      <c r="F3534" s="49" t="str"/>
      <c r="G3534" s="59" t="str"/>
      <c r="H3534" s="64" t="str"/>
      <c r="I3534" s="65" t="str"/>
      <c r="J3534" s="49" t="str"/>
      <c r="K3534" s="41" t="str"/>
      <c r="L3534" s="41" t="str"/>
      <c r="M3534" s="41" t="str"/>
      <c r="N3534" s="41" t="str"/>
      <c r="O3534" s="41" t="str"/>
      <c r="P3534" s="41" t="str"/>
      <c r="Q3534" s="41" t="str"/>
      <c r="R3534" s="41" t="str"/>
      <c r="S3534" s="41" t="str"/>
      <c r="T3534" s="41" t="str"/>
      <c r="U3534" s="41" t="str"/>
      <c r="V3534" s="41" t="str"/>
      <c r="W3534" s="41" t="str"/>
    </row>
    <row r="3535">
      <c r="B3535" s="2" t="n"/>
      <c r="C3535" s="40" t="n"/>
      <c r="D3535" s="52">
        <f t="array" ref="D3535:W3535">IF(All_Students_Scores!C3533:V3533="","",All_Students_Scores!C3533:V3533)</f>
        <v/>
      </c>
      <c r="E3535" s="57" t="str"/>
      <c r="F3535" s="49" t="str"/>
      <c r="G3535" s="59" t="str"/>
      <c r="H3535" s="64" t="str"/>
      <c r="I3535" s="65" t="str"/>
      <c r="J3535" s="49" t="str"/>
      <c r="K3535" s="41" t="str"/>
      <c r="L3535" s="41" t="str"/>
      <c r="M3535" s="41" t="str"/>
      <c r="N3535" s="41" t="str"/>
      <c r="O3535" s="41" t="str"/>
      <c r="P3535" s="41" t="str"/>
      <c r="Q3535" s="41" t="str"/>
      <c r="R3535" s="41" t="str"/>
      <c r="S3535" s="41" t="str"/>
      <c r="T3535" s="41" t="str"/>
      <c r="U3535" s="41" t="str"/>
      <c r="V3535" s="41" t="str"/>
      <c r="W3535" s="41" t="str"/>
    </row>
    <row r="3536">
      <c r="B3536" s="2" t="n"/>
      <c r="C3536" s="40" t="n"/>
      <c r="D3536" s="52">
        <f t="array" ref="D3536:W3536">IF(All_Students_Scores!C3534:V3534="","",All_Students_Scores!C3534:V3534)</f>
        <v/>
      </c>
      <c r="E3536" s="57" t="str"/>
      <c r="F3536" s="49" t="str"/>
      <c r="G3536" s="59" t="str"/>
      <c r="H3536" s="64" t="str"/>
      <c r="I3536" s="65" t="str"/>
      <c r="J3536" s="49" t="str"/>
      <c r="K3536" s="41" t="str"/>
      <c r="L3536" s="41" t="str"/>
      <c r="M3536" s="41" t="str"/>
      <c r="N3536" s="41" t="str"/>
      <c r="O3536" s="41" t="str"/>
      <c r="P3536" s="41" t="str"/>
      <c r="Q3536" s="41" t="str"/>
      <c r="R3536" s="41" t="str"/>
      <c r="S3536" s="41" t="str"/>
      <c r="T3536" s="41" t="str"/>
      <c r="U3536" s="41" t="str"/>
      <c r="V3536" s="41" t="str"/>
      <c r="W3536" s="41" t="str"/>
    </row>
    <row r="3537">
      <c r="B3537" s="2" t="n"/>
      <c r="C3537" s="40" t="n"/>
      <c r="D3537" s="52">
        <f t="array" ref="D3537:W3537">IF(All_Students_Scores!C3535:V3535="","",All_Students_Scores!C3535:V3535)</f>
        <v/>
      </c>
      <c r="E3537" s="57" t="str"/>
      <c r="F3537" s="49" t="str"/>
      <c r="G3537" s="59" t="str"/>
      <c r="H3537" s="64" t="str"/>
      <c r="I3537" s="65" t="str"/>
      <c r="J3537" s="49" t="str"/>
      <c r="K3537" s="41" t="str"/>
      <c r="L3537" s="41" t="str"/>
      <c r="M3537" s="41" t="str"/>
      <c r="N3537" s="41" t="str"/>
      <c r="O3537" s="41" t="str"/>
      <c r="P3537" s="41" t="str"/>
      <c r="Q3537" s="41" t="str"/>
      <c r="R3537" s="41" t="str"/>
      <c r="S3537" s="41" t="str"/>
      <c r="T3537" s="41" t="str"/>
      <c r="U3537" s="41" t="str"/>
      <c r="V3537" s="41" t="str"/>
      <c r="W3537" s="41" t="str"/>
    </row>
    <row r="3538">
      <c r="B3538" s="2" t="n"/>
      <c r="C3538" s="40" t="n"/>
      <c r="D3538" s="52">
        <f t="array" ref="D3538:W3538">IF(All_Students_Scores!C3536:V3536="","",All_Students_Scores!C3536:V3536)</f>
        <v/>
      </c>
      <c r="E3538" s="57" t="str"/>
      <c r="F3538" s="49" t="str"/>
      <c r="G3538" s="59" t="str"/>
      <c r="H3538" s="64" t="str"/>
      <c r="I3538" s="65" t="str"/>
      <c r="J3538" s="49" t="str"/>
      <c r="K3538" s="41" t="str"/>
      <c r="L3538" s="41" t="str"/>
      <c r="M3538" s="41" t="str"/>
      <c r="N3538" s="41" t="str"/>
      <c r="O3538" s="41" t="str"/>
      <c r="P3538" s="41" t="str"/>
      <c r="Q3538" s="41" t="str"/>
      <c r="R3538" s="41" t="str"/>
      <c r="S3538" s="41" t="str"/>
      <c r="T3538" s="41" t="str"/>
      <c r="U3538" s="41" t="str"/>
      <c r="V3538" s="41" t="str"/>
      <c r="W3538" s="41" t="str"/>
    </row>
    <row r="3539">
      <c r="B3539" s="2" t="n"/>
      <c r="C3539" s="40" t="n"/>
      <c r="D3539" s="52">
        <f t="array" ref="D3539:W3539">IF(All_Students_Scores!C3537:V3537="","",All_Students_Scores!C3537:V3537)</f>
        <v/>
      </c>
      <c r="E3539" s="57" t="str"/>
      <c r="F3539" s="49" t="str"/>
      <c r="G3539" s="59" t="str"/>
      <c r="H3539" s="64" t="str"/>
      <c r="I3539" s="65" t="str"/>
      <c r="J3539" s="49" t="str"/>
      <c r="K3539" s="41" t="str"/>
      <c r="L3539" s="41" t="str"/>
      <c r="M3539" s="41" t="str"/>
      <c r="N3539" s="41" t="str"/>
      <c r="O3539" s="41" t="str"/>
      <c r="P3539" s="41" t="str"/>
      <c r="Q3539" s="41" t="str"/>
      <c r="R3539" s="41" t="str"/>
      <c r="S3539" s="41" t="str"/>
      <c r="T3539" s="41" t="str"/>
      <c r="U3539" s="41" t="str"/>
      <c r="V3539" s="41" t="str"/>
      <c r="W3539" s="41" t="str"/>
    </row>
    <row r="3540">
      <c r="B3540" s="2" t="n"/>
      <c r="C3540" s="40" t="n"/>
      <c r="D3540" s="52">
        <f t="array" ref="D3540:W3540">IF(All_Students_Scores!C3538:V3538="","",All_Students_Scores!C3538:V3538)</f>
        <v/>
      </c>
      <c r="E3540" s="57" t="str"/>
      <c r="F3540" s="49" t="str"/>
      <c r="G3540" s="59" t="str"/>
      <c r="H3540" s="64" t="str"/>
      <c r="I3540" s="65" t="str"/>
      <c r="J3540" s="49" t="str"/>
      <c r="K3540" s="41" t="str"/>
      <c r="L3540" s="41" t="str"/>
      <c r="M3540" s="41" t="str"/>
      <c r="N3540" s="41" t="str"/>
      <c r="O3540" s="41" t="str"/>
      <c r="P3540" s="41" t="str"/>
      <c r="Q3540" s="41" t="str"/>
      <c r="R3540" s="41" t="str"/>
      <c r="S3540" s="41" t="str"/>
      <c r="T3540" s="41" t="str"/>
      <c r="U3540" s="41" t="str"/>
      <c r="V3540" s="41" t="str"/>
      <c r="W3540" s="41" t="str"/>
    </row>
    <row r="3541">
      <c r="B3541" s="2" t="n"/>
      <c r="C3541" s="40" t="n"/>
      <c r="D3541" s="52">
        <f t="array" ref="D3541:W3541">IF(All_Students_Scores!C3539:V3539="","",All_Students_Scores!C3539:V3539)</f>
        <v/>
      </c>
      <c r="E3541" s="57" t="str"/>
      <c r="F3541" s="49" t="str"/>
      <c r="G3541" s="59" t="str"/>
      <c r="H3541" s="64" t="str"/>
      <c r="I3541" s="65" t="str"/>
      <c r="J3541" s="49" t="str"/>
      <c r="K3541" s="41" t="str"/>
      <c r="L3541" s="41" t="str"/>
      <c r="M3541" s="41" t="str"/>
      <c r="N3541" s="41" t="str"/>
      <c r="O3541" s="41" t="str"/>
      <c r="P3541" s="41" t="str"/>
      <c r="Q3541" s="41" t="str"/>
      <c r="R3541" s="41" t="str"/>
      <c r="S3541" s="41" t="str"/>
      <c r="T3541" s="41" t="str"/>
      <c r="U3541" s="41" t="str"/>
      <c r="V3541" s="41" t="str"/>
      <c r="W3541" s="41" t="str"/>
    </row>
    <row r="3542">
      <c r="B3542" s="2" t="n"/>
      <c r="C3542" s="40" t="n"/>
      <c r="D3542" s="52">
        <f t="array" ref="D3542:W3542">IF(All_Students_Scores!C3540:V3540="","",All_Students_Scores!C3540:V3540)</f>
        <v/>
      </c>
      <c r="E3542" s="57" t="str"/>
      <c r="F3542" s="49" t="str"/>
      <c r="G3542" s="59" t="str"/>
      <c r="H3542" s="64" t="str"/>
      <c r="I3542" s="65" t="str"/>
      <c r="J3542" s="49" t="str"/>
      <c r="K3542" s="41" t="str"/>
      <c r="L3542" s="41" t="str"/>
      <c r="M3542" s="41" t="str"/>
      <c r="N3542" s="41" t="str"/>
      <c r="O3542" s="41" t="str"/>
      <c r="P3542" s="41" t="str"/>
      <c r="Q3542" s="41" t="str"/>
      <c r="R3542" s="41" t="str"/>
      <c r="S3542" s="41" t="str"/>
      <c r="T3542" s="41" t="str"/>
      <c r="U3542" s="41" t="str"/>
      <c r="V3542" s="41" t="str"/>
      <c r="W3542" s="41" t="str"/>
    </row>
    <row r="3543">
      <c r="B3543" s="2" t="n"/>
      <c r="C3543" s="40" t="n"/>
      <c r="D3543" s="52">
        <f t="array" ref="D3543:W3543">IF(All_Students_Scores!C3541:V3541="","",All_Students_Scores!C3541:V3541)</f>
        <v/>
      </c>
      <c r="E3543" s="57" t="str"/>
      <c r="F3543" s="49" t="str"/>
      <c r="G3543" s="59" t="str"/>
      <c r="H3543" s="64" t="str"/>
      <c r="I3543" s="65" t="str"/>
      <c r="J3543" s="49" t="str"/>
      <c r="K3543" s="41" t="str"/>
      <c r="L3543" s="41" t="str"/>
      <c r="M3543" s="41" t="str"/>
      <c r="N3543" s="41" t="str"/>
      <c r="O3543" s="41" t="str"/>
      <c r="P3543" s="41" t="str"/>
      <c r="Q3543" s="41" t="str"/>
      <c r="R3543" s="41" t="str"/>
      <c r="S3543" s="41" t="str"/>
      <c r="T3543" s="41" t="str"/>
      <c r="U3543" s="41" t="str"/>
      <c r="V3543" s="41" t="str"/>
      <c r="W3543" s="41" t="str"/>
    </row>
    <row r="3544">
      <c r="B3544" s="2" t="n"/>
      <c r="C3544" s="40" t="n"/>
      <c r="D3544" s="52">
        <f t="array" ref="D3544:W3544">IF(All_Students_Scores!C3542:V3542="","",All_Students_Scores!C3542:V3542)</f>
        <v/>
      </c>
      <c r="E3544" s="57" t="str"/>
      <c r="F3544" s="49" t="str"/>
      <c r="G3544" s="59" t="str"/>
      <c r="H3544" s="64" t="str"/>
      <c r="I3544" s="65" t="str"/>
      <c r="J3544" s="49" t="str"/>
      <c r="K3544" s="41" t="str"/>
      <c r="L3544" s="41" t="str"/>
      <c r="M3544" s="41" t="str"/>
      <c r="N3544" s="41" t="str"/>
      <c r="O3544" s="41" t="str"/>
      <c r="P3544" s="41" t="str"/>
      <c r="Q3544" s="41" t="str"/>
      <c r="R3544" s="41" t="str"/>
      <c r="S3544" s="41" t="str"/>
      <c r="T3544" s="41" t="str"/>
      <c r="U3544" s="41" t="str"/>
      <c r="V3544" s="41" t="str"/>
      <c r="W3544" s="41" t="str"/>
    </row>
    <row r="3545">
      <c r="B3545" s="2" t="n"/>
      <c r="C3545" s="40" t="n"/>
      <c r="D3545" s="52">
        <f t="array" ref="D3545:W3545">IF(All_Students_Scores!C3543:V3543="","",All_Students_Scores!C3543:V3543)</f>
        <v/>
      </c>
      <c r="E3545" s="57" t="str"/>
      <c r="F3545" s="49" t="str"/>
      <c r="G3545" s="59" t="str"/>
      <c r="H3545" s="64" t="str"/>
      <c r="I3545" s="65" t="str"/>
      <c r="J3545" s="49" t="str"/>
      <c r="K3545" s="41" t="str"/>
      <c r="L3545" s="41" t="str"/>
      <c r="M3545" s="41" t="str"/>
      <c r="N3545" s="41" t="str"/>
      <c r="O3545" s="41" t="str"/>
      <c r="P3545" s="41" t="str"/>
      <c r="Q3545" s="41" t="str"/>
      <c r="R3545" s="41" t="str"/>
      <c r="S3545" s="41" t="str"/>
      <c r="T3545" s="41" t="str"/>
      <c r="U3545" s="41" t="str"/>
      <c r="V3545" s="41" t="str"/>
      <c r="W3545" s="41" t="str"/>
    </row>
    <row r="3546">
      <c r="B3546" s="2" t="n"/>
      <c r="C3546" s="40" t="n"/>
      <c r="D3546" s="52">
        <f t="array" ref="D3546:W3546">IF(All_Students_Scores!C3544:V3544="","",All_Students_Scores!C3544:V3544)</f>
        <v/>
      </c>
      <c r="E3546" s="57" t="str"/>
      <c r="F3546" s="49" t="str"/>
      <c r="G3546" s="59" t="str"/>
      <c r="H3546" s="64" t="str"/>
      <c r="I3546" s="65" t="str"/>
      <c r="J3546" s="49" t="str"/>
      <c r="K3546" s="41" t="str"/>
      <c r="L3546" s="41" t="str"/>
      <c r="M3546" s="41" t="str"/>
      <c r="N3546" s="41" t="str"/>
      <c r="O3546" s="41" t="str"/>
      <c r="P3546" s="41" t="str"/>
      <c r="Q3546" s="41" t="str"/>
      <c r="R3546" s="41" t="str"/>
      <c r="S3546" s="41" t="str"/>
      <c r="T3546" s="41" t="str"/>
      <c r="U3546" s="41" t="str"/>
      <c r="V3546" s="41" t="str"/>
      <c r="W3546" s="41" t="str"/>
    </row>
    <row r="3547">
      <c r="B3547" s="2" t="n"/>
      <c r="C3547" s="40" t="n"/>
      <c r="D3547" s="52">
        <f t="array" ref="D3547:W3547">IF(All_Students_Scores!C3545:V3545="","",All_Students_Scores!C3545:V3545)</f>
        <v/>
      </c>
      <c r="E3547" s="57" t="str"/>
      <c r="F3547" s="49" t="str"/>
      <c r="G3547" s="59" t="str"/>
      <c r="H3547" s="64" t="str"/>
      <c r="I3547" s="65" t="str"/>
      <c r="J3547" s="49" t="str"/>
      <c r="K3547" s="41" t="str"/>
      <c r="L3547" s="41" t="str"/>
      <c r="M3547" s="41" t="str"/>
      <c r="N3547" s="41" t="str"/>
      <c r="O3547" s="41" t="str"/>
      <c r="P3547" s="41" t="str"/>
      <c r="Q3547" s="41" t="str"/>
      <c r="R3547" s="41" t="str"/>
      <c r="S3547" s="41" t="str"/>
      <c r="T3547" s="41" t="str"/>
      <c r="U3547" s="41" t="str"/>
      <c r="V3547" s="41" t="str"/>
      <c r="W3547" s="41" t="str"/>
    </row>
    <row r="3548">
      <c r="B3548" s="2" t="n"/>
      <c r="C3548" s="40" t="n"/>
      <c r="D3548" s="52">
        <f t="array" ref="D3548:W3548">IF(All_Students_Scores!C3546:V3546="","",All_Students_Scores!C3546:V3546)</f>
        <v/>
      </c>
      <c r="E3548" s="57" t="str"/>
      <c r="F3548" s="49" t="str"/>
      <c r="G3548" s="59" t="str"/>
      <c r="H3548" s="64" t="str"/>
      <c r="I3548" s="65" t="str"/>
      <c r="J3548" s="49" t="str"/>
      <c r="K3548" s="41" t="str"/>
      <c r="L3548" s="41" t="str"/>
      <c r="M3548" s="41" t="str"/>
      <c r="N3548" s="41" t="str"/>
      <c r="O3548" s="41" t="str"/>
      <c r="P3548" s="41" t="str"/>
      <c r="Q3548" s="41" t="str"/>
      <c r="R3548" s="41" t="str"/>
      <c r="S3548" s="41" t="str"/>
      <c r="T3548" s="41" t="str"/>
      <c r="U3548" s="41" t="str"/>
      <c r="V3548" s="41" t="str"/>
      <c r="W3548" s="41" t="str"/>
    </row>
    <row r="3549">
      <c r="B3549" s="2" t="n"/>
      <c r="C3549" s="40" t="n"/>
      <c r="D3549" s="52">
        <f t="array" ref="D3549:W3549">IF(All_Students_Scores!C3547:V3547="","",All_Students_Scores!C3547:V3547)</f>
        <v/>
      </c>
      <c r="E3549" s="57" t="str"/>
      <c r="F3549" s="49" t="str"/>
      <c r="G3549" s="59" t="str"/>
      <c r="H3549" s="64" t="str"/>
      <c r="I3549" s="65" t="str"/>
      <c r="J3549" s="49" t="str"/>
      <c r="K3549" s="41" t="str"/>
      <c r="L3549" s="41" t="str"/>
      <c r="M3549" s="41" t="str"/>
      <c r="N3549" s="41" t="str"/>
      <c r="O3549" s="41" t="str"/>
      <c r="P3549" s="41" t="str"/>
      <c r="Q3549" s="41" t="str"/>
      <c r="R3549" s="41" t="str"/>
      <c r="S3549" s="41" t="str"/>
      <c r="T3549" s="41" t="str"/>
      <c r="U3549" s="41" t="str"/>
      <c r="V3549" s="41" t="str"/>
      <c r="W3549" s="41" t="str"/>
    </row>
    <row r="3550">
      <c r="B3550" s="2" t="n"/>
      <c r="C3550" s="40" t="n"/>
      <c r="D3550" s="52">
        <f t="array" ref="D3550:W3550">IF(All_Students_Scores!C3548:V3548="","",All_Students_Scores!C3548:V3548)</f>
        <v/>
      </c>
      <c r="E3550" s="57" t="str"/>
      <c r="F3550" s="49" t="str"/>
      <c r="G3550" s="59" t="str"/>
      <c r="H3550" s="64" t="str"/>
      <c r="I3550" s="65" t="str"/>
      <c r="J3550" s="49" t="str"/>
      <c r="K3550" s="41" t="str"/>
      <c r="L3550" s="41" t="str"/>
      <c r="M3550" s="41" t="str"/>
      <c r="N3550" s="41" t="str"/>
      <c r="O3550" s="41" t="str"/>
      <c r="P3550" s="41" t="str"/>
      <c r="Q3550" s="41" t="str"/>
      <c r="R3550" s="41" t="str"/>
      <c r="S3550" s="41" t="str"/>
      <c r="T3550" s="41" t="str"/>
      <c r="U3550" s="41" t="str"/>
      <c r="V3550" s="41" t="str"/>
      <c r="W3550" s="41" t="str"/>
    </row>
    <row r="3551">
      <c r="B3551" s="2" t="n"/>
      <c r="C3551" s="40" t="n"/>
      <c r="D3551" s="52">
        <f t="array" ref="D3551:W3551">IF(All_Students_Scores!C3549:V3549="","",All_Students_Scores!C3549:V3549)</f>
        <v/>
      </c>
      <c r="E3551" s="57" t="str"/>
      <c r="F3551" s="49" t="str"/>
      <c r="G3551" s="59" t="str"/>
      <c r="H3551" s="64" t="str"/>
      <c r="I3551" s="65" t="str"/>
      <c r="J3551" s="49" t="str"/>
      <c r="K3551" s="41" t="str"/>
      <c r="L3551" s="41" t="str"/>
      <c r="M3551" s="41" t="str"/>
      <c r="N3551" s="41" t="str"/>
      <c r="O3551" s="41" t="str"/>
      <c r="P3551" s="41" t="str"/>
      <c r="Q3551" s="41" t="str"/>
      <c r="R3551" s="41" t="str"/>
      <c r="S3551" s="41" t="str"/>
      <c r="T3551" s="41" t="str"/>
      <c r="U3551" s="41" t="str"/>
      <c r="V3551" s="41" t="str"/>
      <c r="W3551" s="41" t="str"/>
    </row>
    <row r="3552">
      <c r="B3552" s="2" t="n"/>
      <c r="C3552" s="40" t="n"/>
      <c r="D3552" s="52">
        <f t="array" ref="D3552:W3552">IF(All_Students_Scores!C3550:V3550="","",All_Students_Scores!C3550:V3550)</f>
        <v/>
      </c>
      <c r="E3552" s="57" t="str"/>
      <c r="F3552" s="49" t="str"/>
      <c r="G3552" s="59" t="str"/>
      <c r="H3552" s="64" t="str"/>
      <c r="I3552" s="65" t="str"/>
      <c r="J3552" s="49" t="str"/>
      <c r="K3552" s="41" t="str"/>
      <c r="L3552" s="41" t="str"/>
      <c r="M3552" s="41" t="str"/>
      <c r="N3552" s="41" t="str"/>
      <c r="O3552" s="41" t="str"/>
      <c r="P3552" s="41" t="str"/>
      <c r="Q3552" s="41" t="str"/>
      <c r="R3552" s="41" t="str"/>
      <c r="S3552" s="41" t="str"/>
      <c r="T3552" s="41" t="str"/>
      <c r="U3552" s="41" t="str"/>
      <c r="V3552" s="41" t="str"/>
      <c r="W3552" s="41" t="str"/>
    </row>
    <row r="3553">
      <c r="B3553" s="2" t="n"/>
      <c r="C3553" s="40" t="n"/>
      <c r="D3553" s="52">
        <f t="array" ref="D3553:W3553">IF(All_Students_Scores!C3551:V3551="","",All_Students_Scores!C3551:V3551)</f>
        <v/>
      </c>
      <c r="E3553" s="57" t="str"/>
      <c r="F3553" s="49" t="str"/>
      <c r="G3553" s="59" t="str"/>
      <c r="H3553" s="64" t="str"/>
      <c r="I3553" s="65" t="str"/>
      <c r="J3553" s="49" t="str"/>
      <c r="K3553" s="41" t="str"/>
      <c r="L3553" s="41" t="str"/>
      <c r="M3553" s="41" t="str"/>
      <c r="N3553" s="41" t="str"/>
      <c r="O3553" s="41" t="str"/>
      <c r="P3553" s="41" t="str"/>
      <c r="Q3553" s="41" t="str"/>
      <c r="R3553" s="41" t="str"/>
      <c r="S3553" s="41" t="str"/>
      <c r="T3553" s="41" t="str"/>
      <c r="U3553" s="41" t="str"/>
      <c r="V3553" s="41" t="str"/>
      <c r="W3553" s="41" t="str"/>
    </row>
    <row r="3554">
      <c r="B3554" s="2" t="n"/>
      <c r="C3554" s="40" t="n"/>
      <c r="D3554" s="52">
        <f t="array" ref="D3554:W3554">IF(All_Students_Scores!C3552:V3552="","",All_Students_Scores!C3552:V3552)</f>
        <v/>
      </c>
      <c r="E3554" s="57" t="str"/>
      <c r="F3554" s="49" t="str"/>
      <c r="G3554" s="59" t="str"/>
      <c r="H3554" s="64" t="str"/>
      <c r="I3554" s="65" t="str"/>
      <c r="J3554" s="49" t="str"/>
      <c r="K3554" s="41" t="str"/>
      <c r="L3554" s="41" t="str"/>
      <c r="M3554" s="41" t="str"/>
      <c r="N3554" s="41" t="str"/>
      <c r="O3554" s="41" t="str"/>
      <c r="P3554" s="41" t="str"/>
      <c r="Q3554" s="41" t="str"/>
      <c r="R3554" s="41" t="str"/>
      <c r="S3554" s="41" t="str"/>
      <c r="T3554" s="41" t="str"/>
      <c r="U3554" s="41" t="str"/>
      <c r="V3554" s="41" t="str"/>
      <c r="W3554" s="41" t="str"/>
    </row>
    <row r="3555">
      <c r="B3555" s="2" t="n"/>
      <c r="C3555" s="40" t="n"/>
      <c r="D3555" s="52">
        <f t="array" ref="D3555:W3555">IF(All_Students_Scores!C3553:V3553="","",All_Students_Scores!C3553:V3553)</f>
        <v/>
      </c>
      <c r="E3555" s="57" t="str"/>
      <c r="F3555" s="49" t="str"/>
      <c r="G3555" s="59" t="str"/>
      <c r="H3555" s="64" t="str"/>
      <c r="I3555" s="65" t="str"/>
      <c r="J3555" s="49" t="str"/>
      <c r="K3555" s="41" t="str"/>
      <c r="L3555" s="41" t="str"/>
      <c r="M3555" s="41" t="str"/>
      <c r="N3555" s="41" t="str"/>
      <c r="O3555" s="41" t="str"/>
      <c r="P3555" s="41" t="str"/>
      <c r="Q3555" s="41" t="str"/>
      <c r="R3555" s="41" t="str"/>
      <c r="S3555" s="41" t="str"/>
      <c r="T3555" s="41" t="str"/>
      <c r="U3555" s="41" t="str"/>
      <c r="V3555" s="41" t="str"/>
      <c r="W3555" s="41" t="str"/>
    </row>
    <row r="3556">
      <c r="B3556" s="2" t="n"/>
      <c r="C3556" s="40" t="n"/>
      <c r="D3556" s="52">
        <f t="array" ref="D3556:W3556">IF(All_Students_Scores!C3554:V3554="","",All_Students_Scores!C3554:V3554)</f>
        <v/>
      </c>
      <c r="E3556" s="57" t="str"/>
      <c r="F3556" s="49" t="str"/>
      <c r="G3556" s="59" t="str"/>
      <c r="H3556" s="64" t="str"/>
      <c r="I3556" s="65" t="str"/>
      <c r="J3556" s="49" t="str"/>
      <c r="K3556" s="41" t="str"/>
      <c r="L3556" s="41" t="str"/>
      <c r="M3556" s="41" t="str"/>
      <c r="N3556" s="41" t="str"/>
      <c r="O3556" s="41" t="str"/>
      <c r="P3556" s="41" t="str"/>
      <c r="Q3556" s="41" t="str"/>
      <c r="R3556" s="41" t="str"/>
      <c r="S3556" s="41" t="str"/>
      <c r="T3556" s="41" t="str"/>
      <c r="U3556" s="41" t="str"/>
      <c r="V3556" s="41" t="str"/>
      <c r="W3556" s="41" t="str"/>
    </row>
    <row r="3557">
      <c r="B3557" s="2" t="n"/>
      <c r="C3557" s="40" t="n"/>
      <c r="D3557" s="52">
        <f t="array" ref="D3557:W3557">IF(All_Students_Scores!C3555:V3555="","",All_Students_Scores!C3555:V3555)</f>
        <v/>
      </c>
      <c r="E3557" s="57" t="str"/>
      <c r="F3557" s="49" t="str"/>
      <c r="G3557" s="59" t="str"/>
      <c r="H3557" s="64" t="str"/>
      <c r="I3557" s="65" t="str"/>
      <c r="J3557" s="49" t="str"/>
      <c r="K3557" s="41" t="str"/>
      <c r="L3557" s="41" t="str"/>
      <c r="M3557" s="41" t="str"/>
      <c r="N3557" s="41" t="str"/>
      <c r="O3557" s="41" t="str"/>
      <c r="P3557" s="41" t="str"/>
      <c r="Q3557" s="41" t="str"/>
      <c r="R3557" s="41" t="str"/>
      <c r="S3557" s="41" t="str"/>
      <c r="T3557" s="41" t="str"/>
      <c r="U3557" s="41" t="str"/>
      <c r="V3557" s="41" t="str"/>
      <c r="W3557" s="41" t="str"/>
    </row>
    <row r="3558">
      <c r="B3558" s="2" t="n"/>
      <c r="C3558" s="40" t="n"/>
      <c r="D3558" s="52">
        <f t="array" ref="D3558:W3558">IF(All_Students_Scores!C3556:V3556="","",All_Students_Scores!C3556:V3556)</f>
        <v/>
      </c>
      <c r="E3558" s="57" t="str"/>
      <c r="F3558" s="49" t="str"/>
      <c r="G3558" s="59" t="str"/>
      <c r="H3558" s="64" t="str"/>
      <c r="I3558" s="65" t="str"/>
      <c r="J3558" s="49" t="str"/>
      <c r="K3558" s="41" t="str"/>
      <c r="L3558" s="41" t="str"/>
      <c r="M3558" s="41" t="str"/>
      <c r="N3558" s="41" t="str"/>
      <c r="O3558" s="41" t="str"/>
      <c r="P3558" s="41" t="str"/>
      <c r="Q3558" s="41" t="str"/>
      <c r="R3558" s="41" t="str"/>
      <c r="S3558" s="41" t="str"/>
      <c r="T3558" s="41" t="str"/>
      <c r="U3558" s="41" t="str"/>
      <c r="V3558" s="41" t="str"/>
      <c r="W3558" s="41" t="str"/>
    </row>
    <row r="3559">
      <c r="B3559" s="2" t="n"/>
      <c r="C3559" s="40" t="n"/>
      <c r="D3559" s="52">
        <f t="array" ref="D3559:W3559">IF(All_Students_Scores!C3557:V3557="","",All_Students_Scores!C3557:V3557)</f>
        <v/>
      </c>
      <c r="E3559" s="57" t="str"/>
      <c r="F3559" s="49" t="str"/>
      <c r="G3559" s="59" t="str"/>
      <c r="H3559" s="64" t="str"/>
      <c r="I3559" s="65" t="str"/>
      <c r="J3559" s="49" t="str"/>
      <c r="K3559" s="41" t="str"/>
      <c r="L3559" s="41" t="str"/>
      <c r="M3559" s="41" t="str"/>
      <c r="N3559" s="41" t="str"/>
      <c r="O3559" s="41" t="str"/>
      <c r="P3559" s="41" t="str"/>
      <c r="Q3559" s="41" t="str"/>
      <c r="R3559" s="41" t="str"/>
      <c r="S3559" s="41" t="str"/>
      <c r="T3559" s="41" t="str"/>
      <c r="U3559" s="41" t="str"/>
      <c r="V3559" s="41" t="str"/>
      <c r="W3559" s="41" t="str"/>
    </row>
    <row r="3560">
      <c r="B3560" s="2" t="n"/>
      <c r="C3560" s="40" t="n"/>
      <c r="D3560" s="52">
        <f t="array" ref="D3560:W3560">IF(All_Students_Scores!C3558:V3558="","",All_Students_Scores!C3558:V3558)</f>
        <v/>
      </c>
      <c r="E3560" s="57" t="str"/>
      <c r="F3560" s="49" t="str"/>
      <c r="G3560" s="59" t="str"/>
      <c r="H3560" s="64" t="str"/>
      <c r="I3560" s="65" t="str"/>
      <c r="J3560" s="49" t="str"/>
      <c r="K3560" s="41" t="str"/>
      <c r="L3560" s="41" t="str"/>
      <c r="M3560" s="41" t="str"/>
      <c r="N3560" s="41" t="str"/>
      <c r="O3560" s="41" t="str"/>
      <c r="P3560" s="41" t="str"/>
      <c r="Q3560" s="41" t="str"/>
      <c r="R3560" s="41" t="str"/>
      <c r="S3560" s="41" t="str"/>
      <c r="T3560" s="41" t="str"/>
      <c r="U3560" s="41" t="str"/>
      <c r="V3560" s="41" t="str"/>
      <c r="W3560" s="41" t="str"/>
    </row>
    <row r="3561">
      <c r="B3561" s="2" t="n"/>
      <c r="C3561" s="40" t="n"/>
      <c r="D3561" s="52">
        <f t="array" ref="D3561:W3561">IF(All_Students_Scores!C3559:V3559="","",All_Students_Scores!C3559:V3559)</f>
        <v/>
      </c>
      <c r="E3561" s="57" t="str"/>
      <c r="F3561" s="49" t="str"/>
      <c r="G3561" s="59" t="str"/>
      <c r="H3561" s="64" t="str"/>
      <c r="I3561" s="65" t="str"/>
      <c r="J3561" s="49" t="str"/>
      <c r="K3561" s="41" t="str"/>
      <c r="L3561" s="41" t="str"/>
      <c r="M3561" s="41" t="str"/>
      <c r="N3561" s="41" t="str"/>
      <c r="O3561" s="41" t="str"/>
      <c r="P3561" s="41" t="str"/>
      <c r="Q3561" s="41" t="str"/>
      <c r="R3561" s="41" t="str"/>
      <c r="S3561" s="41" t="str"/>
      <c r="T3561" s="41" t="str"/>
      <c r="U3561" s="41" t="str"/>
      <c r="V3561" s="41" t="str"/>
      <c r="W3561" s="41" t="str"/>
    </row>
    <row r="3562">
      <c r="B3562" s="2" t="n"/>
      <c r="C3562" s="40" t="n"/>
      <c r="D3562" s="52">
        <f t="array" ref="D3562:W3562">IF(All_Students_Scores!C3560:V3560="","",All_Students_Scores!C3560:V3560)</f>
        <v/>
      </c>
      <c r="E3562" s="57" t="str"/>
      <c r="F3562" s="49" t="str"/>
      <c r="G3562" s="59" t="str"/>
      <c r="H3562" s="64" t="str"/>
      <c r="I3562" s="65" t="str"/>
      <c r="J3562" s="49" t="str"/>
      <c r="K3562" s="41" t="str"/>
      <c r="L3562" s="41" t="str"/>
      <c r="M3562" s="41" t="str"/>
      <c r="N3562" s="41" t="str"/>
      <c r="O3562" s="41" t="str"/>
      <c r="P3562" s="41" t="str"/>
      <c r="Q3562" s="41" t="str"/>
      <c r="R3562" s="41" t="str"/>
      <c r="S3562" s="41" t="str"/>
      <c r="T3562" s="41" t="str"/>
      <c r="U3562" s="41" t="str"/>
      <c r="V3562" s="41" t="str"/>
      <c r="W3562" s="41" t="str"/>
    </row>
    <row r="3563">
      <c r="B3563" s="2" t="n"/>
      <c r="C3563" s="40" t="n"/>
      <c r="D3563" s="52">
        <f t="array" ref="D3563:W3563">IF(All_Students_Scores!C3561:V3561="","",All_Students_Scores!C3561:V3561)</f>
        <v/>
      </c>
      <c r="E3563" s="57" t="str"/>
      <c r="F3563" s="49" t="str"/>
      <c r="G3563" s="59" t="str"/>
      <c r="H3563" s="64" t="str"/>
      <c r="I3563" s="65" t="str"/>
      <c r="J3563" s="49" t="str"/>
      <c r="K3563" s="41" t="str"/>
      <c r="L3563" s="41" t="str"/>
      <c r="M3563" s="41" t="str"/>
      <c r="N3563" s="41" t="str"/>
      <c r="O3563" s="41" t="str"/>
      <c r="P3563" s="41" t="str"/>
      <c r="Q3563" s="41" t="str"/>
      <c r="R3563" s="41" t="str"/>
      <c r="S3563" s="41" t="str"/>
      <c r="T3563" s="41" t="str"/>
      <c r="U3563" s="41" t="str"/>
      <c r="V3563" s="41" t="str"/>
      <c r="W3563" s="41" t="str"/>
    </row>
    <row r="3564">
      <c r="B3564" s="2" t="n"/>
      <c r="C3564" s="40" t="n"/>
      <c r="D3564" s="52">
        <f t="array" ref="D3564:W3564">IF(All_Students_Scores!C3562:V3562="","",All_Students_Scores!C3562:V3562)</f>
        <v/>
      </c>
      <c r="E3564" s="57" t="str"/>
      <c r="F3564" s="49" t="str"/>
      <c r="G3564" s="59" t="str"/>
      <c r="H3564" s="64" t="str"/>
      <c r="I3564" s="65" t="str"/>
      <c r="J3564" s="49" t="str"/>
      <c r="K3564" s="41" t="str"/>
      <c r="L3564" s="41" t="str"/>
      <c r="M3564" s="41" t="str"/>
      <c r="N3564" s="41" t="str"/>
      <c r="O3564" s="41" t="str"/>
      <c r="P3564" s="41" t="str"/>
      <c r="Q3564" s="41" t="str"/>
      <c r="R3564" s="41" t="str"/>
      <c r="S3564" s="41" t="str"/>
      <c r="T3564" s="41" t="str"/>
      <c r="U3564" s="41" t="str"/>
      <c r="V3564" s="41" t="str"/>
      <c r="W3564" s="41" t="str"/>
    </row>
    <row r="3565">
      <c r="B3565" s="2" t="n"/>
      <c r="C3565" s="40" t="n"/>
      <c r="D3565" s="52">
        <f t="array" ref="D3565:W3565">IF(All_Students_Scores!C3563:V3563="","",All_Students_Scores!C3563:V3563)</f>
        <v/>
      </c>
      <c r="E3565" s="57" t="str"/>
      <c r="F3565" s="49" t="str"/>
      <c r="G3565" s="59" t="str"/>
      <c r="H3565" s="64" t="str"/>
      <c r="I3565" s="65" t="str"/>
      <c r="J3565" s="49" t="str"/>
      <c r="K3565" s="41" t="str"/>
      <c r="L3565" s="41" t="str"/>
      <c r="M3565" s="41" t="str"/>
      <c r="N3565" s="41" t="str"/>
      <c r="O3565" s="41" t="str"/>
      <c r="P3565" s="41" t="str"/>
      <c r="Q3565" s="41" t="str"/>
      <c r="R3565" s="41" t="str"/>
      <c r="S3565" s="41" t="str"/>
      <c r="T3565" s="41" t="str"/>
      <c r="U3565" s="41" t="str"/>
      <c r="V3565" s="41" t="str"/>
      <c r="W3565" s="41" t="str"/>
    </row>
    <row r="3566">
      <c r="B3566" s="2" t="n"/>
      <c r="C3566" s="40" t="n"/>
      <c r="D3566" s="52">
        <f t="array" ref="D3566:W3566">IF(All_Students_Scores!C3564:V3564="","",All_Students_Scores!C3564:V3564)</f>
        <v/>
      </c>
      <c r="E3566" s="57" t="str"/>
      <c r="F3566" s="49" t="str"/>
      <c r="G3566" s="59" t="str"/>
      <c r="H3566" s="64" t="str"/>
      <c r="I3566" s="65" t="str"/>
      <c r="J3566" s="49" t="str"/>
      <c r="K3566" s="41" t="str"/>
      <c r="L3566" s="41" t="str"/>
      <c r="M3566" s="41" t="str"/>
      <c r="N3566" s="41" t="str"/>
      <c r="O3566" s="41" t="str"/>
      <c r="P3566" s="41" t="str"/>
      <c r="Q3566" s="41" t="str"/>
      <c r="R3566" s="41" t="str"/>
      <c r="S3566" s="41" t="str"/>
      <c r="T3566" s="41" t="str"/>
      <c r="U3566" s="41" t="str"/>
      <c r="V3566" s="41" t="str"/>
      <c r="W3566" s="41" t="str"/>
    </row>
    <row r="3567">
      <c r="B3567" s="2" t="n"/>
      <c r="C3567" s="40" t="n"/>
      <c r="D3567" s="52">
        <f t="array" ref="D3567:W3567">IF(All_Students_Scores!C3565:V3565="","",All_Students_Scores!C3565:V3565)</f>
        <v/>
      </c>
      <c r="E3567" s="57" t="str"/>
      <c r="F3567" s="49" t="str"/>
      <c r="G3567" s="59" t="str"/>
      <c r="H3567" s="64" t="str"/>
      <c r="I3567" s="65" t="str"/>
      <c r="J3567" s="49" t="str"/>
      <c r="K3567" s="41" t="str"/>
      <c r="L3567" s="41" t="str"/>
      <c r="M3567" s="41" t="str"/>
      <c r="N3567" s="41" t="str"/>
      <c r="O3567" s="41" t="str"/>
      <c r="P3567" s="41" t="str"/>
      <c r="Q3567" s="41" t="str"/>
      <c r="R3567" s="41" t="str"/>
      <c r="S3567" s="41" t="str"/>
      <c r="T3567" s="41" t="str"/>
      <c r="U3567" s="41" t="str"/>
      <c r="V3567" s="41" t="str"/>
      <c r="W3567" s="41" t="str"/>
    </row>
    <row r="3568">
      <c r="B3568" s="2" t="n"/>
      <c r="C3568" s="40" t="n"/>
      <c r="D3568" s="52">
        <f t="array" ref="D3568:W3568">IF(All_Students_Scores!C3566:V3566="","",All_Students_Scores!C3566:V3566)</f>
        <v/>
      </c>
      <c r="E3568" s="57" t="str"/>
      <c r="F3568" s="49" t="str"/>
      <c r="G3568" s="59" t="str"/>
      <c r="H3568" s="64" t="str"/>
      <c r="I3568" s="65" t="str"/>
      <c r="J3568" s="49" t="str"/>
      <c r="K3568" s="41" t="str"/>
      <c r="L3568" s="41" t="str"/>
      <c r="M3568" s="41" t="str"/>
      <c r="N3568" s="41" t="str"/>
      <c r="O3568" s="41" t="str"/>
      <c r="P3568" s="41" t="str"/>
      <c r="Q3568" s="41" t="str"/>
      <c r="R3568" s="41" t="str"/>
      <c r="S3568" s="41" t="str"/>
      <c r="T3568" s="41" t="str"/>
      <c r="U3568" s="41" t="str"/>
      <c r="V3568" s="41" t="str"/>
      <c r="W3568" s="41" t="str"/>
    </row>
    <row r="3569">
      <c r="B3569" s="2" t="n"/>
      <c r="C3569" s="40" t="n"/>
      <c r="D3569" s="52">
        <f t="array" ref="D3569:W3569">IF(All_Students_Scores!C3567:V3567="","",All_Students_Scores!C3567:V3567)</f>
        <v/>
      </c>
      <c r="E3569" s="57" t="str"/>
      <c r="F3569" s="49" t="str"/>
      <c r="G3569" s="59" t="str"/>
      <c r="H3569" s="64" t="str"/>
      <c r="I3569" s="65" t="str"/>
      <c r="J3569" s="49" t="str"/>
      <c r="K3569" s="41" t="str"/>
      <c r="L3569" s="41" t="str"/>
      <c r="M3569" s="41" t="str"/>
      <c r="N3569" s="41" t="str"/>
      <c r="O3569" s="41" t="str"/>
      <c r="P3569" s="41" t="str"/>
      <c r="Q3569" s="41" t="str"/>
      <c r="R3569" s="41" t="str"/>
      <c r="S3569" s="41" t="str"/>
      <c r="T3569" s="41" t="str"/>
      <c r="U3569" s="41" t="str"/>
      <c r="V3569" s="41" t="str"/>
      <c r="W3569" s="41" t="str"/>
    </row>
    <row r="3570">
      <c r="B3570" s="2" t="n"/>
      <c r="C3570" s="40" t="n"/>
      <c r="D3570" s="52">
        <f t="array" ref="D3570:W3570">IF(All_Students_Scores!C3568:V3568="","",All_Students_Scores!C3568:V3568)</f>
        <v/>
      </c>
      <c r="E3570" s="57" t="str"/>
      <c r="F3570" s="49" t="str"/>
      <c r="G3570" s="59" t="str"/>
      <c r="H3570" s="64" t="str"/>
      <c r="I3570" s="65" t="str"/>
      <c r="J3570" s="49" t="str"/>
      <c r="K3570" s="41" t="str"/>
      <c r="L3570" s="41" t="str"/>
      <c r="M3570" s="41" t="str"/>
      <c r="N3570" s="41" t="str"/>
      <c r="O3570" s="41" t="str"/>
      <c r="P3570" s="41" t="str"/>
      <c r="Q3570" s="41" t="str"/>
      <c r="R3570" s="41" t="str"/>
      <c r="S3570" s="41" t="str"/>
      <c r="T3570" s="41" t="str"/>
      <c r="U3570" s="41" t="str"/>
      <c r="V3570" s="41" t="str"/>
      <c r="W3570" s="41" t="str"/>
    </row>
    <row r="3571">
      <c r="B3571" s="2" t="n"/>
      <c r="C3571" s="40" t="n"/>
      <c r="D3571" s="52">
        <f t="array" ref="D3571:W3571">IF(All_Students_Scores!C3569:V3569="","",All_Students_Scores!C3569:V3569)</f>
        <v/>
      </c>
      <c r="E3571" s="57" t="str"/>
      <c r="F3571" s="49" t="str"/>
      <c r="G3571" s="59" t="str"/>
      <c r="H3571" s="64" t="str"/>
      <c r="I3571" s="65" t="str"/>
      <c r="J3571" s="49" t="str"/>
      <c r="K3571" s="41" t="str"/>
      <c r="L3571" s="41" t="str"/>
      <c r="M3571" s="41" t="str"/>
      <c r="N3571" s="41" t="str"/>
      <c r="O3571" s="41" t="str"/>
      <c r="P3571" s="41" t="str"/>
      <c r="Q3571" s="41" t="str"/>
      <c r="R3571" s="41" t="str"/>
      <c r="S3571" s="41" t="str"/>
      <c r="T3571" s="41" t="str"/>
      <c r="U3571" s="41" t="str"/>
      <c r="V3571" s="41" t="str"/>
      <c r="W3571" s="41" t="str"/>
    </row>
    <row r="3572">
      <c r="B3572" s="2" t="n"/>
      <c r="C3572" s="40" t="n"/>
      <c r="D3572" s="52">
        <f t="array" ref="D3572:W3572">IF(All_Students_Scores!C3570:V3570="","",All_Students_Scores!C3570:V3570)</f>
        <v/>
      </c>
      <c r="E3572" s="57" t="str"/>
      <c r="F3572" s="49" t="str"/>
      <c r="G3572" s="59" t="str"/>
      <c r="H3572" s="64" t="str"/>
      <c r="I3572" s="65" t="str"/>
      <c r="J3572" s="49" t="str"/>
      <c r="K3572" s="41" t="str"/>
      <c r="L3572" s="41" t="str"/>
      <c r="M3572" s="41" t="str"/>
      <c r="N3572" s="41" t="str"/>
      <c r="O3572" s="41" t="str"/>
      <c r="P3572" s="41" t="str"/>
      <c r="Q3572" s="41" t="str"/>
      <c r="R3572" s="41" t="str"/>
      <c r="S3572" s="41" t="str"/>
      <c r="T3572" s="41" t="str"/>
      <c r="U3572" s="41" t="str"/>
      <c r="V3572" s="41" t="str"/>
      <c r="W3572" s="41" t="str"/>
    </row>
    <row r="3573">
      <c r="B3573" s="2" t="n"/>
      <c r="C3573" s="40" t="n"/>
      <c r="D3573" s="52">
        <f t="array" ref="D3573:W3573">IF(All_Students_Scores!C3571:V3571="","",All_Students_Scores!C3571:V3571)</f>
        <v/>
      </c>
      <c r="E3573" s="57" t="str"/>
      <c r="F3573" s="49" t="str"/>
      <c r="G3573" s="59" t="str"/>
      <c r="H3573" s="64" t="str"/>
      <c r="I3573" s="65" t="str"/>
      <c r="J3573" s="49" t="str"/>
      <c r="K3573" s="41" t="str"/>
      <c r="L3573" s="41" t="str"/>
      <c r="M3573" s="41" t="str"/>
      <c r="N3573" s="41" t="str"/>
      <c r="O3573" s="41" t="str"/>
      <c r="P3573" s="41" t="str"/>
      <c r="Q3573" s="41" t="str"/>
      <c r="R3573" s="41" t="str"/>
      <c r="S3573" s="41" t="str"/>
      <c r="T3573" s="41" t="str"/>
      <c r="U3573" s="41" t="str"/>
      <c r="V3573" s="41" t="str"/>
      <c r="W3573" s="41" t="str"/>
    </row>
    <row r="3574">
      <c r="B3574" s="2" t="n"/>
      <c r="C3574" s="40" t="n"/>
      <c r="D3574" s="52">
        <f t="array" ref="D3574:W3574">IF(All_Students_Scores!C3572:V3572="","",All_Students_Scores!C3572:V3572)</f>
        <v/>
      </c>
      <c r="E3574" s="57" t="str"/>
      <c r="F3574" s="49" t="str"/>
      <c r="G3574" s="59" t="str"/>
      <c r="H3574" s="64" t="str"/>
      <c r="I3574" s="65" t="str"/>
      <c r="J3574" s="49" t="str"/>
      <c r="K3574" s="41" t="str"/>
      <c r="L3574" s="41" t="str"/>
      <c r="M3574" s="41" t="str"/>
      <c r="N3574" s="41" t="str"/>
      <c r="O3574" s="41" t="str"/>
      <c r="P3574" s="41" t="str"/>
      <c r="Q3574" s="41" t="str"/>
      <c r="R3574" s="41" t="str"/>
      <c r="S3574" s="41" t="str"/>
      <c r="T3574" s="41" t="str"/>
      <c r="U3574" s="41" t="str"/>
      <c r="V3574" s="41" t="str"/>
      <c r="W3574" s="41" t="str"/>
    </row>
    <row r="3575">
      <c r="B3575" s="2" t="n"/>
      <c r="C3575" s="40" t="n"/>
      <c r="D3575" s="52">
        <f t="array" ref="D3575:W3575">IF(All_Students_Scores!C3573:V3573="","",All_Students_Scores!C3573:V3573)</f>
        <v/>
      </c>
      <c r="E3575" s="57" t="str"/>
      <c r="F3575" s="49" t="str"/>
      <c r="G3575" s="59" t="str"/>
      <c r="H3575" s="64" t="str"/>
      <c r="I3575" s="65" t="str"/>
      <c r="J3575" s="49" t="str"/>
      <c r="K3575" s="41" t="str"/>
      <c r="L3575" s="41" t="str"/>
      <c r="M3575" s="41" t="str"/>
      <c r="N3575" s="41" t="str"/>
      <c r="O3575" s="41" t="str"/>
      <c r="P3575" s="41" t="str"/>
      <c r="Q3575" s="41" t="str"/>
      <c r="R3575" s="41" t="str"/>
      <c r="S3575" s="41" t="str"/>
      <c r="T3575" s="41" t="str"/>
      <c r="U3575" s="41" t="str"/>
      <c r="V3575" s="41" t="str"/>
      <c r="W3575" s="41" t="str"/>
    </row>
    <row r="3576">
      <c r="B3576" s="2" t="n"/>
      <c r="C3576" s="40" t="n"/>
      <c r="D3576" s="52">
        <f t="array" ref="D3576:W3576">IF(All_Students_Scores!C3574:V3574="","",All_Students_Scores!C3574:V3574)</f>
        <v/>
      </c>
      <c r="E3576" s="57" t="str"/>
      <c r="F3576" s="49" t="str"/>
      <c r="G3576" s="59" t="str"/>
      <c r="H3576" s="64" t="str"/>
      <c r="I3576" s="65" t="str"/>
      <c r="J3576" s="49" t="str"/>
      <c r="K3576" s="41" t="str"/>
      <c r="L3576" s="41" t="str"/>
      <c r="M3576" s="41" t="str"/>
      <c r="N3576" s="41" t="str"/>
      <c r="O3576" s="41" t="str"/>
      <c r="P3576" s="41" t="str"/>
      <c r="Q3576" s="41" t="str"/>
      <c r="R3576" s="41" t="str"/>
      <c r="S3576" s="41" t="str"/>
      <c r="T3576" s="41" t="str"/>
      <c r="U3576" s="41" t="str"/>
      <c r="V3576" s="41" t="str"/>
      <c r="W3576" s="41" t="str"/>
    </row>
    <row r="3577">
      <c r="B3577" s="2" t="n"/>
      <c r="C3577" s="40" t="n"/>
      <c r="D3577" s="52">
        <f t="array" ref="D3577:W3577">IF(All_Students_Scores!C3575:V3575="","",All_Students_Scores!C3575:V3575)</f>
        <v/>
      </c>
      <c r="E3577" s="57" t="str"/>
      <c r="F3577" s="49" t="str"/>
      <c r="G3577" s="59" t="str"/>
      <c r="H3577" s="64" t="str"/>
      <c r="I3577" s="65" t="str"/>
      <c r="J3577" s="49" t="str"/>
      <c r="K3577" s="41" t="str"/>
      <c r="L3577" s="41" t="str"/>
      <c r="M3577" s="41" t="str"/>
      <c r="N3577" s="41" t="str"/>
      <c r="O3577" s="41" t="str"/>
      <c r="P3577" s="41" t="str"/>
      <c r="Q3577" s="41" t="str"/>
      <c r="R3577" s="41" t="str"/>
      <c r="S3577" s="41" t="str"/>
      <c r="T3577" s="41" t="str"/>
      <c r="U3577" s="41" t="str"/>
      <c r="V3577" s="41" t="str"/>
      <c r="W3577" s="41" t="str"/>
    </row>
    <row r="3578">
      <c r="B3578" s="2" t="n"/>
      <c r="C3578" s="40" t="n"/>
      <c r="D3578" s="52">
        <f t="array" ref="D3578:W3578">IF(All_Students_Scores!C3576:V3576="","",All_Students_Scores!C3576:V3576)</f>
        <v/>
      </c>
      <c r="E3578" s="57" t="str"/>
      <c r="F3578" s="49" t="str"/>
      <c r="G3578" s="59" t="str"/>
      <c r="H3578" s="64" t="str"/>
      <c r="I3578" s="65" t="str"/>
      <c r="J3578" s="49" t="str"/>
      <c r="K3578" s="41" t="str"/>
      <c r="L3578" s="41" t="str"/>
      <c r="M3578" s="41" t="str"/>
      <c r="N3578" s="41" t="str"/>
      <c r="O3578" s="41" t="str"/>
      <c r="P3578" s="41" t="str"/>
      <c r="Q3578" s="41" t="str"/>
      <c r="R3578" s="41" t="str"/>
      <c r="S3578" s="41" t="str"/>
      <c r="T3578" s="41" t="str"/>
      <c r="U3578" s="41" t="str"/>
      <c r="V3578" s="41" t="str"/>
      <c r="W3578" s="41" t="str"/>
    </row>
    <row r="3579">
      <c r="B3579" s="2" t="n"/>
      <c r="C3579" s="40" t="n"/>
      <c r="D3579" s="52">
        <f t="array" ref="D3579:W3579">IF(All_Students_Scores!C3577:V3577="","",All_Students_Scores!C3577:V3577)</f>
        <v/>
      </c>
      <c r="E3579" s="57" t="str"/>
      <c r="F3579" s="49" t="str"/>
      <c r="G3579" s="59" t="str"/>
      <c r="H3579" s="64" t="str"/>
      <c r="I3579" s="65" t="str"/>
      <c r="J3579" s="49" t="str"/>
      <c r="K3579" s="41" t="str"/>
      <c r="L3579" s="41" t="str"/>
      <c r="M3579" s="41" t="str"/>
      <c r="N3579" s="41" t="str"/>
      <c r="O3579" s="41" t="str"/>
      <c r="P3579" s="41" t="str"/>
      <c r="Q3579" s="41" t="str"/>
      <c r="R3579" s="41" t="str"/>
      <c r="S3579" s="41" t="str"/>
      <c r="T3579" s="41" t="str"/>
      <c r="U3579" s="41" t="str"/>
      <c r="V3579" s="41" t="str"/>
      <c r="W3579" s="41" t="str"/>
    </row>
    <row r="3580">
      <c r="B3580" s="2" t="n"/>
      <c r="C3580" s="40" t="n"/>
      <c r="D3580" s="52">
        <f t="array" ref="D3580:W3580">IF(All_Students_Scores!C3578:V3578="","",All_Students_Scores!C3578:V3578)</f>
        <v/>
      </c>
      <c r="E3580" s="57" t="str"/>
      <c r="F3580" s="49" t="str"/>
      <c r="G3580" s="59" t="str"/>
      <c r="H3580" s="64" t="str"/>
      <c r="I3580" s="65" t="str"/>
      <c r="J3580" s="49" t="str"/>
      <c r="K3580" s="41" t="str"/>
      <c r="L3580" s="41" t="str"/>
      <c r="M3580" s="41" t="str"/>
      <c r="N3580" s="41" t="str"/>
      <c r="O3580" s="41" t="str"/>
      <c r="P3580" s="41" t="str"/>
      <c r="Q3580" s="41" t="str"/>
      <c r="R3580" s="41" t="str"/>
      <c r="S3580" s="41" t="str"/>
      <c r="T3580" s="41" t="str"/>
      <c r="U3580" s="41" t="str"/>
      <c r="V3580" s="41" t="str"/>
      <c r="W3580" s="41" t="str"/>
    </row>
    <row r="3581">
      <c r="B3581" s="2" t="n"/>
      <c r="C3581" s="40" t="n"/>
      <c r="D3581" s="52">
        <f t="array" ref="D3581:W3581">IF(All_Students_Scores!C3579:V3579="","",All_Students_Scores!C3579:V3579)</f>
        <v/>
      </c>
      <c r="E3581" s="57" t="str"/>
      <c r="F3581" s="49" t="str"/>
      <c r="G3581" s="59" t="str"/>
      <c r="H3581" s="64" t="str"/>
      <c r="I3581" s="65" t="str"/>
      <c r="J3581" s="49" t="str"/>
      <c r="K3581" s="41" t="str"/>
      <c r="L3581" s="41" t="str"/>
      <c r="M3581" s="41" t="str"/>
      <c r="N3581" s="41" t="str"/>
      <c r="O3581" s="41" t="str"/>
      <c r="P3581" s="41" t="str"/>
      <c r="Q3581" s="41" t="str"/>
      <c r="R3581" s="41" t="str"/>
      <c r="S3581" s="41" t="str"/>
      <c r="T3581" s="41" t="str"/>
      <c r="U3581" s="41" t="str"/>
      <c r="V3581" s="41" t="str"/>
      <c r="W3581" s="41" t="str"/>
    </row>
    <row r="3582">
      <c r="B3582" s="2" t="n"/>
      <c r="C3582" s="40" t="n"/>
      <c r="D3582" s="52">
        <f t="array" ref="D3582:W3582">IF(All_Students_Scores!C3580:V3580="","",All_Students_Scores!C3580:V3580)</f>
        <v/>
      </c>
      <c r="E3582" s="57" t="str"/>
      <c r="F3582" s="49" t="str"/>
      <c r="G3582" s="59" t="str"/>
      <c r="H3582" s="64" t="str"/>
      <c r="I3582" s="65" t="str"/>
      <c r="J3582" s="49" t="str"/>
      <c r="K3582" s="41" t="str"/>
      <c r="L3582" s="41" t="str"/>
      <c r="M3582" s="41" t="str"/>
      <c r="N3582" s="41" t="str"/>
      <c r="O3582" s="41" t="str"/>
      <c r="P3582" s="41" t="str"/>
      <c r="Q3582" s="41" t="str"/>
      <c r="R3582" s="41" t="str"/>
      <c r="S3582" s="41" t="str"/>
      <c r="T3582" s="41" t="str"/>
      <c r="U3582" s="41" t="str"/>
      <c r="V3582" s="41" t="str"/>
      <c r="W3582" s="41" t="str"/>
    </row>
    <row r="3583">
      <c r="B3583" s="2" t="n"/>
      <c r="C3583" s="40" t="n"/>
      <c r="D3583" s="52">
        <f t="array" ref="D3583:W3583">IF(All_Students_Scores!C3581:V3581="","",All_Students_Scores!C3581:V3581)</f>
        <v/>
      </c>
      <c r="E3583" s="57" t="str"/>
      <c r="F3583" s="49" t="str"/>
      <c r="G3583" s="59" t="str"/>
      <c r="H3583" s="64" t="str"/>
      <c r="I3583" s="65" t="str"/>
      <c r="J3583" s="49" t="str"/>
      <c r="K3583" s="41" t="str"/>
      <c r="L3583" s="41" t="str"/>
      <c r="M3583" s="41" t="str"/>
      <c r="N3583" s="41" t="str"/>
      <c r="O3583" s="41" t="str"/>
      <c r="P3583" s="41" t="str"/>
      <c r="Q3583" s="41" t="str"/>
      <c r="R3583" s="41" t="str"/>
      <c r="S3583" s="41" t="str"/>
      <c r="T3583" s="41" t="str"/>
      <c r="U3583" s="41" t="str"/>
      <c r="V3583" s="41" t="str"/>
      <c r="W3583" s="41" t="str"/>
    </row>
    <row r="3584">
      <c r="B3584" s="2" t="n"/>
      <c r="C3584" s="40" t="n"/>
      <c r="D3584" s="52">
        <f t="array" ref="D3584:W3584">IF(All_Students_Scores!C3582:V3582="","",All_Students_Scores!C3582:V3582)</f>
        <v/>
      </c>
      <c r="E3584" s="57" t="str"/>
      <c r="F3584" s="49" t="str"/>
      <c r="G3584" s="59" t="str"/>
      <c r="H3584" s="64" t="str"/>
      <c r="I3584" s="65" t="str"/>
      <c r="J3584" s="49" t="str"/>
      <c r="K3584" s="41" t="str"/>
      <c r="L3584" s="41" t="str"/>
      <c r="M3584" s="41" t="str"/>
      <c r="N3584" s="41" t="str"/>
      <c r="O3584" s="41" t="str"/>
      <c r="P3584" s="41" t="str"/>
      <c r="Q3584" s="41" t="str"/>
      <c r="R3584" s="41" t="str"/>
      <c r="S3584" s="41" t="str"/>
      <c r="T3584" s="41" t="str"/>
      <c r="U3584" s="41" t="str"/>
      <c r="V3584" s="41" t="str"/>
      <c r="W3584" s="41" t="str"/>
    </row>
    <row r="3585">
      <c r="B3585" s="2" t="n"/>
      <c r="C3585" s="40" t="n"/>
      <c r="D3585" s="52">
        <f t="array" ref="D3585:W3585">IF(All_Students_Scores!C3583:V3583="","",All_Students_Scores!C3583:V3583)</f>
        <v/>
      </c>
      <c r="E3585" s="57" t="str"/>
      <c r="F3585" s="49" t="str"/>
      <c r="G3585" s="59" t="str"/>
      <c r="H3585" s="64" t="str"/>
      <c r="I3585" s="65" t="str"/>
      <c r="J3585" s="49" t="str"/>
      <c r="K3585" s="41" t="str"/>
      <c r="L3585" s="41" t="str"/>
      <c r="M3585" s="41" t="str"/>
      <c r="N3585" s="41" t="str"/>
      <c r="O3585" s="41" t="str"/>
      <c r="P3585" s="41" t="str"/>
      <c r="Q3585" s="41" t="str"/>
      <c r="R3585" s="41" t="str"/>
      <c r="S3585" s="41" t="str"/>
      <c r="T3585" s="41" t="str"/>
      <c r="U3585" s="41" t="str"/>
      <c r="V3585" s="41" t="str"/>
      <c r="W3585" s="41" t="str"/>
    </row>
    <row r="3586">
      <c r="B3586" s="2" t="n"/>
      <c r="C3586" s="40" t="n"/>
      <c r="D3586" s="52">
        <f t="array" ref="D3586:W3586">IF(All_Students_Scores!C3584:V3584="","",All_Students_Scores!C3584:V3584)</f>
        <v/>
      </c>
      <c r="E3586" s="57" t="str"/>
      <c r="F3586" s="49" t="str"/>
      <c r="G3586" s="59" t="str"/>
      <c r="H3586" s="64" t="str"/>
      <c r="I3586" s="65" t="str"/>
      <c r="J3586" s="49" t="str"/>
      <c r="K3586" s="41" t="str"/>
      <c r="L3586" s="41" t="str"/>
      <c r="M3586" s="41" t="str"/>
      <c r="N3586" s="41" t="str"/>
      <c r="O3586" s="41" t="str"/>
      <c r="P3586" s="41" t="str"/>
      <c r="Q3586" s="41" t="str"/>
      <c r="R3586" s="41" t="str"/>
      <c r="S3586" s="41" t="str"/>
      <c r="T3586" s="41" t="str"/>
      <c r="U3586" s="41" t="str"/>
      <c r="V3586" s="41" t="str"/>
      <c r="W3586" s="41" t="str"/>
    </row>
    <row r="3587">
      <c r="B3587" s="2" t="n"/>
      <c r="C3587" s="40" t="n"/>
      <c r="D3587" s="52">
        <f t="array" ref="D3587:W3587">IF(All_Students_Scores!C3585:V3585="","",All_Students_Scores!C3585:V3585)</f>
        <v/>
      </c>
      <c r="E3587" s="57" t="str"/>
      <c r="F3587" s="49" t="str"/>
      <c r="G3587" s="59" t="str"/>
      <c r="H3587" s="64" t="str"/>
      <c r="I3587" s="65" t="str"/>
      <c r="J3587" s="49" t="str"/>
      <c r="K3587" s="41" t="str"/>
      <c r="L3587" s="41" t="str"/>
      <c r="M3587" s="41" t="str"/>
      <c r="N3587" s="41" t="str"/>
      <c r="O3587" s="41" t="str"/>
      <c r="P3587" s="41" t="str"/>
      <c r="Q3587" s="41" t="str"/>
      <c r="R3587" s="41" t="str"/>
      <c r="S3587" s="41" t="str"/>
      <c r="T3587" s="41" t="str"/>
      <c r="U3587" s="41" t="str"/>
      <c r="V3587" s="41" t="str"/>
      <c r="W3587" s="41" t="str"/>
    </row>
    <row r="3588">
      <c r="B3588" s="2" t="n"/>
      <c r="C3588" s="40" t="n"/>
      <c r="D3588" s="52">
        <f t="array" ref="D3588:W3588">IF(All_Students_Scores!C3586:V3586="","",All_Students_Scores!C3586:V3586)</f>
        <v/>
      </c>
      <c r="E3588" s="57" t="str"/>
      <c r="F3588" s="49" t="str"/>
      <c r="G3588" s="59" t="str"/>
      <c r="H3588" s="64" t="str"/>
      <c r="I3588" s="65" t="str"/>
      <c r="J3588" s="49" t="str"/>
      <c r="K3588" s="41" t="str"/>
      <c r="L3588" s="41" t="str"/>
      <c r="M3588" s="41" t="str"/>
      <c r="N3588" s="41" t="str"/>
      <c r="O3588" s="41" t="str"/>
      <c r="P3588" s="41" t="str"/>
      <c r="Q3588" s="41" t="str"/>
      <c r="R3588" s="41" t="str"/>
      <c r="S3588" s="41" t="str"/>
      <c r="T3588" s="41" t="str"/>
      <c r="U3588" s="41" t="str"/>
      <c r="V3588" s="41" t="str"/>
      <c r="W3588" s="41" t="str"/>
    </row>
    <row r="3589">
      <c r="B3589" s="2" t="n"/>
      <c r="C3589" s="40" t="n"/>
      <c r="D3589" s="52">
        <f t="array" ref="D3589:W3589">IF(All_Students_Scores!C3587:V3587="","",All_Students_Scores!C3587:V3587)</f>
        <v/>
      </c>
      <c r="E3589" s="57" t="str"/>
      <c r="F3589" s="49" t="str"/>
      <c r="G3589" s="59" t="str"/>
      <c r="H3589" s="64" t="str"/>
      <c r="I3589" s="65" t="str"/>
      <c r="J3589" s="49" t="str"/>
      <c r="K3589" s="41" t="str"/>
      <c r="L3589" s="41" t="str"/>
      <c r="M3589" s="41" t="str"/>
      <c r="N3589" s="41" t="str"/>
      <c r="O3589" s="41" t="str"/>
      <c r="P3589" s="41" t="str"/>
      <c r="Q3589" s="41" t="str"/>
      <c r="R3589" s="41" t="str"/>
      <c r="S3589" s="41" t="str"/>
      <c r="T3589" s="41" t="str"/>
      <c r="U3589" s="41" t="str"/>
      <c r="V3589" s="41" t="str"/>
      <c r="W3589" s="41" t="str"/>
    </row>
    <row r="3590">
      <c r="B3590" s="2" t="n"/>
      <c r="C3590" s="40" t="n"/>
      <c r="D3590" s="52">
        <f t="array" ref="D3590:W3590">IF(All_Students_Scores!C3588:V3588="","",All_Students_Scores!C3588:V3588)</f>
        <v/>
      </c>
      <c r="E3590" s="57" t="str"/>
      <c r="F3590" s="49" t="str"/>
      <c r="G3590" s="59" t="str"/>
      <c r="H3590" s="64" t="str"/>
      <c r="I3590" s="65" t="str"/>
      <c r="J3590" s="49" t="str"/>
      <c r="K3590" s="41" t="str"/>
      <c r="L3590" s="41" t="str"/>
      <c r="M3590" s="41" t="str"/>
      <c r="N3590" s="41" t="str"/>
      <c r="O3590" s="41" t="str"/>
      <c r="P3590" s="41" t="str"/>
      <c r="Q3590" s="41" t="str"/>
      <c r="R3590" s="41" t="str"/>
      <c r="S3590" s="41" t="str"/>
      <c r="T3590" s="41" t="str"/>
      <c r="U3590" s="41" t="str"/>
      <c r="V3590" s="41" t="str"/>
      <c r="W3590" s="41" t="str"/>
    </row>
    <row r="3591">
      <c r="B3591" s="2" t="n"/>
      <c r="C3591" s="40" t="n"/>
      <c r="D3591" s="52">
        <f t="array" ref="D3591:W3591">IF(All_Students_Scores!C3589:V3589="","",All_Students_Scores!C3589:V3589)</f>
        <v/>
      </c>
      <c r="E3591" s="57" t="str"/>
      <c r="F3591" s="49" t="str"/>
      <c r="G3591" s="59" t="str"/>
      <c r="H3591" s="64" t="str"/>
      <c r="I3591" s="65" t="str"/>
      <c r="J3591" s="49" t="str"/>
      <c r="K3591" s="41" t="str"/>
      <c r="L3591" s="41" t="str"/>
      <c r="M3591" s="41" t="str"/>
      <c r="N3591" s="41" t="str"/>
      <c r="O3591" s="41" t="str"/>
      <c r="P3591" s="41" t="str"/>
      <c r="Q3591" s="41" t="str"/>
      <c r="R3591" s="41" t="str"/>
      <c r="S3591" s="41" t="str"/>
      <c r="T3591" s="41" t="str"/>
      <c r="U3591" s="41" t="str"/>
      <c r="V3591" s="41" t="str"/>
      <c r="W3591" s="41" t="str"/>
    </row>
    <row r="3592">
      <c r="B3592" s="2" t="n"/>
      <c r="C3592" s="40" t="n"/>
      <c r="D3592" s="52">
        <f t="array" ref="D3592:W3592">IF(All_Students_Scores!C3590:V3590="","",All_Students_Scores!C3590:V3590)</f>
        <v/>
      </c>
      <c r="E3592" s="57" t="str"/>
      <c r="F3592" s="49" t="str"/>
      <c r="G3592" s="59" t="str"/>
      <c r="H3592" s="64" t="str"/>
      <c r="I3592" s="65" t="str"/>
      <c r="J3592" s="49" t="str"/>
      <c r="K3592" s="41" t="str"/>
      <c r="L3592" s="41" t="str"/>
      <c r="M3592" s="41" t="str"/>
      <c r="N3592" s="41" t="str"/>
      <c r="O3592" s="41" t="str"/>
      <c r="P3592" s="41" t="str"/>
      <c r="Q3592" s="41" t="str"/>
      <c r="R3592" s="41" t="str"/>
      <c r="S3592" s="41" t="str"/>
      <c r="T3592" s="41" t="str"/>
      <c r="U3592" s="41" t="str"/>
      <c r="V3592" s="41" t="str"/>
      <c r="W3592" s="41" t="str"/>
    </row>
    <row r="3593">
      <c r="B3593" s="2" t="n"/>
      <c r="C3593" s="40" t="n"/>
      <c r="D3593" s="52">
        <f t="array" ref="D3593:W3593">IF(All_Students_Scores!C3591:V3591="","",All_Students_Scores!C3591:V3591)</f>
        <v/>
      </c>
      <c r="E3593" s="57" t="str"/>
      <c r="F3593" s="49" t="str"/>
      <c r="G3593" s="59" t="str"/>
      <c r="H3593" s="64" t="str"/>
      <c r="I3593" s="65" t="str"/>
      <c r="J3593" s="49" t="str"/>
      <c r="K3593" s="41" t="str"/>
      <c r="L3593" s="41" t="str"/>
      <c r="M3593" s="41" t="str"/>
      <c r="N3593" s="41" t="str"/>
      <c r="O3593" s="41" t="str"/>
      <c r="P3593" s="41" t="str"/>
      <c r="Q3593" s="41" t="str"/>
      <c r="R3593" s="41" t="str"/>
      <c r="S3593" s="41" t="str"/>
      <c r="T3593" s="41" t="str"/>
      <c r="U3593" s="41" t="str"/>
      <c r="V3593" s="41" t="str"/>
      <c r="W3593" s="41" t="str"/>
    </row>
    <row r="3594">
      <c r="B3594" s="2" t="n"/>
      <c r="C3594" s="40" t="n"/>
      <c r="D3594" s="52">
        <f t="array" ref="D3594:W3594">IF(All_Students_Scores!C3592:V3592="","",All_Students_Scores!C3592:V3592)</f>
        <v/>
      </c>
      <c r="E3594" s="57" t="str"/>
      <c r="F3594" s="49" t="str"/>
      <c r="G3594" s="59" t="str"/>
      <c r="H3594" s="64" t="str"/>
      <c r="I3594" s="65" t="str"/>
      <c r="J3594" s="49" t="str"/>
      <c r="K3594" s="41" t="str"/>
      <c r="L3594" s="41" t="str"/>
      <c r="M3594" s="41" t="str"/>
      <c r="N3594" s="41" t="str"/>
      <c r="O3594" s="41" t="str"/>
      <c r="P3594" s="41" t="str"/>
      <c r="Q3594" s="41" t="str"/>
      <c r="R3594" s="41" t="str"/>
      <c r="S3594" s="41" t="str"/>
      <c r="T3594" s="41" t="str"/>
      <c r="U3594" s="41" t="str"/>
      <c r="V3594" s="41" t="str"/>
      <c r="W3594" s="41" t="str"/>
    </row>
    <row r="3595">
      <c r="B3595" s="2" t="n"/>
      <c r="C3595" s="40" t="n"/>
      <c r="D3595" s="52">
        <f t="array" ref="D3595:W3595">IF(All_Students_Scores!C3593:V3593="","",All_Students_Scores!C3593:V3593)</f>
        <v/>
      </c>
      <c r="E3595" s="57" t="str"/>
      <c r="F3595" s="49" t="str"/>
      <c r="G3595" s="59" t="str"/>
      <c r="H3595" s="64" t="str"/>
      <c r="I3595" s="65" t="str"/>
      <c r="J3595" s="49" t="str"/>
      <c r="K3595" s="41" t="str"/>
      <c r="L3595" s="41" t="str"/>
      <c r="M3595" s="41" t="str"/>
      <c r="N3595" s="41" t="str"/>
      <c r="O3595" s="41" t="str"/>
      <c r="P3595" s="41" t="str"/>
      <c r="Q3595" s="41" t="str"/>
      <c r="R3595" s="41" t="str"/>
      <c r="S3595" s="41" t="str"/>
      <c r="T3595" s="41" t="str"/>
      <c r="U3595" s="41" t="str"/>
      <c r="V3595" s="41" t="str"/>
      <c r="W3595" s="41" t="str"/>
    </row>
    <row r="3596">
      <c r="B3596" s="2" t="n"/>
      <c r="C3596" s="40" t="n"/>
      <c r="D3596" s="52">
        <f t="array" ref="D3596:W3596">IF(All_Students_Scores!C3594:V3594="","",All_Students_Scores!C3594:V3594)</f>
        <v/>
      </c>
      <c r="E3596" s="57" t="str"/>
      <c r="F3596" s="49" t="str"/>
      <c r="G3596" s="59" t="str"/>
      <c r="H3596" s="64" t="str"/>
      <c r="I3596" s="65" t="str"/>
      <c r="J3596" s="49" t="str"/>
      <c r="K3596" s="41" t="str"/>
      <c r="L3596" s="41" t="str"/>
      <c r="M3596" s="41" t="str"/>
      <c r="N3596" s="41" t="str"/>
      <c r="O3596" s="41" t="str"/>
      <c r="P3596" s="41" t="str"/>
      <c r="Q3596" s="41" t="str"/>
      <c r="R3596" s="41" t="str"/>
      <c r="S3596" s="41" t="str"/>
      <c r="T3596" s="41" t="str"/>
      <c r="U3596" s="41" t="str"/>
      <c r="V3596" s="41" t="str"/>
      <c r="W3596" s="41" t="str"/>
    </row>
    <row r="3597">
      <c r="B3597" s="2" t="n"/>
      <c r="C3597" s="40" t="n"/>
      <c r="D3597" s="52">
        <f t="array" ref="D3597:W3597">IF(All_Students_Scores!C3595:V3595="","",All_Students_Scores!C3595:V3595)</f>
        <v/>
      </c>
      <c r="E3597" s="57" t="str"/>
      <c r="F3597" s="49" t="str"/>
      <c r="G3597" s="59" t="str"/>
      <c r="H3597" s="64" t="str"/>
      <c r="I3597" s="65" t="str"/>
      <c r="J3597" s="49" t="str"/>
      <c r="K3597" s="41" t="str"/>
      <c r="L3597" s="41" t="str"/>
      <c r="M3597" s="41" t="str"/>
      <c r="N3597" s="41" t="str"/>
      <c r="O3597" s="41" t="str"/>
      <c r="P3597" s="41" t="str"/>
      <c r="Q3597" s="41" t="str"/>
      <c r="R3597" s="41" t="str"/>
      <c r="S3597" s="41" t="str"/>
      <c r="T3597" s="41" t="str"/>
      <c r="U3597" s="41" t="str"/>
      <c r="V3597" s="41" t="str"/>
      <c r="W3597" s="41" t="str"/>
    </row>
    <row r="3598">
      <c r="B3598" s="2" t="n"/>
      <c r="C3598" s="40" t="n"/>
      <c r="D3598" s="52">
        <f t="array" ref="D3598:W3598">IF(All_Students_Scores!C3596:V3596="","",All_Students_Scores!C3596:V3596)</f>
        <v/>
      </c>
      <c r="E3598" s="57" t="str"/>
      <c r="F3598" s="49" t="str"/>
      <c r="G3598" s="59" t="str"/>
      <c r="H3598" s="64" t="str"/>
      <c r="I3598" s="65" t="str"/>
      <c r="J3598" s="49" t="str"/>
      <c r="K3598" s="41" t="str"/>
      <c r="L3598" s="41" t="str"/>
      <c r="M3598" s="41" t="str"/>
      <c r="N3598" s="41" t="str"/>
      <c r="O3598" s="41" t="str"/>
      <c r="P3598" s="41" t="str"/>
      <c r="Q3598" s="41" t="str"/>
      <c r="R3598" s="41" t="str"/>
      <c r="S3598" s="41" t="str"/>
      <c r="T3598" s="41" t="str"/>
      <c r="U3598" s="41" t="str"/>
      <c r="V3598" s="41" t="str"/>
      <c r="W3598" s="41" t="str"/>
    </row>
    <row r="3599">
      <c r="B3599" s="2" t="n"/>
      <c r="C3599" s="40" t="n"/>
      <c r="D3599" s="52">
        <f t="array" ref="D3599:W3599">IF(All_Students_Scores!C3597:V3597="","",All_Students_Scores!C3597:V3597)</f>
        <v/>
      </c>
      <c r="E3599" s="57" t="str"/>
      <c r="F3599" s="49" t="str"/>
      <c r="G3599" s="59" t="str"/>
      <c r="H3599" s="64" t="str"/>
      <c r="I3599" s="65" t="str"/>
      <c r="J3599" s="49" t="str"/>
      <c r="K3599" s="41" t="str"/>
      <c r="L3599" s="41" t="str"/>
      <c r="M3599" s="41" t="str"/>
      <c r="N3599" s="41" t="str"/>
      <c r="O3599" s="41" t="str"/>
      <c r="P3599" s="41" t="str"/>
      <c r="Q3599" s="41" t="str"/>
      <c r="R3599" s="41" t="str"/>
      <c r="S3599" s="41" t="str"/>
      <c r="T3599" s="41" t="str"/>
      <c r="U3599" s="41" t="str"/>
      <c r="V3599" s="41" t="str"/>
      <c r="W3599" s="41" t="str"/>
    </row>
    <row r="3600">
      <c r="B3600" s="2" t="n"/>
      <c r="C3600" s="40" t="n"/>
      <c r="D3600" s="52">
        <f t="array" ref="D3600:W3600">IF(All_Students_Scores!C3598:V3598="","",All_Students_Scores!C3598:V3598)</f>
        <v/>
      </c>
      <c r="E3600" s="57" t="str"/>
      <c r="F3600" s="49" t="str"/>
      <c r="G3600" s="59" t="str"/>
      <c r="H3600" s="64" t="str"/>
      <c r="I3600" s="65" t="str"/>
      <c r="J3600" s="49" t="str"/>
      <c r="K3600" s="41" t="str"/>
      <c r="L3600" s="41" t="str"/>
      <c r="M3600" s="41" t="str"/>
      <c r="N3600" s="41" t="str"/>
      <c r="O3600" s="41" t="str"/>
      <c r="P3600" s="41" t="str"/>
      <c r="Q3600" s="41" t="str"/>
      <c r="R3600" s="41" t="str"/>
      <c r="S3600" s="41" t="str"/>
      <c r="T3600" s="41" t="str"/>
      <c r="U3600" s="41" t="str"/>
      <c r="V3600" s="41" t="str"/>
      <c r="W3600" s="41" t="str"/>
    </row>
    <row r="3601">
      <c r="B3601" s="2" t="n"/>
      <c r="C3601" s="40" t="n"/>
      <c r="D3601" s="52">
        <f t="array" ref="D3601:W3601">IF(All_Students_Scores!C3599:V3599="","",All_Students_Scores!C3599:V3599)</f>
        <v/>
      </c>
      <c r="E3601" s="57" t="str"/>
      <c r="F3601" s="49" t="str"/>
      <c r="G3601" s="59" t="str"/>
      <c r="H3601" s="64" t="str"/>
      <c r="I3601" s="65" t="str"/>
      <c r="J3601" s="49" t="str"/>
      <c r="K3601" s="41" t="str"/>
      <c r="L3601" s="41" t="str"/>
      <c r="M3601" s="41" t="str"/>
      <c r="N3601" s="41" t="str"/>
      <c r="O3601" s="41" t="str"/>
      <c r="P3601" s="41" t="str"/>
      <c r="Q3601" s="41" t="str"/>
      <c r="R3601" s="41" t="str"/>
      <c r="S3601" s="41" t="str"/>
      <c r="T3601" s="41" t="str"/>
      <c r="U3601" s="41" t="str"/>
      <c r="V3601" s="41" t="str"/>
      <c r="W3601" s="41" t="str"/>
    </row>
    <row r="3602">
      <c r="B3602" s="2" t="n"/>
      <c r="C3602" s="40" t="n"/>
      <c r="D3602" s="52">
        <f t="array" ref="D3602:W3602">IF(All_Students_Scores!C3600:V3600="","",All_Students_Scores!C3600:V3600)</f>
        <v/>
      </c>
      <c r="E3602" s="57" t="str"/>
      <c r="F3602" s="49" t="str"/>
      <c r="G3602" s="59" t="str"/>
      <c r="H3602" s="64" t="str"/>
      <c r="I3602" s="65" t="str"/>
      <c r="J3602" s="49" t="str"/>
      <c r="K3602" s="41" t="str"/>
      <c r="L3602" s="41" t="str"/>
      <c r="M3602" s="41" t="str"/>
      <c r="N3602" s="41" t="str"/>
      <c r="O3602" s="41" t="str"/>
      <c r="P3602" s="41" t="str"/>
      <c r="Q3602" s="41" t="str"/>
      <c r="R3602" s="41" t="str"/>
      <c r="S3602" s="41" t="str"/>
      <c r="T3602" s="41" t="str"/>
      <c r="U3602" s="41" t="str"/>
      <c r="V3602" s="41" t="str"/>
      <c r="W3602" s="41" t="str"/>
    </row>
    <row r="3603">
      <c r="B3603" s="2" t="n"/>
      <c r="C3603" s="40" t="n"/>
      <c r="D3603" s="52">
        <f t="array" ref="D3603:W3603">IF(All_Students_Scores!C3601:V3601="","",All_Students_Scores!C3601:V3601)</f>
        <v/>
      </c>
      <c r="E3603" s="57" t="str"/>
      <c r="F3603" s="49" t="str"/>
      <c r="G3603" s="59" t="str"/>
      <c r="H3603" s="64" t="str"/>
      <c r="I3603" s="65" t="str"/>
      <c r="J3603" s="49" t="str"/>
      <c r="K3603" s="41" t="str"/>
      <c r="L3603" s="41" t="str"/>
      <c r="M3603" s="41" t="str"/>
      <c r="N3603" s="41" t="str"/>
      <c r="O3603" s="41" t="str"/>
      <c r="P3603" s="41" t="str"/>
      <c r="Q3603" s="41" t="str"/>
      <c r="R3603" s="41" t="str"/>
      <c r="S3603" s="41" t="str"/>
      <c r="T3603" s="41" t="str"/>
      <c r="U3603" s="41" t="str"/>
      <c r="V3603" s="41" t="str"/>
      <c r="W3603" s="41" t="str"/>
    </row>
    <row r="3604">
      <c r="B3604" s="2" t="n"/>
      <c r="C3604" s="40" t="n"/>
      <c r="D3604" s="52">
        <f t="array" ref="D3604:W3604">IF(All_Students_Scores!C3602:V3602="","",All_Students_Scores!C3602:V3602)</f>
        <v/>
      </c>
      <c r="E3604" s="57" t="str"/>
      <c r="F3604" s="49" t="str"/>
      <c r="G3604" s="59" t="str"/>
      <c r="H3604" s="64" t="str"/>
      <c r="I3604" s="65" t="str"/>
      <c r="J3604" s="49" t="str"/>
      <c r="K3604" s="41" t="str"/>
      <c r="L3604" s="41" t="str"/>
      <c r="M3604" s="41" t="str"/>
      <c r="N3604" s="41" t="str"/>
      <c r="O3604" s="41" t="str"/>
      <c r="P3604" s="41" t="str"/>
      <c r="Q3604" s="41" t="str"/>
      <c r="R3604" s="41" t="str"/>
      <c r="S3604" s="41" t="str"/>
      <c r="T3604" s="41" t="str"/>
      <c r="U3604" s="41" t="str"/>
      <c r="V3604" s="41" t="str"/>
      <c r="W3604" s="41" t="str"/>
    </row>
    <row r="3605">
      <c r="B3605" s="2" t="n"/>
      <c r="C3605" s="40" t="n"/>
      <c r="D3605" s="52">
        <f t="array" ref="D3605:W3605">IF(All_Students_Scores!C3603:V3603="","",All_Students_Scores!C3603:V3603)</f>
        <v/>
      </c>
      <c r="E3605" s="57" t="str"/>
      <c r="F3605" s="49" t="str"/>
      <c r="G3605" s="59" t="str"/>
      <c r="H3605" s="64" t="str"/>
      <c r="I3605" s="65" t="str"/>
      <c r="J3605" s="49" t="str"/>
      <c r="K3605" s="41" t="str"/>
      <c r="L3605" s="41" t="str"/>
      <c r="M3605" s="41" t="str"/>
      <c r="N3605" s="41" t="str"/>
      <c r="O3605" s="41" t="str"/>
      <c r="P3605" s="41" t="str"/>
      <c r="Q3605" s="41" t="str"/>
      <c r="R3605" s="41" t="str"/>
      <c r="S3605" s="41" t="str"/>
      <c r="T3605" s="41" t="str"/>
      <c r="U3605" s="41" t="str"/>
      <c r="V3605" s="41" t="str"/>
      <c r="W3605" s="41" t="str"/>
    </row>
    <row r="3606">
      <c r="B3606" s="2" t="n"/>
      <c r="C3606" s="40" t="n"/>
      <c r="D3606" s="52">
        <f t="array" ref="D3606:W3606">IF(All_Students_Scores!C3604:V3604="","",All_Students_Scores!C3604:V3604)</f>
        <v/>
      </c>
      <c r="E3606" s="57" t="str"/>
      <c r="F3606" s="49" t="str"/>
      <c r="G3606" s="59" t="str"/>
      <c r="H3606" s="64" t="str"/>
      <c r="I3606" s="65" t="str"/>
      <c r="J3606" s="49" t="str"/>
      <c r="K3606" s="41" t="str"/>
      <c r="L3606" s="41" t="str"/>
      <c r="M3606" s="41" t="str"/>
      <c r="N3606" s="41" t="str"/>
      <c r="O3606" s="41" t="str"/>
      <c r="P3606" s="41" t="str"/>
      <c r="Q3606" s="41" t="str"/>
      <c r="R3606" s="41" t="str"/>
      <c r="S3606" s="41" t="str"/>
      <c r="T3606" s="41" t="str"/>
      <c r="U3606" s="41" t="str"/>
      <c r="V3606" s="41" t="str"/>
      <c r="W3606" s="41" t="str"/>
    </row>
    <row r="3607">
      <c r="B3607" s="2" t="n"/>
      <c r="C3607" s="40" t="n"/>
      <c r="D3607" s="52">
        <f t="array" ref="D3607:W3607">IF(All_Students_Scores!C3605:V3605="","",All_Students_Scores!C3605:V3605)</f>
        <v/>
      </c>
      <c r="E3607" s="57" t="str"/>
      <c r="F3607" s="49" t="str"/>
      <c r="G3607" s="59" t="str"/>
      <c r="H3607" s="64" t="str"/>
      <c r="I3607" s="65" t="str"/>
      <c r="J3607" s="49" t="str"/>
      <c r="K3607" s="41" t="str"/>
      <c r="L3607" s="41" t="str"/>
      <c r="M3607" s="41" t="str"/>
      <c r="N3607" s="41" t="str"/>
      <c r="O3607" s="41" t="str"/>
      <c r="P3607" s="41" t="str"/>
      <c r="Q3607" s="41" t="str"/>
      <c r="R3607" s="41" t="str"/>
      <c r="S3607" s="41" t="str"/>
      <c r="T3607" s="41" t="str"/>
      <c r="U3607" s="41" t="str"/>
      <c r="V3607" s="41" t="str"/>
      <c r="W3607" s="41" t="str"/>
    </row>
    <row r="3608">
      <c r="B3608" s="2" t="n"/>
      <c r="C3608" s="40" t="n"/>
      <c r="D3608" s="52">
        <f t="array" ref="D3608:W3608">IF(All_Students_Scores!C3606:V3606="","",All_Students_Scores!C3606:V3606)</f>
        <v/>
      </c>
      <c r="E3608" s="57" t="str"/>
      <c r="F3608" s="49" t="str"/>
      <c r="G3608" s="59" t="str"/>
      <c r="H3608" s="64" t="str"/>
      <c r="I3608" s="65" t="str"/>
      <c r="J3608" s="49" t="str"/>
      <c r="K3608" s="41" t="str"/>
      <c r="L3608" s="41" t="str"/>
      <c r="M3608" s="41" t="str"/>
      <c r="N3608" s="41" t="str"/>
      <c r="O3608" s="41" t="str"/>
      <c r="P3608" s="41" t="str"/>
      <c r="Q3608" s="41" t="str"/>
      <c r="R3608" s="41" t="str"/>
      <c r="S3608" s="41" t="str"/>
      <c r="T3608" s="41" t="str"/>
      <c r="U3608" s="41" t="str"/>
      <c r="V3608" s="41" t="str"/>
      <c r="W3608" s="41" t="str"/>
    </row>
    <row r="3609">
      <c r="B3609" s="2" t="n"/>
      <c r="C3609" s="40" t="n"/>
      <c r="D3609" s="52">
        <f t="array" ref="D3609:W3609">IF(All_Students_Scores!C3607:V3607="","",All_Students_Scores!C3607:V3607)</f>
        <v/>
      </c>
      <c r="E3609" s="57" t="str"/>
      <c r="F3609" s="49" t="str"/>
      <c r="G3609" s="59" t="str"/>
      <c r="H3609" s="64" t="str"/>
      <c r="I3609" s="65" t="str"/>
      <c r="J3609" s="49" t="str"/>
      <c r="K3609" s="41" t="str"/>
      <c r="L3609" s="41" t="str"/>
      <c r="M3609" s="41" t="str"/>
      <c r="N3609" s="41" t="str"/>
      <c r="O3609" s="41" t="str"/>
      <c r="P3609" s="41" t="str"/>
      <c r="Q3609" s="41" t="str"/>
      <c r="R3609" s="41" t="str"/>
      <c r="S3609" s="41" t="str"/>
      <c r="T3609" s="41" t="str"/>
      <c r="U3609" s="41" t="str"/>
      <c r="V3609" s="41" t="str"/>
      <c r="W3609" s="41" t="str"/>
    </row>
    <row r="3610">
      <c r="B3610" s="2" t="n"/>
      <c r="C3610" s="40" t="n"/>
      <c r="D3610" s="52">
        <f t="array" ref="D3610:W3610">IF(All_Students_Scores!C3608:V3608="","",All_Students_Scores!C3608:V3608)</f>
        <v/>
      </c>
      <c r="E3610" s="57" t="str"/>
      <c r="F3610" s="49" t="str"/>
      <c r="G3610" s="59" t="str"/>
      <c r="H3610" s="64" t="str"/>
      <c r="I3610" s="65" t="str"/>
      <c r="J3610" s="49" t="str"/>
      <c r="K3610" s="41" t="str"/>
      <c r="L3610" s="41" t="str"/>
      <c r="M3610" s="41" t="str"/>
      <c r="N3610" s="41" t="str"/>
      <c r="O3610" s="41" t="str"/>
      <c r="P3610" s="41" t="str"/>
      <c r="Q3610" s="41" t="str"/>
      <c r="R3610" s="41" t="str"/>
      <c r="S3610" s="41" t="str"/>
      <c r="T3610" s="41" t="str"/>
      <c r="U3610" s="41" t="str"/>
      <c r="V3610" s="41" t="str"/>
      <c r="W3610" s="41" t="str"/>
    </row>
    <row r="3611">
      <c r="B3611" s="2" t="n"/>
      <c r="C3611" s="40" t="n"/>
      <c r="D3611" s="52">
        <f t="array" ref="D3611:W3611">IF(All_Students_Scores!C3609:V3609="","",All_Students_Scores!C3609:V3609)</f>
        <v/>
      </c>
      <c r="E3611" s="57" t="str"/>
      <c r="F3611" s="49" t="str"/>
      <c r="G3611" s="59" t="str"/>
      <c r="H3611" s="64" t="str"/>
      <c r="I3611" s="65" t="str"/>
      <c r="J3611" s="49" t="str"/>
      <c r="K3611" s="41" t="str"/>
      <c r="L3611" s="41" t="str"/>
      <c r="M3611" s="41" t="str"/>
      <c r="N3611" s="41" t="str"/>
      <c r="O3611" s="41" t="str"/>
      <c r="P3611" s="41" t="str"/>
      <c r="Q3611" s="41" t="str"/>
      <c r="R3611" s="41" t="str"/>
      <c r="S3611" s="41" t="str"/>
      <c r="T3611" s="41" t="str"/>
      <c r="U3611" s="41" t="str"/>
      <c r="V3611" s="41" t="str"/>
      <c r="W3611" s="41" t="str"/>
    </row>
    <row r="3612">
      <c r="B3612" s="2" t="n"/>
      <c r="C3612" s="40" t="n"/>
      <c r="D3612" s="52">
        <f t="array" ref="D3612:W3612">IF(All_Students_Scores!C3610:V3610="","",All_Students_Scores!C3610:V3610)</f>
        <v/>
      </c>
      <c r="E3612" s="57" t="str"/>
      <c r="F3612" s="49" t="str"/>
      <c r="G3612" s="59" t="str"/>
      <c r="H3612" s="64" t="str"/>
      <c r="I3612" s="65" t="str"/>
      <c r="J3612" s="49" t="str"/>
      <c r="K3612" s="41" t="str"/>
      <c r="L3612" s="41" t="str"/>
      <c r="M3612" s="41" t="str"/>
      <c r="N3612" s="41" t="str"/>
      <c r="O3612" s="41" t="str"/>
      <c r="P3612" s="41" t="str"/>
      <c r="Q3612" s="41" t="str"/>
      <c r="R3612" s="41" t="str"/>
      <c r="S3612" s="41" t="str"/>
      <c r="T3612" s="41" t="str"/>
      <c r="U3612" s="41" t="str"/>
      <c r="V3612" s="41" t="str"/>
      <c r="W3612" s="41" t="str"/>
    </row>
    <row r="3613">
      <c r="B3613" s="2" t="n"/>
      <c r="C3613" s="40" t="n"/>
      <c r="D3613" s="52">
        <f t="array" ref="D3613:W3613">IF(All_Students_Scores!C3611:V3611="","",All_Students_Scores!C3611:V3611)</f>
        <v/>
      </c>
      <c r="E3613" s="57" t="str"/>
      <c r="F3613" s="49" t="str"/>
      <c r="G3613" s="59" t="str"/>
      <c r="H3613" s="64" t="str"/>
      <c r="I3613" s="65" t="str"/>
      <c r="J3613" s="49" t="str"/>
      <c r="K3613" s="41" t="str"/>
      <c r="L3613" s="41" t="str"/>
      <c r="M3613" s="41" t="str"/>
      <c r="N3613" s="41" t="str"/>
      <c r="O3613" s="41" t="str"/>
      <c r="P3613" s="41" t="str"/>
      <c r="Q3613" s="41" t="str"/>
      <c r="R3613" s="41" t="str"/>
      <c r="S3613" s="41" t="str"/>
      <c r="T3613" s="41" t="str"/>
      <c r="U3613" s="41" t="str"/>
      <c r="V3613" s="41" t="str"/>
      <c r="W3613" s="41" t="str"/>
    </row>
    <row r="3614">
      <c r="B3614" s="2" t="n"/>
      <c r="C3614" s="40" t="n"/>
      <c r="D3614" s="52">
        <f t="array" ref="D3614:W3614">IF(All_Students_Scores!C3612:V3612="","",All_Students_Scores!C3612:V3612)</f>
        <v/>
      </c>
      <c r="E3614" s="57" t="str"/>
      <c r="F3614" s="49" t="str"/>
      <c r="G3614" s="59" t="str"/>
      <c r="H3614" s="64" t="str"/>
      <c r="I3614" s="65" t="str"/>
      <c r="J3614" s="49" t="str"/>
      <c r="K3614" s="41" t="str"/>
      <c r="L3614" s="41" t="str"/>
      <c r="M3614" s="41" t="str"/>
      <c r="N3614" s="41" t="str"/>
      <c r="O3614" s="41" t="str"/>
      <c r="P3614" s="41" t="str"/>
      <c r="Q3614" s="41" t="str"/>
      <c r="R3614" s="41" t="str"/>
      <c r="S3614" s="41" t="str"/>
      <c r="T3614" s="41" t="str"/>
      <c r="U3614" s="41" t="str"/>
      <c r="V3614" s="41" t="str"/>
      <c r="W3614" s="41" t="str"/>
    </row>
    <row r="3615">
      <c r="B3615" s="2" t="n"/>
      <c r="C3615" s="40" t="n"/>
      <c r="D3615" s="52">
        <f t="array" ref="D3615:W3615">IF(All_Students_Scores!C3613:V3613="","",All_Students_Scores!C3613:V3613)</f>
        <v/>
      </c>
      <c r="E3615" s="57" t="str"/>
      <c r="F3615" s="49" t="str"/>
      <c r="G3615" s="59" t="str"/>
      <c r="H3615" s="64" t="str"/>
      <c r="I3615" s="65" t="str"/>
      <c r="J3615" s="49" t="str"/>
      <c r="K3615" s="41" t="str"/>
      <c r="L3615" s="41" t="str"/>
      <c r="M3615" s="41" t="str"/>
      <c r="N3615" s="41" t="str"/>
      <c r="O3615" s="41" t="str"/>
      <c r="P3615" s="41" t="str"/>
      <c r="Q3615" s="41" t="str"/>
      <c r="R3615" s="41" t="str"/>
      <c r="S3615" s="41" t="str"/>
      <c r="T3615" s="41" t="str"/>
      <c r="U3615" s="41" t="str"/>
      <c r="V3615" s="41" t="str"/>
      <c r="W3615" s="41" t="str"/>
    </row>
    <row r="3616">
      <c r="B3616" s="2" t="n"/>
      <c r="C3616" s="40" t="n"/>
      <c r="D3616" s="52">
        <f t="array" ref="D3616:W3616">IF(All_Students_Scores!C3614:V3614="","",All_Students_Scores!C3614:V3614)</f>
        <v/>
      </c>
      <c r="E3616" s="57" t="str"/>
      <c r="F3616" s="49" t="str"/>
      <c r="G3616" s="59" t="str"/>
      <c r="H3616" s="64" t="str"/>
      <c r="I3616" s="65" t="str"/>
      <c r="J3616" s="49" t="str"/>
      <c r="K3616" s="41" t="str"/>
      <c r="L3616" s="41" t="str"/>
      <c r="M3616" s="41" t="str"/>
      <c r="N3616" s="41" t="str"/>
      <c r="O3616" s="41" t="str"/>
      <c r="P3616" s="41" t="str"/>
      <c r="Q3616" s="41" t="str"/>
      <c r="R3616" s="41" t="str"/>
      <c r="S3616" s="41" t="str"/>
      <c r="T3616" s="41" t="str"/>
      <c r="U3616" s="41" t="str"/>
      <c r="V3616" s="41" t="str"/>
      <c r="W3616" s="41" t="str"/>
    </row>
    <row r="3617">
      <c r="B3617" s="2" t="n"/>
      <c r="C3617" s="40" t="n"/>
      <c r="D3617" s="52">
        <f t="array" ref="D3617:W3617">IF(All_Students_Scores!C3615:V3615="","",All_Students_Scores!C3615:V3615)</f>
        <v/>
      </c>
      <c r="E3617" s="57" t="str"/>
      <c r="F3617" s="49" t="str"/>
      <c r="G3617" s="59" t="str"/>
      <c r="H3617" s="64" t="str"/>
      <c r="I3617" s="65" t="str"/>
      <c r="J3617" s="49" t="str"/>
      <c r="K3617" s="41" t="str"/>
      <c r="L3617" s="41" t="str"/>
      <c r="M3617" s="41" t="str"/>
      <c r="N3617" s="41" t="str"/>
      <c r="O3617" s="41" t="str"/>
      <c r="P3617" s="41" t="str"/>
      <c r="Q3617" s="41" t="str"/>
      <c r="R3617" s="41" t="str"/>
      <c r="S3617" s="41" t="str"/>
      <c r="T3617" s="41" t="str"/>
      <c r="U3617" s="41" t="str"/>
      <c r="V3617" s="41" t="str"/>
      <c r="W3617" s="41" t="str"/>
    </row>
    <row r="3618">
      <c r="B3618" s="2" t="n"/>
      <c r="C3618" s="40" t="n"/>
      <c r="D3618" s="52">
        <f t="array" ref="D3618:W3618">IF(All_Students_Scores!C3616:V3616="","",All_Students_Scores!C3616:V3616)</f>
        <v/>
      </c>
      <c r="E3618" s="57" t="str"/>
      <c r="F3618" s="49" t="str"/>
      <c r="G3618" s="59" t="str"/>
      <c r="H3618" s="64" t="str"/>
      <c r="I3618" s="65" t="str"/>
      <c r="J3618" s="49" t="str"/>
      <c r="K3618" s="41" t="str"/>
      <c r="L3618" s="41" t="str"/>
      <c r="M3618" s="41" t="str"/>
      <c r="N3618" s="41" t="str"/>
      <c r="O3618" s="41" t="str"/>
      <c r="P3618" s="41" t="str"/>
      <c r="Q3618" s="41" t="str"/>
      <c r="R3618" s="41" t="str"/>
      <c r="S3618" s="41" t="str"/>
      <c r="T3618" s="41" t="str"/>
      <c r="U3618" s="41" t="str"/>
      <c r="V3618" s="41" t="str"/>
      <c r="W3618" s="41" t="str"/>
    </row>
    <row r="3619">
      <c r="B3619" s="2" t="n"/>
      <c r="C3619" s="40" t="n"/>
      <c r="D3619" s="52">
        <f t="array" ref="D3619:W3619">IF(All_Students_Scores!C3617:V3617="","",All_Students_Scores!C3617:V3617)</f>
        <v/>
      </c>
      <c r="E3619" s="57" t="str"/>
      <c r="F3619" s="49" t="str"/>
      <c r="G3619" s="59" t="str"/>
      <c r="H3619" s="64" t="str"/>
      <c r="I3619" s="65" t="str"/>
      <c r="J3619" s="49" t="str"/>
      <c r="K3619" s="41" t="str"/>
      <c r="L3619" s="41" t="str"/>
      <c r="M3619" s="41" t="str"/>
      <c r="N3619" s="41" t="str"/>
      <c r="O3619" s="41" t="str"/>
      <c r="P3619" s="41" t="str"/>
      <c r="Q3619" s="41" t="str"/>
      <c r="R3619" s="41" t="str"/>
      <c r="S3619" s="41" t="str"/>
      <c r="T3619" s="41" t="str"/>
      <c r="U3619" s="41" t="str"/>
      <c r="V3619" s="41" t="str"/>
      <c r="W3619" s="41" t="str"/>
    </row>
    <row r="3620">
      <c r="B3620" s="2" t="n"/>
      <c r="C3620" s="40" t="n"/>
      <c r="D3620" s="52">
        <f t="array" ref="D3620:W3620">IF(All_Students_Scores!C3618:V3618="","",All_Students_Scores!C3618:V3618)</f>
        <v/>
      </c>
      <c r="E3620" s="57" t="str"/>
      <c r="F3620" s="49" t="str"/>
      <c r="G3620" s="59" t="str"/>
      <c r="H3620" s="64" t="str"/>
      <c r="I3620" s="65" t="str"/>
      <c r="J3620" s="49" t="str"/>
      <c r="K3620" s="41" t="str"/>
      <c r="L3620" s="41" t="str"/>
      <c r="M3620" s="41" t="str"/>
      <c r="N3620" s="41" t="str"/>
      <c r="O3620" s="41" t="str"/>
      <c r="P3620" s="41" t="str"/>
      <c r="Q3620" s="41" t="str"/>
      <c r="R3620" s="41" t="str"/>
      <c r="S3620" s="41" t="str"/>
      <c r="T3620" s="41" t="str"/>
      <c r="U3620" s="41" t="str"/>
      <c r="V3620" s="41" t="str"/>
      <c r="W3620" s="41" t="str"/>
    </row>
    <row r="3621">
      <c r="B3621" s="2" t="n"/>
      <c r="C3621" s="40" t="n"/>
      <c r="D3621" s="52">
        <f t="array" ref="D3621:W3621">IF(All_Students_Scores!C3619:V3619="","",All_Students_Scores!C3619:V3619)</f>
        <v/>
      </c>
      <c r="E3621" s="57" t="str"/>
      <c r="F3621" s="49" t="str"/>
      <c r="G3621" s="59" t="str"/>
      <c r="H3621" s="64" t="str"/>
      <c r="I3621" s="65" t="str"/>
      <c r="J3621" s="49" t="str"/>
      <c r="K3621" s="41" t="str"/>
      <c r="L3621" s="41" t="str"/>
      <c r="M3621" s="41" t="str"/>
      <c r="N3621" s="41" t="str"/>
      <c r="O3621" s="41" t="str"/>
      <c r="P3621" s="41" t="str"/>
      <c r="Q3621" s="41" t="str"/>
      <c r="R3621" s="41" t="str"/>
      <c r="S3621" s="41" t="str"/>
      <c r="T3621" s="41" t="str"/>
      <c r="U3621" s="41" t="str"/>
      <c r="V3621" s="41" t="str"/>
      <c r="W3621" s="41" t="str"/>
    </row>
    <row r="3622">
      <c r="B3622" s="2" t="n"/>
      <c r="C3622" s="40" t="n"/>
      <c r="D3622" s="52">
        <f t="array" ref="D3622:W3622">IF(All_Students_Scores!C3620:V3620="","",All_Students_Scores!C3620:V3620)</f>
        <v/>
      </c>
      <c r="E3622" s="57" t="str"/>
      <c r="F3622" s="49" t="str"/>
      <c r="G3622" s="59" t="str"/>
      <c r="H3622" s="64" t="str"/>
      <c r="I3622" s="65" t="str"/>
      <c r="J3622" s="49" t="str"/>
      <c r="K3622" s="41" t="str"/>
      <c r="L3622" s="41" t="str"/>
      <c r="M3622" s="41" t="str"/>
      <c r="N3622" s="41" t="str"/>
      <c r="O3622" s="41" t="str"/>
      <c r="P3622" s="41" t="str"/>
      <c r="Q3622" s="41" t="str"/>
      <c r="R3622" s="41" t="str"/>
      <c r="S3622" s="41" t="str"/>
      <c r="T3622" s="41" t="str"/>
      <c r="U3622" s="41" t="str"/>
      <c r="V3622" s="41" t="str"/>
      <c r="W3622" s="41" t="str"/>
    </row>
    <row r="3623">
      <c r="B3623" s="2" t="n"/>
      <c r="C3623" s="40" t="n"/>
      <c r="D3623" s="52">
        <f t="array" ref="D3623:W3623">IF(All_Students_Scores!C3621:V3621="","",All_Students_Scores!C3621:V3621)</f>
        <v/>
      </c>
      <c r="E3623" s="57" t="str"/>
      <c r="F3623" s="49" t="str"/>
      <c r="G3623" s="59" t="str"/>
      <c r="H3623" s="64" t="str"/>
      <c r="I3623" s="65" t="str"/>
      <c r="J3623" s="49" t="str"/>
      <c r="K3623" s="41" t="str"/>
      <c r="L3623" s="41" t="str"/>
      <c r="M3623" s="41" t="str"/>
      <c r="N3623" s="41" t="str"/>
      <c r="O3623" s="41" t="str"/>
      <c r="P3623" s="41" t="str"/>
      <c r="Q3623" s="41" t="str"/>
      <c r="R3623" s="41" t="str"/>
      <c r="S3623" s="41" t="str"/>
      <c r="T3623" s="41" t="str"/>
      <c r="U3623" s="41" t="str"/>
      <c r="V3623" s="41" t="str"/>
      <c r="W3623" s="41" t="str"/>
    </row>
    <row r="3624">
      <c r="B3624" s="2" t="n"/>
      <c r="C3624" s="40" t="n"/>
      <c r="D3624" s="52">
        <f t="array" ref="D3624:W3624">IF(All_Students_Scores!C3622:V3622="","",All_Students_Scores!C3622:V3622)</f>
        <v/>
      </c>
      <c r="E3624" s="57" t="str"/>
      <c r="F3624" s="49" t="str"/>
      <c r="G3624" s="59" t="str"/>
      <c r="H3624" s="64" t="str"/>
      <c r="I3624" s="65" t="str"/>
      <c r="J3624" s="49" t="str"/>
      <c r="K3624" s="41" t="str"/>
      <c r="L3624" s="41" t="str"/>
      <c r="M3624" s="41" t="str"/>
      <c r="N3624" s="41" t="str"/>
      <c r="O3624" s="41" t="str"/>
      <c r="P3624" s="41" t="str"/>
      <c r="Q3624" s="41" t="str"/>
      <c r="R3624" s="41" t="str"/>
      <c r="S3624" s="41" t="str"/>
      <c r="T3624" s="41" t="str"/>
      <c r="U3624" s="41" t="str"/>
      <c r="V3624" s="41" t="str"/>
      <c r="W3624" s="41" t="str"/>
    </row>
    <row r="3625">
      <c r="B3625" s="2" t="n"/>
      <c r="C3625" s="40" t="n"/>
      <c r="D3625" s="52">
        <f t="array" ref="D3625:W3625">IF(All_Students_Scores!C3623:V3623="","",All_Students_Scores!C3623:V3623)</f>
        <v/>
      </c>
      <c r="E3625" s="57" t="str"/>
      <c r="F3625" s="49" t="str"/>
      <c r="G3625" s="59" t="str"/>
      <c r="H3625" s="64" t="str"/>
      <c r="I3625" s="65" t="str"/>
      <c r="J3625" s="49" t="str"/>
      <c r="K3625" s="41" t="str"/>
      <c r="L3625" s="41" t="str"/>
      <c r="M3625" s="41" t="str"/>
      <c r="N3625" s="41" t="str"/>
      <c r="O3625" s="41" t="str"/>
      <c r="P3625" s="41" t="str"/>
      <c r="Q3625" s="41" t="str"/>
      <c r="R3625" s="41" t="str"/>
      <c r="S3625" s="41" t="str"/>
      <c r="T3625" s="41" t="str"/>
      <c r="U3625" s="41" t="str"/>
      <c r="V3625" s="41" t="str"/>
      <c r="W3625" s="41" t="str"/>
    </row>
    <row r="3626">
      <c r="B3626" s="2" t="n"/>
      <c r="C3626" s="40" t="n"/>
      <c r="D3626" s="52">
        <f t="array" ref="D3626:W3626">IF(All_Students_Scores!C3624:V3624="","",All_Students_Scores!C3624:V3624)</f>
        <v/>
      </c>
      <c r="E3626" s="57" t="str"/>
      <c r="F3626" s="49" t="str"/>
      <c r="G3626" s="59" t="str"/>
      <c r="H3626" s="64" t="str"/>
      <c r="I3626" s="65" t="str"/>
      <c r="J3626" s="49" t="str"/>
      <c r="K3626" s="41" t="str"/>
      <c r="L3626" s="41" t="str"/>
      <c r="M3626" s="41" t="str"/>
      <c r="N3626" s="41" t="str"/>
      <c r="O3626" s="41" t="str"/>
      <c r="P3626" s="41" t="str"/>
      <c r="Q3626" s="41" t="str"/>
      <c r="R3626" s="41" t="str"/>
      <c r="S3626" s="41" t="str"/>
      <c r="T3626" s="41" t="str"/>
      <c r="U3626" s="41" t="str"/>
      <c r="V3626" s="41" t="str"/>
      <c r="W3626" s="41" t="str"/>
    </row>
    <row r="3627">
      <c r="B3627" s="2" t="n"/>
      <c r="C3627" s="40" t="n"/>
      <c r="D3627" s="52">
        <f t="array" ref="D3627:W3627">IF(All_Students_Scores!C3625:V3625="","",All_Students_Scores!C3625:V3625)</f>
        <v/>
      </c>
      <c r="E3627" s="57" t="str"/>
      <c r="F3627" s="49" t="str"/>
      <c r="G3627" s="59" t="str"/>
      <c r="H3627" s="64" t="str"/>
      <c r="I3627" s="65" t="str"/>
      <c r="J3627" s="49" t="str"/>
      <c r="K3627" s="41" t="str"/>
      <c r="L3627" s="41" t="str"/>
      <c r="M3627" s="41" t="str"/>
      <c r="N3627" s="41" t="str"/>
      <c r="O3627" s="41" t="str"/>
      <c r="P3627" s="41" t="str"/>
      <c r="Q3627" s="41" t="str"/>
      <c r="R3627" s="41" t="str"/>
      <c r="S3627" s="41" t="str"/>
      <c r="T3627" s="41" t="str"/>
      <c r="U3627" s="41" t="str"/>
      <c r="V3627" s="41" t="str"/>
      <c r="W3627" s="41" t="str"/>
    </row>
    <row r="3628">
      <c r="B3628" s="2" t="n"/>
      <c r="C3628" s="40" t="n"/>
      <c r="D3628" s="52">
        <f t="array" ref="D3628:W3628">IF(All_Students_Scores!C3626:V3626="","",All_Students_Scores!C3626:V3626)</f>
        <v/>
      </c>
      <c r="E3628" s="57" t="str"/>
      <c r="F3628" s="49" t="str"/>
      <c r="G3628" s="59" t="str"/>
      <c r="H3628" s="64" t="str"/>
      <c r="I3628" s="65" t="str"/>
      <c r="J3628" s="49" t="str"/>
      <c r="K3628" s="41" t="str"/>
      <c r="L3628" s="41" t="str"/>
      <c r="M3628" s="41" t="str"/>
      <c r="N3628" s="41" t="str"/>
      <c r="O3628" s="41" t="str"/>
      <c r="P3628" s="41" t="str"/>
      <c r="Q3628" s="41" t="str"/>
      <c r="R3628" s="41" t="str"/>
      <c r="S3628" s="41" t="str"/>
      <c r="T3628" s="41" t="str"/>
      <c r="U3628" s="41" t="str"/>
      <c r="V3628" s="41" t="str"/>
      <c r="W3628" s="41" t="str"/>
    </row>
    <row r="3629">
      <c r="B3629" s="2" t="n"/>
      <c r="C3629" s="40" t="n"/>
      <c r="D3629" s="52">
        <f t="array" ref="D3629:W3629">IF(All_Students_Scores!C3627:V3627="","",All_Students_Scores!C3627:V3627)</f>
        <v/>
      </c>
      <c r="E3629" s="57" t="str"/>
      <c r="F3629" s="49" t="str"/>
      <c r="G3629" s="59" t="str"/>
      <c r="H3629" s="64" t="str"/>
      <c r="I3629" s="65" t="str"/>
      <c r="J3629" s="49" t="str"/>
      <c r="K3629" s="41" t="str"/>
      <c r="L3629" s="41" t="str"/>
      <c r="M3629" s="41" t="str"/>
      <c r="N3629" s="41" t="str"/>
      <c r="O3629" s="41" t="str"/>
      <c r="P3629" s="41" t="str"/>
      <c r="Q3629" s="41" t="str"/>
      <c r="R3629" s="41" t="str"/>
      <c r="S3629" s="41" t="str"/>
      <c r="T3629" s="41" t="str"/>
      <c r="U3629" s="41" t="str"/>
      <c r="V3629" s="41" t="str"/>
      <c r="W3629" s="41" t="str"/>
    </row>
    <row r="3630">
      <c r="B3630" s="2" t="n"/>
      <c r="C3630" s="40" t="n"/>
      <c r="D3630" s="52">
        <f t="array" ref="D3630:W3630">IF(All_Students_Scores!C3628:V3628="","",All_Students_Scores!C3628:V3628)</f>
        <v/>
      </c>
      <c r="E3630" s="57" t="str"/>
      <c r="F3630" s="49" t="str"/>
      <c r="G3630" s="59" t="str"/>
      <c r="H3630" s="64" t="str"/>
      <c r="I3630" s="65" t="str"/>
      <c r="J3630" s="49" t="str"/>
      <c r="K3630" s="41" t="str"/>
      <c r="L3630" s="41" t="str"/>
      <c r="M3630" s="41" t="str"/>
      <c r="N3630" s="41" t="str"/>
      <c r="O3630" s="41" t="str"/>
      <c r="P3630" s="41" t="str"/>
      <c r="Q3630" s="41" t="str"/>
      <c r="R3630" s="41" t="str"/>
      <c r="S3630" s="41" t="str"/>
      <c r="T3630" s="41" t="str"/>
      <c r="U3630" s="41" t="str"/>
      <c r="V3630" s="41" t="str"/>
      <c r="W3630" s="41" t="str"/>
    </row>
    <row r="3631">
      <c r="B3631" s="2" t="n"/>
      <c r="C3631" s="40" t="n"/>
      <c r="D3631" s="52">
        <f t="array" ref="D3631:W3631">IF(All_Students_Scores!C3629:V3629="","",All_Students_Scores!C3629:V3629)</f>
        <v/>
      </c>
      <c r="E3631" s="57" t="str"/>
      <c r="F3631" s="49" t="str"/>
      <c r="G3631" s="59" t="str"/>
      <c r="H3631" s="64" t="str"/>
      <c r="I3631" s="65" t="str"/>
      <c r="J3631" s="49" t="str"/>
      <c r="K3631" s="41" t="str"/>
      <c r="L3631" s="41" t="str"/>
      <c r="M3631" s="41" t="str"/>
      <c r="N3631" s="41" t="str"/>
      <c r="O3631" s="41" t="str"/>
      <c r="P3631" s="41" t="str"/>
      <c r="Q3631" s="41" t="str"/>
      <c r="R3631" s="41" t="str"/>
      <c r="S3631" s="41" t="str"/>
      <c r="T3631" s="41" t="str"/>
      <c r="U3631" s="41" t="str"/>
      <c r="V3631" s="41" t="str"/>
      <c r="W3631" s="41" t="str"/>
    </row>
    <row r="3632">
      <c r="B3632" s="2" t="n"/>
      <c r="C3632" s="40" t="n"/>
      <c r="D3632" s="52">
        <f t="array" ref="D3632:W3632">IF(All_Students_Scores!C3630:V3630="","",All_Students_Scores!C3630:V3630)</f>
        <v/>
      </c>
      <c r="E3632" s="57" t="str"/>
      <c r="F3632" s="49" t="str"/>
      <c r="G3632" s="59" t="str"/>
      <c r="H3632" s="64" t="str"/>
      <c r="I3632" s="65" t="str"/>
      <c r="J3632" s="49" t="str"/>
      <c r="K3632" s="41" t="str"/>
      <c r="L3632" s="41" t="str"/>
      <c r="M3632" s="41" t="str"/>
      <c r="N3632" s="41" t="str"/>
      <c r="O3632" s="41" t="str"/>
      <c r="P3632" s="41" t="str"/>
      <c r="Q3632" s="41" t="str"/>
      <c r="R3632" s="41" t="str"/>
      <c r="S3632" s="41" t="str"/>
      <c r="T3632" s="41" t="str"/>
      <c r="U3632" s="41" t="str"/>
      <c r="V3632" s="41" t="str"/>
      <c r="W3632" s="41" t="str"/>
    </row>
    <row r="3633">
      <c r="B3633" s="2" t="n"/>
      <c r="C3633" s="40" t="n"/>
      <c r="D3633" s="52">
        <f t="array" ref="D3633:W3633">IF(All_Students_Scores!C3631:V3631="","",All_Students_Scores!C3631:V3631)</f>
        <v/>
      </c>
      <c r="E3633" s="57" t="str"/>
      <c r="F3633" s="49" t="str"/>
      <c r="G3633" s="59" t="str"/>
      <c r="H3633" s="64" t="str"/>
      <c r="I3633" s="65" t="str"/>
      <c r="J3633" s="49" t="str"/>
      <c r="K3633" s="41" t="str"/>
      <c r="L3633" s="41" t="str"/>
      <c r="M3633" s="41" t="str"/>
      <c r="N3633" s="41" t="str"/>
      <c r="O3633" s="41" t="str"/>
      <c r="P3633" s="41" t="str"/>
      <c r="Q3633" s="41" t="str"/>
      <c r="R3633" s="41" t="str"/>
      <c r="S3633" s="41" t="str"/>
      <c r="T3633" s="41" t="str"/>
      <c r="U3633" s="41" t="str"/>
      <c r="V3633" s="41" t="str"/>
      <c r="W3633" s="41" t="str"/>
    </row>
    <row r="3634">
      <c r="B3634" s="2" t="n"/>
      <c r="C3634" s="40" t="n"/>
      <c r="D3634" s="52">
        <f t="array" ref="D3634:W3634">IF(All_Students_Scores!C3632:V3632="","",All_Students_Scores!C3632:V3632)</f>
        <v/>
      </c>
      <c r="E3634" s="57" t="str"/>
      <c r="F3634" s="49" t="str"/>
      <c r="G3634" s="59" t="str"/>
      <c r="H3634" s="64" t="str"/>
      <c r="I3634" s="65" t="str"/>
      <c r="J3634" s="49" t="str"/>
      <c r="K3634" s="41" t="str"/>
      <c r="L3634" s="41" t="str"/>
      <c r="M3634" s="41" t="str"/>
      <c r="N3634" s="41" t="str"/>
      <c r="O3634" s="41" t="str"/>
      <c r="P3634" s="41" t="str"/>
      <c r="Q3634" s="41" t="str"/>
      <c r="R3634" s="41" t="str"/>
      <c r="S3634" s="41" t="str"/>
      <c r="T3634" s="41" t="str"/>
      <c r="U3634" s="41" t="str"/>
      <c r="V3634" s="41" t="str"/>
      <c r="W3634" s="41" t="str"/>
    </row>
    <row r="3635">
      <c r="B3635" s="2" t="n"/>
      <c r="C3635" s="40" t="n"/>
      <c r="D3635" s="52">
        <f t="array" ref="D3635:W3635">IF(All_Students_Scores!C3633:V3633="","",All_Students_Scores!C3633:V3633)</f>
        <v/>
      </c>
      <c r="E3635" s="57" t="str"/>
      <c r="F3635" s="49" t="str"/>
      <c r="G3635" s="59" t="str"/>
      <c r="H3635" s="64" t="str"/>
      <c r="I3635" s="65" t="str"/>
      <c r="J3635" s="49" t="str"/>
      <c r="K3635" s="41" t="str"/>
      <c r="L3635" s="41" t="str"/>
      <c r="M3635" s="41" t="str"/>
      <c r="N3635" s="41" t="str"/>
      <c r="O3635" s="41" t="str"/>
      <c r="P3635" s="41" t="str"/>
      <c r="Q3635" s="41" t="str"/>
      <c r="R3635" s="41" t="str"/>
      <c r="S3635" s="41" t="str"/>
      <c r="T3635" s="41" t="str"/>
      <c r="U3635" s="41" t="str"/>
      <c r="V3635" s="41" t="str"/>
      <c r="W3635" s="41" t="str"/>
    </row>
    <row r="3636">
      <c r="B3636" s="2" t="n"/>
      <c r="C3636" s="40" t="n"/>
      <c r="D3636" s="52">
        <f t="array" ref="D3636:W3636">IF(All_Students_Scores!C3634:V3634="","",All_Students_Scores!C3634:V3634)</f>
        <v/>
      </c>
      <c r="E3636" s="57" t="str"/>
      <c r="F3636" s="49" t="str"/>
      <c r="G3636" s="59" t="str"/>
      <c r="H3636" s="64" t="str"/>
      <c r="I3636" s="65" t="str"/>
      <c r="J3636" s="49" t="str"/>
      <c r="K3636" s="41" t="str"/>
      <c r="L3636" s="41" t="str"/>
      <c r="M3636" s="41" t="str"/>
      <c r="N3636" s="41" t="str"/>
      <c r="O3636" s="41" t="str"/>
      <c r="P3636" s="41" t="str"/>
      <c r="Q3636" s="41" t="str"/>
      <c r="R3636" s="41" t="str"/>
      <c r="S3636" s="41" t="str"/>
      <c r="T3636" s="41" t="str"/>
      <c r="U3636" s="41" t="str"/>
      <c r="V3636" s="41" t="str"/>
      <c r="W3636" s="41" t="str"/>
    </row>
    <row r="3637">
      <c r="B3637" s="2" t="n"/>
      <c r="C3637" s="40" t="n"/>
      <c r="D3637" s="52">
        <f t="array" ref="D3637:W3637">IF(All_Students_Scores!C3635:V3635="","",All_Students_Scores!C3635:V3635)</f>
        <v/>
      </c>
      <c r="E3637" s="57" t="str"/>
      <c r="F3637" s="49" t="str"/>
      <c r="G3637" s="59" t="str"/>
      <c r="H3637" s="64" t="str"/>
      <c r="I3637" s="65" t="str"/>
      <c r="J3637" s="49" t="str"/>
      <c r="K3637" s="41" t="str"/>
      <c r="L3637" s="41" t="str"/>
      <c r="M3637" s="41" t="str"/>
      <c r="N3637" s="41" t="str"/>
      <c r="O3637" s="41" t="str"/>
      <c r="P3637" s="41" t="str"/>
      <c r="Q3637" s="41" t="str"/>
      <c r="R3637" s="41" t="str"/>
      <c r="S3637" s="41" t="str"/>
      <c r="T3637" s="41" t="str"/>
      <c r="U3637" s="41" t="str"/>
      <c r="V3637" s="41" t="str"/>
      <c r="W3637" s="41" t="str"/>
    </row>
    <row r="3638">
      <c r="B3638" s="2" t="n"/>
      <c r="C3638" s="40" t="n"/>
      <c r="D3638" s="52">
        <f t="array" ref="D3638:W3638">IF(All_Students_Scores!C3636:V3636="","",All_Students_Scores!C3636:V3636)</f>
        <v/>
      </c>
      <c r="E3638" s="57" t="str"/>
      <c r="F3638" s="49" t="str"/>
      <c r="G3638" s="59" t="str"/>
      <c r="H3638" s="64" t="str"/>
      <c r="I3638" s="65" t="str"/>
      <c r="J3638" s="49" t="str"/>
      <c r="K3638" s="41" t="str"/>
      <c r="L3638" s="41" t="str"/>
      <c r="M3638" s="41" t="str"/>
      <c r="N3638" s="41" t="str"/>
      <c r="O3638" s="41" t="str"/>
      <c r="P3638" s="41" t="str"/>
      <c r="Q3638" s="41" t="str"/>
      <c r="R3638" s="41" t="str"/>
      <c r="S3638" s="41" t="str"/>
      <c r="T3638" s="41" t="str"/>
      <c r="U3638" s="41" t="str"/>
      <c r="V3638" s="41" t="str"/>
      <c r="W3638" s="41" t="str"/>
    </row>
    <row r="3639">
      <c r="B3639" s="2" t="n"/>
      <c r="C3639" s="40" t="n"/>
      <c r="D3639" s="52">
        <f t="array" ref="D3639:W3639">IF(All_Students_Scores!C3637:V3637="","",All_Students_Scores!C3637:V3637)</f>
        <v/>
      </c>
      <c r="E3639" s="57" t="str"/>
      <c r="F3639" s="49" t="str"/>
      <c r="G3639" s="59" t="str"/>
      <c r="H3639" s="64" t="str"/>
      <c r="I3639" s="65" t="str"/>
      <c r="J3639" s="49" t="str"/>
      <c r="K3639" s="41" t="str"/>
      <c r="L3639" s="41" t="str"/>
      <c r="M3639" s="41" t="str"/>
      <c r="N3639" s="41" t="str"/>
      <c r="O3639" s="41" t="str"/>
      <c r="P3639" s="41" t="str"/>
      <c r="Q3639" s="41" t="str"/>
      <c r="R3639" s="41" t="str"/>
      <c r="S3639" s="41" t="str"/>
      <c r="T3639" s="41" t="str"/>
      <c r="U3639" s="41" t="str"/>
      <c r="V3639" s="41" t="str"/>
      <c r="W3639" s="41" t="str"/>
    </row>
    <row r="3640">
      <c r="B3640" s="2" t="n"/>
      <c r="C3640" s="40" t="n"/>
      <c r="D3640" s="52">
        <f t="array" ref="D3640:W3640">IF(All_Students_Scores!C3638:V3638="","",All_Students_Scores!C3638:V3638)</f>
        <v/>
      </c>
      <c r="E3640" s="57" t="str"/>
      <c r="F3640" s="49" t="str"/>
      <c r="G3640" s="59" t="str"/>
      <c r="H3640" s="64" t="str"/>
      <c r="I3640" s="65" t="str"/>
      <c r="J3640" s="49" t="str"/>
      <c r="K3640" s="41" t="str"/>
      <c r="L3640" s="41" t="str"/>
      <c r="M3640" s="41" t="str"/>
      <c r="N3640" s="41" t="str"/>
      <c r="O3640" s="41" t="str"/>
      <c r="P3640" s="41" t="str"/>
      <c r="Q3640" s="41" t="str"/>
      <c r="R3640" s="41" t="str"/>
      <c r="S3640" s="41" t="str"/>
      <c r="T3640" s="41" t="str"/>
      <c r="U3640" s="41" t="str"/>
      <c r="V3640" s="41" t="str"/>
      <c r="W3640" s="41" t="str"/>
    </row>
    <row r="3641">
      <c r="B3641" s="2" t="n"/>
      <c r="C3641" s="40" t="n"/>
      <c r="D3641" s="52">
        <f t="array" ref="D3641:W3641">IF(All_Students_Scores!C3639:V3639="","",All_Students_Scores!C3639:V3639)</f>
        <v/>
      </c>
      <c r="E3641" s="57" t="str"/>
      <c r="F3641" s="49" t="str"/>
      <c r="G3641" s="59" t="str"/>
      <c r="H3641" s="64" t="str"/>
      <c r="I3641" s="65" t="str"/>
      <c r="J3641" s="49" t="str"/>
      <c r="K3641" s="41" t="str"/>
      <c r="L3641" s="41" t="str"/>
      <c r="M3641" s="41" t="str"/>
      <c r="N3641" s="41" t="str"/>
      <c r="O3641" s="41" t="str"/>
      <c r="P3641" s="41" t="str"/>
      <c r="Q3641" s="41" t="str"/>
      <c r="R3641" s="41" t="str"/>
      <c r="S3641" s="41" t="str"/>
      <c r="T3641" s="41" t="str"/>
      <c r="U3641" s="41" t="str"/>
      <c r="V3641" s="41" t="str"/>
      <c r="W3641" s="41" t="str"/>
    </row>
    <row r="3642">
      <c r="B3642" s="2" t="n"/>
      <c r="C3642" s="40" t="n"/>
      <c r="D3642" s="52">
        <f t="array" ref="D3642:W3642">IF(All_Students_Scores!C3640:V3640="","",All_Students_Scores!C3640:V3640)</f>
        <v/>
      </c>
      <c r="E3642" s="57" t="str"/>
      <c r="F3642" s="49" t="str"/>
      <c r="G3642" s="59" t="str"/>
      <c r="H3642" s="64" t="str"/>
      <c r="I3642" s="65" t="str"/>
      <c r="J3642" s="49" t="str"/>
      <c r="K3642" s="41" t="str"/>
      <c r="L3642" s="41" t="str"/>
      <c r="M3642" s="41" t="str"/>
      <c r="N3642" s="41" t="str"/>
      <c r="O3642" s="41" t="str"/>
      <c r="P3642" s="41" t="str"/>
      <c r="Q3642" s="41" t="str"/>
      <c r="R3642" s="41" t="str"/>
      <c r="S3642" s="41" t="str"/>
      <c r="T3642" s="41" t="str"/>
      <c r="U3642" s="41" t="str"/>
      <c r="V3642" s="41" t="str"/>
      <c r="W3642" s="41" t="str"/>
    </row>
    <row r="3643">
      <c r="B3643" s="2" t="n"/>
      <c r="C3643" s="40" t="n"/>
      <c r="D3643" s="52">
        <f t="array" ref="D3643:W3643">IF(All_Students_Scores!C3641:V3641="","",All_Students_Scores!C3641:V3641)</f>
        <v/>
      </c>
      <c r="E3643" s="57" t="str"/>
      <c r="F3643" s="49" t="str"/>
      <c r="G3643" s="59" t="str"/>
      <c r="H3643" s="64" t="str"/>
      <c r="I3643" s="65" t="str"/>
      <c r="J3643" s="49" t="str"/>
      <c r="K3643" s="41" t="str"/>
      <c r="L3643" s="41" t="str"/>
      <c r="M3643" s="41" t="str"/>
      <c r="N3643" s="41" t="str"/>
      <c r="O3643" s="41" t="str"/>
      <c r="P3643" s="41" t="str"/>
      <c r="Q3643" s="41" t="str"/>
      <c r="R3643" s="41" t="str"/>
      <c r="S3643" s="41" t="str"/>
      <c r="T3643" s="41" t="str"/>
      <c r="U3643" s="41" t="str"/>
      <c r="V3643" s="41" t="str"/>
      <c r="W3643" s="41" t="str"/>
    </row>
    <row r="3644">
      <c r="B3644" s="2" t="n"/>
      <c r="C3644" s="40" t="n"/>
      <c r="D3644" s="52">
        <f t="array" ref="D3644:W3644">IF(All_Students_Scores!C3642:V3642="","",All_Students_Scores!C3642:V3642)</f>
        <v/>
      </c>
      <c r="E3644" s="57" t="str"/>
      <c r="F3644" s="49" t="str"/>
      <c r="G3644" s="59" t="str"/>
      <c r="H3644" s="64" t="str"/>
      <c r="I3644" s="65" t="str"/>
      <c r="J3644" s="49" t="str"/>
      <c r="K3644" s="41" t="str"/>
      <c r="L3644" s="41" t="str"/>
      <c r="M3644" s="41" t="str"/>
      <c r="N3644" s="41" t="str"/>
      <c r="O3644" s="41" t="str"/>
      <c r="P3644" s="41" t="str"/>
      <c r="Q3644" s="41" t="str"/>
      <c r="R3644" s="41" t="str"/>
      <c r="S3644" s="41" t="str"/>
      <c r="T3644" s="41" t="str"/>
      <c r="U3644" s="41" t="str"/>
      <c r="V3644" s="41" t="str"/>
      <c r="W3644" s="41" t="str"/>
    </row>
    <row r="3645">
      <c r="B3645" s="2" t="n"/>
      <c r="C3645" s="40" t="n"/>
      <c r="D3645" s="52">
        <f t="array" ref="D3645:W3645">IF(All_Students_Scores!C3643:V3643="","",All_Students_Scores!C3643:V3643)</f>
        <v/>
      </c>
      <c r="E3645" s="57" t="str"/>
      <c r="F3645" s="49" t="str"/>
      <c r="G3645" s="59" t="str"/>
      <c r="H3645" s="64" t="str"/>
      <c r="I3645" s="65" t="str"/>
      <c r="J3645" s="49" t="str"/>
      <c r="K3645" s="41" t="str"/>
      <c r="L3645" s="41" t="str"/>
      <c r="M3645" s="41" t="str"/>
      <c r="N3645" s="41" t="str"/>
      <c r="O3645" s="41" t="str"/>
      <c r="P3645" s="41" t="str"/>
      <c r="Q3645" s="41" t="str"/>
      <c r="R3645" s="41" t="str"/>
      <c r="S3645" s="41" t="str"/>
      <c r="T3645" s="41" t="str"/>
      <c r="U3645" s="41" t="str"/>
      <c r="V3645" s="41" t="str"/>
      <c r="W3645" s="41" t="str"/>
    </row>
    <row r="3646">
      <c r="B3646" s="2" t="n"/>
      <c r="C3646" s="40" t="n"/>
      <c r="D3646" s="52">
        <f t="array" ref="D3646:W3646">IF(All_Students_Scores!C3644:V3644="","",All_Students_Scores!C3644:V3644)</f>
        <v/>
      </c>
      <c r="E3646" s="57" t="str"/>
      <c r="F3646" s="49" t="str"/>
      <c r="G3646" s="59" t="str"/>
      <c r="H3646" s="64" t="str"/>
      <c r="I3646" s="65" t="str"/>
      <c r="J3646" s="49" t="str"/>
      <c r="K3646" s="41" t="str"/>
      <c r="L3646" s="41" t="str"/>
      <c r="M3646" s="41" t="str"/>
      <c r="N3646" s="41" t="str"/>
      <c r="O3646" s="41" t="str"/>
      <c r="P3646" s="41" t="str"/>
      <c r="Q3646" s="41" t="str"/>
      <c r="R3646" s="41" t="str"/>
      <c r="S3646" s="41" t="str"/>
      <c r="T3646" s="41" t="str"/>
      <c r="U3646" s="41" t="str"/>
      <c r="V3646" s="41" t="str"/>
      <c r="W3646" s="41" t="str"/>
    </row>
    <row r="3647">
      <c r="B3647" s="2" t="n"/>
      <c r="C3647" s="40" t="n"/>
      <c r="D3647" s="52">
        <f t="array" ref="D3647:W3647">IF(All_Students_Scores!C3645:V3645="","",All_Students_Scores!C3645:V3645)</f>
        <v/>
      </c>
      <c r="E3647" s="57" t="str"/>
      <c r="F3647" s="49" t="str"/>
      <c r="G3647" s="59" t="str"/>
      <c r="H3647" s="64" t="str"/>
      <c r="I3647" s="65" t="str"/>
      <c r="J3647" s="49" t="str"/>
      <c r="K3647" s="41" t="str"/>
      <c r="L3647" s="41" t="str"/>
      <c r="M3647" s="41" t="str"/>
      <c r="N3647" s="41" t="str"/>
      <c r="O3647" s="41" t="str"/>
      <c r="P3647" s="41" t="str"/>
      <c r="Q3647" s="41" t="str"/>
      <c r="R3647" s="41" t="str"/>
      <c r="S3647" s="41" t="str"/>
      <c r="T3647" s="41" t="str"/>
      <c r="U3647" s="41" t="str"/>
      <c r="V3647" s="41" t="str"/>
      <c r="W3647" s="41" t="str"/>
    </row>
    <row r="3648">
      <c r="B3648" s="2" t="n"/>
      <c r="C3648" s="40" t="n"/>
      <c r="D3648" s="52">
        <f t="array" ref="D3648:W3648">IF(All_Students_Scores!C3646:V3646="","",All_Students_Scores!C3646:V3646)</f>
        <v/>
      </c>
      <c r="E3648" s="57" t="str"/>
      <c r="F3648" s="49" t="str"/>
      <c r="G3648" s="59" t="str"/>
      <c r="H3648" s="64" t="str"/>
      <c r="I3648" s="65" t="str"/>
      <c r="J3648" s="49" t="str"/>
      <c r="K3648" s="41" t="str"/>
      <c r="L3648" s="41" t="str"/>
      <c r="M3648" s="41" t="str"/>
      <c r="N3648" s="41" t="str"/>
      <c r="O3648" s="41" t="str"/>
      <c r="P3648" s="41" t="str"/>
      <c r="Q3648" s="41" t="str"/>
      <c r="R3648" s="41" t="str"/>
      <c r="S3648" s="41" t="str"/>
      <c r="T3648" s="41" t="str"/>
      <c r="U3648" s="41" t="str"/>
      <c r="V3648" s="41" t="str"/>
      <c r="W3648" s="41" t="str"/>
    </row>
    <row r="3649">
      <c r="B3649" s="2" t="n"/>
      <c r="C3649" s="40" t="n"/>
      <c r="D3649" s="52">
        <f t="array" ref="D3649:W3649">IF(All_Students_Scores!C3647:V3647="","",All_Students_Scores!C3647:V3647)</f>
        <v/>
      </c>
      <c r="E3649" s="57" t="str"/>
      <c r="F3649" s="49" t="str"/>
      <c r="G3649" s="59" t="str"/>
      <c r="H3649" s="64" t="str"/>
      <c r="I3649" s="65" t="str"/>
      <c r="J3649" s="49" t="str"/>
      <c r="K3649" s="41" t="str"/>
      <c r="L3649" s="41" t="str"/>
      <c r="M3649" s="41" t="str"/>
      <c r="N3649" s="41" t="str"/>
      <c r="O3649" s="41" t="str"/>
      <c r="P3649" s="41" t="str"/>
      <c r="Q3649" s="41" t="str"/>
      <c r="R3649" s="41" t="str"/>
      <c r="S3649" s="41" t="str"/>
      <c r="T3649" s="41" t="str"/>
      <c r="U3649" s="41" t="str"/>
      <c r="V3649" s="41" t="str"/>
      <c r="W3649" s="41" t="str"/>
    </row>
    <row r="3650">
      <c r="B3650" s="2" t="n"/>
      <c r="C3650" s="40" t="n"/>
      <c r="D3650" s="52">
        <f t="array" ref="D3650:W3650">IF(All_Students_Scores!C3648:V3648="","",All_Students_Scores!C3648:V3648)</f>
        <v/>
      </c>
      <c r="E3650" s="57" t="str"/>
      <c r="F3650" s="49" t="str"/>
      <c r="G3650" s="59" t="str"/>
      <c r="H3650" s="64" t="str"/>
      <c r="I3650" s="65" t="str"/>
      <c r="J3650" s="49" t="str"/>
      <c r="K3650" s="41" t="str"/>
      <c r="L3650" s="41" t="str"/>
      <c r="M3650" s="41" t="str"/>
      <c r="N3650" s="41" t="str"/>
      <c r="O3650" s="41" t="str"/>
      <c r="P3650" s="41" t="str"/>
      <c r="Q3650" s="41" t="str"/>
      <c r="R3650" s="41" t="str"/>
      <c r="S3650" s="41" t="str"/>
      <c r="T3650" s="41" t="str"/>
      <c r="U3650" s="41" t="str"/>
      <c r="V3650" s="41" t="str"/>
      <c r="W3650" s="41" t="str"/>
    </row>
    <row r="3651">
      <c r="B3651" s="2" t="n"/>
      <c r="C3651" s="40" t="n"/>
      <c r="D3651" s="52">
        <f t="array" ref="D3651:W3651">IF(All_Students_Scores!C3649:V3649="","",All_Students_Scores!C3649:V3649)</f>
        <v/>
      </c>
      <c r="E3651" s="57" t="str"/>
      <c r="F3651" s="49" t="str"/>
      <c r="G3651" s="59" t="str"/>
      <c r="H3651" s="64" t="str"/>
      <c r="I3651" s="65" t="str"/>
      <c r="J3651" s="49" t="str"/>
      <c r="K3651" s="41" t="str"/>
      <c r="L3651" s="41" t="str"/>
      <c r="M3651" s="41" t="str"/>
      <c r="N3651" s="41" t="str"/>
      <c r="O3651" s="41" t="str"/>
      <c r="P3651" s="41" t="str"/>
      <c r="Q3651" s="41" t="str"/>
      <c r="R3651" s="41" t="str"/>
      <c r="S3651" s="41" t="str"/>
      <c r="T3651" s="41" t="str"/>
      <c r="U3651" s="41" t="str"/>
      <c r="V3651" s="41" t="str"/>
      <c r="W3651" s="41" t="str"/>
    </row>
    <row r="3652">
      <c r="B3652" s="2" t="n"/>
      <c r="C3652" s="40" t="n"/>
      <c r="D3652" s="52">
        <f t="array" ref="D3652:W3652">IF(All_Students_Scores!C3650:V3650="","",All_Students_Scores!C3650:V3650)</f>
        <v/>
      </c>
      <c r="E3652" s="57" t="str"/>
      <c r="F3652" s="49" t="str"/>
      <c r="G3652" s="59" t="str"/>
      <c r="H3652" s="64" t="str"/>
      <c r="I3652" s="65" t="str"/>
      <c r="J3652" s="49" t="str"/>
      <c r="K3652" s="41" t="str"/>
      <c r="L3652" s="41" t="str"/>
      <c r="M3652" s="41" t="str"/>
      <c r="N3652" s="41" t="str"/>
      <c r="O3652" s="41" t="str"/>
      <c r="P3652" s="41" t="str"/>
      <c r="Q3652" s="41" t="str"/>
      <c r="R3652" s="41" t="str"/>
      <c r="S3652" s="41" t="str"/>
      <c r="T3652" s="41" t="str"/>
      <c r="U3652" s="41" t="str"/>
      <c r="V3652" s="41" t="str"/>
      <c r="W3652" s="41" t="str"/>
    </row>
    <row r="3653">
      <c r="B3653" s="2" t="n"/>
      <c r="C3653" s="40" t="n"/>
      <c r="D3653" s="52">
        <f t="array" ref="D3653:W3653">IF(All_Students_Scores!C3651:V3651="","",All_Students_Scores!C3651:V3651)</f>
        <v/>
      </c>
      <c r="E3653" s="57" t="str"/>
      <c r="F3653" s="49" t="str"/>
      <c r="G3653" s="59" t="str"/>
      <c r="H3653" s="64" t="str"/>
      <c r="I3653" s="65" t="str"/>
      <c r="J3653" s="49" t="str"/>
      <c r="K3653" s="41" t="str"/>
      <c r="L3653" s="41" t="str"/>
      <c r="M3653" s="41" t="str"/>
      <c r="N3653" s="41" t="str"/>
      <c r="O3653" s="41" t="str"/>
      <c r="P3653" s="41" t="str"/>
      <c r="Q3653" s="41" t="str"/>
      <c r="R3653" s="41" t="str"/>
      <c r="S3653" s="41" t="str"/>
      <c r="T3653" s="41" t="str"/>
      <c r="U3653" s="41" t="str"/>
      <c r="V3653" s="41" t="str"/>
      <c r="W3653" s="41" t="str"/>
    </row>
    <row r="3654">
      <c r="B3654" s="2" t="n"/>
      <c r="C3654" s="40" t="n"/>
      <c r="D3654" s="52">
        <f t="array" ref="D3654:W3654">IF(All_Students_Scores!C3652:V3652="","",All_Students_Scores!C3652:V3652)</f>
        <v/>
      </c>
      <c r="E3654" s="57" t="str"/>
      <c r="F3654" s="49" t="str"/>
      <c r="G3654" s="59" t="str"/>
      <c r="H3654" s="64" t="str"/>
      <c r="I3654" s="65" t="str"/>
      <c r="J3654" s="49" t="str"/>
      <c r="K3654" s="41" t="str"/>
      <c r="L3654" s="41" t="str"/>
      <c r="M3654" s="41" t="str"/>
      <c r="N3654" s="41" t="str"/>
      <c r="O3654" s="41" t="str"/>
      <c r="P3654" s="41" t="str"/>
      <c r="Q3654" s="41" t="str"/>
      <c r="R3654" s="41" t="str"/>
      <c r="S3654" s="41" t="str"/>
      <c r="T3654" s="41" t="str"/>
      <c r="U3654" s="41" t="str"/>
      <c r="V3654" s="41" t="str"/>
      <c r="W3654" s="41" t="str"/>
    </row>
    <row r="3655">
      <c r="B3655" s="2" t="n"/>
      <c r="C3655" s="40" t="n"/>
      <c r="D3655" s="52">
        <f t="array" ref="D3655:W3655">IF(All_Students_Scores!C3653:V3653="","",All_Students_Scores!C3653:V3653)</f>
        <v/>
      </c>
      <c r="E3655" s="57" t="str"/>
      <c r="F3655" s="49" t="str"/>
      <c r="G3655" s="59" t="str"/>
      <c r="H3655" s="64" t="str"/>
      <c r="I3655" s="65" t="str"/>
      <c r="J3655" s="49" t="str"/>
      <c r="K3655" s="41" t="str"/>
      <c r="L3655" s="41" t="str"/>
      <c r="M3655" s="41" t="str"/>
      <c r="N3655" s="41" t="str"/>
      <c r="O3655" s="41" t="str"/>
      <c r="P3655" s="41" t="str"/>
      <c r="Q3655" s="41" t="str"/>
      <c r="R3655" s="41" t="str"/>
      <c r="S3655" s="41" t="str"/>
      <c r="T3655" s="41" t="str"/>
      <c r="U3655" s="41" t="str"/>
      <c r="V3655" s="41" t="str"/>
      <c r="W3655" s="41" t="str"/>
    </row>
    <row r="3656">
      <c r="B3656" s="2" t="n"/>
      <c r="C3656" s="40" t="n"/>
      <c r="D3656" s="52">
        <f t="array" ref="D3656:W3656">IF(All_Students_Scores!C3654:V3654="","",All_Students_Scores!C3654:V3654)</f>
        <v/>
      </c>
      <c r="E3656" s="57" t="str"/>
      <c r="F3656" s="49" t="str"/>
      <c r="G3656" s="59" t="str"/>
      <c r="H3656" s="64" t="str"/>
      <c r="I3656" s="65" t="str"/>
      <c r="J3656" s="49" t="str"/>
      <c r="K3656" s="41" t="str"/>
      <c r="L3656" s="41" t="str"/>
      <c r="M3656" s="41" t="str"/>
      <c r="N3656" s="41" t="str"/>
      <c r="O3656" s="41" t="str"/>
      <c r="P3656" s="41" t="str"/>
      <c r="Q3656" s="41" t="str"/>
      <c r="R3656" s="41" t="str"/>
      <c r="S3656" s="41" t="str"/>
      <c r="T3656" s="41" t="str"/>
      <c r="U3656" s="41" t="str"/>
      <c r="V3656" s="41" t="str"/>
      <c r="W3656" s="41" t="str"/>
    </row>
    <row r="3657">
      <c r="B3657" s="2" t="n"/>
      <c r="C3657" s="40" t="n"/>
      <c r="D3657" s="52">
        <f t="array" ref="D3657:W3657">IF(All_Students_Scores!C3655:V3655="","",All_Students_Scores!C3655:V3655)</f>
        <v/>
      </c>
      <c r="E3657" s="57" t="str"/>
      <c r="F3657" s="49" t="str"/>
      <c r="G3657" s="59" t="str"/>
      <c r="H3657" s="64" t="str"/>
      <c r="I3657" s="65" t="str"/>
      <c r="J3657" s="49" t="str"/>
      <c r="K3657" s="41" t="str"/>
      <c r="L3657" s="41" t="str"/>
      <c r="M3657" s="41" t="str"/>
      <c r="N3657" s="41" t="str"/>
      <c r="O3657" s="41" t="str"/>
      <c r="P3657" s="41" t="str"/>
      <c r="Q3657" s="41" t="str"/>
      <c r="R3657" s="41" t="str"/>
      <c r="S3657" s="41" t="str"/>
      <c r="T3657" s="41" t="str"/>
      <c r="U3657" s="41" t="str"/>
      <c r="V3657" s="41" t="str"/>
      <c r="W3657" s="41" t="str"/>
    </row>
    <row r="3658">
      <c r="B3658" s="2" t="n"/>
      <c r="C3658" s="40" t="n"/>
      <c r="D3658" s="52">
        <f t="array" ref="D3658:W3658">IF(All_Students_Scores!C3656:V3656="","",All_Students_Scores!C3656:V3656)</f>
        <v/>
      </c>
      <c r="E3658" s="57" t="str"/>
      <c r="F3658" s="49" t="str"/>
      <c r="G3658" s="59" t="str"/>
      <c r="H3658" s="64" t="str"/>
      <c r="I3658" s="65" t="str"/>
      <c r="J3658" s="49" t="str"/>
      <c r="K3658" s="41" t="str"/>
      <c r="L3658" s="41" t="str"/>
      <c r="M3658" s="41" t="str"/>
      <c r="N3658" s="41" t="str"/>
      <c r="O3658" s="41" t="str"/>
      <c r="P3658" s="41" t="str"/>
      <c r="Q3658" s="41" t="str"/>
      <c r="R3658" s="41" t="str"/>
      <c r="S3658" s="41" t="str"/>
      <c r="T3658" s="41" t="str"/>
      <c r="U3658" s="41" t="str"/>
      <c r="V3658" s="41" t="str"/>
      <c r="W3658" s="41" t="str"/>
    </row>
    <row r="3659">
      <c r="B3659" s="2" t="n"/>
      <c r="C3659" s="40" t="n"/>
      <c r="D3659" s="52">
        <f t="array" ref="D3659:W3659">IF(All_Students_Scores!C3657:V3657="","",All_Students_Scores!C3657:V3657)</f>
        <v/>
      </c>
      <c r="E3659" s="57" t="str"/>
      <c r="F3659" s="49" t="str"/>
      <c r="G3659" s="59" t="str"/>
      <c r="H3659" s="64" t="str"/>
      <c r="I3659" s="65" t="str"/>
      <c r="J3659" s="49" t="str"/>
      <c r="K3659" s="41" t="str"/>
      <c r="L3659" s="41" t="str"/>
      <c r="M3659" s="41" t="str"/>
      <c r="N3659" s="41" t="str"/>
      <c r="O3659" s="41" t="str"/>
      <c r="P3659" s="41" t="str"/>
      <c r="Q3659" s="41" t="str"/>
      <c r="R3659" s="41" t="str"/>
      <c r="S3659" s="41" t="str"/>
      <c r="T3659" s="41" t="str"/>
      <c r="U3659" s="41" t="str"/>
      <c r="V3659" s="41" t="str"/>
      <c r="W3659" s="41" t="str"/>
    </row>
    <row r="3660">
      <c r="B3660" s="2" t="n"/>
      <c r="C3660" s="40" t="n"/>
      <c r="D3660" s="52">
        <f t="array" ref="D3660:W3660">IF(All_Students_Scores!C3658:V3658="","",All_Students_Scores!C3658:V3658)</f>
        <v/>
      </c>
      <c r="E3660" s="57" t="str"/>
      <c r="F3660" s="49" t="str"/>
      <c r="G3660" s="59" t="str"/>
      <c r="H3660" s="64" t="str"/>
      <c r="I3660" s="65" t="str"/>
      <c r="J3660" s="49" t="str"/>
      <c r="K3660" s="41" t="str"/>
      <c r="L3660" s="41" t="str"/>
      <c r="M3660" s="41" t="str"/>
      <c r="N3660" s="41" t="str"/>
      <c r="O3660" s="41" t="str"/>
      <c r="P3660" s="41" t="str"/>
      <c r="Q3660" s="41" t="str"/>
      <c r="R3660" s="41" t="str"/>
      <c r="S3660" s="41" t="str"/>
      <c r="T3660" s="41" t="str"/>
      <c r="U3660" s="41" t="str"/>
      <c r="V3660" s="41" t="str"/>
      <c r="W3660" s="41" t="str"/>
    </row>
    <row r="3661">
      <c r="B3661" s="2" t="n"/>
      <c r="C3661" s="40" t="n"/>
      <c r="D3661" s="52">
        <f t="array" ref="D3661:W3661">IF(All_Students_Scores!C3659:V3659="","",All_Students_Scores!C3659:V3659)</f>
        <v/>
      </c>
      <c r="E3661" s="57" t="str"/>
      <c r="F3661" s="49" t="str"/>
      <c r="G3661" s="59" t="str"/>
      <c r="H3661" s="64" t="str"/>
      <c r="I3661" s="65" t="str"/>
      <c r="J3661" s="49" t="str"/>
      <c r="K3661" s="41" t="str"/>
      <c r="L3661" s="41" t="str"/>
      <c r="M3661" s="41" t="str"/>
      <c r="N3661" s="41" t="str"/>
      <c r="O3661" s="41" t="str"/>
      <c r="P3661" s="41" t="str"/>
      <c r="Q3661" s="41" t="str"/>
      <c r="R3661" s="41" t="str"/>
      <c r="S3661" s="41" t="str"/>
      <c r="T3661" s="41" t="str"/>
      <c r="U3661" s="41" t="str"/>
      <c r="V3661" s="41" t="str"/>
      <c r="W3661" s="41" t="str"/>
    </row>
    <row r="3662">
      <c r="B3662" s="2" t="n"/>
      <c r="C3662" s="40" t="n"/>
      <c r="D3662" s="52">
        <f t="array" ref="D3662:W3662">IF(All_Students_Scores!C3660:V3660="","",All_Students_Scores!C3660:V3660)</f>
        <v/>
      </c>
      <c r="E3662" s="57" t="str"/>
      <c r="F3662" s="49" t="str"/>
      <c r="G3662" s="59" t="str"/>
      <c r="H3662" s="64" t="str"/>
      <c r="I3662" s="65" t="str"/>
      <c r="J3662" s="49" t="str"/>
      <c r="K3662" s="41" t="str"/>
      <c r="L3662" s="41" t="str"/>
      <c r="M3662" s="41" t="str"/>
      <c r="N3662" s="41" t="str"/>
      <c r="O3662" s="41" t="str"/>
      <c r="P3662" s="41" t="str"/>
      <c r="Q3662" s="41" t="str"/>
      <c r="R3662" s="41" t="str"/>
      <c r="S3662" s="41" t="str"/>
      <c r="T3662" s="41" t="str"/>
      <c r="U3662" s="41" t="str"/>
      <c r="V3662" s="41" t="str"/>
      <c r="W3662" s="41" t="str"/>
    </row>
    <row r="3663">
      <c r="B3663" s="2" t="n"/>
      <c r="C3663" s="40" t="n"/>
      <c r="D3663" s="52">
        <f t="array" ref="D3663:W3663">IF(All_Students_Scores!C3661:V3661="","",All_Students_Scores!C3661:V3661)</f>
        <v/>
      </c>
      <c r="E3663" s="57" t="str"/>
      <c r="F3663" s="49" t="str"/>
      <c r="G3663" s="59" t="str"/>
      <c r="H3663" s="64" t="str"/>
      <c r="I3663" s="65" t="str"/>
      <c r="J3663" s="49" t="str"/>
      <c r="K3663" s="41" t="str"/>
      <c r="L3663" s="41" t="str"/>
      <c r="M3663" s="41" t="str"/>
      <c r="N3663" s="41" t="str"/>
      <c r="O3663" s="41" t="str"/>
      <c r="P3663" s="41" t="str"/>
      <c r="Q3663" s="41" t="str"/>
      <c r="R3663" s="41" t="str"/>
      <c r="S3663" s="41" t="str"/>
      <c r="T3663" s="41" t="str"/>
      <c r="U3663" s="41" t="str"/>
      <c r="V3663" s="41" t="str"/>
      <c r="W3663" s="41" t="str"/>
    </row>
    <row r="3664">
      <c r="B3664" s="2" t="n"/>
      <c r="C3664" s="40" t="n"/>
      <c r="D3664" s="52">
        <f t="array" ref="D3664:W3664">IF(All_Students_Scores!C3662:V3662="","",All_Students_Scores!C3662:V3662)</f>
        <v/>
      </c>
      <c r="E3664" s="57" t="str"/>
      <c r="F3664" s="49" t="str"/>
      <c r="G3664" s="59" t="str"/>
      <c r="H3664" s="64" t="str"/>
      <c r="I3664" s="65" t="str"/>
      <c r="J3664" s="49" t="str"/>
      <c r="K3664" s="41" t="str"/>
      <c r="L3664" s="41" t="str"/>
      <c r="M3664" s="41" t="str"/>
      <c r="N3664" s="41" t="str"/>
      <c r="O3664" s="41" t="str"/>
      <c r="P3664" s="41" t="str"/>
      <c r="Q3664" s="41" t="str"/>
      <c r="R3664" s="41" t="str"/>
      <c r="S3664" s="41" t="str"/>
      <c r="T3664" s="41" t="str"/>
      <c r="U3664" s="41" t="str"/>
      <c r="V3664" s="41" t="str"/>
      <c r="W3664" s="41" t="str"/>
    </row>
    <row r="3665">
      <c r="B3665" s="2" t="n"/>
      <c r="C3665" s="40" t="n"/>
      <c r="D3665" s="52">
        <f t="array" ref="D3665:W3665">IF(All_Students_Scores!C3663:V3663="","",All_Students_Scores!C3663:V3663)</f>
        <v/>
      </c>
      <c r="E3665" s="57" t="str"/>
      <c r="F3665" s="49" t="str"/>
      <c r="G3665" s="59" t="str"/>
      <c r="H3665" s="64" t="str"/>
      <c r="I3665" s="65" t="str"/>
      <c r="J3665" s="49" t="str"/>
      <c r="K3665" s="41" t="str"/>
      <c r="L3665" s="41" t="str"/>
      <c r="M3665" s="41" t="str"/>
      <c r="N3665" s="41" t="str"/>
      <c r="O3665" s="41" t="str"/>
      <c r="P3665" s="41" t="str"/>
      <c r="Q3665" s="41" t="str"/>
      <c r="R3665" s="41" t="str"/>
      <c r="S3665" s="41" t="str"/>
      <c r="T3665" s="41" t="str"/>
      <c r="U3665" s="41" t="str"/>
      <c r="V3665" s="41" t="str"/>
      <c r="W3665" s="41" t="str"/>
    </row>
    <row r="3666">
      <c r="B3666" s="2" t="n"/>
      <c r="C3666" s="40" t="n"/>
      <c r="D3666" s="52">
        <f t="array" ref="D3666:W3666">IF(All_Students_Scores!C3664:V3664="","",All_Students_Scores!C3664:V3664)</f>
        <v/>
      </c>
      <c r="E3666" s="57" t="str"/>
      <c r="F3666" s="49" t="str"/>
      <c r="G3666" s="59" t="str"/>
      <c r="H3666" s="64" t="str"/>
      <c r="I3666" s="65" t="str"/>
      <c r="J3666" s="49" t="str"/>
      <c r="K3666" s="41" t="str"/>
      <c r="L3666" s="41" t="str"/>
      <c r="M3666" s="41" t="str"/>
      <c r="N3666" s="41" t="str"/>
      <c r="O3666" s="41" t="str"/>
      <c r="P3666" s="41" t="str"/>
      <c r="Q3666" s="41" t="str"/>
      <c r="R3666" s="41" t="str"/>
      <c r="S3666" s="41" t="str"/>
      <c r="T3666" s="41" t="str"/>
      <c r="U3666" s="41" t="str"/>
      <c r="V3666" s="41" t="str"/>
      <c r="W3666" s="41" t="str"/>
    </row>
    <row r="3667">
      <c r="B3667" s="2" t="n"/>
      <c r="C3667" s="40" t="n"/>
      <c r="D3667" s="52">
        <f t="array" ref="D3667:W3667">IF(All_Students_Scores!C3665:V3665="","",All_Students_Scores!C3665:V3665)</f>
        <v/>
      </c>
      <c r="E3667" s="57" t="str"/>
      <c r="F3667" s="49" t="str"/>
      <c r="G3667" s="59" t="str"/>
      <c r="H3667" s="64" t="str"/>
      <c r="I3667" s="65" t="str"/>
      <c r="J3667" s="49" t="str"/>
      <c r="K3667" s="41" t="str"/>
      <c r="L3667" s="41" t="str"/>
      <c r="M3667" s="41" t="str"/>
      <c r="N3667" s="41" t="str"/>
      <c r="O3667" s="41" t="str"/>
      <c r="P3667" s="41" t="str"/>
      <c r="Q3667" s="41" t="str"/>
      <c r="R3667" s="41" t="str"/>
      <c r="S3667" s="41" t="str"/>
      <c r="T3667" s="41" t="str"/>
      <c r="U3667" s="41" t="str"/>
      <c r="V3667" s="41" t="str"/>
      <c r="W3667" s="41" t="str"/>
    </row>
    <row r="3668">
      <c r="B3668" s="2" t="n"/>
      <c r="C3668" s="40" t="n"/>
      <c r="D3668" s="52">
        <f t="array" ref="D3668:W3668">IF(All_Students_Scores!C3666:V3666="","",All_Students_Scores!C3666:V3666)</f>
        <v/>
      </c>
      <c r="E3668" s="57" t="str"/>
      <c r="F3668" s="49" t="str"/>
      <c r="G3668" s="59" t="str"/>
      <c r="H3668" s="64" t="str"/>
      <c r="I3668" s="65" t="str"/>
      <c r="J3668" s="49" t="str"/>
      <c r="K3668" s="41" t="str"/>
      <c r="L3668" s="41" t="str"/>
      <c r="M3668" s="41" t="str"/>
      <c r="N3668" s="41" t="str"/>
      <c r="O3668" s="41" t="str"/>
      <c r="P3668" s="41" t="str"/>
      <c r="Q3668" s="41" t="str"/>
      <c r="R3668" s="41" t="str"/>
      <c r="S3668" s="41" t="str"/>
      <c r="T3668" s="41" t="str"/>
      <c r="U3668" s="41" t="str"/>
      <c r="V3668" s="41" t="str"/>
      <c r="W3668" s="41" t="str"/>
    </row>
    <row r="3669">
      <c r="B3669" s="2" t="n"/>
      <c r="C3669" s="40" t="n"/>
      <c r="D3669" s="52">
        <f t="array" ref="D3669:W3669">IF(All_Students_Scores!C3667:V3667="","",All_Students_Scores!C3667:V3667)</f>
        <v/>
      </c>
      <c r="E3669" s="57" t="str"/>
      <c r="F3669" s="49" t="str"/>
      <c r="G3669" s="59" t="str"/>
      <c r="H3669" s="64" t="str"/>
      <c r="I3669" s="65" t="str"/>
      <c r="J3669" s="49" t="str"/>
      <c r="K3669" s="41" t="str"/>
      <c r="L3669" s="41" t="str"/>
      <c r="M3669" s="41" t="str"/>
      <c r="N3669" s="41" t="str"/>
      <c r="O3669" s="41" t="str"/>
      <c r="P3669" s="41" t="str"/>
      <c r="Q3669" s="41" t="str"/>
      <c r="R3669" s="41" t="str"/>
      <c r="S3669" s="41" t="str"/>
      <c r="T3669" s="41" t="str"/>
      <c r="U3669" s="41" t="str"/>
      <c r="V3669" s="41" t="str"/>
      <c r="W3669" s="41" t="str"/>
    </row>
    <row r="3670">
      <c r="B3670" s="2" t="n"/>
      <c r="C3670" s="40" t="n"/>
      <c r="D3670" s="52">
        <f t="array" ref="D3670:W3670">IF(All_Students_Scores!C3668:V3668="","",All_Students_Scores!C3668:V3668)</f>
        <v/>
      </c>
      <c r="E3670" s="57" t="str"/>
      <c r="F3670" s="49" t="str"/>
      <c r="G3670" s="59" t="str"/>
      <c r="H3670" s="64" t="str"/>
      <c r="I3670" s="65" t="str"/>
      <c r="J3670" s="49" t="str"/>
      <c r="K3670" s="41" t="str"/>
      <c r="L3670" s="41" t="str"/>
      <c r="M3670" s="41" t="str"/>
      <c r="N3670" s="41" t="str"/>
      <c r="O3670" s="41" t="str"/>
      <c r="P3670" s="41" t="str"/>
      <c r="Q3670" s="41" t="str"/>
      <c r="R3670" s="41" t="str"/>
      <c r="S3670" s="41" t="str"/>
      <c r="T3670" s="41" t="str"/>
      <c r="U3670" s="41" t="str"/>
      <c r="V3670" s="41" t="str"/>
      <c r="W3670" s="41" t="str"/>
    </row>
    <row r="3671">
      <c r="B3671" s="2" t="n"/>
      <c r="C3671" s="40" t="n"/>
      <c r="D3671" s="52">
        <f t="array" ref="D3671:W3671">IF(All_Students_Scores!C3669:V3669="","",All_Students_Scores!C3669:V3669)</f>
        <v/>
      </c>
      <c r="E3671" s="57" t="str"/>
      <c r="F3671" s="49" t="str"/>
      <c r="G3671" s="59" t="str"/>
      <c r="H3671" s="64" t="str"/>
      <c r="I3671" s="65" t="str"/>
      <c r="J3671" s="49" t="str"/>
      <c r="K3671" s="41" t="str"/>
      <c r="L3671" s="41" t="str"/>
      <c r="M3671" s="41" t="str"/>
      <c r="N3671" s="41" t="str"/>
      <c r="O3671" s="41" t="str"/>
      <c r="P3671" s="41" t="str"/>
      <c r="Q3671" s="41" t="str"/>
      <c r="R3671" s="41" t="str"/>
      <c r="S3671" s="41" t="str"/>
      <c r="T3671" s="41" t="str"/>
      <c r="U3671" s="41" t="str"/>
      <c r="V3671" s="41" t="str"/>
      <c r="W3671" s="41" t="str"/>
    </row>
    <row r="3672">
      <c r="B3672" s="2" t="n"/>
      <c r="C3672" s="40" t="n"/>
      <c r="D3672" s="52">
        <f t="array" ref="D3672:W3672">IF(All_Students_Scores!C3670:V3670="","",All_Students_Scores!C3670:V3670)</f>
        <v/>
      </c>
      <c r="E3672" s="57" t="str"/>
      <c r="F3672" s="49" t="str"/>
      <c r="G3672" s="59" t="str"/>
      <c r="H3672" s="64" t="str"/>
      <c r="I3672" s="65" t="str"/>
      <c r="J3672" s="49" t="str"/>
      <c r="K3672" s="41" t="str"/>
      <c r="L3672" s="41" t="str"/>
      <c r="M3672" s="41" t="str"/>
      <c r="N3672" s="41" t="str"/>
      <c r="O3672" s="41" t="str"/>
      <c r="P3672" s="41" t="str"/>
      <c r="Q3672" s="41" t="str"/>
      <c r="R3672" s="41" t="str"/>
      <c r="S3672" s="41" t="str"/>
      <c r="T3672" s="41" t="str"/>
      <c r="U3672" s="41" t="str"/>
      <c r="V3672" s="41" t="str"/>
      <c r="W3672" s="41" t="str"/>
    </row>
    <row r="3673">
      <c r="B3673" s="2" t="n"/>
      <c r="C3673" s="40" t="n"/>
      <c r="D3673" s="52">
        <f t="array" ref="D3673:W3673">IF(All_Students_Scores!C3671:V3671="","",All_Students_Scores!C3671:V3671)</f>
        <v/>
      </c>
      <c r="E3673" s="57" t="str"/>
      <c r="F3673" s="49" t="str"/>
      <c r="G3673" s="59" t="str"/>
      <c r="H3673" s="64" t="str"/>
      <c r="I3673" s="65" t="str"/>
      <c r="J3673" s="49" t="str"/>
      <c r="K3673" s="41" t="str"/>
      <c r="L3673" s="41" t="str"/>
      <c r="M3673" s="41" t="str"/>
      <c r="N3673" s="41" t="str"/>
      <c r="O3673" s="41" t="str"/>
      <c r="P3673" s="41" t="str"/>
      <c r="Q3673" s="41" t="str"/>
      <c r="R3673" s="41" t="str"/>
      <c r="S3673" s="41" t="str"/>
      <c r="T3673" s="41" t="str"/>
      <c r="U3673" s="41" t="str"/>
      <c r="V3673" s="41" t="str"/>
      <c r="W3673" s="41" t="str"/>
    </row>
    <row r="3674">
      <c r="B3674" s="2" t="n"/>
      <c r="C3674" s="40" t="n"/>
      <c r="D3674" s="52">
        <f t="array" ref="D3674:W3674">IF(All_Students_Scores!C3672:V3672="","",All_Students_Scores!C3672:V3672)</f>
        <v/>
      </c>
      <c r="E3674" s="57" t="str"/>
      <c r="F3674" s="49" t="str"/>
      <c r="G3674" s="59" t="str"/>
      <c r="H3674" s="64" t="str"/>
      <c r="I3674" s="65" t="str"/>
      <c r="J3674" s="49" t="str"/>
      <c r="K3674" s="41" t="str"/>
      <c r="L3674" s="41" t="str"/>
      <c r="M3674" s="41" t="str"/>
      <c r="N3674" s="41" t="str"/>
      <c r="O3674" s="41" t="str"/>
      <c r="P3674" s="41" t="str"/>
      <c r="Q3674" s="41" t="str"/>
      <c r="R3674" s="41" t="str"/>
      <c r="S3674" s="41" t="str"/>
      <c r="T3674" s="41" t="str"/>
      <c r="U3674" s="41" t="str"/>
      <c r="V3674" s="41" t="str"/>
      <c r="W3674" s="41" t="str"/>
    </row>
    <row r="3675">
      <c r="B3675" s="2" t="n"/>
      <c r="C3675" s="40" t="n"/>
      <c r="D3675" s="52">
        <f t="array" ref="D3675:W3675">IF(All_Students_Scores!C3673:V3673="","",All_Students_Scores!C3673:V3673)</f>
        <v/>
      </c>
      <c r="E3675" s="57" t="str"/>
      <c r="F3675" s="49" t="str"/>
      <c r="G3675" s="59" t="str"/>
      <c r="H3675" s="64" t="str"/>
      <c r="I3675" s="65" t="str"/>
      <c r="J3675" s="49" t="str"/>
      <c r="K3675" s="41" t="str"/>
      <c r="L3675" s="41" t="str"/>
      <c r="M3675" s="41" t="str"/>
      <c r="N3675" s="41" t="str"/>
      <c r="O3675" s="41" t="str"/>
      <c r="P3675" s="41" t="str"/>
      <c r="Q3675" s="41" t="str"/>
      <c r="R3675" s="41" t="str"/>
      <c r="S3675" s="41" t="str"/>
      <c r="T3675" s="41" t="str"/>
      <c r="U3675" s="41" t="str"/>
      <c r="V3675" s="41" t="str"/>
      <c r="W3675" s="41" t="str"/>
    </row>
    <row r="3676">
      <c r="B3676" s="2" t="n"/>
      <c r="C3676" s="40" t="n"/>
      <c r="D3676" s="52">
        <f t="array" ref="D3676:W3676">IF(All_Students_Scores!C3674:V3674="","",All_Students_Scores!C3674:V3674)</f>
        <v/>
      </c>
      <c r="E3676" s="57" t="str"/>
      <c r="F3676" s="49" t="str"/>
      <c r="G3676" s="59" t="str"/>
      <c r="H3676" s="64" t="str"/>
      <c r="I3676" s="65" t="str"/>
      <c r="J3676" s="49" t="str"/>
      <c r="K3676" s="41" t="str"/>
      <c r="L3676" s="41" t="str"/>
      <c r="M3676" s="41" t="str"/>
      <c r="N3676" s="41" t="str"/>
      <c r="O3676" s="41" t="str"/>
      <c r="P3676" s="41" t="str"/>
      <c r="Q3676" s="41" t="str"/>
      <c r="R3676" s="41" t="str"/>
      <c r="S3676" s="41" t="str"/>
      <c r="T3676" s="41" t="str"/>
      <c r="U3676" s="41" t="str"/>
      <c r="V3676" s="41" t="str"/>
      <c r="W3676" s="41" t="str"/>
    </row>
    <row r="3677">
      <c r="B3677" s="2" t="n"/>
      <c r="C3677" s="40" t="n"/>
      <c r="D3677" s="52">
        <f t="array" ref="D3677:W3677">IF(All_Students_Scores!C3675:V3675="","",All_Students_Scores!C3675:V3675)</f>
        <v/>
      </c>
      <c r="E3677" s="57" t="str"/>
      <c r="F3677" s="49" t="str"/>
      <c r="G3677" s="59" t="str"/>
      <c r="H3677" s="64" t="str"/>
      <c r="I3677" s="65" t="str"/>
      <c r="J3677" s="49" t="str"/>
      <c r="K3677" s="41" t="str"/>
      <c r="L3677" s="41" t="str"/>
      <c r="M3677" s="41" t="str"/>
      <c r="N3677" s="41" t="str"/>
      <c r="O3677" s="41" t="str"/>
      <c r="P3677" s="41" t="str"/>
      <c r="Q3677" s="41" t="str"/>
      <c r="R3677" s="41" t="str"/>
      <c r="S3677" s="41" t="str"/>
      <c r="T3677" s="41" t="str"/>
      <c r="U3677" s="41" t="str"/>
      <c r="V3677" s="41" t="str"/>
      <c r="W3677" s="41" t="str"/>
    </row>
    <row r="3678">
      <c r="B3678" s="2" t="n"/>
      <c r="C3678" s="40" t="n"/>
      <c r="D3678" s="52">
        <f t="array" ref="D3678:W3678">IF(All_Students_Scores!C3676:V3676="","",All_Students_Scores!C3676:V3676)</f>
        <v/>
      </c>
      <c r="E3678" s="57" t="str"/>
      <c r="F3678" s="49" t="str"/>
      <c r="G3678" s="59" t="str"/>
      <c r="H3678" s="64" t="str"/>
      <c r="I3678" s="65" t="str"/>
      <c r="J3678" s="49" t="str"/>
      <c r="K3678" s="41" t="str"/>
      <c r="L3678" s="41" t="str"/>
      <c r="M3678" s="41" t="str"/>
      <c r="N3678" s="41" t="str"/>
      <c r="O3678" s="41" t="str"/>
      <c r="P3678" s="41" t="str"/>
      <c r="Q3678" s="41" t="str"/>
      <c r="R3678" s="41" t="str"/>
      <c r="S3678" s="41" t="str"/>
      <c r="T3678" s="41" t="str"/>
      <c r="U3678" s="41" t="str"/>
      <c r="V3678" s="41" t="str"/>
      <c r="W3678" s="41" t="str"/>
    </row>
    <row r="3679">
      <c r="B3679" s="2" t="n"/>
      <c r="C3679" s="40" t="n"/>
      <c r="D3679" s="52">
        <f t="array" ref="D3679:W3679">IF(All_Students_Scores!C3677:V3677="","",All_Students_Scores!C3677:V3677)</f>
        <v/>
      </c>
      <c r="E3679" s="57" t="str"/>
      <c r="F3679" s="49" t="str"/>
      <c r="G3679" s="59" t="str"/>
      <c r="H3679" s="64" t="str"/>
      <c r="I3679" s="65" t="str"/>
      <c r="J3679" s="49" t="str"/>
      <c r="K3679" s="41" t="str"/>
      <c r="L3679" s="41" t="str"/>
      <c r="M3679" s="41" t="str"/>
      <c r="N3679" s="41" t="str"/>
      <c r="O3679" s="41" t="str"/>
      <c r="P3679" s="41" t="str"/>
      <c r="Q3679" s="41" t="str"/>
      <c r="R3679" s="41" t="str"/>
      <c r="S3679" s="41" t="str"/>
      <c r="T3679" s="41" t="str"/>
      <c r="U3679" s="41" t="str"/>
      <c r="V3679" s="41" t="str"/>
      <c r="W3679" s="41" t="str"/>
    </row>
    <row r="3680">
      <c r="B3680" s="2" t="n"/>
      <c r="C3680" s="40" t="n"/>
      <c r="D3680" s="52">
        <f t="array" ref="D3680:W3680">IF(All_Students_Scores!C3678:V3678="","",All_Students_Scores!C3678:V3678)</f>
        <v/>
      </c>
      <c r="E3680" s="57" t="str"/>
      <c r="F3680" s="49" t="str"/>
      <c r="G3680" s="59" t="str"/>
      <c r="H3680" s="64" t="str"/>
      <c r="I3680" s="65" t="str"/>
      <c r="J3680" s="49" t="str"/>
      <c r="K3680" s="41" t="str"/>
      <c r="L3680" s="41" t="str"/>
      <c r="M3680" s="41" t="str"/>
      <c r="N3680" s="41" t="str"/>
      <c r="O3680" s="41" t="str"/>
      <c r="P3680" s="41" t="str"/>
      <c r="Q3680" s="41" t="str"/>
      <c r="R3680" s="41" t="str"/>
      <c r="S3680" s="41" t="str"/>
      <c r="T3680" s="41" t="str"/>
      <c r="U3680" s="41" t="str"/>
      <c r="V3680" s="41" t="str"/>
      <c r="W3680" s="41" t="str"/>
    </row>
    <row r="3681">
      <c r="B3681" s="2" t="n"/>
      <c r="C3681" s="40" t="n"/>
      <c r="D3681" s="52">
        <f t="array" ref="D3681:W3681">IF(All_Students_Scores!C3679:V3679="","",All_Students_Scores!C3679:V3679)</f>
        <v/>
      </c>
      <c r="E3681" s="57" t="str"/>
      <c r="F3681" s="49" t="str"/>
      <c r="G3681" s="59" t="str"/>
      <c r="H3681" s="64" t="str"/>
      <c r="I3681" s="65" t="str"/>
      <c r="J3681" s="49" t="str"/>
      <c r="K3681" s="41" t="str"/>
      <c r="L3681" s="41" t="str"/>
      <c r="M3681" s="41" t="str"/>
      <c r="N3681" s="41" t="str"/>
      <c r="O3681" s="41" t="str"/>
      <c r="P3681" s="41" t="str"/>
      <c r="Q3681" s="41" t="str"/>
      <c r="R3681" s="41" t="str"/>
      <c r="S3681" s="41" t="str"/>
      <c r="T3681" s="41" t="str"/>
      <c r="U3681" s="41" t="str"/>
      <c r="V3681" s="41" t="str"/>
      <c r="W3681" s="41" t="str"/>
    </row>
    <row r="3682">
      <c r="B3682" s="2" t="n"/>
      <c r="C3682" s="40" t="n"/>
      <c r="D3682" s="52">
        <f t="array" ref="D3682:W3682">IF(All_Students_Scores!C3680:V3680="","",All_Students_Scores!C3680:V3680)</f>
        <v/>
      </c>
      <c r="E3682" s="57" t="str"/>
      <c r="F3682" s="49" t="str"/>
      <c r="G3682" s="59" t="str"/>
      <c r="H3682" s="64" t="str"/>
      <c r="I3682" s="65" t="str"/>
      <c r="J3682" s="49" t="str"/>
      <c r="K3682" s="41" t="str"/>
      <c r="L3682" s="41" t="str"/>
      <c r="M3682" s="41" t="str"/>
      <c r="N3682" s="41" t="str"/>
      <c r="O3682" s="41" t="str"/>
      <c r="P3682" s="41" t="str"/>
      <c r="Q3682" s="41" t="str"/>
      <c r="R3682" s="41" t="str"/>
      <c r="S3682" s="41" t="str"/>
      <c r="T3682" s="41" t="str"/>
      <c r="U3682" s="41" t="str"/>
      <c r="V3682" s="41" t="str"/>
      <c r="W3682" s="41" t="str"/>
    </row>
    <row r="3683">
      <c r="B3683" s="2" t="n"/>
      <c r="C3683" s="40" t="n"/>
      <c r="D3683" s="52">
        <f t="array" ref="D3683:W3683">IF(All_Students_Scores!C3681:V3681="","",All_Students_Scores!C3681:V3681)</f>
        <v/>
      </c>
      <c r="E3683" s="57" t="str"/>
      <c r="F3683" s="49" t="str"/>
      <c r="G3683" s="59" t="str"/>
      <c r="H3683" s="64" t="str"/>
      <c r="I3683" s="65" t="str"/>
      <c r="J3683" s="49" t="str"/>
      <c r="K3683" s="41" t="str"/>
      <c r="L3683" s="41" t="str"/>
      <c r="M3683" s="41" t="str"/>
      <c r="N3683" s="41" t="str"/>
      <c r="O3683" s="41" t="str"/>
      <c r="P3683" s="41" t="str"/>
      <c r="Q3683" s="41" t="str"/>
      <c r="R3683" s="41" t="str"/>
      <c r="S3683" s="41" t="str"/>
      <c r="T3683" s="41" t="str"/>
      <c r="U3683" s="41" t="str"/>
      <c r="V3683" s="41" t="str"/>
      <c r="W3683" s="41" t="str"/>
    </row>
    <row r="3684">
      <c r="B3684" s="2" t="n"/>
      <c r="C3684" s="40" t="n"/>
      <c r="D3684" s="52">
        <f t="array" ref="D3684:W3684">IF(All_Students_Scores!C3682:V3682="","",All_Students_Scores!C3682:V3682)</f>
        <v/>
      </c>
      <c r="E3684" s="57" t="str"/>
      <c r="F3684" s="49" t="str"/>
      <c r="G3684" s="59" t="str"/>
      <c r="H3684" s="64" t="str"/>
      <c r="I3684" s="65" t="str"/>
      <c r="J3684" s="49" t="str"/>
      <c r="K3684" s="41" t="str"/>
      <c r="L3684" s="41" t="str"/>
      <c r="M3684" s="41" t="str"/>
      <c r="N3684" s="41" t="str"/>
      <c r="O3684" s="41" t="str"/>
      <c r="P3684" s="41" t="str"/>
      <c r="Q3684" s="41" t="str"/>
      <c r="R3684" s="41" t="str"/>
      <c r="S3684" s="41" t="str"/>
      <c r="T3684" s="41" t="str"/>
      <c r="U3684" s="41" t="str"/>
      <c r="V3684" s="41" t="str"/>
      <c r="W3684" s="41" t="str"/>
    </row>
    <row r="3685">
      <c r="B3685" s="2" t="n"/>
      <c r="C3685" s="40" t="n"/>
      <c r="D3685" s="52">
        <f t="array" ref="D3685:W3685">IF(All_Students_Scores!C3683:V3683="","",All_Students_Scores!C3683:V3683)</f>
        <v/>
      </c>
      <c r="E3685" s="57" t="str"/>
      <c r="F3685" s="49" t="str"/>
      <c r="G3685" s="59" t="str"/>
      <c r="H3685" s="64" t="str"/>
      <c r="I3685" s="65" t="str"/>
      <c r="J3685" s="49" t="str"/>
      <c r="K3685" s="41" t="str"/>
      <c r="L3685" s="41" t="str"/>
      <c r="M3685" s="41" t="str"/>
      <c r="N3685" s="41" t="str"/>
      <c r="O3685" s="41" t="str"/>
      <c r="P3685" s="41" t="str"/>
      <c r="Q3685" s="41" t="str"/>
      <c r="R3685" s="41" t="str"/>
      <c r="S3685" s="41" t="str"/>
      <c r="T3685" s="41" t="str"/>
      <c r="U3685" s="41" t="str"/>
      <c r="V3685" s="41" t="str"/>
      <c r="W3685" s="41" t="str"/>
    </row>
    <row r="3686">
      <c r="B3686" s="2" t="n"/>
      <c r="C3686" s="40" t="n"/>
      <c r="D3686" s="52">
        <f t="array" ref="D3686:W3686">IF(All_Students_Scores!C3684:V3684="","",All_Students_Scores!C3684:V3684)</f>
        <v/>
      </c>
      <c r="E3686" s="57" t="str"/>
      <c r="F3686" s="49" t="str"/>
      <c r="G3686" s="59" t="str"/>
      <c r="H3686" s="64" t="str"/>
      <c r="I3686" s="65" t="str"/>
      <c r="J3686" s="49" t="str"/>
      <c r="K3686" s="41" t="str"/>
      <c r="L3686" s="41" t="str"/>
      <c r="M3686" s="41" t="str"/>
      <c r="N3686" s="41" t="str"/>
      <c r="O3686" s="41" t="str"/>
      <c r="P3686" s="41" t="str"/>
      <c r="Q3686" s="41" t="str"/>
      <c r="R3686" s="41" t="str"/>
      <c r="S3686" s="41" t="str"/>
      <c r="T3686" s="41" t="str"/>
      <c r="U3686" s="41" t="str"/>
      <c r="V3686" s="41" t="str"/>
      <c r="W3686" s="41" t="str"/>
    </row>
    <row r="3687">
      <c r="B3687" s="2" t="n"/>
      <c r="C3687" s="40" t="n"/>
      <c r="D3687" s="52">
        <f t="array" ref="D3687:W3687">IF(All_Students_Scores!C3685:V3685="","",All_Students_Scores!C3685:V3685)</f>
        <v/>
      </c>
      <c r="E3687" s="57" t="str"/>
      <c r="F3687" s="49" t="str"/>
      <c r="G3687" s="59" t="str"/>
      <c r="H3687" s="64" t="str"/>
      <c r="I3687" s="65" t="str"/>
      <c r="J3687" s="49" t="str"/>
      <c r="K3687" s="41" t="str"/>
      <c r="L3687" s="41" t="str"/>
      <c r="M3687" s="41" t="str"/>
      <c r="N3687" s="41" t="str"/>
      <c r="O3687" s="41" t="str"/>
      <c r="P3687" s="41" t="str"/>
      <c r="Q3687" s="41" t="str"/>
      <c r="R3687" s="41" t="str"/>
      <c r="S3687" s="41" t="str"/>
      <c r="T3687" s="41" t="str"/>
      <c r="U3687" s="41" t="str"/>
      <c r="V3687" s="41" t="str"/>
      <c r="W3687" s="41" t="str"/>
    </row>
    <row r="3688">
      <c r="B3688" s="2" t="n"/>
      <c r="C3688" s="40" t="n"/>
      <c r="D3688" s="52">
        <f t="array" ref="D3688:W3688">IF(All_Students_Scores!C3686:V3686="","",All_Students_Scores!C3686:V3686)</f>
        <v/>
      </c>
      <c r="E3688" s="57" t="str"/>
      <c r="F3688" s="49" t="str"/>
      <c r="G3688" s="59" t="str"/>
      <c r="H3688" s="64" t="str"/>
      <c r="I3688" s="65" t="str"/>
      <c r="J3688" s="49" t="str"/>
      <c r="K3688" s="41" t="str"/>
      <c r="L3688" s="41" t="str"/>
      <c r="M3688" s="41" t="str"/>
      <c r="N3688" s="41" t="str"/>
      <c r="O3688" s="41" t="str"/>
      <c r="P3688" s="41" t="str"/>
      <c r="Q3688" s="41" t="str"/>
      <c r="R3688" s="41" t="str"/>
      <c r="S3688" s="41" t="str"/>
      <c r="T3688" s="41" t="str"/>
      <c r="U3688" s="41" t="str"/>
      <c r="V3688" s="41" t="str"/>
      <c r="W3688" s="41" t="str"/>
    </row>
    <row r="3689">
      <c r="B3689" s="2" t="n"/>
      <c r="C3689" s="40" t="n"/>
      <c r="D3689" s="52">
        <f t="array" ref="D3689:W3689">IF(All_Students_Scores!C3687:V3687="","",All_Students_Scores!C3687:V3687)</f>
        <v/>
      </c>
      <c r="E3689" s="57" t="str"/>
      <c r="F3689" s="49" t="str"/>
      <c r="G3689" s="59" t="str"/>
      <c r="H3689" s="64" t="str"/>
      <c r="I3689" s="65" t="str"/>
      <c r="J3689" s="49" t="str"/>
      <c r="K3689" s="41" t="str"/>
      <c r="L3689" s="41" t="str"/>
      <c r="M3689" s="41" t="str"/>
      <c r="N3689" s="41" t="str"/>
      <c r="O3689" s="41" t="str"/>
      <c r="P3689" s="41" t="str"/>
      <c r="Q3689" s="41" t="str"/>
      <c r="R3689" s="41" t="str"/>
      <c r="S3689" s="41" t="str"/>
      <c r="T3689" s="41" t="str"/>
      <c r="U3689" s="41" t="str"/>
      <c r="V3689" s="41" t="str"/>
      <c r="W3689" s="41" t="str"/>
    </row>
    <row r="3690">
      <c r="B3690" s="2" t="n"/>
      <c r="C3690" s="40" t="n"/>
      <c r="D3690" s="52">
        <f t="array" ref="D3690:W3690">IF(All_Students_Scores!C3688:V3688="","",All_Students_Scores!C3688:V3688)</f>
        <v/>
      </c>
      <c r="E3690" s="57" t="str"/>
      <c r="F3690" s="49" t="str"/>
      <c r="G3690" s="59" t="str"/>
      <c r="H3690" s="64" t="str"/>
      <c r="I3690" s="65" t="str"/>
      <c r="J3690" s="49" t="str"/>
      <c r="K3690" s="41" t="str"/>
      <c r="L3690" s="41" t="str"/>
      <c r="M3690" s="41" t="str"/>
      <c r="N3690" s="41" t="str"/>
      <c r="O3690" s="41" t="str"/>
      <c r="P3690" s="41" t="str"/>
      <c r="Q3690" s="41" t="str"/>
      <c r="R3690" s="41" t="str"/>
      <c r="S3690" s="41" t="str"/>
      <c r="T3690" s="41" t="str"/>
      <c r="U3690" s="41" t="str"/>
      <c r="V3690" s="41" t="str"/>
      <c r="W3690" s="41" t="str"/>
    </row>
    <row r="3691">
      <c r="B3691" s="2" t="n"/>
      <c r="C3691" s="40" t="n"/>
      <c r="D3691" s="52">
        <f t="array" ref="D3691:W3691">IF(All_Students_Scores!C3689:V3689="","",All_Students_Scores!C3689:V3689)</f>
        <v/>
      </c>
      <c r="E3691" s="57" t="str"/>
      <c r="F3691" s="49" t="str"/>
      <c r="G3691" s="59" t="str"/>
      <c r="H3691" s="64" t="str"/>
      <c r="I3691" s="65" t="str"/>
      <c r="J3691" s="49" t="str"/>
      <c r="K3691" s="41" t="str"/>
      <c r="L3691" s="41" t="str"/>
      <c r="M3691" s="41" t="str"/>
      <c r="N3691" s="41" t="str"/>
      <c r="O3691" s="41" t="str"/>
      <c r="P3691" s="41" t="str"/>
      <c r="Q3691" s="41" t="str"/>
      <c r="R3691" s="41" t="str"/>
      <c r="S3691" s="41" t="str"/>
      <c r="T3691" s="41" t="str"/>
      <c r="U3691" s="41" t="str"/>
      <c r="V3691" s="41" t="str"/>
      <c r="W3691" s="41" t="str"/>
    </row>
    <row r="3692">
      <c r="B3692" s="2" t="n"/>
      <c r="C3692" s="40" t="n"/>
      <c r="D3692" s="52">
        <f t="array" ref="D3692:W3692">IF(All_Students_Scores!C3690:V3690="","",All_Students_Scores!C3690:V3690)</f>
        <v/>
      </c>
      <c r="E3692" s="57" t="str"/>
      <c r="F3692" s="49" t="str"/>
      <c r="G3692" s="59" t="str"/>
      <c r="H3692" s="64" t="str"/>
      <c r="I3692" s="65" t="str"/>
      <c r="J3692" s="49" t="str"/>
      <c r="K3692" s="41" t="str"/>
      <c r="L3692" s="41" t="str"/>
      <c r="M3692" s="41" t="str"/>
      <c r="N3692" s="41" t="str"/>
      <c r="O3692" s="41" t="str"/>
      <c r="P3692" s="41" t="str"/>
      <c r="Q3692" s="41" t="str"/>
      <c r="R3692" s="41" t="str"/>
      <c r="S3692" s="41" t="str"/>
      <c r="T3692" s="41" t="str"/>
      <c r="U3692" s="41" t="str"/>
      <c r="V3692" s="41" t="str"/>
      <c r="W3692" s="41" t="str"/>
    </row>
    <row r="3693">
      <c r="B3693" s="2" t="n"/>
      <c r="C3693" s="40" t="n"/>
      <c r="D3693" s="52">
        <f t="array" ref="D3693:W3693">IF(All_Students_Scores!C3691:V3691="","",All_Students_Scores!C3691:V3691)</f>
        <v/>
      </c>
      <c r="E3693" s="57" t="str"/>
      <c r="F3693" s="49" t="str"/>
      <c r="G3693" s="59" t="str"/>
      <c r="H3693" s="64" t="str"/>
      <c r="I3693" s="65" t="str"/>
      <c r="J3693" s="49" t="str"/>
      <c r="K3693" s="41" t="str"/>
      <c r="L3693" s="41" t="str"/>
      <c r="M3693" s="41" t="str"/>
      <c r="N3693" s="41" t="str"/>
      <c r="O3693" s="41" t="str"/>
      <c r="P3693" s="41" t="str"/>
      <c r="Q3693" s="41" t="str"/>
      <c r="R3693" s="41" t="str"/>
      <c r="S3693" s="41" t="str"/>
      <c r="T3693" s="41" t="str"/>
      <c r="U3693" s="41" t="str"/>
      <c r="V3693" s="41" t="str"/>
      <c r="W3693" s="41" t="str"/>
    </row>
    <row r="3694">
      <c r="B3694" s="2" t="n"/>
      <c r="C3694" s="40" t="n"/>
      <c r="D3694" s="52">
        <f t="array" ref="D3694:W3694">IF(All_Students_Scores!C3692:V3692="","",All_Students_Scores!C3692:V3692)</f>
        <v/>
      </c>
      <c r="E3694" s="57" t="str"/>
      <c r="F3694" s="49" t="str"/>
      <c r="G3694" s="59" t="str"/>
      <c r="H3694" s="64" t="str"/>
      <c r="I3694" s="65" t="str"/>
      <c r="J3694" s="49" t="str"/>
      <c r="K3694" s="41" t="str"/>
      <c r="L3694" s="41" t="str"/>
      <c r="M3694" s="41" t="str"/>
      <c r="N3694" s="41" t="str"/>
      <c r="O3694" s="41" t="str"/>
      <c r="P3694" s="41" t="str"/>
      <c r="Q3694" s="41" t="str"/>
      <c r="R3694" s="41" t="str"/>
      <c r="S3694" s="41" t="str"/>
      <c r="T3694" s="41" t="str"/>
      <c r="U3694" s="41" t="str"/>
      <c r="V3694" s="41" t="str"/>
      <c r="W3694" s="41" t="str"/>
    </row>
    <row r="3695">
      <c r="B3695" s="2" t="n"/>
      <c r="C3695" s="40" t="n"/>
      <c r="D3695" s="52">
        <f t="array" ref="D3695:W3695">IF(All_Students_Scores!C3693:V3693="","",All_Students_Scores!C3693:V3693)</f>
        <v/>
      </c>
      <c r="E3695" s="57" t="str"/>
      <c r="F3695" s="49" t="str"/>
      <c r="G3695" s="59" t="str"/>
      <c r="H3695" s="64" t="str"/>
      <c r="I3695" s="65" t="str"/>
      <c r="J3695" s="49" t="str"/>
      <c r="K3695" s="41" t="str"/>
      <c r="L3695" s="41" t="str"/>
      <c r="M3695" s="41" t="str"/>
      <c r="N3695" s="41" t="str"/>
      <c r="O3695" s="41" t="str"/>
      <c r="P3695" s="41" t="str"/>
      <c r="Q3695" s="41" t="str"/>
      <c r="R3695" s="41" t="str"/>
      <c r="S3695" s="41" t="str"/>
      <c r="T3695" s="41" t="str"/>
      <c r="U3695" s="41" t="str"/>
      <c r="V3695" s="41" t="str"/>
      <c r="W3695" s="41" t="str"/>
    </row>
    <row r="3696">
      <c r="B3696" s="2" t="n"/>
      <c r="C3696" s="40" t="n"/>
      <c r="D3696" s="52">
        <f t="array" ref="D3696:W3696">IF(All_Students_Scores!C3694:V3694="","",All_Students_Scores!C3694:V3694)</f>
        <v/>
      </c>
      <c r="E3696" s="57" t="str"/>
      <c r="F3696" s="49" t="str"/>
      <c r="G3696" s="59" t="str"/>
      <c r="H3696" s="64" t="str"/>
      <c r="I3696" s="65" t="str"/>
      <c r="J3696" s="49" t="str"/>
      <c r="K3696" s="41" t="str"/>
      <c r="L3696" s="41" t="str"/>
      <c r="M3696" s="41" t="str"/>
      <c r="N3696" s="41" t="str"/>
      <c r="O3696" s="41" t="str"/>
      <c r="P3696" s="41" t="str"/>
      <c r="Q3696" s="41" t="str"/>
      <c r="R3696" s="41" t="str"/>
      <c r="S3696" s="41" t="str"/>
      <c r="T3696" s="41" t="str"/>
      <c r="U3696" s="41" t="str"/>
      <c r="V3696" s="41" t="str"/>
      <c r="W3696" s="41" t="str"/>
    </row>
    <row r="3697">
      <c r="B3697" s="2" t="n"/>
      <c r="C3697" s="40" t="n"/>
      <c r="D3697" s="52">
        <f t="array" ref="D3697:W3697">IF(All_Students_Scores!C3695:V3695="","",All_Students_Scores!C3695:V3695)</f>
        <v/>
      </c>
      <c r="E3697" s="57" t="str"/>
      <c r="F3697" s="49" t="str"/>
      <c r="G3697" s="59" t="str"/>
      <c r="H3697" s="64" t="str"/>
      <c r="I3697" s="65" t="str"/>
      <c r="J3697" s="49" t="str"/>
      <c r="K3697" s="41" t="str"/>
      <c r="L3697" s="41" t="str"/>
      <c r="M3697" s="41" t="str"/>
      <c r="N3697" s="41" t="str"/>
      <c r="O3697" s="41" t="str"/>
      <c r="P3697" s="41" t="str"/>
      <c r="Q3697" s="41" t="str"/>
      <c r="R3697" s="41" t="str"/>
      <c r="S3697" s="41" t="str"/>
      <c r="T3697" s="41" t="str"/>
      <c r="U3697" s="41" t="str"/>
      <c r="V3697" s="41" t="str"/>
      <c r="W3697" s="41" t="str"/>
    </row>
    <row r="3698">
      <c r="B3698" s="2" t="n"/>
      <c r="C3698" s="40" t="n"/>
      <c r="D3698" s="52">
        <f t="array" ref="D3698:W3698">IF(All_Students_Scores!C3696:V3696="","",All_Students_Scores!C3696:V3696)</f>
        <v/>
      </c>
      <c r="E3698" s="57" t="str"/>
      <c r="F3698" s="49" t="str"/>
      <c r="G3698" s="59" t="str"/>
      <c r="H3698" s="64" t="str"/>
      <c r="I3698" s="65" t="str"/>
      <c r="J3698" s="49" t="str"/>
      <c r="K3698" s="41" t="str"/>
      <c r="L3698" s="41" t="str"/>
      <c r="M3698" s="41" t="str"/>
      <c r="N3698" s="41" t="str"/>
      <c r="O3698" s="41" t="str"/>
      <c r="P3698" s="41" t="str"/>
      <c r="Q3698" s="41" t="str"/>
      <c r="R3698" s="41" t="str"/>
      <c r="S3698" s="41" t="str"/>
      <c r="T3698" s="41" t="str"/>
      <c r="U3698" s="41" t="str"/>
      <c r="V3698" s="41" t="str"/>
      <c r="W3698" s="41" t="str"/>
    </row>
    <row r="3699">
      <c r="B3699" s="2" t="n"/>
      <c r="C3699" s="40" t="n"/>
      <c r="D3699" s="52">
        <f t="array" ref="D3699:W3699">IF(All_Students_Scores!C3697:V3697="","",All_Students_Scores!C3697:V3697)</f>
        <v/>
      </c>
      <c r="E3699" s="57" t="str"/>
      <c r="F3699" s="49" t="str"/>
      <c r="G3699" s="59" t="str"/>
      <c r="H3699" s="64" t="str"/>
      <c r="I3699" s="65" t="str"/>
      <c r="J3699" s="49" t="str"/>
      <c r="K3699" s="41" t="str"/>
      <c r="L3699" s="41" t="str"/>
      <c r="M3699" s="41" t="str"/>
      <c r="N3699" s="41" t="str"/>
      <c r="O3699" s="41" t="str"/>
      <c r="P3699" s="41" t="str"/>
      <c r="Q3699" s="41" t="str"/>
      <c r="R3699" s="41" t="str"/>
      <c r="S3699" s="41" t="str"/>
      <c r="T3699" s="41" t="str"/>
      <c r="U3699" s="41" t="str"/>
      <c r="V3699" s="41" t="str"/>
      <c r="W3699" s="41" t="str"/>
    </row>
    <row r="3700">
      <c r="B3700" s="2" t="n"/>
      <c r="C3700" s="40" t="n"/>
      <c r="D3700" s="52">
        <f t="array" ref="D3700:W3700">IF(All_Students_Scores!C3698:V3698="","",All_Students_Scores!C3698:V3698)</f>
        <v/>
      </c>
      <c r="E3700" s="57" t="str"/>
      <c r="F3700" s="49" t="str"/>
      <c r="G3700" s="59" t="str"/>
      <c r="H3700" s="64" t="str"/>
      <c r="I3700" s="65" t="str"/>
      <c r="J3700" s="49" t="str"/>
      <c r="K3700" s="41" t="str"/>
      <c r="L3700" s="41" t="str"/>
      <c r="M3700" s="41" t="str"/>
      <c r="N3700" s="41" t="str"/>
      <c r="O3700" s="41" t="str"/>
      <c r="P3700" s="41" t="str"/>
      <c r="Q3700" s="41" t="str"/>
      <c r="R3700" s="41" t="str"/>
      <c r="S3700" s="41" t="str"/>
      <c r="T3700" s="41" t="str"/>
      <c r="U3700" s="41" t="str"/>
      <c r="V3700" s="41" t="str"/>
      <c r="W3700" s="41" t="str"/>
    </row>
    <row r="3701">
      <c r="B3701" s="2" t="n"/>
      <c r="C3701" s="40" t="n"/>
      <c r="D3701" s="52">
        <f t="array" ref="D3701:W3701">IF(All_Students_Scores!C3699:V3699="","",All_Students_Scores!C3699:V3699)</f>
        <v/>
      </c>
      <c r="E3701" s="57" t="str"/>
      <c r="F3701" s="49" t="str"/>
      <c r="G3701" s="59" t="str"/>
      <c r="H3701" s="64" t="str"/>
      <c r="I3701" s="65" t="str"/>
      <c r="J3701" s="49" t="str"/>
      <c r="K3701" s="41" t="str"/>
      <c r="L3701" s="41" t="str"/>
      <c r="M3701" s="41" t="str"/>
      <c r="N3701" s="41" t="str"/>
      <c r="O3701" s="41" t="str"/>
      <c r="P3701" s="41" t="str"/>
      <c r="Q3701" s="41" t="str"/>
      <c r="R3701" s="41" t="str"/>
      <c r="S3701" s="41" t="str"/>
      <c r="T3701" s="41" t="str"/>
      <c r="U3701" s="41" t="str"/>
      <c r="V3701" s="41" t="str"/>
      <c r="W3701" s="41" t="str"/>
    </row>
    <row r="3702">
      <c r="B3702" s="2" t="n"/>
      <c r="C3702" s="40" t="n"/>
      <c r="D3702" s="52">
        <f t="array" ref="D3702:W3702">IF(All_Students_Scores!C3700:V3700="","",All_Students_Scores!C3700:V3700)</f>
        <v/>
      </c>
      <c r="E3702" s="57" t="str"/>
      <c r="F3702" s="49" t="str"/>
      <c r="G3702" s="59" t="str"/>
      <c r="H3702" s="64" t="str"/>
      <c r="I3702" s="65" t="str"/>
      <c r="J3702" s="49" t="str"/>
      <c r="K3702" s="41" t="str"/>
      <c r="L3702" s="41" t="str"/>
      <c r="M3702" s="41" t="str"/>
      <c r="N3702" s="41" t="str"/>
      <c r="O3702" s="41" t="str"/>
      <c r="P3702" s="41" t="str"/>
      <c r="Q3702" s="41" t="str"/>
      <c r="R3702" s="41" t="str"/>
      <c r="S3702" s="41" t="str"/>
      <c r="T3702" s="41" t="str"/>
      <c r="U3702" s="41" t="str"/>
      <c r="V3702" s="41" t="str"/>
      <c r="W3702" s="41" t="str"/>
    </row>
    <row r="3703">
      <c r="B3703" s="2" t="n"/>
      <c r="C3703" s="40" t="n"/>
      <c r="D3703" s="52">
        <f t="array" ref="D3703:W3703">IF(All_Students_Scores!C3701:V3701="","",All_Students_Scores!C3701:V3701)</f>
        <v/>
      </c>
      <c r="E3703" s="57" t="str"/>
      <c r="F3703" s="49" t="str"/>
      <c r="G3703" s="59" t="str"/>
      <c r="H3703" s="64" t="str"/>
      <c r="I3703" s="65" t="str"/>
      <c r="J3703" s="49" t="str"/>
      <c r="K3703" s="41" t="str"/>
      <c r="L3703" s="41" t="str"/>
      <c r="M3703" s="41" t="str"/>
      <c r="N3703" s="41" t="str"/>
      <c r="O3703" s="41" t="str"/>
      <c r="P3703" s="41" t="str"/>
      <c r="Q3703" s="41" t="str"/>
      <c r="R3703" s="41" t="str"/>
      <c r="S3703" s="41" t="str"/>
      <c r="T3703" s="41" t="str"/>
      <c r="U3703" s="41" t="str"/>
      <c r="V3703" s="41" t="str"/>
      <c r="W3703" s="41" t="str"/>
    </row>
    <row r="3704">
      <c r="B3704" s="2" t="n"/>
      <c r="C3704" s="40" t="n"/>
      <c r="D3704" s="52">
        <f t="array" ref="D3704:W3704">IF(All_Students_Scores!C3702:V3702="","",All_Students_Scores!C3702:V3702)</f>
        <v/>
      </c>
      <c r="E3704" s="57" t="str"/>
      <c r="F3704" s="49" t="str"/>
      <c r="G3704" s="59" t="str"/>
      <c r="H3704" s="64" t="str"/>
      <c r="I3704" s="65" t="str"/>
      <c r="J3704" s="49" t="str"/>
      <c r="K3704" s="41" t="str"/>
      <c r="L3704" s="41" t="str"/>
      <c r="M3704" s="41" t="str"/>
      <c r="N3704" s="41" t="str"/>
      <c r="O3704" s="41" t="str"/>
      <c r="P3704" s="41" t="str"/>
      <c r="Q3704" s="41" t="str"/>
      <c r="R3704" s="41" t="str"/>
      <c r="S3704" s="41" t="str"/>
      <c r="T3704" s="41" t="str"/>
      <c r="U3704" s="41" t="str"/>
      <c r="V3704" s="41" t="str"/>
      <c r="W3704" s="41" t="str"/>
    </row>
    <row r="3705">
      <c r="B3705" s="2" t="n"/>
      <c r="C3705" s="40" t="n"/>
      <c r="D3705" s="52">
        <f t="array" ref="D3705:W3705">IF(All_Students_Scores!C3703:V3703="","",All_Students_Scores!C3703:V3703)</f>
        <v/>
      </c>
      <c r="E3705" s="57" t="str"/>
      <c r="F3705" s="49" t="str"/>
      <c r="G3705" s="59" t="str"/>
      <c r="H3705" s="64" t="str"/>
      <c r="I3705" s="65" t="str"/>
      <c r="J3705" s="49" t="str"/>
      <c r="K3705" s="41" t="str"/>
      <c r="L3705" s="41" t="str"/>
      <c r="M3705" s="41" t="str"/>
      <c r="N3705" s="41" t="str"/>
      <c r="O3705" s="41" t="str"/>
      <c r="P3705" s="41" t="str"/>
      <c r="Q3705" s="41" t="str"/>
      <c r="R3705" s="41" t="str"/>
      <c r="S3705" s="41" t="str"/>
      <c r="T3705" s="41" t="str"/>
      <c r="U3705" s="41" t="str"/>
      <c r="V3705" s="41" t="str"/>
      <c r="W3705" s="41" t="str"/>
    </row>
    <row r="3706">
      <c r="B3706" s="2" t="n"/>
      <c r="C3706" s="40" t="n"/>
      <c r="D3706" s="52">
        <f t="array" ref="D3706:W3706">IF(All_Students_Scores!C3704:V3704="","",All_Students_Scores!C3704:V3704)</f>
        <v/>
      </c>
      <c r="E3706" s="57" t="str"/>
      <c r="F3706" s="49" t="str"/>
      <c r="G3706" s="59" t="str"/>
      <c r="H3706" s="64" t="str"/>
      <c r="I3706" s="65" t="str"/>
      <c r="J3706" s="49" t="str"/>
      <c r="K3706" s="41" t="str"/>
      <c r="L3706" s="41" t="str"/>
      <c r="M3706" s="41" t="str"/>
      <c r="N3706" s="41" t="str"/>
      <c r="O3706" s="41" t="str"/>
      <c r="P3706" s="41" t="str"/>
      <c r="Q3706" s="41" t="str"/>
      <c r="R3706" s="41" t="str"/>
      <c r="S3706" s="41" t="str"/>
      <c r="T3706" s="41" t="str"/>
      <c r="U3706" s="41" t="str"/>
      <c r="V3706" s="41" t="str"/>
      <c r="W3706" s="41" t="str"/>
    </row>
    <row r="3707">
      <c r="B3707" s="2" t="n"/>
      <c r="C3707" s="40" t="n"/>
      <c r="D3707" s="52">
        <f t="array" ref="D3707:W3707">IF(All_Students_Scores!C3705:V3705="","",All_Students_Scores!C3705:V3705)</f>
        <v/>
      </c>
      <c r="E3707" s="57" t="str"/>
      <c r="F3707" s="49" t="str"/>
      <c r="G3707" s="59" t="str"/>
      <c r="H3707" s="64" t="str"/>
      <c r="I3707" s="65" t="str"/>
      <c r="J3707" s="49" t="str"/>
      <c r="K3707" s="41" t="str"/>
      <c r="L3707" s="41" t="str"/>
      <c r="M3707" s="41" t="str"/>
      <c r="N3707" s="41" t="str"/>
      <c r="O3707" s="41" t="str"/>
      <c r="P3707" s="41" t="str"/>
      <c r="Q3707" s="41" t="str"/>
      <c r="R3707" s="41" t="str"/>
      <c r="S3707" s="41" t="str"/>
      <c r="T3707" s="41" t="str"/>
      <c r="U3707" s="41" t="str"/>
      <c r="V3707" s="41" t="str"/>
      <c r="W3707" s="41" t="str"/>
    </row>
    <row r="3708">
      <c r="B3708" s="2" t="n"/>
      <c r="C3708" s="40" t="n"/>
      <c r="D3708" s="52">
        <f t="array" ref="D3708:W3708">IF(All_Students_Scores!C3706:V3706="","",All_Students_Scores!C3706:V3706)</f>
        <v/>
      </c>
      <c r="E3708" s="57" t="str"/>
      <c r="F3708" s="49" t="str"/>
      <c r="G3708" s="59" t="str"/>
      <c r="H3708" s="64" t="str"/>
      <c r="I3708" s="65" t="str"/>
      <c r="J3708" s="49" t="str"/>
      <c r="K3708" s="41" t="str"/>
      <c r="L3708" s="41" t="str"/>
      <c r="M3708" s="41" t="str"/>
      <c r="N3708" s="41" t="str"/>
      <c r="O3708" s="41" t="str"/>
      <c r="P3708" s="41" t="str"/>
      <c r="Q3708" s="41" t="str"/>
      <c r="R3708" s="41" t="str"/>
      <c r="S3708" s="41" t="str"/>
      <c r="T3708" s="41" t="str"/>
      <c r="U3708" s="41" t="str"/>
      <c r="V3708" s="41" t="str"/>
      <c r="W3708" s="41" t="str"/>
    </row>
    <row r="3709">
      <c r="B3709" s="2" t="n"/>
      <c r="C3709" s="40" t="n"/>
      <c r="D3709" s="52">
        <f t="array" ref="D3709:W3709">IF(All_Students_Scores!C3707:V3707="","",All_Students_Scores!C3707:V3707)</f>
        <v/>
      </c>
      <c r="E3709" s="57" t="str"/>
      <c r="F3709" s="49" t="str"/>
      <c r="G3709" s="59" t="str"/>
      <c r="H3709" s="64" t="str"/>
      <c r="I3709" s="65" t="str"/>
      <c r="J3709" s="49" t="str"/>
      <c r="K3709" s="41" t="str"/>
      <c r="L3709" s="41" t="str"/>
      <c r="M3709" s="41" t="str"/>
      <c r="N3709" s="41" t="str"/>
      <c r="O3709" s="41" t="str"/>
      <c r="P3709" s="41" t="str"/>
      <c r="Q3709" s="41" t="str"/>
      <c r="R3709" s="41" t="str"/>
      <c r="S3709" s="41" t="str"/>
      <c r="T3709" s="41" t="str"/>
      <c r="U3709" s="41" t="str"/>
      <c r="V3709" s="41" t="str"/>
      <c r="W3709" s="41" t="str"/>
    </row>
    <row r="3710">
      <c r="B3710" s="2" t="n"/>
      <c r="C3710" s="40" t="n"/>
      <c r="D3710" s="52">
        <f t="array" ref="D3710:W3710">IF(All_Students_Scores!C3708:V3708="","",All_Students_Scores!C3708:V3708)</f>
        <v/>
      </c>
      <c r="E3710" s="57" t="str"/>
      <c r="F3710" s="49" t="str"/>
      <c r="G3710" s="59" t="str"/>
      <c r="H3710" s="64" t="str"/>
      <c r="I3710" s="65" t="str"/>
      <c r="J3710" s="49" t="str"/>
      <c r="K3710" s="41" t="str"/>
      <c r="L3710" s="41" t="str"/>
      <c r="M3710" s="41" t="str"/>
      <c r="N3710" s="41" t="str"/>
      <c r="O3710" s="41" t="str"/>
      <c r="P3710" s="41" t="str"/>
      <c r="Q3710" s="41" t="str"/>
      <c r="R3710" s="41" t="str"/>
      <c r="S3710" s="41" t="str"/>
      <c r="T3710" s="41" t="str"/>
      <c r="U3710" s="41" t="str"/>
      <c r="V3710" s="41" t="str"/>
      <c r="W3710" s="41" t="str"/>
    </row>
    <row r="3711">
      <c r="B3711" s="2" t="n"/>
      <c r="C3711" s="40" t="n"/>
      <c r="D3711" s="52">
        <f t="array" ref="D3711:W3711">IF(All_Students_Scores!C3709:V3709="","",All_Students_Scores!C3709:V3709)</f>
        <v/>
      </c>
      <c r="E3711" s="57" t="str"/>
      <c r="F3711" s="49" t="str"/>
      <c r="G3711" s="59" t="str"/>
      <c r="H3711" s="64" t="str"/>
      <c r="I3711" s="65" t="str"/>
      <c r="J3711" s="49" t="str"/>
      <c r="K3711" s="41" t="str"/>
      <c r="L3711" s="41" t="str"/>
      <c r="M3711" s="41" t="str"/>
      <c r="N3711" s="41" t="str"/>
      <c r="O3711" s="41" t="str"/>
      <c r="P3711" s="41" t="str"/>
      <c r="Q3711" s="41" t="str"/>
      <c r="R3711" s="41" t="str"/>
      <c r="S3711" s="41" t="str"/>
      <c r="T3711" s="41" t="str"/>
      <c r="U3711" s="41" t="str"/>
      <c r="V3711" s="41" t="str"/>
      <c r="W3711" s="41" t="str"/>
    </row>
    <row r="3712">
      <c r="B3712" s="2" t="n"/>
      <c r="C3712" s="40" t="n"/>
      <c r="D3712" s="52">
        <f t="array" ref="D3712:W3712">IF(All_Students_Scores!C3710:V3710="","",All_Students_Scores!C3710:V3710)</f>
        <v/>
      </c>
      <c r="E3712" s="57" t="str"/>
      <c r="F3712" s="49" t="str"/>
      <c r="G3712" s="59" t="str"/>
      <c r="H3712" s="64" t="str"/>
      <c r="I3712" s="65" t="str"/>
      <c r="J3712" s="49" t="str"/>
      <c r="K3712" s="41" t="str"/>
      <c r="L3712" s="41" t="str"/>
      <c r="M3712" s="41" t="str"/>
      <c r="N3712" s="41" t="str"/>
      <c r="O3712" s="41" t="str"/>
      <c r="P3712" s="41" t="str"/>
      <c r="Q3712" s="41" t="str"/>
      <c r="R3712" s="41" t="str"/>
      <c r="S3712" s="41" t="str"/>
      <c r="T3712" s="41" t="str"/>
      <c r="U3712" s="41" t="str"/>
      <c r="V3712" s="41" t="str"/>
      <c r="W3712" s="41" t="str"/>
    </row>
    <row r="3713">
      <c r="B3713" s="2" t="n"/>
      <c r="C3713" s="40" t="n"/>
      <c r="D3713" s="52">
        <f t="array" ref="D3713:W3713">IF(All_Students_Scores!C3711:V3711="","",All_Students_Scores!C3711:V3711)</f>
        <v/>
      </c>
      <c r="E3713" s="57" t="str"/>
      <c r="F3713" s="49" t="str"/>
      <c r="G3713" s="59" t="str"/>
      <c r="H3713" s="64" t="str"/>
      <c r="I3713" s="65" t="str"/>
      <c r="J3713" s="49" t="str"/>
      <c r="K3713" s="41" t="str"/>
      <c r="L3713" s="41" t="str"/>
      <c r="M3713" s="41" t="str"/>
      <c r="N3713" s="41" t="str"/>
      <c r="O3713" s="41" t="str"/>
      <c r="P3713" s="41" t="str"/>
      <c r="Q3713" s="41" t="str"/>
      <c r="R3713" s="41" t="str"/>
      <c r="S3713" s="41" t="str"/>
      <c r="T3713" s="41" t="str"/>
      <c r="U3713" s="41" t="str"/>
      <c r="V3713" s="41" t="str"/>
      <c r="W3713" s="41" t="str"/>
    </row>
    <row r="3714">
      <c r="B3714" s="2" t="n"/>
      <c r="C3714" s="40" t="n"/>
      <c r="D3714" s="52">
        <f t="array" ref="D3714:W3714">IF(All_Students_Scores!C3712:V3712="","",All_Students_Scores!C3712:V3712)</f>
        <v/>
      </c>
      <c r="E3714" s="57" t="str"/>
      <c r="F3714" s="49" t="str"/>
      <c r="G3714" s="59" t="str"/>
      <c r="H3714" s="64" t="str"/>
      <c r="I3714" s="65" t="str"/>
      <c r="J3714" s="49" t="str"/>
      <c r="K3714" s="41" t="str"/>
      <c r="L3714" s="41" t="str"/>
      <c r="M3714" s="41" t="str"/>
      <c r="N3714" s="41" t="str"/>
      <c r="O3714" s="41" t="str"/>
      <c r="P3714" s="41" t="str"/>
      <c r="Q3714" s="41" t="str"/>
      <c r="R3714" s="41" t="str"/>
      <c r="S3714" s="41" t="str"/>
      <c r="T3714" s="41" t="str"/>
      <c r="U3714" s="41" t="str"/>
      <c r="V3714" s="41" t="str"/>
      <c r="W3714" s="41" t="str"/>
    </row>
    <row r="3715">
      <c r="B3715" s="2" t="n"/>
      <c r="C3715" s="40" t="n"/>
      <c r="D3715" s="52">
        <f t="array" ref="D3715:W3715">IF(All_Students_Scores!C3713:V3713="","",All_Students_Scores!C3713:V3713)</f>
        <v/>
      </c>
      <c r="E3715" s="57" t="str"/>
      <c r="F3715" s="49" t="str"/>
      <c r="G3715" s="59" t="str"/>
      <c r="H3715" s="64" t="str"/>
      <c r="I3715" s="65" t="str"/>
      <c r="J3715" s="49" t="str"/>
      <c r="K3715" s="41" t="str"/>
      <c r="L3715" s="41" t="str"/>
      <c r="M3715" s="41" t="str"/>
      <c r="N3715" s="41" t="str"/>
      <c r="O3715" s="41" t="str"/>
      <c r="P3715" s="41" t="str"/>
      <c r="Q3715" s="41" t="str"/>
      <c r="R3715" s="41" t="str"/>
      <c r="S3715" s="41" t="str"/>
      <c r="T3715" s="41" t="str"/>
      <c r="U3715" s="41" t="str"/>
      <c r="V3715" s="41" t="str"/>
      <c r="W3715" s="41" t="str"/>
    </row>
    <row r="3716">
      <c r="B3716" s="2" t="n"/>
      <c r="C3716" s="40" t="n"/>
      <c r="D3716" s="52">
        <f t="array" ref="D3716:W3716">IF(All_Students_Scores!C3714:V3714="","",All_Students_Scores!C3714:V3714)</f>
        <v/>
      </c>
      <c r="E3716" s="57" t="str"/>
      <c r="F3716" s="49" t="str"/>
      <c r="G3716" s="59" t="str"/>
      <c r="H3716" s="64" t="str"/>
      <c r="I3716" s="65" t="str"/>
      <c r="J3716" s="49" t="str"/>
      <c r="K3716" s="41" t="str"/>
      <c r="L3716" s="41" t="str"/>
      <c r="M3716" s="41" t="str"/>
      <c r="N3716" s="41" t="str"/>
      <c r="O3716" s="41" t="str"/>
      <c r="P3716" s="41" t="str"/>
      <c r="Q3716" s="41" t="str"/>
      <c r="R3716" s="41" t="str"/>
      <c r="S3716" s="41" t="str"/>
      <c r="T3716" s="41" t="str"/>
      <c r="U3716" s="41" t="str"/>
      <c r="V3716" s="41" t="str"/>
      <c r="W3716" s="41" t="str"/>
    </row>
    <row r="3717">
      <c r="B3717" s="2" t="n"/>
      <c r="C3717" s="40" t="n"/>
      <c r="D3717" s="52">
        <f t="array" ref="D3717:W3717">IF(All_Students_Scores!C3715:V3715="","",All_Students_Scores!C3715:V3715)</f>
        <v/>
      </c>
      <c r="E3717" s="57" t="str"/>
      <c r="F3717" s="49" t="str"/>
      <c r="G3717" s="59" t="str"/>
      <c r="H3717" s="64" t="str"/>
      <c r="I3717" s="65" t="str"/>
      <c r="J3717" s="49" t="str"/>
      <c r="K3717" s="41" t="str"/>
      <c r="L3717" s="41" t="str"/>
      <c r="M3717" s="41" t="str"/>
      <c r="N3717" s="41" t="str"/>
      <c r="O3717" s="41" t="str"/>
      <c r="P3717" s="41" t="str"/>
      <c r="Q3717" s="41" t="str"/>
      <c r="R3717" s="41" t="str"/>
      <c r="S3717" s="41" t="str"/>
      <c r="T3717" s="41" t="str"/>
      <c r="U3717" s="41" t="str"/>
      <c r="V3717" s="41" t="str"/>
      <c r="W3717" s="41" t="str"/>
    </row>
    <row r="3718">
      <c r="B3718" s="2" t="n"/>
      <c r="C3718" s="40" t="n"/>
      <c r="D3718" s="52">
        <f t="array" ref="D3718:W3718">IF(All_Students_Scores!C3716:V3716="","",All_Students_Scores!C3716:V3716)</f>
        <v/>
      </c>
      <c r="E3718" s="57" t="str"/>
      <c r="F3718" s="49" t="str"/>
      <c r="G3718" s="59" t="str"/>
      <c r="H3718" s="64" t="str"/>
      <c r="I3718" s="65" t="str"/>
      <c r="J3718" s="49" t="str"/>
      <c r="K3718" s="41" t="str"/>
      <c r="L3718" s="41" t="str"/>
      <c r="M3718" s="41" t="str"/>
      <c r="N3718" s="41" t="str"/>
      <c r="O3718" s="41" t="str"/>
      <c r="P3718" s="41" t="str"/>
      <c r="Q3718" s="41" t="str"/>
      <c r="R3718" s="41" t="str"/>
      <c r="S3718" s="41" t="str"/>
      <c r="T3718" s="41" t="str"/>
      <c r="U3718" s="41" t="str"/>
      <c r="V3718" s="41" t="str"/>
      <c r="W3718" s="41" t="str"/>
    </row>
    <row r="3719">
      <c r="B3719" s="2" t="n"/>
      <c r="C3719" s="40" t="n"/>
      <c r="D3719" s="52">
        <f t="array" ref="D3719:W3719">IF(All_Students_Scores!C3717:V3717="","",All_Students_Scores!C3717:V3717)</f>
        <v/>
      </c>
      <c r="E3719" s="57" t="str"/>
      <c r="F3719" s="49" t="str"/>
      <c r="G3719" s="59" t="str"/>
      <c r="H3719" s="64" t="str"/>
      <c r="I3719" s="65" t="str"/>
      <c r="J3719" s="49" t="str"/>
      <c r="K3719" s="41" t="str"/>
      <c r="L3719" s="41" t="str"/>
      <c r="M3719" s="41" t="str"/>
      <c r="N3719" s="41" t="str"/>
      <c r="O3719" s="41" t="str"/>
      <c r="P3719" s="41" t="str"/>
      <c r="Q3719" s="41" t="str"/>
      <c r="R3719" s="41" t="str"/>
      <c r="S3719" s="41" t="str"/>
      <c r="T3719" s="41" t="str"/>
      <c r="U3719" s="41" t="str"/>
      <c r="V3719" s="41" t="str"/>
      <c r="W3719" s="41" t="str"/>
    </row>
    <row r="3720">
      <c r="B3720" s="2" t="n"/>
      <c r="C3720" s="40" t="n"/>
      <c r="D3720" s="52">
        <f t="array" ref="D3720:W3720">IF(All_Students_Scores!C3718:V3718="","",All_Students_Scores!C3718:V3718)</f>
        <v/>
      </c>
      <c r="E3720" s="57" t="str"/>
      <c r="F3720" s="49" t="str"/>
      <c r="G3720" s="59" t="str"/>
      <c r="H3720" s="64" t="str"/>
      <c r="I3720" s="65" t="str"/>
      <c r="J3720" s="49" t="str"/>
      <c r="K3720" s="41" t="str"/>
      <c r="L3720" s="41" t="str"/>
      <c r="M3720" s="41" t="str"/>
      <c r="N3720" s="41" t="str"/>
      <c r="O3720" s="41" t="str"/>
      <c r="P3720" s="41" t="str"/>
      <c r="Q3720" s="41" t="str"/>
      <c r="R3720" s="41" t="str"/>
      <c r="S3720" s="41" t="str"/>
      <c r="T3720" s="41" t="str"/>
      <c r="U3720" s="41" t="str"/>
      <c r="V3720" s="41" t="str"/>
      <c r="W3720" s="41" t="str"/>
    </row>
    <row r="3721">
      <c r="B3721" s="2" t="n"/>
      <c r="C3721" s="40" t="n"/>
      <c r="D3721" s="52">
        <f t="array" ref="D3721:W3721">IF(All_Students_Scores!C3719:V3719="","",All_Students_Scores!C3719:V3719)</f>
        <v/>
      </c>
      <c r="E3721" s="57" t="str"/>
      <c r="F3721" s="49" t="str"/>
      <c r="G3721" s="59" t="str"/>
      <c r="H3721" s="64" t="str"/>
      <c r="I3721" s="65" t="str"/>
      <c r="J3721" s="49" t="str"/>
      <c r="K3721" s="41" t="str"/>
      <c r="L3721" s="41" t="str"/>
      <c r="M3721" s="41" t="str"/>
      <c r="N3721" s="41" t="str"/>
      <c r="O3721" s="41" t="str"/>
      <c r="P3721" s="41" t="str"/>
      <c r="Q3721" s="41" t="str"/>
      <c r="R3721" s="41" t="str"/>
      <c r="S3721" s="41" t="str"/>
      <c r="T3721" s="41" t="str"/>
      <c r="U3721" s="41" t="str"/>
      <c r="V3721" s="41" t="str"/>
      <c r="W3721" s="41" t="str"/>
    </row>
    <row r="3722">
      <c r="B3722" s="2" t="n"/>
      <c r="C3722" s="40" t="n"/>
      <c r="D3722" s="52">
        <f t="array" ref="D3722:W3722">IF(All_Students_Scores!C3720:V3720="","",All_Students_Scores!C3720:V3720)</f>
        <v/>
      </c>
      <c r="E3722" s="57" t="str"/>
      <c r="F3722" s="49" t="str"/>
      <c r="G3722" s="59" t="str"/>
      <c r="H3722" s="64" t="str"/>
      <c r="I3722" s="65" t="str"/>
      <c r="J3722" s="49" t="str"/>
      <c r="K3722" s="41" t="str"/>
      <c r="L3722" s="41" t="str"/>
      <c r="M3722" s="41" t="str"/>
      <c r="N3722" s="41" t="str"/>
      <c r="O3722" s="41" t="str"/>
      <c r="P3722" s="41" t="str"/>
      <c r="Q3722" s="41" t="str"/>
      <c r="R3722" s="41" t="str"/>
      <c r="S3722" s="41" t="str"/>
      <c r="T3722" s="41" t="str"/>
      <c r="U3722" s="41" t="str"/>
      <c r="V3722" s="41" t="str"/>
      <c r="W3722" s="41" t="str"/>
    </row>
    <row r="3723">
      <c r="B3723" s="2" t="n"/>
      <c r="C3723" s="40" t="n"/>
      <c r="D3723" s="52">
        <f t="array" ref="D3723:W3723">IF(All_Students_Scores!C3721:V3721="","",All_Students_Scores!C3721:V3721)</f>
        <v/>
      </c>
      <c r="E3723" s="57" t="str"/>
      <c r="F3723" s="49" t="str"/>
      <c r="G3723" s="59" t="str"/>
      <c r="H3723" s="64" t="str"/>
      <c r="I3723" s="65" t="str"/>
      <c r="J3723" s="49" t="str"/>
      <c r="K3723" s="41" t="str"/>
      <c r="L3723" s="41" t="str"/>
      <c r="M3723" s="41" t="str"/>
      <c r="N3723" s="41" t="str"/>
      <c r="O3723" s="41" t="str"/>
      <c r="P3723" s="41" t="str"/>
      <c r="Q3723" s="41" t="str"/>
      <c r="R3723" s="41" t="str"/>
      <c r="S3723" s="41" t="str"/>
      <c r="T3723" s="41" t="str"/>
      <c r="U3723" s="41" t="str"/>
      <c r="V3723" s="41" t="str"/>
      <c r="W3723" s="41" t="str"/>
    </row>
    <row r="3724">
      <c r="B3724" s="2" t="n"/>
      <c r="C3724" s="40" t="n"/>
      <c r="D3724" s="52">
        <f t="array" ref="D3724:W3724">IF(All_Students_Scores!C3722:V3722="","",All_Students_Scores!C3722:V3722)</f>
        <v/>
      </c>
      <c r="E3724" s="57" t="str"/>
      <c r="F3724" s="49" t="str"/>
      <c r="G3724" s="59" t="str"/>
      <c r="H3724" s="64" t="str"/>
      <c r="I3724" s="65" t="str"/>
      <c r="J3724" s="49" t="str"/>
      <c r="K3724" s="41" t="str"/>
      <c r="L3724" s="41" t="str"/>
      <c r="M3724" s="41" t="str"/>
      <c r="N3724" s="41" t="str"/>
      <c r="O3724" s="41" t="str"/>
      <c r="P3724" s="41" t="str"/>
      <c r="Q3724" s="41" t="str"/>
      <c r="R3724" s="41" t="str"/>
      <c r="S3724" s="41" t="str"/>
      <c r="T3724" s="41" t="str"/>
      <c r="U3724" s="41" t="str"/>
      <c r="V3724" s="41" t="str"/>
      <c r="W3724" s="41" t="str"/>
    </row>
    <row r="3725">
      <c r="B3725" s="2" t="n"/>
      <c r="C3725" s="40" t="n"/>
      <c r="D3725" s="52">
        <f t="array" ref="D3725:W3725">IF(All_Students_Scores!C3723:V3723="","",All_Students_Scores!C3723:V3723)</f>
        <v/>
      </c>
      <c r="E3725" s="57" t="str"/>
      <c r="F3725" s="49" t="str"/>
      <c r="G3725" s="59" t="str"/>
      <c r="H3725" s="64" t="str"/>
      <c r="I3725" s="65" t="str"/>
      <c r="J3725" s="49" t="str"/>
      <c r="K3725" s="41" t="str"/>
      <c r="L3725" s="41" t="str"/>
      <c r="M3725" s="41" t="str"/>
      <c r="N3725" s="41" t="str"/>
      <c r="O3725" s="41" t="str"/>
      <c r="P3725" s="41" t="str"/>
      <c r="Q3725" s="41" t="str"/>
      <c r="R3725" s="41" t="str"/>
      <c r="S3725" s="41" t="str"/>
      <c r="T3725" s="41" t="str"/>
      <c r="U3725" s="41" t="str"/>
      <c r="V3725" s="41" t="str"/>
      <c r="W3725" s="41" t="str"/>
    </row>
    <row r="3726">
      <c r="B3726" s="2" t="n"/>
      <c r="C3726" s="40" t="n"/>
      <c r="D3726" s="52">
        <f t="array" ref="D3726:W3726">IF(All_Students_Scores!C3724:V3724="","",All_Students_Scores!C3724:V3724)</f>
        <v/>
      </c>
      <c r="E3726" s="57" t="str"/>
      <c r="F3726" s="49" t="str"/>
      <c r="G3726" s="59" t="str"/>
      <c r="H3726" s="64" t="str"/>
      <c r="I3726" s="65" t="str"/>
      <c r="J3726" s="49" t="str"/>
      <c r="K3726" s="41" t="str"/>
      <c r="L3726" s="41" t="str"/>
      <c r="M3726" s="41" t="str"/>
      <c r="N3726" s="41" t="str"/>
      <c r="O3726" s="41" t="str"/>
      <c r="P3726" s="41" t="str"/>
      <c r="Q3726" s="41" t="str"/>
      <c r="R3726" s="41" t="str"/>
      <c r="S3726" s="41" t="str"/>
      <c r="T3726" s="41" t="str"/>
      <c r="U3726" s="41" t="str"/>
      <c r="V3726" s="41" t="str"/>
      <c r="W3726" s="41" t="str"/>
    </row>
    <row r="3727">
      <c r="B3727" s="2" t="n"/>
      <c r="C3727" s="40" t="n"/>
      <c r="D3727" s="52">
        <f t="array" ref="D3727:W3727">IF(All_Students_Scores!C3725:V3725="","",All_Students_Scores!C3725:V3725)</f>
        <v/>
      </c>
      <c r="E3727" s="57" t="str"/>
      <c r="F3727" s="49" t="str"/>
      <c r="G3727" s="59" t="str"/>
      <c r="H3727" s="64" t="str"/>
      <c r="I3727" s="65" t="str"/>
      <c r="J3727" s="49" t="str"/>
      <c r="K3727" s="41" t="str"/>
      <c r="L3727" s="41" t="str"/>
      <c r="M3727" s="41" t="str"/>
      <c r="N3727" s="41" t="str"/>
      <c r="O3727" s="41" t="str"/>
      <c r="P3727" s="41" t="str"/>
      <c r="Q3727" s="41" t="str"/>
      <c r="R3727" s="41" t="str"/>
      <c r="S3727" s="41" t="str"/>
      <c r="T3727" s="41" t="str"/>
      <c r="U3727" s="41" t="str"/>
      <c r="V3727" s="41" t="str"/>
      <c r="W3727" s="41" t="str"/>
    </row>
    <row r="3728">
      <c r="B3728" s="2" t="n"/>
      <c r="C3728" s="40" t="n"/>
      <c r="D3728" s="52">
        <f t="array" ref="D3728:W3728">IF(All_Students_Scores!C3726:V3726="","",All_Students_Scores!C3726:V3726)</f>
        <v/>
      </c>
      <c r="E3728" s="57" t="str"/>
      <c r="F3728" s="49" t="str"/>
      <c r="G3728" s="59" t="str"/>
      <c r="H3728" s="64" t="str"/>
      <c r="I3728" s="65" t="str"/>
      <c r="J3728" s="49" t="str"/>
      <c r="K3728" s="41" t="str"/>
      <c r="L3728" s="41" t="str"/>
      <c r="M3728" s="41" t="str"/>
      <c r="N3728" s="41" t="str"/>
      <c r="O3728" s="41" t="str"/>
      <c r="P3728" s="41" t="str"/>
      <c r="Q3728" s="41" t="str"/>
      <c r="R3728" s="41" t="str"/>
      <c r="S3728" s="41" t="str"/>
      <c r="T3728" s="41" t="str"/>
      <c r="U3728" s="41" t="str"/>
      <c r="V3728" s="41" t="str"/>
      <c r="W3728" s="41" t="str"/>
    </row>
    <row r="3729">
      <c r="B3729" s="2" t="n"/>
      <c r="C3729" s="40" t="n"/>
      <c r="D3729" s="52">
        <f t="array" ref="D3729:W3729">IF(All_Students_Scores!C3727:V3727="","",All_Students_Scores!C3727:V3727)</f>
        <v/>
      </c>
      <c r="E3729" s="57" t="str"/>
      <c r="F3729" s="49" t="str"/>
      <c r="G3729" s="59" t="str"/>
      <c r="H3729" s="64" t="str"/>
      <c r="I3729" s="65" t="str"/>
      <c r="J3729" s="49" t="str"/>
      <c r="K3729" s="41" t="str"/>
      <c r="L3729" s="41" t="str"/>
      <c r="M3729" s="41" t="str"/>
      <c r="N3729" s="41" t="str"/>
      <c r="O3729" s="41" t="str"/>
      <c r="P3729" s="41" t="str"/>
      <c r="Q3729" s="41" t="str"/>
      <c r="R3729" s="41" t="str"/>
      <c r="S3729" s="41" t="str"/>
      <c r="T3729" s="41" t="str"/>
      <c r="U3729" s="41" t="str"/>
      <c r="V3729" s="41" t="str"/>
      <c r="W3729" s="41" t="str"/>
    </row>
    <row r="3730">
      <c r="B3730" s="2" t="n"/>
      <c r="C3730" s="40" t="n"/>
      <c r="D3730" s="52">
        <f t="array" ref="D3730:W3730">IF(All_Students_Scores!C3728:V3728="","",All_Students_Scores!C3728:V3728)</f>
        <v/>
      </c>
      <c r="E3730" s="57" t="str"/>
      <c r="F3730" s="49" t="str"/>
      <c r="G3730" s="59" t="str"/>
      <c r="H3730" s="64" t="str"/>
      <c r="I3730" s="65" t="str"/>
      <c r="J3730" s="49" t="str"/>
      <c r="K3730" s="41" t="str"/>
      <c r="L3730" s="41" t="str"/>
      <c r="M3730" s="41" t="str"/>
      <c r="N3730" s="41" t="str"/>
      <c r="O3730" s="41" t="str"/>
      <c r="P3730" s="41" t="str"/>
      <c r="Q3730" s="41" t="str"/>
      <c r="R3730" s="41" t="str"/>
      <c r="S3730" s="41" t="str"/>
      <c r="T3730" s="41" t="str"/>
      <c r="U3730" s="41" t="str"/>
      <c r="V3730" s="41" t="str"/>
      <c r="W3730" s="41" t="str"/>
    </row>
    <row r="3731">
      <c r="B3731" s="2" t="n"/>
      <c r="C3731" s="40" t="n"/>
      <c r="D3731" s="52">
        <f t="array" ref="D3731:W3731">IF(All_Students_Scores!C3729:V3729="","",All_Students_Scores!C3729:V3729)</f>
        <v/>
      </c>
      <c r="E3731" s="57" t="str"/>
      <c r="F3731" s="49" t="str"/>
      <c r="G3731" s="59" t="str"/>
      <c r="H3731" s="64" t="str"/>
      <c r="I3731" s="65" t="str"/>
      <c r="J3731" s="49" t="str"/>
      <c r="K3731" s="41" t="str"/>
      <c r="L3731" s="41" t="str"/>
      <c r="M3731" s="41" t="str"/>
      <c r="N3731" s="41" t="str"/>
      <c r="O3731" s="41" t="str"/>
      <c r="P3731" s="41" t="str"/>
      <c r="Q3731" s="41" t="str"/>
      <c r="R3731" s="41" t="str"/>
      <c r="S3731" s="41" t="str"/>
      <c r="T3731" s="41" t="str"/>
      <c r="U3731" s="41" t="str"/>
      <c r="V3731" s="41" t="str"/>
      <c r="W3731" s="41" t="str"/>
    </row>
    <row r="3732">
      <c r="B3732" s="2" t="n"/>
      <c r="C3732" s="40" t="n"/>
      <c r="D3732" s="52">
        <f t="array" ref="D3732:W3732">IF(All_Students_Scores!C3730:V3730="","",All_Students_Scores!C3730:V3730)</f>
        <v/>
      </c>
      <c r="E3732" s="57" t="str"/>
      <c r="F3732" s="49" t="str"/>
      <c r="G3732" s="59" t="str"/>
      <c r="H3732" s="64" t="str"/>
      <c r="I3732" s="65" t="str"/>
      <c r="J3732" s="49" t="str"/>
      <c r="K3732" s="41" t="str"/>
      <c r="L3732" s="41" t="str"/>
      <c r="M3732" s="41" t="str"/>
      <c r="N3732" s="41" t="str"/>
      <c r="O3732" s="41" t="str"/>
      <c r="P3732" s="41" t="str"/>
      <c r="Q3732" s="41" t="str"/>
      <c r="R3732" s="41" t="str"/>
      <c r="S3732" s="41" t="str"/>
      <c r="T3732" s="41" t="str"/>
      <c r="U3732" s="41" t="str"/>
      <c r="V3732" s="41" t="str"/>
      <c r="W3732" s="41" t="str"/>
    </row>
    <row r="3733">
      <c r="B3733" s="2" t="n"/>
      <c r="C3733" s="40" t="n"/>
      <c r="D3733" s="52">
        <f t="array" ref="D3733:W3733">IF(All_Students_Scores!C3731:V3731="","",All_Students_Scores!C3731:V3731)</f>
        <v/>
      </c>
      <c r="E3733" s="57" t="str"/>
      <c r="F3733" s="49" t="str"/>
      <c r="G3733" s="59" t="str"/>
      <c r="H3733" s="64" t="str"/>
      <c r="I3733" s="65" t="str"/>
      <c r="J3733" s="49" t="str"/>
      <c r="K3733" s="41" t="str"/>
      <c r="L3733" s="41" t="str"/>
      <c r="M3733" s="41" t="str"/>
      <c r="N3733" s="41" t="str"/>
      <c r="O3733" s="41" t="str"/>
      <c r="P3733" s="41" t="str"/>
      <c r="Q3733" s="41" t="str"/>
      <c r="R3733" s="41" t="str"/>
      <c r="S3733" s="41" t="str"/>
      <c r="T3733" s="41" t="str"/>
      <c r="U3733" s="41" t="str"/>
      <c r="V3733" s="41" t="str"/>
      <c r="W3733" s="41" t="str"/>
    </row>
    <row r="3734">
      <c r="B3734" s="2" t="n"/>
      <c r="C3734" s="40" t="n"/>
      <c r="D3734" s="52">
        <f t="array" ref="D3734:W3734">IF(All_Students_Scores!C3732:V3732="","",All_Students_Scores!C3732:V3732)</f>
        <v/>
      </c>
      <c r="E3734" s="57" t="str"/>
      <c r="F3734" s="49" t="str"/>
      <c r="G3734" s="59" t="str"/>
      <c r="H3734" s="64" t="str"/>
      <c r="I3734" s="65" t="str"/>
      <c r="J3734" s="49" t="str"/>
      <c r="K3734" s="41" t="str"/>
      <c r="L3734" s="41" t="str"/>
      <c r="M3734" s="41" t="str"/>
      <c r="N3734" s="41" t="str"/>
      <c r="O3734" s="41" t="str"/>
      <c r="P3734" s="41" t="str"/>
      <c r="Q3734" s="41" t="str"/>
      <c r="R3734" s="41" t="str"/>
      <c r="S3734" s="41" t="str"/>
      <c r="T3734" s="41" t="str"/>
      <c r="U3734" s="41" t="str"/>
      <c r="V3734" s="41" t="str"/>
      <c r="W3734" s="41" t="str"/>
    </row>
    <row r="3735">
      <c r="B3735" s="2" t="n"/>
      <c r="C3735" s="40" t="n"/>
      <c r="D3735" s="52">
        <f t="array" ref="D3735:W3735">IF(All_Students_Scores!C3733:V3733="","",All_Students_Scores!C3733:V3733)</f>
        <v/>
      </c>
      <c r="E3735" s="57" t="str"/>
      <c r="F3735" s="49" t="str"/>
      <c r="G3735" s="59" t="str"/>
      <c r="H3735" s="64" t="str"/>
      <c r="I3735" s="65" t="str"/>
      <c r="J3735" s="49" t="str"/>
      <c r="K3735" s="41" t="str"/>
      <c r="L3735" s="41" t="str"/>
      <c r="M3735" s="41" t="str"/>
      <c r="N3735" s="41" t="str"/>
      <c r="O3735" s="41" t="str"/>
      <c r="P3735" s="41" t="str"/>
      <c r="Q3735" s="41" t="str"/>
      <c r="R3735" s="41" t="str"/>
      <c r="S3735" s="41" t="str"/>
      <c r="T3735" s="41" t="str"/>
      <c r="U3735" s="41" t="str"/>
      <c r="V3735" s="41" t="str"/>
      <c r="W3735" s="41" t="str"/>
    </row>
    <row r="3736">
      <c r="B3736" s="2" t="n"/>
      <c r="C3736" s="40" t="n"/>
      <c r="D3736" s="52">
        <f t="array" ref="D3736:W3736">IF(All_Students_Scores!C3734:V3734="","",All_Students_Scores!C3734:V3734)</f>
        <v/>
      </c>
      <c r="E3736" s="57" t="str"/>
      <c r="F3736" s="49" t="str"/>
      <c r="G3736" s="59" t="str"/>
      <c r="H3736" s="64" t="str"/>
      <c r="I3736" s="65" t="str"/>
      <c r="J3736" s="49" t="str"/>
      <c r="K3736" s="41" t="str"/>
      <c r="L3736" s="41" t="str"/>
      <c r="M3736" s="41" t="str"/>
      <c r="N3736" s="41" t="str"/>
      <c r="O3736" s="41" t="str"/>
      <c r="P3736" s="41" t="str"/>
      <c r="Q3736" s="41" t="str"/>
      <c r="R3736" s="41" t="str"/>
      <c r="S3736" s="41" t="str"/>
      <c r="T3736" s="41" t="str"/>
      <c r="U3736" s="41" t="str"/>
      <c r="V3736" s="41" t="str"/>
      <c r="W3736" s="41" t="str"/>
    </row>
    <row r="3737">
      <c r="B3737" s="2" t="n"/>
      <c r="C3737" s="40" t="n"/>
      <c r="D3737" s="52">
        <f t="array" ref="D3737:W3737">IF(All_Students_Scores!C3735:V3735="","",All_Students_Scores!C3735:V3735)</f>
        <v/>
      </c>
      <c r="E3737" s="57" t="str"/>
      <c r="F3737" s="49" t="str"/>
      <c r="G3737" s="59" t="str"/>
      <c r="H3737" s="64" t="str"/>
      <c r="I3737" s="65" t="str"/>
      <c r="J3737" s="49" t="str"/>
      <c r="K3737" s="41" t="str"/>
      <c r="L3737" s="41" t="str"/>
      <c r="M3737" s="41" t="str"/>
      <c r="N3737" s="41" t="str"/>
      <c r="O3737" s="41" t="str"/>
      <c r="P3737" s="41" t="str"/>
      <c r="Q3737" s="41" t="str"/>
      <c r="R3737" s="41" t="str"/>
      <c r="S3737" s="41" t="str"/>
      <c r="T3737" s="41" t="str"/>
      <c r="U3737" s="41" t="str"/>
      <c r="V3737" s="41" t="str"/>
      <c r="W3737" s="41" t="str"/>
    </row>
    <row r="3738">
      <c r="B3738" s="2" t="n"/>
      <c r="C3738" s="40" t="n"/>
      <c r="D3738" s="52">
        <f t="array" ref="D3738:W3738">IF(All_Students_Scores!C3736:V3736="","",All_Students_Scores!C3736:V3736)</f>
        <v/>
      </c>
      <c r="E3738" s="57" t="str"/>
      <c r="F3738" s="49" t="str"/>
      <c r="G3738" s="59" t="str"/>
      <c r="H3738" s="64" t="str"/>
      <c r="I3738" s="65" t="str"/>
      <c r="J3738" s="49" t="str"/>
      <c r="K3738" s="41" t="str"/>
      <c r="L3738" s="41" t="str"/>
      <c r="M3738" s="41" t="str"/>
      <c r="N3738" s="41" t="str"/>
      <c r="O3738" s="41" t="str"/>
      <c r="P3738" s="41" t="str"/>
      <c r="Q3738" s="41" t="str"/>
      <c r="R3738" s="41" t="str"/>
      <c r="S3738" s="41" t="str"/>
      <c r="T3738" s="41" t="str"/>
      <c r="U3738" s="41" t="str"/>
      <c r="V3738" s="41" t="str"/>
      <c r="W3738" s="41" t="str"/>
    </row>
    <row r="3739">
      <c r="B3739" s="2" t="n"/>
      <c r="C3739" s="40" t="n"/>
      <c r="D3739" s="52">
        <f t="array" ref="D3739:W3739">IF(All_Students_Scores!C3737:V3737="","",All_Students_Scores!C3737:V3737)</f>
        <v/>
      </c>
      <c r="E3739" s="57" t="str"/>
      <c r="F3739" s="49" t="str"/>
      <c r="G3739" s="59" t="str"/>
      <c r="H3739" s="64" t="str"/>
      <c r="I3739" s="65" t="str"/>
      <c r="J3739" s="49" t="str"/>
      <c r="K3739" s="41" t="str"/>
      <c r="L3739" s="41" t="str"/>
      <c r="M3739" s="41" t="str"/>
      <c r="N3739" s="41" t="str"/>
      <c r="O3739" s="41" t="str"/>
      <c r="P3739" s="41" t="str"/>
      <c r="Q3739" s="41" t="str"/>
      <c r="R3739" s="41" t="str"/>
      <c r="S3739" s="41" t="str"/>
      <c r="T3739" s="41" t="str"/>
      <c r="U3739" s="41" t="str"/>
      <c r="V3739" s="41" t="str"/>
      <c r="W3739" s="41" t="str"/>
    </row>
    <row r="3740">
      <c r="B3740" s="2" t="n"/>
      <c r="C3740" s="40" t="n"/>
      <c r="D3740" s="52">
        <f t="array" ref="D3740:W3740">IF(All_Students_Scores!C3738:V3738="","",All_Students_Scores!C3738:V3738)</f>
        <v/>
      </c>
      <c r="E3740" s="57" t="str"/>
      <c r="F3740" s="49" t="str"/>
      <c r="G3740" s="59" t="str"/>
      <c r="H3740" s="64" t="str"/>
      <c r="I3740" s="65" t="str"/>
      <c r="J3740" s="49" t="str"/>
      <c r="K3740" s="41" t="str"/>
      <c r="L3740" s="41" t="str"/>
      <c r="M3740" s="41" t="str"/>
      <c r="N3740" s="41" t="str"/>
      <c r="O3740" s="41" t="str"/>
      <c r="P3740" s="41" t="str"/>
      <c r="Q3740" s="41" t="str"/>
      <c r="R3740" s="41" t="str"/>
      <c r="S3740" s="41" t="str"/>
      <c r="T3740" s="41" t="str"/>
      <c r="U3740" s="41" t="str"/>
      <c r="V3740" s="41" t="str"/>
      <c r="W3740" s="41" t="str"/>
    </row>
    <row r="3741">
      <c r="B3741" s="2" t="n"/>
      <c r="C3741" s="40" t="n"/>
      <c r="D3741" s="52">
        <f t="array" ref="D3741:W3741">IF(All_Students_Scores!C3739:V3739="","",All_Students_Scores!C3739:V3739)</f>
        <v/>
      </c>
      <c r="E3741" s="57" t="str"/>
      <c r="F3741" s="49" t="str"/>
      <c r="G3741" s="59" t="str"/>
      <c r="H3741" s="64" t="str"/>
      <c r="I3741" s="65" t="str"/>
      <c r="J3741" s="49" t="str"/>
      <c r="K3741" s="41" t="str"/>
      <c r="L3741" s="41" t="str"/>
      <c r="M3741" s="41" t="str"/>
      <c r="N3741" s="41" t="str"/>
      <c r="O3741" s="41" t="str"/>
      <c r="P3741" s="41" t="str"/>
      <c r="Q3741" s="41" t="str"/>
      <c r="R3741" s="41" t="str"/>
      <c r="S3741" s="41" t="str"/>
      <c r="T3741" s="41" t="str"/>
      <c r="U3741" s="41" t="str"/>
      <c r="V3741" s="41" t="str"/>
      <c r="W3741" s="41" t="str"/>
    </row>
    <row r="3742">
      <c r="B3742" s="2" t="n"/>
      <c r="C3742" s="40" t="n"/>
      <c r="D3742" s="52">
        <f t="array" ref="D3742:W3742">IF(All_Students_Scores!C3740:V3740="","",All_Students_Scores!C3740:V3740)</f>
        <v/>
      </c>
      <c r="E3742" s="57" t="str"/>
      <c r="F3742" s="49" t="str"/>
      <c r="G3742" s="59" t="str"/>
      <c r="H3742" s="64" t="str"/>
      <c r="I3742" s="65" t="str"/>
      <c r="J3742" s="49" t="str"/>
      <c r="K3742" s="41" t="str"/>
      <c r="L3742" s="41" t="str"/>
      <c r="M3742" s="41" t="str"/>
      <c r="N3742" s="41" t="str"/>
      <c r="O3742" s="41" t="str"/>
      <c r="P3742" s="41" t="str"/>
      <c r="Q3742" s="41" t="str"/>
      <c r="R3742" s="41" t="str"/>
      <c r="S3742" s="41" t="str"/>
      <c r="T3742" s="41" t="str"/>
      <c r="U3742" s="41" t="str"/>
      <c r="V3742" s="41" t="str"/>
      <c r="W3742" s="41" t="str"/>
    </row>
    <row r="3743">
      <c r="B3743" s="2" t="n"/>
      <c r="C3743" s="40" t="n"/>
      <c r="D3743" s="52">
        <f t="array" ref="D3743:W3743">IF(All_Students_Scores!C3741:V3741="","",All_Students_Scores!C3741:V3741)</f>
        <v/>
      </c>
      <c r="E3743" s="57" t="str"/>
      <c r="F3743" s="49" t="str"/>
      <c r="G3743" s="59" t="str"/>
      <c r="H3743" s="64" t="str"/>
      <c r="I3743" s="65" t="str"/>
      <c r="J3743" s="49" t="str"/>
      <c r="K3743" s="41" t="str"/>
      <c r="L3743" s="41" t="str"/>
      <c r="M3743" s="41" t="str"/>
      <c r="N3743" s="41" t="str"/>
      <c r="O3743" s="41" t="str"/>
      <c r="P3743" s="41" t="str"/>
      <c r="Q3743" s="41" t="str"/>
      <c r="R3743" s="41" t="str"/>
      <c r="S3743" s="41" t="str"/>
      <c r="T3743" s="41" t="str"/>
      <c r="U3743" s="41" t="str"/>
      <c r="V3743" s="41" t="str"/>
      <c r="W3743" s="41" t="str"/>
    </row>
    <row r="3744">
      <c r="B3744" s="2" t="n"/>
      <c r="C3744" s="40" t="n"/>
      <c r="D3744" s="52">
        <f t="array" ref="D3744:W3744">IF(All_Students_Scores!C3742:V3742="","",All_Students_Scores!C3742:V3742)</f>
        <v/>
      </c>
      <c r="E3744" s="57" t="str"/>
      <c r="F3744" s="49" t="str"/>
      <c r="G3744" s="59" t="str"/>
      <c r="H3744" s="64" t="str"/>
      <c r="I3744" s="65" t="str"/>
      <c r="J3744" s="49" t="str"/>
      <c r="K3744" s="41" t="str"/>
      <c r="L3744" s="41" t="str"/>
      <c r="M3744" s="41" t="str"/>
      <c r="N3744" s="41" t="str"/>
      <c r="O3744" s="41" t="str"/>
      <c r="P3744" s="41" t="str"/>
      <c r="Q3744" s="41" t="str"/>
      <c r="R3744" s="41" t="str"/>
      <c r="S3744" s="41" t="str"/>
      <c r="T3744" s="41" t="str"/>
      <c r="U3744" s="41" t="str"/>
      <c r="V3744" s="41" t="str"/>
      <c r="W3744" s="41" t="str"/>
    </row>
    <row r="3745">
      <c r="B3745" s="2" t="n"/>
      <c r="C3745" s="40" t="n"/>
      <c r="D3745" s="52">
        <f t="array" ref="D3745:W3745">IF(All_Students_Scores!C3743:V3743="","",All_Students_Scores!C3743:V3743)</f>
        <v/>
      </c>
      <c r="E3745" s="57" t="str"/>
      <c r="F3745" s="49" t="str"/>
      <c r="G3745" s="59" t="str"/>
      <c r="H3745" s="64" t="str"/>
      <c r="I3745" s="65" t="str"/>
      <c r="J3745" s="49" t="str"/>
      <c r="K3745" s="41" t="str"/>
      <c r="L3745" s="41" t="str"/>
      <c r="M3745" s="41" t="str"/>
      <c r="N3745" s="41" t="str"/>
      <c r="O3745" s="41" t="str"/>
      <c r="P3745" s="41" t="str"/>
      <c r="Q3745" s="41" t="str"/>
      <c r="R3745" s="41" t="str"/>
      <c r="S3745" s="41" t="str"/>
      <c r="T3745" s="41" t="str"/>
      <c r="U3745" s="41" t="str"/>
      <c r="V3745" s="41" t="str"/>
      <c r="W3745" s="41" t="str"/>
    </row>
    <row r="3746">
      <c r="B3746" s="2" t="n"/>
      <c r="C3746" s="40" t="n"/>
      <c r="D3746" s="52">
        <f t="array" ref="D3746:W3746">IF(All_Students_Scores!C3744:V3744="","",All_Students_Scores!C3744:V3744)</f>
        <v/>
      </c>
      <c r="E3746" s="57" t="str"/>
      <c r="F3746" s="49" t="str"/>
      <c r="G3746" s="59" t="str"/>
      <c r="H3746" s="64" t="str"/>
      <c r="I3746" s="65" t="str"/>
      <c r="J3746" s="49" t="str"/>
      <c r="K3746" s="41" t="str"/>
      <c r="L3746" s="41" t="str"/>
      <c r="M3746" s="41" t="str"/>
      <c r="N3746" s="41" t="str"/>
      <c r="O3746" s="41" t="str"/>
      <c r="P3746" s="41" t="str"/>
      <c r="Q3746" s="41" t="str"/>
      <c r="R3746" s="41" t="str"/>
      <c r="S3746" s="41" t="str"/>
      <c r="T3746" s="41" t="str"/>
      <c r="U3746" s="41" t="str"/>
      <c r="V3746" s="41" t="str"/>
      <c r="W3746" s="41" t="str"/>
    </row>
    <row r="3747">
      <c r="B3747" s="2" t="n"/>
      <c r="C3747" s="40" t="n"/>
      <c r="D3747" s="52">
        <f t="array" ref="D3747:W3747">IF(All_Students_Scores!C3745:V3745="","",All_Students_Scores!C3745:V3745)</f>
        <v/>
      </c>
      <c r="E3747" s="57" t="str"/>
      <c r="F3747" s="49" t="str"/>
      <c r="G3747" s="59" t="str"/>
      <c r="H3747" s="64" t="str"/>
      <c r="I3747" s="65" t="str"/>
      <c r="J3747" s="49" t="str"/>
      <c r="K3747" s="41" t="str"/>
      <c r="L3747" s="41" t="str"/>
      <c r="M3747" s="41" t="str"/>
      <c r="N3747" s="41" t="str"/>
      <c r="O3747" s="41" t="str"/>
      <c r="P3747" s="41" t="str"/>
      <c r="Q3747" s="41" t="str"/>
      <c r="R3747" s="41" t="str"/>
      <c r="S3747" s="41" t="str"/>
      <c r="T3747" s="41" t="str"/>
      <c r="U3747" s="41" t="str"/>
      <c r="V3747" s="41" t="str"/>
      <c r="W3747" s="41" t="str"/>
    </row>
    <row r="3748">
      <c r="B3748" s="2" t="n"/>
      <c r="C3748" s="40" t="n"/>
      <c r="D3748" s="52">
        <f t="array" ref="D3748:W3748">IF(All_Students_Scores!C3746:V3746="","",All_Students_Scores!C3746:V3746)</f>
        <v/>
      </c>
      <c r="E3748" s="57" t="str"/>
      <c r="F3748" s="49" t="str"/>
      <c r="G3748" s="59" t="str"/>
      <c r="H3748" s="64" t="str"/>
      <c r="I3748" s="65" t="str"/>
      <c r="J3748" s="49" t="str"/>
      <c r="K3748" s="41" t="str"/>
      <c r="L3748" s="41" t="str"/>
      <c r="M3748" s="41" t="str"/>
      <c r="N3748" s="41" t="str"/>
      <c r="O3748" s="41" t="str"/>
      <c r="P3748" s="41" t="str"/>
      <c r="Q3748" s="41" t="str"/>
      <c r="R3748" s="41" t="str"/>
      <c r="S3748" s="41" t="str"/>
      <c r="T3748" s="41" t="str"/>
      <c r="U3748" s="41" t="str"/>
      <c r="V3748" s="41" t="str"/>
      <c r="W3748" s="41" t="str"/>
    </row>
    <row r="3749">
      <c r="B3749" s="2" t="n"/>
      <c r="C3749" s="40" t="n"/>
      <c r="D3749" s="52">
        <f t="array" ref="D3749:W3749">IF(All_Students_Scores!C3747:V3747="","",All_Students_Scores!C3747:V3747)</f>
        <v/>
      </c>
      <c r="E3749" s="57" t="str"/>
      <c r="F3749" s="49" t="str"/>
      <c r="G3749" s="59" t="str"/>
      <c r="H3749" s="64" t="str"/>
      <c r="I3749" s="65" t="str"/>
      <c r="J3749" s="49" t="str"/>
      <c r="K3749" s="41" t="str"/>
      <c r="L3749" s="41" t="str"/>
      <c r="M3749" s="41" t="str"/>
      <c r="N3749" s="41" t="str"/>
      <c r="O3749" s="41" t="str"/>
      <c r="P3749" s="41" t="str"/>
      <c r="Q3749" s="41" t="str"/>
      <c r="R3749" s="41" t="str"/>
      <c r="S3749" s="41" t="str"/>
      <c r="T3749" s="41" t="str"/>
      <c r="U3749" s="41" t="str"/>
      <c r="V3749" s="41" t="str"/>
      <c r="W3749" s="41" t="str"/>
    </row>
    <row r="3750">
      <c r="B3750" s="2" t="n"/>
      <c r="C3750" s="40" t="n"/>
      <c r="D3750" s="52">
        <f t="array" ref="D3750:W3750">IF(All_Students_Scores!C3748:V3748="","",All_Students_Scores!C3748:V3748)</f>
        <v/>
      </c>
      <c r="E3750" s="57" t="str"/>
      <c r="F3750" s="49" t="str"/>
      <c r="G3750" s="59" t="str"/>
      <c r="H3750" s="64" t="str"/>
      <c r="I3750" s="65" t="str"/>
      <c r="J3750" s="49" t="str"/>
      <c r="K3750" s="41" t="str"/>
      <c r="L3750" s="41" t="str"/>
      <c r="M3750" s="41" t="str"/>
      <c r="N3750" s="41" t="str"/>
      <c r="O3750" s="41" t="str"/>
      <c r="P3750" s="41" t="str"/>
      <c r="Q3750" s="41" t="str"/>
      <c r="R3750" s="41" t="str"/>
      <c r="S3750" s="41" t="str"/>
      <c r="T3750" s="41" t="str"/>
      <c r="U3750" s="41" t="str"/>
      <c r="V3750" s="41" t="str"/>
      <c r="W3750" s="41" t="str"/>
    </row>
    <row r="3751">
      <c r="B3751" s="2" t="n"/>
      <c r="C3751" s="40" t="n"/>
      <c r="D3751" s="52">
        <f t="array" ref="D3751:W3751">IF(All_Students_Scores!C3749:V3749="","",All_Students_Scores!C3749:V3749)</f>
        <v/>
      </c>
      <c r="E3751" s="57" t="str"/>
      <c r="F3751" s="49" t="str"/>
      <c r="G3751" s="59" t="str"/>
      <c r="H3751" s="64" t="str"/>
      <c r="I3751" s="65" t="str"/>
      <c r="J3751" s="49" t="str"/>
      <c r="K3751" s="41" t="str"/>
      <c r="L3751" s="41" t="str"/>
      <c r="M3751" s="41" t="str"/>
      <c r="N3751" s="41" t="str"/>
      <c r="O3751" s="41" t="str"/>
      <c r="P3751" s="41" t="str"/>
      <c r="Q3751" s="41" t="str"/>
      <c r="R3751" s="41" t="str"/>
      <c r="S3751" s="41" t="str"/>
      <c r="T3751" s="41" t="str"/>
      <c r="U3751" s="41" t="str"/>
      <c r="V3751" s="41" t="str"/>
      <c r="W3751" s="41" t="str"/>
    </row>
    <row r="3752">
      <c r="B3752" s="2" t="n"/>
      <c r="C3752" s="40" t="n"/>
      <c r="D3752" s="52">
        <f t="array" ref="D3752:W3752">IF(All_Students_Scores!C3750:V3750="","",All_Students_Scores!C3750:V3750)</f>
        <v/>
      </c>
      <c r="E3752" s="57" t="str"/>
      <c r="F3752" s="49" t="str"/>
      <c r="G3752" s="59" t="str"/>
      <c r="H3752" s="64" t="str"/>
      <c r="I3752" s="65" t="str"/>
      <c r="J3752" s="49" t="str"/>
      <c r="K3752" s="41" t="str"/>
      <c r="L3752" s="41" t="str"/>
      <c r="M3752" s="41" t="str"/>
      <c r="N3752" s="41" t="str"/>
      <c r="O3752" s="41" t="str"/>
      <c r="P3752" s="41" t="str"/>
      <c r="Q3752" s="41" t="str"/>
      <c r="R3752" s="41" t="str"/>
      <c r="S3752" s="41" t="str"/>
      <c r="T3752" s="41" t="str"/>
      <c r="U3752" s="41" t="str"/>
      <c r="V3752" s="41" t="str"/>
      <c r="W3752" s="41" t="str"/>
    </row>
    <row r="3753">
      <c r="B3753" s="2" t="n"/>
      <c r="C3753" s="40" t="n"/>
      <c r="D3753" s="52">
        <f t="array" ref="D3753:W3753">IF(All_Students_Scores!C3751:V3751="","",All_Students_Scores!C3751:V3751)</f>
        <v/>
      </c>
      <c r="E3753" s="57" t="str"/>
      <c r="F3753" s="49" t="str"/>
      <c r="G3753" s="59" t="str"/>
      <c r="H3753" s="64" t="str"/>
      <c r="I3753" s="65" t="str"/>
      <c r="J3753" s="49" t="str"/>
      <c r="K3753" s="41" t="str"/>
      <c r="L3753" s="41" t="str"/>
      <c r="M3753" s="41" t="str"/>
      <c r="N3753" s="41" t="str"/>
      <c r="O3753" s="41" t="str"/>
      <c r="P3753" s="41" t="str"/>
      <c r="Q3753" s="41" t="str"/>
      <c r="R3753" s="41" t="str"/>
      <c r="S3753" s="41" t="str"/>
      <c r="T3753" s="41" t="str"/>
      <c r="U3753" s="41" t="str"/>
      <c r="V3753" s="41" t="str"/>
      <c r="W3753" s="41" t="str"/>
    </row>
    <row r="3754">
      <c r="B3754" s="2" t="n"/>
      <c r="C3754" s="40" t="n"/>
      <c r="D3754" s="52">
        <f t="array" ref="D3754:W3754">IF(All_Students_Scores!C3752:V3752="","",All_Students_Scores!C3752:V3752)</f>
        <v/>
      </c>
      <c r="E3754" s="57" t="str"/>
      <c r="F3754" s="49" t="str"/>
      <c r="G3754" s="59" t="str"/>
      <c r="H3754" s="64" t="str"/>
      <c r="I3754" s="65" t="str"/>
      <c r="J3754" s="49" t="str"/>
      <c r="K3754" s="41" t="str"/>
      <c r="L3754" s="41" t="str"/>
      <c r="M3754" s="41" t="str"/>
      <c r="N3754" s="41" t="str"/>
      <c r="O3754" s="41" t="str"/>
      <c r="P3754" s="41" t="str"/>
      <c r="Q3754" s="41" t="str"/>
      <c r="R3754" s="41" t="str"/>
      <c r="S3754" s="41" t="str"/>
      <c r="T3754" s="41" t="str"/>
      <c r="U3754" s="41" t="str"/>
      <c r="V3754" s="41" t="str"/>
      <c r="W3754" s="41" t="str"/>
    </row>
    <row r="3755">
      <c r="B3755" s="2" t="n"/>
      <c r="C3755" s="40" t="n"/>
      <c r="D3755" s="52">
        <f t="array" ref="D3755:W3755">IF(All_Students_Scores!C3753:V3753="","",All_Students_Scores!C3753:V3753)</f>
        <v/>
      </c>
      <c r="E3755" s="57" t="str"/>
      <c r="F3755" s="49" t="str"/>
      <c r="G3755" s="59" t="str"/>
      <c r="H3755" s="64" t="str"/>
      <c r="I3755" s="65" t="str"/>
      <c r="J3755" s="49" t="str"/>
      <c r="K3755" s="41" t="str"/>
      <c r="L3755" s="41" t="str"/>
      <c r="M3755" s="41" t="str"/>
      <c r="N3755" s="41" t="str"/>
      <c r="O3755" s="41" t="str"/>
      <c r="P3755" s="41" t="str"/>
      <c r="Q3755" s="41" t="str"/>
      <c r="R3755" s="41" t="str"/>
      <c r="S3755" s="41" t="str"/>
      <c r="T3755" s="41" t="str"/>
      <c r="U3755" s="41" t="str"/>
      <c r="V3755" s="41" t="str"/>
      <c r="W3755" s="41" t="str"/>
    </row>
    <row r="3756">
      <c r="B3756" s="2" t="n"/>
      <c r="C3756" s="40" t="n"/>
      <c r="D3756" s="52">
        <f t="array" ref="D3756:W3756">IF(All_Students_Scores!C3754:V3754="","",All_Students_Scores!C3754:V3754)</f>
        <v/>
      </c>
      <c r="E3756" s="57" t="str"/>
      <c r="F3756" s="49" t="str"/>
      <c r="G3756" s="59" t="str"/>
      <c r="H3756" s="64" t="str"/>
      <c r="I3756" s="65" t="str"/>
      <c r="J3756" s="49" t="str"/>
      <c r="K3756" s="41" t="str"/>
      <c r="L3756" s="41" t="str"/>
      <c r="M3756" s="41" t="str"/>
      <c r="N3756" s="41" t="str"/>
      <c r="O3756" s="41" t="str"/>
      <c r="P3756" s="41" t="str"/>
      <c r="Q3756" s="41" t="str"/>
      <c r="R3756" s="41" t="str"/>
      <c r="S3756" s="41" t="str"/>
      <c r="T3756" s="41" t="str"/>
      <c r="U3756" s="41" t="str"/>
      <c r="V3756" s="41" t="str"/>
      <c r="W3756" s="41" t="str"/>
    </row>
    <row r="3757">
      <c r="B3757" s="2" t="n"/>
      <c r="C3757" s="40" t="n"/>
      <c r="D3757" s="52">
        <f t="array" ref="D3757:W3757">IF(All_Students_Scores!C3755:V3755="","",All_Students_Scores!C3755:V3755)</f>
        <v/>
      </c>
      <c r="E3757" s="57" t="str"/>
      <c r="F3757" s="49" t="str"/>
      <c r="G3757" s="59" t="str"/>
      <c r="H3757" s="64" t="str"/>
      <c r="I3757" s="65" t="str"/>
      <c r="J3757" s="49" t="str"/>
      <c r="K3757" s="41" t="str"/>
      <c r="L3757" s="41" t="str"/>
      <c r="M3757" s="41" t="str"/>
      <c r="N3757" s="41" t="str"/>
      <c r="O3757" s="41" t="str"/>
      <c r="P3757" s="41" t="str"/>
      <c r="Q3757" s="41" t="str"/>
      <c r="R3757" s="41" t="str"/>
      <c r="S3757" s="41" t="str"/>
      <c r="T3757" s="41" t="str"/>
      <c r="U3757" s="41" t="str"/>
      <c r="V3757" s="41" t="str"/>
      <c r="W3757" s="41" t="str"/>
    </row>
    <row r="3758">
      <c r="B3758" s="2" t="n"/>
      <c r="C3758" s="40" t="n"/>
      <c r="D3758" s="52">
        <f t="array" ref="D3758:W3758">IF(All_Students_Scores!C3756:V3756="","",All_Students_Scores!C3756:V3756)</f>
        <v/>
      </c>
      <c r="E3758" s="57" t="str"/>
      <c r="F3758" s="49" t="str"/>
      <c r="G3758" s="59" t="str"/>
      <c r="H3758" s="64" t="str"/>
      <c r="I3758" s="65" t="str"/>
      <c r="J3758" s="49" t="str"/>
      <c r="K3758" s="41" t="str"/>
      <c r="L3758" s="41" t="str"/>
      <c r="M3758" s="41" t="str"/>
      <c r="N3758" s="41" t="str"/>
      <c r="O3758" s="41" t="str"/>
      <c r="P3758" s="41" t="str"/>
      <c r="Q3758" s="41" t="str"/>
      <c r="R3758" s="41" t="str"/>
      <c r="S3758" s="41" t="str"/>
      <c r="T3758" s="41" t="str"/>
      <c r="U3758" s="41" t="str"/>
      <c r="V3758" s="41" t="str"/>
      <c r="W3758" s="41" t="str"/>
    </row>
    <row r="3759">
      <c r="B3759" s="2" t="n"/>
      <c r="C3759" s="40" t="n"/>
      <c r="D3759" s="52">
        <f t="array" ref="D3759:W3759">IF(All_Students_Scores!C3757:V3757="","",All_Students_Scores!C3757:V3757)</f>
        <v/>
      </c>
      <c r="E3759" s="57" t="str"/>
      <c r="F3759" s="49" t="str"/>
      <c r="G3759" s="59" t="str"/>
      <c r="H3759" s="64" t="str"/>
      <c r="I3759" s="65" t="str"/>
      <c r="J3759" s="49" t="str"/>
      <c r="K3759" s="41" t="str"/>
      <c r="L3759" s="41" t="str"/>
      <c r="M3759" s="41" t="str"/>
      <c r="N3759" s="41" t="str"/>
      <c r="O3759" s="41" t="str"/>
      <c r="P3759" s="41" t="str"/>
      <c r="Q3759" s="41" t="str"/>
      <c r="R3759" s="41" t="str"/>
      <c r="S3759" s="41" t="str"/>
      <c r="T3759" s="41" t="str"/>
      <c r="U3759" s="41" t="str"/>
      <c r="V3759" s="41" t="str"/>
      <c r="W3759" s="41" t="str"/>
    </row>
    <row r="3760">
      <c r="B3760" s="2" t="n"/>
      <c r="C3760" s="40" t="n"/>
      <c r="D3760" s="52">
        <f t="array" ref="D3760:W3760">IF(All_Students_Scores!C3758:V3758="","",All_Students_Scores!C3758:V3758)</f>
        <v/>
      </c>
      <c r="E3760" s="57" t="str"/>
      <c r="F3760" s="49" t="str"/>
      <c r="G3760" s="59" t="str"/>
      <c r="H3760" s="64" t="str"/>
      <c r="I3760" s="65" t="str"/>
      <c r="J3760" s="49" t="str"/>
      <c r="K3760" s="41" t="str"/>
      <c r="L3760" s="41" t="str"/>
      <c r="M3760" s="41" t="str"/>
      <c r="N3760" s="41" t="str"/>
      <c r="O3760" s="41" t="str"/>
      <c r="P3760" s="41" t="str"/>
      <c r="Q3760" s="41" t="str"/>
      <c r="R3760" s="41" t="str"/>
      <c r="S3760" s="41" t="str"/>
      <c r="T3760" s="41" t="str"/>
      <c r="U3760" s="41" t="str"/>
      <c r="V3760" s="41" t="str"/>
      <c r="W3760" s="41" t="str"/>
    </row>
    <row r="3761">
      <c r="B3761" s="2" t="n"/>
      <c r="C3761" s="40" t="n"/>
      <c r="D3761" s="52">
        <f t="array" ref="D3761:W3761">IF(All_Students_Scores!C3759:V3759="","",All_Students_Scores!C3759:V3759)</f>
        <v/>
      </c>
      <c r="E3761" s="57" t="str"/>
      <c r="F3761" s="49" t="str"/>
      <c r="G3761" s="59" t="str"/>
      <c r="H3761" s="64" t="str"/>
      <c r="I3761" s="65" t="str"/>
      <c r="J3761" s="49" t="str"/>
      <c r="K3761" s="41" t="str"/>
      <c r="L3761" s="41" t="str"/>
      <c r="M3761" s="41" t="str"/>
      <c r="N3761" s="41" t="str"/>
      <c r="O3761" s="41" t="str"/>
      <c r="P3761" s="41" t="str"/>
      <c r="Q3761" s="41" t="str"/>
      <c r="R3761" s="41" t="str"/>
      <c r="S3761" s="41" t="str"/>
      <c r="T3761" s="41" t="str"/>
      <c r="U3761" s="41" t="str"/>
      <c r="V3761" s="41" t="str"/>
      <c r="W3761" s="41" t="str"/>
    </row>
    <row r="3762">
      <c r="B3762" s="2" t="n"/>
      <c r="C3762" s="40" t="n"/>
      <c r="D3762" s="52">
        <f t="array" ref="D3762:W3762">IF(All_Students_Scores!C3760:V3760="","",All_Students_Scores!C3760:V3760)</f>
        <v/>
      </c>
      <c r="E3762" s="57" t="str"/>
      <c r="F3762" s="49" t="str"/>
      <c r="G3762" s="59" t="str"/>
      <c r="H3762" s="64" t="str"/>
      <c r="I3762" s="65" t="str"/>
      <c r="J3762" s="49" t="str"/>
      <c r="K3762" s="41" t="str"/>
      <c r="L3762" s="41" t="str"/>
      <c r="M3762" s="41" t="str"/>
      <c r="N3762" s="41" t="str"/>
      <c r="O3762" s="41" t="str"/>
      <c r="P3762" s="41" t="str"/>
      <c r="Q3762" s="41" t="str"/>
      <c r="R3762" s="41" t="str"/>
      <c r="S3762" s="41" t="str"/>
      <c r="T3762" s="41" t="str"/>
      <c r="U3762" s="41" t="str"/>
      <c r="V3762" s="41" t="str"/>
      <c r="W3762" s="41" t="str"/>
    </row>
    <row r="3763">
      <c r="B3763" s="2" t="n"/>
      <c r="C3763" s="40" t="n"/>
      <c r="D3763" s="52">
        <f t="array" ref="D3763:W3763">IF(All_Students_Scores!C3761:V3761="","",All_Students_Scores!C3761:V3761)</f>
        <v/>
      </c>
      <c r="E3763" s="57" t="str"/>
      <c r="F3763" s="49" t="str"/>
      <c r="G3763" s="59" t="str"/>
      <c r="H3763" s="64" t="str"/>
      <c r="I3763" s="65" t="str"/>
      <c r="J3763" s="49" t="str"/>
      <c r="K3763" s="41" t="str"/>
      <c r="L3763" s="41" t="str"/>
      <c r="M3763" s="41" t="str"/>
      <c r="N3763" s="41" t="str"/>
      <c r="O3763" s="41" t="str"/>
      <c r="P3763" s="41" t="str"/>
      <c r="Q3763" s="41" t="str"/>
      <c r="R3763" s="41" t="str"/>
      <c r="S3763" s="41" t="str"/>
      <c r="T3763" s="41" t="str"/>
      <c r="U3763" s="41" t="str"/>
      <c r="V3763" s="41" t="str"/>
      <c r="W3763" s="41" t="str"/>
    </row>
    <row r="3764">
      <c r="B3764" s="2" t="n"/>
      <c r="C3764" s="40" t="n"/>
      <c r="D3764" s="52">
        <f t="array" ref="D3764:W3764">IF(All_Students_Scores!C3762:V3762="","",All_Students_Scores!C3762:V3762)</f>
        <v/>
      </c>
      <c r="E3764" s="57" t="str"/>
      <c r="F3764" s="49" t="str"/>
      <c r="G3764" s="59" t="str"/>
      <c r="H3764" s="64" t="str"/>
      <c r="I3764" s="65" t="str"/>
      <c r="J3764" s="49" t="str"/>
      <c r="K3764" s="41" t="str"/>
      <c r="L3764" s="41" t="str"/>
      <c r="M3764" s="41" t="str"/>
      <c r="N3764" s="41" t="str"/>
      <c r="O3764" s="41" t="str"/>
      <c r="P3764" s="41" t="str"/>
      <c r="Q3764" s="41" t="str"/>
      <c r="R3764" s="41" t="str"/>
      <c r="S3764" s="41" t="str"/>
      <c r="T3764" s="41" t="str"/>
      <c r="U3764" s="41" t="str"/>
      <c r="V3764" s="41" t="str"/>
      <c r="W3764" s="41" t="str"/>
    </row>
    <row r="3765">
      <c r="B3765" s="2" t="n"/>
      <c r="C3765" s="40" t="n"/>
      <c r="D3765" s="52">
        <f t="array" ref="D3765:W3765">IF(All_Students_Scores!C3763:V3763="","",All_Students_Scores!C3763:V3763)</f>
        <v/>
      </c>
      <c r="E3765" s="57" t="str"/>
      <c r="F3765" s="49" t="str"/>
      <c r="G3765" s="59" t="str"/>
      <c r="H3765" s="64" t="str"/>
      <c r="I3765" s="65" t="str"/>
      <c r="J3765" s="49" t="str"/>
      <c r="K3765" s="41" t="str"/>
      <c r="L3765" s="41" t="str"/>
      <c r="M3765" s="41" t="str"/>
      <c r="N3765" s="41" t="str"/>
      <c r="O3765" s="41" t="str"/>
      <c r="P3765" s="41" t="str"/>
      <c r="Q3765" s="41" t="str"/>
      <c r="R3765" s="41" t="str"/>
      <c r="S3765" s="41" t="str"/>
      <c r="T3765" s="41" t="str"/>
      <c r="U3765" s="41" t="str"/>
      <c r="V3765" s="41" t="str"/>
      <c r="W3765" s="41" t="str"/>
    </row>
    <row r="3766">
      <c r="B3766" s="2" t="n"/>
      <c r="C3766" s="40" t="n"/>
      <c r="D3766" s="52">
        <f t="array" ref="D3766:W3766">IF(All_Students_Scores!C3764:V3764="","",All_Students_Scores!C3764:V3764)</f>
        <v/>
      </c>
      <c r="E3766" s="57" t="str"/>
      <c r="F3766" s="49" t="str"/>
      <c r="G3766" s="59" t="str"/>
      <c r="H3766" s="64" t="str"/>
      <c r="I3766" s="65" t="str"/>
      <c r="J3766" s="49" t="str"/>
      <c r="K3766" s="41" t="str"/>
      <c r="L3766" s="41" t="str"/>
      <c r="M3766" s="41" t="str"/>
      <c r="N3766" s="41" t="str"/>
      <c r="O3766" s="41" t="str"/>
      <c r="P3766" s="41" t="str"/>
      <c r="Q3766" s="41" t="str"/>
      <c r="R3766" s="41" t="str"/>
      <c r="S3766" s="41" t="str"/>
      <c r="T3766" s="41" t="str"/>
      <c r="U3766" s="41" t="str"/>
      <c r="V3766" s="41" t="str"/>
      <c r="W3766" s="41" t="str"/>
    </row>
    <row r="3767">
      <c r="B3767" s="2" t="n"/>
      <c r="C3767" s="40" t="n"/>
      <c r="D3767" s="52">
        <f t="array" ref="D3767:W3767">IF(All_Students_Scores!C3765:V3765="","",All_Students_Scores!C3765:V3765)</f>
        <v/>
      </c>
      <c r="E3767" s="57" t="str"/>
      <c r="F3767" s="49" t="str"/>
      <c r="G3767" s="59" t="str"/>
      <c r="H3767" s="64" t="str"/>
      <c r="I3767" s="65" t="str"/>
      <c r="J3767" s="49" t="str"/>
      <c r="K3767" s="41" t="str"/>
      <c r="L3767" s="41" t="str"/>
      <c r="M3767" s="41" t="str"/>
      <c r="N3767" s="41" t="str"/>
      <c r="O3767" s="41" t="str"/>
      <c r="P3767" s="41" t="str"/>
      <c r="Q3767" s="41" t="str"/>
      <c r="R3767" s="41" t="str"/>
      <c r="S3767" s="41" t="str"/>
      <c r="T3767" s="41" t="str"/>
      <c r="U3767" s="41" t="str"/>
      <c r="V3767" s="41" t="str"/>
      <c r="W3767" s="41" t="str"/>
    </row>
    <row r="3768">
      <c r="B3768" s="2" t="n"/>
      <c r="C3768" s="40" t="n"/>
      <c r="D3768" s="52">
        <f t="array" ref="D3768:W3768">IF(All_Students_Scores!C3766:V3766="","",All_Students_Scores!C3766:V3766)</f>
        <v/>
      </c>
      <c r="E3768" s="57" t="str"/>
      <c r="F3768" s="49" t="str"/>
      <c r="G3768" s="59" t="str"/>
      <c r="H3768" s="64" t="str"/>
      <c r="I3768" s="65" t="str"/>
      <c r="J3768" s="49" t="str"/>
      <c r="K3768" s="41" t="str"/>
      <c r="L3768" s="41" t="str"/>
      <c r="M3768" s="41" t="str"/>
      <c r="N3768" s="41" t="str"/>
      <c r="O3768" s="41" t="str"/>
      <c r="P3768" s="41" t="str"/>
      <c r="Q3768" s="41" t="str"/>
      <c r="R3768" s="41" t="str"/>
      <c r="S3768" s="41" t="str"/>
      <c r="T3768" s="41" t="str"/>
      <c r="U3768" s="41" t="str"/>
      <c r="V3768" s="41" t="str"/>
      <c r="W3768" s="41" t="str"/>
    </row>
    <row r="3769">
      <c r="B3769" s="2" t="n"/>
      <c r="C3769" s="40" t="n"/>
      <c r="D3769" s="52">
        <f t="array" ref="D3769:W3769">IF(All_Students_Scores!C3767:V3767="","",All_Students_Scores!C3767:V3767)</f>
        <v/>
      </c>
      <c r="E3769" s="57" t="str"/>
      <c r="F3769" s="49" t="str"/>
      <c r="G3769" s="59" t="str"/>
      <c r="H3769" s="64" t="str"/>
      <c r="I3769" s="65" t="str"/>
      <c r="J3769" s="49" t="str"/>
      <c r="K3769" s="41" t="str"/>
      <c r="L3769" s="41" t="str"/>
      <c r="M3769" s="41" t="str"/>
      <c r="N3769" s="41" t="str"/>
      <c r="O3769" s="41" t="str"/>
      <c r="P3769" s="41" t="str"/>
      <c r="Q3769" s="41" t="str"/>
      <c r="R3769" s="41" t="str"/>
      <c r="S3769" s="41" t="str"/>
      <c r="T3769" s="41" t="str"/>
      <c r="U3769" s="41" t="str"/>
      <c r="V3769" s="41" t="str"/>
      <c r="W3769" s="41" t="str"/>
    </row>
    <row r="3770">
      <c r="B3770" s="2" t="n"/>
      <c r="C3770" s="40" t="n"/>
      <c r="D3770" s="52">
        <f t="array" ref="D3770:W3770">IF(All_Students_Scores!C3768:V3768="","",All_Students_Scores!C3768:V3768)</f>
        <v/>
      </c>
      <c r="E3770" s="57" t="str"/>
      <c r="F3770" s="49" t="str"/>
      <c r="G3770" s="59" t="str"/>
      <c r="H3770" s="64" t="str"/>
      <c r="I3770" s="65" t="str"/>
      <c r="J3770" s="49" t="str"/>
      <c r="K3770" s="41" t="str"/>
      <c r="L3770" s="41" t="str"/>
      <c r="M3770" s="41" t="str"/>
      <c r="N3770" s="41" t="str"/>
      <c r="O3770" s="41" t="str"/>
      <c r="P3770" s="41" t="str"/>
      <c r="Q3770" s="41" t="str"/>
      <c r="R3770" s="41" t="str"/>
      <c r="S3770" s="41" t="str"/>
      <c r="T3770" s="41" t="str"/>
      <c r="U3770" s="41" t="str"/>
      <c r="V3770" s="41" t="str"/>
      <c r="W3770" s="41" t="str"/>
    </row>
    <row r="3771">
      <c r="B3771" s="2" t="n"/>
      <c r="C3771" s="40" t="n"/>
      <c r="D3771" s="52">
        <f t="array" ref="D3771:W3771">IF(All_Students_Scores!C3769:V3769="","",All_Students_Scores!C3769:V3769)</f>
        <v/>
      </c>
      <c r="E3771" s="57" t="str"/>
      <c r="F3771" s="49" t="str"/>
      <c r="G3771" s="59" t="str"/>
      <c r="H3771" s="64" t="str"/>
      <c r="I3771" s="65" t="str"/>
      <c r="J3771" s="49" t="str"/>
      <c r="K3771" s="41" t="str"/>
      <c r="L3771" s="41" t="str"/>
      <c r="M3771" s="41" t="str"/>
      <c r="N3771" s="41" t="str"/>
      <c r="O3771" s="41" t="str"/>
      <c r="P3771" s="41" t="str"/>
      <c r="Q3771" s="41" t="str"/>
      <c r="R3771" s="41" t="str"/>
      <c r="S3771" s="41" t="str"/>
      <c r="T3771" s="41" t="str"/>
      <c r="U3771" s="41" t="str"/>
      <c r="V3771" s="41" t="str"/>
      <c r="W3771" s="41" t="str"/>
    </row>
    <row r="3772">
      <c r="B3772" s="2" t="n"/>
      <c r="C3772" s="40" t="n"/>
      <c r="D3772" s="52">
        <f t="array" ref="D3772:W3772">IF(All_Students_Scores!C3770:V3770="","",All_Students_Scores!C3770:V3770)</f>
        <v/>
      </c>
      <c r="E3772" s="57" t="str"/>
      <c r="F3772" s="49" t="str"/>
      <c r="G3772" s="59" t="str"/>
      <c r="H3772" s="64" t="str"/>
      <c r="I3772" s="65" t="str"/>
      <c r="J3772" s="49" t="str"/>
      <c r="K3772" s="41" t="str"/>
      <c r="L3772" s="41" t="str"/>
      <c r="M3772" s="41" t="str"/>
      <c r="N3772" s="41" t="str"/>
      <c r="O3772" s="41" t="str"/>
      <c r="P3772" s="41" t="str"/>
      <c r="Q3772" s="41" t="str"/>
      <c r="R3772" s="41" t="str"/>
      <c r="S3772" s="41" t="str"/>
      <c r="T3772" s="41" t="str"/>
      <c r="U3772" s="41" t="str"/>
      <c r="V3772" s="41" t="str"/>
      <c r="W3772" s="41" t="str"/>
    </row>
    <row r="3773">
      <c r="B3773" s="2" t="n"/>
      <c r="C3773" s="40" t="n"/>
      <c r="D3773" s="52">
        <f t="array" ref="D3773:W3773">IF(All_Students_Scores!C3771:V3771="","",All_Students_Scores!C3771:V3771)</f>
        <v/>
      </c>
      <c r="E3773" s="57" t="str"/>
      <c r="F3773" s="49" t="str"/>
      <c r="G3773" s="59" t="str"/>
      <c r="H3773" s="64" t="str"/>
      <c r="I3773" s="65" t="str"/>
      <c r="J3773" s="49" t="str"/>
      <c r="K3773" s="41" t="str"/>
      <c r="L3773" s="41" t="str"/>
      <c r="M3773" s="41" t="str"/>
      <c r="N3773" s="41" t="str"/>
      <c r="O3773" s="41" t="str"/>
      <c r="P3773" s="41" t="str"/>
      <c r="Q3773" s="41" t="str"/>
      <c r="R3773" s="41" t="str"/>
      <c r="S3773" s="41" t="str"/>
      <c r="T3773" s="41" t="str"/>
      <c r="U3773" s="41" t="str"/>
      <c r="V3773" s="41" t="str"/>
      <c r="W3773" s="41" t="str"/>
    </row>
    <row r="3774">
      <c r="B3774" s="2" t="n"/>
      <c r="C3774" s="40" t="n"/>
      <c r="D3774" s="52">
        <f t="array" ref="D3774:W3774">IF(All_Students_Scores!C3772:V3772="","",All_Students_Scores!C3772:V3772)</f>
        <v/>
      </c>
      <c r="E3774" s="57" t="str"/>
      <c r="F3774" s="49" t="str"/>
      <c r="G3774" s="59" t="str"/>
      <c r="H3774" s="64" t="str"/>
      <c r="I3774" s="65" t="str"/>
      <c r="J3774" s="49" t="str"/>
      <c r="K3774" s="41" t="str"/>
      <c r="L3774" s="41" t="str"/>
      <c r="M3774" s="41" t="str"/>
      <c r="N3774" s="41" t="str"/>
      <c r="O3774" s="41" t="str"/>
      <c r="P3774" s="41" t="str"/>
      <c r="Q3774" s="41" t="str"/>
      <c r="R3774" s="41" t="str"/>
      <c r="S3774" s="41" t="str"/>
      <c r="T3774" s="41" t="str"/>
      <c r="U3774" s="41" t="str"/>
      <c r="V3774" s="41" t="str"/>
      <c r="W3774" s="41" t="str"/>
    </row>
    <row r="3775">
      <c r="B3775" s="2" t="n"/>
      <c r="C3775" s="40" t="n"/>
      <c r="D3775" s="52">
        <f t="array" ref="D3775:W3775">IF(All_Students_Scores!C3773:V3773="","",All_Students_Scores!C3773:V3773)</f>
        <v/>
      </c>
      <c r="E3775" s="57" t="str"/>
      <c r="F3775" s="49" t="str"/>
      <c r="G3775" s="59" t="str"/>
      <c r="H3775" s="64" t="str"/>
      <c r="I3775" s="65" t="str"/>
      <c r="J3775" s="49" t="str"/>
      <c r="K3775" s="41" t="str"/>
      <c r="L3775" s="41" t="str"/>
      <c r="M3775" s="41" t="str"/>
      <c r="N3775" s="41" t="str"/>
      <c r="O3775" s="41" t="str"/>
      <c r="P3775" s="41" t="str"/>
      <c r="Q3775" s="41" t="str"/>
      <c r="R3775" s="41" t="str"/>
      <c r="S3775" s="41" t="str"/>
      <c r="T3775" s="41" t="str"/>
      <c r="U3775" s="41" t="str"/>
      <c r="V3775" s="41" t="str"/>
      <c r="W3775" s="41" t="str"/>
    </row>
    <row r="3776">
      <c r="B3776" s="2" t="n"/>
      <c r="C3776" s="40" t="n"/>
      <c r="D3776" s="52">
        <f t="array" ref="D3776:W3776">IF(All_Students_Scores!C3774:V3774="","",All_Students_Scores!C3774:V3774)</f>
        <v/>
      </c>
      <c r="E3776" s="57" t="str"/>
      <c r="F3776" s="49" t="str"/>
      <c r="G3776" s="59" t="str"/>
      <c r="H3776" s="64" t="str"/>
      <c r="I3776" s="65" t="str"/>
      <c r="J3776" s="49" t="str"/>
      <c r="K3776" s="41" t="str"/>
      <c r="L3776" s="41" t="str"/>
      <c r="M3776" s="41" t="str"/>
      <c r="N3776" s="41" t="str"/>
      <c r="O3776" s="41" t="str"/>
      <c r="P3776" s="41" t="str"/>
      <c r="Q3776" s="41" t="str"/>
      <c r="R3776" s="41" t="str"/>
      <c r="S3776" s="41" t="str"/>
      <c r="T3776" s="41" t="str"/>
      <c r="U3776" s="41" t="str"/>
      <c r="V3776" s="41" t="str"/>
      <c r="W3776" s="41" t="str"/>
    </row>
    <row r="3777">
      <c r="B3777" s="2" t="n"/>
      <c r="C3777" s="40" t="n"/>
      <c r="D3777" s="52">
        <f t="array" ref="D3777:W3777">IF(All_Students_Scores!C3775:V3775="","",All_Students_Scores!C3775:V3775)</f>
        <v/>
      </c>
      <c r="E3777" s="57" t="str"/>
      <c r="F3777" s="49" t="str"/>
      <c r="G3777" s="59" t="str"/>
      <c r="H3777" s="64" t="str"/>
      <c r="I3777" s="65" t="str"/>
      <c r="J3777" s="49" t="str"/>
      <c r="K3777" s="41" t="str"/>
      <c r="L3777" s="41" t="str"/>
      <c r="M3777" s="41" t="str"/>
      <c r="N3777" s="41" t="str"/>
      <c r="O3777" s="41" t="str"/>
      <c r="P3777" s="41" t="str"/>
      <c r="Q3777" s="41" t="str"/>
      <c r="R3777" s="41" t="str"/>
      <c r="S3777" s="41" t="str"/>
      <c r="T3777" s="41" t="str"/>
      <c r="U3777" s="41" t="str"/>
      <c r="V3777" s="41" t="str"/>
      <c r="W3777" s="41" t="str"/>
    </row>
    <row r="3778">
      <c r="B3778" s="2" t="n"/>
      <c r="C3778" s="40" t="n"/>
      <c r="D3778" s="52">
        <f t="array" ref="D3778:W3778">IF(All_Students_Scores!C3776:V3776="","",All_Students_Scores!C3776:V3776)</f>
        <v/>
      </c>
      <c r="E3778" s="57" t="str"/>
      <c r="F3778" s="49" t="str"/>
      <c r="G3778" s="59" t="str"/>
      <c r="H3778" s="64" t="str"/>
      <c r="I3778" s="65" t="str"/>
      <c r="J3778" s="49" t="str"/>
      <c r="K3778" s="41" t="str"/>
      <c r="L3778" s="41" t="str"/>
      <c r="M3778" s="41" t="str"/>
      <c r="N3778" s="41" t="str"/>
      <c r="O3778" s="41" t="str"/>
      <c r="P3778" s="41" t="str"/>
      <c r="Q3778" s="41" t="str"/>
      <c r="R3778" s="41" t="str"/>
      <c r="S3778" s="41" t="str"/>
      <c r="T3778" s="41" t="str"/>
      <c r="U3778" s="41" t="str"/>
      <c r="V3778" s="41" t="str"/>
      <c r="W3778" s="41" t="str"/>
    </row>
    <row r="3779">
      <c r="B3779" s="2" t="n"/>
      <c r="C3779" s="40" t="n"/>
      <c r="D3779" s="52">
        <f t="array" ref="D3779:W3779">IF(All_Students_Scores!C3777:V3777="","",All_Students_Scores!C3777:V3777)</f>
        <v/>
      </c>
      <c r="E3779" s="57" t="str"/>
      <c r="F3779" s="49" t="str"/>
      <c r="G3779" s="59" t="str"/>
      <c r="H3779" s="64" t="str"/>
      <c r="I3779" s="65" t="str"/>
      <c r="J3779" s="49" t="str"/>
      <c r="K3779" s="41" t="str"/>
      <c r="L3779" s="41" t="str"/>
      <c r="M3779" s="41" t="str"/>
      <c r="N3779" s="41" t="str"/>
      <c r="O3779" s="41" t="str"/>
      <c r="P3779" s="41" t="str"/>
      <c r="Q3779" s="41" t="str"/>
      <c r="R3779" s="41" t="str"/>
      <c r="S3779" s="41" t="str"/>
      <c r="T3779" s="41" t="str"/>
      <c r="U3779" s="41" t="str"/>
      <c r="V3779" s="41" t="str"/>
      <c r="W3779" s="41" t="str"/>
    </row>
    <row r="3780">
      <c r="B3780" s="2" t="n"/>
      <c r="C3780" s="40" t="n"/>
      <c r="D3780" s="52">
        <f t="array" ref="D3780:W3780">IF(All_Students_Scores!C3778:V3778="","",All_Students_Scores!C3778:V3778)</f>
        <v/>
      </c>
      <c r="E3780" s="57" t="str"/>
      <c r="F3780" s="49" t="str"/>
      <c r="G3780" s="59" t="str"/>
      <c r="H3780" s="64" t="str"/>
      <c r="I3780" s="65" t="str"/>
      <c r="J3780" s="49" t="str"/>
      <c r="K3780" s="41" t="str"/>
      <c r="L3780" s="41" t="str"/>
      <c r="M3780" s="41" t="str"/>
      <c r="N3780" s="41" t="str"/>
      <c r="O3780" s="41" t="str"/>
      <c r="P3780" s="41" t="str"/>
      <c r="Q3780" s="41" t="str"/>
      <c r="R3780" s="41" t="str"/>
      <c r="S3780" s="41" t="str"/>
      <c r="T3780" s="41" t="str"/>
      <c r="U3780" s="41" t="str"/>
      <c r="V3780" s="41" t="str"/>
      <c r="W3780" s="41" t="str"/>
    </row>
    <row r="3781">
      <c r="B3781" s="2" t="n"/>
      <c r="C3781" s="40" t="n"/>
      <c r="D3781" s="52">
        <f t="array" ref="D3781:W3781">IF(All_Students_Scores!C3779:V3779="","",All_Students_Scores!C3779:V3779)</f>
        <v/>
      </c>
      <c r="E3781" s="57" t="str"/>
      <c r="F3781" s="49" t="str"/>
      <c r="G3781" s="59" t="str"/>
      <c r="H3781" s="64" t="str"/>
      <c r="I3781" s="65" t="str"/>
      <c r="J3781" s="49" t="str"/>
      <c r="K3781" s="41" t="str"/>
      <c r="L3781" s="41" t="str"/>
      <c r="M3781" s="41" t="str"/>
      <c r="N3781" s="41" t="str"/>
      <c r="O3781" s="41" t="str"/>
      <c r="P3781" s="41" t="str"/>
      <c r="Q3781" s="41" t="str"/>
      <c r="R3781" s="41" t="str"/>
      <c r="S3781" s="41" t="str"/>
      <c r="T3781" s="41" t="str"/>
      <c r="U3781" s="41" t="str"/>
      <c r="V3781" s="41" t="str"/>
      <c r="W3781" s="41" t="str"/>
    </row>
    <row r="3782">
      <c r="B3782" s="2" t="n"/>
      <c r="C3782" s="40" t="n"/>
      <c r="D3782" s="52">
        <f t="array" ref="D3782:W3782">IF(All_Students_Scores!C3780:V3780="","",All_Students_Scores!C3780:V3780)</f>
        <v/>
      </c>
      <c r="E3782" s="57" t="str"/>
      <c r="F3782" s="49" t="str"/>
      <c r="G3782" s="59" t="str"/>
      <c r="H3782" s="64" t="str"/>
      <c r="I3782" s="65" t="str"/>
      <c r="J3782" s="49" t="str"/>
      <c r="K3782" s="41" t="str"/>
      <c r="L3782" s="41" t="str"/>
      <c r="M3782" s="41" t="str"/>
      <c r="N3782" s="41" t="str"/>
      <c r="O3782" s="41" t="str"/>
      <c r="P3782" s="41" t="str"/>
      <c r="Q3782" s="41" t="str"/>
      <c r="R3782" s="41" t="str"/>
      <c r="S3782" s="41" t="str"/>
      <c r="T3782" s="41" t="str"/>
      <c r="U3782" s="41" t="str"/>
      <c r="V3782" s="41" t="str"/>
      <c r="W3782" s="41" t="str"/>
    </row>
    <row r="3783">
      <c r="B3783" s="2" t="n"/>
      <c r="C3783" s="40" t="n"/>
      <c r="D3783" s="52">
        <f t="array" ref="D3783:W3783">IF(All_Students_Scores!C3781:V3781="","",All_Students_Scores!C3781:V3781)</f>
        <v/>
      </c>
      <c r="E3783" s="57" t="str"/>
      <c r="F3783" s="49" t="str"/>
      <c r="G3783" s="59" t="str"/>
      <c r="H3783" s="64" t="str"/>
      <c r="I3783" s="65" t="str"/>
      <c r="J3783" s="49" t="str"/>
      <c r="K3783" s="41" t="str"/>
      <c r="L3783" s="41" t="str"/>
      <c r="M3783" s="41" t="str"/>
      <c r="N3783" s="41" t="str"/>
      <c r="O3783" s="41" t="str"/>
      <c r="P3783" s="41" t="str"/>
      <c r="Q3783" s="41" t="str"/>
      <c r="R3783" s="41" t="str"/>
      <c r="S3783" s="41" t="str"/>
      <c r="T3783" s="41" t="str"/>
      <c r="U3783" s="41" t="str"/>
      <c r="V3783" s="41" t="str"/>
      <c r="W3783" s="41" t="str"/>
    </row>
    <row r="3784">
      <c r="B3784" s="2" t="n"/>
      <c r="C3784" s="40" t="n"/>
      <c r="D3784" s="52">
        <f t="array" ref="D3784:W3784">IF(All_Students_Scores!C3782:V3782="","",All_Students_Scores!C3782:V3782)</f>
        <v/>
      </c>
      <c r="E3784" s="57" t="str"/>
      <c r="F3784" s="49" t="str"/>
      <c r="G3784" s="59" t="str"/>
      <c r="H3784" s="64" t="str"/>
      <c r="I3784" s="65" t="str"/>
      <c r="J3784" s="49" t="str"/>
      <c r="K3784" s="41" t="str"/>
      <c r="L3784" s="41" t="str"/>
      <c r="M3784" s="41" t="str"/>
      <c r="N3784" s="41" t="str"/>
      <c r="O3784" s="41" t="str"/>
      <c r="P3784" s="41" t="str"/>
      <c r="Q3784" s="41" t="str"/>
      <c r="R3784" s="41" t="str"/>
      <c r="S3784" s="41" t="str"/>
      <c r="T3784" s="41" t="str"/>
      <c r="U3784" s="41" t="str"/>
      <c r="V3784" s="41" t="str"/>
      <c r="W3784" s="41" t="str"/>
    </row>
    <row r="3785">
      <c r="B3785" s="2" t="n"/>
      <c r="C3785" s="40" t="n"/>
      <c r="D3785" s="52">
        <f t="array" ref="D3785:W3785">IF(All_Students_Scores!C3783:V3783="","",All_Students_Scores!C3783:V3783)</f>
        <v/>
      </c>
      <c r="E3785" s="57" t="str"/>
      <c r="F3785" s="49" t="str"/>
      <c r="G3785" s="59" t="str"/>
      <c r="H3785" s="64" t="str"/>
      <c r="I3785" s="65" t="str"/>
      <c r="J3785" s="49" t="str"/>
      <c r="K3785" s="41" t="str"/>
      <c r="L3785" s="41" t="str"/>
      <c r="M3785" s="41" t="str"/>
      <c r="N3785" s="41" t="str"/>
      <c r="O3785" s="41" t="str"/>
      <c r="P3785" s="41" t="str"/>
      <c r="Q3785" s="41" t="str"/>
      <c r="R3785" s="41" t="str"/>
      <c r="S3785" s="41" t="str"/>
      <c r="T3785" s="41" t="str"/>
      <c r="U3785" s="41" t="str"/>
      <c r="V3785" s="41" t="str"/>
      <c r="W3785" s="41" t="str"/>
    </row>
    <row r="3786">
      <c r="B3786" s="2" t="n"/>
      <c r="C3786" s="40" t="n"/>
      <c r="D3786" s="52">
        <f t="array" ref="D3786:W3786">IF(All_Students_Scores!C3784:V3784="","",All_Students_Scores!C3784:V3784)</f>
        <v/>
      </c>
      <c r="E3786" s="57" t="str"/>
      <c r="F3786" s="49" t="str"/>
      <c r="G3786" s="59" t="str"/>
      <c r="H3786" s="64" t="str"/>
      <c r="I3786" s="65" t="str"/>
      <c r="J3786" s="49" t="str"/>
      <c r="K3786" s="41" t="str"/>
      <c r="L3786" s="41" t="str"/>
      <c r="M3786" s="41" t="str"/>
      <c r="N3786" s="41" t="str"/>
      <c r="O3786" s="41" t="str"/>
      <c r="P3786" s="41" t="str"/>
      <c r="Q3786" s="41" t="str"/>
      <c r="R3786" s="41" t="str"/>
      <c r="S3786" s="41" t="str"/>
      <c r="T3786" s="41" t="str"/>
      <c r="U3786" s="41" t="str"/>
      <c r="V3786" s="41" t="str"/>
      <c r="W3786" s="41" t="str"/>
    </row>
    <row r="3787">
      <c r="B3787" s="2" t="n"/>
      <c r="C3787" s="40" t="n"/>
      <c r="D3787" s="52">
        <f t="array" ref="D3787:W3787">IF(All_Students_Scores!C3785:V3785="","",All_Students_Scores!C3785:V3785)</f>
        <v/>
      </c>
      <c r="E3787" s="57" t="str"/>
      <c r="F3787" s="49" t="str"/>
      <c r="G3787" s="59" t="str"/>
      <c r="H3787" s="64" t="str"/>
      <c r="I3787" s="65" t="str"/>
      <c r="J3787" s="49" t="str"/>
      <c r="K3787" s="41" t="str"/>
      <c r="L3787" s="41" t="str"/>
      <c r="M3787" s="41" t="str"/>
      <c r="N3787" s="41" t="str"/>
      <c r="O3787" s="41" t="str"/>
      <c r="P3787" s="41" t="str"/>
      <c r="Q3787" s="41" t="str"/>
      <c r="R3787" s="41" t="str"/>
      <c r="S3787" s="41" t="str"/>
      <c r="T3787" s="41" t="str"/>
      <c r="U3787" s="41" t="str"/>
      <c r="V3787" s="41" t="str"/>
      <c r="W3787" s="41" t="str"/>
    </row>
    <row r="3788">
      <c r="B3788" s="2" t="n"/>
      <c r="C3788" s="40" t="n"/>
      <c r="D3788" s="52">
        <f t="array" ref="D3788:W3788">IF(All_Students_Scores!C3786:V3786="","",All_Students_Scores!C3786:V3786)</f>
        <v/>
      </c>
      <c r="E3788" s="57" t="str"/>
      <c r="F3788" s="49" t="str"/>
      <c r="G3788" s="59" t="str"/>
      <c r="H3788" s="64" t="str"/>
      <c r="I3788" s="65" t="str"/>
      <c r="J3788" s="49" t="str"/>
      <c r="K3788" s="41" t="str"/>
      <c r="L3788" s="41" t="str"/>
      <c r="M3788" s="41" t="str"/>
      <c r="N3788" s="41" t="str"/>
      <c r="O3788" s="41" t="str"/>
      <c r="P3788" s="41" t="str"/>
      <c r="Q3788" s="41" t="str"/>
      <c r="R3788" s="41" t="str"/>
      <c r="S3788" s="41" t="str"/>
      <c r="T3788" s="41" t="str"/>
      <c r="U3788" s="41" t="str"/>
      <c r="V3788" s="41" t="str"/>
      <c r="W3788" s="41" t="str"/>
    </row>
    <row r="3789">
      <c r="B3789" s="2" t="n"/>
      <c r="C3789" s="40" t="n"/>
      <c r="D3789" s="52">
        <f t="array" ref="D3789:W3789">IF(All_Students_Scores!C3787:V3787="","",All_Students_Scores!C3787:V3787)</f>
        <v/>
      </c>
      <c r="E3789" s="57" t="str"/>
      <c r="F3789" s="49" t="str"/>
      <c r="G3789" s="59" t="str"/>
      <c r="H3789" s="64" t="str"/>
      <c r="I3789" s="65" t="str"/>
      <c r="J3789" s="49" t="str"/>
      <c r="K3789" s="41" t="str"/>
      <c r="L3789" s="41" t="str"/>
      <c r="M3789" s="41" t="str"/>
      <c r="N3789" s="41" t="str"/>
      <c r="O3789" s="41" t="str"/>
      <c r="P3789" s="41" t="str"/>
      <c r="Q3789" s="41" t="str"/>
      <c r="R3789" s="41" t="str"/>
      <c r="S3789" s="41" t="str"/>
      <c r="T3789" s="41" t="str"/>
      <c r="U3789" s="41" t="str"/>
      <c r="V3789" s="41" t="str"/>
      <c r="W3789" s="41" t="str"/>
    </row>
    <row r="3790">
      <c r="B3790" s="2" t="n"/>
      <c r="C3790" s="40" t="n"/>
      <c r="D3790" s="52">
        <f t="array" ref="D3790:W3790">IF(All_Students_Scores!C3788:V3788="","",All_Students_Scores!C3788:V3788)</f>
        <v/>
      </c>
      <c r="E3790" s="57" t="str"/>
      <c r="F3790" s="49" t="str"/>
      <c r="G3790" s="59" t="str"/>
      <c r="H3790" s="64" t="str"/>
      <c r="I3790" s="65" t="str"/>
      <c r="J3790" s="49" t="str"/>
      <c r="K3790" s="41" t="str"/>
      <c r="L3790" s="41" t="str"/>
      <c r="M3790" s="41" t="str"/>
      <c r="N3790" s="41" t="str"/>
      <c r="O3790" s="41" t="str"/>
      <c r="P3790" s="41" t="str"/>
      <c r="Q3790" s="41" t="str"/>
      <c r="R3790" s="41" t="str"/>
      <c r="S3790" s="41" t="str"/>
      <c r="T3790" s="41" t="str"/>
      <c r="U3790" s="41" t="str"/>
      <c r="V3790" s="41" t="str"/>
      <c r="W3790" s="41" t="str"/>
    </row>
    <row r="3791">
      <c r="B3791" s="2" t="n"/>
      <c r="C3791" s="40" t="n"/>
      <c r="D3791" s="52">
        <f t="array" ref="D3791:W3791">IF(All_Students_Scores!C3789:V3789="","",All_Students_Scores!C3789:V3789)</f>
        <v/>
      </c>
      <c r="E3791" s="57" t="str"/>
      <c r="F3791" s="49" t="str"/>
      <c r="G3791" s="59" t="str"/>
      <c r="H3791" s="64" t="str"/>
      <c r="I3791" s="65" t="str"/>
      <c r="J3791" s="49" t="str"/>
      <c r="K3791" s="41" t="str"/>
      <c r="L3791" s="41" t="str"/>
      <c r="M3791" s="41" t="str"/>
      <c r="N3791" s="41" t="str"/>
      <c r="O3791" s="41" t="str"/>
      <c r="P3791" s="41" t="str"/>
      <c r="Q3791" s="41" t="str"/>
      <c r="R3791" s="41" t="str"/>
      <c r="S3791" s="41" t="str"/>
      <c r="T3791" s="41" t="str"/>
      <c r="U3791" s="41" t="str"/>
      <c r="V3791" s="41" t="str"/>
      <c r="W3791" s="41" t="str"/>
    </row>
    <row r="3792">
      <c r="B3792" s="2" t="n"/>
      <c r="C3792" s="40" t="n"/>
      <c r="D3792" s="52">
        <f t="array" ref="D3792:W3792">IF(All_Students_Scores!C3790:V3790="","",All_Students_Scores!C3790:V3790)</f>
        <v/>
      </c>
      <c r="E3792" s="57" t="str"/>
      <c r="F3792" s="49" t="str"/>
      <c r="G3792" s="59" t="str"/>
      <c r="H3792" s="64" t="str"/>
      <c r="I3792" s="65" t="str"/>
      <c r="J3792" s="49" t="str"/>
      <c r="K3792" s="41" t="str"/>
      <c r="L3792" s="41" t="str"/>
      <c r="M3792" s="41" t="str"/>
      <c r="N3792" s="41" t="str"/>
      <c r="O3792" s="41" t="str"/>
      <c r="P3792" s="41" t="str"/>
      <c r="Q3792" s="41" t="str"/>
      <c r="R3792" s="41" t="str"/>
      <c r="S3792" s="41" t="str"/>
      <c r="T3792" s="41" t="str"/>
      <c r="U3792" s="41" t="str"/>
      <c r="V3792" s="41" t="str"/>
      <c r="W3792" s="41" t="str"/>
    </row>
    <row r="3793">
      <c r="B3793" s="2" t="n"/>
      <c r="C3793" s="40" t="n"/>
      <c r="D3793" s="52">
        <f t="array" ref="D3793:W3793">IF(All_Students_Scores!C3791:V3791="","",All_Students_Scores!C3791:V3791)</f>
        <v/>
      </c>
      <c r="E3793" s="57" t="str"/>
      <c r="F3793" s="49" t="str"/>
      <c r="G3793" s="59" t="str"/>
      <c r="H3793" s="64" t="str"/>
      <c r="I3793" s="65" t="str"/>
      <c r="J3793" s="49" t="str"/>
      <c r="K3793" s="41" t="str"/>
      <c r="L3793" s="41" t="str"/>
      <c r="M3793" s="41" t="str"/>
      <c r="N3793" s="41" t="str"/>
      <c r="O3793" s="41" t="str"/>
      <c r="P3793" s="41" t="str"/>
      <c r="Q3793" s="41" t="str"/>
      <c r="R3793" s="41" t="str"/>
      <c r="S3793" s="41" t="str"/>
      <c r="T3793" s="41" t="str"/>
      <c r="U3793" s="41" t="str"/>
      <c r="V3793" s="41" t="str"/>
      <c r="W3793" s="41" t="str"/>
    </row>
    <row r="3794">
      <c r="B3794" s="2" t="n"/>
      <c r="C3794" s="40" t="n"/>
      <c r="D3794" s="52">
        <f t="array" ref="D3794:W3794">IF(All_Students_Scores!C3792:V3792="","",All_Students_Scores!C3792:V3792)</f>
        <v/>
      </c>
      <c r="E3794" s="57" t="str"/>
      <c r="F3794" s="49" t="str"/>
      <c r="G3794" s="59" t="str"/>
      <c r="H3794" s="64" t="str"/>
      <c r="I3794" s="65" t="str"/>
      <c r="J3794" s="49" t="str"/>
      <c r="K3794" s="41" t="str"/>
      <c r="L3794" s="41" t="str"/>
      <c r="M3794" s="41" t="str"/>
      <c r="N3794" s="41" t="str"/>
      <c r="O3794" s="41" t="str"/>
      <c r="P3794" s="41" t="str"/>
      <c r="Q3794" s="41" t="str"/>
      <c r="R3794" s="41" t="str"/>
      <c r="S3794" s="41" t="str"/>
      <c r="T3794" s="41" t="str"/>
      <c r="U3794" s="41" t="str"/>
      <c r="V3794" s="41" t="str"/>
      <c r="W3794" s="41" t="str"/>
    </row>
    <row r="3795">
      <c r="B3795" s="2" t="n"/>
      <c r="C3795" s="40" t="n"/>
      <c r="D3795" s="52">
        <f t="array" ref="D3795:W3795">IF(All_Students_Scores!C3793:V3793="","",All_Students_Scores!C3793:V3793)</f>
        <v/>
      </c>
      <c r="E3795" s="57" t="str"/>
      <c r="F3795" s="49" t="str"/>
      <c r="G3795" s="59" t="str"/>
      <c r="H3795" s="64" t="str"/>
      <c r="I3795" s="65" t="str"/>
      <c r="J3795" s="49" t="str"/>
      <c r="K3795" s="41" t="str"/>
      <c r="L3795" s="41" t="str"/>
      <c r="M3795" s="41" t="str"/>
      <c r="N3795" s="41" t="str"/>
      <c r="O3795" s="41" t="str"/>
      <c r="P3795" s="41" t="str"/>
      <c r="Q3795" s="41" t="str"/>
      <c r="R3795" s="41" t="str"/>
      <c r="S3795" s="41" t="str"/>
      <c r="T3795" s="41" t="str"/>
      <c r="U3795" s="41" t="str"/>
      <c r="V3795" s="41" t="str"/>
      <c r="W3795" s="41" t="str"/>
    </row>
    <row r="3796">
      <c r="B3796" s="2" t="n"/>
      <c r="C3796" s="40" t="n"/>
      <c r="D3796" s="52">
        <f t="array" ref="D3796:W3796">IF(All_Students_Scores!C3794:V3794="","",All_Students_Scores!C3794:V3794)</f>
        <v/>
      </c>
      <c r="E3796" s="57" t="str"/>
      <c r="F3796" s="49" t="str"/>
      <c r="G3796" s="59" t="str"/>
      <c r="H3796" s="64" t="str"/>
      <c r="I3796" s="65" t="str"/>
      <c r="J3796" s="49" t="str"/>
      <c r="K3796" s="41" t="str"/>
      <c r="L3796" s="41" t="str"/>
      <c r="M3796" s="41" t="str"/>
      <c r="N3796" s="41" t="str"/>
      <c r="O3796" s="41" t="str"/>
      <c r="P3796" s="41" t="str"/>
      <c r="Q3796" s="41" t="str"/>
      <c r="R3796" s="41" t="str"/>
      <c r="S3796" s="41" t="str"/>
      <c r="T3796" s="41" t="str"/>
      <c r="U3796" s="41" t="str"/>
      <c r="V3796" s="41" t="str"/>
      <c r="W3796" s="41" t="str"/>
    </row>
    <row r="3797">
      <c r="B3797" s="2" t="n"/>
      <c r="C3797" s="40" t="n"/>
      <c r="D3797" s="52">
        <f t="array" ref="D3797:W3797">IF(All_Students_Scores!C3795:V3795="","",All_Students_Scores!C3795:V3795)</f>
        <v/>
      </c>
      <c r="E3797" s="57" t="str"/>
      <c r="F3797" s="49" t="str"/>
      <c r="G3797" s="59" t="str"/>
      <c r="H3797" s="64" t="str"/>
      <c r="I3797" s="65" t="str"/>
      <c r="J3797" s="49" t="str"/>
      <c r="K3797" s="41" t="str"/>
      <c r="L3797" s="41" t="str"/>
      <c r="M3797" s="41" t="str"/>
      <c r="N3797" s="41" t="str"/>
      <c r="O3797" s="41" t="str"/>
      <c r="P3797" s="41" t="str"/>
      <c r="Q3797" s="41" t="str"/>
      <c r="R3797" s="41" t="str"/>
      <c r="S3797" s="41" t="str"/>
      <c r="T3797" s="41" t="str"/>
      <c r="U3797" s="41" t="str"/>
      <c r="V3797" s="41" t="str"/>
      <c r="W3797" s="41" t="str"/>
    </row>
    <row r="3798">
      <c r="B3798" s="2" t="n"/>
      <c r="C3798" s="40" t="n"/>
      <c r="D3798" s="52">
        <f t="array" ref="D3798:W3798">IF(All_Students_Scores!C3796:V3796="","",All_Students_Scores!C3796:V3796)</f>
        <v/>
      </c>
      <c r="E3798" s="57" t="str"/>
      <c r="F3798" s="49" t="str"/>
      <c r="G3798" s="59" t="str"/>
      <c r="H3798" s="64" t="str"/>
      <c r="I3798" s="65" t="str"/>
      <c r="J3798" s="49" t="str"/>
      <c r="K3798" s="41" t="str"/>
      <c r="L3798" s="41" t="str"/>
      <c r="M3798" s="41" t="str"/>
      <c r="N3798" s="41" t="str"/>
      <c r="O3798" s="41" t="str"/>
      <c r="P3798" s="41" t="str"/>
      <c r="Q3798" s="41" t="str"/>
      <c r="R3798" s="41" t="str"/>
      <c r="S3798" s="41" t="str"/>
      <c r="T3798" s="41" t="str"/>
      <c r="U3798" s="41" t="str"/>
      <c r="V3798" s="41" t="str"/>
      <c r="W3798" s="41" t="str"/>
    </row>
    <row r="3799">
      <c r="B3799" s="2" t="n"/>
      <c r="C3799" s="40" t="n"/>
      <c r="D3799" s="52">
        <f t="array" ref="D3799:W3799">IF(All_Students_Scores!C3797:V3797="","",All_Students_Scores!C3797:V3797)</f>
        <v/>
      </c>
      <c r="E3799" s="57" t="str"/>
      <c r="F3799" s="49" t="str"/>
      <c r="G3799" s="59" t="str"/>
      <c r="H3799" s="64" t="str"/>
      <c r="I3799" s="65" t="str"/>
      <c r="J3799" s="49" t="str"/>
      <c r="K3799" s="41" t="str"/>
      <c r="L3799" s="41" t="str"/>
      <c r="M3799" s="41" t="str"/>
      <c r="N3799" s="41" t="str"/>
      <c r="O3799" s="41" t="str"/>
      <c r="P3799" s="41" t="str"/>
      <c r="Q3799" s="41" t="str"/>
      <c r="R3799" s="41" t="str"/>
      <c r="S3799" s="41" t="str"/>
      <c r="T3799" s="41" t="str"/>
      <c r="U3799" s="41" t="str"/>
      <c r="V3799" s="41" t="str"/>
      <c r="W3799" s="41" t="str"/>
    </row>
    <row r="3800">
      <c r="B3800" s="2" t="n"/>
      <c r="C3800" s="40" t="n"/>
      <c r="D3800" s="52">
        <f t="array" ref="D3800:W3800">IF(All_Students_Scores!C3798:V3798="","",All_Students_Scores!C3798:V3798)</f>
        <v/>
      </c>
      <c r="E3800" s="57" t="str"/>
      <c r="F3800" s="49" t="str"/>
      <c r="G3800" s="59" t="str"/>
      <c r="H3800" s="64" t="str"/>
      <c r="I3800" s="65" t="str"/>
      <c r="J3800" s="49" t="str"/>
      <c r="K3800" s="41" t="str"/>
      <c r="L3800" s="41" t="str"/>
      <c r="M3800" s="41" t="str"/>
      <c r="N3800" s="41" t="str"/>
      <c r="O3800" s="41" t="str"/>
      <c r="P3800" s="41" t="str"/>
      <c r="Q3800" s="41" t="str"/>
      <c r="R3800" s="41" t="str"/>
      <c r="S3800" s="41" t="str"/>
      <c r="T3800" s="41" t="str"/>
      <c r="U3800" s="41" t="str"/>
      <c r="V3800" s="41" t="str"/>
      <c r="W3800" s="41" t="str"/>
    </row>
    <row r="3801">
      <c r="B3801" s="2" t="n"/>
      <c r="C3801" s="40" t="n"/>
      <c r="D3801" s="52">
        <f t="array" ref="D3801:W3801">IF(All_Students_Scores!C3799:V3799="","",All_Students_Scores!C3799:V3799)</f>
        <v/>
      </c>
      <c r="E3801" s="57" t="str"/>
      <c r="F3801" s="49" t="str"/>
      <c r="G3801" s="59" t="str"/>
      <c r="H3801" s="64" t="str"/>
      <c r="I3801" s="65" t="str"/>
      <c r="J3801" s="49" t="str"/>
      <c r="K3801" s="41" t="str"/>
      <c r="L3801" s="41" t="str"/>
      <c r="M3801" s="41" t="str"/>
      <c r="N3801" s="41" t="str"/>
      <c r="O3801" s="41" t="str"/>
      <c r="P3801" s="41" t="str"/>
      <c r="Q3801" s="41" t="str"/>
      <c r="R3801" s="41" t="str"/>
      <c r="S3801" s="41" t="str"/>
      <c r="T3801" s="41" t="str"/>
      <c r="U3801" s="41" t="str"/>
      <c r="V3801" s="41" t="str"/>
      <c r="W3801" s="41" t="str"/>
    </row>
    <row r="3802">
      <c r="B3802" s="2" t="n"/>
      <c r="C3802" s="40" t="n"/>
      <c r="D3802" s="52">
        <f t="array" ref="D3802:W3802">IF(All_Students_Scores!C3800:V3800="","",All_Students_Scores!C3800:V3800)</f>
        <v/>
      </c>
      <c r="E3802" s="57" t="str"/>
      <c r="F3802" s="49" t="str"/>
      <c r="G3802" s="59" t="str"/>
      <c r="H3802" s="64" t="str"/>
      <c r="I3802" s="65" t="str"/>
      <c r="J3802" s="49" t="str"/>
      <c r="K3802" s="41" t="str"/>
      <c r="L3802" s="41" t="str"/>
      <c r="M3802" s="41" t="str"/>
      <c r="N3802" s="41" t="str"/>
      <c r="O3802" s="41" t="str"/>
      <c r="P3802" s="41" t="str"/>
      <c r="Q3802" s="41" t="str"/>
      <c r="R3802" s="41" t="str"/>
      <c r="S3802" s="41" t="str"/>
      <c r="T3802" s="41" t="str"/>
      <c r="U3802" s="41" t="str"/>
      <c r="V3802" s="41" t="str"/>
      <c r="W3802" s="41" t="str"/>
    </row>
    <row r="3803">
      <c r="B3803" s="2" t="n"/>
      <c r="C3803" s="40" t="n"/>
      <c r="D3803" s="52">
        <f t="array" ref="D3803:W3803">IF(All_Students_Scores!C3801:V3801="","",All_Students_Scores!C3801:V3801)</f>
        <v/>
      </c>
      <c r="E3803" s="57" t="str"/>
      <c r="F3803" s="49" t="str"/>
      <c r="G3803" s="59" t="str"/>
      <c r="H3803" s="64" t="str"/>
      <c r="I3803" s="65" t="str"/>
      <c r="J3803" s="49" t="str"/>
      <c r="K3803" s="41" t="str"/>
      <c r="L3803" s="41" t="str"/>
      <c r="M3803" s="41" t="str"/>
      <c r="N3803" s="41" t="str"/>
      <c r="O3803" s="41" t="str"/>
      <c r="P3803" s="41" t="str"/>
      <c r="Q3803" s="41" t="str"/>
      <c r="R3803" s="41" t="str"/>
      <c r="S3803" s="41" t="str"/>
      <c r="T3803" s="41" t="str"/>
      <c r="U3803" s="41" t="str"/>
      <c r="V3803" s="41" t="str"/>
      <c r="W3803" s="41" t="str"/>
    </row>
    <row r="3804">
      <c r="B3804" s="2" t="n"/>
      <c r="C3804" s="40" t="n"/>
      <c r="D3804" s="52">
        <f t="array" ref="D3804:W3804">IF(All_Students_Scores!C3802:V3802="","",All_Students_Scores!C3802:V3802)</f>
        <v/>
      </c>
      <c r="E3804" s="57" t="str"/>
      <c r="F3804" s="49" t="str"/>
      <c r="G3804" s="59" t="str"/>
      <c r="H3804" s="64" t="str"/>
      <c r="I3804" s="65" t="str"/>
      <c r="J3804" s="49" t="str"/>
      <c r="K3804" s="41" t="str"/>
      <c r="L3804" s="41" t="str"/>
      <c r="M3804" s="41" t="str"/>
      <c r="N3804" s="41" t="str"/>
      <c r="O3804" s="41" t="str"/>
      <c r="P3804" s="41" t="str"/>
      <c r="Q3804" s="41" t="str"/>
      <c r="R3804" s="41" t="str"/>
      <c r="S3804" s="41" t="str"/>
      <c r="T3804" s="41" t="str"/>
      <c r="U3804" s="41" t="str"/>
      <c r="V3804" s="41" t="str"/>
      <c r="W3804" s="41" t="str"/>
    </row>
    <row r="3805">
      <c r="B3805" s="2" t="n"/>
      <c r="C3805" s="40" t="n"/>
      <c r="D3805" s="52">
        <f t="array" ref="D3805:W3805">IF(All_Students_Scores!C3803:V3803="","",All_Students_Scores!C3803:V3803)</f>
        <v/>
      </c>
      <c r="E3805" s="57" t="str"/>
      <c r="F3805" s="49" t="str"/>
      <c r="G3805" s="59" t="str"/>
      <c r="H3805" s="64" t="str"/>
      <c r="I3805" s="65" t="str"/>
      <c r="J3805" s="49" t="str"/>
      <c r="K3805" s="41" t="str"/>
      <c r="L3805" s="41" t="str"/>
      <c r="M3805" s="41" t="str"/>
      <c r="N3805" s="41" t="str"/>
      <c r="O3805" s="41" t="str"/>
      <c r="P3805" s="41" t="str"/>
      <c r="Q3805" s="41" t="str"/>
      <c r="R3805" s="41" t="str"/>
      <c r="S3805" s="41" t="str"/>
      <c r="T3805" s="41" t="str"/>
      <c r="U3805" s="41" t="str"/>
      <c r="V3805" s="41" t="str"/>
      <c r="W3805" s="41" t="str"/>
    </row>
    <row r="3806">
      <c r="B3806" s="2" t="n"/>
      <c r="C3806" s="40" t="n"/>
      <c r="D3806" s="52">
        <f t="array" ref="D3806:W3806">IF(All_Students_Scores!C3804:V3804="","",All_Students_Scores!C3804:V3804)</f>
        <v/>
      </c>
      <c r="E3806" s="57" t="str"/>
      <c r="F3806" s="49" t="str"/>
      <c r="G3806" s="59" t="str"/>
      <c r="H3806" s="64" t="str"/>
      <c r="I3806" s="65" t="str"/>
      <c r="J3806" s="49" t="str"/>
      <c r="K3806" s="41" t="str"/>
      <c r="L3806" s="41" t="str"/>
      <c r="M3806" s="41" t="str"/>
      <c r="N3806" s="41" t="str"/>
      <c r="O3806" s="41" t="str"/>
      <c r="P3806" s="41" t="str"/>
      <c r="Q3806" s="41" t="str"/>
      <c r="R3806" s="41" t="str"/>
      <c r="S3806" s="41" t="str"/>
      <c r="T3806" s="41" t="str"/>
      <c r="U3806" s="41" t="str"/>
      <c r="V3806" s="41" t="str"/>
      <c r="W3806" s="41" t="str"/>
    </row>
    <row r="3807">
      <c r="B3807" s="2" t="n"/>
      <c r="C3807" s="40" t="n"/>
      <c r="D3807" s="52">
        <f t="array" ref="D3807:W3807">IF(All_Students_Scores!C3805:V3805="","",All_Students_Scores!C3805:V3805)</f>
        <v/>
      </c>
      <c r="E3807" s="57" t="str"/>
      <c r="F3807" s="49" t="str"/>
      <c r="G3807" s="59" t="str"/>
      <c r="H3807" s="64" t="str"/>
      <c r="I3807" s="65" t="str"/>
      <c r="J3807" s="49" t="str"/>
      <c r="K3807" s="41" t="str"/>
      <c r="L3807" s="41" t="str"/>
      <c r="M3807" s="41" t="str"/>
      <c r="N3807" s="41" t="str"/>
      <c r="O3807" s="41" t="str"/>
      <c r="P3807" s="41" t="str"/>
      <c r="Q3807" s="41" t="str"/>
      <c r="R3807" s="41" t="str"/>
      <c r="S3807" s="41" t="str"/>
      <c r="T3807" s="41" t="str"/>
      <c r="U3807" s="41" t="str"/>
      <c r="V3807" s="41" t="str"/>
      <c r="W3807" s="41" t="str"/>
    </row>
    <row r="3808">
      <c r="B3808" s="2" t="n"/>
      <c r="C3808" s="40" t="n"/>
      <c r="D3808" s="52">
        <f t="array" ref="D3808:W3808">IF(All_Students_Scores!C3806:V3806="","",All_Students_Scores!C3806:V3806)</f>
        <v/>
      </c>
      <c r="E3808" s="57" t="str"/>
      <c r="F3808" s="49" t="str"/>
      <c r="G3808" s="59" t="str"/>
      <c r="H3808" s="64" t="str"/>
      <c r="I3808" s="65" t="str"/>
      <c r="J3808" s="49" t="str"/>
      <c r="K3808" s="41" t="str"/>
      <c r="L3808" s="41" t="str"/>
      <c r="M3808" s="41" t="str"/>
      <c r="N3808" s="41" t="str"/>
      <c r="O3808" s="41" t="str"/>
      <c r="P3808" s="41" t="str"/>
      <c r="Q3808" s="41" t="str"/>
      <c r="R3808" s="41" t="str"/>
      <c r="S3808" s="41" t="str"/>
      <c r="T3808" s="41" t="str"/>
      <c r="U3808" s="41" t="str"/>
      <c r="V3808" s="41" t="str"/>
      <c r="W3808" s="41" t="str"/>
    </row>
    <row r="3809">
      <c r="B3809" s="2" t="n"/>
      <c r="C3809" s="40" t="n"/>
      <c r="D3809" s="52">
        <f t="array" ref="D3809:W3809">IF(All_Students_Scores!C3807:V3807="","",All_Students_Scores!C3807:V3807)</f>
        <v/>
      </c>
      <c r="E3809" s="57" t="str"/>
      <c r="F3809" s="49" t="str"/>
      <c r="G3809" s="59" t="str"/>
      <c r="H3809" s="64" t="str"/>
      <c r="I3809" s="65" t="str"/>
      <c r="J3809" s="49" t="str"/>
      <c r="K3809" s="41" t="str"/>
      <c r="L3809" s="41" t="str"/>
      <c r="M3809" s="41" t="str"/>
      <c r="N3809" s="41" t="str"/>
      <c r="O3809" s="41" t="str"/>
      <c r="P3809" s="41" t="str"/>
      <c r="Q3809" s="41" t="str"/>
      <c r="R3809" s="41" t="str"/>
      <c r="S3809" s="41" t="str"/>
      <c r="T3809" s="41" t="str"/>
      <c r="U3809" s="41" t="str"/>
      <c r="V3809" s="41" t="str"/>
      <c r="W3809" s="41" t="str"/>
    </row>
    <row r="3810">
      <c r="B3810" s="2" t="n"/>
      <c r="C3810" s="40" t="n"/>
      <c r="D3810" s="52">
        <f t="array" ref="D3810:W3810">IF(All_Students_Scores!C3808:V3808="","",All_Students_Scores!C3808:V3808)</f>
        <v/>
      </c>
      <c r="E3810" s="57" t="str"/>
      <c r="F3810" s="49" t="str"/>
      <c r="G3810" s="59" t="str"/>
      <c r="H3810" s="64" t="str"/>
      <c r="I3810" s="65" t="str"/>
      <c r="J3810" s="49" t="str"/>
      <c r="K3810" s="41" t="str"/>
      <c r="L3810" s="41" t="str"/>
      <c r="M3810" s="41" t="str"/>
      <c r="N3810" s="41" t="str"/>
      <c r="O3810" s="41" t="str"/>
      <c r="P3810" s="41" t="str"/>
      <c r="Q3810" s="41" t="str"/>
      <c r="R3810" s="41" t="str"/>
      <c r="S3810" s="41" t="str"/>
      <c r="T3810" s="41" t="str"/>
      <c r="U3810" s="41" t="str"/>
      <c r="V3810" s="41" t="str"/>
      <c r="W3810" s="41" t="str"/>
    </row>
    <row r="3811">
      <c r="B3811" s="2" t="n"/>
      <c r="C3811" s="40" t="n"/>
      <c r="D3811" s="52">
        <f t="array" ref="D3811:W3811">IF(All_Students_Scores!C3809:V3809="","",All_Students_Scores!C3809:V3809)</f>
        <v/>
      </c>
      <c r="E3811" s="57" t="str"/>
      <c r="F3811" s="49" t="str"/>
      <c r="G3811" s="59" t="str"/>
      <c r="H3811" s="64" t="str"/>
      <c r="I3811" s="65" t="str"/>
      <c r="J3811" s="49" t="str"/>
      <c r="K3811" s="41" t="str"/>
      <c r="L3811" s="41" t="str"/>
      <c r="M3811" s="41" t="str"/>
      <c r="N3811" s="41" t="str"/>
      <c r="O3811" s="41" t="str"/>
      <c r="P3811" s="41" t="str"/>
      <c r="Q3811" s="41" t="str"/>
      <c r="R3811" s="41" t="str"/>
      <c r="S3811" s="41" t="str"/>
      <c r="T3811" s="41" t="str"/>
      <c r="U3811" s="41" t="str"/>
      <c r="V3811" s="41" t="str"/>
      <c r="W3811" s="41" t="str"/>
    </row>
    <row r="3812">
      <c r="B3812" s="2" t="n"/>
      <c r="C3812" s="40" t="n"/>
      <c r="D3812" s="52">
        <f t="array" ref="D3812:W3812">IF(All_Students_Scores!C3810:V3810="","",All_Students_Scores!C3810:V3810)</f>
        <v/>
      </c>
      <c r="E3812" s="57" t="str"/>
      <c r="F3812" s="49" t="str"/>
      <c r="G3812" s="59" t="str"/>
      <c r="H3812" s="64" t="str"/>
      <c r="I3812" s="65" t="str"/>
      <c r="J3812" s="49" t="str"/>
      <c r="K3812" s="41" t="str"/>
      <c r="L3812" s="41" t="str"/>
      <c r="M3812" s="41" t="str"/>
      <c r="N3812" s="41" t="str"/>
      <c r="O3812" s="41" t="str"/>
      <c r="P3812" s="41" t="str"/>
      <c r="Q3812" s="41" t="str"/>
      <c r="R3812" s="41" t="str"/>
      <c r="S3812" s="41" t="str"/>
      <c r="T3812" s="41" t="str"/>
      <c r="U3812" s="41" t="str"/>
      <c r="V3812" s="41" t="str"/>
      <c r="W3812" s="41" t="str"/>
    </row>
    <row r="3813">
      <c r="B3813" s="2" t="n"/>
      <c r="C3813" s="40" t="n"/>
      <c r="D3813" s="52">
        <f t="array" ref="D3813:W3813">IF(All_Students_Scores!C3811:V3811="","",All_Students_Scores!C3811:V3811)</f>
        <v/>
      </c>
      <c r="E3813" s="57" t="str"/>
      <c r="F3813" s="49" t="str"/>
      <c r="G3813" s="59" t="str"/>
      <c r="H3813" s="64" t="str"/>
      <c r="I3813" s="65" t="str"/>
      <c r="J3813" s="49" t="str"/>
      <c r="K3813" s="41" t="str"/>
      <c r="L3813" s="41" t="str"/>
      <c r="M3813" s="41" t="str"/>
      <c r="N3813" s="41" t="str"/>
      <c r="O3813" s="41" t="str"/>
      <c r="P3813" s="41" t="str"/>
      <c r="Q3813" s="41" t="str"/>
      <c r="R3813" s="41" t="str"/>
      <c r="S3813" s="41" t="str"/>
      <c r="T3813" s="41" t="str"/>
      <c r="U3813" s="41" t="str"/>
      <c r="V3813" s="41" t="str"/>
      <c r="W3813" s="41" t="str"/>
    </row>
    <row r="3814">
      <c r="B3814" s="2" t="n"/>
      <c r="C3814" s="40" t="n"/>
      <c r="D3814" s="52">
        <f t="array" ref="D3814:W3814">IF(All_Students_Scores!C3812:V3812="","",All_Students_Scores!C3812:V3812)</f>
        <v/>
      </c>
      <c r="E3814" s="57" t="str"/>
      <c r="F3814" s="49" t="str"/>
      <c r="G3814" s="59" t="str"/>
      <c r="H3814" s="64" t="str"/>
      <c r="I3814" s="65" t="str"/>
      <c r="J3814" s="49" t="str"/>
      <c r="K3814" s="41" t="str"/>
      <c r="L3814" s="41" t="str"/>
      <c r="M3814" s="41" t="str"/>
      <c r="N3814" s="41" t="str"/>
      <c r="O3814" s="41" t="str"/>
      <c r="P3814" s="41" t="str"/>
      <c r="Q3814" s="41" t="str"/>
      <c r="R3814" s="41" t="str"/>
      <c r="S3814" s="41" t="str"/>
      <c r="T3814" s="41" t="str"/>
      <c r="U3814" s="41" t="str"/>
      <c r="V3814" s="41" t="str"/>
      <c r="W3814" s="41" t="str"/>
    </row>
    <row r="3815">
      <c r="B3815" s="2" t="n"/>
      <c r="C3815" s="40" t="n"/>
      <c r="D3815" s="52">
        <f t="array" ref="D3815:W3815">IF(All_Students_Scores!C3813:V3813="","",All_Students_Scores!C3813:V3813)</f>
        <v/>
      </c>
      <c r="E3815" s="57" t="str"/>
      <c r="F3815" s="49" t="str"/>
      <c r="G3815" s="59" t="str"/>
      <c r="H3815" s="64" t="str"/>
      <c r="I3815" s="65" t="str"/>
      <c r="J3815" s="49" t="str"/>
      <c r="K3815" s="41" t="str"/>
      <c r="L3815" s="41" t="str"/>
      <c r="M3815" s="41" t="str"/>
      <c r="N3815" s="41" t="str"/>
      <c r="O3815" s="41" t="str"/>
      <c r="P3815" s="41" t="str"/>
      <c r="Q3815" s="41" t="str"/>
      <c r="R3815" s="41" t="str"/>
      <c r="S3815" s="41" t="str"/>
      <c r="T3815" s="41" t="str"/>
      <c r="U3815" s="41" t="str"/>
      <c r="V3815" s="41" t="str"/>
      <c r="W3815" s="41" t="str"/>
    </row>
    <row r="3816">
      <c r="B3816" s="2" t="n"/>
      <c r="C3816" s="40" t="n"/>
      <c r="D3816" s="52">
        <f t="array" ref="D3816:W3816">IF(All_Students_Scores!C3814:V3814="","",All_Students_Scores!C3814:V3814)</f>
        <v/>
      </c>
      <c r="E3816" s="57" t="str"/>
      <c r="F3816" s="49" t="str"/>
      <c r="G3816" s="59" t="str"/>
      <c r="H3816" s="64" t="str"/>
      <c r="I3816" s="65" t="str"/>
      <c r="J3816" s="49" t="str"/>
      <c r="K3816" s="41" t="str"/>
      <c r="L3816" s="41" t="str"/>
      <c r="M3816" s="41" t="str"/>
      <c r="N3816" s="41" t="str"/>
      <c r="O3816" s="41" t="str"/>
      <c r="P3816" s="41" t="str"/>
      <c r="Q3816" s="41" t="str"/>
      <c r="R3816" s="41" t="str"/>
      <c r="S3816" s="41" t="str"/>
      <c r="T3816" s="41" t="str"/>
      <c r="U3816" s="41" t="str"/>
      <c r="V3816" s="41" t="str"/>
      <c r="W3816" s="41" t="str"/>
    </row>
    <row r="3817">
      <c r="B3817" s="2" t="n"/>
      <c r="C3817" s="40" t="n"/>
      <c r="D3817" s="52">
        <f t="array" ref="D3817:W3817">IF(All_Students_Scores!C3815:V3815="","",All_Students_Scores!C3815:V3815)</f>
        <v/>
      </c>
      <c r="E3817" s="57" t="str"/>
      <c r="F3817" s="49" t="str"/>
      <c r="G3817" s="59" t="str"/>
      <c r="H3817" s="64" t="str"/>
      <c r="I3817" s="65" t="str"/>
      <c r="J3817" s="49" t="str"/>
      <c r="K3817" s="41" t="str"/>
      <c r="L3817" s="41" t="str"/>
      <c r="M3817" s="41" t="str"/>
      <c r="N3817" s="41" t="str"/>
      <c r="O3817" s="41" t="str"/>
      <c r="P3817" s="41" t="str"/>
      <c r="Q3817" s="41" t="str"/>
      <c r="R3817" s="41" t="str"/>
      <c r="S3817" s="41" t="str"/>
      <c r="T3817" s="41" t="str"/>
      <c r="U3817" s="41" t="str"/>
      <c r="V3817" s="41" t="str"/>
      <c r="W3817" s="41" t="str"/>
    </row>
    <row r="3818">
      <c r="B3818" s="2" t="n"/>
      <c r="C3818" s="40" t="n"/>
      <c r="D3818" s="52">
        <f t="array" ref="D3818:W3818">IF(All_Students_Scores!C3816:V3816="","",All_Students_Scores!C3816:V3816)</f>
        <v/>
      </c>
      <c r="E3818" s="57" t="str"/>
      <c r="F3818" s="49" t="str"/>
      <c r="G3818" s="59" t="str"/>
      <c r="H3818" s="64" t="str"/>
      <c r="I3818" s="65" t="str"/>
      <c r="J3818" s="49" t="str"/>
      <c r="K3818" s="41" t="str"/>
      <c r="L3818" s="41" t="str"/>
      <c r="M3818" s="41" t="str"/>
      <c r="N3818" s="41" t="str"/>
      <c r="O3818" s="41" t="str"/>
      <c r="P3818" s="41" t="str"/>
      <c r="Q3818" s="41" t="str"/>
      <c r="R3818" s="41" t="str"/>
      <c r="S3818" s="41" t="str"/>
      <c r="T3818" s="41" t="str"/>
      <c r="U3818" s="41" t="str"/>
      <c r="V3818" s="41" t="str"/>
      <c r="W3818" s="41" t="str"/>
    </row>
    <row r="3819">
      <c r="B3819" s="2" t="n"/>
      <c r="C3819" s="40" t="n"/>
      <c r="D3819" s="52">
        <f t="array" ref="D3819:W3819">IF(All_Students_Scores!C3817:V3817="","",All_Students_Scores!C3817:V3817)</f>
        <v/>
      </c>
      <c r="E3819" s="57" t="str"/>
      <c r="F3819" s="49" t="str"/>
      <c r="G3819" s="59" t="str"/>
      <c r="H3819" s="64" t="str"/>
      <c r="I3819" s="65" t="str"/>
      <c r="J3819" s="49" t="str"/>
      <c r="K3819" s="41" t="str"/>
      <c r="L3819" s="41" t="str"/>
      <c r="M3819" s="41" t="str"/>
      <c r="N3819" s="41" t="str"/>
      <c r="O3819" s="41" t="str"/>
      <c r="P3819" s="41" t="str"/>
      <c r="Q3819" s="41" t="str"/>
      <c r="R3819" s="41" t="str"/>
      <c r="S3819" s="41" t="str"/>
      <c r="T3819" s="41" t="str"/>
      <c r="U3819" s="41" t="str"/>
      <c r="V3819" s="41" t="str"/>
      <c r="W3819" s="41" t="str"/>
    </row>
    <row r="3820">
      <c r="B3820" s="2" t="n"/>
      <c r="C3820" s="40" t="n"/>
      <c r="D3820" s="52">
        <f t="array" ref="D3820:W3820">IF(All_Students_Scores!C3818:V3818="","",All_Students_Scores!C3818:V3818)</f>
        <v/>
      </c>
      <c r="E3820" s="57" t="str"/>
      <c r="F3820" s="49" t="str"/>
      <c r="G3820" s="59" t="str"/>
      <c r="H3820" s="64" t="str"/>
      <c r="I3820" s="65" t="str"/>
      <c r="J3820" s="49" t="str"/>
      <c r="K3820" s="41" t="str"/>
      <c r="L3820" s="41" t="str"/>
      <c r="M3820" s="41" t="str"/>
      <c r="N3820" s="41" t="str"/>
      <c r="O3820" s="41" t="str"/>
      <c r="P3820" s="41" t="str"/>
      <c r="Q3820" s="41" t="str"/>
      <c r="R3820" s="41" t="str"/>
      <c r="S3820" s="41" t="str"/>
      <c r="T3820" s="41" t="str"/>
      <c r="U3820" s="41" t="str"/>
      <c r="V3820" s="41" t="str"/>
      <c r="W3820" s="41" t="str"/>
    </row>
    <row r="3821">
      <c r="B3821" s="2" t="n"/>
      <c r="C3821" s="40" t="n"/>
      <c r="D3821" s="52">
        <f t="array" ref="D3821:W3821">IF(All_Students_Scores!C3819:V3819="","",All_Students_Scores!C3819:V3819)</f>
        <v/>
      </c>
      <c r="E3821" s="57" t="str"/>
      <c r="F3821" s="49" t="str"/>
      <c r="G3821" s="59" t="str"/>
      <c r="H3821" s="64" t="str"/>
      <c r="I3821" s="65" t="str"/>
      <c r="J3821" s="49" t="str"/>
      <c r="K3821" s="41" t="str"/>
      <c r="L3821" s="41" t="str"/>
      <c r="M3821" s="41" t="str"/>
      <c r="N3821" s="41" t="str"/>
      <c r="O3821" s="41" t="str"/>
      <c r="P3821" s="41" t="str"/>
      <c r="Q3821" s="41" t="str"/>
      <c r="R3821" s="41" t="str"/>
      <c r="S3821" s="41" t="str"/>
      <c r="T3821" s="41" t="str"/>
      <c r="U3821" s="41" t="str"/>
      <c r="V3821" s="41" t="str"/>
      <c r="W3821" s="41" t="str"/>
    </row>
    <row r="3822">
      <c r="B3822" s="2" t="n"/>
      <c r="C3822" s="40" t="n"/>
      <c r="D3822" s="52">
        <f t="array" ref="D3822:W3822">IF(All_Students_Scores!C3820:V3820="","",All_Students_Scores!C3820:V3820)</f>
        <v/>
      </c>
      <c r="E3822" s="57" t="str"/>
      <c r="F3822" s="49" t="str"/>
      <c r="G3822" s="59" t="str"/>
      <c r="H3822" s="64" t="str"/>
      <c r="I3822" s="65" t="str"/>
      <c r="J3822" s="49" t="str"/>
      <c r="K3822" s="41" t="str"/>
      <c r="L3822" s="41" t="str"/>
      <c r="M3822" s="41" t="str"/>
      <c r="N3822" s="41" t="str"/>
      <c r="O3822" s="41" t="str"/>
      <c r="P3822" s="41" t="str"/>
      <c r="Q3822" s="41" t="str"/>
      <c r="R3822" s="41" t="str"/>
      <c r="S3822" s="41" t="str"/>
      <c r="T3822" s="41" t="str"/>
      <c r="U3822" s="41" t="str"/>
      <c r="V3822" s="41" t="str"/>
      <c r="W3822" s="41" t="str"/>
    </row>
    <row r="3823">
      <c r="B3823" s="2" t="n"/>
      <c r="C3823" s="40" t="n"/>
      <c r="D3823" s="52">
        <f t="array" ref="D3823:W3823">IF(All_Students_Scores!C3821:V3821="","",All_Students_Scores!C3821:V3821)</f>
        <v/>
      </c>
      <c r="E3823" s="57" t="str"/>
      <c r="F3823" s="49" t="str"/>
      <c r="G3823" s="59" t="str"/>
      <c r="H3823" s="64" t="str"/>
      <c r="I3823" s="65" t="str"/>
      <c r="J3823" s="49" t="str"/>
      <c r="K3823" s="41" t="str"/>
      <c r="L3823" s="41" t="str"/>
      <c r="M3823" s="41" t="str"/>
      <c r="N3823" s="41" t="str"/>
      <c r="O3823" s="41" t="str"/>
      <c r="P3823" s="41" t="str"/>
      <c r="Q3823" s="41" t="str"/>
      <c r="R3823" s="41" t="str"/>
      <c r="S3823" s="41" t="str"/>
      <c r="T3823" s="41" t="str"/>
      <c r="U3823" s="41" t="str"/>
      <c r="V3823" s="41" t="str"/>
      <c r="W3823" s="41" t="str"/>
    </row>
    <row r="3824">
      <c r="B3824" s="2" t="n"/>
      <c r="C3824" s="40" t="n"/>
      <c r="D3824" s="52">
        <f t="array" ref="D3824:W3824">IF(All_Students_Scores!C3822:V3822="","",All_Students_Scores!C3822:V3822)</f>
        <v/>
      </c>
      <c r="E3824" s="57" t="str"/>
      <c r="F3824" s="49" t="str"/>
      <c r="G3824" s="59" t="str"/>
      <c r="H3824" s="64" t="str"/>
      <c r="I3824" s="65" t="str"/>
      <c r="J3824" s="49" t="str"/>
      <c r="K3824" s="41" t="str"/>
      <c r="L3824" s="41" t="str"/>
      <c r="M3824" s="41" t="str"/>
      <c r="N3824" s="41" t="str"/>
      <c r="O3824" s="41" t="str"/>
      <c r="P3824" s="41" t="str"/>
      <c r="Q3824" s="41" t="str"/>
      <c r="R3824" s="41" t="str"/>
      <c r="S3824" s="41" t="str"/>
      <c r="T3824" s="41" t="str"/>
      <c r="U3824" s="41" t="str"/>
      <c r="V3824" s="41" t="str"/>
      <c r="W3824" s="41" t="str"/>
    </row>
    <row r="3825">
      <c r="B3825" s="2" t="n"/>
      <c r="C3825" s="40" t="n"/>
      <c r="D3825" s="52">
        <f t="array" ref="D3825:W3825">IF(All_Students_Scores!C3823:V3823="","",All_Students_Scores!C3823:V3823)</f>
        <v/>
      </c>
      <c r="E3825" s="57" t="str"/>
      <c r="F3825" s="49" t="str"/>
      <c r="G3825" s="59" t="str"/>
      <c r="H3825" s="64" t="str"/>
      <c r="I3825" s="65" t="str"/>
      <c r="J3825" s="49" t="str"/>
      <c r="K3825" s="41" t="str"/>
      <c r="L3825" s="41" t="str"/>
      <c r="M3825" s="41" t="str"/>
      <c r="N3825" s="41" t="str"/>
      <c r="O3825" s="41" t="str"/>
      <c r="P3825" s="41" t="str"/>
      <c r="Q3825" s="41" t="str"/>
      <c r="R3825" s="41" t="str"/>
      <c r="S3825" s="41" t="str"/>
      <c r="T3825" s="41" t="str"/>
      <c r="U3825" s="41" t="str"/>
      <c r="V3825" s="41" t="str"/>
      <c r="W3825" s="41" t="str"/>
    </row>
    <row r="3826">
      <c r="B3826" s="2" t="n"/>
      <c r="C3826" s="40" t="n"/>
      <c r="D3826" s="52">
        <f t="array" ref="D3826:W3826">IF(All_Students_Scores!C3824:V3824="","",All_Students_Scores!C3824:V3824)</f>
        <v/>
      </c>
      <c r="E3826" s="57" t="str"/>
      <c r="F3826" s="49" t="str"/>
      <c r="G3826" s="59" t="str"/>
      <c r="H3826" s="64" t="str"/>
      <c r="I3826" s="65" t="str"/>
      <c r="J3826" s="49" t="str"/>
      <c r="K3826" s="41" t="str"/>
      <c r="L3826" s="41" t="str"/>
      <c r="M3826" s="41" t="str"/>
      <c r="N3826" s="41" t="str"/>
      <c r="O3826" s="41" t="str"/>
      <c r="P3826" s="41" t="str"/>
      <c r="Q3826" s="41" t="str"/>
      <c r="R3826" s="41" t="str"/>
      <c r="S3826" s="41" t="str"/>
      <c r="T3826" s="41" t="str"/>
      <c r="U3826" s="41" t="str"/>
      <c r="V3826" s="41" t="str"/>
      <c r="W3826" s="41" t="str"/>
    </row>
    <row r="3827">
      <c r="B3827" s="2" t="n"/>
      <c r="C3827" s="40" t="n"/>
      <c r="D3827" s="52">
        <f t="array" ref="D3827:W3827">IF(All_Students_Scores!C3825:V3825="","",All_Students_Scores!C3825:V3825)</f>
        <v/>
      </c>
      <c r="E3827" s="57" t="str"/>
      <c r="F3827" s="49" t="str"/>
      <c r="G3827" s="59" t="str"/>
      <c r="H3827" s="64" t="str"/>
      <c r="I3827" s="65" t="str"/>
      <c r="J3827" s="49" t="str"/>
      <c r="K3827" s="41" t="str"/>
      <c r="L3827" s="41" t="str"/>
      <c r="M3827" s="41" t="str"/>
      <c r="N3827" s="41" t="str"/>
      <c r="O3827" s="41" t="str"/>
      <c r="P3827" s="41" t="str"/>
      <c r="Q3827" s="41" t="str"/>
      <c r="R3827" s="41" t="str"/>
      <c r="S3827" s="41" t="str"/>
      <c r="T3827" s="41" t="str"/>
      <c r="U3827" s="41" t="str"/>
      <c r="V3827" s="41" t="str"/>
      <c r="W3827" s="41" t="str"/>
    </row>
    <row r="3828">
      <c r="B3828" s="2" t="n"/>
      <c r="C3828" s="40" t="n"/>
      <c r="D3828" s="52">
        <f t="array" ref="D3828:W3828">IF(All_Students_Scores!C3826:V3826="","",All_Students_Scores!C3826:V3826)</f>
        <v/>
      </c>
      <c r="E3828" s="57" t="str"/>
      <c r="F3828" s="49" t="str"/>
      <c r="G3828" s="59" t="str"/>
      <c r="H3828" s="64" t="str"/>
      <c r="I3828" s="65" t="str"/>
      <c r="J3828" s="49" t="str"/>
      <c r="K3828" s="41" t="str"/>
      <c r="L3828" s="41" t="str"/>
      <c r="M3828" s="41" t="str"/>
      <c r="N3828" s="41" t="str"/>
      <c r="O3828" s="41" t="str"/>
      <c r="P3828" s="41" t="str"/>
      <c r="Q3828" s="41" t="str"/>
      <c r="R3828" s="41" t="str"/>
      <c r="S3828" s="41" t="str"/>
      <c r="T3828" s="41" t="str"/>
      <c r="U3828" s="41" t="str"/>
      <c r="V3828" s="41" t="str"/>
      <c r="W3828" s="41" t="str"/>
    </row>
    <row r="3829">
      <c r="B3829" s="2" t="n"/>
      <c r="C3829" s="40" t="n"/>
      <c r="D3829" s="52">
        <f t="array" ref="D3829:W3829">IF(All_Students_Scores!C3827:V3827="","",All_Students_Scores!C3827:V3827)</f>
        <v/>
      </c>
      <c r="E3829" s="57" t="str"/>
      <c r="F3829" s="49" t="str"/>
      <c r="G3829" s="59" t="str"/>
      <c r="H3829" s="64" t="str"/>
      <c r="I3829" s="65" t="str"/>
      <c r="J3829" s="49" t="str"/>
      <c r="K3829" s="41" t="str"/>
      <c r="L3829" s="41" t="str"/>
      <c r="M3829" s="41" t="str"/>
      <c r="N3829" s="41" t="str"/>
      <c r="O3829" s="41" t="str"/>
      <c r="P3829" s="41" t="str"/>
      <c r="Q3829" s="41" t="str"/>
      <c r="R3829" s="41" t="str"/>
      <c r="S3829" s="41" t="str"/>
      <c r="T3829" s="41" t="str"/>
      <c r="U3829" s="41" t="str"/>
      <c r="V3829" s="41" t="str"/>
      <c r="W3829" s="41" t="str"/>
    </row>
    <row r="3830">
      <c r="B3830" s="2" t="n"/>
      <c r="C3830" s="40" t="n"/>
      <c r="D3830" s="52">
        <f t="array" ref="D3830:W3830">IF(All_Students_Scores!C3828:V3828="","",All_Students_Scores!C3828:V3828)</f>
        <v/>
      </c>
      <c r="E3830" s="57" t="str"/>
      <c r="F3830" s="49" t="str"/>
      <c r="G3830" s="59" t="str"/>
      <c r="H3830" s="64" t="str"/>
      <c r="I3830" s="65" t="str"/>
      <c r="J3830" s="49" t="str"/>
      <c r="K3830" s="41" t="str"/>
      <c r="L3830" s="41" t="str"/>
      <c r="M3830" s="41" t="str"/>
      <c r="N3830" s="41" t="str"/>
      <c r="O3830" s="41" t="str"/>
      <c r="P3830" s="41" t="str"/>
      <c r="Q3830" s="41" t="str"/>
      <c r="R3830" s="41" t="str"/>
      <c r="S3830" s="41" t="str"/>
      <c r="T3830" s="41" t="str"/>
      <c r="U3830" s="41" t="str"/>
      <c r="V3830" s="41" t="str"/>
      <c r="W3830" s="41" t="str"/>
    </row>
    <row r="3831">
      <c r="B3831" s="2" t="n"/>
      <c r="C3831" s="40" t="n"/>
      <c r="D3831" s="52">
        <f t="array" ref="D3831:W3831">IF(All_Students_Scores!C3829:V3829="","",All_Students_Scores!C3829:V3829)</f>
        <v/>
      </c>
      <c r="E3831" s="57" t="str"/>
      <c r="F3831" s="49" t="str"/>
      <c r="G3831" s="59" t="str"/>
      <c r="H3831" s="64" t="str"/>
      <c r="I3831" s="65" t="str"/>
      <c r="J3831" s="49" t="str"/>
      <c r="K3831" s="41" t="str"/>
      <c r="L3831" s="41" t="str"/>
      <c r="M3831" s="41" t="str"/>
      <c r="N3831" s="41" t="str"/>
      <c r="O3831" s="41" t="str"/>
      <c r="P3831" s="41" t="str"/>
      <c r="Q3831" s="41" t="str"/>
      <c r="R3831" s="41" t="str"/>
      <c r="S3831" s="41" t="str"/>
      <c r="T3831" s="41" t="str"/>
      <c r="U3831" s="41" t="str"/>
      <c r="V3831" s="41" t="str"/>
      <c r="W3831" s="41" t="str"/>
    </row>
    <row r="3832">
      <c r="B3832" s="2" t="n"/>
      <c r="C3832" s="40" t="n"/>
      <c r="D3832" s="52">
        <f t="array" ref="D3832:W3832">IF(All_Students_Scores!C3830:V3830="","",All_Students_Scores!C3830:V3830)</f>
        <v/>
      </c>
      <c r="E3832" s="57" t="str"/>
      <c r="F3832" s="49" t="str"/>
      <c r="G3832" s="59" t="str"/>
      <c r="H3832" s="64" t="str"/>
      <c r="I3832" s="65" t="str"/>
      <c r="J3832" s="49" t="str"/>
      <c r="K3832" s="41" t="str"/>
      <c r="L3832" s="41" t="str"/>
      <c r="M3832" s="41" t="str"/>
      <c r="N3832" s="41" t="str"/>
      <c r="O3832" s="41" t="str"/>
      <c r="P3832" s="41" t="str"/>
      <c r="Q3832" s="41" t="str"/>
      <c r="R3832" s="41" t="str"/>
      <c r="S3832" s="41" t="str"/>
      <c r="T3832" s="41" t="str"/>
      <c r="U3832" s="41" t="str"/>
      <c r="V3832" s="41" t="str"/>
      <c r="W3832" s="41" t="str"/>
    </row>
    <row r="3833">
      <c r="B3833" s="2" t="n"/>
      <c r="C3833" s="40" t="n"/>
      <c r="D3833" s="52">
        <f t="array" ref="D3833:W3833">IF(All_Students_Scores!C3831:V3831="","",All_Students_Scores!C3831:V3831)</f>
        <v/>
      </c>
      <c r="E3833" s="57" t="str"/>
      <c r="F3833" s="49" t="str"/>
      <c r="G3833" s="59" t="str"/>
      <c r="H3833" s="64" t="str"/>
      <c r="I3833" s="65" t="str"/>
      <c r="J3833" s="49" t="str"/>
      <c r="K3833" s="41" t="str"/>
      <c r="L3833" s="41" t="str"/>
      <c r="M3833" s="41" t="str"/>
      <c r="N3833" s="41" t="str"/>
      <c r="O3833" s="41" t="str"/>
      <c r="P3833" s="41" t="str"/>
      <c r="Q3833" s="41" t="str"/>
      <c r="R3833" s="41" t="str"/>
      <c r="S3833" s="41" t="str"/>
      <c r="T3833" s="41" t="str"/>
      <c r="U3833" s="41" t="str"/>
      <c r="V3833" s="41" t="str"/>
      <c r="W3833" s="41" t="str"/>
    </row>
    <row r="3834">
      <c r="B3834" s="2" t="n"/>
      <c r="C3834" s="40" t="n"/>
      <c r="D3834" s="52">
        <f t="array" ref="D3834:W3834">IF(All_Students_Scores!C3832:V3832="","",All_Students_Scores!C3832:V3832)</f>
        <v/>
      </c>
      <c r="E3834" s="57" t="str"/>
      <c r="F3834" s="49" t="str"/>
      <c r="G3834" s="59" t="str"/>
      <c r="H3834" s="64" t="str"/>
      <c r="I3834" s="65" t="str"/>
      <c r="J3834" s="49" t="str"/>
      <c r="K3834" s="41" t="str"/>
      <c r="L3834" s="41" t="str"/>
      <c r="M3834" s="41" t="str"/>
      <c r="N3834" s="41" t="str"/>
      <c r="O3834" s="41" t="str"/>
      <c r="P3834" s="41" t="str"/>
      <c r="Q3834" s="41" t="str"/>
      <c r="R3834" s="41" t="str"/>
      <c r="S3834" s="41" t="str"/>
      <c r="T3834" s="41" t="str"/>
      <c r="U3834" s="41" t="str"/>
      <c r="V3834" s="41" t="str"/>
      <c r="W3834" s="41" t="str"/>
    </row>
    <row r="3835">
      <c r="B3835" s="2" t="n"/>
      <c r="C3835" s="40" t="n"/>
      <c r="D3835" s="52">
        <f t="array" ref="D3835:W3835">IF(All_Students_Scores!C3833:V3833="","",All_Students_Scores!C3833:V3833)</f>
        <v/>
      </c>
      <c r="E3835" s="57" t="str"/>
      <c r="F3835" s="49" t="str"/>
      <c r="G3835" s="59" t="str"/>
      <c r="H3835" s="64" t="str"/>
      <c r="I3835" s="65" t="str"/>
      <c r="J3835" s="49" t="str"/>
      <c r="K3835" s="41" t="str"/>
      <c r="L3835" s="41" t="str"/>
      <c r="M3835" s="41" t="str"/>
      <c r="N3835" s="41" t="str"/>
      <c r="O3835" s="41" t="str"/>
      <c r="P3835" s="41" t="str"/>
      <c r="Q3835" s="41" t="str"/>
      <c r="R3835" s="41" t="str"/>
      <c r="S3835" s="41" t="str"/>
      <c r="T3835" s="41" t="str"/>
      <c r="U3835" s="41" t="str"/>
      <c r="V3835" s="41" t="str"/>
      <c r="W3835" s="41" t="str"/>
    </row>
    <row r="3836">
      <c r="B3836" s="2" t="n"/>
      <c r="C3836" s="40" t="n"/>
      <c r="D3836" s="52">
        <f t="array" ref="D3836:W3836">IF(All_Students_Scores!C3834:V3834="","",All_Students_Scores!C3834:V3834)</f>
        <v/>
      </c>
      <c r="E3836" s="57" t="str"/>
      <c r="F3836" s="49" t="str"/>
      <c r="G3836" s="59" t="str"/>
      <c r="H3836" s="64" t="str"/>
      <c r="I3836" s="65" t="str"/>
      <c r="J3836" s="49" t="str"/>
      <c r="K3836" s="41" t="str"/>
      <c r="L3836" s="41" t="str"/>
      <c r="M3836" s="41" t="str"/>
      <c r="N3836" s="41" t="str"/>
      <c r="O3836" s="41" t="str"/>
      <c r="P3836" s="41" t="str"/>
      <c r="Q3836" s="41" t="str"/>
      <c r="R3836" s="41" t="str"/>
      <c r="S3836" s="41" t="str"/>
      <c r="T3836" s="41" t="str"/>
      <c r="U3836" s="41" t="str"/>
      <c r="V3836" s="41" t="str"/>
      <c r="W3836" s="41" t="str"/>
    </row>
    <row r="3837">
      <c r="B3837" s="2" t="n"/>
      <c r="C3837" s="40" t="n"/>
      <c r="D3837" s="52">
        <f t="array" ref="D3837:W3837">IF(All_Students_Scores!C3835:V3835="","",All_Students_Scores!C3835:V3835)</f>
        <v/>
      </c>
      <c r="E3837" s="57" t="str"/>
      <c r="F3837" s="49" t="str"/>
      <c r="G3837" s="59" t="str"/>
      <c r="H3837" s="64" t="str"/>
      <c r="I3837" s="65" t="str"/>
      <c r="J3837" s="49" t="str"/>
      <c r="K3837" s="41" t="str"/>
      <c r="L3837" s="41" t="str"/>
      <c r="M3837" s="41" t="str"/>
      <c r="N3837" s="41" t="str"/>
      <c r="O3837" s="41" t="str"/>
      <c r="P3837" s="41" t="str"/>
      <c r="Q3837" s="41" t="str"/>
      <c r="R3837" s="41" t="str"/>
      <c r="S3837" s="41" t="str"/>
      <c r="T3837" s="41" t="str"/>
      <c r="U3837" s="41" t="str"/>
      <c r="V3837" s="41" t="str"/>
      <c r="W3837" s="41" t="str"/>
    </row>
    <row r="3838">
      <c r="B3838" s="2" t="n"/>
      <c r="C3838" s="40" t="n"/>
      <c r="D3838" s="52">
        <f t="array" ref="D3838:W3838">IF(All_Students_Scores!C3836:V3836="","",All_Students_Scores!C3836:V3836)</f>
        <v/>
      </c>
      <c r="E3838" s="57" t="str"/>
      <c r="F3838" s="49" t="str"/>
      <c r="G3838" s="59" t="str"/>
      <c r="H3838" s="64" t="str"/>
      <c r="I3838" s="65" t="str"/>
      <c r="J3838" s="49" t="str"/>
      <c r="K3838" s="41" t="str"/>
      <c r="L3838" s="41" t="str"/>
      <c r="M3838" s="41" t="str"/>
      <c r="N3838" s="41" t="str"/>
      <c r="O3838" s="41" t="str"/>
      <c r="P3838" s="41" t="str"/>
      <c r="Q3838" s="41" t="str"/>
      <c r="R3838" s="41" t="str"/>
      <c r="S3838" s="41" t="str"/>
      <c r="T3838" s="41" t="str"/>
      <c r="U3838" s="41" t="str"/>
      <c r="V3838" s="41" t="str"/>
      <c r="W3838" s="41" t="str"/>
    </row>
    <row r="3839">
      <c r="B3839" s="2" t="n"/>
      <c r="C3839" s="40" t="n"/>
      <c r="D3839" s="52">
        <f t="array" ref="D3839:W3839">IF(All_Students_Scores!C3837:V3837="","",All_Students_Scores!C3837:V3837)</f>
        <v/>
      </c>
      <c r="E3839" s="57" t="str"/>
      <c r="F3839" s="49" t="str"/>
      <c r="G3839" s="59" t="str"/>
      <c r="H3839" s="64" t="str"/>
      <c r="I3839" s="65" t="str"/>
      <c r="J3839" s="49" t="str"/>
      <c r="K3839" s="41" t="str"/>
      <c r="L3839" s="41" t="str"/>
      <c r="M3839" s="41" t="str"/>
      <c r="N3839" s="41" t="str"/>
      <c r="O3839" s="41" t="str"/>
      <c r="P3839" s="41" t="str"/>
      <c r="Q3839" s="41" t="str"/>
      <c r="R3839" s="41" t="str"/>
      <c r="S3839" s="41" t="str"/>
      <c r="T3839" s="41" t="str"/>
      <c r="U3839" s="41" t="str"/>
      <c r="V3839" s="41" t="str"/>
      <c r="W3839" s="41" t="str"/>
    </row>
    <row r="3840">
      <c r="B3840" s="2" t="n"/>
      <c r="C3840" s="40" t="n"/>
      <c r="D3840" s="52">
        <f t="array" ref="D3840:W3840">IF(All_Students_Scores!C3838:V3838="","",All_Students_Scores!C3838:V3838)</f>
        <v/>
      </c>
      <c r="E3840" s="57" t="str"/>
      <c r="F3840" s="49" t="str"/>
      <c r="G3840" s="59" t="str"/>
      <c r="H3840" s="64" t="str"/>
      <c r="I3840" s="65" t="str"/>
      <c r="J3840" s="49" t="str"/>
      <c r="K3840" s="41" t="str"/>
      <c r="L3840" s="41" t="str"/>
      <c r="M3840" s="41" t="str"/>
      <c r="N3840" s="41" t="str"/>
      <c r="O3840" s="41" t="str"/>
      <c r="P3840" s="41" t="str"/>
      <c r="Q3840" s="41" t="str"/>
      <c r="R3840" s="41" t="str"/>
      <c r="S3840" s="41" t="str"/>
      <c r="T3840" s="41" t="str"/>
      <c r="U3840" s="41" t="str"/>
      <c r="V3840" s="41" t="str"/>
      <c r="W3840" s="41" t="str"/>
    </row>
    <row r="3841">
      <c r="B3841" s="2" t="n"/>
      <c r="C3841" s="40" t="n"/>
      <c r="D3841" s="52">
        <f t="array" ref="D3841:W3841">IF(All_Students_Scores!C3839:V3839="","",All_Students_Scores!C3839:V3839)</f>
        <v/>
      </c>
      <c r="E3841" s="57" t="str"/>
      <c r="F3841" s="49" t="str"/>
      <c r="G3841" s="59" t="str"/>
      <c r="H3841" s="64" t="str"/>
      <c r="I3841" s="65" t="str"/>
      <c r="J3841" s="49" t="str"/>
      <c r="K3841" s="41" t="str"/>
      <c r="L3841" s="41" t="str"/>
      <c r="M3841" s="41" t="str"/>
      <c r="N3841" s="41" t="str"/>
      <c r="O3841" s="41" t="str"/>
      <c r="P3841" s="41" t="str"/>
      <c r="Q3841" s="41" t="str"/>
      <c r="R3841" s="41" t="str"/>
      <c r="S3841" s="41" t="str"/>
      <c r="T3841" s="41" t="str"/>
      <c r="U3841" s="41" t="str"/>
      <c r="V3841" s="41" t="str"/>
      <c r="W3841" s="41" t="str"/>
    </row>
    <row r="3842">
      <c r="B3842" s="2" t="n"/>
      <c r="C3842" s="40" t="n"/>
      <c r="D3842" s="52">
        <f t="array" ref="D3842:W3842">IF(All_Students_Scores!C3840:V3840="","",All_Students_Scores!C3840:V3840)</f>
        <v/>
      </c>
      <c r="E3842" s="57" t="str"/>
      <c r="F3842" s="49" t="str"/>
      <c r="G3842" s="59" t="str"/>
      <c r="H3842" s="64" t="str"/>
      <c r="I3842" s="65" t="str"/>
      <c r="J3842" s="49" t="str"/>
      <c r="K3842" s="41" t="str"/>
      <c r="L3842" s="41" t="str"/>
      <c r="M3842" s="41" t="str"/>
      <c r="N3842" s="41" t="str"/>
      <c r="O3842" s="41" t="str"/>
      <c r="P3842" s="41" t="str"/>
      <c r="Q3842" s="41" t="str"/>
      <c r="R3842" s="41" t="str"/>
      <c r="S3842" s="41" t="str"/>
      <c r="T3842" s="41" t="str"/>
      <c r="U3842" s="41" t="str"/>
      <c r="V3842" s="41" t="str"/>
      <c r="W3842" s="41" t="str"/>
    </row>
    <row r="3843">
      <c r="B3843" s="2" t="n"/>
      <c r="C3843" s="40" t="n"/>
      <c r="D3843" s="52">
        <f t="array" ref="D3843:W3843">IF(All_Students_Scores!C3841:V3841="","",All_Students_Scores!C3841:V3841)</f>
        <v/>
      </c>
      <c r="E3843" s="57" t="str"/>
      <c r="F3843" s="49" t="str"/>
      <c r="G3843" s="59" t="str"/>
      <c r="H3843" s="64" t="str"/>
      <c r="I3843" s="65" t="str"/>
      <c r="J3843" s="49" t="str"/>
      <c r="K3843" s="41" t="str"/>
      <c r="L3843" s="41" t="str"/>
      <c r="M3843" s="41" t="str"/>
      <c r="N3843" s="41" t="str"/>
      <c r="O3843" s="41" t="str"/>
      <c r="P3843" s="41" t="str"/>
      <c r="Q3843" s="41" t="str"/>
      <c r="R3843" s="41" t="str"/>
      <c r="S3843" s="41" t="str"/>
      <c r="T3843" s="41" t="str"/>
      <c r="U3843" s="41" t="str"/>
      <c r="V3843" s="41" t="str"/>
      <c r="W3843" s="41" t="str"/>
    </row>
    <row r="3844">
      <c r="B3844" s="2" t="n"/>
      <c r="C3844" s="40" t="n"/>
      <c r="D3844" s="52">
        <f t="array" ref="D3844:W3844">IF(All_Students_Scores!C3842:V3842="","",All_Students_Scores!C3842:V3842)</f>
        <v/>
      </c>
      <c r="E3844" s="57" t="str"/>
      <c r="F3844" s="49" t="str"/>
      <c r="G3844" s="59" t="str"/>
      <c r="H3844" s="64" t="str"/>
      <c r="I3844" s="65" t="str"/>
      <c r="J3844" s="49" t="str"/>
      <c r="K3844" s="41" t="str"/>
      <c r="L3844" s="41" t="str"/>
      <c r="M3844" s="41" t="str"/>
      <c r="N3844" s="41" t="str"/>
      <c r="O3844" s="41" t="str"/>
      <c r="P3844" s="41" t="str"/>
      <c r="Q3844" s="41" t="str"/>
      <c r="R3844" s="41" t="str"/>
      <c r="S3844" s="41" t="str"/>
      <c r="T3844" s="41" t="str"/>
      <c r="U3844" s="41" t="str"/>
      <c r="V3844" s="41" t="str"/>
      <c r="W3844" s="41" t="str"/>
    </row>
    <row r="3845">
      <c r="B3845" s="2" t="n"/>
      <c r="C3845" s="40" t="n"/>
      <c r="D3845" s="52">
        <f t="array" ref="D3845:W3845">IF(All_Students_Scores!C3843:V3843="","",All_Students_Scores!C3843:V3843)</f>
        <v/>
      </c>
      <c r="E3845" s="57" t="str"/>
      <c r="F3845" s="49" t="str"/>
      <c r="G3845" s="59" t="str"/>
      <c r="H3845" s="64" t="str"/>
      <c r="I3845" s="65" t="str"/>
      <c r="J3845" s="49" t="str"/>
      <c r="K3845" s="41" t="str"/>
      <c r="L3845" s="41" t="str"/>
      <c r="M3845" s="41" t="str"/>
      <c r="N3845" s="41" t="str"/>
      <c r="O3845" s="41" t="str"/>
      <c r="P3845" s="41" t="str"/>
      <c r="Q3845" s="41" t="str"/>
      <c r="R3845" s="41" t="str"/>
      <c r="S3845" s="41" t="str"/>
      <c r="T3845" s="41" t="str"/>
      <c r="U3845" s="41" t="str"/>
      <c r="V3845" s="41" t="str"/>
      <c r="W3845" s="41" t="str"/>
    </row>
    <row r="3846">
      <c r="B3846" s="2" t="n"/>
      <c r="C3846" s="40" t="n"/>
      <c r="D3846" s="52">
        <f t="array" ref="D3846:W3846">IF(All_Students_Scores!C3844:V3844="","",All_Students_Scores!C3844:V3844)</f>
        <v/>
      </c>
      <c r="E3846" s="57" t="str"/>
      <c r="F3846" s="49" t="str"/>
      <c r="G3846" s="59" t="str"/>
      <c r="H3846" s="64" t="str"/>
      <c r="I3846" s="65" t="str"/>
      <c r="J3846" s="49" t="str"/>
      <c r="K3846" s="41" t="str"/>
      <c r="L3846" s="41" t="str"/>
      <c r="M3846" s="41" t="str"/>
      <c r="N3846" s="41" t="str"/>
      <c r="O3846" s="41" t="str"/>
      <c r="P3846" s="41" t="str"/>
      <c r="Q3846" s="41" t="str"/>
      <c r="R3846" s="41" t="str"/>
      <c r="S3846" s="41" t="str"/>
      <c r="T3846" s="41" t="str"/>
      <c r="U3846" s="41" t="str"/>
      <c r="V3846" s="41" t="str"/>
      <c r="W3846" s="41" t="str"/>
    </row>
    <row r="3847">
      <c r="B3847" s="2" t="n"/>
      <c r="C3847" s="40" t="n"/>
      <c r="D3847" s="52">
        <f t="array" ref="D3847:W3847">IF(All_Students_Scores!C3845:V3845="","",All_Students_Scores!C3845:V3845)</f>
        <v/>
      </c>
      <c r="E3847" s="57" t="str"/>
      <c r="F3847" s="49" t="str"/>
      <c r="G3847" s="59" t="str"/>
      <c r="H3847" s="64" t="str"/>
      <c r="I3847" s="65" t="str"/>
      <c r="J3847" s="49" t="str"/>
      <c r="K3847" s="41" t="str"/>
      <c r="L3847" s="41" t="str"/>
      <c r="M3847" s="41" t="str"/>
      <c r="N3847" s="41" t="str"/>
      <c r="O3847" s="41" t="str"/>
      <c r="P3847" s="41" t="str"/>
      <c r="Q3847" s="41" t="str"/>
      <c r="R3847" s="41" t="str"/>
      <c r="S3847" s="41" t="str"/>
      <c r="T3847" s="41" t="str"/>
      <c r="U3847" s="41" t="str"/>
      <c r="V3847" s="41" t="str"/>
      <c r="W3847" s="41" t="str"/>
    </row>
    <row r="3848">
      <c r="B3848" s="2" t="n"/>
      <c r="C3848" s="40" t="n"/>
      <c r="D3848" s="52">
        <f t="array" ref="D3848:W3848">IF(All_Students_Scores!C3846:V3846="","",All_Students_Scores!C3846:V3846)</f>
        <v/>
      </c>
      <c r="E3848" s="57" t="str"/>
      <c r="F3848" s="49" t="str"/>
      <c r="G3848" s="59" t="str"/>
      <c r="H3848" s="64" t="str"/>
      <c r="I3848" s="65" t="str"/>
      <c r="J3848" s="49" t="str"/>
      <c r="K3848" s="41" t="str"/>
      <c r="L3848" s="41" t="str"/>
      <c r="M3848" s="41" t="str"/>
      <c r="N3848" s="41" t="str"/>
      <c r="O3848" s="41" t="str"/>
      <c r="P3848" s="41" t="str"/>
      <c r="Q3848" s="41" t="str"/>
      <c r="R3848" s="41" t="str"/>
      <c r="S3848" s="41" t="str"/>
      <c r="T3848" s="41" t="str"/>
      <c r="U3848" s="41" t="str"/>
      <c r="V3848" s="41" t="str"/>
      <c r="W3848" s="41" t="str"/>
    </row>
    <row r="3849">
      <c r="B3849" s="2" t="n"/>
      <c r="C3849" s="40" t="n"/>
      <c r="D3849" s="52">
        <f t="array" ref="D3849:W3849">IF(All_Students_Scores!C3847:V3847="","",All_Students_Scores!C3847:V3847)</f>
        <v/>
      </c>
      <c r="E3849" s="57" t="str"/>
      <c r="F3849" s="49" t="str"/>
      <c r="G3849" s="59" t="str"/>
      <c r="H3849" s="64" t="str"/>
      <c r="I3849" s="65" t="str"/>
      <c r="J3849" s="49" t="str"/>
      <c r="K3849" s="41" t="str"/>
      <c r="L3849" s="41" t="str"/>
      <c r="M3849" s="41" t="str"/>
      <c r="N3849" s="41" t="str"/>
      <c r="O3849" s="41" t="str"/>
      <c r="P3849" s="41" t="str"/>
      <c r="Q3849" s="41" t="str"/>
      <c r="R3849" s="41" t="str"/>
      <c r="S3849" s="41" t="str"/>
      <c r="T3849" s="41" t="str"/>
      <c r="U3849" s="41" t="str"/>
      <c r="V3849" s="41" t="str"/>
      <c r="W3849" s="41" t="str"/>
    </row>
    <row r="3850">
      <c r="B3850" s="2" t="n"/>
      <c r="C3850" s="40" t="n"/>
      <c r="D3850" s="52">
        <f t="array" ref="D3850:W3850">IF(All_Students_Scores!C3848:V3848="","",All_Students_Scores!C3848:V3848)</f>
        <v/>
      </c>
      <c r="E3850" s="57" t="str"/>
      <c r="F3850" s="49" t="str"/>
      <c r="G3850" s="59" t="str"/>
      <c r="H3850" s="64" t="str"/>
      <c r="I3850" s="65" t="str"/>
      <c r="J3850" s="49" t="str"/>
      <c r="K3850" s="41" t="str"/>
      <c r="L3850" s="41" t="str"/>
      <c r="M3850" s="41" t="str"/>
      <c r="N3850" s="41" t="str"/>
      <c r="O3850" s="41" t="str"/>
      <c r="P3850" s="41" t="str"/>
      <c r="Q3850" s="41" t="str"/>
      <c r="R3850" s="41" t="str"/>
      <c r="S3850" s="41" t="str"/>
      <c r="T3850" s="41" t="str"/>
      <c r="U3850" s="41" t="str"/>
      <c r="V3850" s="41" t="str"/>
      <c r="W3850" s="41" t="str"/>
    </row>
    <row r="3851">
      <c r="B3851" s="2" t="n"/>
      <c r="C3851" s="40" t="n"/>
      <c r="D3851" s="52">
        <f t="array" ref="D3851:W3851">IF(All_Students_Scores!C3849:V3849="","",All_Students_Scores!C3849:V3849)</f>
        <v/>
      </c>
      <c r="E3851" s="57" t="str"/>
      <c r="F3851" s="49" t="str"/>
      <c r="G3851" s="59" t="str"/>
      <c r="H3851" s="64" t="str"/>
      <c r="I3851" s="65" t="str"/>
      <c r="J3851" s="49" t="str"/>
      <c r="K3851" s="41" t="str"/>
      <c r="L3851" s="41" t="str"/>
      <c r="M3851" s="41" t="str"/>
      <c r="N3851" s="41" t="str"/>
      <c r="O3851" s="41" t="str"/>
      <c r="P3851" s="41" t="str"/>
      <c r="Q3851" s="41" t="str"/>
      <c r="R3851" s="41" t="str"/>
      <c r="S3851" s="41" t="str"/>
      <c r="T3851" s="41" t="str"/>
      <c r="U3851" s="41" t="str"/>
      <c r="V3851" s="41" t="str"/>
      <c r="W3851" s="41" t="str"/>
    </row>
    <row r="3852">
      <c r="B3852" s="2" t="n"/>
      <c r="C3852" s="40" t="n"/>
      <c r="D3852" s="52">
        <f t="array" ref="D3852:W3852">IF(All_Students_Scores!C3850:V3850="","",All_Students_Scores!C3850:V3850)</f>
        <v/>
      </c>
      <c r="E3852" s="57" t="str"/>
      <c r="F3852" s="49" t="str"/>
      <c r="G3852" s="59" t="str"/>
      <c r="H3852" s="64" t="str"/>
      <c r="I3852" s="65" t="str"/>
      <c r="J3852" s="49" t="str"/>
      <c r="K3852" s="41" t="str"/>
      <c r="L3852" s="41" t="str"/>
      <c r="M3852" s="41" t="str"/>
      <c r="N3852" s="41" t="str"/>
      <c r="O3852" s="41" t="str"/>
      <c r="P3852" s="41" t="str"/>
      <c r="Q3852" s="41" t="str"/>
      <c r="R3852" s="41" t="str"/>
      <c r="S3852" s="41" t="str"/>
      <c r="T3852" s="41" t="str"/>
      <c r="U3852" s="41" t="str"/>
      <c r="V3852" s="41" t="str"/>
      <c r="W3852" s="41" t="str"/>
    </row>
    <row r="3853">
      <c r="B3853" s="2" t="n"/>
      <c r="C3853" s="40" t="n"/>
      <c r="D3853" s="52">
        <f t="array" ref="D3853:W3853">IF(All_Students_Scores!C3851:V3851="","",All_Students_Scores!C3851:V3851)</f>
        <v/>
      </c>
      <c r="E3853" s="57" t="str"/>
      <c r="F3853" s="49" t="str"/>
      <c r="G3853" s="59" t="str"/>
      <c r="H3853" s="64" t="str"/>
      <c r="I3853" s="65" t="str"/>
      <c r="J3853" s="49" t="str"/>
      <c r="K3853" s="41" t="str"/>
      <c r="L3853" s="41" t="str"/>
      <c r="M3853" s="41" t="str"/>
      <c r="N3853" s="41" t="str"/>
      <c r="O3853" s="41" t="str"/>
      <c r="P3853" s="41" t="str"/>
      <c r="Q3853" s="41" t="str"/>
      <c r="R3853" s="41" t="str"/>
      <c r="S3853" s="41" t="str"/>
      <c r="T3853" s="41" t="str"/>
      <c r="U3853" s="41" t="str"/>
      <c r="V3853" s="41" t="str"/>
      <c r="W3853" s="41" t="str"/>
    </row>
    <row r="3854">
      <c r="B3854" s="2" t="n"/>
      <c r="C3854" s="40" t="n"/>
      <c r="D3854" s="52">
        <f t="array" ref="D3854:W3854">IF(All_Students_Scores!C3852:V3852="","",All_Students_Scores!C3852:V3852)</f>
        <v/>
      </c>
      <c r="E3854" s="57" t="str"/>
      <c r="F3854" s="49" t="str"/>
      <c r="G3854" s="59" t="str"/>
      <c r="H3854" s="64" t="str"/>
      <c r="I3854" s="65" t="str"/>
      <c r="J3854" s="49" t="str"/>
      <c r="K3854" s="41" t="str"/>
      <c r="L3854" s="41" t="str"/>
      <c r="M3854" s="41" t="str"/>
      <c r="N3854" s="41" t="str"/>
      <c r="O3854" s="41" t="str"/>
      <c r="P3854" s="41" t="str"/>
      <c r="Q3854" s="41" t="str"/>
      <c r="R3854" s="41" t="str"/>
      <c r="S3854" s="41" t="str"/>
      <c r="T3854" s="41" t="str"/>
      <c r="U3854" s="41" t="str"/>
      <c r="V3854" s="41" t="str"/>
      <c r="W3854" s="41" t="str"/>
    </row>
    <row r="3855">
      <c r="B3855" s="2" t="n"/>
      <c r="C3855" s="40" t="n"/>
      <c r="D3855" s="52">
        <f t="array" ref="D3855:W3855">IF(All_Students_Scores!C3853:V3853="","",All_Students_Scores!C3853:V3853)</f>
        <v/>
      </c>
      <c r="E3855" s="57" t="str"/>
      <c r="F3855" s="49" t="str"/>
      <c r="G3855" s="59" t="str"/>
      <c r="H3855" s="64" t="str"/>
      <c r="I3855" s="65" t="str"/>
      <c r="J3855" s="49" t="str"/>
      <c r="K3855" s="41" t="str"/>
      <c r="L3855" s="41" t="str"/>
      <c r="M3855" s="41" t="str"/>
      <c r="N3855" s="41" t="str"/>
      <c r="O3855" s="41" t="str"/>
      <c r="P3855" s="41" t="str"/>
      <c r="Q3855" s="41" t="str"/>
      <c r="R3855" s="41" t="str"/>
      <c r="S3855" s="41" t="str"/>
      <c r="T3855" s="41" t="str"/>
      <c r="U3855" s="41" t="str"/>
      <c r="V3855" s="41" t="str"/>
      <c r="W3855" s="41" t="str"/>
    </row>
    <row r="3856">
      <c r="B3856" s="2" t="n"/>
      <c r="C3856" s="40" t="n"/>
      <c r="D3856" s="52">
        <f t="array" ref="D3856:W3856">IF(All_Students_Scores!C3854:V3854="","",All_Students_Scores!C3854:V3854)</f>
        <v/>
      </c>
      <c r="E3856" s="57" t="str"/>
      <c r="F3856" s="49" t="str"/>
      <c r="G3856" s="59" t="str"/>
      <c r="H3856" s="64" t="str"/>
      <c r="I3856" s="65" t="str"/>
      <c r="J3856" s="49" t="str"/>
      <c r="K3856" s="41" t="str"/>
      <c r="L3856" s="41" t="str"/>
      <c r="M3856" s="41" t="str"/>
      <c r="N3856" s="41" t="str"/>
      <c r="O3856" s="41" t="str"/>
      <c r="P3856" s="41" t="str"/>
      <c r="Q3856" s="41" t="str"/>
      <c r="R3856" s="41" t="str"/>
      <c r="S3856" s="41" t="str"/>
      <c r="T3856" s="41" t="str"/>
      <c r="U3856" s="41" t="str"/>
      <c r="V3856" s="41" t="str"/>
      <c r="W3856" s="41" t="str"/>
    </row>
    <row r="3857">
      <c r="B3857" s="2" t="n"/>
      <c r="C3857" s="40" t="n"/>
      <c r="D3857" s="52">
        <f t="array" ref="D3857:W3857">IF(All_Students_Scores!C3855:V3855="","",All_Students_Scores!C3855:V3855)</f>
        <v/>
      </c>
      <c r="E3857" s="57" t="str"/>
      <c r="F3857" s="49" t="str"/>
      <c r="G3857" s="59" t="str"/>
      <c r="H3857" s="64" t="str"/>
      <c r="I3857" s="65" t="str"/>
      <c r="J3857" s="49" t="str"/>
      <c r="K3857" s="41" t="str"/>
      <c r="L3857" s="41" t="str"/>
      <c r="M3857" s="41" t="str"/>
      <c r="N3857" s="41" t="str"/>
      <c r="O3857" s="41" t="str"/>
      <c r="P3857" s="41" t="str"/>
      <c r="Q3857" s="41" t="str"/>
      <c r="R3857" s="41" t="str"/>
      <c r="S3857" s="41" t="str"/>
      <c r="T3857" s="41" t="str"/>
      <c r="U3857" s="41" t="str"/>
      <c r="V3857" s="41" t="str"/>
      <c r="W3857" s="41" t="str"/>
    </row>
    <row r="3858">
      <c r="B3858" s="2" t="n"/>
      <c r="C3858" s="40" t="n"/>
      <c r="D3858" s="52">
        <f t="array" ref="D3858:W3858">IF(All_Students_Scores!C3856:V3856="","",All_Students_Scores!C3856:V3856)</f>
        <v/>
      </c>
      <c r="E3858" s="57" t="str"/>
      <c r="F3858" s="49" t="str"/>
      <c r="G3858" s="59" t="str"/>
      <c r="H3858" s="64" t="str"/>
      <c r="I3858" s="65" t="str"/>
      <c r="J3858" s="49" t="str"/>
      <c r="K3858" s="41" t="str"/>
      <c r="L3858" s="41" t="str"/>
      <c r="M3858" s="41" t="str"/>
      <c r="N3858" s="41" t="str"/>
      <c r="O3858" s="41" t="str"/>
      <c r="P3858" s="41" t="str"/>
      <c r="Q3858" s="41" t="str"/>
      <c r="R3858" s="41" t="str"/>
      <c r="S3858" s="41" t="str"/>
      <c r="T3858" s="41" t="str"/>
      <c r="U3858" s="41" t="str"/>
      <c r="V3858" s="41" t="str"/>
      <c r="W3858" s="41" t="str"/>
    </row>
    <row r="3859">
      <c r="B3859" s="2" t="n"/>
      <c r="C3859" s="40" t="n"/>
      <c r="D3859" s="52">
        <f t="array" ref="D3859:W3859">IF(All_Students_Scores!C3857:V3857="","",All_Students_Scores!C3857:V3857)</f>
        <v/>
      </c>
      <c r="E3859" s="57" t="str"/>
      <c r="F3859" s="49" t="str"/>
      <c r="G3859" s="59" t="str"/>
      <c r="H3859" s="64" t="str"/>
      <c r="I3859" s="65" t="str"/>
      <c r="J3859" s="49" t="str"/>
      <c r="K3859" s="41" t="str"/>
      <c r="L3859" s="41" t="str"/>
      <c r="M3859" s="41" t="str"/>
      <c r="N3859" s="41" t="str"/>
      <c r="O3859" s="41" t="str"/>
      <c r="P3859" s="41" t="str"/>
      <c r="Q3859" s="41" t="str"/>
      <c r="R3859" s="41" t="str"/>
      <c r="S3859" s="41" t="str"/>
      <c r="T3859" s="41" t="str"/>
      <c r="U3859" s="41" t="str"/>
      <c r="V3859" s="41" t="str"/>
      <c r="W3859" s="41" t="str"/>
    </row>
    <row r="3860">
      <c r="B3860" s="2" t="n"/>
      <c r="C3860" s="40" t="n"/>
      <c r="D3860" s="52">
        <f t="array" ref="D3860:W3860">IF(All_Students_Scores!C3858:V3858="","",All_Students_Scores!C3858:V3858)</f>
        <v/>
      </c>
      <c r="E3860" s="57" t="str"/>
      <c r="F3860" s="49" t="str"/>
      <c r="G3860" s="59" t="str"/>
      <c r="H3860" s="64" t="str"/>
      <c r="I3860" s="65" t="str"/>
      <c r="J3860" s="49" t="str"/>
      <c r="K3860" s="41" t="str"/>
      <c r="L3860" s="41" t="str"/>
      <c r="M3860" s="41" t="str"/>
      <c r="N3860" s="41" t="str"/>
      <c r="O3860" s="41" t="str"/>
      <c r="P3860" s="41" t="str"/>
      <c r="Q3860" s="41" t="str"/>
      <c r="R3860" s="41" t="str"/>
      <c r="S3860" s="41" t="str"/>
      <c r="T3860" s="41" t="str"/>
      <c r="U3860" s="41" t="str"/>
      <c r="V3860" s="41" t="str"/>
      <c r="W3860" s="41" t="str"/>
    </row>
    <row r="3861">
      <c r="B3861" s="2" t="n"/>
      <c r="C3861" s="40" t="n"/>
      <c r="D3861" s="52">
        <f t="array" ref="D3861:W3861">IF(All_Students_Scores!C3859:V3859="","",All_Students_Scores!C3859:V3859)</f>
        <v/>
      </c>
      <c r="E3861" s="57" t="str"/>
      <c r="F3861" s="49" t="str"/>
      <c r="G3861" s="59" t="str"/>
      <c r="H3861" s="64" t="str"/>
      <c r="I3861" s="65" t="str"/>
      <c r="J3861" s="49" t="str"/>
      <c r="K3861" s="41" t="str"/>
      <c r="L3861" s="41" t="str"/>
      <c r="M3861" s="41" t="str"/>
      <c r="N3861" s="41" t="str"/>
      <c r="O3861" s="41" t="str"/>
      <c r="P3861" s="41" t="str"/>
      <c r="Q3861" s="41" t="str"/>
      <c r="R3861" s="41" t="str"/>
      <c r="S3861" s="41" t="str"/>
      <c r="T3861" s="41" t="str"/>
      <c r="U3861" s="41" t="str"/>
      <c r="V3861" s="41" t="str"/>
      <c r="W3861" s="41" t="str"/>
    </row>
    <row r="3862">
      <c r="B3862" s="2" t="n"/>
      <c r="C3862" s="40" t="n"/>
      <c r="D3862" s="52">
        <f t="array" ref="D3862:W3862">IF(All_Students_Scores!C3860:V3860="","",All_Students_Scores!C3860:V3860)</f>
        <v/>
      </c>
      <c r="E3862" s="57" t="str"/>
      <c r="F3862" s="49" t="str"/>
      <c r="G3862" s="59" t="str"/>
      <c r="H3862" s="64" t="str"/>
      <c r="I3862" s="65" t="str"/>
      <c r="J3862" s="49" t="str"/>
      <c r="K3862" s="41" t="str"/>
      <c r="L3862" s="41" t="str"/>
      <c r="M3862" s="41" t="str"/>
      <c r="N3862" s="41" t="str"/>
      <c r="O3862" s="41" t="str"/>
      <c r="P3862" s="41" t="str"/>
      <c r="Q3862" s="41" t="str"/>
      <c r="R3862" s="41" t="str"/>
      <c r="S3862" s="41" t="str"/>
      <c r="T3862" s="41" t="str"/>
      <c r="U3862" s="41" t="str"/>
      <c r="V3862" s="41" t="str"/>
      <c r="W3862" s="41" t="str"/>
    </row>
    <row r="3863">
      <c r="B3863" s="2" t="n"/>
      <c r="C3863" s="40" t="n"/>
      <c r="D3863" s="52">
        <f t="array" ref="D3863:W3863">IF(All_Students_Scores!C3861:V3861="","",All_Students_Scores!C3861:V3861)</f>
        <v/>
      </c>
      <c r="E3863" s="57" t="str"/>
      <c r="F3863" s="49" t="str"/>
      <c r="G3863" s="59" t="str"/>
      <c r="H3863" s="64" t="str"/>
      <c r="I3863" s="65" t="str"/>
      <c r="J3863" s="49" t="str"/>
      <c r="K3863" s="41" t="str"/>
      <c r="L3863" s="41" t="str"/>
      <c r="M3863" s="41" t="str"/>
      <c r="N3863" s="41" t="str"/>
      <c r="O3863" s="41" t="str"/>
      <c r="P3863" s="41" t="str"/>
      <c r="Q3863" s="41" t="str"/>
      <c r="R3863" s="41" t="str"/>
      <c r="S3863" s="41" t="str"/>
      <c r="T3863" s="41" t="str"/>
      <c r="U3863" s="41" t="str"/>
      <c r="V3863" s="41" t="str"/>
      <c r="W3863" s="41" t="str"/>
    </row>
    <row r="3864">
      <c r="B3864" s="2" t="n"/>
      <c r="C3864" s="40" t="n"/>
      <c r="D3864" s="52">
        <f t="array" ref="D3864:W3864">IF(All_Students_Scores!C3862:V3862="","",All_Students_Scores!C3862:V3862)</f>
        <v/>
      </c>
      <c r="E3864" s="57" t="str"/>
      <c r="F3864" s="49" t="str"/>
      <c r="G3864" s="59" t="str"/>
      <c r="H3864" s="64" t="str"/>
      <c r="I3864" s="65" t="str"/>
      <c r="J3864" s="49" t="str"/>
      <c r="K3864" s="41" t="str"/>
      <c r="L3864" s="41" t="str"/>
      <c r="M3864" s="41" t="str"/>
      <c r="N3864" s="41" t="str"/>
      <c r="O3864" s="41" t="str"/>
      <c r="P3864" s="41" t="str"/>
      <c r="Q3864" s="41" t="str"/>
      <c r="R3864" s="41" t="str"/>
      <c r="S3864" s="41" t="str"/>
      <c r="T3864" s="41" t="str"/>
      <c r="U3864" s="41" t="str"/>
      <c r="V3864" s="41" t="str"/>
      <c r="W3864" s="41" t="str"/>
    </row>
    <row r="3865">
      <c r="B3865" s="2" t="n"/>
      <c r="C3865" s="40" t="n"/>
      <c r="D3865" s="52">
        <f t="array" ref="D3865:W3865">IF(All_Students_Scores!C3863:V3863="","",All_Students_Scores!C3863:V3863)</f>
        <v/>
      </c>
      <c r="E3865" s="57" t="str"/>
      <c r="F3865" s="49" t="str"/>
      <c r="G3865" s="59" t="str"/>
      <c r="H3865" s="64" t="str"/>
      <c r="I3865" s="65" t="str"/>
      <c r="J3865" s="49" t="str"/>
      <c r="K3865" s="41" t="str"/>
      <c r="L3865" s="41" t="str"/>
      <c r="M3865" s="41" t="str"/>
      <c r="N3865" s="41" t="str"/>
      <c r="O3865" s="41" t="str"/>
      <c r="P3865" s="41" t="str"/>
      <c r="Q3865" s="41" t="str"/>
      <c r="R3865" s="41" t="str"/>
      <c r="S3865" s="41" t="str"/>
      <c r="T3865" s="41" t="str"/>
      <c r="U3865" s="41" t="str"/>
      <c r="V3865" s="41" t="str"/>
      <c r="W3865" s="41" t="str"/>
    </row>
    <row r="3866">
      <c r="B3866" s="2" t="n"/>
      <c r="C3866" s="40" t="n"/>
      <c r="D3866" s="52">
        <f t="array" ref="D3866:W3866">IF(All_Students_Scores!C3864:V3864="","",All_Students_Scores!C3864:V3864)</f>
        <v/>
      </c>
      <c r="E3866" s="57" t="str"/>
      <c r="F3866" s="49" t="str"/>
      <c r="G3866" s="59" t="str"/>
      <c r="H3866" s="64" t="str"/>
      <c r="I3866" s="65" t="str"/>
      <c r="J3866" s="49" t="str"/>
      <c r="K3866" s="41" t="str"/>
      <c r="L3866" s="41" t="str"/>
      <c r="M3866" s="41" t="str"/>
      <c r="N3866" s="41" t="str"/>
      <c r="O3866" s="41" t="str"/>
      <c r="P3866" s="41" t="str"/>
      <c r="Q3866" s="41" t="str"/>
      <c r="R3866" s="41" t="str"/>
      <c r="S3866" s="41" t="str"/>
      <c r="T3866" s="41" t="str"/>
      <c r="U3866" s="41" t="str"/>
      <c r="V3866" s="41" t="str"/>
      <c r="W3866" s="41" t="str"/>
    </row>
    <row r="3867">
      <c r="B3867" s="2" t="n"/>
      <c r="C3867" s="40" t="n"/>
      <c r="D3867" s="52">
        <f t="array" ref="D3867:W3867">IF(All_Students_Scores!C3865:V3865="","",All_Students_Scores!C3865:V3865)</f>
        <v/>
      </c>
      <c r="E3867" s="57" t="str"/>
      <c r="F3867" s="49" t="str"/>
      <c r="G3867" s="59" t="str"/>
      <c r="H3867" s="64" t="str"/>
      <c r="I3867" s="65" t="str"/>
      <c r="J3867" s="49" t="str"/>
      <c r="K3867" s="41" t="str"/>
      <c r="L3867" s="41" t="str"/>
      <c r="M3867" s="41" t="str"/>
      <c r="N3867" s="41" t="str"/>
      <c r="O3867" s="41" t="str"/>
      <c r="P3867" s="41" t="str"/>
      <c r="Q3867" s="41" t="str"/>
      <c r="R3867" s="41" t="str"/>
      <c r="S3867" s="41" t="str"/>
      <c r="T3867" s="41" t="str"/>
      <c r="U3867" s="41" t="str"/>
      <c r="V3867" s="41" t="str"/>
      <c r="W3867" s="41" t="str"/>
    </row>
    <row r="3868">
      <c r="B3868" s="2" t="n"/>
      <c r="C3868" s="40" t="n"/>
      <c r="D3868" s="52">
        <f t="array" ref="D3868:W3868">IF(All_Students_Scores!C3866:V3866="","",All_Students_Scores!C3866:V3866)</f>
        <v/>
      </c>
      <c r="E3868" s="57" t="str"/>
      <c r="F3868" s="49" t="str"/>
      <c r="G3868" s="59" t="str"/>
      <c r="H3868" s="64" t="str"/>
      <c r="I3868" s="65" t="str"/>
      <c r="J3868" s="49" t="str"/>
      <c r="K3868" s="41" t="str"/>
      <c r="L3868" s="41" t="str"/>
      <c r="M3868" s="41" t="str"/>
      <c r="N3868" s="41" t="str"/>
      <c r="O3868" s="41" t="str"/>
      <c r="P3868" s="41" t="str"/>
      <c r="Q3868" s="41" t="str"/>
      <c r="R3868" s="41" t="str"/>
      <c r="S3868" s="41" t="str"/>
      <c r="T3868" s="41" t="str"/>
      <c r="U3868" s="41" t="str"/>
      <c r="V3868" s="41" t="str"/>
      <c r="W3868" s="41" t="str"/>
    </row>
    <row r="3869">
      <c r="B3869" s="2" t="n"/>
      <c r="C3869" s="40" t="n"/>
      <c r="D3869" s="52">
        <f t="array" ref="D3869:W3869">IF(All_Students_Scores!C3867:V3867="","",All_Students_Scores!C3867:V3867)</f>
        <v/>
      </c>
      <c r="E3869" s="57" t="str"/>
      <c r="F3869" s="49" t="str"/>
      <c r="G3869" s="59" t="str"/>
      <c r="H3869" s="64" t="str"/>
      <c r="I3869" s="65" t="str"/>
      <c r="J3869" s="49" t="str"/>
      <c r="K3869" s="41" t="str"/>
      <c r="L3869" s="41" t="str"/>
      <c r="M3869" s="41" t="str"/>
      <c r="N3869" s="41" t="str"/>
      <c r="O3869" s="41" t="str"/>
      <c r="P3869" s="41" t="str"/>
      <c r="Q3869" s="41" t="str"/>
      <c r="R3869" s="41" t="str"/>
      <c r="S3869" s="41" t="str"/>
      <c r="T3869" s="41" t="str"/>
      <c r="U3869" s="41" t="str"/>
      <c r="V3869" s="41" t="str"/>
      <c r="W3869" s="41" t="str"/>
    </row>
    <row r="3870">
      <c r="B3870" s="2" t="n"/>
      <c r="C3870" s="40" t="n"/>
      <c r="D3870" s="52">
        <f t="array" ref="D3870:W3870">IF(All_Students_Scores!C3868:V3868="","",All_Students_Scores!C3868:V3868)</f>
        <v/>
      </c>
      <c r="E3870" s="57" t="str"/>
      <c r="F3870" s="49" t="str"/>
      <c r="G3870" s="59" t="str"/>
      <c r="H3870" s="64" t="str"/>
      <c r="I3870" s="65" t="str"/>
      <c r="J3870" s="49" t="str"/>
      <c r="K3870" s="41" t="str"/>
      <c r="L3870" s="41" t="str"/>
      <c r="M3870" s="41" t="str"/>
      <c r="N3870" s="41" t="str"/>
      <c r="O3870" s="41" t="str"/>
      <c r="P3870" s="41" t="str"/>
      <c r="Q3870" s="41" t="str"/>
      <c r="R3870" s="41" t="str"/>
      <c r="S3870" s="41" t="str"/>
      <c r="T3870" s="41" t="str"/>
      <c r="U3870" s="41" t="str"/>
      <c r="V3870" s="41" t="str"/>
      <c r="W3870" s="41" t="str"/>
    </row>
    <row r="3871">
      <c r="B3871" s="2" t="n"/>
      <c r="C3871" s="40" t="n"/>
      <c r="D3871" s="52">
        <f t="array" ref="D3871:W3871">IF(All_Students_Scores!C3869:V3869="","",All_Students_Scores!C3869:V3869)</f>
        <v/>
      </c>
      <c r="E3871" s="57" t="str"/>
      <c r="F3871" s="49" t="str"/>
      <c r="G3871" s="59" t="str"/>
      <c r="H3871" s="64" t="str"/>
      <c r="I3871" s="65" t="str"/>
      <c r="J3871" s="49" t="str"/>
      <c r="K3871" s="41" t="str"/>
      <c r="L3871" s="41" t="str"/>
      <c r="M3871" s="41" t="str"/>
      <c r="N3871" s="41" t="str"/>
      <c r="O3871" s="41" t="str"/>
      <c r="P3871" s="41" t="str"/>
      <c r="Q3871" s="41" t="str"/>
      <c r="R3871" s="41" t="str"/>
      <c r="S3871" s="41" t="str"/>
      <c r="T3871" s="41" t="str"/>
      <c r="U3871" s="41" t="str"/>
      <c r="V3871" s="41" t="str"/>
      <c r="W3871" s="41" t="str"/>
    </row>
    <row r="3872">
      <c r="B3872" s="2" t="n"/>
      <c r="C3872" s="40" t="n"/>
      <c r="D3872" s="52">
        <f t="array" ref="D3872:W3872">IF(All_Students_Scores!C3870:V3870="","",All_Students_Scores!C3870:V3870)</f>
        <v/>
      </c>
      <c r="E3872" s="57" t="str"/>
      <c r="F3872" s="49" t="str"/>
      <c r="G3872" s="59" t="str"/>
      <c r="H3872" s="64" t="str"/>
      <c r="I3872" s="65" t="str"/>
      <c r="J3872" s="49" t="str"/>
      <c r="K3872" s="41" t="str"/>
      <c r="L3872" s="41" t="str"/>
      <c r="M3872" s="41" t="str"/>
      <c r="N3872" s="41" t="str"/>
      <c r="O3872" s="41" t="str"/>
      <c r="P3872" s="41" t="str"/>
      <c r="Q3872" s="41" t="str"/>
      <c r="R3872" s="41" t="str"/>
      <c r="S3872" s="41" t="str"/>
      <c r="T3872" s="41" t="str"/>
      <c r="U3872" s="41" t="str"/>
      <c r="V3872" s="41" t="str"/>
      <c r="W3872" s="41" t="str"/>
    </row>
    <row r="3873">
      <c r="B3873" s="2" t="n"/>
      <c r="C3873" s="40" t="n"/>
      <c r="D3873" s="52">
        <f t="array" ref="D3873:W3873">IF(All_Students_Scores!C3871:V3871="","",All_Students_Scores!C3871:V3871)</f>
        <v/>
      </c>
      <c r="E3873" s="57" t="str"/>
      <c r="F3873" s="49" t="str"/>
      <c r="G3873" s="59" t="str"/>
      <c r="H3873" s="64" t="str"/>
      <c r="I3873" s="65" t="str"/>
      <c r="J3873" s="49" t="str"/>
      <c r="K3873" s="41" t="str"/>
      <c r="L3873" s="41" t="str"/>
      <c r="M3873" s="41" t="str"/>
      <c r="N3873" s="41" t="str"/>
      <c r="O3873" s="41" t="str"/>
      <c r="P3873" s="41" t="str"/>
      <c r="Q3873" s="41" t="str"/>
      <c r="R3873" s="41" t="str"/>
      <c r="S3873" s="41" t="str"/>
      <c r="T3873" s="41" t="str"/>
      <c r="U3873" s="41" t="str"/>
      <c r="V3873" s="41" t="str"/>
      <c r="W3873" s="41" t="str"/>
    </row>
    <row r="3874">
      <c r="B3874" s="2" t="n"/>
      <c r="C3874" s="40" t="n"/>
      <c r="D3874" s="52">
        <f t="array" ref="D3874:W3874">IF(All_Students_Scores!C3872:V3872="","",All_Students_Scores!C3872:V3872)</f>
        <v/>
      </c>
      <c r="E3874" s="57" t="str"/>
      <c r="F3874" s="49" t="str"/>
      <c r="G3874" s="59" t="str"/>
      <c r="H3874" s="64" t="str"/>
      <c r="I3874" s="65" t="str"/>
      <c r="J3874" s="49" t="str"/>
      <c r="K3874" s="41" t="str"/>
      <c r="L3874" s="41" t="str"/>
      <c r="M3874" s="41" t="str"/>
      <c r="N3874" s="41" t="str"/>
      <c r="O3874" s="41" t="str"/>
      <c r="P3874" s="41" t="str"/>
      <c r="Q3874" s="41" t="str"/>
      <c r="R3874" s="41" t="str"/>
      <c r="S3874" s="41" t="str"/>
      <c r="T3874" s="41" t="str"/>
      <c r="U3874" s="41" t="str"/>
      <c r="V3874" s="41" t="str"/>
      <c r="W3874" s="41" t="str"/>
    </row>
    <row r="3875">
      <c r="B3875" s="2" t="n"/>
      <c r="C3875" s="40" t="n"/>
      <c r="D3875" s="52">
        <f t="array" ref="D3875:W3875">IF(All_Students_Scores!C3873:V3873="","",All_Students_Scores!C3873:V3873)</f>
        <v/>
      </c>
      <c r="E3875" s="57" t="str"/>
      <c r="F3875" s="49" t="str"/>
      <c r="G3875" s="59" t="str"/>
      <c r="H3875" s="64" t="str"/>
      <c r="I3875" s="65" t="str"/>
      <c r="J3875" s="49" t="str"/>
      <c r="K3875" s="41" t="str"/>
      <c r="L3875" s="41" t="str"/>
      <c r="M3875" s="41" t="str"/>
      <c r="N3875" s="41" t="str"/>
      <c r="O3875" s="41" t="str"/>
      <c r="P3875" s="41" t="str"/>
      <c r="Q3875" s="41" t="str"/>
      <c r="R3875" s="41" t="str"/>
      <c r="S3875" s="41" t="str"/>
      <c r="T3875" s="41" t="str"/>
      <c r="U3875" s="41" t="str"/>
      <c r="V3875" s="41" t="str"/>
      <c r="W3875" s="41" t="str"/>
    </row>
    <row r="3876">
      <c r="B3876" s="2" t="n"/>
      <c r="C3876" s="40" t="n"/>
      <c r="D3876" s="52">
        <f t="array" ref="D3876:W3876">IF(All_Students_Scores!C3874:V3874="","",All_Students_Scores!C3874:V3874)</f>
        <v/>
      </c>
      <c r="E3876" s="57" t="str"/>
      <c r="F3876" s="49" t="str"/>
      <c r="G3876" s="59" t="str"/>
      <c r="H3876" s="64" t="str"/>
      <c r="I3876" s="65" t="str"/>
      <c r="J3876" s="49" t="str"/>
      <c r="K3876" s="41" t="str"/>
      <c r="L3876" s="41" t="str"/>
      <c r="M3876" s="41" t="str"/>
      <c r="N3876" s="41" t="str"/>
      <c r="O3876" s="41" t="str"/>
      <c r="P3876" s="41" t="str"/>
      <c r="Q3876" s="41" t="str"/>
      <c r="R3876" s="41" t="str"/>
      <c r="S3876" s="41" t="str"/>
      <c r="T3876" s="41" t="str"/>
      <c r="U3876" s="41" t="str"/>
      <c r="V3876" s="41" t="str"/>
      <c r="W3876" s="41" t="str"/>
    </row>
    <row r="3877">
      <c r="B3877" s="2" t="n"/>
      <c r="C3877" s="40" t="n"/>
      <c r="D3877" s="52">
        <f t="array" ref="D3877:W3877">IF(All_Students_Scores!C3875:V3875="","",All_Students_Scores!C3875:V3875)</f>
        <v/>
      </c>
      <c r="E3877" s="57" t="str"/>
      <c r="F3877" s="49" t="str"/>
      <c r="G3877" s="59" t="str"/>
      <c r="H3877" s="64" t="str"/>
      <c r="I3877" s="65" t="str"/>
      <c r="J3877" s="49" t="str"/>
      <c r="K3877" s="41" t="str"/>
      <c r="L3877" s="41" t="str"/>
      <c r="M3877" s="41" t="str"/>
      <c r="N3877" s="41" t="str"/>
      <c r="O3877" s="41" t="str"/>
      <c r="P3877" s="41" t="str"/>
      <c r="Q3877" s="41" t="str"/>
      <c r="R3877" s="41" t="str"/>
      <c r="S3877" s="41" t="str"/>
      <c r="T3877" s="41" t="str"/>
      <c r="U3877" s="41" t="str"/>
      <c r="V3877" s="41" t="str"/>
      <c r="W3877" s="41" t="str"/>
    </row>
    <row r="3878">
      <c r="B3878" s="2" t="n"/>
      <c r="C3878" s="40" t="n"/>
      <c r="D3878" s="52">
        <f t="array" ref="D3878:W3878">IF(All_Students_Scores!C3876:V3876="","",All_Students_Scores!C3876:V3876)</f>
        <v/>
      </c>
      <c r="E3878" s="57" t="str"/>
      <c r="F3878" s="49" t="str"/>
      <c r="G3878" s="59" t="str"/>
      <c r="H3878" s="64" t="str"/>
      <c r="I3878" s="65" t="str"/>
      <c r="J3878" s="49" t="str"/>
      <c r="K3878" s="41" t="str"/>
      <c r="L3878" s="41" t="str"/>
      <c r="M3878" s="41" t="str"/>
      <c r="N3878" s="41" t="str"/>
      <c r="O3878" s="41" t="str"/>
      <c r="P3878" s="41" t="str"/>
      <c r="Q3878" s="41" t="str"/>
      <c r="R3878" s="41" t="str"/>
      <c r="S3878" s="41" t="str"/>
      <c r="T3878" s="41" t="str"/>
      <c r="U3878" s="41" t="str"/>
      <c r="V3878" s="41" t="str"/>
      <c r="W3878" s="41" t="str"/>
    </row>
    <row r="3879">
      <c r="B3879" s="2" t="n"/>
      <c r="C3879" s="40" t="n"/>
      <c r="D3879" s="52">
        <f t="array" ref="D3879:W3879">IF(All_Students_Scores!C3877:V3877="","",All_Students_Scores!C3877:V3877)</f>
        <v/>
      </c>
      <c r="E3879" s="57" t="str"/>
      <c r="F3879" s="49" t="str"/>
      <c r="G3879" s="59" t="str"/>
      <c r="H3879" s="64" t="str"/>
      <c r="I3879" s="65" t="str"/>
      <c r="J3879" s="49" t="str"/>
      <c r="K3879" s="41" t="str"/>
      <c r="L3879" s="41" t="str"/>
      <c r="M3879" s="41" t="str"/>
      <c r="N3879" s="41" t="str"/>
      <c r="O3879" s="41" t="str"/>
      <c r="P3879" s="41" t="str"/>
      <c r="Q3879" s="41" t="str"/>
      <c r="R3879" s="41" t="str"/>
      <c r="S3879" s="41" t="str"/>
      <c r="T3879" s="41" t="str"/>
      <c r="U3879" s="41" t="str"/>
      <c r="V3879" s="41" t="str"/>
      <c r="W3879" s="41" t="str"/>
    </row>
    <row r="3880">
      <c r="B3880" s="2" t="n"/>
      <c r="C3880" s="40" t="n"/>
      <c r="D3880" s="52">
        <f t="array" ref="D3880:W3880">IF(All_Students_Scores!C3878:V3878="","",All_Students_Scores!C3878:V3878)</f>
        <v/>
      </c>
      <c r="E3880" s="57" t="str"/>
      <c r="F3880" s="49" t="str"/>
      <c r="G3880" s="59" t="str"/>
      <c r="H3880" s="64" t="str"/>
      <c r="I3880" s="65" t="str"/>
      <c r="J3880" s="49" t="str"/>
      <c r="K3880" s="41" t="str"/>
      <c r="L3880" s="41" t="str"/>
      <c r="M3880" s="41" t="str"/>
      <c r="N3880" s="41" t="str"/>
      <c r="O3880" s="41" t="str"/>
      <c r="P3880" s="41" t="str"/>
      <c r="Q3880" s="41" t="str"/>
      <c r="R3880" s="41" t="str"/>
      <c r="S3880" s="41" t="str"/>
      <c r="T3880" s="41" t="str"/>
      <c r="U3880" s="41" t="str"/>
      <c r="V3880" s="41" t="str"/>
      <c r="W3880" s="41" t="str"/>
    </row>
    <row r="3881">
      <c r="B3881" s="2" t="n"/>
      <c r="C3881" s="40" t="n"/>
      <c r="D3881" s="52">
        <f t="array" ref="D3881:W3881">IF(All_Students_Scores!C3879:V3879="","",All_Students_Scores!C3879:V3879)</f>
        <v/>
      </c>
      <c r="E3881" s="57" t="str"/>
      <c r="F3881" s="49" t="str"/>
      <c r="G3881" s="59" t="str"/>
      <c r="H3881" s="64" t="str"/>
      <c r="I3881" s="65" t="str"/>
      <c r="J3881" s="49" t="str"/>
      <c r="K3881" s="41" t="str"/>
      <c r="L3881" s="41" t="str"/>
      <c r="M3881" s="41" t="str"/>
      <c r="N3881" s="41" t="str"/>
      <c r="O3881" s="41" t="str"/>
      <c r="P3881" s="41" t="str"/>
      <c r="Q3881" s="41" t="str"/>
      <c r="R3881" s="41" t="str"/>
      <c r="S3881" s="41" t="str"/>
      <c r="T3881" s="41" t="str"/>
      <c r="U3881" s="41" t="str"/>
      <c r="V3881" s="41" t="str"/>
      <c r="W3881" s="41" t="str"/>
    </row>
    <row r="3882">
      <c r="B3882" s="2" t="n"/>
      <c r="C3882" s="40" t="n"/>
      <c r="D3882" s="52">
        <f t="array" ref="D3882:W3882">IF(All_Students_Scores!C3880:V3880="","",All_Students_Scores!C3880:V3880)</f>
        <v/>
      </c>
      <c r="E3882" s="57" t="str"/>
      <c r="F3882" s="49" t="str"/>
      <c r="G3882" s="59" t="str"/>
      <c r="H3882" s="64" t="str"/>
      <c r="I3882" s="65" t="str"/>
      <c r="J3882" s="49" t="str"/>
      <c r="K3882" s="41" t="str"/>
      <c r="L3882" s="41" t="str"/>
      <c r="M3882" s="41" t="str"/>
      <c r="N3882" s="41" t="str"/>
      <c r="O3882" s="41" t="str"/>
      <c r="P3882" s="41" t="str"/>
      <c r="Q3882" s="41" t="str"/>
      <c r="R3882" s="41" t="str"/>
      <c r="S3882" s="41" t="str"/>
      <c r="T3882" s="41" t="str"/>
      <c r="U3882" s="41" t="str"/>
      <c r="V3882" s="41" t="str"/>
      <c r="W3882" s="41" t="str"/>
    </row>
    <row r="3883">
      <c r="B3883" s="2" t="n"/>
      <c r="C3883" s="40" t="n"/>
      <c r="D3883" s="52">
        <f t="array" ref="D3883:W3883">IF(All_Students_Scores!C3881:V3881="","",All_Students_Scores!C3881:V3881)</f>
        <v/>
      </c>
      <c r="E3883" s="57" t="str"/>
      <c r="F3883" s="49" t="str"/>
      <c r="G3883" s="59" t="str"/>
      <c r="H3883" s="64" t="str"/>
      <c r="I3883" s="65" t="str"/>
      <c r="J3883" s="49" t="str"/>
      <c r="K3883" s="41" t="str"/>
      <c r="L3883" s="41" t="str"/>
      <c r="M3883" s="41" t="str"/>
      <c r="N3883" s="41" t="str"/>
      <c r="O3883" s="41" t="str"/>
      <c r="P3883" s="41" t="str"/>
      <c r="Q3883" s="41" t="str"/>
      <c r="R3883" s="41" t="str"/>
      <c r="S3883" s="41" t="str"/>
      <c r="T3883" s="41" t="str"/>
      <c r="U3883" s="41" t="str"/>
      <c r="V3883" s="41" t="str"/>
      <c r="W3883" s="41" t="str"/>
    </row>
    <row r="3884">
      <c r="B3884" s="2" t="n"/>
      <c r="C3884" s="40" t="n"/>
      <c r="D3884" s="52">
        <f t="array" ref="D3884:W3884">IF(All_Students_Scores!C3882:V3882="","",All_Students_Scores!C3882:V3882)</f>
        <v/>
      </c>
      <c r="E3884" s="57" t="str"/>
      <c r="F3884" s="49" t="str"/>
      <c r="G3884" s="59" t="str"/>
      <c r="H3884" s="64" t="str"/>
      <c r="I3884" s="65" t="str"/>
      <c r="J3884" s="49" t="str"/>
      <c r="K3884" s="41" t="str"/>
      <c r="L3884" s="41" t="str"/>
      <c r="M3884" s="41" t="str"/>
      <c r="N3884" s="41" t="str"/>
      <c r="O3884" s="41" t="str"/>
      <c r="P3884" s="41" t="str"/>
      <c r="Q3884" s="41" t="str"/>
      <c r="R3884" s="41" t="str"/>
      <c r="S3884" s="41" t="str"/>
      <c r="T3884" s="41" t="str"/>
      <c r="U3884" s="41" t="str"/>
      <c r="V3884" s="41" t="str"/>
      <c r="W3884" s="41" t="str"/>
    </row>
    <row r="3885">
      <c r="B3885" s="2" t="n"/>
      <c r="C3885" s="40" t="n"/>
      <c r="D3885" s="52">
        <f t="array" ref="D3885:W3885">IF(All_Students_Scores!C3883:V3883="","",All_Students_Scores!C3883:V3883)</f>
        <v/>
      </c>
      <c r="E3885" s="57" t="str"/>
      <c r="F3885" s="49" t="str"/>
      <c r="G3885" s="59" t="str"/>
      <c r="H3885" s="64" t="str"/>
      <c r="I3885" s="65" t="str"/>
      <c r="J3885" s="49" t="str"/>
      <c r="K3885" s="41" t="str"/>
      <c r="L3885" s="41" t="str"/>
      <c r="M3885" s="41" t="str"/>
      <c r="N3885" s="41" t="str"/>
      <c r="O3885" s="41" t="str"/>
      <c r="P3885" s="41" t="str"/>
      <c r="Q3885" s="41" t="str"/>
      <c r="R3885" s="41" t="str"/>
      <c r="S3885" s="41" t="str"/>
      <c r="T3885" s="41" t="str"/>
      <c r="U3885" s="41" t="str"/>
      <c r="V3885" s="41" t="str"/>
      <c r="W3885" s="41" t="str"/>
    </row>
    <row r="3886">
      <c r="B3886" s="2" t="n"/>
      <c r="C3886" s="40" t="n"/>
      <c r="D3886" s="52">
        <f t="array" ref="D3886:W3886">IF(All_Students_Scores!C3884:V3884="","",All_Students_Scores!C3884:V3884)</f>
        <v/>
      </c>
      <c r="E3886" s="57" t="str"/>
      <c r="F3886" s="49" t="str"/>
      <c r="G3886" s="59" t="str"/>
      <c r="H3886" s="64" t="str"/>
      <c r="I3886" s="65" t="str"/>
      <c r="J3886" s="49" t="str"/>
      <c r="K3886" s="41" t="str"/>
      <c r="L3886" s="41" t="str"/>
      <c r="M3886" s="41" t="str"/>
      <c r="N3886" s="41" t="str"/>
      <c r="O3886" s="41" t="str"/>
      <c r="P3886" s="41" t="str"/>
      <c r="Q3886" s="41" t="str"/>
      <c r="R3886" s="41" t="str"/>
      <c r="S3886" s="41" t="str"/>
      <c r="T3886" s="41" t="str"/>
      <c r="U3886" s="41" t="str"/>
      <c r="V3886" s="41" t="str"/>
      <c r="W3886" s="41" t="str"/>
    </row>
    <row r="3887">
      <c r="B3887" s="2" t="n"/>
      <c r="C3887" s="40" t="n"/>
      <c r="D3887" s="52">
        <f t="array" ref="D3887:W3887">IF(All_Students_Scores!C3885:V3885="","",All_Students_Scores!C3885:V3885)</f>
        <v/>
      </c>
      <c r="E3887" s="57" t="str"/>
      <c r="F3887" s="49" t="str"/>
      <c r="G3887" s="59" t="str"/>
      <c r="H3887" s="64" t="str"/>
      <c r="I3887" s="65" t="str"/>
      <c r="J3887" s="49" t="str"/>
      <c r="K3887" s="41" t="str"/>
      <c r="L3887" s="41" t="str"/>
      <c r="M3887" s="41" t="str"/>
      <c r="N3887" s="41" t="str"/>
      <c r="O3887" s="41" t="str"/>
      <c r="P3887" s="41" t="str"/>
      <c r="Q3887" s="41" t="str"/>
      <c r="R3887" s="41" t="str"/>
      <c r="S3887" s="41" t="str"/>
      <c r="T3887" s="41" t="str"/>
      <c r="U3887" s="41" t="str"/>
      <c r="V3887" s="41" t="str"/>
      <c r="W3887" s="41" t="str"/>
    </row>
    <row r="3888">
      <c r="B3888" s="2" t="n"/>
      <c r="C3888" s="40" t="n"/>
      <c r="D3888" s="52">
        <f t="array" ref="D3888:W3888">IF(All_Students_Scores!C3886:V3886="","",All_Students_Scores!C3886:V3886)</f>
        <v/>
      </c>
      <c r="E3888" s="57" t="str"/>
      <c r="F3888" s="49" t="str"/>
      <c r="G3888" s="59" t="str"/>
      <c r="H3888" s="64" t="str"/>
      <c r="I3888" s="65" t="str"/>
      <c r="J3888" s="49" t="str"/>
      <c r="K3888" s="41" t="str"/>
      <c r="L3888" s="41" t="str"/>
      <c r="M3888" s="41" t="str"/>
      <c r="N3888" s="41" t="str"/>
      <c r="O3888" s="41" t="str"/>
      <c r="P3888" s="41" t="str"/>
      <c r="Q3888" s="41" t="str"/>
      <c r="R3888" s="41" t="str"/>
      <c r="S3888" s="41" t="str"/>
      <c r="T3888" s="41" t="str"/>
      <c r="U3888" s="41" t="str"/>
      <c r="V3888" s="41" t="str"/>
      <c r="W3888" s="41" t="str"/>
    </row>
    <row r="3889">
      <c r="B3889" s="2" t="n"/>
      <c r="C3889" s="40" t="n"/>
      <c r="D3889" s="52">
        <f t="array" ref="D3889:W3889">IF(All_Students_Scores!C3887:V3887="","",All_Students_Scores!C3887:V3887)</f>
        <v/>
      </c>
      <c r="E3889" s="57" t="str"/>
      <c r="F3889" s="49" t="str"/>
      <c r="G3889" s="59" t="str"/>
      <c r="H3889" s="64" t="str"/>
      <c r="I3889" s="65" t="str"/>
      <c r="J3889" s="49" t="str"/>
      <c r="K3889" s="41" t="str"/>
      <c r="L3889" s="41" t="str"/>
      <c r="M3889" s="41" t="str"/>
      <c r="N3889" s="41" t="str"/>
      <c r="O3889" s="41" t="str"/>
      <c r="P3889" s="41" t="str"/>
      <c r="Q3889" s="41" t="str"/>
      <c r="R3889" s="41" t="str"/>
      <c r="S3889" s="41" t="str"/>
      <c r="T3889" s="41" t="str"/>
      <c r="U3889" s="41" t="str"/>
      <c r="V3889" s="41" t="str"/>
      <c r="W3889" s="41" t="str"/>
    </row>
    <row r="3890">
      <c r="B3890" s="2" t="n"/>
      <c r="C3890" s="40" t="n"/>
      <c r="D3890" s="52">
        <f t="array" ref="D3890:W3890">IF(All_Students_Scores!C3888:V3888="","",All_Students_Scores!C3888:V3888)</f>
        <v/>
      </c>
      <c r="E3890" s="57" t="str"/>
      <c r="F3890" s="49" t="str"/>
      <c r="G3890" s="59" t="str"/>
      <c r="H3890" s="64" t="str"/>
      <c r="I3890" s="65" t="str"/>
      <c r="J3890" s="49" t="str"/>
      <c r="K3890" s="41" t="str"/>
      <c r="L3890" s="41" t="str"/>
      <c r="M3890" s="41" t="str"/>
      <c r="N3890" s="41" t="str"/>
      <c r="O3890" s="41" t="str"/>
      <c r="P3890" s="41" t="str"/>
      <c r="Q3890" s="41" t="str"/>
      <c r="R3890" s="41" t="str"/>
      <c r="S3890" s="41" t="str"/>
      <c r="T3890" s="41" t="str"/>
      <c r="U3890" s="41" t="str"/>
      <c r="V3890" s="41" t="str"/>
      <c r="W3890" s="41" t="str"/>
    </row>
    <row r="3891">
      <c r="B3891" s="2" t="n"/>
      <c r="C3891" s="40" t="n"/>
      <c r="D3891" s="52">
        <f t="array" ref="D3891:W3891">IF(All_Students_Scores!C3889:V3889="","",All_Students_Scores!C3889:V3889)</f>
        <v/>
      </c>
      <c r="E3891" s="57" t="str"/>
      <c r="F3891" s="49" t="str"/>
      <c r="G3891" s="59" t="str"/>
      <c r="H3891" s="64" t="str"/>
      <c r="I3891" s="65" t="str"/>
      <c r="J3891" s="49" t="str"/>
      <c r="K3891" s="41" t="str"/>
      <c r="L3891" s="41" t="str"/>
      <c r="M3891" s="41" t="str"/>
      <c r="N3891" s="41" t="str"/>
      <c r="O3891" s="41" t="str"/>
      <c r="P3891" s="41" t="str"/>
      <c r="Q3891" s="41" t="str"/>
      <c r="R3891" s="41" t="str"/>
      <c r="S3891" s="41" t="str"/>
      <c r="T3891" s="41" t="str"/>
      <c r="U3891" s="41" t="str"/>
      <c r="V3891" s="41" t="str"/>
      <c r="W3891" s="41" t="str"/>
    </row>
    <row r="3892">
      <c r="B3892" s="2" t="n"/>
      <c r="C3892" s="40" t="n"/>
      <c r="D3892" s="52">
        <f t="array" ref="D3892:W3892">IF(All_Students_Scores!C3890:V3890="","",All_Students_Scores!C3890:V3890)</f>
        <v/>
      </c>
      <c r="E3892" s="57" t="str"/>
      <c r="F3892" s="49" t="str"/>
      <c r="G3892" s="59" t="str"/>
      <c r="H3892" s="64" t="str"/>
      <c r="I3892" s="65" t="str"/>
      <c r="J3892" s="49" t="str"/>
      <c r="K3892" s="41" t="str"/>
      <c r="L3892" s="41" t="str"/>
      <c r="M3892" s="41" t="str"/>
      <c r="N3892" s="41" t="str"/>
      <c r="O3892" s="41" t="str"/>
      <c r="P3892" s="41" t="str"/>
      <c r="Q3892" s="41" t="str"/>
      <c r="R3892" s="41" t="str"/>
      <c r="S3892" s="41" t="str"/>
      <c r="T3892" s="41" t="str"/>
      <c r="U3892" s="41" t="str"/>
      <c r="V3892" s="41" t="str"/>
      <c r="W3892" s="41" t="str"/>
    </row>
    <row r="3893">
      <c r="B3893" s="2" t="n"/>
      <c r="C3893" s="40" t="n"/>
      <c r="D3893" s="52">
        <f t="array" ref="D3893:W3893">IF(All_Students_Scores!C3891:V3891="","",All_Students_Scores!C3891:V3891)</f>
        <v/>
      </c>
      <c r="E3893" s="57" t="str"/>
      <c r="F3893" s="49" t="str"/>
      <c r="G3893" s="59" t="str"/>
      <c r="H3893" s="64" t="str"/>
      <c r="I3893" s="65" t="str"/>
      <c r="J3893" s="49" t="str"/>
      <c r="K3893" s="41" t="str"/>
      <c r="L3893" s="41" t="str"/>
      <c r="M3893" s="41" t="str"/>
      <c r="N3893" s="41" t="str"/>
      <c r="O3893" s="41" t="str"/>
      <c r="P3893" s="41" t="str"/>
      <c r="Q3893" s="41" t="str"/>
      <c r="R3893" s="41" t="str"/>
      <c r="S3893" s="41" t="str"/>
      <c r="T3893" s="41" t="str"/>
      <c r="U3893" s="41" t="str"/>
      <c r="V3893" s="41" t="str"/>
      <c r="W3893" s="41" t="str"/>
    </row>
    <row r="3894">
      <c r="B3894" s="2" t="n"/>
      <c r="C3894" s="40" t="n"/>
      <c r="D3894" s="52">
        <f t="array" ref="D3894:W3894">IF(All_Students_Scores!C3892:V3892="","",All_Students_Scores!C3892:V3892)</f>
        <v/>
      </c>
      <c r="E3894" s="57" t="str"/>
      <c r="F3894" s="49" t="str"/>
      <c r="G3894" s="59" t="str"/>
      <c r="H3894" s="64" t="str"/>
      <c r="I3894" s="65" t="str"/>
      <c r="J3894" s="49" t="str"/>
      <c r="K3894" s="41" t="str"/>
      <c r="L3894" s="41" t="str"/>
      <c r="M3894" s="41" t="str"/>
      <c r="N3894" s="41" t="str"/>
      <c r="O3894" s="41" t="str"/>
      <c r="P3894" s="41" t="str"/>
      <c r="Q3894" s="41" t="str"/>
      <c r="R3894" s="41" t="str"/>
      <c r="S3894" s="41" t="str"/>
      <c r="T3894" s="41" t="str"/>
      <c r="U3894" s="41" t="str"/>
      <c r="V3894" s="41" t="str"/>
      <c r="W3894" s="41" t="str"/>
    </row>
    <row r="3895">
      <c r="B3895" s="2" t="n"/>
      <c r="C3895" s="40" t="n"/>
      <c r="D3895" s="52">
        <f t="array" ref="D3895:W3895">IF(All_Students_Scores!C3893:V3893="","",All_Students_Scores!C3893:V3893)</f>
        <v/>
      </c>
      <c r="E3895" s="57" t="str"/>
      <c r="F3895" s="49" t="str"/>
      <c r="G3895" s="59" t="str"/>
      <c r="H3895" s="64" t="str"/>
      <c r="I3895" s="65" t="str"/>
      <c r="J3895" s="49" t="str"/>
      <c r="K3895" s="41" t="str"/>
      <c r="L3895" s="41" t="str"/>
      <c r="M3895" s="41" t="str"/>
      <c r="N3895" s="41" t="str"/>
      <c r="O3895" s="41" t="str"/>
      <c r="P3895" s="41" t="str"/>
      <c r="Q3895" s="41" t="str"/>
      <c r="R3895" s="41" t="str"/>
      <c r="S3895" s="41" t="str"/>
      <c r="T3895" s="41" t="str"/>
      <c r="U3895" s="41" t="str"/>
      <c r="V3895" s="41" t="str"/>
      <c r="W3895" s="41" t="str"/>
    </row>
    <row r="3896">
      <c r="B3896" s="2" t="n"/>
      <c r="C3896" s="40" t="n"/>
      <c r="D3896" s="52">
        <f t="array" ref="D3896:W3896">IF(All_Students_Scores!C3894:V3894="","",All_Students_Scores!C3894:V3894)</f>
        <v/>
      </c>
      <c r="E3896" s="57" t="str"/>
      <c r="F3896" s="49" t="str"/>
      <c r="G3896" s="59" t="str"/>
      <c r="H3896" s="64" t="str"/>
      <c r="I3896" s="65" t="str"/>
      <c r="J3896" s="49" t="str"/>
      <c r="K3896" s="41" t="str"/>
      <c r="L3896" s="41" t="str"/>
      <c r="M3896" s="41" t="str"/>
      <c r="N3896" s="41" t="str"/>
      <c r="O3896" s="41" t="str"/>
      <c r="P3896" s="41" t="str"/>
      <c r="Q3896" s="41" t="str"/>
      <c r="R3896" s="41" t="str"/>
      <c r="S3896" s="41" t="str"/>
      <c r="T3896" s="41" t="str"/>
      <c r="U3896" s="41" t="str"/>
      <c r="V3896" s="41" t="str"/>
      <c r="W3896" s="41" t="str"/>
    </row>
    <row r="3897">
      <c r="B3897" s="2" t="n"/>
      <c r="C3897" s="40" t="n"/>
      <c r="D3897" s="52">
        <f t="array" ref="D3897:W3897">IF(All_Students_Scores!C3895:V3895="","",All_Students_Scores!C3895:V3895)</f>
        <v/>
      </c>
      <c r="E3897" s="57" t="str"/>
      <c r="F3897" s="49" t="str"/>
      <c r="G3897" s="59" t="str"/>
      <c r="H3897" s="64" t="str"/>
      <c r="I3897" s="65" t="str"/>
      <c r="J3897" s="49" t="str"/>
      <c r="K3897" s="41" t="str"/>
      <c r="L3897" s="41" t="str"/>
      <c r="M3897" s="41" t="str"/>
      <c r="N3897" s="41" t="str"/>
      <c r="O3897" s="41" t="str"/>
      <c r="P3897" s="41" t="str"/>
      <c r="Q3897" s="41" t="str"/>
      <c r="R3897" s="41" t="str"/>
      <c r="S3897" s="41" t="str"/>
      <c r="T3897" s="41" t="str"/>
      <c r="U3897" s="41" t="str"/>
      <c r="V3897" s="41" t="str"/>
      <c r="W3897" s="41" t="str"/>
    </row>
    <row r="3898">
      <c r="B3898" s="2" t="n"/>
      <c r="C3898" s="40" t="n"/>
      <c r="D3898" s="52">
        <f t="array" ref="D3898:W3898">IF(All_Students_Scores!C3896:V3896="","",All_Students_Scores!C3896:V3896)</f>
        <v/>
      </c>
      <c r="E3898" s="57" t="str"/>
      <c r="F3898" s="49" t="str"/>
      <c r="G3898" s="59" t="str"/>
      <c r="H3898" s="64" t="str"/>
      <c r="I3898" s="65" t="str"/>
      <c r="J3898" s="49" t="str"/>
      <c r="K3898" s="41" t="str"/>
      <c r="L3898" s="41" t="str"/>
      <c r="M3898" s="41" t="str"/>
      <c r="N3898" s="41" t="str"/>
      <c r="O3898" s="41" t="str"/>
      <c r="P3898" s="41" t="str"/>
      <c r="Q3898" s="41" t="str"/>
      <c r="R3898" s="41" t="str"/>
      <c r="S3898" s="41" t="str"/>
      <c r="T3898" s="41" t="str"/>
      <c r="U3898" s="41" t="str"/>
      <c r="V3898" s="41" t="str"/>
      <c r="W3898" s="41" t="str"/>
    </row>
    <row r="3899">
      <c r="B3899" s="2" t="n"/>
      <c r="C3899" s="40" t="n"/>
      <c r="D3899" s="52">
        <f t="array" ref="D3899:W3899">IF(All_Students_Scores!C3897:V3897="","",All_Students_Scores!C3897:V3897)</f>
        <v/>
      </c>
      <c r="E3899" s="57" t="str"/>
      <c r="F3899" s="49" t="str"/>
      <c r="G3899" s="59" t="str"/>
      <c r="H3899" s="64" t="str"/>
      <c r="I3899" s="65" t="str"/>
      <c r="J3899" s="49" t="str"/>
      <c r="K3899" s="41" t="str"/>
      <c r="L3899" s="41" t="str"/>
      <c r="M3899" s="41" t="str"/>
      <c r="N3899" s="41" t="str"/>
      <c r="O3899" s="41" t="str"/>
      <c r="P3899" s="41" t="str"/>
      <c r="Q3899" s="41" t="str"/>
      <c r="R3899" s="41" t="str"/>
      <c r="S3899" s="41" t="str"/>
      <c r="T3899" s="41" t="str"/>
      <c r="U3899" s="41" t="str"/>
      <c r="V3899" s="41" t="str"/>
      <c r="W3899" s="41" t="str"/>
    </row>
    <row r="3900">
      <c r="B3900" s="2" t="n"/>
      <c r="C3900" s="40" t="n"/>
      <c r="D3900" s="52">
        <f t="array" ref="D3900:W3900">IF(All_Students_Scores!C3898:V3898="","",All_Students_Scores!C3898:V3898)</f>
        <v/>
      </c>
      <c r="E3900" s="57" t="str"/>
      <c r="F3900" s="49" t="str"/>
      <c r="G3900" s="59" t="str"/>
      <c r="H3900" s="64" t="str"/>
      <c r="I3900" s="65" t="str"/>
      <c r="J3900" s="49" t="str"/>
      <c r="K3900" s="41" t="str"/>
      <c r="L3900" s="41" t="str"/>
      <c r="M3900" s="41" t="str"/>
      <c r="N3900" s="41" t="str"/>
      <c r="O3900" s="41" t="str"/>
      <c r="P3900" s="41" t="str"/>
      <c r="Q3900" s="41" t="str"/>
      <c r="R3900" s="41" t="str"/>
      <c r="S3900" s="41" t="str"/>
      <c r="T3900" s="41" t="str"/>
      <c r="U3900" s="41" t="str"/>
      <c r="V3900" s="41" t="str"/>
      <c r="W3900" s="41" t="str"/>
    </row>
    <row r="3901">
      <c r="B3901" s="2" t="n"/>
      <c r="C3901" s="40" t="n"/>
      <c r="D3901" s="52">
        <f t="array" ref="D3901:W3901">IF(All_Students_Scores!C3899:V3899="","",All_Students_Scores!C3899:V3899)</f>
        <v/>
      </c>
      <c r="E3901" s="57" t="str"/>
      <c r="F3901" s="49" t="str"/>
      <c r="G3901" s="59" t="str"/>
      <c r="H3901" s="64" t="str"/>
      <c r="I3901" s="65" t="str"/>
      <c r="J3901" s="49" t="str"/>
      <c r="K3901" s="41" t="str"/>
      <c r="L3901" s="41" t="str"/>
      <c r="M3901" s="41" t="str"/>
      <c r="N3901" s="41" t="str"/>
      <c r="O3901" s="41" t="str"/>
      <c r="P3901" s="41" t="str"/>
      <c r="Q3901" s="41" t="str"/>
      <c r="R3901" s="41" t="str"/>
      <c r="S3901" s="41" t="str"/>
      <c r="T3901" s="41" t="str"/>
      <c r="U3901" s="41" t="str"/>
      <c r="V3901" s="41" t="str"/>
      <c r="W3901" s="41" t="str"/>
    </row>
    <row r="3902">
      <c r="B3902" s="2" t="n"/>
      <c r="C3902" s="40" t="n"/>
      <c r="D3902" s="52">
        <f t="array" ref="D3902:W3902">IF(All_Students_Scores!C3900:V3900="","",All_Students_Scores!C3900:V3900)</f>
        <v/>
      </c>
      <c r="E3902" s="57" t="str"/>
      <c r="F3902" s="49" t="str"/>
      <c r="G3902" s="59" t="str"/>
      <c r="H3902" s="64" t="str"/>
      <c r="I3902" s="65" t="str"/>
      <c r="J3902" s="49" t="str"/>
      <c r="K3902" s="41" t="str"/>
      <c r="L3902" s="41" t="str"/>
      <c r="M3902" s="41" t="str"/>
      <c r="N3902" s="41" t="str"/>
      <c r="O3902" s="41" t="str"/>
      <c r="P3902" s="41" t="str"/>
      <c r="Q3902" s="41" t="str"/>
      <c r="R3902" s="41" t="str"/>
      <c r="S3902" s="41" t="str"/>
      <c r="T3902" s="41" t="str"/>
      <c r="U3902" s="41" t="str"/>
      <c r="V3902" s="41" t="str"/>
      <c r="W3902" s="41" t="str"/>
    </row>
    <row r="3903">
      <c r="B3903" s="2" t="n"/>
      <c r="C3903" s="40" t="n"/>
      <c r="D3903" s="52">
        <f t="array" ref="D3903:W3903">IF(All_Students_Scores!C3901:V3901="","",All_Students_Scores!C3901:V3901)</f>
        <v/>
      </c>
      <c r="E3903" s="57" t="str"/>
      <c r="F3903" s="49" t="str"/>
      <c r="G3903" s="59" t="str"/>
      <c r="H3903" s="64" t="str"/>
      <c r="I3903" s="65" t="str"/>
      <c r="J3903" s="49" t="str"/>
      <c r="K3903" s="41" t="str"/>
      <c r="L3903" s="41" t="str"/>
      <c r="M3903" s="41" t="str"/>
      <c r="N3903" s="41" t="str"/>
      <c r="O3903" s="41" t="str"/>
      <c r="P3903" s="41" t="str"/>
      <c r="Q3903" s="41" t="str"/>
      <c r="R3903" s="41" t="str"/>
      <c r="S3903" s="41" t="str"/>
      <c r="T3903" s="41" t="str"/>
      <c r="U3903" s="41" t="str"/>
      <c r="V3903" s="41" t="str"/>
      <c r="W3903" s="41" t="str"/>
    </row>
    <row r="3904">
      <c r="B3904" s="2" t="n"/>
      <c r="C3904" s="40" t="n"/>
      <c r="D3904" s="52">
        <f t="array" ref="D3904:W3904">IF(All_Students_Scores!C3902:V3902="","",All_Students_Scores!C3902:V3902)</f>
        <v/>
      </c>
      <c r="E3904" s="57" t="str"/>
      <c r="F3904" s="49" t="str"/>
      <c r="G3904" s="59" t="str"/>
      <c r="H3904" s="64" t="str"/>
      <c r="I3904" s="65" t="str"/>
      <c r="J3904" s="49" t="str"/>
      <c r="K3904" s="41" t="str"/>
      <c r="L3904" s="41" t="str"/>
      <c r="M3904" s="41" t="str"/>
      <c r="N3904" s="41" t="str"/>
      <c r="O3904" s="41" t="str"/>
      <c r="P3904" s="41" t="str"/>
      <c r="Q3904" s="41" t="str"/>
      <c r="R3904" s="41" t="str"/>
      <c r="S3904" s="41" t="str"/>
      <c r="T3904" s="41" t="str"/>
      <c r="U3904" s="41" t="str"/>
      <c r="V3904" s="41" t="str"/>
      <c r="W3904" s="41" t="str"/>
    </row>
    <row r="3905">
      <c r="B3905" s="2" t="n"/>
      <c r="C3905" s="40" t="n"/>
      <c r="D3905" s="52">
        <f t="array" ref="D3905:W3905">IF(All_Students_Scores!C3903:V3903="","",All_Students_Scores!C3903:V3903)</f>
        <v/>
      </c>
      <c r="E3905" s="57" t="str"/>
      <c r="F3905" s="49" t="str"/>
      <c r="G3905" s="59" t="str"/>
      <c r="H3905" s="64" t="str"/>
      <c r="I3905" s="65" t="str"/>
      <c r="J3905" s="49" t="str"/>
      <c r="K3905" s="41" t="str"/>
      <c r="L3905" s="41" t="str"/>
      <c r="M3905" s="41" t="str"/>
      <c r="N3905" s="41" t="str"/>
      <c r="O3905" s="41" t="str"/>
      <c r="P3905" s="41" t="str"/>
      <c r="Q3905" s="41" t="str"/>
      <c r="R3905" s="41" t="str"/>
      <c r="S3905" s="41" t="str"/>
      <c r="T3905" s="41" t="str"/>
      <c r="U3905" s="41" t="str"/>
      <c r="V3905" s="41" t="str"/>
      <c r="W3905" s="41" t="str"/>
    </row>
    <row r="3906">
      <c r="B3906" s="2" t="n"/>
      <c r="C3906" s="40" t="n"/>
      <c r="D3906" s="52">
        <f t="array" ref="D3906:W3906">IF(All_Students_Scores!C3904:V3904="","",All_Students_Scores!C3904:V3904)</f>
        <v/>
      </c>
      <c r="E3906" s="57" t="str"/>
      <c r="F3906" s="49" t="str"/>
      <c r="G3906" s="59" t="str"/>
      <c r="H3906" s="64" t="str"/>
      <c r="I3906" s="65" t="str"/>
      <c r="J3906" s="49" t="str"/>
      <c r="K3906" s="41" t="str"/>
      <c r="L3906" s="41" t="str"/>
      <c r="M3906" s="41" t="str"/>
      <c r="N3906" s="41" t="str"/>
      <c r="O3906" s="41" t="str"/>
      <c r="P3906" s="41" t="str"/>
      <c r="Q3906" s="41" t="str"/>
      <c r="R3906" s="41" t="str"/>
      <c r="S3906" s="41" t="str"/>
      <c r="T3906" s="41" t="str"/>
      <c r="U3906" s="41" t="str"/>
      <c r="V3906" s="41" t="str"/>
      <c r="W3906" s="41" t="str"/>
    </row>
    <row r="3907">
      <c r="B3907" s="2" t="n"/>
      <c r="C3907" s="40" t="n"/>
      <c r="D3907" s="52">
        <f t="array" ref="D3907:W3907">IF(All_Students_Scores!C3905:V3905="","",All_Students_Scores!C3905:V3905)</f>
        <v/>
      </c>
      <c r="E3907" s="57" t="str"/>
      <c r="F3907" s="49" t="str"/>
      <c r="G3907" s="59" t="str"/>
      <c r="H3907" s="64" t="str"/>
      <c r="I3907" s="65" t="str"/>
      <c r="J3907" s="49" t="str"/>
      <c r="K3907" s="41" t="str"/>
      <c r="L3907" s="41" t="str"/>
      <c r="M3907" s="41" t="str"/>
      <c r="N3907" s="41" t="str"/>
      <c r="O3907" s="41" t="str"/>
      <c r="P3907" s="41" t="str"/>
      <c r="Q3907" s="41" t="str"/>
      <c r="R3907" s="41" t="str"/>
      <c r="S3907" s="41" t="str"/>
      <c r="T3907" s="41" t="str"/>
      <c r="U3907" s="41" t="str"/>
      <c r="V3907" s="41" t="str"/>
      <c r="W3907" s="41" t="str"/>
    </row>
    <row r="3908">
      <c r="B3908" s="2" t="n"/>
      <c r="C3908" s="40" t="n"/>
      <c r="D3908" s="52">
        <f t="array" ref="D3908:W3908">IF(All_Students_Scores!C3906:V3906="","",All_Students_Scores!C3906:V3906)</f>
        <v/>
      </c>
      <c r="E3908" s="57" t="str"/>
      <c r="F3908" s="49" t="str"/>
      <c r="G3908" s="59" t="str"/>
      <c r="H3908" s="64" t="str"/>
      <c r="I3908" s="65" t="str"/>
      <c r="J3908" s="49" t="str"/>
      <c r="K3908" s="41" t="str"/>
      <c r="L3908" s="41" t="str"/>
      <c r="M3908" s="41" t="str"/>
      <c r="N3908" s="41" t="str"/>
      <c r="O3908" s="41" t="str"/>
      <c r="P3908" s="41" t="str"/>
      <c r="Q3908" s="41" t="str"/>
      <c r="R3908" s="41" t="str"/>
      <c r="S3908" s="41" t="str"/>
      <c r="T3908" s="41" t="str"/>
      <c r="U3908" s="41" t="str"/>
      <c r="V3908" s="41" t="str"/>
      <c r="W3908" s="41" t="str"/>
    </row>
    <row r="3909">
      <c r="B3909" s="2" t="n"/>
      <c r="C3909" s="40" t="n"/>
      <c r="D3909" s="52">
        <f t="array" ref="D3909:W3909">IF(All_Students_Scores!C3907:V3907="","",All_Students_Scores!C3907:V3907)</f>
        <v/>
      </c>
      <c r="E3909" s="57" t="str"/>
      <c r="F3909" s="49" t="str"/>
      <c r="G3909" s="59" t="str"/>
      <c r="H3909" s="64" t="str"/>
      <c r="I3909" s="65" t="str"/>
      <c r="J3909" s="49" t="str"/>
      <c r="K3909" s="41" t="str"/>
      <c r="L3909" s="41" t="str"/>
      <c r="M3909" s="41" t="str"/>
      <c r="N3909" s="41" t="str"/>
      <c r="O3909" s="41" t="str"/>
      <c r="P3909" s="41" t="str"/>
      <c r="Q3909" s="41" t="str"/>
      <c r="R3909" s="41" t="str"/>
      <c r="S3909" s="41" t="str"/>
      <c r="T3909" s="41" t="str"/>
      <c r="U3909" s="41" t="str"/>
      <c r="V3909" s="41" t="str"/>
      <c r="W3909" s="41" t="str"/>
    </row>
    <row r="3910">
      <c r="B3910" s="2" t="n"/>
      <c r="C3910" s="40" t="n"/>
      <c r="D3910" s="52">
        <f t="array" ref="D3910:W3910">IF(All_Students_Scores!C3908:V3908="","",All_Students_Scores!C3908:V3908)</f>
        <v/>
      </c>
      <c r="E3910" s="57" t="str"/>
      <c r="F3910" s="49" t="str"/>
      <c r="G3910" s="59" t="str"/>
      <c r="H3910" s="64" t="str"/>
      <c r="I3910" s="65" t="str"/>
      <c r="J3910" s="49" t="str"/>
      <c r="K3910" s="41" t="str"/>
      <c r="L3910" s="41" t="str"/>
      <c r="M3910" s="41" t="str"/>
      <c r="N3910" s="41" t="str"/>
      <c r="O3910" s="41" t="str"/>
      <c r="P3910" s="41" t="str"/>
      <c r="Q3910" s="41" t="str"/>
      <c r="R3910" s="41" t="str"/>
      <c r="S3910" s="41" t="str"/>
      <c r="T3910" s="41" t="str"/>
      <c r="U3910" s="41" t="str"/>
      <c r="V3910" s="41" t="str"/>
      <c r="W3910" s="41" t="str"/>
    </row>
    <row r="3911">
      <c r="B3911" s="2" t="n"/>
      <c r="C3911" s="40" t="n"/>
      <c r="D3911" s="52">
        <f t="array" ref="D3911:W3911">IF(All_Students_Scores!C3909:V3909="","",All_Students_Scores!C3909:V3909)</f>
        <v/>
      </c>
      <c r="E3911" s="57" t="str"/>
      <c r="F3911" s="49" t="str"/>
      <c r="G3911" s="59" t="str"/>
      <c r="H3911" s="64" t="str"/>
      <c r="I3911" s="65" t="str"/>
      <c r="J3911" s="49" t="str"/>
      <c r="K3911" s="41" t="str"/>
      <c r="L3911" s="41" t="str"/>
      <c r="M3911" s="41" t="str"/>
      <c r="N3911" s="41" t="str"/>
      <c r="O3911" s="41" t="str"/>
      <c r="P3911" s="41" t="str"/>
      <c r="Q3911" s="41" t="str"/>
      <c r="R3911" s="41" t="str"/>
      <c r="S3911" s="41" t="str"/>
      <c r="T3911" s="41" t="str"/>
      <c r="U3911" s="41" t="str"/>
      <c r="V3911" s="41" t="str"/>
      <c r="W3911" s="41" t="str"/>
    </row>
    <row r="3912">
      <c r="B3912" s="2" t="n"/>
      <c r="C3912" s="40" t="n"/>
      <c r="D3912" s="52">
        <f t="array" ref="D3912:W3912">IF(All_Students_Scores!C3910:V3910="","",All_Students_Scores!C3910:V3910)</f>
        <v/>
      </c>
      <c r="E3912" s="57" t="str"/>
      <c r="F3912" s="49" t="str"/>
      <c r="G3912" s="59" t="str"/>
      <c r="H3912" s="64" t="str"/>
      <c r="I3912" s="65" t="str"/>
      <c r="J3912" s="49" t="str"/>
      <c r="K3912" s="41" t="str"/>
      <c r="L3912" s="41" t="str"/>
      <c r="M3912" s="41" t="str"/>
      <c r="N3912" s="41" t="str"/>
      <c r="O3912" s="41" t="str"/>
      <c r="P3912" s="41" t="str"/>
      <c r="Q3912" s="41" t="str"/>
      <c r="R3912" s="41" t="str"/>
      <c r="S3912" s="41" t="str"/>
      <c r="T3912" s="41" t="str"/>
      <c r="U3912" s="41" t="str"/>
      <c r="V3912" s="41" t="str"/>
      <c r="W3912" s="41" t="str"/>
    </row>
    <row r="3913">
      <c r="B3913" s="2" t="n"/>
      <c r="C3913" s="40" t="n"/>
      <c r="D3913" s="52">
        <f t="array" ref="D3913:W3913">IF(All_Students_Scores!C3911:V3911="","",All_Students_Scores!C3911:V3911)</f>
        <v/>
      </c>
      <c r="E3913" s="57" t="str"/>
      <c r="F3913" s="49" t="str"/>
      <c r="G3913" s="59" t="str"/>
      <c r="H3913" s="64" t="str"/>
      <c r="I3913" s="65" t="str"/>
      <c r="J3913" s="49" t="str"/>
      <c r="K3913" s="41" t="str"/>
      <c r="L3913" s="41" t="str"/>
      <c r="M3913" s="41" t="str"/>
      <c r="N3913" s="41" t="str"/>
      <c r="O3913" s="41" t="str"/>
      <c r="P3913" s="41" t="str"/>
      <c r="Q3913" s="41" t="str"/>
      <c r="R3913" s="41" t="str"/>
      <c r="S3913" s="41" t="str"/>
      <c r="T3913" s="41" t="str"/>
      <c r="U3913" s="41" t="str"/>
      <c r="V3913" s="41" t="str"/>
      <c r="W3913" s="41" t="str"/>
    </row>
    <row r="3914">
      <c r="B3914" s="2" t="n"/>
      <c r="C3914" s="40" t="n"/>
      <c r="D3914" s="52">
        <f t="array" ref="D3914:W3914">IF(All_Students_Scores!C3912:V3912="","",All_Students_Scores!C3912:V3912)</f>
        <v/>
      </c>
      <c r="E3914" s="57" t="str"/>
      <c r="F3914" s="49" t="str"/>
      <c r="G3914" s="59" t="str"/>
      <c r="H3914" s="64" t="str"/>
      <c r="I3914" s="65" t="str"/>
      <c r="J3914" s="49" t="str"/>
      <c r="K3914" s="41" t="str"/>
      <c r="L3914" s="41" t="str"/>
      <c r="M3914" s="41" t="str"/>
      <c r="N3914" s="41" t="str"/>
      <c r="O3914" s="41" t="str"/>
      <c r="P3914" s="41" t="str"/>
      <c r="Q3914" s="41" t="str"/>
      <c r="R3914" s="41" t="str"/>
      <c r="S3914" s="41" t="str"/>
      <c r="T3914" s="41" t="str"/>
      <c r="U3914" s="41" t="str"/>
      <c r="V3914" s="41" t="str"/>
      <c r="W3914" s="41" t="str"/>
    </row>
    <row r="3915">
      <c r="B3915" s="2" t="n"/>
      <c r="C3915" s="40" t="n"/>
      <c r="D3915" s="52">
        <f t="array" ref="D3915:W3915">IF(All_Students_Scores!C3913:V3913="","",All_Students_Scores!C3913:V3913)</f>
        <v/>
      </c>
      <c r="E3915" s="57" t="str"/>
      <c r="F3915" s="49" t="str"/>
      <c r="G3915" s="59" t="str"/>
      <c r="H3915" s="64" t="str"/>
      <c r="I3915" s="65" t="str"/>
      <c r="J3915" s="49" t="str"/>
      <c r="K3915" s="41" t="str"/>
      <c r="L3915" s="41" t="str"/>
      <c r="M3915" s="41" t="str"/>
      <c r="N3915" s="41" t="str"/>
      <c r="O3915" s="41" t="str"/>
      <c r="P3915" s="41" t="str"/>
      <c r="Q3915" s="41" t="str"/>
      <c r="R3915" s="41" t="str"/>
      <c r="S3915" s="41" t="str"/>
      <c r="T3915" s="41" t="str"/>
      <c r="U3915" s="41" t="str"/>
      <c r="V3915" s="41" t="str"/>
      <c r="W3915" s="41" t="str"/>
    </row>
    <row r="3916">
      <c r="B3916" s="2" t="n"/>
      <c r="C3916" s="40" t="n"/>
      <c r="D3916" s="52">
        <f t="array" ref="D3916:W3916">IF(All_Students_Scores!C3914:V3914="","",All_Students_Scores!C3914:V3914)</f>
        <v/>
      </c>
      <c r="E3916" s="57" t="str"/>
      <c r="F3916" s="49" t="str"/>
      <c r="G3916" s="59" t="str"/>
      <c r="H3916" s="64" t="str"/>
      <c r="I3916" s="65" t="str"/>
      <c r="J3916" s="49" t="str"/>
      <c r="K3916" s="41" t="str"/>
      <c r="L3916" s="41" t="str"/>
      <c r="M3916" s="41" t="str"/>
      <c r="N3916" s="41" t="str"/>
      <c r="O3916" s="41" t="str"/>
      <c r="P3916" s="41" t="str"/>
      <c r="Q3916" s="41" t="str"/>
      <c r="R3916" s="41" t="str"/>
      <c r="S3916" s="41" t="str"/>
      <c r="T3916" s="41" t="str"/>
      <c r="U3916" s="41" t="str"/>
      <c r="V3916" s="41" t="str"/>
      <c r="W3916" s="41" t="str"/>
    </row>
    <row r="3917">
      <c r="B3917" s="2" t="n"/>
      <c r="C3917" s="40" t="n"/>
      <c r="D3917" s="52">
        <f t="array" ref="D3917:W3917">IF(All_Students_Scores!C3915:V3915="","",All_Students_Scores!C3915:V3915)</f>
        <v/>
      </c>
      <c r="E3917" s="57" t="str"/>
      <c r="F3917" s="49" t="str"/>
      <c r="G3917" s="59" t="str"/>
      <c r="H3917" s="64" t="str"/>
      <c r="I3917" s="65" t="str"/>
      <c r="J3917" s="49" t="str"/>
      <c r="K3917" s="41" t="str"/>
      <c r="L3917" s="41" t="str"/>
      <c r="M3917" s="41" t="str"/>
      <c r="N3917" s="41" t="str"/>
      <c r="O3917" s="41" t="str"/>
      <c r="P3917" s="41" t="str"/>
      <c r="Q3917" s="41" t="str"/>
      <c r="R3917" s="41" t="str"/>
      <c r="S3917" s="41" t="str"/>
      <c r="T3917" s="41" t="str"/>
      <c r="U3917" s="41" t="str"/>
      <c r="V3917" s="41" t="str"/>
      <c r="W3917" s="41" t="str"/>
    </row>
    <row r="3918">
      <c r="B3918" s="2" t="n"/>
      <c r="C3918" s="40" t="n"/>
      <c r="D3918" s="52">
        <f t="array" ref="D3918:W3918">IF(All_Students_Scores!C3916:V3916="","",All_Students_Scores!C3916:V3916)</f>
        <v/>
      </c>
      <c r="E3918" s="57" t="str"/>
      <c r="F3918" s="49" t="str"/>
      <c r="G3918" s="59" t="str"/>
      <c r="H3918" s="64" t="str"/>
      <c r="I3918" s="65" t="str"/>
      <c r="J3918" s="49" t="str"/>
      <c r="K3918" s="41" t="str"/>
      <c r="L3918" s="41" t="str"/>
      <c r="M3918" s="41" t="str"/>
      <c r="N3918" s="41" t="str"/>
      <c r="O3918" s="41" t="str"/>
      <c r="P3918" s="41" t="str"/>
      <c r="Q3918" s="41" t="str"/>
      <c r="R3918" s="41" t="str"/>
      <c r="S3918" s="41" t="str"/>
      <c r="T3918" s="41" t="str"/>
      <c r="U3918" s="41" t="str"/>
      <c r="V3918" s="41" t="str"/>
      <c r="W3918" s="41" t="str"/>
    </row>
    <row r="3919">
      <c r="B3919" s="2" t="n"/>
      <c r="C3919" s="40" t="n"/>
      <c r="D3919" s="52">
        <f t="array" ref="D3919:W3919">IF(All_Students_Scores!C3917:V3917="","",All_Students_Scores!C3917:V3917)</f>
        <v/>
      </c>
      <c r="E3919" s="57" t="str"/>
      <c r="F3919" s="49" t="str"/>
      <c r="G3919" s="59" t="str"/>
      <c r="H3919" s="64" t="str"/>
      <c r="I3919" s="65" t="str"/>
      <c r="J3919" s="49" t="str"/>
      <c r="K3919" s="41" t="str"/>
      <c r="L3919" s="41" t="str"/>
      <c r="M3919" s="41" t="str"/>
      <c r="N3919" s="41" t="str"/>
      <c r="O3919" s="41" t="str"/>
      <c r="P3919" s="41" t="str"/>
      <c r="Q3919" s="41" t="str"/>
      <c r="R3919" s="41" t="str"/>
      <c r="S3919" s="41" t="str"/>
      <c r="T3919" s="41" t="str"/>
      <c r="U3919" s="41" t="str"/>
      <c r="V3919" s="41" t="str"/>
      <c r="W3919" s="41" t="str"/>
    </row>
    <row r="3920">
      <c r="B3920" s="2" t="n"/>
      <c r="C3920" s="40" t="n"/>
      <c r="D3920" s="52">
        <f t="array" ref="D3920:W3920">IF(All_Students_Scores!C3918:V3918="","",All_Students_Scores!C3918:V3918)</f>
        <v/>
      </c>
      <c r="E3920" s="57" t="str"/>
      <c r="F3920" s="49" t="str"/>
      <c r="G3920" s="59" t="str"/>
      <c r="H3920" s="64" t="str"/>
      <c r="I3920" s="65" t="str"/>
      <c r="J3920" s="49" t="str"/>
      <c r="K3920" s="41" t="str"/>
      <c r="L3920" s="41" t="str"/>
      <c r="M3920" s="41" t="str"/>
      <c r="N3920" s="41" t="str"/>
      <c r="O3920" s="41" t="str"/>
      <c r="P3920" s="41" t="str"/>
      <c r="Q3920" s="41" t="str"/>
      <c r="R3920" s="41" t="str"/>
      <c r="S3920" s="41" t="str"/>
      <c r="T3920" s="41" t="str"/>
      <c r="U3920" s="41" t="str"/>
      <c r="V3920" s="41" t="str"/>
      <c r="W3920" s="41" t="str"/>
    </row>
    <row r="3921">
      <c r="B3921" s="2" t="n"/>
      <c r="C3921" s="40" t="n"/>
      <c r="D3921" s="52">
        <f t="array" ref="D3921:W3921">IF(All_Students_Scores!C3919:V3919="","",All_Students_Scores!C3919:V3919)</f>
        <v/>
      </c>
      <c r="E3921" s="57" t="str"/>
      <c r="F3921" s="49" t="str"/>
      <c r="G3921" s="59" t="str"/>
      <c r="H3921" s="64" t="str"/>
      <c r="I3921" s="65" t="str"/>
      <c r="J3921" s="49" t="str"/>
      <c r="K3921" s="41" t="str"/>
      <c r="L3921" s="41" t="str"/>
      <c r="M3921" s="41" t="str"/>
      <c r="N3921" s="41" t="str"/>
      <c r="O3921" s="41" t="str"/>
      <c r="P3921" s="41" t="str"/>
      <c r="Q3921" s="41" t="str"/>
      <c r="R3921" s="41" t="str"/>
      <c r="S3921" s="41" t="str"/>
      <c r="T3921" s="41" t="str"/>
      <c r="U3921" s="41" t="str"/>
      <c r="V3921" s="41" t="str"/>
      <c r="W3921" s="41" t="str"/>
    </row>
    <row r="3922">
      <c r="B3922" s="2" t="n"/>
      <c r="C3922" s="40" t="n"/>
      <c r="D3922" s="52">
        <f t="array" ref="D3922:W3922">IF(All_Students_Scores!C3920:V3920="","",All_Students_Scores!C3920:V3920)</f>
        <v/>
      </c>
      <c r="E3922" s="57" t="str"/>
      <c r="F3922" s="49" t="str"/>
      <c r="G3922" s="59" t="str"/>
      <c r="H3922" s="64" t="str"/>
      <c r="I3922" s="65" t="str"/>
      <c r="J3922" s="49" t="str"/>
      <c r="K3922" s="41" t="str"/>
      <c r="L3922" s="41" t="str"/>
      <c r="M3922" s="41" t="str"/>
      <c r="N3922" s="41" t="str"/>
      <c r="O3922" s="41" t="str"/>
      <c r="P3922" s="41" t="str"/>
      <c r="Q3922" s="41" t="str"/>
      <c r="R3922" s="41" t="str"/>
      <c r="S3922" s="41" t="str"/>
      <c r="T3922" s="41" t="str"/>
      <c r="U3922" s="41" t="str"/>
      <c r="V3922" s="41" t="str"/>
      <c r="W3922" s="41" t="str"/>
    </row>
    <row r="3923">
      <c r="B3923" s="2" t="n"/>
      <c r="C3923" s="40" t="n"/>
      <c r="D3923" s="52">
        <f t="array" ref="D3923:W3923">IF(All_Students_Scores!C3921:V3921="","",All_Students_Scores!C3921:V3921)</f>
        <v/>
      </c>
      <c r="E3923" s="57" t="str"/>
      <c r="F3923" s="49" t="str"/>
      <c r="G3923" s="59" t="str"/>
      <c r="H3923" s="64" t="str"/>
      <c r="I3923" s="65" t="str"/>
      <c r="J3923" s="49" t="str"/>
      <c r="K3923" s="41" t="str"/>
      <c r="L3923" s="41" t="str"/>
      <c r="M3923" s="41" t="str"/>
      <c r="N3923" s="41" t="str"/>
      <c r="O3923" s="41" t="str"/>
      <c r="P3923" s="41" t="str"/>
      <c r="Q3923" s="41" t="str"/>
      <c r="R3923" s="41" t="str"/>
      <c r="S3923" s="41" t="str"/>
      <c r="T3923" s="41" t="str"/>
      <c r="U3923" s="41" t="str"/>
      <c r="V3923" s="41" t="str"/>
      <c r="W3923" s="41" t="str"/>
    </row>
    <row r="3924">
      <c r="B3924" s="2" t="n"/>
      <c r="C3924" s="40" t="n"/>
      <c r="D3924" s="52">
        <f t="array" ref="D3924:W3924">IF(All_Students_Scores!C3922:V3922="","",All_Students_Scores!C3922:V3922)</f>
        <v/>
      </c>
      <c r="E3924" s="57" t="str"/>
      <c r="F3924" s="49" t="str"/>
      <c r="G3924" s="59" t="str"/>
      <c r="H3924" s="64" t="str"/>
      <c r="I3924" s="65" t="str"/>
      <c r="J3924" s="49" t="str"/>
      <c r="K3924" s="41" t="str"/>
      <c r="L3924" s="41" t="str"/>
      <c r="M3924" s="41" t="str"/>
      <c r="N3924" s="41" t="str"/>
      <c r="O3924" s="41" t="str"/>
      <c r="P3924" s="41" t="str"/>
      <c r="Q3924" s="41" t="str"/>
      <c r="R3924" s="41" t="str"/>
      <c r="S3924" s="41" t="str"/>
      <c r="T3924" s="41" t="str"/>
      <c r="U3924" s="41" t="str"/>
      <c r="V3924" s="41" t="str"/>
      <c r="W3924" s="41" t="str"/>
    </row>
    <row r="3925">
      <c r="B3925" s="2" t="n"/>
      <c r="C3925" s="40" t="n"/>
      <c r="D3925" s="52">
        <f t="array" ref="D3925:W3925">IF(All_Students_Scores!C3923:V3923="","",All_Students_Scores!C3923:V3923)</f>
        <v/>
      </c>
      <c r="E3925" s="57" t="str"/>
      <c r="F3925" s="49" t="str"/>
      <c r="G3925" s="59" t="str"/>
      <c r="H3925" s="64" t="str"/>
      <c r="I3925" s="65" t="str"/>
      <c r="J3925" s="49" t="str"/>
      <c r="K3925" s="41" t="str"/>
      <c r="L3925" s="41" t="str"/>
      <c r="M3925" s="41" t="str"/>
      <c r="N3925" s="41" t="str"/>
      <c r="O3925" s="41" t="str"/>
      <c r="P3925" s="41" t="str"/>
      <c r="Q3925" s="41" t="str"/>
      <c r="R3925" s="41" t="str"/>
      <c r="S3925" s="41" t="str"/>
      <c r="T3925" s="41" t="str"/>
      <c r="U3925" s="41" t="str"/>
      <c r="V3925" s="41" t="str"/>
      <c r="W3925" s="41" t="str"/>
    </row>
    <row r="3926">
      <c r="B3926" s="2" t="n"/>
      <c r="C3926" s="40" t="n"/>
      <c r="D3926" s="52">
        <f t="array" ref="D3926:W3926">IF(All_Students_Scores!C3924:V3924="","",All_Students_Scores!C3924:V3924)</f>
        <v/>
      </c>
      <c r="E3926" s="57" t="str"/>
      <c r="F3926" s="49" t="str"/>
      <c r="G3926" s="59" t="str"/>
      <c r="H3926" s="64" t="str"/>
      <c r="I3926" s="65" t="str"/>
      <c r="J3926" s="49" t="str"/>
      <c r="K3926" s="41" t="str"/>
      <c r="L3926" s="41" t="str"/>
      <c r="M3926" s="41" t="str"/>
      <c r="N3926" s="41" t="str"/>
      <c r="O3926" s="41" t="str"/>
      <c r="P3926" s="41" t="str"/>
      <c r="Q3926" s="41" t="str"/>
      <c r="R3926" s="41" t="str"/>
      <c r="S3926" s="41" t="str"/>
      <c r="T3926" s="41" t="str"/>
      <c r="U3926" s="41" t="str"/>
      <c r="V3926" s="41" t="str"/>
      <c r="W3926" s="41" t="str"/>
    </row>
    <row r="3927">
      <c r="B3927" s="2" t="n"/>
      <c r="C3927" s="40" t="n"/>
      <c r="D3927" s="52">
        <f t="array" ref="D3927:W3927">IF(All_Students_Scores!C3925:V3925="","",All_Students_Scores!C3925:V3925)</f>
        <v/>
      </c>
      <c r="E3927" s="57" t="str"/>
      <c r="F3927" s="49" t="str"/>
      <c r="G3927" s="59" t="str"/>
      <c r="H3927" s="64" t="str"/>
      <c r="I3927" s="65" t="str"/>
      <c r="J3927" s="49" t="str"/>
      <c r="K3927" s="41" t="str"/>
      <c r="L3927" s="41" t="str"/>
      <c r="M3927" s="41" t="str"/>
      <c r="N3927" s="41" t="str"/>
      <c r="O3927" s="41" t="str"/>
      <c r="P3927" s="41" t="str"/>
      <c r="Q3927" s="41" t="str"/>
      <c r="R3927" s="41" t="str"/>
      <c r="S3927" s="41" t="str"/>
      <c r="T3927" s="41" t="str"/>
      <c r="U3927" s="41" t="str"/>
      <c r="V3927" s="41" t="str"/>
      <c r="W3927" s="41" t="str"/>
    </row>
    <row r="3928">
      <c r="B3928" s="2" t="n"/>
      <c r="C3928" s="40" t="n"/>
      <c r="D3928" s="52">
        <f t="array" ref="D3928:W3928">IF(All_Students_Scores!C3926:V3926="","",All_Students_Scores!C3926:V3926)</f>
        <v/>
      </c>
      <c r="E3928" s="57" t="str"/>
      <c r="F3928" s="49" t="str"/>
      <c r="G3928" s="59" t="str"/>
      <c r="H3928" s="64" t="str"/>
      <c r="I3928" s="65" t="str"/>
      <c r="J3928" s="49" t="str"/>
      <c r="K3928" s="41" t="str"/>
      <c r="L3928" s="41" t="str"/>
      <c r="M3928" s="41" t="str"/>
      <c r="N3928" s="41" t="str"/>
      <c r="O3928" s="41" t="str"/>
      <c r="P3928" s="41" t="str"/>
      <c r="Q3928" s="41" t="str"/>
      <c r="R3928" s="41" t="str"/>
      <c r="S3928" s="41" t="str"/>
      <c r="T3928" s="41" t="str"/>
      <c r="U3928" s="41" t="str"/>
      <c r="V3928" s="41" t="str"/>
      <c r="W3928" s="41" t="str"/>
    </row>
    <row r="3929">
      <c r="B3929" s="2" t="n"/>
      <c r="C3929" s="40" t="n"/>
      <c r="D3929" s="52">
        <f t="array" ref="D3929:W3929">IF(All_Students_Scores!C3927:V3927="","",All_Students_Scores!C3927:V3927)</f>
        <v/>
      </c>
      <c r="E3929" s="57" t="str"/>
      <c r="F3929" s="49" t="str"/>
      <c r="G3929" s="59" t="str"/>
      <c r="H3929" s="64" t="str"/>
      <c r="I3929" s="65" t="str"/>
      <c r="J3929" s="49" t="str"/>
      <c r="K3929" s="41" t="str"/>
      <c r="L3929" s="41" t="str"/>
      <c r="M3929" s="41" t="str"/>
      <c r="N3929" s="41" t="str"/>
      <c r="O3929" s="41" t="str"/>
      <c r="P3929" s="41" t="str"/>
      <c r="Q3929" s="41" t="str"/>
      <c r="R3929" s="41" t="str"/>
      <c r="S3929" s="41" t="str"/>
      <c r="T3929" s="41" t="str"/>
      <c r="U3929" s="41" t="str"/>
      <c r="V3929" s="41" t="str"/>
      <c r="W3929" s="41" t="str"/>
    </row>
    <row r="3930">
      <c r="B3930" s="2" t="n"/>
      <c r="C3930" s="40" t="n"/>
      <c r="D3930" s="52">
        <f t="array" ref="D3930:W3930">IF(All_Students_Scores!C3928:V3928="","",All_Students_Scores!C3928:V3928)</f>
        <v/>
      </c>
      <c r="E3930" s="57" t="str"/>
      <c r="F3930" s="49" t="str"/>
      <c r="G3930" s="59" t="str"/>
      <c r="H3930" s="64" t="str"/>
      <c r="I3930" s="65" t="str"/>
      <c r="J3930" s="49" t="str"/>
      <c r="K3930" s="41" t="str"/>
      <c r="L3930" s="41" t="str"/>
      <c r="M3930" s="41" t="str"/>
      <c r="N3930" s="41" t="str"/>
      <c r="O3930" s="41" t="str"/>
      <c r="P3930" s="41" t="str"/>
      <c r="Q3930" s="41" t="str"/>
      <c r="R3930" s="41" t="str"/>
      <c r="S3930" s="41" t="str"/>
      <c r="T3930" s="41" t="str"/>
      <c r="U3930" s="41" t="str"/>
      <c r="V3930" s="41" t="str"/>
      <c r="W3930" s="41" t="str"/>
    </row>
    <row r="3931">
      <c r="B3931" s="2" t="n"/>
      <c r="C3931" s="40" t="n"/>
      <c r="D3931" s="52">
        <f t="array" ref="D3931:W3931">IF(All_Students_Scores!C3929:V3929="","",All_Students_Scores!C3929:V3929)</f>
        <v/>
      </c>
      <c r="E3931" s="57" t="str"/>
      <c r="F3931" s="49" t="str"/>
      <c r="G3931" s="59" t="str"/>
      <c r="H3931" s="64" t="str"/>
      <c r="I3931" s="65" t="str"/>
      <c r="J3931" s="49" t="str"/>
      <c r="K3931" s="41" t="str"/>
      <c r="L3931" s="41" t="str"/>
      <c r="M3931" s="41" t="str"/>
      <c r="N3931" s="41" t="str"/>
      <c r="O3931" s="41" t="str"/>
      <c r="P3931" s="41" t="str"/>
      <c r="Q3931" s="41" t="str"/>
      <c r="R3931" s="41" t="str"/>
      <c r="S3931" s="41" t="str"/>
      <c r="T3931" s="41" t="str"/>
      <c r="U3931" s="41" t="str"/>
      <c r="V3931" s="41" t="str"/>
      <c r="W3931" s="41" t="str"/>
    </row>
    <row r="3932">
      <c r="B3932" s="2" t="n"/>
      <c r="C3932" s="40" t="n"/>
      <c r="D3932" s="52">
        <f t="array" ref="D3932:W3932">IF(All_Students_Scores!C3930:V3930="","",All_Students_Scores!C3930:V3930)</f>
        <v/>
      </c>
      <c r="E3932" s="57" t="str"/>
      <c r="F3932" s="49" t="str"/>
      <c r="G3932" s="59" t="str"/>
      <c r="H3932" s="64" t="str"/>
      <c r="I3932" s="65" t="str"/>
      <c r="J3932" s="49" t="str"/>
      <c r="K3932" s="41" t="str"/>
      <c r="L3932" s="41" t="str"/>
      <c r="M3932" s="41" t="str"/>
      <c r="N3932" s="41" t="str"/>
      <c r="O3932" s="41" t="str"/>
      <c r="P3932" s="41" t="str"/>
      <c r="Q3932" s="41" t="str"/>
      <c r="R3932" s="41" t="str"/>
      <c r="S3932" s="41" t="str"/>
      <c r="T3932" s="41" t="str"/>
      <c r="U3932" s="41" t="str"/>
      <c r="V3932" s="41" t="str"/>
      <c r="W3932" s="41" t="str"/>
    </row>
    <row r="3933">
      <c r="B3933" s="2" t="n"/>
      <c r="C3933" s="40" t="n"/>
      <c r="D3933" s="52">
        <f t="array" ref="D3933:W3933">IF(All_Students_Scores!C3931:V3931="","",All_Students_Scores!C3931:V3931)</f>
        <v/>
      </c>
      <c r="E3933" s="57" t="str"/>
      <c r="F3933" s="49" t="str"/>
      <c r="G3933" s="59" t="str"/>
      <c r="H3933" s="64" t="str"/>
      <c r="I3933" s="65" t="str"/>
      <c r="J3933" s="49" t="str"/>
      <c r="K3933" s="41" t="str"/>
      <c r="L3933" s="41" t="str"/>
      <c r="M3933" s="41" t="str"/>
      <c r="N3933" s="41" t="str"/>
      <c r="O3933" s="41" t="str"/>
      <c r="P3933" s="41" t="str"/>
      <c r="Q3933" s="41" t="str"/>
      <c r="R3933" s="41" t="str"/>
      <c r="S3933" s="41" t="str"/>
      <c r="T3933" s="41" t="str"/>
      <c r="U3933" s="41" t="str"/>
      <c r="V3933" s="41" t="str"/>
      <c r="W3933" s="41" t="str"/>
    </row>
    <row r="3934">
      <c r="B3934" s="2" t="n"/>
      <c r="C3934" s="40" t="n"/>
      <c r="D3934" s="52">
        <f t="array" ref="D3934:W3934">IF(All_Students_Scores!C3932:V3932="","",All_Students_Scores!C3932:V3932)</f>
        <v/>
      </c>
      <c r="E3934" s="57" t="str"/>
      <c r="F3934" s="49" t="str"/>
      <c r="G3934" s="59" t="str"/>
      <c r="H3934" s="64" t="str"/>
      <c r="I3934" s="65" t="str"/>
      <c r="J3934" s="49" t="str"/>
      <c r="K3934" s="41" t="str"/>
      <c r="L3934" s="41" t="str"/>
      <c r="M3934" s="41" t="str"/>
      <c r="N3934" s="41" t="str"/>
      <c r="O3934" s="41" t="str"/>
      <c r="P3934" s="41" t="str"/>
      <c r="Q3934" s="41" t="str"/>
      <c r="R3934" s="41" t="str"/>
      <c r="S3934" s="41" t="str"/>
      <c r="T3934" s="41" t="str"/>
      <c r="U3934" s="41" t="str"/>
      <c r="V3934" s="41" t="str"/>
      <c r="W3934" s="41" t="str"/>
    </row>
    <row r="3935">
      <c r="B3935" s="2" t="n"/>
      <c r="C3935" s="40" t="n"/>
      <c r="D3935" s="52">
        <f t="array" ref="D3935:W3935">IF(All_Students_Scores!C3933:V3933="","",All_Students_Scores!C3933:V3933)</f>
        <v/>
      </c>
      <c r="E3935" s="57" t="str"/>
      <c r="F3935" s="49" t="str"/>
      <c r="G3935" s="59" t="str"/>
      <c r="H3935" s="64" t="str"/>
      <c r="I3935" s="65" t="str"/>
      <c r="J3935" s="49" t="str"/>
      <c r="K3935" s="41" t="str"/>
      <c r="L3935" s="41" t="str"/>
      <c r="M3935" s="41" t="str"/>
      <c r="N3935" s="41" t="str"/>
      <c r="O3935" s="41" t="str"/>
      <c r="P3935" s="41" t="str"/>
      <c r="Q3935" s="41" t="str"/>
      <c r="R3935" s="41" t="str"/>
      <c r="S3935" s="41" t="str"/>
      <c r="T3935" s="41" t="str"/>
      <c r="U3935" s="41" t="str"/>
      <c r="V3935" s="41" t="str"/>
      <c r="W3935" s="41" t="str"/>
    </row>
    <row r="3936">
      <c r="B3936" s="2" t="n"/>
      <c r="C3936" s="40" t="n"/>
      <c r="D3936" s="52">
        <f t="array" ref="D3936:W3936">IF(All_Students_Scores!C3934:V3934="","",All_Students_Scores!C3934:V3934)</f>
        <v/>
      </c>
      <c r="E3936" s="57" t="str"/>
      <c r="F3936" s="49" t="str"/>
      <c r="G3936" s="59" t="str"/>
      <c r="H3936" s="64" t="str"/>
      <c r="I3936" s="65" t="str"/>
      <c r="J3936" s="49" t="str"/>
      <c r="K3936" s="41" t="str"/>
      <c r="L3936" s="41" t="str"/>
      <c r="M3936" s="41" t="str"/>
      <c r="N3936" s="41" t="str"/>
      <c r="O3936" s="41" t="str"/>
      <c r="P3936" s="41" t="str"/>
      <c r="Q3936" s="41" t="str"/>
      <c r="R3936" s="41" t="str"/>
      <c r="S3936" s="41" t="str"/>
      <c r="T3936" s="41" t="str"/>
      <c r="U3936" s="41" t="str"/>
      <c r="V3936" s="41" t="str"/>
      <c r="W3936" s="41" t="str"/>
    </row>
    <row r="3937">
      <c r="B3937" s="2" t="n"/>
      <c r="C3937" s="40" t="n"/>
      <c r="D3937" s="52">
        <f t="array" ref="D3937:W3937">IF(All_Students_Scores!C3935:V3935="","",All_Students_Scores!C3935:V3935)</f>
        <v/>
      </c>
      <c r="E3937" s="57" t="str"/>
      <c r="F3937" s="49" t="str"/>
      <c r="G3937" s="59" t="str"/>
      <c r="H3937" s="64" t="str"/>
      <c r="I3937" s="65" t="str"/>
      <c r="J3937" s="49" t="str"/>
      <c r="K3937" s="41" t="str"/>
      <c r="L3937" s="41" t="str"/>
      <c r="M3937" s="41" t="str"/>
      <c r="N3937" s="41" t="str"/>
      <c r="O3937" s="41" t="str"/>
      <c r="P3937" s="41" t="str"/>
      <c r="Q3937" s="41" t="str"/>
      <c r="R3937" s="41" t="str"/>
      <c r="S3937" s="41" t="str"/>
      <c r="T3937" s="41" t="str"/>
      <c r="U3937" s="41" t="str"/>
      <c r="V3937" s="41" t="str"/>
      <c r="W3937" s="41" t="str"/>
    </row>
    <row r="3938">
      <c r="B3938" s="2" t="n"/>
      <c r="C3938" s="40" t="n"/>
      <c r="D3938" s="52">
        <f t="array" ref="D3938:W3938">IF(All_Students_Scores!C3936:V3936="","",All_Students_Scores!C3936:V3936)</f>
        <v/>
      </c>
      <c r="E3938" s="57" t="str"/>
      <c r="F3938" s="49" t="str"/>
      <c r="G3938" s="59" t="str"/>
      <c r="H3938" s="64" t="str"/>
      <c r="I3938" s="65" t="str"/>
      <c r="J3938" s="49" t="str"/>
      <c r="K3938" s="41" t="str"/>
      <c r="L3938" s="41" t="str"/>
      <c r="M3938" s="41" t="str"/>
      <c r="N3938" s="41" t="str"/>
      <c r="O3938" s="41" t="str"/>
      <c r="P3938" s="41" t="str"/>
      <c r="Q3938" s="41" t="str"/>
      <c r="R3938" s="41" t="str"/>
      <c r="S3938" s="41" t="str"/>
      <c r="T3938" s="41" t="str"/>
      <c r="U3938" s="41" t="str"/>
      <c r="V3938" s="41" t="str"/>
      <c r="W3938" s="41" t="str"/>
    </row>
    <row r="3939">
      <c r="B3939" s="2" t="n"/>
      <c r="C3939" s="40" t="n"/>
      <c r="D3939" s="52">
        <f t="array" ref="D3939:W3939">IF(All_Students_Scores!C3937:V3937="","",All_Students_Scores!C3937:V3937)</f>
        <v/>
      </c>
      <c r="E3939" s="57" t="str"/>
      <c r="F3939" s="49" t="str"/>
      <c r="G3939" s="59" t="str"/>
      <c r="H3939" s="64" t="str"/>
      <c r="I3939" s="65" t="str"/>
      <c r="J3939" s="49" t="str"/>
      <c r="K3939" s="41" t="str"/>
      <c r="L3939" s="41" t="str"/>
      <c r="M3939" s="41" t="str"/>
      <c r="N3939" s="41" t="str"/>
      <c r="O3939" s="41" t="str"/>
      <c r="P3939" s="41" t="str"/>
      <c r="Q3939" s="41" t="str"/>
      <c r="R3939" s="41" t="str"/>
      <c r="S3939" s="41" t="str"/>
      <c r="T3939" s="41" t="str"/>
      <c r="U3939" s="41" t="str"/>
      <c r="V3939" s="41" t="str"/>
      <c r="W3939" s="41" t="str"/>
    </row>
    <row r="3940">
      <c r="B3940" s="2" t="n"/>
      <c r="C3940" s="40" t="n"/>
      <c r="D3940" s="52">
        <f t="array" ref="D3940:W3940">IF(All_Students_Scores!C3938:V3938="","",All_Students_Scores!C3938:V3938)</f>
        <v/>
      </c>
      <c r="E3940" s="57" t="str"/>
      <c r="F3940" s="49" t="str"/>
      <c r="G3940" s="59" t="str"/>
      <c r="H3940" s="64" t="str"/>
      <c r="I3940" s="65" t="str"/>
      <c r="J3940" s="49" t="str"/>
      <c r="K3940" s="41" t="str"/>
      <c r="L3940" s="41" t="str"/>
      <c r="M3940" s="41" t="str"/>
      <c r="N3940" s="41" t="str"/>
      <c r="O3940" s="41" t="str"/>
      <c r="P3940" s="41" t="str"/>
      <c r="Q3940" s="41" t="str"/>
      <c r="R3940" s="41" t="str"/>
      <c r="S3940" s="41" t="str"/>
      <c r="T3940" s="41" t="str"/>
      <c r="U3940" s="41" t="str"/>
      <c r="V3940" s="41" t="str"/>
      <c r="W3940" s="41" t="str"/>
    </row>
    <row r="3941">
      <c r="B3941" s="2" t="n"/>
      <c r="C3941" s="40" t="n"/>
      <c r="D3941" s="52">
        <f t="array" ref="D3941:W3941">IF(All_Students_Scores!C3939:V3939="","",All_Students_Scores!C3939:V3939)</f>
        <v/>
      </c>
      <c r="E3941" s="57" t="str"/>
      <c r="F3941" s="49" t="str"/>
      <c r="G3941" s="59" t="str"/>
      <c r="H3941" s="64" t="str"/>
      <c r="I3941" s="65" t="str"/>
      <c r="J3941" s="49" t="str"/>
      <c r="K3941" s="41" t="str"/>
      <c r="L3941" s="41" t="str"/>
      <c r="M3941" s="41" t="str"/>
      <c r="N3941" s="41" t="str"/>
      <c r="O3941" s="41" t="str"/>
      <c r="P3941" s="41" t="str"/>
      <c r="Q3941" s="41" t="str"/>
      <c r="R3941" s="41" t="str"/>
      <c r="S3941" s="41" t="str"/>
      <c r="T3941" s="41" t="str"/>
      <c r="U3941" s="41" t="str"/>
      <c r="V3941" s="41" t="str"/>
      <c r="W3941" s="41" t="str"/>
    </row>
    <row r="3942">
      <c r="B3942" s="2" t="n"/>
      <c r="C3942" s="40" t="n"/>
      <c r="D3942" s="52">
        <f t="array" ref="D3942:W3942">IF(All_Students_Scores!C3940:V3940="","",All_Students_Scores!C3940:V3940)</f>
        <v/>
      </c>
      <c r="E3942" s="57" t="str"/>
      <c r="F3942" s="49" t="str"/>
      <c r="G3942" s="59" t="str"/>
      <c r="H3942" s="64" t="str"/>
      <c r="I3942" s="65" t="str"/>
      <c r="J3942" s="49" t="str"/>
      <c r="K3942" s="41" t="str"/>
      <c r="L3942" s="41" t="str"/>
      <c r="M3942" s="41" t="str"/>
      <c r="N3942" s="41" t="str"/>
      <c r="O3942" s="41" t="str"/>
      <c r="P3942" s="41" t="str"/>
      <c r="Q3942" s="41" t="str"/>
      <c r="R3942" s="41" t="str"/>
      <c r="S3942" s="41" t="str"/>
      <c r="T3942" s="41" t="str"/>
      <c r="U3942" s="41" t="str"/>
      <c r="V3942" s="41" t="str"/>
      <c r="W3942" s="41" t="str"/>
    </row>
    <row r="3943">
      <c r="B3943" s="2" t="n"/>
      <c r="C3943" s="40" t="n"/>
      <c r="D3943" s="52">
        <f t="array" ref="D3943:W3943">IF(All_Students_Scores!C3941:V3941="","",All_Students_Scores!C3941:V3941)</f>
        <v/>
      </c>
      <c r="E3943" s="57" t="str"/>
      <c r="F3943" s="49" t="str"/>
      <c r="G3943" s="59" t="str"/>
      <c r="H3943" s="64" t="str"/>
      <c r="I3943" s="65" t="str"/>
      <c r="J3943" s="49" t="str"/>
      <c r="K3943" s="41" t="str"/>
      <c r="L3943" s="41" t="str"/>
      <c r="M3943" s="41" t="str"/>
      <c r="N3943" s="41" t="str"/>
      <c r="O3943" s="41" t="str"/>
      <c r="P3943" s="41" t="str"/>
      <c r="Q3943" s="41" t="str"/>
      <c r="R3943" s="41" t="str"/>
      <c r="S3943" s="41" t="str"/>
      <c r="T3943" s="41" t="str"/>
      <c r="U3943" s="41" t="str"/>
      <c r="V3943" s="41" t="str"/>
      <c r="W3943" s="41" t="str"/>
    </row>
    <row r="3944">
      <c r="B3944" s="2" t="n"/>
      <c r="C3944" s="40" t="n"/>
      <c r="D3944" s="52">
        <f t="array" ref="D3944:W3944">IF(All_Students_Scores!C3942:V3942="","",All_Students_Scores!C3942:V3942)</f>
        <v/>
      </c>
      <c r="E3944" s="57" t="str"/>
      <c r="F3944" s="49" t="str"/>
      <c r="G3944" s="59" t="str"/>
      <c r="H3944" s="64" t="str"/>
      <c r="I3944" s="65" t="str"/>
      <c r="J3944" s="49" t="str"/>
      <c r="K3944" s="41" t="str"/>
      <c r="L3944" s="41" t="str"/>
      <c r="M3944" s="41" t="str"/>
      <c r="N3944" s="41" t="str"/>
      <c r="O3944" s="41" t="str"/>
      <c r="P3944" s="41" t="str"/>
      <c r="Q3944" s="41" t="str"/>
      <c r="R3944" s="41" t="str"/>
      <c r="S3944" s="41" t="str"/>
      <c r="T3944" s="41" t="str"/>
      <c r="U3944" s="41" t="str"/>
      <c r="V3944" s="41" t="str"/>
      <c r="W3944" s="41" t="str"/>
    </row>
    <row r="3945">
      <c r="B3945" s="2" t="n"/>
      <c r="C3945" s="40" t="n"/>
      <c r="D3945" s="52">
        <f t="array" ref="D3945:W3945">IF(All_Students_Scores!C3943:V3943="","",All_Students_Scores!C3943:V3943)</f>
        <v/>
      </c>
      <c r="E3945" s="57" t="str"/>
      <c r="F3945" s="49" t="str"/>
      <c r="G3945" s="59" t="str"/>
      <c r="H3945" s="64" t="str"/>
      <c r="I3945" s="65" t="str"/>
      <c r="J3945" s="49" t="str"/>
      <c r="K3945" s="41" t="str"/>
      <c r="L3945" s="41" t="str"/>
      <c r="M3945" s="41" t="str"/>
      <c r="N3945" s="41" t="str"/>
      <c r="O3945" s="41" t="str"/>
      <c r="P3945" s="41" t="str"/>
      <c r="Q3945" s="41" t="str"/>
      <c r="R3945" s="41" t="str"/>
      <c r="S3945" s="41" t="str"/>
      <c r="T3945" s="41" t="str"/>
      <c r="U3945" s="41" t="str"/>
      <c r="V3945" s="41" t="str"/>
      <c r="W3945" s="41" t="str"/>
    </row>
    <row r="3946">
      <c r="B3946" s="2" t="n"/>
      <c r="C3946" s="40" t="n"/>
      <c r="D3946" s="52">
        <f t="array" ref="D3946:W3946">IF(All_Students_Scores!C3944:V3944="","",All_Students_Scores!C3944:V3944)</f>
        <v/>
      </c>
      <c r="E3946" s="57" t="str"/>
      <c r="F3946" s="49" t="str"/>
      <c r="G3946" s="59" t="str"/>
      <c r="H3946" s="64" t="str"/>
      <c r="I3946" s="65" t="str"/>
      <c r="J3946" s="49" t="str"/>
      <c r="K3946" s="41" t="str"/>
      <c r="L3946" s="41" t="str"/>
      <c r="M3946" s="41" t="str"/>
      <c r="N3946" s="41" t="str"/>
      <c r="O3946" s="41" t="str"/>
      <c r="P3946" s="41" t="str"/>
      <c r="Q3946" s="41" t="str"/>
      <c r="R3946" s="41" t="str"/>
      <c r="S3946" s="41" t="str"/>
      <c r="T3946" s="41" t="str"/>
      <c r="U3946" s="41" t="str"/>
      <c r="V3946" s="41" t="str"/>
      <c r="W3946" s="41" t="str"/>
    </row>
    <row r="3947">
      <c r="B3947" s="2" t="n"/>
      <c r="C3947" s="40" t="n"/>
      <c r="D3947" s="52">
        <f t="array" ref="D3947:W3947">IF(All_Students_Scores!C3945:V3945="","",All_Students_Scores!C3945:V3945)</f>
        <v/>
      </c>
      <c r="E3947" s="57" t="str"/>
      <c r="F3947" s="49" t="str"/>
      <c r="G3947" s="59" t="str"/>
      <c r="H3947" s="64" t="str"/>
      <c r="I3947" s="65" t="str"/>
      <c r="J3947" s="49" t="str"/>
      <c r="K3947" s="41" t="str"/>
      <c r="L3947" s="41" t="str"/>
      <c r="M3947" s="41" t="str"/>
      <c r="N3947" s="41" t="str"/>
      <c r="O3947" s="41" t="str"/>
      <c r="P3947" s="41" t="str"/>
      <c r="Q3947" s="41" t="str"/>
      <c r="R3947" s="41" t="str"/>
      <c r="S3947" s="41" t="str"/>
      <c r="T3947" s="41" t="str"/>
      <c r="U3947" s="41" t="str"/>
      <c r="V3947" s="41" t="str"/>
      <c r="W3947" s="41" t="str"/>
    </row>
    <row r="3948">
      <c r="B3948" s="2" t="n"/>
      <c r="C3948" s="40" t="n"/>
      <c r="D3948" s="52">
        <f t="array" ref="D3948:W3948">IF(All_Students_Scores!C3946:V3946="","",All_Students_Scores!C3946:V3946)</f>
        <v/>
      </c>
      <c r="E3948" s="57" t="str"/>
      <c r="F3948" s="49" t="str"/>
      <c r="G3948" s="59" t="str"/>
      <c r="H3948" s="64" t="str"/>
      <c r="I3948" s="65" t="str"/>
      <c r="J3948" s="49" t="str"/>
      <c r="K3948" s="41" t="str"/>
      <c r="L3948" s="41" t="str"/>
      <c r="M3948" s="41" t="str"/>
      <c r="N3948" s="41" t="str"/>
      <c r="O3948" s="41" t="str"/>
      <c r="P3948" s="41" t="str"/>
      <c r="Q3948" s="41" t="str"/>
      <c r="R3948" s="41" t="str"/>
      <c r="S3948" s="41" t="str"/>
      <c r="T3948" s="41" t="str"/>
      <c r="U3948" s="41" t="str"/>
      <c r="V3948" s="41" t="str"/>
      <c r="W3948" s="41" t="str"/>
    </row>
    <row r="3949">
      <c r="B3949" s="2" t="n"/>
      <c r="C3949" s="40" t="n"/>
      <c r="D3949" s="52">
        <f t="array" ref="D3949:W3949">IF(All_Students_Scores!C3947:V3947="","",All_Students_Scores!C3947:V3947)</f>
        <v/>
      </c>
      <c r="E3949" s="57" t="str"/>
      <c r="F3949" s="49" t="str"/>
      <c r="G3949" s="59" t="str"/>
      <c r="H3949" s="64" t="str"/>
      <c r="I3949" s="65" t="str"/>
      <c r="J3949" s="49" t="str"/>
      <c r="K3949" s="41" t="str"/>
      <c r="L3949" s="41" t="str"/>
      <c r="M3949" s="41" t="str"/>
      <c r="N3949" s="41" t="str"/>
      <c r="O3949" s="41" t="str"/>
      <c r="P3949" s="41" t="str"/>
      <c r="Q3949" s="41" t="str"/>
      <c r="R3949" s="41" t="str"/>
      <c r="S3949" s="41" t="str"/>
      <c r="T3949" s="41" t="str"/>
      <c r="U3949" s="41" t="str"/>
      <c r="V3949" s="41" t="str"/>
      <c r="W3949" s="41" t="str"/>
    </row>
    <row r="3950">
      <c r="B3950" s="2" t="n"/>
      <c r="C3950" s="40" t="n"/>
      <c r="D3950" s="52">
        <f t="array" ref="D3950:W3950">IF(All_Students_Scores!C3948:V3948="","",All_Students_Scores!C3948:V3948)</f>
        <v/>
      </c>
      <c r="E3950" s="57" t="str"/>
      <c r="F3950" s="49" t="str"/>
      <c r="G3950" s="59" t="str"/>
      <c r="H3950" s="64" t="str"/>
      <c r="I3950" s="65" t="str"/>
      <c r="J3950" s="49" t="str"/>
      <c r="K3950" s="41" t="str"/>
      <c r="L3950" s="41" t="str"/>
      <c r="M3950" s="41" t="str"/>
      <c r="N3950" s="41" t="str"/>
      <c r="O3950" s="41" t="str"/>
      <c r="P3950" s="41" t="str"/>
      <c r="Q3950" s="41" t="str"/>
      <c r="R3950" s="41" t="str"/>
      <c r="S3950" s="41" t="str"/>
      <c r="T3950" s="41" t="str"/>
      <c r="U3950" s="41" t="str"/>
      <c r="V3950" s="41" t="str"/>
      <c r="W3950" s="41" t="str"/>
    </row>
    <row r="3951">
      <c r="B3951" s="2" t="n"/>
      <c r="C3951" s="40" t="n"/>
      <c r="D3951" s="52">
        <f t="array" ref="D3951:W3951">IF(All_Students_Scores!C3949:V3949="","",All_Students_Scores!C3949:V3949)</f>
        <v/>
      </c>
      <c r="E3951" s="57" t="str"/>
      <c r="F3951" s="49" t="str"/>
      <c r="G3951" s="59" t="str"/>
      <c r="H3951" s="64" t="str"/>
      <c r="I3951" s="65" t="str"/>
      <c r="J3951" s="49" t="str"/>
      <c r="K3951" s="41" t="str"/>
      <c r="L3951" s="41" t="str"/>
      <c r="M3951" s="41" t="str"/>
      <c r="N3951" s="41" t="str"/>
      <c r="O3951" s="41" t="str"/>
      <c r="P3951" s="41" t="str"/>
      <c r="Q3951" s="41" t="str"/>
      <c r="R3951" s="41" t="str"/>
      <c r="S3951" s="41" t="str"/>
      <c r="T3951" s="41" t="str"/>
      <c r="U3951" s="41" t="str"/>
      <c r="V3951" s="41" t="str"/>
      <c r="W3951" s="41" t="str"/>
    </row>
    <row r="3952">
      <c r="B3952" s="2" t="n"/>
      <c r="C3952" s="40" t="n"/>
      <c r="D3952" s="52">
        <f t="array" ref="D3952:W3952">IF(All_Students_Scores!C3950:V3950="","",All_Students_Scores!C3950:V3950)</f>
        <v/>
      </c>
      <c r="E3952" s="57" t="str"/>
      <c r="F3952" s="49" t="str"/>
      <c r="G3952" s="59" t="str"/>
      <c r="H3952" s="64" t="str"/>
      <c r="I3952" s="65" t="str"/>
      <c r="J3952" s="49" t="str"/>
      <c r="K3952" s="41" t="str"/>
      <c r="L3952" s="41" t="str"/>
      <c r="M3952" s="41" t="str"/>
      <c r="N3952" s="41" t="str"/>
      <c r="O3952" s="41" t="str"/>
      <c r="P3952" s="41" t="str"/>
      <c r="Q3952" s="41" t="str"/>
      <c r="R3952" s="41" t="str"/>
      <c r="S3952" s="41" t="str"/>
      <c r="T3952" s="41" t="str"/>
      <c r="U3952" s="41" t="str"/>
      <c r="V3952" s="41" t="str"/>
      <c r="W3952" s="41" t="str"/>
    </row>
    <row r="3953">
      <c r="B3953" s="2" t="n"/>
      <c r="C3953" s="40" t="n"/>
      <c r="D3953" s="52">
        <f t="array" ref="D3953:W3953">IF(All_Students_Scores!C3951:V3951="","",All_Students_Scores!C3951:V3951)</f>
        <v/>
      </c>
      <c r="E3953" s="57" t="str"/>
      <c r="F3953" s="49" t="str"/>
      <c r="G3953" s="59" t="str"/>
      <c r="H3953" s="64" t="str"/>
      <c r="I3953" s="65" t="str"/>
      <c r="J3953" s="49" t="str"/>
      <c r="K3953" s="41" t="str"/>
      <c r="L3953" s="41" t="str"/>
      <c r="M3953" s="41" t="str"/>
      <c r="N3953" s="41" t="str"/>
      <c r="O3953" s="41" t="str"/>
      <c r="P3953" s="41" t="str"/>
      <c r="Q3953" s="41" t="str"/>
      <c r="R3953" s="41" t="str"/>
      <c r="S3953" s="41" t="str"/>
      <c r="T3953" s="41" t="str"/>
      <c r="U3953" s="41" t="str"/>
      <c r="V3953" s="41" t="str"/>
      <c r="W3953" s="41" t="str"/>
    </row>
    <row r="3954">
      <c r="B3954" s="2" t="n"/>
      <c r="C3954" s="40" t="n"/>
      <c r="D3954" s="52">
        <f t="array" ref="D3954:W3954">IF(All_Students_Scores!C3952:V3952="","",All_Students_Scores!C3952:V3952)</f>
        <v/>
      </c>
      <c r="E3954" s="57" t="str"/>
      <c r="F3954" s="49" t="str"/>
      <c r="G3954" s="59" t="str"/>
      <c r="H3954" s="64" t="str"/>
      <c r="I3954" s="65" t="str"/>
      <c r="J3954" s="49" t="str"/>
      <c r="K3954" s="41" t="str"/>
      <c r="L3954" s="41" t="str"/>
      <c r="M3954" s="41" t="str"/>
      <c r="N3954" s="41" t="str"/>
      <c r="O3954" s="41" t="str"/>
      <c r="P3954" s="41" t="str"/>
      <c r="Q3954" s="41" t="str"/>
      <c r="R3954" s="41" t="str"/>
      <c r="S3954" s="41" t="str"/>
      <c r="T3954" s="41" t="str"/>
      <c r="U3954" s="41" t="str"/>
      <c r="V3954" s="41" t="str"/>
      <c r="W3954" s="41" t="str"/>
    </row>
    <row r="3955">
      <c r="B3955" s="2" t="n"/>
      <c r="C3955" s="40" t="n"/>
      <c r="D3955" s="52">
        <f t="array" ref="D3955:W3955">IF(All_Students_Scores!C3953:V3953="","",All_Students_Scores!C3953:V3953)</f>
        <v/>
      </c>
      <c r="E3955" s="57" t="str"/>
      <c r="F3955" s="49" t="str"/>
      <c r="G3955" s="59" t="str"/>
      <c r="H3955" s="64" t="str"/>
      <c r="I3955" s="65" t="str"/>
      <c r="J3955" s="49" t="str"/>
      <c r="K3955" s="41" t="str"/>
      <c r="L3955" s="41" t="str"/>
      <c r="M3955" s="41" t="str"/>
      <c r="N3955" s="41" t="str"/>
      <c r="O3955" s="41" t="str"/>
      <c r="P3955" s="41" t="str"/>
      <c r="Q3955" s="41" t="str"/>
      <c r="R3955" s="41" t="str"/>
      <c r="S3955" s="41" t="str"/>
      <c r="T3955" s="41" t="str"/>
      <c r="U3955" s="41" t="str"/>
      <c r="V3955" s="41" t="str"/>
      <c r="W3955" s="41" t="str"/>
    </row>
    <row r="3956">
      <c r="B3956" s="2" t="n"/>
      <c r="C3956" s="40" t="n"/>
      <c r="D3956" s="52">
        <f t="array" ref="D3956:W3956">IF(All_Students_Scores!C3954:V3954="","",All_Students_Scores!C3954:V3954)</f>
        <v/>
      </c>
      <c r="E3956" s="57" t="str"/>
      <c r="F3956" s="49" t="str"/>
      <c r="G3956" s="59" t="str"/>
      <c r="H3956" s="64" t="str"/>
      <c r="I3956" s="65" t="str"/>
      <c r="J3956" s="49" t="str"/>
      <c r="K3956" s="41" t="str"/>
      <c r="L3956" s="41" t="str"/>
      <c r="M3956" s="41" t="str"/>
      <c r="N3956" s="41" t="str"/>
      <c r="O3956" s="41" t="str"/>
      <c r="P3956" s="41" t="str"/>
      <c r="Q3956" s="41" t="str"/>
      <c r="R3956" s="41" t="str"/>
      <c r="S3956" s="41" t="str"/>
      <c r="T3956" s="41" t="str"/>
      <c r="U3956" s="41" t="str"/>
      <c r="V3956" s="41" t="str"/>
      <c r="W3956" s="41" t="str"/>
    </row>
    <row r="3957">
      <c r="B3957" s="2" t="n"/>
      <c r="C3957" s="40" t="n"/>
      <c r="D3957" s="52">
        <f t="array" ref="D3957:W3957">IF(All_Students_Scores!C3955:V3955="","",All_Students_Scores!C3955:V3955)</f>
        <v/>
      </c>
      <c r="E3957" s="57" t="str"/>
      <c r="F3957" s="49" t="str"/>
      <c r="G3957" s="59" t="str"/>
      <c r="H3957" s="64" t="str"/>
      <c r="I3957" s="65" t="str"/>
      <c r="J3957" s="49" t="str"/>
      <c r="K3957" s="41" t="str"/>
      <c r="L3957" s="41" t="str"/>
      <c r="M3957" s="41" t="str"/>
      <c r="N3957" s="41" t="str"/>
      <c r="O3957" s="41" t="str"/>
      <c r="P3957" s="41" t="str"/>
      <c r="Q3957" s="41" t="str"/>
      <c r="R3957" s="41" t="str"/>
      <c r="S3957" s="41" t="str"/>
      <c r="T3957" s="41" t="str"/>
      <c r="U3957" s="41" t="str"/>
      <c r="V3957" s="41" t="str"/>
      <c r="W3957" s="41" t="str"/>
    </row>
    <row r="3958">
      <c r="B3958" s="2" t="n"/>
      <c r="C3958" s="40" t="n"/>
      <c r="D3958" s="52">
        <f t="array" ref="D3958:W3958">IF(All_Students_Scores!C3956:V3956="","",All_Students_Scores!C3956:V3956)</f>
        <v/>
      </c>
      <c r="E3958" s="57" t="str"/>
      <c r="F3958" s="49" t="str"/>
      <c r="G3958" s="59" t="str"/>
      <c r="H3958" s="64" t="str"/>
      <c r="I3958" s="65" t="str"/>
      <c r="J3958" s="49" t="str"/>
      <c r="K3958" s="41" t="str"/>
      <c r="L3958" s="41" t="str"/>
      <c r="M3958" s="41" t="str"/>
      <c r="N3958" s="41" t="str"/>
      <c r="O3958" s="41" t="str"/>
      <c r="P3958" s="41" t="str"/>
      <c r="Q3958" s="41" t="str"/>
      <c r="R3958" s="41" t="str"/>
      <c r="S3958" s="41" t="str"/>
      <c r="T3958" s="41" t="str"/>
      <c r="U3958" s="41" t="str"/>
      <c r="V3958" s="41" t="str"/>
      <c r="W3958" s="41" t="str"/>
    </row>
    <row r="3959">
      <c r="B3959" s="2" t="n"/>
      <c r="C3959" s="40" t="n"/>
      <c r="D3959" s="52">
        <f t="array" ref="D3959:W3959">IF(All_Students_Scores!C3957:V3957="","",All_Students_Scores!C3957:V3957)</f>
        <v/>
      </c>
      <c r="E3959" s="57" t="str"/>
      <c r="F3959" s="49" t="str"/>
      <c r="G3959" s="59" t="str"/>
      <c r="H3959" s="64" t="str"/>
      <c r="I3959" s="65" t="str"/>
      <c r="J3959" s="49" t="str"/>
      <c r="K3959" s="41" t="str"/>
      <c r="L3959" s="41" t="str"/>
      <c r="M3959" s="41" t="str"/>
      <c r="N3959" s="41" t="str"/>
      <c r="O3959" s="41" t="str"/>
      <c r="P3959" s="41" t="str"/>
      <c r="Q3959" s="41" t="str"/>
      <c r="R3959" s="41" t="str"/>
      <c r="S3959" s="41" t="str"/>
      <c r="T3959" s="41" t="str"/>
      <c r="U3959" s="41" t="str"/>
      <c r="V3959" s="41" t="str"/>
      <c r="W3959" s="41" t="str"/>
    </row>
    <row r="3960">
      <c r="B3960" s="2" t="n"/>
      <c r="C3960" s="40" t="n"/>
      <c r="D3960" s="52">
        <f t="array" ref="D3960:W3960">IF(All_Students_Scores!C3958:V3958="","",All_Students_Scores!C3958:V3958)</f>
        <v/>
      </c>
      <c r="E3960" s="57" t="str"/>
      <c r="F3960" s="49" t="str"/>
      <c r="G3960" s="59" t="str"/>
      <c r="H3960" s="64" t="str"/>
      <c r="I3960" s="65" t="str"/>
      <c r="J3960" s="49" t="str"/>
      <c r="K3960" s="41" t="str"/>
      <c r="L3960" s="41" t="str"/>
      <c r="M3960" s="41" t="str"/>
      <c r="N3960" s="41" t="str"/>
      <c r="O3960" s="41" t="str"/>
      <c r="P3960" s="41" t="str"/>
      <c r="Q3960" s="41" t="str"/>
      <c r="R3960" s="41" t="str"/>
      <c r="S3960" s="41" t="str"/>
      <c r="T3960" s="41" t="str"/>
      <c r="U3960" s="41" t="str"/>
      <c r="V3960" s="41" t="str"/>
      <c r="W3960" s="41" t="str"/>
    </row>
    <row r="3961">
      <c r="B3961" s="2" t="n"/>
      <c r="C3961" s="40" t="n"/>
      <c r="D3961" s="52">
        <f t="array" ref="D3961:W3961">IF(All_Students_Scores!C3959:V3959="","",All_Students_Scores!C3959:V3959)</f>
        <v/>
      </c>
      <c r="E3961" s="57" t="str"/>
      <c r="F3961" s="49" t="str"/>
      <c r="G3961" s="59" t="str"/>
      <c r="H3961" s="64" t="str"/>
      <c r="I3961" s="65" t="str"/>
      <c r="J3961" s="49" t="str"/>
      <c r="K3961" s="41" t="str"/>
      <c r="L3961" s="41" t="str"/>
      <c r="M3961" s="41" t="str"/>
      <c r="N3961" s="41" t="str"/>
      <c r="O3961" s="41" t="str"/>
      <c r="P3961" s="41" t="str"/>
      <c r="Q3961" s="41" t="str"/>
      <c r="R3961" s="41" t="str"/>
      <c r="S3961" s="41" t="str"/>
      <c r="T3961" s="41" t="str"/>
      <c r="U3961" s="41" t="str"/>
      <c r="V3961" s="41" t="str"/>
      <c r="W3961" s="41" t="str"/>
    </row>
    <row r="3962">
      <c r="B3962" s="2" t="n"/>
      <c r="C3962" s="40" t="n"/>
      <c r="D3962" s="52">
        <f t="array" ref="D3962:W3962">IF(All_Students_Scores!C3960:V3960="","",All_Students_Scores!C3960:V3960)</f>
        <v/>
      </c>
      <c r="E3962" s="57" t="str"/>
      <c r="F3962" s="49" t="str"/>
      <c r="G3962" s="59" t="str"/>
      <c r="H3962" s="64" t="str"/>
      <c r="I3962" s="65" t="str"/>
      <c r="J3962" s="49" t="str"/>
      <c r="K3962" s="41" t="str"/>
      <c r="L3962" s="41" t="str"/>
      <c r="M3962" s="41" t="str"/>
      <c r="N3962" s="41" t="str"/>
      <c r="O3962" s="41" t="str"/>
      <c r="P3962" s="41" t="str"/>
      <c r="Q3962" s="41" t="str"/>
      <c r="R3962" s="41" t="str"/>
      <c r="S3962" s="41" t="str"/>
      <c r="T3962" s="41" t="str"/>
      <c r="U3962" s="41" t="str"/>
      <c r="V3962" s="41" t="str"/>
      <c r="W3962" s="41" t="str"/>
    </row>
    <row r="3963">
      <c r="B3963" s="2" t="n"/>
      <c r="C3963" s="40" t="n"/>
      <c r="D3963" s="52">
        <f t="array" ref="D3963:W3963">IF(All_Students_Scores!C3961:V3961="","",All_Students_Scores!C3961:V3961)</f>
        <v/>
      </c>
      <c r="E3963" s="57" t="str"/>
      <c r="F3963" s="49" t="str"/>
      <c r="G3963" s="59" t="str"/>
      <c r="H3963" s="64" t="str"/>
      <c r="I3963" s="65" t="str"/>
      <c r="J3963" s="49" t="str"/>
      <c r="K3963" s="41" t="str"/>
      <c r="L3963" s="41" t="str"/>
      <c r="M3963" s="41" t="str"/>
      <c r="N3963" s="41" t="str"/>
      <c r="O3963" s="41" t="str"/>
      <c r="P3963" s="41" t="str"/>
      <c r="Q3963" s="41" t="str"/>
      <c r="R3963" s="41" t="str"/>
      <c r="S3963" s="41" t="str"/>
      <c r="T3963" s="41" t="str"/>
      <c r="U3963" s="41" t="str"/>
      <c r="V3963" s="41" t="str"/>
      <c r="W3963" s="41" t="str"/>
    </row>
    <row r="3964">
      <c r="B3964" s="2" t="n"/>
      <c r="C3964" s="40" t="n"/>
      <c r="D3964" s="52">
        <f t="array" ref="D3964:W3964">IF(All_Students_Scores!C3962:V3962="","",All_Students_Scores!C3962:V3962)</f>
        <v/>
      </c>
      <c r="E3964" s="57" t="str"/>
      <c r="F3964" s="49" t="str"/>
      <c r="G3964" s="59" t="str"/>
      <c r="H3964" s="64" t="str"/>
      <c r="I3964" s="65" t="str"/>
      <c r="J3964" s="49" t="str"/>
      <c r="K3964" s="41" t="str"/>
      <c r="L3964" s="41" t="str"/>
      <c r="M3964" s="41" t="str"/>
      <c r="N3964" s="41" t="str"/>
      <c r="O3964" s="41" t="str"/>
      <c r="P3964" s="41" t="str"/>
      <c r="Q3964" s="41" t="str"/>
      <c r="R3964" s="41" t="str"/>
      <c r="S3964" s="41" t="str"/>
      <c r="T3964" s="41" t="str"/>
      <c r="U3964" s="41" t="str"/>
      <c r="V3964" s="41" t="str"/>
      <c r="W3964" s="41" t="str"/>
    </row>
    <row r="3965">
      <c r="B3965" s="2" t="n"/>
      <c r="C3965" s="40" t="n"/>
      <c r="D3965" s="52">
        <f t="array" ref="D3965:W3965">IF(All_Students_Scores!C3963:V3963="","",All_Students_Scores!C3963:V3963)</f>
        <v/>
      </c>
      <c r="E3965" s="57" t="str"/>
      <c r="F3965" s="49" t="str"/>
      <c r="G3965" s="59" t="str"/>
      <c r="H3965" s="64" t="str"/>
      <c r="I3965" s="65" t="str"/>
      <c r="J3965" s="49" t="str"/>
      <c r="K3965" s="41" t="str"/>
      <c r="L3965" s="41" t="str"/>
      <c r="M3965" s="41" t="str"/>
      <c r="N3965" s="41" t="str"/>
      <c r="O3965" s="41" t="str"/>
      <c r="P3965" s="41" t="str"/>
      <c r="Q3965" s="41" t="str"/>
      <c r="R3965" s="41" t="str"/>
      <c r="S3965" s="41" t="str"/>
      <c r="T3965" s="41" t="str"/>
      <c r="U3965" s="41" t="str"/>
      <c r="V3965" s="41" t="str"/>
      <c r="W3965" s="41" t="str"/>
    </row>
    <row r="3966">
      <c r="B3966" s="2" t="n"/>
      <c r="C3966" s="40" t="n"/>
      <c r="D3966" s="52">
        <f t="array" ref="D3966:W3966">IF(All_Students_Scores!C3964:V3964="","",All_Students_Scores!C3964:V3964)</f>
        <v/>
      </c>
      <c r="E3966" s="57" t="str"/>
      <c r="F3966" s="49" t="str"/>
      <c r="G3966" s="59" t="str"/>
      <c r="H3966" s="64" t="str"/>
      <c r="I3966" s="65" t="str"/>
      <c r="J3966" s="49" t="str"/>
      <c r="K3966" s="41" t="str"/>
      <c r="L3966" s="41" t="str"/>
      <c r="M3966" s="41" t="str"/>
      <c r="N3966" s="41" t="str"/>
      <c r="O3966" s="41" t="str"/>
      <c r="P3966" s="41" t="str"/>
      <c r="Q3966" s="41" t="str"/>
      <c r="R3966" s="41" t="str"/>
      <c r="S3966" s="41" t="str"/>
      <c r="T3966" s="41" t="str"/>
      <c r="U3966" s="41" t="str"/>
      <c r="V3966" s="41" t="str"/>
      <c r="W3966" s="41" t="str"/>
    </row>
    <row r="3967">
      <c r="B3967" s="2" t="n"/>
      <c r="C3967" s="40" t="n"/>
      <c r="D3967" s="52">
        <f t="array" ref="D3967:W3967">IF(All_Students_Scores!C3965:V3965="","",All_Students_Scores!C3965:V3965)</f>
        <v/>
      </c>
      <c r="E3967" s="57" t="str"/>
      <c r="F3967" s="49" t="str"/>
      <c r="G3967" s="59" t="str"/>
      <c r="H3967" s="64" t="str"/>
      <c r="I3967" s="65" t="str"/>
      <c r="J3967" s="49" t="str"/>
      <c r="K3967" s="41" t="str"/>
      <c r="L3967" s="41" t="str"/>
      <c r="M3967" s="41" t="str"/>
      <c r="N3967" s="41" t="str"/>
      <c r="O3967" s="41" t="str"/>
      <c r="P3967" s="41" t="str"/>
      <c r="Q3967" s="41" t="str"/>
      <c r="R3967" s="41" t="str"/>
      <c r="S3967" s="41" t="str"/>
      <c r="T3967" s="41" t="str"/>
      <c r="U3967" s="41" t="str"/>
      <c r="V3967" s="41" t="str"/>
      <c r="W3967" s="41" t="str"/>
    </row>
    <row r="3968">
      <c r="B3968" s="2" t="n"/>
      <c r="C3968" s="40" t="n"/>
      <c r="D3968" s="52">
        <f t="array" ref="D3968:W3968">IF(All_Students_Scores!C3966:V3966="","",All_Students_Scores!C3966:V3966)</f>
        <v/>
      </c>
      <c r="E3968" s="57" t="str"/>
      <c r="F3968" s="49" t="str"/>
      <c r="G3968" s="59" t="str"/>
      <c r="H3968" s="64" t="str"/>
      <c r="I3968" s="65" t="str"/>
      <c r="J3968" s="49" t="str"/>
      <c r="K3968" s="41" t="str"/>
      <c r="L3968" s="41" t="str"/>
      <c r="M3968" s="41" t="str"/>
      <c r="N3968" s="41" t="str"/>
      <c r="O3968" s="41" t="str"/>
      <c r="P3968" s="41" t="str"/>
      <c r="Q3968" s="41" t="str"/>
      <c r="R3968" s="41" t="str"/>
      <c r="S3968" s="41" t="str"/>
      <c r="T3968" s="41" t="str"/>
      <c r="U3968" s="41" t="str"/>
      <c r="V3968" s="41" t="str"/>
      <c r="W3968" s="41" t="str"/>
    </row>
    <row r="3969">
      <c r="B3969" s="2" t="n"/>
      <c r="C3969" s="40" t="n"/>
      <c r="D3969" s="52">
        <f t="array" ref="D3969:W3969">IF(All_Students_Scores!C3967:V3967="","",All_Students_Scores!C3967:V3967)</f>
        <v/>
      </c>
      <c r="E3969" s="57" t="str"/>
      <c r="F3969" s="49" t="str"/>
      <c r="G3969" s="59" t="str"/>
      <c r="H3969" s="64" t="str"/>
      <c r="I3969" s="65" t="str"/>
      <c r="J3969" s="49" t="str"/>
      <c r="K3969" s="41" t="str"/>
      <c r="L3969" s="41" t="str"/>
      <c r="M3969" s="41" t="str"/>
      <c r="N3969" s="41" t="str"/>
      <c r="O3969" s="41" t="str"/>
      <c r="P3969" s="41" t="str"/>
      <c r="Q3969" s="41" t="str"/>
      <c r="R3969" s="41" t="str"/>
      <c r="S3969" s="41" t="str"/>
      <c r="T3969" s="41" t="str"/>
      <c r="U3969" s="41" t="str"/>
      <c r="V3969" s="41" t="str"/>
      <c r="W3969" s="41" t="str"/>
    </row>
    <row r="3970">
      <c r="B3970" s="2" t="n"/>
      <c r="C3970" s="40" t="n"/>
      <c r="D3970" s="52">
        <f t="array" ref="D3970:W3970">IF(All_Students_Scores!C3968:V3968="","",All_Students_Scores!C3968:V3968)</f>
        <v/>
      </c>
      <c r="E3970" s="57" t="str"/>
      <c r="F3970" s="49" t="str"/>
      <c r="G3970" s="59" t="str"/>
      <c r="H3970" s="64" t="str"/>
      <c r="I3970" s="65" t="str"/>
      <c r="J3970" s="49" t="str"/>
      <c r="K3970" s="41" t="str"/>
      <c r="L3970" s="41" t="str"/>
      <c r="M3970" s="41" t="str"/>
      <c r="N3970" s="41" t="str"/>
      <c r="O3970" s="41" t="str"/>
      <c r="P3970" s="41" t="str"/>
      <c r="Q3970" s="41" t="str"/>
      <c r="R3970" s="41" t="str"/>
      <c r="S3970" s="41" t="str"/>
      <c r="T3970" s="41" t="str"/>
      <c r="U3970" s="41" t="str"/>
      <c r="V3970" s="41" t="str"/>
      <c r="W3970" s="41" t="str"/>
    </row>
    <row r="3971">
      <c r="B3971" s="2" t="n"/>
      <c r="C3971" s="40" t="n"/>
      <c r="D3971" s="52">
        <f t="array" ref="D3971:W3971">IF(All_Students_Scores!C3969:V3969="","",All_Students_Scores!C3969:V3969)</f>
        <v/>
      </c>
      <c r="E3971" s="57" t="str"/>
      <c r="F3971" s="49" t="str"/>
      <c r="G3971" s="59" t="str"/>
      <c r="H3971" s="64" t="str"/>
      <c r="I3971" s="65" t="str"/>
      <c r="J3971" s="49" t="str"/>
      <c r="K3971" s="41" t="str"/>
      <c r="L3971" s="41" t="str"/>
      <c r="M3971" s="41" t="str"/>
      <c r="N3971" s="41" t="str"/>
      <c r="O3971" s="41" t="str"/>
      <c r="P3971" s="41" t="str"/>
      <c r="Q3971" s="41" t="str"/>
      <c r="R3971" s="41" t="str"/>
      <c r="S3971" s="41" t="str"/>
      <c r="T3971" s="41" t="str"/>
      <c r="U3971" s="41" t="str"/>
      <c r="V3971" s="41" t="str"/>
      <c r="W3971" s="41" t="str"/>
    </row>
    <row r="3972">
      <c r="B3972" s="2" t="n"/>
      <c r="C3972" s="40" t="n"/>
      <c r="D3972" s="52">
        <f t="array" ref="D3972:W3972">IF(All_Students_Scores!C3970:V3970="","",All_Students_Scores!C3970:V3970)</f>
        <v/>
      </c>
      <c r="E3972" s="57" t="str"/>
      <c r="F3972" s="49" t="str"/>
      <c r="G3972" s="59" t="str"/>
      <c r="H3972" s="64" t="str"/>
      <c r="I3972" s="65" t="str"/>
      <c r="J3972" s="49" t="str"/>
      <c r="K3972" s="41" t="str"/>
      <c r="L3972" s="41" t="str"/>
      <c r="M3972" s="41" t="str"/>
      <c r="N3972" s="41" t="str"/>
      <c r="O3972" s="41" t="str"/>
      <c r="P3972" s="41" t="str"/>
      <c r="Q3972" s="41" t="str"/>
      <c r="R3972" s="41" t="str"/>
      <c r="S3972" s="41" t="str"/>
      <c r="T3972" s="41" t="str"/>
      <c r="U3972" s="41" t="str"/>
      <c r="V3972" s="41" t="str"/>
      <c r="W3972" s="41" t="str"/>
    </row>
    <row r="3973">
      <c r="B3973" s="2" t="n"/>
      <c r="C3973" s="40" t="n"/>
      <c r="D3973" s="52">
        <f t="array" ref="D3973:W3973">IF(All_Students_Scores!C3971:V3971="","",All_Students_Scores!C3971:V3971)</f>
        <v/>
      </c>
      <c r="E3973" s="57" t="str"/>
      <c r="F3973" s="49" t="str"/>
      <c r="G3973" s="59" t="str"/>
      <c r="H3973" s="64" t="str"/>
      <c r="I3973" s="65" t="str"/>
      <c r="J3973" s="49" t="str"/>
      <c r="K3973" s="41" t="str"/>
      <c r="L3973" s="41" t="str"/>
      <c r="M3973" s="41" t="str"/>
      <c r="N3973" s="41" t="str"/>
      <c r="O3973" s="41" t="str"/>
      <c r="P3973" s="41" t="str"/>
      <c r="Q3973" s="41" t="str"/>
      <c r="R3973" s="41" t="str"/>
      <c r="S3973" s="41" t="str"/>
      <c r="T3973" s="41" t="str"/>
      <c r="U3973" s="41" t="str"/>
      <c r="V3973" s="41" t="str"/>
      <c r="W3973" s="41" t="str"/>
    </row>
    <row r="3974">
      <c r="B3974" s="2" t="n"/>
      <c r="C3974" s="40" t="n"/>
      <c r="D3974" s="52">
        <f t="array" ref="D3974:W3974">IF(All_Students_Scores!C3972:V3972="","",All_Students_Scores!C3972:V3972)</f>
        <v/>
      </c>
      <c r="E3974" s="57" t="str"/>
      <c r="F3974" s="49" t="str"/>
      <c r="G3974" s="59" t="str"/>
      <c r="H3974" s="64" t="str"/>
      <c r="I3974" s="65" t="str"/>
      <c r="J3974" s="49" t="str"/>
      <c r="K3974" s="41" t="str"/>
      <c r="L3974" s="41" t="str"/>
      <c r="M3974" s="41" t="str"/>
      <c r="N3974" s="41" t="str"/>
      <c r="O3974" s="41" t="str"/>
      <c r="P3974" s="41" t="str"/>
      <c r="Q3974" s="41" t="str"/>
      <c r="R3974" s="41" t="str"/>
      <c r="S3974" s="41" t="str"/>
      <c r="T3974" s="41" t="str"/>
      <c r="U3974" s="41" t="str"/>
      <c r="V3974" s="41" t="str"/>
      <c r="W3974" s="41" t="str"/>
    </row>
    <row r="3975">
      <c r="B3975" s="2" t="n"/>
      <c r="C3975" s="40" t="n"/>
      <c r="D3975" s="52">
        <f t="array" ref="D3975:W3975">IF(All_Students_Scores!C3973:V3973="","",All_Students_Scores!C3973:V3973)</f>
        <v/>
      </c>
      <c r="E3975" s="57" t="str"/>
      <c r="F3975" s="49" t="str"/>
      <c r="G3975" s="59" t="str"/>
      <c r="H3975" s="64" t="str"/>
      <c r="I3975" s="65" t="str"/>
      <c r="J3975" s="49" t="str"/>
      <c r="K3975" s="41" t="str"/>
      <c r="L3975" s="41" t="str"/>
      <c r="M3975" s="41" t="str"/>
      <c r="N3975" s="41" t="str"/>
      <c r="O3975" s="41" t="str"/>
      <c r="P3975" s="41" t="str"/>
      <c r="Q3975" s="41" t="str"/>
      <c r="R3975" s="41" t="str"/>
      <c r="S3975" s="41" t="str"/>
      <c r="T3975" s="41" t="str"/>
      <c r="U3975" s="41" t="str"/>
      <c r="V3975" s="41" t="str"/>
      <c r="W3975" s="41" t="str"/>
    </row>
    <row r="3976">
      <c r="B3976" s="2" t="n"/>
      <c r="C3976" s="40" t="n"/>
      <c r="D3976" s="52">
        <f t="array" ref="D3976:W3976">IF(All_Students_Scores!C3974:V3974="","",All_Students_Scores!C3974:V3974)</f>
        <v/>
      </c>
      <c r="E3976" s="57" t="str"/>
      <c r="F3976" s="49" t="str"/>
      <c r="G3976" s="59" t="str"/>
      <c r="H3976" s="64" t="str"/>
      <c r="I3976" s="65" t="str"/>
      <c r="J3976" s="49" t="str"/>
      <c r="K3976" s="41" t="str"/>
      <c r="L3976" s="41" t="str"/>
      <c r="M3976" s="41" t="str"/>
      <c r="N3976" s="41" t="str"/>
      <c r="O3976" s="41" t="str"/>
      <c r="P3976" s="41" t="str"/>
      <c r="Q3976" s="41" t="str"/>
      <c r="R3976" s="41" t="str"/>
      <c r="S3976" s="41" t="str"/>
      <c r="T3976" s="41" t="str"/>
      <c r="U3976" s="41" t="str"/>
      <c r="V3976" s="41" t="str"/>
      <c r="W3976" s="41" t="str"/>
    </row>
    <row r="3977">
      <c r="B3977" s="2" t="n"/>
      <c r="C3977" s="40" t="n"/>
      <c r="D3977" s="52">
        <f t="array" ref="D3977:W3977">IF(All_Students_Scores!C3975:V3975="","",All_Students_Scores!C3975:V3975)</f>
        <v/>
      </c>
      <c r="E3977" s="57" t="str"/>
      <c r="F3977" s="49" t="str"/>
      <c r="G3977" s="59" t="str"/>
      <c r="H3977" s="64" t="str"/>
      <c r="I3977" s="65" t="str"/>
      <c r="J3977" s="49" t="str"/>
      <c r="K3977" s="41" t="str"/>
      <c r="L3977" s="41" t="str"/>
      <c r="M3977" s="41" t="str"/>
      <c r="N3977" s="41" t="str"/>
      <c r="O3977" s="41" t="str"/>
      <c r="P3977" s="41" t="str"/>
      <c r="Q3977" s="41" t="str"/>
      <c r="R3977" s="41" t="str"/>
      <c r="S3977" s="41" t="str"/>
      <c r="T3977" s="41" t="str"/>
      <c r="U3977" s="41" t="str"/>
      <c r="V3977" s="41" t="str"/>
      <c r="W3977" s="41" t="str"/>
    </row>
    <row r="3978">
      <c r="B3978" s="2" t="n"/>
      <c r="C3978" s="40" t="n"/>
      <c r="D3978" s="52">
        <f t="array" ref="D3978:W3978">IF(All_Students_Scores!C3976:V3976="","",All_Students_Scores!C3976:V3976)</f>
        <v/>
      </c>
      <c r="E3978" s="57" t="str"/>
      <c r="F3978" s="49" t="str"/>
      <c r="G3978" s="59" t="str"/>
      <c r="H3978" s="64" t="str"/>
      <c r="I3978" s="65" t="str"/>
      <c r="J3978" s="49" t="str"/>
      <c r="K3978" s="41" t="str"/>
      <c r="L3978" s="41" t="str"/>
      <c r="M3978" s="41" t="str"/>
      <c r="N3978" s="41" t="str"/>
      <c r="O3978" s="41" t="str"/>
      <c r="P3978" s="41" t="str"/>
      <c r="Q3978" s="41" t="str"/>
      <c r="R3978" s="41" t="str"/>
      <c r="S3978" s="41" t="str"/>
      <c r="T3978" s="41" t="str"/>
      <c r="U3978" s="41" t="str"/>
      <c r="V3978" s="41" t="str"/>
      <c r="W3978" s="41" t="str"/>
    </row>
    <row r="3979">
      <c r="B3979" s="2" t="n"/>
      <c r="C3979" s="40" t="n"/>
      <c r="D3979" s="52">
        <f t="array" ref="D3979:W3979">IF(All_Students_Scores!C3977:V3977="","",All_Students_Scores!C3977:V3977)</f>
        <v/>
      </c>
      <c r="E3979" s="57" t="str"/>
      <c r="F3979" s="49" t="str"/>
      <c r="G3979" s="59" t="str"/>
      <c r="H3979" s="64" t="str"/>
      <c r="I3979" s="65" t="str"/>
      <c r="J3979" s="49" t="str"/>
      <c r="K3979" s="41" t="str"/>
      <c r="L3979" s="41" t="str"/>
      <c r="M3979" s="41" t="str"/>
      <c r="N3979" s="41" t="str"/>
      <c r="O3979" s="41" t="str"/>
      <c r="P3979" s="41" t="str"/>
      <c r="Q3979" s="41" t="str"/>
      <c r="R3979" s="41" t="str"/>
      <c r="S3979" s="41" t="str"/>
      <c r="T3979" s="41" t="str"/>
      <c r="U3979" s="41" t="str"/>
      <c r="V3979" s="41" t="str"/>
      <c r="W3979" s="41" t="str"/>
    </row>
    <row r="3980">
      <c r="B3980" s="2" t="n"/>
      <c r="C3980" s="40" t="n"/>
      <c r="D3980" s="52">
        <f t="array" ref="D3980:W3980">IF(All_Students_Scores!C3978:V3978="","",All_Students_Scores!C3978:V3978)</f>
        <v/>
      </c>
      <c r="E3980" s="57" t="str"/>
      <c r="F3980" s="49" t="str"/>
      <c r="G3980" s="59" t="str"/>
      <c r="H3980" s="64" t="str"/>
      <c r="I3980" s="65" t="str"/>
      <c r="J3980" s="49" t="str"/>
      <c r="K3980" s="41" t="str"/>
      <c r="L3980" s="41" t="str"/>
      <c r="M3980" s="41" t="str"/>
      <c r="N3980" s="41" t="str"/>
      <c r="O3980" s="41" t="str"/>
      <c r="P3980" s="41" t="str"/>
      <c r="Q3980" s="41" t="str"/>
      <c r="R3980" s="41" t="str"/>
      <c r="S3980" s="41" t="str"/>
      <c r="T3980" s="41" t="str"/>
      <c r="U3980" s="41" t="str"/>
      <c r="V3980" s="41" t="str"/>
      <c r="W3980" s="41" t="str"/>
    </row>
    <row r="3981">
      <c r="B3981" s="2" t="n"/>
      <c r="C3981" s="40" t="n"/>
      <c r="D3981" s="52">
        <f t="array" ref="D3981:W3981">IF(All_Students_Scores!C3979:V3979="","",All_Students_Scores!C3979:V3979)</f>
        <v/>
      </c>
      <c r="E3981" s="57" t="str"/>
      <c r="F3981" s="49" t="str"/>
      <c r="G3981" s="59" t="str"/>
      <c r="H3981" s="64" t="str"/>
      <c r="I3981" s="65" t="str"/>
      <c r="J3981" s="49" t="str"/>
      <c r="K3981" s="41" t="str"/>
      <c r="L3981" s="41" t="str"/>
      <c r="M3981" s="41" t="str"/>
      <c r="N3981" s="41" t="str"/>
      <c r="O3981" s="41" t="str"/>
      <c r="P3981" s="41" t="str"/>
      <c r="Q3981" s="41" t="str"/>
      <c r="R3981" s="41" t="str"/>
      <c r="S3981" s="41" t="str"/>
      <c r="T3981" s="41" t="str"/>
      <c r="U3981" s="41" t="str"/>
      <c r="V3981" s="41" t="str"/>
      <c r="W3981" s="41" t="str"/>
    </row>
    <row r="3982">
      <c r="B3982" s="2" t="n"/>
      <c r="C3982" s="40" t="n"/>
      <c r="D3982" s="52">
        <f t="array" ref="D3982:W3982">IF(All_Students_Scores!C3980:V3980="","",All_Students_Scores!C3980:V3980)</f>
        <v/>
      </c>
      <c r="E3982" s="57" t="str"/>
      <c r="F3982" s="49" t="str"/>
      <c r="G3982" s="59" t="str"/>
      <c r="H3982" s="64" t="str"/>
      <c r="I3982" s="65" t="str"/>
      <c r="J3982" s="49" t="str"/>
      <c r="K3982" s="41" t="str"/>
      <c r="L3982" s="41" t="str"/>
      <c r="M3982" s="41" t="str"/>
      <c r="N3982" s="41" t="str"/>
      <c r="O3982" s="41" t="str"/>
      <c r="P3982" s="41" t="str"/>
      <c r="Q3982" s="41" t="str"/>
      <c r="R3982" s="41" t="str"/>
      <c r="S3982" s="41" t="str"/>
      <c r="T3982" s="41" t="str"/>
      <c r="U3982" s="41" t="str"/>
      <c r="V3982" s="41" t="str"/>
      <c r="W3982" s="41" t="str"/>
    </row>
    <row r="3983">
      <c r="B3983" s="2" t="n"/>
      <c r="C3983" s="40" t="n"/>
      <c r="D3983" s="52">
        <f t="array" ref="D3983:W3983">IF(All_Students_Scores!C3981:V3981="","",All_Students_Scores!C3981:V3981)</f>
        <v/>
      </c>
      <c r="E3983" s="57" t="str"/>
      <c r="F3983" s="49" t="str"/>
      <c r="G3983" s="59" t="str"/>
      <c r="H3983" s="64" t="str"/>
      <c r="I3983" s="65" t="str"/>
      <c r="J3983" s="49" t="str"/>
      <c r="K3983" s="41" t="str"/>
      <c r="L3983" s="41" t="str"/>
      <c r="M3983" s="41" t="str"/>
      <c r="N3983" s="41" t="str"/>
      <c r="O3983" s="41" t="str"/>
      <c r="P3983" s="41" t="str"/>
      <c r="Q3983" s="41" t="str"/>
      <c r="R3983" s="41" t="str"/>
      <c r="S3983" s="41" t="str"/>
      <c r="T3983" s="41" t="str"/>
      <c r="U3983" s="41" t="str"/>
      <c r="V3983" s="41" t="str"/>
      <c r="W3983" s="41" t="str"/>
    </row>
    <row r="3984">
      <c r="B3984" s="2" t="n"/>
      <c r="C3984" s="40" t="n"/>
      <c r="D3984" s="52">
        <f t="array" ref="D3984:W3984">IF(All_Students_Scores!C3982:V3982="","",All_Students_Scores!C3982:V3982)</f>
        <v/>
      </c>
      <c r="E3984" s="57" t="str"/>
      <c r="F3984" s="49" t="str"/>
      <c r="G3984" s="59" t="str"/>
      <c r="H3984" s="64" t="str"/>
      <c r="I3984" s="65" t="str"/>
      <c r="J3984" s="49" t="str"/>
      <c r="K3984" s="41" t="str"/>
      <c r="L3984" s="41" t="str"/>
      <c r="M3984" s="41" t="str"/>
      <c r="N3984" s="41" t="str"/>
      <c r="O3984" s="41" t="str"/>
      <c r="P3984" s="41" t="str"/>
      <c r="Q3984" s="41" t="str"/>
      <c r="R3984" s="41" t="str"/>
      <c r="S3984" s="41" t="str"/>
      <c r="T3984" s="41" t="str"/>
      <c r="U3984" s="41" t="str"/>
      <c r="V3984" s="41" t="str"/>
      <c r="W3984" s="41" t="str"/>
    </row>
    <row r="3985">
      <c r="B3985" s="2" t="n"/>
      <c r="C3985" s="40" t="n"/>
      <c r="D3985" s="52">
        <f t="array" ref="D3985:W3985">IF(All_Students_Scores!C3983:V3983="","",All_Students_Scores!C3983:V3983)</f>
        <v/>
      </c>
      <c r="E3985" s="57" t="str"/>
      <c r="F3985" s="49" t="str"/>
      <c r="G3985" s="59" t="str"/>
      <c r="H3985" s="64" t="str"/>
      <c r="I3985" s="65" t="str"/>
      <c r="J3985" s="49" t="str"/>
      <c r="K3985" s="41" t="str"/>
      <c r="L3985" s="41" t="str"/>
      <c r="M3985" s="41" t="str"/>
      <c r="N3985" s="41" t="str"/>
      <c r="O3985" s="41" t="str"/>
      <c r="P3985" s="41" t="str"/>
      <c r="Q3985" s="41" t="str"/>
      <c r="R3985" s="41" t="str"/>
      <c r="S3985" s="41" t="str"/>
      <c r="T3985" s="41" t="str"/>
      <c r="U3985" s="41" t="str"/>
      <c r="V3985" s="41" t="str"/>
      <c r="W3985" s="41" t="str"/>
    </row>
    <row r="3986">
      <c r="B3986" s="2" t="n"/>
      <c r="C3986" s="40" t="n"/>
      <c r="D3986" s="52">
        <f t="array" ref="D3986:W3986">IF(All_Students_Scores!C3984:V3984="","",All_Students_Scores!C3984:V3984)</f>
        <v/>
      </c>
      <c r="E3986" s="57" t="str"/>
      <c r="F3986" s="49" t="str"/>
      <c r="G3986" s="59" t="str"/>
      <c r="H3986" s="64" t="str"/>
      <c r="I3986" s="65" t="str"/>
      <c r="J3986" s="49" t="str"/>
      <c r="K3986" s="41" t="str"/>
      <c r="L3986" s="41" t="str"/>
      <c r="M3986" s="41" t="str"/>
      <c r="N3986" s="41" t="str"/>
      <c r="O3986" s="41" t="str"/>
      <c r="P3986" s="41" t="str"/>
      <c r="Q3986" s="41" t="str"/>
      <c r="R3986" s="41" t="str"/>
      <c r="S3986" s="41" t="str"/>
      <c r="T3986" s="41" t="str"/>
      <c r="U3986" s="41" t="str"/>
      <c r="V3986" s="41" t="str"/>
      <c r="W3986" s="41" t="str"/>
    </row>
    <row r="3987">
      <c r="B3987" s="2" t="n"/>
      <c r="C3987" s="40" t="n"/>
      <c r="D3987" s="52">
        <f t="array" ref="D3987:W3987">IF(All_Students_Scores!C3985:V3985="","",All_Students_Scores!C3985:V3985)</f>
        <v/>
      </c>
      <c r="E3987" s="57" t="str"/>
      <c r="F3987" s="49" t="str"/>
      <c r="G3987" s="59" t="str"/>
      <c r="H3987" s="64" t="str"/>
      <c r="I3987" s="65" t="str"/>
      <c r="J3987" s="49" t="str"/>
      <c r="K3987" s="41" t="str"/>
      <c r="L3987" s="41" t="str"/>
      <c r="M3987" s="41" t="str"/>
      <c r="N3987" s="41" t="str"/>
      <c r="O3987" s="41" t="str"/>
      <c r="P3987" s="41" t="str"/>
      <c r="Q3987" s="41" t="str"/>
      <c r="R3987" s="41" t="str"/>
      <c r="S3987" s="41" t="str"/>
      <c r="T3987" s="41" t="str"/>
      <c r="U3987" s="41" t="str"/>
      <c r="V3987" s="41" t="str"/>
      <c r="W3987" s="41" t="str"/>
    </row>
    <row r="3988">
      <c r="B3988" s="2" t="n"/>
      <c r="C3988" s="40" t="n"/>
      <c r="D3988" s="52">
        <f t="array" ref="D3988:W3988">IF(All_Students_Scores!C3986:V3986="","",All_Students_Scores!C3986:V3986)</f>
        <v/>
      </c>
      <c r="E3988" s="57" t="str"/>
      <c r="F3988" s="49" t="str"/>
      <c r="G3988" s="59" t="str"/>
      <c r="H3988" s="64" t="str"/>
      <c r="I3988" s="65" t="str"/>
      <c r="J3988" s="49" t="str"/>
      <c r="K3988" s="41" t="str"/>
      <c r="L3988" s="41" t="str"/>
      <c r="M3988" s="41" t="str"/>
      <c r="N3988" s="41" t="str"/>
      <c r="O3988" s="41" t="str"/>
      <c r="P3988" s="41" t="str"/>
      <c r="Q3988" s="41" t="str"/>
      <c r="R3988" s="41" t="str"/>
      <c r="S3988" s="41" t="str"/>
      <c r="T3988" s="41" t="str"/>
      <c r="U3988" s="41" t="str"/>
      <c r="V3988" s="41" t="str"/>
      <c r="W3988" s="41" t="str"/>
    </row>
    <row r="3989">
      <c r="B3989" s="2" t="n"/>
      <c r="C3989" s="40" t="n"/>
      <c r="D3989" s="52">
        <f t="array" ref="D3989:W3989">IF(All_Students_Scores!C3987:V3987="","",All_Students_Scores!C3987:V3987)</f>
        <v/>
      </c>
      <c r="E3989" s="57" t="str"/>
      <c r="F3989" s="49" t="str"/>
      <c r="G3989" s="59" t="str"/>
      <c r="H3989" s="64" t="str"/>
      <c r="I3989" s="65" t="str"/>
      <c r="J3989" s="49" t="str"/>
      <c r="K3989" s="41" t="str"/>
      <c r="L3989" s="41" t="str"/>
      <c r="M3989" s="41" t="str"/>
      <c r="N3989" s="41" t="str"/>
      <c r="O3989" s="41" t="str"/>
      <c r="P3989" s="41" t="str"/>
      <c r="Q3989" s="41" t="str"/>
      <c r="R3989" s="41" t="str"/>
      <c r="S3989" s="41" t="str"/>
      <c r="T3989" s="41" t="str"/>
      <c r="U3989" s="41" t="str"/>
      <c r="V3989" s="41" t="str"/>
      <c r="W3989" s="41" t="str"/>
    </row>
    <row r="3990">
      <c r="B3990" s="2" t="n"/>
      <c r="C3990" s="40" t="n"/>
      <c r="D3990" s="52">
        <f t="array" ref="D3990:W3990">IF(All_Students_Scores!C3988:V3988="","",All_Students_Scores!C3988:V3988)</f>
        <v/>
      </c>
      <c r="E3990" s="57" t="str"/>
      <c r="F3990" s="49" t="str"/>
      <c r="G3990" s="59" t="str"/>
      <c r="H3990" s="64" t="str"/>
      <c r="I3990" s="65" t="str"/>
      <c r="J3990" s="49" t="str"/>
      <c r="K3990" s="41" t="str"/>
      <c r="L3990" s="41" t="str"/>
      <c r="M3990" s="41" t="str"/>
      <c r="N3990" s="41" t="str"/>
      <c r="O3990" s="41" t="str"/>
      <c r="P3990" s="41" t="str"/>
      <c r="Q3990" s="41" t="str"/>
      <c r="R3990" s="41" t="str"/>
      <c r="S3990" s="41" t="str"/>
      <c r="T3990" s="41" t="str"/>
      <c r="U3990" s="41" t="str"/>
      <c r="V3990" s="41" t="str"/>
      <c r="W3990" s="41" t="str"/>
    </row>
    <row r="3991">
      <c r="B3991" s="2" t="n"/>
      <c r="C3991" s="40" t="n"/>
      <c r="D3991" s="52">
        <f t="array" ref="D3991:W3991">IF(All_Students_Scores!C3989:V3989="","",All_Students_Scores!C3989:V3989)</f>
        <v/>
      </c>
      <c r="E3991" s="57" t="str"/>
      <c r="F3991" s="49" t="str"/>
      <c r="G3991" s="59" t="str"/>
      <c r="H3991" s="64" t="str"/>
      <c r="I3991" s="65" t="str"/>
      <c r="J3991" s="49" t="str"/>
      <c r="K3991" s="41" t="str"/>
      <c r="L3991" s="41" t="str"/>
      <c r="M3991" s="41" t="str"/>
      <c r="N3991" s="41" t="str"/>
      <c r="O3991" s="41" t="str"/>
      <c r="P3991" s="41" t="str"/>
      <c r="Q3991" s="41" t="str"/>
      <c r="R3991" s="41" t="str"/>
      <c r="S3991" s="41" t="str"/>
      <c r="T3991" s="41" t="str"/>
      <c r="U3991" s="41" t="str"/>
      <c r="V3991" s="41" t="str"/>
      <c r="W3991" s="41" t="str"/>
    </row>
    <row r="3992">
      <c r="B3992" s="2" t="n"/>
      <c r="C3992" s="40" t="n"/>
      <c r="D3992" s="52">
        <f t="array" ref="D3992:W3992">IF(All_Students_Scores!C3990:V3990="","",All_Students_Scores!C3990:V3990)</f>
        <v/>
      </c>
      <c r="E3992" s="57" t="str"/>
      <c r="F3992" s="49" t="str"/>
      <c r="G3992" s="59" t="str"/>
      <c r="H3992" s="64" t="str"/>
      <c r="I3992" s="65" t="str"/>
      <c r="J3992" s="49" t="str"/>
      <c r="K3992" s="41" t="str"/>
      <c r="L3992" s="41" t="str"/>
      <c r="M3992" s="41" t="str"/>
      <c r="N3992" s="41" t="str"/>
      <c r="O3992" s="41" t="str"/>
      <c r="P3992" s="41" t="str"/>
      <c r="Q3992" s="41" t="str"/>
      <c r="R3992" s="41" t="str"/>
      <c r="S3992" s="41" t="str"/>
      <c r="T3992" s="41" t="str"/>
      <c r="U3992" s="41" t="str"/>
      <c r="V3992" s="41" t="str"/>
      <c r="W3992" s="41" t="str"/>
    </row>
    <row r="3993">
      <c r="B3993" s="2" t="n"/>
      <c r="C3993" s="40" t="n"/>
      <c r="D3993" s="52">
        <f t="array" ref="D3993:W3993">IF(All_Students_Scores!C3991:V3991="","",All_Students_Scores!C3991:V3991)</f>
        <v/>
      </c>
      <c r="E3993" s="57" t="str"/>
      <c r="F3993" s="49" t="str"/>
      <c r="G3993" s="59" t="str"/>
      <c r="H3993" s="64" t="str"/>
      <c r="I3993" s="65" t="str"/>
      <c r="J3993" s="49" t="str"/>
      <c r="K3993" s="41" t="str"/>
      <c r="L3993" s="41" t="str"/>
      <c r="M3993" s="41" t="str"/>
      <c r="N3993" s="41" t="str"/>
      <c r="O3993" s="41" t="str"/>
      <c r="P3993" s="41" t="str"/>
      <c r="Q3993" s="41" t="str"/>
      <c r="R3993" s="41" t="str"/>
      <c r="S3993" s="41" t="str"/>
      <c r="T3993" s="41" t="str"/>
      <c r="U3993" s="41" t="str"/>
      <c r="V3993" s="41" t="str"/>
      <c r="W3993" s="41" t="str"/>
    </row>
    <row r="3994">
      <c r="B3994" s="2" t="n"/>
      <c r="C3994" s="40" t="n"/>
      <c r="D3994" s="52">
        <f t="array" ref="D3994:W3994">IF(All_Students_Scores!C3992:V3992="","",All_Students_Scores!C3992:V3992)</f>
        <v/>
      </c>
      <c r="E3994" s="57" t="str"/>
      <c r="F3994" s="49" t="str"/>
      <c r="G3994" s="59" t="str"/>
      <c r="H3994" s="64" t="str"/>
      <c r="I3994" s="65" t="str"/>
      <c r="J3994" s="49" t="str"/>
      <c r="K3994" s="41" t="str"/>
      <c r="L3994" s="41" t="str"/>
      <c r="M3994" s="41" t="str"/>
      <c r="N3994" s="41" t="str"/>
      <c r="O3994" s="41" t="str"/>
      <c r="P3994" s="41" t="str"/>
      <c r="Q3994" s="41" t="str"/>
      <c r="R3994" s="41" t="str"/>
      <c r="S3994" s="41" t="str"/>
      <c r="T3994" s="41" t="str"/>
      <c r="U3994" s="41" t="str"/>
      <c r="V3994" s="41" t="str"/>
      <c r="W3994" s="41" t="str"/>
    </row>
    <row r="3995">
      <c r="B3995" s="2" t="n"/>
      <c r="C3995" s="40" t="n"/>
      <c r="D3995" s="52">
        <f t="array" ref="D3995:W3995">IF(All_Students_Scores!C3993:V3993="","",All_Students_Scores!C3993:V3993)</f>
        <v/>
      </c>
      <c r="E3995" s="57" t="str"/>
      <c r="F3995" s="49" t="str"/>
      <c r="G3995" s="59" t="str"/>
      <c r="H3995" s="64" t="str"/>
      <c r="I3995" s="65" t="str"/>
      <c r="J3995" s="49" t="str"/>
      <c r="K3995" s="41" t="str"/>
      <c r="L3995" s="41" t="str"/>
      <c r="M3995" s="41" t="str"/>
      <c r="N3995" s="41" t="str"/>
      <c r="O3995" s="41" t="str"/>
      <c r="P3995" s="41" t="str"/>
      <c r="Q3995" s="41" t="str"/>
      <c r="R3995" s="41" t="str"/>
      <c r="S3995" s="41" t="str"/>
      <c r="T3995" s="41" t="str"/>
      <c r="U3995" s="41" t="str"/>
      <c r="V3995" s="41" t="str"/>
      <c r="W3995" s="41" t="str"/>
    </row>
    <row r="3996">
      <c r="B3996" s="2" t="n"/>
      <c r="C3996" s="40" t="n"/>
      <c r="D3996" s="52">
        <f t="array" ref="D3996:W3996">IF(All_Students_Scores!C3994:V3994="","",All_Students_Scores!C3994:V3994)</f>
        <v/>
      </c>
      <c r="E3996" s="57" t="str"/>
      <c r="F3996" s="49" t="str"/>
      <c r="G3996" s="59" t="str"/>
      <c r="H3996" s="64" t="str"/>
      <c r="I3996" s="65" t="str"/>
      <c r="J3996" s="49" t="str"/>
      <c r="K3996" s="41" t="str"/>
      <c r="L3996" s="41" t="str"/>
      <c r="M3996" s="41" t="str"/>
      <c r="N3996" s="41" t="str"/>
      <c r="O3996" s="41" t="str"/>
      <c r="P3996" s="41" t="str"/>
      <c r="Q3996" s="41" t="str"/>
      <c r="R3996" s="41" t="str"/>
      <c r="S3996" s="41" t="str"/>
      <c r="T3996" s="41" t="str"/>
      <c r="U3996" s="41" t="str"/>
      <c r="V3996" s="41" t="str"/>
      <c r="W3996" s="41" t="str"/>
    </row>
    <row r="3997">
      <c r="B3997" s="2" t="n"/>
      <c r="C3997" s="40" t="n"/>
      <c r="D3997" s="52">
        <f t="array" ref="D3997:W3997">IF(All_Students_Scores!C3995:V3995="","",All_Students_Scores!C3995:V3995)</f>
        <v/>
      </c>
      <c r="E3997" s="57" t="str"/>
      <c r="F3997" s="49" t="str"/>
      <c r="G3997" s="59" t="str"/>
      <c r="H3997" s="64" t="str"/>
      <c r="I3997" s="65" t="str"/>
      <c r="J3997" s="49" t="str"/>
      <c r="K3997" s="41" t="str"/>
      <c r="L3997" s="41" t="str"/>
      <c r="M3997" s="41" t="str"/>
      <c r="N3997" s="41" t="str"/>
      <c r="O3997" s="41" t="str"/>
      <c r="P3997" s="41" t="str"/>
      <c r="Q3997" s="41" t="str"/>
      <c r="R3997" s="41" t="str"/>
      <c r="S3997" s="41" t="str"/>
      <c r="T3997" s="41" t="str"/>
      <c r="U3997" s="41" t="str"/>
      <c r="V3997" s="41" t="str"/>
      <c r="W3997" s="41" t="str"/>
    </row>
    <row r="3998">
      <c r="B3998" s="2" t="n"/>
      <c r="C3998" s="40" t="n"/>
      <c r="D3998" s="52">
        <f t="array" ref="D3998:W3998">IF(All_Students_Scores!C3996:V3996="","",All_Students_Scores!C3996:V3996)</f>
        <v/>
      </c>
      <c r="E3998" s="57" t="str"/>
      <c r="F3998" s="49" t="str"/>
      <c r="G3998" s="59" t="str"/>
      <c r="H3998" s="64" t="str"/>
      <c r="I3998" s="65" t="str"/>
      <c r="J3998" s="49" t="str"/>
      <c r="K3998" s="41" t="str"/>
      <c r="L3998" s="41" t="str"/>
      <c r="M3998" s="41" t="str"/>
      <c r="N3998" s="41" t="str"/>
      <c r="O3998" s="41" t="str"/>
      <c r="P3998" s="41" t="str"/>
      <c r="Q3998" s="41" t="str"/>
      <c r="R3998" s="41" t="str"/>
      <c r="S3998" s="41" t="str"/>
      <c r="T3998" s="41" t="str"/>
      <c r="U3998" s="41" t="str"/>
      <c r="V3998" s="41" t="str"/>
      <c r="W3998" s="41" t="str"/>
    </row>
    <row r="3999">
      <c r="B3999" s="2" t="n"/>
      <c r="C3999" s="40" t="n"/>
      <c r="D3999" s="52">
        <f t="array" ref="D3999:W3999">IF(All_Students_Scores!C3997:V3997="","",All_Students_Scores!C3997:V3997)</f>
        <v/>
      </c>
      <c r="E3999" s="57" t="str"/>
      <c r="F3999" s="49" t="str"/>
      <c r="G3999" s="59" t="str"/>
      <c r="H3999" s="64" t="str"/>
      <c r="I3999" s="65" t="str"/>
      <c r="J3999" s="49" t="str"/>
      <c r="K3999" s="41" t="str"/>
      <c r="L3999" s="41" t="str"/>
      <c r="M3999" s="41" t="str"/>
      <c r="N3999" s="41" t="str"/>
      <c r="O3999" s="41" t="str"/>
      <c r="P3999" s="41" t="str"/>
      <c r="Q3999" s="41" t="str"/>
      <c r="R3999" s="41" t="str"/>
      <c r="S3999" s="41" t="str"/>
      <c r="T3999" s="41" t="str"/>
      <c r="U3999" s="41" t="str"/>
      <c r="V3999" s="41" t="str"/>
      <c r="W3999" s="41" t="str"/>
    </row>
    <row r="4000">
      <c r="B4000" s="2" t="n"/>
      <c r="C4000" s="40" t="n"/>
      <c r="D4000" s="52">
        <f t="array" ref="D4000:W4000">IF(All_Students_Scores!C3998:V3998="","",All_Students_Scores!C3998:V3998)</f>
        <v/>
      </c>
      <c r="E4000" s="57" t="str"/>
      <c r="F4000" s="49" t="str"/>
      <c r="G4000" s="59" t="str"/>
      <c r="H4000" s="64" t="str"/>
      <c r="I4000" s="65" t="str"/>
      <c r="J4000" s="49" t="str"/>
      <c r="K4000" s="41" t="str"/>
      <c r="L4000" s="41" t="str"/>
      <c r="M4000" s="41" t="str"/>
      <c r="N4000" s="41" t="str"/>
      <c r="O4000" s="41" t="str"/>
      <c r="P4000" s="41" t="str"/>
      <c r="Q4000" s="41" t="str"/>
      <c r="R4000" s="41" t="str"/>
      <c r="S4000" s="41" t="str"/>
      <c r="T4000" s="41" t="str"/>
      <c r="U4000" s="41" t="str"/>
      <c r="V4000" s="41" t="str"/>
      <c r="W4000" s="41" t="str"/>
    </row>
    <row r="4001">
      <c r="B4001" s="2" t="n"/>
      <c r="C4001" s="40" t="n"/>
      <c r="D4001" s="52">
        <f t="array" ref="D4001:W4001">IF(All_Students_Scores!C3999:V3999="","",All_Students_Scores!C3999:V3999)</f>
        <v/>
      </c>
      <c r="E4001" s="57" t="str"/>
      <c r="F4001" s="49" t="str"/>
      <c r="G4001" s="59" t="str"/>
      <c r="H4001" s="64" t="str"/>
      <c r="I4001" s="65" t="str"/>
      <c r="J4001" s="49" t="str"/>
      <c r="K4001" s="41" t="str"/>
      <c r="L4001" s="41" t="str"/>
      <c r="M4001" s="41" t="str"/>
      <c r="N4001" s="41" t="str"/>
      <c r="O4001" s="41" t="str"/>
      <c r="P4001" s="41" t="str"/>
      <c r="Q4001" s="41" t="str"/>
      <c r="R4001" s="41" t="str"/>
      <c r="S4001" s="41" t="str"/>
      <c r="T4001" s="41" t="str"/>
      <c r="U4001" s="41" t="str"/>
      <c r="V4001" s="41" t="str"/>
      <c r="W4001" s="41" t="str"/>
    </row>
    <row r="4002">
      <c r="B4002" s="2" t="n"/>
      <c r="C4002" s="40" t="n"/>
      <c r="D4002" s="52">
        <f t="array" ref="D4002:W4002">IF(All_Students_Scores!C4000:V4000="","",All_Students_Scores!C4000:V4000)</f>
        <v/>
      </c>
      <c r="E4002" s="57" t="str"/>
      <c r="F4002" s="49" t="str"/>
      <c r="G4002" s="59" t="str"/>
      <c r="H4002" s="64" t="str"/>
      <c r="I4002" s="65" t="str"/>
      <c r="J4002" s="49" t="str"/>
      <c r="K4002" s="41" t="str"/>
      <c r="L4002" s="41" t="str"/>
      <c r="M4002" s="41" t="str"/>
      <c r="N4002" s="41" t="str"/>
      <c r="O4002" s="41" t="str"/>
      <c r="P4002" s="41" t="str"/>
      <c r="Q4002" s="41" t="str"/>
      <c r="R4002" s="41" t="str"/>
      <c r="S4002" s="41" t="str"/>
      <c r="T4002" s="41" t="str"/>
      <c r="U4002" s="41" t="str"/>
      <c r="V4002" s="41" t="str"/>
      <c r="W4002" s="41" t="str"/>
    </row>
    <row r="4003">
      <c r="B4003" s="2" t="n"/>
      <c r="C4003" s="40" t="n"/>
      <c r="D4003" s="52">
        <f t="array" ref="D4003:W4003">IF(All_Students_Scores!C4001:V4001="","",All_Students_Scores!C4001:V4001)</f>
        <v/>
      </c>
      <c r="E4003" s="57" t="str"/>
      <c r="F4003" s="49" t="str"/>
      <c r="G4003" s="59" t="str"/>
      <c r="H4003" s="64" t="str"/>
      <c r="I4003" s="65" t="str"/>
      <c r="J4003" s="49" t="str"/>
      <c r="K4003" s="41" t="str"/>
      <c r="L4003" s="41" t="str"/>
      <c r="M4003" s="41" t="str"/>
      <c r="N4003" s="41" t="str"/>
      <c r="O4003" s="41" t="str"/>
      <c r="P4003" s="41" t="str"/>
      <c r="Q4003" s="41" t="str"/>
      <c r="R4003" s="41" t="str"/>
      <c r="S4003" s="41" t="str"/>
      <c r="T4003" s="41" t="str"/>
      <c r="U4003" s="41" t="str"/>
      <c r="V4003" s="41" t="str"/>
      <c r="W4003" s="41" t="str"/>
    </row>
    <row r="4004">
      <c r="B4004" s="2" t="n"/>
      <c r="C4004" s="40" t="n"/>
      <c r="D4004" s="52">
        <f t="array" ref="D4004:W4004">IF(All_Students_Scores!C4002:V4002="","",All_Students_Scores!C4002:V4002)</f>
        <v/>
      </c>
      <c r="E4004" s="57" t="str"/>
      <c r="F4004" s="49" t="str"/>
      <c r="G4004" s="59" t="str"/>
      <c r="H4004" s="64" t="str"/>
      <c r="I4004" s="65" t="str"/>
      <c r="J4004" s="49" t="str"/>
      <c r="K4004" s="41" t="str"/>
      <c r="L4004" s="41" t="str"/>
      <c r="M4004" s="41" t="str"/>
      <c r="N4004" s="41" t="str"/>
      <c r="O4004" s="41" t="str"/>
      <c r="P4004" s="41" t="str"/>
      <c r="Q4004" s="41" t="str"/>
      <c r="R4004" s="41" t="str"/>
      <c r="S4004" s="41" t="str"/>
      <c r="T4004" s="41" t="str"/>
      <c r="U4004" s="41" t="str"/>
      <c r="V4004" s="41" t="str"/>
      <c r="W4004" s="41" t="str"/>
    </row>
    <row r="4005">
      <c r="B4005" s="2" t="n"/>
      <c r="C4005" s="40" t="n"/>
      <c r="D4005" s="52">
        <f t="array" ref="D4005:W4005">IF(All_Students_Scores!C4003:V4003="","",All_Students_Scores!C4003:V4003)</f>
        <v/>
      </c>
      <c r="E4005" s="57" t="str"/>
      <c r="F4005" s="49" t="str"/>
      <c r="G4005" s="59" t="str"/>
      <c r="H4005" s="64" t="str"/>
      <c r="I4005" s="65" t="str"/>
      <c r="J4005" s="49" t="str"/>
      <c r="K4005" s="41" t="str"/>
      <c r="L4005" s="41" t="str"/>
      <c r="M4005" s="41" t="str"/>
      <c r="N4005" s="41" t="str"/>
      <c r="O4005" s="41" t="str"/>
      <c r="P4005" s="41" t="str"/>
      <c r="Q4005" s="41" t="str"/>
      <c r="R4005" s="41" t="str"/>
      <c r="S4005" s="41" t="str"/>
      <c r="T4005" s="41" t="str"/>
      <c r="U4005" s="41" t="str"/>
      <c r="V4005" s="41" t="str"/>
      <c r="W4005" s="41" t="str"/>
    </row>
    <row r="4006">
      <c r="B4006" s="2" t="n"/>
      <c r="C4006" s="40" t="n"/>
      <c r="D4006" s="52">
        <f t="array" ref="D4006:W4006">IF(All_Students_Scores!C4004:V4004="","",All_Students_Scores!C4004:V4004)</f>
        <v/>
      </c>
      <c r="E4006" s="57" t="str"/>
      <c r="F4006" s="49" t="str"/>
      <c r="G4006" s="59" t="str"/>
      <c r="H4006" s="64" t="str"/>
      <c r="I4006" s="65" t="str"/>
      <c r="J4006" s="49" t="str"/>
      <c r="K4006" s="41" t="str"/>
      <c r="L4006" s="41" t="str"/>
      <c r="M4006" s="41" t="str"/>
      <c r="N4006" s="41" t="str"/>
      <c r="O4006" s="41" t="str"/>
      <c r="P4006" s="41" t="str"/>
      <c r="Q4006" s="41" t="str"/>
      <c r="R4006" s="41" t="str"/>
      <c r="S4006" s="41" t="str"/>
      <c r="T4006" s="41" t="str"/>
      <c r="U4006" s="41" t="str"/>
      <c r="V4006" s="41" t="str"/>
      <c r="W4006" s="41" t="str"/>
    </row>
    <row r="4007">
      <c r="B4007" s="2" t="n"/>
      <c r="C4007" s="40" t="n"/>
      <c r="D4007" s="52">
        <f t="array" ref="D4007:W4007">IF(All_Students_Scores!C4005:V4005="","",All_Students_Scores!C4005:V4005)</f>
        <v/>
      </c>
      <c r="E4007" s="57" t="str"/>
      <c r="F4007" s="49" t="str"/>
      <c r="G4007" s="59" t="str"/>
      <c r="H4007" s="64" t="str"/>
      <c r="I4007" s="65" t="str"/>
      <c r="J4007" s="49" t="str"/>
      <c r="K4007" s="41" t="str"/>
      <c r="L4007" s="41" t="str"/>
      <c r="M4007" s="41" t="str"/>
      <c r="N4007" s="41" t="str"/>
      <c r="O4007" s="41" t="str"/>
      <c r="P4007" s="41" t="str"/>
      <c r="Q4007" s="41" t="str"/>
      <c r="R4007" s="41" t="str"/>
      <c r="S4007" s="41" t="str"/>
      <c r="T4007" s="41" t="str"/>
      <c r="U4007" s="41" t="str"/>
      <c r="V4007" s="41" t="str"/>
      <c r="W4007" s="41" t="str"/>
    </row>
    <row r="4008">
      <c r="B4008" s="2" t="n"/>
      <c r="C4008" s="40" t="n"/>
      <c r="D4008" s="52">
        <f t="array" ref="D4008:W4008">IF(All_Students_Scores!C4006:V4006="","",All_Students_Scores!C4006:V4006)</f>
        <v/>
      </c>
      <c r="E4008" s="57" t="str"/>
      <c r="F4008" s="49" t="str"/>
      <c r="G4008" s="59" t="str"/>
      <c r="H4008" s="64" t="str"/>
      <c r="I4008" s="65" t="str"/>
      <c r="J4008" s="49" t="str"/>
      <c r="K4008" s="41" t="str"/>
      <c r="L4008" s="41" t="str"/>
      <c r="M4008" s="41" t="str"/>
      <c r="N4008" s="41" t="str"/>
      <c r="O4008" s="41" t="str"/>
      <c r="P4008" s="41" t="str"/>
      <c r="Q4008" s="41" t="str"/>
      <c r="R4008" s="41" t="str"/>
      <c r="S4008" s="41" t="str"/>
      <c r="T4008" s="41" t="str"/>
      <c r="U4008" s="41" t="str"/>
      <c r="V4008" s="41" t="str"/>
      <c r="W4008" s="41" t="str"/>
    </row>
    <row r="4009">
      <c r="B4009" s="2" t="n"/>
      <c r="C4009" s="40" t="n"/>
      <c r="D4009" s="52">
        <f t="array" ref="D4009:W4009">IF(All_Students_Scores!C4007:V4007="","",All_Students_Scores!C4007:V4007)</f>
        <v/>
      </c>
      <c r="E4009" s="57" t="str"/>
      <c r="F4009" s="49" t="str"/>
      <c r="G4009" s="59" t="str"/>
      <c r="H4009" s="64" t="str"/>
      <c r="I4009" s="65" t="str"/>
      <c r="J4009" s="49" t="str"/>
      <c r="K4009" s="41" t="str"/>
      <c r="L4009" s="41" t="str"/>
      <c r="M4009" s="41" t="str"/>
      <c r="N4009" s="41" t="str"/>
      <c r="O4009" s="41" t="str"/>
      <c r="P4009" s="41" t="str"/>
      <c r="Q4009" s="41" t="str"/>
      <c r="R4009" s="41" t="str"/>
      <c r="S4009" s="41" t="str"/>
      <c r="T4009" s="41" t="str"/>
      <c r="U4009" s="41" t="str"/>
      <c r="V4009" s="41" t="str"/>
      <c r="W4009" s="41" t="str"/>
    </row>
    <row r="4010">
      <c r="B4010" s="2" t="n"/>
      <c r="C4010" s="40" t="n"/>
      <c r="D4010" s="52">
        <f t="array" ref="D4010:W4010">IF(All_Students_Scores!C4008:V4008="","",All_Students_Scores!C4008:V4008)</f>
        <v/>
      </c>
      <c r="E4010" s="57" t="str"/>
      <c r="F4010" s="49" t="str"/>
      <c r="G4010" s="59" t="str"/>
      <c r="H4010" s="64" t="str"/>
      <c r="I4010" s="65" t="str"/>
      <c r="J4010" s="49" t="str"/>
      <c r="K4010" s="41" t="str"/>
      <c r="L4010" s="41" t="str"/>
      <c r="M4010" s="41" t="str"/>
      <c r="N4010" s="41" t="str"/>
      <c r="O4010" s="41" t="str"/>
      <c r="P4010" s="41" t="str"/>
      <c r="Q4010" s="41" t="str"/>
      <c r="R4010" s="41" t="str"/>
      <c r="S4010" s="41" t="str"/>
      <c r="T4010" s="41" t="str"/>
      <c r="U4010" s="41" t="str"/>
      <c r="V4010" s="41" t="str"/>
      <c r="W4010" s="41" t="str"/>
    </row>
    <row r="4011">
      <c r="B4011" s="2" t="n"/>
      <c r="C4011" s="40" t="n"/>
      <c r="D4011" s="52">
        <f t="array" ref="D4011:W4011">IF(All_Students_Scores!C4009:V4009="","",All_Students_Scores!C4009:V4009)</f>
        <v/>
      </c>
      <c r="E4011" s="57" t="str"/>
      <c r="F4011" s="49" t="str"/>
      <c r="G4011" s="59" t="str"/>
      <c r="H4011" s="64" t="str"/>
      <c r="I4011" s="65" t="str"/>
      <c r="J4011" s="49" t="str"/>
      <c r="K4011" s="41" t="str"/>
      <c r="L4011" s="41" t="str"/>
      <c r="M4011" s="41" t="str"/>
      <c r="N4011" s="41" t="str"/>
      <c r="O4011" s="41" t="str"/>
      <c r="P4011" s="41" t="str"/>
      <c r="Q4011" s="41" t="str"/>
      <c r="R4011" s="41" t="str"/>
      <c r="S4011" s="41" t="str"/>
      <c r="T4011" s="41" t="str"/>
      <c r="U4011" s="41" t="str"/>
      <c r="V4011" s="41" t="str"/>
      <c r="W4011" s="41" t="str"/>
    </row>
    <row r="4012">
      <c r="B4012" s="2" t="n"/>
      <c r="C4012" s="40" t="n"/>
      <c r="D4012" s="52">
        <f t="array" ref="D4012:W4012">IF(All_Students_Scores!C4010:V4010="","",All_Students_Scores!C4010:V4010)</f>
        <v/>
      </c>
      <c r="E4012" s="57" t="str"/>
      <c r="F4012" s="49" t="str"/>
      <c r="G4012" s="59" t="str"/>
      <c r="H4012" s="64" t="str"/>
      <c r="I4012" s="65" t="str"/>
      <c r="J4012" s="49" t="str"/>
      <c r="K4012" s="41" t="str"/>
      <c r="L4012" s="41" t="str"/>
      <c r="M4012" s="41" t="str"/>
      <c r="N4012" s="41" t="str"/>
      <c r="O4012" s="41" t="str"/>
      <c r="P4012" s="41" t="str"/>
      <c r="Q4012" s="41" t="str"/>
      <c r="R4012" s="41" t="str"/>
      <c r="S4012" s="41" t="str"/>
      <c r="T4012" s="41" t="str"/>
      <c r="U4012" s="41" t="str"/>
      <c r="V4012" s="41" t="str"/>
      <c r="W4012" s="41" t="str"/>
    </row>
    <row r="4013">
      <c r="B4013" s="2" t="n"/>
      <c r="C4013" s="40" t="n"/>
      <c r="D4013" s="52">
        <f t="array" ref="D4013:W4013">IF(All_Students_Scores!C4011:V4011="","",All_Students_Scores!C4011:V4011)</f>
        <v/>
      </c>
      <c r="E4013" s="57" t="str"/>
      <c r="F4013" s="49" t="str"/>
      <c r="G4013" s="59" t="str"/>
      <c r="H4013" s="64" t="str"/>
      <c r="I4013" s="65" t="str"/>
      <c r="J4013" s="49" t="str"/>
      <c r="K4013" s="41" t="str"/>
      <c r="L4013" s="41" t="str"/>
      <c r="M4013" s="41" t="str"/>
      <c r="N4013" s="41" t="str"/>
      <c r="O4013" s="41" t="str"/>
      <c r="P4013" s="41" t="str"/>
      <c r="Q4013" s="41" t="str"/>
      <c r="R4013" s="41" t="str"/>
      <c r="S4013" s="41" t="str"/>
      <c r="T4013" s="41" t="str"/>
      <c r="U4013" s="41" t="str"/>
      <c r="V4013" s="41" t="str"/>
      <c r="W4013" s="41" t="str"/>
    </row>
    <row r="4014">
      <c r="B4014" s="2" t="n"/>
      <c r="C4014" s="40" t="n"/>
      <c r="D4014" s="52">
        <f t="array" ref="D4014:W4014">IF(All_Students_Scores!C4012:V4012="","",All_Students_Scores!C4012:V4012)</f>
        <v/>
      </c>
      <c r="E4014" s="57" t="str"/>
      <c r="F4014" s="49" t="str"/>
      <c r="G4014" s="59" t="str"/>
      <c r="H4014" s="64" t="str"/>
      <c r="I4014" s="65" t="str"/>
      <c r="J4014" s="49" t="str"/>
      <c r="K4014" s="41" t="str"/>
      <c r="L4014" s="41" t="str"/>
      <c r="M4014" s="41" t="str"/>
      <c r="N4014" s="41" t="str"/>
      <c r="O4014" s="41" t="str"/>
      <c r="P4014" s="41" t="str"/>
      <c r="Q4014" s="41" t="str"/>
      <c r="R4014" s="41" t="str"/>
      <c r="S4014" s="41" t="str"/>
      <c r="T4014" s="41" t="str"/>
      <c r="U4014" s="41" t="str"/>
      <c r="V4014" s="41" t="str"/>
      <c r="W4014" s="41" t="str"/>
    </row>
    <row r="4015">
      <c r="B4015" s="2" t="n"/>
      <c r="C4015" s="40" t="n"/>
      <c r="D4015" s="52">
        <f t="array" ref="D4015:W4015">IF(All_Students_Scores!C4013:V4013="","",All_Students_Scores!C4013:V4013)</f>
        <v/>
      </c>
      <c r="E4015" s="57" t="str"/>
      <c r="F4015" s="49" t="str"/>
      <c r="G4015" s="59" t="str"/>
      <c r="H4015" s="64" t="str"/>
      <c r="I4015" s="65" t="str"/>
      <c r="J4015" s="49" t="str"/>
      <c r="K4015" s="41" t="str"/>
      <c r="L4015" s="41" t="str"/>
      <c r="M4015" s="41" t="str"/>
      <c r="N4015" s="41" t="str"/>
      <c r="O4015" s="41" t="str"/>
      <c r="P4015" s="41" t="str"/>
      <c r="Q4015" s="41" t="str"/>
      <c r="R4015" s="41" t="str"/>
      <c r="S4015" s="41" t="str"/>
      <c r="T4015" s="41" t="str"/>
      <c r="U4015" s="41" t="str"/>
      <c r="V4015" s="41" t="str"/>
      <c r="W4015" s="41" t="str"/>
    </row>
    <row r="4016">
      <c r="B4016" s="2" t="n"/>
      <c r="C4016" s="40" t="n"/>
      <c r="D4016" s="52">
        <f t="array" ref="D4016:W4016">IF(All_Students_Scores!C4014:V4014="","",All_Students_Scores!C4014:V4014)</f>
        <v/>
      </c>
      <c r="E4016" s="57" t="str"/>
      <c r="F4016" s="49" t="str"/>
      <c r="G4016" s="59" t="str"/>
      <c r="H4016" s="64" t="str"/>
      <c r="I4016" s="65" t="str"/>
      <c r="J4016" s="49" t="str"/>
      <c r="K4016" s="41" t="str"/>
      <c r="L4016" s="41" t="str"/>
      <c r="M4016" s="41" t="str"/>
      <c r="N4016" s="41" t="str"/>
      <c r="O4016" s="41" t="str"/>
      <c r="P4016" s="41" t="str"/>
      <c r="Q4016" s="41" t="str"/>
      <c r="R4016" s="41" t="str"/>
      <c r="S4016" s="41" t="str"/>
      <c r="T4016" s="41" t="str"/>
      <c r="U4016" s="41" t="str"/>
      <c r="V4016" s="41" t="str"/>
      <c r="W4016" s="41" t="str"/>
    </row>
    <row r="4017">
      <c r="B4017" s="2" t="n"/>
      <c r="C4017" s="40" t="n"/>
      <c r="D4017" s="52">
        <f t="array" ref="D4017:W4017">IF(All_Students_Scores!C4015:V4015="","",All_Students_Scores!C4015:V4015)</f>
        <v/>
      </c>
      <c r="E4017" s="57" t="str"/>
      <c r="F4017" s="49" t="str"/>
      <c r="G4017" s="59" t="str"/>
      <c r="H4017" s="64" t="str"/>
      <c r="I4017" s="65" t="str"/>
      <c r="J4017" s="49" t="str"/>
      <c r="K4017" s="41" t="str"/>
      <c r="L4017" s="41" t="str"/>
      <c r="M4017" s="41" t="str"/>
      <c r="N4017" s="41" t="str"/>
      <c r="O4017" s="41" t="str"/>
      <c r="P4017" s="41" t="str"/>
      <c r="Q4017" s="41" t="str"/>
      <c r="R4017" s="41" t="str"/>
      <c r="S4017" s="41" t="str"/>
      <c r="T4017" s="41" t="str"/>
      <c r="U4017" s="41" t="str"/>
      <c r="V4017" s="41" t="str"/>
      <c r="W4017" s="41" t="str"/>
    </row>
    <row r="4018">
      <c r="B4018" s="2" t="n"/>
      <c r="C4018" s="40" t="n"/>
      <c r="D4018" s="52">
        <f t="array" ref="D4018:W4018">IF(All_Students_Scores!C4016:V4016="","",All_Students_Scores!C4016:V4016)</f>
        <v/>
      </c>
      <c r="E4018" s="57" t="str"/>
      <c r="F4018" s="49" t="str"/>
      <c r="G4018" s="59" t="str"/>
      <c r="H4018" s="64" t="str"/>
      <c r="I4018" s="65" t="str"/>
      <c r="J4018" s="49" t="str"/>
      <c r="K4018" s="41" t="str"/>
      <c r="L4018" s="41" t="str"/>
      <c r="M4018" s="41" t="str"/>
      <c r="N4018" s="41" t="str"/>
      <c r="O4018" s="41" t="str"/>
      <c r="P4018" s="41" t="str"/>
      <c r="Q4018" s="41" t="str"/>
      <c r="R4018" s="41" t="str"/>
      <c r="S4018" s="41" t="str"/>
      <c r="T4018" s="41" t="str"/>
      <c r="U4018" s="41" t="str"/>
      <c r="V4018" s="41" t="str"/>
      <c r="W4018" s="41" t="str"/>
    </row>
    <row r="4019">
      <c r="B4019" s="2" t="n"/>
      <c r="C4019" s="40" t="n"/>
      <c r="D4019" s="52">
        <f t="array" ref="D4019:W4019">IF(All_Students_Scores!C4017:V4017="","",All_Students_Scores!C4017:V4017)</f>
        <v/>
      </c>
      <c r="E4019" s="57" t="str"/>
      <c r="F4019" s="49" t="str"/>
      <c r="G4019" s="59" t="str"/>
      <c r="H4019" s="64" t="str"/>
      <c r="I4019" s="65" t="str"/>
      <c r="J4019" s="49" t="str"/>
      <c r="K4019" s="41" t="str"/>
      <c r="L4019" s="41" t="str"/>
      <c r="M4019" s="41" t="str"/>
      <c r="N4019" s="41" t="str"/>
      <c r="O4019" s="41" t="str"/>
      <c r="P4019" s="41" t="str"/>
      <c r="Q4019" s="41" t="str"/>
      <c r="R4019" s="41" t="str"/>
      <c r="S4019" s="41" t="str"/>
      <c r="T4019" s="41" t="str"/>
      <c r="U4019" s="41" t="str"/>
      <c r="V4019" s="41" t="str"/>
      <c r="W4019" s="41" t="str"/>
    </row>
    <row r="4020">
      <c r="B4020" s="2" t="n"/>
      <c r="C4020" s="40" t="n"/>
      <c r="D4020" s="52">
        <f t="array" ref="D4020:W4020">IF(All_Students_Scores!C4018:V4018="","",All_Students_Scores!C4018:V4018)</f>
        <v/>
      </c>
      <c r="E4020" s="57" t="str"/>
      <c r="F4020" s="49" t="str"/>
      <c r="G4020" s="59" t="str"/>
      <c r="H4020" s="64" t="str"/>
      <c r="I4020" s="65" t="str"/>
      <c r="J4020" s="49" t="str"/>
      <c r="K4020" s="41" t="str"/>
      <c r="L4020" s="41" t="str"/>
      <c r="M4020" s="41" t="str"/>
      <c r="N4020" s="41" t="str"/>
      <c r="O4020" s="41" t="str"/>
      <c r="P4020" s="41" t="str"/>
      <c r="Q4020" s="41" t="str"/>
      <c r="R4020" s="41" t="str"/>
      <c r="S4020" s="41" t="str"/>
      <c r="T4020" s="41" t="str"/>
      <c r="U4020" s="41" t="str"/>
      <c r="V4020" s="41" t="str"/>
      <c r="W4020" s="41" t="str"/>
    </row>
    <row r="4021">
      <c r="B4021" s="2" t="n"/>
      <c r="C4021" s="40" t="n"/>
      <c r="D4021" s="52">
        <f t="array" ref="D4021:W4021">IF(All_Students_Scores!C4019:V4019="","",All_Students_Scores!C4019:V4019)</f>
        <v/>
      </c>
      <c r="E4021" s="57" t="str"/>
      <c r="F4021" s="49" t="str"/>
      <c r="G4021" s="59" t="str"/>
      <c r="H4021" s="64" t="str"/>
      <c r="I4021" s="65" t="str"/>
      <c r="J4021" s="49" t="str"/>
      <c r="K4021" s="41" t="str"/>
      <c r="L4021" s="41" t="str"/>
      <c r="M4021" s="41" t="str"/>
      <c r="N4021" s="41" t="str"/>
      <c r="O4021" s="41" t="str"/>
      <c r="P4021" s="41" t="str"/>
      <c r="Q4021" s="41" t="str"/>
      <c r="R4021" s="41" t="str"/>
      <c r="S4021" s="41" t="str"/>
      <c r="T4021" s="41" t="str"/>
      <c r="U4021" s="41" t="str"/>
      <c r="V4021" s="41" t="str"/>
      <c r="W4021" s="41" t="str"/>
    </row>
    <row r="4022">
      <c r="B4022" s="2" t="n"/>
      <c r="C4022" s="40" t="n"/>
      <c r="D4022" s="52">
        <f t="array" ref="D4022:W4022">IF(All_Students_Scores!C4020:V4020="","",All_Students_Scores!C4020:V4020)</f>
        <v/>
      </c>
      <c r="E4022" s="57" t="str"/>
      <c r="F4022" s="49" t="str"/>
      <c r="G4022" s="59" t="str"/>
      <c r="H4022" s="64" t="str"/>
      <c r="I4022" s="65" t="str"/>
      <c r="J4022" s="49" t="str"/>
      <c r="K4022" s="41" t="str"/>
      <c r="L4022" s="41" t="str"/>
      <c r="M4022" s="41" t="str"/>
      <c r="N4022" s="41" t="str"/>
      <c r="O4022" s="41" t="str"/>
      <c r="P4022" s="41" t="str"/>
      <c r="Q4022" s="41" t="str"/>
      <c r="R4022" s="41" t="str"/>
      <c r="S4022" s="41" t="str"/>
      <c r="T4022" s="41" t="str"/>
      <c r="U4022" s="41" t="str"/>
      <c r="V4022" s="41" t="str"/>
      <c r="W4022" s="41" t="str"/>
    </row>
    <row r="4023">
      <c r="B4023" s="2" t="n"/>
      <c r="C4023" s="40" t="n"/>
      <c r="D4023" s="52">
        <f t="array" ref="D4023:W4023">IF(All_Students_Scores!C4021:V4021="","",All_Students_Scores!C4021:V4021)</f>
        <v/>
      </c>
      <c r="E4023" s="57" t="str"/>
      <c r="F4023" s="49" t="str"/>
      <c r="G4023" s="59" t="str"/>
      <c r="H4023" s="64" t="str"/>
      <c r="I4023" s="65" t="str"/>
      <c r="J4023" s="49" t="str"/>
      <c r="K4023" s="41" t="str"/>
      <c r="L4023" s="41" t="str"/>
      <c r="M4023" s="41" t="str"/>
      <c r="N4023" s="41" t="str"/>
      <c r="O4023" s="41" t="str"/>
      <c r="P4023" s="41" t="str"/>
      <c r="Q4023" s="41" t="str"/>
      <c r="R4023" s="41" t="str"/>
      <c r="S4023" s="41" t="str"/>
      <c r="T4023" s="41" t="str"/>
      <c r="U4023" s="41" t="str"/>
      <c r="V4023" s="41" t="str"/>
      <c r="W4023" s="41" t="str"/>
    </row>
    <row r="4024">
      <c r="B4024" s="2" t="n"/>
      <c r="C4024" s="40" t="n"/>
      <c r="D4024" s="52">
        <f t="array" ref="D4024:W4024">IF(All_Students_Scores!C4022:V4022="","",All_Students_Scores!C4022:V4022)</f>
        <v/>
      </c>
      <c r="E4024" s="57" t="str"/>
      <c r="F4024" s="49" t="str"/>
      <c r="G4024" s="59" t="str"/>
      <c r="H4024" s="64" t="str"/>
      <c r="I4024" s="65" t="str"/>
      <c r="J4024" s="49" t="str"/>
      <c r="K4024" s="41" t="str"/>
      <c r="L4024" s="41" t="str"/>
      <c r="M4024" s="41" t="str"/>
      <c r="N4024" s="41" t="str"/>
      <c r="O4024" s="41" t="str"/>
      <c r="P4024" s="41" t="str"/>
      <c r="Q4024" s="41" t="str"/>
      <c r="R4024" s="41" t="str"/>
      <c r="S4024" s="41" t="str"/>
      <c r="T4024" s="41" t="str"/>
      <c r="U4024" s="41" t="str"/>
      <c r="V4024" s="41" t="str"/>
      <c r="W4024" s="41" t="str"/>
    </row>
    <row r="4025">
      <c r="B4025" s="2" t="n"/>
      <c r="C4025" s="40" t="n"/>
      <c r="D4025" s="52">
        <f t="array" ref="D4025:W4025">IF(All_Students_Scores!C4023:V4023="","",All_Students_Scores!C4023:V4023)</f>
        <v/>
      </c>
      <c r="E4025" s="57" t="str"/>
      <c r="F4025" s="49" t="str"/>
      <c r="G4025" s="59" t="str"/>
      <c r="H4025" s="64" t="str"/>
      <c r="I4025" s="65" t="str"/>
      <c r="J4025" s="49" t="str"/>
      <c r="K4025" s="41" t="str"/>
      <c r="L4025" s="41" t="str"/>
      <c r="M4025" s="41" t="str"/>
      <c r="N4025" s="41" t="str"/>
      <c r="O4025" s="41" t="str"/>
      <c r="P4025" s="41" t="str"/>
      <c r="Q4025" s="41" t="str"/>
      <c r="R4025" s="41" t="str"/>
      <c r="S4025" s="41" t="str"/>
      <c r="T4025" s="41" t="str"/>
      <c r="U4025" s="41" t="str"/>
      <c r="V4025" s="41" t="str"/>
      <c r="W4025" s="41" t="str"/>
    </row>
    <row r="4026">
      <c r="B4026" s="2" t="n"/>
      <c r="C4026" s="40" t="n"/>
      <c r="D4026" s="52">
        <f t="array" ref="D4026:W4026">IF(All_Students_Scores!C4024:V4024="","",All_Students_Scores!C4024:V4024)</f>
        <v/>
      </c>
      <c r="E4026" s="57" t="str"/>
      <c r="F4026" s="49" t="str"/>
      <c r="G4026" s="59" t="str"/>
      <c r="H4026" s="64" t="str"/>
      <c r="I4026" s="65" t="str"/>
      <c r="J4026" s="49" t="str"/>
      <c r="K4026" s="41" t="str"/>
      <c r="L4026" s="41" t="str"/>
      <c r="M4026" s="41" t="str"/>
      <c r="N4026" s="41" t="str"/>
      <c r="O4026" s="41" t="str"/>
      <c r="P4026" s="41" t="str"/>
      <c r="Q4026" s="41" t="str"/>
      <c r="R4026" s="41" t="str"/>
      <c r="S4026" s="41" t="str"/>
      <c r="T4026" s="41" t="str"/>
      <c r="U4026" s="41" t="str"/>
      <c r="V4026" s="41" t="str"/>
      <c r="W4026" s="41" t="str"/>
    </row>
    <row r="4027">
      <c r="B4027" s="2" t="n"/>
      <c r="C4027" s="40" t="n"/>
      <c r="D4027" s="52">
        <f t="array" ref="D4027:W4027">IF(All_Students_Scores!C4025:V4025="","",All_Students_Scores!C4025:V4025)</f>
        <v/>
      </c>
      <c r="E4027" s="57" t="str"/>
      <c r="F4027" s="49" t="str"/>
      <c r="G4027" s="59" t="str"/>
      <c r="H4027" s="64" t="str"/>
      <c r="I4027" s="65" t="str"/>
      <c r="J4027" s="49" t="str"/>
      <c r="K4027" s="41" t="str"/>
      <c r="L4027" s="41" t="str"/>
      <c r="M4027" s="41" t="str"/>
      <c r="N4027" s="41" t="str"/>
      <c r="O4027" s="41" t="str"/>
      <c r="P4027" s="41" t="str"/>
      <c r="Q4027" s="41" t="str"/>
      <c r="R4027" s="41" t="str"/>
      <c r="S4027" s="41" t="str"/>
      <c r="T4027" s="41" t="str"/>
      <c r="U4027" s="41" t="str"/>
      <c r="V4027" s="41" t="str"/>
      <c r="W4027" s="41" t="str"/>
    </row>
    <row r="4028">
      <c r="B4028" s="2" t="n"/>
      <c r="C4028" s="40" t="n"/>
      <c r="D4028" s="52">
        <f t="array" ref="D4028:W4028">IF(All_Students_Scores!C4026:V4026="","",All_Students_Scores!C4026:V4026)</f>
        <v/>
      </c>
      <c r="E4028" s="57" t="str"/>
      <c r="F4028" s="49" t="str"/>
      <c r="G4028" s="59" t="str"/>
      <c r="H4028" s="64" t="str"/>
      <c r="I4028" s="65" t="str"/>
      <c r="J4028" s="49" t="str"/>
      <c r="K4028" s="41" t="str"/>
      <c r="L4028" s="41" t="str"/>
      <c r="M4028" s="41" t="str"/>
      <c r="N4028" s="41" t="str"/>
      <c r="O4028" s="41" t="str"/>
      <c r="P4028" s="41" t="str"/>
      <c r="Q4028" s="41" t="str"/>
      <c r="R4028" s="41" t="str"/>
      <c r="S4028" s="41" t="str"/>
      <c r="T4028" s="41" t="str"/>
      <c r="U4028" s="41" t="str"/>
      <c r="V4028" s="41" t="str"/>
      <c r="W4028" s="41" t="str"/>
    </row>
    <row r="4029">
      <c r="B4029" s="2" t="n"/>
      <c r="C4029" s="40" t="n"/>
      <c r="D4029" s="52">
        <f t="array" ref="D4029:W4029">IF(All_Students_Scores!C4027:V4027="","",All_Students_Scores!C4027:V4027)</f>
        <v/>
      </c>
      <c r="E4029" s="57" t="str"/>
      <c r="F4029" s="49" t="str"/>
      <c r="G4029" s="59" t="str"/>
      <c r="H4029" s="64" t="str"/>
      <c r="I4029" s="65" t="str"/>
      <c r="J4029" s="49" t="str"/>
      <c r="K4029" s="41" t="str"/>
      <c r="L4029" s="41" t="str"/>
      <c r="M4029" s="41" t="str"/>
      <c r="N4029" s="41" t="str"/>
      <c r="O4029" s="41" t="str"/>
      <c r="P4029" s="41" t="str"/>
      <c r="Q4029" s="41" t="str"/>
      <c r="R4029" s="41" t="str"/>
      <c r="S4029" s="41" t="str"/>
      <c r="T4029" s="41" t="str"/>
      <c r="U4029" s="41" t="str"/>
      <c r="V4029" s="41" t="str"/>
      <c r="W4029" s="41" t="str"/>
    </row>
    <row r="4030">
      <c r="B4030" s="2" t="n"/>
      <c r="C4030" s="40" t="n"/>
      <c r="D4030" s="52">
        <f t="array" ref="D4030:W4030">IF(All_Students_Scores!C4028:V4028="","",All_Students_Scores!C4028:V4028)</f>
        <v/>
      </c>
      <c r="E4030" s="57" t="str"/>
      <c r="F4030" s="49" t="str"/>
      <c r="G4030" s="59" t="str"/>
      <c r="H4030" s="64" t="str"/>
      <c r="I4030" s="65" t="str"/>
      <c r="J4030" s="49" t="str"/>
      <c r="K4030" s="41" t="str"/>
      <c r="L4030" s="41" t="str"/>
      <c r="M4030" s="41" t="str"/>
      <c r="N4030" s="41" t="str"/>
      <c r="O4030" s="41" t="str"/>
      <c r="P4030" s="41" t="str"/>
      <c r="Q4030" s="41" t="str"/>
      <c r="R4030" s="41" t="str"/>
      <c r="S4030" s="41" t="str"/>
      <c r="T4030" s="41" t="str"/>
      <c r="U4030" s="41" t="str"/>
      <c r="V4030" s="41" t="str"/>
      <c r="W4030" s="41" t="str"/>
    </row>
    <row r="4031">
      <c r="B4031" s="2" t="n"/>
      <c r="C4031" s="40" t="n"/>
      <c r="D4031" s="52">
        <f t="array" ref="D4031:W4031">IF(All_Students_Scores!C4029:V4029="","",All_Students_Scores!C4029:V4029)</f>
        <v/>
      </c>
      <c r="E4031" s="57" t="str"/>
      <c r="F4031" s="49" t="str"/>
      <c r="G4031" s="59" t="str"/>
      <c r="H4031" s="64" t="str"/>
      <c r="I4031" s="65" t="str"/>
      <c r="J4031" s="49" t="str"/>
      <c r="K4031" s="41" t="str"/>
      <c r="L4031" s="41" t="str"/>
      <c r="M4031" s="41" t="str"/>
      <c r="N4031" s="41" t="str"/>
      <c r="O4031" s="41" t="str"/>
      <c r="P4031" s="41" t="str"/>
      <c r="Q4031" s="41" t="str"/>
      <c r="R4031" s="41" t="str"/>
      <c r="S4031" s="41" t="str"/>
      <c r="T4031" s="41" t="str"/>
      <c r="U4031" s="41" t="str"/>
      <c r="V4031" s="41" t="str"/>
      <c r="W4031" s="41" t="str"/>
    </row>
    <row r="4032">
      <c r="B4032" s="2" t="n"/>
      <c r="C4032" s="40" t="n"/>
      <c r="D4032" s="52">
        <f t="array" ref="D4032:W4032">IF(All_Students_Scores!C4030:V4030="","",All_Students_Scores!C4030:V4030)</f>
        <v/>
      </c>
      <c r="E4032" s="57" t="str"/>
      <c r="F4032" s="49" t="str"/>
      <c r="G4032" s="59" t="str"/>
      <c r="H4032" s="64" t="str"/>
      <c r="I4032" s="65" t="str"/>
      <c r="J4032" s="49" t="str"/>
      <c r="K4032" s="41" t="str"/>
      <c r="L4032" s="41" t="str"/>
      <c r="M4032" s="41" t="str"/>
      <c r="N4032" s="41" t="str"/>
      <c r="O4032" s="41" t="str"/>
      <c r="P4032" s="41" t="str"/>
      <c r="Q4032" s="41" t="str"/>
      <c r="R4032" s="41" t="str"/>
      <c r="S4032" s="41" t="str"/>
      <c r="T4032" s="41" t="str"/>
      <c r="U4032" s="41" t="str"/>
      <c r="V4032" s="41" t="str"/>
      <c r="W4032" s="41" t="str"/>
    </row>
    <row r="4033">
      <c r="B4033" s="2" t="n"/>
      <c r="C4033" s="40" t="n"/>
      <c r="D4033" s="52">
        <f t="array" ref="D4033:W4033">IF(All_Students_Scores!C4031:V4031="","",All_Students_Scores!C4031:V4031)</f>
        <v/>
      </c>
      <c r="E4033" s="57" t="str"/>
      <c r="F4033" s="49" t="str"/>
      <c r="G4033" s="59" t="str"/>
      <c r="H4033" s="64" t="str"/>
      <c r="I4033" s="65" t="str"/>
      <c r="J4033" s="49" t="str"/>
      <c r="K4033" s="41" t="str"/>
      <c r="L4033" s="41" t="str"/>
      <c r="M4033" s="41" t="str"/>
      <c r="N4033" s="41" t="str"/>
      <c r="O4033" s="41" t="str"/>
      <c r="P4033" s="41" t="str"/>
      <c r="Q4033" s="41" t="str"/>
      <c r="R4033" s="41" t="str"/>
      <c r="S4033" s="41" t="str"/>
      <c r="T4033" s="41" t="str"/>
      <c r="U4033" s="41" t="str"/>
      <c r="V4033" s="41" t="str"/>
      <c r="W4033" s="41" t="str"/>
    </row>
    <row r="4034">
      <c r="B4034" s="2" t="n"/>
      <c r="C4034" s="40" t="n"/>
      <c r="D4034" s="52">
        <f t="array" ref="D4034:W4034">IF(All_Students_Scores!C4032:V4032="","",All_Students_Scores!C4032:V4032)</f>
        <v/>
      </c>
      <c r="E4034" s="57" t="str"/>
      <c r="F4034" s="49" t="str"/>
      <c r="G4034" s="59" t="str"/>
      <c r="H4034" s="64" t="str"/>
      <c r="I4034" s="65" t="str"/>
      <c r="J4034" s="49" t="str"/>
      <c r="K4034" s="41" t="str"/>
      <c r="L4034" s="41" t="str"/>
      <c r="M4034" s="41" t="str"/>
      <c r="N4034" s="41" t="str"/>
      <c r="O4034" s="41" t="str"/>
      <c r="P4034" s="41" t="str"/>
      <c r="Q4034" s="41" t="str"/>
      <c r="R4034" s="41" t="str"/>
      <c r="S4034" s="41" t="str"/>
      <c r="T4034" s="41" t="str"/>
      <c r="U4034" s="41" t="str"/>
      <c r="V4034" s="41" t="str"/>
      <c r="W4034" s="41" t="str"/>
    </row>
    <row r="4035">
      <c r="B4035" s="2" t="n"/>
      <c r="C4035" s="40" t="n"/>
      <c r="D4035" s="52">
        <f t="array" ref="D4035:W4035">IF(All_Students_Scores!C4033:V4033="","",All_Students_Scores!C4033:V4033)</f>
        <v/>
      </c>
      <c r="E4035" s="57" t="str"/>
      <c r="F4035" s="49" t="str"/>
      <c r="G4035" s="59" t="str"/>
      <c r="H4035" s="64" t="str"/>
      <c r="I4035" s="65" t="str"/>
      <c r="J4035" s="49" t="str"/>
      <c r="K4035" s="41" t="str"/>
      <c r="L4035" s="41" t="str"/>
      <c r="M4035" s="41" t="str"/>
      <c r="N4035" s="41" t="str"/>
      <c r="O4035" s="41" t="str"/>
      <c r="P4035" s="41" t="str"/>
      <c r="Q4035" s="41" t="str"/>
      <c r="R4035" s="41" t="str"/>
      <c r="S4035" s="41" t="str"/>
      <c r="T4035" s="41" t="str"/>
      <c r="U4035" s="41" t="str"/>
      <c r="V4035" s="41" t="str"/>
      <c r="W4035" s="41" t="str"/>
    </row>
    <row r="4036">
      <c r="B4036" s="2" t="n"/>
      <c r="C4036" s="40" t="n"/>
      <c r="D4036" s="52">
        <f t="array" ref="D4036:W4036">IF(All_Students_Scores!C4034:V4034="","",All_Students_Scores!C4034:V4034)</f>
        <v/>
      </c>
      <c r="E4036" s="57" t="str"/>
      <c r="F4036" s="49" t="str"/>
      <c r="G4036" s="59" t="str"/>
      <c r="H4036" s="64" t="str"/>
      <c r="I4036" s="65" t="str"/>
      <c r="J4036" s="49" t="str"/>
      <c r="K4036" s="41" t="str"/>
      <c r="L4036" s="41" t="str"/>
      <c r="M4036" s="41" t="str"/>
      <c r="N4036" s="41" t="str"/>
      <c r="O4036" s="41" t="str"/>
      <c r="P4036" s="41" t="str"/>
      <c r="Q4036" s="41" t="str"/>
      <c r="R4036" s="41" t="str"/>
      <c r="S4036" s="41" t="str"/>
      <c r="T4036" s="41" t="str"/>
      <c r="U4036" s="41" t="str"/>
      <c r="V4036" s="41" t="str"/>
      <c r="W4036" s="41" t="str"/>
    </row>
    <row r="4037">
      <c r="B4037" s="2" t="n"/>
      <c r="C4037" s="40" t="n"/>
      <c r="D4037" s="52">
        <f t="array" ref="D4037:W4037">IF(All_Students_Scores!C4035:V4035="","",All_Students_Scores!C4035:V4035)</f>
        <v/>
      </c>
      <c r="E4037" s="57" t="str"/>
      <c r="F4037" s="49" t="str"/>
      <c r="G4037" s="59" t="str"/>
      <c r="H4037" s="64" t="str"/>
      <c r="I4037" s="65" t="str"/>
      <c r="J4037" s="49" t="str"/>
      <c r="K4037" s="41" t="str"/>
      <c r="L4037" s="41" t="str"/>
      <c r="M4037" s="41" t="str"/>
      <c r="N4037" s="41" t="str"/>
      <c r="O4037" s="41" t="str"/>
      <c r="P4037" s="41" t="str"/>
      <c r="Q4037" s="41" t="str"/>
      <c r="R4037" s="41" t="str"/>
      <c r="S4037" s="41" t="str"/>
      <c r="T4037" s="41" t="str"/>
      <c r="U4037" s="41" t="str"/>
      <c r="V4037" s="41" t="str"/>
      <c r="W4037" s="41" t="str"/>
    </row>
    <row r="4038">
      <c r="B4038" s="2" t="n"/>
      <c r="C4038" s="40" t="n"/>
      <c r="D4038" s="52">
        <f t="array" ref="D4038:W4038">IF(All_Students_Scores!C4036:V4036="","",All_Students_Scores!C4036:V4036)</f>
        <v/>
      </c>
      <c r="E4038" s="57" t="str"/>
      <c r="F4038" s="49" t="str"/>
      <c r="G4038" s="59" t="str"/>
      <c r="H4038" s="64" t="str"/>
      <c r="I4038" s="65" t="str"/>
      <c r="J4038" s="49" t="str"/>
      <c r="K4038" s="41" t="str"/>
      <c r="L4038" s="41" t="str"/>
      <c r="M4038" s="41" t="str"/>
      <c r="N4038" s="41" t="str"/>
      <c r="O4038" s="41" t="str"/>
      <c r="P4038" s="41" t="str"/>
      <c r="Q4038" s="41" t="str"/>
      <c r="R4038" s="41" t="str"/>
      <c r="S4038" s="41" t="str"/>
      <c r="T4038" s="41" t="str"/>
      <c r="U4038" s="41" t="str"/>
      <c r="V4038" s="41" t="str"/>
      <c r="W4038" s="41" t="str"/>
    </row>
    <row r="4039">
      <c r="B4039" s="2" t="n"/>
      <c r="C4039" s="40" t="n"/>
      <c r="D4039" s="52">
        <f t="array" ref="D4039:W4039">IF(All_Students_Scores!C4037:V4037="","",All_Students_Scores!C4037:V4037)</f>
        <v/>
      </c>
      <c r="E4039" s="57" t="str"/>
      <c r="F4039" s="49" t="str"/>
      <c r="G4039" s="59" t="str"/>
      <c r="H4039" s="64" t="str"/>
      <c r="I4039" s="65" t="str"/>
      <c r="J4039" s="49" t="str"/>
      <c r="K4039" s="41" t="str"/>
      <c r="L4039" s="41" t="str"/>
      <c r="M4039" s="41" t="str"/>
      <c r="N4039" s="41" t="str"/>
      <c r="O4039" s="41" t="str"/>
      <c r="P4039" s="41" t="str"/>
      <c r="Q4039" s="41" t="str"/>
      <c r="R4039" s="41" t="str"/>
      <c r="S4039" s="41" t="str"/>
      <c r="T4039" s="41" t="str"/>
      <c r="U4039" s="41" t="str"/>
      <c r="V4039" s="41" t="str"/>
      <c r="W4039" s="41" t="str"/>
    </row>
    <row r="4040">
      <c r="B4040" s="2" t="n"/>
      <c r="C4040" s="40" t="n"/>
      <c r="D4040" s="52">
        <f t="array" ref="D4040:W4040">IF(All_Students_Scores!C4038:V4038="","",All_Students_Scores!C4038:V4038)</f>
        <v/>
      </c>
      <c r="E4040" s="57" t="str"/>
      <c r="F4040" s="49" t="str"/>
      <c r="G4040" s="59" t="str"/>
      <c r="H4040" s="64" t="str"/>
      <c r="I4040" s="65" t="str"/>
      <c r="J4040" s="49" t="str"/>
      <c r="K4040" s="41" t="str"/>
      <c r="L4040" s="41" t="str"/>
      <c r="M4040" s="41" t="str"/>
      <c r="N4040" s="41" t="str"/>
      <c r="O4040" s="41" t="str"/>
      <c r="P4040" s="41" t="str"/>
      <c r="Q4040" s="41" t="str"/>
      <c r="R4040" s="41" t="str"/>
      <c r="S4040" s="41" t="str"/>
      <c r="T4040" s="41" t="str"/>
      <c r="U4040" s="41" t="str"/>
      <c r="V4040" s="41" t="str"/>
      <c r="W4040" s="41" t="str"/>
    </row>
    <row r="4041">
      <c r="B4041" s="2" t="n"/>
      <c r="C4041" s="40" t="n"/>
      <c r="D4041" s="52">
        <f t="array" ref="D4041:W4041">IF(All_Students_Scores!C4039:V4039="","",All_Students_Scores!C4039:V4039)</f>
        <v/>
      </c>
      <c r="E4041" s="57" t="str"/>
      <c r="F4041" s="49" t="str"/>
      <c r="G4041" s="59" t="str"/>
      <c r="H4041" s="64" t="str"/>
      <c r="I4041" s="65" t="str"/>
      <c r="J4041" s="49" t="str"/>
      <c r="K4041" s="41" t="str"/>
      <c r="L4041" s="41" t="str"/>
      <c r="M4041" s="41" t="str"/>
      <c r="N4041" s="41" t="str"/>
      <c r="O4041" s="41" t="str"/>
      <c r="P4041" s="41" t="str"/>
      <c r="Q4041" s="41" t="str"/>
      <c r="R4041" s="41" t="str"/>
      <c r="S4041" s="41" t="str"/>
      <c r="T4041" s="41" t="str"/>
      <c r="U4041" s="41" t="str"/>
      <c r="V4041" s="41" t="str"/>
      <c r="W4041" s="41" t="str"/>
    </row>
    <row r="4042">
      <c r="B4042" s="2" t="n"/>
      <c r="C4042" s="40" t="n"/>
      <c r="D4042" s="52">
        <f t="array" ref="D4042:W4042">IF(All_Students_Scores!C4040:V4040="","",All_Students_Scores!C4040:V4040)</f>
        <v/>
      </c>
      <c r="E4042" s="57" t="str"/>
      <c r="F4042" s="49" t="str"/>
      <c r="G4042" s="59" t="str"/>
      <c r="H4042" s="64" t="str"/>
      <c r="I4042" s="65" t="str"/>
      <c r="J4042" s="49" t="str"/>
      <c r="K4042" s="41" t="str"/>
      <c r="L4042" s="41" t="str"/>
      <c r="M4042" s="41" t="str"/>
      <c r="N4042" s="41" t="str"/>
      <c r="O4042" s="41" t="str"/>
      <c r="P4042" s="41" t="str"/>
      <c r="Q4042" s="41" t="str"/>
      <c r="R4042" s="41" t="str"/>
      <c r="S4042" s="41" t="str"/>
      <c r="T4042" s="41" t="str"/>
      <c r="U4042" s="41" t="str"/>
      <c r="V4042" s="41" t="str"/>
      <c r="W4042" s="41" t="str"/>
    </row>
    <row r="4043">
      <c r="B4043" s="2" t="n"/>
      <c r="C4043" s="40" t="n"/>
      <c r="D4043" s="52">
        <f t="array" ref="D4043:W4043">IF(All_Students_Scores!C4041:V4041="","",All_Students_Scores!C4041:V4041)</f>
        <v/>
      </c>
      <c r="E4043" s="57" t="str"/>
      <c r="F4043" s="49" t="str"/>
      <c r="G4043" s="59" t="str"/>
      <c r="H4043" s="64" t="str"/>
      <c r="I4043" s="65" t="str"/>
      <c r="J4043" s="49" t="str"/>
      <c r="K4043" s="41" t="str"/>
      <c r="L4043" s="41" t="str"/>
      <c r="M4043" s="41" t="str"/>
      <c r="N4043" s="41" t="str"/>
      <c r="O4043" s="41" t="str"/>
      <c r="P4043" s="41" t="str"/>
      <c r="Q4043" s="41" t="str"/>
      <c r="R4043" s="41" t="str"/>
      <c r="S4043" s="41" t="str"/>
      <c r="T4043" s="41" t="str"/>
      <c r="U4043" s="41" t="str"/>
      <c r="V4043" s="41" t="str"/>
      <c r="W4043" s="41" t="str"/>
    </row>
    <row r="4044">
      <c r="B4044" s="2" t="n"/>
      <c r="C4044" s="40" t="n"/>
      <c r="D4044" s="52">
        <f t="array" ref="D4044:W4044">IF(All_Students_Scores!C4042:V4042="","",All_Students_Scores!C4042:V4042)</f>
        <v/>
      </c>
      <c r="E4044" s="57" t="str"/>
      <c r="F4044" s="49" t="str"/>
      <c r="G4044" s="59" t="str"/>
      <c r="H4044" s="64" t="str"/>
      <c r="I4044" s="65" t="str"/>
      <c r="J4044" s="49" t="str"/>
      <c r="K4044" s="41" t="str"/>
      <c r="L4044" s="41" t="str"/>
      <c r="M4044" s="41" t="str"/>
      <c r="N4044" s="41" t="str"/>
      <c r="O4044" s="41" t="str"/>
      <c r="P4044" s="41" t="str"/>
      <c r="Q4044" s="41" t="str"/>
      <c r="R4044" s="41" t="str"/>
      <c r="S4044" s="41" t="str"/>
      <c r="T4044" s="41" t="str"/>
      <c r="U4044" s="41" t="str"/>
      <c r="V4044" s="41" t="str"/>
      <c r="W4044" s="41" t="str"/>
    </row>
    <row r="4045">
      <c r="B4045" s="2" t="n"/>
      <c r="C4045" s="40" t="n"/>
      <c r="D4045" s="52">
        <f t="array" ref="D4045:W4045">IF(All_Students_Scores!C4043:V4043="","",All_Students_Scores!C4043:V4043)</f>
        <v/>
      </c>
      <c r="E4045" s="57" t="str"/>
      <c r="F4045" s="49" t="str"/>
      <c r="G4045" s="59" t="str"/>
      <c r="H4045" s="64" t="str"/>
      <c r="I4045" s="65" t="str"/>
      <c r="J4045" s="49" t="str"/>
      <c r="K4045" s="41" t="str"/>
      <c r="L4045" s="41" t="str"/>
      <c r="M4045" s="41" t="str"/>
      <c r="N4045" s="41" t="str"/>
      <c r="O4045" s="41" t="str"/>
      <c r="P4045" s="41" t="str"/>
      <c r="Q4045" s="41" t="str"/>
      <c r="R4045" s="41" t="str"/>
      <c r="S4045" s="41" t="str"/>
      <c r="T4045" s="41" t="str"/>
      <c r="U4045" s="41" t="str"/>
      <c r="V4045" s="41" t="str"/>
      <c r="W4045" s="41" t="str"/>
    </row>
    <row r="4046">
      <c r="B4046" s="2" t="n"/>
      <c r="C4046" s="40" t="n"/>
      <c r="D4046" s="52">
        <f t="array" ref="D4046:W4046">IF(All_Students_Scores!C4044:V4044="","",All_Students_Scores!C4044:V4044)</f>
        <v/>
      </c>
      <c r="E4046" s="57" t="str"/>
      <c r="F4046" s="49" t="str"/>
      <c r="G4046" s="59" t="str"/>
      <c r="H4046" s="64" t="str"/>
      <c r="I4046" s="65" t="str"/>
      <c r="J4046" s="49" t="str"/>
      <c r="K4046" s="41" t="str"/>
      <c r="L4046" s="41" t="str"/>
      <c r="M4046" s="41" t="str"/>
      <c r="N4046" s="41" t="str"/>
      <c r="O4046" s="41" t="str"/>
      <c r="P4046" s="41" t="str"/>
      <c r="Q4046" s="41" t="str"/>
      <c r="R4046" s="41" t="str"/>
      <c r="S4046" s="41" t="str"/>
      <c r="T4046" s="41" t="str"/>
      <c r="U4046" s="41" t="str"/>
      <c r="V4046" s="41" t="str"/>
      <c r="W4046" s="41" t="str"/>
    </row>
    <row r="4047">
      <c r="B4047" s="2" t="n"/>
      <c r="C4047" s="40" t="n"/>
      <c r="D4047" s="52">
        <f t="array" ref="D4047:W4047">IF(All_Students_Scores!C4045:V4045="","",All_Students_Scores!C4045:V4045)</f>
        <v/>
      </c>
      <c r="E4047" s="57" t="str"/>
      <c r="F4047" s="49" t="str"/>
      <c r="G4047" s="59" t="str"/>
      <c r="H4047" s="64" t="str"/>
      <c r="I4047" s="65" t="str"/>
      <c r="J4047" s="49" t="str"/>
      <c r="K4047" s="41" t="str"/>
      <c r="L4047" s="41" t="str"/>
      <c r="M4047" s="41" t="str"/>
      <c r="N4047" s="41" t="str"/>
      <c r="O4047" s="41" t="str"/>
      <c r="P4047" s="41" t="str"/>
      <c r="Q4047" s="41" t="str"/>
      <c r="R4047" s="41" t="str"/>
      <c r="S4047" s="41" t="str"/>
      <c r="T4047" s="41" t="str"/>
      <c r="U4047" s="41" t="str"/>
      <c r="V4047" s="41" t="str"/>
      <c r="W4047" s="41" t="str"/>
    </row>
    <row r="4048">
      <c r="B4048" s="2" t="n"/>
      <c r="C4048" s="40" t="n"/>
      <c r="D4048" s="52">
        <f t="array" ref="D4048:W4048">IF(All_Students_Scores!C4046:V4046="","",All_Students_Scores!C4046:V4046)</f>
        <v/>
      </c>
      <c r="E4048" s="57" t="str"/>
      <c r="F4048" s="49" t="str"/>
      <c r="G4048" s="59" t="str"/>
      <c r="H4048" s="64" t="str"/>
      <c r="I4048" s="65" t="str"/>
      <c r="J4048" s="49" t="str"/>
      <c r="K4048" s="41" t="str"/>
      <c r="L4048" s="41" t="str"/>
      <c r="M4048" s="41" t="str"/>
      <c r="N4048" s="41" t="str"/>
      <c r="O4048" s="41" t="str"/>
      <c r="P4048" s="41" t="str"/>
      <c r="Q4048" s="41" t="str"/>
      <c r="R4048" s="41" t="str"/>
      <c r="S4048" s="41" t="str"/>
      <c r="T4048" s="41" t="str"/>
      <c r="U4048" s="41" t="str"/>
      <c r="V4048" s="41" t="str"/>
      <c r="W4048" s="41" t="str"/>
    </row>
    <row r="4049">
      <c r="B4049" s="2" t="n"/>
      <c r="C4049" s="40" t="n"/>
      <c r="D4049" s="52">
        <f t="array" ref="D4049:W4049">IF(All_Students_Scores!C4047:V4047="","",All_Students_Scores!C4047:V4047)</f>
        <v/>
      </c>
      <c r="E4049" s="57" t="str"/>
      <c r="F4049" s="49" t="str"/>
      <c r="G4049" s="59" t="str"/>
      <c r="H4049" s="64" t="str"/>
      <c r="I4049" s="65" t="str"/>
      <c r="J4049" s="49" t="str"/>
      <c r="K4049" s="41" t="str"/>
      <c r="L4049" s="41" t="str"/>
      <c r="M4049" s="41" t="str"/>
      <c r="N4049" s="41" t="str"/>
      <c r="O4049" s="41" t="str"/>
      <c r="P4049" s="41" t="str"/>
      <c r="Q4049" s="41" t="str"/>
      <c r="R4049" s="41" t="str"/>
      <c r="S4049" s="41" t="str"/>
      <c r="T4049" s="41" t="str"/>
      <c r="U4049" s="41" t="str"/>
      <c r="V4049" s="41" t="str"/>
      <c r="W4049" s="41" t="str"/>
    </row>
    <row r="4050">
      <c r="B4050" s="2" t="n"/>
      <c r="C4050" s="40" t="n"/>
      <c r="D4050" s="52">
        <f t="array" ref="D4050:W4050">IF(All_Students_Scores!C4048:V4048="","",All_Students_Scores!C4048:V4048)</f>
        <v/>
      </c>
      <c r="E4050" s="57" t="str"/>
      <c r="F4050" s="49" t="str"/>
      <c r="G4050" s="59" t="str"/>
      <c r="H4050" s="64" t="str"/>
      <c r="I4050" s="65" t="str"/>
      <c r="J4050" s="49" t="str"/>
      <c r="K4050" s="41" t="str"/>
      <c r="L4050" s="41" t="str"/>
      <c r="M4050" s="41" t="str"/>
      <c r="N4050" s="41" t="str"/>
      <c r="O4050" s="41" t="str"/>
      <c r="P4050" s="41" t="str"/>
      <c r="Q4050" s="41" t="str"/>
      <c r="R4050" s="41" t="str"/>
      <c r="S4050" s="41" t="str"/>
      <c r="T4050" s="41" t="str"/>
      <c r="U4050" s="41" t="str"/>
      <c r="V4050" s="41" t="str"/>
      <c r="W4050" s="41" t="str"/>
    </row>
    <row r="4051">
      <c r="B4051" s="2" t="n"/>
      <c r="C4051" s="40" t="n"/>
      <c r="D4051" s="52">
        <f t="array" ref="D4051:W4051">IF(All_Students_Scores!C4049:V4049="","",All_Students_Scores!C4049:V4049)</f>
        <v/>
      </c>
      <c r="E4051" s="57" t="str"/>
      <c r="F4051" s="49" t="str"/>
      <c r="G4051" s="59" t="str"/>
      <c r="H4051" s="64" t="str"/>
      <c r="I4051" s="65" t="str"/>
      <c r="J4051" s="49" t="str"/>
      <c r="K4051" s="41" t="str"/>
      <c r="L4051" s="41" t="str"/>
      <c r="M4051" s="41" t="str"/>
      <c r="N4051" s="41" t="str"/>
      <c r="O4051" s="41" t="str"/>
      <c r="P4051" s="41" t="str"/>
      <c r="Q4051" s="41" t="str"/>
      <c r="R4051" s="41" t="str"/>
      <c r="S4051" s="41" t="str"/>
      <c r="T4051" s="41" t="str"/>
      <c r="U4051" s="41" t="str"/>
      <c r="V4051" s="41" t="str"/>
      <c r="W4051" s="41" t="str"/>
    </row>
    <row r="4052">
      <c r="B4052" s="2" t="n"/>
      <c r="C4052" s="40" t="n"/>
      <c r="D4052" s="52">
        <f t="array" ref="D4052:W4052">IF(All_Students_Scores!C4050:V4050="","",All_Students_Scores!C4050:V4050)</f>
        <v/>
      </c>
      <c r="E4052" s="57" t="str"/>
      <c r="F4052" s="49" t="str"/>
      <c r="G4052" s="59" t="str"/>
      <c r="H4052" s="64" t="str"/>
      <c r="I4052" s="65" t="str"/>
      <c r="J4052" s="49" t="str"/>
      <c r="K4052" s="41" t="str"/>
      <c r="L4052" s="41" t="str"/>
      <c r="M4052" s="41" t="str"/>
      <c r="N4052" s="41" t="str"/>
      <c r="O4052" s="41" t="str"/>
      <c r="P4052" s="41" t="str"/>
      <c r="Q4052" s="41" t="str"/>
      <c r="R4052" s="41" t="str"/>
      <c r="S4052" s="41" t="str"/>
      <c r="T4052" s="41" t="str"/>
      <c r="U4052" s="41" t="str"/>
      <c r="V4052" s="41" t="str"/>
      <c r="W4052" s="41" t="str"/>
    </row>
    <row r="4053">
      <c r="B4053" s="2" t="n"/>
      <c r="C4053" s="40" t="n"/>
      <c r="D4053" s="52">
        <f t="array" ref="D4053:W4053">IF(All_Students_Scores!C4051:V4051="","",All_Students_Scores!C4051:V4051)</f>
        <v/>
      </c>
      <c r="E4053" s="57" t="str"/>
      <c r="F4053" s="49" t="str"/>
      <c r="G4053" s="59" t="str"/>
      <c r="H4053" s="64" t="str"/>
      <c r="I4053" s="65" t="str"/>
      <c r="J4053" s="49" t="str"/>
      <c r="K4053" s="41" t="str"/>
      <c r="L4053" s="41" t="str"/>
      <c r="M4053" s="41" t="str"/>
      <c r="N4053" s="41" t="str"/>
      <c r="O4053" s="41" t="str"/>
      <c r="P4053" s="41" t="str"/>
      <c r="Q4053" s="41" t="str"/>
      <c r="R4053" s="41" t="str"/>
      <c r="S4053" s="41" t="str"/>
      <c r="T4053" s="41" t="str"/>
      <c r="U4053" s="41" t="str"/>
      <c r="V4053" s="41" t="str"/>
      <c r="W4053" s="41" t="str"/>
    </row>
    <row r="4054">
      <c r="B4054" s="2" t="n"/>
      <c r="C4054" s="40" t="n"/>
      <c r="D4054" s="52">
        <f t="array" ref="D4054:W4054">IF(All_Students_Scores!C4052:V4052="","",All_Students_Scores!C4052:V4052)</f>
        <v/>
      </c>
      <c r="E4054" s="57" t="str"/>
      <c r="F4054" s="49" t="str"/>
      <c r="G4054" s="59" t="str"/>
      <c r="H4054" s="64" t="str"/>
      <c r="I4054" s="65" t="str"/>
      <c r="J4054" s="49" t="str"/>
      <c r="K4054" s="41" t="str"/>
      <c r="L4054" s="41" t="str"/>
      <c r="M4054" s="41" t="str"/>
      <c r="N4054" s="41" t="str"/>
      <c r="O4054" s="41" t="str"/>
      <c r="P4054" s="41" t="str"/>
      <c r="Q4054" s="41" t="str"/>
      <c r="R4054" s="41" t="str"/>
      <c r="S4054" s="41" t="str"/>
      <c r="T4054" s="41" t="str"/>
      <c r="U4054" s="41" t="str"/>
      <c r="V4054" s="41" t="str"/>
      <c r="W4054" s="41" t="str"/>
    </row>
    <row r="4055">
      <c r="B4055" s="2" t="n"/>
      <c r="C4055" s="40" t="n"/>
      <c r="D4055" s="52">
        <f t="array" ref="D4055:W4055">IF(All_Students_Scores!C4053:V4053="","",All_Students_Scores!C4053:V4053)</f>
        <v/>
      </c>
      <c r="E4055" s="57" t="str"/>
      <c r="F4055" s="49" t="str"/>
      <c r="G4055" s="59" t="str"/>
      <c r="H4055" s="64" t="str"/>
      <c r="I4055" s="65" t="str"/>
      <c r="J4055" s="49" t="str"/>
      <c r="K4055" s="41" t="str"/>
      <c r="L4055" s="41" t="str"/>
      <c r="M4055" s="41" t="str"/>
      <c r="N4055" s="41" t="str"/>
      <c r="O4055" s="41" t="str"/>
      <c r="P4055" s="41" t="str"/>
      <c r="Q4055" s="41" t="str"/>
      <c r="R4055" s="41" t="str"/>
      <c r="S4055" s="41" t="str"/>
      <c r="T4055" s="41" t="str"/>
      <c r="U4055" s="41" t="str"/>
      <c r="V4055" s="41" t="str"/>
      <c r="W4055" s="41" t="str"/>
    </row>
    <row r="4056">
      <c r="B4056" s="2" t="n"/>
      <c r="C4056" s="40" t="n"/>
      <c r="D4056" s="52">
        <f t="array" ref="D4056:W4056">IF(All_Students_Scores!C4054:V4054="","",All_Students_Scores!C4054:V4054)</f>
        <v/>
      </c>
      <c r="E4056" s="57" t="str"/>
      <c r="F4056" s="49" t="str"/>
      <c r="G4056" s="59" t="str"/>
      <c r="H4056" s="64" t="str"/>
      <c r="I4056" s="65" t="str"/>
      <c r="J4056" s="49" t="str"/>
      <c r="K4056" s="41" t="str"/>
      <c r="L4056" s="41" t="str"/>
      <c r="M4056" s="41" t="str"/>
      <c r="N4056" s="41" t="str"/>
      <c r="O4056" s="41" t="str"/>
      <c r="P4056" s="41" t="str"/>
      <c r="Q4056" s="41" t="str"/>
      <c r="R4056" s="41" t="str"/>
      <c r="S4056" s="41" t="str"/>
      <c r="T4056" s="41" t="str"/>
      <c r="U4056" s="41" t="str"/>
      <c r="V4056" s="41" t="str"/>
      <c r="W4056" s="41" t="str"/>
    </row>
    <row r="4057">
      <c r="B4057" s="2" t="n"/>
      <c r="C4057" s="40" t="n"/>
      <c r="D4057" s="52">
        <f t="array" ref="D4057:W4057">IF(All_Students_Scores!C4055:V4055="","",All_Students_Scores!C4055:V4055)</f>
        <v/>
      </c>
      <c r="E4057" s="57" t="str"/>
      <c r="F4057" s="49" t="str"/>
      <c r="G4057" s="59" t="str"/>
      <c r="H4057" s="64" t="str"/>
      <c r="I4057" s="65" t="str"/>
      <c r="J4057" s="49" t="str"/>
      <c r="K4057" s="41" t="str"/>
      <c r="L4057" s="41" t="str"/>
      <c r="M4057" s="41" t="str"/>
      <c r="N4057" s="41" t="str"/>
      <c r="O4057" s="41" t="str"/>
      <c r="P4057" s="41" t="str"/>
      <c r="Q4057" s="41" t="str"/>
      <c r="R4057" s="41" t="str"/>
      <c r="S4057" s="41" t="str"/>
      <c r="T4057" s="41" t="str"/>
      <c r="U4057" s="41" t="str"/>
      <c r="V4057" s="41" t="str"/>
      <c r="W4057" s="41" t="str"/>
    </row>
    <row r="4058">
      <c r="B4058" s="2" t="n"/>
      <c r="C4058" s="40" t="n"/>
      <c r="D4058" s="52">
        <f t="array" ref="D4058:W4058">IF(All_Students_Scores!C4056:V4056="","",All_Students_Scores!C4056:V4056)</f>
        <v/>
      </c>
      <c r="E4058" s="57" t="str"/>
      <c r="F4058" s="49" t="str"/>
      <c r="G4058" s="59" t="str"/>
      <c r="H4058" s="64" t="str"/>
      <c r="I4058" s="65" t="str"/>
      <c r="J4058" s="49" t="str"/>
      <c r="K4058" s="41" t="str"/>
      <c r="L4058" s="41" t="str"/>
      <c r="M4058" s="41" t="str"/>
      <c r="N4058" s="41" t="str"/>
      <c r="O4058" s="41" t="str"/>
      <c r="P4058" s="41" t="str"/>
      <c r="Q4058" s="41" t="str"/>
      <c r="R4058" s="41" t="str"/>
      <c r="S4058" s="41" t="str"/>
      <c r="T4058" s="41" t="str"/>
      <c r="U4058" s="41" t="str"/>
      <c r="V4058" s="41" t="str"/>
      <c r="W4058" s="41" t="str"/>
    </row>
    <row r="4059">
      <c r="B4059" s="2" t="n"/>
      <c r="C4059" s="40" t="n"/>
      <c r="D4059" s="52">
        <f t="array" ref="D4059:W4059">IF(All_Students_Scores!C4057:V4057="","",All_Students_Scores!C4057:V4057)</f>
        <v/>
      </c>
      <c r="E4059" s="57" t="str"/>
      <c r="F4059" s="49" t="str"/>
      <c r="G4059" s="59" t="str"/>
      <c r="H4059" s="64" t="str"/>
      <c r="I4059" s="65" t="str"/>
      <c r="J4059" s="49" t="str"/>
      <c r="K4059" s="41" t="str"/>
      <c r="L4059" s="41" t="str"/>
      <c r="M4059" s="41" t="str"/>
      <c r="N4059" s="41" t="str"/>
      <c r="O4059" s="41" t="str"/>
      <c r="P4059" s="41" t="str"/>
      <c r="Q4059" s="41" t="str"/>
      <c r="R4059" s="41" t="str"/>
      <c r="S4059" s="41" t="str"/>
      <c r="T4059" s="41" t="str"/>
      <c r="U4059" s="41" t="str"/>
      <c r="V4059" s="41" t="str"/>
      <c r="W4059" s="41" t="str"/>
    </row>
    <row r="4060">
      <c r="B4060" s="2" t="n"/>
      <c r="C4060" s="40" t="n"/>
      <c r="D4060" s="52">
        <f t="array" ref="D4060:W4060">IF(All_Students_Scores!C4058:V4058="","",All_Students_Scores!C4058:V4058)</f>
        <v/>
      </c>
      <c r="E4060" s="57" t="str"/>
      <c r="F4060" s="49" t="str"/>
      <c r="G4060" s="59" t="str"/>
      <c r="H4060" s="64" t="str"/>
      <c r="I4060" s="65" t="str"/>
      <c r="J4060" s="49" t="str"/>
      <c r="K4060" s="41" t="str"/>
      <c r="L4060" s="41" t="str"/>
      <c r="M4060" s="41" t="str"/>
      <c r="N4060" s="41" t="str"/>
      <c r="O4060" s="41" t="str"/>
      <c r="P4060" s="41" t="str"/>
      <c r="Q4060" s="41" t="str"/>
      <c r="R4060" s="41" t="str"/>
      <c r="S4060" s="41" t="str"/>
      <c r="T4060" s="41" t="str"/>
      <c r="U4060" s="41" t="str"/>
      <c r="V4060" s="41" t="str"/>
      <c r="W4060" s="41" t="str"/>
    </row>
    <row r="4061">
      <c r="B4061" s="2" t="n"/>
      <c r="C4061" s="40" t="n"/>
      <c r="D4061" s="52">
        <f t="array" ref="D4061:W4061">IF(All_Students_Scores!C4059:V4059="","",All_Students_Scores!C4059:V4059)</f>
        <v/>
      </c>
      <c r="E4061" s="57" t="str"/>
      <c r="F4061" s="49" t="str"/>
      <c r="G4061" s="59" t="str"/>
      <c r="H4061" s="64" t="str"/>
      <c r="I4061" s="65" t="str"/>
      <c r="J4061" s="49" t="str"/>
      <c r="K4061" s="41" t="str"/>
      <c r="L4061" s="41" t="str"/>
      <c r="M4061" s="41" t="str"/>
      <c r="N4061" s="41" t="str"/>
      <c r="O4061" s="41" t="str"/>
      <c r="P4061" s="41" t="str"/>
      <c r="Q4061" s="41" t="str"/>
      <c r="R4061" s="41" t="str"/>
      <c r="S4061" s="41" t="str"/>
      <c r="T4061" s="41" t="str"/>
      <c r="U4061" s="41" t="str"/>
      <c r="V4061" s="41" t="str"/>
      <c r="W4061" s="41" t="str"/>
    </row>
    <row r="4062">
      <c r="B4062" s="2" t="n"/>
      <c r="C4062" s="40" t="n"/>
      <c r="D4062" s="52">
        <f t="array" ref="D4062:W4062">IF(All_Students_Scores!C4060:V4060="","",All_Students_Scores!C4060:V4060)</f>
        <v/>
      </c>
      <c r="E4062" s="57" t="str"/>
      <c r="F4062" s="49" t="str"/>
      <c r="G4062" s="59" t="str"/>
      <c r="H4062" s="64" t="str"/>
      <c r="I4062" s="65" t="str"/>
      <c r="J4062" s="49" t="str"/>
      <c r="K4062" s="41" t="str"/>
      <c r="L4062" s="41" t="str"/>
      <c r="M4062" s="41" t="str"/>
      <c r="N4062" s="41" t="str"/>
      <c r="O4062" s="41" t="str"/>
      <c r="P4062" s="41" t="str"/>
      <c r="Q4062" s="41" t="str"/>
      <c r="R4062" s="41" t="str"/>
      <c r="S4062" s="41" t="str"/>
      <c r="T4062" s="41" t="str"/>
      <c r="U4062" s="41" t="str"/>
      <c r="V4062" s="41" t="str"/>
      <c r="W4062" s="41" t="str"/>
    </row>
    <row r="4063">
      <c r="B4063" s="2" t="n"/>
      <c r="C4063" s="40" t="n"/>
      <c r="D4063" s="52">
        <f t="array" ref="D4063:W4063">IF(All_Students_Scores!C4061:V4061="","",All_Students_Scores!C4061:V4061)</f>
        <v/>
      </c>
      <c r="E4063" s="57" t="str"/>
      <c r="F4063" s="49" t="str"/>
      <c r="G4063" s="59" t="str"/>
      <c r="H4063" s="64" t="str"/>
      <c r="I4063" s="65" t="str"/>
      <c r="J4063" s="49" t="str"/>
      <c r="K4063" s="41" t="str"/>
      <c r="L4063" s="41" t="str"/>
      <c r="M4063" s="41" t="str"/>
      <c r="N4063" s="41" t="str"/>
      <c r="O4063" s="41" t="str"/>
      <c r="P4063" s="41" t="str"/>
      <c r="Q4063" s="41" t="str"/>
      <c r="R4063" s="41" t="str"/>
      <c r="S4063" s="41" t="str"/>
      <c r="T4063" s="41" t="str"/>
      <c r="U4063" s="41" t="str"/>
      <c r="V4063" s="41" t="str"/>
      <c r="W4063" s="41" t="str"/>
    </row>
    <row r="4064">
      <c r="B4064" s="2" t="n"/>
      <c r="C4064" s="40" t="n"/>
      <c r="D4064" s="52">
        <f t="array" ref="D4064:W4064">IF(All_Students_Scores!C4062:V4062="","",All_Students_Scores!C4062:V4062)</f>
        <v/>
      </c>
      <c r="E4064" s="57" t="str"/>
      <c r="F4064" s="49" t="str"/>
      <c r="G4064" s="59" t="str"/>
      <c r="H4064" s="64" t="str"/>
      <c r="I4064" s="65" t="str"/>
      <c r="J4064" s="49" t="str"/>
      <c r="K4064" s="41" t="str"/>
      <c r="L4064" s="41" t="str"/>
      <c r="M4064" s="41" t="str"/>
      <c r="N4064" s="41" t="str"/>
      <c r="O4064" s="41" t="str"/>
      <c r="P4064" s="41" t="str"/>
      <c r="Q4064" s="41" t="str"/>
      <c r="R4064" s="41" t="str"/>
      <c r="S4064" s="41" t="str"/>
      <c r="T4064" s="41" t="str"/>
      <c r="U4064" s="41" t="str"/>
      <c r="V4064" s="41" t="str"/>
      <c r="W4064" s="41" t="str"/>
    </row>
    <row r="4065">
      <c r="B4065" s="2" t="n"/>
      <c r="C4065" s="40" t="n"/>
      <c r="D4065" s="52">
        <f t="array" ref="D4065:W4065">IF(All_Students_Scores!C4063:V4063="","",All_Students_Scores!C4063:V4063)</f>
        <v/>
      </c>
      <c r="E4065" s="57" t="str"/>
      <c r="F4065" s="49" t="str"/>
      <c r="G4065" s="59" t="str"/>
      <c r="H4065" s="64" t="str"/>
      <c r="I4065" s="65" t="str"/>
      <c r="J4065" s="49" t="str"/>
      <c r="K4065" s="41" t="str"/>
      <c r="L4065" s="41" t="str"/>
      <c r="M4065" s="41" t="str"/>
      <c r="N4065" s="41" t="str"/>
      <c r="O4065" s="41" t="str"/>
      <c r="P4065" s="41" t="str"/>
      <c r="Q4065" s="41" t="str"/>
      <c r="R4065" s="41" t="str"/>
      <c r="S4065" s="41" t="str"/>
      <c r="T4065" s="41" t="str"/>
      <c r="U4065" s="41" t="str"/>
      <c r="V4065" s="41" t="str"/>
      <c r="W4065" s="41" t="str"/>
    </row>
    <row r="4066">
      <c r="B4066" s="2" t="n"/>
      <c r="C4066" s="40" t="n"/>
      <c r="D4066" s="52">
        <f t="array" ref="D4066:W4066">IF(All_Students_Scores!C4064:V4064="","",All_Students_Scores!C4064:V4064)</f>
        <v/>
      </c>
      <c r="E4066" s="57" t="str"/>
      <c r="F4066" s="49" t="str"/>
      <c r="G4066" s="59" t="str"/>
      <c r="H4066" s="64" t="str"/>
      <c r="I4066" s="65" t="str"/>
      <c r="J4066" s="49" t="str"/>
      <c r="K4066" s="41" t="str"/>
      <c r="L4066" s="41" t="str"/>
      <c r="M4066" s="41" t="str"/>
      <c r="N4066" s="41" t="str"/>
      <c r="O4066" s="41" t="str"/>
      <c r="P4066" s="41" t="str"/>
      <c r="Q4066" s="41" t="str"/>
      <c r="R4066" s="41" t="str"/>
      <c r="S4066" s="41" t="str"/>
      <c r="T4066" s="41" t="str"/>
      <c r="U4066" s="41" t="str"/>
      <c r="V4066" s="41" t="str"/>
      <c r="W4066" s="41" t="str"/>
    </row>
    <row r="4067">
      <c r="B4067" s="2" t="n"/>
      <c r="C4067" s="40" t="n"/>
      <c r="D4067" s="52">
        <f t="array" ref="D4067:W4067">IF(All_Students_Scores!C4065:V4065="","",All_Students_Scores!C4065:V4065)</f>
        <v/>
      </c>
      <c r="E4067" s="57" t="str"/>
      <c r="F4067" s="49" t="str"/>
      <c r="G4067" s="59" t="str"/>
      <c r="H4067" s="64" t="str"/>
      <c r="I4067" s="65" t="str"/>
      <c r="J4067" s="49" t="str"/>
      <c r="K4067" s="41" t="str"/>
      <c r="L4067" s="41" t="str"/>
      <c r="M4067" s="41" t="str"/>
      <c r="N4067" s="41" t="str"/>
      <c r="O4067" s="41" t="str"/>
      <c r="P4067" s="41" t="str"/>
      <c r="Q4067" s="41" t="str"/>
      <c r="R4067" s="41" t="str"/>
      <c r="S4067" s="41" t="str"/>
      <c r="T4067" s="41" t="str"/>
      <c r="U4067" s="41" t="str"/>
      <c r="V4067" s="41" t="str"/>
      <c r="W4067" s="41" t="str"/>
    </row>
    <row r="4068">
      <c r="B4068" s="2" t="n"/>
      <c r="C4068" s="40" t="n"/>
      <c r="D4068" s="52">
        <f t="array" ref="D4068:W4068">IF(All_Students_Scores!C4066:V4066="","",All_Students_Scores!C4066:V4066)</f>
        <v/>
      </c>
      <c r="E4068" s="57" t="str"/>
      <c r="F4068" s="49" t="str"/>
      <c r="G4068" s="59" t="str"/>
      <c r="H4068" s="64" t="str"/>
      <c r="I4068" s="65" t="str"/>
      <c r="J4068" s="49" t="str"/>
      <c r="K4068" s="41" t="str"/>
      <c r="L4068" s="41" t="str"/>
      <c r="M4068" s="41" t="str"/>
      <c r="N4068" s="41" t="str"/>
      <c r="O4068" s="41" t="str"/>
      <c r="P4068" s="41" t="str"/>
      <c r="Q4068" s="41" t="str"/>
      <c r="R4068" s="41" t="str"/>
      <c r="S4068" s="41" t="str"/>
      <c r="T4068" s="41" t="str"/>
      <c r="U4068" s="41" t="str"/>
      <c r="V4068" s="41" t="str"/>
      <c r="W4068" s="41" t="str"/>
    </row>
    <row r="4069">
      <c r="B4069" s="2" t="n"/>
      <c r="C4069" s="40" t="n"/>
      <c r="D4069" s="52">
        <f t="array" ref="D4069:W4069">IF(All_Students_Scores!C4067:V4067="","",All_Students_Scores!C4067:V4067)</f>
        <v/>
      </c>
      <c r="E4069" s="57" t="str"/>
      <c r="F4069" s="49" t="str"/>
      <c r="G4069" s="59" t="str"/>
      <c r="H4069" s="64" t="str"/>
      <c r="I4069" s="65" t="str"/>
      <c r="J4069" s="49" t="str"/>
      <c r="K4069" s="41" t="str"/>
      <c r="L4069" s="41" t="str"/>
      <c r="M4069" s="41" t="str"/>
      <c r="N4069" s="41" t="str"/>
      <c r="O4069" s="41" t="str"/>
      <c r="P4069" s="41" t="str"/>
      <c r="Q4069" s="41" t="str"/>
      <c r="R4069" s="41" t="str"/>
      <c r="S4069" s="41" t="str"/>
      <c r="T4069" s="41" t="str"/>
      <c r="U4069" s="41" t="str"/>
      <c r="V4069" s="41" t="str"/>
      <c r="W4069" s="41" t="str"/>
    </row>
    <row r="4070">
      <c r="B4070" s="2" t="n"/>
      <c r="C4070" s="40" t="n"/>
      <c r="D4070" s="52">
        <f t="array" ref="D4070:W4070">IF(All_Students_Scores!C4068:V4068="","",All_Students_Scores!C4068:V4068)</f>
        <v/>
      </c>
      <c r="E4070" s="57" t="str"/>
      <c r="F4070" s="49" t="str"/>
      <c r="G4070" s="59" t="str"/>
      <c r="H4070" s="64" t="str"/>
      <c r="I4070" s="65" t="str"/>
      <c r="J4070" s="49" t="str"/>
      <c r="K4070" s="41" t="str"/>
      <c r="L4070" s="41" t="str"/>
      <c r="M4070" s="41" t="str"/>
      <c r="N4070" s="41" t="str"/>
      <c r="O4070" s="41" t="str"/>
      <c r="P4070" s="41" t="str"/>
      <c r="Q4070" s="41" t="str"/>
      <c r="R4070" s="41" t="str"/>
      <c r="S4070" s="41" t="str"/>
      <c r="T4070" s="41" t="str"/>
      <c r="U4070" s="41" t="str"/>
      <c r="V4070" s="41" t="str"/>
      <c r="W4070" s="41" t="str"/>
    </row>
    <row r="4071">
      <c r="B4071" s="2" t="n"/>
      <c r="C4071" s="40" t="n"/>
      <c r="D4071" s="52">
        <f t="array" ref="D4071:W4071">IF(All_Students_Scores!C4069:V4069="","",All_Students_Scores!C4069:V4069)</f>
        <v/>
      </c>
      <c r="E4071" s="57" t="str"/>
      <c r="F4071" s="49" t="str"/>
      <c r="G4071" s="59" t="str"/>
      <c r="H4071" s="64" t="str"/>
      <c r="I4071" s="65" t="str"/>
      <c r="J4071" s="49" t="str"/>
      <c r="K4071" s="41" t="str"/>
      <c r="L4071" s="41" t="str"/>
      <c r="M4071" s="41" t="str"/>
      <c r="N4071" s="41" t="str"/>
      <c r="O4071" s="41" t="str"/>
      <c r="P4071" s="41" t="str"/>
      <c r="Q4071" s="41" t="str"/>
      <c r="R4071" s="41" t="str"/>
      <c r="S4071" s="41" t="str"/>
      <c r="T4071" s="41" t="str"/>
      <c r="U4071" s="41" t="str"/>
      <c r="V4071" s="41" t="str"/>
      <c r="W4071" s="41" t="str"/>
    </row>
    <row r="4072">
      <c r="B4072" s="2" t="n"/>
      <c r="C4072" s="40" t="n"/>
      <c r="D4072" s="52">
        <f t="array" ref="D4072:W4072">IF(All_Students_Scores!C4070:V4070="","",All_Students_Scores!C4070:V4070)</f>
        <v/>
      </c>
      <c r="E4072" s="57" t="str"/>
      <c r="F4072" s="49" t="str"/>
      <c r="G4072" s="59" t="str"/>
      <c r="H4072" s="64" t="str"/>
      <c r="I4072" s="65" t="str"/>
      <c r="J4072" s="49" t="str"/>
      <c r="K4072" s="41" t="str"/>
      <c r="L4072" s="41" t="str"/>
      <c r="M4072" s="41" t="str"/>
      <c r="N4072" s="41" t="str"/>
      <c r="O4072" s="41" t="str"/>
      <c r="P4072" s="41" t="str"/>
      <c r="Q4072" s="41" t="str"/>
      <c r="R4072" s="41" t="str"/>
      <c r="S4072" s="41" t="str"/>
      <c r="T4072" s="41" t="str"/>
      <c r="U4072" s="41" t="str"/>
      <c r="V4072" s="41" t="str"/>
      <c r="W4072" s="41" t="str"/>
    </row>
    <row r="4073">
      <c r="B4073" s="2" t="n"/>
      <c r="C4073" s="40" t="n"/>
      <c r="D4073" s="52">
        <f t="array" ref="D4073:W4073">IF(All_Students_Scores!C4071:V4071="","",All_Students_Scores!C4071:V4071)</f>
        <v/>
      </c>
      <c r="E4073" s="57" t="str"/>
      <c r="F4073" s="49" t="str"/>
      <c r="G4073" s="59" t="str"/>
      <c r="H4073" s="64" t="str"/>
      <c r="I4073" s="65" t="str"/>
      <c r="J4073" s="49" t="str"/>
      <c r="K4073" s="41" t="str"/>
      <c r="L4073" s="41" t="str"/>
      <c r="M4073" s="41" t="str"/>
      <c r="N4073" s="41" t="str"/>
      <c r="O4073" s="41" t="str"/>
      <c r="P4073" s="41" t="str"/>
      <c r="Q4073" s="41" t="str"/>
      <c r="R4073" s="41" t="str"/>
      <c r="S4073" s="41" t="str"/>
      <c r="T4073" s="41" t="str"/>
      <c r="U4073" s="41" t="str"/>
      <c r="V4073" s="41" t="str"/>
      <c r="W4073" s="41" t="str"/>
    </row>
    <row r="4074">
      <c r="B4074" s="2" t="n"/>
      <c r="C4074" s="40" t="n"/>
      <c r="D4074" s="52">
        <f t="array" ref="D4074:W4074">IF(All_Students_Scores!C4072:V4072="","",All_Students_Scores!C4072:V4072)</f>
        <v/>
      </c>
      <c r="E4074" s="57" t="str"/>
      <c r="F4074" s="49" t="str"/>
      <c r="G4074" s="59" t="str"/>
      <c r="H4074" s="64" t="str"/>
      <c r="I4074" s="65" t="str"/>
      <c r="J4074" s="49" t="str"/>
      <c r="K4074" s="41" t="str"/>
      <c r="L4074" s="41" t="str"/>
      <c r="M4074" s="41" t="str"/>
      <c r="N4074" s="41" t="str"/>
      <c r="O4074" s="41" t="str"/>
      <c r="P4074" s="41" t="str"/>
      <c r="Q4074" s="41" t="str"/>
      <c r="R4074" s="41" t="str"/>
      <c r="S4074" s="41" t="str"/>
      <c r="T4074" s="41" t="str"/>
      <c r="U4074" s="41" t="str"/>
      <c r="V4074" s="41" t="str"/>
      <c r="W4074" s="41" t="str"/>
    </row>
    <row r="4075">
      <c r="B4075" s="2" t="n"/>
      <c r="C4075" s="40" t="n"/>
      <c r="D4075" s="52">
        <f t="array" ref="D4075:W4075">IF(All_Students_Scores!C4073:V4073="","",All_Students_Scores!C4073:V4073)</f>
        <v/>
      </c>
      <c r="E4075" s="57" t="str"/>
      <c r="F4075" s="49" t="str"/>
      <c r="G4075" s="59" t="str"/>
      <c r="H4075" s="64" t="str"/>
      <c r="I4075" s="65" t="str"/>
      <c r="J4075" s="49" t="str"/>
      <c r="K4075" s="41" t="str"/>
      <c r="L4075" s="41" t="str"/>
      <c r="M4075" s="41" t="str"/>
      <c r="N4075" s="41" t="str"/>
      <c r="O4075" s="41" t="str"/>
      <c r="P4075" s="41" t="str"/>
      <c r="Q4075" s="41" t="str"/>
      <c r="R4075" s="41" t="str"/>
      <c r="S4075" s="41" t="str"/>
      <c r="T4075" s="41" t="str"/>
      <c r="U4075" s="41" t="str"/>
      <c r="V4075" s="41" t="str"/>
      <c r="W4075" s="41" t="str"/>
    </row>
    <row r="4076">
      <c r="B4076" s="2" t="n"/>
      <c r="C4076" s="40" t="n"/>
      <c r="D4076" s="52">
        <f t="array" ref="D4076:W4076">IF(All_Students_Scores!C4074:V4074="","",All_Students_Scores!C4074:V4074)</f>
        <v/>
      </c>
      <c r="E4076" s="57" t="str"/>
      <c r="F4076" s="49" t="str"/>
      <c r="G4076" s="59" t="str"/>
      <c r="H4076" s="64" t="str"/>
      <c r="I4076" s="65" t="str"/>
      <c r="J4076" s="49" t="str"/>
      <c r="K4076" s="41" t="str"/>
      <c r="L4076" s="41" t="str"/>
      <c r="M4076" s="41" t="str"/>
      <c r="N4076" s="41" t="str"/>
      <c r="O4076" s="41" t="str"/>
      <c r="P4076" s="41" t="str"/>
      <c r="Q4076" s="41" t="str"/>
      <c r="R4076" s="41" t="str"/>
      <c r="S4076" s="41" t="str"/>
      <c r="T4076" s="41" t="str"/>
      <c r="U4076" s="41" t="str"/>
      <c r="V4076" s="41" t="str"/>
      <c r="W4076" s="41" t="str"/>
    </row>
    <row r="4077">
      <c r="B4077" s="2" t="n"/>
      <c r="C4077" s="40" t="n"/>
      <c r="D4077" s="52">
        <f t="array" ref="D4077:W4077">IF(All_Students_Scores!C4075:V4075="","",All_Students_Scores!C4075:V4075)</f>
        <v/>
      </c>
      <c r="E4077" s="57" t="str"/>
      <c r="F4077" s="49" t="str"/>
      <c r="G4077" s="59" t="str"/>
      <c r="H4077" s="64" t="str"/>
      <c r="I4077" s="65" t="str"/>
      <c r="J4077" s="49" t="str"/>
      <c r="K4077" s="41" t="str"/>
      <c r="L4077" s="41" t="str"/>
      <c r="M4077" s="41" t="str"/>
      <c r="N4077" s="41" t="str"/>
      <c r="O4077" s="41" t="str"/>
      <c r="P4077" s="41" t="str"/>
      <c r="Q4077" s="41" t="str"/>
      <c r="R4077" s="41" t="str"/>
      <c r="S4077" s="41" t="str"/>
      <c r="T4077" s="41" t="str"/>
      <c r="U4077" s="41" t="str"/>
      <c r="V4077" s="41" t="str"/>
      <c r="W4077" s="41" t="str"/>
    </row>
    <row r="4078">
      <c r="B4078" s="2" t="n"/>
      <c r="C4078" s="40" t="n"/>
      <c r="D4078" s="52">
        <f t="array" ref="D4078:W4078">IF(All_Students_Scores!C4076:V4076="","",All_Students_Scores!C4076:V4076)</f>
        <v/>
      </c>
      <c r="E4078" s="57" t="str"/>
      <c r="F4078" s="49" t="str"/>
      <c r="G4078" s="59" t="str"/>
      <c r="H4078" s="64" t="str"/>
      <c r="I4078" s="65" t="str"/>
      <c r="J4078" s="49" t="str"/>
      <c r="K4078" s="41" t="str"/>
      <c r="L4078" s="41" t="str"/>
      <c r="M4078" s="41" t="str"/>
      <c r="N4078" s="41" t="str"/>
      <c r="O4078" s="41" t="str"/>
      <c r="P4078" s="41" t="str"/>
      <c r="Q4078" s="41" t="str"/>
      <c r="R4078" s="41" t="str"/>
      <c r="S4078" s="41" t="str"/>
      <c r="T4078" s="41" t="str"/>
      <c r="U4078" s="41" t="str"/>
      <c r="V4078" s="41" t="str"/>
      <c r="W4078" s="41" t="str"/>
    </row>
    <row r="4079">
      <c r="B4079" s="2" t="n"/>
      <c r="C4079" s="40" t="n"/>
      <c r="D4079" s="52">
        <f t="array" ref="D4079:W4079">IF(All_Students_Scores!C4077:V4077="","",All_Students_Scores!C4077:V4077)</f>
        <v/>
      </c>
      <c r="E4079" s="57" t="str"/>
      <c r="F4079" s="49" t="str"/>
      <c r="G4079" s="59" t="str"/>
      <c r="H4079" s="64" t="str"/>
      <c r="I4079" s="65" t="str"/>
      <c r="J4079" s="49" t="str"/>
      <c r="K4079" s="41" t="str"/>
      <c r="L4079" s="41" t="str"/>
      <c r="M4079" s="41" t="str"/>
      <c r="N4079" s="41" t="str"/>
      <c r="O4079" s="41" t="str"/>
      <c r="P4079" s="41" t="str"/>
      <c r="Q4079" s="41" t="str"/>
      <c r="R4079" s="41" t="str"/>
      <c r="S4079" s="41" t="str"/>
      <c r="T4079" s="41" t="str"/>
      <c r="U4079" s="41" t="str"/>
      <c r="V4079" s="41" t="str"/>
      <c r="W4079" s="41" t="str"/>
    </row>
    <row r="4080">
      <c r="B4080" s="2" t="n"/>
      <c r="C4080" s="40" t="n"/>
      <c r="D4080" s="52">
        <f t="array" ref="D4080:W4080">IF(All_Students_Scores!C4078:V4078="","",All_Students_Scores!C4078:V4078)</f>
        <v/>
      </c>
      <c r="E4080" s="57" t="str"/>
      <c r="F4080" s="49" t="str"/>
      <c r="G4080" s="59" t="str"/>
      <c r="H4080" s="64" t="str"/>
      <c r="I4080" s="65" t="str"/>
      <c r="J4080" s="49" t="str"/>
      <c r="K4080" s="41" t="str"/>
      <c r="L4080" s="41" t="str"/>
      <c r="M4080" s="41" t="str"/>
      <c r="N4080" s="41" t="str"/>
      <c r="O4080" s="41" t="str"/>
      <c r="P4080" s="41" t="str"/>
      <c r="Q4080" s="41" t="str"/>
      <c r="R4080" s="41" t="str"/>
      <c r="S4080" s="41" t="str"/>
      <c r="T4080" s="41" t="str"/>
      <c r="U4080" s="41" t="str"/>
      <c r="V4080" s="41" t="str"/>
      <c r="W4080" s="41" t="str"/>
    </row>
    <row r="4081">
      <c r="B4081" s="2" t="n"/>
      <c r="C4081" s="40" t="n"/>
      <c r="D4081" s="52">
        <f t="array" ref="D4081:W4081">IF(All_Students_Scores!C4079:V4079="","",All_Students_Scores!C4079:V4079)</f>
        <v/>
      </c>
      <c r="E4081" s="57" t="str"/>
      <c r="F4081" s="49" t="str"/>
      <c r="G4081" s="59" t="str"/>
      <c r="H4081" s="64" t="str"/>
      <c r="I4081" s="65" t="str"/>
      <c r="J4081" s="49" t="str"/>
      <c r="K4081" s="41" t="str"/>
      <c r="L4081" s="41" t="str"/>
      <c r="M4081" s="41" t="str"/>
      <c r="N4081" s="41" t="str"/>
      <c r="O4081" s="41" t="str"/>
      <c r="P4081" s="41" t="str"/>
      <c r="Q4081" s="41" t="str"/>
      <c r="R4081" s="41" t="str"/>
      <c r="S4081" s="41" t="str"/>
      <c r="T4081" s="41" t="str"/>
      <c r="U4081" s="41" t="str"/>
      <c r="V4081" s="41" t="str"/>
      <c r="W4081" s="41" t="str"/>
    </row>
    <row r="4082">
      <c r="B4082" s="2" t="n"/>
      <c r="C4082" s="40" t="n"/>
      <c r="D4082" s="52">
        <f t="array" ref="D4082:W4082">IF(All_Students_Scores!C4080:V4080="","",All_Students_Scores!C4080:V4080)</f>
        <v/>
      </c>
      <c r="E4082" s="57" t="str"/>
      <c r="F4082" s="49" t="str"/>
      <c r="G4082" s="59" t="str"/>
      <c r="H4082" s="64" t="str"/>
      <c r="I4082" s="65" t="str"/>
      <c r="J4082" s="49" t="str"/>
      <c r="K4082" s="41" t="str"/>
      <c r="L4082" s="41" t="str"/>
      <c r="M4082" s="41" t="str"/>
      <c r="N4082" s="41" t="str"/>
      <c r="O4082" s="41" t="str"/>
      <c r="P4082" s="41" t="str"/>
      <c r="Q4082" s="41" t="str"/>
      <c r="R4082" s="41" t="str"/>
      <c r="S4082" s="41" t="str"/>
      <c r="T4082" s="41" t="str"/>
      <c r="U4082" s="41" t="str"/>
      <c r="V4082" s="41" t="str"/>
      <c r="W4082" s="41" t="str"/>
    </row>
    <row r="4083">
      <c r="B4083" s="2" t="n"/>
      <c r="C4083" s="40" t="n"/>
      <c r="D4083" s="52">
        <f t="array" ref="D4083:W4083">IF(All_Students_Scores!C4081:V4081="","",All_Students_Scores!C4081:V4081)</f>
        <v/>
      </c>
      <c r="E4083" s="57" t="str"/>
      <c r="F4083" s="49" t="str"/>
      <c r="G4083" s="59" t="str"/>
      <c r="H4083" s="64" t="str"/>
      <c r="I4083" s="65" t="str"/>
      <c r="J4083" s="49" t="str"/>
      <c r="K4083" s="41" t="str"/>
      <c r="L4083" s="41" t="str"/>
      <c r="M4083" s="41" t="str"/>
      <c r="N4083" s="41" t="str"/>
      <c r="O4083" s="41" t="str"/>
      <c r="P4083" s="41" t="str"/>
      <c r="Q4083" s="41" t="str"/>
      <c r="R4083" s="41" t="str"/>
      <c r="S4083" s="41" t="str"/>
      <c r="T4083" s="41" t="str"/>
      <c r="U4083" s="41" t="str"/>
      <c r="V4083" s="41" t="str"/>
      <c r="W4083" s="41" t="str"/>
    </row>
    <row r="4084">
      <c r="B4084" s="2" t="n"/>
      <c r="C4084" s="40" t="n"/>
      <c r="D4084" s="52">
        <f t="array" ref="D4084:W4084">IF(All_Students_Scores!C4082:V4082="","",All_Students_Scores!C4082:V4082)</f>
        <v/>
      </c>
      <c r="E4084" s="57" t="str"/>
      <c r="F4084" s="49" t="str"/>
      <c r="G4084" s="59" t="str"/>
      <c r="H4084" s="64" t="str"/>
      <c r="I4084" s="65" t="str"/>
      <c r="J4084" s="49" t="str"/>
      <c r="K4084" s="41" t="str"/>
      <c r="L4084" s="41" t="str"/>
      <c r="M4084" s="41" t="str"/>
      <c r="N4084" s="41" t="str"/>
      <c r="O4084" s="41" t="str"/>
      <c r="P4084" s="41" t="str"/>
      <c r="Q4084" s="41" t="str"/>
      <c r="R4084" s="41" t="str"/>
      <c r="S4084" s="41" t="str"/>
      <c r="T4084" s="41" t="str"/>
      <c r="U4084" s="41" t="str"/>
      <c r="V4084" s="41" t="str"/>
      <c r="W4084" s="41" t="str"/>
    </row>
    <row r="4085">
      <c r="B4085" s="2" t="n"/>
      <c r="C4085" s="40" t="n"/>
      <c r="D4085" s="52">
        <f t="array" ref="D4085:W4085">IF(All_Students_Scores!C4083:V4083="","",All_Students_Scores!C4083:V4083)</f>
        <v/>
      </c>
      <c r="E4085" s="57" t="str"/>
      <c r="F4085" s="49" t="str"/>
      <c r="G4085" s="59" t="str"/>
      <c r="H4085" s="64" t="str"/>
      <c r="I4085" s="65" t="str"/>
      <c r="J4085" s="49" t="str"/>
      <c r="K4085" s="41" t="str"/>
      <c r="L4085" s="41" t="str"/>
      <c r="M4085" s="41" t="str"/>
      <c r="N4085" s="41" t="str"/>
      <c r="O4085" s="41" t="str"/>
      <c r="P4085" s="41" t="str"/>
      <c r="Q4085" s="41" t="str"/>
      <c r="R4085" s="41" t="str"/>
      <c r="S4085" s="41" t="str"/>
      <c r="T4085" s="41" t="str"/>
      <c r="U4085" s="41" t="str"/>
      <c r="V4085" s="41" t="str"/>
      <c r="W4085" s="41" t="str"/>
    </row>
    <row r="4086">
      <c r="B4086" s="2" t="n"/>
      <c r="C4086" s="40" t="n"/>
      <c r="D4086" s="52">
        <f t="array" ref="D4086:W4086">IF(All_Students_Scores!C4084:V4084="","",All_Students_Scores!C4084:V4084)</f>
        <v/>
      </c>
      <c r="E4086" s="57" t="str"/>
      <c r="F4086" s="49" t="str"/>
      <c r="G4086" s="59" t="str"/>
      <c r="H4086" s="64" t="str"/>
      <c r="I4086" s="65" t="str"/>
      <c r="J4086" s="49" t="str"/>
      <c r="K4086" s="41" t="str"/>
      <c r="L4086" s="41" t="str"/>
      <c r="M4086" s="41" t="str"/>
      <c r="N4086" s="41" t="str"/>
      <c r="O4086" s="41" t="str"/>
      <c r="P4086" s="41" t="str"/>
      <c r="Q4086" s="41" t="str"/>
      <c r="R4086" s="41" t="str"/>
      <c r="S4086" s="41" t="str"/>
      <c r="T4086" s="41" t="str"/>
      <c r="U4086" s="41" t="str"/>
      <c r="V4086" s="41" t="str"/>
      <c r="W4086" s="41" t="str"/>
    </row>
    <row r="4087">
      <c r="B4087" s="2" t="n"/>
      <c r="C4087" s="40" t="n"/>
      <c r="D4087" s="52">
        <f t="array" ref="D4087:W4087">IF(All_Students_Scores!C4085:V4085="","",All_Students_Scores!C4085:V4085)</f>
        <v/>
      </c>
      <c r="E4087" s="57" t="str"/>
      <c r="F4087" s="49" t="str"/>
      <c r="G4087" s="59" t="str"/>
      <c r="H4087" s="64" t="str"/>
      <c r="I4087" s="65" t="str"/>
      <c r="J4087" s="49" t="str"/>
      <c r="K4087" s="41" t="str"/>
      <c r="L4087" s="41" t="str"/>
      <c r="M4087" s="41" t="str"/>
      <c r="N4087" s="41" t="str"/>
      <c r="O4087" s="41" t="str"/>
      <c r="P4087" s="41" t="str"/>
      <c r="Q4087" s="41" t="str"/>
      <c r="R4087" s="41" t="str"/>
      <c r="S4087" s="41" t="str"/>
      <c r="T4087" s="41" t="str"/>
      <c r="U4087" s="41" t="str"/>
      <c r="V4087" s="41" t="str"/>
      <c r="W4087" s="41" t="str"/>
    </row>
    <row r="4088">
      <c r="B4088" s="2" t="n"/>
      <c r="C4088" s="40" t="n"/>
      <c r="D4088" s="52">
        <f t="array" ref="D4088:W4088">IF(All_Students_Scores!C4086:V4086="","",All_Students_Scores!C4086:V4086)</f>
        <v/>
      </c>
      <c r="E4088" s="57" t="str"/>
      <c r="F4088" s="49" t="str"/>
      <c r="G4088" s="59" t="str"/>
      <c r="H4088" s="64" t="str"/>
      <c r="I4088" s="65" t="str"/>
      <c r="J4088" s="49" t="str"/>
      <c r="K4088" s="41" t="str"/>
      <c r="L4088" s="41" t="str"/>
      <c r="M4088" s="41" t="str"/>
      <c r="N4088" s="41" t="str"/>
      <c r="O4088" s="41" t="str"/>
      <c r="P4088" s="41" t="str"/>
      <c r="Q4088" s="41" t="str"/>
      <c r="R4088" s="41" t="str"/>
      <c r="S4088" s="41" t="str"/>
      <c r="T4088" s="41" t="str"/>
      <c r="U4088" s="41" t="str"/>
      <c r="V4088" s="41" t="str"/>
      <c r="W4088" s="41" t="str"/>
    </row>
    <row r="4089">
      <c r="B4089" s="2" t="n"/>
      <c r="C4089" s="40" t="n"/>
      <c r="D4089" s="52">
        <f t="array" ref="D4089:W4089">IF(All_Students_Scores!C4087:V4087="","",All_Students_Scores!C4087:V4087)</f>
        <v/>
      </c>
      <c r="E4089" s="57" t="str"/>
      <c r="F4089" s="49" t="str"/>
      <c r="G4089" s="59" t="str"/>
      <c r="H4089" s="64" t="str"/>
      <c r="I4089" s="65" t="str"/>
      <c r="J4089" s="49" t="str"/>
      <c r="K4089" s="41" t="str"/>
      <c r="L4089" s="41" t="str"/>
      <c r="M4089" s="41" t="str"/>
      <c r="N4089" s="41" t="str"/>
      <c r="O4089" s="41" t="str"/>
      <c r="P4089" s="41" t="str"/>
      <c r="Q4089" s="41" t="str"/>
      <c r="R4089" s="41" t="str"/>
      <c r="S4089" s="41" t="str"/>
      <c r="T4089" s="41" t="str"/>
      <c r="U4089" s="41" t="str"/>
      <c r="V4089" s="41" t="str"/>
      <c r="W4089" s="41" t="str"/>
    </row>
    <row r="4090">
      <c r="B4090" s="2" t="n"/>
      <c r="C4090" s="40" t="n"/>
      <c r="D4090" s="52">
        <f t="array" ref="D4090:W4090">IF(All_Students_Scores!C4088:V4088="","",All_Students_Scores!C4088:V4088)</f>
        <v/>
      </c>
      <c r="E4090" s="57" t="str"/>
      <c r="F4090" s="49" t="str"/>
      <c r="G4090" s="59" t="str"/>
      <c r="H4090" s="64" t="str"/>
      <c r="I4090" s="65" t="str"/>
      <c r="J4090" s="49" t="str"/>
      <c r="K4090" s="41" t="str"/>
      <c r="L4090" s="41" t="str"/>
      <c r="M4090" s="41" t="str"/>
      <c r="N4090" s="41" t="str"/>
      <c r="O4090" s="41" t="str"/>
      <c r="P4090" s="41" t="str"/>
      <c r="Q4090" s="41" t="str"/>
      <c r="R4090" s="41" t="str"/>
      <c r="S4090" s="41" t="str"/>
      <c r="T4090" s="41" t="str"/>
      <c r="U4090" s="41" t="str"/>
      <c r="V4090" s="41" t="str"/>
      <c r="W4090" s="41" t="str"/>
    </row>
    <row r="4091">
      <c r="B4091" s="2" t="n"/>
      <c r="C4091" s="40" t="n"/>
      <c r="D4091" s="52">
        <f t="array" ref="D4091:W4091">IF(All_Students_Scores!C4089:V4089="","",All_Students_Scores!C4089:V4089)</f>
        <v/>
      </c>
      <c r="E4091" s="57" t="str"/>
      <c r="F4091" s="49" t="str"/>
      <c r="G4091" s="59" t="str"/>
      <c r="H4091" s="64" t="str"/>
      <c r="I4091" s="65" t="str"/>
      <c r="J4091" s="49" t="str"/>
      <c r="K4091" s="41" t="str"/>
      <c r="L4091" s="41" t="str"/>
      <c r="M4091" s="41" t="str"/>
      <c r="N4091" s="41" t="str"/>
      <c r="O4091" s="41" t="str"/>
      <c r="P4091" s="41" t="str"/>
      <c r="Q4091" s="41" t="str"/>
      <c r="R4091" s="41" t="str"/>
      <c r="S4091" s="41" t="str"/>
      <c r="T4091" s="41" t="str"/>
      <c r="U4091" s="41" t="str"/>
      <c r="V4091" s="41" t="str"/>
      <c r="W4091" s="41" t="str"/>
    </row>
    <row r="4092">
      <c r="B4092" s="2" t="n"/>
      <c r="C4092" s="40" t="n"/>
      <c r="D4092" s="52">
        <f t="array" ref="D4092:W4092">IF(All_Students_Scores!C4090:V4090="","",All_Students_Scores!C4090:V4090)</f>
        <v/>
      </c>
      <c r="E4092" s="57" t="str"/>
      <c r="F4092" s="49" t="str"/>
      <c r="G4092" s="59" t="str"/>
      <c r="H4092" s="64" t="str"/>
      <c r="I4092" s="65" t="str"/>
      <c r="J4092" s="49" t="str"/>
      <c r="K4092" s="41" t="str"/>
      <c r="L4092" s="41" t="str"/>
      <c r="M4092" s="41" t="str"/>
      <c r="N4092" s="41" t="str"/>
      <c r="O4092" s="41" t="str"/>
      <c r="P4092" s="41" t="str"/>
      <c r="Q4092" s="41" t="str"/>
      <c r="R4092" s="41" t="str"/>
      <c r="S4092" s="41" t="str"/>
      <c r="T4092" s="41" t="str"/>
      <c r="U4092" s="41" t="str"/>
      <c r="V4092" s="41" t="str"/>
      <c r="W4092" s="41" t="str"/>
    </row>
    <row r="4093">
      <c r="B4093" s="2" t="n"/>
      <c r="C4093" s="40" t="n"/>
      <c r="D4093" s="52">
        <f t="array" ref="D4093:W4093">IF(All_Students_Scores!C4091:V4091="","",All_Students_Scores!C4091:V4091)</f>
        <v/>
      </c>
      <c r="E4093" s="57" t="str"/>
      <c r="F4093" s="49" t="str"/>
      <c r="G4093" s="59" t="str"/>
      <c r="H4093" s="64" t="str"/>
      <c r="I4093" s="65" t="str"/>
      <c r="J4093" s="49" t="str"/>
      <c r="K4093" s="41" t="str"/>
      <c r="L4093" s="41" t="str"/>
      <c r="M4093" s="41" t="str"/>
      <c r="N4093" s="41" t="str"/>
      <c r="O4093" s="41" t="str"/>
      <c r="P4093" s="41" t="str"/>
      <c r="Q4093" s="41" t="str"/>
      <c r="R4093" s="41" t="str"/>
      <c r="S4093" s="41" t="str"/>
      <c r="T4093" s="41" t="str"/>
      <c r="U4093" s="41" t="str"/>
      <c r="V4093" s="41" t="str"/>
      <c r="W4093" s="41" t="str"/>
    </row>
    <row r="4094">
      <c r="B4094" s="2" t="n"/>
      <c r="C4094" s="40" t="n"/>
      <c r="D4094" s="52">
        <f t="array" ref="D4094:W4094">IF(All_Students_Scores!C4092:V4092="","",All_Students_Scores!C4092:V4092)</f>
        <v/>
      </c>
      <c r="E4094" s="57" t="str"/>
      <c r="F4094" s="49" t="str"/>
      <c r="G4094" s="59" t="str"/>
      <c r="H4094" s="64" t="str"/>
      <c r="I4094" s="65" t="str"/>
      <c r="J4094" s="49" t="str"/>
      <c r="K4094" s="41" t="str"/>
      <c r="L4094" s="41" t="str"/>
      <c r="M4094" s="41" t="str"/>
      <c r="N4094" s="41" t="str"/>
      <c r="O4094" s="41" t="str"/>
      <c r="P4094" s="41" t="str"/>
      <c r="Q4094" s="41" t="str"/>
      <c r="R4094" s="41" t="str"/>
      <c r="S4094" s="41" t="str"/>
      <c r="T4094" s="41" t="str"/>
      <c r="U4094" s="41" t="str"/>
      <c r="V4094" s="41" t="str"/>
      <c r="W4094" s="41" t="str"/>
    </row>
    <row r="4095">
      <c r="B4095" s="2" t="n"/>
      <c r="C4095" s="40" t="n"/>
      <c r="D4095" s="52">
        <f t="array" ref="D4095:W4095">IF(All_Students_Scores!C4093:V4093="","",All_Students_Scores!C4093:V4093)</f>
        <v/>
      </c>
      <c r="E4095" s="57" t="str"/>
      <c r="F4095" s="49" t="str"/>
      <c r="G4095" s="59" t="str"/>
      <c r="H4095" s="64" t="str"/>
      <c r="I4095" s="65" t="str"/>
      <c r="J4095" s="49" t="str"/>
      <c r="K4095" s="41" t="str"/>
      <c r="L4095" s="41" t="str"/>
      <c r="M4095" s="41" t="str"/>
      <c r="N4095" s="41" t="str"/>
      <c r="O4095" s="41" t="str"/>
      <c r="P4095" s="41" t="str"/>
      <c r="Q4095" s="41" t="str"/>
      <c r="R4095" s="41" t="str"/>
      <c r="S4095" s="41" t="str"/>
      <c r="T4095" s="41" t="str"/>
      <c r="U4095" s="41" t="str"/>
      <c r="V4095" s="41" t="str"/>
      <c r="W4095" s="41" t="str"/>
    </row>
    <row r="4096">
      <c r="B4096" s="2" t="n"/>
      <c r="C4096" s="40" t="n"/>
      <c r="D4096" s="52">
        <f t="array" ref="D4096:W4096">IF(All_Students_Scores!C4094:V4094="","",All_Students_Scores!C4094:V4094)</f>
        <v/>
      </c>
      <c r="E4096" s="57" t="str"/>
      <c r="F4096" s="49" t="str"/>
      <c r="G4096" s="59" t="str"/>
      <c r="H4096" s="64" t="str"/>
      <c r="I4096" s="65" t="str"/>
      <c r="J4096" s="49" t="str"/>
      <c r="K4096" s="41" t="str"/>
      <c r="L4096" s="41" t="str"/>
      <c r="M4096" s="41" t="str"/>
      <c r="N4096" s="41" t="str"/>
      <c r="O4096" s="41" t="str"/>
      <c r="P4096" s="41" t="str"/>
      <c r="Q4096" s="41" t="str"/>
      <c r="R4096" s="41" t="str"/>
      <c r="S4096" s="41" t="str"/>
      <c r="T4096" s="41" t="str"/>
      <c r="U4096" s="41" t="str"/>
      <c r="V4096" s="41" t="str"/>
      <c r="W4096" s="41" t="str"/>
    </row>
    <row r="4097">
      <c r="B4097" s="2" t="n"/>
      <c r="C4097" s="40" t="n"/>
      <c r="D4097" s="52">
        <f t="array" ref="D4097:W4097">IF(All_Students_Scores!C4095:V4095="","",All_Students_Scores!C4095:V4095)</f>
        <v/>
      </c>
      <c r="E4097" s="57" t="str"/>
      <c r="F4097" s="49" t="str"/>
      <c r="G4097" s="59" t="str"/>
      <c r="H4097" s="64" t="str"/>
      <c r="I4097" s="65" t="str"/>
      <c r="J4097" s="49" t="str"/>
      <c r="K4097" s="41" t="str"/>
      <c r="L4097" s="41" t="str"/>
      <c r="M4097" s="41" t="str"/>
      <c r="N4097" s="41" t="str"/>
      <c r="O4097" s="41" t="str"/>
      <c r="P4097" s="41" t="str"/>
      <c r="Q4097" s="41" t="str"/>
      <c r="R4097" s="41" t="str"/>
      <c r="S4097" s="41" t="str"/>
      <c r="T4097" s="41" t="str"/>
      <c r="U4097" s="41" t="str"/>
      <c r="V4097" s="41" t="str"/>
      <c r="W4097" s="41" t="str"/>
    </row>
    <row r="4098">
      <c r="B4098" s="2" t="n"/>
      <c r="C4098" s="40" t="n"/>
      <c r="D4098" s="52">
        <f t="array" ref="D4098:W4098">IF(All_Students_Scores!C4096:V4096="","",All_Students_Scores!C4096:V4096)</f>
        <v/>
      </c>
      <c r="E4098" s="57" t="str"/>
      <c r="F4098" s="49" t="str"/>
      <c r="G4098" s="59" t="str"/>
      <c r="H4098" s="64" t="str"/>
      <c r="I4098" s="65" t="str"/>
      <c r="J4098" s="49" t="str"/>
      <c r="K4098" s="41" t="str"/>
      <c r="L4098" s="41" t="str"/>
      <c r="M4098" s="41" t="str"/>
      <c r="N4098" s="41" t="str"/>
      <c r="O4098" s="41" t="str"/>
      <c r="P4098" s="41" t="str"/>
      <c r="Q4098" s="41" t="str"/>
      <c r="R4098" s="41" t="str"/>
      <c r="S4098" s="41" t="str"/>
      <c r="T4098" s="41" t="str"/>
      <c r="U4098" s="41" t="str"/>
      <c r="V4098" s="41" t="str"/>
      <c r="W4098" s="41" t="str"/>
    </row>
    <row r="4099">
      <c r="B4099" s="2" t="n"/>
      <c r="C4099" s="40" t="n"/>
      <c r="D4099" s="52">
        <f t="array" ref="D4099:W4099">IF(All_Students_Scores!C4097:V4097="","",All_Students_Scores!C4097:V4097)</f>
        <v/>
      </c>
      <c r="E4099" s="57" t="str"/>
      <c r="F4099" s="49" t="str"/>
      <c r="G4099" s="59" t="str"/>
      <c r="H4099" s="64" t="str"/>
      <c r="I4099" s="65" t="str"/>
      <c r="J4099" s="49" t="str"/>
      <c r="K4099" s="41" t="str"/>
      <c r="L4099" s="41" t="str"/>
      <c r="M4099" s="41" t="str"/>
      <c r="N4099" s="41" t="str"/>
      <c r="O4099" s="41" t="str"/>
      <c r="P4099" s="41" t="str"/>
      <c r="Q4099" s="41" t="str"/>
      <c r="R4099" s="41" t="str"/>
      <c r="S4099" s="41" t="str"/>
      <c r="T4099" s="41" t="str"/>
      <c r="U4099" s="41" t="str"/>
      <c r="V4099" s="41" t="str"/>
      <c r="W4099" s="41" t="str"/>
    </row>
    <row r="4100">
      <c r="B4100" s="2" t="n"/>
      <c r="C4100" s="40" t="n"/>
      <c r="D4100" s="52">
        <f t="array" ref="D4100:W4100">IF(All_Students_Scores!C4098:V4098="","",All_Students_Scores!C4098:V4098)</f>
        <v/>
      </c>
      <c r="E4100" s="57" t="str"/>
      <c r="F4100" s="49" t="str"/>
      <c r="G4100" s="59" t="str"/>
      <c r="H4100" s="64" t="str"/>
      <c r="I4100" s="65" t="str"/>
      <c r="J4100" s="49" t="str"/>
      <c r="K4100" s="41" t="str"/>
      <c r="L4100" s="41" t="str"/>
      <c r="M4100" s="41" t="str"/>
      <c r="N4100" s="41" t="str"/>
      <c r="O4100" s="41" t="str"/>
      <c r="P4100" s="41" t="str"/>
      <c r="Q4100" s="41" t="str"/>
      <c r="R4100" s="41" t="str"/>
      <c r="S4100" s="41" t="str"/>
      <c r="T4100" s="41" t="str"/>
      <c r="U4100" s="41" t="str"/>
      <c r="V4100" s="41" t="str"/>
      <c r="W4100" s="41" t="str"/>
    </row>
    <row r="4101">
      <c r="B4101" s="2" t="n"/>
      <c r="C4101" s="40" t="n"/>
      <c r="D4101" s="52">
        <f t="array" ref="D4101:W4101">IF(All_Students_Scores!C4099:V4099="","",All_Students_Scores!C4099:V4099)</f>
        <v/>
      </c>
      <c r="E4101" s="57" t="str"/>
      <c r="F4101" s="49" t="str"/>
      <c r="G4101" s="59" t="str"/>
      <c r="H4101" s="64" t="str"/>
      <c r="I4101" s="65" t="str"/>
      <c r="J4101" s="49" t="str"/>
      <c r="K4101" s="41" t="str"/>
      <c r="L4101" s="41" t="str"/>
      <c r="M4101" s="41" t="str"/>
      <c r="N4101" s="41" t="str"/>
      <c r="O4101" s="41" t="str"/>
      <c r="P4101" s="41" t="str"/>
      <c r="Q4101" s="41" t="str"/>
      <c r="R4101" s="41" t="str"/>
      <c r="S4101" s="41" t="str"/>
      <c r="T4101" s="41" t="str"/>
      <c r="U4101" s="41" t="str"/>
      <c r="V4101" s="41" t="str"/>
      <c r="W4101" s="41" t="str"/>
    </row>
    <row r="4102">
      <c r="B4102" s="2" t="n"/>
      <c r="C4102" s="40" t="n"/>
      <c r="D4102" s="52">
        <f t="array" ref="D4102:W4102">IF(All_Students_Scores!C4100:V4100="","",All_Students_Scores!C4100:V4100)</f>
        <v/>
      </c>
      <c r="E4102" s="57" t="str"/>
      <c r="F4102" s="49" t="str"/>
      <c r="G4102" s="59" t="str"/>
      <c r="H4102" s="64" t="str"/>
      <c r="I4102" s="65" t="str"/>
      <c r="J4102" s="49" t="str"/>
      <c r="K4102" s="41" t="str"/>
      <c r="L4102" s="41" t="str"/>
      <c r="M4102" s="41" t="str"/>
      <c r="N4102" s="41" t="str"/>
      <c r="O4102" s="41" t="str"/>
      <c r="P4102" s="41" t="str"/>
      <c r="Q4102" s="41" t="str"/>
      <c r="R4102" s="41" t="str"/>
      <c r="S4102" s="41" t="str"/>
      <c r="T4102" s="41" t="str"/>
      <c r="U4102" s="41" t="str"/>
      <c r="V4102" s="41" t="str"/>
      <c r="W4102" s="41" t="str"/>
    </row>
    <row r="4103">
      <c r="B4103" s="2" t="n"/>
      <c r="C4103" s="40" t="n"/>
      <c r="D4103" s="52">
        <f t="array" ref="D4103:W4103">IF(All_Students_Scores!C4101:V4101="","",All_Students_Scores!C4101:V4101)</f>
        <v/>
      </c>
      <c r="E4103" s="57" t="str"/>
      <c r="F4103" s="49" t="str"/>
      <c r="G4103" s="59" t="str"/>
      <c r="H4103" s="64" t="str"/>
      <c r="I4103" s="65" t="str"/>
      <c r="J4103" s="49" t="str"/>
      <c r="K4103" s="41" t="str"/>
      <c r="L4103" s="41" t="str"/>
      <c r="M4103" s="41" t="str"/>
      <c r="N4103" s="41" t="str"/>
      <c r="O4103" s="41" t="str"/>
      <c r="P4103" s="41" t="str"/>
      <c r="Q4103" s="41" t="str"/>
      <c r="R4103" s="41" t="str"/>
      <c r="S4103" s="41" t="str"/>
      <c r="T4103" s="41" t="str"/>
      <c r="U4103" s="41" t="str"/>
      <c r="V4103" s="41" t="str"/>
      <c r="W4103" s="41" t="str"/>
    </row>
    <row r="4104">
      <c r="B4104" s="2" t="n"/>
      <c r="C4104" s="40" t="n"/>
      <c r="D4104" s="52">
        <f t="array" ref="D4104:W4104">IF(All_Students_Scores!C4102:V4102="","",All_Students_Scores!C4102:V4102)</f>
        <v/>
      </c>
      <c r="E4104" s="57" t="str"/>
      <c r="F4104" s="49" t="str"/>
      <c r="G4104" s="59" t="str"/>
      <c r="H4104" s="64" t="str"/>
      <c r="I4104" s="65" t="str"/>
      <c r="J4104" s="49" t="str"/>
      <c r="K4104" s="41" t="str"/>
      <c r="L4104" s="41" t="str"/>
      <c r="M4104" s="41" t="str"/>
      <c r="N4104" s="41" t="str"/>
      <c r="O4104" s="41" t="str"/>
      <c r="P4104" s="41" t="str"/>
      <c r="Q4104" s="41" t="str"/>
      <c r="R4104" s="41" t="str"/>
      <c r="S4104" s="41" t="str"/>
      <c r="T4104" s="41" t="str"/>
      <c r="U4104" s="41" t="str"/>
      <c r="V4104" s="41" t="str"/>
      <c r="W4104" s="41" t="str"/>
    </row>
    <row r="4105">
      <c r="B4105" s="2" t="n"/>
      <c r="C4105" s="40" t="n"/>
      <c r="D4105" s="52">
        <f t="array" ref="D4105:W4105">IF(All_Students_Scores!C4103:V4103="","",All_Students_Scores!C4103:V4103)</f>
        <v/>
      </c>
      <c r="E4105" s="57" t="str"/>
      <c r="F4105" s="49" t="str"/>
      <c r="G4105" s="59" t="str"/>
      <c r="H4105" s="64" t="str"/>
      <c r="I4105" s="65" t="str"/>
      <c r="J4105" s="49" t="str"/>
      <c r="K4105" s="41" t="str"/>
      <c r="L4105" s="41" t="str"/>
      <c r="M4105" s="41" t="str"/>
      <c r="N4105" s="41" t="str"/>
      <c r="O4105" s="41" t="str"/>
      <c r="P4105" s="41" t="str"/>
      <c r="Q4105" s="41" t="str"/>
      <c r="R4105" s="41" t="str"/>
      <c r="S4105" s="41" t="str"/>
      <c r="T4105" s="41" t="str"/>
      <c r="U4105" s="41" t="str"/>
      <c r="V4105" s="41" t="str"/>
      <c r="W4105" s="41" t="str"/>
    </row>
    <row r="4106">
      <c r="B4106" s="2" t="n"/>
      <c r="C4106" s="40" t="n"/>
      <c r="D4106" s="52">
        <f t="array" ref="D4106:W4106">IF(All_Students_Scores!C4104:V4104="","",All_Students_Scores!C4104:V4104)</f>
        <v/>
      </c>
      <c r="E4106" s="57" t="str"/>
      <c r="F4106" s="49" t="str"/>
      <c r="G4106" s="59" t="str"/>
      <c r="H4106" s="64" t="str"/>
      <c r="I4106" s="65" t="str"/>
      <c r="J4106" s="49" t="str"/>
      <c r="K4106" s="41" t="str"/>
      <c r="L4106" s="41" t="str"/>
      <c r="M4106" s="41" t="str"/>
      <c r="N4106" s="41" t="str"/>
      <c r="O4106" s="41" t="str"/>
      <c r="P4106" s="41" t="str"/>
      <c r="Q4106" s="41" t="str"/>
      <c r="R4106" s="41" t="str"/>
      <c r="S4106" s="41" t="str"/>
      <c r="T4106" s="41" t="str"/>
      <c r="U4106" s="41" t="str"/>
      <c r="V4106" s="41" t="str"/>
      <c r="W4106" s="41" t="str"/>
    </row>
    <row r="4107">
      <c r="B4107" s="2" t="n"/>
      <c r="C4107" s="40" t="n"/>
      <c r="D4107" s="52">
        <f t="array" ref="D4107:W4107">IF(All_Students_Scores!C4105:V4105="","",All_Students_Scores!C4105:V4105)</f>
        <v/>
      </c>
      <c r="E4107" s="57" t="str"/>
      <c r="F4107" s="49" t="str"/>
      <c r="G4107" s="59" t="str"/>
      <c r="H4107" s="64" t="str"/>
      <c r="I4107" s="65" t="str"/>
      <c r="J4107" s="49" t="str"/>
      <c r="K4107" s="41" t="str"/>
      <c r="L4107" s="41" t="str"/>
      <c r="M4107" s="41" t="str"/>
      <c r="N4107" s="41" t="str"/>
      <c r="O4107" s="41" t="str"/>
      <c r="P4107" s="41" t="str"/>
      <c r="Q4107" s="41" t="str"/>
      <c r="R4107" s="41" t="str"/>
      <c r="S4107" s="41" t="str"/>
      <c r="T4107" s="41" t="str"/>
      <c r="U4107" s="41" t="str"/>
      <c r="V4107" s="41" t="str"/>
      <c r="W4107" s="41" t="str"/>
    </row>
    <row r="4108">
      <c r="B4108" s="2" t="n"/>
      <c r="C4108" s="40" t="n"/>
      <c r="D4108" s="52">
        <f t="array" ref="D4108:W4108">IF(All_Students_Scores!C4106:V4106="","",All_Students_Scores!C4106:V4106)</f>
        <v/>
      </c>
      <c r="E4108" s="57" t="str"/>
      <c r="F4108" s="49" t="str"/>
      <c r="G4108" s="59" t="str"/>
      <c r="H4108" s="64" t="str"/>
      <c r="I4108" s="65" t="str"/>
      <c r="J4108" s="49" t="str"/>
      <c r="K4108" s="41" t="str"/>
      <c r="L4108" s="41" t="str"/>
      <c r="M4108" s="41" t="str"/>
      <c r="N4108" s="41" t="str"/>
      <c r="O4108" s="41" t="str"/>
      <c r="P4108" s="41" t="str"/>
      <c r="Q4108" s="41" t="str"/>
      <c r="R4108" s="41" t="str"/>
      <c r="S4108" s="41" t="str"/>
      <c r="T4108" s="41" t="str"/>
      <c r="U4108" s="41" t="str"/>
      <c r="V4108" s="41" t="str"/>
      <c r="W4108" s="41" t="str"/>
    </row>
    <row r="4109">
      <c r="B4109" s="2" t="n"/>
      <c r="C4109" s="40" t="n"/>
      <c r="D4109" s="52">
        <f t="array" ref="D4109:W4109">IF(All_Students_Scores!C4107:V4107="","",All_Students_Scores!C4107:V4107)</f>
        <v/>
      </c>
      <c r="E4109" s="57" t="str"/>
      <c r="F4109" s="49" t="str"/>
      <c r="G4109" s="59" t="str"/>
      <c r="H4109" s="64" t="str"/>
      <c r="I4109" s="65" t="str"/>
      <c r="J4109" s="49" t="str"/>
      <c r="K4109" s="41" t="str"/>
      <c r="L4109" s="41" t="str"/>
      <c r="M4109" s="41" t="str"/>
      <c r="N4109" s="41" t="str"/>
      <c r="O4109" s="41" t="str"/>
      <c r="P4109" s="41" t="str"/>
      <c r="Q4109" s="41" t="str"/>
      <c r="R4109" s="41" t="str"/>
      <c r="S4109" s="41" t="str"/>
      <c r="T4109" s="41" t="str"/>
      <c r="U4109" s="41" t="str"/>
      <c r="V4109" s="41" t="str"/>
      <c r="W4109" s="41" t="str"/>
    </row>
    <row r="4110">
      <c r="B4110" s="2" t="n"/>
      <c r="C4110" s="40" t="n"/>
      <c r="D4110" s="52">
        <f t="array" ref="D4110:W4110">IF(All_Students_Scores!C4108:V4108="","",All_Students_Scores!C4108:V4108)</f>
        <v/>
      </c>
      <c r="E4110" s="57" t="str"/>
      <c r="F4110" s="49" t="str"/>
      <c r="G4110" s="59" t="str"/>
      <c r="H4110" s="64" t="str"/>
      <c r="I4110" s="65" t="str"/>
      <c r="J4110" s="49" t="str"/>
      <c r="K4110" s="41" t="str"/>
      <c r="L4110" s="41" t="str"/>
      <c r="M4110" s="41" t="str"/>
      <c r="N4110" s="41" t="str"/>
      <c r="O4110" s="41" t="str"/>
      <c r="P4110" s="41" t="str"/>
      <c r="Q4110" s="41" t="str"/>
      <c r="R4110" s="41" t="str"/>
      <c r="S4110" s="41" t="str"/>
      <c r="T4110" s="41" t="str"/>
      <c r="U4110" s="41" t="str"/>
      <c r="V4110" s="41" t="str"/>
      <c r="W4110" s="41" t="str"/>
    </row>
    <row r="4111">
      <c r="B4111" s="2" t="n"/>
      <c r="C4111" s="40" t="n"/>
      <c r="D4111" s="52">
        <f t="array" ref="D4111:W4111">IF(All_Students_Scores!C4109:V4109="","",All_Students_Scores!C4109:V4109)</f>
        <v/>
      </c>
      <c r="E4111" s="57" t="str"/>
      <c r="F4111" s="49" t="str"/>
      <c r="G4111" s="59" t="str"/>
      <c r="H4111" s="64" t="str"/>
      <c r="I4111" s="65" t="str"/>
      <c r="J4111" s="49" t="str"/>
      <c r="K4111" s="41" t="str"/>
      <c r="L4111" s="41" t="str"/>
      <c r="M4111" s="41" t="str"/>
      <c r="N4111" s="41" t="str"/>
      <c r="O4111" s="41" t="str"/>
      <c r="P4111" s="41" t="str"/>
      <c r="Q4111" s="41" t="str"/>
      <c r="R4111" s="41" t="str"/>
      <c r="S4111" s="41" t="str"/>
      <c r="T4111" s="41" t="str"/>
      <c r="U4111" s="41" t="str"/>
      <c r="V4111" s="41" t="str"/>
      <c r="W4111" s="41" t="str"/>
    </row>
    <row r="4112">
      <c r="B4112" s="2" t="n"/>
      <c r="C4112" s="40" t="n"/>
      <c r="D4112" s="52">
        <f t="array" ref="D4112:W4112">IF(All_Students_Scores!C4110:V4110="","",All_Students_Scores!C4110:V4110)</f>
        <v/>
      </c>
      <c r="E4112" s="57" t="str"/>
      <c r="F4112" s="49" t="str"/>
      <c r="G4112" s="59" t="str"/>
      <c r="H4112" s="64" t="str"/>
      <c r="I4112" s="65" t="str"/>
      <c r="J4112" s="49" t="str"/>
      <c r="K4112" s="41" t="str"/>
      <c r="L4112" s="41" t="str"/>
      <c r="M4112" s="41" t="str"/>
      <c r="N4112" s="41" t="str"/>
      <c r="O4112" s="41" t="str"/>
      <c r="P4112" s="41" t="str"/>
      <c r="Q4112" s="41" t="str"/>
      <c r="R4112" s="41" t="str"/>
      <c r="S4112" s="41" t="str"/>
      <c r="T4112" s="41" t="str"/>
      <c r="U4112" s="41" t="str"/>
      <c r="V4112" s="41" t="str"/>
      <c r="W4112" s="41" t="str"/>
    </row>
    <row r="4113">
      <c r="B4113" s="2" t="n"/>
      <c r="C4113" s="40" t="n"/>
      <c r="D4113" s="52">
        <f t="array" ref="D4113:W4113">IF(All_Students_Scores!C4111:V4111="","",All_Students_Scores!C4111:V4111)</f>
        <v/>
      </c>
      <c r="E4113" s="57" t="str"/>
      <c r="F4113" s="49" t="str"/>
      <c r="G4113" s="59" t="str"/>
      <c r="H4113" s="64" t="str"/>
      <c r="I4113" s="65" t="str"/>
      <c r="J4113" s="49" t="str"/>
      <c r="K4113" s="41" t="str"/>
      <c r="L4113" s="41" t="str"/>
      <c r="M4113" s="41" t="str"/>
      <c r="N4113" s="41" t="str"/>
      <c r="O4113" s="41" t="str"/>
      <c r="P4113" s="41" t="str"/>
      <c r="Q4113" s="41" t="str"/>
      <c r="R4113" s="41" t="str"/>
      <c r="S4113" s="41" t="str"/>
      <c r="T4113" s="41" t="str"/>
      <c r="U4113" s="41" t="str"/>
      <c r="V4113" s="41" t="str"/>
      <c r="W4113" s="41" t="str"/>
    </row>
    <row r="4114">
      <c r="B4114" s="2" t="n"/>
      <c r="C4114" s="40" t="n"/>
      <c r="D4114" s="52">
        <f t="array" ref="D4114:W4114">IF(All_Students_Scores!C4112:V4112="","",All_Students_Scores!C4112:V4112)</f>
        <v/>
      </c>
      <c r="E4114" s="57" t="str"/>
      <c r="F4114" s="49" t="str"/>
      <c r="G4114" s="59" t="str"/>
      <c r="H4114" s="64" t="str"/>
      <c r="I4114" s="65" t="str"/>
      <c r="J4114" s="49" t="str"/>
      <c r="K4114" s="41" t="str"/>
      <c r="L4114" s="41" t="str"/>
      <c r="M4114" s="41" t="str"/>
      <c r="N4114" s="41" t="str"/>
      <c r="O4114" s="41" t="str"/>
      <c r="P4114" s="41" t="str"/>
      <c r="Q4114" s="41" t="str"/>
      <c r="R4114" s="41" t="str"/>
      <c r="S4114" s="41" t="str"/>
      <c r="T4114" s="41" t="str"/>
      <c r="U4114" s="41" t="str"/>
      <c r="V4114" s="41" t="str"/>
      <c r="W4114" s="41" t="str"/>
    </row>
    <row r="4115">
      <c r="B4115" s="2" t="n"/>
      <c r="C4115" s="40" t="n"/>
      <c r="D4115" s="52">
        <f t="array" ref="D4115:W4115">IF(All_Students_Scores!C4113:V4113="","",All_Students_Scores!C4113:V4113)</f>
        <v/>
      </c>
      <c r="E4115" s="57" t="str"/>
      <c r="F4115" s="49" t="str"/>
      <c r="G4115" s="59" t="str"/>
      <c r="H4115" s="64" t="str"/>
      <c r="I4115" s="65" t="str"/>
      <c r="J4115" s="49" t="str"/>
      <c r="K4115" s="41" t="str"/>
      <c r="L4115" s="41" t="str"/>
      <c r="M4115" s="41" t="str"/>
      <c r="N4115" s="41" t="str"/>
      <c r="O4115" s="41" t="str"/>
      <c r="P4115" s="41" t="str"/>
      <c r="Q4115" s="41" t="str"/>
      <c r="R4115" s="41" t="str"/>
      <c r="S4115" s="41" t="str"/>
      <c r="T4115" s="41" t="str"/>
      <c r="U4115" s="41" t="str"/>
      <c r="V4115" s="41" t="str"/>
      <c r="W4115" s="41" t="str"/>
    </row>
    <row r="4116">
      <c r="B4116" s="2" t="n"/>
      <c r="C4116" s="40" t="n"/>
      <c r="D4116" s="52">
        <f t="array" ref="D4116:W4116">IF(All_Students_Scores!C4114:V4114="","",All_Students_Scores!C4114:V4114)</f>
        <v/>
      </c>
      <c r="E4116" s="57" t="str"/>
      <c r="F4116" s="49" t="str"/>
      <c r="G4116" s="59" t="str"/>
      <c r="H4116" s="64" t="str"/>
      <c r="I4116" s="65" t="str"/>
      <c r="J4116" s="49" t="str"/>
      <c r="K4116" s="41" t="str"/>
      <c r="L4116" s="41" t="str"/>
      <c r="M4116" s="41" t="str"/>
      <c r="N4116" s="41" t="str"/>
      <c r="O4116" s="41" t="str"/>
      <c r="P4116" s="41" t="str"/>
      <c r="Q4116" s="41" t="str"/>
      <c r="R4116" s="41" t="str"/>
      <c r="S4116" s="41" t="str"/>
      <c r="T4116" s="41" t="str"/>
      <c r="U4116" s="41" t="str"/>
      <c r="V4116" s="41" t="str"/>
      <c r="W4116" s="41" t="str"/>
    </row>
    <row r="4117">
      <c r="B4117" s="2" t="n"/>
      <c r="C4117" s="40" t="n"/>
      <c r="D4117" s="52">
        <f t="array" ref="D4117:W4117">IF(All_Students_Scores!C4115:V4115="","",All_Students_Scores!C4115:V4115)</f>
        <v/>
      </c>
      <c r="E4117" s="57" t="str"/>
      <c r="F4117" s="49" t="str"/>
      <c r="G4117" s="59" t="str"/>
      <c r="H4117" s="64" t="str"/>
      <c r="I4117" s="65" t="str"/>
      <c r="J4117" s="49" t="str"/>
      <c r="K4117" s="41" t="str"/>
      <c r="L4117" s="41" t="str"/>
      <c r="M4117" s="41" t="str"/>
      <c r="N4117" s="41" t="str"/>
      <c r="O4117" s="41" t="str"/>
      <c r="P4117" s="41" t="str"/>
      <c r="Q4117" s="41" t="str"/>
      <c r="R4117" s="41" t="str"/>
      <c r="S4117" s="41" t="str"/>
      <c r="T4117" s="41" t="str"/>
      <c r="U4117" s="41" t="str"/>
      <c r="V4117" s="41" t="str"/>
      <c r="W4117" s="41" t="str"/>
    </row>
    <row r="4118">
      <c r="B4118" s="2" t="n"/>
      <c r="C4118" s="40" t="n"/>
      <c r="D4118" s="52">
        <f t="array" ref="D4118:W4118">IF(All_Students_Scores!C4116:V4116="","",All_Students_Scores!C4116:V4116)</f>
        <v/>
      </c>
      <c r="E4118" s="57" t="str"/>
      <c r="F4118" s="49" t="str"/>
      <c r="G4118" s="59" t="str"/>
      <c r="H4118" s="64" t="str"/>
      <c r="I4118" s="65" t="str"/>
      <c r="J4118" s="49" t="str"/>
      <c r="K4118" s="41" t="str"/>
      <c r="L4118" s="41" t="str"/>
      <c r="M4118" s="41" t="str"/>
      <c r="N4118" s="41" t="str"/>
      <c r="O4118" s="41" t="str"/>
      <c r="P4118" s="41" t="str"/>
      <c r="Q4118" s="41" t="str"/>
      <c r="R4118" s="41" t="str"/>
      <c r="S4118" s="41" t="str"/>
      <c r="T4118" s="41" t="str"/>
      <c r="U4118" s="41" t="str"/>
      <c r="V4118" s="41" t="str"/>
      <c r="W4118" s="41" t="str"/>
    </row>
    <row r="4119">
      <c r="B4119" s="2" t="n"/>
      <c r="C4119" s="40" t="n"/>
      <c r="D4119" s="52">
        <f t="array" ref="D4119:W4119">IF(All_Students_Scores!C4117:V4117="","",All_Students_Scores!C4117:V4117)</f>
        <v/>
      </c>
      <c r="E4119" s="57" t="str"/>
      <c r="F4119" s="49" t="str"/>
      <c r="G4119" s="59" t="str"/>
      <c r="H4119" s="64" t="str"/>
      <c r="I4119" s="65" t="str"/>
      <c r="J4119" s="49" t="str"/>
      <c r="K4119" s="41" t="str"/>
      <c r="L4119" s="41" t="str"/>
      <c r="M4119" s="41" t="str"/>
      <c r="N4119" s="41" t="str"/>
      <c r="O4119" s="41" t="str"/>
      <c r="P4119" s="41" t="str"/>
      <c r="Q4119" s="41" t="str"/>
      <c r="R4119" s="41" t="str"/>
      <c r="S4119" s="41" t="str"/>
      <c r="T4119" s="41" t="str"/>
      <c r="U4119" s="41" t="str"/>
      <c r="V4119" s="41" t="str"/>
      <c r="W4119" s="41" t="str"/>
    </row>
    <row r="4120">
      <c r="B4120" s="2" t="n"/>
      <c r="C4120" s="40" t="n"/>
      <c r="D4120" s="52">
        <f t="array" ref="D4120:W4120">IF(All_Students_Scores!C4118:V4118="","",All_Students_Scores!C4118:V4118)</f>
        <v/>
      </c>
      <c r="E4120" s="57" t="str"/>
      <c r="F4120" s="49" t="str"/>
      <c r="G4120" s="59" t="str"/>
      <c r="H4120" s="64" t="str"/>
      <c r="I4120" s="65" t="str"/>
      <c r="J4120" s="49" t="str"/>
      <c r="K4120" s="41" t="str"/>
      <c r="L4120" s="41" t="str"/>
      <c r="M4120" s="41" t="str"/>
      <c r="N4120" s="41" t="str"/>
      <c r="O4120" s="41" t="str"/>
      <c r="P4120" s="41" t="str"/>
      <c r="Q4120" s="41" t="str"/>
      <c r="R4120" s="41" t="str"/>
      <c r="S4120" s="41" t="str"/>
      <c r="T4120" s="41" t="str"/>
      <c r="U4120" s="41" t="str"/>
      <c r="V4120" s="41" t="str"/>
      <c r="W4120" s="41" t="str"/>
    </row>
    <row r="4121">
      <c r="B4121" s="2" t="n"/>
      <c r="C4121" s="40" t="n"/>
      <c r="D4121" s="52">
        <f t="array" ref="D4121:W4121">IF(All_Students_Scores!C4119:V4119="","",All_Students_Scores!C4119:V4119)</f>
        <v/>
      </c>
      <c r="E4121" s="57" t="str"/>
      <c r="F4121" s="49" t="str"/>
      <c r="G4121" s="59" t="str"/>
      <c r="H4121" s="64" t="str"/>
      <c r="I4121" s="65" t="str"/>
      <c r="J4121" s="49" t="str"/>
      <c r="K4121" s="41" t="str"/>
      <c r="L4121" s="41" t="str"/>
      <c r="M4121" s="41" t="str"/>
      <c r="N4121" s="41" t="str"/>
      <c r="O4121" s="41" t="str"/>
      <c r="P4121" s="41" t="str"/>
      <c r="Q4121" s="41" t="str"/>
      <c r="R4121" s="41" t="str"/>
      <c r="S4121" s="41" t="str"/>
      <c r="T4121" s="41" t="str"/>
      <c r="U4121" s="41" t="str"/>
      <c r="V4121" s="41" t="str"/>
      <c r="W4121" s="41" t="str"/>
    </row>
    <row r="4122">
      <c r="B4122" s="2" t="n"/>
      <c r="C4122" s="40" t="n"/>
      <c r="D4122" s="52">
        <f t="array" ref="D4122:W4122">IF(All_Students_Scores!C4120:V4120="","",All_Students_Scores!C4120:V4120)</f>
        <v/>
      </c>
      <c r="E4122" s="57" t="str"/>
      <c r="F4122" s="49" t="str"/>
      <c r="G4122" s="59" t="str"/>
      <c r="H4122" s="64" t="str"/>
      <c r="I4122" s="65" t="str"/>
      <c r="J4122" s="49" t="str"/>
      <c r="K4122" s="41" t="str"/>
      <c r="L4122" s="41" t="str"/>
      <c r="M4122" s="41" t="str"/>
      <c r="N4122" s="41" t="str"/>
      <c r="O4122" s="41" t="str"/>
      <c r="P4122" s="41" t="str"/>
      <c r="Q4122" s="41" t="str"/>
      <c r="R4122" s="41" t="str"/>
      <c r="S4122" s="41" t="str"/>
      <c r="T4122" s="41" t="str"/>
      <c r="U4122" s="41" t="str"/>
      <c r="V4122" s="41" t="str"/>
      <c r="W4122" s="41" t="str"/>
    </row>
    <row r="4123">
      <c r="B4123" s="2" t="n"/>
      <c r="C4123" s="40" t="n"/>
      <c r="D4123" s="52">
        <f t="array" ref="D4123:W4123">IF(All_Students_Scores!C4121:V4121="","",All_Students_Scores!C4121:V4121)</f>
        <v/>
      </c>
      <c r="E4123" s="57" t="str"/>
      <c r="F4123" s="49" t="str"/>
      <c r="G4123" s="59" t="str"/>
      <c r="H4123" s="64" t="str"/>
      <c r="I4123" s="65" t="str"/>
      <c r="J4123" s="49" t="str"/>
      <c r="K4123" s="41" t="str"/>
      <c r="L4123" s="41" t="str"/>
      <c r="M4123" s="41" t="str"/>
      <c r="N4123" s="41" t="str"/>
      <c r="O4123" s="41" t="str"/>
      <c r="P4123" s="41" t="str"/>
      <c r="Q4123" s="41" t="str"/>
      <c r="R4123" s="41" t="str"/>
      <c r="S4123" s="41" t="str"/>
      <c r="T4123" s="41" t="str"/>
      <c r="U4123" s="41" t="str"/>
      <c r="V4123" s="41" t="str"/>
      <c r="W4123" s="41" t="str"/>
    </row>
    <row r="4124">
      <c r="B4124" s="2" t="n"/>
      <c r="C4124" s="40" t="n"/>
      <c r="D4124" s="52">
        <f t="array" ref="D4124:W4124">IF(All_Students_Scores!C4122:V4122="","",All_Students_Scores!C4122:V4122)</f>
        <v/>
      </c>
      <c r="E4124" s="57" t="str"/>
      <c r="F4124" s="49" t="str"/>
      <c r="G4124" s="59" t="str"/>
      <c r="H4124" s="64" t="str"/>
      <c r="I4124" s="65" t="str"/>
      <c r="J4124" s="49" t="str"/>
      <c r="K4124" s="41" t="str"/>
      <c r="L4124" s="41" t="str"/>
      <c r="M4124" s="41" t="str"/>
      <c r="N4124" s="41" t="str"/>
      <c r="O4124" s="41" t="str"/>
      <c r="P4124" s="41" t="str"/>
      <c r="Q4124" s="41" t="str"/>
      <c r="R4124" s="41" t="str"/>
      <c r="S4124" s="41" t="str"/>
      <c r="T4124" s="41" t="str"/>
      <c r="U4124" s="41" t="str"/>
      <c r="V4124" s="41" t="str"/>
      <c r="W4124" s="41" t="str"/>
    </row>
    <row r="4125">
      <c r="B4125" s="2" t="n"/>
      <c r="C4125" s="40" t="n"/>
      <c r="D4125" s="52">
        <f t="array" ref="D4125:W4125">IF(All_Students_Scores!C4123:V4123="","",All_Students_Scores!C4123:V4123)</f>
        <v/>
      </c>
      <c r="E4125" s="57" t="str"/>
      <c r="F4125" s="49" t="str"/>
      <c r="G4125" s="59" t="str"/>
      <c r="H4125" s="64" t="str"/>
      <c r="I4125" s="65" t="str"/>
      <c r="J4125" s="49" t="str"/>
      <c r="K4125" s="41" t="str"/>
      <c r="L4125" s="41" t="str"/>
      <c r="M4125" s="41" t="str"/>
      <c r="N4125" s="41" t="str"/>
      <c r="O4125" s="41" t="str"/>
      <c r="P4125" s="41" t="str"/>
      <c r="Q4125" s="41" t="str"/>
      <c r="R4125" s="41" t="str"/>
      <c r="S4125" s="41" t="str"/>
      <c r="T4125" s="41" t="str"/>
      <c r="U4125" s="41" t="str"/>
      <c r="V4125" s="41" t="str"/>
      <c r="W4125" s="41" t="str"/>
    </row>
    <row r="4126">
      <c r="B4126" s="2" t="n"/>
      <c r="C4126" s="40" t="n"/>
      <c r="D4126" s="52">
        <f t="array" ref="D4126:W4126">IF(All_Students_Scores!C4124:V4124="","",All_Students_Scores!C4124:V4124)</f>
        <v/>
      </c>
      <c r="E4126" s="57" t="str"/>
      <c r="F4126" s="49" t="str"/>
      <c r="G4126" s="59" t="str"/>
      <c r="H4126" s="64" t="str"/>
      <c r="I4126" s="65" t="str"/>
      <c r="J4126" s="49" t="str"/>
      <c r="K4126" s="41" t="str"/>
      <c r="L4126" s="41" t="str"/>
      <c r="M4126" s="41" t="str"/>
      <c r="N4126" s="41" t="str"/>
      <c r="O4126" s="41" t="str"/>
      <c r="P4126" s="41" t="str"/>
      <c r="Q4126" s="41" t="str"/>
      <c r="R4126" s="41" t="str"/>
      <c r="S4126" s="41" t="str"/>
      <c r="T4126" s="41" t="str"/>
      <c r="U4126" s="41" t="str"/>
      <c r="V4126" s="41" t="str"/>
      <c r="W4126" s="41" t="str"/>
    </row>
    <row r="4127">
      <c r="B4127" s="2" t="n"/>
      <c r="C4127" s="40" t="n"/>
      <c r="D4127" s="52">
        <f t="array" ref="D4127:W4127">IF(All_Students_Scores!C4125:V4125="","",All_Students_Scores!C4125:V4125)</f>
        <v/>
      </c>
      <c r="E4127" s="57" t="str"/>
      <c r="F4127" s="49" t="str"/>
      <c r="G4127" s="59" t="str"/>
      <c r="H4127" s="64" t="str"/>
      <c r="I4127" s="65" t="str"/>
      <c r="J4127" s="49" t="str"/>
      <c r="K4127" s="41" t="str"/>
      <c r="L4127" s="41" t="str"/>
      <c r="M4127" s="41" t="str"/>
      <c r="N4127" s="41" t="str"/>
      <c r="O4127" s="41" t="str"/>
      <c r="P4127" s="41" t="str"/>
      <c r="Q4127" s="41" t="str"/>
      <c r="R4127" s="41" t="str"/>
      <c r="S4127" s="41" t="str"/>
      <c r="T4127" s="41" t="str"/>
      <c r="U4127" s="41" t="str"/>
      <c r="V4127" s="41" t="str"/>
      <c r="W4127" s="41" t="str"/>
    </row>
    <row r="4128">
      <c r="B4128" s="2" t="n"/>
      <c r="C4128" s="40" t="n"/>
      <c r="D4128" s="52">
        <f t="array" ref="D4128:W4128">IF(All_Students_Scores!C4126:V4126="","",All_Students_Scores!C4126:V4126)</f>
        <v/>
      </c>
      <c r="E4128" s="57" t="str"/>
      <c r="F4128" s="49" t="str"/>
      <c r="G4128" s="59" t="str"/>
      <c r="H4128" s="64" t="str"/>
      <c r="I4128" s="65" t="str"/>
      <c r="J4128" s="49" t="str"/>
      <c r="K4128" s="41" t="str"/>
      <c r="L4128" s="41" t="str"/>
      <c r="M4128" s="41" t="str"/>
      <c r="N4128" s="41" t="str"/>
      <c r="O4128" s="41" t="str"/>
      <c r="P4128" s="41" t="str"/>
      <c r="Q4128" s="41" t="str"/>
      <c r="R4128" s="41" t="str"/>
      <c r="S4128" s="41" t="str"/>
      <c r="T4128" s="41" t="str"/>
      <c r="U4128" s="41" t="str"/>
      <c r="V4128" s="41" t="str"/>
      <c r="W4128" s="41" t="str"/>
    </row>
    <row r="4129">
      <c r="B4129" s="2" t="n"/>
      <c r="C4129" s="40" t="n"/>
      <c r="D4129" s="52">
        <f t="array" ref="D4129:W4129">IF(All_Students_Scores!C4127:V4127="","",All_Students_Scores!C4127:V4127)</f>
        <v/>
      </c>
      <c r="E4129" s="57" t="str"/>
      <c r="F4129" s="49" t="str"/>
      <c r="G4129" s="59" t="str"/>
      <c r="H4129" s="64" t="str"/>
      <c r="I4129" s="65" t="str"/>
      <c r="J4129" s="49" t="str"/>
      <c r="K4129" s="41" t="str"/>
      <c r="L4129" s="41" t="str"/>
      <c r="M4129" s="41" t="str"/>
      <c r="N4129" s="41" t="str"/>
      <c r="O4129" s="41" t="str"/>
      <c r="P4129" s="41" t="str"/>
      <c r="Q4129" s="41" t="str"/>
      <c r="R4129" s="41" t="str"/>
      <c r="S4129" s="41" t="str"/>
      <c r="T4129" s="41" t="str"/>
      <c r="U4129" s="41" t="str"/>
      <c r="V4129" s="41" t="str"/>
      <c r="W4129" s="41" t="str"/>
    </row>
    <row r="4130">
      <c r="B4130" s="2" t="n"/>
      <c r="C4130" s="40" t="n"/>
      <c r="D4130" s="52">
        <f t="array" ref="D4130:W4130">IF(All_Students_Scores!C4128:V4128="","",All_Students_Scores!C4128:V4128)</f>
        <v/>
      </c>
      <c r="E4130" s="57" t="str"/>
      <c r="F4130" s="49" t="str"/>
      <c r="G4130" s="59" t="str"/>
      <c r="H4130" s="64" t="str"/>
      <c r="I4130" s="65" t="str"/>
      <c r="J4130" s="49" t="str"/>
      <c r="K4130" s="41" t="str"/>
      <c r="L4130" s="41" t="str"/>
      <c r="M4130" s="41" t="str"/>
      <c r="N4130" s="41" t="str"/>
      <c r="O4130" s="41" t="str"/>
      <c r="P4130" s="41" t="str"/>
      <c r="Q4130" s="41" t="str"/>
      <c r="R4130" s="41" t="str"/>
      <c r="S4130" s="41" t="str"/>
      <c r="T4130" s="41" t="str"/>
      <c r="U4130" s="41" t="str"/>
      <c r="V4130" s="41" t="str"/>
      <c r="W4130" s="41" t="str"/>
    </row>
    <row r="4131">
      <c r="B4131" s="2" t="n"/>
      <c r="C4131" s="40" t="n"/>
      <c r="D4131" s="52">
        <f t="array" ref="D4131:W4131">IF(All_Students_Scores!C4129:V4129="","",All_Students_Scores!C4129:V4129)</f>
        <v/>
      </c>
      <c r="E4131" s="57" t="str"/>
      <c r="F4131" s="49" t="str"/>
      <c r="G4131" s="59" t="str"/>
      <c r="H4131" s="64" t="str"/>
      <c r="I4131" s="65" t="str"/>
      <c r="J4131" s="49" t="str"/>
      <c r="K4131" s="41" t="str"/>
      <c r="L4131" s="41" t="str"/>
      <c r="M4131" s="41" t="str"/>
      <c r="N4131" s="41" t="str"/>
      <c r="O4131" s="41" t="str"/>
      <c r="P4131" s="41" t="str"/>
      <c r="Q4131" s="41" t="str"/>
      <c r="R4131" s="41" t="str"/>
      <c r="S4131" s="41" t="str"/>
      <c r="T4131" s="41" t="str"/>
      <c r="U4131" s="41" t="str"/>
      <c r="V4131" s="41" t="str"/>
      <c r="W4131" s="41" t="str"/>
    </row>
    <row r="4132">
      <c r="B4132" s="2" t="n"/>
      <c r="C4132" s="40" t="n"/>
      <c r="D4132" s="52">
        <f t="array" ref="D4132:W4132">IF(All_Students_Scores!C4130:V4130="","",All_Students_Scores!C4130:V4130)</f>
        <v/>
      </c>
      <c r="E4132" s="57" t="str"/>
      <c r="F4132" s="49" t="str"/>
      <c r="G4132" s="59" t="str"/>
      <c r="H4132" s="64" t="str"/>
      <c r="I4132" s="65" t="str"/>
      <c r="J4132" s="49" t="str"/>
      <c r="K4132" s="41" t="str"/>
      <c r="L4132" s="41" t="str"/>
      <c r="M4132" s="41" t="str"/>
      <c r="N4132" s="41" t="str"/>
      <c r="O4132" s="41" t="str"/>
      <c r="P4132" s="41" t="str"/>
      <c r="Q4132" s="41" t="str"/>
      <c r="R4132" s="41" t="str"/>
      <c r="S4132" s="41" t="str"/>
      <c r="T4132" s="41" t="str"/>
      <c r="U4132" s="41" t="str"/>
      <c r="V4132" s="41" t="str"/>
      <c r="W4132" s="41" t="str"/>
    </row>
    <row r="4133">
      <c r="B4133" s="2" t="n"/>
      <c r="C4133" s="40" t="n"/>
      <c r="D4133" s="52">
        <f t="array" ref="D4133:W4133">IF(All_Students_Scores!C4131:V4131="","",All_Students_Scores!C4131:V4131)</f>
        <v/>
      </c>
      <c r="E4133" s="57" t="str"/>
      <c r="F4133" s="49" t="str"/>
      <c r="G4133" s="59" t="str"/>
      <c r="H4133" s="64" t="str"/>
      <c r="I4133" s="65" t="str"/>
      <c r="J4133" s="49" t="str"/>
      <c r="K4133" s="41" t="str"/>
      <c r="L4133" s="41" t="str"/>
      <c r="M4133" s="41" t="str"/>
      <c r="N4133" s="41" t="str"/>
      <c r="O4133" s="41" t="str"/>
      <c r="P4133" s="41" t="str"/>
      <c r="Q4133" s="41" t="str"/>
      <c r="R4133" s="41" t="str"/>
      <c r="S4133" s="41" t="str"/>
      <c r="T4133" s="41" t="str"/>
      <c r="U4133" s="41" t="str"/>
      <c r="V4133" s="41" t="str"/>
      <c r="W4133" s="41" t="str"/>
    </row>
    <row r="4134">
      <c r="B4134" s="2" t="n"/>
      <c r="C4134" s="40" t="n"/>
      <c r="D4134" s="52">
        <f t="array" ref="D4134:W4134">IF(All_Students_Scores!C4132:V4132="","",All_Students_Scores!C4132:V4132)</f>
        <v/>
      </c>
      <c r="E4134" s="57" t="str"/>
      <c r="F4134" s="49" t="str"/>
      <c r="G4134" s="59" t="str"/>
      <c r="H4134" s="64" t="str"/>
      <c r="I4134" s="65" t="str"/>
      <c r="J4134" s="49" t="str"/>
      <c r="K4134" s="41" t="str"/>
      <c r="L4134" s="41" t="str"/>
      <c r="M4134" s="41" t="str"/>
      <c r="N4134" s="41" t="str"/>
      <c r="O4134" s="41" t="str"/>
      <c r="P4134" s="41" t="str"/>
      <c r="Q4134" s="41" t="str"/>
      <c r="R4134" s="41" t="str"/>
      <c r="S4134" s="41" t="str"/>
      <c r="T4134" s="41" t="str"/>
      <c r="U4134" s="41" t="str"/>
      <c r="V4134" s="41" t="str"/>
      <c r="W4134" s="41" t="str"/>
    </row>
    <row r="4135">
      <c r="B4135" s="2" t="n"/>
      <c r="C4135" s="40" t="n"/>
      <c r="D4135" s="52">
        <f t="array" ref="D4135:W4135">IF(All_Students_Scores!C4133:V4133="","",All_Students_Scores!C4133:V4133)</f>
        <v/>
      </c>
      <c r="E4135" s="57" t="str"/>
      <c r="F4135" s="49" t="str"/>
      <c r="G4135" s="59" t="str"/>
      <c r="H4135" s="64" t="str"/>
      <c r="I4135" s="65" t="str"/>
      <c r="J4135" s="49" t="str"/>
      <c r="K4135" s="41" t="str"/>
      <c r="L4135" s="41" t="str"/>
      <c r="M4135" s="41" t="str"/>
      <c r="N4135" s="41" t="str"/>
      <c r="O4135" s="41" t="str"/>
      <c r="P4135" s="41" t="str"/>
      <c r="Q4135" s="41" t="str"/>
      <c r="R4135" s="41" t="str"/>
      <c r="S4135" s="41" t="str"/>
      <c r="T4135" s="41" t="str"/>
      <c r="U4135" s="41" t="str"/>
      <c r="V4135" s="41" t="str"/>
      <c r="W4135" s="41" t="str"/>
    </row>
    <row r="4136">
      <c r="B4136" s="2" t="n"/>
      <c r="C4136" s="40" t="n"/>
      <c r="D4136" s="52">
        <f t="array" ref="D4136:W4136">IF(All_Students_Scores!C4134:V4134="","",All_Students_Scores!C4134:V4134)</f>
        <v/>
      </c>
      <c r="E4136" s="57" t="str"/>
      <c r="F4136" s="49" t="str"/>
      <c r="G4136" s="59" t="str"/>
      <c r="H4136" s="64" t="str"/>
      <c r="I4136" s="65" t="str"/>
      <c r="J4136" s="49" t="str"/>
      <c r="K4136" s="41" t="str"/>
      <c r="L4136" s="41" t="str"/>
      <c r="M4136" s="41" t="str"/>
      <c r="N4136" s="41" t="str"/>
      <c r="O4136" s="41" t="str"/>
      <c r="P4136" s="41" t="str"/>
      <c r="Q4136" s="41" t="str"/>
      <c r="R4136" s="41" t="str"/>
      <c r="S4136" s="41" t="str"/>
      <c r="T4136" s="41" t="str"/>
      <c r="U4136" s="41" t="str"/>
      <c r="V4136" s="41" t="str"/>
      <c r="W4136" s="41" t="str"/>
    </row>
    <row r="4137">
      <c r="B4137" s="2" t="n"/>
      <c r="C4137" s="40" t="n"/>
      <c r="D4137" s="52">
        <f t="array" ref="D4137:W4137">IF(All_Students_Scores!C4135:V4135="","",All_Students_Scores!C4135:V4135)</f>
        <v/>
      </c>
      <c r="E4137" s="57" t="str"/>
      <c r="F4137" s="49" t="str"/>
      <c r="G4137" s="59" t="str"/>
      <c r="H4137" s="64" t="str"/>
      <c r="I4137" s="65" t="str"/>
      <c r="J4137" s="49" t="str"/>
      <c r="K4137" s="41" t="str"/>
      <c r="L4137" s="41" t="str"/>
      <c r="M4137" s="41" t="str"/>
      <c r="N4137" s="41" t="str"/>
      <c r="O4137" s="41" t="str"/>
      <c r="P4137" s="41" t="str"/>
      <c r="Q4137" s="41" t="str"/>
      <c r="R4137" s="41" t="str"/>
      <c r="S4137" s="41" t="str"/>
      <c r="T4137" s="41" t="str"/>
      <c r="U4137" s="41" t="str"/>
      <c r="V4137" s="41" t="str"/>
      <c r="W4137" s="41" t="str"/>
    </row>
    <row r="4138">
      <c r="B4138" s="2" t="n"/>
      <c r="C4138" s="40" t="n"/>
      <c r="D4138" s="52">
        <f t="array" ref="D4138:W4138">IF(All_Students_Scores!C4136:V4136="","",All_Students_Scores!C4136:V4136)</f>
        <v/>
      </c>
      <c r="E4138" s="57" t="str"/>
      <c r="F4138" s="49" t="str"/>
      <c r="G4138" s="59" t="str"/>
      <c r="H4138" s="64" t="str"/>
      <c r="I4138" s="65" t="str"/>
      <c r="J4138" s="49" t="str"/>
      <c r="K4138" s="41" t="str"/>
      <c r="L4138" s="41" t="str"/>
      <c r="M4138" s="41" t="str"/>
      <c r="N4138" s="41" t="str"/>
      <c r="O4138" s="41" t="str"/>
      <c r="P4138" s="41" t="str"/>
      <c r="Q4138" s="41" t="str"/>
      <c r="R4138" s="41" t="str"/>
      <c r="S4138" s="41" t="str"/>
      <c r="T4138" s="41" t="str"/>
      <c r="U4138" s="41" t="str"/>
      <c r="V4138" s="41" t="str"/>
      <c r="W4138" s="41" t="str"/>
    </row>
    <row r="4139">
      <c r="B4139" s="2" t="n"/>
      <c r="C4139" s="40" t="n"/>
      <c r="D4139" s="52">
        <f t="array" ref="D4139:W4139">IF(All_Students_Scores!C4137:V4137="","",All_Students_Scores!C4137:V4137)</f>
        <v/>
      </c>
      <c r="E4139" s="57" t="str"/>
      <c r="F4139" s="49" t="str"/>
      <c r="G4139" s="59" t="str"/>
      <c r="H4139" s="64" t="str"/>
      <c r="I4139" s="65" t="str"/>
      <c r="J4139" s="49" t="str"/>
      <c r="K4139" s="41" t="str"/>
      <c r="L4139" s="41" t="str"/>
      <c r="M4139" s="41" t="str"/>
      <c r="N4139" s="41" t="str"/>
      <c r="O4139" s="41" t="str"/>
      <c r="P4139" s="41" t="str"/>
      <c r="Q4139" s="41" t="str"/>
      <c r="R4139" s="41" t="str"/>
      <c r="S4139" s="41" t="str"/>
      <c r="T4139" s="41" t="str"/>
      <c r="U4139" s="41" t="str"/>
      <c r="V4139" s="41" t="str"/>
      <c r="W4139" s="41" t="str"/>
    </row>
    <row r="4140">
      <c r="B4140" s="2" t="n"/>
      <c r="C4140" s="40" t="n"/>
      <c r="D4140" s="52">
        <f t="array" ref="D4140:W4140">IF(All_Students_Scores!C4138:V4138="","",All_Students_Scores!C4138:V4138)</f>
        <v/>
      </c>
      <c r="E4140" s="57" t="str"/>
      <c r="F4140" s="49" t="str"/>
      <c r="G4140" s="59" t="str"/>
      <c r="H4140" s="64" t="str"/>
      <c r="I4140" s="65" t="str"/>
      <c r="J4140" s="49" t="str"/>
      <c r="K4140" s="41" t="str"/>
      <c r="L4140" s="41" t="str"/>
      <c r="M4140" s="41" t="str"/>
      <c r="N4140" s="41" t="str"/>
      <c r="O4140" s="41" t="str"/>
      <c r="P4140" s="41" t="str"/>
      <c r="Q4140" s="41" t="str"/>
      <c r="R4140" s="41" t="str"/>
      <c r="S4140" s="41" t="str"/>
      <c r="T4140" s="41" t="str"/>
      <c r="U4140" s="41" t="str"/>
      <c r="V4140" s="41" t="str"/>
      <c r="W4140" s="41" t="str"/>
    </row>
    <row r="4141">
      <c r="B4141" s="2" t="n"/>
      <c r="C4141" s="40" t="n"/>
      <c r="D4141" s="52">
        <f t="array" ref="D4141:W4141">IF(All_Students_Scores!C4139:V4139="","",All_Students_Scores!C4139:V4139)</f>
        <v/>
      </c>
      <c r="E4141" s="57" t="str"/>
      <c r="F4141" s="49" t="str"/>
      <c r="G4141" s="59" t="str"/>
      <c r="H4141" s="64" t="str"/>
      <c r="I4141" s="65" t="str"/>
      <c r="J4141" s="49" t="str"/>
      <c r="K4141" s="41" t="str"/>
      <c r="L4141" s="41" t="str"/>
      <c r="M4141" s="41" t="str"/>
      <c r="N4141" s="41" t="str"/>
      <c r="O4141" s="41" t="str"/>
      <c r="P4141" s="41" t="str"/>
      <c r="Q4141" s="41" t="str"/>
      <c r="R4141" s="41" t="str"/>
      <c r="S4141" s="41" t="str"/>
      <c r="T4141" s="41" t="str"/>
      <c r="U4141" s="41" t="str"/>
      <c r="V4141" s="41" t="str"/>
      <c r="W4141" s="41" t="str"/>
    </row>
    <row r="4142">
      <c r="B4142" s="2" t="n"/>
      <c r="C4142" s="40" t="n"/>
      <c r="D4142" s="52">
        <f t="array" ref="D4142:W4142">IF(All_Students_Scores!C4140:V4140="","",All_Students_Scores!C4140:V4140)</f>
        <v/>
      </c>
      <c r="E4142" s="57" t="str"/>
      <c r="F4142" s="49" t="str"/>
      <c r="G4142" s="59" t="str"/>
      <c r="H4142" s="64" t="str"/>
      <c r="I4142" s="65" t="str"/>
      <c r="J4142" s="49" t="str"/>
      <c r="K4142" s="41" t="str"/>
      <c r="L4142" s="41" t="str"/>
      <c r="M4142" s="41" t="str"/>
      <c r="N4142" s="41" t="str"/>
      <c r="O4142" s="41" t="str"/>
      <c r="P4142" s="41" t="str"/>
      <c r="Q4142" s="41" t="str"/>
      <c r="R4142" s="41" t="str"/>
      <c r="S4142" s="41" t="str"/>
      <c r="T4142" s="41" t="str"/>
      <c r="U4142" s="41" t="str"/>
      <c r="V4142" s="41" t="str"/>
      <c r="W4142" s="41" t="str"/>
    </row>
    <row r="4143">
      <c r="B4143" s="2" t="n"/>
      <c r="C4143" s="40" t="n"/>
      <c r="D4143" s="52">
        <f t="array" ref="D4143:W4143">IF(All_Students_Scores!C4141:V4141="","",All_Students_Scores!C4141:V4141)</f>
        <v/>
      </c>
      <c r="E4143" s="57" t="str"/>
      <c r="F4143" s="49" t="str"/>
      <c r="G4143" s="59" t="str"/>
      <c r="H4143" s="64" t="str"/>
      <c r="I4143" s="65" t="str"/>
      <c r="J4143" s="49" t="str"/>
      <c r="K4143" s="41" t="str"/>
      <c r="L4143" s="41" t="str"/>
      <c r="M4143" s="41" t="str"/>
      <c r="N4143" s="41" t="str"/>
      <c r="O4143" s="41" t="str"/>
      <c r="P4143" s="41" t="str"/>
      <c r="Q4143" s="41" t="str"/>
      <c r="R4143" s="41" t="str"/>
      <c r="S4143" s="41" t="str"/>
      <c r="T4143" s="41" t="str"/>
      <c r="U4143" s="41" t="str"/>
      <c r="V4143" s="41" t="str"/>
      <c r="W4143" s="41" t="str"/>
    </row>
    <row r="4144">
      <c r="B4144" s="2" t="n"/>
      <c r="C4144" s="40" t="n"/>
      <c r="D4144" s="52">
        <f t="array" ref="D4144:W4144">IF(All_Students_Scores!C4142:V4142="","",All_Students_Scores!C4142:V4142)</f>
        <v/>
      </c>
      <c r="E4144" s="57" t="str"/>
      <c r="F4144" s="49" t="str"/>
      <c r="G4144" s="59" t="str"/>
      <c r="H4144" s="64" t="str"/>
      <c r="I4144" s="65" t="str"/>
      <c r="J4144" s="49" t="str"/>
      <c r="K4144" s="41" t="str"/>
      <c r="L4144" s="41" t="str"/>
      <c r="M4144" s="41" t="str"/>
      <c r="N4144" s="41" t="str"/>
      <c r="O4144" s="41" t="str"/>
      <c r="P4144" s="41" t="str"/>
      <c r="Q4144" s="41" t="str"/>
      <c r="R4144" s="41" t="str"/>
      <c r="S4144" s="41" t="str"/>
      <c r="T4144" s="41" t="str"/>
      <c r="U4144" s="41" t="str"/>
      <c r="V4144" s="41" t="str"/>
      <c r="W4144" s="41" t="str"/>
    </row>
    <row r="4145">
      <c r="B4145" s="2" t="n"/>
      <c r="C4145" s="40" t="n"/>
      <c r="D4145" s="52">
        <f t="array" ref="D4145:W4145">IF(All_Students_Scores!C4143:V4143="","",All_Students_Scores!C4143:V4143)</f>
        <v/>
      </c>
      <c r="E4145" s="57" t="str"/>
      <c r="F4145" s="49" t="str"/>
      <c r="G4145" s="59" t="str"/>
      <c r="H4145" s="64" t="str"/>
      <c r="I4145" s="65" t="str"/>
      <c r="J4145" s="49" t="str"/>
      <c r="K4145" s="41" t="str"/>
      <c r="L4145" s="41" t="str"/>
      <c r="M4145" s="41" t="str"/>
      <c r="N4145" s="41" t="str"/>
      <c r="O4145" s="41" t="str"/>
      <c r="P4145" s="41" t="str"/>
      <c r="Q4145" s="41" t="str"/>
      <c r="R4145" s="41" t="str"/>
      <c r="S4145" s="41" t="str"/>
      <c r="T4145" s="41" t="str"/>
      <c r="U4145" s="41" t="str"/>
      <c r="V4145" s="41" t="str"/>
      <c r="W4145" s="41" t="str"/>
    </row>
    <row r="4146">
      <c r="B4146" s="2" t="n"/>
      <c r="C4146" s="40" t="n"/>
      <c r="D4146" s="52">
        <f t="array" ref="D4146:W4146">IF(All_Students_Scores!C4144:V4144="","",All_Students_Scores!C4144:V4144)</f>
        <v/>
      </c>
      <c r="E4146" s="57" t="str"/>
      <c r="F4146" s="49" t="str"/>
      <c r="G4146" s="59" t="str"/>
      <c r="H4146" s="64" t="str"/>
      <c r="I4146" s="65" t="str"/>
      <c r="J4146" s="49" t="str"/>
      <c r="K4146" s="41" t="str"/>
      <c r="L4146" s="41" t="str"/>
      <c r="M4146" s="41" t="str"/>
      <c r="N4146" s="41" t="str"/>
      <c r="O4146" s="41" t="str"/>
      <c r="P4146" s="41" t="str"/>
      <c r="Q4146" s="41" t="str"/>
      <c r="R4146" s="41" t="str"/>
      <c r="S4146" s="41" t="str"/>
      <c r="T4146" s="41" t="str"/>
      <c r="U4146" s="41" t="str"/>
      <c r="V4146" s="41" t="str"/>
      <c r="W4146" s="41" t="str"/>
    </row>
    <row r="4147">
      <c r="B4147" s="2" t="n"/>
      <c r="C4147" s="40" t="n"/>
      <c r="D4147" s="52">
        <f t="array" ref="D4147:W4147">IF(All_Students_Scores!C4145:V4145="","",All_Students_Scores!C4145:V4145)</f>
        <v/>
      </c>
      <c r="E4147" s="57" t="str"/>
      <c r="F4147" s="49" t="str"/>
      <c r="G4147" s="59" t="str"/>
      <c r="H4147" s="64" t="str"/>
      <c r="I4147" s="65" t="str"/>
      <c r="J4147" s="49" t="str"/>
      <c r="K4147" s="41" t="str"/>
      <c r="L4147" s="41" t="str"/>
      <c r="M4147" s="41" t="str"/>
      <c r="N4147" s="41" t="str"/>
      <c r="O4147" s="41" t="str"/>
      <c r="P4147" s="41" t="str"/>
      <c r="Q4147" s="41" t="str"/>
      <c r="R4147" s="41" t="str"/>
      <c r="S4147" s="41" t="str"/>
      <c r="T4147" s="41" t="str"/>
      <c r="U4147" s="41" t="str"/>
      <c r="V4147" s="41" t="str"/>
      <c r="W4147" s="41" t="str"/>
    </row>
    <row r="4148">
      <c r="B4148" s="2" t="n"/>
      <c r="C4148" s="40" t="n"/>
      <c r="D4148" s="52">
        <f t="array" ref="D4148:W4148">IF(All_Students_Scores!C4146:V4146="","",All_Students_Scores!C4146:V4146)</f>
        <v/>
      </c>
      <c r="E4148" s="57" t="str"/>
      <c r="F4148" s="49" t="str"/>
      <c r="G4148" s="59" t="str"/>
      <c r="H4148" s="64" t="str"/>
      <c r="I4148" s="65" t="str"/>
      <c r="J4148" s="49" t="str"/>
      <c r="K4148" s="41" t="str"/>
      <c r="L4148" s="41" t="str"/>
      <c r="M4148" s="41" t="str"/>
      <c r="N4148" s="41" t="str"/>
      <c r="O4148" s="41" t="str"/>
      <c r="P4148" s="41" t="str"/>
      <c r="Q4148" s="41" t="str"/>
      <c r="R4148" s="41" t="str"/>
      <c r="S4148" s="41" t="str"/>
      <c r="T4148" s="41" t="str"/>
      <c r="U4148" s="41" t="str"/>
      <c r="V4148" s="41" t="str"/>
      <c r="W4148" s="41" t="str"/>
    </row>
    <row r="4149">
      <c r="B4149" s="2" t="n"/>
      <c r="C4149" s="40" t="n"/>
      <c r="D4149" s="52">
        <f t="array" ref="D4149:W4149">IF(All_Students_Scores!C4147:V4147="","",All_Students_Scores!C4147:V4147)</f>
        <v/>
      </c>
      <c r="E4149" s="57" t="str"/>
      <c r="F4149" s="49" t="str"/>
      <c r="G4149" s="59" t="str"/>
      <c r="H4149" s="64" t="str"/>
      <c r="I4149" s="65" t="str"/>
      <c r="J4149" s="49" t="str"/>
      <c r="K4149" s="41" t="str"/>
      <c r="L4149" s="41" t="str"/>
      <c r="M4149" s="41" t="str"/>
      <c r="N4149" s="41" t="str"/>
      <c r="O4149" s="41" t="str"/>
      <c r="P4149" s="41" t="str"/>
      <c r="Q4149" s="41" t="str"/>
      <c r="R4149" s="41" t="str"/>
      <c r="S4149" s="41" t="str"/>
      <c r="T4149" s="41" t="str"/>
      <c r="U4149" s="41" t="str"/>
      <c r="V4149" s="41" t="str"/>
      <c r="W4149" s="41" t="str"/>
    </row>
    <row r="4150">
      <c r="B4150" s="2" t="n"/>
      <c r="C4150" s="40" t="n"/>
      <c r="D4150" s="52">
        <f t="array" ref="D4150:W4150">IF(All_Students_Scores!C4148:V4148="","",All_Students_Scores!C4148:V4148)</f>
        <v/>
      </c>
      <c r="E4150" s="57" t="str"/>
      <c r="F4150" s="49" t="str"/>
      <c r="G4150" s="59" t="str"/>
      <c r="H4150" s="64" t="str"/>
      <c r="I4150" s="65" t="str"/>
      <c r="J4150" s="49" t="str"/>
      <c r="K4150" s="41" t="str"/>
      <c r="L4150" s="41" t="str"/>
      <c r="M4150" s="41" t="str"/>
      <c r="N4150" s="41" t="str"/>
      <c r="O4150" s="41" t="str"/>
      <c r="P4150" s="41" t="str"/>
      <c r="Q4150" s="41" t="str"/>
      <c r="R4150" s="41" t="str"/>
      <c r="S4150" s="41" t="str"/>
      <c r="T4150" s="41" t="str"/>
      <c r="U4150" s="41" t="str"/>
      <c r="V4150" s="41" t="str"/>
      <c r="W4150" s="41" t="str"/>
    </row>
    <row r="4151">
      <c r="B4151" s="2" t="n"/>
      <c r="C4151" s="40" t="n"/>
      <c r="D4151" s="52">
        <f t="array" ref="D4151:W4151">IF(All_Students_Scores!C4149:V4149="","",All_Students_Scores!C4149:V4149)</f>
        <v/>
      </c>
      <c r="E4151" s="57" t="str"/>
      <c r="F4151" s="49" t="str"/>
      <c r="G4151" s="59" t="str"/>
      <c r="H4151" s="64" t="str"/>
      <c r="I4151" s="65" t="str"/>
      <c r="J4151" s="49" t="str"/>
      <c r="K4151" s="41" t="str"/>
      <c r="L4151" s="41" t="str"/>
      <c r="M4151" s="41" t="str"/>
      <c r="N4151" s="41" t="str"/>
      <c r="O4151" s="41" t="str"/>
      <c r="P4151" s="41" t="str"/>
      <c r="Q4151" s="41" t="str"/>
      <c r="R4151" s="41" t="str"/>
      <c r="S4151" s="41" t="str"/>
      <c r="T4151" s="41" t="str"/>
      <c r="U4151" s="41" t="str"/>
      <c r="V4151" s="41" t="str"/>
      <c r="W4151" s="41" t="str"/>
    </row>
    <row r="4152">
      <c r="B4152" s="2" t="n"/>
      <c r="C4152" s="40" t="n"/>
      <c r="D4152" s="52">
        <f t="array" ref="D4152:W4152">IF(All_Students_Scores!C4150:V4150="","",All_Students_Scores!C4150:V4150)</f>
        <v/>
      </c>
      <c r="E4152" s="57" t="str"/>
      <c r="F4152" s="49" t="str"/>
      <c r="G4152" s="59" t="str"/>
      <c r="H4152" s="64" t="str"/>
      <c r="I4152" s="65" t="str"/>
      <c r="J4152" s="49" t="str"/>
      <c r="K4152" s="41" t="str"/>
      <c r="L4152" s="41" t="str"/>
      <c r="M4152" s="41" t="str"/>
      <c r="N4152" s="41" t="str"/>
      <c r="O4152" s="41" t="str"/>
      <c r="P4152" s="41" t="str"/>
      <c r="Q4152" s="41" t="str"/>
      <c r="R4152" s="41" t="str"/>
      <c r="S4152" s="41" t="str"/>
      <c r="T4152" s="41" t="str"/>
      <c r="U4152" s="41" t="str"/>
      <c r="V4152" s="41" t="str"/>
      <c r="W4152" s="41" t="str"/>
    </row>
    <row r="4153">
      <c r="B4153" s="2" t="n"/>
      <c r="C4153" s="40" t="n"/>
      <c r="D4153" s="52">
        <f t="array" ref="D4153:W4153">IF(All_Students_Scores!C4151:V4151="","",All_Students_Scores!C4151:V4151)</f>
        <v/>
      </c>
      <c r="E4153" s="57" t="str"/>
      <c r="F4153" s="49" t="str"/>
      <c r="G4153" s="59" t="str"/>
      <c r="H4153" s="64" t="str"/>
      <c r="I4153" s="65" t="str"/>
      <c r="J4153" s="49" t="str"/>
      <c r="K4153" s="41" t="str"/>
      <c r="L4153" s="41" t="str"/>
      <c r="M4153" s="41" t="str"/>
      <c r="N4153" s="41" t="str"/>
      <c r="O4153" s="41" t="str"/>
      <c r="P4153" s="41" t="str"/>
      <c r="Q4153" s="41" t="str"/>
      <c r="R4153" s="41" t="str"/>
      <c r="S4153" s="41" t="str"/>
      <c r="T4153" s="41" t="str"/>
      <c r="U4153" s="41" t="str"/>
      <c r="V4153" s="41" t="str"/>
      <c r="W4153" s="41" t="str"/>
    </row>
    <row r="4154">
      <c r="B4154" s="2" t="n"/>
      <c r="C4154" s="40" t="n"/>
      <c r="D4154" s="52">
        <f t="array" ref="D4154:W4154">IF(All_Students_Scores!C4152:V4152="","",All_Students_Scores!C4152:V4152)</f>
        <v/>
      </c>
      <c r="E4154" s="57" t="str"/>
      <c r="F4154" s="49" t="str"/>
      <c r="G4154" s="59" t="str"/>
      <c r="H4154" s="64" t="str"/>
      <c r="I4154" s="65" t="str"/>
      <c r="J4154" s="49" t="str"/>
      <c r="K4154" s="41" t="str"/>
      <c r="L4154" s="41" t="str"/>
      <c r="M4154" s="41" t="str"/>
      <c r="N4154" s="41" t="str"/>
      <c r="O4154" s="41" t="str"/>
      <c r="P4154" s="41" t="str"/>
      <c r="Q4154" s="41" t="str"/>
      <c r="R4154" s="41" t="str"/>
      <c r="S4154" s="41" t="str"/>
      <c r="T4154" s="41" t="str"/>
      <c r="U4154" s="41" t="str"/>
      <c r="V4154" s="41" t="str"/>
      <c r="W4154" s="41" t="str"/>
    </row>
    <row r="4155">
      <c r="B4155" s="2" t="n"/>
      <c r="C4155" s="40" t="n"/>
      <c r="D4155" s="52">
        <f t="array" ref="D4155:W4155">IF(All_Students_Scores!C4153:V4153="","",All_Students_Scores!C4153:V4153)</f>
        <v/>
      </c>
      <c r="E4155" s="57" t="str"/>
      <c r="F4155" s="49" t="str"/>
      <c r="G4155" s="59" t="str"/>
      <c r="H4155" s="64" t="str"/>
      <c r="I4155" s="65" t="str"/>
      <c r="J4155" s="49" t="str"/>
      <c r="K4155" s="41" t="str"/>
      <c r="L4155" s="41" t="str"/>
      <c r="M4155" s="41" t="str"/>
      <c r="N4155" s="41" t="str"/>
      <c r="O4155" s="41" t="str"/>
      <c r="P4155" s="41" t="str"/>
      <c r="Q4155" s="41" t="str"/>
      <c r="R4155" s="41" t="str"/>
      <c r="S4155" s="41" t="str"/>
      <c r="T4155" s="41" t="str"/>
      <c r="U4155" s="41" t="str"/>
      <c r="V4155" s="41" t="str"/>
      <c r="W4155" s="41" t="str"/>
    </row>
    <row r="4156">
      <c r="B4156" s="2" t="n"/>
      <c r="C4156" s="40" t="n"/>
      <c r="D4156" s="52">
        <f t="array" ref="D4156:W4156">IF(All_Students_Scores!C4154:V4154="","",All_Students_Scores!C4154:V4154)</f>
        <v/>
      </c>
      <c r="E4156" s="57" t="str"/>
      <c r="F4156" s="49" t="str"/>
      <c r="G4156" s="59" t="str"/>
      <c r="H4156" s="64" t="str"/>
      <c r="I4156" s="65" t="str"/>
      <c r="J4156" s="49" t="str"/>
      <c r="K4156" s="41" t="str"/>
      <c r="L4156" s="41" t="str"/>
      <c r="M4156" s="41" t="str"/>
      <c r="N4156" s="41" t="str"/>
      <c r="O4156" s="41" t="str"/>
      <c r="P4156" s="41" t="str"/>
      <c r="Q4156" s="41" t="str"/>
      <c r="R4156" s="41" t="str"/>
      <c r="S4156" s="41" t="str"/>
      <c r="T4156" s="41" t="str"/>
      <c r="U4156" s="41" t="str"/>
      <c r="V4156" s="41" t="str"/>
      <c r="W4156" s="41" t="str"/>
    </row>
    <row r="4157">
      <c r="B4157" s="2" t="n"/>
      <c r="C4157" s="40" t="n"/>
      <c r="D4157" s="52">
        <f t="array" ref="D4157:W4157">IF(All_Students_Scores!C4155:V4155="","",All_Students_Scores!C4155:V4155)</f>
        <v/>
      </c>
      <c r="E4157" s="57" t="str"/>
      <c r="F4157" s="49" t="str"/>
      <c r="G4157" s="59" t="str"/>
      <c r="H4157" s="64" t="str"/>
      <c r="I4157" s="65" t="str"/>
      <c r="J4157" s="49" t="str"/>
      <c r="K4157" s="41" t="str"/>
      <c r="L4157" s="41" t="str"/>
      <c r="M4157" s="41" t="str"/>
      <c r="N4157" s="41" t="str"/>
      <c r="O4157" s="41" t="str"/>
      <c r="P4157" s="41" t="str"/>
      <c r="Q4157" s="41" t="str"/>
      <c r="R4157" s="41" t="str"/>
      <c r="S4157" s="41" t="str"/>
      <c r="T4157" s="41" t="str"/>
      <c r="U4157" s="41" t="str"/>
      <c r="V4157" s="41" t="str"/>
      <c r="W4157" s="41" t="str"/>
    </row>
    <row r="4158">
      <c r="B4158" s="2" t="n"/>
      <c r="C4158" s="40" t="n"/>
      <c r="D4158" s="52">
        <f t="array" ref="D4158:W4158">IF(All_Students_Scores!C4156:V4156="","",All_Students_Scores!C4156:V4156)</f>
        <v/>
      </c>
      <c r="E4158" s="57" t="str"/>
      <c r="F4158" s="49" t="str"/>
      <c r="G4158" s="59" t="str"/>
      <c r="H4158" s="64" t="str"/>
      <c r="I4158" s="65" t="str"/>
      <c r="J4158" s="49" t="str"/>
      <c r="K4158" s="41" t="str"/>
      <c r="L4158" s="41" t="str"/>
      <c r="M4158" s="41" t="str"/>
      <c r="N4158" s="41" t="str"/>
      <c r="O4158" s="41" t="str"/>
      <c r="P4158" s="41" t="str"/>
      <c r="Q4158" s="41" t="str"/>
      <c r="R4158" s="41" t="str"/>
      <c r="S4158" s="41" t="str"/>
      <c r="T4158" s="41" t="str"/>
      <c r="U4158" s="41" t="str"/>
      <c r="V4158" s="41" t="str"/>
      <c r="W4158" s="41" t="str"/>
    </row>
    <row r="4159">
      <c r="B4159" s="2" t="n"/>
      <c r="C4159" s="40" t="n"/>
      <c r="D4159" s="52">
        <f t="array" ref="D4159:W4159">IF(All_Students_Scores!C4157:V4157="","",All_Students_Scores!C4157:V4157)</f>
        <v/>
      </c>
      <c r="E4159" s="57" t="str"/>
      <c r="F4159" s="49" t="str"/>
      <c r="G4159" s="59" t="str"/>
      <c r="H4159" s="64" t="str"/>
      <c r="I4159" s="65" t="str"/>
      <c r="J4159" s="49" t="str"/>
      <c r="K4159" s="41" t="str"/>
      <c r="L4159" s="41" t="str"/>
      <c r="M4159" s="41" t="str"/>
      <c r="N4159" s="41" t="str"/>
      <c r="O4159" s="41" t="str"/>
      <c r="P4159" s="41" t="str"/>
      <c r="Q4159" s="41" t="str"/>
      <c r="R4159" s="41" t="str"/>
      <c r="S4159" s="41" t="str"/>
      <c r="T4159" s="41" t="str"/>
      <c r="U4159" s="41" t="str"/>
      <c r="V4159" s="41" t="str"/>
      <c r="W4159" s="41" t="str"/>
    </row>
    <row r="4160">
      <c r="B4160" s="2" t="n"/>
      <c r="C4160" s="40" t="n"/>
      <c r="D4160" s="52">
        <f t="array" ref="D4160:W4160">IF(All_Students_Scores!C4158:V4158="","",All_Students_Scores!C4158:V4158)</f>
        <v/>
      </c>
      <c r="E4160" s="57" t="str"/>
      <c r="F4160" s="49" t="str"/>
      <c r="G4160" s="59" t="str"/>
      <c r="H4160" s="64" t="str"/>
      <c r="I4160" s="65" t="str"/>
      <c r="J4160" s="49" t="str"/>
      <c r="K4160" s="41" t="str"/>
      <c r="L4160" s="41" t="str"/>
      <c r="M4160" s="41" t="str"/>
      <c r="N4160" s="41" t="str"/>
      <c r="O4160" s="41" t="str"/>
      <c r="P4160" s="41" t="str"/>
      <c r="Q4160" s="41" t="str"/>
      <c r="R4160" s="41" t="str"/>
      <c r="S4160" s="41" t="str"/>
      <c r="T4160" s="41" t="str"/>
      <c r="U4160" s="41" t="str"/>
      <c r="V4160" s="41" t="str"/>
      <c r="W4160" s="41" t="str"/>
    </row>
    <row r="4161">
      <c r="B4161" s="2" t="n"/>
      <c r="C4161" s="40" t="n"/>
      <c r="D4161" s="52">
        <f t="array" ref="D4161:W4161">IF(All_Students_Scores!C4159:V4159="","",All_Students_Scores!C4159:V4159)</f>
        <v/>
      </c>
      <c r="E4161" s="57" t="str"/>
      <c r="F4161" s="49" t="str"/>
      <c r="G4161" s="59" t="str"/>
      <c r="H4161" s="64" t="str"/>
      <c r="I4161" s="65" t="str"/>
      <c r="J4161" s="49" t="str"/>
      <c r="K4161" s="41" t="str"/>
      <c r="L4161" s="41" t="str"/>
      <c r="M4161" s="41" t="str"/>
      <c r="N4161" s="41" t="str"/>
      <c r="O4161" s="41" t="str"/>
      <c r="P4161" s="41" t="str"/>
      <c r="Q4161" s="41" t="str"/>
      <c r="R4161" s="41" t="str"/>
      <c r="S4161" s="41" t="str"/>
      <c r="T4161" s="41" t="str"/>
      <c r="U4161" s="41" t="str"/>
      <c r="V4161" s="41" t="str"/>
      <c r="W4161" s="41" t="str"/>
    </row>
    <row r="4162">
      <c r="B4162" s="2" t="n"/>
      <c r="C4162" s="40" t="n"/>
      <c r="D4162" s="52">
        <f t="array" ref="D4162:W4162">IF(All_Students_Scores!C4160:V4160="","",All_Students_Scores!C4160:V4160)</f>
        <v/>
      </c>
      <c r="E4162" s="57" t="str"/>
      <c r="F4162" s="49" t="str"/>
      <c r="G4162" s="59" t="str"/>
      <c r="H4162" s="64" t="str"/>
      <c r="I4162" s="65" t="str"/>
      <c r="J4162" s="49" t="str"/>
      <c r="K4162" s="41" t="str"/>
      <c r="L4162" s="41" t="str"/>
      <c r="M4162" s="41" t="str"/>
      <c r="N4162" s="41" t="str"/>
      <c r="O4162" s="41" t="str"/>
      <c r="P4162" s="41" t="str"/>
      <c r="Q4162" s="41" t="str"/>
      <c r="R4162" s="41" t="str"/>
      <c r="S4162" s="41" t="str"/>
      <c r="T4162" s="41" t="str"/>
      <c r="U4162" s="41" t="str"/>
      <c r="V4162" s="41" t="str"/>
      <c r="W4162" s="41" t="str"/>
    </row>
    <row r="4163">
      <c r="B4163" s="2" t="n"/>
      <c r="C4163" s="40" t="n"/>
      <c r="D4163" s="52">
        <f t="array" ref="D4163:W4163">IF(All_Students_Scores!C4161:V4161="","",All_Students_Scores!C4161:V4161)</f>
        <v/>
      </c>
      <c r="E4163" s="57" t="str"/>
      <c r="F4163" s="49" t="str"/>
      <c r="G4163" s="59" t="str"/>
      <c r="H4163" s="64" t="str"/>
      <c r="I4163" s="65" t="str"/>
      <c r="J4163" s="49" t="str"/>
      <c r="K4163" s="41" t="str"/>
      <c r="L4163" s="41" t="str"/>
      <c r="M4163" s="41" t="str"/>
      <c r="N4163" s="41" t="str"/>
      <c r="O4163" s="41" t="str"/>
      <c r="P4163" s="41" t="str"/>
      <c r="Q4163" s="41" t="str"/>
      <c r="R4163" s="41" t="str"/>
      <c r="S4163" s="41" t="str"/>
      <c r="T4163" s="41" t="str"/>
      <c r="U4163" s="41" t="str"/>
      <c r="V4163" s="41" t="str"/>
      <c r="W4163" s="41" t="str"/>
    </row>
    <row r="4164">
      <c r="B4164" s="2" t="n"/>
      <c r="C4164" s="40" t="n"/>
      <c r="D4164" s="52">
        <f t="array" ref="D4164:W4164">IF(All_Students_Scores!C4162:V4162="","",All_Students_Scores!C4162:V4162)</f>
        <v/>
      </c>
      <c r="E4164" s="57" t="str"/>
      <c r="F4164" s="49" t="str"/>
      <c r="G4164" s="59" t="str"/>
      <c r="H4164" s="64" t="str"/>
      <c r="I4164" s="65" t="str"/>
      <c r="J4164" s="49" t="str"/>
      <c r="K4164" s="41" t="str"/>
      <c r="L4164" s="41" t="str"/>
      <c r="M4164" s="41" t="str"/>
      <c r="N4164" s="41" t="str"/>
      <c r="O4164" s="41" t="str"/>
      <c r="P4164" s="41" t="str"/>
      <c r="Q4164" s="41" t="str"/>
      <c r="R4164" s="41" t="str"/>
      <c r="S4164" s="41" t="str"/>
      <c r="T4164" s="41" t="str"/>
      <c r="U4164" s="41" t="str"/>
      <c r="V4164" s="41" t="str"/>
      <c r="W4164" s="41" t="str"/>
    </row>
    <row r="4165">
      <c r="B4165" s="2" t="n"/>
      <c r="C4165" s="40" t="n"/>
      <c r="D4165" s="52">
        <f t="array" ref="D4165:W4165">IF(All_Students_Scores!C4163:V4163="","",All_Students_Scores!C4163:V4163)</f>
        <v/>
      </c>
      <c r="E4165" s="57" t="str"/>
      <c r="F4165" s="49" t="str"/>
      <c r="G4165" s="59" t="str"/>
      <c r="H4165" s="64" t="str"/>
      <c r="I4165" s="65" t="str"/>
      <c r="J4165" s="49" t="str"/>
      <c r="K4165" s="41" t="str"/>
      <c r="L4165" s="41" t="str"/>
      <c r="M4165" s="41" t="str"/>
      <c r="N4165" s="41" t="str"/>
      <c r="O4165" s="41" t="str"/>
      <c r="P4165" s="41" t="str"/>
      <c r="Q4165" s="41" t="str"/>
      <c r="R4165" s="41" t="str"/>
      <c r="S4165" s="41" t="str"/>
      <c r="T4165" s="41" t="str"/>
      <c r="U4165" s="41" t="str"/>
      <c r="V4165" s="41" t="str"/>
      <c r="W4165" s="41" t="str"/>
    </row>
    <row r="4166">
      <c r="B4166" s="2" t="n"/>
      <c r="C4166" s="40" t="n"/>
      <c r="D4166" s="52">
        <f t="array" ref="D4166:W4166">IF(All_Students_Scores!C4164:V4164="","",All_Students_Scores!C4164:V4164)</f>
        <v/>
      </c>
      <c r="E4166" s="57" t="str"/>
      <c r="F4166" s="49" t="str"/>
      <c r="G4166" s="59" t="str"/>
      <c r="H4166" s="64" t="str"/>
      <c r="I4166" s="65" t="str"/>
      <c r="J4166" s="49" t="str"/>
      <c r="K4166" s="41" t="str"/>
      <c r="L4166" s="41" t="str"/>
      <c r="M4166" s="41" t="str"/>
      <c r="N4166" s="41" t="str"/>
      <c r="O4166" s="41" t="str"/>
      <c r="P4166" s="41" t="str"/>
      <c r="Q4166" s="41" t="str"/>
      <c r="R4166" s="41" t="str"/>
      <c r="S4166" s="41" t="str"/>
      <c r="T4166" s="41" t="str"/>
      <c r="U4166" s="41" t="str"/>
      <c r="V4166" s="41" t="str"/>
      <c r="W4166" s="41" t="str"/>
    </row>
    <row r="4167">
      <c r="B4167" s="2" t="n"/>
      <c r="C4167" s="40" t="n"/>
      <c r="D4167" s="52">
        <f t="array" ref="D4167:W4167">IF(All_Students_Scores!C4165:V4165="","",All_Students_Scores!C4165:V4165)</f>
        <v/>
      </c>
      <c r="E4167" s="57" t="str"/>
      <c r="F4167" s="49" t="str"/>
      <c r="G4167" s="59" t="str"/>
      <c r="H4167" s="64" t="str"/>
      <c r="I4167" s="65" t="str"/>
      <c r="J4167" s="49" t="str"/>
      <c r="K4167" s="41" t="str"/>
      <c r="L4167" s="41" t="str"/>
      <c r="M4167" s="41" t="str"/>
      <c r="N4167" s="41" t="str"/>
      <c r="O4167" s="41" t="str"/>
      <c r="P4167" s="41" t="str"/>
      <c r="Q4167" s="41" t="str"/>
      <c r="R4167" s="41" t="str"/>
      <c r="S4167" s="41" t="str"/>
      <c r="T4167" s="41" t="str"/>
      <c r="U4167" s="41" t="str"/>
      <c r="V4167" s="41" t="str"/>
      <c r="W4167" s="41" t="str"/>
    </row>
    <row r="4168">
      <c r="B4168" s="2" t="n"/>
      <c r="C4168" s="40" t="n"/>
      <c r="D4168" s="52">
        <f t="array" ref="D4168:W4168">IF(All_Students_Scores!C4166:V4166="","",All_Students_Scores!C4166:V4166)</f>
        <v/>
      </c>
      <c r="E4168" s="57" t="str"/>
      <c r="F4168" s="49" t="str"/>
      <c r="G4168" s="59" t="str"/>
      <c r="H4168" s="64" t="str"/>
      <c r="I4168" s="65" t="str"/>
      <c r="J4168" s="49" t="str"/>
      <c r="K4168" s="41" t="str"/>
      <c r="L4168" s="41" t="str"/>
      <c r="M4168" s="41" t="str"/>
      <c r="N4168" s="41" t="str"/>
      <c r="O4168" s="41" t="str"/>
      <c r="P4168" s="41" t="str"/>
      <c r="Q4168" s="41" t="str"/>
      <c r="R4168" s="41" t="str"/>
      <c r="S4168" s="41" t="str"/>
      <c r="T4168" s="41" t="str"/>
      <c r="U4168" s="41" t="str"/>
      <c r="V4168" s="41" t="str"/>
      <c r="W4168" s="41" t="str"/>
    </row>
    <row r="4169">
      <c r="B4169" s="2" t="n"/>
      <c r="C4169" s="40" t="n"/>
      <c r="D4169" s="52">
        <f t="array" ref="D4169:W4169">IF(All_Students_Scores!C4167:V4167="","",All_Students_Scores!C4167:V4167)</f>
        <v/>
      </c>
      <c r="E4169" s="57" t="str"/>
      <c r="F4169" s="49" t="str"/>
      <c r="G4169" s="59" t="str"/>
      <c r="H4169" s="64" t="str"/>
      <c r="I4169" s="65" t="str"/>
      <c r="J4169" s="49" t="str"/>
      <c r="K4169" s="41" t="str"/>
      <c r="L4169" s="41" t="str"/>
      <c r="M4169" s="41" t="str"/>
      <c r="N4169" s="41" t="str"/>
      <c r="O4169" s="41" t="str"/>
      <c r="P4169" s="41" t="str"/>
      <c r="Q4169" s="41" t="str"/>
      <c r="R4169" s="41" t="str"/>
      <c r="S4169" s="41" t="str"/>
      <c r="T4169" s="41" t="str"/>
      <c r="U4169" s="41" t="str"/>
      <c r="V4169" s="41" t="str"/>
      <c r="W4169" s="41" t="str"/>
    </row>
    <row r="4170">
      <c r="B4170" s="2" t="n"/>
      <c r="C4170" s="40" t="n"/>
      <c r="D4170" s="52">
        <f t="array" ref="D4170:W4170">IF(All_Students_Scores!C4168:V4168="","",All_Students_Scores!C4168:V4168)</f>
        <v/>
      </c>
      <c r="E4170" s="57" t="str"/>
      <c r="F4170" s="49" t="str"/>
      <c r="G4170" s="59" t="str"/>
      <c r="H4170" s="64" t="str"/>
      <c r="I4170" s="65" t="str"/>
      <c r="J4170" s="49" t="str"/>
      <c r="K4170" s="41" t="str"/>
      <c r="L4170" s="41" t="str"/>
      <c r="M4170" s="41" t="str"/>
      <c r="N4170" s="41" t="str"/>
      <c r="O4170" s="41" t="str"/>
      <c r="P4170" s="41" t="str"/>
      <c r="Q4170" s="41" t="str"/>
      <c r="R4170" s="41" t="str"/>
      <c r="S4170" s="41" t="str"/>
      <c r="T4170" s="41" t="str"/>
      <c r="U4170" s="41" t="str"/>
      <c r="V4170" s="41" t="str"/>
      <c r="W4170" s="41" t="str"/>
    </row>
    <row r="4171">
      <c r="B4171" s="2" t="n"/>
      <c r="C4171" s="40" t="n"/>
      <c r="D4171" s="52">
        <f t="array" ref="D4171:W4171">IF(All_Students_Scores!C4169:V4169="","",All_Students_Scores!C4169:V4169)</f>
        <v/>
      </c>
      <c r="E4171" s="57" t="str"/>
      <c r="F4171" s="49" t="str"/>
      <c r="G4171" s="59" t="str"/>
      <c r="H4171" s="64" t="str"/>
      <c r="I4171" s="65" t="str"/>
      <c r="J4171" s="49" t="str"/>
      <c r="K4171" s="41" t="str"/>
      <c r="L4171" s="41" t="str"/>
      <c r="M4171" s="41" t="str"/>
      <c r="N4171" s="41" t="str"/>
      <c r="O4171" s="41" t="str"/>
      <c r="P4171" s="41" t="str"/>
      <c r="Q4171" s="41" t="str"/>
      <c r="R4171" s="41" t="str"/>
      <c r="S4171" s="41" t="str"/>
      <c r="T4171" s="41" t="str"/>
      <c r="U4171" s="41" t="str"/>
      <c r="V4171" s="41" t="str"/>
      <c r="W4171" s="41" t="str"/>
    </row>
    <row r="4172">
      <c r="B4172" s="2" t="n"/>
      <c r="C4172" s="40" t="n"/>
      <c r="D4172" s="52">
        <f t="array" ref="D4172:W4172">IF(All_Students_Scores!C4170:V4170="","",All_Students_Scores!C4170:V4170)</f>
        <v/>
      </c>
      <c r="E4172" s="57" t="str"/>
      <c r="F4172" s="49" t="str"/>
      <c r="G4172" s="59" t="str"/>
      <c r="H4172" s="64" t="str"/>
      <c r="I4172" s="65" t="str"/>
      <c r="J4172" s="49" t="str"/>
      <c r="K4172" s="41" t="str"/>
      <c r="L4172" s="41" t="str"/>
      <c r="M4172" s="41" t="str"/>
      <c r="N4172" s="41" t="str"/>
      <c r="O4172" s="41" t="str"/>
      <c r="P4172" s="41" t="str"/>
      <c r="Q4172" s="41" t="str"/>
      <c r="R4172" s="41" t="str"/>
      <c r="S4172" s="41" t="str"/>
      <c r="T4172" s="41" t="str"/>
      <c r="U4172" s="41" t="str"/>
      <c r="V4172" s="41" t="str"/>
      <c r="W4172" s="41" t="str"/>
    </row>
    <row r="4173">
      <c r="B4173" s="2" t="n"/>
      <c r="C4173" s="40" t="n"/>
      <c r="D4173" s="52">
        <f t="array" ref="D4173:W4173">IF(All_Students_Scores!C4171:V4171="","",All_Students_Scores!C4171:V4171)</f>
        <v/>
      </c>
      <c r="E4173" s="57" t="str"/>
      <c r="F4173" s="49" t="str"/>
      <c r="G4173" s="59" t="str"/>
      <c r="H4173" s="64" t="str"/>
      <c r="I4173" s="65" t="str"/>
      <c r="J4173" s="49" t="str"/>
      <c r="K4173" s="41" t="str"/>
      <c r="L4173" s="41" t="str"/>
      <c r="M4173" s="41" t="str"/>
      <c r="N4173" s="41" t="str"/>
      <c r="O4173" s="41" t="str"/>
      <c r="P4173" s="41" t="str"/>
      <c r="Q4173" s="41" t="str"/>
      <c r="R4173" s="41" t="str"/>
      <c r="S4173" s="41" t="str"/>
      <c r="T4173" s="41" t="str"/>
      <c r="U4173" s="41" t="str"/>
      <c r="V4173" s="41" t="str"/>
      <c r="W4173" s="41" t="str"/>
    </row>
    <row r="4174">
      <c r="B4174" s="2" t="n"/>
      <c r="C4174" s="40" t="n"/>
      <c r="D4174" s="52">
        <f t="array" ref="D4174:W4174">IF(All_Students_Scores!C4172:V4172="","",All_Students_Scores!C4172:V4172)</f>
        <v/>
      </c>
      <c r="E4174" s="57" t="str"/>
      <c r="F4174" s="49" t="str"/>
      <c r="G4174" s="59" t="str"/>
      <c r="H4174" s="64" t="str"/>
      <c r="I4174" s="65" t="str"/>
      <c r="J4174" s="49" t="str"/>
      <c r="K4174" s="41" t="str"/>
      <c r="L4174" s="41" t="str"/>
      <c r="M4174" s="41" t="str"/>
      <c r="N4174" s="41" t="str"/>
      <c r="O4174" s="41" t="str"/>
      <c r="P4174" s="41" t="str"/>
      <c r="Q4174" s="41" t="str"/>
      <c r="R4174" s="41" t="str"/>
      <c r="S4174" s="41" t="str"/>
      <c r="T4174" s="41" t="str"/>
      <c r="U4174" s="41" t="str"/>
      <c r="V4174" s="41" t="str"/>
      <c r="W4174" s="41" t="str"/>
    </row>
    <row r="4175">
      <c r="B4175" s="2" t="n"/>
      <c r="C4175" s="40" t="n"/>
      <c r="D4175" s="52">
        <f t="array" ref="D4175:W4175">IF(All_Students_Scores!C4173:V4173="","",All_Students_Scores!C4173:V4173)</f>
        <v/>
      </c>
      <c r="E4175" s="57" t="str"/>
      <c r="F4175" s="49" t="str"/>
      <c r="G4175" s="59" t="str"/>
      <c r="H4175" s="64" t="str"/>
      <c r="I4175" s="65" t="str"/>
      <c r="J4175" s="49" t="str"/>
      <c r="K4175" s="41" t="str"/>
      <c r="L4175" s="41" t="str"/>
      <c r="M4175" s="41" t="str"/>
      <c r="N4175" s="41" t="str"/>
      <c r="O4175" s="41" t="str"/>
      <c r="P4175" s="41" t="str"/>
      <c r="Q4175" s="41" t="str"/>
      <c r="R4175" s="41" t="str"/>
      <c r="S4175" s="41" t="str"/>
      <c r="T4175" s="41" t="str"/>
      <c r="U4175" s="41" t="str"/>
      <c r="V4175" s="41" t="str"/>
      <c r="W4175" s="41" t="str"/>
    </row>
    <row r="4176">
      <c r="B4176" s="2" t="n"/>
      <c r="C4176" s="40" t="n"/>
      <c r="D4176" s="52">
        <f t="array" ref="D4176:W4176">IF(All_Students_Scores!C4174:V4174="","",All_Students_Scores!C4174:V4174)</f>
        <v/>
      </c>
      <c r="E4176" s="57" t="str"/>
      <c r="F4176" s="49" t="str"/>
      <c r="G4176" s="59" t="str"/>
      <c r="H4176" s="64" t="str"/>
      <c r="I4176" s="65" t="str"/>
      <c r="J4176" s="49" t="str"/>
      <c r="K4176" s="41" t="str"/>
      <c r="L4176" s="41" t="str"/>
      <c r="M4176" s="41" t="str"/>
      <c r="N4176" s="41" t="str"/>
      <c r="O4176" s="41" t="str"/>
      <c r="P4176" s="41" t="str"/>
      <c r="Q4176" s="41" t="str"/>
      <c r="R4176" s="41" t="str"/>
      <c r="S4176" s="41" t="str"/>
      <c r="T4176" s="41" t="str"/>
      <c r="U4176" s="41" t="str"/>
      <c r="V4176" s="41" t="str"/>
      <c r="W4176" s="41" t="str"/>
    </row>
    <row r="4177">
      <c r="B4177" s="2" t="n"/>
      <c r="C4177" s="40" t="n"/>
      <c r="D4177" s="52">
        <f t="array" ref="D4177:W4177">IF(All_Students_Scores!C4175:V4175="","",All_Students_Scores!C4175:V4175)</f>
        <v/>
      </c>
      <c r="E4177" s="57" t="str"/>
      <c r="F4177" s="49" t="str"/>
      <c r="G4177" s="59" t="str"/>
      <c r="H4177" s="64" t="str"/>
      <c r="I4177" s="65" t="str"/>
      <c r="J4177" s="49" t="str"/>
      <c r="K4177" s="41" t="str"/>
      <c r="L4177" s="41" t="str"/>
      <c r="M4177" s="41" t="str"/>
      <c r="N4177" s="41" t="str"/>
      <c r="O4177" s="41" t="str"/>
      <c r="P4177" s="41" t="str"/>
      <c r="Q4177" s="41" t="str"/>
      <c r="R4177" s="41" t="str"/>
      <c r="S4177" s="41" t="str"/>
      <c r="T4177" s="41" t="str"/>
      <c r="U4177" s="41" t="str"/>
      <c r="V4177" s="41" t="str"/>
      <c r="W4177" s="41" t="str"/>
    </row>
    <row r="4178">
      <c r="B4178" s="2" t="n"/>
      <c r="C4178" s="40" t="n"/>
      <c r="D4178" s="52">
        <f t="array" ref="D4178:W4178">IF(All_Students_Scores!C4176:V4176="","",All_Students_Scores!C4176:V4176)</f>
        <v/>
      </c>
      <c r="E4178" s="57" t="str"/>
      <c r="F4178" s="49" t="str"/>
      <c r="G4178" s="59" t="str"/>
      <c r="H4178" s="64" t="str"/>
      <c r="I4178" s="65" t="str"/>
      <c r="J4178" s="49" t="str"/>
      <c r="K4178" s="41" t="str"/>
      <c r="L4178" s="41" t="str"/>
      <c r="M4178" s="41" t="str"/>
      <c r="N4178" s="41" t="str"/>
      <c r="O4178" s="41" t="str"/>
      <c r="P4178" s="41" t="str"/>
      <c r="Q4178" s="41" t="str"/>
      <c r="R4178" s="41" t="str"/>
      <c r="S4178" s="41" t="str"/>
      <c r="T4178" s="41" t="str"/>
      <c r="U4178" s="41" t="str"/>
      <c r="V4178" s="41" t="str"/>
      <c r="W4178" s="41" t="str"/>
    </row>
    <row r="4179">
      <c r="B4179" s="2" t="n"/>
      <c r="C4179" s="40" t="n"/>
      <c r="D4179" s="52">
        <f t="array" ref="D4179:W4179">IF(All_Students_Scores!C4177:V4177="","",All_Students_Scores!C4177:V4177)</f>
        <v/>
      </c>
      <c r="E4179" s="57" t="str"/>
      <c r="F4179" s="49" t="str"/>
      <c r="G4179" s="59" t="str"/>
      <c r="H4179" s="64" t="str"/>
      <c r="I4179" s="65" t="str"/>
      <c r="J4179" s="49" t="str"/>
      <c r="K4179" s="41" t="str"/>
      <c r="L4179" s="41" t="str"/>
      <c r="M4179" s="41" t="str"/>
      <c r="N4179" s="41" t="str"/>
      <c r="O4179" s="41" t="str"/>
      <c r="P4179" s="41" t="str"/>
      <c r="Q4179" s="41" t="str"/>
      <c r="R4179" s="41" t="str"/>
      <c r="S4179" s="41" t="str"/>
      <c r="T4179" s="41" t="str"/>
      <c r="U4179" s="41" t="str"/>
      <c r="V4179" s="41" t="str"/>
      <c r="W4179" s="41" t="str"/>
    </row>
    <row r="4180">
      <c r="B4180" s="2" t="n"/>
      <c r="C4180" s="40" t="n"/>
      <c r="D4180" s="52">
        <f t="array" ref="D4180:W4180">IF(All_Students_Scores!C4178:V4178="","",All_Students_Scores!C4178:V4178)</f>
        <v/>
      </c>
      <c r="E4180" s="57" t="str"/>
      <c r="F4180" s="49" t="str"/>
      <c r="G4180" s="59" t="str"/>
      <c r="H4180" s="64" t="str"/>
      <c r="I4180" s="65" t="str"/>
      <c r="J4180" s="49" t="str"/>
      <c r="K4180" s="41" t="str"/>
      <c r="L4180" s="41" t="str"/>
      <c r="M4180" s="41" t="str"/>
      <c r="N4180" s="41" t="str"/>
      <c r="O4180" s="41" t="str"/>
      <c r="P4180" s="41" t="str"/>
      <c r="Q4180" s="41" t="str"/>
      <c r="R4180" s="41" t="str"/>
      <c r="S4180" s="41" t="str"/>
      <c r="T4180" s="41" t="str"/>
      <c r="U4180" s="41" t="str"/>
      <c r="V4180" s="41" t="str"/>
      <c r="W4180" s="41" t="str"/>
    </row>
    <row r="4181">
      <c r="B4181" s="2" t="n"/>
      <c r="C4181" s="40" t="n"/>
      <c r="D4181" s="52">
        <f t="array" ref="D4181:W4181">IF(All_Students_Scores!C4179:V4179="","",All_Students_Scores!C4179:V4179)</f>
        <v/>
      </c>
      <c r="E4181" s="57" t="str"/>
      <c r="F4181" s="49" t="str"/>
      <c r="G4181" s="59" t="str"/>
      <c r="H4181" s="64" t="str"/>
      <c r="I4181" s="65" t="str"/>
      <c r="J4181" s="49" t="str"/>
      <c r="K4181" s="41" t="str"/>
      <c r="L4181" s="41" t="str"/>
      <c r="M4181" s="41" t="str"/>
      <c r="N4181" s="41" t="str"/>
      <c r="O4181" s="41" t="str"/>
      <c r="P4181" s="41" t="str"/>
      <c r="Q4181" s="41" t="str"/>
      <c r="R4181" s="41" t="str"/>
      <c r="S4181" s="41" t="str"/>
      <c r="T4181" s="41" t="str"/>
      <c r="U4181" s="41" t="str"/>
      <c r="V4181" s="41" t="str"/>
      <c r="W4181" s="41" t="str"/>
    </row>
    <row r="4182">
      <c r="B4182" s="2" t="n"/>
      <c r="C4182" s="40" t="n"/>
      <c r="D4182" s="52">
        <f t="array" ref="D4182:W4182">IF(All_Students_Scores!C4180:V4180="","",All_Students_Scores!C4180:V4180)</f>
        <v/>
      </c>
      <c r="E4182" s="57" t="str"/>
      <c r="F4182" s="49" t="str"/>
      <c r="G4182" s="59" t="str"/>
      <c r="H4182" s="64" t="str"/>
      <c r="I4182" s="65" t="str"/>
      <c r="J4182" s="49" t="str"/>
      <c r="K4182" s="41" t="str"/>
      <c r="L4182" s="41" t="str"/>
      <c r="M4182" s="41" t="str"/>
      <c r="N4182" s="41" t="str"/>
      <c r="O4182" s="41" t="str"/>
      <c r="P4182" s="41" t="str"/>
      <c r="Q4182" s="41" t="str"/>
      <c r="R4182" s="41" t="str"/>
      <c r="S4182" s="41" t="str"/>
      <c r="T4182" s="41" t="str"/>
      <c r="U4182" s="41" t="str"/>
      <c r="V4182" s="41" t="str"/>
      <c r="W4182" s="41" t="str"/>
    </row>
    <row r="4183">
      <c r="B4183" s="2" t="n"/>
      <c r="C4183" s="40" t="n"/>
      <c r="D4183" s="52">
        <f t="array" ref="D4183:W4183">IF(All_Students_Scores!C4181:V4181="","",All_Students_Scores!C4181:V4181)</f>
        <v/>
      </c>
      <c r="E4183" s="57" t="str"/>
      <c r="F4183" s="49" t="str"/>
      <c r="G4183" s="59" t="str"/>
      <c r="H4183" s="64" t="str"/>
      <c r="I4183" s="65" t="str"/>
      <c r="J4183" s="49" t="str"/>
      <c r="K4183" s="41" t="str"/>
      <c r="L4183" s="41" t="str"/>
      <c r="M4183" s="41" t="str"/>
      <c r="N4183" s="41" t="str"/>
      <c r="O4183" s="41" t="str"/>
      <c r="P4183" s="41" t="str"/>
      <c r="Q4183" s="41" t="str"/>
      <c r="R4183" s="41" t="str"/>
      <c r="S4183" s="41" t="str"/>
      <c r="T4183" s="41" t="str"/>
      <c r="U4183" s="41" t="str"/>
      <c r="V4183" s="41" t="str"/>
      <c r="W4183" s="41" t="str"/>
    </row>
    <row r="4184">
      <c r="B4184" s="2" t="n"/>
      <c r="C4184" s="40" t="n"/>
      <c r="D4184" s="52">
        <f t="array" ref="D4184:W4184">IF(All_Students_Scores!C4182:V4182="","",All_Students_Scores!C4182:V4182)</f>
        <v/>
      </c>
      <c r="E4184" s="57" t="str"/>
      <c r="F4184" s="49" t="str"/>
      <c r="G4184" s="59" t="str"/>
      <c r="H4184" s="64" t="str"/>
      <c r="I4184" s="65" t="str"/>
      <c r="J4184" s="49" t="str"/>
      <c r="K4184" s="41" t="str"/>
      <c r="L4184" s="41" t="str"/>
      <c r="M4184" s="41" t="str"/>
      <c r="N4184" s="41" t="str"/>
      <c r="O4184" s="41" t="str"/>
      <c r="P4184" s="41" t="str"/>
      <c r="Q4184" s="41" t="str"/>
      <c r="R4184" s="41" t="str"/>
      <c r="S4184" s="41" t="str"/>
      <c r="T4184" s="41" t="str"/>
      <c r="U4184" s="41" t="str"/>
      <c r="V4184" s="41" t="str"/>
      <c r="W4184" s="41" t="str"/>
    </row>
    <row r="4185">
      <c r="B4185" s="2" t="n"/>
      <c r="C4185" s="40" t="n"/>
      <c r="D4185" s="52">
        <f t="array" ref="D4185:W4185">IF(All_Students_Scores!C4183:V4183="","",All_Students_Scores!C4183:V4183)</f>
        <v/>
      </c>
      <c r="E4185" s="57" t="str"/>
      <c r="F4185" s="49" t="str"/>
      <c r="G4185" s="59" t="str"/>
      <c r="H4185" s="64" t="str"/>
      <c r="I4185" s="65" t="str"/>
      <c r="J4185" s="49" t="str"/>
      <c r="K4185" s="41" t="str"/>
      <c r="L4185" s="41" t="str"/>
      <c r="M4185" s="41" t="str"/>
      <c r="N4185" s="41" t="str"/>
      <c r="O4185" s="41" t="str"/>
      <c r="P4185" s="41" t="str"/>
      <c r="Q4185" s="41" t="str"/>
      <c r="R4185" s="41" t="str"/>
      <c r="S4185" s="41" t="str"/>
      <c r="T4185" s="41" t="str"/>
      <c r="U4185" s="41" t="str"/>
      <c r="V4185" s="41" t="str"/>
      <c r="W4185" s="41" t="str"/>
    </row>
    <row r="4186">
      <c r="B4186" s="2" t="n"/>
      <c r="C4186" s="40" t="n"/>
      <c r="D4186" s="52">
        <f t="array" ref="D4186:W4186">IF(All_Students_Scores!C4184:V4184="","",All_Students_Scores!C4184:V4184)</f>
        <v/>
      </c>
      <c r="E4186" s="57" t="str"/>
      <c r="F4186" s="49" t="str"/>
      <c r="G4186" s="59" t="str"/>
      <c r="H4186" s="64" t="str"/>
      <c r="I4186" s="65" t="str"/>
      <c r="J4186" s="49" t="str"/>
      <c r="K4186" s="41" t="str"/>
      <c r="L4186" s="41" t="str"/>
      <c r="M4186" s="41" t="str"/>
      <c r="N4186" s="41" t="str"/>
      <c r="O4186" s="41" t="str"/>
      <c r="P4186" s="41" t="str"/>
      <c r="Q4186" s="41" t="str"/>
      <c r="R4186" s="41" t="str"/>
      <c r="S4186" s="41" t="str"/>
      <c r="T4186" s="41" t="str"/>
      <c r="U4186" s="41" t="str"/>
      <c r="V4186" s="41" t="str"/>
      <c r="W4186" s="41" t="str"/>
    </row>
    <row r="4187">
      <c r="B4187" s="2" t="n"/>
      <c r="C4187" s="40" t="n"/>
      <c r="D4187" s="52">
        <f t="array" ref="D4187:W4187">IF(All_Students_Scores!C4185:V4185="","",All_Students_Scores!C4185:V4185)</f>
        <v/>
      </c>
      <c r="E4187" s="57" t="str"/>
      <c r="F4187" s="49" t="str"/>
      <c r="G4187" s="59" t="str"/>
      <c r="H4187" s="64" t="str"/>
      <c r="I4187" s="65" t="str"/>
      <c r="J4187" s="49" t="str"/>
      <c r="K4187" s="41" t="str"/>
      <c r="L4187" s="41" t="str"/>
      <c r="M4187" s="41" t="str"/>
      <c r="N4187" s="41" t="str"/>
      <c r="O4187" s="41" t="str"/>
      <c r="P4187" s="41" t="str"/>
      <c r="Q4187" s="41" t="str"/>
      <c r="R4187" s="41" t="str"/>
      <c r="S4187" s="41" t="str"/>
      <c r="T4187" s="41" t="str"/>
      <c r="U4187" s="41" t="str"/>
      <c r="V4187" s="41" t="str"/>
      <c r="W4187" s="41" t="str"/>
    </row>
    <row r="4188">
      <c r="B4188" s="2" t="n"/>
      <c r="C4188" s="40" t="n"/>
      <c r="D4188" s="52">
        <f t="array" ref="D4188:W4188">IF(All_Students_Scores!C4186:V4186="","",All_Students_Scores!C4186:V4186)</f>
        <v/>
      </c>
      <c r="E4188" s="57" t="str"/>
      <c r="F4188" s="49" t="str"/>
      <c r="G4188" s="59" t="str"/>
      <c r="H4188" s="64" t="str"/>
      <c r="I4188" s="65" t="str"/>
      <c r="J4188" s="49" t="str"/>
      <c r="K4188" s="41" t="str"/>
      <c r="L4188" s="41" t="str"/>
      <c r="M4188" s="41" t="str"/>
      <c r="N4188" s="41" t="str"/>
      <c r="O4188" s="41" t="str"/>
      <c r="P4188" s="41" t="str"/>
      <c r="Q4188" s="41" t="str"/>
      <c r="R4188" s="41" t="str"/>
      <c r="S4188" s="41" t="str"/>
      <c r="T4188" s="41" t="str"/>
      <c r="U4188" s="41" t="str"/>
      <c r="V4188" s="41" t="str"/>
      <c r="W4188" s="41" t="str"/>
    </row>
    <row r="4189">
      <c r="B4189" s="2" t="n"/>
      <c r="C4189" s="40" t="n"/>
      <c r="D4189" s="52">
        <f t="array" ref="D4189:W4189">IF(All_Students_Scores!C4187:V4187="","",All_Students_Scores!C4187:V4187)</f>
        <v/>
      </c>
      <c r="E4189" s="57" t="str"/>
      <c r="F4189" s="49" t="str"/>
      <c r="G4189" s="59" t="str"/>
      <c r="H4189" s="64" t="str"/>
      <c r="I4189" s="65" t="str"/>
      <c r="J4189" s="49" t="str"/>
      <c r="K4189" s="41" t="str"/>
      <c r="L4189" s="41" t="str"/>
      <c r="M4189" s="41" t="str"/>
      <c r="N4189" s="41" t="str"/>
      <c r="O4189" s="41" t="str"/>
      <c r="P4189" s="41" t="str"/>
      <c r="Q4189" s="41" t="str"/>
      <c r="R4189" s="41" t="str"/>
      <c r="S4189" s="41" t="str"/>
      <c r="T4189" s="41" t="str"/>
      <c r="U4189" s="41" t="str"/>
      <c r="V4189" s="41" t="str"/>
      <c r="W4189" s="41" t="str"/>
    </row>
    <row r="4190">
      <c r="B4190" s="2" t="n"/>
      <c r="C4190" s="40" t="n"/>
      <c r="D4190" s="52">
        <f t="array" ref="D4190:W4190">IF(All_Students_Scores!C4188:V4188="","",All_Students_Scores!C4188:V4188)</f>
        <v/>
      </c>
      <c r="E4190" s="57" t="str"/>
      <c r="F4190" s="49" t="str"/>
      <c r="G4190" s="59" t="str"/>
      <c r="H4190" s="64" t="str"/>
      <c r="I4190" s="65" t="str"/>
      <c r="J4190" s="49" t="str"/>
      <c r="K4190" s="41" t="str"/>
      <c r="L4190" s="41" t="str"/>
      <c r="M4190" s="41" t="str"/>
      <c r="N4190" s="41" t="str"/>
      <c r="O4190" s="41" t="str"/>
      <c r="P4190" s="41" t="str"/>
      <c r="Q4190" s="41" t="str"/>
      <c r="R4190" s="41" t="str"/>
      <c r="S4190" s="41" t="str"/>
      <c r="T4190" s="41" t="str"/>
      <c r="U4190" s="41" t="str"/>
      <c r="V4190" s="41" t="str"/>
      <c r="W4190" s="41" t="str"/>
    </row>
    <row r="4191">
      <c r="B4191" s="2" t="n"/>
      <c r="C4191" s="40" t="n"/>
      <c r="D4191" s="52">
        <f t="array" ref="D4191:W4191">IF(All_Students_Scores!C4189:V4189="","",All_Students_Scores!C4189:V4189)</f>
        <v/>
      </c>
      <c r="E4191" s="57" t="str"/>
      <c r="F4191" s="49" t="str"/>
      <c r="G4191" s="59" t="str"/>
      <c r="H4191" s="64" t="str"/>
      <c r="I4191" s="65" t="str"/>
      <c r="J4191" s="49" t="str"/>
      <c r="K4191" s="41" t="str"/>
      <c r="L4191" s="41" t="str"/>
      <c r="M4191" s="41" t="str"/>
      <c r="N4191" s="41" t="str"/>
      <c r="O4191" s="41" t="str"/>
      <c r="P4191" s="41" t="str"/>
      <c r="Q4191" s="41" t="str"/>
      <c r="R4191" s="41" t="str"/>
      <c r="S4191" s="41" t="str"/>
      <c r="T4191" s="41" t="str"/>
      <c r="U4191" s="41" t="str"/>
      <c r="V4191" s="41" t="str"/>
      <c r="W4191" s="41" t="str"/>
    </row>
    <row r="4192">
      <c r="B4192" s="2" t="n"/>
      <c r="C4192" s="40" t="n"/>
      <c r="D4192" s="52">
        <f t="array" ref="D4192:W4192">IF(All_Students_Scores!C4190:V4190="","",All_Students_Scores!C4190:V4190)</f>
        <v/>
      </c>
      <c r="E4192" s="57" t="str"/>
      <c r="F4192" s="49" t="str"/>
      <c r="G4192" s="59" t="str"/>
      <c r="H4192" s="64" t="str"/>
      <c r="I4192" s="65" t="str"/>
      <c r="J4192" s="49" t="str"/>
      <c r="K4192" s="41" t="str"/>
      <c r="L4192" s="41" t="str"/>
      <c r="M4192" s="41" t="str"/>
      <c r="N4192" s="41" t="str"/>
      <c r="O4192" s="41" t="str"/>
      <c r="P4192" s="41" t="str"/>
      <c r="Q4192" s="41" t="str"/>
      <c r="R4192" s="41" t="str"/>
      <c r="S4192" s="41" t="str"/>
      <c r="T4192" s="41" t="str"/>
      <c r="U4192" s="41" t="str"/>
      <c r="V4192" s="41" t="str"/>
      <c r="W4192" s="41" t="str"/>
    </row>
    <row r="4193">
      <c r="B4193" s="2" t="n"/>
      <c r="C4193" s="40" t="n"/>
      <c r="D4193" s="52">
        <f t="array" ref="D4193:W4193">IF(All_Students_Scores!C4191:V4191="","",All_Students_Scores!C4191:V4191)</f>
        <v/>
      </c>
      <c r="E4193" s="57" t="str"/>
      <c r="F4193" s="49" t="str"/>
      <c r="G4193" s="59" t="str"/>
      <c r="H4193" s="64" t="str"/>
      <c r="I4193" s="65" t="str"/>
      <c r="J4193" s="49" t="str"/>
      <c r="K4193" s="41" t="str"/>
      <c r="L4193" s="41" t="str"/>
      <c r="M4193" s="41" t="str"/>
      <c r="N4193" s="41" t="str"/>
      <c r="O4193" s="41" t="str"/>
      <c r="P4193" s="41" t="str"/>
      <c r="Q4193" s="41" t="str"/>
      <c r="R4193" s="41" t="str"/>
      <c r="S4193" s="41" t="str"/>
      <c r="T4193" s="41" t="str"/>
      <c r="U4193" s="41" t="str"/>
      <c r="V4193" s="41" t="str"/>
      <c r="W4193" s="41" t="str"/>
    </row>
    <row r="4194">
      <c r="B4194" s="2" t="n"/>
      <c r="C4194" s="40" t="n"/>
      <c r="D4194" s="52">
        <f t="array" ref="D4194:W4194">IF(All_Students_Scores!C4192:V4192="","",All_Students_Scores!C4192:V4192)</f>
        <v/>
      </c>
      <c r="E4194" s="57" t="str"/>
      <c r="F4194" s="49" t="str"/>
      <c r="G4194" s="59" t="str"/>
      <c r="H4194" s="64" t="str"/>
      <c r="I4194" s="65" t="str"/>
      <c r="J4194" s="49" t="str"/>
      <c r="K4194" s="41" t="str"/>
      <c r="L4194" s="41" t="str"/>
      <c r="M4194" s="41" t="str"/>
      <c r="N4194" s="41" t="str"/>
      <c r="O4194" s="41" t="str"/>
      <c r="P4194" s="41" t="str"/>
      <c r="Q4194" s="41" t="str"/>
      <c r="R4194" s="41" t="str"/>
      <c r="S4194" s="41" t="str"/>
      <c r="T4194" s="41" t="str"/>
      <c r="U4194" s="41" t="str"/>
      <c r="V4194" s="41" t="str"/>
      <c r="W4194" s="41" t="str"/>
    </row>
    <row r="4195">
      <c r="B4195" s="2" t="n"/>
      <c r="C4195" s="40" t="n"/>
      <c r="D4195" s="52">
        <f t="array" ref="D4195:W4195">IF(All_Students_Scores!C4193:V4193="","",All_Students_Scores!C4193:V4193)</f>
        <v/>
      </c>
      <c r="E4195" s="57" t="str"/>
      <c r="F4195" s="49" t="str"/>
      <c r="G4195" s="59" t="str"/>
      <c r="H4195" s="64" t="str"/>
      <c r="I4195" s="65" t="str"/>
      <c r="J4195" s="49" t="str"/>
      <c r="K4195" s="41" t="str"/>
      <c r="L4195" s="41" t="str"/>
      <c r="M4195" s="41" t="str"/>
      <c r="N4195" s="41" t="str"/>
      <c r="O4195" s="41" t="str"/>
      <c r="P4195" s="41" t="str"/>
      <c r="Q4195" s="41" t="str"/>
      <c r="R4195" s="41" t="str"/>
      <c r="S4195" s="41" t="str"/>
      <c r="T4195" s="41" t="str"/>
      <c r="U4195" s="41" t="str"/>
      <c r="V4195" s="41" t="str"/>
      <c r="W4195" s="41" t="str"/>
    </row>
    <row r="4196">
      <c r="B4196" s="2" t="n"/>
      <c r="C4196" s="40" t="n"/>
      <c r="D4196" s="52">
        <f t="array" ref="D4196:W4196">IF(All_Students_Scores!C4194:V4194="","",All_Students_Scores!C4194:V4194)</f>
        <v/>
      </c>
      <c r="E4196" s="57" t="str"/>
      <c r="F4196" s="49" t="str"/>
      <c r="G4196" s="59" t="str"/>
      <c r="H4196" s="64" t="str"/>
      <c r="I4196" s="65" t="str"/>
      <c r="J4196" s="49" t="str"/>
      <c r="K4196" s="41" t="str"/>
      <c r="L4196" s="41" t="str"/>
      <c r="M4196" s="41" t="str"/>
      <c r="N4196" s="41" t="str"/>
      <c r="O4196" s="41" t="str"/>
      <c r="P4196" s="41" t="str"/>
      <c r="Q4196" s="41" t="str"/>
      <c r="R4196" s="41" t="str"/>
      <c r="S4196" s="41" t="str"/>
      <c r="T4196" s="41" t="str"/>
      <c r="U4196" s="41" t="str"/>
      <c r="V4196" s="41" t="str"/>
      <c r="W4196" s="41" t="str"/>
    </row>
    <row r="4197">
      <c r="B4197" s="2" t="n"/>
      <c r="C4197" s="40" t="n"/>
      <c r="D4197" s="52">
        <f t="array" ref="D4197:W4197">IF(All_Students_Scores!C4195:V4195="","",All_Students_Scores!C4195:V4195)</f>
        <v/>
      </c>
      <c r="E4197" s="57" t="str"/>
      <c r="F4197" s="49" t="str"/>
      <c r="G4197" s="59" t="str"/>
      <c r="H4197" s="64" t="str"/>
      <c r="I4197" s="65" t="str"/>
      <c r="J4197" s="49" t="str"/>
      <c r="K4197" s="41" t="str"/>
      <c r="L4197" s="41" t="str"/>
      <c r="M4197" s="41" t="str"/>
      <c r="N4197" s="41" t="str"/>
      <c r="O4197" s="41" t="str"/>
      <c r="P4197" s="41" t="str"/>
      <c r="Q4197" s="41" t="str"/>
      <c r="R4197" s="41" t="str"/>
      <c r="S4197" s="41" t="str"/>
      <c r="T4197" s="41" t="str"/>
      <c r="U4197" s="41" t="str"/>
      <c r="V4197" s="41" t="str"/>
      <c r="W4197" s="41" t="str"/>
    </row>
    <row r="4198">
      <c r="B4198" s="2" t="n"/>
      <c r="C4198" s="40" t="n"/>
      <c r="D4198" s="52">
        <f t="array" ref="D4198:W4198">IF(All_Students_Scores!C4196:V4196="","",All_Students_Scores!C4196:V4196)</f>
        <v/>
      </c>
      <c r="E4198" s="57" t="str"/>
      <c r="F4198" s="49" t="str"/>
      <c r="G4198" s="59" t="str"/>
      <c r="H4198" s="64" t="str"/>
      <c r="I4198" s="65" t="str"/>
      <c r="J4198" s="49" t="str"/>
      <c r="K4198" s="41" t="str"/>
      <c r="L4198" s="41" t="str"/>
      <c r="M4198" s="41" t="str"/>
      <c r="N4198" s="41" t="str"/>
      <c r="O4198" s="41" t="str"/>
      <c r="P4198" s="41" t="str"/>
      <c r="Q4198" s="41" t="str"/>
      <c r="R4198" s="41" t="str"/>
      <c r="S4198" s="41" t="str"/>
      <c r="T4198" s="41" t="str"/>
      <c r="U4198" s="41" t="str"/>
      <c r="V4198" s="41" t="str"/>
      <c r="W4198" s="41" t="str"/>
    </row>
    <row r="4199">
      <c r="B4199" s="2" t="n"/>
      <c r="C4199" s="40" t="n"/>
      <c r="D4199" s="52">
        <f t="array" ref="D4199:W4199">IF(All_Students_Scores!C4197:V4197="","",All_Students_Scores!C4197:V4197)</f>
        <v/>
      </c>
      <c r="E4199" s="57" t="str"/>
      <c r="F4199" s="49" t="str"/>
      <c r="G4199" s="59" t="str"/>
      <c r="H4199" s="64" t="str"/>
      <c r="I4199" s="65" t="str"/>
      <c r="J4199" s="49" t="str"/>
      <c r="K4199" s="41" t="str"/>
      <c r="L4199" s="41" t="str"/>
      <c r="M4199" s="41" t="str"/>
      <c r="N4199" s="41" t="str"/>
      <c r="O4199" s="41" t="str"/>
      <c r="P4199" s="41" t="str"/>
      <c r="Q4199" s="41" t="str"/>
      <c r="R4199" s="41" t="str"/>
      <c r="S4199" s="41" t="str"/>
      <c r="T4199" s="41" t="str"/>
      <c r="U4199" s="41" t="str"/>
      <c r="V4199" s="41" t="str"/>
      <c r="W4199" s="41" t="str"/>
    </row>
    <row r="4200">
      <c r="B4200" s="2" t="n"/>
      <c r="C4200" s="40" t="n"/>
      <c r="D4200" s="52">
        <f t="array" ref="D4200:W4200">IF(All_Students_Scores!C4198:V4198="","",All_Students_Scores!C4198:V4198)</f>
        <v/>
      </c>
      <c r="E4200" s="57" t="str"/>
      <c r="F4200" s="49" t="str"/>
      <c r="G4200" s="59" t="str"/>
      <c r="H4200" s="64" t="str"/>
      <c r="I4200" s="65" t="str"/>
      <c r="J4200" s="49" t="str"/>
      <c r="K4200" s="41" t="str"/>
      <c r="L4200" s="41" t="str"/>
      <c r="M4200" s="41" t="str"/>
      <c r="N4200" s="41" t="str"/>
      <c r="O4200" s="41" t="str"/>
      <c r="P4200" s="41" t="str"/>
      <c r="Q4200" s="41" t="str"/>
      <c r="R4200" s="41" t="str"/>
      <c r="S4200" s="41" t="str"/>
      <c r="T4200" s="41" t="str"/>
      <c r="U4200" s="41" t="str"/>
      <c r="V4200" s="41" t="str"/>
      <c r="W4200" s="41" t="str"/>
    </row>
    <row r="4201">
      <c r="B4201" s="2" t="n"/>
      <c r="C4201" s="40" t="n"/>
      <c r="D4201" s="52">
        <f t="array" ref="D4201:W4201">IF(All_Students_Scores!C4199:V4199="","",All_Students_Scores!C4199:V4199)</f>
        <v/>
      </c>
      <c r="E4201" s="57" t="str"/>
      <c r="F4201" s="49" t="str"/>
      <c r="G4201" s="59" t="str"/>
      <c r="H4201" s="64" t="str"/>
      <c r="I4201" s="65" t="str"/>
      <c r="J4201" s="49" t="str"/>
      <c r="K4201" s="41" t="str"/>
      <c r="L4201" s="41" t="str"/>
      <c r="M4201" s="41" t="str"/>
      <c r="N4201" s="41" t="str"/>
      <c r="O4201" s="41" t="str"/>
      <c r="P4201" s="41" t="str"/>
      <c r="Q4201" s="41" t="str"/>
      <c r="R4201" s="41" t="str"/>
      <c r="S4201" s="41" t="str"/>
      <c r="T4201" s="41" t="str"/>
      <c r="U4201" s="41" t="str"/>
      <c r="V4201" s="41" t="str"/>
      <c r="W4201" s="41" t="str"/>
    </row>
    <row r="4202">
      <c r="B4202" s="2" t="n"/>
      <c r="C4202" s="40" t="n"/>
      <c r="D4202" s="52">
        <f t="array" ref="D4202:W4202">IF(All_Students_Scores!C4200:V4200="","",All_Students_Scores!C4200:V4200)</f>
        <v/>
      </c>
      <c r="E4202" s="57" t="str"/>
      <c r="F4202" s="49" t="str"/>
      <c r="G4202" s="59" t="str"/>
      <c r="H4202" s="64" t="str"/>
      <c r="I4202" s="65" t="str"/>
      <c r="J4202" s="49" t="str"/>
      <c r="K4202" s="41" t="str"/>
      <c r="L4202" s="41" t="str"/>
      <c r="M4202" s="41" t="str"/>
      <c r="N4202" s="41" t="str"/>
      <c r="O4202" s="41" t="str"/>
      <c r="P4202" s="41" t="str"/>
      <c r="Q4202" s="41" t="str"/>
      <c r="R4202" s="41" t="str"/>
      <c r="S4202" s="41" t="str"/>
      <c r="T4202" s="41" t="str"/>
      <c r="U4202" s="41" t="str"/>
      <c r="V4202" s="41" t="str"/>
      <c r="W4202" s="41" t="str"/>
    </row>
    <row r="4203">
      <c r="B4203" s="2" t="n"/>
      <c r="C4203" s="40" t="n"/>
      <c r="D4203" s="52">
        <f t="array" ref="D4203:W4203">IF(All_Students_Scores!C4201:V4201="","",All_Students_Scores!C4201:V4201)</f>
        <v/>
      </c>
      <c r="E4203" s="57" t="str"/>
      <c r="F4203" s="49" t="str"/>
      <c r="G4203" s="59" t="str"/>
      <c r="H4203" s="64" t="str"/>
      <c r="I4203" s="65" t="str"/>
      <c r="J4203" s="49" t="str"/>
      <c r="K4203" s="41" t="str"/>
      <c r="L4203" s="41" t="str"/>
      <c r="M4203" s="41" t="str"/>
      <c r="N4203" s="41" t="str"/>
      <c r="O4203" s="41" t="str"/>
      <c r="P4203" s="41" t="str"/>
      <c r="Q4203" s="41" t="str"/>
      <c r="R4203" s="41" t="str"/>
      <c r="S4203" s="41" t="str"/>
      <c r="T4203" s="41" t="str"/>
      <c r="U4203" s="41" t="str"/>
      <c r="V4203" s="41" t="str"/>
      <c r="W4203" s="41" t="str"/>
    </row>
    <row r="4204">
      <c r="B4204" s="2" t="n"/>
      <c r="C4204" s="40" t="n"/>
      <c r="D4204" s="52">
        <f t="array" ref="D4204:W4204">IF(All_Students_Scores!C4202:V4202="","",All_Students_Scores!C4202:V4202)</f>
        <v/>
      </c>
      <c r="E4204" s="57" t="str"/>
      <c r="F4204" s="49" t="str"/>
      <c r="G4204" s="59" t="str"/>
      <c r="H4204" s="64" t="str"/>
      <c r="I4204" s="65" t="str"/>
      <c r="J4204" s="49" t="str"/>
      <c r="K4204" s="41" t="str"/>
      <c r="L4204" s="41" t="str"/>
      <c r="M4204" s="41" t="str"/>
      <c r="N4204" s="41" t="str"/>
      <c r="O4204" s="41" t="str"/>
      <c r="P4204" s="41" t="str"/>
      <c r="Q4204" s="41" t="str"/>
      <c r="R4204" s="41" t="str"/>
      <c r="S4204" s="41" t="str"/>
      <c r="T4204" s="41" t="str"/>
      <c r="U4204" s="41" t="str"/>
      <c r="V4204" s="41" t="str"/>
      <c r="W4204" s="41" t="str"/>
    </row>
    <row r="4205">
      <c r="B4205" s="2" t="n"/>
      <c r="C4205" s="40" t="n"/>
      <c r="D4205" s="52">
        <f t="array" ref="D4205:W4205">IF(All_Students_Scores!C4203:V4203="","",All_Students_Scores!C4203:V4203)</f>
        <v/>
      </c>
      <c r="E4205" s="57" t="str"/>
      <c r="F4205" s="49" t="str"/>
      <c r="G4205" s="59" t="str"/>
      <c r="H4205" s="64" t="str"/>
      <c r="I4205" s="65" t="str"/>
      <c r="J4205" s="49" t="str"/>
      <c r="K4205" s="41" t="str"/>
      <c r="L4205" s="41" t="str"/>
      <c r="M4205" s="41" t="str"/>
      <c r="N4205" s="41" t="str"/>
      <c r="O4205" s="41" t="str"/>
      <c r="P4205" s="41" t="str"/>
      <c r="Q4205" s="41" t="str"/>
      <c r="R4205" s="41" t="str"/>
      <c r="S4205" s="41" t="str"/>
      <c r="T4205" s="41" t="str"/>
      <c r="U4205" s="41" t="str"/>
      <c r="V4205" s="41" t="str"/>
      <c r="W4205" s="41" t="str"/>
    </row>
    <row r="4206">
      <c r="B4206" s="2" t="n"/>
      <c r="C4206" s="40" t="n"/>
      <c r="D4206" s="52">
        <f t="array" ref="D4206:W4206">IF(All_Students_Scores!C4204:V4204="","",All_Students_Scores!C4204:V4204)</f>
        <v/>
      </c>
      <c r="E4206" s="57" t="str"/>
      <c r="F4206" s="49" t="str"/>
      <c r="G4206" s="59" t="str"/>
      <c r="H4206" s="64" t="str"/>
      <c r="I4206" s="65" t="str"/>
      <c r="J4206" s="49" t="str"/>
      <c r="K4206" s="41" t="str"/>
      <c r="L4206" s="41" t="str"/>
      <c r="M4206" s="41" t="str"/>
      <c r="N4206" s="41" t="str"/>
      <c r="O4206" s="41" t="str"/>
      <c r="P4206" s="41" t="str"/>
      <c r="Q4206" s="41" t="str"/>
      <c r="R4206" s="41" t="str"/>
      <c r="S4206" s="41" t="str"/>
      <c r="T4206" s="41" t="str"/>
      <c r="U4206" s="41" t="str"/>
      <c r="V4206" s="41" t="str"/>
      <c r="W4206" s="41" t="str"/>
    </row>
    <row r="4207">
      <c r="B4207" s="2" t="n"/>
      <c r="C4207" s="40" t="n"/>
      <c r="D4207" s="52">
        <f t="array" ref="D4207:W4207">IF(All_Students_Scores!C4205:V4205="","",All_Students_Scores!C4205:V4205)</f>
        <v/>
      </c>
      <c r="E4207" s="57" t="str"/>
      <c r="F4207" s="49" t="str"/>
      <c r="G4207" s="59" t="str"/>
      <c r="H4207" s="64" t="str"/>
      <c r="I4207" s="65" t="str"/>
      <c r="J4207" s="49" t="str"/>
      <c r="K4207" s="41" t="str"/>
      <c r="L4207" s="41" t="str"/>
      <c r="M4207" s="41" t="str"/>
      <c r="N4207" s="41" t="str"/>
      <c r="O4207" s="41" t="str"/>
      <c r="P4207" s="41" t="str"/>
      <c r="Q4207" s="41" t="str"/>
      <c r="R4207" s="41" t="str"/>
      <c r="S4207" s="41" t="str"/>
      <c r="T4207" s="41" t="str"/>
      <c r="U4207" s="41" t="str"/>
      <c r="V4207" s="41" t="str"/>
      <c r="W4207" s="41" t="str"/>
    </row>
    <row r="4208">
      <c r="B4208" s="2" t="n"/>
      <c r="C4208" s="40" t="n"/>
      <c r="D4208" s="52">
        <f t="array" ref="D4208:W4208">IF(All_Students_Scores!C4206:V4206="","",All_Students_Scores!C4206:V4206)</f>
        <v/>
      </c>
      <c r="E4208" s="57" t="str"/>
      <c r="F4208" s="49" t="str"/>
      <c r="G4208" s="59" t="str"/>
      <c r="H4208" s="64" t="str"/>
      <c r="I4208" s="65" t="str"/>
      <c r="J4208" s="49" t="str"/>
      <c r="K4208" s="41" t="str"/>
      <c r="L4208" s="41" t="str"/>
      <c r="M4208" s="41" t="str"/>
      <c r="N4208" s="41" t="str"/>
      <c r="O4208" s="41" t="str"/>
      <c r="P4208" s="41" t="str"/>
      <c r="Q4208" s="41" t="str"/>
      <c r="R4208" s="41" t="str"/>
      <c r="S4208" s="41" t="str"/>
      <c r="T4208" s="41" t="str"/>
      <c r="U4208" s="41" t="str"/>
      <c r="V4208" s="41" t="str"/>
      <c r="W4208" s="41" t="str"/>
    </row>
    <row r="4209">
      <c r="B4209" s="2" t="n"/>
      <c r="C4209" s="40" t="n"/>
      <c r="D4209" s="52">
        <f t="array" ref="D4209:W4209">IF(All_Students_Scores!C4207:V4207="","",All_Students_Scores!C4207:V4207)</f>
        <v/>
      </c>
      <c r="E4209" s="57" t="str"/>
      <c r="F4209" s="49" t="str"/>
      <c r="G4209" s="59" t="str"/>
      <c r="H4209" s="64" t="str"/>
      <c r="I4209" s="65" t="str"/>
      <c r="J4209" s="49" t="str"/>
      <c r="K4209" s="41" t="str"/>
      <c r="L4209" s="41" t="str"/>
      <c r="M4209" s="41" t="str"/>
      <c r="N4209" s="41" t="str"/>
      <c r="O4209" s="41" t="str"/>
      <c r="P4209" s="41" t="str"/>
      <c r="Q4209" s="41" t="str"/>
      <c r="R4209" s="41" t="str"/>
      <c r="S4209" s="41" t="str"/>
      <c r="T4209" s="41" t="str"/>
      <c r="U4209" s="41" t="str"/>
      <c r="V4209" s="41" t="str"/>
      <c r="W4209" s="41" t="str"/>
    </row>
    <row r="4210">
      <c r="B4210" s="2" t="n"/>
      <c r="C4210" s="40" t="n"/>
      <c r="D4210" s="52">
        <f t="array" ref="D4210:W4210">IF(All_Students_Scores!C4208:V4208="","",All_Students_Scores!C4208:V4208)</f>
        <v/>
      </c>
      <c r="E4210" s="57" t="str"/>
      <c r="F4210" s="49" t="str"/>
      <c r="G4210" s="59" t="str"/>
      <c r="H4210" s="64" t="str"/>
      <c r="I4210" s="65" t="str"/>
      <c r="J4210" s="49" t="str"/>
      <c r="K4210" s="41" t="str"/>
      <c r="L4210" s="41" t="str"/>
      <c r="M4210" s="41" t="str"/>
      <c r="N4210" s="41" t="str"/>
      <c r="O4210" s="41" t="str"/>
      <c r="P4210" s="41" t="str"/>
      <c r="Q4210" s="41" t="str"/>
      <c r="R4210" s="41" t="str"/>
      <c r="S4210" s="41" t="str"/>
      <c r="T4210" s="41" t="str"/>
      <c r="U4210" s="41" t="str"/>
      <c r="V4210" s="41" t="str"/>
      <c r="W4210" s="41" t="str"/>
    </row>
    <row r="4211">
      <c r="B4211" s="2" t="n"/>
      <c r="C4211" s="40" t="n"/>
      <c r="D4211" s="52">
        <f t="array" ref="D4211:W4211">IF(All_Students_Scores!C4209:V4209="","",All_Students_Scores!C4209:V4209)</f>
        <v/>
      </c>
      <c r="E4211" s="57" t="str"/>
      <c r="F4211" s="49" t="str"/>
      <c r="G4211" s="59" t="str"/>
      <c r="H4211" s="64" t="str"/>
      <c r="I4211" s="65" t="str"/>
      <c r="J4211" s="49" t="str"/>
      <c r="K4211" s="41" t="str"/>
      <c r="L4211" s="41" t="str"/>
      <c r="M4211" s="41" t="str"/>
      <c r="N4211" s="41" t="str"/>
      <c r="O4211" s="41" t="str"/>
      <c r="P4211" s="41" t="str"/>
      <c r="Q4211" s="41" t="str"/>
      <c r="R4211" s="41" t="str"/>
      <c r="S4211" s="41" t="str"/>
      <c r="T4211" s="41" t="str"/>
      <c r="U4211" s="41" t="str"/>
      <c r="V4211" s="41" t="str"/>
      <c r="W4211" s="41" t="str"/>
    </row>
    <row r="4212">
      <c r="B4212" s="2" t="n"/>
      <c r="C4212" s="40" t="n"/>
      <c r="D4212" s="52">
        <f t="array" ref="D4212:W4212">IF(All_Students_Scores!C4210:V4210="","",All_Students_Scores!C4210:V4210)</f>
        <v/>
      </c>
      <c r="E4212" s="57" t="str"/>
      <c r="F4212" s="49" t="str"/>
      <c r="G4212" s="59" t="str"/>
      <c r="H4212" s="64" t="str"/>
      <c r="I4212" s="65" t="str"/>
      <c r="J4212" s="49" t="str"/>
      <c r="K4212" s="41" t="str"/>
      <c r="L4212" s="41" t="str"/>
      <c r="M4212" s="41" t="str"/>
      <c r="N4212" s="41" t="str"/>
      <c r="O4212" s="41" t="str"/>
      <c r="P4212" s="41" t="str"/>
      <c r="Q4212" s="41" t="str"/>
      <c r="R4212" s="41" t="str"/>
      <c r="S4212" s="41" t="str"/>
      <c r="T4212" s="41" t="str"/>
      <c r="U4212" s="41" t="str"/>
      <c r="V4212" s="41" t="str"/>
      <c r="W4212" s="41" t="str"/>
    </row>
    <row r="4213">
      <c r="B4213" s="2" t="n"/>
      <c r="C4213" s="40" t="n"/>
      <c r="D4213" s="52">
        <f t="array" ref="D4213:W4213">IF(All_Students_Scores!C4211:V4211="","",All_Students_Scores!C4211:V4211)</f>
        <v/>
      </c>
      <c r="E4213" s="57" t="str"/>
      <c r="F4213" s="49" t="str"/>
      <c r="G4213" s="59" t="str"/>
      <c r="H4213" s="64" t="str"/>
      <c r="I4213" s="65" t="str"/>
      <c r="J4213" s="49" t="str"/>
      <c r="K4213" s="41" t="str"/>
      <c r="L4213" s="41" t="str"/>
      <c r="M4213" s="41" t="str"/>
      <c r="N4213" s="41" t="str"/>
      <c r="O4213" s="41" t="str"/>
      <c r="P4213" s="41" t="str"/>
      <c r="Q4213" s="41" t="str"/>
      <c r="R4213" s="41" t="str"/>
      <c r="S4213" s="41" t="str"/>
      <c r="T4213" s="41" t="str"/>
      <c r="U4213" s="41" t="str"/>
      <c r="V4213" s="41" t="str"/>
      <c r="W4213" s="41" t="str"/>
    </row>
    <row r="4214">
      <c r="B4214" s="2" t="n"/>
      <c r="C4214" s="40" t="n"/>
      <c r="D4214" s="52">
        <f t="array" ref="D4214:W4214">IF(All_Students_Scores!C4212:V4212="","",All_Students_Scores!C4212:V4212)</f>
        <v/>
      </c>
      <c r="E4214" s="57" t="str"/>
      <c r="F4214" s="49" t="str"/>
      <c r="G4214" s="59" t="str"/>
      <c r="H4214" s="64" t="str"/>
      <c r="I4214" s="65" t="str"/>
      <c r="J4214" s="49" t="str"/>
      <c r="K4214" s="41" t="str"/>
      <c r="L4214" s="41" t="str"/>
      <c r="M4214" s="41" t="str"/>
      <c r="N4214" s="41" t="str"/>
      <c r="O4214" s="41" t="str"/>
      <c r="P4214" s="41" t="str"/>
      <c r="Q4214" s="41" t="str"/>
      <c r="R4214" s="41" t="str"/>
      <c r="S4214" s="41" t="str"/>
      <c r="T4214" s="41" t="str"/>
      <c r="U4214" s="41" t="str"/>
      <c r="V4214" s="41" t="str"/>
      <c r="W4214" s="41" t="str"/>
    </row>
    <row r="4215">
      <c r="B4215" s="2" t="n"/>
      <c r="C4215" s="40" t="n"/>
      <c r="D4215" s="52">
        <f t="array" ref="D4215:W4215">IF(All_Students_Scores!C4213:V4213="","",All_Students_Scores!C4213:V4213)</f>
        <v/>
      </c>
      <c r="E4215" s="57" t="str"/>
      <c r="F4215" s="49" t="str"/>
      <c r="G4215" s="59" t="str"/>
      <c r="H4215" s="64" t="str"/>
      <c r="I4215" s="65" t="str"/>
      <c r="J4215" s="49" t="str"/>
      <c r="K4215" s="41" t="str"/>
      <c r="L4215" s="41" t="str"/>
      <c r="M4215" s="41" t="str"/>
      <c r="N4215" s="41" t="str"/>
      <c r="O4215" s="41" t="str"/>
      <c r="P4215" s="41" t="str"/>
      <c r="Q4215" s="41" t="str"/>
      <c r="R4215" s="41" t="str"/>
      <c r="S4215" s="41" t="str"/>
      <c r="T4215" s="41" t="str"/>
      <c r="U4215" s="41" t="str"/>
      <c r="V4215" s="41" t="str"/>
      <c r="W4215" s="41" t="str"/>
    </row>
    <row r="4216">
      <c r="B4216" s="2" t="n"/>
      <c r="C4216" s="40" t="n"/>
      <c r="D4216" s="52">
        <f t="array" ref="D4216:W4216">IF(All_Students_Scores!C4214:V4214="","",All_Students_Scores!C4214:V4214)</f>
        <v/>
      </c>
      <c r="E4216" s="57" t="str"/>
      <c r="F4216" s="49" t="str"/>
      <c r="G4216" s="59" t="str"/>
      <c r="H4216" s="64" t="str"/>
      <c r="I4216" s="65" t="str"/>
      <c r="J4216" s="49" t="str"/>
      <c r="K4216" s="41" t="str"/>
      <c r="L4216" s="41" t="str"/>
      <c r="M4216" s="41" t="str"/>
      <c r="N4216" s="41" t="str"/>
      <c r="O4216" s="41" t="str"/>
      <c r="P4216" s="41" t="str"/>
      <c r="Q4216" s="41" t="str"/>
      <c r="R4216" s="41" t="str"/>
      <c r="S4216" s="41" t="str"/>
      <c r="T4216" s="41" t="str"/>
      <c r="U4216" s="41" t="str"/>
      <c r="V4216" s="41" t="str"/>
      <c r="W4216" s="41" t="str"/>
    </row>
    <row r="4217">
      <c r="B4217" s="2" t="n"/>
      <c r="C4217" s="40" t="n"/>
      <c r="D4217" s="52">
        <f t="array" ref="D4217:W4217">IF(All_Students_Scores!C4215:V4215="","",All_Students_Scores!C4215:V4215)</f>
        <v/>
      </c>
      <c r="E4217" s="57" t="str"/>
      <c r="F4217" s="49" t="str"/>
      <c r="G4217" s="59" t="str"/>
      <c r="H4217" s="64" t="str"/>
      <c r="I4217" s="65" t="str"/>
      <c r="J4217" s="49" t="str"/>
      <c r="K4217" s="41" t="str"/>
      <c r="L4217" s="41" t="str"/>
      <c r="M4217" s="41" t="str"/>
      <c r="N4217" s="41" t="str"/>
      <c r="O4217" s="41" t="str"/>
      <c r="P4217" s="41" t="str"/>
      <c r="Q4217" s="41" t="str"/>
      <c r="R4217" s="41" t="str"/>
      <c r="S4217" s="41" t="str"/>
      <c r="T4217" s="41" t="str"/>
      <c r="U4217" s="41" t="str"/>
      <c r="V4217" s="41" t="str"/>
      <c r="W4217" s="41" t="str"/>
    </row>
    <row r="4218">
      <c r="B4218" s="2" t="n"/>
      <c r="C4218" s="40" t="n"/>
      <c r="D4218" s="52">
        <f t="array" ref="D4218:W4218">IF(All_Students_Scores!C4216:V4216="","",All_Students_Scores!C4216:V4216)</f>
        <v/>
      </c>
      <c r="E4218" s="57" t="str"/>
      <c r="F4218" s="49" t="str"/>
      <c r="G4218" s="59" t="str"/>
      <c r="H4218" s="64" t="str"/>
      <c r="I4218" s="65" t="str"/>
      <c r="J4218" s="49" t="str"/>
      <c r="K4218" s="41" t="str"/>
      <c r="L4218" s="41" t="str"/>
      <c r="M4218" s="41" t="str"/>
      <c r="N4218" s="41" t="str"/>
      <c r="O4218" s="41" t="str"/>
      <c r="P4218" s="41" t="str"/>
      <c r="Q4218" s="41" t="str"/>
      <c r="R4218" s="41" t="str"/>
      <c r="S4218" s="41" t="str"/>
      <c r="T4218" s="41" t="str"/>
      <c r="U4218" s="41" t="str"/>
      <c r="V4218" s="41" t="str"/>
      <c r="W4218" s="41" t="str"/>
    </row>
    <row r="4219">
      <c r="B4219" s="2" t="n"/>
      <c r="C4219" s="40" t="n"/>
      <c r="D4219" s="52">
        <f t="array" ref="D4219:W4219">IF(All_Students_Scores!C4217:V4217="","",All_Students_Scores!C4217:V4217)</f>
        <v/>
      </c>
      <c r="E4219" s="57" t="str"/>
      <c r="F4219" s="49" t="str"/>
      <c r="G4219" s="59" t="str"/>
      <c r="H4219" s="64" t="str"/>
      <c r="I4219" s="65" t="str"/>
      <c r="J4219" s="49" t="str"/>
      <c r="K4219" s="41" t="str"/>
      <c r="L4219" s="41" t="str"/>
      <c r="M4219" s="41" t="str"/>
      <c r="N4219" s="41" t="str"/>
      <c r="O4219" s="41" t="str"/>
      <c r="P4219" s="41" t="str"/>
      <c r="Q4219" s="41" t="str"/>
      <c r="R4219" s="41" t="str"/>
      <c r="S4219" s="41" t="str"/>
      <c r="T4219" s="41" t="str"/>
      <c r="U4219" s="41" t="str"/>
      <c r="V4219" s="41" t="str"/>
      <c r="W4219" s="41" t="str"/>
    </row>
    <row r="4220">
      <c r="B4220" s="2" t="n"/>
      <c r="C4220" s="40" t="n"/>
      <c r="D4220" s="52">
        <f t="array" ref="D4220:W4220">IF(All_Students_Scores!C4218:V4218="","",All_Students_Scores!C4218:V4218)</f>
        <v/>
      </c>
      <c r="E4220" s="57" t="str"/>
      <c r="F4220" s="49" t="str"/>
      <c r="G4220" s="59" t="str"/>
      <c r="H4220" s="64" t="str"/>
      <c r="I4220" s="65" t="str"/>
      <c r="J4220" s="49" t="str"/>
      <c r="K4220" s="41" t="str"/>
      <c r="L4220" s="41" t="str"/>
      <c r="M4220" s="41" t="str"/>
      <c r="N4220" s="41" t="str"/>
      <c r="O4220" s="41" t="str"/>
      <c r="P4220" s="41" t="str"/>
      <c r="Q4220" s="41" t="str"/>
      <c r="R4220" s="41" t="str"/>
      <c r="S4220" s="41" t="str"/>
      <c r="T4220" s="41" t="str"/>
      <c r="U4220" s="41" t="str"/>
      <c r="V4220" s="41" t="str"/>
      <c r="W4220" s="41" t="str"/>
    </row>
    <row r="4221">
      <c r="B4221" s="2" t="n"/>
      <c r="C4221" s="40" t="n"/>
      <c r="D4221" s="52">
        <f t="array" ref="D4221:W4221">IF(All_Students_Scores!C4219:V4219="","",All_Students_Scores!C4219:V4219)</f>
        <v/>
      </c>
      <c r="E4221" s="57" t="str"/>
      <c r="F4221" s="49" t="str"/>
      <c r="G4221" s="59" t="str"/>
      <c r="H4221" s="64" t="str"/>
      <c r="I4221" s="65" t="str"/>
      <c r="J4221" s="49" t="str"/>
      <c r="K4221" s="41" t="str"/>
      <c r="L4221" s="41" t="str"/>
      <c r="M4221" s="41" t="str"/>
      <c r="N4221" s="41" t="str"/>
      <c r="O4221" s="41" t="str"/>
      <c r="P4221" s="41" t="str"/>
      <c r="Q4221" s="41" t="str"/>
      <c r="R4221" s="41" t="str"/>
      <c r="S4221" s="41" t="str"/>
      <c r="T4221" s="41" t="str"/>
      <c r="U4221" s="41" t="str"/>
      <c r="V4221" s="41" t="str"/>
      <c r="W4221" s="41" t="str"/>
    </row>
    <row r="4222">
      <c r="B4222" s="2" t="n"/>
      <c r="C4222" s="40" t="n"/>
      <c r="D4222" s="52">
        <f t="array" ref="D4222:W4222">IF(All_Students_Scores!C4220:V4220="","",All_Students_Scores!C4220:V4220)</f>
        <v/>
      </c>
      <c r="E4222" s="57" t="str"/>
      <c r="F4222" s="49" t="str"/>
      <c r="G4222" s="59" t="str"/>
      <c r="H4222" s="64" t="str"/>
      <c r="I4222" s="65" t="str"/>
      <c r="J4222" s="49" t="str"/>
      <c r="K4222" s="41" t="str"/>
      <c r="L4222" s="41" t="str"/>
      <c r="M4222" s="41" t="str"/>
      <c r="N4222" s="41" t="str"/>
      <c r="O4222" s="41" t="str"/>
      <c r="P4222" s="41" t="str"/>
      <c r="Q4222" s="41" t="str"/>
      <c r="R4222" s="41" t="str"/>
      <c r="S4222" s="41" t="str"/>
      <c r="T4222" s="41" t="str"/>
      <c r="U4222" s="41" t="str"/>
      <c r="V4222" s="41" t="str"/>
      <c r="W4222" s="41" t="str"/>
    </row>
    <row r="4223">
      <c r="B4223" s="2" t="n"/>
      <c r="C4223" s="40" t="n"/>
      <c r="D4223" s="52">
        <f t="array" ref="D4223:W4223">IF(All_Students_Scores!C4221:V4221="","",All_Students_Scores!C4221:V4221)</f>
        <v/>
      </c>
      <c r="E4223" s="57" t="str"/>
      <c r="F4223" s="49" t="str"/>
      <c r="G4223" s="59" t="str"/>
      <c r="H4223" s="64" t="str"/>
      <c r="I4223" s="65" t="str"/>
      <c r="J4223" s="49" t="str"/>
      <c r="K4223" s="41" t="str"/>
      <c r="L4223" s="41" t="str"/>
      <c r="M4223" s="41" t="str"/>
      <c r="N4223" s="41" t="str"/>
      <c r="O4223" s="41" t="str"/>
      <c r="P4223" s="41" t="str"/>
      <c r="Q4223" s="41" t="str"/>
      <c r="R4223" s="41" t="str"/>
      <c r="S4223" s="41" t="str"/>
      <c r="T4223" s="41" t="str"/>
      <c r="U4223" s="41" t="str"/>
      <c r="V4223" s="41" t="str"/>
      <c r="W4223" s="41" t="str"/>
    </row>
    <row r="4224">
      <c r="B4224" s="2" t="n"/>
      <c r="C4224" s="40" t="n"/>
      <c r="D4224" s="52">
        <f t="array" ref="D4224:W4224">IF(All_Students_Scores!C4222:V4222="","",All_Students_Scores!C4222:V4222)</f>
        <v/>
      </c>
      <c r="E4224" s="57" t="str"/>
      <c r="F4224" s="49" t="str"/>
      <c r="G4224" s="59" t="str"/>
      <c r="H4224" s="64" t="str"/>
      <c r="I4224" s="65" t="str"/>
      <c r="J4224" s="49" t="str"/>
      <c r="K4224" s="41" t="str"/>
      <c r="L4224" s="41" t="str"/>
      <c r="M4224" s="41" t="str"/>
      <c r="N4224" s="41" t="str"/>
      <c r="O4224" s="41" t="str"/>
      <c r="P4224" s="41" t="str"/>
      <c r="Q4224" s="41" t="str"/>
      <c r="R4224" s="41" t="str"/>
      <c r="S4224" s="41" t="str"/>
      <c r="T4224" s="41" t="str"/>
      <c r="U4224" s="41" t="str"/>
      <c r="V4224" s="41" t="str"/>
      <c r="W4224" s="41" t="str"/>
    </row>
    <row r="4225">
      <c r="B4225" s="2" t="n"/>
      <c r="C4225" s="40" t="n"/>
      <c r="D4225" s="52">
        <f t="array" ref="D4225:W4225">IF(All_Students_Scores!C4223:V4223="","",All_Students_Scores!C4223:V4223)</f>
        <v/>
      </c>
      <c r="E4225" s="57" t="str"/>
      <c r="F4225" s="49" t="str"/>
      <c r="G4225" s="59" t="str"/>
      <c r="H4225" s="64" t="str"/>
      <c r="I4225" s="65" t="str"/>
      <c r="J4225" s="49" t="str"/>
      <c r="K4225" s="41" t="str"/>
      <c r="L4225" s="41" t="str"/>
      <c r="M4225" s="41" t="str"/>
      <c r="N4225" s="41" t="str"/>
      <c r="O4225" s="41" t="str"/>
      <c r="P4225" s="41" t="str"/>
      <c r="Q4225" s="41" t="str"/>
      <c r="R4225" s="41" t="str"/>
      <c r="S4225" s="41" t="str"/>
      <c r="T4225" s="41" t="str"/>
      <c r="U4225" s="41" t="str"/>
      <c r="V4225" s="41" t="str"/>
      <c r="W4225" s="41" t="str"/>
    </row>
    <row r="4226">
      <c r="B4226" s="2" t="n"/>
      <c r="C4226" s="40" t="n"/>
      <c r="D4226" s="52">
        <f t="array" ref="D4226:W4226">IF(All_Students_Scores!C4224:V4224="","",All_Students_Scores!C4224:V4224)</f>
        <v/>
      </c>
      <c r="E4226" s="57" t="str"/>
      <c r="F4226" s="49" t="str"/>
      <c r="G4226" s="59" t="str"/>
      <c r="H4226" s="64" t="str"/>
      <c r="I4226" s="65" t="str"/>
      <c r="J4226" s="49" t="str"/>
      <c r="K4226" s="41" t="str"/>
      <c r="L4226" s="41" t="str"/>
      <c r="M4226" s="41" t="str"/>
      <c r="N4226" s="41" t="str"/>
      <c r="O4226" s="41" t="str"/>
      <c r="P4226" s="41" t="str"/>
      <c r="Q4226" s="41" t="str"/>
      <c r="R4226" s="41" t="str"/>
      <c r="S4226" s="41" t="str"/>
      <c r="T4226" s="41" t="str"/>
      <c r="U4226" s="41" t="str"/>
      <c r="V4226" s="41" t="str"/>
      <c r="W4226" s="41" t="str"/>
    </row>
    <row r="4227">
      <c r="B4227" s="2" t="n"/>
      <c r="C4227" s="40" t="n"/>
      <c r="D4227" s="52">
        <f t="array" ref="D4227:W4227">IF(All_Students_Scores!C4225:V4225="","",All_Students_Scores!C4225:V4225)</f>
        <v/>
      </c>
      <c r="E4227" s="57" t="str"/>
      <c r="F4227" s="49" t="str"/>
      <c r="G4227" s="59" t="str"/>
      <c r="H4227" s="64" t="str"/>
      <c r="I4227" s="65" t="str"/>
      <c r="J4227" s="49" t="str"/>
      <c r="K4227" s="41" t="str"/>
      <c r="L4227" s="41" t="str"/>
      <c r="M4227" s="41" t="str"/>
      <c r="N4227" s="41" t="str"/>
      <c r="O4227" s="41" t="str"/>
      <c r="P4227" s="41" t="str"/>
      <c r="Q4227" s="41" t="str"/>
      <c r="R4227" s="41" t="str"/>
      <c r="S4227" s="41" t="str"/>
      <c r="T4227" s="41" t="str"/>
      <c r="U4227" s="41" t="str"/>
      <c r="V4227" s="41" t="str"/>
      <c r="W4227" s="41" t="str"/>
    </row>
    <row r="4228">
      <c r="B4228" s="2" t="n"/>
      <c r="C4228" s="40" t="n"/>
      <c r="D4228" s="52">
        <f t="array" ref="D4228:W4228">IF(All_Students_Scores!C4226:V4226="","",All_Students_Scores!C4226:V4226)</f>
        <v/>
      </c>
      <c r="E4228" s="57" t="str"/>
      <c r="F4228" s="49" t="str"/>
      <c r="G4228" s="59" t="str"/>
      <c r="H4228" s="64" t="str"/>
      <c r="I4228" s="65" t="str"/>
      <c r="J4228" s="49" t="str"/>
      <c r="K4228" s="41" t="str"/>
      <c r="L4228" s="41" t="str"/>
      <c r="M4228" s="41" t="str"/>
      <c r="N4228" s="41" t="str"/>
      <c r="O4228" s="41" t="str"/>
      <c r="P4228" s="41" t="str"/>
      <c r="Q4228" s="41" t="str"/>
      <c r="R4228" s="41" t="str"/>
      <c r="S4228" s="41" t="str"/>
      <c r="T4228" s="41" t="str"/>
      <c r="U4228" s="41" t="str"/>
      <c r="V4228" s="41" t="str"/>
      <c r="W4228" s="41" t="str"/>
    </row>
    <row r="4229">
      <c r="B4229" s="2" t="n"/>
      <c r="C4229" s="40" t="n"/>
      <c r="D4229" s="52">
        <f t="array" ref="D4229:W4229">IF(All_Students_Scores!C4227:V4227="","",All_Students_Scores!C4227:V4227)</f>
        <v/>
      </c>
      <c r="E4229" s="57" t="str"/>
      <c r="F4229" s="49" t="str"/>
      <c r="G4229" s="59" t="str"/>
      <c r="H4229" s="64" t="str"/>
      <c r="I4229" s="65" t="str"/>
      <c r="J4229" s="49" t="str"/>
      <c r="K4229" s="41" t="str"/>
      <c r="L4229" s="41" t="str"/>
      <c r="M4229" s="41" t="str"/>
      <c r="N4229" s="41" t="str"/>
      <c r="O4229" s="41" t="str"/>
      <c r="P4229" s="41" t="str"/>
      <c r="Q4229" s="41" t="str"/>
      <c r="R4229" s="41" t="str"/>
      <c r="S4229" s="41" t="str"/>
      <c r="T4229" s="41" t="str"/>
      <c r="U4229" s="41" t="str"/>
      <c r="V4229" s="41" t="str"/>
      <c r="W4229" s="41" t="str"/>
    </row>
    <row r="4230">
      <c r="B4230" s="2" t="n"/>
      <c r="C4230" s="40" t="n"/>
      <c r="D4230" s="52">
        <f t="array" ref="D4230:W4230">IF(All_Students_Scores!C4228:V4228="","",All_Students_Scores!C4228:V4228)</f>
        <v/>
      </c>
      <c r="E4230" s="57" t="str"/>
      <c r="F4230" s="49" t="str"/>
      <c r="G4230" s="59" t="str"/>
      <c r="H4230" s="64" t="str"/>
      <c r="I4230" s="65" t="str"/>
      <c r="J4230" s="49" t="str"/>
      <c r="K4230" s="41" t="str"/>
      <c r="L4230" s="41" t="str"/>
      <c r="M4230" s="41" t="str"/>
      <c r="N4230" s="41" t="str"/>
      <c r="O4230" s="41" t="str"/>
      <c r="P4230" s="41" t="str"/>
      <c r="Q4230" s="41" t="str"/>
      <c r="R4230" s="41" t="str"/>
      <c r="S4230" s="41" t="str"/>
      <c r="T4230" s="41" t="str"/>
      <c r="U4230" s="41" t="str"/>
      <c r="V4230" s="41" t="str"/>
      <c r="W4230" s="41" t="str"/>
    </row>
    <row r="4231">
      <c r="B4231" s="2" t="n"/>
      <c r="C4231" s="40" t="n"/>
      <c r="D4231" s="52">
        <f t="array" ref="D4231:W4231">IF(All_Students_Scores!C4229:V4229="","",All_Students_Scores!C4229:V4229)</f>
        <v/>
      </c>
      <c r="E4231" s="57" t="str"/>
      <c r="F4231" s="49" t="str"/>
      <c r="G4231" s="59" t="str"/>
      <c r="H4231" s="64" t="str"/>
      <c r="I4231" s="65" t="str"/>
      <c r="J4231" s="49" t="str"/>
      <c r="K4231" s="41" t="str"/>
      <c r="L4231" s="41" t="str"/>
      <c r="M4231" s="41" t="str"/>
      <c r="N4231" s="41" t="str"/>
      <c r="O4231" s="41" t="str"/>
      <c r="P4231" s="41" t="str"/>
      <c r="Q4231" s="41" t="str"/>
      <c r="R4231" s="41" t="str"/>
      <c r="S4231" s="41" t="str"/>
      <c r="T4231" s="41" t="str"/>
      <c r="U4231" s="41" t="str"/>
      <c r="V4231" s="41" t="str"/>
      <c r="W4231" s="41" t="str"/>
    </row>
    <row r="4232">
      <c r="B4232" s="2" t="n"/>
      <c r="C4232" s="40" t="n"/>
      <c r="D4232" s="52">
        <f t="array" ref="D4232:W4232">IF(All_Students_Scores!C4230:V4230="","",All_Students_Scores!C4230:V4230)</f>
        <v/>
      </c>
      <c r="E4232" s="57" t="str"/>
      <c r="F4232" s="49" t="str"/>
      <c r="G4232" s="59" t="str"/>
      <c r="H4232" s="64" t="str"/>
      <c r="I4232" s="65" t="str"/>
      <c r="J4232" s="49" t="str"/>
      <c r="K4232" s="41" t="str"/>
      <c r="L4232" s="41" t="str"/>
      <c r="M4232" s="41" t="str"/>
      <c r="N4232" s="41" t="str"/>
      <c r="O4232" s="41" t="str"/>
      <c r="P4232" s="41" t="str"/>
      <c r="Q4232" s="41" t="str"/>
      <c r="R4232" s="41" t="str"/>
      <c r="S4232" s="41" t="str"/>
      <c r="T4232" s="41" t="str"/>
      <c r="U4232" s="41" t="str"/>
      <c r="V4232" s="41" t="str"/>
      <c r="W4232" s="41" t="str"/>
    </row>
    <row r="4233">
      <c r="B4233" s="2" t="n"/>
      <c r="C4233" s="40" t="n"/>
      <c r="D4233" s="52">
        <f t="array" ref="D4233:W4233">IF(All_Students_Scores!C4231:V4231="","",All_Students_Scores!C4231:V4231)</f>
        <v/>
      </c>
      <c r="E4233" s="57" t="str"/>
      <c r="F4233" s="49" t="str"/>
      <c r="G4233" s="59" t="str"/>
      <c r="H4233" s="64" t="str"/>
      <c r="I4233" s="65" t="str"/>
      <c r="J4233" s="49" t="str"/>
      <c r="K4233" s="41" t="str"/>
      <c r="L4233" s="41" t="str"/>
      <c r="M4233" s="41" t="str"/>
      <c r="N4233" s="41" t="str"/>
      <c r="O4233" s="41" t="str"/>
      <c r="P4233" s="41" t="str"/>
      <c r="Q4233" s="41" t="str"/>
      <c r="R4233" s="41" t="str"/>
      <c r="S4233" s="41" t="str"/>
      <c r="T4233" s="41" t="str"/>
      <c r="U4233" s="41" t="str"/>
      <c r="V4233" s="41" t="str"/>
      <c r="W4233" s="41" t="str"/>
    </row>
    <row r="4234">
      <c r="B4234" s="2" t="n"/>
      <c r="C4234" s="40" t="n"/>
      <c r="D4234" s="52">
        <f t="array" ref="D4234:W4234">IF(All_Students_Scores!C4232:V4232="","",All_Students_Scores!C4232:V4232)</f>
        <v/>
      </c>
      <c r="E4234" s="57" t="str"/>
      <c r="F4234" s="49" t="str"/>
      <c r="G4234" s="59" t="str"/>
      <c r="H4234" s="64" t="str"/>
      <c r="I4234" s="65" t="str"/>
      <c r="J4234" s="49" t="str"/>
      <c r="K4234" s="41" t="str"/>
      <c r="L4234" s="41" t="str"/>
      <c r="M4234" s="41" t="str"/>
      <c r="N4234" s="41" t="str"/>
      <c r="O4234" s="41" t="str"/>
      <c r="P4234" s="41" t="str"/>
      <c r="Q4234" s="41" t="str"/>
      <c r="R4234" s="41" t="str"/>
      <c r="S4234" s="41" t="str"/>
      <c r="T4234" s="41" t="str"/>
      <c r="U4234" s="41" t="str"/>
      <c r="V4234" s="41" t="str"/>
      <c r="W4234" s="41" t="str"/>
    </row>
    <row r="4235">
      <c r="B4235" s="2" t="n"/>
      <c r="C4235" s="40" t="n"/>
      <c r="D4235" s="52">
        <f t="array" ref="D4235:W4235">IF(All_Students_Scores!C4233:V4233="","",All_Students_Scores!C4233:V4233)</f>
        <v/>
      </c>
      <c r="E4235" s="57" t="str"/>
      <c r="F4235" s="49" t="str"/>
      <c r="G4235" s="59" t="str"/>
      <c r="H4235" s="64" t="str"/>
      <c r="I4235" s="65" t="str"/>
      <c r="J4235" s="49" t="str"/>
      <c r="K4235" s="41" t="str"/>
      <c r="L4235" s="41" t="str"/>
      <c r="M4235" s="41" t="str"/>
      <c r="N4235" s="41" t="str"/>
      <c r="O4235" s="41" t="str"/>
      <c r="P4235" s="41" t="str"/>
      <c r="Q4235" s="41" t="str"/>
      <c r="R4235" s="41" t="str"/>
      <c r="S4235" s="41" t="str"/>
      <c r="T4235" s="41" t="str"/>
      <c r="U4235" s="41" t="str"/>
      <c r="V4235" s="41" t="str"/>
      <c r="W4235" s="41" t="str"/>
    </row>
    <row r="4236">
      <c r="B4236" s="2" t="n"/>
      <c r="C4236" s="40" t="n"/>
      <c r="D4236" s="52">
        <f t="array" ref="D4236:W4236">IF(All_Students_Scores!C4234:V4234="","",All_Students_Scores!C4234:V4234)</f>
        <v/>
      </c>
      <c r="E4236" s="57" t="str"/>
      <c r="F4236" s="49" t="str"/>
      <c r="G4236" s="59" t="str"/>
      <c r="H4236" s="64" t="str"/>
      <c r="I4236" s="65" t="str"/>
      <c r="J4236" s="49" t="str"/>
      <c r="K4236" s="41" t="str"/>
      <c r="L4236" s="41" t="str"/>
      <c r="M4236" s="41" t="str"/>
      <c r="N4236" s="41" t="str"/>
      <c r="O4236" s="41" t="str"/>
      <c r="P4236" s="41" t="str"/>
      <c r="Q4236" s="41" t="str"/>
      <c r="R4236" s="41" t="str"/>
      <c r="S4236" s="41" t="str"/>
      <c r="T4236" s="41" t="str"/>
      <c r="U4236" s="41" t="str"/>
      <c r="V4236" s="41" t="str"/>
      <c r="W4236" s="41" t="str"/>
    </row>
    <row r="4237">
      <c r="B4237" s="2" t="n"/>
      <c r="C4237" s="40" t="n"/>
      <c r="D4237" s="52">
        <f t="array" ref="D4237:W4237">IF(All_Students_Scores!C4235:V4235="","",All_Students_Scores!C4235:V4235)</f>
        <v/>
      </c>
      <c r="E4237" s="57" t="str"/>
      <c r="F4237" s="49" t="str"/>
      <c r="G4237" s="59" t="str"/>
      <c r="H4237" s="64" t="str"/>
      <c r="I4237" s="65" t="str"/>
      <c r="J4237" s="49" t="str"/>
      <c r="K4237" s="41" t="str"/>
      <c r="L4237" s="41" t="str"/>
      <c r="M4237" s="41" t="str"/>
      <c r="N4237" s="41" t="str"/>
      <c r="O4237" s="41" t="str"/>
      <c r="P4237" s="41" t="str"/>
      <c r="Q4237" s="41" t="str"/>
      <c r="R4237" s="41" t="str"/>
      <c r="S4237" s="41" t="str"/>
      <c r="T4237" s="41" t="str"/>
      <c r="U4237" s="41" t="str"/>
      <c r="V4237" s="41" t="str"/>
      <c r="W4237" s="41" t="str"/>
    </row>
    <row r="4238">
      <c r="B4238" s="2" t="n"/>
      <c r="C4238" s="40" t="n"/>
      <c r="D4238" s="52">
        <f t="array" ref="D4238:W4238">IF(All_Students_Scores!C4236:V4236="","",All_Students_Scores!C4236:V4236)</f>
        <v/>
      </c>
      <c r="E4238" s="57" t="str"/>
      <c r="F4238" s="49" t="str"/>
      <c r="G4238" s="59" t="str"/>
      <c r="H4238" s="64" t="str"/>
      <c r="I4238" s="65" t="str"/>
      <c r="J4238" s="49" t="str"/>
      <c r="K4238" s="41" t="str"/>
      <c r="L4238" s="41" t="str"/>
      <c r="M4238" s="41" t="str"/>
      <c r="N4238" s="41" t="str"/>
      <c r="O4238" s="41" t="str"/>
      <c r="P4238" s="41" t="str"/>
      <c r="Q4238" s="41" t="str"/>
      <c r="R4238" s="41" t="str"/>
      <c r="S4238" s="41" t="str"/>
      <c r="T4238" s="41" t="str"/>
      <c r="U4238" s="41" t="str"/>
      <c r="V4238" s="41" t="str"/>
      <c r="W4238" s="41" t="str"/>
    </row>
    <row r="4239">
      <c r="B4239" s="2" t="n"/>
      <c r="C4239" s="40" t="n"/>
      <c r="D4239" s="52">
        <f t="array" ref="D4239:W4239">IF(All_Students_Scores!C4237:V4237="","",All_Students_Scores!C4237:V4237)</f>
        <v/>
      </c>
      <c r="E4239" s="57" t="str"/>
      <c r="F4239" s="49" t="str"/>
      <c r="G4239" s="59" t="str"/>
      <c r="H4239" s="64" t="str"/>
      <c r="I4239" s="65" t="str"/>
      <c r="J4239" s="49" t="str"/>
      <c r="K4239" s="41" t="str"/>
      <c r="L4239" s="41" t="str"/>
      <c r="M4239" s="41" t="str"/>
      <c r="N4239" s="41" t="str"/>
      <c r="O4239" s="41" t="str"/>
      <c r="P4239" s="41" t="str"/>
      <c r="Q4239" s="41" t="str"/>
      <c r="R4239" s="41" t="str"/>
      <c r="S4239" s="41" t="str"/>
      <c r="T4239" s="41" t="str"/>
      <c r="U4239" s="41" t="str"/>
      <c r="V4239" s="41" t="str"/>
      <c r="W4239" s="41" t="str"/>
    </row>
    <row r="4240">
      <c r="B4240" s="2" t="n"/>
      <c r="C4240" s="40" t="n"/>
      <c r="D4240" s="52">
        <f t="array" ref="D4240:W4240">IF(All_Students_Scores!C4238:V4238="","",All_Students_Scores!C4238:V4238)</f>
        <v/>
      </c>
      <c r="E4240" s="57" t="str"/>
      <c r="F4240" s="49" t="str"/>
      <c r="G4240" s="59" t="str"/>
      <c r="H4240" s="64" t="str"/>
      <c r="I4240" s="65" t="str"/>
      <c r="J4240" s="49" t="str"/>
      <c r="K4240" s="41" t="str"/>
      <c r="L4240" s="41" t="str"/>
      <c r="M4240" s="41" t="str"/>
      <c r="N4240" s="41" t="str"/>
      <c r="O4240" s="41" t="str"/>
      <c r="P4240" s="41" t="str"/>
      <c r="Q4240" s="41" t="str"/>
      <c r="R4240" s="41" t="str"/>
      <c r="S4240" s="41" t="str"/>
      <c r="T4240" s="41" t="str"/>
      <c r="U4240" s="41" t="str"/>
      <c r="V4240" s="41" t="str"/>
      <c r="W4240" s="41" t="str"/>
    </row>
    <row r="4241">
      <c r="B4241" s="2" t="n"/>
      <c r="C4241" s="40" t="n"/>
      <c r="D4241" s="52">
        <f t="array" ref="D4241:W4241">IF(All_Students_Scores!C4239:V4239="","",All_Students_Scores!C4239:V4239)</f>
        <v/>
      </c>
      <c r="E4241" s="57" t="str"/>
      <c r="F4241" s="49" t="str"/>
      <c r="G4241" s="59" t="str"/>
      <c r="H4241" s="64" t="str"/>
      <c r="I4241" s="65" t="str"/>
      <c r="J4241" s="49" t="str"/>
      <c r="K4241" s="41" t="str"/>
      <c r="L4241" s="41" t="str"/>
      <c r="M4241" s="41" t="str"/>
      <c r="N4241" s="41" t="str"/>
      <c r="O4241" s="41" t="str"/>
      <c r="P4241" s="41" t="str"/>
      <c r="Q4241" s="41" t="str"/>
      <c r="R4241" s="41" t="str"/>
      <c r="S4241" s="41" t="str"/>
      <c r="T4241" s="41" t="str"/>
      <c r="U4241" s="41" t="str"/>
      <c r="V4241" s="41" t="str"/>
      <c r="W4241" s="41" t="str"/>
    </row>
    <row r="4242">
      <c r="B4242" s="2" t="n"/>
      <c r="C4242" s="40" t="n"/>
      <c r="D4242" s="52">
        <f t="array" ref="D4242:W4242">IF(All_Students_Scores!C4240:V4240="","",All_Students_Scores!C4240:V4240)</f>
        <v/>
      </c>
      <c r="E4242" s="57" t="str"/>
      <c r="F4242" s="49" t="str"/>
      <c r="G4242" s="59" t="str"/>
      <c r="H4242" s="64" t="str"/>
      <c r="I4242" s="65" t="str"/>
      <c r="J4242" s="49" t="str"/>
      <c r="K4242" s="41" t="str"/>
      <c r="L4242" s="41" t="str"/>
      <c r="M4242" s="41" t="str"/>
      <c r="N4242" s="41" t="str"/>
      <c r="O4242" s="41" t="str"/>
      <c r="P4242" s="41" t="str"/>
      <c r="Q4242" s="41" t="str"/>
      <c r="R4242" s="41" t="str"/>
      <c r="S4242" s="41" t="str"/>
      <c r="T4242" s="41" t="str"/>
      <c r="U4242" s="41" t="str"/>
      <c r="V4242" s="41" t="str"/>
      <c r="W4242" s="41" t="str"/>
    </row>
    <row r="4243">
      <c r="B4243" s="2" t="n"/>
      <c r="C4243" s="40" t="n"/>
      <c r="D4243" s="52">
        <f t="array" ref="D4243:W4243">IF(All_Students_Scores!C4241:V4241="","",All_Students_Scores!C4241:V4241)</f>
        <v/>
      </c>
      <c r="E4243" s="57" t="str"/>
      <c r="F4243" s="49" t="str"/>
      <c r="G4243" s="59" t="str"/>
      <c r="H4243" s="64" t="str"/>
      <c r="I4243" s="65" t="str"/>
      <c r="J4243" s="49" t="str"/>
      <c r="K4243" s="41" t="str"/>
      <c r="L4243" s="41" t="str"/>
      <c r="M4243" s="41" t="str"/>
      <c r="N4243" s="41" t="str"/>
      <c r="O4243" s="41" t="str"/>
      <c r="P4243" s="41" t="str"/>
      <c r="Q4243" s="41" t="str"/>
      <c r="R4243" s="41" t="str"/>
      <c r="S4243" s="41" t="str"/>
      <c r="T4243" s="41" t="str"/>
      <c r="U4243" s="41" t="str"/>
      <c r="V4243" s="41" t="str"/>
      <c r="W4243" s="41" t="str"/>
    </row>
    <row r="4244">
      <c r="B4244" s="2" t="n"/>
      <c r="C4244" s="40" t="n"/>
      <c r="D4244" s="52">
        <f t="array" ref="D4244:W4244">IF(All_Students_Scores!C4242:V4242="","",All_Students_Scores!C4242:V4242)</f>
        <v/>
      </c>
      <c r="E4244" s="57" t="str"/>
      <c r="F4244" s="49" t="str"/>
      <c r="G4244" s="59" t="str"/>
      <c r="H4244" s="64" t="str"/>
      <c r="I4244" s="65" t="str"/>
      <c r="J4244" s="49" t="str"/>
      <c r="K4244" s="41" t="str"/>
      <c r="L4244" s="41" t="str"/>
      <c r="M4244" s="41" t="str"/>
      <c r="N4244" s="41" t="str"/>
      <c r="O4244" s="41" t="str"/>
      <c r="P4244" s="41" t="str"/>
      <c r="Q4244" s="41" t="str"/>
      <c r="R4244" s="41" t="str"/>
      <c r="S4244" s="41" t="str"/>
      <c r="T4244" s="41" t="str"/>
      <c r="U4244" s="41" t="str"/>
      <c r="V4244" s="41" t="str"/>
      <c r="W4244" s="41" t="str"/>
    </row>
    <row r="4245">
      <c r="B4245" s="2" t="n"/>
      <c r="C4245" s="40" t="n"/>
      <c r="D4245" s="52">
        <f t="array" ref="D4245:W4245">IF(All_Students_Scores!C4243:V4243="","",All_Students_Scores!C4243:V4243)</f>
        <v/>
      </c>
      <c r="E4245" s="57" t="str"/>
      <c r="F4245" s="49" t="str"/>
      <c r="G4245" s="59" t="str"/>
      <c r="H4245" s="64" t="str"/>
      <c r="I4245" s="65" t="str"/>
      <c r="J4245" s="49" t="str"/>
      <c r="K4245" s="41" t="str"/>
      <c r="L4245" s="41" t="str"/>
      <c r="M4245" s="41" t="str"/>
      <c r="N4245" s="41" t="str"/>
      <c r="O4245" s="41" t="str"/>
      <c r="P4245" s="41" t="str"/>
      <c r="Q4245" s="41" t="str"/>
      <c r="R4245" s="41" t="str"/>
      <c r="S4245" s="41" t="str"/>
      <c r="T4245" s="41" t="str"/>
      <c r="U4245" s="41" t="str"/>
      <c r="V4245" s="41" t="str"/>
      <c r="W4245" s="41" t="str"/>
    </row>
    <row r="4246">
      <c r="B4246" s="2" t="n"/>
      <c r="C4246" s="40" t="n"/>
      <c r="D4246" s="52">
        <f t="array" ref="D4246:W4246">IF(All_Students_Scores!C4244:V4244="","",All_Students_Scores!C4244:V4244)</f>
        <v/>
      </c>
      <c r="E4246" s="57" t="str"/>
      <c r="F4246" s="49" t="str"/>
      <c r="G4246" s="59" t="str"/>
      <c r="H4246" s="64" t="str"/>
      <c r="I4246" s="65" t="str"/>
      <c r="J4246" s="49" t="str"/>
      <c r="K4246" s="41" t="str"/>
      <c r="L4246" s="41" t="str"/>
      <c r="M4246" s="41" t="str"/>
      <c r="N4246" s="41" t="str"/>
      <c r="O4246" s="41" t="str"/>
      <c r="P4246" s="41" t="str"/>
      <c r="Q4246" s="41" t="str"/>
      <c r="R4246" s="41" t="str"/>
      <c r="S4246" s="41" t="str"/>
      <c r="T4246" s="41" t="str"/>
      <c r="U4246" s="41" t="str"/>
      <c r="V4246" s="41" t="str"/>
      <c r="W4246" s="41" t="str"/>
    </row>
    <row r="4247">
      <c r="B4247" s="2" t="n"/>
      <c r="C4247" s="40" t="n"/>
      <c r="D4247" s="52">
        <f t="array" ref="D4247:W4247">IF(All_Students_Scores!C4245:V4245="","",All_Students_Scores!C4245:V4245)</f>
        <v/>
      </c>
      <c r="E4247" s="57" t="str"/>
      <c r="F4247" s="49" t="str"/>
      <c r="G4247" s="59" t="str"/>
      <c r="H4247" s="64" t="str"/>
      <c r="I4247" s="65" t="str"/>
      <c r="J4247" s="49" t="str"/>
      <c r="K4247" s="41" t="str"/>
      <c r="L4247" s="41" t="str"/>
      <c r="M4247" s="41" t="str"/>
      <c r="N4247" s="41" t="str"/>
      <c r="O4247" s="41" t="str"/>
      <c r="P4247" s="41" t="str"/>
      <c r="Q4247" s="41" t="str"/>
      <c r="R4247" s="41" t="str"/>
      <c r="S4247" s="41" t="str"/>
      <c r="T4247" s="41" t="str"/>
      <c r="U4247" s="41" t="str"/>
      <c r="V4247" s="41" t="str"/>
      <c r="W4247" s="41" t="str"/>
    </row>
    <row r="4248">
      <c r="B4248" s="2" t="n"/>
      <c r="C4248" s="40" t="n"/>
      <c r="D4248" s="52">
        <f t="array" ref="D4248:W4248">IF(All_Students_Scores!C4246:V4246="","",All_Students_Scores!C4246:V4246)</f>
        <v/>
      </c>
      <c r="E4248" s="57" t="str"/>
      <c r="F4248" s="49" t="str"/>
      <c r="G4248" s="59" t="str"/>
      <c r="H4248" s="64" t="str"/>
      <c r="I4248" s="65" t="str"/>
      <c r="J4248" s="49" t="str"/>
      <c r="K4248" s="41" t="str"/>
      <c r="L4248" s="41" t="str"/>
      <c r="M4248" s="41" t="str"/>
      <c r="N4248" s="41" t="str"/>
      <c r="O4248" s="41" t="str"/>
      <c r="P4248" s="41" t="str"/>
      <c r="Q4248" s="41" t="str"/>
      <c r="R4248" s="41" t="str"/>
      <c r="S4248" s="41" t="str"/>
      <c r="T4248" s="41" t="str"/>
      <c r="U4248" s="41" t="str"/>
      <c r="V4248" s="41" t="str"/>
      <c r="W4248" s="41" t="str"/>
    </row>
    <row r="4249">
      <c r="B4249" s="2" t="n"/>
      <c r="C4249" s="40" t="n"/>
      <c r="D4249" s="52">
        <f t="array" ref="D4249:W4249">IF(All_Students_Scores!C4247:V4247="","",All_Students_Scores!C4247:V4247)</f>
        <v/>
      </c>
      <c r="E4249" s="57" t="str"/>
      <c r="F4249" s="49" t="str"/>
      <c r="G4249" s="59" t="str"/>
      <c r="H4249" s="64" t="str"/>
      <c r="I4249" s="65" t="str"/>
      <c r="J4249" s="49" t="str"/>
      <c r="K4249" s="41" t="str"/>
      <c r="L4249" s="41" t="str"/>
      <c r="M4249" s="41" t="str"/>
      <c r="N4249" s="41" t="str"/>
      <c r="O4249" s="41" t="str"/>
      <c r="P4249" s="41" t="str"/>
      <c r="Q4249" s="41" t="str"/>
      <c r="R4249" s="41" t="str"/>
      <c r="S4249" s="41" t="str"/>
      <c r="T4249" s="41" t="str"/>
      <c r="U4249" s="41" t="str"/>
      <c r="V4249" s="41" t="str"/>
      <c r="W4249" s="41" t="str"/>
    </row>
    <row r="4250">
      <c r="B4250" s="2" t="n"/>
      <c r="C4250" s="40" t="n"/>
      <c r="D4250" s="52">
        <f t="array" ref="D4250:W4250">IF(All_Students_Scores!C4248:V4248="","",All_Students_Scores!C4248:V4248)</f>
        <v/>
      </c>
      <c r="E4250" s="57" t="str"/>
      <c r="F4250" s="49" t="str"/>
      <c r="G4250" s="59" t="str"/>
      <c r="H4250" s="64" t="str"/>
      <c r="I4250" s="65" t="str"/>
      <c r="J4250" s="49" t="str"/>
      <c r="K4250" s="41" t="str"/>
      <c r="L4250" s="41" t="str"/>
      <c r="M4250" s="41" t="str"/>
      <c r="N4250" s="41" t="str"/>
      <c r="O4250" s="41" t="str"/>
      <c r="P4250" s="41" t="str"/>
      <c r="Q4250" s="41" t="str"/>
      <c r="R4250" s="41" t="str"/>
      <c r="S4250" s="41" t="str"/>
      <c r="T4250" s="41" t="str"/>
      <c r="U4250" s="41" t="str"/>
      <c r="V4250" s="41" t="str"/>
      <c r="W4250" s="41" t="str"/>
    </row>
    <row r="4251">
      <c r="B4251" s="2" t="n"/>
      <c r="C4251" s="40" t="n"/>
      <c r="D4251" s="52">
        <f t="array" ref="D4251:W4251">IF(All_Students_Scores!C4249:V4249="","",All_Students_Scores!C4249:V4249)</f>
        <v/>
      </c>
      <c r="E4251" s="57" t="str"/>
      <c r="F4251" s="49" t="str"/>
      <c r="G4251" s="59" t="str"/>
      <c r="H4251" s="64" t="str"/>
      <c r="I4251" s="65" t="str"/>
      <c r="J4251" s="49" t="str"/>
      <c r="K4251" s="41" t="str"/>
      <c r="L4251" s="41" t="str"/>
      <c r="M4251" s="41" t="str"/>
      <c r="N4251" s="41" t="str"/>
      <c r="O4251" s="41" t="str"/>
      <c r="P4251" s="41" t="str"/>
      <c r="Q4251" s="41" t="str"/>
      <c r="R4251" s="41" t="str"/>
      <c r="S4251" s="41" t="str"/>
      <c r="T4251" s="41" t="str"/>
      <c r="U4251" s="41" t="str"/>
      <c r="V4251" s="41" t="str"/>
      <c r="W4251" s="41" t="str"/>
    </row>
    <row r="4252">
      <c r="B4252" s="2" t="n"/>
      <c r="C4252" s="40" t="n"/>
      <c r="D4252" s="52">
        <f t="array" ref="D4252:W4252">IF(All_Students_Scores!C4250:V4250="","",All_Students_Scores!C4250:V4250)</f>
        <v/>
      </c>
      <c r="E4252" s="57" t="str"/>
      <c r="F4252" s="49" t="str"/>
      <c r="G4252" s="59" t="str"/>
      <c r="H4252" s="64" t="str"/>
      <c r="I4252" s="65" t="str"/>
      <c r="J4252" s="49" t="str"/>
      <c r="K4252" s="41" t="str"/>
      <c r="L4252" s="41" t="str"/>
      <c r="M4252" s="41" t="str"/>
      <c r="N4252" s="41" t="str"/>
      <c r="O4252" s="41" t="str"/>
      <c r="P4252" s="41" t="str"/>
      <c r="Q4252" s="41" t="str"/>
      <c r="R4252" s="41" t="str"/>
      <c r="S4252" s="41" t="str"/>
      <c r="T4252" s="41" t="str"/>
      <c r="U4252" s="41" t="str"/>
      <c r="V4252" s="41" t="str"/>
      <c r="W4252" s="41" t="str"/>
    </row>
    <row r="4253">
      <c r="B4253" s="2" t="n"/>
      <c r="C4253" s="40" t="n"/>
      <c r="D4253" s="52">
        <f t="array" ref="D4253:W4253">IF(All_Students_Scores!C4251:V4251="","",All_Students_Scores!C4251:V4251)</f>
        <v/>
      </c>
      <c r="E4253" s="57" t="str"/>
      <c r="F4253" s="49" t="str"/>
      <c r="G4253" s="59" t="str"/>
      <c r="H4253" s="64" t="str"/>
      <c r="I4253" s="65" t="str"/>
      <c r="J4253" s="49" t="str"/>
      <c r="K4253" s="41" t="str"/>
      <c r="L4253" s="41" t="str"/>
      <c r="M4253" s="41" t="str"/>
      <c r="N4253" s="41" t="str"/>
      <c r="O4253" s="41" t="str"/>
      <c r="P4253" s="41" t="str"/>
      <c r="Q4253" s="41" t="str"/>
      <c r="R4253" s="41" t="str"/>
      <c r="S4253" s="41" t="str"/>
      <c r="T4253" s="41" t="str"/>
      <c r="U4253" s="41" t="str"/>
      <c r="V4253" s="41" t="str"/>
      <c r="W4253" s="41" t="str"/>
    </row>
    <row r="4254">
      <c r="B4254" s="2" t="n"/>
      <c r="C4254" s="40" t="n"/>
      <c r="D4254" s="52">
        <f t="array" ref="D4254:W4254">IF(All_Students_Scores!C4252:V4252="","",All_Students_Scores!C4252:V4252)</f>
        <v/>
      </c>
      <c r="E4254" s="57" t="str"/>
      <c r="F4254" s="49" t="str"/>
      <c r="G4254" s="59" t="str"/>
      <c r="H4254" s="64" t="str"/>
      <c r="I4254" s="65" t="str"/>
      <c r="J4254" s="49" t="str"/>
      <c r="K4254" s="41" t="str"/>
      <c r="L4254" s="41" t="str"/>
      <c r="M4254" s="41" t="str"/>
      <c r="N4254" s="41" t="str"/>
      <c r="O4254" s="41" t="str"/>
      <c r="P4254" s="41" t="str"/>
      <c r="Q4254" s="41" t="str"/>
      <c r="R4254" s="41" t="str"/>
      <c r="S4254" s="41" t="str"/>
      <c r="T4254" s="41" t="str"/>
      <c r="U4254" s="41" t="str"/>
      <c r="V4254" s="41" t="str"/>
      <c r="W4254" s="41" t="str"/>
    </row>
    <row r="4255">
      <c r="B4255" s="2" t="n"/>
      <c r="C4255" s="40" t="n"/>
      <c r="D4255" s="52">
        <f t="array" ref="D4255:W4255">IF(All_Students_Scores!C4253:V4253="","",All_Students_Scores!C4253:V4253)</f>
        <v/>
      </c>
      <c r="E4255" s="57" t="str"/>
      <c r="F4255" s="49" t="str"/>
      <c r="G4255" s="59" t="str"/>
      <c r="H4255" s="64" t="str"/>
      <c r="I4255" s="65" t="str"/>
      <c r="J4255" s="49" t="str"/>
      <c r="K4255" s="41" t="str"/>
      <c r="L4255" s="41" t="str"/>
      <c r="M4255" s="41" t="str"/>
      <c r="N4255" s="41" t="str"/>
      <c r="O4255" s="41" t="str"/>
      <c r="P4255" s="41" t="str"/>
      <c r="Q4255" s="41" t="str"/>
      <c r="R4255" s="41" t="str"/>
      <c r="S4255" s="41" t="str"/>
      <c r="T4255" s="41" t="str"/>
      <c r="U4255" s="41" t="str"/>
      <c r="V4255" s="41" t="str"/>
      <c r="W4255" s="41" t="str"/>
    </row>
    <row r="4256">
      <c r="B4256" s="2" t="n"/>
      <c r="C4256" s="40" t="n"/>
      <c r="D4256" s="52">
        <f t="array" ref="D4256:W4256">IF(All_Students_Scores!C4254:V4254="","",All_Students_Scores!C4254:V4254)</f>
        <v/>
      </c>
      <c r="E4256" s="57" t="str"/>
      <c r="F4256" s="49" t="str"/>
      <c r="G4256" s="59" t="str"/>
      <c r="H4256" s="64" t="str"/>
      <c r="I4256" s="65" t="str"/>
      <c r="J4256" s="49" t="str"/>
      <c r="K4256" s="41" t="str"/>
      <c r="L4256" s="41" t="str"/>
      <c r="M4256" s="41" t="str"/>
      <c r="N4256" s="41" t="str"/>
      <c r="O4256" s="41" t="str"/>
      <c r="P4256" s="41" t="str"/>
      <c r="Q4256" s="41" t="str"/>
      <c r="R4256" s="41" t="str"/>
      <c r="S4256" s="41" t="str"/>
      <c r="T4256" s="41" t="str"/>
      <c r="U4256" s="41" t="str"/>
      <c r="V4256" s="41" t="str"/>
      <c r="W4256" s="41" t="str"/>
    </row>
    <row r="4257">
      <c r="B4257" s="2" t="n"/>
      <c r="C4257" s="40" t="n"/>
      <c r="D4257" s="52">
        <f t="array" ref="D4257:W4257">IF(All_Students_Scores!C4255:V4255="","",All_Students_Scores!C4255:V4255)</f>
        <v/>
      </c>
      <c r="E4257" s="57" t="str"/>
      <c r="F4257" s="49" t="str"/>
      <c r="G4257" s="59" t="str"/>
      <c r="H4257" s="64" t="str"/>
      <c r="I4257" s="65" t="str"/>
      <c r="J4257" s="49" t="str"/>
      <c r="K4257" s="41" t="str"/>
      <c r="L4257" s="41" t="str"/>
      <c r="M4257" s="41" t="str"/>
      <c r="N4257" s="41" t="str"/>
      <c r="O4257" s="41" t="str"/>
      <c r="P4257" s="41" t="str"/>
      <c r="Q4257" s="41" t="str"/>
      <c r="R4257" s="41" t="str"/>
      <c r="S4257" s="41" t="str"/>
      <c r="T4257" s="41" t="str"/>
      <c r="U4257" s="41" t="str"/>
      <c r="V4257" s="41" t="str"/>
      <c r="W4257" s="41" t="str"/>
    </row>
    <row r="4258">
      <c r="B4258" s="2" t="n"/>
      <c r="C4258" s="40" t="n"/>
      <c r="D4258" s="52">
        <f t="array" ref="D4258:W4258">IF(All_Students_Scores!C4256:V4256="","",All_Students_Scores!C4256:V4256)</f>
        <v/>
      </c>
      <c r="E4258" s="57" t="str"/>
      <c r="F4258" s="49" t="str"/>
      <c r="G4258" s="59" t="str"/>
      <c r="H4258" s="64" t="str"/>
      <c r="I4258" s="65" t="str"/>
      <c r="J4258" s="49" t="str"/>
      <c r="K4258" s="41" t="str"/>
      <c r="L4258" s="41" t="str"/>
      <c r="M4258" s="41" t="str"/>
      <c r="N4258" s="41" t="str"/>
      <c r="O4258" s="41" t="str"/>
      <c r="P4258" s="41" t="str"/>
      <c r="Q4258" s="41" t="str"/>
      <c r="R4258" s="41" t="str"/>
      <c r="S4258" s="41" t="str"/>
      <c r="T4258" s="41" t="str"/>
      <c r="U4258" s="41" t="str"/>
      <c r="V4258" s="41" t="str"/>
      <c r="W4258" s="41" t="str"/>
    </row>
    <row r="4259">
      <c r="B4259" s="2" t="n"/>
      <c r="C4259" s="40" t="n"/>
      <c r="D4259" s="52">
        <f t="array" ref="D4259:W4259">IF(All_Students_Scores!C4257:V4257="","",All_Students_Scores!C4257:V4257)</f>
        <v/>
      </c>
      <c r="E4259" s="57" t="str"/>
      <c r="F4259" s="49" t="str"/>
      <c r="G4259" s="59" t="str"/>
      <c r="H4259" s="64" t="str"/>
      <c r="I4259" s="65" t="str"/>
      <c r="J4259" s="49" t="str"/>
      <c r="K4259" s="41" t="str"/>
      <c r="L4259" s="41" t="str"/>
      <c r="M4259" s="41" t="str"/>
      <c r="N4259" s="41" t="str"/>
      <c r="O4259" s="41" t="str"/>
      <c r="P4259" s="41" t="str"/>
      <c r="Q4259" s="41" t="str"/>
      <c r="R4259" s="41" t="str"/>
      <c r="S4259" s="41" t="str"/>
      <c r="T4259" s="41" t="str"/>
      <c r="U4259" s="41" t="str"/>
      <c r="V4259" s="41" t="str"/>
      <c r="W4259" s="41" t="str"/>
    </row>
    <row r="4260">
      <c r="B4260" s="2" t="n"/>
      <c r="C4260" s="40" t="n"/>
      <c r="D4260" s="52">
        <f t="array" ref="D4260:W4260">IF(All_Students_Scores!C4258:V4258="","",All_Students_Scores!C4258:V4258)</f>
        <v/>
      </c>
      <c r="E4260" s="57" t="str"/>
      <c r="F4260" s="49" t="str"/>
      <c r="G4260" s="59" t="str"/>
      <c r="H4260" s="64" t="str"/>
      <c r="I4260" s="65" t="str"/>
      <c r="J4260" s="49" t="str"/>
      <c r="K4260" s="41" t="str"/>
      <c r="L4260" s="41" t="str"/>
      <c r="M4260" s="41" t="str"/>
      <c r="N4260" s="41" t="str"/>
      <c r="O4260" s="41" t="str"/>
      <c r="P4260" s="41" t="str"/>
      <c r="Q4260" s="41" t="str"/>
      <c r="R4260" s="41" t="str"/>
      <c r="S4260" s="41" t="str"/>
      <c r="T4260" s="41" t="str"/>
      <c r="U4260" s="41" t="str"/>
      <c r="V4260" s="41" t="str"/>
      <c r="W4260" s="41" t="str"/>
    </row>
    <row r="4261">
      <c r="B4261" s="2" t="n"/>
      <c r="C4261" s="40" t="n"/>
      <c r="D4261" s="52">
        <f t="array" ref="D4261:W4261">IF(All_Students_Scores!C4259:V4259="","",All_Students_Scores!C4259:V4259)</f>
        <v/>
      </c>
      <c r="E4261" s="57" t="str"/>
      <c r="F4261" s="49" t="str"/>
      <c r="G4261" s="59" t="str"/>
      <c r="H4261" s="64" t="str"/>
      <c r="I4261" s="65" t="str"/>
      <c r="J4261" s="49" t="str"/>
      <c r="K4261" s="41" t="str"/>
      <c r="L4261" s="41" t="str"/>
      <c r="M4261" s="41" t="str"/>
      <c r="N4261" s="41" t="str"/>
      <c r="O4261" s="41" t="str"/>
      <c r="P4261" s="41" t="str"/>
      <c r="Q4261" s="41" t="str"/>
      <c r="R4261" s="41" t="str"/>
      <c r="S4261" s="41" t="str"/>
      <c r="T4261" s="41" t="str"/>
      <c r="U4261" s="41" t="str"/>
      <c r="V4261" s="41" t="str"/>
      <c r="W4261" s="41" t="str"/>
    </row>
    <row r="4262">
      <c r="B4262" s="2" t="n"/>
      <c r="C4262" s="40" t="n"/>
      <c r="D4262" s="52">
        <f t="array" ref="D4262:W4262">IF(All_Students_Scores!C4260:V4260="","",All_Students_Scores!C4260:V4260)</f>
        <v/>
      </c>
      <c r="E4262" s="57" t="str"/>
      <c r="F4262" s="49" t="str"/>
      <c r="G4262" s="59" t="str"/>
      <c r="H4262" s="64" t="str"/>
      <c r="I4262" s="65" t="str"/>
      <c r="J4262" s="49" t="str"/>
      <c r="K4262" s="41" t="str"/>
      <c r="L4262" s="41" t="str"/>
      <c r="M4262" s="41" t="str"/>
      <c r="N4262" s="41" t="str"/>
      <c r="O4262" s="41" t="str"/>
      <c r="P4262" s="41" t="str"/>
      <c r="Q4262" s="41" t="str"/>
      <c r="R4262" s="41" t="str"/>
      <c r="S4262" s="41" t="str"/>
      <c r="T4262" s="41" t="str"/>
      <c r="U4262" s="41" t="str"/>
      <c r="V4262" s="41" t="str"/>
      <c r="W4262" s="41" t="str"/>
    </row>
    <row r="4263">
      <c r="B4263" s="2" t="n"/>
      <c r="C4263" s="40" t="n"/>
      <c r="D4263" s="52">
        <f t="array" ref="D4263:W4263">IF(All_Students_Scores!C4261:V4261="","",All_Students_Scores!C4261:V4261)</f>
        <v/>
      </c>
      <c r="E4263" s="57" t="str"/>
      <c r="F4263" s="49" t="str"/>
      <c r="G4263" s="59" t="str"/>
      <c r="H4263" s="64" t="str"/>
      <c r="I4263" s="65" t="str"/>
      <c r="J4263" s="49" t="str"/>
      <c r="K4263" s="41" t="str"/>
      <c r="L4263" s="41" t="str"/>
      <c r="M4263" s="41" t="str"/>
      <c r="N4263" s="41" t="str"/>
      <c r="O4263" s="41" t="str"/>
      <c r="P4263" s="41" t="str"/>
      <c r="Q4263" s="41" t="str"/>
      <c r="R4263" s="41" t="str"/>
      <c r="S4263" s="41" t="str"/>
      <c r="T4263" s="41" t="str"/>
      <c r="U4263" s="41" t="str"/>
      <c r="V4263" s="41" t="str"/>
      <c r="W4263" s="41" t="str"/>
    </row>
    <row r="4264">
      <c r="B4264" s="2" t="n"/>
      <c r="C4264" s="40" t="n"/>
      <c r="D4264" s="52">
        <f t="array" ref="D4264:W4264">IF(All_Students_Scores!C4262:V4262="","",All_Students_Scores!C4262:V4262)</f>
        <v/>
      </c>
      <c r="E4264" s="57" t="str"/>
      <c r="F4264" s="49" t="str"/>
      <c r="G4264" s="59" t="str"/>
      <c r="H4264" s="64" t="str"/>
      <c r="I4264" s="65" t="str"/>
      <c r="J4264" s="49" t="str"/>
      <c r="K4264" s="41" t="str"/>
      <c r="L4264" s="41" t="str"/>
      <c r="M4264" s="41" t="str"/>
      <c r="N4264" s="41" t="str"/>
      <c r="O4264" s="41" t="str"/>
      <c r="P4264" s="41" t="str"/>
      <c r="Q4264" s="41" t="str"/>
      <c r="R4264" s="41" t="str"/>
      <c r="S4264" s="41" t="str"/>
      <c r="T4264" s="41" t="str"/>
      <c r="U4264" s="41" t="str"/>
      <c r="V4264" s="41" t="str"/>
      <c r="W4264" s="41" t="str"/>
    </row>
    <row r="4265">
      <c r="B4265" s="2" t="n"/>
      <c r="C4265" s="40" t="n"/>
      <c r="D4265" s="52">
        <f t="array" ref="D4265:W4265">IF(All_Students_Scores!C4263:V4263="","",All_Students_Scores!C4263:V4263)</f>
        <v/>
      </c>
      <c r="E4265" s="57" t="str"/>
      <c r="F4265" s="49" t="str"/>
      <c r="G4265" s="59" t="str"/>
      <c r="H4265" s="64" t="str"/>
      <c r="I4265" s="65" t="str"/>
      <c r="J4265" s="49" t="str"/>
      <c r="K4265" s="41" t="str"/>
      <c r="L4265" s="41" t="str"/>
      <c r="M4265" s="41" t="str"/>
      <c r="N4265" s="41" t="str"/>
      <c r="O4265" s="41" t="str"/>
      <c r="P4265" s="41" t="str"/>
      <c r="Q4265" s="41" t="str"/>
      <c r="R4265" s="41" t="str"/>
      <c r="S4265" s="41" t="str"/>
      <c r="T4265" s="41" t="str"/>
      <c r="U4265" s="41" t="str"/>
      <c r="V4265" s="41" t="str"/>
      <c r="W4265" s="41" t="str"/>
    </row>
    <row r="4266">
      <c r="B4266" s="2" t="n"/>
      <c r="C4266" s="40" t="n"/>
      <c r="D4266" s="52">
        <f t="array" ref="D4266:W4266">IF(All_Students_Scores!C4264:V4264="","",All_Students_Scores!C4264:V4264)</f>
        <v/>
      </c>
      <c r="E4266" s="57" t="str"/>
      <c r="F4266" s="49" t="str"/>
      <c r="G4266" s="59" t="str"/>
      <c r="H4266" s="64" t="str"/>
      <c r="I4266" s="65" t="str"/>
      <c r="J4266" s="49" t="str"/>
      <c r="K4266" s="41" t="str"/>
      <c r="L4266" s="41" t="str"/>
      <c r="M4266" s="41" t="str"/>
      <c r="N4266" s="41" t="str"/>
      <c r="O4266" s="41" t="str"/>
      <c r="P4266" s="41" t="str"/>
      <c r="Q4266" s="41" t="str"/>
      <c r="R4266" s="41" t="str"/>
      <c r="S4266" s="41" t="str"/>
      <c r="T4266" s="41" t="str"/>
      <c r="U4266" s="41" t="str"/>
      <c r="V4266" s="41" t="str"/>
      <c r="W4266" s="41" t="str"/>
    </row>
    <row r="4267">
      <c r="B4267" s="2" t="n"/>
      <c r="C4267" s="40" t="n"/>
      <c r="D4267" s="52">
        <f t="array" ref="D4267:W4267">IF(All_Students_Scores!C4265:V4265="","",All_Students_Scores!C4265:V4265)</f>
        <v/>
      </c>
      <c r="E4267" s="57" t="str"/>
      <c r="F4267" s="49" t="str"/>
      <c r="G4267" s="59" t="str"/>
      <c r="H4267" s="64" t="str"/>
      <c r="I4267" s="65" t="str"/>
      <c r="J4267" s="49" t="str"/>
      <c r="K4267" s="41" t="str"/>
      <c r="L4267" s="41" t="str"/>
      <c r="M4267" s="41" t="str"/>
      <c r="N4267" s="41" t="str"/>
      <c r="O4267" s="41" t="str"/>
      <c r="P4267" s="41" t="str"/>
      <c r="Q4267" s="41" t="str"/>
      <c r="R4267" s="41" t="str"/>
      <c r="S4267" s="41" t="str"/>
      <c r="T4267" s="41" t="str"/>
      <c r="U4267" s="41" t="str"/>
      <c r="V4267" s="41" t="str"/>
      <c r="W4267" s="41" t="str"/>
    </row>
    <row r="4268">
      <c r="B4268" s="2" t="n"/>
      <c r="C4268" s="40" t="n"/>
      <c r="D4268" s="52">
        <f t="array" ref="D4268:W4268">IF(All_Students_Scores!C4266:V4266="","",All_Students_Scores!C4266:V4266)</f>
        <v/>
      </c>
      <c r="E4268" s="57" t="str"/>
      <c r="F4268" s="49" t="str"/>
      <c r="G4268" s="59" t="str"/>
      <c r="H4268" s="64" t="str"/>
      <c r="I4268" s="65" t="str"/>
      <c r="J4268" s="49" t="str"/>
      <c r="K4268" s="41" t="str"/>
      <c r="L4268" s="41" t="str"/>
      <c r="M4268" s="41" t="str"/>
      <c r="N4268" s="41" t="str"/>
      <c r="O4268" s="41" t="str"/>
      <c r="P4268" s="41" t="str"/>
      <c r="Q4268" s="41" t="str"/>
      <c r="R4268" s="41" t="str"/>
      <c r="S4268" s="41" t="str"/>
      <c r="T4268" s="41" t="str"/>
      <c r="U4268" s="41" t="str"/>
      <c r="V4268" s="41" t="str"/>
      <c r="W4268" s="41" t="str"/>
    </row>
    <row r="4269">
      <c r="B4269" s="2" t="n"/>
      <c r="C4269" s="40" t="n"/>
      <c r="D4269" s="52">
        <f t="array" ref="D4269:W4269">IF(All_Students_Scores!C4267:V4267="","",All_Students_Scores!C4267:V4267)</f>
        <v/>
      </c>
      <c r="E4269" s="57" t="str"/>
      <c r="F4269" s="49" t="str"/>
      <c r="G4269" s="59" t="str"/>
      <c r="H4269" s="64" t="str"/>
      <c r="I4269" s="65" t="str"/>
      <c r="J4269" s="49" t="str"/>
      <c r="K4269" s="41" t="str"/>
      <c r="L4269" s="41" t="str"/>
      <c r="M4269" s="41" t="str"/>
      <c r="N4269" s="41" t="str"/>
      <c r="O4269" s="41" t="str"/>
      <c r="P4269" s="41" t="str"/>
      <c r="Q4269" s="41" t="str"/>
      <c r="R4269" s="41" t="str"/>
      <c r="S4269" s="41" t="str"/>
      <c r="T4269" s="41" t="str"/>
      <c r="U4269" s="41" t="str"/>
      <c r="V4269" s="41" t="str"/>
      <c r="W4269" s="41" t="str"/>
    </row>
    <row r="4270">
      <c r="B4270" s="2" t="n"/>
      <c r="C4270" s="40" t="n"/>
      <c r="D4270" s="52">
        <f t="array" ref="D4270:W4270">IF(All_Students_Scores!C4268:V4268="","",All_Students_Scores!C4268:V4268)</f>
        <v/>
      </c>
      <c r="E4270" s="57" t="str"/>
      <c r="F4270" s="49" t="str"/>
      <c r="G4270" s="59" t="str"/>
      <c r="H4270" s="64" t="str"/>
      <c r="I4270" s="65" t="str"/>
      <c r="J4270" s="49" t="str"/>
      <c r="K4270" s="41" t="str"/>
      <c r="L4270" s="41" t="str"/>
      <c r="M4270" s="41" t="str"/>
      <c r="N4270" s="41" t="str"/>
      <c r="O4270" s="41" t="str"/>
      <c r="P4270" s="41" t="str"/>
      <c r="Q4270" s="41" t="str"/>
      <c r="R4270" s="41" t="str"/>
      <c r="S4270" s="41" t="str"/>
      <c r="T4270" s="41" t="str"/>
      <c r="U4270" s="41" t="str"/>
      <c r="V4270" s="41" t="str"/>
      <c r="W4270" s="41" t="str"/>
    </row>
    <row r="4271">
      <c r="B4271" s="2" t="n"/>
      <c r="C4271" s="40" t="n"/>
      <c r="D4271" s="52">
        <f t="array" ref="D4271:W4271">IF(All_Students_Scores!C4269:V4269="","",All_Students_Scores!C4269:V4269)</f>
        <v/>
      </c>
      <c r="E4271" s="57" t="str"/>
      <c r="F4271" s="49" t="str"/>
      <c r="G4271" s="59" t="str"/>
      <c r="H4271" s="64" t="str"/>
      <c r="I4271" s="65" t="str"/>
      <c r="J4271" s="49" t="str"/>
      <c r="K4271" s="41" t="str"/>
      <c r="L4271" s="41" t="str"/>
      <c r="M4271" s="41" t="str"/>
      <c r="N4271" s="41" t="str"/>
      <c r="O4271" s="41" t="str"/>
      <c r="P4271" s="41" t="str"/>
      <c r="Q4271" s="41" t="str"/>
      <c r="R4271" s="41" t="str"/>
      <c r="S4271" s="41" t="str"/>
      <c r="T4271" s="41" t="str"/>
      <c r="U4271" s="41" t="str"/>
      <c r="V4271" s="41" t="str"/>
      <c r="W4271" s="41" t="str"/>
    </row>
    <row r="4272">
      <c r="B4272" s="2" t="n"/>
      <c r="C4272" s="40" t="n"/>
      <c r="D4272" s="52">
        <f t="array" ref="D4272:W4272">IF(All_Students_Scores!C4270:V4270="","",All_Students_Scores!C4270:V4270)</f>
        <v/>
      </c>
      <c r="E4272" s="57" t="str"/>
      <c r="F4272" s="49" t="str"/>
      <c r="G4272" s="59" t="str"/>
      <c r="H4272" s="64" t="str"/>
      <c r="I4272" s="65" t="str"/>
      <c r="J4272" s="49" t="str"/>
      <c r="K4272" s="41" t="str"/>
      <c r="L4272" s="41" t="str"/>
      <c r="M4272" s="41" t="str"/>
      <c r="N4272" s="41" t="str"/>
      <c r="O4272" s="41" t="str"/>
      <c r="P4272" s="41" t="str"/>
      <c r="Q4272" s="41" t="str"/>
      <c r="R4272" s="41" t="str"/>
      <c r="S4272" s="41" t="str"/>
      <c r="T4272" s="41" t="str"/>
      <c r="U4272" s="41" t="str"/>
      <c r="V4272" s="41" t="str"/>
      <c r="W4272" s="41" t="str"/>
    </row>
    <row r="4273">
      <c r="B4273" s="2" t="n"/>
      <c r="C4273" s="40" t="n"/>
      <c r="D4273" s="52">
        <f t="array" ref="D4273:W4273">IF(All_Students_Scores!C4271:V4271="","",All_Students_Scores!C4271:V4271)</f>
        <v/>
      </c>
      <c r="E4273" s="57" t="str"/>
      <c r="F4273" s="49" t="str"/>
      <c r="G4273" s="59" t="str"/>
      <c r="H4273" s="64" t="str"/>
      <c r="I4273" s="65" t="str"/>
      <c r="J4273" s="49" t="str"/>
      <c r="K4273" s="41" t="str"/>
      <c r="L4273" s="41" t="str"/>
      <c r="M4273" s="41" t="str"/>
      <c r="N4273" s="41" t="str"/>
      <c r="O4273" s="41" t="str"/>
      <c r="P4273" s="41" t="str"/>
      <c r="Q4273" s="41" t="str"/>
      <c r="R4273" s="41" t="str"/>
      <c r="S4273" s="41" t="str"/>
      <c r="T4273" s="41" t="str"/>
      <c r="U4273" s="41" t="str"/>
      <c r="V4273" s="41" t="str"/>
      <c r="W4273" s="41" t="str"/>
    </row>
    <row r="4274">
      <c r="B4274" s="2" t="n"/>
      <c r="C4274" s="40" t="n"/>
      <c r="D4274" s="52">
        <f t="array" ref="D4274:W4274">IF(All_Students_Scores!C4272:V4272="","",All_Students_Scores!C4272:V4272)</f>
        <v/>
      </c>
      <c r="E4274" s="57" t="str"/>
      <c r="F4274" s="49" t="str"/>
      <c r="G4274" s="59" t="str"/>
      <c r="H4274" s="64" t="str"/>
      <c r="I4274" s="65" t="str"/>
      <c r="J4274" s="49" t="str"/>
      <c r="K4274" s="41" t="str"/>
      <c r="L4274" s="41" t="str"/>
      <c r="M4274" s="41" t="str"/>
      <c r="N4274" s="41" t="str"/>
      <c r="O4274" s="41" t="str"/>
      <c r="P4274" s="41" t="str"/>
      <c r="Q4274" s="41" t="str"/>
      <c r="R4274" s="41" t="str"/>
      <c r="S4274" s="41" t="str"/>
      <c r="T4274" s="41" t="str"/>
      <c r="U4274" s="41" t="str"/>
      <c r="V4274" s="41" t="str"/>
      <c r="W4274" s="41" t="str"/>
    </row>
    <row r="4275">
      <c r="B4275" s="2" t="n"/>
      <c r="C4275" s="40" t="n"/>
      <c r="D4275" s="52">
        <f t="array" ref="D4275:W4275">IF(All_Students_Scores!C4273:V4273="","",All_Students_Scores!C4273:V4273)</f>
        <v/>
      </c>
      <c r="E4275" s="57" t="str"/>
      <c r="F4275" s="49" t="str"/>
      <c r="G4275" s="59" t="str"/>
      <c r="H4275" s="64" t="str"/>
      <c r="I4275" s="65" t="str"/>
      <c r="J4275" s="49" t="str"/>
      <c r="K4275" s="41" t="str"/>
      <c r="L4275" s="41" t="str"/>
      <c r="M4275" s="41" t="str"/>
      <c r="N4275" s="41" t="str"/>
      <c r="O4275" s="41" t="str"/>
      <c r="P4275" s="41" t="str"/>
      <c r="Q4275" s="41" t="str"/>
      <c r="R4275" s="41" t="str"/>
      <c r="S4275" s="41" t="str"/>
      <c r="T4275" s="41" t="str"/>
      <c r="U4275" s="41" t="str"/>
      <c r="V4275" s="41" t="str"/>
      <c r="W4275" s="41" t="str"/>
    </row>
    <row r="4276">
      <c r="B4276" s="2" t="n"/>
      <c r="C4276" s="40" t="n"/>
      <c r="D4276" s="52">
        <f t="array" ref="D4276:W4276">IF(All_Students_Scores!C4274:V4274="","",All_Students_Scores!C4274:V4274)</f>
        <v/>
      </c>
      <c r="E4276" s="57" t="str"/>
      <c r="F4276" s="49" t="str"/>
      <c r="G4276" s="59" t="str"/>
      <c r="H4276" s="64" t="str"/>
      <c r="I4276" s="65" t="str"/>
      <c r="J4276" s="49" t="str"/>
      <c r="K4276" s="41" t="str"/>
      <c r="L4276" s="41" t="str"/>
      <c r="M4276" s="41" t="str"/>
      <c r="N4276" s="41" t="str"/>
      <c r="O4276" s="41" t="str"/>
      <c r="P4276" s="41" t="str"/>
      <c r="Q4276" s="41" t="str"/>
      <c r="R4276" s="41" t="str"/>
      <c r="S4276" s="41" t="str"/>
      <c r="T4276" s="41" t="str"/>
      <c r="U4276" s="41" t="str"/>
      <c r="V4276" s="41" t="str"/>
      <c r="W4276" s="41" t="str"/>
    </row>
    <row r="4277">
      <c r="B4277" s="2" t="n"/>
      <c r="C4277" s="40" t="n"/>
      <c r="D4277" s="52">
        <f t="array" ref="D4277:W4277">IF(All_Students_Scores!C4275:V4275="","",All_Students_Scores!C4275:V4275)</f>
        <v/>
      </c>
      <c r="E4277" s="57" t="str"/>
      <c r="F4277" s="49" t="str"/>
      <c r="G4277" s="59" t="str"/>
      <c r="H4277" s="64" t="str"/>
      <c r="I4277" s="65" t="str"/>
      <c r="J4277" s="49" t="str"/>
      <c r="K4277" s="41" t="str"/>
      <c r="L4277" s="41" t="str"/>
      <c r="M4277" s="41" t="str"/>
      <c r="N4277" s="41" t="str"/>
      <c r="O4277" s="41" t="str"/>
      <c r="P4277" s="41" t="str"/>
      <c r="Q4277" s="41" t="str"/>
      <c r="R4277" s="41" t="str"/>
      <c r="S4277" s="41" t="str"/>
      <c r="T4277" s="41" t="str"/>
      <c r="U4277" s="41" t="str"/>
      <c r="V4277" s="41" t="str"/>
      <c r="W4277" s="41" t="str"/>
    </row>
    <row r="4278">
      <c r="B4278" s="2" t="n"/>
      <c r="C4278" s="40" t="n"/>
      <c r="D4278" s="52">
        <f t="array" ref="D4278:W4278">IF(All_Students_Scores!C4276:V4276="","",All_Students_Scores!C4276:V4276)</f>
        <v/>
      </c>
      <c r="E4278" s="57" t="str"/>
      <c r="F4278" s="49" t="str"/>
      <c r="G4278" s="59" t="str"/>
      <c r="H4278" s="64" t="str"/>
      <c r="I4278" s="65" t="str"/>
      <c r="J4278" s="49" t="str"/>
      <c r="K4278" s="41" t="str"/>
      <c r="L4278" s="41" t="str"/>
      <c r="M4278" s="41" t="str"/>
      <c r="N4278" s="41" t="str"/>
      <c r="O4278" s="41" t="str"/>
      <c r="P4278" s="41" t="str"/>
      <c r="Q4278" s="41" t="str"/>
      <c r="R4278" s="41" t="str"/>
      <c r="S4278" s="41" t="str"/>
      <c r="T4278" s="41" t="str"/>
      <c r="U4278" s="41" t="str"/>
      <c r="V4278" s="41" t="str"/>
      <c r="W4278" s="41" t="str"/>
    </row>
    <row r="4279">
      <c r="B4279" s="2" t="n"/>
      <c r="C4279" s="40" t="n"/>
      <c r="D4279" s="52">
        <f t="array" ref="D4279:W4279">IF(All_Students_Scores!C4277:V4277="","",All_Students_Scores!C4277:V4277)</f>
        <v/>
      </c>
      <c r="E4279" s="57" t="str"/>
      <c r="F4279" s="49" t="str"/>
      <c r="G4279" s="59" t="str"/>
      <c r="H4279" s="64" t="str"/>
      <c r="I4279" s="65" t="str"/>
      <c r="J4279" s="49" t="str"/>
      <c r="K4279" s="41" t="str"/>
      <c r="L4279" s="41" t="str"/>
      <c r="M4279" s="41" t="str"/>
      <c r="N4279" s="41" t="str"/>
      <c r="O4279" s="41" t="str"/>
      <c r="P4279" s="41" t="str"/>
      <c r="Q4279" s="41" t="str"/>
      <c r="R4279" s="41" t="str"/>
      <c r="S4279" s="41" t="str"/>
      <c r="T4279" s="41" t="str"/>
      <c r="U4279" s="41" t="str"/>
      <c r="V4279" s="41" t="str"/>
      <c r="W4279" s="41" t="str"/>
    </row>
    <row r="4280">
      <c r="B4280" s="2" t="n"/>
      <c r="C4280" s="40" t="n"/>
      <c r="D4280" s="52">
        <f t="array" ref="D4280:W4280">IF(All_Students_Scores!C4278:V4278="","",All_Students_Scores!C4278:V4278)</f>
        <v/>
      </c>
      <c r="E4280" s="57" t="str"/>
      <c r="F4280" s="49" t="str"/>
      <c r="G4280" s="59" t="str"/>
      <c r="H4280" s="64" t="str"/>
      <c r="I4280" s="65" t="str"/>
      <c r="J4280" s="49" t="str"/>
      <c r="K4280" s="41" t="str"/>
      <c r="L4280" s="41" t="str"/>
      <c r="M4280" s="41" t="str"/>
      <c r="N4280" s="41" t="str"/>
      <c r="O4280" s="41" t="str"/>
      <c r="P4280" s="41" t="str"/>
      <c r="Q4280" s="41" t="str"/>
      <c r="R4280" s="41" t="str"/>
      <c r="S4280" s="41" t="str"/>
      <c r="T4280" s="41" t="str"/>
      <c r="U4280" s="41" t="str"/>
      <c r="V4280" s="41" t="str"/>
      <c r="W4280" s="41" t="str"/>
    </row>
    <row r="4281">
      <c r="B4281" s="2" t="n"/>
      <c r="C4281" s="40" t="n"/>
      <c r="D4281" s="52">
        <f t="array" ref="D4281:W4281">IF(All_Students_Scores!C4279:V4279="","",All_Students_Scores!C4279:V4279)</f>
        <v/>
      </c>
      <c r="E4281" s="57" t="str"/>
      <c r="F4281" s="49" t="str"/>
      <c r="G4281" s="59" t="str"/>
      <c r="H4281" s="64" t="str"/>
      <c r="I4281" s="65" t="str"/>
      <c r="J4281" s="49" t="str"/>
      <c r="K4281" s="41" t="str"/>
      <c r="L4281" s="41" t="str"/>
      <c r="M4281" s="41" t="str"/>
      <c r="N4281" s="41" t="str"/>
      <c r="O4281" s="41" t="str"/>
      <c r="P4281" s="41" t="str"/>
      <c r="Q4281" s="41" t="str"/>
      <c r="R4281" s="41" t="str"/>
      <c r="S4281" s="41" t="str"/>
      <c r="T4281" s="41" t="str"/>
      <c r="U4281" s="41" t="str"/>
      <c r="V4281" s="41" t="str"/>
      <c r="W4281" s="41" t="str"/>
    </row>
    <row r="4282">
      <c r="B4282" s="2" t="n"/>
      <c r="C4282" s="40" t="n"/>
      <c r="D4282" s="52">
        <f t="array" ref="D4282:W4282">IF(All_Students_Scores!C4280:V4280="","",All_Students_Scores!C4280:V4280)</f>
        <v/>
      </c>
      <c r="E4282" s="57" t="str"/>
      <c r="F4282" s="49" t="str"/>
      <c r="G4282" s="59" t="str"/>
      <c r="H4282" s="64" t="str"/>
      <c r="I4282" s="65" t="str"/>
      <c r="J4282" s="49" t="str"/>
      <c r="K4282" s="41" t="str"/>
      <c r="L4282" s="41" t="str"/>
      <c r="M4282" s="41" t="str"/>
      <c r="N4282" s="41" t="str"/>
      <c r="O4282" s="41" t="str"/>
      <c r="P4282" s="41" t="str"/>
      <c r="Q4282" s="41" t="str"/>
      <c r="R4282" s="41" t="str"/>
      <c r="S4282" s="41" t="str"/>
      <c r="T4282" s="41" t="str"/>
      <c r="U4282" s="41" t="str"/>
      <c r="V4282" s="41" t="str"/>
      <c r="W4282" s="41" t="str"/>
    </row>
    <row r="4283">
      <c r="B4283" s="2" t="n"/>
      <c r="C4283" s="40" t="n"/>
      <c r="D4283" s="52">
        <f t="array" ref="D4283:W4283">IF(All_Students_Scores!C4281:V4281="","",All_Students_Scores!C4281:V4281)</f>
        <v/>
      </c>
      <c r="E4283" s="57" t="str"/>
      <c r="F4283" s="49" t="str"/>
      <c r="G4283" s="59" t="str"/>
      <c r="H4283" s="64" t="str"/>
      <c r="I4283" s="65" t="str"/>
      <c r="J4283" s="49" t="str"/>
      <c r="K4283" s="41" t="str"/>
      <c r="L4283" s="41" t="str"/>
      <c r="M4283" s="41" t="str"/>
      <c r="N4283" s="41" t="str"/>
      <c r="O4283" s="41" t="str"/>
      <c r="P4283" s="41" t="str"/>
      <c r="Q4283" s="41" t="str"/>
      <c r="R4283" s="41" t="str"/>
      <c r="S4283" s="41" t="str"/>
      <c r="T4283" s="41" t="str"/>
      <c r="U4283" s="41" t="str"/>
      <c r="V4283" s="41" t="str"/>
      <c r="W4283" s="41" t="str"/>
    </row>
    <row r="4284">
      <c r="B4284" s="2" t="n"/>
      <c r="C4284" s="40" t="n"/>
      <c r="D4284" s="52">
        <f t="array" ref="D4284:W4284">IF(All_Students_Scores!C4282:V4282="","",All_Students_Scores!C4282:V4282)</f>
        <v/>
      </c>
      <c r="E4284" s="57" t="str"/>
      <c r="F4284" s="49" t="str"/>
      <c r="G4284" s="59" t="str"/>
      <c r="H4284" s="64" t="str"/>
      <c r="I4284" s="65" t="str"/>
      <c r="J4284" s="49" t="str"/>
      <c r="K4284" s="41" t="str"/>
      <c r="L4284" s="41" t="str"/>
      <c r="M4284" s="41" t="str"/>
      <c r="N4284" s="41" t="str"/>
      <c r="O4284" s="41" t="str"/>
      <c r="P4284" s="41" t="str"/>
      <c r="Q4284" s="41" t="str"/>
      <c r="R4284" s="41" t="str"/>
      <c r="S4284" s="41" t="str"/>
      <c r="T4284" s="41" t="str"/>
      <c r="U4284" s="41" t="str"/>
      <c r="V4284" s="41" t="str"/>
      <c r="W4284" s="41" t="str"/>
    </row>
    <row r="4285">
      <c r="B4285" s="2" t="n"/>
      <c r="C4285" s="40" t="n"/>
      <c r="D4285" s="52">
        <f t="array" ref="D4285:W4285">IF(All_Students_Scores!C4283:V4283="","",All_Students_Scores!C4283:V4283)</f>
        <v/>
      </c>
      <c r="E4285" s="57" t="str"/>
      <c r="F4285" s="49" t="str"/>
      <c r="G4285" s="59" t="str"/>
      <c r="H4285" s="64" t="str"/>
      <c r="I4285" s="65" t="str"/>
      <c r="J4285" s="49" t="str"/>
      <c r="K4285" s="41" t="str"/>
      <c r="L4285" s="41" t="str"/>
      <c r="M4285" s="41" t="str"/>
      <c r="N4285" s="41" t="str"/>
      <c r="O4285" s="41" t="str"/>
      <c r="P4285" s="41" t="str"/>
      <c r="Q4285" s="41" t="str"/>
      <c r="R4285" s="41" t="str"/>
      <c r="S4285" s="41" t="str"/>
      <c r="T4285" s="41" t="str"/>
      <c r="U4285" s="41" t="str"/>
      <c r="V4285" s="41" t="str"/>
      <c r="W4285" s="41" t="str"/>
    </row>
    <row r="4286">
      <c r="B4286" s="2" t="n"/>
      <c r="C4286" s="40" t="n"/>
      <c r="D4286" s="52">
        <f t="array" ref="D4286:W4286">IF(All_Students_Scores!C4284:V4284="","",All_Students_Scores!C4284:V4284)</f>
        <v/>
      </c>
      <c r="E4286" s="57" t="str"/>
      <c r="F4286" s="49" t="str"/>
      <c r="G4286" s="59" t="str"/>
      <c r="H4286" s="64" t="str"/>
      <c r="I4286" s="65" t="str"/>
      <c r="J4286" s="49" t="str"/>
      <c r="K4286" s="41" t="str"/>
      <c r="L4286" s="41" t="str"/>
      <c r="M4286" s="41" t="str"/>
      <c r="N4286" s="41" t="str"/>
      <c r="O4286" s="41" t="str"/>
      <c r="P4286" s="41" t="str"/>
      <c r="Q4286" s="41" t="str"/>
      <c r="R4286" s="41" t="str"/>
      <c r="S4286" s="41" t="str"/>
      <c r="T4286" s="41" t="str"/>
      <c r="U4286" s="41" t="str"/>
      <c r="V4286" s="41" t="str"/>
      <c r="W4286" s="41" t="str"/>
    </row>
    <row r="4287">
      <c r="B4287" s="2" t="n"/>
      <c r="C4287" s="40" t="n"/>
      <c r="D4287" s="52">
        <f t="array" ref="D4287:W4287">IF(All_Students_Scores!C4285:V4285="","",All_Students_Scores!C4285:V4285)</f>
        <v/>
      </c>
      <c r="E4287" s="57" t="str"/>
      <c r="F4287" s="49" t="str"/>
      <c r="G4287" s="59" t="str"/>
      <c r="H4287" s="64" t="str"/>
      <c r="I4287" s="65" t="str"/>
      <c r="J4287" s="49" t="str"/>
      <c r="K4287" s="41" t="str"/>
      <c r="L4287" s="41" t="str"/>
      <c r="M4287" s="41" t="str"/>
      <c r="N4287" s="41" t="str"/>
      <c r="O4287" s="41" t="str"/>
      <c r="P4287" s="41" t="str"/>
      <c r="Q4287" s="41" t="str"/>
      <c r="R4287" s="41" t="str"/>
      <c r="S4287" s="41" t="str"/>
      <c r="T4287" s="41" t="str"/>
      <c r="U4287" s="41" t="str"/>
      <c r="V4287" s="41" t="str"/>
      <c r="W4287" s="41" t="str"/>
    </row>
    <row r="4288">
      <c r="B4288" s="2" t="n"/>
      <c r="C4288" s="40" t="n"/>
      <c r="D4288" s="52">
        <f t="array" ref="D4288:W4288">IF(All_Students_Scores!C4286:V4286="","",All_Students_Scores!C4286:V4286)</f>
        <v/>
      </c>
      <c r="E4288" s="57" t="str"/>
      <c r="F4288" s="49" t="str"/>
      <c r="G4288" s="59" t="str"/>
      <c r="H4288" s="64" t="str"/>
      <c r="I4288" s="65" t="str"/>
      <c r="J4288" s="49" t="str"/>
      <c r="K4288" s="41" t="str"/>
      <c r="L4288" s="41" t="str"/>
      <c r="M4288" s="41" t="str"/>
      <c r="N4288" s="41" t="str"/>
      <c r="O4288" s="41" t="str"/>
      <c r="P4288" s="41" t="str"/>
      <c r="Q4288" s="41" t="str"/>
      <c r="R4288" s="41" t="str"/>
      <c r="S4288" s="41" t="str"/>
      <c r="T4288" s="41" t="str"/>
      <c r="U4288" s="41" t="str"/>
      <c r="V4288" s="41" t="str"/>
      <c r="W4288" s="41" t="str"/>
    </row>
    <row r="4289">
      <c r="B4289" s="2" t="n"/>
      <c r="C4289" s="40" t="n"/>
      <c r="D4289" s="52">
        <f t="array" ref="D4289:W4289">IF(All_Students_Scores!C4287:V4287="","",All_Students_Scores!C4287:V4287)</f>
        <v/>
      </c>
      <c r="E4289" s="57" t="str"/>
      <c r="F4289" s="49" t="str"/>
      <c r="G4289" s="59" t="str"/>
      <c r="H4289" s="64" t="str"/>
      <c r="I4289" s="65" t="str"/>
      <c r="J4289" s="49" t="str"/>
      <c r="K4289" s="41" t="str"/>
      <c r="L4289" s="41" t="str"/>
      <c r="M4289" s="41" t="str"/>
      <c r="N4289" s="41" t="str"/>
      <c r="O4289" s="41" t="str"/>
      <c r="P4289" s="41" t="str"/>
      <c r="Q4289" s="41" t="str"/>
      <c r="R4289" s="41" t="str"/>
      <c r="S4289" s="41" t="str"/>
      <c r="T4289" s="41" t="str"/>
      <c r="U4289" s="41" t="str"/>
      <c r="V4289" s="41" t="str"/>
      <c r="W4289" s="41" t="str"/>
    </row>
    <row r="4290">
      <c r="B4290" s="2" t="n"/>
      <c r="C4290" s="40" t="n"/>
      <c r="D4290" s="52">
        <f t="array" ref="D4290:W4290">IF(All_Students_Scores!C4288:V4288="","",All_Students_Scores!C4288:V4288)</f>
        <v/>
      </c>
      <c r="E4290" s="57" t="str"/>
      <c r="F4290" s="49" t="str"/>
      <c r="G4290" s="59" t="str"/>
      <c r="H4290" s="64" t="str"/>
      <c r="I4290" s="65" t="str"/>
      <c r="J4290" s="49" t="str"/>
      <c r="K4290" s="41" t="str"/>
      <c r="L4290" s="41" t="str"/>
      <c r="M4290" s="41" t="str"/>
      <c r="N4290" s="41" t="str"/>
      <c r="O4290" s="41" t="str"/>
      <c r="P4290" s="41" t="str"/>
      <c r="Q4290" s="41" t="str"/>
      <c r="R4290" s="41" t="str"/>
      <c r="S4290" s="41" t="str"/>
      <c r="T4290" s="41" t="str"/>
      <c r="U4290" s="41" t="str"/>
      <c r="V4290" s="41" t="str"/>
      <c r="W4290" s="41" t="str"/>
    </row>
    <row r="4291">
      <c r="B4291" s="2" t="n"/>
      <c r="C4291" s="40" t="n"/>
      <c r="D4291" s="52">
        <f t="array" ref="D4291:W4291">IF(All_Students_Scores!C4289:V4289="","",All_Students_Scores!C4289:V4289)</f>
        <v/>
      </c>
      <c r="E4291" s="57" t="str"/>
      <c r="F4291" s="49" t="str"/>
      <c r="G4291" s="59" t="str"/>
      <c r="H4291" s="64" t="str"/>
      <c r="I4291" s="65" t="str"/>
      <c r="J4291" s="49" t="str"/>
      <c r="K4291" s="41" t="str"/>
      <c r="L4291" s="41" t="str"/>
      <c r="M4291" s="41" t="str"/>
      <c r="N4291" s="41" t="str"/>
      <c r="O4291" s="41" t="str"/>
      <c r="P4291" s="41" t="str"/>
      <c r="Q4291" s="41" t="str"/>
      <c r="R4291" s="41" t="str"/>
      <c r="S4291" s="41" t="str"/>
      <c r="T4291" s="41" t="str"/>
      <c r="U4291" s="41" t="str"/>
      <c r="V4291" s="41" t="str"/>
      <c r="W4291" s="41" t="str"/>
    </row>
    <row r="4292">
      <c r="B4292" s="2" t="n"/>
      <c r="C4292" s="40" t="n"/>
      <c r="D4292" s="52">
        <f t="array" ref="D4292:W4292">IF(All_Students_Scores!C4290:V4290="","",All_Students_Scores!C4290:V4290)</f>
        <v/>
      </c>
      <c r="E4292" s="57" t="str"/>
      <c r="F4292" s="49" t="str"/>
      <c r="G4292" s="59" t="str"/>
      <c r="H4292" s="64" t="str"/>
      <c r="I4292" s="65" t="str"/>
      <c r="J4292" s="49" t="str"/>
      <c r="K4292" s="41" t="str"/>
      <c r="L4292" s="41" t="str"/>
      <c r="M4292" s="41" t="str"/>
      <c r="N4292" s="41" t="str"/>
      <c r="O4292" s="41" t="str"/>
      <c r="P4292" s="41" t="str"/>
      <c r="Q4292" s="41" t="str"/>
      <c r="R4292" s="41" t="str"/>
      <c r="S4292" s="41" t="str"/>
      <c r="T4292" s="41" t="str"/>
      <c r="U4292" s="41" t="str"/>
      <c r="V4292" s="41" t="str"/>
      <c r="W4292" s="41" t="str"/>
    </row>
    <row r="4293">
      <c r="B4293" s="2" t="n"/>
      <c r="C4293" s="40" t="n"/>
      <c r="D4293" s="52">
        <f t="array" ref="D4293:W4293">IF(All_Students_Scores!C4291:V4291="","",All_Students_Scores!C4291:V4291)</f>
        <v/>
      </c>
      <c r="E4293" s="57" t="str"/>
      <c r="F4293" s="49" t="str"/>
      <c r="G4293" s="59" t="str"/>
      <c r="H4293" s="64" t="str"/>
      <c r="I4293" s="65" t="str"/>
      <c r="J4293" s="49" t="str"/>
      <c r="K4293" s="41" t="str"/>
      <c r="L4293" s="41" t="str"/>
      <c r="M4293" s="41" t="str"/>
      <c r="N4293" s="41" t="str"/>
      <c r="O4293" s="41" t="str"/>
      <c r="P4293" s="41" t="str"/>
      <c r="Q4293" s="41" t="str"/>
      <c r="R4293" s="41" t="str"/>
      <c r="S4293" s="41" t="str"/>
      <c r="T4293" s="41" t="str"/>
      <c r="U4293" s="41" t="str"/>
      <c r="V4293" s="41" t="str"/>
      <c r="W4293" s="41" t="str"/>
    </row>
    <row r="4294">
      <c r="B4294" s="2" t="n"/>
      <c r="C4294" s="40" t="n"/>
      <c r="D4294" s="52">
        <f t="array" ref="D4294:W4294">IF(All_Students_Scores!C4292:V4292="","",All_Students_Scores!C4292:V4292)</f>
        <v/>
      </c>
      <c r="E4294" s="57" t="str"/>
      <c r="F4294" s="49" t="str"/>
      <c r="G4294" s="59" t="str"/>
      <c r="H4294" s="64" t="str"/>
      <c r="I4294" s="65" t="str"/>
      <c r="J4294" s="49" t="str"/>
      <c r="K4294" s="41" t="str"/>
      <c r="L4294" s="41" t="str"/>
      <c r="M4294" s="41" t="str"/>
      <c r="N4294" s="41" t="str"/>
      <c r="O4294" s="41" t="str"/>
      <c r="P4294" s="41" t="str"/>
      <c r="Q4294" s="41" t="str"/>
      <c r="R4294" s="41" t="str"/>
      <c r="S4294" s="41" t="str"/>
      <c r="T4294" s="41" t="str"/>
      <c r="U4294" s="41" t="str"/>
      <c r="V4294" s="41" t="str"/>
      <c r="W4294" s="41" t="str"/>
    </row>
    <row r="4295">
      <c r="B4295" s="2" t="n"/>
      <c r="C4295" s="40" t="n"/>
      <c r="D4295" s="52">
        <f t="array" ref="D4295:W4295">IF(All_Students_Scores!C4293:V4293="","",All_Students_Scores!C4293:V4293)</f>
        <v/>
      </c>
      <c r="E4295" s="57" t="str"/>
      <c r="F4295" s="49" t="str"/>
      <c r="G4295" s="59" t="str"/>
      <c r="H4295" s="64" t="str"/>
      <c r="I4295" s="65" t="str"/>
      <c r="J4295" s="49" t="str"/>
      <c r="K4295" s="41" t="str"/>
      <c r="L4295" s="41" t="str"/>
      <c r="M4295" s="41" t="str"/>
      <c r="N4295" s="41" t="str"/>
      <c r="O4295" s="41" t="str"/>
      <c r="P4295" s="41" t="str"/>
      <c r="Q4295" s="41" t="str"/>
      <c r="R4295" s="41" t="str"/>
      <c r="S4295" s="41" t="str"/>
      <c r="T4295" s="41" t="str"/>
      <c r="U4295" s="41" t="str"/>
      <c r="V4295" s="41" t="str"/>
      <c r="W4295" s="41" t="str"/>
    </row>
    <row r="4296">
      <c r="B4296" s="2" t="n"/>
      <c r="C4296" s="40" t="n"/>
      <c r="D4296" s="52">
        <f t="array" ref="D4296:W4296">IF(All_Students_Scores!C4294:V4294="","",All_Students_Scores!C4294:V4294)</f>
        <v/>
      </c>
      <c r="E4296" s="57" t="str"/>
      <c r="F4296" s="49" t="str"/>
      <c r="G4296" s="59" t="str"/>
      <c r="H4296" s="64" t="str"/>
      <c r="I4296" s="65" t="str"/>
      <c r="J4296" s="49" t="str"/>
      <c r="K4296" s="41" t="str"/>
      <c r="L4296" s="41" t="str"/>
      <c r="M4296" s="41" t="str"/>
      <c r="N4296" s="41" t="str"/>
      <c r="O4296" s="41" t="str"/>
      <c r="P4296" s="41" t="str"/>
      <c r="Q4296" s="41" t="str"/>
      <c r="R4296" s="41" t="str"/>
      <c r="S4296" s="41" t="str"/>
      <c r="T4296" s="41" t="str"/>
      <c r="U4296" s="41" t="str"/>
      <c r="V4296" s="41" t="str"/>
      <c r="W4296" s="41" t="str"/>
    </row>
    <row r="4297">
      <c r="B4297" s="2" t="n"/>
      <c r="C4297" s="40" t="n"/>
      <c r="D4297" s="52">
        <f t="array" ref="D4297:W4297">IF(All_Students_Scores!C4295:V4295="","",All_Students_Scores!C4295:V4295)</f>
        <v/>
      </c>
      <c r="E4297" s="57" t="str"/>
      <c r="F4297" s="49" t="str"/>
      <c r="G4297" s="59" t="str"/>
      <c r="H4297" s="64" t="str"/>
      <c r="I4297" s="65" t="str"/>
      <c r="J4297" s="49" t="str"/>
      <c r="K4297" s="41" t="str"/>
      <c r="L4297" s="41" t="str"/>
      <c r="M4297" s="41" t="str"/>
      <c r="N4297" s="41" t="str"/>
      <c r="O4297" s="41" t="str"/>
      <c r="P4297" s="41" t="str"/>
      <c r="Q4297" s="41" t="str"/>
      <c r="R4297" s="41" t="str"/>
      <c r="S4297" s="41" t="str"/>
      <c r="T4297" s="41" t="str"/>
      <c r="U4297" s="41" t="str"/>
      <c r="V4297" s="41" t="str"/>
      <c r="W4297" s="41" t="str"/>
    </row>
    <row r="4298">
      <c r="B4298" s="2" t="n"/>
      <c r="C4298" s="40" t="n"/>
      <c r="D4298" s="52">
        <f t="array" ref="D4298:W4298">IF(All_Students_Scores!C4296:V4296="","",All_Students_Scores!C4296:V4296)</f>
        <v/>
      </c>
      <c r="E4298" s="57" t="str"/>
      <c r="F4298" s="49" t="str"/>
      <c r="G4298" s="59" t="str"/>
      <c r="H4298" s="64" t="str"/>
      <c r="I4298" s="65" t="str"/>
      <c r="J4298" s="49" t="str"/>
      <c r="K4298" s="41" t="str"/>
      <c r="L4298" s="41" t="str"/>
      <c r="M4298" s="41" t="str"/>
      <c r="N4298" s="41" t="str"/>
      <c r="O4298" s="41" t="str"/>
      <c r="P4298" s="41" t="str"/>
      <c r="Q4298" s="41" t="str"/>
      <c r="R4298" s="41" t="str"/>
      <c r="S4298" s="41" t="str"/>
      <c r="T4298" s="41" t="str"/>
      <c r="U4298" s="41" t="str"/>
      <c r="V4298" s="41" t="str"/>
      <c r="W4298" s="41" t="str"/>
    </row>
    <row r="4299">
      <c r="B4299" s="2" t="n"/>
      <c r="C4299" s="40" t="n"/>
      <c r="D4299" s="52">
        <f t="array" ref="D4299:W4299">IF(All_Students_Scores!C4297:V4297="","",All_Students_Scores!C4297:V4297)</f>
        <v/>
      </c>
      <c r="E4299" s="57" t="str"/>
      <c r="F4299" s="49" t="str"/>
      <c r="G4299" s="59" t="str"/>
      <c r="H4299" s="64" t="str"/>
      <c r="I4299" s="65" t="str"/>
      <c r="J4299" s="49" t="str"/>
      <c r="K4299" s="41" t="str"/>
      <c r="L4299" s="41" t="str"/>
      <c r="M4299" s="41" t="str"/>
      <c r="N4299" s="41" t="str"/>
      <c r="O4299" s="41" t="str"/>
      <c r="P4299" s="41" t="str"/>
      <c r="Q4299" s="41" t="str"/>
      <c r="R4299" s="41" t="str"/>
      <c r="S4299" s="41" t="str"/>
      <c r="T4299" s="41" t="str"/>
      <c r="U4299" s="41" t="str"/>
      <c r="V4299" s="41" t="str"/>
      <c r="W4299" s="41" t="str"/>
    </row>
    <row r="4300">
      <c r="B4300" s="2" t="n"/>
      <c r="C4300" s="40" t="n"/>
      <c r="D4300" s="52">
        <f t="array" ref="D4300:W4300">IF(All_Students_Scores!C4298:V4298="","",All_Students_Scores!C4298:V4298)</f>
        <v/>
      </c>
      <c r="E4300" s="57" t="str"/>
      <c r="F4300" s="49" t="str"/>
      <c r="G4300" s="59" t="str"/>
      <c r="H4300" s="64" t="str"/>
      <c r="I4300" s="65" t="str"/>
      <c r="J4300" s="49" t="str"/>
      <c r="K4300" s="41" t="str"/>
      <c r="L4300" s="41" t="str"/>
      <c r="M4300" s="41" t="str"/>
      <c r="N4300" s="41" t="str"/>
      <c r="O4300" s="41" t="str"/>
      <c r="P4300" s="41" t="str"/>
      <c r="Q4300" s="41" t="str"/>
      <c r="R4300" s="41" t="str"/>
      <c r="S4300" s="41" t="str"/>
      <c r="T4300" s="41" t="str"/>
      <c r="U4300" s="41" t="str"/>
      <c r="V4300" s="41" t="str"/>
      <c r="W4300" s="41" t="str"/>
    </row>
    <row r="4301">
      <c r="B4301" s="2" t="n"/>
      <c r="C4301" s="40" t="n"/>
      <c r="D4301" s="52">
        <f t="array" ref="D4301:W4301">IF(All_Students_Scores!C4299:V4299="","",All_Students_Scores!C4299:V4299)</f>
        <v/>
      </c>
      <c r="E4301" s="57" t="str"/>
      <c r="F4301" s="49" t="str"/>
      <c r="G4301" s="59" t="str"/>
      <c r="H4301" s="64" t="str"/>
      <c r="I4301" s="65" t="str"/>
      <c r="J4301" s="49" t="str"/>
      <c r="K4301" s="41" t="str"/>
      <c r="L4301" s="41" t="str"/>
      <c r="M4301" s="41" t="str"/>
      <c r="N4301" s="41" t="str"/>
      <c r="O4301" s="41" t="str"/>
      <c r="P4301" s="41" t="str"/>
      <c r="Q4301" s="41" t="str"/>
      <c r="R4301" s="41" t="str"/>
      <c r="S4301" s="41" t="str"/>
      <c r="T4301" s="41" t="str"/>
      <c r="U4301" s="41" t="str"/>
      <c r="V4301" s="41" t="str"/>
      <c r="W4301" s="41" t="str"/>
    </row>
    <row r="4302">
      <c r="B4302" s="2" t="n"/>
      <c r="C4302" s="40" t="n"/>
      <c r="D4302" s="52">
        <f t="array" ref="D4302:W4302">IF(All_Students_Scores!C4300:V4300="","",All_Students_Scores!C4300:V4300)</f>
        <v/>
      </c>
      <c r="E4302" s="57" t="str"/>
      <c r="F4302" s="49" t="str"/>
      <c r="G4302" s="59" t="str"/>
      <c r="H4302" s="64" t="str"/>
      <c r="I4302" s="65" t="str"/>
      <c r="J4302" s="49" t="str"/>
      <c r="K4302" s="41" t="str"/>
      <c r="L4302" s="41" t="str"/>
      <c r="M4302" s="41" t="str"/>
      <c r="N4302" s="41" t="str"/>
      <c r="O4302" s="41" t="str"/>
      <c r="P4302" s="41" t="str"/>
      <c r="Q4302" s="41" t="str"/>
      <c r="R4302" s="41" t="str"/>
      <c r="S4302" s="41" t="str"/>
      <c r="T4302" s="41" t="str"/>
      <c r="U4302" s="41" t="str"/>
      <c r="V4302" s="41" t="str"/>
      <c r="W4302" s="41" t="str"/>
    </row>
    <row r="4303">
      <c r="B4303" s="2" t="n"/>
      <c r="C4303" s="40" t="n"/>
      <c r="D4303" s="52">
        <f t="array" ref="D4303:W4303">IF(All_Students_Scores!C4301:V4301="","",All_Students_Scores!C4301:V4301)</f>
        <v/>
      </c>
      <c r="E4303" s="57" t="str"/>
      <c r="F4303" s="49" t="str"/>
      <c r="G4303" s="59" t="str"/>
      <c r="H4303" s="64" t="str"/>
      <c r="I4303" s="65" t="str"/>
      <c r="J4303" s="49" t="str"/>
      <c r="K4303" s="41" t="str"/>
      <c r="L4303" s="41" t="str"/>
      <c r="M4303" s="41" t="str"/>
      <c r="N4303" s="41" t="str"/>
      <c r="O4303" s="41" t="str"/>
      <c r="P4303" s="41" t="str"/>
      <c r="Q4303" s="41" t="str"/>
      <c r="R4303" s="41" t="str"/>
      <c r="S4303" s="41" t="str"/>
      <c r="T4303" s="41" t="str"/>
      <c r="U4303" s="41" t="str"/>
      <c r="V4303" s="41" t="str"/>
      <c r="W4303" s="41" t="str"/>
    </row>
    <row r="4304">
      <c r="B4304" s="2" t="n"/>
      <c r="C4304" s="40" t="n"/>
      <c r="D4304" s="52">
        <f t="array" ref="D4304:W4304">IF(All_Students_Scores!C4302:V4302="","",All_Students_Scores!C4302:V4302)</f>
        <v/>
      </c>
      <c r="E4304" s="57" t="str"/>
      <c r="F4304" s="49" t="str"/>
      <c r="G4304" s="59" t="str"/>
      <c r="H4304" s="64" t="str"/>
      <c r="I4304" s="65" t="str"/>
      <c r="J4304" s="49" t="str"/>
      <c r="K4304" s="41" t="str"/>
      <c r="L4304" s="41" t="str"/>
      <c r="M4304" s="41" t="str"/>
      <c r="N4304" s="41" t="str"/>
      <c r="O4304" s="41" t="str"/>
      <c r="P4304" s="41" t="str"/>
      <c r="Q4304" s="41" t="str"/>
      <c r="R4304" s="41" t="str"/>
      <c r="S4304" s="41" t="str"/>
      <c r="T4304" s="41" t="str"/>
      <c r="U4304" s="41" t="str"/>
      <c r="V4304" s="41" t="str"/>
      <c r="W4304" s="41" t="str"/>
    </row>
    <row r="4305">
      <c r="B4305" s="2" t="n"/>
      <c r="C4305" s="40" t="n"/>
      <c r="D4305" s="52">
        <f t="array" ref="D4305:W4305">IF(All_Students_Scores!C4303:V4303="","",All_Students_Scores!C4303:V4303)</f>
        <v/>
      </c>
      <c r="E4305" s="57" t="str"/>
      <c r="F4305" s="49" t="str"/>
      <c r="G4305" s="59" t="str"/>
      <c r="H4305" s="64" t="str"/>
      <c r="I4305" s="65" t="str"/>
      <c r="J4305" s="49" t="str"/>
      <c r="K4305" s="41" t="str"/>
      <c r="L4305" s="41" t="str"/>
      <c r="M4305" s="41" t="str"/>
      <c r="N4305" s="41" t="str"/>
      <c r="O4305" s="41" t="str"/>
      <c r="P4305" s="41" t="str"/>
      <c r="Q4305" s="41" t="str"/>
      <c r="R4305" s="41" t="str"/>
      <c r="S4305" s="41" t="str"/>
      <c r="T4305" s="41" t="str"/>
      <c r="U4305" s="41" t="str"/>
      <c r="V4305" s="41" t="str"/>
      <c r="W4305" s="41" t="str"/>
    </row>
    <row r="4306">
      <c r="B4306" s="2" t="n"/>
      <c r="C4306" s="40" t="n"/>
      <c r="D4306" s="52">
        <f t="array" ref="D4306:W4306">IF(All_Students_Scores!C4304:V4304="","",All_Students_Scores!C4304:V4304)</f>
        <v/>
      </c>
      <c r="E4306" s="57" t="str"/>
      <c r="F4306" s="49" t="str"/>
      <c r="G4306" s="59" t="str"/>
      <c r="H4306" s="64" t="str"/>
      <c r="I4306" s="65" t="str"/>
      <c r="J4306" s="49" t="str"/>
      <c r="K4306" s="41" t="str"/>
      <c r="L4306" s="41" t="str"/>
      <c r="M4306" s="41" t="str"/>
      <c r="N4306" s="41" t="str"/>
      <c r="O4306" s="41" t="str"/>
      <c r="P4306" s="41" t="str"/>
      <c r="Q4306" s="41" t="str"/>
      <c r="R4306" s="41" t="str"/>
      <c r="S4306" s="41" t="str"/>
      <c r="T4306" s="41" t="str"/>
      <c r="U4306" s="41" t="str"/>
      <c r="V4306" s="41" t="str"/>
      <c r="W4306" s="41" t="str"/>
    </row>
    <row r="4307">
      <c r="B4307" s="2" t="n"/>
      <c r="C4307" s="40" t="n"/>
      <c r="D4307" s="52">
        <f t="array" ref="D4307:W4307">IF(All_Students_Scores!C4305:V4305="","",All_Students_Scores!C4305:V4305)</f>
        <v/>
      </c>
      <c r="E4307" s="57" t="str"/>
      <c r="F4307" s="49" t="str"/>
      <c r="G4307" s="59" t="str"/>
      <c r="H4307" s="64" t="str"/>
      <c r="I4307" s="65" t="str"/>
      <c r="J4307" s="49" t="str"/>
      <c r="K4307" s="41" t="str"/>
      <c r="L4307" s="41" t="str"/>
      <c r="M4307" s="41" t="str"/>
      <c r="N4307" s="41" t="str"/>
      <c r="O4307" s="41" t="str"/>
      <c r="P4307" s="41" t="str"/>
      <c r="Q4307" s="41" t="str"/>
      <c r="R4307" s="41" t="str"/>
      <c r="S4307" s="41" t="str"/>
      <c r="T4307" s="41" t="str"/>
      <c r="U4307" s="41" t="str"/>
      <c r="V4307" s="41" t="str"/>
      <c r="W4307" s="41" t="str"/>
    </row>
    <row r="4308">
      <c r="B4308" s="2" t="n"/>
      <c r="C4308" s="40" t="n"/>
      <c r="D4308" s="52">
        <f t="array" ref="D4308:W4308">IF(All_Students_Scores!C4306:V4306="","",All_Students_Scores!C4306:V4306)</f>
        <v/>
      </c>
      <c r="E4308" s="57" t="str"/>
      <c r="F4308" s="49" t="str"/>
      <c r="G4308" s="59" t="str"/>
      <c r="H4308" s="64" t="str"/>
      <c r="I4308" s="65" t="str"/>
      <c r="J4308" s="49" t="str"/>
      <c r="K4308" s="41" t="str"/>
      <c r="L4308" s="41" t="str"/>
      <c r="M4308" s="41" t="str"/>
      <c r="N4308" s="41" t="str"/>
      <c r="O4308" s="41" t="str"/>
      <c r="P4308" s="41" t="str"/>
      <c r="Q4308" s="41" t="str"/>
      <c r="R4308" s="41" t="str"/>
      <c r="S4308" s="41" t="str"/>
      <c r="T4308" s="41" t="str"/>
      <c r="U4308" s="41" t="str"/>
      <c r="V4308" s="41" t="str"/>
      <c r="W4308" s="41" t="str"/>
    </row>
    <row r="4309">
      <c r="B4309" s="2" t="n"/>
      <c r="C4309" s="40" t="n"/>
      <c r="D4309" s="52">
        <f t="array" ref="D4309:W4309">IF(All_Students_Scores!C4307:V4307="","",All_Students_Scores!C4307:V4307)</f>
        <v/>
      </c>
      <c r="E4309" s="57" t="str"/>
      <c r="F4309" s="49" t="str"/>
      <c r="G4309" s="59" t="str"/>
      <c r="H4309" s="64" t="str"/>
      <c r="I4309" s="65" t="str"/>
      <c r="J4309" s="49" t="str"/>
      <c r="K4309" s="41" t="str"/>
      <c r="L4309" s="41" t="str"/>
      <c r="M4309" s="41" t="str"/>
      <c r="N4309" s="41" t="str"/>
      <c r="O4309" s="41" t="str"/>
      <c r="P4309" s="41" t="str"/>
      <c r="Q4309" s="41" t="str"/>
      <c r="R4309" s="41" t="str"/>
      <c r="S4309" s="41" t="str"/>
      <c r="T4309" s="41" t="str"/>
      <c r="U4309" s="41" t="str"/>
      <c r="V4309" s="41" t="str"/>
      <c r="W4309" s="41" t="str"/>
    </row>
    <row r="4310">
      <c r="B4310" s="2" t="n"/>
      <c r="C4310" s="40" t="n"/>
      <c r="D4310" s="52">
        <f t="array" ref="D4310:W4310">IF(All_Students_Scores!C4308:V4308="","",All_Students_Scores!C4308:V4308)</f>
        <v/>
      </c>
      <c r="E4310" s="57" t="str"/>
      <c r="F4310" s="49" t="str"/>
      <c r="G4310" s="59" t="str"/>
      <c r="H4310" s="64" t="str"/>
      <c r="I4310" s="65" t="str"/>
      <c r="J4310" s="49" t="str"/>
      <c r="K4310" s="41" t="str"/>
      <c r="L4310" s="41" t="str"/>
      <c r="M4310" s="41" t="str"/>
      <c r="N4310" s="41" t="str"/>
      <c r="O4310" s="41" t="str"/>
      <c r="P4310" s="41" t="str"/>
      <c r="Q4310" s="41" t="str"/>
      <c r="R4310" s="41" t="str"/>
      <c r="S4310" s="41" t="str"/>
      <c r="T4310" s="41" t="str"/>
      <c r="U4310" s="41" t="str"/>
      <c r="V4310" s="41" t="str"/>
      <c r="W4310" s="41" t="str"/>
    </row>
    <row r="4311">
      <c r="B4311" s="2" t="n"/>
      <c r="C4311" s="40" t="n"/>
      <c r="D4311" s="52">
        <f t="array" ref="D4311:W4311">IF(All_Students_Scores!C4309:V4309="","",All_Students_Scores!C4309:V4309)</f>
        <v/>
      </c>
      <c r="E4311" s="57" t="str"/>
      <c r="F4311" s="49" t="str"/>
      <c r="G4311" s="59" t="str"/>
      <c r="H4311" s="64" t="str"/>
      <c r="I4311" s="65" t="str"/>
      <c r="J4311" s="49" t="str"/>
      <c r="K4311" s="41" t="str"/>
      <c r="L4311" s="41" t="str"/>
      <c r="M4311" s="41" t="str"/>
      <c r="N4311" s="41" t="str"/>
      <c r="O4311" s="41" t="str"/>
      <c r="P4311" s="41" t="str"/>
      <c r="Q4311" s="41" t="str"/>
      <c r="R4311" s="41" t="str"/>
      <c r="S4311" s="41" t="str"/>
      <c r="T4311" s="41" t="str"/>
      <c r="U4311" s="41" t="str"/>
      <c r="V4311" s="41" t="str"/>
      <c r="W4311" s="41" t="str"/>
    </row>
    <row r="4312">
      <c r="B4312" s="2" t="n"/>
      <c r="C4312" s="40" t="n"/>
      <c r="D4312" s="52">
        <f t="array" ref="D4312:W4312">IF(All_Students_Scores!C4310:V4310="","",All_Students_Scores!C4310:V4310)</f>
        <v/>
      </c>
      <c r="E4312" s="57" t="str"/>
      <c r="F4312" s="49" t="str"/>
      <c r="G4312" s="59" t="str"/>
      <c r="H4312" s="64" t="str"/>
      <c r="I4312" s="65" t="str"/>
      <c r="J4312" s="49" t="str"/>
      <c r="K4312" s="41" t="str"/>
      <c r="L4312" s="41" t="str"/>
      <c r="M4312" s="41" t="str"/>
      <c r="N4312" s="41" t="str"/>
      <c r="O4312" s="41" t="str"/>
      <c r="P4312" s="41" t="str"/>
      <c r="Q4312" s="41" t="str"/>
      <c r="R4312" s="41" t="str"/>
      <c r="S4312" s="41" t="str"/>
      <c r="T4312" s="41" t="str"/>
      <c r="U4312" s="41" t="str"/>
      <c r="V4312" s="41" t="str"/>
      <c r="W4312" s="41" t="str"/>
    </row>
    <row r="4313">
      <c r="B4313" s="2" t="n"/>
      <c r="C4313" s="40" t="n"/>
      <c r="D4313" s="52">
        <f t="array" ref="D4313:W4313">IF(All_Students_Scores!C4311:V4311="","",All_Students_Scores!C4311:V4311)</f>
        <v/>
      </c>
      <c r="E4313" s="57" t="str"/>
      <c r="F4313" s="49" t="str"/>
      <c r="G4313" s="59" t="str"/>
      <c r="H4313" s="64" t="str"/>
      <c r="I4313" s="65" t="str"/>
      <c r="J4313" s="49" t="str"/>
      <c r="K4313" s="41" t="str"/>
      <c r="L4313" s="41" t="str"/>
      <c r="M4313" s="41" t="str"/>
      <c r="N4313" s="41" t="str"/>
      <c r="O4313" s="41" t="str"/>
      <c r="P4313" s="41" t="str"/>
      <c r="Q4313" s="41" t="str"/>
      <c r="R4313" s="41" t="str"/>
      <c r="S4313" s="41" t="str"/>
      <c r="T4313" s="41" t="str"/>
      <c r="U4313" s="41" t="str"/>
      <c r="V4313" s="41" t="str"/>
      <c r="W4313" s="41" t="str"/>
    </row>
    <row r="4314">
      <c r="B4314" s="2" t="n"/>
      <c r="C4314" s="40" t="n"/>
      <c r="D4314" s="52">
        <f t="array" ref="D4314:W4314">IF(All_Students_Scores!C4312:V4312="","",All_Students_Scores!C4312:V4312)</f>
        <v/>
      </c>
      <c r="E4314" s="57" t="str"/>
      <c r="F4314" s="49" t="str"/>
      <c r="G4314" s="59" t="str"/>
      <c r="H4314" s="64" t="str"/>
      <c r="I4314" s="65" t="str"/>
      <c r="J4314" s="49" t="str"/>
      <c r="K4314" s="41" t="str"/>
      <c r="L4314" s="41" t="str"/>
      <c r="M4314" s="41" t="str"/>
      <c r="N4314" s="41" t="str"/>
      <c r="O4314" s="41" t="str"/>
      <c r="P4314" s="41" t="str"/>
      <c r="Q4314" s="41" t="str"/>
      <c r="R4314" s="41" t="str"/>
      <c r="S4314" s="41" t="str"/>
      <c r="T4314" s="41" t="str"/>
      <c r="U4314" s="41" t="str"/>
      <c r="V4314" s="41" t="str"/>
      <c r="W4314" s="41" t="str"/>
    </row>
    <row r="4315">
      <c r="B4315" s="2" t="n"/>
      <c r="C4315" s="40" t="n"/>
      <c r="D4315" s="52">
        <f t="array" ref="D4315:W4315">IF(All_Students_Scores!C4313:V4313="","",All_Students_Scores!C4313:V4313)</f>
        <v/>
      </c>
      <c r="E4315" s="57" t="str"/>
      <c r="F4315" s="49" t="str"/>
      <c r="G4315" s="59" t="str"/>
      <c r="H4315" s="64" t="str"/>
      <c r="I4315" s="65" t="str"/>
      <c r="J4315" s="49" t="str"/>
      <c r="K4315" s="41" t="str"/>
      <c r="L4315" s="41" t="str"/>
      <c r="M4315" s="41" t="str"/>
      <c r="N4315" s="41" t="str"/>
      <c r="O4315" s="41" t="str"/>
      <c r="P4315" s="41" t="str"/>
      <c r="Q4315" s="41" t="str"/>
      <c r="R4315" s="41" t="str"/>
      <c r="S4315" s="41" t="str"/>
      <c r="T4315" s="41" t="str"/>
      <c r="U4315" s="41" t="str"/>
      <c r="V4315" s="41" t="str"/>
      <c r="W4315" s="41" t="str"/>
    </row>
    <row r="4316">
      <c r="B4316" s="2" t="n"/>
      <c r="C4316" s="40" t="n"/>
      <c r="D4316" s="52">
        <f t="array" ref="D4316:W4316">IF(All_Students_Scores!C4314:V4314="","",All_Students_Scores!C4314:V4314)</f>
        <v/>
      </c>
      <c r="E4316" s="57" t="str"/>
      <c r="F4316" s="49" t="str"/>
      <c r="G4316" s="59" t="str"/>
      <c r="H4316" s="64" t="str"/>
      <c r="I4316" s="65" t="str"/>
      <c r="J4316" s="49" t="str"/>
      <c r="K4316" s="41" t="str"/>
      <c r="L4316" s="41" t="str"/>
      <c r="M4316" s="41" t="str"/>
      <c r="N4316" s="41" t="str"/>
      <c r="O4316" s="41" t="str"/>
      <c r="P4316" s="41" t="str"/>
      <c r="Q4316" s="41" t="str"/>
      <c r="R4316" s="41" t="str"/>
      <c r="S4316" s="41" t="str"/>
      <c r="T4316" s="41" t="str"/>
      <c r="U4316" s="41" t="str"/>
      <c r="V4316" s="41" t="str"/>
      <c r="W4316" s="41" t="str"/>
    </row>
    <row r="4317">
      <c r="B4317" s="2" t="n"/>
      <c r="C4317" s="40" t="n"/>
      <c r="D4317" s="52">
        <f t="array" ref="D4317:W4317">IF(All_Students_Scores!C4315:V4315="","",All_Students_Scores!C4315:V4315)</f>
        <v/>
      </c>
      <c r="E4317" s="57" t="str"/>
      <c r="F4317" s="49" t="str"/>
      <c r="G4317" s="59" t="str"/>
      <c r="H4317" s="64" t="str"/>
      <c r="I4317" s="65" t="str"/>
      <c r="J4317" s="49" t="str"/>
      <c r="K4317" s="41" t="str"/>
      <c r="L4317" s="41" t="str"/>
      <c r="M4317" s="41" t="str"/>
      <c r="N4317" s="41" t="str"/>
      <c r="O4317" s="41" t="str"/>
      <c r="P4317" s="41" t="str"/>
      <c r="Q4317" s="41" t="str"/>
      <c r="R4317" s="41" t="str"/>
      <c r="S4317" s="41" t="str"/>
      <c r="T4317" s="41" t="str"/>
      <c r="U4317" s="41" t="str"/>
      <c r="V4317" s="41" t="str"/>
      <c r="W4317" s="41" t="str"/>
    </row>
    <row r="4318">
      <c r="B4318" s="2" t="n"/>
      <c r="C4318" s="40" t="n"/>
      <c r="D4318" s="52">
        <f t="array" ref="D4318:W4318">IF(All_Students_Scores!C4316:V4316="","",All_Students_Scores!C4316:V4316)</f>
        <v/>
      </c>
      <c r="E4318" s="57" t="str"/>
      <c r="F4318" s="49" t="str"/>
      <c r="G4318" s="59" t="str"/>
      <c r="H4318" s="64" t="str"/>
      <c r="I4318" s="65" t="str"/>
      <c r="J4318" s="49" t="str"/>
      <c r="K4318" s="41" t="str"/>
      <c r="L4318" s="41" t="str"/>
      <c r="M4318" s="41" t="str"/>
      <c r="N4318" s="41" t="str"/>
      <c r="O4318" s="41" t="str"/>
      <c r="P4318" s="41" t="str"/>
      <c r="Q4318" s="41" t="str"/>
      <c r="R4318" s="41" t="str"/>
      <c r="S4318" s="41" t="str"/>
      <c r="T4318" s="41" t="str"/>
      <c r="U4318" s="41" t="str"/>
      <c r="V4318" s="41" t="str"/>
      <c r="W4318" s="41" t="str"/>
    </row>
    <row r="4319">
      <c r="B4319" s="2" t="n"/>
      <c r="C4319" s="40" t="n"/>
      <c r="D4319" s="52">
        <f t="array" ref="D4319:W4319">IF(All_Students_Scores!C4317:V4317="","",All_Students_Scores!C4317:V4317)</f>
        <v/>
      </c>
      <c r="E4319" s="57" t="str"/>
      <c r="F4319" s="49" t="str"/>
      <c r="G4319" s="59" t="str"/>
      <c r="H4319" s="64" t="str"/>
      <c r="I4319" s="65" t="str"/>
      <c r="J4319" s="49" t="str"/>
      <c r="K4319" s="41" t="str"/>
      <c r="L4319" s="41" t="str"/>
      <c r="M4319" s="41" t="str"/>
      <c r="N4319" s="41" t="str"/>
      <c r="O4319" s="41" t="str"/>
      <c r="P4319" s="41" t="str"/>
      <c r="Q4319" s="41" t="str"/>
      <c r="R4319" s="41" t="str"/>
      <c r="S4319" s="41" t="str"/>
      <c r="T4319" s="41" t="str"/>
      <c r="U4319" s="41" t="str"/>
      <c r="V4319" s="41" t="str"/>
      <c r="W4319" s="41" t="str"/>
    </row>
    <row r="4320">
      <c r="B4320" s="2" t="n"/>
      <c r="C4320" s="40" t="n"/>
      <c r="D4320" s="52">
        <f t="array" ref="D4320:W4320">IF(All_Students_Scores!C4318:V4318="","",All_Students_Scores!C4318:V4318)</f>
        <v/>
      </c>
      <c r="E4320" s="57" t="str"/>
      <c r="F4320" s="49" t="str"/>
      <c r="G4320" s="59" t="str"/>
      <c r="H4320" s="64" t="str"/>
      <c r="I4320" s="65" t="str"/>
      <c r="J4320" s="49" t="str"/>
      <c r="K4320" s="41" t="str"/>
      <c r="L4320" s="41" t="str"/>
      <c r="M4320" s="41" t="str"/>
      <c r="N4320" s="41" t="str"/>
      <c r="O4320" s="41" t="str"/>
      <c r="P4320" s="41" t="str"/>
      <c r="Q4320" s="41" t="str"/>
      <c r="R4320" s="41" t="str"/>
      <c r="S4320" s="41" t="str"/>
      <c r="T4320" s="41" t="str"/>
      <c r="U4320" s="41" t="str"/>
      <c r="V4320" s="41" t="str"/>
      <c r="W4320" s="41" t="str"/>
    </row>
    <row r="4321">
      <c r="B4321" s="2" t="n"/>
      <c r="C4321" s="40" t="n"/>
      <c r="D4321" s="52">
        <f t="array" ref="D4321:W4321">IF(All_Students_Scores!C4319:V4319="","",All_Students_Scores!C4319:V4319)</f>
        <v/>
      </c>
      <c r="E4321" s="57" t="str"/>
      <c r="F4321" s="49" t="str"/>
      <c r="G4321" s="59" t="str"/>
      <c r="H4321" s="64" t="str"/>
      <c r="I4321" s="65" t="str"/>
      <c r="J4321" s="49" t="str"/>
      <c r="K4321" s="41" t="str"/>
      <c r="L4321" s="41" t="str"/>
      <c r="M4321" s="41" t="str"/>
      <c r="N4321" s="41" t="str"/>
      <c r="O4321" s="41" t="str"/>
      <c r="P4321" s="41" t="str"/>
      <c r="Q4321" s="41" t="str"/>
      <c r="R4321" s="41" t="str"/>
      <c r="S4321" s="41" t="str"/>
      <c r="T4321" s="41" t="str"/>
      <c r="U4321" s="41" t="str"/>
      <c r="V4321" s="41" t="str"/>
      <c r="W4321" s="41" t="str"/>
    </row>
    <row r="4322">
      <c r="B4322" s="2" t="n"/>
      <c r="C4322" s="40" t="n"/>
      <c r="D4322" s="52">
        <f t="array" ref="D4322:W4322">IF(All_Students_Scores!C4320:V4320="","",All_Students_Scores!C4320:V4320)</f>
        <v/>
      </c>
      <c r="E4322" s="57" t="str"/>
      <c r="F4322" s="49" t="str"/>
      <c r="G4322" s="59" t="str"/>
      <c r="H4322" s="64" t="str"/>
      <c r="I4322" s="65" t="str"/>
      <c r="J4322" s="49" t="str"/>
      <c r="K4322" s="41" t="str"/>
      <c r="L4322" s="41" t="str"/>
      <c r="M4322" s="41" t="str"/>
      <c r="N4322" s="41" t="str"/>
      <c r="O4322" s="41" t="str"/>
      <c r="P4322" s="41" t="str"/>
      <c r="Q4322" s="41" t="str"/>
      <c r="R4322" s="41" t="str"/>
      <c r="S4322" s="41" t="str"/>
      <c r="T4322" s="41" t="str"/>
      <c r="U4322" s="41" t="str"/>
      <c r="V4322" s="41" t="str"/>
      <c r="W4322" s="41" t="str"/>
    </row>
    <row r="4323">
      <c r="B4323" s="2" t="n"/>
      <c r="C4323" s="40" t="n"/>
      <c r="D4323" s="52">
        <f t="array" ref="D4323:W4323">IF(All_Students_Scores!C4321:V4321="","",All_Students_Scores!C4321:V4321)</f>
        <v/>
      </c>
      <c r="E4323" s="57" t="str"/>
      <c r="F4323" s="49" t="str"/>
      <c r="G4323" s="59" t="str"/>
      <c r="H4323" s="64" t="str"/>
      <c r="I4323" s="65" t="str"/>
      <c r="J4323" s="49" t="str"/>
      <c r="K4323" s="41" t="str"/>
      <c r="L4323" s="41" t="str"/>
      <c r="M4323" s="41" t="str"/>
      <c r="N4323" s="41" t="str"/>
      <c r="O4323" s="41" t="str"/>
      <c r="P4323" s="41" t="str"/>
      <c r="Q4323" s="41" t="str"/>
      <c r="R4323" s="41" t="str"/>
      <c r="S4323" s="41" t="str"/>
      <c r="T4323" s="41" t="str"/>
      <c r="U4323" s="41" t="str"/>
      <c r="V4323" s="41" t="str"/>
      <c r="W4323" s="41" t="str"/>
    </row>
    <row r="4324">
      <c r="B4324" s="2" t="n"/>
      <c r="C4324" s="40" t="n"/>
      <c r="D4324" s="52">
        <f t="array" ref="D4324:W4324">IF(All_Students_Scores!C4322:V4322="","",All_Students_Scores!C4322:V4322)</f>
        <v/>
      </c>
      <c r="E4324" s="57" t="str"/>
      <c r="F4324" s="49" t="str"/>
      <c r="G4324" s="59" t="str"/>
      <c r="H4324" s="64" t="str"/>
      <c r="I4324" s="65" t="str"/>
      <c r="J4324" s="49" t="str"/>
      <c r="K4324" s="41" t="str"/>
      <c r="L4324" s="41" t="str"/>
      <c r="M4324" s="41" t="str"/>
      <c r="N4324" s="41" t="str"/>
      <c r="O4324" s="41" t="str"/>
      <c r="P4324" s="41" t="str"/>
      <c r="Q4324" s="41" t="str"/>
      <c r="R4324" s="41" t="str"/>
      <c r="S4324" s="41" t="str"/>
      <c r="T4324" s="41" t="str"/>
      <c r="U4324" s="41" t="str"/>
      <c r="V4324" s="41" t="str"/>
      <c r="W4324" s="41" t="str"/>
    </row>
    <row r="4325">
      <c r="B4325" s="2" t="n"/>
      <c r="C4325" s="40" t="n"/>
      <c r="D4325" s="52">
        <f t="array" ref="D4325:W4325">IF(All_Students_Scores!C4323:V4323="","",All_Students_Scores!C4323:V4323)</f>
        <v/>
      </c>
      <c r="E4325" s="57" t="str"/>
      <c r="F4325" s="49" t="str"/>
      <c r="G4325" s="59" t="str"/>
      <c r="H4325" s="64" t="str"/>
      <c r="I4325" s="65" t="str"/>
      <c r="J4325" s="49" t="str"/>
      <c r="K4325" s="41" t="str"/>
      <c r="L4325" s="41" t="str"/>
      <c r="M4325" s="41" t="str"/>
      <c r="N4325" s="41" t="str"/>
      <c r="O4325" s="41" t="str"/>
      <c r="P4325" s="41" t="str"/>
      <c r="Q4325" s="41" t="str"/>
      <c r="R4325" s="41" t="str"/>
      <c r="S4325" s="41" t="str"/>
      <c r="T4325" s="41" t="str"/>
      <c r="U4325" s="41" t="str"/>
      <c r="V4325" s="41" t="str"/>
      <c r="W4325" s="41" t="str"/>
    </row>
    <row r="4326">
      <c r="B4326" s="2" t="n"/>
      <c r="C4326" s="40" t="n"/>
      <c r="D4326" s="52">
        <f t="array" ref="D4326:W4326">IF(All_Students_Scores!C4324:V4324="","",All_Students_Scores!C4324:V4324)</f>
        <v/>
      </c>
      <c r="E4326" s="57" t="str"/>
      <c r="F4326" s="49" t="str"/>
      <c r="G4326" s="59" t="str"/>
      <c r="H4326" s="64" t="str"/>
      <c r="I4326" s="65" t="str"/>
      <c r="J4326" s="49" t="str"/>
      <c r="K4326" s="41" t="str"/>
      <c r="L4326" s="41" t="str"/>
      <c r="M4326" s="41" t="str"/>
      <c r="N4326" s="41" t="str"/>
      <c r="O4326" s="41" t="str"/>
      <c r="P4326" s="41" t="str"/>
      <c r="Q4326" s="41" t="str"/>
      <c r="R4326" s="41" t="str"/>
      <c r="S4326" s="41" t="str"/>
      <c r="T4326" s="41" t="str"/>
      <c r="U4326" s="41" t="str"/>
      <c r="V4326" s="41" t="str"/>
      <c r="W4326" s="41" t="str"/>
    </row>
    <row r="4327">
      <c r="B4327" s="2" t="n"/>
      <c r="C4327" s="40" t="n"/>
      <c r="D4327" s="52">
        <f t="array" ref="D4327:W4327">IF(All_Students_Scores!C4325:V4325="","",All_Students_Scores!C4325:V4325)</f>
        <v/>
      </c>
      <c r="E4327" s="57" t="str"/>
      <c r="F4327" s="49" t="str"/>
      <c r="G4327" s="59" t="str"/>
      <c r="H4327" s="64" t="str"/>
      <c r="I4327" s="65" t="str"/>
      <c r="J4327" s="49" t="str"/>
      <c r="K4327" s="41" t="str"/>
      <c r="L4327" s="41" t="str"/>
      <c r="M4327" s="41" t="str"/>
      <c r="N4327" s="41" t="str"/>
      <c r="O4327" s="41" t="str"/>
      <c r="P4327" s="41" t="str"/>
      <c r="Q4327" s="41" t="str"/>
      <c r="R4327" s="41" t="str"/>
      <c r="S4327" s="41" t="str"/>
      <c r="T4327" s="41" t="str"/>
      <c r="U4327" s="41" t="str"/>
      <c r="V4327" s="41" t="str"/>
      <c r="W4327" s="41" t="str"/>
    </row>
    <row r="4328">
      <c r="B4328" s="2" t="n"/>
      <c r="C4328" s="40" t="n"/>
      <c r="D4328" s="52">
        <f t="array" ref="D4328:W4328">IF(All_Students_Scores!C4326:V4326="","",All_Students_Scores!C4326:V4326)</f>
        <v/>
      </c>
      <c r="E4328" s="57" t="str"/>
      <c r="F4328" s="49" t="str"/>
      <c r="G4328" s="59" t="str"/>
      <c r="H4328" s="64" t="str"/>
      <c r="I4328" s="65" t="str"/>
      <c r="J4328" s="49" t="str"/>
      <c r="K4328" s="41" t="str"/>
      <c r="L4328" s="41" t="str"/>
      <c r="M4328" s="41" t="str"/>
      <c r="N4328" s="41" t="str"/>
      <c r="O4328" s="41" t="str"/>
      <c r="P4328" s="41" t="str"/>
      <c r="Q4328" s="41" t="str"/>
      <c r="R4328" s="41" t="str"/>
      <c r="S4328" s="41" t="str"/>
      <c r="T4328" s="41" t="str"/>
      <c r="U4328" s="41" t="str"/>
      <c r="V4328" s="41" t="str"/>
      <c r="W4328" s="41" t="str"/>
    </row>
    <row r="4329">
      <c r="B4329" s="2" t="n"/>
      <c r="C4329" s="40" t="n"/>
      <c r="D4329" s="52">
        <f t="array" ref="D4329:W4329">IF(All_Students_Scores!C4327:V4327="","",All_Students_Scores!C4327:V4327)</f>
        <v/>
      </c>
      <c r="E4329" s="57" t="str"/>
      <c r="F4329" s="49" t="str"/>
      <c r="G4329" s="59" t="str"/>
      <c r="H4329" s="64" t="str"/>
      <c r="I4329" s="65" t="str"/>
      <c r="J4329" s="49" t="str"/>
      <c r="K4329" s="41" t="str"/>
      <c r="L4329" s="41" t="str"/>
      <c r="M4329" s="41" t="str"/>
      <c r="N4329" s="41" t="str"/>
      <c r="O4329" s="41" t="str"/>
      <c r="P4329" s="41" t="str"/>
      <c r="Q4329" s="41" t="str"/>
      <c r="R4329" s="41" t="str"/>
      <c r="S4329" s="41" t="str"/>
      <c r="T4329" s="41" t="str"/>
      <c r="U4329" s="41" t="str"/>
      <c r="V4329" s="41" t="str"/>
      <c r="W4329" s="41" t="str"/>
    </row>
    <row r="4330">
      <c r="B4330" s="2" t="n"/>
      <c r="C4330" s="40" t="n"/>
      <c r="D4330" s="52">
        <f t="array" ref="D4330:W4330">IF(All_Students_Scores!C4328:V4328="","",All_Students_Scores!C4328:V4328)</f>
        <v/>
      </c>
      <c r="E4330" s="57" t="str"/>
      <c r="F4330" s="49" t="str"/>
      <c r="G4330" s="59" t="str"/>
      <c r="H4330" s="64" t="str"/>
      <c r="I4330" s="65" t="str"/>
      <c r="J4330" s="49" t="str"/>
      <c r="K4330" s="41" t="str"/>
      <c r="L4330" s="41" t="str"/>
      <c r="M4330" s="41" t="str"/>
      <c r="N4330" s="41" t="str"/>
      <c r="O4330" s="41" t="str"/>
      <c r="P4330" s="41" t="str"/>
      <c r="Q4330" s="41" t="str"/>
      <c r="R4330" s="41" t="str"/>
      <c r="S4330" s="41" t="str"/>
      <c r="T4330" s="41" t="str"/>
      <c r="U4330" s="41" t="str"/>
      <c r="V4330" s="41" t="str"/>
      <c r="W4330" s="41" t="str"/>
    </row>
    <row r="4331">
      <c r="B4331" s="2" t="n"/>
      <c r="C4331" s="40" t="n"/>
      <c r="D4331" s="52">
        <f t="array" ref="D4331:W4331">IF(All_Students_Scores!C4329:V4329="","",All_Students_Scores!C4329:V4329)</f>
        <v/>
      </c>
      <c r="E4331" s="57" t="str"/>
      <c r="F4331" s="49" t="str"/>
      <c r="G4331" s="59" t="str"/>
      <c r="H4331" s="64" t="str"/>
      <c r="I4331" s="65" t="str"/>
      <c r="J4331" s="49" t="str"/>
      <c r="K4331" s="41" t="str"/>
      <c r="L4331" s="41" t="str"/>
      <c r="M4331" s="41" t="str"/>
      <c r="N4331" s="41" t="str"/>
      <c r="O4331" s="41" t="str"/>
      <c r="P4331" s="41" t="str"/>
      <c r="Q4331" s="41" t="str"/>
      <c r="R4331" s="41" t="str"/>
      <c r="S4331" s="41" t="str"/>
      <c r="T4331" s="41" t="str"/>
      <c r="U4331" s="41" t="str"/>
      <c r="V4331" s="41" t="str"/>
      <c r="W4331" s="41" t="str"/>
    </row>
    <row r="4332">
      <c r="B4332" s="2" t="n"/>
      <c r="C4332" s="40" t="n"/>
      <c r="D4332" s="52">
        <f t="array" ref="D4332:W4332">IF(All_Students_Scores!C4330:V4330="","",All_Students_Scores!C4330:V4330)</f>
        <v/>
      </c>
      <c r="E4332" s="57" t="str"/>
      <c r="F4332" s="49" t="str"/>
      <c r="G4332" s="59" t="str"/>
      <c r="H4332" s="64" t="str"/>
      <c r="I4332" s="65" t="str"/>
      <c r="J4332" s="49" t="str"/>
      <c r="K4332" s="41" t="str"/>
      <c r="L4332" s="41" t="str"/>
      <c r="M4332" s="41" t="str"/>
      <c r="N4332" s="41" t="str"/>
      <c r="O4332" s="41" t="str"/>
      <c r="P4332" s="41" t="str"/>
      <c r="Q4332" s="41" t="str"/>
      <c r="R4332" s="41" t="str"/>
      <c r="S4332" s="41" t="str"/>
      <c r="T4332" s="41" t="str"/>
      <c r="U4332" s="41" t="str"/>
      <c r="V4332" s="41" t="str"/>
      <c r="W4332" s="41" t="str"/>
    </row>
    <row r="4333">
      <c r="B4333" s="2" t="n"/>
      <c r="C4333" s="40" t="n"/>
      <c r="D4333" s="52">
        <f t="array" ref="D4333:W4333">IF(All_Students_Scores!C4331:V4331="","",All_Students_Scores!C4331:V4331)</f>
        <v/>
      </c>
      <c r="E4333" s="57" t="str"/>
      <c r="F4333" s="49" t="str"/>
      <c r="G4333" s="59" t="str"/>
      <c r="H4333" s="64" t="str"/>
      <c r="I4333" s="65" t="str"/>
      <c r="J4333" s="49" t="str"/>
      <c r="K4333" s="41" t="str"/>
      <c r="L4333" s="41" t="str"/>
      <c r="M4333" s="41" t="str"/>
      <c r="N4333" s="41" t="str"/>
      <c r="O4333" s="41" t="str"/>
      <c r="P4333" s="41" t="str"/>
      <c r="Q4333" s="41" t="str"/>
      <c r="R4333" s="41" t="str"/>
      <c r="S4333" s="41" t="str"/>
      <c r="T4333" s="41" t="str"/>
      <c r="U4333" s="41" t="str"/>
      <c r="V4333" s="41" t="str"/>
      <c r="W4333" s="41" t="str"/>
    </row>
    <row r="4334">
      <c r="B4334" s="2" t="n"/>
      <c r="C4334" s="40" t="n"/>
      <c r="D4334" s="52">
        <f t="array" ref="D4334:W4334">IF(All_Students_Scores!C4332:V4332="","",All_Students_Scores!C4332:V4332)</f>
        <v/>
      </c>
      <c r="E4334" s="57" t="str"/>
      <c r="F4334" s="49" t="str"/>
      <c r="G4334" s="59" t="str"/>
      <c r="H4334" s="64" t="str"/>
      <c r="I4334" s="65" t="str"/>
      <c r="J4334" s="49" t="str"/>
      <c r="K4334" s="41" t="str"/>
      <c r="L4334" s="41" t="str"/>
      <c r="M4334" s="41" t="str"/>
      <c r="N4334" s="41" t="str"/>
      <c r="O4334" s="41" t="str"/>
      <c r="P4334" s="41" t="str"/>
      <c r="Q4334" s="41" t="str"/>
      <c r="R4334" s="41" t="str"/>
      <c r="S4334" s="41" t="str"/>
      <c r="T4334" s="41" t="str"/>
      <c r="U4334" s="41" t="str"/>
      <c r="V4334" s="41" t="str"/>
      <c r="W4334" s="41" t="str"/>
    </row>
    <row r="4335">
      <c r="B4335" s="2" t="n"/>
      <c r="C4335" s="40" t="n"/>
      <c r="D4335" s="52">
        <f t="array" ref="D4335:W4335">IF(All_Students_Scores!C4333:V4333="","",All_Students_Scores!C4333:V4333)</f>
        <v/>
      </c>
      <c r="E4335" s="57" t="str"/>
      <c r="F4335" s="49" t="str"/>
      <c r="G4335" s="59" t="str"/>
      <c r="H4335" s="64" t="str"/>
      <c r="I4335" s="65" t="str"/>
      <c r="J4335" s="49" t="str"/>
      <c r="K4335" s="41" t="str"/>
      <c r="L4335" s="41" t="str"/>
      <c r="M4335" s="41" t="str"/>
      <c r="N4335" s="41" t="str"/>
      <c r="O4335" s="41" t="str"/>
      <c r="P4335" s="41" t="str"/>
      <c r="Q4335" s="41" t="str"/>
      <c r="R4335" s="41" t="str"/>
      <c r="S4335" s="41" t="str"/>
      <c r="T4335" s="41" t="str"/>
      <c r="U4335" s="41" t="str"/>
      <c r="V4335" s="41" t="str"/>
      <c r="W4335" s="41" t="str"/>
    </row>
    <row r="4336">
      <c r="B4336" s="2" t="n"/>
      <c r="C4336" s="40" t="n"/>
      <c r="D4336" s="52">
        <f t="array" ref="D4336:W4336">IF(All_Students_Scores!C4334:V4334="","",All_Students_Scores!C4334:V4334)</f>
        <v/>
      </c>
      <c r="E4336" s="57" t="str"/>
      <c r="F4336" s="49" t="str"/>
      <c r="G4336" s="59" t="str"/>
      <c r="H4336" s="64" t="str"/>
      <c r="I4336" s="65" t="str"/>
      <c r="J4336" s="49" t="str"/>
      <c r="K4336" s="41" t="str"/>
      <c r="L4336" s="41" t="str"/>
      <c r="M4336" s="41" t="str"/>
      <c r="N4336" s="41" t="str"/>
      <c r="O4336" s="41" t="str"/>
      <c r="P4336" s="41" t="str"/>
      <c r="Q4336" s="41" t="str"/>
      <c r="R4336" s="41" t="str"/>
      <c r="S4336" s="41" t="str"/>
      <c r="T4336" s="41" t="str"/>
      <c r="U4336" s="41" t="str"/>
      <c r="V4336" s="41" t="str"/>
      <c r="W4336" s="41" t="str"/>
    </row>
    <row r="4337">
      <c r="B4337" s="2" t="n"/>
      <c r="C4337" s="40" t="n"/>
      <c r="D4337" s="52">
        <f t="array" ref="D4337:W4337">IF(All_Students_Scores!C4335:V4335="","",All_Students_Scores!C4335:V4335)</f>
        <v/>
      </c>
      <c r="E4337" s="57" t="str"/>
      <c r="F4337" s="49" t="str"/>
      <c r="G4337" s="59" t="str"/>
      <c r="H4337" s="64" t="str"/>
      <c r="I4337" s="65" t="str"/>
      <c r="J4337" s="49" t="str"/>
      <c r="K4337" s="41" t="str"/>
      <c r="L4337" s="41" t="str"/>
      <c r="M4337" s="41" t="str"/>
      <c r="N4337" s="41" t="str"/>
      <c r="O4337" s="41" t="str"/>
      <c r="P4337" s="41" t="str"/>
      <c r="Q4337" s="41" t="str"/>
      <c r="R4337" s="41" t="str"/>
      <c r="S4337" s="41" t="str"/>
      <c r="T4337" s="41" t="str"/>
      <c r="U4337" s="41" t="str"/>
      <c r="V4337" s="41" t="str"/>
      <c r="W4337" s="41" t="str"/>
    </row>
    <row r="4338">
      <c r="B4338" s="2" t="n"/>
      <c r="C4338" s="40" t="n"/>
      <c r="D4338" s="52">
        <f t="array" ref="D4338:W4338">IF(All_Students_Scores!C4336:V4336="","",All_Students_Scores!C4336:V4336)</f>
        <v/>
      </c>
      <c r="E4338" s="57" t="str"/>
      <c r="F4338" s="49" t="str"/>
      <c r="G4338" s="59" t="str"/>
      <c r="H4338" s="64" t="str"/>
      <c r="I4338" s="65" t="str"/>
      <c r="J4338" s="49" t="str"/>
      <c r="K4338" s="41" t="str"/>
      <c r="L4338" s="41" t="str"/>
      <c r="M4338" s="41" t="str"/>
      <c r="N4338" s="41" t="str"/>
      <c r="O4338" s="41" t="str"/>
      <c r="P4338" s="41" t="str"/>
      <c r="Q4338" s="41" t="str"/>
      <c r="R4338" s="41" t="str"/>
      <c r="S4338" s="41" t="str"/>
      <c r="T4338" s="41" t="str"/>
      <c r="U4338" s="41" t="str"/>
      <c r="V4338" s="41" t="str"/>
      <c r="W4338" s="41" t="str"/>
    </row>
    <row r="4339">
      <c r="B4339" s="2" t="n"/>
      <c r="C4339" s="40" t="n"/>
      <c r="D4339" s="52">
        <f t="array" ref="D4339:W4339">IF(All_Students_Scores!C4337:V4337="","",All_Students_Scores!C4337:V4337)</f>
        <v/>
      </c>
      <c r="E4339" s="57" t="str"/>
      <c r="F4339" s="49" t="str"/>
      <c r="G4339" s="59" t="str"/>
      <c r="H4339" s="64" t="str"/>
      <c r="I4339" s="65" t="str"/>
      <c r="J4339" s="49" t="str"/>
      <c r="K4339" s="41" t="str"/>
      <c r="L4339" s="41" t="str"/>
      <c r="M4339" s="41" t="str"/>
      <c r="N4339" s="41" t="str"/>
      <c r="O4339" s="41" t="str"/>
      <c r="P4339" s="41" t="str"/>
      <c r="Q4339" s="41" t="str"/>
      <c r="R4339" s="41" t="str"/>
      <c r="S4339" s="41" t="str"/>
      <c r="T4339" s="41" t="str"/>
      <c r="U4339" s="41" t="str"/>
      <c r="V4339" s="41" t="str"/>
      <c r="W4339" s="41" t="str"/>
    </row>
    <row r="4340">
      <c r="B4340" s="2" t="n"/>
      <c r="C4340" s="40" t="n"/>
      <c r="D4340" s="52">
        <f t="array" ref="D4340:W4340">IF(All_Students_Scores!C4338:V4338="","",All_Students_Scores!C4338:V4338)</f>
        <v/>
      </c>
      <c r="E4340" s="57" t="str"/>
      <c r="F4340" s="49" t="str"/>
      <c r="G4340" s="59" t="str"/>
      <c r="H4340" s="64" t="str"/>
      <c r="I4340" s="65" t="str"/>
      <c r="J4340" s="49" t="str"/>
      <c r="K4340" s="41" t="str"/>
      <c r="L4340" s="41" t="str"/>
      <c r="M4340" s="41" t="str"/>
      <c r="N4340" s="41" t="str"/>
      <c r="O4340" s="41" t="str"/>
      <c r="P4340" s="41" t="str"/>
      <c r="Q4340" s="41" t="str"/>
      <c r="R4340" s="41" t="str"/>
      <c r="S4340" s="41" t="str"/>
      <c r="T4340" s="41" t="str"/>
      <c r="U4340" s="41" t="str"/>
      <c r="V4340" s="41" t="str"/>
      <c r="W4340" s="41" t="str"/>
    </row>
    <row r="4341">
      <c r="B4341" s="2" t="n"/>
      <c r="C4341" s="40" t="n"/>
      <c r="D4341" s="52">
        <f t="array" ref="D4341:W4341">IF(All_Students_Scores!C4339:V4339="","",All_Students_Scores!C4339:V4339)</f>
        <v/>
      </c>
      <c r="E4341" s="57" t="str"/>
      <c r="F4341" s="49" t="str"/>
      <c r="G4341" s="59" t="str"/>
      <c r="H4341" s="64" t="str"/>
      <c r="I4341" s="65" t="str"/>
      <c r="J4341" s="49" t="str"/>
      <c r="K4341" s="41" t="str"/>
      <c r="L4341" s="41" t="str"/>
      <c r="M4341" s="41" t="str"/>
      <c r="N4341" s="41" t="str"/>
      <c r="O4341" s="41" t="str"/>
      <c r="P4341" s="41" t="str"/>
      <c r="Q4341" s="41" t="str"/>
      <c r="R4341" s="41" t="str"/>
      <c r="S4341" s="41" t="str"/>
      <c r="T4341" s="41" t="str"/>
      <c r="U4341" s="41" t="str"/>
      <c r="V4341" s="41" t="str"/>
      <c r="W4341" s="41" t="str"/>
    </row>
    <row r="4342">
      <c r="B4342" s="2" t="n"/>
      <c r="C4342" s="40" t="n"/>
      <c r="D4342" s="52">
        <f t="array" ref="D4342:W4342">IF(All_Students_Scores!C4340:V4340="","",All_Students_Scores!C4340:V4340)</f>
        <v/>
      </c>
      <c r="E4342" s="57" t="str"/>
      <c r="F4342" s="49" t="str"/>
      <c r="G4342" s="59" t="str"/>
      <c r="H4342" s="64" t="str"/>
      <c r="I4342" s="65" t="str"/>
      <c r="J4342" s="49" t="str"/>
      <c r="K4342" s="41" t="str"/>
      <c r="L4342" s="41" t="str"/>
      <c r="M4342" s="41" t="str"/>
      <c r="N4342" s="41" t="str"/>
      <c r="O4342" s="41" t="str"/>
      <c r="P4342" s="41" t="str"/>
      <c r="Q4342" s="41" t="str"/>
      <c r="R4342" s="41" t="str"/>
      <c r="S4342" s="41" t="str"/>
      <c r="T4342" s="41" t="str"/>
      <c r="U4342" s="41" t="str"/>
      <c r="V4342" s="41" t="str"/>
      <c r="W4342" s="41" t="str"/>
    </row>
    <row r="4343">
      <c r="B4343" s="2" t="n"/>
      <c r="C4343" s="40" t="n"/>
      <c r="D4343" s="52">
        <f t="array" ref="D4343:W4343">IF(All_Students_Scores!C4341:V4341="","",All_Students_Scores!C4341:V4341)</f>
        <v/>
      </c>
      <c r="E4343" s="57" t="str"/>
      <c r="F4343" s="49" t="str"/>
      <c r="G4343" s="59" t="str"/>
      <c r="H4343" s="64" t="str"/>
      <c r="I4343" s="65" t="str"/>
      <c r="J4343" s="49" t="str"/>
      <c r="K4343" s="41" t="str"/>
      <c r="L4343" s="41" t="str"/>
      <c r="M4343" s="41" t="str"/>
      <c r="N4343" s="41" t="str"/>
      <c r="O4343" s="41" t="str"/>
      <c r="P4343" s="41" t="str"/>
      <c r="Q4343" s="41" t="str"/>
      <c r="R4343" s="41" t="str"/>
      <c r="S4343" s="41" t="str"/>
      <c r="T4343" s="41" t="str"/>
      <c r="U4343" s="41" t="str"/>
      <c r="V4343" s="41" t="str"/>
      <c r="W4343" s="41" t="str"/>
    </row>
    <row r="4344">
      <c r="B4344" s="2" t="n"/>
      <c r="C4344" s="40" t="n"/>
      <c r="D4344" s="52">
        <f t="array" ref="D4344:W4344">IF(All_Students_Scores!C4342:V4342="","",All_Students_Scores!C4342:V4342)</f>
        <v/>
      </c>
      <c r="E4344" s="57" t="str"/>
      <c r="F4344" s="49" t="str"/>
      <c r="G4344" s="59" t="str"/>
      <c r="H4344" s="64" t="str"/>
      <c r="I4344" s="65" t="str"/>
      <c r="J4344" s="49" t="str"/>
      <c r="K4344" s="41" t="str"/>
      <c r="L4344" s="41" t="str"/>
      <c r="M4344" s="41" t="str"/>
      <c r="N4344" s="41" t="str"/>
      <c r="O4344" s="41" t="str"/>
      <c r="P4344" s="41" t="str"/>
      <c r="Q4344" s="41" t="str"/>
      <c r="R4344" s="41" t="str"/>
      <c r="S4344" s="41" t="str"/>
      <c r="T4344" s="41" t="str"/>
      <c r="U4344" s="41" t="str"/>
      <c r="V4344" s="41" t="str"/>
      <c r="W4344" s="41" t="str"/>
    </row>
    <row r="4345">
      <c r="B4345" s="2" t="n"/>
      <c r="C4345" s="40" t="n"/>
      <c r="D4345" s="52">
        <f t="array" ref="D4345:W4345">IF(All_Students_Scores!C4343:V4343="","",All_Students_Scores!C4343:V4343)</f>
        <v/>
      </c>
      <c r="E4345" s="57" t="str"/>
      <c r="F4345" s="49" t="str"/>
      <c r="G4345" s="59" t="str"/>
      <c r="H4345" s="64" t="str"/>
      <c r="I4345" s="65" t="str"/>
      <c r="J4345" s="49" t="str"/>
      <c r="K4345" s="41" t="str"/>
      <c r="L4345" s="41" t="str"/>
      <c r="M4345" s="41" t="str"/>
      <c r="N4345" s="41" t="str"/>
      <c r="O4345" s="41" t="str"/>
      <c r="P4345" s="41" t="str"/>
      <c r="Q4345" s="41" t="str"/>
      <c r="R4345" s="41" t="str"/>
      <c r="S4345" s="41" t="str"/>
      <c r="T4345" s="41" t="str"/>
      <c r="U4345" s="41" t="str"/>
      <c r="V4345" s="41" t="str"/>
      <c r="W4345" s="41" t="str"/>
    </row>
    <row r="4346">
      <c r="B4346" s="2" t="n"/>
      <c r="C4346" s="40" t="n"/>
      <c r="D4346" s="52">
        <f t="array" ref="D4346:W4346">IF(All_Students_Scores!C4344:V4344="","",All_Students_Scores!C4344:V4344)</f>
        <v/>
      </c>
      <c r="E4346" s="57" t="str"/>
      <c r="F4346" s="49" t="str"/>
      <c r="G4346" s="59" t="str"/>
      <c r="H4346" s="64" t="str"/>
      <c r="I4346" s="65" t="str"/>
      <c r="J4346" s="49" t="str"/>
      <c r="K4346" s="41" t="str"/>
      <c r="L4346" s="41" t="str"/>
      <c r="M4346" s="41" t="str"/>
      <c r="N4346" s="41" t="str"/>
      <c r="O4346" s="41" t="str"/>
      <c r="P4346" s="41" t="str"/>
      <c r="Q4346" s="41" t="str"/>
      <c r="R4346" s="41" t="str"/>
      <c r="S4346" s="41" t="str"/>
      <c r="T4346" s="41" t="str"/>
      <c r="U4346" s="41" t="str"/>
      <c r="V4346" s="41" t="str"/>
      <c r="W4346" s="41" t="str"/>
    </row>
    <row r="4347">
      <c r="B4347" s="2" t="n"/>
      <c r="C4347" s="40" t="n"/>
      <c r="D4347" s="52">
        <f t="array" ref="D4347:W4347">IF(All_Students_Scores!C4345:V4345="","",All_Students_Scores!C4345:V4345)</f>
        <v/>
      </c>
      <c r="E4347" s="57" t="str"/>
      <c r="F4347" s="49" t="str"/>
      <c r="G4347" s="59" t="str"/>
      <c r="H4347" s="64" t="str"/>
      <c r="I4347" s="65" t="str"/>
      <c r="J4347" s="49" t="str"/>
      <c r="K4347" s="41" t="str"/>
      <c r="L4347" s="41" t="str"/>
      <c r="M4347" s="41" t="str"/>
      <c r="N4347" s="41" t="str"/>
      <c r="O4347" s="41" t="str"/>
      <c r="P4347" s="41" t="str"/>
      <c r="Q4347" s="41" t="str"/>
      <c r="R4347" s="41" t="str"/>
      <c r="S4347" s="41" t="str"/>
      <c r="T4347" s="41" t="str"/>
      <c r="U4347" s="41" t="str"/>
      <c r="V4347" s="41" t="str"/>
      <c r="W4347" s="41" t="str"/>
    </row>
    <row r="4348">
      <c r="B4348" s="2" t="n"/>
      <c r="C4348" s="40" t="n"/>
      <c r="D4348" s="52">
        <f t="array" ref="D4348:W4348">IF(All_Students_Scores!C4346:V4346="","",All_Students_Scores!C4346:V4346)</f>
        <v/>
      </c>
      <c r="E4348" s="57" t="str"/>
      <c r="F4348" s="49" t="str"/>
      <c r="G4348" s="59" t="str"/>
      <c r="H4348" s="64" t="str"/>
      <c r="I4348" s="65" t="str"/>
      <c r="J4348" s="49" t="str"/>
      <c r="K4348" s="41" t="str"/>
      <c r="L4348" s="41" t="str"/>
      <c r="M4348" s="41" t="str"/>
      <c r="N4348" s="41" t="str"/>
      <c r="O4348" s="41" t="str"/>
      <c r="P4348" s="41" t="str"/>
      <c r="Q4348" s="41" t="str"/>
      <c r="R4348" s="41" t="str"/>
      <c r="S4348" s="41" t="str"/>
      <c r="T4348" s="41" t="str"/>
      <c r="U4348" s="41" t="str"/>
      <c r="V4348" s="41" t="str"/>
      <c r="W4348" s="41" t="str"/>
    </row>
    <row r="4349">
      <c r="B4349" s="2" t="n"/>
      <c r="C4349" s="40" t="n"/>
      <c r="D4349" s="52">
        <f t="array" ref="D4349:W4349">IF(All_Students_Scores!C4347:V4347="","",All_Students_Scores!C4347:V4347)</f>
        <v/>
      </c>
      <c r="E4349" s="57" t="str"/>
      <c r="F4349" s="49" t="str"/>
      <c r="G4349" s="59" t="str"/>
      <c r="H4349" s="64" t="str"/>
      <c r="I4349" s="65" t="str"/>
      <c r="J4349" s="49" t="str"/>
      <c r="K4349" s="41" t="str"/>
      <c r="L4349" s="41" t="str"/>
      <c r="M4349" s="41" t="str"/>
      <c r="N4349" s="41" t="str"/>
      <c r="O4349" s="41" t="str"/>
      <c r="P4349" s="41" t="str"/>
      <c r="Q4349" s="41" t="str"/>
      <c r="R4349" s="41" t="str"/>
      <c r="S4349" s="41" t="str"/>
      <c r="T4349" s="41" t="str"/>
      <c r="U4349" s="41" t="str"/>
      <c r="V4349" s="41" t="str"/>
      <c r="W4349" s="41" t="str"/>
    </row>
    <row r="4350">
      <c r="B4350" s="2" t="n"/>
      <c r="C4350" s="40" t="n"/>
      <c r="D4350" s="52">
        <f t="array" ref="D4350:W4350">IF(All_Students_Scores!C4348:V4348="","",All_Students_Scores!C4348:V4348)</f>
        <v/>
      </c>
      <c r="E4350" s="57" t="str"/>
      <c r="F4350" s="49" t="str"/>
      <c r="G4350" s="59" t="str"/>
      <c r="H4350" s="64" t="str"/>
      <c r="I4350" s="65" t="str"/>
      <c r="J4350" s="49" t="str"/>
      <c r="K4350" s="41" t="str"/>
      <c r="L4350" s="41" t="str"/>
      <c r="M4350" s="41" t="str"/>
      <c r="N4350" s="41" t="str"/>
      <c r="O4350" s="41" t="str"/>
      <c r="P4350" s="41" t="str"/>
      <c r="Q4350" s="41" t="str"/>
      <c r="R4350" s="41" t="str"/>
      <c r="S4350" s="41" t="str"/>
      <c r="T4350" s="41" t="str"/>
      <c r="U4350" s="41" t="str"/>
      <c r="V4350" s="41" t="str"/>
      <c r="W4350" s="41" t="str"/>
    </row>
    <row r="4351">
      <c r="B4351" s="2" t="n"/>
      <c r="C4351" s="40" t="n"/>
      <c r="D4351" s="52">
        <f t="array" ref="D4351:W4351">IF(All_Students_Scores!C4349:V4349="","",All_Students_Scores!C4349:V4349)</f>
        <v/>
      </c>
      <c r="E4351" s="57" t="str"/>
      <c r="F4351" s="49" t="str"/>
      <c r="G4351" s="59" t="str"/>
      <c r="H4351" s="64" t="str"/>
      <c r="I4351" s="65" t="str"/>
      <c r="J4351" s="49" t="str"/>
      <c r="K4351" s="41" t="str"/>
      <c r="L4351" s="41" t="str"/>
      <c r="M4351" s="41" t="str"/>
      <c r="N4351" s="41" t="str"/>
      <c r="O4351" s="41" t="str"/>
      <c r="P4351" s="41" t="str"/>
      <c r="Q4351" s="41" t="str"/>
      <c r="R4351" s="41" t="str"/>
      <c r="S4351" s="41" t="str"/>
      <c r="T4351" s="41" t="str"/>
      <c r="U4351" s="41" t="str"/>
      <c r="V4351" s="41" t="str"/>
      <c r="W4351" s="41" t="str"/>
    </row>
    <row r="4352">
      <c r="B4352" s="2" t="n"/>
      <c r="C4352" s="40" t="n"/>
      <c r="D4352" s="52">
        <f t="array" ref="D4352:W4352">IF(All_Students_Scores!C4350:V4350="","",All_Students_Scores!C4350:V4350)</f>
        <v/>
      </c>
      <c r="E4352" s="57" t="str"/>
      <c r="F4352" s="49" t="str"/>
      <c r="G4352" s="59" t="str"/>
      <c r="H4352" s="64" t="str"/>
      <c r="I4352" s="65" t="str"/>
      <c r="J4352" s="49" t="str"/>
      <c r="K4352" s="41" t="str"/>
      <c r="L4352" s="41" t="str"/>
      <c r="M4352" s="41" t="str"/>
      <c r="N4352" s="41" t="str"/>
      <c r="O4352" s="41" t="str"/>
      <c r="P4352" s="41" t="str"/>
      <c r="Q4352" s="41" t="str"/>
      <c r="R4352" s="41" t="str"/>
      <c r="S4352" s="41" t="str"/>
      <c r="T4352" s="41" t="str"/>
      <c r="U4352" s="41" t="str"/>
      <c r="V4352" s="41" t="str"/>
      <c r="W4352" s="41" t="str"/>
    </row>
    <row r="4353">
      <c r="B4353" s="2" t="n"/>
      <c r="C4353" s="40" t="n"/>
      <c r="D4353" s="52">
        <f t="array" ref="D4353:W4353">IF(All_Students_Scores!C4351:V4351="","",All_Students_Scores!C4351:V4351)</f>
        <v/>
      </c>
      <c r="E4353" s="57" t="str"/>
      <c r="F4353" s="49" t="str"/>
      <c r="G4353" s="59" t="str"/>
      <c r="H4353" s="64" t="str"/>
      <c r="I4353" s="65" t="str"/>
      <c r="J4353" s="49" t="str"/>
      <c r="K4353" s="41" t="str"/>
      <c r="L4353" s="41" t="str"/>
      <c r="M4353" s="41" t="str"/>
      <c r="N4353" s="41" t="str"/>
      <c r="O4353" s="41" t="str"/>
      <c r="P4353" s="41" t="str"/>
      <c r="Q4353" s="41" t="str"/>
      <c r="R4353" s="41" t="str"/>
      <c r="S4353" s="41" t="str"/>
      <c r="T4353" s="41" t="str"/>
      <c r="U4353" s="41" t="str"/>
      <c r="V4353" s="41" t="str"/>
      <c r="W4353" s="41" t="str"/>
    </row>
    <row r="4354">
      <c r="B4354" s="2" t="n"/>
      <c r="C4354" s="40" t="n"/>
      <c r="D4354" s="52">
        <f t="array" ref="D4354:W4354">IF(All_Students_Scores!C4352:V4352="","",All_Students_Scores!C4352:V4352)</f>
        <v/>
      </c>
      <c r="E4354" s="57" t="str"/>
      <c r="F4354" s="49" t="str"/>
      <c r="G4354" s="59" t="str"/>
      <c r="H4354" s="64" t="str"/>
      <c r="I4354" s="65" t="str"/>
      <c r="J4354" s="49" t="str"/>
      <c r="K4354" s="41" t="str"/>
      <c r="L4354" s="41" t="str"/>
      <c r="M4354" s="41" t="str"/>
      <c r="N4354" s="41" t="str"/>
      <c r="O4354" s="41" t="str"/>
      <c r="P4354" s="41" t="str"/>
      <c r="Q4354" s="41" t="str"/>
      <c r="R4354" s="41" t="str"/>
      <c r="S4354" s="41" t="str"/>
      <c r="T4354" s="41" t="str"/>
      <c r="U4354" s="41" t="str"/>
      <c r="V4354" s="41" t="str"/>
      <c r="W4354" s="41" t="str"/>
    </row>
    <row r="4355">
      <c r="B4355" s="2" t="n"/>
      <c r="C4355" s="40" t="n"/>
      <c r="D4355" s="52">
        <f t="array" ref="D4355:W4355">IF(All_Students_Scores!C4353:V4353="","",All_Students_Scores!C4353:V4353)</f>
        <v/>
      </c>
      <c r="E4355" s="57" t="str"/>
      <c r="F4355" s="49" t="str"/>
      <c r="G4355" s="59" t="str"/>
      <c r="H4355" s="64" t="str"/>
      <c r="I4355" s="65" t="str"/>
      <c r="J4355" s="49" t="str"/>
      <c r="K4355" s="41" t="str"/>
      <c r="L4355" s="41" t="str"/>
      <c r="M4355" s="41" t="str"/>
      <c r="N4355" s="41" t="str"/>
      <c r="O4355" s="41" t="str"/>
      <c r="P4355" s="41" t="str"/>
      <c r="Q4355" s="41" t="str"/>
      <c r="R4355" s="41" t="str"/>
      <c r="S4355" s="41" t="str"/>
      <c r="T4355" s="41" t="str"/>
      <c r="U4355" s="41" t="str"/>
      <c r="V4355" s="41" t="str"/>
      <c r="W4355" s="41" t="str"/>
    </row>
    <row r="4356">
      <c r="B4356" s="2" t="n"/>
      <c r="C4356" s="40" t="n"/>
      <c r="D4356" s="52">
        <f t="array" ref="D4356:W4356">IF(All_Students_Scores!C4354:V4354="","",All_Students_Scores!C4354:V4354)</f>
        <v/>
      </c>
      <c r="E4356" s="57" t="str"/>
      <c r="F4356" s="49" t="str"/>
      <c r="G4356" s="59" t="str"/>
      <c r="H4356" s="64" t="str"/>
      <c r="I4356" s="65" t="str"/>
      <c r="J4356" s="49" t="str"/>
      <c r="K4356" s="41" t="str"/>
      <c r="L4356" s="41" t="str"/>
      <c r="M4356" s="41" t="str"/>
      <c r="N4356" s="41" t="str"/>
      <c r="O4356" s="41" t="str"/>
      <c r="P4356" s="41" t="str"/>
      <c r="Q4356" s="41" t="str"/>
      <c r="R4356" s="41" t="str"/>
      <c r="S4356" s="41" t="str"/>
      <c r="T4356" s="41" t="str"/>
      <c r="U4356" s="41" t="str"/>
      <c r="V4356" s="41" t="str"/>
      <c r="W4356" s="41" t="str"/>
    </row>
    <row r="4357">
      <c r="B4357" s="2" t="n"/>
      <c r="C4357" s="40" t="n"/>
      <c r="D4357" s="52">
        <f t="array" ref="D4357:W4357">IF(All_Students_Scores!C4355:V4355="","",All_Students_Scores!C4355:V4355)</f>
        <v/>
      </c>
      <c r="E4357" s="57" t="str"/>
      <c r="F4357" s="49" t="str"/>
      <c r="G4357" s="59" t="str"/>
      <c r="H4357" s="64" t="str"/>
      <c r="I4357" s="65" t="str"/>
      <c r="J4357" s="49" t="str"/>
      <c r="K4357" s="41" t="str"/>
      <c r="L4357" s="41" t="str"/>
      <c r="M4357" s="41" t="str"/>
      <c r="N4357" s="41" t="str"/>
      <c r="O4357" s="41" t="str"/>
      <c r="P4357" s="41" t="str"/>
      <c r="Q4357" s="41" t="str"/>
      <c r="R4357" s="41" t="str"/>
      <c r="S4357" s="41" t="str"/>
      <c r="T4357" s="41" t="str"/>
      <c r="U4357" s="41" t="str"/>
      <c r="V4357" s="41" t="str"/>
      <c r="W4357" s="41" t="str"/>
    </row>
    <row r="4358">
      <c r="B4358" s="2" t="n"/>
      <c r="C4358" s="40" t="n"/>
      <c r="D4358" s="52">
        <f t="array" ref="D4358:W4358">IF(All_Students_Scores!C4356:V4356="","",All_Students_Scores!C4356:V4356)</f>
        <v/>
      </c>
      <c r="E4358" s="57" t="str"/>
      <c r="F4358" s="49" t="str"/>
      <c r="G4358" s="59" t="str"/>
      <c r="H4358" s="64" t="str"/>
      <c r="I4358" s="65" t="str"/>
      <c r="J4358" s="49" t="str"/>
      <c r="K4358" s="41" t="str"/>
      <c r="L4358" s="41" t="str"/>
      <c r="M4358" s="41" t="str"/>
      <c r="N4358" s="41" t="str"/>
      <c r="O4358" s="41" t="str"/>
      <c r="P4358" s="41" t="str"/>
      <c r="Q4358" s="41" t="str"/>
      <c r="R4358" s="41" t="str"/>
      <c r="S4358" s="41" t="str"/>
      <c r="T4358" s="41" t="str"/>
      <c r="U4358" s="41" t="str"/>
      <c r="V4358" s="41" t="str"/>
      <c r="W4358" s="41" t="str"/>
    </row>
    <row r="4359">
      <c r="B4359" s="2" t="n"/>
      <c r="C4359" s="40" t="n"/>
      <c r="D4359" s="52">
        <f t="array" ref="D4359:W4359">IF(All_Students_Scores!C4357:V4357="","",All_Students_Scores!C4357:V4357)</f>
        <v/>
      </c>
      <c r="E4359" s="57" t="str"/>
      <c r="F4359" s="49" t="str"/>
      <c r="G4359" s="59" t="str"/>
      <c r="H4359" s="64" t="str"/>
      <c r="I4359" s="65" t="str"/>
      <c r="J4359" s="49" t="str"/>
      <c r="K4359" s="41" t="str"/>
      <c r="L4359" s="41" t="str"/>
      <c r="M4359" s="41" t="str"/>
      <c r="N4359" s="41" t="str"/>
      <c r="O4359" s="41" t="str"/>
      <c r="P4359" s="41" t="str"/>
      <c r="Q4359" s="41" t="str"/>
      <c r="R4359" s="41" t="str"/>
      <c r="S4359" s="41" t="str"/>
      <c r="T4359" s="41" t="str"/>
      <c r="U4359" s="41" t="str"/>
      <c r="V4359" s="41" t="str"/>
      <c r="W4359" s="41" t="str"/>
    </row>
    <row r="4360">
      <c r="B4360" s="2" t="n"/>
      <c r="C4360" s="40" t="n"/>
      <c r="D4360" s="52">
        <f t="array" ref="D4360:W4360">IF(All_Students_Scores!C4358:V4358="","",All_Students_Scores!C4358:V4358)</f>
        <v/>
      </c>
      <c r="E4360" s="57" t="str"/>
      <c r="F4360" s="49" t="str"/>
      <c r="G4360" s="59" t="str"/>
      <c r="H4360" s="64" t="str"/>
      <c r="I4360" s="65" t="str"/>
      <c r="J4360" s="49" t="str"/>
      <c r="K4360" s="41" t="str"/>
      <c r="L4360" s="41" t="str"/>
      <c r="M4360" s="41" t="str"/>
      <c r="N4360" s="41" t="str"/>
      <c r="O4360" s="41" t="str"/>
      <c r="P4360" s="41" t="str"/>
      <c r="Q4360" s="41" t="str"/>
      <c r="R4360" s="41" t="str"/>
      <c r="S4360" s="41" t="str"/>
      <c r="T4360" s="41" t="str"/>
      <c r="U4360" s="41" t="str"/>
      <c r="V4360" s="41" t="str"/>
      <c r="W4360" s="41" t="str"/>
    </row>
    <row r="4361">
      <c r="B4361" s="2" t="n"/>
      <c r="C4361" s="40" t="n"/>
      <c r="D4361" s="52">
        <f t="array" ref="D4361:W4361">IF(All_Students_Scores!C4359:V4359="","",All_Students_Scores!C4359:V4359)</f>
        <v/>
      </c>
      <c r="E4361" s="57" t="str"/>
      <c r="F4361" s="49" t="str"/>
      <c r="G4361" s="59" t="str"/>
      <c r="H4361" s="64" t="str"/>
      <c r="I4361" s="65" t="str"/>
      <c r="J4361" s="49" t="str"/>
      <c r="K4361" s="41" t="str"/>
      <c r="L4361" s="41" t="str"/>
      <c r="M4361" s="41" t="str"/>
      <c r="N4361" s="41" t="str"/>
      <c r="O4361" s="41" t="str"/>
      <c r="P4361" s="41" t="str"/>
      <c r="Q4361" s="41" t="str"/>
      <c r="R4361" s="41" t="str"/>
      <c r="S4361" s="41" t="str"/>
      <c r="T4361" s="41" t="str"/>
      <c r="U4361" s="41" t="str"/>
      <c r="V4361" s="41" t="str"/>
      <c r="W4361" s="41" t="str"/>
    </row>
    <row r="4362">
      <c r="B4362" s="2" t="n"/>
      <c r="C4362" s="40" t="n"/>
      <c r="D4362" s="52">
        <f t="array" ref="D4362:W4362">IF(All_Students_Scores!C4360:V4360="","",All_Students_Scores!C4360:V4360)</f>
        <v/>
      </c>
      <c r="E4362" s="57" t="str"/>
      <c r="F4362" s="49" t="str"/>
      <c r="G4362" s="59" t="str"/>
      <c r="H4362" s="64" t="str"/>
      <c r="I4362" s="65" t="str"/>
      <c r="J4362" s="49" t="str"/>
      <c r="K4362" s="41" t="str"/>
      <c r="L4362" s="41" t="str"/>
      <c r="M4362" s="41" t="str"/>
      <c r="N4362" s="41" t="str"/>
      <c r="O4362" s="41" t="str"/>
      <c r="P4362" s="41" t="str"/>
      <c r="Q4362" s="41" t="str"/>
      <c r="R4362" s="41" t="str"/>
      <c r="S4362" s="41" t="str"/>
      <c r="T4362" s="41" t="str"/>
      <c r="U4362" s="41" t="str"/>
      <c r="V4362" s="41" t="str"/>
      <c r="W4362" s="41" t="str"/>
    </row>
    <row r="4363">
      <c r="B4363" s="2" t="n"/>
      <c r="C4363" s="40" t="n"/>
      <c r="D4363" s="52">
        <f t="array" ref="D4363:W4363">IF(All_Students_Scores!C4361:V4361="","",All_Students_Scores!C4361:V4361)</f>
        <v/>
      </c>
      <c r="E4363" s="57" t="str"/>
      <c r="F4363" s="49" t="str"/>
      <c r="G4363" s="59" t="str"/>
      <c r="H4363" s="64" t="str"/>
      <c r="I4363" s="65" t="str"/>
      <c r="J4363" s="49" t="str"/>
      <c r="K4363" s="41" t="str"/>
      <c r="L4363" s="41" t="str"/>
      <c r="M4363" s="41" t="str"/>
      <c r="N4363" s="41" t="str"/>
      <c r="O4363" s="41" t="str"/>
      <c r="P4363" s="41" t="str"/>
      <c r="Q4363" s="41" t="str"/>
      <c r="R4363" s="41" t="str"/>
      <c r="S4363" s="41" t="str"/>
      <c r="T4363" s="41" t="str"/>
      <c r="U4363" s="41" t="str"/>
      <c r="V4363" s="41" t="str"/>
      <c r="W4363" s="41" t="str"/>
    </row>
    <row r="4364">
      <c r="B4364" s="2" t="n"/>
      <c r="C4364" s="40" t="n"/>
      <c r="D4364" s="52">
        <f t="array" ref="D4364:W4364">IF(All_Students_Scores!C4362:V4362="","",All_Students_Scores!C4362:V4362)</f>
        <v/>
      </c>
      <c r="E4364" s="57" t="str"/>
      <c r="F4364" s="49" t="str"/>
      <c r="G4364" s="59" t="str"/>
      <c r="H4364" s="64" t="str"/>
      <c r="I4364" s="65" t="str"/>
      <c r="J4364" s="49" t="str"/>
      <c r="K4364" s="41" t="str"/>
      <c r="L4364" s="41" t="str"/>
      <c r="M4364" s="41" t="str"/>
      <c r="N4364" s="41" t="str"/>
      <c r="O4364" s="41" t="str"/>
      <c r="P4364" s="41" t="str"/>
      <c r="Q4364" s="41" t="str"/>
      <c r="R4364" s="41" t="str"/>
      <c r="S4364" s="41" t="str"/>
      <c r="T4364" s="41" t="str"/>
      <c r="U4364" s="41" t="str"/>
      <c r="V4364" s="41" t="str"/>
      <c r="W4364" s="41" t="str"/>
    </row>
    <row r="4365">
      <c r="B4365" s="2" t="n"/>
      <c r="C4365" s="40" t="n"/>
      <c r="D4365" s="52">
        <f t="array" ref="D4365:W4365">IF(All_Students_Scores!C4363:V4363="","",All_Students_Scores!C4363:V4363)</f>
        <v/>
      </c>
      <c r="E4365" s="57" t="str"/>
      <c r="F4365" s="49" t="str"/>
      <c r="G4365" s="59" t="str"/>
      <c r="H4365" s="64" t="str"/>
      <c r="I4365" s="65" t="str"/>
      <c r="J4365" s="49" t="str"/>
      <c r="K4365" s="41" t="str"/>
      <c r="L4365" s="41" t="str"/>
      <c r="M4365" s="41" t="str"/>
      <c r="N4365" s="41" t="str"/>
      <c r="O4365" s="41" t="str"/>
      <c r="P4365" s="41" t="str"/>
      <c r="Q4365" s="41" t="str"/>
      <c r="R4365" s="41" t="str"/>
      <c r="S4365" s="41" t="str"/>
      <c r="T4365" s="41" t="str"/>
      <c r="U4365" s="41" t="str"/>
      <c r="V4365" s="41" t="str"/>
      <c r="W4365" s="41" t="str"/>
    </row>
    <row r="4366">
      <c r="B4366" s="2" t="n"/>
      <c r="C4366" s="40" t="n"/>
      <c r="D4366" s="52">
        <f t="array" ref="D4366:W4366">IF(All_Students_Scores!C4364:V4364="","",All_Students_Scores!C4364:V4364)</f>
        <v/>
      </c>
      <c r="E4366" s="57" t="str"/>
      <c r="F4366" s="49" t="str"/>
      <c r="G4366" s="59" t="str"/>
      <c r="H4366" s="64" t="str"/>
      <c r="I4366" s="65" t="str"/>
      <c r="J4366" s="49" t="str"/>
      <c r="K4366" s="41" t="str"/>
      <c r="L4366" s="41" t="str"/>
      <c r="M4366" s="41" t="str"/>
      <c r="N4366" s="41" t="str"/>
      <c r="O4366" s="41" t="str"/>
      <c r="P4366" s="41" t="str"/>
      <c r="Q4366" s="41" t="str"/>
      <c r="R4366" s="41" t="str"/>
      <c r="S4366" s="41" t="str"/>
      <c r="T4366" s="41" t="str"/>
      <c r="U4366" s="41" t="str"/>
      <c r="V4366" s="41" t="str"/>
      <c r="W4366" s="41" t="str"/>
    </row>
    <row r="4367">
      <c r="B4367" s="2" t="n"/>
      <c r="C4367" s="40" t="n"/>
      <c r="D4367" s="52">
        <f t="array" ref="D4367:W4367">IF(All_Students_Scores!C4365:V4365="","",All_Students_Scores!C4365:V4365)</f>
        <v/>
      </c>
      <c r="E4367" s="57" t="str"/>
      <c r="F4367" s="49" t="str"/>
      <c r="G4367" s="59" t="str"/>
      <c r="H4367" s="64" t="str"/>
      <c r="I4367" s="65" t="str"/>
      <c r="J4367" s="49" t="str"/>
      <c r="K4367" s="41" t="str"/>
      <c r="L4367" s="41" t="str"/>
      <c r="M4367" s="41" t="str"/>
      <c r="N4367" s="41" t="str"/>
      <c r="O4367" s="41" t="str"/>
      <c r="P4367" s="41" t="str"/>
      <c r="Q4367" s="41" t="str"/>
      <c r="R4367" s="41" t="str"/>
      <c r="S4367" s="41" t="str"/>
      <c r="T4367" s="41" t="str"/>
      <c r="U4367" s="41" t="str"/>
      <c r="V4367" s="41" t="str"/>
      <c r="W4367" s="41" t="str"/>
    </row>
    <row r="4368">
      <c r="B4368" s="2" t="n"/>
      <c r="C4368" s="40" t="n"/>
      <c r="D4368" s="52">
        <f t="array" ref="D4368:W4368">IF(All_Students_Scores!C4366:V4366="","",All_Students_Scores!C4366:V4366)</f>
        <v/>
      </c>
      <c r="E4368" s="57" t="str"/>
      <c r="F4368" s="49" t="str"/>
      <c r="G4368" s="59" t="str"/>
      <c r="H4368" s="64" t="str"/>
      <c r="I4368" s="65" t="str"/>
      <c r="J4368" s="49" t="str"/>
      <c r="K4368" s="41" t="str"/>
      <c r="L4368" s="41" t="str"/>
      <c r="M4368" s="41" t="str"/>
      <c r="N4368" s="41" t="str"/>
      <c r="O4368" s="41" t="str"/>
      <c r="P4368" s="41" t="str"/>
      <c r="Q4368" s="41" t="str"/>
      <c r="R4368" s="41" t="str"/>
      <c r="S4368" s="41" t="str"/>
      <c r="T4368" s="41" t="str"/>
      <c r="U4368" s="41" t="str"/>
      <c r="V4368" s="41" t="str"/>
      <c r="W4368" s="41" t="str"/>
    </row>
    <row r="4369">
      <c r="B4369" s="2" t="n"/>
      <c r="C4369" s="40" t="n"/>
      <c r="D4369" s="52">
        <f t="array" ref="D4369:W4369">IF(All_Students_Scores!C4367:V4367="","",All_Students_Scores!C4367:V4367)</f>
        <v/>
      </c>
      <c r="E4369" s="57" t="str"/>
      <c r="F4369" s="49" t="str"/>
      <c r="G4369" s="59" t="str"/>
      <c r="H4369" s="64" t="str"/>
      <c r="I4369" s="65" t="str"/>
      <c r="J4369" s="49" t="str"/>
      <c r="K4369" s="41" t="str"/>
      <c r="L4369" s="41" t="str"/>
      <c r="M4369" s="41" t="str"/>
      <c r="N4369" s="41" t="str"/>
      <c r="O4369" s="41" t="str"/>
      <c r="P4369" s="41" t="str"/>
      <c r="Q4369" s="41" t="str"/>
      <c r="R4369" s="41" t="str"/>
      <c r="S4369" s="41" t="str"/>
      <c r="T4369" s="41" t="str"/>
      <c r="U4369" s="41" t="str"/>
      <c r="V4369" s="41" t="str"/>
      <c r="W4369" s="41" t="str"/>
    </row>
    <row r="4370">
      <c r="B4370" s="2" t="n"/>
      <c r="C4370" s="40" t="n"/>
      <c r="D4370" s="52">
        <f t="array" ref="D4370:W4370">IF(All_Students_Scores!C4368:V4368="","",All_Students_Scores!C4368:V4368)</f>
        <v/>
      </c>
      <c r="E4370" s="57" t="str"/>
      <c r="F4370" s="49" t="str"/>
      <c r="G4370" s="59" t="str"/>
      <c r="H4370" s="64" t="str"/>
      <c r="I4370" s="65" t="str"/>
      <c r="J4370" s="49" t="str"/>
      <c r="K4370" s="41" t="str"/>
      <c r="L4370" s="41" t="str"/>
      <c r="M4370" s="41" t="str"/>
      <c r="N4370" s="41" t="str"/>
      <c r="O4370" s="41" t="str"/>
      <c r="P4370" s="41" t="str"/>
      <c r="Q4370" s="41" t="str"/>
      <c r="R4370" s="41" t="str"/>
      <c r="S4370" s="41" t="str"/>
      <c r="T4370" s="41" t="str"/>
      <c r="U4370" s="41" t="str"/>
      <c r="V4370" s="41" t="str"/>
      <c r="W4370" s="41" t="str"/>
    </row>
    <row r="4371">
      <c r="B4371" s="2" t="n"/>
      <c r="C4371" s="40" t="n"/>
      <c r="D4371" s="52">
        <f t="array" ref="D4371:W4371">IF(All_Students_Scores!C4369:V4369="","",All_Students_Scores!C4369:V4369)</f>
        <v/>
      </c>
      <c r="E4371" s="57" t="str"/>
      <c r="F4371" s="49" t="str"/>
      <c r="G4371" s="59" t="str"/>
      <c r="H4371" s="64" t="str"/>
      <c r="I4371" s="65" t="str"/>
      <c r="J4371" s="49" t="str"/>
      <c r="K4371" s="41" t="str"/>
      <c r="L4371" s="41" t="str"/>
      <c r="M4371" s="41" t="str"/>
      <c r="N4371" s="41" t="str"/>
      <c r="O4371" s="41" t="str"/>
      <c r="P4371" s="41" t="str"/>
      <c r="Q4371" s="41" t="str"/>
      <c r="R4371" s="41" t="str"/>
      <c r="S4371" s="41" t="str"/>
      <c r="T4371" s="41" t="str"/>
      <c r="U4371" s="41" t="str"/>
      <c r="V4371" s="41" t="str"/>
      <c r="W4371" s="41" t="str"/>
    </row>
    <row r="4372">
      <c r="B4372" s="2" t="n"/>
      <c r="C4372" s="40" t="n"/>
      <c r="D4372" s="52">
        <f t="array" ref="D4372:W4372">IF(All_Students_Scores!C4370:V4370="","",All_Students_Scores!C4370:V4370)</f>
        <v/>
      </c>
      <c r="E4372" s="57" t="str"/>
      <c r="F4372" s="49" t="str"/>
      <c r="G4372" s="59" t="str"/>
      <c r="H4372" s="64" t="str"/>
      <c r="I4372" s="65" t="str"/>
      <c r="J4372" s="49" t="str"/>
      <c r="K4372" s="41" t="str"/>
      <c r="L4372" s="41" t="str"/>
      <c r="M4372" s="41" t="str"/>
      <c r="N4372" s="41" t="str"/>
      <c r="O4372" s="41" t="str"/>
      <c r="P4372" s="41" t="str"/>
      <c r="Q4372" s="41" t="str"/>
      <c r="R4372" s="41" t="str"/>
      <c r="S4372" s="41" t="str"/>
      <c r="T4372" s="41" t="str"/>
      <c r="U4372" s="41" t="str"/>
      <c r="V4372" s="41" t="str"/>
      <c r="W4372" s="41" t="str"/>
    </row>
    <row r="4373">
      <c r="B4373" s="2" t="n"/>
      <c r="C4373" s="40" t="n"/>
      <c r="D4373" s="52">
        <f t="array" ref="D4373:W4373">IF(All_Students_Scores!C4371:V4371="","",All_Students_Scores!C4371:V4371)</f>
        <v/>
      </c>
      <c r="E4373" s="57" t="str"/>
      <c r="F4373" s="49" t="str"/>
      <c r="G4373" s="59" t="str"/>
      <c r="H4373" s="64" t="str"/>
      <c r="I4373" s="65" t="str"/>
      <c r="J4373" s="49" t="str"/>
      <c r="K4373" s="41" t="str"/>
      <c r="L4373" s="41" t="str"/>
      <c r="M4373" s="41" t="str"/>
      <c r="N4373" s="41" t="str"/>
      <c r="O4373" s="41" t="str"/>
      <c r="P4373" s="41" t="str"/>
      <c r="Q4373" s="41" t="str"/>
      <c r="R4373" s="41" t="str"/>
      <c r="S4373" s="41" t="str"/>
      <c r="T4373" s="41" t="str"/>
      <c r="U4373" s="41" t="str"/>
      <c r="V4373" s="41" t="str"/>
      <c r="W4373" s="41" t="str"/>
    </row>
    <row r="4374">
      <c r="B4374" s="2" t="n"/>
      <c r="C4374" s="40" t="n"/>
      <c r="D4374" s="52">
        <f t="array" ref="D4374:W4374">IF(All_Students_Scores!C4372:V4372="","",All_Students_Scores!C4372:V4372)</f>
        <v/>
      </c>
      <c r="E4374" s="57" t="str"/>
      <c r="F4374" s="49" t="str"/>
      <c r="G4374" s="59" t="str"/>
      <c r="H4374" s="64" t="str"/>
      <c r="I4374" s="65" t="str"/>
      <c r="J4374" s="49" t="str"/>
      <c r="K4374" s="41" t="str"/>
      <c r="L4374" s="41" t="str"/>
      <c r="M4374" s="41" t="str"/>
      <c r="N4374" s="41" t="str"/>
      <c r="O4374" s="41" t="str"/>
      <c r="P4374" s="41" t="str"/>
      <c r="Q4374" s="41" t="str"/>
      <c r="R4374" s="41" t="str"/>
      <c r="S4374" s="41" t="str"/>
      <c r="T4374" s="41" t="str"/>
      <c r="U4374" s="41" t="str"/>
      <c r="V4374" s="41" t="str"/>
      <c r="W4374" s="41" t="str"/>
    </row>
    <row r="4375">
      <c r="B4375" s="2" t="n"/>
      <c r="C4375" s="40" t="n"/>
      <c r="D4375" s="52">
        <f t="array" ref="D4375:W4375">IF(All_Students_Scores!C4373:V4373="","",All_Students_Scores!C4373:V4373)</f>
        <v/>
      </c>
      <c r="E4375" s="57" t="str"/>
      <c r="F4375" s="49" t="str"/>
      <c r="G4375" s="59" t="str"/>
      <c r="H4375" s="64" t="str"/>
      <c r="I4375" s="65" t="str"/>
      <c r="J4375" s="49" t="str"/>
      <c r="K4375" s="41" t="str"/>
      <c r="L4375" s="41" t="str"/>
      <c r="M4375" s="41" t="str"/>
      <c r="N4375" s="41" t="str"/>
      <c r="O4375" s="41" t="str"/>
      <c r="P4375" s="41" t="str"/>
      <c r="Q4375" s="41" t="str"/>
      <c r="R4375" s="41" t="str"/>
      <c r="S4375" s="41" t="str"/>
      <c r="T4375" s="41" t="str"/>
      <c r="U4375" s="41" t="str"/>
      <c r="V4375" s="41" t="str"/>
      <c r="W4375" s="41" t="str"/>
    </row>
    <row r="4376">
      <c r="B4376" s="2" t="n"/>
      <c r="C4376" s="40" t="n"/>
      <c r="D4376" s="52">
        <f t="array" ref="D4376:W4376">IF(All_Students_Scores!C4374:V4374="","",All_Students_Scores!C4374:V4374)</f>
        <v/>
      </c>
      <c r="E4376" s="57" t="str"/>
      <c r="F4376" s="49" t="str"/>
      <c r="G4376" s="59" t="str"/>
      <c r="H4376" s="64" t="str"/>
      <c r="I4376" s="65" t="str"/>
      <c r="J4376" s="49" t="str"/>
      <c r="K4376" s="41" t="str"/>
      <c r="L4376" s="41" t="str"/>
      <c r="M4376" s="41" t="str"/>
      <c r="N4376" s="41" t="str"/>
      <c r="O4376" s="41" t="str"/>
      <c r="P4376" s="41" t="str"/>
      <c r="Q4376" s="41" t="str"/>
      <c r="R4376" s="41" t="str"/>
      <c r="S4376" s="41" t="str"/>
      <c r="T4376" s="41" t="str"/>
      <c r="U4376" s="41" t="str"/>
      <c r="V4376" s="41" t="str"/>
      <c r="W4376" s="41" t="str"/>
    </row>
    <row r="4377">
      <c r="B4377" s="2" t="n"/>
      <c r="C4377" s="40" t="n"/>
      <c r="D4377" s="52">
        <f t="array" ref="D4377:W4377">IF(All_Students_Scores!C4375:V4375="","",All_Students_Scores!C4375:V4375)</f>
        <v/>
      </c>
      <c r="E4377" s="57" t="str"/>
      <c r="F4377" s="49" t="str"/>
      <c r="G4377" s="59" t="str"/>
      <c r="H4377" s="64" t="str"/>
      <c r="I4377" s="65" t="str"/>
      <c r="J4377" s="49" t="str"/>
      <c r="K4377" s="41" t="str"/>
      <c r="L4377" s="41" t="str"/>
      <c r="M4377" s="41" t="str"/>
      <c r="N4377" s="41" t="str"/>
      <c r="O4377" s="41" t="str"/>
      <c r="P4377" s="41" t="str"/>
      <c r="Q4377" s="41" t="str"/>
      <c r="R4377" s="41" t="str"/>
      <c r="S4377" s="41" t="str"/>
      <c r="T4377" s="41" t="str"/>
      <c r="U4377" s="41" t="str"/>
      <c r="V4377" s="41" t="str"/>
      <c r="W4377" s="41" t="str"/>
    </row>
    <row r="4378">
      <c r="B4378" s="2" t="n"/>
      <c r="C4378" s="40" t="n"/>
      <c r="D4378" s="52">
        <f t="array" ref="D4378:W4378">IF(All_Students_Scores!C4376:V4376="","",All_Students_Scores!C4376:V4376)</f>
        <v/>
      </c>
      <c r="E4378" s="57" t="str"/>
      <c r="F4378" s="49" t="str"/>
      <c r="G4378" s="59" t="str"/>
      <c r="H4378" s="64" t="str"/>
      <c r="I4378" s="65" t="str"/>
      <c r="J4378" s="49" t="str"/>
      <c r="K4378" s="41" t="str"/>
      <c r="L4378" s="41" t="str"/>
      <c r="M4378" s="41" t="str"/>
      <c r="N4378" s="41" t="str"/>
      <c r="O4378" s="41" t="str"/>
      <c r="P4378" s="41" t="str"/>
      <c r="Q4378" s="41" t="str"/>
      <c r="R4378" s="41" t="str"/>
      <c r="S4378" s="41" t="str"/>
      <c r="T4378" s="41" t="str"/>
      <c r="U4378" s="41" t="str"/>
      <c r="V4378" s="41" t="str"/>
      <c r="W4378" s="41" t="str"/>
    </row>
    <row r="4379">
      <c r="B4379" s="2" t="n"/>
      <c r="C4379" s="40" t="n"/>
      <c r="D4379" s="52">
        <f t="array" ref="D4379:W4379">IF(All_Students_Scores!C4377:V4377="","",All_Students_Scores!C4377:V4377)</f>
        <v/>
      </c>
      <c r="E4379" s="57" t="str"/>
      <c r="F4379" s="49" t="str"/>
      <c r="G4379" s="59" t="str"/>
      <c r="H4379" s="64" t="str"/>
      <c r="I4379" s="65" t="str"/>
      <c r="J4379" s="49" t="str"/>
      <c r="K4379" s="41" t="str"/>
      <c r="L4379" s="41" t="str"/>
      <c r="M4379" s="41" t="str"/>
      <c r="N4379" s="41" t="str"/>
      <c r="O4379" s="41" t="str"/>
      <c r="P4379" s="41" t="str"/>
      <c r="Q4379" s="41" t="str"/>
      <c r="R4379" s="41" t="str"/>
      <c r="S4379" s="41" t="str"/>
      <c r="T4379" s="41" t="str"/>
      <c r="U4379" s="41" t="str"/>
      <c r="V4379" s="41" t="str"/>
      <c r="W4379" s="41" t="str"/>
    </row>
    <row r="4380">
      <c r="B4380" s="2" t="n"/>
      <c r="C4380" s="40" t="n"/>
      <c r="D4380" s="52">
        <f t="array" ref="D4380:W4380">IF(All_Students_Scores!C4378:V4378="","",All_Students_Scores!C4378:V4378)</f>
        <v/>
      </c>
      <c r="E4380" s="57" t="str"/>
      <c r="F4380" s="49" t="str"/>
      <c r="G4380" s="59" t="str"/>
      <c r="H4380" s="64" t="str"/>
      <c r="I4380" s="65" t="str"/>
      <c r="J4380" s="49" t="str"/>
      <c r="K4380" s="41" t="str"/>
      <c r="L4380" s="41" t="str"/>
      <c r="M4380" s="41" t="str"/>
      <c r="N4380" s="41" t="str"/>
      <c r="O4380" s="41" t="str"/>
      <c r="P4380" s="41" t="str"/>
      <c r="Q4380" s="41" t="str"/>
      <c r="R4380" s="41" t="str"/>
      <c r="S4380" s="41" t="str"/>
      <c r="T4380" s="41" t="str"/>
      <c r="U4380" s="41" t="str"/>
      <c r="V4380" s="41" t="str"/>
      <c r="W4380" s="41" t="str"/>
    </row>
    <row r="4381">
      <c r="B4381" s="2" t="n"/>
      <c r="C4381" s="40" t="n"/>
      <c r="D4381" s="52">
        <f t="array" ref="D4381:W4381">IF(All_Students_Scores!C4379:V4379="","",All_Students_Scores!C4379:V4379)</f>
        <v/>
      </c>
      <c r="E4381" s="57" t="str"/>
      <c r="F4381" s="49" t="str"/>
      <c r="G4381" s="59" t="str"/>
      <c r="H4381" s="64" t="str"/>
      <c r="I4381" s="65" t="str"/>
      <c r="J4381" s="49" t="str"/>
      <c r="K4381" s="41" t="str"/>
      <c r="L4381" s="41" t="str"/>
      <c r="M4381" s="41" t="str"/>
      <c r="N4381" s="41" t="str"/>
      <c r="O4381" s="41" t="str"/>
      <c r="P4381" s="41" t="str"/>
      <c r="Q4381" s="41" t="str"/>
      <c r="R4381" s="41" t="str"/>
      <c r="S4381" s="41" t="str"/>
      <c r="T4381" s="41" t="str"/>
      <c r="U4381" s="41" t="str"/>
      <c r="V4381" s="41" t="str"/>
      <c r="W4381" s="41" t="str"/>
    </row>
    <row r="4382">
      <c r="B4382" s="2" t="n"/>
      <c r="C4382" s="40" t="n"/>
      <c r="D4382" s="52">
        <f t="array" ref="D4382:W4382">IF(All_Students_Scores!C4380:V4380="","",All_Students_Scores!C4380:V4380)</f>
        <v/>
      </c>
      <c r="E4382" s="57" t="str"/>
      <c r="F4382" s="49" t="str"/>
      <c r="G4382" s="59" t="str"/>
      <c r="H4382" s="64" t="str"/>
      <c r="I4382" s="65" t="str"/>
      <c r="J4382" s="49" t="str"/>
      <c r="K4382" s="41" t="str"/>
      <c r="L4382" s="41" t="str"/>
      <c r="M4382" s="41" t="str"/>
      <c r="N4382" s="41" t="str"/>
      <c r="O4382" s="41" t="str"/>
      <c r="P4382" s="41" t="str"/>
      <c r="Q4382" s="41" t="str"/>
      <c r="R4382" s="41" t="str"/>
      <c r="S4382" s="41" t="str"/>
      <c r="T4382" s="41" t="str"/>
      <c r="U4382" s="41" t="str"/>
      <c r="V4382" s="41" t="str"/>
      <c r="W4382" s="41" t="str"/>
    </row>
    <row r="4383">
      <c r="B4383" s="2" t="n"/>
      <c r="C4383" s="40" t="n"/>
      <c r="D4383" s="52">
        <f t="array" ref="D4383:W4383">IF(All_Students_Scores!C4381:V4381="","",All_Students_Scores!C4381:V4381)</f>
        <v/>
      </c>
      <c r="E4383" s="57" t="str"/>
      <c r="F4383" s="49" t="str"/>
      <c r="G4383" s="59" t="str"/>
      <c r="H4383" s="64" t="str"/>
      <c r="I4383" s="65" t="str"/>
      <c r="J4383" s="49" t="str"/>
      <c r="K4383" s="41" t="str"/>
      <c r="L4383" s="41" t="str"/>
      <c r="M4383" s="41" t="str"/>
      <c r="N4383" s="41" t="str"/>
      <c r="O4383" s="41" t="str"/>
      <c r="P4383" s="41" t="str"/>
      <c r="Q4383" s="41" t="str"/>
      <c r="R4383" s="41" t="str"/>
      <c r="S4383" s="41" t="str"/>
      <c r="T4383" s="41" t="str"/>
      <c r="U4383" s="41" t="str"/>
      <c r="V4383" s="41" t="str"/>
      <c r="W4383" s="41" t="str"/>
    </row>
    <row r="4384">
      <c r="B4384" s="2" t="n"/>
      <c r="C4384" s="40" t="n"/>
      <c r="D4384" s="52">
        <f t="array" ref="D4384:W4384">IF(All_Students_Scores!C4382:V4382="","",All_Students_Scores!C4382:V4382)</f>
        <v/>
      </c>
      <c r="E4384" s="57" t="str"/>
      <c r="F4384" s="49" t="str"/>
      <c r="G4384" s="59" t="str"/>
      <c r="H4384" s="64" t="str"/>
      <c r="I4384" s="65" t="str"/>
      <c r="J4384" s="49" t="str"/>
      <c r="K4384" s="41" t="str"/>
      <c r="L4384" s="41" t="str"/>
      <c r="M4384" s="41" t="str"/>
      <c r="N4384" s="41" t="str"/>
      <c r="O4384" s="41" t="str"/>
      <c r="P4384" s="41" t="str"/>
      <c r="Q4384" s="41" t="str"/>
      <c r="R4384" s="41" t="str"/>
      <c r="S4384" s="41" t="str"/>
      <c r="T4384" s="41" t="str"/>
      <c r="U4384" s="41" t="str"/>
      <c r="V4384" s="41" t="str"/>
      <c r="W4384" s="41" t="str"/>
    </row>
    <row r="4385">
      <c r="B4385" s="2" t="n"/>
      <c r="C4385" s="40" t="n"/>
      <c r="D4385" s="52">
        <f t="array" ref="D4385:W4385">IF(All_Students_Scores!C4383:V4383="","",All_Students_Scores!C4383:V4383)</f>
        <v/>
      </c>
      <c r="E4385" s="57" t="str"/>
      <c r="F4385" s="49" t="str"/>
      <c r="G4385" s="59" t="str"/>
      <c r="H4385" s="64" t="str"/>
      <c r="I4385" s="65" t="str"/>
      <c r="J4385" s="49" t="str"/>
      <c r="K4385" s="41" t="str"/>
      <c r="L4385" s="41" t="str"/>
      <c r="M4385" s="41" t="str"/>
      <c r="N4385" s="41" t="str"/>
      <c r="O4385" s="41" t="str"/>
      <c r="P4385" s="41" t="str"/>
      <c r="Q4385" s="41" t="str"/>
      <c r="R4385" s="41" t="str"/>
      <c r="S4385" s="41" t="str"/>
      <c r="T4385" s="41" t="str"/>
      <c r="U4385" s="41" t="str"/>
      <c r="V4385" s="41" t="str"/>
      <c r="W4385" s="41" t="str"/>
    </row>
    <row r="4386">
      <c r="B4386" s="2" t="n"/>
      <c r="C4386" s="40" t="n"/>
      <c r="D4386" s="52">
        <f t="array" ref="D4386:W4386">IF(All_Students_Scores!C4384:V4384="","",All_Students_Scores!C4384:V4384)</f>
        <v/>
      </c>
      <c r="E4386" s="57" t="str"/>
      <c r="F4386" s="49" t="str"/>
      <c r="G4386" s="59" t="str"/>
      <c r="H4386" s="64" t="str"/>
      <c r="I4386" s="65" t="str"/>
      <c r="J4386" s="49" t="str"/>
      <c r="K4386" s="41" t="str"/>
      <c r="L4386" s="41" t="str"/>
      <c r="M4386" s="41" t="str"/>
      <c r="N4386" s="41" t="str"/>
      <c r="O4386" s="41" t="str"/>
      <c r="P4386" s="41" t="str"/>
      <c r="Q4386" s="41" t="str"/>
      <c r="R4386" s="41" t="str"/>
      <c r="S4386" s="41" t="str"/>
      <c r="T4386" s="41" t="str"/>
      <c r="U4386" s="41" t="str"/>
      <c r="V4386" s="41" t="str"/>
      <c r="W4386" s="41" t="str"/>
    </row>
    <row r="4387">
      <c r="B4387" s="2" t="n"/>
      <c r="C4387" s="40" t="n"/>
      <c r="D4387" s="52">
        <f t="array" ref="D4387:W4387">IF(All_Students_Scores!C4385:V4385="","",All_Students_Scores!C4385:V4385)</f>
        <v/>
      </c>
      <c r="E4387" s="57" t="str"/>
      <c r="F4387" s="49" t="str"/>
      <c r="G4387" s="59" t="str"/>
      <c r="H4387" s="64" t="str"/>
      <c r="I4387" s="65" t="str"/>
      <c r="J4387" s="49" t="str"/>
      <c r="K4387" s="41" t="str"/>
      <c r="L4387" s="41" t="str"/>
      <c r="M4387" s="41" t="str"/>
      <c r="N4387" s="41" t="str"/>
      <c r="O4387" s="41" t="str"/>
      <c r="P4387" s="41" t="str"/>
      <c r="Q4387" s="41" t="str"/>
      <c r="R4387" s="41" t="str"/>
      <c r="S4387" s="41" t="str"/>
      <c r="T4387" s="41" t="str"/>
      <c r="U4387" s="41" t="str"/>
      <c r="V4387" s="41" t="str"/>
      <c r="W4387" s="41" t="str"/>
    </row>
    <row r="4388">
      <c r="B4388" s="2" t="n"/>
      <c r="C4388" s="40" t="n"/>
      <c r="D4388" s="52">
        <f t="array" ref="D4388:W4388">IF(All_Students_Scores!C4386:V4386="","",All_Students_Scores!C4386:V4386)</f>
        <v/>
      </c>
      <c r="E4388" s="57" t="str"/>
      <c r="F4388" s="49" t="str"/>
      <c r="G4388" s="59" t="str"/>
      <c r="H4388" s="64" t="str"/>
      <c r="I4388" s="65" t="str"/>
      <c r="J4388" s="49" t="str"/>
      <c r="K4388" s="41" t="str"/>
      <c r="L4388" s="41" t="str"/>
      <c r="M4388" s="41" t="str"/>
      <c r="N4388" s="41" t="str"/>
      <c r="O4388" s="41" t="str"/>
      <c r="P4388" s="41" t="str"/>
      <c r="Q4388" s="41" t="str"/>
      <c r="R4388" s="41" t="str"/>
      <c r="S4388" s="41" t="str"/>
      <c r="T4388" s="41" t="str"/>
      <c r="U4388" s="41" t="str"/>
      <c r="V4388" s="41" t="str"/>
      <c r="W4388" s="41" t="str"/>
    </row>
    <row r="4389">
      <c r="B4389" s="2" t="n"/>
      <c r="C4389" s="40" t="n"/>
      <c r="D4389" s="52">
        <f t="array" ref="D4389:W4389">IF(All_Students_Scores!C4387:V4387="","",All_Students_Scores!C4387:V4387)</f>
        <v/>
      </c>
      <c r="E4389" s="57" t="str"/>
      <c r="F4389" s="49" t="str"/>
      <c r="G4389" s="59" t="str"/>
      <c r="H4389" s="64" t="str"/>
      <c r="I4389" s="65" t="str"/>
      <c r="J4389" s="49" t="str"/>
      <c r="K4389" s="41" t="str"/>
      <c r="L4389" s="41" t="str"/>
      <c r="M4389" s="41" t="str"/>
      <c r="N4389" s="41" t="str"/>
      <c r="O4389" s="41" t="str"/>
      <c r="P4389" s="41" t="str"/>
      <c r="Q4389" s="41" t="str"/>
      <c r="R4389" s="41" t="str"/>
      <c r="S4389" s="41" t="str"/>
      <c r="T4389" s="41" t="str"/>
      <c r="U4389" s="41" t="str"/>
      <c r="V4389" s="41" t="str"/>
      <c r="W4389" s="41" t="str"/>
    </row>
    <row r="4390">
      <c r="B4390" s="2" t="n"/>
      <c r="C4390" s="40" t="n"/>
      <c r="D4390" s="52">
        <f t="array" ref="D4390:W4390">IF(All_Students_Scores!C4388:V4388="","",All_Students_Scores!C4388:V4388)</f>
        <v/>
      </c>
      <c r="E4390" s="57" t="str"/>
      <c r="F4390" s="49" t="str"/>
      <c r="G4390" s="59" t="str"/>
      <c r="H4390" s="64" t="str"/>
      <c r="I4390" s="65" t="str"/>
      <c r="J4390" s="49" t="str"/>
      <c r="K4390" s="41" t="str"/>
      <c r="L4390" s="41" t="str"/>
      <c r="M4390" s="41" t="str"/>
      <c r="N4390" s="41" t="str"/>
      <c r="O4390" s="41" t="str"/>
      <c r="P4390" s="41" t="str"/>
      <c r="Q4390" s="41" t="str"/>
      <c r="R4390" s="41" t="str"/>
      <c r="S4390" s="41" t="str"/>
      <c r="T4390" s="41" t="str"/>
      <c r="U4390" s="41" t="str"/>
      <c r="V4390" s="41" t="str"/>
      <c r="W4390" s="41" t="str"/>
    </row>
    <row r="4391">
      <c r="B4391" s="2" t="n"/>
      <c r="C4391" s="40" t="n"/>
      <c r="D4391" s="52">
        <f t="array" ref="D4391:W4391">IF(All_Students_Scores!C4389:V4389="","",All_Students_Scores!C4389:V4389)</f>
        <v/>
      </c>
      <c r="E4391" s="57" t="str"/>
      <c r="F4391" s="49" t="str"/>
      <c r="G4391" s="59" t="str"/>
      <c r="H4391" s="64" t="str"/>
      <c r="I4391" s="65" t="str"/>
      <c r="J4391" s="49" t="str"/>
      <c r="K4391" s="41" t="str"/>
      <c r="L4391" s="41" t="str"/>
      <c r="M4391" s="41" t="str"/>
      <c r="N4391" s="41" t="str"/>
      <c r="O4391" s="41" t="str"/>
      <c r="P4391" s="41" t="str"/>
      <c r="Q4391" s="41" t="str"/>
      <c r="R4391" s="41" t="str"/>
      <c r="S4391" s="41" t="str"/>
      <c r="T4391" s="41" t="str"/>
      <c r="U4391" s="41" t="str"/>
      <c r="V4391" s="41" t="str"/>
      <c r="W4391" s="41" t="str"/>
    </row>
    <row r="4392">
      <c r="B4392" s="2" t="n"/>
      <c r="C4392" s="40" t="n"/>
      <c r="D4392" s="52">
        <f t="array" ref="D4392:W4392">IF(All_Students_Scores!C4390:V4390="","",All_Students_Scores!C4390:V4390)</f>
        <v/>
      </c>
      <c r="E4392" s="57" t="str"/>
      <c r="F4392" s="49" t="str"/>
      <c r="G4392" s="59" t="str"/>
      <c r="H4392" s="64" t="str"/>
      <c r="I4392" s="65" t="str"/>
      <c r="J4392" s="49" t="str"/>
      <c r="K4392" s="41" t="str"/>
      <c r="L4392" s="41" t="str"/>
      <c r="M4392" s="41" t="str"/>
      <c r="N4392" s="41" t="str"/>
      <c r="O4392" s="41" t="str"/>
      <c r="P4392" s="41" t="str"/>
      <c r="Q4392" s="41" t="str"/>
      <c r="R4392" s="41" t="str"/>
      <c r="S4392" s="41" t="str"/>
      <c r="T4392" s="41" t="str"/>
      <c r="U4392" s="41" t="str"/>
      <c r="V4392" s="41" t="str"/>
      <c r="W4392" s="41" t="str"/>
    </row>
    <row r="4393">
      <c r="B4393" s="2" t="n"/>
      <c r="C4393" s="40" t="n"/>
      <c r="D4393" s="52">
        <f t="array" ref="D4393:W4393">IF(All_Students_Scores!C4391:V4391="","",All_Students_Scores!C4391:V4391)</f>
        <v/>
      </c>
      <c r="E4393" s="57" t="str"/>
      <c r="F4393" s="49" t="str"/>
      <c r="G4393" s="59" t="str"/>
      <c r="H4393" s="64" t="str"/>
      <c r="I4393" s="65" t="str"/>
      <c r="J4393" s="49" t="str"/>
      <c r="K4393" s="41" t="str"/>
      <c r="L4393" s="41" t="str"/>
      <c r="M4393" s="41" t="str"/>
      <c r="N4393" s="41" t="str"/>
      <c r="O4393" s="41" t="str"/>
      <c r="P4393" s="41" t="str"/>
      <c r="Q4393" s="41" t="str"/>
      <c r="R4393" s="41" t="str"/>
      <c r="S4393" s="41" t="str"/>
      <c r="T4393" s="41" t="str"/>
      <c r="U4393" s="41" t="str"/>
      <c r="V4393" s="41" t="str"/>
      <c r="W4393" s="41" t="str"/>
    </row>
    <row r="4394">
      <c r="B4394" s="2" t="n"/>
      <c r="C4394" s="40" t="n"/>
      <c r="D4394" s="52">
        <f t="array" ref="D4394:W4394">IF(All_Students_Scores!C4392:V4392="","",All_Students_Scores!C4392:V4392)</f>
        <v/>
      </c>
      <c r="E4394" s="57" t="str"/>
      <c r="F4394" s="49" t="str"/>
      <c r="G4394" s="59" t="str"/>
      <c r="H4394" s="64" t="str"/>
      <c r="I4394" s="65" t="str"/>
      <c r="J4394" s="49" t="str"/>
      <c r="K4394" s="41" t="str"/>
      <c r="L4394" s="41" t="str"/>
      <c r="M4394" s="41" t="str"/>
      <c r="N4394" s="41" t="str"/>
      <c r="O4394" s="41" t="str"/>
      <c r="P4394" s="41" t="str"/>
      <c r="Q4394" s="41" t="str"/>
      <c r="R4394" s="41" t="str"/>
      <c r="S4394" s="41" t="str"/>
      <c r="T4394" s="41" t="str"/>
      <c r="U4394" s="41" t="str"/>
      <c r="V4394" s="41" t="str"/>
      <c r="W4394" s="41" t="str"/>
    </row>
    <row r="4395">
      <c r="B4395" s="2" t="n"/>
      <c r="C4395" s="40" t="n"/>
      <c r="D4395" s="52">
        <f t="array" ref="D4395:W4395">IF(All_Students_Scores!C4393:V4393="","",All_Students_Scores!C4393:V4393)</f>
        <v/>
      </c>
      <c r="E4395" s="57" t="str"/>
      <c r="F4395" s="49" t="str"/>
      <c r="G4395" s="59" t="str"/>
      <c r="H4395" s="64" t="str"/>
      <c r="I4395" s="65" t="str"/>
      <c r="J4395" s="49" t="str"/>
      <c r="K4395" s="41" t="str"/>
      <c r="L4395" s="41" t="str"/>
      <c r="M4395" s="41" t="str"/>
      <c r="N4395" s="41" t="str"/>
      <c r="O4395" s="41" t="str"/>
      <c r="P4395" s="41" t="str"/>
      <c r="Q4395" s="41" t="str"/>
      <c r="R4395" s="41" t="str"/>
      <c r="S4395" s="41" t="str"/>
      <c r="T4395" s="41" t="str"/>
      <c r="U4395" s="41" t="str"/>
      <c r="V4395" s="41" t="str"/>
      <c r="W4395" s="41" t="str"/>
    </row>
    <row r="4396">
      <c r="B4396" s="2" t="n"/>
      <c r="C4396" s="40" t="n"/>
      <c r="D4396" s="52">
        <f t="array" ref="D4396:W4396">IF(All_Students_Scores!C4394:V4394="","",All_Students_Scores!C4394:V4394)</f>
        <v/>
      </c>
      <c r="E4396" s="57" t="str"/>
      <c r="F4396" s="49" t="str"/>
      <c r="G4396" s="59" t="str"/>
      <c r="H4396" s="64" t="str"/>
      <c r="I4396" s="65" t="str"/>
      <c r="J4396" s="49" t="str"/>
      <c r="K4396" s="41" t="str"/>
      <c r="L4396" s="41" t="str"/>
      <c r="M4396" s="41" t="str"/>
      <c r="N4396" s="41" t="str"/>
      <c r="O4396" s="41" t="str"/>
      <c r="P4396" s="41" t="str"/>
      <c r="Q4396" s="41" t="str"/>
      <c r="R4396" s="41" t="str"/>
      <c r="S4396" s="41" t="str"/>
      <c r="T4396" s="41" t="str"/>
      <c r="U4396" s="41" t="str"/>
      <c r="V4396" s="41" t="str"/>
      <c r="W4396" s="41" t="str"/>
    </row>
    <row r="4397">
      <c r="B4397" s="2" t="n"/>
      <c r="C4397" s="40" t="n"/>
      <c r="D4397" s="52">
        <f t="array" ref="D4397:W4397">IF(All_Students_Scores!C4395:V4395="","",All_Students_Scores!C4395:V4395)</f>
        <v/>
      </c>
      <c r="E4397" s="57" t="str"/>
      <c r="F4397" s="49" t="str"/>
      <c r="G4397" s="59" t="str"/>
      <c r="H4397" s="64" t="str"/>
      <c r="I4397" s="65" t="str"/>
      <c r="J4397" s="49" t="str"/>
      <c r="K4397" s="41" t="str"/>
      <c r="L4397" s="41" t="str"/>
      <c r="M4397" s="41" t="str"/>
      <c r="N4397" s="41" t="str"/>
      <c r="O4397" s="41" t="str"/>
      <c r="P4397" s="41" t="str"/>
      <c r="Q4397" s="41" t="str"/>
      <c r="R4397" s="41" t="str"/>
      <c r="S4397" s="41" t="str"/>
      <c r="T4397" s="41" t="str"/>
      <c r="U4397" s="41" t="str"/>
      <c r="V4397" s="41" t="str"/>
      <c r="W4397" s="41" t="str"/>
    </row>
    <row r="4398">
      <c r="B4398" s="2" t="n"/>
      <c r="C4398" s="40" t="n"/>
      <c r="D4398" s="52">
        <f t="array" ref="D4398:W4398">IF(All_Students_Scores!C4396:V4396="","",All_Students_Scores!C4396:V4396)</f>
        <v/>
      </c>
      <c r="E4398" s="57" t="str"/>
      <c r="F4398" s="49" t="str"/>
      <c r="G4398" s="59" t="str"/>
      <c r="H4398" s="64" t="str"/>
      <c r="I4398" s="65" t="str"/>
      <c r="J4398" s="49" t="str"/>
      <c r="K4398" s="41" t="str"/>
      <c r="L4398" s="41" t="str"/>
      <c r="M4398" s="41" t="str"/>
      <c r="N4398" s="41" t="str"/>
      <c r="O4398" s="41" t="str"/>
      <c r="P4398" s="41" t="str"/>
      <c r="Q4398" s="41" t="str"/>
      <c r="R4398" s="41" t="str"/>
      <c r="S4398" s="41" t="str"/>
      <c r="T4398" s="41" t="str"/>
      <c r="U4398" s="41" t="str"/>
      <c r="V4398" s="41" t="str"/>
      <c r="W4398" s="41" t="str"/>
    </row>
    <row r="4399">
      <c r="B4399" s="2" t="n"/>
      <c r="C4399" s="40" t="n"/>
      <c r="D4399" s="52">
        <f t="array" ref="D4399:W4399">IF(All_Students_Scores!C4397:V4397="","",All_Students_Scores!C4397:V4397)</f>
        <v/>
      </c>
      <c r="E4399" s="57" t="str"/>
      <c r="F4399" s="49" t="str"/>
      <c r="G4399" s="59" t="str"/>
      <c r="H4399" s="64" t="str"/>
      <c r="I4399" s="65" t="str"/>
      <c r="J4399" s="49" t="str"/>
      <c r="K4399" s="41" t="str"/>
      <c r="L4399" s="41" t="str"/>
      <c r="M4399" s="41" t="str"/>
      <c r="N4399" s="41" t="str"/>
      <c r="O4399" s="41" t="str"/>
      <c r="P4399" s="41" t="str"/>
      <c r="Q4399" s="41" t="str"/>
      <c r="R4399" s="41" t="str"/>
      <c r="S4399" s="41" t="str"/>
      <c r="T4399" s="41" t="str"/>
      <c r="U4399" s="41" t="str"/>
      <c r="V4399" s="41" t="str"/>
      <c r="W4399" s="41" t="str"/>
    </row>
    <row r="4400">
      <c r="B4400" s="2" t="n"/>
      <c r="C4400" s="40" t="n"/>
      <c r="D4400" s="52">
        <f t="array" ref="D4400:W4400">IF(All_Students_Scores!C4398:V4398="","",All_Students_Scores!C4398:V4398)</f>
        <v/>
      </c>
      <c r="E4400" s="57" t="str"/>
      <c r="F4400" s="49" t="str"/>
      <c r="G4400" s="59" t="str"/>
      <c r="H4400" s="64" t="str"/>
      <c r="I4400" s="65" t="str"/>
      <c r="J4400" s="49" t="str"/>
      <c r="K4400" s="41" t="str"/>
      <c r="L4400" s="41" t="str"/>
      <c r="M4400" s="41" t="str"/>
      <c r="N4400" s="41" t="str"/>
      <c r="O4400" s="41" t="str"/>
      <c r="P4400" s="41" t="str"/>
      <c r="Q4400" s="41" t="str"/>
      <c r="R4400" s="41" t="str"/>
      <c r="S4400" s="41" t="str"/>
      <c r="T4400" s="41" t="str"/>
      <c r="U4400" s="41" t="str"/>
      <c r="V4400" s="41" t="str"/>
      <c r="W4400" s="41" t="str"/>
    </row>
    <row r="4401">
      <c r="B4401" s="2" t="n"/>
      <c r="C4401" s="40" t="n"/>
      <c r="D4401" s="52">
        <f t="array" ref="D4401:W4401">IF(All_Students_Scores!C4399:V4399="","",All_Students_Scores!C4399:V4399)</f>
        <v/>
      </c>
      <c r="E4401" s="57" t="str"/>
      <c r="F4401" s="49" t="str"/>
      <c r="G4401" s="59" t="str"/>
      <c r="H4401" s="64" t="str"/>
      <c r="I4401" s="65" t="str"/>
      <c r="J4401" s="49" t="str"/>
      <c r="K4401" s="41" t="str"/>
      <c r="L4401" s="41" t="str"/>
      <c r="M4401" s="41" t="str"/>
      <c r="N4401" s="41" t="str"/>
      <c r="O4401" s="41" t="str"/>
      <c r="P4401" s="41" t="str"/>
      <c r="Q4401" s="41" t="str"/>
      <c r="R4401" s="41" t="str"/>
      <c r="S4401" s="41" t="str"/>
      <c r="T4401" s="41" t="str"/>
      <c r="U4401" s="41" t="str"/>
      <c r="V4401" s="41" t="str"/>
      <c r="W4401" s="41" t="str"/>
    </row>
    <row r="4402">
      <c r="B4402" s="2" t="n"/>
      <c r="C4402" s="40" t="n"/>
      <c r="D4402" s="52">
        <f t="array" ref="D4402:W4402">IF(All_Students_Scores!C4400:V4400="","",All_Students_Scores!C4400:V4400)</f>
        <v/>
      </c>
      <c r="E4402" s="57" t="str"/>
      <c r="F4402" s="49" t="str"/>
      <c r="G4402" s="59" t="str"/>
      <c r="H4402" s="64" t="str"/>
      <c r="I4402" s="65" t="str"/>
      <c r="J4402" s="49" t="str"/>
      <c r="K4402" s="41" t="str"/>
      <c r="L4402" s="41" t="str"/>
      <c r="M4402" s="41" t="str"/>
      <c r="N4402" s="41" t="str"/>
      <c r="O4402" s="41" t="str"/>
      <c r="P4402" s="41" t="str"/>
      <c r="Q4402" s="41" t="str"/>
      <c r="R4402" s="41" t="str"/>
      <c r="S4402" s="41" t="str"/>
      <c r="T4402" s="41" t="str"/>
      <c r="U4402" s="41" t="str"/>
      <c r="V4402" s="41" t="str"/>
      <c r="W4402" s="41" t="str"/>
    </row>
    <row r="4403">
      <c r="B4403" s="2" t="n"/>
      <c r="C4403" s="40" t="n"/>
      <c r="D4403" s="52">
        <f t="array" ref="D4403:W4403">IF(All_Students_Scores!C4401:V4401="","",All_Students_Scores!C4401:V4401)</f>
        <v/>
      </c>
      <c r="E4403" s="57" t="str"/>
      <c r="F4403" s="49" t="str"/>
      <c r="G4403" s="59" t="str"/>
      <c r="H4403" s="64" t="str"/>
      <c r="I4403" s="65" t="str"/>
      <c r="J4403" s="49" t="str"/>
      <c r="K4403" s="41" t="str"/>
      <c r="L4403" s="41" t="str"/>
      <c r="M4403" s="41" t="str"/>
      <c r="N4403" s="41" t="str"/>
      <c r="O4403" s="41" t="str"/>
      <c r="P4403" s="41" t="str"/>
      <c r="Q4403" s="41" t="str"/>
      <c r="R4403" s="41" t="str"/>
      <c r="S4403" s="41" t="str"/>
      <c r="T4403" s="41" t="str"/>
      <c r="U4403" s="41" t="str"/>
      <c r="V4403" s="41" t="str"/>
      <c r="W4403" s="41" t="str"/>
    </row>
    <row r="4404">
      <c r="B4404" s="2" t="n"/>
      <c r="C4404" s="40" t="n"/>
      <c r="D4404" s="52">
        <f t="array" ref="D4404:W4404">IF(All_Students_Scores!C4402:V4402="","",All_Students_Scores!C4402:V4402)</f>
        <v/>
      </c>
      <c r="E4404" s="57" t="str"/>
      <c r="F4404" s="49" t="str"/>
      <c r="G4404" s="59" t="str"/>
      <c r="H4404" s="64" t="str"/>
      <c r="I4404" s="65" t="str"/>
      <c r="J4404" s="49" t="str"/>
      <c r="K4404" s="41" t="str"/>
      <c r="L4404" s="41" t="str"/>
      <c r="M4404" s="41" t="str"/>
      <c r="N4404" s="41" t="str"/>
      <c r="O4404" s="41" t="str"/>
      <c r="P4404" s="41" t="str"/>
      <c r="Q4404" s="41" t="str"/>
      <c r="R4404" s="41" t="str"/>
      <c r="S4404" s="41" t="str"/>
      <c r="T4404" s="41" t="str"/>
      <c r="U4404" s="41" t="str"/>
      <c r="V4404" s="41" t="str"/>
      <c r="W4404" s="41" t="str"/>
    </row>
    <row r="4405">
      <c r="B4405" s="2" t="n"/>
      <c r="C4405" s="40" t="n"/>
      <c r="D4405" s="52">
        <f t="array" ref="D4405:W4405">IF(All_Students_Scores!C4403:V4403="","",All_Students_Scores!C4403:V4403)</f>
        <v/>
      </c>
      <c r="E4405" s="57" t="str"/>
      <c r="F4405" s="49" t="str"/>
      <c r="G4405" s="59" t="str"/>
      <c r="H4405" s="64" t="str"/>
      <c r="I4405" s="65" t="str"/>
      <c r="J4405" s="49" t="str"/>
      <c r="K4405" s="41" t="str"/>
      <c r="L4405" s="41" t="str"/>
      <c r="M4405" s="41" t="str"/>
      <c r="N4405" s="41" t="str"/>
      <c r="O4405" s="41" t="str"/>
      <c r="P4405" s="41" t="str"/>
      <c r="Q4405" s="41" t="str"/>
      <c r="R4405" s="41" t="str"/>
      <c r="S4405" s="41" t="str"/>
      <c r="T4405" s="41" t="str"/>
      <c r="U4405" s="41" t="str"/>
      <c r="V4405" s="41" t="str"/>
      <c r="W4405" s="41" t="str"/>
    </row>
    <row r="4406">
      <c r="B4406" s="2" t="n"/>
      <c r="C4406" s="40" t="n"/>
      <c r="D4406" s="52">
        <f t="array" ref="D4406:W4406">IF(All_Students_Scores!C4404:V4404="","",All_Students_Scores!C4404:V4404)</f>
        <v/>
      </c>
      <c r="E4406" s="57" t="str"/>
      <c r="F4406" s="49" t="str"/>
      <c r="G4406" s="59" t="str"/>
      <c r="H4406" s="64" t="str"/>
      <c r="I4406" s="65" t="str"/>
      <c r="J4406" s="49" t="str"/>
      <c r="K4406" s="41" t="str"/>
      <c r="L4406" s="41" t="str"/>
      <c r="M4406" s="41" t="str"/>
      <c r="N4406" s="41" t="str"/>
      <c r="O4406" s="41" t="str"/>
      <c r="P4406" s="41" t="str"/>
      <c r="Q4406" s="41" t="str"/>
      <c r="R4406" s="41" t="str"/>
      <c r="S4406" s="41" t="str"/>
      <c r="T4406" s="41" t="str"/>
      <c r="U4406" s="41" t="str"/>
      <c r="V4406" s="41" t="str"/>
      <c r="W4406" s="41" t="str"/>
    </row>
    <row r="4407">
      <c r="B4407" s="2" t="n"/>
      <c r="C4407" s="40" t="n"/>
      <c r="D4407" s="52">
        <f t="array" ref="D4407:W4407">IF(All_Students_Scores!C4405:V4405="","",All_Students_Scores!C4405:V4405)</f>
        <v/>
      </c>
      <c r="E4407" s="57" t="str"/>
      <c r="F4407" s="49" t="str"/>
      <c r="G4407" s="59" t="str"/>
      <c r="H4407" s="64" t="str"/>
      <c r="I4407" s="65" t="str"/>
      <c r="J4407" s="49" t="str"/>
      <c r="K4407" s="41" t="str"/>
      <c r="L4407" s="41" t="str"/>
      <c r="M4407" s="41" t="str"/>
      <c r="N4407" s="41" t="str"/>
      <c r="O4407" s="41" t="str"/>
      <c r="P4407" s="41" t="str"/>
      <c r="Q4407" s="41" t="str"/>
      <c r="R4407" s="41" t="str"/>
      <c r="S4407" s="41" t="str"/>
      <c r="T4407" s="41" t="str"/>
      <c r="U4407" s="41" t="str"/>
      <c r="V4407" s="41" t="str"/>
      <c r="W4407" s="41" t="str"/>
    </row>
    <row r="4408">
      <c r="B4408" s="2" t="n"/>
      <c r="C4408" s="40" t="n"/>
      <c r="D4408" s="52">
        <f t="array" ref="D4408:W4408">IF(All_Students_Scores!C4406:V4406="","",All_Students_Scores!C4406:V4406)</f>
        <v/>
      </c>
      <c r="E4408" s="57" t="str"/>
      <c r="F4408" s="49" t="str"/>
      <c r="G4408" s="59" t="str"/>
      <c r="H4408" s="64" t="str"/>
      <c r="I4408" s="65" t="str"/>
      <c r="J4408" s="49" t="str"/>
      <c r="K4408" s="41" t="str"/>
      <c r="L4408" s="41" t="str"/>
      <c r="M4408" s="41" t="str"/>
      <c r="N4408" s="41" t="str"/>
      <c r="O4408" s="41" t="str"/>
      <c r="P4408" s="41" t="str"/>
      <c r="Q4408" s="41" t="str"/>
      <c r="R4408" s="41" t="str"/>
      <c r="S4408" s="41" t="str"/>
      <c r="T4408" s="41" t="str"/>
      <c r="U4408" s="41" t="str"/>
      <c r="V4408" s="41" t="str"/>
      <c r="W4408" s="41" t="str"/>
    </row>
    <row r="4409">
      <c r="B4409" s="2" t="n"/>
      <c r="C4409" s="40" t="n"/>
      <c r="D4409" s="52">
        <f t="array" ref="D4409:W4409">IF(All_Students_Scores!C4407:V4407="","",All_Students_Scores!C4407:V4407)</f>
        <v/>
      </c>
      <c r="E4409" s="57" t="str"/>
      <c r="F4409" s="49" t="str"/>
      <c r="G4409" s="59" t="str"/>
      <c r="H4409" s="64" t="str"/>
      <c r="I4409" s="65" t="str"/>
      <c r="J4409" s="49" t="str"/>
      <c r="K4409" s="41" t="str"/>
      <c r="L4409" s="41" t="str"/>
      <c r="M4409" s="41" t="str"/>
      <c r="N4409" s="41" t="str"/>
      <c r="O4409" s="41" t="str"/>
      <c r="P4409" s="41" t="str"/>
      <c r="Q4409" s="41" t="str"/>
      <c r="R4409" s="41" t="str"/>
      <c r="S4409" s="41" t="str"/>
      <c r="T4409" s="41" t="str"/>
      <c r="U4409" s="41" t="str"/>
      <c r="V4409" s="41" t="str"/>
      <c r="W4409" s="41" t="str"/>
    </row>
    <row r="4410">
      <c r="B4410" s="2" t="n"/>
      <c r="C4410" s="40" t="n"/>
      <c r="D4410" s="52">
        <f t="array" ref="D4410:W4410">IF(All_Students_Scores!C4408:V4408="","",All_Students_Scores!C4408:V4408)</f>
        <v/>
      </c>
      <c r="E4410" s="57" t="str"/>
      <c r="F4410" s="49" t="str"/>
      <c r="G4410" s="59" t="str"/>
      <c r="H4410" s="64" t="str"/>
      <c r="I4410" s="65" t="str"/>
      <c r="J4410" s="49" t="str"/>
      <c r="K4410" s="41" t="str"/>
      <c r="L4410" s="41" t="str"/>
      <c r="M4410" s="41" t="str"/>
      <c r="N4410" s="41" t="str"/>
      <c r="O4410" s="41" t="str"/>
      <c r="P4410" s="41" t="str"/>
      <c r="Q4410" s="41" t="str"/>
      <c r="R4410" s="41" t="str"/>
      <c r="S4410" s="41" t="str"/>
      <c r="T4410" s="41" t="str"/>
      <c r="U4410" s="41" t="str"/>
      <c r="V4410" s="41" t="str"/>
      <c r="W4410" s="41" t="str"/>
    </row>
    <row r="4411">
      <c r="B4411" s="2" t="n"/>
      <c r="C4411" s="40" t="n"/>
      <c r="D4411" s="52">
        <f t="array" ref="D4411:W4411">IF(All_Students_Scores!C4409:V4409="","",All_Students_Scores!C4409:V4409)</f>
        <v/>
      </c>
      <c r="E4411" s="57" t="str"/>
      <c r="F4411" s="49" t="str"/>
      <c r="G4411" s="59" t="str"/>
      <c r="H4411" s="64" t="str"/>
      <c r="I4411" s="65" t="str"/>
      <c r="J4411" s="49" t="str"/>
      <c r="K4411" s="41" t="str"/>
      <c r="L4411" s="41" t="str"/>
      <c r="M4411" s="41" t="str"/>
      <c r="N4411" s="41" t="str"/>
      <c r="O4411" s="41" t="str"/>
      <c r="P4411" s="41" t="str"/>
      <c r="Q4411" s="41" t="str"/>
      <c r="R4411" s="41" t="str"/>
      <c r="S4411" s="41" t="str"/>
      <c r="T4411" s="41" t="str"/>
      <c r="U4411" s="41" t="str"/>
      <c r="V4411" s="41" t="str"/>
      <c r="W4411" s="41" t="str"/>
    </row>
    <row r="4412">
      <c r="B4412" s="2" t="n"/>
      <c r="C4412" s="40" t="n"/>
      <c r="D4412" s="52">
        <f t="array" ref="D4412:W4412">IF(All_Students_Scores!C4410:V4410="","",All_Students_Scores!C4410:V4410)</f>
        <v/>
      </c>
      <c r="E4412" s="57" t="str"/>
      <c r="F4412" s="49" t="str"/>
      <c r="G4412" s="59" t="str"/>
      <c r="H4412" s="64" t="str"/>
      <c r="I4412" s="65" t="str"/>
      <c r="J4412" s="49" t="str"/>
      <c r="K4412" s="41" t="str"/>
      <c r="L4412" s="41" t="str"/>
      <c r="M4412" s="41" t="str"/>
      <c r="N4412" s="41" t="str"/>
      <c r="O4412" s="41" t="str"/>
      <c r="P4412" s="41" t="str"/>
      <c r="Q4412" s="41" t="str"/>
      <c r="R4412" s="41" t="str"/>
      <c r="S4412" s="41" t="str"/>
      <c r="T4412" s="41" t="str"/>
      <c r="U4412" s="41" t="str"/>
      <c r="V4412" s="41" t="str"/>
      <c r="W4412" s="41" t="str"/>
    </row>
    <row r="4413">
      <c r="B4413" s="2" t="n"/>
      <c r="C4413" s="40" t="n"/>
      <c r="D4413" s="52">
        <f t="array" ref="D4413:W4413">IF(All_Students_Scores!C4411:V4411="","",All_Students_Scores!C4411:V4411)</f>
        <v/>
      </c>
      <c r="E4413" s="57" t="str"/>
      <c r="F4413" s="49" t="str"/>
      <c r="G4413" s="59" t="str"/>
      <c r="H4413" s="64" t="str"/>
      <c r="I4413" s="65" t="str"/>
      <c r="J4413" s="49" t="str"/>
      <c r="K4413" s="41" t="str"/>
      <c r="L4413" s="41" t="str"/>
      <c r="M4413" s="41" t="str"/>
      <c r="N4413" s="41" t="str"/>
      <c r="O4413" s="41" t="str"/>
      <c r="P4413" s="41" t="str"/>
      <c r="Q4413" s="41" t="str"/>
      <c r="R4413" s="41" t="str"/>
      <c r="S4413" s="41" t="str"/>
      <c r="T4413" s="41" t="str"/>
      <c r="U4413" s="41" t="str"/>
      <c r="V4413" s="41" t="str"/>
      <c r="W4413" s="41" t="str"/>
    </row>
    <row r="4414">
      <c r="B4414" s="2" t="n"/>
      <c r="C4414" s="40" t="n"/>
      <c r="D4414" s="52">
        <f t="array" ref="D4414:W4414">IF(All_Students_Scores!C4412:V4412="","",All_Students_Scores!C4412:V4412)</f>
        <v/>
      </c>
      <c r="E4414" s="57" t="str"/>
      <c r="F4414" s="49" t="str"/>
      <c r="G4414" s="59" t="str"/>
      <c r="H4414" s="64" t="str"/>
      <c r="I4414" s="65" t="str"/>
      <c r="J4414" s="49" t="str"/>
      <c r="K4414" s="41" t="str"/>
      <c r="L4414" s="41" t="str"/>
      <c r="M4414" s="41" t="str"/>
      <c r="N4414" s="41" t="str"/>
      <c r="O4414" s="41" t="str"/>
      <c r="P4414" s="41" t="str"/>
      <c r="Q4414" s="41" t="str"/>
      <c r="R4414" s="41" t="str"/>
      <c r="S4414" s="41" t="str"/>
      <c r="T4414" s="41" t="str"/>
      <c r="U4414" s="41" t="str"/>
      <c r="V4414" s="41" t="str"/>
      <c r="W4414" s="41" t="str"/>
    </row>
    <row r="4415">
      <c r="B4415" s="2" t="n"/>
      <c r="C4415" s="40" t="n"/>
      <c r="D4415" s="52">
        <f t="array" ref="D4415:W4415">IF(All_Students_Scores!C4413:V4413="","",All_Students_Scores!C4413:V4413)</f>
        <v/>
      </c>
      <c r="E4415" s="57" t="str"/>
      <c r="F4415" s="49" t="str"/>
      <c r="G4415" s="59" t="str"/>
      <c r="H4415" s="64" t="str"/>
      <c r="I4415" s="65" t="str"/>
      <c r="J4415" s="49" t="str"/>
      <c r="K4415" s="41" t="str"/>
      <c r="L4415" s="41" t="str"/>
      <c r="M4415" s="41" t="str"/>
      <c r="N4415" s="41" t="str"/>
      <c r="O4415" s="41" t="str"/>
      <c r="P4415" s="41" t="str"/>
      <c r="Q4415" s="41" t="str"/>
      <c r="R4415" s="41" t="str"/>
      <c r="S4415" s="41" t="str"/>
      <c r="T4415" s="41" t="str"/>
      <c r="U4415" s="41" t="str"/>
      <c r="V4415" s="41" t="str"/>
      <c r="W4415" s="41" t="str"/>
    </row>
    <row r="4416">
      <c r="B4416" s="2" t="n"/>
      <c r="C4416" s="40" t="n"/>
      <c r="D4416" s="52">
        <f t="array" ref="D4416:W4416">IF(All_Students_Scores!C4414:V4414="","",All_Students_Scores!C4414:V4414)</f>
        <v/>
      </c>
      <c r="E4416" s="57" t="str"/>
      <c r="F4416" s="49" t="str"/>
      <c r="G4416" s="59" t="str"/>
      <c r="H4416" s="64" t="str"/>
      <c r="I4416" s="65" t="str"/>
      <c r="J4416" s="49" t="str"/>
      <c r="K4416" s="41" t="str"/>
      <c r="L4416" s="41" t="str"/>
      <c r="M4416" s="41" t="str"/>
      <c r="N4416" s="41" t="str"/>
      <c r="O4416" s="41" t="str"/>
      <c r="P4416" s="41" t="str"/>
      <c r="Q4416" s="41" t="str"/>
      <c r="R4416" s="41" t="str"/>
      <c r="S4416" s="41" t="str"/>
      <c r="T4416" s="41" t="str"/>
      <c r="U4416" s="41" t="str"/>
      <c r="V4416" s="41" t="str"/>
      <c r="W4416" s="41" t="str"/>
    </row>
    <row r="4417">
      <c r="B4417" s="2" t="n"/>
      <c r="C4417" s="40" t="n"/>
      <c r="D4417" s="52">
        <f t="array" ref="D4417:W4417">IF(All_Students_Scores!C4415:V4415="","",All_Students_Scores!C4415:V4415)</f>
        <v/>
      </c>
      <c r="E4417" s="57" t="str"/>
      <c r="F4417" s="49" t="str"/>
      <c r="G4417" s="59" t="str"/>
      <c r="H4417" s="64" t="str"/>
      <c r="I4417" s="65" t="str"/>
      <c r="J4417" s="49" t="str"/>
      <c r="K4417" s="41" t="str"/>
      <c r="L4417" s="41" t="str"/>
      <c r="M4417" s="41" t="str"/>
      <c r="N4417" s="41" t="str"/>
      <c r="O4417" s="41" t="str"/>
      <c r="P4417" s="41" t="str"/>
      <c r="Q4417" s="41" t="str"/>
      <c r="R4417" s="41" t="str"/>
      <c r="S4417" s="41" t="str"/>
      <c r="T4417" s="41" t="str"/>
      <c r="U4417" s="41" t="str"/>
      <c r="V4417" s="41" t="str"/>
      <c r="W4417" s="41" t="str"/>
    </row>
    <row r="4418">
      <c r="B4418" s="2" t="n"/>
      <c r="C4418" s="40" t="n"/>
      <c r="D4418" s="52">
        <f t="array" ref="D4418:W4418">IF(All_Students_Scores!C4416:V4416="","",All_Students_Scores!C4416:V4416)</f>
        <v/>
      </c>
      <c r="E4418" s="57" t="str"/>
      <c r="F4418" s="49" t="str"/>
      <c r="G4418" s="59" t="str"/>
      <c r="H4418" s="64" t="str"/>
      <c r="I4418" s="65" t="str"/>
      <c r="J4418" s="49" t="str"/>
      <c r="K4418" s="41" t="str"/>
      <c r="L4418" s="41" t="str"/>
      <c r="M4418" s="41" t="str"/>
      <c r="N4418" s="41" t="str"/>
      <c r="O4418" s="41" t="str"/>
      <c r="P4418" s="41" t="str"/>
      <c r="Q4418" s="41" t="str"/>
      <c r="R4418" s="41" t="str"/>
      <c r="S4418" s="41" t="str"/>
      <c r="T4418" s="41" t="str"/>
      <c r="U4418" s="41" t="str"/>
      <c r="V4418" s="41" t="str"/>
      <c r="W4418" s="41" t="str"/>
    </row>
    <row r="4419">
      <c r="B4419" s="2" t="n"/>
      <c r="C4419" s="40" t="n"/>
      <c r="D4419" s="52">
        <f t="array" ref="D4419:W4419">IF(All_Students_Scores!C4417:V4417="","",All_Students_Scores!C4417:V4417)</f>
        <v/>
      </c>
      <c r="E4419" s="57" t="str"/>
      <c r="F4419" s="49" t="str"/>
      <c r="G4419" s="59" t="str"/>
      <c r="H4419" s="64" t="str"/>
      <c r="I4419" s="65" t="str"/>
      <c r="J4419" s="49" t="str"/>
      <c r="K4419" s="41" t="str"/>
      <c r="L4419" s="41" t="str"/>
      <c r="M4419" s="41" t="str"/>
      <c r="N4419" s="41" t="str"/>
      <c r="O4419" s="41" t="str"/>
      <c r="P4419" s="41" t="str"/>
      <c r="Q4419" s="41" t="str"/>
      <c r="R4419" s="41" t="str"/>
      <c r="S4419" s="41" t="str"/>
      <c r="T4419" s="41" t="str"/>
      <c r="U4419" s="41" t="str"/>
      <c r="V4419" s="41" t="str"/>
      <c r="W4419" s="41" t="str"/>
    </row>
    <row r="4420">
      <c r="B4420" s="2" t="n"/>
      <c r="C4420" s="40" t="n"/>
      <c r="D4420" s="52">
        <f t="array" ref="D4420:W4420">IF(All_Students_Scores!C4418:V4418="","",All_Students_Scores!C4418:V4418)</f>
        <v/>
      </c>
      <c r="E4420" s="57" t="str"/>
      <c r="F4420" s="49" t="str"/>
      <c r="G4420" s="59" t="str"/>
      <c r="H4420" s="64" t="str"/>
      <c r="I4420" s="65" t="str"/>
      <c r="J4420" s="49" t="str"/>
      <c r="K4420" s="41" t="str"/>
      <c r="L4420" s="41" t="str"/>
      <c r="M4420" s="41" t="str"/>
      <c r="N4420" s="41" t="str"/>
      <c r="O4420" s="41" t="str"/>
      <c r="P4420" s="41" t="str"/>
      <c r="Q4420" s="41" t="str"/>
      <c r="R4420" s="41" t="str"/>
      <c r="S4420" s="41" t="str"/>
      <c r="T4420" s="41" t="str"/>
      <c r="U4420" s="41" t="str"/>
      <c r="V4420" s="41" t="str"/>
      <c r="W4420" s="41" t="str"/>
    </row>
    <row r="4421">
      <c r="B4421" s="2" t="n"/>
      <c r="C4421" s="40" t="n"/>
      <c r="D4421" s="52">
        <f t="array" ref="D4421:W4421">IF(All_Students_Scores!C4419:V4419="","",All_Students_Scores!C4419:V4419)</f>
        <v/>
      </c>
      <c r="E4421" s="57" t="str"/>
      <c r="F4421" s="49" t="str"/>
      <c r="G4421" s="59" t="str"/>
      <c r="H4421" s="64" t="str"/>
      <c r="I4421" s="65" t="str"/>
      <c r="J4421" s="49" t="str"/>
      <c r="K4421" s="41" t="str"/>
      <c r="L4421" s="41" t="str"/>
      <c r="M4421" s="41" t="str"/>
      <c r="N4421" s="41" t="str"/>
      <c r="O4421" s="41" t="str"/>
      <c r="P4421" s="41" t="str"/>
      <c r="Q4421" s="41" t="str"/>
      <c r="R4421" s="41" t="str"/>
      <c r="S4421" s="41" t="str"/>
      <c r="T4421" s="41" t="str"/>
      <c r="U4421" s="41" t="str"/>
      <c r="V4421" s="41" t="str"/>
      <c r="W4421" s="41" t="str"/>
    </row>
    <row r="4422">
      <c r="B4422" s="2" t="n"/>
      <c r="C4422" s="40" t="n"/>
      <c r="D4422" s="52">
        <f t="array" ref="D4422:W4422">IF(All_Students_Scores!C4420:V4420="","",All_Students_Scores!C4420:V4420)</f>
        <v/>
      </c>
      <c r="E4422" s="57" t="str"/>
      <c r="F4422" s="49" t="str"/>
      <c r="G4422" s="59" t="str"/>
      <c r="H4422" s="64" t="str"/>
      <c r="I4422" s="65" t="str"/>
      <c r="J4422" s="49" t="str"/>
      <c r="K4422" s="41" t="str"/>
      <c r="L4422" s="41" t="str"/>
      <c r="M4422" s="41" t="str"/>
      <c r="N4422" s="41" t="str"/>
      <c r="O4422" s="41" t="str"/>
      <c r="P4422" s="41" t="str"/>
      <c r="Q4422" s="41" t="str"/>
      <c r="R4422" s="41" t="str"/>
      <c r="S4422" s="41" t="str"/>
      <c r="T4422" s="41" t="str"/>
      <c r="U4422" s="41" t="str"/>
      <c r="V4422" s="41" t="str"/>
      <c r="W4422" s="41" t="str"/>
    </row>
    <row r="4423">
      <c r="B4423" s="2" t="n"/>
      <c r="C4423" s="40" t="n"/>
      <c r="D4423" s="52">
        <f t="array" ref="D4423:W4423">IF(All_Students_Scores!C4421:V4421="","",All_Students_Scores!C4421:V4421)</f>
        <v/>
      </c>
      <c r="E4423" s="57" t="str"/>
      <c r="F4423" s="49" t="str"/>
      <c r="G4423" s="59" t="str"/>
      <c r="H4423" s="64" t="str"/>
      <c r="I4423" s="65" t="str"/>
      <c r="J4423" s="49" t="str"/>
      <c r="K4423" s="41" t="str"/>
      <c r="L4423" s="41" t="str"/>
      <c r="M4423" s="41" t="str"/>
      <c r="N4423" s="41" t="str"/>
      <c r="O4423" s="41" t="str"/>
      <c r="P4423" s="41" t="str"/>
      <c r="Q4423" s="41" t="str"/>
      <c r="R4423" s="41" t="str"/>
      <c r="S4423" s="41" t="str"/>
      <c r="T4423" s="41" t="str"/>
      <c r="U4423" s="41" t="str"/>
      <c r="V4423" s="41" t="str"/>
      <c r="W4423" s="41" t="str"/>
    </row>
    <row r="4424">
      <c r="B4424" s="2" t="n"/>
      <c r="C4424" s="40" t="n"/>
      <c r="D4424" s="52">
        <f t="array" ref="D4424:W4424">IF(All_Students_Scores!C4422:V4422="","",All_Students_Scores!C4422:V4422)</f>
        <v/>
      </c>
      <c r="E4424" s="57" t="str"/>
      <c r="F4424" s="49" t="str"/>
      <c r="G4424" s="59" t="str"/>
      <c r="H4424" s="64" t="str"/>
      <c r="I4424" s="65" t="str"/>
      <c r="J4424" s="49" t="str"/>
      <c r="K4424" s="41" t="str"/>
      <c r="L4424" s="41" t="str"/>
      <c r="M4424" s="41" t="str"/>
      <c r="N4424" s="41" t="str"/>
      <c r="O4424" s="41" t="str"/>
      <c r="P4424" s="41" t="str"/>
      <c r="Q4424" s="41" t="str"/>
      <c r="R4424" s="41" t="str"/>
      <c r="S4424" s="41" t="str"/>
      <c r="T4424" s="41" t="str"/>
      <c r="U4424" s="41" t="str"/>
      <c r="V4424" s="41" t="str"/>
      <c r="W4424" s="41" t="str"/>
    </row>
    <row r="4425">
      <c r="B4425" s="2" t="n"/>
      <c r="C4425" s="40" t="n"/>
      <c r="D4425" s="52">
        <f t="array" ref="D4425:W4425">IF(All_Students_Scores!C4423:V4423="","",All_Students_Scores!C4423:V4423)</f>
        <v/>
      </c>
      <c r="E4425" s="57" t="str"/>
      <c r="F4425" s="49" t="str"/>
      <c r="G4425" s="59" t="str"/>
      <c r="H4425" s="64" t="str"/>
      <c r="I4425" s="65" t="str"/>
      <c r="J4425" s="49" t="str"/>
      <c r="K4425" s="41" t="str"/>
      <c r="L4425" s="41" t="str"/>
      <c r="M4425" s="41" t="str"/>
      <c r="N4425" s="41" t="str"/>
      <c r="O4425" s="41" t="str"/>
      <c r="P4425" s="41" t="str"/>
      <c r="Q4425" s="41" t="str"/>
      <c r="R4425" s="41" t="str"/>
      <c r="S4425" s="41" t="str"/>
      <c r="T4425" s="41" t="str"/>
      <c r="U4425" s="41" t="str"/>
      <c r="V4425" s="41" t="str"/>
      <c r="W4425" s="41" t="str"/>
    </row>
    <row r="4426">
      <c r="B4426" s="2" t="n"/>
      <c r="C4426" s="40" t="n"/>
      <c r="D4426" s="52">
        <f t="array" ref="D4426:W4426">IF(All_Students_Scores!C4424:V4424="","",All_Students_Scores!C4424:V4424)</f>
        <v/>
      </c>
      <c r="E4426" s="57" t="str"/>
      <c r="F4426" s="49" t="str"/>
      <c r="G4426" s="59" t="str"/>
      <c r="H4426" s="64" t="str"/>
      <c r="I4426" s="65" t="str"/>
      <c r="J4426" s="49" t="str"/>
      <c r="K4426" s="41" t="str"/>
      <c r="L4426" s="41" t="str"/>
      <c r="M4426" s="41" t="str"/>
      <c r="N4426" s="41" t="str"/>
      <c r="O4426" s="41" t="str"/>
      <c r="P4426" s="41" t="str"/>
      <c r="Q4426" s="41" t="str"/>
      <c r="R4426" s="41" t="str"/>
      <c r="S4426" s="41" t="str"/>
      <c r="T4426" s="41" t="str"/>
      <c r="U4426" s="41" t="str"/>
      <c r="V4426" s="41" t="str"/>
      <c r="W4426" s="41" t="str"/>
    </row>
    <row r="4427">
      <c r="B4427" s="2" t="n"/>
      <c r="C4427" s="40" t="n"/>
      <c r="D4427" s="52">
        <f t="array" ref="D4427:W4427">IF(All_Students_Scores!C4425:V4425="","",All_Students_Scores!C4425:V4425)</f>
        <v/>
      </c>
      <c r="E4427" s="57" t="str"/>
      <c r="F4427" s="49" t="str"/>
      <c r="G4427" s="59" t="str"/>
      <c r="H4427" s="64" t="str"/>
      <c r="I4427" s="65" t="str"/>
      <c r="J4427" s="49" t="str"/>
      <c r="K4427" s="41" t="str"/>
      <c r="L4427" s="41" t="str"/>
      <c r="M4427" s="41" t="str"/>
      <c r="N4427" s="41" t="str"/>
      <c r="O4427" s="41" t="str"/>
      <c r="P4427" s="41" t="str"/>
      <c r="Q4427" s="41" t="str"/>
      <c r="R4427" s="41" t="str"/>
      <c r="S4427" s="41" t="str"/>
      <c r="T4427" s="41" t="str"/>
      <c r="U4427" s="41" t="str"/>
      <c r="V4427" s="41" t="str"/>
      <c r="W4427" s="41" t="str"/>
    </row>
    <row r="4428">
      <c r="B4428" s="2" t="n"/>
      <c r="C4428" s="40" t="n"/>
      <c r="D4428" s="52">
        <f t="array" ref="D4428:W4428">IF(All_Students_Scores!C4426:V4426="","",All_Students_Scores!C4426:V4426)</f>
        <v/>
      </c>
      <c r="E4428" s="57" t="str"/>
      <c r="F4428" s="49" t="str"/>
      <c r="G4428" s="59" t="str"/>
      <c r="H4428" s="64" t="str"/>
      <c r="I4428" s="65" t="str"/>
      <c r="J4428" s="49" t="str"/>
      <c r="K4428" s="41" t="str"/>
      <c r="L4428" s="41" t="str"/>
      <c r="M4428" s="41" t="str"/>
      <c r="N4428" s="41" t="str"/>
      <c r="O4428" s="41" t="str"/>
      <c r="P4428" s="41" t="str"/>
      <c r="Q4428" s="41" t="str"/>
      <c r="R4428" s="41" t="str"/>
      <c r="S4428" s="41" t="str"/>
      <c r="T4428" s="41" t="str"/>
      <c r="U4428" s="41" t="str"/>
      <c r="V4428" s="41" t="str"/>
      <c r="W4428" s="41" t="str"/>
    </row>
    <row r="4429">
      <c r="B4429" s="2" t="n"/>
      <c r="C4429" s="40" t="n"/>
      <c r="D4429" s="52">
        <f t="array" ref="D4429:W4429">IF(All_Students_Scores!C4427:V4427="","",All_Students_Scores!C4427:V4427)</f>
        <v/>
      </c>
      <c r="E4429" s="57" t="str"/>
      <c r="F4429" s="49" t="str"/>
      <c r="G4429" s="59" t="str"/>
      <c r="H4429" s="64" t="str"/>
      <c r="I4429" s="65" t="str"/>
      <c r="J4429" s="49" t="str"/>
      <c r="K4429" s="41" t="str"/>
      <c r="L4429" s="41" t="str"/>
      <c r="M4429" s="41" t="str"/>
      <c r="N4429" s="41" t="str"/>
      <c r="O4429" s="41" t="str"/>
      <c r="P4429" s="41" t="str"/>
      <c r="Q4429" s="41" t="str"/>
      <c r="R4429" s="41" t="str"/>
      <c r="S4429" s="41" t="str"/>
      <c r="T4429" s="41" t="str"/>
      <c r="U4429" s="41" t="str"/>
      <c r="V4429" s="41" t="str"/>
      <c r="W4429" s="41" t="str"/>
    </row>
    <row r="4430">
      <c r="B4430" s="2" t="n"/>
      <c r="C4430" s="40" t="n"/>
      <c r="D4430" s="52">
        <f t="array" ref="D4430:W4430">IF(All_Students_Scores!C4428:V4428="","",All_Students_Scores!C4428:V4428)</f>
        <v/>
      </c>
      <c r="E4430" s="57" t="str"/>
      <c r="F4430" s="49" t="str"/>
      <c r="G4430" s="59" t="str"/>
      <c r="H4430" s="64" t="str"/>
      <c r="I4430" s="65" t="str"/>
      <c r="J4430" s="49" t="str"/>
      <c r="K4430" s="41" t="str"/>
      <c r="L4430" s="41" t="str"/>
      <c r="M4430" s="41" t="str"/>
      <c r="N4430" s="41" t="str"/>
      <c r="O4430" s="41" t="str"/>
      <c r="P4430" s="41" t="str"/>
      <c r="Q4430" s="41" t="str"/>
      <c r="R4430" s="41" t="str"/>
      <c r="S4430" s="41" t="str"/>
      <c r="T4430" s="41" t="str"/>
      <c r="U4430" s="41" t="str"/>
      <c r="V4430" s="41" t="str"/>
      <c r="W4430" s="41" t="str"/>
    </row>
    <row r="4431">
      <c r="B4431" s="2" t="n"/>
      <c r="C4431" s="40" t="n"/>
      <c r="D4431" s="52">
        <f t="array" ref="D4431:W4431">IF(All_Students_Scores!C4429:V4429="","",All_Students_Scores!C4429:V4429)</f>
        <v/>
      </c>
      <c r="E4431" s="57" t="str"/>
      <c r="F4431" s="49" t="str"/>
      <c r="G4431" s="59" t="str"/>
      <c r="H4431" s="64" t="str"/>
      <c r="I4431" s="65" t="str"/>
      <c r="J4431" s="49" t="str"/>
      <c r="K4431" s="41" t="str"/>
      <c r="L4431" s="41" t="str"/>
      <c r="M4431" s="41" t="str"/>
      <c r="N4431" s="41" t="str"/>
      <c r="O4431" s="41" t="str"/>
      <c r="P4431" s="41" t="str"/>
      <c r="Q4431" s="41" t="str"/>
      <c r="R4431" s="41" t="str"/>
      <c r="S4431" s="41" t="str"/>
      <c r="T4431" s="41" t="str"/>
      <c r="U4431" s="41" t="str"/>
      <c r="V4431" s="41" t="str"/>
      <c r="W4431" s="41" t="str"/>
    </row>
    <row r="4432">
      <c r="B4432" s="2" t="n"/>
      <c r="C4432" s="40" t="n"/>
      <c r="D4432" s="52">
        <f t="array" ref="D4432:W4432">IF(All_Students_Scores!C4430:V4430="","",All_Students_Scores!C4430:V4430)</f>
        <v/>
      </c>
      <c r="E4432" s="57" t="str"/>
      <c r="F4432" s="49" t="str"/>
      <c r="G4432" s="59" t="str"/>
      <c r="H4432" s="64" t="str"/>
      <c r="I4432" s="65" t="str"/>
      <c r="J4432" s="49" t="str"/>
      <c r="K4432" s="41" t="str"/>
      <c r="L4432" s="41" t="str"/>
      <c r="M4432" s="41" t="str"/>
      <c r="N4432" s="41" t="str"/>
      <c r="O4432" s="41" t="str"/>
      <c r="P4432" s="41" t="str"/>
      <c r="Q4432" s="41" t="str"/>
      <c r="R4432" s="41" t="str"/>
      <c r="S4432" s="41" t="str"/>
      <c r="T4432" s="41" t="str"/>
      <c r="U4432" s="41" t="str"/>
      <c r="V4432" s="41" t="str"/>
      <c r="W4432" s="41" t="str"/>
    </row>
    <row r="4433">
      <c r="B4433" s="2" t="n"/>
      <c r="C4433" s="40" t="n"/>
      <c r="D4433" s="52">
        <f t="array" ref="D4433:W4433">IF(All_Students_Scores!C4431:V4431="","",All_Students_Scores!C4431:V4431)</f>
        <v/>
      </c>
      <c r="E4433" s="57" t="str"/>
      <c r="F4433" s="49" t="str"/>
      <c r="G4433" s="59" t="str"/>
      <c r="H4433" s="64" t="str"/>
      <c r="I4433" s="65" t="str"/>
      <c r="J4433" s="49" t="str"/>
      <c r="K4433" s="41" t="str"/>
      <c r="L4433" s="41" t="str"/>
      <c r="M4433" s="41" t="str"/>
      <c r="N4433" s="41" t="str"/>
      <c r="O4433" s="41" t="str"/>
      <c r="P4433" s="41" t="str"/>
      <c r="Q4433" s="41" t="str"/>
      <c r="R4433" s="41" t="str"/>
      <c r="S4433" s="41" t="str"/>
      <c r="T4433" s="41" t="str"/>
      <c r="U4433" s="41" t="str"/>
      <c r="V4433" s="41" t="str"/>
      <c r="W4433" s="41" t="str"/>
    </row>
    <row r="4434">
      <c r="B4434" s="2" t="n"/>
      <c r="C4434" s="40" t="n"/>
      <c r="D4434" s="52">
        <f t="array" ref="D4434:W4434">IF(All_Students_Scores!C4432:V4432="","",All_Students_Scores!C4432:V4432)</f>
        <v/>
      </c>
      <c r="E4434" s="57" t="str"/>
      <c r="F4434" s="49" t="str"/>
      <c r="G4434" s="59" t="str"/>
      <c r="H4434" s="64" t="str"/>
      <c r="I4434" s="65" t="str"/>
      <c r="J4434" s="49" t="str"/>
      <c r="K4434" s="41" t="str"/>
      <c r="L4434" s="41" t="str"/>
      <c r="M4434" s="41" t="str"/>
      <c r="N4434" s="41" t="str"/>
      <c r="O4434" s="41" t="str"/>
      <c r="P4434" s="41" t="str"/>
      <c r="Q4434" s="41" t="str"/>
      <c r="R4434" s="41" t="str"/>
      <c r="S4434" s="41" t="str"/>
      <c r="T4434" s="41" t="str"/>
      <c r="U4434" s="41" t="str"/>
      <c r="V4434" s="41" t="str"/>
      <c r="W4434" s="41" t="str"/>
    </row>
    <row r="4435">
      <c r="B4435" s="2" t="n"/>
      <c r="C4435" s="40" t="n"/>
      <c r="D4435" s="52">
        <f t="array" ref="D4435:W4435">IF(All_Students_Scores!C4433:V4433="","",All_Students_Scores!C4433:V4433)</f>
        <v/>
      </c>
      <c r="E4435" s="57" t="str"/>
      <c r="F4435" s="49" t="str"/>
      <c r="G4435" s="59" t="str"/>
      <c r="H4435" s="64" t="str"/>
      <c r="I4435" s="65" t="str"/>
      <c r="J4435" s="49" t="str"/>
      <c r="K4435" s="41" t="str"/>
      <c r="L4435" s="41" t="str"/>
      <c r="M4435" s="41" t="str"/>
      <c r="N4435" s="41" t="str"/>
      <c r="O4435" s="41" t="str"/>
      <c r="P4435" s="41" t="str"/>
      <c r="Q4435" s="41" t="str"/>
      <c r="R4435" s="41" t="str"/>
      <c r="S4435" s="41" t="str"/>
      <c r="T4435" s="41" t="str"/>
      <c r="U4435" s="41" t="str"/>
      <c r="V4435" s="41" t="str"/>
      <c r="W4435" s="41" t="str"/>
    </row>
    <row r="4436">
      <c r="B4436" s="2" t="n"/>
      <c r="C4436" s="40" t="n"/>
      <c r="D4436" s="52">
        <f t="array" ref="D4436:W4436">IF(All_Students_Scores!C4434:V4434="","",All_Students_Scores!C4434:V4434)</f>
        <v/>
      </c>
      <c r="E4436" s="57" t="str"/>
      <c r="F4436" s="49" t="str"/>
      <c r="G4436" s="59" t="str"/>
      <c r="H4436" s="64" t="str"/>
      <c r="I4436" s="65" t="str"/>
      <c r="J4436" s="49" t="str"/>
      <c r="K4436" s="41" t="str"/>
      <c r="L4436" s="41" t="str"/>
      <c r="M4436" s="41" t="str"/>
      <c r="N4436" s="41" t="str"/>
      <c r="O4436" s="41" t="str"/>
      <c r="P4436" s="41" t="str"/>
      <c r="Q4436" s="41" t="str"/>
      <c r="R4436" s="41" t="str"/>
      <c r="S4436" s="41" t="str"/>
      <c r="T4436" s="41" t="str"/>
      <c r="U4436" s="41" t="str"/>
      <c r="V4436" s="41" t="str"/>
      <c r="W4436" s="41" t="str"/>
    </row>
    <row r="4437">
      <c r="B4437" s="2" t="n"/>
      <c r="C4437" s="40" t="n"/>
      <c r="D4437" s="52">
        <f t="array" ref="D4437:W4437">IF(All_Students_Scores!C4435:V4435="","",All_Students_Scores!C4435:V4435)</f>
        <v/>
      </c>
      <c r="E4437" s="57" t="str"/>
      <c r="F4437" s="49" t="str"/>
      <c r="G4437" s="59" t="str"/>
      <c r="H4437" s="64" t="str"/>
      <c r="I4437" s="65" t="str"/>
      <c r="J4437" s="49" t="str"/>
      <c r="K4437" s="41" t="str"/>
      <c r="L4437" s="41" t="str"/>
      <c r="M4437" s="41" t="str"/>
      <c r="N4437" s="41" t="str"/>
      <c r="O4437" s="41" t="str"/>
      <c r="P4437" s="41" t="str"/>
      <c r="Q4437" s="41" t="str"/>
      <c r="R4437" s="41" t="str"/>
      <c r="S4437" s="41" t="str"/>
      <c r="T4437" s="41" t="str"/>
      <c r="U4437" s="41" t="str"/>
      <c r="V4437" s="41" t="str"/>
      <c r="W4437" s="41" t="str"/>
    </row>
    <row r="4438">
      <c r="B4438" s="2" t="n"/>
      <c r="C4438" s="40" t="n"/>
      <c r="D4438" s="52">
        <f t="array" ref="D4438:W4438">IF(All_Students_Scores!C4436:V4436="","",All_Students_Scores!C4436:V4436)</f>
        <v/>
      </c>
      <c r="E4438" s="57" t="str"/>
      <c r="F4438" s="49" t="str"/>
      <c r="G4438" s="59" t="str"/>
      <c r="H4438" s="64" t="str"/>
      <c r="I4438" s="65" t="str"/>
      <c r="J4438" s="49" t="str"/>
      <c r="K4438" s="41" t="str"/>
      <c r="L4438" s="41" t="str"/>
      <c r="M4438" s="41" t="str"/>
      <c r="N4438" s="41" t="str"/>
      <c r="O4438" s="41" t="str"/>
      <c r="P4438" s="41" t="str"/>
      <c r="Q4438" s="41" t="str"/>
      <c r="R4438" s="41" t="str"/>
      <c r="S4438" s="41" t="str"/>
      <c r="T4438" s="41" t="str"/>
      <c r="U4438" s="41" t="str"/>
      <c r="V4438" s="41" t="str"/>
      <c r="W4438" s="41" t="str"/>
    </row>
    <row r="4439">
      <c r="B4439" s="2" t="n"/>
      <c r="C4439" s="40" t="n"/>
      <c r="D4439" s="52">
        <f t="array" ref="D4439:W4439">IF(All_Students_Scores!C4437:V4437="","",All_Students_Scores!C4437:V4437)</f>
        <v/>
      </c>
      <c r="E4439" s="57" t="str"/>
      <c r="F4439" s="49" t="str"/>
      <c r="G4439" s="59" t="str"/>
      <c r="H4439" s="64" t="str"/>
      <c r="I4439" s="65" t="str"/>
      <c r="J4439" s="49" t="str"/>
      <c r="K4439" s="41" t="str"/>
      <c r="L4439" s="41" t="str"/>
      <c r="M4439" s="41" t="str"/>
      <c r="N4439" s="41" t="str"/>
      <c r="O4439" s="41" t="str"/>
      <c r="P4439" s="41" t="str"/>
      <c r="Q4439" s="41" t="str"/>
      <c r="R4439" s="41" t="str"/>
      <c r="S4439" s="41" t="str"/>
      <c r="T4439" s="41" t="str"/>
      <c r="U4439" s="41" t="str"/>
      <c r="V4439" s="41" t="str"/>
      <c r="W4439" s="41" t="str"/>
    </row>
    <row r="4440">
      <c r="B4440" s="2" t="n"/>
      <c r="C4440" s="40" t="n"/>
      <c r="D4440" s="52">
        <f t="array" ref="D4440:W4440">IF(All_Students_Scores!C4438:V4438="","",All_Students_Scores!C4438:V4438)</f>
        <v/>
      </c>
      <c r="E4440" s="57" t="str"/>
      <c r="F4440" s="49" t="str"/>
      <c r="G4440" s="59" t="str"/>
      <c r="H4440" s="64" t="str"/>
      <c r="I4440" s="65" t="str"/>
      <c r="J4440" s="49" t="str"/>
      <c r="K4440" s="41" t="str"/>
      <c r="L4440" s="41" t="str"/>
      <c r="M4440" s="41" t="str"/>
      <c r="N4440" s="41" t="str"/>
      <c r="O4440" s="41" t="str"/>
      <c r="P4440" s="41" t="str"/>
      <c r="Q4440" s="41" t="str"/>
      <c r="R4440" s="41" t="str"/>
      <c r="S4440" s="41" t="str"/>
      <c r="T4440" s="41" t="str"/>
      <c r="U4440" s="41" t="str"/>
      <c r="V4440" s="41" t="str"/>
      <c r="W4440" s="41" t="str"/>
    </row>
    <row r="4441">
      <c r="B4441" s="2" t="n"/>
      <c r="C4441" s="40" t="n"/>
      <c r="D4441" s="52">
        <f t="array" ref="D4441:W4441">IF(All_Students_Scores!C4439:V4439="","",All_Students_Scores!C4439:V4439)</f>
        <v/>
      </c>
      <c r="E4441" s="57" t="str"/>
      <c r="F4441" s="49" t="str"/>
      <c r="G4441" s="59" t="str"/>
      <c r="H4441" s="64" t="str"/>
      <c r="I4441" s="65" t="str"/>
      <c r="J4441" s="49" t="str"/>
      <c r="K4441" s="41" t="str"/>
      <c r="L4441" s="41" t="str"/>
      <c r="M4441" s="41" t="str"/>
      <c r="N4441" s="41" t="str"/>
      <c r="O4441" s="41" t="str"/>
      <c r="P4441" s="41" t="str"/>
      <c r="Q4441" s="41" t="str"/>
      <c r="R4441" s="41" t="str"/>
      <c r="S4441" s="41" t="str"/>
      <c r="T4441" s="41" t="str"/>
      <c r="U4441" s="41" t="str"/>
      <c r="V4441" s="41" t="str"/>
      <c r="W4441" s="41" t="str"/>
    </row>
    <row r="4442">
      <c r="B4442" s="2" t="n"/>
      <c r="C4442" s="40" t="n"/>
      <c r="D4442" s="52">
        <f t="array" ref="D4442:W4442">IF(All_Students_Scores!C4440:V4440="","",All_Students_Scores!C4440:V4440)</f>
        <v/>
      </c>
      <c r="E4442" s="57" t="str"/>
      <c r="F4442" s="49" t="str"/>
      <c r="G4442" s="59" t="str"/>
      <c r="H4442" s="64" t="str"/>
      <c r="I4442" s="65" t="str"/>
      <c r="J4442" s="49" t="str"/>
      <c r="K4442" s="41" t="str"/>
      <c r="L4442" s="41" t="str"/>
      <c r="M4442" s="41" t="str"/>
      <c r="N4442" s="41" t="str"/>
      <c r="O4442" s="41" t="str"/>
      <c r="P4442" s="41" t="str"/>
      <c r="Q4442" s="41" t="str"/>
      <c r="R4442" s="41" t="str"/>
      <c r="S4442" s="41" t="str"/>
      <c r="T4442" s="41" t="str"/>
      <c r="U4442" s="41" t="str"/>
      <c r="V4442" s="41" t="str"/>
      <c r="W4442" s="41" t="str"/>
    </row>
    <row r="4443">
      <c r="B4443" s="2" t="n"/>
      <c r="C4443" s="40" t="n"/>
      <c r="D4443" s="52">
        <f t="array" ref="D4443:W4443">IF(All_Students_Scores!C4441:V4441="","",All_Students_Scores!C4441:V4441)</f>
        <v/>
      </c>
      <c r="E4443" s="57" t="str"/>
      <c r="F4443" s="49" t="str"/>
      <c r="G4443" s="59" t="str"/>
      <c r="H4443" s="64" t="str"/>
      <c r="I4443" s="65" t="str"/>
      <c r="J4443" s="49" t="str"/>
      <c r="K4443" s="41" t="str"/>
      <c r="L4443" s="41" t="str"/>
      <c r="M4443" s="41" t="str"/>
      <c r="N4443" s="41" t="str"/>
      <c r="O4443" s="41" t="str"/>
      <c r="P4443" s="41" t="str"/>
      <c r="Q4443" s="41" t="str"/>
      <c r="R4443" s="41" t="str"/>
      <c r="S4443" s="41" t="str"/>
      <c r="T4443" s="41" t="str"/>
      <c r="U4443" s="41" t="str"/>
      <c r="V4443" s="41" t="str"/>
      <c r="W4443" s="41" t="str"/>
    </row>
    <row r="4444">
      <c r="B4444" s="2" t="n"/>
      <c r="C4444" s="40" t="n"/>
      <c r="D4444" s="52">
        <f t="array" ref="D4444:W4444">IF(All_Students_Scores!C4442:V4442="","",All_Students_Scores!C4442:V4442)</f>
        <v/>
      </c>
      <c r="E4444" s="57" t="str"/>
      <c r="F4444" s="49" t="str"/>
      <c r="G4444" s="59" t="str"/>
      <c r="H4444" s="64" t="str"/>
      <c r="I4444" s="65" t="str"/>
      <c r="J4444" s="49" t="str"/>
      <c r="K4444" s="41" t="str"/>
      <c r="L4444" s="41" t="str"/>
      <c r="M4444" s="41" t="str"/>
      <c r="N4444" s="41" t="str"/>
      <c r="O4444" s="41" t="str"/>
      <c r="P4444" s="41" t="str"/>
      <c r="Q4444" s="41" t="str"/>
      <c r="R4444" s="41" t="str"/>
      <c r="S4444" s="41" t="str"/>
      <c r="T4444" s="41" t="str"/>
      <c r="U4444" s="41" t="str"/>
      <c r="V4444" s="41" t="str"/>
      <c r="W4444" s="41" t="str"/>
    </row>
    <row r="4445">
      <c r="B4445" s="2" t="n"/>
      <c r="C4445" s="40" t="n"/>
      <c r="D4445" s="52">
        <f t="array" ref="D4445:W4445">IF(All_Students_Scores!C4443:V4443="","",All_Students_Scores!C4443:V4443)</f>
        <v/>
      </c>
      <c r="E4445" s="57" t="str"/>
      <c r="F4445" s="49" t="str"/>
      <c r="G4445" s="59" t="str"/>
      <c r="H4445" s="64" t="str"/>
      <c r="I4445" s="65" t="str"/>
      <c r="J4445" s="49" t="str"/>
      <c r="K4445" s="41" t="str"/>
      <c r="L4445" s="41" t="str"/>
      <c r="M4445" s="41" t="str"/>
      <c r="N4445" s="41" t="str"/>
      <c r="O4445" s="41" t="str"/>
      <c r="P4445" s="41" t="str"/>
      <c r="Q4445" s="41" t="str"/>
      <c r="R4445" s="41" t="str"/>
      <c r="S4445" s="41" t="str"/>
      <c r="T4445" s="41" t="str"/>
      <c r="U4445" s="41" t="str"/>
      <c r="V4445" s="41" t="str"/>
      <c r="W4445" s="41" t="str"/>
    </row>
    <row r="4446">
      <c r="B4446" s="2" t="n"/>
      <c r="C4446" s="40" t="n"/>
      <c r="D4446" s="52">
        <f t="array" ref="D4446:W4446">IF(All_Students_Scores!C4444:V4444="","",All_Students_Scores!C4444:V4444)</f>
        <v/>
      </c>
      <c r="E4446" s="57" t="str"/>
      <c r="F4446" s="49" t="str"/>
      <c r="G4446" s="59" t="str"/>
      <c r="H4446" s="64" t="str"/>
      <c r="I4446" s="65" t="str"/>
      <c r="J4446" s="49" t="str"/>
      <c r="K4446" s="41" t="str"/>
      <c r="L4446" s="41" t="str"/>
      <c r="M4446" s="41" t="str"/>
      <c r="N4446" s="41" t="str"/>
      <c r="O4446" s="41" t="str"/>
      <c r="P4446" s="41" t="str"/>
      <c r="Q4446" s="41" t="str"/>
      <c r="R4446" s="41" t="str"/>
      <c r="S4446" s="41" t="str"/>
      <c r="T4446" s="41" t="str"/>
      <c r="U4446" s="41" t="str"/>
      <c r="V4446" s="41" t="str"/>
      <c r="W4446" s="41" t="str"/>
    </row>
    <row r="4447">
      <c r="B4447" s="2" t="n"/>
      <c r="C4447" s="40" t="n"/>
      <c r="D4447" s="52">
        <f t="array" ref="D4447:W4447">IF(All_Students_Scores!C4445:V4445="","",All_Students_Scores!C4445:V4445)</f>
        <v/>
      </c>
      <c r="E4447" s="57" t="str"/>
      <c r="F4447" s="49" t="str"/>
      <c r="G4447" s="59" t="str"/>
      <c r="H4447" s="64" t="str"/>
      <c r="I4447" s="65" t="str"/>
      <c r="J4447" s="49" t="str"/>
      <c r="K4447" s="41" t="str"/>
      <c r="L4447" s="41" t="str"/>
      <c r="M4447" s="41" t="str"/>
      <c r="N4447" s="41" t="str"/>
      <c r="O4447" s="41" t="str"/>
      <c r="P4447" s="41" t="str"/>
      <c r="Q4447" s="41" t="str"/>
      <c r="R4447" s="41" t="str"/>
      <c r="S4447" s="41" t="str"/>
      <c r="T4447" s="41" t="str"/>
      <c r="U4447" s="41" t="str"/>
      <c r="V4447" s="41" t="str"/>
      <c r="W4447" s="41" t="str"/>
    </row>
    <row r="4448">
      <c r="B4448" s="2" t="n"/>
      <c r="C4448" s="40" t="n"/>
      <c r="D4448" s="52">
        <f t="array" ref="D4448:W4448">IF(All_Students_Scores!C4446:V4446="","",All_Students_Scores!C4446:V4446)</f>
        <v/>
      </c>
      <c r="E4448" s="57" t="str"/>
      <c r="F4448" s="49" t="str"/>
      <c r="G4448" s="59" t="str"/>
      <c r="H4448" s="64" t="str"/>
      <c r="I4448" s="65" t="str"/>
      <c r="J4448" s="49" t="str"/>
      <c r="K4448" s="41" t="str"/>
      <c r="L4448" s="41" t="str"/>
      <c r="M4448" s="41" t="str"/>
      <c r="N4448" s="41" t="str"/>
      <c r="O4448" s="41" t="str"/>
      <c r="P4448" s="41" t="str"/>
      <c r="Q4448" s="41" t="str"/>
      <c r="R4448" s="41" t="str"/>
      <c r="S4448" s="41" t="str"/>
      <c r="T4448" s="41" t="str"/>
      <c r="U4448" s="41" t="str"/>
      <c r="V4448" s="41" t="str"/>
      <c r="W4448" s="41" t="str"/>
    </row>
    <row r="4449">
      <c r="B4449" s="2" t="n"/>
      <c r="C4449" s="40" t="n"/>
      <c r="D4449" s="52">
        <f t="array" ref="D4449:W4449">IF(All_Students_Scores!C4447:V4447="","",All_Students_Scores!C4447:V4447)</f>
        <v/>
      </c>
      <c r="E4449" s="57" t="str"/>
      <c r="F4449" s="49" t="str"/>
      <c r="G4449" s="59" t="str"/>
      <c r="H4449" s="64" t="str"/>
      <c r="I4449" s="65" t="str"/>
      <c r="J4449" s="49" t="str"/>
      <c r="K4449" s="41" t="str"/>
      <c r="L4449" s="41" t="str"/>
      <c r="M4449" s="41" t="str"/>
      <c r="N4449" s="41" t="str"/>
      <c r="O4449" s="41" t="str"/>
      <c r="P4449" s="41" t="str"/>
      <c r="Q4449" s="41" t="str"/>
      <c r="R4449" s="41" t="str"/>
      <c r="S4449" s="41" t="str"/>
      <c r="T4449" s="41" t="str"/>
      <c r="U4449" s="41" t="str"/>
      <c r="V4449" s="41" t="str"/>
      <c r="W4449" s="41" t="str"/>
    </row>
    <row r="4450">
      <c r="B4450" s="2" t="n"/>
      <c r="C4450" s="40" t="n"/>
      <c r="D4450" s="52">
        <f t="array" ref="D4450:W4450">IF(All_Students_Scores!C4448:V4448="","",All_Students_Scores!C4448:V4448)</f>
        <v/>
      </c>
      <c r="E4450" s="57" t="str"/>
      <c r="F4450" s="49" t="str"/>
      <c r="G4450" s="59" t="str"/>
      <c r="H4450" s="64" t="str"/>
      <c r="I4450" s="65" t="str"/>
      <c r="J4450" s="49" t="str"/>
      <c r="K4450" s="41" t="str"/>
      <c r="L4450" s="41" t="str"/>
      <c r="M4450" s="41" t="str"/>
      <c r="N4450" s="41" t="str"/>
      <c r="O4450" s="41" t="str"/>
      <c r="P4450" s="41" t="str"/>
      <c r="Q4450" s="41" t="str"/>
      <c r="R4450" s="41" t="str"/>
      <c r="S4450" s="41" t="str"/>
      <c r="T4450" s="41" t="str"/>
      <c r="U4450" s="41" t="str"/>
      <c r="V4450" s="41" t="str"/>
      <c r="W4450" s="41" t="str"/>
    </row>
    <row r="4451">
      <c r="B4451" s="2" t="n"/>
      <c r="C4451" s="40" t="n"/>
      <c r="D4451" s="52">
        <f t="array" ref="D4451:W4451">IF(All_Students_Scores!C4449:V4449="","",All_Students_Scores!C4449:V4449)</f>
        <v/>
      </c>
      <c r="E4451" s="57" t="str"/>
      <c r="F4451" s="49" t="str"/>
      <c r="G4451" s="59" t="str"/>
      <c r="H4451" s="64" t="str"/>
      <c r="I4451" s="65" t="str"/>
      <c r="J4451" s="49" t="str"/>
      <c r="K4451" s="41" t="str"/>
      <c r="L4451" s="41" t="str"/>
      <c r="M4451" s="41" t="str"/>
      <c r="N4451" s="41" t="str"/>
      <c r="O4451" s="41" t="str"/>
      <c r="P4451" s="41" t="str"/>
      <c r="Q4451" s="41" t="str"/>
      <c r="R4451" s="41" t="str"/>
      <c r="S4451" s="41" t="str"/>
      <c r="T4451" s="41" t="str"/>
      <c r="U4451" s="41" t="str"/>
      <c r="V4451" s="41" t="str"/>
      <c r="W4451" s="41" t="str"/>
    </row>
    <row r="4452">
      <c r="B4452" s="2" t="n"/>
      <c r="C4452" s="40" t="n"/>
      <c r="D4452" s="52">
        <f t="array" ref="D4452:W4452">IF(All_Students_Scores!C4450:V4450="","",All_Students_Scores!C4450:V4450)</f>
        <v/>
      </c>
      <c r="E4452" s="57" t="str"/>
      <c r="F4452" s="49" t="str"/>
      <c r="G4452" s="59" t="str"/>
      <c r="H4452" s="64" t="str"/>
      <c r="I4452" s="65" t="str"/>
      <c r="J4452" s="49" t="str"/>
      <c r="K4452" s="41" t="str"/>
      <c r="L4452" s="41" t="str"/>
      <c r="M4452" s="41" t="str"/>
      <c r="N4452" s="41" t="str"/>
      <c r="O4452" s="41" t="str"/>
      <c r="P4452" s="41" t="str"/>
      <c r="Q4452" s="41" t="str"/>
      <c r="R4452" s="41" t="str"/>
      <c r="S4452" s="41" t="str"/>
      <c r="T4452" s="41" t="str"/>
      <c r="U4452" s="41" t="str"/>
      <c r="V4452" s="41" t="str"/>
      <c r="W4452" s="41" t="str"/>
    </row>
    <row r="4453">
      <c r="B4453" s="2" t="n"/>
      <c r="C4453" s="40" t="n"/>
      <c r="D4453" s="52">
        <f t="array" ref="D4453:W4453">IF(All_Students_Scores!C4451:V4451="","",All_Students_Scores!C4451:V4451)</f>
        <v/>
      </c>
      <c r="E4453" s="57" t="str"/>
      <c r="F4453" s="49" t="str"/>
      <c r="G4453" s="59" t="str"/>
      <c r="H4453" s="64" t="str"/>
      <c r="I4453" s="65" t="str"/>
      <c r="J4453" s="49" t="str"/>
      <c r="K4453" s="41" t="str"/>
      <c r="L4453" s="41" t="str"/>
      <c r="M4453" s="41" t="str"/>
      <c r="N4453" s="41" t="str"/>
      <c r="O4453" s="41" t="str"/>
      <c r="P4453" s="41" t="str"/>
      <c r="Q4453" s="41" t="str"/>
      <c r="R4453" s="41" t="str"/>
      <c r="S4453" s="41" t="str"/>
      <c r="T4453" s="41" t="str"/>
      <c r="U4453" s="41" t="str"/>
      <c r="V4453" s="41" t="str"/>
      <c r="W4453" s="41" t="str"/>
    </row>
    <row r="4454">
      <c r="B4454" s="2" t="n"/>
      <c r="C4454" s="40" t="n"/>
      <c r="D4454" s="52">
        <f t="array" ref="D4454:W4454">IF(All_Students_Scores!C4452:V4452="","",All_Students_Scores!C4452:V4452)</f>
        <v/>
      </c>
      <c r="E4454" s="57" t="str"/>
      <c r="F4454" s="49" t="str"/>
      <c r="G4454" s="59" t="str"/>
      <c r="H4454" s="64" t="str"/>
      <c r="I4454" s="65" t="str"/>
      <c r="J4454" s="49" t="str"/>
      <c r="K4454" s="41" t="str"/>
      <c r="L4454" s="41" t="str"/>
      <c r="M4454" s="41" t="str"/>
      <c r="N4454" s="41" t="str"/>
      <c r="O4454" s="41" t="str"/>
      <c r="P4454" s="41" t="str"/>
      <c r="Q4454" s="41" t="str"/>
      <c r="R4454" s="41" t="str"/>
      <c r="S4454" s="41" t="str"/>
      <c r="T4454" s="41" t="str"/>
      <c r="U4454" s="41" t="str"/>
      <c r="V4454" s="41" t="str"/>
      <c r="W4454" s="41" t="str"/>
    </row>
    <row r="4455">
      <c r="B4455" s="2" t="n"/>
      <c r="C4455" s="40" t="n"/>
      <c r="D4455" s="52">
        <f t="array" ref="D4455:W4455">IF(All_Students_Scores!C4453:V4453="","",All_Students_Scores!C4453:V4453)</f>
        <v/>
      </c>
      <c r="E4455" s="57" t="str"/>
      <c r="F4455" s="49" t="str"/>
      <c r="G4455" s="59" t="str"/>
      <c r="H4455" s="64" t="str"/>
      <c r="I4455" s="65" t="str"/>
      <c r="J4455" s="49" t="str"/>
      <c r="K4455" s="41" t="str"/>
      <c r="L4455" s="41" t="str"/>
      <c r="M4455" s="41" t="str"/>
      <c r="N4455" s="41" t="str"/>
      <c r="O4455" s="41" t="str"/>
      <c r="P4455" s="41" t="str"/>
      <c r="Q4455" s="41" t="str"/>
      <c r="R4455" s="41" t="str"/>
      <c r="S4455" s="41" t="str"/>
      <c r="T4455" s="41" t="str"/>
      <c r="U4455" s="41" t="str"/>
      <c r="V4455" s="41" t="str"/>
      <c r="W4455" s="41" t="str"/>
    </row>
    <row r="4456">
      <c r="B4456" s="2" t="n"/>
      <c r="C4456" s="40" t="n"/>
      <c r="D4456" s="52">
        <f t="array" ref="D4456:W4456">IF(All_Students_Scores!C4454:V4454="","",All_Students_Scores!C4454:V4454)</f>
        <v/>
      </c>
      <c r="E4456" s="57" t="str"/>
      <c r="F4456" s="49" t="str"/>
      <c r="G4456" s="59" t="str"/>
      <c r="H4456" s="64" t="str"/>
      <c r="I4456" s="65" t="str"/>
      <c r="J4456" s="49" t="str"/>
      <c r="K4456" s="41" t="str"/>
      <c r="L4456" s="41" t="str"/>
      <c r="M4456" s="41" t="str"/>
      <c r="N4456" s="41" t="str"/>
      <c r="O4456" s="41" t="str"/>
      <c r="P4456" s="41" t="str"/>
      <c r="Q4456" s="41" t="str"/>
      <c r="R4456" s="41" t="str"/>
      <c r="S4456" s="41" t="str"/>
      <c r="T4456" s="41" t="str"/>
      <c r="U4456" s="41" t="str"/>
      <c r="V4456" s="41" t="str"/>
      <c r="W4456" s="41" t="str"/>
    </row>
    <row r="4457">
      <c r="B4457" s="2" t="n"/>
      <c r="C4457" s="40" t="n"/>
      <c r="D4457" s="52">
        <f t="array" ref="D4457:W4457">IF(All_Students_Scores!C4455:V4455="","",All_Students_Scores!C4455:V4455)</f>
        <v/>
      </c>
      <c r="E4457" s="57" t="str"/>
      <c r="F4457" s="49" t="str"/>
      <c r="G4457" s="59" t="str"/>
      <c r="H4457" s="64" t="str"/>
      <c r="I4457" s="65" t="str"/>
      <c r="J4457" s="49" t="str"/>
      <c r="K4457" s="41" t="str"/>
      <c r="L4457" s="41" t="str"/>
      <c r="M4457" s="41" t="str"/>
      <c r="N4457" s="41" t="str"/>
      <c r="O4457" s="41" t="str"/>
      <c r="P4457" s="41" t="str"/>
      <c r="Q4457" s="41" t="str"/>
      <c r="R4457" s="41" t="str"/>
      <c r="S4457" s="41" t="str"/>
      <c r="T4457" s="41" t="str"/>
      <c r="U4457" s="41" t="str"/>
      <c r="V4457" s="41" t="str"/>
      <c r="W4457" s="41" t="str"/>
    </row>
    <row r="4458">
      <c r="B4458" s="2" t="n"/>
      <c r="C4458" s="40" t="n"/>
      <c r="D4458" s="52">
        <f t="array" ref="D4458:W4458">IF(All_Students_Scores!C4456:V4456="","",All_Students_Scores!C4456:V4456)</f>
        <v/>
      </c>
      <c r="E4458" s="57" t="str"/>
      <c r="F4458" s="49" t="str"/>
      <c r="G4458" s="59" t="str"/>
      <c r="H4458" s="64" t="str"/>
      <c r="I4458" s="65" t="str"/>
      <c r="J4458" s="49" t="str"/>
      <c r="K4458" s="41" t="str"/>
      <c r="L4458" s="41" t="str"/>
      <c r="M4458" s="41" t="str"/>
      <c r="N4458" s="41" t="str"/>
      <c r="O4458" s="41" t="str"/>
      <c r="P4458" s="41" t="str"/>
      <c r="Q4458" s="41" t="str"/>
      <c r="R4458" s="41" t="str"/>
      <c r="S4458" s="41" t="str"/>
      <c r="T4458" s="41" t="str"/>
      <c r="U4458" s="41" t="str"/>
      <c r="V4458" s="41" t="str"/>
      <c r="W4458" s="41" t="str"/>
    </row>
    <row r="4459">
      <c r="B4459" s="2" t="n"/>
      <c r="C4459" s="40" t="n"/>
      <c r="D4459" s="52">
        <f t="array" ref="D4459:W4459">IF(All_Students_Scores!C4457:V4457="","",All_Students_Scores!C4457:V4457)</f>
        <v/>
      </c>
      <c r="E4459" s="57" t="str"/>
      <c r="F4459" s="49" t="str"/>
      <c r="G4459" s="59" t="str"/>
      <c r="H4459" s="64" t="str"/>
      <c r="I4459" s="65" t="str"/>
      <c r="J4459" s="49" t="str"/>
      <c r="K4459" s="41" t="str"/>
      <c r="L4459" s="41" t="str"/>
      <c r="M4459" s="41" t="str"/>
      <c r="N4459" s="41" t="str"/>
      <c r="O4459" s="41" t="str"/>
      <c r="P4459" s="41" t="str"/>
      <c r="Q4459" s="41" t="str"/>
      <c r="R4459" s="41" t="str"/>
      <c r="S4459" s="41" t="str"/>
      <c r="T4459" s="41" t="str"/>
      <c r="U4459" s="41" t="str"/>
      <c r="V4459" s="41" t="str"/>
      <c r="W4459" s="41" t="str"/>
    </row>
    <row r="4460">
      <c r="B4460" s="2" t="n"/>
      <c r="C4460" s="40" t="n"/>
      <c r="D4460" s="52">
        <f t="array" ref="D4460:W4460">IF(All_Students_Scores!C4458:V4458="","",All_Students_Scores!C4458:V4458)</f>
        <v/>
      </c>
      <c r="E4460" s="57" t="str"/>
      <c r="F4460" s="49" t="str"/>
      <c r="G4460" s="59" t="str"/>
      <c r="H4460" s="64" t="str"/>
      <c r="I4460" s="65" t="str"/>
      <c r="J4460" s="49" t="str"/>
      <c r="K4460" s="41" t="str"/>
      <c r="L4460" s="41" t="str"/>
      <c r="M4460" s="41" t="str"/>
      <c r="N4460" s="41" t="str"/>
      <c r="O4460" s="41" t="str"/>
      <c r="P4460" s="41" t="str"/>
      <c r="Q4460" s="41" t="str"/>
      <c r="R4460" s="41" t="str"/>
      <c r="S4460" s="41" t="str"/>
      <c r="T4460" s="41" t="str"/>
      <c r="U4460" s="41" t="str"/>
      <c r="V4460" s="41" t="str"/>
      <c r="W4460" s="41" t="str"/>
    </row>
    <row r="4461">
      <c r="B4461" s="2" t="n"/>
      <c r="C4461" s="40" t="n"/>
      <c r="D4461" s="52">
        <f t="array" ref="D4461:W4461">IF(All_Students_Scores!C4459:V4459="","",All_Students_Scores!C4459:V4459)</f>
        <v/>
      </c>
      <c r="E4461" s="57" t="str"/>
      <c r="F4461" s="49" t="str"/>
      <c r="G4461" s="59" t="str"/>
      <c r="H4461" s="64" t="str"/>
      <c r="I4461" s="65" t="str"/>
      <c r="J4461" s="49" t="str"/>
      <c r="K4461" s="41" t="str"/>
      <c r="L4461" s="41" t="str"/>
      <c r="M4461" s="41" t="str"/>
      <c r="N4461" s="41" t="str"/>
      <c r="O4461" s="41" t="str"/>
      <c r="P4461" s="41" t="str"/>
      <c r="Q4461" s="41" t="str"/>
      <c r="R4461" s="41" t="str"/>
      <c r="S4461" s="41" t="str"/>
      <c r="T4461" s="41" t="str"/>
      <c r="U4461" s="41" t="str"/>
      <c r="V4461" s="41" t="str"/>
      <c r="W4461" s="41" t="str"/>
    </row>
    <row r="4462">
      <c r="B4462" s="2" t="n"/>
      <c r="C4462" s="40" t="n"/>
      <c r="D4462" s="52">
        <f t="array" ref="D4462:W4462">IF(All_Students_Scores!C4460:V4460="","",All_Students_Scores!C4460:V4460)</f>
        <v/>
      </c>
      <c r="E4462" s="57" t="str"/>
      <c r="F4462" s="49" t="str"/>
      <c r="G4462" s="59" t="str"/>
      <c r="H4462" s="64" t="str"/>
      <c r="I4462" s="65" t="str"/>
      <c r="J4462" s="49" t="str"/>
      <c r="K4462" s="41" t="str"/>
      <c r="L4462" s="41" t="str"/>
      <c r="M4462" s="41" t="str"/>
      <c r="N4462" s="41" t="str"/>
      <c r="O4462" s="41" t="str"/>
      <c r="P4462" s="41" t="str"/>
      <c r="Q4462" s="41" t="str"/>
      <c r="R4462" s="41" t="str"/>
      <c r="S4462" s="41" t="str"/>
      <c r="T4462" s="41" t="str"/>
      <c r="U4462" s="41" t="str"/>
      <c r="V4462" s="41" t="str"/>
      <c r="W4462" s="41" t="str"/>
    </row>
    <row r="4463">
      <c r="B4463" s="2" t="n"/>
      <c r="C4463" s="40" t="n"/>
      <c r="D4463" s="52">
        <f t="array" ref="D4463:W4463">IF(All_Students_Scores!C4461:V4461="","",All_Students_Scores!C4461:V4461)</f>
        <v/>
      </c>
      <c r="E4463" s="57" t="str"/>
      <c r="F4463" s="49" t="str"/>
      <c r="G4463" s="59" t="str"/>
      <c r="H4463" s="64" t="str"/>
      <c r="I4463" s="65" t="str"/>
      <c r="J4463" s="49" t="str"/>
      <c r="K4463" s="41" t="str"/>
      <c r="L4463" s="41" t="str"/>
      <c r="M4463" s="41" t="str"/>
      <c r="N4463" s="41" t="str"/>
      <c r="O4463" s="41" t="str"/>
      <c r="P4463" s="41" t="str"/>
      <c r="Q4463" s="41" t="str"/>
      <c r="R4463" s="41" t="str"/>
      <c r="S4463" s="41" t="str"/>
      <c r="T4463" s="41" t="str"/>
      <c r="U4463" s="41" t="str"/>
      <c r="V4463" s="41" t="str"/>
      <c r="W4463" s="41" t="str"/>
    </row>
    <row r="4464">
      <c r="B4464" s="2" t="n"/>
      <c r="C4464" s="40" t="n"/>
      <c r="D4464" s="52">
        <f t="array" ref="D4464:W4464">IF(All_Students_Scores!C4462:V4462="","",All_Students_Scores!C4462:V4462)</f>
        <v/>
      </c>
      <c r="E4464" s="57" t="str"/>
      <c r="F4464" s="49" t="str"/>
      <c r="G4464" s="59" t="str"/>
      <c r="H4464" s="64" t="str"/>
      <c r="I4464" s="65" t="str"/>
      <c r="J4464" s="49" t="str"/>
      <c r="K4464" s="41" t="str"/>
      <c r="L4464" s="41" t="str"/>
      <c r="M4464" s="41" t="str"/>
      <c r="N4464" s="41" t="str"/>
      <c r="O4464" s="41" t="str"/>
      <c r="P4464" s="41" t="str"/>
      <c r="Q4464" s="41" t="str"/>
      <c r="R4464" s="41" t="str"/>
      <c r="S4464" s="41" t="str"/>
      <c r="T4464" s="41" t="str"/>
      <c r="U4464" s="41" t="str"/>
      <c r="V4464" s="41" t="str"/>
      <c r="W4464" s="41" t="str"/>
    </row>
    <row r="4465">
      <c r="B4465" s="2" t="n"/>
      <c r="C4465" s="40" t="n"/>
      <c r="D4465" s="52">
        <f t="array" ref="D4465:W4465">IF(All_Students_Scores!C4463:V4463="","",All_Students_Scores!C4463:V4463)</f>
        <v/>
      </c>
      <c r="E4465" s="57" t="str"/>
      <c r="F4465" s="49" t="str"/>
      <c r="G4465" s="59" t="str"/>
      <c r="H4465" s="64" t="str"/>
      <c r="I4465" s="65" t="str"/>
      <c r="J4465" s="49" t="str"/>
      <c r="K4465" s="41" t="str"/>
      <c r="L4465" s="41" t="str"/>
      <c r="M4465" s="41" t="str"/>
      <c r="N4465" s="41" t="str"/>
      <c r="O4465" s="41" t="str"/>
      <c r="P4465" s="41" t="str"/>
      <c r="Q4465" s="41" t="str"/>
      <c r="R4465" s="41" t="str"/>
      <c r="S4465" s="41" t="str"/>
      <c r="T4465" s="41" t="str"/>
      <c r="U4465" s="41" t="str"/>
      <c r="V4465" s="41" t="str"/>
      <c r="W4465" s="41" t="str"/>
    </row>
    <row r="4466">
      <c r="B4466" s="2" t="n"/>
      <c r="C4466" s="40" t="n"/>
      <c r="D4466" s="52">
        <f t="array" ref="D4466:W4466">IF(All_Students_Scores!C4464:V4464="","",All_Students_Scores!C4464:V4464)</f>
        <v/>
      </c>
      <c r="E4466" s="57" t="str"/>
      <c r="F4466" s="49" t="str"/>
      <c r="G4466" s="59" t="str"/>
      <c r="H4466" s="64" t="str"/>
      <c r="I4466" s="65" t="str"/>
      <c r="J4466" s="49" t="str"/>
      <c r="K4466" s="41" t="str"/>
      <c r="L4466" s="41" t="str"/>
      <c r="M4466" s="41" t="str"/>
      <c r="N4466" s="41" t="str"/>
      <c r="O4466" s="41" t="str"/>
      <c r="P4466" s="41" t="str"/>
      <c r="Q4466" s="41" t="str"/>
      <c r="R4466" s="41" t="str"/>
      <c r="S4466" s="41" t="str"/>
      <c r="T4466" s="41" t="str"/>
      <c r="U4466" s="41" t="str"/>
      <c r="V4466" s="41" t="str"/>
      <c r="W4466" s="41" t="str"/>
    </row>
    <row r="4467">
      <c r="B4467" s="2" t="n"/>
      <c r="C4467" s="40" t="n"/>
      <c r="D4467" s="52">
        <f t="array" ref="D4467:W4467">IF(All_Students_Scores!C4465:V4465="","",All_Students_Scores!C4465:V4465)</f>
        <v/>
      </c>
      <c r="E4467" s="57" t="str"/>
      <c r="F4467" s="49" t="str"/>
      <c r="G4467" s="59" t="str"/>
      <c r="H4467" s="64" t="str"/>
      <c r="I4467" s="65" t="str"/>
      <c r="J4467" s="49" t="str"/>
      <c r="K4467" s="41" t="str"/>
      <c r="L4467" s="41" t="str"/>
      <c r="M4467" s="41" t="str"/>
      <c r="N4467" s="41" t="str"/>
      <c r="O4467" s="41" t="str"/>
      <c r="P4467" s="41" t="str"/>
      <c r="Q4467" s="41" t="str"/>
      <c r="R4467" s="41" t="str"/>
      <c r="S4467" s="41" t="str"/>
      <c r="T4467" s="41" t="str"/>
      <c r="U4467" s="41" t="str"/>
      <c r="V4467" s="41" t="str"/>
      <c r="W4467" s="41" t="str"/>
    </row>
    <row r="4468">
      <c r="B4468" s="2" t="n"/>
      <c r="C4468" s="40" t="n"/>
      <c r="D4468" s="52">
        <f t="array" ref="D4468:W4468">IF(All_Students_Scores!C4466:V4466="","",All_Students_Scores!C4466:V4466)</f>
        <v/>
      </c>
      <c r="E4468" s="57" t="str"/>
      <c r="F4468" s="49" t="str"/>
      <c r="G4468" s="59" t="str"/>
      <c r="H4468" s="64" t="str"/>
      <c r="I4468" s="65" t="str"/>
      <c r="J4468" s="49" t="str"/>
      <c r="K4468" s="41" t="str"/>
      <c r="L4468" s="41" t="str"/>
      <c r="M4468" s="41" t="str"/>
      <c r="N4468" s="41" t="str"/>
      <c r="O4468" s="41" t="str"/>
      <c r="P4468" s="41" t="str"/>
      <c r="Q4468" s="41" t="str"/>
      <c r="R4468" s="41" t="str"/>
      <c r="S4468" s="41" t="str"/>
      <c r="T4468" s="41" t="str"/>
      <c r="U4468" s="41" t="str"/>
      <c r="V4468" s="41" t="str"/>
      <c r="W4468" s="41" t="str"/>
    </row>
    <row r="4469">
      <c r="B4469" s="2" t="n"/>
      <c r="C4469" s="40" t="n"/>
      <c r="D4469" s="52">
        <f t="array" ref="D4469:W4469">IF(All_Students_Scores!C4467:V4467="","",All_Students_Scores!C4467:V4467)</f>
        <v/>
      </c>
      <c r="E4469" s="57" t="str"/>
      <c r="F4469" s="49" t="str"/>
      <c r="G4469" s="59" t="str"/>
      <c r="H4469" s="64" t="str"/>
      <c r="I4469" s="65" t="str"/>
      <c r="J4469" s="49" t="str"/>
      <c r="K4469" s="41" t="str"/>
      <c r="L4469" s="41" t="str"/>
      <c r="M4469" s="41" t="str"/>
      <c r="N4469" s="41" t="str"/>
      <c r="O4469" s="41" t="str"/>
      <c r="P4469" s="41" t="str"/>
      <c r="Q4469" s="41" t="str"/>
      <c r="R4469" s="41" t="str"/>
      <c r="S4469" s="41" t="str"/>
      <c r="T4469" s="41" t="str"/>
      <c r="U4469" s="41" t="str"/>
      <c r="V4469" s="41" t="str"/>
      <c r="W4469" s="41" t="str"/>
    </row>
    <row r="4470">
      <c r="B4470" s="2" t="n"/>
      <c r="C4470" s="40" t="n"/>
      <c r="D4470" s="52">
        <f t="array" ref="D4470:W4470">IF(All_Students_Scores!C4468:V4468="","",All_Students_Scores!C4468:V4468)</f>
        <v/>
      </c>
      <c r="E4470" s="57" t="str"/>
      <c r="F4470" s="49" t="str"/>
      <c r="G4470" s="59" t="str"/>
      <c r="H4470" s="64" t="str"/>
      <c r="I4470" s="65" t="str"/>
      <c r="J4470" s="49" t="str"/>
      <c r="K4470" s="41" t="str"/>
      <c r="L4470" s="41" t="str"/>
      <c r="M4470" s="41" t="str"/>
      <c r="N4470" s="41" t="str"/>
      <c r="O4470" s="41" t="str"/>
      <c r="P4470" s="41" t="str"/>
      <c r="Q4470" s="41" t="str"/>
      <c r="R4470" s="41" t="str"/>
      <c r="S4470" s="41" t="str"/>
      <c r="T4470" s="41" t="str"/>
      <c r="U4470" s="41" t="str"/>
      <c r="V4470" s="41" t="str"/>
      <c r="W4470" s="41" t="str"/>
    </row>
    <row r="4471">
      <c r="B4471" s="2" t="n"/>
      <c r="C4471" s="40" t="n"/>
      <c r="D4471" s="52">
        <f t="array" ref="D4471:W4471">IF(All_Students_Scores!C4469:V4469="","",All_Students_Scores!C4469:V4469)</f>
        <v/>
      </c>
      <c r="E4471" s="57" t="str"/>
      <c r="F4471" s="49" t="str"/>
      <c r="G4471" s="59" t="str"/>
      <c r="H4471" s="64" t="str"/>
      <c r="I4471" s="65" t="str"/>
      <c r="J4471" s="49" t="str"/>
      <c r="K4471" s="41" t="str"/>
      <c r="L4471" s="41" t="str"/>
      <c r="M4471" s="41" t="str"/>
      <c r="N4471" s="41" t="str"/>
      <c r="O4471" s="41" t="str"/>
      <c r="P4471" s="41" t="str"/>
      <c r="Q4471" s="41" t="str"/>
      <c r="R4471" s="41" t="str"/>
      <c r="S4471" s="41" t="str"/>
      <c r="T4471" s="41" t="str"/>
      <c r="U4471" s="41" t="str"/>
      <c r="V4471" s="41" t="str"/>
      <c r="W4471" s="41" t="str"/>
    </row>
    <row r="4472">
      <c r="B4472" s="2" t="n"/>
      <c r="C4472" s="40" t="n"/>
      <c r="D4472" s="52">
        <f t="array" ref="D4472:W4472">IF(All_Students_Scores!C4470:V4470="","",All_Students_Scores!C4470:V4470)</f>
        <v/>
      </c>
      <c r="E4472" s="57" t="str"/>
      <c r="F4472" s="49" t="str"/>
      <c r="G4472" s="59" t="str"/>
      <c r="H4472" s="64" t="str"/>
      <c r="I4472" s="65" t="str"/>
      <c r="J4472" s="49" t="str"/>
      <c r="K4472" s="41" t="str"/>
      <c r="L4472" s="41" t="str"/>
      <c r="M4472" s="41" t="str"/>
      <c r="N4472" s="41" t="str"/>
      <c r="O4472" s="41" t="str"/>
      <c r="P4472" s="41" t="str"/>
      <c r="Q4472" s="41" t="str"/>
      <c r="R4472" s="41" t="str"/>
      <c r="S4472" s="41" t="str"/>
      <c r="T4472" s="41" t="str"/>
      <c r="U4472" s="41" t="str"/>
      <c r="V4472" s="41" t="str"/>
      <c r="W4472" s="41" t="str"/>
    </row>
    <row r="4473">
      <c r="B4473" s="2" t="n"/>
      <c r="C4473" s="40" t="n"/>
      <c r="D4473" s="52">
        <f t="array" ref="D4473:W4473">IF(All_Students_Scores!C4471:V4471="","",All_Students_Scores!C4471:V4471)</f>
        <v/>
      </c>
      <c r="E4473" s="57" t="str"/>
      <c r="F4473" s="49" t="str"/>
      <c r="G4473" s="59" t="str"/>
      <c r="H4473" s="64" t="str"/>
      <c r="I4473" s="65" t="str"/>
      <c r="J4473" s="49" t="str"/>
      <c r="K4473" s="41" t="str"/>
      <c r="L4473" s="41" t="str"/>
      <c r="M4473" s="41" t="str"/>
      <c r="N4473" s="41" t="str"/>
      <c r="O4473" s="41" t="str"/>
      <c r="P4473" s="41" t="str"/>
      <c r="Q4473" s="41" t="str"/>
      <c r="R4473" s="41" t="str"/>
      <c r="S4473" s="41" t="str"/>
      <c r="T4473" s="41" t="str"/>
      <c r="U4473" s="41" t="str"/>
      <c r="V4473" s="41" t="str"/>
      <c r="W4473" s="41" t="str"/>
    </row>
    <row r="4474">
      <c r="B4474" s="2" t="n"/>
      <c r="C4474" s="40" t="n"/>
      <c r="D4474" s="52">
        <f t="array" ref="D4474:W4474">IF(All_Students_Scores!C4472:V4472="","",All_Students_Scores!C4472:V4472)</f>
        <v/>
      </c>
      <c r="E4474" s="57" t="str"/>
      <c r="F4474" s="49" t="str"/>
      <c r="G4474" s="59" t="str"/>
      <c r="H4474" s="64" t="str"/>
      <c r="I4474" s="65" t="str"/>
      <c r="J4474" s="49" t="str"/>
      <c r="K4474" s="41" t="str"/>
      <c r="L4474" s="41" t="str"/>
      <c r="M4474" s="41" t="str"/>
      <c r="N4474" s="41" t="str"/>
      <c r="O4474" s="41" t="str"/>
      <c r="P4474" s="41" t="str"/>
      <c r="Q4474" s="41" t="str"/>
      <c r="R4474" s="41" t="str"/>
      <c r="S4474" s="41" t="str"/>
      <c r="T4474" s="41" t="str"/>
      <c r="U4474" s="41" t="str"/>
      <c r="V4474" s="41" t="str"/>
      <c r="W4474" s="41" t="str"/>
    </row>
    <row r="4475">
      <c r="B4475" s="2" t="n"/>
      <c r="C4475" s="40" t="n"/>
      <c r="D4475" s="52">
        <f t="array" ref="D4475:W4475">IF(All_Students_Scores!C4473:V4473="","",All_Students_Scores!C4473:V4473)</f>
        <v/>
      </c>
      <c r="E4475" s="57" t="str"/>
      <c r="F4475" s="49" t="str"/>
      <c r="G4475" s="59" t="str"/>
      <c r="H4475" s="64" t="str"/>
      <c r="I4475" s="65" t="str"/>
      <c r="J4475" s="49" t="str"/>
      <c r="K4475" s="41" t="str"/>
      <c r="L4475" s="41" t="str"/>
      <c r="M4475" s="41" t="str"/>
      <c r="N4475" s="41" t="str"/>
      <c r="O4475" s="41" t="str"/>
      <c r="P4475" s="41" t="str"/>
      <c r="Q4475" s="41" t="str"/>
      <c r="R4475" s="41" t="str"/>
      <c r="S4475" s="41" t="str"/>
      <c r="T4475" s="41" t="str"/>
      <c r="U4475" s="41" t="str"/>
      <c r="V4475" s="41" t="str"/>
      <c r="W4475" s="41" t="str"/>
    </row>
    <row r="4476">
      <c r="B4476" s="2" t="n"/>
      <c r="C4476" s="40" t="n"/>
      <c r="D4476" s="52">
        <f t="array" ref="D4476:W4476">IF(All_Students_Scores!C4474:V4474="","",All_Students_Scores!C4474:V4474)</f>
        <v/>
      </c>
      <c r="E4476" s="57" t="str"/>
      <c r="F4476" s="49" t="str"/>
      <c r="G4476" s="59" t="str"/>
      <c r="H4476" s="64" t="str"/>
      <c r="I4476" s="65" t="str"/>
      <c r="J4476" s="49" t="str"/>
      <c r="K4476" s="41" t="str"/>
      <c r="L4476" s="41" t="str"/>
      <c r="M4476" s="41" t="str"/>
      <c r="N4476" s="41" t="str"/>
      <c r="O4476" s="41" t="str"/>
      <c r="P4476" s="41" t="str"/>
      <c r="Q4476" s="41" t="str"/>
      <c r="R4476" s="41" t="str"/>
      <c r="S4476" s="41" t="str"/>
      <c r="T4476" s="41" t="str"/>
      <c r="U4476" s="41" t="str"/>
      <c r="V4476" s="41" t="str"/>
      <c r="W4476" s="41" t="str"/>
    </row>
    <row r="4477">
      <c r="B4477" s="2" t="n"/>
      <c r="C4477" s="40" t="n"/>
      <c r="D4477" s="52">
        <f t="array" ref="D4477:W4477">IF(All_Students_Scores!C4475:V4475="","",All_Students_Scores!C4475:V4475)</f>
        <v/>
      </c>
      <c r="E4477" s="57" t="str"/>
      <c r="F4477" s="49" t="str"/>
      <c r="G4477" s="59" t="str"/>
      <c r="H4477" s="64" t="str"/>
      <c r="I4477" s="65" t="str"/>
      <c r="J4477" s="49" t="str"/>
      <c r="K4477" s="41" t="str"/>
      <c r="L4477" s="41" t="str"/>
      <c r="M4477" s="41" t="str"/>
      <c r="N4477" s="41" t="str"/>
      <c r="O4477" s="41" t="str"/>
      <c r="P4477" s="41" t="str"/>
      <c r="Q4477" s="41" t="str"/>
      <c r="R4477" s="41" t="str"/>
      <c r="S4477" s="41" t="str"/>
      <c r="T4477" s="41" t="str"/>
      <c r="U4477" s="41" t="str"/>
      <c r="V4477" s="41" t="str"/>
      <c r="W4477" s="41" t="str"/>
    </row>
    <row r="4478">
      <c r="B4478" s="2" t="n"/>
      <c r="C4478" s="40" t="n"/>
      <c r="D4478" s="52">
        <f t="array" ref="D4478:W4478">IF(All_Students_Scores!C4476:V4476="","",All_Students_Scores!C4476:V4476)</f>
        <v/>
      </c>
      <c r="E4478" s="57" t="str"/>
      <c r="F4478" s="49" t="str"/>
      <c r="G4478" s="59" t="str"/>
      <c r="H4478" s="64" t="str"/>
      <c r="I4478" s="65" t="str"/>
      <c r="J4478" s="49" t="str"/>
      <c r="K4478" s="41" t="str"/>
      <c r="L4478" s="41" t="str"/>
      <c r="M4478" s="41" t="str"/>
      <c r="N4478" s="41" t="str"/>
      <c r="O4478" s="41" t="str"/>
      <c r="P4478" s="41" t="str"/>
      <c r="Q4478" s="41" t="str"/>
      <c r="R4478" s="41" t="str"/>
      <c r="S4478" s="41" t="str"/>
      <c r="T4478" s="41" t="str"/>
      <c r="U4478" s="41" t="str"/>
      <c r="V4478" s="41" t="str"/>
      <c r="W4478" s="41" t="str"/>
    </row>
    <row r="4479">
      <c r="B4479" s="2" t="n"/>
      <c r="C4479" s="40" t="n"/>
      <c r="D4479" s="52">
        <f t="array" ref="D4479:W4479">IF(All_Students_Scores!C4477:V4477="","",All_Students_Scores!C4477:V4477)</f>
        <v/>
      </c>
      <c r="E4479" s="57" t="str"/>
      <c r="F4479" s="49" t="str"/>
      <c r="G4479" s="59" t="str"/>
      <c r="H4479" s="64" t="str"/>
      <c r="I4479" s="65" t="str"/>
      <c r="J4479" s="49" t="str"/>
      <c r="K4479" s="41" t="str"/>
      <c r="L4479" s="41" t="str"/>
      <c r="M4479" s="41" t="str"/>
      <c r="N4479" s="41" t="str"/>
      <c r="O4479" s="41" t="str"/>
      <c r="P4479" s="41" t="str"/>
      <c r="Q4479" s="41" t="str"/>
      <c r="R4479" s="41" t="str"/>
      <c r="S4479" s="41" t="str"/>
      <c r="T4479" s="41" t="str"/>
      <c r="U4479" s="41" t="str"/>
      <c r="V4479" s="41" t="str"/>
      <c r="W4479" s="41" t="str"/>
    </row>
    <row r="4480">
      <c r="B4480" s="2" t="n"/>
      <c r="C4480" s="40" t="n"/>
      <c r="D4480" s="52">
        <f t="array" ref="D4480:W4480">IF(All_Students_Scores!C4478:V4478="","",All_Students_Scores!C4478:V4478)</f>
        <v/>
      </c>
      <c r="E4480" s="57" t="str"/>
      <c r="F4480" s="49" t="str"/>
      <c r="G4480" s="59" t="str"/>
      <c r="H4480" s="64" t="str"/>
      <c r="I4480" s="65" t="str"/>
      <c r="J4480" s="49" t="str"/>
      <c r="K4480" s="41" t="str"/>
      <c r="L4480" s="41" t="str"/>
      <c r="M4480" s="41" t="str"/>
      <c r="N4480" s="41" t="str"/>
      <c r="O4480" s="41" t="str"/>
      <c r="P4480" s="41" t="str"/>
      <c r="Q4480" s="41" t="str"/>
      <c r="R4480" s="41" t="str"/>
      <c r="S4480" s="41" t="str"/>
      <c r="T4480" s="41" t="str"/>
      <c r="U4480" s="41" t="str"/>
      <c r="V4480" s="41" t="str"/>
      <c r="W4480" s="41" t="str"/>
    </row>
    <row r="4481">
      <c r="B4481" s="2" t="n"/>
      <c r="C4481" s="40" t="n"/>
      <c r="D4481" s="52">
        <f t="array" ref="D4481:W4481">IF(All_Students_Scores!C4479:V4479="","",All_Students_Scores!C4479:V4479)</f>
        <v/>
      </c>
      <c r="E4481" s="57" t="str"/>
      <c r="F4481" s="49" t="str"/>
      <c r="G4481" s="59" t="str"/>
      <c r="H4481" s="64" t="str"/>
      <c r="I4481" s="65" t="str"/>
      <c r="J4481" s="49" t="str"/>
      <c r="K4481" s="41" t="str"/>
      <c r="L4481" s="41" t="str"/>
      <c r="M4481" s="41" t="str"/>
      <c r="N4481" s="41" t="str"/>
      <c r="O4481" s="41" t="str"/>
      <c r="P4481" s="41" t="str"/>
      <c r="Q4481" s="41" t="str"/>
      <c r="R4481" s="41" t="str"/>
      <c r="S4481" s="41" t="str"/>
      <c r="T4481" s="41" t="str"/>
      <c r="U4481" s="41" t="str"/>
      <c r="V4481" s="41" t="str"/>
      <c r="W4481" s="41" t="str"/>
    </row>
    <row r="4482">
      <c r="B4482" s="2" t="n"/>
      <c r="C4482" s="40" t="n"/>
      <c r="D4482" s="52">
        <f t="array" ref="D4482:W4482">IF(All_Students_Scores!C4480:V4480="","",All_Students_Scores!C4480:V4480)</f>
        <v/>
      </c>
      <c r="E4482" s="57" t="str"/>
      <c r="F4482" s="49" t="str"/>
      <c r="G4482" s="59" t="str"/>
      <c r="H4482" s="64" t="str"/>
      <c r="I4482" s="65" t="str"/>
      <c r="J4482" s="49" t="str"/>
      <c r="K4482" s="41" t="str"/>
      <c r="L4482" s="41" t="str"/>
      <c r="M4482" s="41" t="str"/>
      <c r="N4482" s="41" t="str"/>
      <c r="O4482" s="41" t="str"/>
      <c r="P4482" s="41" t="str"/>
      <c r="Q4482" s="41" t="str"/>
      <c r="R4482" s="41" t="str"/>
      <c r="S4482" s="41" t="str"/>
      <c r="T4482" s="41" t="str"/>
      <c r="U4482" s="41" t="str"/>
      <c r="V4482" s="41" t="str"/>
      <c r="W4482" s="41" t="str"/>
    </row>
    <row r="4483">
      <c r="B4483" s="2" t="n"/>
      <c r="C4483" s="40" t="n"/>
      <c r="D4483" s="52">
        <f t="array" ref="D4483:W4483">IF(All_Students_Scores!C4481:V4481="","",All_Students_Scores!C4481:V4481)</f>
        <v/>
      </c>
      <c r="E4483" s="57" t="str"/>
      <c r="F4483" s="49" t="str"/>
      <c r="G4483" s="59" t="str"/>
      <c r="H4483" s="64" t="str"/>
      <c r="I4483" s="65" t="str"/>
      <c r="J4483" s="49" t="str"/>
      <c r="K4483" s="41" t="str"/>
      <c r="L4483" s="41" t="str"/>
      <c r="M4483" s="41" t="str"/>
      <c r="N4483" s="41" t="str"/>
      <c r="O4483" s="41" t="str"/>
      <c r="P4483" s="41" t="str"/>
      <c r="Q4483" s="41" t="str"/>
      <c r="R4483" s="41" t="str"/>
      <c r="S4483" s="41" t="str"/>
      <c r="T4483" s="41" t="str"/>
      <c r="U4483" s="41" t="str"/>
      <c r="V4483" s="41" t="str"/>
      <c r="W4483" s="41" t="str"/>
    </row>
    <row r="4484">
      <c r="B4484" s="2" t="n"/>
      <c r="C4484" s="40" t="n"/>
      <c r="D4484" s="52">
        <f t="array" ref="D4484:W4484">IF(All_Students_Scores!C4482:V4482="","",All_Students_Scores!C4482:V4482)</f>
        <v/>
      </c>
      <c r="E4484" s="57" t="str"/>
      <c r="F4484" s="49" t="str"/>
      <c r="G4484" s="59" t="str"/>
      <c r="H4484" s="64" t="str"/>
      <c r="I4484" s="65" t="str"/>
      <c r="J4484" s="49" t="str"/>
      <c r="K4484" s="41" t="str"/>
      <c r="L4484" s="41" t="str"/>
      <c r="M4484" s="41" t="str"/>
      <c r="N4484" s="41" t="str"/>
      <c r="O4484" s="41" t="str"/>
      <c r="P4484" s="41" t="str"/>
      <c r="Q4484" s="41" t="str"/>
      <c r="R4484" s="41" t="str"/>
      <c r="S4484" s="41" t="str"/>
      <c r="T4484" s="41" t="str"/>
      <c r="U4484" s="41" t="str"/>
      <c r="V4484" s="41" t="str"/>
      <c r="W4484" s="41" t="str"/>
    </row>
    <row r="4485">
      <c r="B4485" s="2" t="n"/>
      <c r="C4485" s="40" t="n"/>
      <c r="D4485" s="52">
        <f t="array" ref="D4485:W4485">IF(All_Students_Scores!C4483:V4483="","",All_Students_Scores!C4483:V4483)</f>
        <v/>
      </c>
      <c r="E4485" s="57" t="str"/>
      <c r="F4485" s="49" t="str"/>
      <c r="G4485" s="59" t="str"/>
      <c r="H4485" s="64" t="str"/>
      <c r="I4485" s="65" t="str"/>
      <c r="J4485" s="49" t="str"/>
      <c r="K4485" s="41" t="str"/>
      <c r="L4485" s="41" t="str"/>
      <c r="M4485" s="41" t="str"/>
      <c r="N4485" s="41" t="str"/>
      <c r="O4485" s="41" t="str"/>
      <c r="P4485" s="41" t="str"/>
      <c r="Q4485" s="41" t="str"/>
      <c r="R4485" s="41" t="str"/>
      <c r="S4485" s="41" t="str"/>
      <c r="T4485" s="41" t="str"/>
      <c r="U4485" s="41" t="str"/>
      <c r="V4485" s="41" t="str"/>
      <c r="W4485" s="41" t="str"/>
    </row>
    <row r="4486">
      <c r="B4486" s="2" t="n"/>
      <c r="C4486" s="40" t="n"/>
      <c r="D4486" s="52">
        <f t="array" ref="D4486:W4486">IF(All_Students_Scores!C4484:V4484="","",All_Students_Scores!C4484:V4484)</f>
        <v/>
      </c>
      <c r="E4486" s="57" t="str"/>
      <c r="F4486" s="49" t="str"/>
      <c r="G4486" s="59" t="str"/>
      <c r="H4486" s="64" t="str"/>
      <c r="I4486" s="65" t="str"/>
      <c r="J4486" s="49" t="str"/>
      <c r="K4486" s="41" t="str"/>
      <c r="L4486" s="41" t="str"/>
      <c r="M4486" s="41" t="str"/>
      <c r="N4486" s="41" t="str"/>
      <c r="O4486" s="41" t="str"/>
      <c r="P4486" s="41" t="str"/>
      <c r="Q4486" s="41" t="str"/>
      <c r="R4486" s="41" t="str"/>
      <c r="S4486" s="41" t="str"/>
      <c r="T4486" s="41" t="str"/>
      <c r="U4486" s="41" t="str"/>
      <c r="V4486" s="41" t="str"/>
      <c r="W4486" s="41" t="str"/>
    </row>
    <row r="4487">
      <c r="B4487" s="2" t="n"/>
      <c r="C4487" s="40" t="n"/>
      <c r="D4487" s="52">
        <f t="array" ref="D4487:W4487">IF(All_Students_Scores!C4485:V4485="","",All_Students_Scores!C4485:V4485)</f>
        <v/>
      </c>
      <c r="E4487" s="57" t="str"/>
      <c r="F4487" s="49" t="str"/>
      <c r="G4487" s="59" t="str"/>
      <c r="H4487" s="64" t="str"/>
      <c r="I4487" s="65" t="str"/>
      <c r="J4487" s="49" t="str"/>
      <c r="K4487" s="41" t="str"/>
      <c r="L4487" s="41" t="str"/>
      <c r="M4487" s="41" t="str"/>
      <c r="N4487" s="41" t="str"/>
      <c r="O4487" s="41" t="str"/>
      <c r="P4487" s="41" t="str"/>
      <c r="Q4487" s="41" t="str"/>
      <c r="R4487" s="41" t="str"/>
      <c r="S4487" s="41" t="str"/>
      <c r="T4487" s="41" t="str"/>
      <c r="U4487" s="41" t="str"/>
      <c r="V4487" s="41" t="str"/>
      <c r="W4487" s="41" t="str"/>
    </row>
    <row r="4488">
      <c r="B4488" s="2" t="n"/>
      <c r="C4488" s="40" t="n"/>
      <c r="D4488" s="52">
        <f t="array" ref="D4488:W4488">IF(All_Students_Scores!C4486:V4486="","",All_Students_Scores!C4486:V4486)</f>
        <v/>
      </c>
      <c r="E4488" s="57" t="str"/>
      <c r="F4488" s="49" t="str"/>
      <c r="G4488" s="59" t="str"/>
      <c r="H4488" s="64" t="str"/>
      <c r="I4488" s="65" t="str"/>
      <c r="J4488" s="49" t="str"/>
      <c r="K4488" s="41" t="str"/>
      <c r="L4488" s="41" t="str"/>
      <c r="M4488" s="41" t="str"/>
      <c r="N4488" s="41" t="str"/>
      <c r="O4488" s="41" t="str"/>
      <c r="P4488" s="41" t="str"/>
      <c r="Q4488" s="41" t="str"/>
      <c r="R4488" s="41" t="str"/>
      <c r="S4488" s="41" t="str"/>
      <c r="T4488" s="41" t="str"/>
      <c r="U4488" s="41" t="str"/>
      <c r="V4488" s="41" t="str"/>
      <c r="W4488" s="41" t="str"/>
    </row>
    <row r="4489">
      <c r="B4489" s="2" t="n"/>
      <c r="C4489" s="40" t="n"/>
      <c r="D4489" s="52">
        <f t="array" ref="D4489:W4489">IF(All_Students_Scores!C4487:V4487="","",All_Students_Scores!C4487:V4487)</f>
        <v/>
      </c>
      <c r="E4489" s="57" t="str"/>
      <c r="F4489" s="49" t="str"/>
      <c r="G4489" s="59" t="str"/>
      <c r="H4489" s="64" t="str"/>
      <c r="I4489" s="65" t="str"/>
      <c r="J4489" s="49" t="str"/>
      <c r="K4489" s="41" t="str"/>
      <c r="L4489" s="41" t="str"/>
      <c r="M4489" s="41" t="str"/>
      <c r="N4489" s="41" t="str"/>
      <c r="O4489" s="41" t="str"/>
      <c r="P4489" s="41" t="str"/>
      <c r="Q4489" s="41" t="str"/>
      <c r="R4489" s="41" t="str"/>
      <c r="S4489" s="41" t="str"/>
      <c r="T4489" s="41" t="str"/>
      <c r="U4489" s="41" t="str"/>
      <c r="V4489" s="41" t="str"/>
      <c r="W4489" s="41" t="str"/>
    </row>
    <row r="4490">
      <c r="B4490" s="2" t="n"/>
      <c r="C4490" s="40" t="n"/>
      <c r="D4490" s="52">
        <f t="array" ref="D4490:W4490">IF(All_Students_Scores!C4488:V4488="","",All_Students_Scores!C4488:V4488)</f>
        <v/>
      </c>
      <c r="E4490" s="57" t="str"/>
      <c r="F4490" s="49" t="str"/>
      <c r="G4490" s="59" t="str"/>
      <c r="H4490" s="64" t="str"/>
      <c r="I4490" s="65" t="str"/>
      <c r="J4490" s="49" t="str"/>
      <c r="K4490" s="41" t="str"/>
      <c r="L4490" s="41" t="str"/>
      <c r="M4490" s="41" t="str"/>
      <c r="N4490" s="41" t="str"/>
      <c r="O4490" s="41" t="str"/>
      <c r="P4490" s="41" t="str"/>
      <c r="Q4490" s="41" t="str"/>
      <c r="R4490" s="41" t="str"/>
      <c r="S4490" s="41" t="str"/>
      <c r="T4490" s="41" t="str"/>
      <c r="U4490" s="41" t="str"/>
      <c r="V4490" s="41" t="str"/>
      <c r="W4490" s="41" t="str"/>
    </row>
    <row r="4491">
      <c r="B4491" s="2" t="n"/>
      <c r="C4491" s="40" t="n"/>
      <c r="D4491" s="52">
        <f t="array" ref="D4491:W4491">IF(All_Students_Scores!C4489:V4489="","",All_Students_Scores!C4489:V4489)</f>
        <v/>
      </c>
      <c r="E4491" s="57" t="str"/>
      <c r="F4491" s="49" t="str"/>
      <c r="G4491" s="59" t="str"/>
      <c r="H4491" s="64" t="str"/>
      <c r="I4491" s="65" t="str"/>
      <c r="J4491" s="49" t="str"/>
      <c r="K4491" s="41" t="str"/>
      <c r="L4491" s="41" t="str"/>
      <c r="M4491" s="41" t="str"/>
      <c r="N4491" s="41" t="str"/>
      <c r="O4491" s="41" t="str"/>
      <c r="P4491" s="41" t="str"/>
      <c r="Q4491" s="41" t="str"/>
      <c r="R4491" s="41" t="str"/>
      <c r="S4491" s="41" t="str"/>
      <c r="T4491" s="41" t="str"/>
      <c r="U4491" s="41" t="str"/>
      <c r="V4491" s="41" t="str"/>
      <c r="W4491" s="41" t="str"/>
    </row>
    <row r="4492">
      <c r="B4492" s="2" t="n"/>
      <c r="C4492" s="40" t="n"/>
      <c r="D4492" s="52">
        <f t="array" ref="D4492:W4492">IF(All_Students_Scores!C4490:V4490="","",All_Students_Scores!C4490:V4490)</f>
        <v/>
      </c>
      <c r="E4492" s="57" t="str"/>
      <c r="F4492" s="49" t="str"/>
      <c r="G4492" s="59" t="str"/>
      <c r="H4492" s="64" t="str"/>
      <c r="I4492" s="65" t="str"/>
      <c r="J4492" s="49" t="str"/>
      <c r="K4492" s="41" t="str"/>
      <c r="L4492" s="41" t="str"/>
      <c r="M4492" s="41" t="str"/>
      <c r="N4492" s="41" t="str"/>
      <c r="O4492" s="41" t="str"/>
      <c r="P4492" s="41" t="str"/>
      <c r="Q4492" s="41" t="str"/>
      <c r="R4492" s="41" t="str"/>
      <c r="S4492" s="41" t="str"/>
      <c r="T4492" s="41" t="str"/>
      <c r="U4492" s="41" t="str"/>
      <c r="V4492" s="41" t="str"/>
      <c r="W4492" s="41" t="str"/>
    </row>
    <row r="4493">
      <c r="B4493" s="2" t="n"/>
      <c r="C4493" s="40" t="n"/>
      <c r="D4493" s="52">
        <f t="array" ref="D4493:W4493">IF(All_Students_Scores!C4491:V4491="","",All_Students_Scores!C4491:V4491)</f>
        <v/>
      </c>
      <c r="E4493" s="57" t="str"/>
      <c r="F4493" s="49" t="str"/>
      <c r="G4493" s="59" t="str"/>
      <c r="H4493" s="64" t="str"/>
      <c r="I4493" s="65" t="str"/>
      <c r="J4493" s="49" t="str"/>
      <c r="K4493" s="41" t="str"/>
      <c r="L4493" s="41" t="str"/>
      <c r="M4493" s="41" t="str"/>
      <c r="N4493" s="41" t="str"/>
      <c r="O4493" s="41" t="str"/>
      <c r="P4493" s="41" t="str"/>
      <c r="Q4493" s="41" t="str"/>
      <c r="R4493" s="41" t="str"/>
      <c r="S4493" s="41" t="str"/>
      <c r="T4493" s="41" t="str"/>
      <c r="U4493" s="41" t="str"/>
      <c r="V4493" s="41" t="str"/>
      <c r="W4493" s="41" t="str"/>
    </row>
    <row r="4494">
      <c r="B4494" s="2" t="n"/>
      <c r="C4494" s="40" t="n"/>
      <c r="D4494" s="52">
        <f t="array" ref="D4494:W4494">IF(All_Students_Scores!C4492:V4492="","",All_Students_Scores!C4492:V4492)</f>
        <v/>
      </c>
      <c r="E4494" s="57" t="str"/>
      <c r="F4494" s="49" t="str"/>
      <c r="G4494" s="59" t="str"/>
      <c r="H4494" s="64" t="str"/>
      <c r="I4494" s="65" t="str"/>
      <c r="J4494" s="49" t="str"/>
      <c r="K4494" s="41" t="str"/>
      <c r="L4494" s="41" t="str"/>
      <c r="M4494" s="41" t="str"/>
      <c r="N4494" s="41" t="str"/>
      <c r="O4494" s="41" t="str"/>
      <c r="P4494" s="41" t="str"/>
      <c r="Q4494" s="41" t="str"/>
      <c r="R4494" s="41" t="str"/>
      <c r="S4494" s="41" t="str"/>
      <c r="T4494" s="41" t="str"/>
      <c r="U4494" s="41" t="str"/>
      <c r="V4494" s="41" t="str"/>
      <c r="W4494" s="41" t="str"/>
    </row>
    <row r="4495">
      <c r="B4495" s="2" t="n"/>
      <c r="C4495" s="40" t="n"/>
      <c r="D4495" s="52">
        <f t="array" ref="D4495:W4495">IF(All_Students_Scores!C4493:V4493="","",All_Students_Scores!C4493:V4493)</f>
        <v/>
      </c>
      <c r="E4495" s="57" t="str"/>
      <c r="F4495" s="49" t="str"/>
      <c r="G4495" s="59" t="str"/>
      <c r="H4495" s="64" t="str"/>
      <c r="I4495" s="65" t="str"/>
      <c r="J4495" s="49" t="str"/>
      <c r="K4495" s="41" t="str"/>
      <c r="L4495" s="41" t="str"/>
      <c r="M4495" s="41" t="str"/>
      <c r="N4495" s="41" t="str"/>
      <c r="O4495" s="41" t="str"/>
      <c r="P4495" s="41" t="str"/>
      <c r="Q4495" s="41" t="str"/>
      <c r="R4495" s="41" t="str"/>
      <c r="S4495" s="41" t="str"/>
      <c r="T4495" s="41" t="str"/>
      <c r="U4495" s="41" t="str"/>
      <c r="V4495" s="41" t="str"/>
      <c r="W4495" s="41" t="str"/>
    </row>
    <row r="4496">
      <c r="B4496" s="2" t="n"/>
      <c r="C4496" s="40" t="n"/>
      <c r="D4496" s="52">
        <f t="array" ref="D4496:W4496">IF(All_Students_Scores!C4494:V4494="","",All_Students_Scores!C4494:V4494)</f>
        <v/>
      </c>
      <c r="E4496" s="57" t="str"/>
      <c r="F4496" s="49" t="str"/>
      <c r="G4496" s="59" t="str"/>
      <c r="H4496" s="64" t="str"/>
      <c r="I4496" s="65" t="str"/>
      <c r="J4496" s="49" t="str"/>
      <c r="K4496" s="41" t="str"/>
      <c r="L4496" s="41" t="str"/>
      <c r="M4496" s="41" t="str"/>
      <c r="N4496" s="41" t="str"/>
      <c r="O4496" s="41" t="str"/>
      <c r="P4496" s="41" t="str"/>
      <c r="Q4496" s="41" t="str"/>
      <c r="R4496" s="41" t="str"/>
      <c r="S4496" s="41" t="str"/>
      <c r="T4496" s="41" t="str"/>
      <c r="U4496" s="41" t="str"/>
      <c r="V4496" s="41" t="str"/>
      <c r="W4496" s="41" t="str"/>
    </row>
    <row r="4497">
      <c r="B4497" s="2" t="n"/>
      <c r="C4497" s="40" t="n"/>
      <c r="D4497" s="52">
        <f t="array" ref="D4497:W4497">IF(All_Students_Scores!C4495:V4495="","",All_Students_Scores!C4495:V4495)</f>
        <v/>
      </c>
      <c r="E4497" s="57" t="str"/>
      <c r="F4497" s="49" t="str"/>
      <c r="G4497" s="59" t="str"/>
      <c r="H4497" s="64" t="str"/>
      <c r="I4497" s="65" t="str"/>
      <c r="J4497" s="49" t="str"/>
      <c r="K4497" s="41" t="str"/>
      <c r="L4497" s="41" t="str"/>
      <c r="M4497" s="41" t="str"/>
      <c r="N4497" s="41" t="str"/>
      <c r="O4497" s="41" t="str"/>
      <c r="P4497" s="41" t="str"/>
      <c r="Q4497" s="41" t="str"/>
      <c r="R4497" s="41" t="str"/>
      <c r="S4497" s="41" t="str"/>
      <c r="T4497" s="41" t="str"/>
      <c r="U4497" s="41" t="str"/>
      <c r="V4497" s="41" t="str"/>
      <c r="W4497" s="41" t="str"/>
    </row>
    <row r="4498">
      <c r="B4498" s="2" t="n"/>
      <c r="C4498" s="40" t="n"/>
      <c r="D4498" s="52">
        <f t="array" ref="D4498:W4498">IF(All_Students_Scores!C4496:V4496="","",All_Students_Scores!C4496:V4496)</f>
        <v/>
      </c>
      <c r="E4498" s="57" t="str"/>
      <c r="F4498" s="49" t="str"/>
      <c r="G4498" s="59" t="str"/>
      <c r="H4498" s="64" t="str"/>
      <c r="I4498" s="65" t="str"/>
      <c r="J4498" s="49" t="str"/>
      <c r="K4498" s="41" t="str"/>
      <c r="L4498" s="41" t="str"/>
      <c r="M4498" s="41" t="str"/>
      <c r="N4498" s="41" t="str"/>
      <c r="O4498" s="41" t="str"/>
      <c r="P4498" s="41" t="str"/>
      <c r="Q4498" s="41" t="str"/>
      <c r="R4498" s="41" t="str"/>
      <c r="S4498" s="41" t="str"/>
      <c r="T4498" s="41" t="str"/>
      <c r="U4498" s="41" t="str"/>
      <c r="V4498" s="41" t="str"/>
      <c r="W4498" s="41" t="str"/>
    </row>
    <row r="4499">
      <c r="B4499" s="2" t="n"/>
      <c r="C4499" s="40" t="n"/>
      <c r="D4499" s="52">
        <f t="array" ref="D4499:W4499">IF(All_Students_Scores!C4497:V4497="","",All_Students_Scores!C4497:V4497)</f>
        <v/>
      </c>
      <c r="E4499" s="57" t="str"/>
      <c r="F4499" s="49" t="str"/>
      <c r="G4499" s="59" t="str"/>
      <c r="H4499" s="64" t="str"/>
      <c r="I4499" s="65" t="str"/>
      <c r="J4499" s="49" t="str"/>
      <c r="K4499" s="41" t="str"/>
      <c r="L4499" s="41" t="str"/>
      <c r="M4499" s="41" t="str"/>
      <c r="N4499" s="41" t="str"/>
      <c r="O4499" s="41" t="str"/>
      <c r="P4499" s="41" t="str"/>
      <c r="Q4499" s="41" t="str"/>
      <c r="R4499" s="41" t="str"/>
      <c r="S4499" s="41" t="str"/>
      <c r="T4499" s="41" t="str"/>
      <c r="U4499" s="41" t="str"/>
      <c r="V4499" s="41" t="str"/>
      <c r="W4499" s="41" t="str"/>
    </row>
    <row r="4500">
      <c r="B4500" s="2" t="n"/>
      <c r="C4500" s="40" t="n"/>
      <c r="D4500" s="52">
        <f t="array" ref="D4500:W4500">IF(All_Students_Scores!C4498:V4498="","",All_Students_Scores!C4498:V4498)</f>
        <v/>
      </c>
      <c r="E4500" s="57" t="str"/>
      <c r="F4500" s="49" t="str"/>
      <c r="G4500" s="59" t="str"/>
      <c r="H4500" s="64" t="str"/>
      <c r="I4500" s="65" t="str"/>
      <c r="J4500" s="49" t="str"/>
      <c r="K4500" s="41" t="str"/>
      <c r="L4500" s="41" t="str"/>
      <c r="M4500" s="41" t="str"/>
      <c r="N4500" s="41" t="str"/>
      <c r="O4500" s="41" t="str"/>
      <c r="P4500" s="41" t="str"/>
      <c r="Q4500" s="41" t="str"/>
      <c r="R4500" s="41" t="str"/>
      <c r="S4500" s="41" t="str"/>
      <c r="T4500" s="41" t="str"/>
      <c r="U4500" s="41" t="str"/>
      <c r="V4500" s="41" t="str"/>
      <c r="W4500" s="41" t="str"/>
    </row>
    <row r="4501">
      <c r="B4501" s="2" t="n"/>
      <c r="C4501" s="40" t="n"/>
      <c r="D4501" s="52">
        <f t="array" ref="D4501:W4501">IF(All_Students_Scores!C4499:V4499="","",All_Students_Scores!C4499:V4499)</f>
        <v/>
      </c>
      <c r="E4501" s="57" t="str"/>
      <c r="F4501" s="49" t="str"/>
      <c r="G4501" s="59" t="str"/>
      <c r="H4501" s="64" t="str"/>
      <c r="I4501" s="65" t="str"/>
      <c r="J4501" s="49" t="str"/>
      <c r="K4501" s="41" t="str"/>
      <c r="L4501" s="41" t="str"/>
      <c r="M4501" s="41" t="str"/>
      <c r="N4501" s="41" t="str"/>
      <c r="O4501" s="41" t="str"/>
      <c r="P4501" s="41" t="str"/>
      <c r="Q4501" s="41" t="str"/>
      <c r="R4501" s="41" t="str"/>
      <c r="S4501" s="41" t="str"/>
      <c r="T4501" s="41" t="str"/>
      <c r="U4501" s="41" t="str"/>
      <c r="V4501" s="41" t="str"/>
      <c r="W4501" s="41" t="str"/>
    </row>
    <row r="4502">
      <c r="B4502" s="2" t="n"/>
      <c r="C4502" s="40" t="n"/>
      <c r="D4502" s="52">
        <f t="array" ref="D4502:W4502">IF(All_Students_Scores!C4500:V4500="","",All_Students_Scores!C4500:V4500)</f>
        <v/>
      </c>
      <c r="E4502" s="57" t="str"/>
      <c r="F4502" s="49" t="str"/>
      <c r="G4502" s="59" t="str"/>
      <c r="H4502" s="64" t="str"/>
      <c r="I4502" s="65" t="str"/>
      <c r="J4502" s="49" t="str"/>
      <c r="K4502" s="41" t="str"/>
      <c r="L4502" s="41" t="str"/>
      <c r="M4502" s="41" t="str"/>
      <c r="N4502" s="41" t="str"/>
      <c r="O4502" s="41" t="str"/>
      <c r="P4502" s="41" t="str"/>
      <c r="Q4502" s="41" t="str"/>
      <c r="R4502" s="41" t="str"/>
      <c r="S4502" s="41" t="str"/>
      <c r="T4502" s="41" t="str"/>
      <c r="U4502" s="41" t="str"/>
      <c r="V4502" s="41" t="str"/>
      <c r="W4502" s="41" t="str"/>
    </row>
    <row r="4503">
      <c r="B4503" s="2" t="n"/>
      <c r="C4503" s="40" t="n"/>
      <c r="D4503" s="52">
        <f t="array" ref="D4503:W4503">IF(All_Students_Scores!C4501:V4501="","",All_Students_Scores!C4501:V4501)</f>
        <v/>
      </c>
      <c r="E4503" s="57" t="str"/>
      <c r="F4503" s="49" t="str"/>
      <c r="G4503" s="59" t="str"/>
      <c r="H4503" s="64" t="str"/>
      <c r="I4503" s="65" t="str"/>
      <c r="J4503" s="49" t="str"/>
      <c r="K4503" s="41" t="str"/>
      <c r="L4503" s="41" t="str"/>
      <c r="M4503" s="41" t="str"/>
      <c r="N4503" s="41" t="str"/>
      <c r="O4503" s="41" t="str"/>
      <c r="P4503" s="41" t="str"/>
      <c r="Q4503" s="41" t="str"/>
      <c r="R4503" s="41" t="str"/>
      <c r="S4503" s="41" t="str"/>
      <c r="T4503" s="41" t="str"/>
      <c r="U4503" s="41" t="str"/>
      <c r="V4503" s="41" t="str"/>
      <c r="W4503" s="41" t="str"/>
    </row>
    <row r="4504">
      <c r="B4504" s="2" t="n"/>
      <c r="C4504" s="40" t="n"/>
      <c r="D4504" s="52">
        <f t="array" ref="D4504:W4504">IF(All_Students_Scores!C4502:V4502="","",All_Students_Scores!C4502:V4502)</f>
        <v/>
      </c>
      <c r="E4504" s="57" t="str"/>
      <c r="F4504" s="49" t="str"/>
      <c r="G4504" s="59" t="str"/>
      <c r="H4504" s="64" t="str"/>
      <c r="I4504" s="65" t="str"/>
      <c r="J4504" s="49" t="str"/>
      <c r="K4504" s="41" t="str"/>
      <c r="L4504" s="41" t="str"/>
      <c r="M4504" s="41" t="str"/>
      <c r="N4504" s="41" t="str"/>
      <c r="O4504" s="41" t="str"/>
      <c r="P4504" s="41" t="str"/>
      <c r="Q4504" s="41" t="str"/>
      <c r="R4504" s="41" t="str"/>
      <c r="S4504" s="41" t="str"/>
      <c r="T4504" s="41" t="str"/>
      <c r="U4504" s="41" t="str"/>
      <c r="V4504" s="41" t="str"/>
      <c r="W4504" s="41" t="str"/>
    </row>
    <row r="4505">
      <c r="B4505" s="2" t="n"/>
      <c r="C4505" s="40" t="n"/>
      <c r="D4505" s="52">
        <f t="array" ref="D4505:W4505">IF(All_Students_Scores!C4503:V4503="","",All_Students_Scores!C4503:V4503)</f>
        <v/>
      </c>
      <c r="E4505" s="57" t="str"/>
      <c r="F4505" s="49" t="str"/>
      <c r="G4505" s="59" t="str"/>
      <c r="H4505" s="64" t="str"/>
      <c r="I4505" s="65" t="str"/>
      <c r="J4505" s="49" t="str"/>
      <c r="K4505" s="41" t="str"/>
      <c r="L4505" s="41" t="str"/>
      <c r="M4505" s="41" t="str"/>
      <c r="N4505" s="41" t="str"/>
      <c r="O4505" s="41" t="str"/>
      <c r="P4505" s="41" t="str"/>
      <c r="Q4505" s="41" t="str"/>
      <c r="R4505" s="41" t="str"/>
      <c r="S4505" s="41" t="str"/>
      <c r="T4505" s="41" t="str"/>
      <c r="U4505" s="41" t="str"/>
      <c r="V4505" s="41" t="str"/>
      <c r="W4505" s="41" t="str"/>
    </row>
    <row r="4506">
      <c r="B4506" s="2" t="n"/>
      <c r="C4506" s="40" t="n"/>
      <c r="D4506" s="52">
        <f t="array" ref="D4506:W4506">IF(All_Students_Scores!C4504:V4504="","",All_Students_Scores!C4504:V4504)</f>
        <v/>
      </c>
      <c r="E4506" s="57" t="str"/>
      <c r="F4506" s="49" t="str"/>
      <c r="G4506" s="59" t="str"/>
      <c r="H4506" s="64" t="str"/>
      <c r="I4506" s="65" t="str"/>
      <c r="J4506" s="49" t="str"/>
      <c r="K4506" s="41" t="str"/>
      <c r="L4506" s="41" t="str"/>
      <c r="M4506" s="41" t="str"/>
      <c r="N4506" s="41" t="str"/>
      <c r="O4506" s="41" t="str"/>
      <c r="P4506" s="41" t="str"/>
      <c r="Q4506" s="41" t="str"/>
      <c r="R4506" s="41" t="str"/>
      <c r="S4506" s="41" t="str"/>
      <c r="T4506" s="41" t="str"/>
      <c r="U4506" s="41" t="str"/>
      <c r="V4506" s="41" t="str"/>
      <c r="W4506" s="41" t="str"/>
    </row>
    <row r="4507">
      <c r="B4507" s="2" t="n"/>
      <c r="C4507" s="40" t="n"/>
      <c r="D4507" s="52">
        <f t="array" ref="D4507:W4507">IF(All_Students_Scores!C4505:V4505="","",All_Students_Scores!C4505:V4505)</f>
        <v/>
      </c>
      <c r="E4507" s="57" t="str"/>
      <c r="F4507" s="49" t="str"/>
      <c r="G4507" s="59" t="str"/>
      <c r="H4507" s="64" t="str"/>
      <c r="I4507" s="65" t="str"/>
      <c r="J4507" s="49" t="str"/>
      <c r="K4507" s="41" t="str"/>
      <c r="L4507" s="41" t="str"/>
      <c r="M4507" s="41" t="str"/>
      <c r="N4507" s="41" t="str"/>
      <c r="O4507" s="41" t="str"/>
      <c r="P4507" s="41" t="str"/>
      <c r="Q4507" s="41" t="str"/>
      <c r="R4507" s="41" t="str"/>
      <c r="S4507" s="41" t="str"/>
      <c r="T4507" s="41" t="str"/>
      <c r="U4507" s="41" t="str"/>
      <c r="V4507" s="41" t="str"/>
      <c r="W4507" s="41" t="str"/>
    </row>
    <row r="4508">
      <c r="B4508" s="2" t="n"/>
      <c r="C4508" s="40" t="n"/>
      <c r="D4508" s="52">
        <f t="array" ref="D4508:W4508">IF(All_Students_Scores!C4506:V4506="","",All_Students_Scores!C4506:V4506)</f>
        <v/>
      </c>
      <c r="E4508" s="57" t="str"/>
      <c r="F4508" s="49" t="str"/>
      <c r="G4508" s="59" t="str"/>
      <c r="H4508" s="64" t="str"/>
      <c r="I4508" s="65" t="str"/>
      <c r="J4508" s="49" t="str"/>
      <c r="K4508" s="41" t="str"/>
      <c r="L4508" s="41" t="str"/>
      <c r="M4508" s="41" t="str"/>
      <c r="N4508" s="41" t="str"/>
      <c r="O4508" s="41" t="str"/>
      <c r="P4508" s="41" t="str"/>
      <c r="Q4508" s="41" t="str"/>
      <c r="R4508" s="41" t="str"/>
      <c r="S4508" s="41" t="str"/>
      <c r="T4508" s="41" t="str"/>
      <c r="U4508" s="41" t="str"/>
      <c r="V4508" s="41" t="str"/>
      <c r="W4508" s="41" t="str"/>
    </row>
    <row r="4509">
      <c r="B4509" s="2" t="n"/>
      <c r="C4509" s="40" t="n"/>
      <c r="D4509" s="52">
        <f t="array" ref="D4509:W4509">IF(All_Students_Scores!C4507:V4507="","",All_Students_Scores!C4507:V4507)</f>
        <v/>
      </c>
      <c r="E4509" s="57" t="str"/>
      <c r="F4509" s="49" t="str"/>
      <c r="G4509" s="59" t="str"/>
      <c r="H4509" s="64" t="str"/>
      <c r="I4509" s="65" t="str"/>
      <c r="J4509" s="49" t="str"/>
      <c r="K4509" s="41" t="str"/>
      <c r="L4509" s="41" t="str"/>
      <c r="M4509" s="41" t="str"/>
      <c r="N4509" s="41" t="str"/>
      <c r="O4509" s="41" t="str"/>
      <c r="P4509" s="41" t="str"/>
      <c r="Q4509" s="41" t="str"/>
      <c r="R4509" s="41" t="str"/>
      <c r="S4509" s="41" t="str"/>
      <c r="T4509" s="41" t="str"/>
      <c r="U4509" s="41" t="str"/>
      <c r="V4509" s="41" t="str"/>
      <c r="W4509" s="41" t="str"/>
    </row>
    <row r="4510">
      <c r="B4510" s="2" t="n"/>
      <c r="C4510" s="40" t="n"/>
      <c r="D4510" s="52">
        <f t="array" ref="D4510:W4510">IF(All_Students_Scores!C4508:V4508="","",All_Students_Scores!C4508:V4508)</f>
        <v/>
      </c>
      <c r="E4510" s="57" t="str"/>
      <c r="F4510" s="49" t="str"/>
      <c r="G4510" s="59" t="str"/>
      <c r="H4510" s="64" t="str"/>
      <c r="I4510" s="65" t="str"/>
      <c r="J4510" s="49" t="str"/>
      <c r="K4510" s="41" t="str"/>
      <c r="L4510" s="41" t="str"/>
      <c r="M4510" s="41" t="str"/>
      <c r="N4510" s="41" t="str"/>
      <c r="O4510" s="41" t="str"/>
      <c r="P4510" s="41" t="str"/>
      <c r="Q4510" s="41" t="str"/>
      <c r="R4510" s="41" t="str"/>
      <c r="S4510" s="41" t="str"/>
      <c r="T4510" s="41" t="str"/>
      <c r="U4510" s="41" t="str"/>
      <c r="V4510" s="41" t="str"/>
      <c r="W4510" s="41" t="str"/>
    </row>
    <row r="4511">
      <c r="B4511" s="2" t="n"/>
      <c r="C4511" s="40" t="n"/>
      <c r="D4511" s="52">
        <f t="array" ref="D4511:W4511">IF(All_Students_Scores!C4509:V4509="","",All_Students_Scores!C4509:V4509)</f>
        <v/>
      </c>
      <c r="E4511" s="57" t="str"/>
      <c r="F4511" s="49" t="str"/>
      <c r="G4511" s="59" t="str"/>
      <c r="H4511" s="64" t="str"/>
      <c r="I4511" s="65" t="str"/>
      <c r="J4511" s="49" t="str"/>
      <c r="K4511" s="41" t="str"/>
      <c r="L4511" s="41" t="str"/>
      <c r="M4511" s="41" t="str"/>
      <c r="N4511" s="41" t="str"/>
      <c r="O4511" s="41" t="str"/>
      <c r="P4511" s="41" t="str"/>
      <c r="Q4511" s="41" t="str"/>
      <c r="R4511" s="41" t="str"/>
      <c r="S4511" s="41" t="str"/>
      <c r="T4511" s="41" t="str"/>
      <c r="U4511" s="41" t="str"/>
      <c r="V4511" s="41" t="str"/>
      <c r="W4511" s="41" t="str"/>
    </row>
    <row r="4512">
      <c r="B4512" s="2" t="n"/>
      <c r="C4512" s="40" t="n"/>
      <c r="D4512" s="52">
        <f t="array" ref="D4512:W4512">IF(All_Students_Scores!C4510:V4510="","",All_Students_Scores!C4510:V4510)</f>
        <v/>
      </c>
      <c r="E4512" s="57" t="str"/>
      <c r="F4512" s="49" t="str"/>
      <c r="G4512" s="59" t="str"/>
      <c r="H4512" s="64" t="str"/>
      <c r="I4512" s="65" t="str"/>
      <c r="J4512" s="49" t="str"/>
      <c r="K4512" s="41" t="str"/>
      <c r="L4512" s="41" t="str"/>
      <c r="M4512" s="41" t="str"/>
      <c r="N4512" s="41" t="str"/>
      <c r="O4512" s="41" t="str"/>
      <c r="P4512" s="41" t="str"/>
      <c r="Q4512" s="41" t="str"/>
      <c r="R4512" s="41" t="str"/>
      <c r="S4512" s="41" t="str"/>
      <c r="T4512" s="41" t="str"/>
      <c r="U4512" s="41" t="str"/>
      <c r="V4512" s="41" t="str"/>
      <c r="W4512" s="41" t="str"/>
    </row>
    <row r="4513">
      <c r="B4513" s="2" t="n"/>
      <c r="C4513" s="40" t="n"/>
      <c r="D4513" s="52">
        <f t="array" ref="D4513:W4513">IF(All_Students_Scores!C4511:V4511="","",All_Students_Scores!C4511:V4511)</f>
        <v/>
      </c>
      <c r="E4513" s="57" t="str"/>
      <c r="F4513" s="49" t="str"/>
      <c r="G4513" s="59" t="str"/>
      <c r="H4513" s="64" t="str"/>
      <c r="I4513" s="65" t="str"/>
      <c r="J4513" s="49" t="str"/>
      <c r="K4513" s="41" t="str"/>
      <c r="L4513" s="41" t="str"/>
      <c r="M4513" s="41" t="str"/>
      <c r="N4513" s="41" t="str"/>
      <c r="O4513" s="41" t="str"/>
      <c r="P4513" s="41" t="str"/>
      <c r="Q4513" s="41" t="str"/>
      <c r="R4513" s="41" t="str"/>
      <c r="S4513" s="41" t="str"/>
      <c r="T4513" s="41" t="str"/>
      <c r="U4513" s="41" t="str"/>
      <c r="V4513" s="41" t="str"/>
      <c r="W4513" s="41" t="str"/>
    </row>
    <row r="4514">
      <c r="B4514" s="2" t="n"/>
      <c r="C4514" s="40" t="n"/>
      <c r="D4514" s="52">
        <f t="array" ref="D4514:W4514">IF(All_Students_Scores!C4512:V4512="","",All_Students_Scores!C4512:V4512)</f>
        <v/>
      </c>
      <c r="E4514" s="57" t="str"/>
      <c r="F4514" s="49" t="str"/>
      <c r="G4514" s="59" t="str"/>
      <c r="H4514" s="64" t="str"/>
      <c r="I4514" s="65" t="str"/>
      <c r="J4514" s="49" t="str"/>
      <c r="K4514" s="41" t="str"/>
      <c r="L4514" s="41" t="str"/>
      <c r="M4514" s="41" t="str"/>
      <c r="N4514" s="41" t="str"/>
      <c r="O4514" s="41" t="str"/>
      <c r="P4514" s="41" t="str"/>
      <c r="Q4514" s="41" t="str"/>
      <c r="R4514" s="41" t="str"/>
      <c r="S4514" s="41" t="str"/>
      <c r="T4514" s="41" t="str"/>
      <c r="U4514" s="41" t="str"/>
      <c r="V4514" s="41" t="str"/>
      <c r="W4514" s="41" t="str"/>
    </row>
    <row r="4515">
      <c r="B4515" s="2" t="n"/>
      <c r="C4515" s="40" t="n"/>
      <c r="D4515" s="52">
        <f t="array" ref="D4515:W4515">IF(All_Students_Scores!C4513:V4513="","",All_Students_Scores!C4513:V4513)</f>
        <v/>
      </c>
      <c r="E4515" s="57" t="str"/>
      <c r="F4515" s="49" t="str"/>
      <c r="G4515" s="59" t="str"/>
      <c r="H4515" s="64" t="str"/>
      <c r="I4515" s="65" t="str"/>
      <c r="J4515" s="49" t="str"/>
      <c r="K4515" s="41" t="str"/>
      <c r="L4515" s="41" t="str"/>
      <c r="M4515" s="41" t="str"/>
      <c r="N4515" s="41" t="str"/>
      <c r="O4515" s="41" t="str"/>
      <c r="P4515" s="41" t="str"/>
      <c r="Q4515" s="41" t="str"/>
      <c r="R4515" s="41" t="str"/>
      <c r="S4515" s="41" t="str"/>
      <c r="T4515" s="41" t="str"/>
      <c r="U4515" s="41" t="str"/>
      <c r="V4515" s="41" t="str"/>
      <c r="W4515" s="41" t="str"/>
    </row>
    <row r="4516">
      <c r="B4516" s="2" t="n"/>
      <c r="C4516" s="40" t="n"/>
      <c r="D4516" s="52">
        <f t="array" ref="D4516:W4516">IF(All_Students_Scores!C4514:V4514="","",All_Students_Scores!C4514:V4514)</f>
        <v/>
      </c>
      <c r="E4516" s="57" t="str"/>
      <c r="F4516" s="49" t="str"/>
      <c r="G4516" s="59" t="str"/>
      <c r="H4516" s="64" t="str"/>
      <c r="I4516" s="65" t="str"/>
      <c r="J4516" s="49" t="str"/>
      <c r="K4516" s="41" t="str"/>
      <c r="L4516" s="41" t="str"/>
      <c r="M4516" s="41" t="str"/>
      <c r="N4516" s="41" t="str"/>
      <c r="O4516" s="41" t="str"/>
      <c r="P4516" s="41" t="str"/>
      <c r="Q4516" s="41" t="str"/>
      <c r="R4516" s="41" t="str"/>
      <c r="S4516" s="41" t="str"/>
      <c r="T4516" s="41" t="str"/>
      <c r="U4516" s="41" t="str"/>
      <c r="V4516" s="41" t="str"/>
      <c r="W4516" s="41" t="str"/>
    </row>
    <row r="4517">
      <c r="B4517" s="2" t="n"/>
      <c r="C4517" s="40" t="n"/>
      <c r="D4517" s="52">
        <f t="array" ref="D4517:W4517">IF(All_Students_Scores!C4515:V4515="","",All_Students_Scores!C4515:V4515)</f>
        <v/>
      </c>
      <c r="E4517" s="57" t="str"/>
      <c r="F4517" s="49" t="str"/>
      <c r="G4517" s="59" t="str"/>
      <c r="H4517" s="64" t="str"/>
      <c r="I4517" s="65" t="str"/>
      <c r="J4517" s="49" t="str"/>
      <c r="K4517" s="41" t="str"/>
      <c r="L4517" s="41" t="str"/>
      <c r="M4517" s="41" t="str"/>
      <c r="N4517" s="41" t="str"/>
      <c r="O4517" s="41" t="str"/>
      <c r="P4517" s="41" t="str"/>
      <c r="Q4517" s="41" t="str"/>
      <c r="R4517" s="41" t="str"/>
      <c r="S4517" s="41" t="str"/>
      <c r="T4517" s="41" t="str"/>
      <c r="U4517" s="41" t="str"/>
      <c r="V4517" s="41" t="str"/>
      <c r="W4517" s="41" t="str"/>
    </row>
    <row r="4518">
      <c r="B4518" s="2" t="n"/>
      <c r="C4518" s="40" t="n"/>
      <c r="D4518" s="52">
        <f t="array" ref="D4518:W4518">IF(All_Students_Scores!C4516:V4516="","",All_Students_Scores!C4516:V4516)</f>
        <v/>
      </c>
      <c r="E4518" s="57" t="str"/>
      <c r="F4518" s="49" t="str"/>
      <c r="G4518" s="59" t="str"/>
      <c r="H4518" s="64" t="str"/>
      <c r="I4518" s="65" t="str"/>
      <c r="J4518" s="49" t="str"/>
      <c r="K4518" s="41" t="str"/>
      <c r="L4518" s="41" t="str"/>
      <c r="M4518" s="41" t="str"/>
      <c r="N4518" s="41" t="str"/>
      <c r="O4518" s="41" t="str"/>
      <c r="P4518" s="41" t="str"/>
      <c r="Q4518" s="41" t="str"/>
      <c r="R4518" s="41" t="str"/>
      <c r="S4518" s="41" t="str"/>
      <c r="T4518" s="41" t="str"/>
      <c r="U4518" s="41" t="str"/>
      <c r="V4518" s="41" t="str"/>
      <c r="W4518" s="41" t="str"/>
    </row>
    <row r="4519">
      <c r="B4519" s="2" t="n"/>
      <c r="C4519" s="40" t="n"/>
      <c r="D4519" s="52">
        <f t="array" ref="D4519:W4519">IF(All_Students_Scores!C4517:V4517="","",All_Students_Scores!C4517:V4517)</f>
        <v/>
      </c>
      <c r="E4519" s="57" t="str"/>
      <c r="F4519" s="49" t="str"/>
      <c r="G4519" s="59" t="str"/>
      <c r="H4519" s="64" t="str"/>
      <c r="I4519" s="65" t="str"/>
      <c r="J4519" s="49" t="str"/>
      <c r="K4519" s="41" t="str"/>
      <c r="L4519" s="41" t="str"/>
      <c r="M4519" s="41" t="str"/>
      <c r="N4519" s="41" t="str"/>
      <c r="O4519" s="41" t="str"/>
      <c r="P4519" s="41" t="str"/>
      <c r="Q4519" s="41" t="str"/>
      <c r="R4519" s="41" t="str"/>
      <c r="S4519" s="41" t="str"/>
      <c r="T4519" s="41" t="str"/>
      <c r="U4519" s="41" t="str"/>
      <c r="V4519" s="41" t="str"/>
      <c r="W4519" s="41" t="str"/>
    </row>
    <row r="4520">
      <c r="B4520" s="2" t="n"/>
      <c r="C4520" s="40" t="n"/>
      <c r="D4520" s="52">
        <f t="array" ref="D4520:W4520">IF(All_Students_Scores!C4518:V4518="","",All_Students_Scores!C4518:V4518)</f>
        <v/>
      </c>
      <c r="E4520" s="57" t="str"/>
      <c r="F4520" s="49" t="str"/>
      <c r="G4520" s="59" t="str"/>
      <c r="H4520" s="64" t="str"/>
      <c r="I4520" s="65" t="str"/>
      <c r="J4520" s="49" t="str"/>
      <c r="K4520" s="41" t="str"/>
      <c r="L4520" s="41" t="str"/>
      <c r="M4520" s="41" t="str"/>
      <c r="N4520" s="41" t="str"/>
      <c r="O4520" s="41" t="str"/>
      <c r="P4520" s="41" t="str"/>
      <c r="Q4520" s="41" t="str"/>
      <c r="R4520" s="41" t="str"/>
      <c r="S4520" s="41" t="str"/>
      <c r="T4520" s="41" t="str"/>
      <c r="U4520" s="41" t="str"/>
      <c r="V4520" s="41" t="str"/>
      <c r="W4520" s="41" t="str"/>
    </row>
    <row r="4521">
      <c r="B4521" s="2" t="n"/>
      <c r="C4521" s="40" t="n"/>
      <c r="D4521" s="52">
        <f t="array" ref="D4521:W4521">IF(All_Students_Scores!C4519:V4519="","",All_Students_Scores!C4519:V4519)</f>
        <v/>
      </c>
      <c r="E4521" s="57" t="str"/>
      <c r="F4521" s="49" t="str"/>
      <c r="G4521" s="59" t="str"/>
      <c r="H4521" s="64" t="str"/>
      <c r="I4521" s="65" t="str"/>
      <c r="J4521" s="49" t="str"/>
      <c r="K4521" s="41" t="str"/>
      <c r="L4521" s="41" t="str"/>
      <c r="M4521" s="41" t="str"/>
      <c r="N4521" s="41" t="str"/>
      <c r="O4521" s="41" t="str"/>
      <c r="P4521" s="41" t="str"/>
      <c r="Q4521" s="41" t="str"/>
      <c r="R4521" s="41" t="str"/>
      <c r="S4521" s="41" t="str"/>
      <c r="T4521" s="41" t="str"/>
      <c r="U4521" s="41" t="str"/>
      <c r="V4521" s="41" t="str"/>
      <c r="W4521" s="41" t="str"/>
    </row>
    <row r="4522">
      <c r="B4522" s="2" t="n"/>
      <c r="C4522" s="40" t="n"/>
      <c r="D4522" s="52">
        <f t="array" ref="D4522:W4522">IF(All_Students_Scores!C4520:V4520="","",All_Students_Scores!C4520:V4520)</f>
        <v/>
      </c>
      <c r="E4522" s="57" t="str"/>
      <c r="F4522" s="49" t="str"/>
      <c r="G4522" s="59" t="str"/>
      <c r="H4522" s="64" t="str"/>
      <c r="I4522" s="65" t="str"/>
      <c r="J4522" s="49" t="str"/>
      <c r="K4522" s="41" t="str"/>
      <c r="L4522" s="41" t="str"/>
      <c r="M4522" s="41" t="str"/>
      <c r="N4522" s="41" t="str"/>
      <c r="O4522" s="41" t="str"/>
      <c r="P4522" s="41" t="str"/>
      <c r="Q4522" s="41" t="str"/>
      <c r="R4522" s="41" t="str"/>
      <c r="S4522" s="41" t="str"/>
      <c r="T4522" s="41" t="str"/>
      <c r="U4522" s="41" t="str"/>
      <c r="V4522" s="41" t="str"/>
      <c r="W4522" s="41" t="str"/>
    </row>
    <row r="4523">
      <c r="B4523" s="2" t="n"/>
      <c r="C4523" s="40" t="n"/>
      <c r="D4523" s="52">
        <f t="array" ref="D4523:W4523">IF(All_Students_Scores!C4521:V4521="","",All_Students_Scores!C4521:V4521)</f>
        <v/>
      </c>
      <c r="E4523" s="57" t="str"/>
      <c r="F4523" s="49" t="str"/>
      <c r="G4523" s="59" t="str"/>
      <c r="H4523" s="64" t="str"/>
      <c r="I4523" s="65" t="str"/>
      <c r="J4523" s="49" t="str"/>
      <c r="K4523" s="41" t="str"/>
      <c r="L4523" s="41" t="str"/>
      <c r="M4523" s="41" t="str"/>
      <c r="N4523" s="41" t="str"/>
      <c r="O4523" s="41" t="str"/>
      <c r="P4523" s="41" t="str"/>
      <c r="Q4523" s="41" t="str"/>
      <c r="R4523" s="41" t="str"/>
      <c r="S4523" s="41" t="str"/>
      <c r="T4523" s="41" t="str"/>
      <c r="U4523" s="41" t="str"/>
      <c r="V4523" s="41" t="str"/>
      <c r="W4523" s="41" t="str"/>
    </row>
    <row r="4524">
      <c r="B4524" s="2" t="n"/>
      <c r="C4524" s="40" t="n"/>
      <c r="D4524" s="52">
        <f t="array" ref="D4524:W4524">IF(All_Students_Scores!C4522:V4522="","",All_Students_Scores!C4522:V4522)</f>
        <v/>
      </c>
      <c r="E4524" s="57" t="str"/>
      <c r="F4524" s="49" t="str"/>
      <c r="G4524" s="59" t="str"/>
      <c r="H4524" s="64" t="str"/>
      <c r="I4524" s="65" t="str"/>
      <c r="J4524" s="49" t="str"/>
      <c r="K4524" s="41" t="str"/>
      <c r="L4524" s="41" t="str"/>
      <c r="M4524" s="41" t="str"/>
      <c r="N4524" s="41" t="str"/>
      <c r="O4524" s="41" t="str"/>
      <c r="P4524" s="41" t="str"/>
      <c r="Q4524" s="41" t="str"/>
      <c r="R4524" s="41" t="str"/>
      <c r="S4524" s="41" t="str"/>
      <c r="T4524" s="41" t="str"/>
      <c r="U4524" s="41" t="str"/>
      <c r="V4524" s="41" t="str"/>
      <c r="W4524" s="41" t="str"/>
    </row>
    <row r="4525">
      <c r="B4525" s="2" t="n"/>
      <c r="C4525" s="40" t="n"/>
      <c r="D4525" s="52">
        <f t="array" ref="D4525:W4525">IF(All_Students_Scores!C4523:V4523="","",All_Students_Scores!C4523:V4523)</f>
        <v/>
      </c>
      <c r="E4525" s="57" t="str"/>
      <c r="F4525" s="49" t="str"/>
      <c r="G4525" s="59" t="str"/>
      <c r="H4525" s="64" t="str"/>
      <c r="I4525" s="65" t="str"/>
      <c r="J4525" s="49" t="str"/>
      <c r="K4525" s="41" t="str"/>
      <c r="L4525" s="41" t="str"/>
      <c r="M4525" s="41" t="str"/>
      <c r="N4525" s="41" t="str"/>
      <c r="O4525" s="41" t="str"/>
      <c r="P4525" s="41" t="str"/>
      <c r="Q4525" s="41" t="str"/>
      <c r="R4525" s="41" t="str"/>
      <c r="S4525" s="41" t="str"/>
      <c r="T4525" s="41" t="str"/>
      <c r="U4525" s="41" t="str"/>
      <c r="V4525" s="41" t="str"/>
      <c r="W4525" s="41" t="str"/>
    </row>
    <row r="4526">
      <c r="B4526" s="2" t="n"/>
      <c r="C4526" s="40" t="n"/>
      <c r="D4526" s="52">
        <f t="array" ref="D4526:W4526">IF(All_Students_Scores!C4524:V4524="","",All_Students_Scores!C4524:V4524)</f>
        <v/>
      </c>
      <c r="E4526" s="57" t="str"/>
      <c r="F4526" s="49" t="str"/>
      <c r="G4526" s="59" t="str"/>
      <c r="H4526" s="64" t="str"/>
      <c r="I4526" s="65" t="str"/>
      <c r="J4526" s="49" t="str"/>
      <c r="K4526" s="41" t="str"/>
      <c r="L4526" s="41" t="str"/>
      <c r="M4526" s="41" t="str"/>
      <c r="N4526" s="41" t="str"/>
      <c r="O4526" s="41" t="str"/>
      <c r="P4526" s="41" t="str"/>
      <c r="Q4526" s="41" t="str"/>
      <c r="R4526" s="41" t="str"/>
      <c r="S4526" s="41" t="str"/>
      <c r="T4526" s="41" t="str"/>
      <c r="U4526" s="41" t="str"/>
      <c r="V4526" s="41" t="str"/>
      <c r="W4526" s="41" t="str"/>
    </row>
    <row r="4527">
      <c r="B4527" s="2" t="n"/>
      <c r="C4527" s="40" t="n"/>
      <c r="D4527" s="52">
        <f t="array" ref="D4527:W4527">IF(All_Students_Scores!C4525:V4525="","",All_Students_Scores!C4525:V4525)</f>
        <v/>
      </c>
      <c r="E4527" s="57" t="str"/>
      <c r="F4527" s="49" t="str"/>
      <c r="G4527" s="59" t="str"/>
      <c r="H4527" s="64" t="str"/>
      <c r="I4527" s="65" t="str"/>
      <c r="J4527" s="49" t="str"/>
      <c r="K4527" s="41" t="str"/>
      <c r="L4527" s="41" t="str"/>
      <c r="M4527" s="41" t="str"/>
      <c r="N4527" s="41" t="str"/>
      <c r="O4527" s="41" t="str"/>
      <c r="P4527" s="41" t="str"/>
      <c r="Q4527" s="41" t="str"/>
      <c r="R4527" s="41" t="str"/>
      <c r="S4527" s="41" t="str"/>
      <c r="T4527" s="41" t="str"/>
      <c r="U4527" s="41" t="str"/>
      <c r="V4527" s="41" t="str"/>
      <c r="W4527" s="41" t="str"/>
    </row>
    <row r="4528">
      <c r="B4528" s="2" t="n"/>
      <c r="C4528" s="40" t="n"/>
      <c r="D4528" s="52">
        <f t="array" ref="D4528:W4528">IF(All_Students_Scores!C4526:V4526="","",All_Students_Scores!C4526:V4526)</f>
        <v/>
      </c>
      <c r="E4528" s="57" t="str"/>
      <c r="F4528" s="49" t="str"/>
      <c r="G4528" s="59" t="str"/>
      <c r="H4528" s="64" t="str"/>
      <c r="I4528" s="65" t="str"/>
      <c r="J4528" s="49" t="str"/>
      <c r="K4528" s="41" t="str"/>
      <c r="L4528" s="41" t="str"/>
      <c r="M4528" s="41" t="str"/>
      <c r="N4528" s="41" t="str"/>
      <c r="O4528" s="41" t="str"/>
      <c r="P4528" s="41" t="str"/>
      <c r="Q4528" s="41" t="str"/>
      <c r="R4528" s="41" t="str"/>
      <c r="S4528" s="41" t="str"/>
      <c r="T4528" s="41" t="str"/>
      <c r="U4528" s="41" t="str"/>
      <c r="V4528" s="41" t="str"/>
      <c r="W4528" s="41" t="str"/>
    </row>
    <row r="4529">
      <c r="B4529" s="2" t="n"/>
      <c r="C4529" s="40" t="n"/>
      <c r="D4529" s="52">
        <f t="array" ref="D4529:W4529">IF(All_Students_Scores!C4527:V4527="","",All_Students_Scores!C4527:V4527)</f>
        <v/>
      </c>
      <c r="E4529" s="57" t="str"/>
      <c r="F4529" s="49" t="str"/>
      <c r="G4529" s="59" t="str"/>
      <c r="H4529" s="64" t="str"/>
      <c r="I4529" s="65" t="str"/>
      <c r="J4529" s="49" t="str"/>
      <c r="K4529" s="41" t="str"/>
      <c r="L4529" s="41" t="str"/>
      <c r="M4529" s="41" t="str"/>
      <c r="N4529" s="41" t="str"/>
      <c r="O4529" s="41" t="str"/>
      <c r="P4529" s="41" t="str"/>
      <c r="Q4529" s="41" t="str"/>
      <c r="R4529" s="41" t="str"/>
      <c r="S4529" s="41" t="str"/>
      <c r="T4529" s="41" t="str"/>
      <c r="U4529" s="41" t="str"/>
      <c r="V4529" s="41" t="str"/>
      <c r="W4529" s="41" t="str"/>
    </row>
    <row r="4530">
      <c r="B4530" s="2" t="n"/>
      <c r="C4530" s="40" t="n"/>
      <c r="D4530" s="52">
        <f t="array" ref="D4530:W4530">IF(All_Students_Scores!C4528:V4528="","",All_Students_Scores!C4528:V4528)</f>
        <v/>
      </c>
      <c r="E4530" s="57" t="str"/>
      <c r="F4530" s="49" t="str"/>
      <c r="G4530" s="59" t="str"/>
      <c r="H4530" s="64" t="str"/>
      <c r="I4530" s="65" t="str"/>
      <c r="J4530" s="49" t="str"/>
      <c r="K4530" s="41" t="str"/>
      <c r="L4530" s="41" t="str"/>
      <c r="M4530" s="41" t="str"/>
      <c r="N4530" s="41" t="str"/>
      <c r="O4530" s="41" t="str"/>
      <c r="P4530" s="41" t="str"/>
      <c r="Q4530" s="41" t="str"/>
      <c r="R4530" s="41" t="str"/>
      <c r="S4530" s="41" t="str"/>
      <c r="T4530" s="41" t="str"/>
      <c r="U4530" s="41" t="str"/>
      <c r="V4530" s="41" t="str"/>
      <c r="W4530" s="41" t="str"/>
    </row>
    <row r="4531">
      <c r="B4531" s="2" t="n"/>
      <c r="C4531" s="40" t="n"/>
      <c r="D4531" s="52">
        <f t="array" ref="D4531:W4531">IF(All_Students_Scores!C4529:V4529="","",All_Students_Scores!C4529:V4529)</f>
        <v/>
      </c>
      <c r="E4531" s="57" t="str"/>
      <c r="F4531" s="49" t="str"/>
      <c r="G4531" s="59" t="str"/>
      <c r="H4531" s="64" t="str"/>
      <c r="I4531" s="65" t="str"/>
      <c r="J4531" s="49" t="str"/>
      <c r="K4531" s="41" t="str"/>
      <c r="L4531" s="41" t="str"/>
      <c r="M4531" s="41" t="str"/>
      <c r="N4531" s="41" t="str"/>
      <c r="O4531" s="41" t="str"/>
      <c r="P4531" s="41" t="str"/>
      <c r="Q4531" s="41" t="str"/>
      <c r="R4531" s="41" t="str"/>
      <c r="S4531" s="41" t="str"/>
      <c r="T4531" s="41" t="str"/>
      <c r="U4531" s="41" t="str"/>
      <c r="V4531" s="41" t="str"/>
      <c r="W4531" s="41" t="str"/>
    </row>
    <row r="4532">
      <c r="B4532" s="2" t="n"/>
      <c r="C4532" s="40" t="n"/>
      <c r="D4532" s="52">
        <f t="array" ref="D4532:W4532">IF(All_Students_Scores!C4530:V4530="","",All_Students_Scores!C4530:V4530)</f>
        <v/>
      </c>
      <c r="E4532" s="57" t="str"/>
      <c r="F4532" s="49" t="str"/>
      <c r="G4532" s="59" t="str"/>
      <c r="H4532" s="64" t="str"/>
      <c r="I4532" s="65" t="str"/>
      <c r="J4532" s="49" t="str"/>
      <c r="K4532" s="41" t="str"/>
      <c r="L4532" s="41" t="str"/>
      <c r="M4532" s="41" t="str"/>
      <c r="N4532" s="41" t="str"/>
      <c r="O4532" s="41" t="str"/>
      <c r="P4532" s="41" t="str"/>
      <c r="Q4532" s="41" t="str"/>
      <c r="R4532" s="41" t="str"/>
      <c r="S4532" s="41" t="str"/>
      <c r="T4532" s="41" t="str"/>
      <c r="U4532" s="41" t="str"/>
      <c r="V4532" s="41" t="str"/>
      <c r="W4532" s="41" t="str"/>
    </row>
    <row r="4533">
      <c r="B4533" s="2" t="n"/>
      <c r="C4533" s="40" t="n"/>
      <c r="D4533" s="52">
        <f t="array" ref="D4533:W4533">IF(All_Students_Scores!C4531:V4531="","",All_Students_Scores!C4531:V4531)</f>
        <v/>
      </c>
      <c r="E4533" s="57" t="str"/>
      <c r="F4533" s="49" t="str"/>
      <c r="G4533" s="59" t="str"/>
      <c r="H4533" s="64" t="str"/>
      <c r="I4533" s="65" t="str"/>
      <c r="J4533" s="49" t="str"/>
      <c r="K4533" s="41" t="str"/>
      <c r="L4533" s="41" t="str"/>
      <c r="M4533" s="41" t="str"/>
      <c r="N4533" s="41" t="str"/>
      <c r="O4533" s="41" t="str"/>
      <c r="P4533" s="41" t="str"/>
      <c r="Q4533" s="41" t="str"/>
      <c r="R4533" s="41" t="str"/>
      <c r="S4533" s="41" t="str"/>
      <c r="T4533" s="41" t="str"/>
      <c r="U4533" s="41" t="str"/>
      <c r="V4533" s="41" t="str"/>
      <c r="W4533" s="41" t="str"/>
    </row>
    <row r="4534">
      <c r="B4534" s="2" t="n"/>
      <c r="C4534" s="40" t="n"/>
      <c r="D4534" s="52">
        <f t="array" ref="D4534:W4534">IF(All_Students_Scores!C4532:V4532="","",All_Students_Scores!C4532:V4532)</f>
        <v/>
      </c>
      <c r="E4534" s="57" t="str"/>
      <c r="F4534" s="49" t="str"/>
      <c r="G4534" s="59" t="str"/>
      <c r="H4534" s="64" t="str"/>
      <c r="I4534" s="65" t="str"/>
      <c r="J4534" s="49" t="str"/>
      <c r="K4534" s="41" t="str"/>
      <c r="L4534" s="41" t="str"/>
      <c r="M4534" s="41" t="str"/>
      <c r="N4534" s="41" t="str"/>
      <c r="O4534" s="41" t="str"/>
      <c r="P4534" s="41" t="str"/>
      <c r="Q4534" s="41" t="str"/>
      <c r="R4534" s="41" t="str"/>
      <c r="S4534" s="41" t="str"/>
      <c r="T4534" s="41" t="str"/>
      <c r="U4534" s="41" t="str"/>
      <c r="V4534" s="41" t="str"/>
      <c r="W4534" s="41" t="str"/>
    </row>
    <row r="4535">
      <c r="B4535" s="2" t="n"/>
      <c r="C4535" s="40" t="n"/>
      <c r="D4535" s="52">
        <f t="array" ref="D4535:W4535">IF(All_Students_Scores!C4533:V4533="","",All_Students_Scores!C4533:V4533)</f>
        <v/>
      </c>
      <c r="E4535" s="57" t="str"/>
      <c r="F4535" s="49" t="str"/>
      <c r="G4535" s="59" t="str"/>
      <c r="H4535" s="64" t="str"/>
      <c r="I4535" s="65" t="str"/>
      <c r="J4535" s="49" t="str"/>
      <c r="K4535" s="41" t="str"/>
      <c r="L4535" s="41" t="str"/>
      <c r="M4535" s="41" t="str"/>
      <c r="N4535" s="41" t="str"/>
      <c r="O4535" s="41" t="str"/>
      <c r="P4535" s="41" t="str"/>
      <c r="Q4535" s="41" t="str"/>
      <c r="R4535" s="41" t="str"/>
      <c r="S4535" s="41" t="str"/>
      <c r="T4535" s="41" t="str"/>
      <c r="U4535" s="41" t="str"/>
      <c r="V4535" s="41" t="str"/>
      <c r="W4535" s="41" t="str"/>
    </row>
    <row r="4536">
      <c r="B4536" s="2" t="n"/>
      <c r="C4536" s="40" t="n"/>
      <c r="D4536" s="52">
        <f t="array" ref="D4536:W4536">IF(All_Students_Scores!C4534:V4534="","",All_Students_Scores!C4534:V4534)</f>
        <v/>
      </c>
      <c r="E4536" s="57" t="str"/>
      <c r="F4536" s="49" t="str"/>
      <c r="G4536" s="59" t="str"/>
      <c r="H4536" s="64" t="str"/>
      <c r="I4536" s="65" t="str"/>
      <c r="J4536" s="49" t="str"/>
      <c r="K4536" s="41" t="str"/>
      <c r="L4536" s="41" t="str"/>
      <c r="M4536" s="41" t="str"/>
      <c r="N4536" s="41" t="str"/>
      <c r="O4536" s="41" t="str"/>
      <c r="P4536" s="41" t="str"/>
      <c r="Q4536" s="41" t="str"/>
      <c r="R4536" s="41" t="str"/>
      <c r="S4536" s="41" t="str"/>
      <c r="T4536" s="41" t="str"/>
      <c r="U4536" s="41" t="str"/>
      <c r="V4536" s="41" t="str"/>
      <c r="W4536" s="41" t="str"/>
    </row>
    <row r="4537">
      <c r="B4537" s="2" t="n"/>
      <c r="C4537" s="40" t="n"/>
      <c r="D4537" s="52">
        <f t="array" ref="D4537:W4537">IF(All_Students_Scores!C4535:V4535="","",All_Students_Scores!C4535:V4535)</f>
        <v/>
      </c>
      <c r="E4537" s="57" t="str"/>
      <c r="F4537" s="49" t="str"/>
      <c r="G4537" s="59" t="str"/>
      <c r="H4537" s="64" t="str"/>
      <c r="I4537" s="65" t="str"/>
      <c r="J4537" s="49" t="str"/>
      <c r="K4537" s="41" t="str"/>
      <c r="L4537" s="41" t="str"/>
      <c r="M4537" s="41" t="str"/>
      <c r="N4537" s="41" t="str"/>
      <c r="O4537" s="41" t="str"/>
      <c r="P4537" s="41" t="str"/>
      <c r="Q4537" s="41" t="str"/>
      <c r="R4537" s="41" t="str"/>
      <c r="S4537" s="41" t="str"/>
      <c r="T4537" s="41" t="str"/>
      <c r="U4537" s="41" t="str"/>
      <c r="V4537" s="41" t="str"/>
      <c r="W4537" s="41" t="str"/>
    </row>
    <row r="4538">
      <c r="B4538" s="2" t="n"/>
      <c r="C4538" s="40" t="n"/>
      <c r="D4538" s="52">
        <f t="array" ref="D4538:W4538">IF(All_Students_Scores!C4536:V4536="","",All_Students_Scores!C4536:V4536)</f>
        <v/>
      </c>
      <c r="E4538" s="57" t="str"/>
      <c r="F4538" s="49" t="str"/>
      <c r="G4538" s="59" t="str"/>
      <c r="H4538" s="64" t="str"/>
      <c r="I4538" s="65" t="str"/>
      <c r="J4538" s="49" t="str"/>
      <c r="K4538" s="41" t="str"/>
      <c r="L4538" s="41" t="str"/>
      <c r="M4538" s="41" t="str"/>
      <c r="N4538" s="41" t="str"/>
      <c r="O4538" s="41" t="str"/>
      <c r="P4538" s="41" t="str"/>
      <c r="Q4538" s="41" t="str"/>
      <c r="R4538" s="41" t="str"/>
      <c r="S4538" s="41" t="str"/>
      <c r="T4538" s="41" t="str"/>
      <c r="U4538" s="41" t="str"/>
      <c r="V4538" s="41" t="str"/>
      <c r="W4538" s="41" t="str"/>
    </row>
    <row r="4539">
      <c r="B4539" s="2" t="n"/>
      <c r="C4539" s="40" t="n"/>
      <c r="D4539" s="52">
        <f t="array" ref="D4539:W4539">IF(All_Students_Scores!C4537:V4537="","",All_Students_Scores!C4537:V4537)</f>
        <v/>
      </c>
      <c r="E4539" s="57" t="str"/>
      <c r="F4539" s="49" t="str"/>
      <c r="G4539" s="59" t="str"/>
      <c r="H4539" s="64" t="str"/>
      <c r="I4539" s="65" t="str"/>
      <c r="J4539" s="49" t="str"/>
      <c r="K4539" s="41" t="str"/>
      <c r="L4539" s="41" t="str"/>
      <c r="M4539" s="41" t="str"/>
      <c r="N4539" s="41" t="str"/>
      <c r="O4539" s="41" t="str"/>
      <c r="P4539" s="41" t="str"/>
      <c r="Q4539" s="41" t="str"/>
      <c r="R4539" s="41" t="str"/>
      <c r="S4539" s="41" t="str"/>
      <c r="T4539" s="41" t="str"/>
      <c r="U4539" s="41" t="str"/>
      <c r="V4539" s="41" t="str"/>
      <c r="W4539" s="41" t="str"/>
    </row>
    <row r="4540">
      <c r="B4540" s="2" t="n"/>
      <c r="C4540" s="40" t="n"/>
      <c r="D4540" s="52">
        <f t="array" ref="D4540:W4540">IF(All_Students_Scores!C4538:V4538="","",All_Students_Scores!C4538:V4538)</f>
        <v/>
      </c>
      <c r="E4540" s="57" t="str"/>
      <c r="F4540" s="49" t="str"/>
      <c r="G4540" s="59" t="str"/>
      <c r="H4540" s="64" t="str"/>
      <c r="I4540" s="65" t="str"/>
      <c r="J4540" s="49" t="str"/>
      <c r="K4540" s="41" t="str"/>
      <c r="L4540" s="41" t="str"/>
      <c r="M4540" s="41" t="str"/>
      <c r="N4540" s="41" t="str"/>
      <c r="O4540" s="41" t="str"/>
      <c r="P4540" s="41" t="str"/>
      <c r="Q4540" s="41" t="str"/>
      <c r="R4540" s="41" t="str"/>
      <c r="S4540" s="41" t="str"/>
      <c r="T4540" s="41" t="str"/>
      <c r="U4540" s="41" t="str"/>
      <c r="V4540" s="41" t="str"/>
      <c r="W4540" s="41" t="str"/>
    </row>
    <row r="4541">
      <c r="B4541" s="2" t="n"/>
      <c r="C4541" s="40" t="n"/>
      <c r="D4541" s="52">
        <f t="array" ref="D4541:W4541">IF(All_Students_Scores!C4539:V4539="","",All_Students_Scores!C4539:V4539)</f>
        <v/>
      </c>
      <c r="E4541" s="57" t="str"/>
      <c r="F4541" s="49" t="str"/>
      <c r="G4541" s="59" t="str"/>
      <c r="H4541" s="64" t="str"/>
      <c r="I4541" s="65" t="str"/>
      <c r="J4541" s="49" t="str"/>
      <c r="K4541" s="41" t="str"/>
      <c r="L4541" s="41" t="str"/>
      <c r="M4541" s="41" t="str"/>
      <c r="N4541" s="41" t="str"/>
      <c r="O4541" s="41" t="str"/>
      <c r="P4541" s="41" t="str"/>
      <c r="Q4541" s="41" t="str"/>
      <c r="R4541" s="41" t="str"/>
      <c r="S4541" s="41" t="str"/>
      <c r="T4541" s="41" t="str"/>
      <c r="U4541" s="41" t="str"/>
      <c r="V4541" s="41" t="str"/>
      <c r="W4541" s="41" t="str"/>
    </row>
    <row r="4542">
      <c r="B4542" s="2" t="n"/>
      <c r="C4542" s="40" t="n"/>
      <c r="D4542" s="52">
        <f t="array" ref="D4542:W4542">IF(All_Students_Scores!C4540:V4540="","",All_Students_Scores!C4540:V4540)</f>
        <v/>
      </c>
      <c r="E4542" s="57" t="str"/>
      <c r="F4542" s="49" t="str"/>
      <c r="G4542" s="59" t="str"/>
      <c r="H4542" s="64" t="str"/>
      <c r="I4542" s="65" t="str"/>
      <c r="J4542" s="49" t="str"/>
      <c r="K4542" s="41" t="str"/>
      <c r="L4542" s="41" t="str"/>
      <c r="M4542" s="41" t="str"/>
      <c r="N4542" s="41" t="str"/>
      <c r="O4542" s="41" t="str"/>
      <c r="P4542" s="41" t="str"/>
      <c r="Q4542" s="41" t="str"/>
      <c r="R4542" s="41" t="str"/>
      <c r="S4542" s="41" t="str"/>
      <c r="T4542" s="41" t="str"/>
      <c r="U4542" s="41" t="str"/>
      <c r="V4542" s="41" t="str"/>
      <c r="W4542" s="41" t="str"/>
    </row>
    <row r="4543">
      <c r="B4543" s="2" t="n"/>
      <c r="C4543" s="40" t="n"/>
      <c r="D4543" s="52">
        <f t="array" ref="D4543:W4543">IF(All_Students_Scores!C4541:V4541="","",All_Students_Scores!C4541:V4541)</f>
        <v/>
      </c>
      <c r="E4543" s="57" t="str"/>
      <c r="F4543" s="49" t="str"/>
      <c r="G4543" s="59" t="str"/>
      <c r="H4543" s="64" t="str"/>
      <c r="I4543" s="65" t="str"/>
      <c r="J4543" s="49" t="str"/>
      <c r="K4543" s="41" t="str"/>
      <c r="L4543" s="41" t="str"/>
      <c r="M4543" s="41" t="str"/>
      <c r="N4543" s="41" t="str"/>
      <c r="O4543" s="41" t="str"/>
      <c r="P4543" s="41" t="str"/>
      <c r="Q4543" s="41" t="str"/>
      <c r="R4543" s="41" t="str"/>
      <c r="S4543" s="41" t="str"/>
      <c r="T4543" s="41" t="str"/>
      <c r="U4543" s="41" t="str"/>
      <c r="V4543" s="41" t="str"/>
      <c r="W4543" s="41" t="str"/>
    </row>
    <row r="4544">
      <c r="B4544" s="2" t="n"/>
      <c r="C4544" s="40" t="n"/>
      <c r="D4544" s="52">
        <f t="array" ref="D4544:W4544">IF(All_Students_Scores!C4542:V4542="","",All_Students_Scores!C4542:V4542)</f>
        <v/>
      </c>
      <c r="E4544" s="57" t="str"/>
      <c r="F4544" s="49" t="str"/>
      <c r="G4544" s="59" t="str"/>
      <c r="H4544" s="64" t="str"/>
      <c r="I4544" s="65" t="str"/>
      <c r="J4544" s="49" t="str"/>
      <c r="K4544" s="41" t="str"/>
      <c r="L4544" s="41" t="str"/>
      <c r="M4544" s="41" t="str"/>
      <c r="N4544" s="41" t="str"/>
      <c r="O4544" s="41" t="str"/>
      <c r="P4544" s="41" t="str"/>
      <c r="Q4544" s="41" t="str"/>
      <c r="R4544" s="41" t="str"/>
      <c r="S4544" s="41" t="str"/>
      <c r="T4544" s="41" t="str"/>
      <c r="U4544" s="41" t="str"/>
      <c r="V4544" s="41" t="str"/>
      <c r="W4544" s="41" t="str"/>
    </row>
    <row r="4545">
      <c r="B4545" s="2" t="n"/>
      <c r="C4545" s="40" t="n"/>
      <c r="D4545" s="52">
        <f t="array" ref="D4545:W4545">IF(All_Students_Scores!C4543:V4543="","",All_Students_Scores!C4543:V4543)</f>
        <v/>
      </c>
      <c r="E4545" s="57" t="str"/>
      <c r="F4545" s="49" t="str"/>
      <c r="G4545" s="59" t="str"/>
      <c r="H4545" s="64" t="str"/>
      <c r="I4545" s="65" t="str"/>
      <c r="J4545" s="49" t="str"/>
      <c r="K4545" s="41" t="str"/>
      <c r="L4545" s="41" t="str"/>
      <c r="M4545" s="41" t="str"/>
      <c r="N4545" s="41" t="str"/>
      <c r="O4545" s="41" t="str"/>
      <c r="P4545" s="41" t="str"/>
      <c r="Q4545" s="41" t="str"/>
      <c r="R4545" s="41" t="str"/>
      <c r="S4545" s="41" t="str"/>
      <c r="T4545" s="41" t="str"/>
      <c r="U4545" s="41" t="str"/>
      <c r="V4545" s="41" t="str"/>
      <c r="W4545" s="41" t="str"/>
    </row>
    <row r="4546">
      <c r="B4546" s="2" t="n"/>
      <c r="C4546" s="40" t="n"/>
      <c r="D4546" s="52">
        <f t="array" ref="D4546:W4546">IF(All_Students_Scores!C4544:V4544="","",All_Students_Scores!C4544:V4544)</f>
        <v/>
      </c>
      <c r="E4546" s="57" t="str"/>
      <c r="F4546" s="49" t="str"/>
      <c r="G4546" s="59" t="str"/>
      <c r="H4546" s="64" t="str"/>
      <c r="I4546" s="65" t="str"/>
      <c r="J4546" s="49" t="str"/>
      <c r="K4546" s="41" t="str"/>
      <c r="L4546" s="41" t="str"/>
      <c r="M4546" s="41" t="str"/>
      <c r="N4546" s="41" t="str"/>
      <c r="O4546" s="41" t="str"/>
      <c r="P4546" s="41" t="str"/>
      <c r="Q4546" s="41" t="str"/>
      <c r="R4546" s="41" t="str"/>
      <c r="S4546" s="41" t="str"/>
      <c r="T4546" s="41" t="str"/>
      <c r="U4546" s="41" t="str"/>
      <c r="V4546" s="41" t="str"/>
      <c r="W4546" s="41" t="str"/>
    </row>
    <row r="4547">
      <c r="B4547" s="2" t="n"/>
      <c r="C4547" s="40" t="n"/>
      <c r="D4547" s="52">
        <f t="array" ref="D4547:W4547">IF(All_Students_Scores!C4545:V4545="","",All_Students_Scores!C4545:V4545)</f>
        <v/>
      </c>
      <c r="E4547" s="57" t="str"/>
      <c r="F4547" s="49" t="str"/>
      <c r="G4547" s="59" t="str"/>
      <c r="H4547" s="64" t="str"/>
      <c r="I4547" s="65" t="str"/>
      <c r="J4547" s="49" t="str"/>
      <c r="K4547" s="41" t="str"/>
      <c r="L4547" s="41" t="str"/>
      <c r="M4547" s="41" t="str"/>
      <c r="N4547" s="41" t="str"/>
      <c r="O4547" s="41" t="str"/>
      <c r="P4547" s="41" t="str"/>
      <c r="Q4547" s="41" t="str"/>
      <c r="R4547" s="41" t="str"/>
      <c r="S4547" s="41" t="str"/>
      <c r="T4547" s="41" t="str"/>
      <c r="U4547" s="41" t="str"/>
      <c r="V4547" s="41" t="str"/>
      <c r="W4547" s="41" t="str"/>
    </row>
    <row r="4548">
      <c r="B4548" s="2" t="n"/>
      <c r="C4548" s="40" t="n"/>
      <c r="D4548" s="52">
        <f t="array" ref="D4548:W4548">IF(All_Students_Scores!C4546:V4546="","",All_Students_Scores!C4546:V4546)</f>
        <v/>
      </c>
      <c r="E4548" s="57" t="str"/>
      <c r="F4548" s="49" t="str"/>
      <c r="G4548" s="59" t="str"/>
      <c r="H4548" s="64" t="str"/>
      <c r="I4548" s="65" t="str"/>
      <c r="J4548" s="49" t="str"/>
      <c r="K4548" s="41" t="str"/>
      <c r="L4548" s="41" t="str"/>
      <c r="M4548" s="41" t="str"/>
      <c r="N4548" s="41" t="str"/>
      <c r="O4548" s="41" t="str"/>
      <c r="P4548" s="41" t="str"/>
      <c r="Q4548" s="41" t="str"/>
      <c r="R4548" s="41" t="str"/>
      <c r="S4548" s="41" t="str"/>
      <c r="T4548" s="41" t="str"/>
      <c r="U4548" s="41" t="str"/>
      <c r="V4548" s="41" t="str"/>
      <c r="W4548" s="41" t="str"/>
    </row>
    <row r="4549">
      <c r="B4549" s="2" t="n"/>
      <c r="C4549" s="40" t="n"/>
      <c r="D4549" s="52">
        <f t="array" ref="D4549:W4549">IF(All_Students_Scores!C4547:V4547="","",All_Students_Scores!C4547:V4547)</f>
        <v/>
      </c>
      <c r="E4549" s="57" t="str"/>
      <c r="F4549" s="49" t="str"/>
      <c r="G4549" s="59" t="str"/>
      <c r="H4549" s="64" t="str"/>
      <c r="I4549" s="65" t="str"/>
      <c r="J4549" s="49" t="str"/>
      <c r="K4549" s="41" t="str"/>
      <c r="L4549" s="41" t="str"/>
      <c r="M4549" s="41" t="str"/>
      <c r="N4549" s="41" t="str"/>
      <c r="O4549" s="41" t="str"/>
      <c r="P4549" s="41" t="str"/>
      <c r="Q4549" s="41" t="str"/>
      <c r="R4549" s="41" t="str"/>
      <c r="S4549" s="41" t="str"/>
      <c r="T4549" s="41" t="str"/>
      <c r="U4549" s="41" t="str"/>
      <c r="V4549" s="41" t="str"/>
      <c r="W4549" s="41" t="str"/>
    </row>
    <row r="4550">
      <c r="B4550" s="2" t="n"/>
      <c r="C4550" s="40" t="n"/>
      <c r="D4550" s="52">
        <f t="array" ref="D4550:W4550">IF(All_Students_Scores!C4548:V4548="","",All_Students_Scores!C4548:V4548)</f>
        <v/>
      </c>
      <c r="E4550" s="57" t="str"/>
      <c r="F4550" s="49" t="str"/>
      <c r="G4550" s="59" t="str"/>
      <c r="H4550" s="64" t="str"/>
      <c r="I4550" s="65" t="str"/>
      <c r="J4550" s="49" t="str"/>
      <c r="K4550" s="41" t="str"/>
      <c r="L4550" s="41" t="str"/>
      <c r="M4550" s="41" t="str"/>
      <c r="N4550" s="41" t="str"/>
      <c r="O4550" s="41" t="str"/>
      <c r="P4550" s="41" t="str"/>
      <c r="Q4550" s="41" t="str"/>
      <c r="R4550" s="41" t="str"/>
      <c r="S4550" s="41" t="str"/>
      <c r="T4550" s="41" t="str"/>
      <c r="U4550" s="41" t="str"/>
      <c r="V4550" s="41" t="str"/>
      <c r="W4550" s="41" t="str"/>
    </row>
    <row r="4551">
      <c r="B4551" s="2" t="n"/>
      <c r="C4551" s="40" t="n"/>
      <c r="D4551" s="52">
        <f t="array" ref="D4551:W4551">IF(All_Students_Scores!C4549:V4549="","",All_Students_Scores!C4549:V4549)</f>
        <v/>
      </c>
      <c r="E4551" s="57" t="str"/>
      <c r="F4551" s="49" t="str"/>
      <c r="G4551" s="59" t="str"/>
      <c r="H4551" s="64" t="str"/>
      <c r="I4551" s="65" t="str"/>
      <c r="J4551" s="49" t="str"/>
      <c r="K4551" s="41" t="str"/>
      <c r="L4551" s="41" t="str"/>
      <c r="M4551" s="41" t="str"/>
      <c r="N4551" s="41" t="str"/>
      <c r="O4551" s="41" t="str"/>
      <c r="P4551" s="41" t="str"/>
      <c r="Q4551" s="41" t="str"/>
      <c r="R4551" s="41" t="str"/>
      <c r="S4551" s="41" t="str"/>
      <c r="T4551" s="41" t="str"/>
      <c r="U4551" s="41" t="str"/>
      <c r="V4551" s="41" t="str"/>
      <c r="W4551" s="41" t="str"/>
    </row>
    <row r="4552">
      <c r="B4552" s="2" t="n"/>
      <c r="C4552" s="40" t="n"/>
      <c r="D4552" s="52">
        <f t="array" ref="D4552:W4552">IF(All_Students_Scores!C4550:V4550="","",All_Students_Scores!C4550:V4550)</f>
        <v/>
      </c>
      <c r="E4552" s="57" t="str"/>
      <c r="F4552" s="49" t="str"/>
      <c r="G4552" s="59" t="str"/>
      <c r="H4552" s="64" t="str"/>
      <c r="I4552" s="65" t="str"/>
      <c r="J4552" s="49" t="str"/>
      <c r="K4552" s="41" t="str"/>
      <c r="L4552" s="41" t="str"/>
      <c r="M4552" s="41" t="str"/>
      <c r="N4552" s="41" t="str"/>
      <c r="O4552" s="41" t="str"/>
      <c r="P4552" s="41" t="str"/>
      <c r="Q4552" s="41" t="str"/>
      <c r="R4552" s="41" t="str"/>
      <c r="S4552" s="41" t="str"/>
      <c r="T4552" s="41" t="str"/>
      <c r="U4552" s="41" t="str"/>
      <c r="V4552" s="41" t="str"/>
      <c r="W4552" s="41" t="str"/>
    </row>
    <row r="4553">
      <c r="B4553" s="2" t="n"/>
      <c r="C4553" s="40" t="n"/>
      <c r="D4553" s="52">
        <f t="array" ref="D4553:W4553">IF(All_Students_Scores!C4551:V4551="","",All_Students_Scores!C4551:V4551)</f>
        <v/>
      </c>
      <c r="E4553" s="57" t="str"/>
      <c r="F4553" s="49" t="str"/>
      <c r="G4553" s="59" t="str"/>
      <c r="H4553" s="64" t="str"/>
      <c r="I4553" s="65" t="str"/>
      <c r="J4553" s="49" t="str"/>
      <c r="K4553" s="41" t="str"/>
      <c r="L4553" s="41" t="str"/>
      <c r="M4553" s="41" t="str"/>
      <c r="N4553" s="41" t="str"/>
      <c r="O4553" s="41" t="str"/>
      <c r="P4553" s="41" t="str"/>
      <c r="Q4553" s="41" t="str"/>
      <c r="R4553" s="41" t="str"/>
      <c r="S4553" s="41" t="str"/>
      <c r="T4553" s="41" t="str"/>
      <c r="U4553" s="41" t="str"/>
      <c r="V4553" s="41" t="str"/>
      <c r="W4553" s="41" t="str"/>
    </row>
    <row r="4554">
      <c r="B4554" s="2" t="n"/>
      <c r="C4554" s="40" t="n"/>
      <c r="D4554" s="52">
        <f t="array" ref="D4554:W4554">IF(All_Students_Scores!C4552:V4552="","",All_Students_Scores!C4552:V4552)</f>
        <v/>
      </c>
      <c r="E4554" s="57" t="str"/>
      <c r="F4554" s="49" t="str"/>
      <c r="G4554" s="59" t="str"/>
      <c r="H4554" s="64" t="str"/>
      <c r="I4554" s="65" t="str"/>
      <c r="J4554" s="49" t="str"/>
      <c r="K4554" s="41" t="str"/>
      <c r="L4554" s="41" t="str"/>
      <c r="M4554" s="41" t="str"/>
      <c r="N4554" s="41" t="str"/>
      <c r="O4554" s="41" t="str"/>
      <c r="P4554" s="41" t="str"/>
      <c r="Q4554" s="41" t="str"/>
      <c r="R4554" s="41" t="str"/>
      <c r="S4554" s="41" t="str"/>
      <c r="T4554" s="41" t="str"/>
      <c r="U4554" s="41" t="str"/>
      <c r="V4554" s="41" t="str"/>
      <c r="W4554" s="41" t="str"/>
    </row>
    <row r="4555">
      <c r="B4555" s="2" t="n"/>
      <c r="C4555" s="40" t="n"/>
      <c r="D4555" s="52">
        <f t="array" ref="D4555:W4555">IF(All_Students_Scores!C4553:V4553="","",All_Students_Scores!C4553:V4553)</f>
        <v/>
      </c>
      <c r="E4555" s="57" t="str"/>
      <c r="F4555" s="49" t="str"/>
      <c r="G4555" s="59" t="str"/>
      <c r="H4555" s="64" t="str"/>
      <c r="I4555" s="65" t="str"/>
      <c r="J4555" s="49" t="str"/>
      <c r="K4555" s="41" t="str"/>
      <c r="L4555" s="41" t="str"/>
      <c r="M4555" s="41" t="str"/>
      <c r="N4555" s="41" t="str"/>
      <c r="O4555" s="41" t="str"/>
      <c r="P4555" s="41" t="str"/>
      <c r="Q4555" s="41" t="str"/>
      <c r="R4555" s="41" t="str"/>
      <c r="S4555" s="41" t="str"/>
      <c r="T4555" s="41" t="str"/>
      <c r="U4555" s="41" t="str"/>
      <c r="V4555" s="41" t="str"/>
      <c r="W4555" s="41" t="str"/>
    </row>
    <row r="4556">
      <c r="B4556" s="2" t="n"/>
      <c r="C4556" s="40" t="n"/>
      <c r="D4556" s="52">
        <f t="array" ref="D4556:W4556">IF(All_Students_Scores!C4554:V4554="","",All_Students_Scores!C4554:V4554)</f>
        <v/>
      </c>
      <c r="E4556" s="57" t="str"/>
      <c r="F4556" s="49" t="str"/>
      <c r="G4556" s="59" t="str"/>
      <c r="H4556" s="64" t="str"/>
      <c r="I4556" s="65" t="str"/>
      <c r="J4556" s="49" t="str"/>
      <c r="K4556" s="41" t="str"/>
      <c r="L4556" s="41" t="str"/>
      <c r="M4556" s="41" t="str"/>
      <c r="N4556" s="41" t="str"/>
      <c r="O4556" s="41" t="str"/>
      <c r="P4556" s="41" t="str"/>
      <c r="Q4556" s="41" t="str"/>
      <c r="R4556" s="41" t="str"/>
      <c r="S4556" s="41" t="str"/>
      <c r="T4556" s="41" t="str"/>
      <c r="U4556" s="41" t="str"/>
      <c r="V4556" s="41" t="str"/>
      <c r="W4556" s="41" t="str"/>
    </row>
    <row r="4557">
      <c r="B4557" s="2" t="n"/>
      <c r="C4557" s="40" t="n"/>
      <c r="D4557" s="52">
        <f t="array" ref="D4557:W4557">IF(All_Students_Scores!C4555:V4555="","",All_Students_Scores!C4555:V4555)</f>
        <v/>
      </c>
      <c r="E4557" s="57" t="str"/>
      <c r="F4557" s="49" t="str"/>
      <c r="G4557" s="59" t="str"/>
      <c r="H4557" s="64" t="str"/>
      <c r="I4557" s="65" t="str"/>
      <c r="J4557" s="49" t="str"/>
      <c r="K4557" s="41" t="str"/>
      <c r="L4557" s="41" t="str"/>
      <c r="M4557" s="41" t="str"/>
      <c r="N4557" s="41" t="str"/>
      <c r="O4557" s="41" t="str"/>
      <c r="P4557" s="41" t="str"/>
      <c r="Q4557" s="41" t="str"/>
      <c r="R4557" s="41" t="str"/>
      <c r="S4557" s="41" t="str"/>
      <c r="T4557" s="41" t="str"/>
      <c r="U4557" s="41" t="str"/>
      <c r="V4557" s="41" t="str"/>
      <c r="W4557" s="41" t="str"/>
    </row>
    <row r="4558">
      <c r="B4558" s="2" t="n"/>
      <c r="C4558" s="40" t="n"/>
      <c r="D4558" s="52">
        <f t="array" ref="D4558:W4558">IF(All_Students_Scores!C4556:V4556="","",All_Students_Scores!C4556:V4556)</f>
        <v/>
      </c>
      <c r="E4558" s="57" t="str"/>
      <c r="F4558" s="49" t="str"/>
      <c r="G4558" s="59" t="str"/>
      <c r="H4558" s="64" t="str"/>
      <c r="I4558" s="65" t="str"/>
      <c r="J4558" s="49" t="str"/>
      <c r="K4558" s="41" t="str"/>
      <c r="L4558" s="41" t="str"/>
      <c r="M4558" s="41" t="str"/>
      <c r="N4558" s="41" t="str"/>
      <c r="O4558" s="41" t="str"/>
      <c r="P4558" s="41" t="str"/>
      <c r="Q4558" s="41" t="str"/>
      <c r="R4558" s="41" t="str"/>
      <c r="S4558" s="41" t="str"/>
      <c r="T4558" s="41" t="str"/>
      <c r="U4558" s="41" t="str"/>
      <c r="V4558" s="41" t="str"/>
      <c r="W4558" s="41" t="str"/>
    </row>
    <row r="4559">
      <c r="B4559" s="2" t="n"/>
      <c r="C4559" s="40" t="n"/>
      <c r="D4559" s="52">
        <f t="array" ref="D4559:W4559">IF(All_Students_Scores!C4557:V4557="","",All_Students_Scores!C4557:V4557)</f>
        <v/>
      </c>
      <c r="E4559" s="57" t="str"/>
      <c r="F4559" s="49" t="str"/>
      <c r="G4559" s="59" t="str"/>
      <c r="H4559" s="64" t="str"/>
      <c r="I4559" s="65" t="str"/>
      <c r="J4559" s="49" t="str"/>
      <c r="K4559" s="41" t="str"/>
      <c r="L4559" s="41" t="str"/>
      <c r="M4559" s="41" t="str"/>
      <c r="N4559" s="41" t="str"/>
      <c r="O4559" s="41" t="str"/>
      <c r="P4559" s="41" t="str"/>
      <c r="Q4559" s="41" t="str"/>
      <c r="R4559" s="41" t="str"/>
      <c r="S4559" s="41" t="str"/>
      <c r="T4559" s="41" t="str"/>
      <c r="U4559" s="41" t="str"/>
      <c r="V4559" s="41" t="str"/>
      <c r="W4559" s="41" t="str"/>
    </row>
    <row r="4560">
      <c r="B4560" s="2" t="n"/>
      <c r="C4560" s="40" t="n"/>
      <c r="D4560" s="52">
        <f t="array" ref="D4560:W4560">IF(All_Students_Scores!C4558:V4558="","",All_Students_Scores!C4558:V4558)</f>
        <v/>
      </c>
      <c r="E4560" s="57" t="str"/>
      <c r="F4560" s="49" t="str"/>
      <c r="G4560" s="59" t="str"/>
      <c r="H4560" s="64" t="str"/>
      <c r="I4560" s="65" t="str"/>
      <c r="J4560" s="49" t="str"/>
      <c r="K4560" s="41" t="str"/>
      <c r="L4560" s="41" t="str"/>
      <c r="M4560" s="41" t="str"/>
      <c r="N4560" s="41" t="str"/>
      <c r="O4560" s="41" t="str"/>
      <c r="P4560" s="41" t="str"/>
      <c r="Q4560" s="41" t="str"/>
      <c r="R4560" s="41" t="str"/>
      <c r="S4560" s="41" t="str"/>
      <c r="T4560" s="41" t="str"/>
      <c r="U4560" s="41" t="str"/>
      <c r="V4560" s="41" t="str"/>
      <c r="W4560" s="41" t="str"/>
    </row>
    <row r="4561">
      <c r="B4561" s="2" t="n"/>
      <c r="C4561" s="40" t="n"/>
      <c r="D4561" s="52">
        <f t="array" ref="D4561:W4561">IF(All_Students_Scores!C4559:V4559="","",All_Students_Scores!C4559:V4559)</f>
        <v/>
      </c>
      <c r="E4561" s="57" t="str"/>
      <c r="F4561" s="49" t="str"/>
      <c r="G4561" s="59" t="str"/>
      <c r="H4561" s="64" t="str"/>
      <c r="I4561" s="65" t="str"/>
      <c r="J4561" s="49" t="str"/>
      <c r="K4561" s="41" t="str"/>
      <c r="L4561" s="41" t="str"/>
      <c r="M4561" s="41" t="str"/>
      <c r="N4561" s="41" t="str"/>
      <c r="O4561" s="41" t="str"/>
      <c r="P4561" s="41" t="str"/>
      <c r="Q4561" s="41" t="str"/>
      <c r="R4561" s="41" t="str"/>
      <c r="S4561" s="41" t="str"/>
      <c r="T4561" s="41" t="str"/>
      <c r="U4561" s="41" t="str"/>
      <c r="V4561" s="41" t="str"/>
      <c r="W4561" s="41" t="str"/>
    </row>
    <row r="4562">
      <c r="B4562" s="2" t="n"/>
      <c r="C4562" s="40" t="n"/>
      <c r="D4562" s="52">
        <f t="array" ref="D4562:W4562">IF(All_Students_Scores!C4560:V4560="","",All_Students_Scores!C4560:V4560)</f>
        <v/>
      </c>
      <c r="E4562" s="57" t="str"/>
      <c r="F4562" s="49" t="str"/>
      <c r="G4562" s="59" t="str"/>
      <c r="H4562" s="64" t="str"/>
      <c r="I4562" s="65" t="str"/>
      <c r="J4562" s="49" t="str"/>
      <c r="K4562" s="41" t="str"/>
      <c r="L4562" s="41" t="str"/>
      <c r="M4562" s="41" t="str"/>
      <c r="N4562" s="41" t="str"/>
      <c r="O4562" s="41" t="str"/>
      <c r="P4562" s="41" t="str"/>
      <c r="Q4562" s="41" t="str"/>
      <c r="R4562" s="41" t="str"/>
      <c r="S4562" s="41" t="str"/>
      <c r="T4562" s="41" t="str"/>
      <c r="U4562" s="41" t="str"/>
      <c r="V4562" s="41" t="str"/>
      <c r="W4562" s="41" t="str"/>
    </row>
    <row r="4563">
      <c r="B4563" s="2" t="n"/>
      <c r="C4563" s="40" t="n"/>
      <c r="D4563" s="52">
        <f t="array" ref="D4563:W4563">IF(All_Students_Scores!C4561:V4561="","",All_Students_Scores!C4561:V4561)</f>
        <v/>
      </c>
      <c r="E4563" s="57" t="str"/>
      <c r="F4563" s="49" t="str"/>
      <c r="G4563" s="59" t="str"/>
      <c r="H4563" s="64" t="str"/>
      <c r="I4563" s="65" t="str"/>
      <c r="J4563" s="49" t="str"/>
      <c r="K4563" s="41" t="str"/>
      <c r="L4563" s="41" t="str"/>
      <c r="M4563" s="41" t="str"/>
      <c r="N4563" s="41" t="str"/>
      <c r="O4563" s="41" t="str"/>
      <c r="P4563" s="41" t="str"/>
      <c r="Q4563" s="41" t="str"/>
      <c r="R4563" s="41" t="str"/>
      <c r="S4563" s="41" t="str"/>
      <c r="T4563" s="41" t="str"/>
      <c r="U4563" s="41" t="str"/>
      <c r="V4563" s="41" t="str"/>
      <c r="W4563" s="41" t="str"/>
    </row>
    <row r="4564">
      <c r="B4564" s="2" t="n"/>
      <c r="C4564" s="40" t="n"/>
      <c r="D4564" s="52">
        <f t="array" ref="D4564:W4564">IF(All_Students_Scores!C4562:V4562="","",All_Students_Scores!C4562:V4562)</f>
        <v/>
      </c>
      <c r="E4564" s="57" t="str"/>
      <c r="F4564" s="49" t="str"/>
      <c r="G4564" s="59" t="str"/>
      <c r="H4564" s="64" t="str"/>
      <c r="I4564" s="65" t="str"/>
      <c r="J4564" s="49" t="str"/>
      <c r="K4564" s="41" t="str"/>
      <c r="L4564" s="41" t="str"/>
      <c r="M4564" s="41" t="str"/>
      <c r="N4564" s="41" t="str"/>
      <c r="O4564" s="41" t="str"/>
      <c r="P4564" s="41" t="str"/>
      <c r="Q4564" s="41" t="str"/>
      <c r="R4564" s="41" t="str"/>
      <c r="S4564" s="41" t="str"/>
      <c r="T4564" s="41" t="str"/>
      <c r="U4564" s="41" t="str"/>
      <c r="V4564" s="41" t="str"/>
      <c r="W4564" s="41" t="str"/>
    </row>
    <row r="4565">
      <c r="B4565" s="2" t="n"/>
      <c r="C4565" s="40" t="n"/>
      <c r="D4565" s="52">
        <f t="array" ref="D4565:W4565">IF(All_Students_Scores!C4563:V4563="","",All_Students_Scores!C4563:V4563)</f>
        <v/>
      </c>
      <c r="E4565" s="57" t="str"/>
      <c r="F4565" s="49" t="str"/>
      <c r="G4565" s="59" t="str"/>
      <c r="H4565" s="64" t="str"/>
      <c r="I4565" s="65" t="str"/>
      <c r="J4565" s="49" t="str"/>
      <c r="K4565" s="41" t="str"/>
      <c r="L4565" s="41" t="str"/>
      <c r="M4565" s="41" t="str"/>
      <c r="N4565" s="41" t="str"/>
      <c r="O4565" s="41" t="str"/>
      <c r="P4565" s="41" t="str"/>
      <c r="Q4565" s="41" t="str"/>
      <c r="R4565" s="41" t="str"/>
      <c r="S4565" s="41" t="str"/>
      <c r="T4565" s="41" t="str"/>
      <c r="U4565" s="41" t="str"/>
      <c r="V4565" s="41" t="str"/>
      <c r="W4565" s="41" t="str"/>
    </row>
    <row r="4566">
      <c r="B4566" s="2" t="n"/>
      <c r="C4566" s="40" t="n"/>
      <c r="D4566" s="52">
        <f t="array" ref="D4566:W4566">IF(All_Students_Scores!C4564:V4564="","",All_Students_Scores!C4564:V4564)</f>
        <v/>
      </c>
      <c r="E4566" s="57" t="str"/>
      <c r="F4566" s="49" t="str"/>
      <c r="G4566" s="59" t="str"/>
      <c r="H4566" s="64" t="str"/>
      <c r="I4566" s="65" t="str"/>
      <c r="J4566" s="49" t="str"/>
      <c r="K4566" s="41" t="str"/>
      <c r="L4566" s="41" t="str"/>
      <c r="M4566" s="41" t="str"/>
      <c r="N4566" s="41" t="str"/>
      <c r="O4566" s="41" t="str"/>
      <c r="P4566" s="41" t="str"/>
      <c r="Q4566" s="41" t="str"/>
      <c r="R4566" s="41" t="str"/>
      <c r="S4566" s="41" t="str"/>
      <c r="T4566" s="41" t="str"/>
      <c r="U4566" s="41" t="str"/>
      <c r="V4566" s="41" t="str"/>
      <c r="W4566" s="41" t="str"/>
    </row>
    <row r="4567">
      <c r="B4567" s="2" t="n"/>
      <c r="C4567" s="40" t="n"/>
      <c r="D4567" s="52">
        <f t="array" ref="D4567:W4567">IF(All_Students_Scores!C4565:V4565="","",All_Students_Scores!C4565:V4565)</f>
        <v/>
      </c>
      <c r="E4567" s="57" t="str"/>
      <c r="F4567" s="49" t="str"/>
      <c r="G4567" s="59" t="str"/>
      <c r="H4567" s="64" t="str"/>
      <c r="I4567" s="65" t="str"/>
      <c r="J4567" s="49" t="str"/>
      <c r="K4567" s="41" t="str"/>
      <c r="L4567" s="41" t="str"/>
      <c r="M4567" s="41" t="str"/>
      <c r="N4567" s="41" t="str"/>
      <c r="O4567" s="41" t="str"/>
      <c r="P4567" s="41" t="str"/>
      <c r="Q4567" s="41" t="str"/>
      <c r="R4567" s="41" t="str"/>
      <c r="S4567" s="41" t="str"/>
      <c r="T4567" s="41" t="str"/>
      <c r="U4567" s="41" t="str"/>
      <c r="V4567" s="41" t="str"/>
      <c r="W4567" s="41" t="str"/>
    </row>
    <row r="4568">
      <c r="B4568" s="2" t="n"/>
      <c r="C4568" s="40" t="n"/>
      <c r="D4568" s="52">
        <f t="array" ref="D4568:W4568">IF(All_Students_Scores!C4566:V4566="","",All_Students_Scores!C4566:V4566)</f>
        <v/>
      </c>
      <c r="E4568" s="57" t="str"/>
      <c r="F4568" s="49" t="str"/>
      <c r="G4568" s="59" t="str"/>
      <c r="H4568" s="64" t="str"/>
      <c r="I4568" s="65" t="str"/>
      <c r="J4568" s="49" t="str"/>
      <c r="K4568" s="41" t="str"/>
      <c r="L4568" s="41" t="str"/>
      <c r="M4568" s="41" t="str"/>
      <c r="N4568" s="41" t="str"/>
      <c r="O4568" s="41" t="str"/>
      <c r="P4568" s="41" t="str"/>
      <c r="Q4568" s="41" t="str"/>
      <c r="R4568" s="41" t="str"/>
      <c r="S4568" s="41" t="str"/>
      <c r="T4568" s="41" t="str"/>
      <c r="U4568" s="41" t="str"/>
      <c r="V4568" s="41" t="str"/>
      <c r="W4568" s="41" t="str"/>
    </row>
    <row r="4569">
      <c r="B4569" s="2" t="n"/>
      <c r="C4569" s="40" t="n"/>
      <c r="D4569" s="52">
        <f t="array" ref="D4569:W4569">IF(All_Students_Scores!C4567:V4567="","",All_Students_Scores!C4567:V4567)</f>
        <v/>
      </c>
      <c r="E4569" s="57" t="str"/>
      <c r="F4569" s="49" t="str"/>
      <c r="G4569" s="59" t="str"/>
      <c r="H4569" s="64" t="str"/>
      <c r="I4569" s="65" t="str"/>
      <c r="J4569" s="49" t="str"/>
      <c r="K4569" s="41" t="str"/>
      <c r="L4569" s="41" t="str"/>
      <c r="M4569" s="41" t="str"/>
      <c r="N4569" s="41" t="str"/>
      <c r="O4569" s="41" t="str"/>
      <c r="P4569" s="41" t="str"/>
      <c r="Q4569" s="41" t="str"/>
      <c r="R4569" s="41" t="str"/>
      <c r="S4569" s="41" t="str"/>
      <c r="T4569" s="41" t="str"/>
      <c r="U4569" s="41" t="str"/>
      <c r="V4569" s="41" t="str"/>
      <c r="W4569" s="41" t="str"/>
    </row>
    <row r="4570">
      <c r="B4570" s="2" t="n"/>
      <c r="C4570" s="40" t="n"/>
      <c r="D4570" s="52">
        <f t="array" ref="D4570:W4570">IF(All_Students_Scores!C4568:V4568="","",All_Students_Scores!C4568:V4568)</f>
        <v/>
      </c>
      <c r="E4570" s="57" t="str"/>
      <c r="F4570" s="49" t="str"/>
      <c r="G4570" s="59" t="str"/>
      <c r="H4570" s="64" t="str"/>
      <c r="I4570" s="65" t="str"/>
      <c r="J4570" s="49" t="str"/>
      <c r="K4570" s="41" t="str"/>
      <c r="L4570" s="41" t="str"/>
      <c r="M4570" s="41" t="str"/>
      <c r="N4570" s="41" t="str"/>
      <c r="O4570" s="41" t="str"/>
      <c r="P4570" s="41" t="str"/>
      <c r="Q4570" s="41" t="str"/>
      <c r="R4570" s="41" t="str"/>
      <c r="S4570" s="41" t="str"/>
      <c r="T4570" s="41" t="str"/>
      <c r="U4570" s="41" t="str"/>
      <c r="V4570" s="41" t="str"/>
      <c r="W4570" s="41" t="str"/>
    </row>
    <row r="4571">
      <c r="B4571" s="2" t="n"/>
      <c r="C4571" s="40" t="n"/>
      <c r="D4571" s="52">
        <f t="array" ref="D4571:W4571">IF(All_Students_Scores!C4569:V4569="","",All_Students_Scores!C4569:V4569)</f>
        <v/>
      </c>
      <c r="E4571" s="57" t="str"/>
      <c r="F4571" s="49" t="str"/>
      <c r="G4571" s="59" t="str"/>
      <c r="H4571" s="64" t="str"/>
      <c r="I4571" s="65" t="str"/>
      <c r="J4571" s="49" t="str"/>
      <c r="K4571" s="41" t="str"/>
      <c r="L4571" s="41" t="str"/>
      <c r="M4571" s="41" t="str"/>
      <c r="N4571" s="41" t="str"/>
      <c r="O4571" s="41" t="str"/>
      <c r="P4571" s="41" t="str"/>
      <c r="Q4571" s="41" t="str"/>
      <c r="R4571" s="41" t="str"/>
      <c r="S4571" s="41" t="str"/>
      <c r="T4571" s="41" t="str"/>
      <c r="U4571" s="41" t="str"/>
      <c r="V4571" s="41" t="str"/>
      <c r="W4571" s="41" t="str"/>
    </row>
    <row r="4572">
      <c r="B4572" s="2" t="n"/>
      <c r="C4572" s="40" t="n"/>
      <c r="D4572" s="52">
        <f t="array" ref="D4572:W4572">IF(All_Students_Scores!C4570:V4570="","",All_Students_Scores!C4570:V4570)</f>
        <v/>
      </c>
      <c r="E4572" s="57" t="str"/>
      <c r="F4572" s="49" t="str"/>
      <c r="G4572" s="59" t="str"/>
      <c r="H4572" s="64" t="str"/>
      <c r="I4572" s="65" t="str"/>
      <c r="J4572" s="49" t="str"/>
      <c r="K4572" s="41" t="str"/>
      <c r="L4572" s="41" t="str"/>
      <c r="M4572" s="41" t="str"/>
      <c r="N4572" s="41" t="str"/>
      <c r="O4572" s="41" t="str"/>
      <c r="P4572" s="41" t="str"/>
      <c r="Q4572" s="41" t="str"/>
      <c r="R4572" s="41" t="str"/>
      <c r="S4572" s="41" t="str"/>
      <c r="T4572" s="41" t="str"/>
      <c r="U4572" s="41" t="str"/>
      <c r="V4572" s="41" t="str"/>
      <c r="W4572" s="41" t="str"/>
    </row>
    <row r="4573">
      <c r="B4573" s="2" t="n"/>
      <c r="C4573" s="40" t="n"/>
      <c r="D4573" s="52">
        <f t="array" ref="D4573:W4573">IF(All_Students_Scores!C4571:V4571="","",All_Students_Scores!C4571:V4571)</f>
        <v/>
      </c>
      <c r="E4573" s="57" t="str"/>
      <c r="F4573" s="49" t="str"/>
      <c r="G4573" s="59" t="str"/>
      <c r="H4573" s="64" t="str"/>
      <c r="I4573" s="65" t="str"/>
      <c r="J4573" s="49" t="str"/>
      <c r="K4573" s="41" t="str"/>
      <c r="L4573" s="41" t="str"/>
      <c r="M4573" s="41" t="str"/>
      <c r="N4573" s="41" t="str"/>
      <c r="O4573" s="41" t="str"/>
      <c r="P4573" s="41" t="str"/>
      <c r="Q4573" s="41" t="str"/>
      <c r="R4573" s="41" t="str"/>
      <c r="S4573" s="41" t="str"/>
      <c r="T4573" s="41" t="str"/>
      <c r="U4573" s="41" t="str"/>
      <c r="V4573" s="41" t="str"/>
      <c r="W4573" s="41" t="str"/>
    </row>
    <row r="4574">
      <c r="B4574" s="2" t="n"/>
      <c r="C4574" s="40" t="n"/>
      <c r="D4574" s="52">
        <f t="array" ref="D4574:W4574">IF(All_Students_Scores!C4572:V4572="","",All_Students_Scores!C4572:V4572)</f>
        <v/>
      </c>
      <c r="E4574" s="57" t="str"/>
      <c r="F4574" s="49" t="str"/>
      <c r="G4574" s="59" t="str"/>
      <c r="H4574" s="64" t="str"/>
      <c r="I4574" s="65" t="str"/>
      <c r="J4574" s="49" t="str"/>
      <c r="K4574" s="41" t="str"/>
      <c r="L4574" s="41" t="str"/>
      <c r="M4574" s="41" t="str"/>
      <c r="N4574" s="41" t="str"/>
      <c r="O4574" s="41" t="str"/>
      <c r="P4574" s="41" t="str"/>
      <c r="Q4574" s="41" t="str"/>
      <c r="R4574" s="41" t="str"/>
      <c r="S4574" s="41" t="str"/>
      <c r="T4574" s="41" t="str"/>
      <c r="U4574" s="41" t="str"/>
      <c r="V4574" s="41" t="str"/>
      <c r="W4574" s="41" t="str"/>
    </row>
    <row r="4575">
      <c r="B4575" s="2" t="n"/>
      <c r="C4575" s="40" t="n"/>
      <c r="D4575" s="52">
        <f t="array" ref="D4575:W4575">IF(All_Students_Scores!C4573:V4573="","",All_Students_Scores!C4573:V4573)</f>
        <v/>
      </c>
      <c r="E4575" s="57" t="str"/>
      <c r="F4575" s="49" t="str"/>
      <c r="G4575" s="59" t="str"/>
      <c r="H4575" s="64" t="str"/>
      <c r="I4575" s="65" t="str"/>
      <c r="J4575" s="49" t="str"/>
      <c r="K4575" s="41" t="str"/>
      <c r="L4575" s="41" t="str"/>
      <c r="M4575" s="41" t="str"/>
      <c r="N4575" s="41" t="str"/>
      <c r="O4575" s="41" t="str"/>
      <c r="P4575" s="41" t="str"/>
      <c r="Q4575" s="41" t="str"/>
      <c r="R4575" s="41" t="str"/>
      <c r="S4575" s="41" t="str"/>
      <c r="T4575" s="41" t="str"/>
      <c r="U4575" s="41" t="str"/>
      <c r="V4575" s="41" t="str"/>
      <c r="W4575" s="41" t="str"/>
    </row>
    <row r="4576">
      <c r="B4576" s="2" t="n"/>
      <c r="C4576" s="40" t="n"/>
      <c r="D4576" s="52">
        <f t="array" ref="D4576:W4576">IF(All_Students_Scores!C4574:V4574="","",All_Students_Scores!C4574:V4574)</f>
        <v/>
      </c>
      <c r="E4576" s="57" t="str"/>
      <c r="F4576" s="49" t="str"/>
      <c r="G4576" s="59" t="str"/>
      <c r="H4576" s="64" t="str"/>
      <c r="I4576" s="65" t="str"/>
      <c r="J4576" s="49" t="str"/>
      <c r="K4576" s="41" t="str"/>
      <c r="L4576" s="41" t="str"/>
      <c r="M4576" s="41" t="str"/>
      <c r="N4576" s="41" t="str"/>
      <c r="O4576" s="41" t="str"/>
      <c r="P4576" s="41" t="str"/>
      <c r="Q4576" s="41" t="str"/>
      <c r="R4576" s="41" t="str"/>
      <c r="S4576" s="41" t="str"/>
      <c r="T4576" s="41" t="str"/>
      <c r="U4576" s="41" t="str"/>
      <c r="V4576" s="41" t="str"/>
      <c r="W4576" s="41" t="str"/>
    </row>
    <row r="4577">
      <c r="B4577" s="2" t="n"/>
      <c r="C4577" s="40" t="n"/>
      <c r="D4577" s="52">
        <f t="array" ref="D4577:W4577">IF(All_Students_Scores!C4575:V4575="","",All_Students_Scores!C4575:V4575)</f>
        <v/>
      </c>
      <c r="E4577" s="57" t="str"/>
      <c r="F4577" s="49" t="str"/>
      <c r="G4577" s="59" t="str"/>
      <c r="H4577" s="64" t="str"/>
      <c r="I4577" s="65" t="str"/>
      <c r="J4577" s="49" t="str"/>
      <c r="K4577" s="41" t="str"/>
      <c r="L4577" s="41" t="str"/>
      <c r="M4577" s="41" t="str"/>
      <c r="N4577" s="41" t="str"/>
      <c r="O4577" s="41" t="str"/>
      <c r="P4577" s="41" t="str"/>
      <c r="Q4577" s="41" t="str"/>
      <c r="R4577" s="41" t="str"/>
      <c r="S4577" s="41" t="str"/>
      <c r="T4577" s="41" t="str"/>
      <c r="U4577" s="41" t="str"/>
      <c r="V4577" s="41" t="str"/>
      <c r="W4577" s="41" t="str"/>
    </row>
    <row r="4578">
      <c r="B4578" s="2" t="n"/>
      <c r="C4578" s="40" t="n"/>
      <c r="D4578" s="52">
        <f t="array" ref="D4578:W4578">IF(All_Students_Scores!C4576:V4576="","",All_Students_Scores!C4576:V4576)</f>
        <v/>
      </c>
      <c r="E4578" s="57" t="str"/>
      <c r="F4578" s="49" t="str"/>
      <c r="G4578" s="59" t="str"/>
      <c r="H4578" s="64" t="str"/>
      <c r="I4578" s="65" t="str"/>
      <c r="J4578" s="49" t="str"/>
      <c r="K4578" s="41" t="str"/>
      <c r="L4578" s="41" t="str"/>
      <c r="M4578" s="41" t="str"/>
      <c r="N4578" s="41" t="str"/>
      <c r="O4578" s="41" t="str"/>
      <c r="P4578" s="41" t="str"/>
      <c r="Q4578" s="41" t="str"/>
      <c r="R4578" s="41" t="str"/>
      <c r="S4578" s="41" t="str"/>
      <c r="T4578" s="41" t="str"/>
      <c r="U4578" s="41" t="str"/>
      <c r="V4578" s="41" t="str"/>
      <c r="W4578" s="41" t="str"/>
    </row>
    <row r="4579">
      <c r="B4579" s="2" t="n"/>
      <c r="C4579" s="40" t="n"/>
      <c r="D4579" s="52">
        <f t="array" ref="D4579:W4579">IF(All_Students_Scores!C4577:V4577="","",All_Students_Scores!C4577:V4577)</f>
        <v/>
      </c>
      <c r="E4579" s="57" t="str"/>
      <c r="F4579" s="49" t="str"/>
      <c r="G4579" s="59" t="str"/>
      <c r="H4579" s="64" t="str"/>
      <c r="I4579" s="65" t="str"/>
      <c r="J4579" s="49" t="str"/>
      <c r="K4579" s="41" t="str"/>
      <c r="L4579" s="41" t="str"/>
      <c r="M4579" s="41" t="str"/>
      <c r="N4579" s="41" t="str"/>
      <c r="O4579" s="41" t="str"/>
      <c r="P4579" s="41" t="str"/>
      <c r="Q4579" s="41" t="str"/>
      <c r="R4579" s="41" t="str"/>
      <c r="S4579" s="41" t="str"/>
      <c r="T4579" s="41" t="str"/>
      <c r="U4579" s="41" t="str"/>
      <c r="V4579" s="41" t="str"/>
      <c r="W4579" s="41" t="str"/>
    </row>
    <row r="4580">
      <c r="B4580" s="2" t="n"/>
      <c r="C4580" s="40" t="n"/>
      <c r="D4580" s="52">
        <f t="array" ref="D4580:W4580">IF(All_Students_Scores!C4578:V4578="","",All_Students_Scores!C4578:V4578)</f>
        <v/>
      </c>
      <c r="E4580" s="57" t="str"/>
      <c r="F4580" s="49" t="str"/>
      <c r="G4580" s="59" t="str"/>
      <c r="H4580" s="64" t="str"/>
      <c r="I4580" s="65" t="str"/>
      <c r="J4580" s="49" t="str"/>
      <c r="K4580" s="41" t="str"/>
      <c r="L4580" s="41" t="str"/>
      <c r="M4580" s="41" t="str"/>
      <c r="N4580" s="41" t="str"/>
      <c r="O4580" s="41" t="str"/>
      <c r="P4580" s="41" t="str"/>
      <c r="Q4580" s="41" t="str"/>
      <c r="R4580" s="41" t="str"/>
      <c r="S4580" s="41" t="str"/>
      <c r="T4580" s="41" t="str"/>
      <c r="U4580" s="41" t="str"/>
      <c r="V4580" s="41" t="str"/>
      <c r="W4580" s="41" t="str"/>
    </row>
    <row r="4581">
      <c r="B4581" s="2" t="n"/>
      <c r="C4581" s="40" t="n"/>
      <c r="D4581" s="52">
        <f t="array" ref="D4581:W4581">IF(All_Students_Scores!C4579:V4579="","",All_Students_Scores!C4579:V4579)</f>
        <v/>
      </c>
      <c r="E4581" s="57" t="str"/>
      <c r="F4581" s="49" t="str"/>
      <c r="G4581" s="59" t="str"/>
      <c r="H4581" s="64" t="str"/>
      <c r="I4581" s="65" t="str"/>
      <c r="J4581" s="49" t="str"/>
      <c r="K4581" s="41" t="str"/>
      <c r="L4581" s="41" t="str"/>
      <c r="M4581" s="41" t="str"/>
      <c r="N4581" s="41" t="str"/>
      <c r="O4581" s="41" t="str"/>
      <c r="P4581" s="41" t="str"/>
      <c r="Q4581" s="41" t="str"/>
      <c r="R4581" s="41" t="str"/>
      <c r="S4581" s="41" t="str"/>
      <c r="T4581" s="41" t="str"/>
      <c r="U4581" s="41" t="str"/>
      <c r="V4581" s="41" t="str"/>
      <c r="W4581" s="41" t="str"/>
    </row>
    <row r="4582">
      <c r="B4582" s="2" t="n"/>
      <c r="C4582" s="40" t="n"/>
      <c r="D4582" s="52">
        <f t="array" ref="D4582:W4582">IF(All_Students_Scores!C4580:V4580="","",All_Students_Scores!C4580:V4580)</f>
        <v/>
      </c>
      <c r="E4582" s="57" t="str"/>
      <c r="F4582" s="49" t="str"/>
      <c r="G4582" s="59" t="str"/>
      <c r="H4582" s="64" t="str"/>
      <c r="I4582" s="65" t="str"/>
      <c r="J4582" s="49" t="str"/>
      <c r="K4582" s="41" t="str"/>
      <c r="L4582" s="41" t="str"/>
      <c r="M4582" s="41" t="str"/>
      <c r="N4582" s="41" t="str"/>
      <c r="O4582" s="41" t="str"/>
      <c r="P4582" s="41" t="str"/>
      <c r="Q4582" s="41" t="str"/>
      <c r="R4582" s="41" t="str"/>
      <c r="S4582" s="41" t="str"/>
      <c r="T4582" s="41" t="str"/>
      <c r="U4582" s="41" t="str"/>
      <c r="V4582" s="41" t="str"/>
      <c r="W4582" s="41" t="str"/>
    </row>
    <row r="4583">
      <c r="B4583" s="2" t="n"/>
      <c r="C4583" s="40" t="n"/>
      <c r="D4583" s="52">
        <f t="array" ref="D4583:W4583">IF(All_Students_Scores!C4581:V4581="","",All_Students_Scores!C4581:V4581)</f>
        <v/>
      </c>
      <c r="E4583" s="57" t="str"/>
      <c r="F4583" s="49" t="str"/>
      <c r="G4583" s="59" t="str"/>
      <c r="H4583" s="64" t="str"/>
      <c r="I4583" s="65" t="str"/>
      <c r="J4583" s="49" t="str"/>
      <c r="K4583" s="41" t="str"/>
      <c r="L4583" s="41" t="str"/>
      <c r="M4583" s="41" t="str"/>
      <c r="N4583" s="41" t="str"/>
      <c r="O4583" s="41" t="str"/>
      <c r="P4583" s="41" t="str"/>
      <c r="Q4583" s="41" t="str"/>
      <c r="R4583" s="41" t="str"/>
      <c r="S4583" s="41" t="str"/>
      <c r="T4583" s="41" t="str"/>
      <c r="U4583" s="41" t="str"/>
      <c r="V4583" s="41" t="str"/>
      <c r="W4583" s="41" t="str"/>
    </row>
    <row r="4584">
      <c r="B4584" s="2" t="n"/>
      <c r="C4584" s="40" t="n"/>
      <c r="D4584" s="52">
        <f t="array" ref="D4584:W4584">IF(All_Students_Scores!C4582:V4582="","",All_Students_Scores!C4582:V4582)</f>
        <v/>
      </c>
      <c r="E4584" s="57" t="str"/>
      <c r="F4584" s="49" t="str"/>
      <c r="G4584" s="59" t="str"/>
      <c r="H4584" s="64" t="str"/>
      <c r="I4584" s="65" t="str"/>
      <c r="J4584" s="49" t="str"/>
      <c r="K4584" s="41" t="str"/>
      <c r="L4584" s="41" t="str"/>
      <c r="M4584" s="41" t="str"/>
      <c r="N4584" s="41" t="str"/>
      <c r="O4584" s="41" t="str"/>
      <c r="P4584" s="41" t="str"/>
      <c r="Q4584" s="41" t="str"/>
      <c r="R4584" s="41" t="str"/>
      <c r="S4584" s="41" t="str"/>
      <c r="T4584" s="41" t="str"/>
      <c r="U4584" s="41" t="str"/>
      <c r="V4584" s="41" t="str"/>
      <c r="W4584" s="41" t="str"/>
    </row>
    <row r="4585">
      <c r="B4585" s="2" t="n"/>
      <c r="C4585" s="40" t="n"/>
      <c r="D4585" s="52">
        <f t="array" ref="D4585:W4585">IF(All_Students_Scores!C4583:V4583="","",All_Students_Scores!C4583:V4583)</f>
        <v/>
      </c>
      <c r="E4585" s="57" t="str"/>
      <c r="F4585" s="49" t="str"/>
      <c r="G4585" s="59" t="str"/>
      <c r="H4585" s="64" t="str"/>
      <c r="I4585" s="65" t="str"/>
      <c r="J4585" s="49" t="str"/>
      <c r="K4585" s="41" t="str"/>
      <c r="L4585" s="41" t="str"/>
      <c r="M4585" s="41" t="str"/>
      <c r="N4585" s="41" t="str"/>
      <c r="O4585" s="41" t="str"/>
      <c r="P4585" s="41" t="str"/>
      <c r="Q4585" s="41" t="str"/>
      <c r="R4585" s="41" t="str"/>
      <c r="S4585" s="41" t="str"/>
      <c r="T4585" s="41" t="str"/>
      <c r="U4585" s="41" t="str"/>
      <c r="V4585" s="41" t="str"/>
      <c r="W4585" s="41" t="str"/>
    </row>
    <row r="4586">
      <c r="B4586" s="2" t="n"/>
      <c r="C4586" s="40" t="n"/>
      <c r="D4586" s="52">
        <f t="array" ref="D4586:W4586">IF(All_Students_Scores!C4584:V4584="","",All_Students_Scores!C4584:V4584)</f>
        <v/>
      </c>
      <c r="E4586" s="57" t="str"/>
      <c r="F4586" s="49" t="str"/>
      <c r="G4586" s="59" t="str"/>
      <c r="H4586" s="64" t="str"/>
      <c r="I4586" s="65" t="str"/>
      <c r="J4586" s="49" t="str"/>
      <c r="K4586" s="41" t="str"/>
      <c r="L4586" s="41" t="str"/>
      <c r="M4586" s="41" t="str"/>
      <c r="N4586" s="41" t="str"/>
      <c r="O4586" s="41" t="str"/>
      <c r="P4586" s="41" t="str"/>
      <c r="Q4586" s="41" t="str"/>
      <c r="R4586" s="41" t="str"/>
      <c r="S4586" s="41" t="str"/>
      <c r="T4586" s="41" t="str"/>
      <c r="U4586" s="41" t="str"/>
      <c r="V4586" s="41" t="str"/>
      <c r="W4586" s="41" t="str"/>
    </row>
    <row r="4587">
      <c r="B4587" s="2" t="n"/>
      <c r="C4587" s="40" t="n"/>
      <c r="D4587" s="52">
        <f t="array" ref="D4587:W4587">IF(All_Students_Scores!C4585:V4585="","",All_Students_Scores!C4585:V4585)</f>
        <v/>
      </c>
      <c r="E4587" s="57" t="str"/>
      <c r="F4587" s="49" t="str"/>
      <c r="G4587" s="59" t="str"/>
      <c r="H4587" s="64" t="str"/>
      <c r="I4587" s="65" t="str"/>
      <c r="J4587" s="49" t="str"/>
      <c r="K4587" s="41" t="str"/>
      <c r="L4587" s="41" t="str"/>
      <c r="M4587" s="41" t="str"/>
      <c r="N4587" s="41" t="str"/>
      <c r="O4587" s="41" t="str"/>
      <c r="P4587" s="41" t="str"/>
      <c r="Q4587" s="41" t="str"/>
      <c r="R4587" s="41" t="str"/>
      <c r="S4587" s="41" t="str"/>
      <c r="T4587" s="41" t="str"/>
      <c r="U4587" s="41" t="str"/>
      <c r="V4587" s="41" t="str"/>
      <c r="W4587" s="41" t="str"/>
    </row>
    <row r="4588">
      <c r="B4588" s="2" t="n"/>
      <c r="C4588" s="40" t="n"/>
      <c r="D4588" s="52">
        <f t="array" ref="D4588:W4588">IF(All_Students_Scores!C4586:V4586="","",All_Students_Scores!C4586:V4586)</f>
        <v/>
      </c>
      <c r="E4588" s="57" t="str"/>
      <c r="F4588" s="49" t="str"/>
      <c r="G4588" s="59" t="str"/>
      <c r="H4588" s="64" t="str"/>
      <c r="I4588" s="65" t="str"/>
      <c r="J4588" s="49" t="str"/>
      <c r="K4588" s="41" t="str"/>
      <c r="L4588" s="41" t="str"/>
      <c r="M4588" s="41" t="str"/>
      <c r="N4588" s="41" t="str"/>
      <c r="O4588" s="41" t="str"/>
      <c r="P4588" s="41" t="str"/>
      <c r="Q4588" s="41" t="str"/>
      <c r="R4588" s="41" t="str"/>
      <c r="S4588" s="41" t="str"/>
      <c r="T4588" s="41" t="str"/>
      <c r="U4588" s="41" t="str"/>
      <c r="V4588" s="41" t="str"/>
      <c r="W4588" s="41" t="str"/>
    </row>
    <row r="4589">
      <c r="B4589" s="2" t="n"/>
      <c r="C4589" s="40" t="n"/>
      <c r="D4589" s="52">
        <f t="array" ref="D4589:W4589">IF(All_Students_Scores!C4587:V4587="","",All_Students_Scores!C4587:V4587)</f>
        <v/>
      </c>
      <c r="E4589" s="57" t="str"/>
      <c r="F4589" s="49" t="str"/>
      <c r="G4589" s="59" t="str"/>
      <c r="H4589" s="64" t="str"/>
      <c r="I4589" s="65" t="str"/>
      <c r="J4589" s="49" t="str"/>
      <c r="K4589" s="41" t="str"/>
      <c r="L4589" s="41" t="str"/>
      <c r="M4589" s="41" t="str"/>
      <c r="N4589" s="41" t="str"/>
      <c r="O4589" s="41" t="str"/>
      <c r="P4589" s="41" t="str"/>
      <c r="Q4589" s="41" t="str"/>
      <c r="R4589" s="41" t="str"/>
      <c r="S4589" s="41" t="str"/>
      <c r="T4589" s="41" t="str"/>
      <c r="U4589" s="41" t="str"/>
      <c r="V4589" s="41" t="str"/>
      <c r="W4589" s="41" t="str"/>
    </row>
    <row r="4590">
      <c r="B4590" s="2" t="n"/>
      <c r="C4590" s="40" t="n"/>
      <c r="D4590" s="52">
        <f t="array" ref="D4590:W4590">IF(All_Students_Scores!C4588:V4588="","",All_Students_Scores!C4588:V4588)</f>
        <v/>
      </c>
      <c r="E4590" s="57" t="str"/>
      <c r="F4590" s="49" t="str"/>
      <c r="G4590" s="59" t="str"/>
      <c r="H4590" s="64" t="str"/>
      <c r="I4590" s="65" t="str"/>
      <c r="J4590" s="49" t="str"/>
      <c r="K4590" s="41" t="str"/>
      <c r="L4590" s="41" t="str"/>
      <c r="M4590" s="41" t="str"/>
      <c r="N4590" s="41" t="str"/>
      <c r="O4590" s="41" t="str"/>
      <c r="P4590" s="41" t="str"/>
      <c r="Q4590" s="41" t="str"/>
      <c r="R4590" s="41" t="str"/>
      <c r="S4590" s="41" t="str"/>
      <c r="T4590" s="41" t="str"/>
      <c r="U4590" s="41" t="str"/>
      <c r="V4590" s="41" t="str"/>
      <c r="W4590" s="41" t="str"/>
    </row>
    <row r="4591">
      <c r="B4591" s="2" t="n"/>
      <c r="C4591" s="40" t="n"/>
      <c r="D4591" s="52">
        <f t="array" ref="D4591:W4591">IF(All_Students_Scores!C4589:V4589="","",All_Students_Scores!C4589:V4589)</f>
        <v/>
      </c>
      <c r="E4591" s="57" t="str"/>
      <c r="F4591" s="49" t="str"/>
      <c r="G4591" s="59" t="str"/>
      <c r="H4591" s="64" t="str"/>
      <c r="I4591" s="65" t="str"/>
      <c r="J4591" s="49" t="str"/>
      <c r="K4591" s="41" t="str"/>
      <c r="L4591" s="41" t="str"/>
      <c r="M4591" s="41" t="str"/>
      <c r="N4591" s="41" t="str"/>
      <c r="O4591" s="41" t="str"/>
      <c r="P4591" s="41" t="str"/>
      <c r="Q4591" s="41" t="str"/>
      <c r="R4591" s="41" t="str"/>
      <c r="S4591" s="41" t="str"/>
      <c r="T4591" s="41" t="str"/>
      <c r="U4591" s="41" t="str"/>
      <c r="V4591" s="41" t="str"/>
      <c r="W4591" s="41" t="str"/>
    </row>
    <row r="4592">
      <c r="B4592" s="2" t="n"/>
      <c r="C4592" s="40" t="n"/>
      <c r="D4592" s="52">
        <f t="array" ref="D4592:W4592">IF(All_Students_Scores!C4590:V4590="","",All_Students_Scores!C4590:V4590)</f>
        <v/>
      </c>
      <c r="E4592" s="57" t="str"/>
      <c r="F4592" s="49" t="str"/>
      <c r="G4592" s="59" t="str"/>
      <c r="H4592" s="64" t="str"/>
      <c r="I4592" s="65" t="str"/>
      <c r="J4592" s="49" t="str"/>
      <c r="K4592" s="41" t="str"/>
      <c r="L4592" s="41" t="str"/>
      <c r="M4592" s="41" t="str"/>
      <c r="N4592" s="41" t="str"/>
      <c r="O4592" s="41" t="str"/>
      <c r="P4592" s="41" t="str"/>
      <c r="Q4592" s="41" t="str"/>
      <c r="R4592" s="41" t="str"/>
      <c r="S4592" s="41" t="str"/>
      <c r="T4592" s="41" t="str"/>
      <c r="U4592" s="41" t="str"/>
      <c r="V4592" s="41" t="str"/>
      <c r="W4592" s="41" t="str"/>
    </row>
    <row r="4593">
      <c r="B4593" s="2" t="n"/>
      <c r="C4593" s="40" t="n"/>
      <c r="D4593" s="52">
        <f t="array" ref="D4593:W4593">IF(All_Students_Scores!C4591:V4591="","",All_Students_Scores!C4591:V4591)</f>
        <v/>
      </c>
      <c r="E4593" s="57" t="str"/>
      <c r="F4593" s="49" t="str"/>
      <c r="G4593" s="59" t="str"/>
      <c r="H4593" s="64" t="str"/>
      <c r="I4593" s="65" t="str"/>
      <c r="J4593" s="49" t="str"/>
      <c r="K4593" s="41" t="str"/>
      <c r="L4593" s="41" t="str"/>
      <c r="M4593" s="41" t="str"/>
      <c r="N4593" s="41" t="str"/>
      <c r="O4593" s="41" t="str"/>
      <c r="P4593" s="41" t="str"/>
      <c r="Q4593" s="41" t="str"/>
      <c r="R4593" s="41" t="str"/>
      <c r="S4593" s="41" t="str"/>
      <c r="T4593" s="41" t="str"/>
      <c r="U4593" s="41" t="str"/>
      <c r="V4593" s="41" t="str"/>
      <c r="W4593" s="41" t="str"/>
    </row>
    <row r="4594">
      <c r="B4594" s="2" t="n"/>
      <c r="C4594" s="40" t="n"/>
      <c r="D4594" s="52">
        <f t="array" ref="D4594:W4594">IF(All_Students_Scores!C4592:V4592="","",All_Students_Scores!C4592:V4592)</f>
        <v/>
      </c>
      <c r="E4594" s="57" t="str"/>
      <c r="F4594" s="49" t="str"/>
      <c r="G4594" s="59" t="str"/>
      <c r="H4594" s="64" t="str"/>
      <c r="I4594" s="65" t="str"/>
      <c r="J4594" s="49" t="str"/>
      <c r="K4594" s="41" t="str"/>
      <c r="L4594" s="41" t="str"/>
      <c r="M4594" s="41" t="str"/>
      <c r="N4594" s="41" t="str"/>
      <c r="O4594" s="41" t="str"/>
      <c r="P4594" s="41" t="str"/>
      <c r="Q4594" s="41" t="str"/>
      <c r="R4594" s="41" t="str"/>
      <c r="S4594" s="41" t="str"/>
      <c r="T4594" s="41" t="str"/>
      <c r="U4594" s="41" t="str"/>
      <c r="V4594" s="41" t="str"/>
      <c r="W4594" s="41" t="str"/>
    </row>
    <row r="4595">
      <c r="B4595" s="2" t="n"/>
      <c r="C4595" s="40" t="n"/>
      <c r="D4595" s="52">
        <f t="array" ref="D4595:W4595">IF(All_Students_Scores!C4593:V4593="","",All_Students_Scores!C4593:V4593)</f>
        <v/>
      </c>
      <c r="E4595" s="57" t="str"/>
      <c r="F4595" s="49" t="str"/>
      <c r="G4595" s="59" t="str"/>
      <c r="H4595" s="64" t="str"/>
      <c r="I4595" s="65" t="str"/>
      <c r="J4595" s="49" t="str"/>
      <c r="K4595" s="41" t="str"/>
      <c r="L4595" s="41" t="str"/>
      <c r="M4595" s="41" t="str"/>
      <c r="N4595" s="41" t="str"/>
      <c r="O4595" s="41" t="str"/>
      <c r="P4595" s="41" t="str"/>
      <c r="Q4595" s="41" t="str"/>
      <c r="R4595" s="41" t="str"/>
      <c r="S4595" s="41" t="str"/>
      <c r="T4595" s="41" t="str"/>
      <c r="U4595" s="41" t="str"/>
      <c r="V4595" s="41" t="str"/>
      <c r="W4595" s="41" t="str"/>
    </row>
    <row r="4596">
      <c r="B4596" s="2" t="n"/>
      <c r="C4596" s="40" t="n"/>
      <c r="D4596" s="52">
        <f t="array" ref="D4596:W4596">IF(All_Students_Scores!C4594:V4594="","",All_Students_Scores!C4594:V4594)</f>
        <v/>
      </c>
      <c r="E4596" s="57" t="str"/>
      <c r="F4596" s="49" t="str"/>
      <c r="G4596" s="59" t="str"/>
      <c r="H4596" s="64" t="str"/>
      <c r="I4596" s="65" t="str"/>
      <c r="J4596" s="49" t="str"/>
      <c r="K4596" s="41" t="str"/>
      <c r="L4596" s="41" t="str"/>
      <c r="M4596" s="41" t="str"/>
      <c r="N4596" s="41" t="str"/>
      <c r="O4596" s="41" t="str"/>
      <c r="P4596" s="41" t="str"/>
      <c r="Q4596" s="41" t="str"/>
      <c r="R4596" s="41" t="str"/>
      <c r="S4596" s="41" t="str"/>
      <c r="T4596" s="41" t="str"/>
      <c r="U4596" s="41" t="str"/>
      <c r="V4596" s="41" t="str"/>
      <c r="W4596" s="41" t="str"/>
    </row>
    <row r="4597">
      <c r="B4597" s="2" t="n"/>
      <c r="C4597" s="40" t="n"/>
      <c r="D4597" s="52">
        <f t="array" ref="D4597:W4597">IF(All_Students_Scores!C4595:V4595="","",All_Students_Scores!C4595:V4595)</f>
        <v/>
      </c>
      <c r="E4597" s="57" t="str"/>
      <c r="F4597" s="49" t="str"/>
      <c r="G4597" s="59" t="str"/>
      <c r="H4597" s="64" t="str"/>
      <c r="I4597" s="65" t="str"/>
      <c r="J4597" s="49" t="str"/>
      <c r="K4597" s="41" t="str"/>
      <c r="L4597" s="41" t="str"/>
      <c r="M4597" s="41" t="str"/>
      <c r="N4597" s="41" t="str"/>
      <c r="O4597" s="41" t="str"/>
      <c r="P4597" s="41" t="str"/>
      <c r="Q4597" s="41" t="str"/>
      <c r="R4597" s="41" t="str"/>
      <c r="S4597" s="41" t="str"/>
      <c r="T4597" s="41" t="str"/>
      <c r="U4597" s="41" t="str"/>
      <c r="V4597" s="41" t="str"/>
      <c r="W4597" s="41" t="str"/>
    </row>
    <row r="4598">
      <c r="B4598" s="2" t="n"/>
      <c r="C4598" s="40" t="n"/>
      <c r="D4598" s="52">
        <f t="array" ref="D4598:W4598">IF(All_Students_Scores!C4596:V4596="","",All_Students_Scores!C4596:V4596)</f>
        <v/>
      </c>
      <c r="E4598" s="57" t="str"/>
      <c r="F4598" s="49" t="str"/>
      <c r="G4598" s="59" t="str"/>
      <c r="H4598" s="64" t="str"/>
      <c r="I4598" s="65" t="str"/>
      <c r="J4598" s="49" t="str"/>
      <c r="K4598" s="41" t="str"/>
      <c r="L4598" s="41" t="str"/>
      <c r="M4598" s="41" t="str"/>
      <c r="N4598" s="41" t="str"/>
      <c r="O4598" s="41" t="str"/>
      <c r="P4598" s="41" t="str"/>
      <c r="Q4598" s="41" t="str"/>
      <c r="R4598" s="41" t="str"/>
      <c r="S4598" s="41" t="str"/>
      <c r="T4598" s="41" t="str"/>
      <c r="U4598" s="41" t="str"/>
      <c r="V4598" s="41" t="str"/>
      <c r="W4598" s="41" t="str"/>
    </row>
    <row r="4599">
      <c r="B4599" s="2" t="n"/>
      <c r="C4599" s="40" t="n"/>
      <c r="D4599" s="52">
        <f t="array" ref="D4599:W4599">IF(All_Students_Scores!C4597:V4597="","",All_Students_Scores!C4597:V4597)</f>
        <v/>
      </c>
      <c r="E4599" s="57" t="str"/>
      <c r="F4599" s="49" t="str"/>
      <c r="G4599" s="59" t="str"/>
      <c r="H4599" s="64" t="str"/>
      <c r="I4599" s="65" t="str"/>
      <c r="J4599" s="49" t="str"/>
      <c r="K4599" s="41" t="str"/>
      <c r="L4599" s="41" t="str"/>
      <c r="M4599" s="41" t="str"/>
      <c r="N4599" s="41" t="str"/>
      <c r="O4599" s="41" t="str"/>
      <c r="P4599" s="41" t="str"/>
      <c r="Q4599" s="41" t="str"/>
      <c r="R4599" s="41" t="str"/>
      <c r="S4599" s="41" t="str"/>
      <c r="T4599" s="41" t="str"/>
      <c r="U4599" s="41" t="str"/>
      <c r="V4599" s="41" t="str"/>
      <c r="W4599" s="41" t="str"/>
    </row>
    <row r="4600">
      <c r="B4600" s="2" t="n"/>
      <c r="C4600" s="40" t="n"/>
      <c r="D4600" s="52">
        <f t="array" ref="D4600:W4600">IF(All_Students_Scores!C4598:V4598="","",All_Students_Scores!C4598:V4598)</f>
        <v/>
      </c>
      <c r="E4600" s="57" t="str"/>
      <c r="F4600" s="49" t="str"/>
      <c r="G4600" s="59" t="str"/>
      <c r="H4600" s="64" t="str"/>
      <c r="I4600" s="65" t="str"/>
      <c r="J4600" s="49" t="str"/>
      <c r="K4600" s="41" t="str"/>
      <c r="L4600" s="41" t="str"/>
      <c r="M4600" s="41" t="str"/>
      <c r="N4600" s="41" t="str"/>
      <c r="O4600" s="41" t="str"/>
      <c r="P4600" s="41" t="str"/>
      <c r="Q4600" s="41" t="str"/>
      <c r="R4600" s="41" t="str"/>
      <c r="S4600" s="41" t="str"/>
      <c r="T4600" s="41" t="str"/>
      <c r="U4600" s="41" t="str"/>
      <c r="V4600" s="41" t="str"/>
      <c r="W4600" s="41" t="str"/>
    </row>
    <row r="4601">
      <c r="B4601" s="2" t="n"/>
      <c r="C4601" s="40" t="n"/>
      <c r="D4601" s="52">
        <f t="array" ref="D4601:W4601">IF(All_Students_Scores!C4599:V4599="","",All_Students_Scores!C4599:V4599)</f>
        <v/>
      </c>
      <c r="E4601" s="57" t="str"/>
      <c r="F4601" s="49" t="str"/>
      <c r="G4601" s="59" t="str"/>
      <c r="H4601" s="64" t="str"/>
      <c r="I4601" s="65" t="str"/>
      <c r="J4601" s="49" t="str"/>
      <c r="K4601" s="41" t="str"/>
      <c r="L4601" s="41" t="str"/>
      <c r="M4601" s="41" t="str"/>
      <c r="N4601" s="41" t="str"/>
      <c r="O4601" s="41" t="str"/>
      <c r="P4601" s="41" t="str"/>
      <c r="Q4601" s="41" t="str"/>
      <c r="R4601" s="41" t="str"/>
      <c r="S4601" s="41" t="str"/>
      <c r="T4601" s="41" t="str"/>
      <c r="U4601" s="41" t="str"/>
      <c r="V4601" s="41" t="str"/>
      <c r="W4601" s="41" t="str"/>
    </row>
    <row r="4602">
      <c r="B4602" s="2" t="n"/>
      <c r="C4602" s="40" t="n"/>
      <c r="D4602" s="52">
        <f t="array" ref="D4602:W4602">IF(All_Students_Scores!C4600:V4600="","",All_Students_Scores!C4600:V4600)</f>
        <v/>
      </c>
      <c r="E4602" s="57" t="str"/>
      <c r="F4602" s="49" t="str"/>
      <c r="G4602" s="59" t="str"/>
      <c r="H4602" s="64" t="str"/>
      <c r="I4602" s="65" t="str"/>
      <c r="J4602" s="49" t="str"/>
      <c r="K4602" s="41" t="str"/>
      <c r="L4602" s="41" t="str"/>
      <c r="M4602" s="41" t="str"/>
      <c r="N4602" s="41" t="str"/>
      <c r="O4602" s="41" t="str"/>
      <c r="P4602" s="41" t="str"/>
      <c r="Q4602" s="41" t="str"/>
      <c r="R4602" s="41" t="str"/>
      <c r="S4602" s="41" t="str"/>
      <c r="T4602" s="41" t="str"/>
      <c r="U4602" s="41" t="str"/>
      <c r="V4602" s="41" t="str"/>
      <c r="W4602" s="41" t="str"/>
    </row>
    <row r="4603">
      <c r="B4603" s="2" t="n"/>
      <c r="C4603" s="40" t="n"/>
      <c r="D4603" s="52">
        <f t="array" ref="D4603:W4603">IF(All_Students_Scores!C4601:V4601="","",All_Students_Scores!C4601:V4601)</f>
        <v/>
      </c>
      <c r="E4603" s="57" t="str"/>
      <c r="F4603" s="49" t="str"/>
      <c r="G4603" s="59" t="str"/>
      <c r="H4603" s="64" t="str"/>
      <c r="I4603" s="65" t="str"/>
      <c r="J4603" s="49" t="str"/>
      <c r="K4603" s="41" t="str"/>
      <c r="L4603" s="41" t="str"/>
      <c r="M4603" s="41" t="str"/>
      <c r="N4603" s="41" t="str"/>
      <c r="O4603" s="41" t="str"/>
      <c r="P4603" s="41" t="str"/>
      <c r="Q4603" s="41" t="str"/>
      <c r="R4603" s="41" t="str"/>
      <c r="S4603" s="41" t="str"/>
      <c r="T4603" s="41" t="str"/>
      <c r="U4603" s="41" t="str"/>
      <c r="V4603" s="41" t="str"/>
      <c r="W4603" s="41" t="str"/>
    </row>
    <row r="4604">
      <c r="B4604" s="2" t="n"/>
      <c r="C4604" s="40" t="n"/>
      <c r="D4604" s="52">
        <f t="array" ref="D4604:W4604">IF(All_Students_Scores!C4602:V4602="","",All_Students_Scores!C4602:V4602)</f>
        <v/>
      </c>
      <c r="E4604" s="57" t="str"/>
      <c r="F4604" s="49" t="str"/>
      <c r="G4604" s="59" t="str"/>
      <c r="H4604" s="64" t="str"/>
      <c r="I4604" s="65" t="str"/>
      <c r="J4604" s="49" t="str"/>
      <c r="K4604" s="41" t="str"/>
      <c r="L4604" s="41" t="str"/>
      <c r="M4604" s="41" t="str"/>
      <c r="N4604" s="41" t="str"/>
      <c r="O4604" s="41" t="str"/>
      <c r="P4604" s="41" t="str"/>
      <c r="Q4604" s="41" t="str"/>
      <c r="R4604" s="41" t="str"/>
      <c r="S4604" s="41" t="str"/>
      <c r="T4604" s="41" t="str"/>
      <c r="U4604" s="41" t="str"/>
      <c r="V4604" s="41" t="str"/>
      <c r="W4604" s="41" t="str"/>
    </row>
    <row r="4605">
      <c r="B4605" s="2" t="n"/>
      <c r="C4605" s="40" t="n"/>
      <c r="D4605" s="52">
        <f t="array" ref="D4605:W4605">IF(All_Students_Scores!C4603:V4603="","",All_Students_Scores!C4603:V4603)</f>
        <v/>
      </c>
      <c r="E4605" s="57" t="str"/>
      <c r="F4605" s="49" t="str"/>
      <c r="G4605" s="59" t="str"/>
      <c r="H4605" s="64" t="str"/>
      <c r="I4605" s="65" t="str"/>
      <c r="J4605" s="49" t="str"/>
      <c r="K4605" s="41" t="str"/>
      <c r="L4605" s="41" t="str"/>
      <c r="M4605" s="41" t="str"/>
      <c r="N4605" s="41" t="str"/>
      <c r="O4605" s="41" t="str"/>
      <c r="P4605" s="41" t="str"/>
      <c r="Q4605" s="41" t="str"/>
      <c r="R4605" s="41" t="str"/>
      <c r="S4605" s="41" t="str"/>
      <c r="T4605" s="41" t="str"/>
      <c r="U4605" s="41" t="str"/>
      <c r="V4605" s="41" t="str"/>
      <c r="W4605" s="41" t="str"/>
    </row>
    <row r="4606">
      <c r="B4606" s="2" t="n"/>
      <c r="C4606" s="40" t="n"/>
      <c r="D4606" s="52">
        <f t="array" ref="D4606:W4606">IF(All_Students_Scores!C4604:V4604="","",All_Students_Scores!C4604:V4604)</f>
        <v/>
      </c>
      <c r="E4606" s="57" t="str"/>
      <c r="F4606" s="49" t="str"/>
      <c r="G4606" s="59" t="str"/>
      <c r="H4606" s="64" t="str"/>
      <c r="I4606" s="65" t="str"/>
      <c r="J4606" s="49" t="str"/>
      <c r="K4606" s="41" t="str"/>
      <c r="L4606" s="41" t="str"/>
      <c r="M4606" s="41" t="str"/>
      <c r="N4606" s="41" t="str"/>
      <c r="O4606" s="41" t="str"/>
      <c r="P4606" s="41" t="str"/>
      <c r="Q4606" s="41" t="str"/>
      <c r="R4606" s="41" t="str"/>
      <c r="S4606" s="41" t="str"/>
      <c r="T4606" s="41" t="str"/>
      <c r="U4606" s="41" t="str"/>
      <c r="V4606" s="41" t="str"/>
      <c r="W4606" s="41" t="str"/>
    </row>
    <row r="4607">
      <c r="B4607" s="2" t="n"/>
      <c r="C4607" s="40" t="n"/>
      <c r="D4607" s="52">
        <f t="array" ref="D4607:W4607">IF(All_Students_Scores!C4605:V4605="","",All_Students_Scores!C4605:V4605)</f>
        <v/>
      </c>
      <c r="E4607" s="57" t="str"/>
      <c r="F4607" s="49" t="str"/>
      <c r="G4607" s="59" t="str"/>
      <c r="H4607" s="64" t="str"/>
      <c r="I4607" s="65" t="str"/>
      <c r="J4607" s="49" t="str"/>
      <c r="K4607" s="41" t="str"/>
      <c r="L4607" s="41" t="str"/>
      <c r="M4607" s="41" t="str"/>
      <c r="N4607" s="41" t="str"/>
      <c r="O4607" s="41" t="str"/>
      <c r="P4607" s="41" t="str"/>
      <c r="Q4607" s="41" t="str"/>
      <c r="R4607" s="41" t="str"/>
      <c r="S4607" s="41" t="str"/>
      <c r="T4607" s="41" t="str"/>
      <c r="U4607" s="41" t="str"/>
      <c r="V4607" s="41" t="str"/>
      <c r="W4607" s="41" t="str"/>
    </row>
    <row r="4608">
      <c r="B4608" s="2" t="n"/>
      <c r="C4608" s="40" t="n"/>
      <c r="D4608" s="52">
        <f t="array" ref="D4608:W4608">IF(All_Students_Scores!C4606:V4606="","",All_Students_Scores!C4606:V4606)</f>
        <v/>
      </c>
      <c r="E4608" s="57" t="str"/>
      <c r="F4608" s="49" t="str"/>
      <c r="G4608" s="59" t="str"/>
      <c r="H4608" s="64" t="str"/>
      <c r="I4608" s="65" t="str"/>
      <c r="J4608" s="49" t="str"/>
      <c r="K4608" s="41" t="str"/>
      <c r="L4608" s="41" t="str"/>
      <c r="M4608" s="41" t="str"/>
      <c r="N4608" s="41" t="str"/>
      <c r="O4608" s="41" t="str"/>
      <c r="P4608" s="41" t="str"/>
      <c r="Q4608" s="41" t="str"/>
      <c r="R4608" s="41" t="str"/>
      <c r="S4608" s="41" t="str"/>
      <c r="T4608" s="41" t="str"/>
      <c r="U4608" s="41" t="str"/>
      <c r="V4608" s="41" t="str"/>
      <c r="W4608" s="41" t="str"/>
    </row>
    <row r="4609">
      <c r="B4609" s="2" t="n"/>
      <c r="C4609" s="40" t="n"/>
      <c r="D4609" s="52">
        <f t="array" ref="D4609:W4609">IF(All_Students_Scores!C4607:V4607="","",All_Students_Scores!C4607:V4607)</f>
        <v/>
      </c>
      <c r="E4609" s="57" t="str"/>
      <c r="F4609" s="49" t="str"/>
      <c r="G4609" s="59" t="str"/>
      <c r="H4609" s="64" t="str"/>
      <c r="I4609" s="65" t="str"/>
      <c r="J4609" s="49" t="str"/>
      <c r="K4609" s="41" t="str"/>
      <c r="L4609" s="41" t="str"/>
      <c r="M4609" s="41" t="str"/>
      <c r="N4609" s="41" t="str"/>
      <c r="O4609" s="41" t="str"/>
      <c r="P4609" s="41" t="str"/>
      <c r="Q4609" s="41" t="str"/>
      <c r="R4609" s="41" t="str"/>
      <c r="S4609" s="41" t="str"/>
      <c r="T4609" s="41" t="str"/>
      <c r="U4609" s="41" t="str"/>
      <c r="V4609" s="41" t="str"/>
      <c r="W4609" s="41" t="str"/>
    </row>
    <row r="4610">
      <c r="B4610" s="2" t="n"/>
      <c r="C4610" s="40" t="n"/>
      <c r="D4610" s="52">
        <f t="array" ref="D4610:W4610">IF(All_Students_Scores!C4608:V4608="","",All_Students_Scores!C4608:V4608)</f>
        <v/>
      </c>
      <c r="E4610" s="57" t="str"/>
      <c r="F4610" s="49" t="str"/>
      <c r="G4610" s="59" t="str"/>
      <c r="H4610" s="64" t="str"/>
      <c r="I4610" s="65" t="str"/>
      <c r="J4610" s="49" t="str"/>
      <c r="K4610" s="41" t="str"/>
      <c r="L4610" s="41" t="str"/>
      <c r="M4610" s="41" t="str"/>
      <c r="N4610" s="41" t="str"/>
      <c r="O4610" s="41" t="str"/>
      <c r="P4610" s="41" t="str"/>
      <c r="Q4610" s="41" t="str"/>
      <c r="R4610" s="41" t="str"/>
      <c r="S4610" s="41" t="str"/>
      <c r="T4610" s="41" t="str"/>
      <c r="U4610" s="41" t="str"/>
      <c r="V4610" s="41" t="str"/>
      <c r="W4610" s="41" t="str"/>
    </row>
    <row r="4611">
      <c r="B4611" s="2" t="n"/>
      <c r="C4611" s="40" t="n"/>
      <c r="D4611" s="52">
        <f t="array" ref="D4611:W4611">IF(All_Students_Scores!C4609:V4609="","",All_Students_Scores!C4609:V4609)</f>
        <v/>
      </c>
      <c r="E4611" s="57" t="str"/>
      <c r="F4611" s="49" t="str"/>
      <c r="G4611" s="59" t="str"/>
      <c r="H4611" s="64" t="str"/>
      <c r="I4611" s="65" t="str"/>
      <c r="J4611" s="49" t="str"/>
      <c r="K4611" s="41" t="str"/>
      <c r="L4611" s="41" t="str"/>
      <c r="M4611" s="41" t="str"/>
      <c r="N4611" s="41" t="str"/>
      <c r="O4611" s="41" t="str"/>
      <c r="P4611" s="41" t="str"/>
      <c r="Q4611" s="41" t="str"/>
      <c r="R4611" s="41" t="str"/>
      <c r="S4611" s="41" t="str"/>
      <c r="T4611" s="41" t="str"/>
      <c r="U4611" s="41" t="str"/>
      <c r="V4611" s="41" t="str"/>
      <c r="W4611" s="41" t="str"/>
    </row>
    <row r="4612">
      <c r="B4612" s="2" t="n"/>
      <c r="C4612" s="40" t="n"/>
      <c r="D4612" s="52">
        <f t="array" ref="D4612:W4612">IF(All_Students_Scores!C4610:V4610="","",All_Students_Scores!C4610:V4610)</f>
        <v/>
      </c>
      <c r="E4612" s="57" t="str"/>
      <c r="F4612" s="49" t="str"/>
      <c r="G4612" s="59" t="str"/>
      <c r="H4612" s="64" t="str"/>
      <c r="I4612" s="65" t="str"/>
      <c r="J4612" s="49" t="str"/>
      <c r="K4612" s="41" t="str"/>
      <c r="L4612" s="41" t="str"/>
      <c r="M4612" s="41" t="str"/>
      <c r="N4612" s="41" t="str"/>
      <c r="O4612" s="41" t="str"/>
      <c r="P4612" s="41" t="str"/>
      <c r="Q4612" s="41" t="str"/>
      <c r="R4612" s="41" t="str"/>
      <c r="S4612" s="41" t="str"/>
      <c r="T4612" s="41" t="str"/>
      <c r="U4612" s="41" t="str"/>
      <c r="V4612" s="41" t="str"/>
      <c r="W4612" s="41" t="str"/>
    </row>
    <row r="4613">
      <c r="B4613" s="2" t="n"/>
      <c r="C4613" s="40" t="n"/>
      <c r="D4613" s="52">
        <f t="array" ref="D4613:W4613">IF(All_Students_Scores!C4611:V4611="","",All_Students_Scores!C4611:V4611)</f>
        <v/>
      </c>
      <c r="E4613" s="57" t="str"/>
      <c r="F4613" s="49" t="str"/>
      <c r="G4613" s="59" t="str"/>
      <c r="H4613" s="64" t="str"/>
      <c r="I4613" s="65" t="str"/>
      <c r="J4613" s="49" t="str"/>
      <c r="K4613" s="41" t="str"/>
      <c r="L4613" s="41" t="str"/>
      <c r="M4613" s="41" t="str"/>
      <c r="N4613" s="41" t="str"/>
      <c r="O4613" s="41" t="str"/>
      <c r="P4613" s="41" t="str"/>
      <c r="Q4613" s="41" t="str"/>
      <c r="R4613" s="41" t="str"/>
      <c r="S4613" s="41" t="str"/>
      <c r="T4613" s="41" t="str"/>
      <c r="U4613" s="41" t="str"/>
      <c r="V4613" s="41" t="str"/>
      <c r="W4613" s="41" t="str"/>
    </row>
    <row r="4614">
      <c r="B4614" s="2" t="n"/>
      <c r="C4614" s="40" t="n"/>
      <c r="D4614" s="52">
        <f t="array" ref="D4614:W4614">IF(All_Students_Scores!C4612:V4612="","",All_Students_Scores!C4612:V4612)</f>
        <v/>
      </c>
      <c r="E4614" s="57" t="str"/>
      <c r="F4614" s="49" t="str"/>
      <c r="G4614" s="59" t="str"/>
      <c r="H4614" s="64" t="str"/>
      <c r="I4614" s="65" t="str"/>
      <c r="J4614" s="49" t="str"/>
      <c r="K4614" s="41" t="str"/>
      <c r="L4614" s="41" t="str"/>
      <c r="M4614" s="41" t="str"/>
      <c r="N4614" s="41" t="str"/>
      <c r="O4614" s="41" t="str"/>
      <c r="P4614" s="41" t="str"/>
      <c r="Q4614" s="41" t="str"/>
      <c r="R4614" s="41" t="str"/>
      <c r="S4614" s="41" t="str"/>
      <c r="T4614" s="41" t="str"/>
      <c r="U4614" s="41" t="str"/>
      <c r="V4614" s="41" t="str"/>
      <c r="W4614" s="41" t="str"/>
    </row>
    <row r="4615">
      <c r="B4615" s="2" t="n"/>
      <c r="C4615" s="40" t="n"/>
      <c r="D4615" s="52">
        <f t="array" ref="D4615:W4615">IF(All_Students_Scores!C4613:V4613="","",All_Students_Scores!C4613:V4613)</f>
        <v/>
      </c>
      <c r="E4615" s="57" t="str"/>
      <c r="F4615" s="49" t="str"/>
      <c r="G4615" s="59" t="str"/>
      <c r="H4615" s="64" t="str"/>
      <c r="I4615" s="65" t="str"/>
      <c r="J4615" s="49" t="str"/>
      <c r="K4615" s="41" t="str"/>
      <c r="L4615" s="41" t="str"/>
      <c r="M4615" s="41" t="str"/>
      <c r="N4615" s="41" t="str"/>
      <c r="O4615" s="41" t="str"/>
      <c r="P4615" s="41" t="str"/>
      <c r="Q4615" s="41" t="str"/>
      <c r="R4615" s="41" t="str"/>
      <c r="S4615" s="41" t="str"/>
      <c r="T4615" s="41" t="str"/>
      <c r="U4615" s="41" t="str"/>
      <c r="V4615" s="41" t="str"/>
      <c r="W4615" s="41" t="str"/>
    </row>
    <row r="4616">
      <c r="B4616" s="2" t="n"/>
      <c r="C4616" s="40" t="n"/>
      <c r="D4616" s="52">
        <f t="array" ref="D4616:W4616">IF(All_Students_Scores!C4614:V4614="","",All_Students_Scores!C4614:V4614)</f>
        <v/>
      </c>
      <c r="E4616" s="57" t="str"/>
      <c r="F4616" s="49" t="str"/>
      <c r="G4616" s="59" t="str"/>
      <c r="H4616" s="64" t="str"/>
      <c r="I4616" s="65" t="str"/>
      <c r="J4616" s="49" t="str"/>
      <c r="K4616" s="41" t="str"/>
      <c r="L4616" s="41" t="str"/>
      <c r="M4616" s="41" t="str"/>
      <c r="N4616" s="41" t="str"/>
      <c r="O4616" s="41" t="str"/>
      <c r="P4616" s="41" t="str"/>
      <c r="Q4616" s="41" t="str"/>
      <c r="R4616" s="41" t="str"/>
      <c r="S4616" s="41" t="str"/>
      <c r="T4616" s="41" t="str"/>
      <c r="U4616" s="41" t="str"/>
      <c r="V4616" s="41" t="str"/>
      <c r="W4616" s="41" t="str"/>
    </row>
    <row r="4617">
      <c r="B4617" s="2" t="n"/>
      <c r="C4617" s="40" t="n"/>
      <c r="D4617" s="52">
        <f t="array" ref="D4617:W4617">IF(All_Students_Scores!C4615:V4615="","",All_Students_Scores!C4615:V4615)</f>
        <v/>
      </c>
      <c r="E4617" s="57" t="str"/>
      <c r="F4617" s="49" t="str"/>
      <c r="G4617" s="59" t="str"/>
      <c r="H4617" s="64" t="str"/>
      <c r="I4617" s="65" t="str"/>
      <c r="J4617" s="49" t="str"/>
      <c r="K4617" s="41" t="str"/>
      <c r="L4617" s="41" t="str"/>
      <c r="M4617" s="41" t="str"/>
      <c r="N4617" s="41" t="str"/>
      <c r="O4617" s="41" t="str"/>
      <c r="P4617" s="41" t="str"/>
      <c r="Q4617" s="41" t="str"/>
      <c r="R4617" s="41" t="str"/>
      <c r="S4617" s="41" t="str"/>
      <c r="T4617" s="41" t="str"/>
      <c r="U4617" s="41" t="str"/>
      <c r="V4617" s="41" t="str"/>
      <c r="W4617" s="41" t="str"/>
    </row>
    <row r="4618">
      <c r="B4618" s="2" t="n"/>
      <c r="C4618" s="40" t="n"/>
      <c r="D4618" s="52">
        <f t="array" ref="D4618:W4618">IF(All_Students_Scores!C4616:V4616="","",All_Students_Scores!C4616:V4616)</f>
        <v/>
      </c>
      <c r="E4618" s="57" t="str"/>
      <c r="F4618" s="49" t="str"/>
      <c r="G4618" s="59" t="str"/>
      <c r="H4618" s="64" t="str"/>
      <c r="I4618" s="65" t="str"/>
      <c r="J4618" s="49" t="str"/>
      <c r="K4618" s="41" t="str"/>
      <c r="L4618" s="41" t="str"/>
      <c r="M4618" s="41" t="str"/>
      <c r="N4618" s="41" t="str"/>
      <c r="O4618" s="41" t="str"/>
      <c r="P4618" s="41" t="str"/>
      <c r="Q4618" s="41" t="str"/>
      <c r="R4618" s="41" t="str"/>
      <c r="S4618" s="41" t="str"/>
      <c r="T4618" s="41" t="str"/>
      <c r="U4618" s="41" t="str"/>
      <c r="V4618" s="41" t="str"/>
      <c r="W4618" s="41" t="str"/>
    </row>
    <row r="4619">
      <c r="B4619" s="2" t="n"/>
      <c r="C4619" s="40" t="n"/>
      <c r="D4619" s="52">
        <f t="array" ref="D4619:W4619">IF(All_Students_Scores!C4617:V4617="","",All_Students_Scores!C4617:V4617)</f>
        <v/>
      </c>
      <c r="E4619" s="57" t="str"/>
      <c r="F4619" s="49" t="str"/>
      <c r="G4619" s="59" t="str"/>
      <c r="H4619" s="64" t="str"/>
      <c r="I4619" s="65" t="str"/>
      <c r="J4619" s="49" t="str"/>
      <c r="K4619" s="41" t="str"/>
      <c r="L4619" s="41" t="str"/>
      <c r="M4619" s="41" t="str"/>
      <c r="N4619" s="41" t="str"/>
      <c r="O4619" s="41" t="str"/>
      <c r="P4619" s="41" t="str"/>
      <c r="Q4619" s="41" t="str"/>
      <c r="R4619" s="41" t="str"/>
      <c r="S4619" s="41" t="str"/>
      <c r="T4619" s="41" t="str"/>
      <c r="U4619" s="41" t="str"/>
      <c r="V4619" s="41" t="str"/>
      <c r="W4619" s="41" t="str"/>
    </row>
    <row r="4620">
      <c r="B4620" s="2" t="n"/>
      <c r="C4620" s="40" t="n"/>
      <c r="D4620" s="52">
        <f t="array" ref="D4620:W4620">IF(All_Students_Scores!C4618:V4618="","",All_Students_Scores!C4618:V4618)</f>
        <v/>
      </c>
      <c r="E4620" s="57" t="str"/>
      <c r="F4620" s="49" t="str"/>
      <c r="G4620" s="59" t="str"/>
      <c r="H4620" s="64" t="str"/>
      <c r="I4620" s="65" t="str"/>
      <c r="J4620" s="49" t="str"/>
      <c r="K4620" s="41" t="str"/>
      <c r="L4620" s="41" t="str"/>
      <c r="M4620" s="41" t="str"/>
      <c r="N4620" s="41" t="str"/>
      <c r="O4620" s="41" t="str"/>
      <c r="P4620" s="41" t="str"/>
      <c r="Q4620" s="41" t="str"/>
      <c r="R4620" s="41" t="str"/>
      <c r="S4620" s="41" t="str"/>
      <c r="T4620" s="41" t="str"/>
      <c r="U4620" s="41" t="str"/>
      <c r="V4620" s="41" t="str"/>
      <c r="W4620" s="41" t="str"/>
    </row>
    <row r="4621">
      <c r="B4621" s="2" t="n"/>
      <c r="C4621" s="40" t="n"/>
      <c r="D4621" s="52">
        <f t="array" ref="D4621:W4621">IF(All_Students_Scores!C4619:V4619="","",All_Students_Scores!C4619:V4619)</f>
        <v/>
      </c>
      <c r="E4621" s="57" t="str"/>
      <c r="F4621" s="49" t="str"/>
      <c r="G4621" s="59" t="str"/>
      <c r="H4621" s="64" t="str"/>
      <c r="I4621" s="65" t="str"/>
      <c r="J4621" s="49" t="str"/>
      <c r="K4621" s="41" t="str"/>
      <c r="L4621" s="41" t="str"/>
      <c r="M4621" s="41" t="str"/>
      <c r="N4621" s="41" t="str"/>
      <c r="O4621" s="41" t="str"/>
      <c r="P4621" s="41" t="str"/>
      <c r="Q4621" s="41" t="str"/>
      <c r="R4621" s="41" t="str"/>
      <c r="S4621" s="41" t="str"/>
      <c r="T4621" s="41" t="str"/>
      <c r="U4621" s="41" t="str"/>
      <c r="V4621" s="41" t="str"/>
      <c r="W4621" s="41" t="str"/>
    </row>
    <row r="4622">
      <c r="B4622" s="2" t="n"/>
      <c r="C4622" s="40" t="n"/>
      <c r="D4622" s="52">
        <f t="array" ref="D4622:W4622">IF(All_Students_Scores!C4620:V4620="","",All_Students_Scores!C4620:V4620)</f>
        <v/>
      </c>
      <c r="E4622" s="57" t="str"/>
      <c r="F4622" s="49" t="str"/>
      <c r="G4622" s="59" t="str"/>
      <c r="H4622" s="64" t="str"/>
      <c r="I4622" s="65" t="str"/>
      <c r="J4622" s="49" t="str"/>
      <c r="K4622" s="41" t="str"/>
      <c r="L4622" s="41" t="str"/>
      <c r="M4622" s="41" t="str"/>
      <c r="N4622" s="41" t="str"/>
      <c r="O4622" s="41" t="str"/>
      <c r="P4622" s="41" t="str"/>
      <c r="Q4622" s="41" t="str"/>
      <c r="R4622" s="41" t="str"/>
      <c r="S4622" s="41" t="str"/>
      <c r="T4622" s="41" t="str"/>
      <c r="U4622" s="41" t="str"/>
      <c r="V4622" s="41" t="str"/>
      <c r="W4622" s="41" t="str"/>
    </row>
    <row r="4623">
      <c r="B4623" s="2" t="n"/>
      <c r="C4623" s="40" t="n"/>
      <c r="D4623" s="52">
        <f t="array" ref="D4623:W4623">IF(All_Students_Scores!C4621:V4621="","",All_Students_Scores!C4621:V4621)</f>
        <v/>
      </c>
      <c r="E4623" s="57" t="str"/>
      <c r="F4623" s="49" t="str"/>
      <c r="G4623" s="59" t="str"/>
      <c r="H4623" s="64" t="str"/>
      <c r="I4623" s="65" t="str"/>
      <c r="J4623" s="49" t="str"/>
      <c r="K4623" s="41" t="str"/>
      <c r="L4623" s="41" t="str"/>
      <c r="M4623" s="41" t="str"/>
      <c r="N4623" s="41" t="str"/>
      <c r="O4623" s="41" t="str"/>
      <c r="P4623" s="41" t="str"/>
      <c r="Q4623" s="41" t="str"/>
      <c r="R4623" s="41" t="str"/>
      <c r="S4623" s="41" t="str"/>
      <c r="T4623" s="41" t="str"/>
      <c r="U4623" s="41" t="str"/>
      <c r="V4623" s="41" t="str"/>
      <c r="W4623" s="41" t="str"/>
    </row>
    <row r="4624">
      <c r="B4624" s="2" t="n"/>
      <c r="C4624" s="40" t="n"/>
      <c r="D4624" s="52">
        <f t="array" ref="D4624:W4624">IF(All_Students_Scores!C4622:V4622="","",All_Students_Scores!C4622:V4622)</f>
        <v/>
      </c>
      <c r="E4624" s="57" t="str"/>
      <c r="F4624" s="49" t="str"/>
      <c r="G4624" s="59" t="str"/>
      <c r="H4624" s="64" t="str"/>
      <c r="I4624" s="65" t="str"/>
      <c r="J4624" s="49" t="str"/>
      <c r="K4624" s="41" t="str"/>
      <c r="L4624" s="41" t="str"/>
      <c r="M4624" s="41" t="str"/>
      <c r="N4624" s="41" t="str"/>
      <c r="O4624" s="41" t="str"/>
      <c r="P4624" s="41" t="str"/>
      <c r="Q4624" s="41" t="str"/>
      <c r="R4624" s="41" t="str"/>
      <c r="S4624" s="41" t="str"/>
      <c r="T4624" s="41" t="str"/>
      <c r="U4624" s="41" t="str"/>
      <c r="V4624" s="41" t="str"/>
      <c r="W4624" s="41" t="str"/>
    </row>
    <row r="4625">
      <c r="B4625" s="2" t="n"/>
      <c r="C4625" s="40" t="n"/>
      <c r="D4625" s="52">
        <f t="array" ref="D4625:W4625">IF(All_Students_Scores!C4623:V4623="","",All_Students_Scores!C4623:V4623)</f>
        <v/>
      </c>
      <c r="E4625" s="57" t="str"/>
      <c r="F4625" s="49" t="str"/>
      <c r="G4625" s="59" t="str"/>
      <c r="H4625" s="64" t="str"/>
      <c r="I4625" s="65" t="str"/>
      <c r="J4625" s="49" t="str"/>
      <c r="K4625" s="41" t="str"/>
      <c r="L4625" s="41" t="str"/>
      <c r="M4625" s="41" t="str"/>
      <c r="N4625" s="41" t="str"/>
      <c r="O4625" s="41" t="str"/>
      <c r="P4625" s="41" t="str"/>
      <c r="Q4625" s="41" t="str"/>
      <c r="R4625" s="41" t="str"/>
      <c r="S4625" s="41" t="str"/>
      <c r="T4625" s="41" t="str"/>
      <c r="U4625" s="41" t="str"/>
      <c r="V4625" s="41" t="str"/>
      <c r="W4625" s="41" t="str"/>
    </row>
    <row r="4626">
      <c r="B4626" s="2" t="n"/>
      <c r="C4626" s="40" t="n"/>
      <c r="D4626" s="52">
        <f t="array" ref="D4626:W4626">IF(All_Students_Scores!C4624:V4624="","",All_Students_Scores!C4624:V4624)</f>
        <v/>
      </c>
      <c r="E4626" s="57" t="str"/>
      <c r="F4626" s="49" t="str"/>
      <c r="G4626" s="59" t="str"/>
      <c r="H4626" s="64" t="str"/>
      <c r="I4626" s="65" t="str"/>
      <c r="J4626" s="49" t="str"/>
      <c r="K4626" s="41" t="str"/>
      <c r="L4626" s="41" t="str"/>
      <c r="M4626" s="41" t="str"/>
      <c r="N4626" s="41" t="str"/>
      <c r="O4626" s="41" t="str"/>
      <c r="P4626" s="41" t="str"/>
      <c r="Q4626" s="41" t="str"/>
      <c r="R4626" s="41" t="str"/>
      <c r="S4626" s="41" t="str"/>
      <c r="T4626" s="41" t="str"/>
      <c r="U4626" s="41" t="str"/>
      <c r="V4626" s="41" t="str"/>
      <c r="W4626" s="41" t="str"/>
    </row>
    <row r="4627">
      <c r="B4627" s="2" t="n"/>
      <c r="C4627" s="40" t="n"/>
      <c r="D4627" s="52">
        <f t="array" ref="D4627:W4627">IF(All_Students_Scores!C4625:V4625="","",All_Students_Scores!C4625:V4625)</f>
        <v/>
      </c>
      <c r="E4627" s="57" t="str"/>
      <c r="F4627" s="49" t="str"/>
      <c r="G4627" s="59" t="str"/>
      <c r="H4627" s="64" t="str"/>
      <c r="I4627" s="65" t="str"/>
      <c r="J4627" s="49" t="str"/>
      <c r="K4627" s="41" t="str"/>
      <c r="L4627" s="41" t="str"/>
      <c r="M4627" s="41" t="str"/>
      <c r="N4627" s="41" t="str"/>
      <c r="O4627" s="41" t="str"/>
      <c r="P4627" s="41" t="str"/>
      <c r="Q4627" s="41" t="str"/>
      <c r="R4627" s="41" t="str"/>
      <c r="S4627" s="41" t="str"/>
      <c r="T4627" s="41" t="str"/>
      <c r="U4627" s="41" t="str"/>
      <c r="V4627" s="41" t="str"/>
      <c r="W4627" s="41" t="str"/>
    </row>
    <row r="4628">
      <c r="B4628" s="2" t="n"/>
      <c r="C4628" s="40" t="n"/>
      <c r="D4628" s="52">
        <f t="array" ref="D4628:W4628">IF(All_Students_Scores!C4626:V4626="","",All_Students_Scores!C4626:V4626)</f>
        <v/>
      </c>
      <c r="E4628" s="57" t="str"/>
      <c r="F4628" s="49" t="str"/>
      <c r="G4628" s="59" t="str"/>
      <c r="H4628" s="64" t="str"/>
      <c r="I4628" s="65" t="str"/>
      <c r="J4628" s="49" t="str"/>
      <c r="K4628" s="41" t="str"/>
      <c r="L4628" s="41" t="str"/>
      <c r="M4628" s="41" t="str"/>
      <c r="N4628" s="41" t="str"/>
      <c r="O4628" s="41" t="str"/>
      <c r="P4628" s="41" t="str"/>
      <c r="Q4628" s="41" t="str"/>
      <c r="R4628" s="41" t="str"/>
      <c r="S4628" s="41" t="str"/>
      <c r="T4628" s="41" t="str"/>
      <c r="U4628" s="41" t="str"/>
      <c r="V4628" s="41" t="str"/>
      <c r="W4628" s="41" t="str"/>
    </row>
    <row r="4629">
      <c r="B4629" s="2" t="n"/>
      <c r="C4629" s="40" t="n"/>
      <c r="D4629" s="52">
        <f t="array" ref="D4629:W4629">IF(All_Students_Scores!C4627:V4627="","",All_Students_Scores!C4627:V4627)</f>
        <v/>
      </c>
      <c r="E4629" s="57" t="str"/>
      <c r="F4629" s="49" t="str"/>
      <c r="G4629" s="59" t="str"/>
      <c r="H4629" s="64" t="str"/>
      <c r="I4629" s="65" t="str"/>
      <c r="J4629" s="49" t="str"/>
      <c r="K4629" s="41" t="str"/>
      <c r="L4629" s="41" t="str"/>
      <c r="M4629" s="41" t="str"/>
      <c r="N4629" s="41" t="str"/>
      <c r="O4629" s="41" t="str"/>
      <c r="P4629" s="41" t="str"/>
      <c r="Q4629" s="41" t="str"/>
      <c r="R4629" s="41" t="str"/>
      <c r="S4629" s="41" t="str"/>
      <c r="T4629" s="41" t="str"/>
      <c r="U4629" s="41" t="str"/>
      <c r="V4629" s="41" t="str"/>
      <c r="W4629" s="41" t="str"/>
    </row>
    <row r="4630">
      <c r="B4630" s="2" t="n"/>
      <c r="C4630" s="40" t="n"/>
      <c r="D4630" s="52">
        <f t="array" ref="D4630:W4630">IF(All_Students_Scores!C4628:V4628="","",All_Students_Scores!C4628:V4628)</f>
        <v/>
      </c>
      <c r="E4630" s="57" t="str"/>
      <c r="F4630" s="49" t="str"/>
      <c r="G4630" s="59" t="str"/>
      <c r="H4630" s="64" t="str"/>
      <c r="I4630" s="65" t="str"/>
      <c r="J4630" s="49" t="str"/>
      <c r="K4630" s="41" t="str"/>
      <c r="L4630" s="41" t="str"/>
      <c r="M4630" s="41" t="str"/>
      <c r="N4630" s="41" t="str"/>
      <c r="O4630" s="41" t="str"/>
      <c r="P4630" s="41" t="str"/>
      <c r="Q4630" s="41" t="str"/>
      <c r="R4630" s="41" t="str"/>
      <c r="S4630" s="41" t="str"/>
      <c r="T4630" s="41" t="str"/>
      <c r="U4630" s="41" t="str"/>
      <c r="V4630" s="41" t="str"/>
      <c r="W4630" s="41" t="str"/>
    </row>
    <row r="4631">
      <c r="B4631" s="2" t="n"/>
      <c r="C4631" s="40" t="n"/>
      <c r="D4631" s="52">
        <f t="array" ref="D4631:W4631">IF(All_Students_Scores!C4629:V4629="","",All_Students_Scores!C4629:V4629)</f>
        <v/>
      </c>
      <c r="E4631" s="57" t="str"/>
      <c r="F4631" s="49" t="str"/>
      <c r="G4631" s="59" t="str"/>
      <c r="H4631" s="64" t="str"/>
      <c r="I4631" s="65" t="str"/>
      <c r="J4631" s="49" t="str"/>
      <c r="K4631" s="41" t="str"/>
      <c r="L4631" s="41" t="str"/>
      <c r="M4631" s="41" t="str"/>
      <c r="N4631" s="41" t="str"/>
      <c r="O4631" s="41" t="str"/>
      <c r="P4631" s="41" t="str"/>
      <c r="Q4631" s="41" t="str"/>
      <c r="R4631" s="41" t="str"/>
      <c r="S4631" s="41" t="str"/>
      <c r="T4631" s="41" t="str"/>
      <c r="U4631" s="41" t="str"/>
      <c r="V4631" s="41" t="str"/>
      <c r="W4631" s="41" t="str"/>
    </row>
    <row r="4632">
      <c r="B4632" s="2" t="n"/>
      <c r="C4632" s="40" t="n"/>
      <c r="D4632" s="52">
        <f t="array" ref="D4632:W4632">IF(All_Students_Scores!C4630:V4630="","",All_Students_Scores!C4630:V4630)</f>
        <v/>
      </c>
      <c r="E4632" s="57" t="str"/>
      <c r="F4632" s="49" t="str"/>
      <c r="G4632" s="59" t="str"/>
      <c r="H4632" s="64" t="str"/>
      <c r="I4632" s="65" t="str"/>
      <c r="J4632" s="49" t="str"/>
      <c r="K4632" s="41" t="str"/>
      <c r="L4632" s="41" t="str"/>
      <c r="M4632" s="41" t="str"/>
      <c r="N4632" s="41" t="str"/>
      <c r="O4632" s="41" t="str"/>
      <c r="P4632" s="41" t="str"/>
      <c r="Q4632" s="41" t="str"/>
      <c r="R4632" s="41" t="str"/>
      <c r="S4632" s="41" t="str"/>
      <c r="T4632" s="41" t="str"/>
      <c r="U4632" s="41" t="str"/>
      <c r="V4632" s="41" t="str"/>
      <c r="W4632" s="41" t="str"/>
    </row>
    <row r="4633">
      <c r="B4633" s="2" t="n"/>
      <c r="C4633" s="40" t="n"/>
      <c r="D4633" s="52">
        <f t="array" ref="D4633:W4633">IF(All_Students_Scores!C4631:V4631="","",All_Students_Scores!C4631:V4631)</f>
        <v/>
      </c>
      <c r="E4633" s="57" t="str"/>
      <c r="F4633" s="49" t="str"/>
      <c r="G4633" s="59" t="str"/>
      <c r="H4633" s="64" t="str"/>
      <c r="I4633" s="65" t="str"/>
      <c r="J4633" s="49" t="str"/>
      <c r="K4633" s="41" t="str"/>
      <c r="L4633" s="41" t="str"/>
      <c r="M4633" s="41" t="str"/>
      <c r="N4633" s="41" t="str"/>
      <c r="O4633" s="41" t="str"/>
      <c r="P4633" s="41" t="str"/>
      <c r="Q4633" s="41" t="str"/>
      <c r="R4633" s="41" t="str"/>
      <c r="S4633" s="41" t="str"/>
      <c r="T4633" s="41" t="str"/>
      <c r="U4633" s="41" t="str"/>
      <c r="V4633" s="41" t="str"/>
      <c r="W4633" s="41" t="str"/>
    </row>
    <row r="4634">
      <c r="B4634" s="2" t="n"/>
      <c r="C4634" s="40" t="n"/>
      <c r="D4634" s="52">
        <f t="array" ref="D4634:W4634">IF(All_Students_Scores!C4632:V4632="","",All_Students_Scores!C4632:V4632)</f>
        <v/>
      </c>
      <c r="E4634" s="57" t="str"/>
      <c r="F4634" s="49" t="str"/>
      <c r="G4634" s="59" t="str"/>
      <c r="H4634" s="64" t="str"/>
      <c r="I4634" s="65" t="str"/>
      <c r="J4634" s="49" t="str"/>
      <c r="K4634" s="41" t="str"/>
      <c r="L4634" s="41" t="str"/>
      <c r="M4634" s="41" t="str"/>
      <c r="N4634" s="41" t="str"/>
      <c r="O4634" s="41" t="str"/>
      <c r="P4634" s="41" t="str"/>
      <c r="Q4634" s="41" t="str"/>
      <c r="R4634" s="41" t="str"/>
      <c r="S4634" s="41" t="str"/>
      <c r="T4634" s="41" t="str"/>
      <c r="U4634" s="41" t="str"/>
      <c r="V4634" s="41" t="str"/>
      <c r="W4634" s="41" t="str"/>
    </row>
    <row r="4635">
      <c r="B4635" s="2" t="n"/>
      <c r="C4635" s="40" t="n"/>
      <c r="D4635" s="52">
        <f t="array" ref="D4635:W4635">IF(All_Students_Scores!C4633:V4633="","",All_Students_Scores!C4633:V4633)</f>
        <v/>
      </c>
      <c r="E4635" s="57" t="str"/>
      <c r="F4635" s="49" t="str"/>
      <c r="G4635" s="59" t="str"/>
      <c r="H4635" s="64" t="str"/>
      <c r="I4635" s="65" t="str"/>
      <c r="J4635" s="49" t="str"/>
      <c r="K4635" s="41" t="str"/>
      <c r="L4635" s="41" t="str"/>
      <c r="M4635" s="41" t="str"/>
      <c r="N4635" s="41" t="str"/>
      <c r="O4635" s="41" t="str"/>
      <c r="P4635" s="41" t="str"/>
      <c r="Q4635" s="41" t="str"/>
      <c r="R4635" s="41" t="str"/>
      <c r="S4635" s="41" t="str"/>
      <c r="T4635" s="41" t="str"/>
      <c r="U4635" s="41" t="str"/>
      <c r="V4635" s="41" t="str"/>
      <c r="W4635" s="41" t="str"/>
    </row>
    <row r="4636">
      <c r="B4636" s="2" t="n"/>
      <c r="C4636" s="40" t="n"/>
      <c r="D4636" s="52">
        <f t="array" ref="D4636:W4636">IF(All_Students_Scores!C4634:V4634="","",All_Students_Scores!C4634:V4634)</f>
        <v/>
      </c>
      <c r="E4636" s="57" t="str"/>
      <c r="F4636" s="49" t="str"/>
      <c r="G4636" s="59" t="str"/>
      <c r="H4636" s="64" t="str"/>
      <c r="I4636" s="65" t="str"/>
      <c r="J4636" s="49" t="str"/>
      <c r="K4636" s="41" t="str"/>
      <c r="L4636" s="41" t="str"/>
      <c r="M4636" s="41" t="str"/>
      <c r="N4636" s="41" t="str"/>
      <c r="O4636" s="41" t="str"/>
      <c r="P4636" s="41" t="str"/>
      <c r="Q4636" s="41" t="str"/>
      <c r="R4636" s="41" t="str"/>
      <c r="S4636" s="41" t="str"/>
      <c r="T4636" s="41" t="str"/>
      <c r="U4636" s="41" t="str"/>
      <c r="V4636" s="41" t="str"/>
      <c r="W4636" s="41" t="str"/>
    </row>
    <row r="4637">
      <c r="B4637" s="2" t="n"/>
      <c r="C4637" s="40" t="n"/>
      <c r="D4637" s="52">
        <f t="array" ref="D4637:W4637">IF(All_Students_Scores!C4635:V4635="","",All_Students_Scores!C4635:V4635)</f>
        <v/>
      </c>
      <c r="E4637" s="57" t="str"/>
      <c r="F4637" s="49" t="str"/>
      <c r="G4637" s="59" t="str"/>
      <c r="H4637" s="64" t="str"/>
      <c r="I4637" s="65" t="str"/>
      <c r="J4637" s="49" t="str"/>
      <c r="K4637" s="41" t="str"/>
      <c r="L4637" s="41" t="str"/>
      <c r="M4637" s="41" t="str"/>
      <c r="N4637" s="41" t="str"/>
      <c r="O4637" s="41" t="str"/>
      <c r="P4637" s="41" t="str"/>
      <c r="Q4637" s="41" t="str"/>
      <c r="R4637" s="41" t="str"/>
      <c r="S4637" s="41" t="str"/>
      <c r="T4637" s="41" t="str"/>
      <c r="U4637" s="41" t="str"/>
      <c r="V4637" s="41" t="str"/>
      <c r="W4637" s="41" t="str"/>
    </row>
    <row r="4638">
      <c r="B4638" s="2" t="n"/>
      <c r="C4638" s="40" t="n"/>
      <c r="D4638" s="52">
        <f t="array" ref="D4638:W4638">IF(All_Students_Scores!C4636:V4636="","",All_Students_Scores!C4636:V4636)</f>
        <v/>
      </c>
      <c r="E4638" s="57" t="str"/>
      <c r="F4638" s="49" t="str"/>
      <c r="G4638" s="59" t="str"/>
      <c r="H4638" s="64" t="str"/>
      <c r="I4638" s="65" t="str"/>
      <c r="J4638" s="49" t="str"/>
      <c r="K4638" s="41" t="str"/>
      <c r="L4638" s="41" t="str"/>
      <c r="M4638" s="41" t="str"/>
      <c r="N4638" s="41" t="str"/>
      <c r="O4638" s="41" t="str"/>
      <c r="P4638" s="41" t="str"/>
      <c r="Q4638" s="41" t="str"/>
      <c r="R4638" s="41" t="str"/>
      <c r="S4638" s="41" t="str"/>
      <c r="T4638" s="41" t="str"/>
      <c r="U4638" s="41" t="str"/>
      <c r="V4638" s="41" t="str"/>
      <c r="W4638" s="41" t="str"/>
    </row>
    <row r="4639">
      <c r="B4639" s="2" t="n"/>
      <c r="C4639" s="40" t="n"/>
      <c r="D4639" s="52">
        <f t="array" ref="D4639:W4639">IF(All_Students_Scores!C4637:V4637="","",All_Students_Scores!C4637:V4637)</f>
        <v/>
      </c>
      <c r="E4639" s="57" t="str"/>
      <c r="F4639" s="49" t="str"/>
      <c r="G4639" s="59" t="str"/>
      <c r="H4639" s="64" t="str"/>
      <c r="I4639" s="65" t="str"/>
      <c r="J4639" s="49" t="str"/>
      <c r="K4639" s="41" t="str"/>
      <c r="L4639" s="41" t="str"/>
      <c r="M4639" s="41" t="str"/>
      <c r="N4639" s="41" t="str"/>
      <c r="O4639" s="41" t="str"/>
      <c r="P4639" s="41" t="str"/>
      <c r="Q4639" s="41" t="str"/>
      <c r="R4639" s="41" t="str"/>
      <c r="S4639" s="41" t="str"/>
      <c r="T4639" s="41" t="str"/>
      <c r="U4639" s="41" t="str"/>
      <c r="V4639" s="41" t="str"/>
      <c r="W4639" s="41" t="str"/>
    </row>
    <row r="4640">
      <c r="B4640" s="2" t="n"/>
      <c r="C4640" s="40" t="n"/>
      <c r="D4640" s="52">
        <f t="array" ref="D4640:W4640">IF(All_Students_Scores!C4638:V4638="","",All_Students_Scores!C4638:V4638)</f>
        <v/>
      </c>
      <c r="E4640" s="57" t="str"/>
      <c r="F4640" s="49" t="str"/>
      <c r="G4640" s="59" t="str"/>
      <c r="H4640" s="64" t="str"/>
      <c r="I4640" s="65" t="str"/>
      <c r="J4640" s="49" t="str"/>
      <c r="K4640" s="41" t="str"/>
      <c r="L4640" s="41" t="str"/>
      <c r="M4640" s="41" t="str"/>
      <c r="N4640" s="41" t="str"/>
      <c r="O4640" s="41" t="str"/>
      <c r="P4640" s="41" t="str"/>
      <c r="Q4640" s="41" t="str"/>
      <c r="R4640" s="41" t="str"/>
      <c r="S4640" s="41" t="str"/>
      <c r="T4640" s="41" t="str"/>
      <c r="U4640" s="41" t="str"/>
      <c r="V4640" s="41" t="str"/>
      <c r="W4640" s="41" t="str"/>
    </row>
    <row r="4641">
      <c r="B4641" s="2" t="n"/>
      <c r="C4641" s="40" t="n"/>
      <c r="D4641" s="52">
        <f t="array" ref="D4641:W4641">IF(All_Students_Scores!C4639:V4639="","",All_Students_Scores!C4639:V4639)</f>
        <v/>
      </c>
      <c r="E4641" s="57" t="str"/>
      <c r="F4641" s="49" t="str"/>
      <c r="G4641" s="59" t="str"/>
      <c r="H4641" s="64" t="str"/>
      <c r="I4641" s="65" t="str"/>
      <c r="J4641" s="49" t="str"/>
      <c r="K4641" s="41" t="str"/>
      <c r="L4641" s="41" t="str"/>
      <c r="M4641" s="41" t="str"/>
      <c r="N4641" s="41" t="str"/>
      <c r="O4641" s="41" t="str"/>
      <c r="P4641" s="41" t="str"/>
      <c r="Q4641" s="41" t="str"/>
      <c r="R4641" s="41" t="str"/>
      <c r="S4641" s="41" t="str"/>
      <c r="T4641" s="41" t="str"/>
      <c r="U4641" s="41" t="str"/>
      <c r="V4641" s="41" t="str"/>
      <c r="W4641" s="41" t="str"/>
    </row>
    <row r="4642">
      <c r="B4642" s="2" t="n"/>
      <c r="C4642" s="40" t="n"/>
      <c r="D4642" s="52">
        <f t="array" ref="D4642:W4642">IF(All_Students_Scores!C4640:V4640="","",All_Students_Scores!C4640:V4640)</f>
        <v/>
      </c>
      <c r="E4642" s="57" t="str"/>
      <c r="F4642" s="49" t="str"/>
      <c r="G4642" s="59" t="str"/>
      <c r="H4642" s="64" t="str"/>
      <c r="I4642" s="65" t="str"/>
      <c r="J4642" s="49" t="str"/>
      <c r="K4642" s="41" t="str"/>
      <c r="L4642" s="41" t="str"/>
      <c r="M4642" s="41" t="str"/>
      <c r="N4642" s="41" t="str"/>
      <c r="O4642" s="41" t="str"/>
      <c r="P4642" s="41" t="str"/>
      <c r="Q4642" s="41" t="str"/>
      <c r="R4642" s="41" t="str"/>
      <c r="S4642" s="41" t="str"/>
      <c r="T4642" s="41" t="str"/>
      <c r="U4642" s="41" t="str"/>
      <c r="V4642" s="41" t="str"/>
      <c r="W4642" s="41" t="str"/>
    </row>
    <row r="4643">
      <c r="B4643" s="2" t="n"/>
      <c r="C4643" s="40" t="n"/>
      <c r="D4643" s="52">
        <f t="array" ref="D4643:W4643">IF(All_Students_Scores!C4641:V4641="","",All_Students_Scores!C4641:V4641)</f>
        <v/>
      </c>
      <c r="E4643" s="57" t="str"/>
      <c r="F4643" s="49" t="str"/>
      <c r="G4643" s="59" t="str"/>
      <c r="H4643" s="64" t="str"/>
      <c r="I4643" s="65" t="str"/>
      <c r="J4643" s="49" t="str"/>
      <c r="K4643" s="41" t="str"/>
      <c r="L4643" s="41" t="str"/>
      <c r="M4643" s="41" t="str"/>
      <c r="N4643" s="41" t="str"/>
      <c r="O4643" s="41" t="str"/>
      <c r="P4643" s="41" t="str"/>
      <c r="Q4643" s="41" t="str"/>
      <c r="R4643" s="41" t="str"/>
      <c r="S4643" s="41" t="str"/>
      <c r="T4643" s="41" t="str"/>
      <c r="U4643" s="41" t="str"/>
      <c r="V4643" s="41" t="str"/>
      <c r="W4643" s="41" t="str"/>
    </row>
    <row r="4644">
      <c r="B4644" s="2" t="n"/>
      <c r="C4644" s="40" t="n"/>
      <c r="D4644" s="52">
        <f t="array" ref="D4644:W4644">IF(All_Students_Scores!C4642:V4642="","",All_Students_Scores!C4642:V4642)</f>
        <v/>
      </c>
      <c r="E4644" s="57" t="str"/>
      <c r="F4644" s="49" t="str"/>
      <c r="G4644" s="59" t="str"/>
      <c r="H4644" s="64" t="str"/>
      <c r="I4644" s="65" t="str"/>
      <c r="J4644" s="49" t="str"/>
      <c r="K4644" s="41" t="str"/>
      <c r="L4644" s="41" t="str"/>
      <c r="M4644" s="41" t="str"/>
      <c r="N4644" s="41" t="str"/>
      <c r="O4644" s="41" t="str"/>
      <c r="P4644" s="41" t="str"/>
      <c r="Q4644" s="41" t="str"/>
      <c r="R4644" s="41" t="str"/>
      <c r="S4644" s="41" t="str"/>
      <c r="T4644" s="41" t="str"/>
      <c r="U4644" s="41" t="str"/>
      <c r="V4644" s="41" t="str"/>
      <c r="W4644" s="41" t="str"/>
    </row>
    <row r="4645">
      <c r="B4645" s="2" t="n"/>
      <c r="C4645" s="40" t="n"/>
      <c r="D4645" s="52">
        <f t="array" ref="D4645:W4645">IF(All_Students_Scores!C4643:V4643="","",All_Students_Scores!C4643:V4643)</f>
        <v/>
      </c>
      <c r="E4645" s="57" t="str"/>
      <c r="F4645" s="49" t="str"/>
      <c r="G4645" s="59" t="str"/>
      <c r="H4645" s="64" t="str"/>
      <c r="I4645" s="65" t="str"/>
      <c r="J4645" s="49" t="str"/>
      <c r="K4645" s="41" t="str"/>
      <c r="L4645" s="41" t="str"/>
      <c r="M4645" s="41" t="str"/>
      <c r="N4645" s="41" t="str"/>
      <c r="O4645" s="41" t="str"/>
      <c r="P4645" s="41" t="str"/>
      <c r="Q4645" s="41" t="str"/>
      <c r="R4645" s="41" t="str"/>
      <c r="S4645" s="41" t="str"/>
      <c r="T4645" s="41" t="str"/>
      <c r="U4645" s="41" t="str"/>
      <c r="V4645" s="41" t="str"/>
      <c r="W4645" s="41" t="str"/>
    </row>
    <row r="4646">
      <c r="B4646" s="2" t="n"/>
      <c r="C4646" s="40" t="n"/>
      <c r="D4646" s="52">
        <f t="array" ref="D4646:W4646">IF(All_Students_Scores!C4644:V4644="","",All_Students_Scores!C4644:V4644)</f>
        <v/>
      </c>
      <c r="E4646" s="57" t="str"/>
      <c r="F4646" s="49" t="str"/>
      <c r="G4646" s="59" t="str"/>
      <c r="H4646" s="64" t="str"/>
      <c r="I4646" s="65" t="str"/>
      <c r="J4646" s="49" t="str"/>
      <c r="K4646" s="41" t="str"/>
      <c r="L4646" s="41" t="str"/>
      <c r="M4646" s="41" t="str"/>
      <c r="N4646" s="41" t="str"/>
      <c r="O4646" s="41" t="str"/>
      <c r="P4646" s="41" t="str"/>
      <c r="Q4646" s="41" t="str"/>
      <c r="R4646" s="41" t="str"/>
      <c r="S4646" s="41" t="str"/>
      <c r="T4646" s="41" t="str"/>
      <c r="U4646" s="41" t="str"/>
      <c r="V4646" s="41" t="str"/>
      <c r="W4646" s="41" t="str"/>
    </row>
    <row r="4647">
      <c r="B4647" s="2" t="n"/>
      <c r="C4647" s="40" t="n"/>
      <c r="D4647" s="52">
        <f t="array" ref="D4647:W4647">IF(All_Students_Scores!C4645:V4645="","",All_Students_Scores!C4645:V4645)</f>
        <v/>
      </c>
      <c r="E4647" s="57" t="str"/>
      <c r="F4647" s="49" t="str"/>
      <c r="G4647" s="59" t="str"/>
      <c r="H4647" s="64" t="str"/>
      <c r="I4647" s="65" t="str"/>
      <c r="J4647" s="49" t="str"/>
      <c r="K4647" s="41" t="str"/>
      <c r="L4647" s="41" t="str"/>
      <c r="M4647" s="41" t="str"/>
      <c r="N4647" s="41" t="str"/>
      <c r="O4647" s="41" t="str"/>
      <c r="P4647" s="41" t="str"/>
      <c r="Q4647" s="41" t="str"/>
      <c r="R4647" s="41" t="str"/>
      <c r="S4647" s="41" t="str"/>
      <c r="T4647" s="41" t="str"/>
      <c r="U4647" s="41" t="str"/>
      <c r="V4647" s="41" t="str"/>
      <c r="W4647" s="41" t="str"/>
    </row>
    <row r="4648">
      <c r="B4648" s="2" t="n"/>
      <c r="C4648" s="40" t="n"/>
      <c r="D4648" s="52">
        <f t="array" ref="D4648:W4648">IF(All_Students_Scores!C4646:V4646="","",All_Students_Scores!C4646:V4646)</f>
        <v/>
      </c>
      <c r="E4648" s="57" t="str"/>
      <c r="F4648" s="49" t="str"/>
      <c r="G4648" s="59" t="str"/>
      <c r="H4648" s="64" t="str"/>
      <c r="I4648" s="65" t="str"/>
      <c r="J4648" s="49" t="str"/>
      <c r="K4648" s="41" t="str"/>
      <c r="L4648" s="41" t="str"/>
      <c r="M4648" s="41" t="str"/>
      <c r="N4648" s="41" t="str"/>
      <c r="O4648" s="41" t="str"/>
      <c r="P4648" s="41" t="str"/>
      <c r="Q4648" s="41" t="str"/>
      <c r="R4648" s="41" t="str"/>
      <c r="S4648" s="41" t="str"/>
      <c r="T4648" s="41" t="str"/>
      <c r="U4648" s="41" t="str"/>
      <c r="V4648" s="41" t="str"/>
      <c r="W4648" s="41" t="str"/>
    </row>
    <row r="4649">
      <c r="B4649" s="2" t="n"/>
      <c r="C4649" s="40" t="n"/>
      <c r="D4649" s="52">
        <f t="array" ref="D4649:W4649">IF(All_Students_Scores!C4647:V4647="","",All_Students_Scores!C4647:V4647)</f>
        <v/>
      </c>
      <c r="E4649" s="57" t="str"/>
      <c r="F4649" s="49" t="str"/>
      <c r="G4649" s="59" t="str"/>
      <c r="H4649" s="64" t="str"/>
      <c r="I4649" s="65" t="str"/>
      <c r="J4649" s="49" t="str"/>
      <c r="K4649" s="41" t="str"/>
      <c r="L4649" s="41" t="str"/>
      <c r="M4649" s="41" t="str"/>
      <c r="N4649" s="41" t="str"/>
      <c r="O4649" s="41" t="str"/>
      <c r="P4649" s="41" t="str"/>
      <c r="Q4649" s="41" t="str"/>
      <c r="R4649" s="41" t="str"/>
      <c r="S4649" s="41" t="str"/>
      <c r="T4649" s="41" t="str"/>
      <c r="U4649" s="41" t="str"/>
      <c r="V4649" s="41" t="str"/>
      <c r="W4649" s="41" t="str"/>
    </row>
    <row r="4650">
      <c r="B4650" s="2" t="n"/>
      <c r="C4650" s="40" t="n"/>
      <c r="D4650" s="52">
        <f t="array" ref="D4650:W4650">IF(All_Students_Scores!C4648:V4648="","",All_Students_Scores!C4648:V4648)</f>
        <v/>
      </c>
      <c r="E4650" s="57" t="str"/>
      <c r="F4650" s="49" t="str"/>
      <c r="G4650" s="59" t="str"/>
      <c r="H4650" s="64" t="str"/>
      <c r="I4650" s="65" t="str"/>
      <c r="J4650" s="49" t="str"/>
      <c r="K4650" s="41" t="str"/>
      <c r="L4650" s="41" t="str"/>
      <c r="M4650" s="41" t="str"/>
      <c r="N4650" s="41" t="str"/>
      <c r="O4650" s="41" t="str"/>
      <c r="P4650" s="41" t="str"/>
      <c r="Q4650" s="41" t="str"/>
      <c r="R4650" s="41" t="str"/>
      <c r="S4650" s="41" t="str"/>
      <c r="T4650" s="41" t="str"/>
      <c r="U4650" s="41" t="str"/>
      <c r="V4650" s="41" t="str"/>
      <c r="W4650" s="41" t="str"/>
    </row>
    <row r="4651">
      <c r="B4651" s="2" t="n"/>
      <c r="C4651" s="40" t="n"/>
      <c r="D4651" s="52">
        <f t="array" ref="D4651:W4651">IF(All_Students_Scores!C4649:V4649="","",All_Students_Scores!C4649:V4649)</f>
        <v/>
      </c>
      <c r="E4651" s="57" t="str"/>
      <c r="F4651" s="49" t="str"/>
      <c r="G4651" s="59" t="str"/>
      <c r="H4651" s="64" t="str"/>
      <c r="I4651" s="65" t="str"/>
      <c r="J4651" s="49" t="str"/>
      <c r="K4651" s="41" t="str"/>
      <c r="L4651" s="41" t="str"/>
      <c r="M4651" s="41" t="str"/>
      <c r="N4651" s="41" t="str"/>
      <c r="O4651" s="41" t="str"/>
      <c r="P4651" s="41" t="str"/>
      <c r="Q4651" s="41" t="str"/>
      <c r="R4651" s="41" t="str"/>
      <c r="S4651" s="41" t="str"/>
      <c r="T4651" s="41" t="str"/>
      <c r="U4651" s="41" t="str"/>
      <c r="V4651" s="41" t="str"/>
      <c r="W4651" s="41" t="str"/>
    </row>
    <row r="4652">
      <c r="B4652" s="2" t="n"/>
      <c r="C4652" s="40" t="n"/>
      <c r="D4652" s="52">
        <f t="array" ref="D4652:W4652">IF(All_Students_Scores!C4650:V4650="","",All_Students_Scores!C4650:V4650)</f>
        <v/>
      </c>
      <c r="E4652" s="57" t="str"/>
      <c r="F4652" s="49" t="str"/>
      <c r="G4652" s="59" t="str"/>
      <c r="H4652" s="64" t="str"/>
      <c r="I4652" s="65" t="str"/>
      <c r="J4652" s="49" t="str"/>
      <c r="K4652" s="41" t="str"/>
      <c r="L4652" s="41" t="str"/>
      <c r="M4652" s="41" t="str"/>
      <c r="N4652" s="41" t="str"/>
      <c r="O4652" s="41" t="str"/>
      <c r="P4652" s="41" t="str"/>
      <c r="Q4652" s="41" t="str"/>
      <c r="R4652" s="41" t="str"/>
      <c r="S4652" s="41" t="str"/>
      <c r="T4652" s="41" t="str"/>
      <c r="U4652" s="41" t="str"/>
      <c r="V4652" s="41" t="str"/>
      <c r="W4652" s="41" t="str"/>
    </row>
    <row r="4653">
      <c r="B4653" s="2" t="n"/>
      <c r="C4653" s="40" t="n"/>
      <c r="D4653" s="52">
        <f t="array" ref="D4653:W4653">IF(All_Students_Scores!C4651:V4651="","",All_Students_Scores!C4651:V4651)</f>
        <v/>
      </c>
      <c r="E4653" s="57" t="str"/>
      <c r="F4653" s="49" t="str"/>
      <c r="G4653" s="59" t="str"/>
      <c r="H4653" s="64" t="str"/>
      <c r="I4653" s="65" t="str"/>
      <c r="J4653" s="49" t="str"/>
      <c r="K4653" s="41" t="str"/>
      <c r="L4653" s="41" t="str"/>
      <c r="M4653" s="41" t="str"/>
      <c r="N4653" s="41" t="str"/>
      <c r="O4653" s="41" t="str"/>
      <c r="P4653" s="41" t="str"/>
      <c r="Q4653" s="41" t="str"/>
      <c r="R4653" s="41" t="str"/>
      <c r="S4653" s="41" t="str"/>
      <c r="T4653" s="41" t="str"/>
      <c r="U4653" s="41" t="str"/>
      <c r="V4653" s="41" t="str"/>
      <c r="W4653" s="41" t="str"/>
    </row>
    <row r="4654">
      <c r="B4654" s="2" t="n"/>
      <c r="C4654" s="40" t="n"/>
      <c r="D4654" s="52">
        <f t="array" ref="D4654:W4654">IF(All_Students_Scores!C4652:V4652="","",All_Students_Scores!C4652:V4652)</f>
        <v/>
      </c>
      <c r="E4654" s="57" t="str"/>
      <c r="F4654" s="49" t="str"/>
      <c r="G4654" s="59" t="str"/>
      <c r="H4654" s="64" t="str"/>
      <c r="I4654" s="65" t="str"/>
      <c r="J4654" s="49" t="str"/>
      <c r="K4654" s="41" t="str"/>
      <c r="L4654" s="41" t="str"/>
      <c r="M4654" s="41" t="str"/>
      <c r="N4654" s="41" t="str"/>
      <c r="O4654" s="41" t="str"/>
      <c r="P4654" s="41" t="str"/>
      <c r="Q4654" s="41" t="str"/>
      <c r="R4654" s="41" t="str"/>
      <c r="S4654" s="41" t="str"/>
      <c r="T4654" s="41" t="str"/>
      <c r="U4654" s="41" t="str"/>
      <c r="V4654" s="41" t="str"/>
      <c r="W4654" s="41" t="str"/>
    </row>
    <row r="4655">
      <c r="B4655" s="2" t="n"/>
      <c r="C4655" s="40" t="n"/>
      <c r="D4655" s="52">
        <f t="array" ref="D4655:W4655">IF(All_Students_Scores!C4653:V4653="","",All_Students_Scores!C4653:V4653)</f>
        <v/>
      </c>
      <c r="E4655" s="57" t="str"/>
      <c r="F4655" s="49" t="str"/>
      <c r="G4655" s="59" t="str"/>
      <c r="H4655" s="64" t="str"/>
      <c r="I4655" s="65" t="str"/>
      <c r="J4655" s="49" t="str"/>
      <c r="K4655" s="41" t="str"/>
      <c r="L4655" s="41" t="str"/>
      <c r="M4655" s="41" t="str"/>
      <c r="N4655" s="41" t="str"/>
      <c r="O4655" s="41" t="str"/>
      <c r="P4655" s="41" t="str"/>
      <c r="Q4655" s="41" t="str"/>
      <c r="R4655" s="41" t="str"/>
      <c r="S4655" s="41" t="str"/>
      <c r="T4655" s="41" t="str"/>
      <c r="U4655" s="41" t="str"/>
      <c r="V4655" s="41" t="str"/>
      <c r="W4655" s="41" t="str"/>
    </row>
    <row r="4656">
      <c r="B4656" s="2" t="n"/>
      <c r="C4656" s="40" t="n"/>
      <c r="D4656" s="52">
        <f t="array" ref="D4656:W4656">IF(All_Students_Scores!C4654:V4654="","",All_Students_Scores!C4654:V4654)</f>
        <v/>
      </c>
      <c r="E4656" s="57" t="str"/>
      <c r="F4656" s="49" t="str"/>
      <c r="G4656" s="59" t="str"/>
      <c r="H4656" s="64" t="str"/>
      <c r="I4656" s="65" t="str"/>
      <c r="J4656" s="49" t="str"/>
      <c r="K4656" s="41" t="str"/>
      <c r="L4656" s="41" t="str"/>
      <c r="M4656" s="41" t="str"/>
      <c r="N4656" s="41" t="str"/>
      <c r="O4656" s="41" t="str"/>
      <c r="P4656" s="41" t="str"/>
      <c r="Q4656" s="41" t="str"/>
      <c r="R4656" s="41" t="str"/>
      <c r="S4656" s="41" t="str"/>
      <c r="T4656" s="41" t="str"/>
      <c r="U4656" s="41" t="str"/>
      <c r="V4656" s="41" t="str"/>
      <c r="W4656" s="41" t="str"/>
    </row>
    <row r="4657">
      <c r="B4657" s="2" t="n"/>
      <c r="C4657" s="40" t="n"/>
      <c r="D4657" s="52">
        <f t="array" ref="D4657:W4657">IF(All_Students_Scores!C4655:V4655="","",All_Students_Scores!C4655:V4655)</f>
        <v/>
      </c>
      <c r="E4657" s="57" t="str"/>
      <c r="F4657" s="49" t="str"/>
      <c r="G4657" s="59" t="str"/>
      <c r="H4657" s="64" t="str"/>
      <c r="I4657" s="65" t="str"/>
      <c r="J4657" s="49" t="str"/>
      <c r="K4657" s="41" t="str"/>
      <c r="L4657" s="41" t="str"/>
      <c r="M4657" s="41" t="str"/>
      <c r="N4657" s="41" t="str"/>
      <c r="O4657" s="41" t="str"/>
      <c r="P4657" s="41" t="str"/>
      <c r="Q4657" s="41" t="str"/>
      <c r="R4657" s="41" t="str"/>
      <c r="S4657" s="41" t="str"/>
      <c r="T4657" s="41" t="str"/>
      <c r="U4657" s="41" t="str"/>
      <c r="V4657" s="41" t="str"/>
      <c r="W4657" s="41" t="str"/>
    </row>
    <row r="4658">
      <c r="B4658" s="2" t="n"/>
      <c r="C4658" s="40" t="n"/>
      <c r="D4658" s="52">
        <f t="array" ref="D4658:W4658">IF(All_Students_Scores!C4656:V4656="","",All_Students_Scores!C4656:V4656)</f>
        <v/>
      </c>
      <c r="E4658" s="57" t="str"/>
      <c r="F4658" s="49" t="str"/>
      <c r="G4658" s="59" t="str"/>
      <c r="H4658" s="64" t="str"/>
      <c r="I4658" s="65" t="str"/>
      <c r="J4658" s="49" t="str"/>
      <c r="K4658" s="41" t="str"/>
      <c r="L4658" s="41" t="str"/>
      <c r="M4658" s="41" t="str"/>
      <c r="N4658" s="41" t="str"/>
      <c r="O4658" s="41" t="str"/>
      <c r="P4658" s="41" t="str"/>
      <c r="Q4658" s="41" t="str"/>
      <c r="R4658" s="41" t="str"/>
      <c r="S4658" s="41" t="str"/>
      <c r="T4658" s="41" t="str"/>
      <c r="U4658" s="41" t="str"/>
      <c r="V4658" s="41" t="str"/>
      <c r="W4658" s="41" t="str"/>
    </row>
    <row r="4659">
      <c r="B4659" s="2" t="n"/>
      <c r="C4659" s="40" t="n"/>
      <c r="D4659" s="52">
        <f t="array" ref="D4659:W4659">IF(All_Students_Scores!C4657:V4657="","",All_Students_Scores!C4657:V4657)</f>
        <v/>
      </c>
      <c r="E4659" s="57" t="str"/>
      <c r="F4659" s="49" t="str"/>
      <c r="G4659" s="59" t="str"/>
      <c r="H4659" s="64" t="str"/>
      <c r="I4659" s="65" t="str"/>
      <c r="J4659" s="49" t="str"/>
      <c r="K4659" s="41" t="str"/>
      <c r="L4659" s="41" t="str"/>
      <c r="M4659" s="41" t="str"/>
      <c r="N4659" s="41" t="str"/>
      <c r="O4659" s="41" t="str"/>
      <c r="P4659" s="41" t="str"/>
      <c r="Q4659" s="41" t="str"/>
      <c r="R4659" s="41" t="str"/>
      <c r="S4659" s="41" t="str"/>
      <c r="T4659" s="41" t="str"/>
      <c r="U4659" s="41" t="str"/>
      <c r="V4659" s="41" t="str"/>
      <c r="W4659" s="41" t="str"/>
    </row>
    <row r="4660">
      <c r="B4660" s="2" t="n"/>
      <c r="C4660" s="40" t="n"/>
      <c r="D4660" s="52">
        <f t="array" ref="D4660:W4660">IF(All_Students_Scores!C4658:V4658="","",All_Students_Scores!C4658:V4658)</f>
        <v/>
      </c>
      <c r="E4660" s="57" t="str"/>
      <c r="F4660" s="49" t="str"/>
      <c r="G4660" s="59" t="str"/>
      <c r="H4660" s="64" t="str"/>
      <c r="I4660" s="65" t="str"/>
      <c r="J4660" s="49" t="str"/>
      <c r="K4660" s="41" t="str"/>
      <c r="L4660" s="41" t="str"/>
      <c r="M4660" s="41" t="str"/>
      <c r="N4660" s="41" t="str"/>
      <c r="O4660" s="41" t="str"/>
      <c r="P4660" s="41" t="str"/>
      <c r="Q4660" s="41" t="str"/>
      <c r="R4660" s="41" t="str"/>
      <c r="S4660" s="41" t="str"/>
      <c r="T4660" s="41" t="str"/>
      <c r="U4660" s="41" t="str"/>
      <c r="V4660" s="41" t="str"/>
      <c r="W4660" s="41" t="str"/>
    </row>
    <row r="4661">
      <c r="B4661" s="2" t="n"/>
      <c r="C4661" s="40" t="n"/>
      <c r="D4661" s="52">
        <f t="array" ref="D4661:W4661">IF(All_Students_Scores!C4659:V4659="","",All_Students_Scores!C4659:V4659)</f>
        <v/>
      </c>
      <c r="E4661" s="57" t="str"/>
      <c r="F4661" s="49" t="str"/>
      <c r="G4661" s="59" t="str"/>
      <c r="H4661" s="64" t="str"/>
      <c r="I4661" s="65" t="str"/>
      <c r="J4661" s="49" t="str"/>
      <c r="K4661" s="41" t="str"/>
      <c r="L4661" s="41" t="str"/>
      <c r="M4661" s="41" t="str"/>
      <c r="N4661" s="41" t="str"/>
      <c r="O4661" s="41" t="str"/>
      <c r="P4661" s="41" t="str"/>
      <c r="Q4661" s="41" t="str"/>
      <c r="R4661" s="41" t="str"/>
      <c r="S4661" s="41" t="str"/>
      <c r="T4661" s="41" t="str"/>
      <c r="U4661" s="41" t="str"/>
      <c r="V4661" s="41" t="str"/>
      <c r="W4661" s="41" t="str"/>
    </row>
    <row r="4662">
      <c r="B4662" s="2" t="n"/>
      <c r="C4662" s="40" t="n"/>
      <c r="D4662" s="52">
        <f t="array" ref="D4662:W4662">IF(All_Students_Scores!C4660:V4660="","",All_Students_Scores!C4660:V4660)</f>
        <v/>
      </c>
      <c r="E4662" s="57" t="str"/>
      <c r="F4662" s="49" t="str"/>
      <c r="G4662" s="59" t="str"/>
      <c r="H4662" s="64" t="str"/>
      <c r="I4662" s="65" t="str"/>
      <c r="J4662" s="49" t="str"/>
      <c r="K4662" s="41" t="str"/>
      <c r="L4662" s="41" t="str"/>
      <c r="M4662" s="41" t="str"/>
      <c r="N4662" s="41" t="str"/>
      <c r="O4662" s="41" t="str"/>
      <c r="P4662" s="41" t="str"/>
      <c r="Q4662" s="41" t="str"/>
      <c r="R4662" s="41" t="str"/>
      <c r="S4662" s="41" t="str"/>
      <c r="T4662" s="41" t="str"/>
      <c r="U4662" s="41" t="str"/>
      <c r="V4662" s="41" t="str"/>
      <c r="W4662" s="41" t="str"/>
    </row>
    <row r="4663">
      <c r="B4663" s="2" t="n"/>
      <c r="C4663" s="40" t="n"/>
      <c r="D4663" s="52">
        <f t="array" ref="D4663:W4663">IF(All_Students_Scores!C4661:V4661="","",All_Students_Scores!C4661:V4661)</f>
        <v/>
      </c>
      <c r="E4663" s="57" t="str"/>
      <c r="F4663" s="49" t="str"/>
      <c r="G4663" s="59" t="str"/>
      <c r="H4663" s="64" t="str"/>
      <c r="I4663" s="65" t="str"/>
      <c r="J4663" s="49" t="str"/>
      <c r="K4663" s="41" t="str"/>
      <c r="L4663" s="41" t="str"/>
      <c r="M4663" s="41" t="str"/>
      <c r="N4663" s="41" t="str"/>
      <c r="O4663" s="41" t="str"/>
      <c r="P4663" s="41" t="str"/>
      <c r="Q4663" s="41" t="str"/>
      <c r="R4663" s="41" t="str"/>
      <c r="S4663" s="41" t="str"/>
      <c r="T4663" s="41" t="str"/>
      <c r="U4663" s="41" t="str"/>
      <c r="V4663" s="41" t="str"/>
      <c r="W4663" s="41" t="str"/>
    </row>
    <row r="4664">
      <c r="B4664" s="2" t="n"/>
      <c r="C4664" s="40" t="n"/>
      <c r="D4664" s="52">
        <f t="array" ref="D4664:W4664">IF(All_Students_Scores!C4662:V4662="","",All_Students_Scores!C4662:V4662)</f>
        <v/>
      </c>
      <c r="E4664" s="57" t="str"/>
      <c r="F4664" s="49" t="str"/>
      <c r="G4664" s="59" t="str"/>
      <c r="H4664" s="64" t="str"/>
      <c r="I4664" s="65" t="str"/>
      <c r="J4664" s="49" t="str"/>
      <c r="K4664" s="41" t="str"/>
      <c r="L4664" s="41" t="str"/>
      <c r="M4664" s="41" t="str"/>
      <c r="N4664" s="41" t="str"/>
      <c r="O4664" s="41" t="str"/>
      <c r="P4664" s="41" t="str"/>
      <c r="Q4664" s="41" t="str"/>
      <c r="R4664" s="41" t="str"/>
      <c r="S4664" s="41" t="str"/>
      <c r="T4664" s="41" t="str"/>
      <c r="U4664" s="41" t="str"/>
      <c r="V4664" s="41" t="str"/>
      <c r="W4664" s="41" t="str"/>
    </row>
    <row r="4665">
      <c r="B4665" s="2" t="n"/>
      <c r="C4665" s="40" t="n"/>
      <c r="D4665" s="52">
        <f t="array" ref="D4665:W4665">IF(All_Students_Scores!C4663:V4663="","",All_Students_Scores!C4663:V4663)</f>
        <v/>
      </c>
      <c r="E4665" s="57" t="str"/>
      <c r="F4665" s="49" t="str"/>
      <c r="G4665" s="59" t="str"/>
      <c r="H4665" s="64" t="str"/>
      <c r="I4665" s="65" t="str"/>
      <c r="J4665" s="49" t="str"/>
      <c r="K4665" s="41" t="str"/>
      <c r="L4665" s="41" t="str"/>
      <c r="M4665" s="41" t="str"/>
      <c r="N4665" s="41" t="str"/>
      <c r="O4665" s="41" t="str"/>
      <c r="P4665" s="41" t="str"/>
      <c r="Q4665" s="41" t="str"/>
      <c r="R4665" s="41" t="str"/>
      <c r="S4665" s="41" t="str"/>
      <c r="T4665" s="41" t="str"/>
      <c r="U4665" s="41" t="str"/>
      <c r="V4665" s="41" t="str"/>
      <c r="W4665" s="41" t="str"/>
    </row>
    <row r="4666">
      <c r="B4666" s="2" t="n"/>
      <c r="C4666" s="40" t="n"/>
      <c r="D4666" s="52">
        <f t="array" ref="D4666:W4666">IF(All_Students_Scores!C4664:V4664="","",All_Students_Scores!C4664:V4664)</f>
        <v/>
      </c>
      <c r="E4666" s="57" t="str"/>
      <c r="F4666" s="49" t="str"/>
      <c r="G4666" s="59" t="str"/>
      <c r="H4666" s="64" t="str"/>
      <c r="I4666" s="65" t="str"/>
      <c r="J4666" s="49" t="str"/>
      <c r="K4666" s="41" t="str"/>
      <c r="L4666" s="41" t="str"/>
      <c r="M4666" s="41" t="str"/>
      <c r="N4666" s="41" t="str"/>
      <c r="O4666" s="41" t="str"/>
      <c r="P4666" s="41" t="str"/>
      <c r="Q4666" s="41" t="str"/>
      <c r="R4666" s="41" t="str"/>
      <c r="S4666" s="41" t="str"/>
      <c r="T4666" s="41" t="str"/>
      <c r="U4666" s="41" t="str"/>
      <c r="V4666" s="41" t="str"/>
      <c r="W4666" s="41" t="str"/>
    </row>
    <row r="4667">
      <c r="B4667" s="2" t="n"/>
      <c r="C4667" s="40" t="n"/>
      <c r="D4667" s="52">
        <f t="array" ref="D4667:W4667">IF(All_Students_Scores!C4665:V4665="","",All_Students_Scores!C4665:V4665)</f>
        <v/>
      </c>
      <c r="E4667" s="57" t="str"/>
      <c r="F4667" s="49" t="str"/>
      <c r="G4667" s="59" t="str"/>
      <c r="H4667" s="64" t="str"/>
      <c r="I4667" s="65" t="str"/>
      <c r="J4667" s="49" t="str"/>
      <c r="K4667" s="41" t="str"/>
      <c r="L4667" s="41" t="str"/>
      <c r="M4667" s="41" t="str"/>
      <c r="N4667" s="41" t="str"/>
      <c r="O4667" s="41" t="str"/>
      <c r="P4667" s="41" t="str"/>
      <c r="Q4667" s="41" t="str"/>
      <c r="R4667" s="41" t="str"/>
      <c r="S4667" s="41" t="str"/>
      <c r="T4667" s="41" t="str"/>
      <c r="U4667" s="41" t="str"/>
      <c r="V4667" s="41" t="str"/>
      <c r="W4667" s="41" t="str"/>
    </row>
    <row r="4668">
      <c r="B4668" s="2" t="n"/>
      <c r="C4668" s="40" t="n"/>
      <c r="D4668" s="52">
        <f t="array" ref="D4668:W4668">IF(All_Students_Scores!C4666:V4666="","",All_Students_Scores!C4666:V4666)</f>
        <v/>
      </c>
      <c r="E4668" s="57" t="str"/>
      <c r="F4668" s="49" t="str"/>
      <c r="G4668" s="59" t="str"/>
      <c r="H4668" s="64" t="str"/>
      <c r="I4668" s="65" t="str"/>
      <c r="J4668" s="49" t="str"/>
      <c r="K4668" s="41" t="str"/>
      <c r="L4668" s="41" t="str"/>
      <c r="M4668" s="41" t="str"/>
      <c r="N4668" s="41" t="str"/>
      <c r="O4668" s="41" t="str"/>
      <c r="P4668" s="41" t="str"/>
      <c r="Q4668" s="41" t="str"/>
      <c r="R4668" s="41" t="str"/>
      <c r="S4668" s="41" t="str"/>
      <c r="T4668" s="41" t="str"/>
      <c r="U4668" s="41" t="str"/>
      <c r="V4668" s="41" t="str"/>
      <c r="W4668" s="41" t="str"/>
    </row>
    <row r="4669">
      <c r="B4669" s="2" t="n"/>
      <c r="C4669" s="40" t="n"/>
      <c r="D4669" s="52">
        <f t="array" ref="D4669:W4669">IF(All_Students_Scores!C4667:V4667="","",All_Students_Scores!C4667:V4667)</f>
        <v/>
      </c>
      <c r="E4669" s="57" t="str"/>
      <c r="F4669" s="49" t="str"/>
      <c r="G4669" s="59" t="str"/>
      <c r="H4669" s="64" t="str"/>
      <c r="I4669" s="65" t="str"/>
      <c r="J4669" s="49" t="str"/>
      <c r="K4669" s="41" t="str"/>
      <c r="L4669" s="41" t="str"/>
      <c r="M4669" s="41" t="str"/>
      <c r="N4669" s="41" t="str"/>
      <c r="O4669" s="41" t="str"/>
      <c r="P4669" s="41" t="str"/>
      <c r="Q4669" s="41" t="str"/>
      <c r="R4669" s="41" t="str"/>
      <c r="S4669" s="41" t="str"/>
      <c r="T4669" s="41" t="str"/>
      <c r="U4669" s="41" t="str"/>
      <c r="V4669" s="41" t="str"/>
      <c r="W4669" s="41" t="str"/>
    </row>
    <row r="4670">
      <c r="B4670" s="2" t="n"/>
      <c r="C4670" s="40" t="n"/>
      <c r="D4670" s="52">
        <f t="array" ref="D4670:W4670">IF(All_Students_Scores!C4668:V4668="","",All_Students_Scores!C4668:V4668)</f>
        <v/>
      </c>
      <c r="E4670" s="57" t="str"/>
      <c r="F4670" s="49" t="str"/>
      <c r="G4670" s="59" t="str"/>
      <c r="H4670" s="64" t="str"/>
      <c r="I4670" s="65" t="str"/>
      <c r="J4670" s="49" t="str"/>
      <c r="K4670" s="41" t="str"/>
      <c r="L4670" s="41" t="str"/>
      <c r="M4670" s="41" t="str"/>
      <c r="N4670" s="41" t="str"/>
      <c r="O4670" s="41" t="str"/>
      <c r="P4670" s="41" t="str"/>
      <c r="Q4670" s="41" t="str"/>
      <c r="R4670" s="41" t="str"/>
      <c r="S4670" s="41" t="str"/>
      <c r="T4670" s="41" t="str"/>
      <c r="U4670" s="41" t="str"/>
      <c r="V4670" s="41" t="str"/>
      <c r="W4670" s="41" t="str"/>
    </row>
    <row r="4671">
      <c r="B4671" s="2" t="n"/>
      <c r="C4671" s="40" t="n"/>
      <c r="D4671" s="52">
        <f t="array" ref="D4671:W4671">IF(All_Students_Scores!C4669:V4669="","",All_Students_Scores!C4669:V4669)</f>
        <v/>
      </c>
      <c r="E4671" s="57" t="str"/>
      <c r="F4671" s="49" t="str"/>
      <c r="G4671" s="59" t="str"/>
      <c r="H4671" s="64" t="str"/>
      <c r="I4671" s="65" t="str"/>
      <c r="J4671" s="49" t="str"/>
      <c r="K4671" s="41" t="str"/>
      <c r="L4671" s="41" t="str"/>
      <c r="M4671" s="41" t="str"/>
      <c r="N4671" s="41" t="str"/>
      <c r="O4671" s="41" t="str"/>
      <c r="P4671" s="41" t="str"/>
      <c r="Q4671" s="41" t="str"/>
      <c r="R4671" s="41" t="str"/>
      <c r="S4671" s="41" t="str"/>
      <c r="T4671" s="41" t="str"/>
      <c r="U4671" s="41" t="str"/>
      <c r="V4671" s="41" t="str"/>
      <c r="W4671" s="41" t="str"/>
    </row>
    <row r="4672">
      <c r="B4672" s="2" t="n"/>
      <c r="C4672" s="40" t="n"/>
      <c r="D4672" s="52">
        <f t="array" ref="D4672:W4672">IF(All_Students_Scores!C4670:V4670="","",All_Students_Scores!C4670:V4670)</f>
        <v/>
      </c>
      <c r="E4672" s="57" t="str"/>
      <c r="F4672" s="49" t="str"/>
      <c r="G4672" s="59" t="str"/>
      <c r="H4672" s="64" t="str"/>
      <c r="I4672" s="65" t="str"/>
      <c r="J4672" s="49" t="str"/>
      <c r="K4672" s="41" t="str"/>
      <c r="L4672" s="41" t="str"/>
      <c r="M4672" s="41" t="str"/>
      <c r="N4672" s="41" t="str"/>
      <c r="O4672" s="41" t="str"/>
      <c r="P4672" s="41" t="str"/>
      <c r="Q4672" s="41" t="str"/>
      <c r="R4672" s="41" t="str"/>
      <c r="S4672" s="41" t="str"/>
      <c r="T4672" s="41" t="str"/>
      <c r="U4672" s="41" t="str"/>
      <c r="V4672" s="41" t="str"/>
      <c r="W4672" s="41" t="str"/>
    </row>
    <row r="4673">
      <c r="B4673" s="2" t="n"/>
      <c r="C4673" s="40" t="n"/>
      <c r="D4673" s="52">
        <f t="array" ref="D4673:W4673">IF(All_Students_Scores!C4671:V4671="","",All_Students_Scores!C4671:V4671)</f>
        <v/>
      </c>
      <c r="E4673" s="57" t="str"/>
      <c r="F4673" s="49" t="str"/>
      <c r="G4673" s="59" t="str"/>
      <c r="H4673" s="64" t="str"/>
      <c r="I4673" s="65" t="str"/>
      <c r="J4673" s="49" t="str"/>
      <c r="K4673" s="41" t="str"/>
      <c r="L4673" s="41" t="str"/>
      <c r="M4673" s="41" t="str"/>
      <c r="N4673" s="41" t="str"/>
      <c r="O4673" s="41" t="str"/>
      <c r="P4673" s="41" t="str"/>
      <c r="Q4673" s="41" t="str"/>
      <c r="R4673" s="41" t="str"/>
      <c r="S4673" s="41" t="str"/>
      <c r="T4673" s="41" t="str"/>
      <c r="U4673" s="41" t="str"/>
      <c r="V4673" s="41" t="str"/>
      <c r="W4673" s="41" t="str"/>
    </row>
    <row r="4674">
      <c r="B4674" s="2" t="n"/>
      <c r="C4674" s="40" t="n"/>
      <c r="D4674" s="52">
        <f t="array" ref="D4674:W4674">IF(All_Students_Scores!C4672:V4672="","",All_Students_Scores!C4672:V4672)</f>
        <v/>
      </c>
      <c r="E4674" s="57" t="str"/>
      <c r="F4674" s="49" t="str"/>
      <c r="G4674" s="59" t="str"/>
      <c r="H4674" s="64" t="str"/>
      <c r="I4674" s="65" t="str"/>
      <c r="J4674" s="49" t="str"/>
      <c r="K4674" s="41" t="str"/>
      <c r="L4674" s="41" t="str"/>
      <c r="M4674" s="41" t="str"/>
      <c r="N4674" s="41" t="str"/>
      <c r="O4674" s="41" t="str"/>
      <c r="P4674" s="41" t="str"/>
      <c r="Q4674" s="41" t="str"/>
      <c r="R4674" s="41" t="str"/>
      <c r="S4674" s="41" t="str"/>
      <c r="T4674" s="41" t="str"/>
      <c r="U4674" s="41" t="str"/>
      <c r="V4674" s="41" t="str"/>
      <c r="W4674" s="41" t="str"/>
    </row>
    <row r="4675">
      <c r="B4675" s="2" t="n"/>
      <c r="C4675" s="40" t="n"/>
      <c r="D4675" s="52">
        <f t="array" ref="D4675:W4675">IF(All_Students_Scores!C4673:V4673="","",All_Students_Scores!C4673:V4673)</f>
        <v/>
      </c>
      <c r="E4675" s="57" t="str"/>
      <c r="F4675" s="49" t="str"/>
      <c r="G4675" s="59" t="str"/>
      <c r="H4675" s="64" t="str"/>
      <c r="I4675" s="65" t="str"/>
      <c r="J4675" s="49" t="str"/>
      <c r="K4675" s="41" t="str"/>
      <c r="L4675" s="41" t="str"/>
      <c r="M4675" s="41" t="str"/>
      <c r="N4675" s="41" t="str"/>
      <c r="O4675" s="41" t="str"/>
      <c r="P4675" s="41" t="str"/>
      <c r="Q4675" s="41" t="str"/>
      <c r="R4675" s="41" t="str"/>
      <c r="S4675" s="41" t="str"/>
      <c r="T4675" s="41" t="str"/>
      <c r="U4675" s="41" t="str"/>
      <c r="V4675" s="41" t="str"/>
      <c r="W4675" s="41" t="str"/>
    </row>
    <row r="4676">
      <c r="B4676" s="2" t="n"/>
      <c r="C4676" s="40" t="n"/>
      <c r="D4676" s="52">
        <f t="array" ref="D4676:W4676">IF(All_Students_Scores!C4674:V4674="","",All_Students_Scores!C4674:V4674)</f>
        <v/>
      </c>
      <c r="E4676" s="57" t="str"/>
      <c r="F4676" s="49" t="str"/>
      <c r="G4676" s="59" t="str"/>
      <c r="H4676" s="64" t="str"/>
      <c r="I4676" s="65" t="str"/>
      <c r="J4676" s="49" t="str"/>
      <c r="K4676" s="41" t="str"/>
      <c r="L4676" s="41" t="str"/>
      <c r="M4676" s="41" t="str"/>
      <c r="N4676" s="41" t="str"/>
      <c r="O4676" s="41" t="str"/>
      <c r="P4676" s="41" t="str"/>
      <c r="Q4676" s="41" t="str"/>
      <c r="R4676" s="41" t="str"/>
      <c r="S4676" s="41" t="str"/>
      <c r="T4676" s="41" t="str"/>
      <c r="U4676" s="41" t="str"/>
      <c r="V4676" s="41" t="str"/>
      <c r="W4676" s="41" t="str"/>
    </row>
    <row r="4677">
      <c r="B4677" s="2" t="n"/>
      <c r="C4677" s="40" t="n"/>
      <c r="D4677" s="52">
        <f t="array" ref="D4677:W4677">IF(All_Students_Scores!C4675:V4675="","",All_Students_Scores!C4675:V4675)</f>
        <v/>
      </c>
      <c r="E4677" s="57" t="str"/>
      <c r="F4677" s="49" t="str"/>
      <c r="G4677" s="59" t="str"/>
      <c r="H4677" s="64" t="str"/>
      <c r="I4677" s="65" t="str"/>
      <c r="J4677" s="49" t="str"/>
      <c r="K4677" s="41" t="str"/>
      <c r="L4677" s="41" t="str"/>
      <c r="M4677" s="41" t="str"/>
      <c r="N4677" s="41" t="str"/>
      <c r="O4677" s="41" t="str"/>
      <c r="P4677" s="41" t="str"/>
      <c r="Q4677" s="41" t="str"/>
      <c r="R4677" s="41" t="str"/>
      <c r="S4677" s="41" t="str"/>
      <c r="T4677" s="41" t="str"/>
      <c r="U4677" s="41" t="str"/>
      <c r="V4677" s="41" t="str"/>
      <c r="W4677" s="41" t="str"/>
    </row>
    <row r="4678">
      <c r="B4678" s="2" t="n"/>
      <c r="C4678" s="40" t="n"/>
      <c r="D4678" s="52">
        <f t="array" ref="D4678:W4678">IF(All_Students_Scores!C4676:V4676="","",All_Students_Scores!C4676:V4676)</f>
        <v/>
      </c>
      <c r="E4678" s="57" t="str"/>
      <c r="F4678" s="49" t="str"/>
      <c r="G4678" s="59" t="str"/>
      <c r="H4678" s="64" t="str"/>
      <c r="I4678" s="65" t="str"/>
      <c r="J4678" s="49" t="str"/>
      <c r="K4678" s="41" t="str"/>
      <c r="L4678" s="41" t="str"/>
      <c r="M4678" s="41" t="str"/>
      <c r="N4678" s="41" t="str"/>
      <c r="O4678" s="41" t="str"/>
      <c r="P4678" s="41" t="str"/>
      <c r="Q4678" s="41" t="str"/>
      <c r="R4678" s="41" t="str"/>
      <c r="S4678" s="41" t="str"/>
      <c r="T4678" s="41" t="str"/>
      <c r="U4678" s="41" t="str"/>
      <c r="V4678" s="41" t="str"/>
      <c r="W4678" s="41" t="str"/>
    </row>
    <row r="4679">
      <c r="B4679" s="2" t="n"/>
      <c r="C4679" s="40" t="n"/>
      <c r="D4679" s="52">
        <f t="array" ref="D4679:W4679">IF(All_Students_Scores!C4677:V4677="","",All_Students_Scores!C4677:V4677)</f>
        <v/>
      </c>
      <c r="E4679" s="57" t="str"/>
      <c r="F4679" s="49" t="str"/>
      <c r="G4679" s="59" t="str"/>
      <c r="H4679" s="64" t="str"/>
      <c r="I4679" s="65" t="str"/>
      <c r="J4679" s="49" t="str"/>
      <c r="K4679" s="41" t="str"/>
      <c r="L4679" s="41" t="str"/>
      <c r="M4679" s="41" t="str"/>
      <c r="N4679" s="41" t="str"/>
      <c r="O4679" s="41" t="str"/>
      <c r="P4679" s="41" t="str"/>
      <c r="Q4679" s="41" t="str"/>
      <c r="R4679" s="41" t="str"/>
      <c r="S4679" s="41" t="str"/>
      <c r="T4679" s="41" t="str"/>
      <c r="U4679" s="41" t="str"/>
      <c r="V4679" s="41" t="str"/>
      <c r="W4679" s="41" t="str"/>
    </row>
    <row r="4680">
      <c r="B4680" s="2" t="n"/>
      <c r="C4680" s="40" t="n"/>
      <c r="D4680" s="52">
        <f t="array" ref="D4680:W4680">IF(All_Students_Scores!C4678:V4678="","",All_Students_Scores!C4678:V4678)</f>
        <v/>
      </c>
      <c r="E4680" s="57" t="str"/>
      <c r="F4680" s="49" t="str"/>
      <c r="G4680" s="59" t="str"/>
      <c r="H4680" s="64" t="str"/>
      <c r="I4680" s="65" t="str"/>
      <c r="J4680" s="49" t="str"/>
      <c r="K4680" s="41" t="str"/>
      <c r="L4680" s="41" t="str"/>
      <c r="M4680" s="41" t="str"/>
      <c r="N4680" s="41" t="str"/>
      <c r="O4680" s="41" t="str"/>
      <c r="P4680" s="41" t="str"/>
      <c r="Q4680" s="41" t="str"/>
      <c r="R4680" s="41" t="str"/>
      <c r="S4680" s="41" t="str"/>
      <c r="T4680" s="41" t="str"/>
      <c r="U4680" s="41" t="str"/>
      <c r="V4680" s="41" t="str"/>
      <c r="W4680" s="41" t="str"/>
    </row>
    <row r="4681">
      <c r="B4681" s="2" t="n"/>
      <c r="C4681" s="40" t="n"/>
      <c r="D4681" s="52">
        <f t="array" ref="D4681:W4681">IF(All_Students_Scores!C4679:V4679="","",All_Students_Scores!C4679:V4679)</f>
        <v/>
      </c>
      <c r="E4681" s="57" t="str"/>
      <c r="F4681" s="49" t="str"/>
      <c r="G4681" s="59" t="str"/>
      <c r="H4681" s="64" t="str"/>
      <c r="I4681" s="65" t="str"/>
      <c r="J4681" s="49" t="str"/>
      <c r="K4681" s="41" t="str"/>
      <c r="L4681" s="41" t="str"/>
      <c r="M4681" s="41" t="str"/>
      <c r="N4681" s="41" t="str"/>
      <c r="O4681" s="41" t="str"/>
      <c r="P4681" s="41" t="str"/>
      <c r="Q4681" s="41" t="str"/>
      <c r="R4681" s="41" t="str"/>
      <c r="S4681" s="41" t="str"/>
      <c r="T4681" s="41" t="str"/>
      <c r="U4681" s="41" t="str"/>
      <c r="V4681" s="41" t="str"/>
      <c r="W4681" s="41" t="str"/>
    </row>
    <row r="4682">
      <c r="B4682" s="2" t="n"/>
      <c r="C4682" s="40" t="n"/>
      <c r="D4682" s="52">
        <f t="array" ref="D4682:W4682">IF(All_Students_Scores!C4680:V4680="","",All_Students_Scores!C4680:V4680)</f>
        <v/>
      </c>
      <c r="E4682" s="57" t="str"/>
      <c r="F4682" s="49" t="str"/>
      <c r="G4682" s="59" t="str"/>
      <c r="H4682" s="64" t="str"/>
      <c r="I4682" s="65" t="str"/>
      <c r="J4682" s="49" t="str"/>
      <c r="K4682" s="41" t="str"/>
      <c r="L4682" s="41" t="str"/>
      <c r="M4682" s="41" t="str"/>
      <c r="N4682" s="41" t="str"/>
      <c r="O4682" s="41" t="str"/>
      <c r="P4682" s="41" t="str"/>
      <c r="Q4682" s="41" t="str"/>
      <c r="R4682" s="41" t="str"/>
      <c r="S4682" s="41" t="str"/>
      <c r="T4682" s="41" t="str"/>
      <c r="U4682" s="41" t="str"/>
      <c r="V4682" s="41" t="str"/>
      <c r="W4682" s="41" t="str"/>
    </row>
    <row r="4683">
      <c r="B4683" s="2" t="n"/>
      <c r="C4683" s="40" t="n"/>
      <c r="D4683" s="52">
        <f t="array" ref="D4683:W4683">IF(All_Students_Scores!C4681:V4681="","",All_Students_Scores!C4681:V4681)</f>
        <v/>
      </c>
      <c r="E4683" s="57" t="str"/>
      <c r="F4683" s="49" t="str"/>
      <c r="G4683" s="59" t="str"/>
      <c r="H4683" s="64" t="str"/>
      <c r="I4683" s="65" t="str"/>
      <c r="J4683" s="49" t="str"/>
      <c r="K4683" s="41" t="str"/>
      <c r="L4683" s="41" t="str"/>
      <c r="M4683" s="41" t="str"/>
      <c r="N4683" s="41" t="str"/>
      <c r="O4683" s="41" t="str"/>
      <c r="P4683" s="41" t="str"/>
      <c r="Q4683" s="41" t="str"/>
      <c r="R4683" s="41" t="str"/>
      <c r="S4683" s="41" t="str"/>
      <c r="T4683" s="41" t="str"/>
      <c r="U4683" s="41" t="str"/>
      <c r="V4683" s="41" t="str"/>
      <c r="W4683" s="41" t="str"/>
    </row>
    <row r="4684">
      <c r="B4684" s="2" t="n"/>
      <c r="C4684" s="40" t="n"/>
      <c r="D4684" s="52">
        <f t="array" ref="D4684:W4684">IF(All_Students_Scores!C4682:V4682="","",All_Students_Scores!C4682:V4682)</f>
        <v/>
      </c>
      <c r="E4684" s="57" t="str"/>
      <c r="F4684" s="49" t="str"/>
      <c r="G4684" s="59" t="str"/>
      <c r="H4684" s="64" t="str"/>
      <c r="I4684" s="65" t="str"/>
      <c r="J4684" s="49" t="str"/>
      <c r="K4684" s="41" t="str"/>
      <c r="L4684" s="41" t="str"/>
      <c r="M4684" s="41" t="str"/>
      <c r="N4684" s="41" t="str"/>
      <c r="O4684" s="41" t="str"/>
      <c r="P4684" s="41" t="str"/>
      <c r="Q4684" s="41" t="str"/>
      <c r="R4684" s="41" t="str"/>
      <c r="S4684" s="41" t="str"/>
      <c r="T4684" s="41" t="str"/>
      <c r="U4684" s="41" t="str"/>
      <c r="V4684" s="41" t="str"/>
      <c r="W4684" s="41" t="str"/>
    </row>
    <row r="4685">
      <c r="B4685" s="2" t="n"/>
      <c r="C4685" s="40" t="n"/>
      <c r="D4685" s="52">
        <f t="array" ref="D4685:W4685">IF(All_Students_Scores!C4683:V4683="","",All_Students_Scores!C4683:V4683)</f>
        <v/>
      </c>
      <c r="E4685" s="57" t="str"/>
      <c r="F4685" s="49" t="str"/>
      <c r="G4685" s="59" t="str"/>
      <c r="H4685" s="64" t="str"/>
      <c r="I4685" s="65" t="str"/>
      <c r="J4685" s="49" t="str"/>
      <c r="K4685" s="41" t="str"/>
      <c r="L4685" s="41" t="str"/>
      <c r="M4685" s="41" t="str"/>
      <c r="N4685" s="41" t="str"/>
      <c r="O4685" s="41" t="str"/>
      <c r="P4685" s="41" t="str"/>
      <c r="Q4685" s="41" t="str"/>
      <c r="R4685" s="41" t="str"/>
      <c r="S4685" s="41" t="str"/>
      <c r="T4685" s="41" t="str"/>
      <c r="U4685" s="41" t="str"/>
      <c r="V4685" s="41" t="str"/>
      <c r="W4685" s="41" t="str"/>
    </row>
    <row r="4686">
      <c r="B4686" s="2" t="n"/>
      <c r="C4686" s="40" t="n"/>
      <c r="D4686" s="52">
        <f t="array" ref="D4686:W4686">IF(All_Students_Scores!C4684:V4684="","",All_Students_Scores!C4684:V4684)</f>
        <v/>
      </c>
      <c r="E4686" s="57" t="str"/>
      <c r="F4686" s="49" t="str"/>
      <c r="G4686" s="59" t="str"/>
      <c r="H4686" s="64" t="str"/>
      <c r="I4686" s="65" t="str"/>
      <c r="J4686" s="49" t="str"/>
      <c r="K4686" s="41" t="str"/>
      <c r="L4686" s="41" t="str"/>
      <c r="M4686" s="41" t="str"/>
      <c r="N4686" s="41" t="str"/>
      <c r="O4686" s="41" t="str"/>
      <c r="P4686" s="41" t="str"/>
      <c r="Q4686" s="41" t="str"/>
      <c r="R4686" s="41" t="str"/>
      <c r="S4686" s="41" t="str"/>
      <c r="T4686" s="41" t="str"/>
      <c r="U4686" s="41" t="str"/>
      <c r="V4686" s="41" t="str"/>
      <c r="W4686" s="41" t="str"/>
    </row>
    <row r="4687">
      <c r="B4687" s="2" t="n"/>
      <c r="C4687" s="40" t="n"/>
      <c r="D4687" s="52">
        <f t="array" ref="D4687:W4687">IF(All_Students_Scores!C4685:V4685="","",All_Students_Scores!C4685:V4685)</f>
        <v/>
      </c>
      <c r="E4687" s="57" t="str"/>
      <c r="F4687" s="49" t="str"/>
      <c r="G4687" s="59" t="str"/>
      <c r="H4687" s="64" t="str"/>
      <c r="I4687" s="65" t="str"/>
      <c r="J4687" s="49" t="str"/>
      <c r="K4687" s="41" t="str"/>
      <c r="L4687" s="41" t="str"/>
      <c r="M4687" s="41" t="str"/>
      <c r="N4687" s="41" t="str"/>
      <c r="O4687" s="41" t="str"/>
      <c r="P4687" s="41" t="str"/>
      <c r="Q4687" s="41" t="str"/>
      <c r="R4687" s="41" t="str"/>
      <c r="S4687" s="41" t="str"/>
      <c r="T4687" s="41" t="str"/>
      <c r="U4687" s="41" t="str"/>
      <c r="V4687" s="41" t="str"/>
      <c r="W4687" s="41" t="str"/>
    </row>
    <row r="4688">
      <c r="B4688" s="2" t="n"/>
      <c r="C4688" s="40" t="n"/>
      <c r="D4688" s="52">
        <f t="array" ref="D4688:W4688">IF(All_Students_Scores!C4686:V4686="","",All_Students_Scores!C4686:V4686)</f>
        <v/>
      </c>
      <c r="E4688" s="57" t="str"/>
      <c r="F4688" s="49" t="str"/>
      <c r="G4688" s="59" t="str"/>
      <c r="H4688" s="64" t="str"/>
      <c r="I4688" s="65" t="str"/>
      <c r="J4688" s="49" t="str"/>
      <c r="K4688" s="41" t="str"/>
      <c r="L4688" s="41" t="str"/>
      <c r="M4688" s="41" t="str"/>
      <c r="N4688" s="41" t="str"/>
      <c r="O4688" s="41" t="str"/>
      <c r="P4688" s="41" t="str"/>
      <c r="Q4688" s="41" t="str"/>
      <c r="R4688" s="41" t="str"/>
      <c r="S4688" s="41" t="str"/>
      <c r="T4688" s="41" t="str"/>
      <c r="U4688" s="41" t="str"/>
      <c r="V4688" s="41" t="str"/>
      <c r="W4688" s="41" t="str"/>
    </row>
    <row r="4689">
      <c r="B4689" s="2" t="n"/>
      <c r="C4689" s="40" t="n"/>
      <c r="D4689" s="52">
        <f t="array" ref="D4689:W4689">IF(All_Students_Scores!C4687:V4687="","",All_Students_Scores!C4687:V4687)</f>
        <v/>
      </c>
      <c r="E4689" s="57" t="str"/>
      <c r="F4689" s="49" t="str"/>
      <c r="G4689" s="59" t="str"/>
      <c r="H4689" s="64" t="str"/>
      <c r="I4689" s="65" t="str"/>
      <c r="J4689" s="49" t="str"/>
      <c r="K4689" s="41" t="str"/>
      <c r="L4689" s="41" t="str"/>
      <c r="M4689" s="41" t="str"/>
      <c r="N4689" s="41" t="str"/>
      <c r="O4689" s="41" t="str"/>
      <c r="P4689" s="41" t="str"/>
      <c r="Q4689" s="41" t="str"/>
      <c r="R4689" s="41" t="str"/>
      <c r="S4689" s="41" t="str"/>
      <c r="T4689" s="41" t="str"/>
      <c r="U4689" s="41" t="str"/>
      <c r="V4689" s="41" t="str"/>
      <c r="W4689" s="41" t="str"/>
    </row>
    <row r="4690">
      <c r="B4690" s="2" t="n"/>
      <c r="C4690" s="40" t="n"/>
      <c r="D4690" s="52">
        <f t="array" ref="D4690:W4690">IF(All_Students_Scores!C4688:V4688="","",All_Students_Scores!C4688:V4688)</f>
        <v/>
      </c>
      <c r="E4690" s="57" t="str"/>
      <c r="F4690" s="49" t="str"/>
      <c r="G4690" s="59" t="str"/>
      <c r="H4690" s="64" t="str"/>
      <c r="I4690" s="65" t="str"/>
      <c r="J4690" s="49" t="str"/>
      <c r="K4690" s="41" t="str"/>
      <c r="L4690" s="41" t="str"/>
      <c r="M4690" s="41" t="str"/>
      <c r="N4690" s="41" t="str"/>
      <c r="O4690" s="41" t="str"/>
      <c r="P4690" s="41" t="str"/>
      <c r="Q4690" s="41" t="str"/>
      <c r="R4690" s="41" t="str"/>
      <c r="S4690" s="41" t="str"/>
      <c r="T4690" s="41" t="str"/>
      <c r="U4690" s="41" t="str"/>
      <c r="V4690" s="41" t="str"/>
      <c r="W4690" s="41" t="str"/>
    </row>
    <row r="4691">
      <c r="B4691" s="2" t="n"/>
      <c r="C4691" s="40" t="n"/>
      <c r="D4691" s="52">
        <f t="array" ref="D4691:W4691">IF(All_Students_Scores!C4689:V4689="","",All_Students_Scores!C4689:V4689)</f>
        <v/>
      </c>
      <c r="E4691" s="57" t="str"/>
      <c r="F4691" s="49" t="str"/>
      <c r="G4691" s="59" t="str"/>
      <c r="H4691" s="64" t="str"/>
      <c r="I4691" s="65" t="str"/>
      <c r="J4691" s="49" t="str"/>
      <c r="K4691" s="41" t="str"/>
      <c r="L4691" s="41" t="str"/>
      <c r="M4691" s="41" t="str"/>
      <c r="N4691" s="41" t="str"/>
      <c r="O4691" s="41" t="str"/>
      <c r="P4691" s="41" t="str"/>
      <c r="Q4691" s="41" t="str"/>
      <c r="R4691" s="41" t="str"/>
      <c r="S4691" s="41" t="str"/>
      <c r="T4691" s="41" t="str"/>
      <c r="U4691" s="41" t="str"/>
      <c r="V4691" s="41" t="str"/>
      <c r="W4691" s="41" t="str"/>
    </row>
    <row r="4692">
      <c r="B4692" s="2" t="n"/>
      <c r="C4692" s="40" t="n"/>
      <c r="D4692" s="52">
        <f t="array" ref="D4692:W4692">IF(All_Students_Scores!C4690:V4690="","",All_Students_Scores!C4690:V4690)</f>
        <v/>
      </c>
      <c r="E4692" s="57" t="str"/>
      <c r="F4692" s="49" t="str"/>
      <c r="G4692" s="59" t="str"/>
      <c r="H4692" s="64" t="str"/>
      <c r="I4692" s="65" t="str"/>
      <c r="J4692" s="49" t="str"/>
      <c r="K4692" s="41" t="str"/>
      <c r="L4692" s="41" t="str"/>
      <c r="M4692" s="41" t="str"/>
      <c r="N4692" s="41" t="str"/>
      <c r="O4692" s="41" t="str"/>
      <c r="P4692" s="41" t="str"/>
      <c r="Q4692" s="41" t="str"/>
      <c r="R4692" s="41" t="str"/>
      <c r="S4692" s="41" t="str"/>
      <c r="T4692" s="41" t="str"/>
      <c r="U4692" s="41" t="str"/>
      <c r="V4692" s="41" t="str"/>
      <c r="W4692" s="41" t="str"/>
    </row>
    <row r="4693">
      <c r="B4693" s="2" t="n"/>
      <c r="C4693" s="40" t="n"/>
      <c r="D4693" s="52">
        <f t="array" ref="D4693:W4693">IF(All_Students_Scores!C4691:V4691="","",All_Students_Scores!C4691:V4691)</f>
        <v/>
      </c>
      <c r="E4693" s="57" t="str"/>
      <c r="F4693" s="49" t="str"/>
      <c r="G4693" s="59" t="str"/>
      <c r="H4693" s="64" t="str"/>
      <c r="I4693" s="65" t="str"/>
      <c r="J4693" s="49" t="str"/>
      <c r="K4693" s="41" t="str"/>
      <c r="L4693" s="41" t="str"/>
      <c r="M4693" s="41" t="str"/>
      <c r="N4693" s="41" t="str"/>
      <c r="O4693" s="41" t="str"/>
      <c r="P4693" s="41" t="str"/>
      <c r="Q4693" s="41" t="str"/>
      <c r="R4693" s="41" t="str"/>
      <c r="S4693" s="41" t="str"/>
      <c r="T4693" s="41" t="str"/>
      <c r="U4693" s="41" t="str"/>
      <c r="V4693" s="41" t="str"/>
      <c r="W4693" s="41" t="str"/>
    </row>
    <row r="4694">
      <c r="B4694" s="2" t="n"/>
      <c r="C4694" s="40" t="n"/>
      <c r="D4694" s="52">
        <f t="array" ref="D4694:W4694">IF(All_Students_Scores!C4692:V4692="","",All_Students_Scores!C4692:V4692)</f>
        <v/>
      </c>
      <c r="E4694" s="57" t="str"/>
      <c r="F4694" s="49" t="str"/>
      <c r="G4694" s="59" t="str"/>
      <c r="H4694" s="64" t="str"/>
      <c r="I4694" s="65" t="str"/>
      <c r="J4694" s="49" t="str"/>
      <c r="K4694" s="41" t="str"/>
      <c r="L4694" s="41" t="str"/>
      <c r="M4694" s="41" t="str"/>
      <c r="N4694" s="41" t="str"/>
      <c r="O4694" s="41" t="str"/>
      <c r="P4694" s="41" t="str"/>
      <c r="Q4694" s="41" t="str"/>
      <c r="R4694" s="41" t="str"/>
      <c r="S4694" s="41" t="str"/>
      <c r="T4694" s="41" t="str"/>
      <c r="U4694" s="41" t="str"/>
      <c r="V4694" s="41" t="str"/>
      <c r="W4694" s="41" t="str"/>
    </row>
    <row r="4695">
      <c r="B4695" s="2" t="n"/>
      <c r="C4695" s="40" t="n"/>
      <c r="D4695" s="52">
        <f t="array" ref="D4695:W4695">IF(All_Students_Scores!C4693:V4693="","",All_Students_Scores!C4693:V4693)</f>
        <v/>
      </c>
      <c r="E4695" s="57" t="str"/>
      <c r="F4695" s="49" t="str"/>
      <c r="G4695" s="59" t="str"/>
      <c r="H4695" s="64" t="str"/>
      <c r="I4695" s="65" t="str"/>
      <c r="J4695" s="49" t="str"/>
      <c r="K4695" s="41" t="str"/>
      <c r="L4695" s="41" t="str"/>
      <c r="M4695" s="41" t="str"/>
      <c r="N4695" s="41" t="str"/>
      <c r="O4695" s="41" t="str"/>
      <c r="P4695" s="41" t="str"/>
      <c r="Q4695" s="41" t="str"/>
      <c r="R4695" s="41" t="str"/>
      <c r="S4695" s="41" t="str"/>
      <c r="T4695" s="41" t="str"/>
      <c r="U4695" s="41" t="str"/>
      <c r="V4695" s="41" t="str"/>
      <c r="W4695" s="41" t="str"/>
    </row>
    <row r="4696">
      <c r="B4696" s="2" t="n"/>
      <c r="C4696" s="40" t="n"/>
      <c r="D4696" s="52">
        <f t="array" ref="D4696:W4696">IF(All_Students_Scores!C4694:V4694="","",All_Students_Scores!C4694:V4694)</f>
        <v/>
      </c>
      <c r="E4696" s="57" t="str"/>
      <c r="F4696" s="49" t="str"/>
      <c r="G4696" s="59" t="str"/>
      <c r="H4696" s="64" t="str"/>
      <c r="I4696" s="65" t="str"/>
      <c r="J4696" s="49" t="str"/>
      <c r="K4696" s="41" t="str"/>
      <c r="L4696" s="41" t="str"/>
      <c r="M4696" s="41" t="str"/>
      <c r="N4696" s="41" t="str"/>
      <c r="O4696" s="41" t="str"/>
      <c r="P4696" s="41" t="str"/>
      <c r="Q4696" s="41" t="str"/>
      <c r="R4696" s="41" t="str"/>
      <c r="S4696" s="41" t="str"/>
      <c r="T4696" s="41" t="str"/>
      <c r="U4696" s="41" t="str"/>
      <c r="V4696" s="41" t="str"/>
      <c r="W4696" s="41" t="str"/>
    </row>
    <row r="4697">
      <c r="B4697" s="2" t="n"/>
      <c r="C4697" s="40" t="n"/>
      <c r="D4697" s="52">
        <f t="array" ref="D4697:W4697">IF(All_Students_Scores!C4695:V4695="","",All_Students_Scores!C4695:V4695)</f>
        <v/>
      </c>
      <c r="E4697" s="57" t="str"/>
      <c r="F4697" s="49" t="str"/>
      <c r="G4697" s="59" t="str"/>
      <c r="H4697" s="64" t="str"/>
      <c r="I4697" s="65" t="str"/>
      <c r="J4697" s="49" t="str"/>
      <c r="K4697" s="41" t="str"/>
      <c r="L4697" s="41" t="str"/>
      <c r="M4697" s="41" t="str"/>
      <c r="N4697" s="41" t="str"/>
      <c r="O4697" s="41" t="str"/>
      <c r="P4697" s="41" t="str"/>
      <c r="Q4697" s="41" t="str"/>
      <c r="R4697" s="41" t="str"/>
      <c r="S4697" s="41" t="str"/>
      <c r="T4697" s="41" t="str"/>
      <c r="U4697" s="41" t="str"/>
      <c r="V4697" s="41" t="str"/>
      <c r="W4697" s="41" t="str"/>
    </row>
    <row r="4698">
      <c r="B4698" s="2" t="n"/>
      <c r="C4698" s="40" t="n"/>
      <c r="D4698" s="52">
        <f t="array" ref="D4698:W4698">IF(All_Students_Scores!C4696:V4696="","",All_Students_Scores!C4696:V4696)</f>
        <v/>
      </c>
      <c r="E4698" s="57" t="str"/>
      <c r="F4698" s="49" t="str"/>
      <c r="G4698" s="59" t="str"/>
      <c r="H4698" s="64" t="str"/>
      <c r="I4698" s="65" t="str"/>
      <c r="J4698" s="49" t="str"/>
      <c r="K4698" s="41" t="str"/>
      <c r="L4698" s="41" t="str"/>
      <c r="M4698" s="41" t="str"/>
      <c r="N4698" s="41" t="str"/>
      <c r="O4698" s="41" t="str"/>
      <c r="P4698" s="41" t="str"/>
      <c r="Q4698" s="41" t="str"/>
      <c r="R4698" s="41" t="str"/>
      <c r="S4698" s="41" t="str"/>
      <c r="T4698" s="41" t="str"/>
      <c r="U4698" s="41" t="str"/>
      <c r="V4698" s="41" t="str"/>
      <c r="W4698" s="41" t="str"/>
    </row>
    <row r="4699">
      <c r="B4699" s="2" t="n"/>
      <c r="C4699" s="40" t="n"/>
      <c r="D4699" s="52">
        <f t="array" ref="D4699:W4699">IF(All_Students_Scores!C4697:V4697="","",All_Students_Scores!C4697:V4697)</f>
        <v/>
      </c>
      <c r="E4699" s="57" t="str"/>
      <c r="F4699" s="49" t="str"/>
      <c r="G4699" s="59" t="str"/>
      <c r="H4699" s="64" t="str"/>
      <c r="I4699" s="65" t="str"/>
      <c r="J4699" s="49" t="str"/>
      <c r="K4699" s="41" t="str"/>
      <c r="L4699" s="41" t="str"/>
      <c r="M4699" s="41" t="str"/>
      <c r="N4699" s="41" t="str"/>
      <c r="O4699" s="41" t="str"/>
      <c r="P4699" s="41" t="str"/>
      <c r="Q4699" s="41" t="str"/>
      <c r="R4699" s="41" t="str"/>
      <c r="S4699" s="41" t="str"/>
      <c r="T4699" s="41" t="str"/>
      <c r="U4699" s="41" t="str"/>
      <c r="V4699" s="41" t="str"/>
      <c r="W4699" s="41" t="str"/>
    </row>
    <row r="4700">
      <c r="B4700" s="2" t="n"/>
      <c r="C4700" s="40" t="n"/>
      <c r="D4700" s="52">
        <f t="array" ref="D4700:W4700">IF(All_Students_Scores!C4698:V4698="","",All_Students_Scores!C4698:V4698)</f>
        <v/>
      </c>
      <c r="E4700" s="57" t="str"/>
      <c r="F4700" s="49" t="str"/>
      <c r="G4700" s="59" t="str"/>
      <c r="H4700" s="64" t="str"/>
      <c r="I4700" s="65" t="str"/>
      <c r="J4700" s="49" t="str"/>
      <c r="K4700" s="41" t="str"/>
      <c r="L4700" s="41" t="str"/>
      <c r="M4700" s="41" t="str"/>
      <c r="N4700" s="41" t="str"/>
      <c r="O4700" s="41" t="str"/>
      <c r="P4700" s="41" t="str"/>
      <c r="Q4700" s="41" t="str"/>
      <c r="R4700" s="41" t="str"/>
      <c r="S4700" s="41" t="str"/>
      <c r="T4700" s="41" t="str"/>
      <c r="U4700" s="41" t="str"/>
      <c r="V4700" s="41" t="str"/>
      <c r="W4700" s="41" t="str"/>
    </row>
    <row r="4701">
      <c r="B4701" s="2" t="n"/>
      <c r="C4701" s="40" t="n"/>
      <c r="D4701" s="52">
        <f t="array" ref="D4701:W4701">IF(All_Students_Scores!C4699:V4699="","",All_Students_Scores!C4699:V4699)</f>
        <v/>
      </c>
      <c r="E4701" s="57" t="str"/>
      <c r="F4701" s="49" t="str"/>
      <c r="G4701" s="59" t="str"/>
      <c r="H4701" s="64" t="str"/>
      <c r="I4701" s="65" t="str"/>
      <c r="J4701" s="49" t="str"/>
      <c r="K4701" s="41" t="str"/>
      <c r="L4701" s="41" t="str"/>
      <c r="M4701" s="41" t="str"/>
      <c r="N4701" s="41" t="str"/>
      <c r="O4701" s="41" t="str"/>
      <c r="P4701" s="41" t="str"/>
      <c r="Q4701" s="41" t="str"/>
      <c r="R4701" s="41" t="str"/>
      <c r="S4701" s="41" t="str"/>
      <c r="T4701" s="41" t="str"/>
      <c r="U4701" s="41" t="str"/>
      <c r="V4701" s="41" t="str"/>
      <c r="W4701" s="41" t="str"/>
    </row>
    <row r="4702">
      <c r="B4702" s="2" t="n"/>
      <c r="C4702" s="40" t="n"/>
      <c r="D4702" s="52">
        <f t="array" ref="D4702:W4702">IF(All_Students_Scores!C4700:V4700="","",All_Students_Scores!C4700:V4700)</f>
        <v/>
      </c>
      <c r="E4702" s="57" t="str"/>
      <c r="F4702" s="49" t="str"/>
      <c r="G4702" s="59" t="str"/>
      <c r="H4702" s="64" t="str"/>
      <c r="I4702" s="65" t="str"/>
      <c r="J4702" s="49" t="str"/>
      <c r="K4702" s="41" t="str"/>
      <c r="L4702" s="41" t="str"/>
      <c r="M4702" s="41" t="str"/>
      <c r="N4702" s="41" t="str"/>
      <c r="O4702" s="41" t="str"/>
      <c r="P4702" s="41" t="str"/>
      <c r="Q4702" s="41" t="str"/>
      <c r="R4702" s="41" t="str"/>
      <c r="S4702" s="41" t="str"/>
      <c r="T4702" s="41" t="str"/>
      <c r="U4702" s="41" t="str"/>
      <c r="V4702" s="41" t="str"/>
      <c r="W4702" s="41" t="str"/>
    </row>
    <row r="4703">
      <c r="B4703" s="2" t="n"/>
      <c r="C4703" s="40" t="n"/>
      <c r="D4703" s="52">
        <f t="array" ref="D4703:W4703">IF(All_Students_Scores!C4701:V4701="","",All_Students_Scores!C4701:V4701)</f>
        <v/>
      </c>
      <c r="E4703" s="57" t="str"/>
      <c r="F4703" s="49" t="str"/>
      <c r="G4703" s="59" t="str"/>
      <c r="H4703" s="64" t="str"/>
      <c r="I4703" s="65" t="str"/>
      <c r="J4703" s="49" t="str"/>
      <c r="K4703" s="41" t="str"/>
      <c r="L4703" s="41" t="str"/>
      <c r="M4703" s="41" t="str"/>
      <c r="N4703" s="41" t="str"/>
      <c r="O4703" s="41" t="str"/>
      <c r="P4703" s="41" t="str"/>
      <c r="Q4703" s="41" t="str"/>
      <c r="R4703" s="41" t="str"/>
      <c r="S4703" s="41" t="str"/>
      <c r="T4703" s="41" t="str"/>
      <c r="U4703" s="41" t="str"/>
      <c r="V4703" s="41" t="str"/>
      <c r="W4703" s="41" t="str"/>
    </row>
    <row r="4704">
      <c r="B4704" s="2" t="n"/>
      <c r="C4704" s="40" t="n"/>
      <c r="D4704" s="52">
        <f t="array" ref="D4704:W4704">IF(All_Students_Scores!C4702:V4702="","",All_Students_Scores!C4702:V4702)</f>
        <v/>
      </c>
      <c r="E4704" s="57" t="str"/>
      <c r="F4704" s="49" t="str"/>
      <c r="G4704" s="59" t="str"/>
      <c r="H4704" s="64" t="str"/>
      <c r="I4704" s="65" t="str"/>
      <c r="J4704" s="49" t="str"/>
      <c r="K4704" s="41" t="str"/>
      <c r="L4704" s="41" t="str"/>
      <c r="M4704" s="41" t="str"/>
      <c r="N4704" s="41" t="str"/>
      <c r="O4704" s="41" t="str"/>
      <c r="P4704" s="41" t="str"/>
      <c r="Q4704" s="41" t="str"/>
      <c r="R4704" s="41" t="str"/>
      <c r="S4704" s="41" t="str"/>
      <c r="T4704" s="41" t="str"/>
      <c r="U4704" s="41" t="str"/>
      <c r="V4704" s="41" t="str"/>
      <c r="W4704" s="41" t="str"/>
    </row>
    <row r="4705">
      <c r="B4705" s="2" t="n"/>
      <c r="C4705" s="40" t="n"/>
      <c r="D4705" s="52">
        <f t="array" ref="D4705:W4705">IF(All_Students_Scores!C4703:V4703="","",All_Students_Scores!C4703:V4703)</f>
        <v/>
      </c>
      <c r="E4705" s="57" t="str"/>
      <c r="F4705" s="49" t="str"/>
      <c r="G4705" s="59" t="str"/>
      <c r="H4705" s="64" t="str"/>
      <c r="I4705" s="65" t="str"/>
      <c r="J4705" s="49" t="str"/>
      <c r="K4705" s="41" t="str"/>
      <c r="L4705" s="41" t="str"/>
      <c r="M4705" s="41" t="str"/>
      <c r="N4705" s="41" t="str"/>
      <c r="O4705" s="41" t="str"/>
      <c r="P4705" s="41" t="str"/>
      <c r="Q4705" s="41" t="str"/>
      <c r="R4705" s="41" t="str"/>
      <c r="S4705" s="41" t="str"/>
      <c r="T4705" s="41" t="str"/>
      <c r="U4705" s="41" t="str"/>
      <c r="V4705" s="41" t="str"/>
      <c r="W4705" s="41" t="str"/>
    </row>
    <row r="4706">
      <c r="B4706" s="2" t="n"/>
      <c r="C4706" s="40" t="n"/>
      <c r="D4706" s="52">
        <f t="array" ref="D4706:W4706">IF(All_Students_Scores!C4704:V4704="","",All_Students_Scores!C4704:V4704)</f>
        <v/>
      </c>
      <c r="E4706" s="57" t="str"/>
      <c r="F4706" s="49" t="str"/>
      <c r="G4706" s="59" t="str"/>
      <c r="H4706" s="64" t="str"/>
      <c r="I4706" s="65" t="str"/>
      <c r="J4706" s="49" t="str"/>
      <c r="K4706" s="41" t="str"/>
      <c r="L4706" s="41" t="str"/>
      <c r="M4706" s="41" t="str"/>
      <c r="N4706" s="41" t="str"/>
      <c r="O4706" s="41" t="str"/>
      <c r="P4706" s="41" t="str"/>
      <c r="Q4706" s="41" t="str"/>
      <c r="R4706" s="41" t="str"/>
      <c r="S4706" s="41" t="str"/>
      <c r="T4706" s="41" t="str"/>
      <c r="U4706" s="41" t="str"/>
      <c r="V4706" s="41" t="str"/>
      <c r="W4706" s="41" t="str"/>
    </row>
    <row r="4707">
      <c r="B4707" s="2" t="n"/>
      <c r="C4707" s="40" t="n"/>
      <c r="D4707" s="52">
        <f t="array" ref="D4707:W4707">IF(All_Students_Scores!C4705:V4705="","",All_Students_Scores!C4705:V4705)</f>
        <v/>
      </c>
      <c r="E4707" s="57" t="str"/>
      <c r="F4707" s="49" t="str"/>
      <c r="G4707" s="59" t="str"/>
      <c r="H4707" s="64" t="str"/>
      <c r="I4707" s="65" t="str"/>
      <c r="J4707" s="49" t="str"/>
      <c r="K4707" s="41" t="str"/>
      <c r="L4707" s="41" t="str"/>
      <c r="M4707" s="41" t="str"/>
      <c r="N4707" s="41" t="str"/>
      <c r="O4707" s="41" t="str"/>
      <c r="P4707" s="41" t="str"/>
      <c r="Q4707" s="41" t="str"/>
      <c r="R4707" s="41" t="str"/>
      <c r="S4707" s="41" t="str"/>
      <c r="T4707" s="41" t="str"/>
      <c r="U4707" s="41" t="str"/>
      <c r="V4707" s="41" t="str"/>
      <c r="W4707" s="41" t="str"/>
    </row>
    <row r="4708">
      <c r="B4708" s="2" t="n"/>
      <c r="C4708" s="40" t="n"/>
      <c r="D4708" s="52">
        <f t="array" ref="D4708:W4708">IF(All_Students_Scores!C4706:V4706="","",All_Students_Scores!C4706:V4706)</f>
        <v/>
      </c>
      <c r="E4708" s="57" t="str"/>
      <c r="F4708" s="49" t="str"/>
      <c r="G4708" s="59" t="str"/>
      <c r="H4708" s="64" t="str"/>
      <c r="I4708" s="65" t="str"/>
      <c r="J4708" s="49" t="str"/>
      <c r="K4708" s="41" t="str"/>
      <c r="L4708" s="41" t="str"/>
      <c r="M4708" s="41" t="str"/>
      <c r="N4708" s="41" t="str"/>
      <c r="O4708" s="41" t="str"/>
      <c r="P4708" s="41" t="str"/>
      <c r="Q4708" s="41" t="str"/>
      <c r="R4708" s="41" t="str"/>
      <c r="S4708" s="41" t="str"/>
      <c r="T4708" s="41" t="str"/>
      <c r="U4708" s="41" t="str"/>
      <c r="V4708" s="41" t="str"/>
      <c r="W4708" s="41" t="str"/>
    </row>
    <row r="4709">
      <c r="B4709" s="2" t="n"/>
      <c r="C4709" s="40" t="n"/>
      <c r="D4709" s="52">
        <f t="array" ref="D4709:W4709">IF(All_Students_Scores!C4707:V4707="","",All_Students_Scores!C4707:V4707)</f>
        <v/>
      </c>
      <c r="E4709" s="57" t="str"/>
      <c r="F4709" s="49" t="str"/>
      <c r="G4709" s="59" t="str"/>
      <c r="H4709" s="64" t="str"/>
      <c r="I4709" s="65" t="str"/>
      <c r="J4709" s="49" t="str"/>
      <c r="K4709" s="41" t="str"/>
      <c r="L4709" s="41" t="str"/>
      <c r="M4709" s="41" t="str"/>
      <c r="N4709" s="41" t="str"/>
      <c r="O4709" s="41" t="str"/>
      <c r="P4709" s="41" t="str"/>
      <c r="Q4709" s="41" t="str"/>
      <c r="R4709" s="41" t="str"/>
      <c r="S4709" s="41" t="str"/>
      <c r="T4709" s="41" t="str"/>
      <c r="U4709" s="41" t="str"/>
      <c r="V4709" s="41" t="str"/>
      <c r="W4709" s="41" t="str"/>
    </row>
    <row r="4710">
      <c r="B4710" s="2" t="n"/>
      <c r="C4710" s="40" t="n"/>
      <c r="D4710" s="52">
        <f t="array" ref="D4710:W4710">IF(All_Students_Scores!C4708:V4708="","",All_Students_Scores!C4708:V4708)</f>
        <v/>
      </c>
      <c r="E4710" s="57" t="str"/>
      <c r="F4710" s="49" t="str"/>
      <c r="G4710" s="59" t="str"/>
      <c r="H4710" s="64" t="str"/>
      <c r="I4710" s="65" t="str"/>
      <c r="J4710" s="49" t="str"/>
      <c r="K4710" s="41" t="str"/>
      <c r="L4710" s="41" t="str"/>
      <c r="M4710" s="41" t="str"/>
      <c r="N4710" s="41" t="str"/>
      <c r="O4710" s="41" t="str"/>
      <c r="P4710" s="41" t="str"/>
      <c r="Q4710" s="41" t="str"/>
      <c r="R4710" s="41" t="str"/>
      <c r="S4710" s="41" t="str"/>
      <c r="T4710" s="41" t="str"/>
      <c r="U4710" s="41" t="str"/>
      <c r="V4710" s="41" t="str"/>
      <c r="W4710" s="41" t="str"/>
    </row>
    <row r="4711">
      <c r="B4711" s="2" t="n"/>
      <c r="C4711" s="40" t="n"/>
      <c r="D4711" s="52">
        <f t="array" ref="D4711:W4711">IF(All_Students_Scores!C4709:V4709="","",All_Students_Scores!C4709:V4709)</f>
        <v/>
      </c>
      <c r="E4711" s="57" t="str"/>
      <c r="F4711" s="49" t="str"/>
      <c r="G4711" s="59" t="str"/>
      <c r="H4711" s="64" t="str"/>
      <c r="I4711" s="65" t="str"/>
      <c r="J4711" s="49" t="str"/>
      <c r="K4711" s="41" t="str"/>
      <c r="L4711" s="41" t="str"/>
      <c r="M4711" s="41" t="str"/>
      <c r="N4711" s="41" t="str"/>
      <c r="O4711" s="41" t="str"/>
      <c r="P4711" s="41" t="str"/>
      <c r="Q4711" s="41" t="str"/>
      <c r="R4711" s="41" t="str"/>
      <c r="S4711" s="41" t="str"/>
      <c r="T4711" s="41" t="str"/>
      <c r="U4711" s="41" t="str"/>
      <c r="V4711" s="41" t="str"/>
      <c r="W4711" s="41" t="str"/>
    </row>
    <row r="4712">
      <c r="B4712" s="2" t="n"/>
      <c r="C4712" s="40" t="n"/>
      <c r="D4712" s="52">
        <f t="array" ref="D4712:W4712">IF(All_Students_Scores!C4710:V4710="","",All_Students_Scores!C4710:V4710)</f>
        <v/>
      </c>
      <c r="E4712" s="57" t="str"/>
      <c r="F4712" s="49" t="str"/>
      <c r="G4712" s="59" t="str"/>
      <c r="H4712" s="64" t="str"/>
      <c r="I4712" s="65" t="str"/>
      <c r="J4712" s="49" t="str"/>
      <c r="K4712" s="41" t="str"/>
      <c r="L4712" s="41" t="str"/>
      <c r="M4712" s="41" t="str"/>
      <c r="N4712" s="41" t="str"/>
      <c r="O4712" s="41" t="str"/>
      <c r="P4712" s="41" t="str"/>
      <c r="Q4712" s="41" t="str"/>
      <c r="R4712" s="41" t="str"/>
      <c r="S4712" s="41" t="str"/>
      <c r="T4712" s="41" t="str"/>
      <c r="U4712" s="41" t="str"/>
      <c r="V4712" s="41" t="str"/>
      <c r="W4712" s="41" t="str"/>
    </row>
    <row r="4713">
      <c r="B4713" s="2" t="n"/>
      <c r="C4713" s="40" t="n"/>
      <c r="D4713" s="52">
        <f t="array" ref="D4713:W4713">IF(All_Students_Scores!C4711:V4711="","",All_Students_Scores!C4711:V4711)</f>
        <v/>
      </c>
      <c r="E4713" s="57" t="str"/>
      <c r="F4713" s="49" t="str"/>
      <c r="G4713" s="59" t="str"/>
      <c r="H4713" s="64" t="str"/>
      <c r="I4713" s="65" t="str"/>
      <c r="J4713" s="49" t="str"/>
      <c r="K4713" s="41" t="str"/>
      <c r="L4713" s="41" t="str"/>
      <c r="M4713" s="41" t="str"/>
      <c r="N4713" s="41" t="str"/>
      <c r="O4713" s="41" t="str"/>
      <c r="P4713" s="41" t="str"/>
      <c r="Q4713" s="41" t="str"/>
      <c r="R4713" s="41" t="str"/>
      <c r="S4713" s="41" t="str"/>
      <c r="T4713" s="41" t="str"/>
      <c r="U4713" s="41" t="str"/>
      <c r="V4713" s="41" t="str"/>
      <c r="W4713" s="41" t="str"/>
    </row>
    <row r="4714">
      <c r="B4714" s="2" t="n"/>
      <c r="C4714" s="40" t="n"/>
      <c r="D4714" s="52">
        <f t="array" ref="D4714:W4714">IF(All_Students_Scores!C4712:V4712="","",All_Students_Scores!C4712:V4712)</f>
        <v/>
      </c>
      <c r="E4714" s="57" t="str"/>
      <c r="F4714" s="49" t="str"/>
      <c r="G4714" s="59" t="str"/>
      <c r="H4714" s="64" t="str"/>
      <c r="I4714" s="65" t="str"/>
      <c r="J4714" s="49" t="str"/>
      <c r="K4714" s="41" t="str"/>
      <c r="L4714" s="41" t="str"/>
      <c r="M4714" s="41" t="str"/>
      <c r="N4714" s="41" t="str"/>
      <c r="O4714" s="41" t="str"/>
      <c r="P4714" s="41" t="str"/>
      <c r="Q4714" s="41" t="str"/>
      <c r="R4714" s="41" t="str"/>
      <c r="S4714" s="41" t="str"/>
      <c r="T4714" s="41" t="str"/>
      <c r="U4714" s="41" t="str"/>
      <c r="V4714" s="41" t="str"/>
      <c r="W4714" s="41" t="str"/>
    </row>
    <row r="4715">
      <c r="B4715" s="2" t="n"/>
      <c r="C4715" s="40" t="n"/>
      <c r="D4715" s="52">
        <f t="array" ref="D4715:W4715">IF(All_Students_Scores!C4713:V4713="","",All_Students_Scores!C4713:V4713)</f>
        <v/>
      </c>
      <c r="E4715" s="57" t="str"/>
      <c r="F4715" s="49" t="str"/>
      <c r="G4715" s="59" t="str"/>
      <c r="H4715" s="64" t="str"/>
      <c r="I4715" s="65" t="str"/>
      <c r="J4715" s="49" t="str"/>
      <c r="K4715" s="41" t="str"/>
      <c r="L4715" s="41" t="str"/>
      <c r="M4715" s="41" t="str"/>
      <c r="N4715" s="41" t="str"/>
      <c r="O4715" s="41" t="str"/>
      <c r="P4715" s="41" t="str"/>
      <c r="Q4715" s="41" t="str"/>
      <c r="R4715" s="41" t="str"/>
      <c r="S4715" s="41" t="str"/>
      <c r="T4715" s="41" t="str"/>
      <c r="U4715" s="41" t="str"/>
      <c r="V4715" s="41" t="str"/>
      <c r="W4715" s="41" t="str"/>
    </row>
    <row r="4716">
      <c r="B4716" s="2" t="n"/>
      <c r="C4716" s="40" t="n"/>
      <c r="D4716" s="52">
        <f t="array" ref="D4716:W4716">IF(All_Students_Scores!C4714:V4714="","",All_Students_Scores!C4714:V4714)</f>
        <v/>
      </c>
      <c r="E4716" s="57" t="str"/>
      <c r="F4716" s="49" t="str"/>
      <c r="G4716" s="59" t="str"/>
      <c r="H4716" s="64" t="str"/>
      <c r="I4716" s="65" t="str"/>
      <c r="J4716" s="49" t="str"/>
      <c r="K4716" s="41" t="str"/>
      <c r="L4716" s="41" t="str"/>
      <c r="M4716" s="41" t="str"/>
      <c r="N4716" s="41" t="str"/>
      <c r="O4716" s="41" t="str"/>
      <c r="P4716" s="41" t="str"/>
      <c r="Q4716" s="41" t="str"/>
      <c r="R4716" s="41" t="str"/>
      <c r="S4716" s="41" t="str"/>
      <c r="T4716" s="41" t="str"/>
      <c r="U4716" s="41" t="str"/>
      <c r="V4716" s="41" t="str"/>
      <c r="W4716" s="41" t="str"/>
    </row>
    <row r="4717">
      <c r="B4717" s="2" t="n"/>
      <c r="C4717" s="40" t="n"/>
      <c r="D4717" s="52">
        <f t="array" ref="D4717:W4717">IF(All_Students_Scores!C4715:V4715="","",All_Students_Scores!C4715:V4715)</f>
        <v/>
      </c>
      <c r="E4717" s="57" t="str"/>
      <c r="F4717" s="49" t="str"/>
      <c r="G4717" s="59" t="str"/>
      <c r="H4717" s="64" t="str"/>
      <c r="I4717" s="65" t="str"/>
      <c r="J4717" s="49" t="str"/>
      <c r="K4717" s="41" t="str"/>
      <c r="L4717" s="41" t="str"/>
      <c r="M4717" s="41" t="str"/>
      <c r="N4717" s="41" t="str"/>
      <c r="O4717" s="41" t="str"/>
      <c r="P4717" s="41" t="str"/>
      <c r="Q4717" s="41" t="str"/>
      <c r="R4717" s="41" t="str"/>
      <c r="S4717" s="41" t="str"/>
      <c r="T4717" s="41" t="str"/>
      <c r="U4717" s="41" t="str"/>
      <c r="V4717" s="41" t="str"/>
      <c r="W4717" s="41" t="str"/>
    </row>
    <row r="4718">
      <c r="B4718" s="2" t="n"/>
      <c r="C4718" s="40" t="n"/>
      <c r="D4718" s="52">
        <f t="array" ref="D4718:W4718">IF(All_Students_Scores!C4716:V4716="","",All_Students_Scores!C4716:V4716)</f>
        <v/>
      </c>
      <c r="E4718" s="57" t="str"/>
      <c r="F4718" s="49" t="str"/>
      <c r="G4718" s="59" t="str"/>
      <c r="H4718" s="64" t="str"/>
      <c r="I4718" s="65" t="str"/>
      <c r="J4718" s="49" t="str"/>
      <c r="K4718" s="41" t="str"/>
      <c r="L4718" s="41" t="str"/>
      <c r="M4718" s="41" t="str"/>
      <c r="N4718" s="41" t="str"/>
      <c r="O4718" s="41" t="str"/>
      <c r="P4718" s="41" t="str"/>
      <c r="Q4718" s="41" t="str"/>
      <c r="R4718" s="41" t="str"/>
      <c r="S4718" s="41" t="str"/>
      <c r="T4718" s="41" t="str"/>
      <c r="U4718" s="41" t="str"/>
      <c r="V4718" s="41" t="str"/>
      <c r="W4718" s="41" t="str"/>
    </row>
    <row r="4719">
      <c r="B4719" s="2" t="n"/>
      <c r="C4719" s="40" t="n"/>
      <c r="D4719" s="52">
        <f t="array" ref="D4719:W4719">IF(All_Students_Scores!C4717:V4717="","",All_Students_Scores!C4717:V4717)</f>
        <v/>
      </c>
      <c r="E4719" s="57" t="str"/>
      <c r="F4719" s="49" t="str"/>
      <c r="G4719" s="59" t="str"/>
      <c r="H4719" s="64" t="str"/>
      <c r="I4719" s="65" t="str"/>
      <c r="J4719" s="49" t="str"/>
      <c r="K4719" s="41" t="str"/>
      <c r="L4719" s="41" t="str"/>
      <c r="M4719" s="41" t="str"/>
      <c r="N4719" s="41" t="str"/>
      <c r="O4719" s="41" t="str"/>
      <c r="P4719" s="41" t="str"/>
      <c r="Q4719" s="41" t="str"/>
      <c r="R4719" s="41" t="str"/>
      <c r="S4719" s="41" t="str"/>
      <c r="T4719" s="41" t="str"/>
      <c r="U4719" s="41" t="str"/>
      <c r="V4719" s="41" t="str"/>
      <c r="W4719" s="41" t="str"/>
    </row>
    <row r="4720">
      <c r="B4720" s="2" t="n"/>
      <c r="C4720" s="40" t="n"/>
      <c r="D4720" s="52">
        <f t="array" ref="D4720:W4720">IF(All_Students_Scores!C4718:V4718="","",All_Students_Scores!C4718:V4718)</f>
        <v/>
      </c>
      <c r="E4720" s="57" t="str"/>
      <c r="F4720" s="49" t="str"/>
      <c r="G4720" s="59" t="str"/>
      <c r="H4720" s="64" t="str"/>
      <c r="I4720" s="65" t="str"/>
      <c r="J4720" s="49" t="str"/>
      <c r="K4720" s="41" t="str"/>
      <c r="L4720" s="41" t="str"/>
      <c r="M4720" s="41" t="str"/>
      <c r="N4720" s="41" t="str"/>
      <c r="O4720" s="41" t="str"/>
      <c r="P4720" s="41" t="str"/>
      <c r="Q4720" s="41" t="str"/>
      <c r="R4720" s="41" t="str"/>
      <c r="S4720" s="41" t="str"/>
      <c r="T4720" s="41" t="str"/>
      <c r="U4720" s="41" t="str"/>
      <c r="V4720" s="41" t="str"/>
      <c r="W4720" s="41" t="str"/>
    </row>
    <row r="4721">
      <c r="B4721" s="2" t="n"/>
      <c r="C4721" s="40" t="n"/>
      <c r="D4721" s="52">
        <f t="array" ref="D4721:W4721">IF(All_Students_Scores!C4719:V4719="","",All_Students_Scores!C4719:V4719)</f>
        <v/>
      </c>
      <c r="E4721" s="57" t="str"/>
      <c r="F4721" s="49" t="str"/>
      <c r="G4721" s="59" t="str"/>
      <c r="H4721" s="64" t="str"/>
      <c r="I4721" s="65" t="str"/>
      <c r="J4721" s="49" t="str"/>
      <c r="K4721" s="41" t="str"/>
      <c r="L4721" s="41" t="str"/>
      <c r="M4721" s="41" t="str"/>
      <c r="N4721" s="41" t="str"/>
      <c r="O4721" s="41" t="str"/>
      <c r="P4721" s="41" t="str"/>
      <c r="Q4721" s="41" t="str"/>
      <c r="R4721" s="41" t="str"/>
      <c r="S4721" s="41" t="str"/>
      <c r="T4721" s="41" t="str"/>
      <c r="U4721" s="41" t="str"/>
      <c r="V4721" s="41" t="str"/>
      <c r="W4721" s="41" t="str"/>
    </row>
    <row r="4722">
      <c r="B4722" s="2" t="n"/>
      <c r="C4722" s="40" t="n"/>
      <c r="D4722" s="52">
        <f t="array" ref="D4722:W4722">IF(All_Students_Scores!C4720:V4720="","",All_Students_Scores!C4720:V4720)</f>
        <v/>
      </c>
      <c r="E4722" s="57" t="str"/>
      <c r="F4722" s="49" t="str"/>
      <c r="G4722" s="59" t="str"/>
      <c r="H4722" s="64" t="str"/>
      <c r="I4722" s="65" t="str"/>
      <c r="J4722" s="49" t="str"/>
      <c r="K4722" s="41" t="str"/>
      <c r="L4722" s="41" t="str"/>
      <c r="M4722" s="41" t="str"/>
      <c r="N4722" s="41" t="str"/>
      <c r="O4722" s="41" t="str"/>
      <c r="P4722" s="41" t="str"/>
      <c r="Q4722" s="41" t="str"/>
      <c r="R4722" s="41" t="str"/>
      <c r="S4722" s="41" t="str"/>
      <c r="T4722" s="41" t="str"/>
      <c r="U4722" s="41" t="str"/>
      <c r="V4722" s="41" t="str"/>
      <c r="W4722" s="41" t="str"/>
    </row>
    <row r="4723">
      <c r="B4723" s="2" t="n"/>
      <c r="C4723" s="40" t="n"/>
      <c r="D4723" s="52">
        <f t="array" ref="D4723:W4723">IF(All_Students_Scores!C4721:V4721="","",All_Students_Scores!C4721:V4721)</f>
        <v/>
      </c>
      <c r="E4723" s="57" t="str"/>
      <c r="F4723" s="49" t="str"/>
      <c r="G4723" s="59" t="str"/>
      <c r="H4723" s="64" t="str"/>
      <c r="I4723" s="65" t="str"/>
      <c r="J4723" s="49" t="str"/>
      <c r="K4723" s="41" t="str"/>
      <c r="L4723" s="41" t="str"/>
      <c r="M4723" s="41" t="str"/>
      <c r="N4723" s="41" t="str"/>
      <c r="O4723" s="41" t="str"/>
      <c r="P4723" s="41" t="str"/>
      <c r="Q4723" s="41" t="str"/>
      <c r="R4723" s="41" t="str"/>
      <c r="S4723" s="41" t="str"/>
      <c r="T4723" s="41" t="str"/>
      <c r="U4723" s="41" t="str"/>
      <c r="V4723" s="41" t="str"/>
      <c r="W4723" s="41" t="str"/>
    </row>
    <row r="4724">
      <c r="B4724" s="2" t="n"/>
      <c r="C4724" s="40" t="n"/>
      <c r="D4724" s="52">
        <f t="array" ref="D4724:W4724">IF(All_Students_Scores!C4722:V4722="","",All_Students_Scores!C4722:V4722)</f>
        <v/>
      </c>
      <c r="E4724" s="57" t="str"/>
      <c r="F4724" s="49" t="str"/>
      <c r="G4724" s="59" t="str"/>
      <c r="H4724" s="64" t="str"/>
      <c r="I4724" s="65" t="str"/>
      <c r="J4724" s="49" t="str"/>
      <c r="K4724" s="41" t="str"/>
      <c r="L4724" s="41" t="str"/>
      <c r="M4724" s="41" t="str"/>
      <c r="N4724" s="41" t="str"/>
      <c r="O4724" s="41" t="str"/>
      <c r="P4724" s="41" t="str"/>
      <c r="Q4724" s="41" t="str"/>
      <c r="R4724" s="41" t="str"/>
      <c r="S4724" s="41" t="str"/>
      <c r="T4724" s="41" t="str"/>
      <c r="U4724" s="41" t="str"/>
      <c r="V4724" s="41" t="str"/>
      <c r="W4724" s="41" t="str"/>
    </row>
    <row r="4725">
      <c r="B4725" s="2" t="n"/>
      <c r="C4725" s="40" t="n"/>
      <c r="D4725" s="52">
        <f t="array" ref="D4725:W4725">IF(All_Students_Scores!C4723:V4723="","",All_Students_Scores!C4723:V4723)</f>
        <v/>
      </c>
      <c r="E4725" s="57" t="str"/>
      <c r="F4725" s="49" t="str"/>
      <c r="G4725" s="59" t="str"/>
      <c r="H4725" s="64" t="str"/>
      <c r="I4725" s="65" t="str"/>
      <c r="J4725" s="49" t="str"/>
      <c r="K4725" s="41" t="str"/>
      <c r="L4725" s="41" t="str"/>
      <c r="M4725" s="41" t="str"/>
      <c r="N4725" s="41" t="str"/>
      <c r="O4725" s="41" t="str"/>
      <c r="P4725" s="41" t="str"/>
      <c r="Q4725" s="41" t="str"/>
      <c r="R4725" s="41" t="str"/>
      <c r="S4725" s="41" t="str"/>
      <c r="T4725" s="41" t="str"/>
      <c r="U4725" s="41" t="str"/>
      <c r="V4725" s="41" t="str"/>
      <c r="W4725" s="41" t="str"/>
    </row>
    <row r="4726">
      <c r="B4726" s="2" t="n"/>
      <c r="C4726" s="40" t="n"/>
      <c r="D4726" s="52">
        <f t="array" ref="D4726:W4726">IF(All_Students_Scores!C4724:V4724="","",All_Students_Scores!C4724:V4724)</f>
        <v/>
      </c>
      <c r="E4726" s="57" t="str"/>
      <c r="F4726" s="49" t="str"/>
      <c r="G4726" s="59" t="str"/>
      <c r="H4726" s="64" t="str"/>
      <c r="I4726" s="65" t="str"/>
      <c r="J4726" s="49" t="str"/>
      <c r="K4726" s="41" t="str"/>
      <c r="L4726" s="41" t="str"/>
      <c r="M4726" s="41" t="str"/>
      <c r="N4726" s="41" t="str"/>
      <c r="O4726" s="41" t="str"/>
      <c r="P4726" s="41" t="str"/>
      <c r="Q4726" s="41" t="str"/>
      <c r="R4726" s="41" t="str"/>
      <c r="S4726" s="41" t="str"/>
      <c r="T4726" s="41" t="str"/>
      <c r="U4726" s="41" t="str"/>
      <c r="V4726" s="41" t="str"/>
      <c r="W4726" s="41" t="str"/>
    </row>
    <row r="4727">
      <c r="B4727" s="2" t="n"/>
      <c r="C4727" s="40" t="n"/>
      <c r="D4727" s="52">
        <f t="array" ref="D4727:W4727">IF(All_Students_Scores!C4725:V4725="","",All_Students_Scores!C4725:V4725)</f>
        <v/>
      </c>
      <c r="E4727" s="57" t="str"/>
      <c r="F4727" s="49" t="str"/>
      <c r="G4727" s="59" t="str"/>
      <c r="H4727" s="64" t="str"/>
      <c r="I4727" s="65" t="str"/>
      <c r="J4727" s="49" t="str"/>
      <c r="K4727" s="41" t="str"/>
      <c r="L4727" s="41" t="str"/>
      <c r="M4727" s="41" t="str"/>
      <c r="N4727" s="41" t="str"/>
      <c r="O4727" s="41" t="str"/>
      <c r="P4727" s="41" t="str"/>
      <c r="Q4727" s="41" t="str"/>
      <c r="R4727" s="41" t="str"/>
      <c r="S4727" s="41" t="str"/>
      <c r="T4727" s="41" t="str"/>
      <c r="U4727" s="41" t="str"/>
      <c r="V4727" s="41" t="str"/>
      <c r="W4727" s="41" t="str"/>
    </row>
    <row r="4728">
      <c r="B4728" s="2" t="n"/>
      <c r="C4728" s="40" t="n"/>
      <c r="D4728" s="52">
        <f t="array" ref="D4728:W4728">IF(All_Students_Scores!C4726:V4726="","",All_Students_Scores!C4726:V4726)</f>
        <v/>
      </c>
      <c r="E4728" s="57" t="str"/>
      <c r="F4728" s="49" t="str"/>
      <c r="G4728" s="59" t="str"/>
      <c r="H4728" s="64" t="str"/>
      <c r="I4728" s="65" t="str"/>
      <c r="J4728" s="49" t="str"/>
      <c r="K4728" s="41" t="str"/>
      <c r="L4728" s="41" t="str"/>
      <c r="M4728" s="41" t="str"/>
      <c r="N4728" s="41" t="str"/>
      <c r="O4728" s="41" t="str"/>
      <c r="P4728" s="41" t="str"/>
      <c r="Q4728" s="41" t="str"/>
      <c r="R4728" s="41" t="str"/>
      <c r="S4728" s="41" t="str"/>
      <c r="T4728" s="41" t="str"/>
      <c r="U4728" s="41" t="str"/>
      <c r="V4728" s="41" t="str"/>
      <c r="W4728" s="41" t="str"/>
    </row>
    <row r="4729">
      <c r="B4729" s="2" t="n"/>
      <c r="C4729" s="40" t="n"/>
      <c r="D4729" s="52">
        <f t="array" ref="D4729:W4729">IF(All_Students_Scores!C4727:V4727="","",All_Students_Scores!C4727:V4727)</f>
        <v/>
      </c>
      <c r="E4729" s="57" t="str"/>
      <c r="F4729" s="49" t="str"/>
      <c r="G4729" s="59" t="str"/>
      <c r="H4729" s="64" t="str"/>
      <c r="I4729" s="65" t="str"/>
      <c r="J4729" s="49" t="str"/>
      <c r="K4729" s="41" t="str"/>
      <c r="L4729" s="41" t="str"/>
      <c r="M4729" s="41" t="str"/>
      <c r="N4729" s="41" t="str"/>
      <c r="O4729" s="41" t="str"/>
      <c r="P4729" s="41" t="str"/>
      <c r="Q4729" s="41" t="str"/>
      <c r="R4729" s="41" t="str"/>
      <c r="S4729" s="41" t="str"/>
      <c r="T4729" s="41" t="str"/>
      <c r="U4729" s="41" t="str"/>
      <c r="V4729" s="41" t="str"/>
      <c r="W4729" s="41" t="str"/>
    </row>
    <row r="4730">
      <c r="B4730" s="2" t="n"/>
      <c r="C4730" s="40" t="n"/>
      <c r="D4730" s="52">
        <f t="array" ref="D4730:W4730">IF(All_Students_Scores!C4728:V4728="","",All_Students_Scores!C4728:V4728)</f>
        <v/>
      </c>
      <c r="E4730" s="57" t="str"/>
      <c r="F4730" s="49" t="str"/>
      <c r="G4730" s="59" t="str"/>
      <c r="H4730" s="64" t="str"/>
      <c r="I4730" s="65" t="str"/>
      <c r="J4730" s="49" t="str"/>
      <c r="K4730" s="41" t="str"/>
      <c r="L4730" s="41" t="str"/>
      <c r="M4730" s="41" t="str"/>
      <c r="N4730" s="41" t="str"/>
      <c r="O4730" s="41" t="str"/>
      <c r="P4730" s="41" t="str"/>
      <c r="Q4730" s="41" t="str"/>
      <c r="R4730" s="41" t="str"/>
      <c r="S4730" s="41" t="str"/>
      <c r="T4730" s="41" t="str"/>
      <c r="U4730" s="41" t="str"/>
      <c r="V4730" s="41" t="str"/>
      <c r="W4730" s="41" t="str"/>
    </row>
    <row r="4731">
      <c r="B4731" s="2" t="n"/>
      <c r="C4731" s="40" t="n"/>
      <c r="D4731" s="52">
        <f t="array" ref="D4731:W4731">IF(All_Students_Scores!C4729:V4729="","",All_Students_Scores!C4729:V4729)</f>
        <v/>
      </c>
      <c r="E4731" s="57" t="str"/>
      <c r="F4731" s="49" t="str"/>
      <c r="G4731" s="59" t="str"/>
      <c r="H4731" s="64" t="str"/>
      <c r="I4731" s="65" t="str"/>
      <c r="J4731" s="49" t="str"/>
      <c r="K4731" s="41" t="str"/>
      <c r="L4731" s="41" t="str"/>
      <c r="M4731" s="41" t="str"/>
      <c r="N4731" s="41" t="str"/>
      <c r="O4731" s="41" t="str"/>
      <c r="P4731" s="41" t="str"/>
      <c r="Q4731" s="41" t="str"/>
      <c r="R4731" s="41" t="str"/>
      <c r="S4731" s="41" t="str"/>
      <c r="T4731" s="41" t="str"/>
      <c r="U4731" s="41" t="str"/>
      <c r="V4731" s="41" t="str"/>
      <c r="W4731" s="41" t="str"/>
    </row>
    <row r="4732">
      <c r="B4732" s="2" t="n"/>
      <c r="C4732" s="40" t="n"/>
      <c r="D4732" s="52">
        <f t="array" ref="D4732:W4732">IF(All_Students_Scores!C4730:V4730="","",All_Students_Scores!C4730:V4730)</f>
        <v/>
      </c>
      <c r="E4732" s="57" t="str"/>
      <c r="F4732" s="49" t="str"/>
      <c r="G4732" s="59" t="str"/>
      <c r="H4732" s="64" t="str"/>
      <c r="I4732" s="65" t="str"/>
      <c r="J4732" s="49" t="str"/>
      <c r="K4732" s="41" t="str"/>
      <c r="L4732" s="41" t="str"/>
      <c r="M4732" s="41" t="str"/>
      <c r="N4732" s="41" t="str"/>
      <c r="O4732" s="41" t="str"/>
      <c r="P4732" s="41" t="str"/>
      <c r="Q4732" s="41" t="str"/>
      <c r="R4732" s="41" t="str"/>
      <c r="S4732" s="41" t="str"/>
      <c r="T4732" s="41" t="str"/>
      <c r="U4732" s="41" t="str"/>
      <c r="V4732" s="41" t="str"/>
      <c r="W4732" s="41" t="str"/>
    </row>
    <row r="4733">
      <c r="B4733" s="2" t="n"/>
      <c r="C4733" s="40" t="n"/>
      <c r="D4733" s="52">
        <f t="array" ref="D4733:W4733">IF(All_Students_Scores!C4731:V4731="","",All_Students_Scores!C4731:V4731)</f>
        <v/>
      </c>
      <c r="E4733" s="57" t="str"/>
      <c r="F4733" s="49" t="str"/>
      <c r="G4733" s="59" t="str"/>
      <c r="H4733" s="64" t="str"/>
      <c r="I4733" s="65" t="str"/>
      <c r="J4733" s="49" t="str"/>
      <c r="K4733" s="41" t="str"/>
      <c r="L4733" s="41" t="str"/>
      <c r="M4733" s="41" t="str"/>
      <c r="N4733" s="41" t="str"/>
      <c r="O4733" s="41" t="str"/>
      <c r="P4733" s="41" t="str"/>
      <c r="Q4733" s="41" t="str"/>
      <c r="R4733" s="41" t="str"/>
      <c r="S4733" s="41" t="str"/>
      <c r="T4733" s="41" t="str"/>
      <c r="U4733" s="41" t="str"/>
      <c r="V4733" s="41" t="str"/>
      <c r="W4733" s="41" t="str"/>
    </row>
    <row r="4734">
      <c r="B4734" s="2" t="n"/>
      <c r="C4734" s="40" t="n"/>
      <c r="D4734" s="52">
        <f t="array" ref="D4734:W4734">IF(All_Students_Scores!C4732:V4732="","",All_Students_Scores!C4732:V4732)</f>
        <v/>
      </c>
      <c r="E4734" s="57" t="str"/>
      <c r="F4734" s="49" t="str"/>
      <c r="G4734" s="59" t="str"/>
      <c r="H4734" s="64" t="str"/>
      <c r="I4734" s="65" t="str"/>
      <c r="J4734" s="49" t="str"/>
      <c r="K4734" s="41" t="str"/>
      <c r="L4734" s="41" t="str"/>
      <c r="M4734" s="41" t="str"/>
      <c r="N4734" s="41" t="str"/>
      <c r="O4734" s="41" t="str"/>
      <c r="P4734" s="41" t="str"/>
      <c r="Q4734" s="41" t="str"/>
      <c r="R4734" s="41" t="str"/>
      <c r="S4734" s="41" t="str"/>
      <c r="T4734" s="41" t="str"/>
      <c r="U4734" s="41" t="str"/>
      <c r="V4734" s="41" t="str"/>
      <c r="W4734" s="41" t="str"/>
    </row>
    <row r="4735">
      <c r="B4735" s="2" t="n"/>
      <c r="C4735" s="40" t="n"/>
      <c r="D4735" s="52">
        <f t="array" ref="D4735:W4735">IF(All_Students_Scores!C4733:V4733="","",All_Students_Scores!C4733:V4733)</f>
        <v/>
      </c>
      <c r="E4735" s="57" t="str"/>
      <c r="F4735" s="49" t="str"/>
      <c r="G4735" s="59" t="str"/>
      <c r="H4735" s="64" t="str"/>
      <c r="I4735" s="65" t="str"/>
      <c r="J4735" s="49" t="str"/>
      <c r="K4735" s="41" t="str"/>
      <c r="L4735" s="41" t="str"/>
      <c r="M4735" s="41" t="str"/>
      <c r="N4735" s="41" t="str"/>
      <c r="O4735" s="41" t="str"/>
      <c r="P4735" s="41" t="str"/>
      <c r="Q4735" s="41" t="str"/>
      <c r="R4735" s="41" t="str"/>
      <c r="S4735" s="41" t="str"/>
      <c r="T4735" s="41" t="str"/>
      <c r="U4735" s="41" t="str"/>
      <c r="V4735" s="41" t="str"/>
      <c r="W4735" s="41" t="str"/>
    </row>
    <row r="4736">
      <c r="B4736" s="2" t="n"/>
      <c r="C4736" s="40" t="n"/>
      <c r="D4736" s="52">
        <f t="array" ref="D4736:W4736">IF(All_Students_Scores!C4734:V4734="","",All_Students_Scores!C4734:V4734)</f>
        <v/>
      </c>
      <c r="E4736" s="57" t="str"/>
      <c r="F4736" s="49" t="str"/>
      <c r="G4736" s="59" t="str"/>
      <c r="H4736" s="64" t="str"/>
      <c r="I4736" s="65" t="str"/>
      <c r="J4736" s="49" t="str"/>
      <c r="K4736" s="41" t="str"/>
      <c r="L4736" s="41" t="str"/>
      <c r="M4736" s="41" t="str"/>
      <c r="N4736" s="41" t="str"/>
      <c r="O4736" s="41" t="str"/>
      <c r="P4736" s="41" t="str"/>
      <c r="Q4736" s="41" t="str"/>
      <c r="R4736" s="41" t="str"/>
      <c r="S4736" s="41" t="str"/>
      <c r="T4736" s="41" t="str"/>
      <c r="U4736" s="41" t="str"/>
      <c r="V4736" s="41" t="str"/>
      <c r="W4736" s="41" t="str"/>
    </row>
    <row r="4737">
      <c r="B4737" s="2" t="n"/>
      <c r="C4737" s="40" t="n"/>
      <c r="D4737" s="52">
        <f t="array" ref="D4737:W4737">IF(All_Students_Scores!C4735:V4735="","",All_Students_Scores!C4735:V4735)</f>
        <v/>
      </c>
      <c r="E4737" s="57" t="str"/>
      <c r="F4737" s="49" t="str"/>
      <c r="G4737" s="59" t="str"/>
      <c r="H4737" s="64" t="str"/>
      <c r="I4737" s="65" t="str"/>
      <c r="J4737" s="49" t="str"/>
      <c r="K4737" s="41" t="str"/>
      <c r="L4737" s="41" t="str"/>
      <c r="M4737" s="41" t="str"/>
      <c r="N4737" s="41" t="str"/>
      <c r="O4737" s="41" t="str"/>
      <c r="P4737" s="41" t="str"/>
      <c r="Q4737" s="41" t="str"/>
      <c r="R4737" s="41" t="str"/>
      <c r="S4737" s="41" t="str"/>
      <c r="T4737" s="41" t="str"/>
      <c r="U4737" s="41" t="str"/>
      <c r="V4737" s="41" t="str"/>
      <c r="W4737" s="41" t="str"/>
    </row>
    <row r="4738">
      <c r="B4738" s="2" t="n"/>
      <c r="C4738" s="40" t="n"/>
      <c r="D4738" s="52">
        <f t="array" ref="D4738:W4738">IF(All_Students_Scores!C4736:V4736="","",All_Students_Scores!C4736:V4736)</f>
        <v/>
      </c>
      <c r="E4738" s="57" t="str"/>
      <c r="F4738" s="49" t="str"/>
      <c r="G4738" s="59" t="str"/>
      <c r="H4738" s="64" t="str"/>
      <c r="I4738" s="65" t="str"/>
      <c r="J4738" s="49" t="str"/>
      <c r="K4738" s="41" t="str"/>
      <c r="L4738" s="41" t="str"/>
      <c r="M4738" s="41" t="str"/>
      <c r="N4738" s="41" t="str"/>
      <c r="O4738" s="41" t="str"/>
      <c r="P4738" s="41" t="str"/>
      <c r="Q4738" s="41" t="str"/>
      <c r="R4738" s="41" t="str"/>
      <c r="S4738" s="41" t="str"/>
      <c r="T4738" s="41" t="str"/>
      <c r="U4738" s="41" t="str"/>
      <c r="V4738" s="41" t="str"/>
      <c r="W4738" s="41" t="str"/>
    </row>
    <row r="4739">
      <c r="B4739" s="2" t="n"/>
      <c r="C4739" s="40" t="n"/>
      <c r="D4739" s="52">
        <f t="array" ref="D4739:W4739">IF(All_Students_Scores!C4737:V4737="","",All_Students_Scores!C4737:V4737)</f>
        <v/>
      </c>
      <c r="E4739" s="57" t="str"/>
      <c r="F4739" s="49" t="str"/>
      <c r="G4739" s="59" t="str"/>
      <c r="H4739" s="64" t="str"/>
      <c r="I4739" s="65" t="str"/>
      <c r="J4739" s="49" t="str"/>
      <c r="K4739" s="41" t="str"/>
      <c r="L4739" s="41" t="str"/>
      <c r="M4739" s="41" t="str"/>
      <c r="N4739" s="41" t="str"/>
      <c r="O4739" s="41" t="str"/>
      <c r="P4739" s="41" t="str"/>
      <c r="Q4739" s="41" t="str"/>
      <c r="R4739" s="41" t="str"/>
      <c r="S4739" s="41" t="str"/>
      <c r="T4739" s="41" t="str"/>
      <c r="U4739" s="41" t="str"/>
      <c r="V4739" s="41" t="str"/>
      <c r="W4739" s="41" t="str"/>
    </row>
    <row r="4740">
      <c r="B4740" s="2" t="n"/>
      <c r="C4740" s="40" t="n"/>
      <c r="D4740" s="52">
        <f t="array" ref="D4740:W4740">IF(All_Students_Scores!C4738:V4738="","",All_Students_Scores!C4738:V4738)</f>
        <v/>
      </c>
      <c r="E4740" s="57" t="str"/>
      <c r="F4740" s="49" t="str"/>
      <c r="G4740" s="59" t="str"/>
      <c r="H4740" s="64" t="str"/>
      <c r="I4740" s="65" t="str"/>
      <c r="J4740" s="49" t="str"/>
      <c r="K4740" s="41" t="str"/>
      <c r="L4740" s="41" t="str"/>
      <c r="M4740" s="41" t="str"/>
      <c r="N4740" s="41" t="str"/>
      <c r="O4740" s="41" t="str"/>
      <c r="P4740" s="41" t="str"/>
      <c r="Q4740" s="41" t="str"/>
      <c r="R4740" s="41" t="str"/>
      <c r="S4740" s="41" t="str"/>
      <c r="T4740" s="41" t="str"/>
      <c r="U4740" s="41" t="str"/>
      <c r="V4740" s="41" t="str"/>
      <c r="W4740" s="41" t="str"/>
    </row>
    <row r="4741">
      <c r="B4741" s="2" t="n"/>
      <c r="C4741" s="40" t="n"/>
      <c r="D4741" s="52">
        <f t="array" ref="D4741:W4741">IF(All_Students_Scores!C4739:V4739="","",All_Students_Scores!C4739:V4739)</f>
        <v/>
      </c>
      <c r="E4741" s="57" t="str"/>
      <c r="F4741" s="49" t="str"/>
      <c r="G4741" s="59" t="str"/>
      <c r="H4741" s="64" t="str"/>
      <c r="I4741" s="65" t="str"/>
      <c r="J4741" s="49" t="str"/>
      <c r="K4741" s="41" t="str"/>
      <c r="L4741" s="41" t="str"/>
      <c r="M4741" s="41" t="str"/>
      <c r="N4741" s="41" t="str"/>
      <c r="O4741" s="41" t="str"/>
      <c r="P4741" s="41" t="str"/>
      <c r="Q4741" s="41" t="str"/>
      <c r="R4741" s="41" t="str"/>
      <c r="S4741" s="41" t="str"/>
      <c r="T4741" s="41" t="str"/>
      <c r="U4741" s="41" t="str"/>
      <c r="V4741" s="41" t="str"/>
      <c r="W4741" s="41" t="str"/>
    </row>
    <row r="4742">
      <c r="B4742" s="2" t="n"/>
      <c r="C4742" s="40" t="n"/>
      <c r="D4742" s="52">
        <f t="array" ref="D4742:W4742">IF(All_Students_Scores!C4740:V4740="","",All_Students_Scores!C4740:V4740)</f>
        <v/>
      </c>
      <c r="E4742" s="57" t="str"/>
      <c r="F4742" s="49" t="str"/>
      <c r="G4742" s="59" t="str"/>
      <c r="H4742" s="64" t="str"/>
      <c r="I4742" s="65" t="str"/>
      <c r="J4742" s="49" t="str"/>
      <c r="K4742" s="41" t="str"/>
      <c r="L4742" s="41" t="str"/>
      <c r="M4742" s="41" t="str"/>
      <c r="N4742" s="41" t="str"/>
      <c r="O4742" s="41" t="str"/>
      <c r="P4742" s="41" t="str"/>
      <c r="Q4742" s="41" t="str"/>
      <c r="R4742" s="41" t="str"/>
      <c r="S4742" s="41" t="str"/>
      <c r="T4742" s="41" t="str"/>
      <c r="U4742" s="41" t="str"/>
      <c r="V4742" s="41" t="str"/>
      <c r="W4742" s="41" t="str"/>
    </row>
    <row r="4743">
      <c r="B4743" s="2" t="n"/>
      <c r="C4743" s="40" t="n"/>
      <c r="D4743" s="52">
        <f t="array" ref="D4743:W4743">IF(All_Students_Scores!C4741:V4741="","",All_Students_Scores!C4741:V4741)</f>
        <v/>
      </c>
      <c r="E4743" s="57" t="str"/>
      <c r="F4743" s="49" t="str"/>
      <c r="G4743" s="59" t="str"/>
      <c r="H4743" s="64" t="str"/>
      <c r="I4743" s="65" t="str"/>
      <c r="J4743" s="49" t="str"/>
      <c r="K4743" s="41" t="str"/>
      <c r="L4743" s="41" t="str"/>
      <c r="M4743" s="41" t="str"/>
      <c r="N4743" s="41" t="str"/>
      <c r="O4743" s="41" t="str"/>
      <c r="P4743" s="41" t="str"/>
      <c r="Q4743" s="41" t="str"/>
      <c r="R4743" s="41" t="str"/>
      <c r="S4743" s="41" t="str"/>
      <c r="T4743" s="41" t="str"/>
      <c r="U4743" s="41" t="str"/>
      <c r="V4743" s="41" t="str"/>
      <c r="W4743" s="41" t="str"/>
    </row>
    <row r="4744">
      <c r="B4744" s="2" t="n"/>
      <c r="C4744" s="40" t="n"/>
      <c r="D4744" s="52">
        <f t="array" ref="D4744:W4744">IF(All_Students_Scores!C4742:V4742="","",All_Students_Scores!C4742:V4742)</f>
        <v/>
      </c>
      <c r="E4744" s="57" t="str"/>
      <c r="F4744" s="49" t="str"/>
      <c r="G4744" s="59" t="str"/>
      <c r="H4744" s="64" t="str"/>
      <c r="I4744" s="65" t="str"/>
      <c r="J4744" s="49" t="str"/>
      <c r="K4744" s="41" t="str"/>
      <c r="L4744" s="41" t="str"/>
      <c r="M4744" s="41" t="str"/>
      <c r="N4744" s="41" t="str"/>
      <c r="O4744" s="41" t="str"/>
      <c r="P4744" s="41" t="str"/>
      <c r="Q4744" s="41" t="str"/>
      <c r="R4744" s="41" t="str"/>
      <c r="S4744" s="41" t="str"/>
      <c r="T4744" s="41" t="str"/>
      <c r="U4744" s="41" t="str"/>
      <c r="V4744" s="41" t="str"/>
      <c r="W4744" s="41" t="str"/>
    </row>
    <row r="4745">
      <c r="B4745" s="2" t="n"/>
      <c r="C4745" s="40" t="n"/>
      <c r="D4745" s="52">
        <f t="array" ref="D4745:W4745">IF(All_Students_Scores!C4743:V4743="","",All_Students_Scores!C4743:V4743)</f>
        <v/>
      </c>
      <c r="E4745" s="57" t="str"/>
      <c r="F4745" s="49" t="str"/>
      <c r="G4745" s="59" t="str"/>
      <c r="H4745" s="64" t="str"/>
      <c r="I4745" s="65" t="str"/>
      <c r="J4745" s="49" t="str"/>
      <c r="K4745" s="41" t="str"/>
      <c r="L4745" s="41" t="str"/>
      <c r="M4745" s="41" t="str"/>
      <c r="N4745" s="41" t="str"/>
      <c r="O4745" s="41" t="str"/>
      <c r="P4745" s="41" t="str"/>
      <c r="Q4745" s="41" t="str"/>
      <c r="R4745" s="41" t="str"/>
      <c r="S4745" s="41" t="str"/>
      <c r="T4745" s="41" t="str"/>
      <c r="U4745" s="41" t="str"/>
      <c r="V4745" s="41" t="str"/>
      <c r="W4745" s="41" t="str"/>
    </row>
    <row r="4746">
      <c r="B4746" s="2" t="n"/>
      <c r="C4746" s="40" t="n"/>
      <c r="D4746" s="52">
        <f t="array" ref="D4746:W4746">IF(All_Students_Scores!C4744:V4744="","",All_Students_Scores!C4744:V4744)</f>
        <v/>
      </c>
      <c r="E4746" s="57" t="str"/>
      <c r="F4746" s="49" t="str"/>
      <c r="G4746" s="59" t="str"/>
      <c r="H4746" s="64" t="str"/>
      <c r="I4746" s="65" t="str"/>
      <c r="J4746" s="49" t="str"/>
      <c r="K4746" s="41" t="str"/>
      <c r="L4746" s="41" t="str"/>
      <c r="M4746" s="41" t="str"/>
      <c r="N4746" s="41" t="str"/>
      <c r="O4746" s="41" t="str"/>
      <c r="P4746" s="41" t="str"/>
      <c r="Q4746" s="41" t="str"/>
      <c r="R4746" s="41" t="str"/>
      <c r="S4746" s="41" t="str"/>
      <c r="T4746" s="41" t="str"/>
      <c r="U4746" s="41" t="str"/>
      <c r="V4746" s="41" t="str"/>
      <c r="W4746" s="41" t="str"/>
    </row>
    <row r="4747">
      <c r="B4747" s="2" t="n"/>
      <c r="C4747" s="40" t="n"/>
      <c r="D4747" s="52">
        <f t="array" ref="D4747:W4747">IF(All_Students_Scores!C4745:V4745="","",All_Students_Scores!C4745:V4745)</f>
        <v/>
      </c>
      <c r="E4747" s="57" t="str"/>
      <c r="F4747" s="49" t="str"/>
      <c r="G4747" s="59" t="str"/>
      <c r="H4747" s="64" t="str"/>
      <c r="I4747" s="65" t="str"/>
      <c r="J4747" s="49" t="str"/>
      <c r="K4747" s="41" t="str"/>
      <c r="L4747" s="41" t="str"/>
      <c r="M4747" s="41" t="str"/>
      <c r="N4747" s="41" t="str"/>
      <c r="O4747" s="41" t="str"/>
      <c r="P4747" s="41" t="str"/>
      <c r="Q4747" s="41" t="str"/>
      <c r="R4747" s="41" t="str"/>
      <c r="S4747" s="41" t="str"/>
      <c r="T4747" s="41" t="str"/>
      <c r="U4747" s="41" t="str"/>
      <c r="V4747" s="41" t="str"/>
      <c r="W4747" s="41" t="str"/>
    </row>
    <row r="4748">
      <c r="B4748" s="2" t="n"/>
      <c r="C4748" s="40" t="n"/>
      <c r="D4748" s="52">
        <f t="array" ref="D4748:W4748">IF(All_Students_Scores!C4746:V4746="","",All_Students_Scores!C4746:V4746)</f>
        <v/>
      </c>
      <c r="E4748" s="57" t="str"/>
      <c r="F4748" s="49" t="str"/>
      <c r="G4748" s="59" t="str"/>
      <c r="H4748" s="64" t="str"/>
      <c r="I4748" s="65" t="str"/>
      <c r="J4748" s="49" t="str"/>
      <c r="K4748" s="41" t="str"/>
      <c r="L4748" s="41" t="str"/>
      <c r="M4748" s="41" t="str"/>
      <c r="N4748" s="41" t="str"/>
      <c r="O4748" s="41" t="str"/>
      <c r="P4748" s="41" t="str"/>
      <c r="Q4748" s="41" t="str"/>
      <c r="R4748" s="41" t="str"/>
      <c r="S4748" s="41" t="str"/>
      <c r="T4748" s="41" t="str"/>
      <c r="U4748" s="41" t="str"/>
      <c r="V4748" s="41" t="str"/>
      <c r="W4748" s="41" t="str"/>
    </row>
    <row r="4749">
      <c r="B4749" s="2" t="n"/>
      <c r="C4749" s="40" t="n"/>
      <c r="D4749" s="52">
        <f t="array" ref="D4749:W4749">IF(All_Students_Scores!C4747:V4747="","",All_Students_Scores!C4747:V4747)</f>
        <v/>
      </c>
      <c r="E4749" s="57" t="str"/>
      <c r="F4749" s="49" t="str"/>
      <c r="G4749" s="59" t="str"/>
      <c r="H4749" s="64" t="str"/>
      <c r="I4749" s="65" t="str"/>
      <c r="J4749" s="49" t="str"/>
      <c r="K4749" s="41" t="str"/>
      <c r="L4749" s="41" t="str"/>
      <c r="M4749" s="41" t="str"/>
      <c r="N4749" s="41" t="str"/>
      <c r="O4749" s="41" t="str"/>
      <c r="P4749" s="41" t="str"/>
      <c r="Q4749" s="41" t="str"/>
      <c r="R4749" s="41" t="str"/>
      <c r="S4749" s="41" t="str"/>
      <c r="T4749" s="41" t="str"/>
      <c r="U4749" s="41" t="str"/>
      <c r="V4749" s="41" t="str"/>
      <c r="W4749" s="41" t="str"/>
    </row>
    <row r="4750">
      <c r="B4750" s="2" t="n"/>
      <c r="C4750" s="40" t="n"/>
      <c r="D4750" s="52">
        <f t="array" ref="D4750:W4750">IF(All_Students_Scores!C4748:V4748="","",All_Students_Scores!C4748:V4748)</f>
        <v/>
      </c>
      <c r="E4750" s="57" t="str"/>
      <c r="F4750" s="49" t="str"/>
      <c r="G4750" s="59" t="str"/>
      <c r="H4750" s="64" t="str"/>
      <c r="I4750" s="65" t="str"/>
      <c r="J4750" s="49" t="str"/>
      <c r="K4750" s="41" t="str"/>
      <c r="L4750" s="41" t="str"/>
      <c r="M4750" s="41" t="str"/>
      <c r="N4750" s="41" t="str"/>
      <c r="O4750" s="41" t="str"/>
      <c r="P4750" s="41" t="str"/>
      <c r="Q4750" s="41" t="str"/>
      <c r="R4750" s="41" t="str"/>
      <c r="S4750" s="41" t="str"/>
      <c r="T4750" s="41" t="str"/>
      <c r="U4750" s="41" t="str"/>
      <c r="V4750" s="41" t="str"/>
      <c r="W4750" s="41" t="str"/>
    </row>
    <row r="4751">
      <c r="B4751" s="2" t="n"/>
      <c r="C4751" s="40" t="n"/>
      <c r="D4751" s="52">
        <f t="array" ref="D4751:W4751">IF(All_Students_Scores!C4749:V4749="","",All_Students_Scores!C4749:V4749)</f>
        <v/>
      </c>
      <c r="E4751" s="57" t="str"/>
      <c r="F4751" s="49" t="str"/>
      <c r="G4751" s="59" t="str"/>
      <c r="H4751" s="64" t="str"/>
      <c r="I4751" s="65" t="str"/>
      <c r="J4751" s="49" t="str"/>
      <c r="K4751" s="41" t="str"/>
      <c r="L4751" s="41" t="str"/>
      <c r="M4751" s="41" t="str"/>
      <c r="N4751" s="41" t="str"/>
      <c r="O4751" s="41" t="str"/>
      <c r="P4751" s="41" t="str"/>
      <c r="Q4751" s="41" t="str"/>
      <c r="R4751" s="41" t="str"/>
      <c r="S4751" s="41" t="str"/>
      <c r="T4751" s="41" t="str"/>
      <c r="U4751" s="41" t="str"/>
      <c r="V4751" s="41" t="str"/>
      <c r="W4751" s="41" t="str"/>
    </row>
    <row r="4752">
      <c r="B4752" s="2" t="n"/>
      <c r="C4752" s="40" t="n"/>
      <c r="D4752" s="52">
        <f t="array" ref="D4752:W4752">IF(All_Students_Scores!C4750:V4750="","",All_Students_Scores!C4750:V4750)</f>
        <v/>
      </c>
      <c r="E4752" s="57" t="str"/>
      <c r="F4752" s="49" t="str"/>
      <c r="G4752" s="59" t="str"/>
      <c r="H4752" s="64" t="str"/>
      <c r="I4752" s="65" t="str"/>
      <c r="J4752" s="49" t="str"/>
      <c r="K4752" s="41" t="str"/>
      <c r="L4752" s="41" t="str"/>
      <c r="M4752" s="41" t="str"/>
      <c r="N4752" s="41" t="str"/>
      <c r="O4752" s="41" t="str"/>
      <c r="P4752" s="41" t="str"/>
      <c r="Q4752" s="41" t="str"/>
      <c r="R4752" s="41" t="str"/>
      <c r="S4752" s="41" t="str"/>
      <c r="T4752" s="41" t="str"/>
      <c r="U4752" s="41" t="str"/>
      <c r="V4752" s="41" t="str"/>
      <c r="W4752" s="41" t="str"/>
    </row>
    <row r="4753">
      <c r="B4753" s="2" t="n"/>
      <c r="C4753" s="40" t="n"/>
      <c r="D4753" s="52">
        <f t="array" ref="D4753:W4753">IF(All_Students_Scores!C4751:V4751="","",All_Students_Scores!C4751:V4751)</f>
        <v/>
      </c>
      <c r="E4753" s="57" t="str"/>
      <c r="F4753" s="49" t="str"/>
      <c r="G4753" s="59" t="str"/>
      <c r="H4753" s="64" t="str"/>
      <c r="I4753" s="65" t="str"/>
      <c r="J4753" s="49" t="str"/>
      <c r="K4753" s="41" t="str"/>
      <c r="L4753" s="41" t="str"/>
      <c r="M4753" s="41" t="str"/>
      <c r="N4753" s="41" t="str"/>
      <c r="O4753" s="41" t="str"/>
      <c r="P4753" s="41" t="str"/>
      <c r="Q4753" s="41" t="str"/>
      <c r="R4753" s="41" t="str"/>
      <c r="S4753" s="41" t="str"/>
      <c r="T4753" s="41" t="str"/>
      <c r="U4753" s="41" t="str"/>
      <c r="V4753" s="41" t="str"/>
      <c r="W4753" s="41" t="str"/>
    </row>
    <row r="4754">
      <c r="B4754" s="2" t="n"/>
      <c r="C4754" s="40" t="n"/>
      <c r="D4754" s="52">
        <f t="array" ref="D4754:W4754">IF(All_Students_Scores!C4752:V4752="","",All_Students_Scores!C4752:V4752)</f>
        <v/>
      </c>
      <c r="E4754" s="57" t="str"/>
      <c r="F4754" s="49" t="str"/>
      <c r="G4754" s="59" t="str"/>
      <c r="H4754" s="64" t="str"/>
      <c r="I4754" s="65" t="str"/>
      <c r="J4754" s="49" t="str"/>
      <c r="K4754" s="41" t="str"/>
      <c r="L4754" s="41" t="str"/>
      <c r="M4754" s="41" t="str"/>
      <c r="N4754" s="41" t="str"/>
      <c r="O4754" s="41" t="str"/>
      <c r="P4754" s="41" t="str"/>
      <c r="Q4754" s="41" t="str"/>
      <c r="R4754" s="41" t="str"/>
      <c r="S4754" s="41" t="str"/>
      <c r="T4754" s="41" t="str"/>
      <c r="U4754" s="41" t="str"/>
      <c r="V4754" s="41" t="str"/>
      <c r="W4754" s="41" t="str"/>
    </row>
    <row r="4755">
      <c r="B4755" s="2" t="n"/>
      <c r="C4755" s="40" t="n"/>
      <c r="D4755" s="52">
        <f t="array" ref="D4755:W4755">IF(All_Students_Scores!C4753:V4753="","",All_Students_Scores!C4753:V4753)</f>
        <v/>
      </c>
      <c r="E4755" s="57" t="str"/>
      <c r="F4755" s="49" t="str"/>
      <c r="G4755" s="59" t="str"/>
      <c r="H4755" s="64" t="str"/>
      <c r="I4755" s="65" t="str"/>
      <c r="J4755" s="49" t="str"/>
      <c r="K4755" s="41" t="str"/>
      <c r="L4755" s="41" t="str"/>
      <c r="M4755" s="41" t="str"/>
      <c r="N4755" s="41" t="str"/>
      <c r="O4755" s="41" t="str"/>
      <c r="P4755" s="41" t="str"/>
      <c r="Q4755" s="41" t="str"/>
      <c r="R4755" s="41" t="str"/>
      <c r="S4755" s="41" t="str"/>
      <c r="T4755" s="41" t="str"/>
      <c r="U4755" s="41" t="str"/>
      <c r="V4755" s="41" t="str"/>
      <c r="W4755" s="41" t="str"/>
    </row>
    <row r="4756">
      <c r="B4756" s="2" t="n"/>
      <c r="C4756" s="40" t="n"/>
      <c r="D4756" s="52">
        <f t="array" ref="D4756:W4756">IF(All_Students_Scores!C4754:V4754="","",All_Students_Scores!C4754:V4754)</f>
        <v/>
      </c>
      <c r="E4756" s="57" t="str"/>
      <c r="F4756" s="49" t="str"/>
      <c r="G4756" s="59" t="str"/>
      <c r="H4756" s="64" t="str"/>
      <c r="I4756" s="65" t="str"/>
      <c r="J4756" s="49" t="str"/>
      <c r="K4756" s="41" t="str"/>
      <c r="L4756" s="41" t="str"/>
      <c r="M4756" s="41" t="str"/>
      <c r="N4756" s="41" t="str"/>
      <c r="O4756" s="41" t="str"/>
      <c r="P4756" s="41" t="str"/>
      <c r="Q4756" s="41" t="str"/>
      <c r="R4756" s="41" t="str"/>
      <c r="S4756" s="41" t="str"/>
      <c r="T4756" s="41" t="str"/>
      <c r="U4756" s="41" t="str"/>
      <c r="V4756" s="41" t="str"/>
      <c r="W4756" s="41" t="str"/>
    </row>
    <row r="4757">
      <c r="B4757" s="2" t="n"/>
      <c r="C4757" s="40" t="n"/>
      <c r="D4757" s="52">
        <f t="array" ref="D4757:W4757">IF(All_Students_Scores!C4755:V4755="","",All_Students_Scores!C4755:V4755)</f>
        <v/>
      </c>
      <c r="E4757" s="57" t="str"/>
      <c r="F4757" s="49" t="str"/>
      <c r="G4757" s="59" t="str"/>
      <c r="H4757" s="64" t="str"/>
      <c r="I4757" s="65" t="str"/>
      <c r="J4757" s="49" t="str"/>
      <c r="K4757" s="41" t="str"/>
      <c r="L4757" s="41" t="str"/>
      <c r="M4757" s="41" t="str"/>
      <c r="N4757" s="41" t="str"/>
      <c r="O4757" s="41" t="str"/>
      <c r="P4757" s="41" t="str"/>
      <c r="Q4757" s="41" t="str"/>
      <c r="R4757" s="41" t="str"/>
      <c r="S4757" s="41" t="str"/>
      <c r="T4757" s="41" t="str"/>
      <c r="U4757" s="41" t="str"/>
      <c r="V4757" s="41" t="str"/>
      <c r="W4757" s="41" t="str"/>
    </row>
    <row r="4758">
      <c r="B4758" s="2" t="n"/>
      <c r="C4758" s="40" t="n"/>
      <c r="D4758" s="52">
        <f t="array" ref="D4758:W4758">IF(All_Students_Scores!C4756:V4756="","",All_Students_Scores!C4756:V4756)</f>
        <v/>
      </c>
      <c r="E4758" s="57" t="str"/>
      <c r="F4758" s="49" t="str"/>
      <c r="G4758" s="59" t="str"/>
      <c r="H4758" s="64" t="str"/>
      <c r="I4758" s="65" t="str"/>
      <c r="J4758" s="49" t="str"/>
      <c r="K4758" s="41" t="str"/>
      <c r="L4758" s="41" t="str"/>
      <c r="M4758" s="41" t="str"/>
      <c r="N4758" s="41" t="str"/>
      <c r="O4758" s="41" t="str"/>
      <c r="P4758" s="41" t="str"/>
      <c r="Q4758" s="41" t="str"/>
      <c r="R4758" s="41" t="str"/>
      <c r="S4758" s="41" t="str"/>
      <c r="T4758" s="41" t="str"/>
      <c r="U4758" s="41" t="str"/>
      <c r="V4758" s="41" t="str"/>
      <c r="W4758" s="41" t="str"/>
    </row>
    <row r="4759">
      <c r="B4759" s="2" t="n"/>
      <c r="C4759" s="40" t="n"/>
      <c r="D4759" s="52">
        <f t="array" ref="D4759:W4759">IF(All_Students_Scores!C4757:V4757="","",All_Students_Scores!C4757:V4757)</f>
        <v/>
      </c>
      <c r="E4759" s="57" t="str"/>
      <c r="F4759" s="49" t="str"/>
      <c r="G4759" s="59" t="str"/>
      <c r="H4759" s="64" t="str"/>
      <c r="I4759" s="65" t="str"/>
      <c r="J4759" s="49" t="str"/>
      <c r="K4759" s="41" t="str"/>
      <c r="L4759" s="41" t="str"/>
      <c r="M4759" s="41" t="str"/>
      <c r="N4759" s="41" t="str"/>
      <c r="O4759" s="41" t="str"/>
      <c r="P4759" s="41" t="str"/>
      <c r="Q4759" s="41" t="str"/>
      <c r="R4759" s="41" t="str"/>
      <c r="S4759" s="41" t="str"/>
      <c r="T4759" s="41" t="str"/>
      <c r="U4759" s="41" t="str"/>
      <c r="V4759" s="41" t="str"/>
      <c r="W4759" s="41" t="str"/>
    </row>
    <row r="4760">
      <c r="B4760" s="2" t="n"/>
      <c r="C4760" s="40" t="n"/>
      <c r="D4760" s="52">
        <f t="array" ref="D4760:W4760">IF(All_Students_Scores!C4758:V4758="","",All_Students_Scores!C4758:V4758)</f>
        <v/>
      </c>
      <c r="E4760" s="57" t="str"/>
      <c r="F4760" s="49" t="str"/>
      <c r="G4760" s="59" t="str"/>
      <c r="H4760" s="64" t="str"/>
      <c r="I4760" s="65" t="str"/>
      <c r="J4760" s="49" t="str"/>
      <c r="K4760" s="41" t="str"/>
      <c r="L4760" s="41" t="str"/>
      <c r="M4760" s="41" t="str"/>
      <c r="N4760" s="41" t="str"/>
      <c r="O4760" s="41" t="str"/>
      <c r="P4760" s="41" t="str"/>
      <c r="Q4760" s="41" t="str"/>
      <c r="R4760" s="41" t="str"/>
      <c r="S4760" s="41" t="str"/>
      <c r="T4760" s="41" t="str"/>
      <c r="U4760" s="41" t="str"/>
      <c r="V4760" s="41" t="str"/>
      <c r="W4760" s="41" t="str"/>
    </row>
    <row r="4761">
      <c r="B4761" s="2" t="n"/>
      <c r="C4761" s="40" t="n"/>
      <c r="D4761" s="52">
        <f t="array" ref="D4761:W4761">IF(All_Students_Scores!C4759:V4759="","",All_Students_Scores!C4759:V4759)</f>
        <v/>
      </c>
      <c r="E4761" s="57" t="str"/>
      <c r="F4761" s="49" t="str"/>
      <c r="G4761" s="59" t="str"/>
      <c r="H4761" s="64" t="str"/>
      <c r="I4761" s="65" t="str"/>
      <c r="J4761" s="49" t="str"/>
      <c r="K4761" s="41" t="str"/>
      <c r="L4761" s="41" t="str"/>
      <c r="M4761" s="41" t="str"/>
      <c r="N4761" s="41" t="str"/>
      <c r="O4761" s="41" t="str"/>
      <c r="P4761" s="41" t="str"/>
      <c r="Q4761" s="41" t="str"/>
      <c r="R4761" s="41" t="str"/>
      <c r="S4761" s="41" t="str"/>
      <c r="T4761" s="41" t="str"/>
      <c r="U4761" s="41" t="str"/>
      <c r="V4761" s="41" t="str"/>
      <c r="W4761" s="41" t="str"/>
    </row>
    <row r="4762">
      <c r="B4762" s="2" t="n"/>
      <c r="C4762" s="40" t="n"/>
      <c r="D4762" s="52">
        <f t="array" ref="D4762:W4762">IF(All_Students_Scores!C4760:V4760="","",All_Students_Scores!C4760:V4760)</f>
        <v/>
      </c>
      <c r="E4762" s="57" t="str"/>
      <c r="F4762" s="49" t="str"/>
      <c r="G4762" s="59" t="str"/>
      <c r="H4762" s="64" t="str"/>
      <c r="I4762" s="65" t="str"/>
      <c r="J4762" s="49" t="str"/>
      <c r="K4762" s="41" t="str"/>
      <c r="L4762" s="41" t="str"/>
      <c r="M4762" s="41" t="str"/>
      <c r="N4762" s="41" t="str"/>
      <c r="O4762" s="41" t="str"/>
      <c r="P4762" s="41" t="str"/>
      <c r="Q4762" s="41" t="str"/>
      <c r="R4762" s="41" t="str"/>
      <c r="S4762" s="41" t="str"/>
      <c r="T4762" s="41" t="str"/>
      <c r="U4762" s="41" t="str"/>
      <c r="V4762" s="41" t="str"/>
      <c r="W4762" s="41" t="str"/>
    </row>
    <row r="4763">
      <c r="B4763" s="2" t="n"/>
      <c r="C4763" s="40" t="n"/>
      <c r="D4763" s="52">
        <f t="array" ref="D4763:W4763">IF(All_Students_Scores!C4761:V4761="","",All_Students_Scores!C4761:V4761)</f>
        <v/>
      </c>
      <c r="E4763" s="57" t="str"/>
      <c r="F4763" s="49" t="str"/>
      <c r="G4763" s="59" t="str"/>
      <c r="H4763" s="64" t="str"/>
      <c r="I4763" s="65" t="str"/>
      <c r="J4763" s="49" t="str"/>
      <c r="K4763" s="41" t="str"/>
      <c r="L4763" s="41" t="str"/>
      <c r="M4763" s="41" t="str"/>
      <c r="N4763" s="41" t="str"/>
      <c r="O4763" s="41" t="str"/>
      <c r="P4763" s="41" t="str"/>
      <c r="Q4763" s="41" t="str"/>
      <c r="R4763" s="41" t="str"/>
      <c r="S4763" s="41" t="str"/>
      <c r="T4763" s="41" t="str"/>
      <c r="U4763" s="41" t="str"/>
      <c r="V4763" s="41" t="str"/>
      <c r="W4763" s="41" t="str"/>
    </row>
    <row r="4764">
      <c r="B4764" s="2" t="n"/>
      <c r="C4764" s="40" t="n"/>
      <c r="D4764" s="52">
        <f t="array" ref="D4764:W4764">IF(All_Students_Scores!C4762:V4762="","",All_Students_Scores!C4762:V4762)</f>
        <v/>
      </c>
      <c r="E4764" s="57" t="str"/>
      <c r="F4764" s="49" t="str"/>
      <c r="G4764" s="59" t="str"/>
      <c r="H4764" s="64" t="str"/>
      <c r="I4764" s="65" t="str"/>
      <c r="J4764" s="49" t="str"/>
      <c r="K4764" s="41" t="str"/>
      <c r="L4764" s="41" t="str"/>
      <c r="M4764" s="41" t="str"/>
      <c r="N4764" s="41" t="str"/>
      <c r="O4764" s="41" t="str"/>
      <c r="P4764" s="41" t="str"/>
      <c r="Q4764" s="41" t="str"/>
      <c r="R4764" s="41" t="str"/>
      <c r="S4764" s="41" t="str"/>
      <c r="T4764" s="41" t="str"/>
      <c r="U4764" s="41" t="str"/>
      <c r="V4764" s="41" t="str"/>
      <c r="W4764" s="41" t="str"/>
    </row>
    <row r="4765">
      <c r="B4765" s="2" t="n"/>
      <c r="C4765" s="40" t="n"/>
      <c r="D4765" s="52">
        <f t="array" ref="D4765:W4765">IF(All_Students_Scores!C4763:V4763="","",All_Students_Scores!C4763:V4763)</f>
        <v/>
      </c>
      <c r="E4765" s="57" t="str"/>
      <c r="F4765" s="49" t="str"/>
      <c r="G4765" s="59" t="str"/>
      <c r="H4765" s="64" t="str"/>
      <c r="I4765" s="65" t="str"/>
      <c r="J4765" s="49" t="str"/>
      <c r="K4765" s="41" t="str"/>
      <c r="L4765" s="41" t="str"/>
      <c r="M4765" s="41" t="str"/>
      <c r="N4765" s="41" t="str"/>
      <c r="O4765" s="41" t="str"/>
      <c r="P4765" s="41" t="str"/>
      <c r="Q4765" s="41" t="str"/>
      <c r="R4765" s="41" t="str"/>
      <c r="S4765" s="41" t="str"/>
      <c r="T4765" s="41" t="str"/>
      <c r="U4765" s="41" t="str"/>
      <c r="V4765" s="41" t="str"/>
      <c r="W4765" s="41" t="str"/>
    </row>
    <row r="4766">
      <c r="B4766" s="2" t="n"/>
      <c r="C4766" s="40" t="n"/>
      <c r="D4766" s="52">
        <f t="array" ref="D4766:W4766">IF(All_Students_Scores!C4764:V4764="","",All_Students_Scores!C4764:V4764)</f>
        <v/>
      </c>
      <c r="E4766" s="57" t="str"/>
      <c r="F4766" s="49" t="str"/>
      <c r="G4766" s="59" t="str"/>
      <c r="H4766" s="64" t="str"/>
      <c r="I4766" s="65" t="str"/>
      <c r="J4766" s="49" t="str"/>
      <c r="K4766" s="41" t="str"/>
      <c r="L4766" s="41" t="str"/>
      <c r="M4766" s="41" t="str"/>
      <c r="N4766" s="41" t="str"/>
      <c r="O4766" s="41" t="str"/>
      <c r="P4766" s="41" t="str"/>
      <c r="Q4766" s="41" t="str"/>
      <c r="R4766" s="41" t="str"/>
      <c r="S4766" s="41" t="str"/>
      <c r="T4766" s="41" t="str"/>
      <c r="U4766" s="41" t="str"/>
      <c r="V4766" s="41" t="str"/>
      <c r="W4766" s="41" t="str"/>
    </row>
    <row r="4767">
      <c r="B4767" s="2" t="n"/>
      <c r="C4767" s="40" t="n"/>
      <c r="D4767" s="52">
        <f t="array" ref="D4767:W4767">IF(All_Students_Scores!C4765:V4765="","",All_Students_Scores!C4765:V4765)</f>
        <v/>
      </c>
      <c r="E4767" s="57" t="str"/>
      <c r="F4767" s="49" t="str"/>
      <c r="G4767" s="59" t="str"/>
      <c r="H4767" s="64" t="str"/>
      <c r="I4767" s="65" t="str"/>
      <c r="J4767" s="49" t="str"/>
      <c r="K4767" s="41" t="str"/>
      <c r="L4767" s="41" t="str"/>
      <c r="M4767" s="41" t="str"/>
      <c r="N4767" s="41" t="str"/>
      <c r="O4767" s="41" t="str"/>
      <c r="P4767" s="41" t="str"/>
      <c r="Q4767" s="41" t="str"/>
      <c r="R4767" s="41" t="str"/>
      <c r="S4767" s="41" t="str"/>
      <c r="T4767" s="41" t="str"/>
      <c r="U4767" s="41" t="str"/>
      <c r="V4767" s="41" t="str"/>
      <c r="W4767" s="41" t="str"/>
    </row>
    <row r="4768">
      <c r="B4768" s="2" t="n"/>
      <c r="C4768" s="40" t="n"/>
      <c r="D4768" s="52">
        <f t="array" ref="D4768:W4768">IF(All_Students_Scores!C4766:V4766="","",All_Students_Scores!C4766:V4766)</f>
        <v/>
      </c>
      <c r="E4768" s="57" t="str"/>
      <c r="F4768" s="49" t="str"/>
      <c r="G4768" s="59" t="str"/>
      <c r="H4768" s="64" t="str"/>
      <c r="I4768" s="65" t="str"/>
      <c r="J4768" s="49" t="str"/>
      <c r="K4768" s="41" t="str"/>
      <c r="L4768" s="41" t="str"/>
      <c r="M4768" s="41" t="str"/>
      <c r="N4768" s="41" t="str"/>
      <c r="O4768" s="41" t="str"/>
      <c r="P4768" s="41" t="str"/>
      <c r="Q4768" s="41" t="str"/>
      <c r="R4768" s="41" t="str"/>
      <c r="S4768" s="41" t="str"/>
      <c r="T4768" s="41" t="str"/>
      <c r="U4768" s="41" t="str"/>
      <c r="V4768" s="41" t="str"/>
      <c r="W4768" s="41" t="str"/>
    </row>
    <row r="4769">
      <c r="B4769" s="2" t="n"/>
      <c r="C4769" s="40" t="n"/>
      <c r="D4769" s="52">
        <f t="array" ref="D4769:W4769">IF(All_Students_Scores!C4767:V4767="","",All_Students_Scores!C4767:V4767)</f>
        <v/>
      </c>
      <c r="E4769" s="57" t="str"/>
      <c r="F4769" s="49" t="str"/>
      <c r="G4769" s="59" t="str"/>
      <c r="H4769" s="64" t="str"/>
      <c r="I4769" s="65" t="str"/>
      <c r="J4769" s="49" t="str"/>
      <c r="K4769" s="41" t="str"/>
      <c r="L4769" s="41" t="str"/>
      <c r="M4769" s="41" t="str"/>
      <c r="N4769" s="41" t="str"/>
      <c r="O4769" s="41" t="str"/>
      <c r="P4769" s="41" t="str"/>
      <c r="Q4769" s="41" t="str"/>
      <c r="R4769" s="41" t="str"/>
      <c r="S4769" s="41" t="str"/>
      <c r="T4769" s="41" t="str"/>
      <c r="U4769" s="41" t="str"/>
      <c r="V4769" s="41" t="str"/>
      <c r="W4769" s="41" t="str"/>
    </row>
    <row r="4770">
      <c r="B4770" s="2" t="n"/>
      <c r="C4770" s="40" t="n"/>
      <c r="D4770" s="52">
        <f t="array" ref="D4770:W4770">IF(All_Students_Scores!C4768:V4768="","",All_Students_Scores!C4768:V4768)</f>
        <v/>
      </c>
      <c r="E4770" s="57" t="str"/>
      <c r="F4770" s="49" t="str"/>
      <c r="G4770" s="59" t="str"/>
      <c r="H4770" s="64" t="str"/>
      <c r="I4770" s="65" t="str"/>
      <c r="J4770" s="49" t="str"/>
      <c r="K4770" s="41" t="str"/>
      <c r="L4770" s="41" t="str"/>
      <c r="M4770" s="41" t="str"/>
      <c r="N4770" s="41" t="str"/>
      <c r="O4770" s="41" t="str"/>
      <c r="P4770" s="41" t="str"/>
      <c r="Q4770" s="41" t="str"/>
      <c r="R4770" s="41" t="str"/>
      <c r="S4770" s="41" t="str"/>
      <c r="T4770" s="41" t="str"/>
      <c r="U4770" s="41" t="str"/>
      <c r="V4770" s="41" t="str"/>
      <c r="W4770" s="41" t="str"/>
    </row>
    <row r="4771">
      <c r="B4771" s="2" t="n"/>
      <c r="C4771" s="40" t="n"/>
      <c r="D4771" s="52">
        <f t="array" ref="D4771:W4771">IF(All_Students_Scores!C4769:V4769="","",All_Students_Scores!C4769:V4769)</f>
        <v/>
      </c>
      <c r="E4771" s="57" t="str"/>
      <c r="F4771" s="49" t="str"/>
      <c r="G4771" s="59" t="str"/>
      <c r="H4771" s="64" t="str"/>
      <c r="I4771" s="65" t="str"/>
      <c r="J4771" s="49" t="str"/>
      <c r="K4771" s="41" t="str"/>
      <c r="L4771" s="41" t="str"/>
      <c r="M4771" s="41" t="str"/>
      <c r="N4771" s="41" t="str"/>
      <c r="O4771" s="41" t="str"/>
      <c r="P4771" s="41" t="str"/>
      <c r="Q4771" s="41" t="str"/>
      <c r="R4771" s="41" t="str"/>
      <c r="S4771" s="41" t="str"/>
      <c r="T4771" s="41" t="str"/>
      <c r="U4771" s="41" t="str"/>
      <c r="V4771" s="41" t="str"/>
      <c r="W4771" s="41" t="str"/>
    </row>
    <row r="4772">
      <c r="B4772" s="2" t="n"/>
      <c r="C4772" s="40" t="n"/>
      <c r="D4772" s="52">
        <f t="array" ref="D4772:W4772">IF(All_Students_Scores!C4770:V4770="","",All_Students_Scores!C4770:V4770)</f>
        <v/>
      </c>
      <c r="E4772" s="57" t="str"/>
      <c r="F4772" s="49" t="str"/>
      <c r="G4772" s="59" t="str"/>
      <c r="H4772" s="64" t="str"/>
      <c r="I4772" s="65" t="str"/>
      <c r="J4772" s="49" t="str"/>
      <c r="K4772" s="41" t="str"/>
      <c r="L4772" s="41" t="str"/>
      <c r="M4772" s="41" t="str"/>
      <c r="N4772" s="41" t="str"/>
      <c r="O4772" s="41" t="str"/>
      <c r="P4772" s="41" t="str"/>
      <c r="Q4772" s="41" t="str"/>
      <c r="R4772" s="41" t="str"/>
      <c r="S4772" s="41" t="str"/>
      <c r="T4772" s="41" t="str"/>
      <c r="U4772" s="41" t="str"/>
      <c r="V4772" s="41" t="str"/>
      <c r="W4772" s="41" t="str"/>
    </row>
    <row r="4773">
      <c r="B4773" s="2" t="n"/>
      <c r="C4773" s="40" t="n"/>
      <c r="D4773" s="52">
        <f t="array" ref="D4773:W4773">IF(All_Students_Scores!C4771:V4771="","",All_Students_Scores!C4771:V4771)</f>
        <v/>
      </c>
      <c r="E4773" s="57" t="str"/>
      <c r="F4773" s="49" t="str"/>
      <c r="G4773" s="59" t="str"/>
      <c r="H4773" s="64" t="str"/>
      <c r="I4773" s="65" t="str"/>
      <c r="J4773" s="49" t="str"/>
      <c r="K4773" s="41" t="str"/>
      <c r="L4773" s="41" t="str"/>
      <c r="M4773" s="41" t="str"/>
      <c r="N4773" s="41" t="str"/>
      <c r="O4773" s="41" t="str"/>
      <c r="P4773" s="41" t="str"/>
      <c r="Q4773" s="41" t="str"/>
      <c r="R4773" s="41" t="str"/>
      <c r="S4773" s="41" t="str"/>
      <c r="T4773" s="41" t="str"/>
      <c r="U4773" s="41" t="str"/>
      <c r="V4773" s="41" t="str"/>
      <c r="W4773" s="41" t="str"/>
    </row>
    <row r="4774">
      <c r="B4774" s="2" t="n"/>
      <c r="C4774" s="40" t="n"/>
      <c r="D4774" s="52">
        <f t="array" ref="D4774:W4774">IF(All_Students_Scores!C4772:V4772="","",All_Students_Scores!C4772:V4772)</f>
        <v/>
      </c>
      <c r="E4774" s="57" t="str"/>
      <c r="F4774" s="49" t="str"/>
      <c r="G4774" s="59" t="str"/>
      <c r="H4774" s="64" t="str"/>
      <c r="I4774" s="65" t="str"/>
      <c r="J4774" s="49" t="str"/>
      <c r="K4774" s="41" t="str"/>
      <c r="L4774" s="41" t="str"/>
      <c r="M4774" s="41" t="str"/>
      <c r="N4774" s="41" t="str"/>
      <c r="O4774" s="41" t="str"/>
      <c r="P4774" s="41" t="str"/>
      <c r="Q4774" s="41" t="str"/>
      <c r="R4774" s="41" t="str"/>
      <c r="S4774" s="41" t="str"/>
      <c r="T4774" s="41" t="str"/>
      <c r="U4774" s="41" t="str"/>
      <c r="V4774" s="41" t="str"/>
      <c r="W4774" s="41" t="str"/>
    </row>
    <row r="4775">
      <c r="B4775" s="2" t="n"/>
      <c r="C4775" s="40" t="n"/>
      <c r="D4775" s="52">
        <f t="array" ref="D4775:W4775">IF(All_Students_Scores!C4773:V4773="","",All_Students_Scores!C4773:V4773)</f>
        <v/>
      </c>
      <c r="E4775" s="57" t="str"/>
      <c r="F4775" s="49" t="str"/>
      <c r="G4775" s="59" t="str"/>
      <c r="H4775" s="64" t="str"/>
      <c r="I4775" s="65" t="str"/>
      <c r="J4775" s="49" t="str"/>
      <c r="K4775" s="41" t="str"/>
      <c r="L4775" s="41" t="str"/>
      <c r="M4775" s="41" t="str"/>
      <c r="N4775" s="41" t="str"/>
      <c r="O4775" s="41" t="str"/>
      <c r="P4775" s="41" t="str"/>
      <c r="Q4775" s="41" t="str"/>
      <c r="R4775" s="41" t="str"/>
      <c r="S4775" s="41" t="str"/>
      <c r="T4775" s="41" t="str"/>
      <c r="U4775" s="41" t="str"/>
      <c r="V4775" s="41" t="str"/>
      <c r="W4775" s="41" t="str"/>
    </row>
    <row r="4776">
      <c r="B4776" s="2" t="n"/>
      <c r="C4776" s="40" t="n"/>
      <c r="D4776" s="52">
        <f t="array" ref="D4776:W4776">IF(All_Students_Scores!C4774:V4774="","",All_Students_Scores!C4774:V4774)</f>
        <v/>
      </c>
      <c r="E4776" s="57" t="str"/>
      <c r="F4776" s="49" t="str"/>
      <c r="G4776" s="59" t="str"/>
      <c r="H4776" s="64" t="str"/>
      <c r="I4776" s="65" t="str"/>
      <c r="J4776" s="49" t="str"/>
      <c r="K4776" s="41" t="str"/>
      <c r="L4776" s="41" t="str"/>
      <c r="M4776" s="41" t="str"/>
      <c r="N4776" s="41" t="str"/>
      <c r="O4776" s="41" t="str"/>
      <c r="P4776" s="41" t="str"/>
      <c r="Q4776" s="41" t="str"/>
      <c r="R4776" s="41" t="str"/>
      <c r="S4776" s="41" t="str"/>
      <c r="T4776" s="41" t="str"/>
      <c r="U4776" s="41" t="str"/>
      <c r="V4776" s="41" t="str"/>
      <c r="W4776" s="41" t="str"/>
    </row>
    <row r="4777">
      <c r="B4777" s="2" t="n"/>
      <c r="C4777" s="40" t="n"/>
      <c r="D4777" s="52">
        <f t="array" ref="D4777:W4777">IF(All_Students_Scores!C4775:V4775="","",All_Students_Scores!C4775:V4775)</f>
        <v/>
      </c>
      <c r="E4777" s="57" t="str"/>
      <c r="F4777" s="49" t="str"/>
      <c r="G4777" s="59" t="str"/>
      <c r="H4777" s="64" t="str"/>
      <c r="I4777" s="65" t="str"/>
      <c r="J4777" s="49" t="str"/>
      <c r="K4777" s="41" t="str"/>
      <c r="L4777" s="41" t="str"/>
      <c r="M4777" s="41" t="str"/>
      <c r="N4777" s="41" t="str"/>
      <c r="O4777" s="41" t="str"/>
      <c r="P4777" s="41" t="str"/>
      <c r="Q4777" s="41" t="str"/>
      <c r="R4777" s="41" t="str"/>
      <c r="S4777" s="41" t="str"/>
      <c r="T4777" s="41" t="str"/>
      <c r="U4777" s="41" t="str"/>
      <c r="V4777" s="41" t="str"/>
      <c r="W4777" s="41" t="str"/>
    </row>
    <row r="4778">
      <c r="B4778" s="2" t="n"/>
      <c r="C4778" s="40" t="n"/>
      <c r="D4778" s="52">
        <f t="array" ref="D4778:W4778">IF(All_Students_Scores!C4776:V4776="","",All_Students_Scores!C4776:V4776)</f>
        <v/>
      </c>
      <c r="E4778" s="57" t="str"/>
      <c r="F4778" s="49" t="str"/>
      <c r="G4778" s="59" t="str"/>
      <c r="H4778" s="64" t="str"/>
      <c r="I4778" s="65" t="str"/>
      <c r="J4778" s="49" t="str"/>
      <c r="K4778" s="41" t="str"/>
      <c r="L4778" s="41" t="str"/>
      <c r="M4778" s="41" t="str"/>
      <c r="N4778" s="41" t="str"/>
      <c r="O4778" s="41" t="str"/>
      <c r="P4778" s="41" t="str"/>
      <c r="Q4778" s="41" t="str"/>
      <c r="R4778" s="41" t="str"/>
      <c r="S4778" s="41" t="str"/>
      <c r="T4778" s="41" t="str"/>
      <c r="U4778" s="41" t="str"/>
      <c r="V4778" s="41" t="str"/>
      <c r="W4778" s="41" t="str"/>
    </row>
    <row r="4779">
      <c r="B4779" s="2" t="n"/>
      <c r="C4779" s="40" t="n"/>
      <c r="D4779" s="52">
        <f t="array" ref="D4779:W4779">IF(All_Students_Scores!C4777:V4777="","",All_Students_Scores!C4777:V4777)</f>
        <v/>
      </c>
      <c r="E4779" s="57" t="str"/>
      <c r="F4779" s="49" t="str"/>
      <c r="G4779" s="59" t="str"/>
      <c r="H4779" s="64" t="str"/>
      <c r="I4779" s="65" t="str"/>
      <c r="J4779" s="49" t="str"/>
      <c r="K4779" s="41" t="str"/>
      <c r="L4779" s="41" t="str"/>
      <c r="M4779" s="41" t="str"/>
      <c r="N4779" s="41" t="str"/>
      <c r="O4779" s="41" t="str"/>
      <c r="P4779" s="41" t="str"/>
      <c r="Q4779" s="41" t="str"/>
      <c r="R4779" s="41" t="str"/>
      <c r="S4779" s="41" t="str"/>
      <c r="T4779" s="41" t="str"/>
      <c r="U4779" s="41" t="str"/>
      <c r="V4779" s="41" t="str"/>
      <c r="W4779" s="41" t="str"/>
    </row>
    <row r="4780">
      <c r="B4780" s="2" t="n"/>
      <c r="C4780" s="40" t="n"/>
      <c r="D4780" s="52">
        <f t="array" ref="D4780:W4780">IF(All_Students_Scores!C4778:V4778="","",All_Students_Scores!C4778:V4778)</f>
        <v/>
      </c>
      <c r="E4780" s="57" t="str"/>
      <c r="F4780" s="49" t="str"/>
      <c r="G4780" s="59" t="str"/>
      <c r="H4780" s="64" t="str"/>
      <c r="I4780" s="65" t="str"/>
      <c r="J4780" s="49" t="str"/>
      <c r="K4780" s="41" t="str"/>
      <c r="L4780" s="41" t="str"/>
      <c r="M4780" s="41" t="str"/>
      <c r="N4780" s="41" t="str"/>
      <c r="O4780" s="41" t="str"/>
      <c r="P4780" s="41" t="str"/>
      <c r="Q4780" s="41" t="str"/>
      <c r="R4780" s="41" t="str"/>
      <c r="S4780" s="41" t="str"/>
      <c r="T4780" s="41" t="str"/>
      <c r="U4780" s="41" t="str"/>
      <c r="V4780" s="41" t="str"/>
      <c r="W4780" s="41" t="str"/>
    </row>
    <row r="4781">
      <c r="B4781" s="2" t="n"/>
      <c r="C4781" s="40" t="n"/>
      <c r="D4781" s="52">
        <f t="array" ref="D4781:W4781">IF(All_Students_Scores!C4779:V4779="","",All_Students_Scores!C4779:V4779)</f>
        <v/>
      </c>
      <c r="E4781" s="57" t="str"/>
      <c r="F4781" s="49" t="str"/>
      <c r="G4781" s="59" t="str"/>
      <c r="H4781" s="64" t="str"/>
      <c r="I4781" s="65" t="str"/>
      <c r="J4781" s="49" t="str"/>
      <c r="K4781" s="41" t="str"/>
      <c r="L4781" s="41" t="str"/>
      <c r="M4781" s="41" t="str"/>
      <c r="N4781" s="41" t="str"/>
      <c r="O4781" s="41" t="str"/>
      <c r="P4781" s="41" t="str"/>
      <c r="Q4781" s="41" t="str"/>
      <c r="R4781" s="41" t="str"/>
      <c r="S4781" s="41" t="str"/>
      <c r="T4781" s="41" t="str"/>
      <c r="U4781" s="41" t="str"/>
      <c r="V4781" s="41" t="str"/>
      <c r="W4781" s="41" t="str"/>
    </row>
    <row r="4782">
      <c r="B4782" s="2" t="n"/>
      <c r="C4782" s="40" t="n"/>
      <c r="D4782" s="52">
        <f t="array" ref="D4782:W4782">IF(All_Students_Scores!C4780:V4780="","",All_Students_Scores!C4780:V4780)</f>
        <v/>
      </c>
      <c r="E4782" s="57" t="str"/>
      <c r="F4782" s="49" t="str"/>
      <c r="G4782" s="59" t="str"/>
      <c r="H4782" s="64" t="str"/>
      <c r="I4782" s="65" t="str"/>
      <c r="J4782" s="49" t="str"/>
      <c r="K4782" s="41" t="str"/>
      <c r="L4782" s="41" t="str"/>
      <c r="M4782" s="41" t="str"/>
      <c r="N4782" s="41" t="str"/>
      <c r="O4782" s="41" t="str"/>
      <c r="P4782" s="41" t="str"/>
      <c r="Q4782" s="41" t="str"/>
      <c r="R4782" s="41" t="str"/>
      <c r="S4782" s="41" t="str"/>
      <c r="T4782" s="41" t="str"/>
      <c r="U4782" s="41" t="str"/>
      <c r="V4782" s="41" t="str"/>
      <c r="W4782" s="41" t="str"/>
    </row>
    <row r="4783">
      <c r="B4783" s="2" t="n"/>
      <c r="C4783" s="40" t="n"/>
      <c r="D4783" s="52">
        <f t="array" ref="D4783:W4783">IF(All_Students_Scores!C4781:V4781="","",All_Students_Scores!C4781:V4781)</f>
        <v/>
      </c>
      <c r="E4783" s="57" t="str"/>
      <c r="F4783" s="49" t="str"/>
      <c r="G4783" s="59" t="str"/>
      <c r="H4783" s="64" t="str"/>
      <c r="I4783" s="65" t="str"/>
      <c r="J4783" s="49" t="str"/>
      <c r="K4783" s="41" t="str"/>
      <c r="L4783" s="41" t="str"/>
      <c r="M4783" s="41" t="str"/>
      <c r="N4783" s="41" t="str"/>
      <c r="O4783" s="41" t="str"/>
      <c r="P4783" s="41" t="str"/>
      <c r="Q4783" s="41" t="str"/>
      <c r="R4783" s="41" t="str"/>
      <c r="S4783" s="41" t="str"/>
      <c r="T4783" s="41" t="str"/>
      <c r="U4783" s="41" t="str"/>
      <c r="V4783" s="41" t="str"/>
      <c r="W4783" s="41" t="str"/>
    </row>
    <row r="4784">
      <c r="B4784" s="2" t="n"/>
      <c r="C4784" s="40" t="n"/>
      <c r="D4784" s="52">
        <f t="array" ref="D4784:W4784">IF(All_Students_Scores!C4782:V4782="","",All_Students_Scores!C4782:V4782)</f>
        <v/>
      </c>
      <c r="E4784" s="57" t="str"/>
      <c r="F4784" s="49" t="str"/>
      <c r="G4784" s="59" t="str"/>
      <c r="H4784" s="64" t="str"/>
      <c r="I4784" s="65" t="str"/>
      <c r="J4784" s="49" t="str"/>
      <c r="K4784" s="41" t="str"/>
      <c r="L4784" s="41" t="str"/>
      <c r="M4784" s="41" t="str"/>
      <c r="N4784" s="41" t="str"/>
      <c r="O4784" s="41" t="str"/>
      <c r="P4784" s="41" t="str"/>
      <c r="Q4784" s="41" t="str"/>
      <c r="R4784" s="41" t="str"/>
      <c r="S4784" s="41" t="str"/>
      <c r="T4784" s="41" t="str"/>
      <c r="U4784" s="41" t="str"/>
      <c r="V4784" s="41" t="str"/>
      <c r="W4784" s="41" t="str"/>
    </row>
    <row r="4785">
      <c r="B4785" s="2" t="n"/>
      <c r="C4785" s="40" t="n"/>
      <c r="D4785" s="52">
        <f t="array" ref="D4785:W4785">IF(All_Students_Scores!C4783:V4783="","",All_Students_Scores!C4783:V4783)</f>
        <v/>
      </c>
      <c r="E4785" s="57" t="str"/>
      <c r="F4785" s="49" t="str"/>
      <c r="G4785" s="59" t="str"/>
      <c r="H4785" s="64" t="str"/>
      <c r="I4785" s="65" t="str"/>
      <c r="J4785" s="49" t="str"/>
      <c r="K4785" s="41" t="str"/>
      <c r="L4785" s="41" t="str"/>
      <c r="M4785" s="41" t="str"/>
      <c r="N4785" s="41" t="str"/>
      <c r="O4785" s="41" t="str"/>
      <c r="P4785" s="41" t="str"/>
      <c r="Q4785" s="41" t="str"/>
      <c r="R4785" s="41" t="str"/>
      <c r="S4785" s="41" t="str"/>
      <c r="T4785" s="41" t="str"/>
      <c r="U4785" s="41" t="str"/>
      <c r="V4785" s="41" t="str"/>
      <c r="W4785" s="41" t="str"/>
    </row>
    <row r="4786">
      <c r="B4786" s="2" t="n"/>
      <c r="C4786" s="40" t="n"/>
      <c r="D4786" s="52">
        <f t="array" ref="D4786:W4786">IF(All_Students_Scores!C4784:V4784="","",All_Students_Scores!C4784:V4784)</f>
        <v/>
      </c>
      <c r="E4786" s="57" t="str"/>
      <c r="F4786" s="49" t="str"/>
      <c r="G4786" s="59" t="str"/>
      <c r="H4786" s="64" t="str"/>
      <c r="I4786" s="65" t="str"/>
      <c r="J4786" s="49" t="str"/>
      <c r="K4786" s="41" t="str"/>
      <c r="L4786" s="41" t="str"/>
      <c r="M4786" s="41" t="str"/>
      <c r="N4786" s="41" t="str"/>
      <c r="O4786" s="41" t="str"/>
      <c r="P4786" s="41" t="str"/>
      <c r="Q4786" s="41" t="str"/>
      <c r="R4786" s="41" t="str"/>
      <c r="S4786" s="41" t="str"/>
      <c r="T4786" s="41" t="str"/>
      <c r="U4786" s="41" t="str"/>
      <c r="V4786" s="41" t="str"/>
      <c r="W4786" s="41" t="str"/>
    </row>
    <row r="4787">
      <c r="B4787" s="2" t="n"/>
      <c r="C4787" s="40" t="n"/>
      <c r="D4787" s="52">
        <f t="array" ref="D4787:W4787">IF(All_Students_Scores!C4785:V4785="","",All_Students_Scores!C4785:V4785)</f>
        <v/>
      </c>
      <c r="E4787" s="57" t="str"/>
      <c r="F4787" s="49" t="str"/>
      <c r="G4787" s="59" t="str"/>
      <c r="H4787" s="64" t="str"/>
      <c r="I4787" s="65" t="str"/>
      <c r="J4787" s="49" t="str"/>
      <c r="K4787" s="41" t="str"/>
      <c r="L4787" s="41" t="str"/>
      <c r="M4787" s="41" t="str"/>
      <c r="N4787" s="41" t="str"/>
      <c r="O4787" s="41" t="str"/>
      <c r="P4787" s="41" t="str"/>
      <c r="Q4787" s="41" t="str"/>
      <c r="R4787" s="41" t="str"/>
      <c r="S4787" s="41" t="str"/>
      <c r="T4787" s="41" t="str"/>
      <c r="U4787" s="41" t="str"/>
      <c r="V4787" s="41" t="str"/>
      <c r="W4787" s="41" t="str"/>
    </row>
    <row r="4788">
      <c r="B4788" s="2" t="n"/>
      <c r="C4788" s="40" t="n"/>
      <c r="D4788" s="52">
        <f t="array" ref="D4788:W4788">IF(All_Students_Scores!C4786:V4786="","",All_Students_Scores!C4786:V4786)</f>
        <v/>
      </c>
      <c r="E4788" s="57" t="str"/>
      <c r="F4788" s="49" t="str"/>
      <c r="G4788" s="59" t="str"/>
      <c r="H4788" s="64" t="str"/>
      <c r="I4788" s="65" t="str"/>
      <c r="J4788" s="49" t="str"/>
      <c r="K4788" s="41" t="str"/>
      <c r="L4788" s="41" t="str"/>
      <c r="M4788" s="41" t="str"/>
      <c r="N4788" s="41" t="str"/>
      <c r="O4788" s="41" t="str"/>
      <c r="P4788" s="41" t="str"/>
      <c r="Q4788" s="41" t="str"/>
      <c r="R4788" s="41" t="str"/>
      <c r="S4788" s="41" t="str"/>
      <c r="T4788" s="41" t="str"/>
      <c r="U4788" s="41" t="str"/>
      <c r="V4788" s="41" t="str"/>
      <c r="W4788" s="41" t="str"/>
    </row>
    <row r="4789">
      <c r="B4789" s="2" t="n"/>
      <c r="C4789" s="40" t="n"/>
      <c r="D4789" s="52">
        <f t="array" ref="D4789:W4789">IF(All_Students_Scores!C4787:V4787="","",All_Students_Scores!C4787:V4787)</f>
        <v/>
      </c>
      <c r="E4789" s="57" t="str"/>
      <c r="F4789" s="49" t="str"/>
      <c r="G4789" s="59" t="str"/>
      <c r="H4789" s="64" t="str"/>
      <c r="I4789" s="65" t="str"/>
      <c r="J4789" s="49" t="str"/>
      <c r="K4789" s="41" t="str"/>
      <c r="L4789" s="41" t="str"/>
      <c r="M4789" s="41" t="str"/>
      <c r="N4789" s="41" t="str"/>
      <c r="O4789" s="41" t="str"/>
      <c r="P4789" s="41" t="str"/>
      <c r="Q4789" s="41" t="str"/>
      <c r="R4789" s="41" t="str"/>
      <c r="S4789" s="41" t="str"/>
      <c r="T4789" s="41" t="str"/>
      <c r="U4789" s="41" t="str"/>
      <c r="V4789" s="41" t="str"/>
      <c r="W4789" s="41" t="str"/>
    </row>
    <row r="4790">
      <c r="B4790" s="2" t="n"/>
      <c r="C4790" s="40" t="n"/>
      <c r="D4790" s="52">
        <f t="array" ref="D4790:W4790">IF(All_Students_Scores!C4788:V4788="","",All_Students_Scores!C4788:V4788)</f>
        <v/>
      </c>
      <c r="E4790" s="57" t="str"/>
      <c r="F4790" s="49" t="str"/>
      <c r="G4790" s="59" t="str"/>
      <c r="H4790" s="64" t="str"/>
      <c r="I4790" s="65" t="str"/>
      <c r="J4790" s="49" t="str"/>
      <c r="K4790" s="41" t="str"/>
      <c r="L4790" s="41" t="str"/>
      <c r="M4790" s="41" t="str"/>
      <c r="N4790" s="41" t="str"/>
      <c r="O4790" s="41" t="str"/>
      <c r="P4790" s="41" t="str"/>
      <c r="Q4790" s="41" t="str"/>
      <c r="R4790" s="41" t="str"/>
      <c r="S4790" s="41" t="str"/>
      <c r="T4790" s="41" t="str"/>
      <c r="U4790" s="41" t="str"/>
      <c r="V4790" s="41" t="str"/>
      <c r="W4790" s="41" t="str"/>
    </row>
    <row r="4791">
      <c r="B4791" s="2" t="n"/>
      <c r="C4791" s="40" t="n"/>
      <c r="D4791" s="52">
        <f t="array" ref="D4791:W4791">IF(All_Students_Scores!C4789:V4789="","",All_Students_Scores!C4789:V4789)</f>
        <v/>
      </c>
      <c r="E4791" s="57" t="str"/>
      <c r="F4791" s="49" t="str"/>
      <c r="G4791" s="59" t="str"/>
      <c r="H4791" s="64" t="str"/>
      <c r="I4791" s="65" t="str"/>
      <c r="J4791" s="49" t="str"/>
      <c r="K4791" s="41" t="str"/>
      <c r="L4791" s="41" t="str"/>
      <c r="M4791" s="41" t="str"/>
      <c r="N4791" s="41" t="str"/>
      <c r="O4791" s="41" t="str"/>
      <c r="P4791" s="41" t="str"/>
      <c r="Q4791" s="41" t="str"/>
      <c r="R4791" s="41" t="str"/>
      <c r="S4791" s="41" t="str"/>
      <c r="T4791" s="41" t="str"/>
      <c r="U4791" s="41" t="str"/>
      <c r="V4791" s="41" t="str"/>
      <c r="W4791" s="41" t="str"/>
    </row>
    <row r="4792">
      <c r="B4792" s="2" t="n"/>
      <c r="C4792" s="40" t="n"/>
      <c r="D4792" s="52">
        <f t="array" ref="D4792:W4792">IF(All_Students_Scores!C4790:V4790="","",All_Students_Scores!C4790:V4790)</f>
        <v/>
      </c>
      <c r="E4792" s="57" t="str"/>
      <c r="F4792" s="49" t="str"/>
      <c r="G4792" s="59" t="str"/>
      <c r="H4792" s="64" t="str"/>
      <c r="I4792" s="65" t="str"/>
      <c r="J4792" s="49" t="str"/>
      <c r="K4792" s="41" t="str"/>
      <c r="L4792" s="41" t="str"/>
      <c r="M4792" s="41" t="str"/>
      <c r="N4792" s="41" t="str"/>
      <c r="O4792" s="41" t="str"/>
      <c r="P4792" s="41" t="str"/>
      <c r="Q4792" s="41" t="str"/>
      <c r="R4792" s="41" t="str"/>
      <c r="S4792" s="41" t="str"/>
      <c r="T4792" s="41" t="str"/>
      <c r="U4792" s="41" t="str"/>
      <c r="V4792" s="41" t="str"/>
      <c r="W4792" s="41" t="str"/>
    </row>
    <row r="4793">
      <c r="B4793" s="2" t="n"/>
      <c r="C4793" s="40" t="n"/>
      <c r="D4793" s="52">
        <f t="array" ref="D4793:W4793">IF(All_Students_Scores!C4791:V4791="","",All_Students_Scores!C4791:V4791)</f>
        <v/>
      </c>
      <c r="E4793" s="57" t="str"/>
      <c r="F4793" s="49" t="str"/>
      <c r="G4793" s="59" t="str"/>
      <c r="H4793" s="64" t="str"/>
      <c r="I4793" s="65" t="str"/>
      <c r="J4793" s="49" t="str"/>
      <c r="K4793" s="41" t="str"/>
      <c r="L4793" s="41" t="str"/>
      <c r="M4793" s="41" t="str"/>
      <c r="N4793" s="41" t="str"/>
      <c r="O4793" s="41" t="str"/>
      <c r="P4793" s="41" t="str"/>
      <c r="Q4793" s="41" t="str"/>
      <c r="R4793" s="41" t="str"/>
      <c r="S4793" s="41" t="str"/>
      <c r="T4793" s="41" t="str"/>
      <c r="U4793" s="41" t="str"/>
      <c r="V4793" s="41" t="str"/>
      <c r="W4793" s="41" t="str"/>
    </row>
    <row r="4794">
      <c r="B4794" s="2" t="n"/>
      <c r="C4794" s="40" t="n"/>
      <c r="D4794" s="52">
        <f t="array" ref="D4794:W4794">IF(All_Students_Scores!C4792:V4792="","",All_Students_Scores!C4792:V4792)</f>
        <v/>
      </c>
      <c r="E4794" s="57" t="str"/>
      <c r="F4794" s="49" t="str"/>
      <c r="G4794" s="59" t="str"/>
      <c r="H4794" s="64" t="str"/>
      <c r="I4794" s="65" t="str"/>
      <c r="J4794" s="49" t="str"/>
      <c r="K4794" s="41" t="str"/>
      <c r="L4794" s="41" t="str"/>
      <c r="M4794" s="41" t="str"/>
      <c r="N4794" s="41" t="str"/>
      <c r="O4794" s="41" t="str"/>
      <c r="P4794" s="41" t="str"/>
      <c r="Q4794" s="41" t="str"/>
      <c r="R4794" s="41" t="str"/>
      <c r="S4794" s="41" t="str"/>
      <c r="T4794" s="41" t="str"/>
      <c r="U4794" s="41" t="str"/>
      <c r="V4794" s="41" t="str"/>
      <c r="W4794" s="41" t="str"/>
    </row>
    <row r="4795">
      <c r="B4795" s="2" t="n"/>
      <c r="C4795" s="40" t="n"/>
      <c r="D4795" s="52">
        <f t="array" ref="D4795:W4795">IF(All_Students_Scores!C4793:V4793="","",All_Students_Scores!C4793:V4793)</f>
        <v/>
      </c>
      <c r="E4795" s="57" t="str"/>
      <c r="F4795" s="49" t="str"/>
      <c r="G4795" s="59" t="str"/>
      <c r="H4795" s="64" t="str"/>
      <c r="I4795" s="65" t="str"/>
      <c r="J4795" s="49" t="str"/>
      <c r="K4795" s="41" t="str"/>
      <c r="L4795" s="41" t="str"/>
      <c r="M4795" s="41" t="str"/>
      <c r="N4795" s="41" t="str"/>
      <c r="O4795" s="41" t="str"/>
      <c r="P4795" s="41" t="str"/>
      <c r="Q4795" s="41" t="str"/>
      <c r="R4795" s="41" t="str"/>
      <c r="S4795" s="41" t="str"/>
      <c r="T4795" s="41" t="str"/>
      <c r="U4795" s="41" t="str"/>
      <c r="V4795" s="41" t="str"/>
      <c r="W4795" s="41" t="str"/>
    </row>
    <row r="4796">
      <c r="B4796" s="2" t="n"/>
      <c r="C4796" s="40" t="n"/>
      <c r="D4796" s="52">
        <f t="array" ref="D4796:W4796">IF(All_Students_Scores!C4794:V4794="","",All_Students_Scores!C4794:V4794)</f>
        <v/>
      </c>
      <c r="E4796" s="57" t="str"/>
      <c r="F4796" s="49" t="str"/>
      <c r="G4796" s="59" t="str"/>
      <c r="H4796" s="64" t="str"/>
      <c r="I4796" s="65" t="str"/>
      <c r="J4796" s="49" t="str"/>
      <c r="K4796" s="41" t="str"/>
      <c r="L4796" s="41" t="str"/>
      <c r="M4796" s="41" t="str"/>
      <c r="N4796" s="41" t="str"/>
      <c r="O4796" s="41" t="str"/>
      <c r="P4796" s="41" t="str"/>
      <c r="Q4796" s="41" t="str"/>
      <c r="R4796" s="41" t="str"/>
      <c r="S4796" s="41" t="str"/>
      <c r="T4796" s="41" t="str"/>
      <c r="U4796" s="41" t="str"/>
      <c r="V4796" s="41" t="str"/>
      <c r="W4796" s="41" t="str"/>
    </row>
    <row r="4797">
      <c r="B4797" s="2" t="n"/>
      <c r="C4797" s="40" t="n"/>
      <c r="D4797" s="52">
        <f t="array" ref="D4797:W4797">IF(All_Students_Scores!C4795:V4795="","",All_Students_Scores!C4795:V4795)</f>
        <v/>
      </c>
      <c r="E4797" s="57" t="str"/>
      <c r="F4797" s="49" t="str"/>
      <c r="G4797" s="59" t="str"/>
      <c r="H4797" s="64" t="str"/>
      <c r="I4797" s="65" t="str"/>
      <c r="J4797" s="49" t="str"/>
      <c r="K4797" s="41" t="str"/>
      <c r="L4797" s="41" t="str"/>
      <c r="M4797" s="41" t="str"/>
      <c r="N4797" s="41" t="str"/>
      <c r="O4797" s="41" t="str"/>
      <c r="P4797" s="41" t="str"/>
      <c r="Q4797" s="41" t="str"/>
      <c r="R4797" s="41" t="str"/>
      <c r="S4797" s="41" t="str"/>
      <c r="T4797" s="41" t="str"/>
      <c r="U4797" s="41" t="str"/>
      <c r="V4797" s="41" t="str"/>
      <c r="W4797" s="41" t="str"/>
    </row>
    <row r="4798">
      <c r="B4798" s="2" t="n"/>
      <c r="C4798" s="40" t="n"/>
      <c r="D4798" s="52">
        <f t="array" ref="D4798:W4798">IF(All_Students_Scores!C4796:V4796="","",All_Students_Scores!C4796:V4796)</f>
        <v/>
      </c>
      <c r="E4798" s="57" t="str"/>
      <c r="F4798" s="49" t="str"/>
      <c r="G4798" s="59" t="str"/>
      <c r="H4798" s="64" t="str"/>
      <c r="I4798" s="65" t="str"/>
      <c r="J4798" s="49" t="str"/>
      <c r="K4798" s="41" t="str"/>
      <c r="L4798" s="41" t="str"/>
      <c r="M4798" s="41" t="str"/>
      <c r="N4798" s="41" t="str"/>
      <c r="O4798" s="41" t="str"/>
      <c r="P4798" s="41" t="str"/>
      <c r="Q4798" s="41" t="str"/>
      <c r="R4798" s="41" t="str"/>
      <c r="S4798" s="41" t="str"/>
      <c r="T4798" s="41" t="str"/>
      <c r="U4798" s="41" t="str"/>
      <c r="V4798" s="41" t="str"/>
      <c r="W4798" s="41" t="str"/>
    </row>
    <row r="4799">
      <c r="B4799" s="2" t="n"/>
      <c r="C4799" s="40" t="n"/>
      <c r="D4799" s="52">
        <f t="array" ref="D4799:W4799">IF(All_Students_Scores!C4797:V4797="","",All_Students_Scores!C4797:V4797)</f>
        <v/>
      </c>
      <c r="E4799" s="57" t="str"/>
      <c r="F4799" s="49" t="str"/>
      <c r="G4799" s="59" t="str"/>
      <c r="H4799" s="64" t="str"/>
      <c r="I4799" s="65" t="str"/>
      <c r="J4799" s="49" t="str"/>
      <c r="K4799" s="41" t="str"/>
      <c r="L4799" s="41" t="str"/>
      <c r="M4799" s="41" t="str"/>
      <c r="N4799" s="41" t="str"/>
      <c r="O4799" s="41" t="str"/>
      <c r="P4799" s="41" t="str"/>
      <c r="Q4799" s="41" t="str"/>
      <c r="R4799" s="41" t="str"/>
      <c r="S4799" s="41" t="str"/>
      <c r="T4799" s="41" t="str"/>
      <c r="U4799" s="41" t="str"/>
      <c r="V4799" s="41" t="str"/>
      <c r="W4799" s="41" t="str"/>
    </row>
    <row r="4800">
      <c r="B4800" s="2" t="n"/>
      <c r="C4800" s="40" t="n"/>
      <c r="D4800" s="52">
        <f t="array" ref="D4800:W4800">IF(All_Students_Scores!C4798:V4798="","",All_Students_Scores!C4798:V4798)</f>
        <v/>
      </c>
      <c r="E4800" s="57" t="str"/>
      <c r="F4800" s="49" t="str"/>
      <c r="G4800" s="59" t="str"/>
      <c r="H4800" s="64" t="str"/>
      <c r="I4800" s="65" t="str"/>
      <c r="J4800" s="49" t="str"/>
      <c r="K4800" s="41" t="str"/>
      <c r="L4800" s="41" t="str"/>
      <c r="M4800" s="41" t="str"/>
      <c r="N4800" s="41" t="str"/>
      <c r="O4800" s="41" t="str"/>
      <c r="P4800" s="41" t="str"/>
      <c r="Q4800" s="41" t="str"/>
      <c r="R4800" s="41" t="str"/>
      <c r="S4800" s="41" t="str"/>
      <c r="T4800" s="41" t="str"/>
      <c r="U4800" s="41" t="str"/>
      <c r="V4800" s="41" t="str"/>
      <c r="W4800" s="41" t="str"/>
    </row>
    <row r="4801">
      <c r="B4801" s="2" t="n"/>
      <c r="C4801" s="40" t="n"/>
      <c r="D4801" s="52">
        <f t="array" ref="D4801:W4801">IF(All_Students_Scores!C4799:V4799="","",All_Students_Scores!C4799:V4799)</f>
        <v/>
      </c>
      <c r="E4801" s="57" t="str"/>
      <c r="F4801" s="49" t="str"/>
      <c r="G4801" s="59" t="str"/>
      <c r="H4801" s="64" t="str"/>
      <c r="I4801" s="65" t="str"/>
      <c r="J4801" s="49" t="str"/>
      <c r="K4801" s="41" t="str"/>
      <c r="L4801" s="41" t="str"/>
      <c r="M4801" s="41" t="str"/>
      <c r="N4801" s="41" t="str"/>
      <c r="O4801" s="41" t="str"/>
      <c r="P4801" s="41" t="str"/>
      <c r="Q4801" s="41" t="str"/>
      <c r="R4801" s="41" t="str"/>
      <c r="S4801" s="41" t="str"/>
      <c r="T4801" s="41" t="str"/>
      <c r="U4801" s="41" t="str"/>
      <c r="V4801" s="41" t="str"/>
      <c r="W4801" s="41" t="str"/>
    </row>
    <row r="4802">
      <c r="B4802" s="2" t="n"/>
      <c r="C4802" s="40" t="n"/>
      <c r="D4802" s="52">
        <f t="array" ref="D4802:W4802">IF(All_Students_Scores!C4800:V4800="","",All_Students_Scores!C4800:V4800)</f>
        <v/>
      </c>
      <c r="E4802" s="57" t="str"/>
      <c r="F4802" s="49" t="str"/>
      <c r="G4802" s="59" t="str"/>
      <c r="H4802" s="64" t="str"/>
      <c r="I4802" s="65" t="str"/>
      <c r="J4802" s="49" t="str"/>
      <c r="K4802" s="41" t="str"/>
      <c r="L4802" s="41" t="str"/>
      <c r="M4802" s="41" t="str"/>
      <c r="N4802" s="41" t="str"/>
      <c r="O4802" s="41" t="str"/>
      <c r="P4802" s="41" t="str"/>
      <c r="Q4802" s="41" t="str"/>
      <c r="R4802" s="41" t="str"/>
      <c r="S4802" s="41" t="str"/>
      <c r="T4802" s="41" t="str"/>
      <c r="U4802" s="41" t="str"/>
      <c r="V4802" s="41" t="str"/>
      <c r="W4802" s="41" t="str"/>
    </row>
    <row r="4803">
      <c r="B4803" s="2" t="n"/>
      <c r="C4803" s="40" t="n"/>
      <c r="D4803" s="52">
        <f t="array" ref="D4803:W4803">IF(All_Students_Scores!C4801:V4801="","",All_Students_Scores!C4801:V4801)</f>
        <v/>
      </c>
      <c r="E4803" s="57" t="str"/>
      <c r="F4803" s="49" t="str"/>
      <c r="G4803" s="59" t="str"/>
      <c r="H4803" s="64" t="str"/>
      <c r="I4803" s="65" t="str"/>
      <c r="J4803" s="49" t="str"/>
      <c r="K4803" s="41" t="str"/>
      <c r="L4803" s="41" t="str"/>
      <c r="M4803" s="41" t="str"/>
      <c r="N4803" s="41" t="str"/>
      <c r="O4803" s="41" t="str"/>
      <c r="P4803" s="41" t="str"/>
      <c r="Q4803" s="41" t="str"/>
      <c r="R4803" s="41" t="str"/>
      <c r="S4803" s="41" t="str"/>
      <c r="T4803" s="41" t="str"/>
      <c r="U4803" s="41" t="str"/>
      <c r="V4803" s="41" t="str"/>
      <c r="W4803" s="41" t="str"/>
    </row>
    <row r="4804">
      <c r="B4804" s="2" t="n"/>
      <c r="C4804" s="40" t="n"/>
      <c r="D4804" s="52">
        <f t="array" ref="D4804:W4804">IF(All_Students_Scores!C4802:V4802="","",All_Students_Scores!C4802:V4802)</f>
        <v/>
      </c>
      <c r="E4804" s="57" t="str"/>
      <c r="F4804" s="49" t="str"/>
      <c r="G4804" s="59" t="str"/>
      <c r="H4804" s="64" t="str"/>
      <c r="I4804" s="65" t="str"/>
      <c r="J4804" s="49" t="str"/>
      <c r="K4804" s="41" t="str"/>
      <c r="L4804" s="41" t="str"/>
      <c r="M4804" s="41" t="str"/>
      <c r="N4804" s="41" t="str"/>
      <c r="O4804" s="41" t="str"/>
      <c r="P4804" s="41" t="str"/>
      <c r="Q4804" s="41" t="str"/>
      <c r="R4804" s="41" t="str"/>
      <c r="S4804" s="41" t="str"/>
      <c r="T4804" s="41" t="str"/>
      <c r="U4804" s="41" t="str"/>
      <c r="V4804" s="41" t="str"/>
      <c r="W4804" s="41" t="str"/>
    </row>
    <row r="4805">
      <c r="B4805" s="2" t="n"/>
      <c r="C4805" s="40" t="n"/>
      <c r="D4805" s="52">
        <f t="array" ref="D4805:W4805">IF(All_Students_Scores!C4803:V4803="","",All_Students_Scores!C4803:V4803)</f>
        <v/>
      </c>
      <c r="E4805" s="57" t="str"/>
      <c r="F4805" s="49" t="str"/>
      <c r="G4805" s="59" t="str"/>
      <c r="H4805" s="64" t="str"/>
      <c r="I4805" s="65" t="str"/>
      <c r="J4805" s="49" t="str"/>
      <c r="K4805" s="41" t="str"/>
      <c r="L4805" s="41" t="str"/>
      <c r="M4805" s="41" t="str"/>
      <c r="N4805" s="41" t="str"/>
      <c r="O4805" s="41" t="str"/>
      <c r="P4805" s="41" t="str"/>
      <c r="Q4805" s="41" t="str"/>
      <c r="R4805" s="41" t="str"/>
      <c r="S4805" s="41" t="str"/>
      <c r="T4805" s="41" t="str"/>
      <c r="U4805" s="41" t="str"/>
      <c r="V4805" s="41" t="str"/>
      <c r="W4805" s="41" t="str"/>
    </row>
    <row r="4806">
      <c r="B4806" s="2" t="n"/>
      <c r="C4806" s="40" t="n"/>
      <c r="D4806" s="52">
        <f t="array" ref="D4806:W4806">IF(All_Students_Scores!C4804:V4804="","",All_Students_Scores!C4804:V4804)</f>
        <v/>
      </c>
      <c r="E4806" s="57" t="str"/>
      <c r="F4806" s="49" t="str"/>
      <c r="G4806" s="59" t="str"/>
      <c r="H4806" s="64" t="str"/>
      <c r="I4806" s="65" t="str"/>
      <c r="J4806" s="49" t="str"/>
      <c r="K4806" s="41" t="str"/>
      <c r="L4806" s="41" t="str"/>
      <c r="M4806" s="41" t="str"/>
      <c r="N4806" s="41" t="str"/>
      <c r="O4806" s="41" t="str"/>
      <c r="P4806" s="41" t="str"/>
      <c r="Q4806" s="41" t="str"/>
      <c r="R4806" s="41" t="str"/>
      <c r="S4806" s="41" t="str"/>
      <c r="T4806" s="41" t="str"/>
      <c r="U4806" s="41" t="str"/>
      <c r="V4806" s="41" t="str"/>
      <c r="W4806" s="41" t="str"/>
    </row>
    <row r="4807">
      <c r="B4807" s="2" t="n"/>
      <c r="C4807" s="40" t="n"/>
      <c r="D4807" s="52">
        <f t="array" ref="D4807:W4807">IF(All_Students_Scores!C4805:V4805="","",All_Students_Scores!C4805:V4805)</f>
        <v/>
      </c>
      <c r="E4807" s="57" t="str"/>
      <c r="F4807" s="49" t="str"/>
      <c r="G4807" s="59" t="str"/>
      <c r="H4807" s="64" t="str"/>
      <c r="I4807" s="65" t="str"/>
      <c r="J4807" s="49" t="str"/>
      <c r="K4807" s="41" t="str"/>
      <c r="L4807" s="41" t="str"/>
      <c r="M4807" s="41" t="str"/>
      <c r="N4807" s="41" t="str"/>
      <c r="O4807" s="41" t="str"/>
      <c r="P4807" s="41" t="str"/>
      <c r="Q4807" s="41" t="str"/>
      <c r="R4807" s="41" t="str"/>
      <c r="S4807" s="41" t="str"/>
      <c r="T4807" s="41" t="str"/>
      <c r="U4807" s="41" t="str"/>
      <c r="V4807" s="41" t="str"/>
      <c r="W4807" s="41" t="str"/>
    </row>
    <row r="4808">
      <c r="B4808" s="2" t="n"/>
      <c r="C4808" s="40" t="n"/>
      <c r="D4808" s="52">
        <f t="array" ref="D4808:W4808">IF(All_Students_Scores!C4806:V4806="","",All_Students_Scores!C4806:V4806)</f>
        <v/>
      </c>
      <c r="E4808" s="57" t="str"/>
      <c r="F4808" s="49" t="str"/>
      <c r="G4808" s="59" t="str"/>
      <c r="H4808" s="64" t="str"/>
      <c r="I4808" s="65" t="str"/>
      <c r="J4808" s="49" t="str"/>
      <c r="K4808" s="41" t="str"/>
      <c r="L4808" s="41" t="str"/>
      <c r="M4808" s="41" t="str"/>
      <c r="N4808" s="41" t="str"/>
      <c r="O4808" s="41" t="str"/>
      <c r="P4808" s="41" t="str"/>
      <c r="Q4808" s="41" t="str"/>
      <c r="R4808" s="41" t="str"/>
      <c r="S4808" s="41" t="str"/>
      <c r="T4808" s="41" t="str"/>
      <c r="U4808" s="41" t="str"/>
      <c r="V4808" s="41" t="str"/>
      <c r="W4808" s="41" t="str"/>
    </row>
    <row r="4809">
      <c r="B4809" s="2" t="n"/>
      <c r="C4809" s="40" t="n"/>
      <c r="D4809" s="52">
        <f t="array" ref="D4809:W4809">IF(All_Students_Scores!C4807:V4807="","",All_Students_Scores!C4807:V4807)</f>
        <v/>
      </c>
      <c r="E4809" s="57" t="str"/>
      <c r="F4809" s="49" t="str"/>
      <c r="G4809" s="59" t="str"/>
      <c r="H4809" s="64" t="str"/>
      <c r="I4809" s="65" t="str"/>
      <c r="J4809" s="49" t="str"/>
      <c r="K4809" s="41" t="str"/>
      <c r="L4809" s="41" t="str"/>
      <c r="M4809" s="41" t="str"/>
      <c r="N4809" s="41" t="str"/>
      <c r="O4809" s="41" t="str"/>
      <c r="P4809" s="41" t="str"/>
      <c r="Q4809" s="41" t="str"/>
      <c r="R4809" s="41" t="str"/>
      <c r="S4809" s="41" t="str"/>
      <c r="T4809" s="41" t="str"/>
      <c r="U4809" s="41" t="str"/>
      <c r="V4809" s="41" t="str"/>
      <c r="W4809" s="41" t="str"/>
    </row>
    <row r="4810">
      <c r="B4810" s="2" t="n"/>
      <c r="C4810" s="40" t="n"/>
      <c r="D4810" s="52">
        <f t="array" ref="D4810:W4810">IF(All_Students_Scores!C4808:V4808="","",All_Students_Scores!C4808:V4808)</f>
        <v/>
      </c>
      <c r="E4810" s="57" t="str"/>
      <c r="F4810" s="49" t="str"/>
      <c r="G4810" s="59" t="str"/>
      <c r="H4810" s="64" t="str"/>
      <c r="I4810" s="65" t="str"/>
      <c r="J4810" s="49" t="str"/>
      <c r="K4810" s="41" t="str"/>
      <c r="L4810" s="41" t="str"/>
      <c r="M4810" s="41" t="str"/>
      <c r="N4810" s="41" t="str"/>
      <c r="O4810" s="41" t="str"/>
      <c r="P4810" s="41" t="str"/>
      <c r="Q4810" s="41" t="str"/>
      <c r="R4810" s="41" t="str"/>
      <c r="S4810" s="41" t="str"/>
      <c r="T4810" s="41" t="str"/>
      <c r="U4810" s="41" t="str"/>
      <c r="V4810" s="41" t="str"/>
      <c r="W4810" s="41" t="str"/>
    </row>
    <row r="4811">
      <c r="B4811" s="2" t="n"/>
      <c r="C4811" s="40" t="n"/>
      <c r="D4811" s="52">
        <f t="array" ref="D4811:W4811">IF(All_Students_Scores!C4809:V4809="","",All_Students_Scores!C4809:V4809)</f>
        <v/>
      </c>
      <c r="E4811" s="57" t="str"/>
      <c r="F4811" s="49" t="str"/>
      <c r="G4811" s="59" t="str"/>
      <c r="H4811" s="64" t="str"/>
      <c r="I4811" s="65" t="str"/>
      <c r="J4811" s="49" t="str"/>
      <c r="K4811" s="41" t="str"/>
      <c r="L4811" s="41" t="str"/>
      <c r="M4811" s="41" t="str"/>
      <c r="N4811" s="41" t="str"/>
      <c r="O4811" s="41" t="str"/>
      <c r="P4811" s="41" t="str"/>
      <c r="Q4811" s="41" t="str"/>
      <c r="R4811" s="41" t="str"/>
      <c r="S4811" s="41" t="str"/>
      <c r="T4811" s="41" t="str"/>
      <c r="U4811" s="41" t="str"/>
      <c r="V4811" s="41" t="str"/>
      <c r="W4811" s="41" t="str"/>
    </row>
    <row r="4812">
      <c r="B4812" s="2" t="n"/>
      <c r="C4812" s="40" t="n"/>
      <c r="D4812" s="52">
        <f t="array" ref="D4812:W4812">IF(All_Students_Scores!C4810:V4810="","",All_Students_Scores!C4810:V4810)</f>
        <v/>
      </c>
      <c r="E4812" s="57" t="str"/>
      <c r="F4812" s="49" t="str"/>
      <c r="G4812" s="59" t="str"/>
      <c r="H4812" s="64" t="str"/>
      <c r="I4812" s="65" t="str"/>
      <c r="J4812" s="49" t="str"/>
      <c r="K4812" s="41" t="str"/>
      <c r="L4812" s="41" t="str"/>
      <c r="M4812" s="41" t="str"/>
      <c r="N4812" s="41" t="str"/>
      <c r="O4812" s="41" t="str"/>
      <c r="P4812" s="41" t="str"/>
      <c r="Q4812" s="41" t="str"/>
      <c r="R4812" s="41" t="str"/>
      <c r="S4812" s="41" t="str"/>
      <c r="T4812" s="41" t="str"/>
      <c r="U4812" s="41" t="str"/>
      <c r="V4812" s="41" t="str"/>
      <c r="W4812" s="41" t="str"/>
    </row>
    <row r="4813">
      <c r="B4813" s="2" t="n"/>
      <c r="C4813" s="40" t="n"/>
      <c r="D4813" s="52">
        <f t="array" ref="D4813:W4813">IF(All_Students_Scores!C4811:V4811="","",All_Students_Scores!C4811:V4811)</f>
        <v/>
      </c>
      <c r="E4813" s="57" t="str"/>
      <c r="F4813" s="49" t="str"/>
      <c r="G4813" s="59" t="str"/>
      <c r="H4813" s="64" t="str"/>
      <c r="I4813" s="65" t="str"/>
      <c r="J4813" s="49" t="str"/>
      <c r="K4813" s="41" t="str"/>
      <c r="L4813" s="41" t="str"/>
      <c r="M4813" s="41" t="str"/>
      <c r="N4813" s="41" t="str"/>
      <c r="O4813" s="41" t="str"/>
      <c r="P4813" s="41" t="str"/>
      <c r="Q4813" s="41" t="str"/>
      <c r="R4813" s="41" t="str"/>
      <c r="S4813" s="41" t="str"/>
      <c r="T4813" s="41" t="str"/>
      <c r="U4813" s="41" t="str"/>
      <c r="V4813" s="41" t="str"/>
      <c r="W4813" s="41" t="str"/>
    </row>
    <row r="4814">
      <c r="B4814" s="2" t="n"/>
      <c r="C4814" s="40" t="n"/>
      <c r="D4814" s="52">
        <f t="array" ref="D4814:W4814">IF(All_Students_Scores!C4812:V4812="","",All_Students_Scores!C4812:V4812)</f>
        <v/>
      </c>
      <c r="E4814" s="57" t="str"/>
      <c r="F4814" s="49" t="str"/>
      <c r="G4814" s="59" t="str"/>
      <c r="H4814" s="64" t="str"/>
      <c r="I4814" s="65" t="str"/>
      <c r="J4814" s="49" t="str"/>
      <c r="K4814" s="41" t="str"/>
      <c r="L4814" s="41" t="str"/>
      <c r="M4814" s="41" t="str"/>
      <c r="N4814" s="41" t="str"/>
      <c r="O4814" s="41" t="str"/>
      <c r="P4814" s="41" t="str"/>
      <c r="Q4814" s="41" t="str"/>
      <c r="R4814" s="41" t="str"/>
      <c r="S4814" s="41" t="str"/>
      <c r="T4814" s="41" t="str"/>
      <c r="U4814" s="41" t="str"/>
      <c r="V4814" s="41" t="str"/>
      <c r="W4814" s="41" t="str"/>
    </row>
    <row r="4815">
      <c r="B4815" s="2" t="n"/>
      <c r="C4815" s="40" t="n"/>
      <c r="D4815" s="52">
        <f t="array" ref="D4815:W4815">IF(All_Students_Scores!C4813:V4813="","",All_Students_Scores!C4813:V4813)</f>
        <v/>
      </c>
      <c r="E4815" s="57" t="str"/>
      <c r="F4815" s="49" t="str"/>
      <c r="G4815" s="59" t="str"/>
      <c r="H4815" s="64" t="str"/>
      <c r="I4815" s="65" t="str"/>
      <c r="J4815" s="49" t="str"/>
      <c r="K4815" s="41" t="str"/>
      <c r="L4815" s="41" t="str"/>
      <c r="M4815" s="41" t="str"/>
      <c r="N4815" s="41" t="str"/>
      <c r="O4815" s="41" t="str"/>
      <c r="P4815" s="41" t="str"/>
      <c r="Q4815" s="41" t="str"/>
      <c r="R4815" s="41" t="str"/>
      <c r="S4815" s="41" t="str"/>
      <c r="T4815" s="41" t="str"/>
      <c r="U4815" s="41" t="str"/>
      <c r="V4815" s="41" t="str"/>
      <c r="W4815" s="41" t="str"/>
    </row>
    <row r="4816">
      <c r="B4816" s="2" t="n"/>
      <c r="C4816" s="40" t="n"/>
      <c r="D4816" s="52">
        <f t="array" ref="D4816:W4816">IF(All_Students_Scores!C4814:V4814="","",All_Students_Scores!C4814:V4814)</f>
        <v/>
      </c>
      <c r="E4816" s="57" t="str"/>
      <c r="F4816" s="49" t="str"/>
      <c r="G4816" s="59" t="str"/>
      <c r="H4816" s="64" t="str"/>
      <c r="I4816" s="65" t="str"/>
      <c r="J4816" s="49" t="str"/>
      <c r="K4816" s="41" t="str"/>
      <c r="L4816" s="41" t="str"/>
      <c r="M4816" s="41" t="str"/>
      <c r="N4816" s="41" t="str"/>
      <c r="O4816" s="41" t="str"/>
      <c r="P4816" s="41" t="str"/>
      <c r="Q4816" s="41" t="str"/>
      <c r="R4816" s="41" t="str"/>
      <c r="S4816" s="41" t="str"/>
      <c r="T4816" s="41" t="str"/>
      <c r="U4816" s="41" t="str"/>
      <c r="V4816" s="41" t="str"/>
      <c r="W4816" s="41" t="str"/>
    </row>
    <row r="4817">
      <c r="B4817" s="2" t="n"/>
      <c r="C4817" s="40" t="n"/>
      <c r="D4817" s="52">
        <f t="array" ref="D4817:W4817">IF(All_Students_Scores!C4815:V4815="","",All_Students_Scores!C4815:V4815)</f>
        <v/>
      </c>
      <c r="E4817" s="57" t="str"/>
      <c r="F4817" s="49" t="str"/>
      <c r="G4817" s="59" t="str"/>
      <c r="H4817" s="64" t="str"/>
      <c r="I4817" s="65" t="str"/>
      <c r="J4817" s="49" t="str"/>
      <c r="K4817" s="41" t="str"/>
      <c r="L4817" s="41" t="str"/>
      <c r="M4817" s="41" t="str"/>
      <c r="N4817" s="41" t="str"/>
      <c r="O4817" s="41" t="str"/>
      <c r="P4817" s="41" t="str"/>
      <c r="Q4817" s="41" t="str"/>
      <c r="R4817" s="41" t="str"/>
      <c r="S4817" s="41" t="str"/>
      <c r="T4817" s="41" t="str"/>
      <c r="U4817" s="41" t="str"/>
      <c r="V4817" s="41" t="str"/>
      <c r="W4817" s="41" t="str"/>
    </row>
    <row r="4818">
      <c r="B4818" s="2" t="n"/>
      <c r="C4818" s="40" t="n"/>
      <c r="D4818" s="52">
        <f t="array" ref="D4818:W4818">IF(All_Students_Scores!C4816:V4816="","",All_Students_Scores!C4816:V4816)</f>
        <v/>
      </c>
      <c r="E4818" s="57" t="str"/>
      <c r="F4818" s="49" t="str"/>
      <c r="G4818" s="59" t="str"/>
      <c r="H4818" s="64" t="str"/>
      <c r="I4818" s="65" t="str"/>
      <c r="J4818" s="49" t="str"/>
      <c r="K4818" s="41" t="str"/>
      <c r="L4818" s="41" t="str"/>
      <c r="M4818" s="41" t="str"/>
      <c r="N4818" s="41" t="str"/>
      <c r="O4818" s="41" t="str"/>
      <c r="P4818" s="41" t="str"/>
      <c r="Q4818" s="41" t="str"/>
      <c r="R4818" s="41" t="str"/>
      <c r="S4818" s="41" t="str"/>
      <c r="T4818" s="41" t="str"/>
      <c r="U4818" s="41" t="str"/>
      <c r="V4818" s="41" t="str"/>
      <c r="W4818" s="41" t="str"/>
    </row>
    <row r="4819">
      <c r="B4819" s="2" t="n"/>
      <c r="C4819" s="40" t="n"/>
      <c r="D4819" s="52">
        <f t="array" ref="D4819:W4819">IF(All_Students_Scores!C4817:V4817="","",All_Students_Scores!C4817:V4817)</f>
        <v/>
      </c>
      <c r="E4819" s="57" t="str"/>
      <c r="F4819" s="49" t="str"/>
      <c r="G4819" s="59" t="str"/>
      <c r="H4819" s="64" t="str"/>
      <c r="I4819" s="65" t="str"/>
      <c r="J4819" s="49" t="str"/>
      <c r="K4819" s="41" t="str"/>
      <c r="L4819" s="41" t="str"/>
      <c r="M4819" s="41" t="str"/>
      <c r="N4819" s="41" t="str"/>
      <c r="O4819" s="41" t="str"/>
      <c r="P4819" s="41" t="str"/>
      <c r="Q4819" s="41" t="str"/>
      <c r="R4819" s="41" t="str"/>
      <c r="S4819" s="41" t="str"/>
      <c r="T4819" s="41" t="str"/>
      <c r="U4819" s="41" t="str"/>
      <c r="V4819" s="41" t="str"/>
      <c r="W4819" s="41" t="str"/>
    </row>
    <row r="4820">
      <c r="B4820" s="2" t="n"/>
      <c r="C4820" s="40" t="n"/>
      <c r="D4820" s="52">
        <f t="array" ref="D4820:W4820">IF(All_Students_Scores!C4818:V4818="","",All_Students_Scores!C4818:V4818)</f>
        <v/>
      </c>
      <c r="E4820" s="57" t="str"/>
      <c r="F4820" s="49" t="str"/>
      <c r="G4820" s="59" t="str"/>
      <c r="H4820" s="64" t="str"/>
      <c r="I4820" s="65" t="str"/>
      <c r="J4820" s="49" t="str"/>
      <c r="K4820" s="41" t="str"/>
      <c r="L4820" s="41" t="str"/>
      <c r="M4820" s="41" t="str"/>
      <c r="N4820" s="41" t="str"/>
      <c r="O4820" s="41" t="str"/>
      <c r="P4820" s="41" t="str"/>
      <c r="Q4820" s="41" t="str"/>
      <c r="R4820" s="41" t="str"/>
      <c r="S4820" s="41" t="str"/>
      <c r="T4820" s="41" t="str"/>
      <c r="U4820" s="41" t="str"/>
      <c r="V4820" s="41" t="str"/>
      <c r="W4820" s="41" t="str"/>
    </row>
    <row r="4821">
      <c r="B4821" s="2" t="n"/>
      <c r="C4821" s="40" t="n"/>
      <c r="D4821" s="52">
        <f t="array" ref="D4821:W4821">IF(All_Students_Scores!C4819:V4819="","",All_Students_Scores!C4819:V4819)</f>
        <v/>
      </c>
      <c r="E4821" s="57" t="str"/>
      <c r="F4821" s="49" t="str"/>
      <c r="G4821" s="59" t="str"/>
      <c r="H4821" s="64" t="str"/>
      <c r="I4821" s="65" t="str"/>
      <c r="J4821" s="49" t="str"/>
      <c r="K4821" s="41" t="str"/>
      <c r="L4821" s="41" t="str"/>
      <c r="M4821" s="41" t="str"/>
      <c r="N4821" s="41" t="str"/>
      <c r="O4821" s="41" t="str"/>
      <c r="P4821" s="41" t="str"/>
      <c r="Q4821" s="41" t="str"/>
      <c r="R4821" s="41" t="str"/>
      <c r="S4821" s="41" t="str"/>
      <c r="T4821" s="41" t="str"/>
      <c r="U4821" s="41" t="str"/>
      <c r="V4821" s="41" t="str"/>
      <c r="W4821" s="41" t="str"/>
    </row>
    <row r="4822">
      <c r="B4822" s="2" t="n"/>
      <c r="C4822" s="40" t="n"/>
      <c r="D4822" s="52">
        <f t="array" ref="D4822:W4822">IF(All_Students_Scores!C4820:V4820="","",All_Students_Scores!C4820:V4820)</f>
        <v/>
      </c>
      <c r="E4822" s="57" t="str"/>
      <c r="F4822" s="49" t="str"/>
      <c r="G4822" s="59" t="str"/>
      <c r="H4822" s="64" t="str"/>
      <c r="I4822" s="65" t="str"/>
      <c r="J4822" s="49" t="str"/>
      <c r="K4822" s="41" t="str"/>
      <c r="L4822" s="41" t="str"/>
      <c r="M4822" s="41" t="str"/>
      <c r="N4822" s="41" t="str"/>
      <c r="O4822" s="41" t="str"/>
      <c r="P4822" s="41" t="str"/>
      <c r="Q4822" s="41" t="str"/>
      <c r="R4822" s="41" t="str"/>
      <c r="S4822" s="41" t="str"/>
      <c r="T4822" s="41" t="str"/>
      <c r="U4822" s="41" t="str"/>
      <c r="V4822" s="41" t="str"/>
      <c r="W4822" s="41" t="str"/>
    </row>
    <row r="4823">
      <c r="B4823" s="2" t="n"/>
      <c r="C4823" s="40" t="n"/>
      <c r="D4823" s="52">
        <f t="array" ref="D4823:W4823">IF(All_Students_Scores!C4821:V4821="","",All_Students_Scores!C4821:V4821)</f>
        <v/>
      </c>
      <c r="E4823" s="57" t="str"/>
      <c r="F4823" s="49" t="str"/>
      <c r="G4823" s="59" t="str"/>
      <c r="H4823" s="64" t="str"/>
      <c r="I4823" s="65" t="str"/>
      <c r="J4823" s="49" t="str"/>
      <c r="K4823" s="41" t="str"/>
      <c r="L4823" s="41" t="str"/>
      <c r="M4823" s="41" t="str"/>
      <c r="N4823" s="41" t="str"/>
      <c r="O4823" s="41" t="str"/>
      <c r="P4823" s="41" t="str"/>
      <c r="Q4823" s="41" t="str"/>
      <c r="R4823" s="41" t="str"/>
      <c r="S4823" s="41" t="str"/>
      <c r="T4823" s="41" t="str"/>
      <c r="U4823" s="41" t="str"/>
      <c r="V4823" s="41" t="str"/>
      <c r="W4823" s="41" t="str"/>
    </row>
    <row r="4824">
      <c r="B4824" s="2" t="n"/>
      <c r="C4824" s="40" t="n"/>
      <c r="D4824" s="52">
        <f t="array" ref="D4824:W4824">IF(All_Students_Scores!C4822:V4822="","",All_Students_Scores!C4822:V4822)</f>
        <v/>
      </c>
      <c r="E4824" s="57" t="str"/>
      <c r="F4824" s="49" t="str"/>
      <c r="G4824" s="59" t="str"/>
      <c r="H4824" s="64" t="str"/>
      <c r="I4824" s="65" t="str"/>
      <c r="J4824" s="49" t="str"/>
      <c r="K4824" s="41" t="str"/>
      <c r="L4824" s="41" t="str"/>
      <c r="M4824" s="41" t="str"/>
      <c r="N4824" s="41" t="str"/>
      <c r="O4824" s="41" t="str"/>
      <c r="P4824" s="41" t="str"/>
      <c r="Q4824" s="41" t="str"/>
      <c r="R4824" s="41" t="str"/>
      <c r="S4824" s="41" t="str"/>
      <c r="T4824" s="41" t="str"/>
      <c r="U4824" s="41" t="str"/>
      <c r="V4824" s="41" t="str"/>
      <c r="W4824" s="41" t="str"/>
    </row>
    <row r="4825">
      <c r="B4825" s="2" t="n"/>
      <c r="C4825" s="40" t="n"/>
      <c r="D4825" s="52">
        <f t="array" ref="D4825:W4825">IF(All_Students_Scores!C4823:V4823="","",All_Students_Scores!C4823:V4823)</f>
        <v/>
      </c>
      <c r="E4825" s="57" t="str"/>
      <c r="F4825" s="49" t="str"/>
      <c r="G4825" s="59" t="str"/>
      <c r="H4825" s="64" t="str"/>
      <c r="I4825" s="65" t="str"/>
      <c r="J4825" s="49" t="str"/>
      <c r="K4825" s="41" t="str"/>
      <c r="L4825" s="41" t="str"/>
      <c r="M4825" s="41" t="str"/>
      <c r="N4825" s="41" t="str"/>
      <c r="O4825" s="41" t="str"/>
      <c r="P4825" s="41" t="str"/>
      <c r="Q4825" s="41" t="str"/>
      <c r="R4825" s="41" t="str"/>
      <c r="S4825" s="41" t="str"/>
      <c r="T4825" s="41" t="str"/>
      <c r="U4825" s="41" t="str"/>
      <c r="V4825" s="41" t="str"/>
      <c r="W4825" s="41" t="str"/>
    </row>
    <row r="4826">
      <c r="B4826" s="2" t="n"/>
      <c r="C4826" s="40" t="n"/>
      <c r="D4826" s="52">
        <f t="array" ref="D4826:W4826">IF(All_Students_Scores!C4824:V4824="","",All_Students_Scores!C4824:V4824)</f>
        <v/>
      </c>
      <c r="E4826" s="57" t="str"/>
      <c r="F4826" s="49" t="str"/>
      <c r="G4826" s="59" t="str"/>
      <c r="H4826" s="64" t="str"/>
      <c r="I4826" s="65" t="str"/>
      <c r="J4826" s="49" t="str"/>
      <c r="K4826" s="41" t="str"/>
      <c r="L4826" s="41" t="str"/>
      <c r="M4826" s="41" t="str"/>
      <c r="N4826" s="41" t="str"/>
      <c r="O4826" s="41" t="str"/>
      <c r="P4826" s="41" t="str"/>
      <c r="Q4826" s="41" t="str"/>
      <c r="R4826" s="41" t="str"/>
      <c r="S4826" s="41" t="str"/>
      <c r="T4826" s="41" t="str"/>
      <c r="U4826" s="41" t="str"/>
      <c r="V4826" s="41" t="str"/>
      <c r="W4826" s="41" t="str"/>
    </row>
    <row r="4827">
      <c r="B4827" s="2" t="n"/>
      <c r="C4827" s="40" t="n"/>
      <c r="D4827" s="52">
        <f t="array" ref="D4827:W4827">IF(All_Students_Scores!C4825:V4825="","",All_Students_Scores!C4825:V4825)</f>
        <v/>
      </c>
      <c r="E4827" s="57" t="str"/>
      <c r="F4827" s="49" t="str"/>
      <c r="G4827" s="59" t="str"/>
      <c r="H4827" s="64" t="str"/>
      <c r="I4827" s="65" t="str"/>
      <c r="J4827" s="49" t="str"/>
      <c r="K4827" s="41" t="str"/>
      <c r="L4827" s="41" t="str"/>
      <c r="M4827" s="41" t="str"/>
      <c r="N4827" s="41" t="str"/>
      <c r="O4827" s="41" t="str"/>
      <c r="P4827" s="41" t="str"/>
      <c r="Q4827" s="41" t="str"/>
      <c r="R4827" s="41" t="str"/>
      <c r="S4827" s="41" t="str"/>
      <c r="T4827" s="41" t="str"/>
      <c r="U4827" s="41" t="str"/>
      <c r="V4827" s="41" t="str"/>
      <c r="W4827" s="41" t="str"/>
    </row>
    <row r="4828">
      <c r="B4828" s="2" t="n"/>
      <c r="C4828" s="40" t="n"/>
      <c r="D4828" s="52">
        <f t="array" ref="D4828:W4828">IF(All_Students_Scores!C4826:V4826="","",All_Students_Scores!C4826:V4826)</f>
        <v/>
      </c>
      <c r="E4828" s="57" t="str"/>
      <c r="F4828" s="49" t="str"/>
      <c r="G4828" s="59" t="str"/>
      <c r="H4828" s="64" t="str"/>
      <c r="I4828" s="65" t="str"/>
      <c r="J4828" s="49" t="str"/>
      <c r="K4828" s="41" t="str"/>
      <c r="L4828" s="41" t="str"/>
      <c r="M4828" s="41" t="str"/>
      <c r="N4828" s="41" t="str"/>
      <c r="O4828" s="41" t="str"/>
      <c r="P4828" s="41" t="str"/>
      <c r="Q4828" s="41" t="str"/>
      <c r="R4828" s="41" t="str"/>
      <c r="S4828" s="41" t="str"/>
      <c r="T4828" s="41" t="str"/>
      <c r="U4828" s="41" t="str"/>
      <c r="V4828" s="41" t="str"/>
      <c r="W4828" s="41" t="str"/>
    </row>
    <row r="4829">
      <c r="B4829" s="2" t="n"/>
      <c r="C4829" s="40" t="n"/>
      <c r="D4829" s="52">
        <f t="array" ref="D4829:W4829">IF(All_Students_Scores!C4827:V4827="","",All_Students_Scores!C4827:V4827)</f>
        <v/>
      </c>
      <c r="E4829" s="57" t="str"/>
      <c r="F4829" s="49" t="str"/>
      <c r="G4829" s="59" t="str"/>
      <c r="H4829" s="64" t="str"/>
      <c r="I4829" s="65" t="str"/>
      <c r="J4829" s="49" t="str"/>
      <c r="K4829" s="41" t="str"/>
      <c r="L4829" s="41" t="str"/>
      <c r="M4829" s="41" t="str"/>
      <c r="N4829" s="41" t="str"/>
      <c r="O4829" s="41" t="str"/>
      <c r="P4829" s="41" t="str"/>
      <c r="Q4829" s="41" t="str"/>
      <c r="R4829" s="41" t="str"/>
      <c r="S4829" s="41" t="str"/>
      <c r="T4829" s="41" t="str"/>
      <c r="U4829" s="41" t="str"/>
      <c r="V4829" s="41" t="str"/>
      <c r="W4829" s="41" t="str"/>
    </row>
    <row r="4830">
      <c r="B4830" s="2" t="n"/>
      <c r="C4830" s="40" t="n"/>
      <c r="D4830" s="52">
        <f t="array" ref="D4830:W4830">IF(All_Students_Scores!C4828:V4828="","",All_Students_Scores!C4828:V4828)</f>
        <v/>
      </c>
      <c r="E4830" s="57" t="str"/>
      <c r="F4830" s="49" t="str"/>
      <c r="G4830" s="59" t="str"/>
      <c r="H4830" s="64" t="str"/>
      <c r="I4830" s="65" t="str"/>
      <c r="J4830" s="49" t="str"/>
      <c r="K4830" s="41" t="str"/>
      <c r="L4830" s="41" t="str"/>
      <c r="M4830" s="41" t="str"/>
      <c r="N4830" s="41" t="str"/>
      <c r="O4830" s="41" t="str"/>
      <c r="P4830" s="41" t="str"/>
      <c r="Q4830" s="41" t="str"/>
      <c r="R4830" s="41" t="str"/>
      <c r="S4830" s="41" t="str"/>
      <c r="T4830" s="41" t="str"/>
      <c r="U4830" s="41" t="str"/>
      <c r="V4830" s="41" t="str"/>
      <c r="W4830" s="41" t="str"/>
    </row>
    <row r="4831">
      <c r="B4831" s="2" t="n"/>
      <c r="C4831" s="40" t="n"/>
      <c r="D4831" s="52">
        <f t="array" ref="D4831:W4831">IF(All_Students_Scores!C4829:V4829="","",All_Students_Scores!C4829:V4829)</f>
        <v/>
      </c>
      <c r="E4831" s="57" t="str"/>
      <c r="F4831" s="49" t="str"/>
      <c r="G4831" s="59" t="str"/>
      <c r="H4831" s="64" t="str"/>
      <c r="I4831" s="65" t="str"/>
      <c r="J4831" s="49" t="str"/>
      <c r="K4831" s="41" t="str"/>
      <c r="L4831" s="41" t="str"/>
      <c r="M4831" s="41" t="str"/>
      <c r="N4831" s="41" t="str"/>
      <c r="O4831" s="41" t="str"/>
      <c r="P4831" s="41" t="str"/>
      <c r="Q4831" s="41" t="str"/>
      <c r="R4831" s="41" t="str"/>
      <c r="S4831" s="41" t="str"/>
      <c r="T4831" s="41" t="str"/>
      <c r="U4831" s="41" t="str"/>
      <c r="V4831" s="41" t="str"/>
      <c r="W4831" s="41" t="str"/>
    </row>
    <row r="4832">
      <c r="B4832" s="2" t="n"/>
      <c r="C4832" s="40" t="n"/>
      <c r="D4832" s="52">
        <f t="array" ref="D4832:W4832">IF(All_Students_Scores!C4830:V4830="","",All_Students_Scores!C4830:V4830)</f>
        <v/>
      </c>
      <c r="E4832" s="57" t="str"/>
      <c r="F4832" s="49" t="str"/>
      <c r="G4832" s="59" t="str"/>
      <c r="H4832" s="64" t="str"/>
      <c r="I4832" s="65" t="str"/>
      <c r="J4832" s="49" t="str"/>
      <c r="K4832" s="41" t="str"/>
      <c r="L4832" s="41" t="str"/>
      <c r="M4832" s="41" t="str"/>
      <c r="N4832" s="41" t="str"/>
      <c r="O4832" s="41" t="str"/>
      <c r="P4832" s="41" t="str"/>
      <c r="Q4832" s="41" t="str"/>
      <c r="R4832" s="41" t="str"/>
      <c r="S4832" s="41" t="str"/>
      <c r="T4832" s="41" t="str"/>
      <c r="U4832" s="41" t="str"/>
      <c r="V4832" s="41" t="str"/>
      <c r="W4832" s="41" t="str"/>
    </row>
    <row r="4833">
      <c r="B4833" s="2" t="n"/>
      <c r="C4833" s="40" t="n"/>
      <c r="D4833" s="52">
        <f t="array" ref="D4833:W4833">IF(All_Students_Scores!C4831:V4831="","",All_Students_Scores!C4831:V4831)</f>
        <v/>
      </c>
      <c r="E4833" s="57" t="str"/>
      <c r="F4833" s="49" t="str"/>
      <c r="G4833" s="59" t="str"/>
      <c r="H4833" s="64" t="str"/>
      <c r="I4833" s="65" t="str"/>
      <c r="J4833" s="49" t="str"/>
      <c r="K4833" s="41" t="str"/>
      <c r="L4833" s="41" t="str"/>
      <c r="M4833" s="41" t="str"/>
      <c r="N4833" s="41" t="str"/>
      <c r="O4833" s="41" t="str"/>
      <c r="P4833" s="41" t="str"/>
      <c r="Q4833" s="41" t="str"/>
      <c r="R4833" s="41" t="str"/>
      <c r="S4833" s="41" t="str"/>
      <c r="T4833" s="41" t="str"/>
      <c r="U4833" s="41" t="str"/>
      <c r="V4833" s="41" t="str"/>
      <c r="W4833" s="41" t="str"/>
    </row>
    <row r="4834">
      <c r="B4834" s="2" t="n"/>
      <c r="C4834" s="40" t="n"/>
      <c r="D4834" s="52">
        <f t="array" ref="D4834:W4834">IF(All_Students_Scores!C4832:V4832="","",All_Students_Scores!C4832:V4832)</f>
        <v/>
      </c>
      <c r="E4834" s="57" t="str"/>
      <c r="F4834" s="49" t="str"/>
      <c r="G4834" s="59" t="str"/>
      <c r="H4834" s="64" t="str"/>
      <c r="I4834" s="65" t="str"/>
      <c r="J4834" s="49" t="str"/>
      <c r="K4834" s="41" t="str"/>
      <c r="L4834" s="41" t="str"/>
      <c r="M4834" s="41" t="str"/>
      <c r="N4834" s="41" t="str"/>
      <c r="O4834" s="41" t="str"/>
      <c r="P4834" s="41" t="str"/>
      <c r="Q4834" s="41" t="str"/>
      <c r="R4834" s="41" t="str"/>
      <c r="S4834" s="41" t="str"/>
      <c r="T4834" s="41" t="str"/>
      <c r="U4834" s="41" t="str"/>
      <c r="V4834" s="41" t="str"/>
      <c r="W4834" s="41" t="str"/>
    </row>
    <row r="4835">
      <c r="B4835" s="2" t="n"/>
      <c r="C4835" s="40" t="n"/>
      <c r="D4835" s="52">
        <f t="array" ref="D4835:W4835">IF(All_Students_Scores!C4833:V4833="","",All_Students_Scores!C4833:V4833)</f>
        <v/>
      </c>
      <c r="E4835" s="57" t="str"/>
      <c r="F4835" s="49" t="str"/>
      <c r="G4835" s="59" t="str"/>
      <c r="H4835" s="64" t="str"/>
      <c r="I4835" s="65" t="str"/>
      <c r="J4835" s="49" t="str"/>
      <c r="K4835" s="41" t="str"/>
      <c r="L4835" s="41" t="str"/>
      <c r="M4835" s="41" t="str"/>
      <c r="N4835" s="41" t="str"/>
      <c r="O4835" s="41" t="str"/>
      <c r="P4835" s="41" t="str"/>
      <c r="Q4835" s="41" t="str"/>
      <c r="R4835" s="41" t="str"/>
      <c r="S4835" s="41" t="str"/>
      <c r="T4835" s="41" t="str"/>
      <c r="U4835" s="41" t="str"/>
      <c r="V4835" s="41" t="str"/>
      <c r="W4835" s="41" t="str"/>
    </row>
    <row r="4836">
      <c r="B4836" s="2" t="n"/>
      <c r="C4836" s="40" t="n"/>
      <c r="D4836" s="52">
        <f t="array" ref="D4836:W4836">IF(All_Students_Scores!C4834:V4834="","",All_Students_Scores!C4834:V4834)</f>
        <v/>
      </c>
      <c r="E4836" s="57" t="str"/>
      <c r="F4836" s="49" t="str"/>
      <c r="G4836" s="59" t="str"/>
      <c r="H4836" s="64" t="str"/>
      <c r="I4836" s="65" t="str"/>
      <c r="J4836" s="49" t="str"/>
      <c r="K4836" s="41" t="str"/>
      <c r="L4836" s="41" t="str"/>
      <c r="M4836" s="41" t="str"/>
      <c r="N4836" s="41" t="str"/>
      <c r="O4836" s="41" t="str"/>
      <c r="P4836" s="41" t="str"/>
      <c r="Q4836" s="41" t="str"/>
      <c r="R4836" s="41" t="str"/>
      <c r="S4836" s="41" t="str"/>
      <c r="T4836" s="41" t="str"/>
      <c r="U4836" s="41" t="str"/>
      <c r="V4836" s="41" t="str"/>
      <c r="W4836" s="41" t="str"/>
    </row>
    <row r="4837">
      <c r="B4837" s="2" t="n"/>
      <c r="C4837" s="40" t="n"/>
      <c r="D4837" s="52">
        <f t="array" ref="D4837:W4837">IF(All_Students_Scores!C4835:V4835="","",All_Students_Scores!C4835:V4835)</f>
        <v/>
      </c>
      <c r="E4837" s="57" t="str"/>
      <c r="F4837" s="49" t="str"/>
      <c r="G4837" s="59" t="str"/>
      <c r="H4837" s="64" t="str"/>
      <c r="I4837" s="65" t="str"/>
      <c r="J4837" s="49" t="str"/>
      <c r="K4837" s="41" t="str"/>
      <c r="L4837" s="41" t="str"/>
      <c r="M4837" s="41" t="str"/>
      <c r="N4837" s="41" t="str"/>
      <c r="O4837" s="41" t="str"/>
      <c r="P4837" s="41" t="str"/>
      <c r="Q4837" s="41" t="str"/>
      <c r="R4837" s="41" t="str"/>
      <c r="S4837" s="41" t="str"/>
      <c r="T4837" s="41" t="str"/>
      <c r="U4837" s="41" t="str"/>
      <c r="V4837" s="41" t="str"/>
      <c r="W4837" s="41" t="str"/>
    </row>
    <row r="4838">
      <c r="B4838" s="2" t="n"/>
      <c r="C4838" s="40" t="n"/>
      <c r="D4838" s="52">
        <f t="array" ref="D4838:W4838">IF(All_Students_Scores!C4836:V4836="","",All_Students_Scores!C4836:V4836)</f>
        <v/>
      </c>
      <c r="E4838" s="57" t="str"/>
      <c r="F4838" s="49" t="str"/>
      <c r="G4838" s="59" t="str"/>
      <c r="H4838" s="64" t="str"/>
      <c r="I4838" s="65" t="str"/>
      <c r="J4838" s="49" t="str"/>
      <c r="K4838" s="41" t="str"/>
      <c r="L4838" s="41" t="str"/>
      <c r="M4838" s="41" t="str"/>
      <c r="N4838" s="41" t="str"/>
      <c r="O4838" s="41" t="str"/>
      <c r="P4838" s="41" t="str"/>
      <c r="Q4838" s="41" t="str"/>
      <c r="R4838" s="41" t="str"/>
      <c r="S4838" s="41" t="str"/>
      <c r="T4838" s="41" t="str"/>
      <c r="U4838" s="41" t="str"/>
      <c r="V4838" s="41" t="str"/>
      <c r="W4838" s="41" t="str"/>
    </row>
    <row r="4839">
      <c r="B4839" s="2" t="n"/>
      <c r="C4839" s="40" t="n"/>
      <c r="D4839" s="52">
        <f t="array" ref="D4839:W4839">IF(All_Students_Scores!C4837:V4837="","",All_Students_Scores!C4837:V4837)</f>
        <v/>
      </c>
      <c r="E4839" s="57" t="str"/>
      <c r="F4839" s="49" t="str"/>
      <c r="G4839" s="59" t="str"/>
      <c r="H4839" s="64" t="str"/>
      <c r="I4839" s="65" t="str"/>
      <c r="J4839" s="49" t="str"/>
      <c r="K4839" s="41" t="str"/>
      <c r="L4839" s="41" t="str"/>
      <c r="M4839" s="41" t="str"/>
      <c r="N4839" s="41" t="str"/>
      <c r="O4839" s="41" t="str"/>
      <c r="P4839" s="41" t="str"/>
      <c r="Q4839" s="41" t="str"/>
      <c r="R4839" s="41" t="str"/>
      <c r="S4839" s="41" t="str"/>
      <c r="T4839" s="41" t="str"/>
      <c r="U4839" s="41" t="str"/>
      <c r="V4839" s="41" t="str"/>
      <c r="W4839" s="41" t="str"/>
    </row>
    <row r="4840">
      <c r="B4840" s="2" t="n"/>
      <c r="C4840" s="40" t="n"/>
      <c r="D4840" s="52">
        <f t="array" ref="D4840:W4840">IF(All_Students_Scores!C4838:V4838="","",All_Students_Scores!C4838:V4838)</f>
        <v/>
      </c>
      <c r="E4840" s="57" t="str"/>
      <c r="F4840" s="49" t="str"/>
      <c r="G4840" s="59" t="str"/>
      <c r="H4840" s="64" t="str"/>
      <c r="I4840" s="65" t="str"/>
      <c r="J4840" s="49" t="str"/>
      <c r="K4840" s="41" t="str"/>
      <c r="L4840" s="41" t="str"/>
      <c r="M4840" s="41" t="str"/>
      <c r="N4840" s="41" t="str"/>
      <c r="O4840" s="41" t="str"/>
      <c r="P4840" s="41" t="str"/>
      <c r="Q4840" s="41" t="str"/>
      <c r="R4840" s="41" t="str"/>
      <c r="S4840" s="41" t="str"/>
      <c r="T4840" s="41" t="str"/>
      <c r="U4840" s="41" t="str"/>
      <c r="V4840" s="41" t="str"/>
      <c r="W4840" s="41" t="str"/>
    </row>
    <row r="4841">
      <c r="B4841" s="2" t="n"/>
      <c r="C4841" s="40" t="n"/>
      <c r="D4841" s="52">
        <f t="array" ref="D4841:W4841">IF(All_Students_Scores!C4839:V4839="","",All_Students_Scores!C4839:V4839)</f>
        <v/>
      </c>
      <c r="E4841" s="57" t="str"/>
      <c r="F4841" s="49" t="str"/>
      <c r="G4841" s="59" t="str"/>
      <c r="H4841" s="64" t="str"/>
      <c r="I4841" s="65" t="str"/>
      <c r="J4841" s="49" t="str"/>
      <c r="K4841" s="41" t="str"/>
      <c r="L4841" s="41" t="str"/>
      <c r="M4841" s="41" t="str"/>
      <c r="N4841" s="41" t="str"/>
      <c r="O4841" s="41" t="str"/>
      <c r="P4841" s="41" t="str"/>
      <c r="Q4841" s="41" t="str"/>
      <c r="R4841" s="41" t="str"/>
      <c r="S4841" s="41" t="str"/>
      <c r="T4841" s="41" t="str"/>
      <c r="U4841" s="41" t="str"/>
      <c r="V4841" s="41" t="str"/>
      <c r="W4841" s="41" t="str"/>
    </row>
    <row r="4842">
      <c r="B4842" s="2" t="n"/>
      <c r="C4842" s="40" t="n"/>
      <c r="D4842" s="52">
        <f t="array" ref="D4842:W4842">IF(All_Students_Scores!C4840:V4840="","",All_Students_Scores!C4840:V4840)</f>
        <v/>
      </c>
      <c r="E4842" s="57" t="str"/>
      <c r="F4842" s="49" t="str"/>
      <c r="G4842" s="59" t="str"/>
      <c r="H4842" s="64" t="str"/>
      <c r="I4842" s="65" t="str"/>
      <c r="J4842" s="49" t="str"/>
      <c r="K4842" s="41" t="str"/>
      <c r="L4842" s="41" t="str"/>
      <c r="M4842" s="41" t="str"/>
      <c r="N4842" s="41" t="str"/>
      <c r="O4842" s="41" t="str"/>
      <c r="P4842" s="41" t="str"/>
      <c r="Q4842" s="41" t="str"/>
      <c r="R4842" s="41" t="str"/>
      <c r="S4842" s="41" t="str"/>
      <c r="T4842" s="41" t="str"/>
      <c r="U4842" s="41" t="str"/>
      <c r="V4842" s="41" t="str"/>
      <c r="W4842" s="41" t="str"/>
    </row>
    <row r="4843">
      <c r="B4843" s="2" t="n"/>
      <c r="C4843" s="40" t="n"/>
      <c r="D4843" s="52">
        <f t="array" ref="D4843:W4843">IF(All_Students_Scores!C4841:V4841="","",All_Students_Scores!C4841:V4841)</f>
        <v/>
      </c>
      <c r="E4843" s="57" t="str"/>
      <c r="F4843" s="49" t="str"/>
      <c r="G4843" s="59" t="str"/>
      <c r="H4843" s="64" t="str"/>
      <c r="I4843" s="65" t="str"/>
      <c r="J4843" s="49" t="str"/>
      <c r="K4843" s="41" t="str"/>
      <c r="L4843" s="41" t="str"/>
      <c r="M4843" s="41" t="str"/>
      <c r="N4843" s="41" t="str"/>
      <c r="O4843" s="41" t="str"/>
      <c r="P4843" s="41" t="str"/>
      <c r="Q4843" s="41" t="str"/>
      <c r="R4843" s="41" t="str"/>
      <c r="S4843" s="41" t="str"/>
      <c r="T4843" s="41" t="str"/>
      <c r="U4843" s="41" t="str"/>
      <c r="V4843" s="41" t="str"/>
      <c r="W4843" s="41" t="str"/>
    </row>
    <row r="4844">
      <c r="B4844" s="2" t="n"/>
      <c r="C4844" s="40" t="n"/>
      <c r="D4844" s="52">
        <f t="array" ref="D4844:W4844">IF(All_Students_Scores!C4842:V4842="","",All_Students_Scores!C4842:V4842)</f>
        <v/>
      </c>
      <c r="E4844" s="57" t="str"/>
      <c r="F4844" s="49" t="str"/>
      <c r="G4844" s="59" t="str"/>
      <c r="H4844" s="64" t="str"/>
      <c r="I4844" s="65" t="str"/>
      <c r="J4844" s="49" t="str"/>
      <c r="K4844" s="41" t="str"/>
      <c r="L4844" s="41" t="str"/>
      <c r="M4844" s="41" t="str"/>
      <c r="N4844" s="41" t="str"/>
      <c r="O4844" s="41" t="str"/>
      <c r="P4844" s="41" t="str"/>
      <c r="Q4844" s="41" t="str"/>
      <c r="R4844" s="41" t="str"/>
      <c r="S4844" s="41" t="str"/>
      <c r="T4844" s="41" t="str"/>
      <c r="U4844" s="41" t="str"/>
      <c r="V4844" s="41" t="str"/>
      <c r="W4844" s="41" t="str"/>
    </row>
    <row r="4845">
      <c r="B4845" s="2" t="n"/>
      <c r="C4845" s="40" t="n"/>
      <c r="D4845" s="52">
        <f t="array" ref="D4845:W4845">IF(All_Students_Scores!C4843:V4843="","",All_Students_Scores!C4843:V4843)</f>
        <v/>
      </c>
      <c r="E4845" s="57" t="str"/>
      <c r="F4845" s="49" t="str"/>
      <c r="G4845" s="59" t="str"/>
      <c r="H4845" s="64" t="str"/>
      <c r="I4845" s="65" t="str"/>
      <c r="J4845" s="49" t="str"/>
      <c r="K4845" s="41" t="str"/>
      <c r="L4845" s="41" t="str"/>
      <c r="M4845" s="41" t="str"/>
      <c r="N4845" s="41" t="str"/>
      <c r="O4845" s="41" t="str"/>
      <c r="P4845" s="41" t="str"/>
      <c r="Q4845" s="41" t="str"/>
      <c r="R4845" s="41" t="str"/>
      <c r="S4845" s="41" t="str"/>
      <c r="T4845" s="41" t="str"/>
      <c r="U4845" s="41" t="str"/>
      <c r="V4845" s="41" t="str"/>
      <c r="W4845" s="41" t="str"/>
    </row>
    <row r="4846">
      <c r="B4846" s="2" t="n"/>
      <c r="C4846" s="40" t="n"/>
      <c r="D4846" s="52">
        <f t="array" ref="D4846:W4846">IF(All_Students_Scores!C4844:V4844="","",All_Students_Scores!C4844:V4844)</f>
        <v/>
      </c>
      <c r="E4846" s="57" t="str"/>
      <c r="F4846" s="49" t="str"/>
      <c r="G4846" s="59" t="str"/>
      <c r="H4846" s="64" t="str"/>
      <c r="I4846" s="65" t="str"/>
      <c r="J4846" s="49" t="str"/>
      <c r="K4846" s="41" t="str"/>
      <c r="L4846" s="41" t="str"/>
      <c r="M4846" s="41" t="str"/>
      <c r="N4846" s="41" t="str"/>
      <c r="O4846" s="41" t="str"/>
      <c r="P4846" s="41" t="str"/>
      <c r="Q4846" s="41" t="str"/>
      <c r="R4846" s="41" t="str"/>
      <c r="S4846" s="41" t="str"/>
      <c r="T4846" s="41" t="str"/>
      <c r="U4846" s="41" t="str"/>
      <c r="V4846" s="41" t="str"/>
      <c r="W4846" s="41" t="str"/>
    </row>
    <row r="4847">
      <c r="B4847" s="2" t="n"/>
      <c r="C4847" s="40" t="n"/>
      <c r="D4847" s="52">
        <f t="array" ref="D4847:W4847">IF(All_Students_Scores!C4845:V4845="","",All_Students_Scores!C4845:V4845)</f>
        <v/>
      </c>
      <c r="E4847" s="57" t="str"/>
      <c r="F4847" s="49" t="str"/>
      <c r="G4847" s="59" t="str"/>
      <c r="H4847" s="64" t="str"/>
      <c r="I4847" s="65" t="str"/>
      <c r="J4847" s="49" t="str"/>
      <c r="K4847" s="41" t="str"/>
      <c r="L4847" s="41" t="str"/>
      <c r="M4847" s="41" t="str"/>
      <c r="N4847" s="41" t="str"/>
      <c r="O4847" s="41" t="str"/>
      <c r="P4847" s="41" t="str"/>
      <c r="Q4847" s="41" t="str"/>
      <c r="R4847" s="41" t="str"/>
      <c r="S4847" s="41" t="str"/>
      <c r="T4847" s="41" t="str"/>
      <c r="U4847" s="41" t="str"/>
      <c r="V4847" s="41" t="str"/>
      <c r="W4847" s="41" t="str"/>
    </row>
    <row r="4848">
      <c r="B4848" s="2" t="n"/>
      <c r="C4848" s="40" t="n"/>
      <c r="D4848" s="52">
        <f t="array" ref="D4848:W4848">IF(All_Students_Scores!C4846:V4846="","",All_Students_Scores!C4846:V4846)</f>
        <v/>
      </c>
      <c r="E4848" s="57" t="str"/>
      <c r="F4848" s="49" t="str"/>
      <c r="G4848" s="59" t="str"/>
      <c r="H4848" s="64" t="str"/>
      <c r="I4848" s="65" t="str"/>
      <c r="J4848" s="49" t="str"/>
      <c r="K4848" s="41" t="str"/>
      <c r="L4848" s="41" t="str"/>
      <c r="M4848" s="41" t="str"/>
      <c r="N4848" s="41" t="str"/>
      <c r="O4848" s="41" t="str"/>
      <c r="P4848" s="41" t="str"/>
      <c r="Q4848" s="41" t="str"/>
      <c r="R4848" s="41" t="str"/>
      <c r="S4848" s="41" t="str"/>
      <c r="T4848" s="41" t="str"/>
      <c r="U4848" s="41" t="str"/>
      <c r="V4848" s="41" t="str"/>
      <c r="W4848" s="41" t="str"/>
    </row>
    <row r="4849">
      <c r="B4849" s="2" t="n"/>
      <c r="C4849" s="40" t="n"/>
      <c r="D4849" s="52">
        <f t="array" ref="D4849:W4849">IF(All_Students_Scores!C4847:V4847="","",All_Students_Scores!C4847:V4847)</f>
        <v/>
      </c>
      <c r="E4849" s="57" t="str"/>
      <c r="F4849" s="49" t="str"/>
      <c r="G4849" s="59" t="str"/>
      <c r="H4849" s="64" t="str"/>
      <c r="I4849" s="65" t="str"/>
      <c r="J4849" s="49" t="str"/>
      <c r="K4849" s="41" t="str"/>
      <c r="L4849" s="41" t="str"/>
      <c r="M4849" s="41" t="str"/>
      <c r="N4849" s="41" t="str"/>
      <c r="O4849" s="41" t="str"/>
      <c r="P4849" s="41" t="str"/>
      <c r="Q4849" s="41" t="str"/>
      <c r="R4849" s="41" t="str"/>
      <c r="S4849" s="41" t="str"/>
      <c r="T4849" s="41" t="str"/>
      <c r="U4849" s="41" t="str"/>
      <c r="V4849" s="41" t="str"/>
      <c r="W4849" s="41" t="str"/>
    </row>
    <row r="4850">
      <c r="B4850" s="2" t="n"/>
      <c r="C4850" s="40" t="n"/>
      <c r="D4850" s="52">
        <f t="array" ref="D4850:W4850">IF(All_Students_Scores!C4848:V4848="","",All_Students_Scores!C4848:V4848)</f>
        <v/>
      </c>
      <c r="E4850" s="57" t="str"/>
      <c r="F4850" s="49" t="str"/>
      <c r="G4850" s="59" t="str"/>
      <c r="H4850" s="64" t="str"/>
      <c r="I4850" s="65" t="str"/>
      <c r="J4850" s="49" t="str"/>
      <c r="K4850" s="41" t="str"/>
      <c r="L4850" s="41" t="str"/>
      <c r="M4850" s="41" t="str"/>
      <c r="N4850" s="41" t="str"/>
      <c r="O4850" s="41" t="str"/>
      <c r="P4850" s="41" t="str"/>
      <c r="Q4850" s="41" t="str"/>
      <c r="R4850" s="41" t="str"/>
      <c r="S4850" s="41" t="str"/>
      <c r="T4850" s="41" t="str"/>
      <c r="U4850" s="41" t="str"/>
      <c r="V4850" s="41" t="str"/>
      <c r="W4850" s="41" t="str"/>
    </row>
    <row r="4851">
      <c r="B4851" s="2" t="n"/>
      <c r="C4851" s="40" t="n"/>
      <c r="D4851" s="52">
        <f t="array" ref="D4851:W4851">IF(All_Students_Scores!C4849:V4849="","",All_Students_Scores!C4849:V4849)</f>
        <v/>
      </c>
      <c r="E4851" s="57" t="str"/>
      <c r="F4851" s="49" t="str"/>
      <c r="G4851" s="59" t="str"/>
      <c r="H4851" s="64" t="str"/>
      <c r="I4851" s="65" t="str"/>
      <c r="J4851" s="49" t="str"/>
      <c r="K4851" s="41" t="str"/>
      <c r="L4851" s="41" t="str"/>
      <c r="M4851" s="41" t="str"/>
      <c r="N4851" s="41" t="str"/>
      <c r="O4851" s="41" t="str"/>
      <c r="P4851" s="41" t="str"/>
      <c r="Q4851" s="41" t="str"/>
      <c r="R4851" s="41" t="str"/>
      <c r="S4851" s="41" t="str"/>
      <c r="T4851" s="41" t="str"/>
      <c r="U4851" s="41" t="str"/>
      <c r="V4851" s="41" t="str"/>
      <c r="W4851" s="41" t="str"/>
    </row>
    <row r="4852">
      <c r="B4852" s="2" t="n"/>
      <c r="C4852" s="40" t="n"/>
      <c r="D4852" s="52">
        <f t="array" ref="D4852:W4852">IF(All_Students_Scores!C4850:V4850="","",All_Students_Scores!C4850:V4850)</f>
        <v/>
      </c>
      <c r="E4852" s="57" t="str"/>
      <c r="F4852" s="49" t="str"/>
      <c r="G4852" s="59" t="str"/>
      <c r="H4852" s="64" t="str"/>
      <c r="I4852" s="65" t="str"/>
      <c r="J4852" s="49" t="str"/>
      <c r="K4852" s="41" t="str"/>
      <c r="L4852" s="41" t="str"/>
      <c r="M4852" s="41" t="str"/>
      <c r="N4852" s="41" t="str"/>
      <c r="O4852" s="41" t="str"/>
      <c r="P4852" s="41" t="str"/>
      <c r="Q4852" s="41" t="str"/>
      <c r="R4852" s="41" t="str"/>
      <c r="S4852" s="41" t="str"/>
      <c r="T4852" s="41" t="str"/>
      <c r="U4852" s="41" t="str"/>
      <c r="V4852" s="41" t="str"/>
      <c r="W4852" s="41" t="str"/>
    </row>
    <row r="4853">
      <c r="B4853" s="2" t="n"/>
      <c r="C4853" s="40" t="n"/>
      <c r="D4853" s="52">
        <f t="array" ref="D4853:W4853">IF(All_Students_Scores!C4851:V4851="","",All_Students_Scores!C4851:V4851)</f>
        <v/>
      </c>
      <c r="E4853" s="57" t="str"/>
      <c r="F4853" s="49" t="str"/>
      <c r="G4853" s="59" t="str"/>
      <c r="H4853" s="64" t="str"/>
      <c r="I4853" s="65" t="str"/>
      <c r="J4853" s="49" t="str"/>
      <c r="K4853" s="41" t="str"/>
      <c r="L4853" s="41" t="str"/>
      <c r="M4853" s="41" t="str"/>
      <c r="N4853" s="41" t="str"/>
      <c r="O4853" s="41" t="str"/>
      <c r="P4853" s="41" t="str"/>
      <c r="Q4853" s="41" t="str"/>
      <c r="R4853" s="41" t="str"/>
      <c r="S4853" s="41" t="str"/>
      <c r="T4853" s="41" t="str"/>
      <c r="U4853" s="41" t="str"/>
      <c r="V4853" s="41" t="str"/>
      <c r="W4853" s="41" t="str"/>
    </row>
    <row r="4854">
      <c r="B4854" s="2" t="n"/>
      <c r="C4854" s="40" t="n"/>
      <c r="D4854" s="52">
        <f t="array" ref="D4854:W4854">IF(All_Students_Scores!C4852:V4852="","",All_Students_Scores!C4852:V4852)</f>
        <v/>
      </c>
      <c r="E4854" s="57" t="str"/>
      <c r="F4854" s="49" t="str"/>
      <c r="G4854" s="59" t="str"/>
      <c r="H4854" s="64" t="str"/>
      <c r="I4854" s="65" t="str"/>
      <c r="J4854" s="49" t="str"/>
      <c r="K4854" s="41" t="str"/>
      <c r="L4854" s="41" t="str"/>
      <c r="M4854" s="41" t="str"/>
      <c r="N4854" s="41" t="str"/>
      <c r="O4854" s="41" t="str"/>
      <c r="P4854" s="41" t="str"/>
      <c r="Q4854" s="41" t="str"/>
      <c r="R4854" s="41" t="str"/>
      <c r="S4854" s="41" t="str"/>
      <c r="T4854" s="41" t="str"/>
      <c r="U4854" s="41" t="str"/>
      <c r="V4854" s="41" t="str"/>
      <c r="W4854" s="41" t="str"/>
    </row>
    <row r="4855">
      <c r="B4855" s="2" t="n"/>
      <c r="C4855" s="40" t="n"/>
      <c r="D4855" s="52">
        <f t="array" ref="D4855:W4855">IF(All_Students_Scores!C4853:V4853="","",All_Students_Scores!C4853:V4853)</f>
        <v/>
      </c>
      <c r="E4855" s="57" t="str"/>
      <c r="F4855" s="49" t="str"/>
      <c r="G4855" s="59" t="str"/>
      <c r="H4855" s="64" t="str"/>
      <c r="I4855" s="65" t="str"/>
      <c r="J4855" s="49" t="str"/>
      <c r="K4855" s="41" t="str"/>
      <c r="L4855" s="41" t="str"/>
      <c r="M4855" s="41" t="str"/>
      <c r="N4855" s="41" t="str"/>
      <c r="O4855" s="41" t="str"/>
      <c r="P4855" s="41" t="str"/>
      <c r="Q4855" s="41" t="str"/>
      <c r="R4855" s="41" t="str"/>
      <c r="S4855" s="41" t="str"/>
      <c r="T4855" s="41" t="str"/>
      <c r="U4855" s="41" t="str"/>
      <c r="V4855" s="41" t="str"/>
      <c r="W4855" s="41" t="str"/>
    </row>
    <row r="4856">
      <c r="B4856" s="2" t="n"/>
      <c r="C4856" s="40" t="n"/>
      <c r="D4856" s="52">
        <f t="array" ref="D4856:W4856">IF(All_Students_Scores!C4854:V4854="","",All_Students_Scores!C4854:V4854)</f>
        <v/>
      </c>
      <c r="E4856" s="57" t="str"/>
      <c r="F4856" s="49" t="str"/>
      <c r="G4856" s="59" t="str"/>
      <c r="H4856" s="64" t="str"/>
      <c r="I4856" s="65" t="str"/>
      <c r="J4856" s="49" t="str"/>
      <c r="K4856" s="41" t="str"/>
      <c r="L4856" s="41" t="str"/>
      <c r="M4856" s="41" t="str"/>
      <c r="N4856" s="41" t="str"/>
      <c r="O4856" s="41" t="str"/>
      <c r="P4856" s="41" t="str"/>
      <c r="Q4856" s="41" t="str"/>
      <c r="R4856" s="41" t="str"/>
      <c r="S4856" s="41" t="str"/>
      <c r="T4856" s="41" t="str"/>
      <c r="U4856" s="41" t="str"/>
      <c r="V4856" s="41" t="str"/>
      <c r="W4856" s="41" t="str"/>
    </row>
    <row r="4857">
      <c r="B4857" s="2" t="n"/>
      <c r="C4857" s="40" t="n"/>
      <c r="D4857" s="52">
        <f t="array" ref="D4857:W4857">IF(All_Students_Scores!C4855:V4855="","",All_Students_Scores!C4855:V4855)</f>
        <v/>
      </c>
      <c r="E4857" s="57" t="str"/>
      <c r="F4857" s="49" t="str"/>
      <c r="G4857" s="59" t="str"/>
      <c r="H4857" s="64" t="str"/>
      <c r="I4857" s="65" t="str"/>
      <c r="J4857" s="49" t="str"/>
      <c r="K4857" s="41" t="str"/>
      <c r="L4857" s="41" t="str"/>
      <c r="M4857" s="41" t="str"/>
      <c r="N4857" s="41" t="str"/>
      <c r="O4857" s="41" t="str"/>
      <c r="P4857" s="41" t="str"/>
      <c r="Q4857" s="41" t="str"/>
      <c r="R4857" s="41" t="str"/>
      <c r="S4857" s="41" t="str"/>
      <c r="T4857" s="41" t="str"/>
      <c r="U4857" s="41" t="str"/>
      <c r="V4857" s="41" t="str"/>
      <c r="W4857" s="41" t="str"/>
    </row>
    <row r="4858">
      <c r="B4858" s="2" t="n"/>
      <c r="C4858" s="40" t="n"/>
      <c r="D4858" s="52">
        <f t="array" ref="D4858:W4858">IF(All_Students_Scores!C4856:V4856="","",All_Students_Scores!C4856:V4856)</f>
        <v/>
      </c>
      <c r="E4858" s="57" t="str"/>
      <c r="F4858" s="49" t="str"/>
      <c r="G4858" s="59" t="str"/>
      <c r="H4858" s="64" t="str"/>
      <c r="I4858" s="65" t="str"/>
      <c r="J4858" s="49" t="str"/>
      <c r="K4858" s="41" t="str"/>
      <c r="L4858" s="41" t="str"/>
      <c r="M4858" s="41" t="str"/>
      <c r="N4858" s="41" t="str"/>
      <c r="O4858" s="41" t="str"/>
      <c r="P4858" s="41" t="str"/>
      <c r="Q4858" s="41" t="str"/>
      <c r="R4858" s="41" t="str"/>
      <c r="S4858" s="41" t="str"/>
      <c r="T4858" s="41" t="str"/>
      <c r="U4858" s="41" t="str"/>
      <c r="V4858" s="41" t="str"/>
      <c r="W4858" s="41" t="str"/>
    </row>
    <row r="4859">
      <c r="B4859" s="2" t="n"/>
      <c r="C4859" s="40" t="n"/>
      <c r="D4859" s="52">
        <f t="array" ref="D4859:W4859">IF(All_Students_Scores!C4857:V4857="","",All_Students_Scores!C4857:V4857)</f>
        <v/>
      </c>
      <c r="E4859" s="57" t="str"/>
      <c r="F4859" s="49" t="str"/>
      <c r="G4859" s="59" t="str"/>
      <c r="H4859" s="64" t="str"/>
      <c r="I4859" s="65" t="str"/>
      <c r="J4859" s="49" t="str"/>
      <c r="K4859" s="41" t="str"/>
      <c r="L4859" s="41" t="str"/>
      <c r="M4859" s="41" t="str"/>
      <c r="N4859" s="41" t="str"/>
      <c r="O4859" s="41" t="str"/>
      <c r="P4859" s="41" t="str"/>
      <c r="Q4859" s="41" t="str"/>
      <c r="R4859" s="41" t="str"/>
      <c r="S4859" s="41" t="str"/>
      <c r="T4859" s="41" t="str"/>
      <c r="U4859" s="41" t="str"/>
      <c r="V4859" s="41" t="str"/>
      <c r="W4859" s="41" t="str"/>
    </row>
    <row r="4860">
      <c r="B4860" s="2" t="n"/>
      <c r="C4860" s="40" t="n"/>
      <c r="D4860" s="52">
        <f t="array" ref="D4860:W4860">IF(All_Students_Scores!C4858:V4858="","",All_Students_Scores!C4858:V4858)</f>
        <v/>
      </c>
      <c r="E4860" s="57" t="str"/>
      <c r="F4860" s="49" t="str"/>
      <c r="G4860" s="59" t="str"/>
      <c r="H4860" s="64" t="str"/>
      <c r="I4860" s="65" t="str"/>
      <c r="J4860" s="49" t="str"/>
      <c r="K4860" s="41" t="str"/>
      <c r="L4860" s="41" t="str"/>
      <c r="M4860" s="41" t="str"/>
      <c r="N4860" s="41" t="str"/>
      <c r="O4860" s="41" t="str"/>
      <c r="P4860" s="41" t="str"/>
      <c r="Q4860" s="41" t="str"/>
      <c r="R4860" s="41" t="str"/>
      <c r="S4860" s="41" t="str"/>
      <c r="T4860" s="41" t="str"/>
      <c r="U4860" s="41" t="str"/>
      <c r="V4860" s="41" t="str"/>
      <c r="W4860" s="41" t="str"/>
    </row>
    <row r="4861">
      <c r="B4861" s="2" t="n"/>
      <c r="C4861" s="40" t="n"/>
      <c r="D4861" s="52">
        <f t="array" ref="D4861:W4861">IF(All_Students_Scores!C4859:V4859="","",All_Students_Scores!C4859:V4859)</f>
        <v/>
      </c>
      <c r="E4861" s="57" t="str"/>
      <c r="F4861" s="49" t="str"/>
      <c r="G4861" s="59" t="str"/>
      <c r="H4861" s="64" t="str"/>
      <c r="I4861" s="65" t="str"/>
      <c r="J4861" s="49" t="str"/>
      <c r="K4861" s="41" t="str"/>
      <c r="L4861" s="41" t="str"/>
      <c r="M4861" s="41" t="str"/>
      <c r="N4861" s="41" t="str"/>
      <c r="O4861" s="41" t="str"/>
      <c r="P4861" s="41" t="str"/>
      <c r="Q4861" s="41" t="str"/>
      <c r="R4861" s="41" t="str"/>
      <c r="S4861" s="41" t="str"/>
      <c r="T4861" s="41" t="str"/>
      <c r="U4861" s="41" t="str"/>
      <c r="V4861" s="41" t="str"/>
      <c r="W4861" s="41" t="str"/>
    </row>
    <row r="4862">
      <c r="B4862" s="2" t="n"/>
      <c r="C4862" s="40" t="n"/>
      <c r="D4862" s="52">
        <f t="array" ref="D4862:W4862">IF(All_Students_Scores!C4860:V4860="","",All_Students_Scores!C4860:V4860)</f>
        <v/>
      </c>
      <c r="E4862" s="57" t="str"/>
      <c r="F4862" s="49" t="str"/>
      <c r="G4862" s="59" t="str"/>
      <c r="H4862" s="64" t="str"/>
      <c r="I4862" s="65" t="str"/>
      <c r="J4862" s="49" t="str"/>
      <c r="K4862" s="41" t="str"/>
      <c r="L4862" s="41" t="str"/>
      <c r="M4862" s="41" t="str"/>
      <c r="N4862" s="41" t="str"/>
      <c r="O4862" s="41" t="str"/>
      <c r="P4862" s="41" t="str"/>
      <c r="Q4862" s="41" t="str"/>
      <c r="R4862" s="41" t="str"/>
      <c r="S4862" s="41" t="str"/>
      <c r="T4862" s="41" t="str"/>
      <c r="U4862" s="41" t="str"/>
      <c r="V4862" s="41" t="str"/>
      <c r="W4862" s="41" t="str"/>
    </row>
    <row r="4863">
      <c r="B4863" s="2" t="n"/>
      <c r="C4863" s="40" t="n"/>
      <c r="D4863" s="52">
        <f t="array" ref="D4863:W4863">IF(All_Students_Scores!C4861:V4861="","",All_Students_Scores!C4861:V4861)</f>
        <v/>
      </c>
      <c r="E4863" s="57" t="str"/>
      <c r="F4863" s="49" t="str"/>
      <c r="G4863" s="59" t="str"/>
      <c r="H4863" s="64" t="str"/>
      <c r="I4863" s="65" t="str"/>
      <c r="J4863" s="49" t="str"/>
      <c r="K4863" s="41" t="str"/>
      <c r="L4863" s="41" t="str"/>
      <c r="M4863" s="41" t="str"/>
      <c r="N4863" s="41" t="str"/>
      <c r="O4863" s="41" t="str"/>
      <c r="P4863" s="41" t="str"/>
      <c r="Q4863" s="41" t="str"/>
      <c r="R4863" s="41" t="str"/>
      <c r="S4863" s="41" t="str"/>
      <c r="T4863" s="41" t="str"/>
      <c r="U4863" s="41" t="str"/>
      <c r="V4863" s="41" t="str"/>
      <c r="W4863" s="41" t="str"/>
    </row>
    <row r="4864">
      <c r="B4864" s="2" t="n"/>
      <c r="C4864" s="40" t="n"/>
      <c r="D4864" s="52">
        <f t="array" ref="D4864:W4864">IF(All_Students_Scores!C4862:V4862="","",All_Students_Scores!C4862:V4862)</f>
        <v/>
      </c>
      <c r="E4864" s="57" t="str"/>
      <c r="F4864" s="49" t="str"/>
      <c r="G4864" s="59" t="str"/>
      <c r="H4864" s="64" t="str"/>
      <c r="I4864" s="65" t="str"/>
      <c r="J4864" s="49" t="str"/>
      <c r="K4864" s="41" t="str"/>
      <c r="L4864" s="41" t="str"/>
      <c r="M4864" s="41" t="str"/>
      <c r="N4864" s="41" t="str"/>
      <c r="O4864" s="41" t="str"/>
      <c r="P4864" s="41" t="str"/>
      <c r="Q4864" s="41" t="str"/>
      <c r="R4864" s="41" t="str"/>
      <c r="S4864" s="41" t="str"/>
      <c r="T4864" s="41" t="str"/>
      <c r="U4864" s="41" t="str"/>
      <c r="V4864" s="41" t="str"/>
      <c r="W4864" s="41" t="str"/>
    </row>
    <row r="4865">
      <c r="B4865" s="2" t="n"/>
      <c r="C4865" s="40" t="n"/>
      <c r="D4865" s="52">
        <f t="array" ref="D4865:W4865">IF(All_Students_Scores!C4863:V4863="","",All_Students_Scores!C4863:V4863)</f>
        <v/>
      </c>
      <c r="E4865" s="57" t="str"/>
      <c r="F4865" s="49" t="str"/>
      <c r="G4865" s="59" t="str"/>
      <c r="H4865" s="64" t="str"/>
      <c r="I4865" s="65" t="str"/>
      <c r="J4865" s="49" t="str"/>
      <c r="K4865" s="41" t="str"/>
      <c r="L4865" s="41" t="str"/>
      <c r="M4865" s="41" t="str"/>
      <c r="N4865" s="41" t="str"/>
      <c r="O4865" s="41" t="str"/>
      <c r="P4865" s="41" t="str"/>
      <c r="Q4865" s="41" t="str"/>
      <c r="R4865" s="41" t="str"/>
      <c r="S4865" s="41" t="str"/>
      <c r="T4865" s="41" t="str"/>
      <c r="U4865" s="41" t="str"/>
      <c r="V4865" s="41" t="str"/>
      <c r="W4865" s="41" t="str"/>
    </row>
    <row r="4866">
      <c r="B4866" s="2" t="n"/>
      <c r="C4866" s="40" t="n"/>
      <c r="D4866" s="52">
        <f t="array" ref="D4866:W4866">IF(All_Students_Scores!C4864:V4864="","",All_Students_Scores!C4864:V4864)</f>
        <v/>
      </c>
      <c r="E4866" s="57" t="str"/>
      <c r="F4866" s="49" t="str"/>
      <c r="G4866" s="59" t="str"/>
      <c r="H4866" s="64" t="str"/>
      <c r="I4866" s="65" t="str"/>
      <c r="J4866" s="49" t="str"/>
      <c r="K4866" s="41" t="str"/>
      <c r="L4866" s="41" t="str"/>
      <c r="M4866" s="41" t="str"/>
      <c r="N4866" s="41" t="str"/>
      <c r="O4866" s="41" t="str"/>
      <c r="P4866" s="41" t="str"/>
      <c r="Q4866" s="41" t="str"/>
      <c r="R4866" s="41" t="str"/>
      <c r="S4866" s="41" t="str"/>
      <c r="T4866" s="41" t="str"/>
      <c r="U4866" s="41" t="str"/>
      <c r="V4866" s="41" t="str"/>
      <c r="W4866" s="41" t="str"/>
    </row>
    <row r="4867">
      <c r="B4867" s="2" t="n"/>
      <c r="C4867" s="40" t="n"/>
      <c r="D4867" s="52">
        <f t="array" ref="D4867:W4867">IF(All_Students_Scores!C4865:V4865="","",All_Students_Scores!C4865:V4865)</f>
        <v/>
      </c>
      <c r="E4867" s="57" t="str"/>
      <c r="F4867" s="49" t="str"/>
      <c r="G4867" s="59" t="str"/>
      <c r="H4867" s="64" t="str"/>
      <c r="I4867" s="65" t="str"/>
      <c r="J4867" s="49" t="str"/>
      <c r="K4867" s="41" t="str"/>
      <c r="L4867" s="41" t="str"/>
      <c r="M4867" s="41" t="str"/>
      <c r="N4867" s="41" t="str"/>
      <c r="O4867" s="41" t="str"/>
      <c r="P4867" s="41" t="str"/>
      <c r="Q4867" s="41" t="str"/>
      <c r="R4867" s="41" t="str"/>
      <c r="S4867" s="41" t="str"/>
      <c r="T4867" s="41" t="str"/>
      <c r="U4867" s="41" t="str"/>
      <c r="V4867" s="41" t="str"/>
      <c r="W4867" s="41" t="str"/>
    </row>
    <row r="4868">
      <c r="B4868" s="2" t="n"/>
      <c r="C4868" s="40" t="n"/>
      <c r="D4868" s="52">
        <f t="array" ref="D4868:W4868">IF(All_Students_Scores!C4866:V4866="","",All_Students_Scores!C4866:V4866)</f>
        <v/>
      </c>
      <c r="E4868" s="57" t="str"/>
      <c r="F4868" s="49" t="str"/>
      <c r="G4868" s="59" t="str"/>
      <c r="H4868" s="64" t="str"/>
      <c r="I4868" s="65" t="str"/>
      <c r="J4868" s="49" t="str"/>
      <c r="K4868" s="41" t="str"/>
      <c r="L4868" s="41" t="str"/>
      <c r="M4868" s="41" t="str"/>
      <c r="N4868" s="41" t="str"/>
      <c r="O4868" s="41" t="str"/>
      <c r="P4868" s="41" t="str"/>
      <c r="Q4868" s="41" t="str"/>
      <c r="R4868" s="41" t="str"/>
      <c r="S4868" s="41" t="str"/>
      <c r="T4868" s="41" t="str"/>
      <c r="U4868" s="41" t="str"/>
      <c r="V4868" s="41" t="str"/>
      <c r="W4868" s="41" t="str"/>
    </row>
    <row r="4869">
      <c r="B4869" s="2" t="n"/>
      <c r="C4869" s="40" t="n"/>
      <c r="D4869" s="52">
        <f t="array" ref="D4869:W4869">IF(All_Students_Scores!C4867:V4867="","",All_Students_Scores!C4867:V4867)</f>
        <v/>
      </c>
      <c r="E4869" s="57" t="str"/>
      <c r="F4869" s="49" t="str"/>
      <c r="G4869" s="59" t="str"/>
      <c r="H4869" s="64" t="str"/>
      <c r="I4869" s="65" t="str"/>
      <c r="J4869" s="49" t="str"/>
      <c r="K4869" s="41" t="str"/>
      <c r="L4869" s="41" t="str"/>
      <c r="M4869" s="41" t="str"/>
      <c r="N4869" s="41" t="str"/>
      <c r="O4869" s="41" t="str"/>
      <c r="P4869" s="41" t="str"/>
      <c r="Q4869" s="41" t="str"/>
      <c r="R4869" s="41" t="str"/>
      <c r="S4869" s="41" t="str"/>
      <c r="T4869" s="41" t="str"/>
      <c r="U4869" s="41" t="str"/>
      <c r="V4869" s="41" t="str"/>
      <c r="W4869" s="41" t="str"/>
    </row>
    <row r="4870">
      <c r="B4870" s="2" t="n"/>
      <c r="C4870" s="40" t="n"/>
      <c r="D4870" s="52">
        <f t="array" ref="D4870:W4870">IF(All_Students_Scores!C4868:V4868="","",All_Students_Scores!C4868:V4868)</f>
        <v/>
      </c>
      <c r="E4870" s="57" t="str"/>
      <c r="F4870" s="49" t="str"/>
      <c r="G4870" s="59" t="str"/>
      <c r="H4870" s="64" t="str"/>
      <c r="I4870" s="65" t="str"/>
      <c r="J4870" s="49" t="str"/>
      <c r="K4870" s="41" t="str"/>
      <c r="L4870" s="41" t="str"/>
      <c r="M4870" s="41" t="str"/>
      <c r="N4870" s="41" t="str"/>
      <c r="O4870" s="41" t="str"/>
      <c r="P4870" s="41" t="str"/>
      <c r="Q4870" s="41" t="str"/>
      <c r="R4870" s="41" t="str"/>
      <c r="S4870" s="41" t="str"/>
      <c r="T4870" s="41" t="str"/>
      <c r="U4870" s="41" t="str"/>
      <c r="V4870" s="41" t="str"/>
      <c r="W4870" s="41" t="str"/>
    </row>
    <row r="4871">
      <c r="B4871" s="2" t="n"/>
      <c r="C4871" s="40" t="n"/>
      <c r="D4871" s="52">
        <f t="array" ref="D4871:W4871">IF(All_Students_Scores!C4869:V4869="","",All_Students_Scores!C4869:V4869)</f>
        <v/>
      </c>
      <c r="E4871" s="57" t="str"/>
      <c r="F4871" s="49" t="str"/>
      <c r="G4871" s="59" t="str"/>
      <c r="H4871" s="64" t="str"/>
      <c r="I4871" s="65" t="str"/>
      <c r="J4871" s="49" t="str"/>
      <c r="K4871" s="41" t="str"/>
      <c r="L4871" s="41" t="str"/>
      <c r="M4871" s="41" t="str"/>
      <c r="N4871" s="41" t="str"/>
      <c r="O4871" s="41" t="str"/>
      <c r="P4871" s="41" t="str"/>
      <c r="Q4871" s="41" t="str"/>
      <c r="R4871" s="41" t="str"/>
      <c r="S4871" s="41" t="str"/>
      <c r="T4871" s="41" t="str"/>
      <c r="U4871" s="41" t="str"/>
      <c r="V4871" s="41" t="str"/>
      <c r="W4871" s="41" t="str"/>
    </row>
    <row r="4872">
      <c r="B4872" s="2" t="n"/>
      <c r="C4872" s="40" t="n"/>
      <c r="D4872" s="52">
        <f t="array" ref="D4872:W4872">IF(All_Students_Scores!C4870:V4870="","",All_Students_Scores!C4870:V4870)</f>
        <v/>
      </c>
      <c r="E4872" s="57" t="str"/>
      <c r="F4872" s="49" t="str"/>
      <c r="G4872" s="59" t="str"/>
      <c r="H4872" s="64" t="str"/>
      <c r="I4872" s="65" t="str"/>
      <c r="J4872" s="49" t="str"/>
      <c r="K4872" s="41" t="str"/>
      <c r="L4872" s="41" t="str"/>
      <c r="M4872" s="41" t="str"/>
      <c r="N4872" s="41" t="str"/>
      <c r="O4872" s="41" t="str"/>
      <c r="P4872" s="41" t="str"/>
      <c r="Q4872" s="41" t="str"/>
      <c r="R4872" s="41" t="str"/>
      <c r="S4872" s="41" t="str"/>
      <c r="T4872" s="41" t="str"/>
      <c r="U4872" s="41" t="str"/>
      <c r="V4872" s="41" t="str"/>
      <c r="W4872" s="41" t="str"/>
    </row>
    <row r="4873">
      <c r="B4873" s="2" t="n"/>
      <c r="C4873" s="40" t="n"/>
      <c r="D4873" s="52">
        <f t="array" ref="D4873:W4873">IF(All_Students_Scores!C4871:V4871="","",All_Students_Scores!C4871:V4871)</f>
        <v/>
      </c>
      <c r="E4873" s="57" t="str"/>
      <c r="F4873" s="49" t="str"/>
      <c r="G4873" s="59" t="str"/>
      <c r="H4873" s="64" t="str"/>
      <c r="I4873" s="65" t="str"/>
      <c r="J4873" s="49" t="str"/>
      <c r="K4873" s="41" t="str"/>
      <c r="L4873" s="41" t="str"/>
      <c r="M4873" s="41" t="str"/>
      <c r="N4873" s="41" t="str"/>
      <c r="O4873" s="41" t="str"/>
      <c r="P4873" s="41" t="str"/>
      <c r="Q4873" s="41" t="str"/>
      <c r="R4873" s="41" t="str"/>
      <c r="S4873" s="41" t="str"/>
      <c r="T4873" s="41" t="str"/>
      <c r="U4873" s="41" t="str"/>
      <c r="V4873" s="41" t="str"/>
      <c r="W4873" s="41" t="str"/>
    </row>
    <row r="4874">
      <c r="B4874" s="2" t="n"/>
      <c r="C4874" s="40" t="n"/>
      <c r="D4874" s="52">
        <f t="array" ref="D4874:W4874">IF(All_Students_Scores!C4872:V4872="","",All_Students_Scores!C4872:V4872)</f>
        <v/>
      </c>
      <c r="E4874" s="57" t="str"/>
      <c r="F4874" s="49" t="str"/>
      <c r="G4874" s="59" t="str"/>
      <c r="H4874" s="64" t="str"/>
      <c r="I4874" s="65" t="str"/>
      <c r="J4874" s="49" t="str"/>
      <c r="K4874" s="41" t="str"/>
      <c r="L4874" s="41" t="str"/>
      <c r="M4874" s="41" t="str"/>
      <c r="N4874" s="41" t="str"/>
      <c r="O4874" s="41" t="str"/>
      <c r="P4874" s="41" t="str"/>
      <c r="Q4874" s="41" t="str"/>
      <c r="R4874" s="41" t="str"/>
      <c r="S4874" s="41" t="str"/>
      <c r="T4874" s="41" t="str"/>
      <c r="U4874" s="41" t="str"/>
      <c r="V4874" s="41" t="str"/>
      <c r="W4874" s="41" t="str"/>
    </row>
    <row r="4875">
      <c r="B4875" s="2" t="n"/>
      <c r="C4875" s="40" t="n"/>
      <c r="D4875" s="52">
        <f t="array" ref="D4875:W4875">IF(All_Students_Scores!C4873:V4873="","",All_Students_Scores!C4873:V4873)</f>
        <v/>
      </c>
      <c r="E4875" s="57" t="str"/>
      <c r="F4875" s="49" t="str"/>
      <c r="G4875" s="59" t="str"/>
      <c r="H4875" s="64" t="str"/>
      <c r="I4875" s="65" t="str"/>
      <c r="J4875" s="49" t="str"/>
      <c r="K4875" s="41" t="str"/>
      <c r="L4875" s="41" t="str"/>
      <c r="M4875" s="41" t="str"/>
      <c r="N4875" s="41" t="str"/>
      <c r="O4875" s="41" t="str"/>
      <c r="P4875" s="41" t="str"/>
      <c r="Q4875" s="41" t="str"/>
      <c r="R4875" s="41" t="str"/>
      <c r="S4875" s="41" t="str"/>
      <c r="T4875" s="41" t="str"/>
      <c r="U4875" s="41" t="str"/>
      <c r="V4875" s="41" t="str"/>
      <c r="W4875" s="41" t="str"/>
    </row>
    <row r="4876">
      <c r="B4876" s="2" t="n"/>
      <c r="C4876" s="40" t="n"/>
      <c r="D4876" s="52">
        <f t="array" ref="D4876:W4876">IF(All_Students_Scores!C4874:V4874="","",All_Students_Scores!C4874:V4874)</f>
        <v/>
      </c>
      <c r="E4876" s="57" t="str"/>
      <c r="F4876" s="49" t="str"/>
      <c r="G4876" s="59" t="str"/>
      <c r="H4876" s="64" t="str"/>
      <c r="I4876" s="65" t="str"/>
      <c r="J4876" s="49" t="str"/>
      <c r="K4876" s="41" t="str"/>
      <c r="L4876" s="41" t="str"/>
      <c r="M4876" s="41" t="str"/>
      <c r="N4876" s="41" t="str"/>
      <c r="O4876" s="41" t="str"/>
      <c r="P4876" s="41" t="str"/>
      <c r="Q4876" s="41" t="str"/>
      <c r="R4876" s="41" t="str"/>
      <c r="S4876" s="41" t="str"/>
      <c r="T4876" s="41" t="str"/>
      <c r="U4876" s="41" t="str"/>
      <c r="V4876" s="41" t="str"/>
      <c r="W4876" s="41" t="str"/>
    </row>
    <row r="4877">
      <c r="B4877" s="2" t="n"/>
      <c r="C4877" s="40" t="n"/>
      <c r="D4877" s="52">
        <f t="array" ref="D4877:W4877">IF(All_Students_Scores!C4875:V4875="","",All_Students_Scores!C4875:V4875)</f>
        <v/>
      </c>
      <c r="E4877" s="57" t="str"/>
      <c r="F4877" s="49" t="str"/>
      <c r="G4877" s="59" t="str"/>
      <c r="H4877" s="64" t="str"/>
      <c r="I4877" s="65" t="str"/>
      <c r="J4877" s="49" t="str"/>
      <c r="K4877" s="41" t="str"/>
      <c r="L4877" s="41" t="str"/>
      <c r="M4877" s="41" t="str"/>
      <c r="N4877" s="41" t="str"/>
      <c r="O4877" s="41" t="str"/>
      <c r="P4877" s="41" t="str"/>
      <c r="Q4877" s="41" t="str"/>
      <c r="R4877" s="41" t="str"/>
      <c r="S4877" s="41" t="str"/>
      <c r="T4877" s="41" t="str"/>
      <c r="U4877" s="41" t="str"/>
      <c r="V4877" s="41" t="str"/>
      <c r="W4877" s="41" t="str"/>
    </row>
    <row r="4878">
      <c r="B4878" s="2" t="n"/>
      <c r="C4878" s="40" t="n"/>
      <c r="D4878" s="52">
        <f t="array" ref="D4878:W4878">IF(All_Students_Scores!C4876:V4876="","",All_Students_Scores!C4876:V4876)</f>
        <v/>
      </c>
      <c r="E4878" s="57" t="str"/>
      <c r="F4878" s="49" t="str"/>
      <c r="G4878" s="59" t="str"/>
      <c r="H4878" s="64" t="str"/>
      <c r="I4878" s="65" t="str"/>
      <c r="J4878" s="49" t="str"/>
      <c r="K4878" s="41" t="str"/>
      <c r="L4878" s="41" t="str"/>
      <c r="M4878" s="41" t="str"/>
      <c r="N4878" s="41" t="str"/>
      <c r="O4878" s="41" t="str"/>
      <c r="P4878" s="41" t="str"/>
      <c r="Q4878" s="41" t="str"/>
      <c r="R4878" s="41" t="str"/>
      <c r="S4878" s="41" t="str"/>
      <c r="T4878" s="41" t="str"/>
      <c r="U4878" s="41" t="str"/>
      <c r="V4878" s="41" t="str"/>
      <c r="W4878" s="41" t="str"/>
    </row>
    <row r="4879">
      <c r="B4879" s="2" t="n"/>
      <c r="C4879" s="40" t="n"/>
      <c r="D4879" s="52">
        <f t="array" ref="D4879:W4879">IF(All_Students_Scores!C4877:V4877="","",All_Students_Scores!C4877:V4877)</f>
        <v/>
      </c>
      <c r="E4879" s="57" t="str"/>
      <c r="F4879" s="49" t="str"/>
      <c r="G4879" s="59" t="str"/>
      <c r="H4879" s="64" t="str"/>
      <c r="I4879" s="65" t="str"/>
      <c r="J4879" s="49" t="str"/>
      <c r="K4879" s="41" t="str"/>
      <c r="L4879" s="41" t="str"/>
      <c r="M4879" s="41" t="str"/>
      <c r="N4879" s="41" t="str"/>
      <c r="O4879" s="41" t="str"/>
      <c r="P4879" s="41" t="str"/>
      <c r="Q4879" s="41" t="str"/>
      <c r="R4879" s="41" t="str"/>
      <c r="S4879" s="41" t="str"/>
      <c r="T4879" s="41" t="str"/>
      <c r="U4879" s="41" t="str"/>
      <c r="V4879" s="41" t="str"/>
      <c r="W4879" s="41" t="str"/>
    </row>
    <row r="4880">
      <c r="B4880" s="2" t="n"/>
      <c r="C4880" s="40" t="n"/>
      <c r="D4880" s="52">
        <f t="array" ref="D4880:W4880">IF(All_Students_Scores!C4878:V4878="","",All_Students_Scores!C4878:V4878)</f>
        <v/>
      </c>
      <c r="E4880" s="57" t="str"/>
      <c r="F4880" s="49" t="str"/>
      <c r="G4880" s="59" t="str"/>
      <c r="H4880" s="64" t="str"/>
      <c r="I4880" s="65" t="str"/>
      <c r="J4880" s="49" t="str"/>
      <c r="K4880" s="41" t="str"/>
      <c r="L4880" s="41" t="str"/>
      <c r="M4880" s="41" t="str"/>
      <c r="N4880" s="41" t="str"/>
      <c r="O4880" s="41" t="str"/>
      <c r="P4880" s="41" t="str"/>
      <c r="Q4880" s="41" t="str"/>
      <c r="R4880" s="41" t="str"/>
      <c r="S4880" s="41" t="str"/>
      <c r="T4880" s="41" t="str"/>
      <c r="U4880" s="41" t="str"/>
      <c r="V4880" s="41" t="str"/>
      <c r="W4880" s="41" t="str"/>
    </row>
    <row r="4881">
      <c r="B4881" s="2" t="n"/>
      <c r="C4881" s="40" t="n"/>
      <c r="D4881" s="52">
        <f t="array" ref="D4881:W4881">IF(All_Students_Scores!C4879:V4879="","",All_Students_Scores!C4879:V4879)</f>
        <v/>
      </c>
      <c r="E4881" s="57" t="str"/>
      <c r="F4881" s="49" t="str"/>
      <c r="G4881" s="59" t="str"/>
      <c r="H4881" s="64" t="str"/>
      <c r="I4881" s="65" t="str"/>
      <c r="J4881" s="49" t="str"/>
      <c r="K4881" s="41" t="str"/>
      <c r="L4881" s="41" t="str"/>
      <c r="M4881" s="41" t="str"/>
      <c r="N4881" s="41" t="str"/>
      <c r="O4881" s="41" t="str"/>
      <c r="P4881" s="41" t="str"/>
      <c r="Q4881" s="41" t="str"/>
      <c r="R4881" s="41" t="str"/>
      <c r="S4881" s="41" t="str"/>
      <c r="T4881" s="41" t="str"/>
      <c r="U4881" s="41" t="str"/>
      <c r="V4881" s="41" t="str"/>
      <c r="W4881" s="41" t="str"/>
    </row>
    <row r="4882">
      <c r="B4882" s="2" t="n"/>
      <c r="C4882" s="40" t="n"/>
      <c r="D4882" s="52">
        <f t="array" ref="D4882:W4882">IF(All_Students_Scores!C4880:V4880="","",All_Students_Scores!C4880:V4880)</f>
        <v/>
      </c>
      <c r="E4882" s="57" t="str"/>
      <c r="F4882" s="49" t="str"/>
      <c r="G4882" s="59" t="str"/>
      <c r="H4882" s="64" t="str"/>
      <c r="I4882" s="65" t="str"/>
      <c r="J4882" s="49" t="str"/>
      <c r="K4882" s="41" t="str"/>
      <c r="L4882" s="41" t="str"/>
      <c r="M4882" s="41" t="str"/>
      <c r="N4882" s="41" t="str"/>
      <c r="O4882" s="41" t="str"/>
      <c r="P4882" s="41" t="str"/>
      <c r="Q4882" s="41" t="str"/>
      <c r="R4882" s="41" t="str"/>
      <c r="S4882" s="41" t="str"/>
      <c r="T4882" s="41" t="str"/>
      <c r="U4882" s="41" t="str"/>
      <c r="V4882" s="41" t="str"/>
      <c r="W4882" s="41" t="str"/>
    </row>
    <row r="4883">
      <c r="B4883" s="2" t="n"/>
      <c r="C4883" s="40" t="n"/>
      <c r="D4883" s="52">
        <f t="array" ref="D4883:W4883">IF(All_Students_Scores!C4881:V4881="","",All_Students_Scores!C4881:V4881)</f>
        <v/>
      </c>
      <c r="E4883" s="57" t="str"/>
      <c r="F4883" s="49" t="str"/>
      <c r="G4883" s="59" t="str"/>
      <c r="H4883" s="64" t="str"/>
      <c r="I4883" s="65" t="str"/>
      <c r="J4883" s="49" t="str"/>
      <c r="K4883" s="41" t="str"/>
      <c r="L4883" s="41" t="str"/>
      <c r="M4883" s="41" t="str"/>
      <c r="N4883" s="41" t="str"/>
      <c r="O4883" s="41" t="str"/>
      <c r="P4883" s="41" t="str"/>
      <c r="Q4883" s="41" t="str"/>
      <c r="R4883" s="41" t="str"/>
      <c r="S4883" s="41" t="str"/>
      <c r="T4883" s="41" t="str"/>
      <c r="U4883" s="41" t="str"/>
      <c r="V4883" s="41" t="str"/>
      <c r="W4883" s="41" t="str"/>
    </row>
    <row r="4884">
      <c r="B4884" s="2" t="n"/>
      <c r="C4884" s="40" t="n"/>
      <c r="D4884" s="52">
        <f t="array" ref="D4884:W4884">IF(All_Students_Scores!C4882:V4882="","",All_Students_Scores!C4882:V4882)</f>
        <v/>
      </c>
      <c r="E4884" s="57" t="str"/>
      <c r="F4884" s="49" t="str"/>
      <c r="G4884" s="59" t="str"/>
      <c r="H4884" s="64" t="str"/>
      <c r="I4884" s="65" t="str"/>
      <c r="J4884" s="49" t="str"/>
      <c r="K4884" s="41" t="str"/>
      <c r="L4884" s="41" t="str"/>
      <c r="M4884" s="41" t="str"/>
      <c r="N4884" s="41" t="str"/>
      <c r="O4884" s="41" t="str"/>
      <c r="P4884" s="41" t="str"/>
      <c r="Q4884" s="41" t="str"/>
      <c r="R4884" s="41" t="str"/>
      <c r="S4884" s="41" t="str"/>
      <c r="T4884" s="41" t="str"/>
      <c r="U4884" s="41" t="str"/>
      <c r="V4884" s="41" t="str"/>
      <c r="W4884" s="41" t="str"/>
    </row>
    <row r="4885">
      <c r="B4885" s="2" t="n"/>
      <c r="C4885" s="40" t="n"/>
      <c r="D4885" s="52">
        <f t="array" ref="D4885:W4885">IF(All_Students_Scores!C4883:V4883="","",All_Students_Scores!C4883:V4883)</f>
        <v/>
      </c>
      <c r="E4885" s="57" t="str"/>
      <c r="F4885" s="49" t="str"/>
      <c r="G4885" s="59" t="str"/>
      <c r="H4885" s="64" t="str"/>
      <c r="I4885" s="65" t="str"/>
      <c r="J4885" s="49" t="str"/>
      <c r="K4885" s="41" t="str"/>
      <c r="L4885" s="41" t="str"/>
      <c r="M4885" s="41" t="str"/>
      <c r="N4885" s="41" t="str"/>
      <c r="O4885" s="41" t="str"/>
      <c r="P4885" s="41" t="str"/>
      <c r="Q4885" s="41" t="str"/>
      <c r="R4885" s="41" t="str"/>
      <c r="S4885" s="41" t="str"/>
      <c r="T4885" s="41" t="str"/>
      <c r="U4885" s="41" t="str"/>
      <c r="V4885" s="41" t="str"/>
      <c r="W4885" s="41" t="str"/>
    </row>
    <row r="4886">
      <c r="B4886" s="2" t="n"/>
      <c r="C4886" s="40" t="n"/>
      <c r="D4886" s="52">
        <f t="array" ref="D4886:W4886">IF(All_Students_Scores!C4884:V4884="","",All_Students_Scores!C4884:V4884)</f>
        <v/>
      </c>
      <c r="E4886" s="57" t="str"/>
      <c r="F4886" s="49" t="str"/>
      <c r="G4886" s="59" t="str"/>
      <c r="H4886" s="64" t="str"/>
      <c r="I4886" s="65" t="str"/>
      <c r="J4886" s="49" t="str"/>
      <c r="K4886" s="41" t="str"/>
      <c r="L4886" s="41" t="str"/>
      <c r="M4886" s="41" t="str"/>
      <c r="N4886" s="41" t="str"/>
      <c r="O4886" s="41" t="str"/>
      <c r="P4886" s="41" t="str"/>
      <c r="Q4886" s="41" t="str"/>
      <c r="R4886" s="41" t="str"/>
      <c r="S4886" s="41" t="str"/>
      <c r="T4886" s="41" t="str"/>
      <c r="U4886" s="41" t="str"/>
      <c r="V4886" s="41" t="str"/>
      <c r="W4886" s="41" t="str"/>
    </row>
    <row r="4887">
      <c r="B4887" s="2" t="n"/>
      <c r="C4887" s="40" t="n"/>
      <c r="D4887" s="52">
        <f t="array" ref="D4887:W4887">IF(All_Students_Scores!C4885:V4885="","",All_Students_Scores!C4885:V4885)</f>
        <v/>
      </c>
      <c r="E4887" s="57" t="str"/>
      <c r="F4887" s="49" t="str"/>
      <c r="G4887" s="59" t="str"/>
      <c r="H4887" s="64" t="str"/>
      <c r="I4887" s="65" t="str"/>
      <c r="J4887" s="49" t="str"/>
      <c r="K4887" s="41" t="str"/>
      <c r="L4887" s="41" t="str"/>
      <c r="M4887" s="41" t="str"/>
      <c r="N4887" s="41" t="str"/>
      <c r="O4887" s="41" t="str"/>
      <c r="P4887" s="41" t="str"/>
      <c r="Q4887" s="41" t="str"/>
      <c r="R4887" s="41" t="str"/>
      <c r="S4887" s="41" t="str"/>
      <c r="T4887" s="41" t="str"/>
      <c r="U4887" s="41" t="str"/>
      <c r="V4887" s="41" t="str"/>
      <c r="W4887" s="41" t="str"/>
    </row>
    <row r="4888">
      <c r="B4888" s="2" t="n"/>
      <c r="C4888" s="40" t="n"/>
      <c r="D4888" s="52">
        <f t="array" ref="D4888:W4888">IF(All_Students_Scores!C4886:V4886="","",All_Students_Scores!C4886:V4886)</f>
        <v/>
      </c>
      <c r="E4888" s="57" t="str"/>
      <c r="F4888" s="49" t="str"/>
      <c r="G4888" s="59" t="str"/>
      <c r="H4888" s="64" t="str"/>
      <c r="I4888" s="65" t="str"/>
      <c r="J4888" s="49" t="str"/>
      <c r="K4888" s="41" t="str"/>
      <c r="L4888" s="41" t="str"/>
      <c r="M4888" s="41" t="str"/>
      <c r="N4888" s="41" t="str"/>
      <c r="O4888" s="41" t="str"/>
      <c r="P4888" s="41" t="str"/>
      <c r="Q4888" s="41" t="str"/>
      <c r="R4888" s="41" t="str"/>
      <c r="S4888" s="41" t="str"/>
      <c r="T4888" s="41" t="str"/>
      <c r="U4888" s="41" t="str"/>
      <c r="V4888" s="41" t="str"/>
      <c r="W4888" s="41" t="str"/>
    </row>
    <row r="4889">
      <c r="B4889" s="2" t="n"/>
      <c r="C4889" s="40" t="n"/>
      <c r="D4889" s="52">
        <f t="array" ref="D4889:W4889">IF(All_Students_Scores!C4887:V4887="","",All_Students_Scores!C4887:V4887)</f>
        <v/>
      </c>
      <c r="E4889" s="57" t="str"/>
      <c r="F4889" s="49" t="str"/>
      <c r="G4889" s="59" t="str"/>
      <c r="H4889" s="64" t="str"/>
      <c r="I4889" s="65" t="str"/>
      <c r="J4889" s="49" t="str"/>
      <c r="K4889" s="41" t="str"/>
      <c r="L4889" s="41" t="str"/>
      <c r="M4889" s="41" t="str"/>
      <c r="N4889" s="41" t="str"/>
      <c r="O4889" s="41" t="str"/>
      <c r="P4889" s="41" t="str"/>
      <c r="Q4889" s="41" t="str"/>
      <c r="R4889" s="41" t="str"/>
      <c r="S4889" s="41" t="str"/>
      <c r="T4889" s="41" t="str"/>
      <c r="U4889" s="41" t="str"/>
      <c r="V4889" s="41" t="str"/>
      <c r="W4889" s="41" t="str"/>
    </row>
    <row r="4890">
      <c r="B4890" s="2" t="n"/>
      <c r="C4890" s="40" t="n"/>
      <c r="D4890" s="52">
        <f t="array" ref="D4890:W4890">IF(All_Students_Scores!C4888:V4888="","",All_Students_Scores!C4888:V4888)</f>
        <v/>
      </c>
      <c r="E4890" s="57" t="str"/>
      <c r="F4890" s="49" t="str"/>
      <c r="G4890" s="59" t="str"/>
      <c r="H4890" s="64" t="str"/>
      <c r="I4890" s="65" t="str"/>
      <c r="J4890" s="49" t="str"/>
      <c r="K4890" s="41" t="str"/>
      <c r="L4890" s="41" t="str"/>
      <c r="M4890" s="41" t="str"/>
      <c r="N4890" s="41" t="str"/>
      <c r="O4890" s="41" t="str"/>
      <c r="P4890" s="41" t="str"/>
      <c r="Q4890" s="41" t="str"/>
      <c r="R4890" s="41" t="str"/>
      <c r="S4890" s="41" t="str"/>
      <c r="T4890" s="41" t="str"/>
      <c r="U4890" s="41" t="str"/>
      <c r="V4890" s="41" t="str"/>
      <c r="W4890" s="41" t="str"/>
    </row>
    <row r="4891">
      <c r="B4891" s="2" t="n"/>
      <c r="C4891" s="40" t="n"/>
      <c r="D4891" s="52">
        <f t="array" ref="D4891:W4891">IF(All_Students_Scores!C4889:V4889="","",All_Students_Scores!C4889:V4889)</f>
        <v/>
      </c>
      <c r="E4891" s="57" t="str"/>
      <c r="F4891" s="49" t="str"/>
      <c r="G4891" s="59" t="str"/>
      <c r="H4891" s="64" t="str"/>
      <c r="I4891" s="65" t="str"/>
      <c r="J4891" s="49" t="str"/>
      <c r="K4891" s="41" t="str"/>
      <c r="L4891" s="41" t="str"/>
      <c r="M4891" s="41" t="str"/>
      <c r="N4891" s="41" t="str"/>
      <c r="O4891" s="41" t="str"/>
      <c r="P4891" s="41" t="str"/>
      <c r="Q4891" s="41" t="str"/>
      <c r="R4891" s="41" t="str"/>
      <c r="S4891" s="41" t="str"/>
      <c r="T4891" s="41" t="str"/>
      <c r="U4891" s="41" t="str"/>
      <c r="V4891" s="41" t="str"/>
      <c r="W4891" s="41" t="str"/>
    </row>
    <row r="4892">
      <c r="B4892" s="2" t="n"/>
      <c r="C4892" s="40" t="n"/>
      <c r="D4892" s="52">
        <f t="array" ref="D4892:W4892">IF(All_Students_Scores!C4890:V4890="","",All_Students_Scores!C4890:V4890)</f>
        <v/>
      </c>
      <c r="E4892" s="57" t="str"/>
      <c r="F4892" s="49" t="str"/>
      <c r="G4892" s="59" t="str"/>
      <c r="H4892" s="64" t="str"/>
      <c r="I4892" s="65" t="str"/>
      <c r="J4892" s="49" t="str"/>
      <c r="K4892" s="41" t="str"/>
      <c r="L4892" s="41" t="str"/>
      <c r="M4892" s="41" t="str"/>
      <c r="N4892" s="41" t="str"/>
      <c r="O4892" s="41" t="str"/>
      <c r="P4892" s="41" t="str"/>
      <c r="Q4892" s="41" t="str"/>
      <c r="R4892" s="41" t="str"/>
      <c r="S4892" s="41" t="str"/>
      <c r="T4892" s="41" t="str"/>
      <c r="U4892" s="41" t="str"/>
      <c r="V4892" s="41" t="str"/>
      <c r="W4892" s="41" t="str"/>
    </row>
    <row r="4893">
      <c r="B4893" s="2" t="n"/>
      <c r="C4893" s="40" t="n"/>
      <c r="D4893" s="52">
        <f t="array" ref="D4893:W4893">IF(All_Students_Scores!C4891:V4891="","",All_Students_Scores!C4891:V4891)</f>
        <v/>
      </c>
      <c r="E4893" s="57" t="str"/>
      <c r="F4893" s="49" t="str"/>
      <c r="G4893" s="59" t="str"/>
      <c r="H4893" s="64" t="str"/>
      <c r="I4893" s="65" t="str"/>
      <c r="J4893" s="49" t="str"/>
      <c r="K4893" s="41" t="str"/>
      <c r="L4893" s="41" t="str"/>
      <c r="M4893" s="41" t="str"/>
      <c r="N4893" s="41" t="str"/>
      <c r="O4893" s="41" t="str"/>
      <c r="P4893" s="41" t="str"/>
      <c r="Q4893" s="41" t="str"/>
      <c r="R4893" s="41" t="str"/>
      <c r="S4893" s="41" t="str"/>
      <c r="T4893" s="41" t="str"/>
      <c r="U4893" s="41" t="str"/>
      <c r="V4893" s="41" t="str"/>
      <c r="W4893" s="41" t="str"/>
    </row>
    <row r="4894">
      <c r="B4894" s="2" t="n"/>
      <c r="C4894" s="40" t="n"/>
      <c r="D4894" s="52">
        <f t="array" ref="D4894:W4894">IF(All_Students_Scores!C4892:V4892="","",All_Students_Scores!C4892:V4892)</f>
        <v/>
      </c>
      <c r="E4894" s="57" t="str"/>
      <c r="F4894" s="49" t="str"/>
      <c r="G4894" s="59" t="str"/>
      <c r="H4894" s="64" t="str"/>
      <c r="I4894" s="65" t="str"/>
      <c r="J4894" s="49" t="str"/>
      <c r="K4894" s="41" t="str"/>
      <c r="L4894" s="41" t="str"/>
      <c r="M4894" s="41" t="str"/>
      <c r="N4894" s="41" t="str"/>
      <c r="O4894" s="41" t="str"/>
      <c r="P4894" s="41" t="str"/>
      <c r="Q4894" s="41" t="str"/>
      <c r="R4894" s="41" t="str"/>
      <c r="S4894" s="41" t="str"/>
      <c r="T4894" s="41" t="str"/>
      <c r="U4894" s="41" t="str"/>
      <c r="V4894" s="41" t="str"/>
      <c r="W4894" s="41" t="str"/>
    </row>
    <row r="4895">
      <c r="B4895" s="2" t="n"/>
      <c r="C4895" s="40" t="n"/>
      <c r="D4895" s="52">
        <f t="array" ref="D4895:W4895">IF(All_Students_Scores!C4893:V4893="","",All_Students_Scores!C4893:V4893)</f>
        <v/>
      </c>
      <c r="E4895" s="57" t="str"/>
      <c r="F4895" s="49" t="str"/>
      <c r="G4895" s="59" t="str"/>
      <c r="H4895" s="64" t="str"/>
      <c r="I4895" s="65" t="str"/>
      <c r="J4895" s="49" t="str"/>
      <c r="K4895" s="41" t="str"/>
      <c r="L4895" s="41" t="str"/>
      <c r="M4895" s="41" t="str"/>
      <c r="N4895" s="41" t="str"/>
      <c r="O4895" s="41" t="str"/>
      <c r="P4895" s="41" t="str"/>
      <c r="Q4895" s="41" t="str"/>
      <c r="R4895" s="41" t="str"/>
      <c r="S4895" s="41" t="str"/>
      <c r="T4895" s="41" t="str"/>
      <c r="U4895" s="41" t="str"/>
      <c r="V4895" s="41" t="str"/>
      <c r="W4895" s="41" t="str"/>
    </row>
    <row r="4896">
      <c r="B4896" s="2" t="n"/>
      <c r="C4896" s="40" t="n"/>
      <c r="D4896" s="52">
        <f t="array" ref="D4896:W4896">IF(All_Students_Scores!C4894:V4894="","",All_Students_Scores!C4894:V4894)</f>
        <v/>
      </c>
      <c r="E4896" s="57" t="str"/>
      <c r="F4896" s="49" t="str"/>
      <c r="G4896" s="59" t="str"/>
      <c r="H4896" s="64" t="str"/>
      <c r="I4896" s="65" t="str"/>
      <c r="J4896" s="49" t="str"/>
      <c r="K4896" s="41" t="str"/>
      <c r="L4896" s="41" t="str"/>
      <c r="M4896" s="41" t="str"/>
      <c r="N4896" s="41" t="str"/>
      <c r="O4896" s="41" t="str"/>
      <c r="P4896" s="41" t="str"/>
      <c r="Q4896" s="41" t="str"/>
      <c r="R4896" s="41" t="str"/>
      <c r="S4896" s="41" t="str"/>
      <c r="T4896" s="41" t="str"/>
      <c r="U4896" s="41" t="str"/>
      <c r="V4896" s="41" t="str"/>
      <c r="W4896" s="41" t="str"/>
    </row>
    <row r="4897">
      <c r="B4897" s="2" t="n"/>
      <c r="C4897" s="40" t="n"/>
      <c r="D4897" s="52">
        <f t="array" ref="D4897:W4897">IF(All_Students_Scores!C4895:V4895="","",All_Students_Scores!C4895:V4895)</f>
        <v/>
      </c>
      <c r="E4897" s="57" t="str"/>
      <c r="F4897" s="49" t="str"/>
      <c r="G4897" s="59" t="str"/>
      <c r="H4897" s="64" t="str"/>
      <c r="I4897" s="65" t="str"/>
      <c r="J4897" s="49" t="str"/>
      <c r="K4897" s="41" t="str"/>
      <c r="L4897" s="41" t="str"/>
      <c r="M4897" s="41" t="str"/>
      <c r="N4897" s="41" t="str"/>
      <c r="O4897" s="41" t="str"/>
      <c r="P4897" s="41" t="str"/>
      <c r="Q4897" s="41" t="str"/>
      <c r="R4897" s="41" t="str"/>
      <c r="S4897" s="41" t="str"/>
      <c r="T4897" s="41" t="str"/>
      <c r="U4897" s="41" t="str"/>
      <c r="V4897" s="41" t="str"/>
      <c r="W4897" s="41" t="str"/>
    </row>
    <row r="4898">
      <c r="B4898" s="2" t="n"/>
      <c r="C4898" s="40" t="n"/>
      <c r="D4898" s="52">
        <f t="array" ref="D4898:W4898">IF(All_Students_Scores!C4896:V4896="","",All_Students_Scores!C4896:V4896)</f>
        <v/>
      </c>
      <c r="E4898" s="57" t="str"/>
      <c r="F4898" s="49" t="str"/>
      <c r="G4898" s="59" t="str"/>
      <c r="H4898" s="64" t="str"/>
      <c r="I4898" s="65" t="str"/>
      <c r="J4898" s="49" t="str"/>
      <c r="K4898" s="41" t="str"/>
      <c r="L4898" s="41" t="str"/>
      <c r="M4898" s="41" t="str"/>
      <c r="N4898" s="41" t="str"/>
      <c r="O4898" s="41" t="str"/>
      <c r="P4898" s="41" t="str"/>
      <c r="Q4898" s="41" t="str"/>
      <c r="R4898" s="41" t="str"/>
      <c r="S4898" s="41" t="str"/>
      <c r="T4898" s="41" t="str"/>
      <c r="U4898" s="41" t="str"/>
      <c r="V4898" s="41" t="str"/>
      <c r="W4898" s="41" t="str"/>
    </row>
    <row r="4899">
      <c r="B4899" s="2" t="n"/>
      <c r="C4899" s="40" t="n"/>
      <c r="D4899" s="52">
        <f t="array" ref="D4899:W4899">IF(All_Students_Scores!C4897:V4897="","",All_Students_Scores!C4897:V4897)</f>
        <v/>
      </c>
      <c r="E4899" s="57" t="str"/>
      <c r="F4899" s="49" t="str"/>
      <c r="G4899" s="59" t="str"/>
      <c r="H4899" s="64" t="str"/>
      <c r="I4899" s="65" t="str"/>
      <c r="J4899" s="49" t="str"/>
      <c r="K4899" s="41" t="str"/>
      <c r="L4899" s="41" t="str"/>
      <c r="M4899" s="41" t="str"/>
      <c r="N4899" s="41" t="str"/>
      <c r="O4899" s="41" t="str"/>
      <c r="P4899" s="41" t="str"/>
      <c r="Q4899" s="41" t="str"/>
      <c r="R4899" s="41" t="str"/>
      <c r="S4899" s="41" t="str"/>
      <c r="T4899" s="41" t="str"/>
      <c r="U4899" s="41" t="str"/>
      <c r="V4899" s="41" t="str"/>
      <c r="W4899" s="41" t="str"/>
    </row>
    <row r="4900">
      <c r="B4900" s="2" t="n"/>
      <c r="C4900" s="40" t="n"/>
      <c r="D4900" s="52">
        <f t="array" ref="D4900:W4900">IF(All_Students_Scores!C4898:V4898="","",All_Students_Scores!C4898:V4898)</f>
        <v/>
      </c>
      <c r="E4900" s="57" t="str"/>
      <c r="F4900" s="49" t="str"/>
      <c r="G4900" s="59" t="str"/>
      <c r="H4900" s="64" t="str"/>
      <c r="I4900" s="65" t="str"/>
      <c r="J4900" s="49" t="str"/>
      <c r="K4900" s="41" t="str"/>
      <c r="L4900" s="41" t="str"/>
      <c r="M4900" s="41" t="str"/>
      <c r="N4900" s="41" t="str"/>
      <c r="O4900" s="41" t="str"/>
      <c r="P4900" s="41" t="str"/>
      <c r="Q4900" s="41" t="str"/>
      <c r="R4900" s="41" t="str"/>
      <c r="S4900" s="41" t="str"/>
      <c r="T4900" s="41" t="str"/>
      <c r="U4900" s="41" t="str"/>
      <c r="V4900" s="41" t="str"/>
      <c r="W4900" s="41" t="str"/>
    </row>
    <row r="4901">
      <c r="B4901" s="2" t="n"/>
      <c r="C4901" s="40" t="n"/>
      <c r="D4901" s="52">
        <f t="array" ref="D4901:W4901">IF(All_Students_Scores!C4899:V4899="","",All_Students_Scores!C4899:V4899)</f>
        <v/>
      </c>
      <c r="E4901" s="57" t="str"/>
      <c r="F4901" s="49" t="str"/>
      <c r="G4901" s="59" t="str"/>
      <c r="H4901" s="64" t="str"/>
      <c r="I4901" s="65" t="str"/>
      <c r="J4901" s="49" t="str"/>
      <c r="K4901" s="41" t="str"/>
      <c r="L4901" s="41" t="str"/>
      <c r="M4901" s="41" t="str"/>
      <c r="N4901" s="41" t="str"/>
      <c r="O4901" s="41" t="str"/>
      <c r="P4901" s="41" t="str"/>
      <c r="Q4901" s="41" t="str"/>
      <c r="R4901" s="41" t="str"/>
      <c r="S4901" s="41" t="str"/>
      <c r="T4901" s="41" t="str"/>
      <c r="U4901" s="41" t="str"/>
      <c r="V4901" s="41" t="str"/>
      <c r="W4901" s="41" t="str"/>
    </row>
    <row r="4902">
      <c r="B4902" s="2" t="n"/>
      <c r="C4902" s="40" t="n"/>
      <c r="D4902" s="52">
        <f t="array" ref="D4902:W4902">IF(All_Students_Scores!C4900:V4900="","",All_Students_Scores!C4900:V4900)</f>
        <v/>
      </c>
      <c r="E4902" s="57" t="str"/>
      <c r="F4902" s="49" t="str"/>
      <c r="G4902" s="59" t="str"/>
      <c r="H4902" s="64" t="str"/>
      <c r="I4902" s="65" t="str"/>
      <c r="J4902" s="49" t="str"/>
      <c r="K4902" s="41" t="str"/>
      <c r="L4902" s="41" t="str"/>
      <c r="M4902" s="41" t="str"/>
      <c r="N4902" s="41" t="str"/>
      <c r="O4902" s="41" t="str"/>
      <c r="P4902" s="41" t="str"/>
      <c r="Q4902" s="41" t="str"/>
      <c r="R4902" s="41" t="str"/>
      <c r="S4902" s="41" t="str"/>
      <c r="T4902" s="41" t="str"/>
      <c r="U4902" s="41" t="str"/>
      <c r="V4902" s="41" t="str"/>
      <c r="W4902" s="41" t="str"/>
    </row>
    <row r="4903">
      <c r="B4903" s="2" t="n"/>
      <c r="C4903" s="40" t="n"/>
      <c r="D4903" s="52">
        <f t="array" ref="D4903:W4903">IF(All_Students_Scores!C4901:V4901="","",All_Students_Scores!C4901:V4901)</f>
        <v/>
      </c>
      <c r="E4903" s="57" t="str"/>
      <c r="F4903" s="49" t="str"/>
      <c r="G4903" s="59" t="str"/>
      <c r="H4903" s="64" t="str"/>
      <c r="I4903" s="65" t="str"/>
      <c r="J4903" s="49" t="str"/>
      <c r="K4903" s="41" t="str"/>
      <c r="L4903" s="41" t="str"/>
      <c r="M4903" s="41" t="str"/>
      <c r="N4903" s="41" t="str"/>
      <c r="O4903" s="41" t="str"/>
      <c r="P4903" s="41" t="str"/>
      <c r="Q4903" s="41" t="str"/>
      <c r="R4903" s="41" t="str"/>
      <c r="S4903" s="41" t="str"/>
      <c r="T4903" s="41" t="str"/>
      <c r="U4903" s="41" t="str"/>
      <c r="V4903" s="41" t="str"/>
      <c r="W4903" s="41" t="str"/>
    </row>
    <row r="4904">
      <c r="B4904" s="2" t="n"/>
      <c r="C4904" s="40" t="n"/>
      <c r="D4904" s="52">
        <f t="array" ref="D4904:W4904">IF(All_Students_Scores!C4902:V4902="","",All_Students_Scores!C4902:V4902)</f>
        <v/>
      </c>
      <c r="E4904" s="57" t="str"/>
      <c r="F4904" s="49" t="str"/>
      <c r="G4904" s="59" t="str"/>
      <c r="H4904" s="64" t="str"/>
      <c r="I4904" s="65" t="str"/>
      <c r="J4904" s="49" t="str"/>
      <c r="K4904" s="41" t="str"/>
      <c r="L4904" s="41" t="str"/>
      <c r="M4904" s="41" t="str"/>
      <c r="N4904" s="41" t="str"/>
      <c r="O4904" s="41" t="str"/>
      <c r="P4904" s="41" t="str"/>
      <c r="Q4904" s="41" t="str"/>
      <c r="R4904" s="41" t="str"/>
      <c r="S4904" s="41" t="str"/>
      <c r="T4904" s="41" t="str"/>
      <c r="U4904" s="41" t="str"/>
      <c r="V4904" s="41" t="str"/>
      <c r="W4904" s="41" t="str"/>
    </row>
    <row r="4905">
      <c r="B4905" s="2" t="n"/>
      <c r="C4905" s="40" t="n"/>
      <c r="D4905" s="52">
        <f t="array" ref="D4905:W4905">IF(All_Students_Scores!C4903:V4903="","",All_Students_Scores!C4903:V4903)</f>
        <v/>
      </c>
      <c r="E4905" s="57" t="str"/>
      <c r="F4905" s="49" t="str"/>
      <c r="G4905" s="59" t="str"/>
      <c r="H4905" s="64" t="str"/>
      <c r="I4905" s="65" t="str"/>
      <c r="J4905" s="49" t="str"/>
      <c r="K4905" s="41" t="str"/>
      <c r="L4905" s="41" t="str"/>
      <c r="M4905" s="41" t="str"/>
      <c r="N4905" s="41" t="str"/>
      <c r="O4905" s="41" t="str"/>
      <c r="P4905" s="41" t="str"/>
      <c r="Q4905" s="41" t="str"/>
      <c r="R4905" s="41" t="str"/>
      <c r="S4905" s="41" t="str"/>
      <c r="T4905" s="41" t="str"/>
      <c r="U4905" s="41" t="str"/>
      <c r="V4905" s="41" t="str"/>
      <c r="W4905" s="41" t="str"/>
    </row>
    <row r="4906">
      <c r="B4906" s="2" t="n"/>
      <c r="C4906" s="40" t="n"/>
      <c r="D4906" s="52">
        <f t="array" ref="D4906:W4906">IF(All_Students_Scores!C4904:V4904="","",All_Students_Scores!C4904:V4904)</f>
        <v/>
      </c>
      <c r="E4906" s="57" t="str"/>
      <c r="F4906" s="49" t="str"/>
      <c r="G4906" s="59" t="str"/>
      <c r="H4906" s="64" t="str"/>
      <c r="I4906" s="65" t="str"/>
      <c r="J4906" s="49" t="str"/>
      <c r="K4906" s="41" t="str"/>
      <c r="L4906" s="41" t="str"/>
      <c r="M4906" s="41" t="str"/>
      <c r="N4906" s="41" t="str"/>
      <c r="O4906" s="41" t="str"/>
      <c r="P4906" s="41" t="str"/>
      <c r="Q4906" s="41" t="str"/>
      <c r="R4906" s="41" t="str"/>
      <c r="S4906" s="41" t="str"/>
      <c r="T4906" s="41" t="str"/>
      <c r="U4906" s="41" t="str"/>
      <c r="V4906" s="41" t="str"/>
      <c r="W4906" s="41" t="str"/>
    </row>
    <row r="4907">
      <c r="B4907" s="2" t="n"/>
      <c r="C4907" s="40" t="n"/>
      <c r="D4907" s="52">
        <f t="array" ref="D4907:W4907">IF(All_Students_Scores!C4905:V4905="","",All_Students_Scores!C4905:V4905)</f>
        <v/>
      </c>
      <c r="E4907" s="57" t="str"/>
      <c r="F4907" s="49" t="str"/>
      <c r="G4907" s="59" t="str"/>
      <c r="H4907" s="64" t="str"/>
      <c r="I4907" s="65" t="str"/>
      <c r="J4907" s="49" t="str"/>
      <c r="K4907" s="41" t="str"/>
      <c r="L4907" s="41" t="str"/>
      <c r="M4907" s="41" t="str"/>
      <c r="N4907" s="41" t="str"/>
      <c r="O4907" s="41" t="str"/>
      <c r="P4907" s="41" t="str"/>
      <c r="Q4907" s="41" t="str"/>
      <c r="R4907" s="41" t="str"/>
      <c r="S4907" s="41" t="str"/>
      <c r="T4907" s="41" t="str"/>
      <c r="U4907" s="41" t="str"/>
      <c r="V4907" s="41" t="str"/>
      <c r="W4907" s="41" t="str"/>
    </row>
    <row r="4908">
      <c r="B4908" s="2" t="n"/>
      <c r="C4908" s="40" t="n"/>
      <c r="D4908" s="52">
        <f t="array" ref="D4908:W4908">IF(All_Students_Scores!C4906:V4906="","",All_Students_Scores!C4906:V4906)</f>
        <v/>
      </c>
      <c r="E4908" s="57" t="str"/>
      <c r="F4908" s="49" t="str"/>
      <c r="G4908" s="59" t="str"/>
      <c r="H4908" s="64" t="str"/>
      <c r="I4908" s="65" t="str"/>
      <c r="J4908" s="49" t="str"/>
      <c r="K4908" s="41" t="str"/>
      <c r="L4908" s="41" t="str"/>
      <c r="M4908" s="41" t="str"/>
      <c r="N4908" s="41" t="str"/>
      <c r="O4908" s="41" t="str"/>
      <c r="P4908" s="41" t="str"/>
      <c r="Q4908" s="41" t="str"/>
      <c r="R4908" s="41" t="str"/>
      <c r="S4908" s="41" t="str"/>
      <c r="T4908" s="41" t="str"/>
      <c r="U4908" s="41" t="str"/>
      <c r="V4908" s="41" t="str"/>
      <c r="W4908" s="41" t="str"/>
    </row>
    <row r="4909">
      <c r="B4909" s="2" t="n"/>
      <c r="C4909" s="40" t="n"/>
      <c r="D4909" s="52">
        <f t="array" ref="D4909:W4909">IF(All_Students_Scores!C4907:V4907="","",All_Students_Scores!C4907:V4907)</f>
        <v/>
      </c>
      <c r="E4909" s="57" t="str"/>
      <c r="F4909" s="49" t="str"/>
      <c r="G4909" s="59" t="str"/>
      <c r="H4909" s="64" t="str"/>
      <c r="I4909" s="65" t="str"/>
      <c r="J4909" s="49" t="str"/>
      <c r="K4909" s="41" t="str"/>
      <c r="L4909" s="41" t="str"/>
      <c r="M4909" s="41" t="str"/>
      <c r="N4909" s="41" t="str"/>
      <c r="O4909" s="41" t="str"/>
      <c r="P4909" s="41" t="str"/>
      <c r="Q4909" s="41" t="str"/>
      <c r="R4909" s="41" t="str"/>
      <c r="S4909" s="41" t="str"/>
      <c r="T4909" s="41" t="str"/>
      <c r="U4909" s="41" t="str"/>
      <c r="V4909" s="41" t="str"/>
      <c r="W4909" s="41" t="str"/>
    </row>
    <row r="4910">
      <c r="B4910" s="2" t="n"/>
      <c r="C4910" s="40" t="n"/>
      <c r="D4910" s="52">
        <f t="array" ref="D4910:W4910">IF(All_Students_Scores!C4908:V4908="","",All_Students_Scores!C4908:V4908)</f>
        <v/>
      </c>
      <c r="E4910" s="57" t="str"/>
      <c r="F4910" s="49" t="str"/>
      <c r="G4910" s="59" t="str"/>
      <c r="H4910" s="64" t="str"/>
      <c r="I4910" s="65" t="str"/>
      <c r="J4910" s="49" t="str"/>
      <c r="K4910" s="41" t="str"/>
      <c r="L4910" s="41" t="str"/>
      <c r="M4910" s="41" t="str"/>
      <c r="N4910" s="41" t="str"/>
      <c r="O4910" s="41" t="str"/>
      <c r="P4910" s="41" t="str"/>
      <c r="Q4910" s="41" t="str"/>
      <c r="R4910" s="41" t="str"/>
      <c r="S4910" s="41" t="str"/>
      <c r="T4910" s="41" t="str"/>
      <c r="U4910" s="41" t="str"/>
      <c r="V4910" s="41" t="str"/>
      <c r="W4910" s="41" t="str"/>
    </row>
    <row r="4911">
      <c r="B4911" s="2" t="n"/>
      <c r="C4911" s="40" t="n"/>
      <c r="D4911" s="52">
        <f t="array" ref="D4911:W4911">IF(All_Students_Scores!C4909:V4909="","",All_Students_Scores!C4909:V4909)</f>
        <v/>
      </c>
      <c r="E4911" s="57" t="str"/>
      <c r="F4911" s="49" t="str"/>
      <c r="G4911" s="59" t="str"/>
      <c r="H4911" s="64" t="str"/>
      <c r="I4911" s="65" t="str"/>
      <c r="J4911" s="49" t="str"/>
      <c r="K4911" s="41" t="str"/>
      <c r="L4911" s="41" t="str"/>
      <c r="M4911" s="41" t="str"/>
      <c r="N4911" s="41" t="str"/>
      <c r="O4911" s="41" t="str"/>
      <c r="P4911" s="41" t="str"/>
      <c r="Q4911" s="41" t="str"/>
      <c r="R4911" s="41" t="str"/>
      <c r="S4911" s="41" t="str"/>
      <c r="T4911" s="41" t="str"/>
      <c r="U4911" s="41" t="str"/>
      <c r="V4911" s="41" t="str"/>
      <c r="W4911" s="41" t="str"/>
    </row>
    <row r="4912">
      <c r="B4912" s="2" t="n"/>
      <c r="C4912" s="40" t="n"/>
      <c r="D4912" s="52">
        <f t="array" ref="D4912:W4912">IF(All_Students_Scores!C4910:V4910="","",All_Students_Scores!C4910:V4910)</f>
        <v/>
      </c>
      <c r="E4912" s="57" t="str"/>
      <c r="F4912" s="49" t="str"/>
      <c r="G4912" s="59" t="str"/>
      <c r="H4912" s="64" t="str"/>
      <c r="I4912" s="65" t="str"/>
      <c r="J4912" s="49" t="str"/>
      <c r="K4912" s="41" t="str"/>
      <c r="L4912" s="41" t="str"/>
      <c r="M4912" s="41" t="str"/>
      <c r="N4912" s="41" t="str"/>
      <c r="O4912" s="41" t="str"/>
      <c r="P4912" s="41" t="str"/>
      <c r="Q4912" s="41" t="str"/>
      <c r="R4912" s="41" t="str"/>
      <c r="S4912" s="41" t="str"/>
      <c r="T4912" s="41" t="str"/>
      <c r="U4912" s="41" t="str"/>
      <c r="V4912" s="41" t="str"/>
      <c r="W4912" s="41" t="str"/>
    </row>
    <row r="4913">
      <c r="B4913" s="2" t="n"/>
      <c r="C4913" s="40" t="n"/>
      <c r="D4913" s="52">
        <f t="array" ref="D4913:W4913">IF(All_Students_Scores!C4911:V4911="","",All_Students_Scores!C4911:V4911)</f>
        <v/>
      </c>
      <c r="E4913" s="57" t="str"/>
      <c r="F4913" s="49" t="str"/>
      <c r="G4913" s="59" t="str"/>
      <c r="H4913" s="64" t="str"/>
      <c r="I4913" s="65" t="str"/>
      <c r="J4913" s="49" t="str"/>
      <c r="K4913" s="41" t="str"/>
      <c r="L4913" s="41" t="str"/>
      <c r="M4913" s="41" t="str"/>
      <c r="N4913" s="41" t="str"/>
      <c r="O4913" s="41" t="str"/>
      <c r="P4913" s="41" t="str"/>
      <c r="Q4913" s="41" t="str"/>
      <c r="R4913" s="41" t="str"/>
      <c r="S4913" s="41" t="str"/>
      <c r="T4913" s="41" t="str"/>
      <c r="U4913" s="41" t="str"/>
      <c r="V4913" s="41" t="str"/>
      <c r="W4913" s="41" t="str"/>
    </row>
    <row r="4914">
      <c r="B4914" s="2" t="n"/>
      <c r="C4914" s="40" t="n"/>
      <c r="D4914" s="52">
        <f t="array" ref="D4914:W4914">IF(All_Students_Scores!C4912:V4912="","",All_Students_Scores!C4912:V4912)</f>
        <v/>
      </c>
      <c r="E4914" s="57" t="str"/>
      <c r="F4914" s="49" t="str"/>
      <c r="G4914" s="59" t="str"/>
      <c r="H4914" s="64" t="str"/>
      <c r="I4914" s="65" t="str"/>
      <c r="J4914" s="49" t="str"/>
      <c r="K4914" s="41" t="str"/>
      <c r="L4914" s="41" t="str"/>
      <c r="M4914" s="41" t="str"/>
      <c r="N4914" s="41" t="str"/>
      <c r="O4914" s="41" t="str"/>
      <c r="P4914" s="41" t="str"/>
      <c r="Q4914" s="41" t="str"/>
      <c r="R4914" s="41" t="str"/>
      <c r="S4914" s="41" t="str"/>
      <c r="T4914" s="41" t="str"/>
      <c r="U4914" s="41" t="str"/>
      <c r="V4914" s="41" t="str"/>
      <c r="W4914" s="41" t="str"/>
    </row>
    <row r="4915">
      <c r="B4915" s="2" t="n"/>
      <c r="C4915" s="40" t="n"/>
      <c r="D4915" s="52">
        <f t="array" ref="D4915:W4915">IF(All_Students_Scores!C4913:V4913="","",All_Students_Scores!C4913:V4913)</f>
        <v/>
      </c>
      <c r="E4915" s="57" t="str"/>
      <c r="F4915" s="49" t="str"/>
      <c r="G4915" s="59" t="str"/>
      <c r="H4915" s="64" t="str"/>
      <c r="I4915" s="65" t="str"/>
      <c r="J4915" s="49" t="str"/>
      <c r="K4915" s="41" t="str"/>
      <c r="L4915" s="41" t="str"/>
      <c r="M4915" s="41" t="str"/>
      <c r="N4915" s="41" t="str"/>
      <c r="O4915" s="41" t="str"/>
      <c r="P4915" s="41" t="str"/>
      <c r="Q4915" s="41" t="str"/>
      <c r="R4915" s="41" t="str"/>
      <c r="S4915" s="41" t="str"/>
      <c r="T4915" s="41" t="str"/>
      <c r="U4915" s="41" t="str"/>
      <c r="V4915" s="41" t="str"/>
      <c r="W4915" s="41" t="str"/>
    </row>
    <row r="4916">
      <c r="B4916" s="2" t="n"/>
      <c r="C4916" s="40" t="n"/>
      <c r="D4916" s="52">
        <f t="array" ref="D4916:W4916">IF(All_Students_Scores!C4914:V4914="","",All_Students_Scores!C4914:V4914)</f>
        <v/>
      </c>
      <c r="E4916" s="57" t="str"/>
      <c r="F4916" s="49" t="str"/>
      <c r="G4916" s="59" t="str"/>
      <c r="H4916" s="64" t="str"/>
      <c r="I4916" s="65" t="str"/>
      <c r="J4916" s="49" t="str"/>
      <c r="K4916" s="41" t="str"/>
      <c r="L4916" s="41" t="str"/>
      <c r="M4916" s="41" t="str"/>
      <c r="N4916" s="41" t="str"/>
      <c r="O4916" s="41" t="str"/>
      <c r="P4916" s="41" t="str"/>
      <c r="Q4916" s="41" t="str"/>
      <c r="R4916" s="41" t="str"/>
      <c r="S4916" s="41" t="str"/>
      <c r="T4916" s="41" t="str"/>
      <c r="U4916" s="41" t="str"/>
      <c r="V4916" s="41" t="str"/>
      <c r="W4916" s="41" t="str"/>
    </row>
    <row r="4917">
      <c r="B4917" s="2" t="n"/>
      <c r="C4917" s="40" t="n"/>
      <c r="D4917" s="52">
        <f t="array" ref="D4917:W4917">IF(All_Students_Scores!C4915:V4915="","",All_Students_Scores!C4915:V4915)</f>
        <v/>
      </c>
      <c r="E4917" s="57" t="str"/>
      <c r="F4917" s="49" t="str"/>
      <c r="G4917" s="59" t="str"/>
      <c r="H4917" s="64" t="str"/>
      <c r="I4917" s="65" t="str"/>
      <c r="J4917" s="49" t="str"/>
      <c r="K4917" s="41" t="str"/>
      <c r="L4917" s="41" t="str"/>
      <c r="M4917" s="41" t="str"/>
      <c r="N4917" s="41" t="str"/>
      <c r="O4917" s="41" t="str"/>
      <c r="P4917" s="41" t="str"/>
      <c r="Q4917" s="41" t="str"/>
      <c r="R4917" s="41" t="str"/>
      <c r="S4917" s="41" t="str"/>
      <c r="T4917" s="41" t="str"/>
      <c r="U4917" s="41" t="str"/>
      <c r="V4917" s="41" t="str"/>
      <c r="W4917" s="41" t="str"/>
    </row>
    <row r="4918">
      <c r="B4918" s="2" t="n"/>
      <c r="C4918" s="40" t="n"/>
      <c r="D4918" s="52">
        <f t="array" ref="D4918:W4918">IF(All_Students_Scores!C4916:V4916="","",All_Students_Scores!C4916:V4916)</f>
        <v/>
      </c>
      <c r="E4918" s="57" t="str"/>
      <c r="F4918" s="49" t="str"/>
      <c r="G4918" s="59" t="str"/>
      <c r="H4918" s="64" t="str"/>
      <c r="I4918" s="65" t="str"/>
      <c r="J4918" s="49" t="str"/>
      <c r="K4918" s="41" t="str"/>
      <c r="L4918" s="41" t="str"/>
      <c r="M4918" s="41" t="str"/>
      <c r="N4918" s="41" t="str"/>
      <c r="O4918" s="41" t="str"/>
      <c r="P4918" s="41" t="str"/>
      <c r="Q4918" s="41" t="str"/>
      <c r="R4918" s="41" t="str"/>
      <c r="S4918" s="41" t="str"/>
      <c r="T4918" s="41" t="str"/>
      <c r="U4918" s="41" t="str"/>
      <c r="V4918" s="41" t="str"/>
      <c r="W4918" s="41" t="str"/>
    </row>
    <row r="4919">
      <c r="B4919" s="2" t="n"/>
      <c r="C4919" s="40" t="n"/>
      <c r="D4919" s="52">
        <f t="array" ref="D4919:W4919">IF(All_Students_Scores!C4917:V4917="","",All_Students_Scores!C4917:V4917)</f>
        <v/>
      </c>
      <c r="E4919" s="57" t="str"/>
      <c r="F4919" s="49" t="str"/>
      <c r="G4919" s="59" t="str"/>
      <c r="H4919" s="64" t="str"/>
      <c r="I4919" s="65" t="str"/>
      <c r="J4919" s="49" t="str"/>
      <c r="K4919" s="41" t="str"/>
      <c r="L4919" s="41" t="str"/>
      <c r="M4919" s="41" t="str"/>
      <c r="N4919" s="41" t="str"/>
      <c r="O4919" s="41" t="str"/>
      <c r="P4919" s="41" t="str"/>
      <c r="Q4919" s="41" t="str"/>
      <c r="R4919" s="41" t="str"/>
      <c r="S4919" s="41" t="str"/>
      <c r="T4919" s="41" t="str"/>
      <c r="U4919" s="41" t="str"/>
      <c r="V4919" s="41" t="str"/>
      <c r="W4919" s="41" t="str"/>
    </row>
    <row r="4920">
      <c r="B4920" s="2" t="n"/>
      <c r="C4920" s="40" t="n"/>
      <c r="D4920" s="52">
        <f t="array" ref="D4920:W4920">IF(All_Students_Scores!C4918:V4918="","",All_Students_Scores!C4918:V4918)</f>
        <v/>
      </c>
      <c r="E4920" s="57" t="str"/>
      <c r="F4920" s="49" t="str"/>
      <c r="G4920" s="59" t="str"/>
      <c r="H4920" s="64" t="str"/>
      <c r="I4920" s="65" t="str"/>
      <c r="J4920" s="49" t="str"/>
      <c r="K4920" s="41" t="str"/>
      <c r="L4920" s="41" t="str"/>
      <c r="M4920" s="41" t="str"/>
      <c r="N4920" s="41" t="str"/>
      <c r="O4920" s="41" t="str"/>
      <c r="P4920" s="41" t="str"/>
      <c r="Q4920" s="41" t="str"/>
      <c r="R4920" s="41" t="str"/>
      <c r="S4920" s="41" t="str"/>
      <c r="T4920" s="41" t="str"/>
      <c r="U4920" s="41" t="str"/>
      <c r="V4920" s="41" t="str"/>
      <c r="W4920" s="41" t="str"/>
    </row>
    <row r="4921">
      <c r="B4921" s="2" t="n"/>
      <c r="C4921" s="40" t="n"/>
      <c r="D4921" s="52">
        <f t="array" ref="D4921:W4921">IF(All_Students_Scores!C4919:V4919="","",All_Students_Scores!C4919:V4919)</f>
        <v/>
      </c>
      <c r="E4921" s="57" t="str"/>
      <c r="F4921" s="49" t="str"/>
      <c r="G4921" s="59" t="str"/>
      <c r="H4921" s="64" t="str"/>
      <c r="I4921" s="65" t="str"/>
      <c r="J4921" s="49" t="str"/>
      <c r="K4921" s="41" t="str"/>
      <c r="L4921" s="41" t="str"/>
      <c r="M4921" s="41" t="str"/>
      <c r="N4921" s="41" t="str"/>
      <c r="O4921" s="41" t="str"/>
      <c r="P4921" s="41" t="str"/>
      <c r="Q4921" s="41" t="str"/>
      <c r="R4921" s="41" t="str"/>
      <c r="S4921" s="41" t="str"/>
      <c r="T4921" s="41" t="str"/>
      <c r="U4921" s="41" t="str"/>
      <c r="V4921" s="41" t="str"/>
      <c r="W4921" s="41" t="str"/>
    </row>
    <row r="4922">
      <c r="B4922" s="2" t="n"/>
      <c r="C4922" s="40" t="n"/>
      <c r="D4922" s="52">
        <f t="array" ref="D4922:W4922">IF(All_Students_Scores!C4920:V4920="","",All_Students_Scores!C4920:V4920)</f>
        <v/>
      </c>
      <c r="E4922" s="57" t="str"/>
      <c r="F4922" s="49" t="str"/>
      <c r="G4922" s="59" t="str"/>
      <c r="H4922" s="64" t="str"/>
      <c r="I4922" s="65" t="str"/>
      <c r="J4922" s="49" t="str"/>
      <c r="K4922" s="41" t="str"/>
      <c r="L4922" s="41" t="str"/>
      <c r="M4922" s="41" t="str"/>
      <c r="N4922" s="41" t="str"/>
      <c r="O4922" s="41" t="str"/>
      <c r="P4922" s="41" t="str"/>
      <c r="Q4922" s="41" t="str"/>
      <c r="R4922" s="41" t="str"/>
      <c r="S4922" s="41" t="str"/>
      <c r="T4922" s="41" t="str"/>
      <c r="U4922" s="41" t="str"/>
      <c r="V4922" s="41" t="str"/>
      <c r="W4922" s="41" t="str"/>
    </row>
    <row r="4923">
      <c r="B4923" s="2" t="n"/>
      <c r="C4923" s="40" t="n"/>
      <c r="D4923" s="52">
        <f t="array" ref="D4923:W4923">IF(All_Students_Scores!C4921:V4921="","",All_Students_Scores!C4921:V4921)</f>
        <v/>
      </c>
      <c r="E4923" s="57" t="str"/>
      <c r="F4923" s="49" t="str"/>
      <c r="G4923" s="59" t="str"/>
      <c r="H4923" s="64" t="str"/>
      <c r="I4923" s="65" t="str"/>
      <c r="J4923" s="49" t="str"/>
      <c r="K4923" s="41" t="str"/>
      <c r="L4923" s="41" t="str"/>
      <c r="M4923" s="41" t="str"/>
      <c r="N4923" s="41" t="str"/>
      <c r="O4923" s="41" t="str"/>
      <c r="P4923" s="41" t="str"/>
      <c r="Q4923" s="41" t="str"/>
      <c r="R4923" s="41" t="str"/>
      <c r="S4923" s="41" t="str"/>
      <c r="T4923" s="41" t="str"/>
      <c r="U4923" s="41" t="str"/>
      <c r="V4923" s="41" t="str"/>
      <c r="W4923" s="41" t="str"/>
    </row>
    <row r="4924">
      <c r="B4924" s="2" t="n"/>
      <c r="C4924" s="40" t="n"/>
      <c r="D4924" s="52">
        <f t="array" ref="D4924:W4924">IF(All_Students_Scores!C4922:V4922="","",All_Students_Scores!C4922:V4922)</f>
        <v/>
      </c>
      <c r="E4924" s="57" t="str"/>
      <c r="F4924" s="49" t="str"/>
      <c r="G4924" s="59" t="str"/>
      <c r="H4924" s="64" t="str"/>
      <c r="I4924" s="65" t="str"/>
      <c r="J4924" s="49" t="str"/>
      <c r="K4924" s="41" t="str"/>
      <c r="L4924" s="41" t="str"/>
      <c r="M4924" s="41" t="str"/>
      <c r="N4924" s="41" t="str"/>
      <c r="O4924" s="41" t="str"/>
      <c r="P4924" s="41" t="str"/>
      <c r="Q4924" s="41" t="str"/>
      <c r="R4924" s="41" t="str"/>
      <c r="S4924" s="41" t="str"/>
      <c r="T4924" s="41" t="str"/>
      <c r="U4924" s="41" t="str"/>
      <c r="V4924" s="41" t="str"/>
      <c r="W4924" s="41" t="str"/>
    </row>
    <row r="4925">
      <c r="B4925" s="2" t="n"/>
      <c r="C4925" s="40" t="n"/>
      <c r="D4925" s="52">
        <f t="array" ref="D4925:W4925">IF(All_Students_Scores!C4923:V4923="","",All_Students_Scores!C4923:V4923)</f>
        <v/>
      </c>
      <c r="E4925" s="57" t="str"/>
      <c r="F4925" s="49" t="str"/>
      <c r="G4925" s="59" t="str"/>
      <c r="H4925" s="64" t="str"/>
      <c r="I4925" s="65" t="str"/>
      <c r="J4925" s="49" t="str"/>
      <c r="K4925" s="41" t="str"/>
      <c r="L4925" s="41" t="str"/>
      <c r="M4925" s="41" t="str"/>
      <c r="N4925" s="41" t="str"/>
      <c r="O4925" s="41" t="str"/>
      <c r="P4925" s="41" t="str"/>
      <c r="Q4925" s="41" t="str"/>
      <c r="R4925" s="41" t="str"/>
      <c r="S4925" s="41" t="str"/>
      <c r="T4925" s="41" t="str"/>
      <c r="U4925" s="41" t="str"/>
      <c r="V4925" s="41" t="str"/>
      <c r="W4925" s="41" t="str"/>
    </row>
    <row r="4926">
      <c r="B4926" s="2" t="n"/>
      <c r="C4926" s="40" t="n"/>
      <c r="D4926" s="52">
        <f t="array" ref="D4926:W4926">IF(All_Students_Scores!C4924:V4924="","",All_Students_Scores!C4924:V4924)</f>
        <v/>
      </c>
      <c r="E4926" s="57" t="str"/>
      <c r="F4926" s="49" t="str"/>
      <c r="G4926" s="59" t="str"/>
      <c r="H4926" s="64" t="str"/>
      <c r="I4926" s="65" t="str"/>
      <c r="J4926" s="49" t="str"/>
      <c r="K4926" s="41" t="str"/>
      <c r="L4926" s="41" t="str"/>
      <c r="M4926" s="41" t="str"/>
      <c r="N4926" s="41" t="str"/>
      <c r="O4926" s="41" t="str"/>
      <c r="P4926" s="41" t="str"/>
      <c r="Q4926" s="41" t="str"/>
      <c r="R4926" s="41" t="str"/>
      <c r="S4926" s="41" t="str"/>
      <c r="T4926" s="41" t="str"/>
      <c r="U4926" s="41" t="str"/>
      <c r="V4926" s="41" t="str"/>
      <c r="W4926" s="41" t="str"/>
    </row>
    <row r="4927">
      <c r="B4927" s="2" t="n"/>
      <c r="C4927" s="40" t="n"/>
      <c r="D4927" s="52">
        <f t="array" ref="D4927:W4927">IF(All_Students_Scores!C4925:V4925="","",All_Students_Scores!C4925:V4925)</f>
        <v/>
      </c>
      <c r="E4927" s="57" t="str"/>
      <c r="F4927" s="49" t="str"/>
      <c r="G4927" s="59" t="str"/>
      <c r="H4927" s="64" t="str"/>
      <c r="I4927" s="65" t="str"/>
      <c r="J4927" s="49" t="str"/>
      <c r="K4927" s="41" t="str"/>
      <c r="L4927" s="41" t="str"/>
      <c r="M4927" s="41" t="str"/>
      <c r="N4927" s="41" t="str"/>
      <c r="O4927" s="41" t="str"/>
      <c r="P4927" s="41" t="str"/>
      <c r="Q4927" s="41" t="str"/>
      <c r="R4927" s="41" t="str"/>
      <c r="S4927" s="41" t="str"/>
      <c r="T4927" s="41" t="str"/>
      <c r="U4927" s="41" t="str"/>
      <c r="V4927" s="41" t="str"/>
      <c r="W4927" s="41" t="str"/>
    </row>
    <row r="4928">
      <c r="B4928" s="2" t="n"/>
      <c r="C4928" s="40" t="n"/>
      <c r="D4928" s="52">
        <f t="array" ref="D4928:W4928">IF(All_Students_Scores!C4926:V4926="","",All_Students_Scores!C4926:V4926)</f>
        <v/>
      </c>
      <c r="E4928" s="57" t="str"/>
      <c r="F4928" s="49" t="str"/>
      <c r="G4928" s="59" t="str"/>
      <c r="H4928" s="64" t="str"/>
      <c r="I4928" s="65" t="str"/>
      <c r="J4928" s="49" t="str"/>
      <c r="K4928" s="41" t="str"/>
      <c r="L4928" s="41" t="str"/>
      <c r="M4928" s="41" t="str"/>
      <c r="N4928" s="41" t="str"/>
      <c r="O4928" s="41" t="str"/>
      <c r="P4928" s="41" t="str"/>
      <c r="Q4928" s="41" t="str"/>
      <c r="R4928" s="41" t="str"/>
      <c r="S4928" s="41" t="str"/>
      <c r="T4928" s="41" t="str"/>
      <c r="U4928" s="41" t="str"/>
      <c r="V4928" s="41" t="str"/>
      <c r="W4928" s="41" t="str"/>
    </row>
    <row r="4929">
      <c r="B4929" s="2" t="n"/>
      <c r="C4929" s="40" t="n"/>
      <c r="D4929" s="52">
        <f t="array" ref="D4929:W4929">IF(All_Students_Scores!C4927:V4927="","",All_Students_Scores!C4927:V4927)</f>
        <v/>
      </c>
      <c r="E4929" s="57" t="str"/>
      <c r="F4929" s="49" t="str"/>
      <c r="G4929" s="59" t="str"/>
      <c r="H4929" s="64" t="str"/>
      <c r="I4929" s="65" t="str"/>
      <c r="J4929" s="49" t="str"/>
      <c r="K4929" s="41" t="str"/>
      <c r="L4929" s="41" t="str"/>
      <c r="M4929" s="41" t="str"/>
      <c r="N4929" s="41" t="str"/>
      <c r="O4929" s="41" t="str"/>
      <c r="P4929" s="41" t="str"/>
      <c r="Q4929" s="41" t="str"/>
      <c r="R4929" s="41" t="str"/>
      <c r="S4929" s="41" t="str"/>
      <c r="T4929" s="41" t="str"/>
      <c r="U4929" s="41" t="str"/>
      <c r="V4929" s="41" t="str"/>
      <c r="W4929" s="41" t="str"/>
    </row>
    <row r="4930">
      <c r="B4930" s="2" t="n"/>
      <c r="C4930" s="40" t="n"/>
      <c r="D4930" s="52">
        <f t="array" ref="D4930:W4930">IF(All_Students_Scores!C4928:V4928="","",All_Students_Scores!C4928:V4928)</f>
        <v/>
      </c>
      <c r="E4930" s="57" t="str"/>
      <c r="F4930" s="49" t="str"/>
      <c r="G4930" s="59" t="str"/>
      <c r="H4930" s="64" t="str"/>
      <c r="I4930" s="65" t="str"/>
      <c r="J4930" s="49" t="str"/>
      <c r="K4930" s="41" t="str"/>
      <c r="L4930" s="41" t="str"/>
      <c r="M4930" s="41" t="str"/>
      <c r="N4930" s="41" t="str"/>
      <c r="O4930" s="41" t="str"/>
      <c r="P4930" s="41" t="str"/>
      <c r="Q4930" s="41" t="str"/>
      <c r="R4930" s="41" t="str"/>
      <c r="S4930" s="41" t="str"/>
      <c r="T4930" s="41" t="str"/>
      <c r="U4930" s="41" t="str"/>
      <c r="V4930" s="41" t="str"/>
      <c r="W4930" s="41" t="str"/>
    </row>
    <row r="4931">
      <c r="B4931" s="2" t="n"/>
      <c r="C4931" s="40" t="n"/>
      <c r="D4931" s="52">
        <f t="array" ref="D4931:W4931">IF(All_Students_Scores!C4929:V4929="","",All_Students_Scores!C4929:V4929)</f>
        <v/>
      </c>
      <c r="E4931" s="57" t="str"/>
      <c r="F4931" s="49" t="str"/>
      <c r="G4931" s="59" t="str"/>
      <c r="H4931" s="64" t="str"/>
      <c r="I4931" s="65" t="str"/>
      <c r="J4931" s="49" t="str"/>
      <c r="K4931" s="41" t="str"/>
      <c r="L4931" s="41" t="str"/>
      <c r="M4931" s="41" t="str"/>
      <c r="N4931" s="41" t="str"/>
      <c r="O4931" s="41" t="str"/>
      <c r="P4931" s="41" t="str"/>
      <c r="Q4931" s="41" t="str"/>
      <c r="R4931" s="41" t="str"/>
      <c r="S4931" s="41" t="str"/>
      <c r="T4931" s="41" t="str"/>
      <c r="U4931" s="41" t="str"/>
      <c r="V4931" s="41" t="str"/>
      <c r="W4931" s="41" t="str"/>
    </row>
    <row r="4932">
      <c r="B4932" s="2" t="n"/>
      <c r="C4932" s="40" t="n"/>
      <c r="D4932" s="52">
        <f t="array" ref="D4932:W4932">IF(All_Students_Scores!C4930:V4930="","",All_Students_Scores!C4930:V4930)</f>
        <v/>
      </c>
      <c r="E4932" s="57" t="str"/>
      <c r="F4932" s="49" t="str"/>
      <c r="G4932" s="59" t="str"/>
      <c r="H4932" s="64" t="str"/>
      <c r="I4932" s="65" t="str"/>
      <c r="J4932" s="49" t="str"/>
      <c r="K4932" s="41" t="str"/>
      <c r="L4932" s="41" t="str"/>
      <c r="M4932" s="41" t="str"/>
      <c r="N4932" s="41" t="str"/>
      <c r="O4932" s="41" t="str"/>
      <c r="P4932" s="41" t="str"/>
      <c r="Q4932" s="41" t="str"/>
      <c r="R4932" s="41" t="str"/>
      <c r="S4932" s="41" t="str"/>
      <c r="T4932" s="41" t="str"/>
      <c r="U4932" s="41" t="str"/>
      <c r="V4932" s="41" t="str"/>
      <c r="W4932" s="41" t="str"/>
    </row>
    <row r="4933">
      <c r="B4933" s="2" t="n"/>
      <c r="C4933" s="40" t="n"/>
      <c r="D4933" s="52">
        <f t="array" ref="D4933:W4933">IF(All_Students_Scores!C4931:V4931="","",All_Students_Scores!C4931:V4931)</f>
        <v/>
      </c>
      <c r="E4933" s="57" t="str"/>
      <c r="F4933" s="49" t="str"/>
      <c r="G4933" s="59" t="str"/>
      <c r="H4933" s="64" t="str"/>
      <c r="I4933" s="65" t="str"/>
      <c r="J4933" s="49" t="str"/>
      <c r="K4933" s="41" t="str"/>
      <c r="L4933" s="41" t="str"/>
      <c r="M4933" s="41" t="str"/>
      <c r="N4933" s="41" t="str"/>
      <c r="O4933" s="41" t="str"/>
      <c r="P4933" s="41" t="str"/>
      <c r="Q4933" s="41" t="str"/>
      <c r="R4933" s="41" t="str"/>
      <c r="S4933" s="41" t="str"/>
      <c r="T4933" s="41" t="str"/>
      <c r="U4933" s="41" t="str"/>
      <c r="V4933" s="41" t="str"/>
      <c r="W4933" s="41" t="str"/>
    </row>
    <row r="4934">
      <c r="B4934" s="2" t="n"/>
      <c r="C4934" s="40" t="n"/>
      <c r="D4934" s="52">
        <f t="array" ref="D4934:W4934">IF(All_Students_Scores!C4932:V4932="","",All_Students_Scores!C4932:V4932)</f>
        <v/>
      </c>
      <c r="E4934" s="57" t="str"/>
      <c r="F4934" s="49" t="str"/>
      <c r="G4934" s="59" t="str"/>
      <c r="H4934" s="64" t="str"/>
      <c r="I4934" s="65" t="str"/>
      <c r="J4934" s="49" t="str"/>
      <c r="K4934" s="41" t="str"/>
      <c r="L4934" s="41" t="str"/>
      <c r="M4934" s="41" t="str"/>
      <c r="N4934" s="41" t="str"/>
      <c r="O4934" s="41" t="str"/>
      <c r="P4934" s="41" t="str"/>
      <c r="Q4934" s="41" t="str"/>
      <c r="R4934" s="41" t="str"/>
      <c r="S4934" s="41" t="str"/>
      <c r="T4934" s="41" t="str"/>
      <c r="U4934" s="41" t="str"/>
      <c r="V4934" s="41" t="str"/>
      <c r="W4934" s="41" t="str"/>
    </row>
    <row r="4935">
      <c r="B4935" s="2" t="n"/>
      <c r="C4935" s="40" t="n"/>
      <c r="D4935" s="52">
        <f t="array" ref="D4935:W4935">IF(All_Students_Scores!C4933:V4933="","",All_Students_Scores!C4933:V4933)</f>
        <v/>
      </c>
      <c r="E4935" s="57" t="str"/>
      <c r="F4935" s="49" t="str"/>
      <c r="G4935" s="59" t="str"/>
      <c r="H4935" s="64" t="str"/>
      <c r="I4935" s="65" t="str"/>
      <c r="J4935" s="49" t="str"/>
      <c r="K4935" s="41" t="str"/>
      <c r="L4935" s="41" t="str"/>
      <c r="M4935" s="41" t="str"/>
      <c r="N4935" s="41" t="str"/>
      <c r="O4935" s="41" t="str"/>
      <c r="P4935" s="41" t="str"/>
      <c r="Q4935" s="41" t="str"/>
      <c r="R4935" s="41" t="str"/>
      <c r="S4935" s="41" t="str"/>
      <c r="T4935" s="41" t="str"/>
      <c r="U4935" s="41" t="str"/>
      <c r="V4935" s="41" t="str"/>
      <c r="W4935" s="41" t="str"/>
    </row>
    <row r="4936">
      <c r="B4936" s="2" t="n"/>
      <c r="C4936" s="40" t="n"/>
      <c r="D4936" s="52">
        <f t="array" ref="D4936:W4936">IF(All_Students_Scores!C4934:V4934="","",All_Students_Scores!C4934:V4934)</f>
        <v/>
      </c>
      <c r="E4936" s="57" t="str"/>
      <c r="F4936" s="49" t="str"/>
      <c r="G4936" s="59" t="str"/>
      <c r="H4936" s="64" t="str"/>
      <c r="I4936" s="65" t="str"/>
      <c r="J4936" s="49" t="str"/>
      <c r="K4936" s="41" t="str"/>
      <c r="L4936" s="41" t="str"/>
      <c r="M4936" s="41" t="str"/>
      <c r="N4936" s="41" t="str"/>
      <c r="O4936" s="41" t="str"/>
      <c r="P4936" s="41" t="str"/>
      <c r="Q4936" s="41" t="str"/>
      <c r="R4936" s="41" t="str"/>
      <c r="S4936" s="41" t="str"/>
      <c r="T4936" s="41" t="str"/>
      <c r="U4936" s="41" t="str"/>
      <c r="V4936" s="41" t="str"/>
      <c r="W4936" s="41" t="str"/>
    </row>
    <row r="4937">
      <c r="B4937" s="2" t="n"/>
      <c r="C4937" s="40" t="n"/>
      <c r="D4937" s="52">
        <f t="array" ref="D4937:W4937">IF(All_Students_Scores!C4935:V4935="","",All_Students_Scores!C4935:V4935)</f>
        <v/>
      </c>
      <c r="E4937" s="57" t="str"/>
      <c r="F4937" s="49" t="str"/>
      <c r="G4937" s="59" t="str"/>
      <c r="H4937" s="64" t="str"/>
      <c r="I4937" s="65" t="str"/>
      <c r="J4937" s="49" t="str"/>
      <c r="K4937" s="41" t="str"/>
      <c r="L4937" s="41" t="str"/>
      <c r="M4937" s="41" t="str"/>
      <c r="N4937" s="41" t="str"/>
      <c r="O4937" s="41" t="str"/>
      <c r="P4937" s="41" t="str"/>
      <c r="Q4937" s="41" t="str"/>
      <c r="R4937" s="41" t="str"/>
      <c r="S4937" s="41" t="str"/>
      <c r="T4937" s="41" t="str"/>
      <c r="U4937" s="41" t="str"/>
      <c r="V4937" s="41" t="str"/>
      <c r="W4937" s="41" t="str"/>
    </row>
    <row r="4938">
      <c r="B4938" s="2" t="n"/>
      <c r="C4938" s="40" t="n"/>
      <c r="D4938" s="52">
        <f t="array" ref="D4938:W4938">IF(All_Students_Scores!C4936:V4936="","",All_Students_Scores!C4936:V4936)</f>
        <v/>
      </c>
      <c r="E4938" s="57" t="str"/>
      <c r="F4938" s="49" t="str"/>
      <c r="G4938" s="59" t="str"/>
      <c r="H4938" s="64" t="str"/>
      <c r="I4938" s="65" t="str"/>
      <c r="J4938" s="49" t="str"/>
      <c r="K4938" s="41" t="str"/>
      <c r="L4938" s="41" t="str"/>
      <c r="M4938" s="41" t="str"/>
      <c r="N4938" s="41" t="str"/>
      <c r="O4938" s="41" t="str"/>
      <c r="P4938" s="41" t="str"/>
      <c r="Q4938" s="41" t="str"/>
      <c r="R4938" s="41" t="str"/>
      <c r="S4938" s="41" t="str"/>
      <c r="T4938" s="41" t="str"/>
      <c r="U4938" s="41" t="str"/>
      <c r="V4938" s="41" t="str"/>
      <c r="W4938" s="41" t="str"/>
    </row>
    <row r="4939">
      <c r="B4939" s="2" t="n"/>
      <c r="C4939" s="40" t="n"/>
      <c r="D4939" s="52">
        <f t="array" ref="D4939:W4939">IF(All_Students_Scores!C4937:V4937="","",All_Students_Scores!C4937:V4937)</f>
        <v/>
      </c>
      <c r="E4939" s="57" t="str"/>
      <c r="F4939" s="49" t="str"/>
      <c r="G4939" s="59" t="str"/>
      <c r="H4939" s="64" t="str"/>
      <c r="I4939" s="65" t="str"/>
      <c r="J4939" s="49" t="str"/>
      <c r="K4939" s="41" t="str"/>
      <c r="L4939" s="41" t="str"/>
      <c r="M4939" s="41" t="str"/>
      <c r="N4939" s="41" t="str"/>
      <c r="O4939" s="41" t="str"/>
      <c r="P4939" s="41" t="str"/>
      <c r="Q4939" s="41" t="str"/>
      <c r="R4939" s="41" t="str"/>
      <c r="S4939" s="41" t="str"/>
      <c r="T4939" s="41" t="str"/>
      <c r="U4939" s="41" t="str"/>
      <c r="V4939" s="41" t="str"/>
      <c r="W4939" s="41" t="str"/>
    </row>
    <row r="4940">
      <c r="B4940" s="2" t="n"/>
      <c r="C4940" s="40" t="n"/>
      <c r="D4940" s="52">
        <f t="array" ref="D4940:W4940">IF(All_Students_Scores!C4938:V4938="","",All_Students_Scores!C4938:V4938)</f>
        <v/>
      </c>
      <c r="E4940" s="57" t="str"/>
      <c r="F4940" s="49" t="str"/>
      <c r="G4940" s="59" t="str"/>
      <c r="H4940" s="64" t="str"/>
      <c r="I4940" s="65" t="str"/>
      <c r="J4940" s="49" t="str"/>
      <c r="K4940" s="41" t="str"/>
      <c r="L4940" s="41" t="str"/>
      <c r="M4940" s="41" t="str"/>
      <c r="N4940" s="41" t="str"/>
      <c r="O4940" s="41" t="str"/>
      <c r="P4940" s="41" t="str"/>
      <c r="Q4940" s="41" t="str"/>
      <c r="R4940" s="41" t="str"/>
      <c r="S4940" s="41" t="str"/>
      <c r="T4940" s="41" t="str"/>
      <c r="U4940" s="41" t="str"/>
      <c r="V4940" s="41" t="str"/>
      <c r="W4940" s="41" t="str"/>
    </row>
    <row r="4941">
      <c r="B4941" s="2" t="n"/>
      <c r="C4941" s="40" t="n"/>
      <c r="D4941" s="52">
        <f t="array" ref="D4941:W4941">IF(All_Students_Scores!C4939:V4939="","",All_Students_Scores!C4939:V4939)</f>
        <v/>
      </c>
      <c r="E4941" s="57" t="str"/>
      <c r="F4941" s="49" t="str"/>
      <c r="G4941" s="59" t="str"/>
      <c r="H4941" s="64" t="str"/>
      <c r="I4941" s="65" t="str"/>
      <c r="J4941" s="49" t="str"/>
      <c r="K4941" s="41" t="str"/>
      <c r="L4941" s="41" t="str"/>
      <c r="M4941" s="41" t="str"/>
      <c r="N4941" s="41" t="str"/>
      <c r="O4941" s="41" t="str"/>
      <c r="P4941" s="41" t="str"/>
      <c r="Q4941" s="41" t="str"/>
      <c r="R4941" s="41" t="str"/>
      <c r="S4941" s="41" t="str"/>
      <c r="T4941" s="41" t="str"/>
      <c r="U4941" s="41" t="str"/>
      <c r="V4941" s="41" t="str"/>
      <c r="W4941" s="41" t="str"/>
    </row>
    <row r="4942">
      <c r="B4942" s="2" t="n"/>
      <c r="C4942" s="40" t="n"/>
      <c r="D4942" s="52">
        <f t="array" ref="D4942:W4942">IF(All_Students_Scores!C4940:V4940="","",All_Students_Scores!C4940:V4940)</f>
        <v/>
      </c>
      <c r="E4942" s="57" t="str"/>
      <c r="F4942" s="49" t="str"/>
      <c r="G4942" s="59" t="str"/>
      <c r="H4942" s="64" t="str"/>
      <c r="I4942" s="65" t="str"/>
      <c r="J4942" s="49" t="str"/>
      <c r="K4942" s="41" t="str"/>
      <c r="L4942" s="41" t="str"/>
      <c r="M4942" s="41" t="str"/>
      <c r="N4942" s="41" t="str"/>
      <c r="O4942" s="41" t="str"/>
      <c r="P4942" s="41" t="str"/>
      <c r="Q4942" s="41" t="str"/>
      <c r="R4942" s="41" t="str"/>
      <c r="S4942" s="41" t="str"/>
      <c r="T4942" s="41" t="str"/>
      <c r="U4942" s="41" t="str"/>
      <c r="V4942" s="41" t="str"/>
      <c r="W4942" s="41" t="str"/>
    </row>
    <row r="4943">
      <c r="B4943" s="2" t="n"/>
      <c r="C4943" s="40" t="n"/>
      <c r="D4943" s="52">
        <f t="array" ref="D4943:W4943">IF(All_Students_Scores!C4941:V4941="","",All_Students_Scores!C4941:V4941)</f>
        <v/>
      </c>
      <c r="E4943" s="57" t="str"/>
      <c r="F4943" s="49" t="str"/>
      <c r="G4943" s="59" t="str"/>
      <c r="H4943" s="64" t="str"/>
      <c r="I4943" s="65" t="str"/>
      <c r="J4943" s="49" t="str"/>
      <c r="K4943" s="41" t="str"/>
      <c r="L4943" s="41" t="str"/>
      <c r="M4943" s="41" t="str"/>
      <c r="N4943" s="41" t="str"/>
      <c r="O4943" s="41" t="str"/>
      <c r="P4943" s="41" t="str"/>
      <c r="Q4943" s="41" t="str"/>
      <c r="R4943" s="41" t="str"/>
      <c r="S4943" s="41" t="str"/>
      <c r="T4943" s="41" t="str"/>
      <c r="U4943" s="41" t="str"/>
      <c r="V4943" s="41" t="str"/>
      <c r="W4943" s="41" t="str"/>
    </row>
    <row r="4944">
      <c r="B4944" s="2" t="n"/>
      <c r="C4944" s="40" t="n"/>
      <c r="D4944" s="52">
        <f t="array" ref="D4944:W4944">IF(All_Students_Scores!C4942:V4942="","",All_Students_Scores!C4942:V4942)</f>
        <v/>
      </c>
      <c r="E4944" s="57" t="str"/>
      <c r="F4944" s="49" t="str"/>
      <c r="G4944" s="59" t="str"/>
      <c r="H4944" s="64" t="str"/>
      <c r="I4944" s="65" t="str"/>
      <c r="J4944" s="49" t="str"/>
      <c r="K4944" s="41" t="str"/>
      <c r="L4944" s="41" t="str"/>
      <c r="M4944" s="41" t="str"/>
      <c r="N4944" s="41" t="str"/>
      <c r="O4944" s="41" t="str"/>
      <c r="P4944" s="41" t="str"/>
      <c r="Q4944" s="41" t="str"/>
      <c r="R4944" s="41" t="str"/>
      <c r="S4944" s="41" t="str"/>
      <c r="T4944" s="41" t="str"/>
      <c r="U4944" s="41" t="str"/>
      <c r="V4944" s="41" t="str"/>
      <c r="W4944" s="41" t="str"/>
    </row>
    <row r="4945">
      <c r="B4945" s="2" t="n"/>
      <c r="C4945" s="40" t="n"/>
      <c r="D4945" s="52">
        <f t="array" ref="D4945:W4945">IF(All_Students_Scores!C4943:V4943="","",All_Students_Scores!C4943:V4943)</f>
        <v/>
      </c>
      <c r="E4945" s="57" t="str"/>
      <c r="F4945" s="49" t="str"/>
      <c r="G4945" s="59" t="str"/>
      <c r="H4945" s="64" t="str"/>
      <c r="I4945" s="65" t="str"/>
      <c r="J4945" s="49" t="str"/>
      <c r="K4945" s="41" t="str"/>
      <c r="L4945" s="41" t="str"/>
      <c r="M4945" s="41" t="str"/>
      <c r="N4945" s="41" t="str"/>
      <c r="O4945" s="41" t="str"/>
      <c r="P4945" s="41" t="str"/>
      <c r="Q4945" s="41" t="str"/>
      <c r="R4945" s="41" t="str"/>
      <c r="S4945" s="41" t="str"/>
      <c r="T4945" s="41" t="str"/>
      <c r="U4945" s="41" t="str"/>
      <c r="V4945" s="41" t="str"/>
      <c r="W4945" s="41" t="str"/>
    </row>
    <row r="4946">
      <c r="B4946" s="2" t="n"/>
      <c r="C4946" s="40" t="n"/>
      <c r="D4946" s="52">
        <f t="array" ref="D4946:W4946">IF(All_Students_Scores!C4944:V4944="","",All_Students_Scores!C4944:V4944)</f>
        <v/>
      </c>
      <c r="E4946" s="57" t="str"/>
      <c r="F4946" s="49" t="str"/>
      <c r="G4946" s="59" t="str"/>
      <c r="H4946" s="64" t="str"/>
      <c r="I4946" s="65" t="str"/>
      <c r="J4946" s="49" t="str"/>
      <c r="K4946" s="41" t="str"/>
      <c r="L4946" s="41" t="str"/>
      <c r="M4946" s="41" t="str"/>
      <c r="N4946" s="41" t="str"/>
      <c r="O4946" s="41" t="str"/>
      <c r="P4946" s="41" t="str"/>
      <c r="Q4946" s="41" t="str"/>
      <c r="R4946" s="41" t="str"/>
      <c r="S4946" s="41" t="str"/>
      <c r="T4946" s="41" t="str"/>
      <c r="U4946" s="41" t="str"/>
      <c r="V4946" s="41" t="str"/>
      <c r="W4946" s="41" t="str"/>
    </row>
    <row r="4947">
      <c r="B4947" s="2" t="n"/>
      <c r="C4947" s="40" t="n"/>
      <c r="D4947" s="52">
        <f t="array" ref="D4947:W4947">IF(All_Students_Scores!C4945:V4945="","",All_Students_Scores!C4945:V4945)</f>
        <v/>
      </c>
      <c r="E4947" s="57" t="str"/>
      <c r="F4947" s="49" t="str"/>
      <c r="G4947" s="59" t="str"/>
      <c r="H4947" s="64" t="str"/>
      <c r="I4947" s="65" t="str"/>
      <c r="J4947" s="49" t="str"/>
      <c r="K4947" s="41" t="str"/>
      <c r="L4947" s="41" t="str"/>
      <c r="M4947" s="41" t="str"/>
      <c r="N4947" s="41" t="str"/>
      <c r="O4947" s="41" t="str"/>
      <c r="P4947" s="41" t="str"/>
      <c r="Q4947" s="41" t="str"/>
      <c r="R4947" s="41" t="str"/>
      <c r="S4947" s="41" t="str"/>
      <c r="T4947" s="41" t="str"/>
      <c r="U4947" s="41" t="str"/>
      <c r="V4947" s="41" t="str"/>
      <c r="W4947" s="41" t="str"/>
    </row>
    <row r="4948">
      <c r="B4948" s="2" t="n"/>
      <c r="C4948" s="40" t="n"/>
      <c r="D4948" s="52">
        <f t="array" ref="D4948:W4948">IF(All_Students_Scores!C4946:V4946="","",All_Students_Scores!C4946:V4946)</f>
        <v/>
      </c>
      <c r="E4948" s="57" t="str"/>
      <c r="F4948" s="49" t="str"/>
      <c r="G4948" s="59" t="str"/>
      <c r="H4948" s="64" t="str"/>
      <c r="I4948" s="65" t="str"/>
      <c r="J4948" s="49" t="str"/>
      <c r="K4948" s="41" t="str"/>
      <c r="L4948" s="41" t="str"/>
      <c r="M4948" s="41" t="str"/>
      <c r="N4948" s="41" t="str"/>
      <c r="O4948" s="41" t="str"/>
      <c r="P4948" s="41" t="str"/>
      <c r="Q4948" s="41" t="str"/>
      <c r="R4948" s="41" t="str"/>
      <c r="S4948" s="41" t="str"/>
      <c r="T4948" s="41" t="str"/>
      <c r="U4948" s="41" t="str"/>
      <c r="V4948" s="41" t="str"/>
      <c r="W4948" s="41" t="str"/>
    </row>
    <row r="4949">
      <c r="B4949" s="2" t="n"/>
      <c r="C4949" s="40" t="n"/>
      <c r="D4949" s="52">
        <f t="array" ref="D4949:W4949">IF(All_Students_Scores!C4947:V4947="","",All_Students_Scores!C4947:V4947)</f>
        <v/>
      </c>
      <c r="E4949" s="57" t="str"/>
      <c r="F4949" s="49" t="str"/>
      <c r="G4949" s="59" t="str"/>
      <c r="H4949" s="64" t="str"/>
      <c r="I4949" s="65" t="str"/>
      <c r="J4949" s="49" t="str"/>
      <c r="K4949" s="41" t="str"/>
      <c r="L4949" s="41" t="str"/>
      <c r="M4949" s="41" t="str"/>
      <c r="N4949" s="41" t="str"/>
      <c r="O4949" s="41" t="str"/>
      <c r="P4949" s="41" t="str"/>
      <c r="Q4949" s="41" t="str"/>
      <c r="R4949" s="41" t="str"/>
      <c r="S4949" s="41" t="str"/>
      <c r="T4949" s="41" t="str"/>
      <c r="U4949" s="41" t="str"/>
      <c r="V4949" s="41" t="str"/>
      <c r="W4949" s="41" t="str"/>
    </row>
    <row r="4950">
      <c r="B4950" s="2" t="n"/>
      <c r="C4950" s="40" t="n"/>
      <c r="D4950" s="52">
        <f t="array" ref="D4950:W4950">IF(All_Students_Scores!C4948:V4948="","",All_Students_Scores!C4948:V4948)</f>
        <v/>
      </c>
      <c r="E4950" s="57" t="str"/>
      <c r="F4950" s="49" t="str"/>
      <c r="G4950" s="59" t="str"/>
      <c r="H4950" s="64" t="str"/>
      <c r="I4950" s="65" t="str"/>
      <c r="J4950" s="49" t="str"/>
      <c r="K4950" s="41" t="str"/>
      <c r="L4950" s="41" t="str"/>
      <c r="M4950" s="41" t="str"/>
      <c r="N4950" s="41" t="str"/>
      <c r="O4950" s="41" t="str"/>
      <c r="P4950" s="41" t="str"/>
      <c r="Q4950" s="41" t="str"/>
      <c r="R4950" s="41" t="str"/>
      <c r="S4950" s="41" t="str"/>
      <c r="T4950" s="41" t="str"/>
      <c r="U4950" s="41" t="str"/>
      <c r="V4950" s="41" t="str"/>
      <c r="W4950" s="41" t="str"/>
    </row>
    <row r="4951">
      <c r="B4951" s="2" t="n"/>
      <c r="C4951" s="40" t="n"/>
      <c r="D4951" s="52">
        <f t="array" ref="D4951:W4951">IF(All_Students_Scores!C4949:V4949="","",All_Students_Scores!C4949:V4949)</f>
        <v/>
      </c>
      <c r="E4951" s="57" t="str"/>
      <c r="F4951" s="49" t="str"/>
      <c r="G4951" s="59" t="str"/>
      <c r="H4951" s="64" t="str"/>
      <c r="I4951" s="65" t="str"/>
      <c r="J4951" s="49" t="str"/>
      <c r="K4951" s="41" t="str"/>
      <c r="L4951" s="41" t="str"/>
      <c r="M4951" s="41" t="str"/>
      <c r="N4951" s="41" t="str"/>
      <c r="O4951" s="41" t="str"/>
      <c r="P4951" s="41" t="str"/>
      <c r="Q4951" s="41" t="str"/>
      <c r="R4951" s="41" t="str"/>
      <c r="S4951" s="41" t="str"/>
      <c r="T4951" s="41" t="str"/>
      <c r="U4951" s="41" t="str"/>
      <c r="V4951" s="41" t="str"/>
      <c r="W4951" s="41" t="str"/>
    </row>
    <row r="4952">
      <c r="B4952" s="2" t="n"/>
      <c r="C4952" s="40" t="n"/>
      <c r="D4952" s="52">
        <f t="array" ref="D4952:W4952">IF(All_Students_Scores!C4950:V4950="","",All_Students_Scores!C4950:V4950)</f>
        <v/>
      </c>
      <c r="E4952" s="57" t="str"/>
      <c r="F4952" s="49" t="str"/>
      <c r="G4952" s="59" t="str"/>
      <c r="H4952" s="64" t="str"/>
      <c r="I4952" s="65" t="str"/>
      <c r="J4952" s="49" t="str"/>
      <c r="K4952" s="41" t="str"/>
      <c r="L4952" s="41" t="str"/>
      <c r="M4952" s="41" t="str"/>
      <c r="N4952" s="41" t="str"/>
      <c r="O4952" s="41" t="str"/>
      <c r="P4952" s="41" t="str"/>
      <c r="Q4952" s="41" t="str"/>
      <c r="R4952" s="41" t="str"/>
      <c r="S4952" s="41" t="str"/>
      <c r="T4952" s="41" t="str"/>
      <c r="U4952" s="41" t="str"/>
      <c r="V4952" s="41" t="str"/>
      <c r="W4952" s="41" t="str"/>
    </row>
    <row r="4953">
      <c r="B4953" s="2" t="n"/>
      <c r="C4953" s="40" t="n"/>
      <c r="D4953" s="52">
        <f t="array" ref="D4953:W4953">IF(All_Students_Scores!C4951:V4951="","",All_Students_Scores!C4951:V4951)</f>
        <v/>
      </c>
      <c r="E4953" s="57" t="str"/>
      <c r="F4953" s="49" t="str"/>
      <c r="G4953" s="59" t="str"/>
      <c r="H4953" s="64" t="str"/>
      <c r="I4953" s="65" t="str"/>
      <c r="J4953" s="49" t="str"/>
      <c r="K4953" s="41" t="str"/>
      <c r="L4953" s="41" t="str"/>
      <c r="M4953" s="41" t="str"/>
      <c r="N4953" s="41" t="str"/>
      <c r="O4953" s="41" t="str"/>
      <c r="P4953" s="41" t="str"/>
      <c r="Q4953" s="41" t="str"/>
      <c r="R4953" s="41" t="str"/>
      <c r="S4953" s="41" t="str"/>
      <c r="T4953" s="41" t="str"/>
      <c r="U4953" s="41" t="str"/>
      <c r="V4953" s="41" t="str"/>
      <c r="W4953" s="41" t="str"/>
    </row>
    <row r="4954">
      <c r="B4954" s="2" t="n"/>
      <c r="C4954" s="40" t="n"/>
      <c r="D4954" s="52">
        <f t="array" ref="D4954:W4954">IF(All_Students_Scores!C4952:V4952="","",All_Students_Scores!C4952:V4952)</f>
        <v/>
      </c>
      <c r="E4954" s="57" t="str"/>
      <c r="F4954" s="49" t="str"/>
      <c r="G4954" s="59" t="str"/>
      <c r="H4954" s="64" t="str"/>
      <c r="I4954" s="65" t="str"/>
      <c r="J4954" s="49" t="str"/>
      <c r="K4954" s="41" t="str"/>
      <c r="L4954" s="41" t="str"/>
      <c r="M4954" s="41" t="str"/>
      <c r="N4954" s="41" t="str"/>
      <c r="O4954" s="41" t="str"/>
      <c r="P4954" s="41" t="str"/>
      <c r="Q4954" s="41" t="str"/>
      <c r="R4954" s="41" t="str"/>
      <c r="S4954" s="41" t="str"/>
      <c r="T4954" s="41" t="str"/>
      <c r="U4954" s="41" t="str"/>
      <c r="V4954" s="41" t="str"/>
      <c r="W4954" s="41" t="str"/>
    </row>
    <row r="4955">
      <c r="B4955" s="2" t="n"/>
      <c r="C4955" s="40" t="n"/>
      <c r="D4955" s="52">
        <f t="array" ref="D4955:W4955">IF(All_Students_Scores!C4953:V4953="","",All_Students_Scores!C4953:V4953)</f>
        <v/>
      </c>
      <c r="E4955" s="57" t="str"/>
      <c r="F4955" s="49" t="str"/>
      <c r="G4955" s="59" t="str"/>
      <c r="H4955" s="64" t="str"/>
      <c r="I4955" s="65" t="str"/>
      <c r="J4955" s="49" t="str"/>
      <c r="K4955" s="41" t="str"/>
      <c r="L4955" s="41" t="str"/>
      <c r="M4955" s="41" t="str"/>
      <c r="N4955" s="41" t="str"/>
      <c r="O4955" s="41" t="str"/>
      <c r="P4955" s="41" t="str"/>
      <c r="Q4955" s="41" t="str"/>
      <c r="R4955" s="41" t="str"/>
      <c r="S4955" s="41" t="str"/>
      <c r="T4955" s="41" t="str"/>
      <c r="U4955" s="41" t="str"/>
      <c r="V4955" s="41" t="str"/>
      <c r="W4955" s="41" t="str"/>
    </row>
    <row r="4956">
      <c r="B4956" s="2" t="n"/>
      <c r="C4956" s="40" t="n"/>
      <c r="D4956" s="52">
        <f t="array" ref="D4956:W4956">IF(All_Students_Scores!C4954:V4954="","",All_Students_Scores!C4954:V4954)</f>
        <v/>
      </c>
      <c r="E4956" s="57" t="str"/>
      <c r="F4956" s="49" t="str"/>
      <c r="G4956" s="59" t="str"/>
      <c r="H4956" s="64" t="str"/>
      <c r="I4956" s="65" t="str"/>
      <c r="J4956" s="49" t="str"/>
      <c r="K4956" s="41" t="str"/>
      <c r="L4956" s="41" t="str"/>
      <c r="M4956" s="41" t="str"/>
      <c r="N4956" s="41" t="str"/>
      <c r="O4956" s="41" t="str"/>
      <c r="P4956" s="41" t="str"/>
      <c r="Q4956" s="41" t="str"/>
      <c r="R4956" s="41" t="str"/>
      <c r="S4956" s="41" t="str"/>
      <c r="T4956" s="41" t="str"/>
      <c r="U4956" s="41" t="str"/>
      <c r="V4956" s="41" t="str"/>
      <c r="W4956" s="41" t="str"/>
    </row>
    <row r="4957">
      <c r="B4957" s="2" t="n"/>
      <c r="C4957" s="40" t="n"/>
      <c r="D4957" s="52">
        <f t="array" ref="D4957:W4957">IF(All_Students_Scores!C4955:V4955="","",All_Students_Scores!C4955:V4955)</f>
        <v/>
      </c>
      <c r="E4957" s="57" t="str"/>
      <c r="F4957" s="49" t="str"/>
      <c r="G4957" s="59" t="str"/>
      <c r="H4957" s="64" t="str"/>
      <c r="I4957" s="65" t="str"/>
      <c r="J4957" s="49" t="str"/>
      <c r="K4957" s="41" t="str"/>
      <c r="L4957" s="41" t="str"/>
      <c r="M4957" s="41" t="str"/>
      <c r="N4957" s="41" t="str"/>
      <c r="O4957" s="41" t="str"/>
      <c r="P4957" s="41" t="str"/>
      <c r="Q4957" s="41" t="str"/>
      <c r="R4957" s="41" t="str"/>
      <c r="S4957" s="41" t="str"/>
      <c r="T4957" s="41" t="str"/>
      <c r="U4957" s="41" t="str"/>
      <c r="V4957" s="41" t="str"/>
      <c r="W4957" s="41" t="str"/>
    </row>
    <row r="4958">
      <c r="B4958" s="2" t="n"/>
      <c r="C4958" s="40" t="n"/>
      <c r="D4958" s="52">
        <f t="array" ref="D4958:W4958">IF(All_Students_Scores!C4956:V4956="","",All_Students_Scores!C4956:V4956)</f>
        <v/>
      </c>
      <c r="E4958" s="57" t="str"/>
      <c r="F4958" s="49" t="str"/>
      <c r="G4958" s="59" t="str"/>
      <c r="H4958" s="64" t="str"/>
      <c r="I4958" s="65" t="str"/>
      <c r="J4958" s="49" t="str"/>
      <c r="K4958" s="41" t="str"/>
      <c r="L4958" s="41" t="str"/>
      <c r="M4958" s="41" t="str"/>
      <c r="N4958" s="41" t="str"/>
      <c r="O4958" s="41" t="str"/>
      <c r="P4958" s="41" t="str"/>
      <c r="Q4958" s="41" t="str"/>
      <c r="R4958" s="41" t="str"/>
      <c r="S4958" s="41" t="str"/>
      <c r="T4958" s="41" t="str"/>
      <c r="U4958" s="41" t="str"/>
      <c r="V4958" s="41" t="str"/>
      <c r="W4958" s="41" t="str"/>
    </row>
    <row r="4959">
      <c r="B4959" s="2" t="n"/>
      <c r="C4959" s="40" t="n"/>
      <c r="D4959" s="52">
        <f t="array" ref="D4959:W4959">IF(All_Students_Scores!C4957:V4957="","",All_Students_Scores!C4957:V4957)</f>
        <v/>
      </c>
      <c r="E4959" s="57" t="str"/>
      <c r="F4959" s="49" t="str"/>
      <c r="G4959" s="59" t="str"/>
      <c r="H4959" s="64" t="str"/>
      <c r="I4959" s="65" t="str"/>
      <c r="J4959" s="49" t="str"/>
      <c r="K4959" s="41" t="str"/>
      <c r="L4959" s="41" t="str"/>
      <c r="M4959" s="41" t="str"/>
      <c r="N4959" s="41" t="str"/>
      <c r="O4959" s="41" t="str"/>
      <c r="P4959" s="41" t="str"/>
      <c r="Q4959" s="41" t="str"/>
      <c r="R4959" s="41" t="str"/>
      <c r="S4959" s="41" t="str"/>
      <c r="T4959" s="41" t="str"/>
      <c r="U4959" s="41" t="str"/>
      <c r="V4959" s="41" t="str"/>
      <c r="W4959" s="41" t="str"/>
    </row>
    <row r="4960">
      <c r="B4960" s="2" t="n"/>
      <c r="C4960" s="40" t="n"/>
      <c r="D4960" s="52">
        <f t="array" ref="D4960:W4960">IF(All_Students_Scores!C4958:V4958="","",All_Students_Scores!C4958:V4958)</f>
        <v/>
      </c>
      <c r="E4960" s="57" t="str"/>
      <c r="F4960" s="49" t="str"/>
      <c r="G4960" s="59" t="str"/>
      <c r="H4960" s="64" t="str"/>
      <c r="I4960" s="65" t="str"/>
      <c r="J4960" s="49" t="str"/>
      <c r="K4960" s="41" t="str"/>
      <c r="L4960" s="41" t="str"/>
      <c r="M4960" s="41" t="str"/>
      <c r="N4960" s="41" t="str"/>
      <c r="O4960" s="41" t="str"/>
      <c r="P4960" s="41" t="str"/>
      <c r="Q4960" s="41" t="str"/>
      <c r="R4960" s="41" t="str"/>
      <c r="S4960" s="41" t="str"/>
      <c r="T4960" s="41" t="str"/>
      <c r="U4960" s="41" t="str"/>
      <c r="V4960" s="41" t="str"/>
      <c r="W4960" s="41" t="str"/>
    </row>
    <row r="4961">
      <c r="B4961" s="2" t="n"/>
      <c r="C4961" s="40" t="n"/>
      <c r="D4961" s="52">
        <f t="array" ref="D4961:W4961">IF(All_Students_Scores!C4959:V4959="","",All_Students_Scores!C4959:V4959)</f>
        <v/>
      </c>
      <c r="E4961" s="57" t="str"/>
      <c r="F4961" s="49" t="str"/>
      <c r="G4961" s="59" t="str"/>
      <c r="H4961" s="64" t="str"/>
      <c r="I4961" s="65" t="str"/>
      <c r="J4961" s="49" t="str"/>
      <c r="K4961" s="41" t="str"/>
      <c r="L4961" s="41" t="str"/>
      <c r="M4961" s="41" t="str"/>
      <c r="N4961" s="41" t="str"/>
      <c r="O4961" s="41" t="str"/>
      <c r="P4961" s="41" t="str"/>
      <c r="Q4961" s="41" t="str"/>
      <c r="R4961" s="41" t="str"/>
      <c r="S4961" s="41" t="str"/>
      <c r="T4961" s="41" t="str"/>
      <c r="U4961" s="41" t="str"/>
      <c r="V4961" s="41" t="str"/>
      <c r="W4961" s="41" t="str"/>
    </row>
    <row r="4962">
      <c r="B4962" s="2" t="n"/>
      <c r="C4962" s="40" t="n"/>
      <c r="D4962" s="52">
        <f t="array" ref="D4962:W4962">IF(All_Students_Scores!C4960:V4960="","",All_Students_Scores!C4960:V4960)</f>
        <v/>
      </c>
      <c r="E4962" s="57" t="str"/>
      <c r="F4962" s="49" t="str"/>
      <c r="G4962" s="59" t="str"/>
      <c r="H4962" s="64" t="str"/>
      <c r="I4962" s="65" t="str"/>
      <c r="J4962" s="49" t="str"/>
      <c r="K4962" s="41" t="str"/>
      <c r="L4962" s="41" t="str"/>
      <c r="M4962" s="41" t="str"/>
      <c r="N4962" s="41" t="str"/>
      <c r="O4962" s="41" t="str"/>
      <c r="P4962" s="41" t="str"/>
      <c r="Q4962" s="41" t="str"/>
      <c r="R4962" s="41" t="str"/>
      <c r="S4962" s="41" t="str"/>
      <c r="T4962" s="41" t="str"/>
      <c r="U4962" s="41" t="str"/>
      <c r="V4962" s="41" t="str"/>
      <c r="W4962" s="41" t="str"/>
    </row>
    <row r="4963">
      <c r="B4963" s="2" t="n"/>
      <c r="C4963" s="40" t="n"/>
      <c r="D4963" s="52">
        <f t="array" ref="D4963:W4963">IF(All_Students_Scores!C4961:V4961="","",All_Students_Scores!C4961:V4961)</f>
        <v/>
      </c>
      <c r="E4963" s="57" t="str"/>
      <c r="F4963" s="49" t="str"/>
      <c r="G4963" s="59" t="str"/>
      <c r="H4963" s="64" t="str"/>
      <c r="I4963" s="65" t="str"/>
      <c r="J4963" s="49" t="str"/>
      <c r="K4963" s="41" t="str"/>
      <c r="L4963" s="41" t="str"/>
      <c r="M4963" s="41" t="str"/>
      <c r="N4963" s="41" t="str"/>
      <c r="O4963" s="41" t="str"/>
      <c r="P4963" s="41" t="str"/>
      <c r="Q4963" s="41" t="str"/>
      <c r="R4963" s="41" t="str"/>
      <c r="S4963" s="41" t="str"/>
      <c r="T4963" s="41" t="str"/>
      <c r="U4963" s="41" t="str"/>
      <c r="V4963" s="41" t="str"/>
      <c r="W4963" s="41" t="str"/>
    </row>
    <row r="4964">
      <c r="B4964" s="2" t="n"/>
      <c r="C4964" s="40" t="n"/>
      <c r="D4964" s="52">
        <f t="array" ref="D4964:W4964">IF(All_Students_Scores!C4962:V4962="","",All_Students_Scores!C4962:V4962)</f>
        <v/>
      </c>
      <c r="E4964" s="57" t="str"/>
      <c r="F4964" s="49" t="str"/>
      <c r="G4964" s="59" t="str"/>
      <c r="H4964" s="64" t="str"/>
      <c r="I4964" s="65" t="str"/>
      <c r="J4964" s="49" t="str"/>
      <c r="K4964" s="41" t="str"/>
      <c r="L4964" s="41" t="str"/>
      <c r="M4964" s="41" t="str"/>
      <c r="N4964" s="41" t="str"/>
      <c r="O4964" s="41" t="str"/>
      <c r="P4964" s="41" t="str"/>
      <c r="Q4964" s="41" t="str"/>
      <c r="R4964" s="41" t="str"/>
      <c r="S4964" s="41" t="str"/>
      <c r="T4964" s="41" t="str"/>
      <c r="U4964" s="41" t="str"/>
      <c r="V4964" s="41" t="str"/>
      <c r="W4964" s="41" t="str"/>
    </row>
    <row r="4965">
      <c r="B4965" s="2" t="n"/>
      <c r="C4965" s="40" t="n"/>
      <c r="D4965" s="52">
        <f t="array" ref="D4965:W4965">IF(All_Students_Scores!C4963:V4963="","",All_Students_Scores!C4963:V4963)</f>
        <v/>
      </c>
      <c r="E4965" s="57" t="str"/>
      <c r="F4965" s="49" t="str"/>
      <c r="G4965" s="59" t="str"/>
      <c r="H4965" s="64" t="str"/>
      <c r="I4965" s="65" t="str"/>
      <c r="J4965" s="49" t="str"/>
      <c r="K4965" s="41" t="str"/>
      <c r="L4965" s="41" t="str"/>
      <c r="M4965" s="41" t="str"/>
      <c r="N4965" s="41" t="str"/>
      <c r="O4965" s="41" t="str"/>
      <c r="P4965" s="41" t="str"/>
      <c r="Q4965" s="41" t="str"/>
      <c r="R4965" s="41" t="str"/>
      <c r="S4965" s="41" t="str"/>
      <c r="T4965" s="41" t="str"/>
      <c r="U4965" s="41" t="str"/>
      <c r="V4965" s="41" t="str"/>
      <c r="W4965" s="41" t="str"/>
    </row>
    <row r="4966">
      <c r="B4966" s="2" t="n"/>
      <c r="C4966" s="40" t="n"/>
      <c r="D4966" s="52">
        <f t="array" ref="D4966:W4966">IF(All_Students_Scores!C4964:V4964="","",All_Students_Scores!C4964:V4964)</f>
        <v/>
      </c>
      <c r="E4966" s="57" t="str"/>
      <c r="F4966" s="49" t="str"/>
      <c r="G4966" s="59" t="str"/>
      <c r="H4966" s="64" t="str"/>
      <c r="I4966" s="65" t="str"/>
      <c r="J4966" s="49" t="str"/>
      <c r="K4966" s="41" t="str"/>
      <c r="L4966" s="41" t="str"/>
      <c r="M4966" s="41" t="str"/>
      <c r="N4966" s="41" t="str"/>
      <c r="O4966" s="41" t="str"/>
      <c r="P4966" s="41" t="str"/>
      <c r="Q4966" s="41" t="str"/>
      <c r="R4966" s="41" t="str"/>
      <c r="S4966" s="41" t="str"/>
      <c r="T4966" s="41" t="str"/>
      <c r="U4966" s="41" t="str"/>
      <c r="V4966" s="41" t="str"/>
      <c r="W4966" s="41" t="str"/>
    </row>
    <row r="4967">
      <c r="B4967" s="2" t="n"/>
      <c r="C4967" s="40" t="n"/>
      <c r="D4967" s="52">
        <f t="array" ref="D4967:W4967">IF(All_Students_Scores!C4965:V4965="","",All_Students_Scores!C4965:V4965)</f>
        <v/>
      </c>
      <c r="E4967" s="57" t="str"/>
      <c r="F4967" s="49" t="str"/>
      <c r="G4967" s="59" t="str"/>
      <c r="H4967" s="64" t="str"/>
      <c r="I4967" s="65" t="str"/>
      <c r="J4967" s="49" t="str"/>
      <c r="K4967" s="41" t="str"/>
      <c r="L4967" s="41" t="str"/>
      <c r="M4967" s="41" t="str"/>
      <c r="N4967" s="41" t="str"/>
      <c r="O4967" s="41" t="str"/>
      <c r="P4967" s="41" t="str"/>
      <c r="Q4967" s="41" t="str"/>
      <c r="R4967" s="41" t="str"/>
      <c r="S4967" s="41" t="str"/>
      <c r="T4967" s="41" t="str"/>
      <c r="U4967" s="41" t="str"/>
      <c r="V4967" s="41" t="str"/>
      <c r="W4967" s="41" t="str"/>
    </row>
    <row r="4968">
      <c r="B4968" s="2" t="n"/>
      <c r="C4968" s="40" t="n"/>
      <c r="D4968" s="52">
        <f t="array" ref="D4968:W4968">IF(All_Students_Scores!C4966:V4966="","",All_Students_Scores!C4966:V4966)</f>
        <v/>
      </c>
      <c r="E4968" s="57" t="str"/>
      <c r="F4968" s="49" t="str"/>
      <c r="G4968" s="59" t="str"/>
      <c r="H4968" s="64" t="str"/>
      <c r="I4968" s="65" t="str"/>
      <c r="J4968" s="49" t="str"/>
      <c r="K4968" s="41" t="str"/>
      <c r="L4968" s="41" t="str"/>
      <c r="M4968" s="41" t="str"/>
      <c r="N4968" s="41" t="str"/>
      <c r="O4968" s="41" t="str"/>
      <c r="P4968" s="41" t="str"/>
      <c r="Q4968" s="41" t="str"/>
      <c r="R4968" s="41" t="str"/>
      <c r="S4968" s="41" t="str"/>
      <c r="T4968" s="41" t="str"/>
      <c r="U4968" s="41" t="str"/>
      <c r="V4968" s="41" t="str"/>
      <c r="W4968" s="41" t="str"/>
    </row>
    <row r="4969">
      <c r="B4969" s="2" t="n"/>
      <c r="C4969" s="40" t="n"/>
      <c r="D4969" s="52">
        <f t="array" ref="D4969:W4969">IF(All_Students_Scores!C4967:V4967="","",All_Students_Scores!C4967:V4967)</f>
        <v/>
      </c>
      <c r="E4969" s="57" t="str"/>
      <c r="F4969" s="49" t="str"/>
      <c r="G4969" s="59" t="str"/>
      <c r="H4969" s="64" t="str"/>
      <c r="I4969" s="65" t="str"/>
      <c r="J4969" s="49" t="str"/>
      <c r="K4969" s="41" t="str"/>
      <c r="L4969" s="41" t="str"/>
      <c r="M4969" s="41" t="str"/>
      <c r="N4969" s="41" t="str"/>
      <c r="O4969" s="41" t="str"/>
      <c r="P4969" s="41" t="str"/>
      <c r="Q4969" s="41" t="str"/>
      <c r="R4969" s="41" t="str"/>
      <c r="S4969" s="41" t="str"/>
      <c r="T4969" s="41" t="str"/>
      <c r="U4969" s="41" t="str"/>
      <c r="V4969" s="41" t="str"/>
      <c r="W4969" s="41" t="str"/>
    </row>
    <row r="4970">
      <c r="B4970" s="2" t="n"/>
      <c r="C4970" s="40" t="n"/>
      <c r="D4970" s="52">
        <f t="array" ref="D4970:W4970">IF(All_Students_Scores!C4968:V4968="","",All_Students_Scores!C4968:V4968)</f>
        <v/>
      </c>
      <c r="E4970" s="57" t="str"/>
      <c r="F4970" s="49" t="str"/>
      <c r="G4970" s="59" t="str"/>
      <c r="H4970" s="64" t="str"/>
      <c r="I4970" s="65" t="str"/>
      <c r="J4970" s="49" t="str"/>
      <c r="K4970" s="41" t="str"/>
      <c r="L4970" s="41" t="str"/>
      <c r="M4970" s="41" t="str"/>
      <c r="N4970" s="41" t="str"/>
      <c r="O4970" s="41" t="str"/>
      <c r="P4970" s="41" t="str"/>
      <c r="Q4970" s="41" t="str"/>
      <c r="R4970" s="41" t="str"/>
      <c r="S4970" s="41" t="str"/>
      <c r="T4970" s="41" t="str"/>
      <c r="U4970" s="41" t="str"/>
      <c r="V4970" s="41" t="str"/>
      <c r="W4970" s="41" t="str"/>
    </row>
    <row r="4971">
      <c r="B4971" s="2" t="n"/>
      <c r="C4971" s="40" t="n"/>
      <c r="D4971" s="52">
        <f t="array" ref="D4971:W4971">IF(All_Students_Scores!C4969:V4969="","",All_Students_Scores!C4969:V4969)</f>
        <v/>
      </c>
      <c r="E4971" s="57" t="str"/>
      <c r="F4971" s="49" t="str"/>
      <c r="G4971" s="59" t="str"/>
      <c r="H4971" s="64" t="str"/>
      <c r="I4971" s="65" t="str"/>
      <c r="J4971" s="49" t="str"/>
      <c r="K4971" s="41" t="str"/>
      <c r="L4971" s="41" t="str"/>
      <c r="M4971" s="41" t="str"/>
      <c r="N4971" s="41" t="str"/>
      <c r="O4971" s="41" t="str"/>
      <c r="P4971" s="41" t="str"/>
      <c r="Q4971" s="41" t="str"/>
      <c r="R4971" s="41" t="str"/>
      <c r="S4971" s="41" t="str"/>
      <c r="T4971" s="41" t="str"/>
      <c r="U4971" s="41" t="str"/>
      <c r="V4971" s="41" t="str"/>
      <c r="W4971" s="41" t="str"/>
    </row>
    <row r="4972">
      <c r="B4972" s="2" t="n"/>
      <c r="C4972" s="40" t="n"/>
      <c r="D4972" s="52">
        <f t="array" ref="D4972:W4972">IF(All_Students_Scores!C4970:V4970="","",All_Students_Scores!C4970:V4970)</f>
        <v/>
      </c>
      <c r="E4972" s="57" t="str"/>
      <c r="F4972" s="49" t="str"/>
      <c r="G4972" s="59" t="str"/>
      <c r="H4972" s="64" t="str"/>
      <c r="I4972" s="65" t="str"/>
      <c r="J4972" s="49" t="str"/>
      <c r="K4972" s="41" t="str"/>
      <c r="L4972" s="41" t="str"/>
      <c r="M4972" s="41" t="str"/>
      <c r="N4972" s="41" t="str"/>
      <c r="O4972" s="41" t="str"/>
      <c r="P4972" s="41" t="str"/>
      <c r="Q4972" s="41" t="str"/>
      <c r="R4972" s="41" t="str"/>
      <c r="S4972" s="41" t="str"/>
      <c r="T4972" s="41" t="str"/>
      <c r="U4972" s="41" t="str"/>
      <c r="V4972" s="41" t="str"/>
      <c r="W4972" s="41" t="str"/>
    </row>
    <row r="4973">
      <c r="B4973" s="2" t="n"/>
      <c r="C4973" s="40" t="n"/>
      <c r="D4973" s="52">
        <f t="array" ref="D4973:W4973">IF(All_Students_Scores!C4971:V4971="","",All_Students_Scores!C4971:V4971)</f>
        <v/>
      </c>
      <c r="E4973" s="57" t="str"/>
      <c r="F4973" s="49" t="str"/>
      <c r="G4973" s="59" t="str"/>
      <c r="H4973" s="64" t="str"/>
      <c r="I4973" s="65" t="str"/>
      <c r="J4973" s="49" t="str"/>
      <c r="K4973" s="41" t="str"/>
      <c r="L4973" s="41" t="str"/>
      <c r="M4973" s="41" t="str"/>
      <c r="N4973" s="41" t="str"/>
      <c r="O4973" s="41" t="str"/>
      <c r="P4973" s="41" t="str"/>
      <c r="Q4973" s="41" t="str"/>
      <c r="R4973" s="41" t="str"/>
      <c r="S4973" s="41" t="str"/>
      <c r="T4973" s="41" t="str"/>
      <c r="U4973" s="41" t="str"/>
      <c r="V4973" s="41" t="str"/>
      <c r="W4973" s="41" t="str"/>
    </row>
    <row r="4974">
      <c r="B4974" s="2" t="n"/>
      <c r="C4974" s="40" t="n"/>
      <c r="D4974" s="52">
        <f t="array" ref="D4974:W4974">IF(All_Students_Scores!C4972:V4972="","",All_Students_Scores!C4972:V4972)</f>
        <v/>
      </c>
      <c r="E4974" s="57" t="str"/>
      <c r="F4974" s="49" t="str"/>
      <c r="G4974" s="59" t="str"/>
      <c r="H4974" s="64" t="str"/>
      <c r="I4974" s="65" t="str"/>
      <c r="J4974" s="49" t="str"/>
      <c r="K4974" s="41" t="str"/>
      <c r="L4974" s="41" t="str"/>
      <c r="M4974" s="41" t="str"/>
      <c r="N4974" s="41" t="str"/>
      <c r="O4974" s="41" t="str"/>
      <c r="P4974" s="41" t="str"/>
      <c r="Q4974" s="41" t="str"/>
      <c r="R4974" s="41" t="str"/>
      <c r="S4974" s="41" t="str"/>
      <c r="T4974" s="41" t="str"/>
      <c r="U4974" s="41" t="str"/>
      <c r="V4974" s="41" t="str"/>
      <c r="W4974" s="41" t="str"/>
    </row>
    <row r="4975">
      <c r="B4975" s="2" t="n"/>
      <c r="C4975" s="40" t="n"/>
      <c r="D4975" s="52">
        <f t="array" ref="D4975:W4975">IF(All_Students_Scores!C4973:V4973="","",All_Students_Scores!C4973:V4973)</f>
        <v/>
      </c>
      <c r="E4975" s="57" t="str"/>
      <c r="F4975" s="49" t="str"/>
      <c r="G4975" s="59" t="str"/>
      <c r="H4975" s="64" t="str"/>
      <c r="I4975" s="65" t="str"/>
      <c r="J4975" s="49" t="str"/>
      <c r="K4975" s="41" t="str"/>
      <c r="L4975" s="41" t="str"/>
      <c r="M4975" s="41" t="str"/>
      <c r="N4975" s="41" t="str"/>
      <c r="O4975" s="41" t="str"/>
      <c r="P4975" s="41" t="str"/>
      <c r="Q4975" s="41" t="str"/>
      <c r="R4975" s="41" t="str"/>
      <c r="S4975" s="41" t="str"/>
      <c r="T4975" s="41" t="str"/>
      <c r="U4975" s="41" t="str"/>
      <c r="V4975" s="41" t="str"/>
      <c r="W4975" s="41" t="str"/>
    </row>
    <row r="4976">
      <c r="B4976" s="2" t="n"/>
      <c r="C4976" s="40" t="n"/>
      <c r="D4976" s="52">
        <f t="array" ref="D4976:W4976">IF(All_Students_Scores!C4974:V4974="","",All_Students_Scores!C4974:V4974)</f>
        <v/>
      </c>
      <c r="E4976" s="57" t="str"/>
      <c r="F4976" s="49" t="str"/>
      <c r="G4976" s="59" t="str"/>
      <c r="H4976" s="64" t="str"/>
      <c r="I4976" s="65" t="str"/>
      <c r="J4976" s="49" t="str"/>
      <c r="K4976" s="41" t="str"/>
      <c r="L4976" s="41" t="str"/>
      <c r="M4976" s="41" t="str"/>
      <c r="N4976" s="41" t="str"/>
      <c r="O4976" s="41" t="str"/>
      <c r="P4976" s="41" t="str"/>
      <c r="Q4976" s="41" t="str"/>
      <c r="R4976" s="41" t="str"/>
      <c r="S4976" s="41" t="str"/>
      <c r="T4976" s="41" t="str"/>
      <c r="U4976" s="41" t="str"/>
      <c r="V4976" s="41" t="str"/>
      <c r="W4976" s="41" t="str"/>
    </row>
    <row r="4977">
      <c r="B4977" s="2" t="n"/>
      <c r="C4977" s="40" t="n"/>
      <c r="D4977" s="52">
        <f t="array" ref="D4977:W4977">IF(All_Students_Scores!C4975:V4975="","",All_Students_Scores!C4975:V4975)</f>
        <v/>
      </c>
      <c r="E4977" s="57" t="str"/>
      <c r="F4977" s="49" t="str"/>
      <c r="G4977" s="59" t="str"/>
      <c r="H4977" s="64" t="str"/>
      <c r="I4977" s="65" t="str"/>
      <c r="J4977" s="49" t="str"/>
      <c r="K4977" s="41" t="str"/>
      <c r="L4977" s="41" t="str"/>
      <c r="M4977" s="41" t="str"/>
      <c r="N4977" s="41" t="str"/>
      <c r="O4977" s="41" t="str"/>
      <c r="P4977" s="41" t="str"/>
      <c r="Q4977" s="41" t="str"/>
      <c r="R4977" s="41" t="str"/>
      <c r="S4977" s="41" t="str"/>
      <c r="T4977" s="41" t="str"/>
      <c r="U4977" s="41" t="str"/>
      <c r="V4977" s="41" t="str"/>
      <c r="W4977" s="41" t="str"/>
    </row>
    <row r="4978">
      <c r="B4978" s="2" t="n"/>
      <c r="C4978" s="40" t="n"/>
      <c r="D4978" s="52">
        <f t="array" ref="D4978:W4978">IF(All_Students_Scores!C4976:V4976="","",All_Students_Scores!C4976:V4976)</f>
        <v/>
      </c>
      <c r="E4978" s="57" t="str"/>
      <c r="F4978" s="49" t="str"/>
      <c r="G4978" s="59" t="str"/>
      <c r="H4978" s="64" t="str"/>
      <c r="I4978" s="65" t="str"/>
      <c r="J4978" s="49" t="str"/>
      <c r="K4978" s="41" t="str"/>
      <c r="L4978" s="41" t="str"/>
      <c r="M4978" s="41" t="str"/>
      <c r="N4978" s="41" t="str"/>
      <c r="O4978" s="41" t="str"/>
      <c r="P4978" s="41" t="str"/>
      <c r="Q4978" s="41" t="str"/>
      <c r="R4978" s="41" t="str"/>
      <c r="S4978" s="41" t="str"/>
      <c r="T4978" s="41" t="str"/>
      <c r="U4978" s="41" t="str"/>
      <c r="V4978" s="41" t="str"/>
      <c r="W4978" s="41" t="str"/>
    </row>
    <row r="4979">
      <c r="B4979" s="2" t="n"/>
      <c r="C4979" s="40" t="n"/>
      <c r="D4979" s="52">
        <f t="array" ref="D4979:W4979">IF(All_Students_Scores!C4977:V4977="","",All_Students_Scores!C4977:V4977)</f>
        <v/>
      </c>
      <c r="E4979" s="57" t="str"/>
      <c r="F4979" s="49" t="str"/>
      <c r="G4979" s="59" t="str"/>
      <c r="H4979" s="64" t="str"/>
      <c r="I4979" s="65" t="str"/>
      <c r="J4979" s="49" t="str"/>
      <c r="K4979" s="41" t="str"/>
      <c r="L4979" s="41" t="str"/>
      <c r="M4979" s="41" t="str"/>
      <c r="N4979" s="41" t="str"/>
      <c r="O4979" s="41" t="str"/>
      <c r="P4979" s="41" t="str"/>
      <c r="Q4979" s="41" t="str"/>
      <c r="R4979" s="41" t="str"/>
      <c r="S4979" s="41" t="str"/>
      <c r="T4979" s="41" t="str"/>
      <c r="U4979" s="41" t="str"/>
      <c r="V4979" s="41" t="str"/>
      <c r="W4979" s="41" t="str"/>
    </row>
    <row r="4980">
      <c r="B4980" s="2" t="n"/>
      <c r="C4980" s="40" t="n"/>
      <c r="D4980" s="52">
        <f t="array" ref="D4980:W4980">IF(All_Students_Scores!C4978:V4978="","",All_Students_Scores!C4978:V4978)</f>
        <v/>
      </c>
      <c r="E4980" s="57" t="str"/>
      <c r="F4980" s="49" t="str"/>
      <c r="G4980" s="59" t="str"/>
      <c r="H4980" s="64" t="str"/>
      <c r="I4980" s="65" t="str"/>
      <c r="J4980" s="49" t="str"/>
      <c r="K4980" s="41" t="str"/>
      <c r="L4980" s="41" t="str"/>
      <c r="M4980" s="41" t="str"/>
      <c r="N4980" s="41" t="str"/>
      <c r="O4980" s="41" t="str"/>
      <c r="P4980" s="41" t="str"/>
      <c r="Q4980" s="41" t="str"/>
      <c r="R4980" s="41" t="str"/>
      <c r="S4980" s="41" t="str"/>
      <c r="T4980" s="41" t="str"/>
      <c r="U4980" s="41" t="str"/>
      <c r="V4980" s="41" t="str"/>
      <c r="W4980" s="41" t="str"/>
    </row>
    <row r="4981">
      <c r="B4981" s="2" t="n"/>
      <c r="C4981" s="40" t="n"/>
      <c r="D4981" s="52">
        <f t="array" ref="D4981:W4981">IF(All_Students_Scores!C4979:V4979="","",All_Students_Scores!C4979:V4979)</f>
        <v/>
      </c>
      <c r="E4981" s="57" t="str"/>
      <c r="F4981" s="49" t="str"/>
      <c r="G4981" s="59" t="str"/>
      <c r="H4981" s="64" t="str"/>
      <c r="I4981" s="65" t="str"/>
      <c r="J4981" s="49" t="str"/>
      <c r="K4981" s="41" t="str"/>
      <c r="L4981" s="41" t="str"/>
      <c r="M4981" s="41" t="str"/>
      <c r="N4981" s="41" t="str"/>
      <c r="O4981" s="41" t="str"/>
      <c r="P4981" s="41" t="str"/>
      <c r="Q4981" s="41" t="str"/>
      <c r="R4981" s="41" t="str"/>
      <c r="S4981" s="41" t="str"/>
      <c r="T4981" s="41" t="str"/>
      <c r="U4981" s="41" t="str"/>
      <c r="V4981" s="41" t="str"/>
      <c r="W4981" s="41" t="str"/>
    </row>
    <row r="4982">
      <c r="B4982" s="2" t="n"/>
      <c r="C4982" s="40" t="n"/>
      <c r="D4982" s="52">
        <f t="array" ref="D4982:W4982">IF(All_Students_Scores!C4980:V4980="","",All_Students_Scores!C4980:V4980)</f>
        <v/>
      </c>
      <c r="E4982" s="57" t="str"/>
      <c r="F4982" s="49" t="str"/>
      <c r="G4982" s="59" t="str"/>
      <c r="H4982" s="64" t="str"/>
      <c r="I4982" s="65" t="str"/>
      <c r="J4982" s="49" t="str"/>
      <c r="K4982" s="41" t="str"/>
      <c r="L4982" s="41" t="str"/>
      <c r="M4982" s="41" t="str"/>
      <c r="N4982" s="41" t="str"/>
      <c r="O4982" s="41" t="str"/>
      <c r="P4982" s="41" t="str"/>
      <c r="Q4982" s="41" t="str"/>
      <c r="R4982" s="41" t="str"/>
      <c r="S4982" s="41" t="str"/>
      <c r="T4982" s="41" t="str"/>
      <c r="U4982" s="41" t="str"/>
      <c r="V4982" s="41" t="str"/>
      <c r="W4982" s="41" t="str"/>
    </row>
    <row r="4983">
      <c r="B4983" s="2" t="n"/>
      <c r="C4983" s="40" t="n"/>
      <c r="D4983" s="52">
        <f t="array" ref="D4983:W4983">IF(All_Students_Scores!C4981:V4981="","",All_Students_Scores!C4981:V4981)</f>
        <v/>
      </c>
      <c r="E4983" s="57" t="str"/>
      <c r="F4983" s="49" t="str"/>
      <c r="G4983" s="59" t="str"/>
      <c r="H4983" s="64" t="str"/>
      <c r="I4983" s="65" t="str"/>
      <c r="J4983" s="49" t="str"/>
      <c r="K4983" s="41" t="str"/>
      <c r="L4983" s="41" t="str"/>
      <c r="M4983" s="41" t="str"/>
      <c r="N4983" s="41" t="str"/>
      <c r="O4983" s="41" t="str"/>
      <c r="P4983" s="41" t="str"/>
      <c r="Q4983" s="41" t="str"/>
      <c r="R4983" s="41" t="str"/>
      <c r="S4983" s="41" t="str"/>
      <c r="T4983" s="41" t="str"/>
      <c r="U4983" s="41" t="str"/>
      <c r="V4983" s="41" t="str"/>
      <c r="W4983" s="41" t="str"/>
    </row>
    <row r="4984">
      <c r="B4984" s="2" t="n"/>
      <c r="C4984" s="40" t="n"/>
      <c r="D4984" s="52">
        <f t="array" ref="D4984:W4984">IF(All_Students_Scores!C4982:V4982="","",All_Students_Scores!C4982:V4982)</f>
        <v/>
      </c>
      <c r="E4984" s="57" t="str"/>
      <c r="F4984" s="49" t="str"/>
      <c r="G4984" s="59" t="str"/>
      <c r="H4984" s="64" t="str"/>
      <c r="I4984" s="65" t="str"/>
      <c r="J4984" s="49" t="str"/>
      <c r="K4984" s="41" t="str"/>
      <c r="L4984" s="41" t="str"/>
      <c r="M4984" s="41" t="str"/>
      <c r="N4984" s="41" t="str"/>
      <c r="O4984" s="41" t="str"/>
      <c r="P4984" s="41" t="str"/>
      <c r="Q4984" s="41" t="str"/>
      <c r="R4984" s="41" t="str"/>
      <c r="S4984" s="41" t="str"/>
      <c r="T4984" s="41" t="str"/>
      <c r="U4984" s="41" t="str"/>
      <c r="V4984" s="41" t="str"/>
      <c r="W4984" s="41" t="str"/>
    </row>
    <row r="4985">
      <c r="B4985" s="2" t="n"/>
      <c r="C4985" s="40" t="n"/>
      <c r="D4985" s="52">
        <f t="array" ref="D4985:W4985">IF(All_Students_Scores!C4983:V4983="","",All_Students_Scores!C4983:V4983)</f>
        <v/>
      </c>
      <c r="E4985" s="57" t="str"/>
      <c r="F4985" s="49" t="str"/>
      <c r="G4985" s="59" t="str"/>
      <c r="H4985" s="64" t="str"/>
      <c r="I4985" s="65" t="str"/>
      <c r="J4985" s="49" t="str"/>
      <c r="K4985" s="41" t="str"/>
      <c r="L4985" s="41" t="str"/>
      <c r="M4985" s="41" t="str"/>
      <c r="N4985" s="41" t="str"/>
      <c r="O4985" s="41" t="str"/>
      <c r="P4985" s="41" t="str"/>
      <c r="Q4985" s="41" t="str"/>
      <c r="R4985" s="41" t="str"/>
      <c r="S4985" s="41" t="str"/>
      <c r="T4985" s="41" t="str"/>
      <c r="U4985" s="41" t="str"/>
      <c r="V4985" s="41" t="str"/>
      <c r="W4985" s="41" t="str"/>
    </row>
    <row r="4986">
      <c r="B4986" s="2" t="n"/>
      <c r="C4986" s="40" t="n"/>
      <c r="D4986" s="52">
        <f t="array" ref="D4986:W4986">IF(All_Students_Scores!C4984:V4984="","",All_Students_Scores!C4984:V4984)</f>
        <v/>
      </c>
      <c r="E4986" s="57" t="str"/>
      <c r="F4986" s="49" t="str"/>
      <c r="G4986" s="59" t="str"/>
      <c r="H4986" s="64" t="str"/>
      <c r="I4986" s="65" t="str"/>
      <c r="J4986" s="49" t="str"/>
      <c r="K4986" s="41" t="str"/>
      <c r="L4986" s="41" t="str"/>
      <c r="M4986" s="41" t="str"/>
      <c r="N4986" s="41" t="str"/>
      <c r="O4986" s="41" t="str"/>
      <c r="P4986" s="41" t="str"/>
      <c r="Q4986" s="41" t="str"/>
      <c r="R4986" s="41" t="str"/>
      <c r="S4986" s="41" t="str"/>
      <c r="T4986" s="41" t="str"/>
      <c r="U4986" s="41" t="str"/>
      <c r="V4986" s="41" t="str"/>
      <c r="W4986" s="41" t="str"/>
    </row>
    <row r="4987">
      <c r="B4987" s="2" t="n"/>
      <c r="C4987" s="40" t="n"/>
      <c r="D4987" s="52">
        <f t="array" ref="D4987:W4987">IF(All_Students_Scores!C4985:V4985="","",All_Students_Scores!C4985:V4985)</f>
        <v/>
      </c>
      <c r="E4987" s="57" t="str"/>
      <c r="F4987" s="49" t="str"/>
      <c r="G4987" s="59" t="str"/>
      <c r="H4987" s="64" t="str"/>
      <c r="I4987" s="65" t="str"/>
      <c r="J4987" s="49" t="str"/>
      <c r="K4987" s="41" t="str"/>
      <c r="L4987" s="41" t="str"/>
      <c r="M4987" s="41" t="str"/>
      <c r="N4987" s="41" t="str"/>
      <c r="O4987" s="41" t="str"/>
      <c r="P4987" s="41" t="str"/>
      <c r="Q4987" s="41" t="str"/>
      <c r="R4987" s="41" t="str"/>
      <c r="S4987" s="41" t="str"/>
      <c r="T4987" s="41" t="str"/>
      <c r="U4987" s="41" t="str"/>
      <c r="V4987" s="41" t="str"/>
      <c r="W4987" s="41" t="str"/>
    </row>
    <row r="4988">
      <c r="B4988" s="2" t="n"/>
      <c r="C4988" s="40" t="n"/>
      <c r="D4988" s="52">
        <f t="array" ref="D4988:W4988">IF(All_Students_Scores!C4986:V4986="","",All_Students_Scores!C4986:V4986)</f>
        <v/>
      </c>
      <c r="E4988" s="57" t="str"/>
      <c r="F4988" s="49" t="str"/>
      <c r="G4988" s="59" t="str"/>
      <c r="H4988" s="64" t="str"/>
      <c r="I4988" s="65" t="str"/>
      <c r="J4988" s="49" t="str"/>
      <c r="K4988" s="41" t="str"/>
      <c r="L4988" s="41" t="str"/>
      <c r="M4988" s="41" t="str"/>
      <c r="N4988" s="41" t="str"/>
      <c r="O4988" s="41" t="str"/>
      <c r="P4988" s="41" t="str"/>
      <c r="Q4988" s="41" t="str"/>
      <c r="R4988" s="41" t="str"/>
      <c r="S4988" s="41" t="str"/>
      <c r="T4988" s="41" t="str"/>
      <c r="U4988" s="41" t="str"/>
      <c r="V4988" s="41" t="str"/>
      <c r="W4988" s="41" t="str"/>
    </row>
    <row r="4989">
      <c r="B4989" s="2" t="n"/>
      <c r="C4989" s="40" t="n"/>
      <c r="D4989" s="52">
        <f t="array" ref="D4989:W4989">IF(All_Students_Scores!C4987:V4987="","",All_Students_Scores!C4987:V4987)</f>
        <v/>
      </c>
      <c r="E4989" s="57" t="str"/>
      <c r="F4989" s="49" t="str"/>
      <c r="G4989" s="59" t="str"/>
      <c r="H4989" s="64" t="str"/>
      <c r="I4989" s="65" t="str"/>
      <c r="J4989" s="49" t="str"/>
      <c r="K4989" s="41" t="str"/>
      <c r="L4989" s="41" t="str"/>
      <c r="M4989" s="41" t="str"/>
      <c r="N4989" s="41" t="str"/>
      <c r="O4989" s="41" t="str"/>
      <c r="P4989" s="41" t="str"/>
      <c r="Q4989" s="41" t="str"/>
      <c r="R4989" s="41" t="str"/>
      <c r="S4989" s="41" t="str"/>
      <c r="T4989" s="41" t="str"/>
      <c r="U4989" s="41" t="str"/>
      <c r="V4989" s="41" t="str"/>
      <c r="W4989" s="41" t="str"/>
    </row>
    <row r="4990">
      <c r="B4990" s="2" t="n"/>
      <c r="C4990" s="40" t="n"/>
      <c r="D4990" s="52">
        <f t="array" ref="D4990:W4990">IF(All_Students_Scores!C4988:V4988="","",All_Students_Scores!C4988:V4988)</f>
        <v/>
      </c>
      <c r="E4990" s="57" t="str"/>
      <c r="F4990" s="49" t="str"/>
      <c r="G4990" s="59" t="str"/>
      <c r="H4990" s="64" t="str"/>
      <c r="I4990" s="65" t="str"/>
      <c r="J4990" s="49" t="str"/>
      <c r="K4990" s="41" t="str"/>
      <c r="L4990" s="41" t="str"/>
      <c r="M4990" s="41" t="str"/>
      <c r="N4990" s="41" t="str"/>
      <c r="O4990" s="41" t="str"/>
      <c r="P4990" s="41" t="str"/>
      <c r="Q4990" s="41" t="str"/>
      <c r="R4990" s="41" t="str"/>
      <c r="S4990" s="41" t="str"/>
      <c r="T4990" s="41" t="str"/>
      <c r="U4990" s="41" t="str"/>
      <c r="V4990" s="41" t="str"/>
      <c r="W4990" s="41" t="str"/>
    </row>
    <row r="4991">
      <c r="B4991" s="2" t="n"/>
      <c r="C4991" s="40" t="n"/>
      <c r="D4991" s="52">
        <f t="array" ref="D4991:W4991">IF(All_Students_Scores!C4989:V4989="","",All_Students_Scores!C4989:V4989)</f>
        <v/>
      </c>
      <c r="E4991" s="57" t="str"/>
      <c r="F4991" s="49" t="str"/>
      <c r="G4991" s="59" t="str"/>
      <c r="H4991" s="64" t="str"/>
      <c r="I4991" s="65" t="str"/>
      <c r="J4991" s="49" t="str"/>
      <c r="K4991" s="41" t="str"/>
      <c r="L4991" s="41" t="str"/>
      <c r="M4991" s="41" t="str"/>
      <c r="N4991" s="41" t="str"/>
      <c r="O4991" s="41" t="str"/>
      <c r="P4991" s="41" t="str"/>
      <c r="Q4991" s="41" t="str"/>
      <c r="R4991" s="41" t="str"/>
      <c r="S4991" s="41" t="str"/>
      <c r="T4991" s="41" t="str"/>
      <c r="U4991" s="41" t="str"/>
      <c r="V4991" s="41" t="str"/>
      <c r="W4991" s="41" t="str"/>
    </row>
    <row r="4992">
      <c r="B4992" s="2" t="n"/>
      <c r="C4992" s="40" t="n"/>
      <c r="D4992" s="52">
        <f t="array" ref="D4992:W4992">IF(All_Students_Scores!C4990:V4990="","",All_Students_Scores!C4990:V4990)</f>
        <v/>
      </c>
      <c r="E4992" s="57" t="str"/>
      <c r="F4992" s="49" t="str"/>
      <c r="G4992" s="59" t="str"/>
      <c r="H4992" s="64" t="str"/>
      <c r="I4992" s="65" t="str"/>
      <c r="J4992" s="49" t="str"/>
      <c r="K4992" s="41" t="str"/>
      <c r="L4992" s="41" t="str"/>
      <c r="M4992" s="41" t="str"/>
      <c r="N4992" s="41" t="str"/>
      <c r="O4992" s="41" t="str"/>
      <c r="P4992" s="41" t="str"/>
      <c r="Q4992" s="41" t="str"/>
      <c r="R4992" s="41" t="str"/>
      <c r="S4992" s="41" t="str"/>
      <c r="T4992" s="41" t="str"/>
      <c r="U4992" s="41" t="str"/>
      <c r="V4992" s="41" t="str"/>
      <c r="W4992" s="41" t="str"/>
    </row>
    <row r="4993">
      <c r="B4993" s="2" t="n"/>
      <c r="C4993" s="40" t="n"/>
      <c r="D4993" s="52">
        <f t="array" ref="D4993:W4993">IF(All_Students_Scores!C4991:V4991="","",All_Students_Scores!C4991:V4991)</f>
        <v/>
      </c>
      <c r="E4993" s="57" t="str"/>
      <c r="F4993" s="49" t="str"/>
      <c r="G4993" s="59" t="str"/>
      <c r="H4993" s="64" t="str"/>
      <c r="I4993" s="65" t="str"/>
      <c r="J4993" s="49" t="str"/>
      <c r="K4993" s="41" t="str"/>
      <c r="L4993" s="41" t="str"/>
      <c r="M4993" s="41" t="str"/>
      <c r="N4993" s="41" t="str"/>
      <c r="O4993" s="41" t="str"/>
      <c r="P4993" s="41" t="str"/>
      <c r="Q4993" s="41" t="str"/>
      <c r="R4993" s="41" t="str"/>
      <c r="S4993" s="41" t="str"/>
      <c r="T4993" s="41" t="str"/>
      <c r="U4993" s="41" t="str"/>
      <c r="V4993" s="41" t="str"/>
      <c r="W4993" s="41" t="str"/>
    </row>
    <row r="4994">
      <c r="B4994" s="2" t="n"/>
      <c r="C4994" s="40" t="n"/>
      <c r="D4994" s="52">
        <f t="array" ref="D4994:W4994">IF(All_Students_Scores!C4992:V4992="","",All_Students_Scores!C4992:V4992)</f>
        <v/>
      </c>
      <c r="E4994" s="57" t="str"/>
      <c r="F4994" s="49" t="str"/>
      <c r="G4994" s="59" t="str"/>
      <c r="H4994" s="64" t="str"/>
      <c r="I4994" s="65" t="str"/>
      <c r="J4994" s="49" t="str"/>
      <c r="K4994" s="41" t="str"/>
      <c r="L4994" s="41" t="str"/>
      <c r="M4994" s="41" t="str"/>
      <c r="N4994" s="41" t="str"/>
      <c r="O4994" s="41" t="str"/>
      <c r="P4994" s="41" t="str"/>
      <c r="Q4994" s="41" t="str"/>
      <c r="R4994" s="41" t="str"/>
      <c r="S4994" s="41" t="str"/>
      <c r="T4994" s="41" t="str"/>
      <c r="U4994" s="41" t="str"/>
      <c r="V4994" s="41" t="str"/>
      <c r="W4994" s="41" t="str"/>
    </row>
    <row r="4995">
      <c r="B4995" s="2" t="n"/>
      <c r="C4995" s="40" t="n"/>
      <c r="D4995" s="52">
        <f t="array" ref="D4995:W4995">IF(All_Students_Scores!C4993:V4993="","",All_Students_Scores!C4993:V4993)</f>
        <v/>
      </c>
      <c r="E4995" s="57" t="str"/>
      <c r="F4995" s="49" t="str"/>
      <c r="G4995" s="59" t="str"/>
      <c r="H4995" s="64" t="str"/>
      <c r="I4995" s="65" t="str"/>
      <c r="J4995" s="49" t="str"/>
      <c r="K4995" s="41" t="str"/>
      <c r="L4995" s="41" t="str"/>
      <c r="M4995" s="41" t="str"/>
      <c r="N4995" s="41" t="str"/>
      <c r="O4995" s="41" t="str"/>
      <c r="P4995" s="41" t="str"/>
      <c r="Q4995" s="41" t="str"/>
      <c r="R4995" s="41" t="str"/>
      <c r="S4995" s="41" t="str"/>
      <c r="T4995" s="41" t="str"/>
      <c r="U4995" s="41" t="str"/>
      <c r="V4995" s="41" t="str"/>
      <c r="W4995" s="41" t="str"/>
    </row>
    <row r="4996">
      <c r="B4996" s="2" t="n"/>
      <c r="C4996" s="40" t="n"/>
      <c r="D4996" s="52">
        <f t="array" ref="D4996:W4996">IF(All_Students_Scores!C4994:V4994="","",All_Students_Scores!C4994:V4994)</f>
        <v/>
      </c>
      <c r="E4996" s="57" t="str"/>
      <c r="F4996" s="49" t="str"/>
      <c r="G4996" s="59" t="str"/>
      <c r="H4996" s="64" t="str"/>
      <c r="I4996" s="65" t="str"/>
      <c r="J4996" s="49" t="str"/>
      <c r="K4996" s="41" t="str"/>
      <c r="L4996" s="41" t="str"/>
      <c r="M4996" s="41" t="str"/>
      <c r="N4996" s="41" t="str"/>
      <c r="O4996" s="41" t="str"/>
      <c r="P4996" s="41" t="str"/>
      <c r="Q4996" s="41" t="str"/>
      <c r="R4996" s="41" t="str"/>
      <c r="S4996" s="41" t="str"/>
      <c r="T4996" s="41" t="str"/>
      <c r="U4996" s="41" t="str"/>
      <c r="V4996" s="41" t="str"/>
      <c r="W4996" s="41" t="str"/>
    </row>
    <row r="4997">
      <c r="B4997" s="2" t="n"/>
      <c r="C4997" s="40" t="n"/>
      <c r="D4997" s="52">
        <f t="array" ref="D4997:W4997">IF(All_Students_Scores!C4995:V4995="","",All_Students_Scores!C4995:V4995)</f>
        <v/>
      </c>
      <c r="E4997" s="57" t="str"/>
      <c r="F4997" s="49" t="str"/>
      <c r="G4997" s="59" t="str"/>
      <c r="H4997" s="64" t="str"/>
      <c r="I4997" s="65" t="str"/>
      <c r="J4997" s="49" t="str"/>
      <c r="K4997" s="41" t="str"/>
      <c r="L4997" s="41" t="str"/>
      <c r="M4997" s="41" t="str"/>
      <c r="N4997" s="41" t="str"/>
      <c r="O4997" s="41" t="str"/>
      <c r="P4997" s="41" t="str"/>
      <c r="Q4997" s="41" t="str"/>
      <c r="R4997" s="41" t="str"/>
      <c r="S4997" s="41" t="str"/>
      <c r="T4997" s="41" t="str"/>
      <c r="U4997" s="41" t="str"/>
      <c r="V4997" s="41" t="str"/>
      <c r="W4997" s="41" t="str"/>
    </row>
    <row r="4998">
      <c r="B4998" s="2" t="n"/>
      <c r="C4998" s="40" t="n"/>
      <c r="D4998" s="52">
        <f t="array" ref="D4998:W4998">IF(All_Students_Scores!C4996:V4996="","",All_Students_Scores!C4996:V4996)</f>
        <v/>
      </c>
      <c r="E4998" s="57" t="str"/>
      <c r="F4998" s="49" t="str"/>
      <c r="G4998" s="59" t="str"/>
      <c r="H4998" s="64" t="str"/>
      <c r="I4998" s="65" t="str"/>
      <c r="J4998" s="49" t="str"/>
      <c r="K4998" s="41" t="str"/>
      <c r="L4998" s="41" t="str"/>
      <c r="M4998" s="41" t="str"/>
      <c r="N4998" s="41" t="str"/>
      <c r="O4998" s="41" t="str"/>
      <c r="P4998" s="41" t="str"/>
      <c r="Q4998" s="41" t="str"/>
      <c r="R4998" s="41" t="str"/>
      <c r="S4998" s="41" t="str"/>
      <c r="T4998" s="41" t="str"/>
      <c r="U4998" s="41" t="str"/>
      <c r="V4998" s="41" t="str"/>
      <c r="W4998" s="41" t="str"/>
    </row>
    <row r="4999">
      <c r="B4999" s="2" t="n"/>
      <c r="C4999" s="40" t="n"/>
      <c r="D4999" s="52">
        <f t="array" ref="D4999:W4999">IF(All_Students_Scores!C4997:V4997="","",All_Students_Scores!C4997:V4997)</f>
        <v/>
      </c>
      <c r="E4999" s="57" t="str"/>
      <c r="F4999" s="49" t="str"/>
      <c r="G4999" s="59" t="str"/>
      <c r="H4999" s="64" t="str"/>
      <c r="I4999" s="65" t="str"/>
      <c r="J4999" s="49" t="str"/>
      <c r="K4999" s="41" t="str"/>
      <c r="L4999" s="41" t="str"/>
      <c r="M4999" s="41" t="str"/>
      <c r="N4999" s="41" t="str"/>
      <c r="O4999" s="41" t="str"/>
      <c r="P4999" s="41" t="str"/>
      <c r="Q4999" s="41" t="str"/>
      <c r="R4999" s="41" t="str"/>
      <c r="S4999" s="41" t="str"/>
      <c r="T4999" s="41" t="str"/>
      <c r="U4999" s="41" t="str"/>
      <c r="V4999" s="41" t="str"/>
      <c r="W4999" s="41" t="str"/>
    </row>
    <row r="5000">
      <c r="B5000" s="2" t="n"/>
      <c r="C5000" s="40" t="n"/>
      <c r="D5000" s="52">
        <f t="array" ref="D5000:W5000">IF(All_Students_Scores!C4998:V4998="","",All_Students_Scores!C4998:V4998)</f>
        <v/>
      </c>
      <c r="E5000" s="57" t="str"/>
      <c r="F5000" s="49" t="str"/>
      <c r="G5000" s="59" t="str"/>
      <c r="H5000" s="64" t="str"/>
      <c r="I5000" s="65" t="str"/>
      <c r="J5000" s="49" t="str"/>
      <c r="K5000" s="41" t="str"/>
      <c r="L5000" s="41" t="str"/>
      <c r="M5000" s="41" t="str"/>
      <c r="N5000" s="41" t="str"/>
      <c r="O5000" s="41" t="str"/>
      <c r="P5000" s="41" t="str"/>
      <c r="Q5000" s="41" t="str"/>
      <c r="R5000" s="41" t="str"/>
      <c r="S5000" s="41" t="str"/>
      <c r="T5000" s="41" t="str"/>
      <c r="U5000" s="41" t="str"/>
      <c r="V5000" s="41" t="str"/>
      <c r="W5000" s="41" t="str"/>
    </row>
    <row r="5001">
      <c r="B5001" s="2" t="n"/>
      <c r="C5001" s="40" t="n"/>
      <c r="D5001" s="52">
        <f t="array" ref="D5001:W5001">IF(All_Students_Scores!C4999:V4999="","",All_Students_Scores!C4999:V4999)</f>
        <v/>
      </c>
      <c r="E5001" s="57" t="str"/>
      <c r="F5001" s="49" t="str"/>
      <c r="G5001" s="59" t="str"/>
      <c r="H5001" s="64" t="str"/>
      <c r="I5001" s="65" t="str"/>
      <c r="J5001" s="49" t="str"/>
      <c r="K5001" s="41" t="str"/>
      <c r="L5001" s="41" t="str"/>
      <c r="M5001" s="41" t="str"/>
      <c r="N5001" s="41" t="str"/>
      <c r="O5001" s="41" t="str"/>
      <c r="P5001" s="41" t="str"/>
      <c r="Q5001" s="41" t="str"/>
      <c r="R5001" s="41" t="str"/>
      <c r="S5001" s="41" t="str"/>
      <c r="T5001" s="41" t="str"/>
      <c r="U5001" s="41" t="str"/>
      <c r="V5001" s="41" t="str"/>
      <c r="W5001" s="41" t="str"/>
    </row>
    <row r="5002">
      <c r="B5002" s="2" t="n"/>
      <c r="C5002" s="40" t="n"/>
      <c r="D5002" s="52">
        <f t="array" ref="D5002:W5002">IF(All_Students_Scores!C5000:V5000="","",All_Students_Scores!C5000:V5000)</f>
        <v/>
      </c>
      <c r="E5002" s="57" t="str"/>
      <c r="F5002" s="49" t="str"/>
      <c r="G5002" s="59" t="str"/>
      <c r="H5002" s="64" t="str"/>
      <c r="I5002" s="65" t="str"/>
      <c r="J5002" s="49" t="str"/>
      <c r="K5002" s="41" t="str"/>
      <c r="L5002" s="41" t="str"/>
      <c r="M5002" s="41" t="str"/>
      <c r="N5002" s="41" t="str"/>
      <c r="O5002" s="41" t="str"/>
      <c r="P5002" s="41" t="str"/>
      <c r="Q5002" s="41" t="str"/>
      <c r="R5002" s="41" t="str"/>
      <c r="S5002" s="41" t="str"/>
      <c r="T5002" s="41" t="str"/>
      <c r="U5002" s="41" t="str"/>
      <c r="V5002" s="41" t="str"/>
      <c r="W5002" s="41" t="str"/>
    </row>
    <row r="5003">
      <c r="B5003" s="2" t="n"/>
      <c r="C5003" s="40" t="n"/>
      <c r="D5003" s="52">
        <f t="array" ref="D5003:W5003">IF(All_Students_Scores!C5001:V5001="","",All_Students_Scores!C5001:V5001)</f>
        <v/>
      </c>
      <c r="E5003" s="57" t="str"/>
      <c r="F5003" s="49" t="str"/>
      <c r="G5003" s="59" t="str"/>
      <c r="H5003" s="64" t="str"/>
      <c r="I5003" s="65" t="str"/>
      <c r="J5003" s="49" t="str"/>
      <c r="K5003" s="41" t="str"/>
      <c r="L5003" s="41" t="str"/>
      <c r="M5003" s="41" t="str"/>
      <c r="N5003" s="41" t="str"/>
      <c r="O5003" s="41" t="str"/>
      <c r="P5003" s="41" t="str"/>
      <c r="Q5003" s="41" t="str"/>
      <c r="R5003" s="41" t="str"/>
      <c r="S5003" s="41" t="str"/>
      <c r="T5003" s="41" t="str"/>
      <c r="U5003" s="41" t="str"/>
      <c r="V5003" s="41" t="str"/>
      <c r="W5003" s="41" t="str"/>
    </row>
    <row r="5004">
      <c r="B5004" s="2" t="n"/>
      <c r="C5004" s="40" t="n"/>
      <c r="D5004" s="52">
        <f t="array" ref="D5004:W5004">IF(All_Students_Scores!C5002:V5002="","",All_Students_Scores!C5002:V5002)</f>
        <v/>
      </c>
      <c r="E5004" s="57" t="str"/>
      <c r="F5004" s="49" t="str"/>
      <c r="G5004" s="59" t="str"/>
      <c r="H5004" s="64" t="str"/>
      <c r="I5004" s="65" t="str"/>
      <c r="J5004" s="49" t="str"/>
      <c r="K5004" s="41" t="str"/>
      <c r="L5004" s="41" t="str"/>
      <c r="M5004" s="41" t="str"/>
      <c r="N5004" s="41" t="str"/>
      <c r="O5004" s="41" t="str"/>
      <c r="P5004" s="41" t="str"/>
      <c r="Q5004" s="41" t="str"/>
      <c r="R5004" s="41" t="str"/>
      <c r="S5004" s="41" t="str"/>
      <c r="T5004" s="41" t="str"/>
      <c r="U5004" s="41" t="str"/>
      <c r="V5004" s="41" t="str"/>
      <c r="W5004" s="41" t="str"/>
    </row>
    <row r="5005">
      <c r="B5005" s="2" t="n"/>
      <c r="C5005" s="40" t="n"/>
      <c r="D5005" s="52">
        <f t="array" ref="D5005:W5005">IF(All_Students_Scores!C5003:V5003="","",All_Students_Scores!C5003:V5003)</f>
        <v/>
      </c>
      <c r="E5005" s="57" t="str"/>
      <c r="F5005" s="49" t="str"/>
      <c r="G5005" s="59" t="str"/>
      <c r="H5005" s="64" t="str"/>
      <c r="I5005" s="65" t="str"/>
      <c r="J5005" s="49" t="str"/>
      <c r="K5005" s="41" t="str"/>
      <c r="L5005" s="41" t="str"/>
      <c r="M5005" s="41" t="str"/>
      <c r="N5005" s="41" t="str"/>
      <c r="O5005" s="41" t="str"/>
      <c r="P5005" s="41" t="str"/>
      <c r="Q5005" s="41" t="str"/>
      <c r="R5005" s="41" t="str"/>
      <c r="S5005" s="41" t="str"/>
      <c r="T5005" s="41" t="str"/>
      <c r="U5005" s="41" t="str"/>
      <c r="V5005" s="41" t="str"/>
      <c r="W5005" s="41" t="str"/>
    </row>
    <row r="5006">
      <c r="B5006" s="2" t="n"/>
      <c r="C5006" s="40" t="n"/>
      <c r="D5006" s="52">
        <f t="array" ref="D5006:W5006">IF(All_Students_Scores!C5004:V5004="","",All_Students_Scores!C5004:V5004)</f>
        <v/>
      </c>
      <c r="E5006" s="57" t="str"/>
      <c r="F5006" s="49" t="str"/>
      <c r="G5006" s="59" t="str"/>
      <c r="H5006" s="64" t="str"/>
      <c r="I5006" s="65" t="str"/>
      <c r="J5006" s="49" t="str"/>
      <c r="K5006" s="41" t="str"/>
      <c r="L5006" s="41" t="str"/>
      <c r="M5006" s="41" t="str"/>
      <c r="N5006" s="41" t="str"/>
      <c r="O5006" s="41" t="str"/>
      <c r="P5006" s="41" t="str"/>
      <c r="Q5006" s="41" t="str"/>
      <c r="R5006" s="41" t="str"/>
      <c r="S5006" s="41" t="str"/>
      <c r="T5006" s="41" t="str"/>
      <c r="U5006" s="41" t="str"/>
      <c r="V5006" s="41" t="str"/>
      <c r="W5006" s="41" t="str"/>
    </row>
    <row r="5007">
      <c r="B5007" s="2" t="n"/>
      <c r="C5007" s="40" t="n"/>
      <c r="D5007" s="52">
        <f t="array" ref="D5007:W5007">IF(All_Students_Scores!C5005:V5005="","",All_Students_Scores!C5005:V5005)</f>
        <v/>
      </c>
      <c r="E5007" s="57" t="str"/>
      <c r="F5007" s="49" t="str"/>
      <c r="G5007" s="59" t="str"/>
      <c r="H5007" s="64" t="str"/>
      <c r="I5007" s="65" t="str"/>
      <c r="J5007" s="49" t="str"/>
      <c r="K5007" s="41" t="str"/>
      <c r="L5007" s="41" t="str"/>
      <c r="M5007" s="41" t="str"/>
      <c r="N5007" s="41" t="str"/>
      <c r="O5007" s="41" t="str"/>
      <c r="P5007" s="41" t="str"/>
      <c r="Q5007" s="41" t="str"/>
      <c r="R5007" s="41" t="str"/>
      <c r="S5007" s="41" t="str"/>
      <c r="T5007" s="41" t="str"/>
      <c r="U5007" s="41" t="str"/>
      <c r="V5007" s="41" t="str"/>
      <c r="W5007" s="41" t="str"/>
    </row>
    <row r="5008">
      <c r="B5008" s="2" t="n"/>
      <c r="C5008" s="40" t="n"/>
      <c r="D5008" s="52">
        <f t="array" ref="D5008:W5008">IF(All_Students_Scores!C5006:V5006="","",All_Students_Scores!C5006:V5006)</f>
        <v/>
      </c>
      <c r="E5008" s="57" t="str"/>
      <c r="F5008" s="49" t="str"/>
      <c r="G5008" s="59" t="str"/>
      <c r="H5008" s="64" t="str"/>
      <c r="I5008" s="65" t="str"/>
      <c r="J5008" s="49" t="str"/>
      <c r="K5008" s="41" t="str"/>
      <c r="L5008" s="41" t="str"/>
      <c r="M5008" s="41" t="str"/>
      <c r="N5008" s="41" t="str"/>
      <c r="O5008" s="41" t="str"/>
      <c r="P5008" s="41" t="str"/>
      <c r="Q5008" s="41" t="str"/>
      <c r="R5008" s="41" t="str"/>
      <c r="S5008" s="41" t="str"/>
      <c r="T5008" s="41" t="str"/>
      <c r="U5008" s="41" t="str"/>
      <c r="V5008" s="41" t="str"/>
      <c r="W5008" s="41" t="str"/>
    </row>
    <row r="5009">
      <c r="B5009" s="2" t="n"/>
      <c r="C5009" s="40" t="n"/>
      <c r="D5009" s="52">
        <f t="array" ref="D5009:W5009">IF(All_Students_Scores!C5007:V5007="","",All_Students_Scores!C5007:V5007)</f>
        <v/>
      </c>
      <c r="E5009" s="57" t="str"/>
      <c r="F5009" s="49" t="str"/>
      <c r="G5009" s="59" t="str"/>
      <c r="H5009" s="64" t="str"/>
      <c r="I5009" s="65" t="str"/>
      <c r="J5009" s="49" t="str"/>
      <c r="K5009" s="41" t="str"/>
      <c r="L5009" s="41" t="str"/>
      <c r="M5009" s="41" t="str"/>
      <c r="N5009" s="41" t="str"/>
      <c r="O5009" s="41" t="str"/>
      <c r="P5009" s="41" t="str"/>
      <c r="Q5009" s="41" t="str"/>
      <c r="R5009" s="41" t="str"/>
      <c r="S5009" s="41" t="str"/>
      <c r="T5009" s="41" t="str"/>
      <c r="U5009" s="41" t="str"/>
      <c r="V5009" s="41" t="str"/>
      <c r="W5009" s="41" t="str"/>
    </row>
    <row r="5010">
      <c r="B5010" s="2" t="n"/>
      <c r="C5010" s="40" t="n"/>
      <c r="D5010" s="52">
        <f t="array" ref="D5010:W5010">IF(All_Students_Scores!C5008:V5008="","",All_Students_Scores!C5008:V5008)</f>
        <v/>
      </c>
      <c r="E5010" s="57" t="str"/>
      <c r="F5010" s="49" t="str"/>
      <c r="G5010" s="59" t="str"/>
      <c r="H5010" s="64" t="str"/>
      <c r="I5010" s="65" t="str"/>
      <c r="J5010" s="49" t="str"/>
      <c r="K5010" s="41" t="str"/>
      <c r="L5010" s="41" t="str"/>
      <c r="M5010" s="41" t="str"/>
      <c r="N5010" s="41" t="str"/>
      <c r="O5010" s="41" t="str"/>
      <c r="P5010" s="41" t="str"/>
      <c r="Q5010" s="41" t="str"/>
      <c r="R5010" s="41" t="str"/>
      <c r="S5010" s="41" t="str"/>
      <c r="T5010" s="41" t="str"/>
      <c r="U5010" s="41" t="str"/>
      <c r="V5010" s="41" t="str"/>
      <c r="W5010" s="41" t="str"/>
    </row>
    <row r="5011">
      <c r="B5011" s="2" t="n"/>
      <c r="C5011" s="40" t="n"/>
      <c r="D5011" s="52">
        <f t="array" ref="D5011:W5011">IF(All_Students_Scores!C5009:V5009="","",All_Students_Scores!C5009:V5009)</f>
        <v/>
      </c>
      <c r="E5011" s="57" t="str"/>
      <c r="F5011" s="49" t="str"/>
      <c r="G5011" s="59" t="str"/>
      <c r="H5011" s="64" t="str"/>
      <c r="I5011" s="65" t="str"/>
      <c r="J5011" s="49" t="str"/>
      <c r="K5011" s="41" t="str"/>
      <c r="L5011" s="41" t="str"/>
      <c r="M5011" s="41" t="str"/>
      <c r="N5011" s="41" t="str"/>
      <c r="O5011" s="41" t="str"/>
      <c r="P5011" s="41" t="str"/>
      <c r="Q5011" s="41" t="str"/>
      <c r="R5011" s="41" t="str"/>
      <c r="S5011" s="41" t="str"/>
      <c r="T5011" s="41" t="str"/>
      <c r="U5011" s="41" t="str"/>
      <c r="V5011" s="41" t="str"/>
      <c r="W5011" s="41" t="str"/>
    </row>
    <row r="5012">
      <c r="B5012" s="2" t="n"/>
      <c r="C5012" s="40" t="n"/>
      <c r="D5012" s="52">
        <f t="array" ref="D5012:W5012">IF(All_Students_Scores!C5010:V5010="","",All_Students_Scores!C5010:V5010)</f>
        <v/>
      </c>
      <c r="E5012" s="57" t="str"/>
      <c r="F5012" s="49" t="str"/>
      <c r="G5012" s="59" t="str"/>
      <c r="H5012" s="64" t="str"/>
      <c r="I5012" s="65" t="str"/>
      <c r="J5012" s="49" t="str"/>
      <c r="K5012" s="41" t="str"/>
      <c r="L5012" s="41" t="str"/>
      <c r="M5012" s="41" t="str"/>
      <c r="N5012" s="41" t="str"/>
      <c r="O5012" s="41" t="str"/>
      <c r="P5012" s="41" t="str"/>
      <c r="Q5012" s="41" t="str"/>
      <c r="R5012" s="41" t="str"/>
      <c r="S5012" s="41" t="str"/>
      <c r="T5012" s="41" t="str"/>
      <c r="U5012" s="41" t="str"/>
      <c r="V5012" s="41" t="str"/>
      <c r="W5012" s="41" t="str"/>
    </row>
    <row r="5013">
      <c r="B5013" s="2" t="n"/>
      <c r="C5013" s="40" t="n"/>
      <c r="D5013" s="52">
        <f t="array" ref="D5013:W5013">IF(All_Students_Scores!C5011:V5011="","",All_Students_Scores!C5011:V5011)</f>
        <v/>
      </c>
      <c r="E5013" s="57" t="str"/>
      <c r="F5013" s="49" t="str"/>
      <c r="G5013" s="59" t="str"/>
      <c r="H5013" s="64" t="str"/>
      <c r="I5013" s="65" t="str"/>
      <c r="J5013" s="49" t="str"/>
      <c r="K5013" s="41" t="str"/>
      <c r="L5013" s="41" t="str"/>
      <c r="M5013" s="41" t="str"/>
      <c r="N5013" s="41" t="str"/>
      <c r="O5013" s="41" t="str"/>
      <c r="P5013" s="41" t="str"/>
      <c r="Q5013" s="41" t="str"/>
      <c r="R5013" s="41" t="str"/>
      <c r="S5013" s="41" t="str"/>
      <c r="T5013" s="41" t="str"/>
      <c r="U5013" s="41" t="str"/>
      <c r="V5013" s="41" t="str"/>
      <c r="W5013" s="41" t="str"/>
    </row>
    <row r="5014">
      <c r="B5014" s="2" t="n"/>
      <c r="C5014" s="40" t="n"/>
      <c r="D5014" s="52">
        <f t="array" ref="D5014:W5014">IF(All_Students_Scores!C5012:V5012="","",All_Students_Scores!C5012:V5012)</f>
        <v/>
      </c>
      <c r="E5014" s="57" t="str"/>
      <c r="F5014" s="49" t="str"/>
      <c r="G5014" s="59" t="str"/>
      <c r="H5014" s="64" t="str"/>
      <c r="I5014" s="65" t="str"/>
      <c r="J5014" s="49" t="str"/>
      <c r="K5014" s="41" t="str"/>
      <c r="L5014" s="41" t="str"/>
      <c r="M5014" s="41" t="str"/>
      <c r="N5014" s="41" t="str"/>
      <c r="O5014" s="41" t="str"/>
      <c r="P5014" s="41" t="str"/>
      <c r="Q5014" s="41" t="str"/>
      <c r="R5014" s="41" t="str"/>
      <c r="S5014" s="41" t="str"/>
      <c r="T5014" s="41" t="str"/>
      <c r="U5014" s="41" t="str"/>
      <c r="V5014" s="41" t="str"/>
      <c r="W5014" s="41" t="str"/>
    </row>
    <row r="5015">
      <c r="B5015" s="2" t="n"/>
      <c r="C5015" s="40" t="n"/>
      <c r="D5015" s="52">
        <f t="array" ref="D5015:W5015">IF(All_Students_Scores!C5013:V5013="","",All_Students_Scores!C5013:V5013)</f>
        <v/>
      </c>
      <c r="E5015" s="57" t="str"/>
      <c r="F5015" s="49" t="str"/>
      <c r="G5015" s="59" t="str"/>
      <c r="H5015" s="64" t="str"/>
      <c r="I5015" s="65" t="str"/>
      <c r="J5015" s="49" t="str"/>
      <c r="K5015" s="41" t="str"/>
      <c r="L5015" s="41" t="str"/>
      <c r="M5015" s="41" t="str"/>
      <c r="N5015" s="41" t="str"/>
      <c r="O5015" s="41" t="str"/>
      <c r="P5015" s="41" t="str"/>
      <c r="Q5015" s="41" t="str"/>
      <c r="R5015" s="41" t="str"/>
      <c r="S5015" s="41" t="str"/>
      <c r="T5015" s="41" t="str"/>
      <c r="U5015" s="41" t="str"/>
      <c r="V5015" s="41" t="str"/>
      <c r="W5015" s="41" t="str"/>
    </row>
    <row r="5016">
      <c r="B5016" s="2" t="n"/>
      <c r="C5016" s="40" t="n"/>
      <c r="D5016" s="52">
        <f t="array" ref="D5016:W5016">IF(All_Students_Scores!C5014:V5014="","",All_Students_Scores!C5014:V5014)</f>
        <v/>
      </c>
      <c r="E5016" s="57" t="str"/>
      <c r="F5016" s="49" t="str"/>
      <c r="G5016" s="59" t="str"/>
      <c r="H5016" s="64" t="str"/>
      <c r="I5016" s="65" t="str"/>
      <c r="J5016" s="49" t="str"/>
      <c r="K5016" s="41" t="str"/>
      <c r="L5016" s="41" t="str"/>
      <c r="M5016" s="41" t="str"/>
      <c r="N5016" s="41" t="str"/>
      <c r="O5016" s="41" t="str"/>
      <c r="P5016" s="41" t="str"/>
      <c r="Q5016" s="41" t="str"/>
      <c r="R5016" s="41" t="str"/>
      <c r="S5016" s="41" t="str"/>
      <c r="T5016" s="41" t="str"/>
      <c r="U5016" s="41" t="str"/>
      <c r="V5016" s="41" t="str"/>
      <c r="W5016" s="41" t="str"/>
    </row>
    <row r="5017">
      <c r="B5017" s="2" t="n"/>
      <c r="C5017" s="40" t="n"/>
      <c r="D5017" s="52">
        <f t="array" ref="D5017:W5017">IF(All_Students_Scores!C5015:V5015="","",All_Students_Scores!C5015:V5015)</f>
        <v/>
      </c>
      <c r="E5017" s="57" t="str"/>
      <c r="F5017" s="49" t="str"/>
      <c r="G5017" s="59" t="str"/>
      <c r="H5017" s="64" t="str"/>
      <c r="I5017" s="65" t="str"/>
      <c r="J5017" s="49" t="str"/>
      <c r="K5017" s="41" t="str"/>
      <c r="L5017" s="41" t="str"/>
      <c r="M5017" s="41" t="str"/>
      <c r="N5017" s="41" t="str"/>
      <c r="O5017" s="41" t="str"/>
      <c r="P5017" s="41" t="str"/>
      <c r="Q5017" s="41" t="str"/>
      <c r="R5017" s="41" t="str"/>
      <c r="S5017" s="41" t="str"/>
      <c r="T5017" s="41" t="str"/>
      <c r="U5017" s="41" t="str"/>
      <c r="V5017" s="41" t="str"/>
      <c r="W5017" s="41" t="str"/>
    </row>
    <row r="5018">
      <c r="B5018" s="2" t="n"/>
      <c r="C5018" s="40" t="n"/>
      <c r="D5018" s="52">
        <f t="array" ref="D5018:W5018">IF(All_Students_Scores!C5016:V5016="","",All_Students_Scores!C5016:V5016)</f>
        <v/>
      </c>
      <c r="E5018" s="57" t="str"/>
      <c r="F5018" s="49" t="str"/>
      <c r="G5018" s="59" t="str"/>
      <c r="H5018" s="64" t="str"/>
      <c r="I5018" s="65" t="str"/>
      <c r="J5018" s="49" t="str"/>
      <c r="K5018" s="41" t="str"/>
      <c r="L5018" s="41" t="str"/>
      <c r="M5018" s="41" t="str"/>
      <c r="N5018" s="41" t="str"/>
      <c r="O5018" s="41" t="str"/>
      <c r="P5018" s="41" t="str"/>
      <c r="Q5018" s="41" t="str"/>
      <c r="R5018" s="41" t="str"/>
      <c r="S5018" s="41" t="str"/>
      <c r="T5018" s="41" t="str"/>
      <c r="U5018" s="41" t="str"/>
      <c r="V5018" s="41" t="str"/>
      <c r="W5018" s="41" t="str"/>
    </row>
    <row r="5019">
      <c r="B5019" s="2" t="n"/>
      <c r="C5019" s="40" t="n"/>
      <c r="D5019" s="52">
        <f t="array" ref="D5019:W5019">IF(All_Students_Scores!C5017:V5017="","",All_Students_Scores!C5017:V5017)</f>
        <v/>
      </c>
      <c r="E5019" s="57" t="str"/>
      <c r="F5019" s="49" t="str"/>
      <c r="G5019" s="59" t="str"/>
      <c r="H5019" s="64" t="str"/>
      <c r="I5019" s="65" t="str"/>
      <c r="J5019" s="49" t="str"/>
      <c r="K5019" s="41" t="str"/>
      <c r="L5019" s="41" t="str"/>
      <c r="M5019" s="41" t="str"/>
      <c r="N5019" s="41" t="str"/>
      <c r="O5019" s="41" t="str"/>
      <c r="P5019" s="41" t="str"/>
      <c r="Q5019" s="41" t="str"/>
      <c r="R5019" s="41" t="str"/>
      <c r="S5019" s="41" t="str"/>
      <c r="T5019" s="41" t="str"/>
      <c r="U5019" s="41" t="str"/>
      <c r="V5019" s="41" t="str"/>
      <c r="W5019" s="41" t="str"/>
    </row>
    <row r="5020">
      <c r="B5020" s="2" t="n"/>
      <c r="C5020" s="40" t="n"/>
      <c r="D5020" s="52">
        <f t="array" ref="D5020:W5020">IF(All_Students_Scores!C5018:V5018="","",All_Students_Scores!C5018:V5018)</f>
        <v/>
      </c>
      <c r="E5020" s="57" t="str"/>
      <c r="F5020" s="49" t="str"/>
      <c r="G5020" s="59" t="str"/>
      <c r="H5020" s="64" t="str"/>
      <c r="I5020" s="65" t="str"/>
      <c r="J5020" s="49" t="str"/>
      <c r="K5020" s="41" t="str"/>
      <c r="L5020" s="41" t="str"/>
      <c r="M5020" s="41" t="str"/>
      <c r="N5020" s="41" t="str"/>
      <c r="O5020" s="41" t="str"/>
      <c r="P5020" s="41" t="str"/>
      <c r="Q5020" s="41" t="str"/>
      <c r="R5020" s="41" t="str"/>
      <c r="S5020" s="41" t="str"/>
      <c r="T5020" s="41" t="str"/>
      <c r="U5020" s="41" t="str"/>
      <c r="V5020" s="41" t="str"/>
      <c r="W5020" s="41" t="str"/>
    </row>
    <row r="5021">
      <c r="B5021" s="2" t="n"/>
      <c r="C5021" s="40" t="n"/>
      <c r="D5021" s="52">
        <f t="array" ref="D5021:W5021">IF(All_Students_Scores!C5019:V5019="","",All_Students_Scores!C5019:V5019)</f>
        <v/>
      </c>
      <c r="E5021" s="57" t="str"/>
      <c r="F5021" s="49" t="str"/>
      <c r="G5021" s="59" t="str"/>
      <c r="H5021" s="64" t="str"/>
      <c r="I5021" s="65" t="str"/>
      <c r="J5021" s="49" t="str"/>
      <c r="K5021" s="41" t="str"/>
      <c r="L5021" s="41" t="str"/>
      <c r="M5021" s="41" t="str"/>
      <c r="N5021" s="41" t="str"/>
      <c r="O5021" s="41" t="str"/>
      <c r="P5021" s="41" t="str"/>
      <c r="Q5021" s="41" t="str"/>
      <c r="R5021" s="41" t="str"/>
      <c r="S5021" s="41" t="str"/>
      <c r="T5021" s="41" t="str"/>
      <c r="U5021" s="41" t="str"/>
      <c r="V5021" s="41" t="str"/>
      <c r="W5021" s="41" t="str"/>
    </row>
    <row r="5022">
      <c r="B5022" s="2" t="n"/>
      <c r="C5022" s="40" t="n"/>
      <c r="D5022" s="52">
        <f t="array" ref="D5022:W5022">IF(All_Students_Scores!C5020:V5020="","",All_Students_Scores!C5020:V5020)</f>
        <v/>
      </c>
      <c r="E5022" s="57" t="str"/>
      <c r="F5022" s="49" t="str"/>
      <c r="G5022" s="59" t="str"/>
      <c r="H5022" s="64" t="str"/>
      <c r="I5022" s="65" t="str"/>
      <c r="J5022" s="49" t="str"/>
      <c r="K5022" s="41" t="str"/>
      <c r="L5022" s="41" t="str"/>
      <c r="M5022" s="41" t="str"/>
      <c r="N5022" s="41" t="str"/>
      <c r="O5022" s="41" t="str"/>
      <c r="P5022" s="41" t="str"/>
      <c r="Q5022" s="41" t="str"/>
      <c r="R5022" s="41" t="str"/>
      <c r="S5022" s="41" t="str"/>
      <c r="T5022" s="41" t="str"/>
      <c r="U5022" s="41" t="str"/>
      <c r="V5022" s="41" t="str"/>
      <c r="W5022" s="41" t="str"/>
    </row>
    <row r="5023">
      <c r="B5023" s="2" t="n"/>
      <c r="C5023" s="40" t="n"/>
      <c r="D5023" s="52">
        <f t="array" ref="D5023:W5023">IF(All_Students_Scores!C5021:V5021="","",All_Students_Scores!C5021:V5021)</f>
        <v/>
      </c>
      <c r="E5023" s="57" t="str"/>
      <c r="F5023" s="49" t="str"/>
      <c r="G5023" s="59" t="str"/>
      <c r="H5023" s="64" t="str"/>
      <c r="I5023" s="65" t="str"/>
      <c r="J5023" s="49" t="str"/>
      <c r="K5023" s="41" t="str"/>
      <c r="L5023" s="41" t="str"/>
      <c r="M5023" s="41" t="str"/>
      <c r="N5023" s="41" t="str"/>
      <c r="O5023" s="41" t="str"/>
      <c r="P5023" s="41" t="str"/>
      <c r="Q5023" s="41" t="str"/>
      <c r="R5023" s="41" t="str"/>
      <c r="S5023" s="41" t="str"/>
      <c r="T5023" s="41" t="str"/>
      <c r="U5023" s="41" t="str"/>
      <c r="V5023" s="41" t="str"/>
      <c r="W5023" s="41" t="str"/>
    </row>
    <row r="5024">
      <c r="B5024" s="2" t="n"/>
      <c r="C5024" s="40" t="n"/>
      <c r="D5024" s="52">
        <f t="array" ref="D5024:W5024">IF(All_Students_Scores!C5022:V5022="","",All_Students_Scores!C5022:V5022)</f>
        <v/>
      </c>
      <c r="E5024" s="57" t="str"/>
      <c r="F5024" s="49" t="str"/>
      <c r="G5024" s="59" t="str"/>
      <c r="H5024" s="64" t="str"/>
      <c r="I5024" s="65" t="str"/>
      <c r="J5024" s="49" t="str"/>
      <c r="K5024" s="41" t="str"/>
      <c r="L5024" s="41" t="str"/>
      <c r="M5024" s="41" t="str"/>
      <c r="N5024" s="41" t="str"/>
      <c r="O5024" s="41" t="str"/>
      <c r="P5024" s="41" t="str"/>
      <c r="Q5024" s="41" t="str"/>
      <c r="R5024" s="41" t="str"/>
      <c r="S5024" s="41" t="str"/>
      <c r="T5024" s="41" t="str"/>
      <c r="U5024" s="41" t="str"/>
      <c r="V5024" s="41" t="str"/>
      <c r="W5024" s="41" t="str"/>
    </row>
    <row r="5025">
      <c r="B5025" s="2" t="n"/>
      <c r="C5025" s="40" t="n"/>
      <c r="D5025" s="52">
        <f t="array" ref="D5025:W5025">IF(All_Students_Scores!C5023:V5023="","",All_Students_Scores!C5023:V5023)</f>
        <v/>
      </c>
      <c r="E5025" s="57" t="str"/>
      <c r="F5025" s="49" t="str"/>
      <c r="G5025" s="59" t="str"/>
      <c r="H5025" s="64" t="str"/>
      <c r="I5025" s="65" t="str"/>
      <c r="J5025" s="49" t="str"/>
      <c r="K5025" s="41" t="str"/>
      <c r="L5025" s="41" t="str"/>
      <c r="M5025" s="41" t="str"/>
      <c r="N5025" s="41" t="str"/>
      <c r="O5025" s="41" t="str"/>
      <c r="P5025" s="41" t="str"/>
      <c r="Q5025" s="41" t="str"/>
      <c r="R5025" s="41" t="str"/>
      <c r="S5025" s="41" t="str"/>
      <c r="T5025" s="41" t="str"/>
      <c r="U5025" s="41" t="str"/>
      <c r="V5025" s="41" t="str"/>
      <c r="W5025" s="41" t="str"/>
    </row>
    <row r="5026">
      <c r="B5026" s="2" t="n"/>
      <c r="C5026" s="40" t="n"/>
      <c r="D5026" s="52">
        <f t="array" ref="D5026:W5026">IF(All_Students_Scores!C5024:V5024="","",All_Students_Scores!C5024:V5024)</f>
        <v/>
      </c>
      <c r="E5026" s="57" t="str"/>
      <c r="F5026" s="49" t="str"/>
      <c r="G5026" s="59" t="str"/>
      <c r="H5026" s="64" t="str"/>
      <c r="I5026" s="65" t="str"/>
      <c r="J5026" s="49" t="str"/>
      <c r="K5026" s="41" t="str"/>
      <c r="L5026" s="41" t="str"/>
      <c r="M5026" s="41" t="str"/>
      <c r="N5026" s="41" t="str"/>
      <c r="O5026" s="41" t="str"/>
      <c r="P5026" s="41" t="str"/>
      <c r="Q5026" s="41" t="str"/>
      <c r="R5026" s="41" t="str"/>
      <c r="S5026" s="41" t="str"/>
      <c r="T5026" s="41" t="str"/>
      <c r="U5026" s="41" t="str"/>
      <c r="V5026" s="41" t="str"/>
      <c r="W5026" s="41" t="str"/>
    </row>
    <row r="5027">
      <c r="B5027" s="2" t="n"/>
      <c r="C5027" s="40" t="n"/>
      <c r="D5027" s="52">
        <f t="array" ref="D5027:W5027">IF(All_Students_Scores!C5025:V5025="","",All_Students_Scores!C5025:V5025)</f>
        <v/>
      </c>
      <c r="E5027" s="57" t="str"/>
      <c r="F5027" s="49" t="str"/>
      <c r="G5027" s="59" t="str"/>
      <c r="H5027" s="64" t="str"/>
      <c r="I5027" s="65" t="str"/>
      <c r="J5027" s="49" t="str"/>
      <c r="K5027" s="41" t="str"/>
      <c r="L5027" s="41" t="str"/>
      <c r="M5027" s="41" t="str"/>
      <c r="N5027" s="41" t="str"/>
      <c r="O5027" s="41" t="str"/>
      <c r="P5027" s="41" t="str"/>
      <c r="Q5027" s="41" t="str"/>
      <c r="R5027" s="41" t="str"/>
      <c r="S5027" s="41" t="str"/>
      <c r="T5027" s="41" t="str"/>
      <c r="U5027" s="41" t="str"/>
      <c r="V5027" s="41" t="str"/>
      <c r="W5027" s="41" t="str"/>
    </row>
    <row r="5028">
      <c r="B5028" s="2" t="n"/>
      <c r="C5028" s="40" t="n"/>
      <c r="D5028" s="52">
        <f t="array" ref="D5028:W5028">IF(All_Students_Scores!C5026:V5026="","",All_Students_Scores!C5026:V5026)</f>
        <v/>
      </c>
      <c r="E5028" s="57" t="str"/>
      <c r="F5028" s="49" t="str"/>
      <c r="G5028" s="59" t="str"/>
      <c r="H5028" s="64" t="str"/>
      <c r="I5028" s="65" t="str"/>
      <c r="J5028" s="49" t="str"/>
      <c r="K5028" s="41" t="str"/>
      <c r="L5028" s="41" t="str"/>
      <c r="M5028" s="41" t="str"/>
      <c r="N5028" s="41" t="str"/>
      <c r="O5028" s="41" t="str"/>
      <c r="P5028" s="41" t="str"/>
      <c r="Q5028" s="41" t="str"/>
      <c r="R5028" s="41" t="str"/>
      <c r="S5028" s="41" t="str"/>
      <c r="T5028" s="41" t="str"/>
      <c r="U5028" s="41" t="str"/>
      <c r="V5028" s="41" t="str"/>
      <c r="W5028" s="41" t="str"/>
    </row>
    <row r="5029">
      <c r="B5029" s="2" t="n"/>
      <c r="C5029" s="40" t="n"/>
      <c r="D5029" s="52">
        <f t="array" ref="D5029:W5029">IF(All_Students_Scores!C5027:V5027="","",All_Students_Scores!C5027:V5027)</f>
        <v/>
      </c>
      <c r="E5029" s="57" t="str"/>
      <c r="F5029" s="49" t="str"/>
      <c r="G5029" s="59" t="str"/>
      <c r="H5029" s="64" t="str"/>
      <c r="I5029" s="65" t="str"/>
      <c r="J5029" s="49" t="str"/>
      <c r="K5029" s="41" t="str"/>
      <c r="L5029" s="41" t="str"/>
      <c r="M5029" s="41" t="str"/>
      <c r="N5029" s="41" t="str"/>
      <c r="O5029" s="41" t="str"/>
      <c r="P5029" s="41" t="str"/>
      <c r="Q5029" s="41" t="str"/>
      <c r="R5029" s="41" t="str"/>
      <c r="S5029" s="41" t="str"/>
      <c r="T5029" s="41" t="str"/>
      <c r="U5029" s="41" t="str"/>
      <c r="V5029" s="41" t="str"/>
      <c r="W5029" s="41" t="str"/>
    </row>
    <row r="5030">
      <c r="B5030" s="2" t="n"/>
      <c r="C5030" s="40" t="n"/>
      <c r="D5030" s="52">
        <f t="array" ref="D5030:W5030">IF(All_Students_Scores!C5028:V5028="","",All_Students_Scores!C5028:V5028)</f>
        <v/>
      </c>
      <c r="E5030" s="57" t="str"/>
      <c r="F5030" s="49" t="str"/>
      <c r="G5030" s="59" t="str"/>
      <c r="H5030" s="64" t="str"/>
      <c r="I5030" s="65" t="str"/>
      <c r="J5030" s="49" t="str"/>
      <c r="K5030" s="41" t="str"/>
      <c r="L5030" s="41" t="str"/>
      <c r="M5030" s="41" t="str"/>
      <c r="N5030" s="41" t="str"/>
      <c r="O5030" s="41" t="str"/>
      <c r="P5030" s="41" t="str"/>
      <c r="Q5030" s="41" t="str"/>
      <c r="R5030" s="41" t="str"/>
      <c r="S5030" s="41" t="str"/>
      <c r="T5030" s="41" t="str"/>
      <c r="U5030" s="41" t="str"/>
      <c r="V5030" s="41" t="str"/>
      <c r="W5030" s="41" t="str"/>
    </row>
    <row r="5031">
      <c r="B5031" s="2" t="n"/>
      <c r="C5031" s="40" t="n"/>
      <c r="D5031" s="52">
        <f t="array" ref="D5031:W5031">IF(All_Students_Scores!C5029:V5029="","",All_Students_Scores!C5029:V5029)</f>
        <v/>
      </c>
      <c r="E5031" s="57" t="str"/>
      <c r="F5031" s="49" t="str"/>
      <c r="G5031" s="59" t="str"/>
      <c r="H5031" s="64" t="str"/>
      <c r="I5031" s="65" t="str"/>
      <c r="J5031" s="49" t="str"/>
      <c r="K5031" s="41" t="str"/>
      <c r="L5031" s="41" t="str"/>
      <c r="M5031" s="41" t="str"/>
      <c r="N5031" s="41" t="str"/>
      <c r="O5031" s="41" t="str"/>
      <c r="P5031" s="41" t="str"/>
      <c r="Q5031" s="41" t="str"/>
      <c r="R5031" s="41" t="str"/>
      <c r="S5031" s="41" t="str"/>
      <c r="T5031" s="41" t="str"/>
      <c r="U5031" s="41" t="str"/>
      <c r="V5031" s="41" t="str"/>
      <c r="W5031" s="41" t="str"/>
    </row>
    <row r="5032">
      <c r="B5032" s="2" t="n"/>
      <c r="C5032" s="40" t="n"/>
      <c r="D5032" s="52">
        <f t="array" ref="D5032:W5032">IF(All_Students_Scores!C5030:V5030="","",All_Students_Scores!C5030:V5030)</f>
        <v/>
      </c>
      <c r="E5032" s="57" t="str"/>
      <c r="F5032" s="49" t="str"/>
      <c r="G5032" s="59" t="str"/>
      <c r="H5032" s="64" t="str"/>
      <c r="I5032" s="65" t="str"/>
      <c r="J5032" s="49" t="str"/>
      <c r="K5032" s="41" t="str"/>
      <c r="L5032" s="41" t="str"/>
      <c r="M5032" s="41" t="str"/>
      <c r="N5032" s="41" t="str"/>
      <c r="O5032" s="41" t="str"/>
      <c r="P5032" s="41" t="str"/>
      <c r="Q5032" s="41" t="str"/>
      <c r="R5032" s="41" t="str"/>
      <c r="S5032" s="41" t="str"/>
      <c r="T5032" s="41" t="str"/>
      <c r="U5032" s="41" t="str"/>
      <c r="V5032" s="41" t="str"/>
      <c r="W5032" s="41" t="str"/>
    </row>
    <row r="5033">
      <c r="B5033" s="2" t="n"/>
      <c r="C5033" s="40" t="n"/>
      <c r="D5033" s="52">
        <f t="array" ref="D5033:W5033">IF(All_Students_Scores!C5031:V5031="","",All_Students_Scores!C5031:V5031)</f>
        <v/>
      </c>
      <c r="E5033" s="57" t="str"/>
      <c r="F5033" s="49" t="str"/>
      <c r="G5033" s="59" t="str"/>
      <c r="H5033" s="64" t="str"/>
      <c r="I5033" s="65" t="str"/>
      <c r="J5033" s="49" t="str"/>
      <c r="K5033" s="41" t="str"/>
      <c r="L5033" s="41" t="str"/>
      <c r="M5033" s="41" t="str"/>
      <c r="N5033" s="41" t="str"/>
      <c r="O5033" s="41" t="str"/>
      <c r="P5033" s="41" t="str"/>
      <c r="Q5033" s="41" t="str"/>
      <c r="R5033" s="41" t="str"/>
      <c r="S5033" s="41" t="str"/>
      <c r="T5033" s="41" t="str"/>
      <c r="U5033" s="41" t="str"/>
      <c r="V5033" s="41" t="str"/>
      <c r="W5033" s="41" t="str"/>
    </row>
    <row r="5034">
      <c r="B5034" s="2" t="n"/>
      <c r="C5034" s="40" t="n"/>
      <c r="D5034" s="52">
        <f t="array" ref="D5034:W5034">IF(All_Students_Scores!C5032:V5032="","",All_Students_Scores!C5032:V5032)</f>
        <v/>
      </c>
      <c r="E5034" s="57" t="str"/>
      <c r="F5034" s="49" t="str"/>
      <c r="G5034" s="59" t="str"/>
      <c r="H5034" s="64" t="str"/>
      <c r="I5034" s="65" t="str"/>
      <c r="J5034" s="49" t="str"/>
      <c r="K5034" s="41" t="str"/>
      <c r="L5034" s="41" t="str"/>
      <c r="M5034" s="41" t="str"/>
      <c r="N5034" s="41" t="str"/>
      <c r="O5034" s="41" t="str"/>
      <c r="P5034" s="41" t="str"/>
      <c r="Q5034" s="41" t="str"/>
      <c r="R5034" s="41" t="str"/>
      <c r="S5034" s="41" t="str"/>
      <c r="T5034" s="41" t="str"/>
      <c r="U5034" s="41" t="str"/>
      <c r="V5034" s="41" t="str"/>
      <c r="W5034" s="41" t="str"/>
    </row>
    <row r="5035">
      <c r="B5035" s="2" t="n"/>
      <c r="C5035" s="40" t="n"/>
      <c r="D5035" s="52">
        <f t="array" ref="D5035:W5035">IF(All_Students_Scores!C5033:V5033="","",All_Students_Scores!C5033:V5033)</f>
        <v/>
      </c>
      <c r="E5035" s="57" t="str"/>
      <c r="F5035" s="49" t="str"/>
      <c r="G5035" s="59" t="str"/>
      <c r="H5035" s="64" t="str"/>
      <c r="I5035" s="65" t="str"/>
      <c r="J5035" s="49" t="str"/>
      <c r="K5035" s="41" t="str"/>
      <c r="L5035" s="41" t="str"/>
      <c r="M5035" s="41" t="str"/>
      <c r="N5035" s="41" t="str"/>
      <c r="O5035" s="41" t="str"/>
      <c r="P5035" s="41" t="str"/>
      <c r="Q5035" s="41" t="str"/>
      <c r="R5035" s="41" t="str"/>
      <c r="S5035" s="41" t="str"/>
      <c r="T5035" s="41" t="str"/>
      <c r="U5035" s="41" t="str"/>
      <c r="V5035" s="41" t="str"/>
      <c r="W5035" s="41" t="str"/>
    </row>
    <row r="5036">
      <c r="B5036" s="2" t="n"/>
      <c r="C5036" s="40" t="n"/>
      <c r="D5036" s="52">
        <f t="array" ref="D5036:W5036">IF(All_Students_Scores!C5034:V5034="","",All_Students_Scores!C5034:V5034)</f>
        <v/>
      </c>
      <c r="E5036" s="57" t="str"/>
      <c r="F5036" s="49" t="str"/>
      <c r="G5036" s="59" t="str"/>
      <c r="H5036" s="64" t="str"/>
      <c r="I5036" s="65" t="str"/>
      <c r="J5036" s="49" t="str"/>
      <c r="K5036" s="41" t="str"/>
      <c r="L5036" s="41" t="str"/>
      <c r="M5036" s="41" t="str"/>
      <c r="N5036" s="41" t="str"/>
      <c r="O5036" s="41" t="str"/>
      <c r="P5036" s="41" t="str"/>
      <c r="Q5036" s="41" t="str"/>
      <c r="R5036" s="41" t="str"/>
      <c r="S5036" s="41" t="str"/>
      <c r="T5036" s="41" t="str"/>
      <c r="U5036" s="41" t="str"/>
      <c r="V5036" s="41" t="str"/>
      <c r="W5036" s="41" t="str"/>
    </row>
    <row r="5037">
      <c r="B5037" s="2" t="n"/>
      <c r="C5037" s="40" t="n"/>
      <c r="D5037" s="52">
        <f t="array" ref="D5037:W5037">IF(All_Students_Scores!C5035:V5035="","",All_Students_Scores!C5035:V5035)</f>
        <v/>
      </c>
      <c r="E5037" s="57" t="str"/>
      <c r="F5037" s="49" t="str"/>
      <c r="G5037" s="59" t="str"/>
      <c r="H5037" s="64" t="str"/>
      <c r="I5037" s="65" t="str"/>
      <c r="J5037" s="49" t="str"/>
      <c r="K5037" s="41" t="str"/>
      <c r="L5037" s="41" t="str"/>
      <c r="M5037" s="41" t="str"/>
      <c r="N5037" s="41" t="str"/>
      <c r="O5037" s="41" t="str"/>
      <c r="P5037" s="41" t="str"/>
      <c r="Q5037" s="41" t="str"/>
      <c r="R5037" s="41" t="str"/>
      <c r="S5037" s="41" t="str"/>
      <c r="T5037" s="41" t="str"/>
      <c r="U5037" s="41" t="str"/>
      <c r="V5037" s="41" t="str"/>
      <c r="W5037" s="41" t="str"/>
    </row>
    <row r="5038">
      <c r="B5038" s="2" t="n"/>
      <c r="C5038" s="40" t="n"/>
      <c r="D5038" s="52">
        <f t="array" ref="D5038:W5038">IF(All_Students_Scores!C5036:V5036="","",All_Students_Scores!C5036:V5036)</f>
        <v/>
      </c>
      <c r="E5038" s="57" t="str"/>
      <c r="F5038" s="49" t="str"/>
      <c r="G5038" s="59" t="str"/>
      <c r="H5038" s="64" t="str"/>
      <c r="I5038" s="65" t="str"/>
      <c r="J5038" s="49" t="str"/>
      <c r="K5038" s="41" t="str"/>
      <c r="L5038" s="41" t="str"/>
      <c r="M5038" s="41" t="str"/>
      <c r="N5038" s="41" t="str"/>
      <c r="O5038" s="41" t="str"/>
      <c r="P5038" s="41" t="str"/>
      <c r="Q5038" s="41" t="str"/>
      <c r="R5038" s="41" t="str"/>
      <c r="S5038" s="41" t="str"/>
      <c r="T5038" s="41" t="str"/>
      <c r="U5038" s="41" t="str"/>
      <c r="V5038" s="41" t="str"/>
      <c r="W5038" s="41" t="str"/>
    </row>
    <row r="5039">
      <c r="B5039" s="2" t="n"/>
      <c r="C5039" s="40" t="n"/>
      <c r="D5039" s="52">
        <f t="array" ref="D5039:W5039">IF(All_Students_Scores!C5037:V5037="","",All_Students_Scores!C5037:V5037)</f>
        <v/>
      </c>
      <c r="E5039" s="57" t="str"/>
      <c r="F5039" s="49" t="str"/>
      <c r="G5039" s="59" t="str"/>
      <c r="H5039" s="64" t="str"/>
      <c r="I5039" s="65" t="str"/>
      <c r="J5039" s="49" t="str"/>
      <c r="K5039" s="41" t="str"/>
      <c r="L5039" s="41" t="str"/>
      <c r="M5039" s="41" t="str"/>
      <c r="N5039" s="41" t="str"/>
      <c r="O5039" s="41" t="str"/>
      <c r="P5039" s="41" t="str"/>
      <c r="Q5039" s="41" t="str"/>
      <c r="R5039" s="41" t="str"/>
      <c r="S5039" s="41" t="str"/>
      <c r="T5039" s="41" t="str"/>
      <c r="U5039" s="41" t="str"/>
      <c r="V5039" s="41" t="str"/>
      <c r="W5039" s="41" t="str"/>
    </row>
    <row r="5040">
      <c r="B5040" s="2" t="n"/>
      <c r="C5040" s="40" t="n"/>
      <c r="D5040" s="52">
        <f t="array" ref="D5040:W5040">IF(All_Students_Scores!C5038:V5038="","",All_Students_Scores!C5038:V5038)</f>
        <v/>
      </c>
      <c r="E5040" s="57" t="str"/>
      <c r="F5040" s="49" t="str"/>
      <c r="G5040" s="59" t="str"/>
      <c r="H5040" s="64" t="str"/>
      <c r="I5040" s="65" t="str"/>
      <c r="J5040" s="49" t="str"/>
      <c r="K5040" s="41" t="str"/>
      <c r="L5040" s="41" t="str"/>
      <c r="M5040" s="41" t="str"/>
      <c r="N5040" s="41" t="str"/>
      <c r="O5040" s="41" t="str"/>
      <c r="P5040" s="41" t="str"/>
      <c r="Q5040" s="41" t="str"/>
      <c r="R5040" s="41" t="str"/>
      <c r="S5040" s="41" t="str"/>
      <c r="T5040" s="41" t="str"/>
      <c r="U5040" s="41" t="str"/>
      <c r="V5040" s="41" t="str"/>
      <c r="W5040" s="41" t="str"/>
    </row>
    <row r="5041">
      <c r="B5041" s="2" t="n"/>
      <c r="C5041" s="40" t="n"/>
      <c r="D5041" s="52">
        <f t="array" ref="D5041:W5041">IF(All_Students_Scores!C5039:V5039="","",All_Students_Scores!C5039:V5039)</f>
        <v/>
      </c>
      <c r="E5041" s="57" t="str"/>
      <c r="F5041" s="49" t="str"/>
      <c r="G5041" s="59" t="str"/>
      <c r="H5041" s="64" t="str"/>
      <c r="I5041" s="65" t="str"/>
      <c r="J5041" s="49" t="str"/>
      <c r="K5041" s="41" t="str"/>
      <c r="L5041" s="41" t="str"/>
      <c r="M5041" s="41" t="str"/>
      <c r="N5041" s="41" t="str"/>
      <c r="O5041" s="41" t="str"/>
      <c r="P5041" s="41" t="str"/>
      <c r="Q5041" s="41" t="str"/>
      <c r="R5041" s="41" t="str"/>
      <c r="S5041" s="41" t="str"/>
      <c r="T5041" s="41" t="str"/>
      <c r="U5041" s="41" t="str"/>
      <c r="V5041" s="41" t="str"/>
      <c r="W5041" s="41" t="str"/>
    </row>
    <row r="5042">
      <c r="B5042" s="2" t="n"/>
      <c r="C5042" s="40" t="n"/>
      <c r="D5042" s="52">
        <f t="array" ref="D5042:W5042">IF(All_Students_Scores!C5040:V5040="","",All_Students_Scores!C5040:V5040)</f>
        <v/>
      </c>
      <c r="E5042" s="57" t="str"/>
      <c r="F5042" s="49" t="str"/>
      <c r="G5042" s="59" t="str"/>
      <c r="H5042" s="64" t="str"/>
      <c r="I5042" s="65" t="str"/>
      <c r="J5042" s="49" t="str"/>
      <c r="K5042" s="41" t="str"/>
      <c r="L5042" s="41" t="str"/>
      <c r="M5042" s="41" t="str"/>
      <c r="N5042" s="41" t="str"/>
      <c r="O5042" s="41" t="str"/>
      <c r="P5042" s="41" t="str"/>
      <c r="Q5042" s="41" t="str"/>
      <c r="R5042" s="41" t="str"/>
      <c r="S5042" s="41" t="str"/>
      <c r="T5042" s="41" t="str"/>
      <c r="U5042" s="41" t="str"/>
      <c r="V5042" s="41" t="str"/>
      <c r="W5042" s="41" t="str"/>
    </row>
    <row r="5043">
      <c r="B5043" s="2" t="n"/>
      <c r="C5043" s="40" t="n"/>
      <c r="D5043" s="52">
        <f t="array" ref="D5043:W5043">IF(All_Students_Scores!C5041:V5041="","",All_Students_Scores!C5041:V5041)</f>
        <v/>
      </c>
      <c r="E5043" s="57" t="str"/>
      <c r="F5043" s="49" t="str"/>
      <c r="G5043" s="59" t="str"/>
      <c r="H5043" s="64" t="str"/>
      <c r="I5043" s="65" t="str"/>
      <c r="J5043" s="49" t="str"/>
      <c r="K5043" s="41" t="str"/>
      <c r="L5043" s="41" t="str"/>
      <c r="M5043" s="41" t="str"/>
      <c r="N5043" s="41" t="str"/>
      <c r="O5043" s="41" t="str"/>
      <c r="P5043" s="41" t="str"/>
      <c r="Q5043" s="41" t="str"/>
      <c r="R5043" s="41" t="str"/>
      <c r="S5043" s="41" t="str"/>
      <c r="T5043" s="41" t="str"/>
      <c r="U5043" s="41" t="str"/>
      <c r="V5043" s="41" t="str"/>
      <c r="W5043" s="41" t="str"/>
    </row>
    <row r="5044">
      <c r="B5044" s="2" t="n"/>
      <c r="C5044" s="40" t="n"/>
      <c r="D5044" s="52">
        <f t="array" ref="D5044:W5044">IF(All_Students_Scores!C5042:V5042="","",All_Students_Scores!C5042:V5042)</f>
        <v/>
      </c>
      <c r="E5044" s="57" t="str"/>
      <c r="F5044" s="49" t="str"/>
      <c r="G5044" s="59" t="str"/>
      <c r="H5044" s="64" t="str"/>
      <c r="I5044" s="65" t="str"/>
      <c r="J5044" s="49" t="str"/>
      <c r="K5044" s="41" t="str"/>
      <c r="L5044" s="41" t="str"/>
      <c r="M5044" s="41" t="str"/>
      <c r="N5044" s="41" t="str"/>
      <c r="O5044" s="41" t="str"/>
      <c r="P5044" s="41" t="str"/>
      <c r="Q5044" s="41" t="str"/>
      <c r="R5044" s="41" t="str"/>
      <c r="S5044" s="41" t="str"/>
      <c r="T5044" s="41" t="str"/>
      <c r="U5044" s="41" t="str"/>
      <c r="V5044" s="41" t="str"/>
      <c r="W5044" s="41" t="str"/>
    </row>
    <row r="5045">
      <c r="B5045" s="2" t="n"/>
      <c r="C5045" s="40" t="n"/>
      <c r="D5045" s="52">
        <f t="array" ref="D5045:W5045">IF(All_Students_Scores!C5043:V5043="","",All_Students_Scores!C5043:V5043)</f>
        <v/>
      </c>
      <c r="E5045" s="57" t="str"/>
      <c r="F5045" s="49" t="str"/>
      <c r="G5045" s="59" t="str"/>
      <c r="H5045" s="64" t="str"/>
      <c r="I5045" s="65" t="str"/>
      <c r="J5045" s="49" t="str"/>
      <c r="K5045" s="41" t="str"/>
      <c r="L5045" s="41" t="str"/>
      <c r="M5045" s="41" t="str"/>
      <c r="N5045" s="41" t="str"/>
      <c r="O5045" s="41" t="str"/>
      <c r="P5045" s="41" t="str"/>
      <c r="Q5045" s="41" t="str"/>
      <c r="R5045" s="41" t="str"/>
      <c r="S5045" s="41" t="str"/>
      <c r="T5045" s="41" t="str"/>
      <c r="U5045" s="41" t="str"/>
      <c r="V5045" s="41" t="str"/>
      <c r="W5045" s="41" t="str"/>
    </row>
    <row r="5046">
      <c r="B5046" s="2" t="n"/>
      <c r="C5046" s="40" t="n"/>
      <c r="D5046" s="52">
        <f t="array" ref="D5046:W5046">IF(All_Students_Scores!C5044:V5044="","",All_Students_Scores!C5044:V5044)</f>
        <v/>
      </c>
      <c r="E5046" s="57" t="str"/>
      <c r="F5046" s="49" t="str"/>
      <c r="G5046" s="59" t="str"/>
      <c r="H5046" s="64" t="str"/>
      <c r="I5046" s="65" t="str"/>
      <c r="J5046" s="49" t="str"/>
      <c r="K5046" s="41" t="str"/>
      <c r="L5046" s="41" t="str"/>
      <c r="M5046" s="41" t="str"/>
      <c r="N5046" s="41" t="str"/>
      <c r="O5046" s="41" t="str"/>
      <c r="P5046" s="41" t="str"/>
      <c r="Q5046" s="41" t="str"/>
      <c r="R5046" s="41" t="str"/>
      <c r="S5046" s="41" t="str"/>
      <c r="T5046" s="41" t="str"/>
      <c r="U5046" s="41" t="str"/>
      <c r="V5046" s="41" t="str"/>
      <c r="W5046" s="41" t="str"/>
    </row>
    <row r="5047">
      <c r="B5047" s="2" t="n"/>
      <c r="C5047" s="40" t="n"/>
      <c r="D5047" s="52">
        <f t="array" ref="D5047:W5047">IF(All_Students_Scores!C5045:V5045="","",All_Students_Scores!C5045:V5045)</f>
        <v/>
      </c>
      <c r="E5047" s="57" t="str"/>
      <c r="F5047" s="49" t="str"/>
      <c r="G5047" s="59" t="str"/>
      <c r="H5047" s="64" t="str"/>
      <c r="I5047" s="65" t="str"/>
      <c r="J5047" s="49" t="str"/>
      <c r="K5047" s="41" t="str"/>
      <c r="L5047" s="41" t="str"/>
      <c r="M5047" s="41" t="str"/>
      <c r="N5047" s="41" t="str"/>
      <c r="O5047" s="41" t="str"/>
      <c r="P5047" s="41" t="str"/>
      <c r="Q5047" s="41" t="str"/>
      <c r="R5047" s="41" t="str"/>
      <c r="S5047" s="41" t="str"/>
      <c r="T5047" s="41" t="str"/>
      <c r="U5047" s="41" t="str"/>
      <c r="V5047" s="41" t="str"/>
      <c r="W5047" s="41" t="str"/>
    </row>
    <row r="5048">
      <c r="B5048" s="2" t="n"/>
      <c r="C5048" s="40" t="n"/>
      <c r="D5048" s="52">
        <f t="array" ref="D5048:W5048">IF(All_Students_Scores!C5046:V5046="","",All_Students_Scores!C5046:V5046)</f>
        <v/>
      </c>
      <c r="E5048" s="57" t="str"/>
      <c r="F5048" s="49" t="str"/>
      <c r="G5048" s="59" t="str"/>
      <c r="H5048" s="64" t="str"/>
      <c r="I5048" s="65" t="str"/>
      <c r="J5048" s="49" t="str"/>
      <c r="K5048" s="41" t="str"/>
      <c r="L5048" s="41" t="str"/>
      <c r="M5048" s="41" t="str"/>
      <c r="N5048" s="41" t="str"/>
      <c r="O5048" s="41" t="str"/>
      <c r="P5048" s="41" t="str"/>
      <c r="Q5048" s="41" t="str"/>
      <c r="R5048" s="41" t="str"/>
      <c r="S5048" s="41" t="str"/>
      <c r="T5048" s="41" t="str"/>
      <c r="U5048" s="41" t="str"/>
      <c r="V5048" s="41" t="str"/>
      <c r="W5048" s="41" t="str"/>
    </row>
    <row r="5049">
      <c r="B5049" s="2" t="n"/>
      <c r="C5049" s="40" t="n"/>
      <c r="D5049" s="52">
        <f t="array" ref="D5049:W5049">IF(All_Students_Scores!C5047:V5047="","",All_Students_Scores!C5047:V5047)</f>
        <v/>
      </c>
      <c r="E5049" s="57" t="str"/>
      <c r="F5049" s="49" t="str"/>
      <c r="G5049" s="59" t="str"/>
      <c r="H5049" s="64" t="str"/>
      <c r="I5049" s="65" t="str"/>
      <c r="J5049" s="49" t="str"/>
      <c r="K5049" s="41" t="str"/>
      <c r="L5049" s="41" t="str"/>
      <c r="M5049" s="41" t="str"/>
      <c r="N5049" s="41" t="str"/>
      <c r="O5049" s="41" t="str"/>
      <c r="P5049" s="41" t="str"/>
      <c r="Q5049" s="41" t="str"/>
      <c r="R5049" s="41" t="str"/>
      <c r="S5049" s="41" t="str"/>
      <c r="T5049" s="41" t="str"/>
      <c r="U5049" s="41" t="str"/>
      <c r="V5049" s="41" t="str"/>
      <c r="W5049" s="41" t="str"/>
    </row>
    <row r="5050">
      <c r="B5050" s="2" t="n"/>
      <c r="C5050" s="40" t="n"/>
      <c r="D5050" s="52">
        <f t="array" ref="D5050:W5050">IF(All_Students_Scores!C5048:V5048="","",All_Students_Scores!C5048:V5048)</f>
        <v/>
      </c>
      <c r="E5050" s="57" t="str"/>
      <c r="F5050" s="49" t="str"/>
      <c r="G5050" s="59" t="str"/>
      <c r="H5050" s="64" t="str"/>
      <c r="I5050" s="65" t="str"/>
      <c r="J5050" s="49" t="str"/>
      <c r="K5050" s="41" t="str"/>
      <c r="L5050" s="41" t="str"/>
      <c r="M5050" s="41" t="str"/>
      <c r="N5050" s="41" t="str"/>
      <c r="O5050" s="41" t="str"/>
      <c r="P5050" s="41" t="str"/>
      <c r="Q5050" s="41" t="str"/>
      <c r="R5050" s="41" t="str"/>
      <c r="S5050" s="41" t="str"/>
      <c r="T5050" s="41" t="str"/>
      <c r="U5050" s="41" t="str"/>
      <c r="V5050" s="41" t="str"/>
      <c r="W5050" s="41" t="str"/>
    </row>
    <row r="5051">
      <c r="B5051" s="2" t="n"/>
      <c r="C5051" s="40" t="n"/>
      <c r="D5051" s="52">
        <f t="array" ref="D5051:W5051">IF(All_Students_Scores!C5049:V5049="","",All_Students_Scores!C5049:V5049)</f>
        <v/>
      </c>
      <c r="E5051" s="57" t="str"/>
      <c r="F5051" s="49" t="str"/>
      <c r="G5051" s="59" t="str"/>
      <c r="H5051" s="64" t="str"/>
      <c r="I5051" s="65" t="str"/>
      <c r="J5051" s="49" t="str"/>
      <c r="K5051" s="41" t="str"/>
      <c r="L5051" s="41" t="str"/>
      <c r="M5051" s="41" t="str"/>
      <c r="N5051" s="41" t="str"/>
      <c r="O5051" s="41" t="str"/>
      <c r="P5051" s="41" t="str"/>
      <c r="Q5051" s="41" t="str"/>
      <c r="R5051" s="41" t="str"/>
      <c r="S5051" s="41" t="str"/>
      <c r="T5051" s="41" t="str"/>
      <c r="U5051" s="41" t="str"/>
      <c r="V5051" s="41" t="str"/>
      <c r="W5051" s="41" t="str"/>
    </row>
    <row r="5052">
      <c r="B5052" s="2" t="n"/>
      <c r="C5052" s="40" t="n"/>
      <c r="D5052" s="52">
        <f t="array" ref="D5052:W5052">IF(All_Students_Scores!C5050:V5050="","",All_Students_Scores!C5050:V5050)</f>
        <v/>
      </c>
      <c r="E5052" s="57" t="str"/>
      <c r="F5052" s="49" t="str"/>
      <c r="G5052" s="59" t="str"/>
      <c r="H5052" s="64" t="str"/>
      <c r="I5052" s="65" t="str"/>
      <c r="J5052" s="49" t="str"/>
      <c r="K5052" s="41" t="str"/>
      <c r="L5052" s="41" t="str"/>
      <c r="M5052" s="41" t="str"/>
      <c r="N5052" s="41" t="str"/>
      <c r="O5052" s="41" t="str"/>
      <c r="P5052" s="41" t="str"/>
      <c r="Q5052" s="41" t="str"/>
      <c r="R5052" s="41" t="str"/>
      <c r="S5052" s="41" t="str"/>
      <c r="T5052" s="41" t="str"/>
      <c r="U5052" s="41" t="str"/>
      <c r="V5052" s="41" t="str"/>
      <c r="W5052" s="41" t="str"/>
    </row>
    <row r="5053">
      <c r="B5053" s="2" t="n"/>
      <c r="C5053" s="40" t="n"/>
      <c r="D5053" s="52">
        <f t="array" ref="D5053:W5053">IF(All_Students_Scores!C5051:V5051="","",All_Students_Scores!C5051:V5051)</f>
        <v/>
      </c>
      <c r="E5053" s="57" t="str"/>
      <c r="F5053" s="49" t="str"/>
      <c r="G5053" s="59" t="str"/>
      <c r="H5053" s="64" t="str"/>
      <c r="I5053" s="65" t="str"/>
      <c r="J5053" s="49" t="str"/>
      <c r="K5053" s="41" t="str"/>
      <c r="L5053" s="41" t="str"/>
      <c r="M5053" s="41" t="str"/>
      <c r="N5053" s="41" t="str"/>
      <c r="O5053" s="41" t="str"/>
      <c r="P5053" s="41" t="str"/>
      <c r="Q5053" s="41" t="str"/>
      <c r="R5053" s="41" t="str"/>
      <c r="S5053" s="41" t="str"/>
      <c r="T5053" s="41" t="str"/>
      <c r="U5053" s="41" t="str"/>
      <c r="V5053" s="41" t="str"/>
      <c r="W5053" s="41" t="str"/>
    </row>
    <row r="5054">
      <c r="B5054" s="2" t="n"/>
      <c r="C5054" s="40" t="n"/>
      <c r="D5054" s="52">
        <f t="array" ref="D5054:W5054">IF(All_Students_Scores!C5052:V5052="","",All_Students_Scores!C5052:V5052)</f>
        <v/>
      </c>
      <c r="E5054" s="57" t="str"/>
      <c r="F5054" s="49" t="str"/>
      <c r="G5054" s="59" t="str"/>
      <c r="H5054" s="64" t="str"/>
      <c r="I5054" s="65" t="str"/>
      <c r="J5054" s="49" t="str"/>
      <c r="K5054" s="41" t="str"/>
      <c r="L5054" s="41" t="str"/>
      <c r="M5054" s="41" t="str"/>
      <c r="N5054" s="41" t="str"/>
      <c r="O5054" s="41" t="str"/>
      <c r="P5054" s="41" t="str"/>
      <c r="Q5054" s="41" t="str"/>
      <c r="R5054" s="41" t="str"/>
      <c r="S5054" s="41" t="str"/>
      <c r="T5054" s="41" t="str"/>
      <c r="U5054" s="41" t="str"/>
      <c r="V5054" s="41" t="str"/>
      <c r="W5054" s="41" t="str"/>
    </row>
    <row r="5055">
      <c r="B5055" s="2" t="n"/>
      <c r="C5055" s="40" t="n"/>
      <c r="D5055" s="52">
        <f t="array" ref="D5055:W5055">IF(All_Students_Scores!C5053:V5053="","",All_Students_Scores!C5053:V5053)</f>
        <v/>
      </c>
      <c r="E5055" s="57" t="str"/>
      <c r="F5055" s="49" t="str"/>
      <c r="G5055" s="59" t="str"/>
      <c r="H5055" s="64" t="str"/>
      <c r="I5055" s="65" t="str"/>
      <c r="J5055" s="49" t="str"/>
      <c r="K5055" s="41" t="str"/>
      <c r="L5055" s="41" t="str"/>
      <c r="M5055" s="41" t="str"/>
      <c r="N5055" s="41" t="str"/>
      <c r="O5055" s="41" t="str"/>
      <c r="P5055" s="41" t="str"/>
      <c r="Q5055" s="41" t="str"/>
      <c r="R5055" s="41" t="str"/>
      <c r="S5055" s="41" t="str"/>
      <c r="T5055" s="41" t="str"/>
      <c r="U5055" s="41" t="str"/>
      <c r="V5055" s="41" t="str"/>
      <c r="W5055" s="41" t="str"/>
    </row>
    <row r="5056">
      <c r="B5056" s="2" t="n"/>
      <c r="C5056" s="40" t="n"/>
      <c r="D5056" s="52">
        <f t="array" ref="D5056:W5056">IF(All_Students_Scores!C5054:V5054="","",All_Students_Scores!C5054:V5054)</f>
        <v/>
      </c>
      <c r="E5056" s="57" t="str"/>
      <c r="F5056" s="49" t="str"/>
      <c r="G5056" s="59" t="str"/>
      <c r="H5056" s="64" t="str"/>
      <c r="I5056" s="65" t="str"/>
      <c r="J5056" s="49" t="str"/>
      <c r="K5056" s="41" t="str"/>
      <c r="L5056" s="41" t="str"/>
      <c r="M5056" s="41" t="str"/>
      <c r="N5056" s="41" t="str"/>
      <c r="O5056" s="41" t="str"/>
      <c r="P5056" s="41" t="str"/>
      <c r="Q5056" s="41" t="str"/>
      <c r="R5056" s="41" t="str"/>
      <c r="S5056" s="41" t="str"/>
      <c r="T5056" s="41" t="str"/>
      <c r="U5056" s="41" t="str"/>
      <c r="V5056" s="41" t="str"/>
      <c r="W5056" s="41" t="str"/>
    </row>
    <row r="5057">
      <c r="B5057" s="2" t="n"/>
      <c r="C5057" s="40" t="n"/>
      <c r="D5057" s="52">
        <f t="array" ref="D5057:W5057">IF(All_Students_Scores!C5055:V5055="","",All_Students_Scores!C5055:V5055)</f>
        <v/>
      </c>
      <c r="E5057" s="57" t="str"/>
      <c r="F5057" s="49" t="str"/>
      <c r="G5057" s="59" t="str"/>
      <c r="H5057" s="64" t="str"/>
      <c r="I5057" s="65" t="str"/>
      <c r="J5057" s="49" t="str"/>
      <c r="K5057" s="41" t="str"/>
      <c r="L5057" s="41" t="str"/>
      <c r="M5057" s="41" t="str"/>
      <c r="N5057" s="41" t="str"/>
      <c r="O5057" s="41" t="str"/>
      <c r="P5057" s="41" t="str"/>
      <c r="Q5057" s="41" t="str"/>
      <c r="R5057" s="41" t="str"/>
      <c r="S5057" s="41" t="str"/>
      <c r="T5057" s="41" t="str"/>
      <c r="U5057" s="41" t="str"/>
      <c r="V5057" s="41" t="str"/>
      <c r="W5057" s="41" t="str"/>
    </row>
    <row r="5058">
      <c r="B5058" s="2" t="n"/>
      <c r="C5058" s="40" t="n"/>
      <c r="D5058" s="52">
        <f t="array" ref="D5058:W5058">IF(All_Students_Scores!C5056:V5056="","",All_Students_Scores!C5056:V5056)</f>
        <v/>
      </c>
      <c r="E5058" s="57" t="str"/>
      <c r="F5058" s="49" t="str"/>
      <c r="G5058" s="59" t="str"/>
      <c r="H5058" s="64" t="str"/>
      <c r="I5058" s="65" t="str"/>
      <c r="J5058" s="49" t="str"/>
      <c r="K5058" s="41" t="str"/>
      <c r="L5058" s="41" t="str"/>
      <c r="M5058" s="41" t="str"/>
      <c r="N5058" s="41" t="str"/>
      <c r="O5058" s="41" t="str"/>
      <c r="P5058" s="41" t="str"/>
      <c r="Q5058" s="41" t="str"/>
      <c r="R5058" s="41" t="str"/>
      <c r="S5058" s="41" t="str"/>
      <c r="T5058" s="41" t="str"/>
      <c r="U5058" s="41" t="str"/>
      <c r="V5058" s="41" t="str"/>
      <c r="W5058" s="41" t="str"/>
    </row>
    <row r="5059">
      <c r="B5059" s="2" t="n"/>
      <c r="C5059" s="40" t="n"/>
      <c r="D5059" s="52">
        <f t="array" ref="D5059:W5059">IF(All_Students_Scores!C5057:V5057="","",All_Students_Scores!C5057:V5057)</f>
        <v/>
      </c>
      <c r="E5059" s="57" t="str"/>
      <c r="F5059" s="49" t="str"/>
      <c r="G5059" s="59" t="str"/>
      <c r="H5059" s="64" t="str"/>
      <c r="I5059" s="65" t="str"/>
      <c r="J5059" s="49" t="str"/>
      <c r="K5059" s="41" t="str"/>
      <c r="L5059" s="41" t="str"/>
      <c r="M5059" s="41" t="str"/>
      <c r="N5059" s="41" t="str"/>
      <c r="O5059" s="41" t="str"/>
      <c r="P5059" s="41" t="str"/>
      <c r="Q5059" s="41" t="str"/>
      <c r="R5059" s="41" t="str"/>
      <c r="S5059" s="41" t="str"/>
      <c r="T5059" s="41" t="str"/>
      <c r="U5059" s="41" t="str"/>
      <c r="V5059" s="41" t="str"/>
      <c r="W5059" s="41" t="str"/>
    </row>
    <row r="5060">
      <c r="B5060" s="2" t="n"/>
      <c r="C5060" s="40" t="n"/>
      <c r="D5060" s="52">
        <f t="array" ref="D5060:W5060">IF(All_Students_Scores!C5058:V5058="","",All_Students_Scores!C5058:V5058)</f>
        <v/>
      </c>
      <c r="E5060" s="57" t="str"/>
      <c r="F5060" s="49" t="str"/>
      <c r="G5060" s="59" t="str"/>
      <c r="H5060" s="64" t="str"/>
      <c r="I5060" s="65" t="str"/>
      <c r="J5060" s="49" t="str"/>
      <c r="K5060" s="41" t="str"/>
      <c r="L5060" s="41" t="str"/>
      <c r="M5060" s="41" t="str"/>
      <c r="N5060" s="41" t="str"/>
      <c r="O5060" s="41" t="str"/>
      <c r="P5060" s="41" t="str"/>
      <c r="Q5060" s="41" t="str"/>
      <c r="R5060" s="41" t="str"/>
      <c r="S5060" s="41" t="str"/>
      <c r="T5060" s="41" t="str"/>
      <c r="U5060" s="41" t="str"/>
      <c r="V5060" s="41" t="str"/>
      <c r="W5060" s="41" t="str"/>
    </row>
    <row r="5061">
      <c r="B5061" s="2" t="n"/>
      <c r="C5061" s="40" t="n"/>
      <c r="D5061" s="52">
        <f t="array" ref="D5061:W5061">IF(All_Students_Scores!C5059:V5059="","",All_Students_Scores!C5059:V5059)</f>
        <v/>
      </c>
      <c r="E5061" s="57" t="str"/>
      <c r="F5061" s="49" t="str"/>
      <c r="G5061" s="59" t="str"/>
      <c r="H5061" s="64" t="str"/>
      <c r="I5061" s="65" t="str"/>
      <c r="J5061" s="49" t="str"/>
      <c r="K5061" s="41" t="str"/>
      <c r="L5061" s="41" t="str"/>
      <c r="M5061" s="41" t="str"/>
      <c r="N5061" s="41" t="str"/>
      <c r="O5061" s="41" t="str"/>
      <c r="P5061" s="41" t="str"/>
      <c r="Q5061" s="41" t="str"/>
      <c r="R5061" s="41" t="str"/>
      <c r="S5061" s="41" t="str"/>
      <c r="T5061" s="41" t="str"/>
      <c r="U5061" s="41" t="str"/>
      <c r="V5061" s="41" t="str"/>
      <c r="W5061" s="41" t="str"/>
    </row>
    <row r="5062">
      <c r="B5062" s="2" t="n"/>
      <c r="C5062" s="40" t="n"/>
      <c r="D5062" s="52">
        <f t="array" ref="D5062:W5062">IF(All_Students_Scores!C5060:V5060="","",All_Students_Scores!C5060:V5060)</f>
        <v/>
      </c>
      <c r="E5062" s="57" t="str"/>
      <c r="F5062" s="49" t="str"/>
      <c r="G5062" s="59" t="str"/>
      <c r="H5062" s="64" t="str"/>
      <c r="I5062" s="65" t="str"/>
      <c r="J5062" s="49" t="str"/>
      <c r="K5062" s="41" t="str"/>
      <c r="L5062" s="41" t="str"/>
      <c r="M5062" s="41" t="str"/>
      <c r="N5062" s="41" t="str"/>
      <c r="O5062" s="41" t="str"/>
      <c r="P5062" s="41" t="str"/>
      <c r="Q5062" s="41" t="str"/>
      <c r="R5062" s="41" t="str"/>
      <c r="S5062" s="41" t="str"/>
      <c r="T5062" s="41" t="str"/>
      <c r="U5062" s="41" t="str"/>
      <c r="V5062" s="41" t="str"/>
      <c r="W5062" s="41" t="str"/>
    </row>
    <row r="5063">
      <c r="B5063" s="2" t="n"/>
      <c r="C5063" s="40" t="n"/>
      <c r="D5063" s="52">
        <f t="array" ref="D5063:W5063">IF(All_Students_Scores!C5061:V5061="","",All_Students_Scores!C5061:V5061)</f>
        <v/>
      </c>
      <c r="E5063" s="57" t="str"/>
      <c r="F5063" s="49" t="str"/>
      <c r="G5063" s="59" t="str"/>
      <c r="H5063" s="64" t="str"/>
      <c r="I5063" s="65" t="str"/>
      <c r="J5063" s="49" t="str"/>
      <c r="K5063" s="41" t="str"/>
      <c r="L5063" s="41" t="str"/>
      <c r="M5063" s="41" t="str"/>
      <c r="N5063" s="41" t="str"/>
      <c r="O5063" s="41" t="str"/>
      <c r="P5063" s="41" t="str"/>
      <c r="Q5063" s="41" t="str"/>
      <c r="R5063" s="41" t="str"/>
      <c r="S5063" s="41" t="str"/>
      <c r="T5063" s="41" t="str"/>
      <c r="U5063" s="41" t="str"/>
      <c r="V5063" s="41" t="str"/>
      <c r="W5063" s="41" t="str"/>
    </row>
    <row r="5064">
      <c r="B5064" s="2" t="n"/>
      <c r="C5064" s="40" t="n"/>
      <c r="D5064" s="52">
        <f t="array" ref="D5064:W5064">IF(All_Students_Scores!C5062:V5062="","",All_Students_Scores!C5062:V5062)</f>
        <v/>
      </c>
      <c r="E5064" s="57" t="str"/>
      <c r="F5064" s="49" t="str"/>
      <c r="G5064" s="59" t="str"/>
      <c r="H5064" s="64" t="str"/>
      <c r="I5064" s="65" t="str"/>
      <c r="J5064" s="49" t="str"/>
      <c r="K5064" s="41" t="str"/>
      <c r="L5064" s="41" t="str"/>
      <c r="M5064" s="41" t="str"/>
      <c r="N5064" s="41" t="str"/>
      <c r="O5064" s="41" t="str"/>
      <c r="P5064" s="41" t="str"/>
      <c r="Q5064" s="41" t="str"/>
      <c r="R5064" s="41" t="str"/>
      <c r="S5064" s="41" t="str"/>
      <c r="T5064" s="41" t="str"/>
      <c r="U5064" s="41" t="str"/>
      <c r="V5064" s="41" t="str"/>
      <c r="W5064" s="41" t="str"/>
    </row>
    <row r="5065">
      <c r="B5065" s="2" t="n"/>
      <c r="C5065" s="40" t="n"/>
      <c r="D5065" s="52">
        <f t="array" ref="D5065:W5065">IF(All_Students_Scores!C5063:V5063="","",All_Students_Scores!C5063:V5063)</f>
        <v/>
      </c>
      <c r="E5065" s="57" t="str"/>
      <c r="F5065" s="49" t="str"/>
      <c r="G5065" s="59" t="str"/>
      <c r="H5065" s="64" t="str"/>
      <c r="I5065" s="65" t="str"/>
      <c r="J5065" s="49" t="str"/>
      <c r="K5065" s="41" t="str"/>
      <c r="L5065" s="41" t="str"/>
      <c r="M5065" s="41" t="str"/>
      <c r="N5065" s="41" t="str"/>
      <c r="O5065" s="41" t="str"/>
      <c r="P5065" s="41" t="str"/>
      <c r="Q5065" s="41" t="str"/>
      <c r="R5065" s="41" t="str"/>
      <c r="S5065" s="41" t="str"/>
      <c r="T5065" s="41" t="str"/>
      <c r="U5065" s="41" t="str"/>
      <c r="V5065" s="41" t="str"/>
      <c r="W5065" s="41" t="str"/>
    </row>
    <row r="5066">
      <c r="B5066" s="2" t="n"/>
      <c r="C5066" s="40" t="n"/>
      <c r="D5066" s="52">
        <f t="array" ref="D5066:W5066">IF(All_Students_Scores!C5064:V5064="","",All_Students_Scores!C5064:V5064)</f>
        <v/>
      </c>
      <c r="E5066" s="57" t="str"/>
      <c r="F5066" s="49" t="str"/>
      <c r="G5066" s="59" t="str"/>
      <c r="H5066" s="64" t="str"/>
      <c r="I5066" s="65" t="str"/>
      <c r="J5066" s="49" t="str"/>
      <c r="K5066" s="41" t="str"/>
      <c r="L5066" s="41" t="str"/>
      <c r="M5066" s="41" t="str"/>
      <c r="N5066" s="41" t="str"/>
      <c r="O5066" s="41" t="str"/>
      <c r="P5066" s="41" t="str"/>
      <c r="Q5066" s="41" t="str"/>
      <c r="R5066" s="41" t="str"/>
      <c r="S5066" s="41" t="str"/>
      <c r="T5066" s="41" t="str"/>
      <c r="U5066" s="41" t="str"/>
      <c r="V5066" s="41" t="str"/>
      <c r="W5066" s="41" t="str"/>
    </row>
    <row r="5067">
      <c r="B5067" s="2" t="n"/>
      <c r="C5067" s="40" t="n"/>
      <c r="D5067" s="52">
        <f t="array" ref="D5067:W5067">IF(All_Students_Scores!C5065:V5065="","",All_Students_Scores!C5065:V5065)</f>
        <v/>
      </c>
      <c r="E5067" s="57" t="str"/>
      <c r="F5067" s="49" t="str"/>
      <c r="G5067" s="59" t="str"/>
      <c r="H5067" s="64" t="str"/>
      <c r="I5067" s="65" t="str"/>
      <c r="J5067" s="49" t="str"/>
      <c r="K5067" s="41" t="str"/>
      <c r="L5067" s="41" t="str"/>
      <c r="M5067" s="41" t="str"/>
      <c r="N5067" s="41" t="str"/>
      <c r="O5067" s="41" t="str"/>
      <c r="P5067" s="41" t="str"/>
      <c r="Q5067" s="41" t="str"/>
      <c r="R5067" s="41" t="str"/>
      <c r="S5067" s="41" t="str"/>
      <c r="T5067" s="41" t="str"/>
      <c r="U5067" s="41" t="str"/>
      <c r="V5067" s="41" t="str"/>
      <c r="W5067" s="41" t="str"/>
    </row>
    <row r="5068">
      <c r="B5068" s="2" t="n"/>
      <c r="C5068" s="40" t="n"/>
      <c r="D5068" s="52">
        <f t="array" ref="D5068:W5068">IF(All_Students_Scores!C5066:V5066="","",All_Students_Scores!C5066:V5066)</f>
        <v/>
      </c>
      <c r="E5068" s="57" t="str"/>
      <c r="F5068" s="49" t="str"/>
      <c r="G5068" s="59" t="str"/>
      <c r="H5068" s="64" t="str"/>
      <c r="I5068" s="65" t="str"/>
      <c r="J5068" s="49" t="str"/>
      <c r="K5068" s="41" t="str"/>
      <c r="L5068" s="41" t="str"/>
      <c r="M5068" s="41" t="str"/>
      <c r="N5068" s="41" t="str"/>
      <c r="O5068" s="41" t="str"/>
      <c r="P5068" s="41" t="str"/>
      <c r="Q5068" s="41" t="str"/>
      <c r="R5068" s="41" t="str"/>
      <c r="S5068" s="41" t="str"/>
      <c r="T5068" s="41" t="str"/>
      <c r="U5068" s="41" t="str"/>
      <c r="V5068" s="41" t="str"/>
      <c r="W5068" s="41" t="str"/>
    </row>
    <row r="5069">
      <c r="B5069" s="2" t="n"/>
      <c r="C5069" s="40" t="n"/>
      <c r="D5069" s="52">
        <f t="array" ref="D5069:W5069">IF(All_Students_Scores!C5067:V5067="","",All_Students_Scores!C5067:V5067)</f>
        <v/>
      </c>
      <c r="E5069" s="57" t="str"/>
      <c r="F5069" s="49" t="str"/>
      <c r="G5069" s="59" t="str"/>
      <c r="H5069" s="64" t="str"/>
      <c r="I5069" s="65" t="str"/>
      <c r="J5069" s="49" t="str"/>
      <c r="K5069" s="41" t="str"/>
      <c r="L5069" s="41" t="str"/>
      <c r="M5069" s="41" t="str"/>
      <c r="N5069" s="41" t="str"/>
      <c r="O5069" s="41" t="str"/>
      <c r="P5069" s="41" t="str"/>
      <c r="Q5069" s="41" t="str"/>
      <c r="R5069" s="41" t="str"/>
      <c r="S5069" s="41" t="str"/>
      <c r="T5069" s="41" t="str"/>
      <c r="U5069" s="41" t="str"/>
      <c r="V5069" s="41" t="str"/>
      <c r="W5069" s="41" t="str"/>
    </row>
    <row r="5070">
      <c r="B5070" s="2" t="n"/>
      <c r="C5070" s="40" t="n"/>
      <c r="D5070" s="52">
        <f t="array" ref="D5070:W5070">IF(All_Students_Scores!C5068:V5068="","",All_Students_Scores!C5068:V5068)</f>
        <v/>
      </c>
      <c r="E5070" s="57" t="str"/>
      <c r="F5070" s="49" t="str"/>
      <c r="G5070" s="59" t="str"/>
      <c r="H5070" s="64" t="str"/>
      <c r="I5070" s="65" t="str"/>
      <c r="J5070" s="49" t="str"/>
      <c r="K5070" s="41" t="str"/>
      <c r="L5070" s="41" t="str"/>
      <c r="M5070" s="41" t="str"/>
      <c r="N5070" s="41" t="str"/>
      <c r="O5070" s="41" t="str"/>
      <c r="P5070" s="41" t="str"/>
      <c r="Q5070" s="41" t="str"/>
      <c r="R5070" s="41" t="str"/>
      <c r="S5070" s="41" t="str"/>
      <c r="T5070" s="41" t="str"/>
      <c r="U5070" s="41" t="str"/>
      <c r="V5070" s="41" t="str"/>
      <c r="W5070" s="41" t="str"/>
    </row>
    <row r="5071">
      <c r="B5071" s="2" t="n"/>
      <c r="C5071" s="40" t="n"/>
      <c r="D5071" s="52">
        <f t="array" ref="D5071:W5071">IF(All_Students_Scores!C5069:V5069="","",All_Students_Scores!C5069:V5069)</f>
        <v/>
      </c>
      <c r="E5071" s="57" t="str"/>
      <c r="F5071" s="49" t="str"/>
      <c r="G5071" s="59" t="str"/>
      <c r="H5071" s="64" t="str"/>
      <c r="I5071" s="65" t="str"/>
      <c r="J5071" s="49" t="str"/>
      <c r="K5071" s="41" t="str"/>
      <c r="L5071" s="41" t="str"/>
      <c r="M5071" s="41" t="str"/>
      <c r="N5071" s="41" t="str"/>
      <c r="O5071" s="41" t="str"/>
      <c r="P5071" s="41" t="str"/>
      <c r="Q5071" s="41" t="str"/>
      <c r="R5071" s="41" t="str"/>
      <c r="S5071" s="41" t="str"/>
      <c r="T5071" s="41" t="str"/>
      <c r="U5071" s="41" t="str"/>
      <c r="V5071" s="41" t="str"/>
      <c r="W5071" s="41" t="str"/>
    </row>
    <row r="5072">
      <c r="B5072" s="2" t="n"/>
      <c r="C5072" s="40" t="n"/>
      <c r="D5072" s="52">
        <f t="array" ref="D5072:W5072">IF(All_Students_Scores!C5070:V5070="","",All_Students_Scores!C5070:V5070)</f>
        <v/>
      </c>
      <c r="E5072" s="57" t="str"/>
      <c r="F5072" s="49" t="str"/>
      <c r="G5072" s="59" t="str"/>
      <c r="H5072" s="64" t="str"/>
      <c r="I5072" s="65" t="str"/>
      <c r="J5072" s="49" t="str"/>
      <c r="K5072" s="41" t="str"/>
      <c r="L5072" s="41" t="str"/>
      <c r="M5072" s="41" t="str"/>
      <c r="N5072" s="41" t="str"/>
      <c r="O5072" s="41" t="str"/>
      <c r="P5072" s="41" t="str"/>
      <c r="Q5072" s="41" t="str"/>
      <c r="R5072" s="41" t="str"/>
      <c r="S5072" s="41" t="str"/>
      <c r="T5072" s="41" t="str"/>
      <c r="U5072" s="41" t="str"/>
      <c r="V5072" s="41" t="str"/>
      <c r="W5072" s="41" t="str"/>
    </row>
    <row r="5073">
      <c r="B5073" s="2" t="n"/>
      <c r="C5073" s="40" t="n"/>
      <c r="D5073" s="52">
        <f t="array" ref="D5073:W5073">IF(All_Students_Scores!C5071:V5071="","",All_Students_Scores!C5071:V5071)</f>
        <v/>
      </c>
      <c r="E5073" s="57" t="str"/>
      <c r="F5073" s="49" t="str"/>
      <c r="G5073" s="59" t="str"/>
      <c r="H5073" s="64" t="str"/>
      <c r="I5073" s="65" t="str"/>
      <c r="J5073" s="49" t="str"/>
      <c r="K5073" s="41" t="str"/>
      <c r="L5073" s="41" t="str"/>
      <c r="M5073" s="41" t="str"/>
      <c r="N5073" s="41" t="str"/>
      <c r="O5073" s="41" t="str"/>
      <c r="P5073" s="41" t="str"/>
      <c r="Q5073" s="41" t="str"/>
      <c r="R5073" s="41" t="str"/>
      <c r="S5073" s="41" t="str"/>
      <c r="T5073" s="41" t="str"/>
      <c r="U5073" s="41" t="str"/>
      <c r="V5073" s="41" t="str"/>
      <c r="W5073" s="41" t="str"/>
    </row>
    <row r="5074">
      <c r="B5074" s="2" t="n"/>
      <c r="C5074" s="40" t="n"/>
      <c r="D5074" s="52">
        <f t="array" ref="D5074:W5074">IF(All_Students_Scores!C5072:V5072="","",All_Students_Scores!C5072:V5072)</f>
        <v/>
      </c>
      <c r="E5074" s="57" t="str"/>
      <c r="F5074" s="49" t="str"/>
      <c r="G5074" s="59" t="str"/>
      <c r="H5074" s="64" t="str"/>
      <c r="I5074" s="65" t="str"/>
      <c r="J5074" s="49" t="str"/>
      <c r="K5074" s="41" t="str"/>
      <c r="L5074" s="41" t="str"/>
      <c r="M5074" s="41" t="str"/>
      <c r="N5074" s="41" t="str"/>
      <c r="O5074" s="41" t="str"/>
      <c r="P5074" s="41" t="str"/>
      <c r="Q5074" s="41" t="str"/>
      <c r="R5074" s="41" t="str"/>
      <c r="S5074" s="41" t="str"/>
      <c r="T5074" s="41" t="str"/>
      <c r="U5074" s="41" t="str"/>
      <c r="V5074" s="41" t="str"/>
      <c r="W5074" s="41" t="str"/>
    </row>
    <row r="5075">
      <c r="B5075" s="2" t="n"/>
      <c r="C5075" s="40" t="n"/>
      <c r="D5075" s="52">
        <f t="array" ref="D5075:W5075">IF(All_Students_Scores!C5073:V5073="","",All_Students_Scores!C5073:V5073)</f>
        <v/>
      </c>
      <c r="E5075" s="57" t="str"/>
      <c r="F5075" s="49" t="str"/>
      <c r="G5075" s="59" t="str"/>
      <c r="H5075" s="64" t="str"/>
      <c r="I5075" s="65" t="str"/>
      <c r="J5075" s="49" t="str"/>
      <c r="K5075" s="41" t="str"/>
      <c r="L5075" s="41" t="str"/>
      <c r="M5075" s="41" t="str"/>
      <c r="N5075" s="41" t="str"/>
      <c r="O5075" s="41" t="str"/>
      <c r="P5075" s="41" t="str"/>
      <c r="Q5075" s="41" t="str"/>
      <c r="R5075" s="41" t="str"/>
      <c r="S5075" s="41" t="str"/>
      <c r="T5075" s="41" t="str"/>
      <c r="U5075" s="41" t="str"/>
      <c r="V5075" s="41" t="str"/>
      <c r="W5075" s="41" t="str"/>
    </row>
    <row r="5076">
      <c r="B5076" s="2" t="n"/>
      <c r="C5076" s="40" t="n"/>
      <c r="D5076" s="52">
        <f t="array" ref="D5076:W5076">IF(All_Students_Scores!C5074:V5074="","",All_Students_Scores!C5074:V5074)</f>
        <v/>
      </c>
      <c r="E5076" s="57" t="str"/>
      <c r="F5076" s="49" t="str"/>
      <c r="G5076" s="59" t="str"/>
      <c r="H5076" s="64" t="str"/>
      <c r="I5076" s="65" t="str"/>
      <c r="J5076" s="49" t="str"/>
      <c r="K5076" s="41" t="str"/>
      <c r="L5076" s="41" t="str"/>
      <c r="M5076" s="41" t="str"/>
      <c r="N5076" s="41" t="str"/>
      <c r="O5076" s="41" t="str"/>
      <c r="P5076" s="41" t="str"/>
      <c r="Q5076" s="41" t="str"/>
      <c r="R5076" s="41" t="str"/>
      <c r="S5076" s="41" t="str"/>
      <c r="T5076" s="41" t="str"/>
      <c r="U5076" s="41" t="str"/>
      <c r="V5076" s="41" t="str"/>
      <c r="W5076" s="41" t="str"/>
    </row>
    <row r="5077">
      <c r="B5077" s="2" t="n"/>
      <c r="C5077" s="40" t="n"/>
      <c r="D5077" s="52">
        <f t="array" ref="D5077:W5077">IF(All_Students_Scores!C5075:V5075="","",All_Students_Scores!C5075:V5075)</f>
        <v/>
      </c>
      <c r="E5077" s="57" t="str"/>
      <c r="F5077" s="49" t="str"/>
      <c r="G5077" s="59" t="str"/>
      <c r="H5077" s="64" t="str"/>
      <c r="I5077" s="65" t="str"/>
      <c r="J5077" s="49" t="str"/>
      <c r="K5077" s="41" t="str"/>
      <c r="L5077" s="41" t="str"/>
      <c r="M5077" s="41" t="str"/>
      <c r="N5077" s="41" t="str"/>
      <c r="O5077" s="41" t="str"/>
      <c r="P5077" s="41" t="str"/>
      <c r="Q5077" s="41" t="str"/>
      <c r="R5077" s="41" t="str"/>
      <c r="S5077" s="41" t="str"/>
      <c r="T5077" s="41" t="str"/>
      <c r="U5077" s="41" t="str"/>
      <c r="V5077" s="41" t="str"/>
      <c r="W5077" s="41" t="str"/>
    </row>
    <row r="5078">
      <c r="B5078" s="2" t="n"/>
      <c r="C5078" s="40" t="n"/>
      <c r="D5078" s="52">
        <f t="array" ref="D5078:W5078">IF(All_Students_Scores!C5076:V5076="","",All_Students_Scores!C5076:V5076)</f>
        <v/>
      </c>
      <c r="E5078" s="57" t="str"/>
      <c r="F5078" s="49" t="str"/>
      <c r="G5078" s="59" t="str"/>
      <c r="H5078" s="64" t="str"/>
      <c r="I5078" s="65" t="str"/>
      <c r="J5078" s="49" t="str"/>
      <c r="K5078" s="41" t="str"/>
      <c r="L5078" s="41" t="str"/>
      <c r="M5078" s="41" t="str"/>
      <c r="N5078" s="41" t="str"/>
      <c r="O5078" s="41" t="str"/>
      <c r="P5078" s="41" t="str"/>
      <c r="Q5078" s="41" t="str"/>
      <c r="R5078" s="41" t="str"/>
      <c r="S5078" s="41" t="str"/>
      <c r="T5078" s="41" t="str"/>
      <c r="U5078" s="41" t="str"/>
      <c r="V5078" s="41" t="str"/>
      <c r="W5078" s="41" t="str"/>
    </row>
    <row r="5079">
      <c r="B5079" s="2" t="n"/>
      <c r="C5079" s="40" t="n"/>
      <c r="D5079" s="52">
        <f t="array" ref="D5079:W5079">IF(All_Students_Scores!C5077:V5077="","",All_Students_Scores!C5077:V5077)</f>
        <v/>
      </c>
      <c r="E5079" s="57" t="str"/>
      <c r="F5079" s="49" t="str"/>
      <c r="G5079" s="59" t="str"/>
      <c r="H5079" s="64" t="str"/>
      <c r="I5079" s="65" t="str"/>
      <c r="J5079" s="49" t="str"/>
      <c r="K5079" s="41" t="str"/>
      <c r="L5079" s="41" t="str"/>
      <c r="M5079" s="41" t="str"/>
      <c r="N5079" s="41" t="str"/>
      <c r="O5079" s="41" t="str"/>
      <c r="P5079" s="41" t="str"/>
      <c r="Q5079" s="41" t="str"/>
      <c r="R5079" s="41" t="str"/>
      <c r="S5079" s="41" t="str"/>
      <c r="T5079" s="41" t="str"/>
      <c r="U5079" s="41" t="str"/>
      <c r="V5079" s="41" t="str"/>
      <c r="W5079" s="41" t="str"/>
    </row>
    <row r="5080">
      <c r="B5080" s="2" t="n"/>
      <c r="C5080" s="40" t="n"/>
      <c r="D5080" s="52">
        <f t="array" ref="D5080:W5080">IF(All_Students_Scores!C5078:V5078="","",All_Students_Scores!C5078:V5078)</f>
        <v/>
      </c>
      <c r="E5080" s="57" t="str"/>
      <c r="F5080" s="49" t="str"/>
      <c r="G5080" s="59" t="str"/>
      <c r="H5080" s="64" t="str"/>
      <c r="I5080" s="65" t="str"/>
      <c r="J5080" s="49" t="str"/>
      <c r="K5080" s="41" t="str"/>
      <c r="L5080" s="41" t="str"/>
      <c r="M5080" s="41" t="str"/>
      <c r="N5080" s="41" t="str"/>
      <c r="O5080" s="41" t="str"/>
      <c r="P5080" s="41" t="str"/>
      <c r="Q5080" s="41" t="str"/>
      <c r="R5080" s="41" t="str"/>
      <c r="S5080" s="41" t="str"/>
      <c r="T5080" s="41" t="str"/>
      <c r="U5080" s="41" t="str"/>
      <c r="V5080" s="41" t="str"/>
      <c r="W5080" s="41" t="str"/>
    </row>
    <row r="5081">
      <c r="B5081" s="2" t="n"/>
      <c r="C5081" s="40" t="n"/>
      <c r="D5081" s="52">
        <f t="array" ref="D5081:W5081">IF(All_Students_Scores!C5079:V5079="","",All_Students_Scores!C5079:V5079)</f>
        <v/>
      </c>
      <c r="E5081" s="57" t="str"/>
      <c r="F5081" s="49" t="str"/>
      <c r="G5081" s="59" t="str"/>
      <c r="H5081" s="64" t="str"/>
      <c r="I5081" s="65" t="str"/>
      <c r="J5081" s="49" t="str"/>
      <c r="K5081" s="41" t="str"/>
      <c r="L5081" s="41" t="str"/>
      <c r="M5081" s="41" t="str"/>
      <c r="N5081" s="41" t="str"/>
      <c r="O5081" s="41" t="str"/>
      <c r="P5081" s="41" t="str"/>
      <c r="Q5081" s="41" t="str"/>
      <c r="R5081" s="41" t="str"/>
      <c r="S5081" s="41" t="str"/>
      <c r="T5081" s="41" t="str"/>
      <c r="U5081" s="41" t="str"/>
      <c r="V5081" s="41" t="str"/>
      <c r="W5081" s="41" t="str"/>
    </row>
    <row r="5082">
      <c r="B5082" s="2" t="n"/>
      <c r="C5082" s="40" t="n"/>
      <c r="D5082" s="52">
        <f t="array" ref="D5082:W5082">IF(All_Students_Scores!C5080:V5080="","",All_Students_Scores!C5080:V5080)</f>
        <v/>
      </c>
      <c r="E5082" s="57" t="str"/>
      <c r="F5082" s="49" t="str"/>
      <c r="G5082" s="59" t="str"/>
      <c r="H5082" s="64" t="str"/>
      <c r="I5082" s="65" t="str"/>
      <c r="J5082" s="49" t="str"/>
      <c r="K5082" s="41" t="str"/>
      <c r="L5082" s="41" t="str"/>
      <c r="M5082" s="41" t="str"/>
      <c r="N5082" s="41" t="str"/>
      <c r="O5082" s="41" t="str"/>
      <c r="P5082" s="41" t="str"/>
      <c r="Q5082" s="41" t="str"/>
      <c r="R5082" s="41" t="str"/>
      <c r="S5082" s="41" t="str"/>
      <c r="T5082" s="41" t="str"/>
      <c r="U5082" s="41" t="str"/>
      <c r="V5082" s="41" t="str"/>
      <c r="W5082" s="41" t="str"/>
    </row>
    <row r="5083">
      <c r="B5083" s="2" t="n"/>
      <c r="C5083" s="40" t="n"/>
      <c r="D5083" s="52">
        <f t="array" ref="D5083:W5083">IF(All_Students_Scores!C5081:V5081="","",All_Students_Scores!C5081:V5081)</f>
        <v/>
      </c>
      <c r="E5083" s="57" t="str"/>
      <c r="F5083" s="49" t="str"/>
      <c r="G5083" s="59" t="str"/>
      <c r="H5083" s="64" t="str"/>
      <c r="I5083" s="65" t="str"/>
      <c r="J5083" s="49" t="str"/>
      <c r="K5083" s="41" t="str"/>
      <c r="L5083" s="41" t="str"/>
      <c r="M5083" s="41" t="str"/>
      <c r="N5083" s="41" t="str"/>
      <c r="O5083" s="41" t="str"/>
      <c r="P5083" s="41" t="str"/>
      <c r="Q5083" s="41" t="str"/>
      <c r="R5083" s="41" t="str"/>
      <c r="S5083" s="41" t="str"/>
      <c r="T5083" s="41" t="str"/>
      <c r="U5083" s="41" t="str"/>
      <c r="V5083" s="41" t="str"/>
      <c r="W5083" s="41" t="str"/>
    </row>
    <row r="5084">
      <c r="B5084" s="2" t="n"/>
      <c r="C5084" s="40" t="n"/>
      <c r="D5084" s="52">
        <f t="array" ref="D5084:W5084">IF(All_Students_Scores!C5082:V5082="","",All_Students_Scores!C5082:V5082)</f>
        <v/>
      </c>
      <c r="E5084" s="57" t="str"/>
      <c r="F5084" s="49" t="str"/>
      <c r="G5084" s="59" t="str"/>
      <c r="H5084" s="64" t="str"/>
      <c r="I5084" s="65" t="str"/>
      <c r="J5084" s="49" t="str"/>
      <c r="K5084" s="41" t="str"/>
      <c r="L5084" s="41" t="str"/>
      <c r="M5084" s="41" t="str"/>
      <c r="N5084" s="41" t="str"/>
      <c r="O5084" s="41" t="str"/>
      <c r="P5084" s="41" t="str"/>
      <c r="Q5084" s="41" t="str"/>
      <c r="R5084" s="41" t="str"/>
      <c r="S5084" s="41" t="str"/>
      <c r="T5084" s="41" t="str"/>
      <c r="U5084" s="41" t="str"/>
      <c r="V5084" s="41" t="str"/>
      <c r="W5084" s="41" t="str"/>
    </row>
    <row r="5085">
      <c r="B5085" s="2" t="n"/>
      <c r="C5085" s="40" t="n"/>
      <c r="D5085" s="52">
        <f t="array" ref="D5085:W5085">IF(All_Students_Scores!C5083:V5083="","",All_Students_Scores!C5083:V5083)</f>
        <v/>
      </c>
      <c r="E5085" s="57" t="str"/>
      <c r="F5085" s="49" t="str"/>
      <c r="G5085" s="59" t="str"/>
      <c r="H5085" s="64" t="str"/>
      <c r="I5085" s="65" t="str"/>
      <c r="J5085" s="49" t="str"/>
      <c r="K5085" s="41" t="str"/>
      <c r="L5085" s="41" t="str"/>
      <c r="M5085" s="41" t="str"/>
      <c r="N5085" s="41" t="str"/>
      <c r="O5085" s="41" t="str"/>
      <c r="P5085" s="41" t="str"/>
      <c r="Q5085" s="41" t="str"/>
      <c r="R5085" s="41" t="str"/>
      <c r="S5085" s="41" t="str"/>
      <c r="T5085" s="41" t="str"/>
      <c r="U5085" s="41" t="str"/>
      <c r="V5085" s="41" t="str"/>
      <c r="W5085" s="41" t="str"/>
    </row>
    <row r="5086">
      <c r="B5086" s="2" t="n"/>
      <c r="C5086" s="40" t="n"/>
      <c r="D5086" s="52">
        <f t="array" ref="D5086:W5086">IF(All_Students_Scores!C5084:V5084="","",All_Students_Scores!C5084:V5084)</f>
        <v/>
      </c>
      <c r="E5086" s="57" t="str"/>
      <c r="F5086" s="49" t="str"/>
      <c r="G5086" s="59" t="str"/>
      <c r="H5086" s="64" t="str"/>
      <c r="I5086" s="65" t="str"/>
      <c r="J5086" s="49" t="str"/>
      <c r="K5086" s="41" t="str"/>
      <c r="L5086" s="41" t="str"/>
      <c r="M5086" s="41" t="str"/>
      <c r="N5086" s="41" t="str"/>
      <c r="O5086" s="41" t="str"/>
      <c r="P5086" s="41" t="str"/>
      <c r="Q5086" s="41" t="str"/>
      <c r="R5086" s="41" t="str"/>
      <c r="S5086" s="41" t="str"/>
      <c r="T5086" s="41" t="str"/>
      <c r="U5086" s="41" t="str"/>
      <c r="V5086" s="41" t="str"/>
      <c r="W5086" s="41" t="str"/>
    </row>
    <row r="5087">
      <c r="B5087" s="2" t="n"/>
      <c r="C5087" s="40" t="n"/>
      <c r="D5087" s="52">
        <f t="array" ref="D5087:W5087">IF(All_Students_Scores!C5085:V5085="","",All_Students_Scores!C5085:V5085)</f>
        <v/>
      </c>
      <c r="E5087" s="57" t="str"/>
      <c r="F5087" s="49" t="str"/>
      <c r="G5087" s="59" t="str"/>
      <c r="H5087" s="64" t="str"/>
      <c r="I5087" s="65" t="str"/>
      <c r="J5087" s="49" t="str"/>
      <c r="K5087" s="41" t="str"/>
      <c r="L5087" s="41" t="str"/>
      <c r="M5087" s="41" t="str"/>
      <c r="N5087" s="41" t="str"/>
      <c r="O5087" s="41" t="str"/>
      <c r="P5087" s="41" t="str"/>
      <c r="Q5087" s="41" t="str"/>
      <c r="R5087" s="41" t="str"/>
      <c r="S5087" s="41" t="str"/>
      <c r="T5087" s="41" t="str"/>
      <c r="U5087" s="41" t="str"/>
      <c r="V5087" s="41" t="str"/>
      <c r="W5087" s="41" t="str"/>
    </row>
    <row r="5088">
      <c r="B5088" s="2" t="n"/>
      <c r="C5088" s="40" t="n"/>
      <c r="D5088" s="52">
        <f t="array" ref="D5088:W5088">IF(All_Students_Scores!C5086:V5086="","",All_Students_Scores!C5086:V5086)</f>
        <v/>
      </c>
      <c r="E5088" s="57" t="str"/>
      <c r="F5088" s="49" t="str"/>
      <c r="G5088" s="59" t="str"/>
      <c r="H5088" s="64" t="str"/>
      <c r="I5088" s="65" t="str"/>
      <c r="J5088" s="49" t="str"/>
      <c r="K5088" s="41" t="str"/>
      <c r="L5088" s="41" t="str"/>
      <c r="M5088" s="41" t="str"/>
      <c r="N5088" s="41" t="str"/>
      <c r="O5088" s="41" t="str"/>
      <c r="P5088" s="41" t="str"/>
      <c r="Q5088" s="41" t="str"/>
      <c r="R5088" s="41" t="str"/>
      <c r="S5088" s="41" t="str"/>
      <c r="T5088" s="41" t="str"/>
      <c r="U5088" s="41" t="str"/>
      <c r="V5088" s="41" t="str"/>
      <c r="W5088" s="41" t="str"/>
    </row>
    <row r="5089">
      <c r="B5089" s="2" t="n"/>
      <c r="C5089" s="40" t="n"/>
      <c r="D5089" s="52">
        <f t="array" ref="D5089:W5089">IF(All_Students_Scores!C5087:V5087="","",All_Students_Scores!C5087:V5087)</f>
        <v/>
      </c>
      <c r="E5089" s="57" t="str"/>
      <c r="F5089" s="49" t="str"/>
      <c r="G5089" s="59" t="str"/>
      <c r="H5089" s="64" t="str"/>
      <c r="I5089" s="65" t="str"/>
      <c r="J5089" s="49" t="str"/>
      <c r="K5089" s="41" t="str"/>
      <c r="L5089" s="41" t="str"/>
      <c r="M5089" s="41" t="str"/>
      <c r="N5089" s="41" t="str"/>
      <c r="O5089" s="41" t="str"/>
      <c r="P5089" s="41" t="str"/>
      <c r="Q5089" s="41" t="str"/>
      <c r="R5089" s="41" t="str"/>
      <c r="S5089" s="41" t="str"/>
      <c r="T5089" s="41" t="str"/>
      <c r="U5089" s="41" t="str"/>
      <c r="V5089" s="41" t="str"/>
      <c r="W5089" s="41" t="str"/>
    </row>
    <row r="5090">
      <c r="B5090" s="2" t="n"/>
      <c r="C5090" s="40" t="n"/>
      <c r="D5090" s="52">
        <f t="array" ref="D5090:W5090">IF(All_Students_Scores!C5088:V5088="","",All_Students_Scores!C5088:V5088)</f>
        <v/>
      </c>
      <c r="E5090" s="57" t="str"/>
      <c r="F5090" s="49" t="str"/>
      <c r="G5090" s="59" t="str"/>
      <c r="H5090" s="64" t="str"/>
      <c r="I5090" s="65" t="str"/>
      <c r="J5090" s="49" t="str"/>
      <c r="K5090" s="41" t="str"/>
      <c r="L5090" s="41" t="str"/>
      <c r="M5090" s="41" t="str"/>
      <c r="N5090" s="41" t="str"/>
      <c r="O5090" s="41" t="str"/>
      <c r="P5090" s="41" t="str"/>
      <c r="Q5090" s="41" t="str"/>
      <c r="R5090" s="41" t="str"/>
      <c r="S5090" s="41" t="str"/>
      <c r="T5090" s="41" t="str"/>
      <c r="U5090" s="41" t="str"/>
      <c r="V5090" s="41" t="str"/>
      <c r="W5090" s="41" t="str"/>
    </row>
    <row r="5091">
      <c r="B5091" s="2" t="n"/>
      <c r="C5091" s="40" t="n"/>
      <c r="D5091" s="52">
        <f t="array" ref="D5091:W5091">IF(All_Students_Scores!C5089:V5089="","",All_Students_Scores!C5089:V5089)</f>
        <v/>
      </c>
      <c r="E5091" s="57" t="str"/>
      <c r="F5091" s="49" t="str"/>
      <c r="G5091" s="59" t="str"/>
      <c r="H5091" s="64" t="str"/>
      <c r="I5091" s="65" t="str"/>
      <c r="J5091" s="49" t="str"/>
      <c r="K5091" s="41" t="str"/>
      <c r="L5091" s="41" t="str"/>
      <c r="M5091" s="41" t="str"/>
      <c r="N5091" s="41" t="str"/>
      <c r="O5091" s="41" t="str"/>
      <c r="P5091" s="41" t="str"/>
      <c r="Q5091" s="41" t="str"/>
      <c r="R5091" s="41" t="str"/>
      <c r="S5091" s="41" t="str"/>
      <c r="T5091" s="41" t="str"/>
      <c r="U5091" s="41" t="str"/>
      <c r="V5091" s="41" t="str"/>
      <c r="W5091" s="41" t="str"/>
    </row>
    <row r="5092">
      <c r="B5092" s="2" t="n"/>
      <c r="C5092" s="40" t="n"/>
      <c r="D5092" s="52">
        <f t="array" ref="D5092:W5092">IF(All_Students_Scores!C5090:V5090="","",All_Students_Scores!C5090:V5090)</f>
        <v/>
      </c>
      <c r="E5092" s="57" t="str"/>
      <c r="F5092" s="49" t="str"/>
      <c r="G5092" s="59" t="str"/>
      <c r="H5092" s="64" t="str"/>
      <c r="I5092" s="65" t="str"/>
      <c r="J5092" s="49" t="str"/>
      <c r="K5092" s="41" t="str"/>
      <c r="L5092" s="41" t="str"/>
      <c r="M5092" s="41" t="str"/>
      <c r="N5092" s="41" t="str"/>
      <c r="O5092" s="41" t="str"/>
      <c r="P5092" s="41" t="str"/>
      <c r="Q5092" s="41" t="str"/>
      <c r="R5092" s="41" t="str"/>
      <c r="S5092" s="41" t="str"/>
      <c r="T5092" s="41" t="str"/>
      <c r="U5092" s="41" t="str"/>
      <c r="V5092" s="41" t="str"/>
      <c r="W5092" s="41" t="str"/>
    </row>
    <row r="5093">
      <c r="B5093" s="2" t="n"/>
      <c r="C5093" s="40" t="n"/>
      <c r="D5093" s="52">
        <f t="array" ref="D5093:W5093">IF(All_Students_Scores!C5091:V5091="","",All_Students_Scores!C5091:V5091)</f>
        <v/>
      </c>
      <c r="E5093" s="57" t="str"/>
      <c r="F5093" s="49" t="str"/>
      <c r="G5093" s="59" t="str"/>
      <c r="H5093" s="64" t="str"/>
      <c r="I5093" s="65" t="str"/>
      <c r="J5093" s="49" t="str"/>
      <c r="K5093" s="41" t="str"/>
      <c r="L5093" s="41" t="str"/>
      <c r="M5093" s="41" t="str"/>
      <c r="N5093" s="41" t="str"/>
      <c r="O5093" s="41" t="str"/>
      <c r="P5093" s="41" t="str"/>
      <c r="Q5093" s="41" t="str"/>
      <c r="R5093" s="41" t="str"/>
      <c r="S5093" s="41" t="str"/>
      <c r="T5093" s="41" t="str"/>
      <c r="U5093" s="41" t="str"/>
      <c r="V5093" s="41" t="str"/>
      <c r="W5093" s="41" t="str"/>
    </row>
    <row r="5094">
      <c r="B5094" s="2" t="n"/>
      <c r="C5094" s="40" t="n"/>
      <c r="D5094" s="52">
        <f t="array" ref="D5094:W5094">IF(All_Students_Scores!C5092:V5092="","",All_Students_Scores!C5092:V5092)</f>
        <v/>
      </c>
      <c r="E5094" s="57" t="str"/>
      <c r="F5094" s="49" t="str"/>
      <c r="G5094" s="59" t="str"/>
      <c r="H5094" s="64" t="str"/>
      <c r="I5094" s="65" t="str"/>
      <c r="J5094" s="49" t="str"/>
      <c r="K5094" s="41" t="str"/>
      <c r="L5094" s="41" t="str"/>
      <c r="M5094" s="41" t="str"/>
      <c r="N5094" s="41" t="str"/>
      <c r="O5094" s="41" t="str"/>
      <c r="P5094" s="41" t="str"/>
      <c r="Q5094" s="41" t="str"/>
      <c r="R5094" s="41" t="str"/>
      <c r="S5094" s="41" t="str"/>
      <c r="T5094" s="41" t="str"/>
      <c r="U5094" s="41" t="str"/>
      <c r="V5094" s="41" t="str"/>
      <c r="W5094" s="41" t="str"/>
    </row>
    <row r="5095">
      <c r="B5095" s="2" t="n"/>
      <c r="C5095" s="40" t="n"/>
      <c r="D5095" s="52">
        <f t="array" ref="D5095:W5095">IF(All_Students_Scores!C5093:V5093="","",All_Students_Scores!C5093:V5093)</f>
        <v/>
      </c>
      <c r="E5095" s="57" t="str"/>
      <c r="F5095" s="49" t="str"/>
      <c r="G5095" s="59" t="str"/>
      <c r="H5095" s="64" t="str"/>
      <c r="I5095" s="65" t="str"/>
      <c r="J5095" s="49" t="str"/>
      <c r="K5095" s="41" t="str"/>
      <c r="L5095" s="41" t="str"/>
      <c r="M5095" s="41" t="str"/>
      <c r="N5095" s="41" t="str"/>
      <c r="O5095" s="41" t="str"/>
      <c r="P5095" s="41" t="str"/>
      <c r="Q5095" s="41" t="str"/>
      <c r="R5095" s="41" t="str"/>
      <c r="S5095" s="41" t="str"/>
      <c r="T5095" s="41" t="str"/>
      <c r="U5095" s="41" t="str"/>
      <c r="V5095" s="41" t="str"/>
      <c r="W5095" s="41" t="str"/>
    </row>
    <row r="5096">
      <c r="B5096" s="2" t="n"/>
      <c r="C5096" s="40" t="n"/>
      <c r="D5096" s="52">
        <f t="array" ref="D5096:W5096">IF(All_Students_Scores!C5094:V5094="","",All_Students_Scores!C5094:V5094)</f>
        <v/>
      </c>
      <c r="E5096" s="57" t="str"/>
      <c r="F5096" s="49" t="str"/>
      <c r="G5096" s="59" t="str"/>
      <c r="H5096" s="64" t="str"/>
      <c r="I5096" s="65" t="str"/>
      <c r="J5096" s="49" t="str"/>
      <c r="K5096" s="41" t="str"/>
      <c r="L5096" s="41" t="str"/>
      <c r="M5096" s="41" t="str"/>
      <c r="N5096" s="41" t="str"/>
      <c r="O5096" s="41" t="str"/>
      <c r="P5096" s="41" t="str"/>
      <c r="Q5096" s="41" t="str"/>
      <c r="R5096" s="41" t="str"/>
      <c r="S5096" s="41" t="str"/>
      <c r="T5096" s="41" t="str"/>
      <c r="U5096" s="41" t="str"/>
      <c r="V5096" s="41" t="str"/>
      <c r="W5096" s="41" t="str"/>
    </row>
    <row r="5097">
      <c r="B5097" s="2" t="n"/>
      <c r="C5097" s="40" t="n"/>
      <c r="D5097" s="52">
        <f t="array" ref="D5097:W5097">IF(All_Students_Scores!C5095:V5095="","",All_Students_Scores!C5095:V5095)</f>
        <v/>
      </c>
      <c r="E5097" s="57" t="str"/>
      <c r="F5097" s="49" t="str"/>
      <c r="G5097" s="59" t="str"/>
      <c r="H5097" s="64" t="str"/>
      <c r="I5097" s="65" t="str"/>
      <c r="J5097" s="49" t="str"/>
      <c r="K5097" s="41" t="str"/>
      <c r="L5097" s="41" t="str"/>
      <c r="M5097" s="41" t="str"/>
      <c r="N5097" s="41" t="str"/>
      <c r="O5097" s="41" t="str"/>
      <c r="P5097" s="41" t="str"/>
      <c r="Q5097" s="41" t="str"/>
      <c r="R5097" s="41" t="str"/>
      <c r="S5097" s="41" t="str"/>
      <c r="T5097" s="41" t="str"/>
      <c r="U5097" s="41" t="str"/>
      <c r="V5097" s="41" t="str"/>
      <c r="W5097" s="41" t="str"/>
    </row>
    <row r="5098">
      <c r="B5098" s="2" t="n"/>
      <c r="C5098" s="40" t="n"/>
      <c r="D5098" s="52">
        <f t="array" ref="D5098:W5098">IF(All_Students_Scores!C5096:V5096="","",All_Students_Scores!C5096:V5096)</f>
        <v/>
      </c>
      <c r="E5098" s="57" t="str"/>
      <c r="F5098" s="49" t="str"/>
      <c r="G5098" s="59" t="str"/>
      <c r="H5098" s="64" t="str"/>
      <c r="I5098" s="65" t="str"/>
      <c r="J5098" s="49" t="str"/>
      <c r="K5098" s="41" t="str"/>
      <c r="L5098" s="41" t="str"/>
      <c r="M5098" s="41" t="str"/>
      <c r="N5098" s="41" t="str"/>
      <c r="O5098" s="41" t="str"/>
      <c r="P5098" s="41" t="str"/>
      <c r="Q5098" s="41" t="str"/>
      <c r="R5098" s="41" t="str"/>
      <c r="S5098" s="41" t="str"/>
      <c r="T5098" s="41" t="str"/>
      <c r="U5098" s="41" t="str"/>
      <c r="V5098" s="41" t="str"/>
      <c r="W5098" s="41" t="str"/>
    </row>
    <row r="5099">
      <c r="B5099" s="2" t="n"/>
      <c r="C5099" s="40" t="n"/>
      <c r="D5099" s="52">
        <f t="array" ref="D5099:W5099">IF(All_Students_Scores!C5097:V5097="","",All_Students_Scores!C5097:V5097)</f>
        <v/>
      </c>
      <c r="E5099" s="57" t="str"/>
      <c r="F5099" s="49" t="str"/>
      <c r="G5099" s="59" t="str"/>
      <c r="H5099" s="64" t="str"/>
      <c r="I5099" s="65" t="str"/>
      <c r="J5099" s="49" t="str"/>
      <c r="K5099" s="41" t="str"/>
      <c r="L5099" s="41" t="str"/>
      <c r="M5099" s="41" t="str"/>
      <c r="N5099" s="41" t="str"/>
      <c r="O5099" s="41" t="str"/>
      <c r="P5099" s="41" t="str"/>
      <c r="Q5099" s="41" t="str"/>
      <c r="R5099" s="41" t="str"/>
      <c r="S5099" s="41" t="str"/>
      <c r="T5099" s="41" t="str"/>
      <c r="U5099" s="41" t="str"/>
      <c r="V5099" s="41" t="str"/>
      <c r="W5099" s="41" t="str"/>
    </row>
    <row r="5100">
      <c r="B5100" s="2" t="n"/>
      <c r="C5100" s="40" t="n"/>
      <c r="D5100" s="52">
        <f t="array" ref="D5100:W5100">IF(All_Students_Scores!C5098:V5098="","",All_Students_Scores!C5098:V5098)</f>
        <v/>
      </c>
      <c r="E5100" s="57" t="str"/>
      <c r="F5100" s="49" t="str"/>
      <c r="G5100" s="59" t="str"/>
      <c r="H5100" s="64" t="str"/>
      <c r="I5100" s="65" t="str"/>
      <c r="J5100" s="49" t="str"/>
      <c r="K5100" s="41" t="str"/>
      <c r="L5100" s="41" t="str"/>
      <c r="M5100" s="41" t="str"/>
      <c r="N5100" s="41" t="str"/>
      <c r="O5100" s="41" t="str"/>
      <c r="P5100" s="41" t="str"/>
      <c r="Q5100" s="41" t="str"/>
      <c r="R5100" s="41" t="str"/>
      <c r="S5100" s="41" t="str"/>
      <c r="T5100" s="41" t="str"/>
      <c r="U5100" s="41" t="str"/>
      <c r="V5100" s="41" t="str"/>
      <c r="W5100" s="41" t="str"/>
    </row>
    <row r="5101">
      <c r="B5101" s="2" t="n"/>
      <c r="C5101" s="40" t="n"/>
      <c r="D5101" s="52">
        <f t="array" ref="D5101:W5101">IF(All_Students_Scores!C5099:V5099="","",All_Students_Scores!C5099:V5099)</f>
        <v/>
      </c>
      <c r="E5101" s="57" t="str"/>
      <c r="F5101" s="49" t="str"/>
      <c r="G5101" s="59" t="str"/>
      <c r="H5101" s="64" t="str"/>
      <c r="I5101" s="65" t="str"/>
      <c r="J5101" s="49" t="str"/>
      <c r="K5101" s="41" t="str"/>
      <c r="L5101" s="41" t="str"/>
      <c r="M5101" s="41" t="str"/>
      <c r="N5101" s="41" t="str"/>
      <c r="O5101" s="41" t="str"/>
      <c r="P5101" s="41" t="str"/>
      <c r="Q5101" s="41" t="str"/>
      <c r="R5101" s="41" t="str"/>
      <c r="S5101" s="41" t="str"/>
      <c r="T5101" s="41" t="str"/>
      <c r="U5101" s="41" t="str"/>
      <c r="V5101" s="41" t="str"/>
      <c r="W5101" s="41" t="str"/>
    </row>
    <row r="5102">
      <c r="B5102" s="2" t="n"/>
      <c r="C5102" s="40" t="n"/>
      <c r="D5102" s="52">
        <f t="array" ref="D5102:W5102">IF(All_Students_Scores!C5100:V5100="","",All_Students_Scores!C5100:V5100)</f>
        <v/>
      </c>
      <c r="E5102" s="57" t="str"/>
      <c r="F5102" s="49" t="str"/>
      <c r="G5102" s="59" t="str"/>
      <c r="H5102" s="64" t="str"/>
      <c r="I5102" s="65" t="str"/>
      <c r="J5102" s="49" t="str"/>
      <c r="K5102" s="41" t="str"/>
      <c r="L5102" s="41" t="str"/>
      <c r="M5102" s="41" t="str"/>
      <c r="N5102" s="41" t="str"/>
      <c r="O5102" s="41" t="str"/>
      <c r="P5102" s="41" t="str"/>
      <c r="Q5102" s="41" t="str"/>
      <c r="R5102" s="41" t="str"/>
      <c r="S5102" s="41" t="str"/>
      <c r="T5102" s="41" t="str"/>
      <c r="U5102" s="41" t="str"/>
      <c r="V5102" s="41" t="str"/>
      <c r="W5102" s="41" t="str"/>
    </row>
    <row r="5103">
      <c r="B5103" s="2" t="n"/>
      <c r="C5103" s="40" t="n"/>
      <c r="D5103" s="52">
        <f t="array" ref="D5103:W5103">IF(All_Students_Scores!C5101:V5101="","",All_Students_Scores!C5101:V5101)</f>
        <v/>
      </c>
      <c r="E5103" s="57" t="str"/>
      <c r="F5103" s="49" t="str"/>
      <c r="G5103" s="59" t="str"/>
      <c r="H5103" s="64" t="str"/>
      <c r="I5103" s="65" t="str"/>
      <c r="J5103" s="49" t="str"/>
      <c r="K5103" s="41" t="str"/>
      <c r="L5103" s="41" t="str"/>
      <c r="M5103" s="41" t="str"/>
      <c r="N5103" s="41" t="str"/>
      <c r="O5103" s="41" t="str"/>
      <c r="P5103" s="41" t="str"/>
      <c r="Q5103" s="41" t="str"/>
      <c r="R5103" s="41" t="str"/>
      <c r="S5103" s="41" t="str"/>
      <c r="T5103" s="41" t="str"/>
      <c r="U5103" s="41" t="str"/>
      <c r="V5103" s="41" t="str"/>
      <c r="W5103" s="41" t="str"/>
    </row>
    <row r="5104">
      <c r="B5104" s="2" t="n"/>
      <c r="C5104" s="40" t="n"/>
      <c r="D5104" s="52">
        <f t="array" ref="D5104:W5104">IF(All_Students_Scores!C5102:V5102="","",All_Students_Scores!C5102:V5102)</f>
        <v/>
      </c>
      <c r="E5104" s="57" t="str"/>
      <c r="F5104" s="49" t="str"/>
      <c r="G5104" s="59" t="str"/>
      <c r="H5104" s="64" t="str"/>
      <c r="I5104" s="65" t="str"/>
      <c r="J5104" s="49" t="str"/>
      <c r="K5104" s="41" t="str"/>
      <c r="L5104" s="41" t="str"/>
      <c r="M5104" s="41" t="str"/>
      <c r="N5104" s="41" t="str"/>
      <c r="O5104" s="41" t="str"/>
      <c r="P5104" s="41" t="str"/>
      <c r="Q5104" s="41" t="str"/>
      <c r="R5104" s="41" t="str"/>
      <c r="S5104" s="41" t="str"/>
      <c r="T5104" s="41" t="str"/>
      <c r="U5104" s="41" t="str"/>
      <c r="V5104" s="41" t="str"/>
      <c r="W5104" s="41" t="str"/>
    </row>
    <row r="5105">
      <c r="B5105" s="2" t="n"/>
      <c r="C5105" s="40" t="n"/>
      <c r="D5105" s="52">
        <f t="array" ref="D5105:W5105">IF(All_Students_Scores!C5103:V5103="","",All_Students_Scores!C5103:V5103)</f>
        <v/>
      </c>
      <c r="E5105" s="57" t="str"/>
      <c r="F5105" s="49" t="str"/>
      <c r="G5105" s="59" t="str"/>
      <c r="H5105" s="64" t="str"/>
      <c r="I5105" s="65" t="str"/>
      <c r="J5105" s="49" t="str"/>
      <c r="K5105" s="41" t="str"/>
      <c r="L5105" s="41" t="str"/>
      <c r="M5105" s="41" t="str"/>
      <c r="N5105" s="41" t="str"/>
      <c r="O5105" s="41" t="str"/>
      <c r="P5105" s="41" t="str"/>
      <c r="Q5105" s="41" t="str"/>
      <c r="R5105" s="41" t="str"/>
      <c r="S5105" s="41" t="str"/>
      <c r="T5105" s="41" t="str"/>
      <c r="U5105" s="41" t="str"/>
      <c r="V5105" s="41" t="str"/>
      <c r="W5105" s="41" t="str"/>
    </row>
    <row r="5106">
      <c r="B5106" s="2" t="n"/>
      <c r="C5106" s="40" t="n"/>
      <c r="D5106" s="52">
        <f t="array" ref="D5106:W5106">IF(All_Students_Scores!C5104:V5104="","",All_Students_Scores!C5104:V5104)</f>
        <v/>
      </c>
      <c r="E5106" s="57" t="str"/>
      <c r="F5106" s="49" t="str"/>
      <c r="G5106" s="59" t="str"/>
      <c r="H5106" s="64" t="str"/>
      <c r="I5106" s="65" t="str"/>
      <c r="J5106" s="49" t="str"/>
      <c r="K5106" s="41" t="str"/>
      <c r="L5106" s="41" t="str"/>
      <c r="M5106" s="41" t="str"/>
      <c r="N5106" s="41" t="str"/>
      <c r="O5106" s="41" t="str"/>
      <c r="P5106" s="41" t="str"/>
      <c r="Q5106" s="41" t="str"/>
      <c r="R5106" s="41" t="str"/>
      <c r="S5106" s="41" t="str"/>
      <c r="T5106" s="41" t="str"/>
      <c r="U5106" s="41" t="str"/>
      <c r="V5106" s="41" t="str"/>
      <c r="W5106" s="41" t="str"/>
    </row>
    <row r="5107">
      <c r="B5107" s="2" t="n"/>
      <c r="C5107" s="40" t="n"/>
      <c r="D5107" s="52">
        <f t="array" ref="D5107:W5107">IF(All_Students_Scores!C5105:V5105="","",All_Students_Scores!C5105:V5105)</f>
        <v/>
      </c>
      <c r="E5107" s="57" t="str"/>
      <c r="F5107" s="49" t="str"/>
      <c r="G5107" s="59" t="str"/>
      <c r="H5107" s="64" t="str"/>
      <c r="I5107" s="65" t="str"/>
      <c r="J5107" s="49" t="str"/>
      <c r="K5107" s="41" t="str"/>
      <c r="L5107" s="41" t="str"/>
      <c r="M5107" s="41" t="str"/>
      <c r="N5107" s="41" t="str"/>
      <c r="O5107" s="41" t="str"/>
      <c r="P5107" s="41" t="str"/>
      <c r="Q5107" s="41" t="str"/>
      <c r="R5107" s="41" t="str"/>
      <c r="S5107" s="41" t="str"/>
      <c r="T5107" s="41" t="str"/>
      <c r="U5107" s="41" t="str"/>
      <c r="V5107" s="41" t="str"/>
      <c r="W5107" s="41" t="str"/>
    </row>
    <row r="5108">
      <c r="B5108" s="2" t="n"/>
      <c r="C5108" s="40" t="n"/>
      <c r="D5108" s="52">
        <f t="array" ref="D5108:W5108">IF(All_Students_Scores!C5106:V5106="","",All_Students_Scores!C5106:V5106)</f>
        <v/>
      </c>
      <c r="E5108" s="57" t="str"/>
      <c r="F5108" s="49" t="str"/>
      <c r="G5108" s="59" t="str"/>
      <c r="H5108" s="64" t="str"/>
      <c r="I5108" s="65" t="str"/>
      <c r="J5108" s="49" t="str"/>
      <c r="K5108" s="41" t="str"/>
      <c r="L5108" s="41" t="str"/>
      <c r="M5108" s="41" t="str"/>
      <c r="N5108" s="41" t="str"/>
      <c r="O5108" s="41" t="str"/>
      <c r="P5108" s="41" t="str"/>
      <c r="Q5108" s="41" t="str"/>
      <c r="R5108" s="41" t="str"/>
      <c r="S5108" s="41" t="str"/>
      <c r="T5108" s="41" t="str"/>
      <c r="U5108" s="41" t="str"/>
      <c r="V5108" s="41" t="str"/>
      <c r="W5108" s="41" t="str"/>
    </row>
    <row r="5109">
      <c r="B5109" s="2" t="n"/>
      <c r="C5109" s="40" t="n"/>
      <c r="D5109" s="52">
        <f t="array" ref="D5109:W5109">IF(All_Students_Scores!C5107:V5107="","",All_Students_Scores!C5107:V5107)</f>
        <v/>
      </c>
      <c r="E5109" s="57" t="str"/>
      <c r="F5109" s="49" t="str"/>
      <c r="G5109" s="59" t="str"/>
      <c r="H5109" s="64" t="str"/>
      <c r="I5109" s="65" t="str"/>
      <c r="J5109" s="49" t="str"/>
      <c r="K5109" s="41" t="str"/>
      <c r="L5109" s="41" t="str"/>
      <c r="M5109" s="41" t="str"/>
      <c r="N5109" s="41" t="str"/>
      <c r="O5109" s="41" t="str"/>
      <c r="P5109" s="41" t="str"/>
      <c r="Q5109" s="41" t="str"/>
      <c r="R5109" s="41" t="str"/>
      <c r="S5109" s="41" t="str"/>
      <c r="T5109" s="41" t="str"/>
      <c r="U5109" s="41" t="str"/>
      <c r="V5109" s="41" t="str"/>
      <c r="W5109" s="41" t="str"/>
    </row>
    <row r="5110">
      <c r="B5110" s="2" t="n"/>
      <c r="C5110" s="40" t="n"/>
      <c r="D5110" s="52">
        <f t="array" ref="D5110:W5110">IF(All_Students_Scores!C5108:V5108="","",All_Students_Scores!C5108:V5108)</f>
        <v/>
      </c>
      <c r="E5110" s="57" t="str"/>
      <c r="F5110" s="49" t="str"/>
      <c r="G5110" s="59" t="str"/>
      <c r="H5110" s="64" t="str"/>
      <c r="I5110" s="65" t="str"/>
      <c r="J5110" s="49" t="str"/>
      <c r="K5110" s="41" t="str"/>
      <c r="L5110" s="41" t="str"/>
      <c r="M5110" s="41" t="str"/>
      <c r="N5110" s="41" t="str"/>
      <c r="O5110" s="41" t="str"/>
      <c r="P5110" s="41" t="str"/>
      <c r="Q5110" s="41" t="str"/>
      <c r="R5110" s="41" t="str"/>
      <c r="S5110" s="41" t="str"/>
      <c r="T5110" s="41" t="str"/>
      <c r="U5110" s="41" t="str"/>
      <c r="V5110" s="41" t="str"/>
      <c r="W5110" s="41" t="str"/>
    </row>
    <row r="5111">
      <c r="B5111" s="2" t="n"/>
      <c r="C5111" s="40" t="n"/>
      <c r="D5111" s="52">
        <f t="array" ref="D5111:W5111">IF(All_Students_Scores!C5109:V5109="","",All_Students_Scores!C5109:V5109)</f>
        <v/>
      </c>
      <c r="E5111" s="57" t="str"/>
      <c r="F5111" s="49" t="str"/>
      <c r="G5111" s="59" t="str"/>
      <c r="H5111" s="64" t="str"/>
      <c r="I5111" s="65" t="str"/>
      <c r="J5111" s="49" t="str"/>
      <c r="K5111" s="41" t="str"/>
      <c r="L5111" s="41" t="str"/>
      <c r="M5111" s="41" t="str"/>
      <c r="N5111" s="41" t="str"/>
      <c r="O5111" s="41" t="str"/>
      <c r="P5111" s="41" t="str"/>
      <c r="Q5111" s="41" t="str"/>
      <c r="R5111" s="41" t="str"/>
      <c r="S5111" s="41" t="str"/>
      <c r="T5111" s="41" t="str"/>
      <c r="U5111" s="41" t="str"/>
      <c r="V5111" s="41" t="str"/>
      <c r="W5111" s="41" t="str"/>
    </row>
    <row r="5112">
      <c r="B5112" s="2" t="n"/>
      <c r="C5112" s="40" t="n"/>
      <c r="D5112" s="52">
        <f t="array" ref="D5112:W5112">IF(All_Students_Scores!C5110:V5110="","",All_Students_Scores!C5110:V5110)</f>
        <v/>
      </c>
      <c r="E5112" s="57" t="str"/>
      <c r="F5112" s="49" t="str"/>
      <c r="G5112" s="59" t="str"/>
      <c r="H5112" s="64" t="str"/>
      <c r="I5112" s="65" t="str"/>
      <c r="J5112" s="49" t="str"/>
      <c r="K5112" s="41" t="str"/>
      <c r="L5112" s="41" t="str"/>
      <c r="M5112" s="41" t="str"/>
      <c r="N5112" s="41" t="str"/>
      <c r="O5112" s="41" t="str"/>
      <c r="P5112" s="41" t="str"/>
      <c r="Q5112" s="41" t="str"/>
      <c r="R5112" s="41" t="str"/>
      <c r="S5112" s="41" t="str"/>
      <c r="T5112" s="41" t="str"/>
      <c r="U5112" s="41" t="str"/>
      <c r="V5112" s="41" t="str"/>
      <c r="W5112" s="41" t="str"/>
    </row>
    <row r="5113">
      <c r="B5113" s="2" t="n"/>
      <c r="C5113" s="40" t="n"/>
      <c r="D5113" s="52">
        <f t="array" ref="D5113:W5113">IF(All_Students_Scores!C5111:V5111="","",All_Students_Scores!C5111:V5111)</f>
        <v/>
      </c>
      <c r="E5113" s="57" t="str"/>
      <c r="F5113" s="49" t="str"/>
      <c r="G5113" s="59" t="str"/>
      <c r="H5113" s="64" t="str"/>
      <c r="I5113" s="65" t="str"/>
      <c r="J5113" s="49" t="str"/>
      <c r="K5113" s="41" t="str"/>
      <c r="L5113" s="41" t="str"/>
      <c r="M5113" s="41" t="str"/>
      <c r="N5113" s="41" t="str"/>
      <c r="O5113" s="41" t="str"/>
      <c r="P5113" s="41" t="str"/>
      <c r="Q5113" s="41" t="str"/>
      <c r="R5113" s="41" t="str"/>
      <c r="S5113" s="41" t="str"/>
      <c r="T5113" s="41" t="str"/>
      <c r="U5113" s="41" t="str"/>
      <c r="V5113" s="41" t="str"/>
      <c r="W5113" s="41" t="str"/>
    </row>
    <row r="5114">
      <c r="B5114" s="2" t="n"/>
      <c r="C5114" s="40" t="n"/>
      <c r="D5114" s="52">
        <f t="array" ref="D5114:W5114">IF(All_Students_Scores!C5112:V5112="","",All_Students_Scores!C5112:V5112)</f>
        <v/>
      </c>
      <c r="E5114" s="57" t="str"/>
      <c r="F5114" s="49" t="str"/>
      <c r="G5114" s="59" t="str"/>
      <c r="H5114" s="64" t="str"/>
      <c r="I5114" s="65" t="str"/>
      <c r="J5114" s="49" t="str"/>
      <c r="K5114" s="41" t="str"/>
      <c r="L5114" s="41" t="str"/>
      <c r="M5114" s="41" t="str"/>
      <c r="N5114" s="41" t="str"/>
      <c r="O5114" s="41" t="str"/>
      <c r="P5114" s="41" t="str"/>
      <c r="Q5114" s="41" t="str"/>
      <c r="R5114" s="41" t="str"/>
      <c r="S5114" s="41" t="str"/>
      <c r="T5114" s="41" t="str"/>
      <c r="U5114" s="41" t="str"/>
      <c r="V5114" s="41" t="str"/>
      <c r="W5114" s="41" t="str"/>
    </row>
    <row r="5115">
      <c r="B5115" s="2" t="n"/>
      <c r="C5115" s="40" t="n"/>
      <c r="D5115" s="52">
        <f t="array" ref="D5115:W5115">IF(All_Students_Scores!C5113:V5113="","",All_Students_Scores!C5113:V5113)</f>
        <v/>
      </c>
      <c r="E5115" s="57" t="str"/>
      <c r="F5115" s="49" t="str"/>
      <c r="G5115" s="59" t="str"/>
      <c r="H5115" s="64" t="str"/>
      <c r="I5115" s="65" t="str"/>
      <c r="J5115" s="49" t="str"/>
      <c r="K5115" s="41" t="str"/>
      <c r="L5115" s="41" t="str"/>
      <c r="M5115" s="41" t="str"/>
      <c r="N5115" s="41" t="str"/>
      <c r="O5115" s="41" t="str"/>
      <c r="P5115" s="41" t="str"/>
      <c r="Q5115" s="41" t="str"/>
      <c r="R5115" s="41" t="str"/>
      <c r="S5115" s="41" t="str"/>
      <c r="T5115" s="41" t="str"/>
      <c r="U5115" s="41" t="str"/>
      <c r="V5115" s="41" t="str"/>
      <c r="W5115" s="41" t="str"/>
    </row>
    <row r="5116">
      <c r="B5116" s="2" t="n"/>
      <c r="C5116" s="40" t="n"/>
      <c r="D5116" s="52">
        <f t="array" ref="D5116:W5116">IF(All_Students_Scores!C5114:V5114="","",All_Students_Scores!C5114:V5114)</f>
        <v/>
      </c>
      <c r="E5116" s="57" t="str"/>
      <c r="F5116" s="49" t="str"/>
      <c r="G5116" s="59" t="str"/>
      <c r="H5116" s="64" t="str"/>
      <c r="I5116" s="65" t="str"/>
      <c r="J5116" s="49" t="str"/>
      <c r="K5116" s="41" t="str"/>
      <c r="L5116" s="41" t="str"/>
      <c r="M5116" s="41" t="str"/>
      <c r="N5116" s="41" t="str"/>
      <c r="O5116" s="41" t="str"/>
      <c r="P5116" s="41" t="str"/>
      <c r="Q5116" s="41" t="str"/>
      <c r="R5116" s="41" t="str"/>
      <c r="S5116" s="41" t="str"/>
      <c r="T5116" s="41" t="str"/>
      <c r="U5116" s="41" t="str"/>
      <c r="V5116" s="41" t="str"/>
      <c r="W5116" s="41" t="str"/>
    </row>
    <row r="5117">
      <c r="B5117" s="2" t="n"/>
      <c r="C5117" s="40" t="n"/>
      <c r="D5117" s="52">
        <f t="array" ref="D5117:W5117">IF(All_Students_Scores!C5115:V5115="","",All_Students_Scores!C5115:V5115)</f>
        <v/>
      </c>
      <c r="E5117" s="57" t="str"/>
      <c r="F5117" s="49" t="str"/>
      <c r="G5117" s="59" t="str"/>
      <c r="H5117" s="64" t="str"/>
      <c r="I5117" s="65" t="str"/>
      <c r="J5117" s="49" t="str"/>
      <c r="K5117" s="41" t="str"/>
      <c r="L5117" s="41" t="str"/>
      <c r="M5117" s="41" t="str"/>
      <c r="N5117" s="41" t="str"/>
      <c r="O5117" s="41" t="str"/>
      <c r="P5117" s="41" t="str"/>
      <c r="Q5117" s="41" t="str"/>
      <c r="R5117" s="41" t="str"/>
      <c r="S5117" s="41" t="str"/>
      <c r="T5117" s="41" t="str"/>
      <c r="U5117" s="41" t="str"/>
      <c r="V5117" s="41" t="str"/>
      <c r="W5117" s="41" t="str"/>
    </row>
    <row r="5118">
      <c r="B5118" s="2" t="n"/>
      <c r="C5118" s="40" t="n"/>
      <c r="D5118" s="52">
        <f t="array" ref="D5118:W5118">IF(All_Students_Scores!C5116:V5116="","",All_Students_Scores!C5116:V5116)</f>
        <v/>
      </c>
      <c r="E5118" s="57" t="str"/>
      <c r="F5118" s="49" t="str"/>
      <c r="G5118" s="59" t="str"/>
      <c r="H5118" s="64" t="str"/>
      <c r="I5118" s="65" t="str"/>
      <c r="J5118" s="49" t="str"/>
      <c r="K5118" s="41" t="str"/>
      <c r="L5118" s="41" t="str"/>
      <c r="M5118" s="41" t="str"/>
      <c r="N5118" s="41" t="str"/>
      <c r="O5118" s="41" t="str"/>
      <c r="P5118" s="41" t="str"/>
      <c r="Q5118" s="41" t="str"/>
      <c r="R5118" s="41" t="str"/>
      <c r="S5118" s="41" t="str"/>
      <c r="T5118" s="41" t="str"/>
      <c r="U5118" s="41" t="str"/>
      <c r="V5118" s="41" t="str"/>
      <c r="W5118" s="41" t="str"/>
    </row>
    <row r="5119">
      <c r="B5119" s="2" t="n"/>
      <c r="C5119" s="40" t="n"/>
      <c r="D5119" s="52">
        <f t="array" ref="D5119:W5119">IF(All_Students_Scores!C5117:V5117="","",All_Students_Scores!C5117:V5117)</f>
        <v/>
      </c>
      <c r="E5119" s="57" t="str"/>
      <c r="F5119" s="49" t="str"/>
      <c r="G5119" s="59" t="str"/>
      <c r="H5119" s="64" t="str"/>
      <c r="I5119" s="65" t="str"/>
      <c r="J5119" s="49" t="str"/>
      <c r="K5119" s="41" t="str"/>
      <c r="L5119" s="41" t="str"/>
      <c r="M5119" s="41" t="str"/>
      <c r="N5119" s="41" t="str"/>
      <c r="O5119" s="41" t="str"/>
      <c r="P5119" s="41" t="str"/>
      <c r="Q5119" s="41" t="str"/>
      <c r="R5119" s="41" t="str"/>
      <c r="S5119" s="41" t="str"/>
      <c r="T5119" s="41" t="str"/>
      <c r="U5119" s="41" t="str"/>
      <c r="V5119" s="41" t="str"/>
      <c r="W5119" s="41" t="str"/>
    </row>
    <row r="5120">
      <c r="B5120" s="2" t="n"/>
      <c r="C5120" s="40" t="n"/>
      <c r="D5120" s="52">
        <f t="array" ref="D5120:W5120">IF(All_Students_Scores!C5118:V5118="","",All_Students_Scores!C5118:V5118)</f>
        <v/>
      </c>
      <c r="E5120" s="57" t="str"/>
      <c r="F5120" s="49" t="str"/>
      <c r="G5120" s="59" t="str"/>
      <c r="H5120" s="64" t="str"/>
      <c r="I5120" s="65" t="str"/>
      <c r="J5120" s="49" t="str"/>
      <c r="K5120" s="41" t="str"/>
      <c r="L5120" s="41" t="str"/>
      <c r="M5120" s="41" t="str"/>
      <c r="N5120" s="41" t="str"/>
      <c r="O5120" s="41" t="str"/>
      <c r="P5120" s="41" t="str"/>
      <c r="Q5120" s="41" t="str"/>
      <c r="R5120" s="41" t="str"/>
      <c r="S5120" s="41" t="str"/>
      <c r="T5120" s="41" t="str"/>
      <c r="U5120" s="41" t="str"/>
      <c r="V5120" s="41" t="str"/>
      <c r="W5120" s="41" t="str"/>
    </row>
    <row r="5121">
      <c r="B5121" s="2" t="n"/>
      <c r="C5121" s="40" t="n"/>
      <c r="D5121" s="52">
        <f t="array" ref="D5121:W5121">IF(All_Students_Scores!C5119:V5119="","",All_Students_Scores!C5119:V5119)</f>
        <v/>
      </c>
      <c r="E5121" s="57" t="str"/>
      <c r="F5121" s="49" t="str"/>
      <c r="G5121" s="59" t="str"/>
      <c r="H5121" s="64" t="str"/>
      <c r="I5121" s="65" t="str"/>
      <c r="J5121" s="49" t="str"/>
      <c r="K5121" s="41" t="str"/>
      <c r="L5121" s="41" t="str"/>
      <c r="M5121" s="41" t="str"/>
      <c r="N5121" s="41" t="str"/>
      <c r="O5121" s="41" t="str"/>
      <c r="P5121" s="41" t="str"/>
      <c r="Q5121" s="41" t="str"/>
      <c r="R5121" s="41" t="str"/>
      <c r="S5121" s="41" t="str"/>
      <c r="T5121" s="41" t="str"/>
      <c r="U5121" s="41" t="str"/>
      <c r="V5121" s="41" t="str"/>
      <c r="W5121" s="41" t="str"/>
    </row>
    <row r="5122">
      <c r="B5122" s="2" t="n"/>
      <c r="C5122" s="40" t="n"/>
      <c r="D5122" s="52">
        <f t="array" ref="D5122:W5122">IF(All_Students_Scores!C5120:V5120="","",All_Students_Scores!C5120:V5120)</f>
        <v/>
      </c>
      <c r="E5122" s="57" t="str"/>
      <c r="F5122" s="49" t="str"/>
      <c r="G5122" s="59" t="str"/>
      <c r="H5122" s="64" t="str"/>
      <c r="I5122" s="65" t="str"/>
      <c r="J5122" s="49" t="str"/>
      <c r="K5122" s="41" t="str"/>
      <c r="L5122" s="41" t="str"/>
      <c r="M5122" s="41" t="str"/>
      <c r="N5122" s="41" t="str"/>
      <c r="O5122" s="41" t="str"/>
      <c r="P5122" s="41" t="str"/>
      <c r="Q5122" s="41" t="str"/>
      <c r="R5122" s="41" t="str"/>
      <c r="S5122" s="41" t="str"/>
      <c r="T5122" s="41" t="str"/>
      <c r="U5122" s="41" t="str"/>
      <c r="V5122" s="41" t="str"/>
      <c r="W5122" s="41" t="str"/>
    </row>
    <row r="5123">
      <c r="B5123" s="2" t="n"/>
      <c r="C5123" s="40" t="n"/>
      <c r="D5123" s="52">
        <f t="array" ref="D5123:W5123">IF(All_Students_Scores!C5121:V5121="","",All_Students_Scores!C5121:V5121)</f>
        <v/>
      </c>
      <c r="E5123" s="57" t="str"/>
      <c r="F5123" s="49" t="str"/>
      <c r="G5123" s="59" t="str"/>
      <c r="H5123" s="64" t="str"/>
      <c r="I5123" s="65" t="str"/>
      <c r="J5123" s="49" t="str"/>
      <c r="K5123" s="41" t="str"/>
      <c r="L5123" s="41" t="str"/>
      <c r="M5123" s="41" t="str"/>
      <c r="N5123" s="41" t="str"/>
      <c r="O5123" s="41" t="str"/>
      <c r="P5123" s="41" t="str"/>
      <c r="Q5123" s="41" t="str"/>
      <c r="R5123" s="41" t="str"/>
      <c r="S5123" s="41" t="str"/>
      <c r="T5123" s="41" t="str"/>
      <c r="U5123" s="41" t="str"/>
      <c r="V5123" s="41" t="str"/>
      <c r="W5123" s="41" t="str"/>
    </row>
    <row r="5124">
      <c r="B5124" s="2" t="n"/>
      <c r="C5124" s="40" t="n"/>
      <c r="D5124" s="52">
        <f t="array" ref="D5124:W5124">IF(All_Students_Scores!C5122:V5122="","",All_Students_Scores!C5122:V5122)</f>
        <v/>
      </c>
      <c r="E5124" s="57" t="str"/>
      <c r="F5124" s="49" t="str"/>
      <c r="G5124" s="59" t="str"/>
      <c r="H5124" s="64" t="str"/>
      <c r="I5124" s="65" t="str"/>
      <c r="J5124" s="49" t="str"/>
      <c r="K5124" s="41" t="str"/>
      <c r="L5124" s="41" t="str"/>
      <c r="M5124" s="41" t="str"/>
      <c r="N5124" s="41" t="str"/>
      <c r="O5124" s="41" t="str"/>
      <c r="P5124" s="41" t="str"/>
      <c r="Q5124" s="41" t="str"/>
      <c r="R5124" s="41" t="str"/>
      <c r="S5124" s="41" t="str"/>
      <c r="T5124" s="41" t="str"/>
      <c r="U5124" s="41" t="str"/>
      <c r="V5124" s="41" t="str"/>
      <c r="W5124" s="41" t="str"/>
    </row>
    <row r="5125">
      <c r="B5125" s="2" t="n"/>
      <c r="C5125" s="40" t="n"/>
      <c r="D5125" s="52">
        <f t="array" ref="D5125:W5125">IF(All_Students_Scores!C5123:V5123="","",All_Students_Scores!C5123:V5123)</f>
        <v/>
      </c>
      <c r="E5125" s="57" t="str"/>
      <c r="F5125" s="49" t="str"/>
      <c r="G5125" s="59" t="str"/>
      <c r="H5125" s="64" t="str"/>
      <c r="I5125" s="65" t="str"/>
      <c r="J5125" s="49" t="str"/>
      <c r="K5125" s="41" t="str"/>
      <c r="L5125" s="41" t="str"/>
      <c r="M5125" s="41" t="str"/>
      <c r="N5125" s="41" t="str"/>
      <c r="O5125" s="41" t="str"/>
      <c r="P5125" s="41" t="str"/>
      <c r="Q5125" s="41" t="str"/>
      <c r="R5125" s="41" t="str"/>
      <c r="S5125" s="41" t="str"/>
      <c r="T5125" s="41" t="str"/>
      <c r="U5125" s="41" t="str"/>
      <c r="V5125" s="41" t="str"/>
      <c r="W5125" s="41" t="str"/>
    </row>
    <row r="5126">
      <c r="B5126" s="2" t="n"/>
      <c r="C5126" s="40" t="n"/>
      <c r="D5126" s="52">
        <f t="array" ref="D5126:W5126">IF(All_Students_Scores!C5124:V5124="","",All_Students_Scores!C5124:V5124)</f>
        <v/>
      </c>
      <c r="E5126" s="57" t="str"/>
      <c r="F5126" s="49" t="str"/>
      <c r="G5126" s="59" t="str"/>
      <c r="H5126" s="64" t="str"/>
      <c r="I5126" s="65" t="str"/>
      <c r="J5126" s="49" t="str"/>
      <c r="K5126" s="41" t="str"/>
      <c r="L5126" s="41" t="str"/>
      <c r="M5126" s="41" t="str"/>
      <c r="N5126" s="41" t="str"/>
      <c r="O5126" s="41" t="str"/>
      <c r="P5126" s="41" t="str"/>
      <c r="Q5126" s="41" t="str"/>
      <c r="R5126" s="41" t="str"/>
      <c r="S5126" s="41" t="str"/>
      <c r="T5126" s="41" t="str"/>
      <c r="U5126" s="41" t="str"/>
      <c r="V5126" s="41" t="str"/>
      <c r="W5126" s="41" t="str"/>
    </row>
    <row r="5127">
      <c r="B5127" s="2" t="n"/>
      <c r="C5127" s="40" t="n"/>
      <c r="D5127" s="52">
        <f t="array" ref="D5127:W5127">IF(All_Students_Scores!C5125:V5125="","",All_Students_Scores!C5125:V5125)</f>
        <v/>
      </c>
      <c r="E5127" s="57" t="str"/>
      <c r="F5127" s="49" t="str"/>
      <c r="G5127" s="59" t="str"/>
      <c r="H5127" s="64" t="str"/>
      <c r="I5127" s="65" t="str"/>
      <c r="J5127" s="49" t="str"/>
      <c r="K5127" s="41" t="str"/>
      <c r="L5127" s="41" t="str"/>
      <c r="M5127" s="41" t="str"/>
      <c r="N5127" s="41" t="str"/>
      <c r="O5127" s="41" t="str"/>
      <c r="P5127" s="41" t="str"/>
      <c r="Q5127" s="41" t="str"/>
      <c r="R5127" s="41" t="str"/>
      <c r="S5127" s="41" t="str"/>
      <c r="T5127" s="41" t="str"/>
      <c r="U5127" s="41" t="str"/>
      <c r="V5127" s="41" t="str"/>
      <c r="W5127" s="41" t="str"/>
    </row>
    <row r="5128">
      <c r="B5128" s="2" t="n"/>
      <c r="C5128" s="40" t="n"/>
      <c r="D5128" s="52">
        <f t="array" ref="D5128:W5128">IF(All_Students_Scores!C5126:V5126="","",All_Students_Scores!C5126:V5126)</f>
        <v/>
      </c>
      <c r="E5128" s="57" t="str"/>
      <c r="F5128" s="49" t="str"/>
      <c r="G5128" s="59" t="str"/>
      <c r="H5128" s="64" t="str"/>
      <c r="I5128" s="65" t="str"/>
      <c r="J5128" s="49" t="str"/>
      <c r="K5128" s="41" t="str"/>
      <c r="L5128" s="41" t="str"/>
      <c r="M5128" s="41" t="str"/>
      <c r="N5128" s="41" t="str"/>
      <c r="O5128" s="41" t="str"/>
      <c r="P5128" s="41" t="str"/>
      <c r="Q5128" s="41" t="str"/>
      <c r="R5128" s="41" t="str"/>
      <c r="S5128" s="41" t="str"/>
      <c r="T5128" s="41" t="str"/>
      <c r="U5128" s="41" t="str"/>
      <c r="V5128" s="41" t="str"/>
      <c r="W5128" s="41" t="str"/>
    </row>
    <row r="5129">
      <c r="B5129" s="2" t="n"/>
      <c r="C5129" s="40" t="n"/>
      <c r="D5129" s="52">
        <f t="array" ref="D5129:W5129">IF(All_Students_Scores!C5127:V5127="","",All_Students_Scores!C5127:V5127)</f>
        <v/>
      </c>
      <c r="E5129" s="57" t="str"/>
      <c r="F5129" s="49" t="str"/>
      <c r="G5129" s="59" t="str"/>
      <c r="H5129" s="64" t="str"/>
      <c r="I5129" s="65" t="str"/>
      <c r="J5129" s="49" t="str"/>
      <c r="K5129" s="41" t="str"/>
      <c r="L5129" s="41" t="str"/>
      <c r="M5129" s="41" t="str"/>
      <c r="N5129" s="41" t="str"/>
      <c r="O5129" s="41" t="str"/>
      <c r="P5129" s="41" t="str"/>
      <c r="Q5129" s="41" t="str"/>
      <c r="R5129" s="41" t="str"/>
      <c r="S5129" s="41" t="str"/>
      <c r="T5129" s="41" t="str"/>
      <c r="U5129" s="41" t="str"/>
      <c r="V5129" s="41" t="str"/>
      <c r="W5129" s="41" t="str"/>
    </row>
    <row r="5130">
      <c r="B5130" s="2" t="n"/>
      <c r="C5130" s="40" t="n"/>
      <c r="D5130" s="52">
        <f t="array" ref="D5130:W5130">IF(All_Students_Scores!C5128:V5128="","",All_Students_Scores!C5128:V5128)</f>
        <v/>
      </c>
      <c r="E5130" s="57" t="str"/>
      <c r="F5130" s="49" t="str"/>
      <c r="G5130" s="59" t="str"/>
      <c r="H5130" s="64" t="str"/>
      <c r="I5130" s="65" t="str"/>
      <c r="J5130" s="49" t="str"/>
      <c r="K5130" s="41" t="str"/>
      <c r="L5130" s="41" t="str"/>
      <c r="M5130" s="41" t="str"/>
      <c r="N5130" s="41" t="str"/>
      <c r="O5130" s="41" t="str"/>
      <c r="P5130" s="41" t="str"/>
      <c r="Q5130" s="41" t="str"/>
      <c r="R5130" s="41" t="str"/>
      <c r="S5130" s="41" t="str"/>
      <c r="T5130" s="41" t="str"/>
      <c r="U5130" s="41" t="str"/>
      <c r="V5130" s="41" t="str"/>
      <c r="W5130" s="41" t="str"/>
    </row>
    <row r="5131">
      <c r="B5131" s="2" t="n"/>
      <c r="C5131" s="40" t="n"/>
      <c r="D5131" s="52">
        <f t="array" ref="D5131:W5131">IF(All_Students_Scores!C5129:V5129="","",All_Students_Scores!C5129:V5129)</f>
        <v/>
      </c>
      <c r="E5131" s="57" t="str"/>
      <c r="F5131" s="49" t="str"/>
      <c r="G5131" s="59" t="str"/>
      <c r="H5131" s="64" t="str"/>
      <c r="I5131" s="65" t="str"/>
      <c r="J5131" s="49" t="str"/>
      <c r="K5131" s="41" t="str"/>
      <c r="L5131" s="41" t="str"/>
      <c r="M5131" s="41" t="str"/>
      <c r="N5131" s="41" t="str"/>
      <c r="O5131" s="41" t="str"/>
      <c r="P5131" s="41" t="str"/>
      <c r="Q5131" s="41" t="str"/>
      <c r="R5131" s="41" t="str"/>
      <c r="S5131" s="41" t="str"/>
      <c r="T5131" s="41" t="str"/>
      <c r="U5131" s="41" t="str"/>
      <c r="V5131" s="41" t="str"/>
      <c r="W5131" s="41" t="str"/>
    </row>
    <row r="5132">
      <c r="B5132" s="2" t="n"/>
      <c r="C5132" s="40" t="n"/>
      <c r="D5132" s="52">
        <f t="array" ref="D5132:W5132">IF(All_Students_Scores!C5130:V5130="","",All_Students_Scores!C5130:V5130)</f>
        <v/>
      </c>
      <c r="E5132" s="57" t="str"/>
      <c r="F5132" s="49" t="str"/>
      <c r="G5132" s="59" t="str"/>
      <c r="H5132" s="64" t="str"/>
      <c r="I5132" s="65" t="str"/>
      <c r="J5132" s="49" t="str"/>
      <c r="K5132" s="41" t="str"/>
      <c r="L5132" s="41" t="str"/>
      <c r="M5132" s="41" t="str"/>
      <c r="N5132" s="41" t="str"/>
      <c r="O5132" s="41" t="str"/>
      <c r="P5132" s="41" t="str"/>
      <c r="Q5132" s="41" t="str"/>
      <c r="R5132" s="41" t="str"/>
      <c r="S5132" s="41" t="str"/>
      <c r="T5132" s="41" t="str"/>
      <c r="U5132" s="41" t="str"/>
      <c r="V5132" s="41" t="str"/>
      <c r="W5132" s="41" t="str"/>
    </row>
    <row r="5133">
      <c r="B5133" s="2" t="n"/>
      <c r="C5133" s="40" t="n"/>
      <c r="D5133" s="52">
        <f t="array" ref="D5133:W5133">IF(All_Students_Scores!C5131:V5131="","",All_Students_Scores!C5131:V5131)</f>
        <v/>
      </c>
      <c r="E5133" s="57" t="str"/>
      <c r="F5133" s="49" t="str"/>
      <c r="G5133" s="59" t="str"/>
      <c r="H5133" s="64" t="str"/>
      <c r="I5133" s="65" t="str"/>
      <c r="J5133" s="49" t="str"/>
      <c r="K5133" s="41" t="str"/>
      <c r="L5133" s="41" t="str"/>
      <c r="M5133" s="41" t="str"/>
      <c r="N5133" s="41" t="str"/>
      <c r="O5133" s="41" t="str"/>
      <c r="P5133" s="41" t="str"/>
      <c r="Q5133" s="41" t="str"/>
      <c r="R5133" s="41" t="str"/>
      <c r="S5133" s="41" t="str"/>
      <c r="T5133" s="41" t="str"/>
      <c r="U5133" s="41" t="str"/>
      <c r="V5133" s="41" t="str"/>
      <c r="W5133" s="41" t="str"/>
    </row>
    <row r="5134">
      <c r="B5134" s="2" t="n"/>
      <c r="C5134" s="40" t="n"/>
      <c r="D5134" s="52">
        <f t="array" ref="D5134:W5134">IF(All_Students_Scores!C5132:V5132="","",All_Students_Scores!C5132:V5132)</f>
        <v/>
      </c>
      <c r="E5134" s="57" t="str"/>
      <c r="F5134" s="49" t="str"/>
      <c r="G5134" s="59" t="str"/>
      <c r="H5134" s="64" t="str"/>
      <c r="I5134" s="65" t="str"/>
      <c r="J5134" s="49" t="str"/>
      <c r="K5134" s="41" t="str"/>
      <c r="L5134" s="41" t="str"/>
      <c r="M5134" s="41" t="str"/>
      <c r="N5134" s="41" t="str"/>
      <c r="O5134" s="41" t="str"/>
      <c r="P5134" s="41" t="str"/>
      <c r="Q5134" s="41" t="str"/>
      <c r="R5134" s="41" t="str"/>
      <c r="S5134" s="41" t="str"/>
      <c r="T5134" s="41" t="str"/>
      <c r="U5134" s="41" t="str"/>
      <c r="V5134" s="41" t="str"/>
      <c r="W5134" s="41" t="str"/>
    </row>
    <row r="5135">
      <c r="B5135" s="2" t="n"/>
      <c r="C5135" s="40" t="n"/>
      <c r="D5135" s="52">
        <f t="array" ref="D5135:W5135">IF(All_Students_Scores!C5133:V5133="","",All_Students_Scores!C5133:V5133)</f>
        <v/>
      </c>
      <c r="E5135" s="57" t="str"/>
      <c r="F5135" s="49" t="str"/>
      <c r="G5135" s="59" t="str"/>
      <c r="H5135" s="64" t="str"/>
      <c r="I5135" s="65" t="str"/>
      <c r="J5135" s="49" t="str"/>
      <c r="K5135" s="41" t="str"/>
      <c r="L5135" s="41" t="str"/>
      <c r="M5135" s="41" t="str"/>
      <c r="N5135" s="41" t="str"/>
      <c r="O5135" s="41" t="str"/>
      <c r="P5135" s="41" t="str"/>
      <c r="Q5135" s="41" t="str"/>
      <c r="R5135" s="41" t="str"/>
      <c r="S5135" s="41" t="str"/>
      <c r="T5135" s="41" t="str"/>
      <c r="U5135" s="41" t="str"/>
      <c r="V5135" s="41" t="str"/>
      <c r="W5135" s="41" t="str"/>
    </row>
    <row r="5136">
      <c r="B5136" s="2" t="n"/>
      <c r="C5136" s="40" t="n"/>
      <c r="D5136" s="52">
        <f t="array" ref="D5136:W5136">IF(All_Students_Scores!C5134:V5134="","",All_Students_Scores!C5134:V5134)</f>
        <v/>
      </c>
      <c r="E5136" s="57" t="str"/>
      <c r="F5136" s="49" t="str"/>
      <c r="G5136" s="59" t="str"/>
      <c r="H5136" s="64" t="str"/>
      <c r="I5136" s="65" t="str"/>
      <c r="J5136" s="49" t="str"/>
      <c r="K5136" s="41" t="str"/>
      <c r="L5136" s="41" t="str"/>
      <c r="M5136" s="41" t="str"/>
      <c r="N5136" s="41" t="str"/>
      <c r="O5136" s="41" t="str"/>
      <c r="P5136" s="41" t="str"/>
      <c r="Q5136" s="41" t="str"/>
      <c r="R5136" s="41" t="str"/>
      <c r="S5136" s="41" t="str"/>
      <c r="T5136" s="41" t="str"/>
      <c r="U5136" s="41" t="str"/>
      <c r="V5136" s="41" t="str"/>
      <c r="W5136" s="41" t="str"/>
    </row>
    <row r="5137">
      <c r="B5137" s="2" t="n"/>
      <c r="C5137" s="40" t="n"/>
      <c r="D5137" s="52">
        <f t="array" ref="D5137:W5137">IF(All_Students_Scores!C5135:V5135="","",All_Students_Scores!C5135:V5135)</f>
        <v/>
      </c>
      <c r="E5137" s="57" t="str"/>
      <c r="F5137" s="49" t="str"/>
      <c r="G5137" s="59" t="str"/>
      <c r="H5137" s="64" t="str"/>
      <c r="I5137" s="65" t="str"/>
      <c r="J5137" s="49" t="str"/>
      <c r="K5137" s="41" t="str"/>
      <c r="L5137" s="41" t="str"/>
      <c r="M5137" s="41" t="str"/>
      <c r="N5137" s="41" t="str"/>
      <c r="O5137" s="41" t="str"/>
      <c r="P5137" s="41" t="str"/>
      <c r="Q5137" s="41" t="str"/>
      <c r="R5137" s="41" t="str"/>
      <c r="S5137" s="41" t="str"/>
      <c r="T5137" s="41" t="str"/>
      <c r="U5137" s="41" t="str"/>
      <c r="V5137" s="41" t="str"/>
      <c r="W5137" s="41" t="str"/>
    </row>
    <row r="5138">
      <c r="B5138" s="2" t="n"/>
      <c r="C5138" s="40" t="n"/>
      <c r="D5138" s="52">
        <f t="array" ref="D5138:W5138">IF(All_Students_Scores!C5136:V5136="","",All_Students_Scores!C5136:V5136)</f>
        <v/>
      </c>
      <c r="E5138" s="57" t="str"/>
      <c r="F5138" s="49" t="str"/>
      <c r="G5138" s="59" t="str"/>
      <c r="H5138" s="64" t="str"/>
      <c r="I5138" s="65" t="str"/>
      <c r="J5138" s="49" t="str"/>
      <c r="K5138" s="41" t="str"/>
      <c r="L5138" s="41" t="str"/>
      <c r="M5138" s="41" t="str"/>
      <c r="N5138" s="41" t="str"/>
      <c r="O5138" s="41" t="str"/>
      <c r="P5138" s="41" t="str"/>
      <c r="Q5138" s="41" t="str"/>
      <c r="R5138" s="41" t="str"/>
      <c r="S5138" s="41" t="str"/>
      <c r="T5138" s="41" t="str"/>
      <c r="U5138" s="41" t="str"/>
      <c r="V5138" s="41" t="str"/>
      <c r="W5138" s="41" t="str"/>
    </row>
    <row r="5139">
      <c r="B5139" s="2" t="n"/>
      <c r="C5139" s="40" t="n"/>
      <c r="D5139" s="52">
        <f t="array" ref="D5139:W5139">IF(All_Students_Scores!C5137:V5137="","",All_Students_Scores!C5137:V5137)</f>
        <v/>
      </c>
      <c r="E5139" s="57" t="str"/>
      <c r="F5139" s="49" t="str"/>
      <c r="G5139" s="59" t="str"/>
      <c r="H5139" s="64" t="str"/>
      <c r="I5139" s="65" t="str"/>
      <c r="J5139" s="49" t="str"/>
      <c r="K5139" s="41" t="str"/>
      <c r="L5139" s="41" t="str"/>
      <c r="M5139" s="41" t="str"/>
      <c r="N5139" s="41" t="str"/>
      <c r="O5139" s="41" t="str"/>
      <c r="P5139" s="41" t="str"/>
      <c r="Q5139" s="41" t="str"/>
      <c r="R5139" s="41" t="str"/>
      <c r="S5139" s="41" t="str"/>
      <c r="T5139" s="41" t="str"/>
      <c r="U5139" s="41" t="str"/>
      <c r="V5139" s="41" t="str"/>
      <c r="W5139" s="41" t="str"/>
    </row>
    <row r="5140">
      <c r="B5140" s="2" t="n"/>
      <c r="C5140" s="40" t="n"/>
      <c r="D5140" s="52">
        <f t="array" ref="D5140:W5140">IF(All_Students_Scores!C5138:V5138="","",All_Students_Scores!C5138:V5138)</f>
        <v/>
      </c>
      <c r="E5140" s="57" t="str"/>
      <c r="F5140" s="49" t="str"/>
      <c r="G5140" s="59" t="str"/>
      <c r="H5140" s="64" t="str"/>
      <c r="I5140" s="65" t="str"/>
      <c r="J5140" s="49" t="str"/>
      <c r="K5140" s="41" t="str"/>
      <c r="L5140" s="41" t="str"/>
      <c r="M5140" s="41" t="str"/>
      <c r="N5140" s="41" t="str"/>
      <c r="O5140" s="41" t="str"/>
      <c r="P5140" s="41" t="str"/>
      <c r="Q5140" s="41" t="str"/>
      <c r="R5140" s="41" t="str"/>
      <c r="S5140" s="41" t="str"/>
      <c r="T5140" s="41" t="str"/>
      <c r="U5140" s="41" t="str"/>
      <c r="V5140" s="41" t="str"/>
      <c r="W5140" s="41" t="str"/>
    </row>
    <row r="5141">
      <c r="B5141" s="2" t="n"/>
      <c r="C5141" s="40" t="n"/>
      <c r="D5141" s="52">
        <f t="array" ref="D5141:W5141">IF(All_Students_Scores!C5139:V5139="","",All_Students_Scores!C5139:V5139)</f>
        <v/>
      </c>
      <c r="E5141" s="57" t="str"/>
      <c r="F5141" s="49" t="str"/>
      <c r="G5141" s="59" t="str"/>
      <c r="H5141" s="64" t="str"/>
      <c r="I5141" s="65" t="str"/>
      <c r="J5141" s="49" t="str"/>
      <c r="K5141" s="41" t="str"/>
      <c r="L5141" s="41" t="str"/>
      <c r="M5141" s="41" t="str"/>
      <c r="N5141" s="41" t="str"/>
      <c r="O5141" s="41" t="str"/>
      <c r="P5141" s="41" t="str"/>
      <c r="Q5141" s="41" t="str"/>
      <c r="R5141" s="41" t="str"/>
      <c r="S5141" s="41" t="str"/>
      <c r="T5141" s="41" t="str"/>
      <c r="U5141" s="41" t="str"/>
      <c r="V5141" s="41" t="str"/>
      <c r="W5141" s="41" t="str"/>
    </row>
    <row r="5142">
      <c r="B5142" s="2" t="n"/>
      <c r="C5142" s="40" t="n"/>
      <c r="D5142" s="52">
        <f t="array" ref="D5142:W5142">IF(All_Students_Scores!C5140:V5140="","",All_Students_Scores!C5140:V5140)</f>
        <v/>
      </c>
      <c r="E5142" s="57" t="str"/>
      <c r="F5142" s="49" t="str"/>
      <c r="G5142" s="59" t="str"/>
      <c r="H5142" s="64" t="str"/>
      <c r="I5142" s="65" t="str"/>
      <c r="J5142" s="49" t="str"/>
      <c r="K5142" s="41" t="str"/>
      <c r="L5142" s="41" t="str"/>
      <c r="M5142" s="41" t="str"/>
      <c r="N5142" s="41" t="str"/>
      <c r="O5142" s="41" t="str"/>
      <c r="P5142" s="41" t="str"/>
      <c r="Q5142" s="41" t="str"/>
      <c r="R5142" s="41" t="str"/>
      <c r="S5142" s="41" t="str"/>
      <c r="T5142" s="41" t="str"/>
      <c r="U5142" s="41" t="str"/>
      <c r="V5142" s="41" t="str"/>
      <c r="W5142" s="41" t="str"/>
    </row>
    <row r="5143">
      <c r="B5143" s="2" t="n"/>
      <c r="C5143" s="40" t="n"/>
      <c r="D5143" s="52">
        <f t="array" ref="D5143:W5143">IF(All_Students_Scores!C5141:V5141="","",All_Students_Scores!C5141:V5141)</f>
        <v/>
      </c>
      <c r="E5143" s="57" t="str"/>
      <c r="F5143" s="49" t="str"/>
      <c r="G5143" s="59" t="str"/>
      <c r="H5143" s="64" t="str"/>
      <c r="I5143" s="65" t="str"/>
      <c r="J5143" s="49" t="str"/>
      <c r="K5143" s="41" t="str"/>
      <c r="L5143" s="41" t="str"/>
      <c r="M5143" s="41" t="str"/>
      <c r="N5143" s="41" t="str"/>
      <c r="O5143" s="41" t="str"/>
      <c r="P5143" s="41" t="str"/>
      <c r="Q5143" s="41" t="str"/>
      <c r="R5143" s="41" t="str"/>
      <c r="S5143" s="41" t="str"/>
      <c r="T5143" s="41" t="str"/>
      <c r="U5143" s="41" t="str"/>
      <c r="V5143" s="41" t="str"/>
      <c r="W5143" s="41" t="str"/>
    </row>
    <row r="5144">
      <c r="B5144" s="2" t="n"/>
      <c r="C5144" s="40" t="n"/>
      <c r="D5144" s="52">
        <f t="array" ref="D5144:W5144">IF(All_Students_Scores!C5142:V5142="","",All_Students_Scores!C5142:V5142)</f>
        <v/>
      </c>
      <c r="E5144" s="57" t="str"/>
      <c r="F5144" s="49" t="str"/>
      <c r="G5144" s="59" t="str"/>
      <c r="H5144" s="64" t="str"/>
      <c r="I5144" s="65" t="str"/>
      <c r="J5144" s="49" t="str"/>
      <c r="K5144" s="41" t="str"/>
      <c r="L5144" s="41" t="str"/>
      <c r="M5144" s="41" t="str"/>
      <c r="N5144" s="41" t="str"/>
      <c r="O5144" s="41" t="str"/>
      <c r="P5144" s="41" t="str"/>
      <c r="Q5144" s="41" t="str"/>
      <c r="R5144" s="41" t="str"/>
      <c r="S5144" s="41" t="str"/>
      <c r="T5144" s="41" t="str"/>
      <c r="U5144" s="41" t="str"/>
      <c r="V5144" s="41" t="str"/>
      <c r="W5144" s="41" t="str"/>
    </row>
    <row r="5145">
      <c r="B5145" s="2" t="n"/>
      <c r="C5145" s="40" t="n"/>
      <c r="D5145" s="52">
        <f t="array" ref="D5145:W5145">IF(All_Students_Scores!C5143:V5143="","",All_Students_Scores!C5143:V5143)</f>
        <v/>
      </c>
      <c r="E5145" s="57" t="str"/>
      <c r="F5145" s="49" t="str"/>
      <c r="G5145" s="59" t="str"/>
      <c r="H5145" s="64" t="str"/>
      <c r="I5145" s="65" t="str"/>
      <c r="J5145" s="49" t="str"/>
      <c r="K5145" s="41" t="str"/>
      <c r="L5145" s="41" t="str"/>
      <c r="M5145" s="41" t="str"/>
      <c r="N5145" s="41" t="str"/>
      <c r="O5145" s="41" t="str"/>
      <c r="P5145" s="41" t="str"/>
      <c r="Q5145" s="41" t="str"/>
      <c r="R5145" s="41" t="str"/>
      <c r="S5145" s="41" t="str"/>
      <c r="T5145" s="41" t="str"/>
      <c r="U5145" s="41" t="str"/>
      <c r="V5145" s="41" t="str"/>
      <c r="W5145" s="41" t="str"/>
    </row>
    <row r="5146">
      <c r="B5146" s="2" t="n"/>
      <c r="C5146" s="40" t="n"/>
      <c r="D5146" s="52">
        <f t="array" ref="D5146:W5146">IF(All_Students_Scores!C5144:V5144="","",All_Students_Scores!C5144:V5144)</f>
        <v/>
      </c>
      <c r="E5146" s="57" t="str"/>
      <c r="F5146" s="49" t="str"/>
      <c r="G5146" s="59" t="str"/>
      <c r="H5146" s="64" t="str"/>
      <c r="I5146" s="65" t="str"/>
      <c r="J5146" s="49" t="str"/>
      <c r="K5146" s="41" t="str"/>
      <c r="L5146" s="41" t="str"/>
      <c r="M5146" s="41" t="str"/>
      <c r="N5146" s="41" t="str"/>
      <c r="O5146" s="41" t="str"/>
      <c r="P5146" s="41" t="str"/>
      <c r="Q5146" s="41" t="str"/>
      <c r="R5146" s="41" t="str"/>
      <c r="S5146" s="41" t="str"/>
      <c r="T5146" s="41" t="str"/>
      <c r="U5146" s="41" t="str"/>
      <c r="V5146" s="41" t="str"/>
      <c r="W5146" s="41" t="str"/>
    </row>
    <row r="5147">
      <c r="B5147" s="2" t="n"/>
      <c r="C5147" s="40" t="n"/>
      <c r="D5147" s="52">
        <f t="array" ref="D5147:W5147">IF(All_Students_Scores!C5145:V5145="","",All_Students_Scores!C5145:V5145)</f>
        <v/>
      </c>
      <c r="E5147" s="57" t="str"/>
      <c r="F5147" s="49" t="str"/>
      <c r="G5147" s="59" t="str"/>
      <c r="H5147" s="64" t="str"/>
      <c r="I5147" s="65" t="str"/>
      <c r="J5147" s="49" t="str"/>
      <c r="K5147" s="41" t="str"/>
      <c r="L5147" s="41" t="str"/>
      <c r="M5147" s="41" t="str"/>
      <c r="N5147" s="41" t="str"/>
      <c r="O5147" s="41" t="str"/>
      <c r="P5147" s="41" t="str"/>
      <c r="Q5147" s="41" t="str"/>
      <c r="R5147" s="41" t="str"/>
      <c r="S5147" s="41" t="str"/>
      <c r="T5147" s="41" t="str"/>
      <c r="U5147" s="41" t="str"/>
      <c r="V5147" s="41" t="str"/>
      <c r="W5147" s="41" t="str"/>
    </row>
    <row r="5148">
      <c r="B5148" s="2" t="n"/>
      <c r="C5148" s="40" t="n"/>
      <c r="D5148" s="52">
        <f t="array" ref="D5148:W5148">IF(All_Students_Scores!C5146:V5146="","",All_Students_Scores!C5146:V5146)</f>
        <v/>
      </c>
      <c r="E5148" s="57" t="str"/>
      <c r="F5148" s="49" t="str"/>
      <c r="G5148" s="59" t="str"/>
      <c r="H5148" s="64" t="str"/>
      <c r="I5148" s="65" t="str"/>
      <c r="J5148" s="49" t="str"/>
      <c r="K5148" s="41" t="str"/>
      <c r="L5148" s="41" t="str"/>
      <c r="M5148" s="41" t="str"/>
      <c r="N5148" s="41" t="str"/>
      <c r="O5148" s="41" t="str"/>
      <c r="P5148" s="41" t="str"/>
      <c r="Q5148" s="41" t="str"/>
      <c r="R5148" s="41" t="str"/>
      <c r="S5148" s="41" t="str"/>
      <c r="T5148" s="41" t="str"/>
      <c r="U5148" s="41" t="str"/>
      <c r="V5148" s="41" t="str"/>
      <c r="W5148" s="41" t="str"/>
    </row>
    <row r="5149">
      <c r="B5149" s="2" t="n"/>
      <c r="C5149" s="40" t="n"/>
      <c r="D5149" s="52">
        <f t="array" ref="D5149:W5149">IF(All_Students_Scores!C5147:V5147="","",All_Students_Scores!C5147:V5147)</f>
        <v/>
      </c>
      <c r="E5149" s="57" t="str"/>
      <c r="F5149" s="49" t="str"/>
      <c r="G5149" s="59" t="str"/>
      <c r="H5149" s="64" t="str"/>
      <c r="I5149" s="65" t="str"/>
      <c r="J5149" s="49" t="str"/>
      <c r="K5149" s="41" t="str"/>
      <c r="L5149" s="41" t="str"/>
      <c r="M5149" s="41" t="str"/>
      <c r="N5149" s="41" t="str"/>
      <c r="O5149" s="41" t="str"/>
      <c r="P5149" s="41" t="str"/>
      <c r="Q5149" s="41" t="str"/>
      <c r="R5149" s="41" t="str"/>
      <c r="S5149" s="41" t="str"/>
      <c r="T5149" s="41" t="str"/>
      <c r="U5149" s="41" t="str"/>
      <c r="V5149" s="41" t="str"/>
      <c r="W5149" s="41" t="str"/>
    </row>
    <row r="5150">
      <c r="B5150" s="2" t="n"/>
      <c r="C5150" s="40" t="n"/>
      <c r="D5150" s="52">
        <f t="array" ref="D5150:W5150">IF(All_Students_Scores!C5148:V5148="","",All_Students_Scores!C5148:V5148)</f>
        <v/>
      </c>
      <c r="E5150" s="57" t="str"/>
      <c r="F5150" s="49" t="str"/>
      <c r="G5150" s="59" t="str"/>
      <c r="H5150" s="64" t="str"/>
      <c r="I5150" s="65" t="str"/>
      <c r="J5150" s="49" t="str"/>
      <c r="K5150" s="41" t="str"/>
      <c r="L5150" s="41" t="str"/>
      <c r="M5150" s="41" t="str"/>
      <c r="N5150" s="41" t="str"/>
      <c r="O5150" s="41" t="str"/>
      <c r="P5150" s="41" t="str"/>
      <c r="Q5150" s="41" t="str"/>
      <c r="R5150" s="41" t="str"/>
      <c r="S5150" s="41" t="str"/>
      <c r="T5150" s="41" t="str"/>
      <c r="U5150" s="41" t="str"/>
      <c r="V5150" s="41" t="str"/>
      <c r="W5150" s="41" t="str"/>
    </row>
    <row r="5151">
      <c r="B5151" s="2" t="n"/>
      <c r="C5151" s="40" t="n"/>
      <c r="D5151" s="52">
        <f t="array" ref="D5151:W5151">IF(All_Students_Scores!C5149:V5149="","",All_Students_Scores!C5149:V5149)</f>
        <v/>
      </c>
      <c r="E5151" s="57" t="str"/>
      <c r="F5151" s="49" t="str"/>
      <c r="G5151" s="59" t="str"/>
      <c r="H5151" s="64" t="str"/>
      <c r="I5151" s="65" t="str"/>
      <c r="J5151" s="49" t="str"/>
      <c r="K5151" s="41" t="str"/>
      <c r="L5151" s="41" t="str"/>
      <c r="M5151" s="41" t="str"/>
      <c r="N5151" s="41" t="str"/>
      <c r="O5151" s="41" t="str"/>
      <c r="P5151" s="41" t="str"/>
      <c r="Q5151" s="41" t="str"/>
      <c r="R5151" s="41" t="str"/>
      <c r="S5151" s="41" t="str"/>
      <c r="T5151" s="41" t="str"/>
      <c r="U5151" s="41" t="str"/>
      <c r="V5151" s="41" t="str"/>
      <c r="W5151" s="41" t="str"/>
    </row>
    <row r="5152">
      <c r="B5152" s="2" t="n"/>
      <c r="C5152" s="40" t="n"/>
      <c r="D5152" s="52">
        <f t="array" ref="D5152:W5152">IF(All_Students_Scores!C5150:V5150="","",All_Students_Scores!C5150:V5150)</f>
        <v/>
      </c>
      <c r="E5152" s="57" t="str"/>
      <c r="F5152" s="49" t="str"/>
      <c r="G5152" s="59" t="str"/>
      <c r="H5152" s="64" t="str"/>
      <c r="I5152" s="65" t="str"/>
      <c r="J5152" s="49" t="str"/>
      <c r="K5152" s="41" t="str"/>
      <c r="L5152" s="41" t="str"/>
      <c r="M5152" s="41" t="str"/>
      <c r="N5152" s="41" t="str"/>
      <c r="O5152" s="41" t="str"/>
      <c r="P5152" s="41" t="str"/>
      <c r="Q5152" s="41" t="str"/>
      <c r="R5152" s="41" t="str"/>
      <c r="S5152" s="41" t="str"/>
      <c r="T5152" s="41" t="str"/>
      <c r="U5152" s="41" t="str"/>
      <c r="V5152" s="41" t="str"/>
      <c r="W5152" s="41" t="str"/>
    </row>
    <row r="5153">
      <c r="B5153" s="2" t="n"/>
      <c r="C5153" s="40" t="n"/>
      <c r="D5153" s="52">
        <f t="array" ref="D5153:W5153">IF(All_Students_Scores!C5151:V5151="","",All_Students_Scores!C5151:V5151)</f>
        <v/>
      </c>
      <c r="E5153" s="57" t="str"/>
      <c r="F5153" s="49" t="str"/>
      <c r="G5153" s="59" t="str"/>
      <c r="H5153" s="64" t="str"/>
      <c r="I5153" s="65" t="str"/>
      <c r="J5153" s="49" t="str"/>
      <c r="K5153" s="41" t="str"/>
      <c r="L5153" s="41" t="str"/>
      <c r="M5153" s="41" t="str"/>
      <c r="N5153" s="41" t="str"/>
      <c r="O5153" s="41" t="str"/>
      <c r="P5153" s="41" t="str"/>
      <c r="Q5153" s="41" t="str"/>
      <c r="R5153" s="41" t="str"/>
      <c r="S5153" s="41" t="str"/>
      <c r="T5153" s="41" t="str"/>
      <c r="U5153" s="41" t="str"/>
      <c r="V5153" s="41" t="str"/>
      <c r="W5153" s="41" t="str"/>
    </row>
    <row r="5154">
      <c r="B5154" s="2" t="n"/>
      <c r="C5154" s="40" t="n"/>
      <c r="D5154" s="52">
        <f t="array" ref="D5154:W5154">IF(All_Students_Scores!C5152:V5152="","",All_Students_Scores!C5152:V5152)</f>
        <v/>
      </c>
      <c r="E5154" s="57" t="str"/>
      <c r="F5154" s="49" t="str"/>
      <c r="G5154" s="59" t="str"/>
      <c r="H5154" s="64" t="str"/>
      <c r="I5154" s="65" t="str"/>
      <c r="J5154" s="49" t="str"/>
      <c r="K5154" s="41" t="str"/>
      <c r="L5154" s="41" t="str"/>
      <c r="M5154" s="41" t="str"/>
      <c r="N5154" s="41" t="str"/>
      <c r="O5154" s="41" t="str"/>
      <c r="P5154" s="41" t="str"/>
      <c r="Q5154" s="41" t="str"/>
      <c r="R5154" s="41" t="str"/>
      <c r="S5154" s="41" t="str"/>
      <c r="T5154" s="41" t="str"/>
      <c r="U5154" s="41" t="str"/>
      <c r="V5154" s="41" t="str"/>
      <c r="W5154" s="41" t="str"/>
    </row>
    <row r="5155">
      <c r="B5155" s="2" t="n"/>
      <c r="C5155" s="40" t="n"/>
      <c r="D5155" s="52">
        <f t="array" ref="D5155:W5155">IF(All_Students_Scores!C5153:V5153="","",All_Students_Scores!C5153:V5153)</f>
        <v/>
      </c>
      <c r="E5155" s="57" t="str"/>
      <c r="F5155" s="49" t="str"/>
      <c r="G5155" s="59" t="str"/>
      <c r="H5155" s="64" t="str"/>
      <c r="I5155" s="65" t="str"/>
      <c r="J5155" s="49" t="str"/>
      <c r="K5155" s="41" t="str"/>
      <c r="L5155" s="41" t="str"/>
      <c r="M5155" s="41" t="str"/>
      <c r="N5155" s="41" t="str"/>
      <c r="O5155" s="41" t="str"/>
      <c r="P5155" s="41" t="str"/>
      <c r="Q5155" s="41" t="str"/>
      <c r="R5155" s="41" t="str"/>
      <c r="S5155" s="41" t="str"/>
      <c r="T5155" s="41" t="str"/>
      <c r="U5155" s="41" t="str"/>
      <c r="V5155" s="41" t="str"/>
      <c r="W5155" s="41" t="str"/>
    </row>
    <row r="5156">
      <c r="B5156" s="2" t="n"/>
      <c r="C5156" s="40" t="n"/>
      <c r="D5156" s="52">
        <f t="array" ref="D5156:W5156">IF(All_Students_Scores!C5154:V5154="","",All_Students_Scores!C5154:V5154)</f>
        <v/>
      </c>
      <c r="E5156" s="57" t="str"/>
      <c r="F5156" s="49" t="str"/>
      <c r="G5156" s="59" t="str"/>
      <c r="H5156" s="64" t="str"/>
      <c r="I5156" s="65" t="str"/>
      <c r="J5156" s="49" t="str"/>
      <c r="K5156" s="41" t="str"/>
      <c r="L5156" s="41" t="str"/>
      <c r="M5156" s="41" t="str"/>
      <c r="N5156" s="41" t="str"/>
      <c r="O5156" s="41" t="str"/>
      <c r="P5156" s="41" t="str"/>
      <c r="Q5156" s="41" t="str"/>
      <c r="R5156" s="41" t="str"/>
      <c r="S5156" s="41" t="str"/>
      <c r="T5156" s="41" t="str"/>
      <c r="U5156" s="41" t="str"/>
      <c r="V5156" s="41" t="str"/>
      <c r="W5156" s="41" t="str"/>
    </row>
    <row r="5157">
      <c r="B5157" s="2" t="n"/>
      <c r="C5157" s="40" t="n"/>
      <c r="D5157" s="52">
        <f t="array" ref="D5157:W5157">IF(All_Students_Scores!C5155:V5155="","",All_Students_Scores!C5155:V5155)</f>
        <v/>
      </c>
      <c r="E5157" s="57" t="str"/>
      <c r="F5157" s="49" t="str"/>
      <c r="G5157" s="59" t="str"/>
      <c r="H5157" s="64" t="str"/>
      <c r="I5157" s="65" t="str"/>
      <c r="J5157" s="49" t="str"/>
      <c r="K5157" s="41" t="str"/>
      <c r="L5157" s="41" t="str"/>
      <c r="M5157" s="41" t="str"/>
      <c r="N5157" s="41" t="str"/>
      <c r="O5157" s="41" t="str"/>
      <c r="P5157" s="41" t="str"/>
      <c r="Q5157" s="41" t="str"/>
      <c r="R5157" s="41" t="str"/>
      <c r="S5157" s="41" t="str"/>
      <c r="T5157" s="41" t="str"/>
      <c r="U5157" s="41" t="str"/>
      <c r="V5157" s="41" t="str"/>
      <c r="W5157" s="41" t="str"/>
    </row>
    <row r="5158">
      <c r="B5158" s="2" t="n"/>
      <c r="C5158" s="40" t="n"/>
      <c r="D5158" s="52">
        <f t="array" ref="D5158:W5158">IF(All_Students_Scores!C5156:V5156="","",All_Students_Scores!C5156:V5156)</f>
        <v/>
      </c>
      <c r="E5158" s="57" t="str"/>
      <c r="F5158" s="49" t="str"/>
      <c r="G5158" s="59" t="str"/>
      <c r="H5158" s="64" t="str"/>
      <c r="I5158" s="65" t="str"/>
      <c r="J5158" s="49" t="str"/>
      <c r="K5158" s="41" t="str"/>
      <c r="L5158" s="41" t="str"/>
      <c r="M5158" s="41" t="str"/>
      <c r="N5158" s="41" t="str"/>
      <c r="O5158" s="41" t="str"/>
      <c r="P5158" s="41" t="str"/>
      <c r="Q5158" s="41" t="str"/>
      <c r="R5158" s="41" t="str"/>
      <c r="S5158" s="41" t="str"/>
      <c r="T5158" s="41" t="str"/>
      <c r="U5158" s="41" t="str"/>
      <c r="V5158" s="41" t="str"/>
      <c r="W5158" s="41" t="str"/>
    </row>
    <row r="5159">
      <c r="B5159" s="2" t="n"/>
      <c r="C5159" s="40" t="n"/>
      <c r="D5159" s="52">
        <f t="array" ref="D5159:W5159">IF(All_Students_Scores!C5157:V5157="","",All_Students_Scores!C5157:V5157)</f>
        <v/>
      </c>
      <c r="E5159" s="57" t="str"/>
      <c r="F5159" s="49" t="str"/>
      <c r="G5159" s="59" t="str"/>
      <c r="H5159" s="64" t="str"/>
      <c r="I5159" s="65" t="str"/>
      <c r="J5159" s="49" t="str"/>
      <c r="K5159" s="41" t="str"/>
      <c r="L5159" s="41" t="str"/>
      <c r="M5159" s="41" t="str"/>
      <c r="N5159" s="41" t="str"/>
      <c r="O5159" s="41" t="str"/>
      <c r="P5159" s="41" t="str"/>
      <c r="Q5159" s="41" t="str"/>
      <c r="R5159" s="41" t="str"/>
      <c r="S5159" s="41" t="str"/>
      <c r="T5159" s="41" t="str"/>
      <c r="U5159" s="41" t="str"/>
      <c r="V5159" s="41" t="str"/>
      <c r="W5159" s="41" t="str"/>
    </row>
    <row r="5160">
      <c r="B5160" s="2" t="n"/>
      <c r="C5160" s="40" t="n"/>
      <c r="D5160" s="52">
        <f t="array" ref="D5160:W5160">IF(All_Students_Scores!C5158:V5158="","",All_Students_Scores!C5158:V5158)</f>
        <v/>
      </c>
      <c r="E5160" s="57" t="str"/>
      <c r="F5160" s="49" t="str"/>
      <c r="G5160" s="59" t="str"/>
      <c r="H5160" s="64" t="str"/>
      <c r="I5160" s="65" t="str"/>
      <c r="J5160" s="49" t="str"/>
      <c r="K5160" s="41" t="str"/>
      <c r="L5160" s="41" t="str"/>
      <c r="M5160" s="41" t="str"/>
      <c r="N5160" s="41" t="str"/>
      <c r="O5160" s="41" t="str"/>
      <c r="P5160" s="41" t="str"/>
      <c r="Q5160" s="41" t="str"/>
      <c r="R5160" s="41" t="str"/>
      <c r="S5160" s="41" t="str"/>
      <c r="T5160" s="41" t="str"/>
      <c r="U5160" s="41" t="str"/>
      <c r="V5160" s="41" t="str"/>
      <c r="W5160" s="41" t="str"/>
    </row>
    <row r="5161">
      <c r="B5161" s="2" t="n"/>
      <c r="C5161" s="40" t="n"/>
      <c r="D5161" s="52">
        <f t="array" ref="D5161:W5161">IF(All_Students_Scores!C5159:V5159="","",All_Students_Scores!C5159:V5159)</f>
        <v/>
      </c>
      <c r="E5161" s="57" t="str"/>
      <c r="F5161" s="49" t="str"/>
      <c r="G5161" s="59" t="str"/>
      <c r="H5161" s="64" t="str"/>
      <c r="I5161" s="65" t="str"/>
      <c r="J5161" s="49" t="str"/>
      <c r="K5161" s="41" t="str"/>
      <c r="L5161" s="41" t="str"/>
      <c r="M5161" s="41" t="str"/>
      <c r="N5161" s="41" t="str"/>
      <c r="O5161" s="41" t="str"/>
      <c r="P5161" s="41" t="str"/>
      <c r="Q5161" s="41" t="str"/>
      <c r="R5161" s="41" t="str"/>
      <c r="S5161" s="41" t="str"/>
      <c r="T5161" s="41" t="str"/>
      <c r="U5161" s="41" t="str"/>
      <c r="V5161" s="41" t="str"/>
      <c r="W5161" s="41" t="str"/>
    </row>
    <row r="5162">
      <c r="B5162" s="2" t="n"/>
      <c r="C5162" s="40" t="n"/>
      <c r="D5162" s="52">
        <f t="array" ref="D5162:W5162">IF(All_Students_Scores!C5160:V5160="","",All_Students_Scores!C5160:V5160)</f>
        <v/>
      </c>
      <c r="E5162" s="57" t="str"/>
      <c r="F5162" s="49" t="str"/>
      <c r="G5162" s="59" t="str"/>
      <c r="H5162" s="64" t="str"/>
      <c r="I5162" s="65" t="str"/>
      <c r="J5162" s="49" t="str"/>
      <c r="K5162" s="41" t="str"/>
      <c r="L5162" s="41" t="str"/>
      <c r="M5162" s="41" t="str"/>
      <c r="N5162" s="41" t="str"/>
      <c r="O5162" s="41" t="str"/>
      <c r="P5162" s="41" t="str"/>
      <c r="Q5162" s="41" t="str"/>
      <c r="R5162" s="41" t="str"/>
      <c r="S5162" s="41" t="str"/>
      <c r="T5162" s="41" t="str"/>
      <c r="U5162" s="41" t="str"/>
      <c r="V5162" s="41" t="str"/>
      <c r="W5162" s="41" t="str"/>
    </row>
    <row r="5163">
      <c r="B5163" s="2" t="n"/>
      <c r="C5163" s="40" t="n"/>
      <c r="D5163" s="52">
        <f t="array" ref="D5163:W5163">IF(All_Students_Scores!C5161:V5161="","",All_Students_Scores!C5161:V5161)</f>
        <v/>
      </c>
      <c r="E5163" s="57" t="str"/>
      <c r="F5163" s="49" t="str"/>
      <c r="G5163" s="59" t="str"/>
      <c r="H5163" s="64" t="str"/>
      <c r="I5163" s="65" t="str"/>
      <c r="J5163" s="49" t="str"/>
      <c r="K5163" s="41" t="str"/>
      <c r="L5163" s="41" t="str"/>
      <c r="M5163" s="41" t="str"/>
      <c r="N5163" s="41" t="str"/>
      <c r="O5163" s="41" t="str"/>
      <c r="P5163" s="41" t="str"/>
      <c r="Q5163" s="41" t="str"/>
      <c r="R5163" s="41" t="str"/>
      <c r="S5163" s="41" t="str"/>
      <c r="T5163" s="41" t="str"/>
      <c r="U5163" s="41" t="str"/>
      <c r="V5163" s="41" t="str"/>
      <c r="W5163" s="41" t="str"/>
    </row>
    <row r="5164">
      <c r="B5164" s="2" t="n"/>
      <c r="C5164" s="40" t="n"/>
      <c r="D5164" s="52">
        <f t="array" ref="D5164:W5164">IF(All_Students_Scores!C5162:V5162="","",All_Students_Scores!C5162:V5162)</f>
        <v/>
      </c>
      <c r="E5164" s="57" t="str"/>
      <c r="F5164" s="49" t="str"/>
      <c r="G5164" s="59" t="str"/>
      <c r="H5164" s="64" t="str"/>
      <c r="I5164" s="65" t="str"/>
      <c r="J5164" s="49" t="str"/>
      <c r="K5164" s="41" t="str"/>
      <c r="L5164" s="41" t="str"/>
      <c r="M5164" s="41" t="str"/>
      <c r="N5164" s="41" t="str"/>
      <c r="O5164" s="41" t="str"/>
      <c r="P5164" s="41" t="str"/>
      <c r="Q5164" s="41" t="str"/>
      <c r="R5164" s="41" t="str"/>
      <c r="S5164" s="41" t="str"/>
      <c r="T5164" s="41" t="str"/>
      <c r="U5164" s="41" t="str"/>
      <c r="V5164" s="41" t="str"/>
      <c r="W5164" s="41" t="str"/>
    </row>
    <row r="5165">
      <c r="B5165" s="2" t="n"/>
      <c r="C5165" s="40" t="n"/>
      <c r="D5165" s="52">
        <f t="array" ref="D5165:W5165">IF(All_Students_Scores!C5163:V5163="","",All_Students_Scores!C5163:V5163)</f>
        <v/>
      </c>
      <c r="E5165" s="57" t="str"/>
      <c r="F5165" s="49" t="str"/>
      <c r="G5165" s="59" t="str"/>
      <c r="H5165" s="64" t="str"/>
      <c r="I5165" s="65" t="str"/>
      <c r="J5165" s="49" t="str"/>
      <c r="K5165" s="41" t="str"/>
      <c r="L5165" s="41" t="str"/>
      <c r="M5165" s="41" t="str"/>
      <c r="N5165" s="41" t="str"/>
      <c r="O5165" s="41" t="str"/>
      <c r="P5165" s="41" t="str"/>
      <c r="Q5165" s="41" t="str"/>
      <c r="R5165" s="41" t="str"/>
      <c r="S5165" s="41" t="str"/>
      <c r="T5165" s="41" t="str"/>
      <c r="U5165" s="41" t="str"/>
      <c r="V5165" s="41" t="str"/>
      <c r="W5165" s="41" t="str"/>
    </row>
    <row r="5166">
      <c r="B5166" s="2" t="n"/>
      <c r="C5166" s="40" t="n"/>
      <c r="D5166" s="52">
        <f t="array" ref="D5166:W5166">IF(All_Students_Scores!C5164:V5164="","",All_Students_Scores!C5164:V5164)</f>
        <v/>
      </c>
      <c r="E5166" s="57" t="str"/>
      <c r="F5166" s="49" t="str"/>
      <c r="G5166" s="59" t="str"/>
      <c r="H5166" s="64" t="str"/>
      <c r="I5166" s="65" t="str"/>
      <c r="J5166" s="49" t="str"/>
      <c r="K5166" s="41" t="str"/>
      <c r="L5166" s="41" t="str"/>
      <c r="M5166" s="41" t="str"/>
      <c r="N5166" s="41" t="str"/>
      <c r="O5166" s="41" t="str"/>
      <c r="P5166" s="41" t="str"/>
      <c r="Q5166" s="41" t="str"/>
      <c r="R5166" s="41" t="str"/>
      <c r="S5166" s="41" t="str"/>
      <c r="T5166" s="41" t="str"/>
      <c r="U5166" s="41" t="str"/>
      <c r="V5166" s="41" t="str"/>
      <c r="W5166" s="41" t="str"/>
    </row>
    <row r="5167">
      <c r="B5167" s="2" t="n"/>
      <c r="C5167" s="40" t="n"/>
      <c r="D5167" s="52">
        <f t="array" ref="D5167:W5167">IF(All_Students_Scores!C5165:V5165="","",All_Students_Scores!C5165:V5165)</f>
        <v/>
      </c>
      <c r="E5167" s="57" t="str"/>
      <c r="F5167" s="49" t="str"/>
      <c r="G5167" s="59" t="str"/>
      <c r="H5167" s="64" t="str"/>
      <c r="I5167" s="65" t="str"/>
      <c r="J5167" s="49" t="str"/>
      <c r="K5167" s="41" t="str"/>
      <c r="L5167" s="41" t="str"/>
      <c r="M5167" s="41" t="str"/>
      <c r="N5167" s="41" t="str"/>
      <c r="O5167" s="41" t="str"/>
      <c r="P5167" s="41" t="str"/>
      <c r="Q5167" s="41" t="str"/>
      <c r="R5167" s="41" t="str"/>
      <c r="S5167" s="41" t="str"/>
      <c r="T5167" s="41" t="str"/>
      <c r="U5167" s="41" t="str"/>
      <c r="V5167" s="41" t="str"/>
      <c r="W5167" s="41" t="str"/>
    </row>
    <row r="5168">
      <c r="B5168" s="2" t="n"/>
      <c r="C5168" s="40" t="n"/>
      <c r="D5168" s="52">
        <f t="array" ref="D5168:W5168">IF(All_Students_Scores!C5166:V5166="","",All_Students_Scores!C5166:V5166)</f>
        <v/>
      </c>
      <c r="E5168" s="57" t="str"/>
      <c r="F5168" s="49" t="str"/>
      <c r="G5168" s="59" t="str"/>
      <c r="H5168" s="64" t="str"/>
      <c r="I5168" s="65" t="str"/>
      <c r="J5168" s="49" t="str"/>
      <c r="K5168" s="41" t="str"/>
      <c r="L5168" s="41" t="str"/>
      <c r="M5168" s="41" t="str"/>
      <c r="N5168" s="41" t="str"/>
      <c r="O5168" s="41" t="str"/>
      <c r="P5168" s="41" t="str"/>
      <c r="Q5168" s="41" t="str"/>
      <c r="R5168" s="41" t="str"/>
      <c r="S5168" s="41" t="str"/>
      <c r="T5168" s="41" t="str"/>
      <c r="U5168" s="41" t="str"/>
      <c r="V5168" s="41" t="str"/>
      <c r="W5168" s="41" t="str"/>
    </row>
    <row r="5169">
      <c r="B5169" s="2" t="n"/>
      <c r="C5169" s="40" t="n"/>
      <c r="D5169" s="52">
        <f t="array" ref="D5169:W5169">IF(All_Students_Scores!C5167:V5167="","",All_Students_Scores!C5167:V5167)</f>
        <v/>
      </c>
      <c r="E5169" s="57" t="str"/>
      <c r="F5169" s="49" t="str"/>
      <c r="G5169" s="59" t="str"/>
      <c r="H5169" s="64" t="str"/>
      <c r="I5169" s="65" t="str"/>
      <c r="J5169" s="49" t="str"/>
      <c r="K5169" s="41" t="str"/>
      <c r="L5169" s="41" t="str"/>
      <c r="M5169" s="41" t="str"/>
      <c r="N5169" s="41" t="str"/>
      <c r="O5169" s="41" t="str"/>
      <c r="P5169" s="41" t="str"/>
      <c r="Q5169" s="41" t="str"/>
      <c r="R5169" s="41" t="str"/>
      <c r="S5169" s="41" t="str"/>
      <c r="T5169" s="41" t="str"/>
      <c r="U5169" s="41" t="str"/>
      <c r="V5169" s="41" t="str"/>
      <c r="W5169" s="41" t="str"/>
    </row>
    <row r="5170">
      <c r="B5170" s="2" t="n"/>
      <c r="C5170" s="40" t="n"/>
      <c r="D5170" s="52">
        <f t="array" ref="D5170:W5170">IF(All_Students_Scores!C5168:V5168="","",All_Students_Scores!C5168:V5168)</f>
        <v/>
      </c>
      <c r="E5170" s="57" t="str"/>
      <c r="F5170" s="49" t="str"/>
      <c r="G5170" s="59" t="str"/>
      <c r="H5170" s="64" t="str"/>
      <c r="I5170" s="65" t="str"/>
      <c r="J5170" s="49" t="str"/>
      <c r="K5170" s="41" t="str"/>
      <c r="L5170" s="41" t="str"/>
      <c r="M5170" s="41" t="str"/>
      <c r="N5170" s="41" t="str"/>
      <c r="O5170" s="41" t="str"/>
      <c r="P5170" s="41" t="str"/>
      <c r="Q5170" s="41" t="str"/>
      <c r="R5170" s="41" t="str"/>
      <c r="S5170" s="41" t="str"/>
      <c r="T5170" s="41" t="str"/>
      <c r="U5170" s="41" t="str"/>
      <c r="V5170" s="41" t="str"/>
      <c r="W5170" s="41" t="str"/>
    </row>
    <row r="5171">
      <c r="B5171" s="2" t="n"/>
      <c r="C5171" s="40" t="n"/>
      <c r="D5171" s="52">
        <f t="array" ref="D5171:W5171">IF(All_Students_Scores!C5169:V5169="","",All_Students_Scores!C5169:V5169)</f>
        <v/>
      </c>
      <c r="E5171" s="57" t="str"/>
      <c r="F5171" s="49" t="str"/>
      <c r="G5171" s="59" t="str"/>
      <c r="H5171" s="64" t="str"/>
      <c r="I5171" s="65" t="str"/>
      <c r="J5171" s="49" t="str"/>
      <c r="K5171" s="41" t="str"/>
      <c r="L5171" s="41" t="str"/>
      <c r="M5171" s="41" t="str"/>
      <c r="N5171" s="41" t="str"/>
      <c r="O5171" s="41" t="str"/>
      <c r="P5171" s="41" t="str"/>
      <c r="Q5171" s="41" t="str"/>
      <c r="R5171" s="41" t="str"/>
      <c r="S5171" s="41" t="str"/>
      <c r="T5171" s="41" t="str"/>
      <c r="U5171" s="41" t="str"/>
      <c r="V5171" s="41" t="str"/>
      <c r="W5171" s="41" t="str"/>
    </row>
    <row r="5172">
      <c r="B5172" s="2" t="n"/>
      <c r="C5172" s="40" t="n"/>
      <c r="D5172" s="52">
        <f t="array" ref="D5172:W5172">IF(All_Students_Scores!C5170:V5170="","",All_Students_Scores!C5170:V5170)</f>
        <v/>
      </c>
      <c r="E5172" s="57" t="str"/>
      <c r="F5172" s="49" t="str"/>
      <c r="G5172" s="59" t="str"/>
      <c r="H5172" s="64" t="str"/>
      <c r="I5172" s="65" t="str"/>
      <c r="J5172" s="49" t="str"/>
      <c r="K5172" s="41" t="str"/>
      <c r="L5172" s="41" t="str"/>
      <c r="M5172" s="41" t="str"/>
      <c r="N5172" s="41" t="str"/>
      <c r="O5172" s="41" t="str"/>
      <c r="P5172" s="41" t="str"/>
      <c r="Q5172" s="41" t="str"/>
      <c r="R5172" s="41" t="str"/>
      <c r="S5172" s="41" t="str"/>
      <c r="T5172" s="41" t="str"/>
      <c r="U5172" s="41" t="str"/>
      <c r="V5172" s="41" t="str"/>
      <c r="W5172" s="41" t="str"/>
    </row>
    <row r="5173">
      <c r="B5173" s="2" t="n"/>
      <c r="C5173" s="40" t="n"/>
      <c r="D5173" s="52">
        <f t="array" ref="D5173:W5173">IF(All_Students_Scores!C5171:V5171="","",All_Students_Scores!C5171:V5171)</f>
        <v/>
      </c>
      <c r="E5173" s="57" t="str"/>
      <c r="F5173" s="49" t="str"/>
      <c r="G5173" s="59" t="str"/>
      <c r="H5173" s="64" t="str"/>
      <c r="I5173" s="65" t="str"/>
      <c r="J5173" s="49" t="str"/>
      <c r="K5173" s="41" t="str"/>
      <c r="L5173" s="41" t="str"/>
      <c r="M5173" s="41" t="str"/>
      <c r="N5173" s="41" t="str"/>
      <c r="O5173" s="41" t="str"/>
      <c r="P5173" s="41" t="str"/>
      <c r="Q5173" s="41" t="str"/>
      <c r="R5173" s="41" t="str"/>
      <c r="S5173" s="41" t="str"/>
      <c r="T5173" s="41" t="str"/>
      <c r="U5173" s="41" t="str"/>
      <c r="V5173" s="41" t="str"/>
      <c r="W5173" s="41" t="str"/>
    </row>
    <row r="5174">
      <c r="B5174" s="2" t="n"/>
      <c r="C5174" s="40" t="n"/>
      <c r="D5174" s="52">
        <f t="array" ref="D5174:W5174">IF(All_Students_Scores!C5172:V5172="","",All_Students_Scores!C5172:V5172)</f>
        <v/>
      </c>
      <c r="E5174" s="57" t="str"/>
      <c r="F5174" s="49" t="str"/>
      <c r="G5174" s="59" t="str"/>
      <c r="H5174" s="64" t="str"/>
      <c r="I5174" s="65" t="str"/>
      <c r="J5174" s="49" t="str"/>
      <c r="K5174" s="41" t="str"/>
      <c r="L5174" s="41" t="str"/>
      <c r="M5174" s="41" t="str"/>
      <c r="N5174" s="41" t="str"/>
      <c r="O5174" s="41" t="str"/>
      <c r="P5174" s="41" t="str"/>
      <c r="Q5174" s="41" t="str"/>
      <c r="R5174" s="41" t="str"/>
      <c r="S5174" s="41" t="str"/>
      <c r="T5174" s="41" t="str"/>
      <c r="U5174" s="41" t="str"/>
      <c r="V5174" s="41" t="str"/>
      <c r="W5174" s="41" t="str"/>
    </row>
    <row r="5175">
      <c r="B5175" s="2" t="n"/>
      <c r="C5175" s="40" t="n"/>
      <c r="D5175" s="52">
        <f t="array" ref="D5175:W5175">IF(All_Students_Scores!C5173:V5173="","",All_Students_Scores!C5173:V5173)</f>
        <v/>
      </c>
      <c r="E5175" s="57" t="str"/>
      <c r="F5175" s="49" t="str"/>
      <c r="G5175" s="59" t="str"/>
      <c r="H5175" s="64" t="str"/>
      <c r="I5175" s="65" t="str"/>
      <c r="J5175" s="49" t="str"/>
      <c r="K5175" s="41" t="str"/>
      <c r="L5175" s="41" t="str"/>
      <c r="M5175" s="41" t="str"/>
      <c r="N5175" s="41" t="str"/>
      <c r="O5175" s="41" t="str"/>
      <c r="P5175" s="41" t="str"/>
      <c r="Q5175" s="41" t="str"/>
      <c r="R5175" s="41" t="str"/>
      <c r="S5175" s="41" t="str"/>
      <c r="T5175" s="41" t="str"/>
      <c r="U5175" s="41" t="str"/>
      <c r="V5175" s="41" t="str"/>
      <c r="W5175" s="41" t="str"/>
    </row>
    <row r="5176">
      <c r="B5176" s="2" t="n"/>
      <c r="C5176" s="40" t="n"/>
      <c r="D5176" s="52">
        <f t="array" ref="D5176:W5176">IF(All_Students_Scores!C5174:V5174="","",All_Students_Scores!C5174:V5174)</f>
        <v/>
      </c>
      <c r="E5176" s="57" t="str"/>
      <c r="F5176" s="49" t="str"/>
      <c r="G5176" s="59" t="str"/>
      <c r="H5176" s="64" t="str"/>
      <c r="I5176" s="65" t="str"/>
      <c r="J5176" s="49" t="str"/>
      <c r="K5176" s="41" t="str"/>
      <c r="L5176" s="41" t="str"/>
      <c r="M5176" s="41" t="str"/>
      <c r="N5176" s="41" t="str"/>
      <c r="O5176" s="41" t="str"/>
      <c r="P5176" s="41" t="str"/>
      <c r="Q5176" s="41" t="str"/>
      <c r="R5176" s="41" t="str"/>
      <c r="S5176" s="41" t="str"/>
      <c r="T5176" s="41" t="str"/>
      <c r="U5176" s="41" t="str"/>
      <c r="V5176" s="41" t="str"/>
      <c r="W5176" s="41" t="str"/>
    </row>
    <row r="5177">
      <c r="B5177" s="2" t="n"/>
      <c r="C5177" s="40" t="n"/>
      <c r="D5177" s="52">
        <f t="array" ref="D5177:W5177">IF(All_Students_Scores!C5175:V5175="","",All_Students_Scores!C5175:V5175)</f>
        <v/>
      </c>
      <c r="E5177" s="57" t="str"/>
      <c r="F5177" s="49" t="str"/>
      <c r="G5177" s="59" t="str"/>
      <c r="H5177" s="64" t="str"/>
      <c r="I5177" s="65" t="str"/>
      <c r="J5177" s="49" t="str"/>
      <c r="K5177" s="41" t="str"/>
      <c r="L5177" s="41" t="str"/>
      <c r="M5177" s="41" t="str"/>
      <c r="N5177" s="41" t="str"/>
      <c r="O5177" s="41" t="str"/>
      <c r="P5177" s="41" t="str"/>
      <c r="Q5177" s="41" t="str"/>
      <c r="R5177" s="41" t="str"/>
      <c r="S5177" s="41" t="str"/>
      <c r="T5177" s="41" t="str"/>
      <c r="U5177" s="41" t="str"/>
      <c r="V5177" s="41" t="str"/>
      <c r="W5177" s="41" t="str"/>
    </row>
    <row r="5178">
      <c r="B5178" s="2" t="n"/>
      <c r="C5178" s="40" t="n"/>
      <c r="D5178" s="52">
        <f t="array" ref="D5178:W5178">IF(All_Students_Scores!C5176:V5176="","",All_Students_Scores!C5176:V5176)</f>
        <v/>
      </c>
      <c r="E5178" s="57" t="str"/>
      <c r="F5178" s="49" t="str"/>
      <c r="G5178" s="59" t="str"/>
      <c r="H5178" s="64" t="str"/>
      <c r="I5178" s="65" t="str"/>
      <c r="J5178" s="49" t="str"/>
      <c r="K5178" s="41" t="str"/>
      <c r="L5178" s="41" t="str"/>
      <c r="M5178" s="41" t="str"/>
      <c r="N5178" s="41" t="str"/>
      <c r="O5178" s="41" t="str"/>
      <c r="P5178" s="41" t="str"/>
      <c r="Q5178" s="41" t="str"/>
      <c r="R5178" s="41" t="str"/>
      <c r="S5178" s="41" t="str"/>
      <c r="T5178" s="41" t="str"/>
      <c r="U5178" s="41" t="str"/>
      <c r="V5178" s="41" t="str"/>
      <c r="W5178" s="41" t="str"/>
    </row>
    <row r="5179">
      <c r="B5179" s="2" t="n"/>
      <c r="C5179" s="40" t="n"/>
      <c r="D5179" s="52">
        <f t="array" ref="D5179:W5179">IF(All_Students_Scores!C5177:V5177="","",All_Students_Scores!C5177:V5177)</f>
        <v/>
      </c>
      <c r="E5179" s="57" t="str"/>
      <c r="F5179" s="49" t="str"/>
      <c r="G5179" s="59" t="str"/>
      <c r="H5179" s="64" t="str"/>
      <c r="I5179" s="65" t="str"/>
      <c r="J5179" s="49" t="str"/>
      <c r="K5179" s="41" t="str"/>
      <c r="L5179" s="41" t="str"/>
      <c r="M5179" s="41" t="str"/>
      <c r="N5179" s="41" t="str"/>
      <c r="O5179" s="41" t="str"/>
      <c r="P5179" s="41" t="str"/>
      <c r="Q5179" s="41" t="str"/>
      <c r="R5179" s="41" t="str"/>
      <c r="S5179" s="41" t="str"/>
      <c r="T5179" s="41" t="str"/>
      <c r="U5179" s="41" t="str"/>
      <c r="V5179" s="41" t="str"/>
      <c r="W5179" s="41" t="str"/>
    </row>
    <row r="5180">
      <c r="B5180" s="2" t="n"/>
      <c r="C5180" s="40" t="n"/>
      <c r="D5180" s="52">
        <f t="array" ref="D5180:W5180">IF(All_Students_Scores!C5178:V5178="","",All_Students_Scores!C5178:V5178)</f>
        <v/>
      </c>
      <c r="E5180" s="57" t="str"/>
      <c r="F5180" s="49" t="str"/>
      <c r="G5180" s="59" t="str"/>
      <c r="H5180" s="64" t="str"/>
      <c r="I5180" s="65" t="str"/>
      <c r="J5180" s="49" t="str"/>
      <c r="K5180" s="41" t="str"/>
      <c r="L5180" s="41" t="str"/>
      <c r="M5180" s="41" t="str"/>
      <c r="N5180" s="41" t="str"/>
      <c r="O5180" s="41" t="str"/>
      <c r="P5180" s="41" t="str"/>
      <c r="Q5180" s="41" t="str"/>
      <c r="R5180" s="41" t="str"/>
      <c r="S5180" s="41" t="str"/>
      <c r="T5180" s="41" t="str"/>
      <c r="U5180" s="41" t="str"/>
      <c r="V5180" s="41" t="str"/>
      <c r="W5180" s="41" t="str"/>
    </row>
    <row r="5181">
      <c r="B5181" s="2" t="n"/>
      <c r="C5181" s="40" t="n"/>
      <c r="D5181" s="52">
        <f t="array" ref="D5181:W5181">IF(All_Students_Scores!C5179:V5179="","",All_Students_Scores!C5179:V5179)</f>
        <v/>
      </c>
      <c r="E5181" s="57" t="str"/>
      <c r="F5181" s="49" t="str"/>
      <c r="G5181" s="59" t="str"/>
      <c r="H5181" s="64" t="str"/>
      <c r="I5181" s="65" t="str"/>
      <c r="J5181" s="49" t="str"/>
      <c r="K5181" s="41" t="str"/>
      <c r="L5181" s="41" t="str"/>
      <c r="M5181" s="41" t="str"/>
      <c r="N5181" s="41" t="str"/>
      <c r="O5181" s="41" t="str"/>
      <c r="P5181" s="41" t="str"/>
      <c r="Q5181" s="41" t="str"/>
      <c r="R5181" s="41" t="str"/>
      <c r="S5181" s="41" t="str"/>
      <c r="T5181" s="41" t="str"/>
      <c r="U5181" s="41" t="str"/>
      <c r="V5181" s="41" t="str"/>
      <c r="W5181" s="41" t="str"/>
    </row>
    <row r="5182">
      <c r="B5182" s="2" t="n"/>
      <c r="C5182" s="40" t="n"/>
      <c r="D5182" s="52">
        <f t="array" ref="D5182:W5182">IF(All_Students_Scores!C5180:V5180="","",All_Students_Scores!C5180:V5180)</f>
        <v/>
      </c>
      <c r="E5182" s="57" t="str"/>
      <c r="F5182" s="49" t="str"/>
      <c r="G5182" s="59" t="str"/>
      <c r="H5182" s="64" t="str"/>
      <c r="I5182" s="65" t="str"/>
      <c r="J5182" s="49" t="str"/>
      <c r="K5182" s="41" t="str"/>
      <c r="L5182" s="41" t="str"/>
      <c r="M5182" s="41" t="str"/>
      <c r="N5182" s="41" t="str"/>
      <c r="O5182" s="41" t="str"/>
      <c r="P5182" s="41" t="str"/>
      <c r="Q5182" s="41" t="str"/>
      <c r="R5182" s="41" t="str"/>
      <c r="S5182" s="41" t="str"/>
      <c r="T5182" s="41" t="str"/>
      <c r="U5182" s="41" t="str"/>
      <c r="V5182" s="41" t="str"/>
      <c r="W5182" s="41" t="str"/>
    </row>
    <row r="5183">
      <c r="B5183" s="2" t="n"/>
      <c r="C5183" s="40" t="n"/>
      <c r="D5183" s="52">
        <f t="array" ref="D5183:W5183">IF(All_Students_Scores!C5181:V5181="","",All_Students_Scores!C5181:V5181)</f>
        <v/>
      </c>
      <c r="E5183" s="57" t="str"/>
      <c r="F5183" s="49" t="str"/>
      <c r="G5183" s="59" t="str"/>
      <c r="H5183" s="64" t="str"/>
      <c r="I5183" s="65" t="str"/>
      <c r="J5183" s="49" t="str"/>
      <c r="K5183" s="41" t="str"/>
      <c r="L5183" s="41" t="str"/>
      <c r="M5183" s="41" t="str"/>
      <c r="N5183" s="41" t="str"/>
      <c r="O5183" s="41" t="str"/>
      <c r="P5183" s="41" t="str"/>
      <c r="Q5183" s="41" t="str"/>
      <c r="R5183" s="41" t="str"/>
      <c r="S5183" s="41" t="str"/>
      <c r="T5183" s="41" t="str"/>
      <c r="U5183" s="41" t="str"/>
      <c r="V5183" s="41" t="str"/>
      <c r="W5183" s="41" t="str"/>
    </row>
    <row r="5184">
      <c r="B5184" s="2" t="n"/>
      <c r="C5184" s="40" t="n"/>
      <c r="D5184" s="52">
        <f t="array" ref="D5184:W5184">IF(All_Students_Scores!C5182:V5182="","",All_Students_Scores!C5182:V5182)</f>
        <v/>
      </c>
      <c r="E5184" s="57" t="str"/>
      <c r="F5184" s="49" t="str"/>
      <c r="G5184" s="59" t="str"/>
      <c r="H5184" s="64" t="str"/>
      <c r="I5184" s="65" t="str"/>
      <c r="J5184" s="49" t="str"/>
      <c r="K5184" s="41" t="str"/>
      <c r="L5184" s="41" t="str"/>
      <c r="M5184" s="41" t="str"/>
      <c r="N5184" s="41" t="str"/>
      <c r="O5184" s="41" t="str"/>
      <c r="P5184" s="41" t="str"/>
      <c r="Q5184" s="41" t="str"/>
      <c r="R5184" s="41" t="str"/>
      <c r="S5184" s="41" t="str"/>
      <c r="T5184" s="41" t="str"/>
      <c r="U5184" s="41" t="str"/>
      <c r="V5184" s="41" t="str"/>
      <c r="W5184" s="41" t="str"/>
    </row>
    <row r="5185">
      <c r="B5185" s="2" t="n"/>
      <c r="C5185" s="40" t="n"/>
      <c r="D5185" s="52">
        <f t="array" ref="D5185:W5185">IF(All_Students_Scores!C5183:V5183="","",All_Students_Scores!C5183:V5183)</f>
        <v/>
      </c>
      <c r="E5185" s="57" t="str"/>
      <c r="F5185" s="49" t="str"/>
      <c r="G5185" s="59" t="str"/>
      <c r="H5185" s="64" t="str"/>
      <c r="I5185" s="65" t="str"/>
      <c r="J5185" s="49" t="str"/>
      <c r="K5185" s="41" t="str"/>
      <c r="L5185" s="41" t="str"/>
      <c r="M5185" s="41" t="str"/>
      <c r="N5185" s="41" t="str"/>
      <c r="O5185" s="41" t="str"/>
      <c r="P5185" s="41" t="str"/>
      <c r="Q5185" s="41" t="str"/>
      <c r="R5185" s="41" t="str"/>
      <c r="S5185" s="41" t="str"/>
      <c r="T5185" s="41" t="str"/>
      <c r="U5185" s="41" t="str"/>
      <c r="V5185" s="41" t="str"/>
      <c r="W5185" s="41" t="str"/>
    </row>
    <row r="5186">
      <c r="B5186" s="2" t="n"/>
      <c r="C5186" s="40" t="n"/>
      <c r="D5186" s="52">
        <f t="array" ref="D5186:W5186">IF(All_Students_Scores!C5184:V5184="","",All_Students_Scores!C5184:V5184)</f>
        <v/>
      </c>
      <c r="E5186" s="57" t="str"/>
      <c r="F5186" s="49" t="str"/>
      <c r="G5186" s="59" t="str"/>
      <c r="H5186" s="64" t="str"/>
      <c r="I5186" s="65" t="str"/>
      <c r="J5186" s="49" t="str"/>
      <c r="K5186" s="41" t="str"/>
      <c r="L5186" s="41" t="str"/>
      <c r="M5186" s="41" t="str"/>
      <c r="N5186" s="41" t="str"/>
      <c r="O5186" s="41" t="str"/>
      <c r="P5186" s="41" t="str"/>
      <c r="Q5186" s="41" t="str"/>
      <c r="R5186" s="41" t="str"/>
      <c r="S5186" s="41" t="str"/>
      <c r="T5186" s="41" t="str"/>
      <c r="U5186" s="41" t="str"/>
      <c r="V5186" s="41" t="str"/>
      <c r="W5186" s="41" t="str"/>
    </row>
    <row r="5187">
      <c r="B5187" s="2" t="n"/>
      <c r="C5187" s="40" t="n"/>
      <c r="D5187" s="52">
        <f t="array" ref="D5187:W5187">IF(All_Students_Scores!C5185:V5185="","",All_Students_Scores!C5185:V5185)</f>
        <v/>
      </c>
      <c r="E5187" s="57" t="str"/>
      <c r="F5187" s="49" t="str"/>
      <c r="G5187" s="59" t="str"/>
      <c r="H5187" s="64" t="str"/>
      <c r="I5187" s="65" t="str"/>
      <c r="J5187" s="49" t="str"/>
      <c r="K5187" s="41" t="str"/>
      <c r="L5187" s="41" t="str"/>
      <c r="M5187" s="41" t="str"/>
      <c r="N5187" s="41" t="str"/>
      <c r="O5187" s="41" t="str"/>
      <c r="P5187" s="41" t="str"/>
      <c r="Q5187" s="41" t="str"/>
      <c r="R5187" s="41" t="str"/>
      <c r="S5187" s="41" t="str"/>
      <c r="T5187" s="41" t="str"/>
      <c r="U5187" s="41" t="str"/>
      <c r="V5187" s="41" t="str"/>
      <c r="W5187" s="41" t="str"/>
    </row>
    <row r="5188">
      <c r="B5188" s="2" t="n"/>
      <c r="C5188" s="40" t="n"/>
      <c r="D5188" s="52">
        <f t="array" ref="D5188:W5188">IF(All_Students_Scores!C5186:V5186="","",All_Students_Scores!C5186:V5186)</f>
        <v/>
      </c>
      <c r="E5188" s="57" t="str"/>
      <c r="F5188" s="49" t="str"/>
      <c r="G5188" s="59" t="str"/>
      <c r="H5188" s="64" t="str"/>
      <c r="I5188" s="65" t="str"/>
      <c r="J5188" s="49" t="str"/>
      <c r="K5188" s="41" t="str"/>
      <c r="L5188" s="41" t="str"/>
      <c r="M5188" s="41" t="str"/>
      <c r="N5188" s="41" t="str"/>
      <c r="O5188" s="41" t="str"/>
      <c r="P5188" s="41" t="str"/>
      <c r="Q5188" s="41" t="str"/>
      <c r="R5188" s="41" t="str"/>
      <c r="S5188" s="41" t="str"/>
      <c r="T5188" s="41" t="str"/>
      <c r="U5188" s="41" t="str"/>
      <c r="V5188" s="41" t="str"/>
      <c r="W5188" s="41" t="str"/>
    </row>
    <row r="5189">
      <c r="B5189" s="2" t="n"/>
      <c r="C5189" s="40" t="n"/>
      <c r="D5189" s="52">
        <f t="array" ref="D5189:W5189">IF(All_Students_Scores!C5187:V5187="","",All_Students_Scores!C5187:V5187)</f>
        <v/>
      </c>
      <c r="E5189" s="57" t="str"/>
      <c r="F5189" s="49" t="str"/>
      <c r="G5189" s="59" t="str"/>
      <c r="H5189" s="64" t="str"/>
      <c r="I5189" s="65" t="str"/>
      <c r="J5189" s="49" t="str"/>
      <c r="K5189" s="41" t="str"/>
      <c r="L5189" s="41" t="str"/>
      <c r="M5189" s="41" t="str"/>
      <c r="N5189" s="41" t="str"/>
      <c r="O5189" s="41" t="str"/>
      <c r="P5189" s="41" t="str"/>
      <c r="Q5189" s="41" t="str"/>
      <c r="R5189" s="41" t="str"/>
      <c r="S5189" s="41" t="str"/>
      <c r="T5189" s="41" t="str"/>
      <c r="U5189" s="41" t="str"/>
      <c r="V5189" s="41" t="str"/>
      <c r="W5189" s="41" t="str"/>
    </row>
    <row r="5190">
      <c r="B5190" s="2" t="n"/>
      <c r="C5190" s="40" t="n"/>
      <c r="D5190" s="52">
        <f t="array" ref="D5190:W5190">IF(All_Students_Scores!C5188:V5188="","",All_Students_Scores!C5188:V5188)</f>
        <v/>
      </c>
      <c r="E5190" s="57" t="str"/>
      <c r="F5190" s="49" t="str"/>
      <c r="G5190" s="59" t="str"/>
      <c r="H5190" s="64" t="str"/>
      <c r="I5190" s="65" t="str"/>
      <c r="J5190" s="49" t="str"/>
      <c r="K5190" s="41" t="str"/>
      <c r="L5190" s="41" t="str"/>
      <c r="M5190" s="41" t="str"/>
      <c r="N5190" s="41" t="str"/>
      <c r="O5190" s="41" t="str"/>
      <c r="P5190" s="41" t="str"/>
      <c r="Q5190" s="41" t="str"/>
      <c r="R5190" s="41" t="str"/>
      <c r="S5190" s="41" t="str"/>
      <c r="T5190" s="41" t="str"/>
      <c r="U5190" s="41" t="str"/>
      <c r="V5190" s="41" t="str"/>
      <c r="W5190" s="41" t="str"/>
    </row>
    <row r="5191">
      <c r="B5191" s="2" t="n"/>
      <c r="C5191" s="40" t="n"/>
      <c r="D5191" s="52">
        <f t="array" ref="D5191:W5191">IF(All_Students_Scores!C5189:V5189="","",All_Students_Scores!C5189:V5189)</f>
        <v/>
      </c>
      <c r="E5191" s="57" t="str"/>
      <c r="F5191" s="49" t="str"/>
      <c r="G5191" s="59" t="str"/>
      <c r="H5191" s="64" t="str"/>
      <c r="I5191" s="65" t="str"/>
      <c r="J5191" s="49" t="str"/>
      <c r="K5191" s="41" t="str"/>
      <c r="L5191" s="41" t="str"/>
      <c r="M5191" s="41" t="str"/>
      <c r="N5191" s="41" t="str"/>
      <c r="O5191" s="41" t="str"/>
      <c r="P5191" s="41" t="str"/>
      <c r="Q5191" s="41" t="str"/>
      <c r="R5191" s="41" t="str"/>
      <c r="S5191" s="41" t="str"/>
      <c r="T5191" s="41" t="str"/>
      <c r="U5191" s="41" t="str"/>
      <c r="V5191" s="41" t="str"/>
      <c r="W5191" s="41" t="str"/>
    </row>
    <row r="5192">
      <c r="B5192" s="2" t="n"/>
      <c r="C5192" s="40" t="n"/>
      <c r="D5192" s="52">
        <f t="array" ref="D5192:W5192">IF(All_Students_Scores!C5190:V5190="","",All_Students_Scores!C5190:V5190)</f>
        <v/>
      </c>
      <c r="E5192" s="57" t="str"/>
      <c r="F5192" s="49" t="str"/>
      <c r="G5192" s="59" t="str"/>
      <c r="H5192" s="64" t="str"/>
      <c r="I5192" s="65" t="str"/>
      <c r="J5192" s="49" t="str"/>
      <c r="K5192" s="41" t="str"/>
      <c r="L5192" s="41" t="str"/>
      <c r="M5192" s="41" t="str"/>
      <c r="N5192" s="41" t="str"/>
      <c r="O5192" s="41" t="str"/>
      <c r="P5192" s="41" t="str"/>
      <c r="Q5192" s="41" t="str"/>
      <c r="R5192" s="41" t="str"/>
      <c r="S5192" s="41" t="str"/>
      <c r="T5192" s="41" t="str"/>
      <c r="U5192" s="41" t="str"/>
      <c r="V5192" s="41" t="str"/>
      <c r="W5192" s="41" t="str"/>
    </row>
    <row r="5193">
      <c r="B5193" s="2" t="n"/>
      <c r="C5193" s="40" t="n"/>
      <c r="D5193" s="52">
        <f t="array" ref="D5193:W5193">IF(All_Students_Scores!C5191:V5191="","",All_Students_Scores!C5191:V5191)</f>
        <v/>
      </c>
      <c r="E5193" s="57" t="str"/>
      <c r="F5193" s="49" t="str"/>
      <c r="G5193" s="59" t="str"/>
      <c r="H5193" s="64" t="str"/>
      <c r="I5193" s="65" t="str"/>
      <c r="J5193" s="49" t="str"/>
      <c r="K5193" s="41" t="str"/>
      <c r="L5193" s="41" t="str"/>
      <c r="M5193" s="41" t="str"/>
      <c r="N5193" s="41" t="str"/>
      <c r="O5193" s="41" t="str"/>
      <c r="P5193" s="41" t="str"/>
      <c r="Q5193" s="41" t="str"/>
      <c r="R5193" s="41" t="str"/>
      <c r="S5193" s="41" t="str"/>
      <c r="T5193" s="41" t="str"/>
      <c r="U5193" s="41" t="str"/>
      <c r="V5193" s="41" t="str"/>
      <c r="W5193" s="41" t="str"/>
    </row>
    <row r="5194">
      <c r="B5194" s="2" t="n"/>
      <c r="C5194" s="40" t="n"/>
      <c r="D5194" s="52">
        <f t="array" ref="D5194:W5194">IF(All_Students_Scores!C5192:V5192="","",All_Students_Scores!C5192:V5192)</f>
        <v/>
      </c>
      <c r="E5194" s="57" t="str"/>
      <c r="F5194" s="49" t="str"/>
      <c r="G5194" s="59" t="str"/>
      <c r="H5194" s="64" t="str"/>
      <c r="I5194" s="65" t="str"/>
      <c r="J5194" s="49" t="str"/>
      <c r="K5194" s="41" t="str"/>
      <c r="L5194" s="41" t="str"/>
      <c r="M5194" s="41" t="str"/>
      <c r="N5194" s="41" t="str"/>
      <c r="O5194" s="41" t="str"/>
      <c r="P5194" s="41" t="str"/>
      <c r="Q5194" s="41" t="str"/>
      <c r="R5194" s="41" t="str"/>
      <c r="S5194" s="41" t="str"/>
      <c r="T5194" s="41" t="str"/>
      <c r="U5194" s="41" t="str"/>
      <c r="V5194" s="41" t="str"/>
      <c r="W5194" s="41" t="str"/>
    </row>
    <row r="5195">
      <c r="B5195" s="2" t="n"/>
      <c r="C5195" s="40" t="n"/>
      <c r="D5195" s="52">
        <f t="array" ref="D5195:W5195">IF(All_Students_Scores!C5193:V5193="","",All_Students_Scores!C5193:V5193)</f>
        <v/>
      </c>
      <c r="E5195" s="57" t="str"/>
      <c r="F5195" s="49" t="str"/>
      <c r="G5195" s="59" t="str"/>
      <c r="H5195" s="64" t="str"/>
      <c r="I5195" s="65" t="str"/>
      <c r="J5195" s="49" t="str"/>
      <c r="K5195" s="41" t="str"/>
      <c r="L5195" s="41" t="str"/>
      <c r="M5195" s="41" t="str"/>
      <c r="N5195" s="41" t="str"/>
      <c r="O5195" s="41" t="str"/>
      <c r="P5195" s="41" t="str"/>
      <c r="Q5195" s="41" t="str"/>
      <c r="R5195" s="41" t="str"/>
      <c r="S5195" s="41" t="str"/>
      <c r="T5195" s="41" t="str"/>
      <c r="U5195" s="41" t="str"/>
      <c r="V5195" s="41" t="str"/>
      <c r="W5195" s="41" t="str"/>
    </row>
    <row r="5196">
      <c r="B5196" s="2" t="n"/>
      <c r="C5196" s="40" t="n"/>
      <c r="D5196" s="52">
        <f t="array" ref="D5196:W5196">IF(All_Students_Scores!C5194:V5194="","",All_Students_Scores!C5194:V5194)</f>
        <v/>
      </c>
      <c r="E5196" s="57" t="str"/>
      <c r="F5196" s="49" t="str"/>
      <c r="G5196" s="59" t="str"/>
      <c r="H5196" s="64" t="str"/>
      <c r="I5196" s="65" t="str"/>
      <c r="J5196" s="49" t="str"/>
      <c r="K5196" s="41" t="str"/>
      <c r="L5196" s="41" t="str"/>
      <c r="M5196" s="41" t="str"/>
      <c r="N5196" s="41" t="str"/>
      <c r="O5196" s="41" t="str"/>
      <c r="P5196" s="41" t="str"/>
      <c r="Q5196" s="41" t="str"/>
      <c r="R5196" s="41" t="str"/>
      <c r="S5196" s="41" t="str"/>
      <c r="T5196" s="41" t="str"/>
      <c r="U5196" s="41" t="str"/>
      <c r="V5196" s="41" t="str"/>
      <c r="W5196" s="41" t="str"/>
    </row>
    <row r="5197">
      <c r="B5197" s="2" t="n"/>
      <c r="C5197" s="40" t="n"/>
      <c r="D5197" s="52">
        <f t="array" ref="D5197:W5197">IF(All_Students_Scores!C5195:V5195="","",All_Students_Scores!C5195:V5195)</f>
        <v/>
      </c>
      <c r="E5197" s="57" t="str"/>
      <c r="F5197" s="49" t="str"/>
      <c r="G5197" s="59" t="str"/>
      <c r="H5197" s="64" t="str"/>
      <c r="I5197" s="65" t="str"/>
      <c r="J5197" s="49" t="str"/>
      <c r="K5197" s="41" t="str"/>
      <c r="L5197" s="41" t="str"/>
      <c r="M5197" s="41" t="str"/>
      <c r="N5197" s="41" t="str"/>
      <c r="O5197" s="41" t="str"/>
      <c r="P5197" s="41" t="str"/>
      <c r="Q5197" s="41" t="str"/>
      <c r="R5197" s="41" t="str"/>
      <c r="S5197" s="41" t="str"/>
      <c r="T5197" s="41" t="str"/>
      <c r="U5197" s="41" t="str"/>
      <c r="V5197" s="41" t="str"/>
      <c r="W5197" s="41" t="str"/>
    </row>
    <row r="5198">
      <c r="B5198" s="2" t="n"/>
      <c r="C5198" s="40" t="n"/>
      <c r="D5198" s="52">
        <f t="array" ref="D5198:W5198">IF(All_Students_Scores!C5196:V5196="","",All_Students_Scores!C5196:V5196)</f>
        <v/>
      </c>
      <c r="E5198" s="57" t="str"/>
      <c r="F5198" s="49" t="str"/>
      <c r="G5198" s="59" t="str"/>
      <c r="H5198" s="64" t="str"/>
      <c r="I5198" s="65" t="str"/>
      <c r="J5198" s="49" t="str"/>
      <c r="K5198" s="41" t="str"/>
      <c r="L5198" s="41" t="str"/>
      <c r="M5198" s="41" t="str"/>
      <c r="N5198" s="41" t="str"/>
      <c r="O5198" s="41" t="str"/>
      <c r="P5198" s="41" t="str"/>
      <c r="Q5198" s="41" t="str"/>
      <c r="R5198" s="41" t="str"/>
      <c r="S5198" s="41" t="str"/>
      <c r="T5198" s="41" t="str"/>
      <c r="U5198" s="41" t="str"/>
      <c r="V5198" s="41" t="str"/>
      <c r="W5198" s="41" t="str"/>
    </row>
    <row r="5199">
      <c r="B5199" s="2" t="n"/>
      <c r="C5199" s="40" t="n"/>
      <c r="D5199" s="52">
        <f t="array" ref="D5199:W5199">IF(All_Students_Scores!C5197:V5197="","",All_Students_Scores!C5197:V5197)</f>
        <v/>
      </c>
      <c r="E5199" s="57" t="str"/>
      <c r="F5199" s="49" t="str"/>
      <c r="G5199" s="59" t="str"/>
      <c r="H5199" s="64" t="str"/>
      <c r="I5199" s="65" t="str"/>
      <c r="J5199" s="49" t="str"/>
      <c r="K5199" s="41" t="str"/>
      <c r="L5199" s="41" t="str"/>
      <c r="M5199" s="41" t="str"/>
      <c r="N5199" s="41" t="str"/>
      <c r="O5199" s="41" t="str"/>
      <c r="P5199" s="41" t="str"/>
      <c r="Q5199" s="41" t="str"/>
      <c r="R5199" s="41" t="str"/>
      <c r="S5199" s="41" t="str"/>
      <c r="T5199" s="41" t="str"/>
      <c r="U5199" s="41" t="str"/>
      <c r="V5199" s="41" t="str"/>
      <c r="W5199" s="41" t="str"/>
    </row>
    <row r="5200">
      <c r="B5200" s="2" t="n"/>
      <c r="C5200" s="40" t="n"/>
      <c r="D5200" s="52">
        <f t="array" ref="D5200:W5200">IF(All_Students_Scores!C5198:V5198="","",All_Students_Scores!C5198:V5198)</f>
        <v/>
      </c>
      <c r="E5200" s="57" t="str"/>
      <c r="F5200" s="49" t="str"/>
      <c r="G5200" s="59" t="str"/>
      <c r="H5200" s="64" t="str"/>
      <c r="I5200" s="65" t="str"/>
      <c r="J5200" s="49" t="str"/>
      <c r="K5200" s="41" t="str"/>
      <c r="L5200" s="41" t="str"/>
      <c r="M5200" s="41" t="str"/>
      <c r="N5200" s="41" t="str"/>
      <c r="O5200" s="41" t="str"/>
      <c r="P5200" s="41" t="str"/>
      <c r="Q5200" s="41" t="str"/>
      <c r="R5200" s="41" t="str"/>
      <c r="S5200" s="41" t="str"/>
      <c r="T5200" s="41" t="str"/>
      <c r="U5200" s="41" t="str"/>
      <c r="V5200" s="41" t="str"/>
      <c r="W5200" s="41" t="str"/>
    </row>
    <row r="5201">
      <c r="B5201" s="2" t="n"/>
      <c r="C5201" s="40" t="n"/>
      <c r="D5201" s="52">
        <f t="array" ref="D5201:W5201">IF(All_Students_Scores!C5199:V5199="","",All_Students_Scores!C5199:V5199)</f>
        <v/>
      </c>
      <c r="E5201" s="57" t="str"/>
      <c r="F5201" s="49" t="str"/>
      <c r="G5201" s="59" t="str"/>
      <c r="H5201" s="64" t="str"/>
      <c r="I5201" s="65" t="str"/>
      <c r="J5201" s="49" t="str"/>
      <c r="K5201" s="41" t="str"/>
      <c r="L5201" s="41" t="str"/>
      <c r="M5201" s="41" t="str"/>
      <c r="N5201" s="41" t="str"/>
      <c r="O5201" s="41" t="str"/>
      <c r="P5201" s="41" t="str"/>
      <c r="Q5201" s="41" t="str"/>
      <c r="R5201" s="41" t="str"/>
      <c r="S5201" s="41" t="str"/>
      <c r="T5201" s="41" t="str"/>
      <c r="U5201" s="41" t="str"/>
      <c r="V5201" s="41" t="str"/>
      <c r="W5201" s="41" t="str"/>
    </row>
    <row r="5202">
      <c r="B5202" s="2" t="n"/>
      <c r="C5202" s="40" t="n"/>
      <c r="D5202" s="52">
        <f t="array" ref="D5202:W5202">IF(All_Students_Scores!C5200:V5200="","",All_Students_Scores!C5200:V5200)</f>
        <v/>
      </c>
      <c r="E5202" s="57" t="str"/>
      <c r="F5202" s="49" t="str"/>
      <c r="G5202" s="59" t="str"/>
      <c r="H5202" s="64" t="str"/>
      <c r="I5202" s="65" t="str"/>
      <c r="J5202" s="49" t="str"/>
      <c r="K5202" s="41" t="str"/>
      <c r="L5202" s="41" t="str"/>
      <c r="M5202" s="41" t="str"/>
      <c r="N5202" s="41" t="str"/>
      <c r="O5202" s="41" t="str"/>
      <c r="P5202" s="41" t="str"/>
      <c r="Q5202" s="41" t="str"/>
      <c r="R5202" s="41" t="str"/>
      <c r="S5202" s="41" t="str"/>
      <c r="T5202" s="41" t="str"/>
      <c r="U5202" s="41" t="str"/>
      <c r="V5202" s="41" t="str"/>
      <c r="W5202" s="41" t="str"/>
    </row>
    <row r="5203">
      <c r="B5203" s="2" t="n"/>
      <c r="C5203" s="40" t="n"/>
      <c r="D5203" s="52">
        <f t="array" ref="D5203:W5203">IF(All_Students_Scores!C5201:V5201="","",All_Students_Scores!C5201:V5201)</f>
        <v/>
      </c>
      <c r="E5203" s="57" t="str"/>
      <c r="F5203" s="49" t="str"/>
      <c r="G5203" s="59" t="str"/>
      <c r="H5203" s="64" t="str"/>
      <c r="I5203" s="65" t="str"/>
      <c r="J5203" s="49" t="str"/>
      <c r="K5203" s="41" t="str"/>
      <c r="L5203" s="41" t="str"/>
      <c r="M5203" s="41" t="str"/>
      <c r="N5203" s="41" t="str"/>
      <c r="O5203" s="41" t="str"/>
      <c r="P5203" s="41" t="str"/>
      <c r="Q5203" s="41" t="str"/>
      <c r="R5203" s="41" t="str"/>
      <c r="S5203" s="41" t="str"/>
      <c r="T5203" s="41" t="str"/>
      <c r="U5203" s="41" t="str"/>
      <c r="V5203" s="41" t="str"/>
      <c r="W5203" s="41" t="str"/>
    </row>
    <row r="5204">
      <c r="B5204" s="2" t="n"/>
      <c r="C5204" s="40" t="n"/>
      <c r="D5204" s="52">
        <f t="array" ref="D5204:W5204">IF(All_Students_Scores!C5202:V5202="","",All_Students_Scores!C5202:V5202)</f>
        <v/>
      </c>
      <c r="E5204" s="57" t="str"/>
      <c r="F5204" s="49" t="str"/>
      <c r="G5204" s="59" t="str"/>
      <c r="H5204" s="64" t="str"/>
      <c r="I5204" s="65" t="str"/>
      <c r="J5204" s="49" t="str"/>
      <c r="K5204" s="41" t="str"/>
      <c r="L5204" s="41" t="str"/>
      <c r="M5204" s="41" t="str"/>
      <c r="N5204" s="41" t="str"/>
      <c r="O5204" s="41" t="str"/>
      <c r="P5204" s="41" t="str"/>
      <c r="Q5204" s="41" t="str"/>
      <c r="R5204" s="41" t="str"/>
      <c r="S5204" s="41" t="str"/>
      <c r="T5204" s="41" t="str"/>
      <c r="U5204" s="41" t="str"/>
      <c r="V5204" s="41" t="str"/>
      <c r="W5204" s="41" t="str"/>
    </row>
    <row r="5205">
      <c r="B5205" s="2" t="n"/>
      <c r="C5205" s="40" t="n"/>
      <c r="D5205" s="52">
        <f t="array" ref="D5205:W5205">IF(All_Students_Scores!C5203:V5203="","",All_Students_Scores!C5203:V5203)</f>
        <v/>
      </c>
      <c r="E5205" s="57" t="str"/>
      <c r="F5205" s="49" t="str"/>
      <c r="G5205" s="59" t="str"/>
      <c r="H5205" s="64" t="str"/>
      <c r="I5205" s="65" t="str"/>
      <c r="J5205" s="49" t="str"/>
      <c r="K5205" s="41" t="str"/>
      <c r="L5205" s="41" t="str"/>
      <c r="M5205" s="41" t="str"/>
      <c r="N5205" s="41" t="str"/>
      <c r="O5205" s="41" t="str"/>
      <c r="P5205" s="41" t="str"/>
      <c r="Q5205" s="41" t="str"/>
      <c r="R5205" s="41" t="str"/>
      <c r="S5205" s="41" t="str"/>
      <c r="T5205" s="41" t="str"/>
      <c r="U5205" s="41" t="str"/>
      <c r="V5205" s="41" t="str"/>
      <c r="W5205" s="41" t="str"/>
    </row>
    <row r="5206">
      <c r="B5206" s="2" t="n"/>
      <c r="C5206" s="40" t="n"/>
      <c r="D5206" s="52">
        <f t="array" ref="D5206:W5206">IF(All_Students_Scores!C5204:V5204="","",All_Students_Scores!C5204:V5204)</f>
        <v/>
      </c>
      <c r="E5206" s="57" t="str"/>
      <c r="F5206" s="49" t="str"/>
      <c r="G5206" s="59" t="str"/>
      <c r="H5206" s="64" t="str"/>
      <c r="I5206" s="65" t="str"/>
      <c r="J5206" s="49" t="str"/>
      <c r="K5206" s="41" t="str"/>
      <c r="L5206" s="41" t="str"/>
      <c r="M5206" s="41" t="str"/>
      <c r="N5206" s="41" t="str"/>
      <c r="O5206" s="41" t="str"/>
      <c r="P5206" s="41" t="str"/>
      <c r="Q5206" s="41" t="str"/>
      <c r="R5206" s="41" t="str"/>
      <c r="S5206" s="41" t="str"/>
      <c r="T5206" s="41" t="str"/>
      <c r="U5206" s="41" t="str"/>
      <c r="V5206" s="41" t="str"/>
      <c r="W5206" s="41" t="str"/>
    </row>
    <row r="5207">
      <c r="B5207" s="2" t="n"/>
      <c r="C5207" s="40" t="n"/>
      <c r="D5207" s="52">
        <f t="array" ref="D5207:W5207">IF(All_Students_Scores!C5205:V5205="","",All_Students_Scores!C5205:V5205)</f>
        <v/>
      </c>
      <c r="E5207" s="57" t="str"/>
      <c r="F5207" s="49" t="str"/>
      <c r="G5207" s="59" t="str"/>
      <c r="H5207" s="64" t="str"/>
      <c r="I5207" s="65" t="str"/>
      <c r="J5207" s="49" t="str"/>
      <c r="K5207" s="41" t="str"/>
      <c r="L5207" s="41" t="str"/>
      <c r="M5207" s="41" t="str"/>
      <c r="N5207" s="41" t="str"/>
      <c r="O5207" s="41" t="str"/>
      <c r="P5207" s="41" t="str"/>
      <c r="Q5207" s="41" t="str"/>
      <c r="R5207" s="41" t="str"/>
      <c r="S5207" s="41" t="str"/>
      <c r="T5207" s="41" t="str"/>
      <c r="U5207" s="41" t="str"/>
      <c r="V5207" s="41" t="str"/>
      <c r="W5207" s="41" t="str"/>
    </row>
    <row r="5208">
      <c r="B5208" s="2" t="n"/>
      <c r="C5208" s="40" t="n"/>
      <c r="D5208" s="52">
        <f t="array" ref="D5208:W5208">IF(All_Students_Scores!C5206:V5206="","",All_Students_Scores!C5206:V5206)</f>
        <v/>
      </c>
      <c r="E5208" s="57" t="str"/>
      <c r="F5208" s="49" t="str"/>
      <c r="G5208" s="59" t="str"/>
      <c r="H5208" s="64" t="str"/>
      <c r="I5208" s="65" t="str"/>
      <c r="J5208" s="49" t="str"/>
      <c r="K5208" s="41" t="str"/>
      <c r="L5208" s="41" t="str"/>
      <c r="M5208" s="41" t="str"/>
      <c r="N5208" s="41" t="str"/>
      <c r="O5208" s="41" t="str"/>
      <c r="P5208" s="41" t="str"/>
      <c r="Q5208" s="41" t="str"/>
      <c r="R5208" s="41" t="str"/>
      <c r="S5208" s="41" t="str"/>
      <c r="T5208" s="41" t="str"/>
      <c r="U5208" s="41" t="str"/>
      <c r="V5208" s="41" t="str"/>
      <c r="W5208" s="41" t="str"/>
    </row>
    <row r="5209">
      <c r="B5209" s="2" t="n"/>
      <c r="C5209" s="40" t="n"/>
      <c r="D5209" s="52">
        <f t="array" ref="D5209:W5209">IF(All_Students_Scores!C5207:V5207="","",All_Students_Scores!C5207:V5207)</f>
        <v/>
      </c>
      <c r="E5209" s="57" t="str"/>
      <c r="F5209" s="49" t="str"/>
      <c r="G5209" s="59" t="str"/>
      <c r="H5209" s="64" t="str"/>
      <c r="I5209" s="65" t="str"/>
      <c r="J5209" s="49" t="str"/>
      <c r="K5209" s="41" t="str"/>
      <c r="L5209" s="41" t="str"/>
      <c r="M5209" s="41" t="str"/>
      <c r="N5209" s="41" t="str"/>
      <c r="O5209" s="41" t="str"/>
      <c r="P5209" s="41" t="str"/>
      <c r="Q5209" s="41" t="str"/>
      <c r="R5209" s="41" t="str"/>
      <c r="S5209" s="41" t="str"/>
      <c r="T5209" s="41" t="str"/>
      <c r="U5209" s="41" t="str"/>
      <c r="V5209" s="41" t="str"/>
      <c r="W5209" s="41" t="str"/>
    </row>
    <row r="5210">
      <c r="B5210" s="2" t="n"/>
      <c r="C5210" s="40" t="n"/>
      <c r="D5210" s="52">
        <f t="array" ref="D5210:W5210">IF(All_Students_Scores!C5208:V5208="","",All_Students_Scores!C5208:V5208)</f>
        <v/>
      </c>
      <c r="E5210" s="57" t="str"/>
      <c r="F5210" s="49" t="str"/>
      <c r="G5210" s="59" t="str"/>
      <c r="H5210" s="64" t="str"/>
      <c r="I5210" s="65" t="str"/>
      <c r="J5210" s="49" t="str"/>
      <c r="K5210" s="41" t="str"/>
      <c r="L5210" s="41" t="str"/>
      <c r="M5210" s="41" t="str"/>
      <c r="N5210" s="41" t="str"/>
      <c r="O5210" s="41" t="str"/>
      <c r="P5210" s="41" t="str"/>
      <c r="Q5210" s="41" t="str"/>
      <c r="R5210" s="41" t="str"/>
      <c r="S5210" s="41" t="str"/>
      <c r="T5210" s="41" t="str"/>
      <c r="U5210" s="41" t="str"/>
      <c r="V5210" s="41" t="str"/>
      <c r="W5210" s="41" t="str"/>
    </row>
    <row r="5211">
      <c r="B5211" s="2" t="n"/>
      <c r="C5211" s="40" t="n"/>
      <c r="D5211" s="52">
        <f t="array" ref="D5211:W5211">IF(All_Students_Scores!C5209:V5209="","",All_Students_Scores!C5209:V5209)</f>
        <v/>
      </c>
      <c r="E5211" s="57" t="str"/>
      <c r="F5211" s="49" t="str"/>
      <c r="G5211" s="59" t="str"/>
      <c r="H5211" s="64" t="str"/>
      <c r="I5211" s="65" t="str"/>
      <c r="J5211" s="49" t="str"/>
      <c r="K5211" s="41" t="str"/>
      <c r="L5211" s="41" t="str"/>
      <c r="M5211" s="41" t="str"/>
      <c r="N5211" s="41" t="str"/>
      <c r="O5211" s="41" t="str"/>
      <c r="P5211" s="41" t="str"/>
      <c r="Q5211" s="41" t="str"/>
      <c r="R5211" s="41" t="str"/>
      <c r="S5211" s="41" t="str"/>
      <c r="T5211" s="41" t="str"/>
      <c r="U5211" s="41" t="str"/>
      <c r="V5211" s="41" t="str"/>
      <c r="W5211" s="41" t="str"/>
    </row>
    <row r="5212">
      <c r="B5212" s="2" t="n"/>
      <c r="C5212" s="40" t="n"/>
      <c r="D5212" s="52">
        <f t="array" ref="D5212:W5212">IF(All_Students_Scores!C5210:V5210="","",All_Students_Scores!C5210:V5210)</f>
        <v/>
      </c>
      <c r="E5212" s="57" t="str"/>
      <c r="F5212" s="49" t="str"/>
      <c r="G5212" s="59" t="str"/>
      <c r="H5212" s="64" t="str"/>
      <c r="I5212" s="65" t="str"/>
      <c r="J5212" s="49" t="str"/>
      <c r="K5212" s="41" t="str"/>
      <c r="L5212" s="41" t="str"/>
      <c r="M5212" s="41" t="str"/>
      <c r="N5212" s="41" t="str"/>
      <c r="O5212" s="41" t="str"/>
      <c r="P5212" s="41" t="str"/>
      <c r="Q5212" s="41" t="str"/>
      <c r="R5212" s="41" t="str"/>
      <c r="S5212" s="41" t="str"/>
      <c r="T5212" s="41" t="str"/>
      <c r="U5212" s="41" t="str"/>
      <c r="V5212" s="41" t="str"/>
      <c r="W5212" s="41" t="str"/>
    </row>
    <row r="5213">
      <c r="B5213" s="2" t="n"/>
      <c r="C5213" s="40" t="n"/>
      <c r="D5213" s="52">
        <f t="array" ref="D5213:W5213">IF(All_Students_Scores!C5211:V5211="","",All_Students_Scores!C5211:V5211)</f>
        <v/>
      </c>
      <c r="E5213" s="57" t="str"/>
      <c r="F5213" s="49" t="str"/>
      <c r="G5213" s="59" t="str"/>
      <c r="H5213" s="64" t="str"/>
      <c r="I5213" s="65" t="str"/>
      <c r="J5213" s="49" t="str"/>
      <c r="K5213" s="41" t="str"/>
      <c r="L5213" s="41" t="str"/>
      <c r="M5213" s="41" t="str"/>
      <c r="N5213" s="41" t="str"/>
      <c r="O5213" s="41" t="str"/>
      <c r="P5213" s="41" t="str"/>
      <c r="Q5213" s="41" t="str"/>
      <c r="R5213" s="41" t="str"/>
      <c r="S5213" s="41" t="str"/>
      <c r="T5213" s="41" t="str"/>
      <c r="U5213" s="41" t="str"/>
      <c r="V5213" s="41" t="str"/>
      <c r="W5213" s="41" t="str"/>
    </row>
    <row r="5214">
      <c r="B5214" s="2" t="n"/>
      <c r="C5214" s="40" t="n"/>
      <c r="D5214" s="52">
        <f t="array" ref="D5214:W5214">IF(All_Students_Scores!C5212:V5212="","",All_Students_Scores!C5212:V5212)</f>
        <v/>
      </c>
      <c r="E5214" s="57" t="str"/>
      <c r="F5214" s="49" t="str"/>
      <c r="G5214" s="59" t="str"/>
      <c r="H5214" s="64" t="str"/>
      <c r="I5214" s="65" t="str"/>
      <c r="J5214" s="49" t="str"/>
      <c r="K5214" s="41" t="str"/>
      <c r="L5214" s="41" t="str"/>
      <c r="M5214" s="41" t="str"/>
      <c r="N5214" s="41" t="str"/>
      <c r="O5214" s="41" t="str"/>
      <c r="P5214" s="41" t="str"/>
      <c r="Q5214" s="41" t="str"/>
      <c r="R5214" s="41" t="str"/>
      <c r="S5214" s="41" t="str"/>
      <c r="T5214" s="41" t="str"/>
      <c r="U5214" s="41" t="str"/>
      <c r="V5214" s="41" t="str"/>
      <c r="W5214" s="41" t="str"/>
    </row>
    <row r="5215">
      <c r="B5215" s="2" t="n"/>
      <c r="C5215" s="40" t="n"/>
      <c r="D5215" s="52">
        <f t="array" ref="D5215:W5215">IF(All_Students_Scores!C5213:V5213="","",All_Students_Scores!C5213:V5213)</f>
        <v/>
      </c>
      <c r="E5215" s="57" t="str"/>
      <c r="F5215" s="49" t="str"/>
      <c r="G5215" s="59" t="str"/>
      <c r="H5215" s="64" t="str"/>
      <c r="I5215" s="65" t="str"/>
      <c r="J5215" s="49" t="str"/>
      <c r="K5215" s="41" t="str"/>
      <c r="L5215" s="41" t="str"/>
      <c r="M5215" s="41" t="str"/>
      <c r="N5215" s="41" t="str"/>
      <c r="O5215" s="41" t="str"/>
      <c r="P5215" s="41" t="str"/>
      <c r="Q5215" s="41" t="str"/>
      <c r="R5215" s="41" t="str"/>
      <c r="S5215" s="41" t="str"/>
      <c r="T5215" s="41" t="str"/>
      <c r="U5215" s="41" t="str"/>
      <c r="V5215" s="41" t="str"/>
      <c r="W5215" s="41" t="str"/>
    </row>
    <row r="5216">
      <c r="B5216" s="2" t="n"/>
      <c r="C5216" s="40" t="n"/>
      <c r="D5216" s="52">
        <f t="array" ref="D5216:W5216">IF(All_Students_Scores!C5214:V5214="","",All_Students_Scores!C5214:V5214)</f>
        <v/>
      </c>
      <c r="E5216" s="57" t="str"/>
      <c r="F5216" s="49" t="str"/>
      <c r="G5216" s="59" t="str"/>
      <c r="H5216" s="64" t="str"/>
      <c r="I5216" s="65" t="str"/>
      <c r="J5216" s="49" t="str"/>
      <c r="K5216" s="41" t="str"/>
      <c r="L5216" s="41" t="str"/>
      <c r="M5216" s="41" t="str"/>
      <c r="N5216" s="41" t="str"/>
      <c r="O5216" s="41" t="str"/>
      <c r="P5216" s="41" t="str"/>
      <c r="Q5216" s="41" t="str"/>
      <c r="R5216" s="41" t="str"/>
      <c r="S5216" s="41" t="str"/>
      <c r="T5216" s="41" t="str"/>
      <c r="U5216" s="41" t="str"/>
      <c r="V5216" s="41" t="str"/>
      <c r="W5216" s="41" t="str"/>
    </row>
    <row r="5217">
      <c r="B5217" s="2" t="n"/>
      <c r="C5217" s="40" t="n"/>
      <c r="D5217" s="52">
        <f t="array" ref="D5217:W5217">IF(All_Students_Scores!C5215:V5215="","",All_Students_Scores!C5215:V5215)</f>
        <v/>
      </c>
      <c r="E5217" s="57" t="str"/>
      <c r="F5217" s="49" t="str"/>
      <c r="G5217" s="59" t="str"/>
      <c r="H5217" s="64" t="str"/>
      <c r="I5217" s="65" t="str"/>
      <c r="J5217" s="49" t="str"/>
      <c r="K5217" s="41" t="str"/>
      <c r="L5217" s="41" t="str"/>
      <c r="M5217" s="41" t="str"/>
      <c r="N5217" s="41" t="str"/>
      <c r="O5217" s="41" t="str"/>
      <c r="P5217" s="41" t="str"/>
      <c r="Q5217" s="41" t="str"/>
      <c r="R5217" s="41" t="str"/>
      <c r="S5217" s="41" t="str"/>
      <c r="T5217" s="41" t="str"/>
      <c r="U5217" s="41" t="str"/>
      <c r="V5217" s="41" t="str"/>
      <c r="W5217" s="41" t="str"/>
    </row>
    <row r="5218">
      <c r="B5218" s="2" t="n"/>
      <c r="C5218" s="40" t="n"/>
      <c r="D5218" s="52">
        <f t="array" ref="D5218:W5218">IF(All_Students_Scores!C5216:V5216="","",All_Students_Scores!C5216:V5216)</f>
        <v/>
      </c>
      <c r="E5218" s="57" t="str"/>
      <c r="F5218" s="49" t="str"/>
      <c r="G5218" s="59" t="str"/>
      <c r="H5218" s="64" t="str"/>
      <c r="I5218" s="65" t="str"/>
      <c r="J5218" s="49" t="str"/>
      <c r="K5218" s="41" t="str"/>
      <c r="L5218" s="41" t="str"/>
      <c r="M5218" s="41" t="str"/>
      <c r="N5218" s="41" t="str"/>
      <c r="O5218" s="41" t="str"/>
      <c r="P5218" s="41" t="str"/>
      <c r="Q5218" s="41" t="str"/>
      <c r="R5218" s="41" t="str"/>
      <c r="S5218" s="41" t="str"/>
      <c r="T5218" s="41" t="str"/>
      <c r="U5218" s="41" t="str"/>
      <c r="V5218" s="41" t="str"/>
      <c r="W5218" s="41" t="str"/>
    </row>
    <row r="5219">
      <c r="B5219" s="2" t="n"/>
      <c r="C5219" s="40" t="n"/>
      <c r="D5219" s="52">
        <f t="array" ref="D5219:W5219">IF(All_Students_Scores!C5217:V5217="","",All_Students_Scores!C5217:V5217)</f>
        <v/>
      </c>
      <c r="E5219" s="57" t="str"/>
      <c r="F5219" s="49" t="str"/>
      <c r="G5219" s="59" t="str"/>
      <c r="H5219" s="64" t="str"/>
      <c r="I5219" s="65" t="str"/>
      <c r="J5219" s="49" t="str"/>
      <c r="K5219" s="41" t="str"/>
      <c r="L5219" s="41" t="str"/>
      <c r="M5219" s="41" t="str"/>
      <c r="N5219" s="41" t="str"/>
      <c r="O5219" s="41" t="str"/>
      <c r="P5219" s="41" t="str"/>
      <c r="Q5219" s="41" t="str"/>
      <c r="R5219" s="41" t="str"/>
      <c r="S5219" s="41" t="str"/>
      <c r="T5219" s="41" t="str"/>
      <c r="U5219" s="41" t="str"/>
      <c r="V5219" s="41" t="str"/>
      <c r="W5219" s="41" t="str"/>
    </row>
    <row r="5220">
      <c r="B5220" s="2" t="n"/>
      <c r="C5220" s="40" t="n"/>
      <c r="D5220" s="52">
        <f t="array" ref="D5220:W5220">IF(All_Students_Scores!C5218:V5218="","",All_Students_Scores!C5218:V5218)</f>
        <v/>
      </c>
      <c r="E5220" s="57" t="str"/>
      <c r="F5220" s="49" t="str"/>
      <c r="G5220" s="59" t="str"/>
      <c r="H5220" s="64" t="str"/>
      <c r="I5220" s="65" t="str"/>
      <c r="J5220" s="49" t="str"/>
      <c r="K5220" s="41" t="str"/>
      <c r="L5220" s="41" t="str"/>
      <c r="M5220" s="41" t="str"/>
      <c r="N5220" s="41" t="str"/>
      <c r="O5220" s="41" t="str"/>
      <c r="P5220" s="41" t="str"/>
      <c r="Q5220" s="41" t="str"/>
      <c r="R5220" s="41" t="str"/>
      <c r="S5220" s="41" t="str"/>
      <c r="T5220" s="41" t="str"/>
      <c r="U5220" s="41" t="str"/>
      <c r="V5220" s="41" t="str"/>
      <c r="W5220" s="41" t="str"/>
    </row>
    <row r="5221">
      <c r="B5221" s="2" t="n"/>
      <c r="C5221" s="40" t="n"/>
      <c r="D5221" s="52">
        <f t="array" ref="D5221:W5221">IF(All_Students_Scores!C5219:V5219="","",All_Students_Scores!C5219:V5219)</f>
        <v/>
      </c>
      <c r="E5221" s="57" t="str"/>
      <c r="F5221" s="49" t="str"/>
      <c r="G5221" s="59" t="str"/>
      <c r="H5221" s="64" t="str"/>
      <c r="I5221" s="65" t="str"/>
      <c r="J5221" s="49" t="str"/>
      <c r="K5221" s="41" t="str"/>
      <c r="L5221" s="41" t="str"/>
      <c r="M5221" s="41" t="str"/>
      <c r="N5221" s="41" t="str"/>
      <c r="O5221" s="41" t="str"/>
      <c r="P5221" s="41" t="str"/>
      <c r="Q5221" s="41" t="str"/>
      <c r="R5221" s="41" t="str"/>
      <c r="S5221" s="41" t="str"/>
      <c r="T5221" s="41" t="str"/>
      <c r="U5221" s="41" t="str"/>
      <c r="V5221" s="41" t="str"/>
      <c r="W5221" s="41" t="str"/>
    </row>
    <row r="5222">
      <c r="B5222" s="2" t="n"/>
      <c r="C5222" s="40" t="n"/>
      <c r="D5222" s="52">
        <f t="array" ref="D5222:W5222">IF(All_Students_Scores!C5220:V5220="","",All_Students_Scores!C5220:V5220)</f>
        <v/>
      </c>
      <c r="E5222" s="57" t="str"/>
      <c r="F5222" s="49" t="str"/>
      <c r="G5222" s="59" t="str"/>
      <c r="H5222" s="64" t="str"/>
      <c r="I5222" s="65" t="str"/>
      <c r="J5222" s="49" t="str"/>
      <c r="K5222" s="41" t="str"/>
      <c r="L5222" s="41" t="str"/>
      <c r="M5222" s="41" t="str"/>
      <c r="N5222" s="41" t="str"/>
      <c r="O5222" s="41" t="str"/>
      <c r="P5222" s="41" t="str"/>
      <c r="Q5222" s="41" t="str"/>
      <c r="R5222" s="41" t="str"/>
      <c r="S5222" s="41" t="str"/>
      <c r="T5222" s="41" t="str"/>
      <c r="U5222" s="41" t="str"/>
      <c r="V5222" s="41" t="str"/>
      <c r="W5222" s="41" t="str"/>
    </row>
    <row r="5223">
      <c r="B5223" s="2" t="n"/>
      <c r="C5223" s="40" t="n"/>
      <c r="D5223" s="52">
        <f t="array" ref="D5223:W5223">IF(All_Students_Scores!C5221:V5221="","",All_Students_Scores!C5221:V5221)</f>
        <v/>
      </c>
      <c r="E5223" s="57" t="str"/>
      <c r="F5223" s="49" t="str"/>
      <c r="G5223" s="59" t="str"/>
      <c r="H5223" s="64" t="str"/>
      <c r="I5223" s="65" t="str"/>
      <c r="J5223" s="49" t="str"/>
      <c r="K5223" s="41" t="str"/>
      <c r="L5223" s="41" t="str"/>
      <c r="M5223" s="41" t="str"/>
      <c r="N5223" s="41" t="str"/>
      <c r="O5223" s="41" t="str"/>
      <c r="P5223" s="41" t="str"/>
      <c r="Q5223" s="41" t="str"/>
      <c r="R5223" s="41" t="str"/>
      <c r="S5223" s="41" t="str"/>
      <c r="T5223" s="41" t="str"/>
      <c r="U5223" s="41" t="str"/>
      <c r="V5223" s="41" t="str"/>
      <c r="W5223" s="41" t="str"/>
    </row>
    <row r="5224">
      <c r="B5224" s="2" t="n"/>
      <c r="C5224" s="40" t="n"/>
      <c r="D5224" s="52">
        <f t="array" ref="D5224:W5224">IF(All_Students_Scores!C5222:V5222="","",All_Students_Scores!C5222:V5222)</f>
        <v/>
      </c>
      <c r="E5224" s="57" t="str"/>
      <c r="F5224" s="49" t="str"/>
      <c r="G5224" s="59" t="str"/>
      <c r="H5224" s="64" t="str"/>
      <c r="I5224" s="65" t="str"/>
      <c r="J5224" s="49" t="str"/>
      <c r="K5224" s="41" t="str"/>
      <c r="L5224" s="41" t="str"/>
      <c r="M5224" s="41" t="str"/>
      <c r="N5224" s="41" t="str"/>
      <c r="O5224" s="41" t="str"/>
      <c r="P5224" s="41" t="str"/>
      <c r="Q5224" s="41" t="str"/>
      <c r="R5224" s="41" t="str"/>
      <c r="S5224" s="41" t="str"/>
      <c r="T5224" s="41" t="str"/>
      <c r="U5224" s="41" t="str"/>
      <c r="V5224" s="41" t="str"/>
      <c r="W5224" s="41" t="str"/>
    </row>
    <row r="5225">
      <c r="B5225" s="2" t="n"/>
      <c r="C5225" s="40" t="n"/>
      <c r="D5225" s="52">
        <f t="array" ref="D5225:W5225">IF(All_Students_Scores!C5223:V5223="","",All_Students_Scores!C5223:V5223)</f>
        <v/>
      </c>
      <c r="E5225" s="57" t="str"/>
      <c r="F5225" s="49" t="str"/>
      <c r="G5225" s="59" t="str"/>
      <c r="H5225" s="64" t="str"/>
      <c r="I5225" s="65" t="str"/>
      <c r="J5225" s="49" t="str"/>
      <c r="K5225" s="41" t="str"/>
      <c r="L5225" s="41" t="str"/>
      <c r="M5225" s="41" t="str"/>
      <c r="N5225" s="41" t="str"/>
      <c r="O5225" s="41" t="str"/>
      <c r="P5225" s="41" t="str"/>
      <c r="Q5225" s="41" t="str"/>
      <c r="R5225" s="41" t="str"/>
      <c r="S5225" s="41" t="str"/>
      <c r="T5225" s="41" t="str"/>
      <c r="U5225" s="41" t="str"/>
      <c r="V5225" s="41" t="str"/>
      <c r="W5225" s="41" t="str"/>
    </row>
    <row r="5226">
      <c r="B5226" s="2" t="n"/>
      <c r="C5226" s="40" t="n"/>
      <c r="D5226" s="52">
        <f t="array" ref="D5226:W5226">IF(All_Students_Scores!C5224:V5224="","",All_Students_Scores!C5224:V5224)</f>
        <v/>
      </c>
      <c r="E5226" s="57" t="str"/>
      <c r="F5226" s="49" t="str"/>
      <c r="G5226" s="59" t="str"/>
      <c r="H5226" s="64" t="str"/>
      <c r="I5226" s="65" t="str"/>
      <c r="J5226" s="49" t="str"/>
      <c r="K5226" s="41" t="str"/>
      <c r="L5226" s="41" t="str"/>
      <c r="M5226" s="41" t="str"/>
      <c r="N5226" s="41" t="str"/>
      <c r="O5226" s="41" t="str"/>
      <c r="P5226" s="41" t="str"/>
      <c r="Q5226" s="41" t="str"/>
      <c r="R5226" s="41" t="str"/>
      <c r="S5226" s="41" t="str"/>
      <c r="T5226" s="41" t="str"/>
      <c r="U5226" s="41" t="str"/>
      <c r="V5226" s="41" t="str"/>
      <c r="W5226" s="41" t="str"/>
    </row>
    <row r="5227">
      <c r="B5227" s="2" t="n"/>
      <c r="C5227" s="40" t="n"/>
      <c r="D5227" s="52">
        <f t="array" ref="D5227:W5227">IF(All_Students_Scores!C5225:V5225="","",All_Students_Scores!C5225:V5225)</f>
        <v/>
      </c>
      <c r="E5227" s="57" t="str"/>
      <c r="F5227" s="49" t="str"/>
      <c r="G5227" s="59" t="str"/>
      <c r="H5227" s="64" t="str"/>
      <c r="I5227" s="65" t="str"/>
      <c r="J5227" s="49" t="str"/>
      <c r="K5227" s="41" t="str"/>
      <c r="L5227" s="41" t="str"/>
      <c r="M5227" s="41" t="str"/>
      <c r="N5227" s="41" t="str"/>
      <c r="O5227" s="41" t="str"/>
      <c r="P5227" s="41" t="str"/>
      <c r="Q5227" s="41" t="str"/>
      <c r="R5227" s="41" t="str"/>
      <c r="S5227" s="41" t="str"/>
      <c r="T5227" s="41" t="str"/>
      <c r="U5227" s="41" t="str"/>
      <c r="V5227" s="41" t="str"/>
      <c r="W5227" s="41" t="str"/>
    </row>
    <row r="5228">
      <c r="B5228" s="2" t="n"/>
      <c r="C5228" s="40" t="n"/>
      <c r="D5228" s="52">
        <f t="array" ref="D5228:W5228">IF(All_Students_Scores!C5226:V5226="","",All_Students_Scores!C5226:V5226)</f>
        <v/>
      </c>
      <c r="E5228" s="57" t="str"/>
      <c r="F5228" s="49" t="str"/>
      <c r="G5228" s="59" t="str"/>
      <c r="H5228" s="64" t="str"/>
      <c r="I5228" s="65" t="str"/>
      <c r="J5228" s="49" t="str"/>
      <c r="K5228" s="41" t="str"/>
      <c r="L5228" s="41" t="str"/>
      <c r="M5228" s="41" t="str"/>
      <c r="N5228" s="41" t="str"/>
      <c r="O5228" s="41" t="str"/>
      <c r="P5228" s="41" t="str"/>
      <c r="Q5228" s="41" t="str"/>
      <c r="R5228" s="41" t="str"/>
      <c r="S5228" s="41" t="str"/>
      <c r="T5228" s="41" t="str"/>
      <c r="U5228" s="41" t="str"/>
      <c r="V5228" s="41" t="str"/>
      <c r="W5228" s="41" t="str"/>
    </row>
    <row r="5229">
      <c r="B5229" s="2" t="n"/>
      <c r="C5229" s="40" t="n"/>
      <c r="D5229" s="52">
        <f t="array" ref="D5229:W5229">IF(All_Students_Scores!C5227:V5227="","",All_Students_Scores!C5227:V5227)</f>
        <v/>
      </c>
      <c r="E5229" s="57" t="str"/>
      <c r="F5229" s="49" t="str"/>
      <c r="G5229" s="59" t="str"/>
      <c r="H5229" s="64" t="str"/>
      <c r="I5229" s="65" t="str"/>
      <c r="J5229" s="49" t="str"/>
      <c r="K5229" s="41" t="str"/>
      <c r="L5229" s="41" t="str"/>
      <c r="M5229" s="41" t="str"/>
      <c r="N5229" s="41" t="str"/>
      <c r="O5229" s="41" t="str"/>
      <c r="P5229" s="41" t="str"/>
      <c r="Q5229" s="41" t="str"/>
      <c r="R5229" s="41" t="str"/>
      <c r="S5229" s="41" t="str"/>
      <c r="T5229" s="41" t="str"/>
      <c r="U5229" s="41" t="str"/>
      <c r="V5229" s="41" t="str"/>
      <c r="W5229" s="41" t="str"/>
    </row>
    <row r="5230">
      <c r="B5230" s="2" t="n"/>
      <c r="C5230" s="40" t="n"/>
      <c r="D5230" s="52">
        <f t="array" ref="D5230:W5230">IF(All_Students_Scores!C5228:V5228="","",All_Students_Scores!C5228:V5228)</f>
        <v/>
      </c>
      <c r="E5230" s="57" t="str"/>
      <c r="F5230" s="49" t="str"/>
      <c r="G5230" s="59" t="str"/>
      <c r="H5230" s="64" t="str"/>
      <c r="I5230" s="65" t="str"/>
      <c r="J5230" s="49" t="str"/>
      <c r="K5230" s="41" t="str"/>
      <c r="L5230" s="41" t="str"/>
      <c r="M5230" s="41" t="str"/>
      <c r="N5230" s="41" t="str"/>
      <c r="O5230" s="41" t="str"/>
      <c r="P5230" s="41" t="str"/>
      <c r="Q5230" s="41" t="str"/>
      <c r="R5230" s="41" t="str"/>
      <c r="S5230" s="41" t="str"/>
      <c r="T5230" s="41" t="str"/>
      <c r="U5230" s="41" t="str"/>
      <c r="V5230" s="41" t="str"/>
      <c r="W5230" s="41" t="str"/>
    </row>
    <row r="5231">
      <c r="B5231" s="2" t="n"/>
      <c r="C5231" s="40" t="n"/>
      <c r="D5231" s="52">
        <f t="array" ref="D5231:W5231">IF(All_Students_Scores!C5229:V5229="","",All_Students_Scores!C5229:V5229)</f>
        <v/>
      </c>
      <c r="E5231" s="57" t="str"/>
      <c r="F5231" s="49" t="str"/>
      <c r="G5231" s="59" t="str"/>
      <c r="H5231" s="64" t="str"/>
      <c r="I5231" s="65" t="str"/>
      <c r="J5231" s="49" t="str"/>
      <c r="K5231" s="41" t="str"/>
      <c r="L5231" s="41" t="str"/>
      <c r="M5231" s="41" t="str"/>
      <c r="N5231" s="41" t="str"/>
      <c r="O5231" s="41" t="str"/>
      <c r="P5231" s="41" t="str"/>
      <c r="Q5231" s="41" t="str"/>
      <c r="R5231" s="41" t="str"/>
      <c r="S5231" s="41" t="str"/>
      <c r="T5231" s="41" t="str"/>
      <c r="U5231" s="41" t="str"/>
      <c r="V5231" s="41" t="str"/>
      <c r="W5231" s="41" t="str"/>
    </row>
    <row r="5232">
      <c r="B5232" s="2" t="n"/>
      <c r="C5232" s="40" t="n"/>
      <c r="D5232" s="52">
        <f t="array" ref="D5232:W5232">IF(All_Students_Scores!C5230:V5230="","",All_Students_Scores!C5230:V5230)</f>
        <v/>
      </c>
      <c r="E5232" s="57" t="str"/>
      <c r="F5232" s="49" t="str"/>
      <c r="G5232" s="59" t="str"/>
      <c r="H5232" s="64" t="str"/>
      <c r="I5232" s="65" t="str"/>
      <c r="J5232" s="49" t="str"/>
      <c r="K5232" s="41" t="str"/>
      <c r="L5232" s="41" t="str"/>
      <c r="M5232" s="41" t="str"/>
      <c r="N5232" s="41" t="str"/>
      <c r="O5232" s="41" t="str"/>
      <c r="P5232" s="41" t="str"/>
      <c r="Q5232" s="41" t="str"/>
      <c r="R5232" s="41" t="str"/>
      <c r="S5232" s="41" t="str"/>
      <c r="T5232" s="41" t="str"/>
      <c r="U5232" s="41" t="str"/>
      <c r="V5232" s="41" t="str"/>
      <c r="W5232" s="41" t="str"/>
    </row>
    <row r="5233">
      <c r="B5233" s="2" t="n"/>
      <c r="C5233" s="40" t="n"/>
      <c r="D5233" s="52">
        <f t="array" ref="D5233:W5233">IF(All_Students_Scores!C5231:V5231="","",All_Students_Scores!C5231:V5231)</f>
        <v/>
      </c>
      <c r="E5233" s="57" t="str"/>
      <c r="F5233" s="49" t="str"/>
      <c r="G5233" s="59" t="str"/>
      <c r="H5233" s="64" t="str"/>
      <c r="I5233" s="65" t="str"/>
      <c r="J5233" s="49" t="str"/>
      <c r="K5233" s="41" t="str"/>
      <c r="L5233" s="41" t="str"/>
      <c r="M5233" s="41" t="str"/>
      <c r="N5233" s="41" t="str"/>
      <c r="O5233" s="41" t="str"/>
      <c r="P5233" s="41" t="str"/>
      <c r="Q5233" s="41" t="str"/>
      <c r="R5233" s="41" t="str"/>
      <c r="S5233" s="41" t="str"/>
      <c r="T5233" s="41" t="str"/>
      <c r="U5233" s="41" t="str"/>
      <c r="V5233" s="41" t="str"/>
      <c r="W5233" s="41" t="str"/>
    </row>
    <row r="5234">
      <c r="B5234" s="2" t="n"/>
      <c r="C5234" s="40" t="n"/>
      <c r="D5234" s="52">
        <f t="array" ref="D5234:W5234">IF(All_Students_Scores!C5232:V5232="","",All_Students_Scores!C5232:V5232)</f>
        <v/>
      </c>
      <c r="E5234" s="57" t="str"/>
      <c r="F5234" s="49" t="str"/>
      <c r="G5234" s="59" t="str"/>
      <c r="H5234" s="64" t="str"/>
      <c r="I5234" s="65" t="str"/>
      <c r="J5234" s="49" t="str"/>
      <c r="K5234" s="41" t="str"/>
      <c r="L5234" s="41" t="str"/>
      <c r="M5234" s="41" t="str"/>
      <c r="N5234" s="41" t="str"/>
      <c r="O5234" s="41" t="str"/>
      <c r="P5234" s="41" t="str"/>
      <c r="Q5234" s="41" t="str"/>
      <c r="R5234" s="41" t="str"/>
      <c r="S5234" s="41" t="str"/>
      <c r="T5234" s="41" t="str"/>
      <c r="U5234" s="41" t="str"/>
      <c r="V5234" s="41" t="str"/>
      <c r="W5234" s="41" t="str"/>
    </row>
    <row r="5235">
      <c r="B5235" s="2" t="n"/>
      <c r="C5235" s="40" t="n"/>
      <c r="D5235" s="52">
        <f t="array" ref="D5235:W5235">IF(All_Students_Scores!C5233:V5233="","",All_Students_Scores!C5233:V5233)</f>
        <v/>
      </c>
      <c r="E5235" s="57" t="str"/>
      <c r="F5235" s="49" t="str"/>
      <c r="G5235" s="59" t="str"/>
      <c r="H5235" s="64" t="str"/>
      <c r="I5235" s="65" t="str"/>
      <c r="J5235" s="49" t="str"/>
      <c r="K5235" s="41" t="str"/>
      <c r="L5235" s="41" t="str"/>
      <c r="M5235" s="41" t="str"/>
      <c r="N5235" s="41" t="str"/>
      <c r="O5235" s="41" t="str"/>
      <c r="P5235" s="41" t="str"/>
      <c r="Q5235" s="41" t="str"/>
      <c r="R5235" s="41" t="str"/>
      <c r="S5235" s="41" t="str"/>
      <c r="T5235" s="41" t="str"/>
      <c r="U5235" s="41" t="str"/>
      <c r="V5235" s="41" t="str"/>
      <c r="W5235" s="41" t="str"/>
    </row>
    <row r="5236">
      <c r="B5236" s="2" t="n"/>
      <c r="C5236" s="40" t="n"/>
      <c r="D5236" s="52">
        <f t="array" ref="D5236:W5236">IF(All_Students_Scores!C5234:V5234="","",All_Students_Scores!C5234:V5234)</f>
        <v/>
      </c>
      <c r="E5236" s="57" t="str"/>
      <c r="F5236" s="49" t="str"/>
      <c r="G5236" s="59" t="str"/>
      <c r="H5236" s="64" t="str"/>
      <c r="I5236" s="65" t="str"/>
      <c r="J5236" s="49" t="str"/>
      <c r="K5236" s="41" t="str"/>
      <c r="L5236" s="41" t="str"/>
      <c r="M5236" s="41" t="str"/>
      <c r="N5236" s="41" t="str"/>
      <c r="O5236" s="41" t="str"/>
      <c r="P5236" s="41" t="str"/>
      <c r="Q5236" s="41" t="str"/>
      <c r="R5236" s="41" t="str"/>
      <c r="S5236" s="41" t="str"/>
      <c r="T5236" s="41" t="str"/>
      <c r="U5236" s="41" t="str"/>
      <c r="V5236" s="41" t="str"/>
      <c r="W5236" s="41" t="str"/>
    </row>
    <row r="5237">
      <c r="B5237" s="2" t="n"/>
      <c r="C5237" s="40" t="n"/>
      <c r="D5237" s="52">
        <f t="array" ref="D5237:W5237">IF(All_Students_Scores!C5235:V5235="","",All_Students_Scores!C5235:V5235)</f>
        <v/>
      </c>
      <c r="E5237" s="57" t="str"/>
      <c r="F5237" s="49" t="str"/>
      <c r="G5237" s="59" t="str"/>
      <c r="H5237" s="64" t="str"/>
      <c r="I5237" s="65" t="str"/>
      <c r="J5237" s="49" t="str"/>
      <c r="K5237" s="41" t="str"/>
      <c r="L5237" s="41" t="str"/>
      <c r="M5237" s="41" t="str"/>
      <c r="N5237" s="41" t="str"/>
      <c r="O5237" s="41" t="str"/>
      <c r="P5237" s="41" t="str"/>
      <c r="Q5237" s="41" t="str"/>
      <c r="R5237" s="41" t="str"/>
      <c r="S5237" s="41" t="str"/>
      <c r="T5237" s="41" t="str"/>
      <c r="U5237" s="41" t="str"/>
      <c r="V5237" s="41" t="str"/>
      <c r="W5237" s="41" t="str"/>
    </row>
    <row r="5238">
      <c r="B5238" s="2" t="n"/>
      <c r="C5238" s="40" t="n"/>
      <c r="D5238" s="52">
        <f t="array" ref="D5238:W5238">IF(All_Students_Scores!C5236:V5236="","",All_Students_Scores!C5236:V5236)</f>
        <v/>
      </c>
      <c r="E5238" s="57" t="str"/>
      <c r="F5238" s="49" t="str"/>
      <c r="G5238" s="59" t="str"/>
      <c r="H5238" s="64" t="str"/>
      <c r="I5238" s="65" t="str"/>
      <c r="J5238" s="49" t="str"/>
      <c r="K5238" s="41" t="str"/>
      <c r="L5238" s="41" t="str"/>
      <c r="M5238" s="41" t="str"/>
      <c r="N5238" s="41" t="str"/>
      <c r="O5238" s="41" t="str"/>
      <c r="P5238" s="41" t="str"/>
      <c r="Q5238" s="41" t="str"/>
      <c r="R5238" s="41" t="str"/>
      <c r="S5238" s="41" t="str"/>
      <c r="T5238" s="41" t="str"/>
      <c r="U5238" s="41" t="str"/>
      <c r="V5238" s="41" t="str"/>
      <c r="W5238" s="41" t="str"/>
    </row>
    <row r="5239">
      <c r="B5239" s="2" t="n"/>
      <c r="C5239" s="40" t="n"/>
      <c r="D5239" s="52">
        <f t="array" ref="D5239:W5239">IF(All_Students_Scores!C5237:V5237="","",All_Students_Scores!C5237:V5237)</f>
        <v/>
      </c>
      <c r="E5239" s="57" t="str"/>
      <c r="F5239" s="49" t="str"/>
      <c r="G5239" s="59" t="str"/>
      <c r="H5239" s="64" t="str"/>
      <c r="I5239" s="65" t="str"/>
      <c r="J5239" s="49" t="str"/>
      <c r="K5239" s="41" t="str"/>
      <c r="L5239" s="41" t="str"/>
      <c r="M5239" s="41" t="str"/>
      <c r="N5239" s="41" t="str"/>
      <c r="O5239" s="41" t="str"/>
      <c r="P5239" s="41" t="str"/>
      <c r="Q5239" s="41" t="str"/>
      <c r="R5239" s="41" t="str"/>
      <c r="S5239" s="41" t="str"/>
      <c r="T5239" s="41" t="str"/>
      <c r="U5239" s="41" t="str"/>
      <c r="V5239" s="41" t="str"/>
      <c r="W5239" s="41" t="str"/>
    </row>
    <row r="5240">
      <c r="B5240" s="2" t="n"/>
      <c r="C5240" s="40" t="n"/>
      <c r="D5240" s="52">
        <f t="array" ref="D5240:W5240">IF(All_Students_Scores!C5238:V5238="","",All_Students_Scores!C5238:V5238)</f>
        <v/>
      </c>
      <c r="E5240" s="57" t="str"/>
      <c r="F5240" s="49" t="str"/>
      <c r="G5240" s="59" t="str"/>
      <c r="H5240" s="64" t="str"/>
      <c r="I5240" s="65" t="str"/>
      <c r="J5240" s="49" t="str"/>
      <c r="K5240" s="41" t="str"/>
      <c r="L5240" s="41" t="str"/>
      <c r="M5240" s="41" t="str"/>
      <c r="N5240" s="41" t="str"/>
      <c r="O5240" s="41" t="str"/>
      <c r="P5240" s="41" t="str"/>
      <c r="Q5240" s="41" t="str"/>
      <c r="R5240" s="41" t="str"/>
      <c r="S5240" s="41" t="str"/>
      <c r="T5240" s="41" t="str"/>
      <c r="U5240" s="41" t="str"/>
      <c r="V5240" s="41" t="str"/>
      <c r="W5240" s="41" t="str"/>
    </row>
    <row r="5241">
      <c r="B5241" s="2" t="n"/>
      <c r="C5241" s="40" t="n"/>
      <c r="D5241" s="52">
        <f t="array" ref="D5241:W5241">IF(All_Students_Scores!C5239:V5239="","",All_Students_Scores!C5239:V5239)</f>
        <v/>
      </c>
      <c r="E5241" s="57" t="str"/>
      <c r="F5241" s="49" t="str"/>
      <c r="G5241" s="59" t="str"/>
      <c r="H5241" s="64" t="str"/>
      <c r="I5241" s="65" t="str"/>
      <c r="J5241" s="49" t="str"/>
      <c r="K5241" s="41" t="str"/>
      <c r="L5241" s="41" t="str"/>
      <c r="M5241" s="41" t="str"/>
      <c r="N5241" s="41" t="str"/>
      <c r="O5241" s="41" t="str"/>
      <c r="P5241" s="41" t="str"/>
      <c r="Q5241" s="41" t="str"/>
      <c r="R5241" s="41" t="str"/>
      <c r="S5241" s="41" t="str"/>
      <c r="T5241" s="41" t="str"/>
      <c r="U5241" s="41" t="str"/>
      <c r="V5241" s="41" t="str"/>
      <c r="W5241" s="41" t="str"/>
    </row>
    <row r="5242">
      <c r="B5242" s="2" t="n"/>
      <c r="C5242" s="40" t="n"/>
      <c r="D5242" s="52">
        <f t="array" ref="D5242:W5242">IF(All_Students_Scores!C5240:V5240="","",All_Students_Scores!C5240:V5240)</f>
        <v/>
      </c>
      <c r="E5242" s="57" t="str"/>
      <c r="F5242" s="49" t="str"/>
      <c r="G5242" s="59" t="str"/>
      <c r="H5242" s="64" t="str"/>
      <c r="I5242" s="65" t="str"/>
      <c r="J5242" s="49" t="str"/>
      <c r="K5242" s="41" t="str"/>
      <c r="L5242" s="41" t="str"/>
      <c r="M5242" s="41" t="str"/>
      <c r="N5242" s="41" t="str"/>
      <c r="O5242" s="41" t="str"/>
      <c r="P5242" s="41" t="str"/>
      <c r="Q5242" s="41" t="str"/>
      <c r="R5242" s="41" t="str"/>
      <c r="S5242" s="41" t="str"/>
      <c r="T5242" s="41" t="str"/>
      <c r="U5242" s="41" t="str"/>
      <c r="V5242" s="41" t="str"/>
      <c r="W5242" s="41" t="str"/>
    </row>
    <row r="5243">
      <c r="B5243" s="2" t="n"/>
      <c r="C5243" s="40" t="n"/>
      <c r="D5243" s="52">
        <f t="array" ref="D5243:W5243">IF(All_Students_Scores!C5241:V5241="","",All_Students_Scores!C5241:V5241)</f>
        <v/>
      </c>
      <c r="E5243" s="57" t="str"/>
      <c r="F5243" s="49" t="str"/>
      <c r="G5243" s="59" t="str"/>
      <c r="H5243" s="64" t="str"/>
      <c r="I5243" s="65" t="str"/>
      <c r="J5243" s="49" t="str"/>
      <c r="K5243" s="41" t="str"/>
      <c r="L5243" s="41" t="str"/>
      <c r="M5243" s="41" t="str"/>
      <c r="N5243" s="41" t="str"/>
      <c r="O5243" s="41" t="str"/>
      <c r="P5243" s="41" t="str"/>
      <c r="Q5243" s="41" t="str"/>
      <c r="R5243" s="41" t="str"/>
      <c r="S5243" s="41" t="str"/>
      <c r="T5243" s="41" t="str"/>
      <c r="U5243" s="41" t="str"/>
      <c r="V5243" s="41" t="str"/>
      <c r="W5243" s="41" t="str"/>
    </row>
    <row r="5244">
      <c r="B5244" s="2" t="n"/>
      <c r="C5244" s="40" t="n"/>
      <c r="D5244" s="52">
        <f t="array" ref="D5244:W5244">IF(All_Students_Scores!C5242:V5242="","",All_Students_Scores!C5242:V5242)</f>
        <v/>
      </c>
      <c r="E5244" s="57" t="str"/>
      <c r="F5244" s="49" t="str"/>
      <c r="G5244" s="59" t="str"/>
      <c r="H5244" s="64" t="str"/>
      <c r="I5244" s="65" t="str"/>
      <c r="J5244" s="49" t="str"/>
      <c r="K5244" s="41" t="str"/>
      <c r="L5244" s="41" t="str"/>
      <c r="M5244" s="41" t="str"/>
      <c r="N5244" s="41" t="str"/>
      <c r="O5244" s="41" t="str"/>
      <c r="P5244" s="41" t="str"/>
      <c r="Q5244" s="41" t="str"/>
      <c r="R5244" s="41" t="str"/>
      <c r="S5244" s="41" t="str"/>
      <c r="T5244" s="41" t="str"/>
      <c r="U5244" s="41" t="str"/>
      <c r="V5244" s="41" t="str"/>
      <c r="W5244" s="41" t="str"/>
    </row>
    <row r="5245">
      <c r="B5245" s="2" t="n"/>
      <c r="C5245" s="40" t="n"/>
      <c r="D5245" s="52">
        <f t="array" ref="D5245:W5245">IF(All_Students_Scores!C5243:V5243="","",All_Students_Scores!C5243:V5243)</f>
        <v/>
      </c>
      <c r="E5245" s="57" t="str"/>
      <c r="F5245" s="49" t="str"/>
      <c r="G5245" s="59" t="str"/>
      <c r="H5245" s="64" t="str"/>
      <c r="I5245" s="65" t="str"/>
      <c r="J5245" s="49" t="str"/>
      <c r="K5245" s="41" t="str"/>
      <c r="L5245" s="41" t="str"/>
      <c r="M5245" s="41" t="str"/>
      <c r="N5245" s="41" t="str"/>
      <c r="O5245" s="41" t="str"/>
      <c r="P5245" s="41" t="str"/>
      <c r="Q5245" s="41" t="str"/>
      <c r="R5245" s="41" t="str"/>
      <c r="S5245" s="41" t="str"/>
      <c r="T5245" s="41" t="str"/>
      <c r="U5245" s="41" t="str"/>
      <c r="V5245" s="41" t="str"/>
      <c r="W5245" s="41" t="str"/>
    </row>
    <row r="5246">
      <c r="B5246" s="2" t="n"/>
      <c r="C5246" s="40" t="n"/>
      <c r="D5246" s="52">
        <f t="array" ref="D5246:W5246">IF(All_Students_Scores!C5244:V5244="","",All_Students_Scores!C5244:V5244)</f>
        <v/>
      </c>
      <c r="E5246" s="57" t="str"/>
      <c r="F5246" s="49" t="str"/>
      <c r="G5246" s="59" t="str"/>
      <c r="H5246" s="64" t="str"/>
      <c r="I5246" s="65" t="str"/>
      <c r="J5246" s="49" t="str"/>
      <c r="K5246" s="41" t="str"/>
      <c r="L5246" s="41" t="str"/>
      <c r="M5246" s="41" t="str"/>
      <c r="N5246" s="41" t="str"/>
      <c r="O5246" s="41" t="str"/>
      <c r="P5246" s="41" t="str"/>
      <c r="Q5246" s="41" t="str"/>
      <c r="R5246" s="41" t="str"/>
      <c r="S5246" s="41" t="str"/>
      <c r="T5246" s="41" t="str"/>
      <c r="U5246" s="41" t="str"/>
      <c r="V5246" s="41" t="str"/>
      <c r="W5246" s="41" t="str"/>
    </row>
    <row r="5247">
      <c r="B5247" s="2" t="n"/>
      <c r="C5247" s="40" t="n"/>
      <c r="D5247" s="52">
        <f t="array" ref="D5247:W5247">IF(All_Students_Scores!C5245:V5245="","",All_Students_Scores!C5245:V5245)</f>
        <v/>
      </c>
      <c r="E5247" s="57" t="str"/>
      <c r="F5247" s="49" t="str"/>
      <c r="G5247" s="59" t="str"/>
      <c r="H5247" s="64" t="str"/>
      <c r="I5247" s="65" t="str"/>
      <c r="J5247" s="49" t="str"/>
      <c r="K5247" s="41" t="str"/>
      <c r="L5247" s="41" t="str"/>
      <c r="M5247" s="41" t="str"/>
      <c r="N5247" s="41" t="str"/>
      <c r="O5247" s="41" t="str"/>
      <c r="P5247" s="41" t="str"/>
      <c r="Q5247" s="41" t="str"/>
      <c r="R5247" s="41" t="str"/>
      <c r="S5247" s="41" t="str"/>
      <c r="T5247" s="41" t="str"/>
      <c r="U5247" s="41" t="str"/>
      <c r="V5247" s="41" t="str"/>
      <c r="W5247" s="41" t="str"/>
    </row>
    <row r="5248">
      <c r="B5248" s="2" t="n"/>
      <c r="C5248" s="40" t="n"/>
      <c r="D5248" s="52">
        <f t="array" ref="D5248:W5248">IF(All_Students_Scores!C5246:V5246="","",All_Students_Scores!C5246:V5246)</f>
        <v/>
      </c>
      <c r="E5248" s="57" t="str"/>
      <c r="F5248" s="49" t="str"/>
      <c r="G5248" s="59" t="str"/>
      <c r="H5248" s="64" t="str"/>
      <c r="I5248" s="65" t="str"/>
      <c r="J5248" s="49" t="str"/>
      <c r="K5248" s="41" t="str"/>
      <c r="L5248" s="41" t="str"/>
      <c r="M5248" s="41" t="str"/>
      <c r="N5248" s="41" t="str"/>
      <c r="O5248" s="41" t="str"/>
      <c r="P5248" s="41" t="str"/>
      <c r="Q5248" s="41" t="str"/>
      <c r="R5248" s="41" t="str"/>
      <c r="S5248" s="41" t="str"/>
      <c r="T5248" s="41" t="str"/>
      <c r="U5248" s="41" t="str"/>
      <c r="V5248" s="41" t="str"/>
      <c r="W5248" s="41" t="str"/>
    </row>
    <row r="5249">
      <c r="B5249" s="2" t="n"/>
      <c r="C5249" s="40" t="n"/>
      <c r="D5249" s="52">
        <f t="array" ref="D5249:W5249">IF(All_Students_Scores!C5247:V5247="","",All_Students_Scores!C5247:V5247)</f>
        <v/>
      </c>
      <c r="E5249" s="57" t="str"/>
      <c r="F5249" s="49" t="str"/>
      <c r="G5249" s="59" t="str"/>
      <c r="H5249" s="64" t="str"/>
      <c r="I5249" s="65" t="str"/>
      <c r="J5249" s="49" t="str"/>
      <c r="K5249" s="41" t="str"/>
      <c r="L5249" s="41" t="str"/>
      <c r="M5249" s="41" t="str"/>
      <c r="N5249" s="41" t="str"/>
      <c r="O5249" s="41" t="str"/>
      <c r="P5249" s="41" t="str"/>
      <c r="Q5249" s="41" t="str"/>
      <c r="R5249" s="41" t="str"/>
      <c r="S5249" s="41" t="str"/>
      <c r="T5249" s="41" t="str"/>
      <c r="U5249" s="41" t="str"/>
      <c r="V5249" s="41" t="str"/>
      <c r="W5249" s="41" t="str"/>
    </row>
    <row r="5250">
      <c r="B5250" s="2" t="n"/>
      <c r="C5250" s="40" t="n"/>
      <c r="D5250" s="52">
        <f t="array" ref="D5250:W5250">IF(All_Students_Scores!C5248:V5248="","",All_Students_Scores!C5248:V5248)</f>
        <v/>
      </c>
      <c r="E5250" s="57" t="str"/>
      <c r="F5250" s="49" t="str"/>
      <c r="G5250" s="59" t="str"/>
      <c r="H5250" s="64" t="str"/>
      <c r="I5250" s="65" t="str"/>
      <c r="J5250" s="49" t="str"/>
      <c r="K5250" s="41" t="str"/>
      <c r="L5250" s="41" t="str"/>
      <c r="M5250" s="41" t="str"/>
      <c r="N5250" s="41" t="str"/>
      <c r="O5250" s="41" t="str"/>
      <c r="P5250" s="41" t="str"/>
      <c r="Q5250" s="41" t="str"/>
      <c r="R5250" s="41" t="str"/>
      <c r="S5250" s="41" t="str"/>
      <c r="T5250" s="41" t="str"/>
      <c r="U5250" s="41" t="str"/>
      <c r="V5250" s="41" t="str"/>
      <c r="W5250" s="41" t="str"/>
    </row>
    <row r="5251">
      <c r="B5251" s="2" t="n"/>
      <c r="C5251" s="40" t="n"/>
      <c r="D5251" s="52">
        <f t="array" ref="D5251:W5251">IF(All_Students_Scores!C5249:V5249="","",All_Students_Scores!C5249:V5249)</f>
        <v/>
      </c>
      <c r="E5251" s="57" t="str"/>
      <c r="F5251" s="49" t="str"/>
      <c r="G5251" s="59" t="str"/>
      <c r="H5251" s="64" t="str"/>
      <c r="I5251" s="65" t="str"/>
      <c r="J5251" s="49" t="str"/>
      <c r="K5251" s="41" t="str"/>
      <c r="L5251" s="41" t="str"/>
      <c r="M5251" s="41" t="str"/>
      <c r="N5251" s="41" t="str"/>
      <c r="O5251" s="41" t="str"/>
      <c r="P5251" s="41" t="str"/>
      <c r="Q5251" s="41" t="str"/>
      <c r="R5251" s="41" t="str"/>
      <c r="S5251" s="41" t="str"/>
      <c r="T5251" s="41" t="str"/>
      <c r="U5251" s="41" t="str"/>
      <c r="V5251" s="41" t="str"/>
      <c r="W5251" s="41" t="str"/>
    </row>
    <row r="5252">
      <c r="B5252" s="2" t="n"/>
      <c r="C5252" s="40" t="n"/>
      <c r="D5252" s="52">
        <f t="array" ref="D5252:W5252">IF(All_Students_Scores!C5250:V5250="","",All_Students_Scores!C5250:V5250)</f>
        <v/>
      </c>
      <c r="E5252" s="57" t="str"/>
      <c r="F5252" s="49" t="str"/>
      <c r="G5252" s="59" t="str"/>
      <c r="H5252" s="64" t="str"/>
      <c r="I5252" s="65" t="str"/>
      <c r="J5252" s="49" t="str"/>
      <c r="K5252" s="41" t="str"/>
      <c r="L5252" s="41" t="str"/>
      <c r="M5252" s="41" t="str"/>
      <c r="N5252" s="41" t="str"/>
      <c r="O5252" s="41" t="str"/>
      <c r="P5252" s="41" t="str"/>
      <c r="Q5252" s="41" t="str"/>
      <c r="R5252" s="41" t="str"/>
      <c r="S5252" s="41" t="str"/>
      <c r="T5252" s="41" t="str"/>
      <c r="U5252" s="41" t="str"/>
      <c r="V5252" s="41" t="str"/>
      <c r="W5252" s="41" t="str"/>
    </row>
    <row r="5253">
      <c r="B5253" s="2" t="n"/>
      <c r="C5253" s="40" t="n"/>
      <c r="D5253" s="52">
        <f t="array" ref="D5253:W5253">IF(All_Students_Scores!C5251:V5251="","",All_Students_Scores!C5251:V5251)</f>
        <v/>
      </c>
      <c r="E5253" s="57" t="str"/>
      <c r="F5253" s="49" t="str"/>
      <c r="G5253" s="59" t="str"/>
      <c r="H5253" s="64" t="str"/>
      <c r="I5253" s="65" t="str"/>
      <c r="J5253" s="49" t="str"/>
      <c r="K5253" s="41" t="str"/>
      <c r="L5253" s="41" t="str"/>
      <c r="M5253" s="41" t="str"/>
      <c r="N5253" s="41" t="str"/>
      <c r="O5253" s="41" t="str"/>
      <c r="P5253" s="41" t="str"/>
      <c r="Q5253" s="41" t="str"/>
      <c r="R5253" s="41" t="str"/>
      <c r="S5253" s="41" t="str"/>
      <c r="T5253" s="41" t="str"/>
      <c r="U5253" s="41" t="str"/>
      <c r="V5253" s="41" t="str"/>
      <c r="W5253" s="41" t="str"/>
    </row>
    <row r="5254">
      <c r="B5254" s="2" t="n"/>
      <c r="C5254" s="40" t="n"/>
      <c r="D5254" s="52">
        <f t="array" ref="D5254:W5254">IF(All_Students_Scores!C5252:V5252="","",All_Students_Scores!C5252:V5252)</f>
        <v/>
      </c>
      <c r="E5254" s="57" t="str"/>
      <c r="F5254" s="49" t="str"/>
      <c r="G5254" s="59" t="str"/>
      <c r="H5254" s="64" t="str"/>
      <c r="I5254" s="65" t="str"/>
      <c r="J5254" s="49" t="str"/>
      <c r="K5254" s="41" t="str"/>
      <c r="L5254" s="41" t="str"/>
      <c r="M5254" s="41" t="str"/>
      <c r="N5254" s="41" t="str"/>
      <c r="O5254" s="41" t="str"/>
      <c r="P5254" s="41" t="str"/>
      <c r="Q5254" s="41" t="str"/>
      <c r="R5254" s="41" t="str"/>
      <c r="S5254" s="41" t="str"/>
      <c r="T5254" s="41" t="str"/>
      <c r="U5254" s="41" t="str"/>
      <c r="V5254" s="41" t="str"/>
      <c r="W5254" s="41" t="str"/>
    </row>
    <row r="5255">
      <c r="B5255" s="2" t="n"/>
      <c r="C5255" s="40" t="n"/>
      <c r="D5255" s="52">
        <f t="array" ref="D5255:W5255">IF(All_Students_Scores!C5253:V5253="","",All_Students_Scores!C5253:V5253)</f>
        <v/>
      </c>
      <c r="E5255" s="57" t="str"/>
      <c r="F5255" s="49" t="str"/>
      <c r="G5255" s="59" t="str"/>
      <c r="H5255" s="64" t="str"/>
      <c r="I5255" s="65" t="str"/>
      <c r="J5255" s="49" t="str"/>
      <c r="K5255" s="41" t="str"/>
      <c r="L5255" s="41" t="str"/>
      <c r="M5255" s="41" t="str"/>
      <c r="N5255" s="41" t="str"/>
      <c r="O5255" s="41" t="str"/>
      <c r="P5255" s="41" t="str"/>
      <c r="Q5255" s="41" t="str"/>
      <c r="R5255" s="41" t="str"/>
      <c r="S5255" s="41" t="str"/>
      <c r="T5255" s="41" t="str"/>
      <c r="U5255" s="41" t="str"/>
      <c r="V5255" s="41" t="str"/>
      <c r="W5255" s="41" t="str"/>
    </row>
    <row r="5256">
      <c r="B5256" s="2" t="n"/>
      <c r="C5256" s="40" t="n"/>
      <c r="D5256" s="52">
        <f t="array" ref="D5256:W5256">IF(All_Students_Scores!C5254:V5254="","",All_Students_Scores!C5254:V5254)</f>
        <v/>
      </c>
      <c r="E5256" s="57" t="str"/>
      <c r="F5256" s="49" t="str"/>
      <c r="G5256" s="59" t="str"/>
      <c r="H5256" s="64" t="str"/>
      <c r="I5256" s="65" t="str"/>
      <c r="J5256" s="49" t="str"/>
      <c r="K5256" s="41" t="str"/>
      <c r="L5256" s="41" t="str"/>
      <c r="M5256" s="41" t="str"/>
      <c r="N5256" s="41" t="str"/>
      <c r="O5256" s="41" t="str"/>
      <c r="P5256" s="41" t="str"/>
      <c r="Q5256" s="41" t="str"/>
      <c r="R5256" s="41" t="str"/>
      <c r="S5256" s="41" t="str"/>
      <c r="T5256" s="41" t="str"/>
      <c r="U5256" s="41" t="str"/>
      <c r="V5256" s="41" t="str"/>
      <c r="W5256" s="41" t="str"/>
    </row>
    <row r="5257">
      <c r="B5257" s="2" t="n"/>
      <c r="C5257" s="40" t="n"/>
      <c r="D5257" s="52">
        <f t="array" ref="D5257:W5257">IF(All_Students_Scores!C5255:V5255="","",All_Students_Scores!C5255:V5255)</f>
        <v/>
      </c>
      <c r="E5257" s="57" t="str"/>
      <c r="F5257" s="49" t="str"/>
      <c r="G5257" s="59" t="str"/>
      <c r="H5257" s="64" t="str"/>
      <c r="I5257" s="65" t="str"/>
      <c r="J5257" s="49" t="str"/>
      <c r="K5257" s="41" t="str"/>
      <c r="L5257" s="41" t="str"/>
      <c r="M5257" s="41" t="str"/>
      <c r="N5257" s="41" t="str"/>
      <c r="O5257" s="41" t="str"/>
      <c r="P5257" s="41" t="str"/>
      <c r="Q5257" s="41" t="str"/>
      <c r="R5257" s="41" t="str"/>
      <c r="S5257" s="41" t="str"/>
      <c r="T5257" s="41" t="str"/>
      <c r="U5257" s="41" t="str"/>
      <c r="V5257" s="41" t="str"/>
      <c r="W5257" s="41" t="str"/>
    </row>
    <row r="5258">
      <c r="B5258" s="2" t="n"/>
      <c r="C5258" s="40" t="n"/>
      <c r="D5258" s="52">
        <f t="array" ref="D5258:W5258">IF(All_Students_Scores!C5256:V5256="","",All_Students_Scores!C5256:V5256)</f>
        <v/>
      </c>
      <c r="E5258" s="57" t="str"/>
      <c r="F5258" s="49" t="str"/>
      <c r="G5258" s="59" t="str"/>
      <c r="H5258" s="64" t="str"/>
      <c r="I5258" s="65" t="str"/>
      <c r="J5258" s="49" t="str"/>
      <c r="K5258" s="41" t="str"/>
      <c r="L5258" s="41" t="str"/>
      <c r="M5258" s="41" t="str"/>
      <c r="N5258" s="41" t="str"/>
      <c r="O5258" s="41" t="str"/>
      <c r="P5258" s="41" t="str"/>
      <c r="Q5258" s="41" t="str"/>
      <c r="R5258" s="41" t="str"/>
      <c r="S5258" s="41" t="str"/>
      <c r="T5258" s="41" t="str"/>
      <c r="U5258" s="41" t="str"/>
      <c r="V5258" s="41" t="str"/>
      <c r="W5258" s="41" t="str"/>
    </row>
    <row r="5259">
      <c r="B5259" s="2" t="n"/>
      <c r="C5259" s="40" t="n"/>
      <c r="D5259" s="52">
        <f t="array" ref="D5259:W5259">IF(All_Students_Scores!C5257:V5257="","",All_Students_Scores!C5257:V5257)</f>
        <v/>
      </c>
      <c r="E5259" s="57" t="str"/>
      <c r="F5259" s="49" t="str"/>
      <c r="G5259" s="59" t="str"/>
      <c r="H5259" s="64" t="str"/>
      <c r="I5259" s="65" t="str"/>
      <c r="J5259" s="49" t="str"/>
      <c r="K5259" s="41" t="str"/>
      <c r="L5259" s="41" t="str"/>
      <c r="M5259" s="41" t="str"/>
      <c r="N5259" s="41" t="str"/>
      <c r="O5259" s="41" t="str"/>
      <c r="P5259" s="41" t="str"/>
      <c r="Q5259" s="41" t="str"/>
      <c r="R5259" s="41" t="str"/>
      <c r="S5259" s="41" t="str"/>
      <c r="T5259" s="41" t="str"/>
      <c r="U5259" s="41" t="str"/>
      <c r="V5259" s="41" t="str"/>
      <c r="W5259" s="41" t="str"/>
    </row>
    <row r="5260">
      <c r="B5260" s="2" t="n"/>
      <c r="C5260" s="40" t="n"/>
      <c r="D5260" s="52">
        <f t="array" ref="D5260:W5260">IF(All_Students_Scores!C5258:V5258="","",All_Students_Scores!C5258:V5258)</f>
        <v/>
      </c>
      <c r="E5260" s="57" t="str"/>
      <c r="F5260" s="49" t="str"/>
      <c r="G5260" s="59" t="str"/>
      <c r="H5260" s="64" t="str"/>
      <c r="I5260" s="65" t="str"/>
      <c r="J5260" s="49" t="str"/>
      <c r="K5260" s="41" t="str"/>
      <c r="L5260" s="41" t="str"/>
      <c r="M5260" s="41" t="str"/>
      <c r="N5260" s="41" t="str"/>
      <c r="O5260" s="41" t="str"/>
      <c r="P5260" s="41" t="str"/>
      <c r="Q5260" s="41" t="str"/>
      <c r="R5260" s="41" t="str"/>
      <c r="S5260" s="41" t="str"/>
      <c r="T5260" s="41" t="str"/>
      <c r="U5260" s="41" t="str"/>
      <c r="V5260" s="41" t="str"/>
      <c r="W5260" s="41" t="str"/>
    </row>
    <row r="5261">
      <c r="B5261" s="2" t="n"/>
      <c r="C5261" s="40" t="n"/>
      <c r="D5261" s="52">
        <f t="array" ref="D5261:W5261">IF(All_Students_Scores!C5259:V5259="","",All_Students_Scores!C5259:V5259)</f>
        <v/>
      </c>
      <c r="E5261" s="57" t="str"/>
      <c r="F5261" s="49" t="str"/>
      <c r="G5261" s="59" t="str"/>
      <c r="H5261" s="64" t="str"/>
      <c r="I5261" s="65" t="str"/>
      <c r="J5261" s="49" t="str"/>
      <c r="K5261" s="41" t="str"/>
      <c r="L5261" s="41" t="str"/>
      <c r="M5261" s="41" t="str"/>
      <c r="N5261" s="41" t="str"/>
      <c r="O5261" s="41" t="str"/>
      <c r="P5261" s="41" t="str"/>
      <c r="Q5261" s="41" t="str"/>
      <c r="R5261" s="41" t="str"/>
      <c r="S5261" s="41" t="str"/>
      <c r="T5261" s="41" t="str"/>
      <c r="U5261" s="41" t="str"/>
      <c r="V5261" s="41" t="str"/>
      <c r="W5261" s="41" t="str"/>
    </row>
    <row r="5262">
      <c r="B5262" s="2" t="n"/>
      <c r="C5262" s="40" t="n"/>
      <c r="D5262" s="52">
        <f t="array" ref="D5262:W5262">IF(All_Students_Scores!C5260:V5260="","",All_Students_Scores!C5260:V5260)</f>
        <v/>
      </c>
      <c r="E5262" s="57" t="str"/>
      <c r="F5262" s="49" t="str"/>
      <c r="G5262" s="59" t="str"/>
      <c r="H5262" s="64" t="str"/>
      <c r="I5262" s="65" t="str"/>
      <c r="J5262" s="49" t="str"/>
      <c r="K5262" s="41" t="str"/>
      <c r="L5262" s="41" t="str"/>
      <c r="M5262" s="41" t="str"/>
      <c r="N5262" s="41" t="str"/>
      <c r="O5262" s="41" t="str"/>
      <c r="P5262" s="41" t="str"/>
      <c r="Q5262" s="41" t="str"/>
      <c r="R5262" s="41" t="str"/>
      <c r="S5262" s="41" t="str"/>
      <c r="T5262" s="41" t="str"/>
      <c r="U5262" s="41" t="str"/>
      <c r="V5262" s="41" t="str"/>
      <c r="W5262" s="41" t="str"/>
    </row>
    <row r="5263">
      <c r="B5263" s="2" t="n"/>
      <c r="C5263" s="40" t="n"/>
      <c r="D5263" s="52">
        <f t="array" ref="D5263:W5263">IF(All_Students_Scores!C5261:V5261="","",All_Students_Scores!C5261:V5261)</f>
        <v/>
      </c>
      <c r="E5263" s="57" t="str"/>
      <c r="F5263" s="49" t="str"/>
      <c r="G5263" s="59" t="str"/>
      <c r="H5263" s="64" t="str"/>
      <c r="I5263" s="65" t="str"/>
      <c r="J5263" s="49" t="str"/>
      <c r="K5263" s="41" t="str"/>
      <c r="L5263" s="41" t="str"/>
      <c r="M5263" s="41" t="str"/>
      <c r="N5263" s="41" t="str"/>
      <c r="O5263" s="41" t="str"/>
      <c r="P5263" s="41" t="str"/>
      <c r="Q5263" s="41" t="str"/>
      <c r="R5263" s="41" t="str"/>
      <c r="S5263" s="41" t="str"/>
      <c r="T5263" s="41" t="str"/>
      <c r="U5263" s="41" t="str"/>
      <c r="V5263" s="41" t="str"/>
      <c r="W5263" s="41" t="str"/>
    </row>
    <row r="5264">
      <c r="B5264" s="2" t="n"/>
      <c r="C5264" s="40" t="n"/>
      <c r="D5264" s="52">
        <f t="array" ref="D5264:W5264">IF(All_Students_Scores!C5262:V5262="","",All_Students_Scores!C5262:V5262)</f>
        <v/>
      </c>
      <c r="E5264" s="57" t="str"/>
      <c r="F5264" s="49" t="str"/>
      <c r="G5264" s="59" t="str"/>
      <c r="H5264" s="64" t="str"/>
      <c r="I5264" s="65" t="str"/>
      <c r="J5264" s="49" t="str"/>
      <c r="K5264" s="41" t="str"/>
      <c r="L5264" s="41" t="str"/>
      <c r="M5264" s="41" t="str"/>
      <c r="N5264" s="41" t="str"/>
      <c r="O5264" s="41" t="str"/>
      <c r="P5264" s="41" t="str"/>
      <c r="Q5264" s="41" t="str"/>
      <c r="R5264" s="41" t="str"/>
      <c r="S5264" s="41" t="str"/>
      <c r="T5264" s="41" t="str"/>
      <c r="U5264" s="41" t="str"/>
      <c r="V5264" s="41" t="str"/>
      <c r="W5264" s="41" t="str"/>
    </row>
    <row r="5265">
      <c r="B5265" s="2" t="n"/>
      <c r="C5265" s="40" t="n"/>
      <c r="D5265" s="52">
        <f t="array" ref="D5265:W5265">IF(All_Students_Scores!C5263:V5263="","",All_Students_Scores!C5263:V5263)</f>
        <v/>
      </c>
      <c r="E5265" s="57" t="str"/>
      <c r="F5265" s="49" t="str"/>
      <c r="G5265" s="59" t="str"/>
      <c r="H5265" s="64" t="str"/>
      <c r="I5265" s="65" t="str"/>
      <c r="J5265" s="49" t="str"/>
      <c r="K5265" s="41" t="str"/>
      <c r="L5265" s="41" t="str"/>
      <c r="M5265" s="41" t="str"/>
      <c r="N5265" s="41" t="str"/>
      <c r="O5265" s="41" t="str"/>
      <c r="P5265" s="41" t="str"/>
      <c r="Q5265" s="41" t="str"/>
      <c r="R5265" s="41" t="str"/>
      <c r="S5265" s="41" t="str"/>
      <c r="T5265" s="41" t="str"/>
      <c r="U5265" s="41" t="str"/>
      <c r="V5265" s="41" t="str"/>
      <c r="W5265" s="41" t="str"/>
    </row>
    <row r="5266">
      <c r="B5266" s="2" t="n"/>
      <c r="C5266" s="40" t="n"/>
      <c r="D5266" s="52">
        <f t="array" ref="D5266:W5266">IF(All_Students_Scores!C5264:V5264="","",All_Students_Scores!C5264:V5264)</f>
        <v/>
      </c>
      <c r="E5266" s="57" t="str"/>
      <c r="F5266" s="49" t="str"/>
      <c r="G5266" s="59" t="str"/>
      <c r="H5266" s="64" t="str"/>
      <c r="I5266" s="65" t="str"/>
      <c r="J5266" s="49" t="str"/>
      <c r="K5266" s="41" t="str"/>
      <c r="L5266" s="41" t="str"/>
      <c r="M5266" s="41" t="str"/>
      <c r="N5266" s="41" t="str"/>
      <c r="O5266" s="41" t="str"/>
      <c r="P5266" s="41" t="str"/>
      <c r="Q5266" s="41" t="str"/>
      <c r="R5266" s="41" t="str"/>
      <c r="S5266" s="41" t="str"/>
      <c r="T5266" s="41" t="str"/>
      <c r="U5266" s="41" t="str"/>
      <c r="V5266" s="41" t="str"/>
      <c r="W5266" s="41" t="str"/>
    </row>
    <row r="5267">
      <c r="B5267" s="2" t="n"/>
      <c r="C5267" s="40" t="n"/>
      <c r="D5267" s="52">
        <f t="array" ref="D5267:W5267">IF(All_Students_Scores!C5265:V5265="","",All_Students_Scores!C5265:V5265)</f>
        <v/>
      </c>
      <c r="E5267" s="57" t="str"/>
      <c r="F5267" s="49" t="str"/>
      <c r="G5267" s="59" t="str"/>
      <c r="H5267" s="64" t="str"/>
      <c r="I5267" s="65" t="str"/>
      <c r="J5267" s="49" t="str"/>
      <c r="K5267" s="41" t="str"/>
      <c r="L5267" s="41" t="str"/>
      <c r="M5267" s="41" t="str"/>
      <c r="N5267" s="41" t="str"/>
      <c r="O5267" s="41" t="str"/>
      <c r="P5267" s="41" t="str"/>
      <c r="Q5267" s="41" t="str"/>
      <c r="R5267" s="41" t="str"/>
      <c r="S5267" s="41" t="str"/>
      <c r="T5267" s="41" t="str"/>
      <c r="U5267" s="41" t="str"/>
      <c r="V5267" s="41" t="str"/>
      <c r="W5267" s="41" t="str"/>
    </row>
    <row r="5268">
      <c r="B5268" s="2" t="n"/>
      <c r="C5268" s="40" t="n"/>
      <c r="D5268" s="52">
        <f t="array" ref="D5268:W5268">IF(All_Students_Scores!C5266:V5266="","",All_Students_Scores!C5266:V5266)</f>
        <v/>
      </c>
      <c r="E5268" s="57" t="str"/>
      <c r="F5268" s="49" t="str"/>
      <c r="G5268" s="59" t="str"/>
      <c r="H5268" s="64" t="str"/>
      <c r="I5268" s="65" t="str"/>
      <c r="J5268" s="49" t="str"/>
      <c r="K5268" s="41" t="str"/>
      <c r="L5268" s="41" t="str"/>
      <c r="M5268" s="41" t="str"/>
      <c r="N5268" s="41" t="str"/>
      <c r="O5268" s="41" t="str"/>
      <c r="P5268" s="41" t="str"/>
      <c r="Q5268" s="41" t="str"/>
      <c r="R5268" s="41" t="str"/>
      <c r="S5268" s="41" t="str"/>
      <c r="T5268" s="41" t="str"/>
      <c r="U5268" s="41" t="str"/>
      <c r="V5268" s="41" t="str"/>
      <c r="W5268" s="41" t="str"/>
    </row>
    <row r="5269">
      <c r="B5269" s="2" t="n"/>
      <c r="C5269" s="40" t="n"/>
      <c r="D5269" s="52">
        <f t="array" ref="D5269:W5269">IF(All_Students_Scores!C5267:V5267="","",All_Students_Scores!C5267:V5267)</f>
        <v/>
      </c>
      <c r="E5269" s="57" t="str"/>
      <c r="F5269" s="49" t="str"/>
      <c r="G5269" s="59" t="str"/>
      <c r="H5269" s="64" t="str"/>
      <c r="I5269" s="65" t="str"/>
      <c r="J5269" s="49" t="str"/>
      <c r="K5269" s="41" t="str"/>
      <c r="L5269" s="41" t="str"/>
      <c r="M5269" s="41" t="str"/>
      <c r="N5269" s="41" t="str"/>
      <c r="O5269" s="41" t="str"/>
      <c r="P5269" s="41" t="str"/>
      <c r="Q5269" s="41" t="str"/>
      <c r="R5269" s="41" t="str"/>
      <c r="S5269" s="41" t="str"/>
      <c r="T5269" s="41" t="str"/>
      <c r="U5269" s="41" t="str"/>
      <c r="V5269" s="41" t="str"/>
      <c r="W5269" s="41" t="str"/>
    </row>
    <row r="5270">
      <c r="B5270" s="2" t="n"/>
      <c r="C5270" s="40" t="n"/>
      <c r="D5270" s="52">
        <f t="array" ref="D5270:W5270">IF(All_Students_Scores!C5268:V5268="","",All_Students_Scores!C5268:V5268)</f>
        <v/>
      </c>
      <c r="E5270" s="57" t="str"/>
      <c r="F5270" s="49" t="str"/>
      <c r="G5270" s="59" t="str"/>
      <c r="H5270" s="64" t="str"/>
      <c r="I5270" s="65" t="str"/>
      <c r="J5270" s="49" t="str"/>
      <c r="K5270" s="41" t="str"/>
      <c r="L5270" s="41" t="str"/>
      <c r="M5270" s="41" t="str"/>
      <c r="N5270" s="41" t="str"/>
      <c r="O5270" s="41" t="str"/>
      <c r="P5270" s="41" t="str"/>
      <c r="Q5270" s="41" t="str"/>
      <c r="R5270" s="41" t="str"/>
      <c r="S5270" s="41" t="str"/>
      <c r="T5270" s="41" t="str"/>
      <c r="U5270" s="41" t="str"/>
      <c r="V5270" s="41" t="str"/>
      <c r="W5270" s="41" t="str"/>
    </row>
    <row r="5271">
      <c r="B5271" s="2" t="n"/>
      <c r="C5271" s="40" t="n"/>
      <c r="D5271" s="52">
        <f t="array" ref="D5271:W5271">IF(All_Students_Scores!C5269:V5269="","",All_Students_Scores!C5269:V5269)</f>
        <v/>
      </c>
      <c r="E5271" s="57" t="str"/>
      <c r="F5271" s="49" t="str"/>
      <c r="G5271" s="59" t="str"/>
      <c r="H5271" s="64" t="str"/>
      <c r="I5271" s="65" t="str"/>
      <c r="J5271" s="49" t="str"/>
      <c r="K5271" s="41" t="str"/>
      <c r="L5271" s="41" t="str"/>
      <c r="M5271" s="41" t="str"/>
      <c r="N5271" s="41" t="str"/>
      <c r="O5271" s="41" t="str"/>
      <c r="P5271" s="41" t="str"/>
      <c r="Q5271" s="41" t="str"/>
      <c r="R5271" s="41" t="str"/>
      <c r="S5271" s="41" t="str"/>
      <c r="T5271" s="41" t="str"/>
      <c r="U5271" s="41" t="str"/>
      <c r="V5271" s="41" t="str"/>
      <c r="W5271" s="41" t="str"/>
    </row>
    <row r="5272">
      <c r="B5272" s="2" t="n"/>
      <c r="C5272" s="40" t="n"/>
      <c r="D5272" s="52">
        <f t="array" ref="D5272:W5272">IF(All_Students_Scores!C5270:V5270="","",All_Students_Scores!C5270:V5270)</f>
        <v/>
      </c>
      <c r="E5272" s="57" t="str"/>
      <c r="F5272" s="49" t="str"/>
      <c r="G5272" s="59" t="str"/>
      <c r="H5272" s="64" t="str"/>
      <c r="I5272" s="65" t="str"/>
      <c r="J5272" s="49" t="str"/>
      <c r="K5272" s="41" t="str"/>
      <c r="L5272" s="41" t="str"/>
      <c r="M5272" s="41" t="str"/>
      <c r="N5272" s="41" t="str"/>
      <c r="O5272" s="41" t="str"/>
      <c r="P5272" s="41" t="str"/>
      <c r="Q5272" s="41" t="str"/>
      <c r="R5272" s="41" t="str"/>
      <c r="S5272" s="41" t="str"/>
      <c r="T5272" s="41" t="str"/>
      <c r="U5272" s="41" t="str"/>
      <c r="V5272" s="41" t="str"/>
      <c r="W5272" s="41" t="str"/>
    </row>
    <row r="5273">
      <c r="B5273" s="2" t="n"/>
      <c r="C5273" s="40" t="n"/>
      <c r="D5273" s="52">
        <f t="array" ref="D5273:W5273">IF(All_Students_Scores!C5271:V5271="","",All_Students_Scores!C5271:V5271)</f>
        <v/>
      </c>
      <c r="E5273" s="57" t="str"/>
      <c r="F5273" s="49" t="str"/>
      <c r="G5273" s="59" t="str"/>
      <c r="H5273" s="64" t="str"/>
      <c r="I5273" s="65" t="str"/>
      <c r="J5273" s="49" t="str"/>
      <c r="K5273" s="41" t="str"/>
      <c r="L5273" s="41" t="str"/>
      <c r="M5273" s="41" t="str"/>
      <c r="N5273" s="41" t="str"/>
      <c r="O5273" s="41" t="str"/>
      <c r="P5273" s="41" t="str"/>
      <c r="Q5273" s="41" t="str"/>
      <c r="R5273" s="41" t="str"/>
      <c r="S5273" s="41" t="str"/>
      <c r="T5273" s="41" t="str"/>
      <c r="U5273" s="41" t="str"/>
      <c r="V5273" s="41" t="str"/>
      <c r="W5273" s="41" t="str"/>
    </row>
    <row r="5274">
      <c r="B5274" s="2" t="n"/>
      <c r="C5274" s="40" t="n"/>
      <c r="D5274" s="52">
        <f t="array" ref="D5274:W5274">IF(All_Students_Scores!C5272:V5272="","",All_Students_Scores!C5272:V5272)</f>
        <v/>
      </c>
      <c r="E5274" s="57" t="str"/>
      <c r="F5274" s="49" t="str"/>
      <c r="G5274" s="59" t="str"/>
      <c r="H5274" s="64" t="str"/>
      <c r="I5274" s="65" t="str"/>
      <c r="J5274" s="49" t="str"/>
      <c r="K5274" s="41" t="str"/>
      <c r="L5274" s="41" t="str"/>
      <c r="M5274" s="41" t="str"/>
      <c r="N5274" s="41" t="str"/>
      <c r="O5274" s="41" t="str"/>
      <c r="P5274" s="41" t="str"/>
      <c r="Q5274" s="41" t="str"/>
      <c r="R5274" s="41" t="str"/>
      <c r="S5274" s="41" t="str"/>
      <c r="T5274" s="41" t="str"/>
      <c r="U5274" s="41" t="str"/>
      <c r="V5274" s="41" t="str"/>
      <c r="W5274" s="41" t="str"/>
    </row>
    <row r="5275">
      <c r="B5275" s="2" t="n"/>
      <c r="C5275" s="40" t="n"/>
      <c r="D5275" s="52">
        <f t="array" ref="D5275:W5275">IF(All_Students_Scores!C5273:V5273="","",All_Students_Scores!C5273:V5273)</f>
        <v/>
      </c>
      <c r="E5275" s="57" t="str"/>
      <c r="F5275" s="49" t="str"/>
      <c r="G5275" s="59" t="str"/>
      <c r="H5275" s="64" t="str"/>
      <c r="I5275" s="65" t="str"/>
      <c r="J5275" s="49" t="str"/>
      <c r="K5275" s="41" t="str"/>
      <c r="L5275" s="41" t="str"/>
      <c r="M5275" s="41" t="str"/>
      <c r="N5275" s="41" t="str"/>
      <c r="O5275" s="41" t="str"/>
      <c r="P5275" s="41" t="str"/>
      <c r="Q5275" s="41" t="str"/>
      <c r="R5275" s="41" t="str"/>
      <c r="S5275" s="41" t="str"/>
      <c r="T5275" s="41" t="str"/>
      <c r="U5275" s="41" t="str"/>
      <c r="V5275" s="41" t="str"/>
      <c r="W5275" s="41" t="str"/>
    </row>
    <row r="5276">
      <c r="B5276" s="2" t="n"/>
      <c r="C5276" s="40" t="n"/>
      <c r="D5276" s="52">
        <f t="array" ref="D5276:W5276">IF(All_Students_Scores!C5274:V5274="","",All_Students_Scores!C5274:V5274)</f>
        <v/>
      </c>
      <c r="E5276" s="57" t="str"/>
      <c r="F5276" s="49" t="str"/>
      <c r="G5276" s="59" t="str"/>
      <c r="H5276" s="64" t="str"/>
      <c r="I5276" s="65" t="str"/>
      <c r="J5276" s="49" t="str"/>
      <c r="K5276" s="41" t="str"/>
      <c r="L5276" s="41" t="str"/>
      <c r="M5276" s="41" t="str"/>
      <c r="N5276" s="41" t="str"/>
      <c r="O5276" s="41" t="str"/>
      <c r="P5276" s="41" t="str"/>
      <c r="Q5276" s="41" t="str"/>
      <c r="R5276" s="41" t="str"/>
      <c r="S5276" s="41" t="str"/>
      <c r="T5276" s="41" t="str"/>
      <c r="U5276" s="41" t="str"/>
      <c r="V5276" s="41" t="str"/>
      <c r="W5276" s="41" t="str"/>
    </row>
    <row r="5277">
      <c r="B5277" s="2" t="n"/>
      <c r="C5277" s="40" t="n"/>
      <c r="D5277" s="52">
        <f t="array" ref="D5277:W5277">IF(All_Students_Scores!C5275:V5275="","",All_Students_Scores!C5275:V5275)</f>
        <v/>
      </c>
      <c r="E5277" s="57" t="str"/>
      <c r="F5277" s="49" t="str"/>
      <c r="G5277" s="59" t="str"/>
      <c r="H5277" s="64" t="str"/>
      <c r="I5277" s="65" t="str"/>
      <c r="J5277" s="49" t="str"/>
      <c r="K5277" s="41" t="str"/>
      <c r="L5277" s="41" t="str"/>
      <c r="M5277" s="41" t="str"/>
      <c r="N5277" s="41" t="str"/>
      <c r="O5277" s="41" t="str"/>
      <c r="P5277" s="41" t="str"/>
      <c r="Q5277" s="41" t="str"/>
      <c r="R5277" s="41" t="str"/>
      <c r="S5277" s="41" t="str"/>
      <c r="T5277" s="41" t="str"/>
      <c r="U5277" s="41" t="str"/>
      <c r="V5277" s="41" t="str"/>
      <c r="W5277" s="41" t="str"/>
    </row>
    <row r="5278">
      <c r="B5278" s="2" t="n"/>
      <c r="C5278" s="40" t="n"/>
      <c r="D5278" s="52">
        <f t="array" ref="D5278:W5278">IF(All_Students_Scores!C5276:V5276="","",All_Students_Scores!C5276:V5276)</f>
        <v/>
      </c>
      <c r="E5278" s="57" t="str"/>
      <c r="F5278" s="49" t="str"/>
      <c r="G5278" s="59" t="str"/>
      <c r="H5278" s="64" t="str"/>
      <c r="I5278" s="65" t="str"/>
      <c r="J5278" s="49" t="str"/>
      <c r="K5278" s="41" t="str"/>
      <c r="L5278" s="41" t="str"/>
      <c r="M5278" s="41" t="str"/>
      <c r="N5278" s="41" t="str"/>
      <c r="O5278" s="41" t="str"/>
      <c r="P5278" s="41" t="str"/>
      <c r="Q5278" s="41" t="str"/>
      <c r="R5278" s="41" t="str"/>
      <c r="S5278" s="41" t="str"/>
      <c r="T5278" s="41" t="str"/>
      <c r="U5278" s="41" t="str"/>
      <c r="V5278" s="41" t="str"/>
      <c r="W5278" s="41" t="str"/>
    </row>
    <row r="5279">
      <c r="B5279" s="2" t="n"/>
      <c r="C5279" s="40" t="n"/>
      <c r="D5279" s="52">
        <f t="array" ref="D5279:W5279">IF(All_Students_Scores!C5277:V5277="","",All_Students_Scores!C5277:V5277)</f>
        <v/>
      </c>
      <c r="E5279" s="57" t="str"/>
      <c r="F5279" s="49" t="str"/>
      <c r="G5279" s="59" t="str"/>
      <c r="H5279" s="64" t="str"/>
      <c r="I5279" s="65" t="str"/>
      <c r="J5279" s="49" t="str"/>
      <c r="K5279" s="41" t="str"/>
      <c r="L5279" s="41" t="str"/>
      <c r="M5279" s="41" t="str"/>
      <c r="N5279" s="41" t="str"/>
      <c r="O5279" s="41" t="str"/>
      <c r="P5279" s="41" t="str"/>
      <c r="Q5279" s="41" t="str"/>
      <c r="R5279" s="41" t="str"/>
      <c r="S5279" s="41" t="str"/>
      <c r="T5279" s="41" t="str"/>
      <c r="U5279" s="41" t="str"/>
      <c r="V5279" s="41" t="str"/>
      <c r="W5279" s="41" t="str"/>
    </row>
    <row r="5280">
      <c r="B5280" s="2" t="n"/>
      <c r="C5280" s="40" t="n"/>
      <c r="D5280" s="52">
        <f t="array" ref="D5280:W5280">IF(All_Students_Scores!C5278:V5278="","",All_Students_Scores!C5278:V5278)</f>
        <v/>
      </c>
      <c r="E5280" s="57" t="str"/>
      <c r="F5280" s="49" t="str"/>
      <c r="G5280" s="59" t="str"/>
      <c r="H5280" s="64" t="str"/>
      <c r="I5280" s="65" t="str"/>
      <c r="J5280" s="49" t="str"/>
      <c r="K5280" s="41" t="str"/>
      <c r="L5280" s="41" t="str"/>
      <c r="M5280" s="41" t="str"/>
      <c r="N5280" s="41" t="str"/>
      <c r="O5280" s="41" t="str"/>
      <c r="P5280" s="41" t="str"/>
      <c r="Q5280" s="41" t="str"/>
      <c r="R5280" s="41" t="str"/>
      <c r="S5280" s="41" t="str"/>
      <c r="T5280" s="41" t="str"/>
      <c r="U5280" s="41" t="str"/>
      <c r="V5280" s="41" t="str"/>
      <c r="W5280" s="41" t="str"/>
    </row>
    <row r="5281">
      <c r="B5281" s="2" t="n"/>
      <c r="C5281" s="40" t="n"/>
      <c r="D5281" s="52">
        <f t="array" ref="D5281:W5281">IF(All_Students_Scores!C5279:V5279="","",All_Students_Scores!C5279:V5279)</f>
        <v/>
      </c>
      <c r="E5281" s="57" t="str"/>
      <c r="F5281" s="49" t="str"/>
      <c r="G5281" s="59" t="str"/>
      <c r="H5281" s="64" t="str"/>
      <c r="I5281" s="65" t="str"/>
      <c r="J5281" s="49" t="str"/>
      <c r="K5281" s="41" t="str"/>
      <c r="L5281" s="41" t="str"/>
      <c r="M5281" s="41" t="str"/>
      <c r="N5281" s="41" t="str"/>
      <c r="O5281" s="41" t="str"/>
      <c r="P5281" s="41" t="str"/>
      <c r="Q5281" s="41" t="str"/>
      <c r="R5281" s="41" t="str"/>
      <c r="S5281" s="41" t="str"/>
      <c r="T5281" s="41" t="str"/>
      <c r="U5281" s="41" t="str"/>
      <c r="V5281" s="41" t="str"/>
      <c r="W5281" s="41" t="str"/>
    </row>
    <row r="5282">
      <c r="B5282" s="2" t="n"/>
      <c r="C5282" s="40" t="n"/>
      <c r="D5282" s="52">
        <f t="array" ref="D5282:W5282">IF(All_Students_Scores!C5280:V5280="","",All_Students_Scores!C5280:V5280)</f>
        <v/>
      </c>
      <c r="E5282" s="57" t="str"/>
      <c r="F5282" s="49" t="str"/>
      <c r="G5282" s="59" t="str"/>
      <c r="H5282" s="64" t="str"/>
      <c r="I5282" s="65" t="str"/>
      <c r="J5282" s="49" t="str"/>
      <c r="K5282" s="41" t="str"/>
      <c r="L5282" s="41" t="str"/>
      <c r="M5282" s="41" t="str"/>
      <c r="N5282" s="41" t="str"/>
      <c r="O5282" s="41" t="str"/>
      <c r="P5282" s="41" t="str"/>
      <c r="Q5282" s="41" t="str"/>
      <c r="R5282" s="41" t="str"/>
      <c r="S5282" s="41" t="str"/>
      <c r="T5282" s="41" t="str"/>
      <c r="U5282" s="41" t="str"/>
      <c r="V5282" s="41" t="str"/>
      <c r="W5282" s="41" t="str"/>
    </row>
    <row r="5283">
      <c r="B5283" s="2" t="n"/>
      <c r="C5283" s="40" t="n"/>
      <c r="D5283" s="52">
        <f t="array" ref="D5283:W5283">IF(All_Students_Scores!C5281:V5281="","",All_Students_Scores!C5281:V5281)</f>
        <v/>
      </c>
      <c r="E5283" s="57" t="str"/>
      <c r="F5283" s="49" t="str"/>
      <c r="G5283" s="59" t="str"/>
      <c r="H5283" s="64" t="str"/>
      <c r="I5283" s="65" t="str"/>
      <c r="J5283" s="49" t="str"/>
      <c r="K5283" s="41" t="str"/>
      <c r="L5283" s="41" t="str"/>
      <c r="M5283" s="41" t="str"/>
      <c r="N5283" s="41" t="str"/>
      <c r="O5283" s="41" t="str"/>
      <c r="P5283" s="41" t="str"/>
      <c r="Q5283" s="41" t="str"/>
      <c r="R5283" s="41" t="str"/>
      <c r="S5283" s="41" t="str"/>
      <c r="T5283" s="41" t="str"/>
      <c r="U5283" s="41" t="str"/>
      <c r="V5283" s="41" t="str"/>
      <c r="W5283" s="41" t="str"/>
    </row>
    <row r="5284">
      <c r="B5284" s="2" t="n"/>
      <c r="C5284" s="40" t="n"/>
      <c r="D5284" s="52">
        <f t="array" ref="D5284:W5284">IF(All_Students_Scores!C5282:V5282="","",All_Students_Scores!C5282:V5282)</f>
        <v/>
      </c>
      <c r="E5284" s="57" t="str"/>
      <c r="F5284" s="49" t="str"/>
      <c r="G5284" s="59" t="str"/>
      <c r="H5284" s="64" t="str"/>
      <c r="I5284" s="65" t="str"/>
      <c r="J5284" s="49" t="str"/>
      <c r="K5284" s="41" t="str"/>
      <c r="L5284" s="41" t="str"/>
      <c r="M5284" s="41" t="str"/>
      <c r="N5284" s="41" t="str"/>
      <c r="O5284" s="41" t="str"/>
      <c r="P5284" s="41" t="str"/>
      <c r="Q5284" s="41" t="str"/>
      <c r="R5284" s="41" t="str"/>
      <c r="S5284" s="41" t="str"/>
      <c r="T5284" s="41" t="str"/>
      <c r="U5284" s="41" t="str"/>
      <c r="V5284" s="41" t="str"/>
      <c r="W5284" s="41" t="str"/>
    </row>
    <row r="5285">
      <c r="B5285" s="2" t="n"/>
      <c r="C5285" s="40" t="n"/>
      <c r="D5285" s="52">
        <f t="array" ref="D5285:W5285">IF(All_Students_Scores!C5283:V5283="","",All_Students_Scores!C5283:V5283)</f>
        <v/>
      </c>
      <c r="E5285" s="57" t="str"/>
      <c r="F5285" s="49" t="str"/>
      <c r="G5285" s="59" t="str"/>
      <c r="H5285" s="64" t="str"/>
      <c r="I5285" s="65" t="str"/>
      <c r="J5285" s="49" t="str"/>
      <c r="K5285" s="41" t="str"/>
      <c r="L5285" s="41" t="str"/>
      <c r="M5285" s="41" t="str"/>
      <c r="N5285" s="41" t="str"/>
      <c r="O5285" s="41" t="str"/>
      <c r="P5285" s="41" t="str"/>
      <c r="Q5285" s="41" t="str"/>
      <c r="R5285" s="41" t="str"/>
      <c r="S5285" s="41" t="str"/>
      <c r="T5285" s="41" t="str"/>
      <c r="U5285" s="41" t="str"/>
      <c r="V5285" s="41" t="str"/>
      <c r="W5285" s="41" t="str"/>
    </row>
    <row r="5286">
      <c r="B5286" s="2" t="n"/>
      <c r="C5286" s="40" t="n"/>
      <c r="D5286" s="52">
        <f t="array" ref="D5286:W5286">IF(All_Students_Scores!C5284:V5284="","",All_Students_Scores!C5284:V5284)</f>
        <v/>
      </c>
      <c r="E5286" s="57" t="str"/>
      <c r="F5286" s="49" t="str"/>
      <c r="G5286" s="59" t="str"/>
      <c r="H5286" s="64" t="str"/>
      <c r="I5286" s="65" t="str"/>
      <c r="J5286" s="49" t="str"/>
      <c r="K5286" s="41" t="str"/>
      <c r="L5286" s="41" t="str"/>
      <c r="M5286" s="41" t="str"/>
      <c r="N5286" s="41" t="str"/>
      <c r="O5286" s="41" t="str"/>
      <c r="P5286" s="41" t="str"/>
      <c r="Q5286" s="41" t="str"/>
      <c r="R5286" s="41" t="str"/>
      <c r="S5286" s="41" t="str"/>
      <c r="T5286" s="41" t="str"/>
      <c r="U5286" s="41" t="str"/>
      <c r="V5286" s="41" t="str"/>
      <c r="W5286" s="41" t="str"/>
    </row>
    <row r="5287">
      <c r="B5287" s="2" t="n"/>
      <c r="C5287" s="40" t="n"/>
      <c r="D5287" s="52">
        <f t="array" ref="D5287:W5287">IF(All_Students_Scores!C5285:V5285="","",All_Students_Scores!C5285:V5285)</f>
        <v/>
      </c>
      <c r="E5287" s="57" t="str"/>
      <c r="F5287" s="49" t="str"/>
      <c r="G5287" s="59" t="str"/>
      <c r="H5287" s="64" t="str"/>
      <c r="I5287" s="65" t="str"/>
      <c r="J5287" s="49" t="str"/>
      <c r="K5287" s="41" t="str"/>
      <c r="L5287" s="41" t="str"/>
      <c r="M5287" s="41" t="str"/>
      <c r="N5287" s="41" t="str"/>
      <c r="O5287" s="41" t="str"/>
      <c r="P5287" s="41" t="str"/>
      <c r="Q5287" s="41" t="str"/>
      <c r="R5287" s="41" t="str"/>
      <c r="S5287" s="41" t="str"/>
      <c r="T5287" s="41" t="str"/>
      <c r="U5287" s="41" t="str"/>
      <c r="V5287" s="41" t="str"/>
      <c r="W5287" s="41" t="str"/>
    </row>
    <row r="5288">
      <c r="B5288" s="2" t="n"/>
      <c r="C5288" s="40" t="n"/>
      <c r="D5288" s="52">
        <f t="array" ref="D5288:W5288">IF(All_Students_Scores!C5286:V5286="","",All_Students_Scores!C5286:V5286)</f>
        <v/>
      </c>
      <c r="E5288" s="57" t="str"/>
      <c r="F5288" s="49" t="str"/>
      <c r="G5288" s="59" t="str"/>
      <c r="H5288" s="64" t="str"/>
      <c r="I5288" s="65" t="str"/>
      <c r="J5288" s="49" t="str"/>
      <c r="K5288" s="41" t="str"/>
      <c r="L5288" s="41" t="str"/>
      <c r="M5288" s="41" t="str"/>
      <c r="N5288" s="41" t="str"/>
      <c r="O5288" s="41" t="str"/>
      <c r="P5288" s="41" t="str"/>
      <c r="Q5288" s="41" t="str"/>
      <c r="R5288" s="41" t="str"/>
      <c r="S5288" s="41" t="str"/>
      <c r="T5288" s="41" t="str"/>
      <c r="U5288" s="41" t="str"/>
      <c r="V5288" s="41" t="str"/>
      <c r="W5288" s="41" t="str"/>
    </row>
    <row r="5289">
      <c r="B5289" s="2" t="n"/>
      <c r="C5289" s="40" t="n"/>
      <c r="D5289" s="52">
        <f t="array" ref="D5289:W5289">IF(All_Students_Scores!C5287:V5287="","",All_Students_Scores!C5287:V5287)</f>
        <v/>
      </c>
      <c r="E5289" s="57" t="str"/>
      <c r="F5289" s="49" t="str"/>
      <c r="G5289" s="59" t="str"/>
      <c r="H5289" s="64" t="str"/>
      <c r="I5289" s="65" t="str"/>
      <c r="J5289" s="49" t="str"/>
      <c r="K5289" s="41" t="str"/>
      <c r="L5289" s="41" t="str"/>
      <c r="M5289" s="41" t="str"/>
      <c r="N5289" s="41" t="str"/>
      <c r="O5289" s="41" t="str"/>
      <c r="P5289" s="41" t="str"/>
      <c r="Q5289" s="41" t="str"/>
      <c r="R5289" s="41" t="str"/>
      <c r="S5289" s="41" t="str"/>
      <c r="T5289" s="41" t="str"/>
      <c r="U5289" s="41" t="str"/>
      <c r="V5289" s="41" t="str"/>
      <c r="W5289" s="41" t="str"/>
    </row>
    <row r="5290">
      <c r="B5290" s="2" t="n"/>
      <c r="C5290" s="40" t="n"/>
      <c r="D5290" s="52">
        <f t="array" ref="D5290:W5290">IF(All_Students_Scores!C5288:V5288="","",All_Students_Scores!C5288:V5288)</f>
        <v/>
      </c>
      <c r="E5290" s="57" t="str"/>
      <c r="F5290" s="49" t="str"/>
      <c r="G5290" s="59" t="str"/>
      <c r="H5290" s="64" t="str"/>
      <c r="I5290" s="65" t="str"/>
      <c r="J5290" s="49" t="str"/>
      <c r="K5290" s="41" t="str"/>
      <c r="L5290" s="41" t="str"/>
      <c r="M5290" s="41" t="str"/>
      <c r="N5290" s="41" t="str"/>
      <c r="O5290" s="41" t="str"/>
      <c r="P5290" s="41" t="str"/>
      <c r="Q5290" s="41" t="str"/>
      <c r="R5290" s="41" t="str"/>
      <c r="S5290" s="41" t="str"/>
      <c r="T5290" s="41" t="str"/>
      <c r="U5290" s="41" t="str"/>
      <c r="V5290" s="41" t="str"/>
      <c r="W5290" s="41" t="str"/>
    </row>
    <row r="5291">
      <c r="B5291" s="2" t="n"/>
      <c r="C5291" s="40" t="n"/>
      <c r="D5291" s="52">
        <f t="array" ref="D5291:W5291">IF(All_Students_Scores!C5289:V5289="","",All_Students_Scores!C5289:V5289)</f>
        <v/>
      </c>
      <c r="E5291" s="57" t="str"/>
      <c r="F5291" s="49" t="str"/>
      <c r="G5291" s="59" t="str"/>
      <c r="H5291" s="64" t="str"/>
      <c r="I5291" s="65" t="str"/>
      <c r="J5291" s="49" t="str"/>
      <c r="K5291" s="41" t="str"/>
      <c r="L5291" s="41" t="str"/>
      <c r="M5291" s="41" t="str"/>
      <c r="N5291" s="41" t="str"/>
      <c r="O5291" s="41" t="str"/>
      <c r="P5291" s="41" t="str"/>
      <c r="Q5291" s="41" t="str"/>
      <c r="R5291" s="41" t="str"/>
      <c r="S5291" s="41" t="str"/>
      <c r="T5291" s="41" t="str"/>
      <c r="U5291" s="41" t="str"/>
      <c r="V5291" s="41" t="str"/>
      <c r="W5291" s="41" t="str"/>
    </row>
    <row r="5292">
      <c r="B5292" s="2" t="n"/>
      <c r="C5292" s="40" t="n"/>
      <c r="D5292" s="52">
        <f t="array" ref="D5292:W5292">IF(All_Students_Scores!C5290:V5290="","",All_Students_Scores!C5290:V5290)</f>
        <v/>
      </c>
      <c r="E5292" s="57" t="str"/>
      <c r="F5292" s="49" t="str"/>
      <c r="G5292" s="59" t="str"/>
      <c r="H5292" s="64" t="str"/>
      <c r="I5292" s="65" t="str"/>
      <c r="J5292" s="49" t="str"/>
      <c r="K5292" s="41" t="str"/>
      <c r="L5292" s="41" t="str"/>
      <c r="M5292" s="41" t="str"/>
      <c r="N5292" s="41" t="str"/>
      <c r="O5292" s="41" t="str"/>
      <c r="P5292" s="41" t="str"/>
      <c r="Q5292" s="41" t="str"/>
      <c r="R5292" s="41" t="str"/>
      <c r="S5292" s="41" t="str"/>
      <c r="T5292" s="41" t="str"/>
      <c r="U5292" s="41" t="str"/>
      <c r="V5292" s="41" t="str"/>
      <c r="W5292" s="41" t="str"/>
    </row>
    <row r="5293">
      <c r="B5293" s="2" t="n"/>
      <c r="C5293" s="40" t="n"/>
      <c r="D5293" s="52">
        <f t="array" ref="D5293:W5293">IF(All_Students_Scores!C5291:V5291="","",All_Students_Scores!C5291:V5291)</f>
        <v/>
      </c>
      <c r="E5293" s="57" t="str"/>
      <c r="F5293" s="49" t="str"/>
      <c r="G5293" s="59" t="str"/>
      <c r="H5293" s="64" t="str"/>
      <c r="I5293" s="65" t="str"/>
      <c r="J5293" s="49" t="str"/>
      <c r="K5293" s="41" t="str"/>
      <c r="L5293" s="41" t="str"/>
      <c r="M5293" s="41" t="str"/>
      <c r="N5293" s="41" t="str"/>
      <c r="O5293" s="41" t="str"/>
      <c r="P5293" s="41" t="str"/>
      <c r="Q5293" s="41" t="str"/>
      <c r="R5293" s="41" t="str"/>
      <c r="S5293" s="41" t="str"/>
      <c r="T5293" s="41" t="str"/>
      <c r="U5293" s="41" t="str"/>
      <c r="V5293" s="41" t="str"/>
      <c r="W5293" s="41" t="str"/>
    </row>
    <row r="5294">
      <c r="B5294" s="2" t="n"/>
      <c r="C5294" s="40" t="n"/>
      <c r="D5294" s="52">
        <f t="array" ref="D5294:W5294">IF(All_Students_Scores!C5292:V5292="","",All_Students_Scores!C5292:V5292)</f>
        <v/>
      </c>
      <c r="E5294" s="57" t="str"/>
      <c r="F5294" s="49" t="str"/>
      <c r="G5294" s="59" t="str"/>
      <c r="H5294" s="64" t="str"/>
      <c r="I5294" s="65" t="str"/>
      <c r="J5294" s="49" t="str"/>
      <c r="K5294" s="41" t="str"/>
      <c r="L5294" s="41" t="str"/>
      <c r="M5294" s="41" t="str"/>
      <c r="N5294" s="41" t="str"/>
      <c r="O5294" s="41" t="str"/>
      <c r="P5294" s="41" t="str"/>
      <c r="Q5294" s="41" t="str"/>
      <c r="R5294" s="41" t="str"/>
      <c r="S5294" s="41" t="str"/>
      <c r="T5294" s="41" t="str"/>
      <c r="U5294" s="41" t="str"/>
      <c r="V5294" s="41" t="str"/>
      <c r="W5294" s="41" t="str"/>
    </row>
    <row r="5295">
      <c r="B5295" s="2" t="n"/>
      <c r="C5295" s="40" t="n"/>
      <c r="D5295" s="52">
        <f t="array" ref="D5295:W5295">IF(All_Students_Scores!C5293:V5293="","",All_Students_Scores!C5293:V5293)</f>
        <v/>
      </c>
      <c r="E5295" s="57" t="str"/>
      <c r="F5295" s="49" t="str"/>
      <c r="G5295" s="59" t="str"/>
      <c r="H5295" s="64" t="str"/>
      <c r="I5295" s="65" t="str"/>
      <c r="J5295" s="49" t="str"/>
      <c r="K5295" s="41" t="str"/>
      <c r="L5295" s="41" t="str"/>
      <c r="M5295" s="41" t="str"/>
      <c r="N5295" s="41" t="str"/>
      <c r="O5295" s="41" t="str"/>
      <c r="P5295" s="41" t="str"/>
      <c r="Q5295" s="41" t="str"/>
      <c r="R5295" s="41" t="str"/>
      <c r="S5295" s="41" t="str"/>
      <c r="T5295" s="41" t="str"/>
      <c r="U5295" s="41" t="str"/>
      <c r="V5295" s="41" t="str"/>
      <c r="W5295" s="41" t="str"/>
    </row>
    <row r="5296">
      <c r="B5296" s="2" t="n"/>
      <c r="C5296" s="40" t="n"/>
      <c r="D5296" s="52">
        <f t="array" ref="D5296:W5296">IF(All_Students_Scores!C5294:V5294="","",All_Students_Scores!C5294:V5294)</f>
        <v/>
      </c>
      <c r="E5296" s="57" t="str"/>
      <c r="F5296" s="49" t="str"/>
      <c r="G5296" s="59" t="str"/>
      <c r="H5296" s="64" t="str"/>
      <c r="I5296" s="65" t="str"/>
      <c r="J5296" s="49" t="str"/>
      <c r="K5296" s="41" t="str"/>
      <c r="L5296" s="41" t="str"/>
      <c r="M5296" s="41" t="str"/>
      <c r="N5296" s="41" t="str"/>
      <c r="O5296" s="41" t="str"/>
      <c r="P5296" s="41" t="str"/>
      <c r="Q5296" s="41" t="str"/>
      <c r="R5296" s="41" t="str"/>
      <c r="S5296" s="41" t="str"/>
      <c r="T5296" s="41" t="str"/>
      <c r="U5296" s="41" t="str"/>
      <c r="V5296" s="41" t="str"/>
      <c r="W5296" s="41" t="str"/>
    </row>
    <row r="5297">
      <c r="B5297" s="2" t="n"/>
      <c r="C5297" s="40" t="n"/>
      <c r="D5297" s="52">
        <f t="array" ref="D5297:W5297">IF(All_Students_Scores!C5295:V5295="","",All_Students_Scores!C5295:V5295)</f>
        <v/>
      </c>
      <c r="E5297" s="57" t="str"/>
      <c r="F5297" s="49" t="str"/>
      <c r="G5297" s="59" t="str"/>
      <c r="H5297" s="64" t="str"/>
      <c r="I5297" s="65" t="str"/>
      <c r="J5297" s="49" t="str"/>
      <c r="K5297" s="41" t="str"/>
      <c r="L5297" s="41" t="str"/>
      <c r="M5297" s="41" t="str"/>
      <c r="N5297" s="41" t="str"/>
      <c r="O5297" s="41" t="str"/>
      <c r="P5297" s="41" t="str"/>
      <c r="Q5297" s="41" t="str"/>
      <c r="R5297" s="41" t="str"/>
      <c r="S5297" s="41" t="str"/>
      <c r="T5297" s="41" t="str"/>
      <c r="U5297" s="41" t="str"/>
      <c r="V5297" s="41" t="str"/>
      <c r="W5297" s="41" t="str"/>
    </row>
    <row r="5298">
      <c r="B5298" s="2" t="n"/>
      <c r="C5298" s="40" t="n"/>
      <c r="D5298" s="52">
        <f t="array" ref="D5298:W5298">IF(All_Students_Scores!C5296:V5296="","",All_Students_Scores!C5296:V5296)</f>
        <v/>
      </c>
      <c r="E5298" s="57" t="str"/>
      <c r="F5298" s="49" t="str"/>
      <c r="G5298" s="59" t="str"/>
      <c r="H5298" s="64" t="str"/>
      <c r="I5298" s="65" t="str"/>
      <c r="J5298" s="49" t="str"/>
      <c r="K5298" s="41" t="str"/>
      <c r="L5298" s="41" t="str"/>
      <c r="M5298" s="41" t="str"/>
      <c r="N5298" s="41" t="str"/>
      <c r="O5298" s="41" t="str"/>
      <c r="P5298" s="41" t="str"/>
      <c r="Q5298" s="41" t="str"/>
      <c r="R5298" s="41" t="str"/>
      <c r="S5298" s="41" t="str"/>
      <c r="T5298" s="41" t="str"/>
      <c r="U5298" s="41" t="str"/>
      <c r="V5298" s="41" t="str"/>
      <c r="W5298" s="41" t="str"/>
    </row>
    <row r="5299">
      <c r="B5299" s="2" t="n"/>
      <c r="C5299" s="40" t="n"/>
      <c r="D5299" s="52">
        <f t="array" ref="D5299:W5299">IF(All_Students_Scores!C5297:V5297="","",All_Students_Scores!C5297:V5297)</f>
        <v/>
      </c>
      <c r="E5299" s="57" t="str"/>
      <c r="F5299" s="49" t="str"/>
      <c r="G5299" s="59" t="str"/>
      <c r="H5299" s="64" t="str"/>
      <c r="I5299" s="65" t="str"/>
      <c r="J5299" s="49" t="str"/>
      <c r="K5299" s="41" t="str"/>
      <c r="L5299" s="41" t="str"/>
      <c r="M5299" s="41" t="str"/>
      <c r="N5299" s="41" t="str"/>
      <c r="O5299" s="41" t="str"/>
      <c r="P5299" s="41" t="str"/>
      <c r="Q5299" s="41" t="str"/>
      <c r="R5299" s="41" t="str"/>
      <c r="S5299" s="41" t="str"/>
      <c r="T5299" s="41" t="str"/>
      <c r="U5299" s="41" t="str"/>
      <c r="V5299" s="41" t="str"/>
      <c r="W5299" s="41" t="str"/>
    </row>
    <row r="5300">
      <c r="B5300" s="2" t="n"/>
      <c r="C5300" s="40" t="n"/>
      <c r="D5300" s="52">
        <f t="array" ref="D5300:W5300">IF(All_Students_Scores!C5298:V5298="","",All_Students_Scores!C5298:V5298)</f>
        <v/>
      </c>
      <c r="E5300" s="57" t="str"/>
      <c r="F5300" s="49" t="str"/>
      <c r="G5300" s="59" t="str"/>
      <c r="H5300" s="64" t="str"/>
      <c r="I5300" s="65" t="str"/>
      <c r="J5300" s="49" t="str"/>
      <c r="K5300" s="41" t="str"/>
      <c r="L5300" s="41" t="str"/>
      <c r="M5300" s="41" t="str"/>
      <c r="N5300" s="41" t="str"/>
      <c r="O5300" s="41" t="str"/>
      <c r="P5300" s="41" t="str"/>
      <c r="Q5300" s="41" t="str"/>
      <c r="R5300" s="41" t="str"/>
      <c r="S5300" s="41" t="str"/>
      <c r="T5300" s="41" t="str"/>
      <c r="U5300" s="41" t="str"/>
      <c r="V5300" s="41" t="str"/>
      <c r="W5300" s="41" t="str"/>
    </row>
    <row r="5301">
      <c r="B5301" s="2" t="n"/>
      <c r="C5301" s="40" t="n"/>
      <c r="D5301" s="52">
        <f t="array" ref="D5301:W5301">IF(All_Students_Scores!C5299:V5299="","",All_Students_Scores!C5299:V5299)</f>
        <v/>
      </c>
      <c r="E5301" s="57" t="str"/>
      <c r="F5301" s="49" t="str"/>
      <c r="G5301" s="59" t="str"/>
      <c r="H5301" s="64" t="str"/>
      <c r="I5301" s="65" t="str"/>
      <c r="J5301" s="49" t="str"/>
      <c r="K5301" s="41" t="str"/>
      <c r="L5301" s="41" t="str"/>
      <c r="M5301" s="41" t="str"/>
      <c r="N5301" s="41" t="str"/>
      <c r="O5301" s="41" t="str"/>
      <c r="P5301" s="41" t="str"/>
      <c r="Q5301" s="41" t="str"/>
      <c r="R5301" s="41" t="str"/>
      <c r="S5301" s="41" t="str"/>
      <c r="T5301" s="41" t="str"/>
      <c r="U5301" s="41" t="str"/>
      <c r="V5301" s="41" t="str"/>
      <c r="W5301" s="41" t="str"/>
    </row>
    <row r="5302">
      <c r="B5302" s="2" t="n"/>
      <c r="C5302" s="40" t="n"/>
      <c r="D5302" s="52">
        <f t="array" ref="D5302:W5302">IF(All_Students_Scores!C5300:V5300="","",All_Students_Scores!C5300:V5300)</f>
        <v/>
      </c>
      <c r="E5302" s="57" t="str"/>
      <c r="F5302" s="49" t="str"/>
      <c r="G5302" s="59" t="str"/>
      <c r="H5302" s="64" t="str"/>
      <c r="I5302" s="65" t="str"/>
      <c r="J5302" s="49" t="str"/>
      <c r="K5302" s="41" t="str"/>
      <c r="L5302" s="41" t="str"/>
      <c r="M5302" s="41" t="str"/>
      <c r="N5302" s="41" t="str"/>
      <c r="O5302" s="41" t="str"/>
      <c r="P5302" s="41" t="str"/>
      <c r="Q5302" s="41" t="str"/>
      <c r="R5302" s="41" t="str"/>
      <c r="S5302" s="41" t="str"/>
      <c r="T5302" s="41" t="str"/>
      <c r="U5302" s="41" t="str"/>
      <c r="V5302" s="41" t="str"/>
      <c r="W5302" s="41" t="str"/>
    </row>
    <row r="5303">
      <c r="B5303" s="2" t="n"/>
      <c r="C5303" s="40" t="n"/>
      <c r="D5303" s="52">
        <f t="array" ref="D5303:W5303">IF(All_Students_Scores!C5301:V5301="","",All_Students_Scores!C5301:V5301)</f>
        <v/>
      </c>
      <c r="E5303" s="57" t="str"/>
      <c r="F5303" s="49" t="str"/>
      <c r="G5303" s="59" t="str"/>
      <c r="H5303" s="64" t="str"/>
      <c r="I5303" s="65" t="str"/>
      <c r="J5303" s="49" t="str"/>
      <c r="K5303" s="41" t="str"/>
      <c r="L5303" s="41" t="str"/>
      <c r="M5303" s="41" t="str"/>
      <c r="N5303" s="41" t="str"/>
      <c r="O5303" s="41" t="str"/>
      <c r="P5303" s="41" t="str"/>
      <c r="Q5303" s="41" t="str"/>
      <c r="R5303" s="41" t="str"/>
      <c r="S5303" s="41" t="str"/>
      <c r="T5303" s="41" t="str"/>
      <c r="U5303" s="41" t="str"/>
      <c r="V5303" s="41" t="str"/>
      <c r="W5303" s="41" t="str"/>
    </row>
    <row r="5304">
      <c r="B5304" s="2" t="n"/>
      <c r="C5304" s="40" t="n"/>
      <c r="D5304" s="52">
        <f t="array" ref="D5304:W5304">IF(All_Students_Scores!C5302:V5302="","",All_Students_Scores!C5302:V5302)</f>
        <v/>
      </c>
      <c r="E5304" s="57" t="str"/>
      <c r="F5304" s="49" t="str"/>
      <c r="G5304" s="59" t="str"/>
      <c r="H5304" s="64" t="str"/>
      <c r="I5304" s="65" t="str"/>
      <c r="J5304" s="49" t="str"/>
      <c r="K5304" s="41" t="str"/>
      <c r="L5304" s="41" t="str"/>
      <c r="M5304" s="41" t="str"/>
      <c r="N5304" s="41" t="str"/>
      <c r="O5304" s="41" t="str"/>
      <c r="P5304" s="41" t="str"/>
      <c r="Q5304" s="41" t="str"/>
      <c r="R5304" s="41" t="str"/>
      <c r="S5304" s="41" t="str"/>
      <c r="T5304" s="41" t="str"/>
      <c r="U5304" s="41" t="str"/>
      <c r="V5304" s="41" t="str"/>
      <c r="W5304" s="41" t="str"/>
    </row>
    <row r="5305">
      <c r="B5305" s="2" t="n"/>
      <c r="C5305" s="40" t="n"/>
      <c r="D5305" s="52">
        <f t="array" ref="D5305:W5305">IF(All_Students_Scores!C5303:V5303="","",All_Students_Scores!C5303:V5303)</f>
        <v/>
      </c>
      <c r="E5305" s="57" t="str"/>
      <c r="F5305" s="49" t="str"/>
      <c r="G5305" s="59" t="str"/>
      <c r="H5305" s="64" t="str"/>
      <c r="I5305" s="65" t="str"/>
      <c r="J5305" s="49" t="str"/>
      <c r="K5305" s="41" t="str"/>
      <c r="L5305" s="41" t="str"/>
      <c r="M5305" s="41" t="str"/>
      <c r="N5305" s="41" t="str"/>
      <c r="O5305" s="41" t="str"/>
      <c r="P5305" s="41" t="str"/>
      <c r="Q5305" s="41" t="str"/>
      <c r="R5305" s="41" t="str"/>
      <c r="S5305" s="41" t="str"/>
      <c r="T5305" s="41" t="str"/>
      <c r="U5305" s="41" t="str"/>
      <c r="V5305" s="41" t="str"/>
      <c r="W5305" s="41" t="str"/>
    </row>
    <row r="5306">
      <c r="B5306" s="2" t="n"/>
      <c r="C5306" s="40" t="n"/>
      <c r="D5306" s="52">
        <f t="array" ref="D5306:W5306">IF(All_Students_Scores!C5304:V5304="","",All_Students_Scores!C5304:V5304)</f>
        <v/>
      </c>
      <c r="E5306" s="57" t="str"/>
      <c r="F5306" s="49" t="str"/>
      <c r="G5306" s="59" t="str"/>
      <c r="H5306" s="64" t="str"/>
      <c r="I5306" s="65" t="str"/>
      <c r="J5306" s="49" t="str"/>
      <c r="K5306" s="41" t="str"/>
      <c r="L5306" s="41" t="str"/>
      <c r="M5306" s="41" t="str"/>
      <c r="N5306" s="41" t="str"/>
      <c r="O5306" s="41" t="str"/>
      <c r="P5306" s="41" t="str"/>
      <c r="Q5306" s="41" t="str"/>
      <c r="R5306" s="41" t="str"/>
      <c r="S5306" s="41" t="str"/>
      <c r="T5306" s="41" t="str"/>
      <c r="U5306" s="41" t="str"/>
      <c r="V5306" s="41" t="str"/>
      <c r="W5306" s="41" t="str"/>
    </row>
    <row r="5307">
      <c r="B5307" s="2" t="n"/>
      <c r="C5307" s="40" t="n"/>
      <c r="D5307" s="52">
        <f t="array" ref="D5307:W5307">IF(All_Students_Scores!C5305:V5305="","",All_Students_Scores!C5305:V5305)</f>
        <v/>
      </c>
      <c r="E5307" s="57" t="str"/>
      <c r="F5307" s="49" t="str"/>
      <c r="G5307" s="59" t="str"/>
      <c r="H5307" s="64" t="str"/>
      <c r="I5307" s="65" t="str"/>
      <c r="J5307" s="49" t="str"/>
      <c r="K5307" s="41" t="str"/>
      <c r="L5307" s="41" t="str"/>
      <c r="M5307" s="41" t="str"/>
      <c r="N5307" s="41" t="str"/>
      <c r="O5307" s="41" t="str"/>
      <c r="P5307" s="41" t="str"/>
      <c r="Q5307" s="41" t="str"/>
      <c r="R5307" s="41" t="str"/>
      <c r="S5307" s="41" t="str"/>
      <c r="T5307" s="41" t="str"/>
      <c r="U5307" s="41" t="str"/>
      <c r="V5307" s="41" t="str"/>
      <c r="W5307" s="41" t="str"/>
    </row>
    <row r="5308">
      <c r="B5308" s="2" t="n"/>
      <c r="C5308" s="40" t="n"/>
      <c r="D5308" s="52">
        <f t="array" ref="D5308:W5308">IF(All_Students_Scores!C5306:V5306="","",All_Students_Scores!C5306:V5306)</f>
        <v/>
      </c>
      <c r="E5308" s="57" t="str"/>
      <c r="F5308" s="49" t="str"/>
      <c r="G5308" s="59" t="str"/>
      <c r="H5308" s="64" t="str"/>
      <c r="I5308" s="65" t="str"/>
      <c r="J5308" s="49" t="str"/>
      <c r="K5308" s="41" t="str"/>
      <c r="L5308" s="41" t="str"/>
      <c r="M5308" s="41" t="str"/>
      <c r="N5308" s="41" t="str"/>
      <c r="O5308" s="41" t="str"/>
      <c r="P5308" s="41" t="str"/>
      <c r="Q5308" s="41" t="str"/>
      <c r="R5308" s="41" t="str"/>
      <c r="S5308" s="41" t="str"/>
      <c r="T5308" s="41" t="str"/>
      <c r="U5308" s="41" t="str"/>
      <c r="V5308" s="41" t="str"/>
      <c r="W5308" s="41" t="str"/>
    </row>
    <row r="5309">
      <c r="B5309" s="2" t="n"/>
      <c r="C5309" s="40" t="n"/>
      <c r="D5309" s="52">
        <f t="array" ref="D5309:W5309">IF(All_Students_Scores!C5307:V5307="","",All_Students_Scores!C5307:V5307)</f>
        <v/>
      </c>
      <c r="E5309" s="57" t="str"/>
      <c r="F5309" s="49" t="str"/>
      <c r="G5309" s="59" t="str"/>
      <c r="H5309" s="64" t="str"/>
      <c r="I5309" s="65" t="str"/>
      <c r="J5309" s="49" t="str"/>
      <c r="K5309" s="41" t="str"/>
      <c r="L5309" s="41" t="str"/>
      <c r="M5309" s="41" t="str"/>
      <c r="N5309" s="41" t="str"/>
      <c r="O5309" s="41" t="str"/>
      <c r="P5309" s="41" t="str"/>
      <c r="Q5309" s="41" t="str"/>
      <c r="R5309" s="41" t="str"/>
      <c r="S5309" s="41" t="str"/>
      <c r="T5309" s="41" t="str"/>
      <c r="U5309" s="41" t="str"/>
      <c r="V5309" s="41" t="str"/>
      <c r="W5309" s="41" t="str"/>
    </row>
    <row r="5310">
      <c r="B5310" s="2" t="n"/>
      <c r="C5310" s="40" t="n"/>
      <c r="D5310" s="52">
        <f t="array" ref="D5310:W5310">IF(All_Students_Scores!C5308:V5308="","",All_Students_Scores!C5308:V5308)</f>
        <v/>
      </c>
      <c r="E5310" s="57" t="str"/>
      <c r="F5310" s="49" t="str"/>
      <c r="G5310" s="59" t="str"/>
      <c r="H5310" s="64" t="str"/>
      <c r="I5310" s="65" t="str"/>
      <c r="J5310" s="49" t="str"/>
      <c r="K5310" s="41" t="str"/>
      <c r="L5310" s="41" t="str"/>
      <c r="M5310" s="41" t="str"/>
      <c r="N5310" s="41" t="str"/>
      <c r="O5310" s="41" t="str"/>
      <c r="P5310" s="41" t="str"/>
      <c r="Q5310" s="41" t="str"/>
      <c r="R5310" s="41" t="str"/>
      <c r="S5310" s="41" t="str"/>
      <c r="T5310" s="41" t="str"/>
      <c r="U5310" s="41" t="str"/>
      <c r="V5310" s="41" t="str"/>
      <c r="W5310" s="41" t="str"/>
    </row>
    <row r="5311">
      <c r="B5311" s="2" t="n"/>
      <c r="C5311" s="40" t="n"/>
      <c r="D5311" s="52">
        <f t="array" ref="D5311:W5311">IF(All_Students_Scores!C5309:V5309="","",All_Students_Scores!C5309:V5309)</f>
        <v/>
      </c>
      <c r="E5311" s="57" t="str"/>
      <c r="F5311" s="49" t="str"/>
      <c r="G5311" s="59" t="str"/>
      <c r="H5311" s="64" t="str"/>
      <c r="I5311" s="65" t="str"/>
      <c r="J5311" s="49" t="str"/>
      <c r="K5311" s="41" t="str"/>
      <c r="L5311" s="41" t="str"/>
      <c r="M5311" s="41" t="str"/>
      <c r="N5311" s="41" t="str"/>
      <c r="O5311" s="41" t="str"/>
      <c r="P5311" s="41" t="str"/>
      <c r="Q5311" s="41" t="str"/>
      <c r="R5311" s="41" t="str"/>
      <c r="S5311" s="41" t="str"/>
      <c r="T5311" s="41" t="str"/>
      <c r="U5311" s="41" t="str"/>
      <c r="V5311" s="41" t="str"/>
      <c r="W5311" s="41" t="str"/>
    </row>
    <row r="5312">
      <c r="B5312" s="2" t="n"/>
      <c r="C5312" s="40" t="n"/>
      <c r="D5312" s="52">
        <f t="array" ref="D5312:W5312">IF(All_Students_Scores!C5310:V5310="","",All_Students_Scores!C5310:V5310)</f>
        <v/>
      </c>
      <c r="E5312" s="57" t="str"/>
      <c r="F5312" s="49" t="str"/>
      <c r="G5312" s="59" t="str"/>
      <c r="H5312" s="64" t="str"/>
      <c r="I5312" s="65" t="str"/>
      <c r="J5312" s="49" t="str"/>
      <c r="K5312" s="41" t="str"/>
      <c r="L5312" s="41" t="str"/>
      <c r="M5312" s="41" t="str"/>
      <c r="N5312" s="41" t="str"/>
      <c r="O5312" s="41" t="str"/>
      <c r="P5312" s="41" t="str"/>
      <c r="Q5312" s="41" t="str"/>
      <c r="R5312" s="41" t="str"/>
      <c r="S5312" s="41" t="str"/>
      <c r="T5312" s="41" t="str"/>
      <c r="U5312" s="41" t="str"/>
      <c r="V5312" s="41" t="str"/>
      <c r="W5312" s="41" t="str"/>
    </row>
    <row r="5313">
      <c r="B5313" s="2" t="n"/>
      <c r="C5313" s="40" t="n"/>
      <c r="D5313" s="52">
        <f t="array" ref="D5313:W5313">IF(All_Students_Scores!C5311:V5311="","",All_Students_Scores!C5311:V5311)</f>
        <v/>
      </c>
      <c r="E5313" s="57" t="str"/>
      <c r="F5313" s="49" t="str"/>
      <c r="G5313" s="59" t="str"/>
      <c r="H5313" s="64" t="str"/>
      <c r="I5313" s="65" t="str"/>
      <c r="J5313" s="49" t="str"/>
      <c r="K5313" s="41" t="str"/>
      <c r="L5313" s="41" t="str"/>
      <c r="M5313" s="41" t="str"/>
      <c r="N5313" s="41" t="str"/>
      <c r="O5313" s="41" t="str"/>
      <c r="P5313" s="41" t="str"/>
      <c r="Q5313" s="41" t="str"/>
      <c r="R5313" s="41" t="str"/>
      <c r="S5313" s="41" t="str"/>
      <c r="T5313" s="41" t="str"/>
      <c r="U5313" s="41" t="str"/>
      <c r="V5313" s="41" t="str"/>
      <c r="W5313" s="41" t="str"/>
    </row>
    <row r="5314">
      <c r="B5314" s="2" t="n"/>
      <c r="C5314" s="40" t="n"/>
      <c r="D5314" s="52">
        <f t="array" ref="D5314:W5314">IF(All_Students_Scores!C5312:V5312="","",All_Students_Scores!C5312:V5312)</f>
        <v/>
      </c>
      <c r="E5314" s="57" t="str"/>
      <c r="F5314" s="49" t="str"/>
      <c r="G5314" s="59" t="str"/>
      <c r="H5314" s="64" t="str"/>
      <c r="I5314" s="65" t="str"/>
      <c r="J5314" s="49" t="str"/>
      <c r="K5314" s="41" t="str"/>
      <c r="L5314" s="41" t="str"/>
      <c r="M5314" s="41" t="str"/>
      <c r="N5314" s="41" t="str"/>
      <c r="O5314" s="41" t="str"/>
      <c r="P5314" s="41" t="str"/>
      <c r="Q5314" s="41" t="str"/>
      <c r="R5314" s="41" t="str"/>
      <c r="S5314" s="41" t="str"/>
      <c r="T5314" s="41" t="str"/>
      <c r="U5314" s="41" t="str"/>
      <c r="V5314" s="41" t="str"/>
      <c r="W5314" s="41" t="str"/>
    </row>
    <row r="5315">
      <c r="B5315" s="2" t="n"/>
      <c r="C5315" s="40" t="n"/>
      <c r="D5315" s="52">
        <f t="array" ref="D5315:W5315">IF(All_Students_Scores!C5313:V5313="","",All_Students_Scores!C5313:V5313)</f>
        <v/>
      </c>
      <c r="E5315" s="57" t="str"/>
      <c r="F5315" s="49" t="str"/>
      <c r="G5315" s="59" t="str"/>
      <c r="H5315" s="64" t="str"/>
      <c r="I5315" s="65" t="str"/>
      <c r="J5315" s="49" t="str"/>
      <c r="K5315" s="41" t="str"/>
      <c r="L5315" s="41" t="str"/>
      <c r="M5315" s="41" t="str"/>
      <c r="N5315" s="41" t="str"/>
      <c r="O5315" s="41" t="str"/>
      <c r="P5315" s="41" t="str"/>
      <c r="Q5315" s="41" t="str"/>
      <c r="R5315" s="41" t="str"/>
      <c r="S5315" s="41" t="str"/>
      <c r="T5315" s="41" t="str"/>
      <c r="U5315" s="41" t="str"/>
      <c r="V5315" s="41" t="str"/>
      <c r="W5315" s="41" t="str"/>
    </row>
    <row r="5316">
      <c r="B5316" s="2" t="n"/>
      <c r="C5316" s="40" t="n"/>
      <c r="D5316" s="52">
        <f t="array" ref="D5316:W5316">IF(All_Students_Scores!C5314:V5314="","",All_Students_Scores!C5314:V5314)</f>
        <v/>
      </c>
      <c r="E5316" s="57" t="str"/>
      <c r="F5316" s="49" t="str"/>
      <c r="G5316" s="59" t="str"/>
      <c r="H5316" s="64" t="str"/>
      <c r="I5316" s="65" t="str"/>
      <c r="J5316" s="49" t="str"/>
      <c r="K5316" s="41" t="str"/>
      <c r="L5316" s="41" t="str"/>
      <c r="M5316" s="41" t="str"/>
      <c r="N5316" s="41" t="str"/>
      <c r="O5316" s="41" t="str"/>
      <c r="P5316" s="41" t="str"/>
      <c r="Q5316" s="41" t="str"/>
      <c r="R5316" s="41" t="str"/>
      <c r="S5316" s="41" t="str"/>
      <c r="T5316" s="41" t="str"/>
      <c r="U5316" s="41" t="str"/>
      <c r="V5316" s="41" t="str"/>
      <c r="W5316" s="41" t="str"/>
    </row>
    <row r="5317">
      <c r="B5317" s="2" t="n"/>
      <c r="C5317" s="40" t="n"/>
      <c r="D5317" s="52">
        <f t="array" ref="D5317:W5317">IF(All_Students_Scores!C5315:V5315="","",All_Students_Scores!C5315:V5315)</f>
        <v/>
      </c>
      <c r="E5317" s="57" t="str"/>
      <c r="F5317" s="49" t="str"/>
      <c r="G5317" s="59" t="str"/>
      <c r="H5317" s="64" t="str"/>
      <c r="I5317" s="65" t="str"/>
      <c r="J5317" s="49" t="str"/>
      <c r="K5317" s="41" t="str"/>
      <c r="L5317" s="41" t="str"/>
      <c r="M5317" s="41" t="str"/>
      <c r="N5317" s="41" t="str"/>
      <c r="O5317" s="41" t="str"/>
      <c r="P5317" s="41" t="str"/>
      <c r="Q5317" s="41" t="str"/>
      <c r="R5317" s="41" t="str"/>
      <c r="S5317" s="41" t="str"/>
      <c r="T5317" s="41" t="str"/>
      <c r="U5317" s="41" t="str"/>
      <c r="V5317" s="41" t="str"/>
      <c r="W5317" s="41" t="str"/>
    </row>
    <row r="5318">
      <c r="B5318" s="2" t="n"/>
      <c r="C5318" s="40" t="n"/>
      <c r="D5318" s="52">
        <f t="array" ref="D5318:W5318">IF(All_Students_Scores!C5316:V5316="","",All_Students_Scores!C5316:V5316)</f>
        <v/>
      </c>
      <c r="E5318" s="57" t="str"/>
      <c r="F5318" s="49" t="str"/>
      <c r="G5318" s="59" t="str"/>
      <c r="H5318" s="64" t="str"/>
      <c r="I5318" s="65" t="str"/>
      <c r="J5318" s="49" t="str"/>
      <c r="K5318" s="41" t="str"/>
      <c r="L5318" s="41" t="str"/>
      <c r="M5318" s="41" t="str"/>
      <c r="N5318" s="41" t="str"/>
      <c r="O5318" s="41" t="str"/>
      <c r="P5318" s="41" t="str"/>
      <c r="Q5318" s="41" t="str"/>
      <c r="R5318" s="41" t="str"/>
      <c r="S5318" s="41" t="str"/>
      <c r="T5318" s="41" t="str"/>
      <c r="U5318" s="41" t="str"/>
      <c r="V5318" s="41" t="str"/>
      <c r="W5318" s="41" t="str"/>
    </row>
    <row r="5319">
      <c r="B5319" s="2" t="n"/>
      <c r="C5319" s="40" t="n"/>
      <c r="D5319" s="52">
        <f t="array" ref="D5319:W5319">IF(All_Students_Scores!C5317:V5317="","",All_Students_Scores!C5317:V5317)</f>
        <v/>
      </c>
      <c r="E5319" s="57" t="str"/>
      <c r="F5319" s="49" t="str"/>
      <c r="G5319" s="59" t="str"/>
      <c r="H5319" s="64" t="str"/>
      <c r="I5319" s="65" t="str"/>
      <c r="J5319" s="49" t="str"/>
      <c r="K5319" s="41" t="str"/>
      <c r="L5319" s="41" t="str"/>
      <c r="M5319" s="41" t="str"/>
      <c r="N5319" s="41" t="str"/>
      <c r="O5319" s="41" t="str"/>
      <c r="P5319" s="41" t="str"/>
      <c r="Q5319" s="41" t="str"/>
      <c r="R5319" s="41" t="str"/>
      <c r="S5319" s="41" t="str"/>
      <c r="T5319" s="41" t="str"/>
      <c r="U5319" s="41" t="str"/>
      <c r="V5319" s="41" t="str"/>
      <c r="W5319" s="41" t="str"/>
    </row>
    <row r="5320">
      <c r="B5320" s="2" t="n"/>
      <c r="C5320" s="40" t="n"/>
      <c r="D5320" s="52">
        <f t="array" ref="D5320:W5320">IF(All_Students_Scores!C5318:V5318="","",All_Students_Scores!C5318:V5318)</f>
        <v/>
      </c>
      <c r="E5320" s="57" t="str"/>
      <c r="F5320" s="49" t="str"/>
      <c r="G5320" s="59" t="str"/>
      <c r="H5320" s="64" t="str"/>
      <c r="I5320" s="65" t="str"/>
      <c r="J5320" s="49" t="str"/>
      <c r="K5320" s="41" t="str"/>
      <c r="L5320" s="41" t="str"/>
      <c r="M5320" s="41" t="str"/>
      <c r="N5320" s="41" t="str"/>
      <c r="O5320" s="41" t="str"/>
      <c r="P5320" s="41" t="str"/>
      <c r="Q5320" s="41" t="str"/>
      <c r="R5320" s="41" t="str"/>
      <c r="S5320" s="41" t="str"/>
      <c r="T5320" s="41" t="str"/>
      <c r="U5320" s="41" t="str"/>
      <c r="V5320" s="41" t="str"/>
      <c r="W5320" s="41" t="str"/>
    </row>
    <row r="5321">
      <c r="B5321" s="2" t="n"/>
      <c r="C5321" s="40" t="n"/>
      <c r="D5321" s="52">
        <f t="array" ref="D5321:W5321">IF(All_Students_Scores!C5319:V5319="","",All_Students_Scores!C5319:V5319)</f>
        <v/>
      </c>
      <c r="E5321" s="57" t="str"/>
      <c r="F5321" s="49" t="str"/>
      <c r="G5321" s="59" t="str"/>
      <c r="H5321" s="64" t="str"/>
      <c r="I5321" s="65" t="str"/>
      <c r="J5321" s="49" t="str"/>
      <c r="K5321" s="41" t="str"/>
      <c r="L5321" s="41" t="str"/>
      <c r="M5321" s="41" t="str"/>
      <c r="N5321" s="41" t="str"/>
      <c r="O5321" s="41" t="str"/>
      <c r="P5321" s="41" t="str"/>
      <c r="Q5321" s="41" t="str"/>
      <c r="R5321" s="41" t="str"/>
      <c r="S5321" s="41" t="str"/>
      <c r="T5321" s="41" t="str"/>
      <c r="U5321" s="41" t="str"/>
      <c r="V5321" s="41" t="str"/>
      <c r="W5321" s="41" t="str"/>
    </row>
    <row r="5322">
      <c r="B5322" s="2" t="n"/>
      <c r="C5322" s="40" t="n"/>
      <c r="D5322" s="52">
        <f t="array" ref="D5322:W5322">IF(All_Students_Scores!C5320:V5320="","",All_Students_Scores!C5320:V5320)</f>
        <v/>
      </c>
      <c r="E5322" s="57" t="str"/>
      <c r="F5322" s="49" t="str"/>
      <c r="G5322" s="59" t="str"/>
      <c r="H5322" s="64" t="str"/>
      <c r="I5322" s="65" t="str"/>
      <c r="J5322" s="49" t="str"/>
      <c r="K5322" s="41" t="str"/>
      <c r="L5322" s="41" t="str"/>
      <c r="M5322" s="41" t="str"/>
      <c r="N5322" s="41" t="str"/>
      <c r="O5322" s="41" t="str"/>
      <c r="P5322" s="41" t="str"/>
      <c r="Q5322" s="41" t="str"/>
      <c r="R5322" s="41" t="str"/>
      <c r="S5322" s="41" t="str"/>
      <c r="T5322" s="41" t="str"/>
      <c r="U5322" s="41" t="str"/>
      <c r="V5322" s="41" t="str"/>
      <c r="W5322" s="41" t="str"/>
    </row>
    <row r="5323">
      <c r="B5323" s="2" t="n"/>
      <c r="C5323" s="40" t="n"/>
      <c r="D5323" s="52">
        <f t="array" ref="D5323:W5323">IF(All_Students_Scores!C5321:V5321="","",All_Students_Scores!C5321:V5321)</f>
        <v/>
      </c>
      <c r="E5323" s="57" t="str"/>
      <c r="F5323" s="49" t="str"/>
      <c r="G5323" s="59" t="str"/>
      <c r="H5323" s="64" t="str"/>
      <c r="I5323" s="65" t="str"/>
      <c r="J5323" s="49" t="str"/>
      <c r="K5323" s="41" t="str"/>
      <c r="L5323" s="41" t="str"/>
      <c r="M5323" s="41" t="str"/>
      <c r="N5323" s="41" t="str"/>
      <c r="O5323" s="41" t="str"/>
      <c r="P5323" s="41" t="str"/>
      <c r="Q5323" s="41" t="str"/>
      <c r="R5323" s="41" t="str"/>
      <c r="S5323" s="41" t="str"/>
      <c r="T5323" s="41" t="str"/>
      <c r="U5323" s="41" t="str"/>
      <c r="V5323" s="41" t="str"/>
      <c r="W5323" s="41" t="str"/>
    </row>
    <row r="5324">
      <c r="B5324" s="2" t="n"/>
      <c r="C5324" s="40" t="n"/>
      <c r="D5324" s="52">
        <f t="array" ref="D5324:W5324">IF(All_Students_Scores!C5322:V5322="","",All_Students_Scores!C5322:V5322)</f>
        <v/>
      </c>
      <c r="E5324" s="57" t="str"/>
      <c r="F5324" s="49" t="str"/>
      <c r="G5324" s="59" t="str"/>
      <c r="H5324" s="64" t="str"/>
      <c r="I5324" s="65" t="str"/>
      <c r="J5324" s="49" t="str"/>
      <c r="K5324" s="41" t="str"/>
      <c r="L5324" s="41" t="str"/>
      <c r="M5324" s="41" t="str"/>
      <c r="N5324" s="41" t="str"/>
      <c r="O5324" s="41" t="str"/>
      <c r="P5324" s="41" t="str"/>
      <c r="Q5324" s="41" t="str"/>
      <c r="R5324" s="41" t="str"/>
      <c r="S5324" s="41" t="str"/>
      <c r="T5324" s="41" t="str"/>
      <c r="U5324" s="41" t="str"/>
      <c r="V5324" s="41" t="str"/>
      <c r="W5324" s="41" t="str"/>
    </row>
    <row r="5325">
      <c r="B5325" s="2" t="n"/>
      <c r="C5325" s="40" t="n"/>
      <c r="D5325" s="52">
        <f t="array" ref="D5325:W5325">IF(All_Students_Scores!C5323:V5323="","",All_Students_Scores!C5323:V5323)</f>
        <v/>
      </c>
      <c r="E5325" s="57" t="str"/>
      <c r="F5325" s="49" t="str"/>
      <c r="G5325" s="59" t="str"/>
      <c r="H5325" s="64" t="str"/>
      <c r="I5325" s="65" t="str"/>
      <c r="J5325" s="49" t="str"/>
      <c r="K5325" s="41" t="str"/>
      <c r="L5325" s="41" t="str"/>
      <c r="M5325" s="41" t="str"/>
      <c r="N5325" s="41" t="str"/>
      <c r="O5325" s="41" t="str"/>
      <c r="P5325" s="41" t="str"/>
      <c r="Q5325" s="41" t="str"/>
      <c r="R5325" s="41" t="str"/>
      <c r="S5325" s="41" t="str"/>
      <c r="T5325" s="41" t="str"/>
      <c r="U5325" s="41" t="str"/>
      <c r="V5325" s="41" t="str"/>
      <c r="W5325" s="41" t="str"/>
    </row>
    <row r="5326">
      <c r="B5326" s="2" t="n"/>
      <c r="C5326" s="40" t="n"/>
      <c r="D5326" s="52">
        <f t="array" ref="D5326:W5326">IF(All_Students_Scores!C5324:V5324="","",All_Students_Scores!C5324:V5324)</f>
        <v/>
      </c>
      <c r="E5326" s="57" t="str"/>
      <c r="F5326" s="49" t="str"/>
      <c r="G5326" s="59" t="str"/>
      <c r="H5326" s="64" t="str"/>
      <c r="I5326" s="65" t="str"/>
      <c r="J5326" s="49" t="str"/>
      <c r="K5326" s="41" t="str"/>
      <c r="L5326" s="41" t="str"/>
      <c r="M5326" s="41" t="str"/>
      <c r="N5326" s="41" t="str"/>
      <c r="O5326" s="41" t="str"/>
      <c r="P5326" s="41" t="str"/>
      <c r="Q5326" s="41" t="str"/>
      <c r="R5326" s="41" t="str"/>
      <c r="S5326" s="41" t="str"/>
      <c r="T5326" s="41" t="str"/>
      <c r="U5326" s="41" t="str"/>
      <c r="V5326" s="41" t="str"/>
      <c r="W5326" s="41" t="str"/>
    </row>
    <row r="5327">
      <c r="B5327" s="2" t="n"/>
      <c r="C5327" s="40" t="n"/>
      <c r="D5327" s="52">
        <f t="array" ref="D5327:W5327">IF(All_Students_Scores!C5325:V5325="","",All_Students_Scores!C5325:V5325)</f>
        <v/>
      </c>
      <c r="E5327" s="57" t="str"/>
      <c r="F5327" s="49" t="str"/>
      <c r="G5327" s="59" t="str"/>
      <c r="H5327" s="64" t="str"/>
      <c r="I5327" s="65" t="str"/>
      <c r="J5327" s="49" t="str"/>
      <c r="K5327" s="41" t="str"/>
      <c r="L5327" s="41" t="str"/>
      <c r="M5327" s="41" t="str"/>
      <c r="N5327" s="41" t="str"/>
      <c r="O5327" s="41" t="str"/>
      <c r="P5327" s="41" t="str"/>
      <c r="Q5327" s="41" t="str"/>
      <c r="R5327" s="41" t="str"/>
      <c r="S5327" s="41" t="str"/>
      <c r="T5327" s="41" t="str"/>
      <c r="U5327" s="41" t="str"/>
      <c r="V5327" s="41" t="str"/>
      <c r="W5327" s="41" t="str"/>
    </row>
    <row r="5328">
      <c r="B5328" s="2" t="n"/>
      <c r="C5328" s="40" t="n"/>
      <c r="D5328" s="52">
        <f t="array" ref="D5328:W5328">IF(All_Students_Scores!C5326:V5326="","",All_Students_Scores!C5326:V5326)</f>
        <v/>
      </c>
      <c r="E5328" s="57" t="str"/>
      <c r="F5328" s="49" t="str"/>
      <c r="G5328" s="59" t="str"/>
      <c r="H5328" s="64" t="str"/>
      <c r="I5328" s="65" t="str"/>
      <c r="J5328" s="49" t="str"/>
      <c r="K5328" s="41" t="str"/>
      <c r="L5328" s="41" t="str"/>
      <c r="M5328" s="41" t="str"/>
      <c r="N5328" s="41" t="str"/>
      <c r="O5328" s="41" t="str"/>
      <c r="P5328" s="41" t="str"/>
      <c r="Q5328" s="41" t="str"/>
      <c r="R5328" s="41" t="str"/>
      <c r="S5328" s="41" t="str"/>
      <c r="T5328" s="41" t="str"/>
      <c r="U5328" s="41" t="str"/>
      <c r="V5328" s="41" t="str"/>
      <c r="W5328" s="41" t="str"/>
    </row>
    <row r="5329">
      <c r="B5329" s="2" t="n"/>
      <c r="C5329" s="40" t="n"/>
      <c r="D5329" s="52">
        <f t="array" ref="D5329:W5329">IF(All_Students_Scores!C5327:V5327="","",All_Students_Scores!C5327:V5327)</f>
        <v/>
      </c>
      <c r="E5329" s="57" t="str"/>
      <c r="F5329" s="49" t="str"/>
      <c r="G5329" s="59" t="str"/>
      <c r="H5329" s="64" t="str"/>
      <c r="I5329" s="65" t="str"/>
      <c r="J5329" s="49" t="str"/>
      <c r="K5329" s="41" t="str"/>
      <c r="L5329" s="41" t="str"/>
      <c r="M5329" s="41" t="str"/>
      <c r="N5329" s="41" t="str"/>
      <c r="O5329" s="41" t="str"/>
      <c r="P5329" s="41" t="str"/>
      <c r="Q5329" s="41" t="str"/>
      <c r="R5329" s="41" t="str"/>
      <c r="S5329" s="41" t="str"/>
      <c r="T5329" s="41" t="str"/>
      <c r="U5329" s="41" t="str"/>
      <c r="V5329" s="41" t="str"/>
      <c r="W5329" s="41" t="str"/>
    </row>
    <row r="5330">
      <c r="B5330" s="2" t="n"/>
      <c r="C5330" s="40" t="n"/>
      <c r="D5330" s="52">
        <f t="array" ref="D5330:W5330">IF(All_Students_Scores!C5328:V5328="","",All_Students_Scores!C5328:V5328)</f>
        <v/>
      </c>
      <c r="E5330" s="57" t="str"/>
      <c r="F5330" s="49" t="str"/>
      <c r="G5330" s="59" t="str"/>
      <c r="H5330" s="64" t="str"/>
      <c r="I5330" s="65" t="str"/>
      <c r="J5330" s="49" t="str"/>
      <c r="K5330" s="41" t="str"/>
      <c r="L5330" s="41" t="str"/>
      <c r="M5330" s="41" t="str"/>
      <c r="N5330" s="41" t="str"/>
      <c r="O5330" s="41" t="str"/>
      <c r="P5330" s="41" t="str"/>
      <c r="Q5330" s="41" t="str"/>
      <c r="R5330" s="41" t="str"/>
      <c r="S5330" s="41" t="str"/>
      <c r="T5330" s="41" t="str"/>
      <c r="U5330" s="41" t="str"/>
      <c r="V5330" s="41" t="str"/>
      <c r="W5330" s="41" t="str"/>
    </row>
    <row r="5331">
      <c r="B5331" s="2" t="n"/>
      <c r="C5331" s="40" t="n"/>
      <c r="D5331" s="52">
        <f t="array" ref="D5331:W5331">IF(All_Students_Scores!C5329:V5329="","",All_Students_Scores!C5329:V5329)</f>
        <v/>
      </c>
      <c r="E5331" s="57" t="str"/>
      <c r="F5331" s="49" t="str"/>
      <c r="G5331" s="59" t="str"/>
      <c r="H5331" s="64" t="str"/>
      <c r="I5331" s="65" t="str"/>
      <c r="J5331" s="49" t="str"/>
      <c r="K5331" s="41" t="str"/>
      <c r="L5331" s="41" t="str"/>
      <c r="M5331" s="41" t="str"/>
      <c r="N5331" s="41" t="str"/>
      <c r="O5331" s="41" t="str"/>
      <c r="P5331" s="41" t="str"/>
      <c r="Q5331" s="41" t="str"/>
      <c r="R5331" s="41" t="str"/>
      <c r="S5331" s="41" t="str"/>
      <c r="T5331" s="41" t="str"/>
      <c r="U5331" s="41" t="str"/>
      <c r="V5331" s="41" t="str"/>
      <c r="W5331" s="41" t="str"/>
    </row>
    <row r="5332">
      <c r="B5332" s="2" t="n"/>
      <c r="C5332" s="40" t="n"/>
      <c r="D5332" s="52">
        <f t="array" ref="D5332:W5332">IF(All_Students_Scores!C5330:V5330="","",All_Students_Scores!C5330:V5330)</f>
        <v/>
      </c>
      <c r="E5332" s="57" t="str"/>
      <c r="F5332" s="49" t="str"/>
      <c r="G5332" s="59" t="str"/>
      <c r="H5332" s="64" t="str"/>
      <c r="I5332" s="65" t="str"/>
      <c r="J5332" s="49" t="str"/>
      <c r="K5332" s="41" t="str"/>
      <c r="L5332" s="41" t="str"/>
      <c r="M5332" s="41" t="str"/>
      <c r="N5332" s="41" t="str"/>
      <c r="O5332" s="41" t="str"/>
      <c r="P5332" s="41" t="str"/>
      <c r="Q5332" s="41" t="str"/>
      <c r="R5332" s="41" t="str"/>
      <c r="S5332" s="41" t="str"/>
      <c r="T5332" s="41" t="str"/>
      <c r="U5332" s="41" t="str"/>
      <c r="V5332" s="41" t="str"/>
      <c r="W5332" s="41" t="str"/>
    </row>
    <row r="5333">
      <c r="B5333" s="2" t="n"/>
      <c r="C5333" s="40" t="n"/>
      <c r="D5333" s="52">
        <f t="array" ref="D5333:W5333">IF(All_Students_Scores!C5331:V5331="","",All_Students_Scores!C5331:V5331)</f>
        <v/>
      </c>
      <c r="E5333" s="57" t="str"/>
      <c r="F5333" s="49" t="str"/>
      <c r="G5333" s="59" t="str"/>
      <c r="H5333" s="64" t="str"/>
      <c r="I5333" s="65" t="str"/>
      <c r="J5333" s="49" t="str"/>
      <c r="K5333" s="41" t="str"/>
      <c r="L5333" s="41" t="str"/>
      <c r="M5333" s="41" t="str"/>
      <c r="N5333" s="41" t="str"/>
      <c r="O5333" s="41" t="str"/>
      <c r="P5333" s="41" t="str"/>
      <c r="Q5333" s="41" t="str"/>
      <c r="R5333" s="41" t="str"/>
      <c r="S5333" s="41" t="str"/>
      <c r="T5333" s="41" t="str"/>
      <c r="U5333" s="41" t="str"/>
      <c r="V5333" s="41" t="str"/>
      <c r="W5333" s="41" t="str"/>
    </row>
    <row r="5334">
      <c r="B5334" s="2" t="n"/>
      <c r="C5334" s="40" t="n"/>
      <c r="D5334" s="52">
        <f t="array" ref="D5334:W5334">IF(All_Students_Scores!C5332:V5332="","",All_Students_Scores!C5332:V5332)</f>
        <v/>
      </c>
      <c r="E5334" s="57" t="str"/>
      <c r="F5334" s="49" t="str"/>
      <c r="G5334" s="59" t="str"/>
      <c r="H5334" s="64" t="str"/>
      <c r="I5334" s="65" t="str"/>
      <c r="J5334" s="49" t="str"/>
      <c r="K5334" s="41" t="str"/>
      <c r="L5334" s="41" t="str"/>
      <c r="M5334" s="41" t="str"/>
      <c r="N5334" s="41" t="str"/>
      <c r="O5334" s="41" t="str"/>
      <c r="P5334" s="41" t="str"/>
      <c r="Q5334" s="41" t="str"/>
      <c r="R5334" s="41" t="str"/>
      <c r="S5334" s="41" t="str"/>
      <c r="T5334" s="41" t="str"/>
      <c r="U5334" s="41" t="str"/>
      <c r="V5334" s="41" t="str"/>
      <c r="W5334" s="41" t="str"/>
    </row>
    <row r="5335">
      <c r="B5335" s="2" t="n"/>
      <c r="C5335" s="40" t="n"/>
      <c r="D5335" s="52">
        <f t="array" ref="D5335:W5335">IF(All_Students_Scores!C5333:V5333="","",All_Students_Scores!C5333:V5333)</f>
        <v/>
      </c>
      <c r="E5335" s="57" t="str"/>
      <c r="F5335" s="49" t="str"/>
      <c r="G5335" s="59" t="str"/>
      <c r="H5335" s="64" t="str"/>
      <c r="I5335" s="65" t="str"/>
      <c r="J5335" s="49" t="str"/>
      <c r="K5335" s="41" t="str"/>
      <c r="L5335" s="41" t="str"/>
      <c r="M5335" s="41" t="str"/>
      <c r="N5335" s="41" t="str"/>
      <c r="O5335" s="41" t="str"/>
      <c r="P5335" s="41" t="str"/>
      <c r="Q5335" s="41" t="str"/>
      <c r="R5335" s="41" t="str"/>
      <c r="S5335" s="41" t="str"/>
      <c r="T5335" s="41" t="str"/>
      <c r="U5335" s="41" t="str"/>
      <c r="V5335" s="41" t="str"/>
      <c r="W5335" s="41" t="str"/>
    </row>
    <row r="5336">
      <c r="B5336" s="2" t="n"/>
      <c r="C5336" s="40" t="n"/>
      <c r="D5336" s="52">
        <f t="array" ref="D5336:W5336">IF(All_Students_Scores!C5334:V5334="","",All_Students_Scores!C5334:V5334)</f>
        <v/>
      </c>
      <c r="E5336" s="57" t="str"/>
      <c r="F5336" s="49" t="str"/>
      <c r="G5336" s="59" t="str"/>
      <c r="H5336" s="64" t="str"/>
      <c r="I5336" s="65" t="str"/>
      <c r="J5336" s="49" t="str"/>
      <c r="K5336" s="41" t="str"/>
      <c r="L5336" s="41" t="str"/>
      <c r="M5336" s="41" t="str"/>
      <c r="N5336" s="41" t="str"/>
      <c r="O5336" s="41" t="str"/>
      <c r="P5336" s="41" t="str"/>
      <c r="Q5336" s="41" t="str"/>
      <c r="R5336" s="41" t="str"/>
      <c r="S5336" s="41" t="str"/>
      <c r="T5336" s="41" t="str"/>
      <c r="U5336" s="41" t="str"/>
      <c r="V5336" s="41" t="str"/>
      <c r="W5336" s="41" t="str"/>
    </row>
    <row r="5337">
      <c r="B5337" s="2" t="n"/>
      <c r="C5337" s="40" t="n"/>
      <c r="D5337" s="52">
        <f t="array" ref="D5337:W5337">IF(All_Students_Scores!C5335:V5335="","",All_Students_Scores!C5335:V5335)</f>
        <v/>
      </c>
      <c r="E5337" s="57" t="str"/>
      <c r="F5337" s="49" t="str"/>
      <c r="G5337" s="59" t="str"/>
      <c r="H5337" s="64" t="str"/>
      <c r="I5337" s="65" t="str"/>
      <c r="J5337" s="49" t="str"/>
      <c r="K5337" s="41" t="str"/>
      <c r="L5337" s="41" t="str"/>
      <c r="M5337" s="41" t="str"/>
      <c r="N5337" s="41" t="str"/>
      <c r="O5337" s="41" t="str"/>
      <c r="P5337" s="41" t="str"/>
      <c r="Q5337" s="41" t="str"/>
      <c r="R5337" s="41" t="str"/>
      <c r="S5337" s="41" t="str"/>
      <c r="T5337" s="41" t="str"/>
      <c r="U5337" s="41" t="str"/>
      <c r="V5337" s="41" t="str"/>
      <c r="W5337" s="41" t="str"/>
    </row>
    <row r="5338">
      <c r="B5338" s="2" t="n"/>
      <c r="C5338" s="40" t="n"/>
      <c r="D5338" s="52">
        <f t="array" ref="D5338:W5338">IF(All_Students_Scores!C5336:V5336="","",All_Students_Scores!C5336:V5336)</f>
        <v/>
      </c>
      <c r="E5338" s="57" t="str"/>
      <c r="F5338" s="49" t="str"/>
      <c r="G5338" s="59" t="str"/>
      <c r="H5338" s="64" t="str"/>
      <c r="I5338" s="65" t="str"/>
      <c r="J5338" s="49" t="str"/>
      <c r="K5338" s="41" t="str"/>
      <c r="L5338" s="41" t="str"/>
      <c r="M5338" s="41" t="str"/>
      <c r="N5338" s="41" t="str"/>
      <c r="O5338" s="41" t="str"/>
      <c r="P5338" s="41" t="str"/>
      <c r="Q5338" s="41" t="str"/>
      <c r="R5338" s="41" t="str"/>
      <c r="S5338" s="41" t="str"/>
      <c r="T5338" s="41" t="str"/>
      <c r="U5338" s="41" t="str"/>
      <c r="V5338" s="41" t="str"/>
      <c r="W5338" s="41" t="str"/>
    </row>
    <row r="5339">
      <c r="B5339" s="2" t="n"/>
      <c r="C5339" s="40" t="n"/>
      <c r="D5339" s="52">
        <f t="array" ref="D5339:W5339">IF(All_Students_Scores!C5337:V5337="","",All_Students_Scores!C5337:V5337)</f>
        <v/>
      </c>
      <c r="E5339" s="57" t="str"/>
      <c r="F5339" s="49" t="str"/>
      <c r="G5339" s="59" t="str"/>
      <c r="H5339" s="64" t="str"/>
      <c r="I5339" s="65" t="str"/>
      <c r="J5339" s="49" t="str"/>
      <c r="K5339" s="41" t="str"/>
      <c r="L5339" s="41" t="str"/>
      <c r="M5339" s="41" t="str"/>
      <c r="N5339" s="41" t="str"/>
      <c r="O5339" s="41" t="str"/>
      <c r="P5339" s="41" t="str"/>
      <c r="Q5339" s="41" t="str"/>
      <c r="R5339" s="41" t="str"/>
      <c r="S5339" s="41" t="str"/>
      <c r="T5339" s="41" t="str"/>
      <c r="U5339" s="41" t="str"/>
      <c r="V5339" s="41" t="str"/>
      <c r="W5339" s="41" t="str"/>
    </row>
    <row r="5340">
      <c r="B5340" s="2" t="n"/>
      <c r="C5340" s="40" t="n"/>
      <c r="D5340" s="52">
        <f t="array" ref="D5340:W5340">IF(All_Students_Scores!C5338:V5338="","",All_Students_Scores!C5338:V5338)</f>
        <v/>
      </c>
      <c r="E5340" s="57" t="str"/>
      <c r="F5340" s="49" t="str"/>
      <c r="G5340" s="59" t="str"/>
      <c r="H5340" s="64" t="str"/>
      <c r="I5340" s="65" t="str"/>
      <c r="J5340" s="49" t="str"/>
      <c r="K5340" s="41" t="str"/>
      <c r="L5340" s="41" t="str"/>
      <c r="M5340" s="41" t="str"/>
      <c r="N5340" s="41" t="str"/>
      <c r="O5340" s="41" t="str"/>
      <c r="P5340" s="41" t="str"/>
      <c r="Q5340" s="41" t="str"/>
      <c r="R5340" s="41" t="str"/>
      <c r="S5340" s="41" t="str"/>
      <c r="T5340" s="41" t="str"/>
      <c r="U5340" s="41" t="str"/>
      <c r="V5340" s="41" t="str"/>
      <c r="W5340" s="41" t="str"/>
    </row>
    <row r="5341">
      <c r="B5341" s="2" t="n"/>
      <c r="C5341" s="40" t="n"/>
      <c r="D5341" s="52">
        <f t="array" ref="D5341:W5341">IF(All_Students_Scores!C5339:V5339="","",All_Students_Scores!C5339:V5339)</f>
        <v/>
      </c>
      <c r="E5341" s="57" t="str"/>
      <c r="F5341" s="49" t="str"/>
      <c r="G5341" s="59" t="str"/>
      <c r="H5341" s="64" t="str"/>
      <c r="I5341" s="65" t="str"/>
      <c r="J5341" s="49" t="str"/>
      <c r="K5341" s="41" t="str"/>
      <c r="L5341" s="41" t="str"/>
      <c r="M5341" s="41" t="str"/>
      <c r="N5341" s="41" t="str"/>
      <c r="O5341" s="41" t="str"/>
      <c r="P5341" s="41" t="str"/>
      <c r="Q5341" s="41" t="str"/>
      <c r="R5341" s="41" t="str"/>
      <c r="S5341" s="41" t="str"/>
      <c r="T5341" s="41" t="str"/>
      <c r="U5341" s="41" t="str"/>
      <c r="V5341" s="41" t="str"/>
      <c r="W5341" s="41" t="str"/>
    </row>
    <row r="5342">
      <c r="B5342" s="2" t="n"/>
      <c r="C5342" s="40" t="n"/>
      <c r="D5342" s="52">
        <f t="array" ref="D5342:W5342">IF(All_Students_Scores!C5340:V5340="","",All_Students_Scores!C5340:V5340)</f>
        <v/>
      </c>
      <c r="E5342" s="57" t="str"/>
      <c r="F5342" s="49" t="str"/>
      <c r="G5342" s="59" t="str"/>
      <c r="H5342" s="64" t="str"/>
      <c r="I5342" s="65" t="str"/>
      <c r="J5342" s="49" t="str"/>
      <c r="K5342" s="41" t="str"/>
      <c r="L5342" s="41" t="str"/>
      <c r="M5342" s="41" t="str"/>
      <c r="N5342" s="41" t="str"/>
      <c r="O5342" s="41" t="str"/>
      <c r="P5342" s="41" t="str"/>
      <c r="Q5342" s="41" t="str"/>
      <c r="R5342" s="41" t="str"/>
      <c r="S5342" s="41" t="str"/>
      <c r="T5342" s="41" t="str"/>
      <c r="U5342" s="41" t="str"/>
      <c r="V5342" s="41" t="str"/>
      <c r="W5342" s="41" t="str"/>
    </row>
    <row r="5343">
      <c r="B5343" s="2" t="n"/>
      <c r="C5343" s="40" t="n"/>
      <c r="D5343" s="52">
        <f t="array" ref="D5343:W5343">IF(All_Students_Scores!C5341:V5341="","",All_Students_Scores!C5341:V5341)</f>
        <v/>
      </c>
      <c r="E5343" s="57" t="str"/>
      <c r="F5343" s="49" t="str"/>
      <c r="G5343" s="59" t="str"/>
      <c r="H5343" s="64" t="str"/>
      <c r="I5343" s="65" t="str"/>
      <c r="J5343" s="49" t="str"/>
      <c r="K5343" s="41" t="str"/>
      <c r="L5343" s="41" t="str"/>
      <c r="M5343" s="41" t="str"/>
      <c r="N5343" s="41" t="str"/>
      <c r="O5343" s="41" t="str"/>
      <c r="P5343" s="41" t="str"/>
      <c r="Q5343" s="41" t="str"/>
      <c r="R5343" s="41" t="str"/>
      <c r="S5343" s="41" t="str"/>
      <c r="T5343" s="41" t="str"/>
      <c r="U5343" s="41" t="str"/>
      <c r="V5343" s="41" t="str"/>
      <c r="W5343" s="41" t="str"/>
    </row>
    <row r="5344">
      <c r="B5344" s="2" t="n"/>
      <c r="C5344" s="40" t="n"/>
      <c r="D5344" s="52">
        <f t="array" ref="D5344:W5344">IF(All_Students_Scores!C5342:V5342="","",All_Students_Scores!C5342:V5342)</f>
        <v/>
      </c>
      <c r="E5344" s="57" t="str"/>
      <c r="F5344" s="49" t="str"/>
      <c r="G5344" s="59" t="str"/>
      <c r="H5344" s="64" t="str"/>
      <c r="I5344" s="65" t="str"/>
      <c r="J5344" s="49" t="str"/>
      <c r="K5344" s="41" t="str"/>
      <c r="L5344" s="41" t="str"/>
      <c r="M5344" s="41" t="str"/>
      <c r="N5344" s="41" t="str"/>
      <c r="O5344" s="41" t="str"/>
      <c r="P5344" s="41" t="str"/>
      <c r="Q5344" s="41" t="str"/>
      <c r="R5344" s="41" t="str"/>
      <c r="S5344" s="41" t="str"/>
      <c r="T5344" s="41" t="str"/>
      <c r="U5344" s="41" t="str"/>
      <c r="V5344" s="41" t="str"/>
      <c r="W5344" s="41" t="str"/>
    </row>
    <row r="5345">
      <c r="B5345" s="2" t="n"/>
      <c r="C5345" s="40" t="n"/>
      <c r="D5345" s="52">
        <f t="array" ref="D5345:W5345">IF(All_Students_Scores!C5343:V5343="","",All_Students_Scores!C5343:V5343)</f>
        <v/>
      </c>
      <c r="E5345" s="57" t="str"/>
      <c r="F5345" s="49" t="str"/>
      <c r="G5345" s="59" t="str"/>
      <c r="H5345" s="64" t="str"/>
      <c r="I5345" s="65" t="str"/>
      <c r="J5345" s="49" t="str"/>
      <c r="K5345" s="41" t="str"/>
      <c r="L5345" s="41" t="str"/>
      <c r="M5345" s="41" t="str"/>
      <c r="N5345" s="41" t="str"/>
      <c r="O5345" s="41" t="str"/>
      <c r="P5345" s="41" t="str"/>
      <c r="Q5345" s="41" t="str"/>
      <c r="R5345" s="41" t="str"/>
      <c r="S5345" s="41" t="str"/>
      <c r="T5345" s="41" t="str"/>
      <c r="U5345" s="41" t="str"/>
      <c r="V5345" s="41" t="str"/>
      <c r="W5345" s="41" t="str"/>
    </row>
    <row r="5346">
      <c r="B5346" s="2" t="n"/>
      <c r="C5346" s="40" t="n"/>
      <c r="D5346" s="52">
        <f t="array" ref="D5346:W5346">IF(All_Students_Scores!C5344:V5344="","",All_Students_Scores!C5344:V5344)</f>
        <v/>
      </c>
      <c r="E5346" s="57" t="str"/>
      <c r="F5346" s="49" t="str"/>
      <c r="G5346" s="59" t="str"/>
      <c r="H5346" s="64" t="str"/>
      <c r="I5346" s="65" t="str"/>
      <c r="J5346" s="49" t="str"/>
      <c r="K5346" s="41" t="str"/>
      <c r="L5346" s="41" t="str"/>
      <c r="M5346" s="41" t="str"/>
      <c r="N5346" s="41" t="str"/>
      <c r="O5346" s="41" t="str"/>
      <c r="P5346" s="41" t="str"/>
      <c r="Q5346" s="41" t="str"/>
      <c r="R5346" s="41" t="str"/>
      <c r="S5346" s="41" t="str"/>
      <c r="T5346" s="41" t="str"/>
      <c r="U5346" s="41" t="str"/>
      <c r="V5346" s="41" t="str"/>
      <c r="W5346" s="41" t="str"/>
    </row>
    <row r="5347">
      <c r="B5347" s="2" t="n"/>
      <c r="C5347" s="40" t="n"/>
      <c r="D5347" s="52">
        <f t="array" ref="D5347:W5347">IF(All_Students_Scores!C5345:V5345="","",All_Students_Scores!C5345:V5345)</f>
        <v/>
      </c>
      <c r="E5347" s="57" t="str"/>
      <c r="F5347" s="49" t="str"/>
      <c r="G5347" s="59" t="str"/>
      <c r="H5347" s="64" t="str"/>
      <c r="I5347" s="65" t="str"/>
      <c r="J5347" s="49" t="str"/>
      <c r="K5347" s="41" t="str"/>
      <c r="L5347" s="41" t="str"/>
      <c r="M5347" s="41" t="str"/>
      <c r="N5347" s="41" t="str"/>
      <c r="O5347" s="41" t="str"/>
      <c r="P5347" s="41" t="str"/>
      <c r="Q5347" s="41" t="str"/>
      <c r="R5347" s="41" t="str"/>
      <c r="S5347" s="41" t="str"/>
      <c r="T5347" s="41" t="str"/>
      <c r="U5347" s="41" t="str"/>
      <c r="V5347" s="41" t="str"/>
      <c r="W5347" s="41" t="str"/>
    </row>
    <row r="5348">
      <c r="B5348" s="2" t="n"/>
      <c r="C5348" s="40" t="n"/>
      <c r="D5348" s="52">
        <f t="array" ref="D5348:W5348">IF(All_Students_Scores!C5346:V5346="","",All_Students_Scores!C5346:V5346)</f>
        <v/>
      </c>
      <c r="E5348" s="57" t="str"/>
      <c r="F5348" s="49" t="str"/>
      <c r="G5348" s="59" t="str"/>
      <c r="H5348" s="64" t="str"/>
      <c r="I5348" s="65" t="str"/>
      <c r="J5348" s="49" t="str"/>
      <c r="K5348" s="41" t="str"/>
      <c r="L5348" s="41" t="str"/>
      <c r="M5348" s="41" t="str"/>
      <c r="N5348" s="41" t="str"/>
      <c r="O5348" s="41" t="str"/>
      <c r="P5348" s="41" t="str"/>
      <c r="Q5348" s="41" t="str"/>
      <c r="R5348" s="41" t="str"/>
      <c r="S5348" s="41" t="str"/>
      <c r="T5348" s="41" t="str"/>
      <c r="U5348" s="41" t="str"/>
      <c r="V5348" s="41" t="str"/>
      <c r="W5348" s="41" t="str"/>
    </row>
    <row r="5349">
      <c r="B5349" s="2" t="n"/>
      <c r="C5349" s="40" t="n"/>
      <c r="D5349" s="52">
        <f t="array" ref="D5349:W5349">IF(All_Students_Scores!C5347:V5347="","",All_Students_Scores!C5347:V5347)</f>
        <v/>
      </c>
      <c r="E5349" s="57" t="str"/>
      <c r="F5349" s="49" t="str"/>
      <c r="G5349" s="59" t="str"/>
      <c r="H5349" s="64" t="str"/>
      <c r="I5349" s="65" t="str"/>
      <c r="J5349" s="49" t="str"/>
      <c r="K5349" s="41" t="str"/>
      <c r="L5349" s="41" t="str"/>
      <c r="M5349" s="41" t="str"/>
      <c r="N5349" s="41" t="str"/>
      <c r="O5349" s="41" t="str"/>
      <c r="P5349" s="41" t="str"/>
      <c r="Q5349" s="41" t="str"/>
      <c r="R5349" s="41" t="str"/>
      <c r="S5349" s="41" t="str"/>
      <c r="T5349" s="41" t="str"/>
      <c r="U5349" s="41" t="str"/>
      <c r="V5349" s="41" t="str"/>
      <c r="W5349" s="41" t="str"/>
    </row>
    <row r="5350">
      <c r="B5350" s="2" t="n"/>
      <c r="C5350" s="40" t="n"/>
      <c r="D5350" s="52">
        <f t="array" ref="D5350:W5350">IF(All_Students_Scores!C5348:V5348="","",All_Students_Scores!C5348:V5348)</f>
        <v/>
      </c>
      <c r="E5350" s="57" t="str"/>
      <c r="F5350" s="49" t="str"/>
      <c r="G5350" s="59" t="str"/>
      <c r="H5350" s="64" t="str"/>
      <c r="I5350" s="65" t="str"/>
      <c r="J5350" s="49" t="str"/>
      <c r="K5350" s="41" t="str"/>
      <c r="L5350" s="41" t="str"/>
      <c r="M5350" s="41" t="str"/>
      <c r="N5350" s="41" t="str"/>
      <c r="O5350" s="41" t="str"/>
      <c r="P5350" s="41" t="str"/>
      <c r="Q5350" s="41" t="str"/>
      <c r="R5350" s="41" t="str"/>
      <c r="S5350" s="41" t="str"/>
      <c r="T5350" s="41" t="str"/>
      <c r="U5350" s="41" t="str"/>
      <c r="V5350" s="41" t="str"/>
      <c r="W5350" s="41" t="str"/>
    </row>
    <row r="5351">
      <c r="B5351" s="2" t="n"/>
      <c r="C5351" s="40" t="n"/>
      <c r="D5351" s="52">
        <f t="array" ref="D5351:W5351">IF(All_Students_Scores!C5349:V5349="","",All_Students_Scores!C5349:V5349)</f>
        <v/>
      </c>
      <c r="E5351" s="57" t="str"/>
      <c r="F5351" s="49" t="str"/>
      <c r="G5351" s="59" t="str"/>
      <c r="H5351" s="64" t="str"/>
      <c r="I5351" s="65" t="str"/>
      <c r="J5351" s="49" t="str"/>
      <c r="K5351" s="41" t="str"/>
      <c r="L5351" s="41" t="str"/>
      <c r="M5351" s="41" t="str"/>
      <c r="N5351" s="41" t="str"/>
      <c r="O5351" s="41" t="str"/>
      <c r="P5351" s="41" t="str"/>
      <c r="Q5351" s="41" t="str"/>
      <c r="R5351" s="41" t="str"/>
      <c r="S5351" s="41" t="str"/>
      <c r="T5351" s="41" t="str"/>
      <c r="U5351" s="41" t="str"/>
      <c r="V5351" s="41" t="str"/>
      <c r="W5351" s="41" t="str"/>
    </row>
    <row r="5352">
      <c r="B5352" s="2" t="n"/>
      <c r="C5352" s="40" t="n"/>
      <c r="D5352" s="52">
        <f t="array" ref="D5352:W5352">IF(All_Students_Scores!C5350:V5350="","",All_Students_Scores!C5350:V5350)</f>
        <v/>
      </c>
      <c r="E5352" s="57" t="str"/>
      <c r="F5352" s="49" t="str"/>
      <c r="G5352" s="59" t="str"/>
      <c r="H5352" s="64" t="str"/>
      <c r="I5352" s="65" t="str"/>
      <c r="J5352" s="49" t="str"/>
      <c r="K5352" s="41" t="str"/>
      <c r="L5352" s="41" t="str"/>
      <c r="M5352" s="41" t="str"/>
      <c r="N5352" s="41" t="str"/>
      <c r="O5352" s="41" t="str"/>
      <c r="P5352" s="41" t="str"/>
      <c r="Q5352" s="41" t="str"/>
      <c r="R5352" s="41" t="str"/>
      <c r="S5352" s="41" t="str"/>
      <c r="T5352" s="41" t="str"/>
      <c r="U5352" s="41" t="str"/>
      <c r="V5352" s="41" t="str"/>
      <c r="W5352" s="41" t="str"/>
    </row>
    <row r="5353">
      <c r="B5353" s="2" t="n"/>
      <c r="C5353" s="40" t="n"/>
      <c r="D5353" s="52">
        <f t="array" ref="D5353:W5353">IF(All_Students_Scores!C5351:V5351="","",All_Students_Scores!C5351:V5351)</f>
        <v/>
      </c>
      <c r="E5353" s="57" t="str"/>
      <c r="F5353" s="49" t="str"/>
      <c r="G5353" s="59" t="str"/>
      <c r="H5353" s="64" t="str"/>
      <c r="I5353" s="65" t="str"/>
      <c r="J5353" s="49" t="str"/>
      <c r="K5353" s="41" t="str"/>
      <c r="L5353" s="41" t="str"/>
      <c r="M5353" s="41" t="str"/>
      <c r="N5353" s="41" t="str"/>
      <c r="O5353" s="41" t="str"/>
      <c r="P5353" s="41" t="str"/>
      <c r="Q5353" s="41" t="str"/>
      <c r="R5353" s="41" t="str"/>
      <c r="S5353" s="41" t="str"/>
      <c r="T5353" s="41" t="str"/>
      <c r="U5353" s="41" t="str"/>
      <c r="V5353" s="41" t="str"/>
      <c r="W5353" s="41" t="str"/>
    </row>
    <row r="5354">
      <c r="B5354" s="2" t="n"/>
      <c r="C5354" s="40" t="n"/>
      <c r="D5354" s="52">
        <f t="array" ref="D5354:W5354">IF(All_Students_Scores!C5352:V5352="","",All_Students_Scores!C5352:V5352)</f>
        <v/>
      </c>
      <c r="E5354" s="57" t="str"/>
      <c r="F5354" s="49" t="str"/>
      <c r="G5354" s="59" t="str"/>
      <c r="H5354" s="64" t="str"/>
      <c r="I5354" s="65" t="str"/>
      <c r="J5354" s="49" t="str"/>
      <c r="K5354" s="41" t="str"/>
      <c r="L5354" s="41" t="str"/>
      <c r="M5354" s="41" t="str"/>
      <c r="N5354" s="41" t="str"/>
      <c r="O5354" s="41" t="str"/>
      <c r="P5354" s="41" t="str"/>
      <c r="Q5354" s="41" t="str"/>
      <c r="R5354" s="41" t="str"/>
      <c r="S5354" s="41" t="str"/>
      <c r="T5354" s="41" t="str"/>
      <c r="U5354" s="41" t="str"/>
      <c r="V5354" s="41" t="str"/>
      <c r="W5354" s="41" t="str"/>
    </row>
    <row r="5355">
      <c r="B5355" s="2" t="n"/>
      <c r="C5355" s="40" t="n"/>
      <c r="D5355" s="52">
        <f t="array" ref="D5355:W5355">IF(All_Students_Scores!C5353:V5353="","",All_Students_Scores!C5353:V5353)</f>
        <v/>
      </c>
      <c r="E5355" s="57" t="str"/>
      <c r="F5355" s="49" t="str"/>
      <c r="G5355" s="59" t="str"/>
      <c r="H5355" s="64" t="str"/>
      <c r="I5355" s="65" t="str"/>
      <c r="J5355" s="49" t="str"/>
      <c r="K5355" s="41" t="str"/>
      <c r="L5355" s="41" t="str"/>
      <c r="M5355" s="41" t="str"/>
      <c r="N5355" s="41" t="str"/>
      <c r="O5355" s="41" t="str"/>
      <c r="P5355" s="41" t="str"/>
      <c r="Q5355" s="41" t="str"/>
      <c r="R5355" s="41" t="str"/>
      <c r="S5355" s="41" t="str"/>
      <c r="T5355" s="41" t="str"/>
      <c r="U5355" s="41" t="str"/>
      <c r="V5355" s="41" t="str"/>
      <c r="W5355" s="41" t="str"/>
    </row>
    <row r="5356">
      <c r="B5356" s="2" t="n"/>
      <c r="C5356" s="40" t="n"/>
      <c r="D5356" s="52">
        <f t="array" ref="D5356:W5356">IF(All_Students_Scores!C5354:V5354="","",All_Students_Scores!C5354:V5354)</f>
        <v/>
      </c>
      <c r="E5356" s="57" t="str"/>
      <c r="F5356" s="49" t="str"/>
      <c r="G5356" s="59" t="str"/>
      <c r="H5356" s="64" t="str"/>
      <c r="I5356" s="65" t="str"/>
      <c r="J5356" s="49" t="str"/>
      <c r="K5356" s="41" t="str"/>
      <c r="L5356" s="41" t="str"/>
      <c r="M5356" s="41" t="str"/>
      <c r="N5356" s="41" t="str"/>
      <c r="O5356" s="41" t="str"/>
      <c r="P5356" s="41" t="str"/>
      <c r="Q5356" s="41" t="str"/>
      <c r="R5356" s="41" t="str"/>
      <c r="S5356" s="41" t="str"/>
      <c r="T5356" s="41" t="str"/>
      <c r="U5356" s="41" t="str"/>
      <c r="V5356" s="41" t="str"/>
      <c r="W5356" s="41" t="str"/>
    </row>
    <row r="5357">
      <c r="B5357" s="2" t="n"/>
      <c r="C5357" s="40" t="n"/>
      <c r="D5357" s="52">
        <f t="array" ref="D5357:W5357">IF(All_Students_Scores!C5355:V5355="","",All_Students_Scores!C5355:V5355)</f>
        <v/>
      </c>
      <c r="E5357" s="57" t="str"/>
      <c r="F5357" s="49" t="str"/>
      <c r="G5357" s="59" t="str"/>
      <c r="H5357" s="64" t="str"/>
      <c r="I5357" s="65" t="str"/>
      <c r="J5357" s="49" t="str"/>
      <c r="K5357" s="41" t="str"/>
      <c r="L5357" s="41" t="str"/>
      <c r="M5357" s="41" t="str"/>
      <c r="N5357" s="41" t="str"/>
      <c r="O5357" s="41" t="str"/>
      <c r="P5357" s="41" t="str"/>
      <c r="Q5357" s="41" t="str"/>
      <c r="R5357" s="41" t="str"/>
      <c r="S5357" s="41" t="str"/>
      <c r="T5357" s="41" t="str"/>
      <c r="U5357" s="41" t="str"/>
      <c r="V5357" s="41" t="str"/>
      <c r="W5357" s="41" t="str"/>
    </row>
    <row r="5358">
      <c r="B5358" s="2" t="n"/>
      <c r="C5358" s="40" t="n"/>
      <c r="D5358" s="52">
        <f t="array" ref="D5358:W5358">IF(All_Students_Scores!C5356:V5356="","",All_Students_Scores!C5356:V5356)</f>
        <v/>
      </c>
      <c r="E5358" s="57" t="str"/>
      <c r="F5358" s="49" t="str"/>
      <c r="G5358" s="59" t="str"/>
      <c r="H5358" s="64" t="str"/>
      <c r="I5358" s="65" t="str"/>
      <c r="J5358" s="49" t="str"/>
      <c r="K5358" s="41" t="str"/>
      <c r="L5358" s="41" t="str"/>
      <c r="M5358" s="41" t="str"/>
      <c r="N5358" s="41" t="str"/>
      <c r="O5358" s="41" t="str"/>
      <c r="P5358" s="41" t="str"/>
      <c r="Q5358" s="41" t="str"/>
      <c r="R5358" s="41" t="str"/>
      <c r="S5358" s="41" t="str"/>
      <c r="T5358" s="41" t="str"/>
      <c r="U5358" s="41" t="str"/>
      <c r="V5358" s="41" t="str"/>
      <c r="W5358" s="41" t="str"/>
    </row>
    <row r="5359">
      <c r="B5359" s="2" t="n"/>
      <c r="C5359" s="40" t="n"/>
      <c r="D5359" s="52">
        <f t="array" ref="D5359:W5359">IF(All_Students_Scores!C5357:V5357="","",All_Students_Scores!C5357:V5357)</f>
        <v/>
      </c>
      <c r="E5359" s="57" t="str"/>
      <c r="F5359" s="49" t="str"/>
      <c r="G5359" s="59" t="str"/>
      <c r="H5359" s="64" t="str"/>
      <c r="I5359" s="65" t="str"/>
      <c r="J5359" s="49" t="str"/>
      <c r="K5359" s="41" t="str"/>
      <c r="L5359" s="41" t="str"/>
      <c r="M5359" s="41" t="str"/>
      <c r="N5359" s="41" t="str"/>
      <c r="O5359" s="41" t="str"/>
      <c r="P5359" s="41" t="str"/>
      <c r="Q5359" s="41" t="str"/>
      <c r="R5359" s="41" t="str"/>
      <c r="S5359" s="41" t="str"/>
      <c r="T5359" s="41" t="str"/>
      <c r="U5359" s="41" t="str"/>
      <c r="V5359" s="41" t="str"/>
      <c r="W5359" s="41" t="str"/>
    </row>
    <row r="5360">
      <c r="B5360" s="2" t="n"/>
      <c r="C5360" s="40" t="n"/>
      <c r="D5360" s="52">
        <f t="array" ref="D5360:W5360">IF(All_Students_Scores!C5358:V5358="","",All_Students_Scores!C5358:V5358)</f>
        <v/>
      </c>
      <c r="E5360" s="57" t="str"/>
      <c r="F5360" s="49" t="str"/>
      <c r="G5360" s="59" t="str"/>
      <c r="H5360" s="64" t="str"/>
      <c r="I5360" s="65" t="str"/>
      <c r="J5360" s="49" t="str"/>
      <c r="K5360" s="41" t="str"/>
      <c r="L5360" s="41" t="str"/>
      <c r="M5360" s="41" t="str"/>
      <c r="N5360" s="41" t="str"/>
      <c r="O5360" s="41" t="str"/>
      <c r="P5360" s="41" t="str"/>
      <c r="Q5360" s="41" t="str"/>
      <c r="R5360" s="41" t="str"/>
      <c r="S5360" s="41" t="str"/>
      <c r="T5360" s="41" t="str"/>
      <c r="U5360" s="41" t="str"/>
      <c r="V5360" s="41" t="str"/>
      <c r="W5360" s="41" t="str"/>
    </row>
    <row r="5361">
      <c r="B5361" s="2" t="n"/>
      <c r="C5361" s="40" t="n"/>
      <c r="D5361" s="52">
        <f t="array" ref="D5361:W5361">IF(All_Students_Scores!C5359:V5359="","",All_Students_Scores!C5359:V5359)</f>
        <v/>
      </c>
      <c r="E5361" s="57" t="str"/>
      <c r="F5361" s="49" t="str"/>
      <c r="G5361" s="59" t="str"/>
      <c r="H5361" s="64" t="str"/>
      <c r="I5361" s="65" t="str"/>
      <c r="J5361" s="49" t="str"/>
      <c r="K5361" s="41" t="str"/>
      <c r="L5361" s="41" t="str"/>
      <c r="M5361" s="41" t="str"/>
      <c r="N5361" s="41" t="str"/>
      <c r="O5361" s="41" t="str"/>
      <c r="P5361" s="41" t="str"/>
      <c r="Q5361" s="41" t="str"/>
      <c r="R5361" s="41" t="str"/>
      <c r="S5361" s="41" t="str"/>
      <c r="T5361" s="41" t="str"/>
      <c r="U5361" s="41" t="str"/>
      <c r="V5361" s="41" t="str"/>
      <c r="W5361" s="41" t="str"/>
    </row>
    <row r="5362">
      <c r="B5362" s="2" t="n"/>
      <c r="C5362" s="40" t="n"/>
      <c r="D5362" s="52">
        <f t="array" ref="D5362:W5362">IF(All_Students_Scores!C5360:V5360="","",All_Students_Scores!C5360:V5360)</f>
        <v/>
      </c>
      <c r="E5362" s="57" t="str"/>
      <c r="F5362" s="49" t="str"/>
      <c r="G5362" s="59" t="str"/>
      <c r="H5362" s="64" t="str"/>
      <c r="I5362" s="65" t="str"/>
      <c r="J5362" s="49" t="str"/>
      <c r="K5362" s="41" t="str"/>
      <c r="L5362" s="41" t="str"/>
      <c r="M5362" s="41" t="str"/>
      <c r="N5362" s="41" t="str"/>
      <c r="O5362" s="41" t="str"/>
      <c r="P5362" s="41" t="str"/>
      <c r="Q5362" s="41" t="str"/>
      <c r="R5362" s="41" t="str"/>
      <c r="S5362" s="41" t="str"/>
      <c r="T5362" s="41" t="str"/>
      <c r="U5362" s="41" t="str"/>
      <c r="V5362" s="41" t="str"/>
      <c r="W5362" s="41" t="str"/>
    </row>
    <row r="5363">
      <c r="B5363" s="2" t="n"/>
      <c r="C5363" s="40" t="n"/>
      <c r="D5363" s="52">
        <f t="array" ref="D5363:W5363">IF(All_Students_Scores!C5361:V5361="","",All_Students_Scores!C5361:V5361)</f>
        <v/>
      </c>
      <c r="E5363" s="57" t="str"/>
      <c r="F5363" s="49" t="str"/>
      <c r="G5363" s="59" t="str"/>
      <c r="H5363" s="64" t="str"/>
      <c r="I5363" s="65" t="str"/>
      <c r="J5363" s="49" t="str"/>
      <c r="K5363" s="41" t="str"/>
      <c r="L5363" s="41" t="str"/>
      <c r="M5363" s="41" t="str"/>
      <c r="N5363" s="41" t="str"/>
      <c r="O5363" s="41" t="str"/>
      <c r="P5363" s="41" t="str"/>
      <c r="Q5363" s="41" t="str"/>
      <c r="R5363" s="41" t="str"/>
      <c r="S5363" s="41" t="str"/>
      <c r="T5363" s="41" t="str"/>
      <c r="U5363" s="41" t="str"/>
      <c r="V5363" s="41" t="str"/>
      <c r="W5363" s="41" t="str"/>
    </row>
    <row r="5364">
      <c r="B5364" s="2" t="n"/>
      <c r="C5364" s="40" t="n"/>
      <c r="D5364" s="52">
        <f t="array" ref="D5364:W5364">IF(All_Students_Scores!C5362:V5362="","",All_Students_Scores!C5362:V5362)</f>
        <v/>
      </c>
      <c r="E5364" s="57" t="str"/>
      <c r="F5364" s="49" t="str"/>
      <c r="G5364" s="59" t="str"/>
      <c r="H5364" s="64" t="str"/>
      <c r="I5364" s="65" t="str"/>
      <c r="J5364" s="49" t="str"/>
      <c r="K5364" s="41" t="str"/>
      <c r="L5364" s="41" t="str"/>
      <c r="M5364" s="41" t="str"/>
      <c r="N5364" s="41" t="str"/>
      <c r="O5364" s="41" t="str"/>
      <c r="P5364" s="41" t="str"/>
      <c r="Q5364" s="41" t="str"/>
      <c r="R5364" s="41" t="str"/>
      <c r="S5364" s="41" t="str"/>
      <c r="T5364" s="41" t="str"/>
      <c r="U5364" s="41" t="str"/>
      <c r="V5364" s="41" t="str"/>
      <c r="W5364" s="41" t="str"/>
    </row>
    <row r="5365">
      <c r="B5365" s="2" t="n"/>
      <c r="C5365" s="40" t="n"/>
      <c r="D5365" s="52">
        <f t="array" ref="D5365:W5365">IF(All_Students_Scores!C5363:V5363="","",All_Students_Scores!C5363:V5363)</f>
        <v/>
      </c>
      <c r="E5365" s="57" t="str"/>
      <c r="F5365" s="49" t="str"/>
      <c r="G5365" s="59" t="str"/>
      <c r="H5365" s="64" t="str"/>
      <c r="I5365" s="65" t="str"/>
      <c r="J5365" s="49" t="str"/>
      <c r="K5365" s="41" t="str"/>
      <c r="L5365" s="41" t="str"/>
      <c r="M5365" s="41" t="str"/>
      <c r="N5365" s="41" t="str"/>
      <c r="O5365" s="41" t="str"/>
      <c r="P5365" s="41" t="str"/>
      <c r="Q5365" s="41" t="str"/>
      <c r="R5365" s="41" t="str"/>
      <c r="S5365" s="41" t="str"/>
      <c r="T5365" s="41" t="str"/>
      <c r="U5365" s="41" t="str"/>
      <c r="V5365" s="41" t="str"/>
      <c r="W5365" s="41" t="str"/>
    </row>
    <row r="5366">
      <c r="B5366" s="2" t="n"/>
      <c r="C5366" s="40" t="n"/>
      <c r="D5366" s="52">
        <f t="array" ref="D5366:W5366">IF(All_Students_Scores!C5364:V5364="","",All_Students_Scores!C5364:V5364)</f>
        <v/>
      </c>
      <c r="E5366" s="57" t="str"/>
      <c r="F5366" s="49" t="str"/>
      <c r="G5366" s="59" t="str"/>
      <c r="H5366" s="64" t="str"/>
      <c r="I5366" s="65" t="str"/>
      <c r="J5366" s="49" t="str"/>
      <c r="K5366" s="41" t="str"/>
      <c r="L5366" s="41" t="str"/>
      <c r="M5366" s="41" t="str"/>
      <c r="N5366" s="41" t="str"/>
      <c r="O5366" s="41" t="str"/>
      <c r="P5366" s="41" t="str"/>
      <c r="Q5366" s="41" t="str"/>
      <c r="R5366" s="41" t="str"/>
      <c r="S5366" s="41" t="str"/>
      <c r="T5366" s="41" t="str"/>
      <c r="U5366" s="41" t="str"/>
      <c r="V5366" s="41" t="str"/>
      <c r="W5366" s="41" t="str"/>
    </row>
    <row r="5367">
      <c r="B5367" s="2" t="n"/>
      <c r="C5367" s="40" t="n"/>
      <c r="D5367" s="52">
        <f t="array" ref="D5367:W5367">IF(All_Students_Scores!C5365:V5365="","",All_Students_Scores!C5365:V5365)</f>
        <v/>
      </c>
      <c r="E5367" s="57" t="str"/>
      <c r="F5367" s="49" t="str"/>
      <c r="G5367" s="59" t="str"/>
      <c r="H5367" s="64" t="str"/>
      <c r="I5367" s="65" t="str"/>
      <c r="J5367" s="49" t="str"/>
      <c r="K5367" s="41" t="str"/>
      <c r="L5367" s="41" t="str"/>
      <c r="M5367" s="41" t="str"/>
      <c r="N5367" s="41" t="str"/>
      <c r="O5367" s="41" t="str"/>
      <c r="P5367" s="41" t="str"/>
      <c r="Q5367" s="41" t="str"/>
      <c r="R5367" s="41" t="str"/>
      <c r="S5367" s="41" t="str"/>
      <c r="T5367" s="41" t="str"/>
      <c r="U5367" s="41" t="str"/>
      <c r="V5367" s="41" t="str"/>
      <c r="W5367" s="41" t="str"/>
    </row>
    <row r="5368">
      <c r="B5368" s="2" t="n"/>
      <c r="C5368" s="40" t="n"/>
      <c r="D5368" s="52">
        <f t="array" ref="D5368:W5368">IF(All_Students_Scores!C5366:V5366="","",All_Students_Scores!C5366:V5366)</f>
        <v/>
      </c>
      <c r="E5368" s="57" t="str"/>
      <c r="F5368" s="49" t="str"/>
      <c r="G5368" s="59" t="str"/>
      <c r="H5368" s="64" t="str"/>
      <c r="I5368" s="65" t="str"/>
      <c r="J5368" s="49" t="str"/>
      <c r="K5368" s="41" t="str"/>
      <c r="L5368" s="41" t="str"/>
      <c r="M5368" s="41" t="str"/>
      <c r="N5368" s="41" t="str"/>
      <c r="O5368" s="41" t="str"/>
      <c r="P5368" s="41" t="str"/>
      <c r="Q5368" s="41" t="str"/>
      <c r="R5368" s="41" t="str"/>
      <c r="S5368" s="41" t="str"/>
      <c r="T5368" s="41" t="str"/>
      <c r="U5368" s="41" t="str"/>
      <c r="V5368" s="41" t="str"/>
      <c r="W5368" s="41" t="str"/>
    </row>
    <row r="5369">
      <c r="B5369" s="2" t="n"/>
      <c r="C5369" s="40" t="n"/>
      <c r="D5369" s="52">
        <f t="array" ref="D5369:W5369">IF(All_Students_Scores!C5367:V5367="","",All_Students_Scores!C5367:V5367)</f>
        <v/>
      </c>
      <c r="E5369" s="57" t="str"/>
      <c r="F5369" s="49" t="str"/>
      <c r="G5369" s="59" t="str"/>
      <c r="H5369" s="64" t="str"/>
      <c r="I5369" s="65" t="str"/>
      <c r="J5369" s="49" t="str"/>
      <c r="K5369" s="41" t="str"/>
      <c r="L5369" s="41" t="str"/>
      <c r="M5369" s="41" t="str"/>
      <c r="N5369" s="41" t="str"/>
      <c r="O5369" s="41" t="str"/>
      <c r="P5369" s="41" t="str"/>
      <c r="Q5369" s="41" t="str"/>
      <c r="R5369" s="41" t="str"/>
      <c r="S5369" s="41" t="str"/>
      <c r="T5369" s="41" t="str"/>
      <c r="U5369" s="41" t="str"/>
      <c r="V5369" s="41" t="str"/>
      <c r="W5369" s="41" t="str"/>
    </row>
    <row r="5370">
      <c r="B5370" s="2" t="n"/>
      <c r="C5370" s="40" t="n"/>
      <c r="D5370" s="52">
        <f t="array" ref="D5370:W5370">IF(All_Students_Scores!C5368:V5368="","",All_Students_Scores!C5368:V5368)</f>
        <v/>
      </c>
      <c r="E5370" s="57" t="str"/>
      <c r="F5370" s="49" t="str"/>
      <c r="G5370" s="59" t="str"/>
      <c r="H5370" s="64" t="str"/>
      <c r="I5370" s="65" t="str"/>
      <c r="J5370" s="49" t="str"/>
      <c r="K5370" s="41" t="str"/>
      <c r="L5370" s="41" t="str"/>
      <c r="M5370" s="41" t="str"/>
      <c r="N5370" s="41" t="str"/>
      <c r="O5370" s="41" t="str"/>
      <c r="P5370" s="41" t="str"/>
      <c r="Q5370" s="41" t="str"/>
      <c r="R5370" s="41" t="str"/>
      <c r="S5370" s="41" t="str"/>
      <c r="T5370" s="41" t="str"/>
      <c r="U5370" s="41" t="str"/>
      <c r="V5370" s="41" t="str"/>
      <c r="W5370" s="41" t="str"/>
    </row>
    <row r="5371">
      <c r="B5371" s="2" t="n"/>
      <c r="C5371" s="40" t="n"/>
      <c r="D5371" s="52">
        <f t="array" ref="D5371:W5371">IF(All_Students_Scores!C5369:V5369="","",All_Students_Scores!C5369:V5369)</f>
        <v/>
      </c>
      <c r="E5371" s="57" t="str"/>
      <c r="F5371" s="49" t="str"/>
      <c r="G5371" s="59" t="str"/>
      <c r="H5371" s="64" t="str"/>
      <c r="I5371" s="65" t="str"/>
      <c r="J5371" s="49" t="str"/>
      <c r="K5371" s="41" t="str"/>
      <c r="L5371" s="41" t="str"/>
      <c r="M5371" s="41" t="str"/>
      <c r="N5371" s="41" t="str"/>
      <c r="O5371" s="41" t="str"/>
      <c r="P5371" s="41" t="str"/>
      <c r="Q5371" s="41" t="str"/>
      <c r="R5371" s="41" t="str"/>
      <c r="S5371" s="41" t="str"/>
      <c r="T5371" s="41" t="str"/>
      <c r="U5371" s="41" t="str"/>
      <c r="V5371" s="41" t="str"/>
      <c r="W5371" s="41" t="str"/>
    </row>
    <row r="5372">
      <c r="B5372" s="2" t="n"/>
      <c r="C5372" s="40" t="n"/>
      <c r="D5372" s="52">
        <f t="array" ref="D5372:W5372">IF(All_Students_Scores!C5370:V5370="","",All_Students_Scores!C5370:V5370)</f>
        <v/>
      </c>
      <c r="E5372" s="57" t="str"/>
      <c r="F5372" s="49" t="str"/>
      <c r="G5372" s="59" t="str"/>
      <c r="H5372" s="64" t="str"/>
      <c r="I5372" s="65" t="str"/>
      <c r="J5372" s="49" t="str"/>
      <c r="K5372" s="41" t="str"/>
      <c r="L5372" s="41" t="str"/>
      <c r="M5372" s="41" t="str"/>
      <c r="N5372" s="41" t="str"/>
      <c r="O5372" s="41" t="str"/>
      <c r="P5372" s="41" t="str"/>
      <c r="Q5372" s="41" t="str"/>
      <c r="R5372" s="41" t="str"/>
      <c r="S5372" s="41" t="str"/>
      <c r="T5372" s="41" t="str"/>
      <c r="U5372" s="41" t="str"/>
      <c r="V5372" s="41" t="str"/>
      <c r="W5372" s="41" t="str"/>
    </row>
    <row r="5373">
      <c r="B5373" s="2" t="n"/>
      <c r="C5373" s="40" t="n"/>
      <c r="D5373" s="52">
        <f t="array" ref="D5373:W5373">IF(All_Students_Scores!C5371:V5371="","",All_Students_Scores!C5371:V5371)</f>
        <v/>
      </c>
      <c r="E5373" s="57" t="str"/>
      <c r="F5373" s="49" t="str"/>
      <c r="G5373" s="59" t="str"/>
      <c r="H5373" s="64" t="str"/>
      <c r="I5373" s="65" t="str"/>
      <c r="J5373" s="49" t="str"/>
      <c r="K5373" s="41" t="str"/>
      <c r="L5373" s="41" t="str"/>
      <c r="M5373" s="41" t="str"/>
      <c r="N5373" s="41" t="str"/>
      <c r="O5373" s="41" t="str"/>
      <c r="P5373" s="41" t="str"/>
      <c r="Q5373" s="41" t="str"/>
      <c r="R5373" s="41" t="str"/>
      <c r="S5373" s="41" t="str"/>
      <c r="T5373" s="41" t="str"/>
      <c r="U5373" s="41" t="str"/>
      <c r="V5373" s="41" t="str"/>
      <c r="W5373" s="41" t="str"/>
    </row>
    <row r="5374">
      <c r="B5374" s="2" t="n"/>
      <c r="C5374" s="40" t="n"/>
      <c r="D5374" s="52">
        <f t="array" ref="D5374:W5374">IF(All_Students_Scores!C5372:V5372="","",All_Students_Scores!C5372:V5372)</f>
        <v/>
      </c>
      <c r="E5374" s="57" t="str"/>
      <c r="F5374" s="49" t="str"/>
      <c r="G5374" s="59" t="str"/>
      <c r="H5374" s="64" t="str"/>
      <c r="I5374" s="65" t="str"/>
      <c r="J5374" s="49" t="str"/>
      <c r="K5374" s="41" t="str"/>
      <c r="L5374" s="41" t="str"/>
      <c r="M5374" s="41" t="str"/>
      <c r="N5374" s="41" t="str"/>
      <c r="O5374" s="41" t="str"/>
      <c r="P5374" s="41" t="str"/>
      <c r="Q5374" s="41" t="str"/>
      <c r="R5374" s="41" t="str"/>
      <c r="S5374" s="41" t="str"/>
      <c r="T5374" s="41" t="str"/>
      <c r="U5374" s="41" t="str"/>
      <c r="V5374" s="41" t="str"/>
      <c r="W5374" s="41" t="str"/>
    </row>
    <row r="5375">
      <c r="B5375" s="2" t="n"/>
      <c r="C5375" s="40" t="n"/>
      <c r="D5375" s="52">
        <f t="array" ref="D5375:W5375">IF(All_Students_Scores!C5373:V5373="","",All_Students_Scores!C5373:V5373)</f>
        <v/>
      </c>
      <c r="E5375" s="57" t="str"/>
      <c r="F5375" s="49" t="str"/>
      <c r="G5375" s="59" t="str"/>
      <c r="H5375" s="64" t="str"/>
      <c r="I5375" s="65" t="str"/>
      <c r="J5375" s="49" t="str"/>
      <c r="K5375" s="41" t="str"/>
      <c r="L5375" s="41" t="str"/>
      <c r="M5375" s="41" t="str"/>
      <c r="N5375" s="41" t="str"/>
      <c r="O5375" s="41" t="str"/>
      <c r="P5375" s="41" t="str"/>
      <c r="Q5375" s="41" t="str"/>
      <c r="R5375" s="41" t="str"/>
      <c r="S5375" s="41" t="str"/>
      <c r="T5375" s="41" t="str"/>
      <c r="U5375" s="41" t="str"/>
      <c r="V5375" s="41" t="str"/>
      <c r="W5375" s="41" t="str"/>
    </row>
    <row r="5376">
      <c r="B5376" s="2" t="n"/>
      <c r="C5376" s="40" t="n"/>
      <c r="D5376" s="52">
        <f t="array" ref="D5376:W5376">IF(All_Students_Scores!C5374:V5374="","",All_Students_Scores!C5374:V5374)</f>
        <v/>
      </c>
      <c r="E5376" s="57" t="str"/>
      <c r="F5376" s="49" t="str"/>
      <c r="G5376" s="59" t="str"/>
      <c r="H5376" s="64" t="str"/>
      <c r="I5376" s="65" t="str"/>
      <c r="J5376" s="49" t="str"/>
      <c r="K5376" s="41" t="str"/>
      <c r="L5376" s="41" t="str"/>
      <c r="M5376" s="41" t="str"/>
      <c r="N5376" s="41" t="str"/>
      <c r="O5376" s="41" t="str"/>
      <c r="P5376" s="41" t="str"/>
      <c r="Q5376" s="41" t="str"/>
      <c r="R5376" s="41" t="str"/>
      <c r="S5376" s="41" t="str"/>
      <c r="T5376" s="41" t="str"/>
      <c r="U5376" s="41" t="str"/>
      <c r="V5376" s="41" t="str"/>
      <c r="W5376" s="41" t="str"/>
    </row>
    <row r="5377">
      <c r="B5377" s="2" t="n"/>
      <c r="C5377" s="40" t="n"/>
      <c r="D5377" s="52">
        <f t="array" ref="D5377:W5377">IF(All_Students_Scores!C5375:V5375="","",All_Students_Scores!C5375:V5375)</f>
        <v/>
      </c>
      <c r="E5377" s="57" t="str"/>
      <c r="F5377" s="49" t="str"/>
      <c r="G5377" s="59" t="str"/>
      <c r="H5377" s="64" t="str"/>
      <c r="I5377" s="65" t="str"/>
      <c r="J5377" s="49" t="str"/>
      <c r="K5377" s="41" t="str"/>
      <c r="L5377" s="41" t="str"/>
      <c r="M5377" s="41" t="str"/>
      <c r="N5377" s="41" t="str"/>
      <c r="O5377" s="41" t="str"/>
      <c r="P5377" s="41" t="str"/>
      <c r="Q5377" s="41" t="str"/>
      <c r="R5377" s="41" t="str"/>
      <c r="S5377" s="41" t="str"/>
      <c r="T5377" s="41" t="str"/>
      <c r="U5377" s="41" t="str"/>
      <c r="V5377" s="41" t="str"/>
      <c r="W5377" s="41" t="str"/>
    </row>
    <row r="5378">
      <c r="B5378" s="2" t="n"/>
      <c r="C5378" s="40" t="n"/>
      <c r="D5378" s="52">
        <f t="array" ref="D5378:W5378">IF(All_Students_Scores!C5376:V5376="","",All_Students_Scores!C5376:V5376)</f>
        <v/>
      </c>
      <c r="E5378" s="57" t="str"/>
      <c r="F5378" s="49" t="str"/>
      <c r="G5378" s="59" t="str"/>
      <c r="H5378" s="64" t="str"/>
      <c r="I5378" s="65" t="str"/>
      <c r="J5378" s="49" t="str"/>
      <c r="K5378" s="41" t="str"/>
      <c r="L5378" s="41" t="str"/>
      <c r="M5378" s="41" t="str"/>
      <c r="N5378" s="41" t="str"/>
      <c r="O5378" s="41" t="str"/>
      <c r="P5378" s="41" t="str"/>
      <c r="Q5378" s="41" t="str"/>
      <c r="R5378" s="41" t="str"/>
      <c r="S5378" s="41" t="str"/>
      <c r="T5378" s="41" t="str"/>
      <c r="U5378" s="41" t="str"/>
      <c r="V5378" s="41" t="str"/>
      <c r="W5378" s="41" t="str"/>
    </row>
    <row r="5379">
      <c r="B5379" s="2" t="n"/>
      <c r="C5379" s="40" t="n"/>
      <c r="D5379" s="52">
        <f t="array" ref="D5379:W5379">IF(All_Students_Scores!C5377:V5377="","",All_Students_Scores!C5377:V5377)</f>
        <v/>
      </c>
      <c r="E5379" s="57" t="str"/>
      <c r="F5379" s="49" t="str"/>
      <c r="G5379" s="59" t="str"/>
      <c r="H5379" s="64" t="str"/>
      <c r="I5379" s="65" t="str"/>
      <c r="J5379" s="49" t="str"/>
      <c r="K5379" s="41" t="str"/>
      <c r="L5379" s="41" t="str"/>
      <c r="M5379" s="41" t="str"/>
      <c r="N5379" s="41" t="str"/>
      <c r="O5379" s="41" t="str"/>
      <c r="P5379" s="41" t="str"/>
      <c r="Q5379" s="41" t="str"/>
      <c r="R5379" s="41" t="str"/>
      <c r="S5379" s="41" t="str"/>
      <c r="T5379" s="41" t="str"/>
      <c r="U5379" s="41" t="str"/>
      <c r="V5379" s="41" t="str"/>
      <c r="W5379" s="41" t="str"/>
    </row>
    <row r="5380">
      <c r="B5380" s="2" t="n"/>
      <c r="C5380" s="40" t="n"/>
      <c r="D5380" s="52">
        <f t="array" ref="D5380:W5380">IF(All_Students_Scores!C5378:V5378="","",All_Students_Scores!C5378:V5378)</f>
        <v/>
      </c>
      <c r="E5380" s="57" t="str"/>
      <c r="F5380" s="49" t="str"/>
      <c r="G5380" s="59" t="str"/>
      <c r="H5380" s="64" t="str"/>
      <c r="I5380" s="65" t="str"/>
      <c r="J5380" s="49" t="str"/>
      <c r="K5380" s="41" t="str"/>
      <c r="L5380" s="41" t="str"/>
      <c r="M5380" s="41" t="str"/>
      <c r="N5380" s="41" t="str"/>
      <c r="O5380" s="41" t="str"/>
      <c r="P5380" s="41" t="str"/>
      <c r="Q5380" s="41" t="str"/>
      <c r="R5380" s="41" t="str"/>
      <c r="S5380" s="41" t="str"/>
      <c r="T5380" s="41" t="str"/>
      <c r="U5380" s="41" t="str"/>
      <c r="V5380" s="41" t="str"/>
      <c r="W5380" s="41" t="str"/>
    </row>
    <row r="5381">
      <c r="B5381" s="2" t="n"/>
      <c r="C5381" s="40" t="n"/>
      <c r="D5381" s="52">
        <f t="array" ref="D5381:W5381">IF(All_Students_Scores!C5379:V5379="","",All_Students_Scores!C5379:V5379)</f>
        <v/>
      </c>
      <c r="E5381" s="57" t="str"/>
      <c r="F5381" s="49" t="str"/>
      <c r="G5381" s="59" t="str"/>
      <c r="H5381" s="64" t="str"/>
      <c r="I5381" s="65" t="str"/>
      <c r="J5381" s="49" t="str"/>
      <c r="K5381" s="41" t="str"/>
      <c r="L5381" s="41" t="str"/>
      <c r="M5381" s="41" t="str"/>
      <c r="N5381" s="41" t="str"/>
      <c r="O5381" s="41" t="str"/>
      <c r="P5381" s="41" t="str"/>
      <c r="Q5381" s="41" t="str"/>
      <c r="R5381" s="41" t="str"/>
      <c r="S5381" s="41" t="str"/>
      <c r="T5381" s="41" t="str"/>
      <c r="U5381" s="41" t="str"/>
      <c r="V5381" s="41" t="str"/>
      <c r="W5381" s="41" t="str"/>
    </row>
    <row r="5382">
      <c r="B5382" s="2" t="n"/>
      <c r="C5382" s="40" t="n"/>
      <c r="D5382" s="52">
        <f t="array" ref="D5382:W5382">IF(All_Students_Scores!C5380:V5380="","",All_Students_Scores!C5380:V5380)</f>
        <v/>
      </c>
      <c r="E5382" s="57" t="str"/>
      <c r="F5382" s="49" t="str"/>
      <c r="G5382" s="59" t="str"/>
      <c r="H5382" s="64" t="str"/>
      <c r="I5382" s="65" t="str"/>
      <c r="J5382" s="49" t="str"/>
      <c r="K5382" s="41" t="str"/>
      <c r="L5382" s="41" t="str"/>
      <c r="M5382" s="41" t="str"/>
      <c r="N5382" s="41" t="str"/>
      <c r="O5382" s="41" t="str"/>
      <c r="P5382" s="41" t="str"/>
      <c r="Q5382" s="41" t="str"/>
      <c r="R5382" s="41" t="str"/>
      <c r="S5382" s="41" t="str"/>
      <c r="T5382" s="41" t="str"/>
      <c r="U5382" s="41" t="str"/>
      <c r="V5382" s="41" t="str"/>
      <c r="W5382" s="41" t="str"/>
    </row>
    <row r="5383">
      <c r="B5383" s="2" t="n"/>
      <c r="C5383" s="40" t="n"/>
      <c r="D5383" s="52">
        <f t="array" ref="D5383:W5383">IF(All_Students_Scores!C5381:V5381="","",All_Students_Scores!C5381:V5381)</f>
        <v/>
      </c>
      <c r="E5383" s="57" t="str"/>
      <c r="F5383" s="49" t="str"/>
      <c r="G5383" s="59" t="str"/>
      <c r="H5383" s="64" t="str"/>
      <c r="I5383" s="65" t="str"/>
      <c r="J5383" s="49" t="str"/>
      <c r="K5383" s="41" t="str"/>
      <c r="L5383" s="41" t="str"/>
      <c r="M5383" s="41" t="str"/>
      <c r="N5383" s="41" t="str"/>
      <c r="O5383" s="41" t="str"/>
      <c r="P5383" s="41" t="str"/>
      <c r="Q5383" s="41" t="str"/>
      <c r="R5383" s="41" t="str"/>
      <c r="S5383" s="41" t="str"/>
      <c r="T5383" s="41" t="str"/>
      <c r="U5383" s="41" t="str"/>
      <c r="V5383" s="41" t="str"/>
      <c r="W5383" s="41" t="str"/>
    </row>
    <row r="5384">
      <c r="B5384" s="2" t="n"/>
      <c r="C5384" s="40" t="n"/>
      <c r="D5384" s="52">
        <f t="array" ref="D5384:W5384">IF(All_Students_Scores!C5382:V5382="","",All_Students_Scores!C5382:V5382)</f>
        <v/>
      </c>
      <c r="E5384" s="57" t="str"/>
      <c r="F5384" s="49" t="str"/>
      <c r="G5384" s="59" t="str"/>
      <c r="H5384" s="64" t="str"/>
      <c r="I5384" s="65" t="str"/>
      <c r="J5384" s="49" t="str"/>
      <c r="K5384" s="41" t="str"/>
      <c r="L5384" s="41" t="str"/>
      <c r="M5384" s="41" t="str"/>
      <c r="N5384" s="41" t="str"/>
      <c r="O5384" s="41" t="str"/>
      <c r="P5384" s="41" t="str"/>
      <c r="Q5384" s="41" t="str"/>
      <c r="R5384" s="41" t="str"/>
      <c r="S5384" s="41" t="str"/>
      <c r="T5384" s="41" t="str"/>
      <c r="U5384" s="41" t="str"/>
      <c r="V5384" s="41" t="str"/>
      <c r="W5384" s="41" t="str"/>
    </row>
    <row r="5385">
      <c r="B5385" s="2" t="n"/>
      <c r="C5385" s="40" t="n"/>
      <c r="D5385" s="52">
        <f t="array" ref="D5385:W5385">IF(All_Students_Scores!C5383:V5383="","",All_Students_Scores!C5383:V5383)</f>
        <v/>
      </c>
      <c r="E5385" s="57" t="str"/>
      <c r="F5385" s="49" t="str"/>
      <c r="G5385" s="59" t="str"/>
      <c r="H5385" s="64" t="str"/>
      <c r="I5385" s="65" t="str"/>
      <c r="J5385" s="49" t="str"/>
      <c r="K5385" s="41" t="str"/>
      <c r="L5385" s="41" t="str"/>
      <c r="M5385" s="41" t="str"/>
      <c r="N5385" s="41" t="str"/>
      <c r="O5385" s="41" t="str"/>
      <c r="P5385" s="41" t="str"/>
      <c r="Q5385" s="41" t="str"/>
      <c r="R5385" s="41" t="str"/>
      <c r="S5385" s="41" t="str"/>
      <c r="T5385" s="41" t="str"/>
      <c r="U5385" s="41" t="str"/>
      <c r="V5385" s="41" t="str"/>
      <c r="W5385" s="41" t="str"/>
    </row>
    <row r="5386">
      <c r="B5386" s="2" t="n"/>
      <c r="C5386" s="40" t="n"/>
      <c r="D5386" s="52">
        <f t="array" ref="D5386:W5386">IF(All_Students_Scores!C5384:V5384="","",All_Students_Scores!C5384:V5384)</f>
        <v/>
      </c>
      <c r="E5386" s="57" t="str"/>
      <c r="F5386" s="49" t="str"/>
      <c r="G5386" s="59" t="str"/>
      <c r="H5386" s="64" t="str"/>
      <c r="I5386" s="65" t="str"/>
      <c r="J5386" s="49" t="str"/>
      <c r="K5386" s="41" t="str"/>
      <c r="L5386" s="41" t="str"/>
      <c r="M5386" s="41" t="str"/>
      <c r="N5386" s="41" t="str"/>
      <c r="O5386" s="41" t="str"/>
      <c r="P5386" s="41" t="str"/>
      <c r="Q5386" s="41" t="str"/>
      <c r="R5386" s="41" t="str"/>
      <c r="S5386" s="41" t="str"/>
      <c r="T5386" s="41" t="str"/>
      <c r="U5386" s="41" t="str"/>
      <c r="V5386" s="41" t="str"/>
      <c r="W5386" s="41" t="str"/>
    </row>
    <row r="5387">
      <c r="B5387" s="2" t="n"/>
      <c r="C5387" s="40" t="n"/>
      <c r="D5387" s="52">
        <f t="array" ref="D5387:W5387">IF(All_Students_Scores!C5385:V5385="","",All_Students_Scores!C5385:V5385)</f>
        <v/>
      </c>
      <c r="E5387" s="57" t="str"/>
      <c r="F5387" s="49" t="str"/>
      <c r="G5387" s="59" t="str"/>
      <c r="H5387" s="64" t="str"/>
      <c r="I5387" s="65" t="str"/>
      <c r="J5387" s="49" t="str"/>
      <c r="K5387" s="41" t="str"/>
      <c r="L5387" s="41" t="str"/>
      <c r="M5387" s="41" t="str"/>
      <c r="N5387" s="41" t="str"/>
      <c r="O5387" s="41" t="str"/>
      <c r="P5387" s="41" t="str"/>
      <c r="Q5387" s="41" t="str"/>
      <c r="R5387" s="41" t="str"/>
      <c r="S5387" s="41" t="str"/>
      <c r="T5387" s="41" t="str"/>
      <c r="U5387" s="41" t="str"/>
      <c r="V5387" s="41" t="str"/>
      <c r="W5387" s="41" t="str"/>
    </row>
    <row r="5388">
      <c r="B5388" s="2" t="n"/>
      <c r="C5388" s="40" t="n"/>
      <c r="D5388" s="52">
        <f t="array" ref="D5388:W5388">IF(All_Students_Scores!C5386:V5386="","",All_Students_Scores!C5386:V5386)</f>
        <v/>
      </c>
      <c r="E5388" s="57" t="str"/>
      <c r="F5388" s="49" t="str"/>
      <c r="G5388" s="59" t="str"/>
      <c r="H5388" s="64" t="str"/>
      <c r="I5388" s="65" t="str"/>
      <c r="J5388" s="49" t="str"/>
      <c r="K5388" s="41" t="str"/>
      <c r="L5388" s="41" t="str"/>
      <c r="M5388" s="41" t="str"/>
      <c r="N5388" s="41" t="str"/>
      <c r="O5388" s="41" t="str"/>
      <c r="P5388" s="41" t="str"/>
      <c r="Q5388" s="41" t="str"/>
      <c r="R5388" s="41" t="str"/>
      <c r="S5388" s="41" t="str"/>
      <c r="T5388" s="41" t="str"/>
      <c r="U5388" s="41" t="str"/>
      <c r="V5388" s="41" t="str"/>
      <c r="W5388" s="41" t="str"/>
    </row>
    <row r="5389">
      <c r="B5389" s="2" t="n"/>
      <c r="C5389" s="40" t="n"/>
      <c r="D5389" s="52">
        <f t="array" ref="D5389:W5389">IF(All_Students_Scores!C5387:V5387="","",All_Students_Scores!C5387:V5387)</f>
        <v/>
      </c>
      <c r="E5389" s="57" t="str"/>
      <c r="F5389" s="49" t="str"/>
      <c r="G5389" s="59" t="str"/>
      <c r="H5389" s="64" t="str"/>
      <c r="I5389" s="65" t="str"/>
      <c r="J5389" s="49" t="str"/>
      <c r="K5389" s="41" t="str"/>
      <c r="L5389" s="41" t="str"/>
      <c r="M5389" s="41" t="str"/>
      <c r="N5389" s="41" t="str"/>
      <c r="O5389" s="41" t="str"/>
      <c r="P5389" s="41" t="str"/>
      <c r="Q5389" s="41" t="str"/>
      <c r="R5389" s="41" t="str"/>
      <c r="S5389" s="41" t="str"/>
      <c r="T5389" s="41" t="str"/>
      <c r="U5389" s="41" t="str"/>
      <c r="V5389" s="41" t="str"/>
      <c r="W5389" s="41" t="str"/>
    </row>
    <row r="5390">
      <c r="B5390" s="2" t="n"/>
      <c r="C5390" s="40" t="n"/>
      <c r="D5390" s="52">
        <f t="array" ref="D5390:W5390">IF(All_Students_Scores!C5388:V5388="","",All_Students_Scores!C5388:V5388)</f>
        <v/>
      </c>
      <c r="E5390" s="57" t="str"/>
      <c r="F5390" s="49" t="str"/>
      <c r="G5390" s="59" t="str"/>
      <c r="H5390" s="64" t="str"/>
      <c r="I5390" s="65" t="str"/>
      <c r="J5390" s="49" t="str"/>
      <c r="K5390" s="41" t="str"/>
      <c r="L5390" s="41" t="str"/>
      <c r="M5390" s="41" t="str"/>
      <c r="N5390" s="41" t="str"/>
      <c r="O5390" s="41" t="str"/>
      <c r="P5390" s="41" t="str"/>
      <c r="Q5390" s="41" t="str"/>
      <c r="R5390" s="41" t="str"/>
      <c r="S5390" s="41" t="str"/>
      <c r="T5390" s="41" t="str"/>
      <c r="U5390" s="41" t="str"/>
      <c r="V5390" s="41" t="str"/>
      <c r="W5390" s="41" t="str"/>
    </row>
    <row r="5391">
      <c r="B5391" s="2" t="n"/>
      <c r="C5391" s="40" t="n"/>
      <c r="D5391" s="52">
        <f t="array" ref="D5391:W5391">IF(All_Students_Scores!C5389:V5389="","",All_Students_Scores!C5389:V5389)</f>
        <v/>
      </c>
      <c r="E5391" s="57" t="str"/>
      <c r="F5391" s="49" t="str"/>
      <c r="G5391" s="59" t="str"/>
      <c r="H5391" s="64" t="str"/>
      <c r="I5391" s="65" t="str"/>
      <c r="J5391" s="49" t="str"/>
      <c r="K5391" s="41" t="str"/>
      <c r="L5391" s="41" t="str"/>
      <c r="M5391" s="41" t="str"/>
      <c r="N5391" s="41" t="str"/>
      <c r="O5391" s="41" t="str"/>
      <c r="P5391" s="41" t="str"/>
      <c r="Q5391" s="41" t="str"/>
      <c r="R5391" s="41" t="str"/>
      <c r="S5391" s="41" t="str"/>
      <c r="T5391" s="41" t="str"/>
      <c r="U5391" s="41" t="str"/>
      <c r="V5391" s="41" t="str"/>
      <c r="W5391" s="41" t="str"/>
    </row>
    <row r="5392">
      <c r="B5392" s="2" t="n"/>
      <c r="C5392" s="40" t="n"/>
      <c r="D5392" s="52">
        <f t="array" ref="D5392:W5392">IF(All_Students_Scores!C5390:V5390="","",All_Students_Scores!C5390:V5390)</f>
        <v/>
      </c>
      <c r="E5392" s="57" t="str"/>
      <c r="F5392" s="49" t="str"/>
      <c r="G5392" s="59" t="str"/>
      <c r="H5392" s="64" t="str"/>
      <c r="I5392" s="65" t="str"/>
      <c r="J5392" s="49" t="str"/>
      <c r="K5392" s="41" t="str"/>
      <c r="L5392" s="41" t="str"/>
      <c r="M5392" s="41" t="str"/>
      <c r="N5392" s="41" t="str"/>
      <c r="O5392" s="41" t="str"/>
      <c r="P5392" s="41" t="str"/>
      <c r="Q5392" s="41" t="str"/>
      <c r="R5392" s="41" t="str"/>
      <c r="S5392" s="41" t="str"/>
      <c r="T5392" s="41" t="str"/>
      <c r="U5392" s="41" t="str"/>
      <c r="V5392" s="41" t="str"/>
      <c r="W5392" s="41" t="str"/>
    </row>
    <row r="5393">
      <c r="B5393" s="2" t="n"/>
      <c r="C5393" s="40" t="n"/>
      <c r="D5393" s="52">
        <f t="array" ref="D5393:W5393">IF(All_Students_Scores!C5391:V5391="","",All_Students_Scores!C5391:V5391)</f>
        <v/>
      </c>
      <c r="E5393" s="57" t="str"/>
      <c r="F5393" s="49" t="str"/>
      <c r="G5393" s="59" t="str"/>
      <c r="H5393" s="64" t="str"/>
      <c r="I5393" s="65" t="str"/>
      <c r="J5393" s="49" t="str"/>
      <c r="K5393" s="41" t="str"/>
      <c r="L5393" s="41" t="str"/>
      <c r="M5393" s="41" t="str"/>
      <c r="N5393" s="41" t="str"/>
      <c r="O5393" s="41" t="str"/>
      <c r="P5393" s="41" t="str"/>
      <c r="Q5393" s="41" t="str"/>
      <c r="R5393" s="41" t="str"/>
      <c r="S5393" s="41" t="str"/>
      <c r="T5393" s="41" t="str"/>
      <c r="U5393" s="41" t="str"/>
      <c r="V5393" s="41" t="str"/>
      <c r="W5393" s="41" t="str"/>
    </row>
    <row r="5394">
      <c r="B5394" s="2" t="n"/>
      <c r="C5394" s="40" t="n"/>
      <c r="D5394" s="52">
        <f t="array" ref="D5394:W5394">IF(All_Students_Scores!C5392:V5392="","",All_Students_Scores!C5392:V5392)</f>
        <v/>
      </c>
      <c r="E5394" s="57" t="str"/>
      <c r="F5394" s="49" t="str"/>
      <c r="G5394" s="59" t="str"/>
      <c r="H5394" s="64" t="str"/>
      <c r="I5394" s="65" t="str"/>
      <c r="J5394" s="49" t="str"/>
      <c r="K5394" s="41" t="str"/>
      <c r="L5394" s="41" t="str"/>
      <c r="M5394" s="41" t="str"/>
      <c r="N5394" s="41" t="str"/>
      <c r="O5394" s="41" t="str"/>
      <c r="P5394" s="41" t="str"/>
      <c r="Q5394" s="41" t="str"/>
      <c r="R5394" s="41" t="str"/>
      <c r="S5394" s="41" t="str"/>
      <c r="T5394" s="41" t="str"/>
      <c r="U5394" s="41" t="str"/>
      <c r="V5394" s="41" t="str"/>
      <c r="W5394" s="41" t="str"/>
    </row>
    <row r="5395">
      <c r="B5395" s="2" t="n"/>
      <c r="C5395" s="40" t="n"/>
      <c r="D5395" s="52">
        <f t="array" ref="D5395:W5395">IF(All_Students_Scores!C5393:V5393="","",All_Students_Scores!C5393:V5393)</f>
        <v/>
      </c>
      <c r="E5395" s="57" t="str"/>
      <c r="F5395" s="49" t="str"/>
      <c r="G5395" s="59" t="str"/>
      <c r="H5395" s="64" t="str"/>
      <c r="I5395" s="65" t="str"/>
      <c r="J5395" s="49" t="str"/>
      <c r="K5395" s="41" t="str"/>
      <c r="L5395" s="41" t="str"/>
      <c r="M5395" s="41" t="str"/>
      <c r="N5395" s="41" t="str"/>
      <c r="O5395" s="41" t="str"/>
      <c r="P5395" s="41" t="str"/>
      <c r="Q5395" s="41" t="str"/>
      <c r="R5395" s="41" t="str"/>
      <c r="S5395" s="41" t="str"/>
      <c r="T5395" s="41" t="str"/>
      <c r="U5395" s="41" t="str"/>
      <c r="V5395" s="41" t="str"/>
      <c r="W5395" s="41" t="str"/>
    </row>
    <row r="5396">
      <c r="B5396" s="2" t="n"/>
      <c r="C5396" s="40" t="n"/>
      <c r="D5396" s="52">
        <f t="array" ref="D5396:W5396">IF(All_Students_Scores!C5394:V5394="","",All_Students_Scores!C5394:V5394)</f>
        <v/>
      </c>
      <c r="E5396" s="57" t="str"/>
      <c r="F5396" s="49" t="str"/>
      <c r="G5396" s="59" t="str"/>
      <c r="H5396" s="64" t="str"/>
      <c r="I5396" s="65" t="str"/>
      <c r="J5396" s="49" t="str"/>
      <c r="K5396" s="41" t="str"/>
      <c r="L5396" s="41" t="str"/>
      <c r="M5396" s="41" t="str"/>
      <c r="N5396" s="41" t="str"/>
      <c r="O5396" s="41" t="str"/>
      <c r="P5396" s="41" t="str"/>
      <c r="Q5396" s="41" t="str"/>
      <c r="R5396" s="41" t="str"/>
      <c r="S5396" s="41" t="str"/>
      <c r="T5396" s="41" t="str"/>
      <c r="U5396" s="41" t="str"/>
      <c r="V5396" s="41" t="str"/>
      <c r="W5396" s="41" t="str"/>
    </row>
    <row r="5397">
      <c r="B5397" s="2" t="n"/>
      <c r="C5397" s="40" t="n"/>
      <c r="D5397" s="52">
        <f t="array" ref="D5397:W5397">IF(All_Students_Scores!C5395:V5395="","",All_Students_Scores!C5395:V5395)</f>
        <v/>
      </c>
      <c r="E5397" s="57" t="str"/>
      <c r="F5397" s="49" t="str"/>
      <c r="G5397" s="59" t="str"/>
      <c r="H5397" s="64" t="str"/>
      <c r="I5397" s="65" t="str"/>
      <c r="J5397" s="49" t="str"/>
      <c r="K5397" s="41" t="str"/>
      <c r="L5397" s="41" t="str"/>
      <c r="M5397" s="41" t="str"/>
      <c r="N5397" s="41" t="str"/>
      <c r="O5397" s="41" t="str"/>
      <c r="P5397" s="41" t="str"/>
      <c r="Q5397" s="41" t="str"/>
      <c r="R5397" s="41" t="str"/>
      <c r="S5397" s="41" t="str"/>
      <c r="T5397" s="41" t="str"/>
      <c r="U5397" s="41" t="str"/>
      <c r="V5397" s="41" t="str"/>
      <c r="W5397" s="41" t="str"/>
    </row>
    <row r="5398">
      <c r="B5398" s="2" t="n"/>
      <c r="C5398" s="40" t="n"/>
      <c r="D5398" s="52">
        <f t="array" ref="D5398:W5398">IF(All_Students_Scores!C5396:V5396="","",All_Students_Scores!C5396:V5396)</f>
        <v/>
      </c>
      <c r="E5398" s="57" t="str"/>
      <c r="F5398" s="49" t="str"/>
      <c r="G5398" s="59" t="str"/>
      <c r="H5398" s="64" t="str"/>
      <c r="I5398" s="65" t="str"/>
      <c r="J5398" s="49" t="str"/>
      <c r="K5398" s="41" t="str"/>
      <c r="L5398" s="41" t="str"/>
      <c r="M5398" s="41" t="str"/>
      <c r="N5398" s="41" t="str"/>
      <c r="O5398" s="41" t="str"/>
      <c r="P5398" s="41" t="str"/>
      <c r="Q5398" s="41" t="str"/>
      <c r="R5398" s="41" t="str"/>
      <c r="S5398" s="41" t="str"/>
      <c r="T5398" s="41" t="str"/>
      <c r="U5398" s="41" t="str"/>
      <c r="V5398" s="41" t="str"/>
      <c r="W5398" s="41" t="str"/>
    </row>
    <row r="5399">
      <c r="B5399" s="2" t="n"/>
      <c r="C5399" s="40" t="n"/>
      <c r="D5399" s="52">
        <f t="array" ref="D5399:W5399">IF(All_Students_Scores!C5397:V5397="","",All_Students_Scores!C5397:V5397)</f>
        <v/>
      </c>
      <c r="E5399" s="57" t="str"/>
      <c r="F5399" s="49" t="str"/>
      <c r="G5399" s="59" t="str"/>
      <c r="H5399" s="64" t="str"/>
      <c r="I5399" s="65" t="str"/>
      <c r="J5399" s="49" t="str"/>
      <c r="K5399" s="41" t="str"/>
      <c r="L5399" s="41" t="str"/>
      <c r="M5399" s="41" t="str"/>
      <c r="N5399" s="41" t="str"/>
      <c r="O5399" s="41" t="str"/>
      <c r="P5399" s="41" t="str"/>
      <c r="Q5399" s="41" t="str"/>
      <c r="R5399" s="41" t="str"/>
      <c r="S5399" s="41" t="str"/>
      <c r="T5399" s="41" t="str"/>
      <c r="U5399" s="41" t="str"/>
      <c r="V5399" s="41" t="str"/>
      <c r="W5399" s="41" t="str"/>
    </row>
    <row r="5400">
      <c r="B5400" s="2" t="n"/>
      <c r="C5400" s="40" t="n"/>
      <c r="D5400" s="52">
        <f t="array" ref="D5400:W5400">IF(All_Students_Scores!C5398:V5398="","",All_Students_Scores!C5398:V5398)</f>
        <v/>
      </c>
      <c r="E5400" s="57" t="str"/>
      <c r="F5400" s="49" t="str"/>
      <c r="G5400" s="59" t="str"/>
      <c r="H5400" s="64" t="str"/>
      <c r="I5400" s="65" t="str"/>
      <c r="J5400" s="49" t="str"/>
      <c r="K5400" s="41" t="str"/>
      <c r="L5400" s="41" t="str"/>
      <c r="M5400" s="41" t="str"/>
      <c r="N5400" s="41" t="str"/>
      <c r="O5400" s="41" t="str"/>
      <c r="P5400" s="41" t="str"/>
      <c r="Q5400" s="41" t="str"/>
      <c r="R5400" s="41" t="str"/>
      <c r="S5400" s="41" t="str"/>
      <c r="T5400" s="41" t="str"/>
      <c r="U5400" s="41" t="str"/>
      <c r="V5400" s="41" t="str"/>
      <c r="W5400" s="41" t="str"/>
    </row>
    <row r="5401">
      <c r="B5401" s="2" t="n"/>
      <c r="C5401" s="40" t="n"/>
      <c r="D5401" s="52">
        <f t="array" ref="D5401:W5401">IF(All_Students_Scores!C5399:V5399="","",All_Students_Scores!C5399:V5399)</f>
        <v/>
      </c>
      <c r="E5401" s="57" t="str"/>
      <c r="F5401" s="49" t="str"/>
      <c r="G5401" s="59" t="str"/>
      <c r="H5401" s="64" t="str"/>
      <c r="I5401" s="65" t="str"/>
      <c r="J5401" s="49" t="str"/>
      <c r="K5401" s="41" t="str"/>
      <c r="L5401" s="41" t="str"/>
      <c r="M5401" s="41" t="str"/>
      <c r="N5401" s="41" t="str"/>
      <c r="O5401" s="41" t="str"/>
      <c r="P5401" s="41" t="str"/>
      <c r="Q5401" s="41" t="str"/>
      <c r="R5401" s="41" t="str"/>
      <c r="S5401" s="41" t="str"/>
      <c r="T5401" s="41" t="str"/>
      <c r="U5401" s="41" t="str"/>
      <c r="V5401" s="41" t="str"/>
      <c r="W5401" s="41" t="str"/>
    </row>
    <row r="5402">
      <c r="B5402" s="2" t="n"/>
      <c r="C5402" s="40" t="n"/>
      <c r="D5402" s="52">
        <f t="array" ref="D5402:W5402">IF(All_Students_Scores!C5400:V5400="","",All_Students_Scores!C5400:V5400)</f>
        <v/>
      </c>
      <c r="E5402" s="57" t="str"/>
      <c r="F5402" s="49" t="str"/>
      <c r="G5402" s="59" t="str"/>
      <c r="H5402" s="64" t="str"/>
      <c r="I5402" s="65" t="str"/>
      <c r="J5402" s="49" t="str"/>
      <c r="K5402" s="41" t="str"/>
      <c r="L5402" s="41" t="str"/>
      <c r="M5402" s="41" t="str"/>
      <c r="N5402" s="41" t="str"/>
      <c r="O5402" s="41" t="str"/>
      <c r="P5402" s="41" t="str"/>
      <c r="Q5402" s="41" t="str"/>
      <c r="R5402" s="41" t="str"/>
      <c r="S5402" s="41" t="str"/>
      <c r="T5402" s="41" t="str"/>
      <c r="U5402" s="41" t="str"/>
      <c r="V5402" s="41" t="str"/>
      <c r="W5402" s="41" t="str"/>
    </row>
    <row r="5403">
      <c r="B5403" s="2" t="n"/>
      <c r="C5403" s="40" t="n"/>
      <c r="D5403" s="52">
        <f t="array" ref="D5403:W5403">IF(All_Students_Scores!C5401:V5401="","",All_Students_Scores!C5401:V5401)</f>
        <v/>
      </c>
      <c r="E5403" s="57" t="str"/>
      <c r="F5403" s="49" t="str"/>
      <c r="G5403" s="59" t="str"/>
      <c r="H5403" s="64" t="str"/>
      <c r="I5403" s="65" t="str"/>
      <c r="J5403" s="49" t="str"/>
      <c r="K5403" s="41" t="str"/>
      <c r="L5403" s="41" t="str"/>
      <c r="M5403" s="41" t="str"/>
      <c r="N5403" s="41" t="str"/>
      <c r="O5403" s="41" t="str"/>
      <c r="P5403" s="41" t="str"/>
      <c r="Q5403" s="41" t="str"/>
      <c r="R5403" s="41" t="str"/>
      <c r="S5403" s="41" t="str"/>
      <c r="T5403" s="41" t="str"/>
      <c r="U5403" s="41" t="str"/>
      <c r="V5403" s="41" t="str"/>
      <c r="W5403" s="41" t="str"/>
    </row>
    <row r="5404">
      <c r="B5404" s="2" t="n"/>
      <c r="C5404" s="40" t="n"/>
      <c r="D5404" s="52">
        <f t="array" ref="D5404:W5404">IF(All_Students_Scores!C5402:V5402="","",All_Students_Scores!C5402:V5402)</f>
        <v/>
      </c>
      <c r="E5404" s="57" t="str"/>
      <c r="F5404" s="49" t="str"/>
      <c r="G5404" s="59" t="str"/>
      <c r="H5404" s="64" t="str"/>
      <c r="I5404" s="65" t="str"/>
      <c r="J5404" s="49" t="str"/>
      <c r="K5404" s="41" t="str"/>
      <c r="L5404" s="41" t="str"/>
      <c r="M5404" s="41" t="str"/>
      <c r="N5404" s="41" t="str"/>
      <c r="O5404" s="41" t="str"/>
      <c r="P5404" s="41" t="str"/>
      <c r="Q5404" s="41" t="str"/>
      <c r="R5404" s="41" t="str"/>
      <c r="S5404" s="41" t="str"/>
      <c r="T5404" s="41" t="str"/>
      <c r="U5404" s="41" t="str"/>
      <c r="V5404" s="41" t="str"/>
      <c r="W5404" s="41" t="str"/>
    </row>
    <row r="5405">
      <c r="B5405" s="2" t="n"/>
      <c r="C5405" s="40" t="n"/>
      <c r="D5405" s="52">
        <f t="array" ref="D5405:W5405">IF(All_Students_Scores!C5403:V5403="","",All_Students_Scores!C5403:V5403)</f>
        <v/>
      </c>
      <c r="E5405" s="57" t="str"/>
      <c r="F5405" s="49" t="str"/>
      <c r="G5405" s="59" t="str"/>
      <c r="H5405" s="64" t="str"/>
      <c r="I5405" s="65" t="str"/>
      <c r="J5405" s="49" t="str"/>
      <c r="K5405" s="41" t="str"/>
      <c r="L5405" s="41" t="str"/>
      <c r="M5405" s="41" t="str"/>
      <c r="N5405" s="41" t="str"/>
      <c r="O5405" s="41" t="str"/>
      <c r="P5405" s="41" t="str"/>
      <c r="Q5405" s="41" t="str"/>
      <c r="R5405" s="41" t="str"/>
      <c r="S5405" s="41" t="str"/>
      <c r="T5405" s="41" t="str"/>
      <c r="U5405" s="41" t="str"/>
      <c r="V5405" s="41" t="str"/>
      <c r="W5405" s="41" t="str"/>
    </row>
    <row r="5406">
      <c r="B5406" s="2" t="n"/>
      <c r="C5406" s="40" t="n"/>
      <c r="D5406" s="52">
        <f t="array" ref="D5406:W5406">IF(All_Students_Scores!C5404:V5404="","",All_Students_Scores!C5404:V5404)</f>
        <v/>
      </c>
      <c r="E5406" s="57" t="str"/>
      <c r="F5406" s="49" t="str"/>
      <c r="G5406" s="59" t="str"/>
      <c r="H5406" s="64" t="str"/>
      <c r="I5406" s="65" t="str"/>
      <c r="J5406" s="49" t="str"/>
      <c r="K5406" s="41" t="str"/>
      <c r="L5406" s="41" t="str"/>
      <c r="M5406" s="41" t="str"/>
      <c r="N5406" s="41" t="str"/>
      <c r="O5406" s="41" t="str"/>
      <c r="P5406" s="41" t="str"/>
      <c r="Q5406" s="41" t="str"/>
      <c r="R5406" s="41" t="str"/>
      <c r="S5406" s="41" t="str"/>
      <c r="T5406" s="41" t="str"/>
      <c r="U5406" s="41" t="str"/>
      <c r="V5406" s="41" t="str"/>
      <c r="W5406" s="41" t="str"/>
    </row>
    <row r="5407">
      <c r="B5407" s="2" t="n"/>
      <c r="C5407" s="40" t="n"/>
      <c r="D5407" s="52">
        <f t="array" ref="D5407:W5407">IF(All_Students_Scores!C5405:V5405="","",All_Students_Scores!C5405:V5405)</f>
        <v/>
      </c>
      <c r="E5407" s="57" t="str"/>
      <c r="F5407" s="49" t="str"/>
      <c r="G5407" s="59" t="str"/>
      <c r="H5407" s="64" t="str"/>
      <c r="I5407" s="65" t="str"/>
      <c r="J5407" s="49" t="str"/>
      <c r="K5407" s="41" t="str"/>
      <c r="L5407" s="41" t="str"/>
      <c r="M5407" s="41" t="str"/>
      <c r="N5407" s="41" t="str"/>
      <c r="O5407" s="41" t="str"/>
      <c r="P5407" s="41" t="str"/>
      <c r="Q5407" s="41" t="str"/>
      <c r="R5407" s="41" t="str"/>
      <c r="S5407" s="41" t="str"/>
      <c r="T5407" s="41" t="str"/>
      <c r="U5407" s="41" t="str"/>
      <c r="V5407" s="41" t="str"/>
      <c r="W5407" s="41" t="str"/>
    </row>
    <row r="5408">
      <c r="B5408" s="2" t="n"/>
      <c r="C5408" s="40" t="n"/>
      <c r="D5408" s="52">
        <f t="array" ref="D5408:W5408">IF(All_Students_Scores!C5406:V5406="","",All_Students_Scores!C5406:V5406)</f>
        <v/>
      </c>
      <c r="E5408" s="57" t="str"/>
      <c r="F5408" s="49" t="str"/>
      <c r="G5408" s="59" t="str"/>
      <c r="H5408" s="64" t="str"/>
      <c r="I5408" s="65" t="str"/>
      <c r="J5408" s="49" t="str"/>
      <c r="K5408" s="41" t="str"/>
      <c r="L5408" s="41" t="str"/>
      <c r="M5408" s="41" t="str"/>
      <c r="N5408" s="41" t="str"/>
      <c r="O5408" s="41" t="str"/>
      <c r="P5408" s="41" t="str"/>
      <c r="Q5408" s="41" t="str"/>
      <c r="R5408" s="41" t="str"/>
      <c r="S5408" s="41" t="str"/>
      <c r="T5408" s="41" t="str"/>
      <c r="U5408" s="41" t="str"/>
      <c r="V5408" s="41" t="str"/>
      <c r="W5408" s="41" t="str"/>
    </row>
    <row r="5409">
      <c r="B5409" s="2" t="n"/>
      <c r="C5409" s="40" t="n"/>
      <c r="D5409" s="52">
        <f t="array" ref="D5409:W5409">IF(All_Students_Scores!C5407:V5407="","",All_Students_Scores!C5407:V5407)</f>
        <v/>
      </c>
      <c r="E5409" s="57" t="str"/>
      <c r="F5409" s="49" t="str"/>
      <c r="G5409" s="59" t="str"/>
      <c r="H5409" s="64" t="str"/>
      <c r="I5409" s="65" t="str"/>
      <c r="J5409" s="49" t="str"/>
      <c r="K5409" s="41" t="str"/>
      <c r="L5409" s="41" t="str"/>
      <c r="M5409" s="41" t="str"/>
      <c r="N5409" s="41" t="str"/>
      <c r="O5409" s="41" t="str"/>
      <c r="P5409" s="41" t="str"/>
      <c r="Q5409" s="41" t="str"/>
      <c r="R5409" s="41" t="str"/>
      <c r="S5409" s="41" t="str"/>
      <c r="T5409" s="41" t="str"/>
      <c r="U5409" s="41" t="str"/>
      <c r="V5409" s="41" t="str"/>
      <c r="W5409" s="41" t="str"/>
    </row>
    <row r="5410">
      <c r="B5410" s="2" t="n"/>
      <c r="C5410" s="40" t="n"/>
      <c r="D5410" s="52">
        <f t="array" ref="D5410:W5410">IF(All_Students_Scores!C5408:V5408="","",All_Students_Scores!C5408:V5408)</f>
        <v/>
      </c>
      <c r="E5410" s="57" t="str"/>
      <c r="F5410" s="49" t="str"/>
      <c r="G5410" s="59" t="str"/>
      <c r="H5410" s="64" t="str"/>
      <c r="I5410" s="65" t="str"/>
      <c r="J5410" s="49" t="str"/>
      <c r="K5410" s="41" t="str"/>
      <c r="L5410" s="41" t="str"/>
      <c r="M5410" s="41" t="str"/>
      <c r="N5410" s="41" t="str"/>
      <c r="O5410" s="41" t="str"/>
      <c r="P5410" s="41" t="str"/>
      <c r="Q5410" s="41" t="str"/>
      <c r="R5410" s="41" t="str"/>
      <c r="S5410" s="41" t="str"/>
      <c r="T5410" s="41" t="str"/>
      <c r="U5410" s="41" t="str"/>
      <c r="V5410" s="41" t="str"/>
      <c r="W5410" s="41" t="str"/>
    </row>
    <row r="5411">
      <c r="B5411" s="2" t="n"/>
      <c r="C5411" s="40" t="n"/>
      <c r="D5411" s="52">
        <f t="array" ref="D5411:W5411">IF(All_Students_Scores!C5409:V5409="","",All_Students_Scores!C5409:V5409)</f>
        <v/>
      </c>
      <c r="E5411" s="57" t="str"/>
      <c r="F5411" s="49" t="str"/>
      <c r="G5411" s="59" t="str"/>
      <c r="H5411" s="64" t="str"/>
      <c r="I5411" s="65" t="str"/>
      <c r="J5411" s="49" t="str"/>
      <c r="K5411" s="41" t="str"/>
      <c r="L5411" s="41" t="str"/>
      <c r="M5411" s="41" t="str"/>
      <c r="N5411" s="41" t="str"/>
      <c r="O5411" s="41" t="str"/>
      <c r="P5411" s="41" t="str"/>
      <c r="Q5411" s="41" t="str"/>
      <c r="R5411" s="41" t="str"/>
      <c r="S5411" s="41" t="str"/>
      <c r="T5411" s="41" t="str"/>
      <c r="U5411" s="41" t="str"/>
      <c r="V5411" s="41" t="str"/>
      <c r="W5411" s="41" t="str"/>
    </row>
    <row r="5412">
      <c r="B5412" s="2" t="n"/>
      <c r="C5412" s="40" t="n"/>
      <c r="D5412" s="52">
        <f t="array" ref="D5412:W5412">IF(All_Students_Scores!C5410:V5410="","",All_Students_Scores!C5410:V5410)</f>
        <v/>
      </c>
      <c r="E5412" s="57" t="str"/>
      <c r="F5412" s="49" t="str"/>
      <c r="G5412" s="59" t="str"/>
      <c r="H5412" s="64" t="str"/>
      <c r="I5412" s="65" t="str"/>
      <c r="J5412" s="49" t="str"/>
      <c r="K5412" s="41" t="str"/>
      <c r="L5412" s="41" t="str"/>
      <c r="M5412" s="41" t="str"/>
      <c r="N5412" s="41" t="str"/>
      <c r="O5412" s="41" t="str"/>
      <c r="P5412" s="41" t="str"/>
      <c r="Q5412" s="41" t="str"/>
      <c r="R5412" s="41" t="str"/>
      <c r="S5412" s="41" t="str"/>
      <c r="T5412" s="41" t="str"/>
      <c r="U5412" s="41" t="str"/>
      <c r="V5412" s="41" t="str"/>
      <c r="W5412" s="41" t="str"/>
    </row>
    <row r="5413">
      <c r="B5413" s="2" t="n"/>
      <c r="C5413" s="40" t="n"/>
      <c r="D5413" s="52">
        <f t="array" ref="D5413:W5413">IF(All_Students_Scores!C5411:V5411="","",All_Students_Scores!C5411:V5411)</f>
        <v/>
      </c>
      <c r="E5413" s="57" t="str"/>
      <c r="F5413" s="49" t="str"/>
      <c r="G5413" s="59" t="str"/>
      <c r="H5413" s="64" t="str"/>
      <c r="I5413" s="65" t="str"/>
      <c r="J5413" s="49" t="str"/>
      <c r="K5413" s="41" t="str"/>
      <c r="L5413" s="41" t="str"/>
      <c r="M5413" s="41" t="str"/>
      <c r="N5413" s="41" t="str"/>
      <c r="O5413" s="41" t="str"/>
      <c r="P5413" s="41" t="str"/>
      <c r="Q5413" s="41" t="str"/>
      <c r="R5413" s="41" t="str"/>
      <c r="S5413" s="41" t="str"/>
      <c r="T5413" s="41" t="str"/>
      <c r="U5413" s="41" t="str"/>
      <c r="V5413" s="41" t="str"/>
      <c r="W5413" s="41" t="str"/>
    </row>
    <row r="5414">
      <c r="B5414" s="2" t="n"/>
      <c r="C5414" s="40" t="n"/>
      <c r="D5414" s="52">
        <f t="array" ref="D5414:W5414">IF(All_Students_Scores!C5412:V5412="","",All_Students_Scores!C5412:V5412)</f>
        <v/>
      </c>
      <c r="E5414" s="57" t="str"/>
      <c r="F5414" s="49" t="str"/>
      <c r="G5414" s="59" t="str"/>
      <c r="H5414" s="64" t="str"/>
      <c r="I5414" s="65" t="str"/>
      <c r="J5414" s="49" t="str"/>
      <c r="K5414" s="41" t="str"/>
      <c r="L5414" s="41" t="str"/>
      <c r="M5414" s="41" t="str"/>
      <c r="N5414" s="41" t="str"/>
      <c r="O5414" s="41" t="str"/>
      <c r="P5414" s="41" t="str"/>
      <c r="Q5414" s="41" t="str"/>
      <c r="R5414" s="41" t="str"/>
      <c r="S5414" s="41" t="str"/>
      <c r="T5414" s="41" t="str"/>
      <c r="U5414" s="41" t="str"/>
      <c r="V5414" s="41" t="str"/>
      <c r="W5414" s="41" t="str"/>
    </row>
    <row r="5415">
      <c r="B5415" s="2" t="n"/>
      <c r="C5415" s="40" t="n"/>
      <c r="D5415" s="52">
        <f t="array" ref="D5415:W5415">IF(All_Students_Scores!C5413:V5413="","",All_Students_Scores!C5413:V5413)</f>
        <v/>
      </c>
      <c r="E5415" s="57" t="str"/>
      <c r="F5415" s="49" t="str"/>
      <c r="G5415" s="59" t="str"/>
      <c r="H5415" s="64" t="str"/>
      <c r="I5415" s="65" t="str"/>
      <c r="J5415" s="49" t="str"/>
      <c r="K5415" s="41" t="str"/>
      <c r="L5415" s="41" t="str"/>
      <c r="M5415" s="41" t="str"/>
      <c r="N5415" s="41" t="str"/>
      <c r="O5415" s="41" t="str"/>
      <c r="P5415" s="41" t="str"/>
      <c r="Q5415" s="41" t="str"/>
      <c r="R5415" s="41" t="str"/>
      <c r="S5415" s="41" t="str"/>
      <c r="T5415" s="41" t="str"/>
      <c r="U5415" s="41" t="str"/>
      <c r="V5415" s="41" t="str"/>
      <c r="W5415" s="41" t="str"/>
    </row>
    <row r="5416">
      <c r="B5416" s="2" t="n"/>
      <c r="C5416" s="40" t="n"/>
      <c r="D5416" s="52">
        <f t="array" ref="D5416:W5416">IF(All_Students_Scores!C5414:V5414="","",All_Students_Scores!C5414:V5414)</f>
        <v/>
      </c>
      <c r="E5416" s="57" t="str"/>
      <c r="F5416" s="49" t="str"/>
      <c r="G5416" s="59" t="str"/>
      <c r="H5416" s="64" t="str"/>
      <c r="I5416" s="65" t="str"/>
      <c r="J5416" s="49" t="str"/>
      <c r="K5416" s="41" t="str"/>
      <c r="L5416" s="41" t="str"/>
      <c r="M5416" s="41" t="str"/>
      <c r="N5416" s="41" t="str"/>
      <c r="O5416" s="41" t="str"/>
      <c r="P5416" s="41" t="str"/>
      <c r="Q5416" s="41" t="str"/>
      <c r="R5416" s="41" t="str"/>
      <c r="S5416" s="41" t="str"/>
      <c r="T5416" s="41" t="str"/>
      <c r="U5416" s="41" t="str"/>
      <c r="V5416" s="41" t="str"/>
      <c r="W5416" s="41" t="str"/>
    </row>
    <row r="5417">
      <c r="B5417" s="2" t="n"/>
      <c r="C5417" s="40" t="n"/>
      <c r="D5417" s="52">
        <f t="array" ref="D5417:W5417">IF(All_Students_Scores!C5415:V5415="","",All_Students_Scores!C5415:V5415)</f>
        <v/>
      </c>
      <c r="E5417" s="57" t="str"/>
      <c r="F5417" s="49" t="str"/>
      <c r="G5417" s="59" t="str"/>
      <c r="H5417" s="64" t="str"/>
      <c r="I5417" s="65" t="str"/>
      <c r="J5417" s="49" t="str"/>
      <c r="K5417" s="41" t="str"/>
      <c r="L5417" s="41" t="str"/>
      <c r="M5417" s="41" t="str"/>
      <c r="N5417" s="41" t="str"/>
      <c r="O5417" s="41" t="str"/>
      <c r="P5417" s="41" t="str"/>
      <c r="Q5417" s="41" t="str"/>
      <c r="R5417" s="41" t="str"/>
      <c r="S5417" s="41" t="str"/>
      <c r="T5417" s="41" t="str"/>
      <c r="U5417" s="41" t="str"/>
      <c r="V5417" s="41" t="str"/>
      <c r="W5417" s="41" t="str"/>
    </row>
    <row r="5418">
      <c r="B5418" s="2" t="n"/>
      <c r="C5418" s="40" t="n"/>
      <c r="D5418" s="52">
        <f t="array" ref="D5418:W5418">IF(All_Students_Scores!C5416:V5416="","",All_Students_Scores!C5416:V5416)</f>
        <v/>
      </c>
      <c r="E5418" s="57" t="str"/>
      <c r="F5418" s="49" t="str"/>
      <c r="G5418" s="59" t="str"/>
      <c r="H5418" s="64" t="str"/>
      <c r="I5418" s="65" t="str"/>
      <c r="J5418" s="49" t="str"/>
      <c r="K5418" s="41" t="str"/>
      <c r="L5418" s="41" t="str"/>
      <c r="M5418" s="41" t="str"/>
      <c r="N5418" s="41" t="str"/>
      <c r="O5418" s="41" t="str"/>
      <c r="P5418" s="41" t="str"/>
      <c r="Q5418" s="41" t="str"/>
      <c r="R5418" s="41" t="str"/>
      <c r="S5418" s="41" t="str"/>
      <c r="T5418" s="41" t="str"/>
      <c r="U5418" s="41" t="str"/>
      <c r="V5418" s="41" t="str"/>
      <c r="W5418" s="41" t="str"/>
    </row>
    <row r="5419">
      <c r="B5419" s="2" t="n"/>
      <c r="C5419" s="40" t="n"/>
      <c r="D5419" s="52">
        <f t="array" ref="D5419:W5419">IF(All_Students_Scores!C5417:V5417="","",All_Students_Scores!C5417:V5417)</f>
        <v/>
      </c>
      <c r="E5419" s="57" t="str"/>
      <c r="F5419" s="49" t="str"/>
      <c r="G5419" s="59" t="str"/>
      <c r="H5419" s="64" t="str"/>
      <c r="I5419" s="65" t="str"/>
      <c r="J5419" s="49" t="str"/>
      <c r="K5419" s="41" t="str"/>
      <c r="L5419" s="41" t="str"/>
      <c r="M5419" s="41" t="str"/>
      <c r="N5419" s="41" t="str"/>
      <c r="O5419" s="41" t="str"/>
      <c r="P5419" s="41" t="str"/>
      <c r="Q5419" s="41" t="str"/>
      <c r="R5419" s="41" t="str"/>
      <c r="S5419" s="41" t="str"/>
      <c r="T5419" s="41" t="str"/>
      <c r="U5419" s="41" t="str"/>
      <c r="V5419" s="41" t="str"/>
      <c r="W5419" s="41" t="str"/>
    </row>
    <row r="5420">
      <c r="B5420" s="2" t="n"/>
      <c r="C5420" s="40" t="n"/>
      <c r="D5420" s="52">
        <f t="array" ref="D5420:W5420">IF(All_Students_Scores!C5418:V5418="","",All_Students_Scores!C5418:V5418)</f>
        <v/>
      </c>
      <c r="E5420" s="57" t="str"/>
      <c r="F5420" s="49" t="str"/>
      <c r="G5420" s="59" t="str"/>
      <c r="H5420" s="64" t="str"/>
      <c r="I5420" s="65" t="str"/>
      <c r="J5420" s="49" t="str"/>
      <c r="K5420" s="41" t="str"/>
      <c r="L5420" s="41" t="str"/>
      <c r="M5420" s="41" t="str"/>
      <c r="N5420" s="41" t="str"/>
      <c r="O5420" s="41" t="str"/>
      <c r="P5420" s="41" t="str"/>
      <c r="Q5420" s="41" t="str"/>
      <c r="R5420" s="41" t="str"/>
      <c r="S5420" s="41" t="str"/>
      <c r="T5420" s="41" t="str"/>
      <c r="U5420" s="41" t="str"/>
      <c r="V5420" s="41" t="str"/>
      <c r="W5420" s="41" t="str"/>
    </row>
    <row r="5421">
      <c r="B5421" s="2" t="n"/>
      <c r="C5421" s="40" t="n"/>
      <c r="D5421" s="52">
        <f t="array" ref="D5421:W5421">IF(All_Students_Scores!C5419:V5419="","",All_Students_Scores!C5419:V5419)</f>
        <v/>
      </c>
      <c r="E5421" s="57" t="str"/>
      <c r="F5421" s="49" t="str"/>
      <c r="G5421" s="59" t="str"/>
      <c r="H5421" s="64" t="str"/>
      <c r="I5421" s="65" t="str"/>
      <c r="J5421" s="49" t="str"/>
      <c r="K5421" s="41" t="str"/>
      <c r="L5421" s="41" t="str"/>
      <c r="M5421" s="41" t="str"/>
      <c r="N5421" s="41" t="str"/>
      <c r="O5421" s="41" t="str"/>
      <c r="P5421" s="41" t="str"/>
      <c r="Q5421" s="41" t="str"/>
      <c r="R5421" s="41" t="str"/>
      <c r="S5421" s="41" t="str"/>
      <c r="T5421" s="41" t="str"/>
      <c r="U5421" s="41" t="str"/>
      <c r="V5421" s="41" t="str"/>
      <c r="W5421" s="41" t="str"/>
    </row>
    <row r="5422">
      <c r="B5422" s="2" t="n"/>
      <c r="C5422" s="40" t="n"/>
      <c r="D5422" s="52">
        <f t="array" ref="D5422:W5422">IF(All_Students_Scores!C5420:V5420="","",All_Students_Scores!C5420:V5420)</f>
        <v/>
      </c>
      <c r="E5422" s="57" t="str"/>
      <c r="F5422" s="49" t="str"/>
      <c r="G5422" s="59" t="str"/>
      <c r="H5422" s="64" t="str"/>
      <c r="I5422" s="65" t="str"/>
      <c r="J5422" s="49" t="str"/>
      <c r="K5422" s="41" t="str"/>
      <c r="L5422" s="41" t="str"/>
      <c r="M5422" s="41" t="str"/>
      <c r="N5422" s="41" t="str"/>
      <c r="O5422" s="41" t="str"/>
      <c r="P5422" s="41" t="str"/>
      <c r="Q5422" s="41" t="str"/>
      <c r="R5422" s="41" t="str"/>
      <c r="S5422" s="41" t="str"/>
      <c r="T5422" s="41" t="str"/>
      <c r="U5422" s="41" t="str"/>
      <c r="V5422" s="41" t="str"/>
      <c r="W5422" s="41" t="str"/>
    </row>
    <row r="5423">
      <c r="B5423" s="2" t="n"/>
      <c r="C5423" s="40" t="n"/>
      <c r="D5423" s="52">
        <f t="array" ref="D5423:W5423">IF(All_Students_Scores!C5421:V5421="","",All_Students_Scores!C5421:V5421)</f>
        <v/>
      </c>
      <c r="E5423" s="57" t="str"/>
      <c r="F5423" s="49" t="str"/>
      <c r="G5423" s="59" t="str"/>
      <c r="H5423" s="64" t="str"/>
      <c r="I5423" s="65" t="str"/>
      <c r="J5423" s="49" t="str"/>
      <c r="K5423" s="41" t="str"/>
      <c r="L5423" s="41" t="str"/>
      <c r="M5423" s="41" t="str"/>
      <c r="N5423" s="41" t="str"/>
      <c r="O5423" s="41" t="str"/>
      <c r="P5423" s="41" t="str"/>
      <c r="Q5423" s="41" t="str"/>
      <c r="R5423" s="41" t="str"/>
      <c r="S5423" s="41" t="str"/>
      <c r="T5423" s="41" t="str"/>
      <c r="U5423" s="41" t="str"/>
      <c r="V5423" s="41" t="str"/>
      <c r="W5423" s="41" t="str"/>
    </row>
    <row r="5424">
      <c r="B5424" s="2" t="n"/>
      <c r="C5424" s="40" t="n"/>
      <c r="D5424" s="52">
        <f t="array" ref="D5424:W5424">IF(All_Students_Scores!C5422:V5422="","",All_Students_Scores!C5422:V5422)</f>
        <v/>
      </c>
      <c r="E5424" s="57" t="str"/>
      <c r="F5424" s="49" t="str"/>
      <c r="G5424" s="59" t="str"/>
      <c r="H5424" s="64" t="str"/>
      <c r="I5424" s="65" t="str"/>
      <c r="J5424" s="49" t="str"/>
      <c r="K5424" s="41" t="str"/>
      <c r="L5424" s="41" t="str"/>
      <c r="M5424" s="41" t="str"/>
      <c r="N5424" s="41" t="str"/>
      <c r="O5424" s="41" t="str"/>
      <c r="P5424" s="41" t="str"/>
      <c r="Q5424" s="41" t="str"/>
      <c r="R5424" s="41" t="str"/>
      <c r="S5424" s="41" t="str"/>
      <c r="T5424" s="41" t="str"/>
      <c r="U5424" s="41" t="str"/>
      <c r="V5424" s="41" t="str"/>
      <c r="W5424" s="41" t="str"/>
    </row>
    <row r="5425">
      <c r="B5425" s="2" t="n"/>
      <c r="C5425" s="40" t="n"/>
      <c r="D5425" s="52">
        <f t="array" ref="D5425:W5425">IF(All_Students_Scores!C5423:V5423="","",All_Students_Scores!C5423:V5423)</f>
        <v/>
      </c>
      <c r="E5425" s="57" t="str"/>
      <c r="F5425" s="49" t="str"/>
      <c r="G5425" s="59" t="str"/>
      <c r="H5425" s="64" t="str"/>
      <c r="I5425" s="65" t="str"/>
      <c r="J5425" s="49" t="str"/>
      <c r="K5425" s="41" t="str"/>
      <c r="L5425" s="41" t="str"/>
      <c r="M5425" s="41" t="str"/>
      <c r="N5425" s="41" t="str"/>
      <c r="O5425" s="41" t="str"/>
      <c r="P5425" s="41" t="str"/>
      <c r="Q5425" s="41" t="str"/>
      <c r="R5425" s="41" t="str"/>
      <c r="S5425" s="41" t="str"/>
      <c r="T5425" s="41" t="str"/>
      <c r="U5425" s="41" t="str"/>
      <c r="V5425" s="41" t="str"/>
      <c r="W5425" s="41" t="str"/>
    </row>
    <row r="5426">
      <c r="B5426" s="2" t="n"/>
      <c r="C5426" s="40" t="n"/>
      <c r="D5426" s="52">
        <f t="array" ref="D5426:W5426">IF(All_Students_Scores!C5424:V5424="","",All_Students_Scores!C5424:V5424)</f>
        <v/>
      </c>
      <c r="E5426" s="57" t="str"/>
      <c r="F5426" s="49" t="str"/>
      <c r="G5426" s="59" t="str"/>
      <c r="H5426" s="64" t="str"/>
      <c r="I5426" s="65" t="str"/>
      <c r="J5426" s="49" t="str"/>
      <c r="K5426" s="41" t="str"/>
      <c r="L5426" s="41" t="str"/>
      <c r="M5426" s="41" t="str"/>
      <c r="N5426" s="41" t="str"/>
      <c r="O5426" s="41" t="str"/>
      <c r="P5426" s="41" t="str"/>
      <c r="Q5426" s="41" t="str"/>
      <c r="R5426" s="41" t="str"/>
      <c r="S5426" s="41" t="str"/>
      <c r="T5426" s="41" t="str"/>
      <c r="U5426" s="41" t="str"/>
      <c r="V5426" s="41" t="str"/>
      <c r="W5426" s="41" t="str"/>
    </row>
    <row r="5427">
      <c r="B5427" s="2" t="n"/>
      <c r="C5427" s="40" t="n"/>
      <c r="D5427" s="52">
        <f t="array" ref="D5427:W5427">IF(All_Students_Scores!C5425:V5425="","",All_Students_Scores!C5425:V5425)</f>
        <v/>
      </c>
      <c r="E5427" s="57" t="str"/>
      <c r="F5427" s="49" t="str"/>
      <c r="G5427" s="59" t="str"/>
      <c r="H5427" s="64" t="str"/>
      <c r="I5427" s="65" t="str"/>
      <c r="J5427" s="49" t="str"/>
      <c r="K5427" s="41" t="str"/>
      <c r="L5427" s="41" t="str"/>
      <c r="M5427" s="41" t="str"/>
      <c r="N5427" s="41" t="str"/>
      <c r="O5427" s="41" t="str"/>
      <c r="P5427" s="41" t="str"/>
      <c r="Q5427" s="41" t="str"/>
      <c r="R5427" s="41" t="str"/>
      <c r="S5427" s="41" t="str"/>
      <c r="T5427" s="41" t="str"/>
      <c r="U5427" s="41" t="str"/>
      <c r="V5427" s="41" t="str"/>
      <c r="W5427" s="41" t="str"/>
    </row>
    <row r="5428">
      <c r="B5428" s="2" t="n"/>
      <c r="C5428" s="40" t="n"/>
      <c r="D5428" s="52">
        <f t="array" ref="D5428:W5428">IF(All_Students_Scores!C5426:V5426="","",All_Students_Scores!C5426:V5426)</f>
        <v/>
      </c>
      <c r="E5428" s="57" t="str"/>
      <c r="F5428" s="49" t="str"/>
      <c r="G5428" s="59" t="str"/>
      <c r="H5428" s="64" t="str"/>
      <c r="I5428" s="65" t="str"/>
      <c r="J5428" s="49" t="str"/>
      <c r="K5428" s="41" t="str"/>
      <c r="L5428" s="41" t="str"/>
      <c r="M5428" s="41" t="str"/>
      <c r="N5428" s="41" t="str"/>
      <c r="O5428" s="41" t="str"/>
      <c r="P5428" s="41" t="str"/>
      <c r="Q5428" s="41" t="str"/>
      <c r="R5428" s="41" t="str"/>
      <c r="S5428" s="41" t="str"/>
      <c r="T5428" s="41" t="str"/>
      <c r="U5428" s="41" t="str"/>
      <c r="V5428" s="41" t="str"/>
      <c r="W5428" s="41" t="str"/>
    </row>
    <row r="5429">
      <c r="B5429" s="2" t="n"/>
      <c r="C5429" s="40" t="n"/>
      <c r="D5429" s="52">
        <f t="array" ref="D5429:W5429">IF(All_Students_Scores!C5427:V5427="","",All_Students_Scores!C5427:V5427)</f>
        <v/>
      </c>
      <c r="E5429" s="57" t="str"/>
      <c r="F5429" s="49" t="str"/>
      <c r="G5429" s="59" t="str"/>
      <c r="H5429" s="64" t="str"/>
      <c r="I5429" s="65" t="str"/>
      <c r="J5429" s="49" t="str"/>
      <c r="K5429" s="41" t="str"/>
      <c r="L5429" s="41" t="str"/>
      <c r="M5429" s="41" t="str"/>
      <c r="N5429" s="41" t="str"/>
      <c r="O5429" s="41" t="str"/>
      <c r="P5429" s="41" t="str"/>
      <c r="Q5429" s="41" t="str"/>
      <c r="R5429" s="41" t="str"/>
      <c r="S5429" s="41" t="str"/>
      <c r="T5429" s="41" t="str"/>
      <c r="U5429" s="41" t="str"/>
      <c r="V5429" s="41" t="str"/>
      <c r="W5429" s="41" t="str"/>
    </row>
    <row r="5430">
      <c r="B5430" s="2" t="n"/>
      <c r="C5430" s="40" t="n"/>
      <c r="D5430" s="52">
        <f t="array" ref="D5430:W5430">IF(All_Students_Scores!C5428:V5428="","",All_Students_Scores!C5428:V5428)</f>
        <v/>
      </c>
      <c r="E5430" s="57" t="str"/>
      <c r="F5430" s="49" t="str"/>
      <c r="G5430" s="59" t="str"/>
      <c r="H5430" s="64" t="str"/>
      <c r="I5430" s="65" t="str"/>
      <c r="J5430" s="49" t="str"/>
      <c r="K5430" s="41" t="str"/>
      <c r="L5430" s="41" t="str"/>
      <c r="M5430" s="41" t="str"/>
      <c r="N5430" s="41" t="str"/>
      <c r="O5430" s="41" t="str"/>
      <c r="P5430" s="41" t="str"/>
      <c r="Q5430" s="41" t="str"/>
      <c r="R5430" s="41" t="str"/>
      <c r="S5430" s="41" t="str"/>
      <c r="T5430" s="41" t="str"/>
      <c r="U5430" s="41" t="str"/>
      <c r="V5430" s="41" t="str"/>
      <c r="W5430" s="41" t="str"/>
    </row>
    <row r="5431">
      <c r="B5431" s="2" t="n"/>
      <c r="C5431" s="40" t="n"/>
      <c r="D5431" s="52">
        <f t="array" ref="D5431:W5431">IF(All_Students_Scores!C5429:V5429="","",All_Students_Scores!C5429:V5429)</f>
        <v/>
      </c>
      <c r="E5431" s="57" t="str"/>
      <c r="F5431" s="49" t="str"/>
      <c r="G5431" s="59" t="str"/>
      <c r="H5431" s="64" t="str"/>
      <c r="I5431" s="65" t="str"/>
      <c r="J5431" s="49" t="str"/>
      <c r="K5431" s="41" t="str"/>
      <c r="L5431" s="41" t="str"/>
      <c r="M5431" s="41" t="str"/>
      <c r="N5431" s="41" t="str"/>
      <c r="O5431" s="41" t="str"/>
      <c r="P5431" s="41" t="str"/>
      <c r="Q5431" s="41" t="str"/>
      <c r="R5431" s="41" t="str"/>
      <c r="S5431" s="41" t="str"/>
      <c r="T5431" s="41" t="str"/>
      <c r="U5431" s="41" t="str"/>
      <c r="V5431" s="41" t="str"/>
      <c r="W5431" s="41" t="str"/>
    </row>
    <row r="5432">
      <c r="B5432" s="2" t="n"/>
      <c r="C5432" s="40" t="n"/>
      <c r="D5432" s="52">
        <f t="array" ref="D5432:W5432">IF(All_Students_Scores!C5430:V5430="","",All_Students_Scores!C5430:V5430)</f>
        <v/>
      </c>
      <c r="E5432" s="57" t="str"/>
      <c r="F5432" s="49" t="str"/>
      <c r="G5432" s="59" t="str"/>
      <c r="H5432" s="64" t="str"/>
      <c r="I5432" s="65" t="str"/>
      <c r="J5432" s="49" t="str"/>
      <c r="K5432" s="41" t="str"/>
      <c r="L5432" s="41" t="str"/>
      <c r="M5432" s="41" t="str"/>
      <c r="N5432" s="41" t="str"/>
      <c r="O5432" s="41" t="str"/>
      <c r="P5432" s="41" t="str"/>
      <c r="Q5432" s="41" t="str"/>
      <c r="R5432" s="41" t="str"/>
      <c r="S5432" s="41" t="str"/>
      <c r="T5432" s="41" t="str"/>
      <c r="U5432" s="41" t="str"/>
      <c r="V5432" s="41" t="str"/>
      <c r="W5432" s="41" t="str"/>
    </row>
    <row r="5433">
      <c r="B5433" s="2" t="n"/>
      <c r="C5433" s="40" t="n"/>
      <c r="D5433" s="52">
        <f t="array" ref="D5433:W5433">IF(All_Students_Scores!C5431:V5431="","",All_Students_Scores!C5431:V5431)</f>
        <v/>
      </c>
      <c r="E5433" s="57" t="str"/>
      <c r="F5433" s="49" t="str"/>
      <c r="G5433" s="59" t="str"/>
      <c r="H5433" s="64" t="str"/>
      <c r="I5433" s="65" t="str"/>
      <c r="J5433" s="49" t="str"/>
      <c r="K5433" s="41" t="str"/>
      <c r="L5433" s="41" t="str"/>
      <c r="M5433" s="41" t="str"/>
      <c r="N5433" s="41" t="str"/>
      <c r="O5433" s="41" t="str"/>
      <c r="P5433" s="41" t="str"/>
      <c r="Q5433" s="41" t="str"/>
      <c r="R5433" s="41" t="str"/>
      <c r="S5433" s="41" t="str"/>
      <c r="T5433" s="41" t="str"/>
      <c r="U5433" s="41" t="str"/>
      <c r="V5433" s="41" t="str"/>
      <c r="W5433" s="41" t="str"/>
    </row>
    <row r="5434">
      <c r="B5434" s="2" t="n"/>
      <c r="C5434" s="40" t="n"/>
      <c r="D5434" s="52">
        <f t="array" ref="D5434:W5434">IF(All_Students_Scores!C5432:V5432="","",All_Students_Scores!C5432:V5432)</f>
        <v/>
      </c>
      <c r="E5434" s="57" t="str"/>
      <c r="F5434" s="49" t="str"/>
      <c r="G5434" s="59" t="str"/>
      <c r="H5434" s="64" t="str"/>
      <c r="I5434" s="65" t="str"/>
      <c r="J5434" s="49" t="str"/>
      <c r="K5434" s="41" t="str"/>
      <c r="L5434" s="41" t="str"/>
      <c r="M5434" s="41" t="str"/>
      <c r="N5434" s="41" t="str"/>
      <c r="O5434" s="41" t="str"/>
      <c r="P5434" s="41" t="str"/>
      <c r="Q5434" s="41" t="str"/>
      <c r="R5434" s="41" t="str"/>
      <c r="S5434" s="41" t="str"/>
      <c r="T5434" s="41" t="str"/>
      <c r="U5434" s="41" t="str"/>
      <c r="V5434" s="41" t="str"/>
      <c r="W5434" s="41" t="str"/>
    </row>
    <row r="5435">
      <c r="B5435" s="2" t="n"/>
      <c r="C5435" s="40" t="n"/>
      <c r="D5435" s="52">
        <f t="array" ref="D5435:W5435">IF(All_Students_Scores!C5433:V5433="","",All_Students_Scores!C5433:V5433)</f>
        <v/>
      </c>
      <c r="E5435" s="57" t="str"/>
      <c r="F5435" s="49" t="str"/>
      <c r="G5435" s="59" t="str"/>
      <c r="H5435" s="64" t="str"/>
      <c r="I5435" s="65" t="str"/>
      <c r="J5435" s="49" t="str"/>
      <c r="K5435" s="41" t="str"/>
      <c r="L5435" s="41" t="str"/>
      <c r="M5435" s="41" t="str"/>
      <c r="N5435" s="41" t="str"/>
      <c r="O5435" s="41" t="str"/>
      <c r="P5435" s="41" t="str"/>
      <c r="Q5435" s="41" t="str"/>
      <c r="R5435" s="41" t="str"/>
      <c r="S5435" s="41" t="str"/>
      <c r="T5435" s="41" t="str"/>
      <c r="U5435" s="41" t="str"/>
      <c r="V5435" s="41" t="str"/>
      <c r="W5435" s="41" t="str"/>
    </row>
    <row r="5436">
      <c r="B5436" s="2" t="n"/>
      <c r="C5436" s="40" t="n"/>
      <c r="D5436" s="52">
        <f t="array" ref="D5436:W5436">IF(All_Students_Scores!C5434:V5434="","",All_Students_Scores!C5434:V5434)</f>
        <v/>
      </c>
      <c r="E5436" s="57" t="str"/>
      <c r="F5436" s="49" t="str"/>
      <c r="G5436" s="59" t="str"/>
      <c r="H5436" s="64" t="str"/>
      <c r="I5436" s="65" t="str"/>
      <c r="J5436" s="49" t="str"/>
      <c r="K5436" s="41" t="str"/>
      <c r="L5436" s="41" t="str"/>
      <c r="M5436" s="41" t="str"/>
      <c r="N5436" s="41" t="str"/>
      <c r="O5436" s="41" t="str"/>
      <c r="P5436" s="41" t="str"/>
      <c r="Q5436" s="41" t="str"/>
      <c r="R5436" s="41" t="str"/>
      <c r="S5436" s="41" t="str"/>
      <c r="T5436" s="41" t="str"/>
      <c r="U5436" s="41" t="str"/>
      <c r="V5436" s="41" t="str"/>
      <c r="W5436" s="41" t="str"/>
    </row>
    <row r="5437">
      <c r="B5437" s="2" t="n"/>
      <c r="C5437" s="40" t="n"/>
      <c r="D5437" s="52">
        <f t="array" ref="D5437:W5437">IF(All_Students_Scores!C5435:V5435="","",All_Students_Scores!C5435:V5435)</f>
        <v/>
      </c>
      <c r="E5437" s="57" t="str"/>
      <c r="F5437" s="49" t="str"/>
      <c r="G5437" s="59" t="str"/>
      <c r="H5437" s="64" t="str"/>
      <c r="I5437" s="65" t="str"/>
      <c r="J5437" s="49" t="str"/>
      <c r="K5437" s="41" t="str"/>
      <c r="L5437" s="41" t="str"/>
      <c r="M5437" s="41" t="str"/>
      <c r="N5437" s="41" t="str"/>
      <c r="O5437" s="41" t="str"/>
      <c r="P5437" s="41" t="str"/>
      <c r="Q5437" s="41" t="str"/>
      <c r="R5437" s="41" t="str"/>
      <c r="S5437" s="41" t="str"/>
      <c r="T5437" s="41" t="str"/>
      <c r="U5437" s="41" t="str"/>
      <c r="V5437" s="41" t="str"/>
      <c r="W5437" s="41" t="str"/>
    </row>
    <row r="5438">
      <c r="B5438" s="2" t="n"/>
      <c r="C5438" s="40" t="n"/>
      <c r="D5438" s="52">
        <f t="array" ref="D5438:W5438">IF(All_Students_Scores!C5436:V5436="","",All_Students_Scores!C5436:V5436)</f>
        <v/>
      </c>
      <c r="E5438" s="57" t="str"/>
      <c r="F5438" s="49" t="str"/>
      <c r="G5438" s="59" t="str"/>
      <c r="H5438" s="64" t="str"/>
      <c r="I5438" s="65" t="str"/>
      <c r="J5438" s="49" t="str"/>
      <c r="K5438" s="41" t="str"/>
      <c r="L5438" s="41" t="str"/>
      <c r="M5438" s="41" t="str"/>
      <c r="N5438" s="41" t="str"/>
      <c r="O5438" s="41" t="str"/>
      <c r="P5438" s="41" t="str"/>
      <c r="Q5438" s="41" t="str"/>
      <c r="R5438" s="41" t="str"/>
      <c r="S5438" s="41" t="str"/>
      <c r="T5438" s="41" t="str"/>
      <c r="U5438" s="41" t="str"/>
      <c r="V5438" s="41" t="str"/>
      <c r="W5438" s="41" t="str"/>
    </row>
    <row r="5439">
      <c r="B5439" s="2" t="n"/>
      <c r="C5439" s="40" t="n"/>
      <c r="D5439" s="52">
        <f t="array" ref="D5439:W5439">IF(All_Students_Scores!C5437:V5437="","",All_Students_Scores!C5437:V5437)</f>
        <v/>
      </c>
      <c r="E5439" s="57" t="str"/>
      <c r="F5439" s="49" t="str"/>
      <c r="G5439" s="59" t="str"/>
      <c r="H5439" s="64" t="str"/>
      <c r="I5439" s="65" t="str"/>
      <c r="J5439" s="49" t="str"/>
      <c r="K5439" s="41" t="str"/>
      <c r="L5439" s="41" t="str"/>
      <c r="M5439" s="41" t="str"/>
      <c r="N5439" s="41" t="str"/>
      <c r="O5439" s="41" t="str"/>
      <c r="P5439" s="41" t="str"/>
      <c r="Q5439" s="41" t="str"/>
      <c r="R5439" s="41" t="str"/>
      <c r="S5439" s="41" t="str"/>
      <c r="T5439" s="41" t="str"/>
      <c r="U5439" s="41" t="str"/>
      <c r="V5439" s="41" t="str"/>
      <c r="W5439" s="41" t="str"/>
    </row>
    <row r="5440">
      <c r="B5440" s="2" t="n"/>
      <c r="C5440" s="40" t="n"/>
      <c r="D5440" s="52">
        <f t="array" ref="D5440:W5440">IF(All_Students_Scores!C5438:V5438="","",All_Students_Scores!C5438:V5438)</f>
        <v/>
      </c>
      <c r="E5440" s="57" t="str"/>
      <c r="F5440" s="49" t="str"/>
      <c r="G5440" s="59" t="str"/>
      <c r="H5440" s="64" t="str"/>
      <c r="I5440" s="65" t="str"/>
      <c r="J5440" s="49" t="str"/>
      <c r="K5440" s="41" t="str"/>
      <c r="L5440" s="41" t="str"/>
      <c r="M5440" s="41" t="str"/>
      <c r="N5440" s="41" t="str"/>
      <c r="O5440" s="41" t="str"/>
      <c r="P5440" s="41" t="str"/>
      <c r="Q5440" s="41" t="str"/>
      <c r="R5440" s="41" t="str"/>
      <c r="S5440" s="41" t="str"/>
      <c r="T5440" s="41" t="str"/>
      <c r="U5440" s="41" t="str"/>
      <c r="V5440" s="41" t="str"/>
      <c r="W5440" s="41" t="str"/>
    </row>
    <row r="5441">
      <c r="B5441" s="2" t="n"/>
      <c r="C5441" s="40" t="n"/>
      <c r="D5441" s="52">
        <f t="array" ref="D5441:W5441">IF(All_Students_Scores!C5439:V5439="","",All_Students_Scores!C5439:V5439)</f>
        <v/>
      </c>
      <c r="E5441" s="57" t="str"/>
      <c r="F5441" s="49" t="str"/>
      <c r="G5441" s="59" t="str"/>
      <c r="H5441" s="64" t="str"/>
      <c r="I5441" s="65" t="str"/>
      <c r="J5441" s="49" t="str"/>
      <c r="K5441" s="41" t="str"/>
      <c r="L5441" s="41" t="str"/>
      <c r="M5441" s="41" t="str"/>
      <c r="N5441" s="41" t="str"/>
      <c r="O5441" s="41" t="str"/>
      <c r="P5441" s="41" t="str"/>
      <c r="Q5441" s="41" t="str"/>
      <c r="R5441" s="41" t="str"/>
      <c r="S5441" s="41" t="str"/>
      <c r="T5441" s="41" t="str"/>
      <c r="U5441" s="41" t="str"/>
      <c r="V5441" s="41" t="str"/>
      <c r="W5441" s="41" t="str"/>
    </row>
    <row r="5442">
      <c r="B5442" s="2" t="n"/>
      <c r="C5442" s="40" t="n"/>
      <c r="D5442" s="52">
        <f t="array" ref="D5442:W5442">IF(All_Students_Scores!C5440:V5440="","",All_Students_Scores!C5440:V5440)</f>
        <v/>
      </c>
      <c r="E5442" s="57" t="str"/>
      <c r="F5442" s="49" t="str"/>
      <c r="G5442" s="59" t="str"/>
      <c r="H5442" s="64" t="str"/>
      <c r="I5442" s="65" t="str"/>
      <c r="J5442" s="49" t="str"/>
      <c r="K5442" s="41" t="str"/>
      <c r="L5442" s="41" t="str"/>
      <c r="M5442" s="41" t="str"/>
      <c r="N5442" s="41" t="str"/>
      <c r="O5442" s="41" t="str"/>
      <c r="P5442" s="41" t="str"/>
      <c r="Q5442" s="41" t="str"/>
      <c r="R5442" s="41" t="str"/>
      <c r="S5442" s="41" t="str"/>
      <c r="T5442" s="41" t="str"/>
      <c r="U5442" s="41" t="str"/>
      <c r="V5442" s="41" t="str"/>
      <c r="W5442" s="41" t="str"/>
    </row>
    <row r="5443">
      <c r="B5443" s="2" t="n"/>
      <c r="C5443" s="40" t="n"/>
      <c r="D5443" s="52">
        <f t="array" ref="D5443:W5443">IF(All_Students_Scores!C5441:V5441="","",All_Students_Scores!C5441:V5441)</f>
        <v/>
      </c>
      <c r="E5443" s="57" t="str"/>
      <c r="F5443" s="49" t="str"/>
      <c r="G5443" s="59" t="str"/>
      <c r="H5443" s="64" t="str"/>
      <c r="I5443" s="65" t="str"/>
      <c r="J5443" s="49" t="str"/>
      <c r="K5443" s="41" t="str"/>
      <c r="L5443" s="41" t="str"/>
      <c r="M5443" s="41" t="str"/>
      <c r="N5443" s="41" t="str"/>
      <c r="O5443" s="41" t="str"/>
      <c r="P5443" s="41" t="str"/>
      <c r="Q5443" s="41" t="str"/>
      <c r="R5443" s="41" t="str"/>
      <c r="S5443" s="41" t="str"/>
      <c r="T5443" s="41" t="str"/>
      <c r="U5443" s="41" t="str"/>
      <c r="V5443" s="41" t="str"/>
      <c r="W5443" s="41" t="str"/>
    </row>
    <row r="5444">
      <c r="B5444" s="2" t="n"/>
      <c r="C5444" s="40" t="n"/>
      <c r="D5444" s="52">
        <f t="array" ref="D5444:W5444">IF(All_Students_Scores!C5442:V5442="","",All_Students_Scores!C5442:V5442)</f>
        <v/>
      </c>
      <c r="E5444" s="57" t="str"/>
      <c r="F5444" s="49" t="str"/>
      <c r="G5444" s="59" t="str"/>
      <c r="H5444" s="64" t="str"/>
      <c r="I5444" s="65" t="str"/>
      <c r="J5444" s="49" t="str"/>
      <c r="K5444" s="41" t="str"/>
      <c r="L5444" s="41" t="str"/>
      <c r="M5444" s="41" t="str"/>
      <c r="N5444" s="41" t="str"/>
      <c r="O5444" s="41" t="str"/>
      <c r="P5444" s="41" t="str"/>
      <c r="Q5444" s="41" t="str"/>
      <c r="R5444" s="41" t="str"/>
      <c r="S5444" s="41" t="str"/>
      <c r="T5444" s="41" t="str"/>
      <c r="U5444" s="41" t="str"/>
      <c r="V5444" s="41" t="str"/>
      <c r="W5444" s="41" t="str"/>
    </row>
    <row r="5445">
      <c r="B5445" s="2" t="n"/>
      <c r="C5445" s="40" t="n"/>
      <c r="D5445" s="52">
        <f t="array" ref="D5445:W5445">IF(All_Students_Scores!C5443:V5443="","",All_Students_Scores!C5443:V5443)</f>
        <v/>
      </c>
      <c r="E5445" s="57" t="str"/>
      <c r="F5445" s="49" t="str"/>
      <c r="G5445" s="59" t="str"/>
      <c r="H5445" s="64" t="str"/>
      <c r="I5445" s="65" t="str"/>
      <c r="J5445" s="49" t="str"/>
      <c r="K5445" s="41" t="str"/>
      <c r="L5445" s="41" t="str"/>
      <c r="M5445" s="41" t="str"/>
      <c r="N5445" s="41" t="str"/>
      <c r="O5445" s="41" t="str"/>
      <c r="P5445" s="41" t="str"/>
      <c r="Q5445" s="41" t="str"/>
      <c r="R5445" s="41" t="str"/>
      <c r="S5445" s="41" t="str"/>
      <c r="T5445" s="41" t="str"/>
      <c r="U5445" s="41" t="str"/>
      <c r="V5445" s="41" t="str"/>
      <c r="W5445" s="41" t="str"/>
    </row>
    <row r="5446">
      <c r="B5446" s="2" t="n"/>
      <c r="C5446" s="40" t="n"/>
      <c r="D5446" s="52">
        <f t="array" ref="D5446:W5446">IF(All_Students_Scores!C5444:V5444="","",All_Students_Scores!C5444:V5444)</f>
        <v/>
      </c>
      <c r="E5446" s="57" t="str"/>
      <c r="F5446" s="49" t="str"/>
      <c r="G5446" s="59" t="str"/>
      <c r="H5446" s="64" t="str"/>
      <c r="I5446" s="65" t="str"/>
      <c r="J5446" s="49" t="str"/>
      <c r="K5446" s="41" t="str"/>
      <c r="L5446" s="41" t="str"/>
      <c r="M5446" s="41" t="str"/>
      <c r="N5446" s="41" t="str"/>
      <c r="O5446" s="41" t="str"/>
      <c r="P5446" s="41" t="str"/>
      <c r="Q5446" s="41" t="str"/>
      <c r="R5446" s="41" t="str"/>
      <c r="S5446" s="41" t="str"/>
      <c r="T5446" s="41" t="str"/>
      <c r="U5446" s="41" t="str"/>
      <c r="V5446" s="41" t="str"/>
      <c r="W5446" s="41" t="str"/>
    </row>
    <row r="5447">
      <c r="B5447" s="2" t="n"/>
      <c r="C5447" s="40" t="n"/>
      <c r="D5447" s="52">
        <f t="array" ref="D5447:W5447">IF(All_Students_Scores!C5445:V5445="","",All_Students_Scores!C5445:V5445)</f>
        <v/>
      </c>
      <c r="E5447" s="57" t="str"/>
      <c r="F5447" s="49" t="str"/>
      <c r="G5447" s="59" t="str"/>
      <c r="H5447" s="64" t="str"/>
      <c r="I5447" s="65" t="str"/>
      <c r="J5447" s="49" t="str"/>
      <c r="K5447" s="41" t="str"/>
      <c r="L5447" s="41" t="str"/>
      <c r="M5447" s="41" t="str"/>
      <c r="N5447" s="41" t="str"/>
      <c r="O5447" s="41" t="str"/>
      <c r="P5447" s="41" t="str"/>
      <c r="Q5447" s="41" t="str"/>
      <c r="R5447" s="41" t="str"/>
      <c r="S5447" s="41" t="str"/>
      <c r="T5447" s="41" t="str"/>
      <c r="U5447" s="41" t="str"/>
      <c r="V5447" s="41" t="str"/>
      <c r="W5447" s="41" t="str"/>
    </row>
    <row r="5448">
      <c r="B5448" s="2" t="n"/>
      <c r="C5448" s="40" t="n"/>
      <c r="D5448" s="52">
        <f t="array" ref="D5448:W5448">IF(All_Students_Scores!C5446:V5446="","",All_Students_Scores!C5446:V5446)</f>
        <v/>
      </c>
      <c r="E5448" s="57" t="str"/>
      <c r="F5448" s="49" t="str"/>
      <c r="G5448" s="59" t="str"/>
      <c r="H5448" s="64" t="str"/>
      <c r="I5448" s="65" t="str"/>
      <c r="J5448" s="49" t="str"/>
      <c r="K5448" s="41" t="str"/>
      <c r="L5448" s="41" t="str"/>
      <c r="M5448" s="41" t="str"/>
      <c r="N5448" s="41" t="str"/>
      <c r="O5448" s="41" t="str"/>
      <c r="P5448" s="41" t="str"/>
      <c r="Q5448" s="41" t="str"/>
      <c r="R5448" s="41" t="str"/>
      <c r="S5448" s="41" t="str"/>
      <c r="T5448" s="41" t="str"/>
      <c r="U5448" s="41" t="str"/>
      <c r="V5448" s="41" t="str"/>
      <c r="W5448" s="41" t="str"/>
    </row>
    <row r="5449">
      <c r="B5449" s="2" t="n"/>
      <c r="C5449" s="40" t="n"/>
      <c r="D5449" s="52">
        <f t="array" ref="D5449:W5449">IF(All_Students_Scores!C5447:V5447="","",All_Students_Scores!C5447:V5447)</f>
        <v/>
      </c>
      <c r="E5449" s="57" t="str"/>
      <c r="F5449" s="49" t="str"/>
      <c r="G5449" s="59" t="str"/>
      <c r="H5449" s="64" t="str"/>
      <c r="I5449" s="65" t="str"/>
      <c r="J5449" s="49" t="str"/>
      <c r="K5449" s="41" t="str"/>
      <c r="L5449" s="41" t="str"/>
      <c r="M5449" s="41" t="str"/>
      <c r="N5449" s="41" t="str"/>
      <c r="O5449" s="41" t="str"/>
      <c r="P5449" s="41" t="str"/>
      <c r="Q5449" s="41" t="str"/>
      <c r="R5449" s="41" t="str"/>
      <c r="S5449" s="41" t="str"/>
      <c r="T5449" s="41" t="str"/>
      <c r="U5449" s="41" t="str"/>
      <c r="V5449" s="41" t="str"/>
      <c r="W5449" s="41" t="str"/>
    </row>
    <row r="5450">
      <c r="B5450" s="2" t="n"/>
      <c r="C5450" s="40" t="n"/>
      <c r="D5450" s="52">
        <f t="array" ref="D5450:W5450">IF(All_Students_Scores!C5448:V5448="","",All_Students_Scores!C5448:V5448)</f>
        <v/>
      </c>
      <c r="E5450" s="57" t="str"/>
      <c r="F5450" s="49" t="str"/>
      <c r="G5450" s="59" t="str"/>
      <c r="H5450" s="64" t="str"/>
      <c r="I5450" s="65" t="str"/>
      <c r="J5450" s="49" t="str"/>
      <c r="K5450" s="41" t="str"/>
      <c r="L5450" s="41" t="str"/>
      <c r="M5450" s="41" t="str"/>
      <c r="N5450" s="41" t="str"/>
      <c r="O5450" s="41" t="str"/>
      <c r="P5450" s="41" t="str"/>
      <c r="Q5450" s="41" t="str"/>
      <c r="R5450" s="41" t="str"/>
      <c r="S5450" s="41" t="str"/>
      <c r="T5450" s="41" t="str"/>
      <c r="U5450" s="41" t="str"/>
      <c r="V5450" s="41" t="str"/>
      <c r="W5450" s="41" t="str"/>
    </row>
    <row r="5451">
      <c r="B5451" s="2" t="n"/>
      <c r="C5451" s="40" t="n"/>
      <c r="D5451" s="52">
        <f t="array" ref="D5451:W5451">IF(All_Students_Scores!C5449:V5449="","",All_Students_Scores!C5449:V5449)</f>
        <v/>
      </c>
      <c r="E5451" s="57" t="str"/>
      <c r="F5451" s="49" t="str"/>
      <c r="G5451" s="59" t="str"/>
      <c r="H5451" s="64" t="str"/>
      <c r="I5451" s="65" t="str"/>
      <c r="J5451" s="49" t="str"/>
      <c r="K5451" s="41" t="str"/>
      <c r="L5451" s="41" t="str"/>
      <c r="M5451" s="41" t="str"/>
      <c r="N5451" s="41" t="str"/>
      <c r="O5451" s="41" t="str"/>
      <c r="P5451" s="41" t="str"/>
      <c r="Q5451" s="41" t="str"/>
      <c r="R5451" s="41" t="str"/>
      <c r="S5451" s="41" t="str"/>
      <c r="T5451" s="41" t="str"/>
      <c r="U5451" s="41" t="str"/>
      <c r="V5451" s="41" t="str"/>
      <c r="W5451" s="41" t="str"/>
    </row>
    <row r="5452">
      <c r="B5452" s="2" t="n"/>
      <c r="C5452" s="40" t="n"/>
      <c r="D5452" s="52">
        <f t="array" ref="D5452:W5452">IF(All_Students_Scores!C5450:V5450="","",All_Students_Scores!C5450:V5450)</f>
        <v/>
      </c>
      <c r="E5452" s="57" t="str"/>
      <c r="F5452" s="49" t="str"/>
      <c r="G5452" s="59" t="str"/>
      <c r="H5452" s="64" t="str"/>
      <c r="I5452" s="65" t="str"/>
      <c r="J5452" s="49" t="str"/>
      <c r="K5452" s="41" t="str"/>
      <c r="L5452" s="41" t="str"/>
      <c r="M5452" s="41" t="str"/>
      <c r="N5452" s="41" t="str"/>
      <c r="O5452" s="41" t="str"/>
      <c r="P5452" s="41" t="str"/>
      <c r="Q5452" s="41" t="str"/>
      <c r="R5452" s="41" t="str"/>
      <c r="S5452" s="41" t="str"/>
      <c r="T5452" s="41" t="str"/>
      <c r="U5452" s="41" t="str"/>
      <c r="V5452" s="41" t="str"/>
      <c r="W5452" s="41" t="str"/>
    </row>
    <row r="5453">
      <c r="B5453" s="2" t="n"/>
      <c r="C5453" s="40" t="n"/>
      <c r="D5453" s="52">
        <f t="array" ref="D5453:W5453">IF(All_Students_Scores!C5451:V5451="","",All_Students_Scores!C5451:V5451)</f>
        <v/>
      </c>
      <c r="E5453" s="57" t="str"/>
      <c r="F5453" s="49" t="str"/>
      <c r="G5453" s="59" t="str"/>
      <c r="H5453" s="64" t="str"/>
      <c r="I5453" s="65" t="str"/>
      <c r="J5453" s="49" t="str"/>
      <c r="K5453" s="41" t="str"/>
      <c r="L5453" s="41" t="str"/>
      <c r="M5453" s="41" t="str"/>
      <c r="N5453" s="41" t="str"/>
      <c r="O5453" s="41" t="str"/>
      <c r="P5453" s="41" t="str"/>
      <c r="Q5453" s="41" t="str"/>
      <c r="R5453" s="41" t="str"/>
      <c r="S5453" s="41" t="str"/>
      <c r="T5453" s="41" t="str"/>
      <c r="U5453" s="41" t="str"/>
      <c r="V5453" s="41" t="str"/>
      <c r="W5453" s="41" t="str"/>
    </row>
    <row r="5454">
      <c r="B5454" s="2" t="n"/>
      <c r="C5454" s="40" t="n"/>
      <c r="D5454" s="52">
        <f t="array" ref="D5454:W5454">IF(All_Students_Scores!C5452:V5452="","",All_Students_Scores!C5452:V5452)</f>
        <v/>
      </c>
      <c r="E5454" s="57" t="str"/>
      <c r="F5454" s="49" t="str"/>
      <c r="G5454" s="59" t="str"/>
      <c r="H5454" s="64" t="str"/>
      <c r="I5454" s="65" t="str"/>
      <c r="J5454" s="49" t="str"/>
      <c r="K5454" s="41" t="str"/>
      <c r="L5454" s="41" t="str"/>
      <c r="M5454" s="41" t="str"/>
      <c r="N5454" s="41" t="str"/>
      <c r="O5454" s="41" t="str"/>
      <c r="P5454" s="41" t="str"/>
      <c r="Q5454" s="41" t="str"/>
      <c r="R5454" s="41" t="str"/>
      <c r="S5454" s="41" t="str"/>
      <c r="T5454" s="41" t="str"/>
      <c r="U5454" s="41" t="str"/>
      <c r="V5454" s="41" t="str"/>
      <c r="W5454" s="41" t="str"/>
    </row>
    <row r="5455">
      <c r="B5455" s="2" t="n"/>
      <c r="C5455" s="40" t="n"/>
      <c r="D5455" s="52">
        <f t="array" ref="D5455:W5455">IF(All_Students_Scores!C5453:V5453="","",All_Students_Scores!C5453:V5453)</f>
        <v/>
      </c>
      <c r="E5455" s="57" t="str"/>
      <c r="F5455" s="49" t="str"/>
      <c r="G5455" s="59" t="str"/>
      <c r="H5455" s="64" t="str"/>
      <c r="I5455" s="65" t="str"/>
      <c r="J5455" s="49" t="str"/>
      <c r="K5455" s="41" t="str"/>
      <c r="L5455" s="41" t="str"/>
      <c r="M5455" s="41" t="str"/>
      <c r="N5455" s="41" t="str"/>
      <c r="O5455" s="41" t="str"/>
      <c r="P5455" s="41" t="str"/>
      <c r="Q5455" s="41" t="str"/>
      <c r="R5455" s="41" t="str"/>
      <c r="S5455" s="41" t="str"/>
      <c r="T5455" s="41" t="str"/>
      <c r="U5455" s="41" t="str"/>
      <c r="V5455" s="41" t="str"/>
      <c r="W5455" s="41" t="str"/>
    </row>
    <row r="5456">
      <c r="B5456" s="2" t="n"/>
      <c r="C5456" s="40" t="n"/>
      <c r="D5456" s="52">
        <f t="array" ref="D5456:W5456">IF(All_Students_Scores!C5454:V5454="","",All_Students_Scores!C5454:V5454)</f>
        <v/>
      </c>
      <c r="E5456" s="57" t="str"/>
      <c r="F5456" s="49" t="str"/>
      <c r="G5456" s="59" t="str"/>
      <c r="H5456" s="64" t="str"/>
      <c r="I5456" s="65" t="str"/>
      <c r="J5456" s="49" t="str"/>
      <c r="K5456" s="41" t="str"/>
      <c r="L5456" s="41" t="str"/>
      <c r="M5456" s="41" t="str"/>
      <c r="N5456" s="41" t="str"/>
      <c r="O5456" s="41" t="str"/>
      <c r="P5456" s="41" t="str"/>
      <c r="Q5456" s="41" t="str"/>
      <c r="R5456" s="41" t="str"/>
      <c r="S5456" s="41" t="str"/>
      <c r="T5456" s="41" t="str"/>
      <c r="U5456" s="41" t="str"/>
      <c r="V5456" s="41" t="str"/>
      <c r="W5456" s="41" t="str"/>
    </row>
    <row r="5457">
      <c r="B5457" s="2" t="n"/>
      <c r="C5457" s="40" t="n"/>
      <c r="D5457" s="52">
        <f t="array" ref="D5457:W5457">IF(All_Students_Scores!C5455:V5455="","",All_Students_Scores!C5455:V5455)</f>
        <v/>
      </c>
      <c r="E5457" s="57" t="str"/>
      <c r="F5457" s="49" t="str"/>
      <c r="G5457" s="59" t="str"/>
      <c r="H5457" s="64" t="str"/>
      <c r="I5457" s="65" t="str"/>
      <c r="J5457" s="49" t="str"/>
      <c r="K5457" s="41" t="str"/>
      <c r="L5457" s="41" t="str"/>
      <c r="M5457" s="41" t="str"/>
      <c r="N5457" s="41" t="str"/>
      <c r="O5457" s="41" t="str"/>
      <c r="P5457" s="41" t="str"/>
      <c r="Q5457" s="41" t="str"/>
      <c r="R5457" s="41" t="str"/>
      <c r="S5457" s="41" t="str"/>
      <c r="T5457" s="41" t="str"/>
      <c r="U5457" s="41" t="str"/>
      <c r="V5457" s="41" t="str"/>
      <c r="W5457" s="41" t="str"/>
    </row>
    <row r="5458">
      <c r="B5458" s="2" t="n"/>
      <c r="C5458" s="40" t="n"/>
      <c r="D5458" s="52">
        <f t="array" ref="D5458:W5458">IF(All_Students_Scores!C5456:V5456="","",All_Students_Scores!C5456:V5456)</f>
        <v/>
      </c>
      <c r="E5458" s="57" t="str"/>
      <c r="F5458" s="49" t="str"/>
      <c r="G5458" s="59" t="str"/>
      <c r="H5458" s="64" t="str"/>
      <c r="I5458" s="65" t="str"/>
      <c r="J5458" s="49" t="str"/>
      <c r="K5458" s="41" t="str"/>
      <c r="L5458" s="41" t="str"/>
      <c r="M5458" s="41" t="str"/>
      <c r="N5458" s="41" t="str"/>
      <c r="O5458" s="41" t="str"/>
      <c r="P5458" s="41" t="str"/>
      <c r="Q5458" s="41" t="str"/>
      <c r="R5458" s="41" t="str"/>
      <c r="S5458" s="41" t="str"/>
      <c r="T5458" s="41" t="str"/>
      <c r="U5458" s="41" t="str"/>
      <c r="V5458" s="41" t="str"/>
      <c r="W5458" s="41" t="str"/>
    </row>
    <row r="5459">
      <c r="B5459" s="2" t="n"/>
      <c r="C5459" s="40" t="n"/>
      <c r="D5459" s="52">
        <f t="array" ref="D5459:W5459">IF(All_Students_Scores!C5457:V5457="","",All_Students_Scores!C5457:V5457)</f>
        <v/>
      </c>
      <c r="E5459" s="57" t="str"/>
      <c r="F5459" s="49" t="str"/>
      <c r="G5459" s="59" t="str"/>
      <c r="H5459" s="64" t="str"/>
      <c r="I5459" s="65" t="str"/>
      <c r="J5459" s="49" t="str"/>
      <c r="K5459" s="41" t="str"/>
      <c r="L5459" s="41" t="str"/>
      <c r="M5459" s="41" t="str"/>
      <c r="N5459" s="41" t="str"/>
      <c r="O5459" s="41" t="str"/>
      <c r="P5459" s="41" t="str"/>
      <c r="Q5459" s="41" t="str"/>
      <c r="R5459" s="41" t="str"/>
      <c r="S5459" s="41" t="str"/>
      <c r="T5459" s="41" t="str"/>
      <c r="U5459" s="41" t="str"/>
      <c r="V5459" s="41" t="str"/>
      <c r="W5459" s="41" t="str"/>
    </row>
    <row r="5460">
      <c r="B5460" s="2" t="n"/>
      <c r="C5460" s="40" t="n"/>
      <c r="D5460" s="52">
        <f t="array" ref="D5460:W5460">IF(All_Students_Scores!C5458:V5458="","",All_Students_Scores!C5458:V5458)</f>
        <v/>
      </c>
      <c r="E5460" s="57" t="str"/>
      <c r="F5460" s="49" t="str"/>
      <c r="G5460" s="59" t="str"/>
      <c r="H5460" s="64" t="str"/>
      <c r="I5460" s="65" t="str"/>
      <c r="J5460" s="49" t="str"/>
      <c r="K5460" s="41" t="str"/>
      <c r="L5460" s="41" t="str"/>
      <c r="M5460" s="41" t="str"/>
      <c r="N5460" s="41" t="str"/>
      <c r="O5460" s="41" t="str"/>
      <c r="P5460" s="41" t="str"/>
      <c r="Q5460" s="41" t="str"/>
      <c r="R5460" s="41" t="str"/>
      <c r="S5460" s="41" t="str"/>
      <c r="T5460" s="41" t="str"/>
      <c r="U5460" s="41" t="str"/>
      <c r="V5460" s="41" t="str"/>
      <c r="W5460" s="41" t="str"/>
    </row>
    <row r="5461">
      <c r="B5461" s="2" t="n"/>
      <c r="C5461" s="40" t="n"/>
      <c r="D5461" s="52">
        <f t="array" ref="D5461:W5461">IF(All_Students_Scores!C5459:V5459="","",All_Students_Scores!C5459:V5459)</f>
        <v/>
      </c>
      <c r="E5461" s="57" t="str"/>
      <c r="F5461" s="49" t="str"/>
      <c r="G5461" s="59" t="str"/>
      <c r="H5461" s="64" t="str"/>
      <c r="I5461" s="65" t="str"/>
      <c r="J5461" s="49" t="str"/>
      <c r="K5461" s="41" t="str"/>
      <c r="L5461" s="41" t="str"/>
      <c r="M5461" s="41" t="str"/>
      <c r="N5461" s="41" t="str"/>
      <c r="O5461" s="41" t="str"/>
      <c r="P5461" s="41" t="str"/>
      <c r="Q5461" s="41" t="str"/>
      <c r="R5461" s="41" t="str"/>
      <c r="S5461" s="41" t="str"/>
      <c r="T5461" s="41" t="str"/>
      <c r="U5461" s="41" t="str"/>
      <c r="V5461" s="41" t="str"/>
      <c r="W5461" s="41" t="str"/>
    </row>
    <row r="5462">
      <c r="B5462" s="2" t="n"/>
      <c r="C5462" s="40" t="n"/>
      <c r="D5462" s="52">
        <f t="array" ref="D5462:W5462">IF(All_Students_Scores!C5460:V5460="","",All_Students_Scores!C5460:V5460)</f>
        <v/>
      </c>
      <c r="E5462" s="57" t="str"/>
      <c r="F5462" s="49" t="str"/>
      <c r="G5462" s="59" t="str"/>
      <c r="H5462" s="64" t="str"/>
      <c r="I5462" s="65" t="str"/>
      <c r="J5462" s="49" t="str"/>
      <c r="K5462" s="41" t="str"/>
      <c r="L5462" s="41" t="str"/>
      <c r="M5462" s="41" t="str"/>
      <c r="N5462" s="41" t="str"/>
      <c r="O5462" s="41" t="str"/>
      <c r="P5462" s="41" t="str"/>
      <c r="Q5462" s="41" t="str"/>
      <c r="R5462" s="41" t="str"/>
      <c r="S5462" s="41" t="str"/>
      <c r="T5462" s="41" t="str"/>
      <c r="U5462" s="41" t="str"/>
      <c r="V5462" s="41" t="str"/>
      <c r="W5462" s="41" t="str"/>
    </row>
    <row r="5463">
      <c r="B5463" s="2" t="n"/>
      <c r="C5463" s="40" t="n"/>
      <c r="D5463" s="52">
        <f t="array" ref="D5463:W5463">IF(All_Students_Scores!C5461:V5461="","",All_Students_Scores!C5461:V5461)</f>
        <v/>
      </c>
      <c r="E5463" s="57" t="str"/>
      <c r="F5463" s="49" t="str"/>
      <c r="G5463" s="59" t="str"/>
      <c r="H5463" s="64" t="str"/>
      <c r="I5463" s="65" t="str"/>
      <c r="J5463" s="49" t="str"/>
      <c r="K5463" s="41" t="str"/>
      <c r="L5463" s="41" t="str"/>
      <c r="M5463" s="41" t="str"/>
      <c r="N5463" s="41" t="str"/>
      <c r="O5463" s="41" t="str"/>
      <c r="P5463" s="41" t="str"/>
      <c r="Q5463" s="41" t="str"/>
      <c r="R5463" s="41" t="str"/>
      <c r="S5463" s="41" t="str"/>
      <c r="T5463" s="41" t="str"/>
      <c r="U5463" s="41" t="str"/>
      <c r="V5463" s="41" t="str"/>
      <c r="W5463" s="41" t="str"/>
    </row>
    <row r="5464">
      <c r="B5464" s="2" t="n"/>
      <c r="C5464" s="40" t="n"/>
      <c r="D5464" s="52">
        <f t="array" ref="D5464:W5464">IF(All_Students_Scores!C5462:V5462="","",All_Students_Scores!C5462:V5462)</f>
        <v/>
      </c>
      <c r="E5464" s="57" t="str"/>
      <c r="F5464" s="49" t="str"/>
      <c r="G5464" s="59" t="str"/>
      <c r="H5464" s="64" t="str"/>
      <c r="I5464" s="65" t="str"/>
      <c r="J5464" s="49" t="str"/>
      <c r="K5464" s="41" t="str"/>
      <c r="L5464" s="41" t="str"/>
      <c r="M5464" s="41" t="str"/>
      <c r="N5464" s="41" t="str"/>
      <c r="O5464" s="41" t="str"/>
      <c r="P5464" s="41" t="str"/>
      <c r="Q5464" s="41" t="str"/>
      <c r="R5464" s="41" t="str"/>
      <c r="S5464" s="41" t="str"/>
      <c r="T5464" s="41" t="str"/>
      <c r="U5464" s="41" t="str"/>
      <c r="V5464" s="41" t="str"/>
      <c r="W5464" s="41" t="str"/>
    </row>
    <row r="5465">
      <c r="B5465" s="2" t="n"/>
      <c r="C5465" s="40" t="n"/>
      <c r="D5465" s="52">
        <f t="array" ref="D5465:W5465">IF(All_Students_Scores!C5463:V5463="","",All_Students_Scores!C5463:V5463)</f>
        <v/>
      </c>
      <c r="E5465" s="57" t="str"/>
      <c r="F5465" s="49" t="str"/>
      <c r="G5465" s="59" t="str"/>
      <c r="H5465" s="64" t="str"/>
      <c r="I5465" s="65" t="str"/>
      <c r="J5465" s="49" t="str"/>
      <c r="K5465" s="41" t="str"/>
      <c r="L5465" s="41" t="str"/>
      <c r="M5465" s="41" t="str"/>
      <c r="N5465" s="41" t="str"/>
      <c r="O5465" s="41" t="str"/>
      <c r="P5465" s="41" t="str"/>
      <c r="Q5465" s="41" t="str"/>
      <c r="R5465" s="41" t="str"/>
      <c r="S5465" s="41" t="str"/>
      <c r="T5465" s="41" t="str"/>
      <c r="U5465" s="41" t="str"/>
      <c r="V5465" s="41" t="str"/>
      <c r="W5465" s="41" t="str"/>
    </row>
    <row r="5466">
      <c r="B5466" s="2" t="n"/>
      <c r="C5466" s="40" t="n"/>
      <c r="D5466" s="52">
        <f t="array" ref="D5466:W5466">IF(All_Students_Scores!C5464:V5464="","",All_Students_Scores!C5464:V5464)</f>
        <v/>
      </c>
      <c r="E5466" s="57" t="str"/>
      <c r="F5466" s="49" t="str"/>
      <c r="G5466" s="59" t="str"/>
      <c r="H5466" s="64" t="str"/>
      <c r="I5466" s="65" t="str"/>
      <c r="J5466" s="49" t="str"/>
      <c r="K5466" s="41" t="str"/>
      <c r="L5466" s="41" t="str"/>
      <c r="M5466" s="41" t="str"/>
      <c r="N5466" s="41" t="str"/>
      <c r="O5466" s="41" t="str"/>
      <c r="P5466" s="41" t="str"/>
      <c r="Q5466" s="41" t="str"/>
      <c r="R5466" s="41" t="str"/>
      <c r="S5466" s="41" t="str"/>
      <c r="T5466" s="41" t="str"/>
      <c r="U5466" s="41" t="str"/>
      <c r="V5466" s="41" t="str"/>
      <c r="W5466" s="41" t="str"/>
    </row>
    <row r="5467">
      <c r="B5467" s="2" t="n"/>
      <c r="C5467" s="40" t="n"/>
      <c r="D5467" s="52">
        <f t="array" ref="D5467:W5467">IF(All_Students_Scores!C5465:V5465="","",All_Students_Scores!C5465:V5465)</f>
        <v/>
      </c>
      <c r="E5467" s="57" t="str"/>
      <c r="F5467" s="49" t="str"/>
      <c r="G5467" s="59" t="str"/>
      <c r="H5467" s="64" t="str"/>
      <c r="I5467" s="65" t="str"/>
      <c r="J5467" s="49" t="str"/>
      <c r="K5467" s="41" t="str"/>
      <c r="L5467" s="41" t="str"/>
      <c r="M5467" s="41" t="str"/>
      <c r="N5467" s="41" t="str"/>
      <c r="O5467" s="41" t="str"/>
      <c r="P5467" s="41" t="str"/>
      <c r="Q5467" s="41" t="str"/>
      <c r="R5467" s="41" t="str"/>
      <c r="S5467" s="41" t="str"/>
      <c r="T5467" s="41" t="str"/>
      <c r="U5467" s="41" t="str"/>
      <c r="V5467" s="41" t="str"/>
      <c r="W5467" s="41" t="str"/>
    </row>
    <row r="5468">
      <c r="B5468" s="2" t="n"/>
      <c r="C5468" s="40" t="n"/>
      <c r="D5468" s="52">
        <f t="array" ref="D5468:W5468">IF(All_Students_Scores!C5466:V5466="","",All_Students_Scores!C5466:V5466)</f>
        <v/>
      </c>
      <c r="E5468" s="57" t="str"/>
      <c r="F5468" s="49" t="str"/>
      <c r="G5468" s="59" t="str"/>
      <c r="H5468" s="64" t="str"/>
      <c r="I5468" s="65" t="str"/>
      <c r="J5468" s="49" t="str"/>
      <c r="K5468" s="41" t="str"/>
      <c r="L5468" s="41" t="str"/>
      <c r="M5468" s="41" t="str"/>
      <c r="N5468" s="41" t="str"/>
      <c r="O5468" s="41" t="str"/>
      <c r="P5468" s="41" t="str"/>
      <c r="Q5468" s="41" t="str"/>
      <c r="R5468" s="41" t="str"/>
      <c r="S5468" s="41" t="str"/>
      <c r="T5468" s="41" t="str"/>
      <c r="U5468" s="41" t="str"/>
      <c r="V5468" s="41" t="str"/>
      <c r="W5468" s="41" t="str"/>
    </row>
    <row r="5469">
      <c r="B5469" s="2" t="n"/>
      <c r="C5469" s="40" t="n"/>
      <c r="D5469" s="52">
        <f t="array" ref="D5469:W5469">IF(All_Students_Scores!C5467:V5467="","",All_Students_Scores!C5467:V5467)</f>
        <v/>
      </c>
      <c r="E5469" s="57" t="str"/>
      <c r="F5469" s="49" t="str"/>
      <c r="G5469" s="59" t="str"/>
      <c r="H5469" s="64" t="str"/>
      <c r="I5469" s="65" t="str"/>
      <c r="J5469" s="49" t="str"/>
      <c r="K5469" s="41" t="str"/>
      <c r="L5469" s="41" t="str"/>
      <c r="M5469" s="41" t="str"/>
      <c r="N5469" s="41" t="str"/>
      <c r="O5469" s="41" t="str"/>
      <c r="P5469" s="41" t="str"/>
      <c r="Q5469" s="41" t="str"/>
      <c r="R5469" s="41" t="str"/>
      <c r="S5469" s="41" t="str"/>
      <c r="T5469" s="41" t="str"/>
      <c r="U5469" s="41" t="str"/>
      <c r="V5469" s="41" t="str"/>
      <c r="W5469" s="41" t="str"/>
    </row>
    <row r="5470">
      <c r="B5470" s="2" t="n"/>
      <c r="C5470" s="40" t="n"/>
      <c r="D5470" s="52">
        <f t="array" ref="D5470:W5470">IF(All_Students_Scores!C5468:V5468="","",All_Students_Scores!C5468:V5468)</f>
        <v/>
      </c>
      <c r="E5470" s="57" t="str"/>
      <c r="F5470" s="49" t="str"/>
      <c r="G5470" s="59" t="str"/>
      <c r="H5470" s="64" t="str"/>
      <c r="I5470" s="65" t="str"/>
      <c r="J5470" s="49" t="str"/>
      <c r="K5470" s="41" t="str"/>
      <c r="L5470" s="41" t="str"/>
      <c r="M5470" s="41" t="str"/>
      <c r="N5470" s="41" t="str"/>
      <c r="O5470" s="41" t="str"/>
      <c r="P5470" s="41" t="str"/>
      <c r="Q5470" s="41" t="str"/>
      <c r="R5470" s="41" t="str"/>
      <c r="S5470" s="41" t="str"/>
      <c r="T5470" s="41" t="str"/>
      <c r="U5470" s="41" t="str"/>
      <c r="V5470" s="41" t="str"/>
      <c r="W5470" s="41" t="str"/>
    </row>
    <row r="5471">
      <c r="B5471" s="2" t="n"/>
      <c r="C5471" s="40" t="n"/>
      <c r="D5471" s="52">
        <f t="array" ref="D5471:W5471">IF(All_Students_Scores!C5469:V5469="","",All_Students_Scores!C5469:V5469)</f>
        <v/>
      </c>
      <c r="E5471" s="57" t="str"/>
      <c r="F5471" s="49" t="str"/>
      <c r="G5471" s="59" t="str"/>
      <c r="H5471" s="64" t="str"/>
      <c r="I5471" s="65" t="str"/>
      <c r="J5471" s="49" t="str"/>
      <c r="K5471" s="41" t="str"/>
      <c r="L5471" s="41" t="str"/>
      <c r="M5471" s="41" t="str"/>
      <c r="N5471" s="41" t="str"/>
      <c r="O5471" s="41" t="str"/>
      <c r="P5471" s="41" t="str"/>
      <c r="Q5471" s="41" t="str"/>
      <c r="R5471" s="41" t="str"/>
      <c r="S5471" s="41" t="str"/>
      <c r="T5471" s="41" t="str"/>
      <c r="U5471" s="41" t="str"/>
      <c r="V5471" s="41" t="str"/>
      <c r="W5471" s="41" t="str"/>
    </row>
    <row r="5472">
      <c r="B5472" s="2" t="n"/>
      <c r="C5472" s="40" t="n"/>
      <c r="D5472" s="52">
        <f t="array" ref="D5472:W5472">IF(All_Students_Scores!C5470:V5470="","",All_Students_Scores!C5470:V5470)</f>
        <v/>
      </c>
      <c r="E5472" s="57" t="str"/>
      <c r="F5472" s="49" t="str"/>
      <c r="G5472" s="59" t="str"/>
      <c r="H5472" s="64" t="str"/>
      <c r="I5472" s="65" t="str"/>
      <c r="J5472" s="49" t="str"/>
      <c r="K5472" s="41" t="str"/>
      <c r="L5472" s="41" t="str"/>
      <c r="M5472" s="41" t="str"/>
      <c r="N5472" s="41" t="str"/>
      <c r="O5472" s="41" t="str"/>
      <c r="P5472" s="41" t="str"/>
      <c r="Q5472" s="41" t="str"/>
      <c r="R5472" s="41" t="str"/>
      <c r="S5472" s="41" t="str"/>
      <c r="T5472" s="41" t="str"/>
      <c r="U5472" s="41" t="str"/>
      <c r="V5472" s="41" t="str"/>
      <c r="W5472" s="41" t="str"/>
    </row>
    <row r="5473">
      <c r="B5473" s="2" t="n"/>
      <c r="C5473" s="40" t="n"/>
      <c r="D5473" s="52">
        <f t="array" ref="D5473:W5473">IF(All_Students_Scores!C5471:V5471="","",All_Students_Scores!C5471:V5471)</f>
        <v/>
      </c>
      <c r="E5473" s="57" t="str"/>
      <c r="F5473" s="49" t="str"/>
      <c r="G5473" s="59" t="str"/>
      <c r="H5473" s="64" t="str"/>
      <c r="I5473" s="65" t="str"/>
      <c r="J5473" s="49" t="str"/>
      <c r="K5473" s="41" t="str"/>
      <c r="L5473" s="41" t="str"/>
      <c r="M5473" s="41" t="str"/>
      <c r="N5473" s="41" t="str"/>
      <c r="O5473" s="41" t="str"/>
      <c r="P5473" s="41" t="str"/>
      <c r="Q5473" s="41" t="str"/>
      <c r="R5473" s="41" t="str"/>
      <c r="S5473" s="41" t="str"/>
      <c r="T5473" s="41" t="str"/>
      <c r="U5473" s="41" t="str"/>
      <c r="V5473" s="41" t="str"/>
      <c r="W5473" s="41" t="str"/>
    </row>
    <row r="5474">
      <c r="B5474" s="2" t="n"/>
      <c r="C5474" s="40" t="n"/>
      <c r="D5474" s="52">
        <f t="array" ref="D5474:W5474">IF(All_Students_Scores!C5472:V5472="","",All_Students_Scores!C5472:V5472)</f>
        <v/>
      </c>
      <c r="E5474" s="57" t="str"/>
      <c r="F5474" s="49" t="str"/>
      <c r="G5474" s="59" t="str"/>
      <c r="H5474" s="64" t="str"/>
      <c r="I5474" s="65" t="str"/>
      <c r="J5474" s="49" t="str"/>
      <c r="K5474" s="41" t="str"/>
      <c r="L5474" s="41" t="str"/>
      <c r="M5474" s="41" t="str"/>
      <c r="N5474" s="41" t="str"/>
      <c r="O5474" s="41" t="str"/>
      <c r="P5474" s="41" t="str"/>
      <c r="Q5474" s="41" t="str"/>
      <c r="R5474" s="41" t="str"/>
      <c r="S5474" s="41" t="str"/>
      <c r="T5474" s="41" t="str"/>
      <c r="U5474" s="41" t="str"/>
      <c r="V5474" s="41" t="str"/>
      <c r="W5474" s="41" t="str"/>
    </row>
    <row r="5475">
      <c r="B5475" s="2" t="n"/>
      <c r="C5475" s="40" t="n"/>
      <c r="D5475" s="52">
        <f t="array" ref="D5475:W5475">IF(All_Students_Scores!C5473:V5473="","",All_Students_Scores!C5473:V5473)</f>
        <v/>
      </c>
      <c r="E5475" s="57" t="str"/>
      <c r="F5475" s="49" t="str"/>
      <c r="G5475" s="59" t="str"/>
      <c r="H5475" s="64" t="str"/>
      <c r="I5475" s="65" t="str"/>
      <c r="J5475" s="49" t="str"/>
      <c r="K5475" s="41" t="str"/>
      <c r="L5475" s="41" t="str"/>
      <c r="M5475" s="41" t="str"/>
      <c r="N5475" s="41" t="str"/>
      <c r="O5475" s="41" t="str"/>
      <c r="P5475" s="41" t="str"/>
      <c r="Q5475" s="41" t="str"/>
      <c r="R5475" s="41" t="str"/>
      <c r="S5475" s="41" t="str"/>
      <c r="T5475" s="41" t="str"/>
      <c r="U5475" s="41" t="str"/>
      <c r="V5475" s="41" t="str"/>
      <c r="W5475" s="41" t="str"/>
    </row>
    <row r="5476">
      <c r="B5476" s="2" t="n"/>
      <c r="C5476" s="40" t="n"/>
      <c r="D5476" s="52">
        <f t="array" ref="D5476:W5476">IF(All_Students_Scores!C5474:V5474="","",All_Students_Scores!C5474:V5474)</f>
        <v/>
      </c>
      <c r="E5476" s="57" t="str"/>
      <c r="F5476" s="49" t="str"/>
      <c r="G5476" s="59" t="str"/>
      <c r="H5476" s="64" t="str"/>
      <c r="I5476" s="65" t="str"/>
      <c r="J5476" s="49" t="str"/>
      <c r="K5476" s="41" t="str"/>
      <c r="L5476" s="41" t="str"/>
      <c r="M5476" s="41" t="str"/>
      <c r="N5476" s="41" t="str"/>
      <c r="O5476" s="41" t="str"/>
      <c r="P5476" s="41" t="str"/>
      <c r="Q5476" s="41" t="str"/>
      <c r="R5476" s="41" t="str"/>
      <c r="S5476" s="41" t="str"/>
      <c r="T5476" s="41" t="str"/>
      <c r="U5476" s="41" t="str"/>
      <c r="V5476" s="41" t="str"/>
      <c r="W5476" s="41" t="str"/>
    </row>
    <row r="5477">
      <c r="B5477" s="2" t="n"/>
      <c r="C5477" s="40" t="n"/>
      <c r="D5477" s="52">
        <f t="array" ref="D5477:W5477">IF(All_Students_Scores!C5475:V5475="","",All_Students_Scores!C5475:V5475)</f>
        <v/>
      </c>
      <c r="E5477" s="57" t="str"/>
      <c r="F5477" s="49" t="str"/>
      <c r="G5477" s="59" t="str"/>
      <c r="H5477" s="64" t="str"/>
      <c r="I5477" s="65" t="str"/>
      <c r="J5477" s="49" t="str"/>
      <c r="K5477" s="41" t="str"/>
      <c r="L5477" s="41" t="str"/>
      <c r="M5477" s="41" t="str"/>
      <c r="N5477" s="41" t="str"/>
      <c r="O5477" s="41" t="str"/>
      <c r="P5477" s="41" t="str"/>
      <c r="Q5477" s="41" t="str"/>
      <c r="R5477" s="41" t="str"/>
      <c r="S5477" s="41" t="str"/>
      <c r="T5477" s="41" t="str"/>
      <c r="U5477" s="41" t="str"/>
      <c r="V5477" s="41" t="str"/>
      <c r="W5477" s="41" t="str"/>
    </row>
    <row r="5478">
      <c r="B5478" s="2" t="n"/>
      <c r="C5478" s="40" t="n"/>
      <c r="D5478" s="52">
        <f t="array" ref="D5478:W5478">IF(All_Students_Scores!C5476:V5476="","",All_Students_Scores!C5476:V5476)</f>
        <v/>
      </c>
      <c r="E5478" s="57" t="str"/>
      <c r="F5478" s="49" t="str"/>
      <c r="G5478" s="59" t="str"/>
      <c r="H5478" s="64" t="str"/>
      <c r="I5478" s="65" t="str"/>
      <c r="J5478" s="49" t="str"/>
      <c r="K5478" s="41" t="str"/>
      <c r="L5478" s="41" t="str"/>
      <c r="M5478" s="41" t="str"/>
      <c r="N5478" s="41" t="str"/>
      <c r="O5478" s="41" t="str"/>
      <c r="P5478" s="41" t="str"/>
      <c r="Q5478" s="41" t="str"/>
      <c r="R5478" s="41" t="str"/>
      <c r="S5478" s="41" t="str"/>
      <c r="T5478" s="41" t="str"/>
      <c r="U5478" s="41" t="str"/>
      <c r="V5478" s="41" t="str"/>
      <c r="W5478" s="41" t="str"/>
    </row>
    <row r="5479">
      <c r="B5479" s="2" t="n"/>
      <c r="C5479" s="40" t="n"/>
      <c r="D5479" s="52">
        <f t="array" ref="D5479:W5479">IF(All_Students_Scores!C5477:V5477="","",All_Students_Scores!C5477:V5477)</f>
        <v/>
      </c>
      <c r="E5479" s="57" t="str"/>
      <c r="F5479" s="49" t="str"/>
      <c r="G5479" s="59" t="str"/>
      <c r="H5479" s="64" t="str"/>
      <c r="I5479" s="65" t="str"/>
      <c r="J5479" s="49" t="str"/>
      <c r="K5479" s="41" t="str"/>
      <c r="L5479" s="41" t="str"/>
      <c r="M5479" s="41" t="str"/>
      <c r="N5479" s="41" t="str"/>
      <c r="O5479" s="41" t="str"/>
      <c r="P5479" s="41" t="str"/>
      <c r="Q5479" s="41" t="str"/>
      <c r="R5479" s="41" t="str"/>
      <c r="S5479" s="41" t="str"/>
      <c r="T5479" s="41" t="str"/>
      <c r="U5479" s="41" t="str"/>
      <c r="V5479" s="41" t="str"/>
      <c r="W5479" s="41" t="str"/>
    </row>
    <row r="5480">
      <c r="B5480" s="2" t="n"/>
      <c r="C5480" s="40" t="n"/>
      <c r="D5480" s="52">
        <f t="array" ref="D5480:W5480">IF(All_Students_Scores!C5478:V5478="","",All_Students_Scores!C5478:V5478)</f>
        <v/>
      </c>
      <c r="E5480" s="57" t="str"/>
      <c r="F5480" s="49" t="str"/>
      <c r="G5480" s="59" t="str"/>
      <c r="H5480" s="64" t="str"/>
      <c r="I5480" s="65" t="str"/>
      <c r="J5480" s="49" t="str"/>
      <c r="K5480" s="41" t="str"/>
      <c r="L5480" s="41" t="str"/>
      <c r="M5480" s="41" t="str"/>
      <c r="N5480" s="41" t="str"/>
      <c r="O5480" s="41" t="str"/>
      <c r="P5480" s="41" t="str"/>
      <c r="Q5480" s="41" t="str"/>
      <c r="R5480" s="41" t="str"/>
      <c r="S5480" s="41" t="str"/>
      <c r="T5480" s="41" t="str"/>
      <c r="U5480" s="41" t="str"/>
      <c r="V5480" s="41" t="str"/>
      <c r="W5480" s="41" t="str"/>
    </row>
    <row r="5481">
      <c r="B5481" s="2" t="n"/>
      <c r="C5481" s="40" t="n"/>
      <c r="D5481" s="52">
        <f t="array" ref="D5481:W5481">IF(All_Students_Scores!C5479:V5479="","",All_Students_Scores!C5479:V5479)</f>
        <v/>
      </c>
      <c r="E5481" s="57" t="str"/>
      <c r="F5481" s="49" t="str"/>
      <c r="G5481" s="59" t="str"/>
      <c r="H5481" s="64" t="str"/>
      <c r="I5481" s="65" t="str"/>
      <c r="J5481" s="49" t="str"/>
      <c r="K5481" s="41" t="str"/>
      <c r="L5481" s="41" t="str"/>
      <c r="M5481" s="41" t="str"/>
      <c r="N5481" s="41" t="str"/>
      <c r="O5481" s="41" t="str"/>
      <c r="P5481" s="41" t="str"/>
      <c r="Q5481" s="41" t="str"/>
      <c r="R5481" s="41" t="str"/>
      <c r="S5481" s="41" t="str"/>
      <c r="T5481" s="41" t="str"/>
      <c r="U5481" s="41" t="str"/>
      <c r="V5481" s="41" t="str"/>
      <c r="W5481" s="41" t="str"/>
    </row>
    <row r="5482">
      <c r="B5482" s="2" t="n"/>
      <c r="C5482" s="40" t="n"/>
      <c r="D5482" s="52">
        <f t="array" ref="D5482:W5482">IF(All_Students_Scores!C5480:V5480="","",All_Students_Scores!C5480:V5480)</f>
        <v/>
      </c>
      <c r="E5482" s="57" t="str"/>
      <c r="F5482" s="49" t="str"/>
      <c r="G5482" s="59" t="str"/>
      <c r="H5482" s="64" t="str"/>
      <c r="I5482" s="65" t="str"/>
      <c r="J5482" s="49" t="str"/>
      <c r="K5482" s="41" t="str"/>
      <c r="L5482" s="41" t="str"/>
      <c r="M5482" s="41" t="str"/>
      <c r="N5482" s="41" t="str"/>
      <c r="O5482" s="41" t="str"/>
      <c r="P5482" s="41" t="str"/>
      <c r="Q5482" s="41" t="str"/>
      <c r="R5482" s="41" t="str"/>
      <c r="S5482" s="41" t="str"/>
      <c r="T5482" s="41" t="str"/>
      <c r="U5482" s="41" t="str"/>
      <c r="V5482" s="41" t="str"/>
      <c r="W5482" s="41" t="str"/>
    </row>
    <row r="5483">
      <c r="B5483" s="2" t="n"/>
      <c r="C5483" s="40" t="n"/>
      <c r="D5483" s="52">
        <f t="array" ref="D5483:W5483">IF(All_Students_Scores!C5481:V5481="","",All_Students_Scores!C5481:V5481)</f>
        <v/>
      </c>
      <c r="E5483" s="57" t="str"/>
      <c r="F5483" s="49" t="str"/>
      <c r="G5483" s="59" t="str"/>
      <c r="H5483" s="64" t="str"/>
      <c r="I5483" s="65" t="str"/>
      <c r="J5483" s="49" t="str"/>
      <c r="K5483" s="41" t="str"/>
      <c r="L5483" s="41" t="str"/>
      <c r="M5483" s="41" t="str"/>
      <c r="N5483" s="41" t="str"/>
      <c r="O5483" s="41" t="str"/>
      <c r="P5483" s="41" t="str"/>
      <c r="Q5483" s="41" t="str"/>
      <c r="R5483" s="41" t="str"/>
      <c r="S5483" s="41" t="str"/>
      <c r="T5483" s="41" t="str"/>
      <c r="U5483" s="41" t="str"/>
      <c r="V5483" s="41" t="str"/>
      <c r="W5483" s="41" t="str"/>
    </row>
    <row r="5484">
      <c r="B5484" s="2" t="n"/>
      <c r="C5484" s="40" t="n"/>
      <c r="D5484" s="52">
        <f t="array" ref="D5484:W5484">IF(All_Students_Scores!C5482:V5482="","",All_Students_Scores!C5482:V5482)</f>
        <v/>
      </c>
      <c r="E5484" s="57" t="str"/>
      <c r="F5484" s="49" t="str"/>
      <c r="G5484" s="59" t="str"/>
      <c r="H5484" s="64" t="str"/>
      <c r="I5484" s="65" t="str"/>
      <c r="J5484" s="49" t="str"/>
      <c r="K5484" s="41" t="str"/>
      <c r="L5484" s="41" t="str"/>
      <c r="M5484" s="41" t="str"/>
      <c r="N5484" s="41" t="str"/>
      <c r="O5484" s="41" t="str"/>
      <c r="P5484" s="41" t="str"/>
      <c r="Q5484" s="41" t="str"/>
      <c r="R5484" s="41" t="str"/>
      <c r="S5484" s="41" t="str"/>
      <c r="T5484" s="41" t="str"/>
      <c r="U5484" s="41" t="str"/>
      <c r="V5484" s="41" t="str"/>
      <c r="W5484" s="41" t="str"/>
    </row>
    <row r="5485">
      <c r="B5485" s="2" t="n"/>
      <c r="C5485" s="40" t="n"/>
      <c r="D5485" s="52">
        <f t="array" ref="D5485:W5485">IF(All_Students_Scores!C5483:V5483="","",All_Students_Scores!C5483:V5483)</f>
        <v/>
      </c>
      <c r="E5485" s="57" t="str"/>
      <c r="F5485" s="49" t="str"/>
      <c r="G5485" s="59" t="str"/>
      <c r="H5485" s="64" t="str"/>
      <c r="I5485" s="65" t="str"/>
      <c r="J5485" s="49" t="str"/>
      <c r="K5485" s="41" t="str"/>
      <c r="L5485" s="41" t="str"/>
      <c r="M5485" s="41" t="str"/>
      <c r="N5485" s="41" t="str"/>
      <c r="O5485" s="41" t="str"/>
      <c r="P5485" s="41" t="str"/>
      <c r="Q5485" s="41" t="str"/>
      <c r="R5485" s="41" t="str"/>
      <c r="S5485" s="41" t="str"/>
      <c r="T5485" s="41" t="str"/>
      <c r="U5485" s="41" t="str"/>
      <c r="V5485" s="41" t="str"/>
      <c r="W5485" s="41" t="str"/>
    </row>
    <row r="5486">
      <c r="B5486" s="2" t="n"/>
      <c r="C5486" s="40" t="n"/>
      <c r="D5486" s="52">
        <f t="array" ref="D5486:W5486">IF(All_Students_Scores!C5484:V5484="","",All_Students_Scores!C5484:V5484)</f>
        <v/>
      </c>
      <c r="E5486" s="57" t="str"/>
      <c r="F5486" s="49" t="str"/>
      <c r="G5486" s="59" t="str"/>
      <c r="H5486" s="64" t="str"/>
      <c r="I5486" s="65" t="str"/>
      <c r="J5486" s="49" t="str"/>
      <c r="K5486" s="41" t="str"/>
      <c r="L5486" s="41" t="str"/>
      <c r="M5486" s="41" t="str"/>
      <c r="N5486" s="41" t="str"/>
      <c r="O5486" s="41" t="str"/>
      <c r="P5486" s="41" t="str"/>
      <c r="Q5486" s="41" t="str"/>
      <c r="R5486" s="41" t="str"/>
      <c r="S5486" s="41" t="str"/>
      <c r="T5486" s="41" t="str"/>
      <c r="U5486" s="41" t="str"/>
      <c r="V5486" s="41" t="str"/>
      <c r="W5486" s="41" t="str"/>
    </row>
    <row r="5487">
      <c r="B5487" s="2" t="n"/>
      <c r="C5487" s="40" t="n"/>
      <c r="D5487" s="52">
        <f t="array" ref="D5487:W5487">IF(All_Students_Scores!C5485:V5485="","",All_Students_Scores!C5485:V5485)</f>
        <v/>
      </c>
      <c r="E5487" s="57" t="str"/>
      <c r="F5487" s="49" t="str"/>
      <c r="G5487" s="59" t="str"/>
      <c r="H5487" s="64" t="str"/>
      <c r="I5487" s="65" t="str"/>
      <c r="J5487" s="49" t="str"/>
      <c r="K5487" s="41" t="str"/>
      <c r="L5487" s="41" t="str"/>
      <c r="M5487" s="41" t="str"/>
      <c r="N5487" s="41" t="str"/>
      <c r="O5487" s="41" t="str"/>
      <c r="P5487" s="41" t="str"/>
      <c r="Q5487" s="41" t="str"/>
      <c r="R5487" s="41" t="str"/>
      <c r="S5487" s="41" t="str"/>
      <c r="T5487" s="41" t="str"/>
      <c r="U5487" s="41" t="str"/>
      <c r="V5487" s="41" t="str"/>
      <c r="W5487" s="41" t="str"/>
    </row>
    <row r="5488">
      <c r="B5488" s="2" t="n"/>
      <c r="C5488" s="40" t="n"/>
      <c r="D5488" s="52">
        <f t="array" ref="D5488:W5488">IF(All_Students_Scores!C5486:V5486="","",All_Students_Scores!C5486:V5486)</f>
        <v/>
      </c>
      <c r="E5488" s="57" t="str"/>
      <c r="F5488" s="49" t="str"/>
      <c r="G5488" s="59" t="str"/>
      <c r="H5488" s="64" t="str"/>
      <c r="I5488" s="65" t="str"/>
      <c r="J5488" s="49" t="str"/>
      <c r="K5488" s="41" t="str"/>
      <c r="L5488" s="41" t="str"/>
      <c r="M5488" s="41" t="str"/>
      <c r="N5488" s="41" t="str"/>
      <c r="O5488" s="41" t="str"/>
      <c r="P5488" s="41" t="str"/>
      <c r="Q5488" s="41" t="str"/>
      <c r="R5488" s="41" t="str"/>
      <c r="S5488" s="41" t="str"/>
      <c r="T5488" s="41" t="str"/>
      <c r="U5488" s="41" t="str"/>
      <c r="V5488" s="41" t="str"/>
      <c r="W5488" s="41" t="str"/>
    </row>
    <row r="5489">
      <c r="B5489" s="2" t="n"/>
      <c r="C5489" s="40" t="n"/>
      <c r="D5489" s="52">
        <f t="array" ref="D5489:W5489">IF(All_Students_Scores!C5487:V5487="","",All_Students_Scores!C5487:V5487)</f>
        <v/>
      </c>
      <c r="E5489" s="57" t="str"/>
      <c r="F5489" s="49" t="str"/>
      <c r="G5489" s="59" t="str"/>
      <c r="H5489" s="64" t="str"/>
      <c r="I5489" s="65" t="str"/>
      <c r="J5489" s="49" t="str"/>
      <c r="K5489" s="41" t="str"/>
      <c r="L5489" s="41" t="str"/>
      <c r="M5489" s="41" t="str"/>
      <c r="N5489" s="41" t="str"/>
      <c r="O5489" s="41" t="str"/>
      <c r="P5489" s="41" t="str"/>
      <c r="Q5489" s="41" t="str"/>
      <c r="R5489" s="41" t="str"/>
      <c r="S5489" s="41" t="str"/>
      <c r="T5489" s="41" t="str"/>
      <c r="U5489" s="41" t="str"/>
      <c r="V5489" s="41" t="str"/>
      <c r="W5489" s="41" t="str"/>
    </row>
    <row r="5490">
      <c r="B5490" s="2" t="n"/>
      <c r="C5490" s="40" t="n"/>
      <c r="D5490" s="52">
        <f t="array" ref="D5490:W5490">IF(All_Students_Scores!C5488:V5488="","",All_Students_Scores!C5488:V5488)</f>
        <v/>
      </c>
      <c r="E5490" s="57" t="str"/>
      <c r="F5490" s="49" t="str"/>
      <c r="G5490" s="59" t="str"/>
      <c r="H5490" s="64" t="str"/>
      <c r="I5490" s="65" t="str"/>
      <c r="J5490" s="49" t="str"/>
      <c r="K5490" s="41" t="str"/>
      <c r="L5490" s="41" t="str"/>
      <c r="M5490" s="41" t="str"/>
      <c r="N5490" s="41" t="str"/>
      <c r="O5490" s="41" t="str"/>
      <c r="P5490" s="41" t="str"/>
      <c r="Q5490" s="41" t="str"/>
      <c r="R5490" s="41" t="str"/>
      <c r="S5490" s="41" t="str"/>
      <c r="T5490" s="41" t="str"/>
      <c r="U5490" s="41" t="str"/>
      <c r="V5490" s="41" t="str"/>
      <c r="W5490" s="41" t="str"/>
    </row>
    <row r="5491">
      <c r="B5491" s="2" t="n"/>
      <c r="C5491" s="40" t="n"/>
      <c r="D5491" s="52">
        <f t="array" ref="D5491:W5491">IF(All_Students_Scores!C5489:V5489="","",All_Students_Scores!C5489:V5489)</f>
        <v/>
      </c>
      <c r="E5491" s="57" t="str"/>
      <c r="F5491" s="49" t="str"/>
      <c r="G5491" s="59" t="str"/>
      <c r="H5491" s="64" t="str"/>
      <c r="I5491" s="65" t="str"/>
      <c r="J5491" s="49" t="str"/>
      <c r="K5491" s="41" t="str"/>
      <c r="L5491" s="41" t="str"/>
      <c r="M5491" s="41" t="str"/>
      <c r="N5491" s="41" t="str"/>
      <c r="O5491" s="41" t="str"/>
      <c r="P5491" s="41" t="str"/>
      <c r="Q5491" s="41" t="str"/>
      <c r="R5491" s="41" t="str"/>
      <c r="S5491" s="41" t="str"/>
      <c r="T5491" s="41" t="str"/>
      <c r="U5491" s="41" t="str"/>
      <c r="V5491" s="41" t="str"/>
      <c r="W5491" s="41" t="str"/>
    </row>
    <row r="5492">
      <c r="B5492" s="2" t="n"/>
      <c r="C5492" s="40" t="n"/>
      <c r="D5492" s="52">
        <f t="array" ref="D5492:W5492">IF(All_Students_Scores!C5490:V5490="","",All_Students_Scores!C5490:V5490)</f>
        <v/>
      </c>
      <c r="E5492" s="57" t="str"/>
      <c r="F5492" s="49" t="str"/>
      <c r="G5492" s="59" t="str"/>
      <c r="H5492" s="64" t="str"/>
      <c r="I5492" s="65" t="str"/>
      <c r="J5492" s="49" t="str"/>
      <c r="K5492" s="41" t="str"/>
      <c r="L5492" s="41" t="str"/>
      <c r="M5492" s="41" t="str"/>
      <c r="N5492" s="41" t="str"/>
      <c r="O5492" s="41" t="str"/>
      <c r="P5492" s="41" t="str"/>
      <c r="Q5492" s="41" t="str"/>
      <c r="R5492" s="41" t="str"/>
      <c r="S5492" s="41" t="str"/>
      <c r="T5492" s="41" t="str"/>
      <c r="U5492" s="41" t="str"/>
      <c r="V5492" s="41" t="str"/>
      <c r="W5492" s="41" t="str"/>
    </row>
    <row r="5493">
      <c r="B5493" s="2" t="n"/>
      <c r="C5493" s="40" t="n"/>
      <c r="D5493" s="52">
        <f t="array" ref="D5493:W5493">IF(All_Students_Scores!C5491:V5491="","",All_Students_Scores!C5491:V5491)</f>
        <v/>
      </c>
      <c r="E5493" s="57" t="str"/>
      <c r="F5493" s="49" t="str"/>
      <c r="G5493" s="59" t="str"/>
      <c r="H5493" s="64" t="str"/>
      <c r="I5493" s="65" t="str"/>
      <c r="J5493" s="49" t="str"/>
      <c r="K5493" s="41" t="str"/>
      <c r="L5493" s="41" t="str"/>
      <c r="M5493" s="41" t="str"/>
      <c r="N5493" s="41" t="str"/>
      <c r="O5493" s="41" t="str"/>
      <c r="P5493" s="41" t="str"/>
      <c r="Q5493" s="41" t="str"/>
      <c r="R5493" s="41" t="str"/>
      <c r="S5493" s="41" t="str"/>
      <c r="T5493" s="41" t="str"/>
      <c r="U5493" s="41" t="str"/>
      <c r="V5493" s="41" t="str"/>
      <c r="W5493" s="41" t="str"/>
    </row>
    <row r="5494">
      <c r="B5494" s="2" t="n"/>
      <c r="C5494" s="40" t="n"/>
      <c r="D5494" s="52">
        <f t="array" ref="D5494:W5494">IF(All_Students_Scores!C5492:V5492="","",All_Students_Scores!C5492:V5492)</f>
        <v/>
      </c>
      <c r="E5494" s="57" t="str"/>
      <c r="F5494" s="49" t="str"/>
      <c r="G5494" s="59" t="str"/>
      <c r="H5494" s="64" t="str"/>
      <c r="I5494" s="65" t="str"/>
      <c r="J5494" s="49" t="str"/>
      <c r="K5494" s="41" t="str"/>
      <c r="L5494" s="41" t="str"/>
      <c r="M5494" s="41" t="str"/>
      <c r="N5494" s="41" t="str"/>
      <c r="O5494" s="41" t="str"/>
      <c r="P5494" s="41" t="str"/>
      <c r="Q5494" s="41" t="str"/>
      <c r="R5494" s="41" t="str"/>
      <c r="S5494" s="41" t="str"/>
      <c r="T5494" s="41" t="str"/>
      <c r="U5494" s="41" t="str"/>
      <c r="V5494" s="41" t="str"/>
      <c r="W5494" s="41" t="str"/>
    </row>
    <row r="5495">
      <c r="B5495" s="2" t="n"/>
      <c r="C5495" s="40" t="n"/>
      <c r="D5495" s="52">
        <f t="array" ref="D5495:W5495">IF(All_Students_Scores!C5493:V5493="","",All_Students_Scores!C5493:V5493)</f>
        <v/>
      </c>
      <c r="E5495" s="57" t="str"/>
      <c r="F5495" s="49" t="str"/>
      <c r="G5495" s="59" t="str"/>
      <c r="H5495" s="64" t="str"/>
      <c r="I5495" s="65" t="str"/>
      <c r="J5495" s="49" t="str"/>
      <c r="K5495" s="41" t="str"/>
      <c r="L5495" s="41" t="str"/>
      <c r="M5495" s="41" t="str"/>
      <c r="N5495" s="41" t="str"/>
      <c r="O5495" s="41" t="str"/>
      <c r="P5495" s="41" t="str"/>
      <c r="Q5495" s="41" t="str"/>
      <c r="R5495" s="41" t="str"/>
      <c r="S5495" s="41" t="str"/>
      <c r="T5495" s="41" t="str"/>
      <c r="U5495" s="41" t="str"/>
      <c r="V5495" s="41" t="str"/>
      <c r="W5495" s="41" t="str"/>
    </row>
    <row r="5496">
      <c r="B5496" s="2" t="n"/>
      <c r="C5496" s="40" t="n"/>
      <c r="D5496" s="52">
        <f t="array" ref="D5496:W5496">IF(All_Students_Scores!C5494:V5494="","",All_Students_Scores!C5494:V5494)</f>
        <v/>
      </c>
      <c r="E5496" s="57" t="str"/>
      <c r="F5496" s="49" t="str"/>
      <c r="G5496" s="59" t="str"/>
      <c r="H5496" s="64" t="str"/>
      <c r="I5496" s="65" t="str"/>
      <c r="J5496" s="49" t="str"/>
      <c r="K5496" s="41" t="str"/>
      <c r="L5496" s="41" t="str"/>
      <c r="M5496" s="41" t="str"/>
      <c r="N5496" s="41" t="str"/>
      <c r="O5496" s="41" t="str"/>
      <c r="P5496" s="41" t="str"/>
      <c r="Q5496" s="41" t="str"/>
      <c r="R5496" s="41" t="str"/>
      <c r="S5496" s="41" t="str"/>
      <c r="T5496" s="41" t="str"/>
      <c r="U5496" s="41" t="str"/>
      <c r="V5496" s="41" t="str"/>
      <c r="W5496" s="41" t="str"/>
    </row>
    <row r="5497">
      <c r="B5497" s="2" t="n"/>
      <c r="C5497" s="40" t="n"/>
      <c r="D5497" s="52">
        <f t="array" ref="D5497:W5497">IF(All_Students_Scores!C5495:V5495="","",All_Students_Scores!C5495:V5495)</f>
        <v/>
      </c>
      <c r="E5497" s="57" t="str"/>
      <c r="F5497" s="49" t="str"/>
      <c r="G5497" s="59" t="str"/>
      <c r="H5497" s="64" t="str"/>
      <c r="I5497" s="65" t="str"/>
      <c r="J5497" s="49" t="str"/>
      <c r="K5497" s="41" t="str"/>
      <c r="L5497" s="41" t="str"/>
      <c r="M5497" s="41" t="str"/>
      <c r="N5497" s="41" t="str"/>
      <c r="O5497" s="41" t="str"/>
      <c r="P5497" s="41" t="str"/>
      <c r="Q5497" s="41" t="str"/>
      <c r="R5497" s="41" t="str"/>
      <c r="S5497" s="41" t="str"/>
      <c r="T5497" s="41" t="str"/>
      <c r="U5497" s="41" t="str"/>
      <c r="V5497" s="41" t="str"/>
      <c r="W5497" s="41" t="str"/>
    </row>
    <row r="5498">
      <c r="B5498" s="2" t="n"/>
      <c r="C5498" s="40" t="n"/>
      <c r="D5498" s="52">
        <f t="array" ref="D5498:W5498">IF(All_Students_Scores!C5496:V5496="","",All_Students_Scores!C5496:V5496)</f>
        <v/>
      </c>
      <c r="E5498" s="57" t="str"/>
      <c r="F5498" s="49" t="str"/>
      <c r="G5498" s="59" t="str"/>
      <c r="H5498" s="64" t="str"/>
      <c r="I5498" s="65" t="str"/>
      <c r="J5498" s="49" t="str"/>
      <c r="K5498" s="41" t="str"/>
      <c r="L5498" s="41" t="str"/>
      <c r="M5498" s="41" t="str"/>
      <c r="N5498" s="41" t="str"/>
      <c r="O5498" s="41" t="str"/>
      <c r="P5498" s="41" t="str"/>
      <c r="Q5498" s="41" t="str"/>
      <c r="R5498" s="41" t="str"/>
      <c r="S5498" s="41" t="str"/>
      <c r="T5498" s="41" t="str"/>
      <c r="U5498" s="41" t="str"/>
      <c r="V5498" s="41" t="str"/>
      <c r="W5498" s="41" t="str"/>
    </row>
    <row r="5499">
      <c r="B5499" s="2" t="n"/>
      <c r="C5499" s="40" t="n"/>
      <c r="D5499" s="52">
        <f t="array" ref="D5499:W5499">IF(All_Students_Scores!C5497:V5497="","",All_Students_Scores!C5497:V5497)</f>
        <v/>
      </c>
      <c r="E5499" s="57" t="str"/>
      <c r="F5499" s="49" t="str"/>
      <c r="G5499" s="59" t="str"/>
      <c r="H5499" s="64" t="str"/>
      <c r="I5499" s="65" t="str"/>
      <c r="J5499" s="49" t="str"/>
      <c r="K5499" s="41" t="str"/>
      <c r="L5499" s="41" t="str"/>
      <c r="M5499" s="41" t="str"/>
      <c r="N5499" s="41" t="str"/>
      <c r="O5499" s="41" t="str"/>
      <c r="P5499" s="41" t="str"/>
      <c r="Q5499" s="41" t="str"/>
      <c r="R5499" s="41" t="str"/>
      <c r="S5499" s="41" t="str"/>
      <c r="T5499" s="41" t="str"/>
      <c r="U5499" s="41" t="str"/>
      <c r="V5499" s="41" t="str"/>
      <c r="W5499" s="41" t="str"/>
    </row>
    <row r="5500">
      <c r="B5500" s="2" t="n"/>
      <c r="C5500" s="40" t="n"/>
      <c r="D5500" s="52">
        <f t="array" ref="D5500:W5500">IF(All_Students_Scores!C5498:V5498="","",All_Students_Scores!C5498:V5498)</f>
        <v/>
      </c>
      <c r="E5500" s="57" t="str"/>
      <c r="F5500" s="49" t="str"/>
      <c r="G5500" s="59" t="str"/>
      <c r="H5500" s="64" t="str"/>
      <c r="I5500" s="65" t="str"/>
      <c r="J5500" s="49" t="str"/>
      <c r="K5500" s="41" t="str"/>
      <c r="L5500" s="41" t="str"/>
      <c r="M5500" s="41" t="str"/>
      <c r="N5500" s="41" t="str"/>
      <c r="O5500" s="41" t="str"/>
      <c r="P5500" s="41" t="str"/>
      <c r="Q5500" s="41" t="str"/>
      <c r="R5500" s="41" t="str"/>
      <c r="S5500" s="41" t="str"/>
      <c r="T5500" s="41" t="str"/>
      <c r="U5500" s="41" t="str"/>
      <c r="V5500" s="41" t="str"/>
      <c r="W5500" s="41" t="str"/>
    </row>
    <row r="5501">
      <c r="B5501" s="2" t="n"/>
      <c r="C5501" s="40" t="n"/>
      <c r="D5501" s="52">
        <f t="array" ref="D5501:W5501">IF(All_Students_Scores!C5499:V5499="","",All_Students_Scores!C5499:V5499)</f>
        <v/>
      </c>
      <c r="E5501" s="57" t="str"/>
      <c r="F5501" s="49" t="str"/>
      <c r="G5501" s="59" t="str"/>
      <c r="H5501" s="64" t="str"/>
      <c r="I5501" s="65" t="str"/>
      <c r="J5501" s="49" t="str"/>
      <c r="K5501" s="41" t="str"/>
      <c r="L5501" s="41" t="str"/>
      <c r="M5501" s="41" t="str"/>
      <c r="N5501" s="41" t="str"/>
      <c r="O5501" s="41" t="str"/>
      <c r="P5501" s="41" t="str"/>
      <c r="Q5501" s="41" t="str"/>
      <c r="R5501" s="41" t="str"/>
      <c r="S5501" s="41" t="str"/>
      <c r="T5501" s="41" t="str"/>
      <c r="U5501" s="41" t="str"/>
      <c r="V5501" s="41" t="str"/>
      <c r="W5501" s="41" t="str"/>
    </row>
    <row r="5502">
      <c r="B5502" s="2" t="n"/>
      <c r="C5502" s="40" t="n"/>
      <c r="D5502" s="52">
        <f t="array" ref="D5502:W5502">IF(All_Students_Scores!C5500:V5500="","",All_Students_Scores!C5500:V5500)</f>
        <v/>
      </c>
      <c r="E5502" s="57" t="str"/>
      <c r="F5502" s="49" t="str"/>
      <c r="G5502" s="59" t="str"/>
      <c r="H5502" s="64" t="str"/>
      <c r="I5502" s="65" t="str"/>
      <c r="J5502" s="49" t="str"/>
      <c r="K5502" s="41" t="str"/>
      <c r="L5502" s="41" t="str"/>
      <c r="M5502" s="41" t="str"/>
      <c r="N5502" s="41" t="str"/>
      <c r="O5502" s="41" t="str"/>
      <c r="P5502" s="41" t="str"/>
      <c r="Q5502" s="41" t="str"/>
      <c r="R5502" s="41" t="str"/>
      <c r="S5502" s="41" t="str"/>
      <c r="T5502" s="41" t="str"/>
      <c r="U5502" s="41" t="str"/>
      <c r="V5502" s="41" t="str"/>
      <c r="W5502" s="41" t="str"/>
    </row>
    <row r="5503">
      <c r="B5503" s="2" t="n"/>
      <c r="C5503" s="40" t="n"/>
      <c r="D5503" s="52">
        <f t="array" ref="D5503:W5503">IF(All_Students_Scores!C5501:V5501="","",All_Students_Scores!C5501:V5501)</f>
        <v/>
      </c>
      <c r="E5503" s="57" t="str"/>
      <c r="F5503" s="49" t="str"/>
      <c r="G5503" s="59" t="str"/>
      <c r="H5503" s="64" t="str"/>
      <c r="I5503" s="65" t="str"/>
      <c r="J5503" s="49" t="str"/>
      <c r="K5503" s="41" t="str"/>
      <c r="L5503" s="41" t="str"/>
      <c r="M5503" s="41" t="str"/>
      <c r="N5503" s="41" t="str"/>
      <c r="O5503" s="41" t="str"/>
      <c r="P5503" s="41" t="str"/>
      <c r="Q5503" s="41" t="str"/>
      <c r="R5503" s="41" t="str"/>
      <c r="S5503" s="41" t="str"/>
      <c r="T5503" s="41" t="str"/>
      <c r="U5503" s="41" t="str"/>
      <c r="V5503" s="41" t="str"/>
      <c r="W5503" s="41" t="str"/>
    </row>
    <row r="5504">
      <c r="B5504" s="2" t="n"/>
      <c r="C5504" s="40" t="n"/>
      <c r="D5504" s="52">
        <f t="array" ref="D5504:W5504">IF(All_Students_Scores!C5502:V5502="","",All_Students_Scores!C5502:V5502)</f>
        <v/>
      </c>
      <c r="E5504" s="57" t="str"/>
      <c r="F5504" s="49" t="str"/>
      <c r="G5504" s="59" t="str"/>
      <c r="H5504" s="64" t="str"/>
      <c r="I5504" s="65" t="str"/>
      <c r="J5504" s="49" t="str"/>
      <c r="K5504" s="41" t="str"/>
      <c r="L5504" s="41" t="str"/>
      <c r="M5504" s="41" t="str"/>
      <c r="N5504" s="41" t="str"/>
      <c r="O5504" s="41" t="str"/>
      <c r="P5504" s="41" t="str"/>
      <c r="Q5504" s="41" t="str"/>
      <c r="R5504" s="41" t="str"/>
      <c r="S5504" s="41" t="str"/>
      <c r="T5504" s="41" t="str"/>
      <c r="U5504" s="41" t="str"/>
      <c r="V5504" s="41" t="str"/>
      <c r="W5504" s="41" t="str"/>
    </row>
    <row r="5505">
      <c r="B5505" s="2" t="n"/>
      <c r="C5505" s="40" t="n"/>
      <c r="D5505" s="52">
        <f t="array" ref="D5505:W5505">IF(All_Students_Scores!C5503:V5503="","",All_Students_Scores!C5503:V5503)</f>
        <v/>
      </c>
      <c r="E5505" s="57" t="str"/>
      <c r="F5505" s="49" t="str"/>
      <c r="G5505" s="59" t="str"/>
      <c r="H5505" s="64" t="str"/>
      <c r="I5505" s="65" t="str"/>
      <c r="J5505" s="49" t="str"/>
      <c r="K5505" s="41" t="str"/>
      <c r="L5505" s="41" t="str"/>
      <c r="M5505" s="41" t="str"/>
      <c r="N5505" s="41" t="str"/>
      <c r="O5505" s="41" t="str"/>
      <c r="P5505" s="41" t="str"/>
      <c r="Q5505" s="41" t="str"/>
      <c r="R5505" s="41" t="str"/>
      <c r="S5505" s="41" t="str"/>
      <c r="T5505" s="41" t="str"/>
      <c r="U5505" s="41" t="str"/>
      <c r="V5505" s="41" t="str"/>
      <c r="W5505" s="41" t="str"/>
    </row>
    <row r="5506">
      <c r="B5506" s="2" t="n"/>
      <c r="C5506" s="40" t="n"/>
      <c r="D5506" s="52">
        <f t="array" ref="D5506:W5506">IF(All_Students_Scores!C5504:V5504="","",All_Students_Scores!C5504:V5504)</f>
        <v/>
      </c>
      <c r="E5506" s="57" t="str"/>
      <c r="F5506" s="49" t="str"/>
      <c r="G5506" s="59" t="str"/>
      <c r="H5506" s="64" t="str"/>
      <c r="I5506" s="65" t="str"/>
      <c r="J5506" s="49" t="str"/>
      <c r="K5506" s="41" t="str"/>
      <c r="L5506" s="41" t="str"/>
      <c r="M5506" s="41" t="str"/>
      <c r="N5506" s="41" t="str"/>
      <c r="O5506" s="41" t="str"/>
      <c r="P5506" s="41" t="str"/>
      <c r="Q5506" s="41" t="str"/>
      <c r="R5506" s="41" t="str"/>
      <c r="S5506" s="41" t="str"/>
      <c r="T5506" s="41" t="str"/>
      <c r="U5506" s="41" t="str"/>
      <c r="V5506" s="41" t="str"/>
      <c r="W5506" s="41" t="str"/>
    </row>
    <row r="5507">
      <c r="B5507" s="2" t="n"/>
      <c r="C5507" s="40" t="n"/>
      <c r="D5507" s="52">
        <f t="array" ref="D5507:W5507">IF(All_Students_Scores!C5505:V5505="","",All_Students_Scores!C5505:V5505)</f>
        <v/>
      </c>
      <c r="E5507" s="57" t="str"/>
      <c r="F5507" s="49" t="str"/>
      <c r="G5507" s="59" t="str"/>
      <c r="H5507" s="64" t="str"/>
      <c r="I5507" s="65" t="str"/>
      <c r="J5507" s="49" t="str"/>
      <c r="K5507" s="41" t="str"/>
      <c r="L5507" s="41" t="str"/>
      <c r="M5507" s="41" t="str"/>
      <c r="N5507" s="41" t="str"/>
      <c r="O5507" s="41" t="str"/>
      <c r="P5507" s="41" t="str"/>
      <c r="Q5507" s="41" t="str"/>
      <c r="R5507" s="41" t="str"/>
      <c r="S5507" s="41" t="str"/>
      <c r="T5507" s="41" t="str"/>
      <c r="U5507" s="41" t="str"/>
      <c r="V5507" s="41" t="str"/>
      <c r="W5507" s="41" t="str"/>
    </row>
    <row r="5508">
      <c r="B5508" s="2" t="n"/>
      <c r="C5508" s="40" t="n"/>
      <c r="D5508" s="52">
        <f t="array" ref="D5508:W5508">IF(All_Students_Scores!C5506:V5506="","",All_Students_Scores!C5506:V5506)</f>
        <v/>
      </c>
      <c r="E5508" s="57" t="str"/>
      <c r="F5508" s="49" t="str"/>
      <c r="G5508" s="59" t="str"/>
      <c r="H5508" s="64" t="str"/>
      <c r="I5508" s="65" t="str"/>
      <c r="J5508" s="49" t="str"/>
      <c r="K5508" s="41" t="str"/>
      <c r="L5508" s="41" t="str"/>
      <c r="M5508" s="41" t="str"/>
      <c r="N5508" s="41" t="str"/>
      <c r="O5508" s="41" t="str"/>
      <c r="P5508" s="41" t="str"/>
      <c r="Q5508" s="41" t="str"/>
      <c r="R5508" s="41" t="str"/>
      <c r="S5508" s="41" t="str"/>
      <c r="T5508" s="41" t="str"/>
      <c r="U5508" s="41" t="str"/>
      <c r="V5508" s="41" t="str"/>
      <c r="W5508" s="41" t="str"/>
    </row>
    <row r="5509">
      <c r="B5509" s="2" t="n"/>
      <c r="C5509" s="40" t="n"/>
      <c r="D5509" s="52">
        <f t="array" ref="D5509:W5509">IF(All_Students_Scores!C5507:V5507="","",All_Students_Scores!C5507:V5507)</f>
        <v/>
      </c>
      <c r="E5509" s="57" t="str"/>
      <c r="F5509" s="49" t="str"/>
      <c r="G5509" s="59" t="str"/>
      <c r="H5509" s="64" t="str"/>
      <c r="I5509" s="65" t="str"/>
      <c r="J5509" s="49" t="str"/>
      <c r="K5509" s="41" t="str"/>
      <c r="L5509" s="41" t="str"/>
      <c r="M5509" s="41" t="str"/>
      <c r="N5509" s="41" t="str"/>
      <c r="O5509" s="41" t="str"/>
      <c r="P5509" s="41" t="str"/>
      <c r="Q5509" s="41" t="str"/>
      <c r="R5509" s="41" t="str"/>
      <c r="S5509" s="41" t="str"/>
      <c r="T5509" s="41" t="str"/>
      <c r="U5509" s="41" t="str"/>
      <c r="V5509" s="41" t="str"/>
      <c r="W5509" s="41" t="str"/>
    </row>
    <row r="5510">
      <c r="B5510" s="2" t="n"/>
      <c r="C5510" s="40" t="n"/>
      <c r="D5510" s="52">
        <f t="array" ref="D5510:W5510">IF(All_Students_Scores!C5508:V5508="","",All_Students_Scores!C5508:V5508)</f>
        <v/>
      </c>
      <c r="E5510" s="57" t="str"/>
      <c r="F5510" s="49" t="str"/>
      <c r="G5510" s="59" t="str"/>
      <c r="H5510" s="64" t="str"/>
      <c r="I5510" s="65" t="str"/>
      <c r="J5510" s="49" t="str"/>
      <c r="K5510" s="41" t="str"/>
      <c r="L5510" s="41" t="str"/>
      <c r="M5510" s="41" t="str"/>
      <c r="N5510" s="41" t="str"/>
      <c r="O5510" s="41" t="str"/>
      <c r="P5510" s="41" t="str"/>
      <c r="Q5510" s="41" t="str"/>
      <c r="R5510" s="41" t="str"/>
      <c r="S5510" s="41" t="str"/>
      <c r="T5510" s="41" t="str"/>
      <c r="U5510" s="41" t="str"/>
      <c r="V5510" s="41" t="str"/>
      <c r="W5510" s="41" t="str"/>
    </row>
    <row r="5511">
      <c r="B5511" s="2" t="n"/>
      <c r="C5511" s="40" t="n"/>
      <c r="D5511" s="52">
        <f t="array" ref="D5511:W5511">IF(All_Students_Scores!C5509:V5509="","",All_Students_Scores!C5509:V5509)</f>
        <v/>
      </c>
      <c r="E5511" s="57" t="str"/>
      <c r="F5511" s="49" t="str"/>
      <c r="G5511" s="59" t="str"/>
      <c r="H5511" s="64" t="str"/>
      <c r="I5511" s="65" t="str"/>
      <c r="J5511" s="49" t="str"/>
      <c r="K5511" s="41" t="str"/>
      <c r="L5511" s="41" t="str"/>
      <c r="M5511" s="41" t="str"/>
      <c r="N5511" s="41" t="str"/>
      <c r="O5511" s="41" t="str"/>
      <c r="P5511" s="41" t="str"/>
      <c r="Q5511" s="41" t="str"/>
      <c r="R5511" s="41" t="str"/>
      <c r="S5511" s="41" t="str"/>
      <c r="T5511" s="41" t="str"/>
      <c r="U5511" s="41" t="str"/>
      <c r="V5511" s="41" t="str"/>
      <c r="W5511" s="41" t="str"/>
    </row>
    <row r="5512">
      <c r="B5512" s="2" t="n"/>
      <c r="C5512" s="40" t="n"/>
      <c r="D5512" s="52">
        <f t="array" ref="D5512:W5512">IF(All_Students_Scores!C5510:V5510="","",All_Students_Scores!C5510:V5510)</f>
        <v/>
      </c>
      <c r="E5512" s="57" t="str"/>
      <c r="F5512" s="49" t="str"/>
      <c r="G5512" s="59" t="str"/>
      <c r="H5512" s="64" t="str"/>
      <c r="I5512" s="65" t="str"/>
      <c r="J5512" s="49" t="str"/>
      <c r="K5512" s="41" t="str"/>
      <c r="L5512" s="41" t="str"/>
      <c r="M5512" s="41" t="str"/>
      <c r="N5512" s="41" t="str"/>
      <c r="O5512" s="41" t="str"/>
      <c r="P5512" s="41" t="str"/>
      <c r="Q5512" s="41" t="str"/>
      <c r="R5512" s="41" t="str"/>
      <c r="S5512" s="41" t="str"/>
      <c r="T5512" s="41" t="str"/>
      <c r="U5512" s="41" t="str"/>
      <c r="V5512" s="41" t="str"/>
      <c r="W5512" s="41" t="str"/>
    </row>
    <row r="5513">
      <c r="B5513" s="2" t="n"/>
      <c r="C5513" s="40" t="n"/>
      <c r="D5513" s="52">
        <f t="array" ref="D5513:W5513">IF(All_Students_Scores!C5511:V5511="","",All_Students_Scores!C5511:V5511)</f>
        <v/>
      </c>
      <c r="E5513" s="57" t="str"/>
      <c r="F5513" s="49" t="str"/>
      <c r="G5513" s="59" t="str"/>
      <c r="H5513" s="64" t="str"/>
      <c r="I5513" s="65" t="str"/>
      <c r="J5513" s="49" t="str"/>
      <c r="K5513" s="41" t="str"/>
      <c r="L5513" s="41" t="str"/>
      <c r="M5513" s="41" t="str"/>
      <c r="N5513" s="41" t="str"/>
      <c r="O5513" s="41" t="str"/>
      <c r="P5513" s="41" t="str"/>
      <c r="Q5513" s="41" t="str"/>
      <c r="R5513" s="41" t="str"/>
      <c r="S5513" s="41" t="str"/>
      <c r="T5513" s="41" t="str"/>
      <c r="U5513" s="41" t="str"/>
      <c r="V5513" s="41" t="str"/>
      <c r="W5513" s="41" t="str"/>
    </row>
    <row r="5514">
      <c r="B5514" s="2" t="n"/>
      <c r="C5514" s="40" t="n"/>
      <c r="D5514" s="52">
        <f t="array" ref="D5514:W5514">IF(All_Students_Scores!C5512:V5512="","",All_Students_Scores!C5512:V5512)</f>
        <v/>
      </c>
      <c r="E5514" s="57" t="str"/>
      <c r="F5514" s="49" t="str"/>
      <c r="G5514" s="59" t="str"/>
      <c r="H5514" s="64" t="str"/>
      <c r="I5514" s="65" t="str"/>
      <c r="J5514" s="49" t="str"/>
      <c r="K5514" s="41" t="str"/>
      <c r="L5514" s="41" t="str"/>
      <c r="M5514" s="41" t="str"/>
      <c r="N5514" s="41" t="str"/>
      <c r="O5514" s="41" t="str"/>
      <c r="P5514" s="41" t="str"/>
      <c r="Q5514" s="41" t="str"/>
      <c r="R5514" s="41" t="str"/>
      <c r="S5514" s="41" t="str"/>
      <c r="T5514" s="41" t="str"/>
      <c r="U5514" s="41" t="str"/>
      <c r="V5514" s="41" t="str"/>
      <c r="W5514" s="41" t="str"/>
    </row>
    <row r="5515">
      <c r="B5515" s="2" t="n"/>
      <c r="C5515" s="40" t="n"/>
      <c r="D5515" s="52">
        <f t="array" ref="D5515:W5515">IF(All_Students_Scores!C5513:V5513="","",All_Students_Scores!C5513:V5513)</f>
        <v/>
      </c>
      <c r="E5515" s="57" t="str"/>
      <c r="F5515" s="49" t="str"/>
      <c r="G5515" s="59" t="str"/>
      <c r="H5515" s="64" t="str"/>
      <c r="I5515" s="65" t="str"/>
      <c r="J5515" s="49" t="str"/>
      <c r="K5515" s="41" t="str"/>
      <c r="L5515" s="41" t="str"/>
      <c r="M5515" s="41" t="str"/>
      <c r="N5515" s="41" t="str"/>
      <c r="O5515" s="41" t="str"/>
      <c r="P5515" s="41" t="str"/>
      <c r="Q5515" s="41" t="str"/>
      <c r="R5515" s="41" t="str"/>
      <c r="S5515" s="41" t="str"/>
      <c r="T5515" s="41" t="str"/>
      <c r="U5515" s="41" t="str"/>
      <c r="V5515" s="41" t="str"/>
      <c r="W5515" s="41" t="str"/>
    </row>
    <row r="5516">
      <c r="B5516" s="2" t="n"/>
      <c r="C5516" s="40" t="n"/>
      <c r="D5516" s="52">
        <f t="array" ref="D5516:W5516">IF(All_Students_Scores!C5514:V5514="","",All_Students_Scores!C5514:V5514)</f>
        <v/>
      </c>
      <c r="E5516" s="57" t="str"/>
      <c r="F5516" s="49" t="str"/>
      <c r="G5516" s="59" t="str"/>
      <c r="H5516" s="64" t="str"/>
      <c r="I5516" s="65" t="str"/>
      <c r="J5516" s="49" t="str"/>
      <c r="K5516" s="41" t="str"/>
      <c r="L5516" s="41" t="str"/>
      <c r="M5516" s="41" t="str"/>
      <c r="N5516" s="41" t="str"/>
      <c r="O5516" s="41" t="str"/>
      <c r="P5516" s="41" t="str"/>
      <c r="Q5516" s="41" t="str"/>
      <c r="R5516" s="41" t="str"/>
      <c r="S5516" s="41" t="str"/>
      <c r="T5516" s="41" t="str"/>
      <c r="U5516" s="41" t="str"/>
      <c r="V5516" s="41" t="str"/>
      <c r="W5516" s="41" t="str"/>
    </row>
    <row r="5517">
      <c r="B5517" s="2" t="n"/>
      <c r="C5517" s="40" t="n"/>
      <c r="D5517" s="52">
        <f t="array" ref="D5517:W5517">IF(All_Students_Scores!C5515:V5515="","",All_Students_Scores!C5515:V5515)</f>
        <v/>
      </c>
      <c r="E5517" s="57" t="str"/>
      <c r="F5517" s="49" t="str"/>
      <c r="G5517" s="59" t="str"/>
      <c r="H5517" s="64" t="str"/>
      <c r="I5517" s="65" t="str"/>
      <c r="J5517" s="49" t="str"/>
      <c r="K5517" s="41" t="str"/>
      <c r="L5517" s="41" t="str"/>
      <c r="M5517" s="41" t="str"/>
      <c r="N5517" s="41" t="str"/>
      <c r="O5517" s="41" t="str"/>
      <c r="P5517" s="41" t="str"/>
      <c r="Q5517" s="41" t="str"/>
      <c r="R5517" s="41" t="str"/>
      <c r="S5517" s="41" t="str"/>
      <c r="T5517" s="41" t="str"/>
      <c r="U5517" s="41" t="str"/>
      <c r="V5517" s="41" t="str"/>
      <c r="W5517" s="41" t="str"/>
    </row>
    <row r="5518">
      <c r="B5518" s="2" t="n"/>
      <c r="C5518" s="40" t="n"/>
      <c r="D5518" s="52">
        <f t="array" ref="D5518:W5518">IF(All_Students_Scores!C5516:V5516="","",All_Students_Scores!C5516:V5516)</f>
        <v/>
      </c>
      <c r="E5518" s="57" t="str"/>
      <c r="F5518" s="49" t="str"/>
      <c r="G5518" s="59" t="str"/>
      <c r="H5518" s="64" t="str"/>
      <c r="I5518" s="65" t="str"/>
      <c r="J5518" s="49" t="str"/>
      <c r="K5518" s="41" t="str"/>
      <c r="L5518" s="41" t="str"/>
      <c r="M5518" s="41" t="str"/>
      <c r="N5518" s="41" t="str"/>
      <c r="O5518" s="41" t="str"/>
      <c r="P5518" s="41" t="str"/>
      <c r="Q5518" s="41" t="str"/>
      <c r="R5518" s="41" t="str"/>
      <c r="S5518" s="41" t="str"/>
      <c r="T5518" s="41" t="str"/>
      <c r="U5518" s="41" t="str"/>
      <c r="V5518" s="41" t="str"/>
      <c r="W5518" s="41" t="str"/>
    </row>
    <row r="5519">
      <c r="B5519" s="2" t="n"/>
      <c r="C5519" s="40" t="n"/>
      <c r="D5519" s="52">
        <f t="array" ref="D5519:W5519">IF(All_Students_Scores!C5517:V5517="","",All_Students_Scores!C5517:V5517)</f>
        <v/>
      </c>
      <c r="E5519" s="57" t="str"/>
      <c r="F5519" s="49" t="str"/>
      <c r="G5519" s="59" t="str"/>
      <c r="H5519" s="64" t="str"/>
      <c r="I5519" s="65" t="str"/>
      <c r="J5519" s="49" t="str"/>
      <c r="K5519" s="41" t="str"/>
      <c r="L5519" s="41" t="str"/>
      <c r="M5519" s="41" t="str"/>
      <c r="N5519" s="41" t="str"/>
      <c r="O5519" s="41" t="str"/>
      <c r="P5519" s="41" t="str"/>
      <c r="Q5519" s="41" t="str"/>
      <c r="R5519" s="41" t="str"/>
      <c r="S5519" s="41" t="str"/>
      <c r="T5519" s="41" t="str"/>
      <c r="U5519" s="41" t="str"/>
      <c r="V5519" s="41" t="str"/>
      <c r="W5519" s="41" t="str"/>
    </row>
    <row r="5520">
      <c r="B5520" s="2" t="n"/>
      <c r="C5520" s="40" t="n"/>
      <c r="D5520" s="52">
        <f t="array" ref="D5520:W5520">IF(All_Students_Scores!C5518:V5518="","",All_Students_Scores!C5518:V5518)</f>
        <v/>
      </c>
      <c r="E5520" s="57" t="str"/>
      <c r="F5520" s="49" t="str"/>
      <c r="G5520" s="59" t="str"/>
      <c r="H5520" s="64" t="str"/>
      <c r="I5520" s="65" t="str"/>
      <c r="J5520" s="49" t="str"/>
      <c r="K5520" s="41" t="str"/>
      <c r="L5520" s="41" t="str"/>
      <c r="M5520" s="41" t="str"/>
      <c r="N5520" s="41" t="str"/>
      <c r="O5520" s="41" t="str"/>
      <c r="P5520" s="41" t="str"/>
      <c r="Q5520" s="41" t="str"/>
      <c r="R5520" s="41" t="str"/>
      <c r="S5520" s="41" t="str"/>
      <c r="T5520" s="41" t="str"/>
      <c r="U5520" s="41" t="str"/>
      <c r="V5520" s="41" t="str"/>
      <c r="W5520" s="41" t="str"/>
    </row>
    <row r="5521">
      <c r="B5521" s="2" t="n"/>
      <c r="C5521" s="40" t="n"/>
      <c r="D5521" s="52">
        <f t="array" ref="D5521:W5521">IF(All_Students_Scores!C5519:V5519="","",All_Students_Scores!C5519:V5519)</f>
        <v/>
      </c>
      <c r="E5521" s="57" t="str"/>
      <c r="F5521" s="49" t="str"/>
      <c r="G5521" s="59" t="str"/>
      <c r="H5521" s="64" t="str"/>
      <c r="I5521" s="65" t="str"/>
      <c r="J5521" s="49" t="str"/>
      <c r="K5521" s="41" t="str"/>
      <c r="L5521" s="41" t="str"/>
      <c r="M5521" s="41" t="str"/>
      <c r="N5521" s="41" t="str"/>
      <c r="O5521" s="41" t="str"/>
      <c r="P5521" s="41" t="str"/>
      <c r="Q5521" s="41" t="str"/>
      <c r="R5521" s="41" t="str"/>
      <c r="S5521" s="41" t="str"/>
      <c r="T5521" s="41" t="str"/>
      <c r="U5521" s="41" t="str"/>
      <c r="V5521" s="41" t="str"/>
      <c r="W5521" s="41" t="str"/>
    </row>
    <row r="5522">
      <c r="B5522" s="2" t="n"/>
      <c r="C5522" s="40" t="n"/>
      <c r="D5522" s="52">
        <f t="array" ref="D5522:W5522">IF(All_Students_Scores!C5520:V5520="","",All_Students_Scores!C5520:V5520)</f>
        <v/>
      </c>
      <c r="E5522" s="57" t="str"/>
      <c r="F5522" s="49" t="str"/>
      <c r="G5522" s="59" t="str"/>
      <c r="H5522" s="64" t="str"/>
      <c r="I5522" s="65" t="str"/>
      <c r="J5522" s="49" t="str"/>
      <c r="K5522" s="41" t="str"/>
      <c r="L5522" s="41" t="str"/>
      <c r="M5522" s="41" t="str"/>
      <c r="N5522" s="41" t="str"/>
      <c r="O5522" s="41" t="str"/>
      <c r="P5522" s="41" t="str"/>
      <c r="Q5522" s="41" t="str"/>
      <c r="R5522" s="41" t="str"/>
      <c r="S5522" s="41" t="str"/>
      <c r="T5522" s="41" t="str"/>
      <c r="U5522" s="41" t="str"/>
      <c r="V5522" s="41" t="str"/>
      <c r="W5522" s="41" t="str"/>
    </row>
    <row r="5523">
      <c r="B5523" s="2" t="n"/>
      <c r="C5523" s="40" t="n"/>
      <c r="D5523" s="52">
        <f t="array" ref="D5523:W5523">IF(All_Students_Scores!C5521:V5521="","",All_Students_Scores!C5521:V5521)</f>
        <v/>
      </c>
      <c r="E5523" s="57" t="str"/>
      <c r="F5523" s="49" t="str"/>
      <c r="G5523" s="59" t="str"/>
      <c r="H5523" s="64" t="str"/>
      <c r="I5523" s="65" t="str"/>
      <c r="J5523" s="49" t="str"/>
      <c r="K5523" s="41" t="str"/>
      <c r="L5523" s="41" t="str"/>
      <c r="M5523" s="41" t="str"/>
      <c r="N5523" s="41" t="str"/>
      <c r="O5523" s="41" t="str"/>
      <c r="P5523" s="41" t="str"/>
      <c r="Q5523" s="41" t="str"/>
      <c r="R5523" s="41" t="str"/>
      <c r="S5523" s="41" t="str"/>
      <c r="T5523" s="41" t="str"/>
      <c r="U5523" s="41" t="str"/>
      <c r="V5523" s="41" t="str"/>
      <c r="W5523" s="41" t="str"/>
    </row>
    <row r="5524">
      <c r="B5524" s="2" t="n"/>
      <c r="C5524" s="40" t="n"/>
      <c r="D5524" s="52">
        <f t="array" ref="D5524:W5524">IF(All_Students_Scores!C5522:V5522="","",All_Students_Scores!C5522:V5522)</f>
        <v/>
      </c>
      <c r="E5524" s="57" t="str"/>
      <c r="F5524" s="49" t="str"/>
      <c r="G5524" s="59" t="str"/>
      <c r="H5524" s="64" t="str"/>
      <c r="I5524" s="65" t="str"/>
      <c r="J5524" s="49" t="str"/>
      <c r="K5524" s="41" t="str"/>
      <c r="L5524" s="41" t="str"/>
      <c r="M5524" s="41" t="str"/>
      <c r="N5524" s="41" t="str"/>
      <c r="O5524" s="41" t="str"/>
      <c r="P5524" s="41" t="str"/>
      <c r="Q5524" s="41" t="str"/>
      <c r="R5524" s="41" t="str"/>
      <c r="S5524" s="41" t="str"/>
      <c r="T5524" s="41" t="str"/>
      <c r="U5524" s="41" t="str"/>
      <c r="V5524" s="41" t="str"/>
      <c r="W5524" s="41" t="str"/>
    </row>
    <row r="5525">
      <c r="B5525" s="2" t="n"/>
      <c r="C5525" s="40" t="n"/>
      <c r="D5525" s="52">
        <f t="array" ref="D5525:W5525">IF(All_Students_Scores!C5523:V5523="","",All_Students_Scores!C5523:V5523)</f>
        <v/>
      </c>
      <c r="E5525" s="57" t="str"/>
      <c r="F5525" s="49" t="str"/>
      <c r="G5525" s="59" t="str"/>
      <c r="H5525" s="64" t="str"/>
      <c r="I5525" s="65" t="str"/>
      <c r="J5525" s="49" t="str"/>
      <c r="K5525" s="41" t="str"/>
      <c r="L5525" s="41" t="str"/>
      <c r="M5525" s="41" t="str"/>
      <c r="N5525" s="41" t="str"/>
      <c r="O5525" s="41" t="str"/>
      <c r="P5525" s="41" t="str"/>
      <c r="Q5525" s="41" t="str"/>
      <c r="R5525" s="41" t="str"/>
      <c r="S5525" s="41" t="str"/>
      <c r="T5525" s="41" t="str"/>
      <c r="U5525" s="41" t="str"/>
      <c r="V5525" s="41" t="str"/>
      <c r="W5525" s="41" t="str"/>
    </row>
    <row r="5526">
      <c r="B5526" s="2" t="n"/>
      <c r="C5526" s="40" t="n"/>
      <c r="D5526" s="52">
        <f t="array" ref="D5526:W5526">IF(All_Students_Scores!C5524:V5524="","",All_Students_Scores!C5524:V5524)</f>
        <v/>
      </c>
      <c r="E5526" s="57" t="str"/>
      <c r="F5526" s="49" t="str"/>
      <c r="G5526" s="59" t="str"/>
      <c r="H5526" s="64" t="str"/>
      <c r="I5526" s="65" t="str"/>
      <c r="J5526" s="49" t="str"/>
      <c r="K5526" s="41" t="str"/>
      <c r="L5526" s="41" t="str"/>
      <c r="M5526" s="41" t="str"/>
      <c r="N5526" s="41" t="str"/>
      <c r="O5526" s="41" t="str"/>
      <c r="P5526" s="41" t="str"/>
      <c r="Q5526" s="41" t="str"/>
      <c r="R5526" s="41" t="str"/>
      <c r="S5526" s="41" t="str"/>
      <c r="T5526" s="41" t="str"/>
      <c r="U5526" s="41" t="str"/>
      <c r="V5526" s="41" t="str"/>
      <c r="W5526" s="41" t="str"/>
    </row>
    <row r="5527">
      <c r="B5527" s="2" t="n"/>
      <c r="C5527" s="40" t="n"/>
      <c r="D5527" s="52">
        <f t="array" ref="D5527:W5527">IF(All_Students_Scores!C5525:V5525="","",All_Students_Scores!C5525:V5525)</f>
        <v/>
      </c>
      <c r="E5527" s="57" t="str"/>
      <c r="F5527" s="49" t="str"/>
      <c r="G5527" s="59" t="str"/>
      <c r="H5527" s="64" t="str"/>
      <c r="I5527" s="65" t="str"/>
      <c r="J5527" s="49" t="str"/>
      <c r="K5527" s="41" t="str"/>
      <c r="L5527" s="41" t="str"/>
      <c r="M5527" s="41" t="str"/>
      <c r="N5527" s="41" t="str"/>
      <c r="O5527" s="41" t="str"/>
      <c r="P5527" s="41" t="str"/>
      <c r="Q5527" s="41" t="str"/>
      <c r="R5527" s="41" t="str"/>
      <c r="S5527" s="41" t="str"/>
      <c r="T5527" s="41" t="str"/>
      <c r="U5527" s="41" t="str"/>
      <c r="V5527" s="41" t="str"/>
      <c r="W5527" s="41" t="str"/>
    </row>
    <row r="5528">
      <c r="B5528" s="2" t="n"/>
      <c r="C5528" s="40" t="n"/>
      <c r="D5528" s="52">
        <f t="array" ref="D5528:W5528">IF(All_Students_Scores!C5526:V5526="","",All_Students_Scores!C5526:V5526)</f>
        <v/>
      </c>
      <c r="E5528" s="57" t="str"/>
      <c r="F5528" s="49" t="str"/>
      <c r="G5528" s="59" t="str"/>
      <c r="H5528" s="64" t="str"/>
      <c r="I5528" s="65" t="str"/>
      <c r="J5528" s="49" t="str"/>
      <c r="K5528" s="41" t="str"/>
      <c r="L5528" s="41" t="str"/>
      <c r="M5528" s="41" t="str"/>
      <c r="N5528" s="41" t="str"/>
      <c r="O5528" s="41" t="str"/>
      <c r="P5528" s="41" t="str"/>
      <c r="Q5528" s="41" t="str"/>
      <c r="R5528" s="41" t="str"/>
      <c r="S5528" s="41" t="str"/>
      <c r="T5528" s="41" t="str"/>
      <c r="U5528" s="41" t="str"/>
      <c r="V5528" s="41" t="str"/>
      <c r="W5528" s="41" t="str"/>
    </row>
    <row r="5529">
      <c r="B5529" s="2" t="n"/>
      <c r="C5529" s="40" t="n"/>
      <c r="D5529" s="52">
        <f t="array" ref="D5529:W5529">IF(All_Students_Scores!C5527:V5527="","",All_Students_Scores!C5527:V5527)</f>
        <v/>
      </c>
      <c r="E5529" s="57" t="str"/>
      <c r="F5529" s="49" t="str"/>
      <c r="G5529" s="59" t="str"/>
      <c r="H5529" s="64" t="str"/>
      <c r="I5529" s="65" t="str"/>
      <c r="J5529" s="49" t="str"/>
      <c r="K5529" s="41" t="str"/>
      <c r="L5529" s="41" t="str"/>
      <c r="M5529" s="41" t="str"/>
      <c r="N5529" s="41" t="str"/>
      <c r="O5529" s="41" t="str"/>
      <c r="P5529" s="41" t="str"/>
      <c r="Q5529" s="41" t="str"/>
      <c r="R5529" s="41" t="str"/>
      <c r="S5529" s="41" t="str"/>
      <c r="T5529" s="41" t="str"/>
      <c r="U5529" s="41" t="str"/>
      <c r="V5529" s="41" t="str"/>
      <c r="W5529" s="41" t="str"/>
    </row>
    <row r="5530">
      <c r="B5530" s="2" t="n"/>
      <c r="C5530" s="40" t="n"/>
      <c r="D5530" s="52">
        <f t="array" ref="D5530:W5530">IF(All_Students_Scores!C5528:V5528="","",All_Students_Scores!C5528:V5528)</f>
        <v/>
      </c>
      <c r="E5530" s="57" t="str"/>
      <c r="F5530" s="49" t="str"/>
      <c r="G5530" s="59" t="str"/>
      <c r="H5530" s="64" t="str"/>
      <c r="I5530" s="65" t="str"/>
      <c r="J5530" s="49" t="str"/>
      <c r="K5530" s="41" t="str"/>
      <c r="L5530" s="41" t="str"/>
      <c r="M5530" s="41" t="str"/>
      <c r="N5530" s="41" t="str"/>
      <c r="O5530" s="41" t="str"/>
      <c r="P5530" s="41" t="str"/>
      <c r="Q5530" s="41" t="str"/>
      <c r="R5530" s="41" t="str"/>
      <c r="S5530" s="41" t="str"/>
      <c r="T5530" s="41" t="str"/>
      <c r="U5530" s="41" t="str"/>
      <c r="V5530" s="41" t="str"/>
      <c r="W5530" s="41" t="str"/>
    </row>
    <row r="5531">
      <c r="B5531" s="2" t="n"/>
      <c r="C5531" s="40" t="n"/>
      <c r="D5531" s="52">
        <f t="array" ref="D5531:W5531">IF(All_Students_Scores!C5529:V5529="","",All_Students_Scores!C5529:V5529)</f>
        <v/>
      </c>
      <c r="E5531" s="57" t="str"/>
      <c r="F5531" s="49" t="str"/>
      <c r="G5531" s="59" t="str"/>
      <c r="H5531" s="64" t="str"/>
      <c r="I5531" s="65" t="str"/>
      <c r="J5531" s="49" t="str"/>
      <c r="K5531" s="41" t="str"/>
      <c r="L5531" s="41" t="str"/>
      <c r="M5531" s="41" t="str"/>
      <c r="N5531" s="41" t="str"/>
      <c r="O5531" s="41" t="str"/>
      <c r="P5531" s="41" t="str"/>
      <c r="Q5531" s="41" t="str"/>
      <c r="R5531" s="41" t="str"/>
      <c r="S5531" s="41" t="str"/>
      <c r="T5531" s="41" t="str"/>
      <c r="U5531" s="41" t="str"/>
      <c r="V5531" s="41" t="str"/>
      <c r="W5531" s="41" t="str"/>
    </row>
    <row r="5532">
      <c r="B5532" s="2" t="n"/>
      <c r="C5532" s="40" t="n"/>
      <c r="D5532" s="52">
        <f t="array" ref="D5532:W5532">IF(All_Students_Scores!C5530:V5530="","",All_Students_Scores!C5530:V5530)</f>
        <v/>
      </c>
      <c r="E5532" s="57" t="str"/>
      <c r="F5532" s="49" t="str"/>
      <c r="G5532" s="59" t="str"/>
      <c r="H5532" s="64" t="str"/>
      <c r="I5532" s="65" t="str"/>
      <c r="J5532" s="49" t="str"/>
      <c r="K5532" s="41" t="str"/>
      <c r="L5532" s="41" t="str"/>
      <c r="M5532" s="41" t="str"/>
      <c r="N5532" s="41" t="str"/>
      <c r="O5532" s="41" t="str"/>
      <c r="P5532" s="41" t="str"/>
      <c r="Q5532" s="41" t="str"/>
      <c r="R5532" s="41" t="str"/>
      <c r="S5532" s="41" t="str"/>
      <c r="T5532" s="41" t="str"/>
      <c r="U5532" s="41" t="str"/>
      <c r="V5532" s="41" t="str"/>
      <c r="W5532" s="41" t="str"/>
    </row>
    <row r="5533">
      <c r="B5533" s="2" t="n"/>
      <c r="C5533" s="40" t="n"/>
      <c r="D5533" s="52">
        <f t="array" ref="D5533:W5533">IF(All_Students_Scores!C5531:V5531="","",All_Students_Scores!C5531:V5531)</f>
        <v/>
      </c>
      <c r="E5533" s="57" t="str"/>
      <c r="F5533" s="49" t="str"/>
      <c r="G5533" s="59" t="str"/>
      <c r="H5533" s="64" t="str"/>
      <c r="I5533" s="65" t="str"/>
      <c r="J5533" s="49" t="str"/>
      <c r="K5533" s="41" t="str"/>
      <c r="L5533" s="41" t="str"/>
      <c r="M5533" s="41" t="str"/>
      <c r="N5533" s="41" t="str"/>
      <c r="O5533" s="41" t="str"/>
      <c r="P5533" s="41" t="str"/>
      <c r="Q5533" s="41" t="str"/>
      <c r="R5533" s="41" t="str"/>
      <c r="S5533" s="41" t="str"/>
      <c r="T5533" s="41" t="str"/>
      <c r="U5533" s="41" t="str"/>
      <c r="V5533" s="41" t="str"/>
      <c r="W5533" s="41" t="str"/>
    </row>
    <row r="5534">
      <c r="B5534" s="2" t="n"/>
      <c r="C5534" s="40" t="n"/>
      <c r="D5534" s="52">
        <f t="array" ref="D5534:W5534">IF(All_Students_Scores!C5532:V5532="","",All_Students_Scores!C5532:V5532)</f>
        <v/>
      </c>
      <c r="E5534" s="57" t="str"/>
      <c r="F5534" s="49" t="str"/>
      <c r="G5534" s="59" t="str"/>
      <c r="H5534" s="64" t="str"/>
      <c r="I5534" s="65" t="str"/>
      <c r="J5534" s="49" t="str"/>
      <c r="K5534" s="41" t="str"/>
      <c r="L5534" s="41" t="str"/>
      <c r="M5534" s="41" t="str"/>
      <c r="N5534" s="41" t="str"/>
      <c r="O5534" s="41" t="str"/>
      <c r="P5534" s="41" t="str"/>
      <c r="Q5534" s="41" t="str"/>
      <c r="R5534" s="41" t="str"/>
      <c r="S5534" s="41" t="str"/>
      <c r="T5534" s="41" t="str"/>
      <c r="U5534" s="41" t="str"/>
      <c r="V5534" s="41" t="str"/>
      <c r="W5534" s="41" t="str"/>
    </row>
    <row r="5535">
      <c r="B5535" s="2" t="n"/>
      <c r="C5535" s="40" t="n"/>
      <c r="D5535" s="52">
        <f t="array" ref="D5535:W5535">IF(All_Students_Scores!C5533:V5533="","",All_Students_Scores!C5533:V5533)</f>
        <v/>
      </c>
      <c r="E5535" s="57" t="str"/>
      <c r="F5535" s="49" t="str"/>
      <c r="G5535" s="59" t="str"/>
      <c r="H5535" s="64" t="str"/>
      <c r="I5535" s="65" t="str"/>
      <c r="J5535" s="49" t="str"/>
      <c r="K5535" s="41" t="str"/>
      <c r="L5535" s="41" t="str"/>
      <c r="M5535" s="41" t="str"/>
      <c r="N5535" s="41" t="str"/>
      <c r="O5535" s="41" t="str"/>
      <c r="P5535" s="41" t="str"/>
      <c r="Q5535" s="41" t="str"/>
      <c r="R5535" s="41" t="str"/>
      <c r="S5535" s="41" t="str"/>
      <c r="T5535" s="41" t="str"/>
      <c r="U5535" s="41" t="str"/>
      <c r="V5535" s="41" t="str"/>
      <c r="W5535" s="41" t="str"/>
    </row>
    <row r="5536">
      <c r="B5536" s="2" t="n"/>
      <c r="C5536" s="40" t="n"/>
      <c r="D5536" s="52">
        <f t="array" ref="D5536:W5536">IF(All_Students_Scores!C5534:V5534="","",All_Students_Scores!C5534:V5534)</f>
        <v/>
      </c>
      <c r="E5536" s="57" t="str"/>
      <c r="F5536" s="49" t="str"/>
      <c r="G5536" s="59" t="str"/>
      <c r="H5536" s="64" t="str"/>
      <c r="I5536" s="65" t="str"/>
      <c r="J5536" s="49" t="str"/>
      <c r="K5536" s="41" t="str"/>
      <c r="L5536" s="41" t="str"/>
      <c r="M5536" s="41" t="str"/>
      <c r="N5536" s="41" t="str"/>
      <c r="O5536" s="41" t="str"/>
      <c r="P5536" s="41" t="str"/>
      <c r="Q5536" s="41" t="str"/>
      <c r="R5536" s="41" t="str"/>
      <c r="S5536" s="41" t="str"/>
      <c r="T5536" s="41" t="str"/>
      <c r="U5536" s="41" t="str"/>
      <c r="V5536" s="41" t="str"/>
      <c r="W5536" s="41" t="str"/>
    </row>
    <row r="5537">
      <c r="B5537" s="2" t="n"/>
      <c r="C5537" s="40" t="n"/>
      <c r="D5537" s="52">
        <f t="array" ref="D5537:W5537">IF(All_Students_Scores!C5535:V5535="","",All_Students_Scores!C5535:V5535)</f>
        <v/>
      </c>
      <c r="E5537" s="57" t="str"/>
      <c r="F5537" s="49" t="str"/>
      <c r="G5537" s="59" t="str"/>
      <c r="H5537" s="64" t="str"/>
      <c r="I5537" s="65" t="str"/>
      <c r="J5537" s="49" t="str"/>
      <c r="K5537" s="41" t="str"/>
      <c r="L5537" s="41" t="str"/>
      <c r="M5537" s="41" t="str"/>
      <c r="N5537" s="41" t="str"/>
      <c r="O5537" s="41" t="str"/>
      <c r="P5537" s="41" t="str"/>
      <c r="Q5537" s="41" t="str"/>
      <c r="R5537" s="41" t="str"/>
      <c r="S5537" s="41" t="str"/>
      <c r="T5537" s="41" t="str"/>
      <c r="U5537" s="41" t="str"/>
      <c r="V5537" s="41" t="str"/>
      <c r="W5537" s="41" t="str"/>
    </row>
    <row r="5538">
      <c r="B5538" s="2" t="n"/>
      <c r="C5538" s="40" t="n"/>
      <c r="D5538" s="52">
        <f t="array" ref="D5538:W5538">IF(All_Students_Scores!C5536:V5536="","",All_Students_Scores!C5536:V5536)</f>
        <v/>
      </c>
      <c r="E5538" s="57" t="str"/>
      <c r="F5538" s="49" t="str"/>
      <c r="G5538" s="59" t="str"/>
      <c r="H5538" s="64" t="str"/>
      <c r="I5538" s="65" t="str"/>
      <c r="J5538" s="49" t="str"/>
      <c r="K5538" s="41" t="str"/>
      <c r="L5538" s="41" t="str"/>
      <c r="M5538" s="41" t="str"/>
      <c r="N5538" s="41" t="str"/>
      <c r="O5538" s="41" t="str"/>
      <c r="P5538" s="41" t="str"/>
      <c r="Q5538" s="41" t="str"/>
      <c r="R5538" s="41" t="str"/>
      <c r="S5538" s="41" t="str"/>
      <c r="T5538" s="41" t="str"/>
      <c r="U5538" s="41" t="str"/>
      <c r="V5538" s="41" t="str"/>
      <c r="W5538" s="41" t="str"/>
    </row>
    <row r="5539">
      <c r="B5539" s="2" t="n"/>
      <c r="C5539" s="40" t="n"/>
      <c r="D5539" s="52">
        <f t="array" ref="D5539:W5539">IF(All_Students_Scores!C5537:V5537="","",All_Students_Scores!C5537:V5537)</f>
        <v/>
      </c>
      <c r="E5539" s="57" t="str"/>
      <c r="F5539" s="49" t="str"/>
      <c r="G5539" s="59" t="str"/>
      <c r="H5539" s="64" t="str"/>
      <c r="I5539" s="65" t="str"/>
      <c r="J5539" s="49" t="str"/>
      <c r="K5539" s="41" t="str"/>
      <c r="L5539" s="41" t="str"/>
      <c r="M5539" s="41" t="str"/>
      <c r="N5539" s="41" t="str"/>
      <c r="O5539" s="41" t="str"/>
      <c r="P5539" s="41" t="str"/>
      <c r="Q5539" s="41" t="str"/>
      <c r="R5539" s="41" t="str"/>
      <c r="S5539" s="41" t="str"/>
      <c r="T5539" s="41" t="str"/>
      <c r="U5539" s="41" t="str"/>
      <c r="V5539" s="41" t="str"/>
      <c r="W5539" s="41" t="str"/>
    </row>
    <row r="5540">
      <c r="B5540" s="2" t="n"/>
      <c r="C5540" s="40" t="n"/>
      <c r="D5540" s="52">
        <f t="array" ref="D5540:W5540">IF(All_Students_Scores!C5538:V5538="","",All_Students_Scores!C5538:V5538)</f>
        <v/>
      </c>
      <c r="E5540" s="57" t="str"/>
      <c r="F5540" s="49" t="str"/>
      <c r="G5540" s="59" t="str"/>
      <c r="H5540" s="64" t="str"/>
      <c r="I5540" s="65" t="str"/>
      <c r="J5540" s="49" t="str"/>
      <c r="K5540" s="41" t="str"/>
      <c r="L5540" s="41" t="str"/>
      <c r="M5540" s="41" t="str"/>
      <c r="N5540" s="41" t="str"/>
      <c r="O5540" s="41" t="str"/>
      <c r="P5540" s="41" t="str"/>
      <c r="Q5540" s="41" t="str"/>
      <c r="R5540" s="41" t="str"/>
      <c r="S5540" s="41" t="str"/>
      <c r="T5540" s="41" t="str"/>
      <c r="U5540" s="41" t="str"/>
      <c r="V5540" s="41" t="str"/>
      <c r="W5540" s="41" t="str"/>
    </row>
    <row r="5541">
      <c r="B5541" s="2" t="n"/>
      <c r="C5541" s="40" t="n"/>
      <c r="D5541" s="52">
        <f t="array" ref="D5541:W5541">IF(All_Students_Scores!C5539:V5539="","",All_Students_Scores!C5539:V5539)</f>
        <v/>
      </c>
      <c r="E5541" s="57" t="str"/>
      <c r="F5541" s="49" t="str"/>
      <c r="G5541" s="59" t="str"/>
      <c r="H5541" s="64" t="str"/>
      <c r="I5541" s="65" t="str"/>
      <c r="J5541" s="49" t="str"/>
      <c r="K5541" s="41" t="str"/>
      <c r="L5541" s="41" t="str"/>
      <c r="M5541" s="41" t="str"/>
      <c r="N5541" s="41" t="str"/>
      <c r="O5541" s="41" t="str"/>
      <c r="P5541" s="41" t="str"/>
      <c r="Q5541" s="41" t="str"/>
      <c r="R5541" s="41" t="str"/>
      <c r="S5541" s="41" t="str"/>
      <c r="T5541" s="41" t="str"/>
      <c r="U5541" s="41" t="str"/>
      <c r="V5541" s="41" t="str"/>
      <c r="W5541" s="41" t="str"/>
    </row>
    <row r="5542">
      <c r="B5542" s="2" t="n"/>
      <c r="C5542" s="40" t="n"/>
      <c r="D5542" s="52">
        <f t="array" ref="D5542:W5542">IF(All_Students_Scores!C5540:V5540="","",All_Students_Scores!C5540:V5540)</f>
        <v/>
      </c>
      <c r="E5542" s="57" t="str"/>
      <c r="F5542" s="49" t="str"/>
      <c r="G5542" s="59" t="str"/>
      <c r="H5542" s="64" t="str"/>
      <c r="I5542" s="65" t="str"/>
      <c r="J5542" s="49" t="str"/>
      <c r="K5542" s="41" t="str"/>
      <c r="L5542" s="41" t="str"/>
      <c r="M5542" s="41" t="str"/>
      <c r="N5542" s="41" t="str"/>
      <c r="O5542" s="41" t="str"/>
      <c r="P5542" s="41" t="str"/>
      <c r="Q5542" s="41" t="str"/>
      <c r="R5542" s="41" t="str"/>
      <c r="S5542" s="41" t="str"/>
      <c r="T5542" s="41" t="str"/>
      <c r="U5542" s="41" t="str"/>
      <c r="V5542" s="41" t="str"/>
      <c r="W5542" s="41" t="str"/>
    </row>
    <row r="5543">
      <c r="B5543" s="2" t="n"/>
      <c r="C5543" s="40" t="n"/>
      <c r="D5543" s="52">
        <f t="array" ref="D5543:W5543">IF(All_Students_Scores!C5541:V5541="","",All_Students_Scores!C5541:V5541)</f>
        <v/>
      </c>
      <c r="E5543" s="57" t="str"/>
      <c r="F5543" s="49" t="str"/>
      <c r="G5543" s="59" t="str"/>
      <c r="H5543" s="64" t="str"/>
      <c r="I5543" s="65" t="str"/>
      <c r="J5543" s="49" t="str"/>
      <c r="K5543" s="41" t="str"/>
      <c r="L5543" s="41" t="str"/>
      <c r="M5543" s="41" t="str"/>
      <c r="N5543" s="41" t="str"/>
      <c r="O5543" s="41" t="str"/>
      <c r="P5543" s="41" t="str"/>
      <c r="Q5543" s="41" t="str"/>
      <c r="R5543" s="41" t="str"/>
      <c r="S5543" s="41" t="str"/>
      <c r="T5543" s="41" t="str"/>
      <c r="U5543" s="41" t="str"/>
      <c r="V5543" s="41" t="str"/>
      <c r="W5543" s="41" t="str"/>
    </row>
    <row r="5544">
      <c r="B5544" s="2" t="n"/>
      <c r="C5544" s="40" t="n"/>
      <c r="D5544" s="52">
        <f t="array" ref="D5544:W5544">IF(All_Students_Scores!C5542:V5542="","",All_Students_Scores!C5542:V5542)</f>
        <v/>
      </c>
      <c r="E5544" s="57" t="str"/>
      <c r="F5544" s="49" t="str"/>
      <c r="G5544" s="59" t="str"/>
      <c r="H5544" s="64" t="str"/>
      <c r="I5544" s="65" t="str"/>
      <c r="J5544" s="49" t="str"/>
      <c r="K5544" s="41" t="str"/>
      <c r="L5544" s="41" t="str"/>
      <c r="M5544" s="41" t="str"/>
      <c r="N5544" s="41" t="str"/>
      <c r="O5544" s="41" t="str"/>
      <c r="P5544" s="41" t="str"/>
      <c r="Q5544" s="41" t="str"/>
      <c r="R5544" s="41" t="str"/>
      <c r="S5544" s="41" t="str"/>
      <c r="T5544" s="41" t="str"/>
      <c r="U5544" s="41" t="str"/>
      <c r="V5544" s="41" t="str"/>
      <c r="W5544" s="41" t="str"/>
    </row>
    <row r="5545">
      <c r="B5545" s="2" t="n"/>
      <c r="C5545" s="40" t="n"/>
      <c r="D5545" s="52">
        <f t="array" ref="D5545:W5545">IF(All_Students_Scores!C5543:V5543="","",All_Students_Scores!C5543:V5543)</f>
        <v/>
      </c>
      <c r="E5545" s="57" t="str"/>
      <c r="F5545" s="49" t="str"/>
      <c r="G5545" s="59" t="str"/>
      <c r="H5545" s="64" t="str"/>
      <c r="I5545" s="65" t="str"/>
      <c r="J5545" s="49" t="str"/>
      <c r="K5545" s="41" t="str"/>
      <c r="L5545" s="41" t="str"/>
      <c r="M5545" s="41" t="str"/>
      <c r="N5545" s="41" t="str"/>
      <c r="O5545" s="41" t="str"/>
      <c r="P5545" s="41" t="str"/>
      <c r="Q5545" s="41" t="str"/>
      <c r="R5545" s="41" t="str"/>
      <c r="S5545" s="41" t="str"/>
      <c r="T5545" s="41" t="str"/>
      <c r="U5545" s="41" t="str"/>
      <c r="V5545" s="41" t="str"/>
      <c r="W5545" s="41" t="str"/>
    </row>
    <row r="5546">
      <c r="B5546" s="2" t="n"/>
      <c r="C5546" s="40" t="n"/>
      <c r="D5546" s="52">
        <f t="array" ref="D5546:W5546">IF(All_Students_Scores!C5544:V5544="","",All_Students_Scores!C5544:V5544)</f>
        <v/>
      </c>
      <c r="E5546" s="57" t="str"/>
      <c r="F5546" s="49" t="str"/>
      <c r="G5546" s="59" t="str"/>
      <c r="H5546" s="64" t="str"/>
      <c r="I5546" s="65" t="str"/>
      <c r="J5546" s="49" t="str"/>
      <c r="K5546" s="41" t="str"/>
      <c r="L5546" s="41" t="str"/>
      <c r="M5546" s="41" t="str"/>
      <c r="N5546" s="41" t="str"/>
      <c r="O5546" s="41" t="str"/>
      <c r="P5546" s="41" t="str"/>
      <c r="Q5546" s="41" t="str"/>
      <c r="R5546" s="41" t="str"/>
      <c r="S5546" s="41" t="str"/>
      <c r="T5546" s="41" t="str"/>
      <c r="U5546" s="41" t="str"/>
      <c r="V5546" s="41" t="str"/>
      <c r="W5546" s="41" t="str"/>
    </row>
    <row r="5547">
      <c r="B5547" s="2" t="n"/>
      <c r="C5547" s="40" t="n"/>
      <c r="D5547" s="52">
        <f t="array" ref="D5547:W5547">IF(All_Students_Scores!C5545:V5545="","",All_Students_Scores!C5545:V5545)</f>
        <v/>
      </c>
      <c r="E5547" s="57" t="str"/>
      <c r="F5547" s="49" t="str"/>
      <c r="G5547" s="59" t="str"/>
      <c r="H5547" s="64" t="str"/>
      <c r="I5547" s="65" t="str"/>
      <c r="J5547" s="49" t="str"/>
      <c r="K5547" s="41" t="str"/>
      <c r="L5547" s="41" t="str"/>
      <c r="M5547" s="41" t="str"/>
      <c r="N5547" s="41" t="str"/>
      <c r="O5547" s="41" t="str"/>
      <c r="P5547" s="41" t="str"/>
      <c r="Q5547" s="41" t="str"/>
      <c r="R5547" s="41" t="str"/>
      <c r="S5547" s="41" t="str"/>
      <c r="T5547" s="41" t="str"/>
      <c r="U5547" s="41" t="str"/>
      <c r="V5547" s="41" t="str"/>
      <c r="W5547" s="41" t="str"/>
    </row>
    <row r="5548">
      <c r="B5548" s="2" t="n"/>
      <c r="C5548" s="40" t="n"/>
      <c r="D5548" s="52">
        <f t="array" ref="D5548:W5548">IF(All_Students_Scores!C5546:V5546="","",All_Students_Scores!C5546:V5546)</f>
        <v/>
      </c>
      <c r="E5548" s="57" t="str"/>
      <c r="F5548" s="49" t="str"/>
      <c r="G5548" s="59" t="str"/>
      <c r="H5548" s="64" t="str"/>
      <c r="I5548" s="65" t="str"/>
      <c r="J5548" s="49" t="str"/>
      <c r="K5548" s="41" t="str"/>
      <c r="L5548" s="41" t="str"/>
      <c r="M5548" s="41" t="str"/>
      <c r="N5548" s="41" t="str"/>
      <c r="O5548" s="41" t="str"/>
      <c r="P5548" s="41" t="str"/>
      <c r="Q5548" s="41" t="str"/>
      <c r="R5548" s="41" t="str"/>
      <c r="S5548" s="41" t="str"/>
      <c r="T5548" s="41" t="str"/>
      <c r="U5548" s="41" t="str"/>
      <c r="V5548" s="41" t="str"/>
      <c r="W5548" s="41" t="str"/>
    </row>
    <row r="5549">
      <c r="B5549" s="2" t="n"/>
      <c r="C5549" s="40" t="n"/>
      <c r="D5549" s="52">
        <f t="array" ref="D5549:W5549">IF(All_Students_Scores!C5547:V5547="","",All_Students_Scores!C5547:V5547)</f>
        <v/>
      </c>
      <c r="E5549" s="57" t="str"/>
      <c r="F5549" s="49" t="str"/>
      <c r="G5549" s="59" t="str"/>
      <c r="H5549" s="64" t="str"/>
      <c r="I5549" s="65" t="str"/>
      <c r="J5549" s="49" t="str"/>
      <c r="K5549" s="41" t="str"/>
      <c r="L5549" s="41" t="str"/>
      <c r="M5549" s="41" t="str"/>
      <c r="N5549" s="41" t="str"/>
      <c r="O5549" s="41" t="str"/>
      <c r="P5549" s="41" t="str"/>
      <c r="Q5549" s="41" t="str"/>
      <c r="R5549" s="41" t="str"/>
      <c r="S5549" s="41" t="str"/>
      <c r="T5549" s="41" t="str"/>
      <c r="U5549" s="41" t="str"/>
      <c r="V5549" s="41" t="str"/>
      <c r="W5549" s="41" t="str"/>
    </row>
    <row r="5550">
      <c r="B5550" s="2" t="n"/>
      <c r="C5550" s="40" t="n"/>
      <c r="D5550" s="52">
        <f t="array" ref="D5550:W5550">IF(All_Students_Scores!C5548:V5548="","",All_Students_Scores!C5548:V5548)</f>
        <v/>
      </c>
      <c r="E5550" s="57" t="str"/>
      <c r="F5550" s="49" t="str"/>
      <c r="G5550" s="59" t="str"/>
      <c r="H5550" s="64" t="str"/>
      <c r="I5550" s="65" t="str"/>
      <c r="J5550" s="49" t="str"/>
      <c r="K5550" s="41" t="str"/>
      <c r="L5550" s="41" t="str"/>
      <c r="M5550" s="41" t="str"/>
      <c r="N5550" s="41" t="str"/>
      <c r="O5550" s="41" t="str"/>
      <c r="P5550" s="41" t="str"/>
      <c r="Q5550" s="41" t="str"/>
      <c r="R5550" s="41" t="str"/>
      <c r="S5550" s="41" t="str"/>
      <c r="T5550" s="41" t="str"/>
      <c r="U5550" s="41" t="str"/>
      <c r="V5550" s="41" t="str"/>
      <c r="W5550" s="41" t="str"/>
    </row>
    <row r="5551">
      <c r="B5551" s="2" t="n"/>
      <c r="C5551" s="40" t="n"/>
      <c r="D5551" s="52">
        <f t="array" ref="D5551:W5551">IF(All_Students_Scores!C5549:V5549="","",All_Students_Scores!C5549:V5549)</f>
        <v/>
      </c>
      <c r="E5551" s="57" t="str"/>
      <c r="F5551" s="49" t="str"/>
      <c r="G5551" s="59" t="str"/>
      <c r="H5551" s="64" t="str"/>
      <c r="I5551" s="65" t="str"/>
      <c r="J5551" s="49" t="str"/>
      <c r="K5551" s="41" t="str"/>
      <c r="L5551" s="41" t="str"/>
      <c r="M5551" s="41" t="str"/>
      <c r="N5551" s="41" t="str"/>
      <c r="O5551" s="41" t="str"/>
      <c r="P5551" s="41" t="str"/>
      <c r="Q5551" s="41" t="str"/>
      <c r="R5551" s="41" t="str"/>
      <c r="S5551" s="41" t="str"/>
      <c r="T5551" s="41" t="str"/>
      <c r="U5551" s="41" t="str"/>
      <c r="V5551" s="41" t="str"/>
      <c r="W5551" s="41" t="str"/>
    </row>
    <row r="5552">
      <c r="B5552" s="2" t="n"/>
      <c r="C5552" s="40" t="n"/>
      <c r="D5552" s="52">
        <f t="array" ref="D5552:W5552">IF(All_Students_Scores!C5550:V5550="","",All_Students_Scores!C5550:V5550)</f>
        <v/>
      </c>
      <c r="E5552" s="57" t="str"/>
      <c r="F5552" s="49" t="str"/>
      <c r="G5552" s="59" t="str"/>
      <c r="H5552" s="64" t="str"/>
      <c r="I5552" s="65" t="str"/>
      <c r="J5552" s="49" t="str"/>
      <c r="K5552" s="41" t="str"/>
      <c r="L5552" s="41" t="str"/>
      <c r="M5552" s="41" t="str"/>
      <c r="N5552" s="41" t="str"/>
      <c r="O5552" s="41" t="str"/>
      <c r="P5552" s="41" t="str"/>
      <c r="Q5552" s="41" t="str"/>
      <c r="R5552" s="41" t="str"/>
      <c r="S5552" s="41" t="str"/>
      <c r="T5552" s="41" t="str"/>
      <c r="U5552" s="41" t="str"/>
      <c r="V5552" s="41" t="str"/>
      <c r="W5552" s="41" t="str"/>
    </row>
    <row r="5553">
      <c r="B5553" s="2" t="n"/>
      <c r="C5553" s="40" t="n"/>
      <c r="D5553" s="52">
        <f t="array" ref="D5553:W5553">IF(All_Students_Scores!C5551:V5551="","",All_Students_Scores!C5551:V5551)</f>
        <v/>
      </c>
      <c r="E5553" s="57" t="str"/>
      <c r="F5553" s="49" t="str"/>
      <c r="G5553" s="59" t="str"/>
      <c r="H5553" s="64" t="str"/>
      <c r="I5553" s="65" t="str"/>
      <c r="J5553" s="49" t="str"/>
      <c r="K5553" s="41" t="str"/>
      <c r="L5553" s="41" t="str"/>
      <c r="M5553" s="41" t="str"/>
      <c r="N5553" s="41" t="str"/>
      <c r="O5553" s="41" t="str"/>
      <c r="P5553" s="41" t="str"/>
      <c r="Q5553" s="41" t="str"/>
      <c r="R5553" s="41" t="str"/>
      <c r="S5553" s="41" t="str"/>
      <c r="T5553" s="41" t="str"/>
      <c r="U5553" s="41" t="str"/>
      <c r="V5553" s="41" t="str"/>
      <c r="W5553" s="41" t="str"/>
    </row>
    <row r="5554">
      <c r="B5554" s="2" t="n"/>
      <c r="C5554" s="40" t="n"/>
      <c r="D5554" s="52">
        <f t="array" ref="D5554:W5554">IF(All_Students_Scores!C5552:V5552="","",All_Students_Scores!C5552:V5552)</f>
        <v/>
      </c>
      <c r="E5554" s="57" t="str"/>
      <c r="F5554" s="49" t="str"/>
      <c r="G5554" s="59" t="str"/>
      <c r="H5554" s="64" t="str"/>
      <c r="I5554" s="65" t="str"/>
      <c r="J5554" s="49" t="str"/>
      <c r="K5554" s="41" t="str"/>
      <c r="L5554" s="41" t="str"/>
      <c r="M5554" s="41" t="str"/>
      <c r="N5554" s="41" t="str"/>
      <c r="O5554" s="41" t="str"/>
      <c r="P5554" s="41" t="str"/>
      <c r="Q5554" s="41" t="str"/>
      <c r="R5554" s="41" t="str"/>
      <c r="S5554" s="41" t="str"/>
      <c r="T5554" s="41" t="str"/>
      <c r="U5554" s="41" t="str"/>
      <c r="V5554" s="41" t="str"/>
      <c r="W5554" s="41" t="str"/>
    </row>
    <row r="5555">
      <c r="B5555" s="2" t="n"/>
      <c r="C5555" s="40" t="n"/>
      <c r="D5555" s="52">
        <f t="array" ref="D5555:W5555">IF(All_Students_Scores!C5553:V5553="","",All_Students_Scores!C5553:V5553)</f>
        <v/>
      </c>
      <c r="E5555" s="57" t="str"/>
      <c r="F5555" s="49" t="str"/>
      <c r="G5555" s="59" t="str"/>
      <c r="H5555" s="64" t="str"/>
      <c r="I5555" s="65" t="str"/>
      <c r="J5555" s="49" t="str"/>
      <c r="K5555" s="41" t="str"/>
      <c r="L5555" s="41" t="str"/>
      <c r="M5555" s="41" t="str"/>
      <c r="N5555" s="41" t="str"/>
      <c r="O5555" s="41" t="str"/>
      <c r="P5555" s="41" t="str"/>
      <c r="Q5555" s="41" t="str"/>
      <c r="R5555" s="41" t="str"/>
      <c r="S5555" s="41" t="str"/>
      <c r="T5555" s="41" t="str"/>
      <c r="U5555" s="41" t="str"/>
      <c r="V5555" s="41" t="str"/>
      <c r="W5555" s="41" t="str"/>
    </row>
    <row r="5556">
      <c r="B5556" s="2" t="n"/>
      <c r="C5556" s="40" t="n"/>
      <c r="D5556" s="52">
        <f t="array" ref="D5556:W5556">IF(All_Students_Scores!C5554:V5554="","",All_Students_Scores!C5554:V5554)</f>
        <v/>
      </c>
      <c r="E5556" s="57" t="str"/>
      <c r="F5556" s="49" t="str"/>
      <c r="G5556" s="59" t="str"/>
      <c r="H5556" s="64" t="str"/>
      <c r="I5556" s="65" t="str"/>
      <c r="J5556" s="49" t="str"/>
      <c r="K5556" s="41" t="str"/>
      <c r="L5556" s="41" t="str"/>
      <c r="M5556" s="41" t="str"/>
      <c r="N5556" s="41" t="str"/>
      <c r="O5556" s="41" t="str"/>
      <c r="P5556" s="41" t="str"/>
      <c r="Q5556" s="41" t="str"/>
      <c r="R5556" s="41" t="str"/>
      <c r="S5556" s="41" t="str"/>
      <c r="T5556" s="41" t="str"/>
      <c r="U5556" s="41" t="str"/>
      <c r="V5556" s="41" t="str"/>
      <c r="W5556" s="41" t="str"/>
    </row>
    <row r="5557">
      <c r="B5557" s="2" t="n"/>
      <c r="C5557" s="40" t="n"/>
      <c r="D5557" s="52">
        <f t="array" ref="D5557:W5557">IF(All_Students_Scores!C5555:V5555="","",All_Students_Scores!C5555:V5555)</f>
        <v/>
      </c>
      <c r="E5557" s="57" t="str"/>
      <c r="F5557" s="49" t="str"/>
      <c r="G5557" s="59" t="str"/>
      <c r="H5557" s="64" t="str"/>
      <c r="I5557" s="65" t="str"/>
      <c r="J5557" s="49" t="str"/>
      <c r="K5557" s="41" t="str"/>
      <c r="L5557" s="41" t="str"/>
      <c r="M5557" s="41" t="str"/>
      <c r="N5557" s="41" t="str"/>
      <c r="O5557" s="41" t="str"/>
      <c r="P5557" s="41" t="str"/>
      <c r="Q5557" s="41" t="str"/>
      <c r="R5557" s="41" t="str"/>
      <c r="S5557" s="41" t="str"/>
      <c r="T5557" s="41" t="str"/>
      <c r="U5557" s="41" t="str"/>
      <c r="V5557" s="41" t="str"/>
      <c r="W5557" s="41" t="str"/>
    </row>
    <row r="5558">
      <c r="B5558" s="2" t="n"/>
      <c r="C5558" s="40" t="n"/>
      <c r="D5558" s="52">
        <f t="array" ref="D5558:W5558">IF(All_Students_Scores!C5556:V5556="","",All_Students_Scores!C5556:V5556)</f>
        <v/>
      </c>
      <c r="E5558" s="57" t="str"/>
      <c r="F5558" s="49" t="str"/>
      <c r="G5558" s="59" t="str"/>
      <c r="H5558" s="64" t="str"/>
      <c r="I5558" s="65" t="str"/>
      <c r="J5558" s="49" t="str"/>
      <c r="K5558" s="41" t="str"/>
      <c r="L5558" s="41" t="str"/>
      <c r="M5558" s="41" t="str"/>
      <c r="N5558" s="41" t="str"/>
      <c r="O5558" s="41" t="str"/>
      <c r="P5558" s="41" t="str"/>
      <c r="Q5558" s="41" t="str"/>
      <c r="R5558" s="41" t="str"/>
      <c r="S5558" s="41" t="str"/>
      <c r="T5558" s="41" t="str"/>
      <c r="U5558" s="41" t="str"/>
      <c r="V5558" s="41" t="str"/>
      <c r="W5558" s="41" t="str"/>
    </row>
    <row r="5559">
      <c r="B5559" s="2" t="n"/>
      <c r="C5559" s="40" t="n"/>
      <c r="D5559" s="52">
        <f t="array" ref="D5559:W5559">IF(All_Students_Scores!C5557:V5557="","",All_Students_Scores!C5557:V5557)</f>
        <v/>
      </c>
      <c r="E5559" s="57" t="str"/>
      <c r="F5559" s="49" t="str"/>
      <c r="G5559" s="59" t="str"/>
      <c r="H5559" s="64" t="str"/>
      <c r="I5559" s="65" t="str"/>
      <c r="J5559" s="49" t="str"/>
      <c r="K5559" s="41" t="str"/>
      <c r="L5559" s="41" t="str"/>
      <c r="M5559" s="41" t="str"/>
      <c r="N5559" s="41" t="str"/>
      <c r="O5559" s="41" t="str"/>
      <c r="P5559" s="41" t="str"/>
      <c r="Q5559" s="41" t="str"/>
      <c r="R5559" s="41" t="str"/>
      <c r="S5559" s="41" t="str"/>
      <c r="T5559" s="41" t="str"/>
      <c r="U5559" s="41" t="str"/>
      <c r="V5559" s="41" t="str"/>
      <c r="W5559" s="41" t="str"/>
    </row>
    <row r="5560">
      <c r="B5560" s="2" t="n"/>
      <c r="C5560" s="40" t="n"/>
      <c r="D5560" s="52">
        <f t="array" ref="D5560:W5560">IF(All_Students_Scores!C5558:V5558="","",All_Students_Scores!C5558:V5558)</f>
        <v/>
      </c>
      <c r="E5560" s="57" t="str"/>
      <c r="F5560" s="49" t="str"/>
      <c r="G5560" s="59" t="str"/>
      <c r="H5560" s="64" t="str"/>
      <c r="I5560" s="65" t="str"/>
      <c r="J5560" s="49" t="str"/>
      <c r="K5560" s="41" t="str"/>
      <c r="L5560" s="41" t="str"/>
      <c r="M5560" s="41" t="str"/>
      <c r="N5560" s="41" t="str"/>
      <c r="O5560" s="41" t="str"/>
      <c r="P5560" s="41" t="str"/>
      <c r="Q5560" s="41" t="str"/>
      <c r="R5560" s="41" t="str"/>
      <c r="S5560" s="41" t="str"/>
      <c r="T5560" s="41" t="str"/>
      <c r="U5560" s="41" t="str"/>
      <c r="V5560" s="41" t="str"/>
      <c r="W5560" s="41" t="str"/>
    </row>
    <row r="5561">
      <c r="B5561" s="2" t="n"/>
      <c r="C5561" s="40" t="n"/>
      <c r="D5561" s="52">
        <f t="array" ref="D5561:W5561">IF(All_Students_Scores!C5559:V5559="","",All_Students_Scores!C5559:V5559)</f>
        <v/>
      </c>
      <c r="E5561" s="57" t="str"/>
      <c r="F5561" s="49" t="str"/>
      <c r="G5561" s="59" t="str"/>
      <c r="H5561" s="64" t="str"/>
      <c r="I5561" s="65" t="str"/>
      <c r="J5561" s="49" t="str"/>
      <c r="K5561" s="41" t="str"/>
      <c r="L5561" s="41" t="str"/>
      <c r="M5561" s="41" t="str"/>
      <c r="N5561" s="41" t="str"/>
      <c r="O5561" s="41" t="str"/>
      <c r="P5561" s="41" t="str"/>
      <c r="Q5561" s="41" t="str"/>
      <c r="R5561" s="41" t="str"/>
      <c r="S5561" s="41" t="str"/>
      <c r="T5561" s="41" t="str"/>
      <c r="U5561" s="41" t="str"/>
      <c r="V5561" s="41" t="str"/>
      <c r="W5561" s="41" t="str"/>
    </row>
    <row r="5562">
      <c r="B5562" s="2" t="n"/>
      <c r="C5562" s="40" t="n"/>
      <c r="D5562" s="52">
        <f t="array" ref="D5562:W5562">IF(All_Students_Scores!C5560:V5560="","",All_Students_Scores!C5560:V5560)</f>
        <v/>
      </c>
      <c r="E5562" s="57" t="str"/>
      <c r="F5562" s="49" t="str"/>
      <c r="G5562" s="59" t="str"/>
      <c r="H5562" s="64" t="str"/>
      <c r="I5562" s="65" t="str"/>
      <c r="J5562" s="49" t="str"/>
      <c r="K5562" s="41" t="str"/>
      <c r="L5562" s="41" t="str"/>
      <c r="M5562" s="41" t="str"/>
      <c r="N5562" s="41" t="str"/>
      <c r="O5562" s="41" t="str"/>
      <c r="P5562" s="41" t="str"/>
      <c r="Q5562" s="41" t="str"/>
      <c r="R5562" s="41" t="str"/>
      <c r="S5562" s="41" t="str"/>
      <c r="T5562" s="41" t="str"/>
      <c r="U5562" s="41" t="str"/>
      <c r="V5562" s="41" t="str"/>
      <c r="W5562" s="41" t="str"/>
    </row>
    <row r="5563">
      <c r="B5563" s="2" t="n"/>
      <c r="C5563" s="40" t="n"/>
      <c r="D5563" s="52">
        <f t="array" ref="D5563:W5563">IF(All_Students_Scores!C5561:V5561="","",All_Students_Scores!C5561:V5561)</f>
        <v/>
      </c>
      <c r="E5563" s="57" t="str"/>
      <c r="F5563" s="49" t="str"/>
      <c r="G5563" s="59" t="str"/>
      <c r="H5563" s="64" t="str"/>
      <c r="I5563" s="65" t="str"/>
      <c r="J5563" s="49" t="str"/>
      <c r="K5563" s="41" t="str"/>
      <c r="L5563" s="41" t="str"/>
      <c r="M5563" s="41" t="str"/>
      <c r="N5563" s="41" t="str"/>
      <c r="O5563" s="41" t="str"/>
      <c r="P5563" s="41" t="str"/>
      <c r="Q5563" s="41" t="str"/>
      <c r="R5563" s="41" t="str"/>
      <c r="S5563" s="41" t="str"/>
      <c r="T5563" s="41" t="str"/>
      <c r="U5563" s="41" t="str"/>
      <c r="V5563" s="41" t="str"/>
      <c r="W5563" s="41" t="str"/>
    </row>
    <row r="5564">
      <c r="B5564" s="2" t="n"/>
      <c r="C5564" s="40" t="n"/>
      <c r="D5564" s="52">
        <f t="array" ref="D5564:W5564">IF(All_Students_Scores!C5562:V5562="","",All_Students_Scores!C5562:V5562)</f>
        <v/>
      </c>
      <c r="E5564" s="57" t="str"/>
      <c r="F5564" s="49" t="str"/>
      <c r="G5564" s="59" t="str"/>
      <c r="H5564" s="64" t="str"/>
      <c r="I5564" s="65" t="str"/>
      <c r="J5564" s="49" t="str"/>
      <c r="K5564" s="41" t="str"/>
      <c r="L5564" s="41" t="str"/>
      <c r="M5564" s="41" t="str"/>
      <c r="N5564" s="41" t="str"/>
      <c r="O5564" s="41" t="str"/>
      <c r="P5564" s="41" t="str"/>
      <c r="Q5564" s="41" t="str"/>
      <c r="R5564" s="41" t="str"/>
      <c r="S5564" s="41" t="str"/>
      <c r="T5564" s="41" t="str"/>
      <c r="U5564" s="41" t="str"/>
      <c r="V5564" s="41" t="str"/>
      <c r="W5564" s="41" t="str"/>
    </row>
    <row r="5565">
      <c r="B5565" s="2" t="n"/>
      <c r="C5565" s="40" t="n"/>
      <c r="D5565" s="52">
        <f t="array" ref="D5565:W5565">IF(All_Students_Scores!C5563:V5563="","",All_Students_Scores!C5563:V5563)</f>
        <v/>
      </c>
      <c r="E5565" s="57" t="str"/>
      <c r="F5565" s="49" t="str"/>
      <c r="G5565" s="59" t="str"/>
      <c r="H5565" s="64" t="str"/>
      <c r="I5565" s="65" t="str"/>
      <c r="J5565" s="49" t="str"/>
      <c r="K5565" s="41" t="str"/>
      <c r="L5565" s="41" t="str"/>
      <c r="M5565" s="41" t="str"/>
      <c r="N5565" s="41" t="str"/>
      <c r="O5565" s="41" t="str"/>
      <c r="P5565" s="41" t="str"/>
      <c r="Q5565" s="41" t="str"/>
      <c r="R5565" s="41" t="str"/>
      <c r="S5565" s="41" t="str"/>
      <c r="T5565" s="41" t="str"/>
      <c r="U5565" s="41" t="str"/>
      <c r="V5565" s="41" t="str"/>
      <c r="W5565" s="41" t="str"/>
    </row>
    <row r="5566">
      <c r="B5566" s="2" t="n"/>
      <c r="C5566" s="40" t="n"/>
      <c r="D5566" s="52">
        <f t="array" ref="D5566:W5566">IF(All_Students_Scores!C5564:V5564="","",All_Students_Scores!C5564:V5564)</f>
        <v/>
      </c>
      <c r="E5566" s="57" t="str"/>
      <c r="F5566" s="49" t="str"/>
      <c r="G5566" s="59" t="str"/>
      <c r="H5566" s="64" t="str"/>
      <c r="I5566" s="65" t="str"/>
      <c r="J5566" s="49" t="str"/>
      <c r="K5566" s="41" t="str"/>
      <c r="L5566" s="41" t="str"/>
      <c r="M5566" s="41" t="str"/>
      <c r="N5566" s="41" t="str"/>
      <c r="O5566" s="41" t="str"/>
      <c r="P5566" s="41" t="str"/>
      <c r="Q5566" s="41" t="str"/>
      <c r="R5566" s="41" t="str"/>
      <c r="S5566" s="41" t="str"/>
      <c r="T5566" s="41" t="str"/>
      <c r="U5566" s="41" t="str"/>
      <c r="V5566" s="41" t="str"/>
      <c r="W5566" s="41" t="str"/>
    </row>
    <row r="5567">
      <c r="B5567" s="2" t="n"/>
      <c r="C5567" s="40" t="n"/>
      <c r="D5567" s="52">
        <f t="array" ref="D5567:W5567">IF(All_Students_Scores!C5565:V5565="","",All_Students_Scores!C5565:V5565)</f>
        <v/>
      </c>
      <c r="E5567" s="57" t="str"/>
      <c r="F5567" s="49" t="str"/>
      <c r="G5567" s="59" t="str"/>
      <c r="H5567" s="64" t="str"/>
      <c r="I5567" s="65" t="str"/>
      <c r="J5567" s="49" t="str"/>
      <c r="K5567" s="41" t="str"/>
      <c r="L5567" s="41" t="str"/>
      <c r="M5567" s="41" t="str"/>
      <c r="N5567" s="41" t="str"/>
      <c r="O5567" s="41" t="str"/>
      <c r="P5567" s="41" t="str"/>
      <c r="Q5567" s="41" t="str"/>
      <c r="R5567" s="41" t="str"/>
      <c r="S5567" s="41" t="str"/>
      <c r="T5567" s="41" t="str"/>
      <c r="U5567" s="41" t="str"/>
      <c r="V5567" s="41" t="str"/>
      <c r="W5567" s="41" t="str"/>
    </row>
    <row r="5568">
      <c r="B5568" s="2" t="n"/>
      <c r="C5568" s="40" t="n"/>
      <c r="D5568" s="52">
        <f t="array" ref="D5568:W5568">IF(All_Students_Scores!C5566:V5566="","",All_Students_Scores!C5566:V5566)</f>
        <v/>
      </c>
      <c r="E5568" s="57" t="str"/>
      <c r="F5568" s="49" t="str"/>
      <c r="G5568" s="59" t="str"/>
      <c r="H5568" s="64" t="str"/>
      <c r="I5568" s="65" t="str"/>
      <c r="J5568" s="49" t="str"/>
      <c r="K5568" s="41" t="str"/>
      <c r="L5568" s="41" t="str"/>
      <c r="M5568" s="41" t="str"/>
      <c r="N5568" s="41" t="str"/>
      <c r="O5568" s="41" t="str"/>
      <c r="P5568" s="41" t="str"/>
      <c r="Q5568" s="41" t="str"/>
      <c r="R5568" s="41" t="str"/>
      <c r="S5568" s="41" t="str"/>
      <c r="T5568" s="41" t="str"/>
      <c r="U5568" s="41" t="str"/>
      <c r="V5568" s="41" t="str"/>
      <c r="W5568" s="41" t="str"/>
    </row>
    <row r="5569">
      <c r="B5569" s="2" t="n"/>
      <c r="C5569" s="40" t="n"/>
      <c r="D5569" s="52">
        <f t="array" ref="D5569:W5569">IF(All_Students_Scores!C5567:V5567="","",All_Students_Scores!C5567:V5567)</f>
        <v/>
      </c>
      <c r="E5569" s="57" t="str"/>
      <c r="F5569" s="49" t="str"/>
      <c r="G5569" s="59" t="str"/>
      <c r="H5569" s="64" t="str"/>
      <c r="I5569" s="65" t="str"/>
      <c r="J5569" s="49" t="str"/>
      <c r="K5569" s="41" t="str"/>
      <c r="L5569" s="41" t="str"/>
      <c r="M5569" s="41" t="str"/>
      <c r="N5569" s="41" t="str"/>
      <c r="O5569" s="41" t="str"/>
      <c r="P5569" s="41" t="str"/>
      <c r="Q5569" s="41" t="str"/>
      <c r="R5569" s="41" t="str"/>
      <c r="S5569" s="41" t="str"/>
      <c r="T5569" s="41" t="str"/>
      <c r="U5569" s="41" t="str"/>
      <c r="V5569" s="41" t="str"/>
      <c r="W5569" s="41" t="str"/>
    </row>
    <row r="5570">
      <c r="B5570" s="2" t="n"/>
      <c r="C5570" s="40" t="n"/>
      <c r="D5570" s="52">
        <f t="array" ref="D5570:W5570">IF(All_Students_Scores!C5568:V5568="","",All_Students_Scores!C5568:V5568)</f>
        <v/>
      </c>
      <c r="E5570" s="57" t="str"/>
      <c r="F5570" s="49" t="str"/>
      <c r="G5570" s="59" t="str"/>
      <c r="H5570" s="64" t="str"/>
      <c r="I5570" s="65" t="str"/>
      <c r="J5570" s="49" t="str"/>
      <c r="K5570" s="41" t="str"/>
      <c r="L5570" s="41" t="str"/>
      <c r="M5570" s="41" t="str"/>
      <c r="N5570" s="41" t="str"/>
      <c r="O5570" s="41" t="str"/>
      <c r="P5570" s="41" t="str"/>
      <c r="Q5570" s="41" t="str"/>
      <c r="R5570" s="41" t="str"/>
      <c r="S5570" s="41" t="str"/>
      <c r="T5570" s="41" t="str"/>
      <c r="U5570" s="41" t="str"/>
      <c r="V5570" s="41" t="str"/>
      <c r="W5570" s="41" t="str"/>
    </row>
    <row r="5571">
      <c r="B5571" s="2" t="n"/>
      <c r="C5571" s="40" t="n"/>
      <c r="D5571" s="52">
        <f t="array" ref="D5571:W5571">IF(All_Students_Scores!C5569:V5569="","",All_Students_Scores!C5569:V5569)</f>
        <v/>
      </c>
      <c r="E5571" s="57" t="str"/>
      <c r="F5571" s="49" t="str"/>
      <c r="G5571" s="59" t="str"/>
      <c r="H5571" s="64" t="str"/>
      <c r="I5571" s="65" t="str"/>
      <c r="J5571" s="49" t="str"/>
      <c r="K5571" s="41" t="str"/>
      <c r="L5571" s="41" t="str"/>
      <c r="M5571" s="41" t="str"/>
      <c r="N5571" s="41" t="str"/>
      <c r="O5571" s="41" t="str"/>
      <c r="P5571" s="41" t="str"/>
      <c r="Q5571" s="41" t="str"/>
      <c r="R5571" s="41" t="str"/>
      <c r="S5571" s="41" t="str"/>
      <c r="T5571" s="41" t="str"/>
      <c r="U5571" s="41" t="str"/>
      <c r="V5571" s="41" t="str"/>
      <c r="W5571" s="41" t="str"/>
    </row>
    <row r="5572">
      <c r="B5572" s="2" t="n"/>
      <c r="C5572" s="40" t="n"/>
      <c r="D5572" s="52">
        <f t="array" ref="D5572:W5572">IF(All_Students_Scores!C5570:V5570="","",All_Students_Scores!C5570:V5570)</f>
        <v/>
      </c>
      <c r="E5572" s="57" t="str"/>
      <c r="F5572" s="49" t="str"/>
      <c r="G5572" s="59" t="str"/>
      <c r="H5572" s="64" t="str"/>
      <c r="I5572" s="65" t="str"/>
      <c r="J5572" s="49" t="str"/>
      <c r="K5572" s="41" t="str"/>
      <c r="L5572" s="41" t="str"/>
      <c r="M5572" s="41" t="str"/>
      <c r="N5572" s="41" t="str"/>
      <c r="O5572" s="41" t="str"/>
      <c r="P5572" s="41" t="str"/>
      <c r="Q5572" s="41" t="str"/>
      <c r="R5572" s="41" t="str"/>
      <c r="S5572" s="41" t="str"/>
      <c r="T5572" s="41" t="str"/>
      <c r="U5572" s="41" t="str"/>
      <c r="V5572" s="41" t="str"/>
      <c r="W5572" s="41" t="str"/>
    </row>
    <row r="5573">
      <c r="B5573" s="2" t="n"/>
      <c r="C5573" s="40" t="n"/>
      <c r="D5573" s="52">
        <f t="array" ref="D5573:W5573">IF(All_Students_Scores!C5571:V5571="","",All_Students_Scores!C5571:V5571)</f>
        <v/>
      </c>
      <c r="E5573" s="57" t="str"/>
      <c r="F5573" s="49" t="str"/>
      <c r="G5573" s="59" t="str"/>
      <c r="H5573" s="64" t="str"/>
      <c r="I5573" s="65" t="str"/>
      <c r="J5573" s="49" t="str"/>
      <c r="K5573" s="41" t="str"/>
      <c r="L5573" s="41" t="str"/>
      <c r="M5573" s="41" t="str"/>
      <c r="N5573" s="41" t="str"/>
      <c r="O5573" s="41" t="str"/>
      <c r="P5573" s="41" t="str"/>
      <c r="Q5573" s="41" t="str"/>
      <c r="R5573" s="41" t="str"/>
      <c r="S5573" s="41" t="str"/>
      <c r="T5573" s="41" t="str"/>
      <c r="U5573" s="41" t="str"/>
      <c r="V5573" s="41" t="str"/>
      <c r="W5573" s="41" t="str"/>
    </row>
    <row r="5574">
      <c r="B5574" s="2" t="n"/>
      <c r="C5574" s="40" t="n"/>
      <c r="D5574" s="52">
        <f t="array" ref="D5574:W5574">IF(All_Students_Scores!C5572:V5572="","",All_Students_Scores!C5572:V5572)</f>
        <v/>
      </c>
      <c r="E5574" s="57" t="str"/>
      <c r="F5574" s="49" t="str"/>
      <c r="G5574" s="59" t="str"/>
      <c r="H5574" s="64" t="str"/>
      <c r="I5574" s="65" t="str"/>
      <c r="J5574" s="49" t="str"/>
      <c r="K5574" s="41" t="str"/>
      <c r="L5574" s="41" t="str"/>
      <c r="M5574" s="41" t="str"/>
      <c r="N5574" s="41" t="str"/>
      <c r="O5574" s="41" t="str"/>
      <c r="P5574" s="41" t="str"/>
      <c r="Q5574" s="41" t="str"/>
      <c r="R5574" s="41" t="str"/>
      <c r="S5574" s="41" t="str"/>
      <c r="T5574" s="41" t="str"/>
      <c r="U5574" s="41" t="str"/>
      <c r="V5574" s="41" t="str"/>
      <c r="W5574" s="41" t="str"/>
    </row>
    <row r="5575">
      <c r="B5575" s="2" t="n"/>
      <c r="C5575" s="40" t="n"/>
      <c r="D5575" s="52">
        <f t="array" ref="D5575:W5575">IF(All_Students_Scores!C5573:V5573="","",All_Students_Scores!C5573:V5573)</f>
        <v/>
      </c>
      <c r="E5575" s="57" t="str"/>
      <c r="F5575" s="49" t="str"/>
      <c r="G5575" s="59" t="str"/>
      <c r="H5575" s="64" t="str"/>
      <c r="I5575" s="65" t="str"/>
      <c r="J5575" s="49" t="str"/>
      <c r="K5575" s="41" t="str"/>
      <c r="L5575" s="41" t="str"/>
      <c r="M5575" s="41" t="str"/>
      <c r="N5575" s="41" t="str"/>
      <c r="O5575" s="41" t="str"/>
      <c r="P5575" s="41" t="str"/>
      <c r="Q5575" s="41" t="str"/>
      <c r="R5575" s="41" t="str"/>
      <c r="S5575" s="41" t="str"/>
      <c r="T5575" s="41" t="str"/>
      <c r="U5575" s="41" t="str"/>
      <c r="V5575" s="41" t="str"/>
      <c r="W5575" s="41" t="str"/>
    </row>
    <row r="5576">
      <c r="B5576" s="2" t="n"/>
      <c r="C5576" s="40" t="n"/>
      <c r="D5576" s="52">
        <f t="array" ref="D5576:W5576">IF(All_Students_Scores!C5574:V5574="","",All_Students_Scores!C5574:V5574)</f>
        <v/>
      </c>
      <c r="E5576" s="57" t="str"/>
      <c r="F5576" s="49" t="str"/>
      <c r="G5576" s="59" t="str"/>
      <c r="H5576" s="64" t="str"/>
      <c r="I5576" s="65" t="str"/>
      <c r="J5576" s="49" t="str"/>
      <c r="K5576" s="41" t="str"/>
      <c r="L5576" s="41" t="str"/>
      <c r="M5576" s="41" t="str"/>
      <c r="N5576" s="41" t="str"/>
      <c r="O5576" s="41" t="str"/>
      <c r="P5576" s="41" t="str"/>
      <c r="Q5576" s="41" t="str"/>
      <c r="R5576" s="41" t="str"/>
      <c r="S5576" s="41" t="str"/>
      <c r="T5576" s="41" t="str"/>
      <c r="U5576" s="41" t="str"/>
      <c r="V5576" s="41" t="str"/>
      <c r="W5576" s="41" t="str"/>
    </row>
    <row r="5577">
      <c r="B5577" s="2" t="n"/>
      <c r="C5577" s="40" t="n"/>
      <c r="D5577" s="52">
        <f t="array" ref="D5577:W5577">IF(All_Students_Scores!C5575:V5575="","",All_Students_Scores!C5575:V5575)</f>
        <v/>
      </c>
      <c r="E5577" s="57" t="str"/>
      <c r="F5577" s="49" t="str"/>
      <c r="G5577" s="59" t="str"/>
      <c r="H5577" s="64" t="str"/>
      <c r="I5577" s="65" t="str"/>
      <c r="J5577" s="49" t="str"/>
      <c r="K5577" s="41" t="str"/>
      <c r="L5577" s="41" t="str"/>
      <c r="M5577" s="41" t="str"/>
      <c r="N5577" s="41" t="str"/>
      <c r="O5577" s="41" t="str"/>
      <c r="P5577" s="41" t="str"/>
      <c r="Q5577" s="41" t="str"/>
      <c r="R5577" s="41" t="str"/>
      <c r="S5577" s="41" t="str"/>
      <c r="T5577" s="41" t="str"/>
      <c r="U5577" s="41" t="str"/>
      <c r="V5577" s="41" t="str"/>
      <c r="W5577" s="41" t="str"/>
    </row>
    <row r="5578">
      <c r="B5578" s="2" t="n"/>
      <c r="C5578" s="40" t="n"/>
      <c r="D5578" s="52">
        <f t="array" ref="D5578:W5578">IF(All_Students_Scores!C5576:V5576="","",All_Students_Scores!C5576:V5576)</f>
        <v/>
      </c>
      <c r="E5578" s="57" t="str"/>
      <c r="F5578" s="49" t="str"/>
      <c r="G5578" s="59" t="str"/>
      <c r="H5578" s="64" t="str"/>
      <c r="I5578" s="65" t="str"/>
      <c r="J5578" s="49" t="str"/>
      <c r="K5578" s="41" t="str"/>
      <c r="L5578" s="41" t="str"/>
      <c r="M5578" s="41" t="str"/>
      <c r="N5578" s="41" t="str"/>
      <c r="O5578" s="41" t="str"/>
      <c r="P5578" s="41" t="str"/>
      <c r="Q5578" s="41" t="str"/>
      <c r="R5578" s="41" t="str"/>
      <c r="S5578" s="41" t="str"/>
      <c r="T5578" s="41" t="str"/>
      <c r="U5578" s="41" t="str"/>
      <c r="V5578" s="41" t="str"/>
      <c r="W5578" s="41" t="str"/>
    </row>
    <row r="5579">
      <c r="B5579" s="2" t="n"/>
      <c r="C5579" s="40" t="n"/>
      <c r="D5579" s="52">
        <f t="array" ref="D5579:W5579">IF(All_Students_Scores!C5577:V5577="","",All_Students_Scores!C5577:V5577)</f>
        <v/>
      </c>
      <c r="E5579" s="57" t="str"/>
      <c r="F5579" s="49" t="str"/>
      <c r="G5579" s="59" t="str"/>
      <c r="H5579" s="64" t="str"/>
      <c r="I5579" s="65" t="str"/>
      <c r="J5579" s="49" t="str"/>
      <c r="K5579" s="41" t="str"/>
      <c r="L5579" s="41" t="str"/>
      <c r="M5579" s="41" t="str"/>
      <c r="N5579" s="41" t="str"/>
      <c r="O5579" s="41" t="str"/>
      <c r="P5579" s="41" t="str"/>
      <c r="Q5579" s="41" t="str"/>
      <c r="R5579" s="41" t="str"/>
      <c r="S5579" s="41" t="str"/>
      <c r="T5579" s="41" t="str"/>
      <c r="U5579" s="41" t="str"/>
      <c r="V5579" s="41" t="str"/>
      <c r="W5579" s="41" t="str"/>
    </row>
    <row r="5580">
      <c r="B5580" s="2" t="n"/>
      <c r="C5580" s="40" t="n"/>
      <c r="D5580" s="52">
        <f t="array" ref="D5580:W5580">IF(All_Students_Scores!C5578:V5578="","",All_Students_Scores!C5578:V5578)</f>
        <v/>
      </c>
      <c r="E5580" s="57" t="str"/>
      <c r="F5580" s="49" t="str"/>
      <c r="G5580" s="59" t="str"/>
      <c r="H5580" s="64" t="str"/>
      <c r="I5580" s="65" t="str"/>
      <c r="J5580" s="49" t="str"/>
      <c r="K5580" s="41" t="str"/>
      <c r="L5580" s="41" t="str"/>
      <c r="M5580" s="41" t="str"/>
      <c r="N5580" s="41" t="str"/>
      <c r="O5580" s="41" t="str"/>
      <c r="P5580" s="41" t="str"/>
      <c r="Q5580" s="41" t="str"/>
      <c r="R5580" s="41" t="str"/>
      <c r="S5580" s="41" t="str"/>
      <c r="T5580" s="41" t="str"/>
      <c r="U5580" s="41" t="str"/>
      <c r="V5580" s="41" t="str"/>
      <c r="W5580" s="41" t="str"/>
    </row>
    <row r="5581">
      <c r="B5581" s="2" t="n"/>
      <c r="C5581" s="40" t="n"/>
      <c r="D5581" s="52">
        <f t="array" ref="D5581:W5581">IF(All_Students_Scores!C5579:V5579="","",All_Students_Scores!C5579:V5579)</f>
        <v/>
      </c>
      <c r="E5581" s="57" t="str"/>
      <c r="F5581" s="49" t="str"/>
      <c r="G5581" s="59" t="str"/>
      <c r="H5581" s="64" t="str"/>
      <c r="I5581" s="65" t="str"/>
      <c r="J5581" s="49" t="str"/>
      <c r="K5581" s="41" t="str"/>
      <c r="L5581" s="41" t="str"/>
      <c r="M5581" s="41" t="str"/>
      <c r="N5581" s="41" t="str"/>
      <c r="O5581" s="41" t="str"/>
      <c r="P5581" s="41" t="str"/>
      <c r="Q5581" s="41" t="str"/>
      <c r="R5581" s="41" t="str"/>
      <c r="S5581" s="41" t="str"/>
      <c r="T5581" s="41" t="str"/>
      <c r="U5581" s="41" t="str"/>
      <c r="V5581" s="41" t="str"/>
      <c r="W5581" s="41" t="str"/>
    </row>
    <row r="5582">
      <c r="B5582" s="2" t="n"/>
      <c r="C5582" s="40" t="n"/>
      <c r="D5582" s="52">
        <f t="array" ref="D5582:W5582">IF(All_Students_Scores!C5580:V5580="","",All_Students_Scores!C5580:V5580)</f>
        <v/>
      </c>
      <c r="E5582" s="57" t="str"/>
      <c r="F5582" s="49" t="str"/>
      <c r="G5582" s="59" t="str"/>
      <c r="H5582" s="64" t="str"/>
      <c r="I5582" s="65" t="str"/>
      <c r="J5582" s="49" t="str"/>
      <c r="K5582" s="41" t="str"/>
      <c r="L5582" s="41" t="str"/>
      <c r="M5582" s="41" t="str"/>
      <c r="N5582" s="41" t="str"/>
      <c r="O5582" s="41" t="str"/>
      <c r="P5582" s="41" t="str"/>
      <c r="Q5582" s="41" t="str"/>
      <c r="R5582" s="41" t="str"/>
      <c r="S5582" s="41" t="str"/>
      <c r="T5582" s="41" t="str"/>
      <c r="U5582" s="41" t="str"/>
      <c r="V5582" s="41" t="str"/>
      <c r="W5582" s="41" t="str"/>
    </row>
    <row r="5583">
      <c r="B5583" s="2" t="n"/>
      <c r="C5583" s="40" t="n"/>
      <c r="D5583" s="52">
        <f t="array" ref="D5583:W5583">IF(All_Students_Scores!C5581:V5581="","",All_Students_Scores!C5581:V5581)</f>
        <v/>
      </c>
      <c r="E5583" s="57" t="str"/>
      <c r="F5583" s="49" t="str"/>
      <c r="G5583" s="59" t="str"/>
      <c r="H5583" s="64" t="str"/>
      <c r="I5583" s="65" t="str"/>
      <c r="J5583" s="49" t="str"/>
      <c r="K5583" s="41" t="str"/>
      <c r="L5583" s="41" t="str"/>
      <c r="M5583" s="41" t="str"/>
      <c r="N5583" s="41" t="str"/>
      <c r="O5583" s="41" t="str"/>
      <c r="P5583" s="41" t="str"/>
      <c r="Q5583" s="41" t="str"/>
      <c r="R5583" s="41" t="str"/>
      <c r="S5583" s="41" t="str"/>
      <c r="T5583" s="41" t="str"/>
      <c r="U5583" s="41" t="str"/>
      <c r="V5583" s="41" t="str"/>
      <c r="W5583" s="41" t="str"/>
    </row>
    <row r="5584">
      <c r="B5584" s="2" t="n"/>
      <c r="C5584" s="40" t="n"/>
      <c r="D5584" s="52">
        <f t="array" ref="D5584:W5584">IF(All_Students_Scores!C5582:V5582="","",All_Students_Scores!C5582:V5582)</f>
        <v/>
      </c>
      <c r="E5584" s="57" t="str"/>
      <c r="F5584" s="49" t="str"/>
      <c r="G5584" s="59" t="str"/>
      <c r="H5584" s="64" t="str"/>
      <c r="I5584" s="65" t="str"/>
      <c r="J5584" s="49" t="str"/>
      <c r="K5584" s="41" t="str"/>
      <c r="L5584" s="41" t="str"/>
      <c r="M5584" s="41" t="str"/>
      <c r="N5584" s="41" t="str"/>
      <c r="O5584" s="41" t="str"/>
      <c r="P5584" s="41" t="str"/>
      <c r="Q5584" s="41" t="str"/>
      <c r="R5584" s="41" t="str"/>
      <c r="S5584" s="41" t="str"/>
      <c r="T5584" s="41" t="str"/>
      <c r="U5584" s="41" t="str"/>
      <c r="V5584" s="41" t="str"/>
      <c r="W5584" s="41" t="str"/>
    </row>
    <row r="5585">
      <c r="B5585" s="2" t="n"/>
      <c r="C5585" s="40" t="n"/>
      <c r="D5585" s="52">
        <f t="array" ref="D5585:W5585">IF(All_Students_Scores!C5583:V5583="","",All_Students_Scores!C5583:V5583)</f>
        <v/>
      </c>
      <c r="E5585" s="57" t="str"/>
      <c r="F5585" s="49" t="str"/>
      <c r="G5585" s="59" t="str"/>
      <c r="H5585" s="64" t="str"/>
      <c r="I5585" s="65" t="str"/>
      <c r="J5585" s="49" t="str"/>
      <c r="K5585" s="41" t="str"/>
      <c r="L5585" s="41" t="str"/>
      <c r="M5585" s="41" t="str"/>
      <c r="N5585" s="41" t="str"/>
      <c r="O5585" s="41" t="str"/>
      <c r="P5585" s="41" t="str"/>
      <c r="Q5585" s="41" t="str"/>
      <c r="R5585" s="41" t="str"/>
      <c r="S5585" s="41" t="str"/>
      <c r="T5585" s="41" t="str"/>
      <c r="U5585" s="41" t="str"/>
      <c r="V5585" s="41" t="str"/>
      <c r="W5585" s="41" t="str"/>
    </row>
    <row r="5586">
      <c r="B5586" s="2" t="n"/>
      <c r="C5586" s="40" t="n"/>
      <c r="D5586" s="52">
        <f t="array" ref="D5586:W5586">IF(All_Students_Scores!C5584:V5584="","",All_Students_Scores!C5584:V5584)</f>
        <v/>
      </c>
      <c r="E5586" s="57" t="str"/>
      <c r="F5586" s="49" t="str"/>
      <c r="G5586" s="59" t="str"/>
      <c r="H5586" s="64" t="str"/>
      <c r="I5586" s="65" t="str"/>
      <c r="J5586" s="49" t="str"/>
      <c r="K5586" s="41" t="str"/>
      <c r="L5586" s="41" t="str"/>
      <c r="M5586" s="41" t="str"/>
      <c r="N5586" s="41" t="str"/>
      <c r="O5586" s="41" t="str"/>
      <c r="P5586" s="41" t="str"/>
      <c r="Q5586" s="41" t="str"/>
      <c r="R5586" s="41" t="str"/>
      <c r="S5586" s="41" t="str"/>
      <c r="T5586" s="41" t="str"/>
      <c r="U5586" s="41" t="str"/>
      <c r="V5586" s="41" t="str"/>
      <c r="W5586" s="41" t="str"/>
    </row>
    <row r="5587">
      <c r="B5587" s="2" t="n"/>
      <c r="C5587" s="40" t="n"/>
      <c r="D5587" s="52">
        <f t="array" ref="D5587:W5587">IF(All_Students_Scores!C5585:V5585="","",All_Students_Scores!C5585:V5585)</f>
        <v/>
      </c>
      <c r="E5587" s="57" t="str"/>
      <c r="F5587" s="49" t="str"/>
      <c r="G5587" s="59" t="str"/>
      <c r="H5587" s="64" t="str"/>
      <c r="I5587" s="65" t="str"/>
      <c r="J5587" s="49" t="str"/>
      <c r="K5587" s="41" t="str"/>
      <c r="L5587" s="41" t="str"/>
      <c r="M5587" s="41" t="str"/>
      <c r="N5587" s="41" t="str"/>
      <c r="O5587" s="41" t="str"/>
      <c r="P5587" s="41" t="str"/>
      <c r="Q5587" s="41" t="str"/>
      <c r="R5587" s="41" t="str"/>
      <c r="S5587" s="41" t="str"/>
      <c r="T5587" s="41" t="str"/>
      <c r="U5587" s="41" t="str"/>
      <c r="V5587" s="41" t="str"/>
      <c r="W5587" s="41" t="str"/>
    </row>
    <row r="5588">
      <c r="B5588" s="2" t="n"/>
      <c r="C5588" s="40" t="n"/>
      <c r="D5588" s="52">
        <f t="array" ref="D5588:W5588">IF(All_Students_Scores!C5586:V5586="","",All_Students_Scores!C5586:V5586)</f>
        <v/>
      </c>
      <c r="E5588" s="57" t="str"/>
      <c r="F5588" s="49" t="str"/>
      <c r="G5588" s="59" t="str"/>
      <c r="H5588" s="64" t="str"/>
      <c r="I5588" s="65" t="str"/>
      <c r="J5588" s="49" t="str"/>
      <c r="K5588" s="41" t="str"/>
      <c r="L5588" s="41" t="str"/>
      <c r="M5588" s="41" t="str"/>
      <c r="N5588" s="41" t="str"/>
      <c r="O5588" s="41" t="str"/>
      <c r="P5588" s="41" t="str"/>
      <c r="Q5588" s="41" t="str"/>
      <c r="R5588" s="41" t="str"/>
      <c r="S5588" s="41" t="str"/>
      <c r="T5588" s="41" t="str"/>
      <c r="U5588" s="41" t="str"/>
      <c r="V5588" s="41" t="str"/>
      <c r="W5588" s="41" t="str"/>
    </row>
    <row r="5589">
      <c r="B5589" s="2" t="n"/>
      <c r="C5589" s="40" t="n"/>
      <c r="D5589" s="52">
        <f t="array" ref="D5589:W5589">IF(All_Students_Scores!C5587:V5587="","",All_Students_Scores!C5587:V5587)</f>
        <v/>
      </c>
      <c r="E5589" s="57" t="str"/>
      <c r="F5589" s="49" t="str"/>
      <c r="G5589" s="59" t="str"/>
      <c r="H5589" s="64" t="str"/>
      <c r="I5589" s="65" t="str"/>
      <c r="J5589" s="49" t="str"/>
      <c r="K5589" s="41" t="str"/>
      <c r="L5589" s="41" t="str"/>
      <c r="M5589" s="41" t="str"/>
      <c r="N5589" s="41" t="str"/>
      <c r="O5589" s="41" t="str"/>
      <c r="P5589" s="41" t="str"/>
      <c r="Q5589" s="41" t="str"/>
      <c r="R5589" s="41" t="str"/>
      <c r="S5589" s="41" t="str"/>
      <c r="T5589" s="41" t="str"/>
      <c r="U5589" s="41" t="str"/>
      <c r="V5589" s="41" t="str"/>
      <c r="W5589" s="41" t="str"/>
    </row>
    <row r="5590">
      <c r="B5590" s="2" t="n"/>
      <c r="C5590" s="40" t="n"/>
      <c r="D5590" s="52">
        <f t="array" ref="D5590:W5590">IF(All_Students_Scores!C5588:V5588="","",All_Students_Scores!C5588:V5588)</f>
        <v/>
      </c>
      <c r="E5590" s="57" t="str"/>
      <c r="F5590" s="49" t="str"/>
      <c r="G5590" s="59" t="str"/>
      <c r="H5590" s="64" t="str"/>
      <c r="I5590" s="65" t="str"/>
      <c r="J5590" s="49" t="str"/>
      <c r="K5590" s="41" t="str"/>
      <c r="L5590" s="41" t="str"/>
      <c r="M5590" s="41" t="str"/>
      <c r="N5590" s="41" t="str"/>
      <c r="O5590" s="41" t="str"/>
      <c r="P5590" s="41" t="str"/>
      <c r="Q5590" s="41" t="str"/>
      <c r="R5590" s="41" t="str"/>
      <c r="S5590" s="41" t="str"/>
      <c r="T5590" s="41" t="str"/>
      <c r="U5590" s="41" t="str"/>
      <c r="V5590" s="41" t="str"/>
      <c r="W5590" s="41" t="str"/>
    </row>
    <row r="5591">
      <c r="B5591" s="2" t="n"/>
      <c r="C5591" s="40" t="n"/>
      <c r="D5591" s="52">
        <f t="array" ref="D5591:W5591">IF(All_Students_Scores!C5589:V5589="","",All_Students_Scores!C5589:V5589)</f>
        <v/>
      </c>
      <c r="E5591" s="57" t="str"/>
      <c r="F5591" s="49" t="str"/>
      <c r="G5591" s="59" t="str"/>
      <c r="H5591" s="64" t="str"/>
      <c r="I5591" s="65" t="str"/>
      <c r="J5591" s="49" t="str"/>
      <c r="K5591" s="41" t="str"/>
      <c r="L5591" s="41" t="str"/>
      <c r="M5591" s="41" t="str"/>
      <c r="N5591" s="41" t="str"/>
      <c r="O5591" s="41" t="str"/>
      <c r="P5591" s="41" t="str"/>
      <c r="Q5591" s="41" t="str"/>
      <c r="R5591" s="41" t="str"/>
      <c r="S5591" s="41" t="str"/>
      <c r="T5591" s="41" t="str"/>
      <c r="U5591" s="41" t="str"/>
      <c r="V5591" s="41" t="str"/>
      <c r="W5591" s="41" t="str"/>
    </row>
    <row r="5592">
      <c r="B5592" s="2" t="n"/>
      <c r="C5592" s="40" t="n"/>
      <c r="D5592" s="52">
        <f t="array" ref="D5592:W5592">IF(All_Students_Scores!C5590:V5590="","",All_Students_Scores!C5590:V5590)</f>
        <v/>
      </c>
      <c r="E5592" s="57" t="str"/>
      <c r="F5592" s="49" t="str"/>
      <c r="G5592" s="59" t="str"/>
      <c r="H5592" s="64" t="str"/>
      <c r="I5592" s="65" t="str"/>
      <c r="J5592" s="49" t="str"/>
      <c r="K5592" s="41" t="str"/>
      <c r="L5592" s="41" t="str"/>
      <c r="M5592" s="41" t="str"/>
      <c r="N5592" s="41" t="str"/>
      <c r="O5592" s="41" t="str"/>
      <c r="P5592" s="41" t="str"/>
      <c r="Q5592" s="41" t="str"/>
      <c r="R5592" s="41" t="str"/>
      <c r="S5592" s="41" t="str"/>
      <c r="T5592" s="41" t="str"/>
      <c r="U5592" s="41" t="str"/>
      <c r="V5592" s="41" t="str"/>
      <c r="W5592" s="41" t="str"/>
    </row>
    <row r="5593">
      <c r="B5593" s="2" t="n"/>
      <c r="C5593" s="40" t="n"/>
      <c r="D5593" s="52">
        <f t="array" ref="D5593:W5593">IF(All_Students_Scores!C5591:V5591="","",All_Students_Scores!C5591:V5591)</f>
        <v/>
      </c>
      <c r="E5593" s="57" t="str"/>
      <c r="F5593" s="49" t="str"/>
      <c r="G5593" s="59" t="str"/>
      <c r="H5593" s="64" t="str"/>
      <c r="I5593" s="65" t="str"/>
      <c r="J5593" s="49" t="str"/>
      <c r="K5593" s="41" t="str"/>
      <c r="L5593" s="41" t="str"/>
      <c r="M5593" s="41" t="str"/>
      <c r="N5593" s="41" t="str"/>
      <c r="O5593" s="41" t="str"/>
      <c r="P5593" s="41" t="str"/>
      <c r="Q5593" s="41" t="str"/>
      <c r="R5593" s="41" t="str"/>
      <c r="S5593" s="41" t="str"/>
      <c r="T5593" s="41" t="str"/>
      <c r="U5593" s="41" t="str"/>
      <c r="V5593" s="41" t="str"/>
      <c r="W5593" s="41" t="str"/>
    </row>
    <row r="5594">
      <c r="B5594" s="2" t="n"/>
      <c r="C5594" s="40" t="n"/>
      <c r="D5594" s="52">
        <f t="array" ref="D5594:W5594">IF(All_Students_Scores!C5592:V5592="","",All_Students_Scores!C5592:V5592)</f>
        <v/>
      </c>
      <c r="E5594" s="57" t="str"/>
      <c r="F5594" s="49" t="str"/>
      <c r="G5594" s="59" t="str"/>
      <c r="H5594" s="64" t="str"/>
      <c r="I5594" s="65" t="str"/>
      <c r="J5594" s="49" t="str"/>
      <c r="K5594" s="41" t="str"/>
      <c r="L5594" s="41" t="str"/>
      <c r="M5594" s="41" t="str"/>
      <c r="N5594" s="41" t="str"/>
      <c r="O5594" s="41" t="str"/>
      <c r="P5594" s="41" t="str"/>
      <c r="Q5594" s="41" t="str"/>
      <c r="R5594" s="41" t="str"/>
      <c r="S5594" s="41" t="str"/>
      <c r="T5594" s="41" t="str"/>
      <c r="U5594" s="41" t="str"/>
      <c r="V5594" s="41" t="str"/>
      <c r="W5594" s="41" t="str"/>
    </row>
    <row r="5595">
      <c r="B5595" s="2" t="n"/>
      <c r="C5595" s="40" t="n"/>
      <c r="D5595" s="52">
        <f t="array" ref="D5595:W5595">IF(All_Students_Scores!C5593:V5593="","",All_Students_Scores!C5593:V5593)</f>
        <v/>
      </c>
      <c r="E5595" s="57" t="str"/>
      <c r="F5595" s="49" t="str"/>
      <c r="G5595" s="59" t="str"/>
      <c r="H5595" s="64" t="str"/>
      <c r="I5595" s="65" t="str"/>
      <c r="J5595" s="49" t="str"/>
      <c r="K5595" s="41" t="str"/>
      <c r="L5595" s="41" t="str"/>
      <c r="M5595" s="41" t="str"/>
      <c r="N5595" s="41" t="str"/>
      <c r="O5595" s="41" t="str"/>
      <c r="P5595" s="41" t="str"/>
      <c r="Q5595" s="41" t="str"/>
      <c r="R5595" s="41" t="str"/>
      <c r="S5595" s="41" t="str"/>
      <c r="T5595" s="41" t="str"/>
      <c r="U5595" s="41" t="str"/>
      <c r="V5595" s="41" t="str"/>
      <c r="W5595" s="41" t="str"/>
    </row>
    <row r="5596">
      <c r="B5596" s="2" t="n"/>
      <c r="C5596" s="40" t="n"/>
      <c r="D5596" s="52">
        <f t="array" ref="D5596:W5596">IF(All_Students_Scores!C5594:V5594="","",All_Students_Scores!C5594:V5594)</f>
        <v/>
      </c>
      <c r="E5596" s="57" t="str"/>
      <c r="F5596" s="49" t="str"/>
      <c r="G5596" s="59" t="str"/>
      <c r="H5596" s="64" t="str"/>
      <c r="I5596" s="65" t="str"/>
      <c r="J5596" s="49" t="str"/>
      <c r="K5596" s="41" t="str"/>
      <c r="L5596" s="41" t="str"/>
      <c r="M5596" s="41" t="str"/>
      <c r="N5596" s="41" t="str"/>
      <c r="O5596" s="41" t="str"/>
      <c r="P5596" s="41" t="str"/>
      <c r="Q5596" s="41" t="str"/>
      <c r="R5596" s="41" t="str"/>
      <c r="S5596" s="41" t="str"/>
      <c r="T5596" s="41" t="str"/>
      <c r="U5596" s="41" t="str"/>
      <c r="V5596" s="41" t="str"/>
      <c r="W5596" s="41" t="str"/>
    </row>
    <row r="5597">
      <c r="B5597" s="2" t="n"/>
      <c r="C5597" s="40" t="n"/>
      <c r="D5597" s="52">
        <f t="array" ref="D5597:W5597">IF(All_Students_Scores!C5595:V5595="","",All_Students_Scores!C5595:V5595)</f>
        <v/>
      </c>
      <c r="E5597" s="57" t="str"/>
      <c r="F5597" s="49" t="str"/>
      <c r="G5597" s="59" t="str"/>
      <c r="H5597" s="64" t="str"/>
      <c r="I5597" s="65" t="str"/>
      <c r="J5597" s="49" t="str"/>
      <c r="K5597" s="41" t="str"/>
      <c r="L5597" s="41" t="str"/>
      <c r="M5597" s="41" t="str"/>
      <c r="N5597" s="41" t="str"/>
      <c r="O5597" s="41" t="str"/>
      <c r="P5597" s="41" t="str"/>
      <c r="Q5597" s="41" t="str"/>
      <c r="R5597" s="41" t="str"/>
      <c r="S5597" s="41" t="str"/>
      <c r="T5597" s="41" t="str"/>
      <c r="U5597" s="41" t="str"/>
      <c r="V5597" s="41" t="str"/>
      <c r="W5597" s="41" t="str"/>
    </row>
    <row r="5598">
      <c r="B5598" s="2" t="n"/>
      <c r="C5598" s="40" t="n"/>
      <c r="D5598" s="52">
        <f t="array" ref="D5598:W5598">IF(All_Students_Scores!C5596:V5596="","",All_Students_Scores!C5596:V5596)</f>
        <v/>
      </c>
      <c r="E5598" s="57" t="str"/>
      <c r="F5598" s="49" t="str"/>
      <c r="G5598" s="59" t="str"/>
      <c r="H5598" s="64" t="str"/>
      <c r="I5598" s="65" t="str"/>
      <c r="J5598" s="49" t="str"/>
      <c r="K5598" s="41" t="str"/>
      <c r="L5598" s="41" t="str"/>
      <c r="M5598" s="41" t="str"/>
      <c r="N5598" s="41" t="str"/>
      <c r="O5598" s="41" t="str"/>
      <c r="P5598" s="41" t="str"/>
      <c r="Q5598" s="41" t="str"/>
      <c r="R5598" s="41" t="str"/>
      <c r="S5598" s="41" t="str"/>
      <c r="T5598" s="41" t="str"/>
      <c r="U5598" s="41" t="str"/>
      <c r="V5598" s="41" t="str"/>
      <c r="W5598" s="41" t="str"/>
    </row>
    <row r="5599">
      <c r="B5599" s="2" t="n"/>
      <c r="C5599" s="40" t="n"/>
      <c r="D5599" s="52">
        <f t="array" ref="D5599:W5599">IF(All_Students_Scores!C5597:V5597="","",All_Students_Scores!C5597:V5597)</f>
        <v/>
      </c>
      <c r="E5599" s="57" t="str"/>
      <c r="F5599" s="49" t="str"/>
      <c r="G5599" s="59" t="str"/>
      <c r="H5599" s="64" t="str"/>
      <c r="I5599" s="65" t="str"/>
      <c r="J5599" s="49" t="str"/>
      <c r="K5599" s="41" t="str"/>
      <c r="L5599" s="41" t="str"/>
      <c r="M5599" s="41" t="str"/>
      <c r="N5599" s="41" t="str"/>
      <c r="O5599" s="41" t="str"/>
      <c r="P5599" s="41" t="str"/>
      <c r="Q5599" s="41" t="str"/>
      <c r="R5599" s="41" t="str"/>
      <c r="S5599" s="41" t="str"/>
      <c r="T5599" s="41" t="str"/>
      <c r="U5599" s="41" t="str"/>
      <c r="V5599" s="41" t="str"/>
      <c r="W5599" s="41" t="str"/>
    </row>
    <row r="5600">
      <c r="B5600" s="2" t="n"/>
      <c r="C5600" s="40" t="n"/>
      <c r="D5600" s="52">
        <f t="array" ref="D5600:W5600">IF(All_Students_Scores!C5598:V5598="","",All_Students_Scores!C5598:V5598)</f>
        <v/>
      </c>
      <c r="E5600" s="57" t="str"/>
      <c r="F5600" s="49" t="str"/>
      <c r="G5600" s="59" t="str"/>
      <c r="H5600" s="64" t="str"/>
      <c r="I5600" s="65" t="str"/>
      <c r="J5600" s="49" t="str"/>
      <c r="K5600" s="41" t="str"/>
      <c r="L5600" s="41" t="str"/>
      <c r="M5600" s="41" t="str"/>
      <c r="N5600" s="41" t="str"/>
      <c r="O5600" s="41" t="str"/>
      <c r="P5600" s="41" t="str"/>
      <c r="Q5600" s="41" t="str"/>
      <c r="R5600" s="41" t="str"/>
      <c r="S5600" s="41" t="str"/>
      <c r="T5600" s="41" t="str"/>
      <c r="U5600" s="41" t="str"/>
      <c r="V5600" s="41" t="str"/>
      <c r="W5600" s="41" t="str"/>
    </row>
    <row r="5601">
      <c r="B5601" s="2" t="n"/>
      <c r="C5601" s="40" t="n"/>
      <c r="D5601" s="52">
        <f t="array" ref="D5601:W5601">IF(All_Students_Scores!C5599:V5599="","",All_Students_Scores!C5599:V5599)</f>
        <v/>
      </c>
      <c r="E5601" s="57" t="str"/>
      <c r="F5601" s="49" t="str"/>
      <c r="G5601" s="59" t="str"/>
      <c r="H5601" s="64" t="str"/>
      <c r="I5601" s="65" t="str"/>
      <c r="J5601" s="49" t="str"/>
      <c r="K5601" s="41" t="str"/>
      <c r="L5601" s="41" t="str"/>
      <c r="M5601" s="41" t="str"/>
      <c r="N5601" s="41" t="str"/>
      <c r="O5601" s="41" t="str"/>
      <c r="P5601" s="41" t="str"/>
      <c r="Q5601" s="41" t="str"/>
      <c r="R5601" s="41" t="str"/>
      <c r="S5601" s="41" t="str"/>
      <c r="T5601" s="41" t="str"/>
      <c r="U5601" s="41" t="str"/>
      <c r="V5601" s="41" t="str"/>
      <c r="W5601" s="41" t="str"/>
    </row>
    <row r="5602">
      <c r="B5602" s="2" t="n"/>
      <c r="C5602" s="40" t="n"/>
      <c r="D5602" s="52">
        <f t="array" ref="D5602:W5602">IF(All_Students_Scores!C5600:V5600="","",All_Students_Scores!C5600:V5600)</f>
        <v/>
      </c>
      <c r="E5602" s="57" t="str"/>
      <c r="F5602" s="49" t="str"/>
      <c r="G5602" s="59" t="str"/>
      <c r="H5602" s="64" t="str"/>
      <c r="I5602" s="65" t="str"/>
      <c r="J5602" s="49" t="str"/>
      <c r="K5602" s="41" t="str"/>
      <c r="L5602" s="41" t="str"/>
      <c r="M5602" s="41" t="str"/>
      <c r="N5602" s="41" t="str"/>
      <c r="O5602" s="41" t="str"/>
      <c r="P5602" s="41" t="str"/>
      <c r="Q5602" s="41" t="str"/>
      <c r="R5602" s="41" t="str"/>
      <c r="S5602" s="41" t="str"/>
      <c r="T5602" s="41" t="str"/>
      <c r="U5602" s="41" t="str"/>
      <c r="V5602" s="41" t="str"/>
      <c r="W5602" s="41" t="str"/>
    </row>
    <row r="5603">
      <c r="B5603" s="2" t="n"/>
      <c r="C5603" s="40" t="n"/>
      <c r="D5603" s="52">
        <f t="array" ref="D5603:W5603">IF(All_Students_Scores!C5601:V5601="","",All_Students_Scores!C5601:V5601)</f>
        <v/>
      </c>
      <c r="E5603" s="57" t="str"/>
      <c r="F5603" s="49" t="str"/>
      <c r="G5603" s="59" t="str"/>
      <c r="H5603" s="64" t="str"/>
      <c r="I5603" s="65" t="str"/>
      <c r="J5603" s="49" t="str"/>
      <c r="K5603" s="41" t="str"/>
      <c r="L5603" s="41" t="str"/>
      <c r="M5603" s="41" t="str"/>
      <c r="N5603" s="41" t="str"/>
      <c r="O5603" s="41" t="str"/>
      <c r="P5603" s="41" t="str"/>
      <c r="Q5603" s="41" t="str"/>
      <c r="R5603" s="41" t="str"/>
      <c r="S5603" s="41" t="str"/>
      <c r="T5603" s="41" t="str"/>
      <c r="U5603" s="41" t="str"/>
      <c r="V5603" s="41" t="str"/>
      <c r="W5603" s="41" t="str"/>
    </row>
    <row r="5604">
      <c r="B5604" s="2" t="n"/>
      <c r="C5604" s="40" t="n"/>
      <c r="D5604" s="52">
        <f t="array" ref="D5604:W5604">IF(All_Students_Scores!C5602:V5602="","",All_Students_Scores!C5602:V5602)</f>
        <v/>
      </c>
      <c r="E5604" s="57" t="str"/>
      <c r="F5604" s="49" t="str"/>
      <c r="G5604" s="59" t="str"/>
      <c r="H5604" s="64" t="str"/>
      <c r="I5604" s="65" t="str"/>
      <c r="J5604" s="49" t="str"/>
      <c r="K5604" s="41" t="str"/>
      <c r="L5604" s="41" t="str"/>
      <c r="M5604" s="41" t="str"/>
      <c r="N5604" s="41" t="str"/>
      <c r="O5604" s="41" t="str"/>
      <c r="P5604" s="41" t="str"/>
      <c r="Q5604" s="41" t="str"/>
      <c r="R5604" s="41" t="str"/>
      <c r="S5604" s="41" t="str"/>
      <c r="T5604" s="41" t="str"/>
      <c r="U5604" s="41" t="str"/>
      <c r="V5604" s="41" t="str"/>
      <c r="W5604" s="41" t="str"/>
    </row>
    <row r="5605">
      <c r="B5605" s="2" t="n"/>
      <c r="C5605" s="40" t="n"/>
      <c r="D5605" s="52">
        <f t="array" ref="D5605:W5605">IF(All_Students_Scores!C5603:V5603="","",All_Students_Scores!C5603:V5603)</f>
        <v/>
      </c>
      <c r="E5605" s="57" t="str"/>
      <c r="F5605" s="49" t="str"/>
      <c r="G5605" s="59" t="str"/>
      <c r="H5605" s="64" t="str"/>
      <c r="I5605" s="65" t="str"/>
      <c r="J5605" s="49" t="str"/>
      <c r="K5605" s="41" t="str"/>
      <c r="L5605" s="41" t="str"/>
      <c r="M5605" s="41" t="str"/>
      <c r="N5605" s="41" t="str"/>
      <c r="O5605" s="41" t="str"/>
      <c r="P5605" s="41" t="str"/>
      <c r="Q5605" s="41" t="str"/>
      <c r="R5605" s="41" t="str"/>
      <c r="S5605" s="41" t="str"/>
      <c r="T5605" s="41" t="str"/>
      <c r="U5605" s="41" t="str"/>
      <c r="V5605" s="41" t="str"/>
      <c r="W5605" s="41" t="str"/>
    </row>
    <row r="5606">
      <c r="B5606" s="2" t="n"/>
      <c r="C5606" s="40" t="n"/>
      <c r="D5606" s="52">
        <f t="array" ref="D5606:W5606">IF(All_Students_Scores!C5604:V5604="","",All_Students_Scores!C5604:V5604)</f>
        <v/>
      </c>
      <c r="E5606" s="57" t="str"/>
      <c r="F5606" s="49" t="str"/>
      <c r="G5606" s="59" t="str"/>
      <c r="H5606" s="64" t="str"/>
      <c r="I5606" s="65" t="str"/>
      <c r="J5606" s="49" t="str"/>
      <c r="K5606" s="41" t="str"/>
      <c r="L5606" s="41" t="str"/>
      <c r="M5606" s="41" t="str"/>
      <c r="N5606" s="41" t="str"/>
      <c r="O5606" s="41" t="str"/>
      <c r="P5606" s="41" t="str"/>
      <c r="Q5606" s="41" t="str"/>
      <c r="R5606" s="41" t="str"/>
      <c r="S5606" s="41" t="str"/>
      <c r="T5606" s="41" t="str"/>
      <c r="U5606" s="41" t="str"/>
      <c r="V5606" s="41" t="str"/>
      <c r="W5606" s="41" t="str"/>
    </row>
    <row r="5607">
      <c r="B5607" s="2" t="n"/>
      <c r="C5607" s="40" t="n"/>
      <c r="D5607" s="52">
        <f t="array" ref="D5607:W5607">IF(All_Students_Scores!C5605:V5605="","",All_Students_Scores!C5605:V5605)</f>
        <v/>
      </c>
      <c r="E5607" s="57" t="str"/>
      <c r="F5607" s="49" t="str"/>
      <c r="G5607" s="59" t="str"/>
      <c r="H5607" s="64" t="str"/>
      <c r="I5607" s="65" t="str"/>
      <c r="J5607" s="49" t="str"/>
      <c r="K5607" s="41" t="str"/>
      <c r="L5607" s="41" t="str"/>
      <c r="M5607" s="41" t="str"/>
      <c r="N5607" s="41" t="str"/>
      <c r="O5607" s="41" t="str"/>
      <c r="P5607" s="41" t="str"/>
      <c r="Q5607" s="41" t="str"/>
      <c r="R5607" s="41" t="str"/>
      <c r="S5607" s="41" t="str"/>
      <c r="T5607" s="41" t="str"/>
      <c r="U5607" s="41" t="str"/>
      <c r="V5607" s="41" t="str"/>
      <c r="W5607" s="41" t="str"/>
    </row>
    <row r="5608">
      <c r="B5608" s="2" t="n"/>
      <c r="C5608" s="40" t="n"/>
      <c r="D5608" s="52">
        <f t="array" ref="D5608:W5608">IF(All_Students_Scores!C5606:V5606="","",All_Students_Scores!C5606:V5606)</f>
        <v/>
      </c>
      <c r="E5608" s="57" t="str"/>
      <c r="F5608" s="49" t="str"/>
      <c r="G5608" s="59" t="str"/>
      <c r="H5608" s="64" t="str"/>
      <c r="I5608" s="65" t="str"/>
      <c r="J5608" s="49" t="str"/>
      <c r="K5608" s="41" t="str"/>
      <c r="L5608" s="41" t="str"/>
      <c r="M5608" s="41" t="str"/>
      <c r="N5608" s="41" t="str"/>
      <c r="O5608" s="41" t="str"/>
      <c r="P5608" s="41" t="str"/>
      <c r="Q5608" s="41" t="str"/>
      <c r="R5608" s="41" t="str"/>
      <c r="S5608" s="41" t="str"/>
      <c r="T5608" s="41" t="str"/>
      <c r="U5608" s="41" t="str"/>
      <c r="V5608" s="41" t="str"/>
      <c r="W5608" s="41" t="str"/>
    </row>
    <row r="5609">
      <c r="B5609" s="2" t="n"/>
      <c r="C5609" s="40" t="n"/>
      <c r="D5609" s="52">
        <f t="array" ref="D5609:W5609">IF(All_Students_Scores!C5607:V5607="","",All_Students_Scores!C5607:V5607)</f>
        <v/>
      </c>
      <c r="E5609" s="57" t="str"/>
      <c r="F5609" s="49" t="str"/>
      <c r="G5609" s="59" t="str"/>
      <c r="H5609" s="64" t="str"/>
      <c r="I5609" s="65" t="str"/>
      <c r="J5609" s="49" t="str"/>
      <c r="K5609" s="41" t="str"/>
      <c r="L5609" s="41" t="str"/>
      <c r="M5609" s="41" t="str"/>
      <c r="N5609" s="41" t="str"/>
      <c r="O5609" s="41" t="str"/>
      <c r="P5609" s="41" t="str"/>
      <c r="Q5609" s="41" t="str"/>
      <c r="R5609" s="41" t="str"/>
      <c r="S5609" s="41" t="str"/>
      <c r="T5609" s="41" t="str"/>
      <c r="U5609" s="41" t="str"/>
      <c r="V5609" s="41" t="str"/>
      <c r="W5609" s="41" t="str"/>
    </row>
    <row r="5610">
      <c r="B5610" s="2" t="n"/>
      <c r="C5610" s="40" t="n"/>
      <c r="D5610" s="52">
        <f t="array" ref="D5610:W5610">IF(All_Students_Scores!C5608:V5608="","",All_Students_Scores!C5608:V5608)</f>
        <v/>
      </c>
      <c r="E5610" s="57" t="str"/>
      <c r="F5610" s="49" t="str"/>
      <c r="G5610" s="59" t="str"/>
      <c r="H5610" s="64" t="str"/>
      <c r="I5610" s="65" t="str"/>
      <c r="J5610" s="49" t="str"/>
      <c r="K5610" s="41" t="str"/>
      <c r="L5610" s="41" t="str"/>
      <c r="M5610" s="41" t="str"/>
      <c r="N5610" s="41" t="str"/>
      <c r="O5610" s="41" t="str"/>
      <c r="P5610" s="41" t="str"/>
      <c r="Q5610" s="41" t="str"/>
      <c r="R5610" s="41" t="str"/>
      <c r="S5610" s="41" t="str"/>
      <c r="T5610" s="41" t="str"/>
      <c r="U5610" s="41" t="str"/>
      <c r="V5610" s="41" t="str"/>
      <c r="W5610" s="41" t="str"/>
    </row>
    <row r="5611">
      <c r="B5611" s="2" t="n"/>
      <c r="C5611" s="40" t="n"/>
      <c r="D5611" s="52">
        <f t="array" ref="D5611:W5611">IF(All_Students_Scores!C5609:V5609="","",All_Students_Scores!C5609:V5609)</f>
        <v/>
      </c>
      <c r="E5611" s="57" t="str"/>
      <c r="F5611" s="49" t="str"/>
      <c r="G5611" s="59" t="str"/>
      <c r="H5611" s="64" t="str"/>
      <c r="I5611" s="65" t="str"/>
      <c r="J5611" s="49" t="str"/>
      <c r="K5611" s="41" t="str"/>
      <c r="L5611" s="41" t="str"/>
      <c r="M5611" s="41" t="str"/>
      <c r="N5611" s="41" t="str"/>
      <c r="O5611" s="41" t="str"/>
      <c r="P5611" s="41" t="str"/>
      <c r="Q5611" s="41" t="str"/>
      <c r="R5611" s="41" t="str"/>
      <c r="S5611" s="41" t="str"/>
      <c r="T5611" s="41" t="str"/>
      <c r="U5611" s="41" t="str"/>
      <c r="V5611" s="41" t="str"/>
      <c r="W5611" s="41" t="str"/>
    </row>
    <row r="5612">
      <c r="B5612" s="2" t="n"/>
      <c r="C5612" s="40" t="n"/>
      <c r="D5612" s="52">
        <f t="array" ref="D5612:W5612">IF(All_Students_Scores!C5610:V5610="","",All_Students_Scores!C5610:V5610)</f>
        <v/>
      </c>
      <c r="E5612" s="57" t="str"/>
      <c r="F5612" s="49" t="str"/>
      <c r="G5612" s="59" t="str"/>
      <c r="H5612" s="64" t="str"/>
      <c r="I5612" s="65" t="str"/>
      <c r="J5612" s="49" t="str"/>
      <c r="K5612" s="41" t="str"/>
      <c r="L5612" s="41" t="str"/>
      <c r="M5612" s="41" t="str"/>
      <c r="N5612" s="41" t="str"/>
      <c r="O5612" s="41" t="str"/>
      <c r="P5612" s="41" t="str"/>
      <c r="Q5612" s="41" t="str"/>
      <c r="R5612" s="41" t="str"/>
      <c r="S5612" s="41" t="str"/>
      <c r="T5612" s="41" t="str"/>
      <c r="U5612" s="41" t="str"/>
      <c r="V5612" s="41" t="str"/>
      <c r="W5612" s="41" t="str"/>
    </row>
    <row r="5613">
      <c r="B5613" s="2" t="n"/>
      <c r="C5613" s="40" t="n"/>
      <c r="D5613" s="52">
        <f t="array" ref="D5613:W5613">IF(All_Students_Scores!C5611:V5611="","",All_Students_Scores!C5611:V5611)</f>
        <v/>
      </c>
      <c r="E5613" s="57" t="str"/>
      <c r="F5613" s="49" t="str"/>
      <c r="G5613" s="59" t="str"/>
      <c r="H5613" s="64" t="str"/>
      <c r="I5613" s="65" t="str"/>
      <c r="J5613" s="49" t="str"/>
      <c r="K5613" s="41" t="str"/>
      <c r="L5613" s="41" t="str"/>
      <c r="M5613" s="41" t="str"/>
      <c r="N5613" s="41" t="str"/>
      <c r="O5613" s="41" t="str"/>
      <c r="P5613" s="41" t="str"/>
      <c r="Q5613" s="41" t="str"/>
      <c r="R5613" s="41" t="str"/>
      <c r="S5613" s="41" t="str"/>
      <c r="T5613" s="41" t="str"/>
      <c r="U5613" s="41" t="str"/>
      <c r="V5613" s="41" t="str"/>
      <c r="W5613" s="41" t="str"/>
    </row>
    <row r="5614">
      <c r="B5614" s="2" t="n"/>
      <c r="C5614" s="40" t="n"/>
      <c r="D5614" s="52">
        <f t="array" ref="D5614:W5614">IF(All_Students_Scores!C5612:V5612="","",All_Students_Scores!C5612:V5612)</f>
        <v/>
      </c>
      <c r="E5614" s="57" t="str"/>
      <c r="F5614" s="49" t="str"/>
      <c r="G5614" s="59" t="str"/>
      <c r="H5614" s="64" t="str"/>
      <c r="I5614" s="65" t="str"/>
      <c r="J5614" s="49" t="str"/>
      <c r="K5614" s="41" t="str"/>
      <c r="L5614" s="41" t="str"/>
      <c r="M5614" s="41" t="str"/>
      <c r="N5614" s="41" t="str"/>
      <c r="O5614" s="41" t="str"/>
      <c r="P5614" s="41" t="str"/>
      <c r="Q5614" s="41" t="str"/>
      <c r="R5614" s="41" t="str"/>
      <c r="S5614" s="41" t="str"/>
      <c r="T5614" s="41" t="str"/>
      <c r="U5614" s="41" t="str"/>
      <c r="V5614" s="41" t="str"/>
      <c r="W5614" s="41" t="str"/>
    </row>
    <row r="5615">
      <c r="B5615" s="2" t="n"/>
      <c r="C5615" s="40" t="n"/>
      <c r="D5615" s="52">
        <f t="array" ref="D5615:W5615">IF(All_Students_Scores!C5613:V5613="","",All_Students_Scores!C5613:V5613)</f>
        <v/>
      </c>
      <c r="E5615" s="57" t="str"/>
      <c r="F5615" s="49" t="str"/>
      <c r="G5615" s="59" t="str"/>
      <c r="H5615" s="64" t="str"/>
      <c r="I5615" s="65" t="str"/>
      <c r="J5615" s="49" t="str"/>
      <c r="K5615" s="41" t="str"/>
      <c r="L5615" s="41" t="str"/>
      <c r="M5615" s="41" t="str"/>
      <c r="N5615" s="41" t="str"/>
      <c r="O5615" s="41" t="str"/>
      <c r="P5615" s="41" t="str"/>
      <c r="Q5615" s="41" t="str"/>
      <c r="R5615" s="41" t="str"/>
      <c r="S5615" s="41" t="str"/>
      <c r="T5615" s="41" t="str"/>
      <c r="U5615" s="41" t="str"/>
      <c r="V5615" s="41" t="str"/>
      <c r="W5615" s="41" t="str"/>
    </row>
    <row r="5616">
      <c r="B5616" s="2" t="n"/>
      <c r="C5616" s="40" t="n"/>
      <c r="D5616" s="52">
        <f t="array" ref="D5616:W5616">IF(All_Students_Scores!C5614:V5614="","",All_Students_Scores!C5614:V5614)</f>
        <v/>
      </c>
      <c r="E5616" s="57" t="str"/>
      <c r="F5616" s="49" t="str"/>
      <c r="G5616" s="59" t="str"/>
      <c r="H5616" s="64" t="str"/>
      <c r="I5616" s="65" t="str"/>
      <c r="J5616" s="49" t="str"/>
      <c r="K5616" s="41" t="str"/>
      <c r="L5616" s="41" t="str"/>
      <c r="M5616" s="41" t="str"/>
      <c r="N5616" s="41" t="str"/>
      <c r="O5616" s="41" t="str"/>
      <c r="P5616" s="41" t="str"/>
      <c r="Q5616" s="41" t="str"/>
      <c r="R5616" s="41" t="str"/>
      <c r="S5616" s="41" t="str"/>
      <c r="T5616" s="41" t="str"/>
      <c r="U5616" s="41" t="str"/>
      <c r="V5616" s="41" t="str"/>
      <c r="W5616" s="41" t="str"/>
    </row>
    <row r="5617">
      <c r="B5617" s="2" t="n"/>
      <c r="C5617" s="40" t="n"/>
      <c r="D5617" s="52">
        <f t="array" ref="D5617:W5617">IF(All_Students_Scores!C5615:V5615="","",All_Students_Scores!C5615:V5615)</f>
        <v/>
      </c>
      <c r="E5617" s="57" t="str"/>
      <c r="F5617" s="49" t="str"/>
      <c r="G5617" s="59" t="str"/>
      <c r="H5617" s="64" t="str"/>
      <c r="I5617" s="65" t="str"/>
      <c r="J5617" s="49" t="str"/>
      <c r="K5617" s="41" t="str"/>
      <c r="L5617" s="41" t="str"/>
      <c r="M5617" s="41" t="str"/>
      <c r="N5617" s="41" t="str"/>
      <c r="O5617" s="41" t="str"/>
      <c r="P5617" s="41" t="str"/>
      <c r="Q5617" s="41" t="str"/>
      <c r="R5617" s="41" t="str"/>
      <c r="S5617" s="41" t="str"/>
      <c r="T5617" s="41" t="str"/>
      <c r="U5617" s="41" t="str"/>
      <c r="V5617" s="41" t="str"/>
      <c r="W5617" s="41" t="str"/>
    </row>
    <row r="5618">
      <c r="B5618" s="2" t="n"/>
      <c r="C5618" s="40" t="n"/>
      <c r="D5618" s="52">
        <f t="array" ref="D5618:W5618">IF(All_Students_Scores!C5616:V5616="","",All_Students_Scores!C5616:V5616)</f>
        <v/>
      </c>
      <c r="E5618" s="57" t="str"/>
      <c r="F5618" s="49" t="str"/>
      <c r="G5618" s="59" t="str"/>
      <c r="H5618" s="64" t="str"/>
      <c r="I5618" s="65" t="str"/>
      <c r="J5618" s="49" t="str"/>
      <c r="K5618" s="41" t="str"/>
      <c r="L5618" s="41" t="str"/>
      <c r="M5618" s="41" t="str"/>
      <c r="N5618" s="41" t="str"/>
      <c r="O5618" s="41" t="str"/>
      <c r="P5618" s="41" t="str"/>
      <c r="Q5618" s="41" t="str"/>
      <c r="R5618" s="41" t="str"/>
      <c r="S5618" s="41" t="str"/>
      <c r="T5618" s="41" t="str"/>
      <c r="U5618" s="41" t="str"/>
      <c r="V5618" s="41" t="str"/>
      <c r="W5618" s="41" t="str"/>
    </row>
    <row r="5619">
      <c r="B5619" s="2" t="n"/>
      <c r="C5619" s="40" t="n"/>
      <c r="D5619" s="52">
        <f t="array" ref="D5619:W5619">IF(All_Students_Scores!C5617:V5617="","",All_Students_Scores!C5617:V5617)</f>
        <v/>
      </c>
      <c r="E5619" s="57" t="str"/>
      <c r="F5619" s="49" t="str"/>
      <c r="G5619" s="59" t="str"/>
      <c r="H5619" s="64" t="str"/>
      <c r="I5619" s="65" t="str"/>
      <c r="J5619" s="49" t="str"/>
      <c r="K5619" s="41" t="str"/>
      <c r="L5619" s="41" t="str"/>
      <c r="M5619" s="41" t="str"/>
      <c r="N5619" s="41" t="str"/>
      <c r="O5619" s="41" t="str"/>
      <c r="P5619" s="41" t="str"/>
      <c r="Q5619" s="41" t="str"/>
      <c r="R5619" s="41" t="str"/>
      <c r="S5619" s="41" t="str"/>
      <c r="T5619" s="41" t="str"/>
      <c r="U5619" s="41" t="str"/>
      <c r="V5619" s="41" t="str"/>
      <c r="W5619" s="41" t="str"/>
    </row>
    <row r="5620">
      <c r="B5620" s="2" t="n"/>
      <c r="C5620" s="40" t="n"/>
      <c r="D5620" s="52">
        <f t="array" ref="D5620:W5620">IF(All_Students_Scores!C5618:V5618="","",All_Students_Scores!C5618:V5618)</f>
        <v/>
      </c>
      <c r="E5620" s="57" t="str"/>
      <c r="F5620" s="49" t="str"/>
      <c r="G5620" s="59" t="str"/>
      <c r="H5620" s="64" t="str"/>
      <c r="I5620" s="65" t="str"/>
      <c r="J5620" s="49" t="str"/>
      <c r="K5620" s="41" t="str"/>
      <c r="L5620" s="41" t="str"/>
      <c r="M5620" s="41" t="str"/>
      <c r="N5620" s="41" t="str"/>
      <c r="O5620" s="41" t="str"/>
      <c r="P5620" s="41" t="str"/>
      <c r="Q5620" s="41" t="str"/>
      <c r="R5620" s="41" t="str"/>
      <c r="S5620" s="41" t="str"/>
      <c r="T5620" s="41" t="str"/>
      <c r="U5620" s="41" t="str"/>
      <c r="V5620" s="41" t="str"/>
      <c r="W5620" s="41" t="str"/>
    </row>
    <row r="5621">
      <c r="B5621" s="2" t="n"/>
      <c r="C5621" s="40" t="n"/>
      <c r="D5621" s="52">
        <f t="array" ref="D5621:W5621">IF(All_Students_Scores!C5619:V5619="","",All_Students_Scores!C5619:V5619)</f>
        <v/>
      </c>
      <c r="E5621" s="57" t="str"/>
      <c r="F5621" s="49" t="str"/>
      <c r="G5621" s="59" t="str"/>
      <c r="H5621" s="64" t="str"/>
      <c r="I5621" s="65" t="str"/>
      <c r="J5621" s="49" t="str"/>
      <c r="K5621" s="41" t="str"/>
      <c r="L5621" s="41" t="str"/>
      <c r="M5621" s="41" t="str"/>
      <c r="N5621" s="41" t="str"/>
      <c r="O5621" s="41" t="str"/>
      <c r="P5621" s="41" t="str"/>
      <c r="Q5621" s="41" t="str"/>
      <c r="R5621" s="41" t="str"/>
      <c r="S5621" s="41" t="str"/>
      <c r="T5621" s="41" t="str"/>
      <c r="U5621" s="41" t="str"/>
      <c r="V5621" s="41" t="str"/>
      <c r="W5621" s="41" t="str"/>
    </row>
    <row r="5622">
      <c r="B5622" s="2" t="n"/>
      <c r="C5622" s="40" t="n"/>
      <c r="D5622" s="52">
        <f t="array" ref="D5622:W5622">IF(All_Students_Scores!C5620:V5620="","",All_Students_Scores!C5620:V5620)</f>
        <v/>
      </c>
      <c r="E5622" s="57" t="str"/>
      <c r="F5622" s="49" t="str"/>
      <c r="G5622" s="59" t="str"/>
      <c r="H5622" s="64" t="str"/>
      <c r="I5622" s="65" t="str"/>
      <c r="J5622" s="49" t="str"/>
      <c r="K5622" s="41" t="str"/>
      <c r="L5622" s="41" t="str"/>
      <c r="M5622" s="41" t="str"/>
      <c r="N5622" s="41" t="str"/>
      <c r="O5622" s="41" t="str"/>
      <c r="P5622" s="41" t="str"/>
      <c r="Q5622" s="41" t="str"/>
      <c r="R5622" s="41" t="str"/>
      <c r="S5622" s="41" t="str"/>
      <c r="T5622" s="41" t="str"/>
      <c r="U5622" s="41" t="str"/>
      <c r="V5622" s="41" t="str"/>
      <c r="W5622" s="41" t="str"/>
    </row>
    <row r="5623">
      <c r="B5623" s="2" t="n"/>
      <c r="C5623" s="40" t="n"/>
      <c r="D5623" s="52">
        <f t="array" ref="D5623:W5623">IF(All_Students_Scores!C5621:V5621="","",All_Students_Scores!C5621:V5621)</f>
        <v/>
      </c>
      <c r="E5623" s="57" t="str"/>
      <c r="F5623" s="49" t="str"/>
      <c r="G5623" s="59" t="str"/>
      <c r="H5623" s="64" t="str"/>
      <c r="I5623" s="65" t="str"/>
      <c r="J5623" s="49" t="str"/>
      <c r="K5623" s="41" t="str"/>
      <c r="L5623" s="41" t="str"/>
      <c r="M5623" s="41" t="str"/>
      <c r="N5623" s="41" t="str"/>
      <c r="O5623" s="41" t="str"/>
      <c r="P5623" s="41" t="str"/>
      <c r="Q5623" s="41" t="str"/>
      <c r="R5623" s="41" t="str"/>
      <c r="S5623" s="41" t="str"/>
      <c r="T5623" s="41" t="str"/>
      <c r="U5623" s="41" t="str"/>
      <c r="V5623" s="41" t="str"/>
      <c r="W5623" s="41" t="str"/>
    </row>
    <row r="5624">
      <c r="B5624" s="2" t="n"/>
      <c r="C5624" s="40" t="n"/>
      <c r="D5624" s="52">
        <f t="array" ref="D5624:W5624">IF(All_Students_Scores!C5622:V5622="","",All_Students_Scores!C5622:V5622)</f>
        <v/>
      </c>
      <c r="E5624" s="57" t="str"/>
      <c r="F5624" s="49" t="str"/>
      <c r="G5624" s="59" t="str"/>
      <c r="H5624" s="64" t="str"/>
      <c r="I5624" s="65" t="str"/>
      <c r="J5624" s="49" t="str"/>
      <c r="K5624" s="41" t="str"/>
      <c r="L5624" s="41" t="str"/>
      <c r="M5624" s="41" t="str"/>
      <c r="N5624" s="41" t="str"/>
      <c r="O5624" s="41" t="str"/>
      <c r="P5624" s="41" t="str"/>
      <c r="Q5624" s="41" t="str"/>
      <c r="R5624" s="41" t="str"/>
      <c r="S5624" s="41" t="str"/>
      <c r="T5624" s="41" t="str"/>
      <c r="U5624" s="41" t="str"/>
      <c r="V5624" s="41" t="str"/>
      <c r="W5624" s="41" t="str"/>
    </row>
    <row r="5625">
      <c r="B5625" s="2" t="n"/>
      <c r="C5625" s="40" t="n"/>
      <c r="D5625" s="52">
        <f t="array" ref="D5625:W5625">IF(All_Students_Scores!C5623:V5623="","",All_Students_Scores!C5623:V5623)</f>
        <v/>
      </c>
      <c r="E5625" s="57" t="str"/>
      <c r="F5625" s="49" t="str"/>
      <c r="G5625" s="59" t="str"/>
      <c r="H5625" s="64" t="str"/>
      <c r="I5625" s="65" t="str"/>
      <c r="J5625" s="49" t="str"/>
      <c r="K5625" s="41" t="str"/>
      <c r="L5625" s="41" t="str"/>
      <c r="M5625" s="41" t="str"/>
      <c r="N5625" s="41" t="str"/>
      <c r="O5625" s="41" t="str"/>
      <c r="P5625" s="41" t="str"/>
      <c r="Q5625" s="41" t="str"/>
      <c r="R5625" s="41" t="str"/>
      <c r="S5625" s="41" t="str"/>
      <c r="T5625" s="41" t="str"/>
      <c r="U5625" s="41" t="str"/>
      <c r="V5625" s="41" t="str"/>
      <c r="W5625" s="41" t="str"/>
    </row>
    <row r="5626">
      <c r="B5626" s="2" t="n"/>
      <c r="C5626" s="40" t="n"/>
      <c r="D5626" s="52">
        <f t="array" ref="D5626:W5626">IF(All_Students_Scores!C5624:V5624="","",All_Students_Scores!C5624:V5624)</f>
        <v/>
      </c>
      <c r="E5626" s="57" t="str"/>
      <c r="F5626" s="49" t="str"/>
      <c r="G5626" s="59" t="str"/>
      <c r="H5626" s="64" t="str"/>
      <c r="I5626" s="65" t="str"/>
      <c r="J5626" s="49" t="str"/>
      <c r="K5626" s="41" t="str"/>
      <c r="L5626" s="41" t="str"/>
      <c r="M5626" s="41" t="str"/>
      <c r="N5626" s="41" t="str"/>
      <c r="O5626" s="41" t="str"/>
      <c r="P5626" s="41" t="str"/>
      <c r="Q5626" s="41" t="str"/>
      <c r="R5626" s="41" t="str"/>
      <c r="S5626" s="41" t="str"/>
      <c r="T5626" s="41" t="str"/>
      <c r="U5626" s="41" t="str"/>
      <c r="V5626" s="41" t="str"/>
      <c r="W5626" s="41" t="str"/>
    </row>
    <row r="5627">
      <c r="B5627" s="2" t="n"/>
      <c r="C5627" s="40" t="n"/>
      <c r="D5627" s="52">
        <f t="array" ref="D5627:W5627">IF(All_Students_Scores!C5625:V5625="","",All_Students_Scores!C5625:V5625)</f>
        <v/>
      </c>
      <c r="E5627" s="57" t="str"/>
      <c r="F5627" s="49" t="str"/>
      <c r="G5627" s="59" t="str"/>
      <c r="H5627" s="64" t="str"/>
      <c r="I5627" s="65" t="str"/>
      <c r="J5627" s="49" t="str"/>
      <c r="K5627" s="41" t="str"/>
      <c r="L5627" s="41" t="str"/>
      <c r="M5627" s="41" t="str"/>
      <c r="N5627" s="41" t="str"/>
      <c r="O5627" s="41" t="str"/>
      <c r="P5627" s="41" t="str"/>
      <c r="Q5627" s="41" t="str"/>
      <c r="R5627" s="41" t="str"/>
      <c r="S5627" s="41" t="str"/>
      <c r="T5627" s="41" t="str"/>
      <c r="U5627" s="41" t="str"/>
      <c r="V5627" s="41" t="str"/>
      <c r="W5627" s="41" t="str"/>
    </row>
    <row r="5628">
      <c r="B5628" s="2" t="n"/>
      <c r="C5628" s="40" t="n"/>
      <c r="D5628" s="52">
        <f t="array" ref="D5628:W5628">IF(All_Students_Scores!C5626:V5626="","",All_Students_Scores!C5626:V5626)</f>
        <v/>
      </c>
      <c r="E5628" s="57" t="str"/>
      <c r="F5628" s="49" t="str"/>
      <c r="G5628" s="59" t="str"/>
      <c r="H5628" s="64" t="str"/>
      <c r="I5628" s="65" t="str"/>
      <c r="J5628" s="49" t="str"/>
      <c r="K5628" s="41" t="str"/>
      <c r="L5628" s="41" t="str"/>
      <c r="M5628" s="41" t="str"/>
      <c r="N5628" s="41" t="str"/>
      <c r="O5628" s="41" t="str"/>
      <c r="P5628" s="41" t="str"/>
      <c r="Q5628" s="41" t="str"/>
      <c r="R5628" s="41" t="str"/>
      <c r="S5628" s="41" t="str"/>
      <c r="T5628" s="41" t="str"/>
      <c r="U5628" s="41" t="str"/>
      <c r="V5628" s="41" t="str"/>
      <c r="W5628" s="41" t="str"/>
    </row>
    <row r="5629">
      <c r="B5629" s="2" t="n"/>
      <c r="C5629" s="40" t="n"/>
      <c r="D5629" s="52">
        <f t="array" ref="D5629:W5629">IF(All_Students_Scores!C5627:V5627="","",All_Students_Scores!C5627:V5627)</f>
        <v/>
      </c>
      <c r="E5629" s="57" t="str"/>
      <c r="F5629" s="49" t="str"/>
      <c r="G5629" s="59" t="str"/>
      <c r="H5629" s="64" t="str"/>
      <c r="I5629" s="65" t="str"/>
      <c r="J5629" s="49" t="str"/>
      <c r="K5629" s="41" t="str"/>
      <c r="L5629" s="41" t="str"/>
      <c r="M5629" s="41" t="str"/>
      <c r="N5629" s="41" t="str"/>
      <c r="O5629" s="41" t="str"/>
      <c r="P5629" s="41" t="str"/>
      <c r="Q5629" s="41" t="str"/>
      <c r="R5629" s="41" t="str"/>
      <c r="S5629" s="41" t="str"/>
      <c r="T5629" s="41" t="str"/>
      <c r="U5629" s="41" t="str"/>
      <c r="V5629" s="41" t="str"/>
      <c r="W5629" s="41" t="str"/>
    </row>
    <row r="5630">
      <c r="B5630" s="2" t="n"/>
      <c r="C5630" s="40" t="n"/>
      <c r="D5630" s="52">
        <f t="array" ref="D5630:W5630">IF(All_Students_Scores!C5628:V5628="","",All_Students_Scores!C5628:V5628)</f>
        <v/>
      </c>
      <c r="E5630" s="57" t="str"/>
      <c r="F5630" s="49" t="str"/>
      <c r="G5630" s="59" t="str"/>
      <c r="H5630" s="64" t="str"/>
      <c r="I5630" s="65" t="str"/>
      <c r="J5630" s="49" t="str"/>
      <c r="K5630" s="41" t="str"/>
      <c r="L5630" s="41" t="str"/>
      <c r="M5630" s="41" t="str"/>
      <c r="N5630" s="41" t="str"/>
      <c r="O5630" s="41" t="str"/>
      <c r="P5630" s="41" t="str"/>
      <c r="Q5630" s="41" t="str"/>
      <c r="R5630" s="41" t="str"/>
      <c r="S5630" s="41" t="str"/>
      <c r="T5630" s="41" t="str"/>
      <c r="U5630" s="41" t="str"/>
      <c r="V5630" s="41" t="str"/>
      <c r="W5630" s="41" t="str"/>
    </row>
    <row r="5631">
      <c r="B5631" s="2" t="n"/>
      <c r="C5631" s="40" t="n"/>
      <c r="D5631" s="52">
        <f t="array" ref="D5631:W5631">IF(All_Students_Scores!C5629:V5629="","",All_Students_Scores!C5629:V5629)</f>
        <v/>
      </c>
      <c r="E5631" s="57" t="str"/>
      <c r="F5631" s="49" t="str"/>
      <c r="G5631" s="59" t="str"/>
      <c r="H5631" s="64" t="str"/>
      <c r="I5631" s="65" t="str"/>
      <c r="J5631" s="49" t="str"/>
      <c r="K5631" s="41" t="str"/>
      <c r="L5631" s="41" t="str"/>
      <c r="M5631" s="41" t="str"/>
      <c r="N5631" s="41" t="str"/>
      <c r="O5631" s="41" t="str"/>
      <c r="P5631" s="41" t="str"/>
      <c r="Q5631" s="41" t="str"/>
      <c r="R5631" s="41" t="str"/>
      <c r="S5631" s="41" t="str"/>
      <c r="T5631" s="41" t="str"/>
      <c r="U5631" s="41" t="str"/>
      <c r="V5631" s="41" t="str"/>
      <c r="W5631" s="41" t="str"/>
    </row>
    <row r="5632">
      <c r="B5632" s="2" t="n"/>
      <c r="C5632" s="40" t="n"/>
      <c r="D5632" s="52">
        <f t="array" ref="D5632:W5632">IF(All_Students_Scores!C5630:V5630="","",All_Students_Scores!C5630:V5630)</f>
        <v/>
      </c>
      <c r="E5632" s="57" t="str"/>
      <c r="F5632" s="49" t="str"/>
      <c r="G5632" s="59" t="str"/>
      <c r="H5632" s="64" t="str"/>
      <c r="I5632" s="65" t="str"/>
      <c r="J5632" s="49" t="str"/>
      <c r="K5632" s="41" t="str"/>
      <c r="L5632" s="41" t="str"/>
      <c r="M5632" s="41" t="str"/>
      <c r="N5632" s="41" t="str"/>
      <c r="O5632" s="41" t="str"/>
      <c r="P5632" s="41" t="str"/>
      <c r="Q5632" s="41" t="str"/>
      <c r="R5632" s="41" t="str"/>
      <c r="S5632" s="41" t="str"/>
      <c r="T5632" s="41" t="str"/>
      <c r="U5632" s="41" t="str"/>
      <c r="V5632" s="41" t="str"/>
      <c r="W5632" s="41" t="str"/>
    </row>
    <row r="5633">
      <c r="B5633" s="2" t="n"/>
      <c r="C5633" s="40" t="n"/>
      <c r="D5633" s="52">
        <f t="array" ref="D5633:W5633">IF(All_Students_Scores!C5631:V5631="","",All_Students_Scores!C5631:V5631)</f>
        <v/>
      </c>
      <c r="E5633" s="57" t="str"/>
      <c r="F5633" s="49" t="str"/>
      <c r="G5633" s="59" t="str"/>
      <c r="H5633" s="64" t="str"/>
      <c r="I5633" s="65" t="str"/>
      <c r="J5633" s="49" t="str"/>
      <c r="K5633" s="41" t="str"/>
      <c r="L5633" s="41" t="str"/>
      <c r="M5633" s="41" t="str"/>
      <c r="N5633" s="41" t="str"/>
      <c r="O5633" s="41" t="str"/>
      <c r="P5633" s="41" t="str"/>
      <c r="Q5633" s="41" t="str"/>
      <c r="R5633" s="41" t="str"/>
      <c r="S5633" s="41" t="str"/>
      <c r="T5633" s="41" t="str"/>
      <c r="U5633" s="41" t="str"/>
      <c r="V5633" s="41" t="str"/>
      <c r="W5633" s="41" t="str"/>
    </row>
    <row r="5634">
      <c r="B5634" s="2" t="n"/>
      <c r="C5634" s="40" t="n"/>
      <c r="D5634" s="52">
        <f t="array" ref="D5634:W5634">IF(All_Students_Scores!C5632:V5632="","",All_Students_Scores!C5632:V5632)</f>
        <v/>
      </c>
      <c r="E5634" s="57" t="str"/>
      <c r="F5634" s="49" t="str"/>
      <c r="G5634" s="59" t="str"/>
      <c r="H5634" s="64" t="str"/>
      <c r="I5634" s="65" t="str"/>
      <c r="J5634" s="49" t="str"/>
      <c r="K5634" s="41" t="str"/>
      <c r="L5634" s="41" t="str"/>
      <c r="M5634" s="41" t="str"/>
      <c r="N5634" s="41" t="str"/>
      <c r="O5634" s="41" t="str"/>
      <c r="P5634" s="41" t="str"/>
      <c r="Q5634" s="41" t="str"/>
      <c r="R5634" s="41" t="str"/>
      <c r="S5634" s="41" t="str"/>
      <c r="T5634" s="41" t="str"/>
      <c r="U5634" s="41" t="str"/>
      <c r="V5634" s="41" t="str"/>
      <c r="W5634" s="41" t="str"/>
    </row>
    <row r="5635">
      <c r="B5635" s="2" t="n"/>
      <c r="C5635" s="40" t="n"/>
      <c r="D5635" s="52">
        <f t="array" ref="D5635:W5635">IF(All_Students_Scores!C5633:V5633="","",All_Students_Scores!C5633:V5633)</f>
        <v/>
      </c>
      <c r="E5635" s="57" t="str"/>
      <c r="F5635" s="49" t="str"/>
      <c r="G5635" s="59" t="str"/>
      <c r="H5635" s="64" t="str"/>
      <c r="I5635" s="65" t="str"/>
      <c r="J5635" s="49" t="str"/>
      <c r="K5635" s="41" t="str"/>
      <c r="L5635" s="41" t="str"/>
      <c r="M5635" s="41" t="str"/>
      <c r="N5635" s="41" t="str"/>
      <c r="O5635" s="41" t="str"/>
      <c r="P5635" s="41" t="str"/>
      <c r="Q5635" s="41" t="str"/>
      <c r="R5635" s="41" t="str"/>
      <c r="S5635" s="41" t="str"/>
      <c r="T5635" s="41" t="str"/>
      <c r="U5635" s="41" t="str"/>
      <c r="V5635" s="41" t="str"/>
      <c r="W5635" s="41" t="str"/>
    </row>
    <row r="5636">
      <c r="B5636" s="2" t="n"/>
      <c r="C5636" s="40" t="n"/>
      <c r="D5636" s="52">
        <f t="array" ref="D5636:W5636">IF(All_Students_Scores!C5634:V5634="","",All_Students_Scores!C5634:V5634)</f>
        <v/>
      </c>
      <c r="E5636" s="57" t="str"/>
      <c r="F5636" s="49" t="str"/>
      <c r="G5636" s="59" t="str"/>
      <c r="H5636" s="64" t="str"/>
      <c r="I5636" s="65" t="str"/>
      <c r="J5636" s="49" t="str"/>
      <c r="K5636" s="41" t="str"/>
      <c r="L5636" s="41" t="str"/>
      <c r="M5636" s="41" t="str"/>
      <c r="N5636" s="41" t="str"/>
      <c r="O5636" s="41" t="str"/>
      <c r="P5636" s="41" t="str"/>
      <c r="Q5636" s="41" t="str"/>
      <c r="R5636" s="41" t="str"/>
      <c r="S5636" s="41" t="str"/>
      <c r="T5636" s="41" t="str"/>
      <c r="U5636" s="41" t="str"/>
      <c r="V5636" s="41" t="str"/>
      <c r="W5636" s="41" t="str"/>
    </row>
    <row r="5637">
      <c r="B5637" s="2" t="n"/>
      <c r="C5637" s="40" t="n"/>
      <c r="D5637" s="52">
        <f t="array" ref="D5637:W5637">IF(All_Students_Scores!C5635:V5635="","",All_Students_Scores!C5635:V5635)</f>
        <v/>
      </c>
      <c r="E5637" s="57" t="str"/>
      <c r="F5637" s="49" t="str"/>
      <c r="G5637" s="59" t="str"/>
      <c r="H5637" s="64" t="str"/>
      <c r="I5637" s="65" t="str"/>
      <c r="J5637" s="49" t="str"/>
      <c r="K5637" s="41" t="str"/>
      <c r="L5637" s="41" t="str"/>
      <c r="M5637" s="41" t="str"/>
      <c r="N5637" s="41" t="str"/>
      <c r="O5637" s="41" t="str"/>
      <c r="P5637" s="41" t="str"/>
      <c r="Q5637" s="41" t="str"/>
      <c r="R5637" s="41" t="str"/>
      <c r="S5637" s="41" t="str"/>
      <c r="T5637" s="41" t="str"/>
      <c r="U5637" s="41" t="str"/>
      <c r="V5637" s="41" t="str"/>
      <c r="W5637" s="41" t="str"/>
    </row>
    <row r="5638">
      <c r="B5638" s="2" t="n"/>
      <c r="C5638" s="40" t="n"/>
      <c r="D5638" s="52">
        <f t="array" ref="D5638:W5638">IF(All_Students_Scores!C5636:V5636="","",All_Students_Scores!C5636:V5636)</f>
        <v/>
      </c>
      <c r="E5638" s="57" t="str"/>
      <c r="F5638" s="49" t="str"/>
      <c r="G5638" s="59" t="str"/>
      <c r="H5638" s="64" t="str"/>
      <c r="I5638" s="65" t="str"/>
      <c r="J5638" s="49" t="str"/>
      <c r="K5638" s="41" t="str"/>
      <c r="L5638" s="41" t="str"/>
      <c r="M5638" s="41" t="str"/>
      <c r="N5638" s="41" t="str"/>
      <c r="O5638" s="41" t="str"/>
      <c r="P5638" s="41" t="str"/>
      <c r="Q5638" s="41" t="str"/>
      <c r="R5638" s="41" t="str"/>
      <c r="S5638" s="41" t="str"/>
      <c r="T5638" s="41" t="str"/>
      <c r="U5638" s="41" t="str"/>
      <c r="V5638" s="41" t="str"/>
      <c r="W5638" s="41" t="str"/>
    </row>
    <row r="5639">
      <c r="B5639" s="2" t="n"/>
      <c r="C5639" s="40" t="n"/>
      <c r="D5639" s="52">
        <f t="array" ref="D5639:W5639">IF(All_Students_Scores!C5637:V5637="","",All_Students_Scores!C5637:V5637)</f>
        <v/>
      </c>
      <c r="E5639" s="57" t="str"/>
      <c r="F5639" s="49" t="str"/>
      <c r="G5639" s="59" t="str"/>
      <c r="H5639" s="64" t="str"/>
      <c r="I5639" s="65" t="str"/>
      <c r="J5639" s="49" t="str"/>
      <c r="K5639" s="41" t="str"/>
      <c r="L5639" s="41" t="str"/>
      <c r="M5639" s="41" t="str"/>
      <c r="N5639" s="41" t="str"/>
      <c r="O5639" s="41" t="str"/>
      <c r="P5639" s="41" t="str"/>
      <c r="Q5639" s="41" t="str"/>
      <c r="R5639" s="41" t="str"/>
      <c r="S5639" s="41" t="str"/>
      <c r="T5639" s="41" t="str"/>
      <c r="U5639" s="41" t="str"/>
      <c r="V5639" s="41" t="str"/>
      <c r="W5639" s="41" t="str"/>
    </row>
    <row r="5640">
      <c r="B5640" s="2" t="n"/>
      <c r="C5640" s="40" t="n"/>
      <c r="D5640" s="52">
        <f t="array" ref="D5640:W5640">IF(All_Students_Scores!C5638:V5638="","",All_Students_Scores!C5638:V5638)</f>
        <v/>
      </c>
      <c r="E5640" s="57" t="str"/>
      <c r="F5640" s="49" t="str"/>
      <c r="G5640" s="59" t="str"/>
      <c r="H5640" s="64" t="str"/>
      <c r="I5640" s="65" t="str"/>
      <c r="J5640" s="49" t="str"/>
      <c r="K5640" s="41" t="str"/>
      <c r="L5640" s="41" t="str"/>
      <c r="M5640" s="41" t="str"/>
      <c r="N5640" s="41" t="str"/>
      <c r="O5640" s="41" t="str"/>
      <c r="P5640" s="41" t="str"/>
      <c r="Q5640" s="41" t="str"/>
      <c r="R5640" s="41" t="str"/>
      <c r="S5640" s="41" t="str"/>
      <c r="T5640" s="41" t="str"/>
      <c r="U5640" s="41" t="str"/>
      <c r="V5640" s="41" t="str"/>
      <c r="W5640" s="41" t="str"/>
    </row>
    <row r="5641">
      <c r="B5641" s="2" t="n"/>
      <c r="C5641" s="40" t="n"/>
      <c r="D5641" s="52">
        <f t="array" ref="D5641:W5641">IF(All_Students_Scores!C5639:V5639="","",All_Students_Scores!C5639:V5639)</f>
        <v/>
      </c>
      <c r="E5641" s="57" t="str"/>
      <c r="F5641" s="49" t="str"/>
      <c r="G5641" s="59" t="str"/>
      <c r="H5641" s="64" t="str"/>
      <c r="I5641" s="65" t="str"/>
      <c r="J5641" s="49" t="str"/>
      <c r="K5641" s="41" t="str"/>
      <c r="L5641" s="41" t="str"/>
      <c r="M5641" s="41" t="str"/>
      <c r="N5641" s="41" t="str"/>
      <c r="O5641" s="41" t="str"/>
      <c r="P5641" s="41" t="str"/>
      <c r="Q5641" s="41" t="str"/>
      <c r="R5641" s="41" t="str"/>
      <c r="S5641" s="41" t="str"/>
      <c r="T5641" s="41" t="str"/>
      <c r="U5641" s="41" t="str"/>
      <c r="V5641" s="41" t="str"/>
      <c r="W5641" s="41" t="str"/>
    </row>
    <row r="5642">
      <c r="B5642" s="2" t="n"/>
      <c r="C5642" s="40" t="n"/>
      <c r="D5642" s="52">
        <f t="array" ref="D5642:W5642">IF(All_Students_Scores!C5640:V5640="","",All_Students_Scores!C5640:V5640)</f>
        <v/>
      </c>
      <c r="E5642" s="57" t="str"/>
      <c r="F5642" s="49" t="str"/>
      <c r="G5642" s="59" t="str"/>
      <c r="H5642" s="64" t="str"/>
      <c r="I5642" s="65" t="str"/>
      <c r="J5642" s="49" t="str"/>
      <c r="K5642" s="41" t="str"/>
      <c r="L5642" s="41" t="str"/>
      <c r="M5642" s="41" t="str"/>
      <c r="N5642" s="41" t="str"/>
      <c r="O5642" s="41" t="str"/>
      <c r="P5642" s="41" t="str"/>
      <c r="Q5642" s="41" t="str"/>
      <c r="R5642" s="41" t="str"/>
      <c r="S5642" s="41" t="str"/>
      <c r="T5642" s="41" t="str"/>
      <c r="U5642" s="41" t="str"/>
      <c r="V5642" s="41" t="str"/>
      <c r="W5642" s="41" t="str"/>
    </row>
    <row r="5643">
      <c r="B5643" s="2" t="n"/>
      <c r="C5643" s="40" t="n"/>
      <c r="D5643" s="52">
        <f t="array" ref="D5643:W5643">IF(All_Students_Scores!C5641:V5641="","",All_Students_Scores!C5641:V5641)</f>
        <v/>
      </c>
      <c r="E5643" s="57" t="str"/>
      <c r="F5643" s="49" t="str"/>
      <c r="G5643" s="59" t="str"/>
      <c r="H5643" s="64" t="str"/>
      <c r="I5643" s="65" t="str"/>
      <c r="J5643" s="49" t="str"/>
      <c r="K5643" s="41" t="str"/>
      <c r="L5643" s="41" t="str"/>
      <c r="M5643" s="41" t="str"/>
      <c r="N5643" s="41" t="str"/>
      <c r="O5643" s="41" t="str"/>
      <c r="P5643" s="41" t="str"/>
      <c r="Q5643" s="41" t="str"/>
      <c r="R5643" s="41" t="str"/>
      <c r="S5643" s="41" t="str"/>
      <c r="T5643" s="41" t="str"/>
      <c r="U5643" s="41" t="str"/>
      <c r="V5643" s="41" t="str"/>
      <c r="W5643" s="41" t="str"/>
    </row>
    <row r="5644">
      <c r="B5644" s="2" t="n"/>
      <c r="C5644" s="40" t="n"/>
      <c r="D5644" s="52">
        <f t="array" ref="D5644:W5644">IF(All_Students_Scores!C5642:V5642="","",All_Students_Scores!C5642:V5642)</f>
        <v/>
      </c>
      <c r="E5644" s="57" t="str"/>
      <c r="F5644" s="49" t="str"/>
      <c r="G5644" s="59" t="str"/>
      <c r="H5644" s="64" t="str"/>
      <c r="I5644" s="65" t="str"/>
      <c r="J5644" s="49" t="str"/>
      <c r="K5644" s="41" t="str"/>
      <c r="L5644" s="41" t="str"/>
      <c r="M5644" s="41" t="str"/>
      <c r="N5644" s="41" t="str"/>
      <c r="O5644" s="41" t="str"/>
      <c r="P5644" s="41" t="str"/>
      <c r="Q5644" s="41" t="str"/>
      <c r="R5644" s="41" t="str"/>
      <c r="S5644" s="41" t="str"/>
      <c r="T5644" s="41" t="str"/>
      <c r="U5644" s="41" t="str"/>
      <c r="V5644" s="41" t="str"/>
      <c r="W5644" s="41" t="str"/>
    </row>
    <row r="5645">
      <c r="B5645" s="2" t="n"/>
      <c r="C5645" s="40" t="n"/>
      <c r="D5645" s="52">
        <f t="array" ref="D5645:W5645">IF(All_Students_Scores!C5643:V5643="","",All_Students_Scores!C5643:V5643)</f>
        <v/>
      </c>
      <c r="E5645" s="57" t="str"/>
      <c r="F5645" s="49" t="str"/>
      <c r="G5645" s="59" t="str"/>
      <c r="H5645" s="64" t="str"/>
      <c r="I5645" s="65" t="str"/>
      <c r="J5645" s="49" t="str"/>
      <c r="K5645" s="41" t="str"/>
      <c r="L5645" s="41" t="str"/>
      <c r="M5645" s="41" t="str"/>
      <c r="N5645" s="41" t="str"/>
      <c r="O5645" s="41" t="str"/>
      <c r="P5645" s="41" t="str"/>
      <c r="Q5645" s="41" t="str"/>
      <c r="R5645" s="41" t="str"/>
      <c r="S5645" s="41" t="str"/>
      <c r="T5645" s="41" t="str"/>
      <c r="U5645" s="41" t="str"/>
      <c r="V5645" s="41" t="str"/>
      <c r="W5645" s="41" t="str"/>
    </row>
    <row r="5646">
      <c r="B5646" s="2" t="n"/>
      <c r="C5646" s="40" t="n"/>
      <c r="D5646" s="52">
        <f t="array" ref="D5646:W5646">IF(All_Students_Scores!C5644:V5644="","",All_Students_Scores!C5644:V5644)</f>
        <v/>
      </c>
      <c r="E5646" s="57" t="str"/>
      <c r="F5646" s="49" t="str"/>
      <c r="G5646" s="59" t="str"/>
      <c r="H5646" s="64" t="str"/>
      <c r="I5646" s="65" t="str"/>
      <c r="J5646" s="49" t="str"/>
      <c r="K5646" s="41" t="str"/>
      <c r="L5646" s="41" t="str"/>
      <c r="M5646" s="41" t="str"/>
      <c r="N5646" s="41" t="str"/>
      <c r="O5646" s="41" t="str"/>
      <c r="P5646" s="41" t="str"/>
      <c r="Q5646" s="41" t="str"/>
      <c r="R5646" s="41" t="str"/>
      <c r="S5646" s="41" t="str"/>
      <c r="T5646" s="41" t="str"/>
      <c r="U5646" s="41" t="str"/>
      <c r="V5646" s="41" t="str"/>
      <c r="W5646" s="41" t="str"/>
    </row>
    <row r="5647">
      <c r="B5647" s="2" t="n"/>
      <c r="C5647" s="40" t="n"/>
      <c r="D5647" s="52">
        <f t="array" ref="D5647:W5647">IF(All_Students_Scores!C5645:V5645="","",All_Students_Scores!C5645:V5645)</f>
        <v/>
      </c>
      <c r="E5647" s="57" t="str"/>
      <c r="F5647" s="49" t="str"/>
      <c r="G5647" s="59" t="str"/>
      <c r="H5647" s="64" t="str"/>
      <c r="I5647" s="65" t="str"/>
      <c r="J5647" s="49" t="str"/>
      <c r="K5647" s="41" t="str"/>
      <c r="L5647" s="41" t="str"/>
      <c r="M5647" s="41" t="str"/>
      <c r="N5647" s="41" t="str"/>
      <c r="O5647" s="41" t="str"/>
      <c r="P5647" s="41" t="str"/>
      <c r="Q5647" s="41" t="str"/>
      <c r="R5647" s="41" t="str"/>
      <c r="S5647" s="41" t="str"/>
      <c r="T5647" s="41" t="str"/>
      <c r="U5647" s="41" t="str"/>
      <c r="V5647" s="41" t="str"/>
      <c r="W5647" s="41" t="str"/>
    </row>
    <row r="5648">
      <c r="B5648" s="2" t="n"/>
      <c r="C5648" s="40" t="n"/>
      <c r="D5648" s="52">
        <f t="array" ref="D5648:W5648">IF(All_Students_Scores!C5646:V5646="","",All_Students_Scores!C5646:V5646)</f>
        <v/>
      </c>
      <c r="E5648" s="57" t="str"/>
      <c r="F5648" s="49" t="str"/>
      <c r="G5648" s="59" t="str"/>
      <c r="H5648" s="64" t="str"/>
      <c r="I5648" s="65" t="str"/>
      <c r="J5648" s="49" t="str"/>
      <c r="K5648" s="41" t="str"/>
      <c r="L5648" s="41" t="str"/>
      <c r="M5648" s="41" t="str"/>
      <c r="N5648" s="41" t="str"/>
      <c r="O5648" s="41" t="str"/>
      <c r="P5648" s="41" t="str"/>
      <c r="Q5648" s="41" t="str"/>
      <c r="R5648" s="41" t="str"/>
      <c r="S5648" s="41" t="str"/>
      <c r="T5648" s="41" t="str"/>
      <c r="U5648" s="41" t="str"/>
      <c r="V5648" s="41" t="str"/>
      <c r="W5648" s="41" t="str"/>
    </row>
    <row r="5649">
      <c r="B5649" s="2" t="n"/>
      <c r="C5649" s="40" t="n"/>
      <c r="D5649" s="52">
        <f t="array" ref="D5649:W5649">IF(All_Students_Scores!C5647:V5647="","",All_Students_Scores!C5647:V5647)</f>
        <v/>
      </c>
      <c r="E5649" s="57" t="str"/>
      <c r="F5649" s="49" t="str"/>
      <c r="G5649" s="59" t="str"/>
      <c r="H5649" s="64" t="str"/>
      <c r="I5649" s="65" t="str"/>
      <c r="J5649" s="49" t="str"/>
      <c r="K5649" s="41" t="str"/>
      <c r="L5649" s="41" t="str"/>
      <c r="M5649" s="41" t="str"/>
      <c r="N5649" s="41" t="str"/>
      <c r="O5649" s="41" t="str"/>
      <c r="P5649" s="41" t="str"/>
      <c r="Q5649" s="41" t="str"/>
      <c r="R5649" s="41" t="str"/>
      <c r="S5649" s="41" t="str"/>
      <c r="T5649" s="41" t="str"/>
      <c r="U5649" s="41" t="str"/>
      <c r="V5649" s="41" t="str"/>
      <c r="W5649" s="41" t="str"/>
    </row>
    <row r="5650">
      <c r="B5650" s="2" t="n"/>
      <c r="C5650" s="40" t="n"/>
      <c r="D5650" s="52">
        <f t="array" ref="D5650:W5650">IF(All_Students_Scores!C5648:V5648="","",All_Students_Scores!C5648:V5648)</f>
        <v/>
      </c>
      <c r="E5650" s="57" t="str"/>
      <c r="F5650" s="49" t="str"/>
      <c r="G5650" s="59" t="str"/>
      <c r="H5650" s="64" t="str"/>
      <c r="I5650" s="65" t="str"/>
      <c r="J5650" s="49" t="str"/>
      <c r="K5650" s="41" t="str"/>
      <c r="L5650" s="41" t="str"/>
      <c r="M5650" s="41" t="str"/>
      <c r="N5650" s="41" t="str"/>
      <c r="O5650" s="41" t="str"/>
      <c r="P5650" s="41" t="str"/>
      <c r="Q5650" s="41" t="str"/>
      <c r="R5650" s="41" t="str"/>
      <c r="S5650" s="41" t="str"/>
      <c r="T5650" s="41" t="str"/>
      <c r="U5650" s="41" t="str"/>
      <c r="V5650" s="41" t="str"/>
      <c r="W5650" s="41" t="str"/>
    </row>
    <row r="5651">
      <c r="B5651" s="2" t="n"/>
      <c r="C5651" s="40" t="n"/>
      <c r="D5651" s="52">
        <f t="array" ref="D5651:W5651">IF(All_Students_Scores!C5649:V5649="","",All_Students_Scores!C5649:V5649)</f>
        <v/>
      </c>
      <c r="E5651" s="57" t="str"/>
      <c r="F5651" s="49" t="str"/>
      <c r="G5651" s="59" t="str"/>
      <c r="H5651" s="64" t="str"/>
      <c r="I5651" s="65" t="str"/>
      <c r="J5651" s="49" t="str"/>
      <c r="K5651" s="41" t="str"/>
      <c r="L5651" s="41" t="str"/>
      <c r="M5651" s="41" t="str"/>
      <c r="N5651" s="41" t="str"/>
      <c r="O5651" s="41" t="str"/>
      <c r="P5651" s="41" t="str"/>
      <c r="Q5651" s="41" t="str"/>
      <c r="R5651" s="41" t="str"/>
      <c r="S5651" s="41" t="str"/>
      <c r="T5651" s="41" t="str"/>
      <c r="U5651" s="41" t="str"/>
      <c r="V5651" s="41" t="str"/>
      <c r="W5651" s="41" t="str"/>
    </row>
    <row r="5652">
      <c r="B5652" s="2" t="n"/>
      <c r="C5652" s="40" t="n"/>
      <c r="D5652" s="52">
        <f t="array" ref="D5652:W5652">IF(All_Students_Scores!C5650:V5650="","",All_Students_Scores!C5650:V5650)</f>
        <v/>
      </c>
      <c r="E5652" s="57" t="str"/>
      <c r="F5652" s="49" t="str"/>
      <c r="G5652" s="59" t="str"/>
      <c r="H5652" s="64" t="str"/>
      <c r="I5652" s="65" t="str"/>
      <c r="J5652" s="49" t="str"/>
      <c r="K5652" s="41" t="str"/>
      <c r="L5652" s="41" t="str"/>
      <c r="M5652" s="41" t="str"/>
      <c r="N5652" s="41" t="str"/>
      <c r="O5652" s="41" t="str"/>
      <c r="P5652" s="41" t="str"/>
      <c r="Q5652" s="41" t="str"/>
      <c r="R5652" s="41" t="str"/>
      <c r="S5652" s="41" t="str"/>
      <c r="T5652" s="41" t="str"/>
      <c r="U5652" s="41" t="str"/>
      <c r="V5652" s="41" t="str"/>
      <c r="W5652" s="41" t="str"/>
    </row>
    <row r="5653">
      <c r="B5653" s="2" t="n"/>
      <c r="C5653" s="40" t="n"/>
      <c r="D5653" s="52">
        <f t="array" ref="D5653:W5653">IF(All_Students_Scores!C5651:V5651="","",All_Students_Scores!C5651:V5651)</f>
        <v/>
      </c>
      <c r="E5653" s="57" t="str"/>
      <c r="F5653" s="49" t="str"/>
      <c r="G5653" s="59" t="str"/>
      <c r="H5653" s="64" t="str"/>
      <c r="I5653" s="65" t="str"/>
      <c r="J5653" s="49" t="str"/>
      <c r="K5653" s="41" t="str"/>
      <c r="L5653" s="41" t="str"/>
      <c r="M5653" s="41" t="str"/>
      <c r="N5653" s="41" t="str"/>
      <c r="O5653" s="41" t="str"/>
      <c r="P5653" s="41" t="str"/>
      <c r="Q5653" s="41" t="str"/>
      <c r="R5653" s="41" t="str"/>
      <c r="S5653" s="41" t="str"/>
      <c r="T5653" s="41" t="str"/>
      <c r="U5653" s="41" t="str"/>
      <c r="V5653" s="41" t="str"/>
      <c r="W5653" s="41" t="str"/>
    </row>
    <row r="5654">
      <c r="B5654" s="2" t="n"/>
      <c r="C5654" s="40" t="n"/>
      <c r="D5654" s="52">
        <f t="array" ref="D5654:W5654">IF(All_Students_Scores!C5652:V5652="","",All_Students_Scores!C5652:V5652)</f>
        <v/>
      </c>
      <c r="E5654" s="57" t="str"/>
      <c r="F5654" s="49" t="str"/>
      <c r="G5654" s="59" t="str"/>
      <c r="H5654" s="64" t="str"/>
      <c r="I5654" s="65" t="str"/>
      <c r="J5654" s="49" t="str"/>
      <c r="K5654" s="41" t="str"/>
      <c r="L5654" s="41" t="str"/>
      <c r="M5654" s="41" t="str"/>
      <c r="N5654" s="41" t="str"/>
      <c r="O5654" s="41" t="str"/>
      <c r="P5654" s="41" t="str"/>
      <c r="Q5654" s="41" t="str"/>
      <c r="R5654" s="41" t="str"/>
      <c r="S5654" s="41" t="str"/>
      <c r="T5654" s="41" t="str"/>
      <c r="U5654" s="41" t="str"/>
      <c r="V5654" s="41" t="str"/>
      <c r="W5654" s="41" t="str"/>
    </row>
    <row r="5655">
      <c r="B5655" s="2" t="n"/>
      <c r="C5655" s="40" t="n"/>
      <c r="D5655" s="52">
        <f t="array" ref="D5655:W5655">IF(All_Students_Scores!C5653:V5653="","",All_Students_Scores!C5653:V5653)</f>
        <v/>
      </c>
      <c r="E5655" s="57" t="str"/>
      <c r="F5655" s="49" t="str"/>
      <c r="G5655" s="59" t="str"/>
      <c r="H5655" s="64" t="str"/>
      <c r="I5655" s="65" t="str"/>
      <c r="J5655" s="49" t="str"/>
      <c r="K5655" s="41" t="str"/>
      <c r="L5655" s="41" t="str"/>
      <c r="M5655" s="41" t="str"/>
      <c r="N5655" s="41" t="str"/>
      <c r="O5655" s="41" t="str"/>
      <c r="P5655" s="41" t="str"/>
      <c r="Q5655" s="41" t="str"/>
      <c r="R5655" s="41" t="str"/>
      <c r="S5655" s="41" t="str"/>
      <c r="T5655" s="41" t="str"/>
      <c r="U5655" s="41" t="str"/>
      <c r="V5655" s="41" t="str"/>
      <c r="W5655" s="41" t="str"/>
    </row>
    <row r="5656">
      <c r="B5656" s="2" t="n"/>
      <c r="C5656" s="40" t="n"/>
      <c r="D5656" s="52">
        <f t="array" ref="D5656:W5656">IF(All_Students_Scores!C5654:V5654="","",All_Students_Scores!C5654:V5654)</f>
        <v/>
      </c>
      <c r="E5656" s="57" t="str"/>
      <c r="F5656" s="49" t="str"/>
      <c r="G5656" s="59" t="str"/>
      <c r="H5656" s="64" t="str"/>
      <c r="I5656" s="65" t="str"/>
      <c r="J5656" s="49" t="str"/>
      <c r="K5656" s="41" t="str"/>
      <c r="L5656" s="41" t="str"/>
      <c r="M5656" s="41" t="str"/>
      <c r="N5656" s="41" t="str"/>
      <c r="O5656" s="41" t="str"/>
      <c r="P5656" s="41" t="str"/>
      <c r="Q5656" s="41" t="str"/>
      <c r="R5656" s="41" t="str"/>
      <c r="S5656" s="41" t="str"/>
      <c r="T5656" s="41" t="str"/>
      <c r="U5656" s="41" t="str"/>
      <c r="V5656" s="41" t="str"/>
      <c r="W5656" s="41" t="str"/>
    </row>
    <row r="5657">
      <c r="B5657" s="2" t="n"/>
      <c r="C5657" s="40" t="n"/>
      <c r="D5657" s="52">
        <f t="array" ref="D5657:W5657">IF(All_Students_Scores!C5655:V5655="","",All_Students_Scores!C5655:V5655)</f>
        <v/>
      </c>
      <c r="E5657" s="57" t="str"/>
      <c r="F5657" s="49" t="str"/>
      <c r="G5657" s="59" t="str"/>
      <c r="H5657" s="64" t="str"/>
      <c r="I5657" s="65" t="str"/>
      <c r="J5657" s="49" t="str"/>
      <c r="K5657" s="41" t="str"/>
      <c r="L5657" s="41" t="str"/>
      <c r="M5657" s="41" t="str"/>
      <c r="N5657" s="41" t="str"/>
      <c r="O5657" s="41" t="str"/>
      <c r="P5657" s="41" t="str"/>
      <c r="Q5657" s="41" t="str"/>
      <c r="R5657" s="41" t="str"/>
      <c r="S5657" s="41" t="str"/>
      <c r="T5657" s="41" t="str"/>
      <c r="U5657" s="41" t="str"/>
      <c r="V5657" s="41" t="str"/>
      <c r="W5657" s="41" t="str"/>
    </row>
    <row r="5658">
      <c r="B5658" s="2" t="n"/>
      <c r="C5658" s="40" t="n"/>
      <c r="D5658" s="52">
        <f t="array" ref="D5658:W5658">IF(All_Students_Scores!C5656:V5656="","",All_Students_Scores!C5656:V5656)</f>
        <v/>
      </c>
      <c r="E5658" s="57" t="str"/>
      <c r="F5658" s="49" t="str"/>
      <c r="G5658" s="59" t="str"/>
      <c r="H5658" s="64" t="str"/>
      <c r="I5658" s="65" t="str"/>
      <c r="J5658" s="49" t="str"/>
      <c r="K5658" s="41" t="str"/>
      <c r="L5658" s="41" t="str"/>
      <c r="M5658" s="41" t="str"/>
      <c r="N5658" s="41" t="str"/>
      <c r="O5658" s="41" t="str"/>
      <c r="P5658" s="41" t="str"/>
      <c r="Q5658" s="41" t="str"/>
      <c r="R5658" s="41" t="str"/>
      <c r="S5658" s="41" t="str"/>
      <c r="T5658" s="41" t="str"/>
      <c r="U5658" s="41" t="str"/>
      <c r="V5658" s="41" t="str"/>
      <c r="W5658" s="41" t="str"/>
    </row>
    <row r="5659">
      <c r="B5659" s="2" t="n"/>
      <c r="C5659" s="40" t="n"/>
      <c r="D5659" s="52">
        <f t="array" ref="D5659:W5659">IF(All_Students_Scores!C5657:V5657="","",All_Students_Scores!C5657:V5657)</f>
        <v/>
      </c>
      <c r="E5659" s="57" t="str"/>
      <c r="F5659" s="49" t="str"/>
      <c r="G5659" s="59" t="str"/>
      <c r="H5659" s="64" t="str"/>
      <c r="I5659" s="65" t="str"/>
      <c r="J5659" s="49" t="str"/>
      <c r="K5659" s="41" t="str"/>
      <c r="L5659" s="41" t="str"/>
      <c r="M5659" s="41" t="str"/>
      <c r="N5659" s="41" t="str"/>
      <c r="O5659" s="41" t="str"/>
      <c r="P5659" s="41" t="str"/>
      <c r="Q5659" s="41" t="str"/>
      <c r="R5659" s="41" t="str"/>
      <c r="S5659" s="41" t="str"/>
      <c r="T5659" s="41" t="str"/>
      <c r="U5659" s="41" t="str"/>
      <c r="V5659" s="41" t="str"/>
      <c r="W5659" s="41" t="str"/>
    </row>
    <row r="5660">
      <c r="B5660" s="2" t="n"/>
      <c r="C5660" s="40" t="n"/>
      <c r="D5660" s="52">
        <f t="array" ref="D5660:W5660">IF(All_Students_Scores!C5658:V5658="","",All_Students_Scores!C5658:V5658)</f>
        <v/>
      </c>
      <c r="E5660" s="57" t="str"/>
      <c r="F5660" s="49" t="str"/>
      <c r="G5660" s="59" t="str"/>
      <c r="H5660" s="64" t="str"/>
      <c r="I5660" s="65" t="str"/>
      <c r="J5660" s="49" t="str"/>
      <c r="K5660" s="41" t="str"/>
      <c r="L5660" s="41" t="str"/>
      <c r="M5660" s="41" t="str"/>
      <c r="N5660" s="41" t="str"/>
      <c r="O5660" s="41" t="str"/>
      <c r="P5660" s="41" t="str"/>
      <c r="Q5660" s="41" t="str"/>
      <c r="R5660" s="41" t="str"/>
      <c r="S5660" s="41" t="str"/>
      <c r="T5660" s="41" t="str"/>
      <c r="U5660" s="41" t="str"/>
      <c r="V5660" s="41" t="str"/>
      <c r="W5660" s="41" t="str"/>
    </row>
    <row r="5661">
      <c r="B5661" s="2" t="n"/>
      <c r="C5661" s="40" t="n"/>
      <c r="D5661" s="52">
        <f t="array" ref="D5661:W5661">IF(All_Students_Scores!C5659:V5659="","",All_Students_Scores!C5659:V5659)</f>
        <v/>
      </c>
      <c r="E5661" s="57" t="str"/>
      <c r="F5661" s="49" t="str"/>
      <c r="G5661" s="59" t="str"/>
      <c r="H5661" s="64" t="str"/>
      <c r="I5661" s="65" t="str"/>
      <c r="J5661" s="49" t="str"/>
      <c r="K5661" s="41" t="str"/>
      <c r="L5661" s="41" t="str"/>
      <c r="M5661" s="41" t="str"/>
      <c r="N5661" s="41" t="str"/>
      <c r="O5661" s="41" t="str"/>
      <c r="P5661" s="41" t="str"/>
      <c r="Q5661" s="41" t="str"/>
      <c r="R5661" s="41" t="str"/>
      <c r="S5661" s="41" t="str"/>
      <c r="T5661" s="41" t="str"/>
      <c r="U5661" s="41" t="str"/>
      <c r="V5661" s="41" t="str"/>
      <c r="W5661" s="41" t="str"/>
    </row>
    <row r="5662">
      <c r="B5662" s="2" t="n"/>
      <c r="C5662" s="40" t="n"/>
      <c r="D5662" s="52">
        <f t="array" ref="D5662:W5662">IF(All_Students_Scores!C5660:V5660="","",All_Students_Scores!C5660:V5660)</f>
        <v/>
      </c>
      <c r="E5662" s="57" t="str"/>
      <c r="F5662" s="49" t="str"/>
      <c r="G5662" s="59" t="str"/>
      <c r="H5662" s="64" t="str"/>
      <c r="I5662" s="65" t="str"/>
      <c r="J5662" s="49" t="str"/>
      <c r="K5662" s="41" t="str"/>
      <c r="L5662" s="41" t="str"/>
      <c r="M5662" s="41" t="str"/>
      <c r="N5662" s="41" t="str"/>
      <c r="O5662" s="41" t="str"/>
      <c r="P5662" s="41" t="str"/>
      <c r="Q5662" s="41" t="str"/>
      <c r="R5662" s="41" t="str"/>
      <c r="S5662" s="41" t="str"/>
      <c r="T5662" s="41" t="str"/>
      <c r="U5662" s="41" t="str"/>
      <c r="V5662" s="41" t="str"/>
      <c r="W5662" s="41" t="str"/>
    </row>
    <row r="5663">
      <c r="B5663" s="2" t="n"/>
      <c r="C5663" s="40" t="n"/>
      <c r="D5663" s="52">
        <f t="array" ref="D5663:W5663">IF(All_Students_Scores!C5661:V5661="","",All_Students_Scores!C5661:V5661)</f>
        <v/>
      </c>
      <c r="E5663" s="57" t="str"/>
      <c r="F5663" s="49" t="str"/>
      <c r="G5663" s="59" t="str"/>
      <c r="H5663" s="64" t="str"/>
      <c r="I5663" s="65" t="str"/>
      <c r="J5663" s="49" t="str"/>
      <c r="K5663" s="41" t="str"/>
      <c r="L5663" s="41" t="str"/>
      <c r="M5663" s="41" t="str"/>
      <c r="N5663" s="41" t="str"/>
      <c r="O5663" s="41" t="str"/>
      <c r="P5663" s="41" t="str"/>
      <c r="Q5663" s="41" t="str"/>
      <c r="R5663" s="41" t="str"/>
      <c r="S5663" s="41" t="str"/>
      <c r="T5663" s="41" t="str"/>
      <c r="U5663" s="41" t="str"/>
      <c r="V5663" s="41" t="str"/>
      <c r="W5663" s="41" t="str"/>
    </row>
    <row r="5664">
      <c r="B5664" s="2" t="n"/>
      <c r="C5664" s="40" t="n"/>
      <c r="D5664" s="52">
        <f t="array" ref="D5664:W5664">IF(All_Students_Scores!C5662:V5662="","",All_Students_Scores!C5662:V5662)</f>
        <v/>
      </c>
      <c r="E5664" s="57" t="str"/>
      <c r="F5664" s="49" t="str"/>
      <c r="G5664" s="59" t="str"/>
      <c r="H5664" s="64" t="str"/>
      <c r="I5664" s="65" t="str"/>
      <c r="J5664" s="49" t="str"/>
      <c r="K5664" s="41" t="str"/>
      <c r="L5664" s="41" t="str"/>
      <c r="M5664" s="41" t="str"/>
      <c r="N5664" s="41" t="str"/>
      <c r="O5664" s="41" t="str"/>
      <c r="P5664" s="41" t="str"/>
      <c r="Q5664" s="41" t="str"/>
      <c r="R5664" s="41" t="str"/>
      <c r="S5664" s="41" t="str"/>
      <c r="T5664" s="41" t="str"/>
      <c r="U5664" s="41" t="str"/>
      <c r="V5664" s="41" t="str"/>
      <c r="W5664" s="41" t="str"/>
    </row>
    <row r="5665">
      <c r="B5665" s="2" t="n"/>
      <c r="C5665" s="40" t="n"/>
      <c r="D5665" s="52">
        <f t="array" ref="D5665:W5665">IF(All_Students_Scores!C5663:V5663="","",All_Students_Scores!C5663:V5663)</f>
        <v/>
      </c>
      <c r="E5665" s="57" t="str"/>
      <c r="F5665" s="49" t="str"/>
      <c r="G5665" s="59" t="str"/>
      <c r="H5665" s="64" t="str"/>
      <c r="I5665" s="65" t="str"/>
      <c r="J5665" s="49" t="str"/>
      <c r="K5665" s="41" t="str"/>
      <c r="L5665" s="41" t="str"/>
      <c r="M5665" s="41" t="str"/>
      <c r="N5665" s="41" t="str"/>
      <c r="O5665" s="41" t="str"/>
      <c r="P5665" s="41" t="str"/>
      <c r="Q5665" s="41" t="str"/>
      <c r="R5665" s="41" t="str"/>
      <c r="S5665" s="41" t="str"/>
      <c r="T5665" s="41" t="str"/>
      <c r="U5665" s="41" t="str"/>
      <c r="V5665" s="41" t="str"/>
      <c r="W5665" s="41" t="str"/>
    </row>
    <row r="5666">
      <c r="B5666" s="2" t="n"/>
      <c r="C5666" s="40" t="n"/>
      <c r="D5666" s="52">
        <f t="array" ref="D5666:W5666">IF(All_Students_Scores!C5664:V5664="","",All_Students_Scores!C5664:V5664)</f>
        <v/>
      </c>
      <c r="E5666" s="57" t="str"/>
      <c r="F5666" s="49" t="str"/>
      <c r="G5666" s="59" t="str"/>
      <c r="H5666" s="64" t="str"/>
      <c r="I5666" s="65" t="str"/>
      <c r="J5666" s="49" t="str"/>
      <c r="K5666" s="41" t="str"/>
      <c r="L5666" s="41" t="str"/>
      <c r="M5666" s="41" t="str"/>
      <c r="N5666" s="41" t="str"/>
      <c r="O5666" s="41" t="str"/>
      <c r="P5666" s="41" t="str"/>
      <c r="Q5666" s="41" t="str"/>
      <c r="R5666" s="41" t="str"/>
      <c r="S5666" s="41" t="str"/>
      <c r="T5666" s="41" t="str"/>
      <c r="U5666" s="41" t="str"/>
      <c r="V5666" s="41" t="str"/>
      <c r="W5666" s="41" t="str"/>
    </row>
    <row r="5667">
      <c r="B5667" s="2" t="n"/>
      <c r="C5667" s="40" t="n"/>
      <c r="D5667" s="52">
        <f t="array" ref="D5667:W5667">IF(All_Students_Scores!C5665:V5665="","",All_Students_Scores!C5665:V5665)</f>
        <v/>
      </c>
      <c r="E5667" s="57" t="str"/>
      <c r="F5667" s="49" t="str"/>
      <c r="G5667" s="59" t="str"/>
      <c r="H5667" s="64" t="str"/>
      <c r="I5667" s="65" t="str"/>
      <c r="J5667" s="49" t="str"/>
      <c r="K5667" s="41" t="str"/>
      <c r="L5667" s="41" t="str"/>
      <c r="M5667" s="41" t="str"/>
      <c r="N5667" s="41" t="str"/>
      <c r="O5667" s="41" t="str"/>
      <c r="P5667" s="41" t="str"/>
      <c r="Q5667" s="41" t="str"/>
      <c r="R5667" s="41" t="str"/>
      <c r="S5667" s="41" t="str"/>
      <c r="T5667" s="41" t="str"/>
      <c r="U5667" s="41" t="str"/>
      <c r="V5667" s="41" t="str"/>
      <c r="W5667" s="41" t="str"/>
    </row>
    <row r="5668">
      <c r="B5668" s="2" t="n"/>
      <c r="C5668" s="40" t="n"/>
      <c r="D5668" s="52">
        <f t="array" ref="D5668:W5668">IF(All_Students_Scores!C5666:V5666="","",All_Students_Scores!C5666:V5666)</f>
        <v/>
      </c>
      <c r="E5668" s="57" t="str"/>
      <c r="F5668" s="49" t="str"/>
      <c r="G5668" s="59" t="str"/>
      <c r="H5668" s="64" t="str"/>
      <c r="I5668" s="65" t="str"/>
      <c r="J5668" s="49" t="str"/>
      <c r="K5668" s="41" t="str"/>
      <c r="L5668" s="41" t="str"/>
      <c r="M5668" s="41" t="str"/>
      <c r="N5668" s="41" t="str"/>
      <c r="O5668" s="41" t="str"/>
      <c r="P5668" s="41" t="str"/>
      <c r="Q5668" s="41" t="str"/>
      <c r="R5668" s="41" t="str"/>
      <c r="S5668" s="41" t="str"/>
      <c r="T5668" s="41" t="str"/>
      <c r="U5668" s="41" t="str"/>
      <c r="V5668" s="41" t="str"/>
      <c r="W5668" s="41" t="str"/>
    </row>
    <row r="5669">
      <c r="B5669" s="2" t="n"/>
      <c r="C5669" s="40" t="n"/>
      <c r="D5669" s="52">
        <f t="array" ref="D5669:W5669">IF(All_Students_Scores!C5667:V5667="","",All_Students_Scores!C5667:V5667)</f>
        <v/>
      </c>
      <c r="E5669" s="57" t="str"/>
      <c r="F5669" s="49" t="str"/>
      <c r="G5669" s="59" t="str"/>
      <c r="H5669" s="64" t="str"/>
      <c r="I5669" s="65" t="str"/>
      <c r="J5669" s="49" t="str"/>
      <c r="K5669" s="41" t="str"/>
      <c r="L5669" s="41" t="str"/>
      <c r="M5669" s="41" t="str"/>
      <c r="N5669" s="41" t="str"/>
      <c r="O5669" s="41" t="str"/>
      <c r="P5669" s="41" t="str"/>
      <c r="Q5669" s="41" t="str"/>
      <c r="R5669" s="41" t="str"/>
      <c r="S5669" s="41" t="str"/>
      <c r="T5669" s="41" t="str"/>
      <c r="U5669" s="41" t="str"/>
      <c r="V5669" s="41" t="str"/>
      <c r="W5669" s="41" t="str"/>
    </row>
    <row r="5670">
      <c r="B5670" s="2" t="n"/>
      <c r="C5670" s="40" t="n"/>
      <c r="D5670" s="52">
        <f t="array" ref="D5670:W5670">IF(All_Students_Scores!C5668:V5668="","",All_Students_Scores!C5668:V5668)</f>
        <v/>
      </c>
      <c r="E5670" s="57" t="str"/>
      <c r="F5670" s="49" t="str"/>
      <c r="G5670" s="59" t="str"/>
      <c r="H5670" s="64" t="str"/>
      <c r="I5670" s="65" t="str"/>
      <c r="J5670" s="49" t="str"/>
      <c r="K5670" s="41" t="str"/>
      <c r="L5670" s="41" t="str"/>
      <c r="M5670" s="41" t="str"/>
      <c r="N5670" s="41" t="str"/>
      <c r="O5670" s="41" t="str"/>
      <c r="P5670" s="41" t="str"/>
      <c r="Q5670" s="41" t="str"/>
      <c r="R5670" s="41" t="str"/>
      <c r="S5670" s="41" t="str"/>
      <c r="T5670" s="41" t="str"/>
      <c r="U5670" s="41" t="str"/>
      <c r="V5670" s="41" t="str"/>
      <c r="W5670" s="41" t="str"/>
    </row>
    <row r="5671">
      <c r="B5671" s="2" t="n"/>
      <c r="C5671" s="40" t="n"/>
      <c r="D5671" s="52">
        <f t="array" ref="D5671:W5671">IF(All_Students_Scores!C5669:V5669="","",All_Students_Scores!C5669:V5669)</f>
        <v/>
      </c>
      <c r="E5671" s="57" t="str"/>
      <c r="F5671" s="49" t="str"/>
      <c r="G5671" s="59" t="str"/>
      <c r="H5671" s="64" t="str"/>
      <c r="I5671" s="65" t="str"/>
      <c r="J5671" s="49" t="str"/>
      <c r="K5671" s="41" t="str"/>
      <c r="L5671" s="41" t="str"/>
      <c r="M5671" s="41" t="str"/>
      <c r="N5671" s="41" t="str"/>
      <c r="O5671" s="41" t="str"/>
      <c r="P5671" s="41" t="str"/>
      <c r="Q5671" s="41" t="str"/>
      <c r="R5671" s="41" t="str"/>
      <c r="S5671" s="41" t="str"/>
      <c r="T5671" s="41" t="str"/>
      <c r="U5671" s="41" t="str"/>
      <c r="V5671" s="41" t="str"/>
      <c r="W5671" s="41" t="str"/>
    </row>
    <row r="5672">
      <c r="B5672" s="2" t="n"/>
      <c r="C5672" s="40" t="n"/>
      <c r="D5672" s="52">
        <f t="array" ref="D5672:W5672">IF(All_Students_Scores!C5670:V5670="","",All_Students_Scores!C5670:V5670)</f>
        <v/>
      </c>
      <c r="E5672" s="57" t="str"/>
      <c r="F5672" s="49" t="str"/>
      <c r="G5672" s="59" t="str"/>
      <c r="H5672" s="64" t="str"/>
      <c r="I5672" s="65" t="str"/>
      <c r="J5672" s="49" t="str"/>
      <c r="K5672" s="41" t="str"/>
      <c r="L5672" s="41" t="str"/>
      <c r="M5672" s="41" t="str"/>
      <c r="N5672" s="41" t="str"/>
      <c r="O5672" s="41" t="str"/>
      <c r="P5672" s="41" t="str"/>
      <c r="Q5672" s="41" t="str"/>
      <c r="R5672" s="41" t="str"/>
      <c r="S5672" s="41" t="str"/>
      <c r="T5672" s="41" t="str"/>
      <c r="U5672" s="41" t="str"/>
      <c r="V5672" s="41" t="str"/>
      <c r="W5672" s="41" t="str"/>
    </row>
    <row r="5673">
      <c r="B5673" s="2" t="n"/>
      <c r="C5673" s="40" t="n"/>
      <c r="D5673" s="52">
        <f t="array" ref="D5673:W5673">IF(All_Students_Scores!C5671:V5671="","",All_Students_Scores!C5671:V5671)</f>
        <v/>
      </c>
      <c r="E5673" s="57" t="str"/>
      <c r="F5673" s="49" t="str"/>
      <c r="G5673" s="59" t="str"/>
      <c r="H5673" s="64" t="str"/>
      <c r="I5673" s="65" t="str"/>
      <c r="J5673" s="49" t="str"/>
      <c r="K5673" s="41" t="str"/>
      <c r="L5673" s="41" t="str"/>
      <c r="M5673" s="41" t="str"/>
      <c r="N5673" s="41" t="str"/>
      <c r="O5673" s="41" t="str"/>
      <c r="P5673" s="41" t="str"/>
      <c r="Q5673" s="41" t="str"/>
      <c r="R5673" s="41" t="str"/>
      <c r="S5673" s="41" t="str"/>
      <c r="T5673" s="41" t="str"/>
      <c r="U5673" s="41" t="str"/>
      <c r="V5673" s="41" t="str"/>
      <c r="W5673" s="41" t="str"/>
    </row>
    <row r="5674">
      <c r="B5674" s="2" t="n"/>
      <c r="C5674" s="40" t="n"/>
      <c r="D5674" s="52">
        <f t="array" ref="D5674:W5674">IF(All_Students_Scores!C5672:V5672="","",All_Students_Scores!C5672:V5672)</f>
        <v/>
      </c>
      <c r="E5674" s="57" t="str"/>
      <c r="F5674" s="49" t="str"/>
      <c r="G5674" s="59" t="str"/>
      <c r="H5674" s="64" t="str"/>
      <c r="I5674" s="65" t="str"/>
      <c r="J5674" s="49" t="str"/>
      <c r="K5674" s="41" t="str"/>
      <c r="L5674" s="41" t="str"/>
      <c r="M5674" s="41" t="str"/>
      <c r="N5674" s="41" t="str"/>
      <c r="O5674" s="41" t="str"/>
      <c r="P5674" s="41" t="str"/>
      <c r="Q5674" s="41" t="str"/>
      <c r="R5674" s="41" t="str"/>
      <c r="S5674" s="41" t="str"/>
      <c r="T5674" s="41" t="str"/>
      <c r="U5674" s="41" t="str"/>
      <c r="V5674" s="41" t="str"/>
      <c r="W5674" s="41" t="str"/>
    </row>
    <row r="5675">
      <c r="B5675" s="2" t="n"/>
      <c r="C5675" s="40" t="n"/>
      <c r="D5675" s="52">
        <f t="array" ref="D5675:W5675">IF(All_Students_Scores!C5673:V5673="","",All_Students_Scores!C5673:V5673)</f>
        <v/>
      </c>
      <c r="E5675" s="57" t="str"/>
      <c r="F5675" s="49" t="str"/>
      <c r="G5675" s="59" t="str"/>
      <c r="H5675" s="64" t="str"/>
      <c r="I5675" s="65" t="str"/>
      <c r="J5675" s="49" t="str"/>
      <c r="K5675" s="41" t="str"/>
      <c r="L5675" s="41" t="str"/>
      <c r="M5675" s="41" t="str"/>
      <c r="N5675" s="41" t="str"/>
      <c r="O5675" s="41" t="str"/>
      <c r="P5675" s="41" t="str"/>
      <c r="Q5675" s="41" t="str"/>
      <c r="R5675" s="41" t="str"/>
      <c r="S5675" s="41" t="str"/>
      <c r="T5675" s="41" t="str"/>
      <c r="U5675" s="41" t="str"/>
      <c r="V5675" s="41" t="str"/>
      <c r="W5675" s="41" t="str"/>
    </row>
    <row r="5676">
      <c r="B5676" s="2" t="n"/>
      <c r="C5676" s="40" t="n"/>
      <c r="D5676" s="52">
        <f t="array" ref="D5676:W5676">IF(All_Students_Scores!C5674:V5674="","",All_Students_Scores!C5674:V5674)</f>
        <v/>
      </c>
      <c r="E5676" s="57" t="str"/>
      <c r="F5676" s="49" t="str"/>
      <c r="G5676" s="59" t="str"/>
      <c r="H5676" s="64" t="str"/>
      <c r="I5676" s="65" t="str"/>
      <c r="J5676" s="49" t="str"/>
      <c r="K5676" s="41" t="str"/>
      <c r="L5676" s="41" t="str"/>
      <c r="M5676" s="41" t="str"/>
      <c r="N5676" s="41" t="str"/>
      <c r="O5676" s="41" t="str"/>
      <c r="P5676" s="41" t="str"/>
      <c r="Q5676" s="41" t="str"/>
      <c r="R5676" s="41" t="str"/>
      <c r="S5676" s="41" t="str"/>
      <c r="T5676" s="41" t="str"/>
      <c r="U5676" s="41" t="str"/>
      <c r="V5676" s="41" t="str"/>
      <c r="W5676" s="41" t="str"/>
    </row>
    <row r="5677">
      <c r="B5677" s="2" t="n"/>
      <c r="C5677" s="40" t="n"/>
      <c r="D5677" s="52">
        <f t="array" ref="D5677:W5677">IF(All_Students_Scores!C5675:V5675="","",All_Students_Scores!C5675:V5675)</f>
        <v/>
      </c>
      <c r="E5677" s="57" t="str"/>
      <c r="F5677" s="49" t="str"/>
      <c r="G5677" s="59" t="str"/>
      <c r="H5677" s="64" t="str"/>
      <c r="I5677" s="65" t="str"/>
      <c r="J5677" s="49" t="str"/>
      <c r="K5677" s="41" t="str"/>
      <c r="L5677" s="41" t="str"/>
      <c r="M5677" s="41" t="str"/>
      <c r="N5677" s="41" t="str"/>
      <c r="O5677" s="41" t="str"/>
      <c r="P5677" s="41" t="str"/>
      <c r="Q5677" s="41" t="str"/>
      <c r="R5677" s="41" t="str"/>
      <c r="S5677" s="41" t="str"/>
      <c r="T5677" s="41" t="str"/>
      <c r="U5677" s="41" t="str"/>
      <c r="V5677" s="41" t="str"/>
      <c r="W5677" s="41" t="str"/>
    </row>
    <row r="5678">
      <c r="B5678" s="2" t="n"/>
      <c r="C5678" s="40" t="n"/>
      <c r="D5678" s="52">
        <f t="array" ref="D5678:W5678">IF(All_Students_Scores!C5676:V5676="","",All_Students_Scores!C5676:V5676)</f>
        <v/>
      </c>
      <c r="E5678" s="57" t="str"/>
      <c r="F5678" s="49" t="str"/>
      <c r="G5678" s="59" t="str"/>
      <c r="H5678" s="64" t="str"/>
      <c r="I5678" s="65" t="str"/>
      <c r="J5678" s="49" t="str"/>
      <c r="K5678" s="41" t="str"/>
      <c r="L5678" s="41" t="str"/>
      <c r="M5678" s="41" t="str"/>
      <c r="N5678" s="41" t="str"/>
      <c r="O5678" s="41" t="str"/>
      <c r="P5678" s="41" t="str"/>
      <c r="Q5678" s="41" t="str"/>
      <c r="R5678" s="41" t="str"/>
      <c r="S5678" s="41" t="str"/>
      <c r="T5678" s="41" t="str"/>
      <c r="U5678" s="41" t="str"/>
      <c r="V5678" s="41" t="str"/>
      <c r="W5678" s="41" t="str"/>
    </row>
    <row r="5679">
      <c r="B5679" s="2" t="n"/>
      <c r="C5679" s="40" t="n"/>
      <c r="D5679" s="52">
        <f t="array" ref="D5679:W5679">IF(All_Students_Scores!C5677:V5677="","",All_Students_Scores!C5677:V5677)</f>
        <v/>
      </c>
      <c r="E5679" s="57" t="str"/>
      <c r="F5679" s="49" t="str"/>
      <c r="G5679" s="59" t="str"/>
      <c r="H5679" s="64" t="str"/>
      <c r="I5679" s="65" t="str"/>
      <c r="J5679" s="49" t="str"/>
      <c r="K5679" s="41" t="str"/>
      <c r="L5679" s="41" t="str"/>
      <c r="M5679" s="41" t="str"/>
      <c r="N5679" s="41" t="str"/>
      <c r="O5679" s="41" t="str"/>
      <c r="P5679" s="41" t="str"/>
      <c r="Q5679" s="41" t="str"/>
      <c r="R5679" s="41" t="str"/>
      <c r="S5679" s="41" t="str"/>
      <c r="T5679" s="41" t="str"/>
      <c r="U5679" s="41" t="str"/>
      <c r="V5679" s="41" t="str"/>
      <c r="W5679" s="41" t="str"/>
    </row>
    <row r="5680">
      <c r="B5680" s="2" t="n"/>
      <c r="C5680" s="40" t="n"/>
      <c r="D5680" s="52">
        <f t="array" ref="D5680:W5680">IF(All_Students_Scores!C5678:V5678="","",All_Students_Scores!C5678:V5678)</f>
        <v/>
      </c>
      <c r="E5680" s="57" t="str"/>
      <c r="F5680" s="49" t="str"/>
      <c r="G5680" s="59" t="str"/>
      <c r="H5680" s="64" t="str"/>
      <c r="I5680" s="65" t="str"/>
      <c r="J5680" s="49" t="str"/>
      <c r="K5680" s="41" t="str"/>
      <c r="L5680" s="41" t="str"/>
      <c r="M5680" s="41" t="str"/>
      <c r="N5680" s="41" t="str"/>
      <c r="O5680" s="41" t="str"/>
      <c r="P5680" s="41" t="str"/>
      <c r="Q5680" s="41" t="str"/>
      <c r="R5680" s="41" t="str"/>
      <c r="S5680" s="41" t="str"/>
      <c r="T5680" s="41" t="str"/>
      <c r="U5680" s="41" t="str"/>
      <c r="V5680" s="41" t="str"/>
      <c r="W5680" s="41" t="str"/>
    </row>
    <row r="5681">
      <c r="B5681" s="2" t="n"/>
      <c r="C5681" s="40" t="n"/>
      <c r="D5681" s="52">
        <f t="array" ref="D5681:W5681">IF(All_Students_Scores!C5679:V5679="","",All_Students_Scores!C5679:V5679)</f>
        <v/>
      </c>
      <c r="E5681" s="57" t="str"/>
      <c r="F5681" s="49" t="str"/>
      <c r="G5681" s="59" t="str"/>
      <c r="H5681" s="64" t="str"/>
      <c r="I5681" s="65" t="str"/>
      <c r="J5681" s="49" t="str"/>
      <c r="K5681" s="41" t="str"/>
      <c r="L5681" s="41" t="str"/>
      <c r="M5681" s="41" t="str"/>
      <c r="N5681" s="41" t="str"/>
      <c r="O5681" s="41" t="str"/>
      <c r="P5681" s="41" t="str"/>
      <c r="Q5681" s="41" t="str"/>
      <c r="R5681" s="41" t="str"/>
      <c r="S5681" s="41" t="str"/>
      <c r="T5681" s="41" t="str"/>
      <c r="U5681" s="41" t="str"/>
      <c r="V5681" s="41" t="str"/>
      <c r="W5681" s="41" t="str"/>
    </row>
    <row r="5682">
      <c r="B5682" s="2" t="n"/>
      <c r="C5682" s="40" t="n"/>
      <c r="D5682" s="52">
        <f t="array" ref="D5682:W5682">IF(All_Students_Scores!C5680:V5680="","",All_Students_Scores!C5680:V5680)</f>
        <v/>
      </c>
      <c r="E5682" s="57" t="str"/>
      <c r="F5682" s="49" t="str"/>
      <c r="G5682" s="59" t="str"/>
      <c r="H5682" s="64" t="str"/>
      <c r="I5682" s="65" t="str"/>
      <c r="J5682" s="49" t="str"/>
      <c r="K5682" s="41" t="str"/>
      <c r="L5682" s="41" t="str"/>
      <c r="M5682" s="41" t="str"/>
      <c r="N5682" s="41" t="str"/>
      <c r="O5682" s="41" t="str"/>
      <c r="P5682" s="41" t="str"/>
      <c r="Q5682" s="41" t="str"/>
      <c r="R5682" s="41" t="str"/>
      <c r="S5682" s="41" t="str"/>
      <c r="T5682" s="41" t="str"/>
      <c r="U5682" s="41" t="str"/>
      <c r="V5682" s="41" t="str"/>
      <c r="W5682" s="41" t="str"/>
    </row>
    <row r="5683">
      <c r="B5683" s="2" t="n"/>
      <c r="C5683" s="40" t="n"/>
      <c r="D5683" s="52">
        <f t="array" ref="D5683:W5683">IF(All_Students_Scores!C5681:V5681="","",All_Students_Scores!C5681:V5681)</f>
        <v/>
      </c>
      <c r="E5683" s="57" t="str"/>
      <c r="F5683" s="49" t="str"/>
      <c r="G5683" s="59" t="str"/>
      <c r="H5683" s="64" t="str"/>
      <c r="I5683" s="65" t="str"/>
      <c r="J5683" s="49" t="str"/>
      <c r="K5683" s="41" t="str"/>
      <c r="L5683" s="41" t="str"/>
      <c r="M5683" s="41" t="str"/>
      <c r="N5683" s="41" t="str"/>
      <c r="O5683" s="41" t="str"/>
      <c r="P5683" s="41" t="str"/>
      <c r="Q5683" s="41" t="str"/>
      <c r="R5683" s="41" t="str"/>
      <c r="S5683" s="41" t="str"/>
      <c r="T5683" s="41" t="str"/>
      <c r="U5683" s="41" t="str"/>
      <c r="V5683" s="41" t="str"/>
      <c r="W5683" s="41" t="str"/>
    </row>
    <row r="5684">
      <c r="B5684" s="2" t="n"/>
      <c r="C5684" s="40" t="n"/>
      <c r="D5684" s="52">
        <f t="array" ref="D5684:W5684">IF(All_Students_Scores!C5682:V5682="","",All_Students_Scores!C5682:V5682)</f>
        <v/>
      </c>
      <c r="E5684" s="57" t="str"/>
      <c r="F5684" s="49" t="str"/>
      <c r="G5684" s="59" t="str"/>
      <c r="H5684" s="64" t="str"/>
      <c r="I5684" s="65" t="str"/>
      <c r="J5684" s="49" t="str"/>
      <c r="K5684" s="41" t="str"/>
      <c r="L5684" s="41" t="str"/>
      <c r="M5684" s="41" t="str"/>
      <c r="N5684" s="41" t="str"/>
      <c r="O5684" s="41" t="str"/>
      <c r="P5684" s="41" t="str"/>
      <c r="Q5684" s="41" t="str"/>
      <c r="R5684" s="41" t="str"/>
      <c r="S5684" s="41" t="str"/>
      <c r="T5684" s="41" t="str"/>
      <c r="U5684" s="41" t="str"/>
      <c r="V5684" s="41" t="str"/>
      <c r="W5684" s="41" t="str"/>
    </row>
    <row r="5685">
      <c r="B5685" s="2" t="n"/>
      <c r="C5685" s="40" t="n"/>
      <c r="D5685" s="52">
        <f t="array" ref="D5685:W5685">IF(All_Students_Scores!C5683:V5683="","",All_Students_Scores!C5683:V5683)</f>
        <v/>
      </c>
      <c r="E5685" s="57" t="str"/>
      <c r="F5685" s="49" t="str"/>
      <c r="G5685" s="59" t="str"/>
      <c r="H5685" s="64" t="str"/>
      <c r="I5685" s="65" t="str"/>
      <c r="J5685" s="49" t="str"/>
      <c r="K5685" s="41" t="str"/>
      <c r="L5685" s="41" t="str"/>
      <c r="M5685" s="41" t="str"/>
      <c r="N5685" s="41" t="str"/>
      <c r="O5685" s="41" t="str"/>
      <c r="P5685" s="41" t="str"/>
      <c r="Q5685" s="41" t="str"/>
      <c r="R5685" s="41" t="str"/>
      <c r="S5685" s="41" t="str"/>
      <c r="T5685" s="41" t="str"/>
      <c r="U5685" s="41" t="str"/>
      <c r="V5685" s="41" t="str"/>
      <c r="W5685" s="41" t="str"/>
    </row>
    <row r="5686">
      <c r="B5686" s="2" t="n"/>
      <c r="C5686" s="40" t="n"/>
      <c r="D5686" s="52">
        <f t="array" ref="D5686:W5686">IF(All_Students_Scores!C5684:V5684="","",All_Students_Scores!C5684:V5684)</f>
        <v/>
      </c>
      <c r="E5686" s="57" t="str"/>
      <c r="F5686" s="49" t="str"/>
      <c r="G5686" s="59" t="str"/>
      <c r="H5686" s="64" t="str"/>
      <c r="I5686" s="65" t="str"/>
      <c r="J5686" s="49" t="str"/>
      <c r="K5686" s="41" t="str"/>
      <c r="L5686" s="41" t="str"/>
      <c r="M5686" s="41" t="str"/>
      <c r="N5686" s="41" t="str"/>
      <c r="O5686" s="41" t="str"/>
      <c r="P5686" s="41" t="str"/>
      <c r="Q5686" s="41" t="str"/>
      <c r="R5686" s="41" t="str"/>
      <c r="S5686" s="41" t="str"/>
      <c r="T5686" s="41" t="str"/>
      <c r="U5686" s="41" t="str"/>
      <c r="V5686" s="41" t="str"/>
      <c r="W5686" s="41" t="str"/>
    </row>
    <row r="5687">
      <c r="B5687" s="2" t="n"/>
      <c r="C5687" s="40" t="n"/>
      <c r="D5687" s="52">
        <f t="array" ref="D5687:W5687">IF(All_Students_Scores!C5685:V5685="","",All_Students_Scores!C5685:V5685)</f>
        <v/>
      </c>
      <c r="E5687" s="57" t="str"/>
      <c r="F5687" s="49" t="str"/>
      <c r="G5687" s="59" t="str"/>
      <c r="H5687" s="64" t="str"/>
      <c r="I5687" s="65" t="str"/>
      <c r="J5687" s="49" t="str"/>
      <c r="K5687" s="41" t="str"/>
      <c r="L5687" s="41" t="str"/>
      <c r="M5687" s="41" t="str"/>
      <c r="N5687" s="41" t="str"/>
      <c r="O5687" s="41" t="str"/>
      <c r="P5687" s="41" t="str"/>
      <c r="Q5687" s="41" t="str"/>
      <c r="R5687" s="41" t="str"/>
      <c r="S5687" s="41" t="str"/>
      <c r="T5687" s="41" t="str"/>
      <c r="U5687" s="41" t="str"/>
      <c r="V5687" s="41" t="str"/>
      <c r="W5687" s="41" t="str"/>
    </row>
    <row r="5688">
      <c r="B5688" s="2" t="n"/>
      <c r="C5688" s="40" t="n"/>
      <c r="D5688" s="52">
        <f t="array" ref="D5688:W5688">IF(All_Students_Scores!C5686:V5686="","",All_Students_Scores!C5686:V5686)</f>
        <v/>
      </c>
      <c r="E5688" s="57" t="str"/>
      <c r="F5688" s="49" t="str"/>
      <c r="G5688" s="59" t="str"/>
      <c r="H5688" s="64" t="str"/>
      <c r="I5688" s="65" t="str"/>
      <c r="J5688" s="49" t="str"/>
      <c r="K5688" s="41" t="str"/>
      <c r="L5688" s="41" t="str"/>
      <c r="M5688" s="41" t="str"/>
      <c r="N5688" s="41" t="str"/>
      <c r="O5688" s="41" t="str"/>
      <c r="P5688" s="41" t="str"/>
      <c r="Q5688" s="41" t="str"/>
      <c r="R5688" s="41" t="str"/>
      <c r="S5688" s="41" t="str"/>
      <c r="T5688" s="41" t="str"/>
      <c r="U5688" s="41" t="str"/>
      <c r="V5688" s="41" t="str"/>
      <c r="W5688" s="41" t="str"/>
    </row>
    <row r="5689">
      <c r="B5689" s="2" t="n"/>
      <c r="C5689" s="40" t="n"/>
      <c r="D5689" s="52">
        <f t="array" ref="D5689:W5689">IF(All_Students_Scores!C5687:V5687="","",All_Students_Scores!C5687:V5687)</f>
        <v/>
      </c>
      <c r="E5689" s="57" t="str"/>
      <c r="F5689" s="49" t="str"/>
      <c r="G5689" s="59" t="str"/>
      <c r="H5689" s="64" t="str"/>
      <c r="I5689" s="65" t="str"/>
      <c r="J5689" s="49" t="str"/>
      <c r="K5689" s="41" t="str"/>
      <c r="L5689" s="41" t="str"/>
      <c r="M5689" s="41" t="str"/>
      <c r="N5689" s="41" t="str"/>
      <c r="O5689" s="41" t="str"/>
      <c r="P5689" s="41" t="str"/>
      <c r="Q5689" s="41" t="str"/>
      <c r="R5689" s="41" t="str"/>
      <c r="S5689" s="41" t="str"/>
      <c r="T5689" s="41" t="str"/>
      <c r="U5689" s="41" t="str"/>
      <c r="V5689" s="41" t="str"/>
      <c r="W5689" s="41" t="str"/>
    </row>
    <row r="5690">
      <c r="B5690" s="2" t="n"/>
      <c r="C5690" s="40" t="n"/>
      <c r="D5690" s="52">
        <f t="array" ref="D5690:W5690">IF(All_Students_Scores!C5688:V5688="","",All_Students_Scores!C5688:V5688)</f>
        <v/>
      </c>
      <c r="E5690" s="57" t="str"/>
      <c r="F5690" s="49" t="str"/>
      <c r="G5690" s="59" t="str"/>
      <c r="H5690" s="64" t="str"/>
      <c r="I5690" s="65" t="str"/>
      <c r="J5690" s="49" t="str"/>
      <c r="K5690" s="41" t="str"/>
      <c r="L5690" s="41" t="str"/>
      <c r="M5690" s="41" t="str"/>
      <c r="N5690" s="41" t="str"/>
      <c r="O5690" s="41" t="str"/>
      <c r="P5690" s="41" t="str"/>
      <c r="Q5690" s="41" t="str"/>
      <c r="R5690" s="41" t="str"/>
      <c r="S5690" s="41" t="str"/>
      <c r="T5690" s="41" t="str"/>
      <c r="U5690" s="41" t="str"/>
      <c r="V5690" s="41" t="str"/>
      <c r="W5690" s="41" t="str"/>
    </row>
    <row r="5691">
      <c r="B5691" s="2" t="n"/>
      <c r="C5691" s="40" t="n"/>
      <c r="D5691" s="52">
        <f t="array" ref="D5691:W5691">IF(All_Students_Scores!C5689:V5689="","",All_Students_Scores!C5689:V5689)</f>
        <v/>
      </c>
      <c r="E5691" s="57" t="str"/>
      <c r="F5691" s="49" t="str"/>
      <c r="G5691" s="59" t="str"/>
      <c r="H5691" s="64" t="str"/>
      <c r="I5691" s="65" t="str"/>
      <c r="J5691" s="49" t="str"/>
      <c r="K5691" s="41" t="str"/>
      <c r="L5691" s="41" t="str"/>
      <c r="M5691" s="41" t="str"/>
      <c r="N5691" s="41" t="str"/>
      <c r="O5691" s="41" t="str"/>
      <c r="P5691" s="41" t="str"/>
      <c r="Q5691" s="41" t="str"/>
      <c r="R5691" s="41" t="str"/>
      <c r="S5691" s="41" t="str"/>
      <c r="T5691" s="41" t="str"/>
      <c r="U5691" s="41" t="str"/>
      <c r="V5691" s="41" t="str"/>
      <c r="W5691" s="41" t="str"/>
    </row>
    <row r="5692">
      <c r="B5692" s="2" t="n"/>
      <c r="C5692" s="40" t="n"/>
      <c r="D5692" s="52">
        <f t="array" ref="D5692:W5692">IF(All_Students_Scores!C5690:V5690="","",All_Students_Scores!C5690:V5690)</f>
        <v/>
      </c>
      <c r="E5692" s="57" t="str"/>
      <c r="F5692" s="49" t="str"/>
      <c r="G5692" s="59" t="str"/>
      <c r="H5692" s="64" t="str"/>
      <c r="I5692" s="65" t="str"/>
      <c r="J5692" s="49" t="str"/>
      <c r="K5692" s="41" t="str"/>
      <c r="L5692" s="41" t="str"/>
      <c r="M5692" s="41" t="str"/>
      <c r="N5692" s="41" t="str"/>
      <c r="O5692" s="41" t="str"/>
      <c r="P5692" s="41" t="str"/>
      <c r="Q5692" s="41" t="str"/>
      <c r="R5692" s="41" t="str"/>
      <c r="S5692" s="41" t="str"/>
      <c r="T5692" s="41" t="str"/>
      <c r="U5692" s="41" t="str"/>
      <c r="V5692" s="41" t="str"/>
      <c r="W5692" s="41" t="str"/>
    </row>
    <row r="5693">
      <c r="B5693" s="2" t="n"/>
      <c r="C5693" s="40" t="n"/>
      <c r="D5693" s="52">
        <f t="array" ref="D5693:W5693">IF(All_Students_Scores!C5691:V5691="","",All_Students_Scores!C5691:V5691)</f>
        <v/>
      </c>
      <c r="E5693" s="57" t="str"/>
      <c r="F5693" s="49" t="str"/>
      <c r="G5693" s="59" t="str"/>
      <c r="H5693" s="64" t="str"/>
      <c r="I5693" s="65" t="str"/>
      <c r="J5693" s="49" t="str"/>
      <c r="K5693" s="41" t="str"/>
      <c r="L5693" s="41" t="str"/>
      <c r="M5693" s="41" t="str"/>
      <c r="N5693" s="41" t="str"/>
      <c r="O5693" s="41" t="str"/>
      <c r="P5693" s="41" t="str"/>
      <c r="Q5693" s="41" t="str"/>
      <c r="R5693" s="41" t="str"/>
      <c r="S5693" s="41" t="str"/>
      <c r="T5693" s="41" t="str"/>
      <c r="U5693" s="41" t="str"/>
      <c r="V5693" s="41" t="str"/>
      <c r="W5693" s="41" t="str"/>
    </row>
    <row r="5694">
      <c r="B5694" s="2" t="n"/>
      <c r="C5694" s="40" t="n"/>
      <c r="D5694" s="52">
        <f t="array" ref="D5694:W5694">IF(All_Students_Scores!C5692:V5692="","",All_Students_Scores!C5692:V5692)</f>
        <v/>
      </c>
      <c r="E5694" s="57" t="str"/>
      <c r="F5694" s="49" t="str"/>
      <c r="G5694" s="59" t="str"/>
      <c r="H5694" s="64" t="str"/>
      <c r="I5694" s="65" t="str"/>
      <c r="J5694" s="49" t="str"/>
      <c r="K5694" s="41" t="str"/>
      <c r="L5694" s="41" t="str"/>
      <c r="M5694" s="41" t="str"/>
      <c r="N5694" s="41" t="str"/>
      <c r="O5694" s="41" t="str"/>
      <c r="P5694" s="41" t="str"/>
      <c r="Q5694" s="41" t="str"/>
      <c r="R5694" s="41" t="str"/>
      <c r="S5694" s="41" t="str"/>
      <c r="T5694" s="41" t="str"/>
      <c r="U5694" s="41" t="str"/>
      <c r="V5694" s="41" t="str"/>
      <c r="W5694" s="41" t="str"/>
    </row>
    <row r="5695">
      <c r="B5695" s="2" t="n"/>
      <c r="C5695" s="40" t="n"/>
      <c r="D5695" s="52">
        <f t="array" ref="D5695:W5695">IF(All_Students_Scores!C5693:V5693="","",All_Students_Scores!C5693:V5693)</f>
        <v/>
      </c>
      <c r="E5695" s="57" t="str"/>
      <c r="F5695" s="49" t="str"/>
      <c r="G5695" s="59" t="str"/>
      <c r="H5695" s="64" t="str"/>
      <c r="I5695" s="65" t="str"/>
      <c r="J5695" s="49" t="str"/>
      <c r="K5695" s="41" t="str"/>
      <c r="L5695" s="41" t="str"/>
      <c r="M5695" s="41" t="str"/>
      <c r="N5695" s="41" t="str"/>
      <c r="O5695" s="41" t="str"/>
      <c r="P5695" s="41" t="str"/>
      <c r="Q5695" s="41" t="str"/>
      <c r="R5695" s="41" t="str"/>
      <c r="S5695" s="41" t="str"/>
      <c r="T5695" s="41" t="str"/>
      <c r="U5695" s="41" t="str"/>
      <c r="V5695" s="41" t="str"/>
      <c r="W5695" s="41" t="str"/>
    </row>
    <row r="5696">
      <c r="B5696" s="2" t="n"/>
      <c r="C5696" s="40" t="n"/>
      <c r="D5696" s="52">
        <f t="array" ref="D5696:W5696">IF(All_Students_Scores!C5694:V5694="","",All_Students_Scores!C5694:V5694)</f>
        <v/>
      </c>
      <c r="E5696" s="57" t="str"/>
      <c r="F5696" s="49" t="str"/>
      <c r="G5696" s="59" t="str"/>
      <c r="H5696" s="64" t="str"/>
      <c r="I5696" s="65" t="str"/>
      <c r="J5696" s="49" t="str"/>
      <c r="K5696" s="41" t="str"/>
      <c r="L5696" s="41" t="str"/>
      <c r="M5696" s="41" t="str"/>
      <c r="N5696" s="41" t="str"/>
      <c r="O5696" s="41" t="str"/>
      <c r="P5696" s="41" t="str"/>
      <c r="Q5696" s="41" t="str"/>
      <c r="R5696" s="41" t="str"/>
      <c r="S5696" s="41" t="str"/>
      <c r="T5696" s="41" t="str"/>
      <c r="U5696" s="41" t="str"/>
      <c r="V5696" s="41" t="str"/>
      <c r="W5696" s="41" t="str"/>
    </row>
    <row r="5697">
      <c r="B5697" s="2" t="n"/>
      <c r="C5697" s="40" t="n"/>
      <c r="D5697" s="52">
        <f t="array" ref="D5697:W5697">IF(All_Students_Scores!C5695:V5695="","",All_Students_Scores!C5695:V5695)</f>
        <v/>
      </c>
      <c r="E5697" s="57" t="str"/>
      <c r="F5697" s="49" t="str"/>
      <c r="G5697" s="59" t="str"/>
      <c r="H5697" s="64" t="str"/>
      <c r="I5697" s="65" t="str"/>
      <c r="J5697" s="49" t="str"/>
      <c r="K5697" s="41" t="str"/>
      <c r="L5697" s="41" t="str"/>
      <c r="M5697" s="41" t="str"/>
      <c r="N5697" s="41" t="str"/>
      <c r="O5697" s="41" t="str"/>
      <c r="P5697" s="41" t="str"/>
      <c r="Q5697" s="41" t="str"/>
      <c r="R5697" s="41" t="str"/>
      <c r="S5697" s="41" t="str"/>
      <c r="T5697" s="41" t="str"/>
      <c r="U5697" s="41" t="str"/>
      <c r="V5697" s="41" t="str"/>
      <c r="W5697" s="41" t="str"/>
    </row>
    <row r="5698">
      <c r="B5698" s="2" t="n"/>
      <c r="C5698" s="40" t="n"/>
      <c r="D5698" s="52">
        <f t="array" ref="D5698:W5698">IF(All_Students_Scores!C5696:V5696="","",All_Students_Scores!C5696:V5696)</f>
        <v/>
      </c>
      <c r="E5698" s="57" t="str"/>
      <c r="F5698" s="49" t="str"/>
      <c r="G5698" s="59" t="str"/>
      <c r="H5698" s="64" t="str"/>
      <c r="I5698" s="65" t="str"/>
      <c r="J5698" s="49" t="str"/>
      <c r="K5698" s="41" t="str"/>
      <c r="L5698" s="41" t="str"/>
      <c r="M5698" s="41" t="str"/>
      <c r="N5698" s="41" t="str"/>
      <c r="O5698" s="41" t="str"/>
      <c r="P5698" s="41" t="str"/>
      <c r="Q5698" s="41" t="str"/>
      <c r="R5698" s="41" t="str"/>
      <c r="S5698" s="41" t="str"/>
      <c r="T5698" s="41" t="str"/>
      <c r="U5698" s="41" t="str"/>
      <c r="V5698" s="41" t="str"/>
      <c r="W5698" s="41" t="str"/>
    </row>
    <row r="5699">
      <c r="B5699" s="2" t="n"/>
      <c r="C5699" s="40" t="n"/>
      <c r="D5699" s="52">
        <f t="array" ref="D5699:W5699">IF(All_Students_Scores!C5697:V5697="","",All_Students_Scores!C5697:V5697)</f>
        <v/>
      </c>
      <c r="E5699" s="57" t="str"/>
      <c r="F5699" s="49" t="str"/>
      <c r="G5699" s="59" t="str"/>
      <c r="H5699" s="64" t="str"/>
      <c r="I5699" s="65" t="str"/>
      <c r="J5699" s="49" t="str"/>
      <c r="K5699" s="41" t="str"/>
      <c r="L5699" s="41" t="str"/>
      <c r="M5699" s="41" t="str"/>
      <c r="N5699" s="41" t="str"/>
      <c r="O5699" s="41" t="str"/>
      <c r="P5699" s="41" t="str"/>
      <c r="Q5699" s="41" t="str"/>
      <c r="R5699" s="41" t="str"/>
      <c r="S5699" s="41" t="str"/>
      <c r="T5699" s="41" t="str"/>
      <c r="U5699" s="41" t="str"/>
      <c r="V5699" s="41" t="str"/>
      <c r="W5699" s="41" t="str"/>
    </row>
    <row r="5700">
      <c r="B5700" s="2" t="n"/>
      <c r="C5700" s="40" t="n"/>
      <c r="D5700" s="52">
        <f t="array" ref="D5700:W5700">IF(All_Students_Scores!C5698:V5698="","",All_Students_Scores!C5698:V5698)</f>
        <v/>
      </c>
      <c r="E5700" s="57" t="str"/>
      <c r="F5700" s="49" t="str"/>
      <c r="G5700" s="59" t="str"/>
      <c r="H5700" s="64" t="str"/>
      <c r="I5700" s="65" t="str"/>
      <c r="J5700" s="49" t="str"/>
      <c r="K5700" s="41" t="str"/>
      <c r="L5700" s="41" t="str"/>
      <c r="M5700" s="41" t="str"/>
      <c r="N5700" s="41" t="str"/>
      <c r="O5700" s="41" t="str"/>
      <c r="P5700" s="41" t="str"/>
      <c r="Q5700" s="41" t="str"/>
      <c r="R5700" s="41" t="str"/>
      <c r="S5700" s="41" t="str"/>
      <c r="T5700" s="41" t="str"/>
      <c r="U5700" s="41" t="str"/>
      <c r="V5700" s="41" t="str"/>
      <c r="W5700" s="41" t="str"/>
    </row>
    <row r="5701">
      <c r="B5701" s="2" t="n"/>
      <c r="C5701" s="40" t="n"/>
      <c r="D5701" s="52">
        <f t="array" ref="D5701:W5701">IF(All_Students_Scores!C5699:V5699="","",All_Students_Scores!C5699:V5699)</f>
        <v/>
      </c>
      <c r="E5701" s="57" t="str"/>
      <c r="F5701" s="49" t="str"/>
      <c r="G5701" s="59" t="str"/>
      <c r="H5701" s="64" t="str"/>
      <c r="I5701" s="65" t="str"/>
      <c r="J5701" s="49" t="str"/>
      <c r="K5701" s="41" t="str"/>
      <c r="L5701" s="41" t="str"/>
      <c r="M5701" s="41" t="str"/>
      <c r="N5701" s="41" t="str"/>
      <c r="O5701" s="41" t="str"/>
      <c r="P5701" s="41" t="str"/>
      <c r="Q5701" s="41" t="str"/>
      <c r="R5701" s="41" t="str"/>
      <c r="S5701" s="41" t="str"/>
      <c r="T5701" s="41" t="str"/>
      <c r="U5701" s="41" t="str"/>
      <c r="V5701" s="41" t="str"/>
      <c r="W5701" s="41" t="str"/>
    </row>
    <row r="5702">
      <c r="B5702" s="2" t="n"/>
      <c r="C5702" s="40" t="n"/>
      <c r="D5702" s="52">
        <f t="array" ref="D5702:W5702">IF(All_Students_Scores!C5700:V5700="","",All_Students_Scores!C5700:V5700)</f>
        <v/>
      </c>
      <c r="E5702" s="57" t="str"/>
      <c r="F5702" s="49" t="str"/>
      <c r="G5702" s="59" t="str"/>
      <c r="H5702" s="64" t="str"/>
      <c r="I5702" s="65" t="str"/>
      <c r="J5702" s="49" t="str"/>
      <c r="K5702" s="41" t="str"/>
      <c r="L5702" s="41" t="str"/>
      <c r="M5702" s="41" t="str"/>
      <c r="N5702" s="41" t="str"/>
      <c r="O5702" s="41" t="str"/>
      <c r="P5702" s="41" t="str"/>
      <c r="Q5702" s="41" t="str"/>
      <c r="R5702" s="41" t="str"/>
      <c r="S5702" s="41" t="str"/>
      <c r="T5702" s="41" t="str"/>
      <c r="U5702" s="41" t="str"/>
      <c r="V5702" s="41" t="str"/>
      <c r="W5702" s="41" t="str"/>
    </row>
    <row r="5703">
      <c r="B5703" s="2" t="n"/>
      <c r="C5703" s="40" t="n"/>
      <c r="D5703" s="52">
        <f t="array" ref="D5703:W5703">IF(All_Students_Scores!C5701:V5701="","",All_Students_Scores!C5701:V5701)</f>
        <v/>
      </c>
      <c r="E5703" s="57" t="str"/>
      <c r="F5703" s="49" t="str"/>
      <c r="G5703" s="59" t="str"/>
      <c r="H5703" s="64" t="str"/>
      <c r="I5703" s="65" t="str"/>
      <c r="J5703" s="49" t="str"/>
      <c r="K5703" s="41" t="str"/>
      <c r="L5703" s="41" t="str"/>
      <c r="M5703" s="41" t="str"/>
      <c r="N5703" s="41" t="str"/>
      <c r="O5703" s="41" t="str"/>
      <c r="P5703" s="41" t="str"/>
      <c r="Q5703" s="41" t="str"/>
      <c r="R5703" s="41" t="str"/>
      <c r="S5703" s="41" t="str"/>
      <c r="T5703" s="41" t="str"/>
      <c r="U5703" s="41" t="str"/>
      <c r="V5703" s="41" t="str"/>
      <c r="W5703" s="41" t="str"/>
    </row>
    <row r="5704">
      <c r="B5704" s="2" t="n"/>
      <c r="C5704" s="40" t="n"/>
      <c r="D5704" s="52">
        <f t="array" ref="D5704:W5704">IF(All_Students_Scores!C5702:V5702="","",All_Students_Scores!C5702:V5702)</f>
        <v/>
      </c>
      <c r="E5704" s="57" t="str"/>
      <c r="F5704" s="49" t="str"/>
      <c r="G5704" s="59" t="str"/>
      <c r="H5704" s="64" t="str"/>
      <c r="I5704" s="65" t="str"/>
      <c r="J5704" s="49" t="str"/>
      <c r="K5704" s="41" t="str"/>
      <c r="L5704" s="41" t="str"/>
      <c r="M5704" s="41" t="str"/>
      <c r="N5704" s="41" t="str"/>
      <c r="O5704" s="41" t="str"/>
      <c r="P5704" s="41" t="str"/>
      <c r="Q5704" s="41" t="str"/>
      <c r="R5704" s="41" t="str"/>
      <c r="S5704" s="41" t="str"/>
      <c r="T5704" s="41" t="str"/>
      <c r="U5704" s="41" t="str"/>
      <c r="V5704" s="41" t="str"/>
      <c r="W5704" s="41" t="str"/>
    </row>
    <row r="5705">
      <c r="B5705" s="2" t="n"/>
      <c r="C5705" s="40" t="n"/>
      <c r="D5705" s="52">
        <f t="array" ref="D5705:W5705">IF(All_Students_Scores!C5703:V5703="","",All_Students_Scores!C5703:V5703)</f>
        <v/>
      </c>
      <c r="E5705" s="57" t="str"/>
      <c r="F5705" s="49" t="str"/>
      <c r="G5705" s="59" t="str"/>
      <c r="H5705" s="64" t="str"/>
      <c r="I5705" s="65" t="str"/>
      <c r="J5705" s="49" t="str"/>
      <c r="K5705" s="41" t="str"/>
      <c r="L5705" s="41" t="str"/>
      <c r="M5705" s="41" t="str"/>
      <c r="N5705" s="41" t="str"/>
      <c r="O5705" s="41" t="str"/>
      <c r="P5705" s="41" t="str"/>
      <c r="Q5705" s="41" t="str"/>
      <c r="R5705" s="41" t="str"/>
      <c r="S5705" s="41" t="str"/>
      <c r="T5705" s="41" t="str"/>
      <c r="U5705" s="41" t="str"/>
      <c r="V5705" s="41" t="str"/>
      <c r="W5705" s="41" t="str"/>
    </row>
    <row r="5706">
      <c r="B5706" s="2" t="n"/>
      <c r="C5706" s="40" t="n"/>
      <c r="D5706" s="52">
        <f t="array" ref="D5706:W5706">IF(All_Students_Scores!C5704:V5704="","",All_Students_Scores!C5704:V5704)</f>
        <v/>
      </c>
      <c r="E5706" s="57" t="str"/>
      <c r="F5706" s="49" t="str"/>
      <c r="G5706" s="59" t="str"/>
      <c r="H5706" s="64" t="str"/>
      <c r="I5706" s="65" t="str"/>
      <c r="J5706" s="49" t="str"/>
      <c r="K5706" s="41" t="str"/>
      <c r="L5706" s="41" t="str"/>
      <c r="M5706" s="41" t="str"/>
      <c r="N5706" s="41" t="str"/>
      <c r="O5706" s="41" t="str"/>
      <c r="P5706" s="41" t="str"/>
      <c r="Q5706" s="41" t="str"/>
      <c r="R5706" s="41" t="str"/>
      <c r="S5706" s="41" t="str"/>
      <c r="T5706" s="41" t="str"/>
      <c r="U5706" s="41" t="str"/>
      <c r="V5706" s="41" t="str"/>
      <c r="W5706" s="41" t="str"/>
    </row>
    <row r="5707">
      <c r="B5707" s="2" t="n"/>
      <c r="C5707" s="40" t="n"/>
      <c r="D5707" s="52">
        <f t="array" ref="D5707:W5707">IF(All_Students_Scores!C5705:V5705="","",All_Students_Scores!C5705:V5705)</f>
        <v/>
      </c>
      <c r="E5707" s="57" t="str"/>
      <c r="F5707" s="49" t="str"/>
      <c r="G5707" s="59" t="str"/>
      <c r="H5707" s="64" t="str"/>
      <c r="I5707" s="65" t="str"/>
      <c r="J5707" s="49" t="str"/>
      <c r="K5707" s="41" t="str"/>
      <c r="L5707" s="41" t="str"/>
      <c r="M5707" s="41" t="str"/>
      <c r="N5707" s="41" t="str"/>
      <c r="O5707" s="41" t="str"/>
      <c r="P5707" s="41" t="str"/>
      <c r="Q5707" s="41" t="str"/>
      <c r="R5707" s="41" t="str"/>
      <c r="S5707" s="41" t="str"/>
      <c r="T5707" s="41" t="str"/>
      <c r="U5707" s="41" t="str"/>
      <c r="V5707" s="41" t="str"/>
      <c r="W5707" s="41" t="str"/>
    </row>
    <row r="5708">
      <c r="B5708" s="2" t="n"/>
      <c r="C5708" s="40" t="n"/>
      <c r="D5708" s="52">
        <f t="array" ref="D5708:W5708">IF(All_Students_Scores!C5706:V5706="","",All_Students_Scores!C5706:V5706)</f>
        <v/>
      </c>
      <c r="E5708" s="57" t="str"/>
      <c r="F5708" s="49" t="str"/>
      <c r="G5708" s="59" t="str"/>
      <c r="H5708" s="64" t="str"/>
      <c r="I5708" s="65" t="str"/>
      <c r="J5708" s="49" t="str"/>
      <c r="K5708" s="41" t="str"/>
      <c r="L5708" s="41" t="str"/>
      <c r="M5708" s="41" t="str"/>
      <c r="N5708" s="41" t="str"/>
      <c r="O5708" s="41" t="str"/>
      <c r="P5708" s="41" t="str"/>
      <c r="Q5708" s="41" t="str"/>
      <c r="R5708" s="41" t="str"/>
      <c r="S5708" s="41" t="str"/>
      <c r="T5708" s="41" t="str"/>
      <c r="U5708" s="41" t="str"/>
      <c r="V5708" s="41" t="str"/>
      <c r="W5708" s="41" t="str"/>
    </row>
    <row r="5709">
      <c r="B5709" s="2" t="n"/>
      <c r="C5709" s="40" t="n"/>
      <c r="D5709" s="52">
        <f t="array" ref="D5709:W5709">IF(All_Students_Scores!C5707:V5707="","",All_Students_Scores!C5707:V5707)</f>
        <v/>
      </c>
      <c r="E5709" s="57" t="str"/>
      <c r="F5709" s="49" t="str"/>
      <c r="G5709" s="59" t="str"/>
      <c r="H5709" s="64" t="str"/>
      <c r="I5709" s="65" t="str"/>
      <c r="J5709" s="49" t="str"/>
      <c r="K5709" s="41" t="str"/>
      <c r="L5709" s="41" t="str"/>
      <c r="M5709" s="41" t="str"/>
      <c r="N5709" s="41" t="str"/>
      <c r="O5709" s="41" t="str"/>
      <c r="P5709" s="41" t="str"/>
      <c r="Q5709" s="41" t="str"/>
      <c r="R5709" s="41" t="str"/>
      <c r="S5709" s="41" t="str"/>
      <c r="T5709" s="41" t="str"/>
      <c r="U5709" s="41" t="str"/>
      <c r="V5709" s="41" t="str"/>
      <c r="W5709" s="41" t="str"/>
    </row>
    <row r="5710">
      <c r="B5710" s="2" t="n"/>
      <c r="C5710" s="40" t="n"/>
      <c r="D5710" s="52">
        <f t="array" ref="D5710:W5710">IF(All_Students_Scores!C5708:V5708="","",All_Students_Scores!C5708:V5708)</f>
        <v/>
      </c>
      <c r="E5710" s="57" t="str"/>
      <c r="F5710" s="49" t="str"/>
      <c r="G5710" s="59" t="str"/>
      <c r="H5710" s="64" t="str"/>
      <c r="I5710" s="65" t="str"/>
      <c r="J5710" s="49" t="str"/>
      <c r="K5710" s="41" t="str"/>
      <c r="L5710" s="41" t="str"/>
      <c r="M5710" s="41" t="str"/>
      <c r="N5710" s="41" t="str"/>
      <c r="O5710" s="41" t="str"/>
      <c r="P5710" s="41" t="str"/>
      <c r="Q5710" s="41" t="str"/>
      <c r="R5710" s="41" t="str"/>
      <c r="S5710" s="41" t="str"/>
      <c r="T5710" s="41" t="str"/>
      <c r="U5710" s="41" t="str"/>
      <c r="V5710" s="41" t="str"/>
      <c r="W5710" s="41" t="str"/>
    </row>
    <row r="5711">
      <c r="B5711" s="2" t="n"/>
      <c r="C5711" s="40" t="n"/>
      <c r="D5711" s="52">
        <f t="array" ref="D5711:W5711">IF(All_Students_Scores!C5709:V5709="","",All_Students_Scores!C5709:V5709)</f>
        <v/>
      </c>
      <c r="E5711" s="57" t="str"/>
      <c r="F5711" s="49" t="str"/>
      <c r="G5711" s="59" t="str"/>
      <c r="H5711" s="64" t="str"/>
      <c r="I5711" s="65" t="str"/>
      <c r="J5711" s="49" t="str"/>
      <c r="K5711" s="41" t="str"/>
      <c r="L5711" s="41" t="str"/>
      <c r="M5711" s="41" t="str"/>
      <c r="N5711" s="41" t="str"/>
      <c r="O5711" s="41" t="str"/>
      <c r="P5711" s="41" t="str"/>
      <c r="Q5711" s="41" t="str"/>
      <c r="R5711" s="41" t="str"/>
      <c r="S5711" s="41" t="str"/>
      <c r="T5711" s="41" t="str"/>
      <c r="U5711" s="41" t="str"/>
      <c r="V5711" s="41" t="str"/>
      <c r="W5711" s="41" t="str"/>
    </row>
    <row r="5712">
      <c r="B5712" s="2" t="n"/>
      <c r="C5712" s="40" t="n"/>
      <c r="D5712" s="52">
        <f t="array" ref="D5712:W5712">IF(All_Students_Scores!C5710:V5710="","",All_Students_Scores!C5710:V5710)</f>
        <v/>
      </c>
      <c r="E5712" s="57" t="str"/>
      <c r="F5712" s="49" t="str"/>
      <c r="G5712" s="59" t="str"/>
      <c r="H5712" s="64" t="str"/>
      <c r="I5712" s="65" t="str"/>
      <c r="J5712" s="49" t="str"/>
      <c r="K5712" s="41" t="str"/>
      <c r="L5712" s="41" t="str"/>
      <c r="M5712" s="41" t="str"/>
      <c r="N5712" s="41" t="str"/>
      <c r="O5712" s="41" t="str"/>
      <c r="P5712" s="41" t="str"/>
      <c r="Q5712" s="41" t="str"/>
      <c r="R5712" s="41" t="str"/>
      <c r="S5712" s="41" t="str"/>
      <c r="T5712" s="41" t="str"/>
      <c r="U5712" s="41" t="str"/>
      <c r="V5712" s="41" t="str"/>
      <c r="W5712" s="41" t="str"/>
    </row>
    <row r="5713">
      <c r="B5713" s="2" t="n"/>
      <c r="C5713" s="40" t="n"/>
      <c r="D5713" s="52">
        <f t="array" ref="D5713:W5713">IF(All_Students_Scores!C5711:V5711="","",All_Students_Scores!C5711:V5711)</f>
        <v/>
      </c>
      <c r="E5713" s="57" t="str"/>
      <c r="F5713" s="49" t="str"/>
      <c r="G5713" s="59" t="str"/>
      <c r="H5713" s="64" t="str"/>
      <c r="I5713" s="65" t="str"/>
      <c r="J5713" s="49" t="str"/>
      <c r="K5713" s="41" t="str"/>
      <c r="L5713" s="41" t="str"/>
      <c r="M5713" s="41" t="str"/>
      <c r="N5713" s="41" t="str"/>
      <c r="O5713" s="41" t="str"/>
      <c r="P5713" s="41" t="str"/>
      <c r="Q5713" s="41" t="str"/>
      <c r="R5713" s="41" t="str"/>
      <c r="S5713" s="41" t="str"/>
      <c r="T5713" s="41" t="str"/>
      <c r="U5713" s="41" t="str"/>
      <c r="V5713" s="41" t="str"/>
      <c r="W5713" s="41" t="str"/>
    </row>
    <row r="5714">
      <c r="B5714" s="2" t="n"/>
      <c r="C5714" s="40" t="n"/>
      <c r="D5714" s="52">
        <f t="array" ref="D5714:W5714">IF(All_Students_Scores!C5712:V5712="","",All_Students_Scores!C5712:V5712)</f>
        <v/>
      </c>
      <c r="E5714" s="57" t="str"/>
      <c r="F5714" s="49" t="str"/>
      <c r="G5714" s="59" t="str"/>
      <c r="H5714" s="64" t="str"/>
      <c r="I5714" s="65" t="str"/>
      <c r="J5714" s="49" t="str"/>
      <c r="K5714" s="41" t="str"/>
      <c r="L5714" s="41" t="str"/>
      <c r="M5714" s="41" t="str"/>
      <c r="N5714" s="41" t="str"/>
      <c r="O5714" s="41" t="str"/>
      <c r="P5714" s="41" t="str"/>
      <c r="Q5714" s="41" t="str"/>
      <c r="R5714" s="41" t="str"/>
      <c r="S5714" s="41" t="str"/>
      <c r="T5714" s="41" t="str"/>
      <c r="U5714" s="41" t="str"/>
      <c r="V5714" s="41" t="str"/>
      <c r="W5714" s="41" t="str"/>
    </row>
    <row r="5715">
      <c r="B5715" s="2" t="n"/>
      <c r="C5715" s="40" t="n"/>
      <c r="D5715" s="52">
        <f t="array" ref="D5715:W5715">IF(All_Students_Scores!C5713:V5713="","",All_Students_Scores!C5713:V5713)</f>
        <v/>
      </c>
      <c r="E5715" s="57" t="str"/>
      <c r="F5715" s="49" t="str"/>
      <c r="G5715" s="59" t="str"/>
      <c r="H5715" s="64" t="str"/>
      <c r="I5715" s="65" t="str"/>
      <c r="J5715" s="49" t="str"/>
      <c r="K5715" s="41" t="str"/>
      <c r="L5715" s="41" t="str"/>
      <c r="M5715" s="41" t="str"/>
      <c r="N5715" s="41" t="str"/>
      <c r="O5715" s="41" t="str"/>
      <c r="P5715" s="41" t="str"/>
      <c r="Q5715" s="41" t="str"/>
      <c r="R5715" s="41" t="str"/>
      <c r="S5715" s="41" t="str"/>
      <c r="T5715" s="41" t="str"/>
      <c r="U5715" s="41" t="str"/>
      <c r="V5715" s="41" t="str"/>
      <c r="W5715" s="41" t="str"/>
    </row>
    <row r="5716">
      <c r="B5716" s="2" t="n"/>
      <c r="C5716" s="40" t="n"/>
      <c r="D5716" s="52">
        <f t="array" ref="D5716:W5716">IF(All_Students_Scores!C5714:V5714="","",All_Students_Scores!C5714:V5714)</f>
        <v/>
      </c>
      <c r="E5716" s="57" t="str"/>
      <c r="F5716" s="49" t="str"/>
      <c r="G5716" s="59" t="str"/>
      <c r="H5716" s="64" t="str"/>
      <c r="I5716" s="65" t="str"/>
      <c r="J5716" s="49" t="str"/>
      <c r="K5716" s="41" t="str"/>
      <c r="L5716" s="41" t="str"/>
      <c r="M5716" s="41" t="str"/>
      <c r="N5716" s="41" t="str"/>
      <c r="O5716" s="41" t="str"/>
      <c r="P5716" s="41" t="str"/>
      <c r="Q5716" s="41" t="str"/>
      <c r="R5716" s="41" t="str"/>
      <c r="S5716" s="41" t="str"/>
      <c r="T5716" s="41" t="str"/>
      <c r="U5716" s="41" t="str"/>
      <c r="V5716" s="41" t="str"/>
      <c r="W5716" s="41" t="str"/>
    </row>
    <row r="5717">
      <c r="B5717" s="2" t="n"/>
      <c r="C5717" s="40" t="n"/>
      <c r="D5717" s="52">
        <f t="array" ref="D5717:W5717">IF(All_Students_Scores!C5715:V5715="","",All_Students_Scores!C5715:V5715)</f>
        <v/>
      </c>
      <c r="E5717" s="57" t="str"/>
      <c r="F5717" s="49" t="str"/>
      <c r="G5717" s="59" t="str"/>
      <c r="H5717" s="64" t="str"/>
      <c r="I5717" s="65" t="str"/>
      <c r="J5717" s="49" t="str"/>
      <c r="K5717" s="41" t="str"/>
      <c r="L5717" s="41" t="str"/>
      <c r="M5717" s="41" t="str"/>
      <c r="N5717" s="41" t="str"/>
      <c r="O5717" s="41" t="str"/>
      <c r="P5717" s="41" t="str"/>
      <c r="Q5717" s="41" t="str"/>
      <c r="R5717" s="41" t="str"/>
      <c r="S5717" s="41" t="str"/>
      <c r="T5717" s="41" t="str"/>
      <c r="U5717" s="41" t="str"/>
      <c r="V5717" s="41" t="str"/>
      <c r="W5717" s="41" t="str"/>
    </row>
    <row r="5718">
      <c r="B5718" s="2" t="n"/>
      <c r="C5718" s="40" t="n"/>
      <c r="D5718" s="52">
        <f t="array" ref="D5718:W5718">IF(All_Students_Scores!C5716:V5716="","",All_Students_Scores!C5716:V5716)</f>
        <v/>
      </c>
      <c r="E5718" s="57" t="str"/>
      <c r="F5718" s="49" t="str"/>
      <c r="G5718" s="59" t="str"/>
      <c r="H5718" s="64" t="str"/>
      <c r="I5718" s="65" t="str"/>
      <c r="J5718" s="49" t="str"/>
      <c r="K5718" s="41" t="str"/>
      <c r="L5718" s="41" t="str"/>
      <c r="M5718" s="41" t="str"/>
      <c r="N5718" s="41" t="str"/>
      <c r="O5718" s="41" t="str"/>
      <c r="P5718" s="41" t="str"/>
      <c r="Q5718" s="41" t="str"/>
      <c r="R5718" s="41" t="str"/>
      <c r="S5718" s="41" t="str"/>
      <c r="T5718" s="41" t="str"/>
      <c r="U5718" s="41" t="str"/>
      <c r="V5718" s="41" t="str"/>
      <c r="W5718" s="41" t="str"/>
    </row>
    <row r="5719">
      <c r="B5719" s="2" t="n"/>
      <c r="C5719" s="40" t="n"/>
      <c r="D5719" s="52">
        <f t="array" ref="D5719:W5719">IF(All_Students_Scores!C5717:V5717="","",All_Students_Scores!C5717:V5717)</f>
        <v/>
      </c>
      <c r="E5719" s="57" t="str"/>
      <c r="F5719" s="49" t="str"/>
      <c r="G5719" s="59" t="str"/>
      <c r="H5719" s="64" t="str"/>
      <c r="I5719" s="65" t="str"/>
      <c r="J5719" s="49" t="str"/>
      <c r="K5719" s="41" t="str"/>
      <c r="L5719" s="41" t="str"/>
      <c r="M5719" s="41" t="str"/>
      <c r="N5719" s="41" t="str"/>
      <c r="O5719" s="41" t="str"/>
      <c r="P5719" s="41" t="str"/>
      <c r="Q5719" s="41" t="str"/>
      <c r="R5719" s="41" t="str"/>
      <c r="S5719" s="41" t="str"/>
      <c r="T5719" s="41" t="str"/>
      <c r="U5719" s="41" t="str"/>
      <c r="V5719" s="41" t="str"/>
      <c r="W5719" s="41" t="str"/>
    </row>
    <row r="5720">
      <c r="B5720" s="2" t="n"/>
      <c r="C5720" s="40" t="n"/>
      <c r="D5720" s="52">
        <f t="array" ref="D5720:W5720">IF(All_Students_Scores!C5718:V5718="","",All_Students_Scores!C5718:V5718)</f>
        <v/>
      </c>
      <c r="E5720" s="57" t="str"/>
      <c r="F5720" s="49" t="str"/>
      <c r="G5720" s="59" t="str"/>
      <c r="H5720" s="64" t="str"/>
      <c r="I5720" s="65" t="str"/>
      <c r="J5720" s="49" t="str"/>
      <c r="K5720" s="41" t="str"/>
      <c r="L5720" s="41" t="str"/>
      <c r="M5720" s="41" t="str"/>
      <c r="N5720" s="41" t="str"/>
      <c r="O5720" s="41" t="str"/>
      <c r="P5720" s="41" t="str"/>
      <c r="Q5720" s="41" t="str"/>
      <c r="R5720" s="41" t="str"/>
      <c r="S5720" s="41" t="str"/>
      <c r="T5720" s="41" t="str"/>
      <c r="U5720" s="41" t="str"/>
      <c r="V5720" s="41" t="str"/>
      <c r="W5720" s="41" t="str"/>
    </row>
    <row r="5721">
      <c r="B5721" s="2" t="n"/>
      <c r="C5721" s="40" t="n"/>
      <c r="D5721" s="52">
        <f t="array" ref="D5721:W5721">IF(All_Students_Scores!C5719:V5719="","",All_Students_Scores!C5719:V5719)</f>
        <v/>
      </c>
      <c r="E5721" s="57" t="str"/>
      <c r="F5721" s="49" t="str"/>
      <c r="G5721" s="59" t="str"/>
      <c r="H5721" s="64" t="str"/>
      <c r="I5721" s="65" t="str"/>
      <c r="J5721" s="49" t="str"/>
      <c r="K5721" s="41" t="str"/>
      <c r="L5721" s="41" t="str"/>
      <c r="M5721" s="41" t="str"/>
      <c r="N5721" s="41" t="str"/>
      <c r="O5721" s="41" t="str"/>
      <c r="P5721" s="41" t="str"/>
      <c r="Q5721" s="41" t="str"/>
      <c r="R5721" s="41" t="str"/>
      <c r="S5721" s="41" t="str"/>
      <c r="T5721" s="41" t="str"/>
      <c r="U5721" s="41" t="str"/>
      <c r="V5721" s="41" t="str"/>
      <c r="W5721" s="41" t="str"/>
    </row>
    <row r="5722">
      <c r="B5722" s="2" t="n"/>
      <c r="C5722" s="40" t="n"/>
      <c r="D5722" s="52">
        <f t="array" ref="D5722:W5722">IF(All_Students_Scores!C5720:V5720="","",All_Students_Scores!C5720:V5720)</f>
        <v/>
      </c>
      <c r="E5722" s="57" t="str"/>
      <c r="F5722" s="49" t="str"/>
      <c r="G5722" s="59" t="str"/>
      <c r="H5722" s="64" t="str"/>
      <c r="I5722" s="65" t="str"/>
      <c r="J5722" s="49" t="str"/>
      <c r="K5722" s="41" t="str"/>
      <c r="L5722" s="41" t="str"/>
      <c r="M5722" s="41" t="str"/>
      <c r="N5722" s="41" t="str"/>
      <c r="O5722" s="41" t="str"/>
      <c r="P5722" s="41" t="str"/>
      <c r="Q5722" s="41" t="str"/>
      <c r="R5722" s="41" t="str"/>
      <c r="S5722" s="41" t="str"/>
      <c r="T5722" s="41" t="str"/>
      <c r="U5722" s="41" t="str"/>
      <c r="V5722" s="41" t="str"/>
      <c r="W5722" s="41" t="str"/>
    </row>
    <row r="5723">
      <c r="B5723" s="2" t="n"/>
      <c r="C5723" s="40" t="n"/>
      <c r="D5723" s="52">
        <f t="array" ref="D5723:W5723">IF(All_Students_Scores!C5721:V5721="","",All_Students_Scores!C5721:V5721)</f>
        <v/>
      </c>
      <c r="E5723" s="57" t="str"/>
      <c r="F5723" s="49" t="str"/>
      <c r="G5723" s="59" t="str"/>
      <c r="H5723" s="64" t="str"/>
      <c r="I5723" s="65" t="str"/>
      <c r="J5723" s="49" t="str"/>
      <c r="K5723" s="41" t="str"/>
      <c r="L5723" s="41" t="str"/>
      <c r="M5723" s="41" t="str"/>
      <c r="N5723" s="41" t="str"/>
      <c r="O5723" s="41" t="str"/>
      <c r="P5723" s="41" t="str"/>
      <c r="Q5723" s="41" t="str"/>
      <c r="R5723" s="41" t="str"/>
      <c r="S5723" s="41" t="str"/>
      <c r="T5723" s="41" t="str"/>
      <c r="U5723" s="41" t="str"/>
      <c r="V5723" s="41" t="str"/>
      <c r="W5723" s="41" t="str"/>
    </row>
    <row r="5724">
      <c r="B5724" s="2" t="n"/>
      <c r="C5724" s="40" t="n"/>
      <c r="D5724" s="52">
        <f t="array" ref="D5724:W5724">IF(All_Students_Scores!C5722:V5722="","",All_Students_Scores!C5722:V5722)</f>
        <v/>
      </c>
      <c r="E5724" s="57" t="str"/>
      <c r="F5724" s="49" t="str"/>
      <c r="G5724" s="59" t="str"/>
      <c r="H5724" s="64" t="str"/>
      <c r="I5724" s="65" t="str"/>
      <c r="J5724" s="49" t="str"/>
      <c r="K5724" s="41" t="str"/>
      <c r="L5724" s="41" t="str"/>
      <c r="M5724" s="41" t="str"/>
      <c r="N5724" s="41" t="str"/>
      <c r="O5724" s="41" t="str"/>
      <c r="P5724" s="41" t="str"/>
      <c r="Q5724" s="41" t="str"/>
      <c r="R5724" s="41" t="str"/>
      <c r="S5724" s="41" t="str"/>
      <c r="T5724" s="41" t="str"/>
      <c r="U5724" s="41" t="str"/>
      <c r="V5724" s="41" t="str"/>
      <c r="W5724" s="41" t="str"/>
    </row>
    <row r="5725">
      <c r="B5725" s="2" t="n"/>
      <c r="C5725" s="40" t="n"/>
      <c r="D5725" s="52">
        <f t="array" ref="D5725:W5725">IF(All_Students_Scores!C5723:V5723="","",All_Students_Scores!C5723:V5723)</f>
        <v/>
      </c>
      <c r="E5725" s="57" t="str"/>
      <c r="F5725" s="49" t="str"/>
      <c r="G5725" s="59" t="str"/>
      <c r="H5725" s="64" t="str"/>
      <c r="I5725" s="65" t="str"/>
      <c r="J5725" s="49" t="str"/>
      <c r="K5725" s="41" t="str"/>
      <c r="L5725" s="41" t="str"/>
      <c r="M5725" s="41" t="str"/>
      <c r="N5725" s="41" t="str"/>
      <c r="O5725" s="41" t="str"/>
      <c r="P5725" s="41" t="str"/>
      <c r="Q5725" s="41" t="str"/>
      <c r="R5725" s="41" t="str"/>
      <c r="S5725" s="41" t="str"/>
      <c r="T5725" s="41" t="str"/>
      <c r="U5725" s="41" t="str"/>
      <c r="V5725" s="41" t="str"/>
      <c r="W5725" s="41" t="str"/>
    </row>
    <row r="5726">
      <c r="B5726" s="2" t="n"/>
      <c r="C5726" s="40" t="n"/>
      <c r="D5726" s="52">
        <f t="array" ref="D5726:W5726">IF(All_Students_Scores!C5724:V5724="","",All_Students_Scores!C5724:V5724)</f>
        <v/>
      </c>
      <c r="E5726" s="57" t="str"/>
      <c r="F5726" s="49" t="str"/>
      <c r="G5726" s="59" t="str"/>
      <c r="H5726" s="64" t="str"/>
      <c r="I5726" s="65" t="str"/>
      <c r="J5726" s="49" t="str"/>
      <c r="K5726" s="41" t="str"/>
      <c r="L5726" s="41" t="str"/>
      <c r="M5726" s="41" t="str"/>
      <c r="N5726" s="41" t="str"/>
      <c r="O5726" s="41" t="str"/>
      <c r="P5726" s="41" t="str"/>
      <c r="Q5726" s="41" t="str"/>
      <c r="R5726" s="41" t="str"/>
      <c r="S5726" s="41" t="str"/>
      <c r="T5726" s="41" t="str"/>
      <c r="U5726" s="41" t="str"/>
      <c r="V5726" s="41" t="str"/>
      <c r="W5726" s="41" t="str"/>
    </row>
    <row r="5727">
      <c r="B5727" s="2" t="n"/>
      <c r="C5727" s="40" t="n"/>
      <c r="D5727" s="52">
        <f t="array" ref="D5727:W5727">IF(All_Students_Scores!C5725:V5725="","",All_Students_Scores!C5725:V5725)</f>
        <v/>
      </c>
      <c r="E5727" s="57" t="str"/>
      <c r="F5727" s="49" t="str"/>
      <c r="G5727" s="59" t="str"/>
      <c r="H5727" s="64" t="str"/>
      <c r="I5727" s="65" t="str"/>
      <c r="J5727" s="49" t="str"/>
      <c r="K5727" s="41" t="str"/>
      <c r="L5727" s="41" t="str"/>
      <c r="M5727" s="41" t="str"/>
      <c r="N5727" s="41" t="str"/>
      <c r="O5727" s="41" t="str"/>
      <c r="P5727" s="41" t="str"/>
      <c r="Q5727" s="41" t="str"/>
      <c r="R5727" s="41" t="str"/>
      <c r="S5727" s="41" t="str"/>
      <c r="T5727" s="41" t="str"/>
      <c r="U5727" s="41" t="str"/>
      <c r="V5727" s="41" t="str"/>
      <c r="W5727" s="41" t="str"/>
    </row>
    <row r="5728">
      <c r="B5728" s="2" t="n"/>
      <c r="C5728" s="40" t="n"/>
      <c r="D5728" s="52">
        <f t="array" ref="D5728:W5728">IF(All_Students_Scores!C5726:V5726="","",All_Students_Scores!C5726:V5726)</f>
        <v/>
      </c>
      <c r="E5728" s="57" t="str"/>
      <c r="F5728" s="49" t="str"/>
      <c r="G5728" s="59" t="str"/>
      <c r="H5728" s="64" t="str"/>
      <c r="I5728" s="65" t="str"/>
      <c r="J5728" s="49" t="str"/>
      <c r="K5728" s="41" t="str"/>
      <c r="L5728" s="41" t="str"/>
      <c r="M5728" s="41" t="str"/>
      <c r="N5728" s="41" t="str"/>
      <c r="O5728" s="41" t="str"/>
      <c r="P5728" s="41" t="str"/>
      <c r="Q5728" s="41" t="str"/>
      <c r="R5728" s="41" t="str"/>
      <c r="S5728" s="41" t="str"/>
      <c r="T5728" s="41" t="str"/>
      <c r="U5728" s="41" t="str"/>
      <c r="V5728" s="41" t="str"/>
      <c r="W5728" s="41" t="str"/>
    </row>
    <row r="5729">
      <c r="B5729" s="2" t="n"/>
      <c r="C5729" s="40" t="n"/>
      <c r="D5729" s="52">
        <f t="array" ref="D5729:W5729">IF(All_Students_Scores!C5727:V5727="","",All_Students_Scores!C5727:V5727)</f>
        <v/>
      </c>
      <c r="E5729" s="57" t="str"/>
      <c r="F5729" s="49" t="str"/>
      <c r="G5729" s="59" t="str"/>
      <c r="H5729" s="64" t="str"/>
      <c r="I5729" s="65" t="str"/>
      <c r="J5729" s="49" t="str"/>
      <c r="K5729" s="41" t="str"/>
      <c r="L5729" s="41" t="str"/>
      <c r="M5729" s="41" t="str"/>
      <c r="N5729" s="41" t="str"/>
      <c r="O5729" s="41" t="str"/>
      <c r="P5729" s="41" t="str"/>
      <c r="Q5729" s="41" t="str"/>
      <c r="R5729" s="41" t="str"/>
      <c r="S5729" s="41" t="str"/>
      <c r="T5729" s="41" t="str"/>
      <c r="U5729" s="41" t="str"/>
      <c r="V5729" s="41" t="str"/>
      <c r="W5729" s="41" t="str"/>
    </row>
    <row r="5730">
      <c r="B5730" s="2" t="n"/>
      <c r="C5730" s="40" t="n"/>
      <c r="D5730" s="52">
        <f t="array" ref="D5730:W5730">IF(All_Students_Scores!C5728:V5728="","",All_Students_Scores!C5728:V5728)</f>
        <v/>
      </c>
      <c r="E5730" s="57" t="str"/>
      <c r="F5730" s="49" t="str"/>
      <c r="G5730" s="59" t="str"/>
      <c r="H5730" s="64" t="str"/>
      <c r="I5730" s="65" t="str"/>
      <c r="J5730" s="49" t="str"/>
      <c r="K5730" s="41" t="str"/>
      <c r="L5730" s="41" t="str"/>
      <c r="M5730" s="41" t="str"/>
      <c r="N5730" s="41" t="str"/>
      <c r="O5730" s="41" t="str"/>
      <c r="P5730" s="41" t="str"/>
      <c r="Q5730" s="41" t="str"/>
      <c r="R5730" s="41" t="str"/>
      <c r="S5730" s="41" t="str"/>
      <c r="T5730" s="41" t="str"/>
      <c r="U5730" s="41" t="str"/>
      <c r="V5730" s="41" t="str"/>
      <c r="W5730" s="41" t="str"/>
    </row>
    <row r="5731">
      <c r="B5731" s="2" t="n"/>
      <c r="C5731" s="40" t="n"/>
      <c r="D5731" s="52">
        <f t="array" ref="D5731:W5731">IF(All_Students_Scores!C5729:V5729="","",All_Students_Scores!C5729:V5729)</f>
        <v/>
      </c>
      <c r="E5731" s="57" t="str"/>
      <c r="F5731" s="49" t="str"/>
      <c r="G5731" s="59" t="str"/>
      <c r="H5731" s="64" t="str"/>
      <c r="I5731" s="65" t="str"/>
      <c r="J5731" s="49" t="str"/>
      <c r="K5731" s="41" t="str"/>
      <c r="L5731" s="41" t="str"/>
      <c r="M5731" s="41" t="str"/>
      <c r="N5731" s="41" t="str"/>
      <c r="O5731" s="41" t="str"/>
      <c r="P5731" s="41" t="str"/>
      <c r="Q5731" s="41" t="str"/>
      <c r="R5731" s="41" t="str"/>
      <c r="S5731" s="41" t="str"/>
      <c r="T5731" s="41" t="str"/>
      <c r="U5731" s="41" t="str"/>
      <c r="V5731" s="41" t="str"/>
      <c r="W5731" s="41" t="str"/>
    </row>
    <row r="5732">
      <c r="B5732" s="2" t="n"/>
      <c r="C5732" s="40" t="n"/>
      <c r="D5732" s="52">
        <f t="array" ref="D5732:W5732">IF(All_Students_Scores!C5730:V5730="","",All_Students_Scores!C5730:V5730)</f>
        <v/>
      </c>
      <c r="E5732" s="57" t="str"/>
      <c r="F5732" s="49" t="str"/>
      <c r="G5732" s="59" t="str"/>
      <c r="H5732" s="64" t="str"/>
      <c r="I5732" s="65" t="str"/>
      <c r="J5732" s="49" t="str"/>
      <c r="K5732" s="41" t="str"/>
      <c r="L5732" s="41" t="str"/>
      <c r="M5732" s="41" t="str"/>
      <c r="N5732" s="41" t="str"/>
      <c r="O5732" s="41" t="str"/>
      <c r="P5732" s="41" t="str"/>
      <c r="Q5732" s="41" t="str"/>
      <c r="R5732" s="41" t="str"/>
      <c r="S5732" s="41" t="str"/>
      <c r="T5732" s="41" t="str"/>
      <c r="U5732" s="41" t="str"/>
      <c r="V5732" s="41" t="str"/>
      <c r="W5732" s="41" t="str"/>
    </row>
    <row r="5733">
      <c r="B5733" s="2" t="n"/>
      <c r="C5733" s="40" t="n"/>
      <c r="D5733" s="52">
        <f t="array" ref="D5733:W5733">IF(All_Students_Scores!C5731:V5731="","",All_Students_Scores!C5731:V5731)</f>
        <v/>
      </c>
      <c r="E5733" s="57" t="str"/>
      <c r="F5733" s="49" t="str"/>
      <c r="G5733" s="59" t="str"/>
      <c r="H5733" s="64" t="str"/>
      <c r="I5733" s="65" t="str"/>
      <c r="J5733" s="49" t="str"/>
      <c r="K5733" s="41" t="str"/>
      <c r="L5733" s="41" t="str"/>
      <c r="M5733" s="41" t="str"/>
      <c r="N5733" s="41" t="str"/>
      <c r="O5733" s="41" t="str"/>
      <c r="P5733" s="41" t="str"/>
      <c r="Q5733" s="41" t="str"/>
      <c r="R5733" s="41" t="str"/>
      <c r="S5733" s="41" t="str"/>
      <c r="T5733" s="41" t="str"/>
      <c r="U5733" s="41" t="str"/>
      <c r="V5733" s="41" t="str"/>
      <c r="W5733" s="41" t="str"/>
    </row>
    <row r="5734">
      <c r="B5734" s="2" t="n"/>
      <c r="C5734" s="40" t="n"/>
      <c r="D5734" s="52">
        <f t="array" ref="D5734:W5734">IF(All_Students_Scores!C5732:V5732="","",All_Students_Scores!C5732:V5732)</f>
        <v/>
      </c>
      <c r="E5734" s="57" t="str"/>
      <c r="F5734" s="49" t="str"/>
      <c r="G5734" s="59" t="str"/>
      <c r="H5734" s="64" t="str"/>
      <c r="I5734" s="65" t="str"/>
      <c r="J5734" s="49" t="str"/>
      <c r="K5734" s="41" t="str"/>
      <c r="L5734" s="41" t="str"/>
      <c r="M5734" s="41" t="str"/>
      <c r="N5734" s="41" t="str"/>
      <c r="O5734" s="41" t="str"/>
      <c r="P5734" s="41" t="str"/>
      <c r="Q5734" s="41" t="str"/>
      <c r="R5734" s="41" t="str"/>
      <c r="S5734" s="41" t="str"/>
      <c r="T5734" s="41" t="str"/>
      <c r="U5734" s="41" t="str"/>
      <c r="V5734" s="41" t="str"/>
      <c r="W5734" s="41" t="str"/>
    </row>
    <row r="5735">
      <c r="B5735" s="2" t="n"/>
      <c r="C5735" s="40" t="n"/>
      <c r="D5735" s="52">
        <f t="array" ref="D5735:W5735">IF(All_Students_Scores!C5733:V5733="","",All_Students_Scores!C5733:V5733)</f>
        <v/>
      </c>
      <c r="E5735" s="57" t="str"/>
      <c r="F5735" s="49" t="str"/>
      <c r="G5735" s="59" t="str"/>
      <c r="H5735" s="64" t="str"/>
      <c r="I5735" s="65" t="str"/>
      <c r="J5735" s="49" t="str"/>
      <c r="K5735" s="41" t="str"/>
      <c r="L5735" s="41" t="str"/>
      <c r="M5735" s="41" t="str"/>
      <c r="N5735" s="41" t="str"/>
      <c r="O5735" s="41" t="str"/>
      <c r="P5735" s="41" t="str"/>
      <c r="Q5735" s="41" t="str"/>
      <c r="R5735" s="41" t="str"/>
      <c r="S5735" s="41" t="str"/>
      <c r="T5735" s="41" t="str"/>
      <c r="U5735" s="41" t="str"/>
      <c r="V5735" s="41" t="str"/>
      <c r="W5735" s="41" t="str"/>
    </row>
    <row r="5736">
      <c r="B5736" s="2" t="n"/>
      <c r="C5736" s="40" t="n"/>
      <c r="D5736" s="52">
        <f t="array" ref="D5736:W5736">IF(All_Students_Scores!C5734:V5734="","",All_Students_Scores!C5734:V5734)</f>
        <v/>
      </c>
      <c r="E5736" s="57" t="str"/>
      <c r="F5736" s="49" t="str"/>
      <c r="G5736" s="59" t="str"/>
      <c r="H5736" s="64" t="str"/>
      <c r="I5736" s="65" t="str"/>
      <c r="J5736" s="49" t="str"/>
      <c r="K5736" s="41" t="str"/>
      <c r="L5736" s="41" t="str"/>
      <c r="M5736" s="41" t="str"/>
      <c r="N5736" s="41" t="str"/>
      <c r="O5736" s="41" t="str"/>
      <c r="P5736" s="41" t="str"/>
      <c r="Q5736" s="41" t="str"/>
      <c r="R5736" s="41" t="str"/>
      <c r="S5736" s="41" t="str"/>
      <c r="T5736" s="41" t="str"/>
      <c r="U5736" s="41" t="str"/>
      <c r="V5736" s="41" t="str"/>
      <c r="W5736" s="41" t="str"/>
    </row>
    <row r="5737">
      <c r="B5737" s="2" t="n"/>
      <c r="C5737" s="40" t="n"/>
      <c r="D5737" s="52">
        <f t="array" ref="D5737:W5737">IF(All_Students_Scores!C5735:V5735="","",All_Students_Scores!C5735:V5735)</f>
        <v/>
      </c>
      <c r="E5737" s="57" t="str"/>
      <c r="F5737" s="49" t="str"/>
      <c r="G5737" s="59" t="str"/>
      <c r="H5737" s="64" t="str"/>
      <c r="I5737" s="65" t="str"/>
      <c r="J5737" s="49" t="str"/>
      <c r="K5737" s="41" t="str"/>
      <c r="L5737" s="41" t="str"/>
      <c r="M5737" s="41" t="str"/>
      <c r="N5737" s="41" t="str"/>
      <c r="O5737" s="41" t="str"/>
      <c r="P5737" s="41" t="str"/>
      <c r="Q5737" s="41" t="str"/>
      <c r="R5737" s="41" t="str"/>
      <c r="S5737" s="41" t="str"/>
      <c r="T5737" s="41" t="str"/>
      <c r="U5737" s="41" t="str"/>
      <c r="V5737" s="41" t="str"/>
      <c r="W5737" s="41" t="str"/>
    </row>
    <row r="5738">
      <c r="B5738" s="2" t="n"/>
      <c r="C5738" s="40" t="n"/>
      <c r="D5738" s="52">
        <f t="array" ref="D5738:W5738">IF(All_Students_Scores!C5736:V5736="","",All_Students_Scores!C5736:V5736)</f>
        <v/>
      </c>
      <c r="E5738" s="57" t="str"/>
      <c r="F5738" s="49" t="str"/>
      <c r="G5738" s="59" t="str"/>
      <c r="H5738" s="64" t="str"/>
      <c r="I5738" s="65" t="str"/>
      <c r="J5738" s="49" t="str"/>
      <c r="K5738" s="41" t="str"/>
      <c r="L5738" s="41" t="str"/>
      <c r="M5738" s="41" t="str"/>
      <c r="N5738" s="41" t="str"/>
      <c r="O5738" s="41" t="str"/>
      <c r="P5738" s="41" t="str"/>
      <c r="Q5738" s="41" t="str"/>
      <c r="R5738" s="41" t="str"/>
      <c r="S5738" s="41" t="str"/>
      <c r="T5738" s="41" t="str"/>
      <c r="U5738" s="41" t="str"/>
      <c r="V5738" s="41" t="str"/>
      <c r="W5738" s="41" t="str"/>
    </row>
    <row r="5739">
      <c r="B5739" s="2" t="n"/>
      <c r="C5739" s="40" t="n"/>
      <c r="D5739" s="52">
        <f t="array" ref="D5739:W5739">IF(All_Students_Scores!C5737:V5737="","",All_Students_Scores!C5737:V5737)</f>
        <v/>
      </c>
      <c r="E5739" s="57" t="str"/>
      <c r="F5739" s="49" t="str"/>
      <c r="G5739" s="59" t="str"/>
      <c r="H5739" s="64" t="str"/>
      <c r="I5739" s="65" t="str"/>
      <c r="J5739" s="49" t="str"/>
      <c r="K5739" s="41" t="str"/>
      <c r="L5739" s="41" t="str"/>
      <c r="M5739" s="41" t="str"/>
      <c r="N5739" s="41" t="str"/>
      <c r="O5739" s="41" t="str"/>
      <c r="P5739" s="41" t="str"/>
      <c r="Q5739" s="41" t="str"/>
      <c r="R5739" s="41" t="str"/>
      <c r="S5739" s="41" t="str"/>
      <c r="T5739" s="41" t="str"/>
      <c r="U5739" s="41" t="str"/>
      <c r="V5739" s="41" t="str"/>
      <c r="W5739" s="41" t="str"/>
    </row>
    <row r="5740">
      <c r="B5740" s="2" t="n"/>
      <c r="C5740" s="40" t="n"/>
      <c r="D5740" s="52">
        <f t="array" ref="D5740:W5740">IF(All_Students_Scores!C5738:V5738="","",All_Students_Scores!C5738:V5738)</f>
        <v/>
      </c>
      <c r="E5740" s="57" t="str"/>
      <c r="F5740" s="49" t="str"/>
      <c r="G5740" s="59" t="str"/>
      <c r="H5740" s="64" t="str"/>
      <c r="I5740" s="65" t="str"/>
      <c r="J5740" s="49" t="str"/>
      <c r="K5740" s="41" t="str"/>
      <c r="L5740" s="41" t="str"/>
      <c r="M5740" s="41" t="str"/>
      <c r="N5740" s="41" t="str"/>
      <c r="O5740" s="41" t="str"/>
      <c r="P5740" s="41" t="str"/>
      <c r="Q5740" s="41" t="str"/>
      <c r="R5740" s="41" t="str"/>
      <c r="S5740" s="41" t="str"/>
      <c r="T5740" s="41" t="str"/>
      <c r="U5740" s="41" t="str"/>
      <c r="V5740" s="41" t="str"/>
      <c r="W5740" s="41" t="str"/>
    </row>
    <row r="5741">
      <c r="B5741" s="2" t="n"/>
      <c r="C5741" s="40" t="n"/>
      <c r="D5741" s="52">
        <f t="array" ref="D5741:W5741">IF(All_Students_Scores!C5739:V5739="","",All_Students_Scores!C5739:V5739)</f>
        <v/>
      </c>
      <c r="E5741" s="57" t="str"/>
      <c r="F5741" s="49" t="str"/>
      <c r="G5741" s="59" t="str"/>
      <c r="H5741" s="64" t="str"/>
      <c r="I5741" s="65" t="str"/>
      <c r="J5741" s="49" t="str"/>
      <c r="K5741" s="41" t="str"/>
      <c r="L5741" s="41" t="str"/>
      <c r="M5741" s="41" t="str"/>
      <c r="N5741" s="41" t="str"/>
      <c r="O5741" s="41" t="str"/>
      <c r="P5741" s="41" t="str"/>
      <c r="Q5741" s="41" t="str"/>
      <c r="R5741" s="41" t="str"/>
      <c r="S5741" s="41" t="str"/>
      <c r="T5741" s="41" t="str"/>
      <c r="U5741" s="41" t="str"/>
      <c r="V5741" s="41" t="str"/>
      <c r="W5741" s="41" t="str"/>
    </row>
    <row r="5742">
      <c r="B5742" s="2" t="n"/>
      <c r="C5742" s="40" t="n"/>
      <c r="D5742" s="52">
        <f t="array" ref="D5742:W5742">IF(All_Students_Scores!C5740:V5740="","",All_Students_Scores!C5740:V5740)</f>
        <v/>
      </c>
      <c r="E5742" s="57" t="str"/>
      <c r="F5742" s="49" t="str"/>
      <c r="G5742" s="59" t="str"/>
      <c r="H5742" s="64" t="str"/>
      <c r="I5742" s="65" t="str"/>
      <c r="J5742" s="49" t="str"/>
      <c r="K5742" s="41" t="str"/>
      <c r="L5742" s="41" t="str"/>
      <c r="M5742" s="41" t="str"/>
      <c r="N5742" s="41" t="str"/>
      <c r="O5742" s="41" t="str"/>
      <c r="P5742" s="41" t="str"/>
      <c r="Q5742" s="41" t="str"/>
      <c r="R5742" s="41" t="str"/>
      <c r="S5742" s="41" t="str"/>
      <c r="T5742" s="41" t="str"/>
      <c r="U5742" s="41" t="str"/>
      <c r="V5742" s="41" t="str"/>
      <c r="W5742" s="41" t="str"/>
    </row>
    <row r="5743">
      <c r="B5743" s="2" t="n"/>
      <c r="C5743" s="40" t="n"/>
      <c r="D5743" s="52">
        <f t="array" ref="D5743:W5743">IF(All_Students_Scores!C5741:V5741="","",All_Students_Scores!C5741:V5741)</f>
        <v/>
      </c>
      <c r="E5743" s="57" t="str"/>
      <c r="F5743" s="49" t="str"/>
      <c r="G5743" s="59" t="str"/>
      <c r="H5743" s="64" t="str"/>
      <c r="I5743" s="65" t="str"/>
      <c r="J5743" s="49" t="str"/>
      <c r="K5743" s="41" t="str"/>
      <c r="L5743" s="41" t="str"/>
      <c r="M5743" s="41" t="str"/>
      <c r="N5743" s="41" t="str"/>
      <c r="O5743" s="41" t="str"/>
      <c r="P5743" s="41" t="str"/>
      <c r="Q5743" s="41" t="str"/>
      <c r="R5743" s="41" t="str"/>
      <c r="S5743" s="41" t="str"/>
      <c r="T5743" s="41" t="str"/>
      <c r="U5743" s="41" t="str"/>
      <c r="V5743" s="41" t="str"/>
      <c r="W5743" s="41" t="str"/>
    </row>
    <row r="5744">
      <c r="B5744" s="2" t="n"/>
      <c r="C5744" s="40" t="n"/>
      <c r="D5744" s="52">
        <f t="array" ref="D5744:W5744">IF(All_Students_Scores!C5742:V5742="","",All_Students_Scores!C5742:V5742)</f>
        <v/>
      </c>
      <c r="E5744" s="57" t="str"/>
      <c r="F5744" s="49" t="str"/>
      <c r="G5744" s="59" t="str"/>
      <c r="H5744" s="64" t="str"/>
      <c r="I5744" s="65" t="str"/>
      <c r="J5744" s="49" t="str"/>
      <c r="K5744" s="41" t="str"/>
      <c r="L5744" s="41" t="str"/>
      <c r="M5744" s="41" t="str"/>
      <c r="N5744" s="41" t="str"/>
      <c r="O5744" s="41" t="str"/>
      <c r="P5744" s="41" t="str"/>
      <c r="Q5744" s="41" t="str"/>
      <c r="R5744" s="41" t="str"/>
      <c r="S5744" s="41" t="str"/>
      <c r="T5744" s="41" t="str"/>
      <c r="U5744" s="41" t="str"/>
      <c r="V5744" s="41" t="str"/>
      <c r="W5744" s="41" t="str"/>
    </row>
    <row r="5745">
      <c r="B5745" s="2" t="n"/>
      <c r="C5745" s="40" t="n"/>
      <c r="D5745" s="52">
        <f t="array" ref="D5745:W5745">IF(All_Students_Scores!C5743:V5743="","",All_Students_Scores!C5743:V5743)</f>
        <v/>
      </c>
      <c r="E5745" s="57" t="str"/>
      <c r="F5745" s="49" t="str"/>
      <c r="G5745" s="59" t="str"/>
      <c r="H5745" s="64" t="str"/>
      <c r="I5745" s="65" t="str"/>
      <c r="J5745" s="49" t="str"/>
      <c r="K5745" s="41" t="str"/>
      <c r="L5745" s="41" t="str"/>
      <c r="M5745" s="41" t="str"/>
      <c r="N5745" s="41" t="str"/>
      <c r="O5745" s="41" t="str"/>
      <c r="P5745" s="41" t="str"/>
      <c r="Q5745" s="41" t="str"/>
      <c r="R5745" s="41" t="str"/>
      <c r="S5745" s="41" t="str"/>
      <c r="T5745" s="41" t="str"/>
      <c r="U5745" s="41" t="str"/>
      <c r="V5745" s="41" t="str"/>
      <c r="W5745" s="41" t="str"/>
    </row>
    <row r="5746">
      <c r="B5746" s="2" t="n"/>
      <c r="C5746" s="40" t="n"/>
      <c r="D5746" s="52">
        <f t="array" ref="D5746:W5746">IF(All_Students_Scores!C5744:V5744="","",All_Students_Scores!C5744:V5744)</f>
        <v/>
      </c>
      <c r="E5746" s="57" t="str"/>
      <c r="F5746" s="49" t="str"/>
      <c r="G5746" s="59" t="str"/>
      <c r="H5746" s="64" t="str"/>
      <c r="I5746" s="65" t="str"/>
      <c r="J5746" s="49" t="str"/>
      <c r="K5746" s="41" t="str"/>
      <c r="L5746" s="41" t="str"/>
      <c r="M5746" s="41" t="str"/>
      <c r="N5746" s="41" t="str"/>
      <c r="O5746" s="41" t="str"/>
      <c r="P5746" s="41" t="str"/>
      <c r="Q5746" s="41" t="str"/>
      <c r="R5746" s="41" t="str"/>
      <c r="S5746" s="41" t="str"/>
      <c r="T5746" s="41" t="str"/>
      <c r="U5746" s="41" t="str"/>
      <c r="V5746" s="41" t="str"/>
      <c r="W5746" s="41" t="str"/>
    </row>
    <row r="5747">
      <c r="B5747" s="2" t="n"/>
      <c r="C5747" s="40" t="n"/>
      <c r="D5747" s="52">
        <f t="array" ref="D5747:W5747">IF(All_Students_Scores!C5745:V5745="","",All_Students_Scores!C5745:V5745)</f>
        <v/>
      </c>
      <c r="E5747" s="57" t="str"/>
      <c r="F5747" s="49" t="str"/>
      <c r="G5747" s="59" t="str"/>
      <c r="H5747" s="64" t="str"/>
      <c r="I5747" s="65" t="str"/>
      <c r="J5747" s="49" t="str"/>
      <c r="K5747" s="41" t="str"/>
      <c r="L5747" s="41" t="str"/>
      <c r="M5747" s="41" t="str"/>
      <c r="N5747" s="41" t="str"/>
      <c r="O5747" s="41" t="str"/>
      <c r="P5747" s="41" t="str"/>
      <c r="Q5747" s="41" t="str"/>
      <c r="R5747" s="41" t="str"/>
      <c r="S5747" s="41" t="str"/>
      <c r="T5747" s="41" t="str"/>
      <c r="U5747" s="41" t="str"/>
      <c r="V5747" s="41" t="str"/>
      <c r="W5747" s="41" t="str"/>
    </row>
    <row r="5748">
      <c r="B5748" s="2" t="n"/>
      <c r="C5748" s="40" t="n"/>
      <c r="D5748" s="52">
        <f t="array" ref="D5748:W5748">IF(All_Students_Scores!C5746:V5746="","",All_Students_Scores!C5746:V5746)</f>
        <v/>
      </c>
      <c r="E5748" s="57" t="str"/>
      <c r="F5748" s="49" t="str"/>
      <c r="G5748" s="59" t="str"/>
      <c r="H5748" s="64" t="str"/>
      <c r="I5748" s="65" t="str"/>
      <c r="J5748" s="49" t="str"/>
      <c r="K5748" s="41" t="str"/>
      <c r="L5748" s="41" t="str"/>
      <c r="M5748" s="41" t="str"/>
      <c r="N5748" s="41" t="str"/>
      <c r="O5748" s="41" t="str"/>
      <c r="P5748" s="41" t="str"/>
      <c r="Q5748" s="41" t="str"/>
      <c r="R5748" s="41" t="str"/>
      <c r="S5748" s="41" t="str"/>
      <c r="T5748" s="41" t="str"/>
      <c r="U5748" s="41" t="str"/>
      <c r="V5748" s="41" t="str"/>
      <c r="W5748" s="41" t="str"/>
    </row>
    <row r="5749">
      <c r="B5749" s="2" t="n"/>
      <c r="C5749" s="40" t="n"/>
      <c r="D5749" s="52">
        <f t="array" ref="D5749:W5749">IF(All_Students_Scores!C5747:V5747="","",All_Students_Scores!C5747:V5747)</f>
        <v/>
      </c>
      <c r="E5749" s="57" t="str"/>
      <c r="F5749" s="49" t="str"/>
      <c r="G5749" s="59" t="str"/>
      <c r="H5749" s="64" t="str"/>
      <c r="I5749" s="65" t="str"/>
      <c r="J5749" s="49" t="str"/>
      <c r="K5749" s="41" t="str"/>
      <c r="L5749" s="41" t="str"/>
      <c r="M5749" s="41" t="str"/>
      <c r="N5749" s="41" t="str"/>
      <c r="O5749" s="41" t="str"/>
      <c r="P5749" s="41" t="str"/>
      <c r="Q5749" s="41" t="str"/>
      <c r="R5749" s="41" t="str"/>
      <c r="S5749" s="41" t="str"/>
      <c r="T5749" s="41" t="str"/>
      <c r="U5749" s="41" t="str"/>
      <c r="V5749" s="41" t="str"/>
      <c r="W5749" s="41" t="str"/>
    </row>
    <row r="5750">
      <c r="B5750" s="2" t="n"/>
      <c r="C5750" s="40" t="n"/>
      <c r="D5750" s="52">
        <f t="array" ref="D5750:W5750">IF(All_Students_Scores!C5748:V5748="","",All_Students_Scores!C5748:V5748)</f>
        <v/>
      </c>
      <c r="E5750" s="57" t="str"/>
      <c r="F5750" s="49" t="str"/>
      <c r="G5750" s="59" t="str"/>
      <c r="H5750" s="64" t="str"/>
      <c r="I5750" s="65" t="str"/>
      <c r="J5750" s="49" t="str"/>
      <c r="K5750" s="41" t="str"/>
      <c r="L5750" s="41" t="str"/>
      <c r="M5750" s="41" t="str"/>
      <c r="N5750" s="41" t="str"/>
      <c r="O5750" s="41" t="str"/>
      <c r="P5750" s="41" t="str"/>
      <c r="Q5750" s="41" t="str"/>
      <c r="R5750" s="41" t="str"/>
      <c r="S5750" s="41" t="str"/>
      <c r="T5750" s="41" t="str"/>
      <c r="U5750" s="41" t="str"/>
      <c r="V5750" s="41" t="str"/>
      <c r="W5750" s="41" t="str"/>
    </row>
    <row r="5751">
      <c r="B5751" s="2" t="n"/>
      <c r="C5751" s="40" t="n"/>
      <c r="D5751" s="52">
        <f t="array" ref="D5751:W5751">IF(All_Students_Scores!C5749:V5749="","",All_Students_Scores!C5749:V5749)</f>
        <v/>
      </c>
      <c r="E5751" s="57" t="str"/>
      <c r="F5751" s="49" t="str"/>
      <c r="G5751" s="59" t="str"/>
      <c r="H5751" s="64" t="str"/>
      <c r="I5751" s="65" t="str"/>
      <c r="J5751" s="49" t="str"/>
      <c r="K5751" s="41" t="str"/>
      <c r="L5751" s="41" t="str"/>
      <c r="M5751" s="41" t="str"/>
      <c r="N5751" s="41" t="str"/>
      <c r="O5751" s="41" t="str"/>
      <c r="P5751" s="41" t="str"/>
      <c r="Q5751" s="41" t="str"/>
      <c r="R5751" s="41" t="str"/>
      <c r="S5751" s="41" t="str"/>
      <c r="T5751" s="41" t="str"/>
      <c r="U5751" s="41" t="str"/>
      <c r="V5751" s="41" t="str"/>
      <c r="W5751" s="41" t="str"/>
    </row>
    <row r="5752">
      <c r="B5752" s="2" t="n"/>
      <c r="C5752" s="40" t="n"/>
      <c r="D5752" s="52">
        <f t="array" ref="D5752:W5752">IF(All_Students_Scores!C5750:V5750="","",All_Students_Scores!C5750:V5750)</f>
        <v/>
      </c>
      <c r="E5752" s="57" t="str"/>
      <c r="F5752" s="49" t="str"/>
      <c r="G5752" s="59" t="str"/>
      <c r="H5752" s="64" t="str"/>
      <c r="I5752" s="65" t="str"/>
      <c r="J5752" s="49" t="str"/>
      <c r="K5752" s="41" t="str"/>
      <c r="L5752" s="41" t="str"/>
      <c r="M5752" s="41" t="str"/>
      <c r="N5752" s="41" t="str"/>
      <c r="O5752" s="41" t="str"/>
      <c r="P5752" s="41" t="str"/>
      <c r="Q5752" s="41" t="str"/>
      <c r="R5752" s="41" t="str"/>
      <c r="S5752" s="41" t="str"/>
      <c r="T5752" s="41" t="str"/>
      <c r="U5752" s="41" t="str"/>
      <c r="V5752" s="41" t="str"/>
      <c r="W5752" s="41" t="str"/>
    </row>
    <row r="5753">
      <c r="B5753" s="2" t="n"/>
      <c r="C5753" s="40" t="n"/>
      <c r="D5753" s="52">
        <f t="array" ref="D5753:W5753">IF(All_Students_Scores!C5751:V5751="","",All_Students_Scores!C5751:V5751)</f>
        <v/>
      </c>
      <c r="E5753" s="57" t="str"/>
      <c r="F5753" s="49" t="str"/>
      <c r="G5753" s="59" t="str"/>
      <c r="H5753" s="64" t="str"/>
      <c r="I5753" s="65" t="str"/>
      <c r="J5753" s="49" t="str"/>
      <c r="K5753" s="41" t="str"/>
      <c r="L5753" s="41" t="str"/>
      <c r="M5753" s="41" t="str"/>
      <c r="N5753" s="41" t="str"/>
      <c r="O5753" s="41" t="str"/>
      <c r="P5753" s="41" t="str"/>
      <c r="Q5753" s="41" t="str"/>
      <c r="R5753" s="41" t="str"/>
      <c r="S5753" s="41" t="str"/>
      <c r="T5753" s="41" t="str"/>
      <c r="U5753" s="41" t="str"/>
      <c r="V5753" s="41" t="str"/>
      <c r="W5753" s="41" t="str"/>
    </row>
    <row r="5754">
      <c r="B5754" s="2" t="n"/>
      <c r="C5754" s="40" t="n"/>
      <c r="D5754" s="52">
        <f t="array" ref="D5754:W5754">IF(All_Students_Scores!C5752:V5752="","",All_Students_Scores!C5752:V5752)</f>
        <v/>
      </c>
      <c r="E5754" s="57" t="str"/>
      <c r="F5754" s="49" t="str"/>
      <c r="G5754" s="59" t="str"/>
      <c r="H5754" s="64" t="str"/>
      <c r="I5754" s="65" t="str"/>
      <c r="J5754" s="49" t="str"/>
      <c r="K5754" s="41" t="str"/>
      <c r="L5754" s="41" t="str"/>
      <c r="M5754" s="41" t="str"/>
      <c r="N5754" s="41" t="str"/>
      <c r="O5754" s="41" t="str"/>
      <c r="P5754" s="41" t="str"/>
      <c r="Q5754" s="41" t="str"/>
      <c r="R5754" s="41" t="str"/>
      <c r="S5754" s="41" t="str"/>
      <c r="T5754" s="41" t="str"/>
      <c r="U5754" s="41" t="str"/>
      <c r="V5754" s="41" t="str"/>
      <c r="W5754" s="41" t="str"/>
    </row>
    <row r="5755">
      <c r="B5755" s="2" t="n"/>
      <c r="C5755" s="40" t="n"/>
      <c r="D5755" s="52">
        <f t="array" ref="D5755:W5755">IF(All_Students_Scores!C5753:V5753="","",All_Students_Scores!C5753:V5753)</f>
        <v/>
      </c>
      <c r="E5755" s="57" t="str"/>
      <c r="F5755" s="49" t="str"/>
      <c r="G5755" s="59" t="str"/>
      <c r="H5755" s="64" t="str"/>
      <c r="I5755" s="65" t="str"/>
      <c r="J5755" s="49" t="str"/>
      <c r="K5755" s="41" t="str"/>
      <c r="L5755" s="41" t="str"/>
      <c r="M5755" s="41" t="str"/>
      <c r="N5755" s="41" t="str"/>
      <c r="O5755" s="41" t="str"/>
      <c r="P5755" s="41" t="str"/>
      <c r="Q5755" s="41" t="str"/>
      <c r="R5755" s="41" t="str"/>
      <c r="S5755" s="41" t="str"/>
      <c r="T5755" s="41" t="str"/>
      <c r="U5755" s="41" t="str"/>
      <c r="V5755" s="41" t="str"/>
      <c r="W5755" s="41" t="str"/>
    </row>
    <row r="5756">
      <c r="B5756" s="2" t="n"/>
      <c r="C5756" s="40" t="n"/>
      <c r="D5756" s="52">
        <f t="array" ref="D5756:W5756">IF(All_Students_Scores!C5754:V5754="","",All_Students_Scores!C5754:V5754)</f>
        <v/>
      </c>
      <c r="E5756" s="57" t="str"/>
      <c r="F5756" s="49" t="str"/>
      <c r="G5756" s="59" t="str"/>
      <c r="H5756" s="64" t="str"/>
      <c r="I5756" s="65" t="str"/>
      <c r="J5756" s="49" t="str"/>
      <c r="K5756" s="41" t="str"/>
      <c r="L5756" s="41" t="str"/>
      <c r="M5756" s="41" t="str"/>
      <c r="N5756" s="41" t="str"/>
      <c r="O5756" s="41" t="str"/>
      <c r="P5756" s="41" t="str"/>
      <c r="Q5756" s="41" t="str"/>
      <c r="R5756" s="41" t="str"/>
      <c r="S5756" s="41" t="str"/>
      <c r="T5756" s="41" t="str"/>
      <c r="U5756" s="41" t="str"/>
      <c r="V5756" s="41" t="str"/>
      <c r="W5756" s="41" t="str"/>
    </row>
    <row r="5757">
      <c r="B5757" s="2" t="n"/>
      <c r="C5757" s="40" t="n"/>
      <c r="D5757" s="52">
        <f t="array" ref="D5757:W5757">IF(All_Students_Scores!C5755:V5755="","",All_Students_Scores!C5755:V5755)</f>
        <v/>
      </c>
      <c r="E5757" s="57" t="str"/>
      <c r="F5757" s="49" t="str"/>
      <c r="G5757" s="59" t="str"/>
      <c r="H5757" s="64" t="str"/>
      <c r="I5757" s="65" t="str"/>
      <c r="J5757" s="49" t="str"/>
      <c r="K5757" s="41" t="str"/>
      <c r="L5757" s="41" t="str"/>
      <c r="M5757" s="41" t="str"/>
      <c r="N5757" s="41" t="str"/>
      <c r="O5757" s="41" t="str"/>
      <c r="P5757" s="41" t="str"/>
      <c r="Q5757" s="41" t="str"/>
      <c r="R5757" s="41" t="str"/>
      <c r="S5757" s="41" t="str"/>
      <c r="T5757" s="41" t="str"/>
      <c r="U5757" s="41" t="str"/>
      <c r="V5757" s="41" t="str"/>
      <c r="W5757" s="41" t="str"/>
    </row>
    <row r="5758">
      <c r="B5758" s="2" t="n"/>
      <c r="C5758" s="40" t="n"/>
      <c r="D5758" s="52">
        <f t="array" ref="D5758:W5758">IF(All_Students_Scores!C5756:V5756="","",All_Students_Scores!C5756:V5756)</f>
        <v/>
      </c>
      <c r="E5758" s="57" t="str"/>
      <c r="F5758" s="49" t="str"/>
      <c r="G5758" s="59" t="str"/>
      <c r="H5758" s="64" t="str"/>
      <c r="I5758" s="65" t="str"/>
      <c r="J5758" s="49" t="str"/>
      <c r="K5758" s="41" t="str"/>
      <c r="L5758" s="41" t="str"/>
      <c r="M5758" s="41" t="str"/>
      <c r="N5758" s="41" t="str"/>
      <c r="O5758" s="41" t="str"/>
      <c r="P5758" s="41" t="str"/>
      <c r="Q5758" s="41" t="str"/>
      <c r="R5758" s="41" t="str"/>
      <c r="S5758" s="41" t="str"/>
      <c r="T5758" s="41" t="str"/>
      <c r="U5758" s="41" t="str"/>
      <c r="V5758" s="41" t="str"/>
      <c r="W5758" s="41" t="str"/>
    </row>
    <row r="5759">
      <c r="B5759" s="2" t="n"/>
      <c r="C5759" s="40" t="n"/>
      <c r="D5759" s="52">
        <f t="array" ref="D5759:W5759">IF(All_Students_Scores!C5757:V5757="","",All_Students_Scores!C5757:V5757)</f>
        <v/>
      </c>
      <c r="E5759" s="57" t="str"/>
      <c r="F5759" s="49" t="str"/>
      <c r="G5759" s="59" t="str"/>
      <c r="H5759" s="64" t="str"/>
      <c r="I5759" s="65" t="str"/>
      <c r="J5759" s="49" t="str"/>
      <c r="K5759" s="41" t="str"/>
      <c r="L5759" s="41" t="str"/>
      <c r="M5759" s="41" t="str"/>
      <c r="N5759" s="41" t="str"/>
      <c r="O5759" s="41" t="str"/>
      <c r="P5759" s="41" t="str"/>
      <c r="Q5759" s="41" t="str"/>
      <c r="R5759" s="41" t="str"/>
      <c r="S5759" s="41" t="str"/>
      <c r="T5759" s="41" t="str"/>
      <c r="U5759" s="41" t="str"/>
      <c r="V5759" s="41" t="str"/>
      <c r="W5759" s="41" t="str"/>
    </row>
    <row r="5760">
      <c r="B5760" s="2" t="n"/>
      <c r="C5760" s="40" t="n"/>
      <c r="D5760" s="52">
        <f t="array" ref="D5760:W5760">IF(All_Students_Scores!C5758:V5758="","",All_Students_Scores!C5758:V5758)</f>
        <v/>
      </c>
      <c r="E5760" s="57" t="str"/>
      <c r="F5760" s="49" t="str"/>
      <c r="G5760" s="59" t="str"/>
      <c r="H5760" s="64" t="str"/>
      <c r="I5760" s="65" t="str"/>
      <c r="J5760" s="49" t="str"/>
      <c r="K5760" s="41" t="str"/>
      <c r="L5760" s="41" t="str"/>
      <c r="M5760" s="41" t="str"/>
      <c r="N5760" s="41" t="str"/>
      <c r="O5760" s="41" t="str"/>
      <c r="P5760" s="41" t="str"/>
      <c r="Q5760" s="41" t="str"/>
      <c r="R5760" s="41" t="str"/>
      <c r="S5760" s="41" t="str"/>
      <c r="T5760" s="41" t="str"/>
      <c r="U5760" s="41" t="str"/>
      <c r="V5760" s="41" t="str"/>
      <c r="W5760" s="41" t="str"/>
    </row>
    <row r="5761">
      <c r="B5761" s="2" t="n"/>
      <c r="C5761" s="40" t="n"/>
      <c r="D5761" s="52">
        <f t="array" ref="D5761:W5761">IF(All_Students_Scores!C5759:V5759="","",All_Students_Scores!C5759:V5759)</f>
        <v/>
      </c>
      <c r="E5761" s="57" t="str"/>
      <c r="F5761" s="49" t="str"/>
      <c r="G5761" s="59" t="str"/>
      <c r="H5761" s="64" t="str"/>
      <c r="I5761" s="65" t="str"/>
      <c r="J5761" s="49" t="str"/>
      <c r="K5761" s="41" t="str"/>
      <c r="L5761" s="41" t="str"/>
      <c r="M5761" s="41" t="str"/>
      <c r="N5761" s="41" t="str"/>
      <c r="O5761" s="41" t="str"/>
      <c r="P5761" s="41" t="str"/>
      <c r="Q5761" s="41" t="str"/>
      <c r="R5761" s="41" t="str"/>
      <c r="S5761" s="41" t="str"/>
      <c r="T5761" s="41" t="str"/>
      <c r="U5761" s="41" t="str"/>
      <c r="V5761" s="41" t="str"/>
      <c r="W5761" s="41" t="str"/>
    </row>
    <row r="5762">
      <c r="B5762" s="2" t="n"/>
      <c r="C5762" s="40" t="n"/>
      <c r="D5762" s="52">
        <f t="array" ref="D5762:W5762">IF(All_Students_Scores!C5760:V5760="","",All_Students_Scores!C5760:V5760)</f>
        <v/>
      </c>
      <c r="E5762" s="57" t="str"/>
      <c r="F5762" s="49" t="str"/>
      <c r="G5762" s="59" t="str"/>
      <c r="H5762" s="64" t="str"/>
      <c r="I5762" s="65" t="str"/>
      <c r="J5762" s="49" t="str"/>
      <c r="K5762" s="41" t="str"/>
      <c r="L5762" s="41" t="str"/>
      <c r="M5762" s="41" t="str"/>
      <c r="N5762" s="41" t="str"/>
      <c r="O5762" s="41" t="str"/>
      <c r="P5762" s="41" t="str"/>
      <c r="Q5762" s="41" t="str"/>
      <c r="R5762" s="41" t="str"/>
      <c r="S5762" s="41" t="str"/>
      <c r="T5762" s="41" t="str"/>
      <c r="U5762" s="41" t="str"/>
      <c r="V5762" s="41" t="str"/>
      <c r="W5762" s="41" t="str"/>
    </row>
    <row r="5763">
      <c r="B5763" s="2" t="n"/>
      <c r="C5763" s="40" t="n"/>
      <c r="D5763" s="52">
        <f t="array" ref="D5763:W5763">IF(All_Students_Scores!C5761:V5761="","",All_Students_Scores!C5761:V5761)</f>
        <v/>
      </c>
      <c r="E5763" s="57" t="str"/>
      <c r="F5763" s="49" t="str"/>
      <c r="G5763" s="59" t="str"/>
      <c r="H5763" s="64" t="str"/>
      <c r="I5763" s="65" t="str"/>
      <c r="J5763" s="49" t="str"/>
      <c r="K5763" s="41" t="str"/>
      <c r="L5763" s="41" t="str"/>
      <c r="M5763" s="41" t="str"/>
      <c r="N5763" s="41" t="str"/>
      <c r="O5763" s="41" t="str"/>
      <c r="P5763" s="41" t="str"/>
      <c r="Q5763" s="41" t="str"/>
      <c r="R5763" s="41" t="str"/>
      <c r="S5763" s="41" t="str"/>
      <c r="T5763" s="41" t="str"/>
      <c r="U5763" s="41" t="str"/>
      <c r="V5763" s="41" t="str"/>
      <c r="W5763" s="41" t="str"/>
    </row>
    <row r="5764">
      <c r="B5764" s="2" t="n"/>
      <c r="C5764" s="40" t="n"/>
      <c r="D5764" s="52">
        <f t="array" ref="D5764:W5764">IF(All_Students_Scores!C5762:V5762="","",All_Students_Scores!C5762:V5762)</f>
        <v/>
      </c>
      <c r="E5764" s="57" t="str"/>
      <c r="F5764" s="49" t="str"/>
      <c r="G5764" s="59" t="str"/>
      <c r="H5764" s="64" t="str"/>
      <c r="I5764" s="65" t="str"/>
      <c r="J5764" s="49" t="str"/>
      <c r="K5764" s="41" t="str"/>
      <c r="L5764" s="41" t="str"/>
      <c r="M5764" s="41" t="str"/>
      <c r="N5764" s="41" t="str"/>
      <c r="O5764" s="41" t="str"/>
      <c r="P5764" s="41" t="str"/>
      <c r="Q5764" s="41" t="str"/>
      <c r="R5764" s="41" t="str"/>
      <c r="S5764" s="41" t="str"/>
      <c r="T5764" s="41" t="str"/>
      <c r="U5764" s="41" t="str"/>
      <c r="V5764" s="41" t="str"/>
      <c r="W5764" s="41" t="str"/>
    </row>
    <row r="5765">
      <c r="B5765" s="2" t="n"/>
      <c r="C5765" s="40" t="n"/>
      <c r="D5765" s="52">
        <f t="array" ref="D5765:W5765">IF(All_Students_Scores!C5763:V5763="","",All_Students_Scores!C5763:V5763)</f>
        <v/>
      </c>
      <c r="E5765" s="57" t="str"/>
      <c r="F5765" s="49" t="str"/>
      <c r="G5765" s="59" t="str"/>
      <c r="H5765" s="64" t="str"/>
      <c r="I5765" s="65" t="str"/>
      <c r="J5765" s="49" t="str"/>
      <c r="K5765" s="41" t="str"/>
      <c r="L5765" s="41" t="str"/>
      <c r="M5765" s="41" t="str"/>
      <c r="N5765" s="41" t="str"/>
      <c r="O5765" s="41" t="str"/>
      <c r="P5765" s="41" t="str"/>
      <c r="Q5765" s="41" t="str"/>
      <c r="R5765" s="41" t="str"/>
      <c r="S5765" s="41" t="str"/>
      <c r="T5765" s="41" t="str"/>
      <c r="U5765" s="41" t="str"/>
      <c r="V5765" s="41" t="str"/>
      <c r="W5765" s="41" t="str"/>
    </row>
    <row r="5766">
      <c r="B5766" s="2" t="n"/>
      <c r="C5766" s="40" t="n"/>
      <c r="D5766" s="52">
        <f t="array" ref="D5766:W5766">IF(All_Students_Scores!C5764:V5764="","",All_Students_Scores!C5764:V5764)</f>
        <v/>
      </c>
      <c r="E5766" s="57" t="str"/>
      <c r="F5766" s="49" t="str"/>
      <c r="G5766" s="59" t="str"/>
      <c r="H5766" s="64" t="str"/>
      <c r="I5766" s="65" t="str"/>
      <c r="J5766" s="49" t="str"/>
      <c r="K5766" s="41" t="str"/>
      <c r="L5766" s="41" t="str"/>
      <c r="M5766" s="41" t="str"/>
      <c r="N5766" s="41" t="str"/>
      <c r="O5766" s="41" t="str"/>
      <c r="P5766" s="41" t="str"/>
      <c r="Q5766" s="41" t="str"/>
      <c r="R5766" s="41" t="str"/>
      <c r="S5766" s="41" t="str"/>
      <c r="T5766" s="41" t="str"/>
      <c r="U5766" s="41" t="str"/>
      <c r="V5766" s="41" t="str"/>
      <c r="W5766" s="41" t="str"/>
    </row>
    <row r="5767">
      <c r="B5767" s="2" t="n"/>
      <c r="C5767" s="40" t="n"/>
      <c r="D5767" s="52">
        <f t="array" ref="D5767:W5767">IF(All_Students_Scores!C5765:V5765="","",All_Students_Scores!C5765:V5765)</f>
        <v/>
      </c>
      <c r="E5767" s="57" t="str"/>
      <c r="F5767" s="49" t="str"/>
      <c r="G5767" s="59" t="str"/>
      <c r="H5767" s="64" t="str"/>
      <c r="I5767" s="65" t="str"/>
      <c r="J5767" s="49" t="str"/>
      <c r="K5767" s="41" t="str"/>
      <c r="L5767" s="41" t="str"/>
      <c r="M5767" s="41" t="str"/>
      <c r="N5767" s="41" t="str"/>
      <c r="O5767" s="41" t="str"/>
      <c r="P5767" s="41" t="str"/>
      <c r="Q5767" s="41" t="str"/>
      <c r="R5767" s="41" t="str"/>
      <c r="S5767" s="41" t="str"/>
      <c r="T5767" s="41" t="str"/>
      <c r="U5767" s="41" t="str"/>
      <c r="V5767" s="41" t="str"/>
      <c r="W5767" s="41" t="str"/>
    </row>
    <row r="5768">
      <c r="B5768" s="2" t="n"/>
      <c r="C5768" s="40" t="n"/>
      <c r="D5768" s="52">
        <f t="array" ref="D5768:W5768">IF(All_Students_Scores!C5766:V5766="","",All_Students_Scores!C5766:V5766)</f>
        <v/>
      </c>
      <c r="E5768" s="57" t="str"/>
      <c r="F5768" s="49" t="str"/>
      <c r="G5768" s="59" t="str"/>
      <c r="H5768" s="64" t="str"/>
      <c r="I5768" s="65" t="str"/>
      <c r="J5768" s="49" t="str"/>
      <c r="K5768" s="41" t="str"/>
      <c r="L5768" s="41" t="str"/>
      <c r="M5768" s="41" t="str"/>
      <c r="N5768" s="41" t="str"/>
      <c r="O5768" s="41" t="str"/>
      <c r="P5768" s="41" t="str"/>
      <c r="Q5768" s="41" t="str"/>
      <c r="R5768" s="41" t="str"/>
      <c r="S5768" s="41" t="str"/>
      <c r="T5768" s="41" t="str"/>
      <c r="U5768" s="41" t="str"/>
      <c r="V5768" s="41" t="str"/>
      <c r="W5768" s="41" t="str"/>
    </row>
    <row r="5769">
      <c r="B5769" s="2" t="n"/>
      <c r="C5769" s="40" t="n"/>
      <c r="D5769" s="52">
        <f t="array" ref="D5769:W5769">IF(All_Students_Scores!C5767:V5767="","",All_Students_Scores!C5767:V5767)</f>
        <v/>
      </c>
      <c r="E5769" s="57" t="str"/>
      <c r="F5769" s="49" t="str"/>
      <c r="G5769" s="59" t="str"/>
      <c r="H5769" s="64" t="str"/>
      <c r="I5769" s="65" t="str"/>
      <c r="J5769" s="49" t="str"/>
      <c r="K5769" s="41" t="str"/>
      <c r="L5769" s="41" t="str"/>
      <c r="M5769" s="41" t="str"/>
      <c r="N5769" s="41" t="str"/>
      <c r="O5769" s="41" t="str"/>
      <c r="P5769" s="41" t="str"/>
      <c r="Q5769" s="41" t="str"/>
      <c r="R5769" s="41" t="str"/>
      <c r="S5769" s="41" t="str"/>
      <c r="T5769" s="41" t="str"/>
      <c r="U5769" s="41" t="str"/>
      <c r="V5769" s="41" t="str"/>
      <c r="W5769" s="41" t="str"/>
    </row>
    <row r="5770">
      <c r="B5770" s="2" t="n"/>
      <c r="C5770" s="40" t="n"/>
      <c r="D5770" s="52">
        <f t="array" ref="D5770:W5770">IF(All_Students_Scores!C5768:V5768="","",All_Students_Scores!C5768:V5768)</f>
        <v/>
      </c>
      <c r="E5770" s="57" t="str"/>
      <c r="F5770" s="49" t="str"/>
      <c r="G5770" s="59" t="str"/>
      <c r="H5770" s="64" t="str"/>
      <c r="I5770" s="65" t="str"/>
      <c r="J5770" s="49" t="str"/>
      <c r="K5770" s="41" t="str"/>
      <c r="L5770" s="41" t="str"/>
      <c r="M5770" s="41" t="str"/>
      <c r="N5770" s="41" t="str"/>
      <c r="O5770" s="41" t="str"/>
      <c r="P5770" s="41" t="str"/>
      <c r="Q5770" s="41" t="str"/>
      <c r="R5770" s="41" t="str"/>
      <c r="S5770" s="41" t="str"/>
      <c r="T5770" s="41" t="str"/>
      <c r="U5770" s="41" t="str"/>
      <c r="V5770" s="41" t="str"/>
      <c r="W5770" s="41" t="str"/>
    </row>
    <row r="5771">
      <c r="B5771" s="2" t="n"/>
      <c r="C5771" s="40" t="n"/>
      <c r="D5771" s="52">
        <f t="array" ref="D5771:W5771">IF(All_Students_Scores!C5769:V5769="","",All_Students_Scores!C5769:V5769)</f>
        <v/>
      </c>
      <c r="E5771" s="57" t="str"/>
      <c r="F5771" s="49" t="str"/>
      <c r="G5771" s="59" t="str"/>
      <c r="H5771" s="64" t="str"/>
      <c r="I5771" s="65" t="str"/>
      <c r="J5771" s="49" t="str"/>
      <c r="K5771" s="41" t="str"/>
      <c r="L5771" s="41" t="str"/>
      <c r="M5771" s="41" t="str"/>
      <c r="N5771" s="41" t="str"/>
      <c r="O5771" s="41" t="str"/>
      <c r="P5771" s="41" t="str"/>
      <c r="Q5771" s="41" t="str"/>
      <c r="R5771" s="41" t="str"/>
      <c r="S5771" s="41" t="str"/>
      <c r="T5771" s="41" t="str"/>
      <c r="U5771" s="41" t="str"/>
      <c r="V5771" s="41" t="str"/>
      <c r="W5771" s="41" t="str"/>
    </row>
    <row r="5772">
      <c r="B5772" s="2" t="n"/>
      <c r="C5772" s="40" t="n"/>
      <c r="D5772" s="52">
        <f t="array" ref="D5772:W5772">IF(All_Students_Scores!C5770:V5770="","",All_Students_Scores!C5770:V5770)</f>
        <v/>
      </c>
      <c r="E5772" s="57" t="str"/>
      <c r="F5772" s="49" t="str"/>
      <c r="G5772" s="59" t="str"/>
      <c r="H5772" s="64" t="str"/>
      <c r="I5772" s="65" t="str"/>
      <c r="J5772" s="49" t="str"/>
      <c r="K5772" s="41" t="str"/>
      <c r="L5772" s="41" t="str"/>
      <c r="M5772" s="41" t="str"/>
      <c r="N5772" s="41" t="str"/>
      <c r="O5772" s="41" t="str"/>
      <c r="P5772" s="41" t="str"/>
      <c r="Q5772" s="41" t="str"/>
      <c r="R5772" s="41" t="str"/>
      <c r="S5772" s="41" t="str"/>
      <c r="T5772" s="41" t="str"/>
      <c r="U5772" s="41" t="str"/>
      <c r="V5772" s="41" t="str"/>
      <c r="W5772" s="41" t="str"/>
    </row>
    <row r="5773">
      <c r="B5773" s="2" t="n"/>
      <c r="C5773" s="40" t="n"/>
      <c r="D5773" s="52">
        <f t="array" ref="D5773:W5773">IF(All_Students_Scores!C5771:V5771="","",All_Students_Scores!C5771:V5771)</f>
        <v/>
      </c>
      <c r="E5773" s="57" t="str"/>
      <c r="F5773" s="49" t="str"/>
      <c r="G5773" s="59" t="str"/>
      <c r="H5773" s="64" t="str"/>
      <c r="I5773" s="65" t="str"/>
      <c r="J5773" s="49" t="str"/>
      <c r="K5773" s="41" t="str"/>
      <c r="L5773" s="41" t="str"/>
      <c r="M5773" s="41" t="str"/>
      <c r="N5773" s="41" t="str"/>
      <c r="O5773" s="41" t="str"/>
      <c r="P5773" s="41" t="str"/>
      <c r="Q5773" s="41" t="str"/>
      <c r="R5773" s="41" t="str"/>
      <c r="S5773" s="41" t="str"/>
      <c r="T5773" s="41" t="str"/>
      <c r="U5773" s="41" t="str"/>
      <c r="V5773" s="41" t="str"/>
      <c r="W5773" s="41" t="str"/>
    </row>
    <row r="5774">
      <c r="B5774" s="2" t="n"/>
      <c r="C5774" s="40" t="n"/>
      <c r="D5774" s="52">
        <f t="array" ref="D5774:W5774">IF(All_Students_Scores!C5772:V5772="","",All_Students_Scores!C5772:V5772)</f>
        <v/>
      </c>
      <c r="E5774" s="57" t="str"/>
      <c r="F5774" s="49" t="str"/>
      <c r="G5774" s="59" t="str"/>
      <c r="H5774" s="64" t="str"/>
      <c r="I5774" s="65" t="str"/>
      <c r="J5774" s="49" t="str"/>
      <c r="K5774" s="41" t="str"/>
      <c r="L5774" s="41" t="str"/>
      <c r="M5774" s="41" t="str"/>
      <c r="N5774" s="41" t="str"/>
      <c r="O5774" s="41" t="str"/>
      <c r="P5774" s="41" t="str"/>
      <c r="Q5774" s="41" t="str"/>
      <c r="R5774" s="41" t="str"/>
      <c r="S5774" s="41" t="str"/>
      <c r="T5774" s="41" t="str"/>
      <c r="U5774" s="41" t="str"/>
      <c r="V5774" s="41" t="str"/>
      <c r="W5774" s="41" t="str"/>
    </row>
    <row r="5775">
      <c r="B5775" s="2" t="n"/>
      <c r="C5775" s="40" t="n"/>
      <c r="D5775" s="52">
        <f t="array" ref="D5775:W5775">IF(All_Students_Scores!C5773:V5773="","",All_Students_Scores!C5773:V5773)</f>
        <v/>
      </c>
      <c r="E5775" s="57" t="str"/>
      <c r="F5775" s="49" t="str"/>
      <c r="G5775" s="59" t="str"/>
      <c r="H5775" s="64" t="str"/>
      <c r="I5775" s="65" t="str"/>
      <c r="J5775" s="49" t="str"/>
      <c r="K5775" s="41" t="str"/>
      <c r="L5775" s="41" t="str"/>
      <c r="M5775" s="41" t="str"/>
      <c r="N5775" s="41" t="str"/>
      <c r="O5775" s="41" t="str"/>
      <c r="P5775" s="41" t="str"/>
      <c r="Q5775" s="41" t="str"/>
      <c r="R5775" s="41" t="str"/>
      <c r="S5775" s="41" t="str"/>
      <c r="T5775" s="41" t="str"/>
      <c r="U5775" s="41" t="str"/>
      <c r="V5775" s="41" t="str"/>
      <c r="W5775" s="41" t="str"/>
    </row>
    <row r="5776">
      <c r="B5776" s="2" t="n"/>
      <c r="C5776" s="40" t="n"/>
      <c r="D5776" s="52">
        <f t="array" ref="D5776:W5776">IF(All_Students_Scores!C5774:V5774="","",All_Students_Scores!C5774:V5774)</f>
        <v/>
      </c>
      <c r="E5776" s="57" t="str"/>
      <c r="F5776" s="49" t="str"/>
      <c r="G5776" s="59" t="str"/>
      <c r="H5776" s="64" t="str"/>
      <c r="I5776" s="65" t="str"/>
      <c r="J5776" s="49" t="str"/>
      <c r="K5776" s="41" t="str"/>
      <c r="L5776" s="41" t="str"/>
      <c r="M5776" s="41" t="str"/>
      <c r="N5776" s="41" t="str"/>
      <c r="O5776" s="41" t="str"/>
      <c r="P5776" s="41" t="str"/>
      <c r="Q5776" s="41" t="str"/>
      <c r="R5776" s="41" t="str"/>
      <c r="S5776" s="41" t="str"/>
      <c r="T5776" s="41" t="str"/>
      <c r="U5776" s="41" t="str"/>
      <c r="V5776" s="41" t="str"/>
      <c r="W5776" s="41" t="str"/>
    </row>
    <row r="5777">
      <c r="B5777" s="2" t="n"/>
      <c r="C5777" s="40" t="n"/>
      <c r="D5777" s="52">
        <f t="array" ref="D5777:W5777">IF(All_Students_Scores!C5775:V5775="","",All_Students_Scores!C5775:V5775)</f>
        <v/>
      </c>
      <c r="E5777" s="57" t="str"/>
      <c r="F5777" s="49" t="str"/>
      <c r="G5777" s="59" t="str"/>
      <c r="H5777" s="64" t="str"/>
      <c r="I5777" s="65" t="str"/>
      <c r="J5777" s="49" t="str"/>
      <c r="K5777" s="41" t="str"/>
      <c r="L5777" s="41" t="str"/>
      <c r="M5777" s="41" t="str"/>
      <c r="N5777" s="41" t="str"/>
      <c r="O5777" s="41" t="str"/>
      <c r="P5777" s="41" t="str"/>
      <c r="Q5777" s="41" t="str"/>
      <c r="R5777" s="41" t="str"/>
      <c r="S5777" s="41" t="str"/>
      <c r="T5777" s="41" t="str"/>
      <c r="U5777" s="41" t="str"/>
      <c r="V5777" s="41" t="str"/>
      <c r="W5777" s="41" t="str"/>
    </row>
    <row r="5778">
      <c r="B5778" s="2" t="n"/>
      <c r="C5778" s="40" t="n"/>
      <c r="D5778" s="52">
        <f t="array" ref="D5778:W5778">IF(All_Students_Scores!C5776:V5776="","",All_Students_Scores!C5776:V5776)</f>
        <v/>
      </c>
      <c r="E5778" s="57" t="str"/>
      <c r="F5778" s="49" t="str"/>
      <c r="G5778" s="59" t="str"/>
      <c r="H5778" s="64" t="str"/>
      <c r="I5778" s="65" t="str"/>
      <c r="J5778" s="49" t="str"/>
      <c r="K5778" s="41" t="str"/>
      <c r="L5778" s="41" t="str"/>
      <c r="M5778" s="41" t="str"/>
      <c r="N5778" s="41" t="str"/>
      <c r="O5778" s="41" t="str"/>
      <c r="P5778" s="41" t="str"/>
      <c r="Q5778" s="41" t="str"/>
      <c r="R5778" s="41" t="str"/>
      <c r="S5778" s="41" t="str"/>
      <c r="T5778" s="41" t="str"/>
      <c r="U5778" s="41" t="str"/>
      <c r="V5778" s="41" t="str"/>
      <c r="W5778" s="41" t="str"/>
    </row>
    <row r="5779">
      <c r="B5779" s="2" t="n"/>
      <c r="C5779" s="40" t="n"/>
      <c r="D5779" s="52">
        <f t="array" ref="D5779:W5779">IF(All_Students_Scores!C5777:V5777="","",All_Students_Scores!C5777:V5777)</f>
        <v/>
      </c>
      <c r="E5779" s="57" t="str"/>
      <c r="F5779" s="49" t="str"/>
      <c r="G5779" s="59" t="str"/>
      <c r="H5779" s="64" t="str"/>
      <c r="I5779" s="65" t="str"/>
      <c r="J5779" s="49" t="str"/>
      <c r="K5779" s="41" t="str"/>
      <c r="L5779" s="41" t="str"/>
      <c r="M5779" s="41" t="str"/>
      <c r="N5779" s="41" t="str"/>
      <c r="O5779" s="41" t="str"/>
      <c r="P5779" s="41" t="str"/>
      <c r="Q5779" s="41" t="str"/>
      <c r="R5779" s="41" t="str"/>
      <c r="S5779" s="41" t="str"/>
      <c r="T5779" s="41" t="str"/>
      <c r="U5779" s="41" t="str"/>
      <c r="V5779" s="41" t="str"/>
      <c r="W5779" s="41" t="str"/>
    </row>
    <row r="5780">
      <c r="B5780" s="2" t="n"/>
      <c r="C5780" s="40" t="n"/>
      <c r="D5780" s="52">
        <f t="array" ref="D5780:W5780">IF(All_Students_Scores!C5778:V5778="","",All_Students_Scores!C5778:V5778)</f>
        <v/>
      </c>
      <c r="E5780" s="57" t="str"/>
      <c r="F5780" s="49" t="str"/>
      <c r="G5780" s="59" t="str"/>
      <c r="H5780" s="64" t="str"/>
      <c r="I5780" s="65" t="str"/>
      <c r="J5780" s="49" t="str"/>
      <c r="K5780" s="41" t="str"/>
      <c r="L5780" s="41" t="str"/>
      <c r="M5780" s="41" t="str"/>
      <c r="N5780" s="41" t="str"/>
      <c r="O5780" s="41" t="str"/>
      <c r="P5780" s="41" t="str"/>
      <c r="Q5780" s="41" t="str"/>
      <c r="R5780" s="41" t="str"/>
      <c r="S5780" s="41" t="str"/>
      <c r="T5780" s="41" t="str"/>
      <c r="U5780" s="41" t="str"/>
      <c r="V5780" s="41" t="str"/>
      <c r="W5780" s="41" t="str"/>
    </row>
    <row r="5781">
      <c r="B5781" s="2" t="n"/>
      <c r="C5781" s="40" t="n"/>
      <c r="D5781" s="52">
        <f t="array" ref="D5781:W5781">IF(All_Students_Scores!C5779:V5779="","",All_Students_Scores!C5779:V5779)</f>
        <v/>
      </c>
      <c r="E5781" s="57" t="str"/>
      <c r="F5781" s="49" t="str"/>
      <c r="G5781" s="59" t="str"/>
      <c r="H5781" s="64" t="str"/>
      <c r="I5781" s="65" t="str"/>
      <c r="J5781" s="49" t="str"/>
      <c r="K5781" s="41" t="str"/>
      <c r="L5781" s="41" t="str"/>
      <c r="M5781" s="41" t="str"/>
      <c r="N5781" s="41" t="str"/>
      <c r="O5781" s="41" t="str"/>
      <c r="P5781" s="41" t="str"/>
      <c r="Q5781" s="41" t="str"/>
      <c r="R5781" s="41" t="str"/>
      <c r="S5781" s="41" t="str"/>
      <c r="T5781" s="41" t="str"/>
      <c r="U5781" s="41" t="str"/>
      <c r="V5781" s="41" t="str"/>
      <c r="W5781" s="41" t="str"/>
    </row>
    <row r="5782">
      <c r="B5782" s="2" t="n"/>
      <c r="C5782" s="40" t="n"/>
      <c r="D5782" s="52">
        <f t="array" ref="D5782:W5782">IF(All_Students_Scores!C5780:V5780="","",All_Students_Scores!C5780:V5780)</f>
        <v/>
      </c>
      <c r="E5782" s="57" t="str"/>
      <c r="F5782" s="49" t="str"/>
      <c r="G5782" s="59" t="str"/>
      <c r="H5782" s="64" t="str"/>
      <c r="I5782" s="65" t="str"/>
      <c r="J5782" s="49" t="str"/>
      <c r="K5782" s="41" t="str"/>
      <c r="L5782" s="41" t="str"/>
      <c r="M5782" s="41" t="str"/>
      <c r="N5782" s="41" t="str"/>
      <c r="O5782" s="41" t="str"/>
      <c r="P5782" s="41" t="str"/>
      <c r="Q5782" s="41" t="str"/>
      <c r="R5782" s="41" t="str"/>
      <c r="S5782" s="41" t="str"/>
      <c r="T5782" s="41" t="str"/>
      <c r="U5782" s="41" t="str"/>
      <c r="V5782" s="41" t="str"/>
      <c r="W5782" s="41" t="str"/>
    </row>
    <row r="5783">
      <c r="B5783" s="2" t="n"/>
      <c r="C5783" s="40" t="n"/>
      <c r="D5783" s="52">
        <f t="array" ref="D5783:W5783">IF(All_Students_Scores!C5781:V5781="","",All_Students_Scores!C5781:V5781)</f>
        <v/>
      </c>
      <c r="E5783" s="57" t="str"/>
      <c r="F5783" s="49" t="str"/>
      <c r="G5783" s="59" t="str"/>
      <c r="H5783" s="64" t="str"/>
      <c r="I5783" s="65" t="str"/>
      <c r="J5783" s="49" t="str"/>
      <c r="K5783" s="41" t="str"/>
      <c r="L5783" s="41" t="str"/>
      <c r="M5783" s="41" t="str"/>
      <c r="N5783" s="41" t="str"/>
      <c r="O5783" s="41" t="str"/>
      <c r="P5783" s="41" t="str"/>
      <c r="Q5783" s="41" t="str"/>
      <c r="R5783" s="41" t="str"/>
      <c r="S5783" s="41" t="str"/>
      <c r="T5783" s="41" t="str"/>
      <c r="U5783" s="41" t="str"/>
      <c r="V5783" s="41" t="str"/>
      <c r="W5783" s="41" t="str"/>
    </row>
    <row r="5784">
      <c r="B5784" s="2" t="n"/>
      <c r="C5784" s="40" t="n"/>
      <c r="D5784" s="52">
        <f t="array" ref="D5784:W5784">IF(All_Students_Scores!C5782:V5782="","",All_Students_Scores!C5782:V5782)</f>
        <v/>
      </c>
      <c r="E5784" s="57" t="str"/>
      <c r="F5784" s="49" t="str"/>
      <c r="G5784" s="59" t="str"/>
      <c r="H5784" s="64" t="str"/>
      <c r="I5784" s="65" t="str"/>
      <c r="J5784" s="49" t="str"/>
      <c r="K5784" s="41" t="str"/>
      <c r="L5784" s="41" t="str"/>
      <c r="M5784" s="41" t="str"/>
      <c r="N5784" s="41" t="str"/>
      <c r="O5784" s="41" t="str"/>
      <c r="P5784" s="41" t="str"/>
      <c r="Q5784" s="41" t="str"/>
      <c r="R5784" s="41" t="str"/>
      <c r="S5784" s="41" t="str"/>
      <c r="T5784" s="41" t="str"/>
      <c r="U5784" s="41" t="str"/>
      <c r="V5784" s="41" t="str"/>
      <c r="W5784" s="41" t="str"/>
    </row>
    <row r="5785">
      <c r="B5785" s="2" t="n"/>
      <c r="C5785" s="40" t="n"/>
      <c r="D5785" s="52">
        <f t="array" ref="D5785:W5785">IF(All_Students_Scores!C5783:V5783="","",All_Students_Scores!C5783:V5783)</f>
        <v/>
      </c>
      <c r="E5785" s="57" t="str"/>
      <c r="F5785" s="49" t="str"/>
      <c r="G5785" s="59" t="str"/>
      <c r="H5785" s="64" t="str"/>
      <c r="I5785" s="65" t="str"/>
      <c r="J5785" s="49" t="str"/>
      <c r="K5785" s="41" t="str"/>
      <c r="L5785" s="41" t="str"/>
      <c r="M5785" s="41" t="str"/>
      <c r="N5785" s="41" t="str"/>
      <c r="O5785" s="41" t="str"/>
      <c r="P5785" s="41" t="str"/>
      <c r="Q5785" s="41" t="str"/>
      <c r="R5785" s="41" t="str"/>
      <c r="S5785" s="41" t="str"/>
      <c r="T5785" s="41" t="str"/>
      <c r="U5785" s="41" t="str"/>
      <c r="V5785" s="41" t="str"/>
      <c r="W5785" s="41" t="str"/>
    </row>
    <row r="5786">
      <c r="B5786" s="2" t="n"/>
      <c r="C5786" s="40" t="n"/>
      <c r="D5786" s="52">
        <f t="array" ref="D5786:W5786">IF(All_Students_Scores!C5784:V5784="","",All_Students_Scores!C5784:V5784)</f>
        <v/>
      </c>
      <c r="E5786" s="57" t="str"/>
      <c r="F5786" s="49" t="str"/>
      <c r="G5786" s="59" t="str"/>
      <c r="H5786" s="64" t="str"/>
      <c r="I5786" s="65" t="str"/>
      <c r="J5786" s="49" t="str"/>
      <c r="K5786" s="41" t="str"/>
      <c r="L5786" s="41" t="str"/>
      <c r="M5786" s="41" t="str"/>
      <c r="N5786" s="41" t="str"/>
      <c r="O5786" s="41" t="str"/>
      <c r="P5786" s="41" t="str"/>
      <c r="Q5786" s="41" t="str"/>
      <c r="R5786" s="41" t="str"/>
      <c r="S5786" s="41" t="str"/>
      <c r="T5786" s="41" t="str"/>
      <c r="U5786" s="41" t="str"/>
      <c r="V5786" s="41" t="str"/>
      <c r="W5786" s="41" t="str"/>
    </row>
    <row r="5787">
      <c r="B5787" s="2" t="n"/>
      <c r="C5787" s="40" t="n"/>
      <c r="D5787" s="52">
        <f t="array" ref="D5787:W5787">IF(All_Students_Scores!C5785:V5785="","",All_Students_Scores!C5785:V5785)</f>
        <v/>
      </c>
      <c r="E5787" s="57" t="str"/>
      <c r="F5787" s="49" t="str"/>
      <c r="G5787" s="59" t="str"/>
      <c r="H5787" s="64" t="str"/>
      <c r="I5787" s="65" t="str"/>
      <c r="J5787" s="49" t="str"/>
      <c r="K5787" s="41" t="str"/>
      <c r="L5787" s="41" t="str"/>
      <c r="M5787" s="41" t="str"/>
      <c r="N5787" s="41" t="str"/>
      <c r="O5787" s="41" t="str"/>
      <c r="P5787" s="41" t="str"/>
      <c r="Q5787" s="41" t="str"/>
      <c r="R5787" s="41" t="str"/>
      <c r="S5787" s="41" t="str"/>
      <c r="T5787" s="41" t="str"/>
      <c r="U5787" s="41" t="str"/>
      <c r="V5787" s="41" t="str"/>
      <c r="W5787" s="41" t="str"/>
    </row>
    <row r="5788">
      <c r="B5788" s="2" t="n"/>
      <c r="C5788" s="40" t="n"/>
      <c r="D5788" s="52">
        <f t="array" ref="D5788:W5788">IF(All_Students_Scores!C5786:V5786="","",All_Students_Scores!C5786:V5786)</f>
        <v/>
      </c>
      <c r="E5788" s="57" t="str"/>
      <c r="F5788" s="49" t="str"/>
      <c r="G5788" s="59" t="str"/>
      <c r="H5788" s="64" t="str"/>
      <c r="I5788" s="65" t="str"/>
      <c r="J5788" s="49" t="str"/>
      <c r="K5788" s="41" t="str"/>
      <c r="L5788" s="41" t="str"/>
      <c r="M5788" s="41" t="str"/>
      <c r="N5788" s="41" t="str"/>
      <c r="O5788" s="41" t="str"/>
      <c r="P5788" s="41" t="str"/>
      <c r="Q5788" s="41" t="str"/>
      <c r="R5788" s="41" t="str"/>
      <c r="S5788" s="41" t="str"/>
      <c r="T5788" s="41" t="str"/>
      <c r="U5788" s="41" t="str"/>
      <c r="V5788" s="41" t="str"/>
      <c r="W5788" s="41" t="str"/>
    </row>
    <row r="5789">
      <c r="B5789" s="2" t="n"/>
      <c r="C5789" s="40" t="n"/>
      <c r="D5789" s="52">
        <f t="array" ref="D5789:W5789">IF(All_Students_Scores!C5787:V5787="","",All_Students_Scores!C5787:V5787)</f>
        <v/>
      </c>
      <c r="E5789" s="57" t="str"/>
      <c r="F5789" s="49" t="str"/>
      <c r="G5789" s="59" t="str"/>
      <c r="H5789" s="64" t="str"/>
      <c r="I5789" s="65" t="str"/>
      <c r="J5789" s="49" t="str"/>
      <c r="K5789" s="41" t="str"/>
      <c r="L5789" s="41" t="str"/>
      <c r="M5789" s="41" t="str"/>
      <c r="N5789" s="41" t="str"/>
      <c r="O5789" s="41" t="str"/>
      <c r="P5789" s="41" t="str"/>
      <c r="Q5789" s="41" t="str"/>
      <c r="R5789" s="41" t="str"/>
      <c r="S5789" s="41" t="str"/>
      <c r="T5789" s="41" t="str"/>
      <c r="U5789" s="41" t="str"/>
      <c r="V5789" s="41" t="str"/>
      <c r="W5789" s="41" t="str"/>
    </row>
    <row r="5790">
      <c r="B5790" s="2" t="n"/>
      <c r="C5790" s="40" t="n"/>
      <c r="D5790" s="52">
        <f t="array" ref="D5790:W5790">IF(All_Students_Scores!C5788:V5788="","",All_Students_Scores!C5788:V5788)</f>
        <v/>
      </c>
      <c r="E5790" s="57" t="str"/>
      <c r="F5790" s="49" t="str"/>
      <c r="G5790" s="59" t="str"/>
      <c r="H5790" s="64" t="str"/>
      <c r="I5790" s="65" t="str"/>
      <c r="J5790" s="49" t="str"/>
      <c r="K5790" s="41" t="str"/>
      <c r="L5790" s="41" t="str"/>
      <c r="M5790" s="41" t="str"/>
      <c r="N5790" s="41" t="str"/>
      <c r="O5790" s="41" t="str"/>
      <c r="P5790" s="41" t="str"/>
      <c r="Q5790" s="41" t="str"/>
      <c r="R5790" s="41" t="str"/>
      <c r="S5790" s="41" t="str"/>
      <c r="T5790" s="41" t="str"/>
      <c r="U5790" s="41" t="str"/>
      <c r="V5790" s="41" t="str"/>
      <c r="W5790" s="41" t="str"/>
    </row>
    <row r="5791">
      <c r="B5791" s="2" t="n"/>
      <c r="C5791" s="40" t="n"/>
      <c r="D5791" s="52">
        <f t="array" ref="D5791:W5791">IF(All_Students_Scores!C5789:V5789="","",All_Students_Scores!C5789:V5789)</f>
        <v/>
      </c>
      <c r="E5791" s="57" t="str"/>
      <c r="F5791" s="49" t="str"/>
      <c r="G5791" s="59" t="str"/>
      <c r="H5791" s="64" t="str"/>
      <c r="I5791" s="65" t="str"/>
      <c r="J5791" s="49" t="str"/>
      <c r="K5791" s="41" t="str"/>
      <c r="L5791" s="41" t="str"/>
      <c r="M5791" s="41" t="str"/>
      <c r="N5791" s="41" t="str"/>
      <c r="O5791" s="41" t="str"/>
      <c r="P5791" s="41" t="str"/>
      <c r="Q5791" s="41" t="str"/>
      <c r="R5791" s="41" t="str"/>
      <c r="S5791" s="41" t="str"/>
      <c r="T5791" s="41" t="str"/>
      <c r="U5791" s="41" t="str"/>
      <c r="V5791" s="41" t="str"/>
      <c r="W5791" s="41" t="str"/>
    </row>
    <row r="5792">
      <c r="B5792" s="2" t="n"/>
      <c r="C5792" s="40" t="n"/>
      <c r="D5792" s="52">
        <f t="array" ref="D5792:W5792">IF(All_Students_Scores!C5790:V5790="","",All_Students_Scores!C5790:V5790)</f>
        <v/>
      </c>
      <c r="E5792" s="57" t="str"/>
      <c r="F5792" s="49" t="str"/>
      <c r="G5792" s="59" t="str"/>
      <c r="H5792" s="64" t="str"/>
      <c r="I5792" s="65" t="str"/>
      <c r="J5792" s="49" t="str"/>
      <c r="K5792" s="41" t="str"/>
      <c r="L5792" s="41" t="str"/>
      <c r="M5792" s="41" t="str"/>
      <c r="N5792" s="41" t="str"/>
      <c r="O5792" s="41" t="str"/>
      <c r="P5792" s="41" t="str"/>
      <c r="Q5792" s="41" t="str"/>
      <c r="R5792" s="41" t="str"/>
      <c r="S5792" s="41" t="str"/>
      <c r="T5792" s="41" t="str"/>
      <c r="U5792" s="41" t="str"/>
      <c r="V5792" s="41" t="str"/>
      <c r="W5792" s="41" t="str"/>
    </row>
    <row r="5793">
      <c r="B5793" s="2" t="n"/>
      <c r="C5793" s="40" t="n"/>
      <c r="D5793" s="52">
        <f t="array" ref="D5793:W5793">IF(All_Students_Scores!C5791:V5791="","",All_Students_Scores!C5791:V5791)</f>
        <v/>
      </c>
      <c r="E5793" s="57" t="str"/>
      <c r="F5793" s="49" t="str"/>
      <c r="G5793" s="59" t="str"/>
      <c r="H5793" s="64" t="str"/>
      <c r="I5793" s="65" t="str"/>
      <c r="J5793" s="49" t="str"/>
      <c r="K5793" s="41" t="str"/>
      <c r="L5793" s="41" t="str"/>
      <c r="M5793" s="41" t="str"/>
      <c r="N5793" s="41" t="str"/>
      <c r="O5793" s="41" t="str"/>
      <c r="P5793" s="41" t="str"/>
      <c r="Q5793" s="41" t="str"/>
      <c r="R5793" s="41" t="str"/>
      <c r="S5793" s="41" t="str"/>
      <c r="T5793" s="41" t="str"/>
      <c r="U5793" s="41" t="str"/>
      <c r="V5793" s="41" t="str"/>
      <c r="W5793" s="41" t="str"/>
    </row>
    <row r="5794">
      <c r="B5794" s="2" t="n"/>
      <c r="C5794" s="40" t="n"/>
      <c r="D5794" s="52">
        <f t="array" ref="D5794:W5794">IF(All_Students_Scores!C5792:V5792="","",All_Students_Scores!C5792:V5792)</f>
        <v/>
      </c>
      <c r="E5794" s="57" t="str"/>
      <c r="F5794" s="49" t="str"/>
      <c r="G5794" s="59" t="str"/>
      <c r="H5794" s="64" t="str"/>
      <c r="I5794" s="65" t="str"/>
      <c r="J5794" s="49" t="str"/>
      <c r="K5794" s="41" t="str"/>
      <c r="L5794" s="41" t="str"/>
      <c r="M5794" s="41" t="str"/>
      <c r="N5794" s="41" t="str"/>
      <c r="O5794" s="41" t="str"/>
      <c r="P5794" s="41" t="str"/>
      <c r="Q5794" s="41" t="str"/>
      <c r="R5794" s="41" t="str"/>
      <c r="S5794" s="41" t="str"/>
      <c r="T5794" s="41" t="str"/>
      <c r="U5794" s="41" t="str"/>
      <c r="V5794" s="41" t="str"/>
      <c r="W5794" s="41" t="str"/>
    </row>
    <row r="5795">
      <c r="B5795" s="2" t="n"/>
      <c r="C5795" s="40" t="n"/>
      <c r="D5795" s="52">
        <f t="array" ref="D5795:W5795">IF(All_Students_Scores!C5793:V5793="","",All_Students_Scores!C5793:V5793)</f>
        <v/>
      </c>
      <c r="E5795" s="57" t="str"/>
      <c r="F5795" s="49" t="str"/>
      <c r="G5795" s="59" t="str"/>
      <c r="H5795" s="64" t="str"/>
      <c r="I5795" s="65" t="str"/>
      <c r="J5795" s="49" t="str"/>
      <c r="K5795" s="41" t="str"/>
      <c r="L5795" s="41" t="str"/>
      <c r="M5795" s="41" t="str"/>
      <c r="N5795" s="41" t="str"/>
      <c r="O5795" s="41" t="str"/>
      <c r="P5795" s="41" t="str"/>
      <c r="Q5795" s="41" t="str"/>
      <c r="R5795" s="41" t="str"/>
      <c r="S5795" s="41" t="str"/>
      <c r="T5795" s="41" t="str"/>
      <c r="U5795" s="41" t="str"/>
      <c r="V5795" s="41" t="str"/>
      <c r="W5795" s="41" t="str"/>
    </row>
    <row r="5796">
      <c r="B5796" s="2" t="n"/>
      <c r="C5796" s="40" t="n"/>
      <c r="D5796" s="52">
        <f t="array" ref="D5796:W5796">IF(All_Students_Scores!C5794:V5794="","",All_Students_Scores!C5794:V5794)</f>
        <v/>
      </c>
      <c r="E5796" s="57" t="str"/>
      <c r="F5796" s="49" t="str"/>
      <c r="G5796" s="59" t="str"/>
      <c r="H5796" s="64" t="str"/>
      <c r="I5796" s="65" t="str"/>
      <c r="J5796" s="49" t="str"/>
      <c r="K5796" s="41" t="str"/>
      <c r="L5796" s="41" t="str"/>
      <c r="M5796" s="41" t="str"/>
      <c r="N5796" s="41" t="str"/>
      <c r="O5796" s="41" t="str"/>
      <c r="P5796" s="41" t="str"/>
      <c r="Q5796" s="41" t="str"/>
      <c r="R5796" s="41" t="str"/>
      <c r="S5796" s="41" t="str"/>
      <c r="T5796" s="41" t="str"/>
      <c r="U5796" s="41" t="str"/>
      <c r="V5796" s="41" t="str"/>
      <c r="W5796" s="41" t="str"/>
    </row>
    <row r="5797">
      <c r="B5797" s="2" t="n"/>
      <c r="C5797" s="40" t="n"/>
      <c r="D5797" s="52">
        <f t="array" ref="D5797:W5797">IF(All_Students_Scores!C5795:V5795="","",All_Students_Scores!C5795:V5795)</f>
        <v/>
      </c>
      <c r="E5797" s="57" t="str"/>
      <c r="F5797" s="49" t="str"/>
      <c r="G5797" s="59" t="str"/>
      <c r="H5797" s="64" t="str"/>
      <c r="I5797" s="65" t="str"/>
      <c r="J5797" s="49" t="str"/>
      <c r="K5797" s="41" t="str"/>
      <c r="L5797" s="41" t="str"/>
      <c r="M5797" s="41" t="str"/>
      <c r="N5797" s="41" t="str"/>
      <c r="O5797" s="41" t="str"/>
      <c r="P5797" s="41" t="str"/>
      <c r="Q5797" s="41" t="str"/>
      <c r="R5797" s="41" t="str"/>
      <c r="S5797" s="41" t="str"/>
      <c r="T5797" s="41" t="str"/>
      <c r="U5797" s="41" t="str"/>
      <c r="V5797" s="41" t="str"/>
      <c r="W5797" s="41" t="str"/>
    </row>
    <row r="5798">
      <c r="B5798" s="2" t="n"/>
      <c r="C5798" s="40" t="n"/>
      <c r="D5798" s="52">
        <f t="array" ref="D5798:W5798">IF(All_Students_Scores!C5796:V5796="","",All_Students_Scores!C5796:V5796)</f>
        <v/>
      </c>
      <c r="E5798" s="57" t="str"/>
      <c r="F5798" s="49" t="str"/>
      <c r="G5798" s="59" t="str"/>
      <c r="H5798" s="64" t="str"/>
      <c r="I5798" s="65" t="str"/>
      <c r="J5798" s="49" t="str"/>
      <c r="K5798" s="41" t="str"/>
      <c r="L5798" s="41" t="str"/>
      <c r="M5798" s="41" t="str"/>
      <c r="N5798" s="41" t="str"/>
      <c r="O5798" s="41" t="str"/>
      <c r="P5798" s="41" t="str"/>
      <c r="Q5798" s="41" t="str"/>
      <c r="R5798" s="41" t="str"/>
      <c r="S5798" s="41" t="str"/>
      <c r="T5798" s="41" t="str"/>
      <c r="U5798" s="41" t="str"/>
      <c r="V5798" s="41" t="str"/>
      <c r="W5798" s="41" t="str"/>
    </row>
    <row r="5799">
      <c r="B5799" s="2" t="n"/>
      <c r="C5799" s="40" t="n"/>
      <c r="D5799" s="52">
        <f t="array" ref="D5799:W5799">IF(All_Students_Scores!C5797:V5797="","",All_Students_Scores!C5797:V5797)</f>
        <v/>
      </c>
      <c r="E5799" s="57" t="str"/>
      <c r="F5799" s="49" t="str"/>
      <c r="G5799" s="59" t="str"/>
      <c r="H5799" s="64" t="str"/>
      <c r="I5799" s="65" t="str"/>
      <c r="J5799" s="49" t="str"/>
      <c r="K5799" s="41" t="str"/>
      <c r="L5799" s="41" t="str"/>
      <c r="M5799" s="41" t="str"/>
      <c r="N5799" s="41" t="str"/>
      <c r="O5799" s="41" t="str"/>
      <c r="P5799" s="41" t="str"/>
      <c r="Q5799" s="41" t="str"/>
      <c r="R5799" s="41" t="str"/>
      <c r="S5799" s="41" t="str"/>
      <c r="T5799" s="41" t="str"/>
      <c r="U5799" s="41" t="str"/>
      <c r="V5799" s="41" t="str"/>
      <c r="W5799" s="41" t="str"/>
    </row>
    <row r="5800">
      <c r="B5800" s="2" t="n"/>
      <c r="C5800" s="40" t="n"/>
      <c r="D5800" s="52">
        <f t="array" ref="D5800:W5800">IF(All_Students_Scores!C5798:V5798="","",All_Students_Scores!C5798:V5798)</f>
        <v/>
      </c>
      <c r="E5800" s="57" t="str"/>
      <c r="F5800" s="49" t="str"/>
      <c r="G5800" s="59" t="str"/>
      <c r="H5800" s="64" t="str"/>
      <c r="I5800" s="65" t="str"/>
      <c r="J5800" s="49" t="str"/>
      <c r="K5800" s="41" t="str"/>
      <c r="L5800" s="41" t="str"/>
      <c r="M5800" s="41" t="str"/>
      <c r="N5800" s="41" t="str"/>
      <c r="O5800" s="41" t="str"/>
      <c r="P5800" s="41" t="str"/>
      <c r="Q5800" s="41" t="str"/>
      <c r="R5800" s="41" t="str"/>
      <c r="S5800" s="41" t="str"/>
      <c r="T5800" s="41" t="str"/>
      <c r="U5800" s="41" t="str"/>
      <c r="V5800" s="41" t="str"/>
      <c r="W5800" s="41" t="str"/>
    </row>
    <row r="5801">
      <c r="B5801" s="2" t="n"/>
      <c r="C5801" s="40" t="n"/>
      <c r="D5801" s="52">
        <f t="array" ref="D5801:W5801">IF(All_Students_Scores!C5799:V5799="","",All_Students_Scores!C5799:V5799)</f>
        <v/>
      </c>
      <c r="E5801" s="57" t="str"/>
      <c r="F5801" s="49" t="str"/>
      <c r="G5801" s="59" t="str"/>
      <c r="H5801" s="64" t="str"/>
      <c r="I5801" s="65" t="str"/>
      <c r="J5801" s="49" t="str"/>
      <c r="K5801" s="41" t="str"/>
      <c r="L5801" s="41" t="str"/>
      <c r="M5801" s="41" t="str"/>
      <c r="N5801" s="41" t="str"/>
      <c r="O5801" s="41" t="str"/>
      <c r="P5801" s="41" t="str"/>
      <c r="Q5801" s="41" t="str"/>
      <c r="R5801" s="41" t="str"/>
      <c r="S5801" s="41" t="str"/>
      <c r="T5801" s="41" t="str"/>
      <c r="U5801" s="41" t="str"/>
      <c r="V5801" s="41" t="str"/>
      <c r="W5801" s="41" t="str"/>
    </row>
    <row r="5802">
      <c r="B5802" s="2" t="n"/>
      <c r="C5802" s="40" t="n"/>
      <c r="D5802" s="52">
        <f t="array" ref="D5802:W5802">IF(All_Students_Scores!C5800:V5800="","",All_Students_Scores!C5800:V5800)</f>
        <v/>
      </c>
      <c r="E5802" s="57" t="str"/>
      <c r="F5802" s="49" t="str"/>
      <c r="G5802" s="59" t="str"/>
      <c r="H5802" s="64" t="str"/>
      <c r="I5802" s="65" t="str"/>
      <c r="J5802" s="49" t="str"/>
      <c r="K5802" s="41" t="str"/>
      <c r="L5802" s="41" t="str"/>
      <c r="M5802" s="41" t="str"/>
      <c r="N5802" s="41" t="str"/>
      <c r="O5802" s="41" t="str"/>
      <c r="P5802" s="41" t="str"/>
      <c r="Q5802" s="41" t="str"/>
      <c r="R5802" s="41" t="str"/>
      <c r="S5802" s="41" t="str"/>
      <c r="T5802" s="41" t="str"/>
      <c r="U5802" s="41" t="str"/>
      <c r="V5802" s="41" t="str"/>
      <c r="W5802" s="41" t="str"/>
    </row>
    <row r="5803">
      <c r="B5803" s="2" t="n"/>
      <c r="C5803" s="40" t="n"/>
      <c r="D5803" s="52">
        <f t="array" ref="D5803:W5803">IF(All_Students_Scores!C5801:V5801="","",All_Students_Scores!C5801:V5801)</f>
        <v/>
      </c>
      <c r="E5803" s="57" t="str"/>
      <c r="F5803" s="49" t="str"/>
      <c r="G5803" s="59" t="str"/>
      <c r="H5803" s="64" t="str"/>
      <c r="I5803" s="65" t="str"/>
      <c r="J5803" s="49" t="str"/>
      <c r="K5803" s="41" t="str"/>
      <c r="L5803" s="41" t="str"/>
      <c r="M5803" s="41" t="str"/>
      <c r="N5803" s="41" t="str"/>
      <c r="O5803" s="41" t="str"/>
      <c r="P5803" s="41" t="str"/>
      <c r="Q5803" s="41" t="str"/>
      <c r="R5803" s="41" t="str"/>
      <c r="S5803" s="41" t="str"/>
      <c r="T5803" s="41" t="str"/>
      <c r="U5803" s="41" t="str"/>
      <c r="V5803" s="41" t="str"/>
      <c r="W5803" s="41" t="str"/>
    </row>
    <row r="5804">
      <c r="B5804" s="2" t="n"/>
      <c r="C5804" s="40" t="n"/>
      <c r="D5804" s="52">
        <f t="array" ref="D5804:W5804">IF(All_Students_Scores!C5802:V5802="","",All_Students_Scores!C5802:V5802)</f>
        <v/>
      </c>
      <c r="E5804" s="57" t="str"/>
      <c r="F5804" s="49" t="str"/>
      <c r="G5804" s="59" t="str"/>
      <c r="H5804" s="64" t="str"/>
      <c r="I5804" s="65" t="str"/>
      <c r="J5804" s="49" t="str"/>
      <c r="K5804" s="41" t="str"/>
      <c r="L5804" s="41" t="str"/>
      <c r="M5804" s="41" t="str"/>
      <c r="N5804" s="41" t="str"/>
      <c r="O5804" s="41" t="str"/>
      <c r="P5804" s="41" t="str"/>
      <c r="Q5804" s="41" t="str"/>
      <c r="R5804" s="41" t="str"/>
      <c r="S5804" s="41" t="str"/>
      <c r="T5804" s="41" t="str"/>
      <c r="U5804" s="41" t="str"/>
      <c r="V5804" s="41" t="str"/>
      <c r="W5804" s="41" t="str"/>
    </row>
    <row r="5805">
      <c r="B5805" s="2" t="n"/>
      <c r="C5805" s="40" t="n"/>
      <c r="D5805" s="52">
        <f t="array" ref="D5805:W5805">IF(All_Students_Scores!C5803:V5803="","",All_Students_Scores!C5803:V5803)</f>
        <v/>
      </c>
      <c r="E5805" s="57" t="str"/>
      <c r="F5805" s="49" t="str"/>
      <c r="G5805" s="59" t="str"/>
      <c r="H5805" s="64" t="str"/>
      <c r="I5805" s="65" t="str"/>
      <c r="J5805" s="49" t="str"/>
      <c r="K5805" s="41" t="str"/>
      <c r="L5805" s="41" t="str"/>
      <c r="M5805" s="41" t="str"/>
      <c r="N5805" s="41" t="str"/>
      <c r="O5805" s="41" t="str"/>
      <c r="P5805" s="41" t="str"/>
      <c r="Q5805" s="41" t="str"/>
      <c r="R5805" s="41" t="str"/>
      <c r="S5805" s="41" t="str"/>
      <c r="T5805" s="41" t="str"/>
      <c r="U5805" s="41" t="str"/>
      <c r="V5805" s="41" t="str"/>
      <c r="W5805" s="41" t="str"/>
    </row>
    <row r="5806">
      <c r="B5806" s="2" t="n"/>
      <c r="C5806" s="40" t="n"/>
      <c r="D5806" s="52">
        <f t="array" ref="D5806:W5806">IF(All_Students_Scores!C5804:V5804="","",All_Students_Scores!C5804:V5804)</f>
        <v/>
      </c>
      <c r="E5806" s="57" t="str"/>
      <c r="F5806" s="49" t="str"/>
      <c r="G5806" s="59" t="str"/>
      <c r="H5806" s="64" t="str"/>
      <c r="I5806" s="65" t="str"/>
      <c r="J5806" s="49" t="str"/>
      <c r="K5806" s="41" t="str"/>
      <c r="L5806" s="41" t="str"/>
      <c r="M5806" s="41" t="str"/>
      <c r="N5806" s="41" t="str"/>
      <c r="O5806" s="41" t="str"/>
      <c r="P5806" s="41" t="str"/>
      <c r="Q5806" s="41" t="str"/>
      <c r="R5806" s="41" t="str"/>
      <c r="S5806" s="41" t="str"/>
      <c r="T5806" s="41" t="str"/>
      <c r="U5806" s="41" t="str"/>
      <c r="V5806" s="41" t="str"/>
      <c r="W5806" s="41" t="str"/>
    </row>
    <row r="5807">
      <c r="B5807" s="2" t="n"/>
      <c r="C5807" s="40" t="n"/>
      <c r="D5807" s="52">
        <f t="array" ref="D5807:W5807">IF(All_Students_Scores!C5805:V5805="","",All_Students_Scores!C5805:V5805)</f>
        <v/>
      </c>
      <c r="E5807" s="57" t="str"/>
      <c r="F5807" s="49" t="str"/>
      <c r="G5807" s="59" t="str"/>
      <c r="H5807" s="64" t="str"/>
      <c r="I5807" s="65" t="str"/>
      <c r="J5807" s="49" t="str"/>
      <c r="K5807" s="41" t="str"/>
      <c r="L5807" s="41" t="str"/>
      <c r="M5807" s="41" t="str"/>
      <c r="N5807" s="41" t="str"/>
      <c r="O5807" s="41" t="str"/>
      <c r="P5807" s="41" t="str"/>
      <c r="Q5807" s="41" t="str"/>
      <c r="R5807" s="41" t="str"/>
      <c r="S5807" s="41" t="str"/>
      <c r="T5807" s="41" t="str"/>
      <c r="U5807" s="41" t="str"/>
      <c r="V5807" s="41" t="str"/>
      <c r="W5807" s="41" t="str"/>
    </row>
    <row r="5808">
      <c r="B5808" s="2" t="n"/>
      <c r="C5808" s="40" t="n"/>
      <c r="D5808" s="52">
        <f t="array" ref="D5808:W5808">IF(All_Students_Scores!C5806:V5806="","",All_Students_Scores!C5806:V5806)</f>
        <v/>
      </c>
      <c r="E5808" s="57" t="str"/>
      <c r="F5808" s="49" t="str"/>
      <c r="G5808" s="59" t="str"/>
      <c r="H5808" s="64" t="str"/>
      <c r="I5808" s="65" t="str"/>
      <c r="J5808" s="49" t="str"/>
      <c r="K5808" s="41" t="str"/>
      <c r="L5808" s="41" t="str"/>
      <c r="M5808" s="41" t="str"/>
      <c r="N5808" s="41" t="str"/>
      <c r="O5808" s="41" t="str"/>
      <c r="P5808" s="41" t="str"/>
      <c r="Q5808" s="41" t="str"/>
      <c r="R5808" s="41" t="str"/>
      <c r="S5808" s="41" t="str"/>
      <c r="T5808" s="41" t="str"/>
      <c r="U5808" s="41" t="str"/>
      <c r="V5808" s="41" t="str"/>
      <c r="W5808" s="41" t="str"/>
    </row>
    <row r="5809">
      <c r="B5809" s="2" t="n"/>
      <c r="C5809" s="40" t="n"/>
      <c r="D5809" s="52">
        <f t="array" ref="D5809:W5809">IF(All_Students_Scores!C5807:V5807="","",All_Students_Scores!C5807:V5807)</f>
        <v/>
      </c>
      <c r="E5809" s="57" t="str"/>
      <c r="F5809" s="49" t="str"/>
      <c r="G5809" s="59" t="str"/>
      <c r="H5809" s="64" t="str"/>
      <c r="I5809" s="65" t="str"/>
      <c r="J5809" s="49" t="str"/>
      <c r="K5809" s="41" t="str"/>
      <c r="L5809" s="41" t="str"/>
      <c r="M5809" s="41" t="str"/>
      <c r="N5809" s="41" t="str"/>
      <c r="O5809" s="41" t="str"/>
      <c r="P5809" s="41" t="str"/>
      <c r="Q5809" s="41" t="str"/>
      <c r="R5809" s="41" t="str"/>
      <c r="S5809" s="41" t="str"/>
      <c r="T5809" s="41" t="str"/>
      <c r="U5809" s="41" t="str"/>
      <c r="V5809" s="41" t="str"/>
      <c r="W5809" s="41" t="str"/>
    </row>
    <row r="5810">
      <c r="B5810" s="2" t="n"/>
      <c r="C5810" s="40" t="n"/>
      <c r="D5810" s="52">
        <f t="array" ref="D5810:W5810">IF(All_Students_Scores!C5808:V5808="","",All_Students_Scores!C5808:V5808)</f>
        <v/>
      </c>
      <c r="E5810" s="57" t="str"/>
      <c r="F5810" s="49" t="str"/>
      <c r="G5810" s="59" t="str"/>
      <c r="H5810" s="64" t="str"/>
      <c r="I5810" s="65" t="str"/>
      <c r="J5810" s="49" t="str"/>
      <c r="K5810" s="41" t="str"/>
      <c r="L5810" s="41" t="str"/>
      <c r="M5810" s="41" t="str"/>
      <c r="N5810" s="41" t="str"/>
      <c r="O5810" s="41" t="str"/>
      <c r="P5810" s="41" t="str"/>
      <c r="Q5810" s="41" t="str"/>
      <c r="R5810" s="41" t="str"/>
      <c r="S5810" s="41" t="str"/>
      <c r="T5810" s="41" t="str"/>
      <c r="U5810" s="41" t="str"/>
      <c r="V5810" s="41" t="str"/>
      <c r="W5810" s="41" t="str"/>
    </row>
    <row r="5811">
      <c r="B5811" s="2" t="n"/>
      <c r="C5811" s="40" t="n"/>
      <c r="D5811" s="52">
        <f t="array" ref="D5811:W5811">IF(All_Students_Scores!C5809:V5809="","",All_Students_Scores!C5809:V5809)</f>
        <v/>
      </c>
      <c r="E5811" s="57" t="str"/>
      <c r="F5811" s="49" t="str"/>
      <c r="G5811" s="59" t="str"/>
      <c r="H5811" s="64" t="str"/>
      <c r="I5811" s="65" t="str"/>
      <c r="J5811" s="49" t="str"/>
      <c r="K5811" s="41" t="str"/>
      <c r="L5811" s="41" t="str"/>
      <c r="M5811" s="41" t="str"/>
      <c r="N5811" s="41" t="str"/>
      <c r="O5811" s="41" t="str"/>
      <c r="P5811" s="41" t="str"/>
      <c r="Q5811" s="41" t="str"/>
      <c r="R5811" s="41" t="str"/>
      <c r="S5811" s="41" t="str"/>
      <c r="T5811" s="41" t="str"/>
      <c r="U5811" s="41" t="str"/>
      <c r="V5811" s="41" t="str"/>
      <c r="W5811" s="41" t="str"/>
    </row>
    <row r="5812">
      <c r="B5812" s="2" t="n"/>
      <c r="C5812" s="40" t="n"/>
      <c r="D5812" s="52">
        <f t="array" ref="D5812:W5812">IF(All_Students_Scores!C5810:V5810="","",All_Students_Scores!C5810:V5810)</f>
        <v/>
      </c>
      <c r="E5812" s="57" t="str"/>
      <c r="F5812" s="49" t="str"/>
      <c r="G5812" s="59" t="str"/>
      <c r="H5812" s="64" t="str"/>
      <c r="I5812" s="65" t="str"/>
      <c r="J5812" s="49" t="str"/>
      <c r="K5812" s="41" t="str"/>
      <c r="L5812" s="41" t="str"/>
      <c r="M5812" s="41" t="str"/>
      <c r="N5812" s="41" t="str"/>
      <c r="O5812" s="41" t="str"/>
      <c r="P5812" s="41" t="str"/>
      <c r="Q5812" s="41" t="str"/>
      <c r="R5812" s="41" t="str"/>
      <c r="S5812" s="41" t="str"/>
      <c r="T5812" s="41" t="str"/>
      <c r="U5812" s="41" t="str"/>
      <c r="V5812" s="41" t="str"/>
      <c r="W5812" s="41" t="str"/>
    </row>
    <row r="5813">
      <c r="B5813" s="2" t="n"/>
      <c r="C5813" s="40" t="n"/>
      <c r="D5813" s="52">
        <f t="array" ref="D5813:W5813">IF(All_Students_Scores!C5811:V5811="","",All_Students_Scores!C5811:V5811)</f>
        <v/>
      </c>
      <c r="E5813" s="57" t="str"/>
      <c r="F5813" s="49" t="str"/>
      <c r="G5813" s="59" t="str"/>
      <c r="H5813" s="64" t="str"/>
      <c r="I5813" s="65" t="str"/>
      <c r="J5813" s="49" t="str"/>
      <c r="K5813" s="41" t="str"/>
      <c r="L5813" s="41" t="str"/>
      <c r="M5813" s="41" t="str"/>
      <c r="N5813" s="41" t="str"/>
      <c r="O5813" s="41" t="str"/>
      <c r="P5813" s="41" t="str"/>
      <c r="Q5813" s="41" t="str"/>
      <c r="R5813" s="41" t="str"/>
      <c r="S5813" s="41" t="str"/>
      <c r="T5813" s="41" t="str"/>
      <c r="U5813" s="41" t="str"/>
      <c r="V5813" s="41" t="str"/>
      <c r="W5813" s="41" t="str"/>
    </row>
    <row r="5814">
      <c r="B5814" s="2" t="n"/>
      <c r="C5814" s="40" t="n"/>
      <c r="D5814" s="52">
        <f t="array" ref="D5814:W5814">IF(All_Students_Scores!C5812:V5812="","",All_Students_Scores!C5812:V5812)</f>
        <v/>
      </c>
      <c r="E5814" s="57" t="str"/>
      <c r="F5814" s="49" t="str"/>
      <c r="G5814" s="59" t="str"/>
      <c r="H5814" s="64" t="str"/>
      <c r="I5814" s="65" t="str"/>
      <c r="J5814" s="49" t="str"/>
      <c r="K5814" s="41" t="str"/>
      <c r="L5814" s="41" t="str"/>
      <c r="M5814" s="41" t="str"/>
      <c r="N5814" s="41" t="str"/>
      <c r="O5814" s="41" t="str"/>
      <c r="P5814" s="41" t="str"/>
      <c r="Q5814" s="41" t="str"/>
      <c r="R5814" s="41" t="str"/>
      <c r="S5814" s="41" t="str"/>
      <c r="T5814" s="41" t="str"/>
      <c r="U5814" s="41" t="str"/>
      <c r="V5814" s="41" t="str"/>
      <c r="W5814" s="41" t="str"/>
    </row>
    <row r="5815">
      <c r="B5815" s="2" t="n"/>
      <c r="C5815" s="40" t="n"/>
      <c r="D5815" s="52">
        <f t="array" ref="D5815:W5815">IF(All_Students_Scores!C5813:V5813="","",All_Students_Scores!C5813:V5813)</f>
        <v/>
      </c>
      <c r="E5815" s="57" t="str"/>
      <c r="F5815" s="49" t="str"/>
      <c r="G5815" s="59" t="str"/>
      <c r="H5815" s="64" t="str"/>
      <c r="I5815" s="65" t="str"/>
      <c r="J5815" s="49" t="str"/>
      <c r="K5815" s="41" t="str"/>
      <c r="L5815" s="41" t="str"/>
      <c r="M5815" s="41" t="str"/>
      <c r="N5815" s="41" t="str"/>
      <c r="O5815" s="41" t="str"/>
      <c r="P5815" s="41" t="str"/>
      <c r="Q5815" s="41" t="str"/>
      <c r="R5815" s="41" t="str"/>
      <c r="S5815" s="41" t="str"/>
      <c r="T5815" s="41" t="str"/>
      <c r="U5815" s="41" t="str"/>
      <c r="V5815" s="41" t="str"/>
      <c r="W5815" s="41" t="str"/>
    </row>
    <row r="5816">
      <c r="B5816" s="2" t="n"/>
      <c r="C5816" s="40" t="n"/>
      <c r="D5816" s="52">
        <f t="array" ref="D5816:W5816">IF(All_Students_Scores!C5814:V5814="","",All_Students_Scores!C5814:V5814)</f>
        <v/>
      </c>
      <c r="E5816" s="57" t="str"/>
      <c r="F5816" s="49" t="str"/>
      <c r="G5816" s="59" t="str"/>
      <c r="H5816" s="64" t="str"/>
      <c r="I5816" s="65" t="str"/>
      <c r="J5816" s="49" t="str"/>
      <c r="K5816" s="41" t="str"/>
      <c r="L5816" s="41" t="str"/>
      <c r="M5816" s="41" t="str"/>
      <c r="N5816" s="41" t="str"/>
      <c r="O5816" s="41" t="str"/>
      <c r="P5816" s="41" t="str"/>
      <c r="Q5816" s="41" t="str"/>
      <c r="R5816" s="41" t="str"/>
      <c r="S5816" s="41" t="str"/>
      <c r="T5816" s="41" t="str"/>
      <c r="U5816" s="41" t="str"/>
      <c r="V5816" s="41" t="str"/>
      <c r="W5816" s="41" t="str"/>
    </row>
    <row r="5817">
      <c r="B5817" s="2" t="n"/>
      <c r="C5817" s="40" t="n"/>
      <c r="D5817" s="52">
        <f t="array" ref="D5817:W5817">IF(All_Students_Scores!C5815:V5815="","",All_Students_Scores!C5815:V5815)</f>
        <v/>
      </c>
      <c r="E5817" s="57" t="str"/>
      <c r="F5817" s="49" t="str"/>
      <c r="G5817" s="59" t="str"/>
      <c r="H5817" s="64" t="str"/>
      <c r="I5817" s="65" t="str"/>
      <c r="J5817" s="49" t="str"/>
      <c r="K5817" s="41" t="str"/>
      <c r="L5817" s="41" t="str"/>
      <c r="M5817" s="41" t="str"/>
      <c r="N5817" s="41" t="str"/>
      <c r="O5817" s="41" t="str"/>
      <c r="P5817" s="41" t="str"/>
      <c r="Q5817" s="41" t="str"/>
      <c r="R5817" s="41" t="str"/>
      <c r="S5817" s="41" t="str"/>
      <c r="T5817" s="41" t="str"/>
      <c r="U5817" s="41" t="str"/>
      <c r="V5817" s="41" t="str"/>
      <c r="W5817" s="41" t="str"/>
    </row>
    <row r="5818">
      <c r="B5818" s="2" t="n"/>
      <c r="C5818" s="40" t="n"/>
      <c r="D5818" s="52">
        <f t="array" ref="D5818:W5818">IF(All_Students_Scores!C5816:V5816="","",All_Students_Scores!C5816:V5816)</f>
        <v/>
      </c>
      <c r="E5818" s="57" t="str"/>
      <c r="F5818" s="49" t="str"/>
      <c r="G5818" s="59" t="str"/>
      <c r="H5818" s="64" t="str"/>
      <c r="I5818" s="65" t="str"/>
      <c r="J5818" s="49" t="str"/>
      <c r="K5818" s="41" t="str"/>
      <c r="L5818" s="41" t="str"/>
      <c r="M5818" s="41" t="str"/>
      <c r="N5818" s="41" t="str"/>
      <c r="O5818" s="41" t="str"/>
      <c r="P5818" s="41" t="str"/>
      <c r="Q5818" s="41" t="str"/>
      <c r="R5818" s="41" t="str"/>
      <c r="S5818" s="41" t="str"/>
      <c r="T5818" s="41" t="str"/>
      <c r="U5818" s="41" t="str"/>
      <c r="V5818" s="41" t="str"/>
      <c r="W5818" s="41" t="str"/>
    </row>
    <row r="5819">
      <c r="B5819" s="2" t="n"/>
      <c r="C5819" s="40" t="n"/>
      <c r="D5819" s="52">
        <f t="array" ref="D5819:W5819">IF(All_Students_Scores!C5817:V5817="","",All_Students_Scores!C5817:V5817)</f>
        <v/>
      </c>
      <c r="E5819" s="57" t="str"/>
      <c r="F5819" s="49" t="str"/>
      <c r="G5819" s="59" t="str"/>
      <c r="H5819" s="64" t="str"/>
      <c r="I5819" s="65" t="str"/>
      <c r="J5819" s="49" t="str"/>
      <c r="K5819" s="41" t="str"/>
      <c r="L5819" s="41" t="str"/>
      <c r="M5819" s="41" t="str"/>
      <c r="N5819" s="41" t="str"/>
      <c r="O5819" s="41" t="str"/>
      <c r="P5819" s="41" t="str"/>
      <c r="Q5819" s="41" t="str"/>
      <c r="R5819" s="41" t="str"/>
      <c r="S5819" s="41" t="str"/>
      <c r="T5819" s="41" t="str"/>
      <c r="U5819" s="41" t="str"/>
      <c r="V5819" s="41" t="str"/>
      <c r="W5819" s="41" t="str"/>
    </row>
    <row r="5820">
      <c r="B5820" s="2" t="n"/>
      <c r="C5820" s="40" t="n"/>
      <c r="D5820" s="52">
        <f t="array" ref="D5820:W5820">IF(All_Students_Scores!C5818:V5818="","",All_Students_Scores!C5818:V5818)</f>
        <v/>
      </c>
      <c r="E5820" s="57" t="str"/>
      <c r="F5820" s="49" t="str"/>
      <c r="G5820" s="59" t="str"/>
      <c r="H5820" s="64" t="str"/>
      <c r="I5820" s="65" t="str"/>
      <c r="J5820" s="49" t="str"/>
      <c r="K5820" s="41" t="str"/>
      <c r="L5820" s="41" t="str"/>
      <c r="M5820" s="41" t="str"/>
      <c r="N5820" s="41" t="str"/>
      <c r="O5820" s="41" t="str"/>
      <c r="P5820" s="41" t="str"/>
      <c r="Q5820" s="41" t="str"/>
      <c r="R5820" s="41" t="str"/>
      <c r="S5820" s="41" t="str"/>
      <c r="T5820" s="41" t="str"/>
      <c r="U5820" s="41" t="str"/>
      <c r="V5820" s="41" t="str"/>
      <c r="W5820" s="41" t="str"/>
    </row>
    <row r="5821">
      <c r="B5821" s="2" t="n"/>
      <c r="C5821" s="40" t="n"/>
      <c r="D5821" s="52">
        <f t="array" ref="D5821:W5821">IF(All_Students_Scores!C5819:V5819="","",All_Students_Scores!C5819:V5819)</f>
        <v/>
      </c>
      <c r="E5821" s="57" t="str"/>
      <c r="F5821" s="49" t="str"/>
      <c r="G5821" s="59" t="str"/>
      <c r="H5821" s="64" t="str"/>
      <c r="I5821" s="65" t="str"/>
      <c r="J5821" s="49" t="str"/>
      <c r="K5821" s="41" t="str"/>
      <c r="L5821" s="41" t="str"/>
      <c r="M5821" s="41" t="str"/>
      <c r="N5821" s="41" t="str"/>
      <c r="O5821" s="41" t="str"/>
      <c r="P5821" s="41" t="str"/>
      <c r="Q5821" s="41" t="str"/>
      <c r="R5821" s="41" t="str"/>
      <c r="S5821" s="41" t="str"/>
      <c r="T5821" s="41" t="str"/>
      <c r="U5821" s="41" t="str"/>
      <c r="V5821" s="41" t="str"/>
      <c r="W5821" s="41" t="str"/>
    </row>
    <row r="5822">
      <c r="B5822" s="2" t="n"/>
      <c r="C5822" s="40" t="n"/>
      <c r="D5822" s="52">
        <f t="array" ref="D5822:W5822">IF(All_Students_Scores!C5820:V5820="","",All_Students_Scores!C5820:V5820)</f>
        <v/>
      </c>
      <c r="E5822" s="57" t="str"/>
      <c r="F5822" s="49" t="str"/>
      <c r="G5822" s="59" t="str"/>
      <c r="H5822" s="64" t="str"/>
      <c r="I5822" s="65" t="str"/>
      <c r="J5822" s="49" t="str"/>
      <c r="K5822" s="41" t="str"/>
      <c r="L5822" s="41" t="str"/>
      <c r="M5822" s="41" t="str"/>
      <c r="N5822" s="41" t="str"/>
      <c r="O5822" s="41" t="str"/>
      <c r="P5822" s="41" t="str"/>
      <c r="Q5822" s="41" t="str"/>
      <c r="R5822" s="41" t="str"/>
      <c r="S5822" s="41" t="str"/>
      <c r="T5822" s="41" t="str"/>
      <c r="U5822" s="41" t="str"/>
      <c r="V5822" s="41" t="str"/>
      <c r="W5822" s="41" t="str"/>
    </row>
    <row r="5823">
      <c r="B5823" s="2" t="n"/>
      <c r="C5823" s="40" t="n"/>
      <c r="D5823" s="52">
        <f t="array" ref="D5823:W5823">IF(All_Students_Scores!C5821:V5821="","",All_Students_Scores!C5821:V5821)</f>
        <v/>
      </c>
      <c r="E5823" s="57" t="str"/>
      <c r="F5823" s="49" t="str"/>
      <c r="G5823" s="59" t="str"/>
      <c r="H5823" s="64" t="str"/>
      <c r="I5823" s="65" t="str"/>
      <c r="J5823" s="49" t="str"/>
      <c r="K5823" s="41" t="str"/>
      <c r="L5823" s="41" t="str"/>
      <c r="M5823" s="41" t="str"/>
      <c r="N5823" s="41" t="str"/>
      <c r="O5823" s="41" t="str"/>
      <c r="P5823" s="41" t="str"/>
      <c r="Q5823" s="41" t="str"/>
      <c r="R5823" s="41" t="str"/>
      <c r="S5823" s="41" t="str"/>
      <c r="T5823" s="41" t="str"/>
      <c r="U5823" s="41" t="str"/>
      <c r="V5823" s="41" t="str"/>
      <c r="W5823" s="41" t="str"/>
    </row>
    <row r="5824">
      <c r="B5824" s="2" t="n"/>
      <c r="C5824" s="40" t="n"/>
      <c r="D5824" s="52">
        <f t="array" ref="D5824:W5824">IF(All_Students_Scores!C5822:V5822="","",All_Students_Scores!C5822:V5822)</f>
        <v/>
      </c>
      <c r="E5824" s="57" t="str"/>
      <c r="F5824" s="49" t="str"/>
      <c r="G5824" s="59" t="str"/>
      <c r="H5824" s="64" t="str"/>
      <c r="I5824" s="65" t="str"/>
      <c r="J5824" s="49" t="str"/>
      <c r="K5824" s="41" t="str"/>
      <c r="L5824" s="41" t="str"/>
      <c r="M5824" s="41" t="str"/>
      <c r="N5824" s="41" t="str"/>
      <c r="O5824" s="41" t="str"/>
      <c r="P5824" s="41" t="str"/>
      <c r="Q5824" s="41" t="str"/>
      <c r="R5824" s="41" t="str"/>
      <c r="S5824" s="41" t="str"/>
      <c r="T5824" s="41" t="str"/>
      <c r="U5824" s="41" t="str"/>
      <c r="V5824" s="41" t="str"/>
      <c r="W5824" s="41" t="str"/>
    </row>
    <row r="5825">
      <c r="B5825" s="2" t="n"/>
      <c r="C5825" s="40" t="n"/>
      <c r="D5825" s="52">
        <f t="array" ref="D5825:W5825">IF(All_Students_Scores!C5823:V5823="","",All_Students_Scores!C5823:V5823)</f>
        <v/>
      </c>
      <c r="E5825" s="57" t="str"/>
      <c r="F5825" s="49" t="str"/>
      <c r="G5825" s="59" t="str"/>
      <c r="H5825" s="64" t="str"/>
      <c r="I5825" s="65" t="str"/>
      <c r="J5825" s="49" t="str"/>
      <c r="K5825" s="41" t="str"/>
      <c r="L5825" s="41" t="str"/>
      <c r="M5825" s="41" t="str"/>
      <c r="N5825" s="41" t="str"/>
      <c r="O5825" s="41" t="str"/>
      <c r="P5825" s="41" t="str"/>
      <c r="Q5825" s="41" t="str"/>
      <c r="R5825" s="41" t="str"/>
      <c r="S5825" s="41" t="str"/>
      <c r="T5825" s="41" t="str"/>
      <c r="U5825" s="41" t="str"/>
      <c r="V5825" s="41" t="str"/>
      <c r="W5825" s="41" t="str"/>
    </row>
    <row r="5826">
      <c r="B5826" s="2" t="n"/>
      <c r="C5826" s="40" t="n"/>
      <c r="D5826" s="52">
        <f t="array" ref="D5826:W5826">IF(All_Students_Scores!C5824:V5824="","",All_Students_Scores!C5824:V5824)</f>
        <v/>
      </c>
      <c r="E5826" s="57" t="str"/>
      <c r="F5826" s="49" t="str"/>
      <c r="G5826" s="59" t="str"/>
      <c r="H5826" s="64" t="str"/>
      <c r="I5826" s="65" t="str"/>
      <c r="J5826" s="49" t="str"/>
      <c r="K5826" s="41" t="str"/>
      <c r="L5826" s="41" t="str"/>
      <c r="M5826" s="41" t="str"/>
      <c r="N5826" s="41" t="str"/>
      <c r="O5826" s="41" t="str"/>
      <c r="P5826" s="41" t="str"/>
      <c r="Q5826" s="41" t="str"/>
      <c r="R5826" s="41" t="str"/>
      <c r="S5826" s="41" t="str"/>
      <c r="T5826" s="41" t="str"/>
      <c r="U5826" s="41" t="str"/>
      <c r="V5826" s="41" t="str"/>
      <c r="W5826" s="41" t="str"/>
    </row>
    <row r="5827">
      <c r="B5827" s="2" t="n"/>
      <c r="C5827" s="40" t="n"/>
      <c r="D5827" s="52">
        <f t="array" ref="D5827:W5827">IF(All_Students_Scores!C5825:V5825="","",All_Students_Scores!C5825:V5825)</f>
        <v/>
      </c>
      <c r="E5827" s="57" t="str"/>
      <c r="F5827" s="49" t="str"/>
      <c r="G5827" s="59" t="str"/>
      <c r="H5827" s="64" t="str"/>
      <c r="I5827" s="65" t="str"/>
      <c r="J5827" s="49" t="str"/>
      <c r="K5827" s="41" t="str"/>
      <c r="L5827" s="41" t="str"/>
      <c r="M5827" s="41" t="str"/>
      <c r="N5827" s="41" t="str"/>
      <c r="O5827" s="41" t="str"/>
      <c r="P5827" s="41" t="str"/>
      <c r="Q5827" s="41" t="str"/>
      <c r="R5827" s="41" t="str"/>
      <c r="S5827" s="41" t="str"/>
      <c r="T5827" s="41" t="str"/>
      <c r="U5827" s="41" t="str"/>
      <c r="V5827" s="41" t="str"/>
      <c r="W5827" s="41" t="str"/>
    </row>
    <row r="5828">
      <c r="B5828" s="2" t="n"/>
      <c r="C5828" s="40" t="n"/>
      <c r="D5828" s="52">
        <f t="array" ref="D5828:W5828">IF(All_Students_Scores!C5826:V5826="","",All_Students_Scores!C5826:V5826)</f>
        <v/>
      </c>
      <c r="E5828" s="57" t="str"/>
      <c r="F5828" s="49" t="str"/>
      <c r="G5828" s="59" t="str"/>
      <c r="H5828" s="64" t="str"/>
      <c r="I5828" s="65" t="str"/>
      <c r="J5828" s="49" t="str"/>
      <c r="K5828" s="41" t="str"/>
      <c r="L5828" s="41" t="str"/>
      <c r="M5828" s="41" t="str"/>
      <c r="N5828" s="41" t="str"/>
      <c r="O5828" s="41" t="str"/>
      <c r="P5828" s="41" t="str"/>
      <c r="Q5828" s="41" t="str"/>
      <c r="R5828" s="41" t="str"/>
      <c r="S5828" s="41" t="str"/>
      <c r="T5828" s="41" t="str"/>
      <c r="U5828" s="41" t="str"/>
      <c r="V5828" s="41" t="str"/>
      <c r="W5828" s="41" t="str"/>
    </row>
    <row r="5829">
      <c r="B5829" s="2" t="n"/>
      <c r="C5829" s="40" t="n"/>
      <c r="D5829" s="52">
        <f t="array" ref="D5829:W5829">IF(All_Students_Scores!C5827:V5827="","",All_Students_Scores!C5827:V5827)</f>
        <v/>
      </c>
      <c r="E5829" s="57" t="str"/>
      <c r="F5829" s="49" t="str"/>
      <c r="G5829" s="59" t="str"/>
      <c r="H5829" s="64" t="str"/>
      <c r="I5829" s="65" t="str"/>
      <c r="J5829" s="49" t="str"/>
      <c r="K5829" s="41" t="str"/>
      <c r="L5829" s="41" t="str"/>
      <c r="M5829" s="41" t="str"/>
      <c r="N5829" s="41" t="str"/>
      <c r="O5829" s="41" t="str"/>
      <c r="P5829" s="41" t="str"/>
      <c r="Q5829" s="41" t="str"/>
      <c r="R5829" s="41" t="str"/>
      <c r="S5829" s="41" t="str"/>
      <c r="T5829" s="41" t="str"/>
      <c r="U5829" s="41" t="str"/>
      <c r="V5829" s="41" t="str"/>
      <c r="W5829" s="41" t="str"/>
    </row>
    <row r="5830">
      <c r="B5830" s="2" t="n"/>
      <c r="C5830" s="40" t="n"/>
      <c r="D5830" s="52">
        <f t="array" ref="D5830:W5830">IF(All_Students_Scores!C5828:V5828="","",All_Students_Scores!C5828:V5828)</f>
        <v/>
      </c>
      <c r="E5830" s="57" t="str"/>
      <c r="F5830" s="49" t="str"/>
      <c r="G5830" s="59" t="str"/>
      <c r="H5830" s="64" t="str"/>
      <c r="I5830" s="65" t="str"/>
      <c r="J5830" s="49" t="str"/>
      <c r="K5830" s="41" t="str"/>
      <c r="L5830" s="41" t="str"/>
      <c r="M5830" s="41" t="str"/>
      <c r="N5830" s="41" t="str"/>
      <c r="O5830" s="41" t="str"/>
      <c r="P5830" s="41" t="str"/>
      <c r="Q5830" s="41" t="str"/>
      <c r="R5830" s="41" t="str"/>
      <c r="S5830" s="41" t="str"/>
      <c r="T5830" s="41" t="str"/>
      <c r="U5830" s="41" t="str"/>
      <c r="V5830" s="41" t="str"/>
      <c r="W5830" s="41" t="str"/>
    </row>
    <row r="5831">
      <c r="B5831" s="2" t="n"/>
      <c r="C5831" s="40" t="n"/>
      <c r="D5831" s="52">
        <f t="array" ref="D5831:W5831">IF(All_Students_Scores!C5829:V5829="","",All_Students_Scores!C5829:V5829)</f>
        <v/>
      </c>
      <c r="E5831" s="57" t="str"/>
      <c r="F5831" s="49" t="str"/>
      <c r="G5831" s="59" t="str"/>
      <c r="H5831" s="64" t="str"/>
      <c r="I5831" s="65" t="str"/>
      <c r="J5831" s="49" t="str"/>
      <c r="K5831" s="41" t="str"/>
      <c r="L5831" s="41" t="str"/>
      <c r="M5831" s="41" t="str"/>
      <c r="N5831" s="41" t="str"/>
      <c r="O5831" s="41" t="str"/>
      <c r="P5831" s="41" t="str"/>
      <c r="Q5831" s="41" t="str"/>
      <c r="R5831" s="41" t="str"/>
      <c r="S5831" s="41" t="str"/>
      <c r="T5831" s="41" t="str"/>
      <c r="U5831" s="41" t="str"/>
      <c r="V5831" s="41" t="str"/>
      <c r="W5831" s="41" t="str"/>
    </row>
    <row r="5832">
      <c r="B5832" s="2" t="n"/>
      <c r="C5832" s="40" t="n"/>
      <c r="D5832" s="52">
        <f t="array" ref="D5832:W5832">IF(All_Students_Scores!C5830:V5830="","",All_Students_Scores!C5830:V5830)</f>
        <v/>
      </c>
      <c r="E5832" s="57" t="str"/>
      <c r="F5832" s="49" t="str"/>
      <c r="G5832" s="59" t="str"/>
      <c r="H5832" s="64" t="str"/>
      <c r="I5832" s="65" t="str"/>
      <c r="J5832" s="49" t="str"/>
      <c r="K5832" s="41" t="str"/>
      <c r="L5832" s="41" t="str"/>
      <c r="M5832" s="41" t="str"/>
      <c r="N5832" s="41" t="str"/>
      <c r="O5832" s="41" t="str"/>
      <c r="P5832" s="41" t="str"/>
      <c r="Q5832" s="41" t="str"/>
      <c r="R5832" s="41" t="str"/>
      <c r="S5832" s="41" t="str"/>
      <c r="T5832" s="41" t="str"/>
      <c r="U5832" s="41" t="str"/>
      <c r="V5832" s="41" t="str"/>
      <c r="W5832" s="41" t="str"/>
    </row>
    <row r="5833">
      <c r="B5833" s="2" t="n"/>
      <c r="C5833" s="40" t="n"/>
      <c r="D5833" s="52">
        <f t="array" ref="D5833:W5833">IF(All_Students_Scores!C5831:V5831="","",All_Students_Scores!C5831:V5831)</f>
        <v/>
      </c>
      <c r="E5833" s="57" t="str"/>
      <c r="F5833" s="49" t="str"/>
      <c r="G5833" s="59" t="str"/>
      <c r="H5833" s="64" t="str"/>
      <c r="I5833" s="65" t="str"/>
      <c r="J5833" s="49" t="str"/>
      <c r="K5833" s="41" t="str"/>
      <c r="L5833" s="41" t="str"/>
      <c r="M5833" s="41" t="str"/>
      <c r="N5833" s="41" t="str"/>
      <c r="O5833" s="41" t="str"/>
      <c r="P5833" s="41" t="str"/>
      <c r="Q5833" s="41" t="str"/>
      <c r="R5833" s="41" t="str"/>
      <c r="S5833" s="41" t="str"/>
      <c r="T5833" s="41" t="str"/>
      <c r="U5833" s="41" t="str"/>
      <c r="V5833" s="41" t="str"/>
      <c r="W5833" s="41" t="str"/>
    </row>
    <row r="5834">
      <c r="B5834" s="2" t="n"/>
      <c r="C5834" s="40" t="n"/>
      <c r="D5834" s="52">
        <f t="array" ref="D5834:W5834">IF(All_Students_Scores!C5832:V5832="","",All_Students_Scores!C5832:V5832)</f>
        <v/>
      </c>
      <c r="E5834" s="57" t="str"/>
      <c r="F5834" s="49" t="str"/>
      <c r="G5834" s="59" t="str"/>
      <c r="H5834" s="64" t="str"/>
      <c r="I5834" s="65" t="str"/>
      <c r="J5834" s="49" t="str"/>
      <c r="K5834" s="41" t="str"/>
      <c r="L5834" s="41" t="str"/>
      <c r="M5834" s="41" t="str"/>
      <c r="N5834" s="41" t="str"/>
      <c r="O5834" s="41" t="str"/>
      <c r="P5834" s="41" t="str"/>
      <c r="Q5834" s="41" t="str"/>
      <c r="R5834" s="41" t="str"/>
      <c r="S5834" s="41" t="str"/>
      <c r="T5834" s="41" t="str"/>
      <c r="U5834" s="41" t="str"/>
      <c r="V5834" s="41" t="str"/>
      <c r="W5834" s="41" t="str"/>
    </row>
    <row r="5835">
      <c r="B5835" s="2" t="n"/>
      <c r="C5835" s="40" t="n"/>
      <c r="D5835" s="52">
        <f t="array" ref="D5835:W5835">IF(All_Students_Scores!C5833:V5833="","",All_Students_Scores!C5833:V5833)</f>
        <v/>
      </c>
      <c r="E5835" s="57" t="str"/>
      <c r="F5835" s="49" t="str"/>
      <c r="G5835" s="59" t="str"/>
      <c r="H5835" s="64" t="str"/>
      <c r="I5835" s="65" t="str"/>
      <c r="J5835" s="49" t="str"/>
      <c r="K5835" s="41" t="str"/>
      <c r="L5835" s="41" t="str"/>
      <c r="M5835" s="41" t="str"/>
      <c r="N5835" s="41" t="str"/>
      <c r="O5835" s="41" t="str"/>
      <c r="P5835" s="41" t="str"/>
      <c r="Q5835" s="41" t="str"/>
      <c r="R5835" s="41" t="str"/>
      <c r="S5835" s="41" t="str"/>
      <c r="T5835" s="41" t="str"/>
      <c r="U5835" s="41" t="str"/>
      <c r="V5835" s="41" t="str"/>
      <c r="W5835" s="41" t="str"/>
    </row>
    <row r="5836">
      <c r="B5836" s="2" t="n"/>
      <c r="C5836" s="40" t="n"/>
      <c r="D5836" s="52">
        <f t="array" ref="D5836:W5836">IF(All_Students_Scores!C5834:V5834="","",All_Students_Scores!C5834:V5834)</f>
        <v/>
      </c>
      <c r="E5836" s="57" t="str"/>
      <c r="F5836" s="49" t="str"/>
      <c r="G5836" s="59" t="str"/>
      <c r="H5836" s="64" t="str"/>
      <c r="I5836" s="65" t="str"/>
      <c r="J5836" s="49" t="str"/>
      <c r="K5836" s="41" t="str"/>
      <c r="L5836" s="41" t="str"/>
      <c r="M5836" s="41" t="str"/>
      <c r="N5836" s="41" t="str"/>
      <c r="O5836" s="41" t="str"/>
      <c r="P5836" s="41" t="str"/>
      <c r="Q5836" s="41" t="str"/>
      <c r="R5836" s="41" t="str"/>
      <c r="S5836" s="41" t="str"/>
      <c r="T5836" s="41" t="str"/>
      <c r="U5836" s="41" t="str"/>
      <c r="V5836" s="41" t="str"/>
      <c r="W5836" s="41" t="str"/>
    </row>
    <row r="5837">
      <c r="B5837" s="2" t="n"/>
      <c r="C5837" s="40" t="n"/>
      <c r="D5837" s="52">
        <f t="array" ref="D5837:W5837">IF(All_Students_Scores!C5835:V5835="","",All_Students_Scores!C5835:V5835)</f>
        <v/>
      </c>
      <c r="E5837" s="57" t="str"/>
      <c r="F5837" s="49" t="str"/>
      <c r="G5837" s="59" t="str"/>
      <c r="H5837" s="64" t="str"/>
      <c r="I5837" s="65" t="str"/>
      <c r="J5837" s="49" t="str"/>
      <c r="K5837" s="41" t="str"/>
      <c r="L5837" s="41" t="str"/>
      <c r="M5837" s="41" t="str"/>
      <c r="N5837" s="41" t="str"/>
      <c r="O5837" s="41" t="str"/>
      <c r="P5837" s="41" t="str"/>
      <c r="Q5837" s="41" t="str"/>
      <c r="R5837" s="41" t="str"/>
      <c r="S5837" s="41" t="str"/>
      <c r="T5837" s="41" t="str"/>
      <c r="U5837" s="41" t="str"/>
      <c r="V5837" s="41" t="str"/>
      <c r="W5837" s="41" t="str"/>
    </row>
    <row r="5838">
      <c r="B5838" s="2" t="n"/>
      <c r="C5838" s="40" t="n"/>
      <c r="D5838" s="52">
        <f t="array" ref="D5838:W5838">IF(All_Students_Scores!C5836:V5836="","",All_Students_Scores!C5836:V5836)</f>
        <v/>
      </c>
      <c r="E5838" s="57" t="str"/>
      <c r="F5838" s="49" t="str"/>
      <c r="G5838" s="59" t="str"/>
      <c r="H5838" s="64" t="str"/>
      <c r="I5838" s="65" t="str"/>
      <c r="J5838" s="49" t="str"/>
      <c r="K5838" s="41" t="str"/>
      <c r="L5838" s="41" t="str"/>
      <c r="M5838" s="41" t="str"/>
      <c r="N5838" s="41" t="str"/>
      <c r="O5838" s="41" t="str"/>
      <c r="P5838" s="41" t="str"/>
      <c r="Q5838" s="41" t="str"/>
      <c r="R5838" s="41" t="str"/>
      <c r="S5838" s="41" t="str"/>
      <c r="T5838" s="41" t="str"/>
      <c r="U5838" s="41" t="str"/>
      <c r="V5838" s="41" t="str"/>
      <c r="W5838" s="41" t="str"/>
    </row>
    <row r="5839">
      <c r="B5839" s="2" t="n"/>
      <c r="C5839" s="40" t="n"/>
      <c r="D5839" s="52">
        <f t="array" ref="D5839:W5839">IF(All_Students_Scores!C5837:V5837="","",All_Students_Scores!C5837:V5837)</f>
        <v/>
      </c>
      <c r="E5839" s="57" t="str"/>
      <c r="F5839" s="49" t="str"/>
      <c r="G5839" s="59" t="str"/>
      <c r="H5839" s="64" t="str"/>
      <c r="I5839" s="65" t="str"/>
      <c r="J5839" s="49" t="str"/>
      <c r="K5839" s="41" t="str"/>
      <c r="L5839" s="41" t="str"/>
      <c r="M5839" s="41" t="str"/>
      <c r="N5839" s="41" t="str"/>
      <c r="O5839" s="41" t="str"/>
      <c r="P5839" s="41" t="str"/>
      <c r="Q5839" s="41" t="str"/>
      <c r="R5839" s="41" t="str"/>
      <c r="S5839" s="41" t="str"/>
      <c r="T5839" s="41" t="str"/>
      <c r="U5839" s="41" t="str"/>
      <c r="V5839" s="41" t="str"/>
      <c r="W5839" s="41" t="str"/>
    </row>
    <row r="5840">
      <c r="B5840" s="2" t="n"/>
      <c r="C5840" s="40" t="n"/>
      <c r="D5840" s="52">
        <f t="array" ref="D5840:W5840">IF(All_Students_Scores!C5838:V5838="","",All_Students_Scores!C5838:V5838)</f>
        <v/>
      </c>
      <c r="E5840" s="57" t="str"/>
      <c r="F5840" s="49" t="str"/>
      <c r="G5840" s="59" t="str"/>
      <c r="H5840" s="64" t="str"/>
      <c r="I5840" s="65" t="str"/>
      <c r="J5840" s="49" t="str"/>
      <c r="K5840" s="41" t="str"/>
      <c r="L5840" s="41" t="str"/>
      <c r="M5840" s="41" t="str"/>
      <c r="N5840" s="41" t="str"/>
      <c r="O5840" s="41" t="str"/>
      <c r="P5840" s="41" t="str"/>
      <c r="Q5840" s="41" t="str"/>
      <c r="R5840" s="41" t="str"/>
      <c r="S5840" s="41" t="str"/>
      <c r="T5840" s="41" t="str"/>
      <c r="U5840" s="41" t="str"/>
      <c r="V5840" s="41" t="str"/>
      <c r="W5840" s="41" t="str"/>
    </row>
    <row r="5841">
      <c r="B5841" s="2" t="n"/>
      <c r="C5841" s="40" t="n"/>
      <c r="D5841" s="52">
        <f t="array" ref="D5841:W5841">IF(All_Students_Scores!C5839:V5839="","",All_Students_Scores!C5839:V5839)</f>
        <v/>
      </c>
      <c r="E5841" s="57" t="str"/>
      <c r="F5841" s="49" t="str"/>
      <c r="G5841" s="59" t="str"/>
      <c r="H5841" s="64" t="str"/>
      <c r="I5841" s="65" t="str"/>
      <c r="J5841" s="49" t="str"/>
      <c r="K5841" s="41" t="str"/>
      <c r="L5841" s="41" t="str"/>
      <c r="M5841" s="41" t="str"/>
      <c r="N5841" s="41" t="str"/>
      <c r="O5841" s="41" t="str"/>
      <c r="P5841" s="41" t="str"/>
      <c r="Q5841" s="41" t="str"/>
      <c r="R5841" s="41" t="str"/>
      <c r="S5841" s="41" t="str"/>
      <c r="T5841" s="41" t="str"/>
      <c r="U5841" s="41" t="str"/>
      <c r="V5841" s="41" t="str"/>
      <c r="W5841" s="41" t="str"/>
    </row>
    <row r="5842">
      <c r="B5842" s="2" t="n"/>
      <c r="C5842" s="40" t="n"/>
      <c r="D5842" s="52">
        <f t="array" ref="D5842:W5842">IF(All_Students_Scores!C5840:V5840="","",All_Students_Scores!C5840:V5840)</f>
        <v/>
      </c>
      <c r="E5842" s="57" t="str"/>
      <c r="F5842" s="49" t="str"/>
      <c r="G5842" s="59" t="str"/>
      <c r="H5842" s="64" t="str"/>
      <c r="I5842" s="65" t="str"/>
      <c r="J5842" s="49" t="str"/>
      <c r="K5842" s="41" t="str"/>
      <c r="L5842" s="41" t="str"/>
      <c r="M5842" s="41" t="str"/>
      <c r="N5842" s="41" t="str"/>
      <c r="O5842" s="41" t="str"/>
      <c r="P5842" s="41" t="str"/>
      <c r="Q5842" s="41" t="str"/>
      <c r="R5842" s="41" t="str"/>
      <c r="S5842" s="41" t="str"/>
      <c r="T5842" s="41" t="str"/>
      <c r="U5842" s="41" t="str"/>
      <c r="V5842" s="41" t="str"/>
      <c r="W5842" s="41" t="str"/>
    </row>
    <row r="5843">
      <c r="B5843" s="2" t="n"/>
      <c r="C5843" s="40" t="n"/>
      <c r="D5843" s="52">
        <f t="array" ref="D5843:W5843">IF(All_Students_Scores!C5841:V5841="","",All_Students_Scores!C5841:V5841)</f>
        <v/>
      </c>
      <c r="E5843" s="57" t="str"/>
      <c r="F5843" s="49" t="str"/>
      <c r="G5843" s="59" t="str"/>
      <c r="H5843" s="64" t="str"/>
      <c r="I5843" s="65" t="str"/>
      <c r="J5843" s="49" t="str"/>
      <c r="K5843" s="41" t="str"/>
      <c r="L5843" s="41" t="str"/>
      <c r="M5843" s="41" t="str"/>
      <c r="N5843" s="41" t="str"/>
      <c r="O5843" s="41" t="str"/>
      <c r="P5843" s="41" t="str"/>
      <c r="Q5843" s="41" t="str"/>
      <c r="R5843" s="41" t="str"/>
      <c r="S5843" s="41" t="str"/>
      <c r="T5843" s="41" t="str"/>
      <c r="U5843" s="41" t="str"/>
      <c r="V5843" s="41" t="str"/>
      <c r="W5843" s="41" t="str"/>
    </row>
    <row r="5844">
      <c r="B5844" s="2" t="n"/>
      <c r="C5844" s="40" t="n"/>
      <c r="D5844" s="52">
        <f t="array" ref="D5844:W5844">IF(All_Students_Scores!C5842:V5842="","",All_Students_Scores!C5842:V5842)</f>
        <v/>
      </c>
      <c r="E5844" s="57" t="str"/>
      <c r="F5844" s="49" t="str"/>
      <c r="G5844" s="59" t="str"/>
      <c r="H5844" s="64" t="str"/>
      <c r="I5844" s="65" t="str"/>
      <c r="J5844" s="49" t="str"/>
      <c r="K5844" s="41" t="str"/>
      <c r="L5844" s="41" t="str"/>
      <c r="M5844" s="41" t="str"/>
      <c r="N5844" s="41" t="str"/>
      <c r="O5844" s="41" t="str"/>
      <c r="P5844" s="41" t="str"/>
      <c r="Q5844" s="41" t="str"/>
      <c r="R5844" s="41" t="str"/>
      <c r="S5844" s="41" t="str"/>
      <c r="T5844" s="41" t="str"/>
      <c r="U5844" s="41" t="str"/>
      <c r="V5844" s="41" t="str"/>
      <c r="W5844" s="41" t="str"/>
    </row>
    <row r="5845">
      <c r="B5845" s="2" t="n"/>
      <c r="C5845" s="40" t="n"/>
      <c r="D5845" s="52">
        <f t="array" ref="D5845:W5845">IF(All_Students_Scores!C5843:V5843="","",All_Students_Scores!C5843:V5843)</f>
        <v/>
      </c>
      <c r="E5845" s="57" t="str"/>
      <c r="F5845" s="49" t="str"/>
      <c r="G5845" s="59" t="str"/>
      <c r="H5845" s="64" t="str"/>
      <c r="I5845" s="65" t="str"/>
      <c r="J5845" s="49" t="str"/>
      <c r="K5845" s="41" t="str"/>
      <c r="L5845" s="41" t="str"/>
      <c r="M5845" s="41" t="str"/>
      <c r="N5845" s="41" t="str"/>
      <c r="O5845" s="41" t="str"/>
      <c r="P5845" s="41" t="str"/>
      <c r="Q5845" s="41" t="str"/>
      <c r="R5845" s="41" t="str"/>
      <c r="S5845" s="41" t="str"/>
      <c r="T5845" s="41" t="str"/>
      <c r="U5845" s="41" t="str"/>
      <c r="V5845" s="41" t="str"/>
      <c r="W5845" s="41" t="str"/>
    </row>
    <row r="5846">
      <c r="B5846" s="2" t="n"/>
      <c r="C5846" s="40" t="n"/>
      <c r="D5846" s="52">
        <f t="array" ref="D5846:W5846">IF(All_Students_Scores!C5844:V5844="","",All_Students_Scores!C5844:V5844)</f>
        <v/>
      </c>
      <c r="E5846" s="57" t="str"/>
      <c r="F5846" s="49" t="str"/>
      <c r="G5846" s="59" t="str"/>
      <c r="H5846" s="64" t="str"/>
      <c r="I5846" s="65" t="str"/>
      <c r="J5846" s="49" t="str"/>
      <c r="K5846" s="41" t="str"/>
      <c r="L5846" s="41" t="str"/>
      <c r="M5846" s="41" t="str"/>
      <c r="N5846" s="41" t="str"/>
      <c r="O5846" s="41" t="str"/>
      <c r="P5846" s="41" t="str"/>
      <c r="Q5846" s="41" t="str"/>
      <c r="R5846" s="41" t="str"/>
      <c r="S5846" s="41" t="str"/>
      <c r="T5846" s="41" t="str"/>
      <c r="U5846" s="41" t="str"/>
      <c r="V5846" s="41" t="str"/>
      <c r="W5846" s="41" t="str"/>
    </row>
    <row r="5847">
      <c r="B5847" s="2" t="n"/>
      <c r="C5847" s="40" t="n"/>
      <c r="D5847" s="52">
        <f t="array" ref="D5847:W5847">IF(All_Students_Scores!C5845:V5845="","",All_Students_Scores!C5845:V5845)</f>
        <v/>
      </c>
      <c r="E5847" s="57" t="str"/>
      <c r="F5847" s="49" t="str"/>
      <c r="G5847" s="59" t="str"/>
      <c r="H5847" s="64" t="str"/>
      <c r="I5847" s="65" t="str"/>
      <c r="J5847" s="49" t="str"/>
      <c r="K5847" s="41" t="str"/>
      <c r="L5847" s="41" t="str"/>
      <c r="M5847" s="41" t="str"/>
      <c r="N5847" s="41" t="str"/>
      <c r="O5847" s="41" t="str"/>
      <c r="P5847" s="41" t="str"/>
      <c r="Q5847" s="41" t="str"/>
      <c r="R5847" s="41" t="str"/>
      <c r="S5847" s="41" t="str"/>
      <c r="T5847" s="41" t="str"/>
      <c r="U5847" s="41" t="str"/>
      <c r="V5847" s="41" t="str"/>
      <c r="W5847" s="41" t="str"/>
    </row>
    <row r="5848">
      <c r="B5848" s="2" t="n"/>
      <c r="C5848" s="40" t="n"/>
      <c r="D5848" s="52">
        <f t="array" ref="D5848:W5848">IF(All_Students_Scores!C5846:V5846="","",All_Students_Scores!C5846:V5846)</f>
        <v/>
      </c>
      <c r="E5848" s="57" t="str"/>
      <c r="F5848" s="49" t="str"/>
      <c r="G5848" s="59" t="str"/>
      <c r="H5848" s="64" t="str"/>
      <c r="I5848" s="65" t="str"/>
      <c r="J5848" s="49" t="str"/>
      <c r="K5848" s="41" t="str"/>
      <c r="L5848" s="41" t="str"/>
      <c r="M5848" s="41" t="str"/>
      <c r="N5848" s="41" t="str"/>
      <c r="O5848" s="41" t="str"/>
      <c r="P5848" s="41" t="str"/>
      <c r="Q5848" s="41" t="str"/>
      <c r="R5848" s="41" t="str"/>
      <c r="S5848" s="41" t="str"/>
      <c r="T5848" s="41" t="str"/>
      <c r="U5848" s="41" t="str"/>
      <c r="V5848" s="41" t="str"/>
      <c r="W5848" s="41" t="str"/>
    </row>
    <row r="5849">
      <c r="B5849" s="2" t="n"/>
      <c r="C5849" s="40" t="n"/>
      <c r="D5849" s="52">
        <f t="array" ref="D5849:W5849">IF(All_Students_Scores!C5847:V5847="","",All_Students_Scores!C5847:V5847)</f>
        <v/>
      </c>
      <c r="E5849" s="57" t="str"/>
      <c r="F5849" s="49" t="str"/>
      <c r="G5849" s="59" t="str"/>
      <c r="H5849" s="64" t="str"/>
      <c r="I5849" s="65" t="str"/>
      <c r="J5849" s="49" t="str"/>
      <c r="K5849" s="41" t="str"/>
      <c r="L5849" s="41" t="str"/>
      <c r="M5849" s="41" t="str"/>
      <c r="N5849" s="41" t="str"/>
      <c r="O5849" s="41" t="str"/>
      <c r="P5849" s="41" t="str"/>
      <c r="Q5849" s="41" t="str"/>
      <c r="R5849" s="41" t="str"/>
      <c r="S5849" s="41" t="str"/>
      <c r="T5849" s="41" t="str"/>
      <c r="U5849" s="41" t="str"/>
      <c r="V5849" s="41" t="str"/>
      <c r="W5849" s="41" t="str"/>
    </row>
    <row r="5850">
      <c r="B5850" s="2" t="n"/>
      <c r="C5850" s="40" t="n"/>
      <c r="D5850" s="52">
        <f t="array" ref="D5850:W5850">IF(All_Students_Scores!C5848:V5848="","",All_Students_Scores!C5848:V5848)</f>
        <v/>
      </c>
      <c r="E5850" s="57" t="str"/>
      <c r="F5850" s="49" t="str"/>
      <c r="G5850" s="59" t="str"/>
      <c r="H5850" s="64" t="str"/>
      <c r="I5850" s="65" t="str"/>
      <c r="J5850" s="49" t="str"/>
      <c r="K5850" s="41" t="str"/>
      <c r="L5850" s="41" t="str"/>
      <c r="M5850" s="41" t="str"/>
      <c r="N5850" s="41" t="str"/>
      <c r="O5850" s="41" t="str"/>
      <c r="P5850" s="41" t="str"/>
      <c r="Q5850" s="41" t="str"/>
      <c r="R5850" s="41" t="str"/>
      <c r="S5850" s="41" t="str"/>
      <c r="T5850" s="41" t="str"/>
      <c r="U5850" s="41" t="str"/>
      <c r="V5850" s="41" t="str"/>
      <c r="W5850" s="41" t="str"/>
    </row>
    <row r="5851">
      <c r="B5851" s="2" t="n"/>
      <c r="C5851" s="40" t="n"/>
      <c r="D5851" s="52">
        <f t="array" ref="D5851:W5851">IF(All_Students_Scores!C5849:V5849="","",All_Students_Scores!C5849:V5849)</f>
        <v/>
      </c>
      <c r="E5851" s="57" t="str"/>
      <c r="F5851" s="49" t="str"/>
      <c r="G5851" s="59" t="str"/>
      <c r="H5851" s="64" t="str"/>
      <c r="I5851" s="65" t="str"/>
      <c r="J5851" s="49" t="str"/>
      <c r="K5851" s="41" t="str"/>
      <c r="L5851" s="41" t="str"/>
      <c r="M5851" s="41" t="str"/>
      <c r="N5851" s="41" t="str"/>
      <c r="O5851" s="41" t="str"/>
      <c r="P5851" s="41" t="str"/>
      <c r="Q5851" s="41" t="str"/>
      <c r="R5851" s="41" t="str"/>
      <c r="S5851" s="41" t="str"/>
      <c r="T5851" s="41" t="str"/>
      <c r="U5851" s="41" t="str"/>
      <c r="V5851" s="41" t="str"/>
      <c r="W5851" s="41" t="str"/>
    </row>
    <row r="5852">
      <c r="B5852" s="2" t="n"/>
      <c r="C5852" s="40" t="n"/>
      <c r="D5852" s="52">
        <f t="array" ref="D5852:W5852">IF(All_Students_Scores!C5850:V5850="","",All_Students_Scores!C5850:V5850)</f>
        <v/>
      </c>
      <c r="E5852" s="57" t="str"/>
      <c r="F5852" s="49" t="str"/>
      <c r="G5852" s="59" t="str"/>
      <c r="H5852" s="64" t="str"/>
      <c r="I5852" s="65" t="str"/>
      <c r="J5852" s="49" t="str"/>
      <c r="K5852" s="41" t="str"/>
      <c r="L5852" s="41" t="str"/>
      <c r="M5852" s="41" t="str"/>
      <c r="N5852" s="41" t="str"/>
      <c r="O5852" s="41" t="str"/>
      <c r="P5852" s="41" t="str"/>
      <c r="Q5852" s="41" t="str"/>
      <c r="R5852" s="41" t="str"/>
      <c r="S5852" s="41" t="str"/>
      <c r="T5852" s="41" t="str"/>
      <c r="U5852" s="41" t="str"/>
      <c r="V5852" s="41" t="str"/>
      <c r="W5852" s="41" t="str"/>
    </row>
    <row r="5853">
      <c r="B5853" s="2" t="n"/>
      <c r="C5853" s="40" t="n"/>
      <c r="D5853" s="52">
        <f t="array" ref="D5853:W5853">IF(All_Students_Scores!C5851:V5851="","",All_Students_Scores!C5851:V5851)</f>
        <v/>
      </c>
      <c r="E5853" s="57" t="str"/>
      <c r="F5853" s="49" t="str"/>
      <c r="G5853" s="59" t="str"/>
      <c r="H5853" s="64" t="str"/>
      <c r="I5853" s="65" t="str"/>
      <c r="J5853" s="49" t="str"/>
      <c r="K5853" s="41" t="str"/>
      <c r="L5853" s="41" t="str"/>
      <c r="M5853" s="41" t="str"/>
      <c r="N5853" s="41" t="str"/>
      <c r="O5853" s="41" t="str"/>
      <c r="P5853" s="41" t="str"/>
      <c r="Q5853" s="41" t="str"/>
      <c r="R5853" s="41" t="str"/>
      <c r="S5853" s="41" t="str"/>
      <c r="T5853" s="41" t="str"/>
      <c r="U5853" s="41" t="str"/>
      <c r="V5853" s="41" t="str"/>
      <c r="W5853" s="41" t="str"/>
    </row>
    <row r="5854">
      <c r="B5854" s="2" t="n"/>
      <c r="C5854" s="40" t="n"/>
      <c r="D5854" s="52">
        <f t="array" ref="D5854:W5854">IF(All_Students_Scores!C5852:V5852="","",All_Students_Scores!C5852:V5852)</f>
        <v/>
      </c>
      <c r="E5854" s="57" t="str"/>
      <c r="F5854" s="49" t="str"/>
      <c r="G5854" s="59" t="str"/>
      <c r="H5854" s="64" t="str"/>
      <c r="I5854" s="65" t="str"/>
      <c r="J5854" s="49" t="str"/>
      <c r="K5854" s="41" t="str"/>
      <c r="L5854" s="41" t="str"/>
      <c r="M5854" s="41" t="str"/>
      <c r="N5854" s="41" t="str"/>
      <c r="O5854" s="41" t="str"/>
      <c r="P5854" s="41" t="str"/>
      <c r="Q5854" s="41" t="str"/>
      <c r="R5854" s="41" t="str"/>
      <c r="S5854" s="41" t="str"/>
      <c r="T5854" s="41" t="str"/>
      <c r="U5854" s="41" t="str"/>
      <c r="V5854" s="41" t="str"/>
      <c r="W5854" s="41" t="str"/>
    </row>
    <row r="5855">
      <c r="B5855" s="2" t="n"/>
      <c r="C5855" s="40" t="n"/>
      <c r="D5855" s="52">
        <f t="array" ref="D5855:W5855">IF(All_Students_Scores!C5853:V5853="","",All_Students_Scores!C5853:V5853)</f>
        <v/>
      </c>
      <c r="E5855" s="57" t="str"/>
      <c r="F5855" s="49" t="str"/>
      <c r="G5855" s="59" t="str"/>
      <c r="H5855" s="64" t="str"/>
      <c r="I5855" s="65" t="str"/>
      <c r="J5855" s="49" t="str"/>
      <c r="K5855" s="41" t="str"/>
      <c r="L5855" s="41" t="str"/>
      <c r="M5855" s="41" t="str"/>
      <c r="N5855" s="41" t="str"/>
      <c r="O5855" s="41" t="str"/>
      <c r="P5855" s="41" t="str"/>
      <c r="Q5855" s="41" t="str"/>
      <c r="R5855" s="41" t="str"/>
      <c r="S5855" s="41" t="str"/>
      <c r="T5855" s="41" t="str"/>
      <c r="U5855" s="41" t="str"/>
      <c r="V5855" s="41" t="str"/>
      <c r="W5855" s="41" t="str"/>
    </row>
    <row r="5856">
      <c r="B5856" s="2" t="n"/>
      <c r="C5856" s="40" t="n"/>
      <c r="D5856" s="52">
        <f t="array" ref="D5856:W5856">IF(All_Students_Scores!C5854:V5854="","",All_Students_Scores!C5854:V5854)</f>
        <v/>
      </c>
      <c r="E5856" s="57" t="str"/>
      <c r="F5856" s="49" t="str"/>
      <c r="G5856" s="59" t="str"/>
      <c r="H5856" s="64" t="str"/>
      <c r="I5856" s="65" t="str"/>
      <c r="J5856" s="49" t="str"/>
      <c r="K5856" s="41" t="str"/>
      <c r="L5856" s="41" t="str"/>
      <c r="M5856" s="41" t="str"/>
      <c r="N5856" s="41" t="str"/>
      <c r="O5856" s="41" t="str"/>
      <c r="P5856" s="41" t="str"/>
      <c r="Q5856" s="41" t="str"/>
      <c r="R5856" s="41" t="str"/>
      <c r="S5856" s="41" t="str"/>
      <c r="T5856" s="41" t="str"/>
      <c r="U5856" s="41" t="str"/>
      <c r="V5856" s="41" t="str"/>
      <c r="W5856" s="41" t="str"/>
    </row>
    <row r="5857">
      <c r="B5857" s="2" t="n"/>
      <c r="C5857" s="40" t="n"/>
      <c r="D5857" s="52">
        <f t="array" ref="D5857:W5857">IF(All_Students_Scores!C5855:V5855="","",All_Students_Scores!C5855:V5855)</f>
        <v/>
      </c>
      <c r="E5857" s="57" t="str"/>
      <c r="F5857" s="49" t="str"/>
      <c r="G5857" s="59" t="str"/>
      <c r="H5857" s="64" t="str"/>
      <c r="I5857" s="65" t="str"/>
      <c r="J5857" s="49" t="str"/>
      <c r="K5857" s="41" t="str"/>
      <c r="L5857" s="41" t="str"/>
      <c r="M5857" s="41" t="str"/>
      <c r="N5857" s="41" t="str"/>
      <c r="O5857" s="41" t="str"/>
      <c r="P5857" s="41" t="str"/>
      <c r="Q5857" s="41" t="str"/>
      <c r="R5857" s="41" t="str"/>
      <c r="S5857" s="41" t="str"/>
      <c r="T5857" s="41" t="str"/>
      <c r="U5857" s="41" t="str"/>
      <c r="V5857" s="41" t="str"/>
      <c r="W5857" s="41" t="str"/>
    </row>
    <row r="5858">
      <c r="B5858" s="2" t="n"/>
      <c r="C5858" s="40" t="n"/>
      <c r="D5858" s="52">
        <f t="array" ref="D5858:W5858">IF(All_Students_Scores!C5856:V5856="","",All_Students_Scores!C5856:V5856)</f>
        <v/>
      </c>
      <c r="E5858" s="57" t="str"/>
      <c r="F5858" s="49" t="str"/>
      <c r="G5858" s="59" t="str"/>
      <c r="H5858" s="64" t="str"/>
      <c r="I5858" s="65" t="str"/>
      <c r="J5858" s="49" t="str"/>
      <c r="K5858" s="41" t="str"/>
      <c r="L5858" s="41" t="str"/>
      <c r="M5858" s="41" t="str"/>
      <c r="N5858" s="41" t="str"/>
      <c r="O5858" s="41" t="str"/>
      <c r="P5858" s="41" t="str"/>
      <c r="Q5858" s="41" t="str"/>
      <c r="R5858" s="41" t="str"/>
      <c r="S5858" s="41" t="str"/>
      <c r="T5858" s="41" t="str"/>
      <c r="U5858" s="41" t="str"/>
      <c r="V5858" s="41" t="str"/>
      <c r="W5858" s="41" t="str"/>
    </row>
    <row r="5859">
      <c r="B5859" s="2" t="n"/>
      <c r="C5859" s="40" t="n"/>
      <c r="D5859" s="52">
        <f t="array" ref="D5859:W5859">IF(All_Students_Scores!C5857:V5857="","",All_Students_Scores!C5857:V5857)</f>
        <v/>
      </c>
      <c r="E5859" s="57" t="str"/>
      <c r="F5859" s="49" t="str"/>
      <c r="G5859" s="59" t="str"/>
      <c r="H5859" s="64" t="str"/>
      <c r="I5859" s="65" t="str"/>
      <c r="J5859" s="49" t="str"/>
      <c r="K5859" s="41" t="str"/>
      <c r="L5859" s="41" t="str"/>
      <c r="M5859" s="41" t="str"/>
      <c r="N5859" s="41" t="str"/>
      <c r="O5859" s="41" t="str"/>
      <c r="P5859" s="41" t="str"/>
      <c r="Q5859" s="41" t="str"/>
      <c r="R5859" s="41" t="str"/>
      <c r="S5859" s="41" t="str"/>
      <c r="T5859" s="41" t="str"/>
      <c r="U5859" s="41" t="str"/>
      <c r="V5859" s="41" t="str"/>
      <c r="W5859" s="41" t="str"/>
    </row>
    <row r="5860">
      <c r="B5860" s="2" t="n"/>
      <c r="C5860" s="40" t="n"/>
      <c r="D5860" s="52">
        <f t="array" ref="D5860:W5860">IF(All_Students_Scores!C5858:V5858="","",All_Students_Scores!C5858:V5858)</f>
        <v/>
      </c>
      <c r="E5860" s="57" t="str"/>
      <c r="F5860" s="49" t="str"/>
      <c r="G5860" s="59" t="str"/>
      <c r="H5860" s="64" t="str"/>
      <c r="I5860" s="65" t="str"/>
      <c r="J5860" s="49" t="str"/>
      <c r="K5860" s="41" t="str"/>
      <c r="L5860" s="41" t="str"/>
      <c r="M5860" s="41" t="str"/>
      <c r="N5860" s="41" t="str"/>
      <c r="O5860" s="41" t="str"/>
      <c r="P5860" s="41" t="str"/>
      <c r="Q5860" s="41" t="str"/>
      <c r="R5860" s="41" t="str"/>
      <c r="S5860" s="41" t="str"/>
      <c r="T5860" s="41" t="str"/>
      <c r="U5860" s="41" t="str"/>
      <c r="V5860" s="41" t="str"/>
      <c r="W5860" s="41" t="str"/>
    </row>
    <row r="5861">
      <c r="B5861" s="2" t="n"/>
      <c r="C5861" s="40" t="n"/>
      <c r="D5861" s="52">
        <f t="array" ref="D5861:W5861">IF(All_Students_Scores!C5859:V5859="","",All_Students_Scores!C5859:V5859)</f>
        <v/>
      </c>
      <c r="E5861" s="57" t="str"/>
      <c r="F5861" s="49" t="str"/>
      <c r="G5861" s="59" t="str"/>
      <c r="H5861" s="64" t="str"/>
      <c r="I5861" s="65" t="str"/>
      <c r="J5861" s="49" t="str"/>
      <c r="K5861" s="41" t="str"/>
      <c r="L5861" s="41" t="str"/>
      <c r="M5861" s="41" t="str"/>
      <c r="N5861" s="41" t="str"/>
      <c r="O5861" s="41" t="str"/>
      <c r="P5861" s="41" t="str"/>
      <c r="Q5861" s="41" t="str"/>
      <c r="R5861" s="41" t="str"/>
      <c r="S5861" s="41" t="str"/>
      <c r="T5861" s="41" t="str"/>
      <c r="U5861" s="41" t="str"/>
      <c r="V5861" s="41" t="str"/>
      <c r="W5861" s="41" t="str"/>
    </row>
    <row r="5862">
      <c r="B5862" s="2" t="n"/>
      <c r="C5862" s="40" t="n"/>
      <c r="D5862" s="52">
        <f t="array" ref="D5862:W5862">IF(All_Students_Scores!C5860:V5860="","",All_Students_Scores!C5860:V5860)</f>
        <v/>
      </c>
      <c r="E5862" s="57" t="str"/>
      <c r="F5862" s="49" t="str"/>
      <c r="G5862" s="59" t="str"/>
      <c r="H5862" s="64" t="str"/>
      <c r="I5862" s="65" t="str"/>
      <c r="J5862" s="49" t="str"/>
      <c r="K5862" s="41" t="str"/>
      <c r="L5862" s="41" t="str"/>
      <c r="M5862" s="41" t="str"/>
      <c r="N5862" s="41" t="str"/>
      <c r="O5862" s="41" t="str"/>
      <c r="P5862" s="41" t="str"/>
      <c r="Q5862" s="41" t="str"/>
      <c r="R5862" s="41" t="str"/>
      <c r="S5862" s="41" t="str"/>
      <c r="T5862" s="41" t="str"/>
      <c r="U5862" s="41" t="str"/>
      <c r="V5862" s="41" t="str"/>
      <c r="W5862" s="41" t="str"/>
    </row>
    <row r="5863">
      <c r="B5863" s="2" t="n"/>
      <c r="C5863" s="40" t="n"/>
      <c r="D5863" s="52">
        <f t="array" ref="D5863:W5863">IF(All_Students_Scores!C5861:V5861="","",All_Students_Scores!C5861:V5861)</f>
        <v/>
      </c>
      <c r="E5863" s="57" t="str"/>
      <c r="F5863" s="49" t="str"/>
      <c r="G5863" s="59" t="str"/>
      <c r="H5863" s="64" t="str"/>
      <c r="I5863" s="65" t="str"/>
      <c r="J5863" s="49" t="str"/>
      <c r="K5863" s="41" t="str"/>
      <c r="L5863" s="41" t="str"/>
      <c r="M5863" s="41" t="str"/>
      <c r="N5863" s="41" t="str"/>
      <c r="O5863" s="41" t="str"/>
      <c r="P5863" s="41" t="str"/>
      <c r="Q5863" s="41" t="str"/>
      <c r="R5863" s="41" t="str"/>
      <c r="S5863" s="41" t="str"/>
      <c r="T5863" s="41" t="str"/>
      <c r="U5863" s="41" t="str"/>
      <c r="V5863" s="41" t="str"/>
      <c r="W5863" s="41" t="str"/>
    </row>
    <row r="5864">
      <c r="B5864" s="2" t="n"/>
      <c r="C5864" s="40" t="n"/>
      <c r="D5864" s="52">
        <f t="array" ref="D5864:W5864">IF(All_Students_Scores!C5862:V5862="","",All_Students_Scores!C5862:V5862)</f>
        <v/>
      </c>
      <c r="E5864" s="57" t="str"/>
      <c r="F5864" s="49" t="str"/>
      <c r="G5864" s="59" t="str"/>
      <c r="H5864" s="64" t="str"/>
      <c r="I5864" s="65" t="str"/>
      <c r="J5864" s="49" t="str"/>
      <c r="K5864" s="41" t="str"/>
      <c r="L5864" s="41" t="str"/>
      <c r="M5864" s="41" t="str"/>
      <c r="N5864" s="41" t="str"/>
      <c r="O5864" s="41" t="str"/>
      <c r="P5864" s="41" t="str"/>
      <c r="Q5864" s="41" t="str"/>
      <c r="R5864" s="41" t="str"/>
      <c r="S5864" s="41" t="str"/>
      <c r="T5864" s="41" t="str"/>
      <c r="U5864" s="41" t="str"/>
      <c r="V5864" s="41" t="str"/>
      <c r="W5864" s="41" t="str"/>
    </row>
    <row r="5865">
      <c r="B5865" s="2" t="n"/>
      <c r="C5865" s="40" t="n"/>
      <c r="D5865" s="52">
        <f t="array" ref="D5865:W5865">IF(All_Students_Scores!C5863:V5863="","",All_Students_Scores!C5863:V5863)</f>
        <v/>
      </c>
      <c r="E5865" s="57" t="str"/>
      <c r="F5865" s="49" t="str"/>
      <c r="G5865" s="59" t="str"/>
      <c r="H5865" s="64" t="str"/>
      <c r="I5865" s="65" t="str"/>
      <c r="J5865" s="49" t="str"/>
      <c r="K5865" s="41" t="str"/>
      <c r="L5865" s="41" t="str"/>
      <c r="M5865" s="41" t="str"/>
      <c r="N5865" s="41" t="str"/>
      <c r="O5865" s="41" t="str"/>
      <c r="P5865" s="41" t="str"/>
      <c r="Q5865" s="41" t="str"/>
      <c r="R5865" s="41" t="str"/>
      <c r="S5865" s="41" t="str"/>
      <c r="T5865" s="41" t="str"/>
      <c r="U5865" s="41" t="str"/>
      <c r="V5865" s="41" t="str"/>
      <c r="W5865" s="41" t="str"/>
    </row>
    <row r="5866">
      <c r="B5866" s="2" t="n"/>
      <c r="C5866" s="40" t="n"/>
      <c r="D5866" s="52">
        <f t="array" ref="D5866:W5866">IF(All_Students_Scores!C5864:V5864="","",All_Students_Scores!C5864:V5864)</f>
        <v/>
      </c>
      <c r="E5866" s="57" t="str"/>
      <c r="F5866" s="49" t="str"/>
      <c r="G5866" s="59" t="str"/>
      <c r="H5866" s="64" t="str"/>
      <c r="I5866" s="65" t="str"/>
      <c r="J5866" s="49" t="str"/>
      <c r="K5866" s="41" t="str"/>
      <c r="L5866" s="41" t="str"/>
      <c r="M5866" s="41" t="str"/>
      <c r="N5866" s="41" t="str"/>
      <c r="O5866" s="41" t="str"/>
      <c r="P5866" s="41" t="str"/>
      <c r="Q5866" s="41" t="str"/>
      <c r="R5866" s="41" t="str"/>
      <c r="S5866" s="41" t="str"/>
      <c r="T5866" s="41" t="str"/>
      <c r="U5866" s="41" t="str"/>
      <c r="V5866" s="41" t="str"/>
      <c r="W5866" s="41" t="str"/>
    </row>
    <row r="5867">
      <c r="B5867" s="2" t="n"/>
      <c r="C5867" s="40" t="n"/>
      <c r="D5867" s="52">
        <f t="array" ref="D5867:W5867">IF(All_Students_Scores!C5865:V5865="","",All_Students_Scores!C5865:V5865)</f>
        <v/>
      </c>
      <c r="E5867" s="57" t="str"/>
      <c r="F5867" s="49" t="str"/>
      <c r="G5867" s="59" t="str"/>
      <c r="H5867" s="64" t="str"/>
      <c r="I5867" s="65" t="str"/>
      <c r="J5867" s="49" t="str"/>
      <c r="K5867" s="41" t="str"/>
      <c r="L5867" s="41" t="str"/>
      <c r="M5867" s="41" t="str"/>
      <c r="N5867" s="41" t="str"/>
      <c r="O5867" s="41" t="str"/>
      <c r="P5867" s="41" t="str"/>
      <c r="Q5867" s="41" t="str"/>
      <c r="R5867" s="41" t="str"/>
      <c r="S5867" s="41" t="str"/>
      <c r="T5867" s="41" t="str"/>
      <c r="U5867" s="41" t="str"/>
      <c r="V5867" s="41" t="str"/>
      <c r="W5867" s="41" t="str"/>
    </row>
    <row r="5868">
      <c r="B5868" s="2" t="n"/>
      <c r="C5868" s="40" t="n"/>
      <c r="D5868" s="52">
        <f t="array" ref="D5868:W5868">IF(All_Students_Scores!C5866:V5866="","",All_Students_Scores!C5866:V5866)</f>
        <v/>
      </c>
      <c r="E5868" s="57" t="str"/>
      <c r="F5868" s="49" t="str"/>
      <c r="G5868" s="59" t="str"/>
      <c r="H5868" s="64" t="str"/>
      <c r="I5868" s="65" t="str"/>
      <c r="J5868" s="49" t="str"/>
      <c r="K5868" s="41" t="str"/>
      <c r="L5868" s="41" t="str"/>
      <c r="M5868" s="41" t="str"/>
      <c r="N5868" s="41" t="str"/>
      <c r="O5868" s="41" t="str"/>
      <c r="P5868" s="41" t="str"/>
      <c r="Q5868" s="41" t="str"/>
      <c r="R5868" s="41" t="str"/>
      <c r="S5868" s="41" t="str"/>
      <c r="T5868" s="41" t="str"/>
      <c r="U5868" s="41" t="str"/>
      <c r="V5868" s="41" t="str"/>
      <c r="W5868" s="41" t="str"/>
    </row>
    <row r="5869">
      <c r="B5869" s="2" t="n"/>
      <c r="C5869" s="40" t="n"/>
      <c r="D5869" s="52">
        <f t="array" ref="D5869:W5869">IF(All_Students_Scores!C5867:V5867="","",All_Students_Scores!C5867:V5867)</f>
        <v/>
      </c>
      <c r="E5869" s="57" t="str"/>
      <c r="F5869" s="49" t="str"/>
      <c r="G5869" s="59" t="str"/>
      <c r="H5869" s="64" t="str"/>
      <c r="I5869" s="65" t="str"/>
      <c r="J5869" s="49" t="str"/>
      <c r="K5869" s="41" t="str"/>
      <c r="L5869" s="41" t="str"/>
      <c r="M5869" s="41" t="str"/>
      <c r="N5869" s="41" t="str"/>
      <c r="O5869" s="41" t="str"/>
      <c r="P5869" s="41" t="str"/>
      <c r="Q5869" s="41" t="str"/>
      <c r="R5869" s="41" t="str"/>
      <c r="S5869" s="41" t="str"/>
      <c r="T5869" s="41" t="str"/>
      <c r="U5869" s="41" t="str"/>
      <c r="V5869" s="41" t="str"/>
      <c r="W5869" s="41" t="str"/>
    </row>
    <row r="5870">
      <c r="B5870" s="2" t="n"/>
      <c r="C5870" s="40" t="n"/>
      <c r="D5870" s="52">
        <f t="array" ref="D5870:W5870">IF(All_Students_Scores!C5868:V5868="","",All_Students_Scores!C5868:V5868)</f>
        <v/>
      </c>
      <c r="E5870" s="57" t="str"/>
      <c r="F5870" s="49" t="str"/>
      <c r="G5870" s="59" t="str"/>
      <c r="H5870" s="64" t="str"/>
      <c r="I5870" s="65" t="str"/>
      <c r="J5870" s="49" t="str"/>
      <c r="K5870" s="41" t="str"/>
      <c r="L5870" s="41" t="str"/>
      <c r="M5870" s="41" t="str"/>
      <c r="N5870" s="41" t="str"/>
      <c r="O5870" s="41" t="str"/>
      <c r="P5870" s="41" t="str"/>
      <c r="Q5870" s="41" t="str"/>
      <c r="R5870" s="41" t="str"/>
      <c r="S5870" s="41" t="str"/>
      <c r="T5870" s="41" t="str"/>
      <c r="U5870" s="41" t="str"/>
      <c r="V5870" s="41" t="str"/>
      <c r="W5870" s="41" t="str"/>
    </row>
    <row r="5871">
      <c r="B5871" s="2" t="n"/>
      <c r="C5871" s="40" t="n"/>
      <c r="D5871" s="52">
        <f t="array" ref="D5871:W5871">IF(All_Students_Scores!C5869:V5869="","",All_Students_Scores!C5869:V5869)</f>
        <v/>
      </c>
      <c r="E5871" s="57" t="str"/>
      <c r="F5871" s="49" t="str"/>
      <c r="G5871" s="59" t="str"/>
      <c r="H5871" s="64" t="str"/>
      <c r="I5871" s="65" t="str"/>
      <c r="J5871" s="49" t="str"/>
      <c r="K5871" s="41" t="str"/>
      <c r="L5871" s="41" t="str"/>
      <c r="M5871" s="41" t="str"/>
      <c r="N5871" s="41" t="str"/>
      <c r="O5871" s="41" t="str"/>
      <c r="P5871" s="41" t="str"/>
      <c r="Q5871" s="41" t="str"/>
      <c r="R5871" s="41" t="str"/>
      <c r="S5871" s="41" t="str"/>
      <c r="T5871" s="41" t="str"/>
      <c r="U5871" s="41" t="str"/>
      <c r="V5871" s="41" t="str"/>
      <c r="W5871" s="41" t="str"/>
    </row>
    <row r="5872">
      <c r="B5872" s="2" t="n"/>
      <c r="C5872" s="40" t="n"/>
      <c r="D5872" s="52">
        <f t="array" ref="D5872:W5872">IF(All_Students_Scores!C5870:V5870="","",All_Students_Scores!C5870:V5870)</f>
        <v/>
      </c>
      <c r="E5872" s="57" t="str"/>
      <c r="F5872" s="49" t="str"/>
      <c r="G5872" s="59" t="str"/>
      <c r="H5872" s="64" t="str"/>
      <c r="I5872" s="65" t="str"/>
      <c r="J5872" s="49" t="str"/>
      <c r="K5872" s="41" t="str"/>
      <c r="L5872" s="41" t="str"/>
      <c r="M5872" s="41" t="str"/>
      <c r="N5872" s="41" t="str"/>
      <c r="O5872" s="41" t="str"/>
      <c r="P5872" s="41" t="str"/>
      <c r="Q5872" s="41" t="str"/>
      <c r="R5872" s="41" t="str"/>
      <c r="S5872" s="41" t="str"/>
      <c r="T5872" s="41" t="str"/>
      <c r="U5872" s="41" t="str"/>
      <c r="V5872" s="41" t="str"/>
      <c r="W5872" s="41" t="str"/>
    </row>
    <row r="5873">
      <c r="B5873" s="2" t="n"/>
      <c r="C5873" s="40" t="n"/>
      <c r="D5873" s="52">
        <f t="array" ref="D5873:W5873">IF(All_Students_Scores!C5871:V5871="","",All_Students_Scores!C5871:V5871)</f>
        <v/>
      </c>
      <c r="E5873" s="57" t="str"/>
      <c r="F5873" s="49" t="str"/>
      <c r="G5873" s="59" t="str"/>
      <c r="H5873" s="64" t="str"/>
      <c r="I5873" s="65" t="str"/>
      <c r="J5873" s="49" t="str"/>
      <c r="K5873" s="41" t="str"/>
      <c r="L5873" s="41" t="str"/>
      <c r="M5873" s="41" t="str"/>
      <c r="N5873" s="41" t="str"/>
      <c r="O5873" s="41" t="str"/>
      <c r="P5873" s="41" t="str"/>
      <c r="Q5873" s="41" t="str"/>
      <c r="R5873" s="41" t="str"/>
      <c r="S5873" s="41" t="str"/>
      <c r="T5873" s="41" t="str"/>
      <c r="U5873" s="41" t="str"/>
      <c r="V5873" s="41" t="str"/>
      <c r="W5873" s="41" t="str"/>
    </row>
    <row r="5874">
      <c r="B5874" s="2" t="n"/>
      <c r="C5874" s="40" t="n"/>
      <c r="D5874" s="52">
        <f t="array" ref="D5874:W5874">IF(All_Students_Scores!C5872:V5872="","",All_Students_Scores!C5872:V5872)</f>
        <v/>
      </c>
      <c r="E5874" s="57" t="str"/>
      <c r="F5874" s="49" t="str"/>
      <c r="G5874" s="59" t="str"/>
      <c r="H5874" s="64" t="str"/>
      <c r="I5874" s="65" t="str"/>
      <c r="J5874" s="49" t="str"/>
      <c r="K5874" s="41" t="str"/>
      <c r="L5874" s="41" t="str"/>
      <c r="M5874" s="41" t="str"/>
      <c r="N5874" s="41" t="str"/>
      <c r="O5874" s="41" t="str"/>
      <c r="P5874" s="41" t="str"/>
      <c r="Q5874" s="41" t="str"/>
      <c r="R5874" s="41" t="str"/>
      <c r="S5874" s="41" t="str"/>
      <c r="T5874" s="41" t="str"/>
      <c r="U5874" s="41" t="str"/>
      <c r="V5874" s="41" t="str"/>
      <c r="W5874" s="41" t="str"/>
    </row>
    <row r="5875">
      <c r="B5875" s="2" t="n"/>
      <c r="C5875" s="40" t="n"/>
      <c r="D5875" s="52">
        <f t="array" ref="D5875:W5875">IF(All_Students_Scores!C5873:V5873="","",All_Students_Scores!C5873:V5873)</f>
        <v/>
      </c>
      <c r="E5875" s="57" t="str"/>
      <c r="F5875" s="49" t="str"/>
      <c r="G5875" s="59" t="str"/>
      <c r="H5875" s="64" t="str"/>
      <c r="I5875" s="65" t="str"/>
      <c r="J5875" s="49" t="str"/>
      <c r="K5875" s="41" t="str"/>
      <c r="L5875" s="41" t="str"/>
      <c r="M5875" s="41" t="str"/>
      <c r="N5875" s="41" t="str"/>
      <c r="O5875" s="41" t="str"/>
      <c r="P5875" s="41" t="str"/>
      <c r="Q5875" s="41" t="str"/>
      <c r="R5875" s="41" t="str"/>
      <c r="S5875" s="41" t="str"/>
      <c r="T5875" s="41" t="str"/>
      <c r="U5875" s="41" t="str"/>
      <c r="V5875" s="41" t="str"/>
      <c r="W5875" s="41" t="str"/>
    </row>
    <row r="5876">
      <c r="B5876" s="2" t="n"/>
      <c r="C5876" s="40" t="n"/>
      <c r="D5876" s="52">
        <f t="array" ref="D5876:W5876">IF(All_Students_Scores!C5874:V5874="","",All_Students_Scores!C5874:V5874)</f>
        <v/>
      </c>
      <c r="E5876" s="57" t="str"/>
      <c r="F5876" s="49" t="str"/>
      <c r="G5876" s="59" t="str"/>
      <c r="H5876" s="64" t="str"/>
      <c r="I5876" s="65" t="str"/>
      <c r="J5876" s="49" t="str"/>
      <c r="K5876" s="41" t="str"/>
      <c r="L5876" s="41" t="str"/>
      <c r="M5876" s="41" t="str"/>
      <c r="N5876" s="41" t="str"/>
      <c r="O5876" s="41" t="str"/>
      <c r="P5876" s="41" t="str"/>
      <c r="Q5876" s="41" t="str"/>
      <c r="R5876" s="41" t="str"/>
      <c r="S5876" s="41" t="str"/>
      <c r="T5876" s="41" t="str"/>
      <c r="U5876" s="41" t="str"/>
      <c r="V5876" s="41" t="str"/>
      <c r="W5876" s="41" t="str"/>
    </row>
    <row r="5877">
      <c r="B5877" s="2" t="n"/>
      <c r="C5877" s="40" t="n"/>
      <c r="D5877" s="52">
        <f t="array" ref="D5877:W5877">IF(All_Students_Scores!C5875:V5875="","",All_Students_Scores!C5875:V5875)</f>
        <v/>
      </c>
      <c r="E5877" s="57" t="str"/>
      <c r="F5877" s="49" t="str"/>
      <c r="G5877" s="59" t="str"/>
      <c r="H5877" s="64" t="str"/>
      <c r="I5877" s="65" t="str"/>
      <c r="J5877" s="49" t="str"/>
      <c r="K5877" s="41" t="str"/>
      <c r="L5877" s="41" t="str"/>
      <c r="M5877" s="41" t="str"/>
      <c r="N5877" s="41" t="str"/>
      <c r="O5877" s="41" t="str"/>
      <c r="P5877" s="41" t="str"/>
      <c r="Q5877" s="41" t="str"/>
      <c r="R5877" s="41" t="str"/>
      <c r="S5877" s="41" t="str"/>
      <c r="T5877" s="41" t="str"/>
      <c r="U5877" s="41" t="str"/>
      <c r="V5877" s="41" t="str"/>
      <c r="W5877" s="41" t="str"/>
    </row>
    <row r="5878">
      <c r="B5878" s="2" t="n"/>
      <c r="C5878" s="40" t="n"/>
      <c r="D5878" s="52">
        <f t="array" ref="D5878:W5878">IF(All_Students_Scores!C5876:V5876="","",All_Students_Scores!C5876:V5876)</f>
        <v/>
      </c>
      <c r="E5878" s="57" t="str"/>
      <c r="F5878" s="49" t="str"/>
      <c r="G5878" s="59" t="str"/>
      <c r="H5878" s="64" t="str"/>
      <c r="I5878" s="65" t="str"/>
      <c r="J5878" s="49" t="str"/>
      <c r="K5878" s="41" t="str"/>
      <c r="L5878" s="41" t="str"/>
      <c r="M5878" s="41" t="str"/>
      <c r="N5878" s="41" t="str"/>
      <c r="O5878" s="41" t="str"/>
      <c r="P5878" s="41" t="str"/>
      <c r="Q5878" s="41" t="str"/>
      <c r="R5878" s="41" t="str"/>
      <c r="S5878" s="41" t="str"/>
      <c r="T5878" s="41" t="str"/>
      <c r="U5878" s="41" t="str"/>
      <c r="V5878" s="41" t="str"/>
      <c r="W5878" s="41" t="str"/>
    </row>
    <row r="5879">
      <c r="B5879" s="2" t="n"/>
      <c r="C5879" s="40" t="n"/>
      <c r="D5879" s="52">
        <f t="array" ref="D5879:W5879">IF(All_Students_Scores!C5877:V5877="","",All_Students_Scores!C5877:V5877)</f>
        <v/>
      </c>
      <c r="E5879" s="57" t="str"/>
      <c r="F5879" s="49" t="str"/>
      <c r="G5879" s="59" t="str"/>
      <c r="H5879" s="64" t="str"/>
      <c r="I5879" s="65" t="str"/>
      <c r="J5879" s="49" t="str"/>
      <c r="K5879" s="41" t="str"/>
      <c r="L5879" s="41" t="str"/>
      <c r="M5879" s="41" t="str"/>
      <c r="N5879" s="41" t="str"/>
      <c r="O5879" s="41" t="str"/>
      <c r="P5879" s="41" t="str"/>
      <c r="Q5879" s="41" t="str"/>
      <c r="R5879" s="41" t="str"/>
      <c r="S5879" s="41" t="str"/>
      <c r="T5879" s="41" t="str"/>
      <c r="U5879" s="41" t="str"/>
      <c r="V5879" s="41" t="str"/>
      <c r="W5879" s="41" t="str"/>
    </row>
    <row r="5880">
      <c r="B5880" s="2" t="n"/>
      <c r="C5880" s="40" t="n"/>
      <c r="D5880" s="52">
        <f t="array" ref="D5880:W5880">IF(All_Students_Scores!C5878:V5878="","",All_Students_Scores!C5878:V5878)</f>
        <v/>
      </c>
      <c r="E5880" s="57" t="str"/>
      <c r="F5880" s="49" t="str"/>
      <c r="G5880" s="59" t="str"/>
      <c r="H5880" s="64" t="str"/>
      <c r="I5880" s="65" t="str"/>
      <c r="J5880" s="49" t="str"/>
      <c r="K5880" s="41" t="str"/>
      <c r="L5880" s="41" t="str"/>
      <c r="M5880" s="41" t="str"/>
      <c r="N5880" s="41" t="str"/>
      <c r="O5880" s="41" t="str"/>
      <c r="P5880" s="41" t="str"/>
      <c r="Q5880" s="41" t="str"/>
      <c r="R5880" s="41" t="str"/>
      <c r="S5880" s="41" t="str"/>
      <c r="T5880" s="41" t="str"/>
      <c r="U5880" s="41" t="str"/>
      <c r="V5880" s="41" t="str"/>
      <c r="W5880" s="41" t="str"/>
    </row>
    <row r="5881">
      <c r="B5881" s="2" t="n"/>
      <c r="C5881" s="40" t="n"/>
      <c r="D5881" s="52">
        <f t="array" ref="D5881:W5881">IF(All_Students_Scores!C5879:V5879="","",All_Students_Scores!C5879:V5879)</f>
        <v/>
      </c>
      <c r="E5881" s="57" t="str"/>
      <c r="F5881" s="49" t="str"/>
      <c r="G5881" s="59" t="str"/>
      <c r="H5881" s="64" t="str"/>
      <c r="I5881" s="65" t="str"/>
      <c r="J5881" s="49" t="str"/>
      <c r="K5881" s="41" t="str"/>
      <c r="L5881" s="41" t="str"/>
      <c r="M5881" s="41" t="str"/>
      <c r="N5881" s="41" t="str"/>
      <c r="O5881" s="41" t="str"/>
      <c r="P5881" s="41" t="str"/>
      <c r="Q5881" s="41" t="str"/>
      <c r="R5881" s="41" t="str"/>
      <c r="S5881" s="41" t="str"/>
      <c r="T5881" s="41" t="str"/>
      <c r="U5881" s="41" t="str"/>
      <c r="V5881" s="41" t="str"/>
      <c r="W5881" s="41" t="str"/>
    </row>
    <row r="5882">
      <c r="B5882" s="2" t="n"/>
      <c r="C5882" s="40" t="n"/>
      <c r="D5882" s="52">
        <f t="array" ref="D5882:W5882">IF(All_Students_Scores!C5880:V5880="","",All_Students_Scores!C5880:V5880)</f>
        <v/>
      </c>
      <c r="E5882" s="57" t="str"/>
      <c r="F5882" s="49" t="str"/>
      <c r="G5882" s="59" t="str"/>
      <c r="H5882" s="64" t="str"/>
      <c r="I5882" s="65" t="str"/>
      <c r="J5882" s="49" t="str"/>
      <c r="K5882" s="41" t="str"/>
      <c r="L5882" s="41" t="str"/>
      <c r="M5882" s="41" t="str"/>
      <c r="N5882" s="41" t="str"/>
      <c r="O5882" s="41" t="str"/>
      <c r="P5882" s="41" t="str"/>
      <c r="Q5882" s="41" t="str"/>
      <c r="R5882" s="41" t="str"/>
      <c r="S5882" s="41" t="str"/>
      <c r="T5882" s="41" t="str"/>
      <c r="U5882" s="41" t="str"/>
      <c r="V5882" s="41" t="str"/>
      <c r="W5882" s="41" t="str"/>
    </row>
    <row r="5883">
      <c r="B5883" s="2" t="n"/>
      <c r="C5883" s="40" t="n"/>
      <c r="D5883" s="52">
        <f t="array" ref="D5883:W5883">IF(All_Students_Scores!C5881:V5881="","",All_Students_Scores!C5881:V5881)</f>
        <v/>
      </c>
      <c r="E5883" s="57" t="str"/>
      <c r="F5883" s="49" t="str"/>
      <c r="G5883" s="59" t="str"/>
      <c r="H5883" s="64" t="str"/>
      <c r="I5883" s="65" t="str"/>
      <c r="J5883" s="49" t="str"/>
      <c r="K5883" s="41" t="str"/>
      <c r="L5883" s="41" t="str"/>
      <c r="M5883" s="41" t="str"/>
      <c r="N5883" s="41" t="str"/>
      <c r="O5883" s="41" t="str"/>
      <c r="P5883" s="41" t="str"/>
      <c r="Q5883" s="41" t="str"/>
      <c r="R5883" s="41" t="str"/>
      <c r="S5883" s="41" t="str"/>
      <c r="T5883" s="41" t="str"/>
      <c r="U5883" s="41" t="str"/>
      <c r="V5883" s="41" t="str"/>
      <c r="W5883" s="41" t="str"/>
    </row>
    <row r="5884">
      <c r="B5884" s="2" t="n"/>
      <c r="C5884" s="40" t="n"/>
      <c r="D5884" s="52">
        <f t="array" ref="D5884:W5884">IF(All_Students_Scores!C5882:V5882="","",All_Students_Scores!C5882:V5882)</f>
        <v/>
      </c>
      <c r="E5884" s="57" t="str"/>
      <c r="F5884" s="49" t="str"/>
      <c r="G5884" s="59" t="str"/>
      <c r="H5884" s="64" t="str"/>
      <c r="I5884" s="65" t="str"/>
      <c r="J5884" s="49" t="str"/>
      <c r="K5884" s="41" t="str"/>
      <c r="L5884" s="41" t="str"/>
      <c r="M5884" s="41" t="str"/>
      <c r="N5884" s="41" t="str"/>
      <c r="O5884" s="41" t="str"/>
      <c r="P5884" s="41" t="str"/>
      <c r="Q5884" s="41" t="str"/>
      <c r="R5884" s="41" t="str"/>
      <c r="S5884" s="41" t="str"/>
      <c r="T5884" s="41" t="str"/>
      <c r="U5884" s="41" t="str"/>
      <c r="V5884" s="41" t="str"/>
      <c r="W5884" s="41" t="str"/>
    </row>
    <row r="5885">
      <c r="B5885" s="2" t="n"/>
      <c r="C5885" s="40" t="n"/>
      <c r="D5885" s="52">
        <f t="array" ref="D5885:W5885">IF(All_Students_Scores!C5883:V5883="","",All_Students_Scores!C5883:V5883)</f>
        <v/>
      </c>
      <c r="E5885" s="57" t="str"/>
      <c r="F5885" s="49" t="str"/>
      <c r="G5885" s="59" t="str"/>
      <c r="H5885" s="64" t="str"/>
      <c r="I5885" s="65" t="str"/>
      <c r="J5885" s="49" t="str"/>
      <c r="K5885" s="41" t="str"/>
      <c r="L5885" s="41" t="str"/>
      <c r="M5885" s="41" t="str"/>
      <c r="N5885" s="41" t="str"/>
      <c r="O5885" s="41" t="str"/>
      <c r="P5885" s="41" t="str"/>
      <c r="Q5885" s="41" t="str"/>
      <c r="R5885" s="41" t="str"/>
      <c r="S5885" s="41" t="str"/>
      <c r="T5885" s="41" t="str"/>
      <c r="U5885" s="41" t="str"/>
      <c r="V5885" s="41" t="str"/>
      <c r="W5885" s="41" t="str"/>
    </row>
    <row r="5886">
      <c r="B5886" s="2" t="n"/>
      <c r="C5886" s="40" t="n"/>
      <c r="D5886" s="52">
        <f t="array" ref="D5886:W5886">IF(All_Students_Scores!C5884:V5884="","",All_Students_Scores!C5884:V5884)</f>
        <v/>
      </c>
      <c r="E5886" s="57" t="str"/>
      <c r="F5886" s="49" t="str"/>
      <c r="G5886" s="59" t="str"/>
      <c r="H5886" s="64" t="str"/>
      <c r="I5886" s="65" t="str"/>
      <c r="J5886" s="49" t="str"/>
      <c r="K5886" s="41" t="str"/>
      <c r="L5886" s="41" t="str"/>
      <c r="M5886" s="41" t="str"/>
      <c r="N5886" s="41" t="str"/>
      <c r="O5886" s="41" t="str"/>
      <c r="P5886" s="41" t="str"/>
      <c r="Q5886" s="41" t="str"/>
      <c r="R5886" s="41" t="str"/>
      <c r="S5886" s="41" t="str"/>
      <c r="T5886" s="41" t="str"/>
      <c r="U5886" s="41" t="str"/>
      <c r="V5886" s="41" t="str"/>
      <c r="W5886" s="41" t="str"/>
    </row>
    <row r="5887">
      <c r="B5887" s="2" t="n"/>
      <c r="C5887" s="40" t="n"/>
      <c r="D5887" s="52">
        <f t="array" ref="D5887:W5887">IF(All_Students_Scores!C5885:V5885="","",All_Students_Scores!C5885:V5885)</f>
        <v/>
      </c>
      <c r="E5887" s="57" t="str"/>
      <c r="F5887" s="49" t="str"/>
      <c r="G5887" s="59" t="str"/>
      <c r="H5887" s="64" t="str"/>
      <c r="I5887" s="65" t="str"/>
      <c r="J5887" s="49" t="str"/>
      <c r="K5887" s="41" t="str"/>
      <c r="L5887" s="41" t="str"/>
      <c r="M5887" s="41" t="str"/>
      <c r="N5887" s="41" t="str"/>
      <c r="O5887" s="41" t="str"/>
      <c r="P5887" s="41" t="str"/>
      <c r="Q5887" s="41" t="str"/>
      <c r="R5887" s="41" t="str"/>
      <c r="S5887" s="41" t="str"/>
      <c r="T5887" s="41" t="str"/>
      <c r="U5887" s="41" t="str"/>
      <c r="V5887" s="41" t="str"/>
      <c r="W5887" s="41" t="str"/>
    </row>
    <row r="5888">
      <c r="B5888" s="2" t="n"/>
      <c r="C5888" s="40" t="n"/>
      <c r="D5888" s="52">
        <f t="array" ref="D5888:W5888">IF(All_Students_Scores!C5886:V5886="","",All_Students_Scores!C5886:V5886)</f>
        <v/>
      </c>
      <c r="E5888" s="57" t="str"/>
      <c r="F5888" s="49" t="str"/>
      <c r="G5888" s="59" t="str"/>
      <c r="H5888" s="64" t="str"/>
      <c r="I5888" s="65" t="str"/>
      <c r="J5888" s="49" t="str"/>
      <c r="K5888" s="41" t="str"/>
      <c r="L5888" s="41" t="str"/>
      <c r="M5888" s="41" t="str"/>
      <c r="N5888" s="41" t="str"/>
      <c r="O5888" s="41" t="str"/>
      <c r="P5888" s="41" t="str"/>
      <c r="Q5888" s="41" t="str"/>
      <c r="R5888" s="41" t="str"/>
      <c r="S5888" s="41" t="str"/>
      <c r="T5888" s="41" t="str"/>
      <c r="U5888" s="41" t="str"/>
      <c r="V5888" s="41" t="str"/>
      <c r="W5888" s="41" t="str"/>
    </row>
    <row r="5889">
      <c r="B5889" s="2" t="n"/>
      <c r="C5889" s="40" t="n"/>
      <c r="D5889" s="52">
        <f t="array" ref="D5889:W5889">IF(All_Students_Scores!C5887:V5887="","",All_Students_Scores!C5887:V5887)</f>
        <v/>
      </c>
      <c r="E5889" s="57" t="str"/>
      <c r="F5889" s="49" t="str"/>
      <c r="G5889" s="59" t="str"/>
      <c r="H5889" s="64" t="str"/>
      <c r="I5889" s="65" t="str"/>
      <c r="J5889" s="49" t="str"/>
      <c r="K5889" s="41" t="str"/>
      <c r="L5889" s="41" t="str"/>
      <c r="M5889" s="41" t="str"/>
      <c r="N5889" s="41" t="str"/>
      <c r="O5889" s="41" t="str"/>
      <c r="P5889" s="41" t="str"/>
      <c r="Q5889" s="41" t="str"/>
      <c r="R5889" s="41" t="str"/>
      <c r="S5889" s="41" t="str"/>
      <c r="T5889" s="41" t="str"/>
      <c r="U5889" s="41" t="str"/>
      <c r="V5889" s="41" t="str"/>
      <c r="W5889" s="41" t="str"/>
    </row>
    <row r="5890">
      <c r="B5890" s="2" t="n"/>
      <c r="C5890" s="40" t="n"/>
      <c r="D5890" s="52">
        <f t="array" ref="D5890:W5890">IF(All_Students_Scores!C5888:V5888="","",All_Students_Scores!C5888:V5888)</f>
        <v/>
      </c>
      <c r="E5890" s="57" t="str"/>
      <c r="F5890" s="49" t="str"/>
      <c r="G5890" s="59" t="str"/>
      <c r="H5890" s="64" t="str"/>
      <c r="I5890" s="65" t="str"/>
      <c r="J5890" s="49" t="str"/>
      <c r="K5890" s="41" t="str"/>
      <c r="L5890" s="41" t="str"/>
      <c r="M5890" s="41" t="str"/>
      <c r="N5890" s="41" t="str"/>
      <c r="O5890" s="41" t="str"/>
      <c r="P5890" s="41" t="str"/>
      <c r="Q5890" s="41" t="str"/>
      <c r="R5890" s="41" t="str"/>
      <c r="S5890" s="41" t="str"/>
      <c r="T5890" s="41" t="str"/>
      <c r="U5890" s="41" t="str"/>
      <c r="V5890" s="41" t="str"/>
      <c r="W5890" s="41" t="str"/>
    </row>
    <row r="5891">
      <c r="B5891" s="2" t="n"/>
      <c r="C5891" s="40" t="n"/>
      <c r="D5891" s="52">
        <f t="array" ref="D5891:W5891">IF(All_Students_Scores!C5889:V5889="","",All_Students_Scores!C5889:V5889)</f>
        <v/>
      </c>
      <c r="E5891" s="57" t="str"/>
      <c r="F5891" s="49" t="str"/>
      <c r="G5891" s="59" t="str"/>
      <c r="H5891" s="64" t="str"/>
      <c r="I5891" s="65" t="str"/>
      <c r="J5891" s="49" t="str"/>
      <c r="K5891" s="41" t="str"/>
      <c r="L5891" s="41" t="str"/>
      <c r="M5891" s="41" t="str"/>
      <c r="N5891" s="41" t="str"/>
      <c r="O5891" s="41" t="str"/>
      <c r="P5891" s="41" t="str"/>
      <c r="Q5891" s="41" t="str"/>
      <c r="R5891" s="41" t="str"/>
      <c r="S5891" s="41" t="str"/>
      <c r="T5891" s="41" t="str"/>
      <c r="U5891" s="41" t="str"/>
      <c r="V5891" s="41" t="str"/>
      <c r="W5891" s="41" t="str"/>
    </row>
    <row r="5892">
      <c r="B5892" s="2" t="n"/>
      <c r="C5892" s="40" t="n"/>
      <c r="D5892" s="52">
        <f t="array" ref="D5892:W5892">IF(All_Students_Scores!C5890:V5890="","",All_Students_Scores!C5890:V5890)</f>
        <v/>
      </c>
      <c r="E5892" s="57" t="str"/>
      <c r="F5892" s="49" t="str"/>
      <c r="G5892" s="59" t="str"/>
      <c r="H5892" s="64" t="str"/>
      <c r="I5892" s="65" t="str"/>
      <c r="J5892" s="49" t="str"/>
      <c r="K5892" s="41" t="str"/>
      <c r="L5892" s="41" t="str"/>
      <c r="M5892" s="41" t="str"/>
      <c r="N5892" s="41" t="str"/>
      <c r="O5892" s="41" t="str"/>
      <c r="P5892" s="41" t="str"/>
      <c r="Q5892" s="41" t="str"/>
      <c r="R5892" s="41" t="str"/>
      <c r="S5892" s="41" t="str"/>
      <c r="T5892" s="41" t="str"/>
      <c r="U5892" s="41" t="str"/>
      <c r="V5892" s="41" t="str"/>
      <c r="W5892" s="41" t="str"/>
    </row>
    <row r="5893">
      <c r="B5893" s="2" t="n"/>
      <c r="C5893" s="40" t="n"/>
      <c r="D5893" s="52">
        <f t="array" ref="D5893:W5893">IF(All_Students_Scores!C5891:V5891="","",All_Students_Scores!C5891:V5891)</f>
        <v/>
      </c>
      <c r="E5893" s="57" t="str"/>
      <c r="F5893" s="49" t="str"/>
      <c r="G5893" s="59" t="str"/>
      <c r="H5893" s="64" t="str"/>
      <c r="I5893" s="65" t="str"/>
      <c r="J5893" s="49" t="str"/>
      <c r="K5893" s="41" t="str"/>
      <c r="L5893" s="41" t="str"/>
      <c r="M5893" s="41" t="str"/>
      <c r="N5893" s="41" t="str"/>
      <c r="O5893" s="41" t="str"/>
      <c r="P5893" s="41" t="str"/>
      <c r="Q5893" s="41" t="str"/>
      <c r="R5893" s="41" t="str"/>
      <c r="S5893" s="41" t="str"/>
      <c r="T5893" s="41" t="str"/>
      <c r="U5893" s="41" t="str"/>
      <c r="V5893" s="41" t="str"/>
      <c r="W5893" s="41" t="str"/>
    </row>
    <row r="5894">
      <c r="B5894" s="2" t="n"/>
      <c r="C5894" s="40" t="n"/>
      <c r="D5894" s="52">
        <f t="array" ref="D5894:W5894">IF(All_Students_Scores!C5892:V5892="","",All_Students_Scores!C5892:V5892)</f>
        <v/>
      </c>
      <c r="E5894" s="57" t="str"/>
      <c r="F5894" s="49" t="str"/>
      <c r="G5894" s="59" t="str"/>
      <c r="H5894" s="64" t="str"/>
      <c r="I5894" s="65" t="str"/>
      <c r="J5894" s="49" t="str"/>
      <c r="K5894" s="41" t="str"/>
      <c r="L5894" s="41" t="str"/>
      <c r="M5894" s="41" t="str"/>
      <c r="N5894" s="41" t="str"/>
      <c r="O5894" s="41" t="str"/>
      <c r="P5894" s="41" t="str"/>
      <c r="Q5894" s="41" t="str"/>
      <c r="R5894" s="41" t="str"/>
      <c r="S5894" s="41" t="str"/>
      <c r="T5894" s="41" t="str"/>
      <c r="U5894" s="41" t="str"/>
      <c r="V5894" s="41" t="str"/>
      <c r="W5894" s="41" t="str"/>
    </row>
    <row r="5895">
      <c r="B5895" s="2" t="n"/>
      <c r="C5895" s="40" t="n"/>
      <c r="D5895" s="52">
        <f t="array" ref="D5895:W5895">IF(All_Students_Scores!C5893:V5893="","",All_Students_Scores!C5893:V5893)</f>
        <v/>
      </c>
      <c r="E5895" s="57" t="str"/>
      <c r="F5895" s="49" t="str"/>
      <c r="G5895" s="59" t="str"/>
      <c r="H5895" s="64" t="str"/>
      <c r="I5895" s="65" t="str"/>
      <c r="J5895" s="49" t="str"/>
      <c r="K5895" s="41" t="str"/>
      <c r="L5895" s="41" t="str"/>
      <c r="M5895" s="41" t="str"/>
      <c r="N5895" s="41" t="str"/>
      <c r="O5895" s="41" t="str"/>
      <c r="P5895" s="41" t="str"/>
      <c r="Q5895" s="41" t="str"/>
      <c r="R5895" s="41" t="str"/>
      <c r="S5895" s="41" t="str"/>
      <c r="T5895" s="41" t="str"/>
      <c r="U5895" s="41" t="str"/>
      <c r="V5895" s="41" t="str"/>
      <c r="W5895" s="41" t="str"/>
    </row>
    <row r="5896">
      <c r="B5896" s="2" t="n"/>
      <c r="C5896" s="40" t="n"/>
      <c r="D5896" s="52">
        <f t="array" ref="D5896:W5896">IF(All_Students_Scores!C5894:V5894="","",All_Students_Scores!C5894:V5894)</f>
        <v/>
      </c>
      <c r="E5896" s="57" t="str"/>
      <c r="F5896" s="49" t="str"/>
      <c r="G5896" s="59" t="str"/>
      <c r="H5896" s="64" t="str"/>
      <c r="I5896" s="65" t="str"/>
      <c r="J5896" s="49" t="str"/>
      <c r="K5896" s="41" t="str"/>
      <c r="L5896" s="41" t="str"/>
      <c r="M5896" s="41" t="str"/>
      <c r="N5896" s="41" t="str"/>
      <c r="O5896" s="41" t="str"/>
      <c r="P5896" s="41" t="str"/>
      <c r="Q5896" s="41" t="str"/>
      <c r="R5896" s="41" t="str"/>
      <c r="S5896" s="41" t="str"/>
      <c r="T5896" s="41" t="str"/>
      <c r="U5896" s="41" t="str"/>
      <c r="V5896" s="41" t="str"/>
      <c r="W5896" s="41" t="str"/>
    </row>
    <row r="5897">
      <c r="B5897" s="2" t="n"/>
      <c r="C5897" s="40" t="n"/>
      <c r="D5897" s="52">
        <f t="array" ref="D5897:W5897">IF(All_Students_Scores!C5895:V5895="","",All_Students_Scores!C5895:V5895)</f>
        <v/>
      </c>
      <c r="E5897" s="57" t="str"/>
      <c r="F5897" s="49" t="str"/>
      <c r="G5897" s="59" t="str"/>
      <c r="H5897" s="64" t="str"/>
      <c r="I5897" s="65" t="str"/>
      <c r="J5897" s="49" t="str"/>
      <c r="K5897" s="41" t="str"/>
      <c r="L5897" s="41" t="str"/>
      <c r="M5897" s="41" t="str"/>
      <c r="N5897" s="41" t="str"/>
      <c r="O5897" s="41" t="str"/>
      <c r="P5897" s="41" t="str"/>
      <c r="Q5897" s="41" t="str"/>
      <c r="R5897" s="41" t="str"/>
      <c r="S5897" s="41" t="str"/>
      <c r="T5897" s="41" t="str"/>
      <c r="U5897" s="41" t="str"/>
      <c r="V5897" s="41" t="str"/>
      <c r="W5897" s="41" t="str"/>
    </row>
    <row r="5898">
      <c r="B5898" s="2" t="n"/>
      <c r="C5898" s="40" t="n"/>
      <c r="D5898" s="52">
        <f t="array" ref="D5898:W5898">IF(All_Students_Scores!C5896:V5896="","",All_Students_Scores!C5896:V5896)</f>
        <v/>
      </c>
      <c r="E5898" s="57" t="str"/>
      <c r="F5898" s="49" t="str"/>
      <c r="G5898" s="59" t="str"/>
      <c r="H5898" s="64" t="str"/>
      <c r="I5898" s="65" t="str"/>
      <c r="J5898" s="49" t="str"/>
      <c r="K5898" s="41" t="str"/>
      <c r="L5898" s="41" t="str"/>
      <c r="M5898" s="41" t="str"/>
      <c r="N5898" s="41" t="str"/>
      <c r="O5898" s="41" t="str"/>
      <c r="P5898" s="41" t="str"/>
      <c r="Q5898" s="41" t="str"/>
      <c r="R5898" s="41" t="str"/>
      <c r="S5898" s="41" t="str"/>
      <c r="T5898" s="41" t="str"/>
      <c r="U5898" s="41" t="str"/>
      <c r="V5898" s="41" t="str"/>
      <c r="W5898" s="41" t="str"/>
    </row>
    <row r="5899">
      <c r="B5899" s="2" t="n"/>
      <c r="C5899" s="40" t="n"/>
      <c r="D5899" s="52">
        <f t="array" ref="D5899:W5899">IF(All_Students_Scores!C5897:V5897="","",All_Students_Scores!C5897:V5897)</f>
        <v/>
      </c>
      <c r="E5899" s="57" t="str"/>
      <c r="F5899" s="49" t="str"/>
      <c r="G5899" s="59" t="str"/>
      <c r="H5899" s="64" t="str"/>
      <c r="I5899" s="65" t="str"/>
      <c r="J5899" s="49" t="str"/>
      <c r="K5899" s="41" t="str"/>
      <c r="L5899" s="41" t="str"/>
      <c r="M5899" s="41" t="str"/>
      <c r="N5899" s="41" t="str"/>
      <c r="O5899" s="41" t="str"/>
      <c r="P5899" s="41" t="str"/>
      <c r="Q5899" s="41" t="str"/>
      <c r="R5899" s="41" t="str"/>
      <c r="S5899" s="41" t="str"/>
      <c r="T5899" s="41" t="str"/>
      <c r="U5899" s="41" t="str"/>
      <c r="V5899" s="41" t="str"/>
      <c r="W5899" s="41" t="str"/>
    </row>
    <row r="5900">
      <c r="B5900" s="2" t="n"/>
      <c r="C5900" s="40" t="n"/>
      <c r="D5900" s="52">
        <f t="array" ref="D5900:W5900">IF(All_Students_Scores!C5898:V5898="","",All_Students_Scores!C5898:V5898)</f>
        <v/>
      </c>
      <c r="E5900" s="57" t="str"/>
      <c r="F5900" s="49" t="str"/>
      <c r="G5900" s="59" t="str"/>
      <c r="H5900" s="64" t="str"/>
      <c r="I5900" s="65" t="str"/>
      <c r="J5900" s="49" t="str"/>
      <c r="K5900" s="41" t="str"/>
      <c r="L5900" s="41" t="str"/>
      <c r="M5900" s="41" t="str"/>
      <c r="N5900" s="41" t="str"/>
      <c r="O5900" s="41" t="str"/>
      <c r="P5900" s="41" t="str"/>
      <c r="Q5900" s="41" t="str"/>
      <c r="R5900" s="41" t="str"/>
      <c r="S5900" s="41" t="str"/>
      <c r="T5900" s="41" t="str"/>
      <c r="U5900" s="41" t="str"/>
      <c r="V5900" s="41" t="str"/>
      <c r="W5900" s="41" t="str"/>
    </row>
    <row r="5901">
      <c r="B5901" s="2" t="n"/>
      <c r="C5901" s="40" t="n"/>
      <c r="D5901" s="52">
        <f t="array" ref="D5901:W5901">IF(All_Students_Scores!C5899:V5899="","",All_Students_Scores!C5899:V5899)</f>
        <v/>
      </c>
      <c r="E5901" s="57" t="str"/>
      <c r="F5901" s="49" t="str"/>
      <c r="G5901" s="59" t="str"/>
      <c r="H5901" s="64" t="str"/>
      <c r="I5901" s="65" t="str"/>
      <c r="J5901" s="49" t="str"/>
      <c r="K5901" s="41" t="str"/>
      <c r="L5901" s="41" t="str"/>
      <c r="M5901" s="41" t="str"/>
      <c r="N5901" s="41" t="str"/>
      <c r="O5901" s="41" t="str"/>
      <c r="P5901" s="41" t="str"/>
      <c r="Q5901" s="41" t="str"/>
      <c r="R5901" s="41" t="str"/>
      <c r="S5901" s="41" t="str"/>
      <c r="T5901" s="41" t="str"/>
      <c r="U5901" s="41" t="str"/>
      <c r="V5901" s="41" t="str"/>
      <c r="W5901" s="41" t="str"/>
    </row>
    <row r="5902">
      <c r="B5902" s="2" t="n"/>
      <c r="C5902" s="40" t="n"/>
      <c r="D5902" s="52">
        <f t="array" ref="D5902:W5902">IF(All_Students_Scores!C5900:V5900="","",All_Students_Scores!C5900:V5900)</f>
        <v/>
      </c>
      <c r="E5902" s="57" t="str"/>
      <c r="F5902" s="49" t="str"/>
      <c r="G5902" s="59" t="str"/>
      <c r="H5902" s="64" t="str"/>
      <c r="I5902" s="65" t="str"/>
      <c r="J5902" s="49" t="str"/>
      <c r="K5902" s="41" t="str"/>
      <c r="L5902" s="41" t="str"/>
      <c r="M5902" s="41" t="str"/>
      <c r="N5902" s="41" t="str"/>
      <c r="O5902" s="41" t="str"/>
      <c r="P5902" s="41" t="str"/>
      <c r="Q5902" s="41" t="str"/>
      <c r="R5902" s="41" t="str"/>
      <c r="S5902" s="41" t="str"/>
      <c r="T5902" s="41" t="str"/>
      <c r="U5902" s="41" t="str"/>
      <c r="V5902" s="41" t="str"/>
      <c r="W5902" s="41" t="str"/>
    </row>
    <row r="5903">
      <c r="B5903" s="2" t="n"/>
      <c r="C5903" s="40" t="n"/>
      <c r="D5903" s="52">
        <f t="array" ref="D5903:W5903">IF(All_Students_Scores!C5901:V5901="","",All_Students_Scores!C5901:V5901)</f>
        <v/>
      </c>
      <c r="E5903" s="57" t="str"/>
      <c r="F5903" s="49" t="str"/>
      <c r="G5903" s="59" t="str"/>
      <c r="H5903" s="64" t="str"/>
      <c r="I5903" s="65" t="str"/>
      <c r="J5903" s="49" t="str"/>
      <c r="K5903" s="41" t="str"/>
      <c r="L5903" s="41" t="str"/>
      <c r="M5903" s="41" t="str"/>
      <c r="N5903" s="41" t="str"/>
      <c r="O5903" s="41" t="str"/>
      <c r="P5903" s="41" t="str"/>
      <c r="Q5903" s="41" t="str"/>
      <c r="R5903" s="41" t="str"/>
      <c r="S5903" s="41" t="str"/>
      <c r="T5903" s="41" t="str"/>
      <c r="U5903" s="41" t="str"/>
      <c r="V5903" s="41" t="str"/>
      <c r="W5903" s="41" t="str"/>
    </row>
    <row r="5904">
      <c r="B5904" s="2" t="n"/>
      <c r="C5904" s="40" t="n"/>
      <c r="D5904" s="52">
        <f t="array" ref="D5904:W5904">IF(All_Students_Scores!C5902:V5902="","",All_Students_Scores!C5902:V5902)</f>
        <v/>
      </c>
      <c r="E5904" s="57" t="str"/>
      <c r="F5904" s="49" t="str"/>
      <c r="G5904" s="59" t="str"/>
      <c r="H5904" s="64" t="str"/>
      <c r="I5904" s="65" t="str"/>
      <c r="J5904" s="49" t="str"/>
      <c r="K5904" s="41" t="str"/>
      <c r="L5904" s="41" t="str"/>
      <c r="M5904" s="41" t="str"/>
      <c r="N5904" s="41" t="str"/>
      <c r="O5904" s="41" t="str"/>
      <c r="P5904" s="41" t="str"/>
      <c r="Q5904" s="41" t="str"/>
      <c r="R5904" s="41" t="str"/>
      <c r="S5904" s="41" t="str"/>
      <c r="T5904" s="41" t="str"/>
      <c r="U5904" s="41" t="str"/>
      <c r="V5904" s="41" t="str"/>
      <c r="W5904" s="41" t="str"/>
    </row>
    <row r="5905">
      <c r="B5905" s="2" t="n"/>
      <c r="C5905" s="40" t="n"/>
      <c r="D5905" s="52">
        <f t="array" ref="D5905:W5905">IF(All_Students_Scores!C5903:V5903="","",All_Students_Scores!C5903:V5903)</f>
        <v/>
      </c>
      <c r="E5905" s="57" t="str"/>
      <c r="F5905" s="49" t="str"/>
      <c r="G5905" s="59" t="str"/>
      <c r="H5905" s="64" t="str"/>
      <c r="I5905" s="65" t="str"/>
      <c r="J5905" s="49" t="str"/>
      <c r="K5905" s="41" t="str"/>
      <c r="L5905" s="41" t="str"/>
      <c r="M5905" s="41" t="str"/>
      <c r="N5905" s="41" t="str"/>
      <c r="O5905" s="41" t="str"/>
      <c r="P5905" s="41" t="str"/>
      <c r="Q5905" s="41" t="str"/>
      <c r="R5905" s="41" t="str"/>
      <c r="S5905" s="41" t="str"/>
      <c r="T5905" s="41" t="str"/>
      <c r="U5905" s="41" t="str"/>
      <c r="V5905" s="41" t="str"/>
      <c r="W5905" s="41" t="str"/>
    </row>
    <row r="5906">
      <c r="B5906" s="2" t="n"/>
      <c r="C5906" s="40" t="n"/>
      <c r="D5906" s="52">
        <f t="array" ref="D5906:W5906">IF(All_Students_Scores!C5904:V5904="","",All_Students_Scores!C5904:V5904)</f>
        <v/>
      </c>
      <c r="E5906" s="57" t="str"/>
      <c r="F5906" s="49" t="str"/>
      <c r="G5906" s="59" t="str"/>
      <c r="H5906" s="64" t="str"/>
      <c r="I5906" s="65" t="str"/>
      <c r="J5906" s="49" t="str"/>
      <c r="K5906" s="41" t="str"/>
      <c r="L5906" s="41" t="str"/>
      <c r="M5906" s="41" t="str"/>
      <c r="N5906" s="41" t="str"/>
      <c r="O5906" s="41" t="str"/>
      <c r="P5906" s="41" t="str"/>
      <c r="Q5906" s="41" t="str"/>
      <c r="R5906" s="41" t="str"/>
      <c r="S5906" s="41" t="str"/>
      <c r="T5906" s="41" t="str"/>
      <c r="U5906" s="41" t="str"/>
      <c r="V5906" s="41" t="str"/>
      <c r="W5906" s="41" t="str"/>
    </row>
    <row r="5907">
      <c r="B5907" s="2" t="n"/>
      <c r="C5907" s="40" t="n"/>
      <c r="D5907" s="52">
        <f t="array" ref="D5907:W5907">IF(All_Students_Scores!C5905:V5905="","",All_Students_Scores!C5905:V5905)</f>
        <v/>
      </c>
      <c r="E5907" s="57" t="str"/>
      <c r="F5907" s="49" t="str"/>
      <c r="G5907" s="59" t="str"/>
      <c r="H5907" s="64" t="str"/>
      <c r="I5907" s="65" t="str"/>
      <c r="J5907" s="49" t="str"/>
      <c r="K5907" s="41" t="str"/>
      <c r="L5907" s="41" t="str"/>
      <c r="M5907" s="41" t="str"/>
      <c r="N5907" s="41" t="str"/>
      <c r="O5907" s="41" t="str"/>
      <c r="P5907" s="41" t="str"/>
      <c r="Q5907" s="41" t="str"/>
      <c r="R5907" s="41" t="str"/>
      <c r="S5907" s="41" t="str"/>
      <c r="T5907" s="41" t="str"/>
      <c r="U5907" s="41" t="str"/>
      <c r="V5907" s="41" t="str"/>
      <c r="W5907" s="41" t="str"/>
    </row>
    <row r="5908">
      <c r="B5908" s="2" t="n"/>
      <c r="C5908" s="40" t="n"/>
      <c r="D5908" s="52">
        <f t="array" ref="D5908:W5908">IF(All_Students_Scores!C5906:V5906="","",All_Students_Scores!C5906:V5906)</f>
        <v/>
      </c>
      <c r="E5908" s="57" t="str"/>
      <c r="F5908" s="49" t="str"/>
      <c r="G5908" s="59" t="str"/>
      <c r="H5908" s="64" t="str"/>
      <c r="I5908" s="65" t="str"/>
      <c r="J5908" s="49" t="str"/>
      <c r="K5908" s="41" t="str"/>
      <c r="L5908" s="41" t="str"/>
      <c r="M5908" s="41" t="str"/>
      <c r="N5908" s="41" t="str"/>
      <c r="O5908" s="41" t="str"/>
      <c r="P5908" s="41" t="str"/>
      <c r="Q5908" s="41" t="str"/>
      <c r="R5908" s="41" t="str"/>
      <c r="S5908" s="41" t="str"/>
      <c r="T5908" s="41" t="str"/>
      <c r="U5908" s="41" t="str"/>
      <c r="V5908" s="41" t="str"/>
      <c r="W5908" s="41" t="str"/>
    </row>
    <row r="5909">
      <c r="B5909" s="2" t="n"/>
      <c r="C5909" s="40" t="n"/>
      <c r="D5909" s="52">
        <f t="array" ref="D5909:W5909">IF(All_Students_Scores!C5907:V5907="","",All_Students_Scores!C5907:V5907)</f>
        <v/>
      </c>
      <c r="E5909" s="57" t="str"/>
      <c r="F5909" s="49" t="str"/>
      <c r="G5909" s="59" t="str"/>
      <c r="H5909" s="64" t="str"/>
      <c r="I5909" s="65" t="str"/>
      <c r="J5909" s="49" t="str"/>
      <c r="K5909" s="41" t="str"/>
      <c r="L5909" s="41" t="str"/>
      <c r="M5909" s="41" t="str"/>
      <c r="N5909" s="41" t="str"/>
      <c r="O5909" s="41" t="str"/>
      <c r="P5909" s="41" t="str"/>
      <c r="Q5909" s="41" t="str"/>
      <c r="R5909" s="41" t="str"/>
      <c r="S5909" s="41" t="str"/>
      <c r="T5909" s="41" t="str"/>
      <c r="U5909" s="41" t="str"/>
      <c r="V5909" s="41" t="str"/>
      <c r="W5909" s="41" t="str"/>
    </row>
    <row r="5910">
      <c r="B5910" s="2" t="n"/>
      <c r="C5910" s="40" t="n"/>
      <c r="D5910" s="52">
        <f t="array" ref="D5910:W5910">IF(All_Students_Scores!C5908:V5908="","",All_Students_Scores!C5908:V5908)</f>
        <v/>
      </c>
      <c r="E5910" s="57" t="str"/>
      <c r="F5910" s="49" t="str"/>
      <c r="G5910" s="59" t="str"/>
      <c r="H5910" s="64" t="str"/>
      <c r="I5910" s="65" t="str"/>
      <c r="J5910" s="49" t="str"/>
      <c r="K5910" s="41" t="str"/>
      <c r="L5910" s="41" t="str"/>
      <c r="M5910" s="41" t="str"/>
      <c r="N5910" s="41" t="str"/>
      <c r="O5910" s="41" t="str"/>
      <c r="P5910" s="41" t="str"/>
      <c r="Q5910" s="41" t="str"/>
      <c r="R5910" s="41" t="str"/>
      <c r="S5910" s="41" t="str"/>
      <c r="T5910" s="41" t="str"/>
      <c r="U5910" s="41" t="str"/>
      <c r="V5910" s="41" t="str"/>
      <c r="W5910" s="41" t="str"/>
    </row>
    <row r="5911">
      <c r="B5911" s="2" t="n"/>
      <c r="C5911" s="40" t="n"/>
      <c r="D5911" s="52">
        <f t="array" ref="D5911:W5911">IF(All_Students_Scores!C5909:V5909="","",All_Students_Scores!C5909:V5909)</f>
        <v/>
      </c>
      <c r="E5911" s="57" t="str"/>
      <c r="F5911" s="49" t="str"/>
      <c r="G5911" s="59" t="str"/>
      <c r="H5911" s="64" t="str"/>
      <c r="I5911" s="65" t="str"/>
      <c r="J5911" s="49" t="str"/>
      <c r="K5911" s="41" t="str"/>
      <c r="L5911" s="41" t="str"/>
      <c r="M5911" s="41" t="str"/>
      <c r="N5911" s="41" t="str"/>
      <c r="O5911" s="41" t="str"/>
      <c r="P5911" s="41" t="str"/>
      <c r="Q5911" s="41" t="str"/>
      <c r="R5911" s="41" t="str"/>
      <c r="S5911" s="41" t="str"/>
      <c r="T5911" s="41" t="str"/>
      <c r="U5911" s="41" t="str"/>
      <c r="V5911" s="41" t="str"/>
      <c r="W5911" s="41" t="str"/>
    </row>
    <row r="5912">
      <c r="B5912" s="2" t="n"/>
      <c r="C5912" s="40" t="n"/>
      <c r="D5912" s="52">
        <f t="array" ref="D5912:W5912">IF(All_Students_Scores!C5910:V5910="","",All_Students_Scores!C5910:V5910)</f>
        <v/>
      </c>
      <c r="E5912" s="57" t="str"/>
      <c r="F5912" s="49" t="str"/>
      <c r="G5912" s="59" t="str"/>
      <c r="H5912" s="64" t="str"/>
      <c r="I5912" s="65" t="str"/>
      <c r="J5912" s="49" t="str"/>
      <c r="K5912" s="41" t="str"/>
      <c r="L5912" s="41" t="str"/>
      <c r="M5912" s="41" t="str"/>
      <c r="N5912" s="41" t="str"/>
      <c r="O5912" s="41" t="str"/>
      <c r="P5912" s="41" t="str"/>
      <c r="Q5912" s="41" t="str"/>
      <c r="R5912" s="41" t="str"/>
      <c r="S5912" s="41" t="str"/>
      <c r="T5912" s="41" t="str"/>
      <c r="U5912" s="41" t="str"/>
      <c r="V5912" s="41" t="str"/>
      <c r="W5912" s="41" t="str"/>
    </row>
    <row r="5913">
      <c r="B5913" s="2" t="n"/>
      <c r="C5913" s="40" t="n"/>
      <c r="D5913" s="52">
        <f t="array" ref="D5913:W5913">IF(All_Students_Scores!C5911:V5911="","",All_Students_Scores!C5911:V5911)</f>
        <v/>
      </c>
      <c r="E5913" s="57" t="str"/>
      <c r="F5913" s="49" t="str"/>
      <c r="G5913" s="59" t="str"/>
      <c r="H5913" s="64" t="str"/>
      <c r="I5913" s="65" t="str"/>
      <c r="J5913" s="49" t="str"/>
      <c r="K5913" s="41" t="str"/>
      <c r="L5913" s="41" t="str"/>
      <c r="M5913" s="41" t="str"/>
      <c r="N5913" s="41" t="str"/>
      <c r="O5913" s="41" t="str"/>
      <c r="P5913" s="41" t="str"/>
      <c r="Q5913" s="41" t="str"/>
      <c r="R5913" s="41" t="str"/>
      <c r="S5913" s="41" t="str"/>
      <c r="T5913" s="41" t="str"/>
      <c r="U5913" s="41" t="str"/>
      <c r="V5913" s="41" t="str"/>
      <c r="W5913" s="41" t="str"/>
    </row>
    <row r="5914">
      <c r="B5914" s="2" t="n"/>
      <c r="C5914" s="40" t="n"/>
      <c r="D5914" s="52">
        <f t="array" ref="D5914:W5914">IF(All_Students_Scores!C5912:V5912="","",All_Students_Scores!C5912:V5912)</f>
        <v/>
      </c>
      <c r="E5914" s="57" t="str"/>
      <c r="F5914" s="49" t="str"/>
      <c r="G5914" s="59" t="str"/>
      <c r="H5914" s="64" t="str"/>
      <c r="I5914" s="65" t="str"/>
      <c r="J5914" s="49" t="str"/>
      <c r="K5914" s="41" t="str"/>
      <c r="L5914" s="41" t="str"/>
      <c r="M5914" s="41" t="str"/>
      <c r="N5914" s="41" t="str"/>
      <c r="O5914" s="41" t="str"/>
      <c r="P5914" s="41" t="str"/>
      <c r="Q5914" s="41" t="str"/>
      <c r="R5914" s="41" t="str"/>
      <c r="S5914" s="41" t="str"/>
      <c r="T5914" s="41" t="str"/>
      <c r="U5914" s="41" t="str"/>
      <c r="V5914" s="41" t="str"/>
      <c r="W5914" s="41" t="str"/>
    </row>
    <row r="5915">
      <c r="B5915" s="2" t="n"/>
      <c r="C5915" s="40" t="n"/>
      <c r="D5915" s="52">
        <f t="array" ref="D5915:W5915">IF(All_Students_Scores!C5913:V5913="","",All_Students_Scores!C5913:V5913)</f>
        <v/>
      </c>
      <c r="E5915" s="57" t="str"/>
      <c r="F5915" s="49" t="str"/>
      <c r="G5915" s="59" t="str"/>
      <c r="H5915" s="64" t="str"/>
      <c r="I5915" s="65" t="str"/>
      <c r="J5915" s="49" t="str"/>
      <c r="K5915" s="41" t="str"/>
      <c r="L5915" s="41" t="str"/>
      <c r="M5915" s="41" t="str"/>
      <c r="N5915" s="41" t="str"/>
      <c r="O5915" s="41" t="str"/>
      <c r="P5915" s="41" t="str"/>
      <c r="Q5915" s="41" t="str"/>
      <c r="R5915" s="41" t="str"/>
      <c r="S5915" s="41" t="str"/>
      <c r="T5915" s="41" t="str"/>
      <c r="U5915" s="41" t="str"/>
      <c r="V5915" s="41" t="str"/>
      <c r="W5915" s="41" t="str"/>
    </row>
    <row r="5916">
      <c r="B5916" s="2" t="n"/>
      <c r="C5916" s="40" t="n"/>
      <c r="D5916" s="52">
        <f t="array" ref="D5916:W5916">IF(All_Students_Scores!C5914:V5914="","",All_Students_Scores!C5914:V5914)</f>
        <v/>
      </c>
      <c r="E5916" s="57" t="str"/>
      <c r="F5916" s="49" t="str"/>
      <c r="G5916" s="59" t="str"/>
      <c r="H5916" s="64" t="str"/>
      <c r="I5916" s="65" t="str"/>
      <c r="J5916" s="49" t="str"/>
      <c r="K5916" s="41" t="str"/>
      <c r="L5916" s="41" t="str"/>
      <c r="M5916" s="41" t="str"/>
      <c r="N5916" s="41" t="str"/>
      <c r="O5916" s="41" t="str"/>
      <c r="P5916" s="41" t="str"/>
      <c r="Q5916" s="41" t="str"/>
      <c r="R5916" s="41" t="str"/>
      <c r="S5916" s="41" t="str"/>
      <c r="T5916" s="41" t="str"/>
      <c r="U5916" s="41" t="str"/>
      <c r="V5916" s="41" t="str"/>
      <c r="W5916" s="41" t="str"/>
    </row>
    <row r="5917">
      <c r="B5917" s="2" t="n"/>
      <c r="C5917" s="40" t="n"/>
      <c r="D5917" s="52">
        <f t="array" ref="D5917:W5917">IF(All_Students_Scores!C5915:V5915="","",All_Students_Scores!C5915:V5915)</f>
        <v/>
      </c>
      <c r="E5917" s="57" t="str"/>
      <c r="F5917" s="49" t="str"/>
      <c r="G5917" s="59" t="str"/>
      <c r="H5917" s="64" t="str"/>
      <c r="I5917" s="65" t="str"/>
      <c r="J5917" s="49" t="str"/>
      <c r="K5917" s="41" t="str"/>
      <c r="L5917" s="41" t="str"/>
      <c r="M5917" s="41" t="str"/>
      <c r="N5917" s="41" t="str"/>
      <c r="O5917" s="41" t="str"/>
      <c r="P5917" s="41" t="str"/>
      <c r="Q5917" s="41" t="str"/>
      <c r="R5917" s="41" t="str"/>
      <c r="S5917" s="41" t="str"/>
      <c r="T5917" s="41" t="str"/>
      <c r="U5917" s="41" t="str"/>
      <c r="V5917" s="41" t="str"/>
      <c r="W5917" s="41" t="str"/>
    </row>
    <row r="5918">
      <c r="B5918" s="2" t="n"/>
      <c r="C5918" s="40" t="n"/>
      <c r="D5918" s="52">
        <f t="array" ref="D5918:W5918">IF(All_Students_Scores!C5916:V5916="","",All_Students_Scores!C5916:V5916)</f>
        <v/>
      </c>
      <c r="E5918" s="57" t="str"/>
      <c r="F5918" s="49" t="str"/>
      <c r="G5918" s="59" t="str"/>
      <c r="H5918" s="64" t="str"/>
      <c r="I5918" s="65" t="str"/>
      <c r="J5918" s="49" t="str"/>
      <c r="K5918" s="41" t="str"/>
      <c r="L5918" s="41" t="str"/>
      <c r="M5918" s="41" t="str"/>
      <c r="N5918" s="41" t="str"/>
      <c r="O5918" s="41" t="str"/>
      <c r="P5918" s="41" t="str"/>
      <c r="Q5918" s="41" t="str"/>
      <c r="R5918" s="41" t="str"/>
      <c r="S5918" s="41" t="str"/>
      <c r="T5918" s="41" t="str"/>
      <c r="U5918" s="41" t="str"/>
      <c r="V5918" s="41" t="str"/>
      <c r="W5918" s="41" t="str"/>
    </row>
    <row r="5919">
      <c r="B5919" s="2" t="n"/>
      <c r="C5919" s="40" t="n"/>
      <c r="D5919" s="52">
        <f t="array" ref="D5919:W5919">IF(All_Students_Scores!C5917:V5917="","",All_Students_Scores!C5917:V5917)</f>
        <v/>
      </c>
      <c r="E5919" s="57" t="str"/>
      <c r="F5919" s="49" t="str"/>
      <c r="G5919" s="59" t="str"/>
      <c r="H5919" s="64" t="str"/>
      <c r="I5919" s="65" t="str"/>
      <c r="J5919" s="49" t="str"/>
      <c r="K5919" s="41" t="str"/>
      <c r="L5919" s="41" t="str"/>
      <c r="M5919" s="41" t="str"/>
      <c r="N5919" s="41" t="str"/>
      <c r="O5919" s="41" t="str"/>
      <c r="P5919" s="41" t="str"/>
      <c r="Q5919" s="41" t="str"/>
      <c r="R5919" s="41" t="str"/>
      <c r="S5919" s="41" t="str"/>
      <c r="T5919" s="41" t="str"/>
      <c r="U5919" s="41" t="str"/>
      <c r="V5919" s="41" t="str"/>
      <c r="W5919" s="41" t="str"/>
    </row>
    <row r="5920">
      <c r="B5920" s="2" t="n"/>
      <c r="C5920" s="40" t="n"/>
      <c r="D5920" s="52">
        <f t="array" ref="D5920:W5920">IF(All_Students_Scores!C5918:V5918="","",All_Students_Scores!C5918:V5918)</f>
        <v/>
      </c>
      <c r="E5920" s="57" t="str"/>
      <c r="F5920" s="49" t="str"/>
      <c r="G5920" s="59" t="str"/>
      <c r="H5920" s="64" t="str"/>
      <c r="I5920" s="65" t="str"/>
      <c r="J5920" s="49" t="str"/>
      <c r="K5920" s="41" t="str"/>
      <c r="L5920" s="41" t="str"/>
      <c r="M5920" s="41" t="str"/>
      <c r="N5920" s="41" t="str"/>
      <c r="O5920" s="41" t="str"/>
      <c r="P5920" s="41" t="str"/>
      <c r="Q5920" s="41" t="str"/>
      <c r="R5920" s="41" t="str"/>
      <c r="S5920" s="41" t="str"/>
      <c r="T5920" s="41" t="str"/>
      <c r="U5920" s="41" t="str"/>
      <c r="V5920" s="41" t="str"/>
      <c r="W5920" s="41" t="str"/>
    </row>
    <row r="5921">
      <c r="B5921" s="2" t="n"/>
      <c r="C5921" s="40" t="n"/>
      <c r="D5921" s="52">
        <f t="array" ref="D5921:W5921">IF(All_Students_Scores!C5919:V5919="","",All_Students_Scores!C5919:V5919)</f>
        <v/>
      </c>
      <c r="E5921" s="57" t="str"/>
      <c r="F5921" s="49" t="str"/>
      <c r="G5921" s="59" t="str"/>
      <c r="H5921" s="64" t="str"/>
      <c r="I5921" s="65" t="str"/>
      <c r="J5921" s="49" t="str"/>
      <c r="K5921" s="41" t="str"/>
      <c r="L5921" s="41" t="str"/>
      <c r="M5921" s="41" t="str"/>
      <c r="N5921" s="41" t="str"/>
      <c r="O5921" s="41" t="str"/>
      <c r="P5921" s="41" t="str"/>
      <c r="Q5921" s="41" t="str"/>
      <c r="R5921" s="41" t="str"/>
      <c r="S5921" s="41" t="str"/>
      <c r="T5921" s="41" t="str"/>
      <c r="U5921" s="41" t="str"/>
      <c r="V5921" s="41" t="str"/>
      <c r="W5921" s="41" t="str"/>
    </row>
    <row r="5922">
      <c r="B5922" s="2" t="n"/>
      <c r="C5922" s="40" t="n"/>
      <c r="D5922" s="52">
        <f t="array" ref="D5922:W5922">IF(All_Students_Scores!C5920:V5920="","",All_Students_Scores!C5920:V5920)</f>
        <v/>
      </c>
      <c r="E5922" s="57" t="str"/>
      <c r="F5922" s="49" t="str"/>
      <c r="G5922" s="59" t="str"/>
      <c r="H5922" s="64" t="str"/>
      <c r="I5922" s="65" t="str"/>
      <c r="J5922" s="49" t="str"/>
      <c r="K5922" s="41" t="str"/>
      <c r="L5922" s="41" t="str"/>
      <c r="M5922" s="41" t="str"/>
      <c r="N5922" s="41" t="str"/>
      <c r="O5922" s="41" t="str"/>
      <c r="P5922" s="41" t="str"/>
      <c r="Q5922" s="41" t="str"/>
      <c r="R5922" s="41" t="str"/>
      <c r="S5922" s="41" t="str"/>
      <c r="T5922" s="41" t="str"/>
      <c r="U5922" s="41" t="str"/>
      <c r="V5922" s="41" t="str"/>
      <c r="W5922" s="41" t="str"/>
    </row>
    <row r="5923">
      <c r="B5923" s="2" t="n"/>
      <c r="C5923" s="40" t="n"/>
      <c r="D5923" s="52">
        <f t="array" ref="D5923:W5923">IF(All_Students_Scores!C5921:V5921="","",All_Students_Scores!C5921:V5921)</f>
        <v/>
      </c>
      <c r="E5923" s="57" t="str"/>
      <c r="F5923" s="49" t="str"/>
      <c r="G5923" s="59" t="str"/>
      <c r="H5923" s="64" t="str"/>
      <c r="I5923" s="65" t="str"/>
      <c r="J5923" s="49" t="str"/>
      <c r="K5923" s="41" t="str"/>
      <c r="L5923" s="41" t="str"/>
      <c r="M5923" s="41" t="str"/>
      <c r="N5923" s="41" t="str"/>
      <c r="O5923" s="41" t="str"/>
      <c r="P5923" s="41" t="str"/>
      <c r="Q5923" s="41" t="str"/>
      <c r="R5923" s="41" t="str"/>
      <c r="S5923" s="41" t="str"/>
      <c r="T5923" s="41" t="str"/>
      <c r="U5923" s="41" t="str"/>
      <c r="V5923" s="41" t="str"/>
      <c r="W5923" s="41" t="str"/>
    </row>
    <row r="5924">
      <c r="B5924" s="2" t="n"/>
      <c r="C5924" s="40" t="n"/>
      <c r="D5924" s="52">
        <f t="array" ref="D5924:W5924">IF(All_Students_Scores!C5922:V5922="","",All_Students_Scores!C5922:V5922)</f>
        <v/>
      </c>
      <c r="E5924" s="57" t="str"/>
      <c r="F5924" s="49" t="str"/>
      <c r="G5924" s="59" t="str"/>
      <c r="H5924" s="64" t="str"/>
      <c r="I5924" s="65" t="str"/>
      <c r="J5924" s="49" t="str"/>
      <c r="K5924" s="41" t="str"/>
      <c r="L5924" s="41" t="str"/>
      <c r="M5924" s="41" t="str"/>
      <c r="N5924" s="41" t="str"/>
      <c r="O5924" s="41" t="str"/>
      <c r="P5924" s="41" t="str"/>
      <c r="Q5924" s="41" t="str"/>
      <c r="R5924" s="41" t="str"/>
      <c r="S5924" s="41" t="str"/>
      <c r="T5924" s="41" t="str"/>
      <c r="U5924" s="41" t="str"/>
      <c r="V5924" s="41" t="str"/>
      <c r="W5924" s="41" t="str"/>
    </row>
    <row r="5925">
      <c r="B5925" s="2" t="n"/>
      <c r="C5925" s="40" t="n"/>
      <c r="D5925" s="52">
        <f t="array" ref="D5925:W5925">IF(All_Students_Scores!C5923:V5923="","",All_Students_Scores!C5923:V5923)</f>
        <v/>
      </c>
      <c r="E5925" s="57" t="str"/>
      <c r="F5925" s="49" t="str"/>
      <c r="G5925" s="59" t="str"/>
      <c r="H5925" s="64" t="str"/>
      <c r="I5925" s="65" t="str"/>
      <c r="J5925" s="49" t="str"/>
      <c r="K5925" s="41" t="str"/>
      <c r="L5925" s="41" t="str"/>
      <c r="M5925" s="41" t="str"/>
      <c r="N5925" s="41" t="str"/>
      <c r="O5925" s="41" t="str"/>
      <c r="P5925" s="41" t="str"/>
      <c r="Q5925" s="41" t="str"/>
      <c r="R5925" s="41" t="str"/>
      <c r="S5925" s="41" t="str"/>
      <c r="T5925" s="41" t="str"/>
      <c r="U5925" s="41" t="str"/>
      <c r="V5925" s="41" t="str"/>
      <c r="W5925" s="41" t="str"/>
    </row>
    <row r="5926">
      <c r="B5926" s="2" t="n"/>
      <c r="C5926" s="40" t="n"/>
      <c r="D5926" s="52">
        <f t="array" ref="D5926:W5926">IF(All_Students_Scores!C5924:V5924="","",All_Students_Scores!C5924:V5924)</f>
        <v/>
      </c>
      <c r="E5926" s="57" t="str"/>
      <c r="F5926" s="49" t="str"/>
      <c r="G5926" s="59" t="str"/>
      <c r="H5926" s="64" t="str"/>
      <c r="I5926" s="65" t="str"/>
      <c r="J5926" s="49" t="str"/>
      <c r="K5926" s="41" t="str"/>
      <c r="L5926" s="41" t="str"/>
      <c r="M5926" s="41" t="str"/>
      <c r="N5926" s="41" t="str"/>
      <c r="O5926" s="41" t="str"/>
      <c r="P5926" s="41" t="str"/>
      <c r="Q5926" s="41" t="str"/>
      <c r="R5926" s="41" t="str"/>
      <c r="S5926" s="41" t="str"/>
      <c r="T5926" s="41" t="str"/>
      <c r="U5926" s="41" t="str"/>
      <c r="V5926" s="41" t="str"/>
      <c r="W5926" s="41" t="str"/>
    </row>
    <row r="5927">
      <c r="B5927" s="2" t="n"/>
      <c r="C5927" s="40" t="n"/>
      <c r="D5927" s="52">
        <f t="array" ref="D5927:W5927">IF(All_Students_Scores!C5925:V5925="","",All_Students_Scores!C5925:V5925)</f>
        <v/>
      </c>
      <c r="E5927" s="57" t="str"/>
      <c r="F5927" s="49" t="str"/>
      <c r="G5927" s="59" t="str"/>
      <c r="H5927" s="64" t="str"/>
      <c r="I5927" s="65" t="str"/>
      <c r="J5927" s="49" t="str"/>
      <c r="K5927" s="41" t="str"/>
      <c r="L5927" s="41" t="str"/>
      <c r="M5927" s="41" t="str"/>
      <c r="N5927" s="41" t="str"/>
      <c r="O5927" s="41" t="str"/>
      <c r="P5927" s="41" t="str"/>
      <c r="Q5927" s="41" t="str"/>
      <c r="R5927" s="41" t="str"/>
      <c r="S5927" s="41" t="str"/>
      <c r="T5927" s="41" t="str"/>
      <c r="U5927" s="41" t="str"/>
      <c r="V5927" s="41" t="str"/>
      <c r="W5927" s="41" t="str"/>
    </row>
    <row r="5928">
      <c r="B5928" s="2" t="n"/>
      <c r="C5928" s="40" t="n"/>
      <c r="D5928" s="52">
        <f t="array" ref="D5928:W5928">IF(All_Students_Scores!C5926:V5926="","",All_Students_Scores!C5926:V5926)</f>
        <v/>
      </c>
      <c r="E5928" s="57" t="str"/>
      <c r="F5928" s="49" t="str"/>
      <c r="G5928" s="59" t="str"/>
      <c r="H5928" s="64" t="str"/>
      <c r="I5928" s="65" t="str"/>
      <c r="J5928" s="49" t="str"/>
      <c r="K5928" s="41" t="str"/>
      <c r="L5928" s="41" t="str"/>
      <c r="M5928" s="41" t="str"/>
      <c r="N5928" s="41" t="str"/>
      <c r="O5928" s="41" t="str"/>
      <c r="P5928" s="41" t="str"/>
      <c r="Q5928" s="41" t="str"/>
      <c r="R5928" s="41" t="str"/>
      <c r="S5928" s="41" t="str"/>
      <c r="T5928" s="41" t="str"/>
      <c r="U5928" s="41" t="str"/>
      <c r="V5928" s="41" t="str"/>
      <c r="W5928" s="41" t="str"/>
    </row>
    <row r="5929">
      <c r="B5929" s="2" t="n"/>
      <c r="C5929" s="40" t="n"/>
      <c r="D5929" s="52">
        <f t="array" ref="D5929:W5929">IF(All_Students_Scores!C5927:V5927="","",All_Students_Scores!C5927:V5927)</f>
        <v/>
      </c>
      <c r="E5929" s="57" t="str"/>
      <c r="F5929" s="49" t="str"/>
      <c r="G5929" s="59" t="str"/>
      <c r="H5929" s="64" t="str"/>
      <c r="I5929" s="65" t="str"/>
      <c r="J5929" s="49" t="str"/>
      <c r="K5929" s="41" t="str"/>
      <c r="L5929" s="41" t="str"/>
      <c r="M5929" s="41" t="str"/>
      <c r="N5929" s="41" t="str"/>
      <c r="O5929" s="41" t="str"/>
      <c r="P5929" s="41" t="str"/>
      <c r="Q5929" s="41" t="str"/>
      <c r="R5929" s="41" t="str"/>
      <c r="S5929" s="41" t="str"/>
      <c r="T5929" s="41" t="str"/>
      <c r="U5929" s="41" t="str"/>
      <c r="V5929" s="41" t="str"/>
      <c r="W5929" s="41" t="str"/>
    </row>
    <row r="5930">
      <c r="B5930" s="2" t="n"/>
      <c r="C5930" s="40" t="n"/>
      <c r="D5930" s="52">
        <f t="array" ref="D5930:W5930">IF(All_Students_Scores!C5928:V5928="","",All_Students_Scores!C5928:V5928)</f>
        <v/>
      </c>
      <c r="E5930" s="57" t="str"/>
      <c r="F5930" s="49" t="str"/>
      <c r="G5930" s="59" t="str"/>
      <c r="H5930" s="64" t="str"/>
      <c r="I5930" s="65" t="str"/>
      <c r="J5930" s="49" t="str"/>
      <c r="K5930" s="41" t="str"/>
      <c r="L5930" s="41" t="str"/>
      <c r="M5930" s="41" t="str"/>
      <c r="N5930" s="41" t="str"/>
      <c r="O5930" s="41" t="str"/>
      <c r="P5930" s="41" t="str"/>
      <c r="Q5930" s="41" t="str"/>
      <c r="R5930" s="41" t="str"/>
      <c r="S5930" s="41" t="str"/>
      <c r="T5930" s="41" t="str"/>
      <c r="U5930" s="41" t="str"/>
      <c r="V5930" s="41" t="str"/>
      <c r="W5930" s="41" t="str"/>
    </row>
    <row r="5931">
      <c r="B5931" s="2" t="n"/>
      <c r="C5931" s="40" t="n"/>
      <c r="D5931" s="52">
        <f t="array" ref="D5931:W5931">IF(All_Students_Scores!C5929:V5929="","",All_Students_Scores!C5929:V5929)</f>
        <v/>
      </c>
      <c r="E5931" s="57" t="str"/>
      <c r="F5931" s="49" t="str"/>
      <c r="G5931" s="59" t="str"/>
      <c r="H5931" s="64" t="str"/>
      <c r="I5931" s="65" t="str"/>
      <c r="J5931" s="49" t="str"/>
      <c r="K5931" s="41" t="str"/>
      <c r="L5931" s="41" t="str"/>
      <c r="M5931" s="41" t="str"/>
      <c r="N5931" s="41" t="str"/>
      <c r="O5931" s="41" t="str"/>
      <c r="P5931" s="41" t="str"/>
      <c r="Q5931" s="41" t="str"/>
      <c r="R5931" s="41" t="str"/>
      <c r="S5931" s="41" t="str"/>
      <c r="T5931" s="41" t="str"/>
      <c r="U5931" s="41" t="str"/>
      <c r="V5931" s="41" t="str"/>
      <c r="W5931" s="41" t="str"/>
    </row>
    <row r="5932">
      <c r="B5932" s="2" t="n"/>
      <c r="C5932" s="40" t="n"/>
      <c r="D5932" s="52">
        <f t="array" ref="D5932:W5932">IF(All_Students_Scores!C5930:V5930="","",All_Students_Scores!C5930:V5930)</f>
        <v/>
      </c>
      <c r="E5932" s="57" t="str"/>
      <c r="F5932" s="49" t="str"/>
      <c r="G5932" s="59" t="str"/>
      <c r="H5932" s="64" t="str"/>
      <c r="I5932" s="65" t="str"/>
      <c r="J5932" s="49" t="str"/>
      <c r="K5932" s="41" t="str"/>
      <c r="L5932" s="41" t="str"/>
      <c r="M5932" s="41" t="str"/>
      <c r="N5932" s="41" t="str"/>
      <c r="O5932" s="41" t="str"/>
      <c r="P5932" s="41" t="str"/>
      <c r="Q5932" s="41" t="str"/>
      <c r="R5932" s="41" t="str"/>
      <c r="S5932" s="41" t="str"/>
      <c r="T5932" s="41" t="str"/>
      <c r="U5932" s="41" t="str"/>
      <c r="V5932" s="41" t="str"/>
      <c r="W5932" s="41" t="str"/>
    </row>
    <row r="5933">
      <c r="B5933" s="2" t="n"/>
      <c r="C5933" s="40" t="n"/>
      <c r="D5933" s="52">
        <f t="array" ref="D5933:W5933">IF(All_Students_Scores!C5931:V5931="","",All_Students_Scores!C5931:V5931)</f>
        <v/>
      </c>
      <c r="E5933" s="57" t="str"/>
      <c r="F5933" s="49" t="str"/>
      <c r="G5933" s="59" t="str"/>
      <c r="H5933" s="64" t="str"/>
      <c r="I5933" s="65" t="str"/>
      <c r="J5933" s="49" t="str"/>
      <c r="K5933" s="41" t="str"/>
      <c r="L5933" s="41" t="str"/>
      <c r="M5933" s="41" t="str"/>
      <c r="N5933" s="41" t="str"/>
      <c r="O5933" s="41" t="str"/>
      <c r="P5933" s="41" t="str"/>
      <c r="Q5933" s="41" t="str"/>
      <c r="R5933" s="41" t="str"/>
      <c r="S5933" s="41" t="str"/>
      <c r="T5933" s="41" t="str"/>
      <c r="U5933" s="41" t="str"/>
      <c r="V5933" s="41" t="str"/>
      <c r="W5933" s="41" t="str"/>
    </row>
    <row r="5934">
      <c r="B5934" s="2" t="n"/>
      <c r="C5934" s="40" t="n"/>
      <c r="D5934" s="52">
        <f t="array" ref="D5934:W5934">IF(All_Students_Scores!C5932:V5932="","",All_Students_Scores!C5932:V5932)</f>
        <v/>
      </c>
      <c r="E5934" s="57" t="str"/>
      <c r="F5934" s="49" t="str"/>
      <c r="G5934" s="59" t="str"/>
      <c r="H5934" s="64" t="str"/>
      <c r="I5934" s="65" t="str"/>
      <c r="J5934" s="49" t="str"/>
      <c r="K5934" s="41" t="str"/>
      <c r="L5934" s="41" t="str"/>
      <c r="M5934" s="41" t="str"/>
      <c r="N5934" s="41" t="str"/>
      <c r="O5934" s="41" t="str"/>
      <c r="P5934" s="41" t="str"/>
      <c r="Q5934" s="41" t="str"/>
      <c r="R5934" s="41" t="str"/>
      <c r="S5934" s="41" t="str"/>
      <c r="T5934" s="41" t="str"/>
      <c r="U5934" s="41" t="str"/>
      <c r="V5934" s="41" t="str"/>
      <c r="W5934" s="41" t="str"/>
    </row>
    <row r="5935">
      <c r="B5935" s="2" t="n"/>
      <c r="C5935" s="40" t="n"/>
      <c r="D5935" s="52">
        <f t="array" ref="D5935:W5935">IF(All_Students_Scores!C5933:V5933="","",All_Students_Scores!C5933:V5933)</f>
        <v/>
      </c>
      <c r="E5935" s="57" t="str"/>
      <c r="F5935" s="49" t="str"/>
      <c r="G5935" s="59" t="str"/>
      <c r="H5935" s="64" t="str"/>
      <c r="I5935" s="65" t="str"/>
      <c r="J5935" s="49" t="str"/>
      <c r="K5935" s="41" t="str"/>
      <c r="L5935" s="41" t="str"/>
      <c r="M5935" s="41" t="str"/>
      <c r="N5935" s="41" t="str"/>
      <c r="O5935" s="41" t="str"/>
      <c r="P5935" s="41" t="str"/>
      <c r="Q5935" s="41" t="str"/>
      <c r="R5935" s="41" t="str"/>
      <c r="S5935" s="41" t="str"/>
      <c r="T5935" s="41" t="str"/>
      <c r="U5935" s="41" t="str"/>
      <c r="V5935" s="41" t="str"/>
      <c r="W5935" s="41" t="str"/>
    </row>
    <row r="5936">
      <c r="B5936" s="2" t="n"/>
      <c r="C5936" s="40" t="n"/>
      <c r="D5936" s="52">
        <f t="array" ref="D5936:W5936">IF(All_Students_Scores!C5934:V5934="","",All_Students_Scores!C5934:V5934)</f>
        <v/>
      </c>
      <c r="E5936" s="57" t="str"/>
      <c r="F5936" s="49" t="str"/>
      <c r="G5936" s="59" t="str"/>
      <c r="H5936" s="64" t="str"/>
      <c r="I5936" s="65" t="str"/>
      <c r="J5936" s="49" t="str"/>
      <c r="K5936" s="41" t="str"/>
      <c r="L5936" s="41" t="str"/>
      <c r="M5936" s="41" t="str"/>
      <c r="N5936" s="41" t="str"/>
      <c r="O5936" s="41" t="str"/>
      <c r="P5936" s="41" t="str"/>
      <c r="Q5936" s="41" t="str"/>
      <c r="R5936" s="41" t="str"/>
      <c r="S5936" s="41" t="str"/>
      <c r="T5936" s="41" t="str"/>
      <c r="U5936" s="41" t="str"/>
      <c r="V5936" s="41" t="str"/>
      <c r="W5936" s="41" t="str"/>
    </row>
    <row r="5937">
      <c r="B5937" s="2" t="n"/>
      <c r="C5937" s="40" t="n"/>
      <c r="D5937" s="52">
        <f t="array" ref="D5937:W5937">IF(All_Students_Scores!C5935:V5935="","",All_Students_Scores!C5935:V5935)</f>
        <v/>
      </c>
      <c r="E5937" s="57" t="str"/>
      <c r="F5937" s="49" t="str"/>
      <c r="G5937" s="59" t="str"/>
      <c r="H5937" s="64" t="str"/>
      <c r="I5937" s="65" t="str"/>
      <c r="J5937" s="49" t="str"/>
      <c r="K5937" s="41" t="str"/>
      <c r="L5937" s="41" t="str"/>
      <c r="M5937" s="41" t="str"/>
      <c r="N5937" s="41" t="str"/>
      <c r="O5937" s="41" t="str"/>
      <c r="P5937" s="41" t="str"/>
      <c r="Q5937" s="41" t="str"/>
      <c r="R5937" s="41" t="str"/>
      <c r="S5937" s="41" t="str"/>
      <c r="T5937" s="41" t="str"/>
      <c r="U5937" s="41" t="str"/>
      <c r="V5937" s="41" t="str"/>
      <c r="W5937" s="41" t="str"/>
    </row>
    <row r="5938">
      <c r="B5938" s="2" t="n"/>
      <c r="C5938" s="40" t="n"/>
      <c r="D5938" s="52">
        <f t="array" ref="D5938:W5938">IF(All_Students_Scores!C5936:V5936="","",All_Students_Scores!C5936:V5936)</f>
        <v/>
      </c>
      <c r="E5938" s="57" t="str"/>
      <c r="F5938" s="49" t="str"/>
      <c r="G5938" s="59" t="str"/>
      <c r="H5938" s="64" t="str"/>
      <c r="I5938" s="65" t="str"/>
      <c r="J5938" s="49" t="str"/>
      <c r="K5938" s="41" t="str"/>
      <c r="L5938" s="41" t="str"/>
      <c r="M5938" s="41" t="str"/>
      <c r="N5938" s="41" t="str"/>
      <c r="O5938" s="41" t="str"/>
      <c r="P5938" s="41" t="str"/>
      <c r="Q5938" s="41" t="str"/>
      <c r="R5938" s="41" t="str"/>
      <c r="S5938" s="41" t="str"/>
      <c r="T5938" s="41" t="str"/>
      <c r="U5938" s="41" t="str"/>
      <c r="V5938" s="41" t="str"/>
      <c r="W5938" s="41" t="str"/>
    </row>
    <row r="5939">
      <c r="B5939" s="2" t="n"/>
      <c r="C5939" s="40" t="n"/>
      <c r="D5939" s="52">
        <f t="array" ref="D5939:W5939">IF(All_Students_Scores!C5937:V5937="","",All_Students_Scores!C5937:V5937)</f>
        <v/>
      </c>
      <c r="E5939" s="57" t="str"/>
      <c r="F5939" s="49" t="str"/>
      <c r="G5939" s="59" t="str"/>
      <c r="H5939" s="64" t="str"/>
      <c r="I5939" s="65" t="str"/>
      <c r="J5939" s="49" t="str"/>
      <c r="K5939" s="41" t="str"/>
      <c r="L5939" s="41" t="str"/>
      <c r="M5939" s="41" t="str"/>
      <c r="N5939" s="41" t="str"/>
      <c r="O5939" s="41" t="str"/>
      <c r="P5939" s="41" t="str"/>
      <c r="Q5939" s="41" t="str"/>
      <c r="R5939" s="41" t="str"/>
      <c r="S5939" s="41" t="str"/>
      <c r="T5939" s="41" t="str"/>
      <c r="U5939" s="41" t="str"/>
      <c r="V5939" s="41" t="str"/>
      <c r="W5939" s="41" t="str"/>
    </row>
    <row r="5940">
      <c r="B5940" s="2" t="n"/>
      <c r="C5940" s="40" t="n"/>
      <c r="D5940" s="52">
        <f t="array" ref="D5940:W5940">IF(All_Students_Scores!C5938:V5938="","",All_Students_Scores!C5938:V5938)</f>
        <v/>
      </c>
      <c r="E5940" s="57" t="str"/>
      <c r="F5940" s="49" t="str"/>
      <c r="G5940" s="59" t="str"/>
      <c r="H5940" s="64" t="str"/>
      <c r="I5940" s="65" t="str"/>
      <c r="J5940" s="49" t="str"/>
      <c r="K5940" s="41" t="str"/>
      <c r="L5940" s="41" t="str"/>
      <c r="M5940" s="41" t="str"/>
      <c r="N5940" s="41" t="str"/>
      <c r="O5940" s="41" t="str"/>
      <c r="P5940" s="41" t="str"/>
      <c r="Q5940" s="41" t="str"/>
      <c r="R5940" s="41" t="str"/>
      <c r="S5940" s="41" t="str"/>
      <c r="T5940" s="41" t="str"/>
      <c r="U5940" s="41" t="str"/>
      <c r="V5940" s="41" t="str"/>
      <c r="W5940" s="41" t="str"/>
    </row>
    <row r="5941">
      <c r="B5941" s="2" t="n"/>
      <c r="C5941" s="40" t="n"/>
      <c r="D5941" s="52">
        <f t="array" ref="D5941:W5941">IF(All_Students_Scores!C5939:V5939="","",All_Students_Scores!C5939:V5939)</f>
        <v/>
      </c>
      <c r="E5941" s="57" t="str"/>
      <c r="F5941" s="49" t="str"/>
      <c r="G5941" s="59" t="str"/>
      <c r="H5941" s="64" t="str"/>
      <c r="I5941" s="65" t="str"/>
      <c r="J5941" s="49" t="str"/>
      <c r="K5941" s="41" t="str"/>
      <c r="L5941" s="41" t="str"/>
      <c r="M5941" s="41" t="str"/>
      <c r="N5941" s="41" t="str"/>
      <c r="O5941" s="41" t="str"/>
      <c r="P5941" s="41" t="str"/>
      <c r="Q5941" s="41" t="str"/>
      <c r="R5941" s="41" t="str"/>
      <c r="S5941" s="41" t="str"/>
      <c r="T5941" s="41" t="str"/>
      <c r="U5941" s="41" t="str"/>
      <c r="V5941" s="41" t="str"/>
      <c r="W5941" s="41" t="str"/>
    </row>
    <row r="5942">
      <c r="B5942" s="2" t="n"/>
      <c r="C5942" s="40" t="n"/>
      <c r="D5942" s="52">
        <f t="array" ref="D5942:W5942">IF(All_Students_Scores!C5940:V5940="","",All_Students_Scores!C5940:V5940)</f>
        <v/>
      </c>
      <c r="E5942" s="57" t="str"/>
      <c r="F5942" s="49" t="str"/>
      <c r="G5942" s="59" t="str"/>
      <c r="H5942" s="64" t="str"/>
      <c r="I5942" s="65" t="str"/>
      <c r="J5942" s="49" t="str"/>
      <c r="K5942" s="41" t="str"/>
      <c r="L5942" s="41" t="str"/>
      <c r="M5942" s="41" t="str"/>
      <c r="N5942" s="41" t="str"/>
      <c r="O5942" s="41" t="str"/>
      <c r="P5942" s="41" t="str"/>
      <c r="Q5942" s="41" t="str"/>
      <c r="R5942" s="41" t="str"/>
      <c r="S5942" s="41" t="str"/>
      <c r="T5942" s="41" t="str"/>
      <c r="U5942" s="41" t="str"/>
      <c r="V5942" s="41" t="str"/>
      <c r="W5942" s="41" t="str"/>
    </row>
    <row r="5943">
      <c r="B5943" s="2" t="n"/>
      <c r="C5943" s="40" t="n"/>
      <c r="D5943" s="52">
        <f t="array" ref="D5943:W5943">IF(All_Students_Scores!C5941:V5941="","",All_Students_Scores!C5941:V5941)</f>
        <v/>
      </c>
      <c r="E5943" s="57" t="str"/>
      <c r="F5943" s="49" t="str"/>
      <c r="G5943" s="59" t="str"/>
      <c r="H5943" s="64" t="str"/>
      <c r="I5943" s="65" t="str"/>
      <c r="J5943" s="49" t="str"/>
      <c r="K5943" s="41" t="str"/>
      <c r="L5943" s="41" t="str"/>
      <c r="M5943" s="41" t="str"/>
      <c r="N5943" s="41" t="str"/>
      <c r="O5943" s="41" t="str"/>
      <c r="P5943" s="41" t="str"/>
      <c r="Q5943" s="41" t="str"/>
      <c r="R5943" s="41" t="str"/>
      <c r="S5943" s="41" t="str"/>
      <c r="T5943" s="41" t="str"/>
      <c r="U5943" s="41" t="str"/>
      <c r="V5943" s="41" t="str"/>
      <c r="W5943" s="41" t="str"/>
    </row>
    <row r="5944">
      <c r="B5944" s="2" t="n"/>
      <c r="C5944" s="40" t="n"/>
      <c r="D5944" s="52">
        <f t="array" ref="D5944:W5944">IF(All_Students_Scores!C5942:V5942="","",All_Students_Scores!C5942:V5942)</f>
        <v/>
      </c>
      <c r="E5944" s="57" t="str"/>
      <c r="F5944" s="49" t="str"/>
      <c r="G5944" s="59" t="str"/>
      <c r="H5944" s="64" t="str"/>
      <c r="I5944" s="65" t="str"/>
      <c r="J5944" s="49" t="str"/>
      <c r="K5944" s="41" t="str"/>
      <c r="L5944" s="41" t="str"/>
      <c r="M5944" s="41" t="str"/>
      <c r="N5944" s="41" t="str"/>
      <c r="O5944" s="41" t="str"/>
      <c r="P5944" s="41" t="str"/>
      <c r="Q5944" s="41" t="str"/>
      <c r="R5944" s="41" t="str"/>
      <c r="S5944" s="41" t="str"/>
      <c r="T5944" s="41" t="str"/>
      <c r="U5944" s="41" t="str"/>
      <c r="V5944" s="41" t="str"/>
      <c r="W5944" s="41" t="str"/>
    </row>
    <row r="5945">
      <c r="B5945" s="2" t="n"/>
      <c r="C5945" s="40" t="n"/>
      <c r="D5945" s="52">
        <f t="array" ref="D5945:W5945">IF(All_Students_Scores!C5943:V5943="","",All_Students_Scores!C5943:V5943)</f>
        <v/>
      </c>
      <c r="E5945" s="57" t="str"/>
      <c r="F5945" s="49" t="str"/>
      <c r="G5945" s="59" t="str"/>
      <c r="H5945" s="64" t="str"/>
      <c r="I5945" s="65" t="str"/>
      <c r="J5945" s="49" t="str"/>
      <c r="K5945" s="41" t="str"/>
      <c r="L5945" s="41" t="str"/>
      <c r="M5945" s="41" t="str"/>
      <c r="N5945" s="41" t="str"/>
      <c r="O5945" s="41" t="str"/>
      <c r="P5945" s="41" t="str"/>
      <c r="Q5945" s="41" t="str"/>
      <c r="R5945" s="41" t="str"/>
      <c r="S5945" s="41" t="str"/>
      <c r="T5945" s="41" t="str"/>
      <c r="U5945" s="41" t="str"/>
      <c r="V5945" s="41" t="str"/>
      <c r="W5945" s="41" t="str"/>
    </row>
    <row r="5946">
      <c r="B5946" s="2" t="n"/>
      <c r="C5946" s="40" t="n"/>
      <c r="D5946" s="52">
        <f t="array" ref="D5946:W5946">IF(All_Students_Scores!C5944:V5944="","",All_Students_Scores!C5944:V5944)</f>
        <v/>
      </c>
      <c r="E5946" s="57" t="str"/>
      <c r="F5946" s="49" t="str"/>
      <c r="G5946" s="59" t="str"/>
      <c r="H5946" s="64" t="str"/>
      <c r="I5946" s="65" t="str"/>
      <c r="J5946" s="49" t="str"/>
      <c r="K5946" s="41" t="str"/>
      <c r="L5946" s="41" t="str"/>
      <c r="M5946" s="41" t="str"/>
      <c r="N5946" s="41" t="str"/>
      <c r="O5946" s="41" t="str"/>
      <c r="P5946" s="41" t="str"/>
      <c r="Q5946" s="41" t="str"/>
      <c r="R5946" s="41" t="str"/>
      <c r="S5946" s="41" t="str"/>
      <c r="T5946" s="41" t="str"/>
      <c r="U5946" s="41" t="str"/>
      <c r="V5946" s="41" t="str"/>
      <c r="W5946" s="41" t="str"/>
    </row>
    <row r="5947">
      <c r="B5947" s="2" t="n"/>
      <c r="C5947" s="40" t="n"/>
      <c r="D5947" s="52">
        <f t="array" ref="D5947:W5947">IF(All_Students_Scores!C5945:V5945="","",All_Students_Scores!C5945:V5945)</f>
        <v/>
      </c>
      <c r="E5947" s="57" t="str"/>
      <c r="F5947" s="49" t="str"/>
      <c r="G5947" s="59" t="str"/>
      <c r="H5947" s="64" t="str"/>
      <c r="I5947" s="65" t="str"/>
      <c r="J5947" s="49" t="str"/>
      <c r="K5947" s="41" t="str"/>
      <c r="L5947" s="41" t="str"/>
      <c r="M5947" s="41" t="str"/>
      <c r="N5947" s="41" t="str"/>
      <c r="O5947" s="41" t="str"/>
      <c r="P5947" s="41" t="str"/>
      <c r="Q5947" s="41" t="str"/>
      <c r="R5947" s="41" t="str"/>
      <c r="S5947" s="41" t="str"/>
      <c r="T5947" s="41" t="str"/>
      <c r="U5947" s="41" t="str"/>
      <c r="V5947" s="41" t="str"/>
      <c r="W5947" s="41" t="str"/>
    </row>
    <row r="5948">
      <c r="B5948" s="2" t="n"/>
      <c r="C5948" s="40" t="n"/>
      <c r="D5948" s="52">
        <f t="array" ref="D5948:W5948">IF(All_Students_Scores!C5946:V5946="","",All_Students_Scores!C5946:V5946)</f>
        <v/>
      </c>
      <c r="E5948" s="57" t="str"/>
      <c r="F5948" s="49" t="str"/>
      <c r="G5948" s="59" t="str"/>
      <c r="H5948" s="64" t="str"/>
      <c r="I5948" s="65" t="str"/>
      <c r="J5948" s="49" t="str"/>
      <c r="K5948" s="41" t="str"/>
      <c r="L5948" s="41" t="str"/>
      <c r="M5948" s="41" t="str"/>
      <c r="N5948" s="41" t="str"/>
      <c r="O5948" s="41" t="str"/>
      <c r="P5948" s="41" t="str"/>
      <c r="Q5948" s="41" t="str"/>
      <c r="R5948" s="41" t="str"/>
      <c r="S5948" s="41" t="str"/>
      <c r="T5948" s="41" t="str"/>
      <c r="U5948" s="41" t="str"/>
      <c r="V5948" s="41" t="str"/>
      <c r="W5948" s="41" t="str"/>
    </row>
    <row r="5949">
      <c r="B5949" s="2" t="n"/>
      <c r="C5949" s="40" t="n"/>
      <c r="D5949" s="52">
        <f t="array" ref="D5949:W5949">IF(All_Students_Scores!C5947:V5947="","",All_Students_Scores!C5947:V5947)</f>
        <v/>
      </c>
      <c r="E5949" s="57" t="str"/>
      <c r="F5949" s="49" t="str"/>
      <c r="G5949" s="59" t="str"/>
      <c r="H5949" s="64" t="str"/>
      <c r="I5949" s="65" t="str"/>
      <c r="J5949" s="49" t="str"/>
      <c r="K5949" s="41" t="str"/>
      <c r="L5949" s="41" t="str"/>
      <c r="M5949" s="41" t="str"/>
      <c r="N5949" s="41" t="str"/>
      <c r="O5949" s="41" t="str"/>
      <c r="P5949" s="41" t="str"/>
      <c r="Q5949" s="41" t="str"/>
      <c r="R5949" s="41" t="str"/>
      <c r="S5949" s="41" t="str"/>
      <c r="T5949" s="41" t="str"/>
      <c r="U5949" s="41" t="str"/>
      <c r="V5949" s="41" t="str"/>
      <c r="W5949" s="41" t="str"/>
    </row>
    <row r="5950">
      <c r="B5950" s="2" t="n"/>
      <c r="C5950" s="40" t="n"/>
      <c r="D5950" s="52">
        <f t="array" ref="D5950:W5950">IF(All_Students_Scores!C5948:V5948="","",All_Students_Scores!C5948:V5948)</f>
        <v/>
      </c>
      <c r="E5950" s="57" t="str"/>
      <c r="F5950" s="49" t="str"/>
      <c r="G5950" s="59" t="str"/>
      <c r="H5950" s="64" t="str"/>
      <c r="I5950" s="65" t="str"/>
      <c r="J5950" s="49" t="str"/>
      <c r="K5950" s="41" t="str"/>
      <c r="L5950" s="41" t="str"/>
      <c r="M5950" s="41" t="str"/>
      <c r="N5950" s="41" t="str"/>
      <c r="O5950" s="41" t="str"/>
      <c r="P5950" s="41" t="str"/>
      <c r="Q5950" s="41" t="str"/>
      <c r="R5950" s="41" t="str"/>
      <c r="S5950" s="41" t="str"/>
      <c r="T5950" s="41" t="str"/>
      <c r="U5950" s="41" t="str"/>
      <c r="V5950" s="41" t="str"/>
      <c r="W5950" s="41" t="str"/>
    </row>
    <row r="5951">
      <c r="B5951" s="2" t="n"/>
      <c r="C5951" s="40" t="n"/>
      <c r="D5951" s="52">
        <f t="array" ref="D5951:W5951">IF(All_Students_Scores!C5949:V5949="","",All_Students_Scores!C5949:V5949)</f>
        <v/>
      </c>
      <c r="E5951" s="57" t="str"/>
      <c r="F5951" s="49" t="str"/>
      <c r="G5951" s="59" t="str"/>
      <c r="H5951" s="64" t="str"/>
      <c r="I5951" s="65" t="str"/>
      <c r="J5951" s="49" t="str"/>
      <c r="K5951" s="41" t="str"/>
      <c r="L5951" s="41" t="str"/>
      <c r="M5951" s="41" t="str"/>
      <c r="N5951" s="41" t="str"/>
      <c r="O5951" s="41" t="str"/>
      <c r="P5951" s="41" t="str"/>
      <c r="Q5951" s="41" t="str"/>
      <c r="R5951" s="41" t="str"/>
      <c r="S5951" s="41" t="str"/>
      <c r="T5951" s="41" t="str"/>
      <c r="U5951" s="41" t="str"/>
      <c r="V5951" s="41" t="str"/>
      <c r="W5951" s="41" t="str"/>
    </row>
    <row r="5952">
      <c r="B5952" s="2" t="n"/>
      <c r="C5952" s="40" t="n"/>
      <c r="D5952" s="52">
        <f t="array" ref="D5952:W5952">IF(All_Students_Scores!C5950:V5950="","",All_Students_Scores!C5950:V5950)</f>
        <v/>
      </c>
      <c r="E5952" s="57" t="str"/>
      <c r="F5952" s="49" t="str"/>
      <c r="G5952" s="59" t="str"/>
      <c r="H5952" s="64" t="str"/>
      <c r="I5952" s="65" t="str"/>
      <c r="J5952" s="49" t="str"/>
      <c r="K5952" s="41" t="str"/>
      <c r="L5952" s="41" t="str"/>
      <c r="M5952" s="41" t="str"/>
      <c r="N5952" s="41" t="str"/>
      <c r="O5952" s="41" t="str"/>
      <c r="P5952" s="41" t="str"/>
      <c r="Q5952" s="41" t="str"/>
      <c r="R5952" s="41" t="str"/>
      <c r="S5952" s="41" t="str"/>
      <c r="T5952" s="41" t="str"/>
      <c r="U5952" s="41" t="str"/>
      <c r="V5952" s="41" t="str"/>
      <c r="W5952" s="41" t="str"/>
    </row>
    <row r="5953">
      <c r="B5953" s="2" t="n"/>
      <c r="C5953" s="40" t="n"/>
      <c r="D5953" s="52">
        <f t="array" ref="D5953:W5953">IF(All_Students_Scores!C5951:V5951="","",All_Students_Scores!C5951:V5951)</f>
        <v/>
      </c>
      <c r="E5953" s="57" t="str"/>
      <c r="F5953" s="49" t="str"/>
      <c r="G5953" s="59" t="str"/>
      <c r="H5953" s="64" t="str"/>
      <c r="I5953" s="65" t="str"/>
      <c r="J5953" s="49" t="str"/>
      <c r="K5953" s="41" t="str"/>
      <c r="L5953" s="41" t="str"/>
      <c r="M5953" s="41" t="str"/>
      <c r="N5953" s="41" t="str"/>
      <c r="O5953" s="41" t="str"/>
      <c r="P5953" s="41" t="str"/>
      <c r="Q5953" s="41" t="str"/>
      <c r="R5953" s="41" t="str"/>
      <c r="S5953" s="41" t="str"/>
      <c r="T5953" s="41" t="str"/>
      <c r="U5953" s="41" t="str"/>
      <c r="V5953" s="41" t="str"/>
      <c r="W5953" s="41" t="str"/>
    </row>
    <row r="5954">
      <c r="B5954" s="2" t="n"/>
      <c r="C5954" s="40" t="n"/>
      <c r="D5954" s="52">
        <f t="array" ref="D5954:W5954">IF(All_Students_Scores!C5952:V5952="","",All_Students_Scores!C5952:V5952)</f>
        <v/>
      </c>
      <c r="E5954" s="57" t="str"/>
      <c r="F5954" s="49" t="str"/>
      <c r="G5954" s="59" t="str"/>
      <c r="H5954" s="64" t="str"/>
      <c r="I5954" s="65" t="str"/>
      <c r="J5954" s="49" t="str"/>
      <c r="K5954" s="41" t="str"/>
      <c r="L5954" s="41" t="str"/>
      <c r="M5954" s="41" t="str"/>
      <c r="N5954" s="41" t="str"/>
      <c r="O5954" s="41" t="str"/>
      <c r="P5954" s="41" t="str"/>
      <c r="Q5954" s="41" t="str"/>
      <c r="R5954" s="41" t="str"/>
      <c r="S5954" s="41" t="str"/>
      <c r="T5954" s="41" t="str"/>
      <c r="U5954" s="41" t="str"/>
      <c r="V5954" s="41" t="str"/>
      <c r="W5954" s="41" t="str"/>
    </row>
    <row r="5955">
      <c r="B5955" s="2" t="n"/>
      <c r="C5955" s="40" t="n"/>
      <c r="D5955" s="52">
        <f t="array" ref="D5955:W5955">IF(All_Students_Scores!C5953:V5953="","",All_Students_Scores!C5953:V5953)</f>
        <v/>
      </c>
      <c r="E5955" s="57" t="str"/>
      <c r="F5955" s="49" t="str"/>
      <c r="G5955" s="59" t="str"/>
      <c r="H5955" s="64" t="str"/>
      <c r="I5955" s="65" t="str"/>
      <c r="J5955" s="49" t="str"/>
      <c r="K5955" s="41" t="str"/>
      <c r="L5955" s="41" t="str"/>
      <c r="M5955" s="41" t="str"/>
      <c r="N5955" s="41" t="str"/>
      <c r="O5955" s="41" t="str"/>
      <c r="P5955" s="41" t="str"/>
      <c r="Q5955" s="41" t="str"/>
      <c r="R5955" s="41" t="str"/>
      <c r="S5955" s="41" t="str"/>
      <c r="T5955" s="41" t="str"/>
      <c r="U5955" s="41" t="str"/>
      <c r="V5955" s="41" t="str"/>
      <c r="W5955" s="41" t="str"/>
    </row>
    <row r="5956">
      <c r="B5956" s="2" t="n"/>
      <c r="C5956" s="40" t="n"/>
      <c r="D5956" s="52">
        <f t="array" ref="D5956:W5956">IF(All_Students_Scores!C5954:V5954="","",All_Students_Scores!C5954:V5954)</f>
        <v/>
      </c>
      <c r="E5956" s="57" t="str"/>
      <c r="F5956" s="49" t="str"/>
      <c r="G5956" s="59" t="str"/>
      <c r="H5956" s="64" t="str"/>
      <c r="I5956" s="65" t="str"/>
      <c r="J5956" s="49" t="str"/>
      <c r="K5956" s="41" t="str"/>
      <c r="L5956" s="41" t="str"/>
      <c r="M5956" s="41" t="str"/>
      <c r="N5956" s="41" t="str"/>
      <c r="O5956" s="41" t="str"/>
      <c r="P5956" s="41" t="str"/>
      <c r="Q5956" s="41" t="str"/>
      <c r="R5956" s="41" t="str"/>
      <c r="S5956" s="41" t="str"/>
      <c r="T5956" s="41" t="str"/>
      <c r="U5956" s="41" t="str"/>
      <c r="V5956" s="41" t="str"/>
      <c r="W5956" s="41" t="str"/>
    </row>
    <row r="5957">
      <c r="B5957" s="2" t="n"/>
      <c r="C5957" s="40" t="n"/>
      <c r="D5957" s="52">
        <f t="array" ref="D5957:W5957">IF(All_Students_Scores!C5955:V5955="","",All_Students_Scores!C5955:V5955)</f>
        <v/>
      </c>
      <c r="E5957" s="57" t="str"/>
      <c r="F5957" s="49" t="str"/>
      <c r="G5957" s="59" t="str"/>
      <c r="H5957" s="64" t="str"/>
      <c r="I5957" s="65" t="str"/>
      <c r="J5957" s="49" t="str"/>
      <c r="K5957" s="41" t="str"/>
      <c r="L5957" s="41" t="str"/>
      <c r="M5957" s="41" t="str"/>
      <c r="N5957" s="41" t="str"/>
      <c r="O5957" s="41" t="str"/>
      <c r="P5957" s="41" t="str"/>
      <c r="Q5957" s="41" t="str"/>
      <c r="R5957" s="41" t="str"/>
      <c r="S5957" s="41" t="str"/>
      <c r="T5957" s="41" t="str"/>
      <c r="U5957" s="41" t="str"/>
      <c r="V5957" s="41" t="str"/>
      <c r="W5957" s="41" t="str"/>
    </row>
    <row r="5958">
      <c r="B5958" s="2" t="n"/>
      <c r="C5958" s="40" t="n"/>
      <c r="D5958" s="52">
        <f t="array" ref="D5958:W5958">IF(All_Students_Scores!C5956:V5956="","",All_Students_Scores!C5956:V5956)</f>
        <v/>
      </c>
      <c r="E5958" s="57" t="str"/>
      <c r="F5958" s="49" t="str"/>
      <c r="G5958" s="59" t="str"/>
      <c r="H5958" s="64" t="str"/>
      <c r="I5958" s="65" t="str"/>
      <c r="J5958" s="49" t="str"/>
      <c r="K5958" s="41" t="str"/>
      <c r="L5958" s="41" t="str"/>
      <c r="M5958" s="41" t="str"/>
      <c r="N5958" s="41" t="str"/>
      <c r="O5958" s="41" t="str"/>
      <c r="P5958" s="41" t="str"/>
      <c r="Q5958" s="41" t="str"/>
      <c r="R5958" s="41" t="str"/>
      <c r="S5958" s="41" t="str"/>
      <c r="T5958" s="41" t="str"/>
      <c r="U5958" s="41" t="str"/>
      <c r="V5958" s="41" t="str"/>
      <c r="W5958" s="41" t="str"/>
    </row>
    <row r="5959">
      <c r="B5959" s="2" t="n"/>
      <c r="C5959" s="40" t="n"/>
      <c r="D5959" s="52">
        <f t="array" ref="D5959:W5959">IF(All_Students_Scores!C5957:V5957="","",All_Students_Scores!C5957:V5957)</f>
        <v/>
      </c>
      <c r="E5959" s="57" t="str"/>
      <c r="F5959" s="49" t="str"/>
      <c r="G5959" s="59" t="str"/>
      <c r="H5959" s="64" t="str"/>
      <c r="I5959" s="65" t="str"/>
      <c r="J5959" s="49" t="str"/>
      <c r="K5959" s="41" t="str"/>
      <c r="L5959" s="41" t="str"/>
      <c r="M5959" s="41" t="str"/>
      <c r="N5959" s="41" t="str"/>
      <c r="O5959" s="41" t="str"/>
      <c r="P5959" s="41" t="str"/>
      <c r="Q5959" s="41" t="str"/>
      <c r="R5959" s="41" t="str"/>
      <c r="S5959" s="41" t="str"/>
      <c r="T5959" s="41" t="str"/>
      <c r="U5959" s="41" t="str"/>
      <c r="V5959" s="41" t="str"/>
      <c r="W5959" s="41" t="str"/>
    </row>
    <row r="5960">
      <c r="B5960" s="2" t="n"/>
      <c r="C5960" s="40" t="n"/>
      <c r="D5960" s="52">
        <f t="array" ref="D5960:W5960">IF(All_Students_Scores!C5958:V5958="","",All_Students_Scores!C5958:V5958)</f>
        <v/>
      </c>
      <c r="E5960" s="57" t="str"/>
      <c r="F5960" s="49" t="str"/>
      <c r="G5960" s="59" t="str"/>
      <c r="H5960" s="64" t="str"/>
      <c r="I5960" s="65" t="str"/>
      <c r="J5960" s="49" t="str"/>
      <c r="K5960" s="41" t="str"/>
      <c r="L5960" s="41" t="str"/>
      <c r="M5960" s="41" t="str"/>
      <c r="N5960" s="41" t="str"/>
      <c r="O5960" s="41" t="str"/>
      <c r="P5960" s="41" t="str"/>
      <c r="Q5960" s="41" t="str"/>
      <c r="R5960" s="41" t="str"/>
      <c r="S5960" s="41" t="str"/>
      <c r="T5960" s="41" t="str"/>
      <c r="U5960" s="41" t="str"/>
      <c r="V5960" s="41" t="str"/>
      <c r="W5960" s="41" t="str"/>
    </row>
    <row r="5961">
      <c r="B5961" s="2" t="n"/>
      <c r="C5961" s="40" t="n"/>
      <c r="D5961" s="52">
        <f t="array" ref="D5961:W5961">IF(All_Students_Scores!C5959:V5959="","",All_Students_Scores!C5959:V5959)</f>
        <v/>
      </c>
      <c r="E5961" s="57" t="str"/>
      <c r="F5961" s="49" t="str"/>
      <c r="G5961" s="59" t="str"/>
      <c r="H5961" s="64" t="str"/>
      <c r="I5961" s="65" t="str"/>
      <c r="J5961" s="49" t="str"/>
      <c r="K5961" s="41" t="str"/>
      <c r="L5961" s="41" t="str"/>
      <c r="M5961" s="41" t="str"/>
      <c r="N5961" s="41" t="str"/>
      <c r="O5961" s="41" t="str"/>
      <c r="P5961" s="41" t="str"/>
      <c r="Q5961" s="41" t="str"/>
      <c r="R5961" s="41" t="str"/>
      <c r="S5961" s="41" t="str"/>
      <c r="T5961" s="41" t="str"/>
      <c r="U5961" s="41" t="str"/>
      <c r="V5961" s="41" t="str"/>
      <c r="W5961" s="41" t="str"/>
    </row>
    <row r="5962">
      <c r="B5962" s="2" t="n"/>
      <c r="C5962" s="40" t="n"/>
      <c r="D5962" s="52">
        <f t="array" ref="D5962:W5962">IF(All_Students_Scores!C5960:V5960="","",All_Students_Scores!C5960:V5960)</f>
        <v/>
      </c>
      <c r="E5962" s="57" t="str"/>
      <c r="F5962" s="49" t="str"/>
      <c r="G5962" s="59" t="str"/>
      <c r="H5962" s="64" t="str"/>
      <c r="I5962" s="65" t="str"/>
      <c r="J5962" s="49" t="str"/>
      <c r="K5962" s="41" t="str"/>
      <c r="L5962" s="41" t="str"/>
      <c r="M5962" s="41" t="str"/>
      <c r="N5962" s="41" t="str"/>
      <c r="O5962" s="41" t="str"/>
      <c r="P5962" s="41" t="str"/>
      <c r="Q5962" s="41" t="str"/>
      <c r="R5962" s="41" t="str"/>
      <c r="S5962" s="41" t="str"/>
      <c r="T5962" s="41" t="str"/>
      <c r="U5962" s="41" t="str"/>
      <c r="V5962" s="41" t="str"/>
      <c r="W5962" s="41" t="str"/>
    </row>
    <row r="5963">
      <c r="B5963" s="2" t="n"/>
      <c r="C5963" s="40" t="n"/>
      <c r="D5963" s="52">
        <f t="array" ref="D5963:W5963">IF(All_Students_Scores!C5961:V5961="","",All_Students_Scores!C5961:V5961)</f>
        <v/>
      </c>
      <c r="E5963" s="57" t="str"/>
      <c r="F5963" s="49" t="str"/>
      <c r="G5963" s="59" t="str"/>
      <c r="H5963" s="64" t="str"/>
      <c r="I5963" s="65" t="str"/>
      <c r="J5963" s="49" t="str"/>
      <c r="K5963" s="41" t="str"/>
      <c r="L5963" s="41" t="str"/>
      <c r="M5963" s="41" t="str"/>
      <c r="N5963" s="41" t="str"/>
      <c r="O5963" s="41" t="str"/>
      <c r="P5963" s="41" t="str"/>
      <c r="Q5963" s="41" t="str"/>
      <c r="R5963" s="41" t="str"/>
      <c r="S5963" s="41" t="str"/>
      <c r="T5963" s="41" t="str"/>
      <c r="U5963" s="41" t="str"/>
      <c r="V5963" s="41" t="str"/>
      <c r="W5963" s="41" t="str"/>
    </row>
    <row r="5964">
      <c r="B5964" s="2" t="n"/>
      <c r="C5964" s="40" t="n"/>
      <c r="D5964" s="52">
        <f t="array" ref="D5964:W5964">IF(All_Students_Scores!C5962:V5962="","",All_Students_Scores!C5962:V5962)</f>
        <v/>
      </c>
      <c r="E5964" s="57" t="str"/>
      <c r="F5964" s="49" t="str"/>
      <c r="G5964" s="59" t="str"/>
      <c r="H5964" s="64" t="str"/>
      <c r="I5964" s="65" t="str"/>
      <c r="J5964" s="49" t="str"/>
      <c r="K5964" s="41" t="str"/>
      <c r="L5964" s="41" t="str"/>
      <c r="M5964" s="41" t="str"/>
      <c r="N5964" s="41" t="str"/>
      <c r="O5964" s="41" t="str"/>
      <c r="P5964" s="41" t="str"/>
      <c r="Q5964" s="41" t="str"/>
      <c r="R5964" s="41" t="str"/>
      <c r="S5964" s="41" t="str"/>
      <c r="T5964" s="41" t="str"/>
      <c r="U5964" s="41" t="str"/>
      <c r="V5964" s="41" t="str"/>
      <c r="W5964" s="41" t="str"/>
    </row>
    <row r="5965">
      <c r="B5965" s="2" t="n"/>
      <c r="C5965" s="40" t="n"/>
      <c r="D5965" s="52">
        <f t="array" ref="D5965:W5965">IF(All_Students_Scores!C5963:V5963="","",All_Students_Scores!C5963:V5963)</f>
        <v/>
      </c>
      <c r="E5965" s="57" t="str"/>
      <c r="F5965" s="49" t="str"/>
      <c r="G5965" s="59" t="str"/>
      <c r="H5965" s="64" t="str"/>
      <c r="I5965" s="65" t="str"/>
      <c r="J5965" s="49" t="str"/>
      <c r="K5965" s="41" t="str"/>
      <c r="L5965" s="41" t="str"/>
      <c r="M5965" s="41" t="str"/>
      <c r="N5965" s="41" t="str"/>
      <c r="O5965" s="41" t="str"/>
      <c r="P5965" s="41" t="str"/>
      <c r="Q5965" s="41" t="str"/>
      <c r="R5965" s="41" t="str"/>
      <c r="S5965" s="41" t="str"/>
      <c r="T5965" s="41" t="str"/>
      <c r="U5965" s="41" t="str"/>
      <c r="V5965" s="41" t="str"/>
      <c r="W5965" s="41" t="str"/>
    </row>
    <row r="5966">
      <c r="B5966" s="2" t="n"/>
      <c r="C5966" s="40" t="n"/>
      <c r="D5966" s="52">
        <f t="array" ref="D5966:W5966">IF(All_Students_Scores!C5964:V5964="","",All_Students_Scores!C5964:V5964)</f>
        <v/>
      </c>
      <c r="E5966" s="57" t="str"/>
      <c r="F5966" s="49" t="str"/>
      <c r="G5966" s="59" t="str"/>
      <c r="H5966" s="64" t="str"/>
      <c r="I5966" s="65" t="str"/>
      <c r="J5966" s="49" t="str"/>
      <c r="K5966" s="41" t="str"/>
      <c r="L5966" s="41" t="str"/>
      <c r="M5966" s="41" t="str"/>
      <c r="N5966" s="41" t="str"/>
      <c r="O5966" s="41" t="str"/>
      <c r="P5966" s="41" t="str"/>
      <c r="Q5966" s="41" t="str"/>
      <c r="R5966" s="41" t="str"/>
      <c r="S5966" s="41" t="str"/>
      <c r="T5966" s="41" t="str"/>
      <c r="U5966" s="41" t="str"/>
      <c r="V5966" s="41" t="str"/>
      <c r="W5966" s="41" t="str"/>
    </row>
    <row r="5967">
      <c r="B5967" s="2" t="n"/>
      <c r="C5967" s="40" t="n"/>
      <c r="D5967" s="52">
        <f t="array" ref="D5967:W5967">IF(All_Students_Scores!C5965:V5965="","",All_Students_Scores!C5965:V5965)</f>
        <v/>
      </c>
      <c r="E5967" s="57" t="str"/>
      <c r="F5967" s="49" t="str"/>
      <c r="G5967" s="59" t="str"/>
      <c r="H5967" s="64" t="str"/>
      <c r="I5967" s="65" t="str"/>
      <c r="J5967" s="49" t="str"/>
      <c r="K5967" s="41" t="str"/>
      <c r="L5967" s="41" t="str"/>
      <c r="M5967" s="41" t="str"/>
      <c r="N5967" s="41" t="str"/>
      <c r="O5967" s="41" t="str"/>
      <c r="P5967" s="41" t="str"/>
      <c r="Q5967" s="41" t="str"/>
      <c r="R5967" s="41" t="str"/>
      <c r="S5967" s="41" t="str"/>
      <c r="T5967" s="41" t="str"/>
      <c r="U5967" s="41" t="str"/>
      <c r="V5967" s="41" t="str"/>
      <c r="W5967" s="41" t="str"/>
    </row>
    <row r="5968">
      <c r="B5968" s="2" t="n"/>
      <c r="C5968" s="40" t="n"/>
      <c r="D5968" s="52">
        <f t="array" ref="D5968:W5968">IF(All_Students_Scores!C5966:V5966="","",All_Students_Scores!C5966:V5966)</f>
        <v/>
      </c>
      <c r="E5968" s="57" t="str"/>
      <c r="F5968" s="49" t="str"/>
      <c r="G5968" s="59" t="str"/>
      <c r="H5968" s="64" t="str"/>
      <c r="I5968" s="65" t="str"/>
      <c r="J5968" s="49" t="str"/>
      <c r="K5968" s="41" t="str"/>
      <c r="L5968" s="41" t="str"/>
      <c r="M5968" s="41" t="str"/>
      <c r="N5968" s="41" t="str"/>
      <c r="O5968" s="41" t="str"/>
      <c r="P5968" s="41" t="str"/>
      <c r="Q5968" s="41" t="str"/>
      <c r="R5968" s="41" t="str"/>
      <c r="S5968" s="41" t="str"/>
      <c r="T5968" s="41" t="str"/>
      <c r="U5968" s="41" t="str"/>
      <c r="V5968" s="41" t="str"/>
      <c r="W5968" s="41" t="str"/>
    </row>
    <row r="5969">
      <c r="B5969" s="2" t="n"/>
      <c r="C5969" s="40" t="n"/>
      <c r="D5969" s="52">
        <f t="array" ref="D5969:W5969">IF(All_Students_Scores!C5967:V5967="","",All_Students_Scores!C5967:V5967)</f>
        <v/>
      </c>
      <c r="E5969" s="57" t="str"/>
      <c r="F5969" s="49" t="str"/>
      <c r="G5969" s="59" t="str"/>
      <c r="H5969" s="64" t="str"/>
      <c r="I5969" s="65" t="str"/>
      <c r="J5969" s="49" t="str"/>
      <c r="K5969" s="41" t="str"/>
      <c r="L5969" s="41" t="str"/>
      <c r="M5969" s="41" t="str"/>
      <c r="N5969" s="41" t="str"/>
      <c r="O5969" s="41" t="str"/>
      <c r="P5969" s="41" t="str"/>
      <c r="Q5969" s="41" t="str"/>
      <c r="R5969" s="41" t="str"/>
      <c r="S5969" s="41" t="str"/>
      <c r="T5969" s="41" t="str"/>
      <c r="U5969" s="41" t="str"/>
      <c r="V5969" s="41" t="str"/>
      <c r="W5969" s="41" t="str"/>
    </row>
    <row r="5970">
      <c r="B5970" s="2" t="n"/>
      <c r="C5970" s="40" t="n"/>
      <c r="D5970" s="52">
        <f t="array" ref="D5970:W5970">IF(All_Students_Scores!C5968:V5968="","",All_Students_Scores!C5968:V5968)</f>
        <v/>
      </c>
      <c r="E5970" s="57" t="str"/>
      <c r="F5970" s="49" t="str"/>
      <c r="G5970" s="59" t="str"/>
      <c r="H5970" s="64" t="str"/>
      <c r="I5970" s="65" t="str"/>
      <c r="J5970" s="49" t="str"/>
      <c r="K5970" s="41" t="str"/>
      <c r="L5970" s="41" t="str"/>
      <c r="M5970" s="41" t="str"/>
      <c r="N5970" s="41" t="str"/>
      <c r="O5970" s="41" t="str"/>
      <c r="P5970" s="41" t="str"/>
      <c r="Q5970" s="41" t="str"/>
      <c r="R5970" s="41" t="str"/>
      <c r="S5970" s="41" t="str"/>
      <c r="T5970" s="41" t="str"/>
      <c r="U5970" s="41" t="str"/>
      <c r="V5970" s="41" t="str"/>
      <c r="W5970" s="41" t="str"/>
    </row>
    <row r="5971">
      <c r="B5971" s="2" t="n"/>
      <c r="C5971" s="40" t="n"/>
      <c r="D5971" s="52">
        <f t="array" ref="D5971:W5971">IF(All_Students_Scores!C5969:V5969="","",All_Students_Scores!C5969:V5969)</f>
        <v/>
      </c>
      <c r="E5971" s="57" t="str"/>
      <c r="F5971" s="49" t="str"/>
      <c r="G5971" s="59" t="str"/>
      <c r="H5971" s="64" t="str"/>
      <c r="I5971" s="65" t="str"/>
      <c r="J5971" s="49" t="str"/>
      <c r="K5971" s="41" t="str"/>
      <c r="L5971" s="41" t="str"/>
      <c r="M5971" s="41" t="str"/>
      <c r="N5971" s="41" t="str"/>
      <c r="O5971" s="41" t="str"/>
      <c r="P5971" s="41" t="str"/>
      <c r="Q5971" s="41" t="str"/>
      <c r="R5971" s="41" t="str"/>
      <c r="S5971" s="41" t="str"/>
      <c r="T5971" s="41" t="str"/>
      <c r="U5971" s="41" t="str"/>
      <c r="V5971" s="41" t="str"/>
      <c r="W5971" s="41" t="str"/>
    </row>
    <row r="5972">
      <c r="B5972" s="2" t="n"/>
      <c r="C5972" s="40" t="n"/>
      <c r="D5972" s="52">
        <f t="array" ref="D5972:W5972">IF(All_Students_Scores!C5970:V5970="","",All_Students_Scores!C5970:V5970)</f>
        <v/>
      </c>
      <c r="E5972" s="57" t="str"/>
      <c r="F5972" s="49" t="str"/>
      <c r="G5972" s="59" t="str"/>
      <c r="H5972" s="64" t="str"/>
      <c r="I5972" s="65" t="str"/>
      <c r="J5972" s="49" t="str"/>
      <c r="K5972" s="41" t="str"/>
      <c r="L5972" s="41" t="str"/>
      <c r="M5972" s="41" t="str"/>
      <c r="N5972" s="41" t="str"/>
      <c r="O5972" s="41" t="str"/>
      <c r="P5972" s="41" t="str"/>
      <c r="Q5972" s="41" t="str"/>
      <c r="R5972" s="41" t="str"/>
      <c r="S5972" s="41" t="str"/>
      <c r="T5972" s="41" t="str"/>
      <c r="U5972" s="41" t="str"/>
      <c r="V5972" s="41" t="str"/>
      <c r="W5972" s="41" t="str"/>
    </row>
    <row r="5973">
      <c r="B5973" s="2" t="n"/>
      <c r="C5973" s="40" t="n"/>
      <c r="D5973" s="52">
        <f t="array" ref="D5973:W5973">IF(All_Students_Scores!C5971:V5971="","",All_Students_Scores!C5971:V5971)</f>
        <v/>
      </c>
      <c r="E5973" s="57" t="str"/>
      <c r="F5973" s="49" t="str"/>
      <c r="G5973" s="59" t="str"/>
      <c r="H5973" s="64" t="str"/>
      <c r="I5973" s="65" t="str"/>
      <c r="J5973" s="49" t="str"/>
      <c r="K5973" s="41" t="str"/>
      <c r="L5973" s="41" t="str"/>
      <c r="M5973" s="41" t="str"/>
      <c r="N5973" s="41" t="str"/>
      <c r="O5973" s="41" t="str"/>
      <c r="P5973" s="41" t="str"/>
      <c r="Q5973" s="41" t="str"/>
      <c r="R5973" s="41" t="str"/>
      <c r="S5973" s="41" t="str"/>
      <c r="T5973" s="41" t="str"/>
      <c r="U5973" s="41" t="str"/>
      <c r="V5973" s="41" t="str"/>
      <c r="W5973" s="41" t="str"/>
    </row>
    <row r="5974">
      <c r="B5974" s="2" t="n"/>
      <c r="C5974" s="40" t="n"/>
      <c r="D5974" s="52">
        <f t="array" ref="D5974:W5974">IF(All_Students_Scores!C5972:V5972="","",All_Students_Scores!C5972:V5972)</f>
        <v/>
      </c>
      <c r="E5974" s="57" t="str"/>
      <c r="F5974" s="49" t="str"/>
      <c r="G5974" s="59" t="str"/>
      <c r="H5974" s="64" t="str"/>
      <c r="I5974" s="65" t="str"/>
      <c r="J5974" s="49" t="str"/>
      <c r="K5974" s="41" t="str"/>
      <c r="L5974" s="41" t="str"/>
      <c r="M5974" s="41" t="str"/>
      <c r="N5974" s="41" t="str"/>
      <c r="O5974" s="41" t="str"/>
      <c r="P5974" s="41" t="str"/>
      <c r="Q5974" s="41" t="str"/>
      <c r="R5974" s="41" t="str"/>
      <c r="S5974" s="41" t="str"/>
      <c r="T5974" s="41" t="str"/>
      <c r="U5974" s="41" t="str"/>
      <c r="V5974" s="41" t="str"/>
      <c r="W5974" s="41" t="str"/>
    </row>
    <row r="5975">
      <c r="B5975" s="2" t="n"/>
      <c r="C5975" s="40" t="n"/>
      <c r="D5975" s="52">
        <f t="array" ref="D5975:W5975">IF(All_Students_Scores!C5973:V5973="","",All_Students_Scores!C5973:V5973)</f>
        <v/>
      </c>
      <c r="E5975" s="57" t="str"/>
      <c r="F5975" s="49" t="str"/>
      <c r="G5975" s="59" t="str"/>
      <c r="H5975" s="64" t="str"/>
      <c r="I5975" s="65" t="str"/>
      <c r="J5975" s="49" t="str"/>
      <c r="K5975" s="41" t="str"/>
      <c r="L5975" s="41" t="str"/>
      <c r="M5975" s="41" t="str"/>
      <c r="N5975" s="41" t="str"/>
      <c r="O5975" s="41" t="str"/>
      <c r="P5975" s="41" t="str"/>
      <c r="Q5975" s="41" t="str"/>
      <c r="R5975" s="41" t="str"/>
      <c r="S5975" s="41" t="str"/>
      <c r="T5975" s="41" t="str"/>
      <c r="U5975" s="41" t="str"/>
      <c r="V5975" s="41" t="str"/>
      <c r="W5975" s="41" t="str"/>
    </row>
    <row r="5976">
      <c r="B5976" s="2" t="n"/>
      <c r="C5976" s="40" t="n"/>
      <c r="D5976" s="52">
        <f t="array" ref="D5976:W5976">IF(All_Students_Scores!C5974:V5974="","",All_Students_Scores!C5974:V5974)</f>
        <v/>
      </c>
      <c r="E5976" s="57" t="str"/>
      <c r="F5976" s="49" t="str"/>
      <c r="G5976" s="59" t="str"/>
      <c r="H5976" s="64" t="str"/>
      <c r="I5976" s="65" t="str"/>
      <c r="J5976" s="49" t="str"/>
      <c r="K5976" s="41" t="str"/>
      <c r="L5976" s="41" t="str"/>
      <c r="M5976" s="41" t="str"/>
      <c r="N5976" s="41" t="str"/>
      <c r="O5976" s="41" t="str"/>
      <c r="P5976" s="41" t="str"/>
      <c r="Q5976" s="41" t="str"/>
      <c r="R5976" s="41" t="str"/>
      <c r="S5976" s="41" t="str"/>
      <c r="T5976" s="41" t="str"/>
      <c r="U5976" s="41" t="str"/>
      <c r="V5976" s="41" t="str"/>
      <c r="W5976" s="41" t="str"/>
    </row>
    <row r="5977">
      <c r="B5977" s="2" t="n"/>
      <c r="C5977" s="40" t="n"/>
      <c r="D5977" s="52">
        <f t="array" ref="D5977:W5977">IF(All_Students_Scores!C5975:V5975="","",All_Students_Scores!C5975:V5975)</f>
        <v/>
      </c>
      <c r="E5977" s="57" t="str"/>
      <c r="F5977" s="49" t="str"/>
      <c r="G5977" s="59" t="str"/>
      <c r="H5977" s="64" t="str"/>
      <c r="I5977" s="65" t="str"/>
      <c r="J5977" s="49" t="str"/>
      <c r="K5977" s="41" t="str"/>
      <c r="L5977" s="41" t="str"/>
      <c r="M5977" s="41" t="str"/>
      <c r="N5977" s="41" t="str"/>
      <c r="O5977" s="41" t="str"/>
      <c r="P5977" s="41" t="str"/>
      <c r="Q5977" s="41" t="str"/>
      <c r="R5977" s="41" t="str"/>
      <c r="S5977" s="41" t="str"/>
      <c r="T5977" s="41" t="str"/>
      <c r="U5977" s="41" t="str"/>
      <c r="V5977" s="41" t="str"/>
      <c r="W5977" s="41" t="str"/>
    </row>
    <row r="5978">
      <c r="B5978" s="2" t="n"/>
      <c r="C5978" s="40" t="n"/>
      <c r="D5978" s="52">
        <f t="array" ref="D5978:W5978">IF(All_Students_Scores!C5976:V5976="","",All_Students_Scores!C5976:V5976)</f>
        <v/>
      </c>
      <c r="E5978" s="57" t="str"/>
      <c r="F5978" s="49" t="str"/>
      <c r="G5978" s="59" t="str"/>
      <c r="H5978" s="64" t="str"/>
      <c r="I5978" s="65" t="str"/>
      <c r="J5978" s="49" t="str"/>
      <c r="K5978" s="41" t="str"/>
      <c r="L5978" s="41" t="str"/>
      <c r="M5978" s="41" t="str"/>
      <c r="N5978" s="41" t="str"/>
      <c r="O5978" s="41" t="str"/>
      <c r="P5978" s="41" t="str"/>
      <c r="Q5978" s="41" t="str"/>
      <c r="R5978" s="41" t="str"/>
      <c r="S5978" s="41" t="str"/>
      <c r="T5978" s="41" t="str"/>
      <c r="U5978" s="41" t="str"/>
      <c r="V5978" s="41" t="str"/>
      <c r="W5978" s="41" t="str"/>
    </row>
    <row r="5979">
      <c r="B5979" s="2" t="n"/>
      <c r="C5979" s="40" t="n"/>
      <c r="D5979" s="52">
        <f t="array" ref="D5979:W5979">IF(All_Students_Scores!C5977:V5977="","",All_Students_Scores!C5977:V5977)</f>
        <v/>
      </c>
      <c r="E5979" s="57" t="str"/>
      <c r="F5979" s="49" t="str"/>
      <c r="G5979" s="59" t="str"/>
      <c r="H5979" s="64" t="str"/>
      <c r="I5979" s="65" t="str"/>
      <c r="J5979" s="49" t="str"/>
      <c r="K5979" s="41" t="str"/>
      <c r="L5979" s="41" t="str"/>
      <c r="M5979" s="41" t="str"/>
      <c r="N5979" s="41" t="str"/>
      <c r="O5979" s="41" t="str"/>
      <c r="P5979" s="41" t="str"/>
      <c r="Q5979" s="41" t="str"/>
      <c r="R5979" s="41" t="str"/>
      <c r="S5979" s="41" t="str"/>
      <c r="T5979" s="41" t="str"/>
      <c r="U5979" s="41" t="str"/>
      <c r="V5979" s="41" t="str"/>
      <c r="W5979" s="41" t="str"/>
    </row>
    <row r="5980">
      <c r="B5980" s="2" t="n"/>
      <c r="C5980" s="40" t="n"/>
      <c r="D5980" s="52">
        <f t="array" ref="D5980:W5980">IF(All_Students_Scores!C5978:V5978="","",All_Students_Scores!C5978:V5978)</f>
        <v/>
      </c>
      <c r="E5980" s="57" t="str"/>
      <c r="F5980" s="49" t="str"/>
      <c r="G5980" s="59" t="str"/>
      <c r="H5980" s="64" t="str"/>
      <c r="I5980" s="65" t="str"/>
      <c r="J5980" s="49" t="str"/>
      <c r="K5980" s="41" t="str"/>
      <c r="L5980" s="41" t="str"/>
      <c r="M5980" s="41" t="str"/>
      <c r="N5980" s="41" t="str"/>
      <c r="O5980" s="41" t="str"/>
      <c r="P5980" s="41" t="str"/>
      <c r="Q5980" s="41" t="str"/>
      <c r="R5980" s="41" t="str"/>
      <c r="S5980" s="41" t="str"/>
      <c r="T5980" s="41" t="str"/>
      <c r="U5980" s="41" t="str"/>
      <c r="V5980" s="41" t="str"/>
      <c r="W5980" s="41" t="str"/>
    </row>
    <row r="5981">
      <c r="B5981" s="2" t="n"/>
      <c r="C5981" s="40" t="n"/>
      <c r="D5981" s="52">
        <f t="array" ref="D5981:W5981">IF(All_Students_Scores!C5979:V5979="","",All_Students_Scores!C5979:V5979)</f>
        <v/>
      </c>
      <c r="E5981" s="57" t="str"/>
      <c r="F5981" s="49" t="str"/>
      <c r="G5981" s="59" t="str"/>
      <c r="H5981" s="64" t="str"/>
      <c r="I5981" s="65" t="str"/>
      <c r="J5981" s="49" t="str"/>
      <c r="K5981" s="41" t="str"/>
      <c r="L5981" s="41" t="str"/>
      <c r="M5981" s="41" t="str"/>
      <c r="N5981" s="41" t="str"/>
      <c r="O5981" s="41" t="str"/>
      <c r="P5981" s="41" t="str"/>
      <c r="Q5981" s="41" t="str"/>
      <c r="R5981" s="41" t="str"/>
      <c r="S5981" s="41" t="str"/>
      <c r="T5981" s="41" t="str"/>
      <c r="U5981" s="41" t="str"/>
      <c r="V5981" s="41" t="str"/>
      <c r="W5981" s="41" t="str"/>
    </row>
    <row r="5982">
      <c r="B5982" s="2" t="n"/>
      <c r="C5982" s="40" t="n"/>
      <c r="D5982" s="52">
        <f t="array" ref="D5982:W5982">IF(All_Students_Scores!C5980:V5980="","",All_Students_Scores!C5980:V5980)</f>
        <v/>
      </c>
      <c r="E5982" s="57" t="str"/>
      <c r="F5982" s="49" t="str"/>
      <c r="G5982" s="59" t="str"/>
      <c r="H5982" s="64" t="str"/>
      <c r="I5982" s="65" t="str"/>
      <c r="J5982" s="49" t="str"/>
      <c r="K5982" s="41" t="str"/>
      <c r="L5982" s="41" t="str"/>
      <c r="M5982" s="41" t="str"/>
      <c r="N5982" s="41" t="str"/>
      <c r="O5982" s="41" t="str"/>
      <c r="P5982" s="41" t="str"/>
      <c r="Q5982" s="41" t="str"/>
      <c r="R5982" s="41" t="str"/>
      <c r="S5982" s="41" t="str"/>
      <c r="T5982" s="41" t="str"/>
      <c r="U5982" s="41" t="str"/>
      <c r="V5982" s="41" t="str"/>
      <c r="W5982" s="41" t="str"/>
    </row>
    <row r="5983">
      <c r="B5983" s="2" t="n"/>
      <c r="C5983" s="40" t="n"/>
      <c r="D5983" s="52">
        <f t="array" ref="D5983:W5983">IF(All_Students_Scores!C5981:V5981="","",All_Students_Scores!C5981:V5981)</f>
        <v/>
      </c>
      <c r="E5983" s="57" t="str"/>
      <c r="F5983" s="49" t="str"/>
      <c r="G5983" s="59" t="str"/>
      <c r="H5983" s="64" t="str"/>
      <c r="I5983" s="65" t="str"/>
      <c r="J5983" s="49" t="str"/>
      <c r="K5983" s="41" t="str"/>
      <c r="L5983" s="41" t="str"/>
      <c r="M5983" s="41" t="str"/>
      <c r="N5983" s="41" t="str"/>
      <c r="O5983" s="41" t="str"/>
      <c r="P5983" s="41" t="str"/>
      <c r="Q5983" s="41" t="str"/>
      <c r="R5983" s="41" t="str"/>
      <c r="S5983" s="41" t="str"/>
      <c r="T5983" s="41" t="str"/>
      <c r="U5983" s="41" t="str"/>
      <c r="V5983" s="41" t="str"/>
      <c r="W5983" s="41" t="str"/>
    </row>
    <row r="5984">
      <c r="B5984" s="2" t="n"/>
      <c r="C5984" s="40" t="n"/>
      <c r="D5984" s="52">
        <f t="array" ref="D5984:W5984">IF(All_Students_Scores!C5982:V5982="","",All_Students_Scores!C5982:V5982)</f>
        <v/>
      </c>
      <c r="E5984" s="57" t="str"/>
      <c r="F5984" s="49" t="str"/>
      <c r="G5984" s="59" t="str"/>
      <c r="H5984" s="64" t="str"/>
      <c r="I5984" s="65" t="str"/>
      <c r="J5984" s="49" t="str"/>
      <c r="K5984" s="41" t="str"/>
      <c r="L5984" s="41" t="str"/>
      <c r="M5984" s="41" t="str"/>
      <c r="N5984" s="41" t="str"/>
      <c r="O5984" s="41" t="str"/>
      <c r="P5984" s="41" t="str"/>
      <c r="Q5984" s="41" t="str"/>
      <c r="R5984" s="41" t="str"/>
      <c r="S5984" s="41" t="str"/>
      <c r="T5984" s="41" t="str"/>
      <c r="U5984" s="41" t="str"/>
      <c r="V5984" s="41" t="str"/>
      <c r="W5984" s="41" t="str"/>
    </row>
    <row r="5985">
      <c r="B5985" s="2" t="n"/>
      <c r="C5985" s="40" t="n"/>
      <c r="D5985" s="52">
        <f t="array" ref="D5985:W5985">IF(All_Students_Scores!C5983:V5983="","",All_Students_Scores!C5983:V5983)</f>
        <v/>
      </c>
      <c r="E5985" s="57" t="str"/>
      <c r="F5985" s="49" t="str"/>
      <c r="G5985" s="59" t="str"/>
      <c r="H5985" s="64" t="str"/>
      <c r="I5985" s="65" t="str"/>
      <c r="J5985" s="49" t="str"/>
      <c r="K5985" s="41" t="str"/>
      <c r="L5985" s="41" t="str"/>
      <c r="M5985" s="41" t="str"/>
      <c r="N5985" s="41" t="str"/>
      <c r="O5985" s="41" t="str"/>
      <c r="P5985" s="41" t="str"/>
      <c r="Q5985" s="41" t="str"/>
      <c r="R5985" s="41" t="str"/>
      <c r="S5985" s="41" t="str"/>
      <c r="T5985" s="41" t="str"/>
      <c r="U5985" s="41" t="str"/>
      <c r="V5985" s="41" t="str"/>
      <c r="W5985" s="41" t="str"/>
    </row>
    <row r="5986">
      <c r="B5986" s="2" t="n"/>
      <c r="C5986" s="40" t="n"/>
      <c r="D5986" s="52">
        <f t="array" ref="D5986:W5986">IF(All_Students_Scores!C5984:V5984="","",All_Students_Scores!C5984:V5984)</f>
        <v/>
      </c>
      <c r="E5986" s="57" t="str"/>
      <c r="F5986" s="49" t="str"/>
      <c r="G5986" s="59" t="str"/>
      <c r="H5986" s="64" t="str"/>
      <c r="I5986" s="65" t="str"/>
      <c r="J5986" s="49" t="str"/>
      <c r="K5986" s="41" t="str"/>
      <c r="L5986" s="41" t="str"/>
      <c r="M5986" s="41" t="str"/>
      <c r="N5986" s="41" t="str"/>
      <c r="O5986" s="41" t="str"/>
      <c r="P5986" s="41" t="str"/>
      <c r="Q5986" s="41" t="str"/>
      <c r="R5986" s="41" t="str"/>
      <c r="S5986" s="41" t="str"/>
      <c r="T5986" s="41" t="str"/>
      <c r="U5986" s="41" t="str"/>
      <c r="V5986" s="41" t="str"/>
      <c r="W5986" s="41" t="str"/>
    </row>
    <row r="5987">
      <c r="B5987" s="2" t="n"/>
      <c r="C5987" s="40" t="n"/>
      <c r="D5987" s="52">
        <f t="array" ref="D5987:W5987">IF(All_Students_Scores!C5985:V5985="","",All_Students_Scores!C5985:V5985)</f>
        <v/>
      </c>
      <c r="E5987" s="57" t="str"/>
      <c r="F5987" s="49" t="str"/>
      <c r="G5987" s="59" t="str"/>
      <c r="H5987" s="64" t="str"/>
      <c r="I5987" s="65" t="str"/>
      <c r="J5987" s="49" t="str"/>
      <c r="K5987" s="41" t="str"/>
      <c r="L5987" s="41" t="str"/>
      <c r="M5987" s="41" t="str"/>
      <c r="N5987" s="41" t="str"/>
      <c r="O5987" s="41" t="str"/>
      <c r="P5987" s="41" t="str"/>
      <c r="Q5987" s="41" t="str"/>
      <c r="R5987" s="41" t="str"/>
      <c r="S5987" s="41" t="str"/>
      <c r="T5987" s="41" t="str"/>
      <c r="U5987" s="41" t="str"/>
      <c r="V5987" s="41" t="str"/>
      <c r="W5987" s="41" t="str"/>
    </row>
    <row r="5988">
      <c r="B5988" s="2" t="n"/>
      <c r="C5988" s="40" t="n"/>
      <c r="D5988" s="52">
        <f t="array" ref="D5988:W5988">IF(All_Students_Scores!C5986:V5986="","",All_Students_Scores!C5986:V5986)</f>
        <v/>
      </c>
      <c r="E5988" s="57" t="str"/>
      <c r="F5988" s="49" t="str"/>
      <c r="G5988" s="59" t="str"/>
      <c r="H5988" s="64" t="str"/>
      <c r="I5988" s="65" t="str"/>
      <c r="J5988" s="49" t="str"/>
      <c r="K5988" s="41" t="str"/>
      <c r="L5988" s="41" t="str"/>
      <c r="M5988" s="41" t="str"/>
      <c r="N5988" s="41" t="str"/>
      <c r="O5988" s="41" t="str"/>
      <c r="P5988" s="41" t="str"/>
      <c r="Q5988" s="41" t="str"/>
      <c r="R5988" s="41" t="str"/>
      <c r="S5988" s="41" t="str"/>
      <c r="T5988" s="41" t="str"/>
      <c r="U5988" s="41" t="str"/>
      <c r="V5988" s="41" t="str"/>
      <c r="W5988" s="41" t="str"/>
    </row>
    <row r="5989">
      <c r="B5989" s="2" t="n"/>
      <c r="C5989" s="40" t="n"/>
      <c r="D5989" s="52">
        <f t="array" ref="D5989:W5989">IF(All_Students_Scores!C5987:V5987="","",All_Students_Scores!C5987:V5987)</f>
        <v/>
      </c>
      <c r="E5989" s="57" t="str"/>
      <c r="F5989" s="49" t="str"/>
      <c r="G5989" s="59" t="str"/>
      <c r="H5989" s="64" t="str"/>
      <c r="I5989" s="65" t="str"/>
      <c r="J5989" s="49" t="str"/>
      <c r="K5989" s="41" t="str"/>
      <c r="L5989" s="41" t="str"/>
      <c r="M5989" s="41" t="str"/>
      <c r="N5989" s="41" t="str"/>
      <c r="O5989" s="41" t="str"/>
      <c r="P5989" s="41" t="str"/>
      <c r="Q5989" s="41" t="str"/>
      <c r="R5989" s="41" t="str"/>
      <c r="S5989" s="41" t="str"/>
      <c r="T5989" s="41" t="str"/>
      <c r="U5989" s="41" t="str"/>
      <c r="V5989" s="41" t="str"/>
      <c r="W5989" s="41" t="str"/>
    </row>
    <row r="5990">
      <c r="B5990" s="2" t="n"/>
      <c r="C5990" s="40" t="n"/>
      <c r="D5990" s="52">
        <f t="array" ref="D5990:W5990">IF(All_Students_Scores!C5988:V5988="","",All_Students_Scores!C5988:V5988)</f>
        <v/>
      </c>
      <c r="E5990" s="57" t="str"/>
      <c r="F5990" s="49" t="str"/>
      <c r="G5990" s="59" t="str"/>
      <c r="H5990" s="64" t="str"/>
      <c r="I5990" s="65" t="str"/>
      <c r="J5990" s="49" t="str"/>
      <c r="K5990" s="41" t="str"/>
      <c r="L5990" s="41" t="str"/>
      <c r="M5990" s="41" t="str"/>
      <c r="N5990" s="41" t="str"/>
      <c r="O5990" s="41" t="str"/>
      <c r="P5990" s="41" t="str"/>
      <c r="Q5990" s="41" t="str"/>
      <c r="R5990" s="41" t="str"/>
      <c r="S5990" s="41" t="str"/>
      <c r="T5990" s="41" t="str"/>
      <c r="U5990" s="41" t="str"/>
      <c r="V5990" s="41" t="str"/>
      <c r="W5990" s="41" t="str"/>
    </row>
    <row r="5991">
      <c r="B5991" s="2" t="n"/>
      <c r="C5991" s="40" t="n"/>
      <c r="D5991" s="52">
        <f t="array" ref="D5991:W5991">IF(All_Students_Scores!C5989:V5989="","",All_Students_Scores!C5989:V5989)</f>
        <v/>
      </c>
      <c r="E5991" s="57" t="str"/>
      <c r="F5991" s="49" t="str"/>
      <c r="G5991" s="59" t="str"/>
      <c r="H5991" s="64" t="str"/>
      <c r="I5991" s="65" t="str"/>
      <c r="J5991" s="49" t="str"/>
      <c r="K5991" s="41" t="str"/>
      <c r="L5991" s="41" t="str"/>
      <c r="M5991" s="41" t="str"/>
      <c r="N5991" s="41" t="str"/>
      <c r="O5991" s="41" t="str"/>
      <c r="P5991" s="41" t="str"/>
      <c r="Q5991" s="41" t="str"/>
      <c r="R5991" s="41" t="str"/>
      <c r="S5991" s="41" t="str"/>
      <c r="T5991" s="41" t="str"/>
      <c r="U5991" s="41" t="str"/>
      <c r="V5991" s="41" t="str"/>
      <c r="W5991" s="41" t="str"/>
    </row>
    <row r="5992">
      <c r="B5992" s="2" t="n"/>
      <c r="C5992" s="40" t="n"/>
      <c r="D5992" s="52">
        <f t="array" ref="D5992:W5992">IF(All_Students_Scores!C5990:V5990="","",All_Students_Scores!C5990:V5990)</f>
        <v/>
      </c>
      <c r="E5992" s="57" t="str"/>
      <c r="F5992" s="49" t="str"/>
      <c r="G5992" s="59" t="str"/>
      <c r="H5992" s="64" t="str"/>
      <c r="I5992" s="65" t="str"/>
      <c r="J5992" s="49" t="str"/>
      <c r="K5992" s="41" t="str"/>
      <c r="L5992" s="41" t="str"/>
      <c r="M5992" s="41" t="str"/>
      <c r="N5992" s="41" t="str"/>
      <c r="O5992" s="41" t="str"/>
      <c r="P5992" s="41" t="str"/>
      <c r="Q5992" s="41" t="str"/>
      <c r="R5992" s="41" t="str"/>
      <c r="S5992" s="41" t="str"/>
      <c r="T5992" s="41" t="str"/>
      <c r="U5992" s="41" t="str"/>
      <c r="V5992" s="41" t="str"/>
      <c r="W5992" s="41" t="str"/>
    </row>
    <row r="5993">
      <c r="B5993" s="2" t="n"/>
      <c r="C5993" s="40" t="n"/>
      <c r="D5993" s="52">
        <f t="array" ref="D5993:W5993">IF(All_Students_Scores!C5991:V5991="","",All_Students_Scores!C5991:V5991)</f>
        <v/>
      </c>
      <c r="E5993" s="57" t="str"/>
      <c r="F5993" s="49" t="str"/>
      <c r="G5993" s="59" t="str"/>
      <c r="H5993" s="64" t="str"/>
      <c r="I5993" s="65" t="str"/>
      <c r="J5993" s="49" t="str"/>
      <c r="K5993" s="41" t="str"/>
      <c r="L5993" s="41" t="str"/>
      <c r="M5993" s="41" t="str"/>
      <c r="N5993" s="41" t="str"/>
      <c r="O5993" s="41" t="str"/>
      <c r="P5993" s="41" t="str"/>
      <c r="Q5993" s="41" t="str"/>
      <c r="R5993" s="41" t="str"/>
      <c r="S5993" s="41" t="str"/>
      <c r="T5993" s="41" t="str"/>
      <c r="U5993" s="41" t="str"/>
      <c r="V5993" s="41" t="str"/>
      <c r="W5993" s="41" t="str"/>
    </row>
    <row r="5994">
      <c r="B5994" s="2" t="n"/>
      <c r="C5994" s="40" t="n"/>
      <c r="D5994" s="52">
        <f t="array" ref="D5994:W5994">IF(All_Students_Scores!C5992:V5992="","",All_Students_Scores!C5992:V5992)</f>
        <v/>
      </c>
      <c r="E5994" s="57" t="str"/>
      <c r="F5994" s="49" t="str"/>
      <c r="G5994" s="59" t="str"/>
      <c r="H5994" s="64" t="str"/>
      <c r="I5994" s="65" t="str"/>
      <c r="J5994" s="49" t="str"/>
      <c r="K5994" s="41" t="str"/>
      <c r="L5994" s="41" t="str"/>
      <c r="M5994" s="41" t="str"/>
      <c r="N5994" s="41" t="str"/>
      <c r="O5994" s="41" t="str"/>
      <c r="P5994" s="41" t="str"/>
      <c r="Q5994" s="41" t="str"/>
      <c r="R5994" s="41" t="str"/>
      <c r="S5994" s="41" t="str"/>
      <c r="T5994" s="41" t="str"/>
      <c r="U5994" s="41" t="str"/>
      <c r="V5994" s="41" t="str"/>
      <c r="W5994" s="41" t="str"/>
    </row>
    <row r="5995">
      <c r="B5995" s="2" t="n"/>
      <c r="C5995" s="40" t="n"/>
      <c r="D5995" s="52">
        <f t="array" ref="D5995:W5995">IF(All_Students_Scores!C5993:V5993="","",All_Students_Scores!C5993:V5993)</f>
        <v/>
      </c>
      <c r="E5995" s="57" t="str"/>
      <c r="F5995" s="49" t="str"/>
      <c r="G5995" s="59" t="str"/>
      <c r="H5995" s="64" t="str"/>
      <c r="I5995" s="65" t="str"/>
      <c r="J5995" s="49" t="str"/>
      <c r="K5995" s="41" t="str"/>
      <c r="L5995" s="41" t="str"/>
      <c r="M5995" s="41" t="str"/>
      <c r="N5995" s="41" t="str"/>
      <c r="O5995" s="41" t="str"/>
      <c r="P5995" s="41" t="str"/>
      <c r="Q5995" s="41" t="str"/>
      <c r="R5995" s="41" t="str"/>
      <c r="S5995" s="41" t="str"/>
      <c r="T5995" s="41" t="str"/>
      <c r="U5995" s="41" t="str"/>
      <c r="V5995" s="41" t="str"/>
      <c r="W5995" s="41" t="str"/>
    </row>
    <row r="5996">
      <c r="B5996" s="2" t="n"/>
      <c r="C5996" s="40" t="n"/>
      <c r="D5996" s="52">
        <f t="array" ref="D5996:W5996">IF(All_Students_Scores!C5994:V5994="","",All_Students_Scores!C5994:V5994)</f>
        <v/>
      </c>
      <c r="E5996" s="57" t="str"/>
      <c r="F5996" s="49" t="str"/>
      <c r="G5996" s="59" t="str"/>
      <c r="H5996" s="64" t="str"/>
      <c r="I5996" s="65" t="str"/>
      <c r="J5996" s="49" t="str"/>
      <c r="K5996" s="41" t="str"/>
      <c r="L5996" s="41" t="str"/>
      <c r="M5996" s="41" t="str"/>
      <c r="N5996" s="41" t="str"/>
      <c r="O5996" s="41" t="str"/>
      <c r="P5996" s="41" t="str"/>
      <c r="Q5996" s="41" t="str"/>
      <c r="R5996" s="41" t="str"/>
      <c r="S5996" s="41" t="str"/>
      <c r="T5996" s="41" t="str"/>
      <c r="U5996" s="41" t="str"/>
      <c r="V5996" s="41" t="str"/>
      <c r="W5996" s="41" t="str"/>
    </row>
    <row r="5997">
      <c r="B5997" s="2" t="n"/>
      <c r="C5997" s="40" t="n"/>
      <c r="D5997" s="52">
        <f t="array" ref="D5997:W5997">IF(All_Students_Scores!C5995:V5995="","",All_Students_Scores!C5995:V5995)</f>
        <v/>
      </c>
      <c r="E5997" s="57" t="str"/>
      <c r="F5997" s="49" t="str"/>
      <c r="G5997" s="59" t="str"/>
      <c r="H5997" s="64" t="str"/>
      <c r="I5997" s="65" t="str"/>
      <c r="J5997" s="49" t="str"/>
      <c r="K5997" s="41" t="str"/>
      <c r="L5997" s="41" t="str"/>
      <c r="M5997" s="41" t="str"/>
      <c r="N5997" s="41" t="str"/>
      <c r="O5997" s="41" t="str"/>
      <c r="P5997" s="41" t="str"/>
      <c r="Q5997" s="41" t="str"/>
      <c r="R5997" s="41" t="str"/>
      <c r="S5997" s="41" t="str"/>
      <c r="T5997" s="41" t="str"/>
      <c r="U5997" s="41" t="str"/>
      <c r="V5997" s="41" t="str"/>
      <c r="W5997" s="41" t="str"/>
    </row>
    <row r="5998">
      <c r="B5998" s="2" t="n"/>
      <c r="C5998" s="40" t="n"/>
      <c r="D5998" s="52">
        <f t="array" ref="D5998:W5998">IF(All_Students_Scores!C5996:V5996="","",All_Students_Scores!C5996:V5996)</f>
        <v/>
      </c>
      <c r="E5998" s="57" t="str"/>
      <c r="F5998" s="49" t="str"/>
      <c r="G5998" s="59" t="str"/>
      <c r="H5998" s="64" t="str"/>
      <c r="I5998" s="65" t="str"/>
      <c r="J5998" s="49" t="str"/>
      <c r="K5998" s="41" t="str"/>
      <c r="L5998" s="41" t="str"/>
      <c r="M5998" s="41" t="str"/>
      <c r="N5998" s="41" t="str"/>
      <c r="O5998" s="41" t="str"/>
      <c r="P5998" s="41" t="str"/>
      <c r="Q5998" s="41" t="str"/>
      <c r="R5998" s="41" t="str"/>
      <c r="S5998" s="41" t="str"/>
      <c r="T5998" s="41" t="str"/>
      <c r="U5998" s="41" t="str"/>
      <c r="V5998" s="41" t="str"/>
      <c r="W5998" s="41" t="str"/>
    </row>
    <row r="5999">
      <c r="B5999" s="2" t="n"/>
      <c r="C5999" s="40" t="n"/>
      <c r="D5999" s="52">
        <f t="array" ref="D5999:W5999">IF(All_Students_Scores!C5997:V5997="","",All_Students_Scores!C5997:V5997)</f>
        <v/>
      </c>
      <c r="E5999" s="57" t="str"/>
      <c r="F5999" s="49" t="str"/>
      <c r="G5999" s="59" t="str"/>
      <c r="H5999" s="64" t="str"/>
      <c r="I5999" s="65" t="str"/>
      <c r="J5999" s="49" t="str"/>
      <c r="K5999" s="41" t="str"/>
      <c r="L5999" s="41" t="str"/>
      <c r="M5999" s="41" t="str"/>
      <c r="N5999" s="41" t="str"/>
      <c r="O5999" s="41" t="str"/>
      <c r="P5999" s="41" t="str"/>
      <c r="Q5999" s="41" t="str"/>
      <c r="R5999" s="41" t="str"/>
      <c r="S5999" s="41" t="str"/>
      <c r="T5999" s="41" t="str"/>
      <c r="U5999" s="41" t="str"/>
      <c r="V5999" s="41" t="str"/>
      <c r="W5999" s="41" t="str"/>
    </row>
    <row r="6000">
      <c r="B6000" s="2" t="n"/>
      <c r="C6000" s="40" t="n"/>
      <c r="D6000" s="52">
        <f t="array" ref="D6000:W6000">IF(All_Students_Scores!C5998:V5998="","",All_Students_Scores!C5998:V5998)</f>
        <v/>
      </c>
      <c r="E6000" s="57" t="str"/>
      <c r="F6000" s="49" t="str"/>
      <c r="G6000" s="59" t="str"/>
      <c r="H6000" s="64" t="str"/>
      <c r="I6000" s="65" t="str"/>
      <c r="J6000" s="49" t="str"/>
      <c r="K6000" s="41" t="str"/>
      <c r="L6000" s="41" t="str"/>
      <c r="M6000" s="41" t="str"/>
      <c r="N6000" s="41" t="str"/>
      <c r="O6000" s="41" t="str"/>
      <c r="P6000" s="41" t="str"/>
      <c r="Q6000" s="41" t="str"/>
      <c r="R6000" s="41" t="str"/>
      <c r="S6000" s="41" t="str"/>
      <c r="T6000" s="41" t="str"/>
      <c r="U6000" s="41" t="str"/>
      <c r="V6000" s="41" t="str"/>
      <c r="W6000" s="41" t="str"/>
    </row>
    <row r="6001">
      <c r="B6001" s="2" t="n"/>
      <c r="C6001" s="40" t="n"/>
      <c r="D6001" s="52">
        <f t="array" ref="D6001:W6001">IF(All_Students_Scores!C5999:V5999="","",All_Students_Scores!C5999:V5999)</f>
        <v/>
      </c>
      <c r="E6001" s="57" t="str"/>
      <c r="F6001" s="49" t="str"/>
      <c r="G6001" s="59" t="str"/>
      <c r="H6001" s="64" t="str"/>
      <c r="I6001" s="65" t="str"/>
      <c r="J6001" s="49" t="str"/>
      <c r="K6001" s="41" t="str"/>
      <c r="L6001" s="41" t="str"/>
      <c r="M6001" s="41" t="str"/>
      <c r="N6001" s="41" t="str"/>
      <c r="O6001" s="41" t="str"/>
      <c r="P6001" s="41" t="str"/>
      <c r="Q6001" s="41" t="str"/>
      <c r="R6001" s="41" t="str"/>
      <c r="S6001" s="41" t="str"/>
      <c r="T6001" s="41" t="str"/>
      <c r="U6001" s="41" t="str"/>
      <c r="V6001" s="41" t="str"/>
      <c r="W6001" s="41" t="str"/>
    </row>
    <row r="6002">
      <c r="B6002" s="2" t="n"/>
      <c r="C6002" s="40" t="n"/>
      <c r="D6002" s="52">
        <f t="array" ref="D6002:W6002">IF(All_Students_Scores!C6000:V6000="","",All_Students_Scores!C6000:V6000)</f>
        <v/>
      </c>
      <c r="E6002" s="57" t="str"/>
      <c r="F6002" s="49" t="str"/>
      <c r="G6002" s="59" t="str"/>
      <c r="H6002" s="64" t="str"/>
      <c r="I6002" s="65" t="str"/>
      <c r="J6002" s="49" t="str"/>
      <c r="K6002" s="41" t="str"/>
      <c r="L6002" s="41" t="str"/>
      <c r="M6002" s="41" t="str"/>
      <c r="N6002" s="41" t="str"/>
      <c r="O6002" s="41" t="str"/>
      <c r="P6002" s="41" t="str"/>
      <c r="Q6002" s="41" t="str"/>
      <c r="R6002" s="41" t="str"/>
      <c r="S6002" s="41" t="str"/>
      <c r="T6002" s="41" t="str"/>
      <c r="U6002" s="41" t="str"/>
      <c r="V6002" s="41" t="str"/>
      <c r="W6002" s="41" t="str"/>
    </row>
    <row r="6003">
      <c r="B6003" s="2" t="n"/>
      <c r="C6003" s="40" t="n"/>
      <c r="D6003" s="52">
        <f t="array" ref="D6003:W6003">IF(All_Students_Scores!C6001:V6001="","",All_Students_Scores!C6001:V6001)</f>
        <v/>
      </c>
      <c r="E6003" s="57" t="str"/>
      <c r="F6003" s="49" t="str"/>
      <c r="G6003" s="59" t="str"/>
      <c r="H6003" s="64" t="str"/>
      <c r="I6003" s="65" t="str"/>
      <c r="J6003" s="49" t="str"/>
      <c r="K6003" s="41" t="str"/>
      <c r="L6003" s="41" t="str"/>
      <c r="M6003" s="41" t="str"/>
      <c r="N6003" s="41" t="str"/>
      <c r="O6003" s="41" t="str"/>
      <c r="P6003" s="41" t="str"/>
      <c r="Q6003" s="41" t="str"/>
      <c r="R6003" s="41" t="str"/>
      <c r="S6003" s="41" t="str"/>
      <c r="T6003" s="41" t="str"/>
      <c r="U6003" s="41" t="str"/>
      <c r="V6003" s="41" t="str"/>
      <c r="W6003" s="41" t="str"/>
    </row>
    <row r="6004">
      <c r="B6004" s="2" t="n"/>
      <c r="C6004" s="40" t="n"/>
      <c r="D6004" s="52">
        <f t="array" ref="D6004:W6004">IF(All_Students_Scores!C6002:V6002="","",All_Students_Scores!C6002:V6002)</f>
        <v/>
      </c>
      <c r="E6004" s="57" t="str"/>
      <c r="F6004" s="49" t="str"/>
      <c r="G6004" s="59" t="str"/>
      <c r="H6004" s="64" t="str"/>
      <c r="I6004" s="65" t="str"/>
      <c r="J6004" s="49" t="str"/>
      <c r="K6004" s="41" t="str"/>
      <c r="L6004" s="41" t="str"/>
      <c r="M6004" s="41" t="str"/>
      <c r="N6004" s="41" t="str"/>
      <c r="O6004" s="41" t="str"/>
      <c r="P6004" s="41" t="str"/>
      <c r="Q6004" s="41" t="str"/>
      <c r="R6004" s="41" t="str"/>
      <c r="S6004" s="41" t="str"/>
      <c r="T6004" s="41" t="str"/>
      <c r="U6004" s="41" t="str"/>
      <c r="V6004" s="41" t="str"/>
      <c r="W6004" s="41" t="str"/>
    </row>
    <row r="6005">
      <c r="B6005" s="2" t="n"/>
      <c r="C6005" s="40" t="n"/>
      <c r="D6005" s="52">
        <f t="array" ref="D6005:W6005">IF(All_Students_Scores!C6003:V6003="","",All_Students_Scores!C6003:V6003)</f>
        <v/>
      </c>
      <c r="E6005" s="57" t="str"/>
      <c r="F6005" s="49" t="str"/>
      <c r="G6005" s="59" t="str"/>
      <c r="H6005" s="64" t="str"/>
      <c r="I6005" s="65" t="str"/>
      <c r="J6005" s="49" t="str"/>
      <c r="K6005" s="41" t="str"/>
      <c r="L6005" s="41" t="str"/>
      <c r="M6005" s="41" t="str"/>
      <c r="N6005" s="41" t="str"/>
      <c r="O6005" s="41" t="str"/>
      <c r="P6005" s="41" t="str"/>
      <c r="Q6005" s="41" t="str"/>
      <c r="R6005" s="41" t="str"/>
      <c r="S6005" s="41" t="str"/>
      <c r="T6005" s="41" t="str"/>
      <c r="U6005" s="41" t="str"/>
      <c r="V6005" s="41" t="str"/>
      <c r="W6005" s="41" t="str"/>
    </row>
    <row r="6006">
      <c r="B6006" s="2" t="n"/>
      <c r="C6006" s="40" t="n"/>
      <c r="D6006" s="52">
        <f t="array" ref="D6006:W6006">IF(All_Students_Scores!C6004:V6004="","",All_Students_Scores!C6004:V6004)</f>
        <v/>
      </c>
      <c r="E6006" s="57" t="str"/>
      <c r="F6006" s="49" t="str"/>
      <c r="G6006" s="59" t="str"/>
      <c r="H6006" s="64" t="str"/>
      <c r="I6006" s="65" t="str"/>
      <c r="J6006" s="49" t="str"/>
      <c r="K6006" s="41" t="str"/>
      <c r="L6006" s="41" t="str"/>
      <c r="M6006" s="41" t="str"/>
      <c r="N6006" s="41" t="str"/>
      <c r="O6006" s="41" t="str"/>
      <c r="P6006" s="41" t="str"/>
      <c r="Q6006" s="41" t="str"/>
      <c r="R6006" s="41" t="str"/>
      <c r="S6006" s="41" t="str"/>
      <c r="T6006" s="41" t="str"/>
      <c r="U6006" s="41" t="str"/>
      <c r="V6006" s="41" t="str"/>
      <c r="W6006" s="41" t="str"/>
    </row>
    <row r="6007">
      <c r="B6007" s="2" t="n"/>
      <c r="C6007" s="40" t="n"/>
      <c r="D6007" s="52">
        <f t="array" ref="D6007:W6007">IF(All_Students_Scores!C6005:V6005="","",All_Students_Scores!C6005:V6005)</f>
        <v/>
      </c>
      <c r="E6007" s="57" t="str"/>
      <c r="F6007" s="49" t="str"/>
      <c r="G6007" s="59" t="str"/>
      <c r="H6007" s="64" t="str"/>
      <c r="I6007" s="65" t="str"/>
      <c r="J6007" s="49" t="str"/>
      <c r="K6007" s="41" t="str"/>
      <c r="L6007" s="41" t="str"/>
      <c r="M6007" s="41" t="str"/>
      <c r="N6007" s="41" t="str"/>
      <c r="O6007" s="41" t="str"/>
      <c r="P6007" s="41" t="str"/>
      <c r="Q6007" s="41" t="str"/>
      <c r="R6007" s="41" t="str"/>
      <c r="S6007" s="41" t="str"/>
      <c r="T6007" s="41" t="str"/>
      <c r="U6007" s="41" t="str"/>
      <c r="V6007" s="41" t="str"/>
      <c r="W6007" s="41" t="str"/>
    </row>
    <row r="6008">
      <c r="B6008" s="2" t="n"/>
      <c r="C6008" s="40" t="n"/>
      <c r="D6008" s="52">
        <f t="array" ref="D6008:W6008">IF(All_Students_Scores!C6006:V6006="","",All_Students_Scores!C6006:V6006)</f>
        <v/>
      </c>
      <c r="E6008" s="57" t="str"/>
      <c r="F6008" s="49" t="str"/>
      <c r="G6008" s="59" t="str"/>
      <c r="H6008" s="64" t="str"/>
      <c r="I6008" s="65" t="str"/>
      <c r="J6008" s="49" t="str"/>
      <c r="K6008" s="41" t="str"/>
      <c r="L6008" s="41" t="str"/>
      <c r="M6008" s="41" t="str"/>
      <c r="N6008" s="41" t="str"/>
      <c r="O6008" s="41" t="str"/>
      <c r="P6008" s="41" t="str"/>
      <c r="Q6008" s="41" t="str"/>
      <c r="R6008" s="41" t="str"/>
      <c r="S6008" s="41" t="str"/>
      <c r="T6008" s="41" t="str"/>
      <c r="U6008" s="41" t="str"/>
      <c r="V6008" s="41" t="str"/>
      <c r="W6008" s="41" t="str"/>
    </row>
    <row r="6009">
      <c r="B6009" s="2" t="n"/>
      <c r="C6009" s="40" t="n"/>
      <c r="D6009" s="52">
        <f t="array" ref="D6009:W6009">IF(All_Students_Scores!C6007:V6007="","",All_Students_Scores!C6007:V6007)</f>
        <v/>
      </c>
      <c r="E6009" s="57" t="str"/>
      <c r="F6009" s="49" t="str"/>
      <c r="G6009" s="59" t="str"/>
      <c r="H6009" s="64" t="str"/>
      <c r="I6009" s="65" t="str"/>
      <c r="J6009" s="49" t="str"/>
      <c r="K6009" s="41" t="str"/>
      <c r="L6009" s="41" t="str"/>
      <c r="M6009" s="41" t="str"/>
      <c r="N6009" s="41" t="str"/>
      <c r="O6009" s="41" t="str"/>
      <c r="P6009" s="41" t="str"/>
      <c r="Q6009" s="41" t="str"/>
      <c r="R6009" s="41" t="str"/>
      <c r="S6009" s="41" t="str"/>
      <c r="T6009" s="41" t="str"/>
      <c r="U6009" s="41" t="str"/>
      <c r="V6009" s="41" t="str"/>
      <c r="W6009" s="41" t="str"/>
    </row>
    <row r="6010">
      <c r="B6010" s="2" t="n"/>
      <c r="C6010" s="40" t="n"/>
      <c r="D6010" s="52">
        <f t="array" ref="D6010:W6010">IF(All_Students_Scores!C6008:V6008="","",All_Students_Scores!C6008:V6008)</f>
        <v/>
      </c>
      <c r="E6010" s="57" t="str"/>
      <c r="F6010" s="49" t="str"/>
      <c r="G6010" s="59" t="str"/>
      <c r="H6010" s="64" t="str"/>
      <c r="I6010" s="65" t="str"/>
      <c r="J6010" s="49" t="str"/>
      <c r="K6010" s="41" t="str"/>
      <c r="L6010" s="41" t="str"/>
      <c r="M6010" s="41" t="str"/>
      <c r="N6010" s="41" t="str"/>
      <c r="O6010" s="41" t="str"/>
      <c r="P6010" s="41" t="str"/>
      <c r="Q6010" s="41" t="str"/>
      <c r="R6010" s="41" t="str"/>
      <c r="S6010" s="41" t="str"/>
      <c r="T6010" s="41" t="str"/>
      <c r="U6010" s="41" t="str"/>
      <c r="V6010" s="41" t="str"/>
      <c r="W6010" s="41" t="str"/>
    </row>
    <row r="6011">
      <c r="B6011" s="2" t="n"/>
      <c r="C6011" s="40" t="n"/>
      <c r="D6011" s="52">
        <f t="array" ref="D6011:W6011">IF(All_Students_Scores!C6009:V6009="","",All_Students_Scores!C6009:V6009)</f>
        <v/>
      </c>
      <c r="E6011" s="57" t="str"/>
      <c r="F6011" s="49" t="str"/>
      <c r="G6011" s="59" t="str"/>
      <c r="H6011" s="64" t="str"/>
      <c r="I6011" s="65" t="str"/>
      <c r="J6011" s="49" t="str"/>
      <c r="K6011" s="41" t="str"/>
      <c r="L6011" s="41" t="str"/>
      <c r="M6011" s="41" t="str"/>
      <c r="N6011" s="41" t="str"/>
      <c r="O6011" s="41" t="str"/>
      <c r="P6011" s="41" t="str"/>
      <c r="Q6011" s="41" t="str"/>
      <c r="R6011" s="41" t="str"/>
      <c r="S6011" s="41" t="str"/>
      <c r="T6011" s="41" t="str"/>
      <c r="U6011" s="41" t="str"/>
      <c r="V6011" s="41" t="str"/>
      <c r="W6011" s="41" t="str"/>
    </row>
    <row r="6012">
      <c r="B6012" s="2" t="n"/>
      <c r="C6012" s="40" t="n"/>
      <c r="D6012" s="52">
        <f t="array" ref="D6012:W6012">IF(All_Students_Scores!C6010:V6010="","",All_Students_Scores!C6010:V6010)</f>
        <v/>
      </c>
      <c r="E6012" s="57" t="str"/>
      <c r="F6012" s="49" t="str"/>
      <c r="G6012" s="59" t="str"/>
      <c r="H6012" s="64" t="str"/>
      <c r="I6012" s="65" t="str"/>
      <c r="J6012" s="49" t="str"/>
      <c r="K6012" s="41" t="str"/>
      <c r="L6012" s="41" t="str"/>
      <c r="M6012" s="41" t="str"/>
      <c r="N6012" s="41" t="str"/>
      <c r="O6012" s="41" t="str"/>
      <c r="P6012" s="41" t="str"/>
      <c r="Q6012" s="41" t="str"/>
      <c r="R6012" s="41" t="str"/>
      <c r="S6012" s="41" t="str"/>
      <c r="T6012" s="41" t="str"/>
      <c r="U6012" s="41" t="str"/>
      <c r="V6012" s="41" t="str"/>
      <c r="W6012" s="41" t="str"/>
    </row>
    <row r="6013">
      <c r="B6013" s="2" t="n"/>
      <c r="C6013" s="40" t="n"/>
      <c r="D6013" s="52">
        <f t="array" ref="D6013:W6013">IF(All_Students_Scores!C6011:V6011="","",All_Students_Scores!C6011:V6011)</f>
        <v/>
      </c>
      <c r="E6013" s="57" t="str"/>
      <c r="F6013" s="49" t="str"/>
      <c r="G6013" s="59" t="str"/>
      <c r="H6013" s="64" t="str"/>
      <c r="I6013" s="65" t="str"/>
      <c r="J6013" s="49" t="str"/>
      <c r="K6013" s="41" t="str"/>
      <c r="L6013" s="41" t="str"/>
      <c r="M6013" s="41" t="str"/>
      <c r="N6013" s="41" t="str"/>
      <c r="O6013" s="41" t="str"/>
      <c r="P6013" s="41" t="str"/>
      <c r="Q6013" s="41" t="str"/>
      <c r="R6013" s="41" t="str"/>
      <c r="S6013" s="41" t="str"/>
      <c r="T6013" s="41" t="str"/>
      <c r="U6013" s="41" t="str"/>
      <c r="V6013" s="41" t="str"/>
      <c r="W6013" s="41" t="str"/>
    </row>
    <row r="6014">
      <c r="B6014" s="2" t="n"/>
      <c r="C6014" s="40" t="n"/>
      <c r="D6014" s="52">
        <f t="array" ref="D6014:W6014">IF(All_Students_Scores!C6012:V6012="","",All_Students_Scores!C6012:V6012)</f>
        <v/>
      </c>
      <c r="E6014" s="57" t="str"/>
      <c r="F6014" s="49" t="str"/>
      <c r="G6014" s="59" t="str"/>
      <c r="H6014" s="64" t="str"/>
      <c r="I6014" s="65" t="str"/>
      <c r="J6014" s="49" t="str"/>
      <c r="K6014" s="41" t="str"/>
      <c r="L6014" s="41" t="str"/>
      <c r="M6014" s="41" t="str"/>
      <c r="N6014" s="41" t="str"/>
      <c r="O6014" s="41" t="str"/>
      <c r="P6014" s="41" t="str"/>
      <c r="Q6014" s="41" t="str"/>
      <c r="R6014" s="41" t="str"/>
      <c r="S6014" s="41" t="str"/>
      <c r="T6014" s="41" t="str"/>
      <c r="U6014" s="41" t="str"/>
      <c r="V6014" s="41" t="str"/>
      <c r="W6014" s="41" t="str"/>
    </row>
    <row r="6015">
      <c r="B6015" s="2" t="n"/>
      <c r="C6015" s="40" t="n"/>
      <c r="D6015" s="52">
        <f t="array" ref="D6015:W6015">IF(All_Students_Scores!C6013:V6013="","",All_Students_Scores!C6013:V6013)</f>
        <v/>
      </c>
      <c r="E6015" s="57" t="str"/>
      <c r="F6015" s="49" t="str"/>
      <c r="G6015" s="59" t="str"/>
      <c r="H6015" s="64" t="str"/>
      <c r="I6015" s="65" t="str"/>
      <c r="J6015" s="49" t="str"/>
      <c r="K6015" s="41" t="str"/>
      <c r="L6015" s="41" t="str"/>
      <c r="M6015" s="41" t="str"/>
      <c r="N6015" s="41" t="str"/>
      <c r="O6015" s="41" t="str"/>
      <c r="P6015" s="41" t="str"/>
      <c r="Q6015" s="41" t="str"/>
      <c r="R6015" s="41" t="str"/>
      <c r="S6015" s="41" t="str"/>
      <c r="T6015" s="41" t="str"/>
      <c r="U6015" s="41" t="str"/>
      <c r="V6015" s="41" t="str"/>
      <c r="W6015" s="41" t="str"/>
    </row>
    <row r="6016">
      <c r="B6016" s="2" t="n"/>
      <c r="C6016" s="40" t="n"/>
      <c r="D6016" s="52">
        <f t="array" ref="D6016:W6016">IF(All_Students_Scores!C6014:V6014="","",All_Students_Scores!C6014:V6014)</f>
        <v/>
      </c>
      <c r="E6016" s="57" t="str"/>
      <c r="F6016" s="49" t="str"/>
      <c r="G6016" s="59" t="str"/>
      <c r="H6016" s="64" t="str"/>
      <c r="I6016" s="65" t="str"/>
      <c r="J6016" s="49" t="str"/>
      <c r="K6016" s="41" t="str"/>
      <c r="L6016" s="41" t="str"/>
      <c r="M6016" s="41" t="str"/>
      <c r="N6016" s="41" t="str"/>
      <c r="O6016" s="41" t="str"/>
      <c r="P6016" s="41" t="str"/>
      <c r="Q6016" s="41" t="str"/>
      <c r="R6016" s="41" t="str"/>
      <c r="S6016" s="41" t="str"/>
      <c r="T6016" s="41" t="str"/>
      <c r="U6016" s="41" t="str"/>
      <c r="V6016" s="41" t="str"/>
      <c r="W6016" s="41" t="str"/>
    </row>
    <row r="6017">
      <c r="B6017" s="2" t="n"/>
      <c r="C6017" s="40" t="n"/>
      <c r="D6017" s="52">
        <f t="array" ref="D6017:W6017">IF(All_Students_Scores!C6015:V6015="","",All_Students_Scores!C6015:V6015)</f>
        <v/>
      </c>
      <c r="E6017" s="57" t="str"/>
      <c r="F6017" s="49" t="str"/>
      <c r="G6017" s="59" t="str"/>
      <c r="H6017" s="64" t="str"/>
      <c r="I6017" s="65" t="str"/>
      <c r="J6017" s="49" t="str"/>
      <c r="K6017" s="41" t="str"/>
      <c r="L6017" s="41" t="str"/>
      <c r="M6017" s="41" t="str"/>
      <c r="N6017" s="41" t="str"/>
      <c r="O6017" s="41" t="str"/>
      <c r="P6017" s="41" t="str"/>
      <c r="Q6017" s="41" t="str"/>
      <c r="R6017" s="41" t="str"/>
      <c r="S6017" s="41" t="str"/>
      <c r="T6017" s="41" t="str"/>
      <c r="U6017" s="41" t="str"/>
      <c r="V6017" s="41" t="str"/>
      <c r="W6017" s="41" t="str"/>
    </row>
    <row r="6018">
      <c r="B6018" s="2" t="n"/>
      <c r="C6018" s="40" t="n"/>
      <c r="D6018" s="52">
        <f t="array" ref="D6018:W6018">IF(All_Students_Scores!C6016:V6016="","",All_Students_Scores!C6016:V6016)</f>
        <v/>
      </c>
      <c r="E6018" s="57" t="str"/>
      <c r="F6018" s="49" t="str"/>
      <c r="G6018" s="59" t="str"/>
      <c r="H6018" s="64" t="str"/>
      <c r="I6018" s="65" t="str"/>
      <c r="J6018" s="49" t="str"/>
      <c r="K6018" s="41" t="str"/>
      <c r="L6018" s="41" t="str"/>
      <c r="M6018" s="41" t="str"/>
      <c r="N6018" s="41" t="str"/>
      <c r="O6018" s="41" t="str"/>
      <c r="P6018" s="41" t="str"/>
      <c r="Q6018" s="41" t="str"/>
      <c r="R6018" s="41" t="str"/>
      <c r="S6018" s="41" t="str"/>
      <c r="T6018" s="41" t="str"/>
      <c r="U6018" s="41" t="str"/>
      <c r="V6018" s="41" t="str"/>
      <c r="W6018" s="41" t="str"/>
    </row>
    <row r="6019">
      <c r="B6019" s="2" t="n"/>
      <c r="C6019" s="40" t="n"/>
      <c r="D6019" s="52">
        <f t="array" ref="D6019:W6019">IF(All_Students_Scores!C6017:V6017="","",All_Students_Scores!C6017:V6017)</f>
        <v/>
      </c>
      <c r="E6019" s="57" t="str"/>
      <c r="F6019" s="49" t="str"/>
      <c r="G6019" s="59" t="str"/>
      <c r="H6019" s="64" t="str"/>
      <c r="I6019" s="65" t="str"/>
      <c r="J6019" s="49" t="str"/>
      <c r="K6019" s="41" t="str"/>
      <c r="L6019" s="41" t="str"/>
      <c r="M6019" s="41" t="str"/>
      <c r="N6019" s="41" t="str"/>
      <c r="O6019" s="41" t="str"/>
      <c r="P6019" s="41" t="str"/>
      <c r="Q6019" s="41" t="str"/>
      <c r="R6019" s="41" t="str"/>
      <c r="S6019" s="41" t="str"/>
      <c r="T6019" s="41" t="str"/>
      <c r="U6019" s="41" t="str"/>
      <c r="V6019" s="41" t="str"/>
      <c r="W6019" s="41" t="str"/>
    </row>
    <row r="6020">
      <c r="B6020" s="2" t="n"/>
      <c r="C6020" s="40" t="n"/>
      <c r="D6020" s="52">
        <f t="array" ref="D6020:W6020">IF(All_Students_Scores!C6018:V6018="","",All_Students_Scores!C6018:V6018)</f>
        <v/>
      </c>
      <c r="E6020" s="57" t="str"/>
      <c r="F6020" s="49" t="str"/>
      <c r="G6020" s="59" t="str"/>
      <c r="H6020" s="64" t="str"/>
      <c r="I6020" s="65" t="str"/>
      <c r="J6020" s="49" t="str"/>
      <c r="K6020" s="41" t="str"/>
      <c r="L6020" s="41" t="str"/>
      <c r="M6020" s="41" t="str"/>
      <c r="N6020" s="41" t="str"/>
      <c r="O6020" s="41" t="str"/>
      <c r="P6020" s="41" t="str"/>
      <c r="Q6020" s="41" t="str"/>
      <c r="R6020" s="41" t="str"/>
      <c r="S6020" s="41" t="str"/>
      <c r="T6020" s="41" t="str"/>
      <c r="U6020" s="41" t="str"/>
      <c r="V6020" s="41" t="str"/>
      <c r="W6020" s="41" t="str"/>
    </row>
    <row r="6021">
      <c r="B6021" s="2" t="n"/>
      <c r="C6021" s="40" t="n"/>
      <c r="D6021" s="52">
        <f t="array" ref="D6021:W6021">IF(All_Students_Scores!C6019:V6019="","",All_Students_Scores!C6019:V6019)</f>
        <v/>
      </c>
      <c r="E6021" s="57" t="str"/>
      <c r="F6021" s="49" t="str"/>
      <c r="G6021" s="59" t="str"/>
      <c r="H6021" s="64" t="str"/>
      <c r="I6021" s="65" t="str"/>
      <c r="J6021" s="49" t="str"/>
      <c r="K6021" s="41" t="str"/>
      <c r="L6021" s="41" t="str"/>
      <c r="M6021" s="41" t="str"/>
      <c r="N6021" s="41" t="str"/>
      <c r="O6021" s="41" t="str"/>
      <c r="P6021" s="41" t="str"/>
      <c r="Q6021" s="41" t="str"/>
      <c r="R6021" s="41" t="str"/>
      <c r="S6021" s="41" t="str"/>
      <c r="T6021" s="41" t="str"/>
      <c r="U6021" s="41" t="str"/>
      <c r="V6021" s="41" t="str"/>
      <c r="W6021" s="41" t="str"/>
    </row>
    <row r="6022">
      <c r="B6022" s="2" t="n"/>
      <c r="C6022" s="40" t="n"/>
      <c r="D6022" s="52">
        <f t="array" ref="D6022:W6022">IF(All_Students_Scores!C6020:V6020="","",All_Students_Scores!C6020:V6020)</f>
        <v/>
      </c>
      <c r="E6022" s="57" t="str"/>
      <c r="F6022" s="49" t="str"/>
      <c r="G6022" s="59" t="str"/>
      <c r="H6022" s="64" t="str"/>
      <c r="I6022" s="65" t="str"/>
      <c r="J6022" s="49" t="str"/>
      <c r="K6022" s="41" t="str"/>
      <c r="L6022" s="41" t="str"/>
      <c r="M6022" s="41" t="str"/>
      <c r="N6022" s="41" t="str"/>
      <c r="O6022" s="41" t="str"/>
      <c r="P6022" s="41" t="str"/>
      <c r="Q6022" s="41" t="str"/>
      <c r="R6022" s="41" t="str"/>
      <c r="S6022" s="41" t="str"/>
      <c r="T6022" s="41" t="str"/>
      <c r="U6022" s="41" t="str"/>
      <c r="V6022" s="41" t="str"/>
      <c r="W6022" s="41" t="str"/>
    </row>
    <row r="6023">
      <c r="B6023" s="2" t="n"/>
      <c r="C6023" s="40" t="n"/>
      <c r="D6023" s="52">
        <f t="array" ref="D6023:W6023">IF(All_Students_Scores!C6021:V6021="","",All_Students_Scores!C6021:V6021)</f>
        <v/>
      </c>
      <c r="E6023" s="57" t="str"/>
      <c r="F6023" s="49" t="str"/>
      <c r="G6023" s="59" t="str"/>
      <c r="H6023" s="64" t="str"/>
      <c r="I6023" s="65" t="str"/>
      <c r="J6023" s="49" t="str"/>
      <c r="K6023" s="41" t="str"/>
      <c r="L6023" s="41" t="str"/>
      <c r="M6023" s="41" t="str"/>
      <c r="N6023" s="41" t="str"/>
      <c r="O6023" s="41" t="str"/>
      <c r="P6023" s="41" t="str"/>
      <c r="Q6023" s="41" t="str"/>
      <c r="R6023" s="41" t="str"/>
      <c r="S6023" s="41" t="str"/>
      <c r="T6023" s="41" t="str"/>
      <c r="U6023" s="41" t="str"/>
      <c r="V6023" s="41" t="str"/>
      <c r="W6023" s="41" t="str"/>
    </row>
    <row r="6024">
      <c r="B6024" s="2" t="n"/>
      <c r="C6024" s="40" t="n"/>
      <c r="D6024" s="52">
        <f t="array" ref="D6024:W6024">IF(All_Students_Scores!C6022:V6022="","",All_Students_Scores!C6022:V6022)</f>
        <v/>
      </c>
      <c r="E6024" s="57" t="str"/>
      <c r="F6024" s="49" t="str"/>
      <c r="G6024" s="59" t="str"/>
      <c r="H6024" s="64" t="str"/>
      <c r="I6024" s="65" t="str"/>
      <c r="J6024" s="49" t="str"/>
      <c r="K6024" s="41" t="str"/>
      <c r="L6024" s="41" t="str"/>
      <c r="M6024" s="41" t="str"/>
      <c r="N6024" s="41" t="str"/>
      <c r="O6024" s="41" t="str"/>
      <c r="P6024" s="41" t="str"/>
      <c r="Q6024" s="41" t="str"/>
      <c r="R6024" s="41" t="str"/>
      <c r="S6024" s="41" t="str"/>
      <c r="T6024" s="41" t="str"/>
      <c r="U6024" s="41" t="str"/>
      <c r="V6024" s="41" t="str"/>
      <c r="W6024" s="41" t="str"/>
    </row>
    <row r="6025">
      <c r="B6025" s="2" t="n"/>
      <c r="C6025" s="40" t="n"/>
      <c r="D6025" s="52">
        <f t="array" ref="D6025:W6025">IF(All_Students_Scores!C6023:V6023="","",All_Students_Scores!C6023:V6023)</f>
        <v/>
      </c>
      <c r="E6025" s="57" t="str"/>
      <c r="F6025" s="49" t="str"/>
      <c r="G6025" s="59" t="str"/>
      <c r="H6025" s="64" t="str"/>
      <c r="I6025" s="65" t="str"/>
      <c r="J6025" s="49" t="str"/>
      <c r="K6025" s="41" t="str"/>
      <c r="L6025" s="41" t="str"/>
      <c r="M6025" s="41" t="str"/>
      <c r="N6025" s="41" t="str"/>
      <c r="O6025" s="41" t="str"/>
      <c r="P6025" s="41" t="str"/>
      <c r="Q6025" s="41" t="str"/>
      <c r="R6025" s="41" t="str"/>
      <c r="S6025" s="41" t="str"/>
      <c r="T6025" s="41" t="str"/>
      <c r="U6025" s="41" t="str"/>
      <c r="V6025" s="41" t="str"/>
      <c r="W6025" s="41" t="str"/>
    </row>
    <row r="6026">
      <c r="B6026" s="2" t="n"/>
      <c r="C6026" s="40" t="n"/>
      <c r="D6026" s="52">
        <f t="array" ref="D6026:W6026">IF(All_Students_Scores!C6024:V6024="","",All_Students_Scores!C6024:V6024)</f>
        <v/>
      </c>
      <c r="E6026" s="57" t="str"/>
      <c r="F6026" s="49" t="str"/>
      <c r="G6026" s="59" t="str"/>
      <c r="H6026" s="64" t="str"/>
      <c r="I6026" s="65" t="str"/>
      <c r="J6026" s="49" t="str"/>
      <c r="K6026" s="41" t="str"/>
      <c r="L6026" s="41" t="str"/>
      <c r="M6026" s="41" t="str"/>
      <c r="N6026" s="41" t="str"/>
      <c r="O6026" s="41" t="str"/>
      <c r="P6026" s="41" t="str"/>
      <c r="Q6026" s="41" t="str"/>
      <c r="R6026" s="41" t="str"/>
      <c r="S6026" s="41" t="str"/>
      <c r="T6026" s="41" t="str"/>
      <c r="U6026" s="41" t="str"/>
      <c r="V6026" s="41" t="str"/>
      <c r="W6026" s="41" t="str"/>
    </row>
    <row r="6027">
      <c r="B6027" s="2" t="n"/>
      <c r="C6027" s="40" t="n"/>
      <c r="D6027" s="52">
        <f t="array" ref="D6027:W6027">IF(All_Students_Scores!C6025:V6025="","",All_Students_Scores!C6025:V6025)</f>
        <v/>
      </c>
      <c r="E6027" s="57" t="str"/>
      <c r="F6027" s="49" t="str"/>
      <c r="G6027" s="59" t="str"/>
      <c r="H6027" s="64" t="str"/>
      <c r="I6027" s="65" t="str"/>
      <c r="J6027" s="49" t="str"/>
      <c r="K6027" s="41" t="str"/>
      <c r="L6027" s="41" t="str"/>
      <c r="M6027" s="41" t="str"/>
      <c r="N6027" s="41" t="str"/>
      <c r="O6027" s="41" t="str"/>
      <c r="P6027" s="41" t="str"/>
      <c r="Q6027" s="41" t="str"/>
      <c r="R6027" s="41" t="str"/>
      <c r="S6027" s="41" t="str"/>
      <c r="T6027" s="41" t="str"/>
      <c r="U6027" s="41" t="str"/>
      <c r="V6027" s="41" t="str"/>
      <c r="W6027" s="41" t="str"/>
    </row>
    <row r="6028">
      <c r="B6028" s="2" t="n"/>
      <c r="C6028" s="40" t="n"/>
      <c r="D6028" s="52">
        <f t="array" ref="D6028:W6028">IF(All_Students_Scores!C6026:V6026="","",All_Students_Scores!C6026:V6026)</f>
        <v/>
      </c>
      <c r="E6028" s="57" t="str"/>
      <c r="F6028" s="49" t="str"/>
      <c r="G6028" s="59" t="str"/>
      <c r="H6028" s="64" t="str"/>
      <c r="I6028" s="65" t="str"/>
      <c r="J6028" s="49" t="str"/>
      <c r="K6028" s="41" t="str"/>
      <c r="L6028" s="41" t="str"/>
      <c r="M6028" s="41" t="str"/>
      <c r="N6028" s="41" t="str"/>
      <c r="O6028" s="41" t="str"/>
      <c r="P6028" s="41" t="str"/>
      <c r="Q6028" s="41" t="str"/>
      <c r="R6028" s="41" t="str"/>
      <c r="S6028" s="41" t="str"/>
      <c r="T6028" s="41" t="str"/>
      <c r="U6028" s="41" t="str"/>
      <c r="V6028" s="41" t="str"/>
      <c r="W6028" s="41" t="str"/>
    </row>
    <row r="6029">
      <c r="B6029" s="2" t="n"/>
      <c r="C6029" s="40" t="n"/>
      <c r="D6029" s="52">
        <f t="array" ref="D6029:W6029">IF(All_Students_Scores!C6027:V6027="","",All_Students_Scores!C6027:V6027)</f>
        <v/>
      </c>
      <c r="E6029" s="57" t="str"/>
      <c r="F6029" s="49" t="str"/>
      <c r="G6029" s="59" t="str"/>
      <c r="H6029" s="64" t="str"/>
      <c r="I6029" s="65" t="str"/>
      <c r="J6029" s="49" t="str"/>
      <c r="K6029" s="41" t="str"/>
      <c r="L6029" s="41" t="str"/>
      <c r="M6029" s="41" t="str"/>
      <c r="N6029" s="41" t="str"/>
      <c r="O6029" s="41" t="str"/>
      <c r="P6029" s="41" t="str"/>
      <c r="Q6029" s="41" t="str"/>
      <c r="R6029" s="41" t="str"/>
      <c r="S6029" s="41" t="str"/>
      <c r="T6029" s="41" t="str"/>
      <c r="U6029" s="41" t="str"/>
      <c r="V6029" s="41" t="str"/>
      <c r="W6029" s="41" t="str"/>
    </row>
    <row r="6030">
      <c r="B6030" s="2" t="n"/>
      <c r="C6030" s="40" t="n"/>
      <c r="D6030" s="52">
        <f t="array" ref="D6030:W6030">IF(All_Students_Scores!C6028:V6028="","",All_Students_Scores!C6028:V6028)</f>
        <v/>
      </c>
      <c r="E6030" s="57" t="str"/>
      <c r="F6030" s="49" t="str"/>
      <c r="G6030" s="59" t="str"/>
      <c r="H6030" s="64" t="str"/>
      <c r="I6030" s="65" t="str"/>
      <c r="J6030" s="49" t="str"/>
      <c r="K6030" s="41" t="str"/>
      <c r="L6030" s="41" t="str"/>
      <c r="M6030" s="41" t="str"/>
      <c r="N6030" s="41" t="str"/>
      <c r="O6030" s="41" t="str"/>
      <c r="P6030" s="41" t="str"/>
      <c r="Q6030" s="41" t="str"/>
      <c r="R6030" s="41" t="str"/>
      <c r="S6030" s="41" t="str"/>
      <c r="T6030" s="41" t="str"/>
      <c r="U6030" s="41" t="str"/>
      <c r="V6030" s="41" t="str"/>
      <c r="W6030" s="41" t="str"/>
    </row>
    <row r="6031">
      <c r="B6031" s="2" t="n"/>
      <c r="C6031" s="40" t="n"/>
      <c r="D6031" s="52">
        <f t="array" ref="D6031:W6031">IF(All_Students_Scores!C6029:V6029="","",All_Students_Scores!C6029:V6029)</f>
        <v/>
      </c>
      <c r="E6031" s="57" t="str"/>
      <c r="F6031" s="49" t="str"/>
      <c r="G6031" s="59" t="str"/>
      <c r="H6031" s="64" t="str"/>
      <c r="I6031" s="65" t="str"/>
      <c r="J6031" s="49" t="str"/>
      <c r="K6031" s="41" t="str"/>
      <c r="L6031" s="41" t="str"/>
      <c r="M6031" s="41" t="str"/>
      <c r="N6031" s="41" t="str"/>
      <c r="O6031" s="41" t="str"/>
      <c r="P6031" s="41" t="str"/>
      <c r="Q6031" s="41" t="str"/>
      <c r="R6031" s="41" t="str"/>
      <c r="S6031" s="41" t="str"/>
      <c r="T6031" s="41" t="str"/>
      <c r="U6031" s="41" t="str"/>
      <c r="V6031" s="41" t="str"/>
      <c r="W6031" s="41" t="str"/>
    </row>
    <row r="6032">
      <c r="B6032" s="2" t="n"/>
      <c r="C6032" s="40" t="n"/>
      <c r="D6032" s="52">
        <f t="array" ref="D6032:W6032">IF(All_Students_Scores!C6030:V6030="","",All_Students_Scores!C6030:V6030)</f>
        <v/>
      </c>
      <c r="E6032" s="57" t="str"/>
      <c r="F6032" s="49" t="str"/>
      <c r="G6032" s="59" t="str"/>
      <c r="H6032" s="64" t="str"/>
      <c r="I6032" s="65" t="str"/>
      <c r="J6032" s="49" t="str"/>
      <c r="K6032" s="41" t="str"/>
      <c r="L6032" s="41" t="str"/>
      <c r="M6032" s="41" t="str"/>
      <c r="N6032" s="41" t="str"/>
      <c r="O6032" s="41" t="str"/>
      <c r="P6032" s="41" t="str"/>
      <c r="Q6032" s="41" t="str"/>
      <c r="R6032" s="41" t="str"/>
      <c r="S6032" s="41" t="str"/>
      <c r="T6032" s="41" t="str"/>
      <c r="U6032" s="41" t="str"/>
      <c r="V6032" s="41" t="str"/>
      <c r="W6032" s="41" t="str"/>
    </row>
    <row r="6033">
      <c r="B6033" s="2" t="n"/>
      <c r="C6033" s="40" t="n"/>
      <c r="D6033" s="52">
        <f t="array" ref="D6033:W6033">IF(All_Students_Scores!C6031:V6031="","",All_Students_Scores!C6031:V6031)</f>
        <v/>
      </c>
      <c r="E6033" s="57" t="str"/>
      <c r="F6033" s="49" t="str"/>
      <c r="G6033" s="59" t="str"/>
      <c r="H6033" s="64" t="str"/>
      <c r="I6033" s="65" t="str"/>
      <c r="J6033" s="49" t="str"/>
      <c r="K6033" s="41" t="str"/>
      <c r="L6033" s="41" t="str"/>
      <c r="M6033" s="41" t="str"/>
      <c r="N6033" s="41" t="str"/>
      <c r="O6033" s="41" t="str"/>
      <c r="P6033" s="41" t="str"/>
      <c r="Q6033" s="41" t="str"/>
      <c r="R6033" s="41" t="str"/>
      <c r="S6033" s="41" t="str"/>
      <c r="T6033" s="41" t="str"/>
      <c r="U6033" s="41" t="str"/>
      <c r="V6033" s="41" t="str"/>
      <c r="W6033" s="41" t="str"/>
    </row>
    <row r="6034">
      <c r="B6034" s="2" t="n"/>
      <c r="C6034" s="40" t="n"/>
      <c r="D6034" s="52">
        <f t="array" ref="D6034:W6034">IF(All_Students_Scores!C6032:V6032="","",All_Students_Scores!C6032:V6032)</f>
        <v/>
      </c>
      <c r="E6034" s="57" t="str"/>
      <c r="F6034" s="49" t="str"/>
      <c r="G6034" s="59" t="str"/>
      <c r="H6034" s="64" t="str"/>
      <c r="I6034" s="65" t="str"/>
      <c r="J6034" s="49" t="str"/>
      <c r="K6034" s="41" t="str"/>
      <c r="L6034" s="41" t="str"/>
      <c r="M6034" s="41" t="str"/>
      <c r="N6034" s="41" t="str"/>
      <c r="O6034" s="41" t="str"/>
      <c r="P6034" s="41" t="str"/>
      <c r="Q6034" s="41" t="str"/>
      <c r="R6034" s="41" t="str"/>
      <c r="S6034" s="41" t="str"/>
      <c r="T6034" s="41" t="str"/>
      <c r="U6034" s="41" t="str"/>
      <c r="V6034" s="41" t="str"/>
      <c r="W6034" s="41" t="str"/>
    </row>
    <row r="6035">
      <c r="B6035" s="2" t="n"/>
      <c r="C6035" s="40" t="n"/>
      <c r="D6035" s="52">
        <f t="array" ref="D6035:W6035">IF(All_Students_Scores!C6033:V6033="","",All_Students_Scores!C6033:V6033)</f>
        <v/>
      </c>
      <c r="E6035" s="57" t="str"/>
      <c r="F6035" s="49" t="str"/>
      <c r="G6035" s="59" t="str"/>
      <c r="H6035" s="64" t="str"/>
      <c r="I6035" s="65" t="str"/>
      <c r="J6035" s="49" t="str"/>
      <c r="K6035" s="41" t="str"/>
      <c r="L6035" s="41" t="str"/>
      <c r="M6035" s="41" t="str"/>
      <c r="N6035" s="41" t="str"/>
      <c r="O6035" s="41" t="str"/>
      <c r="P6035" s="41" t="str"/>
      <c r="Q6035" s="41" t="str"/>
      <c r="R6035" s="41" t="str"/>
      <c r="S6035" s="41" t="str"/>
      <c r="T6035" s="41" t="str"/>
      <c r="U6035" s="41" t="str"/>
      <c r="V6035" s="41" t="str"/>
      <c r="W6035" s="41" t="str"/>
    </row>
    <row r="6036">
      <c r="B6036" s="2" t="n"/>
      <c r="C6036" s="40" t="n"/>
      <c r="D6036" s="52">
        <f t="array" ref="D6036:W6036">IF(All_Students_Scores!C6034:V6034="","",All_Students_Scores!C6034:V6034)</f>
        <v/>
      </c>
      <c r="E6036" s="57" t="str"/>
      <c r="F6036" s="49" t="str"/>
      <c r="G6036" s="59" t="str"/>
      <c r="H6036" s="64" t="str"/>
      <c r="I6036" s="65" t="str"/>
      <c r="J6036" s="49" t="str"/>
      <c r="K6036" s="41" t="str"/>
      <c r="L6036" s="41" t="str"/>
      <c r="M6036" s="41" t="str"/>
      <c r="N6036" s="41" t="str"/>
      <c r="O6036" s="41" t="str"/>
      <c r="P6036" s="41" t="str"/>
      <c r="Q6036" s="41" t="str"/>
      <c r="R6036" s="41" t="str"/>
      <c r="S6036" s="41" t="str"/>
      <c r="T6036" s="41" t="str"/>
      <c r="U6036" s="41" t="str"/>
      <c r="V6036" s="41" t="str"/>
      <c r="W6036" s="41" t="str"/>
    </row>
    <row r="6037">
      <c r="B6037" s="2" t="n"/>
      <c r="C6037" s="40" t="n"/>
      <c r="D6037" s="52">
        <f t="array" ref="D6037:W6037">IF(All_Students_Scores!C6035:V6035="","",All_Students_Scores!C6035:V6035)</f>
        <v/>
      </c>
      <c r="E6037" s="57" t="str"/>
      <c r="F6037" s="49" t="str"/>
      <c r="G6037" s="59" t="str"/>
      <c r="H6037" s="64" t="str"/>
      <c r="I6037" s="65" t="str"/>
      <c r="J6037" s="49" t="str"/>
      <c r="K6037" s="41" t="str"/>
      <c r="L6037" s="41" t="str"/>
      <c r="M6037" s="41" t="str"/>
      <c r="N6037" s="41" t="str"/>
      <c r="O6037" s="41" t="str"/>
      <c r="P6037" s="41" t="str"/>
      <c r="Q6037" s="41" t="str"/>
      <c r="R6037" s="41" t="str"/>
      <c r="S6037" s="41" t="str"/>
      <c r="T6037" s="41" t="str"/>
      <c r="U6037" s="41" t="str"/>
      <c r="V6037" s="41" t="str"/>
      <c r="W6037" s="41" t="str"/>
    </row>
    <row r="6038">
      <c r="B6038" s="2" t="n"/>
      <c r="C6038" s="40" t="n"/>
      <c r="D6038" s="52">
        <f t="array" ref="D6038:W6038">IF(All_Students_Scores!C6036:V6036="","",All_Students_Scores!C6036:V6036)</f>
        <v/>
      </c>
      <c r="E6038" s="57" t="str"/>
      <c r="F6038" s="49" t="str"/>
      <c r="G6038" s="59" t="str"/>
      <c r="H6038" s="64" t="str"/>
      <c r="I6038" s="65" t="str"/>
      <c r="J6038" s="49" t="str"/>
      <c r="K6038" s="41" t="str"/>
      <c r="L6038" s="41" t="str"/>
      <c r="M6038" s="41" t="str"/>
      <c r="N6038" s="41" t="str"/>
      <c r="O6038" s="41" t="str"/>
      <c r="P6038" s="41" t="str"/>
      <c r="Q6038" s="41" t="str"/>
      <c r="R6038" s="41" t="str"/>
      <c r="S6038" s="41" t="str"/>
      <c r="T6038" s="41" t="str"/>
      <c r="U6038" s="41" t="str"/>
      <c r="V6038" s="41" t="str"/>
      <c r="W6038" s="41" t="str"/>
    </row>
    <row r="6039">
      <c r="B6039" s="2" t="n"/>
      <c r="C6039" s="40" t="n"/>
      <c r="D6039" s="52">
        <f t="array" ref="D6039:W6039">IF(All_Students_Scores!C6037:V6037="","",All_Students_Scores!C6037:V6037)</f>
        <v/>
      </c>
      <c r="E6039" s="57" t="str"/>
      <c r="F6039" s="49" t="str"/>
      <c r="G6039" s="59" t="str"/>
      <c r="H6039" s="64" t="str"/>
      <c r="I6039" s="65" t="str"/>
      <c r="J6039" s="49" t="str"/>
      <c r="K6039" s="41" t="str"/>
      <c r="L6039" s="41" t="str"/>
      <c r="M6039" s="41" t="str"/>
      <c r="N6039" s="41" t="str"/>
      <c r="O6039" s="41" t="str"/>
      <c r="P6039" s="41" t="str"/>
      <c r="Q6039" s="41" t="str"/>
      <c r="R6039" s="41" t="str"/>
      <c r="S6039" s="41" t="str"/>
      <c r="T6039" s="41" t="str"/>
      <c r="U6039" s="41" t="str"/>
      <c r="V6039" s="41" t="str"/>
      <c r="W6039" s="41" t="str"/>
    </row>
    <row r="6040">
      <c r="B6040" s="2" t="n"/>
      <c r="C6040" s="40" t="n"/>
      <c r="D6040" s="52">
        <f t="array" ref="D6040:W6040">IF(All_Students_Scores!C6038:V6038="","",All_Students_Scores!C6038:V6038)</f>
        <v/>
      </c>
      <c r="E6040" s="57" t="str"/>
      <c r="F6040" s="49" t="str"/>
      <c r="G6040" s="59" t="str"/>
      <c r="H6040" s="64" t="str"/>
      <c r="I6040" s="65" t="str"/>
      <c r="J6040" s="49" t="str"/>
      <c r="K6040" s="41" t="str"/>
      <c r="L6040" s="41" t="str"/>
      <c r="M6040" s="41" t="str"/>
      <c r="N6040" s="41" t="str"/>
      <c r="O6040" s="41" t="str"/>
      <c r="P6040" s="41" t="str"/>
      <c r="Q6040" s="41" t="str"/>
      <c r="R6040" s="41" t="str"/>
      <c r="S6040" s="41" t="str"/>
      <c r="T6040" s="41" t="str"/>
      <c r="U6040" s="41" t="str"/>
      <c r="V6040" s="41" t="str"/>
      <c r="W6040" s="41" t="str"/>
    </row>
    <row r="6041">
      <c r="B6041" s="2" t="n"/>
      <c r="C6041" s="40" t="n"/>
      <c r="D6041" s="52">
        <f t="array" ref="D6041:W6041">IF(All_Students_Scores!C6039:V6039="","",All_Students_Scores!C6039:V6039)</f>
        <v/>
      </c>
      <c r="E6041" s="57" t="str"/>
      <c r="F6041" s="49" t="str"/>
      <c r="G6041" s="59" t="str"/>
      <c r="H6041" s="64" t="str"/>
      <c r="I6041" s="65" t="str"/>
      <c r="J6041" s="49" t="str"/>
      <c r="K6041" s="41" t="str"/>
      <c r="L6041" s="41" t="str"/>
      <c r="M6041" s="41" t="str"/>
      <c r="N6041" s="41" t="str"/>
      <c r="O6041" s="41" t="str"/>
      <c r="P6041" s="41" t="str"/>
      <c r="Q6041" s="41" t="str"/>
      <c r="R6041" s="41" t="str"/>
      <c r="S6041" s="41" t="str"/>
      <c r="T6041" s="41" t="str"/>
      <c r="U6041" s="41" t="str"/>
      <c r="V6041" s="41" t="str"/>
      <c r="W6041" s="41" t="str"/>
    </row>
    <row r="6042">
      <c r="B6042" s="2" t="n"/>
      <c r="C6042" s="40" t="n"/>
      <c r="D6042" s="52">
        <f t="array" ref="D6042:W6042">IF(All_Students_Scores!C6040:V6040="","",All_Students_Scores!C6040:V6040)</f>
        <v/>
      </c>
      <c r="E6042" s="57" t="str"/>
      <c r="F6042" s="49" t="str"/>
      <c r="G6042" s="59" t="str"/>
      <c r="H6042" s="64" t="str"/>
      <c r="I6042" s="65" t="str"/>
      <c r="J6042" s="49" t="str"/>
      <c r="K6042" s="41" t="str"/>
      <c r="L6042" s="41" t="str"/>
      <c r="M6042" s="41" t="str"/>
      <c r="N6042" s="41" t="str"/>
      <c r="O6042" s="41" t="str"/>
      <c r="P6042" s="41" t="str"/>
      <c r="Q6042" s="41" t="str"/>
      <c r="R6042" s="41" t="str"/>
      <c r="S6042" s="41" t="str"/>
      <c r="T6042" s="41" t="str"/>
      <c r="U6042" s="41" t="str"/>
      <c r="V6042" s="41" t="str"/>
      <c r="W6042" s="41" t="str"/>
    </row>
    <row r="6043">
      <c r="B6043" s="2" t="n"/>
      <c r="C6043" s="40" t="n"/>
      <c r="D6043" s="52">
        <f t="array" ref="D6043:W6043">IF(All_Students_Scores!C6041:V6041="","",All_Students_Scores!C6041:V6041)</f>
        <v/>
      </c>
      <c r="E6043" s="57" t="str"/>
      <c r="F6043" s="49" t="str"/>
      <c r="G6043" s="59" t="str"/>
      <c r="H6043" s="64" t="str"/>
      <c r="I6043" s="65" t="str"/>
      <c r="J6043" s="49" t="str"/>
      <c r="K6043" s="41" t="str"/>
      <c r="L6043" s="41" t="str"/>
      <c r="M6043" s="41" t="str"/>
      <c r="N6043" s="41" t="str"/>
      <c r="O6043" s="41" t="str"/>
      <c r="P6043" s="41" t="str"/>
      <c r="Q6043" s="41" t="str"/>
      <c r="R6043" s="41" t="str"/>
      <c r="S6043" s="41" t="str"/>
      <c r="T6043" s="41" t="str"/>
      <c r="U6043" s="41" t="str"/>
      <c r="V6043" s="41" t="str"/>
      <c r="W6043" s="41" t="str"/>
    </row>
    <row r="6044">
      <c r="B6044" s="2" t="n"/>
      <c r="C6044" s="40" t="n"/>
      <c r="D6044" s="52">
        <f t="array" ref="D6044:W6044">IF(All_Students_Scores!C6042:V6042="","",All_Students_Scores!C6042:V6042)</f>
        <v/>
      </c>
      <c r="E6044" s="57" t="str"/>
      <c r="F6044" s="49" t="str"/>
      <c r="G6044" s="59" t="str"/>
      <c r="H6044" s="64" t="str"/>
      <c r="I6044" s="65" t="str"/>
      <c r="J6044" s="49" t="str"/>
      <c r="K6044" s="41" t="str"/>
      <c r="L6044" s="41" t="str"/>
      <c r="M6044" s="41" t="str"/>
      <c r="N6044" s="41" t="str"/>
      <c r="O6044" s="41" t="str"/>
      <c r="P6044" s="41" t="str"/>
      <c r="Q6044" s="41" t="str"/>
      <c r="R6044" s="41" t="str"/>
      <c r="S6044" s="41" t="str"/>
      <c r="T6044" s="41" t="str"/>
      <c r="U6044" s="41" t="str"/>
      <c r="V6044" s="41" t="str"/>
      <c r="W6044" s="41" t="str"/>
    </row>
    <row r="6045">
      <c r="B6045" s="2" t="n"/>
      <c r="C6045" s="40" t="n"/>
      <c r="D6045" s="52">
        <f t="array" ref="D6045:W6045">IF(All_Students_Scores!C6043:V6043="","",All_Students_Scores!C6043:V6043)</f>
        <v/>
      </c>
      <c r="E6045" s="57" t="str"/>
      <c r="F6045" s="49" t="str"/>
      <c r="G6045" s="59" t="str"/>
      <c r="H6045" s="64" t="str"/>
      <c r="I6045" s="65" t="str"/>
      <c r="J6045" s="49" t="str"/>
      <c r="K6045" s="41" t="str"/>
      <c r="L6045" s="41" t="str"/>
      <c r="M6045" s="41" t="str"/>
      <c r="N6045" s="41" t="str"/>
      <c r="O6045" s="41" t="str"/>
      <c r="P6045" s="41" t="str"/>
      <c r="Q6045" s="41" t="str"/>
      <c r="R6045" s="41" t="str"/>
      <c r="S6045" s="41" t="str"/>
      <c r="T6045" s="41" t="str"/>
      <c r="U6045" s="41" t="str"/>
      <c r="V6045" s="41" t="str"/>
      <c r="W6045" s="41" t="str"/>
    </row>
    <row r="6046">
      <c r="B6046" s="2" t="n"/>
      <c r="C6046" s="40" t="n"/>
      <c r="D6046" s="52">
        <f t="array" ref="D6046:W6046">IF(All_Students_Scores!C6044:V6044="","",All_Students_Scores!C6044:V6044)</f>
        <v/>
      </c>
      <c r="E6046" s="57" t="str"/>
      <c r="F6046" s="49" t="str"/>
      <c r="G6046" s="59" t="str"/>
      <c r="H6046" s="64" t="str"/>
      <c r="I6046" s="65" t="str"/>
      <c r="J6046" s="49" t="str"/>
      <c r="K6046" s="41" t="str"/>
      <c r="L6046" s="41" t="str"/>
      <c r="M6046" s="41" t="str"/>
      <c r="N6046" s="41" t="str"/>
      <c r="O6046" s="41" t="str"/>
      <c r="P6046" s="41" t="str"/>
      <c r="Q6046" s="41" t="str"/>
      <c r="R6046" s="41" t="str"/>
      <c r="S6046" s="41" t="str"/>
      <c r="T6046" s="41" t="str"/>
      <c r="U6046" s="41" t="str"/>
      <c r="V6046" s="41" t="str"/>
      <c r="W6046" s="41" t="str"/>
    </row>
    <row r="6047">
      <c r="B6047" s="2" t="n"/>
      <c r="C6047" s="40" t="n"/>
      <c r="D6047" s="52">
        <f t="array" ref="D6047:W6047">IF(All_Students_Scores!C6045:V6045="","",All_Students_Scores!C6045:V6045)</f>
        <v/>
      </c>
      <c r="E6047" s="57" t="str"/>
      <c r="F6047" s="49" t="str"/>
      <c r="G6047" s="59" t="str"/>
      <c r="H6047" s="64" t="str"/>
      <c r="I6047" s="65" t="str"/>
      <c r="J6047" s="49" t="str"/>
      <c r="K6047" s="41" t="str"/>
      <c r="L6047" s="41" t="str"/>
      <c r="M6047" s="41" t="str"/>
      <c r="N6047" s="41" t="str"/>
      <c r="O6047" s="41" t="str"/>
      <c r="P6047" s="41" t="str"/>
      <c r="Q6047" s="41" t="str"/>
      <c r="R6047" s="41" t="str"/>
      <c r="S6047" s="41" t="str"/>
      <c r="T6047" s="41" t="str"/>
      <c r="U6047" s="41" t="str"/>
      <c r="V6047" s="41" t="str"/>
      <c r="W6047" s="41" t="str"/>
    </row>
    <row r="6048">
      <c r="B6048" s="2" t="n"/>
      <c r="C6048" s="40" t="n"/>
      <c r="D6048" s="52">
        <f t="array" ref="D6048:W6048">IF(All_Students_Scores!C6046:V6046="","",All_Students_Scores!C6046:V6046)</f>
        <v/>
      </c>
      <c r="E6048" s="57" t="str"/>
      <c r="F6048" s="49" t="str"/>
      <c r="G6048" s="59" t="str"/>
      <c r="H6048" s="64" t="str"/>
      <c r="I6048" s="65" t="str"/>
      <c r="J6048" s="49" t="str"/>
      <c r="K6048" s="41" t="str"/>
      <c r="L6048" s="41" t="str"/>
      <c r="M6048" s="41" t="str"/>
      <c r="N6048" s="41" t="str"/>
      <c r="O6048" s="41" t="str"/>
      <c r="P6048" s="41" t="str"/>
      <c r="Q6048" s="41" t="str"/>
      <c r="R6048" s="41" t="str"/>
      <c r="S6048" s="41" t="str"/>
      <c r="T6048" s="41" t="str"/>
      <c r="U6048" s="41" t="str"/>
      <c r="V6048" s="41" t="str"/>
      <c r="W6048" s="41" t="str"/>
    </row>
    <row r="6049">
      <c r="B6049" s="2" t="n"/>
      <c r="C6049" s="40" t="n"/>
      <c r="D6049" s="52">
        <f t="array" ref="D6049:W6049">IF(All_Students_Scores!C6047:V6047="","",All_Students_Scores!C6047:V6047)</f>
        <v/>
      </c>
      <c r="E6049" s="57" t="str"/>
      <c r="F6049" s="49" t="str"/>
      <c r="G6049" s="59" t="str"/>
      <c r="H6049" s="64" t="str"/>
      <c r="I6049" s="65" t="str"/>
      <c r="J6049" s="49" t="str"/>
      <c r="K6049" s="41" t="str"/>
      <c r="L6049" s="41" t="str"/>
      <c r="M6049" s="41" t="str"/>
      <c r="N6049" s="41" t="str"/>
      <c r="O6049" s="41" t="str"/>
      <c r="P6049" s="41" t="str"/>
      <c r="Q6049" s="41" t="str"/>
      <c r="R6049" s="41" t="str"/>
      <c r="S6049" s="41" t="str"/>
      <c r="T6049" s="41" t="str"/>
      <c r="U6049" s="41" t="str"/>
      <c r="V6049" s="41" t="str"/>
      <c r="W6049" s="41" t="str"/>
    </row>
    <row r="6050">
      <c r="B6050" s="2" t="n"/>
      <c r="C6050" s="40" t="n"/>
      <c r="D6050" s="52">
        <f t="array" ref="D6050:W6050">IF(All_Students_Scores!C6048:V6048="","",All_Students_Scores!C6048:V6048)</f>
        <v/>
      </c>
      <c r="E6050" s="57" t="str"/>
      <c r="F6050" s="49" t="str"/>
      <c r="G6050" s="59" t="str"/>
      <c r="H6050" s="64" t="str"/>
      <c r="I6050" s="65" t="str"/>
      <c r="J6050" s="49" t="str"/>
      <c r="K6050" s="41" t="str"/>
      <c r="L6050" s="41" t="str"/>
      <c r="M6050" s="41" t="str"/>
      <c r="N6050" s="41" t="str"/>
      <c r="O6050" s="41" t="str"/>
      <c r="P6050" s="41" t="str"/>
      <c r="Q6050" s="41" t="str"/>
      <c r="R6050" s="41" t="str"/>
      <c r="S6050" s="41" t="str"/>
      <c r="T6050" s="41" t="str"/>
      <c r="U6050" s="41" t="str"/>
      <c r="V6050" s="41" t="str"/>
      <c r="W6050" s="41" t="str"/>
    </row>
    <row r="6051">
      <c r="B6051" s="2" t="n"/>
      <c r="C6051" s="40" t="n"/>
      <c r="D6051" s="52">
        <f t="array" ref="D6051:W6051">IF(All_Students_Scores!C6049:V6049="","",All_Students_Scores!C6049:V6049)</f>
        <v/>
      </c>
      <c r="E6051" s="57" t="str"/>
      <c r="F6051" s="49" t="str"/>
      <c r="G6051" s="59" t="str"/>
      <c r="H6051" s="64" t="str"/>
      <c r="I6051" s="65" t="str"/>
      <c r="J6051" s="49" t="str"/>
      <c r="K6051" s="41" t="str"/>
      <c r="L6051" s="41" t="str"/>
      <c r="M6051" s="41" t="str"/>
      <c r="N6051" s="41" t="str"/>
      <c r="O6051" s="41" t="str"/>
      <c r="P6051" s="41" t="str"/>
      <c r="Q6051" s="41" t="str"/>
      <c r="R6051" s="41" t="str"/>
      <c r="S6051" s="41" t="str"/>
      <c r="T6051" s="41" t="str"/>
      <c r="U6051" s="41" t="str"/>
      <c r="V6051" s="41" t="str"/>
      <c r="W6051" s="41" t="str"/>
    </row>
    <row r="6052">
      <c r="B6052" s="2" t="n"/>
      <c r="C6052" s="40" t="n"/>
      <c r="D6052" s="52">
        <f t="array" ref="D6052:W6052">IF(All_Students_Scores!C6050:V6050="","",All_Students_Scores!C6050:V6050)</f>
        <v/>
      </c>
      <c r="E6052" s="57" t="str"/>
      <c r="F6052" s="49" t="str"/>
      <c r="G6052" s="59" t="str"/>
      <c r="H6052" s="64" t="str"/>
      <c r="I6052" s="65" t="str"/>
      <c r="J6052" s="49" t="str"/>
      <c r="K6052" s="41" t="str"/>
      <c r="L6052" s="41" t="str"/>
      <c r="M6052" s="41" t="str"/>
      <c r="N6052" s="41" t="str"/>
      <c r="O6052" s="41" t="str"/>
      <c r="P6052" s="41" t="str"/>
      <c r="Q6052" s="41" t="str"/>
      <c r="R6052" s="41" t="str"/>
      <c r="S6052" s="41" t="str"/>
      <c r="T6052" s="41" t="str"/>
      <c r="U6052" s="41" t="str"/>
      <c r="V6052" s="41" t="str"/>
      <c r="W6052" s="41" t="str"/>
    </row>
    <row r="6053">
      <c r="B6053" s="2" t="n"/>
      <c r="C6053" s="40" t="n"/>
      <c r="D6053" s="52">
        <f t="array" ref="D6053:W6053">IF(All_Students_Scores!C6051:V6051="","",All_Students_Scores!C6051:V6051)</f>
        <v/>
      </c>
      <c r="E6053" s="57" t="str"/>
      <c r="F6053" s="49" t="str"/>
      <c r="G6053" s="59" t="str"/>
      <c r="H6053" s="64" t="str"/>
      <c r="I6053" s="65" t="str"/>
      <c r="J6053" s="49" t="str"/>
      <c r="K6053" s="41" t="str"/>
      <c r="L6053" s="41" t="str"/>
      <c r="M6053" s="41" t="str"/>
      <c r="N6053" s="41" t="str"/>
      <c r="O6053" s="41" t="str"/>
      <c r="P6053" s="41" t="str"/>
      <c r="Q6053" s="41" t="str"/>
      <c r="R6053" s="41" t="str"/>
      <c r="S6053" s="41" t="str"/>
      <c r="T6053" s="41" t="str"/>
      <c r="U6053" s="41" t="str"/>
      <c r="V6053" s="41" t="str"/>
      <c r="W6053" s="41" t="str"/>
    </row>
    <row r="6054">
      <c r="B6054" s="2" t="n"/>
      <c r="C6054" s="40" t="n"/>
      <c r="D6054" s="52">
        <f t="array" ref="D6054:W6054">IF(All_Students_Scores!C6052:V6052="","",All_Students_Scores!C6052:V6052)</f>
        <v/>
      </c>
      <c r="E6054" s="57" t="str"/>
      <c r="F6054" s="49" t="str"/>
      <c r="G6054" s="59" t="str"/>
      <c r="H6054" s="64" t="str"/>
      <c r="I6054" s="65" t="str"/>
      <c r="J6054" s="49" t="str"/>
      <c r="K6054" s="41" t="str"/>
      <c r="L6054" s="41" t="str"/>
      <c r="M6054" s="41" t="str"/>
      <c r="N6054" s="41" t="str"/>
      <c r="O6054" s="41" t="str"/>
      <c r="P6054" s="41" t="str"/>
      <c r="Q6054" s="41" t="str"/>
      <c r="R6054" s="41" t="str"/>
      <c r="S6054" s="41" t="str"/>
      <c r="T6054" s="41" t="str"/>
      <c r="U6054" s="41" t="str"/>
      <c r="V6054" s="41" t="str"/>
      <c r="W6054" s="41" t="str"/>
    </row>
    <row r="6055">
      <c r="B6055" s="2" t="n"/>
      <c r="C6055" s="40" t="n"/>
      <c r="D6055" s="52">
        <f t="array" ref="D6055:W6055">IF(All_Students_Scores!C6053:V6053="","",All_Students_Scores!C6053:V6053)</f>
        <v/>
      </c>
      <c r="E6055" s="57" t="str"/>
      <c r="F6055" s="49" t="str"/>
      <c r="G6055" s="59" t="str"/>
      <c r="H6055" s="64" t="str"/>
      <c r="I6055" s="65" t="str"/>
      <c r="J6055" s="49" t="str"/>
      <c r="K6055" s="41" t="str"/>
      <c r="L6055" s="41" t="str"/>
      <c r="M6055" s="41" t="str"/>
      <c r="N6055" s="41" t="str"/>
      <c r="O6055" s="41" t="str"/>
      <c r="P6055" s="41" t="str"/>
      <c r="Q6055" s="41" t="str"/>
      <c r="R6055" s="41" t="str"/>
      <c r="S6055" s="41" t="str"/>
      <c r="T6055" s="41" t="str"/>
      <c r="U6055" s="41" t="str"/>
      <c r="V6055" s="41" t="str"/>
      <c r="W6055" s="41" t="str"/>
    </row>
    <row r="6056">
      <c r="B6056" s="2" t="n"/>
      <c r="C6056" s="40" t="n"/>
      <c r="D6056" s="52">
        <f t="array" ref="D6056:W6056">IF(All_Students_Scores!C6054:V6054="","",All_Students_Scores!C6054:V6054)</f>
        <v/>
      </c>
      <c r="E6056" s="57" t="str"/>
      <c r="F6056" s="49" t="str"/>
      <c r="G6056" s="59" t="str"/>
      <c r="H6056" s="64" t="str"/>
      <c r="I6056" s="65" t="str"/>
      <c r="J6056" s="49" t="str"/>
      <c r="K6056" s="41" t="str"/>
      <c r="L6056" s="41" t="str"/>
      <c r="M6056" s="41" t="str"/>
      <c r="N6056" s="41" t="str"/>
      <c r="O6056" s="41" t="str"/>
      <c r="P6056" s="41" t="str"/>
      <c r="Q6056" s="41" t="str"/>
      <c r="R6056" s="41" t="str"/>
      <c r="S6056" s="41" t="str"/>
      <c r="T6056" s="41" t="str"/>
      <c r="U6056" s="41" t="str"/>
      <c r="V6056" s="41" t="str"/>
      <c r="W6056" s="41" t="str"/>
    </row>
    <row r="6057">
      <c r="B6057" s="2" t="n"/>
      <c r="C6057" s="40" t="n"/>
      <c r="D6057" s="52">
        <f t="array" ref="D6057:W6057">IF(All_Students_Scores!C6055:V6055="","",All_Students_Scores!C6055:V6055)</f>
        <v/>
      </c>
      <c r="E6057" s="57" t="str"/>
      <c r="F6057" s="49" t="str"/>
      <c r="G6057" s="59" t="str"/>
      <c r="H6057" s="64" t="str"/>
      <c r="I6057" s="65" t="str"/>
      <c r="J6057" s="49" t="str"/>
      <c r="K6057" s="41" t="str"/>
      <c r="L6057" s="41" t="str"/>
      <c r="M6057" s="41" t="str"/>
      <c r="N6057" s="41" t="str"/>
      <c r="O6057" s="41" t="str"/>
      <c r="P6057" s="41" t="str"/>
      <c r="Q6057" s="41" t="str"/>
      <c r="R6057" s="41" t="str"/>
      <c r="S6057" s="41" t="str"/>
      <c r="T6057" s="41" t="str"/>
      <c r="U6057" s="41" t="str"/>
      <c r="V6057" s="41" t="str"/>
      <c r="W6057" s="41" t="str"/>
    </row>
    <row r="6058">
      <c r="B6058" s="2" t="n"/>
      <c r="C6058" s="40" t="n"/>
      <c r="D6058" s="52">
        <f t="array" ref="D6058:W6058">IF(All_Students_Scores!C6056:V6056="","",All_Students_Scores!C6056:V6056)</f>
        <v/>
      </c>
      <c r="E6058" s="57" t="str"/>
      <c r="F6058" s="49" t="str"/>
      <c r="G6058" s="59" t="str"/>
      <c r="H6058" s="64" t="str"/>
      <c r="I6058" s="65" t="str"/>
      <c r="J6058" s="49" t="str"/>
      <c r="K6058" s="41" t="str"/>
      <c r="L6058" s="41" t="str"/>
      <c r="M6058" s="41" t="str"/>
      <c r="N6058" s="41" t="str"/>
      <c r="O6058" s="41" t="str"/>
      <c r="P6058" s="41" t="str"/>
      <c r="Q6058" s="41" t="str"/>
      <c r="R6058" s="41" t="str"/>
      <c r="S6058" s="41" t="str"/>
      <c r="T6058" s="41" t="str"/>
      <c r="U6058" s="41" t="str"/>
      <c r="V6058" s="41" t="str"/>
      <c r="W6058" s="41" t="str"/>
    </row>
    <row r="6059">
      <c r="B6059" s="2" t="n"/>
      <c r="C6059" s="40" t="n"/>
      <c r="D6059" s="52">
        <f t="array" ref="D6059:W6059">IF(All_Students_Scores!C6057:V6057="","",All_Students_Scores!C6057:V6057)</f>
        <v/>
      </c>
      <c r="E6059" s="57" t="str"/>
      <c r="F6059" s="49" t="str"/>
      <c r="G6059" s="59" t="str"/>
      <c r="H6059" s="64" t="str"/>
      <c r="I6059" s="65" t="str"/>
      <c r="J6059" s="49" t="str"/>
      <c r="K6059" s="41" t="str"/>
      <c r="L6059" s="41" t="str"/>
      <c r="M6059" s="41" t="str"/>
      <c r="N6059" s="41" t="str"/>
      <c r="O6059" s="41" t="str"/>
      <c r="P6059" s="41" t="str"/>
      <c r="Q6059" s="41" t="str"/>
      <c r="R6059" s="41" t="str"/>
      <c r="S6059" s="41" t="str"/>
      <c r="T6059" s="41" t="str"/>
      <c r="U6059" s="41" t="str"/>
      <c r="V6059" s="41" t="str"/>
      <c r="W6059" s="41" t="str"/>
    </row>
    <row r="6060">
      <c r="B6060" s="2" t="n"/>
      <c r="C6060" s="40" t="n"/>
      <c r="D6060" s="52">
        <f t="array" ref="D6060:W6060">IF(All_Students_Scores!C6058:V6058="","",All_Students_Scores!C6058:V6058)</f>
        <v/>
      </c>
      <c r="E6060" s="57" t="str"/>
      <c r="F6060" s="49" t="str"/>
      <c r="G6060" s="59" t="str"/>
      <c r="H6060" s="64" t="str"/>
      <c r="I6060" s="65" t="str"/>
      <c r="J6060" s="49" t="str"/>
      <c r="K6060" s="41" t="str"/>
      <c r="L6060" s="41" t="str"/>
      <c r="M6060" s="41" t="str"/>
      <c r="N6060" s="41" t="str"/>
      <c r="O6060" s="41" t="str"/>
      <c r="P6060" s="41" t="str"/>
      <c r="Q6060" s="41" t="str"/>
      <c r="R6060" s="41" t="str"/>
      <c r="S6060" s="41" t="str"/>
      <c r="T6060" s="41" t="str"/>
      <c r="U6060" s="41" t="str"/>
      <c r="V6060" s="41" t="str"/>
      <c r="W6060" s="41" t="str"/>
    </row>
    <row r="6061">
      <c r="B6061" s="2" t="n"/>
      <c r="C6061" s="40" t="n"/>
      <c r="D6061" s="52">
        <f t="array" ref="D6061:W6061">IF(All_Students_Scores!C6059:V6059="","",All_Students_Scores!C6059:V6059)</f>
        <v/>
      </c>
      <c r="E6061" s="57" t="str"/>
      <c r="F6061" s="49" t="str"/>
      <c r="G6061" s="59" t="str"/>
      <c r="H6061" s="64" t="str"/>
      <c r="I6061" s="65" t="str"/>
      <c r="J6061" s="49" t="str"/>
      <c r="K6061" s="41" t="str"/>
      <c r="L6061" s="41" t="str"/>
      <c r="M6061" s="41" t="str"/>
      <c r="N6061" s="41" t="str"/>
      <c r="O6061" s="41" t="str"/>
      <c r="P6061" s="41" t="str"/>
      <c r="Q6061" s="41" t="str"/>
      <c r="R6061" s="41" t="str"/>
      <c r="S6061" s="41" t="str"/>
      <c r="T6061" s="41" t="str"/>
      <c r="U6061" s="41" t="str"/>
      <c r="V6061" s="41" t="str"/>
      <c r="W6061" s="41" t="str"/>
    </row>
    <row r="6062">
      <c r="B6062" s="2" t="n"/>
      <c r="C6062" s="40" t="n"/>
      <c r="D6062" s="52">
        <f t="array" ref="D6062:W6062">IF(All_Students_Scores!C6060:V6060="","",All_Students_Scores!C6060:V6060)</f>
        <v/>
      </c>
      <c r="E6062" s="57" t="str"/>
      <c r="F6062" s="49" t="str"/>
      <c r="G6062" s="59" t="str"/>
      <c r="H6062" s="64" t="str"/>
      <c r="I6062" s="65" t="str"/>
      <c r="J6062" s="49" t="str"/>
      <c r="K6062" s="41" t="str"/>
      <c r="L6062" s="41" t="str"/>
      <c r="M6062" s="41" t="str"/>
      <c r="N6062" s="41" t="str"/>
      <c r="O6062" s="41" t="str"/>
      <c r="P6062" s="41" t="str"/>
      <c r="Q6062" s="41" t="str"/>
      <c r="R6062" s="41" t="str"/>
      <c r="S6062" s="41" t="str"/>
      <c r="T6062" s="41" t="str"/>
      <c r="U6062" s="41" t="str"/>
      <c r="V6062" s="41" t="str"/>
      <c r="W6062" s="41" t="str"/>
    </row>
    <row r="6063">
      <c r="B6063" s="2" t="n"/>
      <c r="C6063" s="40" t="n"/>
      <c r="D6063" s="52">
        <f t="array" ref="D6063:W6063">IF(All_Students_Scores!C6061:V6061="","",All_Students_Scores!C6061:V6061)</f>
        <v/>
      </c>
      <c r="E6063" s="57" t="str"/>
      <c r="F6063" s="49" t="str"/>
      <c r="G6063" s="59" t="str"/>
      <c r="H6063" s="64" t="str"/>
      <c r="I6063" s="65" t="str"/>
      <c r="J6063" s="49" t="str"/>
      <c r="K6063" s="41" t="str"/>
      <c r="L6063" s="41" t="str"/>
      <c r="M6063" s="41" t="str"/>
      <c r="N6063" s="41" t="str"/>
      <c r="O6063" s="41" t="str"/>
      <c r="P6063" s="41" t="str"/>
      <c r="Q6063" s="41" t="str"/>
      <c r="R6063" s="41" t="str"/>
      <c r="S6063" s="41" t="str"/>
      <c r="T6063" s="41" t="str"/>
      <c r="U6063" s="41" t="str"/>
      <c r="V6063" s="41" t="str"/>
      <c r="W6063" s="41" t="str"/>
    </row>
    <row r="6064">
      <c r="B6064" s="2" t="n"/>
      <c r="C6064" s="40" t="n"/>
      <c r="D6064" s="52">
        <f t="array" ref="D6064:W6064">IF(All_Students_Scores!C6062:V6062="","",All_Students_Scores!C6062:V6062)</f>
        <v/>
      </c>
      <c r="E6064" s="57" t="str"/>
      <c r="F6064" s="49" t="str"/>
      <c r="G6064" s="59" t="str"/>
      <c r="H6064" s="64" t="str"/>
      <c r="I6064" s="65" t="str"/>
      <c r="J6064" s="49" t="str"/>
      <c r="K6064" s="41" t="str"/>
      <c r="L6064" s="41" t="str"/>
      <c r="M6064" s="41" t="str"/>
      <c r="N6064" s="41" t="str"/>
      <c r="O6064" s="41" t="str"/>
      <c r="P6064" s="41" t="str"/>
      <c r="Q6064" s="41" t="str"/>
      <c r="R6064" s="41" t="str"/>
      <c r="S6064" s="41" t="str"/>
      <c r="T6064" s="41" t="str"/>
      <c r="U6064" s="41" t="str"/>
      <c r="V6064" s="41" t="str"/>
      <c r="W6064" s="41" t="str"/>
    </row>
    <row r="6065">
      <c r="B6065" s="2" t="n"/>
      <c r="C6065" s="40" t="n"/>
      <c r="D6065" s="52">
        <f t="array" ref="D6065:W6065">IF(All_Students_Scores!C6063:V6063="","",All_Students_Scores!C6063:V6063)</f>
        <v/>
      </c>
      <c r="E6065" s="57" t="str"/>
      <c r="F6065" s="49" t="str"/>
      <c r="G6065" s="59" t="str"/>
      <c r="H6065" s="64" t="str"/>
      <c r="I6065" s="65" t="str"/>
      <c r="J6065" s="49" t="str"/>
      <c r="K6065" s="41" t="str"/>
      <c r="L6065" s="41" t="str"/>
      <c r="M6065" s="41" t="str"/>
      <c r="N6065" s="41" t="str"/>
      <c r="O6065" s="41" t="str"/>
      <c r="P6065" s="41" t="str"/>
      <c r="Q6065" s="41" t="str"/>
      <c r="R6065" s="41" t="str"/>
      <c r="S6065" s="41" t="str"/>
      <c r="T6065" s="41" t="str"/>
      <c r="U6065" s="41" t="str"/>
      <c r="V6065" s="41" t="str"/>
      <c r="W6065" s="41" t="str"/>
    </row>
    <row r="6066">
      <c r="B6066" s="2" t="n"/>
      <c r="C6066" s="40" t="n"/>
      <c r="D6066" s="52">
        <f t="array" ref="D6066:W6066">IF(All_Students_Scores!C6064:V6064="","",All_Students_Scores!C6064:V6064)</f>
        <v/>
      </c>
      <c r="E6066" s="57" t="str"/>
      <c r="F6066" s="49" t="str"/>
      <c r="G6066" s="59" t="str"/>
      <c r="H6066" s="64" t="str"/>
      <c r="I6066" s="65" t="str"/>
      <c r="J6066" s="49" t="str"/>
      <c r="K6066" s="41" t="str"/>
      <c r="L6066" s="41" t="str"/>
      <c r="M6066" s="41" t="str"/>
      <c r="N6066" s="41" t="str"/>
      <c r="O6066" s="41" t="str"/>
      <c r="P6066" s="41" t="str"/>
      <c r="Q6066" s="41" t="str"/>
      <c r="R6066" s="41" t="str"/>
      <c r="S6066" s="41" t="str"/>
      <c r="T6066" s="41" t="str"/>
      <c r="U6066" s="41" t="str"/>
      <c r="V6066" s="41" t="str"/>
      <c r="W6066" s="41" t="str"/>
    </row>
    <row r="6067">
      <c r="B6067" s="2" t="n"/>
      <c r="C6067" s="40" t="n"/>
      <c r="D6067" s="52">
        <f t="array" ref="D6067:W6067">IF(All_Students_Scores!C6065:V6065="","",All_Students_Scores!C6065:V6065)</f>
        <v/>
      </c>
      <c r="E6067" s="57" t="str"/>
      <c r="F6067" s="49" t="str"/>
      <c r="G6067" s="59" t="str"/>
      <c r="H6067" s="64" t="str"/>
      <c r="I6067" s="65" t="str"/>
      <c r="J6067" s="49" t="str"/>
      <c r="K6067" s="41" t="str"/>
      <c r="L6067" s="41" t="str"/>
      <c r="M6067" s="41" t="str"/>
      <c r="N6067" s="41" t="str"/>
      <c r="O6067" s="41" t="str"/>
      <c r="P6067" s="41" t="str"/>
      <c r="Q6067" s="41" t="str"/>
      <c r="R6067" s="41" t="str"/>
      <c r="S6067" s="41" t="str"/>
      <c r="T6067" s="41" t="str"/>
      <c r="U6067" s="41" t="str"/>
      <c r="V6067" s="41" t="str"/>
      <c r="W6067" s="41" t="str"/>
    </row>
    <row r="6068">
      <c r="B6068" s="2" t="n"/>
      <c r="C6068" s="40" t="n"/>
      <c r="D6068" s="52">
        <f t="array" ref="D6068:W6068">IF(All_Students_Scores!C6066:V6066="","",All_Students_Scores!C6066:V6066)</f>
        <v/>
      </c>
      <c r="E6068" s="57" t="str"/>
      <c r="F6068" s="49" t="str"/>
      <c r="G6068" s="59" t="str"/>
      <c r="H6068" s="64" t="str"/>
      <c r="I6068" s="65" t="str"/>
      <c r="J6068" s="49" t="str"/>
      <c r="K6068" s="41" t="str"/>
      <c r="L6068" s="41" t="str"/>
      <c r="M6068" s="41" t="str"/>
      <c r="N6068" s="41" t="str"/>
      <c r="O6068" s="41" t="str"/>
      <c r="P6068" s="41" t="str"/>
      <c r="Q6068" s="41" t="str"/>
      <c r="R6068" s="41" t="str"/>
      <c r="S6068" s="41" t="str"/>
      <c r="T6068" s="41" t="str"/>
      <c r="U6068" s="41" t="str"/>
      <c r="V6068" s="41" t="str"/>
      <c r="W6068" s="41" t="str"/>
    </row>
    <row r="6069">
      <c r="B6069" s="2" t="n"/>
      <c r="C6069" s="40" t="n"/>
      <c r="D6069" s="52">
        <f t="array" ref="D6069:W6069">IF(All_Students_Scores!C6067:V6067="","",All_Students_Scores!C6067:V6067)</f>
        <v/>
      </c>
      <c r="E6069" s="57" t="str"/>
      <c r="F6069" s="49" t="str"/>
      <c r="G6069" s="59" t="str"/>
      <c r="H6069" s="64" t="str"/>
      <c r="I6069" s="65" t="str"/>
      <c r="J6069" s="49" t="str"/>
      <c r="K6069" s="41" t="str"/>
      <c r="L6069" s="41" t="str"/>
      <c r="M6069" s="41" t="str"/>
      <c r="N6069" s="41" t="str"/>
      <c r="O6069" s="41" t="str"/>
      <c r="P6069" s="41" t="str"/>
      <c r="Q6069" s="41" t="str"/>
      <c r="R6069" s="41" t="str"/>
      <c r="S6069" s="41" t="str"/>
      <c r="T6069" s="41" t="str"/>
      <c r="U6069" s="41" t="str"/>
      <c r="V6069" s="41" t="str"/>
      <c r="W6069" s="41" t="str"/>
    </row>
    <row r="6070">
      <c r="B6070" s="2" t="n"/>
      <c r="C6070" s="40" t="n"/>
      <c r="D6070" s="52">
        <f t="array" ref="D6070:W6070">IF(All_Students_Scores!C6068:V6068="","",All_Students_Scores!C6068:V6068)</f>
        <v/>
      </c>
      <c r="E6070" s="57" t="str"/>
      <c r="F6070" s="49" t="str"/>
      <c r="G6070" s="59" t="str"/>
      <c r="H6070" s="64" t="str"/>
      <c r="I6070" s="65" t="str"/>
      <c r="J6070" s="49" t="str"/>
      <c r="K6070" s="41" t="str"/>
      <c r="L6070" s="41" t="str"/>
      <c r="M6070" s="41" t="str"/>
      <c r="N6070" s="41" t="str"/>
      <c r="O6070" s="41" t="str"/>
      <c r="P6070" s="41" t="str"/>
      <c r="Q6070" s="41" t="str"/>
      <c r="R6070" s="41" t="str"/>
      <c r="S6070" s="41" t="str"/>
      <c r="T6070" s="41" t="str"/>
      <c r="U6070" s="41" t="str"/>
      <c r="V6070" s="41" t="str"/>
      <c r="W6070" s="41" t="str"/>
    </row>
    <row r="6071">
      <c r="B6071" s="2" t="n"/>
      <c r="C6071" s="40" t="n"/>
      <c r="D6071" s="52">
        <f t="array" ref="D6071:W6071">IF(All_Students_Scores!C6069:V6069="","",All_Students_Scores!C6069:V6069)</f>
        <v/>
      </c>
      <c r="E6071" s="57" t="str"/>
      <c r="F6071" s="49" t="str"/>
      <c r="G6071" s="59" t="str"/>
      <c r="H6071" s="64" t="str"/>
      <c r="I6071" s="65" t="str"/>
      <c r="J6071" s="49" t="str"/>
      <c r="K6071" s="41" t="str"/>
      <c r="L6071" s="41" t="str"/>
      <c r="M6071" s="41" t="str"/>
      <c r="N6071" s="41" t="str"/>
      <c r="O6071" s="41" t="str"/>
      <c r="P6071" s="41" t="str"/>
      <c r="Q6071" s="41" t="str"/>
      <c r="R6071" s="41" t="str"/>
      <c r="S6071" s="41" t="str"/>
      <c r="T6071" s="41" t="str"/>
      <c r="U6071" s="41" t="str"/>
      <c r="V6071" s="41" t="str"/>
      <c r="W6071" s="41" t="str"/>
    </row>
    <row r="6072">
      <c r="B6072" s="2" t="n"/>
      <c r="C6072" s="40" t="n"/>
      <c r="D6072" s="52">
        <f t="array" ref="D6072:W6072">IF(All_Students_Scores!C6070:V6070="","",All_Students_Scores!C6070:V6070)</f>
        <v/>
      </c>
      <c r="E6072" s="57" t="str"/>
      <c r="F6072" s="49" t="str"/>
      <c r="G6072" s="59" t="str"/>
      <c r="H6072" s="64" t="str"/>
      <c r="I6072" s="65" t="str"/>
      <c r="J6072" s="49" t="str"/>
      <c r="K6072" s="41" t="str"/>
      <c r="L6072" s="41" t="str"/>
      <c r="M6072" s="41" t="str"/>
      <c r="N6072" s="41" t="str"/>
      <c r="O6072" s="41" t="str"/>
      <c r="P6072" s="41" t="str"/>
      <c r="Q6072" s="41" t="str"/>
      <c r="R6072" s="41" t="str"/>
      <c r="S6072" s="41" t="str"/>
      <c r="T6072" s="41" t="str"/>
      <c r="U6072" s="41" t="str"/>
      <c r="V6072" s="41" t="str"/>
      <c r="W6072" s="41" t="str"/>
    </row>
    <row r="6073">
      <c r="B6073" s="2" t="n"/>
      <c r="C6073" s="40" t="n"/>
      <c r="D6073" s="52">
        <f t="array" ref="D6073:W6073">IF(All_Students_Scores!C6071:V6071="","",All_Students_Scores!C6071:V6071)</f>
        <v/>
      </c>
      <c r="E6073" s="57" t="str"/>
      <c r="F6073" s="49" t="str"/>
      <c r="G6073" s="59" t="str"/>
      <c r="H6073" s="64" t="str"/>
      <c r="I6073" s="65" t="str"/>
      <c r="J6073" s="49" t="str"/>
      <c r="K6073" s="41" t="str"/>
      <c r="L6073" s="41" t="str"/>
      <c r="M6073" s="41" t="str"/>
      <c r="N6073" s="41" t="str"/>
      <c r="O6073" s="41" t="str"/>
      <c r="P6073" s="41" t="str"/>
      <c r="Q6073" s="41" t="str"/>
      <c r="R6073" s="41" t="str"/>
      <c r="S6073" s="41" t="str"/>
      <c r="T6073" s="41" t="str"/>
      <c r="U6073" s="41" t="str"/>
      <c r="V6073" s="41" t="str"/>
      <c r="W6073" s="41" t="str"/>
    </row>
    <row r="6074">
      <c r="B6074" s="2" t="n"/>
      <c r="C6074" s="40" t="n"/>
      <c r="D6074" s="52">
        <f t="array" ref="D6074:W6074">IF(All_Students_Scores!C6072:V6072="","",All_Students_Scores!C6072:V6072)</f>
        <v/>
      </c>
      <c r="E6074" s="57" t="str"/>
      <c r="F6074" s="49" t="str"/>
      <c r="G6074" s="59" t="str"/>
      <c r="H6074" s="64" t="str"/>
      <c r="I6074" s="65" t="str"/>
      <c r="J6074" s="49" t="str"/>
      <c r="K6074" s="41" t="str"/>
      <c r="L6074" s="41" t="str"/>
      <c r="M6074" s="41" t="str"/>
      <c r="N6074" s="41" t="str"/>
      <c r="O6074" s="41" t="str"/>
      <c r="P6074" s="41" t="str"/>
      <c r="Q6074" s="41" t="str"/>
      <c r="R6074" s="41" t="str"/>
      <c r="S6074" s="41" t="str"/>
      <c r="T6074" s="41" t="str"/>
      <c r="U6074" s="41" t="str"/>
      <c r="V6074" s="41" t="str"/>
      <c r="W6074" s="41" t="str"/>
    </row>
    <row r="6075">
      <c r="B6075" s="2" t="n"/>
      <c r="C6075" s="40" t="n"/>
      <c r="D6075" s="52">
        <f t="array" ref="D6075:W6075">IF(All_Students_Scores!C6073:V6073="","",All_Students_Scores!C6073:V6073)</f>
        <v/>
      </c>
      <c r="E6075" s="57" t="str"/>
      <c r="F6075" s="49" t="str"/>
      <c r="G6075" s="59" t="str"/>
      <c r="H6075" s="64" t="str"/>
      <c r="I6075" s="65" t="str"/>
      <c r="J6075" s="49" t="str"/>
      <c r="K6075" s="41" t="str"/>
      <c r="L6075" s="41" t="str"/>
      <c r="M6075" s="41" t="str"/>
      <c r="N6075" s="41" t="str"/>
      <c r="O6075" s="41" t="str"/>
      <c r="P6075" s="41" t="str"/>
      <c r="Q6075" s="41" t="str"/>
      <c r="R6075" s="41" t="str"/>
      <c r="S6075" s="41" t="str"/>
      <c r="T6075" s="41" t="str"/>
      <c r="U6075" s="41" t="str"/>
      <c r="V6075" s="41" t="str"/>
      <c r="W6075" s="41" t="str"/>
    </row>
    <row r="6076">
      <c r="B6076" s="2" t="n"/>
      <c r="C6076" s="40" t="n"/>
      <c r="D6076" s="52">
        <f t="array" ref="D6076:W6076">IF(All_Students_Scores!C6074:V6074="","",All_Students_Scores!C6074:V6074)</f>
        <v/>
      </c>
      <c r="E6076" s="57" t="str"/>
      <c r="F6076" s="49" t="str"/>
      <c r="G6076" s="59" t="str"/>
      <c r="H6076" s="64" t="str"/>
      <c r="I6076" s="65" t="str"/>
      <c r="J6076" s="49" t="str"/>
      <c r="K6076" s="41" t="str"/>
      <c r="L6076" s="41" t="str"/>
      <c r="M6076" s="41" t="str"/>
      <c r="N6076" s="41" t="str"/>
      <c r="O6076" s="41" t="str"/>
      <c r="P6076" s="41" t="str"/>
      <c r="Q6076" s="41" t="str"/>
      <c r="R6076" s="41" t="str"/>
      <c r="S6076" s="41" t="str"/>
      <c r="T6076" s="41" t="str"/>
      <c r="U6076" s="41" t="str"/>
      <c r="V6076" s="41" t="str"/>
      <c r="W6076" s="41" t="str"/>
    </row>
    <row r="6077">
      <c r="B6077" s="2" t="n"/>
      <c r="C6077" s="40" t="n"/>
      <c r="D6077" s="52">
        <f t="array" ref="D6077:W6077">IF(All_Students_Scores!C6075:V6075="","",All_Students_Scores!C6075:V6075)</f>
        <v/>
      </c>
      <c r="E6077" s="57" t="str"/>
      <c r="F6077" s="49" t="str"/>
      <c r="G6077" s="59" t="str"/>
      <c r="H6077" s="64" t="str"/>
      <c r="I6077" s="65" t="str"/>
      <c r="J6077" s="49" t="str"/>
      <c r="K6077" s="41" t="str"/>
      <c r="L6077" s="41" t="str"/>
      <c r="M6077" s="41" t="str"/>
      <c r="N6077" s="41" t="str"/>
      <c r="O6077" s="41" t="str"/>
      <c r="P6077" s="41" t="str"/>
      <c r="Q6077" s="41" t="str"/>
      <c r="R6077" s="41" t="str"/>
      <c r="S6077" s="41" t="str"/>
      <c r="T6077" s="41" t="str"/>
      <c r="U6077" s="41" t="str"/>
      <c r="V6077" s="41" t="str"/>
      <c r="W6077" s="41" t="str"/>
    </row>
    <row r="6078">
      <c r="B6078" s="2" t="n"/>
      <c r="C6078" s="40" t="n"/>
      <c r="D6078" s="52">
        <f t="array" ref="D6078:W6078">IF(All_Students_Scores!C6076:V6076="","",All_Students_Scores!C6076:V6076)</f>
        <v/>
      </c>
      <c r="E6078" s="57" t="str"/>
      <c r="F6078" s="49" t="str"/>
      <c r="G6078" s="59" t="str"/>
      <c r="H6078" s="64" t="str"/>
      <c r="I6078" s="65" t="str"/>
      <c r="J6078" s="49" t="str"/>
      <c r="K6078" s="41" t="str"/>
      <c r="L6078" s="41" t="str"/>
      <c r="M6078" s="41" t="str"/>
      <c r="N6078" s="41" t="str"/>
      <c r="O6078" s="41" t="str"/>
      <c r="P6078" s="41" t="str"/>
      <c r="Q6078" s="41" t="str"/>
      <c r="R6078" s="41" t="str"/>
      <c r="S6078" s="41" t="str"/>
      <c r="T6078" s="41" t="str"/>
      <c r="U6078" s="41" t="str"/>
      <c r="V6078" s="41" t="str"/>
      <c r="W6078" s="41" t="str"/>
    </row>
    <row r="6079">
      <c r="B6079" s="2" t="n"/>
      <c r="C6079" s="40" t="n"/>
      <c r="D6079" s="52">
        <f t="array" ref="D6079:W6079">IF(All_Students_Scores!C6077:V6077="","",All_Students_Scores!C6077:V6077)</f>
        <v/>
      </c>
      <c r="E6079" s="57" t="str"/>
      <c r="F6079" s="49" t="str"/>
      <c r="G6079" s="59" t="str"/>
      <c r="H6079" s="64" t="str"/>
      <c r="I6079" s="65" t="str"/>
      <c r="J6079" s="49" t="str"/>
      <c r="K6079" s="41" t="str"/>
      <c r="L6079" s="41" t="str"/>
      <c r="M6079" s="41" t="str"/>
      <c r="N6079" s="41" t="str"/>
      <c r="O6079" s="41" t="str"/>
      <c r="P6079" s="41" t="str"/>
      <c r="Q6079" s="41" t="str"/>
      <c r="R6079" s="41" t="str"/>
      <c r="S6079" s="41" t="str"/>
      <c r="T6079" s="41" t="str"/>
      <c r="U6079" s="41" t="str"/>
      <c r="V6079" s="41" t="str"/>
      <c r="W6079" s="41" t="str"/>
    </row>
    <row r="6080">
      <c r="B6080" s="2" t="n"/>
      <c r="C6080" s="40" t="n"/>
      <c r="D6080" s="52">
        <f t="array" ref="D6080:W6080">IF(All_Students_Scores!C6078:V6078="","",All_Students_Scores!C6078:V6078)</f>
        <v/>
      </c>
      <c r="E6080" s="57" t="str"/>
      <c r="F6080" s="49" t="str"/>
      <c r="G6080" s="59" t="str"/>
      <c r="H6080" s="64" t="str"/>
      <c r="I6080" s="65" t="str"/>
      <c r="J6080" s="49" t="str"/>
      <c r="K6080" s="41" t="str"/>
      <c r="L6080" s="41" t="str"/>
      <c r="M6080" s="41" t="str"/>
      <c r="N6080" s="41" t="str"/>
      <c r="O6080" s="41" t="str"/>
      <c r="P6080" s="41" t="str"/>
      <c r="Q6080" s="41" t="str"/>
      <c r="R6080" s="41" t="str"/>
      <c r="S6080" s="41" t="str"/>
      <c r="T6080" s="41" t="str"/>
      <c r="U6080" s="41" t="str"/>
      <c r="V6080" s="41" t="str"/>
      <c r="W6080" s="41" t="str"/>
    </row>
    <row r="6081">
      <c r="B6081" s="2" t="n"/>
      <c r="C6081" s="40" t="n"/>
      <c r="D6081" s="52">
        <f t="array" ref="D6081:W6081">IF(All_Students_Scores!C6079:V6079="","",All_Students_Scores!C6079:V6079)</f>
        <v/>
      </c>
      <c r="E6081" s="57" t="str"/>
      <c r="F6081" s="49" t="str"/>
      <c r="G6081" s="59" t="str"/>
      <c r="H6081" s="64" t="str"/>
      <c r="I6081" s="65" t="str"/>
      <c r="J6081" s="49" t="str"/>
      <c r="K6081" s="41" t="str"/>
      <c r="L6081" s="41" t="str"/>
      <c r="M6081" s="41" t="str"/>
      <c r="N6081" s="41" t="str"/>
      <c r="O6081" s="41" t="str"/>
      <c r="P6081" s="41" t="str"/>
      <c r="Q6081" s="41" t="str"/>
      <c r="R6081" s="41" t="str"/>
      <c r="S6081" s="41" t="str"/>
      <c r="T6081" s="41" t="str"/>
      <c r="U6081" s="41" t="str"/>
      <c r="V6081" s="41" t="str"/>
      <c r="W6081" s="41" t="str"/>
    </row>
    <row r="6082">
      <c r="B6082" s="2" t="n"/>
      <c r="C6082" s="40" t="n"/>
      <c r="D6082" s="52">
        <f t="array" ref="D6082:W6082">IF(All_Students_Scores!C6080:V6080="","",All_Students_Scores!C6080:V6080)</f>
        <v/>
      </c>
      <c r="E6082" s="57" t="str"/>
      <c r="F6082" s="49" t="str"/>
      <c r="G6082" s="59" t="str"/>
      <c r="H6082" s="64" t="str"/>
      <c r="I6082" s="65" t="str"/>
      <c r="J6082" s="49" t="str"/>
      <c r="K6082" s="41" t="str"/>
      <c r="L6082" s="41" t="str"/>
      <c r="M6082" s="41" t="str"/>
      <c r="N6082" s="41" t="str"/>
      <c r="O6082" s="41" t="str"/>
      <c r="P6082" s="41" t="str"/>
      <c r="Q6082" s="41" t="str"/>
      <c r="R6082" s="41" t="str"/>
      <c r="S6082" s="41" t="str"/>
      <c r="T6082" s="41" t="str"/>
      <c r="U6082" s="41" t="str"/>
      <c r="V6082" s="41" t="str"/>
      <c r="W6082" s="41" t="str"/>
    </row>
    <row r="6083">
      <c r="B6083" s="2" t="n"/>
      <c r="C6083" s="40" t="n"/>
      <c r="D6083" s="52">
        <f t="array" ref="D6083:W6083">IF(All_Students_Scores!C6081:V6081="","",All_Students_Scores!C6081:V6081)</f>
        <v/>
      </c>
      <c r="E6083" s="57" t="str"/>
      <c r="F6083" s="49" t="str"/>
      <c r="G6083" s="59" t="str"/>
      <c r="H6083" s="64" t="str"/>
      <c r="I6083" s="65" t="str"/>
      <c r="J6083" s="49" t="str"/>
      <c r="K6083" s="41" t="str"/>
      <c r="L6083" s="41" t="str"/>
      <c r="M6083" s="41" t="str"/>
      <c r="N6083" s="41" t="str"/>
      <c r="O6083" s="41" t="str"/>
      <c r="P6083" s="41" t="str"/>
      <c r="Q6083" s="41" t="str"/>
      <c r="R6083" s="41" t="str"/>
      <c r="S6083" s="41" t="str"/>
      <c r="T6083" s="41" t="str"/>
      <c r="U6083" s="41" t="str"/>
      <c r="V6083" s="41" t="str"/>
      <c r="W6083" s="41" t="str"/>
    </row>
    <row r="6084">
      <c r="B6084" s="2" t="n"/>
      <c r="C6084" s="40" t="n"/>
      <c r="D6084" s="52">
        <f t="array" ref="D6084:W6084">IF(All_Students_Scores!C6082:V6082="","",All_Students_Scores!C6082:V6082)</f>
        <v/>
      </c>
      <c r="E6084" s="57" t="str"/>
      <c r="F6084" s="49" t="str"/>
      <c r="G6084" s="59" t="str"/>
      <c r="H6084" s="64" t="str"/>
      <c r="I6084" s="65" t="str"/>
      <c r="J6084" s="49" t="str"/>
      <c r="K6084" s="41" t="str"/>
      <c r="L6084" s="41" t="str"/>
      <c r="M6084" s="41" t="str"/>
      <c r="N6084" s="41" t="str"/>
      <c r="O6084" s="41" t="str"/>
      <c r="P6084" s="41" t="str"/>
      <c r="Q6084" s="41" t="str"/>
      <c r="R6084" s="41" t="str"/>
      <c r="S6084" s="41" t="str"/>
      <c r="T6084" s="41" t="str"/>
      <c r="U6084" s="41" t="str"/>
      <c r="V6084" s="41" t="str"/>
      <c r="W6084" s="41" t="str"/>
    </row>
    <row r="6085">
      <c r="B6085" s="2" t="n"/>
      <c r="C6085" s="40" t="n"/>
      <c r="D6085" s="52">
        <f t="array" ref="D6085:W6085">IF(All_Students_Scores!C6083:V6083="","",All_Students_Scores!C6083:V6083)</f>
        <v/>
      </c>
      <c r="E6085" s="57" t="str"/>
      <c r="F6085" s="49" t="str"/>
      <c r="G6085" s="59" t="str"/>
      <c r="H6085" s="64" t="str"/>
      <c r="I6085" s="65" t="str"/>
      <c r="J6085" s="49" t="str"/>
      <c r="K6085" s="41" t="str"/>
      <c r="L6085" s="41" t="str"/>
      <c r="M6085" s="41" t="str"/>
      <c r="N6085" s="41" t="str"/>
      <c r="O6085" s="41" t="str"/>
      <c r="P6085" s="41" t="str"/>
      <c r="Q6085" s="41" t="str"/>
      <c r="R6085" s="41" t="str"/>
      <c r="S6085" s="41" t="str"/>
      <c r="T6085" s="41" t="str"/>
      <c r="U6085" s="41" t="str"/>
      <c r="V6085" s="41" t="str"/>
      <c r="W6085" s="41" t="str"/>
    </row>
    <row r="6086">
      <c r="B6086" s="2" t="n"/>
      <c r="C6086" s="40" t="n"/>
      <c r="D6086" s="52">
        <f t="array" ref="D6086:W6086">IF(All_Students_Scores!C6084:V6084="","",All_Students_Scores!C6084:V6084)</f>
        <v/>
      </c>
      <c r="E6086" s="57" t="str"/>
      <c r="F6086" s="49" t="str"/>
      <c r="G6086" s="59" t="str"/>
      <c r="H6086" s="64" t="str"/>
      <c r="I6086" s="65" t="str"/>
      <c r="J6086" s="49" t="str"/>
      <c r="K6086" s="41" t="str"/>
      <c r="L6086" s="41" t="str"/>
      <c r="M6086" s="41" t="str"/>
      <c r="N6086" s="41" t="str"/>
      <c r="O6086" s="41" t="str"/>
      <c r="P6086" s="41" t="str"/>
      <c r="Q6086" s="41" t="str"/>
      <c r="R6086" s="41" t="str"/>
      <c r="S6086" s="41" t="str"/>
      <c r="T6086" s="41" t="str"/>
      <c r="U6086" s="41" t="str"/>
      <c r="V6086" s="41" t="str"/>
      <c r="W6086" s="41" t="str"/>
    </row>
    <row r="6087">
      <c r="B6087" s="2" t="n"/>
      <c r="C6087" s="40" t="n"/>
      <c r="D6087" s="52">
        <f t="array" ref="D6087:W6087">IF(All_Students_Scores!C6085:V6085="","",All_Students_Scores!C6085:V6085)</f>
        <v/>
      </c>
      <c r="E6087" s="57" t="str"/>
      <c r="F6087" s="49" t="str"/>
      <c r="G6087" s="59" t="str"/>
      <c r="H6087" s="64" t="str"/>
      <c r="I6087" s="65" t="str"/>
      <c r="J6087" s="49" t="str"/>
      <c r="K6087" s="41" t="str"/>
      <c r="L6087" s="41" t="str"/>
      <c r="M6087" s="41" t="str"/>
      <c r="N6087" s="41" t="str"/>
      <c r="O6087" s="41" t="str"/>
      <c r="P6087" s="41" t="str"/>
      <c r="Q6087" s="41" t="str"/>
      <c r="R6087" s="41" t="str"/>
      <c r="S6087" s="41" t="str"/>
      <c r="T6087" s="41" t="str"/>
      <c r="U6087" s="41" t="str"/>
      <c r="V6087" s="41" t="str"/>
      <c r="W6087" s="41" t="str"/>
    </row>
    <row r="6088">
      <c r="B6088" s="2" t="n"/>
      <c r="C6088" s="40" t="n"/>
      <c r="D6088" s="52">
        <f t="array" ref="D6088:W6088">IF(All_Students_Scores!C6086:V6086="","",All_Students_Scores!C6086:V6086)</f>
        <v/>
      </c>
      <c r="E6088" s="57" t="str"/>
      <c r="F6088" s="49" t="str"/>
      <c r="G6088" s="59" t="str"/>
      <c r="H6088" s="64" t="str"/>
      <c r="I6088" s="65" t="str"/>
      <c r="J6088" s="49" t="str"/>
      <c r="K6088" s="41" t="str"/>
      <c r="L6088" s="41" t="str"/>
      <c r="M6088" s="41" t="str"/>
      <c r="N6088" s="41" t="str"/>
      <c r="O6088" s="41" t="str"/>
      <c r="P6088" s="41" t="str"/>
      <c r="Q6088" s="41" t="str"/>
      <c r="R6088" s="41" t="str"/>
      <c r="S6088" s="41" t="str"/>
      <c r="T6088" s="41" t="str"/>
      <c r="U6088" s="41" t="str"/>
      <c r="V6088" s="41" t="str"/>
      <c r="W6088" s="41" t="str"/>
    </row>
    <row r="6089">
      <c r="B6089" s="2" t="n"/>
      <c r="C6089" s="40" t="n"/>
      <c r="D6089" s="52">
        <f t="array" ref="D6089:W6089">IF(All_Students_Scores!C6087:V6087="","",All_Students_Scores!C6087:V6087)</f>
        <v/>
      </c>
      <c r="E6089" s="57" t="str"/>
      <c r="F6089" s="49" t="str"/>
      <c r="G6089" s="59" t="str"/>
      <c r="H6089" s="64" t="str"/>
      <c r="I6089" s="65" t="str"/>
      <c r="J6089" s="49" t="str"/>
      <c r="K6089" s="41" t="str"/>
      <c r="L6089" s="41" t="str"/>
      <c r="M6089" s="41" t="str"/>
      <c r="N6089" s="41" t="str"/>
      <c r="O6089" s="41" t="str"/>
      <c r="P6089" s="41" t="str"/>
      <c r="Q6089" s="41" t="str"/>
      <c r="R6089" s="41" t="str"/>
      <c r="S6089" s="41" t="str"/>
      <c r="T6089" s="41" t="str"/>
      <c r="U6089" s="41" t="str"/>
      <c r="V6089" s="41" t="str"/>
      <c r="W6089" s="41" t="str"/>
    </row>
    <row r="6090">
      <c r="B6090" s="2" t="n"/>
      <c r="C6090" s="40" t="n"/>
      <c r="D6090" s="52">
        <f t="array" ref="D6090:W6090">IF(All_Students_Scores!C6088:V6088="","",All_Students_Scores!C6088:V6088)</f>
        <v/>
      </c>
      <c r="E6090" s="57" t="str"/>
      <c r="F6090" s="49" t="str"/>
      <c r="G6090" s="59" t="str"/>
      <c r="H6090" s="64" t="str"/>
      <c r="I6090" s="65" t="str"/>
      <c r="J6090" s="49" t="str"/>
      <c r="K6090" s="41" t="str"/>
      <c r="L6090" s="41" t="str"/>
      <c r="M6090" s="41" t="str"/>
      <c r="N6090" s="41" t="str"/>
      <c r="O6090" s="41" t="str"/>
      <c r="P6090" s="41" t="str"/>
      <c r="Q6090" s="41" t="str"/>
      <c r="R6090" s="41" t="str"/>
      <c r="S6090" s="41" t="str"/>
      <c r="T6090" s="41" t="str"/>
      <c r="U6090" s="41" t="str"/>
      <c r="V6090" s="41" t="str"/>
      <c r="W6090" s="41" t="str"/>
    </row>
    <row r="6091">
      <c r="B6091" s="2" t="n"/>
      <c r="C6091" s="40" t="n"/>
      <c r="D6091" s="52">
        <f t="array" ref="D6091:W6091">IF(All_Students_Scores!C6089:V6089="","",All_Students_Scores!C6089:V6089)</f>
        <v/>
      </c>
      <c r="E6091" s="57" t="str"/>
      <c r="F6091" s="49" t="str"/>
      <c r="G6091" s="59" t="str"/>
      <c r="H6091" s="64" t="str"/>
      <c r="I6091" s="65" t="str"/>
      <c r="J6091" s="49" t="str"/>
      <c r="K6091" s="41" t="str"/>
      <c r="L6091" s="41" t="str"/>
      <c r="M6091" s="41" t="str"/>
      <c r="N6091" s="41" t="str"/>
      <c r="O6091" s="41" t="str"/>
      <c r="P6091" s="41" t="str"/>
      <c r="Q6091" s="41" t="str"/>
      <c r="R6091" s="41" t="str"/>
      <c r="S6091" s="41" t="str"/>
      <c r="T6091" s="41" t="str"/>
      <c r="U6091" s="41" t="str"/>
      <c r="V6091" s="41" t="str"/>
      <c r="W6091" s="41" t="str"/>
    </row>
    <row r="6092">
      <c r="B6092" s="2" t="n"/>
      <c r="C6092" s="40" t="n"/>
      <c r="D6092" s="52">
        <f t="array" ref="D6092:W6092">IF(All_Students_Scores!C6090:V6090="","",All_Students_Scores!C6090:V6090)</f>
        <v/>
      </c>
      <c r="E6092" s="57" t="str"/>
      <c r="F6092" s="49" t="str"/>
      <c r="G6092" s="59" t="str"/>
      <c r="H6092" s="64" t="str"/>
      <c r="I6092" s="65" t="str"/>
      <c r="J6092" s="49" t="str"/>
      <c r="K6092" s="41" t="str"/>
      <c r="L6092" s="41" t="str"/>
      <c r="M6092" s="41" t="str"/>
      <c r="N6092" s="41" t="str"/>
      <c r="O6092" s="41" t="str"/>
      <c r="P6092" s="41" t="str"/>
      <c r="Q6092" s="41" t="str"/>
      <c r="R6092" s="41" t="str"/>
      <c r="S6092" s="41" t="str"/>
      <c r="T6092" s="41" t="str"/>
      <c r="U6092" s="41" t="str"/>
      <c r="V6092" s="41" t="str"/>
      <c r="W6092" s="41" t="str"/>
    </row>
    <row r="6093">
      <c r="B6093" s="2" t="n"/>
      <c r="C6093" s="40" t="n"/>
      <c r="D6093" s="52">
        <f t="array" ref="D6093:W6093">IF(All_Students_Scores!C6091:V6091="","",All_Students_Scores!C6091:V6091)</f>
        <v/>
      </c>
      <c r="E6093" s="57" t="str"/>
      <c r="F6093" s="49" t="str"/>
      <c r="G6093" s="59" t="str"/>
      <c r="H6093" s="64" t="str"/>
      <c r="I6093" s="65" t="str"/>
      <c r="J6093" s="49" t="str"/>
      <c r="K6093" s="41" t="str"/>
      <c r="L6093" s="41" t="str"/>
      <c r="M6093" s="41" t="str"/>
      <c r="N6093" s="41" t="str"/>
      <c r="O6093" s="41" t="str"/>
      <c r="P6093" s="41" t="str"/>
      <c r="Q6093" s="41" t="str"/>
      <c r="R6093" s="41" t="str"/>
      <c r="S6093" s="41" t="str"/>
      <c r="T6093" s="41" t="str"/>
      <c r="U6093" s="41" t="str"/>
      <c r="V6093" s="41" t="str"/>
      <c r="W6093" s="41" t="str"/>
    </row>
    <row r="6094">
      <c r="B6094" s="2" t="n"/>
      <c r="C6094" s="40" t="n"/>
      <c r="D6094" s="52">
        <f t="array" ref="D6094:W6094">IF(All_Students_Scores!C6092:V6092="","",All_Students_Scores!C6092:V6092)</f>
        <v/>
      </c>
      <c r="E6094" s="57" t="str"/>
      <c r="F6094" s="49" t="str"/>
      <c r="G6094" s="59" t="str"/>
      <c r="H6094" s="64" t="str"/>
      <c r="I6094" s="65" t="str"/>
      <c r="J6094" s="49" t="str"/>
      <c r="K6094" s="41" t="str"/>
      <c r="L6094" s="41" t="str"/>
      <c r="M6094" s="41" t="str"/>
      <c r="N6094" s="41" t="str"/>
      <c r="O6094" s="41" t="str"/>
      <c r="P6094" s="41" t="str"/>
      <c r="Q6094" s="41" t="str"/>
      <c r="R6094" s="41" t="str"/>
      <c r="S6094" s="41" t="str"/>
      <c r="T6094" s="41" t="str"/>
      <c r="U6094" s="41" t="str"/>
      <c r="V6094" s="41" t="str"/>
      <c r="W6094" s="41" t="str"/>
    </row>
    <row r="6095">
      <c r="B6095" s="2" t="n"/>
      <c r="C6095" s="40" t="n"/>
      <c r="D6095" s="52">
        <f t="array" ref="D6095:W6095">IF(All_Students_Scores!C6093:V6093="","",All_Students_Scores!C6093:V6093)</f>
        <v/>
      </c>
      <c r="E6095" s="57" t="str"/>
      <c r="F6095" s="49" t="str"/>
      <c r="G6095" s="59" t="str"/>
      <c r="H6095" s="64" t="str"/>
      <c r="I6095" s="65" t="str"/>
      <c r="J6095" s="49" t="str"/>
      <c r="K6095" s="41" t="str"/>
      <c r="L6095" s="41" t="str"/>
      <c r="M6095" s="41" t="str"/>
      <c r="N6095" s="41" t="str"/>
      <c r="O6095" s="41" t="str"/>
      <c r="P6095" s="41" t="str"/>
      <c r="Q6095" s="41" t="str"/>
      <c r="R6095" s="41" t="str"/>
      <c r="S6095" s="41" t="str"/>
      <c r="T6095" s="41" t="str"/>
      <c r="U6095" s="41" t="str"/>
      <c r="V6095" s="41" t="str"/>
      <c r="W6095" s="41" t="str"/>
    </row>
    <row r="6096">
      <c r="B6096" s="2" t="n"/>
      <c r="C6096" s="40" t="n"/>
      <c r="D6096" s="52">
        <f t="array" ref="D6096:W6096">IF(All_Students_Scores!C6094:V6094="","",All_Students_Scores!C6094:V6094)</f>
        <v/>
      </c>
      <c r="E6096" s="57" t="str"/>
      <c r="F6096" s="49" t="str"/>
      <c r="G6096" s="59" t="str"/>
      <c r="H6096" s="64" t="str"/>
      <c r="I6096" s="65" t="str"/>
      <c r="J6096" s="49" t="str"/>
      <c r="K6096" s="41" t="str"/>
      <c r="L6096" s="41" t="str"/>
      <c r="M6096" s="41" t="str"/>
      <c r="N6096" s="41" t="str"/>
      <c r="O6096" s="41" t="str"/>
      <c r="P6096" s="41" t="str"/>
      <c r="Q6096" s="41" t="str"/>
      <c r="R6096" s="41" t="str"/>
      <c r="S6096" s="41" t="str"/>
      <c r="T6096" s="41" t="str"/>
      <c r="U6096" s="41" t="str"/>
      <c r="V6096" s="41" t="str"/>
      <c r="W6096" s="41" t="str"/>
    </row>
    <row r="6097">
      <c r="B6097" s="2" t="n"/>
      <c r="C6097" s="40" t="n"/>
      <c r="D6097" s="52">
        <f t="array" ref="D6097:W6097">IF(All_Students_Scores!C6095:V6095="","",All_Students_Scores!C6095:V6095)</f>
        <v/>
      </c>
      <c r="E6097" s="57" t="str"/>
      <c r="F6097" s="49" t="str"/>
      <c r="G6097" s="59" t="str"/>
      <c r="H6097" s="64" t="str"/>
      <c r="I6097" s="65" t="str"/>
      <c r="J6097" s="49" t="str"/>
      <c r="K6097" s="41" t="str"/>
      <c r="L6097" s="41" t="str"/>
      <c r="M6097" s="41" t="str"/>
      <c r="N6097" s="41" t="str"/>
      <c r="O6097" s="41" t="str"/>
      <c r="P6097" s="41" t="str"/>
      <c r="Q6097" s="41" t="str"/>
      <c r="R6097" s="41" t="str"/>
      <c r="S6097" s="41" t="str"/>
      <c r="T6097" s="41" t="str"/>
      <c r="U6097" s="41" t="str"/>
      <c r="V6097" s="41" t="str"/>
      <c r="W6097" s="41" t="str"/>
    </row>
    <row r="6098">
      <c r="B6098" s="2" t="n"/>
      <c r="C6098" s="40" t="n"/>
      <c r="D6098" s="52">
        <f t="array" ref="D6098:W6098">IF(All_Students_Scores!C6096:V6096="","",All_Students_Scores!C6096:V6096)</f>
        <v/>
      </c>
      <c r="E6098" s="57" t="str"/>
      <c r="F6098" s="49" t="str"/>
      <c r="G6098" s="59" t="str"/>
      <c r="H6098" s="64" t="str"/>
      <c r="I6098" s="65" t="str"/>
      <c r="J6098" s="49" t="str"/>
      <c r="K6098" s="41" t="str"/>
      <c r="L6098" s="41" t="str"/>
      <c r="M6098" s="41" t="str"/>
      <c r="N6098" s="41" t="str"/>
      <c r="O6098" s="41" t="str"/>
      <c r="P6098" s="41" t="str"/>
      <c r="Q6098" s="41" t="str"/>
      <c r="R6098" s="41" t="str"/>
      <c r="S6098" s="41" t="str"/>
      <c r="T6098" s="41" t="str"/>
      <c r="U6098" s="41" t="str"/>
      <c r="V6098" s="41" t="str"/>
      <c r="W6098" s="41" t="str"/>
    </row>
    <row r="6099">
      <c r="B6099" s="2" t="n"/>
      <c r="C6099" s="40" t="n"/>
      <c r="D6099" s="52">
        <f t="array" ref="D6099:W6099">IF(All_Students_Scores!C6097:V6097="","",All_Students_Scores!C6097:V6097)</f>
        <v/>
      </c>
      <c r="E6099" s="57" t="str"/>
      <c r="F6099" s="49" t="str"/>
      <c r="G6099" s="59" t="str"/>
      <c r="H6099" s="64" t="str"/>
      <c r="I6099" s="65" t="str"/>
      <c r="J6099" s="49" t="str"/>
      <c r="K6099" s="41" t="str"/>
      <c r="L6099" s="41" t="str"/>
      <c r="M6099" s="41" t="str"/>
      <c r="N6099" s="41" t="str"/>
      <c r="O6099" s="41" t="str"/>
      <c r="P6099" s="41" t="str"/>
      <c r="Q6099" s="41" t="str"/>
      <c r="R6099" s="41" t="str"/>
      <c r="S6099" s="41" t="str"/>
      <c r="T6099" s="41" t="str"/>
      <c r="U6099" s="41" t="str"/>
      <c r="V6099" s="41" t="str"/>
      <c r="W6099" s="41" t="str"/>
    </row>
    <row r="6100">
      <c r="B6100" s="2" t="n"/>
      <c r="C6100" s="40" t="n"/>
      <c r="D6100" s="52">
        <f t="array" ref="D6100:W6100">IF(All_Students_Scores!C6098:V6098="","",All_Students_Scores!C6098:V6098)</f>
        <v/>
      </c>
      <c r="E6100" s="57" t="str"/>
      <c r="F6100" s="49" t="str"/>
      <c r="G6100" s="59" t="str"/>
      <c r="H6100" s="64" t="str"/>
      <c r="I6100" s="65" t="str"/>
      <c r="J6100" s="49" t="str"/>
      <c r="K6100" s="41" t="str"/>
      <c r="L6100" s="41" t="str"/>
      <c r="M6100" s="41" t="str"/>
      <c r="N6100" s="41" t="str"/>
      <c r="O6100" s="41" t="str"/>
      <c r="P6100" s="41" t="str"/>
      <c r="Q6100" s="41" t="str"/>
      <c r="R6100" s="41" t="str"/>
      <c r="S6100" s="41" t="str"/>
      <c r="T6100" s="41" t="str"/>
      <c r="U6100" s="41" t="str"/>
      <c r="V6100" s="41" t="str"/>
      <c r="W6100" s="41" t="str"/>
    </row>
    <row r="6101">
      <c r="B6101" s="2" t="n"/>
      <c r="C6101" s="40" t="n"/>
      <c r="D6101" s="52">
        <f t="array" ref="D6101:W6101">IF(All_Students_Scores!C6099:V6099="","",All_Students_Scores!C6099:V6099)</f>
        <v/>
      </c>
      <c r="E6101" s="57" t="str"/>
      <c r="F6101" s="49" t="str"/>
      <c r="G6101" s="59" t="str"/>
      <c r="H6101" s="64" t="str"/>
      <c r="I6101" s="65" t="str"/>
      <c r="J6101" s="49" t="str"/>
      <c r="K6101" s="41" t="str"/>
      <c r="L6101" s="41" t="str"/>
      <c r="M6101" s="41" t="str"/>
      <c r="N6101" s="41" t="str"/>
      <c r="O6101" s="41" t="str"/>
      <c r="P6101" s="41" t="str"/>
      <c r="Q6101" s="41" t="str"/>
      <c r="R6101" s="41" t="str"/>
      <c r="S6101" s="41" t="str"/>
      <c r="T6101" s="41" t="str"/>
      <c r="U6101" s="41" t="str"/>
      <c r="V6101" s="41" t="str"/>
      <c r="W6101" s="41" t="str"/>
    </row>
    <row r="6102">
      <c r="B6102" s="2" t="n"/>
      <c r="C6102" s="40" t="n"/>
      <c r="D6102" s="52">
        <f t="array" ref="D6102:W6102">IF(All_Students_Scores!C6100:V6100="","",All_Students_Scores!C6100:V6100)</f>
        <v/>
      </c>
      <c r="E6102" s="57" t="str"/>
      <c r="F6102" s="49" t="str"/>
      <c r="G6102" s="59" t="str"/>
      <c r="H6102" s="64" t="str"/>
      <c r="I6102" s="65" t="str"/>
      <c r="J6102" s="49" t="str"/>
      <c r="K6102" s="41" t="str"/>
      <c r="L6102" s="41" t="str"/>
      <c r="M6102" s="41" t="str"/>
      <c r="N6102" s="41" t="str"/>
      <c r="O6102" s="41" t="str"/>
      <c r="P6102" s="41" t="str"/>
      <c r="Q6102" s="41" t="str"/>
      <c r="R6102" s="41" t="str"/>
      <c r="S6102" s="41" t="str"/>
      <c r="T6102" s="41" t="str"/>
      <c r="U6102" s="41" t="str"/>
      <c r="V6102" s="41" t="str"/>
      <c r="W6102" s="41" t="str"/>
    </row>
    <row r="6103">
      <c r="B6103" s="2" t="n"/>
      <c r="C6103" s="40" t="n"/>
      <c r="D6103" s="52">
        <f t="array" ref="D6103:W6103">IF(All_Students_Scores!C6101:V6101="","",All_Students_Scores!C6101:V6101)</f>
        <v/>
      </c>
      <c r="E6103" s="57" t="str"/>
      <c r="F6103" s="49" t="str"/>
      <c r="G6103" s="59" t="str"/>
      <c r="H6103" s="64" t="str"/>
      <c r="I6103" s="65" t="str"/>
      <c r="J6103" s="49" t="str"/>
      <c r="K6103" s="41" t="str"/>
      <c r="L6103" s="41" t="str"/>
      <c r="M6103" s="41" t="str"/>
      <c r="N6103" s="41" t="str"/>
      <c r="O6103" s="41" t="str"/>
      <c r="P6103" s="41" t="str"/>
      <c r="Q6103" s="41" t="str"/>
      <c r="R6103" s="41" t="str"/>
      <c r="S6103" s="41" t="str"/>
      <c r="T6103" s="41" t="str"/>
      <c r="U6103" s="41" t="str"/>
      <c r="V6103" s="41" t="str"/>
      <c r="W6103" s="41" t="str"/>
    </row>
    <row r="6104">
      <c r="B6104" s="2" t="n"/>
      <c r="C6104" s="40" t="n"/>
      <c r="D6104" s="52">
        <f t="array" ref="D6104:W6104">IF(All_Students_Scores!C6102:V6102="","",All_Students_Scores!C6102:V6102)</f>
        <v/>
      </c>
      <c r="E6104" s="57" t="str"/>
      <c r="F6104" s="49" t="str"/>
      <c r="G6104" s="59" t="str"/>
      <c r="H6104" s="64" t="str"/>
      <c r="I6104" s="65" t="str"/>
      <c r="J6104" s="49" t="str"/>
      <c r="K6104" s="41" t="str"/>
      <c r="L6104" s="41" t="str"/>
      <c r="M6104" s="41" t="str"/>
      <c r="N6104" s="41" t="str"/>
      <c r="O6104" s="41" t="str"/>
      <c r="P6104" s="41" t="str"/>
      <c r="Q6104" s="41" t="str"/>
      <c r="R6104" s="41" t="str"/>
      <c r="S6104" s="41" t="str"/>
      <c r="T6104" s="41" t="str"/>
      <c r="U6104" s="41" t="str"/>
      <c r="V6104" s="41" t="str"/>
      <c r="W6104" s="41" t="str"/>
    </row>
    <row r="6105">
      <c r="B6105" s="2" t="n"/>
      <c r="C6105" s="40" t="n"/>
      <c r="D6105" s="52">
        <f t="array" ref="D6105:W6105">IF(All_Students_Scores!C6103:V6103="","",All_Students_Scores!C6103:V6103)</f>
        <v/>
      </c>
      <c r="E6105" s="57" t="str"/>
      <c r="F6105" s="49" t="str"/>
      <c r="G6105" s="59" t="str"/>
      <c r="H6105" s="64" t="str"/>
      <c r="I6105" s="65" t="str"/>
      <c r="J6105" s="49" t="str"/>
      <c r="K6105" s="41" t="str"/>
      <c r="L6105" s="41" t="str"/>
      <c r="M6105" s="41" t="str"/>
      <c r="N6105" s="41" t="str"/>
      <c r="O6105" s="41" t="str"/>
      <c r="P6105" s="41" t="str"/>
      <c r="Q6105" s="41" t="str"/>
      <c r="R6105" s="41" t="str"/>
      <c r="S6105" s="41" t="str"/>
      <c r="T6105" s="41" t="str"/>
      <c r="U6105" s="41" t="str"/>
      <c r="V6105" s="41" t="str"/>
      <c r="W6105" s="41" t="str"/>
    </row>
    <row r="6106">
      <c r="B6106" s="2" t="n"/>
      <c r="C6106" s="40" t="n"/>
      <c r="D6106" s="52">
        <f t="array" ref="D6106:W6106">IF(All_Students_Scores!C6104:V6104="","",All_Students_Scores!C6104:V6104)</f>
        <v/>
      </c>
      <c r="E6106" s="57" t="str"/>
      <c r="F6106" s="49" t="str"/>
      <c r="G6106" s="59" t="str"/>
      <c r="H6106" s="64" t="str"/>
      <c r="I6106" s="65" t="str"/>
      <c r="J6106" s="49" t="str"/>
      <c r="K6106" s="41" t="str"/>
      <c r="L6106" s="41" t="str"/>
      <c r="M6106" s="41" t="str"/>
      <c r="N6106" s="41" t="str"/>
      <c r="O6106" s="41" t="str"/>
      <c r="P6106" s="41" t="str"/>
      <c r="Q6106" s="41" t="str"/>
      <c r="R6106" s="41" t="str"/>
      <c r="S6106" s="41" t="str"/>
      <c r="T6106" s="41" t="str"/>
      <c r="U6106" s="41" t="str"/>
      <c r="V6106" s="41" t="str"/>
      <c r="W6106" s="41" t="str"/>
    </row>
    <row r="6107">
      <c r="B6107" s="2" t="n"/>
      <c r="C6107" s="40" t="n"/>
      <c r="D6107" s="52">
        <f t="array" ref="D6107:W6107">IF(All_Students_Scores!C6105:V6105="","",All_Students_Scores!C6105:V6105)</f>
        <v/>
      </c>
      <c r="E6107" s="57" t="str"/>
      <c r="F6107" s="49" t="str"/>
      <c r="G6107" s="59" t="str"/>
      <c r="H6107" s="64" t="str"/>
      <c r="I6107" s="65" t="str"/>
      <c r="J6107" s="49" t="str"/>
      <c r="K6107" s="41" t="str"/>
      <c r="L6107" s="41" t="str"/>
      <c r="M6107" s="41" t="str"/>
      <c r="N6107" s="41" t="str"/>
      <c r="O6107" s="41" t="str"/>
      <c r="P6107" s="41" t="str"/>
      <c r="Q6107" s="41" t="str"/>
      <c r="R6107" s="41" t="str"/>
      <c r="S6107" s="41" t="str"/>
      <c r="T6107" s="41" t="str"/>
      <c r="U6107" s="41" t="str"/>
      <c r="V6107" s="41" t="str"/>
      <c r="W6107" s="41" t="str"/>
    </row>
    <row r="6108">
      <c r="B6108" s="2" t="n"/>
      <c r="C6108" s="40" t="n"/>
      <c r="D6108" s="52">
        <f t="array" ref="D6108:W6108">IF(All_Students_Scores!C6106:V6106="","",All_Students_Scores!C6106:V6106)</f>
        <v/>
      </c>
      <c r="E6108" s="57" t="str"/>
      <c r="F6108" s="49" t="str"/>
      <c r="G6108" s="59" t="str"/>
      <c r="H6108" s="64" t="str"/>
      <c r="I6108" s="65" t="str"/>
      <c r="J6108" s="49" t="str"/>
      <c r="K6108" s="41" t="str"/>
      <c r="L6108" s="41" t="str"/>
      <c r="M6108" s="41" t="str"/>
      <c r="N6108" s="41" t="str"/>
      <c r="O6108" s="41" t="str"/>
      <c r="P6108" s="41" t="str"/>
      <c r="Q6108" s="41" t="str"/>
      <c r="R6108" s="41" t="str"/>
      <c r="S6108" s="41" t="str"/>
      <c r="T6108" s="41" t="str"/>
      <c r="U6108" s="41" t="str"/>
      <c r="V6108" s="41" t="str"/>
      <c r="W6108" s="41" t="str"/>
    </row>
    <row r="6109">
      <c r="B6109" s="2" t="n"/>
      <c r="C6109" s="40" t="n"/>
      <c r="D6109" s="52">
        <f t="array" ref="D6109:W6109">IF(All_Students_Scores!C6107:V6107="","",All_Students_Scores!C6107:V6107)</f>
        <v/>
      </c>
      <c r="E6109" s="57" t="str"/>
      <c r="F6109" s="49" t="str"/>
      <c r="G6109" s="59" t="str"/>
      <c r="H6109" s="64" t="str"/>
      <c r="I6109" s="65" t="str"/>
      <c r="J6109" s="49" t="str"/>
      <c r="K6109" s="41" t="str"/>
      <c r="L6109" s="41" t="str"/>
      <c r="M6109" s="41" t="str"/>
      <c r="N6109" s="41" t="str"/>
      <c r="O6109" s="41" t="str"/>
      <c r="P6109" s="41" t="str"/>
      <c r="Q6109" s="41" t="str"/>
      <c r="R6109" s="41" t="str"/>
      <c r="S6109" s="41" t="str"/>
      <c r="T6109" s="41" t="str"/>
      <c r="U6109" s="41" t="str"/>
      <c r="V6109" s="41" t="str"/>
      <c r="W6109" s="41" t="str"/>
    </row>
    <row r="6110">
      <c r="B6110" s="2" t="n"/>
      <c r="C6110" s="40" t="n"/>
      <c r="D6110" s="52">
        <f t="array" ref="D6110:W6110">IF(All_Students_Scores!C6108:V6108="","",All_Students_Scores!C6108:V6108)</f>
        <v/>
      </c>
      <c r="E6110" s="57" t="str"/>
      <c r="F6110" s="49" t="str"/>
      <c r="G6110" s="59" t="str"/>
      <c r="H6110" s="64" t="str"/>
      <c r="I6110" s="65" t="str"/>
      <c r="J6110" s="49" t="str"/>
      <c r="K6110" s="41" t="str"/>
      <c r="L6110" s="41" t="str"/>
      <c r="M6110" s="41" t="str"/>
      <c r="N6110" s="41" t="str"/>
      <c r="O6110" s="41" t="str"/>
      <c r="P6110" s="41" t="str"/>
      <c r="Q6110" s="41" t="str"/>
      <c r="R6110" s="41" t="str"/>
      <c r="S6110" s="41" t="str"/>
      <c r="T6110" s="41" t="str"/>
      <c r="U6110" s="41" t="str"/>
      <c r="V6110" s="41" t="str"/>
      <c r="W6110" s="41" t="str"/>
    </row>
    <row r="6111">
      <c r="B6111" s="2" t="n"/>
      <c r="C6111" s="40" t="n"/>
      <c r="D6111" s="52">
        <f t="array" ref="D6111:W6111">IF(All_Students_Scores!C6109:V6109="","",All_Students_Scores!C6109:V6109)</f>
        <v/>
      </c>
      <c r="E6111" s="57" t="str"/>
      <c r="F6111" s="49" t="str"/>
      <c r="G6111" s="59" t="str"/>
      <c r="H6111" s="64" t="str"/>
      <c r="I6111" s="65" t="str"/>
      <c r="J6111" s="49" t="str"/>
      <c r="K6111" s="41" t="str"/>
      <c r="L6111" s="41" t="str"/>
      <c r="M6111" s="41" t="str"/>
      <c r="N6111" s="41" t="str"/>
      <c r="O6111" s="41" t="str"/>
      <c r="P6111" s="41" t="str"/>
      <c r="Q6111" s="41" t="str"/>
      <c r="R6111" s="41" t="str"/>
      <c r="S6111" s="41" t="str"/>
      <c r="T6111" s="41" t="str"/>
      <c r="U6111" s="41" t="str"/>
      <c r="V6111" s="41" t="str"/>
      <c r="W6111" s="41" t="str"/>
    </row>
    <row r="6112">
      <c r="B6112" s="2" t="n"/>
      <c r="C6112" s="40" t="n"/>
      <c r="D6112" s="52">
        <f t="array" ref="D6112:W6112">IF(All_Students_Scores!C6110:V6110="","",All_Students_Scores!C6110:V6110)</f>
        <v/>
      </c>
      <c r="E6112" s="57" t="str"/>
      <c r="F6112" s="49" t="str"/>
      <c r="G6112" s="59" t="str"/>
      <c r="H6112" s="64" t="str"/>
      <c r="I6112" s="65" t="str"/>
      <c r="J6112" s="49" t="str"/>
      <c r="K6112" s="41" t="str"/>
      <c r="L6112" s="41" t="str"/>
      <c r="M6112" s="41" t="str"/>
      <c r="N6112" s="41" t="str"/>
      <c r="O6112" s="41" t="str"/>
      <c r="P6112" s="41" t="str"/>
      <c r="Q6112" s="41" t="str"/>
      <c r="R6112" s="41" t="str"/>
      <c r="S6112" s="41" t="str"/>
      <c r="T6112" s="41" t="str"/>
      <c r="U6112" s="41" t="str"/>
      <c r="V6112" s="41" t="str"/>
      <c r="W6112" s="41" t="str"/>
    </row>
    <row r="6113">
      <c r="B6113" s="2" t="n"/>
      <c r="C6113" s="40" t="n"/>
      <c r="D6113" s="52">
        <f t="array" ref="D6113:W6113">IF(All_Students_Scores!C6111:V6111="","",All_Students_Scores!C6111:V6111)</f>
        <v/>
      </c>
      <c r="E6113" s="57" t="str"/>
      <c r="F6113" s="49" t="str"/>
      <c r="G6113" s="59" t="str"/>
      <c r="H6113" s="64" t="str"/>
      <c r="I6113" s="65" t="str"/>
      <c r="J6113" s="49" t="str"/>
      <c r="K6113" s="41" t="str"/>
      <c r="L6113" s="41" t="str"/>
      <c r="M6113" s="41" t="str"/>
      <c r="N6113" s="41" t="str"/>
      <c r="O6113" s="41" t="str"/>
      <c r="P6113" s="41" t="str"/>
      <c r="Q6113" s="41" t="str"/>
      <c r="R6113" s="41" t="str"/>
      <c r="S6113" s="41" t="str"/>
      <c r="T6113" s="41" t="str"/>
      <c r="U6113" s="41" t="str"/>
      <c r="V6113" s="41" t="str"/>
      <c r="W6113" s="41" t="str"/>
    </row>
    <row r="6114">
      <c r="B6114" s="2" t="n"/>
      <c r="C6114" s="40" t="n"/>
      <c r="D6114" s="52">
        <f t="array" ref="D6114:W6114">IF(All_Students_Scores!C6112:V6112="","",All_Students_Scores!C6112:V6112)</f>
        <v/>
      </c>
      <c r="E6114" s="57" t="str"/>
      <c r="F6114" s="49" t="str"/>
      <c r="G6114" s="59" t="str"/>
      <c r="H6114" s="64" t="str"/>
      <c r="I6114" s="65" t="str"/>
      <c r="J6114" s="49" t="str"/>
      <c r="K6114" s="41" t="str"/>
      <c r="L6114" s="41" t="str"/>
      <c r="M6114" s="41" t="str"/>
      <c r="N6114" s="41" t="str"/>
      <c r="O6114" s="41" t="str"/>
      <c r="P6114" s="41" t="str"/>
      <c r="Q6114" s="41" t="str"/>
      <c r="R6114" s="41" t="str"/>
      <c r="S6114" s="41" t="str"/>
      <c r="T6114" s="41" t="str"/>
      <c r="U6114" s="41" t="str"/>
      <c r="V6114" s="41" t="str"/>
      <c r="W6114" s="41" t="str"/>
    </row>
    <row r="6115">
      <c r="B6115" s="2" t="n"/>
      <c r="C6115" s="40" t="n"/>
      <c r="D6115" s="52">
        <f t="array" ref="D6115:W6115">IF(All_Students_Scores!C6113:V6113="","",All_Students_Scores!C6113:V6113)</f>
        <v/>
      </c>
      <c r="E6115" s="57" t="str"/>
      <c r="F6115" s="49" t="str"/>
      <c r="G6115" s="59" t="str"/>
      <c r="H6115" s="64" t="str"/>
      <c r="I6115" s="65" t="str"/>
      <c r="J6115" s="49" t="str"/>
      <c r="K6115" s="41" t="str"/>
      <c r="L6115" s="41" t="str"/>
      <c r="M6115" s="41" t="str"/>
      <c r="N6115" s="41" t="str"/>
      <c r="O6115" s="41" t="str"/>
      <c r="P6115" s="41" t="str"/>
      <c r="Q6115" s="41" t="str"/>
      <c r="R6115" s="41" t="str"/>
      <c r="S6115" s="41" t="str"/>
      <c r="T6115" s="41" t="str"/>
      <c r="U6115" s="41" t="str"/>
      <c r="V6115" s="41" t="str"/>
      <c r="W6115" s="41" t="str"/>
    </row>
    <row r="6116">
      <c r="B6116" s="2" t="n"/>
      <c r="C6116" s="40" t="n"/>
      <c r="D6116" s="52">
        <f t="array" ref="D6116:W6116">IF(All_Students_Scores!C6114:V6114="","",All_Students_Scores!C6114:V6114)</f>
        <v/>
      </c>
      <c r="E6116" s="57" t="str"/>
      <c r="F6116" s="49" t="str"/>
      <c r="G6116" s="59" t="str"/>
      <c r="H6116" s="64" t="str"/>
      <c r="I6116" s="65" t="str"/>
      <c r="J6116" s="49" t="str"/>
      <c r="K6116" s="41" t="str"/>
      <c r="L6116" s="41" t="str"/>
      <c r="M6116" s="41" t="str"/>
      <c r="N6116" s="41" t="str"/>
      <c r="O6116" s="41" t="str"/>
      <c r="P6116" s="41" t="str"/>
      <c r="Q6116" s="41" t="str"/>
      <c r="R6116" s="41" t="str"/>
      <c r="S6116" s="41" t="str"/>
      <c r="T6116" s="41" t="str"/>
      <c r="U6116" s="41" t="str"/>
      <c r="V6116" s="41" t="str"/>
      <c r="W6116" s="41" t="str"/>
    </row>
    <row r="6117">
      <c r="B6117" s="2" t="n"/>
      <c r="C6117" s="40" t="n"/>
      <c r="D6117" s="52">
        <f t="array" ref="D6117:W6117">IF(All_Students_Scores!C6115:V6115="","",All_Students_Scores!C6115:V6115)</f>
        <v/>
      </c>
      <c r="E6117" s="57" t="str"/>
      <c r="F6117" s="49" t="str"/>
      <c r="G6117" s="59" t="str"/>
      <c r="H6117" s="64" t="str"/>
      <c r="I6117" s="65" t="str"/>
      <c r="J6117" s="49" t="str"/>
      <c r="K6117" s="41" t="str"/>
      <c r="L6117" s="41" t="str"/>
      <c r="M6117" s="41" t="str"/>
      <c r="N6117" s="41" t="str"/>
      <c r="O6117" s="41" t="str"/>
      <c r="P6117" s="41" t="str"/>
      <c r="Q6117" s="41" t="str"/>
      <c r="R6117" s="41" t="str"/>
      <c r="S6117" s="41" t="str"/>
      <c r="T6117" s="41" t="str"/>
      <c r="U6117" s="41" t="str"/>
      <c r="V6117" s="41" t="str"/>
      <c r="W6117" s="41" t="str"/>
    </row>
    <row r="6118">
      <c r="B6118" s="2" t="n"/>
      <c r="C6118" s="40" t="n"/>
      <c r="D6118" s="52">
        <f t="array" ref="D6118:W6118">IF(All_Students_Scores!C6116:V6116="","",All_Students_Scores!C6116:V6116)</f>
        <v/>
      </c>
      <c r="E6118" s="57" t="str"/>
      <c r="F6118" s="49" t="str"/>
      <c r="G6118" s="59" t="str"/>
      <c r="H6118" s="64" t="str"/>
      <c r="I6118" s="65" t="str"/>
      <c r="J6118" s="49" t="str"/>
      <c r="K6118" s="41" t="str"/>
      <c r="L6118" s="41" t="str"/>
      <c r="M6118" s="41" t="str"/>
      <c r="N6118" s="41" t="str"/>
      <c r="O6118" s="41" t="str"/>
      <c r="P6118" s="41" t="str"/>
      <c r="Q6118" s="41" t="str"/>
      <c r="R6118" s="41" t="str"/>
      <c r="S6118" s="41" t="str"/>
      <c r="T6118" s="41" t="str"/>
      <c r="U6118" s="41" t="str"/>
      <c r="V6118" s="41" t="str"/>
      <c r="W6118" s="41" t="str"/>
    </row>
    <row r="6119">
      <c r="B6119" s="2" t="n"/>
      <c r="C6119" s="40" t="n"/>
      <c r="D6119" s="52">
        <f t="array" ref="D6119:W6119">IF(All_Students_Scores!C6117:V6117="","",All_Students_Scores!C6117:V6117)</f>
        <v/>
      </c>
      <c r="E6119" s="57" t="str"/>
      <c r="F6119" s="49" t="str"/>
      <c r="G6119" s="59" t="str"/>
      <c r="H6119" s="64" t="str"/>
      <c r="I6119" s="65" t="str"/>
      <c r="J6119" s="49" t="str"/>
      <c r="K6119" s="41" t="str"/>
      <c r="L6119" s="41" t="str"/>
      <c r="M6119" s="41" t="str"/>
      <c r="N6119" s="41" t="str"/>
      <c r="O6119" s="41" t="str"/>
      <c r="P6119" s="41" t="str"/>
      <c r="Q6119" s="41" t="str"/>
      <c r="R6119" s="41" t="str"/>
      <c r="S6119" s="41" t="str"/>
      <c r="T6119" s="41" t="str"/>
      <c r="U6119" s="41" t="str"/>
      <c r="V6119" s="41" t="str"/>
      <c r="W6119" s="41" t="str"/>
    </row>
    <row r="6120">
      <c r="B6120" s="2" t="n"/>
      <c r="C6120" s="40" t="n"/>
      <c r="D6120" s="52">
        <f t="array" ref="D6120:W6120">IF(All_Students_Scores!C6118:V6118="","",All_Students_Scores!C6118:V6118)</f>
        <v/>
      </c>
      <c r="E6120" s="57" t="str"/>
      <c r="F6120" s="49" t="str"/>
      <c r="G6120" s="59" t="str"/>
      <c r="H6120" s="64" t="str"/>
      <c r="I6120" s="65" t="str"/>
      <c r="J6120" s="49" t="str"/>
      <c r="K6120" s="41" t="str"/>
      <c r="L6120" s="41" t="str"/>
      <c r="M6120" s="41" t="str"/>
      <c r="N6120" s="41" t="str"/>
      <c r="O6120" s="41" t="str"/>
      <c r="P6120" s="41" t="str"/>
      <c r="Q6120" s="41" t="str"/>
      <c r="R6120" s="41" t="str"/>
      <c r="S6120" s="41" t="str"/>
      <c r="T6120" s="41" t="str"/>
      <c r="U6120" s="41" t="str"/>
      <c r="V6120" s="41" t="str"/>
      <c r="W6120" s="41" t="str"/>
    </row>
    <row r="6121">
      <c r="B6121" s="2" t="n"/>
      <c r="C6121" s="40" t="n"/>
      <c r="D6121" s="52">
        <f t="array" ref="D6121:W6121">IF(All_Students_Scores!C6119:V6119="","",All_Students_Scores!C6119:V6119)</f>
        <v/>
      </c>
      <c r="E6121" s="57" t="str"/>
      <c r="F6121" s="49" t="str"/>
      <c r="G6121" s="59" t="str"/>
      <c r="H6121" s="64" t="str"/>
      <c r="I6121" s="65" t="str"/>
      <c r="J6121" s="49" t="str"/>
      <c r="K6121" s="41" t="str"/>
      <c r="L6121" s="41" t="str"/>
      <c r="M6121" s="41" t="str"/>
      <c r="N6121" s="41" t="str"/>
      <c r="O6121" s="41" t="str"/>
      <c r="P6121" s="41" t="str"/>
      <c r="Q6121" s="41" t="str"/>
      <c r="R6121" s="41" t="str"/>
      <c r="S6121" s="41" t="str"/>
      <c r="T6121" s="41" t="str"/>
      <c r="U6121" s="41" t="str"/>
      <c r="V6121" s="41" t="str"/>
      <c r="W6121" s="41" t="str"/>
    </row>
    <row r="6122">
      <c r="B6122" s="2" t="n"/>
      <c r="C6122" s="40" t="n"/>
      <c r="D6122" s="52">
        <f t="array" ref="D6122:W6122">IF(All_Students_Scores!C6120:V6120="","",All_Students_Scores!C6120:V6120)</f>
        <v/>
      </c>
      <c r="E6122" s="57" t="str"/>
      <c r="F6122" s="49" t="str"/>
      <c r="G6122" s="59" t="str"/>
      <c r="H6122" s="64" t="str"/>
      <c r="I6122" s="65" t="str"/>
      <c r="J6122" s="49" t="str"/>
      <c r="K6122" s="41" t="str"/>
      <c r="L6122" s="41" t="str"/>
      <c r="M6122" s="41" t="str"/>
      <c r="N6122" s="41" t="str"/>
      <c r="O6122" s="41" t="str"/>
      <c r="P6122" s="41" t="str"/>
      <c r="Q6122" s="41" t="str"/>
      <c r="R6122" s="41" t="str"/>
      <c r="S6122" s="41" t="str"/>
      <c r="T6122" s="41" t="str"/>
      <c r="U6122" s="41" t="str"/>
      <c r="V6122" s="41" t="str"/>
      <c r="W6122" s="41" t="str"/>
    </row>
    <row r="6123">
      <c r="B6123" s="2" t="n"/>
      <c r="C6123" s="40" t="n"/>
      <c r="D6123" s="52">
        <f t="array" ref="D6123:W6123">IF(All_Students_Scores!C6121:V6121="","",All_Students_Scores!C6121:V6121)</f>
        <v/>
      </c>
      <c r="E6123" s="57" t="str"/>
      <c r="F6123" s="49" t="str"/>
      <c r="G6123" s="59" t="str"/>
      <c r="H6123" s="64" t="str"/>
      <c r="I6123" s="65" t="str"/>
      <c r="J6123" s="49" t="str"/>
      <c r="K6123" s="41" t="str"/>
      <c r="L6123" s="41" t="str"/>
      <c r="M6123" s="41" t="str"/>
      <c r="N6123" s="41" t="str"/>
      <c r="O6123" s="41" t="str"/>
      <c r="P6123" s="41" t="str"/>
      <c r="Q6123" s="41" t="str"/>
      <c r="R6123" s="41" t="str"/>
      <c r="S6123" s="41" t="str"/>
      <c r="T6123" s="41" t="str"/>
      <c r="U6123" s="41" t="str"/>
      <c r="V6123" s="41" t="str"/>
      <c r="W6123" s="41" t="str"/>
    </row>
    <row r="6124">
      <c r="B6124" s="2" t="n"/>
      <c r="C6124" s="40" t="n"/>
      <c r="D6124" s="52">
        <f t="array" ref="D6124:W6124">IF(All_Students_Scores!C6122:V6122="","",All_Students_Scores!C6122:V6122)</f>
        <v/>
      </c>
      <c r="E6124" s="57" t="str"/>
      <c r="F6124" s="49" t="str"/>
      <c r="G6124" s="59" t="str"/>
      <c r="H6124" s="64" t="str"/>
      <c r="I6124" s="65" t="str"/>
      <c r="J6124" s="49" t="str"/>
      <c r="K6124" s="41" t="str"/>
      <c r="L6124" s="41" t="str"/>
      <c r="M6124" s="41" t="str"/>
      <c r="N6124" s="41" t="str"/>
      <c r="O6124" s="41" t="str"/>
      <c r="P6124" s="41" t="str"/>
      <c r="Q6124" s="41" t="str"/>
      <c r="R6124" s="41" t="str"/>
      <c r="S6124" s="41" t="str"/>
      <c r="T6124" s="41" t="str"/>
      <c r="U6124" s="41" t="str"/>
      <c r="V6124" s="41" t="str"/>
      <c r="W6124" s="41" t="str"/>
    </row>
    <row r="6125">
      <c r="B6125" s="2" t="n"/>
      <c r="C6125" s="40" t="n"/>
      <c r="D6125" s="52">
        <f t="array" ref="D6125:W6125">IF(All_Students_Scores!C6123:V6123="","",All_Students_Scores!C6123:V6123)</f>
        <v/>
      </c>
      <c r="E6125" s="57" t="str"/>
      <c r="F6125" s="49" t="str"/>
      <c r="G6125" s="59" t="str"/>
      <c r="H6125" s="64" t="str"/>
      <c r="I6125" s="65" t="str"/>
      <c r="J6125" s="49" t="str"/>
      <c r="K6125" s="41" t="str"/>
      <c r="L6125" s="41" t="str"/>
      <c r="M6125" s="41" t="str"/>
      <c r="N6125" s="41" t="str"/>
      <c r="O6125" s="41" t="str"/>
      <c r="P6125" s="41" t="str"/>
      <c r="Q6125" s="41" t="str"/>
      <c r="R6125" s="41" t="str"/>
      <c r="S6125" s="41" t="str"/>
      <c r="T6125" s="41" t="str"/>
      <c r="U6125" s="41" t="str"/>
      <c r="V6125" s="41" t="str"/>
      <c r="W6125" s="41" t="str"/>
    </row>
    <row r="6126">
      <c r="B6126" s="2" t="n"/>
      <c r="C6126" s="40" t="n"/>
      <c r="D6126" s="52">
        <f t="array" ref="D6126:W6126">IF(All_Students_Scores!C6124:V6124="","",All_Students_Scores!C6124:V6124)</f>
        <v/>
      </c>
      <c r="E6126" s="57" t="str"/>
      <c r="F6126" s="49" t="str"/>
      <c r="G6126" s="59" t="str"/>
      <c r="H6126" s="64" t="str"/>
      <c r="I6126" s="65" t="str"/>
      <c r="J6126" s="49" t="str"/>
      <c r="K6126" s="41" t="str"/>
      <c r="L6126" s="41" t="str"/>
      <c r="M6126" s="41" t="str"/>
      <c r="N6126" s="41" t="str"/>
      <c r="O6126" s="41" t="str"/>
      <c r="P6126" s="41" t="str"/>
      <c r="Q6126" s="41" t="str"/>
      <c r="R6126" s="41" t="str"/>
      <c r="S6126" s="41" t="str"/>
      <c r="T6126" s="41" t="str"/>
      <c r="U6126" s="41" t="str"/>
      <c r="V6126" s="41" t="str"/>
      <c r="W6126" s="41" t="str"/>
    </row>
    <row r="6127">
      <c r="B6127" s="2" t="n"/>
      <c r="C6127" s="40" t="n"/>
      <c r="D6127" s="52">
        <f t="array" ref="D6127:W6127">IF(All_Students_Scores!C6125:V6125="","",All_Students_Scores!C6125:V6125)</f>
        <v/>
      </c>
      <c r="E6127" s="57" t="str"/>
      <c r="F6127" s="49" t="str"/>
      <c r="G6127" s="59" t="str"/>
      <c r="H6127" s="64" t="str"/>
      <c r="I6127" s="65" t="str"/>
      <c r="J6127" s="49" t="str"/>
      <c r="K6127" s="41" t="str"/>
      <c r="L6127" s="41" t="str"/>
      <c r="M6127" s="41" t="str"/>
      <c r="N6127" s="41" t="str"/>
      <c r="O6127" s="41" t="str"/>
      <c r="P6127" s="41" t="str"/>
      <c r="Q6127" s="41" t="str"/>
      <c r="R6127" s="41" t="str"/>
      <c r="S6127" s="41" t="str"/>
      <c r="T6127" s="41" t="str"/>
      <c r="U6127" s="41" t="str"/>
      <c r="V6127" s="41" t="str"/>
      <c r="W6127" s="41" t="str"/>
    </row>
    <row r="6128">
      <c r="B6128" s="2" t="n"/>
      <c r="C6128" s="40" t="n"/>
      <c r="D6128" s="52">
        <f t="array" ref="D6128:W6128">IF(All_Students_Scores!C6126:V6126="","",All_Students_Scores!C6126:V6126)</f>
        <v/>
      </c>
      <c r="E6128" s="57" t="str"/>
      <c r="F6128" s="49" t="str"/>
      <c r="G6128" s="59" t="str"/>
      <c r="H6128" s="64" t="str"/>
      <c r="I6128" s="65" t="str"/>
      <c r="J6128" s="49" t="str"/>
      <c r="K6128" s="41" t="str"/>
      <c r="L6128" s="41" t="str"/>
      <c r="M6128" s="41" t="str"/>
      <c r="N6128" s="41" t="str"/>
      <c r="O6128" s="41" t="str"/>
      <c r="P6128" s="41" t="str"/>
      <c r="Q6128" s="41" t="str"/>
      <c r="R6128" s="41" t="str"/>
      <c r="S6128" s="41" t="str"/>
      <c r="T6128" s="41" t="str"/>
      <c r="U6128" s="41" t="str"/>
      <c r="V6128" s="41" t="str"/>
      <c r="W6128" s="41" t="str"/>
    </row>
    <row r="6129">
      <c r="B6129" s="2" t="n"/>
      <c r="C6129" s="40" t="n"/>
      <c r="D6129" s="52">
        <f t="array" ref="D6129:W6129">IF(All_Students_Scores!C6127:V6127="","",All_Students_Scores!C6127:V6127)</f>
        <v/>
      </c>
      <c r="E6129" s="57" t="str"/>
      <c r="F6129" s="49" t="str"/>
      <c r="G6129" s="59" t="str"/>
      <c r="H6129" s="64" t="str"/>
      <c r="I6129" s="65" t="str"/>
      <c r="J6129" s="49" t="str"/>
      <c r="K6129" s="41" t="str"/>
      <c r="L6129" s="41" t="str"/>
      <c r="M6129" s="41" t="str"/>
      <c r="N6129" s="41" t="str"/>
      <c r="O6129" s="41" t="str"/>
      <c r="P6129" s="41" t="str"/>
      <c r="Q6129" s="41" t="str"/>
      <c r="R6129" s="41" t="str"/>
      <c r="S6129" s="41" t="str"/>
      <c r="T6129" s="41" t="str"/>
      <c r="U6129" s="41" t="str"/>
      <c r="V6129" s="41" t="str"/>
      <c r="W6129" s="41" t="str"/>
    </row>
    <row r="6130">
      <c r="B6130" s="2" t="n"/>
      <c r="C6130" s="40" t="n"/>
      <c r="D6130" s="52">
        <f t="array" ref="D6130:W6130">IF(All_Students_Scores!C6128:V6128="","",All_Students_Scores!C6128:V6128)</f>
        <v/>
      </c>
      <c r="E6130" s="57" t="str"/>
      <c r="F6130" s="49" t="str"/>
      <c r="G6130" s="59" t="str"/>
      <c r="H6130" s="64" t="str"/>
      <c r="I6130" s="65" t="str"/>
      <c r="J6130" s="49" t="str"/>
      <c r="K6130" s="41" t="str"/>
      <c r="L6130" s="41" t="str"/>
      <c r="M6130" s="41" t="str"/>
      <c r="N6130" s="41" t="str"/>
      <c r="O6130" s="41" t="str"/>
      <c r="P6130" s="41" t="str"/>
      <c r="Q6130" s="41" t="str"/>
      <c r="R6130" s="41" t="str"/>
      <c r="S6130" s="41" t="str"/>
      <c r="T6130" s="41" t="str"/>
      <c r="U6130" s="41" t="str"/>
      <c r="V6130" s="41" t="str"/>
      <c r="W6130" s="41" t="str"/>
    </row>
    <row r="6131">
      <c r="B6131" s="2" t="n"/>
      <c r="C6131" s="40" t="n"/>
      <c r="D6131" s="52">
        <f t="array" ref="D6131:W6131">IF(All_Students_Scores!C6129:V6129="","",All_Students_Scores!C6129:V6129)</f>
        <v/>
      </c>
      <c r="E6131" s="57" t="str"/>
      <c r="F6131" s="49" t="str"/>
      <c r="G6131" s="59" t="str"/>
      <c r="H6131" s="64" t="str"/>
      <c r="I6131" s="65" t="str"/>
      <c r="J6131" s="49" t="str"/>
      <c r="K6131" s="41" t="str"/>
      <c r="L6131" s="41" t="str"/>
      <c r="M6131" s="41" t="str"/>
      <c r="N6131" s="41" t="str"/>
      <c r="O6131" s="41" t="str"/>
      <c r="P6131" s="41" t="str"/>
      <c r="Q6131" s="41" t="str"/>
      <c r="R6131" s="41" t="str"/>
      <c r="S6131" s="41" t="str"/>
      <c r="T6131" s="41" t="str"/>
      <c r="U6131" s="41" t="str"/>
      <c r="V6131" s="41" t="str"/>
      <c r="W6131" s="41" t="str"/>
    </row>
    <row r="6132">
      <c r="B6132" s="2" t="n"/>
      <c r="C6132" s="40" t="n"/>
      <c r="D6132" s="52">
        <f t="array" ref="D6132:W6132">IF(All_Students_Scores!C6130:V6130="","",All_Students_Scores!C6130:V6130)</f>
        <v/>
      </c>
      <c r="E6132" s="57" t="str"/>
      <c r="F6132" s="49" t="str"/>
      <c r="G6132" s="59" t="str"/>
      <c r="H6132" s="64" t="str"/>
      <c r="I6132" s="65" t="str"/>
      <c r="J6132" s="49" t="str"/>
      <c r="K6132" s="41" t="str"/>
      <c r="L6132" s="41" t="str"/>
      <c r="M6132" s="41" t="str"/>
      <c r="N6132" s="41" t="str"/>
      <c r="O6132" s="41" t="str"/>
      <c r="P6132" s="41" t="str"/>
      <c r="Q6132" s="41" t="str"/>
      <c r="R6132" s="41" t="str"/>
      <c r="S6132" s="41" t="str"/>
      <c r="T6132" s="41" t="str"/>
      <c r="U6132" s="41" t="str"/>
      <c r="V6132" s="41" t="str"/>
      <c r="W6132" s="41" t="str"/>
    </row>
    <row r="6133">
      <c r="B6133" s="2" t="n"/>
      <c r="C6133" s="40" t="n"/>
      <c r="D6133" s="52">
        <f t="array" ref="D6133:W6133">IF(All_Students_Scores!C6131:V6131="","",All_Students_Scores!C6131:V6131)</f>
        <v/>
      </c>
      <c r="E6133" s="57" t="str"/>
      <c r="F6133" s="49" t="str"/>
      <c r="G6133" s="59" t="str"/>
      <c r="H6133" s="64" t="str"/>
      <c r="I6133" s="65" t="str"/>
      <c r="J6133" s="49" t="str"/>
      <c r="K6133" s="41" t="str"/>
      <c r="L6133" s="41" t="str"/>
      <c r="M6133" s="41" t="str"/>
      <c r="N6133" s="41" t="str"/>
      <c r="O6133" s="41" t="str"/>
      <c r="P6133" s="41" t="str"/>
      <c r="Q6133" s="41" t="str"/>
      <c r="R6133" s="41" t="str"/>
      <c r="S6133" s="41" t="str"/>
      <c r="T6133" s="41" t="str"/>
      <c r="U6133" s="41" t="str"/>
      <c r="V6133" s="41" t="str"/>
      <c r="W6133" s="41" t="str"/>
    </row>
    <row r="6134">
      <c r="B6134" s="2" t="n"/>
      <c r="C6134" s="40" t="n"/>
      <c r="D6134" s="52">
        <f t="array" ref="D6134:W6134">IF(All_Students_Scores!C6132:V6132="","",All_Students_Scores!C6132:V6132)</f>
        <v/>
      </c>
      <c r="E6134" s="57" t="str"/>
      <c r="F6134" s="49" t="str"/>
      <c r="G6134" s="59" t="str"/>
      <c r="H6134" s="64" t="str"/>
      <c r="I6134" s="65" t="str"/>
      <c r="J6134" s="49" t="str"/>
      <c r="K6134" s="41" t="str"/>
      <c r="L6134" s="41" t="str"/>
      <c r="M6134" s="41" t="str"/>
      <c r="N6134" s="41" t="str"/>
      <c r="O6134" s="41" t="str"/>
      <c r="P6134" s="41" t="str"/>
      <c r="Q6134" s="41" t="str"/>
      <c r="R6134" s="41" t="str"/>
      <c r="S6134" s="41" t="str"/>
      <c r="T6134" s="41" t="str"/>
      <c r="U6134" s="41" t="str"/>
      <c r="V6134" s="41" t="str"/>
      <c r="W6134" s="41" t="str"/>
    </row>
    <row r="6135">
      <c r="B6135" s="2" t="n"/>
      <c r="C6135" s="40" t="n"/>
      <c r="D6135" s="52">
        <f t="array" ref="D6135:W6135">IF(All_Students_Scores!C6133:V6133="","",All_Students_Scores!C6133:V6133)</f>
        <v/>
      </c>
      <c r="E6135" s="57" t="str"/>
      <c r="F6135" s="49" t="str"/>
      <c r="G6135" s="59" t="str"/>
      <c r="H6135" s="64" t="str"/>
      <c r="I6135" s="65" t="str"/>
      <c r="J6135" s="49" t="str"/>
      <c r="K6135" s="41" t="str"/>
      <c r="L6135" s="41" t="str"/>
      <c r="M6135" s="41" t="str"/>
      <c r="N6135" s="41" t="str"/>
      <c r="O6135" s="41" t="str"/>
      <c r="P6135" s="41" t="str"/>
      <c r="Q6135" s="41" t="str"/>
      <c r="R6135" s="41" t="str"/>
      <c r="S6135" s="41" t="str"/>
      <c r="T6135" s="41" t="str"/>
      <c r="U6135" s="41" t="str"/>
      <c r="V6135" s="41" t="str"/>
      <c r="W6135" s="41" t="str"/>
    </row>
    <row r="6136">
      <c r="B6136" s="2" t="n"/>
      <c r="C6136" s="40" t="n"/>
      <c r="D6136" s="52">
        <f t="array" ref="D6136:W6136">IF(All_Students_Scores!C6134:V6134="","",All_Students_Scores!C6134:V6134)</f>
        <v/>
      </c>
      <c r="E6136" s="57" t="str"/>
      <c r="F6136" s="49" t="str"/>
      <c r="G6136" s="59" t="str"/>
      <c r="H6136" s="64" t="str"/>
      <c r="I6136" s="65" t="str"/>
      <c r="J6136" s="49" t="str"/>
      <c r="K6136" s="41" t="str"/>
      <c r="L6136" s="41" t="str"/>
      <c r="M6136" s="41" t="str"/>
      <c r="N6136" s="41" t="str"/>
      <c r="O6136" s="41" t="str"/>
      <c r="P6136" s="41" t="str"/>
      <c r="Q6136" s="41" t="str"/>
      <c r="R6136" s="41" t="str"/>
      <c r="S6136" s="41" t="str"/>
      <c r="T6136" s="41" t="str"/>
      <c r="U6136" s="41" t="str"/>
      <c r="V6136" s="41" t="str"/>
      <c r="W6136" s="41" t="str"/>
    </row>
    <row r="6137">
      <c r="B6137" s="2" t="n"/>
      <c r="C6137" s="40" t="n"/>
      <c r="D6137" s="52">
        <f t="array" ref="D6137:W6137">IF(All_Students_Scores!C6135:V6135="","",All_Students_Scores!C6135:V6135)</f>
        <v/>
      </c>
      <c r="E6137" s="57" t="str"/>
      <c r="F6137" s="49" t="str"/>
      <c r="G6137" s="59" t="str"/>
      <c r="H6137" s="64" t="str"/>
      <c r="I6137" s="65" t="str"/>
      <c r="J6137" s="49" t="str"/>
      <c r="K6137" s="41" t="str"/>
      <c r="L6137" s="41" t="str"/>
      <c r="M6137" s="41" t="str"/>
      <c r="N6137" s="41" t="str"/>
      <c r="O6137" s="41" t="str"/>
      <c r="P6137" s="41" t="str"/>
      <c r="Q6137" s="41" t="str"/>
      <c r="R6137" s="41" t="str"/>
      <c r="S6137" s="41" t="str"/>
      <c r="T6137" s="41" t="str"/>
      <c r="U6137" s="41" t="str"/>
      <c r="V6137" s="41" t="str"/>
      <c r="W6137" s="41" t="str"/>
    </row>
    <row r="6138">
      <c r="B6138" s="2" t="n"/>
      <c r="C6138" s="40" t="n"/>
      <c r="D6138" s="52">
        <f t="array" ref="D6138:W6138">IF(All_Students_Scores!C6136:V6136="","",All_Students_Scores!C6136:V6136)</f>
        <v/>
      </c>
      <c r="E6138" s="57" t="str"/>
      <c r="F6138" s="49" t="str"/>
      <c r="G6138" s="59" t="str"/>
      <c r="H6138" s="64" t="str"/>
      <c r="I6138" s="65" t="str"/>
      <c r="J6138" s="49" t="str"/>
      <c r="K6138" s="41" t="str"/>
      <c r="L6138" s="41" t="str"/>
      <c r="M6138" s="41" t="str"/>
      <c r="N6138" s="41" t="str"/>
      <c r="O6138" s="41" t="str"/>
      <c r="P6138" s="41" t="str"/>
      <c r="Q6138" s="41" t="str"/>
      <c r="R6138" s="41" t="str"/>
      <c r="S6138" s="41" t="str"/>
      <c r="T6138" s="41" t="str"/>
      <c r="U6138" s="41" t="str"/>
      <c r="V6138" s="41" t="str"/>
      <c r="W6138" s="41" t="str"/>
    </row>
    <row r="6139">
      <c r="B6139" s="2" t="n"/>
      <c r="C6139" s="40" t="n"/>
      <c r="D6139" s="52">
        <f t="array" ref="D6139:W6139">IF(All_Students_Scores!C6137:V6137="","",All_Students_Scores!C6137:V6137)</f>
        <v/>
      </c>
      <c r="E6139" s="57" t="str"/>
      <c r="F6139" s="49" t="str"/>
      <c r="G6139" s="59" t="str"/>
      <c r="H6139" s="64" t="str"/>
      <c r="I6139" s="65" t="str"/>
      <c r="J6139" s="49" t="str"/>
      <c r="K6139" s="41" t="str"/>
      <c r="L6139" s="41" t="str"/>
      <c r="M6139" s="41" t="str"/>
      <c r="N6139" s="41" t="str"/>
      <c r="O6139" s="41" t="str"/>
      <c r="P6139" s="41" t="str"/>
      <c r="Q6139" s="41" t="str"/>
      <c r="R6139" s="41" t="str"/>
      <c r="S6139" s="41" t="str"/>
      <c r="T6139" s="41" t="str"/>
      <c r="U6139" s="41" t="str"/>
      <c r="V6139" s="41" t="str"/>
      <c r="W6139" s="41" t="str"/>
    </row>
    <row r="6140">
      <c r="B6140" s="2" t="n"/>
      <c r="C6140" s="40" t="n"/>
      <c r="D6140" s="52">
        <f t="array" ref="D6140:W6140">IF(All_Students_Scores!C6138:V6138="","",All_Students_Scores!C6138:V6138)</f>
        <v/>
      </c>
      <c r="E6140" s="57" t="str"/>
      <c r="F6140" s="49" t="str"/>
      <c r="G6140" s="59" t="str"/>
      <c r="H6140" s="64" t="str"/>
      <c r="I6140" s="65" t="str"/>
      <c r="J6140" s="49" t="str"/>
      <c r="K6140" s="41" t="str"/>
      <c r="L6140" s="41" t="str"/>
      <c r="M6140" s="41" t="str"/>
      <c r="N6140" s="41" t="str"/>
      <c r="O6140" s="41" t="str"/>
      <c r="P6140" s="41" t="str"/>
      <c r="Q6140" s="41" t="str"/>
      <c r="R6140" s="41" t="str"/>
      <c r="S6140" s="41" t="str"/>
      <c r="T6140" s="41" t="str"/>
      <c r="U6140" s="41" t="str"/>
      <c r="V6140" s="41" t="str"/>
      <c r="W6140" s="41" t="str"/>
    </row>
    <row r="6141">
      <c r="B6141" s="2" t="n"/>
      <c r="C6141" s="40" t="n"/>
      <c r="D6141" s="52">
        <f t="array" ref="D6141:W6141">IF(All_Students_Scores!C6139:V6139="","",All_Students_Scores!C6139:V6139)</f>
        <v/>
      </c>
      <c r="E6141" s="57" t="str"/>
      <c r="F6141" s="49" t="str"/>
      <c r="G6141" s="59" t="str"/>
      <c r="H6141" s="64" t="str"/>
      <c r="I6141" s="65" t="str"/>
      <c r="J6141" s="49" t="str"/>
      <c r="K6141" s="41" t="str"/>
      <c r="L6141" s="41" t="str"/>
      <c r="M6141" s="41" t="str"/>
      <c r="N6141" s="41" t="str"/>
      <c r="O6141" s="41" t="str"/>
      <c r="P6141" s="41" t="str"/>
      <c r="Q6141" s="41" t="str"/>
      <c r="R6141" s="41" t="str"/>
      <c r="S6141" s="41" t="str"/>
      <c r="T6141" s="41" t="str"/>
      <c r="U6141" s="41" t="str"/>
      <c r="V6141" s="41" t="str"/>
      <c r="W6141" s="41" t="str"/>
    </row>
    <row r="6142">
      <c r="B6142" s="2" t="n"/>
      <c r="C6142" s="40" t="n"/>
      <c r="D6142" s="52">
        <f t="array" ref="D6142:W6142">IF(All_Students_Scores!C6140:V6140="","",All_Students_Scores!C6140:V6140)</f>
        <v/>
      </c>
      <c r="E6142" s="57" t="str"/>
      <c r="F6142" s="49" t="str"/>
      <c r="G6142" s="59" t="str"/>
      <c r="H6142" s="64" t="str"/>
      <c r="I6142" s="65" t="str"/>
      <c r="J6142" s="49" t="str"/>
      <c r="K6142" s="41" t="str"/>
      <c r="L6142" s="41" t="str"/>
      <c r="M6142" s="41" t="str"/>
      <c r="N6142" s="41" t="str"/>
      <c r="O6142" s="41" t="str"/>
      <c r="P6142" s="41" t="str"/>
      <c r="Q6142" s="41" t="str"/>
      <c r="R6142" s="41" t="str"/>
      <c r="S6142" s="41" t="str"/>
      <c r="T6142" s="41" t="str"/>
      <c r="U6142" s="41" t="str"/>
      <c r="V6142" s="41" t="str"/>
      <c r="W6142" s="41" t="str"/>
    </row>
    <row r="6143">
      <c r="B6143" s="2" t="n"/>
      <c r="C6143" s="40" t="n"/>
      <c r="D6143" s="52">
        <f t="array" ref="D6143:W6143">IF(All_Students_Scores!C6141:V6141="","",All_Students_Scores!C6141:V6141)</f>
        <v/>
      </c>
      <c r="E6143" s="57" t="str"/>
      <c r="F6143" s="49" t="str"/>
      <c r="G6143" s="59" t="str"/>
      <c r="H6143" s="64" t="str"/>
      <c r="I6143" s="65" t="str"/>
      <c r="J6143" s="49" t="str"/>
      <c r="K6143" s="41" t="str"/>
      <c r="L6143" s="41" t="str"/>
      <c r="M6143" s="41" t="str"/>
      <c r="N6143" s="41" t="str"/>
      <c r="O6143" s="41" t="str"/>
      <c r="P6143" s="41" t="str"/>
      <c r="Q6143" s="41" t="str"/>
      <c r="R6143" s="41" t="str"/>
      <c r="S6143" s="41" t="str"/>
      <c r="T6143" s="41" t="str"/>
      <c r="U6143" s="41" t="str"/>
      <c r="V6143" s="41" t="str"/>
      <c r="W6143" s="41" t="str"/>
    </row>
    <row r="6144">
      <c r="B6144" s="2" t="n"/>
      <c r="C6144" s="40" t="n"/>
      <c r="D6144" s="52">
        <f t="array" ref="D6144:W6144">IF(All_Students_Scores!C6142:V6142="","",All_Students_Scores!C6142:V6142)</f>
        <v/>
      </c>
      <c r="E6144" s="57" t="str"/>
      <c r="F6144" s="49" t="str"/>
      <c r="G6144" s="59" t="str"/>
      <c r="H6144" s="64" t="str"/>
      <c r="I6144" s="65" t="str"/>
      <c r="J6144" s="49" t="str"/>
      <c r="K6144" s="41" t="str"/>
      <c r="L6144" s="41" t="str"/>
      <c r="M6144" s="41" t="str"/>
      <c r="N6144" s="41" t="str"/>
      <c r="O6144" s="41" t="str"/>
      <c r="P6144" s="41" t="str"/>
      <c r="Q6144" s="41" t="str"/>
      <c r="R6144" s="41" t="str"/>
      <c r="S6144" s="41" t="str"/>
      <c r="T6144" s="41" t="str"/>
      <c r="U6144" s="41" t="str"/>
      <c r="V6144" s="41" t="str"/>
      <c r="W6144" s="41" t="str"/>
    </row>
    <row r="6145">
      <c r="B6145" s="2" t="n"/>
      <c r="C6145" s="40" t="n"/>
      <c r="D6145" s="52">
        <f t="array" ref="D6145:W6145">IF(All_Students_Scores!C6143:V6143="","",All_Students_Scores!C6143:V6143)</f>
        <v/>
      </c>
      <c r="E6145" s="57" t="str"/>
      <c r="F6145" s="49" t="str"/>
      <c r="G6145" s="59" t="str"/>
      <c r="H6145" s="64" t="str"/>
      <c r="I6145" s="65" t="str"/>
      <c r="J6145" s="49" t="str"/>
      <c r="K6145" s="41" t="str"/>
      <c r="L6145" s="41" t="str"/>
      <c r="M6145" s="41" t="str"/>
      <c r="N6145" s="41" t="str"/>
      <c r="O6145" s="41" t="str"/>
      <c r="P6145" s="41" t="str"/>
      <c r="Q6145" s="41" t="str"/>
      <c r="R6145" s="41" t="str"/>
      <c r="S6145" s="41" t="str"/>
      <c r="T6145" s="41" t="str"/>
      <c r="U6145" s="41" t="str"/>
      <c r="V6145" s="41" t="str"/>
      <c r="W6145" s="41" t="str"/>
    </row>
    <row r="6146">
      <c r="B6146" s="2" t="n"/>
      <c r="C6146" s="40" t="n"/>
      <c r="D6146" s="52">
        <f t="array" ref="D6146:W6146">IF(All_Students_Scores!C6144:V6144="","",All_Students_Scores!C6144:V6144)</f>
        <v/>
      </c>
      <c r="E6146" s="57" t="str"/>
      <c r="F6146" s="49" t="str"/>
      <c r="G6146" s="59" t="str"/>
      <c r="H6146" s="64" t="str"/>
      <c r="I6146" s="65" t="str"/>
      <c r="J6146" s="49" t="str"/>
      <c r="K6146" s="41" t="str"/>
      <c r="L6146" s="41" t="str"/>
      <c r="M6146" s="41" t="str"/>
      <c r="N6146" s="41" t="str"/>
      <c r="O6146" s="41" t="str"/>
      <c r="P6146" s="41" t="str"/>
      <c r="Q6146" s="41" t="str"/>
      <c r="R6146" s="41" t="str"/>
      <c r="S6146" s="41" t="str"/>
      <c r="T6146" s="41" t="str"/>
      <c r="U6146" s="41" t="str"/>
      <c r="V6146" s="41" t="str"/>
      <c r="W6146" s="41" t="str"/>
    </row>
    <row r="6147">
      <c r="B6147" s="2" t="n"/>
      <c r="C6147" s="40" t="n"/>
      <c r="D6147" s="52">
        <f t="array" ref="D6147:W6147">IF(All_Students_Scores!C6145:V6145="","",All_Students_Scores!C6145:V6145)</f>
        <v/>
      </c>
      <c r="E6147" s="57" t="str"/>
      <c r="F6147" s="49" t="str"/>
      <c r="G6147" s="59" t="str"/>
      <c r="H6147" s="64" t="str"/>
      <c r="I6147" s="65" t="str"/>
      <c r="J6147" s="49" t="str"/>
      <c r="K6147" s="41" t="str"/>
      <c r="L6147" s="41" t="str"/>
      <c r="M6147" s="41" t="str"/>
      <c r="N6147" s="41" t="str"/>
      <c r="O6147" s="41" t="str"/>
      <c r="P6147" s="41" t="str"/>
      <c r="Q6147" s="41" t="str"/>
      <c r="R6147" s="41" t="str"/>
      <c r="S6147" s="41" t="str"/>
      <c r="T6147" s="41" t="str"/>
      <c r="U6147" s="41" t="str"/>
      <c r="V6147" s="41" t="str"/>
      <c r="W6147" s="41" t="str"/>
    </row>
    <row r="6148">
      <c r="B6148" s="2" t="n"/>
      <c r="C6148" s="40" t="n"/>
      <c r="D6148" s="52">
        <f t="array" ref="D6148:W6148">IF(All_Students_Scores!C6146:V6146="","",All_Students_Scores!C6146:V6146)</f>
        <v/>
      </c>
      <c r="E6148" s="57" t="str"/>
      <c r="F6148" s="49" t="str"/>
      <c r="G6148" s="59" t="str"/>
      <c r="H6148" s="64" t="str"/>
      <c r="I6148" s="65" t="str"/>
      <c r="J6148" s="49" t="str"/>
      <c r="K6148" s="41" t="str"/>
      <c r="L6148" s="41" t="str"/>
      <c r="M6148" s="41" t="str"/>
      <c r="N6148" s="41" t="str"/>
      <c r="O6148" s="41" t="str"/>
      <c r="P6148" s="41" t="str"/>
      <c r="Q6148" s="41" t="str"/>
      <c r="R6148" s="41" t="str"/>
      <c r="S6148" s="41" t="str"/>
      <c r="T6148" s="41" t="str"/>
      <c r="U6148" s="41" t="str"/>
      <c r="V6148" s="41" t="str"/>
      <c r="W6148" s="41" t="str"/>
    </row>
    <row r="6149">
      <c r="B6149" s="2" t="n"/>
      <c r="C6149" s="40" t="n"/>
      <c r="D6149" s="52">
        <f t="array" ref="D6149:W6149">IF(All_Students_Scores!C6147:V6147="","",All_Students_Scores!C6147:V6147)</f>
        <v/>
      </c>
      <c r="E6149" s="57" t="str"/>
      <c r="F6149" s="49" t="str"/>
      <c r="G6149" s="59" t="str"/>
      <c r="H6149" s="64" t="str"/>
      <c r="I6149" s="65" t="str"/>
      <c r="J6149" s="49" t="str"/>
      <c r="K6149" s="41" t="str"/>
      <c r="L6149" s="41" t="str"/>
      <c r="M6149" s="41" t="str"/>
      <c r="N6149" s="41" t="str"/>
      <c r="O6149" s="41" t="str"/>
      <c r="P6149" s="41" t="str"/>
      <c r="Q6149" s="41" t="str"/>
      <c r="R6149" s="41" t="str"/>
      <c r="S6149" s="41" t="str"/>
      <c r="T6149" s="41" t="str"/>
      <c r="U6149" s="41" t="str"/>
      <c r="V6149" s="41" t="str"/>
      <c r="W6149" s="41" t="str"/>
    </row>
    <row r="6150">
      <c r="B6150" s="2" t="n"/>
      <c r="C6150" s="40" t="n"/>
      <c r="D6150" s="52">
        <f t="array" ref="D6150:W6150">IF(All_Students_Scores!C6148:V6148="","",All_Students_Scores!C6148:V6148)</f>
        <v/>
      </c>
      <c r="E6150" s="57" t="str"/>
      <c r="F6150" s="49" t="str"/>
      <c r="G6150" s="59" t="str"/>
      <c r="H6150" s="64" t="str"/>
      <c r="I6150" s="65" t="str"/>
      <c r="J6150" s="49" t="str"/>
      <c r="K6150" s="41" t="str"/>
      <c r="L6150" s="41" t="str"/>
      <c r="M6150" s="41" t="str"/>
      <c r="N6150" s="41" t="str"/>
      <c r="O6150" s="41" t="str"/>
      <c r="P6150" s="41" t="str"/>
      <c r="Q6150" s="41" t="str"/>
      <c r="R6150" s="41" t="str"/>
      <c r="S6150" s="41" t="str"/>
      <c r="T6150" s="41" t="str"/>
      <c r="U6150" s="41" t="str"/>
      <c r="V6150" s="41" t="str"/>
      <c r="W6150" s="41" t="str"/>
    </row>
    <row r="6151">
      <c r="B6151" s="2" t="n"/>
      <c r="C6151" s="40" t="n"/>
      <c r="D6151" s="52">
        <f t="array" ref="D6151:W6151">IF(All_Students_Scores!C6149:V6149="","",All_Students_Scores!C6149:V6149)</f>
        <v/>
      </c>
      <c r="E6151" s="57" t="str"/>
      <c r="F6151" s="49" t="str"/>
      <c r="G6151" s="59" t="str"/>
      <c r="H6151" s="64" t="str"/>
      <c r="I6151" s="65" t="str"/>
      <c r="J6151" s="49" t="str"/>
      <c r="K6151" s="41" t="str"/>
      <c r="L6151" s="41" t="str"/>
      <c r="M6151" s="41" t="str"/>
      <c r="N6151" s="41" t="str"/>
      <c r="O6151" s="41" t="str"/>
      <c r="P6151" s="41" t="str"/>
      <c r="Q6151" s="41" t="str"/>
      <c r="R6151" s="41" t="str"/>
      <c r="S6151" s="41" t="str"/>
      <c r="T6151" s="41" t="str"/>
      <c r="U6151" s="41" t="str"/>
      <c r="V6151" s="41" t="str"/>
      <c r="W6151" s="41" t="str"/>
    </row>
    <row r="6152">
      <c r="B6152" s="2" t="n"/>
      <c r="C6152" s="40" t="n"/>
      <c r="D6152" s="52">
        <f t="array" ref="D6152:W6152">IF(All_Students_Scores!C6150:V6150="","",All_Students_Scores!C6150:V6150)</f>
        <v/>
      </c>
      <c r="E6152" s="57" t="str"/>
      <c r="F6152" s="49" t="str"/>
      <c r="G6152" s="59" t="str"/>
      <c r="H6152" s="64" t="str"/>
      <c r="I6152" s="65" t="str"/>
      <c r="J6152" s="49" t="str"/>
      <c r="K6152" s="41" t="str"/>
      <c r="L6152" s="41" t="str"/>
      <c r="M6152" s="41" t="str"/>
      <c r="N6152" s="41" t="str"/>
      <c r="O6152" s="41" t="str"/>
      <c r="P6152" s="41" t="str"/>
      <c r="Q6152" s="41" t="str"/>
      <c r="R6152" s="41" t="str"/>
      <c r="S6152" s="41" t="str"/>
      <c r="T6152" s="41" t="str"/>
      <c r="U6152" s="41" t="str"/>
      <c r="V6152" s="41" t="str"/>
      <c r="W6152" s="41" t="str"/>
    </row>
    <row r="6153">
      <c r="B6153" s="2" t="n"/>
      <c r="C6153" s="40" t="n"/>
      <c r="D6153" s="52">
        <f t="array" ref="D6153:W6153">IF(All_Students_Scores!C6151:V6151="","",All_Students_Scores!C6151:V6151)</f>
        <v/>
      </c>
      <c r="E6153" s="57" t="str"/>
      <c r="F6153" s="49" t="str"/>
      <c r="G6153" s="59" t="str"/>
      <c r="H6153" s="64" t="str"/>
      <c r="I6153" s="65" t="str"/>
      <c r="J6153" s="49" t="str"/>
      <c r="K6153" s="41" t="str"/>
      <c r="L6153" s="41" t="str"/>
      <c r="M6153" s="41" t="str"/>
      <c r="N6153" s="41" t="str"/>
      <c r="O6153" s="41" t="str"/>
      <c r="P6153" s="41" t="str"/>
      <c r="Q6153" s="41" t="str"/>
      <c r="R6153" s="41" t="str"/>
      <c r="S6153" s="41" t="str"/>
      <c r="T6153" s="41" t="str"/>
      <c r="U6153" s="41" t="str"/>
      <c r="V6153" s="41" t="str"/>
      <c r="W6153" s="41" t="str"/>
    </row>
    <row r="6154">
      <c r="B6154" s="2" t="n"/>
      <c r="C6154" s="40" t="n"/>
      <c r="D6154" s="52">
        <f t="array" ref="D6154:W6154">IF(All_Students_Scores!C6152:V6152="","",All_Students_Scores!C6152:V6152)</f>
        <v/>
      </c>
      <c r="E6154" s="57" t="str"/>
      <c r="F6154" s="49" t="str"/>
      <c r="G6154" s="59" t="str"/>
      <c r="H6154" s="64" t="str"/>
      <c r="I6154" s="65" t="str"/>
      <c r="J6154" s="49" t="str"/>
      <c r="K6154" s="41" t="str"/>
      <c r="L6154" s="41" t="str"/>
      <c r="M6154" s="41" t="str"/>
      <c r="N6154" s="41" t="str"/>
      <c r="O6154" s="41" t="str"/>
      <c r="P6154" s="41" t="str"/>
      <c r="Q6154" s="41" t="str"/>
      <c r="R6154" s="41" t="str"/>
      <c r="S6154" s="41" t="str"/>
      <c r="T6154" s="41" t="str"/>
      <c r="U6154" s="41" t="str"/>
      <c r="V6154" s="41" t="str"/>
      <c r="W6154" s="41" t="str"/>
    </row>
    <row r="6155">
      <c r="B6155" s="2" t="n"/>
      <c r="C6155" s="40" t="n"/>
      <c r="D6155" s="52">
        <f t="array" ref="D6155:W6155">IF(All_Students_Scores!C6153:V6153="","",All_Students_Scores!C6153:V6153)</f>
        <v/>
      </c>
      <c r="E6155" s="57" t="str"/>
      <c r="F6155" s="49" t="str"/>
      <c r="G6155" s="59" t="str"/>
      <c r="H6155" s="64" t="str"/>
      <c r="I6155" s="65" t="str"/>
      <c r="J6155" s="49" t="str"/>
      <c r="K6155" s="41" t="str"/>
      <c r="L6155" s="41" t="str"/>
      <c r="M6155" s="41" t="str"/>
      <c r="N6155" s="41" t="str"/>
      <c r="O6155" s="41" t="str"/>
      <c r="P6155" s="41" t="str"/>
      <c r="Q6155" s="41" t="str"/>
      <c r="R6155" s="41" t="str"/>
      <c r="S6155" s="41" t="str"/>
      <c r="T6155" s="41" t="str"/>
      <c r="U6155" s="41" t="str"/>
      <c r="V6155" s="41" t="str"/>
      <c r="W6155" s="41" t="str"/>
    </row>
    <row r="6156">
      <c r="B6156" s="2" t="n"/>
      <c r="C6156" s="40" t="n"/>
      <c r="D6156" s="52">
        <f t="array" ref="D6156:W6156">IF(All_Students_Scores!C6154:V6154="","",All_Students_Scores!C6154:V6154)</f>
        <v/>
      </c>
      <c r="E6156" s="57" t="str"/>
      <c r="F6156" s="49" t="str"/>
      <c r="G6156" s="59" t="str"/>
      <c r="H6156" s="64" t="str"/>
      <c r="I6156" s="65" t="str"/>
      <c r="J6156" s="49" t="str"/>
      <c r="K6156" s="41" t="str"/>
      <c r="L6156" s="41" t="str"/>
      <c r="M6156" s="41" t="str"/>
      <c r="N6156" s="41" t="str"/>
      <c r="O6156" s="41" t="str"/>
      <c r="P6156" s="41" t="str"/>
      <c r="Q6156" s="41" t="str"/>
      <c r="R6156" s="41" t="str"/>
      <c r="S6156" s="41" t="str"/>
      <c r="T6156" s="41" t="str"/>
      <c r="U6156" s="41" t="str"/>
      <c r="V6156" s="41" t="str"/>
      <c r="W6156" s="41" t="str"/>
    </row>
    <row r="6157">
      <c r="B6157" s="2" t="n"/>
      <c r="C6157" s="40" t="n"/>
      <c r="D6157" s="52">
        <f t="array" ref="D6157:W6157">IF(All_Students_Scores!C6155:V6155="","",All_Students_Scores!C6155:V6155)</f>
        <v/>
      </c>
      <c r="E6157" s="57" t="str"/>
      <c r="F6157" s="49" t="str"/>
      <c r="G6157" s="59" t="str"/>
      <c r="H6157" s="64" t="str"/>
      <c r="I6157" s="65" t="str"/>
      <c r="J6157" s="49" t="str"/>
      <c r="K6157" s="41" t="str"/>
      <c r="L6157" s="41" t="str"/>
      <c r="M6157" s="41" t="str"/>
      <c r="N6157" s="41" t="str"/>
      <c r="O6157" s="41" t="str"/>
      <c r="P6157" s="41" t="str"/>
      <c r="Q6157" s="41" t="str"/>
      <c r="R6157" s="41" t="str"/>
      <c r="S6157" s="41" t="str"/>
      <c r="T6157" s="41" t="str"/>
      <c r="U6157" s="41" t="str"/>
      <c r="V6157" s="41" t="str"/>
      <c r="W6157" s="41" t="str"/>
    </row>
    <row r="6158">
      <c r="B6158" s="2" t="n"/>
      <c r="C6158" s="40" t="n"/>
      <c r="D6158" s="52">
        <f t="array" ref="D6158:W6158">IF(All_Students_Scores!C6156:V6156="","",All_Students_Scores!C6156:V6156)</f>
        <v/>
      </c>
      <c r="E6158" s="57" t="str"/>
      <c r="F6158" s="49" t="str"/>
      <c r="G6158" s="59" t="str"/>
      <c r="H6158" s="64" t="str"/>
      <c r="I6158" s="65" t="str"/>
      <c r="J6158" s="49" t="str"/>
      <c r="K6158" s="41" t="str"/>
      <c r="L6158" s="41" t="str"/>
      <c r="M6158" s="41" t="str"/>
      <c r="N6158" s="41" t="str"/>
      <c r="O6158" s="41" t="str"/>
      <c r="P6158" s="41" t="str"/>
      <c r="Q6158" s="41" t="str"/>
      <c r="R6158" s="41" t="str"/>
      <c r="S6158" s="41" t="str"/>
      <c r="T6158" s="41" t="str"/>
      <c r="U6158" s="41" t="str"/>
      <c r="V6158" s="41" t="str"/>
      <c r="W6158" s="41" t="str"/>
    </row>
    <row r="6159">
      <c r="B6159" s="2" t="n"/>
      <c r="C6159" s="40" t="n"/>
      <c r="D6159" s="52">
        <f t="array" ref="D6159:W6159">IF(All_Students_Scores!C6157:V6157="","",All_Students_Scores!C6157:V6157)</f>
        <v/>
      </c>
      <c r="E6159" s="57" t="str"/>
      <c r="F6159" s="49" t="str"/>
      <c r="G6159" s="59" t="str"/>
      <c r="H6159" s="64" t="str"/>
      <c r="I6159" s="65" t="str"/>
      <c r="J6159" s="49" t="str"/>
      <c r="K6159" s="41" t="str"/>
      <c r="L6159" s="41" t="str"/>
      <c r="M6159" s="41" t="str"/>
      <c r="N6159" s="41" t="str"/>
      <c r="O6159" s="41" t="str"/>
      <c r="P6159" s="41" t="str"/>
      <c r="Q6159" s="41" t="str"/>
      <c r="R6159" s="41" t="str"/>
      <c r="S6159" s="41" t="str"/>
      <c r="T6159" s="41" t="str"/>
      <c r="U6159" s="41" t="str"/>
      <c r="V6159" s="41" t="str"/>
      <c r="W6159" s="41" t="str"/>
    </row>
    <row r="6160">
      <c r="B6160" s="2" t="n"/>
      <c r="C6160" s="40" t="n"/>
      <c r="D6160" s="52">
        <f t="array" ref="D6160:W6160">IF(All_Students_Scores!C6158:V6158="","",All_Students_Scores!C6158:V6158)</f>
        <v/>
      </c>
      <c r="E6160" s="57" t="str"/>
      <c r="F6160" s="49" t="str"/>
      <c r="G6160" s="59" t="str"/>
      <c r="H6160" s="64" t="str"/>
      <c r="I6160" s="65" t="str"/>
      <c r="J6160" s="49" t="str"/>
      <c r="K6160" s="41" t="str"/>
      <c r="L6160" s="41" t="str"/>
      <c r="M6160" s="41" t="str"/>
      <c r="N6160" s="41" t="str"/>
      <c r="O6160" s="41" t="str"/>
      <c r="P6160" s="41" t="str"/>
      <c r="Q6160" s="41" t="str"/>
      <c r="R6160" s="41" t="str"/>
      <c r="S6160" s="41" t="str"/>
      <c r="T6160" s="41" t="str"/>
      <c r="U6160" s="41" t="str"/>
      <c r="V6160" s="41" t="str"/>
      <c r="W6160" s="41" t="str"/>
    </row>
    <row r="6161">
      <c r="B6161" s="2" t="n"/>
      <c r="C6161" s="40" t="n"/>
      <c r="D6161" s="52">
        <f t="array" ref="D6161:W6161">IF(All_Students_Scores!C6159:V6159="","",All_Students_Scores!C6159:V6159)</f>
        <v/>
      </c>
      <c r="E6161" s="57" t="str"/>
      <c r="F6161" s="49" t="str"/>
      <c r="G6161" s="59" t="str"/>
      <c r="H6161" s="64" t="str"/>
      <c r="I6161" s="65" t="str"/>
      <c r="J6161" s="49" t="str"/>
      <c r="K6161" s="41" t="str"/>
      <c r="L6161" s="41" t="str"/>
      <c r="M6161" s="41" t="str"/>
      <c r="N6161" s="41" t="str"/>
      <c r="O6161" s="41" t="str"/>
      <c r="P6161" s="41" t="str"/>
      <c r="Q6161" s="41" t="str"/>
      <c r="R6161" s="41" t="str"/>
      <c r="S6161" s="41" t="str"/>
      <c r="T6161" s="41" t="str"/>
      <c r="U6161" s="41" t="str"/>
      <c r="V6161" s="41" t="str"/>
      <c r="W6161" s="41" t="str"/>
    </row>
    <row r="6162">
      <c r="B6162" s="2" t="n"/>
      <c r="C6162" s="40" t="n"/>
      <c r="D6162" s="52">
        <f t="array" ref="D6162:W6162">IF(All_Students_Scores!C6160:V6160="","",All_Students_Scores!C6160:V6160)</f>
        <v/>
      </c>
      <c r="E6162" s="57" t="str"/>
      <c r="F6162" s="49" t="str"/>
      <c r="G6162" s="59" t="str"/>
      <c r="H6162" s="64" t="str"/>
      <c r="I6162" s="65" t="str"/>
      <c r="J6162" s="49" t="str"/>
      <c r="K6162" s="41" t="str"/>
      <c r="L6162" s="41" t="str"/>
      <c r="M6162" s="41" t="str"/>
      <c r="N6162" s="41" t="str"/>
      <c r="O6162" s="41" t="str"/>
      <c r="P6162" s="41" t="str"/>
      <c r="Q6162" s="41" t="str"/>
      <c r="R6162" s="41" t="str"/>
      <c r="S6162" s="41" t="str"/>
      <c r="T6162" s="41" t="str"/>
      <c r="U6162" s="41" t="str"/>
      <c r="V6162" s="41" t="str"/>
      <c r="W6162" s="41" t="str"/>
    </row>
    <row r="6163">
      <c r="B6163" s="2" t="n"/>
      <c r="C6163" s="40" t="n"/>
      <c r="D6163" s="52">
        <f t="array" ref="D6163:W6163">IF(All_Students_Scores!C6161:V6161="","",All_Students_Scores!C6161:V6161)</f>
        <v/>
      </c>
      <c r="E6163" s="57" t="str"/>
      <c r="F6163" s="49" t="str"/>
      <c r="G6163" s="59" t="str"/>
      <c r="H6163" s="64" t="str"/>
      <c r="I6163" s="65" t="str"/>
      <c r="J6163" s="49" t="str"/>
      <c r="K6163" s="41" t="str"/>
      <c r="L6163" s="41" t="str"/>
      <c r="M6163" s="41" t="str"/>
      <c r="N6163" s="41" t="str"/>
      <c r="O6163" s="41" t="str"/>
      <c r="P6163" s="41" t="str"/>
      <c r="Q6163" s="41" t="str"/>
      <c r="R6163" s="41" t="str"/>
      <c r="S6163" s="41" t="str"/>
      <c r="T6163" s="41" t="str"/>
      <c r="U6163" s="41" t="str"/>
      <c r="V6163" s="41" t="str"/>
      <c r="W6163" s="41" t="str"/>
    </row>
    <row r="6164">
      <c r="B6164" s="2" t="n"/>
      <c r="C6164" s="40" t="n"/>
      <c r="D6164" s="52">
        <f t="array" ref="D6164:W6164">IF(All_Students_Scores!C6162:V6162="","",All_Students_Scores!C6162:V6162)</f>
        <v/>
      </c>
      <c r="E6164" s="57" t="str"/>
      <c r="F6164" s="49" t="str"/>
      <c r="G6164" s="59" t="str"/>
      <c r="H6164" s="64" t="str"/>
      <c r="I6164" s="65" t="str"/>
      <c r="J6164" s="49" t="str"/>
      <c r="K6164" s="41" t="str"/>
      <c r="L6164" s="41" t="str"/>
      <c r="M6164" s="41" t="str"/>
      <c r="N6164" s="41" t="str"/>
      <c r="O6164" s="41" t="str"/>
      <c r="P6164" s="41" t="str"/>
      <c r="Q6164" s="41" t="str"/>
      <c r="R6164" s="41" t="str"/>
      <c r="S6164" s="41" t="str"/>
      <c r="T6164" s="41" t="str"/>
      <c r="U6164" s="41" t="str"/>
      <c r="V6164" s="41" t="str"/>
      <c r="W6164" s="41" t="str"/>
    </row>
    <row r="6165">
      <c r="B6165" s="2" t="n"/>
      <c r="C6165" s="40" t="n"/>
      <c r="D6165" s="52">
        <f t="array" ref="D6165:W6165">IF(All_Students_Scores!C6163:V6163="","",All_Students_Scores!C6163:V6163)</f>
        <v/>
      </c>
      <c r="E6165" s="57" t="str"/>
      <c r="F6165" s="49" t="str"/>
      <c r="G6165" s="59" t="str"/>
      <c r="H6165" s="64" t="str"/>
      <c r="I6165" s="65" t="str"/>
      <c r="J6165" s="49" t="str"/>
      <c r="K6165" s="41" t="str"/>
      <c r="L6165" s="41" t="str"/>
      <c r="M6165" s="41" t="str"/>
      <c r="N6165" s="41" t="str"/>
      <c r="O6165" s="41" t="str"/>
      <c r="P6165" s="41" t="str"/>
      <c r="Q6165" s="41" t="str"/>
      <c r="R6165" s="41" t="str"/>
      <c r="S6165" s="41" t="str"/>
      <c r="T6165" s="41" t="str"/>
      <c r="U6165" s="41" t="str"/>
      <c r="V6165" s="41" t="str"/>
      <c r="W6165" s="41" t="str"/>
    </row>
    <row r="6166">
      <c r="B6166" s="2" t="n"/>
      <c r="C6166" s="40" t="n"/>
      <c r="D6166" s="52">
        <f t="array" ref="D6166:W6166">IF(All_Students_Scores!C6164:V6164="","",All_Students_Scores!C6164:V6164)</f>
        <v/>
      </c>
      <c r="E6166" s="57" t="str"/>
      <c r="F6166" s="49" t="str"/>
      <c r="G6166" s="59" t="str"/>
      <c r="H6166" s="64" t="str"/>
      <c r="I6166" s="65" t="str"/>
      <c r="J6166" s="49" t="str"/>
      <c r="K6166" s="41" t="str"/>
      <c r="L6166" s="41" t="str"/>
      <c r="M6166" s="41" t="str"/>
      <c r="N6166" s="41" t="str"/>
      <c r="O6166" s="41" t="str"/>
      <c r="P6166" s="41" t="str"/>
      <c r="Q6166" s="41" t="str"/>
      <c r="R6166" s="41" t="str"/>
      <c r="S6166" s="41" t="str"/>
      <c r="T6166" s="41" t="str"/>
      <c r="U6166" s="41" t="str"/>
      <c r="V6166" s="41" t="str"/>
      <c r="W6166" s="41" t="str"/>
    </row>
    <row r="6167">
      <c r="B6167" s="2" t="n"/>
      <c r="C6167" s="40" t="n"/>
      <c r="D6167" s="52">
        <f t="array" ref="D6167:W6167">IF(All_Students_Scores!C6165:V6165="","",All_Students_Scores!C6165:V6165)</f>
        <v/>
      </c>
      <c r="E6167" s="57" t="str"/>
      <c r="F6167" s="49" t="str"/>
      <c r="G6167" s="59" t="str"/>
      <c r="H6167" s="64" t="str"/>
      <c r="I6167" s="65" t="str"/>
      <c r="J6167" s="49" t="str"/>
      <c r="K6167" s="41" t="str"/>
      <c r="L6167" s="41" t="str"/>
      <c r="M6167" s="41" t="str"/>
      <c r="N6167" s="41" t="str"/>
      <c r="O6167" s="41" t="str"/>
      <c r="P6167" s="41" t="str"/>
      <c r="Q6167" s="41" t="str"/>
      <c r="R6167" s="41" t="str"/>
      <c r="S6167" s="41" t="str"/>
      <c r="T6167" s="41" t="str"/>
      <c r="U6167" s="41" t="str"/>
      <c r="V6167" s="41" t="str"/>
      <c r="W6167" s="41" t="str"/>
    </row>
    <row r="6168">
      <c r="B6168" s="2" t="n"/>
      <c r="C6168" s="40" t="n"/>
      <c r="D6168" s="52">
        <f t="array" ref="D6168:W6168">IF(All_Students_Scores!C6166:V6166="","",All_Students_Scores!C6166:V6166)</f>
        <v/>
      </c>
      <c r="E6168" s="57" t="str"/>
      <c r="F6168" s="49" t="str"/>
      <c r="G6168" s="59" t="str"/>
      <c r="H6168" s="64" t="str"/>
      <c r="I6168" s="65" t="str"/>
      <c r="J6168" s="49" t="str"/>
      <c r="K6168" s="41" t="str"/>
      <c r="L6168" s="41" t="str"/>
      <c r="M6168" s="41" t="str"/>
      <c r="N6168" s="41" t="str"/>
      <c r="O6168" s="41" t="str"/>
      <c r="P6168" s="41" t="str"/>
      <c r="Q6168" s="41" t="str"/>
      <c r="R6168" s="41" t="str"/>
      <c r="S6168" s="41" t="str"/>
      <c r="T6168" s="41" t="str"/>
      <c r="U6168" s="41" t="str"/>
      <c r="V6168" s="41" t="str"/>
      <c r="W6168" s="41" t="str"/>
    </row>
    <row r="6169">
      <c r="B6169" s="2" t="n"/>
      <c r="C6169" s="40" t="n"/>
      <c r="D6169" s="52">
        <f t="array" ref="D6169:W6169">IF(All_Students_Scores!C6167:V6167="","",All_Students_Scores!C6167:V6167)</f>
        <v/>
      </c>
      <c r="E6169" s="57" t="str"/>
      <c r="F6169" s="49" t="str"/>
      <c r="G6169" s="59" t="str"/>
      <c r="H6169" s="64" t="str"/>
      <c r="I6169" s="65" t="str"/>
      <c r="J6169" s="49" t="str"/>
      <c r="K6169" s="41" t="str"/>
      <c r="L6169" s="41" t="str"/>
      <c r="M6169" s="41" t="str"/>
      <c r="N6169" s="41" t="str"/>
      <c r="O6169" s="41" t="str"/>
      <c r="P6169" s="41" t="str"/>
      <c r="Q6169" s="41" t="str"/>
      <c r="R6169" s="41" t="str"/>
      <c r="S6169" s="41" t="str"/>
      <c r="T6169" s="41" t="str"/>
      <c r="U6169" s="41" t="str"/>
      <c r="V6169" s="41" t="str"/>
      <c r="W6169" s="41" t="str"/>
    </row>
    <row r="6170">
      <c r="B6170" s="2" t="n"/>
      <c r="C6170" s="40" t="n"/>
      <c r="D6170" s="52">
        <f t="array" ref="D6170:W6170">IF(All_Students_Scores!C6168:V6168="","",All_Students_Scores!C6168:V6168)</f>
        <v/>
      </c>
      <c r="E6170" s="57" t="str"/>
      <c r="F6170" s="49" t="str"/>
      <c r="G6170" s="59" t="str"/>
      <c r="H6170" s="64" t="str"/>
      <c r="I6170" s="65" t="str"/>
      <c r="J6170" s="49" t="str"/>
      <c r="K6170" s="41" t="str"/>
      <c r="L6170" s="41" t="str"/>
      <c r="M6170" s="41" t="str"/>
      <c r="N6170" s="41" t="str"/>
      <c r="O6170" s="41" t="str"/>
      <c r="P6170" s="41" t="str"/>
      <c r="Q6170" s="41" t="str"/>
      <c r="R6170" s="41" t="str"/>
      <c r="S6170" s="41" t="str"/>
      <c r="T6170" s="41" t="str"/>
      <c r="U6170" s="41" t="str"/>
      <c r="V6170" s="41" t="str"/>
      <c r="W6170" s="41" t="str"/>
    </row>
    <row r="6171">
      <c r="B6171" s="2" t="n"/>
      <c r="C6171" s="40" t="n"/>
      <c r="D6171" s="52">
        <f t="array" ref="D6171:W6171">IF(All_Students_Scores!C6169:V6169="","",All_Students_Scores!C6169:V6169)</f>
        <v/>
      </c>
      <c r="E6171" s="57" t="str"/>
      <c r="F6171" s="49" t="str"/>
      <c r="G6171" s="59" t="str"/>
      <c r="H6171" s="64" t="str"/>
      <c r="I6171" s="65" t="str"/>
      <c r="J6171" s="49" t="str"/>
      <c r="K6171" s="41" t="str"/>
      <c r="L6171" s="41" t="str"/>
      <c r="M6171" s="41" t="str"/>
      <c r="N6171" s="41" t="str"/>
      <c r="O6171" s="41" t="str"/>
      <c r="P6171" s="41" t="str"/>
      <c r="Q6171" s="41" t="str"/>
      <c r="R6171" s="41" t="str"/>
      <c r="S6171" s="41" t="str"/>
      <c r="T6171" s="41" t="str"/>
      <c r="U6171" s="41" t="str"/>
      <c r="V6171" s="41" t="str"/>
      <c r="W6171" s="41" t="str"/>
    </row>
    <row r="6172">
      <c r="B6172" s="2" t="n"/>
      <c r="C6172" s="40" t="n"/>
      <c r="D6172" s="52">
        <f t="array" ref="D6172:W6172">IF(All_Students_Scores!C6170:V6170="","",All_Students_Scores!C6170:V6170)</f>
        <v/>
      </c>
      <c r="E6172" s="57" t="str"/>
      <c r="F6172" s="49" t="str"/>
      <c r="G6172" s="59" t="str"/>
      <c r="H6172" s="64" t="str"/>
      <c r="I6172" s="65" t="str"/>
      <c r="J6172" s="49" t="str"/>
      <c r="K6172" s="41" t="str"/>
      <c r="L6172" s="41" t="str"/>
      <c r="M6172" s="41" t="str"/>
      <c r="N6172" s="41" t="str"/>
      <c r="O6172" s="41" t="str"/>
      <c r="P6172" s="41" t="str"/>
      <c r="Q6172" s="41" t="str"/>
      <c r="R6172" s="41" t="str"/>
      <c r="S6172" s="41" t="str"/>
      <c r="T6172" s="41" t="str"/>
      <c r="U6172" s="41" t="str"/>
      <c r="V6172" s="41" t="str"/>
      <c r="W6172" s="41" t="str"/>
    </row>
    <row r="6173">
      <c r="B6173" s="2" t="n"/>
      <c r="C6173" s="40" t="n"/>
      <c r="D6173" s="52">
        <f t="array" ref="D6173:W6173">IF(All_Students_Scores!C6171:V6171="","",All_Students_Scores!C6171:V6171)</f>
        <v/>
      </c>
      <c r="E6173" s="57" t="str"/>
      <c r="F6173" s="49" t="str"/>
      <c r="G6173" s="59" t="str"/>
      <c r="H6173" s="64" t="str"/>
      <c r="I6173" s="65" t="str"/>
      <c r="J6173" s="49" t="str"/>
      <c r="K6173" s="41" t="str"/>
      <c r="L6173" s="41" t="str"/>
      <c r="M6173" s="41" t="str"/>
      <c r="N6173" s="41" t="str"/>
      <c r="O6173" s="41" t="str"/>
      <c r="P6173" s="41" t="str"/>
      <c r="Q6173" s="41" t="str"/>
      <c r="R6173" s="41" t="str"/>
      <c r="S6173" s="41" t="str"/>
      <c r="T6173" s="41" t="str"/>
      <c r="U6173" s="41" t="str"/>
      <c r="V6173" s="41" t="str"/>
      <c r="W6173" s="41" t="str"/>
    </row>
    <row r="6174">
      <c r="B6174" s="2" t="n"/>
      <c r="C6174" s="40" t="n"/>
      <c r="D6174" s="52">
        <f t="array" ref="D6174:W6174">IF(All_Students_Scores!C6172:V6172="","",All_Students_Scores!C6172:V6172)</f>
        <v/>
      </c>
      <c r="E6174" s="57" t="str"/>
      <c r="F6174" s="49" t="str"/>
      <c r="G6174" s="59" t="str"/>
      <c r="H6174" s="64" t="str"/>
      <c r="I6174" s="65" t="str"/>
      <c r="J6174" s="49" t="str"/>
      <c r="K6174" s="41" t="str"/>
      <c r="L6174" s="41" t="str"/>
      <c r="M6174" s="41" t="str"/>
      <c r="N6174" s="41" t="str"/>
      <c r="O6174" s="41" t="str"/>
      <c r="P6174" s="41" t="str"/>
      <c r="Q6174" s="41" t="str"/>
      <c r="R6174" s="41" t="str"/>
      <c r="S6174" s="41" t="str"/>
      <c r="T6174" s="41" t="str"/>
      <c r="U6174" s="41" t="str"/>
      <c r="V6174" s="41" t="str"/>
      <c r="W6174" s="41" t="str"/>
    </row>
    <row r="6175">
      <c r="B6175" s="2" t="n"/>
      <c r="C6175" s="40" t="n"/>
      <c r="D6175" s="52">
        <f t="array" ref="D6175:W6175">IF(All_Students_Scores!C6173:V6173="","",All_Students_Scores!C6173:V6173)</f>
        <v/>
      </c>
      <c r="E6175" s="57" t="str"/>
      <c r="F6175" s="49" t="str"/>
      <c r="G6175" s="59" t="str"/>
      <c r="H6175" s="64" t="str"/>
      <c r="I6175" s="65" t="str"/>
      <c r="J6175" s="49" t="str"/>
      <c r="K6175" s="41" t="str"/>
      <c r="L6175" s="41" t="str"/>
      <c r="M6175" s="41" t="str"/>
      <c r="N6175" s="41" t="str"/>
      <c r="O6175" s="41" t="str"/>
      <c r="P6175" s="41" t="str"/>
      <c r="Q6175" s="41" t="str"/>
      <c r="R6175" s="41" t="str"/>
      <c r="S6175" s="41" t="str"/>
      <c r="T6175" s="41" t="str"/>
      <c r="U6175" s="41" t="str"/>
      <c r="V6175" s="41" t="str"/>
      <c r="W6175" s="41" t="str"/>
    </row>
    <row r="6176">
      <c r="B6176" s="2" t="n"/>
      <c r="C6176" s="40" t="n"/>
      <c r="D6176" s="52">
        <f t="array" ref="D6176:W6176">IF(All_Students_Scores!C6174:V6174="","",All_Students_Scores!C6174:V6174)</f>
        <v/>
      </c>
      <c r="E6176" s="57" t="str"/>
      <c r="F6176" s="49" t="str"/>
      <c r="G6176" s="59" t="str"/>
      <c r="H6176" s="64" t="str"/>
      <c r="I6176" s="65" t="str"/>
      <c r="J6176" s="49" t="str"/>
      <c r="K6176" s="41" t="str"/>
      <c r="L6176" s="41" t="str"/>
      <c r="M6176" s="41" t="str"/>
      <c r="N6176" s="41" t="str"/>
      <c r="O6176" s="41" t="str"/>
      <c r="P6176" s="41" t="str"/>
      <c r="Q6176" s="41" t="str"/>
      <c r="R6176" s="41" t="str"/>
      <c r="S6176" s="41" t="str"/>
      <c r="T6176" s="41" t="str"/>
      <c r="U6176" s="41" t="str"/>
      <c r="V6176" s="41" t="str"/>
      <c r="W6176" s="41" t="str"/>
    </row>
    <row r="6177">
      <c r="B6177" s="2" t="n"/>
      <c r="C6177" s="40" t="n"/>
      <c r="D6177" s="52">
        <f t="array" ref="D6177:W6177">IF(All_Students_Scores!C6175:V6175="","",All_Students_Scores!C6175:V6175)</f>
        <v/>
      </c>
      <c r="E6177" s="57" t="str"/>
      <c r="F6177" s="49" t="str"/>
      <c r="G6177" s="59" t="str"/>
      <c r="H6177" s="64" t="str"/>
      <c r="I6177" s="65" t="str"/>
      <c r="J6177" s="49" t="str"/>
      <c r="K6177" s="41" t="str"/>
      <c r="L6177" s="41" t="str"/>
      <c r="M6177" s="41" t="str"/>
      <c r="N6177" s="41" t="str"/>
      <c r="O6177" s="41" t="str"/>
      <c r="P6177" s="41" t="str"/>
      <c r="Q6177" s="41" t="str"/>
      <c r="R6177" s="41" t="str"/>
      <c r="S6177" s="41" t="str"/>
      <c r="T6177" s="41" t="str"/>
      <c r="U6177" s="41" t="str"/>
      <c r="V6177" s="41" t="str"/>
      <c r="W6177" s="41" t="str"/>
    </row>
    <row r="6178">
      <c r="B6178" s="2" t="n"/>
      <c r="C6178" s="40" t="n"/>
      <c r="D6178" s="52">
        <f t="array" ref="D6178:W6178">IF(All_Students_Scores!C6176:V6176="","",All_Students_Scores!C6176:V6176)</f>
        <v/>
      </c>
      <c r="E6178" s="57" t="str"/>
      <c r="F6178" s="49" t="str"/>
      <c r="G6178" s="59" t="str"/>
      <c r="H6178" s="64" t="str"/>
      <c r="I6178" s="65" t="str"/>
      <c r="J6178" s="49" t="str"/>
      <c r="K6178" s="41" t="str"/>
      <c r="L6178" s="41" t="str"/>
      <c r="M6178" s="41" t="str"/>
      <c r="N6178" s="41" t="str"/>
      <c r="O6178" s="41" t="str"/>
      <c r="P6178" s="41" t="str"/>
      <c r="Q6178" s="41" t="str"/>
      <c r="R6178" s="41" t="str"/>
      <c r="S6178" s="41" t="str"/>
      <c r="T6178" s="41" t="str"/>
      <c r="U6178" s="41" t="str"/>
      <c r="V6178" s="41" t="str"/>
      <c r="W6178" s="41" t="str"/>
    </row>
    <row r="6179">
      <c r="B6179" s="2" t="n"/>
      <c r="C6179" s="40" t="n"/>
      <c r="D6179" s="52">
        <f t="array" ref="D6179:W6179">IF(All_Students_Scores!C6177:V6177="","",All_Students_Scores!C6177:V6177)</f>
        <v/>
      </c>
      <c r="E6179" s="57" t="str"/>
      <c r="F6179" s="49" t="str"/>
      <c r="G6179" s="59" t="str"/>
      <c r="H6179" s="64" t="str"/>
      <c r="I6179" s="65" t="str"/>
      <c r="J6179" s="49" t="str"/>
      <c r="K6179" s="41" t="str"/>
      <c r="L6179" s="41" t="str"/>
      <c r="M6179" s="41" t="str"/>
      <c r="N6179" s="41" t="str"/>
      <c r="O6179" s="41" t="str"/>
      <c r="P6179" s="41" t="str"/>
      <c r="Q6179" s="41" t="str"/>
      <c r="R6179" s="41" t="str"/>
      <c r="S6179" s="41" t="str"/>
      <c r="T6179" s="41" t="str"/>
      <c r="U6179" s="41" t="str"/>
      <c r="V6179" s="41" t="str"/>
      <c r="W6179" s="41" t="str"/>
    </row>
    <row r="6180">
      <c r="B6180" s="2" t="n"/>
      <c r="C6180" s="40" t="n"/>
      <c r="D6180" s="52">
        <f t="array" ref="D6180:W6180">IF(All_Students_Scores!C6178:V6178="","",All_Students_Scores!C6178:V6178)</f>
        <v/>
      </c>
      <c r="E6180" s="57" t="str"/>
      <c r="F6180" s="49" t="str"/>
      <c r="G6180" s="59" t="str"/>
      <c r="H6180" s="64" t="str"/>
      <c r="I6180" s="65" t="str"/>
      <c r="J6180" s="49" t="str"/>
      <c r="K6180" s="41" t="str"/>
      <c r="L6180" s="41" t="str"/>
      <c r="M6180" s="41" t="str"/>
      <c r="N6180" s="41" t="str"/>
      <c r="O6180" s="41" t="str"/>
      <c r="P6180" s="41" t="str"/>
      <c r="Q6180" s="41" t="str"/>
      <c r="R6180" s="41" t="str"/>
      <c r="S6180" s="41" t="str"/>
      <c r="T6180" s="41" t="str"/>
      <c r="U6180" s="41" t="str"/>
      <c r="V6180" s="41" t="str"/>
      <c r="W6180" s="41" t="str"/>
    </row>
    <row r="6181">
      <c r="B6181" s="2" t="n"/>
      <c r="C6181" s="40" t="n"/>
      <c r="D6181" s="52">
        <f t="array" ref="D6181:W6181">IF(All_Students_Scores!C6179:V6179="","",All_Students_Scores!C6179:V6179)</f>
        <v/>
      </c>
      <c r="E6181" s="57" t="str"/>
      <c r="F6181" s="49" t="str"/>
      <c r="G6181" s="59" t="str"/>
      <c r="H6181" s="64" t="str"/>
      <c r="I6181" s="65" t="str"/>
      <c r="J6181" s="49" t="str"/>
      <c r="K6181" s="41" t="str"/>
      <c r="L6181" s="41" t="str"/>
      <c r="M6181" s="41" t="str"/>
      <c r="N6181" s="41" t="str"/>
      <c r="O6181" s="41" t="str"/>
      <c r="P6181" s="41" t="str"/>
      <c r="Q6181" s="41" t="str"/>
      <c r="R6181" s="41" t="str"/>
      <c r="S6181" s="41" t="str"/>
      <c r="T6181" s="41" t="str"/>
      <c r="U6181" s="41" t="str"/>
      <c r="V6181" s="41" t="str"/>
      <c r="W6181" s="41" t="str"/>
    </row>
    <row r="6182">
      <c r="B6182" s="2" t="n"/>
      <c r="C6182" s="40" t="n"/>
      <c r="D6182" s="52">
        <f t="array" ref="D6182:W6182">IF(All_Students_Scores!C6180:V6180="","",All_Students_Scores!C6180:V6180)</f>
        <v/>
      </c>
      <c r="E6182" s="57" t="str"/>
      <c r="F6182" s="49" t="str"/>
      <c r="G6182" s="59" t="str"/>
      <c r="H6182" s="64" t="str"/>
      <c r="I6182" s="65" t="str"/>
      <c r="J6182" s="49" t="str"/>
      <c r="K6182" s="41" t="str"/>
      <c r="L6182" s="41" t="str"/>
      <c r="M6182" s="41" t="str"/>
      <c r="N6182" s="41" t="str"/>
      <c r="O6182" s="41" t="str"/>
      <c r="P6182" s="41" t="str"/>
      <c r="Q6182" s="41" t="str"/>
      <c r="R6182" s="41" t="str"/>
      <c r="S6182" s="41" t="str"/>
      <c r="T6182" s="41" t="str"/>
      <c r="U6182" s="41" t="str"/>
      <c r="V6182" s="41" t="str"/>
      <c r="W6182" s="41" t="str"/>
    </row>
    <row r="6183">
      <c r="B6183" s="2" t="n"/>
      <c r="C6183" s="40" t="n"/>
      <c r="D6183" s="52">
        <f t="array" ref="D6183:W6183">IF(All_Students_Scores!C6181:V6181="","",All_Students_Scores!C6181:V6181)</f>
        <v/>
      </c>
      <c r="E6183" s="57" t="str"/>
      <c r="F6183" s="49" t="str"/>
      <c r="G6183" s="59" t="str"/>
      <c r="H6183" s="64" t="str"/>
      <c r="I6183" s="65" t="str"/>
      <c r="J6183" s="49" t="str"/>
      <c r="K6183" s="41" t="str"/>
      <c r="L6183" s="41" t="str"/>
      <c r="M6183" s="41" t="str"/>
      <c r="N6183" s="41" t="str"/>
      <c r="O6183" s="41" t="str"/>
      <c r="P6183" s="41" t="str"/>
      <c r="Q6183" s="41" t="str"/>
      <c r="R6183" s="41" t="str"/>
      <c r="S6183" s="41" t="str"/>
      <c r="T6183" s="41" t="str"/>
      <c r="U6183" s="41" t="str"/>
      <c r="V6183" s="41" t="str"/>
      <c r="W6183" s="41" t="str"/>
    </row>
    <row r="6184">
      <c r="B6184" s="2" t="n"/>
      <c r="C6184" s="40" t="n"/>
      <c r="D6184" s="52">
        <f t="array" ref="D6184:W6184">IF(All_Students_Scores!C6182:V6182="","",All_Students_Scores!C6182:V6182)</f>
        <v/>
      </c>
      <c r="E6184" s="57" t="str"/>
      <c r="F6184" s="49" t="str"/>
      <c r="G6184" s="59" t="str"/>
      <c r="H6184" s="64" t="str"/>
      <c r="I6184" s="65" t="str"/>
      <c r="J6184" s="49" t="str"/>
      <c r="K6184" s="41" t="str"/>
      <c r="L6184" s="41" t="str"/>
      <c r="M6184" s="41" t="str"/>
      <c r="N6184" s="41" t="str"/>
      <c r="O6184" s="41" t="str"/>
      <c r="P6184" s="41" t="str"/>
      <c r="Q6184" s="41" t="str"/>
      <c r="R6184" s="41" t="str"/>
      <c r="S6184" s="41" t="str"/>
      <c r="T6184" s="41" t="str"/>
      <c r="U6184" s="41" t="str"/>
      <c r="V6184" s="41" t="str"/>
      <c r="W6184" s="41" t="str"/>
    </row>
    <row r="6185">
      <c r="B6185" s="2" t="n"/>
      <c r="C6185" s="40" t="n"/>
      <c r="D6185" s="52">
        <f t="array" ref="D6185:W6185">IF(All_Students_Scores!C6183:V6183="","",All_Students_Scores!C6183:V6183)</f>
        <v/>
      </c>
      <c r="E6185" s="57" t="str"/>
      <c r="F6185" s="49" t="str"/>
      <c r="G6185" s="59" t="str"/>
      <c r="H6185" s="64" t="str"/>
      <c r="I6185" s="65" t="str"/>
      <c r="J6185" s="49" t="str"/>
      <c r="K6185" s="41" t="str"/>
      <c r="L6185" s="41" t="str"/>
      <c r="M6185" s="41" t="str"/>
      <c r="N6185" s="41" t="str"/>
      <c r="O6185" s="41" t="str"/>
      <c r="P6185" s="41" t="str"/>
      <c r="Q6185" s="41" t="str"/>
      <c r="R6185" s="41" t="str"/>
      <c r="S6185" s="41" t="str"/>
      <c r="T6185" s="41" t="str"/>
      <c r="U6185" s="41" t="str"/>
      <c r="V6185" s="41" t="str"/>
      <c r="W6185" s="41" t="str"/>
    </row>
    <row r="6186">
      <c r="B6186" s="2" t="n"/>
      <c r="C6186" s="40" t="n"/>
      <c r="D6186" s="52">
        <f t="array" ref="D6186:W6186">IF(All_Students_Scores!C6184:V6184="","",All_Students_Scores!C6184:V6184)</f>
        <v/>
      </c>
      <c r="E6186" s="57" t="str"/>
      <c r="F6186" s="49" t="str"/>
      <c r="G6186" s="59" t="str"/>
      <c r="H6186" s="64" t="str"/>
      <c r="I6186" s="65" t="str"/>
      <c r="J6186" s="49" t="str"/>
      <c r="K6186" s="41" t="str"/>
      <c r="L6186" s="41" t="str"/>
      <c r="M6186" s="41" t="str"/>
      <c r="N6186" s="41" t="str"/>
      <c r="O6186" s="41" t="str"/>
      <c r="P6186" s="41" t="str"/>
      <c r="Q6186" s="41" t="str"/>
      <c r="R6186" s="41" t="str"/>
      <c r="S6186" s="41" t="str"/>
      <c r="T6186" s="41" t="str"/>
      <c r="U6186" s="41" t="str"/>
      <c r="V6186" s="41" t="str"/>
      <c r="W6186" s="41" t="str"/>
    </row>
    <row r="6187">
      <c r="B6187" s="2" t="n"/>
      <c r="C6187" s="40" t="n"/>
      <c r="D6187" s="52">
        <f t="array" ref="D6187:W6187">IF(All_Students_Scores!C6185:V6185="","",All_Students_Scores!C6185:V6185)</f>
        <v/>
      </c>
      <c r="E6187" s="57" t="str"/>
      <c r="F6187" s="49" t="str"/>
      <c r="G6187" s="59" t="str"/>
      <c r="H6187" s="64" t="str"/>
      <c r="I6187" s="65" t="str"/>
      <c r="J6187" s="49" t="str"/>
      <c r="K6187" s="41" t="str"/>
      <c r="L6187" s="41" t="str"/>
      <c r="M6187" s="41" t="str"/>
      <c r="N6187" s="41" t="str"/>
      <c r="O6187" s="41" t="str"/>
      <c r="P6187" s="41" t="str"/>
      <c r="Q6187" s="41" t="str"/>
      <c r="R6187" s="41" t="str"/>
      <c r="S6187" s="41" t="str"/>
      <c r="T6187" s="41" t="str"/>
      <c r="U6187" s="41" t="str"/>
      <c r="V6187" s="41" t="str"/>
      <c r="W6187" s="41" t="str"/>
    </row>
    <row r="6188">
      <c r="B6188" s="2" t="n"/>
      <c r="C6188" s="40" t="n"/>
      <c r="D6188" s="52">
        <f t="array" ref="D6188:W6188">IF(All_Students_Scores!C6186:V6186="","",All_Students_Scores!C6186:V6186)</f>
        <v/>
      </c>
      <c r="E6188" s="57" t="str"/>
      <c r="F6188" s="49" t="str"/>
      <c r="G6188" s="59" t="str"/>
      <c r="H6188" s="64" t="str"/>
      <c r="I6188" s="65" t="str"/>
      <c r="J6188" s="49" t="str"/>
      <c r="K6188" s="41" t="str"/>
      <c r="L6188" s="41" t="str"/>
      <c r="M6188" s="41" t="str"/>
      <c r="N6188" s="41" t="str"/>
      <c r="O6188" s="41" t="str"/>
      <c r="P6188" s="41" t="str"/>
      <c r="Q6188" s="41" t="str"/>
      <c r="R6188" s="41" t="str"/>
      <c r="S6188" s="41" t="str"/>
      <c r="T6188" s="41" t="str"/>
      <c r="U6188" s="41" t="str"/>
      <c r="V6188" s="41" t="str"/>
      <c r="W6188" s="41" t="str"/>
    </row>
    <row r="6189">
      <c r="B6189" s="2" t="n"/>
      <c r="C6189" s="40" t="n"/>
      <c r="D6189" s="52">
        <f t="array" ref="D6189:W6189">IF(All_Students_Scores!C6187:V6187="","",All_Students_Scores!C6187:V6187)</f>
        <v/>
      </c>
      <c r="E6189" s="57" t="str"/>
      <c r="F6189" s="49" t="str"/>
      <c r="G6189" s="59" t="str"/>
      <c r="H6189" s="64" t="str"/>
      <c r="I6189" s="65" t="str"/>
      <c r="J6189" s="49" t="str"/>
      <c r="K6189" s="41" t="str"/>
      <c r="L6189" s="41" t="str"/>
      <c r="M6189" s="41" t="str"/>
      <c r="N6189" s="41" t="str"/>
      <c r="O6189" s="41" t="str"/>
      <c r="P6189" s="41" t="str"/>
      <c r="Q6189" s="41" t="str"/>
      <c r="R6189" s="41" t="str"/>
      <c r="S6189" s="41" t="str"/>
      <c r="T6189" s="41" t="str"/>
      <c r="U6189" s="41" t="str"/>
      <c r="V6189" s="41" t="str"/>
      <c r="W6189" s="41" t="str"/>
    </row>
    <row r="6190">
      <c r="B6190" s="2" t="n"/>
      <c r="C6190" s="40" t="n"/>
      <c r="D6190" s="52">
        <f t="array" ref="D6190:W6190">IF(All_Students_Scores!C6188:V6188="","",All_Students_Scores!C6188:V6188)</f>
        <v/>
      </c>
      <c r="E6190" s="57" t="str"/>
      <c r="F6190" s="49" t="str"/>
      <c r="G6190" s="59" t="str"/>
      <c r="H6190" s="64" t="str"/>
      <c r="I6190" s="65" t="str"/>
      <c r="J6190" s="49" t="str"/>
      <c r="K6190" s="41" t="str"/>
      <c r="L6190" s="41" t="str"/>
      <c r="M6190" s="41" t="str"/>
      <c r="N6190" s="41" t="str"/>
      <c r="O6190" s="41" t="str"/>
      <c r="P6190" s="41" t="str"/>
      <c r="Q6190" s="41" t="str"/>
      <c r="R6190" s="41" t="str"/>
      <c r="S6190" s="41" t="str"/>
      <c r="T6190" s="41" t="str"/>
      <c r="U6190" s="41" t="str"/>
      <c r="V6190" s="41" t="str"/>
      <c r="W6190" s="41" t="str"/>
    </row>
    <row r="6191">
      <c r="B6191" s="2" t="n"/>
      <c r="C6191" s="40" t="n"/>
      <c r="D6191" s="52">
        <f t="array" ref="D6191:W6191">IF(All_Students_Scores!C6189:V6189="","",All_Students_Scores!C6189:V6189)</f>
        <v/>
      </c>
      <c r="E6191" s="57" t="str"/>
      <c r="F6191" s="49" t="str"/>
      <c r="G6191" s="59" t="str"/>
      <c r="H6191" s="64" t="str"/>
      <c r="I6191" s="65" t="str"/>
      <c r="J6191" s="49" t="str"/>
      <c r="K6191" s="41" t="str"/>
      <c r="L6191" s="41" t="str"/>
      <c r="M6191" s="41" t="str"/>
      <c r="N6191" s="41" t="str"/>
      <c r="O6191" s="41" t="str"/>
      <c r="P6191" s="41" t="str"/>
      <c r="Q6191" s="41" t="str"/>
      <c r="R6191" s="41" t="str"/>
      <c r="S6191" s="41" t="str"/>
      <c r="T6191" s="41" t="str"/>
      <c r="U6191" s="41" t="str"/>
      <c r="V6191" s="41" t="str"/>
      <c r="W6191" s="41" t="str"/>
    </row>
    <row r="6192">
      <c r="B6192" s="2" t="n"/>
      <c r="C6192" s="40" t="n"/>
      <c r="D6192" s="52">
        <f t="array" ref="D6192:W6192">IF(All_Students_Scores!C6190:V6190="","",All_Students_Scores!C6190:V6190)</f>
        <v/>
      </c>
      <c r="E6192" s="57" t="str"/>
      <c r="F6192" s="49" t="str"/>
      <c r="G6192" s="59" t="str"/>
      <c r="H6192" s="64" t="str"/>
      <c r="I6192" s="65" t="str"/>
      <c r="J6192" s="49" t="str"/>
      <c r="K6192" s="41" t="str"/>
      <c r="L6192" s="41" t="str"/>
      <c r="M6192" s="41" t="str"/>
      <c r="N6192" s="41" t="str"/>
      <c r="O6192" s="41" t="str"/>
      <c r="P6192" s="41" t="str"/>
      <c r="Q6192" s="41" t="str"/>
      <c r="R6192" s="41" t="str"/>
      <c r="S6192" s="41" t="str"/>
      <c r="T6192" s="41" t="str"/>
      <c r="U6192" s="41" t="str"/>
      <c r="V6192" s="41" t="str"/>
      <c r="W6192" s="41" t="str"/>
    </row>
    <row r="6193">
      <c r="B6193" s="2" t="n"/>
      <c r="C6193" s="40" t="n"/>
      <c r="D6193" s="52">
        <f t="array" ref="D6193:W6193">IF(All_Students_Scores!C6191:V6191="","",All_Students_Scores!C6191:V6191)</f>
        <v/>
      </c>
      <c r="E6193" s="57" t="str"/>
      <c r="F6193" s="49" t="str"/>
      <c r="G6193" s="59" t="str"/>
      <c r="H6193" s="64" t="str"/>
      <c r="I6193" s="65" t="str"/>
      <c r="J6193" s="49" t="str"/>
      <c r="K6193" s="41" t="str"/>
      <c r="L6193" s="41" t="str"/>
      <c r="M6193" s="41" t="str"/>
      <c r="N6193" s="41" t="str"/>
      <c r="O6193" s="41" t="str"/>
      <c r="P6193" s="41" t="str"/>
      <c r="Q6193" s="41" t="str"/>
      <c r="R6193" s="41" t="str"/>
      <c r="S6193" s="41" t="str"/>
      <c r="T6193" s="41" t="str"/>
      <c r="U6193" s="41" t="str"/>
      <c r="V6193" s="41" t="str"/>
      <c r="W6193" s="41" t="str"/>
    </row>
    <row r="6194">
      <c r="B6194" s="2" t="n"/>
      <c r="C6194" s="40" t="n"/>
      <c r="D6194" s="52">
        <f t="array" ref="D6194:W6194">IF(All_Students_Scores!C6192:V6192="","",All_Students_Scores!C6192:V6192)</f>
        <v/>
      </c>
      <c r="E6194" s="57" t="str"/>
      <c r="F6194" s="49" t="str"/>
      <c r="G6194" s="59" t="str"/>
      <c r="H6194" s="64" t="str"/>
      <c r="I6194" s="65" t="str"/>
      <c r="J6194" s="49" t="str"/>
      <c r="K6194" s="41" t="str"/>
      <c r="L6194" s="41" t="str"/>
      <c r="M6194" s="41" t="str"/>
      <c r="N6194" s="41" t="str"/>
      <c r="O6194" s="41" t="str"/>
      <c r="P6194" s="41" t="str"/>
      <c r="Q6194" s="41" t="str"/>
      <c r="R6194" s="41" t="str"/>
      <c r="S6194" s="41" t="str"/>
      <c r="T6194" s="41" t="str"/>
      <c r="U6194" s="41" t="str"/>
      <c r="V6194" s="41" t="str"/>
      <c r="W6194" s="41" t="str"/>
    </row>
    <row r="6195">
      <c r="B6195" s="2" t="n"/>
      <c r="C6195" s="40" t="n"/>
      <c r="D6195" s="52">
        <f t="array" ref="D6195:W6195">IF(All_Students_Scores!C6193:V6193="","",All_Students_Scores!C6193:V6193)</f>
        <v/>
      </c>
      <c r="E6195" s="57" t="str"/>
      <c r="F6195" s="49" t="str"/>
      <c r="G6195" s="59" t="str"/>
      <c r="H6195" s="64" t="str"/>
      <c r="I6195" s="65" t="str"/>
      <c r="J6195" s="49" t="str"/>
      <c r="K6195" s="41" t="str"/>
      <c r="L6195" s="41" t="str"/>
      <c r="M6195" s="41" t="str"/>
      <c r="N6195" s="41" t="str"/>
      <c r="O6195" s="41" t="str"/>
      <c r="P6195" s="41" t="str"/>
      <c r="Q6195" s="41" t="str"/>
      <c r="R6195" s="41" t="str"/>
      <c r="S6195" s="41" t="str"/>
      <c r="T6195" s="41" t="str"/>
      <c r="U6195" s="41" t="str"/>
      <c r="V6195" s="41" t="str"/>
      <c r="W6195" s="41" t="str"/>
    </row>
    <row r="6196">
      <c r="B6196" s="2" t="n"/>
      <c r="C6196" s="40" t="n"/>
      <c r="D6196" s="52">
        <f t="array" ref="D6196:W6196">IF(All_Students_Scores!C6194:V6194="","",All_Students_Scores!C6194:V6194)</f>
        <v/>
      </c>
      <c r="E6196" s="57" t="str"/>
      <c r="F6196" s="49" t="str"/>
      <c r="G6196" s="59" t="str"/>
      <c r="H6196" s="64" t="str"/>
      <c r="I6196" s="65" t="str"/>
      <c r="J6196" s="49" t="str"/>
      <c r="K6196" s="41" t="str"/>
      <c r="L6196" s="41" t="str"/>
      <c r="M6196" s="41" t="str"/>
      <c r="N6196" s="41" t="str"/>
      <c r="O6196" s="41" t="str"/>
      <c r="P6196" s="41" t="str"/>
      <c r="Q6196" s="41" t="str"/>
      <c r="R6196" s="41" t="str"/>
      <c r="S6196" s="41" t="str"/>
      <c r="T6196" s="41" t="str"/>
      <c r="U6196" s="41" t="str"/>
      <c r="V6196" s="41" t="str"/>
      <c r="W6196" s="41" t="str"/>
    </row>
    <row r="6197">
      <c r="B6197" s="2" t="n"/>
      <c r="C6197" s="40" t="n"/>
      <c r="D6197" s="52">
        <f t="array" ref="D6197:W6197">IF(All_Students_Scores!C6195:V6195="","",All_Students_Scores!C6195:V6195)</f>
        <v/>
      </c>
      <c r="E6197" s="57" t="str"/>
      <c r="F6197" s="49" t="str"/>
      <c r="G6197" s="59" t="str"/>
      <c r="H6197" s="64" t="str"/>
      <c r="I6197" s="65" t="str"/>
      <c r="J6197" s="49" t="str"/>
      <c r="K6197" s="41" t="str"/>
      <c r="L6197" s="41" t="str"/>
      <c r="M6197" s="41" t="str"/>
      <c r="N6197" s="41" t="str"/>
      <c r="O6197" s="41" t="str"/>
      <c r="P6197" s="41" t="str"/>
      <c r="Q6197" s="41" t="str"/>
      <c r="R6197" s="41" t="str"/>
      <c r="S6197" s="41" t="str"/>
      <c r="T6197" s="41" t="str"/>
      <c r="U6197" s="41" t="str"/>
      <c r="V6197" s="41" t="str"/>
      <c r="W6197" s="41" t="str"/>
    </row>
    <row r="6198">
      <c r="B6198" s="2" t="n"/>
      <c r="C6198" s="40" t="n"/>
      <c r="D6198" s="52">
        <f t="array" ref="D6198:W6198">IF(All_Students_Scores!C6196:V6196="","",All_Students_Scores!C6196:V6196)</f>
        <v/>
      </c>
      <c r="E6198" s="57" t="str"/>
      <c r="F6198" s="49" t="str"/>
      <c r="G6198" s="59" t="str"/>
      <c r="H6198" s="64" t="str"/>
      <c r="I6198" s="65" t="str"/>
      <c r="J6198" s="49" t="str"/>
      <c r="K6198" s="41" t="str"/>
      <c r="L6198" s="41" t="str"/>
      <c r="M6198" s="41" t="str"/>
      <c r="N6198" s="41" t="str"/>
      <c r="O6198" s="41" t="str"/>
      <c r="P6198" s="41" t="str"/>
      <c r="Q6198" s="41" t="str"/>
      <c r="R6198" s="41" t="str"/>
      <c r="S6198" s="41" t="str"/>
      <c r="T6198" s="41" t="str"/>
      <c r="U6198" s="41" t="str"/>
      <c r="V6198" s="41" t="str"/>
      <c r="W6198" s="41" t="str"/>
    </row>
    <row r="6199">
      <c r="B6199" s="2" t="n"/>
      <c r="C6199" s="40" t="n"/>
      <c r="D6199" s="52">
        <f t="array" ref="D6199:W6199">IF(All_Students_Scores!C6197:V6197="","",All_Students_Scores!C6197:V6197)</f>
        <v/>
      </c>
      <c r="E6199" s="57" t="str"/>
      <c r="F6199" s="49" t="str"/>
      <c r="G6199" s="59" t="str"/>
      <c r="H6199" s="64" t="str"/>
      <c r="I6199" s="65" t="str"/>
      <c r="J6199" s="49" t="str"/>
      <c r="K6199" s="41" t="str"/>
      <c r="L6199" s="41" t="str"/>
      <c r="M6199" s="41" t="str"/>
      <c r="N6199" s="41" t="str"/>
      <c r="O6199" s="41" t="str"/>
      <c r="P6199" s="41" t="str"/>
      <c r="Q6199" s="41" t="str"/>
      <c r="R6199" s="41" t="str"/>
      <c r="S6199" s="41" t="str"/>
      <c r="T6199" s="41" t="str"/>
      <c r="U6199" s="41" t="str"/>
      <c r="V6199" s="41" t="str"/>
      <c r="W6199" s="41" t="str"/>
    </row>
    <row r="6200">
      <c r="B6200" s="2" t="n"/>
      <c r="C6200" s="40" t="n"/>
      <c r="D6200" s="52">
        <f t="array" ref="D6200:W6200">IF(All_Students_Scores!C6198:V6198="","",All_Students_Scores!C6198:V6198)</f>
        <v/>
      </c>
      <c r="E6200" s="57" t="str"/>
      <c r="F6200" s="49" t="str"/>
      <c r="G6200" s="59" t="str"/>
      <c r="H6200" s="64" t="str"/>
      <c r="I6200" s="65" t="str"/>
      <c r="J6200" s="49" t="str"/>
      <c r="K6200" s="41" t="str"/>
      <c r="L6200" s="41" t="str"/>
      <c r="M6200" s="41" t="str"/>
      <c r="N6200" s="41" t="str"/>
      <c r="O6200" s="41" t="str"/>
      <c r="P6200" s="41" t="str"/>
      <c r="Q6200" s="41" t="str"/>
      <c r="R6200" s="41" t="str"/>
      <c r="S6200" s="41" t="str"/>
      <c r="T6200" s="41" t="str"/>
      <c r="U6200" s="41" t="str"/>
      <c r="V6200" s="41" t="str"/>
      <c r="W6200" s="41" t="str"/>
    </row>
    <row r="6201">
      <c r="B6201" s="2" t="n"/>
      <c r="C6201" s="40" t="n"/>
      <c r="D6201" s="52">
        <f t="array" ref="D6201:W6201">IF(All_Students_Scores!C6199:V6199="","",All_Students_Scores!C6199:V6199)</f>
        <v/>
      </c>
      <c r="E6201" s="57" t="str"/>
      <c r="F6201" s="49" t="str"/>
      <c r="G6201" s="59" t="str"/>
      <c r="H6201" s="64" t="str"/>
      <c r="I6201" s="65" t="str"/>
      <c r="J6201" s="49" t="str"/>
      <c r="K6201" s="41" t="str"/>
      <c r="L6201" s="41" t="str"/>
      <c r="M6201" s="41" t="str"/>
      <c r="N6201" s="41" t="str"/>
      <c r="O6201" s="41" t="str"/>
      <c r="P6201" s="41" t="str"/>
      <c r="Q6201" s="41" t="str"/>
      <c r="R6201" s="41" t="str"/>
      <c r="S6201" s="41" t="str"/>
      <c r="T6201" s="41" t="str"/>
      <c r="U6201" s="41" t="str"/>
      <c r="V6201" s="41" t="str"/>
      <c r="W6201" s="41" t="str"/>
    </row>
    <row r="6202">
      <c r="B6202" s="2" t="n"/>
      <c r="C6202" s="40" t="n"/>
      <c r="D6202" s="52">
        <f t="array" ref="D6202:W6202">IF(All_Students_Scores!C6200:V6200="","",All_Students_Scores!C6200:V6200)</f>
        <v/>
      </c>
      <c r="E6202" s="57" t="str"/>
      <c r="F6202" s="49" t="str"/>
      <c r="G6202" s="59" t="str"/>
      <c r="H6202" s="64" t="str"/>
      <c r="I6202" s="65" t="str"/>
      <c r="J6202" s="49" t="str"/>
      <c r="K6202" s="41" t="str"/>
      <c r="L6202" s="41" t="str"/>
      <c r="M6202" s="41" t="str"/>
      <c r="N6202" s="41" t="str"/>
      <c r="O6202" s="41" t="str"/>
      <c r="P6202" s="41" t="str"/>
      <c r="Q6202" s="41" t="str"/>
      <c r="R6202" s="41" t="str"/>
      <c r="S6202" s="41" t="str"/>
      <c r="T6202" s="41" t="str"/>
      <c r="U6202" s="41" t="str"/>
      <c r="V6202" s="41" t="str"/>
      <c r="W6202" s="41" t="str"/>
    </row>
    <row r="6203">
      <c r="B6203" s="2" t="n"/>
      <c r="C6203" s="40" t="n"/>
      <c r="D6203" s="52">
        <f t="array" ref="D6203:W6203">IF(All_Students_Scores!C6201:V6201="","",All_Students_Scores!C6201:V6201)</f>
        <v/>
      </c>
      <c r="E6203" s="57" t="str"/>
      <c r="F6203" s="49" t="str"/>
      <c r="G6203" s="59" t="str"/>
      <c r="H6203" s="64" t="str"/>
      <c r="I6203" s="65" t="str"/>
      <c r="J6203" s="49" t="str"/>
      <c r="K6203" s="41" t="str"/>
      <c r="L6203" s="41" t="str"/>
      <c r="M6203" s="41" t="str"/>
      <c r="N6203" s="41" t="str"/>
      <c r="O6203" s="41" t="str"/>
      <c r="P6203" s="41" t="str"/>
      <c r="Q6203" s="41" t="str"/>
      <c r="R6203" s="41" t="str"/>
      <c r="S6203" s="41" t="str"/>
      <c r="T6203" s="41" t="str"/>
      <c r="U6203" s="41" t="str"/>
      <c r="V6203" s="41" t="str"/>
      <c r="W6203" s="41" t="str"/>
    </row>
    <row r="6204">
      <c r="B6204" s="2" t="n"/>
      <c r="C6204" s="40" t="n"/>
      <c r="D6204" s="52">
        <f t="array" ref="D6204:W6204">IF(All_Students_Scores!C6202:V6202="","",All_Students_Scores!C6202:V6202)</f>
        <v/>
      </c>
      <c r="E6204" s="57" t="str"/>
      <c r="F6204" s="49" t="str"/>
      <c r="G6204" s="59" t="str"/>
      <c r="H6204" s="64" t="str"/>
      <c r="I6204" s="65" t="str"/>
      <c r="J6204" s="49" t="str"/>
      <c r="K6204" s="41" t="str"/>
      <c r="L6204" s="41" t="str"/>
      <c r="M6204" s="41" t="str"/>
      <c r="N6204" s="41" t="str"/>
      <c r="O6204" s="41" t="str"/>
      <c r="P6204" s="41" t="str"/>
      <c r="Q6204" s="41" t="str"/>
      <c r="R6204" s="41" t="str"/>
      <c r="S6204" s="41" t="str"/>
      <c r="T6204" s="41" t="str"/>
      <c r="U6204" s="41" t="str"/>
      <c r="V6204" s="41" t="str"/>
      <c r="W6204" s="41" t="str"/>
    </row>
    <row r="6205">
      <c r="B6205" s="2" t="n"/>
      <c r="C6205" s="40" t="n"/>
      <c r="D6205" s="52">
        <f t="array" ref="D6205:W6205">IF(All_Students_Scores!C6203:V6203="","",All_Students_Scores!C6203:V6203)</f>
        <v/>
      </c>
      <c r="E6205" s="57" t="str"/>
      <c r="F6205" s="49" t="str"/>
      <c r="G6205" s="59" t="str"/>
      <c r="H6205" s="64" t="str"/>
      <c r="I6205" s="65" t="str"/>
      <c r="J6205" s="49" t="str"/>
      <c r="K6205" s="41" t="str"/>
      <c r="L6205" s="41" t="str"/>
      <c r="M6205" s="41" t="str"/>
      <c r="N6205" s="41" t="str"/>
      <c r="O6205" s="41" t="str"/>
      <c r="P6205" s="41" t="str"/>
      <c r="Q6205" s="41" t="str"/>
      <c r="R6205" s="41" t="str"/>
      <c r="S6205" s="41" t="str"/>
      <c r="T6205" s="41" t="str"/>
      <c r="U6205" s="41" t="str"/>
      <c r="V6205" s="41" t="str"/>
      <c r="W6205" s="41" t="str"/>
    </row>
    <row r="6206">
      <c r="B6206" s="2" t="n"/>
      <c r="C6206" s="40" t="n"/>
      <c r="D6206" s="52">
        <f t="array" ref="D6206:W6206">IF(All_Students_Scores!C6204:V6204="","",All_Students_Scores!C6204:V6204)</f>
        <v/>
      </c>
      <c r="E6206" s="57" t="str"/>
      <c r="F6206" s="49" t="str"/>
      <c r="G6206" s="59" t="str"/>
      <c r="H6206" s="64" t="str"/>
      <c r="I6206" s="65" t="str"/>
      <c r="J6206" s="49" t="str"/>
      <c r="K6206" s="41" t="str"/>
      <c r="L6206" s="41" t="str"/>
      <c r="M6206" s="41" t="str"/>
      <c r="N6206" s="41" t="str"/>
      <c r="O6206" s="41" t="str"/>
      <c r="P6206" s="41" t="str"/>
      <c r="Q6206" s="41" t="str"/>
      <c r="R6206" s="41" t="str"/>
      <c r="S6206" s="41" t="str"/>
      <c r="T6206" s="41" t="str"/>
      <c r="U6206" s="41" t="str"/>
      <c r="V6206" s="41" t="str"/>
      <c r="W6206" s="41" t="str"/>
    </row>
    <row r="6207">
      <c r="B6207" s="2" t="n"/>
      <c r="C6207" s="40" t="n"/>
      <c r="D6207" s="52">
        <f t="array" ref="D6207:W6207">IF(All_Students_Scores!C6205:V6205="","",All_Students_Scores!C6205:V6205)</f>
        <v/>
      </c>
      <c r="E6207" s="57" t="str"/>
      <c r="F6207" s="49" t="str"/>
      <c r="G6207" s="59" t="str"/>
      <c r="H6207" s="64" t="str"/>
      <c r="I6207" s="65" t="str"/>
      <c r="J6207" s="49" t="str"/>
      <c r="K6207" s="41" t="str"/>
      <c r="L6207" s="41" t="str"/>
      <c r="M6207" s="41" t="str"/>
      <c r="N6207" s="41" t="str"/>
      <c r="O6207" s="41" t="str"/>
      <c r="P6207" s="41" t="str"/>
      <c r="Q6207" s="41" t="str"/>
      <c r="R6207" s="41" t="str"/>
      <c r="S6207" s="41" t="str"/>
      <c r="T6207" s="41" t="str"/>
      <c r="U6207" s="41" t="str"/>
      <c r="V6207" s="41" t="str"/>
      <c r="W6207" s="41" t="str"/>
    </row>
    <row r="6208">
      <c r="B6208" s="2" t="n"/>
      <c r="C6208" s="40" t="n"/>
      <c r="D6208" s="52">
        <f t="array" ref="D6208:W6208">IF(All_Students_Scores!C6206:V6206="","",All_Students_Scores!C6206:V6206)</f>
        <v/>
      </c>
      <c r="E6208" s="57" t="str"/>
      <c r="F6208" s="49" t="str"/>
      <c r="G6208" s="59" t="str"/>
      <c r="H6208" s="64" t="str"/>
      <c r="I6208" s="65" t="str"/>
      <c r="J6208" s="49" t="str"/>
      <c r="K6208" s="41" t="str"/>
      <c r="L6208" s="41" t="str"/>
      <c r="M6208" s="41" t="str"/>
      <c r="N6208" s="41" t="str"/>
      <c r="O6208" s="41" t="str"/>
      <c r="P6208" s="41" t="str"/>
      <c r="Q6208" s="41" t="str"/>
      <c r="R6208" s="41" t="str"/>
      <c r="S6208" s="41" t="str"/>
      <c r="T6208" s="41" t="str"/>
      <c r="U6208" s="41" t="str"/>
      <c r="V6208" s="41" t="str"/>
      <c r="W6208" s="41" t="str"/>
    </row>
    <row r="6209">
      <c r="B6209" s="2" t="n"/>
      <c r="C6209" s="40" t="n"/>
      <c r="D6209" s="52">
        <f t="array" ref="D6209:W6209">IF(All_Students_Scores!C6207:V6207="","",All_Students_Scores!C6207:V6207)</f>
        <v/>
      </c>
      <c r="E6209" s="57" t="str"/>
      <c r="F6209" s="49" t="str"/>
      <c r="G6209" s="59" t="str"/>
      <c r="H6209" s="64" t="str"/>
      <c r="I6209" s="65" t="str"/>
      <c r="J6209" s="49" t="str"/>
      <c r="K6209" s="41" t="str"/>
      <c r="L6209" s="41" t="str"/>
      <c r="M6209" s="41" t="str"/>
      <c r="N6209" s="41" t="str"/>
      <c r="O6209" s="41" t="str"/>
      <c r="P6209" s="41" t="str"/>
      <c r="Q6209" s="41" t="str"/>
      <c r="R6209" s="41" t="str"/>
      <c r="S6209" s="41" t="str"/>
      <c r="T6209" s="41" t="str"/>
      <c r="U6209" s="41" t="str"/>
      <c r="V6209" s="41" t="str"/>
      <c r="W6209" s="41" t="str"/>
    </row>
    <row r="6210">
      <c r="B6210" s="2" t="n"/>
      <c r="C6210" s="40" t="n"/>
      <c r="D6210" s="52">
        <f t="array" ref="D6210:W6210">IF(All_Students_Scores!C6208:V6208="","",All_Students_Scores!C6208:V6208)</f>
        <v/>
      </c>
      <c r="E6210" s="57" t="str"/>
      <c r="F6210" s="49" t="str"/>
      <c r="G6210" s="59" t="str"/>
      <c r="H6210" s="64" t="str"/>
      <c r="I6210" s="65" t="str"/>
      <c r="J6210" s="49" t="str"/>
      <c r="K6210" s="41" t="str"/>
      <c r="L6210" s="41" t="str"/>
      <c r="M6210" s="41" t="str"/>
      <c r="N6210" s="41" t="str"/>
      <c r="O6210" s="41" t="str"/>
      <c r="P6210" s="41" t="str"/>
      <c r="Q6210" s="41" t="str"/>
      <c r="R6210" s="41" t="str"/>
      <c r="S6210" s="41" t="str"/>
      <c r="T6210" s="41" t="str"/>
      <c r="U6210" s="41" t="str"/>
      <c r="V6210" s="41" t="str"/>
      <c r="W6210" s="41" t="str"/>
    </row>
    <row r="6211">
      <c r="B6211" s="2" t="n"/>
      <c r="C6211" s="40" t="n"/>
      <c r="D6211" s="52">
        <f t="array" ref="D6211:W6211">IF(All_Students_Scores!C6209:V6209="","",All_Students_Scores!C6209:V6209)</f>
        <v/>
      </c>
      <c r="E6211" s="57" t="str"/>
      <c r="F6211" s="49" t="str"/>
      <c r="G6211" s="59" t="str"/>
      <c r="H6211" s="64" t="str"/>
      <c r="I6211" s="65" t="str"/>
      <c r="J6211" s="49" t="str"/>
      <c r="K6211" s="41" t="str"/>
      <c r="L6211" s="41" t="str"/>
      <c r="M6211" s="41" t="str"/>
      <c r="N6211" s="41" t="str"/>
      <c r="O6211" s="41" t="str"/>
      <c r="P6211" s="41" t="str"/>
      <c r="Q6211" s="41" t="str"/>
      <c r="R6211" s="41" t="str"/>
      <c r="S6211" s="41" t="str"/>
      <c r="T6211" s="41" t="str"/>
      <c r="U6211" s="41" t="str"/>
      <c r="V6211" s="41" t="str"/>
      <c r="W6211" s="41" t="str"/>
    </row>
    <row r="6212">
      <c r="B6212" s="2" t="n"/>
      <c r="C6212" s="40" t="n"/>
      <c r="D6212" s="52">
        <f t="array" ref="D6212:W6212">IF(All_Students_Scores!C6210:V6210="","",All_Students_Scores!C6210:V6210)</f>
        <v/>
      </c>
      <c r="E6212" s="57" t="str"/>
      <c r="F6212" s="49" t="str"/>
      <c r="G6212" s="59" t="str"/>
      <c r="H6212" s="64" t="str"/>
      <c r="I6212" s="65" t="str"/>
      <c r="J6212" s="49" t="str"/>
      <c r="K6212" s="41" t="str"/>
      <c r="L6212" s="41" t="str"/>
      <c r="M6212" s="41" t="str"/>
      <c r="N6212" s="41" t="str"/>
      <c r="O6212" s="41" t="str"/>
      <c r="P6212" s="41" t="str"/>
      <c r="Q6212" s="41" t="str"/>
      <c r="R6212" s="41" t="str"/>
      <c r="S6212" s="41" t="str"/>
      <c r="T6212" s="41" t="str"/>
      <c r="U6212" s="41" t="str"/>
      <c r="V6212" s="41" t="str"/>
      <c r="W6212" s="41" t="str"/>
    </row>
    <row r="6213">
      <c r="B6213" s="2" t="n"/>
      <c r="C6213" s="40" t="n"/>
      <c r="D6213" s="52">
        <f t="array" ref="D6213:W6213">IF(All_Students_Scores!C6211:V6211="","",All_Students_Scores!C6211:V6211)</f>
        <v/>
      </c>
      <c r="E6213" s="57" t="str"/>
      <c r="F6213" s="49" t="str"/>
      <c r="G6213" s="59" t="str"/>
      <c r="H6213" s="64" t="str"/>
      <c r="I6213" s="65" t="str"/>
      <c r="J6213" s="49" t="str"/>
      <c r="K6213" s="41" t="str"/>
      <c r="L6213" s="41" t="str"/>
      <c r="M6213" s="41" t="str"/>
      <c r="N6213" s="41" t="str"/>
      <c r="O6213" s="41" t="str"/>
      <c r="P6213" s="41" t="str"/>
      <c r="Q6213" s="41" t="str"/>
      <c r="R6213" s="41" t="str"/>
      <c r="S6213" s="41" t="str"/>
      <c r="T6213" s="41" t="str"/>
      <c r="U6213" s="41" t="str"/>
      <c r="V6213" s="41" t="str"/>
      <c r="W6213" s="41" t="str"/>
    </row>
    <row r="6214">
      <c r="B6214" s="2" t="n"/>
      <c r="C6214" s="40" t="n"/>
      <c r="D6214" s="52">
        <f t="array" ref="D6214:W6214">IF(All_Students_Scores!C6212:V6212="","",All_Students_Scores!C6212:V6212)</f>
        <v/>
      </c>
      <c r="E6214" s="57" t="str"/>
      <c r="F6214" s="49" t="str"/>
      <c r="G6214" s="59" t="str"/>
      <c r="H6214" s="64" t="str"/>
      <c r="I6214" s="65" t="str"/>
      <c r="J6214" s="49" t="str"/>
      <c r="K6214" s="41" t="str"/>
      <c r="L6214" s="41" t="str"/>
      <c r="M6214" s="41" t="str"/>
      <c r="N6214" s="41" t="str"/>
      <c r="O6214" s="41" t="str"/>
      <c r="P6214" s="41" t="str"/>
      <c r="Q6214" s="41" t="str"/>
      <c r="R6214" s="41" t="str"/>
      <c r="S6214" s="41" t="str"/>
      <c r="T6214" s="41" t="str"/>
      <c r="U6214" s="41" t="str"/>
      <c r="V6214" s="41" t="str"/>
      <c r="W6214" s="41" t="str"/>
    </row>
    <row r="6215">
      <c r="B6215" s="2" t="n"/>
      <c r="C6215" s="40" t="n"/>
      <c r="D6215" s="52">
        <f t="array" ref="D6215:W6215">IF(All_Students_Scores!C6213:V6213="","",All_Students_Scores!C6213:V6213)</f>
        <v/>
      </c>
      <c r="E6215" s="57" t="str"/>
      <c r="F6215" s="49" t="str"/>
      <c r="G6215" s="59" t="str"/>
      <c r="H6215" s="64" t="str"/>
      <c r="I6215" s="65" t="str"/>
      <c r="J6215" s="49" t="str"/>
      <c r="K6215" s="41" t="str"/>
      <c r="L6215" s="41" t="str"/>
      <c r="M6215" s="41" t="str"/>
      <c r="N6215" s="41" t="str"/>
      <c r="O6215" s="41" t="str"/>
      <c r="P6215" s="41" t="str"/>
      <c r="Q6215" s="41" t="str"/>
      <c r="R6215" s="41" t="str"/>
      <c r="S6215" s="41" t="str"/>
      <c r="T6215" s="41" t="str"/>
      <c r="U6215" s="41" t="str"/>
      <c r="V6215" s="41" t="str"/>
      <c r="W6215" s="41" t="str"/>
    </row>
    <row r="6216">
      <c r="B6216" s="2" t="n"/>
      <c r="C6216" s="40" t="n"/>
      <c r="D6216" s="52">
        <f t="array" ref="D6216:W6216">IF(All_Students_Scores!C6214:V6214="","",All_Students_Scores!C6214:V6214)</f>
        <v/>
      </c>
      <c r="E6216" s="57" t="str"/>
      <c r="F6216" s="49" t="str"/>
      <c r="G6216" s="59" t="str"/>
      <c r="H6216" s="64" t="str"/>
      <c r="I6216" s="65" t="str"/>
      <c r="J6216" s="49" t="str"/>
      <c r="K6216" s="41" t="str"/>
      <c r="L6216" s="41" t="str"/>
      <c r="M6216" s="41" t="str"/>
      <c r="N6216" s="41" t="str"/>
      <c r="O6216" s="41" t="str"/>
      <c r="P6216" s="41" t="str"/>
      <c r="Q6216" s="41" t="str"/>
      <c r="R6216" s="41" t="str"/>
      <c r="S6216" s="41" t="str"/>
      <c r="T6216" s="41" t="str"/>
      <c r="U6216" s="41" t="str"/>
      <c r="V6216" s="41" t="str"/>
      <c r="W6216" s="41" t="str"/>
    </row>
    <row r="6217">
      <c r="B6217" s="2" t="n"/>
      <c r="C6217" s="40" t="n"/>
      <c r="D6217" s="52">
        <f t="array" ref="D6217:W6217">IF(All_Students_Scores!C6215:V6215="","",All_Students_Scores!C6215:V6215)</f>
        <v/>
      </c>
      <c r="E6217" s="57" t="str"/>
      <c r="F6217" s="49" t="str"/>
      <c r="G6217" s="59" t="str"/>
      <c r="H6217" s="64" t="str"/>
      <c r="I6217" s="65" t="str"/>
      <c r="J6217" s="49" t="str"/>
      <c r="K6217" s="41" t="str"/>
      <c r="L6217" s="41" t="str"/>
      <c r="M6217" s="41" t="str"/>
      <c r="N6217" s="41" t="str"/>
      <c r="O6217" s="41" t="str"/>
      <c r="P6217" s="41" t="str"/>
      <c r="Q6217" s="41" t="str"/>
      <c r="R6217" s="41" t="str"/>
      <c r="S6217" s="41" t="str"/>
      <c r="T6217" s="41" t="str"/>
      <c r="U6217" s="41" t="str"/>
      <c r="V6217" s="41" t="str"/>
      <c r="W6217" s="41" t="str"/>
    </row>
    <row r="6218">
      <c r="B6218" s="2" t="n"/>
      <c r="C6218" s="40" t="n"/>
      <c r="D6218" s="52">
        <f t="array" ref="D6218:W6218">IF(All_Students_Scores!C6216:V6216="","",All_Students_Scores!C6216:V6216)</f>
        <v/>
      </c>
      <c r="E6218" s="57" t="str"/>
      <c r="F6218" s="49" t="str"/>
      <c r="G6218" s="59" t="str"/>
      <c r="H6218" s="64" t="str"/>
      <c r="I6218" s="65" t="str"/>
      <c r="J6218" s="49" t="str"/>
      <c r="K6218" s="41" t="str"/>
      <c r="L6218" s="41" t="str"/>
      <c r="M6218" s="41" t="str"/>
      <c r="N6218" s="41" t="str"/>
      <c r="O6218" s="41" t="str"/>
      <c r="P6218" s="41" t="str"/>
      <c r="Q6218" s="41" t="str"/>
      <c r="R6218" s="41" t="str"/>
      <c r="S6218" s="41" t="str"/>
      <c r="T6218" s="41" t="str"/>
      <c r="U6218" s="41" t="str"/>
      <c r="V6218" s="41" t="str"/>
      <c r="W6218" s="41" t="str"/>
    </row>
    <row r="6219">
      <c r="B6219" s="2" t="n"/>
      <c r="C6219" s="40" t="n"/>
      <c r="D6219" s="52">
        <f t="array" ref="D6219:W6219">IF(All_Students_Scores!C6217:V6217="","",All_Students_Scores!C6217:V6217)</f>
        <v/>
      </c>
      <c r="E6219" s="57" t="str"/>
      <c r="F6219" s="49" t="str"/>
      <c r="G6219" s="59" t="str"/>
      <c r="H6219" s="64" t="str"/>
      <c r="I6219" s="65" t="str"/>
      <c r="J6219" s="49" t="str"/>
      <c r="K6219" s="41" t="str"/>
      <c r="L6219" s="41" t="str"/>
      <c r="M6219" s="41" t="str"/>
      <c r="N6219" s="41" t="str"/>
      <c r="O6219" s="41" t="str"/>
      <c r="P6219" s="41" t="str"/>
      <c r="Q6219" s="41" t="str"/>
      <c r="R6219" s="41" t="str"/>
      <c r="S6219" s="41" t="str"/>
      <c r="T6219" s="41" t="str"/>
      <c r="U6219" s="41" t="str"/>
      <c r="V6219" s="41" t="str"/>
      <c r="W6219" s="41" t="str"/>
    </row>
    <row r="6220">
      <c r="B6220" s="2" t="n"/>
      <c r="C6220" s="40" t="n"/>
      <c r="D6220" s="52">
        <f t="array" ref="D6220:W6220">IF(All_Students_Scores!C6218:V6218="","",All_Students_Scores!C6218:V6218)</f>
        <v/>
      </c>
      <c r="E6220" s="57" t="str"/>
      <c r="F6220" s="49" t="str"/>
      <c r="G6220" s="59" t="str"/>
      <c r="H6220" s="64" t="str"/>
      <c r="I6220" s="65" t="str"/>
      <c r="J6220" s="49" t="str"/>
      <c r="K6220" s="41" t="str"/>
      <c r="L6220" s="41" t="str"/>
      <c r="M6220" s="41" t="str"/>
      <c r="N6220" s="41" t="str"/>
      <c r="O6220" s="41" t="str"/>
      <c r="P6220" s="41" t="str"/>
      <c r="Q6220" s="41" t="str"/>
      <c r="R6220" s="41" t="str"/>
      <c r="S6220" s="41" t="str"/>
      <c r="T6220" s="41" t="str"/>
      <c r="U6220" s="41" t="str"/>
      <c r="V6220" s="41" t="str"/>
      <c r="W6220" s="41" t="str"/>
    </row>
    <row r="6221">
      <c r="B6221" s="2" t="n"/>
      <c r="C6221" s="40" t="n"/>
      <c r="D6221" s="52">
        <f t="array" ref="D6221:W6221">IF(All_Students_Scores!C6219:V6219="","",All_Students_Scores!C6219:V6219)</f>
        <v/>
      </c>
      <c r="E6221" s="57" t="str"/>
      <c r="F6221" s="49" t="str"/>
      <c r="G6221" s="59" t="str"/>
      <c r="H6221" s="64" t="str"/>
      <c r="I6221" s="65" t="str"/>
      <c r="J6221" s="49" t="str"/>
      <c r="K6221" s="41" t="str"/>
      <c r="L6221" s="41" t="str"/>
      <c r="M6221" s="41" t="str"/>
      <c r="N6221" s="41" t="str"/>
      <c r="O6221" s="41" t="str"/>
      <c r="P6221" s="41" t="str"/>
      <c r="Q6221" s="41" t="str"/>
      <c r="R6221" s="41" t="str"/>
      <c r="S6221" s="41" t="str"/>
      <c r="T6221" s="41" t="str"/>
      <c r="U6221" s="41" t="str"/>
      <c r="V6221" s="41" t="str"/>
      <c r="W6221" s="41" t="str"/>
    </row>
    <row r="6222">
      <c r="B6222" s="2" t="n"/>
      <c r="C6222" s="40" t="n"/>
      <c r="D6222" s="52">
        <f t="array" ref="D6222:W6222">IF(All_Students_Scores!C6220:V6220="","",All_Students_Scores!C6220:V6220)</f>
        <v/>
      </c>
      <c r="E6222" s="57" t="str"/>
      <c r="F6222" s="49" t="str"/>
      <c r="G6222" s="59" t="str"/>
      <c r="H6222" s="64" t="str"/>
      <c r="I6222" s="65" t="str"/>
      <c r="J6222" s="49" t="str"/>
      <c r="K6222" s="41" t="str"/>
      <c r="L6222" s="41" t="str"/>
      <c r="M6222" s="41" t="str"/>
      <c r="N6222" s="41" t="str"/>
      <c r="O6222" s="41" t="str"/>
      <c r="P6222" s="41" t="str"/>
      <c r="Q6222" s="41" t="str"/>
      <c r="R6222" s="41" t="str"/>
      <c r="S6222" s="41" t="str"/>
      <c r="T6222" s="41" t="str"/>
      <c r="U6222" s="41" t="str"/>
      <c r="V6222" s="41" t="str"/>
      <c r="W6222" s="41" t="str"/>
    </row>
    <row r="6223">
      <c r="B6223" s="2" t="n"/>
      <c r="C6223" s="40" t="n"/>
      <c r="D6223" s="52">
        <f t="array" ref="D6223:W6223">IF(All_Students_Scores!C6221:V6221="","",All_Students_Scores!C6221:V6221)</f>
        <v/>
      </c>
      <c r="E6223" s="57" t="str"/>
      <c r="F6223" s="49" t="str"/>
      <c r="G6223" s="59" t="str"/>
      <c r="H6223" s="64" t="str"/>
      <c r="I6223" s="65" t="str"/>
      <c r="J6223" s="49" t="str"/>
      <c r="K6223" s="41" t="str"/>
      <c r="L6223" s="41" t="str"/>
      <c r="M6223" s="41" t="str"/>
      <c r="N6223" s="41" t="str"/>
      <c r="O6223" s="41" t="str"/>
      <c r="P6223" s="41" t="str"/>
      <c r="Q6223" s="41" t="str"/>
      <c r="R6223" s="41" t="str"/>
      <c r="S6223" s="41" t="str"/>
      <c r="T6223" s="41" t="str"/>
      <c r="U6223" s="41" t="str"/>
      <c r="V6223" s="41" t="str"/>
      <c r="W6223" s="41" t="str"/>
    </row>
    <row r="6224">
      <c r="B6224" s="2" t="n"/>
      <c r="C6224" s="40" t="n"/>
      <c r="D6224" s="52">
        <f t="array" ref="D6224:W6224">IF(All_Students_Scores!C6222:V6222="","",All_Students_Scores!C6222:V6222)</f>
        <v/>
      </c>
      <c r="E6224" s="57" t="str"/>
      <c r="F6224" s="49" t="str"/>
      <c r="G6224" s="59" t="str"/>
      <c r="H6224" s="64" t="str"/>
      <c r="I6224" s="65" t="str"/>
      <c r="J6224" s="49" t="str"/>
      <c r="K6224" s="41" t="str"/>
      <c r="L6224" s="41" t="str"/>
      <c r="M6224" s="41" t="str"/>
      <c r="N6224" s="41" t="str"/>
      <c r="O6224" s="41" t="str"/>
      <c r="P6224" s="41" t="str"/>
      <c r="Q6224" s="41" t="str"/>
      <c r="R6224" s="41" t="str"/>
      <c r="S6224" s="41" t="str"/>
      <c r="T6224" s="41" t="str"/>
      <c r="U6224" s="41" t="str"/>
      <c r="V6224" s="41" t="str"/>
      <c r="W6224" s="41" t="str"/>
    </row>
    <row r="6225">
      <c r="B6225" s="2" t="n"/>
      <c r="C6225" s="40" t="n"/>
      <c r="D6225" s="52">
        <f t="array" ref="D6225:W6225">IF(All_Students_Scores!C6223:V6223="","",All_Students_Scores!C6223:V6223)</f>
        <v/>
      </c>
      <c r="E6225" s="57" t="str"/>
      <c r="F6225" s="49" t="str"/>
      <c r="G6225" s="59" t="str"/>
      <c r="H6225" s="64" t="str"/>
      <c r="I6225" s="65" t="str"/>
      <c r="J6225" s="49" t="str"/>
      <c r="K6225" s="41" t="str"/>
      <c r="L6225" s="41" t="str"/>
      <c r="M6225" s="41" t="str"/>
      <c r="N6225" s="41" t="str"/>
      <c r="O6225" s="41" t="str"/>
      <c r="P6225" s="41" t="str"/>
      <c r="Q6225" s="41" t="str"/>
      <c r="R6225" s="41" t="str"/>
      <c r="S6225" s="41" t="str"/>
      <c r="T6225" s="41" t="str"/>
      <c r="U6225" s="41" t="str"/>
      <c r="V6225" s="41" t="str"/>
      <c r="W6225" s="41" t="str"/>
    </row>
    <row r="6226">
      <c r="B6226" s="2" t="n"/>
      <c r="C6226" s="40" t="n"/>
      <c r="D6226" s="52">
        <f t="array" ref="D6226:W6226">IF(All_Students_Scores!C6224:V6224="","",All_Students_Scores!C6224:V6224)</f>
        <v/>
      </c>
      <c r="E6226" s="57" t="str"/>
      <c r="F6226" s="49" t="str"/>
      <c r="G6226" s="59" t="str"/>
      <c r="H6226" s="64" t="str"/>
      <c r="I6226" s="65" t="str"/>
      <c r="J6226" s="49" t="str"/>
      <c r="K6226" s="41" t="str"/>
      <c r="L6226" s="41" t="str"/>
      <c r="M6226" s="41" t="str"/>
      <c r="N6226" s="41" t="str"/>
      <c r="O6226" s="41" t="str"/>
      <c r="P6226" s="41" t="str"/>
      <c r="Q6226" s="41" t="str"/>
      <c r="R6226" s="41" t="str"/>
      <c r="S6226" s="41" t="str"/>
      <c r="T6226" s="41" t="str"/>
      <c r="U6226" s="41" t="str"/>
      <c r="V6226" s="41" t="str"/>
      <c r="W6226" s="41" t="str"/>
    </row>
    <row r="6227">
      <c r="B6227" s="2" t="n"/>
      <c r="C6227" s="40" t="n"/>
      <c r="D6227" s="52">
        <f t="array" ref="D6227:W6227">IF(All_Students_Scores!C6225:V6225="","",All_Students_Scores!C6225:V6225)</f>
        <v/>
      </c>
      <c r="E6227" s="57" t="str"/>
      <c r="F6227" s="49" t="str"/>
      <c r="G6227" s="59" t="str"/>
      <c r="H6227" s="64" t="str"/>
      <c r="I6227" s="65" t="str"/>
      <c r="J6227" s="49" t="str"/>
      <c r="K6227" s="41" t="str"/>
      <c r="L6227" s="41" t="str"/>
      <c r="M6227" s="41" t="str"/>
      <c r="N6227" s="41" t="str"/>
      <c r="O6227" s="41" t="str"/>
      <c r="P6227" s="41" t="str"/>
      <c r="Q6227" s="41" t="str"/>
      <c r="R6227" s="41" t="str"/>
      <c r="S6227" s="41" t="str"/>
      <c r="T6227" s="41" t="str"/>
      <c r="U6227" s="41" t="str"/>
      <c r="V6227" s="41" t="str"/>
      <c r="W6227" s="41" t="str"/>
    </row>
    <row r="6228">
      <c r="B6228" s="2" t="n"/>
      <c r="C6228" s="40" t="n"/>
      <c r="D6228" s="52">
        <f t="array" ref="D6228:W6228">IF(All_Students_Scores!C6226:V6226="","",All_Students_Scores!C6226:V6226)</f>
        <v/>
      </c>
      <c r="E6228" s="57" t="str"/>
      <c r="F6228" s="49" t="str"/>
      <c r="G6228" s="59" t="str"/>
      <c r="H6228" s="64" t="str"/>
      <c r="I6228" s="65" t="str"/>
      <c r="J6228" s="49" t="str"/>
      <c r="K6228" s="41" t="str"/>
      <c r="L6228" s="41" t="str"/>
      <c r="M6228" s="41" t="str"/>
      <c r="N6228" s="41" t="str"/>
      <c r="O6228" s="41" t="str"/>
      <c r="P6228" s="41" t="str"/>
      <c r="Q6228" s="41" t="str"/>
      <c r="R6228" s="41" t="str"/>
      <c r="S6228" s="41" t="str"/>
      <c r="T6228" s="41" t="str"/>
      <c r="U6228" s="41" t="str"/>
      <c r="V6228" s="41" t="str"/>
      <c r="W6228" s="41" t="str"/>
    </row>
    <row r="6229">
      <c r="B6229" s="2" t="n"/>
      <c r="C6229" s="40" t="n"/>
      <c r="D6229" s="52">
        <f t="array" ref="D6229:W6229">IF(All_Students_Scores!C6227:V6227="","",All_Students_Scores!C6227:V6227)</f>
        <v/>
      </c>
      <c r="E6229" s="57" t="str"/>
      <c r="F6229" s="49" t="str"/>
      <c r="G6229" s="59" t="str"/>
      <c r="H6229" s="64" t="str"/>
      <c r="I6229" s="65" t="str"/>
      <c r="J6229" s="49" t="str"/>
      <c r="K6229" s="41" t="str"/>
      <c r="L6229" s="41" t="str"/>
      <c r="M6229" s="41" t="str"/>
      <c r="N6229" s="41" t="str"/>
      <c r="O6229" s="41" t="str"/>
      <c r="P6229" s="41" t="str"/>
      <c r="Q6229" s="41" t="str"/>
      <c r="R6229" s="41" t="str"/>
      <c r="S6229" s="41" t="str"/>
      <c r="T6229" s="41" t="str"/>
      <c r="U6229" s="41" t="str"/>
      <c r="V6229" s="41" t="str"/>
      <c r="W6229" s="41" t="str"/>
    </row>
    <row r="6230">
      <c r="B6230" s="2" t="n"/>
      <c r="C6230" s="40" t="n"/>
      <c r="D6230" s="52">
        <f t="array" ref="D6230:W6230">IF(All_Students_Scores!C6228:V6228="","",All_Students_Scores!C6228:V6228)</f>
        <v/>
      </c>
      <c r="E6230" s="57" t="str"/>
      <c r="F6230" s="49" t="str"/>
      <c r="G6230" s="59" t="str"/>
      <c r="H6230" s="64" t="str"/>
      <c r="I6230" s="65" t="str"/>
      <c r="J6230" s="49" t="str"/>
      <c r="K6230" s="41" t="str"/>
      <c r="L6230" s="41" t="str"/>
      <c r="M6230" s="41" t="str"/>
      <c r="N6230" s="41" t="str"/>
      <c r="O6230" s="41" t="str"/>
      <c r="P6230" s="41" t="str"/>
      <c r="Q6230" s="41" t="str"/>
      <c r="R6230" s="41" t="str"/>
      <c r="S6230" s="41" t="str"/>
      <c r="T6230" s="41" t="str"/>
      <c r="U6230" s="41" t="str"/>
      <c r="V6230" s="41" t="str"/>
      <c r="W6230" s="41" t="str"/>
    </row>
    <row r="6231">
      <c r="B6231" s="2" t="n"/>
      <c r="C6231" s="40" t="n"/>
      <c r="D6231" s="52">
        <f t="array" ref="D6231:W6231">IF(All_Students_Scores!C6229:V6229="","",All_Students_Scores!C6229:V6229)</f>
        <v/>
      </c>
      <c r="E6231" s="57" t="str"/>
      <c r="F6231" s="49" t="str"/>
      <c r="G6231" s="59" t="str"/>
      <c r="H6231" s="64" t="str"/>
      <c r="I6231" s="65" t="str"/>
      <c r="J6231" s="49" t="str"/>
      <c r="K6231" s="41" t="str"/>
      <c r="L6231" s="41" t="str"/>
      <c r="M6231" s="41" t="str"/>
      <c r="N6231" s="41" t="str"/>
      <c r="O6231" s="41" t="str"/>
      <c r="P6231" s="41" t="str"/>
      <c r="Q6231" s="41" t="str"/>
      <c r="R6231" s="41" t="str"/>
      <c r="S6231" s="41" t="str"/>
      <c r="T6231" s="41" t="str"/>
      <c r="U6231" s="41" t="str"/>
      <c r="V6231" s="41" t="str"/>
      <c r="W6231" s="41" t="str"/>
    </row>
    <row r="6232">
      <c r="B6232" s="2" t="n"/>
      <c r="C6232" s="40" t="n"/>
      <c r="D6232" s="52">
        <f t="array" ref="D6232:W6232">IF(All_Students_Scores!C6230:V6230="","",All_Students_Scores!C6230:V6230)</f>
        <v/>
      </c>
      <c r="E6232" s="57" t="str"/>
      <c r="F6232" s="49" t="str"/>
      <c r="G6232" s="59" t="str"/>
      <c r="H6232" s="64" t="str"/>
      <c r="I6232" s="65" t="str"/>
      <c r="J6232" s="49" t="str"/>
      <c r="K6232" s="41" t="str"/>
      <c r="L6232" s="41" t="str"/>
      <c r="M6232" s="41" t="str"/>
      <c r="N6232" s="41" t="str"/>
      <c r="O6232" s="41" t="str"/>
      <c r="P6232" s="41" t="str"/>
      <c r="Q6232" s="41" t="str"/>
      <c r="R6232" s="41" t="str"/>
      <c r="S6232" s="41" t="str"/>
      <c r="T6232" s="41" t="str"/>
      <c r="U6232" s="41" t="str"/>
      <c r="V6232" s="41" t="str"/>
      <c r="W6232" s="41" t="str"/>
    </row>
    <row r="6233">
      <c r="B6233" s="2" t="n"/>
      <c r="C6233" s="40" t="n"/>
      <c r="D6233" s="52">
        <f t="array" ref="D6233:W6233">IF(All_Students_Scores!C6231:V6231="","",All_Students_Scores!C6231:V6231)</f>
        <v/>
      </c>
      <c r="E6233" s="57" t="str"/>
      <c r="F6233" s="49" t="str"/>
      <c r="G6233" s="59" t="str"/>
      <c r="H6233" s="64" t="str"/>
      <c r="I6233" s="65" t="str"/>
      <c r="J6233" s="49" t="str"/>
      <c r="K6233" s="41" t="str"/>
      <c r="L6233" s="41" t="str"/>
      <c r="M6233" s="41" t="str"/>
      <c r="N6233" s="41" t="str"/>
      <c r="O6233" s="41" t="str"/>
      <c r="P6233" s="41" t="str"/>
      <c r="Q6233" s="41" t="str"/>
      <c r="R6233" s="41" t="str"/>
      <c r="S6233" s="41" t="str"/>
      <c r="T6233" s="41" t="str"/>
      <c r="U6233" s="41" t="str"/>
      <c r="V6233" s="41" t="str"/>
      <c r="W6233" s="41" t="str"/>
    </row>
    <row r="6234">
      <c r="B6234" s="2" t="n"/>
      <c r="C6234" s="40" t="n"/>
      <c r="D6234" s="52">
        <f t="array" ref="D6234:W6234">IF(All_Students_Scores!C6232:V6232="","",All_Students_Scores!C6232:V6232)</f>
        <v/>
      </c>
      <c r="E6234" s="57" t="str"/>
      <c r="F6234" s="49" t="str"/>
      <c r="G6234" s="59" t="str"/>
      <c r="H6234" s="64" t="str"/>
      <c r="I6234" s="65" t="str"/>
      <c r="J6234" s="49" t="str"/>
      <c r="K6234" s="41" t="str"/>
      <c r="L6234" s="41" t="str"/>
      <c r="M6234" s="41" t="str"/>
      <c r="N6234" s="41" t="str"/>
      <c r="O6234" s="41" t="str"/>
      <c r="P6234" s="41" t="str"/>
      <c r="Q6234" s="41" t="str"/>
      <c r="R6234" s="41" t="str"/>
      <c r="S6234" s="41" t="str"/>
      <c r="T6234" s="41" t="str"/>
      <c r="U6234" s="41" t="str"/>
      <c r="V6234" s="41" t="str"/>
      <c r="W6234" s="41" t="str"/>
    </row>
    <row r="6235">
      <c r="B6235" s="2" t="n"/>
      <c r="C6235" s="40" t="n"/>
      <c r="D6235" s="52">
        <f t="array" ref="D6235:W6235">IF(All_Students_Scores!C6233:V6233="","",All_Students_Scores!C6233:V6233)</f>
        <v/>
      </c>
      <c r="E6235" s="57" t="str"/>
      <c r="F6235" s="49" t="str"/>
      <c r="G6235" s="59" t="str"/>
      <c r="H6235" s="64" t="str"/>
      <c r="I6235" s="65" t="str"/>
      <c r="J6235" s="49" t="str"/>
      <c r="K6235" s="41" t="str"/>
      <c r="L6235" s="41" t="str"/>
      <c r="M6235" s="41" t="str"/>
      <c r="N6235" s="41" t="str"/>
      <c r="O6235" s="41" t="str"/>
      <c r="P6235" s="41" t="str"/>
      <c r="Q6235" s="41" t="str"/>
      <c r="R6235" s="41" t="str"/>
      <c r="S6235" s="41" t="str"/>
      <c r="T6235" s="41" t="str"/>
      <c r="U6235" s="41" t="str"/>
      <c r="V6235" s="41" t="str"/>
      <c r="W6235" s="41" t="str"/>
    </row>
    <row r="6236">
      <c r="B6236" s="2" t="n"/>
      <c r="C6236" s="40" t="n"/>
      <c r="D6236" s="52">
        <f t="array" ref="D6236:W6236">IF(All_Students_Scores!C6234:V6234="","",All_Students_Scores!C6234:V6234)</f>
        <v/>
      </c>
      <c r="E6236" s="57" t="str"/>
      <c r="F6236" s="49" t="str"/>
      <c r="G6236" s="59" t="str"/>
      <c r="H6236" s="64" t="str"/>
      <c r="I6236" s="65" t="str"/>
      <c r="J6236" s="49" t="str"/>
      <c r="K6236" s="41" t="str"/>
      <c r="L6236" s="41" t="str"/>
      <c r="M6236" s="41" t="str"/>
      <c r="N6236" s="41" t="str"/>
      <c r="O6236" s="41" t="str"/>
      <c r="P6236" s="41" t="str"/>
      <c r="Q6236" s="41" t="str"/>
      <c r="R6236" s="41" t="str"/>
      <c r="S6236" s="41" t="str"/>
      <c r="T6236" s="41" t="str"/>
      <c r="U6236" s="41" t="str"/>
      <c r="V6236" s="41" t="str"/>
      <c r="W6236" s="41" t="str"/>
    </row>
    <row r="6237">
      <c r="B6237" s="2" t="n"/>
      <c r="C6237" s="40" t="n"/>
      <c r="D6237" s="52">
        <f t="array" ref="D6237:W6237">IF(All_Students_Scores!C6235:V6235="","",All_Students_Scores!C6235:V6235)</f>
        <v/>
      </c>
      <c r="E6237" s="57" t="str"/>
      <c r="F6237" s="49" t="str"/>
      <c r="G6237" s="59" t="str"/>
      <c r="H6237" s="64" t="str"/>
      <c r="I6237" s="65" t="str"/>
      <c r="J6237" s="49" t="str"/>
      <c r="K6237" s="41" t="str"/>
      <c r="L6237" s="41" t="str"/>
      <c r="M6237" s="41" t="str"/>
      <c r="N6237" s="41" t="str"/>
      <c r="O6237" s="41" t="str"/>
      <c r="P6237" s="41" t="str"/>
      <c r="Q6237" s="41" t="str"/>
      <c r="R6237" s="41" t="str"/>
      <c r="S6237" s="41" t="str"/>
      <c r="T6237" s="41" t="str"/>
      <c r="U6237" s="41" t="str"/>
      <c r="V6237" s="41" t="str"/>
      <c r="W6237" s="41" t="str"/>
    </row>
    <row r="6238">
      <c r="B6238" s="2" t="n"/>
      <c r="C6238" s="40" t="n"/>
      <c r="D6238" s="52">
        <f t="array" ref="D6238:W6238">IF(All_Students_Scores!C6236:V6236="","",All_Students_Scores!C6236:V6236)</f>
        <v/>
      </c>
      <c r="E6238" s="57" t="str"/>
      <c r="F6238" s="49" t="str"/>
      <c r="G6238" s="59" t="str"/>
      <c r="H6238" s="64" t="str"/>
      <c r="I6238" s="65" t="str"/>
      <c r="J6238" s="49" t="str"/>
      <c r="K6238" s="41" t="str"/>
      <c r="L6238" s="41" t="str"/>
      <c r="M6238" s="41" t="str"/>
      <c r="N6238" s="41" t="str"/>
      <c r="O6238" s="41" t="str"/>
      <c r="P6238" s="41" t="str"/>
      <c r="Q6238" s="41" t="str"/>
      <c r="R6238" s="41" t="str"/>
      <c r="S6238" s="41" t="str"/>
      <c r="T6238" s="41" t="str"/>
      <c r="U6238" s="41" t="str"/>
      <c r="V6238" s="41" t="str"/>
      <c r="W6238" s="41" t="str"/>
    </row>
    <row r="6239">
      <c r="B6239" s="2" t="n"/>
      <c r="C6239" s="40" t="n"/>
      <c r="D6239" s="52">
        <f t="array" ref="D6239:W6239">IF(All_Students_Scores!C6237:V6237="","",All_Students_Scores!C6237:V6237)</f>
        <v/>
      </c>
      <c r="E6239" s="57" t="str"/>
      <c r="F6239" s="49" t="str"/>
      <c r="G6239" s="59" t="str"/>
      <c r="H6239" s="64" t="str"/>
      <c r="I6239" s="65" t="str"/>
      <c r="J6239" s="49" t="str"/>
      <c r="K6239" s="41" t="str"/>
      <c r="L6239" s="41" t="str"/>
      <c r="M6239" s="41" t="str"/>
      <c r="N6239" s="41" t="str"/>
      <c r="O6239" s="41" t="str"/>
      <c r="P6239" s="41" t="str"/>
      <c r="Q6239" s="41" t="str"/>
      <c r="R6239" s="41" t="str"/>
      <c r="S6239" s="41" t="str"/>
      <c r="T6239" s="41" t="str"/>
      <c r="U6239" s="41" t="str"/>
      <c r="V6239" s="41" t="str"/>
      <c r="W6239" s="41" t="str"/>
    </row>
    <row r="6240">
      <c r="B6240" s="2" t="n"/>
      <c r="C6240" s="40" t="n"/>
      <c r="D6240" s="52">
        <f t="array" ref="D6240:W6240">IF(All_Students_Scores!C6238:V6238="","",All_Students_Scores!C6238:V6238)</f>
        <v/>
      </c>
      <c r="E6240" s="57" t="str"/>
      <c r="F6240" s="49" t="str"/>
      <c r="G6240" s="59" t="str"/>
      <c r="H6240" s="64" t="str"/>
      <c r="I6240" s="65" t="str"/>
      <c r="J6240" s="49" t="str"/>
      <c r="K6240" s="41" t="str"/>
      <c r="L6240" s="41" t="str"/>
      <c r="M6240" s="41" t="str"/>
      <c r="N6240" s="41" t="str"/>
      <c r="O6240" s="41" t="str"/>
      <c r="P6240" s="41" t="str"/>
      <c r="Q6240" s="41" t="str"/>
      <c r="R6240" s="41" t="str"/>
      <c r="S6240" s="41" t="str"/>
      <c r="T6240" s="41" t="str"/>
      <c r="U6240" s="41" t="str"/>
      <c r="V6240" s="41" t="str"/>
      <c r="W6240" s="41" t="str"/>
    </row>
    <row r="6241">
      <c r="B6241" s="2" t="n"/>
      <c r="C6241" s="40" t="n"/>
      <c r="D6241" s="52">
        <f t="array" ref="D6241:W6241">IF(All_Students_Scores!C6239:V6239="","",All_Students_Scores!C6239:V6239)</f>
        <v/>
      </c>
      <c r="E6241" s="57" t="str"/>
      <c r="F6241" s="49" t="str"/>
      <c r="G6241" s="59" t="str"/>
      <c r="H6241" s="64" t="str"/>
      <c r="I6241" s="65" t="str"/>
      <c r="J6241" s="49" t="str"/>
      <c r="K6241" s="41" t="str"/>
      <c r="L6241" s="41" t="str"/>
      <c r="M6241" s="41" t="str"/>
      <c r="N6241" s="41" t="str"/>
      <c r="O6241" s="41" t="str"/>
      <c r="P6241" s="41" t="str"/>
      <c r="Q6241" s="41" t="str"/>
      <c r="R6241" s="41" t="str"/>
      <c r="S6241" s="41" t="str"/>
      <c r="T6241" s="41" t="str"/>
      <c r="U6241" s="41" t="str"/>
      <c r="V6241" s="41" t="str"/>
      <c r="W6241" s="41" t="str"/>
    </row>
    <row r="6242">
      <c r="B6242" s="2" t="n"/>
      <c r="C6242" s="40" t="n"/>
      <c r="D6242" s="52">
        <f t="array" ref="D6242:W6242">IF(All_Students_Scores!C6240:V6240="","",All_Students_Scores!C6240:V6240)</f>
        <v/>
      </c>
      <c r="E6242" s="57" t="str"/>
      <c r="F6242" s="49" t="str"/>
      <c r="G6242" s="59" t="str"/>
      <c r="H6242" s="64" t="str"/>
      <c r="I6242" s="65" t="str"/>
      <c r="J6242" s="49" t="str"/>
      <c r="K6242" s="41" t="str"/>
      <c r="L6242" s="41" t="str"/>
      <c r="M6242" s="41" t="str"/>
      <c r="N6242" s="41" t="str"/>
      <c r="O6242" s="41" t="str"/>
      <c r="P6242" s="41" t="str"/>
      <c r="Q6242" s="41" t="str"/>
      <c r="R6242" s="41" t="str"/>
      <c r="S6242" s="41" t="str"/>
      <c r="T6242" s="41" t="str"/>
      <c r="U6242" s="41" t="str"/>
      <c r="V6242" s="41" t="str"/>
      <c r="W6242" s="41" t="str"/>
    </row>
    <row r="6243">
      <c r="B6243" s="2" t="n"/>
      <c r="C6243" s="40" t="n"/>
      <c r="D6243" s="52">
        <f t="array" ref="D6243:W6243">IF(All_Students_Scores!C6241:V6241="","",All_Students_Scores!C6241:V6241)</f>
        <v/>
      </c>
      <c r="E6243" s="57" t="str"/>
      <c r="F6243" s="49" t="str"/>
      <c r="G6243" s="59" t="str"/>
      <c r="H6243" s="64" t="str"/>
      <c r="I6243" s="65" t="str"/>
      <c r="J6243" s="49" t="str"/>
      <c r="K6243" s="41" t="str"/>
      <c r="L6243" s="41" t="str"/>
      <c r="M6243" s="41" t="str"/>
      <c r="N6243" s="41" t="str"/>
      <c r="O6243" s="41" t="str"/>
      <c r="P6243" s="41" t="str"/>
      <c r="Q6243" s="41" t="str"/>
      <c r="R6243" s="41" t="str"/>
      <c r="S6243" s="41" t="str"/>
      <c r="T6243" s="41" t="str"/>
      <c r="U6243" s="41" t="str"/>
      <c r="V6243" s="41" t="str"/>
      <c r="W6243" s="41" t="str"/>
    </row>
    <row r="6244">
      <c r="B6244" s="2" t="n"/>
      <c r="C6244" s="40" t="n"/>
      <c r="D6244" s="52">
        <f t="array" ref="D6244:W6244">IF(All_Students_Scores!C6242:V6242="","",All_Students_Scores!C6242:V6242)</f>
        <v/>
      </c>
      <c r="E6244" s="57" t="str"/>
      <c r="F6244" s="49" t="str"/>
      <c r="G6244" s="59" t="str"/>
      <c r="H6244" s="64" t="str"/>
      <c r="I6244" s="65" t="str"/>
      <c r="J6244" s="49" t="str"/>
      <c r="K6244" s="41" t="str"/>
      <c r="L6244" s="41" t="str"/>
      <c r="M6244" s="41" t="str"/>
      <c r="N6244" s="41" t="str"/>
      <c r="O6244" s="41" t="str"/>
      <c r="P6244" s="41" t="str"/>
      <c r="Q6244" s="41" t="str"/>
      <c r="R6244" s="41" t="str"/>
      <c r="S6244" s="41" t="str"/>
      <c r="T6244" s="41" t="str"/>
      <c r="U6244" s="41" t="str"/>
      <c r="V6244" s="41" t="str"/>
      <c r="W6244" s="41" t="str"/>
    </row>
    <row r="6245">
      <c r="B6245" s="2" t="n"/>
      <c r="C6245" s="40" t="n"/>
      <c r="D6245" s="52">
        <f t="array" ref="D6245:W6245">IF(All_Students_Scores!C6243:V6243="","",All_Students_Scores!C6243:V6243)</f>
        <v/>
      </c>
      <c r="E6245" s="57" t="str"/>
      <c r="F6245" s="49" t="str"/>
      <c r="G6245" s="59" t="str"/>
      <c r="H6245" s="64" t="str"/>
      <c r="I6245" s="65" t="str"/>
      <c r="J6245" s="49" t="str"/>
      <c r="K6245" s="41" t="str"/>
      <c r="L6245" s="41" t="str"/>
      <c r="M6245" s="41" t="str"/>
      <c r="N6245" s="41" t="str"/>
      <c r="O6245" s="41" t="str"/>
      <c r="P6245" s="41" t="str"/>
      <c r="Q6245" s="41" t="str"/>
      <c r="R6245" s="41" t="str"/>
      <c r="S6245" s="41" t="str"/>
      <c r="T6245" s="41" t="str"/>
      <c r="U6245" s="41" t="str"/>
      <c r="V6245" s="41" t="str"/>
      <c r="W6245" s="41" t="str"/>
    </row>
    <row r="6246">
      <c r="B6246" s="2" t="n"/>
      <c r="C6246" s="40" t="n"/>
      <c r="D6246" s="52">
        <f t="array" ref="D6246:W6246">IF(All_Students_Scores!C6244:V6244="","",All_Students_Scores!C6244:V6244)</f>
        <v/>
      </c>
      <c r="E6246" s="57" t="str"/>
      <c r="F6246" s="49" t="str"/>
      <c r="G6246" s="59" t="str"/>
      <c r="H6246" s="64" t="str"/>
      <c r="I6246" s="65" t="str"/>
      <c r="J6246" s="49" t="str"/>
      <c r="K6246" s="41" t="str"/>
      <c r="L6246" s="41" t="str"/>
      <c r="M6246" s="41" t="str"/>
      <c r="N6246" s="41" t="str"/>
      <c r="O6246" s="41" t="str"/>
      <c r="P6246" s="41" t="str"/>
      <c r="Q6246" s="41" t="str"/>
      <c r="R6246" s="41" t="str"/>
      <c r="S6246" s="41" t="str"/>
      <c r="T6246" s="41" t="str"/>
      <c r="U6246" s="41" t="str"/>
      <c r="V6246" s="41" t="str"/>
      <c r="W6246" s="41" t="str"/>
    </row>
    <row r="6247">
      <c r="B6247" s="2" t="n"/>
      <c r="C6247" s="40" t="n"/>
      <c r="D6247" s="52">
        <f t="array" ref="D6247:W6247">IF(All_Students_Scores!C6245:V6245="","",All_Students_Scores!C6245:V6245)</f>
        <v/>
      </c>
      <c r="E6247" s="57" t="str"/>
      <c r="F6247" s="49" t="str"/>
      <c r="G6247" s="59" t="str"/>
      <c r="H6247" s="64" t="str"/>
      <c r="I6247" s="65" t="str"/>
      <c r="J6247" s="49" t="str"/>
      <c r="K6247" s="41" t="str"/>
      <c r="L6247" s="41" t="str"/>
      <c r="M6247" s="41" t="str"/>
      <c r="N6247" s="41" t="str"/>
      <c r="O6247" s="41" t="str"/>
      <c r="P6247" s="41" t="str"/>
      <c r="Q6247" s="41" t="str"/>
      <c r="R6247" s="41" t="str"/>
      <c r="S6247" s="41" t="str"/>
      <c r="T6247" s="41" t="str"/>
      <c r="U6247" s="41" t="str"/>
      <c r="V6247" s="41" t="str"/>
      <c r="W6247" s="41" t="str"/>
    </row>
    <row r="6248">
      <c r="B6248" s="2" t="n"/>
      <c r="C6248" s="40" t="n"/>
      <c r="D6248" s="52">
        <f t="array" ref="D6248:W6248">IF(All_Students_Scores!C6246:V6246="","",All_Students_Scores!C6246:V6246)</f>
        <v/>
      </c>
      <c r="E6248" s="57" t="str"/>
      <c r="F6248" s="49" t="str"/>
      <c r="G6248" s="59" t="str"/>
      <c r="H6248" s="64" t="str"/>
      <c r="I6248" s="65" t="str"/>
      <c r="J6248" s="49" t="str"/>
      <c r="K6248" s="41" t="str"/>
      <c r="L6248" s="41" t="str"/>
      <c r="M6248" s="41" t="str"/>
      <c r="N6248" s="41" t="str"/>
      <c r="O6248" s="41" t="str"/>
      <c r="P6248" s="41" t="str"/>
      <c r="Q6248" s="41" t="str"/>
      <c r="R6248" s="41" t="str"/>
      <c r="S6248" s="41" t="str"/>
      <c r="T6248" s="41" t="str"/>
      <c r="U6248" s="41" t="str"/>
      <c r="V6248" s="41" t="str"/>
      <c r="W6248" s="41" t="str"/>
    </row>
    <row r="6249">
      <c r="B6249" s="2" t="n"/>
      <c r="C6249" s="40" t="n"/>
      <c r="D6249" s="52">
        <f t="array" ref="D6249:W6249">IF(All_Students_Scores!C6247:V6247="","",All_Students_Scores!C6247:V6247)</f>
        <v/>
      </c>
      <c r="E6249" s="57" t="str"/>
      <c r="F6249" s="49" t="str"/>
      <c r="G6249" s="59" t="str"/>
      <c r="H6249" s="64" t="str"/>
      <c r="I6249" s="65" t="str"/>
      <c r="J6249" s="49" t="str"/>
      <c r="K6249" s="41" t="str"/>
      <c r="L6249" s="41" t="str"/>
      <c r="M6249" s="41" t="str"/>
      <c r="N6249" s="41" t="str"/>
      <c r="O6249" s="41" t="str"/>
      <c r="P6249" s="41" t="str"/>
      <c r="Q6249" s="41" t="str"/>
      <c r="R6249" s="41" t="str"/>
      <c r="S6249" s="41" t="str"/>
      <c r="T6249" s="41" t="str"/>
      <c r="U6249" s="41" t="str"/>
      <c r="V6249" s="41" t="str"/>
      <c r="W6249" s="41" t="str"/>
    </row>
    <row r="6250">
      <c r="B6250" s="2" t="n"/>
      <c r="C6250" s="40" t="n"/>
      <c r="D6250" s="52">
        <f t="array" ref="D6250:W6250">IF(All_Students_Scores!C6248:V6248="","",All_Students_Scores!C6248:V6248)</f>
        <v/>
      </c>
      <c r="E6250" s="57" t="str"/>
      <c r="F6250" s="49" t="str"/>
      <c r="G6250" s="59" t="str"/>
      <c r="H6250" s="64" t="str"/>
      <c r="I6250" s="65" t="str"/>
      <c r="J6250" s="49" t="str"/>
      <c r="K6250" s="41" t="str"/>
      <c r="L6250" s="41" t="str"/>
      <c r="M6250" s="41" t="str"/>
      <c r="N6250" s="41" t="str"/>
      <c r="O6250" s="41" t="str"/>
      <c r="P6250" s="41" t="str"/>
      <c r="Q6250" s="41" t="str"/>
      <c r="R6250" s="41" t="str"/>
      <c r="S6250" s="41" t="str"/>
      <c r="T6250" s="41" t="str"/>
      <c r="U6250" s="41" t="str"/>
      <c r="V6250" s="41" t="str"/>
      <c r="W6250" s="41" t="str"/>
    </row>
    <row r="6251">
      <c r="B6251" s="2" t="n"/>
      <c r="C6251" s="40" t="n"/>
      <c r="D6251" s="52">
        <f t="array" ref="D6251:W6251">IF(All_Students_Scores!C6249:V6249="","",All_Students_Scores!C6249:V6249)</f>
        <v/>
      </c>
      <c r="E6251" s="57" t="str"/>
      <c r="F6251" s="49" t="str"/>
      <c r="G6251" s="59" t="str"/>
      <c r="H6251" s="64" t="str"/>
      <c r="I6251" s="65" t="str"/>
      <c r="J6251" s="49" t="str"/>
      <c r="K6251" s="41" t="str"/>
      <c r="L6251" s="41" t="str"/>
      <c r="M6251" s="41" t="str"/>
      <c r="N6251" s="41" t="str"/>
      <c r="O6251" s="41" t="str"/>
      <c r="P6251" s="41" t="str"/>
      <c r="Q6251" s="41" t="str"/>
      <c r="R6251" s="41" t="str"/>
      <c r="S6251" s="41" t="str"/>
      <c r="T6251" s="41" t="str"/>
      <c r="U6251" s="41" t="str"/>
      <c r="V6251" s="41" t="str"/>
      <c r="W6251" s="41" t="str"/>
    </row>
    <row r="6252">
      <c r="B6252" s="2" t="n"/>
      <c r="C6252" s="40" t="n"/>
      <c r="D6252" s="52">
        <f t="array" ref="D6252:W6252">IF(All_Students_Scores!C6250:V6250="","",All_Students_Scores!C6250:V6250)</f>
        <v/>
      </c>
      <c r="E6252" s="57" t="str"/>
      <c r="F6252" s="49" t="str"/>
      <c r="G6252" s="59" t="str"/>
      <c r="H6252" s="64" t="str"/>
      <c r="I6252" s="65" t="str"/>
      <c r="J6252" s="49" t="str"/>
      <c r="K6252" s="41" t="str"/>
      <c r="L6252" s="41" t="str"/>
      <c r="M6252" s="41" t="str"/>
      <c r="N6252" s="41" t="str"/>
      <c r="O6252" s="41" t="str"/>
      <c r="P6252" s="41" t="str"/>
      <c r="Q6252" s="41" t="str"/>
      <c r="R6252" s="41" t="str"/>
      <c r="S6252" s="41" t="str"/>
      <c r="T6252" s="41" t="str"/>
      <c r="U6252" s="41" t="str"/>
      <c r="V6252" s="41" t="str"/>
      <c r="W6252" s="41" t="str"/>
    </row>
    <row r="6253">
      <c r="B6253" s="2" t="n"/>
      <c r="C6253" s="40" t="n"/>
      <c r="D6253" s="52">
        <f t="array" ref="D6253:W6253">IF(All_Students_Scores!C6251:V6251="","",All_Students_Scores!C6251:V6251)</f>
        <v/>
      </c>
      <c r="E6253" s="57" t="str"/>
      <c r="F6253" s="49" t="str"/>
      <c r="G6253" s="59" t="str"/>
      <c r="H6253" s="64" t="str"/>
      <c r="I6253" s="65" t="str"/>
      <c r="J6253" s="49" t="str"/>
      <c r="K6253" s="41" t="str"/>
      <c r="L6253" s="41" t="str"/>
      <c r="M6253" s="41" t="str"/>
      <c r="N6253" s="41" t="str"/>
      <c r="O6253" s="41" t="str"/>
      <c r="P6253" s="41" t="str"/>
      <c r="Q6253" s="41" t="str"/>
      <c r="R6253" s="41" t="str"/>
      <c r="S6253" s="41" t="str"/>
      <c r="T6253" s="41" t="str"/>
      <c r="U6253" s="41" t="str"/>
      <c r="V6253" s="41" t="str"/>
      <c r="W6253" s="41" t="str"/>
    </row>
    <row r="6254">
      <c r="B6254" s="2" t="n"/>
      <c r="C6254" s="40" t="n"/>
      <c r="D6254" s="52">
        <f t="array" ref="D6254:W6254">IF(All_Students_Scores!C6252:V6252="","",All_Students_Scores!C6252:V6252)</f>
        <v/>
      </c>
      <c r="E6254" s="57" t="str"/>
      <c r="F6254" s="49" t="str"/>
      <c r="G6254" s="59" t="str"/>
      <c r="H6254" s="64" t="str"/>
      <c r="I6254" s="65" t="str"/>
      <c r="J6254" s="49" t="str"/>
      <c r="K6254" s="41" t="str"/>
      <c r="L6254" s="41" t="str"/>
      <c r="M6254" s="41" t="str"/>
      <c r="N6254" s="41" t="str"/>
      <c r="O6254" s="41" t="str"/>
      <c r="P6254" s="41" t="str"/>
      <c r="Q6254" s="41" t="str"/>
      <c r="R6254" s="41" t="str"/>
      <c r="S6254" s="41" t="str"/>
      <c r="T6254" s="41" t="str"/>
      <c r="U6254" s="41" t="str"/>
      <c r="V6254" s="41" t="str"/>
      <c r="W6254" s="41" t="str"/>
    </row>
    <row r="6255">
      <c r="B6255" s="2" t="n"/>
      <c r="C6255" s="40" t="n"/>
      <c r="D6255" s="52">
        <f t="array" ref="D6255:W6255">IF(All_Students_Scores!C6253:V6253="","",All_Students_Scores!C6253:V6253)</f>
        <v/>
      </c>
      <c r="E6255" s="57" t="str"/>
      <c r="F6255" s="49" t="str"/>
      <c r="G6255" s="59" t="str"/>
      <c r="H6255" s="64" t="str"/>
      <c r="I6255" s="65" t="str"/>
      <c r="J6255" s="49" t="str"/>
      <c r="K6255" s="41" t="str"/>
      <c r="L6255" s="41" t="str"/>
      <c r="M6255" s="41" t="str"/>
      <c r="N6255" s="41" t="str"/>
      <c r="O6255" s="41" t="str"/>
      <c r="P6255" s="41" t="str"/>
      <c r="Q6255" s="41" t="str"/>
      <c r="R6255" s="41" t="str"/>
      <c r="S6255" s="41" t="str"/>
      <c r="T6255" s="41" t="str"/>
      <c r="U6255" s="41" t="str"/>
      <c r="V6255" s="41" t="str"/>
      <c r="W6255" s="41" t="str"/>
    </row>
    <row r="6256">
      <c r="B6256" s="2" t="n"/>
      <c r="C6256" s="40" t="n"/>
      <c r="D6256" s="52">
        <f t="array" ref="D6256:W6256">IF(All_Students_Scores!C6254:V6254="","",All_Students_Scores!C6254:V6254)</f>
        <v/>
      </c>
      <c r="E6256" s="57" t="str"/>
      <c r="F6256" s="49" t="str"/>
      <c r="G6256" s="59" t="str"/>
      <c r="H6256" s="64" t="str"/>
      <c r="I6256" s="65" t="str"/>
      <c r="J6256" s="49" t="str"/>
      <c r="K6256" s="41" t="str"/>
      <c r="L6256" s="41" t="str"/>
      <c r="M6256" s="41" t="str"/>
      <c r="N6256" s="41" t="str"/>
      <c r="O6256" s="41" t="str"/>
      <c r="P6256" s="41" t="str"/>
      <c r="Q6256" s="41" t="str"/>
      <c r="R6256" s="41" t="str"/>
      <c r="S6256" s="41" t="str"/>
      <c r="T6256" s="41" t="str"/>
      <c r="U6256" s="41" t="str"/>
      <c r="V6256" s="41" t="str"/>
      <c r="W6256" s="41" t="str"/>
    </row>
    <row r="6257">
      <c r="B6257" s="2" t="n"/>
      <c r="C6257" s="40" t="n"/>
      <c r="D6257" s="52">
        <f t="array" ref="D6257:W6257">IF(All_Students_Scores!C6255:V6255="","",All_Students_Scores!C6255:V6255)</f>
        <v/>
      </c>
      <c r="E6257" s="57" t="str"/>
      <c r="F6257" s="49" t="str"/>
      <c r="G6257" s="59" t="str"/>
      <c r="H6257" s="64" t="str"/>
      <c r="I6257" s="65" t="str"/>
      <c r="J6257" s="49" t="str"/>
      <c r="K6257" s="41" t="str"/>
      <c r="L6257" s="41" t="str"/>
      <c r="M6257" s="41" t="str"/>
      <c r="N6257" s="41" t="str"/>
      <c r="O6257" s="41" t="str"/>
      <c r="P6257" s="41" t="str"/>
      <c r="Q6257" s="41" t="str"/>
      <c r="R6257" s="41" t="str"/>
      <c r="S6257" s="41" t="str"/>
      <c r="T6257" s="41" t="str"/>
      <c r="U6257" s="41" t="str"/>
      <c r="V6257" s="41" t="str"/>
      <c r="W6257" s="41" t="str"/>
    </row>
    <row r="6258">
      <c r="B6258" s="2" t="n"/>
      <c r="C6258" s="40" t="n"/>
      <c r="D6258" s="52">
        <f t="array" ref="D6258:W6258">IF(All_Students_Scores!C6256:V6256="","",All_Students_Scores!C6256:V6256)</f>
        <v/>
      </c>
      <c r="E6258" s="57" t="str"/>
      <c r="F6258" s="49" t="str"/>
      <c r="G6258" s="59" t="str"/>
      <c r="H6258" s="64" t="str"/>
      <c r="I6258" s="65" t="str"/>
      <c r="J6258" s="49" t="str"/>
      <c r="K6258" s="41" t="str"/>
      <c r="L6258" s="41" t="str"/>
      <c r="M6258" s="41" t="str"/>
      <c r="N6258" s="41" t="str"/>
      <c r="O6258" s="41" t="str"/>
      <c r="P6258" s="41" t="str"/>
      <c r="Q6258" s="41" t="str"/>
      <c r="R6258" s="41" t="str"/>
      <c r="S6258" s="41" t="str"/>
      <c r="T6258" s="41" t="str"/>
      <c r="U6258" s="41" t="str"/>
      <c r="V6258" s="41" t="str"/>
      <c r="W6258" s="41" t="str"/>
    </row>
    <row r="6259">
      <c r="B6259" s="2" t="n"/>
      <c r="C6259" s="40" t="n"/>
      <c r="D6259" s="52">
        <f t="array" ref="D6259:W6259">IF(All_Students_Scores!C6257:V6257="","",All_Students_Scores!C6257:V6257)</f>
        <v/>
      </c>
      <c r="E6259" s="57" t="str"/>
      <c r="F6259" s="49" t="str"/>
      <c r="G6259" s="59" t="str"/>
      <c r="H6259" s="64" t="str"/>
      <c r="I6259" s="65" t="str"/>
      <c r="J6259" s="49" t="str"/>
      <c r="K6259" s="41" t="str"/>
      <c r="L6259" s="41" t="str"/>
      <c r="M6259" s="41" t="str"/>
      <c r="N6259" s="41" t="str"/>
      <c r="O6259" s="41" t="str"/>
      <c r="P6259" s="41" t="str"/>
      <c r="Q6259" s="41" t="str"/>
      <c r="R6259" s="41" t="str"/>
      <c r="S6259" s="41" t="str"/>
      <c r="T6259" s="41" t="str"/>
      <c r="U6259" s="41" t="str"/>
      <c r="V6259" s="41" t="str"/>
      <c r="W6259" s="41" t="str"/>
    </row>
    <row r="6260">
      <c r="B6260" s="2" t="n"/>
      <c r="C6260" s="40" t="n"/>
      <c r="D6260" s="52">
        <f t="array" ref="D6260:W6260">IF(All_Students_Scores!C6258:V6258="","",All_Students_Scores!C6258:V6258)</f>
        <v/>
      </c>
      <c r="E6260" s="57" t="str"/>
      <c r="F6260" s="49" t="str"/>
      <c r="G6260" s="59" t="str"/>
      <c r="H6260" s="64" t="str"/>
      <c r="I6260" s="65" t="str"/>
      <c r="J6260" s="49" t="str"/>
      <c r="K6260" s="41" t="str"/>
      <c r="L6260" s="41" t="str"/>
      <c r="M6260" s="41" t="str"/>
      <c r="N6260" s="41" t="str"/>
      <c r="O6260" s="41" t="str"/>
      <c r="P6260" s="41" t="str"/>
      <c r="Q6260" s="41" t="str"/>
      <c r="R6260" s="41" t="str"/>
      <c r="S6260" s="41" t="str"/>
      <c r="T6260" s="41" t="str"/>
      <c r="U6260" s="41" t="str"/>
      <c r="V6260" s="41" t="str"/>
      <c r="W6260" s="41" t="str"/>
    </row>
    <row r="6261">
      <c r="B6261" s="2" t="n"/>
      <c r="C6261" s="40" t="n"/>
      <c r="D6261" s="52">
        <f t="array" ref="D6261:W6261">IF(All_Students_Scores!C6259:V6259="","",All_Students_Scores!C6259:V6259)</f>
        <v/>
      </c>
      <c r="E6261" s="57" t="str"/>
      <c r="F6261" s="49" t="str"/>
      <c r="G6261" s="59" t="str"/>
      <c r="H6261" s="64" t="str"/>
      <c r="I6261" s="65" t="str"/>
      <c r="J6261" s="49" t="str"/>
      <c r="K6261" s="41" t="str"/>
      <c r="L6261" s="41" t="str"/>
      <c r="M6261" s="41" t="str"/>
      <c r="N6261" s="41" t="str"/>
      <c r="O6261" s="41" t="str"/>
      <c r="P6261" s="41" t="str"/>
      <c r="Q6261" s="41" t="str"/>
      <c r="R6261" s="41" t="str"/>
      <c r="S6261" s="41" t="str"/>
      <c r="T6261" s="41" t="str"/>
      <c r="U6261" s="41" t="str"/>
      <c r="V6261" s="41" t="str"/>
      <c r="W6261" s="41" t="str"/>
    </row>
    <row r="6262">
      <c r="B6262" s="2" t="n"/>
      <c r="C6262" s="40" t="n"/>
      <c r="D6262" s="52">
        <f t="array" ref="D6262:W6262">IF(All_Students_Scores!C6260:V6260="","",All_Students_Scores!C6260:V6260)</f>
        <v/>
      </c>
      <c r="E6262" s="57" t="str"/>
      <c r="F6262" s="49" t="str"/>
      <c r="G6262" s="59" t="str"/>
      <c r="H6262" s="64" t="str"/>
      <c r="I6262" s="65" t="str"/>
      <c r="J6262" s="49" t="str"/>
      <c r="K6262" s="41" t="str"/>
      <c r="L6262" s="41" t="str"/>
      <c r="M6262" s="41" t="str"/>
      <c r="N6262" s="41" t="str"/>
      <c r="O6262" s="41" t="str"/>
      <c r="P6262" s="41" t="str"/>
      <c r="Q6262" s="41" t="str"/>
      <c r="R6262" s="41" t="str"/>
      <c r="S6262" s="41" t="str"/>
      <c r="T6262" s="41" t="str"/>
      <c r="U6262" s="41" t="str"/>
      <c r="V6262" s="41" t="str"/>
      <c r="W6262" s="41" t="str"/>
    </row>
    <row r="6263">
      <c r="B6263" s="2" t="n"/>
      <c r="C6263" s="40" t="n"/>
      <c r="D6263" s="52">
        <f t="array" ref="D6263:W6263">IF(All_Students_Scores!C6261:V6261="","",All_Students_Scores!C6261:V6261)</f>
        <v/>
      </c>
      <c r="E6263" s="57" t="str"/>
      <c r="F6263" s="49" t="str"/>
      <c r="G6263" s="59" t="str"/>
      <c r="H6263" s="64" t="str"/>
      <c r="I6263" s="65" t="str"/>
      <c r="J6263" s="49" t="str"/>
      <c r="K6263" s="41" t="str"/>
      <c r="L6263" s="41" t="str"/>
      <c r="M6263" s="41" t="str"/>
      <c r="N6263" s="41" t="str"/>
      <c r="O6263" s="41" t="str"/>
      <c r="P6263" s="41" t="str"/>
      <c r="Q6263" s="41" t="str"/>
      <c r="R6263" s="41" t="str"/>
      <c r="S6263" s="41" t="str"/>
      <c r="T6263" s="41" t="str"/>
      <c r="U6263" s="41" t="str"/>
      <c r="V6263" s="41" t="str"/>
      <c r="W6263" s="41" t="str"/>
    </row>
    <row r="6264">
      <c r="B6264" s="2" t="n"/>
      <c r="C6264" s="40" t="n"/>
      <c r="D6264" s="52">
        <f t="array" ref="D6264:W6264">IF(All_Students_Scores!C6262:V6262="","",All_Students_Scores!C6262:V6262)</f>
        <v/>
      </c>
      <c r="E6264" s="57" t="str"/>
      <c r="F6264" s="49" t="str"/>
      <c r="G6264" s="59" t="str"/>
      <c r="H6264" s="64" t="str"/>
      <c r="I6264" s="65" t="str"/>
      <c r="J6264" s="49" t="str"/>
      <c r="K6264" s="41" t="str"/>
      <c r="L6264" s="41" t="str"/>
      <c r="M6264" s="41" t="str"/>
      <c r="N6264" s="41" t="str"/>
      <c r="O6264" s="41" t="str"/>
      <c r="P6264" s="41" t="str"/>
      <c r="Q6264" s="41" t="str"/>
      <c r="R6264" s="41" t="str"/>
      <c r="S6264" s="41" t="str"/>
      <c r="T6264" s="41" t="str"/>
      <c r="U6264" s="41" t="str"/>
      <c r="V6264" s="41" t="str"/>
      <c r="W6264" s="41" t="str"/>
    </row>
    <row r="6265">
      <c r="B6265" s="2" t="n"/>
      <c r="C6265" s="40" t="n"/>
      <c r="D6265" s="52">
        <f t="array" ref="D6265:W6265">IF(All_Students_Scores!C6263:V6263="","",All_Students_Scores!C6263:V6263)</f>
        <v/>
      </c>
      <c r="E6265" s="57" t="str"/>
      <c r="F6265" s="49" t="str"/>
      <c r="G6265" s="59" t="str"/>
      <c r="H6265" s="64" t="str"/>
      <c r="I6265" s="65" t="str"/>
      <c r="J6265" s="49" t="str"/>
      <c r="K6265" s="41" t="str"/>
      <c r="L6265" s="41" t="str"/>
      <c r="M6265" s="41" t="str"/>
      <c r="N6265" s="41" t="str"/>
      <c r="O6265" s="41" t="str"/>
      <c r="P6265" s="41" t="str"/>
      <c r="Q6265" s="41" t="str"/>
      <c r="R6265" s="41" t="str"/>
      <c r="S6265" s="41" t="str"/>
      <c r="T6265" s="41" t="str"/>
      <c r="U6265" s="41" t="str"/>
      <c r="V6265" s="41" t="str"/>
      <c r="W6265" s="41" t="str"/>
    </row>
    <row r="6266">
      <c r="B6266" s="2" t="n"/>
      <c r="C6266" s="40" t="n"/>
      <c r="D6266" s="52">
        <f t="array" ref="D6266:W6266">IF(All_Students_Scores!C6264:V6264="","",All_Students_Scores!C6264:V6264)</f>
        <v/>
      </c>
      <c r="E6266" s="57" t="str"/>
      <c r="F6266" s="49" t="str"/>
      <c r="G6266" s="59" t="str"/>
      <c r="H6266" s="64" t="str"/>
      <c r="I6266" s="65" t="str"/>
      <c r="J6266" s="49" t="str"/>
      <c r="K6266" s="41" t="str"/>
      <c r="L6266" s="41" t="str"/>
      <c r="M6266" s="41" t="str"/>
      <c r="N6266" s="41" t="str"/>
      <c r="O6266" s="41" t="str"/>
      <c r="P6266" s="41" t="str"/>
      <c r="Q6266" s="41" t="str"/>
      <c r="R6266" s="41" t="str"/>
      <c r="S6266" s="41" t="str"/>
      <c r="T6266" s="41" t="str"/>
      <c r="U6266" s="41" t="str"/>
      <c r="V6266" s="41" t="str"/>
      <c r="W6266" s="41" t="str"/>
    </row>
    <row r="6267">
      <c r="B6267" s="2" t="n"/>
      <c r="C6267" s="40" t="n"/>
      <c r="D6267" s="52">
        <f t="array" ref="D6267:W6267">IF(All_Students_Scores!C6265:V6265="","",All_Students_Scores!C6265:V6265)</f>
        <v/>
      </c>
      <c r="E6267" s="57" t="str"/>
      <c r="F6267" s="49" t="str"/>
      <c r="G6267" s="59" t="str"/>
      <c r="H6267" s="64" t="str"/>
      <c r="I6267" s="65" t="str"/>
      <c r="J6267" s="49" t="str"/>
      <c r="K6267" s="41" t="str"/>
      <c r="L6267" s="41" t="str"/>
      <c r="M6267" s="41" t="str"/>
      <c r="N6267" s="41" t="str"/>
      <c r="O6267" s="41" t="str"/>
      <c r="P6267" s="41" t="str"/>
      <c r="Q6267" s="41" t="str"/>
      <c r="R6267" s="41" t="str"/>
      <c r="S6267" s="41" t="str"/>
      <c r="T6267" s="41" t="str"/>
      <c r="U6267" s="41" t="str"/>
      <c r="V6267" s="41" t="str"/>
      <c r="W6267" s="41" t="str"/>
    </row>
    <row r="6268">
      <c r="B6268" s="2" t="n"/>
      <c r="C6268" s="40" t="n"/>
      <c r="D6268" s="52">
        <f t="array" ref="D6268:W6268">IF(All_Students_Scores!C6266:V6266="","",All_Students_Scores!C6266:V6266)</f>
        <v/>
      </c>
      <c r="E6268" s="57" t="str"/>
      <c r="F6268" s="49" t="str"/>
      <c r="G6268" s="59" t="str"/>
      <c r="H6268" s="64" t="str"/>
      <c r="I6268" s="65" t="str"/>
      <c r="J6268" s="49" t="str"/>
      <c r="K6268" s="41" t="str"/>
      <c r="L6268" s="41" t="str"/>
      <c r="M6268" s="41" t="str"/>
      <c r="N6268" s="41" t="str"/>
      <c r="O6268" s="41" t="str"/>
      <c r="P6268" s="41" t="str"/>
      <c r="Q6268" s="41" t="str"/>
      <c r="R6268" s="41" t="str"/>
      <c r="S6268" s="41" t="str"/>
      <c r="T6268" s="41" t="str"/>
      <c r="U6268" s="41" t="str"/>
      <c r="V6268" s="41" t="str"/>
      <c r="W6268" s="41" t="str"/>
    </row>
    <row r="6269">
      <c r="B6269" s="2" t="n"/>
      <c r="C6269" s="40" t="n"/>
      <c r="D6269" s="52">
        <f t="array" ref="D6269:W6269">IF(All_Students_Scores!C6267:V6267="","",All_Students_Scores!C6267:V6267)</f>
        <v/>
      </c>
      <c r="E6269" s="57" t="str"/>
      <c r="F6269" s="49" t="str"/>
      <c r="G6269" s="59" t="str"/>
      <c r="H6269" s="64" t="str"/>
      <c r="I6269" s="65" t="str"/>
      <c r="J6269" s="49" t="str"/>
      <c r="K6269" s="41" t="str"/>
      <c r="L6269" s="41" t="str"/>
      <c r="M6269" s="41" t="str"/>
      <c r="N6269" s="41" t="str"/>
      <c r="O6269" s="41" t="str"/>
      <c r="P6269" s="41" t="str"/>
      <c r="Q6269" s="41" t="str"/>
      <c r="R6269" s="41" t="str"/>
      <c r="S6269" s="41" t="str"/>
      <c r="T6269" s="41" t="str"/>
      <c r="U6269" s="41" t="str"/>
      <c r="V6269" s="41" t="str"/>
      <c r="W6269" s="41" t="str"/>
    </row>
    <row r="6270">
      <c r="B6270" s="2" t="n"/>
      <c r="C6270" s="40" t="n"/>
      <c r="D6270" s="52">
        <f t="array" ref="D6270:W6270">IF(All_Students_Scores!C6268:V6268="","",All_Students_Scores!C6268:V6268)</f>
        <v/>
      </c>
      <c r="E6270" s="57" t="str"/>
      <c r="F6270" s="49" t="str"/>
      <c r="G6270" s="59" t="str"/>
      <c r="H6270" s="64" t="str"/>
      <c r="I6270" s="65" t="str"/>
      <c r="J6270" s="49" t="str"/>
      <c r="K6270" s="41" t="str"/>
      <c r="L6270" s="41" t="str"/>
      <c r="M6270" s="41" t="str"/>
      <c r="N6270" s="41" t="str"/>
      <c r="O6270" s="41" t="str"/>
      <c r="P6270" s="41" t="str"/>
      <c r="Q6270" s="41" t="str"/>
      <c r="R6270" s="41" t="str"/>
      <c r="S6270" s="41" t="str"/>
      <c r="T6270" s="41" t="str"/>
      <c r="U6270" s="41" t="str"/>
      <c r="V6270" s="41" t="str"/>
      <c r="W6270" s="41" t="str"/>
    </row>
    <row r="6271">
      <c r="B6271" s="2" t="n"/>
      <c r="C6271" s="40" t="n"/>
      <c r="D6271" s="52">
        <f t="array" ref="D6271:W6271">IF(All_Students_Scores!C6269:V6269="","",All_Students_Scores!C6269:V6269)</f>
        <v/>
      </c>
      <c r="E6271" s="57" t="str"/>
      <c r="F6271" s="49" t="str"/>
      <c r="G6271" s="59" t="str"/>
      <c r="H6271" s="64" t="str"/>
      <c r="I6271" s="65" t="str"/>
      <c r="J6271" s="49" t="str"/>
      <c r="K6271" s="41" t="str"/>
      <c r="L6271" s="41" t="str"/>
      <c r="M6271" s="41" t="str"/>
      <c r="N6271" s="41" t="str"/>
      <c r="O6271" s="41" t="str"/>
      <c r="P6271" s="41" t="str"/>
      <c r="Q6271" s="41" t="str"/>
      <c r="R6271" s="41" t="str"/>
      <c r="S6271" s="41" t="str"/>
      <c r="T6271" s="41" t="str"/>
      <c r="U6271" s="41" t="str"/>
      <c r="V6271" s="41" t="str"/>
      <c r="W6271" s="41" t="str"/>
    </row>
    <row r="6272">
      <c r="B6272" s="2" t="n"/>
      <c r="C6272" s="40" t="n"/>
      <c r="D6272" s="52">
        <f t="array" ref="D6272:W6272">IF(All_Students_Scores!C6270:V6270="","",All_Students_Scores!C6270:V6270)</f>
        <v/>
      </c>
      <c r="E6272" s="57" t="str"/>
      <c r="F6272" s="49" t="str"/>
      <c r="G6272" s="59" t="str"/>
      <c r="H6272" s="64" t="str"/>
      <c r="I6272" s="65" t="str"/>
      <c r="J6272" s="49" t="str"/>
      <c r="K6272" s="41" t="str"/>
      <c r="L6272" s="41" t="str"/>
      <c r="M6272" s="41" t="str"/>
      <c r="N6272" s="41" t="str"/>
      <c r="O6272" s="41" t="str"/>
      <c r="P6272" s="41" t="str"/>
      <c r="Q6272" s="41" t="str"/>
      <c r="R6272" s="41" t="str"/>
      <c r="S6272" s="41" t="str"/>
      <c r="T6272" s="41" t="str"/>
      <c r="U6272" s="41" t="str"/>
      <c r="V6272" s="41" t="str"/>
      <c r="W6272" s="41" t="str"/>
    </row>
    <row r="6273">
      <c r="B6273" s="2" t="n"/>
      <c r="C6273" s="40" t="n"/>
      <c r="D6273" s="52">
        <f t="array" ref="D6273:W6273">IF(All_Students_Scores!C6271:V6271="","",All_Students_Scores!C6271:V6271)</f>
        <v/>
      </c>
      <c r="E6273" s="57" t="str"/>
      <c r="F6273" s="49" t="str"/>
      <c r="G6273" s="59" t="str"/>
      <c r="H6273" s="64" t="str"/>
      <c r="I6273" s="65" t="str"/>
      <c r="J6273" s="49" t="str"/>
      <c r="K6273" s="41" t="str"/>
      <c r="L6273" s="41" t="str"/>
      <c r="M6273" s="41" t="str"/>
      <c r="N6273" s="41" t="str"/>
      <c r="O6273" s="41" t="str"/>
      <c r="P6273" s="41" t="str"/>
      <c r="Q6273" s="41" t="str"/>
      <c r="R6273" s="41" t="str"/>
      <c r="S6273" s="41" t="str"/>
      <c r="T6273" s="41" t="str"/>
      <c r="U6273" s="41" t="str"/>
      <c r="V6273" s="41" t="str"/>
      <c r="W6273" s="41" t="str"/>
    </row>
    <row r="6274">
      <c r="B6274" s="2" t="n"/>
      <c r="C6274" s="40" t="n"/>
      <c r="D6274" s="52">
        <f t="array" ref="D6274:W6274">IF(All_Students_Scores!C6272:V6272="","",All_Students_Scores!C6272:V6272)</f>
        <v/>
      </c>
      <c r="E6274" s="57" t="str"/>
      <c r="F6274" s="49" t="str"/>
      <c r="G6274" s="59" t="str"/>
      <c r="H6274" s="64" t="str"/>
      <c r="I6274" s="65" t="str"/>
      <c r="J6274" s="49" t="str"/>
      <c r="K6274" s="41" t="str"/>
      <c r="L6274" s="41" t="str"/>
      <c r="M6274" s="41" t="str"/>
      <c r="N6274" s="41" t="str"/>
      <c r="O6274" s="41" t="str"/>
      <c r="P6274" s="41" t="str"/>
      <c r="Q6274" s="41" t="str"/>
      <c r="R6274" s="41" t="str"/>
      <c r="S6274" s="41" t="str"/>
      <c r="T6274" s="41" t="str"/>
      <c r="U6274" s="41" t="str"/>
      <c r="V6274" s="41" t="str"/>
      <c r="W6274" s="41" t="str"/>
    </row>
    <row r="6275">
      <c r="B6275" s="2" t="n"/>
      <c r="C6275" s="40" t="n"/>
      <c r="D6275" s="52">
        <f t="array" ref="D6275:W6275">IF(All_Students_Scores!C6273:V6273="","",All_Students_Scores!C6273:V6273)</f>
        <v/>
      </c>
      <c r="E6275" s="57" t="str"/>
      <c r="F6275" s="49" t="str"/>
      <c r="G6275" s="59" t="str"/>
      <c r="H6275" s="64" t="str"/>
      <c r="I6275" s="65" t="str"/>
      <c r="J6275" s="49" t="str"/>
      <c r="K6275" s="41" t="str"/>
      <c r="L6275" s="41" t="str"/>
      <c r="M6275" s="41" t="str"/>
      <c r="N6275" s="41" t="str"/>
      <c r="O6275" s="41" t="str"/>
      <c r="P6275" s="41" t="str"/>
      <c r="Q6275" s="41" t="str"/>
      <c r="R6275" s="41" t="str"/>
      <c r="S6275" s="41" t="str"/>
      <c r="T6275" s="41" t="str"/>
      <c r="U6275" s="41" t="str"/>
      <c r="V6275" s="41" t="str"/>
      <c r="W6275" s="41" t="str"/>
    </row>
    <row r="6276">
      <c r="B6276" s="2" t="n"/>
      <c r="C6276" s="40" t="n"/>
      <c r="D6276" s="52">
        <f t="array" ref="D6276:W6276">IF(All_Students_Scores!C6274:V6274="","",All_Students_Scores!C6274:V6274)</f>
        <v/>
      </c>
      <c r="E6276" s="57" t="str"/>
      <c r="F6276" s="49" t="str"/>
      <c r="G6276" s="59" t="str"/>
      <c r="H6276" s="64" t="str"/>
      <c r="I6276" s="65" t="str"/>
      <c r="J6276" s="49" t="str"/>
      <c r="K6276" s="41" t="str"/>
      <c r="L6276" s="41" t="str"/>
      <c r="M6276" s="41" t="str"/>
      <c r="N6276" s="41" t="str"/>
      <c r="O6276" s="41" t="str"/>
      <c r="P6276" s="41" t="str"/>
      <c r="Q6276" s="41" t="str"/>
      <c r="R6276" s="41" t="str"/>
      <c r="S6276" s="41" t="str"/>
      <c r="T6276" s="41" t="str"/>
      <c r="U6276" s="41" t="str"/>
      <c r="V6276" s="41" t="str"/>
      <c r="W6276" s="41" t="str"/>
    </row>
    <row r="6277">
      <c r="B6277" s="2" t="n"/>
      <c r="C6277" s="40" t="n"/>
      <c r="D6277" s="52">
        <f t="array" ref="D6277:W6277">IF(All_Students_Scores!C6275:V6275="","",All_Students_Scores!C6275:V6275)</f>
        <v/>
      </c>
      <c r="E6277" s="57" t="str"/>
      <c r="F6277" s="49" t="str"/>
      <c r="G6277" s="59" t="str"/>
      <c r="H6277" s="64" t="str"/>
      <c r="I6277" s="65" t="str"/>
      <c r="J6277" s="49" t="str"/>
      <c r="K6277" s="41" t="str"/>
      <c r="L6277" s="41" t="str"/>
      <c r="M6277" s="41" t="str"/>
      <c r="N6277" s="41" t="str"/>
      <c r="O6277" s="41" t="str"/>
      <c r="P6277" s="41" t="str"/>
      <c r="Q6277" s="41" t="str"/>
      <c r="R6277" s="41" t="str"/>
      <c r="S6277" s="41" t="str"/>
      <c r="T6277" s="41" t="str"/>
      <c r="U6277" s="41" t="str"/>
      <c r="V6277" s="41" t="str"/>
      <c r="W6277" s="41" t="str"/>
    </row>
    <row r="6278">
      <c r="B6278" s="2" t="n"/>
      <c r="C6278" s="40" t="n"/>
      <c r="D6278" s="52">
        <f t="array" ref="D6278:W6278">IF(All_Students_Scores!C6276:V6276="","",All_Students_Scores!C6276:V6276)</f>
        <v/>
      </c>
      <c r="E6278" s="57" t="str"/>
      <c r="F6278" s="49" t="str"/>
      <c r="G6278" s="59" t="str"/>
      <c r="H6278" s="64" t="str"/>
      <c r="I6278" s="65" t="str"/>
      <c r="J6278" s="49" t="str"/>
      <c r="K6278" s="41" t="str"/>
      <c r="L6278" s="41" t="str"/>
      <c r="M6278" s="41" t="str"/>
      <c r="N6278" s="41" t="str"/>
      <c r="O6278" s="41" t="str"/>
      <c r="P6278" s="41" t="str"/>
      <c r="Q6278" s="41" t="str"/>
      <c r="R6278" s="41" t="str"/>
      <c r="S6278" s="41" t="str"/>
      <c r="T6278" s="41" t="str"/>
      <c r="U6278" s="41" t="str"/>
      <c r="V6278" s="41" t="str"/>
      <c r="W6278" s="41" t="str"/>
    </row>
    <row r="6279">
      <c r="B6279" s="2" t="n"/>
      <c r="C6279" s="40" t="n"/>
      <c r="D6279" s="52">
        <f t="array" ref="D6279:W6279">IF(All_Students_Scores!C6277:V6277="","",All_Students_Scores!C6277:V6277)</f>
        <v/>
      </c>
      <c r="E6279" s="57" t="str"/>
      <c r="F6279" s="49" t="str"/>
      <c r="G6279" s="59" t="str"/>
      <c r="H6279" s="64" t="str"/>
      <c r="I6279" s="65" t="str"/>
      <c r="J6279" s="49" t="str"/>
      <c r="K6279" s="41" t="str"/>
      <c r="L6279" s="41" t="str"/>
      <c r="M6279" s="41" t="str"/>
      <c r="N6279" s="41" t="str"/>
      <c r="O6279" s="41" t="str"/>
      <c r="P6279" s="41" t="str"/>
      <c r="Q6279" s="41" t="str"/>
      <c r="R6279" s="41" t="str"/>
      <c r="S6279" s="41" t="str"/>
      <c r="T6279" s="41" t="str"/>
      <c r="U6279" s="41" t="str"/>
      <c r="V6279" s="41" t="str"/>
      <c r="W6279" s="41" t="str"/>
    </row>
    <row r="6280">
      <c r="B6280" s="2" t="n"/>
      <c r="C6280" s="40" t="n"/>
      <c r="D6280" s="52">
        <f t="array" ref="D6280:W6280">IF(All_Students_Scores!C6278:V6278="","",All_Students_Scores!C6278:V6278)</f>
        <v/>
      </c>
      <c r="E6280" s="57" t="str"/>
      <c r="F6280" s="49" t="str"/>
      <c r="G6280" s="59" t="str"/>
      <c r="H6280" s="64" t="str"/>
      <c r="I6280" s="65" t="str"/>
      <c r="J6280" s="49" t="str"/>
      <c r="K6280" s="41" t="str"/>
      <c r="L6280" s="41" t="str"/>
      <c r="M6280" s="41" t="str"/>
      <c r="N6280" s="41" t="str"/>
      <c r="O6280" s="41" t="str"/>
      <c r="P6280" s="41" t="str"/>
      <c r="Q6280" s="41" t="str"/>
      <c r="R6280" s="41" t="str"/>
      <c r="S6280" s="41" t="str"/>
      <c r="T6280" s="41" t="str"/>
      <c r="U6280" s="41" t="str"/>
      <c r="V6280" s="41" t="str"/>
      <c r="W6280" s="41" t="str"/>
    </row>
    <row r="6281">
      <c r="B6281" s="2" t="n"/>
      <c r="C6281" s="40" t="n"/>
      <c r="D6281" s="52">
        <f t="array" ref="D6281:W6281">IF(All_Students_Scores!C6279:V6279="","",All_Students_Scores!C6279:V6279)</f>
        <v/>
      </c>
      <c r="E6281" s="57" t="str"/>
      <c r="F6281" s="49" t="str"/>
      <c r="G6281" s="59" t="str"/>
      <c r="H6281" s="64" t="str"/>
      <c r="I6281" s="65" t="str"/>
      <c r="J6281" s="49" t="str"/>
      <c r="K6281" s="41" t="str"/>
      <c r="L6281" s="41" t="str"/>
      <c r="M6281" s="41" t="str"/>
      <c r="N6281" s="41" t="str"/>
      <c r="O6281" s="41" t="str"/>
      <c r="P6281" s="41" t="str"/>
      <c r="Q6281" s="41" t="str"/>
      <c r="R6281" s="41" t="str"/>
      <c r="S6281" s="41" t="str"/>
      <c r="T6281" s="41" t="str"/>
      <c r="U6281" s="41" t="str"/>
      <c r="V6281" s="41" t="str"/>
      <c r="W6281" s="41" t="str"/>
    </row>
    <row r="6282">
      <c r="B6282" s="2" t="n"/>
      <c r="C6282" s="40" t="n"/>
      <c r="D6282" s="52">
        <f t="array" ref="D6282:W6282">IF(All_Students_Scores!C6280:V6280="","",All_Students_Scores!C6280:V6280)</f>
        <v/>
      </c>
      <c r="E6282" s="57" t="str"/>
      <c r="F6282" s="49" t="str"/>
      <c r="G6282" s="59" t="str"/>
      <c r="H6282" s="64" t="str"/>
      <c r="I6282" s="65" t="str"/>
      <c r="J6282" s="49" t="str"/>
      <c r="K6282" s="41" t="str"/>
      <c r="L6282" s="41" t="str"/>
      <c r="M6282" s="41" t="str"/>
      <c r="N6282" s="41" t="str"/>
      <c r="O6282" s="41" t="str"/>
      <c r="P6282" s="41" t="str"/>
      <c r="Q6282" s="41" t="str"/>
      <c r="R6282" s="41" t="str"/>
      <c r="S6282" s="41" t="str"/>
      <c r="T6282" s="41" t="str"/>
      <c r="U6282" s="41" t="str"/>
      <c r="V6282" s="41" t="str"/>
      <c r="W6282" s="41" t="str"/>
    </row>
    <row r="6283">
      <c r="B6283" s="2" t="n"/>
      <c r="C6283" s="40" t="n"/>
      <c r="D6283" s="52">
        <f t="array" ref="D6283:W6283">IF(All_Students_Scores!C6281:V6281="","",All_Students_Scores!C6281:V6281)</f>
        <v/>
      </c>
      <c r="E6283" s="57" t="str"/>
      <c r="F6283" s="49" t="str"/>
      <c r="G6283" s="59" t="str"/>
      <c r="H6283" s="64" t="str"/>
      <c r="I6283" s="65" t="str"/>
      <c r="J6283" s="49" t="str"/>
      <c r="K6283" s="41" t="str"/>
      <c r="L6283" s="41" t="str"/>
      <c r="M6283" s="41" t="str"/>
      <c r="N6283" s="41" t="str"/>
      <c r="O6283" s="41" t="str"/>
      <c r="P6283" s="41" t="str"/>
      <c r="Q6283" s="41" t="str"/>
      <c r="R6283" s="41" t="str"/>
      <c r="S6283" s="41" t="str"/>
      <c r="T6283" s="41" t="str"/>
      <c r="U6283" s="41" t="str"/>
      <c r="V6283" s="41" t="str"/>
      <c r="W6283" s="41" t="str"/>
    </row>
    <row r="6284">
      <c r="B6284" s="2" t="n"/>
      <c r="C6284" s="40" t="n"/>
      <c r="D6284" s="52">
        <f t="array" ref="D6284:W6284">IF(All_Students_Scores!C6282:V6282="","",All_Students_Scores!C6282:V6282)</f>
        <v/>
      </c>
      <c r="E6284" s="57" t="str"/>
      <c r="F6284" s="49" t="str"/>
      <c r="G6284" s="59" t="str"/>
      <c r="H6284" s="64" t="str"/>
      <c r="I6284" s="65" t="str"/>
      <c r="J6284" s="49" t="str"/>
      <c r="K6284" s="41" t="str"/>
      <c r="L6284" s="41" t="str"/>
      <c r="M6284" s="41" t="str"/>
      <c r="N6284" s="41" t="str"/>
      <c r="O6284" s="41" t="str"/>
      <c r="P6284" s="41" t="str"/>
      <c r="Q6284" s="41" t="str"/>
      <c r="R6284" s="41" t="str"/>
      <c r="S6284" s="41" t="str"/>
      <c r="T6284" s="41" t="str"/>
      <c r="U6284" s="41" t="str"/>
      <c r="V6284" s="41" t="str"/>
      <c r="W6284" s="41" t="str"/>
    </row>
    <row r="6285">
      <c r="B6285" s="2" t="n"/>
      <c r="C6285" s="40" t="n"/>
      <c r="D6285" s="52">
        <f t="array" ref="D6285:W6285">IF(All_Students_Scores!C6283:V6283="","",All_Students_Scores!C6283:V6283)</f>
        <v/>
      </c>
      <c r="E6285" s="57" t="str"/>
      <c r="F6285" s="49" t="str"/>
      <c r="G6285" s="59" t="str"/>
      <c r="H6285" s="64" t="str"/>
      <c r="I6285" s="65" t="str"/>
      <c r="J6285" s="49" t="str"/>
      <c r="K6285" s="41" t="str"/>
      <c r="L6285" s="41" t="str"/>
      <c r="M6285" s="41" t="str"/>
      <c r="N6285" s="41" t="str"/>
      <c r="O6285" s="41" t="str"/>
      <c r="P6285" s="41" t="str"/>
      <c r="Q6285" s="41" t="str"/>
      <c r="R6285" s="41" t="str"/>
      <c r="S6285" s="41" t="str"/>
      <c r="T6285" s="41" t="str"/>
      <c r="U6285" s="41" t="str"/>
      <c r="V6285" s="41" t="str"/>
      <c r="W6285" s="41" t="str"/>
    </row>
    <row r="6286">
      <c r="B6286" s="2" t="n"/>
      <c r="C6286" s="40" t="n"/>
      <c r="D6286" s="52">
        <f t="array" ref="D6286:W6286">IF(All_Students_Scores!C6284:V6284="","",All_Students_Scores!C6284:V6284)</f>
        <v/>
      </c>
      <c r="E6286" s="57" t="str"/>
      <c r="F6286" s="49" t="str"/>
      <c r="G6286" s="59" t="str"/>
      <c r="H6286" s="64" t="str"/>
      <c r="I6286" s="65" t="str"/>
      <c r="J6286" s="49" t="str"/>
      <c r="K6286" s="41" t="str"/>
      <c r="L6286" s="41" t="str"/>
      <c r="M6286" s="41" t="str"/>
      <c r="N6286" s="41" t="str"/>
      <c r="O6286" s="41" t="str"/>
      <c r="P6286" s="41" t="str"/>
      <c r="Q6286" s="41" t="str"/>
      <c r="R6286" s="41" t="str"/>
      <c r="S6286" s="41" t="str"/>
      <c r="T6286" s="41" t="str"/>
      <c r="U6286" s="41" t="str"/>
      <c r="V6286" s="41" t="str"/>
      <c r="W6286" s="41" t="str"/>
    </row>
    <row r="6287">
      <c r="B6287" s="2" t="n"/>
      <c r="C6287" s="40" t="n"/>
      <c r="D6287" s="52">
        <f t="array" ref="D6287:W6287">IF(All_Students_Scores!C6285:V6285="","",All_Students_Scores!C6285:V6285)</f>
        <v/>
      </c>
      <c r="E6287" s="57" t="str"/>
      <c r="F6287" s="49" t="str"/>
      <c r="G6287" s="59" t="str"/>
      <c r="H6287" s="64" t="str"/>
      <c r="I6287" s="65" t="str"/>
      <c r="J6287" s="49" t="str"/>
      <c r="K6287" s="41" t="str"/>
      <c r="L6287" s="41" t="str"/>
      <c r="M6287" s="41" t="str"/>
      <c r="N6287" s="41" t="str"/>
      <c r="O6287" s="41" t="str"/>
      <c r="P6287" s="41" t="str"/>
      <c r="Q6287" s="41" t="str"/>
      <c r="R6287" s="41" t="str"/>
      <c r="S6287" s="41" t="str"/>
      <c r="T6287" s="41" t="str"/>
      <c r="U6287" s="41" t="str"/>
      <c r="V6287" s="41" t="str"/>
      <c r="W6287" s="41" t="str"/>
    </row>
    <row r="6288">
      <c r="B6288" s="2" t="n"/>
      <c r="C6288" s="40" t="n"/>
      <c r="D6288" s="52">
        <f t="array" ref="D6288:W6288">IF(All_Students_Scores!C6286:V6286="","",All_Students_Scores!C6286:V6286)</f>
        <v/>
      </c>
      <c r="E6288" s="57" t="str"/>
      <c r="F6288" s="49" t="str"/>
      <c r="G6288" s="59" t="str"/>
      <c r="H6288" s="64" t="str"/>
      <c r="I6288" s="65" t="str"/>
      <c r="J6288" s="49" t="str"/>
      <c r="K6288" s="41" t="str"/>
      <c r="L6288" s="41" t="str"/>
      <c r="M6288" s="41" t="str"/>
      <c r="N6288" s="41" t="str"/>
      <c r="O6288" s="41" t="str"/>
      <c r="P6288" s="41" t="str"/>
      <c r="Q6288" s="41" t="str"/>
      <c r="R6288" s="41" t="str"/>
      <c r="S6288" s="41" t="str"/>
      <c r="T6288" s="41" t="str"/>
      <c r="U6288" s="41" t="str"/>
      <c r="V6288" s="41" t="str"/>
      <c r="W6288" s="41" t="str"/>
    </row>
    <row r="6289">
      <c r="B6289" s="2" t="n"/>
      <c r="C6289" s="40" t="n"/>
      <c r="D6289" s="52">
        <f t="array" ref="D6289:W6289">IF(All_Students_Scores!C6287:V6287="","",All_Students_Scores!C6287:V6287)</f>
        <v/>
      </c>
      <c r="E6289" s="57" t="str"/>
      <c r="F6289" s="49" t="str"/>
      <c r="G6289" s="59" t="str"/>
      <c r="H6289" s="64" t="str"/>
      <c r="I6289" s="65" t="str"/>
      <c r="J6289" s="49" t="str"/>
      <c r="K6289" s="41" t="str"/>
      <c r="L6289" s="41" t="str"/>
      <c r="M6289" s="41" t="str"/>
      <c r="N6289" s="41" t="str"/>
      <c r="O6289" s="41" t="str"/>
      <c r="P6289" s="41" t="str"/>
      <c r="Q6289" s="41" t="str"/>
      <c r="R6289" s="41" t="str"/>
      <c r="S6289" s="41" t="str"/>
      <c r="T6289" s="41" t="str"/>
      <c r="U6289" s="41" t="str"/>
      <c r="V6289" s="41" t="str"/>
      <c r="W6289" s="41" t="str"/>
    </row>
    <row r="6290">
      <c r="B6290" s="2" t="n"/>
      <c r="C6290" s="40" t="n"/>
      <c r="D6290" s="52">
        <f t="array" ref="D6290:W6290">IF(All_Students_Scores!C6288:V6288="","",All_Students_Scores!C6288:V6288)</f>
        <v/>
      </c>
      <c r="E6290" s="57" t="str"/>
      <c r="F6290" s="49" t="str"/>
      <c r="G6290" s="59" t="str"/>
      <c r="H6290" s="64" t="str"/>
      <c r="I6290" s="65" t="str"/>
      <c r="J6290" s="49" t="str"/>
      <c r="K6290" s="41" t="str"/>
      <c r="L6290" s="41" t="str"/>
      <c r="M6290" s="41" t="str"/>
      <c r="N6290" s="41" t="str"/>
      <c r="O6290" s="41" t="str"/>
      <c r="P6290" s="41" t="str"/>
      <c r="Q6290" s="41" t="str"/>
      <c r="R6290" s="41" t="str"/>
      <c r="S6290" s="41" t="str"/>
      <c r="T6290" s="41" t="str"/>
      <c r="U6290" s="41" t="str"/>
      <c r="V6290" s="41" t="str"/>
      <c r="W6290" s="41" t="str"/>
    </row>
    <row r="6291">
      <c r="B6291" s="2" t="n"/>
      <c r="C6291" s="40" t="n"/>
      <c r="D6291" s="52">
        <f t="array" ref="D6291:W6291">IF(All_Students_Scores!C6289:V6289="","",All_Students_Scores!C6289:V6289)</f>
        <v/>
      </c>
      <c r="E6291" s="57" t="str"/>
      <c r="F6291" s="49" t="str"/>
      <c r="G6291" s="59" t="str"/>
      <c r="H6291" s="64" t="str"/>
      <c r="I6291" s="65" t="str"/>
      <c r="J6291" s="49" t="str"/>
      <c r="K6291" s="41" t="str"/>
      <c r="L6291" s="41" t="str"/>
      <c r="M6291" s="41" t="str"/>
      <c r="N6291" s="41" t="str"/>
      <c r="O6291" s="41" t="str"/>
      <c r="P6291" s="41" t="str"/>
      <c r="Q6291" s="41" t="str"/>
      <c r="R6291" s="41" t="str"/>
      <c r="S6291" s="41" t="str"/>
      <c r="T6291" s="41" t="str"/>
      <c r="U6291" s="41" t="str"/>
      <c r="V6291" s="41" t="str"/>
      <c r="W6291" s="41" t="str"/>
    </row>
    <row r="6292">
      <c r="B6292" s="2" t="n"/>
      <c r="C6292" s="40" t="n"/>
      <c r="D6292" s="52">
        <f t="array" ref="D6292:W6292">IF(All_Students_Scores!C6290:V6290="","",All_Students_Scores!C6290:V6290)</f>
        <v/>
      </c>
      <c r="E6292" s="57" t="str"/>
      <c r="F6292" s="49" t="str"/>
      <c r="G6292" s="59" t="str"/>
      <c r="H6292" s="64" t="str"/>
      <c r="I6292" s="65" t="str"/>
      <c r="J6292" s="49" t="str"/>
      <c r="K6292" s="41" t="str"/>
      <c r="L6292" s="41" t="str"/>
      <c r="M6292" s="41" t="str"/>
      <c r="N6292" s="41" t="str"/>
      <c r="O6292" s="41" t="str"/>
      <c r="P6292" s="41" t="str"/>
      <c r="Q6292" s="41" t="str"/>
      <c r="R6292" s="41" t="str"/>
      <c r="S6292" s="41" t="str"/>
      <c r="T6292" s="41" t="str"/>
      <c r="U6292" s="41" t="str"/>
      <c r="V6292" s="41" t="str"/>
      <c r="W6292" s="41" t="str"/>
    </row>
    <row r="6293">
      <c r="B6293" s="2" t="n"/>
      <c r="C6293" s="40" t="n"/>
      <c r="D6293" s="52">
        <f t="array" ref="D6293:W6293">IF(All_Students_Scores!C6291:V6291="","",All_Students_Scores!C6291:V6291)</f>
        <v/>
      </c>
      <c r="E6293" s="57" t="str"/>
      <c r="F6293" s="49" t="str"/>
      <c r="G6293" s="59" t="str"/>
      <c r="H6293" s="64" t="str"/>
      <c r="I6293" s="65" t="str"/>
      <c r="J6293" s="49" t="str"/>
      <c r="K6293" s="41" t="str"/>
      <c r="L6293" s="41" t="str"/>
      <c r="M6293" s="41" t="str"/>
      <c r="N6293" s="41" t="str"/>
      <c r="O6293" s="41" t="str"/>
      <c r="P6293" s="41" t="str"/>
      <c r="Q6293" s="41" t="str"/>
      <c r="R6293" s="41" t="str"/>
      <c r="S6293" s="41" t="str"/>
      <c r="T6293" s="41" t="str"/>
      <c r="U6293" s="41" t="str"/>
      <c r="V6293" s="41" t="str"/>
      <c r="W6293" s="41" t="str"/>
    </row>
    <row r="6294">
      <c r="B6294" s="2" t="n"/>
      <c r="C6294" s="40" t="n"/>
      <c r="D6294" s="52">
        <f t="array" ref="D6294:W6294">IF(All_Students_Scores!C6292:V6292="","",All_Students_Scores!C6292:V6292)</f>
        <v/>
      </c>
      <c r="E6294" s="57" t="str"/>
      <c r="F6294" s="49" t="str"/>
      <c r="G6294" s="59" t="str"/>
      <c r="H6294" s="64" t="str"/>
      <c r="I6294" s="65" t="str"/>
      <c r="J6294" s="49" t="str"/>
      <c r="K6294" s="41" t="str"/>
      <c r="L6294" s="41" t="str"/>
      <c r="M6294" s="41" t="str"/>
      <c r="N6294" s="41" t="str"/>
      <c r="O6294" s="41" t="str"/>
      <c r="P6294" s="41" t="str"/>
      <c r="Q6294" s="41" t="str"/>
      <c r="R6294" s="41" t="str"/>
      <c r="S6294" s="41" t="str"/>
      <c r="T6294" s="41" t="str"/>
      <c r="U6294" s="41" t="str"/>
      <c r="V6294" s="41" t="str"/>
      <c r="W6294" s="41" t="str"/>
    </row>
    <row r="6295">
      <c r="B6295" s="2" t="n"/>
      <c r="C6295" s="40" t="n"/>
      <c r="D6295" s="52">
        <f t="array" ref="D6295:W6295">IF(All_Students_Scores!C6293:V6293="","",All_Students_Scores!C6293:V6293)</f>
        <v/>
      </c>
      <c r="E6295" s="57" t="str"/>
      <c r="F6295" s="49" t="str"/>
      <c r="G6295" s="59" t="str"/>
      <c r="H6295" s="64" t="str"/>
      <c r="I6295" s="65" t="str"/>
      <c r="J6295" s="49" t="str"/>
      <c r="K6295" s="41" t="str"/>
      <c r="L6295" s="41" t="str"/>
      <c r="M6295" s="41" t="str"/>
      <c r="N6295" s="41" t="str"/>
      <c r="O6295" s="41" t="str"/>
      <c r="P6295" s="41" t="str"/>
      <c r="Q6295" s="41" t="str"/>
      <c r="R6295" s="41" t="str"/>
      <c r="S6295" s="41" t="str"/>
      <c r="T6295" s="41" t="str"/>
      <c r="U6295" s="41" t="str"/>
      <c r="V6295" s="41" t="str"/>
      <c r="W6295" s="41" t="str"/>
    </row>
    <row r="6296">
      <c r="B6296" s="2" t="n"/>
      <c r="C6296" s="40" t="n"/>
      <c r="D6296" s="52">
        <f t="array" ref="D6296:W6296">IF(All_Students_Scores!C6294:V6294="","",All_Students_Scores!C6294:V6294)</f>
        <v/>
      </c>
      <c r="E6296" s="57" t="str"/>
      <c r="F6296" s="49" t="str"/>
      <c r="G6296" s="59" t="str"/>
      <c r="H6296" s="64" t="str"/>
      <c r="I6296" s="65" t="str"/>
      <c r="J6296" s="49" t="str"/>
      <c r="K6296" s="41" t="str"/>
      <c r="L6296" s="41" t="str"/>
      <c r="M6296" s="41" t="str"/>
      <c r="N6296" s="41" t="str"/>
      <c r="O6296" s="41" t="str"/>
      <c r="P6296" s="41" t="str"/>
      <c r="Q6296" s="41" t="str"/>
      <c r="R6296" s="41" t="str"/>
      <c r="S6296" s="41" t="str"/>
      <c r="T6296" s="41" t="str"/>
      <c r="U6296" s="41" t="str"/>
      <c r="V6296" s="41" t="str"/>
      <c r="W6296" s="41" t="str"/>
    </row>
    <row r="6297">
      <c r="B6297" s="2" t="n"/>
      <c r="C6297" s="40" t="n"/>
      <c r="D6297" s="52">
        <f t="array" ref="D6297:W6297">IF(All_Students_Scores!C6295:V6295="","",All_Students_Scores!C6295:V6295)</f>
        <v/>
      </c>
      <c r="E6297" s="57" t="str"/>
      <c r="F6297" s="49" t="str"/>
      <c r="G6297" s="59" t="str"/>
      <c r="H6297" s="64" t="str"/>
      <c r="I6297" s="65" t="str"/>
      <c r="J6297" s="49" t="str"/>
      <c r="K6297" s="41" t="str"/>
      <c r="L6297" s="41" t="str"/>
      <c r="M6297" s="41" t="str"/>
      <c r="N6297" s="41" t="str"/>
      <c r="O6297" s="41" t="str"/>
      <c r="P6297" s="41" t="str"/>
      <c r="Q6297" s="41" t="str"/>
      <c r="R6297" s="41" t="str"/>
      <c r="S6297" s="41" t="str"/>
      <c r="T6297" s="41" t="str"/>
      <c r="U6297" s="41" t="str"/>
      <c r="V6297" s="41" t="str"/>
      <c r="W6297" s="41" t="str"/>
    </row>
    <row r="6298">
      <c r="B6298" s="2" t="n"/>
      <c r="C6298" s="40" t="n"/>
      <c r="D6298" s="52">
        <f t="array" ref="D6298:W6298">IF(All_Students_Scores!C6296:V6296="","",All_Students_Scores!C6296:V6296)</f>
        <v/>
      </c>
      <c r="E6298" s="57" t="str"/>
      <c r="F6298" s="49" t="str"/>
      <c r="G6298" s="59" t="str"/>
      <c r="H6298" s="64" t="str"/>
      <c r="I6298" s="65" t="str"/>
      <c r="J6298" s="49" t="str"/>
      <c r="K6298" s="41" t="str"/>
      <c r="L6298" s="41" t="str"/>
      <c r="M6298" s="41" t="str"/>
      <c r="N6298" s="41" t="str"/>
      <c r="O6298" s="41" t="str"/>
      <c r="P6298" s="41" t="str"/>
      <c r="Q6298" s="41" t="str"/>
      <c r="R6298" s="41" t="str"/>
      <c r="S6298" s="41" t="str"/>
      <c r="T6298" s="41" t="str"/>
      <c r="U6298" s="41" t="str"/>
      <c r="V6298" s="41" t="str"/>
      <c r="W6298" s="41" t="str"/>
    </row>
    <row r="6299">
      <c r="B6299" s="2" t="n"/>
      <c r="C6299" s="40" t="n"/>
      <c r="D6299" s="52">
        <f t="array" ref="D6299:W6299">IF(All_Students_Scores!C6297:V6297="","",All_Students_Scores!C6297:V6297)</f>
        <v/>
      </c>
      <c r="E6299" s="57" t="str"/>
      <c r="F6299" s="49" t="str"/>
      <c r="G6299" s="59" t="str"/>
      <c r="H6299" s="64" t="str"/>
      <c r="I6299" s="65" t="str"/>
      <c r="J6299" s="49" t="str"/>
      <c r="K6299" s="41" t="str"/>
      <c r="L6299" s="41" t="str"/>
      <c r="M6299" s="41" t="str"/>
      <c r="N6299" s="41" t="str"/>
      <c r="O6299" s="41" t="str"/>
      <c r="P6299" s="41" t="str"/>
      <c r="Q6299" s="41" t="str"/>
      <c r="R6299" s="41" t="str"/>
      <c r="S6299" s="41" t="str"/>
      <c r="T6299" s="41" t="str"/>
      <c r="U6299" s="41" t="str"/>
      <c r="V6299" s="41" t="str"/>
      <c r="W6299" s="41" t="str"/>
    </row>
    <row r="6300">
      <c r="B6300" s="2" t="n"/>
      <c r="C6300" s="40" t="n"/>
      <c r="D6300" s="52">
        <f t="array" ref="D6300:W6300">IF(All_Students_Scores!C6298:V6298="","",All_Students_Scores!C6298:V6298)</f>
        <v/>
      </c>
      <c r="E6300" s="57" t="str"/>
      <c r="F6300" s="49" t="str"/>
      <c r="G6300" s="59" t="str"/>
      <c r="H6300" s="64" t="str"/>
      <c r="I6300" s="65" t="str"/>
      <c r="J6300" s="49" t="str"/>
      <c r="K6300" s="41" t="str"/>
      <c r="L6300" s="41" t="str"/>
      <c r="M6300" s="41" t="str"/>
      <c r="N6300" s="41" t="str"/>
      <c r="O6300" s="41" t="str"/>
      <c r="P6300" s="41" t="str"/>
      <c r="Q6300" s="41" t="str"/>
      <c r="R6300" s="41" t="str"/>
      <c r="S6300" s="41" t="str"/>
      <c r="T6300" s="41" t="str"/>
      <c r="U6300" s="41" t="str"/>
      <c r="V6300" s="41" t="str"/>
      <c r="W6300" s="41" t="str"/>
    </row>
    <row r="6301">
      <c r="B6301" s="2" t="n"/>
      <c r="C6301" s="40" t="n"/>
      <c r="D6301" s="52">
        <f t="array" ref="D6301:W6301">IF(All_Students_Scores!C6299:V6299="","",All_Students_Scores!C6299:V6299)</f>
        <v/>
      </c>
      <c r="E6301" s="57" t="str"/>
      <c r="F6301" s="49" t="str"/>
      <c r="G6301" s="59" t="str"/>
      <c r="H6301" s="64" t="str"/>
      <c r="I6301" s="65" t="str"/>
      <c r="J6301" s="49" t="str"/>
      <c r="K6301" s="41" t="str"/>
      <c r="L6301" s="41" t="str"/>
      <c r="M6301" s="41" t="str"/>
      <c r="N6301" s="41" t="str"/>
      <c r="O6301" s="41" t="str"/>
      <c r="P6301" s="41" t="str"/>
      <c r="Q6301" s="41" t="str"/>
      <c r="R6301" s="41" t="str"/>
      <c r="S6301" s="41" t="str"/>
      <c r="T6301" s="41" t="str"/>
      <c r="U6301" s="41" t="str"/>
      <c r="V6301" s="41" t="str"/>
      <c r="W6301" s="41" t="str"/>
    </row>
    <row r="6302">
      <c r="B6302" s="2" t="n"/>
      <c r="C6302" s="40" t="n"/>
      <c r="D6302" s="52">
        <f t="array" ref="D6302:W6302">IF(All_Students_Scores!C6300:V6300="","",All_Students_Scores!C6300:V6300)</f>
        <v/>
      </c>
      <c r="E6302" s="57" t="str"/>
      <c r="F6302" s="49" t="str"/>
      <c r="G6302" s="59" t="str"/>
      <c r="H6302" s="64" t="str"/>
      <c r="I6302" s="65" t="str"/>
      <c r="J6302" s="49" t="str"/>
      <c r="K6302" s="41" t="str"/>
      <c r="L6302" s="41" t="str"/>
      <c r="M6302" s="41" t="str"/>
      <c r="N6302" s="41" t="str"/>
      <c r="O6302" s="41" t="str"/>
      <c r="P6302" s="41" t="str"/>
      <c r="Q6302" s="41" t="str"/>
      <c r="R6302" s="41" t="str"/>
      <c r="S6302" s="41" t="str"/>
      <c r="T6302" s="41" t="str"/>
      <c r="U6302" s="41" t="str"/>
      <c r="V6302" s="41" t="str"/>
      <c r="W6302" s="41" t="str"/>
    </row>
    <row r="6303">
      <c r="B6303" s="2" t="n"/>
      <c r="C6303" s="40" t="n"/>
      <c r="D6303" s="52">
        <f t="array" ref="D6303:W6303">IF(All_Students_Scores!C6301:V6301="","",All_Students_Scores!C6301:V6301)</f>
        <v/>
      </c>
      <c r="E6303" s="57" t="str"/>
      <c r="F6303" s="49" t="str"/>
      <c r="G6303" s="59" t="str"/>
      <c r="H6303" s="64" t="str"/>
      <c r="I6303" s="65" t="str"/>
      <c r="J6303" s="49" t="str"/>
      <c r="K6303" s="41" t="str"/>
      <c r="L6303" s="41" t="str"/>
      <c r="M6303" s="41" t="str"/>
      <c r="N6303" s="41" t="str"/>
      <c r="O6303" s="41" t="str"/>
      <c r="P6303" s="41" t="str"/>
      <c r="Q6303" s="41" t="str"/>
      <c r="R6303" s="41" t="str"/>
      <c r="S6303" s="41" t="str"/>
      <c r="T6303" s="41" t="str"/>
      <c r="U6303" s="41" t="str"/>
      <c r="V6303" s="41" t="str"/>
      <c r="W6303" s="41" t="str"/>
    </row>
    <row r="6304">
      <c r="B6304" s="2" t="n"/>
      <c r="C6304" s="40" t="n"/>
      <c r="D6304" s="52">
        <f t="array" ref="D6304:W6304">IF(All_Students_Scores!C6302:V6302="","",All_Students_Scores!C6302:V6302)</f>
        <v/>
      </c>
      <c r="E6304" s="57" t="str"/>
      <c r="F6304" s="49" t="str"/>
      <c r="G6304" s="59" t="str"/>
      <c r="H6304" s="64" t="str"/>
      <c r="I6304" s="65" t="str"/>
      <c r="J6304" s="49" t="str"/>
      <c r="K6304" s="41" t="str"/>
      <c r="L6304" s="41" t="str"/>
      <c r="M6304" s="41" t="str"/>
      <c r="N6304" s="41" t="str"/>
      <c r="O6304" s="41" t="str"/>
      <c r="P6304" s="41" t="str"/>
      <c r="Q6304" s="41" t="str"/>
      <c r="R6304" s="41" t="str"/>
      <c r="S6304" s="41" t="str"/>
      <c r="T6304" s="41" t="str"/>
      <c r="U6304" s="41" t="str"/>
      <c r="V6304" s="41" t="str"/>
      <c r="W6304" s="41" t="str"/>
    </row>
    <row r="6305">
      <c r="B6305" s="2" t="n"/>
      <c r="C6305" s="40" t="n"/>
      <c r="D6305" s="52">
        <f t="array" ref="D6305:W6305">IF(All_Students_Scores!C6303:V6303="","",All_Students_Scores!C6303:V6303)</f>
        <v/>
      </c>
      <c r="E6305" s="57" t="str"/>
      <c r="F6305" s="49" t="str"/>
      <c r="G6305" s="59" t="str"/>
      <c r="H6305" s="64" t="str"/>
      <c r="I6305" s="65" t="str"/>
      <c r="J6305" s="49" t="str"/>
      <c r="K6305" s="41" t="str"/>
      <c r="L6305" s="41" t="str"/>
      <c r="M6305" s="41" t="str"/>
      <c r="N6305" s="41" t="str"/>
      <c r="O6305" s="41" t="str"/>
      <c r="P6305" s="41" t="str"/>
      <c r="Q6305" s="41" t="str"/>
      <c r="R6305" s="41" t="str"/>
      <c r="S6305" s="41" t="str"/>
      <c r="T6305" s="41" t="str"/>
      <c r="U6305" s="41" t="str"/>
      <c r="V6305" s="41" t="str"/>
      <c r="W6305" s="41" t="str"/>
    </row>
    <row r="6306">
      <c r="B6306" s="2" t="n"/>
      <c r="C6306" s="40" t="n"/>
      <c r="D6306" s="52">
        <f t="array" ref="D6306:W6306">IF(All_Students_Scores!C6304:V6304="","",All_Students_Scores!C6304:V6304)</f>
        <v/>
      </c>
      <c r="E6306" s="57" t="str"/>
      <c r="F6306" s="49" t="str"/>
      <c r="G6306" s="59" t="str"/>
      <c r="H6306" s="64" t="str"/>
      <c r="I6306" s="65" t="str"/>
      <c r="J6306" s="49" t="str"/>
      <c r="K6306" s="41" t="str"/>
      <c r="L6306" s="41" t="str"/>
      <c r="M6306" s="41" t="str"/>
      <c r="N6306" s="41" t="str"/>
      <c r="O6306" s="41" t="str"/>
      <c r="P6306" s="41" t="str"/>
      <c r="Q6306" s="41" t="str"/>
      <c r="R6306" s="41" t="str"/>
      <c r="S6306" s="41" t="str"/>
      <c r="T6306" s="41" t="str"/>
      <c r="U6306" s="41" t="str"/>
      <c r="V6306" s="41" t="str"/>
      <c r="W6306" s="41" t="str"/>
    </row>
    <row r="6307">
      <c r="B6307" s="2" t="n"/>
      <c r="C6307" s="40" t="n"/>
      <c r="D6307" s="52">
        <f t="array" ref="D6307:W6307">IF(All_Students_Scores!C6305:V6305="","",All_Students_Scores!C6305:V6305)</f>
        <v/>
      </c>
      <c r="E6307" s="57" t="str"/>
      <c r="F6307" s="49" t="str"/>
      <c r="G6307" s="59" t="str"/>
      <c r="H6307" s="64" t="str"/>
      <c r="I6307" s="65" t="str"/>
      <c r="J6307" s="49" t="str"/>
      <c r="K6307" s="41" t="str"/>
      <c r="L6307" s="41" t="str"/>
      <c r="M6307" s="41" t="str"/>
      <c r="N6307" s="41" t="str"/>
      <c r="O6307" s="41" t="str"/>
      <c r="P6307" s="41" t="str"/>
      <c r="Q6307" s="41" t="str"/>
      <c r="R6307" s="41" t="str"/>
      <c r="S6307" s="41" t="str"/>
      <c r="T6307" s="41" t="str"/>
      <c r="U6307" s="41" t="str"/>
      <c r="V6307" s="41" t="str"/>
      <c r="W6307" s="41" t="str"/>
    </row>
    <row r="6308">
      <c r="B6308" s="2" t="n"/>
      <c r="C6308" s="40" t="n"/>
      <c r="D6308" s="52">
        <f t="array" ref="D6308:W6308">IF(All_Students_Scores!C6306:V6306="","",All_Students_Scores!C6306:V6306)</f>
        <v/>
      </c>
      <c r="E6308" s="57" t="str"/>
      <c r="F6308" s="49" t="str"/>
      <c r="G6308" s="59" t="str"/>
      <c r="H6308" s="64" t="str"/>
      <c r="I6308" s="65" t="str"/>
      <c r="J6308" s="49" t="str"/>
      <c r="K6308" s="41" t="str"/>
      <c r="L6308" s="41" t="str"/>
      <c r="M6308" s="41" t="str"/>
      <c r="N6308" s="41" t="str"/>
      <c r="O6308" s="41" t="str"/>
      <c r="P6308" s="41" t="str"/>
      <c r="Q6308" s="41" t="str"/>
      <c r="R6308" s="41" t="str"/>
      <c r="S6308" s="41" t="str"/>
      <c r="T6308" s="41" t="str"/>
      <c r="U6308" s="41" t="str"/>
      <c r="V6308" s="41" t="str"/>
      <c r="W6308" s="41" t="str"/>
    </row>
    <row r="6309">
      <c r="B6309" s="2" t="n"/>
      <c r="C6309" s="40" t="n"/>
      <c r="D6309" s="52">
        <f t="array" ref="D6309:W6309">IF(All_Students_Scores!C6307:V6307="","",All_Students_Scores!C6307:V6307)</f>
        <v/>
      </c>
      <c r="E6309" s="57" t="str"/>
      <c r="F6309" s="49" t="str"/>
      <c r="G6309" s="59" t="str"/>
      <c r="H6309" s="64" t="str"/>
      <c r="I6309" s="65" t="str"/>
      <c r="J6309" s="49" t="str"/>
      <c r="K6309" s="41" t="str"/>
      <c r="L6309" s="41" t="str"/>
      <c r="M6309" s="41" t="str"/>
      <c r="N6309" s="41" t="str"/>
      <c r="O6309" s="41" t="str"/>
      <c r="P6309" s="41" t="str"/>
      <c r="Q6309" s="41" t="str"/>
      <c r="R6309" s="41" t="str"/>
      <c r="S6309" s="41" t="str"/>
      <c r="T6309" s="41" t="str"/>
      <c r="U6309" s="41" t="str"/>
      <c r="V6309" s="41" t="str"/>
      <c r="W6309" s="41" t="str"/>
    </row>
    <row r="6310">
      <c r="B6310" s="2" t="n"/>
      <c r="C6310" s="40" t="n"/>
      <c r="D6310" s="52">
        <f t="array" ref="D6310:W6310">IF(All_Students_Scores!C6308:V6308="","",All_Students_Scores!C6308:V6308)</f>
        <v/>
      </c>
      <c r="E6310" s="57" t="str"/>
      <c r="F6310" s="49" t="str"/>
      <c r="G6310" s="59" t="str"/>
      <c r="H6310" s="64" t="str"/>
      <c r="I6310" s="65" t="str"/>
      <c r="J6310" s="49" t="str"/>
      <c r="K6310" s="41" t="str"/>
      <c r="L6310" s="41" t="str"/>
      <c r="M6310" s="41" t="str"/>
      <c r="N6310" s="41" t="str"/>
      <c r="O6310" s="41" t="str"/>
      <c r="P6310" s="41" t="str"/>
      <c r="Q6310" s="41" t="str"/>
      <c r="R6310" s="41" t="str"/>
      <c r="S6310" s="41" t="str"/>
      <c r="T6310" s="41" t="str"/>
      <c r="U6310" s="41" t="str"/>
      <c r="V6310" s="41" t="str"/>
      <c r="W6310" s="41" t="str"/>
    </row>
    <row r="6311">
      <c r="B6311" s="2" t="n"/>
      <c r="C6311" s="40" t="n"/>
      <c r="D6311" s="52">
        <f t="array" ref="D6311:W6311">IF(All_Students_Scores!C6309:V6309="","",All_Students_Scores!C6309:V6309)</f>
        <v/>
      </c>
      <c r="E6311" s="57" t="str"/>
      <c r="F6311" s="49" t="str"/>
      <c r="G6311" s="59" t="str"/>
      <c r="H6311" s="64" t="str"/>
      <c r="I6311" s="65" t="str"/>
      <c r="J6311" s="49" t="str"/>
      <c r="K6311" s="41" t="str"/>
      <c r="L6311" s="41" t="str"/>
      <c r="M6311" s="41" t="str"/>
      <c r="N6311" s="41" t="str"/>
      <c r="O6311" s="41" t="str"/>
      <c r="P6311" s="41" t="str"/>
      <c r="Q6311" s="41" t="str"/>
      <c r="R6311" s="41" t="str"/>
      <c r="S6311" s="41" t="str"/>
      <c r="T6311" s="41" t="str"/>
      <c r="U6311" s="41" t="str"/>
      <c r="V6311" s="41" t="str"/>
      <c r="W6311" s="41" t="str"/>
    </row>
    <row r="6312">
      <c r="B6312" s="2" t="n"/>
      <c r="C6312" s="40" t="n"/>
      <c r="D6312" s="52">
        <f t="array" ref="D6312:W6312">IF(All_Students_Scores!C6310:V6310="","",All_Students_Scores!C6310:V6310)</f>
        <v/>
      </c>
      <c r="E6312" s="57" t="str"/>
      <c r="F6312" s="49" t="str"/>
      <c r="G6312" s="59" t="str"/>
      <c r="H6312" s="64" t="str"/>
      <c r="I6312" s="65" t="str"/>
      <c r="J6312" s="49" t="str"/>
      <c r="K6312" s="41" t="str"/>
      <c r="L6312" s="41" t="str"/>
      <c r="M6312" s="41" t="str"/>
      <c r="N6312" s="41" t="str"/>
      <c r="O6312" s="41" t="str"/>
      <c r="P6312" s="41" t="str"/>
      <c r="Q6312" s="41" t="str"/>
      <c r="R6312" s="41" t="str"/>
      <c r="S6312" s="41" t="str"/>
      <c r="T6312" s="41" t="str"/>
      <c r="U6312" s="41" t="str"/>
      <c r="V6312" s="41" t="str"/>
      <c r="W6312" s="41" t="str"/>
    </row>
    <row r="6313">
      <c r="B6313" s="2" t="n"/>
      <c r="C6313" s="40" t="n"/>
      <c r="D6313" s="52">
        <f t="array" ref="D6313:W6313">IF(All_Students_Scores!C6311:V6311="","",All_Students_Scores!C6311:V6311)</f>
        <v/>
      </c>
      <c r="E6313" s="57" t="str"/>
      <c r="F6313" s="49" t="str"/>
      <c r="G6313" s="59" t="str"/>
      <c r="H6313" s="64" t="str"/>
      <c r="I6313" s="65" t="str"/>
      <c r="J6313" s="49" t="str"/>
      <c r="K6313" s="41" t="str"/>
      <c r="L6313" s="41" t="str"/>
      <c r="M6313" s="41" t="str"/>
      <c r="N6313" s="41" t="str"/>
      <c r="O6313" s="41" t="str"/>
      <c r="P6313" s="41" t="str"/>
      <c r="Q6313" s="41" t="str"/>
      <c r="R6313" s="41" t="str"/>
      <c r="S6313" s="41" t="str"/>
      <c r="T6313" s="41" t="str"/>
      <c r="U6313" s="41" t="str"/>
      <c r="V6313" s="41" t="str"/>
      <c r="W6313" s="41" t="str"/>
    </row>
    <row r="6314">
      <c r="B6314" s="2" t="n"/>
      <c r="C6314" s="40" t="n"/>
      <c r="D6314" s="52">
        <f t="array" ref="D6314:W6314">IF(All_Students_Scores!C6312:V6312="","",All_Students_Scores!C6312:V6312)</f>
        <v/>
      </c>
      <c r="E6314" s="57" t="str"/>
      <c r="F6314" s="49" t="str"/>
      <c r="G6314" s="59" t="str"/>
      <c r="H6314" s="64" t="str"/>
      <c r="I6314" s="65" t="str"/>
      <c r="J6314" s="49" t="str"/>
      <c r="K6314" s="41" t="str"/>
      <c r="L6314" s="41" t="str"/>
      <c r="M6314" s="41" t="str"/>
      <c r="N6314" s="41" t="str"/>
      <c r="O6314" s="41" t="str"/>
      <c r="P6314" s="41" t="str"/>
      <c r="Q6314" s="41" t="str"/>
      <c r="R6314" s="41" t="str"/>
      <c r="S6314" s="41" t="str"/>
      <c r="T6314" s="41" t="str"/>
      <c r="U6314" s="41" t="str"/>
      <c r="V6314" s="41" t="str"/>
      <c r="W6314" s="41" t="str"/>
    </row>
    <row r="6315">
      <c r="B6315" s="2" t="n"/>
      <c r="C6315" s="40" t="n"/>
      <c r="D6315" s="52">
        <f t="array" ref="D6315:W6315">IF(All_Students_Scores!C6313:V6313="","",All_Students_Scores!C6313:V6313)</f>
        <v/>
      </c>
      <c r="E6315" s="57" t="str"/>
      <c r="F6315" s="49" t="str"/>
      <c r="G6315" s="59" t="str"/>
      <c r="H6315" s="64" t="str"/>
      <c r="I6315" s="65" t="str"/>
      <c r="J6315" s="49" t="str"/>
      <c r="K6315" s="41" t="str"/>
      <c r="L6315" s="41" t="str"/>
      <c r="M6315" s="41" t="str"/>
      <c r="N6315" s="41" t="str"/>
      <c r="O6315" s="41" t="str"/>
      <c r="P6315" s="41" t="str"/>
      <c r="Q6315" s="41" t="str"/>
      <c r="R6315" s="41" t="str"/>
      <c r="S6315" s="41" t="str"/>
      <c r="T6315" s="41" t="str"/>
      <c r="U6315" s="41" t="str"/>
      <c r="V6315" s="41" t="str"/>
      <c r="W6315" s="41" t="str"/>
    </row>
    <row r="6316">
      <c r="B6316" s="2" t="n"/>
      <c r="C6316" s="40" t="n"/>
      <c r="D6316" s="52">
        <f t="array" ref="D6316:W6316">IF(All_Students_Scores!C6314:V6314="","",All_Students_Scores!C6314:V6314)</f>
        <v/>
      </c>
      <c r="E6316" s="57" t="str"/>
      <c r="F6316" s="49" t="str"/>
      <c r="G6316" s="59" t="str"/>
      <c r="H6316" s="64" t="str"/>
      <c r="I6316" s="65" t="str"/>
      <c r="J6316" s="49" t="str"/>
      <c r="K6316" s="41" t="str"/>
      <c r="L6316" s="41" t="str"/>
      <c r="M6316" s="41" t="str"/>
      <c r="N6316" s="41" t="str"/>
      <c r="O6316" s="41" t="str"/>
      <c r="P6316" s="41" t="str"/>
      <c r="Q6316" s="41" t="str"/>
      <c r="R6316" s="41" t="str"/>
      <c r="S6316" s="41" t="str"/>
      <c r="T6316" s="41" t="str"/>
      <c r="U6316" s="41" t="str"/>
      <c r="V6316" s="41" t="str"/>
      <c r="W6316" s="41" t="str"/>
    </row>
    <row r="6317">
      <c r="B6317" s="2" t="n"/>
      <c r="C6317" s="40" t="n"/>
      <c r="D6317" s="52">
        <f t="array" ref="D6317:W6317">IF(All_Students_Scores!C6315:V6315="","",All_Students_Scores!C6315:V6315)</f>
        <v/>
      </c>
      <c r="E6317" s="57" t="str"/>
      <c r="F6317" s="49" t="str"/>
      <c r="G6317" s="59" t="str"/>
      <c r="H6317" s="64" t="str"/>
      <c r="I6317" s="65" t="str"/>
      <c r="J6317" s="49" t="str"/>
      <c r="K6317" s="41" t="str"/>
      <c r="L6317" s="41" t="str"/>
      <c r="M6317" s="41" t="str"/>
      <c r="N6317" s="41" t="str"/>
      <c r="O6317" s="41" t="str"/>
      <c r="P6317" s="41" t="str"/>
      <c r="Q6317" s="41" t="str"/>
      <c r="R6317" s="41" t="str"/>
      <c r="S6317" s="41" t="str"/>
      <c r="T6317" s="41" t="str"/>
      <c r="U6317" s="41" t="str"/>
      <c r="V6317" s="41" t="str"/>
      <c r="W6317" s="41" t="str"/>
    </row>
    <row r="6318">
      <c r="B6318" s="2" t="n"/>
      <c r="C6318" s="40" t="n"/>
      <c r="D6318" s="52">
        <f t="array" ref="D6318:W6318">IF(All_Students_Scores!C6316:V6316="","",All_Students_Scores!C6316:V6316)</f>
        <v/>
      </c>
      <c r="E6318" s="57" t="str"/>
      <c r="F6318" s="49" t="str"/>
      <c r="G6318" s="59" t="str"/>
      <c r="H6318" s="64" t="str"/>
      <c r="I6318" s="65" t="str"/>
      <c r="J6318" s="49" t="str"/>
      <c r="K6318" s="41" t="str"/>
      <c r="L6318" s="41" t="str"/>
      <c r="M6318" s="41" t="str"/>
      <c r="N6318" s="41" t="str"/>
      <c r="O6318" s="41" t="str"/>
      <c r="P6318" s="41" t="str"/>
      <c r="Q6318" s="41" t="str"/>
      <c r="R6318" s="41" t="str"/>
      <c r="S6318" s="41" t="str"/>
      <c r="T6318" s="41" t="str"/>
      <c r="U6318" s="41" t="str"/>
      <c r="V6318" s="41" t="str"/>
      <c r="W6318" s="41" t="str"/>
    </row>
    <row r="6319">
      <c r="B6319" s="2" t="n"/>
      <c r="C6319" s="40" t="n"/>
      <c r="D6319" s="52">
        <f t="array" ref="D6319:W6319">IF(All_Students_Scores!C6317:V6317="","",All_Students_Scores!C6317:V6317)</f>
        <v/>
      </c>
      <c r="E6319" s="57" t="str"/>
      <c r="F6319" s="49" t="str"/>
      <c r="G6319" s="59" t="str"/>
      <c r="H6319" s="64" t="str"/>
      <c r="I6319" s="65" t="str"/>
      <c r="J6319" s="49" t="str"/>
      <c r="K6319" s="41" t="str"/>
      <c r="L6319" s="41" t="str"/>
      <c r="M6319" s="41" t="str"/>
      <c r="N6319" s="41" t="str"/>
      <c r="O6319" s="41" t="str"/>
      <c r="P6319" s="41" t="str"/>
      <c r="Q6319" s="41" t="str"/>
      <c r="R6319" s="41" t="str"/>
      <c r="S6319" s="41" t="str"/>
      <c r="T6319" s="41" t="str"/>
      <c r="U6319" s="41" t="str"/>
      <c r="V6319" s="41" t="str"/>
      <c r="W6319" s="41" t="str"/>
    </row>
    <row r="6320">
      <c r="B6320" s="2" t="n"/>
      <c r="C6320" s="40" t="n"/>
      <c r="D6320" s="52">
        <f t="array" ref="D6320:W6320">IF(All_Students_Scores!C6318:V6318="","",All_Students_Scores!C6318:V6318)</f>
        <v/>
      </c>
      <c r="E6320" s="57" t="str"/>
      <c r="F6320" s="49" t="str"/>
      <c r="G6320" s="59" t="str"/>
      <c r="H6320" s="64" t="str"/>
      <c r="I6320" s="65" t="str"/>
      <c r="J6320" s="49" t="str"/>
      <c r="K6320" s="41" t="str"/>
      <c r="L6320" s="41" t="str"/>
      <c r="M6320" s="41" t="str"/>
      <c r="N6320" s="41" t="str"/>
      <c r="O6320" s="41" t="str"/>
      <c r="P6320" s="41" t="str"/>
      <c r="Q6320" s="41" t="str"/>
      <c r="R6320" s="41" t="str"/>
      <c r="S6320" s="41" t="str"/>
      <c r="T6320" s="41" t="str"/>
      <c r="U6320" s="41" t="str"/>
      <c r="V6320" s="41" t="str"/>
      <c r="W6320" s="41" t="str"/>
    </row>
    <row r="6321">
      <c r="B6321" s="2" t="n"/>
      <c r="C6321" s="40" t="n"/>
      <c r="D6321" s="52">
        <f t="array" ref="D6321:W6321">IF(All_Students_Scores!C6319:V6319="","",All_Students_Scores!C6319:V6319)</f>
        <v/>
      </c>
      <c r="E6321" s="57" t="str"/>
      <c r="F6321" s="49" t="str"/>
      <c r="G6321" s="59" t="str"/>
      <c r="H6321" s="64" t="str"/>
      <c r="I6321" s="65" t="str"/>
      <c r="J6321" s="49" t="str"/>
      <c r="K6321" s="41" t="str"/>
      <c r="L6321" s="41" t="str"/>
      <c r="M6321" s="41" t="str"/>
      <c r="N6321" s="41" t="str"/>
      <c r="O6321" s="41" t="str"/>
      <c r="P6321" s="41" t="str"/>
      <c r="Q6321" s="41" t="str"/>
      <c r="R6321" s="41" t="str"/>
      <c r="S6321" s="41" t="str"/>
      <c r="T6321" s="41" t="str"/>
      <c r="U6321" s="41" t="str"/>
      <c r="V6321" s="41" t="str"/>
      <c r="W6321" s="41" t="str"/>
    </row>
    <row r="6322">
      <c r="B6322" s="2" t="n"/>
      <c r="C6322" s="40" t="n"/>
      <c r="D6322" s="52">
        <f t="array" ref="D6322:W6322">IF(All_Students_Scores!C6320:V6320="","",All_Students_Scores!C6320:V6320)</f>
        <v/>
      </c>
      <c r="E6322" s="57" t="str"/>
      <c r="F6322" s="49" t="str"/>
      <c r="G6322" s="59" t="str"/>
      <c r="H6322" s="64" t="str"/>
      <c r="I6322" s="65" t="str"/>
      <c r="J6322" s="49" t="str"/>
      <c r="K6322" s="41" t="str"/>
      <c r="L6322" s="41" t="str"/>
      <c r="M6322" s="41" t="str"/>
      <c r="N6322" s="41" t="str"/>
      <c r="O6322" s="41" t="str"/>
      <c r="P6322" s="41" t="str"/>
      <c r="Q6322" s="41" t="str"/>
      <c r="R6322" s="41" t="str"/>
      <c r="S6322" s="41" t="str"/>
      <c r="T6322" s="41" t="str"/>
      <c r="U6322" s="41" t="str"/>
      <c r="V6322" s="41" t="str"/>
      <c r="W6322" s="41" t="str"/>
    </row>
    <row r="6323">
      <c r="B6323" s="2" t="n"/>
      <c r="C6323" s="40" t="n"/>
      <c r="D6323" s="52">
        <f t="array" ref="D6323:W6323">IF(All_Students_Scores!C6321:V6321="","",All_Students_Scores!C6321:V6321)</f>
        <v/>
      </c>
      <c r="E6323" s="57" t="str"/>
      <c r="F6323" s="49" t="str"/>
      <c r="G6323" s="59" t="str"/>
      <c r="H6323" s="64" t="str"/>
      <c r="I6323" s="65" t="str"/>
      <c r="J6323" s="49" t="str"/>
      <c r="K6323" s="41" t="str"/>
      <c r="L6323" s="41" t="str"/>
      <c r="M6323" s="41" t="str"/>
      <c r="N6323" s="41" t="str"/>
      <c r="O6323" s="41" t="str"/>
      <c r="P6323" s="41" t="str"/>
      <c r="Q6323" s="41" t="str"/>
      <c r="R6323" s="41" t="str"/>
      <c r="S6323" s="41" t="str"/>
      <c r="T6323" s="41" t="str"/>
      <c r="U6323" s="41" t="str"/>
      <c r="V6323" s="41" t="str"/>
      <c r="W6323" s="41" t="str"/>
    </row>
    <row r="6324">
      <c r="B6324" s="2" t="n"/>
      <c r="C6324" s="40" t="n"/>
      <c r="D6324" s="52">
        <f t="array" ref="D6324:W6324">IF(All_Students_Scores!C6322:V6322="","",All_Students_Scores!C6322:V6322)</f>
        <v/>
      </c>
      <c r="E6324" s="57" t="str"/>
      <c r="F6324" s="49" t="str"/>
      <c r="G6324" s="59" t="str"/>
      <c r="H6324" s="64" t="str"/>
      <c r="I6324" s="65" t="str"/>
      <c r="J6324" s="49" t="str"/>
      <c r="K6324" s="41" t="str"/>
      <c r="L6324" s="41" t="str"/>
      <c r="M6324" s="41" t="str"/>
      <c r="N6324" s="41" t="str"/>
      <c r="O6324" s="41" t="str"/>
      <c r="P6324" s="41" t="str"/>
      <c r="Q6324" s="41" t="str"/>
      <c r="R6324" s="41" t="str"/>
      <c r="S6324" s="41" t="str"/>
      <c r="T6324" s="41" t="str"/>
      <c r="U6324" s="41" t="str"/>
      <c r="V6324" s="41" t="str"/>
      <c r="W6324" s="41" t="str"/>
    </row>
    <row r="6325">
      <c r="B6325" s="2" t="n"/>
      <c r="C6325" s="40" t="n"/>
      <c r="D6325" s="52">
        <f t="array" ref="D6325:W6325">IF(All_Students_Scores!C6323:V6323="","",All_Students_Scores!C6323:V6323)</f>
        <v/>
      </c>
      <c r="E6325" s="57" t="str"/>
      <c r="F6325" s="49" t="str"/>
      <c r="G6325" s="59" t="str"/>
      <c r="H6325" s="64" t="str"/>
      <c r="I6325" s="65" t="str"/>
      <c r="J6325" s="49" t="str"/>
      <c r="K6325" s="41" t="str"/>
      <c r="L6325" s="41" t="str"/>
      <c r="M6325" s="41" t="str"/>
      <c r="N6325" s="41" t="str"/>
      <c r="O6325" s="41" t="str"/>
      <c r="P6325" s="41" t="str"/>
      <c r="Q6325" s="41" t="str"/>
      <c r="R6325" s="41" t="str"/>
      <c r="S6325" s="41" t="str"/>
      <c r="T6325" s="41" t="str"/>
      <c r="U6325" s="41" t="str"/>
      <c r="V6325" s="41" t="str"/>
      <c r="W6325" s="41" t="str"/>
    </row>
    <row r="6326">
      <c r="B6326" s="2" t="n"/>
      <c r="C6326" s="40" t="n"/>
      <c r="D6326" s="52">
        <f t="array" ref="D6326:W6326">IF(All_Students_Scores!C6324:V6324="","",All_Students_Scores!C6324:V6324)</f>
        <v/>
      </c>
      <c r="E6326" s="57" t="str"/>
      <c r="F6326" s="49" t="str"/>
      <c r="G6326" s="59" t="str"/>
      <c r="H6326" s="64" t="str"/>
      <c r="I6326" s="65" t="str"/>
      <c r="J6326" s="49" t="str"/>
      <c r="K6326" s="41" t="str"/>
      <c r="L6326" s="41" t="str"/>
      <c r="M6326" s="41" t="str"/>
      <c r="N6326" s="41" t="str"/>
      <c r="O6326" s="41" t="str"/>
      <c r="P6326" s="41" t="str"/>
      <c r="Q6326" s="41" t="str"/>
      <c r="R6326" s="41" t="str"/>
      <c r="S6326" s="41" t="str"/>
      <c r="T6326" s="41" t="str"/>
      <c r="U6326" s="41" t="str"/>
      <c r="V6326" s="41" t="str"/>
      <c r="W6326" s="41" t="str"/>
    </row>
    <row r="6327">
      <c r="B6327" s="2" t="n"/>
      <c r="C6327" s="40" t="n"/>
      <c r="D6327" s="52">
        <f t="array" ref="D6327:W6327">IF(All_Students_Scores!C6325:V6325="","",All_Students_Scores!C6325:V6325)</f>
        <v/>
      </c>
      <c r="E6327" s="57" t="str"/>
      <c r="F6327" s="49" t="str"/>
      <c r="G6327" s="59" t="str"/>
      <c r="H6327" s="64" t="str"/>
      <c r="I6327" s="65" t="str"/>
      <c r="J6327" s="49" t="str"/>
      <c r="K6327" s="41" t="str"/>
      <c r="L6327" s="41" t="str"/>
      <c r="M6327" s="41" t="str"/>
      <c r="N6327" s="41" t="str"/>
      <c r="O6327" s="41" t="str"/>
      <c r="P6327" s="41" t="str"/>
      <c r="Q6327" s="41" t="str"/>
      <c r="R6327" s="41" t="str"/>
      <c r="S6327" s="41" t="str"/>
      <c r="T6327" s="41" t="str"/>
      <c r="U6327" s="41" t="str"/>
      <c r="V6327" s="41" t="str"/>
      <c r="W6327" s="41" t="str"/>
    </row>
    <row r="6328">
      <c r="B6328" s="2" t="n"/>
      <c r="C6328" s="40" t="n"/>
      <c r="D6328" s="52">
        <f t="array" ref="D6328:W6328">IF(All_Students_Scores!C6326:V6326="","",All_Students_Scores!C6326:V6326)</f>
        <v/>
      </c>
      <c r="E6328" s="57" t="str"/>
      <c r="F6328" s="49" t="str"/>
      <c r="G6328" s="59" t="str"/>
      <c r="H6328" s="64" t="str"/>
      <c r="I6328" s="65" t="str"/>
      <c r="J6328" s="49" t="str"/>
      <c r="K6328" s="41" t="str"/>
      <c r="L6328" s="41" t="str"/>
      <c r="M6328" s="41" t="str"/>
      <c r="N6328" s="41" t="str"/>
      <c r="O6328" s="41" t="str"/>
      <c r="P6328" s="41" t="str"/>
      <c r="Q6328" s="41" t="str"/>
      <c r="R6328" s="41" t="str"/>
      <c r="S6328" s="41" t="str"/>
      <c r="T6328" s="41" t="str"/>
      <c r="U6328" s="41" t="str"/>
      <c r="V6328" s="41" t="str"/>
      <c r="W6328" s="41" t="str"/>
    </row>
    <row r="6329">
      <c r="B6329" s="2" t="n"/>
      <c r="C6329" s="40" t="n"/>
      <c r="D6329" s="52">
        <f t="array" ref="D6329:W6329">IF(All_Students_Scores!C6327:V6327="","",All_Students_Scores!C6327:V6327)</f>
        <v/>
      </c>
      <c r="E6329" s="57" t="str"/>
      <c r="F6329" s="49" t="str"/>
      <c r="G6329" s="59" t="str"/>
      <c r="H6329" s="64" t="str"/>
      <c r="I6329" s="65" t="str"/>
      <c r="J6329" s="49" t="str"/>
      <c r="K6329" s="41" t="str"/>
      <c r="L6329" s="41" t="str"/>
      <c r="M6329" s="41" t="str"/>
      <c r="N6329" s="41" t="str"/>
      <c r="O6329" s="41" t="str"/>
      <c r="P6329" s="41" t="str"/>
      <c r="Q6329" s="41" t="str"/>
      <c r="R6329" s="41" t="str"/>
      <c r="S6329" s="41" t="str"/>
      <c r="T6329" s="41" t="str"/>
      <c r="U6329" s="41" t="str"/>
      <c r="V6329" s="41" t="str"/>
      <c r="W6329" s="41" t="str"/>
    </row>
    <row r="6330">
      <c r="B6330" s="2" t="n"/>
      <c r="C6330" s="40" t="n"/>
      <c r="D6330" s="52">
        <f t="array" ref="D6330:W6330">IF(All_Students_Scores!C6328:V6328="","",All_Students_Scores!C6328:V6328)</f>
        <v/>
      </c>
      <c r="E6330" s="57" t="str"/>
      <c r="F6330" s="49" t="str"/>
      <c r="G6330" s="59" t="str"/>
      <c r="H6330" s="64" t="str"/>
      <c r="I6330" s="65" t="str"/>
      <c r="J6330" s="49" t="str"/>
      <c r="K6330" s="41" t="str"/>
      <c r="L6330" s="41" t="str"/>
      <c r="M6330" s="41" t="str"/>
      <c r="N6330" s="41" t="str"/>
      <c r="O6330" s="41" t="str"/>
      <c r="P6330" s="41" t="str"/>
      <c r="Q6330" s="41" t="str"/>
      <c r="R6330" s="41" t="str"/>
      <c r="S6330" s="41" t="str"/>
      <c r="T6330" s="41" t="str"/>
      <c r="U6330" s="41" t="str"/>
      <c r="V6330" s="41" t="str"/>
      <c r="W6330" s="41" t="str"/>
    </row>
    <row r="6331">
      <c r="B6331" s="2" t="n"/>
      <c r="C6331" s="40" t="n"/>
      <c r="D6331" s="52">
        <f t="array" ref="D6331:W6331">IF(All_Students_Scores!C6329:V6329="","",All_Students_Scores!C6329:V6329)</f>
        <v/>
      </c>
      <c r="E6331" s="57" t="str"/>
      <c r="F6331" s="49" t="str"/>
      <c r="G6331" s="59" t="str"/>
      <c r="H6331" s="64" t="str"/>
      <c r="I6331" s="65" t="str"/>
      <c r="J6331" s="49" t="str"/>
      <c r="K6331" s="41" t="str"/>
      <c r="L6331" s="41" t="str"/>
      <c r="M6331" s="41" t="str"/>
      <c r="N6331" s="41" t="str"/>
      <c r="O6331" s="41" t="str"/>
      <c r="P6331" s="41" t="str"/>
      <c r="Q6331" s="41" t="str"/>
      <c r="R6331" s="41" t="str"/>
      <c r="S6331" s="41" t="str"/>
      <c r="T6331" s="41" t="str"/>
      <c r="U6331" s="41" t="str"/>
      <c r="V6331" s="41" t="str"/>
      <c r="W6331" s="41" t="str"/>
    </row>
    <row r="6332">
      <c r="B6332" s="2" t="n"/>
      <c r="C6332" s="40" t="n"/>
      <c r="D6332" s="52">
        <f t="array" ref="D6332:W6332">IF(All_Students_Scores!C6330:V6330="","",All_Students_Scores!C6330:V6330)</f>
        <v/>
      </c>
      <c r="E6332" s="57" t="str"/>
      <c r="F6332" s="49" t="str"/>
      <c r="G6332" s="59" t="str"/>
      <c r="H6332" s="64" t="str"/>
      <c r="I6332" s="65" t="str"/>
      <c r="J6332" s="49" t="str"/>
      <c r="K6332" s="41" t="str"/>
      <c r="L6332" s="41" t="str"/>
      <c r="M6332" s="41" t="str"/>
      <c r="N6332" s="41" t="str"/>
      <c r="O6332" s="41" t="str"/>
      <c r="P6332" s="41" t="str"/>
      <c r="Q6332" s="41" t="str"/>
      <c r="R6332" s="41" t="str"/>
      <c r="S6332" s="41" t="str"/>
      <c r="T6332" s="41" t="str"/>
      <c r="U6332" s="41" t="str"/>
      <c r="V6332" s="41" t="str"/>
      <c r="W6332" s="41" t="str"/>
    </row>
    <row r="6333">
      <c r="B6333" s="2" t="n"/>
      <c r="C6333" s="40" t="n"/>
      <c r="D6333" s="52">
        <f t="array" ref="D6333:W6333">IF(All_Students_Scores!C6331:V6331="","",All_Students_Scores!C6331:V6331)</f>
        <v/>
      </c>
      <c r="E6333" s="57" t="str"/>
      <c r="F6333" s="49" t="str"/>
      <c r="G6333" s="59" t="str"/>
      <c r="H6333" s="64" t="str"/>
      <c r="I6333" s="65" t="str"/>
      <c r="J6333" s="49" t="str"/>
      <c r="K6333" s="41" t="str"/>
      <c r="L6333" s="41" t="str"/>
      <c r="M6333" s="41" t="str"/>
      <c r="N6333" s="41" t="str"/>
      <c r="O6333" s="41" t="str"/>
      <c r="P6333" s="41" t="str"/>
      <c r="Q6333" s="41" t="str"/>
      <c r="R6333" s="41" t="str"/>
      <c r="S6333" s="41" t="str"/>
      <c r="T6333" s="41" t="str"/>
      <c r="U6333" s="41" t="str"/>
      <c r="V6333" s="41" t="str"/>
      <c r="W6333" s="41" t="str"/>
    </row>
    <row r="6334">
      <c r="B6334" s="2" t="n"/>
      <c r="C6334" s="40" t="n"/>
      <c r="D6334" s="52">
        <f t="array" ref="D6334:W6334">IF(All_Students_Scores!C6332:V6332="","",All_Students_Scores!C6332:V6332)</f>
        <v/>
      </c>
      <c r="E6334" s="57" t="str"/>
      <c r="F6334" s="49" t="str"/>
      <c r="G6334" s="59" t="str"/>
      <c r="H6334" s="64" t="str"/>
      <c r="I6334" s="65" t="str"/>
      <c r="J6334" s="49" t="str"/>
      <c r="K6334" s="41" t="str"/>
      <c r="L6334" s="41" t="str"/>
      <c r="M6334" s="41" t="str"/>
      <c r="N6334" s="41" t="str"/>
      <c r="O6334" s="41" t="str"/>
      <c r="P6334" s="41" t="str"/>
      <c r="Q6334" s="41" t="str"/>
      <c r="R6334" s="41" t="str"/>
      <c r="S6334" s="41" t="str"/>
      <c r="T6334" s="41" t="str"/>
      <c r="U6334" s="41" t="str"/>
      <c r="V6334" s="41" t="str"/>
      <c r="W6334" s="41" t="str"/>
    </row>
    <row r="6335">
      <c r="B6335" s="2" t="n"/>
      <c r="C6335" s="40" t="n"/>
      <c r="D6335" s="52">
        <f t="array" ref="D6335:W6335">IF(All_Students_Scores!C6333:V6333="","",All_Students_Scores!C6333:V6333)</f>
        <v/>
      </c>
      <c r="E6335" s="57" t="str"/>
      <c r="F6335" s="49" t="str"/>
      <c r="G6335" s="59" t="str"/>
      <c r="H6335" s="64" t="str"/>
      <c r="I6335" s="65" t="str"/>
      <c r="J6335" s="49" t="str"/>
      <c r="K6335" s="41" t="str"/>
      <c r="L6335" s="41" t="str"/>
      <c r="M6335" s="41" t="str"/>
      <c r="N6335" s="41" t="str"/>
      <c r="O6335" s="41" t="str"/>
      <c r="P6335" s="41" t="str"/>
      <c r="Q6335" s="41" t="str"/>
      <c r="R6335" s="41" t="str"/>
      <c r="S6335" s="41" t="str"/>
      <c r="T6335" s="41" t="str"/>
      <c r="U6335" s="41" t="str"/>
      <c r="V6335" s="41" t="str"/>
      <c r="W6335" s="41" t="str"/>
    </row>
    <row r="6336">
      <c r="B6336" s="2" t="n"/>
      <c r="C6336" s="40" t="n"/>
      <c r="D6336" s="52">
        <f t="array" ref="D6336:W6336">IF(All_Students_Scores!C6334:V6334="","",All_Students_Scores!C6334:V6334)</f>
        <v/>
      </c>
      <c r="E6336" s="57" t="str"/>
      <c r="F6336" s="49" t="str"/>
      <c r="G6336" s="59" t="str"/>
      <c r="H6336" s="64" t="str"/>
      <c r="I6336" s="65" t="str"/>
      <c r="J6336" s="49" t="str"/>
      <c r="K6336" s="41" t="str"/>
      <c r="L6336" s="41" t="str"/>
      <c r="M6336" s="41" t="str"/>
      <c r="N6336" s="41" t="str"/>
      <c r="O6336" s="41" t="str"/>
      <c r="P6336" s="41" t="str"/>
      <c r="Q6336" s="41" t="str"/>
      <c r="R6336" s="41" t="str"/>
      <c r="S6336" s="41" t="str"/>
      <c r="T6336" s="41" t="str"/>
      <c r="U6336" s="41" t="str"/>
      <c r="V6336" s="41" t="str"/>
      <c r="W6336" s="41" t="str"/>
    </row>
    <row r="6337">
      <c r="B6337" s="2" t="n"/>
      <c r="C6337" s="40" t="n"/>
      <c r="D6337" s="52">
        <f t="array" ref="D6337:W6337">IF(All_Students_Scores!C6335:V6335="","",All_Students_Scores!C6335:V6335)</f>
        <v/>
      </c>
      <c r="E6337" s="57" t="str"/>
      <c r="F6337" s="49" t="str"/>
      <c r="G6337" s="59" t="str"/>
      <c r="H6337" s="64" t="str"/>
      <c r="I6337" s="65" t="str"/>
      <c r="J6337" s="49" t="str"/>
      <c r="K6337" s="41" t="str"/>
      <c r="L6337" s="41" t="str"/>
      <c r="M6337" s="41" t="str"/>
      <c r="N6337" s="41" t="str"/>
      <c r="O6337" s="41" t="str"/>
      <c r="P6337" s="41" t="str"/>
      <c r="Q6337" s="41" t="str"/>
      <c r="R6337" s="41" t="str"/>
      <c r="S6337" s="41" t="str"/>
      <c r="T6337" s="41" t="str"/>
      <c r="U6337" s="41" t="str"/>
      <c r="V6337" s="41" t="str"/>
      <c r="W6337" s="41" t="str"/>
    </row>
    <row r="6338">
      <c r="B6338" s="2" t="n"/>
      <c r="C6338" s="40" t="n"/>
      <c r="D6338" s="52">
        <f t="array" ref="D6338:W6338">IF(All_Students_Scores!C6336:V6336="","",All_Students_Scores!C6336:V6336)</f>
        <v/>
      </c>
      <c r="E6338" s="57" t="str"/>
      <c r="F6338" s="49" t="str"/>
      <c r="G6338" s="59" t="str"/>
      <c r="H6338" s="64" t="str"/>
      <c r="I6338" s="65" t="str"/>
      <c r="J6338" s="49" t="str"/>
      <c r="K6338" s="41" t="str"/>
      <c r="L6338" s="41" t="str"/>
      <c r="M6338" s="41" t="str"/>
      <c r="N6338" s="41" t="str"/>
      <c r="O6338" s="41" t="str"/>
      <c r="P6338" s="41" t="str"/>
      <c r="Q6338" s="41" t="str"/>
      <c r="R6338" s="41" t="str"/>
      <c r="S6338" s="41" t="str"/>
      <c r="T6338" s="41" t="str"/>
      <c r="U6338" s="41" t="str"/>
      <c r="V6338" s="41" t="str"/>
      <c r="W6338" s="41" t="str"/>
    </row>
    <row r="6339">
      <c r="B6339" s="2" t="n"/>
      <c r="C6339" s="40" t="n"/>
      <c r="D6339" s="52">
        <f t="array" ref="D6339:W6339">IF(All_Students_Scores!C6337:V6337="","",All_Students_Scores!C6337:V6337)</f>
        <v/>
      </c>
      <c r="E6339" s="57" t="str"/>
      <c r="F6339" s="49" t="str"/>
      <c r="G6339" s="59" t="str"/>
      <c r="H6339" s="64" t="str"/>
      <c r="I6339" s="65" t="str"/>
      <c r="J6339" s="49" t="str"/>
      <c r="K6339" s="41" t="str"/>
      <c r="L6339" s="41" t="str"/>
      <c r="M6339" s="41" t="str"/>
      <c r="N6339" s="41" t="str"/>
      <c r="O6339" s="41" t="str"/>
      <c r="P6339" s="41" t="str"/>
      <c r="Q6339" s="41" t="str"/>
      <c r="R6339" s="41" t="str"/>
      <c r="S6339" s="41" t="str"/>
      <c r="T6339" s="41" t="str"/>
      <c r="U6339" s="41" t="str"/>
      <c r="V6339" s="41" t="str"/>
      <c r="W6339" s="41" t="str"/>
    </row>
    <row r="6340">
      <c r="B6340" s="2" t="n"/>
      <c r="C6340" s="40" t="n"/>
      <c r="D6340" s="52">
        <f t="array" ref="D6340:W6340">IF(All_Students_Scores!C6338:V6338="","",All_Students_Scores!C6338:V6338)</f>
        <v/>
      </c>
      <c r="E6340" s="57" t="str"/>
      <c r="F6340" s="49" t="str"/>
      <c r="G6340" s="59" t="str"/>
      <c r="H6340" s="64" t="str"/>
      <c r="I6340" s="65" t="str"/>
      <c r="J6340" s="49" t="str"/>
      <c r="K6340" s="41" t="str"/>
      <c r="L6340" s="41" t="str"/>
      <c r="M6340" s="41" t="str"/>
      <c r="N6340" s="41" t="str"/>
      <c r="O6340" s="41" t="str"/>
      <c r="P6340" s="41" t="str"/>
      <c r="Q6340" s="41" t="str"/>
      <c r="R6340" s="41" t="str"/>
      <c r="S6340" s="41" t="str"/>
      <c r="T6340" s="41" t="str"/>
      <c r="U6340" s="41" t="str"/>
      <c r="V6340" s="41" t="str"/>
      <c r="W6340" s="41" t="str"/>
    </row>
    <row r="6341">
      <c r="B6341" s="2" t="n"/>
      <c r="C6341" s="40" t="n"/>
      <c r="D6341" s="52">
        <f t="array" ref="D6341:W6341">IF(All_Students_Scores!C6339:V6339="","",All_Students_Scores!C6339:V6339)</f>
        <v/>
      </c>
      <c r="E6341" s="57" t="str"/>
      <c r="F6341" s="49" t="str"/>
      <c r="G6341" s="59" t="str"/>
      <c r="H6341" s="64" t="str"/>
      <c r="I6341" s="65" t="str"/>
      <c r="J6341" s="49" t="str"/>
      <c r="K6341" s="41" t="str"/>
      <c r="L6341" s="41" t="str"/>
      <c r="M6341" s="41" t="str"/>
      <c r="N6341" s="41" t="str"/>
      <c r="O6341" s="41" t="str"/>
      <c r="P6341" s="41" t="str"/>
      <c r="Q6341" s="41" t="str"/>
      <c r="R6341" s="41" t="str"/>
      <c r="S6341" s="41" t="str"/>
      <c r="T6341" s="41" t="str"/>
      <c r="U6341" s="41" t="str"/>
      <c r="V6341" s="41" t="str"/>
      <c r="W6341" s="41" t="str"/>
    </row>
    <row r="6342">
      <c r="B6342" s="2" t="n"/>
      <c r="C6342" s="40" t="n"/>
      <c r="D6342" s="52">
        <f t="array" ref="D6342:W6342">IF(All_Students_Scores!C6340:V6340="","",All_Students_Scores!C6340:V6340)</f>
        <v/>
      </c>
      <c r="E6342" s="57" t="str"/>
      <c r="F6342" s="49" t="str"/>
      <c r="G6342" s="59" t="str"/>
      <c r="H6342" s="64" t="str"/>
      <c r="I6342" s="65" t="str"/>
      <c r="J6342" s="49" t="str"/>
      <c r="K6342" s="41" t="str"/>
      <c r="L6342" s="41" t="str"/>
      <c r="M6342" s="41" t="str"/>
      <c r="N6342" s="41" t="str"/>
      <c r="O6342" s="41" t="str"/>
      <c r="P6342" s="41" t="str"/>
      <c r="Q6342" s="41" t="str"/>
      <c r="R6342" s="41" t="str"/>
      <c r="S6342" s="41" t="str"/>
      <c r="T6342" s="41" t="str"/>
      <c r="U6342" s="41" t="str"/>
      <c r="V6342" s="41" t="str"/>
      <c r="W6342" s="41" t="str"/>
    </row>
    <row r="6343">
      <c r="B6343" s="2" t="n"/>
      <c r="C6343" s="40" t="n"/>
      <c r="D6343" s="52">
        <f t="array" ref="D6343:W6343">IF(All_Students_Scores!C6341:V6341="","",All_Students_Scores!C6341:V6341)</f>
        <v/>
      </c>
      <c r="E6343" s="57" t="str"/>
      <c r="F6343" s="49" t="str"/>
      <c r="G6343" s="59" t="str"/>
      <c r="H6343" s="64" t="str"/>
      <c r="I6343" s="65" t="str"/>
      <c r="J6343" s="49" t="str"/>
      <c r="K6343" s="41" t="str"/>
      <c r="L6343" s="41" t="str"/>
      <c r="M6343" s="41" t="str"/>
      <c r="N6343" s="41" t="str"/>
      <c r="O6343" s="41" t="str"/>
      <c r="P6343" s="41" t="str"/>
      <c r="Q6343" s="41" t="str"/>
      <c r="R6343" s="41" t="str"/>
      <c r="S6343" s="41" t="str"/>
      <c r="T6343" s="41" t="str"/>
      <c r="U6343" s="41" t="str"/>
      <c r="V6343" s="41" t="str"/>
      <c r="W6343" s="41" t="str"/>
    </row>
    <row r="6344">
      <c r="B6344" s="2" t="n"/>
      <c r="C6344" s="40" t="n"/>
      <c r="D6344" s="52">
        <f t="array" ref="D6344:W6344">IF(All_Students_Scores!C6342:V6342="","",All_Students_Scores!C6342:V6342)</f>
        <v/>
      </c>
      <c r="E6344" s="57" t="str"/>
      <c r="F6344" s="49" t="str"/>
      <c r="G6344" s="59" t="str"/>
      <c r="H6344" s="64" t="str"/>
      <c r="I6344" s="65" t="str"/>
      <c r="J6344" s="49" t="str"/>
      <c r="K6344" s="41" t="str"/>
      <c r="L6344" s="41" t="str"/>
      <c r="M6344" s="41" t="str"/>
      <c r="N6344" s="41" t="str"/>
      <c r="O6344" s="41" t="str"/>
      <c r="P6344" s="41" t="str"/>
      <c r="Q6344" s="41" t="str"/>
      <c r="R6344" s="41" t="str"/>
      <c r="S6344" s="41" t="str"/>
      <c r="T6344" s="41" t="str"/>
      <c r="U6344" s="41" t="str"/>
      <c r="V6344" s="41" t="str"/>
      <c r="W6344" s="41" t="str"/>
    </row>
    <row r="6345">
      <c r="B6345" s="2" t="n"/>
      <c r="C6345" s="40" t="n"/>
      <c r="D6345" s="52">
        <f t="array" ref="D6345:W6345">IF(All_Students_Scores!C6343:V6343="","",All_Students_Scores!C6343:V6343)</f>
        <v/>
      </c>
      <c r="E6345" s="57" t="str"/>
      <c r="F6345" s="49" t="str"/>
      <c r="G6345" s="59" t="str"/>
      <c r="H6345" s="64" t="str"/>
      <c r="I6345" s="65" t="str"/>
      <c r="J6345" s="49" t="str"/>
      <c r="K6345" s="41" t="str"/>
      <c r="L6345" s="41" t="str"/>
      <c r="M6345" s="41" t="str"/>
      <c r="N6345" s="41" t="str"/>
      <c r="O6345" s="41" t="str"/>
      <c r="P6345" s="41" t="str"/>
      <c r="Q6345" s="41" t="str"/>
      <c r="R6345" s="41" t="str"/>
      <c r="S6345" s="41" t="str"/>
      <c r="T6345" s="41" t="str"/>
      <c r="U6345" s="41" t="str"/>
      <c r="V6345" s="41" t="str"/>
      <c r="W6345" s="41" t="str"/>
    </row>
    <row r="6346">
      <c r="B6346" s="2" t="n"/>
      <c r="C6346" s="40" t="n"/>
      <c r="D6346" s="52">
        <f t="array" ref="D6346:W6346">IF(All_Students_Scores!C6344:V6344="","",All_Students_Scores!C6344:V6344)</f>
        <v/>
      </c>
      <c r="E6346" s="57" t="str"/>
      <c r="F6346" s="49" t="str"/>
      <c r="G6346" s="59" t="str"/>
      <c r="H6346" s="64" t="str"/>
      <c r="I6346" s="65" t="str"/>
      <c r="J6346" s="49" t="str"/>
      <c r="K6346" s="41" t="str"/>
      <c r="L6346" s="41" t="str"/>
      <c r="M6346" s="41" t="str"/>
      <c r="N6346" s="41" t="str"/>
      <c r="O6346" s="41" t="str"/>
      <c r="P6346" s="41" t="str"/>
      <c r="Q6346" s="41" t="str"/>
      <c r="R6346" s="41" t="str"/>
      <c r="S6346" s="41" t="str"/>
      <c r="T6346" s="41" t="str"/>
      <c r="U6346" s="41" t="str"/>
      <c r="V6346" s="41" t="str"/>
      <c r="W6346" s="41" t="str"/>
    </row>
    <row r="6347">
      <c r="B6347" s="2" t="n"/>
      <c r="C6347" s="40" t="n"/>
      <c r="D6347" s="52">
        <f t="array" ref="D6347:W6347">IF(All_Students_Scores!C6345:V6345="","",All_Students_Scores!C6345:V6345)</f>
        <v/>
      </c>
      <c r="E6347" s="57" t="str"/>
      <c r="F6347" s="49" t="str"/>
      <c r="G6347" s="59" t="str"/>
      <c r="H6347" s="64" t="str"/>
      <c r="I6347" s="65" t="str"/>
      <c r="J6347" s="49" t="str"/>
      <c r="K6347" s="41" t="str"/>
      <c r="L6347" s="41" t="str"/>
      <c r="M6347" s="41" t="str"/>
      <c r="N6347" s="41" t="str"/>
      <c r="O6347" s="41" t="str"/>
      <c r="P6347" s="41" t="str"/>
      <c r="Q6347" s="41" t="str"/>
      <c r="R6347" s="41" t="str"/>
      <c r="S6347" s="41" t="str"/>
      <c r="T6347" s="41" t="str"/>
      <c r="U6347" s="41" t="str"/>
      <c r="V6347" s="41" t="str"/>
      <c r="W6347" s="41" t="str"/>
    </row>
    <row r="6348">
      <c r="B6348" s="2" t="n"/>
      <c r="C6348" s="40" t="n"/>
      <c r="D6348" s="52">
        <f t="array" ref="D6348:W6348">IF(All_Students_Scores!C6346:V6346="","",All_Students_Scores!C6346:V6346)</f>
        <v/>
      </c>
      <c r="E6348" s="57" t="str"/>
      <c r="F6348" s="49" t="str"/>
      <c r="G6348" s="59" t="str"/>
      <c r="H6348" s="64" t="str"/>
      <c r="I6348" s="65" t="str"/>
      <c r="J6348" s="49" t="str"/>
      <c r="K6348" s="41" t="str"/>
      <c r="L6348" s="41" t="str"/>
      <c r="M6348" s="41" t="str"/>
      <c r="N6348" s="41" t="str"/>
      <c r="O6348" s="41" t="str"/>
      <c r="P6348" s="41" t="str"/>
      <c r="Q6348" s="41" t="str"/>
      <c r="R6348" s="41" t="str"/>
      <c r="S6348" s="41" t="str"/>
      <c r="T6348" s="41" t="str"/>
      <c r="U6348" s="41" t="str"/>
      <c r="V6348" s="41" t="str"/>
      <c r="W6348" s="41" t="str"/>
    </row>
    <row r="6349">
      <c r="B6349" s="2" t="n"/>
      <c r="C6349" s="40" t="n"/>
      <c r="D6349" s="52">
        <f t="array" ref="D6349:W6349">IF(All_Students_Scores!C6347:V6347="","",All_Students_Scores!C6347:V6347)</f>
        <v/>
      </c>
      <c r="E6349" s="57" t="str"/>
      <c r="F6349" s="49" t="str"/>
      <c r="G6349" s="59" t="str"/>
      <c r="H6349" s="64" t="str"/>
      <c r="I6349" s="65" t="str"/>
      <c r="J6349" s="49" t="str"/>
      <c r="K6349" s="41" t="str"/>
      <c r="L6349" s="41" t="str"/>
      <c r="M6349" s="41" t="str"/>
      <c r="N6349" s="41" t="str"/>
      <c r="O6349" s="41" t="str"/>
      <c r="P6349" s="41" t="str"/>
      <c r="Q6349" s="41" t="str"/>
      <c r="R6349" s="41" t="str"/>
      <c r="S6349" s="41" t="str"/>
      <c r="T6349" s="41" t="str"/>
      <c r="U6349" s="41" t="str"/>
      <c r="V6349" s="41" t="str"/>
      <c r="W6349" s="41" t="str"/>
    </row>
    <row r="6350">
      <c r="B6350" s="2" t="n"/>
      <c r="C6350" s="40" t="n"/>
      <c r="D6350" s="52">
        <f t="array" ref="D6350:W6350">IF(All_Students_Scores!C6348:V6348="","",All_Students_Scores!C6348:V6348)</f>
        <v/>
      </c>
      <c r="E6350" s="57" t="str"/>
      <c r="F6350" s="49" t="str"/>
      <c r="G6350" s="59" t="str"/>
      <c r="H6350" s="64" t="str"/>
      <c r="I6350" s="65" t="str"/>
      <c r="J6350" s="49" t="str"/>
      <c r="K6350" s="41" t="str"/>
      <c r="L6350" s="41" t="str"/>
      <c r="M6350" s="41" t="str"/>
      <c r="N6350" s="41" t="str"/>
      <c r="O6350" s="41" t="str"/>
      <c r="P6350" s="41" t="str"/>
      <c r="Q6350" s="41" t="str"/>
      <c r="R6350" s="41" t="str"/>
      <c r="S6350" s="41" t="str"/>
      <c r="T6350" s="41" t="str"/>
      <c r="U6350" s="41" t="str"/>
      <c r="V6350" s="41" t="str"/>
      <c r="W6350" s="41" t="str"/>
    </row>
    <row r="6351">
      <c r="B6351" s="2" t="n"/>
      <c r="C6351" s="40" t="n"/>
      <c r="D6351" s="52">
        <f t="array" ref="D6351:W6351">IF(All_Students_Scores!C6349:V6349="","",All_Students_Scores!C6349:V6349)</f>
        <v/>
      </c>
      <c r="E6351" s="57" t="str"/>
      <c r="F6351" s="49" t="str"/>
      <c r="G6351" s="59" t="str"/>
      <c r="H6351" s="64" t="str"/>
      <c r="I6351" s="65" t="str"/>
      <c r="J6351" s="49" t="str"/>
      <c r="K6351" s="41" t="str"/>
      <c r="L6351" s="41" t="str"/>
      <c r="M6351" s="41" t="str"/>
      <c r="N6351" s="41" t="str"/>
      <c r="O6351" s="41" t="str"/>
      <c r="P6351" s="41" t="str"/>
      <c r="Q6351" s="41" t="str"/>
      <c r="R6351" s="41" t="str"/>
      <c r="S6351" s="41" t="str"/>
      <c r="T6351" s="41" t="str"/>
      <c r="U6351" s="41" t="str"/>
      <c r="V6351" s="41" t="str"/>
      <c r="W6351" s="41" t="str"/>
    </row>
    <row r="6352">
      <c r="B6352" s="2" t="n"/>
      <c r="C6352" s="40" t="n"/>
      <c r="D6352" s="52">
        <f t="array" ref="D6352:W6352">IF(All_Students_Scores!C6350:V6350="","",All_Students_Scores!C6350:V6350)</f>
        <v/>
      </c>
      <c r="E6352" s="57" t="str"/>
      <c r="F6352" s="49" t="str"/>
      <c r="G6352" s="59" t="str"/>
      <c r="H6352" s="64" t="str"/>
      <c r="I6352" s="65" t="str"/>
      <c r="J6352" s="49" t="str"/>
      <c r="K6352" s="41" t="str"/>
      <c r="L6352" s="41" t="str"/>
      <c r="M6352" s="41" t="str"/>
      <c r="N6352" s="41" t="str"/>
      <c r="O6352" s="41" t="str"/>
      <c r="P6352" s="41" t="str"/>
      <c r="Q6352" s="41" t="str"/>
      <c r="R6352" s="41" t="str"/>
      <c r="S6352" s="41" t="str"/>
      <c r="T6352" s="41" t="str"/>
      <c r="U6352" s="41" t="str"/>
      <c r="V6352" s="41" t="str"/>
      <c r="W6352" s="41" t="str"/>
    </row>
    <row r="6353">
      <c r="B6353" s="2" t="n"/>
      <c r="C6353" s="40" t="n"/>
      <c r="D6353" s="52">
        <f t="array" ref="D6353:W6353">IF(All_Students_Scores!C6351:V6351="","",All_Students_Scores!C6351:V6351)</f>
        <v/>
      </c>
      <c r="E6353" s="57" t="str"/>
      <c r="F6353" s="49" t="str"/>
      <c r="G6353" s="59" t="str"/>
      <c r="H6353" s="64" t="str"/>
      <c r="I6353" s="65" t="str"/>
      <c r="J6353" s="49" t="str"/>
      <c r="K6353" s="41" t="str"/>
      <c r="L6353" s="41" t="str"/>
      <c r="M6353" s="41" t="str"/>
      <c r="N6353" s="41" t="str"/>
      <c r="O6353" s="41" t="str"/>
      <c r="P6353" s="41" t="str"/>
      <c r="Q6353" s="41" t="str"/>
      <c r="R6353" s="41" t="str"/>
      <c r="S6353" s="41" t="str"/>
      <c r="T6353" s="41" t="str"/>
      <c r="U6353" s="41" t="str"/>
      <c r="V6353" s="41" t="str"/>
      <c r="W6353" s="41" t="str"/>
    </row>
    <row r="6354">
      <c r="B6354" s="2" t="n"/>
      <c r="C6354" s="40" t="n"/>
      <c r="D6354" s="52">
        <f t="array" ref="D6354:W6354">IF(All_Students_Scores!C6352:V6352="","",All_Students_Scores!C6352:V6352)</f>
        <v/>
      </c>
      <c r="E6354" s="57" t="str"/>
      <c r="F6354" s="49" t="str"/>
      <c r="G6354" s="59" t="str"/>
      <c r="H6354" s="64" t="str"/>
      <c r="I6354" s="65" t="str"/>
      <c r="J6354" s="49" t="str"/>
      <c r="K6354" s="41" t="str"/>
      <c r="L6354" s="41" t="str"/>
      <c r="M6354" s="41" t="str"/>
      <c r="N6354" s="41" t="str"/>
      <c r="O6354" s="41" t="str"/>
      <c r="P6354" s="41" t="str"/>
      <c r="Q6354" s="41" t="str"/>
      <c r="R6354" s="41" t="str"/>
      <c r="S6354" s="41" t="str"/>
      <c r="T6354" s="41" t="str"/>
      <c r="U6354" s="41" t="str"/>
      <c r="V6354" s="41" t="str"/>
      <c r="W6354" s="41" t="str"/>
    </row>
    <row r="6355">
      <c r="B6355" s="2" t="n"/>
      <c r="C6355" s="40" t="n"/>
      <c r="D6355" s="52">
        <f t="array" ref="D6355:W6355">IF(All_Students_Scores!C6353:V6353="","",All_Students_Scores!C6353:V6353)</f>
        <v/>
      </c>
      <c r="E6355" s="57" t="str"/>
      <c r="F6355" s="49" t="str"/>
      <c r="G6355" s="59" t="str"/>
      <c r="H6355" s="64" t="str"/>
      <c r="I6355" s="65" t="str"/>
      <c r="J6355" s="49" t="str"/>
      <c r="K6355" s="41" t="str"/>
      <c r="L6355" s="41" t="str"/>
      <c r="M6355" s="41" t="str"/>
      <c r="N6355" s="41" t="str"/>
      <c r="O6355" s="41" t="str"/>
      <c r="P6355" s="41" t="str"/>
      <c r="Q6355" s="41" t="str"/>
      <c r="R6355" s="41" t="str"/>
      <c r="S6355" s="41" t="str"/>
      <c r="T6355" s="41" t="str"/>
      <c r="U6355" s="41" t="str"/>
      <c r="V6355" s="41" t="str"/>
      <c r="W6355" s="41" t="str"/>
    </row>
    <row r="6356">
      <c r="B6356" s="2" t="n"/>
      <c r="C6356" s="40" t="n"/>
      <c r="D6356" s="52">
        <f t="array" ref="D6356:W6356">IF(All_Students_Scores!C6354:V6354="","",All_Students_Scores!C6354:V6354)</f>
        <v/>
      </c>
      <c r="E6356" s="57" t="str"/>
      <c r="F6356" s="49" t="str"/>
      <c r="G6356" s="59" t="str"/>
      <c r="H6356" s="64" t="str"/>
      <c r="I6356" s="65" t="str"/>
      <c r="J6356" s="49" t="str"/>
      <c r="K6356" s="41" t="str"/>
      <c r="L6356" s="41" t="str"/>
      <c r="M6356" s="41" t="str"/>
      <c r="N6356" s="41" t="str"/>
      <c r="O6356" s="41" t="str"/>
      <c r="P6356" s="41" t="str"/>
      <c r="Q6356" s="41" t="str"/>
      <c r="R6356" s="41" t="str"/>
      <c r="S6356" s="41" t="str"/>
      <c r="T6356" s="41" t="str"/>
      <c r="U6356" s="41" t="str"/>
      <c r="V6356" s="41" t="str"/>
      <c r="W6356" s="41" t="str"/>
    </row>
    <row r="6357">
      <c r="B6357" s="2" t="n"/>
      <c r="C6357" s="40" t="n"/>
      <c r="D6357" s="52">
        <f t="array" ref="D6357:W6357">IF(All_Students_Scores!C6355:V6355="","",All_Students_Scores!C6355:V6355)</f>
        <v/>
      </c>
      <c r="E6357" s="57" t="str"/>
      <c r="F6357" s="49" t="str"/>
      <c r="G6357" s="59" t="str"/>
      <c r="H6357" s="64" t="str"/>
      <c r="I6357" s="65" t="str"/>
      <c r="J6357" s="49" t="str"/>
      <c r="K6357" s="41" t="str"/>
      <c r="L6357" s="41" t="str"/>
      <c r="M6357" s="41" t="str"/>
      <c r="N6357" s="41" t="str"/>
      <c r="O6357" s="41" t="str"/>
      <c r="P6357" s="41" t="str"/>
      <c r="Q6357" s="41" t="str"/>
      <c r="R6357" s="41" t="str"/>
      <c r="S6357" s="41" t="str"/>
      <c r="T6357" s="41" t="str"/>
      <c r="U6357" s="41" t="str"/>
      <c r="V6357" s="41" t="str"/>
      <c r="W6357" s="41" t="str"/>
    </row>
    <row r="6358">
      <c r="B6358" s="2" t="n"/>
      <c r="C6358" s="40" t="n"/>
      <c r="D6358" s="52">
        <f t="array" ref="D6358:W6358">IF(All_Students_Scores!C6356:V6356="","",All_Students_Scores!C6356:V6356)</f>
        <v/>
      </c>
      <c r="E6358" s="57" t="str"/>
      <c r="F6358" s="49" t="str"/>
      <c r="G6358" s="59" t="str"/>
      <c r="H6358" s="64" t="str"/>
      <c r="I6358" s="65" t="str"/>
      <c r="J6358" s="49" t="str"/>
      <c r="K6358" s="41" t="str"/>
      <c r="L6358" s="41" t="str"/>
      <c r="M6358" s="41" t="str"/>
      <c r="N6358" s="41" t="str"/>
      <c r="O6358" s="41" t="str"/>
      <c r="P6358" s="41" t="str"/>
      <c r="Q6358" s="41" t="str"/>
      <c r="R6358" s="41" t="str"/>
      <c r="S6358" s="41" t="str"/>
      <c r="T6358" s="41" t="str"/>
      <c r="U6358" s="41" t="str"/>
      <c r="V6358" s="41" t="str"/>
      <c r="W6358" s="41" t="str"/>
    </row>
    <row r="6359">
      <c r="B6359" s="2" t="n"/>
      <c r="C6359" s="40" t="n"/>
      <c r="D6359" s="52">
        <f t="array" ref="D6359:W6359">IF(All_Students_Scores!C6357:V6357="","",All_Students_Scores!C6357:V6357)</f>
        <v/>
      </c>
      <c r="E6359" s="57" t="str"/>
      <c r="F6359" s="49" t="str"/>
      <c r="G6359" s="59" t="str"/>
      <c r="H6359" s="64" t="str"/>
      <c r="I6359" s="65" t="str"/>
      <c r="J6359" s="49" t="str"/>
      <c r="K6359" s="41" t="str"/>
      <c r="L6359" s="41" t="str"/>
      <c r="M6359" s="41" t="str"/>
      <c r="N6359" s="41" t="str"/>
      <c r="O6359" s="41" t="str"/>
      <c r="P6359" s="41" t="str"/>
      <c r="Q6359" s="41" t="str"/>
      <c r="R6359" s="41" t="str"/>
      <c r="S6359" s="41" t="str"/>
      <c r="T6359" s="41" t="str"/>
      <c r="U6359" s="41" t="str"/>
      <c r="V6359" s="41" t="str"/>
      <c r="W6359" s="41" t="str"/>
    </row>
    <row r="6360">
      <c r="B6360" s="2" t="n"/>
      <c r="C6360" s="40" t="n"/>
      <c r="D6360" s="52">
        <f t="array" ref="D6360:W6360">IF(All_Students_Scores!C6358:V6358="","",All_Students_Scores!C6358:V6358)</f>
        <v/>
      </c>
      <c r="E6360" s="57" t="str"/>
      <c r="F6360" s="49" t="str"/>
      <c r="G6360" s="59" t="str"/>
      <c r="H6360" s="64" t="str"/>
      <c r="I6360" s="65" t="str"/>
      <c r="J6360" s="49" t="str"/>
      <c r="K6360" s="41" t="str"/>
      <c r="L6360" s="41" t="str"/>
      <c r="M6360" s="41" t="str"/>
      <c r="N6360" s="41" t="str"/>
      <c r="O6360" s="41" t="str"/>
      <c r="P6360" s="41" t="str"/>
      <c r="Q6360" s="41" t="str"/>
      <c r="R6360" s="41" t="str"/>
      <c r="S6360" s="41" t="str"/>
      <c r="T6360" s="41" t="str"/>
      <c r="U6360" s="41" t="str"/>
      <c r="V6360" s="41" t="str"/>
      <c r="W6360" s="41" t="str"/>
    </row>
    <row r="6361">
      <c r="B6361" s="2" t="n"/>
      <c r="C6361" s="40" t="n"/>
      <c r="D6361" s="52">
        <f t="array" ref="D6361:W6361">IF(All_Students_Scores!C6359:V6359="","",All_Students_Scores!C6359:V6359)</f>
        <v/>
      </c>
      <c r="E6361" s="57" t="str"/>
      <c r="F6361" s="49" t="str"/>
      <c r="G6361" s="59" t="str"/>
      <c r="H6361" s="64" t="str"/>
      <c r="I6361" s="65" t="str"/>
      <c r="J6361" s="49" t="str"/>
      <c r="K6361" s="41" t="str"/>
      <c r="L6361" s="41" t="str"/>
      <c r="M6361" s="41" t="str"/>
      <c r="N6361" s="41" t="str"/>
      <c r="O6361" s="41" t="str"/>
      <c r="P6361" s="41" t="str"/>
      <c r="Q6361" s="41" t="str"/>
      <c r="R6361" s="41" t="str"/>
      <c r="S6361" s="41" t="str"/>
      <c r="T6361" s="41" t="str"/>
      <c r="U6361" s="41" t="str"/>
      <c r="V6361" s="41" t="str"/>
      <c r="W6361" s="41" t="str"/>
    </row>
    <row r="6362">
      <c r="B6362" s="2" t="n"/>
      <c r="C6362" s="40" t="n"/>
      <c r="D6362" s="52">
        <f t="array" ref="D6362:W6362">IF(All_Students_Scores!C6360:V6360="","",All_Students_Scores!C6360:V6360)</f>
        <v/>
      </c>
      <c r="E6362" s="57" t="str"/>
      <c r="F6362" s="49" t="str"/>
      <c r="G6362" s="59" t="str"/>
      <c r="H6362" s="64" t="str"/>
      <c r="I6362" s="65" t="str"/>
      <c r="J6362" s="49" t="str"/>
      <c r="K6362" s="41" t="str"/>
      <c r="L6362" s="41" t="str"/>
      <c r="M6362" s="41" t="str"/>
      <c r="N6362" s="41" t="str"/>
      <c r="O6362" s="41" t="str"/>
      <c r="P6362" s="41" t="str"/>
      <c r="Q6362" s="41" t="str"/>
      <c r="R6362" s="41" t="str"/>
      <c r="S6362" s="41" t="str"/>
      <c r="T6362" s="41" t="str"/>
      <c r="U6362" s="41" t="str"/>
      <c r="V6362" s="41" t="str"/>
      <c r="W6362" s="41" t="str"/>
    </row>
    <row r="6363">
      <c r="B6363" s="2" t="n"/>
      <c r="C6363" s="40" t="n"/>
      <c r="D6363" s="52">
        <f t="array" ref="D6363:W6363">IF(All_Students_Scores!C6361:V6361="","",All_Students_Scores!C6361:V6361)</f>
        <v/>
      </c>
      <c r="E6363" s="57" t="str"/>
      <c r="F6363" s="49" t="str"/>
      <c r="G6363" s="59" t="str"/>
      <c r="H6363" s="64" t="str"/>
      <c r="I6363" s="65" t="str"/>
      <c r="J6363" s="49" t="str"/>
      <c r="K6363" s="41" t="str"/>
      <c r="L6363" s="41" t="str"/>
      <c r="M6363" s="41" t="str"/>
      <c r="N6363" s="41" t="str"/>
      <c r="O6363" s="41" t="str"/>
      <c r="P6363" s="41" t="str"/>
      <c r="Q6363" s="41" t="str"/>
      <c r="R6363" s="41" t="str"/>
      <c r="S6363" s="41" t="str"/>
      <c r="T6363" s="41" t="str"/>
      <c r="U6363" s="41" t="str"/>
      <c r="V6363" s="41" t="str"/>
      <c r="W6363" s="41" t="str"/>
    </row>
    <row r="6364">
      <c r="B6364" s="2" t="n"/>
      <c r="C6364" s="40" t="n"/>
      <c r="D6364" s="52">
        <f t="array" ref="D6364:W6364">IF(All_Students_Scores!C6362:V6362="","",All_Students_Scores!C6362:V6362)</f>
        <v/>
      </c>
      <c r="E6364" s="57" t="str"/>
      <c r="F6364" s="49" t="str"/>
      <c r="G6364" s="59" t="str"/>
      <c r="H6364" s="64" t="str"/>
      <c r="I6364" s="65" t="str"/>
      <c r="J6364" s="49" t="str"/>
      <c r="K6364" s="41" t="str"/>
      <c r="L6364" s="41" t="str"/>
      <c r="M6364" s="41" t="str"/>
      <c r="N6364" s="41" t="str"/>
      <c r="O6364" s="41" t="str"/>
      <c r="P6364" s="41" t="str"/>
      <c r="Q6364" s="41" t="str"/>
      <c r="R6364" s="41" t="str"/>
      <c r="S6364" s="41" t="str"/>
      <c r="T6364" s="41" t="str"/>
      <c r="U6364" s="41" t="str"/>
      <c r="V6364" s="41" t="str"/>
      <c r="W6364" s="41" t="str"/>
    </row>
    <row r="6365">
      <c r="B6365" s="2" t="n"/>
      <c r="C6365" s="40" t="n"/>
      <c r="D6365" s="52">
        <f t="array" ref="D6365:W6365">IF(All_Students_Scores!C6363:V6363="","",All_Students_Scores!C6363:V6363)</f>
        <v/>
      </c>
      <c r="E6365" s="57" t="str"/>
      <c r="F6365" s="49" t="str"/>
      <c r="G6365" s="59" t="str"/>
      <c r="H6365" s="64" t="str"/>
      <c r="I6365" s="65" t="str"/>
      <c r="J6365" s="49" t="str"/>
      <c r="K6365" s="41" t="str"/>
      <c r="L6365" s="41" t="str"/>
      <c r="M6365" s="41" t="str"/>
      <c r="N6365" s="41" t="str"/>
      <c r="O6365" s="41" t="str"/>
      <c r="P6365" s="41" t="str"/>
      <c r="Q6365" s="41" t="str"/>
      <c r="R6365" s="41" t="str"/>
      <c r="S6365" s="41" t="str"/>
      <c r="T6365" s="41" t="str"/>
      <c r="U6365" s="41" t="str"/>
      <c r="V6365" s="41" t="str"/>
      <c r="W6365" s="41" t="str"/>
    </row>
    <row r="6366">
      <c r="B6366" s="2" t="n"/>
      <c r="C6366" s="40" t="n"/>
      <c r="D6366" s="52">
        <f t="array" ref="D6366:W6366">IF(All_Students_Scores!C6364:V6364="","",All_Students_Scores!C6364:V6364)</f>
        <v/>
      </c>
      <c r="E6366" s="57" t="str"/>
      <c r="F6366" s="49" t="str"/>
      <c r="G6366" s="59" t="str"/>
      <c r="H6366" s="64" t="str"/>
      <c r="I6366" s="65" t="str"/>
      <c r="J6366" s="49" t="str"/>
      <c r="K6366" s="41" t="str"/>
      <c r="L6366" s="41" t="str"/>
      <c r="M6366" s="41" t="str"/>
      <c r="N6366" s="41" t="str"/>
      <c r="O6366" s="41" t="str"/>
      <c r="P6366" s="41" t="str"/>
      <c r="Q6366" s="41" t="str"/>
      <c r="R6366" s="41" t="str"/>
      <c r="S6366" s="41" t="str"/>
      <c r="T6366" s="41" t="str"/>
      <c r="U6366" s="41" t="str"/>
      <c r="V6366" s="41" t="str"/>
      <c r="W6366" s="41" t="str"/>
    </row>
    <row r="6367">
      <c r="B6367" s="2" t="n"/>
      <c r="C6367" s="40" t="n"/>
      <c r="D6367" s="52">
        <f t="array" ref="D6367:W6367">IF(All_Students_Scores!C6365:V6365="","",All_Students_Scores!C6365:V6365)</f>
        <v/>
      </c>
      <c r="E6367" s="57" t="str"/>
      <c r="F6367" s="49" t="str"/>
      <c r="G6367" s="59" t="str"/>
      <c r="H6367" s="64" t="str"/>
      <c r="I6367" s="65" t="str"/>
      <c r="J6367" s="49" t="str"/>
      <c r="K6367" s="41" t="str"/>
      <c r="L6367" s="41" t="str"/>
      <c r="M6367" s="41" t="str"/>
      <c r="N6367" s="41" t="str"/>
      <c r="O6367" s="41" t="str"/>
      <c r="P6367" s="41" t="str"/>
      <c r="Q6367" s="41" t="str"/>
      <c r="R6367" s="41" t="str"/>
      <c r="S6367" s="41" t="str"/>
      <c r="T6367" s="41" t="str"/>
      <c r="U6367" s="41" t="str"/>
      <c r="V6367" s="41" t="str"/>
      <c r="W6367" s="41" t="str"/>
    </row>
    <row r="6368">
      <c r="B6368" s="2" t="n"/>
      <c r="C6368" s="40" t="n"/>
      <c r="D6368" s="52">
        <f t="array" ref="D6368:W6368">IF(All_Students_Scores!C6366:V6366="","",All_Students_Scores!C6366:V6366)</f>
        <v/>
      </c>
      <c r="E6368" s="57" t="str"/>
      <c r="F6368" s="49" t="str"/>
      <c r="G6368" s="59" t="str"/>
      <c r="H6368" s="64" t="str"/>
      <c r="I6368" s="65" t="str"/>
      <c r="J6368" s="49" t="str"/>
      <c r="K6368" s="41" t="str"/>
      <c r="L6368" s="41" t="str"/>
      <c r="M6368" s="41" t="str"/>
      <c r="N6368" s="41" t="str"/>
      <c r="O6368" s="41" t="str"/>
      <c r="P6368" s="41" t="str"/>
      <c r="Q6368" s="41" t="str"/>
      <c r="R6368" s="41" t="str"/>
      <c r="S6368" s="41" t="str"/>
      <c r="T6368" s="41" t="str"/>
      <c r="U6368" s="41" t="str"/>
      <c r="V6368" s="41" t="str"/>
      <c r="W6368" s="41" t="str"/>
    </row>
    <row r="6369">
      <c r="B6369" s="2" t="n"/>
      <c r="C6369" s="40" t="n"/>
      <c r="D6369" s="52">
        <f t="array" ref="D6369:W6369">IF(All_Students_Scores!C6367:V6367="","",All_Students_Scores!C6367:V6367)</f>
        <v/>
      </c>
      <c r="E6369" s="57" t="str"/>
      <c r="F6369" s="49" t="str"/>
      <c r="G6369" s="59" t="str"/>
      <c r="H6369" s="64" t="str"/>
      <c r="I6369" s="65" t="str"/>
      <c r="J6369" s="49" t="str"/>
      <c r="K6369" s="41" t="str"/>
      <c r="L6369" s="41" t="str"/>
      <c r="M6369" s="41" t="str"/>
      <c r="N6369" s="41" t="str"/>
      <c r="O6369" s="41" t="str"/>
      <c r="P6369" s="41" t="str"/>
      <c r="Q6369" s="41" t="str"/>
      <c r="R6369" s="41" t="str"/>
      <c r="S6369" s="41" t="str"/>
      <c r="T6369" s="41" t="str"/>
      <c r="U6369" s="41" t="str"/>
      <c r="V6369" s="41" t="str"/>
      <c r="W6369" s="41" t="str"/>
    </row>
    <row r="6370">
      <c r="B6370" s="2" t="n"/>
      <c r="C6370" s="40" t="n"/>
      <c r="D6370" s="52">
        <f t="array" ref="D6370:W6370">IF(All_Students_Scores!C6368:V6368="","",All_Students_Scores!C6368:V6368)</f>
        <v/>
      </c>
      <c r="E6370" s="57" t="str"/>
      <c r="F6370" s="49" t="str"/>
      <c r="G6370" s="59" t="str"/>
      <c r="H6370" s="64" t="str"/>
      <c r="I6370" s="65" t="str"/>
      <c r="J6370" s="49" t="str"/>
      <c r="K6370" s="41" t="str"/>
      <c r="L6370" s="41" t="str"/>
      <c r="M6370" s="41" t="str"/>
      <c r="N6370" s="41" t="str"/>
      <c r="O6370" s="41" t="str"/>
      <c r="P6370" s="41" t="str"/>
      <c r="Q6370" s="41" t="str"/>
      <c r="R6370" s="41" t="str"/>
      <c r="S6370" s="41" t="str"/>
      <c r="T6370" s="41" t="str"/>
      <c r="U6370" s="41" t="str"/>
      <c r="V6370" s="41" t="str"/>
      <c r="W6370" s="41" t="str"/>
    </row>
    <row r="6371">
      <c r="B6371" s="2" t="n"/>
      <c r="C6371" s="40" t="n"/>
      <c r="D6371" s="52">
        <f t="array" ref="D6371:W6371">IF(All_Students_Scores!C6369:V6369="","",All_Students_Scores!C6369:V6369)</f>
        <v/>
      </c>
      <c r="E6371" s="57" t="str"/>
      <c r="F6371" s="49" t="str"/>
      <c r="G6371" s="59" t="str"/>
      <c r="H6371" s="64" t="str"/>
      <c r="I6371" s="65" t="str"/>
      <c r="J6371" s="49" t="str"/>
      <c r="K6371" s="41" t="str"/>
      <c r="L6371" s="41" t="str"/>
      <c r="M6371" s="41" t="str"/>
      <c r="N6371" s="41" t="str"/>
      <c r="O6371" s="41" t="str"/>
      <c r="P6371" s="41" t="str"/>
      <c r="Q6371" s="41" t="str"/>
      <c r="R6371" s="41" t="str"/>
      <c r="S6371" s="41" t="str"/>
      <c r="T6371" s="41" t="str"/>
      <c r="U6371" s="41" t="str"/>
      <c r="V6371" s="41" t="str"/>
      <c r="W6371" s="41" t="str"/>
    </row>
    <row r="6372">
      <c r="B6372" s="2" t="n"/>
      <c r="C6372" s="40" t="n"/>
      <c r="D6372" s="52">
        <f t="array" ref="D6372:W6372">IF(All_Students_Scores!C6370:V6370="","",All_Students_Scores!C6370:V6370)</f>
        <v/>
      </c>
      <c r="E6372" s="57" t="str"/>
      <c r="F6372" s="49" t="str"/>
      <c r="G6372" s="59" t="str"/>
      <c r="H6372" s="64" t="str"/>
      <c r="I6372" s="65" t="str"/>
      <c r="J6372" s="49" t="str"/>
      <c r="K6372" s="41" t="str"/>
      <c r="L6372" s="41" t="str"/>
      <c r="M6372" s="41" t="str"/>
      <c r="N6372" s="41" t="str"/>
      <c r="O6372" s="41" t="str"/>
      <c r="P6372" s="41" t="str"/>
      <c r="Q6372" s="41" t="str"/>
      <c r="R6372" s="41" t="str"/>
      <c r="S6372" s="41" t="str"/>
      <c r="T6372" s="41" t="str"/>
      <c r="U6372" s="41" t="str"/>
      <c r="V6372" s="41" t="str"/>
      <c r="W6372" s="41" t="str"/>
    </row>
    <row r="6373">
      <c r="B6373" s="2" t="n"/>
      <c r="C6373" s="40" t="n"/>
      <c r="D6373" s="52">
        <f t="array" ref="D6373:W6373">IF(All_Students_Scores!C6371:V6371="","",All_Students_Scores!C6371:V6371)</f>
        <v/>
      </c>
      <c r="E6373" s="57" t="str"/>
      <c r="F6373" s="49" t="str"/>
      <c r="G6373" s="59" t="str"/>
      <c r="H6373" s="64" t="str"/>
      <c r="I6373" s="65" t="str"/>
      <c r="J6373" s="49" t="str"/>
      <c r="K6373" s="41" t="str"/>
      <c r="L6373" s="41" t="str"/>
      <c r="M6373" s="41" t="str"/>
      <c r="N6373" s="41" t="str"/>
      <c r="O6373" s="41" t="str"/>
      <c r="P6373" s="41" t="str"/>
      <c r="Q6373" s="41" t="str"/>
      <c r="R6373" s="41" t="str"/>
      <c r="S6373" s="41" t="str"/>
      <c r="T6373" s="41" t="str"/>
      <c r="U6373" s="41" t="str"/>
      <c r="V6373" s="41" t="str"/>
      <c r="W6373" s="41" t="str"/>
    </row>
    <row r="6374">
      <c r="B6374" s="2" t="n"/>
      <c r="C6374" s="40" t="n"/>
      <c r="D6374" s="52">
        <f t="array" ref="D6374:W6374">IF(All_Students_Scores!C6372:V6372="","",All_Students_Scores!C6372:V6372)</f>
        <v/>
      </c>
      <c r="E6374" s="57" t="str"/>
      <c r="F6374" s="49" t="str"/>
      <c r="G6374" s="59" t="str"/>
      <c r="H6374" s="64" t="str"/>
      <c r="I6374" s="65" t="str"/>
      <c r="J6374" s="49" t="str"/>
      <c r="K6374" s="41" t="str"/>
      <c r="L6374" s="41" t="str"/>
      <c r="M6374" s="41" t="str"/>
      <c r="N6374" s="41" t="str"/>
      <c r="O6374" s="41" t="str"/>
      <c r="P6374" s="41" t="str"/>
      <c r="Q6374" s="41" t="str"/>
      <c r="R6374" s="41" t="str"/>
      <c r="S6374" s="41" t="str"/>
      <c r="T6374" s="41" t="str"/>
      <c r="U6374" s="41" t="str"/>
      <c r="V6374" s="41" t="str"/>
      <c r="W6374" s="41" t="str"/>
    </row>
    <row r="6375">
      <c r="B6375" s="2" t="n"/>
      <c r="C6375" s="40" t="n"/>
      <c r="D6375" s="52">
        <f t="array" ref="D6375:W6375">IF(All_Students_Scores!C6373:V6373="","",All_Students_Scores!C6373:V6373)</f>
        <v/>
      </c>
      <c r="E6375" s="57" t="str"/>
      <c r="F6375" s="49" t="str"/>
      <c r="G6375" s="59" t="str"/>
      <c r="H6375" s="64" t="str"/>
      <c r="I6375" s="65" t="str"/>
      <c r="J6375" s="49" t="str"/>
      <c r="K6375" s="41" t="str"/>
      <c r="L6375" s="41" t="str"/>
      <c r="M6375" s="41" t="str"/>
      <c r="N6375" s="41" t="str"/>
      <c r="O6375" s="41" t="str"/>
      <c r="P6375" s="41" t="str"/>
      <c r="Q6375" s="41" t="str"/>
      <c r="R6375" s="41" t="str"/>
      <c r="S6375" s="41" t="str"/>
      <c r="T6375" s="41" t="str"/>
      <c r="U6375" s="41" t="str"/>
      <c r="V6375" s="41" t="str"/>
      <c r="W6375" s="41" t="str"/>
    </row>
    <row r="6376">
      <c r="B6376" s="2" t="n"/>
      <c r="C6376" s="40" t="n"/>
      <c r="D6376" s="52">
        <f t="array" ref="D6376:W6376">IF(All_Students_Scores!C6374:V6374="","",All_Students_Scores!C6374:V6374)</f>
        <v/>
      </c>
      <c r="E6376" s="57" t="str"/>
      <c r="F6376" s="49" t="str"/>
      <c r="G6376" s="59" t="str"/>
      <c r="H6376" s="64" t="str"/>
      <c r="I6376" s="65" t="str"/>
      <c r="J6376" s="49" t="str"/>
      <c r="K6376" s="41" t="str"/>
      <c r="L6376" s="41" t="str"/>
      <c r="M6376" s="41" t="str"/>
      <c r="N6376" s="41" t="str"/>
      <c r="O6376" s="41" t="str"/>
      <c r="P6376" s="41" t="str"/>
      <c r="Q6376" s="41" t="str"/>
      <c r="R6376" s="41" t="str"/>
      <c r="S6376" s="41" t="str"/>
      <c r="T6376" s="41" t="str"/>
      <c r="U6376" s="41" t="str"/>
      <c r="V6376" s="41" t="str"/>
      <c r="W6376" s="41" t="str"/>
    </row>
    <row r="6377">
      <c r="B6377" s="2" t="n"/>
      <c r="C6377" s="40" t="n"/>
      <c r="D6377" s="52">
        <f t="array" ref="D6377:W6377">IF(All_Students_Scores!C6375:V6375="","",All_Students_Scores!C6375:V6375)</f>
        <v/>
      </c>
      <c r="E6377" s="57" t="str"/>
      <c r="F6377" s="49" t="str"/>
      <c r="G6377" s="59" t="str"/>
      <c r="H6377" s="64" t="str"/>
      <c r="I6377" s="65" t="str"/>
      <c r="J6377" s="49" t="str"/>
      <c r="K6377" s="41" t="str"/>
      <c r="L6377" s="41" t="str"/>
      <c r="M6377" s="41" t="str"/>
      <c r="N6377" s="41" t="str"/>
      <c r="O6377" s="41" t="str"/>
      <c r="P6377" s="41" t="str"/>
      <c r="Q6377" s="41" t="str"/>
      <c r="R6377" s="41" t="str"/>
      <c r="S6377" s="41" t="str"/>
      <c r="T6377" s="41" t="str"/>
      <c r="U6377" s="41" t="str"/>
      <c r="V6377" s="41" t="str"/>
      <c r="W6377" s="41" t="str"/>
    </row>
    <row r="6378">
      <c r="B6378" s="2" t="n"/>
      <c r="C6378" s="40" t="n"/>
      <c r="D6378" s="52">
        <f t="array" ref="D6378:W6378">IF(All_Students_Scores!C6376:V6376="","",All_Students_Scores!C6376:V6376)</f>
        <v/>
      </c>
      <c r="E6378" s="57" t="str"/>
      <c r="F6378" s="49" t="str"/>
      <c r="G6378" s="59" t="str"/>
      <c r="H6378" s="64" t="str"/>
      <c r="I6378" s="65" t="str"/>
      <c r="J6378" s="49" t="str"/>
      <c r="K6378" s="41" t="str"/>
      <c r="L6378" s="41" t="str"/>
      <c r="M6378" s="41" t="str"/>
      <c r="N6378" s="41" t="str"/>
      <c r="O6378" s="41" t="str"/>
      <c r="P6378" s="41" t="str"/>
      <c r="Q6378" s="41" t="str"/>
      <c r="R6378" s="41" t="str"/>
      <c r="S6378" s="41" t="str"/>
      <c r="T6378" s="41" t="str"/>
      <c r="U6378" s="41" t="str"/>
      <c r="V6378" s="41" t="str"/>
      <c r="W6378" s="41" t="str"/>
    </row>
    <row r="6379">
      <c r="B6379" s="2" t="n"/>
      <c r="C6379" s="40" t="n"/>
      <c r="D6379" s="52">
        <f t="array" ref="D6379:W6379">IF(All_Students_Scores!C6377:V6377="","",All_Students_Scores!C6377:V6377)</f>
        <v/>
      </c>
      <c r="E6379" s="57" t="str"/>
      <c r="F6379" s="49" t="str"/>
      <c r="G6379" s="59" t="str"/>
      <c r="H6379" s="64" t="str"/>
      <c r="I6379" s="65" t="str"/>
      <c r="J6379" s="49" t="str"/>
      <c r="K6379" s="41" t="str"/>
      <c r="L6379" s="41" t="str"/>
      <c r="M6379" s="41" t="str"/>
      <c r="N6379" s="41" t="str"/>
      <c r="O6379" s="41" t="str"/>
      <c r="P6379" s="41" t="str"/>
      <c r="Q6379" s="41" t="str"/>
      <c r="R6379" s="41" t="str"/>
      <c r="S6379" s="41" t="str"/>
      <c r="T6379" s="41" t="str"/>
      <c r="U6379" s="41" t="str"/>
      <c r="V6379" s="41" t="str"/>
      <c r="W6379" s="41" t="str"/>
    </row>
    <row r="6380">
      <c r="B6380" s="2" t="n"/>
      <c r="C6380" s="40" t="n"/>
      <c r="D6380" s="52">
        <f t="array" ref="D6380:W6380">IF(All_Students_Scores!C6378:V6378="","",All_Students_Scores!C6378:V6378)</f>
        <v/>
      </c>
      <c r="E6380" s="57" t="str"/>
      <c r="F6380" s="49" t="str"/>
      <c r="G6380" s="59" t="str"/>
      <c r="H6380" s="64" t="str"/>
      <c r="I6380" s="65" t="str"/>
      <c r="J6380" s="49" t="str"/>
      <c r="K6380" s="41" t="str"/>
      <c r="L6380" s="41" t="str"/>
      <c r="M6380" s="41" t="str"/>
      <c r="N6380" s="41" t="str"/>
      <c r="O6380" s="41" t="str"/>
      <c r="P6380" s="41" t="str"/>
      <c r="Q6380" s="41" t="str"/>
      <c r="R6380" s="41" t="str"/>
      <c r="S6380" s="41" t="str"/>
      <c r="T6380" s="41" t="str"/>
      <c r="U6380" s="41" t="str"/>
      <c r="V6380" s="41" t="str"/>
      <c r="W6380" s="41" t="str"/>
    </row>
    <row r="6381">
      <c r="B6381" s="2" t="n"/>
      <c r="C6381" s="40" t="n"/>
      <c r="D6381" s="52">
        <f t="array" ref="D6381:W6381">IF(All_Students_Scores!C6379:V6379="","",All_Students_Scores!C6379:V6379)</f>
        <v/>
      </c>
      <c r="E6381" s="57" t="str"/>
      <c r="F6381" s="49" t="str"/>
      <c r="G6381" s="59" t="str"/>
      <c r="H6381" s="64" t="str"/>
      <c r="I6381" s="65" t="str"/>
      <c r="J6381" s="49" t="str"/>
      <c r="K6381" s="41" t="str"/>
      <c r="L6381" s="41" t="str"/>
      <c r="M6381" s="41" t="str"/>
      <c r="N6381" s="41" t="str"/>
      <c r="O6381" s="41" t="str"/>
      <c r="P6381" s="41" t="str"/>
      <c r="Q6381" s="41" t="str"/>
      <c r="R6381" s="41" t="str"/>
      <c r="S6381" s="41" t="str"/>
      <c r="T6381" s="41" t="str"/>
      <c r="U6381" s="41" t="str"/>
      <c r="V6381" s="41" t="str"/>
      <c r="W6381" s="41" t="str"/>
    </row>
    <row r="6382">
      <c r="B6382" s="2" t="n"/>
      <c r="C6382" s="40" t="n"/>
      <c r="D6382" s="52">
        <f t="array" ref="D6382:W6382">IF(All_Students_Scores!C6380:V6380="","",All_Students_Scores!C6380:V6380)</f>
        <v/>
      </c>
      <c r="E6382" s="57" t="str"/>
      <c r="F6382" s="49" t="str"/>
      <c r="G6382" s="59" t="str"/>
      <c r="H6382" s="64" t="str"/>
      <c r="I6382" s="65" t="str"/>
      <c r="J6382" s="49" t="str"/>
      <c r="K6382" s="41" t="str"/>
      <c r="L6382" s="41" t="str"/>
      <c r="M6382" s="41" t="str"/>
      <c r="N6382" s="41" t="str"/>
      <c r="O6382" s="41" t="str"/>
      <c r="P6382" s="41" t="str"/>
      <c r="Q6382" s="41" t="str"/>
      <c r="R6382" s="41" t="str"/>
      <c r="S6382" s="41" t="str"/>
      <c r="T6382" s="41" t="str"/>
      <c r="U6382" s="41" t="str"/>
      <c r="V6382" s="41" t="str"/>
      <c r="W6382" s="41" t="str"/>
    </row>
    <row r="6383">
      <c r="B6383" s="2" t="n"/>
      <c r="C6383" s="40" t="n"/>
      <c r="D6383" s="52">
        <f t="array" ref="D6383:W6383">IF(All_Students_Scores!C6381:V6381="","",All_Students_Scores!C6381:V6381)</f>
        <v/>
      </c>
      <c r="E6383" s="57" t="str"/>
      <c r="F6383" s="49" t="str"/>
      <c r="G6383" s="59" t="str"/>
      <c r="H6383" s="64" t="str"/>
      <c r="I6383" s="65" t="str"/>
      <c r="J6383" s="49" t="str"/>
      <c r="K6383" s="41" t="str"/>
      <c r="L6383" s="41" t="str"/>
      <c r="M6383" s="41" t="str"/>
      <c r="N6383" s="41" t="str"/>
      <c r="O6383" s="41" t="str"/>
      <c r="P6383" s="41" t="str"/>
      <c r="Q6383" s="41" t="str"/>
      <c r="R6383" s="41" t="str"/>
      <c r="S6383" s="41" t="str"/>
      <c r="T6383" s="41" t="str"/>
      <c r="U6383" s="41" t="str"/>
      <c r="V6383" s="41" t="str"/>
      <c r="W6383" s="41" t="str"/>
    </row>
    <row r="6384">
      <c r="B6384" s="2" t="n"/>
      <c r="C6384" s="40" t="n"/>
      <c r="D6384" s="52">
        <f t="array" ref="D6384:W6384">IF(All_Students_Scores!C6382:V6382="","",All_Students_Scores!C6382:V6382)</f>
        <v/>
      </c>
      <c r="E6384" s="57" t="str"/>
      <c r="F6384" s="49" t="str"/>
      <c r="G6384" s="59" t="str"/>
      <c r="H6384" s="64" t="str"/>
      <c r="I6384" s="65" t="str"/>
      <c r="J6384" s="49" t="str"/>
      <c r="K6384" s="41" t="str"/>
      <c r="L6384" s="41" t="str"/>
      <c r="M6384" s="41" t="str"/>
      <c r="N6384" s="41" t="str"/>
      <c r="O6384" s="41" t="str"/>
      <c r="P6384" s="41" t="str"/>
      <c r="Q6384" s="41" t="str"/>
      <c r="R6384" s="41" t="str"/>
      <c r="S6384" s="41" t="str"/>
      <c r="T6384" s="41" t="str"/>
      <c r="U6384" s="41" t="str"/>
      <c r="V6384" s="41" t="str"/>
      <c r="W6384" s="41" t="str"/>
    </row>
    <row r="6385">
      <c r="B6385" s="2" t="n"/>
      <c r="C6385" s="40" t="n"/>
      <c r="D6385" s="52">
        <f t="array" ref="D6385:W6385">IF(All_Students_Scores!C6383:V6383="","",All_Students_Scores!C6383:V6383)</f>
        <v/>
      </c>
      <c r="E6385" s="57" t="str"/>
      <c r="F6385" s="49" t="str"/>
      <c r="G6385" s="59" t="str"/>
      <c r="H6385" s="64" t="str"/>
      <c r="I6385" s="65" t="str"/>
      <c r="J6385" s="49" t="str"/>
      <c r="K6385" s="41" t="str"/>
      <c r="L6385" s="41" t="str"/>
      <c r="M6385" s="41" t="str"/>
      <c r="N6385" s="41" t="str"/>
      <c r="O6385" s="41" t="str"/>
      <c r="P6385" s="41" t="str"/>
      <c r="Q6385" s="41" t="str"/>
      <c r="R6385" s="41" t="str"/>
      <c r="S6385" s="41" t="str"/>
      <c r="T6385" s="41" t="str"/>
      <c r="U6385" s="41" t="str"/>
      <c r="V6385" s="41" t="str"/>
      <c r="W6385" s="41" t="str"/>
    </row>
    <row r="6386">
      <c r="B6386" s="2" t="n"/>
      <c r="C6386" s="40" t="n"/>
      <c r="D6386" s="52">
        <f t="array" ref="D6386:W6386">IF(All_Students_Scores!C6384:V6384="","",All_Students_Scores!C6384:V6384)</f>
        <v/>
      </c>
      <c r="E6386" s="57" t="str"/>
      <c r="F6386" s="49" t="str"/>
      <c r="G6386" s="59" t="str"/>
      <c r="H6386" s="64" t="str"/>
      <c r="I6386" s="65" t="str"/>
      <c r="J6386" s="49" t="str"/>
      <c r="K6386" s="41" t="str"/>
      <c r="L6386" s="41" t="str"/>
      <c r="M6386" s="41" t="str"/>
      <c r="N6386" s="41" t="str"/>
      <c r="O6386" s="41" t="str"/>
      <c r="P6386" s="41" t="str"/>
      <c r="Q6386" s="41" t="str"/>
      <c r="R6386" s="41" t="str"/>
      <c r="S6386" s="41" t="str"/>
      <c r="T6386" s="41" t="str"/>
      <c r="U6386" s="41" t="str"/>
      <c r="V6386" s="41" t="str"/>
      <c r="W6386" s="41" t="str"/>
    </row>
    <row r="6387">
      <c r="B6387" s="2" t="n"/>
      <c r="C6387" s="40" t="n"/>
      <c r="D6387" s="52">
        <f t="array" ref="D6387:W6387">IF(All_Students_Scores!C6385:V6385="","",All_Students_Scores!C6385:V6385)</f>
        <v/>
      </c>
      <c r="E6387" s="57" t="str"/>
      <c r="F6387" s="49" t="str"/>
      <c r="G6387" s="59" t="str"/>
      <c r="H6387" s="64" t="str"/>
      <c r="I6387" s="65" t="str"/>
      <c r="J6387" s="49" t="str"/>
      <c r="K6387" s="41" t="str"/>
      <c r="L6387" s="41" t="str"/>
      <c r="M6387" s="41" t="str"/>
      <c r="N6387" s="41" t="str"/>
      <c r="O6387" s="41" t="str"/>
      <c r="P6387" s="41" t="str"/>
      <c r="Q6387" s="41" t="str"/>
      <c r="R6387" s="41" t="str"/>
      <c r="S6387" s="41" t="str"/>
      <c r="T6387" s="41" t="str"/>
      <c r="U6387" s="41" t="str"/>
      <c r="V6387" s="41" t="str"/>
      <c r="W6387" s="41" t="str"/>
    </row>
    <row r="6388">
      <c r="B6388" s="2" t="n"/>
      <c r="C6388" s="40" t="n"/>
      <c r="D6388" s="52">
        <f t="array" ref="D6388:W6388">IF(All_Students_Scores!C6386:V6386="","",All_Students_Scores!C6386:V6386)</f>
        <v/>
      </c>
      <c r="E6388" s="57" t="str"/>
      <c r="F6388" s="49" t="str"/>
      <c r="G6388" s="59" t="str"/>
      <c r="H6388" s="64" t="str"/>
      <c r="I6388" s="65" t="str"/>
      <c r="J6388" s="49" t="str"/>
      <c r="K6388" s="41" t="str"/>
      <c r="L6388" s="41" t="str"/>
      <c r="M6388" s="41" t="str"/>
      <c r="N6388" s="41" t="str"/>
      <c r="O6388" s="41" t="str"/>
      <c r="P6388" s="41" t="str"/>
      <c r="Q6388" s="41" t="str"/>
      <c r="R6388" s="41" t="str"/>
      <c r="S6388" s="41" t="str"/>
      <c r="T6388" s="41" t="str"/>
      <c r="U6388" s="41" t="str"/>
      <c r="V6388" s="41" t="str"/>
      <c r="W6388" s="41" t="str"/>
    </row>
    <row r="6389">
      <c r="B6389" s="2" t="n"/>
      <c r="C6389" s="40" t="n"/>
      <c r="D6389" s="52">
        <f t="array" ref="D6389:W6389">IF(All_Students_Scores!C6387:V6387="","",All_Students_Scores!C6387:V6387)</f>
        <v/>
      </c>
      <c r="E6389" s="57" t="str"/>
      <c r="F6389" s="49" t="str"/>
      <c r="G6389" s="59" t="str"/>
      <c r="H6389" s="64" t="str"/>
      <c r="I6389" s="65" t="str"/>
      <c r="J6389" s="49" t="str"/>
      <c r="K6389" s="41" t="str"/>
      <c r="L6389" s="41" t="str"/>
      <c r="M6389" s="41" t="str"/>
      <c r="N6389" s="41" t="str"/>
      <c r="O6389" s="41" t="str"/>
      <c r="P6389" s="41" t="str"/>
      <c r="Q6389" s="41" t="str"/>
      <c r="R6389" s="41" t="str"/>
      <c r="S6389" s="41" t="str"/>
      <c r="T6389" s="41" t="str"/>
      <c r="U6389" s="41" t="str"/>
      <c r="V6389" s="41" t="str"/>
      <c r="W6389" s="41" t="str"/>
    </row>
    <row r="6390">
      <c r="B6390" s="2" t="n"/>
      <c r="C6390" s="40" t="n"/>
      <c r="D6390" s="52">
        <f t="array" ref="D6390:W6390">IF(All_Students_Scores!C6388:V6388="","",All_Students_Scores!C6388:V6388)</f>
        <v/>
      </c>
      <c r="E6390" s="57" t="str"/>
      <c r="F6390" s="49" t="str"/>
      <c r="G6390" s="59" t="str"/>
      <c r="H6390" s="64" t="str"/>
      <c r="I6390" s="65" t="str"/>
      <c r="J6390" s="49" t="str"/>
      <c r="K6390" s="41" t="str"/>
      <c r="L6390" s="41" t="str"/>
      <c r="M6390" s="41" t="str"/>
      <c r="N6390" s="41" t="str"/>
      <c r="O6390" s="41" t="str"/>
      <c r="P6390" s="41" t="str"/>
      <c r="Q6390" s="41" t="str"/>
      <c r="R6390" s="41" t="str"/>
      <c r="S6390" s="41" t="str"/>
      <c r="T6390" s="41" t="str"/>
      <c r="U6390" s="41" t="str"/>
      <c r="V6390" s="41" t="str"/>
      <c r="W6390" s="41" t="str"/>
    </row>
    <row r="6391">
      <c r="B6391" s="2" t="n"/>
      <c r="C6391" s="40" t="n"/>
      <c r="D6391" s="52">
        <f t="array" ref="D6391:W6391">IF(All_Students_Scores!C6389:V6389="","",All_Students_Scores!C6389:V6389)</f>
        <v/>
      </c>
      <c r="E6391" s="57" t="str"/>
      <c r="F6391" s="49" t="str"/>
      <c r="G6391" s="59" t="str"/>
      <c r="H6391" s="64" t="str"/>
      <c r="I6391" s="65" t="str"/>
      <c r="J6391" s="49" t="str"/>
      <c r="K6391" s="41" t="str"/>
      <c r="L6391" s="41" t="str"/>
      <c r="M6391" s="41" t="str"/>
      <c r="N6391" s="41" t="str"/>
      <c r="O6391" s="41" t="str"/>
      <c r="P6391" s="41" t="str"/>
      <c r="Q6391" s="41" t="str"/>
      <c r="R6391" s="41" t="str"/>
      <c r="S6391" s="41" t="str"/>
      <c r="T6391" s="41" t="str"/>
      <c r="U6391" s="41" t="str"/>
      <c r="V6391" s="41" t="str"/>
      <c r="W6391" s="41" t="str"/>
    </row>
    <row r="6392">
      <c r="B6392" s="2" t="n"/>
      <c r="C6392" s="40" t="n"/>
      <c r="D6392" s="52">
        <f t="array" ref="D6392:W6392">IF(All_Students_Scores!C6390:V6390="","",All_Students_Scores!C6390:V6390)</f>
        <v/>
      </c>
      <c r="E6392" s="57" t="str"/>
      <c r="F6392" s="49" t="str"/>
      <c r="G6392" s="59" t="str"/>
      <c r="H6392" s="64" t="str"/>
      <c r="I6392" s="65" t="str"/>
      <c r="J6392" s="49" t="str"/>
      <c r="K6392" s="41" t="str"/>
      <c r="L6392" s="41" t="str"/>
      <c r="M6392" s="41" t="str"/>
      <c r="N6392" s="41" t="str"/>
      <c r="O6392" s="41" t="str"/>
      <c r="P6392" s="41" t="str"/>
      <c r="Q6392" s="41" t="str"/>
      <c r="R6392" s="41" t="str"/>
      <c r="S6392" s="41" t="str"/>
      <c r="T6392" s="41" t="str"/>
      <c r="U6392" s="41" t="str"/>
      <c r="V6392" s="41" t="str"/>
      <c r="W6392" s="41" t="str"/>
    </row>
    <row r="6393">
      <c r="B6393" s="2" t="n"/>
      <c r="C6393" s="40" t="n"/>
      <c r="D6393" s="52">
        <f t="array" ref="D6393:W6393">IF(All_Students_Scores!C6391:V6391="","",All_Students_Scores!C6391:V6391)</f>
        <v/>
      </c>
      <c r="E6393" s="57" t="str"/>
      <c r="F6393" s="49" t="str"/>
      <c r="G6393" s="59" t="str"/>
      <c r="H6393" s="64" t="str"/>
      <c r="I6393" s="65" t="str"/>
      <c r="J6393" s="49" t="str"/>
      <c r="K6393" s="41" t="str"/>
      <c r="L6393" s="41" t="str"/>
      <c r="M6393" s="41" t="str"/>
      <c r="N6393" s="41" t="str"/>
      <c r="O6393" s="41" t="str"/>
      <c r="P6393" s="41" t="str"/>
      <c r="Q6393" s="41" t="str"/>
      <c r="R6393" s="41" t="str"/>
      <c r="S6393" s="41" t="str"/>
      <c r="T6393" s="41" t="str"/>
      <c r="U6393" s="41" t="str"/>
      <c r="V6393" s="41" t="str"/>
      <c r="W6393" s="41" t="str"/>
    </row>
    <row r="6394">
      <c r="B6394" s="2" t="n"/>
      <c r="C6394" s="40" t="n"/>
      <c r="D6394" s="52">
        <f t="array" ref="D6394:W6394">IF(All_Students_Scores!C6392:V6392="","",All_Students_Scores!C6392:V6392)</f>
        <v/>
      </c>
      <c r="E6394" s="57" t="str"/>
      <c r="F6394" s="49" t="str"/>
      <c r="G6394" s="59" t="str"/>
      <c r="H6394" s="64" t="str"/>
      <c r="I6394" s="65" t="str"/>
      <c r="J6394" s="49" t="str"/>
      <c r="K6394" s="41" t="str"/>
      <c r="L6394" s="41" t="str"/>
      <c r="M6394" s="41" t="str"/>
      <c r="N6394" s="41" t="str"/>
      <c r="O6394" s="41" t="str"/>
      <c r="P6394" s="41" t="str"/>
      <c r="Q6394" s="41" t="str"/>
      <c r="R6394" s="41" t="str"/>
      <c r="S6394" s="41" t="str"/>
      <c r="T6394" s="41" t="str"/>
      <c r="U6394" s="41" t="str"/>
      <c r="V6394" s="41" t="str"/>
      <c r="W6394" s="41" t="str"/>
    </row>
    <row r="6395">
      <c r="B6395" s="2" t="n"/>
      <c r="C6395" s="40" t="n"/>
      <c r="D6395" s="52">
        <f t="array" ref="D6395:W6395">IF(All_Students_Scores!C6393:V6393="","",All_Students_Scores!C6393:V6393)</f>
        <v/>
      </c>
      <c r="E6395" s="57" t="str"/>
      <c r="F6395" s="49" t="str"/>
      <c r="G6395" s="59" t="str"/>
      <c r="H6395" s="64" t="str"/>
      <c r="I6395" s="65" t="str"/>
      <c r="J6395" s="49" t="str"/>
      <c r="K6395" s="41" t="str"/>
      <c r="L6395" s="41" t="str"/>
      <c r="M6395" s="41" t="str"/>
      <c r="N6395" s="41" t="str"/>
      <c r="O6395" s="41" t="str"/>
      <c r="P6395" s="41" t="str"/>
      <c r="Q6395" s="41" t="str"/>
      <c r="R6395" s="41" t="str"/>
      <c r="S6395" s="41" t="str"/>
      <c r="T6395" s="41" t="str"/>
      <c r="U6395" s="41" t="str"/>
      <c r="V6395" s="41" t="str"/>
      <c r="W6395" s="41" t="str"/>
    </row>
    <row r="6396">
      <c r="B6396" s="2" t="n"/>
      <c r="C6396" s="40" t="n"/>
      <c r="D6396" s="52">
        <f t="array" ref="D6396:W6396">IF(All_Students_Scores!C6394:V6394="","",All_Students_Scores!C6394:V6394)</f>
        <v/>
      </c>
      <c r="E6396" s="57" t="str"/>
      <c r="F6396" s="49" t="str"/>
      <c r="G6396" s="59" t="str"/>
      <c r="H6396" s="64" t="str"/>
      <c r="I6396" s="65" t="str"/>
      <c r="J6396" s="49" t="str"/>
      <c r="K6396" s="41" t="str"/>
      <c r="L6396" s="41" t="str"/>
      <c r="M6396" s="41" t="str"/>
      <c r="N6396" s="41" t="str"/>
      <c r="O6396" s="41" t="str"/>
      <c r="P6396" s="41" t="str"/>
      <c r="Q6396" s="41" t="str"/>
      <c r="R6396" s="41" t="str"/>
      <c r="S6396" s="41" t="str"/>
      <c r="T6396" s="41" t="str"/>
      <c r="U6396" s="41" t="str"/>
      <c r="V6396" s="41" t="str"/>
      <c r="W6396" s="41" t="str"/>
    </row>
    <row r="6397">
      <c r="B6397" s="2" t="n"/>
      <c r="C6397" s="40" t="n"/>
      <c r="D6397" s="52">
        <f t="array" ref="D6397:W6397">IF(All_Students_Scores!C6395:V6395="","",All_Students_Scores!C6395:V6395)</f>
        <v/>
      </c>
      <c r="E6397" s="57" t="str"/>
      <c r="F6397" s="49" t="str"/>
      <c r="G6397" s="59" t="str"/>
      <c r="H6397" s="64" t="str"/>
      <c r="I6397" s="65" t="str"/>
      <c r="J6397" s="49" t="str"/>
      <c r="K6397" s="41" t="str"/>
      <c r="L6397" s="41" t="str"/>
      <c r="M6397" s="41" t="str"/>
      <c r="N6397" s="41" t="str"/>
      <c r="O6397" s="41" t="str"/>
      <c r="P6397" s="41" t="str"/>
      <c r="Q6397" s="41" t="str"/>
      <c r="R6397" s="41" t="str"/>
      <c r="S6397" s="41" t="str"/>
      <c r="T6397" s="41" t="str"/>
      <c r="U6397" s="41" t="str"/>
      <c r="V6397" s="41" t="str"/>
      <c r="W6397" s="41" t="str"/>
    </row>
    <row r="6398">
      <c r="B6398" s="2" t="n"/>
      <c r="C6398" s="40" t="n"/>
      <c r="D6398" s="52">
        <f t="array" ref="D6398:W6398">IF(All_Students_Scores!C6396:V6396="","",All_Students_Scores!C6396:V6396)</f>
        <v/>
      </c>
      <c r="E6398" s="57" t="str"/>
      <c r="F6398" s="49" t="str"/>
      <c r="G6398" s="59" t="str"/>
      <c r="H6398" s="64" t="str"/>
      <c r="I6398" s="65" t="str"/>
      <c r="J6398" s="49" t="str"/>
      <c r="K6398" s="41" t="str"/>
      <c r="L6398" s="41" t="str"/>
      <c r="M6398" s="41" t="str"/>
      <c r="N6398" s="41" t="str"/>
      <c r="O6398" s="41" t="str"/>
      <c r="P6398" s="41" t="str"/>
      <c r="Q6398" s="41" t="str"/>
      <c r="R6398" s="41" t="str"/>
      <c r="S6398" s="41" t="str"/>
      <c r="T6398" s="41" t="str"/>
      <c r="U6398" s="41" t="str"/>
      <c r="V6398" s="41" t="str"/>
      <c r="W6398" s="41" t="str"/>
    </row>
    <row r="6399">
      <c r="B6399" s="2" t="n"/>
      <c r="C6399" s="40" t="n"/>
      <c r="D6399" s="52">
        <f t="array" ref="D6399:W6399">IF(All_Students_Scores!C6397:V6397="","",All_Students_Scores!C6397:V6397)</f>
        <v/>
      </c>
      <c r="E6399" s="57" t="str"/>
      <c r="F6399" s="49" t="str"/>
      <c r="G6399" s="59" t="str"/>
      <c r="H6399" s="64" t="str"/>
      <c r="I6399" s="65" t="str"/>
      <c r="J6399" s="49" t="str"/>
      <c r="K6399" s="41" t="str"/>
      <c r="L6399" s="41" t="str"/>
      <c r="M6399" s="41" t="str"/>
      <c r="N6399" s="41" t="str"/>
      <c r="O6399" s="41" t="str"/>
      <c r="P6399" s="41" t="str"/>
      <c r="Q6399" s="41" t="str"/>
      <c r="R6399" s="41" t="str"/>
      <c r="S6399" s="41" t="str"/>
      <c r="T6399" s="41" t="str"/>
      <c r="U6399" s="41" t="str"/>
      <c r="V6399" s="41" t="str"/>
      <c r="W6399" s="41" t="str"/>
    </row>
    <row r="6400">
      <c r="B6400" s="2" t="n"/>
      <c r="C6400" s="40" t="n"/>
      <c r="D6400" s="52">
        <f t="array" ref="D6400:W6400">IF(All_Students_Scores!C6398:V6398="","",All_Students_Scores!C6398:V6398)</f>
        <v/>
      </c>
      <c r="E6400" s="57" t="str"/>
      <c r="F6400" s="49" t="str"/>
      <c r="G6400" s="59" t="str"/>
      <c r="H6400" s="64" t="str"/>
      <c r="I6400" s="65" t="str"/>
      <c r="J6400" s="49" t="str"/>
      <c r="K6400" s="41" t="str"/>
      <c r="L6400" s="41" t="str"/>
      <c r="M6400" s="41" t="str"/>
      <c r="N6400" s="41" t="str"/>
      <c r="O6400" s="41" t="str"/>
      <c r="P6400" s="41" t="str"/>
      <c r="Q6400" s="41" t="str"/>
      <c r="R6400" s="41" t="str"/>
      <c r="S6400" s="41" t="str"/>
      <c r="T6400" s="41" t="str"/>
      <c r="U6400" s="41" t="str"/>
      <c r="V6400" s="41" t="str"/>
      <c r="W6400" s="41" t="str"/>
    </row>
    <row r="6401">
      <c r="B6401" s="2" t="n"/>
      <c r="C6401" s="40" t="n"/>
      <c r="D6401" s="52">
        <f t="array" ref="D6401:W6401">IF(All_Students_Scores!C6399:V6399="","",All_Students_Scores!C6399:V6399)</f>
        <v/>
      </c>
      <c r="E6401" s="57" t="str"/>
      <c r="F6401" s="49" t="str"/>
      <c r="G6401" s="59" t="str"/>
      <c r="H6401" s="64" t="str"/>
      <c r="I6401" s="65" t="str"/>
      <c r="J6401" s="49" t="str"/>
      <c r="K6401" s="41" t="str"/>
      <c r="L6401" s="41" t="str"/>
      <c r="M6401" s="41" t="str"/>
      <c r="N6401" s="41" t="str"/>
      <c r="O6401" s="41" t="str"/>
      <c r="P6401" s="41" t="str"/>
      <c r="Q6401" s="41" t="str"/>
      <c r="R6401" s="41" t="str"/>
      <c r="S6401" s="41" t="str"/>
      <c r="T6401" s="41" t="str"/>
      <c r="U6401" s="41" t="str"/>
      <c r="V6401" s="41" t="str"/>
      <c r="W6401" s="41" t="str"/>
    </row>
    <row r="6402">
      <c r="B6402" s="2" t="n"/>
      <c r="C6402" s="40" t="n"/>
      <c r="D6402" s="52">
        <f t="array" ref="D6402:W6402">IF(All_Students_Scores!C6400:V6400="","",All_Students_Scores!C6400:V6400)</f>
        <v/>
      </c>
      <c r="E6402" s="57" t="str"/>
      <c r="F6402" s="49" t="str"/>
      <c r="G6402" s="59" t="str"/>
      <c r="H6402" s="64" t="str"/>
      <c r="I6402" s="65" t="str"/>
      <c r="J6402" s="49" t="str"/>
      <c r="K6402" s="41" t="str"/>
      <c r="L6402" s="41" t="str"/>
      <c r="M6402" s="41" t="str"/>
      <c r="N6402" s="41" t="str"/>
      <c r="O6402" s="41" t="str"/>
      <c r="P6402" s="41" t="str"/>
      <c r="Q6402" s="41" t="str"/>
      <c r="R6402" s="41" t="str"/>
      <c r="S6402" s="41" t="str"/>
      <c r="T6402" s="41" t="str"/>
      <c r="U6402" s="41" t="str"/>
      <c r="V6402" s="41" t="str"/>
      <c r="W6402" s="41" t="str"/>
    </row>
    <row r="6403">
      <c r="B6403" s="2" t="n"/>
      <c r="C6403" s="40" t="n"/>
      <c r="D6403" s="52">
        <f t="array" ref="D6403:W6403">IF(All_Students_Scores!C6401:V6401="","",All_Students_Scores!C6401:V6401)</f>
        <v/>
      </c>
      <c r="E6403" s="57" t="str"/>
      <c r="F6403" s="49" t="str"/>
      <c r="G6403" s="59" t="str"/>
      <c r="H6403" s="64" t="str"/>
      <c r="I6403" s="65" t="str"/>
      <c r="J6403" s="49" t="str"/>
      <c r="K6403" s="41" t="str"/>
      <c r="L6403" s="41" t="str"/>
      <c r="M6403" s="41" t="str"/>
      <c r="N6403" s="41" t="str"/>
      <c r="O6403" s="41" t="str"/>
      <c r="P6403" s="41" t="str"/>
      <c r="Q6403" s="41" t="str"/>
      <c r="R6403" s="41" t="str"/>
      <c r="S6403" s="41" t="str"/>
      <c r="T6403" s="41" t="str"/>
      <c r="U6403" s="41" t="str"/>
      <c r="V6403" s="41" t="str"/>
      <c r="W6403" s="41" t="str"/>
    </row>
    <row r="6404">
      <c r="B6404" s="2" t="n"/>
      <c r="C6404" s="40" t="n"/>
      <c r="D6404" s="52">
        <f t="array" ref="D6404:W6404">IF(All_Students_Scores!C6402:V6402="","",All_Students_Scores!C6402:V6402)</f>
        <v/>
      </c>
      <c r="E6404" s="57" t="str"/>
      <c r="F6404" s="49" t="str"/>
      <c r="G6404" s="59" t="str"/>
      <c r="H6404" s="64" t="str"/>
      <c r="I6404" s="65" t="str"/>
      <c r="J6404" s="49" t="str"/>
      <c r="K6404" s="41" t="str"/>
      <c r="L6404" s="41" t="str"/>
      <c r="M6404" s="41" t="str"/>
      <c r="N6404" s="41" t="str"/>
      <c r="O6404" s="41" t="str"/>
      <c r="P6404" s="41" t="str"/>
      <c r="Q6404" s="41" t="str"/>
      <c r="R6404" s="41" t="str"/>
      <c r="S6404" s="41" t="str"/>
      <c r="T6404" s="41" t="str"/>
      <c r="U6404" s="41" t="str"/>
      <c r="V6404" s="41" t="str"/>
      <c r="W6404" s="41" t="str"/>
    </row>
    <row r="6405">
      <c r="B6405" s="2" t="n"/>
      <c r="C6405" s="40" t="n"/>
      <c r="D6405" s="52">
        <f t="array" ref="D6405:W6405">IF(All_Students_Scores!C6403:V6403="","",All_Students_Scores!C6403:V6403)</f>
        <v/>
      </c>
      <c r="E6405" s="57" t="str"/>
      <c r="F6405" s="49" t="str"/>
      <c r="G6405" s="59" t="str"/>
      <c r="H6405" s="64" t="str"/>
      <c r="I6405" s="65" t="str"/>
      <c r="J6405" s="49" t="str"/>
      <c r="K6405" s="41" t="str"/>
      <c r="L6405" s="41" t="str"/>
      <c r="M6405" s="41" t="str"/>
      <c r="N6405" s="41" t="str"/>
      <c r="O6405" s="41" t="str"/>
      <c r="P6405" s="41" t="str"/>
      <c r="Q6405" s="41" t="str"/>
      <c r="R6405" s="41" t="str"/>
      <c r="S6405" s="41" t="str"/>
      <c r="T6405" s="41" t="str"/>
      <c r="U6405" s="41" t="str"/>
      <c r="V6405" s="41" t="str"/>
      <c r="W6405" s="41" t="str"/>
    </row>
    <row r="6406">
      <c r="B6406" s="2" t="n"/>
      <c r="C6406" s="40" t="n"/>
      <c r="D6406" s="52">
        <f t="array" ref="D6406:W6406">IF(All_Students_Scores!C6404:V6404="","",All_Students_Scores!C6404:V6404)</f>
        <v/>
      </c>
      <c r="E6406" s="57" t="str"/>
      <c r="F6406" s="49" t="str"/>
      <c r="G6406" s="59" t="str"/>
      <c r="H6406" s="64" t="str"/>
      <c r="I6406" s="65" t="str"/>
      <c r="J6406" s="49" t="str"/>
      <c r="K6406" s="41" t="str"/>
      <c r="L6406" s="41" t="str"/>
      <c r="M6406" s="41" t="str"/>
      <c r="N6406" s="41" t="str"/>
      <c r="O6406" s="41" t="str"/>
      <c r="P6406" s="41" t="str"/>
      <c r="Q6406" s="41" t="str"/>
      <c r="R6406" s="41" t="str"/>
      <c r="S6406" s="41" t="str"/>
      <c r="T6406" s="41" t="str"/>
      <c r="U6406" s="41" t="str"/>
      <c r="V6406" s="41" t="str"/>
      <c r="W6406" s="41" t="str"/>
    </row>
    <row r="6407">
      <c r="B6407" s="2" t="n"/>
      <c r="C6407" s="40" t="n"/>
      <c r="D6407" s="52">
        <f t="array" ref="D6407:W6407">IF(All_Students_Scores!C6405:V6405="","",All_Students_Scores!C6405:V6405)</f>
        <v/>
      </c>
      <c r="E6407" s="57" t="str"/>
      <c r="F6407" s="49" t="str"/>
      <c r="G6407" s="59" t="str"/>
      <c r="H6407" s="64" t="str"/>
      <c r="I6407" s="65" t="str"/>
      <c r="J6407" s="49" t="str"/>
      <c r="K6407" s="41" t="str"/>
      <c r="L6407" s="41" t="str"/>
      <c r="M6407" s="41" t="str"/>
      <c r="N6407" s="41" t="str"/>
      <c r="O6407" s="41" t="str"/>
      <c r="P6407" s="41" t="str"/>
      <c r="Q6407" s="41" t="str"/>
      <c r="R6407" s="41" t="str"/>
      <c r="S6407" s="41" t="str"/>
      <c r="T6407" s="41" t="str"/>
      <c r="U6407" s="41" t="str"/>
      <c r="V6407" s="41" t="str"/>
      <c r="W6407" s="41" t="str"/>
    </row>
    <row r="6408">
      <c r="B6408" s="2" t="n"/>
      <c r="C6408" s="40" t="n"/>
      <c r="D6408" s="52">
        <f t="array" ref="D6408:W6408">IF(All_Students_Scores!C6406:V6406="","",All_Students_Scores!C6406:V6406)</f>
        <v/>
      </c>
      <c r="E6408" s="57" t="str"/>
      <c r="F6408" s="49" t="str"/>
      <c r="G6408" s="59" t="str"/>
      <c r="H6408" s="64" t="str"/>
      <c r="I6408" s="65" t="str"/>
      <c r="J6408" s="49" t="str"/>
      <c r="K6408" s="41" t="str"/>
      <c r="L6408" s="41" t="str"/>
      <c r="M6408" s="41" t="str"/>
      <c r="N6408" s="41" t="str"/>
      <c r="O6408" s="41" t="str"/>
      <c r="P6408" s="41" t="str"/>
      <c r="Q6408" s="41" t="str"/>
      <c r="R6408" s="41" t="str"/>
      <c r="S6408" s="41" t="str"/>
      <c r="T6408" s="41" t="str"/>
      <c r="U6408" s="41" t="str"/>
      <c r="V6408" s="41" t="str"/>
      <c r="W6408" s="41" t="str"/>
    </row>
    <row r="6409">
      <c r="B6409" s="2" t="n"/>
      <c r="C6409" s="40" t="n"/>
      <c r="D6409" s="52">
        <f t="array" ref="D6409:W6409">IF(All_Students_Scores!C6407:V6407="","",All_Students_Scores!C6407:V6407)</f>
        <v/>
      </c>
      <c r="E6409" s="57" t="str"/>
      <c r="F6409" s="49" t="str"/>
      <c r="G6409" s="59" t="str"/>
      <c r="H6409" s="64" t="str"/>
      <c r="I6409" s="65" t="str"/>
      <c r="J6409" s="49" t="str"/>
      <c r="K6409" s="41" t="str"/>
      <c r="L6409" s="41" t="str"/>
      <c r="M6409" s="41" t="str"/>
      <c r="N6409" s="41" t="str"/>
      <c r="O6409" s="41" t="str"/>
      <c r="P6409" s="41" t="str"/>
      <c r="Q6409" s="41" t="str"/>
      <c r="R6409" s="41" t="str"/>
      <c r="S6409" s="41" t="str"/>
      <c r="T6409" s="41" t="str"/>
      <c r="U6409" s="41" t="str"/>
      <c r="V6409" s="41" t="str"/>
      <c r="W6409" s="41" t="str"/>
    </row>
    <row r="6410">
      <c r="B6410" s="2" t="n"/>
      <c r="C6410" s="40" t="n"/>
      <c r="D6410" s="52">
        <f t="array" ref="D6410:W6410">IF(All_Students_Scores!C6408:V6408="","",All_Students_Scores!C6408:V6408)</f>
        <v/>
      </c>
      <c r="E6410" s="57" t="str"/>
      <c r="F6410" s="49" t="str"/>
      <c r="G6410" s="59" t="str"/>
      <c r="H6410" s="64" t="str"/>
      <c r="I6410" s="65" t="str"/>
      <c r="J6410" s="49" t="str"/>
      <c r="K6410" s="41" t="str"/>
      <c r="L6410" s="41" t="str"/>
      <c r="M6410" s="41" t="str"/>
      <c r="N6410" s="41" t="str"/>
      <c r="O6410" s="41" t="str"/>
      <c r="P6410" s="41" t="str"/>
      <c r="Q6410" s="41" t="str"/>
      <c r="R6410" s="41" t="str"/>
      <c r="S6410" s="41" t="str"/>
      <c r="T6410" s="41" t="str"/>
      <c r="U6410" s="41" t="str"/>
      <c r="V6410" s="41" t="str"/>
      <c r="W6410" s="41" t="str"/>
    </row>
    <row r="6411">
      <c r="B6411" s="2" t="n"/>
      <c r="C6411" s="40" t="n"/>
      <c r="D6411" s="52">
        <f t="array" ref="D6411:W6411">IF(All_Students_Scores!C6409:V6409="","",All_Students_Scores!C6409:V6409)</f>
        <v/>
      </c>
      <c r="E6411" s="57" t="str"/>
      <c r="F6411" s="49" t="str"/>
      <c r="G6411" s="59" t="str"/>
      <c r="H6411" s="64" t="str"/>
      <c r="I6411" s="65" t="str"/>
      <c r="J6411" s="49" t="str"/>
      <c r="K6411" s="41" t="str"/>
      <c r="L6411" s="41" t="str"/>
      <c r="M6411" s="41" t="str"/>
      <c r="N6411" s="41" t="str"/>
      <c r="O6411" s="41" t="str"/>
      <c r="P6411" s="41" t="str"/>
      <c r="Q6411" s="41" t="str"/>
      <c r="R6411" s="41" t="str"/>
      <c r="S6411" s="41" t="str"/>
      <c r="T6411" s="41" t="str"/>
      <c r="U6411" s="41" t="str"/>
      <c r="V6411" s="41" t="str"/>
      <c r="W6411" s="41" t="str"/>
    </row>
    <row r="6412">
      <c r="B6412" s="2" t="n"/>
      <c r="C6412" s="40" t="n"/>
      <c r="D6412" s="52">
        <f t="array" ref="D6412:W6412">IF(All_Students_Scores!C6410:V6410="","",All_Students_Scores!C6410:V6410)</f>
        <v/>
      </c>
      <c r="E6412" s="57" t="str"/>
      <c r="F6412" s="49" t="str"/>
      <c r="G6412" s="59" t="str"/>
      <c r="H6412" s="64" t="str"/>
      <c r="I6412" s="65" t="str"/>
      <c r="J6412" s="49" t="str"/>
      <c r="K6412" s="41" t="str"/>
      <c r="L6412" s="41" t="str"/>
      <c r="M6412" s="41" t="str"/>
      <c r="N6412" s="41" t="str"/>
      <c r="O6412" s="41" t="str"/>
      <c r="P6412" s="41" t="str"/>
      <c r="Q6412" s="41" t="str"/>
      <c r="R6412" s="41" t="str"/>
      <c r="S6412" s="41" t="str"/>
      <c r="T6412" s="41" t="str"/>
      <c r="U6412" s="41" t="str"/>
      <c r="V6412" s="41" t="str"/>
      <c r="W6412" s="41" t="str"/>
    </row>
    <row r="6413">
      <c r="B6413" s="2" t="n"/>
      <c r="C6413" s="40" t="n"/>
      <c r="D6413" s="52">
        <f t="array" ref="D6413:W6413">IF(All_Students_Scores!C6411:V6411="","",All_Students_Scores!C6411:V6411)</f>
        <v/>
      </c>
      <c r="E6413" s="57" t="str"/>
      <c r="F6413" s="49" t="str"/>
      <c r="G6413" s="59" t="str"/>
      <c r="H6413" s="64" t="str"/>
      <c r="I6413" s="65" t="str"/>
      <c r="J6413" s="49" t="str"/>
      <c r="K6413" s="41" t="str"/>
      <c r="L6413" s="41" t="str"/>
      <c r="M6413" s="41" t="str"/>
      <c r="N6413" s="41" t="str"/>
      <c r="O6413" s="41" t="str"/>
      <c r="P6413" s="41" t="str"/>
      <c r="Q6413" s="41" t="str"/>
      <c r="R6413" s="41" t="str"/>
      <c r="S6413" s="41" t="str"/>
      <c r="T6413" s="41" t="str"/>
      <c r="U6413" s="41" t="str"/>
      <c r="V6413" s="41" t="str"/>
      <c r="W6413" s="41" t="str"/>
    </row>
    <row r="6414">
      <c r="B6414" s="2" t="n"/>
      <c r="C6414" s="40" t="n"/>
      <c r="D6414" s="52">
        <f t="array" ref="D6414:W6414">IF(All_Students_Scores!C6412:V6412="","",All_Students_Scores!C6412:V6412)</f>
        <v/>
      </c>
      <c r="E6414" s="57" t="str"/>
      <c r="F6414" s="49" t="str"/>
      <c r="G6414" s="59" t="str"/>
      <c r="H6414" s="64" t="str"/>
      <c r="I6414" s="65" t="str"/>
      <c r="J6414" s="49" t="str"/>
      <c r="K6414" s="41" t="str"/>
      <c r="L6414" s="41" t="str"/>
      <c r="M6414" s="41" t="str"/>
      <c r="N6414" s="41" t="str"/>
      <c r="O6414" s="41" t="str"/>
      <c r="P6414" s="41" t="str"/>
      <c r="Q6414" s="41" t="str"/>
      <c r="R6414" s="41" t="str"/>
      <c r="S6414" s="41" t="str"/>
      <c r="T6414" s="41" t="str"/>
      <c r="U6414" s="41" t="str"/>
      <c r="V6414" s="41" t="str"/>
      <c r="W6414" s="41" t="str"/>
    </row>
    <row r="6415">
      <c r="B6415" s="2" t="n"/>
      <c r="C6415" s="40" t="n"/>
      <c r="D6415" s="52">
        <f t="array" ref="D6415:W6415">IF(All_Students_Scores!C6413:V6413="","",All_Students_Scores!C6413:V6413)</f>
        <v/>
      </c>
      <c r="E6415" s="57" t="str"/>
      <c r="F6415" s="49" t="str"/>
      <c r="G6415" s="59" t="str"/>
      <c r="H6415" s="64" t="str"/>
      <c r="I6415" s="65" t="str"/>
      <c r="J6415" s="49" t="str"/>
      <c r="K6415" s="41" t="str"/>
      <c r="L6415" s="41" t="str"/>
      <c r="M6415" s="41" t="str"/>
      <c r="N6415" s="41" t="str"/>
      <c r="O6415" s="41" t="str"/>
      <c r="P6415" s="41" t="str"/>
      <c r="Q6415" s="41" t="str"/>
      <c r="R6415" s="41" t="str"/>
      <c r="S6415" s="41" t="str"/>
      <c r="T6415" s="41" t="str"/>
      <c r="U6415" s="41" t="str"/>
      <c r="V6415" s="41" t="str"/>
      <c r="W6415" s="41" t="str"/>
    </row>
    <row r="6416">
      <c r="B6416" s="2" t="n"/>
      <c r="C6416" s="40" t="n"/>
      <c r="D6416" s="52">
        <f t="array" ref="D6416:W6416">IF(All_Students_Scores!C6414:V6414="","",All_Students_Scores!C6414:V6414)</f>
        <v/>
      </c>
      <c r="E6416" s="57" t="str"/>
      <c r="F6416" s="49" t="str"/>
      <c r="G6416" s="59" t="str"/>
      <c r="H6416" s="64" t="str"/>
      <c r="I6416" s="65" t="str"/>
      <c r="J6416" s="49" t="str"/>
      <c r="K6416" s="41" t="str"/>
      <c r="L6416" s="41" t="str"/>
      <c r="M6416" s="41" t="str"/>
      <c r="N6416" s="41" t="str"/>
      <c r="O6416" s="41" t="str"/>
      <c r="P6416" s="41" t="str"/>
      <c r="Q6416" s="41" t="str"/>
      <c r="R6416" s="41" t="str"/>
      <c r="S6416" s="41" t="str"/>
      <c r="T6416" s="41" t="str"/>
      <c r="U6416" s="41" t="str"/>
      <c r="V6416" s="41" t="str"/>
      <c r="W6416" s="41" t="str"/>
    </row>
    <row r="6417">
      <c r="B6417" s="2" t="n"/>
      <c r="C6417" s="40" t="n"/>
      <c r="D6417" s="52">
        <f t="array" ref="D6417:W6417">IF(All_Students_Scores!C6415:V6415="","",All_Students_Scores!C6415:V6415)</f>
        <v/>
      </c>
      <c r="E6417" s="57" t="str"/>
      <c r="F6417" s="49" t="str"/>
      <c r="G6417" s="59" t="str"/>
      <c r="H6417" s="64" t="str"/>
      <c r="I6417" s="65" t="str"/>
      <c r="J6417" s="49" t="str"/>
      <c r="K6417" s="41" t="str"/>
      <c r="L6417" s="41" t="str"/>
      <c r="M6417" s="41" t="str"/>
      <c r="N6417" s="41" t="str"/>
      <c r="O6417" s="41" t="str"/>
      <c r="P6417" s="41" t="str"/>
      <c r="Q6417" s="41" t="str"/>
      <c r="R6417" s="41" t="str"/>
      <c r="S6417" s="41" t="str"/>
      <c r="T6417" s="41" t="str"/>
      <c r="U6417" s="41" t="str"/>
      <c r="V6417" s="41" t="str"/>
      <c r="W6417" s="41" t="str"/>
    </row>
    <row r="6418">
      <c r="B6418" s="2" t="n"/>
      <c r="C6418" s="40" t="n"/>
      <c r="D6418" s="52">
        <f t="array" ref="D6418:W6418">IF(All_Students_Scores!C6416:V6416="","",All_Students_Scores!C6416:V6416)</f>
        <v/>
      </c>
      <c r="E6418" s="57" t="str"/>
      <c r="F6418" s="49" t="str"/>
      <c r="G6418" s="59" t="str"/>
      <c r="H6418" s="64" t="str"/>
      <c r="I6418" s="65" t="str"/>
      <c r="J6418" s="49" t="str"/>
      <c r="K6418" s="41" t="str"/>
      <c r="L6418" s="41" t="str"/>
      <c r="M6418" s="41" t="str"/>
      <c r="N6418" s="41" t="str"/>
      <c r="O6418" s="41" t="str"/>
      <c r="P6418" s="41" t="str"/>
      <c r="Q6418" s="41" t="str"/>
      <c r="R6418" s="41" t="str"/>
      <c r="S6418" s="41" t="str"/>
      <c r="T6418" s="41" t="str"/>
      <c r="U6418" s="41" t="str"/>
      <c r="V6418" s="41" t="str"/>
      <c r="W6418" s="41" t="str"/>
    </row>
    <row r="6419">
      <c r="B6419" s="2" t="n"/>
      <c r="C6419" s="40" t="n"/>
      <c r="D6419" s="52">
        <f t="array" ref="D6419:W6419">IF(All_Students_Scores!C6417:V6417="","",All_Students_Scores!C6417:V6417)</f>
        <v/>
      </c>
      <c r="E6419" s="57" t="str"/>
      <c r="F6419" s="49" t="str"/>
      <c r="G6419" s="59" t="str"/>
      <c r="H6419" s="64" t="str"/>
      <c r="I6419" s="65" t="str"/>
      <c r="J6419" s="49" t="str"/>
      <c r="K6419" s="41" t="str"/>
      <c r="L6419" s="41" t="str"/>
      <c r="M6419" s="41" t="str"/>
      <c r="N6419" s="41" t="str"/>
      <c r="O6419" s="41" t="str"/>
      <c r="P6419" s="41" t="str"/>
      <c r="Q6419" s="41" t="str"/>
      <c r="R6419" s="41" t="str"/>
      <c r="S6419" s="41" t="str"/>
      <c r="T6419" s="41" t="str"/>
      <c r="U6419" s="41" t="str"/>
      <c r="V6419" s="41" t="str"/>
      <c r="W6419" s="41" t="str"/>
    </row>
    <row r="6420">
      <c r="B6420" s="2" t="n"/>
      <c r="C6420" s="40" t="n"/>
      <c r="D6420" s="52">
        <f t="array" ref="D6420:W6420">IF(All_Students_Scores!C6418:V6418="","",All_Students_Scores!C6418:V6418)</f>
        <v/>
      </c>
      <c r="E6420" s="57" t="str"/>
      <c r="F6420" s="49" t="str"/>
      <c r="G6420" s="59" t="str"/>
      <c r="H6420" s="64" t="str"/>
      <c r="I6420" s="65" t="str"/>
      <c r="J6420" s="49" t="str"/>
      <c r="K6420" s="41" t="str"/>
      <c r="L6420" s="41" t="str"/>
      <c r="M6420" s="41" t="str"/>
      <c r="N6420" s="41" t="str"/>
      <c r="O6420" s="41" t="str"/>
      <c r="P6420" s="41" t="str"/>
      <c r="Q6420" s="41" t="str"/>
      <c r="R6420" s="41" t="str"/>
      <c r="S6420" s="41" t="str"/>
      <c r="T6420" s="41" t="str"/>
      <c r="U6420" s="41" t="str"/>
      <c r="V6420" s="41" t="str"/>
      <c r="W6420" s="41" t="str"/>
    </row>
    <row r="6421">
      <c r="B6421" s="2" t="n"/>
      <c r="C6421" s="40" t="n"/>
      <c r="D6421" s="52">
        <f t="array" ref="D6421:W6421">IF(All_Students_Scores!C6419:V6419="","",All_Students_Scores!C6419:V6419)</f>
        <v/>
      </c>
      <c r="E6421" s="57" t="str"/>
      <c r="F6421" s="49" t="str"/>
      <c r="G6421" s="59" t="str"/>
      <c r="H6421" s="64" t="str"/>
      <c r="I6421" s="65" t="str"/>
      <c r="J6421" s="49" t="str"/>
      <c r="K6421" s="41" t="str"/>
      <c r="L6421" s="41" t="str"/>
      <c r="M6421" s="41" t="str"/>
      <c r="N6421" s="41" t="str"/>
      <c r="O6421" s="41" t="str"/>
      <c r="P6421" s="41" t="str"/>
      <c r="Q6421" s="41" t="str"/>
      <c r="R6421" s="41" t="str"/>
      <c r="S6421" s="41" t="str"/>
      <c r="T6421" s="41" t="str"/>
      <c r="U6421" s="41" t="str"/>
      <c r="V6421" s="41" t="str"/>
      <c r="W6421" s="41" t="str"/>
    </row>
    <row r="6422">
      <c r="B6422" s="2" t="n"/>
      <c r="C6422" s="40" t="n"/>
      <c r="D6422" s="52">
        <f t="array" ref="D6422:W6422">IF(All_Students_Scores!C6420:V6420="","",All_Students_Scores!C6420:V6420)</f>
        <v/>
      </c>
      <c r="E6422" s="57" t="str"/>
      <c r="F6422" s="49" t="str"/>
      <c r="G6422" s="59" t="str"/>
      <c r="H6422" s="64" t="str"/>
      <c r="I6422" s="65" t="str"/>
      <c r="J6422" s="49" t="str"/>
      <c r="K6422" s="41" t="str"/>
      <c r="L6422" s="41" t="str"/>
      <c r="M6422" s="41" t="str"/>
      <c r="N6422" s="41" t="str"/>
      <c r="O6422" s="41" t="str"/>
      <c r="P6422" s="41" t="str"/>
      <c r="Q6422" s="41" t="str"/>
      <c r="R6422" s="41" t="str"/>
      <c r="S6422" s="41" t="str"/>
      <c r="T6422" s="41" t="str"/>
      <c r="U6422" s="41" t="str"/>
      <c r="V6422" s="41" t="str"/>
      <c r="W6422" s="41" t="str"/>
    </row>
    <row r="6423">
      <c r="B6423" s="2" t="n"/>
      <c r="C6423" s="40" t="n"/>
      <c r="D6423" s="52">
        <f t="array" ref="D6423:W6423">IF(All_Students_Scores!C6421:V6421="","",All_Students_Scores!C6421:V6421)</f>
        <v/>
      </c>
      <c r="E6423" s="57" t="str"/>
      <c r="F6423" s="49" t="str"/>
      <c r="G6423" s="59" t="str"/>
      <c r="H6423" s="64" t="str"/>
      <c r="I6423" s="65" t="str"/>
      <c r="J6423" s="49" t="str"/>
      <c r="K6423" s="41" t="str"/>
      <c r="L6423" s="41" t="str"/>
      <c r="M6423" s="41" t="str"/>
      <c r="N6423" s="41" t="str"/>
      <c r="O6423" s="41" t="str"/>
      <c r="P6423" s="41" t="str"/>
      <c r="Q6423" s="41" t="str"/>
      <c r="R6423" s="41" t="str"/>
      <c r="S6423" s="41" t="str"/>
      <c r="T6423" s="41" t="str"/>
      <c r="U6423" s="41" t="str"/>
      <c r="V6423" s="41" t="str"/>
      <c r="W6423" s="41" t="str"/>
    </row>
    <row r="6424">
      <c r="B6424" s="2" t="n"/>
      <c r="C6424" s="40" t="n"/>
      <c r="D6424" s="52">
        <f t="array" ref="D6424:W6424">IF(All_Students_Scores!C6422:V6422="","",All_Students_Scores!C6422:V6422)</f>
        <v/>
      </c>
      <c r="E6424" s="57" t="str"/>
      <c r="F6424" s="49" t="str"/>
      <c r="G6424" s="59" t="str"/>
      <c r="H6424" s="64" t="str"/>
      <c r="I6424" s="65" t="str"/>
      <c r="J6424" s="49" t="str"/>
      <c r="K6424" s="41" t="str"/>
      <c r="L6424" s="41" t="str"/>
      <c r="M6424" s="41" t="str"/>
      <c r="N6424" s="41" t="str"/>
      <c r="O6424" s="41" t="str"/>
      <c r="P6424" s="41" t="str"/>
      <c r="Q6424" s="41" t="str"/>
      <c r="R6424" s="41" t="str"/>
      <c r="S6424" s="41" t="str"/>
      <c r="T6424" s="41" t="str"/>
      <c r="U6424" s="41" t="str"/>
      <c r="V6424" s="41" t="str"/>
      <c r="W6424" s="41" t="str"/>
    </row>
    <row r="6425">
      <c r="B6425" s="2" t="n"/>
      <c r="C6425" s="40" t="n"/>
      <c r="D6425" s="52">
        <f t="array" ref="D6425:W6425">IF(All_Students_Scores!C6423:V6423="","",All_Students_Scores!C6423:V6423)</f>
        <v/>
      </c>
      <c r="E6425" s="57" t="str"/>
      <c r="F6425" s="49" t="str"/>
      <c r="G6425" s="59" t="str"/>
      <c r="H6425" s="64" t="str"/>
      <c r="I6425" s="65" t="str"/>
      <c r="J6425" s="49" t="str"/>
      <c r="K6425" s="41" t="str"/>
      <c r="L6425" s="41" t="str"/>
      <c r="M6425" s="41" t="str"/>
      <c r="N6425" s="41" t="str"/>
      <c r="O6425" s="41" t="str"/>
      <c r="P6425" s="41" t="str"/>
      <c r="Q6425" s="41" t="str"/>
      <c r="R6425" s="41" t="str"/>
      <c r="S6425" s="41" t="str"/>
      <c r="T6425" s="41" t="str"/>
      <c r="U6425" s="41" t="str"/>
      <c r="V6425" s="41" t="str"/>
      <c r="W6425" s="41" t="str"/>
    </row>
    <row r="6426">
      <c r="B6426" s="2" t="n"/>
      <c r="C6426" s="40" t="n"/>
      <c r="D6426" s="52">
        <f t="array" ref="D6426:W6426">IF(All_Students_Scores!C6424:V6424="","",All_Students_Scores!C6424:V6424)</f>
        <v/>
      </c>
      <c r="E6426" s="57" t="str"/>
      <c r="F6426" s="49" t="str"/>
      <c r="G6426" s="59" t="str"/>
      <c r="H6426" s="64" t="str"/>
      <c r="I6426" s="65" t="str"/>
      <c r="J6426" s="49" t="str"/>
      <c r="K6426" s="41" t="str"/>
      <c r="L6426" s="41" t="str"/>
      <c r="M6426" s="41" t="str"/>
      <c r="N6426" s="41" t="str"/>
      <c r="O6426" s="41" t="str"/>
      <c r="P6426" s="41" t="str"/>
      <c r="Q6426" s="41" t="str"/>
      <c r="R6426" s="41" t="str"/>
      <c r="S6426" s="41" t="str"/>
      <c r="T6426" s="41" t="str"/>
      <c r="U6426" s="41" t="str"/>
      <c r="V6426" s="41" t="str"/>
      <c r="W6426" s="41" t="str"/>
    </row>
    <row r="6427">
      <c r="B6427" s="2" t="n"/>
      <c r="C6427" s="40" t="n"/>
      <c r="D6427" s="52">
        <f t="array" ref="D6427:W6427">IF(All_Students_Scores!C6425:V6425="","",All_Students_Scores!C6425:V6425)</f>
        <v/>
      </c>
      <c r="E6427" s="57" t="str"/>
      <c r="F6427" s="49" t="str"/>
      <c r="G6427" s="59" t="str"/>
      <c r="H6427" s="64" t="str"/>
      <c r="I6427" s="65" t="str"/>
      <c r="J6427" s="49" t="str"/>
      <c r="K6427" s="41" t="str"/>
      <c r="L6427" s="41" t="str"/>
      <c r="M6427" s="41" t="str"/>
      <c r="N6427" s="41" t="str"/>
      <c r="O6427" s="41" t="str"/>
      <c r="P6427" s="41" t="str"/>
      <c r="Q6427" s="41" t="str"/>
      <c r="R6427" s="41" t="str"/>
      <c r="S6427" s="41" t="str"/>
      <c r="T6427" s="41" t="str"/>
      <c r="U6427" s="41" t="str"/>
      <c r="V6427" s="41" t="str"/>
      <c r="W6427" s="41" t="str"/>
    </row>
    <row r="6428">
      <c r="B6428" s="2" t="n"/>
      <c r="C6428" s="40" t="n"/>
      <c r="D6428" s="52">
        <f t="array" ref="D6428:W6428">IF(All_Students_Scores!C6426:V6426="","",All_Students_Scores!C6426:V6426)</f>
        <v/>
      </c>
      <c r="E6428" s="57" t="str"/>
      <c r="F6428" s="49" t="str"/>
      <c r="G6428" s="59" t="str"/>
      <c r="H6428" s="64" t="str"/>
      <c r="I6428" s="65" t="str"/>
      <c r="J6428" s="49" t="str"/>
      <c r="K6428" s="41" t="str"/>
      <c r="L6428" s="41" t="str"/>
      <c r="M6428" s="41" t="str"/>
      <c r="N6428" s="41" t="str"/>
      <c r="O6428" s="41" t="str"/>
      <c r="P6428" s="41" t="str"/>
      <c r="Q6428" s="41" t="str"/>
      <c r="R6428" s="41" t="str"/>
      <c r="S6428" s="41" t="str"/>
      <c r="T6428" s="41" t="str"/>
      <c r="U6428" s="41" t="str"/>
      <c r="V6428" s="41" t="str"/>
      <c r="W6428" s="41" t="str"/>
    </row>
    <row r="6429">
      <c r="B6429" s="2" t="n"/>
      <c r="C6429" s="40" t="n"/>
      <c r="D6429" s="52">
        <f t="array" ref="D6429:W6429">IF(All_Students_Scores!C6427:V6427="","",All_Students_Scores!C6427:V6427)</f>
        <v/>
      </c>
      <c r="E6429" s="57" t="str"/>
      <c r="F6429" s="49" t="str"/>
      <c r="G6429" s="59" t="str"/>
      <c r="H6429" s="64" t="str"/>
      <c r="I6429" s="65" t="str"/>
      <c r="J6429" s="49" t="str"/>
      <c r="K6429" s="41" t="str"/>
      <c r="L6429" s="41" t="str"/>
      <c r="M6429" s="41" t="str"/>
      <c r="N6429" s="41" t="str"/>
      <c r="O6429" s="41" t="str"/>
      <c r="P6429" s="41" t="str"/>
      <c r="Q6429" s="41" t="str"/>
      <c r="R6429" s="41" t="str"/>
      <c r="S6429" s="41" t="str"/>
      <c r="T6429" s="41" t="str"/>
      <c r="U6429" s="41" t="str"/>
      <c r="V6429" s="41" t="str"/>
      <c r="W6429" s="41" t="str"/>
    </row>
    <row r="6430">
      <c r="B6430" s="2" t="n"/>
      <c r="C6430" s="40" t="n"/>
      <c r="D6430" s="52">
        <f t="array" ref="D6430:W6430">IF(All_Students_Scores!C6428:V6428="","",All_Students_Scores!C6428:V6428)</f>
        <v/>
      </c>
      <c r="E6430" s="57" t="str"/>
      <c r="F6430" s="49" t="str"/>
      <c r="G6430" s="59" t="str"/>
      <c r="H6430" s="64" t="str"/>
      <c r="I6430" s="65" t="str"/>
      <c r="J6430" s="49" t="str"/>
      <c r="K6430" s="41" t="str"/>
      <c r="L6430" s="41" t="str"/>
      <c r="M6430" s="41" t="str"/>
      <c r="N6430" s="41" t="str"/>
      <c r="O6430" s="41" t="str"/>
      <c r="P6430" s="41" t="str"/>
      <c r="Q6430" s="41" t="str"/>
      <c r="R6430" s="41" t="str"/>
      <c r="S6430" s="41" t="str"/>
      <c r="T6430" s="41" t="str"/>
      <c r="U6430" s="41" t="str"/>
      <c r="V6430" s="41" t="str"/>
      <c r="W6430" s="41" t="str"/>
    </row>
    <row r="6431">
      <c r="B6431" s="2" t="n"/>
      <c r="C6431" s="40" t="n"/>
      <c r="D6431" s="52">
        <f t="array" ref="D6431:W6431">IF(All_Students_Scores!C6429:V6429="","",All_Students_Scores!C6429:V6429)</f>
        <v/>
      </c>
      <c r="E6431" s="57" t="str"/>
      <c r="F6431" s="49" t="str"/>
      <c r="G6431" s="59" t="str"/>
      <c r="H6431" s="64" t="str"/>
      <c r="I6431" s="65" t="str"/>
      <c r="J6431" s="49" t="str"/>
      <c r="K6431" s="41" t="str"/>
      <c r="L6431" s="41" t="str"/>
      <c r="M6431" s="41" t="str"/>
      <c r="N6431" s="41" t="str"/>
      <c r="O6431" s="41" t="str"/>
      <c r="P6431" s="41" t="str"/>
      <c r="Q6431" s="41" t="str"/>
      <c r="R6431" s="41" t="str"/>
      <c r="S6431" s="41" t="str"/>
      <c r="T6431" s="41" t="str"/>
      <c r="U6431" s="41" t="str"/>
      <c r="V6431" s="41" t="str"/>
      <c r="W6431" s="41" t="str"/>
    </row>
    <row r="6432">
      <c r="B6432" s="2" t="n"/>
      <c r="C6432" s="40" t="n"/>
      <c r="D6432" s="52">
        <f t="array" ref="D6432:W6432">IF(All_Students_Scores!C6430:V6430="","",All_Students_Scores!C6430:V6430)</f>
        <v/>
      </c>
      <c r="E6432" s="57" t="str"/>
      <c r="F6432" s="49" t="str"/>
      <c r="G6432" s="59" t="str"/>
      <c r="H6432" s="64" t="str"/>
      <c r="I6432" s="65" t="str"/>
      <c r="J6432" s="49" t="str"/>
      <c r="K6432" s="41" t="str"/>
      <c r="L6432" s="41" t="str"/>
      <c r="M6432" s="41" t="str"/>
      <c r="N6432" s="41" t="str"/>
      <c r="O6432" s="41" t="str"/>
      <c r="P6432" s="41" t="str"/>
      <c r="Q6432" s="41" t="str"/>
      <c r="R6432" s="41" t="str"/>
      <c r="S6432" s="41" t="str"/>
      <c r="T6432" s="41" t="str"/>
      <c r="U6432" s="41" t="str"/>
      <c r="V6432" s="41" t="str"/>
      <c r="W6432" s="41" t="str"/>
    </row>
    <row r="6433">
      <c r="B6433" s="2" t="n"/>
      <c r="C6433" s="40" t="n"/>
      <c r="D6433" s="52">
        <f t="array" ref="D6433:W6433">IF(All_Students_Scores!C6431:V6431="","",All_Students_Scores!C6431:V6431)</f>
        <v/>
      </c>
      <c r="E6433" s="57" t="str"/>
      <c r="F6433" s="49" t="str"/>
      <c r="G6433" s="59" t="str"/>
      <c r="H6433" s="64" t="str"/>
      <c r="I6433" s="65" t="str"/>
      <c r="J6433" s="49" t="str"/>
      <c r="K6433" s="41" t="str"/>
      <c r="L6433" s="41" t="str"/>
      <c r="M6433" s="41" t="str"/>
      <c r="N6433" s="41" t="str"/>
      <c r="O6433" s="41" t="str"/>
      <c r="P6433" s="41" t="str"/>
      <c r="Q6433" s="41" t="str"/>
      <c r="R6433" s="41" t="str"/>
      <c r="S6433" s="41" t="str"/>
      <c r="T6433" s="41" t="str"/>
      <c r="U6433" s="41" t="str"/>
      <c r="V6433" s="41" t="str"/>
      <c r="W6433" s="41" t="str"/>
    </row>
    <row r="6434">
      <c r="B6434" s="2" t="n"/>
      <c r="C6434" s="40" t="n"/>
      <c r="D6434" s="52">
        <f t="array" ref="D6434:W6434">IF(All_Students_Scores!C6432:V6432="","",All_Students_Scores!C6432:V6432)</f>
        <v/>
      </c>
      <c r="E6434" s="57" t="str"/>
      <c r="F6434" s="49" t="str"/>
      <c r="G6434" s="59" t="str"/>
      <c r="H6434" s="64" t="str"/>
      <c r="I6434" s="65" t="str"/>
      <c r="J6434" s="49" t="str"/>
      <c r="K6434" s="41" t="str"/>
      <c r="L6434" s="41" t="str"/>
      <c r="M6434" s="41" t="str"/>
      <c r="N6434" s="41" t="str"/>
      <c r="O6434" s="41" t="str"/>
      <c r="P6434" s="41" t="str"/>
      <c r="Q6434" s="41" t="str"/>
      <c r="R6434" s="41" t="str"/>
      <c r="S6434" s="41" t="str"/>
      <c r="T6434" s="41" t="str"/>
      <c r="U6434" s="41" t="str"/>
      <c r="V6434" s="41" t="str"/>
      <c r="W6434" s="41" t="str"/>
    </row>
    <row r="6435">
      <c r="B6435" s="2" t="n"/>
      <c r="C6435" s="40" t="n"/>
      <c r="D6435" s="52">
        <f t="array" ref="D6435:W6435">IF(All_Students_Scores!C6433:V6433="","",All_Students_Scores!C6433:V6433)</f>
        <v/>
      </c>
      <c r="E6435" s="57" t="str"/>
      <c r="F6435" s="49" t="str"/>
      <c r="G6435" s="59" t="str"/>
      <c r="H6435" s="64" t="str"/>
      <c r="I6435" s="65" t="str"/>
      <c r="J6435" s="49" t="str"/>
      <c r="K6435" s="41" t="str"/>
      <c r="L6435" s="41" t="str"/>
      <c r="M6435" s="41" t="str"/>
      <c r="N6435" s="41" t="str"/>
      <c r="O6435" s="41" t="str"/>
      <c r="P6435" s="41" t="str"/>
      <c r="Q6435" s="41" t="str"/>
      <c r="R6435" s="41" t="str"/>
      <c r="S6435" s="41" t="str"/>
      <c r="T6435" s="41" t="str"/>
      <c r="U6435" s="41" t="str"/>
      <c r="V6435" s="41" t="str"/>
      <c r="W6435" s="41" t="str"/>
    </row>
    <row r="6436">
      <c r="B6436" s="2" t="n"/>
      <c r="C6436" s="40" t="n"/>
      <c r="D6436" s="52">
        <f t="array" ref="D6436:W6436">IF(All_Students_Scores!C6434:V6434="","",All_Students_Scores!C6434:V6434)</f>
        <v/>
      </c>
      <c r="E6436" s="57" t="str"/>
      <c r="F6436" s="49" t="str"/>
      <c r="G6436" s="59" t="str"/>
      <c r="H6436" s="64" t="str"/>
      <c r="I6436" s="65" t="str"/>
      <c r="J6436" s="49" t="str"/>
      <c r="K6436" s="41" t="str"/>
      <c r="L6436" s="41" t="str"/>
      <c r="M6436" s="41" t="str"/>
      <c r="N6436" s="41" t="str"/>
      <c r="O6436" s="41" t="str"/>
      <c r="P6436" s="41" t="str"/>
      <c r="Q6436" s="41" t="str"/>
      <c r="R6436" s="41" t="str"/>
      <c r="S6436" s="41" t="str"/>
      <c r="T6436" s="41" t="str"/>
      <c r="U6436" s="41" t="str"/>
      <c r="V6436" s="41" t="str"/>
      <c r="W6436" s="41" t="str"/>
    </row>
    <row r="6437">
      <c r="B6437" s="2" t="n"/>
      <c r="C6437" s="40" t="n"/>
      <c r="D6437" s="52">
        <f t="array" ref="D6437:W6437">IF(All_Students_Scores!C6435:V6435="","",All_Students_Scores!C6435:V6435)</f>
        <v/>
      </c>
      <c r="E6437" s="57" t="str"/>
      <c r="F6437" s="49" t="str"/>
      <c r="G6437" s="59" t="str"/>
      <c r="H6437" s="64" t="str"/>
      <c r="I6437" s="65" t="str"/>
      <c r="J6437" s="49" t="str"/>
      <c r="K6437" s="41" t="str"/>
      <c r="L6437" s="41" t="str"/>
      <c r="M6437" s="41" t="str"/>
      <c r="N6437" s="41" t="str"/>
      <c r="O6437" s="41" t="str"/>
      <c r="P6437" s="41" t="str"/>
      <c r="Q6437" s="41" t="str"/>
      <c r="R6437" s="41" t="str"/>
      <c r="S6437" s="41" t="str"/>
      <c r="T6437" s="41" t="str"/>
      <c r="U6437" s="41" t="str"/>
      <c r="V6437" s="41" t="str"/>
      <c r="W6437" s="41" t="str"/>
    </row>
    <row r="6438">
      <c r="B6438" s="2" t="n"/>
      <c r="C6438" s="40" t="n"/>
      <c r="D6438" s="52">
        <f t="array" ref="D6438:W6438">IF(All_Students_Scores!C6436:V6436="","",All_Students_Scores!C6436:V6436)</f>
        <v/>
      </c>
      <c r="E6438" s="57" t="str"/>
      <c r="F6438" s="49" t="str"/>
      <c r="G6438" s="59" t="str"/>
      <c r="H6438" s="64" t="str"/>
      <c r="I6438" s="65" t="str"/>
      <c r="J6438" s="49" t="str"/>
      <c r="K6438" s="41" t="str"/>
      <c r="L6438" s="41" t="str"/>
      <c r="M6438" s="41" t="str"/>
      <c r="N6438" s="41" t="str"/>
      <c r="O6438" s="41" t="str"/>
      <c r="P6438" s="41" t="str"/>
      <c r="Q6438" s="41" t="str"/>
      <c r="R6438" s="41" t="str"/>
      <c r="S6438" s="41" t="str"/>
      <c r="T6438" s="41" t="str"/>
      <c r="U6438" s="41" t="str"/>
      <c r="V6438" s="41" t="str"/>
      <c r="W6438" s="41" t="str"/>
    </row>
    <row r="6439">
      <c r="B6439" s="2" t="n"/>
      <c r="C6439" s="40" t="n"/>
      <c r="D6439" s="52">
        <f t="array" ref="D6439:W6439">IF(All_Students_Scores!C6437:V6437="","",All_Students_Scores!C6437:V6437)</f>
        <v/>
      </c>
      <c r="E6439" s="57" t="str"/>
      <c r="F6439" s="49" t="str"/>
      <c r="G6439" s="59" t="str"/>
      <c r="H6439" s="64" t="str"/>
      <c r="I6439" s="65" t="str"/>
      <c r="J6439" s="49" t="str"/>
      <c r="K6439" s="41" t="str"/>
      <c r="L6439" s="41" t="str"/>
      <c r="M6439" s="41" t="str"/>
      <c r="N6439" s="41" t="str"/>
      <c r="O6439" s="41" t="str"/>
      <c r="P6439" s="41" t="str"/>
      <c r="Q6439" s="41" t="str"/>
      <c r="R6439" s="41" t="str"/>
      <c r="S6439" s="41" t="str"/>
      <c r="T6439" s="41" t="str"/>
      <c r="U6439" s="41" t="str"/>
      <c r="V6439" s="41" t="str"/>
      <c r="W6439" s="41" t="str"/>
    </row>
    <row r="6440">
      <c r="B6440" s="2" t="n"/>
      <c r="C6440" s="40" t="n"/>
      <c r="D6440" s="52">
        <f t="array" ref="D6440:W6440">IF(All_Students_Scores!C6438:V6438="","",All_Students_Scores!C6438:V6438)</f>
        <v/>
      </c>
      <c r="E6440" s="57" t="str"/>
      <c r="F6440" s="49" t="str"/>
      <c r="G6440" s="59" t="str"/>
      <c r="H6440" s="64" t="str"/>
      <c r="I6440" s="65" t="str"/>
      <c r="J6440" s="49" t="str"/>
      <c r="K6440" s="41" t="str"/>
      <c r="L6440" s="41" t="str"/>
      <c r="M6440" s="41" t="str"/>
      <c r="N6440" s="41" t="str"/>
      <c r="O6440" s="41" t="str"/>
      <c r="P6440" s="41" t="str"/>
      <c r="Q6440" s="41" t="str"/>
      <c r="R6440" s="41" t="str"/>
      <c r="S6440" s="41" t="str"/>
      <c r="T6440" s="41" t="str"/>
      <c r="U6440" s="41" t="str"/>
      <c r="V6440" s="41" t="str"/>
      <c r="W6440" s="41" t="str"/>
    </row>
    <row r="6441">
      <c r="B6441" s="2" t="n"/>
      <c r="C6441" s="40" t="n"/>
      <c r="D6441" s="52">
        <f t="array" ref="D6441:W6441">IF(All_Students_Scores!C6439:V6439="","",All_Students_Scores!C6439:V6439)</f>
        <v/>
      </c>
      <c r="E6441" s="57" t="str"/>
      <c r="F6441" s="49" t="str"/>
      <c r="G6441" s="59" t="str"/>
      <c r="H6441" s="64" t="str"/>
      <c r="I6441" s="65" t="str"/>
      <c r="J6441" s="49" t="str"/>
      <c r="K6441" s="41" t="str"/>
      <c r="L6441" s="41" t="str"/>
      <c r="M6441" s="41" t="str"/>
      <c r="N6441" s="41" t="str"/>
      <c r="O6441" s="41" t="str"/>
      <c r="P6441" s="41" t="str"/>
      <c r="Q6441" s="41" t="str"/>
      <c r="R6441" s="41" t="str"/>
      <c r="S6441" s="41" t="str"/>
      <c r="T6441" s="41" t="str"/>
      <c r="U6441" s="41" t="str"/>
      <c r="V6441" s="41" t="str"/>
      <c r="W6441" s="41" t="str"/>
    </row>
    <row r="6442">
      <c r="B6442" s="2" t="n"/>
      <c r="C6442" s="40" t="n"/>
      <c r="D6442" s="52">
        <f t="array" ref="D6442:W6442">IF(All_Students_Scores!C6440:V6440="","",All_Students_Scores!C6440:V6440)</f>
        <v/>
      </c>
      <c r="E6442" s="57" t="str"/>
      <c r="F6442" s="49" t="str"/>
      <c r="G6442" s="59" t="str"/>
      <c r="H6442" s="64" t="str"/>
      <c r="I6442" s="65" t="str"/>
      <c r="J6442" s="49" t="str"/>
      <c r="K6442" s="41" t="str"/>
      <c r="L6442" s="41" t="str"/>
      <c r="M6442" s="41" t="str"/>
      <c r="N6442" s="41" t="str"/>
      <c r="O6442" s="41" t="str"/>
      <c r="P6442" s="41" t="str"/>
      <c r="Q6442" s="41" t="str"/>
      <c r="R6442" s="41" t="str"/>
      <c r="S6442" s="41" t="str"/>
      <c r="T6442" s="41" t="str"/>
      <c r="U6442" s="41" t="str"/>
      <c r="V6442" s="41" t="str"/>
      <c r="W6442" s="41" t="str"/>
    </row>
    <row r="6443">
      <c r="B6443" s="2" t="n"/>
      <c r="C6443" s="40" t="n"/>
      <c r="D6443" s="52">
        <f t="array" ref="D6443:W6443">IF(All_Students_Scores!C6441:V6441="","",All_Students_Scores!C6441:V6441)</f>
        <v/>
      </c>
      <c r="E6443" s="57" t="str"/>
      <c r="F6443" s="49" t="str"/>
      <c r="G6443" s="59" t="str"/>
      <c r="H6443" s="64" t="str"/>
      <c r="I6443" s="65" t="str"/>
      <c r="J6443" s="49" t="str"/>
      <c r="K6443" s="41" t="str"/>
      <c r="L6443" s="41" t="str"/>
      <c r="M6443" s="41" t="str"/>
      <c r="N6443" s="41" t="str"/>
      <c r="O6443" s="41" t="str"/>
      <c r="P6443" s="41" t="str"/>
      <c r="Q6443" s="41" t="str"/>
      <c r="R6443" s="41" t="str"/>
      <c r="S6443" s="41" t="str"/>
      <c r="T6443" s="41" t="str"/>
      <c r="U6443" s="41" t="str"/>
      <c r="V6443" s="41" t="str"/>
      <c r="W6443" s="41" t="str"/>
    </row>
    <row r="6444">
      <c r="B6444" s="2" t="n"/>
      <c r="C6444" s="40" t="n"/>
      <c r="D6444" s="52">
        <f t="array" ref="D6444:W6444">IF(All_Students_Scores!C6442:V6442="","",All_Students_Scores!C6442:V6442)</f>
        <v/>
      </c>
      <c r="E6444" s="57" t="str"/>
      <c r="F6444" s="49" t="str"/>
      <c r="G6444" s="59" t="str"/>
      <c r="H6444" s="64" t="str"/>
      <c r="I6444" s="65" t="str"/>
      <c r="J6444" s="49" t="str"/>
      <c r="K6444" s="41" t="str"/>
      <c r="L6444" s="41" t="str"/>
      <c r="M6444" s="41" t="str"/>
      <c r="N6444" s="41" t="str"/>
      <c r="O6444" s="41" t="str"/>
      <c r="P6444" s="41" t="str"/>
      <c r="Q6444" s="41" t="str"/>
      <c r="R6444" s="41" t="str"/>
      <c r="S6444" s="41" t="str"/>
      <c r="T6444" s="41" t="str"/>
      <c r="U6444" s="41" t="str"/>
      <c r="V6444" s="41" t="str"/>
      <c r="W6444" s="41" t="str"/>
    </row>
    <row r="6445">
      <c r="B6445" s="2" t="n"/>
      <c r="C6445" s="40" t="n"/>
      <c r="D6445" s="52">
        <f t="array" ref="D6445:W6445">IF(All_Students_Scores!C6443:V6443="","",All_Students_Scores!C6443:V6443)</f>
        <v/>
      </c>
      <c r="E6445" s="57" t="str"/>
      <c r="F6445" s="49" t="str"/>
      <c r="G6445" s="59" t="str"/>
      <c r="H6445" s="64" t="str"/>
      <c r="I6445" s="65" t="str"/>
      <c r="J6445" s="49" t="str"/>
      <c r="K6445" s="41" t="str"/>
      <c r="L6445" s="41" t="str"/>
      <c r="M6445" s="41" t="str"/>
      <c r="N6445" s="41" t="str"/>
      <c r="O6445" s="41" t="str"/>
      <c r="P6445" s="41" t="str"/>
      <c r="Q6445" s="41" t="str"/>
      <c r="R6445" s="41" t="str"/>
      <c r="S6445" s="41" t="str"/>
      <c r="T6445" s="41" t="str"/>
      <c r="U6445" s="41" t="str"/>
      <c r="V6445" s="41" t="str"/>
      <c r="W6445" s="41" t="str"/>
    </row>
    <row r="6446">
      <c r="B6446" s="2" t="n"/>
      <c r="C6446" s="40" t="n"/>
      <c r="D6446" s="52">
        <f t="array" ref="D6446:W6446">IF(All_Students_Scores!C6444:V6444="","",All_Students_Scores!C6444:V6444)</f>
        <v/>
      </c>
      <c r="E6446" s="57" t="str"/>
      <c r="F6446" s="49" t="str"/>
      <c r="G6446" s="59" t="str"/>
      <c r="H6446" s="64" t="str"/>
      <c r="I6446" s="65" t="str"/>
      <c r="J6446" s="49" t="str"/>
      <c r="K6446" s="41" t="str"/>
      <c r="L6446" s="41" t="str"/>
      <c r="M6446" s="41" t="str"/>
      <c r="N6446" s="41" t="str"/>
      <c r="O6446" s="41" t="str"/>
      <c r="P6446" s="41" t="str"/>
      <c r="Q6446" s="41" t="str"/>
      <c r="R6446" s="41" t="str"/>
      <c r="S6446" s="41" t="str"/>
      <c r="T6446" s="41" t="str"/>
      <c r="U6446" s="41" t="str"/>
      <c r="V6446" s="41" t="str"/>
      <c r="W6446" s="41" t="str"/>
    </row>
    <row r="6447">
      <c r="B6447" s="2" t="n"/>
      <c r="C6447" s="40" t="n"/>
      <c r="D6447" s="52">
        <f t="array" ref="D6447:W6447">IF(All_Students_Scores!C6445:V6445="","",All_Students_Scores!C6445:V6445)</f>
        <v/>
      </c>
      <c r="E6447" s="57" t="str"/>
      <c r="F6447" s="49" t="str"/>
      <c r="G6447" s="59" t="str"/>
      <c r="H6447" s="64" t="str"/>
      <c r="I6447" s="65" t="str"/>
      <c r="J6447" s="49" t="str"/>
      <c r="K6447" s="41" t="str"/>
      <c r="L6447" s="41" t="str"/>
      <c r="M6447" s="41" t="str"/>
      <c r="N6447" s="41" t="str"/>
      <c r="O6447" s="41" t="str"/>
      <c r="P6447" s="41" t="str"/>
      <c r="Q6447" s="41" t="str"/>
      <c r="R6447" s="41" t="str"/>
      <c r="S6447" s="41" t="str"/>
      <c r="T6447" s="41" t="str"/>
      <c r="U6447" s="41" t="str"/>
      <c r="V6447" s="41" t="str"/>
      <c r="W6447" s="41" t="str"/>
    </row>
    <row r="6448">
      <c r="B6448" s="2" t="n"/>
      <c r="C6448" s="40" t="n"/>
      <c r="D6448" s="52">
        <f t="array" ref="D6448:W6448">IF(All_Students_Scores!C6446:V6446="","",All_Students_Scores!C6446:V6446)</f>
        <v/>
      </c>
      <c r="E6448" s="57" t="str"/>
      <c r="F6448" s="49" t="str"/>
      <c r="G6448" s="59" t="str"/>
      <c r="H6448" s="64" t="str"/>
      <c r="I6448" s="65" t="str"/>
      <c r="J6448" s="49" t="str"/>
      <c r="K6448" s="41" t="str"/>
      <c r="L6448" s="41" t="str"/>
      <c r="M6448" s="41" t="str"/>
      <c r="N6448" s="41" t="str"/>
      <c r="O6448" s="41" t="str"/>
      <c r="P6448" s="41" t="str"/>
      <c r="Q6448" s="41" t="str"/>
      <c r="R6448" s="41" t="str"/>
      <c r="S6448" s="41" t="str"/>
      <c r="T6448" s="41" t="str"/>
      <c r="U6448" s="41" t="str"/>
      <c r="V6448" s="41" t="str"/>
      <c r="W6448" s="41" t="str"/>
    </row>
    <row r="6449">
      <c r="B6449" s="2" t="n"/>
      <c r="C6449" s="40" t="n"/>
      <c r="D6449" s="52">
        <f t="array" ref="D6449:W6449">IF(All_Students_Scores!C6447:V6447="","",All_Students_Scores!C6447:V6447)</f>
        <v/>
      </c>
      <c r="E6449" s="57" t="str"/>
      <c r="F6449" s="49" t="str"/>
      <c r="G6449" s="59" t="str"/>
      <c r="H6449" s="64" t="str"/>
      <c r="I6449" s="65" t="str"/>
      <c r="J6449" s="49" t="str"/>
      <c r="K6449" s="41" t="str"/>
      <c r="L6449" s="41" t="str"/>
      <c r="M6449" s="41" t="str"/>
      <c r="N6449" s="41" t="str"/>
      <c r="O6449" s="41" t="str"/>
      <c r="P6449" s="41" t="str"/>
      <c r="Q6449" s="41" t="str"/>
      <c r="R6449" s="41" t="str"/>
      <c r="S6449" s="41" t="str"/>
      <c r="T6449" s="41" t="str"/>
      <c r="U6449" s="41" t="str"/>
      <c r="V6449" s="41" t="str"/>
      <c r="W6449" s="41" t="str"/>
    </row>
    <row r="6450">
      <c r="B6450" s="2" t="n"/>
      <c r="C6450" s="40" t="n"/>
      <c r="D6450" s="52">
        <f t="array" ref="D6450:W6450">IF(All_Students_Scores!C6448:V6448="","",All_Students_Scores!C6448:V6448)</f>
        <v/>
      </c>
      <c r="E6450" s="57" t="str"/>
      <c r="F6450" s="49" t="str"/>
      <c r="G6450" s="59" t="str"/>
      <c r="H6450" s="64" t="str"/>
      <c r="I6450" s="65" t="str"/>
      <c r="J6450" s="49" t="str"/>
      <c r="K6450" s="41" t="str"/>
      <c r="L6450" s="41" t="str"/>
      <c r="M6450" s="41" t="str"/>
      <c r="N6450" s="41" t="str"/>
      <c r="O6450" s="41" t="str"/>
      <c r="P6450" s="41" t="str"/>
      <c r="Q6450" s="41" t="str"/>
      <c r="R6450" s="41" t="str"/>
      <c r="S6450" s="41" t="str"/>
      <c r="T6450" s="41" t="str"/>
      <c r="U6450" s="41" t="str"/>
      <c r="V6450" s="41" t="str"/>
      <c r="W6450" s="41" t="str"/>
    </row>
    <row r="6451">
      <c r="B6451" s="2" t="n"/>
      <c r="C6451" s="40" t="n"/>
      <c r="D6451" s="52">
        <f t="array" ref="D6451:W6451">IF(All_Students_Scores!C6449:V6449="","",All_Students_Scores!C6449:V6449)</f>
        <v/>
      </c>
      <c r="E6451" s="57" t="str"/>
      <c r="F6451" s="49" t="str"/>
      <c r="G6451" s="59" t="str"/>
      <c r="H6451" s="64" t="str"/>
      <c r="I6451" s="65" t="str"/>
      <c r="J6451" s="49" t="str"/>
      <c r="K6451" s="41" t="str"/>
      <c r="L6451" s="41" t="str"/>
      <c r="M6451" s="41" t="str"/>
      <c r="N6451" s="41" t="str"/>
      <c r="O6451" s="41" t="str"/>
      <c r="P6451" s="41" t="str"/>
      <c r="Q6451" s="41" t="str"/>
      <c r="R6451" s="41" t="str"/>
      <c r="S6451" s="41" t="str"/>
      <c r="T6451" s="41" t="str"/>
      <c r="U6451" s="41" t="str"/>
      <c r="V6451" s="41" t="str"/>
      <c r="W6451" s="41" t="str"/>
    </row>
    <row r="6452">
      <c r="B6452" s="2" t="n"/>
      <c r="C6452" s="40" t="n"/>
      <c r="D6452" s="52">
        <f t="array" ref="D6452:W6452">IF(All_Students_Scores!C6450:V6450="","",All_Students_Scores!C6450:V6450)</f>
        <v/>
      </c>
      <c r="E6452" s="57" t="str"/>
      <c r="F6452" s="49" t="str"/>
      <c r="G6452" s="59" t="str"/>
      <c r="H6452" s="64" t="str"/>
      <c r="I6452" s="65" t="str"/>
      <c r="J6452" s="49" t="str"/>
      <c r="K6452" s="41" t="str"/>
      <c r="L6452" s="41" t="str"/>
      <c r="M6452" s="41" t="str"/>
      <c r="N6452" s="41" t="str"/>
      <c r="O6452" s="41" t="str"/>
      <c r="P6452" s="41" t="str"/>
      <c r="Q6452" s="41" t="str"/>
      <c r="R6452" s="41" t="str"/>
      <c r="S6452" s="41" t="str"/>
      <c r="T6452" s="41" t="str"/>
      <c r="U6452" s="41" t="str"/>
      <c r="V6452" s="41" t="str"/>
      <c r="W6452" s="41" t="str"/>
    </row>
    <row r="6453">
      <c r="B6453" s="2" t="n"/>
      <c r="C6453" s="40" t="n"/>
      <c r="D6453" s="52">
        <f t="array" ref="D6453:W6453">IF(All_Students_Scores!C6451:V6451="","",All_Students_Scores!C6451:V6451)</f>
        <v/>
      </c>
      <c r="E6453" s="57" t="str"/>
      <c r="F6453" s="49" t="str"/>
      <c r="G6453" s="59" t="str"/>
      <c r="H6453" s="64" t="str"/>
      <c r="I6453" s="65" t="str"/>
      <c r="J6453" s="49" t="str"/>
      <c r="K6453" s="41" t="str"/>
      <c r="L6453" s="41" t="str"/>
      <c r="M6453" s="41" t="str"/>
      <c r="N6453" s="41" t="str"/>
      <c r="O6453" s="41" t="str"/>
      <c r="P6453" s="41" t="str"/>
      <c r="Q6453" s="41" t="str"/>
      <c r="R6453" s="41" t="str"/>
      <c r="S6453" s="41" t="str"/>
      <c r="T6453" s="41" t="str"/>
      <c r="U6453" s="41" t="str"/>
      <c r="V6453" s="41" t="str"/>
      <c r="W6453" s="41" t="str"/>
    </row>
    <row r="6454">
      <c r="B6454" s="2" t="n"/>
      <c r="C6454" s="40" t="n"/>
      <c r="D6454" s="52">
        <f t="array" ref="D6454:W6454">IF(All_Students_Scores!C6452:V6452="","",All_Students_Scores!C6452:V6452)</f>
        <v/>
      </c>
      <c r="E6454" s="57" t="str"/>
      <c r="F6454" s="49" t="str"/>
      <c r="G6454" s="59" t="str"/>
      <c r="H6454" s="64" t="str"/>
      <c r="I6454" s="65" t="str"/>
      <c r="J6454" s="49" t="str"/>
      <c r="K6454" s="41" t="str"/>
      <c r="L6454" s="41" t="str"/>
      <c r="M6454" s="41" t="str"/>
      <c r="N6454" s="41" t="str"/>
      <c r="O6454" s="41" t="str"/>
      <c r="P6454" s="41" t="str"/>
      <c r="Q6454" s="41" t="str"/>
      <c r="R6454" s="41" t="str"/>
      <c r="S6454" s="41" t="str"/>
      <c r="T6454" s="41" t="str"/>
      <c r="U6454" s="41" t="str"/>
      <c r="V6454" s="41" t="str"/>
      <c r="W6454" s="41" t="str"/>
    </row>
    <row r="6455">
      <c r="B6455" s="2" t="n"/>
      <c r="C6455" s="40" t="n"/>
      <c r="D6455" s="52">
        <f t="array" ref="D6455:W6455">IF(All_Students_Scores!C6453:V6453="","",All_Students_Scores!C6453:V6453)</f>
        <v/>
      </c>
      <c r="E6455" s="57" t="str"/>
      <c r="F6455" s="49" t="str"/>
      <c r="G6455" s="59" t="str"/>
      <c r="H6455" s="64" t="str"/>
      <c r="I6455" s="65" t="str"/>
      <c r="J6455" s="49" t="str"/>
      <c r="K6455" s="41" t="str"/>
      <c r="L6455" s="41" t="str"/>
      <c r="M6455" s="41" t="str"/>
      <c r="N6455" s="41" t="str"/>
      <c r="O6455" s="41" t="str"/>
      <c r="P6455" s="41" t="str"/>
      <c r="Q6455" s="41" t="str"/>
      <c r="R6455" s="41" t="str"/>
      <c r="S6455" s="41" t="str"/>
      <c r="T6455" s="41" t="str"/>
      <c r="U6455" s="41" t="str"/>
      <c r="V6455" s="41" t="str"/>
      <c r="W6455" s="41" t="str"/>
    </row>
    <row r="6456">
      <c r="B6456" s="2" t="n"/>
      <c r="C6456" s="40" t="n"/>
      <c r="D6456" s="52">
        <f t="array" ref="D6456:W6456">IF(All_Students_Scores!C6454:V6454="","",All_Students_Scores!C6454:V6454)</f>
        <v/>
      </c>
      <c r="E6456" s="57" t="str"/>
      <c r="F6456" s="49" t="str"/>
      <c r="G6456" s="59" t="str"/>
      <c r="H6456" s="64" t="str"/>
      <c r="I6456" s="65" t="str"/>
      <c r="J6456" s="49" t="str"/>
      <c r="K6456" s="41" t="str"/>
      <c r="L6456" s="41" t="str"/>
      <c r="M6456" s="41" t="str"/>
      <c r="N6456" s="41" t="str"/>
      <c r="O6456" s="41" t="str"/>
      <c r="P6456" s="41" t="str"/>
      <c r="Q6456" s="41" t="str"/>
      <c r="R6456" s="41" t="str"/>
      <c r="S6456" s="41" t="str"/>
      <c r="T6456" s="41" t="str"/>
      <c r="U6456" s="41" t="str"/>
      <c r="V6456" s="41" t="str"/>
      <c r="W6456" s="41" t="str"/>
    </row>
    <row r="6457">
      <c r="B6457" s="2" t="n"/>
      <c r="C6457" s="40" t="n"/>
      <c r="D6457" s="52">
        <f t="array" ref="D6457:W6457">IF(All_Students_Scores!C6455:V6455="","",All_Students_Scores!C6455:V6455)</f>
        <v/>
      </c>
      <c r="E6457" s="57" t="str"/>
      <c r="F6457" s="49" t="str"/>
      <c r="G6457" s="59" t="str"/>
      <c r="H6457" s="64" t="str"/>
      <c r="I6457" s="65" t="str"/>
      <c r="J6457" s="49" t="str"/>
      <c r="K6457" s="41" t="str"/>
      <c r="L6457" s="41" t="str"/>
      <c r="M6457" s="41" t="str"/>
      <c r="N6457" s="41" t="str"/>
      <c r="O6457" s="41" t="str"/>
      <c r="P6457" s="41" t="str"/>
      <c r="Q6457" s="41" t="str"/>
      <c r="R6457" s="41" t="str"/>
      <c r="S6457" s="41" t="str"/>
      <c r="T6457" s="41" t="str"/>
      <c r="U6457" s="41" t="str"/>
      <c r="V6457" s="41" t="str"/>
      <c r="W6457" s="41" t="str"/>
    </row>
    <row r="6458">
      <c r="B6458" s="2" t="n"/>
      <c r="C6458" s="40" t="n"/>
      <c r="D6458" s="52">
        <f t="array" ref="D6458:W6458">IF(All_Students_Scores!C6456:V6456="","",All_Students_Scores!C6456:V6456)</f>
        <v/>
      </c>
      <c r="E6458" s="57" t="str"/>
      <c r="F6458" s="49" t="str"/>
      <c r="G6458" s="59" t="str"/>
      <c r="H6458" s="64" t="str"/>
      <c r="I6458" s="65" t="str"/>
      <c r="J6458" s="49" t="str"/>
      <c r="K6458" s="41" t="str"/>
      <c r="L6458" s="41" t="str"/>
      <c r="M6458" s="41" t="str"/>
      <c r="N6458" s="41" t="str"/>
      <c r="O6458" s="41" t="str"/>
      <c r="P6458" s="41" t="str"/>
      <c r="Q6458" s="41" t="str"/>
      <c r="R6458" s="41" t="str"/>
      <c r="S6458" s="41" t="str"/>
      <c r="T6458" s="41" t="str"/>
      <c r="U6458" s="41" t="str"/>
      <c r="V6458" s="41" t="str"/>
      <c r="W6458" s="41" t="str"/>
    </row>
    <row r="6459">
      <c r="B6459" s="2" t="n"/>
      <c r="C6459" s="40" t="n"/>
      <c r="D6459" s="52">
        <f t="array" ref="D6459:W6459">IF(All_Students_Scores!C6457:V6457="","",All_Students_Scores!C6457:V6457)</f>
        <v/>
      </c>
      <c r="E6459" s="57" t="str"/>
      <c r="F6459" s="49" t="str"/>
      <c r="G6459" s="59" t="str"/>
      <c r="H6459" s="64" t="str"/>
      <c r="I6459" s="65" t="str"/>
      <c r="J6459" s="49" t="str"/>
      <c r="K6459" s="41" t="str"/>
      <c r="L6459" s="41" t="str"/>
      <c r="M6459" s="41" t="str"/>
      <c r="N6459" s="41" t="str"/>
      <c r="O6459" s="41" t="str"/>
      <c r="P6459" s="41" t="str"/>
      <c r="Q6459" s="41" t="str"/>
      <c r="R6459" s="41" t="str"/>
      <c r="S6459" s="41" t="str"/>
      <c r="T6459" s="41" t="str"/>
      <c r="U6459" s="41" t="str"/>
      <c r="V6459" s="41" t="str"/>
      <c r="W6459" s="41" t="str"/>
    </row>
    <row r="6460">
      <c r="B6460" s="2" t="n"/>
      <c r="C6460" s="40" t="n"/>
      <c r="D6460" s="52">
        <f t="array" ref="D6460:W6460">IF(All_Students_Scores!C6458:V6458="","",All_Students_Scores!C6458:V6458)</f>
        <v/>
      </c>
      <c r="E6460" s="57" t="str"/>
      <c r="F6460" s="49" t="str"/>
      <c r="G6460" s="59" t="str"/>
      <c r="H6460" s="64" t="str"/>
      <c r="I6460" s="65" t="str"/>
      <c r="J6460" s="49" t="str"/>
      <c r="K6460" s="41" t="str"/>
      <c r="L6460" s="41" t="str"/>
      <c r="M6460" s="41" t="str"/>
      <c r="N6460" s="41" t="str"/>
      <c r="O6460" s="41" t="str"/>
      <c r="P6460" s="41" t="str"/>
      <c r="Q6460" s="41" t="str"/>
      <c r="R6460" s="41" t="str"/>
      <c r="S6460" s="41" t="str"/>
      <c r="T6460" s="41" t="str"/>
      <c r="U6460" s="41" t="str"/>
      <c r="V6460" s="41" t="str"/>
      <c r="W6460" s="41" t="str"/>
    </row>
    <row r="6461">
      <c r="B6461" s="2" t="n"/>
      <c r="C6461" s="40" t="n"/>
      <c r="D6461" s="52">
        <f t="array" ref="D6461:W6461">IF(All_Students_Scores!C6459:V6459="","",All_Students_Scores!C6459:V6459)</f>
        <v/>
      </c>
      <c r="E6461" s="57" t="str"/>
      <c r="F6461" s="49" t="str"/>
      <c r="G6461" s="59" t="str"/>
      <c r="H6461" s="64" t="str"/>
      <c r="I6461" s="65" t="str"/>
      <c r="J6461" s="49" t="str"/>
      <c r="K6461" s="41" t="str"/>
      <c r="L6461" s="41" t="str"/>
      <c r="M6461" s="41" t="str"/>
      <c r="N6461" s="41" t="str"/>
      <c r="O6461" s="41" t="str"/>
      <c r="P6461" s="41" t="str"/>
      <c r="Q6461" s="41" t="str"/>
      <c r="R6461" s="41" t="str"/>
      <c r="S6461" s="41" t="str"/>
      <c r="T6461" s="41" t="str"/>
      <c r="U6461" s="41" t="str"/>
      <c r="V6461" s="41" t="str"/>
      <c r="W6461" s="41" t="str"/>
    </row>
    <row r="6462">
      <c r="B6462" s="2" t="n"/>
      <c r="C6462" s="40" t="n"/>
      <c r="D6462" s="52">
        <f t="array" ref="D6462:W6462">IF(All_Students_Scores!C6460:V6460="","",All_Students_Scores!C6460:V6460)</f>
        <v/>
      </c>
      <c r="E6462" s="57" t="str"/>
      <c r="F6462" s="49" t="str"/>
      <c r="G6462" s="59" t="str"/>
      <c r="H6462" s="64" t="str"/>
      <c r="I6462" s="65" t="str"/>
      <c r="J6462" s="49" t="str"/>
      <c r="K6462" s="41" t="str"/>
      <c r="L6462" s="41" t="str"/>
      <c r="M6462" s="41" t="str"/>
      <c r="N6462" s="41" t="str"/>
      <c r="O6462" s="41" t="str"/>
      <c r="P6462" s="41" t="str"/>
      <c r="Q6462" s="41" t="str"/>
      <c r="R6462" s="41" t="str"/>
      <c r="S6462" s="41" t="str"/>
      <c r="T6462" s="41" t="str"/>
      <c r="U6462" s="41" t="str"/>
      <c r="V6462" s="41" t="str"/>
      <c r="W6462" s="41" t="str"/>
    </row>
    <row r="6463">
      <c r="B6463" s="2" t="n"/>
      <c r="C6463" s="40" t="n"/>
      <c r="D6463" s="52">
        <f t="array" ref="D6463:W6463">IF(All_Students_Scores!C6461:V6461="","",All_Students_Scores!C6461:V6461)</f>
        <v/>
      </c>
      <c r="E6463" s="57" t="str"/>
      <c r="F6463" s="49" t="str"/>
      <c r="G6463" s="59" t="str"/>
      <c r="H6463" s="64" t="str"/>
      <c r="I6463" s="65" t="str"/>
      <c r="J6463" s="49" t="str"/>
      <c r="K6463" s="41" t="str"/>
      <c r="L6463" s="41" t="str"/>
      <c r="M6463" s="41" t="str"/>
      <c r="N6463" s="41" t="str"/>
      <c r="O6463" s="41" t="str"/>
      <c r="P6463" s="41" t="str"/>
      <c r="Q6463" s="41" t="str"/>
      <c r="R6463" s="41" t="str"/>
      <c r="S6463" s="41" t="str"/>
      <c r="T6463" s="41" t="str"/>
      <c r="U6463" s="41" t="str"/>
      <c r="V6463" s="41" t="str"/>
      <c r="W6463" s="41" t="str"/>
    </row>
    <row r="6464">
      <c r="B6464" s="2" t="n"/>
      <c r="C6464" s="40" t="n"/>
      <c r="D6464" s="52">
        <f t="array" ref="D6464:W6464">IF(All_Students_Scores!C6462:V6462="","",All_Students_Scores!C6462:V6462)</f>
        <v/>
      </c>
      <c r="E6464" s="57" t="str"/>
      <c r="F6464" s="49" t="str"/>
      <c r="G6464" s="59" t="str"/>
      <c r="H6464" s="64" t="str"/>
      <c r="I6464" s="65" t="str"/>
      <c r="J6464" s="49" t="str"/>
      <c r="K6464" s="41" t="str"/>
      <c r="L6464" s="41" t="str"/>
      <c r="M6464" s="41" t="str"/>
      <c r="N6464" s="41" t="str"/>
      <c r="O6464" s="41" t="str"/>
      <c r="P6464" s="41" t="str"/>
      <c r="Q6464" s="41" t="str"/>
      <c r="R6464" s="41" t="str"/>
      <c r="S6464" s="41" t="str"/>
      <c r="T6464" s="41" t="str"/>
      <c r="U6464" s="41" t="str"/>
      <c r="V6464" s="41" t="str"/>
      <c r="W6464" s="41" t="str"/>
    </row>
    <row r="6465">
      <c r="B6465" s="2" t="n"/>
      <c r="C6465" s="40" t="n"/>
      <c r="D6465" s="52">
        <f t="array" ref="D6465:W6465">IF(All_Students_Scores!C6463:V6463="","",All_Students_Scores!C6463:V6463)</f>
        <v/>
      </c>
      <c r="E6465" s="57" t="str"/>
      <c r="F6465" s="49" t="str"/>
      <c r="G6465" s="59" t="str"/>
      <c r="H6465" s="64" t="str"/>
      <c r="I6465" s="65" t="str"/>
      <c r="J6465" s="49" t="str"/>
      <c r="K6465" s="41" t="str"/>
      <c r="L6465" s="41" t="str"/>
      <c r="M6465" s="41" t="str"/>
      <c r="N6465" s="41" t="str"/>
      <c r="O6465" s="41" t="str"/>
      <c r="P6465" s="41" t="str"/>
      <c r="Q6465" s="41" t="str"/>
      <c r="R6465" s="41" t="str"/>
      <c r="S6465" s="41" t="str"/>
      <c r="T6465" s="41" t="str"/>
      <c r="U6465" s="41" t="str"/>
      <c r="V6465" s="41" t="str"/>
      <c r="W6465" s="41" t="str"/>
    </row>
    <row r="6466">
      <c r="B6466" s="2" t="n"/>
      <c r="C6466" s="40" t="n"/>
      <c r="D6466" s="52">
        <f t="array" ref="D6466:W6466">IF(All_Students_Scores!C6464:V6464="","",All_Students_Scores!C6464:V6464)</f>
        <v/>
      </c>
      <c r="E6466" s="57" t="str"/>
      <c r="F6466" s="49" t="str"/>
      <c r="G6466" s="59" t="str"/>
      <c r="H6466" s="64" t="str"/>
      <c r="I6466" s="65" t="str"/>
      <c r="J6466" s="49" t="str"/>
      <c r="K6466" s="41" t="str"/>
      <c r="L6466" s="41" t="str"/>
      <c r="M6466" s="41" t="str"/>
      <c r="N6466" s="41" t="str"/>
      <c r="O6466" s="41" t="str"/>
      <c r="P6466" s="41" t="str"/>
      <c r="Q6466" s="41" t="str"/>
      <c r="R6466" s="41" t="str"/>
      <c r="S6466" s="41" t="str"/>
      <c r="T6466" s="41" t="str"/>
      <c r="U6466" s="41" t="str"/>
      <c r="V6466" s="41" t="str"/>
      <c r="W6466" s="41" t="str"/>
    </row>
    <row r="6467">
      <c r="B6467" s="2" t="n"/>
      <c r="C6467" s="40" t="n"/>
      <c r="D6467" s="52">
        <f t="array" ref="D6467:W6467">IF(All_Students_Scores!C6465:V6465="","",All_Students_Scores!C6465:V6465)</f>
        <v/>
      </c>
      <c r="E6467" s="57" t="str"/>
      <c r="F6467" s="49" t="str"/>
      <c r="G6467" s="59" t="str"/>
      <c r="H6467" s="64" t="str"/>
      <c r="I6467" s="65" t="str"/>
      <c r="J6467" s="49" t="str"/>
      <c r="K6467" s="41" t="str"/>
      <c r="L6467" s="41" t="str"/>
      <c r="M6467" s="41" t="str"/>
      <c r="N6467" s="41" t="str"/>
      <c r="O6467" s="41" t="str"/>
      <c r="P6467" s="41" t="str"/>
      <c r="Q6467" s="41" t="str"/>
      <c r="R6467" s="41" t="str"/>
      <c r="S6467" s="41" t="str"/>
      <c r="T6467" s="41" t="str"/>
      <c r="U6467" s="41" t="str"/>
      <c r="V6467" s="41" t="str"/>
      <c r="W6467" s="41" t="str"/>
    </row>
    <row r="6468">
      <c r="B6468" s="2" t="n"/>
      <c r="C6468" s="40" t="n"/>
      <c r="D6468" s="52">
        <f t="array" ref="D6468:W6468">IF(All_Students_Scores!C6466:V6466="","",All_Students_Scores!C6466:V6466)</f>
        <v/>
      </c>
      <c r="E6468" s="57" t="str"/>
      <c r="F6468" s="49" t="str"/>
      <c r="G6468" s="59" t="str"/>
      <c r="H6468" s="64" t="str"/>
      <c r="I6468" s="65" t="str"/>
      <c r="J6468" s="49" t="str"/>
      <c r="K6468" s="41" t="str"/>
      <c r="L6468" s="41" t="str"/>
      <c r="M6468" s="41" t="str"/>
      <c r="N6468" s="41" t="str"/>
      <c r="O6468" s="41" t="str"/>
      <c r="P6468" s="41" t="str"/>
      <c r="Q6468" s="41" t="str"/>
      <c r="R6468" s="41" t="str"/>
      <c r="S6468" s="41" t="str"/>
      <c r="T6468" s="41" t="str"/>
      <c r="U6468" s="41" t="str"/>
      <c r="V6468" s="41" t="str"/>
      <c r="W6468" s="41" t="str"/>
    </row>
    <row r="6469">
      <c r="B6469" s="2" t="n"/>
      <c r="C6469" s="40" t="n"/>
      <c r="D6469" s="52">
        <f t="array" ref="D6469:W6469">IF(All_Students_Scores!C6467:V6467="","",All_Students_Scores!C6467:V6467)</f>
        <v/>
      </c>
      <c r="E6469" s="57" t="str"/>
      <c r="F6469" s="49" t="str"/>
      <c r="G6469" s="59" t="str"/>
      <c r="H6469" s="64" t="str"/>
      <c r="I6469" s="65" t="str"/>
      <c r="J6469" s="49" t="str"/>
      <c r="K6469" s="41" t="str"/>
      <c r="L6469" s="41" t="str"/>
      <c r="M6469" s="41" t="str"/>
      <c r="N6469" s="41" t="str"/>
      <c r="O6469" s="41" t="str"/>
      <c r="P6469" s="41" t="str"/>
      <c r="Q6469" s="41" t="str"/>
      <c r="R6469" s="41" t="str"/>
      <c r="S6469" s="41" t="str"/>
      <c r="T6469" s="41" t="str"/>
      <c r="U6469" s="41" t="str"/>
      <c r="V6469" s="41" t="str"/>
      <c r="W6469" s="41" t="str"/>
    </row>
    <row r="6470">
      <c r="B6470" s="2" t="n"/>
      <c r="C6470" s="40" t="n"/>
      <c r="D6470" s="52">
        <f t="array" ref="D6470:W6470">IF(All_Students_Scores!C6468:V6468="","",All_Students_Scores!C6468:V6468)</f>
        <v/>
      </c>
      <c r="E6470" s="57" t="str"/>
      <c r="F6470" s="49" t="str"/>
      <c r="G6470" s="59" t="str"/>
      <c r="H6470" s="64" t="str"/>
      <c r="I6470" s="65" t="str"/>
      <c r="J6470" s="49" t="str"/>
      <c r="K6470" s="41" t="str"/>
      <c r="L6470" s="41" t="str"/>
      <c r="M6470" s="41" t="str"/>
      <c r="N6470" s="41" t="str"/>
      <c r="O6470" s="41" t="str"/>
      <c r="P6470" s="41" t="str"/>
      <c r="Q6470" s="41" t="str"/>
      <c r="R6470" s="41" t="str"/>
      <c r="S6470" s="41" t="str"/>
      <c r="T6470" s="41" t="str"/>
      <c r="U6470" s="41" t="str"/>
      <c r="V6470" s="41" t="str"/>
      <c r="W6470" s="41" t="str"/>
    </row>
    <row r="6471">
      <c r="B6471" s="2" t="n"/>
      <c r="C6471" s="40" t="n"/>
      <c r="D6471" s="52">
        <f t="array" ref="D6471:W6471">IF(All_Students_Scores!C6469:V6469="","",All_Students_Scores!C6469:V6469)</f>
        <v/>
      </c>
      <c r="E6471" s="57" t="str"/>
      <c r="F6471" s="49" t="str"/>
      <c r="G6471" s="59" t="str"/>
      <c r="H6471" s="64" t="str"/>
      <c r="I6471" s="65" t="str"/>
      <c r="J6471" s="49" t="str"/>
      <c r="K6471" s="41" t="str"/>
      <c r="L6471" s="41" t="str"/>
      <c r="M6471" s="41" t="str"/>
      <c r="N6471" s="41" t="str"/>
      <c r="O6471" s="41" t="str"/>
      <c r="P6471" s="41" t="str"/>
      <c r="Q6471" s="41" t="str"/>
      <c r="R6471" s="41" t="str"/>
      <c r="S6471" s="41" t="str"/>
      <c r="T6471" s="41" t="str"/>
      <c r="U6471" s="41" t="str"/>
      <c r="V6471" s="41" t="str"/>
      <c r="W6471" s="41" t="str"/>
    </row>
    <row r="6472">
      <c r="B6472" s="2" t="n"/>
      <c r="C6472" s="40" t="n"/>
      <c r="D6472" s="52">
        <f t="array" ref="D6472:W6472">IF(All_Students_Scores!C6470:V6470="","",All_Students_Scores!C6470:V6470)</f>
        <v/>
      </c>
      <c r="E6472" s="57" t="str"/>
      <c r="F6472" s="49" t="str"/>
      <c r="G6472" s="59" t="str"/>
      <c r="H6472" s="64" t="str"/>
      <c r="I6472" s="65" t="str"/>
      <c r="J6472" s="49" t="str"/>
      <c r="K6472" s="41" t="str"/>
      <c r="L6472" s="41" t="str"/>
      <c r="M6472" s="41" t="str"/>
      <c r="N6472" s="41" t="str"/>
      <c r="O6472" s="41" t="str"/>
      <c r="P6472" s="41" t="str"/>
      <c r="Q6472" s="41" t="str"/>
      <c r="R6472" s="41" t="str"/>
      <c r="S6472" s="41" t="str"/>
      <c r="T6472" s="41" t="str"/>
      <c r="U6472" s="41" t="str"/>
      <c r="V6472" s="41" t="str"/>
      <c r="W6472" s="41" t="str"/>
    </row>
    <row r="6473">
      <c r="B6473" s="2" t="n"/>
      <c r="C6473" s="40" t="n"/>
      <c r="D6473" s="52">
        <f t="array" ref="D6473:W6473">IF(All_Students_Scores!C6471:V6471="","",All_Students_Scores!C6471:V6471)</f>
        <v/>
      </c>
      <c r="E6473" s="57" t="str"/>
      <c r="F6473" s="49" t="str"/>
      <c r="G6473" s="59" t="str"/>
      <c r="H6473" s="64" t="str"/>
      <c r="I6473" s="65" t="str"/>
      <c r="J6473" s="49" t="str"/>
      <c r="K6473" s="41" t="str"/>
      <c r="L6473" s="41" t="str"/>
      <c r="M6473" s="41" t="str"/>
      <c r="N6473" s="41" t="str"/>
      <c r="O6473" s="41" t="str"/>
      <c r="P6473" s="41" t="str"/>
      <c r="Q6473" s="41" t="str"/>
      <c r="R6473" s="41" t="str"/>
      <c r="S6473" s="41" t="str"/>
      <c r="T6473" s="41" t="str"/>
      <c r="U6473" s="41" t="str"/>
      <c r="V6473" s="41" t="str"/>
      <c r="W6473" s="41" t="str"/>
    </row>
    <row r="6474">
      <c r="B6474" s="2" t="n"/>
      <c r="C6474" s="40" t="n"/>
      <c r="D6474" s="52">
        <f t="array" ref="D6474:W6474">IF(All_Students_Scores!C6472:V6472="","",All_Students_Scores!C6472:V6472)</f>
        <v/>
      </c>
      <c r="E6474" s="57" t="str"/>
      <c r="F6474" s="49" t="str"/>
      <c r="G6474" s="59" t="str"/>
      <c r="H6474" s="64" t="str"/>
      <c r="I6474" s="65" t="str"/>
      <c r="J6474" s="49" t="str"/>
      <c r="K6474" s="41" t="str"/>
      <c r="L6474" s="41" t="str"/>
      <c r="M6474" s="41" t="str"/>
      <c r="N6474" s="41" t="str"/>
      <c r="O6474" s="41" t="str"/>
      <c r="P6474" s="41" t="str"/>
      <c r="Q6474" s="41" t="str"/>
      <c r="R6474" s="41" t="str"/>
      <c r="S6474" s="41" t="str"/>
      <c r="T6474" s="41" t="str"/>
      <c r="U6474" s="41" t="str"/>
      <c r="V6474" s="41" t="str"/>
      <c r="W6474" s="41" t="str"/>
    </row>
    <row r="6475">
      <c r="B6475" s="2" t="n"/>
      <c r="C6475" s="40" t="n"/>
      <c r="D6475" s="52">
        <f t="array" ref="D6475:W6475">IF(All_Students_Scores!C6473:V6473="","",All_Students_Scores!C6473:V6473)</f>
        <v/>
      </c>
      <c r="E6475" s="57" t="str"/>
      <c r="F6475" s="49" t="str"/>
      <c r="G6475" s="59" t="str"/>
      <c r="H6475" s="64" t="str"/>
      <c r="I6475" s="65" t="str"/>
      <c r="J6475" s="49" t="str"/>
      <c r="K6475" s="41" t="str"/>
      <c r="L6475" s="41" t="str"/>
      <c r="M6475" s="41" t="str"/>
      <c r="N6475" s="41" t="str"/>
      <c r="O6475" s="41" t="str"/>
      <c r="P6475" s="41" t="str"/>
      <c r="Q6475" s="41" t="str"/>
      <c r="R6475" s="41" t="str"/>
      <c r="S6475" s="41" t="str"/>
      <c r="T6475" s="41" t="str"/>
      <c r="U6475" s="41" t="str"/>
      <c r="V6475" s="41" t="str"/>
      <c r="W6475" s="41" t="str"/>
    </row>
    <row r="6476">
      <c r="B6476" s="2" t="n"/>
      <c r="C6476" s="40" t="n"/>
      <c r="D6476" s="52">
        <f t="array" ref="D6476:W6476">IF(All_Students_Scores!C6474:V6474="","",All_Students_Scores!C6474:V6474)</f>
        <v/>
      </c>
      <c r="E6476" s="57" t="str"/>
      <c r="F6476" s="49" t="str"/>
      <c r="G6476" s="59" t="str"/>
      <c r="H6476" s="64" t="str"/>
      <c r="I6476" s="65" t="str"/>
      <c r="J6476" s="49" t="str"/>
      <c r="K6476" s="41" t="str"/>
      <c r="L6476" s="41" t="str"/>
      <c r="M6476" s="41" t="str"/>
      <c r="N6476" s="41" t="str"/>
      <c r="O6476" s="41" t="str"/>
      <c r="P6476" s="41" t="str"/>
      <c r="Q6476" s="41" t="str"/>
      <c r="R6476" s="41" t="str"/>
      <c r="S6476" s="41" t="str"/>
      <c r="T6476" s="41" t="str"/>
      <c r="U6476" s="41" t="str"/>
      <c r="V6476" s="41" t="str"/>
      <c r="W6476" s="41" t="str"/>
    </row>
    <row r="6477">
      <c r="B6477" s="2" t="n"/>
      <c r="C6477" s="40" t="n"/>
      <c r="D6477" s="52">
        <f t="array" ref="D6477:W6477">IF(All_Students_Scores!C6475:V6475="","",All_Students_Scores!C6475:V6475)</f>
        <v/>
      </c>
      <c r="E6477" s="57" t="str"/>
      <c r="F6477" s="49" t="str"/>
      <c r="G6477" s="59" t="str"/>
      <c r="H6477" s="64" t="str"/>
      <c r="I6477" s="65" t="str"/>
      <c r="J6477" s="49" t="str"/>
      <c r="K6477" s="41" t="str"/>
      <c r="L6477" s="41" t="str"/>
      <c r="M6477" s="41" t="str"/>
      <c r="N6477" s="41" t="str"/>
      <c r="O6477" s="41" t="str"/>
      <c r="P6477" s="41" t="str"/>
      <c r="Q6477" s="41" t="str"/>
      <c r="R6477" s="41" t="str"/>
      <c r="S6477" s="41" t="str"/>
      <c r="T6477" s="41" t="str"/>
      <c r="U6477" s="41" t="str"/>
      <c r="V6477" s="41" t="str"/>
      <c r="W6477" s="41" t="str"/>
    </row>
    <row r="6478">
      <c r="B6478" s="2" t="n"/>
      <c r="C6478" s="40" t="n"/>
      <c r="D6478" s="52">
        <f t="array" ref="D6478:W6478">IF(All_Students_Scores!C6476:V6476="","",All_Students_Scores!C6476:V6476)</f>
        <v/>
      </c>
      <c r="E6478" s="57" t="str"/>
      <c r="F6478" s="49" t="str"/>
      <c r="G6478" s="59" t="str"/>
      <c r="H6478" s="64" t="str"/>
      <c r="I6478" s="65" t="str"/>
      <c r="J6478" s="49" t="str"/>
      <c r="K6478" s="41" t="str"/>
      <c r="L6478" s="41" t="str"/>
      <c r="M6478" s="41" t="str"/>
      <c r="N6478" s="41" t="str"/>
      <c r="O6478" s="41" t="str"/>
      <c r="P6478" s="41" t="str"/>
      <c r="Q6478" s="41" t="str"/>
      <c r="R6478" s="41" t="str"/>
      <c r="S6478" s="41" t="str"/>
      <c r="T6478" s="41" t="str"/>
      <c r="U6478" s="41" t="str"/>
      <c r="V6478" s="41" t="str"/>
      <c r="W6478" s="41" t="str"/>
    </row>
    <row r="6479">
      <c r="B6479" s="2" t="n"/>
      <c r="C6479" s="40" t="n"/>
      <c r="D6479" s="52">
        <f t="array" ref="D6479:W6479">IF(All_Students_Scores!C6477:V6477="","",All_Students_Scores!C6477:V6477)</f>
        <v/>
      </c>
      <c r="E6479" s="57" t="str"/>
      <c r="F6479" s="49" t="str"/>
      <c r="G6479" s="59" t="str"/>
      <c r="H6479" s="64" t="str"/>
      <c r="I6479" s="65" t="str"/>
      <c r="J6479" s="49" t="str"/>
      <c r="K6479" s="41" t="str"/>
      <c r="L6479" s="41" t="str"/>
      <c r="M6479" s="41" t="str"/>
      <c r="N6479" s="41" t="str"/>
      <c r="O6479" s="41" t="str"/>
      <c r="P6479" s="41" t="str"/>
      <c r="Q6479" s="41" t="str"/>
      <c r="R6479" s="41" t="str"/>
      <c r="S6479" s="41" t="str"/>
      <c r="T6479" s="41" t="str"/>
      <c r="U6479" s="41" t="str"/>
      <c r="V6479" s="41" t="str"/>
      <c r="W6479" s="41" t="str"/>
    </row>
    <row r="6480">
      <c r="B6480" s="2" t="n"/>
      <c r="C6480" s="40" t="n"/>
      <c r="D6480" s="52">
        <f t="array" ref="D6480:W6480">IF(All_Students_Scores!C6478:V6478="","",All_Students_Scores!C6478:V6478)</f>
        <v/>
      </c>
      <c r="E6480" s="57" t="str"/>
      <c r="F6480" s="49" t="str"/>
      <c r="G6480" s="59" t="str"/>
      <c r="H6480" s="64" t="str"/>
      <c r="I6480" s="65" t="str"/>
      <c r="J6480" s="49" t="str"/>
      <c r="K6480" s="41" t="str"/>
      <c r="L6480" s="41" t="str"/>
      <c r="M6480" s="41" t="str"/>
      <c r="N6480" s="41" t="str"/>
      <c r="O6480" s="41" t="str"/>
      <c r="P6480" s="41" t="str"/>
      <c r="Q6480" s="41" t="str"/>
      <c r="R6480" s="41" t="str"/>
      <c r="S6480" s="41" t="str"/>
      <c r="T6480" s="41" t="str"/>
      <c r="U6480" s="41" t="str"/>
      <c r="V6480" s="41" t="str"/>
      <c r="W6480" s="41" t="str"/>
    </row>
    <row r="6481">
      <c r="B6481" s="2" t="n"/>
      <c r="C6481" s="40" t="n"/>
      <c r="D6481" s="52">
        <f t="array" ref="D6481:W6481">IF(All_Students_Scores!C6479:V6479="","",All_Students_Scores!C6479:V6479)</f>
        <v/>
      </c>
      <c r="E6481" s="57" t="str"/>
      <c r="F6481" s="49" t="str"/>
      <c r="G6481" s="59" t="str"/>
      <c r="H6481" s="64" t="str"/>
      <c r="I6481" s="65" t="str"/>
      <c r="J6481" s="49" t="str"/>
      <c r="K6481" s="41" t="str"/>
      <c r="L6481" s="41" t="str"/>
      <c r="M6481" s="41" t="str"/>
      <c r="N6481" s="41" t="str"/>
      <c r="O6481" s="41" t="str"/>
      <c r="P6481" s="41" t="str"/>
      <c r="Q6481" s="41" t="str"/>
      <c r="R6481" s="41" t="str"/>
      <c r="S6481" s="41" t="str"/>
      <c r="T6481" s="41" t="str"/>
      <c r="U6481" s="41" t="str"/>
      <c r="V6481" s="41" t="str"/>
      <c r="W6481" s="41" t="str"/>
    </row>
    <row r="6482">
      <c r="B6482" s="2" t="n"/>
      <c r="C6482" s="40" t="n"/>
      <c r="D6482" s="52">
        <f t="array" ref="D6482:W6482">IF(All_Students_Scores!C6480:V6480="","",All_Students_Scores!C6480:V6480)</f>
        <v/>
      </c>
      <c r="E6482" s="57" t="str"/>
      <c r="F6482" s="49" t="str"/>
      <c r="G6482" s="59" t="str"/>
      <c r="H6482" s="64" t="str"/>
      <c r="I6482" s="65" t="str"/>
      <c r="J6482" s="49" t="str"/>
      <c r="K6482" s="41" t="str"/>
      <c r="L6482" s="41" t="str"/>
      <c r="M6482" s="41" t="str"/>
      <c r="N6482" s="41" t="str"/>
      <c r="O6482" s="41" t="str"/>
      <c r="P6482" s="41" t="str"/>
      <c r="Q6482" s="41" t="str"/>
      <c r="R6482" s="41" t="str"/>
      <c r="S6482" s="41" t="str"/>
      <c r="T6482" s="41" t="str"/>
      <c r="U6482" s="41" t="str"/>
      <c r="V6482" s="41" t="str"/>
      <c r="W6482" s="41" t="str"/>
    </row>
    <row r="6483">
      <c r="B6483" s="2" t="n"/>
      <c r="C6483" s="40" t="n"/>
      <c r="D6483" s="52">
        <f t="array" ref="D6483:W6483">IF(All_Students_Scores!C6481:V6481="","",All_Students_Scores!C6481:V6481)</f>
        <v/>
      </c>
      <c r="E6483" s="57" t="str"/>
      <c r="F6483" s="49" t="str"/>
      <c r="G6483" s="59" t="str"/>
      <c r="H6483" s="64" t="str"/>
      <c r="I6483" s="65" t="str"/>
      <c r="J6483" s="49" t="str"/>
      <c r="K6483" s="41" t="str"/>
      <c r="L6483" s="41" t="str"/>
      <c r="M6483" s="41" t="str"/>
      <c r="N6483" s="41" t="str"/>
      <c r="O6483" s="41" t="str"/>
      <c r="P6483" s="41" t="str"/>
      <c r="Q6483" s="41" t="str"/>
      <c r="R6483" s="41" t="str"/>
      <c r="S6483" s="41" t="str"/>
      <c r="T6483" s="41" t="str"/>
      <c r="U6483" s="41" t="str"/>
      <c r="V6483" s="41" t="str"/>
      <c r="W6483" s="41" t="str"/>
    </row>
    <row r="6484">
      <c r="B6484" s="2" t="n"/>
      <c r="C6484" s="40" t="n"/>
      <c r="D6484" s="52">
        <f t="array" ref="D6484:W6484">IF(All_Students_Scores!C6482:V6482="","",All_Students_Scores!C6482:V6482)</f>
        <v/>
      </c>
      <c r="E6484" s="57" t="str"/>
      <c r="F6484" s="49" t="str"/>
      <c r="G6484" s="59" t="str"/>
      <c r="H6484" s="64" t="str"/>
      <c r="I6484" s="65" t="str"/>
      <c r="J6484" s="49" t="str"/>
      <c r="K6484" s="41" t="str"/>
      <c r="L6484" s="41" t="str"/>
      <c r="M6484" s="41" t="str"/>
      <c r="N6484" s="41" t="str"/>
      <c r="O6484" s="41" t="str"/>
      <c r="P6484" s="41" t="str"/>
      <c r="Q6484" s="41" t="str"/>
      <c r="R6484" s="41" t="str"/>
      <c r="S6484" s="41" t="str"/>
      <c r="T6484" s="41" t="str"/>
      <c r="U6484" s="41" t="str"/>
      <c r="V6484" s="41" t="str"/>
      <c r="W6484" s="41" t="str"/>
    </row>
    <row r="6485">
      <c r="B6485" s="2" t="n"/>
      <c r="C6485" s="40" t="n"/>
      <c r="D6485" s="52">
        <f t="array" ref="D6485:W6485">IF(All_Students_Scores!C6483:V6483="","",All_Students_Scores!C6483:V6483)</f>
        <v/>
      </c>
      <c r="E6485" s="57" t="str"/>
      <c r="F6485" s="49" t="str"/>
      <c r="G6485" s="59" t="str"/>
      <c r="H6485" s="64" t="str"/>
      <c r="I6485" s="65" t="str"/>
      <c r="J6485" s="49" t="str"/>
      <c r="K6485" s="41" t="str"/>
      <c r="L6485" s="41" t="str"/>
      <c r="M6485" s="41" t="str"/>
      <c r="N6485" s="41" t="str"/>
      <c r="O6485" s="41" t="str"/>
      <c r="P6485" s="41" t="str"/>
      <c r="Q6485" s="41" t="str"/>
      <c r="R6485" s="41" t="str"/>
      <c r="S6485" s="41" t="str"/>
      <c r="T6485" s="41" t="str"/>
      <c r="U6485" s="41" t="str"/>
      <c r="V6485" s="41" t="str"/>
      <c r="W6485" s="41" t="str"/>
    </row>
    <row r="6486">
      <c r="B6486" s="2" t="n"/>
      <c r="C6486" s="40" t="n"/>
      <c r="D6486" s="52">
        <f t="array" ref="D6486:W6486">IF(All_Students_Scores!C6484:V6484="","",All_Students_Scores!C6484:V6484)</f>
        <v/>
      </c>
      <c r="E6486" s="57" t="str"/>
      <c r="F6486" s="49" t="str"/>
      <c r="G6486" s="59" t="str"/>
      <c r="H6486" s="64" t="str"/>
      <c r="I6486" s="65" t="str"/>
      <c r="J6486" s="49" t="str"/>
      <c r="K6486" s="41" t="str"/>
      <c r="L6486" s="41" t="str"/>
      <c r="M6486" s="41" t="str"/>
      <c r="N6486" s="41" t="str"/>
      <c r="O6486" s="41" t="str"/>
      <c r="P6486" s="41" t="str"/>
      <c r="Q6486" s="41" t="str"/>
      <c r="R6486" s="41" t="str"/>
      <c r="S6486" s="41" t="str"/>
      <c r="T6486" s="41" t="str"/>
      <c r="U6486" s="41" t="str"/>
      <c r="V6486" s="41" t="str"/>
      <c r="W6486" s="41" t="str"/>
    </row>
    <row r="6487">
      <c r="B6487" s="2" t="n"/>
      <c r="C6487" s="40" t="n"/>
      <c r="D6487" s="52">
        <f t="array" ref="D6487:W6487">IF(All_Students_Scores!C6485:V6485="","",All_Students_Scores!C6485:V6485)</f>
        <v/>
      </c>
      <c r="E6487" s="57" t="str"/>
      <c r="F6487" s="49" t="str"/>
      <c r="G6487" s="59" t="str"/>
      <c r="H6487" s="64" t="str"/>
      <c r="I6487" s="65" t="str"/>
      <c r="J6487" s="49" t="str"/>
      <c r="K6487" s="41" t="str"/>
      <c r="L6487" s="41" t="str"/>
      <c r="M6487" s="41" t="str"/>
      <c r="N6487" s="41" t="str"/>
      <c r="O6487" s="41" t="str"/>
      <c r="P6487" s="41" t="str"/>
      <c r="Q6487" s="41" t="str"/>
      <c r="R6487" s="41" t="str"/>
      <c r="S6487" s="41" t="str"/>
      <c r="T6487" s="41" t="str"/>
      <c r="U6487" s="41" t="str"/>
      <c r="V6487" s="41" t="str"/>
      <c r="W6487" s="41" t="str"/>
    </row>
    <row r="6488">
      <c r="B6488" s="2" t="n"/>
      <c r="C6488" s="40" t="n"/>
      <c r="D6488" s="52">
        <f t="array" ref="D6488:W6488">IF(All_Students_Scores!C6486:V6486="","",All_Students_Scores!C6486:V6486)</f>
        <v/>
      </c>
      <c r="E6488" s="57" t="str"/>
      <c r="F6488" s="49" t="str"/>
      <c r="G6488" s="59" t="str"/>
      <c r="H6488" s="64" t="str"/>
      <c r="I6488" s="65" t="str"/>
      <c r="J6488" s="49" t="str"/>
      <c r="K6488" s="41" t="str"/>
      <c r="L6488" s="41" t="str"/>
      <c r="M6488" s="41" t="str"/>
      <c r="N6488" s="41" t="str"/>
      <c r="O6488" s="41" t="str"/>
      <c r="P6488" s="41" t="str"/>
      <c r="Q6488" s="41" t="str"/>
      <c r="R6488" s="41" t="str"/>
      <c r="S6488" s="41" t="str"/>
      <c r="T6488" s="41" t="str"/>
      <c r="U6488" s="41" t="str"/>
      <c r="V6488" s="41" t="str"/>
      <c r="W6488" s="41" t="str"/>
    </row>
    <row r="6489">
      <c r="B6489" s="2" t="n"/>
      <c r="C6489" s="40" t="n"/>
      <c r="D6489" s="52">
        <f t="array" ref="D6489:W6489">IF(All_Students_Scores!C6487:V6487="","",All_Students_Scores!C6487:V6487)</f>
        <v/>
      </c>
      <c r="E6489" s="57" t="str"/>
      <c r="F6489" s="49" t="str"/>
      <c r="G6489" s="59" t="str"/>
      <c r="H6489" s="64" t="str"/>
      <c r="I6489" s="65" t="str"/>
      <c r="J6489" s="49" t="str"/>
      <c r="K6489" s="41" t="str"/>
      <c r="L6489" s="41" t="str"/>
      <c r="M6489" s="41" t="str"/>
      <c r="N6489" s="41" t="str"/>
      <c r="O6489" s="41" t="str"/>
      <c r="P6489" s="41" t="str"/>
      <c r="Q6489" s="41" t="str"/>
      <c r="R6489" s="41" t="str"/>
      <c r="S6489" s="41" t="str"/>
      <c r="T6489" s="41" t="str"/>
      <c r="U6489" s="41" t="str"/>
      <c r="V6489" s="41" t="str"/>
      <c r="W6489" s="41" t="str"/>
    </row>
    <row r="6490">
      <c r="B6490" s="2" t="n"/>
      <c r="C6490" s="40" t="n"/>
      <c r="D6490" s="52">
        <f t="array" ref="D6490:W6490">IF(All_Students_Scores!C6488:V6488="","",All_Students_Scores!C6488:V6488)</f>
        <v/>
      </c>
      <c r="E6490" s="57" t="str"/>
      <c r="F6490" s="49" t="str"/>
      <c r="G6490" s="59" t="str"/>
      <c r="H6490" s="64" t="str"/>
      <c r="I6490" s="65" t="str"/>
      <c r="J6490" s="49" t="str"/>
      <c r="K6490" s="41" t="str"/>
      <c r="L6490" s="41" t="str"/>
      <c r="M6490" s="41" t="str"/>
      <c r="N6490" s="41" t="str"/>
      <c r="O6490" s="41" t="str"/>
      <c r="P6490" s="41" t="str"/>
      <c r="Q6490" s="41" t="str"/>
      <c r="R6490" s="41" t="str"/>
      <c r="S6490" s="41" t="str"/>
      <c r="T6490" s="41" t="str"/>
      <c r="U6490" s="41" t="str"/>
      <c r="V6490" s="41" t="str"/>
      <c r="W6490" s="41" t="str"/>
    </row>
    <row r="6491">
      <c r="B6491" s="2" t="n"/>
      <c r="C6491" s="40" t="n"/>
      <c r="D6491" s="52">
        <f t="array" ref="D6491:W6491">IF(All_Students_Scores!C6489:V6489="","",All_Students_Scores!C6489:V6489)</f>
        <v/>
      </c>
      <c r="E6491" s="57" t="str"/>
      <c r="F6491" s="49" t="str"/>
      <c r="G6491" s="59" t="str"/>
      <c r="H6491" s="64" t="str"/>
      <c r="I6491" s="65" t="str"/>
      <c r="J6491" s="49" t="str"/>
      <c r="K6491" s="41" t="str"/>
      <c r="L6491" s="41" t="str"/>
      <c r="M6491" s="41" t="str"/>
      <c r="N6491" s="41" t="str"/>
      <c r="O6491" s="41" t="str"/>
      <c r="P6491" s="41" t="str"/>
      <c r="Q6491" s="41" t="str"/>
      <c r="R6491" s="41" t="str"/>
      <c r="S6491" s="41" t="str"/>
      <c r="T6491" s="41" t="str"/>
      <c r="U6491" s="41" t="str"/>
      <c r="V6491" s="41" t="str"/>
      <c r="W6491" s="41" t="str"/>
    </row>
    <row r="6492">
      <c r="B6492" s="2" t="n"/>
      <c r="C6492" s="40" t="n"/>
      <c r="D6492" s="52">
        <f t="array" ref="D6492:W6492">IF(All_Students_Scores!C6490:V6490="","",All_Students_Scores!C6490:V6490)</f>
        <v/>
      </c>
      <c r="E6492" s="57" t="str"/>
      <c r="F6492" s="49" t="str"/>
      <c r="G6492" s="59" t="str"/>
      <c r="H6492" s="64" t="str"/>
      <c r="I6492" s="65" t="str"/>
      <c r="J6492" s="49" t="str"/>
      <c r="K6492" s="41" t="str"/>
      <c r="L6492" s="41" t="str"/>
      <c r="M6492" s="41" t="str"/>
      <c r="N6492" s="41" t="str"/>
      <c r="O6492" s="41" t="str"/>
      <c r="P6492" s="41" t="str"/>
      <c r="Q6492" s="41" t="str"/>
      <c r="R6492" s="41" t="str"/>
      <c r="S6492" s="41" t="str"/>
      <c r="T6492" s="41" t="str"/>
      <c r="U6492" s="41" t="str"/>
      <c r="V6492" s="41" t="str"/>
      <c r="W6492" s="41" t="str"/>
    </row>
    <row r="6493">
      <c r="B6493" s="2" t="n"/>
      <c r="C6493" s="40" t="n"/>
      <c r="D6493" s="52">
        <f t="array" ref="D6493:W6493">IF(All_Students_Scores!C6491:V6491="","",All_Students_Scores!C6491:V6491)</f>
        <v/>
      </c>
      <c r="E6493" s="57" t="str"/>
      <c r="F6493" s="49" t="str"/>
      <c r="G6493" s="59" t="str"/>
      <c r="H6493" s="64" t="str"/>
      <c r="I6493" s="65" t="str"/>
      <c r="J6493" s="49" t="str"/>
      <c r="K6493" s="41" t="str"/>
      <c r="L6493" s="41" t="str"/>
      <c r="M6493" s="41" t="str"/>
      <c r="N6493" s="41" t="str"/>
      <c r="O6493" s="41" t="str"/>
      <c r="P6493" s="41" t="str"/>
      <c r="Q6493" s="41" t="str"/>
      <c r="R6493" s="41" t="str"/>
      <c r="S6493" s="41" t="str"/>
      <c r="T6493" s="41" t="str"/>
      <c r="U6493" s="41" t="str"/>
      <c r="V6493" s="41" t="str"/>
      <c r="W6493" s="41" t="str"/>
    </row>
    <row r="6494">
      <c r="B6494" s="2" t="n"/>
      <c r="C6494" s="40" t="n"/>
      <c r="D6494" s="52">
        <f t="array" ref="D6494:W6494">IF(All_Students_Scores!C6492:V6492="","",All_Students_Scores!C6492:V6492)</f>
        <v/>
      </c>
      <c r="E6494" s="57" t="str"/>
      <c r="F6494" s="49" t="str"/>
      <c r="G6494" s="59" t="str"/>
      <c r="H6494" s="64" t="str"/>
      <c r="I6494" s="65" t="str"/>
      <c r="J6494" s="49" t="str"/>
      <c r="K6494" s="41" t="str"/>
      <c r="L6494" s="41" t="str"/>
      <c r="M6494" s="41" t="str"/>
      <c r="N6494" s="41" t="str"/>
      <c r="O6494" s="41" t="str"/>
      <c r="P6494" s="41" t="str"/>
      <c r="Q6494" s="41" t="str"/>
      <c r="R6494" s="41" t="str"/>
      <c r="S6494" s="41" t="str"/>
      <c r="T6494" s="41" t="str"/>
      <c r="U6494" s="41" t="str"/>
      <c r="V6494" s="41" t="str"/>
      <c r="W6494" s="41" t="str"/>
    </row>
    <row r="6495">
      <c r="B6495" s="2" t="n"/>
      <c r="C6495" s="40" t="n"/>
      <c r="D6495" s="52">
        <f t="array" ref="D6495:W6495">IF(All_Students_Scores!C6493:V6493="","",All_Students_Scores!C6493:V6493)</f>
        <v/>
      </c>
      <c r="E6495" s="57" t="str"/>
      <c r="F6495" s="49" t="str"/>
      <c r="G6495" s="59" t="str"/>
      <c r="H6495" s="64" t="str"/>
      <c r="I6495" s="65" t="str"/>
      <c r="J6495" s="49" t="str"/>
      <c r="K6495" s="41" t="str"/>
      <c r="L6495" s="41" t="str"/>
      <c r="M6495" s="41" t="str"/>
      <c r="N6495" s="41" t="str"/>
      <c r="O6495" s="41" t="str"/>
      <c r="P6495" s="41" t="str"/>
      <c r="Q6495" s="41" t="str"/>
      <c r="R6495" s="41" t="str"/>
      <c r="S6495" s="41" t="str"/>
      <c r="T6495" s="41" t="str"/>
      <c r="U6495" s="41" t="str"/>
      <c r="V6495" s="41" t="str"/>
      <c r="W6495" s="41" t="str"/>
    </row>
    <row r="6496">
      <c r="B6496" s="2" t="n"/>
      <c r="C6496" s="40" t="n"/>
      <c r="D6496" s="52">
        <f t="array" ref="D6496:W6496">IF(All_Students_Scores!C6494:V6494="","",All_Students_Scores!C6494:V6494)</f>
        <v/>
      </c>
      <c r="E6496" s="57" t="str"/>
      <c r="F6496" s="49" t="str"/>
      <c r="G6496" s="59" t="str"/>
      <c r="H6496" s="64" t="str"/>
      <c r="I6496" s="65" t="str"/>
      <c r="J6496" s="49" t="str"/>
      <c r="K6496" s="41" t="str"/>
      <c r="L6496" s="41" t="str"/>
      <c r="M6496" s="41" t="str"/>
      <c r="N6496" s="41" t="str"/>
      <c r="O6496" s="41" t="str"/>
      <c r="P6496" s="41" t="str"/>
      <c r="Q6496" s="41" t="str"/>
      <c r="R6496" s="41" t="str"/>
      <c r="S6496" s="41" t="str"/>
      <c r="T6496" s="41" t="str"/>
      <c r="U6496" s="41" t="str"/>
      <c r="V6496" s="41" t="str"/>
      <c r="W6496" s="41" t="str"/>
    </row>
    <row r="6497">
      <c r="B6497" s="2" t="n"/>
      <c r="C6497" s="40" t="n"/>
      <c r="D6497" s="52">
        <f t="array" ref="D6497:W6497">IF(All_Students_Scores!C6495:V6495="","",All_Students_Scores!C6495:V6495)</f>
        <v/>
      </c>
      <c r="E6497" s="57" t="str"/>
      <c r="F6497" s="49" t="str"/>
      <c r="G6497" s="59" t="str"/>
      <c r="H6497" s="64" t="str"/>
      <c r="I6497" s="65" t="str"/>
      <c r="J6497" s="49" t="str"/>
      <c r="K6497" s="41" t="str"/>
      <c r="L6497" s="41" t="str"/>
      <c r="M6497" s="41" t="str"/>
      <c r="N6497" s="41" t="str"/>
      <c r="O6497" s="41" t="str"/>
      <c r="P6497" s="41" t="str"/>
      <c r="Q6497" s="41" t="str"/>
      <c r="R6497" s="41" t="str"/>
      <c r="S6497" s="41" t="str"/>
      <c r="T6497" s="41" t="str"/>
      <c r="U6497" s="41" t="str"/>
      <c r="V6497" s="41" t="str"/>
      <c r="W6497" s="41" t="str"/>
    </row>
    <row r="6498">
      <c r="B6498" s="2" t="n"/>
      <c r="C6498" s="40" t="n"/>
      <c r="D6498" s="52">
        <f t="array" ref="D6498:W6498">IF(All_Students_Scores!C6496:V6496="","",All_Students_Scores!C6496:V6496)</f>
        <v/>
      </c>
      <c r="E6498" s="57" t="str"/>
      <c r="F6498" s="49" t="str"/>
      <c r="G6498" s="59" t="str"/>
      <c r="H6498" s="64" t="str"/>
      <c r="I6498" s="65" t="str"/>
      <c r="J6498" s="49" t="str"/>
      <c r="K6498" s="41" t="str"/>
      <c r="L6498" s="41" t="str"/>
      <c r="M6498" s="41" t="str"/>
      <c r="N6498" s="41" t="str"/>
      <c r="O6498" s="41" t="str"/>
      <c r="P6498" s="41" t="str"/>
      <c r="Q6498" s="41" t="str"/>
      <c r="R6498" s="41" t="str"/>
      <c r="S6498" s="41" t="str"/>
      <c r="T6498" s="41" t="str"/>
      <c r="U6498" s="41" t="str"/>
      <c r="V6498" s="41" t="str"/>
      <c r="W6498" s="41" t="str"/>
    </row>
    <row r="6499">
      <c r="B6499" s="2" t="n"/>
      <c r="C6499" s="40" t="n"/>
      <c r="D6499" s="52">
        <f t="array" ref="D6499:W6499">IF(All_Students_Scores!C6497:V6497="","",All_Students_Scores!C6497:V6497)</f>
        <v/>
      </c>
      <c r="E6499" s="57" t="str"/>
      <c r="F6499" s="49" t="str"/>
      <c r="G6499" s="59" t="str"/>
      <c r="H6499" s="64" t="str"/>
      <c r="I6499" s="65" t="str"/>
      <c r="J6499" s="49" t="str"/>
      <c r="K6499" s="41" t="str"/>
      <c r="L6499" s="41" t="str"/>
      <c r="M6499" s="41" t="str"/>
      <c r="N6499" s="41" t="str"/>
      <c r="O6499" s="41" t="str"/>
      <c r="P6499" s="41" t="str"/>
      <c r="Q6499" s="41" t="str"/>
      <c r="R6499" s="41" t="str"/>
      <c r="S6499" s="41" t="str"/>
      <c r="T6499" s="41" t="str"/>
      <c r="U6499" s="41" t="str"/>
      <c r="V6499" s="41" t="str"/>
      <c r="W6499" s="41" t="str"/>
    </row>
    <row r="6500">
      <c r="B6500" s="2" t="n"/>
      <c r="C6500" s="40" t="n"/>
      <c r="D6500" s="52">
        <f t="array" ref="D6500:W6500">IF(All_Students_Scores!C6498:V6498="","",All_Students_Scores!C6498:V6498)</f>
        <v/>
      </c>
      <c r="E6500" s="57" t="str"/>
      <c r="F6500" s="49" t="str"/>
      <c r="G6500" s="59" t="str"/>
      <c r="H6500" s="64" t="str"/>
      <c r="I6500" s="65" t="str"/>
      <c r="J6500" s="49" t="str"/>
      <c r="K6500" s="41" t="str"/>
      <c r="L6500" s="41" t="str"/>
      <c r="M6500" s="41" t="str"/>
      <c r="N6500" s="41" t="str"/>
      <c r="O6500" s="41" t="str"/>
      <c r="P6500" s="41" t="str"/>
      <c r="Q6500" s="41" t="str"/>
      <c r="R6500" s="41" t="str"/>
      <c r="S6500" s="41" t="str"/>
      <c r="T6500" s="41" t="str"/>
      <c r="U6500" s="41" t="str"/>
      <c r="V6500" s="41" t="str"/>
      <c r="W6500" s="41" t="str"/>
    </row>
    <row r="6501">
      <c r="B6501" s="2" t="n"/>
      <c r="C6501" s="40" t="n"/>
      <c r="D6501" s="52">
        <f t="array" ref="D6501:W6501">IF(All_Students_Scores!C6499:V6499="","",All_Students_Scores!C6499:V6499)</f>
        <v/>
      </c>
      <c r="E6501" s="57" t="str"/>
      <c r="F6501" s="49" t="str"/>
      <c r="G6501" s="59" t="str"/>
      <c r="H6501" s="64" t="str"/>
      <c r="I6501" s="65" t="str"/>
      <c r="J6501" s="49" t="str"/>
      <c r="K6501" s="41" t="str"/>
      <c r="L6501" s="41" t="str"/>
      <c r="M6501" s="41" t="str"/>
      <c r="N6501" s="41" t="str"/>
      <c r="O6501" s="41" t="str"/>
      <c r="P6501" s="41" t="str"/>
      <c r="Q6501" s="41" t="str"/>
      <c r="R6501" s="41" t="str"/>
      <c r="S6501" s="41" t="str"/>
      <c r="T6501" s="41" t="str"/>
      <c r="U6501" s="41" t="str"/>
      <c r="V6501" s="41" t="str"/>
      <c r="W6501" s="41" t="str"/>
    </row>
    <row r="6502">
      <c r="B6502" s="2" t="n"/>
      <c r="C6502" s="40" t="n"/>
      <c r="D6502" s="52">
        <f t="array" ref="D6502:W6502">IF(All_Students_Scores!C6500:V6500="","",All_Students_Scores!C6500:V6500)</f>
        <v/>
      </c>
      <c r="E6502" s="57" t="str"/>
      <c r="F6502" s="49" t="str"/>
      <c r="G6502" s="59" t="str"/>
      <c r="H6502" s="64" t="str"/>
      <c r="I6502" s="65" t="str"/>
      <c r="J6502" s="49" t="str"/>
      <c r="K6502" s="41" t="str"/>
      <c r="L6502" s="41" t="str"/>
      <c r="M6502" s="41" t="str"/>
      <c r="N6502" s="41" t="str"/>
      <c r="O6502" s="41" t="str"/>
      <c r="P6502" s="41" t="str"/>
      <c r="Q6502" s="41" t="str"/>
      <c r="R6502" s="41" t="str"/>
      <c r="S6502" s="41" t="str"/>
      <c r="T6502" s="41" t="str"/>
      <c r="U6502" s="41" t="str"/>
      <c r="V6502" s="41" t="str"/>
      <c r="W6502" s="41" t="str"/>
    </row>
    <row r="6503">
      <c r="B6503" s="2" t="n"/>
      <c r="C6503" s="40" t="n"/>
      <c r="D6503" s="52">
        <f t="array" ref="D6503:W6503">IF(All_Students_Scores!C6501:V6501="","",All_Students_Scores!C6501:V6501)</f>
        <v/>
      </c>
      <c r="E6503" s="57" t="str"/>
      <c r="F6503" s="49" t="str"/>
      <c r="G6503" s="59" t="str"/>
      <c r="H6503" s="64" t="str"/>
      <c r="I6503" s="65" t="str"/>
      <c r="J6503" s="49" t="str"/>
      <c r="K6503" s="41" t="str"/>
      <c r="L6503" s="41" t="str"/>
      <c r="M6503" s="41" t="str"/>
      <c r="N6503" s="41" t="str"/>
      <c r="O6503" s="41" t="str"/>
      <c r="P6503" s="41" t="str"/>
      <c r="Q6503" s="41" t="str"/>
      <c r="R6503" s="41" t="str"/>
      <c r="S6503" s="41" t="str"/>
      <c r="T6503" s="41" t="str"/>
      <c r="U6503" s="41" t="str"/>
      <c r="V6503" s="41" t="str"/>
      <c r="W6503" s="41" t="str"/>
    </row>
    <row r="6504">
      <c r="B6504" s="2" t="n"/>
      <c r="C6504" s="40" t="n"/>
      <c r="D6504" s="52">
        <f t="array" ref="D6504:W6504">IF(All_Students_Scores!C6502:V6502="","",All_Students_Scores!C6502:V6502)</f>
        <v/>
      </c>
      <c r="E6504" s="57" t="str"/>
      <c r="F6504" s="49" t="str"/>
      <c r="G6504" s="59" t="str"/>
      <c r="H6504" s="64" t="str"/>
      <c r="I6504" s="65" t="str"/>
      <c r="J6504" s="49" t="str"/>
      <c r="K6504" s="41" t="str"/>
      <c r="L6504" s="41" t="str"/>
      <c r="M6504" s="41" t="str"/>
      <c r="N6504" s="41" t="str"/>
      <c r="O6504" s="41" t="str"/>
      <c r="P6504" s="41" t="str"/>
      <c r="Q6504" s="41" t="str"/>
      <c r="R6504" s="41" t="str"/>
      <c r="S6504" s="41" t="str"/>
      <c r="T6504" s="41" t="str"/>
      <c r="U6504" s="41" t="str"/>
      <c r="V6504" s="41" t="str"/>
      <c r="W6504" s="41" t="str"/>
    </row>
    <row r="6505">
      <c r="B6505" s="2" t="n"/>
      <c r="C6505" s="40" t="n"/>
      <c r="D6505" s="52">
        <f t="array" ref="D6505:W6505">IF(All_Students_Scores!C6503:V6503="","",All_Students_Scores!C6503:V6503)</f>
        <v/>
      </c>
      <c r="E6505" s="57" t="str"/>
      <c r="F6505" s="49" t="str"/>
      <c r="G6505" s="59" t="str"/>
      <c r="H6505" s="64" t="str"/>
      <c r="I6505" s="65" t="str"/>
      <c r="J6505" s="49" t="str"/>
      <c r="K6505" s="41" t="str"/>
      <c r="L6505" s="41" t="str"/>
      <c r="M6505" s="41" t="str"/>
      <c r="N6505" s="41" t="str"/>
      <c r="O6505" s="41" t="str"/>
      <c r="P6505" s="41" t="str"/>
      <c r="Q6505" s="41" t="str"/>
      <c r="R6505" s="41" t="str"/>
      <c r="S6505" s="41" t="str"/>
      <c r="T6505" s="41" t="str"/>
      <c r="U6505" s="41" t="str"/>
      <c r="V6505" s="41" t="str"/>
      <c r="W6505" s="41" t="str"/>
    </row>
    <row r="6506">
      <c r="B6506" s="2" t="n"/>
      <c r="C6506" s="40" t="n"/>
      <c r="D6506" s="52">
        <f t="array" ref="D6506:W6506">IF(All_Students_Scores!C6504:V6504="","",All_Students_Scores!C6504:V6504)</f>
        <v/>
      </c>
      <c r="E6506" s="57" t="str"/>
      <c r="F6506" s="49" t="str"/>
      <c r="G6506" s="59" t="str"/>
      <c r="H6506" s="64" t="str"/>
      <c r="I6506" s="65" t="str"/>
      <c r="J6506" s="49" t="str"/>
      <c r="K6506" s="41" t="str"/>
      <c r="L6506" s="41" t="str"/>
      <c r="M6506" s="41" t="str"/>
      <c r="N6506" s="41" t="str"/>
      <c r="O6506" s="41" t="str"/>
      <c r="P6506" s="41" t="str"/>
      <c r="Q6506" s="41" t="str"/>
      <c r="R6506" s="41" t="str"/>
      <c r="S6506" s="41" t="str"/>
      <c r="T6506" s="41" t="str"/>
      <c r="U6506" s="41" t="str"/>
      <c r="V6506" s="41" t="str"/>
      <c r="W6506" s="41" t="str"/>
    </row>
    <row r="6507">
      <c r="B6507" s="2" t="n"/>
      <c r="C6507" s="40" t="n"/>
      <c r="D6507" s="52">
        <f t="array" ref="D6507:W6507">IF(All_Students_Scores!C6505:V6505="","",All_Students_Scores!C6505:V6505)</f>
        <v/>
      </c>
      <c r="E6507" s="57" t="str"/>
      <c r="F6507" s="49" t="str"/>
      <c r="G6507" s="59" t="str"/>
      <c r="H6507" s="64" t="str"/>
      <c r="I6507" s="65" t="str"/>
      <c r="J6507" s="49" t="str"/>
      <c r="K6507" s="41" t="str"/>
      <c r="L6507" s="41" t="str"/>
      <c r="M6507" s="41" t="str"/>
      <c r="N6507" s="41" t="str"/>
      <c r="O6507" s="41" t="str"/>
      <c r="P6507" s="41" t="str"/>
      <c r="Q6507" s="41" t="str"/>
      <c r="R6507" s="41" t="str"/>
      <c r="S6507" s="41" t="str"/>
      <c r="T6507" s="41" t="str"/>
      <c r="U6507" s="41" t="str"/>
      <c r="V6507" s="41" t="str"/>
      <c r="W6507" s="41" t="str"/>
    </row>
    <row r="6508">
      <c r="B6508" s="2" t="n"/>
      <c r="C6508" s="40" t="n"/>
      <c r="D6508" s="52">
        <f t="array" ref="D6508:W6508">IF(All_Students_Scores!C6506:V6506="","",All_Students_Scores!C6506:V6506)</f>
        <v/>
      </c>
      <c r="E6508" s="57" t="str"/>
      <c r="F6508" s="49" t="str"/>
      <c r="G6508" s="59" t="str"/>
      <c r="H6508" s="64" t="str"/>
      <c r="I6508" s="65" t="str"/>
      <c r="J6508" s="49" t="str"/>
      <c r="K6508" s="41" t="str"/>
      <c r="L6508" s="41" t="str"/>
      <c r="M6508" s="41" t="str"/>
      <c r="N6508" s="41" t="str"/>
      <c r="O6508" s="41" t="str"/>
      <c r="P6508" s="41" t="str"/>
      <c r="Q6508" s="41" t="str"/>
      <c r="R6508" s="41" t="str"/>
      <c r="S6508" s="41" t="str"/>
      <c r="T6508" s="41" t="str"/>
      <c r="U6508" s="41" t="str"/>
      <c r="V6508" s="41" t="str"/>
      <c r="W6508" s="41" t="str"/>
    </row>
    <row r="6509">
      <c r="B6509" s="2" t="n"/>
      <c r="C6509" s="40" t="n"/>
      <c r="D6509" s="52">
        <f t="array" ref="D6509:W6509">IF(All_Students_Scores!C6507:V6507="","",All_Students_Scores!C6507:V6507)</f>
        <v/>
      </c>
      <c r="E6509" s="57" t="str"/>
      <c r="F6509" s="49" t="str"/>
      <c r="G6509" s="59" t="str"/>
      <c r="H6509" s="64" t="str"/>
      <c r="I6509" s="65" t="str"/>
      <c r="J6509" s="49" t="str"/>
      <c r="K6509" s="41" t="str"/>
      <c r="L6509" s="41" t="str"/>
      <c r="M6509" s="41" t="str"/>
      <c r="N6509" s="41" t="str"/>
      <c r="O6509" s="41" t="str"/>
      <c r="P6509" s="41" t="str"/>
      <c r="Q6509" s="41" t="str"/>
      <c r="R6509" s="41" t="str"/>
      <c r="S6509" s="41" t="str"/>
      <c r="T6509" s="41" t="str"/>
      <c r="U6509" s="41" t="str"/>
      <c r="V6509" s="41" t="str"/>
      <c r="W6509" s="41" t="str"/>
    </row>
    <row r="6510">
      <c r="B6510" s="2" t="n"/>
      <c r="C6510" s="40" t="n"/>
      <c r="D6510" s="52">
        <f t="array" ref="D6510:W6510">IF(All_Students_Scores!C6508:V6508="","",All_Students_Scores!C6508:V6508)</f>
        <v/>
      </c>
      <c r="E6510" s="57" t="str"/>
      <c r="F6510" s="49" t="str"/>
      <c r="G6510" s="59" t="str"/>
      <c r="H6510" s="64" t="str"/>
      <c r="I6510" s="65" t="str"/>
      <c r="J6510" s="49" t="str"/>
      <c r="K6510" s="41" t="str"/>
      <c r="L6510" s="41" t="str"/>
      <c r="M6510" s="41" t="str"/>
      <c r="N6510" s="41" t="str"/>
      <c r="O6510" s="41" t="str"/>
      <c r="P6510" s="41" t="str"/>
      <c r="Q6510" s="41" t="str"/>
      <c r="R6510" s="41" t="str"/>
      <c r="S6510" s="41" t="str"/>
      <c r="T6510" s="41" t="str"/>
      <c r="U6510" s="41" t="str"/>
      <c r="V6510" s="41" t="str"/>
      <c r="W6510" s="41" t="str"/>
    </row>
    <row r="6511">
      <c r="B6511" s="2" t="n"/>
      <c r="C6511" s="40" t="n"/>
      <c r="D6511" s="52">
        <f t="array" ref="D6511:W6511">IF(All_Students_Scores!C6509:V6509="","",All_Students_Scores!C6509:V6509)</f>
        <v/>
      </c>
      <c r="E6511" s="57" t="str"/>
      <c r="F6511" s="49" t="str"/>
      <c r="G6511" s="59" t="str"/>
      <c r="H6511" s="64" t="str"/>
      <c r="I6511" s="65" t="str"/>
      <c r="J6511" s="49" t="str"/>
      <c r="K6511" s="41" t="str"/>
      <c r="L6511" s="41" t="str"/>
      <c r="M6511" s="41" t="str"/>
      <c r="N6511" s="41" t="str"/>
      <c r="O6511" s="41" t="str"/>
      <c r="P6511" s="41" t="str"/>
      <c r="Q6511" s="41" t="str"/>
      <c r="R6511" s="41" t="str"/>
      <c r="S6511" s="41" t="str"/>
      <c r="T6511" s="41" t="str"/>
      <c r="U6511" s="41" t="str"/>
      <c r="V6511" s="41" t="str"/>
      <c r="W6511" s="41" t="str"/>
    </row>
    <row r="6512">
      <c r="B6512" s="2" t="n"/>
      <c r="C6512" s="40" t="n"/>
      <c r="D6512" s="52">
        <f t="array" ref="D6512:W6512">IF(All_Students_Scores!C6510:V6510="","",All_Students_Scores!C6510:V6510)</f>
        <v/>
      </c>
      <c r="E6512" s="57" t="str"/>
      <c r="F6512" s="49" t="str"/>
      <c r="G6512" s="59" t="str"/>
      <c r="H6512" s="64" t="str"/>
      <c r="I6512" s="65" t="str"/>
      <c r="J6512" s="49" t="str"/>
      <c r="K6512" s="41" t="str"/>
      <c r="L6512" s="41" t="str"/>
      <c r="M6512" s="41" t="str"/>
      <c r="N6512" s="41" t="str"/>
      <c r="O6512" s="41" t="str"/>
      <c r="P6512" s="41" t="str"/>
      <c r="Q6512" s="41" t="str"/>
      <c r="R6512" s="41" t="str"/>
      <c r="S6512" s="41" t="str"/>
      <c r="T6512" s="41" t="str"/>
      <c r="U6512" s="41" t="str"/>
      <c r="V6512" s="41" t="str"/>
      <c r="W6512" s="41" t="str"/>
    </row>
    <row r="6513">
      <c r="B6513" s="2" t="n"/>
      <c r="C6513" s="40" t="n"/>
      <c r="D6513" s="52">
        <f t="array" ref="D6513:W6513">IF(All_Students_Scores!C6511:V6511="","",All_Students_Scores!C6511:V6511)</f>
        <v/>
      </c>
      <c r="E6513" s="57" t="str"/>
      <c r="F6513" s="49" t="str"/>
      <c r="G6513" s="59" t="str"/>
      <c r="H6513" s="64" t="str"/>
      <c r="I6513" s="65" t="str"/>
      <c r="J6513" s="49" t="str"/>
      <c r="K6513" s="41" t="str"/>
      <c r="L6513" s="41" t="str"/>
      <c r="M6513" s="41" t="str"/>
      <c r="N6513" s="41" t="str"/>
      <c r="O6513" s="41" t="str"/>
      <c r="P6513" s="41" t="str"/>
      <c r="Q6513" s="41" t="str"/>
      <c r="R6513" s="41" t="str"/>
      <c r="S6513" s="41" t="str"/>
      <c r="T6513" s="41" t="str"/>
      <c r="U6513" s="41" t="str"/>
      <c r="V6513" s="41" t="str"/>
      <c r="W6513" s="41" t="str"/>
    </row>
    <row r="6514">
      <c r="B6514" s="2" t="n"/>
      <c r="C6514" s="40" t="n"/>
      <c r="D6514" s="52">
        <f t="array" ref="D6514:W6514">IF(All_Students_Scores!C6512:V6512="","",All_Students_Scores!C6512:V6512)</f>
        <v/>
      </c>
      <c r="E6514" s="57" t="str"/>
      <c r="F6514" s="49" t="str"/>
      <c r="G6514" s="59" t="str"/>
      <c r="H6514" s="64" t="str"/>
      <c r="I6514" s="65" t="str"/>
      <c r="J6514" s="49" t="str"/>
      <c r="K6514" s="41" t="str"/>
      <c r="L6514" s="41" t="str"/>
      <c r="M6514" s="41" t="str"/>
      <c r="N6514" s="41" t="str"/>
      <c r="O6514" s="41" t="str"/>
      <c r="P6514" s="41" t="str"/>
      <c r="Q6514" s="41" t="str"/>
      <c r="R6514" s="41" t="str"/>
      <c r="S6514" s="41" t="str"/>
      <c r="T6514" s="41" t="str"/>
      <c r="U6514" s="41" t="str"/>
      <c r="V6514" s="41" t="str"/>
      <c r="W6514" s="41" t="str"/>
    </row>
    <row r="6515">
      <c r="B6515" s="2" t="n"/>
      <c r="C6515" s="40" t="n"/>
      <c r="D6515" s="52">
        <f t="array" ref="D6515:W6515">IF(All_Students_Scores!C6513:V6513="","",All_Students_Scores!C6513:V6513)</f>
        <v/>
      </c>
      <c r="E6515" s="57" t="str"/>
      <c r="F6515" s="49" t="str"/>
      <c r="G6515" s="59" t="str"/>
      <c r="H6515" s="64" t="str"/>
      <c r="I6515" s="65" t="str"/>
      <c r="J6515" s="49" t="str"/>
      <c r="K6515" s="41" t="str"/>
      <c r="L6515" s="41" t="str"/>
      <c r="M6515" s="41" t="str"/>
      <c r="N6515" s="41" t="str"/>
      <c r="O6515" s="41" t="str"/>
      <c r="P6515" s="41" t="str"/>
      <c r="Q6515" s="41" t="str"/>
      <c r="R6515" s="41" t="str"/>
      <c r="S6515" s="41" t="str"/>
      <c r="T6515" s="41" t="str"/>
      <c r="U6515" s="41" t="str"/>
      <c r="V6515" s="41" t="str"/>
      <c r="W6515" s="41" t="str"/>
    </row>
    <row r="6516">
      <c r="B6516" s="2" t="n"/>
      <c r="C6516" s="40" t="n"/>
      <c r="D6516" s="52">
        <f t="array" ref="D6516:W6516">IF(All_Students_Scores!C6514:V6514="","",All_Students_Scores!C6514:V6514)</f>
        <v/>
      </c>
      <c r="E6516" s="57" t="str"/>
      <c r="F6516" s="49" t="str"/>
      <c r="G6516" s="59" t="str"/>
      <c r="H6516" s="64" t="str"/>
      <c r="I6516" s="65" t="str"/>
      <c r="J6516" s="49" t="str"/>
      <c r="K6516" s="41" t="str"/>
      <c r="L6516" s="41" t="str"/>
      <c r="M6516" s="41" t="str"/>
      <c r="N6516" s="41" t="str"/>
      <c r="O6516" s="41" t="str"/>
      <c r="P6516" s="41" t="str"/>
      <c r="Q6516" s="41" t="str"/>
      <c r="R6516" s="41" t="str"/>
      <c r="S6516" s="41" t="str"/>
      <c r="T6516" s="41" t="str"/>
      <c r="U6516" s="41" t="str"/>
      <c r="V6516" s="41" t="str"/>
      <c r="W6516" s="41" t="str"/>
    </row>
    <row r="6517">
      <c r="B6517" s="2" t="n"/>
      <c r="C6517" s="40" t="n"/>
      <c r="D6517" s="52">
        <f t="array" ref="D6517:W6517">IF(All_Students_Scores!C6515:V6515="","",All_Students_Scores!C6515:V6515)</f>
        <v/>
      </c>
      <c r="E6517" s="57" t="str"/>
      <c r="F6517" s="49" t="str"/>
      <c r="G6517" s="59" t="str"/>
      <c r="H6517" s="64" t="str"/>
      <c r="I6517" s="65" t="str"/>
      <c r="J6517" s="49" t="str"/>
      <c r="K6517" s="41" t="str"/>
      <c r="L6517" s="41" t="str"/>
      <c r="M6517" s="41" t="str"/>
      <c r="N6517" s="41" t="str"/>
      <c r="O6517" s="41" t="str"/>
      <c r="P6517" s="41" t="str"/>
      <c r="Q6517" s="41" t="str"/>
      <c r="R6517" s="41" t="str"/>
      <c r="S6517" s="41" t="str"/>
      <c r="T6517" s="41" t="str"/>
      <c r="U6517" s="41" t="str"/>
      <c r="V6517" s="41" t="str"/>
      <c r="W6517" s="41" t="str"/>
    </row>
    <row r="6518">
      <c r="B6518" s="2" t="n"/>
      <c r="C6518" s="40" t="n"/>
      <c r="D6518" s="52">
        <f t="array" ref="D6518:W6518">IF(All_Students_Scores!C6516:V6516="","",All_Students_Scores!C6516:V6516)</f>
        <v/>
      </c>
      <c r="E6518" s="57" t="str"/>
      <c r="F6518" s="49" t="str"/>
      <c r="G6518" s="59" t="str"/>
      <c r="H6518" s="64" t="str"/>
      <c r="I6518" s="65" t="str"/>
      <c r="J6518" s="49" t="str"/>
      <c r="K6518" s="41" t="str"/>
      <c r="L6518" s="41" t="str"/>
      <c r="M6518" s="41" t="str"/>
      <c r="N6518" s="41" t="str"/>
      <c r="O6518" s="41" t="str"/>
      <c r="P6518" s="41" t="str"/>
      <c r="Q6518" s="41" t="str"/>
      <c r="R6518" s="41" t="str"/>
      <c r="S6518" s="41" t="str"/>
      <c r="T6518" s="41" t="str"/>
      <c r="U6518" s="41" t="str"/>
      <c r="V6518" s="41" t="str"/>
      <c r="W6518" s="41" t="str"/>
    </row>
    <row r="6519">
      <c r="B6519" s="2" t="n"/>
      <c r="C6519" s="40" t="n"/>
      <c r="D6519" s="52">
        <f t="array" ref="D6519:W6519">IF(All_Students_Scores!C6517:V6517="","",All_Students_Scores!C6517:V6517)</f>
        <v/>
      </c>
      <c r="E6519" s="57" t="str"/>
      <c r="F6519" s="49" t="str"/>
      <c r="G6519" s="59" t="str"/>
      <c r="H6519" s="64" t="str"/>
      <c r="I6519" s="65" t="str"/>
      <c r="J6519" s="49" t="str"/>
      <c r="K6519" s="41" t="str"/>
      <c r="L6519" s="41" t="str"/>
      <c r="M6519" s="41" t="str"/>
      <c r="N6519" s="41" t="str"/>
      <c r="O6519" s="41" t="str"/>
      <c r="P6519" s="41" t="str"/>
      <c r="Q6519" s="41" t="str"/>
      <c r="R6519" s="41" t="str"/>
      <c r="S6519" s="41" t="str"/>
      <c r="T6519" s="41" t="str"/>
      <c r="U6519" s="41" t="str"/>
      <c r="V6519" s="41" t="str"/>
      <c r="W6519" s="41" t="str"/>
    </row>
    <row r="6520">
      <c r="B6520" s="2" t="n"/>
      <c r="C6520" s="40" t="n"/>
      <c r="D6520" s="52">
        <f t="array" ref="D6520:W6520">IF(All_Students_Scores!C6518:V6518="","",All_Students_Scores!C6518:V6518)</f>
        <v/>
      </c>
      <c r="E6520" s="57" t="str"/>
      <c r="F6520" s="49" t="str"/>
      <c r="G6520" s="59" t="str"/>
      <c r="H6520" s="64" t="str"/>
      <c r="I6520" s="65" t="str"/>
      <c r="J6520" s="49" t="str"/>
      <c r="K6520" s="41" t="str"/>
      <c r="L6520" s="41" t="str"/>
      <c r="M6520" s="41" t="str"/>
      <c r="N6520" s="41" t="str"/>
      <c r="O6520" s="41" t="str"/>
      <c r="P6520" s="41" t="str"/>
      <c r="Q6520" s="41" t="str"/>
      <c r="R6520" s="41" t="str"/>
      <c r="S6520" s="41" t="str"/>
      <c r="T6520" s="41" t="str"/>
      <c r="U6520" s="41" t="str"/>
      <c r="V6520" s="41" t="str"/>
      <c r="W6520" s="41" t="str"/>
    </row>
    <row r="6521">
      <c r="B6521" s="2" t="n"/>
      <c r="C6521" s="40" t="n"/>
      <c r="D6521" s="52">
        <f t="array" ref="D6521:W6521">IF(All_Students_Scores!C6519:V6519="","",All_Students_Scores!C6519:V6519)</f>
        <v/>
      </c>
      <c r="E6521" s="57" t="str"/>
      <c r="F6521" s="49" t="str"/>
      <c r="G6521" s="59" t="str"/>
      <c r="H6521" s="64" t="str"/>
      <c r="I6521" s="65" t="str"/>
      <c r="J6521" s="49" t="str"/>
      <c r="K6521" s="41" t="str"/>
      <c r="L6521" s="41" t="str"/>
      <c r="M6521" s="41" t="str"/>
      <c r="N6521" s="41" t="str"/>
      <c r="O6521" s="41" t="str"/>
      <c r="P6521" s="41" t="str"/>
      <c r="Q6521" s="41" t="str"/>
      <c r="R6521" s="41" t="str"/>
      <c r="S6521" s="41" t="str"/>
      <c r="T6521" s="41" t="str"/>
      <c r="U6521" s="41" t="str"/>
      <c r="V6521" s="41" t="str"/>
      <c r="W6521" s="41" t="str"/>
    </row>
    <row r="6522">
      <c r="B6522" s="2" t="n"/>
      <c r="C6522" s="40" t="n"/>
      <c r="D6522" s="52">
        <f t="array" ref="D6522:W6522">IF(All_Students_Scores!C6520:V6520="","",All_Students_Scores!C6520:V6520)</f>
        <v/>
      </c>
      <c r="E6522" s="57" t="str"/>
      <c r="F6522" s="49" t="str"/>
      <c r="G6522" s="59" t="str"/>
      <c r="H6522" s="64" t="str"/>
      <c r="I6522" s="65" t="str"/>
      <c r="J6522" s="49" t="str"/>
      <c r="K6522" s="41" t="str"/>
      <c r="L6522" s="41" t="str"/>
      <c r="M6522" s="41" t="str"/>
      <c r="N6522" s="41" t="str"/>
      <c r="O6522" s="41" t="str"/>
      <c r="P6522" s="41" t="str"/>
      <c r="Q6522" s="41" t="str"/>
      <c r="R6522" s="41" t="str"/>
      <c r="S6522" s="41" t="str"/>
      <c r="T6522" s="41" t="str"/>
      <c r="U6522" s="41" t="str"/>
      <c r="V6522" s="41" t="str"/>
      <c r="W6522" s="41" t="str"/>
    </row>
    <row r="6523">
      <c r="B6523" s="2" t="n"/>
      <c r="C6523" s="40" t="n"/>
      <c r="D6523" s="52">
        <f t="array" ref="D6523:W6523">IF(All_Students_Scores!C6521:V6521="","",All_Students_Scores!C6521:V6521)</f>
        <v/>
      </c>
      <c r="E6523" s="57" t="str"/>
      <c r="F6523" s="49" t="str"/>
      <c r="G6523" s="59" t="str"/>
      <c r="H6523" s="64" t="str"/>
      <c r="I6523" s="65" t="str"/>
      <c r="J6523" s="49" t="str"/>
      <c r="K6523" s="41" t="str"/>
      <c r="L6523" s="41" t="str"/>
      <c r="M6523" s="41" t="str"/>
      <c r="N6523" s="41" t="str"/>
      <c r="O6523" s="41" t="str"/>
      <c r="P6523" s="41" t="str"/>
      <c r="Q6523" s="41" t="str"/>
      <c r="R6523" s="41" t="str"/>
      <c r="S6523" s="41" t="str"/>
      <c r="T6523" s="41" t="str"/>
      <c r="U6523" s="41" t="str"/>
      <c r="V6523" s="41" t="str"/>
      <c r="W6523" s="41" t="str"/>
    </row>
    <row r="6524">
      <c r="B6524" s="2" t="n"/>
      <c r="C6524" s="40" t="n"/>
      <c r="D6524" s="52">
        <f t="array" ref="D6524:W6524">IF(All_Students_Scores!C6522:V6522="","",All_Students_Scores!C6522:V6522)</f>
        <v/>
      </c>
      <c r="E6524" s="57" t="str"/>
      <c r="F6524" s="49" t="str"/>
      <c r="G6524" s="59" t="str"/>
      <c r="H6524" s="64" t="str"/>
      <c r="I6524" s="65" t="str"/>
      <c r="J6524" s="49" t="str"/>
      <c r="K6524" s="41" t="str"/>
      <c r="L6524" s="41" t="str"/>
      <c r="M6524" s="41" t="str"/>
      <c r="N6524" s="41" t="str"/>
      <c r="O6524" s="41" t="str"/>
      <c r="P6524" s="41" t="str"/>
      <c r="Q6524" s="41" t="str"/>
      <c r="R6524" s="41" t="str"/>
      <c r="S6524" s="41" t="str"/>
      <c r="T6524" s="41" t="str"/>
      <c r="U6524" s="41" t="str"/>
      <c r="V6524" s="41" t="str"/>
      <c r="W6524" s="41" t="str"/>
    </row>
    <row r="6525">
      <c r="B6525" s="2" t="n"/>
      <c r="C6525" s="40" t="n"/>
      <c r="D6525" s="52">
        <f t="array" ref="D6525:W6525">IF(All_Students_Scores!C6523:V6523="","",All_Students_Scores!C6523:V6523)</f>
        <v/>
      </c>
      <c r="E6525" s="57" t="str"/>
      <c r="F6525" s="49" t="str"/>
      <c r="G6525" s="59" t="str"/>
      <c r="H6525" s="64" t="str"/>
      <c r="I6525" s="65" t="str"/>
      <c r="J6525" s="49" t="str"/>
      <c r="K6525" s="41" t="str"/>
      <c r="L6525" s="41" t="str"/>
      <c r="M6525" s="41" t="str"/>
      <c r="N6525" s="41" t="str"/>
      <c r="O6525" s="41" t="str"/>
      <c r="P6525" s="41" t="str"/>
      <c r="Q6525" s="41" t="str"/>
      <c r="R6525" s="41" t="str"/>
      <c r="S6525" s="41" t="str"/>
      <c r="T6525" s="41" t="str"/>
      <c r="U6525" s="41" t="str"/>
      <c r="V6525" s="41" t="str"/>
      <c r="W6525" s="41" t="str"/>
    </row>
    <row r="6526">
      <c r="B6526" s="2" t="n"/>
      <c r="C6526" s="40" t="n"/>
      <c r="D6526" s="52">
        <f t="array" ref="D6526:W6526">IF(All_Students_Scores!C6524:V6524="","",All_Students_Scores!C6524:V6524)</f>
        <v/>
      </c>
      <c r="E6526" s="57" t="str"/>
      <c r="F6526" s="49" t="str"/>
      <c r="G6526" s="59" t="str"/>
      <c r="H6526" s="64" t="str"/>
      <c r="I6526" s="65" t="str"/>
      <c r="J6526" s="49" t="str"/>
      <c r="K6526" s="41" t="str"/>
      <c r="L6526" s="41" t="str"/>
      <c r="M6526" s="41" t="str"/>
      <c r="N6526" s="41" t="str"/>
      <c r="O6526" s="41" t="str"/>
      <c r="P6526" s="41" t="str"/>
      <c r="Q6526" s="41" t="str"/>
      <c r="R6526" s="41" t="str"/>
      <c r="S6526" s="41" t="str"/>
      <c r="T6526" s="41" t="str"/>
      <c r="U6526" s="41" t="str"/>
      <c r="V6526" s="41" t="str"/>
      <c r="W6526" s="41" t="str"/>
    </row>
    <row r="6527">
      <c r="B6527" s="2" t="n"/>
      <c r="C6527" s="40" t="n"/>
      <c r="D6527" s="52">
        <f t="array" ref="D6527:W6527">IF(All_Students_Scores!C6525:V6525="","",All_Students_Scores!C6525:V6525)</f>
        <v/>
      </c>
      <c r="E6527" s="57" t="str"/>
      <c r="F6527" s="49" t="str"/>
      <c r="G6527" s="59" t="str"/>
      <c r="H6527" s="64" t="str"/>
      <c r="I6527" s="65" t="str"/>
      <c r="J6527" s="49" t="str"/>
      <c r="K6527" s="41" t="str"/>
      <c r="L6527" s="41" t="str"/>
      <c r="M6527" s="41" t="str"/>
      <c r="N6527" s="41" t="str"/>
      <c r="O6527" s="41" t="str"/>
      <c r="P6527" s="41" t="str"/>
      <c r="Q6527" s="41" t="str"/>
      <c r="R6527" s="41" t="str"/>
      <c r="S6527" s="41" t="str"/>
      <c r="T6527" s="41" t="str"/>
      <c r="U6527" s="41" t="str"/>
      <c r="V6527" s="41" t="str"/>
      <c r="W6527" s="41" t="str"/>
    </row>
    <row r="6528">
      <c r="B6528" s="2" t="n"/>
      <c r="C6528" s="40" t="n"/>
      <c r="D6528" s="52">
        <f t="array" ref="D6528:W6528">IF(All_Students_Scores!C6526:V6526="","",All_Students_Scores!C6526:V6526)</f>
        <v/>
      </c>
      <c r="E6528" s="57" t="str"/>
      <c r="F6528" s="49" t="str"/>
      <c r="G6528" s="59" t="str"/>
      <c r="H6528" s="64" t="str"/>
      <c r="I6528" s="65" t="str"/>
      <c r="J6528" s="49" t="str"/>
      <c r="K6528" s="41" t="str"/>
      <c r="L6528" s="41" t="str"/>
      <c r="M6528" s="41" t="str"/>
      <c r="N6528" s="41" t="str"/>
      <c r="O6528" s="41" t="str"/>
      <c r="P6528" s="41" t="str"/>
      <c r="Q6528" s="41" t="str"/>
      <c r="R6528" s="41" t="str"/>
      <c r="S6528" s="41" t="str"/>
      <c r="T6528" s="41" t="str"/>
      <c r="U6528" s="41" t="str"/>
      <c r="V6528" s="41" t="str"/>
      <c r="W6528" s="41" t="str"/>
    </row>
    <row r="6529">
      <c r="B6529" s="2" t="n"/>
      <c r="C6529" s="40" t="n"/>
      <c r="D6529" s="52">
        <f t="array" ref="D6529:W6529">IF(All_Students_Scores!C6527:V6527="","",All_Students_Scores!C6527:V6527)</f>
        <v/>
      </c>
      <c r="E6529" s="57" t="str"/>
      <c r="F6529" s="49" t="str"/>
      <c r="G6529" s="59" t="str"/>
      <c r="H6529" s="64" t="str"/>
      <c r="I6529" s="65" t="str"/>
      <c r="J6529" s="49" t="str"/>
      <c r="K6529" s="41" t="str"/>
      <c r="L6529" s="41" t="str"/>
      <c r="M6529" s="41" t="str"/>
      <c r="N6529" s="41" t="str"/>
      <c r="O6529" s="41" t="str"/>
      <c r="P6529" s="41" t="str"/>
      <c r="Q6529" s="41" t="str"/>
      <c r="R6529" s="41" t="str"/>
      <c r="S6529" s="41" t="str"/>
      <c r="T6529" s="41" t="str"/>
      <c r="U6529" s="41" t="str"/>
      <c r="V6529" s="41" t="str"/>
      <c r="W6529" s="41" t="str"/>
    </row>
    <row r="6530">
      <c r="B6530" s="2" t="n"/>
      <c r="C6530" s="40" t="n"/>
      <c r="D6530" s="52">
        <f t="array" ref="D6530:W6530">IF(All_Students_Scores!C6528:V6528="","",All_Students_Scores!C6528:V6528)</f>
        <v/>
      </c>
      <c r="E6530" s="57" t="str"/>
      <c r="F6530" s="49" t="str"/>
      <c r="G6530" s="59" t="str"/>
      <c r="H6530" s="64" t="str"/>
      <c r="I6530" s="65" t="str"/>
      <c r="J6530" s="49" t="str"/>
      <c r="K6530" s="41" t="str"/>
      <c r="L6530" s="41" t="str"/>
      <c r="M6530" s="41" t="str"/>
      <c r="N6530" s="41" t="str"/>
      <c r="O6530" s="41" t="str"/>
      <c r="P6530" s="41" t="str"/>
      <c r="Q6530" s="41" t="str"/>
      <c r="R6530" s="41" t="str"/>
      <c r="S6530" s="41" t="str"/>
      <c r="T6530" s="41" t="str"/>
      <c r="U6530" s="41" t="str"/>
      <c r="V6530" s="41" t="str"/>
      <c r="W6530" s="41" t="str"/>
    </row>
    <row r="6531">
      <c r="B6531" s="2" t="n"/>
      <c r="C6531" s="40" t="n"/>
      <c r="D6531" s="52">
        <f t="array" ref="D6531:W6531">IF(All_Students_Scores!C6529:V6529="","",All_Students_Scores!C6529:V6529)</f>
        <v/>
      </c>
      <c r="E6531" s="57" t="str"/>
      <c r="F6531" s="49" t="str"/>
      <c r="G6531" s="59" t="str"/>
      <c r="H6531" s="64" t="str"/>
      <c r="I6531" s="65" t="str"/>
      <c r="J6531" s="49" t="str"/>
      <c r="K6531" s="41" t="str"/>
      <c r="L6531" s="41" t="str"/>
      <c r="M6531" s="41" t="str"/>
      <c r="N6531" s="41" t="str"/>
      <c r="O6531" s="41" t="str"/>
      <c r="P6531" s="41" t="str"/>
      <c r="Q6531" s="41" t="str"/>
      <c r="R6531" s="41" t="str"/>
      <c r="S6531" s="41" t="str"/>
      <c r="T6531" s="41" t="str"/>
      <c r="U6531" s="41" t="str"/>
      <c r="V6531" s="41" t="str"/>
      <c r="W6531" s="41" t="str"/>
    </row>
    <row r="6532">
      <c r="B6532" s="2" t="n"/>
      <c r="C6532" s="40" t="n"/>
      <c r="D6532" s="52">
        <f t="array" ref="D6532:W6532">IF(All_Students_Scores!C6530:V6530="","",All_Students_Scores!C6530:V6530)</f>
        <v/>
      </c>
      <c r="E6532" s="57" t="str"/>
      <c r="F6532" s="49" t="str"/>
      <c r="G6532" s="59" t="str"/>
      <c r="H6532" s="64" t="str"/>
      <c r="I6532" s="65" t="str"/>
      <c r="J6532" s="49" t="str"/>
      <c r="K6532" s="41" t="str"/>
      <c r="L6532" s="41" t="str"/>
      <c r="M6532" s="41" t="str"/>
      <c r="N6532" s="41" t="str"/>
      <c r="O6532" s="41" t="str"/>
      <c r="P6532" s="41" t="str"/>
      <c r="Q6532" s="41" t="str"/>
      <c r="R6532" s="41" t="str"/>
      <c r="S6532" s="41" t="str"/>
      <c r="T6532" s="41" t="str"/>
      <c r="U6532" s="41" t="str"/>
      <c r="V6532" s="41" t="str"/>
      <c r="W6532" s="41" t="str"/>
    </row>
    <row r="6533">
      <c r="B6533" s="2" t="n"/>
      <c r="C6533" s="40" t="n"/>
      <c r="D6533" s="52">
        <f t="array" ref="D6533:W6533">IF(All_Students_Scores!C6531:V6531="","",All_Students_Scores!C6531:V6531)</f>
        <v/>
      </c>
      <c r="E6533" s="57" t="str"/>
      <c r="F6533" s="49" t="str"/>
      <c r="G6533" s="59" t="str"/>
      <c r="H6533" s="64" t="str"/>
      <c r="I6533" s="65" t="str"/>
      <c r="J6533" s="49" t="str"/>
      <c r="K6533" s="41" t="str"/>
      <c r="L6533" s="41" t="str"/>
      <c r="M6533" s="41" t="str"/>
      <c r="N6533" s="41" t="str"/>
      <c r="O6533" s="41" t="str"/>
      <c r="P6533" s="41" t="str"/>
      <c r="Q6533" s="41" t="str"/>
      <c r="R6533" s="41" t="str"/>
      <c r="S6533" s="41" t="str"/>
      <c r="T6533" s="41" t="str"/>
      <c r="U6533" s="41" t="str"/>
      <c r="V6533" s="41" t="str"/>
      <c r="W6533" s="41" t="str"/>
    </row>
    <row r="6534">
      <c r="B6534" s="2" t="n"/>
      <c r="C6534" s="40" t="n"/>
      <c r="D6534" s="52">
        <f t="array" ref="D6534:W6534">IF(All_Students_Scores!C6532:V6532="","",All_Students_Scores!C6532:V6532)</f>
        <v/>
      </c>
      <c r="E6534" s="57" t="str"/>
      <c r="F6534" s="49" t="str"/>
      <c r="G6534" s="59" t="str"/>
      <c r="H6534" s="64" t="str"/>
      <c r="I6534" s="65" t="str"/>
      <c r="J6534" s="49" t="str"/>
      <c r="K6534" s="41" t="str"/>
      <c r="L6534" s="41" t="str"/>
      <c r="M6534" s="41" t="str"/>
      <c r="N6534" s="41" t="str"/>
      <c r="O6534" s="41" t="str"/>
      <c r="P6534" s="41" t="str"/>
      <c r="Q6534" s="41" t="str"/>
      <c r="R6534" s="41" t="str"/>
      <c r="S6534" s="41" t="str"/>
      <c r="T6534" s="41" t="str"/>
      <c r="U6534" s="41" t="str"/>
      <c r="V6534" s="41" t="str"/>
      <c r="W6534" s="41" t="str"/>
    </row>
    <row r="6535">
      <c r="B6535" s="2" t="n"/>
      <c r="C6535" s="40" t="n"/>
      <c r="D6535" s="52">
        <f t="array" ref="D6535:W6535">IF(All_Students_Scores!C6533:V6533="","",All_Students_Scores!C6533:V6533)</f>
        <v/>
      </c>
      <c r="E6535" s="57" t="str"/>
      <c r="F6535" s="49" t="str"/>
      <c r="G6535" s="59" t="str"/>
      <c r="H6535" s="64" t="str"/>
      <c r="I6535" s="65" t="str"/>
      <c r="J6535" s="49" t="str"/>
      <c r="K6535" s="41" t="str"/>
      <c r="L6535" s="41" t="str"/>
      <c r="M6535" s="41" t="str"/>
      <c r="N6535" s="41" t="str"/>
      <c r="O6535" s="41" t="str"/>
      <c r="P6535" s="41" t="str"/>
      <c r="Q6535" s="41" t="str"/>
      <c r="R6535" s="41" t="str"/>
      <c r="S6535" s="41" t="str"/>
      <c r="T6535" s="41" t="str"/>
      <c r="U6535" s="41" t="str"/>
      <c r="V6535" s="41" t="str"/>
      <c r="W6535" s="41" t="str"/>
    </row>
    <row r="6536">
      <c r="B6536" s="2" t="n"/>
      <c r="C6536" s="40" t="n"/>
      <c r="D6536" s="52">
        <f t="array" ref="D6536:W6536">IF(All_Students_Scores!C6534:V6534="","",All_Students_Scores!C6534:V6534)</f>
        <v/>
      </c>
      <c r="E6536" s="57" t="str"/>
      <c r="F6536" s="49" t="str"/>
      <c r="G6536" s="59" t="str"/>
      <c r="H6536" s="64" t="str"/>
      <c r="I6536" s="65" t="str"/>
      <c r="J6536" s="49" t="str"/>
      <c r="K6536" s="41" t="str"/>
      <c r="L6536" s="41" t="str"/>
      <c r="M6536" s="41" t="str"/>
      <c r="N6536" s="41" t="str"/>
      <c r="O6536" s="41" t="str"/>
      <c r="P6536" s="41" t="str"/>
      <c r="Q6536" s="41" t="str"/>
      <c r="R6536" s="41" t="str"/>
      <c r="S6536" s="41" t="str"/>
      <c r="T6536" s="41" t="str"/>
      <c r="U6536" s="41" t="str"/>
      <c r="V6536" s="41" t="str"/>
      <c r="W6536" s="41" t="str"/>
    </row>
    <row r="6537">
      <c r="B6537" s="2" t="n"/>
      <c r="C6537" s="40" t="n"/>
      <c r="D6537" s="52">
        <f t="array" ref="D6537:W6537">IF(All_Students_Scores!C6535:V6535="","",All_Students_Scores!C6535:V6535)</f>
        <v/>
      </c>
      <c r="E6537" s="57" t="str"/>
      <c r="F6537" s="49" t="str"/>
      <c r="G6537" s="59" t="str"/>
      <c r="H6537" s="64" t="str"/>
      <c r="I6537" s="65" t="str"/>
      <c r="J6537" s="49" t="str"/>
      <c r="K6537" s="41" t="str"/>
      <c r="L6537" s="41" t="str"/>
      <c r="M6537" s="41" t="str"/>
      <c r="N6537" s="41" t="str"/>
      <c r="O6537" s="41" t="str"/>
      <c r="P6537" s="41" t="str"/>
      <c r="Q6537" s="41" t="str"/>
      <c r="R6537" s="41" t="str"/>
      <c r="S6537" s="41" t="str"/>
      <c r="T6537" s="41" t="str"/>
      <c r="U6537" s="41" t="str"/>
      <c r="V6537" s="41" t="str"/>
      <c r="W6537" s="41" t="str"/>
    </row>
    <row r="6538">
      <c r="B6538" s="2" t="n"/>
      <c r="C6538" s="40" t="n"/>
      <c r="D6538" s="52">
        <f t="array" ref="D6538:W6538">IF(All_Students_Scores!C6536:V6536="","",All_Students_Scores!C6536:V6536)</f>
        <v/>
      </c>
      <c r="E6538" s="57" t="str"/>
      <c r="F6538" s="49" t="str"/>
      <c r="G6538" s="59" t="str"/>
      <c r="H6538" s="64" t="str"/>
      <c r="I6538" s="65" t="str"/>
      <c r="J6538" s="49" t="str"/>
      <c r="K6538" s="41" t="str"/>
      <c r="L6538" s="41" t="str"/>
      <c r="M6538" s="41" t="str"/>
      <c r="N6538" s="41" t="str"/>
      <c r="O6538" s="41" t="str"/>
      <c r="P6538" s="41" t="str"/>
      <c r="Q6538" s="41" t="str"/>
      <c r="R6538" s="41" t="str"/>
      <c r="S6538" s="41" t="str"/>
      <c r="T6538" s="41" t="str"/>
      <c r="U6538" s="41" t="str"/>
      <c r="V6538" s="41" t="str"/>
      <c r="W6538" s="41" t="str"/>
    </row>
    <row r="6539">
      <c r="B6539" s="2" t="n"/>
      <c r="C6539" s="40" t="n"/>
      <c r="D6539" s="52">
        <f t="array" ref="D6539:W6539">IF(All_Students_Scores!C6537:V6537="","",All_Students_Scores!C6537:V6537)</f>
        <v/>
      </c>
      <c r="E6539" s="57" t="str"/>
      <c r="F6539" s="49" t="str"/>
      <c r="G6539" s="59" t="str"/>
      <c r="H6539" s="64" t="str"/>
      <c r="I6539" s="65" t="str"/>
      <c r="J6539" s="49" t="str"/>
      <c r="K6539" s="41" t="str"/>
      <c r="L6539" s="41" t="str"/>
      <c r="M6539" s="41" t="str"/>
      <c r="N6539" s="41" t="str"/>
      <c r="O6539" s="41" t="str"/>
      <c r="P6539" s="41" t="str"/>
      <c r="Q6539" s="41" t="str"/>
      <c r="R6539" s="41" t="str"/>
      <c r="S6539" s="41" t="str"/>
      <c r="T6539" s="41" t="str"/>
      <c r="U6539" s="41" t="str"/>
      <c r="V6539" s="41" t="str"/>
      <c r="W6539" s="41" t="str"/>
    </row>
    <row r="6540">
      <c r="B6540" s="2" t="n"/>
      <c r="C6540" s="40" t="n"/>
      <c r="D6540" s="52">
        <f t="array" ref="D6540:W6540">IF(All_Students_Scores!C6538:V6538="","",All_Students_Scores!C6538:V6538)</f>
        <v/>
      </c>
      <c r="E6540" s="57" t="str"/>
      <c r="F6540" s="49" t="str"/>
      <c r="G6540" s="59" t="str"/>
      <c r="H6540" s="64" t="str"/>
      <c r="I6540" s="65" t="str"/>
      <c r="J6540" s="49" t="str"/>
      <c r="K6540" s="41" t="str"/>
      <c r="L6540" s="41" t="str"/>
      <c r="M6540" s="41" t="str"/>
      <c r="N6540" s="41" t="str"/>
      <c r="O6540" s="41" t="str"/>
      <c r="P6540" s="41" t="str"/>
      <c r="Q6540" s="41" t="str"/>
      <c r="R6540" s="41" t="str"/>
      <c r="S6540" s="41" t="str"/>
      <c r="T6540" s="41" t="str"/>
      <c r="U6540" s="41" t="str"/>
      <c r="V6540" s="41" t="str"/>
      <c r="W6540" s="41" t="str"/>
    </row>
    <row r="6541">
      <c r="B6541" s="2" t="n"/>
      <c r="C6541" s="40" t="n"/>
      <c r="D6541" s="52">
        <f t="array" ref="D6541:W6541">IF(All_Students_Scores!C6539:V6539="","",All_Students_Scores!C6539:V6539)</f>
        <v/>
      </c>
      <c r="E6541" s="57" t="str"/>
      <c r="F6541" s="49" t="str"/>
      <c r="G6541" s="59" t="str"/>
      <c r="H6541" s="64" t="str"/>
      <c r="I6541" s="65" t="str"/>
      <c r="J6541" s="49" t="str"/>
      <c r="K6541" s="41" t="str"/>
      <c r="L6541" s="41" t="str"/>
      <c r="M6541" s="41" t="str"/>
      <c r="N6541" s="41" t="str"/>
      <c r="O6541" s="41" t="str"/>
      <c r="P6541" s="41" t="str"/>
      <c r="Q6541" s="41" t="str"/>
      <c r="R6541" s="41" t="str"/>
      <c r="S6541" s="41" t="str"/>
      <c r="T6541" s="41" t="str"/>
      <c r="U6541" s="41" t="str"/>
      <c r="V6541" s="41" t="str"/>
      <c r="W6541" s="41" t="str"/>
    </row>
    <row r="6542">
      <c r="B6542" s="2" t="n"/>
      <c r="C6542" s="40" t="n"/>
      <c r="D6542" s="52">
        <f t="array" ref="D6542:W6542">IF(All_Students_Scores!C6540:V6540="","",All_Students_Scores!C6540:V6540)</f>
        <v/>
      </c>
      <c r="E6542" s="57" t="str"/>
      <c r="F6542" s="49" t="str"/>
      <c r="G6542" s="59" t="str"/>
      <c r="H6542" s="64" t="str"/>
      <c r="I6542" s="65" t="str"/>
      <c r="J6542" s="49" t="str"/>
      <c r="K6542" s="41" t="str"/>
      <c r="L6542" s="41" t="str"/>
      <c r="M6542" s="41" t="str"/>
      <c r="N6542" s="41" t="str"/>
      <c r="O6542" s="41" t="str"/>
      <c r="P6542" s="41" t="str"/>
      <c r="Q6542" s="41" t="str"/>
      <c r="R6542" s="41" t="str"/>
      <c r="S6542" s="41" t="str"/>
      <c r="T6542" s="41" t="str"/>
      <c r="U6542" s="41" t="str"/>
      <c r="V6542" s="41" t="str"/>
      <c r="W6542" s="41" t="str"/>
    </row>
    <row r="6543">
      <c r="B6543" s="2" t="n"/>
      <c r="C6543" s="40" t="n"/>
      <c r="D6543" s="52">
        <f t="array" ref="D6543:W6543">IF(All_Students_Scores!C6541:V6541="","",All_Students_Scores!C6541:V6541)</f>
        <v/>
      </c>
      <c r="E6543" s="57" t="str"/>
      <c r="F6543" s="49" t="str"/>
      <c r="G6543" s="59" t="str"/>
      <c r="H6543" s="64" t="str"/>
      <c r="I6543" s="65" t="str"/>
      <c r="J6543" s="49" t="str"/>
      <c r="K6543" s="41" t="str"/>
      <c r="L6543" s="41" t="str"/>
      <c r="M6543" s="41" t="str"/>
      <c r="N6543" s="41" t="str"/>
      <c r="O6543" s="41" t="str"/>
      <c r="P6543" s="41" t="str"/>
      <c r="Q6543" s="41" t="str"/>
      <c r="R6543" s="41" t="str"/>
      <c r="S6543" s="41" t="str"/>
      <c r="T6543" s="41" t="str"/>
      <c r="U6543" s="41" t="str"/>
      <c r="V6543" s="41" t="str"/>
      <c r="W6543" s="41" t="str"/>
    </row>
    <row r="6544">
      <c r="B6544" s="2" t="n"/>
      <c r="C6544" s="40" t="n"/>
      <c r="D6544" s="52">
        <f t="array" ref="D6544:W6544">IF(All_Students_Scores!C6542:V6542="","",All_Students_Scores!C6542:V6542)</f>
        <v/>
      </c>
      <c r="E6544" s="57" t="str"/>
      <c r="F6544" s="49" t="str"/>
      <c r="G6544" s="59" t="str"/>
      <c r="H6544" s="64" t="str"/>
      <c r="I6544" s="65" t="str"/>
      <c r="J6544" s="49" t="str"/>
      <c r="K6544" s="41" t="str"/>
      <c r="L6544" s="41" t="str"/>
      <c r="M6544" s="41" t="str"/>
      <c r="N6544" s="41" t="str"/>
      <c r="O6544" s="41" t="str"/>
      <c r="P6544" s="41" t="str"/>
      <c r="Q6544" s="41" t="str"/>
      <c r="R6544" s="41" t="str"/>
      <c r="S6544" s="41" t="str"/>
      <c r="T6544" s="41" t="str"/>
      <c r="U6544" s="41" t="str"/>
      <c r="V6544" s="41" t="str"/>
      <c r="W6544" s="41" t="str"/>
    </row>
    <row r="6545">
      <c r="B6545" s="2" t="n"/>
      <c r="C6545" s="40" t="n"/>
      <c r="D6545" s="52">
        <f t="array" ref="D6545:W6545">IF(All_Students_Scores!C6543:V6543="","",All_Students_Scores!C6543:V6543)</f>
        <v/>
      </c>
      <c r="E6545" s="57" t="str"/>
      <c r="F6545" s="49" t="str"/>
      <c r="G6545" s="59" t="str"/>
      <c r="H6545" s="64" t="str"/>
      <c r="I6545" s="65" t="str"/>
      <c r="J6545" s="49" t="str"/>
      <c r="K6545" s="41" t="str"/>
      <c r="L6545" s="41" t="str"/>
      <c r="M6545" s="41" t="str"/>
      <c r="N6545" s="41" t="str"/>
      <c r="O6545" s="41" t="str"/>
      <c r="P6545" s="41" t="str"/>
      <c r="Q6545" s="41" t="str"/>
      <c r="R6545" s="41" t="str"/>
      <c r="S6545" s="41" t="str"/>
      <c r="T6545" s="41" t="str"/>
      <c r="U6545" s="41" t="str"/>
      <c r="V6545" s="41" t="str"/>
      <c r="W6545" s="41" t="str"/>
    </row>
    <row r="6546">
      <c r="B6546" s="2" t="n"/>
      <c r="C6546" s="40" t="n"/>
      <c r="D6546" s="52">
        <f t="array" ref="D6546:W6546">IF(All_Students_Scores!C6544:V6544="","",All_Students_Scores!C6544:V6544)</f>
        <v/>
      </c>
      <c r="E6546" s="57" t="str"/>
      <c r="F6546" s="49" t="str"/>
      <c r="G6546" s="59" t="str"/>
      <c r="H6546" s="64" t="str"/>
      <c r="I6546" s="65" t="str"/>
      <c r="J6546" s="49" t="str"/>
      <c r="K6546" s="41" t="str"/>
      <c r="L6546" s="41" t="str"/>
      <c r="M6546" s="41" t="str"/>
      <c r="N6546" s="41" t="str"/>
      <c r="O6546" s="41" t="str"/>
      <c r="P6546" s="41" t="str"/>
      <c r="Q6546" s="41" t="str"/>
      <c r="R6546" s="41" t="str"/>
      <c r="S6546" s="41" t="str"/>
      <c r="T6546" s="41" t="str"/>
      <c r="U6546" s="41" t="str"/>
      <c r="V6546" s="41" t="str"/>
      <c r="W6546" s="41" t="str"/>
    </row>
    <row r="6547">
      <c r="B6547" s="2" t="n"/>
      <c r="C6547" s="40" t="n"/>
      <c r="D6547" s="52">
        <f t="array" ref="D6547:W6547">IF(All_Students_Scores!C6545:V6545="","",All_Students_Scores!C6545:V6545)</f>
        <v/>
      </c>
      <c r="E6547" s="57" t="str"/>
      <c r="F6547" s="49" t="str"/>
      <c r="G6547" s="59" t="str"/>
      <c r="H6547" s="64" t="str"/>
      <c r="I6547" s="65" t="str"/>
      <c r="J6547" s="49" t="str"/>
      <c r="K6547" s="41" t="str"/>
      <c r="L6547" s="41" t="str"/>
      <c r="M6547" s="41" t="str"/>
      <c r="N6547" s="41" t="str"/>
      <c r="O6547" s="41" t="str"/>
      <c r="P6547" s="41" t="str"/>
      <c r="Q6547" s="41" t="str"/>
      <c r="R6547" s="41" t="str"/>
      <c r="S6547" s="41" t="str"/>
      <c r="T6547" s="41" t="str"/>
      <c r="U6547" s="41" t="str"/>
      <c r="V6547" s="41" t="str"/>
      <c r="W6547" s="41" t="str"/>
    </row>
    <row r="6548">
      <c r="B6548" s="2" t="n"/>
      <c r="C6548" s="40" t="n"/>
      <c r="D6548" s="52">
        <f t="array" ref="D6548:W6548">IF(All_Students_Scores!C6546:V6546="","",All_Students_Scores!C6546:V6546)</f>
        <v/>
      </c>
      <c r="E6548" s="57" t="str"/>
      <c r="F6548" s="49" t="str"/>
      <c r="G6548" s="59" t="str"/>
      <c r="H6548" s="64" t="str"/>
      <c r="I6548" s="65" t="str"/>
      <c r="J6548" s="49" t="str"/>
      <c r="K6548" s="41" t="str"/>
      <c r="L6548" s="41" t="str"/>
      <c r="M6548" s="41" t="str"/>
      <c r="N6548" s="41" t="str"/>
      <c r="O6548" s="41" t="str"/>
      <c r="P6548" s="41" t="str"/>
      <c r="Q6548" s="41" t="str"/>
      <c r="R6548" s="41" t="str"/>
      <c r="S6548" s="41" t="str"/>
      <c r="T6548" s="41" t="str"/>
      <c r="U6548" s="41" t="str"/>
      <c r="V6548" s="41" t="str"/>
      <c r="W6548" s="41" t="str"/>
    </row>
    <row r="6549">
      <c r="B6549" s="2" t="n"/>
      <c r="C6549" s="40" t="n"/>
      <c r="D6549" s="52">
        <f t="array" ref="D6549:W6549">IF(All_Students_Scores!C6547:V6547="","",All_Students_Scores!C6547:V6547)</f>
        <v/>
      </c>
      <c r="E6549" s="57" t="str"/>
      <c r="F6549" s="49" t="str"/>
      <c r="G6549" s="59" t="str"/>
      <c r="H6549" s="64" t="str"/>
      <c r="I6549" s="65" t="str"/>
      <c r="J6549" s="49" t="str"/>
      <c r="K6549" s="41" t="str"/>
      <c r="L6549" s="41" t="str"/>
      <c r="M6549" s="41" t="str"/>
      <c r="N6549" s="41" t="str"/>
      <c r="O6549" s="41" t="str"/>
      <c r="P6549" s="41" t="str"/>
      <c r="Q6549" s="41" t="str"/>
      <c r="R6549" s="41" t="str"/>
      <c r="S6549" s="41" t="str"/>
      <c r="T6549" s="41" t="str"/>
      <c r="U6549" s="41" t="str"/>
      <c r="V6549" s="41" t="str"/>
      <c r="W6549" s="41" t="str"/>
    </row>
    <row r="6550">
      <c r="B6550" s="2" t="n"/>
      <c r="C6550" s="40" t="n"/>
      <c r="D6550" s="52">
        <f t="array" ref="D6550:W6550">IF(All_Students_Scores!C6548:V6548="","",All_Students_Scores!C6548:V6548)</f>
        <v/>
      </c>
      <c r="E6550" s="57" t="str"/>
      <c r="F6550" s="49" t="str"/>
      <c r="G6550" s="59" t="str"/>
      <c r="H6550" s="64" t="str"/>
      <c r="I6550" s="65" t="str"/>
      <c r="J6550" s="49" t="str"/>
      <c r="K6550" s="41" t="str"/>
      <c r="L6550" s="41" t="str"/>
      <c r="M6550" s="41" t="str"/>
      <c r="N6550" s="41" t="str"/>
      <c r="O6550" s="41" t="str"/>
      <c r="P6550" s="41" t="str"/>
      <c r="Q6550" s="41" t="str"/>
      <c r="R6550" s="41" t="str"/>
      <c r="S6550" s="41" t="str"/>
      <c r="T6550" s="41" t="str"/>
      <c r="U6550" s="41" t="str"/>
      <c r="V6550" s="41" t="str"/>
      <c r="W6550" s="41" t="str"/>
    </row>
    <row r="6551">
      <c r="B6551" s="2" t="n"/>
      <c r="C6551" s="40" t="n"/>
      <c r="D6551" s="52">
        <f t="array" ref="D6551:W6551">IF(All_Students_Scores!C6549:V6549="","",All_Students_Scores!C6549:V6549)</f>
        <v/>
      </c>
      <c r="E6551" s="57" t="str"/>
      <c r="F6551" s="49" t="str"/>
      <c r="G6551" s="59" t="str"/>
      <c r="H6551" s="64" t="str"/>
      <c r="I6551" s="65" t="str"/>
      <c r="J6551" s="49" t="str"/>
      <c r="K6551" s="41" t="str"/>
      <c r="L6551" s="41" t="str"/>
      <c r="M6551" s="41" t="str"/>
      <c r="N6551" s="41" t="str"/>
      <c r="O6551" s="41" t="str"/>
      <c r="P6551" s="41" t="str"/>
      <c r="Q6551" s="41" t="str"/>
      <c r="R6551" s="41" t="str"/>
      <c r="S6551" s="41" t="str"/>
      <c r="T6551" s="41" t="str"/>
      <c r="U6551" s="41" t="str"/>
      <c r="V6551" s="41" t="str"/>
      <c r="W6551" s="41" t="str"/>
    </row>
    <row r="6552">
      <c r="B6552" s="2" t="n"/>
      <c r="C6552" s="40" t="n"/>
      <c r="D6552" s="52">
        <f t="array" ref="D6552:W6552">IF(All_Students_Scores!C6550:V6550="","",All_Students_Scores!C6550:V6550)</f>
        <v/>
      </c>
      <c r="E6552" s="57" t="str"/>
      <c r="F6552" s="49" t="str"/>
      <c r="G6552" s="59" t="str"/>
      <c r="H6552" s="64" t="str"/>
      <c r="I6552" s="65" t="str"/>
      <c r="J6552" s="49" t="str"/>
      <c r="K6552" s="41" t="str"/>
      <c r="L6552" s="41" t="str"/>
      <c r="M6552" s="41" t="str"/>
      <c r="N6552" s="41" t="str"/>
      <c r="O6552" s="41" t="str"/>
      <c r="P6552" s="41" t="str"/>
      <c r="Q6552" s="41" t="str"/>
      <c r="R6552" s="41" t="str"/>
      <c r="S6552" s="41" t="str"/>
      <c r="T6552" s="41" t="str"/>
      <c r="U6552" s="41" t="str"/>
      <c r="V6552" s="41" t="str"/>
      <c r="W6552" s="41" t="str"/>
    </row>
    <row r="6553">
      <c r="B6553" s="2" t="n"/>
      <c r="C6553" s="40" t="n"/>
      <c r="D6553" s="52">
        <f t="array" ref="D6553:W6553">IF(All_Students_Scores!C6551:V6551="","",All_Students_Scores!C6551:V6551)</f>
        <v/>
      </c>
      <c r="E6553" s="57" t="str"/>
      <c r="F6553" s="49" t="str"/>
      <c r="G6553" s="59" t="str"/>
      <c r="H6553" s="64" t="str"/>
      <c r="I6553" s="65" t="str"/>
      <c r="J6553" s="49" t="str"/>
      <c r="K6553" s="41" t="str"/>
      <c r="L6553" s="41" t="str"/>
      <c r="M6553" s="41" t="str"/>
      <c r="N6553" s="41" t="str"/>
      <c r="O6553" s="41" t="str"/>
      <c r="P6553" s="41" t="str"/>
      <c r="Q6553" s="41" t="str"/>
      <c r="R6553" s="41" t="str"/>
      <c r="S6553" s="41" t="str"/>
      <c r="T6553" s="41" t="str"/>
      <c r="U6553" s="41" t="str"/>
      <c r="V6553" s="41" t="str"/>
      <c r="W6553" s="41" t="str"/>
    </row>
    <row r="6554">
      <c r="B6554" s="2" t="n"/>
      <c r="C6554" s="40" t="n"/>
      <c r="D6554" s="52">
        <f t="array" ref="D6554:W6554">IF(All_Students_Scores!C6552:V6552="","",All_Students_Scores!C6552:V6552)</f>
        <v/>
      </c>
      <c r="E6554" s="57" t="str"/>
      <c r="F6554" s="49" t="str"/>
      <c r="G6554" s="59" t="str"/>
      <c r="H6554" s="64" t="str"/>
      <c r="I6554" s="65" t="str"/>
      <c r="J6554" s="49" t="str"/>
      <c r="K6554" s="41" t="str"/>
      <c r="L6554" s="41" t="str"/>
      <c r="M6554" s="41" t="str"/>
      <c r="N6554" s="41" t="str"/>
      <c r="O6554" s="41" t="str"/>
      <c r="P6554" s="41" t="str"/>
      <c r="Q6554" s="41" t="str"/>
      <c r="R6554" s="41" t="str"/>
      <c r="S6554" s="41" t="str"/>
      <c r="T6554" s="41" t="str"/>
      <c r="U6554" s="41" t="str"/>
      <c r="V6554" s="41" t="str"/>
      <c r="W6554" s="41" t="str"/>
    </row>
    <row r="6555">
      <c r="B6555" s="2" t="n"/>
      <c r="C6555" s="40" t="n"/>
      <c r="D6555" s="52">
        <f t="array" ref="D6555:W6555">IF(All_Students_Scores!C6553:V6553="","",All_Students_Scores!C6553:V6553)</f>
        <v/>
      </c>
      <c r="E6555" s="57" t="str"/>
      <c r="F6555" s="49" t="str"/>
      <c r="G6555" s="59" t="str"/>
      <c r="H6555" s="64" t="str"/>
      <c r="I6555" s="65" t="str"/>
      <c r="J6555" s="49" t="str"/>
      <c r="K6555" s="41" t="str"/>
      <c r="L6555" s="41" t="str"/>
      <c r="M6555" s="41" t="str"/>
      <c r="N6555" s="41" t="str"/>
      <c r="O6555" s="41" t="str"/>
      <c r="P6555" s="41" t="str"/>
      <c r="Q6555" s="41" t="str"/>
      <c r="R6555" s="41" t="str"/>
      <c r="S6555" s="41" t="str"/>
      <c r="T6555" s="41" t="str"/>
      <c r="U6555" s="41" t="str"/>
      <c r="V6555" s="41" t="str"/>
      <c r="W6555" s="41" t="str"/>
    </row>
    <row r="6556">
      <c r="B6556" s="2" t="n"/>
      <c r="C6556" s="40" t="n"/>
      <c r="D6556" s="52">
        <f t="array" ref="D6556:W6556">IF(All_Students_Scores!C6554:V6554="","",All_Students_Scores!C6554:V6554)</f>
        <v/>
      </c>
      <c r="E6556" s="57" t="str"/>
      <c r="F6556" s="49" t="str"/>
      <c r="G6556" s="59" t="str"/>
      <c r="H6556" s="64" t="str"/>
      <c r="I6556" s="65" t="str"/>
      <c r="J6556" s="49" t="str"/>
      <c r="K6556" s="41" t="str"/>
      <c r="L6556" s="41" t="str"/>
      <c r="M6556" s="41" t="str"/>
      <c r="N6556" s="41" t="str"/>
      <c r="O6556" s="41" t="str"/>
      <c r="P6556" s="41" t="str"/>
      <c r="Q6556" s="41" t="str"/>
      <c r="R6556" s="41" t="str"/>
      <c r="S6556" s="41" t="str"/>
      <c r="T6556" s="41" t="str"/>
      <c r="U6556" s="41" t="str"/>
      <c r="V6556" s="41" t="str"/>
      <c r="W6556" s="41" t="str"/>
    </row>
    <row r="6557">
      <c r="B6557" s="2" t="n"/>
      <c r="C6557" s="40" t="n"/>
      <c r="D6557" s="52">
        <f t="array" ref="D6557:W6557">IF(All_Students_Scores!C6555:V6555="","",All_Students_Scores!C6555:V6555)</f>
        <v/>
      </c>
      <c r="E6557" s="57" t="str"/>
      <c r="F6557" s="49" t="str"/>
      <c r="G6557" s="59" t="str"/>
      <c r="H6557" s="64" t="str"/>
      <c r="I6557" s="65" t="str"/>
      <c r="J6557" s="49" t="str"/>
      <c r="K6557" s="41" t="str"/>
      <c r="L6557" s="41" t="str"/>
      <c r="M6557" s="41" t="str"/>
      <c r="N6557" s="41" t="str"/>
      <c r="O6557" s="41" t="str"/>
      <c r="P6557" s="41" t="str"/>
      <c r="Q6557" s="41" t="str"/>
      <c r="R6557" s="41" t="str"/>
      <c r="S6557" s="41" t="str"/>
      <c r="T6557" s="41" t="str"/>
      <c r="U6557" s="41" t="str"/>
      <c r="V6557" s="41" t="str"/>
      <c r="W6557" s="41" t="str"/>
    </row>
    <row r="6558">
      <c r="B6558" s="2" t="n"/>
      <c r="C6558" s="40" t="n"/>
      <c r="D6558" s="52">
        <f t="array" ref="D6558:W6558">IF(All_Students_Scores!C6556:V6556="","",All_Students_Scores!C6556:V6556)</f>
        <v/>
      </c>
      <c r="E6558" s="57" t="str"/>
      <c r="F6558" s="49" t="str"/>
      <c r="G6558" s="59" t="str"/>
      <c r="H6558" s="64" t="str"/>
      <c r="I6558" s="65" t="str"/>
      <c r="J6558" s="49" t="str"/>
      <c r="K6558" s="41" t="str"/>
      <c r="L6558" s="41" t="str"/>
      <c r="M6558" s="41" t="str"/>
      <c r="N6558" s="41" t="str"/>
      <c r="O6558" s="41" t="str"/>
      <c r="P6558" s="41" t="str"/>
      <c r="Q6558" s="41" t="str"/>
      <c r="R6558" s="41" t="str"/>
      <c r="S6558" s="41" t="str"/>
      <c r="T6558" s="41" t="str"/>
      <c r="U6558" s="41" t="str"/>
      <c r="V6558" s="41" t="str"/>
      <c r="W6558" s="41" t="str"/>
    </row>
    <row r="6559">
      <c r="B6559" s="2" t="n"/>
      <c r="C6559" s="40" t="n"/>
      <c r="D6559" s="52">
        <f t="array" ref="D6559:W6559">IF(All_Students_Scores!C6557:V6557="","",All_Students_Scores!C6557:V6557)</f>
        <v/>
      </c>
      <c r="E6559" s="57" t="str"/>
      <c r="F6559" s="49" t="str"/>
      <c r="G6559" s="59" t="str"/>
      <c r="H6559" s="64" t="str"/>
      <c r="I6559" s="65" t="str"/>
      <c r="J6559" s="49" t="str"/>
      <c r="K6559" s="41" t="str"/>
      <c r="L6559" s="41" t="str"/>
      <c r="M6559" s="41" t="str"/>
      <c r="N6559" s="41" t="str"/>
      <c r="O6559" s="41" t="str"/>
      <c r="P6559" s="41" t="str"/>
      <c r="Q6559" s="41" t="str"/>
      <c r="R6559" s="41" t="str"/>
      <c r="S6559" s="41" t="str"/>
      <c r="T6559" s="41" t="str"/>
      <c r="U6559" s="41" t="str"/>
      <c r="V6559" s="41" t="str"/>
      <c r="W6559" s="41" t="str"/>
    </row>
    <row r="6560">
      <c r="B6560" s="2" t="n"/>
      <c r="C6560" s="40" t="n"/>
      <c r="D6560" s="52">
        <f t="array" ref="D6560:W6560">IF(All_Students_Scores!C6558:V6558="","",All_Students_Scores!C6558:V6558)</f>
        <v/>
      </c>
      <c r="E6560" s="57" t="str"/>
      <c r="F6560" s="49" t="str"/>
      <c r="G6560" s="59" t="str"/>
      <c r="H6560" s="64" t="str"/>
      <c r="I6560" s="65" t="str"/>
      <c r="J6560" s="49" t="str"/>
      <c r="K6560" s="41" t="str"/>
      <c r="L6560" s="41" t="str"/>
      <c r="M6560" s="41" t="str"/>
      <c r="N6560" s="41" t="str"/>
      <c r="O6560" s="41" t="str"/>
      <c r="P6560" s="41" t="str"/>
      <c r="Q6560" s="41" t="str"/>
      <c r="R6560" s="41" t="str"/>
      <c r="S6560" s="41" t="str"/>
      <c r="T6560" s="41" t="str"/>
      <c r="U6560" s="41" t="str"/>
      <c r="V6560" s="41" t="str"/>
      <c r="W6560" s="41" t="str"/>
    </row>
    <row r="6561">
      <c r="B6561" s="2" t="n"/>
      <c r="C6561" s="40" t="n"/>
      <c r="D6561" s="52">
        <f t="array" ref="D6561:W6561">IF(All_Students_Scores!C6559:V6559="","",All_Students_Scores!C6559:V6559)</f>
        <v/>
      </c>
      <c r="E6561" s="57" t="str"/>
      <c r="F6561" s="49" t="str"/>
      <c r="G6561" s="59" t="str"/>
      <c r="H6561" s="64" t="str"/>
      <c r="I6561" s="65" t="str"/>
      <c r="J6561" s="49" t="str"/>
      <c r="K6561" s="41" t="str"/>
      <c r="L6561" s="41" t="str"/>
      <c r="M6561" s="41" t="str"/>
      <c r="N6561" s="41" t="str"/>
      <c r="O6561" s="41" t="str"/>
      <c r="P6561" s="41" t="str"/>
      <c r="Q6561" s="41" t="str"/>
      <c r="R6561" s="41" t="str"/>
      <c r="S6561" s="41" t="str"/>
      <c r="T6561" s="41" t="str"/>
      <c r="U6561" s="41" t="str"/>
      <c r="V6561" s="41" t="str"/>
      <c r="W6561" s="41" t="str"/>
    </row>
    <row r="6562">
      <c r="B6562" s="2" t="n"/>
      <c r="C6562" s="40" t="n"/>
      <c r="D6562" s="52">
        <f t="array" ref="D6562:W6562">IF(All_Students_Scores!C6560:V6560="","",All_Students_Scores!C6560:V6560)</f>
        <v/>
      </c>
      <c r="E6562" s="57" t="str"/>
      <c r="F6562" s="49" t="str"/>
      <c r="G6562" s="59" t="str"/>
      <c r="H6562" s="64" t="str"/>
      <c r="I6562" s="65" t="str"/>
      <c r="J6562" s="49" t="str"/>
      <c r="K6562" s="41" t="str"/>
      <c r="L6562" s="41" t="str"/>
      <c r="M6562" s="41" t="str"/>
      <c r="N6562" s="41" t="str"/>
      <c r="O6562" s="41" t="str"/>
      <c r="P6562" s="41" t="str"/>
      <c r="Q6562" s="41" t="str"/>
      <c r="R6562" s="41" t="str"/>
      <c r="S6562" s="41" t="str"/>
      <c r="T6562" s="41" t="str"/>
      <c r="U6562" s="41" t="str"/>
      <c r="V6562" s="41" t="str"/>
      <c r="W6562" s="41" t="str"/>
    </row>
    <row r="6563">
      <c r="B6563" s="2" t="n"/>
      <c r="C6563" s="40" t="n"/>
      <c r="D6563" s="52">
        <f t="array" ref="D6563:W6563">IF(All_Students_Scores!C6561:V6561="","",All_Students_Scores!C6561:V6561)</f>
        <v/>
      </c>
      <c r="E6563" s="57" t="str"/>
      <c r="F6563" s="49" t="str"/>
      <c r="G6563" s="59" t="str"/>
      <c r="H6563" s="64" t="str"/>
      <c r="I6563" s="65" t="str"/>
      <c r="J6563" s="49" t="str"/>
      <c r="K6563" s="41" t="str"/>
      <c r="L6563" s="41" t="str"/>
      <c r="M6563" s="41" t="str"/>
      <c r="N6563" s="41" t="str"/>
      <c r="O6563" s="41" t="str"/>
      <c r="P6563" s="41" t="str"/>
      <c r="Q6563" s="41" t="str"/>
      <c r="R6563" s="41" t="str"/>
      <c r="S6563" s="41" t="str"/>
      <c r="T6563" s="41" t="str"/>
      <c r="U6563" s="41" t="str"/>
      <c r="V6563" s="41" t="str"/>
      <c r="W6563" s="41" t="str"/>
    </row>
    <row r="6564">
      <c r="B6564" s="2" t="n"/>
      <c r="C6564" s="40" t="n"/>
      <c r="D6564" s="52">
        <f t="array" ref="D6564:W6564">IF(All_Students_Scores!C6562:V6562="","",All_Students_Scores!C6562:V6562)</f>
        <v/>
      </c>
      <c r="E6564" s="57" t="str"/>
      <c r="F6564" s="49" t="str"/>
      <c r="G6564" s="59" t="str"/>
      <c r="H6564" s="64" t="str"/>
      <c r="I6564" s="65" t="str"/>
      <c r="J6564" s="49" t="str"/>
      <c r="K6564" s="41" t="str"/>
      <c r="L6564" s="41" t="str"/>
      <c r="M6564" s="41" t="str"/>
      <c r="N6564" s="41" t="str"/>
      <c r="O6564" s="41" t="str"/>
      <c r="P6564" s="41" t="str"/>
      <c r="Q6564" s="41" t="str"/>
      <c r="R6564" s="41" t="str"/>
      <c r="S6564" s="41" t="str"/>
      <c r="T6564" s="41" t="str"/>
      <c r="U6564" s="41" t="str"/>
      <c r="V6564" s="41" t="str"/>
      <c r="W6564" s="41" t="str"/>
    </row>
    <row r="6565">
      <c r="B6565" s="2" t="n"/>
      <c r="C6565" s="40" t="n"/>
      <c r="D6565" s="52">
        <f t="array" ref="D6565:W6565">IF(All_Students_Scores!C6563:V6563="","",All_Students_Scores!C6563:V6563)</f>
        <v/>
      </c>
      <c r="E6565" s="57" t="str"/>
      <c r="F6565" s="49" t="str"/>
      <c r="G6565" s="59" t="str"/>
      <c r="H6565" s="64" t="str"/>
      <c r="I6565" s="65" t="str"/>
      <c r="J6565" s="49" t="str"/>
      <c r="K6565" s="41" t="str"/>
      <c r="L6565" s="41" t="str"/>
      <c r="M6565" s="41" t="str"/>
      <c r="N6565" s="41" t="str"/>
      <c r="O6565" s="41" t="str"/>
      <c r="P6565" s="41" t="str"/>
      <c r="Q6565" s="41" t="str"/>
      <c r="R6565" s="41" t="str"/>
      <c r="S6565" s="41" t="str"/>
      <c r="T6565" s="41" t="str"/>
      <c r="U6565" s="41" t="str"/>
      <c r="V6565" s="41" t="str"/>
      <c r="W6565" s="41" t="str"/>
    </row>
    <row r="6566">
      <c r="B6566" s="2" t="n"/>
      <c r="C6566" s="40" t="n"/>
      <c r="D6566" s="52">
        <f t="array" ref="D6566:W6566">IF(All_Students_Scores!C6564:V6564="","",All_Students_Scores!C6564:V6564)</f>
        <v/>
      </c>
      <c r="E6566" s="57" t="str"/>
      <c r="F6566" s="49" t="str"/>
      <c r="G6566" s="59" t="str"/>
      <c r="H6566" s="64" t="str"/>
      <c r="I6566" s="65" t="str"/>
      <c r="J6566" s="49" t="str"/>
      <c r="K6566" s="41" t="str"/>
      <c r="L6566" s="41" t="str"/>
      <c r="M6566" s="41" t="str"/>
      <c r="N6566" s="41" t="str"/>
      <c r="O6566" s="41" t="str"/>
      <c r="P6566" s="41" t="str"/>
      <c r="Q6566" s="41" t="str"/>
      <c r="R6566" s="41" t="str"/>
      <c r="S6566" s="41" t="str"/>
      <c r="T6566" s="41" t="str"/>
      <c r="U6566" s="41" t="str"/>
      <c r="V6566" s="41" t="str"/>
      <c r="W6566" s="41" t="str"/>
    </row>
    <row r="6567">
      <c r="B6567" s="2" t="n"/>
      <c r="C6567" s="40" t="n"/>
      <c r="D6567" s="52">
        <f t="array" ref="D6567:W6567">IF(All_Students_Scores!C6565:V6565="","",All_Students_Scores!C6565:V6565)</f>
        <v/>
      </c>
      <c r="E6567" s="57" t="str"/>
      <c r="F6567" s="49" t="str"/>
      <c r="G6567" s="59" t="str"/>
      <c r="H6567" s="64" t="str"/>
      <c r="I6567" s="65" t="str"/>
      <c r="J6567" s="49" t="str"/>
      <c r="K6567" s="41" t="str"/>
      <c r="L6567" s="41" t="str"/>
      <c r="M6567" s="41" t="str"/>
      <c r="N6567" s="41" t="str"/>
      <c r="O6567" s="41" t="str"/>
      <c r="P6567" s="41" t="str"/>
      <c r="Q6567" s="41" t="str"/>
      <c r="R6567" s="41" t="str"/>
      <c r="S6567" s="41" t="str"/>
      <c r="T6567" s="41" t="str"/>
      <c r="U6567" s="41" t="str"/>
      <c r="V6567" s="41" t="str"/>
      <c r="W6567" s="41" t="str"/>
    </row>
    <row r="6568">
      <c r="B6568" s="2" t="n"/>
      <c r="C6568" s="40" t="n"/>
      <c r="D6568" s="52">
        <f t="array" ref="D6568:W6568">IF(All_Students_Scores!C6566:V6566="","",All_Students_Scores!C6566:V6566)</f>
        <v/>
      </c>
      <c r="E6568" s="57" t="str"/>
      <c r="F6568" s="49" t="str"/>
      <c r="G6568" s="59" t="str"/>
      <c r="H6568" s="64" t="str"/>
      <c r="I6568" s="65" t="str"/>
      <c r="J6568" s="49" t="str"/>
      <c r="K6568" s="41" t="str"/>
      <c r="L6568" s="41" t="str"/>
      <c r="M6568" s="41" t="str"/>
      <c r="N6568" s="41" t="str"/>
      <c r="O6568" s="41" t="str"/>
      <c r="P6568" s="41" t="str"/>
      <c r="Q6568" s="41" t="str"/>
      <c r="R6568" s="41" t="str"/>
      <c r="S6568" s="41" t="str"/>
      <c r="T6568" s="41" t="str"/>
      <c r="U6568" s="41" t="str"/>
      <c r="V6568" s="41" t="str"/>
      <c r="W6568" s="41" t="str"/>
    </row>
    <row r="6569">
      <c r="B6569" s="2" t="n"/>
      <c r="C6569" s="40" t="n"/>
      <c r="D6569" s="52">
        <f t="array" ref="D6569:W6569">IF(All_Students_Scores!C6567:V6567="","",All_Students_Scores!C6567:V6567)</f>
        <v/>
      </c>
      <c r="E6569" s="57" t="str"/>
      <c r="F6569" s="49" t="str"/>
      <c r="G6569" s="59" t="str"/>
      <c r="H6569" s="64" t="str"/>
      <c r="I6569" s="65" t="str"/>
      <c r="J6569" s="49" t="str"/>
      <c r="K6569" s="41" t="str"/>
      <c r="L6569" s="41" t="str"/>
      <c r="M6569" s="41" t="str"/>
      <c r="N6569" s="41" t="str"/>
      <c r="O6569" s="41" t="str"/>
      <c r="P6569" s="41" t="str"/>
      <c r="Q6569" s="41" t="str"/>
      <c r="R6569" s="41" t="str"/>
      <c r="S6569" s="41" t="str"/>
      <c r="T6569" s="41" t="str"/>
      <c r="U6569" s="41" t="str"/>
      <c r="V6569" s="41" t="str"/>
      <c r="W6569" s="41" t="str"/>
    </row>
    <row r="6570">
      <c r="B6570" s="2" t="n"/>
      <c r="C6570" s="40" t="n"/>
      <c r="D6570" s="52">
        <f t="array" ref="D6570:W6570">IF(All_Students_Scores!C6568:V6568="","",All_Students_Scores!C6568:V6568)</f>
        <v/>
      </c>
      <c r="E6570" s="57" t="str"/>
      <c r="F6570" s="49" t="str"/>
      <c r="G6570" s="59" t="str"/>
      <c r="H6570" s="64" t="str"/>
      <c r="I6570" s="65" t="str"/>
      <c r="J6570" s="49" t="str"/>
      <c r="K6570" s="41" t="str"/>
      <c r="L6570" s="41" t="str"/>
      <c r="M6570" s="41" t="str"/>
      <c r="N6570" s="41" t="str"/>
      <c r="O6570" s="41" t="str"/>
      <c r="P6570" s="41" t="str"/>
      <c r="Q6570" s="41" t="str"/>
      <c r="R6570" s="41" t="str"/>
      <c r="S6570" s="41" t="str"/>
      <c r="T6570" s="41" t="str"/>
      <c r="U6570" s="41" t="str"/>
      <c r="V6570" s="41" t="str"/>
      <c r="W6570" s="41" t="str"/>
    </row>
    <row r="6571">
      <c r="B6571" s="2" t="n"/>
      <c r="C6571" s="40" t="n"/>
      <c r="D6571" s="52">
        <f t="array" ref="D6571:W6571">IF(All_Students_Scores!C6569:V6569="","",All_Students_Scores!C6569:V6569)</f>
        <v/>
      </c>
      <c r="E6571" s="57" t="str"/>
      <c r="F6571" s="49" t="str"/>
      <c r="G6571" s="59" t="str"/>
      <c r="H6571" s="64" t="str"/>
      <c r="I6571" s="65" t="str"/>
      <c r="J6571" s="49" t="str"/>
      <c r="K6571" s="41" t="str"/>
      <c r="L6571" s="41" t="str"/>
      <c r="M6571" s="41" t="str"/>
      <c r="N6571" s="41" t="str"/>
      <c r="O6571" s="41" t="str"/>
      <c r="P6571" s="41" t="str"/>
      <c r="Q6571" s="41" t="str"/>
      <c r="R6571" s="41" t="str"/>
      <c r="S6571" s="41" t="str"/>
      <c r="T6571" s="41" t="str"/>
      <c r="U6571" s="41" t="str"/>
      <c r="V6571" s="41" t="str"/>
      <c r="W6571" s="41" t="str"/>
    </row>
    <row r="6572">
      <c r="B6572" s="2" t="n"/>
      <c r="C6572" s="40" t="n"/>
      <c r="D6572" s="52">
        <f t="array" ref="D6572:W6572">IF(All_Students_Scores!C6570:V6570="","",All_Students_Scores!C6570:V6570)</f>
        <v/>
      </c>
      <c r="E6572" s="57" t="str"/>
      <c r="F6572" s="49" t="str"/>
      <c r="G6572" s="59" t="str"/>
      <c r="H6572" s="64" t="str"/>
      <c r="I6572" s="65" t="str"/>
      <c r="J6572" s="49" t="str"/>
      <c r="K6572" s="41" t="str"/>
      <c r="L6572" s="41" t="str"/>
      <c r="M6572" s="41" t="str"/>
      <c r="N6572" s="41" t="str"/>
      <c r="O6572" s="41" t="str"/>
      <c r="P6572" s="41" t="str"/>
      <c r="Q6572" s="41" t="str"/>
      <c r="R6572" s="41" t="str"/>
      <c r="S6572" s="41" t="str"/>
      <c r="T6572" s="41" t="str"/>
      <c r="U6572" s="41" t="str"/>
      <c r="V6572" s="41" t="str"/>
      <c r="W6572" s="41" t="str"/>
    </row>
    <row r="6573">
      <c r="B6573" s="2" t="n"/>
      <c r="C6573" s="40" t="n"/>
      <c r="D6573" s="52">
        <f t="array" ref="D6573:W6573">IF(All_Students_Scores!C6571:V6571="","",All_Students_Scores!C6571:V6571)</f>
        <v/>
      </c>
      <c r="E6573" s="57" t="str"/>
      <c r="F6573" s="49" t="str"/>
      <c r="G6573" s="59" t="str"/>
      <c r="H6573" s="64" t="str"/>
      <c r="I6573" s="65" t="str"/>
      <c r="J6573" s="49" t="str"/>
      <c r="K6573" s="41" t="str"/>
      <c r="L6573" s="41" t="str"/>
      <c r="M6573" s="41" t="str"/>
      <c r="N6573" s="41" t="str"/>
      <c r="O6573" s="41" t="str"/>
      <c r="P6573" s="41" t="str"/>
      <c r="Q6573" s="41" t="str"/>
      <c r="R6573" s="41" t="str"/>
      <c r="S6573" s="41" t="str"/>
      <c r="T6573" s="41" t="str"/>
      <c r="U6573" s="41" t="str"/>
      <c r="V6573" s="41" t="str"/>
      <c r="W6573" s="41" t="str"/>
    </row>
    <row r="6574">
      <c r="B6574" s="2" t="n"/>
      <c r="C6574" s="40" t="n"/>
      <c r="D6574" s="52">
        <f t="array" ref="D6574:W6574">IF(All_Students_Scores!C6572:V6572="","",All_Students_Scores!C6572:V6572)</f>
        <v/>
      </c>
      <c r="E6574" s="57" t="str"/>
      <c r="F6574" s="49" t="str"/>
      <c r="G6574" s="59" t="str"/>
      <c r="H6574" s="64" t="str"/>
      <c r="I6574" s="65" t="str"/>
      <c r="J6574" s="49" t="str"/>
      <c r="K6574" s="41" t="str"/>
      <c r="L6574" s="41" t="str"/>
      <c r="M6574" s="41" t="str"/>
      <c r="N6574" s="41" t="str"/>
      <c r="O6574" s="41" t="str"/>
      <c r="P6574" s="41" t="str"/>
      <c r="Q6574" s="41" t="str"/>
      <c r="R6574" s="41" t="str"/>
      <c r="S6574" s="41" t="str"/>
      <c r="T6574" s="41" t="str"/>
      <c r="U6574" s="41" t="str"/>
      <c r="V6574" s="41" t="str"/>
      <c r="W6574" s="41" t="str"/>
    </row>
    <row r="6575">
      <c r="B6575" s="2" t="n"/>
      <c r="C6575" s="40" t="n"/>
      <c r="D6575" s="52">
        <f t="array" ref="D6575:W6575">IF(All_Students_Scores!C6573:V6573="","",All_Students_Scores!C6573:V6573)</f>
        <v/>
      </c>
      <c r="E6575" s="57" t="str"/>
      <c r="F6575" s="49" t="str"/>
      <c r="G6575" s="59" t="str"/>
      <c r="H6575" s="64" t="str"/>
      <c r="I6575" s="65" t="str"/>
      <c r="J6575" s="49" t="str"/>
      <c r="K6575" s="41" t="str"/>
      <c r="L6575" s="41" t="str"/>
      <c r="M6575" s="41" t="str"/>
      <c r="N6575" s="41" t="str"/>
      <c r="O6575" s="41" t="str"/>
      <c r="P6575" s="41" t="str"/>
      <c r="Q6575" s="41" t="str"/>
      <c r="R6575" s="41" t="str"/>
      <c r="S6575" s="41" t="str"/>
      <c r="T6575" s="41" t="str"/>
      <c r="U6575" s="41" t="str"/>
      <c r="V6575" s="41" t="str"/>
      <c r="W6575" s="41" t="str"/>
    </row>
    <row r="6576">
      <c r="B6576" s="2" t="n"/>
      <c r="C6576" s="40" t="n"/>
      <c r="D6576" s="52">
        <f t="array" ref="D6576:W6576">IF(All_Students_Scores!C6574:V6574="","",All_Students_Scores!C6574:V6574)</f>
        <v/>
      </c>
      <c r="E6576" s="57" t="str"/>
      <c r="F6576" s="49" t="str"/>
      <c r="G6576" s="59" t="str"/>
      <c r="H6576" s="64" t="str"/>
      <c r="I6576" s="65" t="str"/>
      <c r="J6576" s="49" t="str"/>
      <c r="K6576" s="41" t="str"/>
      <c r="L6576" s="41" t="str"/>
      <c r="M6576" s="41" t="str"/>
      <c r="N6576" s="41" t="str"/>
      <c r="O6576" s="41" t="str"/>
      <c r="P6576" s="41" t="str"/>
      <c r="Q6576" s="41" t="str"/>
      <c r="R6576" s="41" t="str"/>
      <c r="S6576" s="41" t="str"/>
      <c r="T6576" s="41" t="str"/>
      <c r="U6576" s="41" t="str"/>
      <c r="V6576" s="41" t="str"/>
      <c r="W6576" s="41" t="str"/>
    </row>
    <row r="6577">
      <c r="B6577" s="2" t="n"/>
      <c r="C6577" s="40" t="n"/>
      <c r="D6577" s="52">
        <f t="array" ref="D6577:W6577">IF(All_Students_Scores!C6575:V6575="","",All_Students_Scores!C6575:V6575)</f>
        <v/>
      </c>
      <c r="E6577" s="57" t="str"/>
      <c r="F6577" s="49" t="str"/>
      <c r="G6577" s="59" t="str"/>
      <c r="H6577" s="64" t="str"/>
      <c r="I6577" s="65" t="str"/>
      <c r="J6577" s="49" t="str"/>
      <c r="K6577" s="41" t="str"/>
      <c r="L6577" s="41" t="str"/>
      <c r="M6577" s="41" t="str"/>
      <c r="N6577" s="41" t="str"/>
      <c r="O6577" s="41" t="str"/>
      <c r="P6577" s="41" t="str"/>
      <c r="Q6577" s="41" t="str"/>
      <c r="R6577" s="41" t="str"/>
      <c r="S6577" s="41" t="str"/>
      <c r="T6577" s="41" t="str"/>
      <c r="U6577" s="41" t="str"/>
      <c r="V6577" s="41" t="str"/>
      <c r="W6577" s="41" t="str"/>
    </row>
    <row r="6578">
      <c r="B6578" s="2" t="n"/>
      <c r="C6578" s="40" t="n"/>
      <c r="D6578" s="52">
        <f t="array" ref="D6578:W6578">IF(All_Students_Scores!C6576:V6576="","",All_Students_Scores!C6576:V6576)</f>
        <v/>
      </c>
      <c r="E6578" s="57" t="str"/>
      <c r="F6578" s="49" t="str"/>
      <c r="G6578" s="59" t="str"/>
      <c r="H6578" s="64" t="str"/>
      <c r="I6578" s="65" t="str"/>
      <c r="J6578" s="49" t="str"/>
      <c r="K6578" s="41" t="str"/>
      <c r="L6578" s="41" t="str"/>
      <c r="M6578" s="41" t="str"/>
      <c r="N6578" s="41" t="str"/>
      <c r="O6578" s="41" t="str"/>
      <c r="P6578" s="41" t="str"/>
      <c r="Q6578" s="41" t="str"/>
      <c r="R6578" s="41" t="str"/>
      <c r="S6578" s="41" t="str"/>
      <c r="T6578" s="41" t="str"/>
      <c r="U6578" s="41" t="str"/>
      <c r="V6578" s="41" t="str"/>
      <c r="W6578" s="41" t="str"/>
    </row>
    <row r="6579">
      <c r="B6579" s="2" t="n"/>
      <c r="C6579" s="40" t="n"/>
      <c r="D6579" s="52">
        <f t="array" ref="D6579:W6579">IF(All_Students_Scores!C6577:V6577="","",All_Students_Scores!C6577:V6577)</f>
        <v/>
      </c>
      <c r="E6579" s="57" t="str"/>
      <c r="F6579" s="49" t="str"/>
      <c r="G6579" s="59" t="str"/>
      <c r="H6579" s="64" t="str"/>
      <c r="I6579" s="65" t="str"/>
      <c r="J6579" s="49" t="str"/>
      <c r="K6579" s="41" t="str"/>
      <c r="L6579" s="41" t="str"/>
      <c r="M6579" s="41" t="str"/>
      <c r="N6579" s="41" t="str"/>
      <c r="O6579" s="41" t="str"/>
      <c r="P6579" s="41" t="str"/>
      <c r="Q6579" s="41" t="str"/>
      <c r="R6579" s="41" t="str"/>
      <c r="S6579" s="41" t="str"/>
      <c r="T6579" s="41" t="str"/>
      <c r="U6579" s="41" t="str"/>
      <c r="V6579" s="41" t="str"/>
      <c r="W6579" s="41" t="str"/>
    </row>
    <row r="6580">
      <c r="B6580" s="2" t="n"/>
      <c r="C6580" s="40" t="n"/>
      <c r="D6580" s="52">
        <f t="array" ref="D6580:W6580">IF(All_Students_Scores!C6578:V6578="","",All_Students_Scores!C6578:V6578)</f>
        <v/>
      </c>
      <c r="E6580" s="57" t="str"/>
      <c r="F6580" s="49" t="str"/>
      <c r="G6580" s="59" t="str"/>
      <c r="H6580" s="64" t="str"/>
      <c r="I6580" s="65" t="str"/>
      <c r="J6580" s="49" t="str"/>
      <c r="K6580" s="41" t="str"/>
      <c r="L6580" s="41" t="str"/>
      <c r="M6580" s="41" t="str"/>
      <c r="N6580" s="41" t="str"/>
      <c r="O6580" s="41" t="str"/>
      <c r="P6580" s="41" t="str"/>
      <c r="Q6580" s="41" t="str"/>
      <c r="R6580" s="41" t="str"/>
      <c r="S6580" s="41" t="str"/>
      <c r="T6580" s="41" t="str"/>
      <c r="U6580" s="41" t="str"/>
      <c r="V6580" s="41" t="str"/>
      <c r="W6580" s="41" t="str"/>
    </row>
    <row r="6581">
      <c r="B6581" s="2" t="n"/>
      <c r="C6581" s="40" t="n"/>
      <c r="D6581" s="52">
        <f t="array" ref="D6581:W6581">IF(All_Students_Scores!C6579:V6579="","",All_Students_Scores!C6579:V6579)</f>
        <v/>
      </c>
      <c r="E6581" s="57" t="str"/>
      <c r="F6581" s="49" t="str"/>
      <c r="G6581" s="59" t="str"/>
      <c r="H6581" s="64" t="str"/>
      <c r="I6581" s="65" t="str"/>
      <c r="J6581" s="49" t="str"/>
      <c r="K6581" s="41" t="str"/>
      <c r="L6581" s="41" t="str"/>
      <c r="M6581" s="41" t="str"/>
      <c r="N6581" s="41" t="str"/>
      <c r="O6581" s="41" t="str"/>
      <c r="P6581" s="41" t="str"/>
      <c r="Q6581" s="41" t="str"/>
      <c r="R6581" s="41" t="str"/>
      <c r="S6581" s="41" t="str"/>
      <c r="T6581" s="41" t="str"/>
      <c r="U6581" s="41" t="str"/>
      <c r="V6581" s="41" t="str"/>
      <c r="W6581" s="41" t="str"/>
    </row>
    <row r="6582">
      <c r="B6582" s="2" t="n"/>
      <c r="C6582" s="40" t="n"/>
      <c r="D6582" s="52">
        <f t="array" ref="D6582:W6582">IF(All_Students_Scores!C6580:V6580="","",All_Students_Scores!C6580:V6580)</f>
        <v/>
      </c>
      <c r="E6582" s="57" t="str"/>
      <c r="F6582" s="49" t="str"/>
      <c r="G6582" s="59" t="str"/>
      <c r="H6582" s="64" t="str"/>
      <c r="I6582" s="65" t="str"/>
      <c r="J6582" s="49" t="str"/>
      <c r="K6582" s="41" t="str"/>
      <c r="L6582" s="41" t="str"/>
      <c r="M6582" s="41" t="str"/>
      <c r="N6582" s="41" t="str"/>
      <c r="O6582" s="41" t="str"/>
      <c r="P6582" s="41" t="str"/>
      <c r="Q6582" s="41" t="str"/>
      <c r="R6582" s="41" t="str"/>
      <c r="S6582" s="41" t="str"/>
      <c r="T6582" s="41" t="str"/>
      <c r="U6582" s="41" t="str"/>
      <c r="V6582" s="41" t="str"/>
      <c r="W6582" s="41" t="str"/>
    </row>
    <row r="6583">
      <c r="B6583" s="2" t="n"/>
      <c r="C6583" s="40" t="n"/>
      <c r="D6583" s="52">
        <f t="array" ref="D6583:W6583">IF(All_Students_Scores!C6581:V6581="","",All_Students_Scores!C6581:V6581)</f>
        <v/>
      </c>
      <c r="E6583" s="57" t="str"/>
      <c r="F6583" s="49" t="str"/>
      <c r="G6583" s="59" t="str"/>
      <c r="H6583" s="64" t="str"/>
      <c r="I6583" s="65" t="str"/>
      <c r="J6583" s="49" t="str"/>
      <c r="K6583" s="41" t="str"/>
      <c r="L6583" s="41" t="str"/>
      <c r="M6583" s="41" t="str"/>
      <c r="N6583" s="41" t="str"/>
      <c r="O6583" s="41" t="str"/>
      <c r="P6583" s="41" t="str"/>
      <c r="Q6583" s="41" t="str"/>
      <c r="R6583" s="41" t="str"/>
      <c r="S6583" s="41" t="str"/>
      <c r="T6583" s="41" t="str"/>
      <c r="U6583" s="41" t="str"/>
      <c r="V6583" s="41" t="str"/>
      <c r="W6583" s="41" t="str"/>
    </row>
    <row r="6584">
      <c r="B6584" s="2" t="n"/>
      <c r="C6584" s="40" t="n"/>
      <c r="D6584" s="52">
        <f t="array" ref="D6584:W6584">IF(All_Students_Scores!C6582:V6582="","",All_Students_Scores!C6582:V6582)</f>
        <v/>
      </c>
      <c r="E6584" s="57" t="str"/>
      <c r="F6584" s="49" t="str"/>
      <c r="G6584" s="59" t="str"/>
      <c r="H6584" s="64" t="str"/>
      <c r="I6584" s="65" t="str"/>
      <c r="J6584" s="49" t="str"/>
      <c r="K6584" s="41" t="str"/>
      <c r="L6584" s="41" t="str"/>
      <c r="M6584" s="41" t="str"/>
      <c r="N6584" s="41" t="str"/>
      <c r="O6584" s="41" t="str"/>
      <c r="P6584" s="41" t="str"/>
      <c r="Q6584" s="41" t="str"/>
      <c r="R6584" s="41" t="str"/>
      <c r="S6584" s="41" t="str"/>
      <c r="T6584" s="41" t="str"/>
      <c r="U6584" s="41" t="str"/>
      <c r="V6584" s="41" t="str"/>
      <c r="W6584" s="41" t="str"/>
    </row>
    <row r="6585">
      <c r="B6585" s="2" t="n"/>
      <c r="C6585" s="40" t="n"/>
      <c r="D6585" s="52">
        <f t="array" ref="D6585:W6585">IF(All_Students_Scores!C6583:V6583="","",All_Students_Scores!C6583:V6583)</f>
        <v/>
      </c>
      <c r="E6585" s="57" t="str"/>
      <c r="F6585" s="49" t="str"/>
      <c r="G6585" s="59" t="str"/>
      <c r="H6585" s="64" t="str"/>
      <c r="I6585" s="65" t="str"/>
      <c r="J6585" s="49" t="str"/>
      <c r="K6585" s="41" t="str"/>
      <c r="L6585" s="41" t="str"/>
      <c r="M6585" s="41" t="str"/>
      <c r="N6585" s="41" t="str"/>
      <c r="O6585" s="41" t="str"/>
      <c r="P6585" s="41" t="str"/>
      <c r="Q6585" s="41" t="str"/>
      <c r="R6585" s="41" t="str"/>
      <c r="S6585" s="41" t="str"/>
      <c r="T6585" s="41" t="str"/>
      <c r="U6585" s="41" t="str"/>
      <c r="V6585" s="41" t="str"/>
      <c r="W6585" s="41" t="str"/>
    </row>
    <row r="6586">
      <c r="B6586" s="2" t="n"/>
      <c r="C6586" s="40" t="n"/>
      <c r="D6586" s="52">
        <f t="array" ref="D6586:W6586">IF(All_Students_Scores!C6584:V6584="","",All_Students_Scores!C6584:V6584)</f>
        <v/>
      </c>
      <c r="E6586" s="57" t="str"/>
      <c r="F6586" s="49" t="str"/>
      <c r="G6586" s="59" t="str"/>
      <c r="H6586" s="64" t="str"/>
      <c r="I6586" s="65" t="str"/>
      <c r="J6586" s="49" t="str"/>
      <c r="K6586" s="41" t="str"/>
      <c r="L6586" s="41" t="str"/>
      <c r="M6586" s="41" t="str"/>
      <c r="N6586" s="41" t="str"/>
      <c r="O6586" s="41" t="str"/>
      <c r="P6586" s="41" t="str"/>
      <c r="Q6586" s="41" t="str"/>
      <c r="R6586" s="41" t="str"/>
      <c r="S6586" s="41" t="str"/>
      <c r="T6586" s="41" t="str"/>
      <c r="U6586" s="41" t="str"/>
      <c r="V6586" s="41" t="str"/>
      <c r="W6586" s="41" t="str"/>
    </row>
    <row r="6587">
      <c r="B6587" s="2" t="n"/>
      <c r="C6587" s="40" t="n"/>
      <c r="D6587" s="52">
        <f t="array" ref="D6587:W6587">IF(All_Students_Scores!C6585:V6585="","",All_Students_Scores!C6585:V6585)</f>
        <v/>
      </c>
      <c r="E6587" s="57" t="str"/>
      <c r="F6587" s="49" t="str"/>
      <c r="G6587" s="59" t="str"/>
      <c r="H6587" s="64" t="str"/>
      <c r="I6587" s="65" t="str"/>
      <c r="J6587" s="49" t="str"/>
      <c r="K6587" s="41" t="str"/>
      <c r="L6587" s="41" t="str"/>
      <c r="M6587" s="41" t="str"/>
      <c r="N6587" s="41" t="str"/>
      <c r="O6587" s="41" t="str"/>
      <c r="P6587" s="41" t="str"/>
      <c r="Q6587" s="41" t="str"/>
      <c r="R6587" s="41" t="str"/>
      <c r="S6587" s="41" t="str"/>
      <c r="T6587" s="41" t="str"/>
      <c r="U6587" s="41" t="str"/>
      <c r="V6587" s="41" t="str"/>
      <c r="W6587" s="41" t="str"/>
    </row>
    <row r="6588">
      <c r="B6588" s="2" t="n"/>
      <c r="C6588" s="40" t="n"/>
      <c r="D6588" s="52">
        <f t="array" ref="D6588:W6588">IF(All_Students_Scores!C6586:V6586="","",All_Students_Scores!C6586:V6586)</f>
        <v/>
      </c>
      <c r="E6588" s="57" t="str"/>
      <c r="F6588" s="49" t="str"/>
      <c r="G6588" s="59" t="str"/>
      <c r="H6588" s="64" t="str"/>
      <c r="I6588" s="65" t="str"/>
      <c r="J6588" s="49" t="str"/>
      <c r="K6588" s="41" t="str"/>
      <c r="L6588" s="41" t="str"/>
      <c r="M6588" s="41" t="str"/>
      <c r="N6588" s="41" t="str"/>
      <c r="O6588" s="41" t="str"/>
      <c r="P6588" s="41" t="str"/>
      <c r="Q6588" s="41" t="str"/>
      <c r="R6588" s="41" t="str"/>
      <c r="S6588" s="41" t="str"/>
      <c r="T6588" s="41" t="str"/>
      <c r="U6588" s="41" t="str"/>
      <c r="V6588" s="41" t="str"/>
      <c r="W6588" s="41" t="str"/>
    </row>
    <row r="6589">
      <c r="B6589" s="2" t="n"/>
      <c r="C6589" s="40" t="n"/>
      <c r="D6589" s="52">
        <f t="array" ref="D6589:W6589">IF(All_Students_Scores!C6587:V6587="","",All_Students_Scores!C6587:V6587)</f>
        <v/>
      </c>
      <c r="E6589" s="57" t="str"/>
      <c r="F6589" s="49" t="str"/>
      <c r="G6589" s="59" t="str"/>
      <c r="H6589" s="64" t="str"/>
      <c r="I6589" s="65" t="str"/>
      <c r="J6589" s="49" t="str"/>
      <c r="K6589" s="41" t="str"/>
      <c r="L6589" s="41" t="str"/>
      <c r="M6589" s="41" t="str"/>
      <c r="N6589" s="41" t="str"/>
      <c r="O6589" s="41" t="str"/>
      <c r="P6589" s="41" t="str"/>
      <c r="Q6589" s="41" t="str"/>
      <c r="R6589" s="41" t="str"/>
      <c r="S6589" s="41" t="str"/>
      <c r="T6589" s="41" t="str"/>
      <c r="U6589" s="41" t="str"/>
      <c r="V6589" s="41" t="str"/>
      <c r="W6589" s="41" t="str"/>
    </row>
    <row r="6590">
      <c r="B6590" s="2" t="n"/>
      <c r="C6590" s="40" t="n"/>
      <c r="D6590" s="52">
        <f t="array" ref="D6590:W6590">IF(All_Students_Scores!C6588:V6588="","",All_Students_Scores!C6588:V6588)</f>
        <v/>
      </c>
      <c r="E6590" s="57" t="str"/>
      <c r="F6590" s="49" t="str"/>
      <c r="G6590" s="59" t="str"/>
      <c r="H6590" s="64" t="str"/>
      <c r="I6590" s="65" t="str"/>
      <c r="J6590" s="49" t="str"/>
      <c r="K6590" s="41" t="str"/>
      <c r="L6590" s="41" t="str"/>
      <c r="M6590" s="41" t="str"/>
      <c r="N6590" s="41" t="str"/>
      <c r="O6590" s="41" t="str"/>
      <c r="P6590" s="41" t="str"/>
      <c r="Q6590" s="41" t="str"/>
      <c r="R6590" s="41" t="str"/>
      <c r="S6590" s="41" t="str"/>
      <c r="T6590" s="41" t="str"/>
      <c r="U6590" s="41" t="str"/>
      <c r="V6590" s="41" t="str"/>
      <c r="W6590" s="41" t="str"/>
    </row>
    <row r="6591">
      <c r="B6591" s="2" t="n"/>
      <c r="C6591" s="40" t="n"/>
      <c r="D6591" s="52">
        <f t="array" ref="D6591:W6591">IF(All_Students_Scores!C6589:V6589="","",All_Students_Scores!C6589:V6589)</f>
        <v/>
      </c>
      <c r="E6591" s="57" t="str"/>
      <c r="F6591" s="49" t="str"/>
      <c r="G6591" s="59" t="str"/>
      <c r="H6591" s="64" t="str"/>
      <c r="I6591" s="65" t="str"/>
      <c r="J6591" s="49" t="str"/>
      <c r="K6591" s="41" t="str"/>
      <c r="L6591" s="41" t="str"/>
      <c r="M6591" s="41" t="str"/>
      <c r="N6591" s="41" t="str"/>
      <c r="O6591" s="41" t="str"/>
      <c r="P6591" s="41" t="str"/>
      <c r="Q6591" s="41" t="str"/>
      <c r="R6591" s="41" t="str"/>
      <c r="S6591" s="41" t="str"/>
      <c r="T6591" s="41" t="str"/>
      <c r="U6591" s="41" t="str"/>
      <c r="V6591" s="41" t="str"/>
      <c r="W6591" s="41" t="str"/>
    </row>
    <row r="6592">
      <c r="B6592" s="2" t="n"/>
      <c r="C6592" s="40" t="n"/>
      <c r="D6592" s="52">
        <f t="array" ref="D6592:W6592">IF(All_Students_Scores!C6590:V6590="","",All_Students_Scores!C6590:V6590)</f>
        <v/>
      </c>
      <c r="E6592" s="57" t="str"/>
      <c r="F6592" s="49" t="str"/>
      <c r="G6592" s="59" t="str"/>
      <c r="H6592" s="64" t="str"/>
      <c r="I6592" s="65" t="str"/>
      <c r="J6592" s="49" t="str"/>
      <c r="K6592" s="41" t="str"/>
      <c r="L6592" s="41" t="str"/>
      <c r="M6592" s="41" t="str"/>
      <c r="N6592" s="41" t="str"/>
      <c r="O6592" s="41" t="str"/>
      <c r="P6592" s="41" t="str"/>
      <c r="Q6592" s="41" t="str"/>
      <c r="R6592" s="41" t="str"/>
      <c r="S6592" s="41" t="str"/>
      <c r="T6592" s="41" t="str"/>
      <c r="U6592" s="41" t="str"/>
      <c r="V6592" s="41" t="str"/>
      <c r="W6592" s="41" t="str"/>
    </row>
    <row r="6593">
      <c r="B6593" s="2" t="n"/>
      <c r="C6593" s="40" t="n"/>
      <c r="D6593" s="52">
        <f t="array" ref="D6593:W6593">IF(All_Students_Scores!C6591:V6591="","",All_Students_Scores!C6591:V6591)</f>
        <v/>
      </c>
      <c r="E6593" s="57" t="str"/>
      <c r="F6593" s="49" t="str"/>
      <c r="G6593" s="59" t="str"/>
      <c r="H6593" s="64" t="str"/>
      <c r="I6593" s="65" t="str"/>
      <c r="J6593" s="49" t="str"/>
      <c r="K6593" s="41" t="str"/>
      <c r="L6593" s="41" t="str"/>
      <c r="M6593" s="41" t="str"/>
      <c r="N6593" s="41" t="str"/>
      <c r="O6593" s="41" t="str"/>
      <c r="P6593" s="41" t="str"/>
      <c r="Q6593" s="41" t="str"/>
      <c r="R6593" s="41" t="str"/>
      <c r="S6593" s="41" t="str"/>
      <c r="T6593" s="41" t="str"/>
      <c r="U6593" s="41" t="str"/>
      <c r="V6593" s="41" t="str"/>
      <c r="W6593" s="41" t="str"/>
    </row>
    <row r="6594">
      <c r="B6594" s="2" t="n"/>
      <c r="C6594" s="40" t="n"/>
      <c r="D6594" s="52">
        <f t="array" ref="D6594:W6594">IF(All_Students_Scores!C6592:V6592="","",All_Students_Scores!C6592:V6592)</f>
        <v/>
      </c>
      <c r="E6594" s="57" t="str"/>
      <c r="F6594" s="49" t="str"/>
      <c r="G6594" s="59" t="str"/>
      <c r="H6594" s="64" t="str"/>
      <c r="I6594" s="65" t="str"/>
      <c r="J6594" s="49" t="str"/>
      <c r="K6594" s="41" t="str"/>
      <c r="L6594" s="41" t="str"/>
      <c r="M6594" s="41" t="str"/>
      <c r="N6594" s="41" t="str"/>
      <c r="O6594" s="41" t="str"/>
      <c r="P6594" s="41" t="str"/>
      <c r="Q6594" s="41" t="str"/>
      <c r="R6594" s="41" t="str"/>
      <c r="S6594" s="41" t="str"/>
      <c r="T6594" s="41" t="str"/>
      <c r="U6594" s="41" t="str"/>
      <c r="V6594" s="41" t="str"/>
      <c r="W6594" s="41" t="str"/>
    </row>
    <row r="6595">
      <c r="B6595" s="2" t="n"/>
      <c r="C6595" s="40" t="n"/>
      <c r="D6595" s="52">
        <f t="array" ref="D6595:W6595">IF(All_Students_Scores!C6593:V6593="","",All_Students_Scores!C6593:V6593)</f>
        <v/>
      </c>
      <c r="E6595" s="57" t="str"/>
      <c r="F6595" s="49" t="str"/>
      <c r="G6595" s="59" t="str"/>
      <c r="H6595" s="64" t="str"/>
      <c r="I6595" s="65" t="str"/>
      <c r="J6595" s="49" t="str"/>
      <c r="K6595" s="41" t="str"/>
      <c r="L6595" s="41" t="str"/>
      <c r="M6595" s="41" t="str"/>
      <c r="N6595" s="41" t="str"/>
      <c r="O6595" s="41" t="str"/>
      <c r="P6595" s="41" t="str"/>
      <c r="Q6595" s="41" t="str"/>
      <c r="R6595" s="41" t="str"/>
      <c r="S6595" s="41" t="str"/>
      <c r="T6595" s="41" t="str"/>
      <c r="U6595" s="41" t="str"/>
      <c r="V6595" s="41" t="str"/>
      <c r="W6595" s="41" t="str"/>
    </row>
    <row r="6596">
      <c r="B6596" s="2" t="n"/>
      <c r="C6596" s="40" t="n"/>
      <c r="D6596" s="52">
        <f t="array" ref="D6596:W6596">IF(All_Students_Scores!C6594:V6594="","",All_Students_Scores!C6594:V6594)</f>
        <v/>
      </c>
      <c r="E6596" s="57" t="str"/>
      <c r="F6596" s="49" t="str"/>
      <c r="G6596" s="59" t="str"/>
      <c r="H6596" s="64" t="str"/>
      <c r="I6596" s="65" t="str"/>
      <c r="J6596" s="49" t="str"/>
      <c r="K6596" s="41" t="str"/>
      <c r="L6596" s="41" t="str"/>
      <c r="M6596" s="41" t="str"/>
      <c r="N6596" s="41" t="str"/>
      <c r="O6596" s="41" t="str"/>
      <c r="P6596" s="41" t="str"/>
      <c r="Q6596" s="41" t="str"/>
      <c r="R6596" s="41" t="str"/>
      <c r="S6596" s="41" t="str"/>
      <c r="T6596" s="41" t="str"/>
      <c r="U6596" s="41" t="str"/>
      <c r="V6596" s="41" t="str"/>
      <c r="W6596" s="41" t="str"/>
    </row>
    <row r="6597">
      <c r="B6597" s="2" t="n"/>
      <c r="C6597" s="40" t="n"/>
      <c r="D6597" s="52">
        <f t="array" ref="D6597:W6597">IF(All_Students_Scores!C6595:V6595="","",All_Students_Scores!C6595:V6595)</f>
        <v/>
      </c>
      <c r="E6597" s="57" t="str"/>
      <c r="F6597" s="49" t="str"/>
      <c r="G6597" s="59" t="str"/>
      <c r="H6597" s="64" t="str"/>
      <c r="I6597" s="65" t="str"/>
      <c r="J6597" s="49" t="str"/>
      <c r="K6597" s="41" t="str"/>
      <c r="L6597" s="41" t="str"/>
      <c r="M6597" s="41" t="str"/>
      <c r="N6597" s="41" t="str"/>
      <c r="O6597" s="41" t="str"/>
      <c r="P6597" s="41" t="str"/>
      <c r="Q6597" s="41" t="str"/>
      <c r="R6597" s="41" t="str"/>
      <c r="S6597" s="41" t="str"/>
      <c r="T6597" s="41" t="str"/>
      <c r="U6597" s="41" t="str"/>
      <c r="V6597" s="41" t="str"/>
      <c r="W6597" s="41" t="str"/>
    </row>
    <row r="6598">
      <c r="B6598" s="2" t="n"/>
      <c r="C6598" s="40" t="n"/>
      <c r="D6598" s="52">
        <f t="array" ref="D6598:W6598">IF(All_Students_Scores!C6596:V6596="","",All_Students_Scores!C6596:V6596)</f>
        <v/>
      </c>
      <c r="E6598" s="57" t="str"/>
      <c r="F6598" s="49" t="str"/>
      <c r="G6598" s="59" t="str"/>
      <c r="H6598" s="64" t="str"/>
      <c r="I6598" s="65" t="str"/>
      <c r="J6598" s="49" t="str"/>
      <c r="K6598" s="41" t="str"/>
      <c r="L6598" s="41" t="str"/>
      <c r="M6598" s="41" t="str"/>
      <c r="N6598" s="41" t="str"/>
      <c r="O6598" s="41" t="str"/>
      <c r="P6598" s="41" t="str"/>
      <c r="Q6598" s="41" t="str"/>
      <c r="R6598" s="41" t="str"/>
      <c r="S6598" s="41" t="str"/>
      <c r="T6598" s="41" t="str"/>
      <c r="U6598" s="41" t="str"/>
      <c r="V6598" s="41" t="str"/>
      <c r="W6598" s="41" t="str"/>
    </row>
    <row r="6599">
      <c r="B6599" s="2" t="n"/>
      <c r="C6599" s="40" t="n"/>
      <c r="D6599" s="52">
        <f t="array" ref="D6599:W6599">IF(All_Students_Scores!C6597:V6597="","",All_Students_Scores!C6597:V6597)</f>
        <v/>
      </c>
      <c r="E6599" s="57" t="str"/>
      <c r="F6599" s="49" t="str"/>
      <c r="G6599" s="59" t="str"/>
      <c r="H6599" s="64" t="str"/>
      <c r="I6599" s="65" t="str"/>
      <c r="J6599" s="49" t="str"/>
      <c r="K6599" s="41" t="str"/>
      <c r="L6599" s="41" t="str"/>
      <c r="M6599" s="41" t="str"/>
      <c r="N6599" s="41" t="str"/>
      <c r="O6599" s="41" t="str"/>
      <c r="P6599" s="41" t="str"/>
      <c r="Q6599" s="41" t="str"/>
      <c r="R6599" s="41" t="str"/>
      <c r="S6599" s="41" t="str"/>
      <c r="T6599" s="41" t="str"/>
      <c r="U6599" s="41" t="str"/>
      <c r="V6599" s="41" t="str"/>
      <c r="W6599" s="41" t="str"/>
    </row>
    <row r="6600">
      <c r="B6600" s="2" t="n"/>
      <c r="C6600" s="40" t="n"/>
      <c r="D6600" s="52">
        <f t="array" ref="D6600:W6600">IF(All_Students_Scores!C6598:V6598="","",All_Students_Scores!C6598:V6598)</f>
        <v/>
      </c>
      <c r="E6600" s="57" t="str"/>
      <c r="F6600" s="49" t="str"/>
      <c r="G6600" s="59" t="str"/>
      <c r="H6600" s="64" t="str"/>
      <c r="I6600" s="65" t="str"/>
      <c r="J6600" s="49" t="str"/>
      <c r="K6600" s="41" t="str"/>
      <c r="L6600" s="41" t="str"/>
      <c r="M6600" s="41" t="str"/>
      <c r="N6600" s="41" t="str"/>
      <c r="O6600" s="41" t="str"/>
      <c r="P6600" s="41" t="str"/>
      <c r="Q6600" s="41" t="str"/>
      <c r="R6600" s="41" t="str"/>
      <c r="S6600" s="41" t="str"/>
      <c r="T6600" s="41" t="str"/>
      <c r="U6600" s="41" t="str"/>
      <c r="V6600" s="41" t="str"/>
      <c r="W6600" s="41" t="str"/>
    </row>
    <row r="6601">
      <c r="B6601" s="2" t="n"/>
      <c r="C6601" s="40" t="n"/>
      <c r="D6601" s="52">
        <f t="array" ref="D6601:W6601">IF(All_Students_Scores!C6599:V6599="","",All_Students_Scores!C6599:V6599)</f>
        <v/>
      </c>
      <c r="E6601" s="57" t="str"/>
      <c r="F6601" s="49" t="str"/>
      <c r="G6601" s="59" t="str"/>
      <c r="H6601" s="64" t="str"/>
      <c r="I6601" s="65" t="str"/>
      <c r="J6601" s="49" t="str"/>
      <c r="K6601" s="41" t="str"/>
      <c r="L6601" s="41" t="str"/>
      <c r="M6601" s="41" t="str"/>
      <c r="N6601" s="41" t="str"/>
      <c r="O6601" s="41" t="str"/>
      <c r="P6601" s="41" t="str"/>
      <c r="Q6601" s="41" t="str"/>
      <c r="R6601" s="41" t="str"/>
      <c r="S6601" s="41" t="str"/>
      <c r="T6601" s="41" t="str"/>
      <c r="U6601" s="41" t="str"/>
      <c r="V6601" s="41" t="str"/>
      <c r="W6601" s="41" t="str"/>
    </row>
    <row r="6602">
      <c r="B6602" s="2" t="n"/>
      <c r="C6602" s="40" t="n"/>
      <c r="D6602" s="52">
        <f t="array" ref="D6602:W6602">IF(All_Students_Scores!C6600:V6600="","",All_Students_Scores!C6600:V6600)</f>
        <v/>
      </c>
      <c r="E6602" s="57" t="str"/>
      <c r="F6602" s="49" t="str"/>
      <c r="G6602" s="59" t="str"/>
      <c r="H6602" s="64" t="str"/>
      <c r="I6602" s="65" t="str"/>
      <c r="J6602" s="49" t="str"/>
      <c r="K6602" s="41" t="str"/>
      <c r="L6602" s="41" t="str"/>
      <c r="M6602" s="41" t="str"/>
      <c r="N6602" s="41" t="str"/>
      <c r="O6602" s="41" t="str"/>
      <c r="P6602" s="41" t="str"/>
      <c r="Q6602" s="41" t="str"/>
      <c r="R6602" s="41" t="str"/>
      <c r="S6602" s="41" t="str"/>
      <c r="T6602" s="41" t="str"/>
      <c r="U6602" s="41" t="str"/>
      <c r="V6602" s="41" t="str"/>
      <c r="W6602" s="41" t="str"/>
    </row>
    <row r="6603">
      <c r="B6603" s="2" t="n"/>
      <c r="C6603" s="40" t="n"/>
      <c r="D6603" s="52">
        <f t="array" ref="D6603:W6603">IF(All_Students_Scores!C6601:V6601="","",All_Students_Scores!C6601:V6601)</f>
        <v/>
      </c>
      <c r="E6603" s="57" t="str"/>
      <c r="F6603" s="49" t="str"/>
      <c r="G6603" s="59" t="str"/>
      <c r="H6603" s="64" t="str"/>
      <c r="I6603" s="65" t="str"/>
      <c r="J6603" s="49" t="str"/>
      <c r="K6603" s="41" t="str"/>
      <c r="L6603" s="41" t="str"/>
      <c r="M6603" s="41" t="str"/>
      <c r="N6603" s="41" t="str"/>
      <c r="O6603" s="41" t="str"/>
      <c r="P6603" s="41" t="str"/>
      <c r="Q6603" s="41" t="str"/>
      <c r="R6603" s="41" t="str"/>
      <c r="S6603" s="41" t="str"/>
      <c r="T6603" s="41" t="str"/>
      <c r="U6603" s="41" t="str"/>
      <c r="V6603" s="41" t="str"/>
      <c r="W6603" s="41" t="str"/>
    </row>
    <row r="6604">
      <c r="B6604" s="2" t="n"/>
      <c r="C6604" s="40" t="n"/>
      <c r="D6604" s="52">
        <f t="array" ref="D6604:W6604">IF(All_Students_Scores!C6602:V6602="","",All_Students_Scores!C6602:V6602)</f>
        <v/>
      </c>
      <c r="E6604" s="57" t="str"/>
      <c r="F6604" s="49" t="str"/>
      <c r="G6604" s="59" t="str"/>
      <c r="H6604" s="64" t="str"/>
      <c r="I6604" s="65" t="str"/>
      <c r="J6604" s="49" t="str"/>
      <c r="K6604" s="41" t="str"/>
      <c r="L6604" s="41" t="str"/>
      <c r="M6604" s="41" t="str"/>
      <c r="N6604" s="41" t="str"/>
      <c r="O6604" s="41" t="str"/>
      <c r="P6604" s="41" t="str"/>
      <c r="Q6604" s="41" t="str"/>
      <c r="R6604" s="41" t="str"/>
      <c r="S6604" s="41" t="str"/>
      <c r="T6604" s="41" t="str"/>
      <c r="U6604" s="41" t="str"/>
      <c r="V6604" s="41" t="str"/>
      <c r="W6604" s="41" t="str"/>
    </row>
    <row r="6605">
      <c r="B6605" s="2" t="n"/>
      <c r="C6605" s="40" t="n"/>
      <c r="D6605" s="52">
        <f t="array" ref="D6605:W6605">IF(All_Students_Scores!C6603:V6603="","",All_Students_Scores!C6603:V6603)</f>
        <v/>
      </c>
      <c r="E6605" s="57" t="str"/>
      <c r="F6605" s="49" t="str"/>
      <c r="G6605" s="59" t="str"/>
      <c r="H6605" s="64" t="str"/>
      <c r="I6605" s="65" t="str"/>
      <c r="J6605" s="49" t="str"/>
      <c r="K6605" s="41" t="str"/>
      <c r="L6605" s="41" t="str"/>
      <c r="M6605" s="41" t="str"/>
      <c r="N6605" s="41" t="str"/>
      <c r="O6605" s="41" t="str"/>
      <c r="P6605" s="41" t="str"/>
      <c r="Q6605" s="41" t="str"/>
      <c r="R6605" s="41" t="str"/>
      <c r="S6605" s="41" t="str"/>
      <c r="T6605" s="41" t="str"/>
      <c r="U6605" s="41" t="str"/>
      <c r="V6605" s="41" t="str"/>
      <c r="W6605" s="41" t="str"/>
    </row>
    <row r="6606">
      <c r="B6606" s="2" t="n"/>
      <c r="C6606" s="40" t="n"/>
      <c r="D6606" s="52">
        <f t="array" ref="D6606:W6606">IF(All_Students_Scores!C6604:V6604="","",All_Students_Scores!C6604:V6604)</f>
        <v/>
      </c>
      <c r="E6606" s="57" t="str"/>
      <c r="F6606" s="49" t="str"/>
      <c r="G6606" s="59" t="str"/>
      <c r="H6606" s="64" t="str"/>
      <c r="I6606" s="65" t="str"/>
      <c r="J6606" s="49" t="str"/>
      <c r="K6606" s="41" t="str"/>
      <c r="L6606" s="41" t="str"/>
      <c r="M6606" s="41" t="str"/>
      <c r="N6606" s="41" t="str"/>
      <c r="O6606" s="41" t="str"/>
      <c r="P6606" s="41" t="str"/>
      <c r="Q6606" s="41" t="str"/>
      <c r="R6606" s="41" t="str"/>
      <c r="S6606" s="41" t="str"/>
      <c r="T6606" s="41" t="str"/>
      <c r="U6606" s="41" t="str"/>
      <c r="V6606" s="41" t="str"/>
      <c r="W6606" s="41" t="str"/>
    </row>
    <row r="6607">
      <c r="B6607" s="2" t="n"/>
      <c r="C6607" s="40" t="n"/>
      <c r="D6607" s="52">
        <f t="array" ref="D6607:W6607">IF(All_Students_Scores!C6605:V6605="","",All_Students_Scores!C6605:V6605)</f>
        <v/>
      </c>
      <c r="E6607" s="57" t="str"/>
      <c r="F6607" s="49" t="str"/>
      <c r="G6607" s="59" t="str"/>
      <c r="H6607" s="64" t="str"/>
      <c r="I6607" s="65" t="str"/>
      <c r="J6607" s="49" t="str"/>
      <c r="K6607" s="41" t="str"/>
      <c r="L6607" s="41" t="str"/>
      <c r="M6607" s="41" t="str"/>
      <c r="N6607" s="41" t="str"/>
      <c r="O6607" s="41" t="str"/>
      <c r="P6607" s="41" t="str"/>
      <c r="Q6607" s="41" t="str"/>
      <c r="R6607" s="41" t="str"/>
      <c r="S6607" s="41" t="str"/>
      <c r="T6607" s="41" t="str"/>
      <c r="U6607" s="41" t="str"/>
      <c r="V6607" s="41" t="str"/>
      <c r="W6607" s="41" t="str"/>
    </row>
    <row r="6608">
      <c r="B6608" s="2" t="n"/>
      <c r="C6608" s="40" t="n"/>
      <c r="D6608" s="52">
        <f t="array" ref="D6608:W6608">IF(All_Students_Scores!C6606:V6606="","",All_Students_Scores!C6606:V6606)</f>
        <v/>
      </c>
      <c r="E6608" s="57" t="str"/>
      <c r="F6608" s="49" t="str"/>
      <c r="G6608" s="59" t="str"/>
      <c r="H6608" s="64" t="str"/>
      <c r="I6608" s="65" t="str"/>
      <c r="J6608" s="49" t="str"/>
      <c r="K6608" s="41" t="str"/>
      <c r="L6608" s="41" t="str"/>
      <c r="M6608" s="41" t="str"/>
      <c r="N6608" s="41" t="str"/>
      <c r="O6608" s="41" t="str"/>
      <c r="P6608" s="41" t="str"/>
      <c r="Q6608" s="41" t="str"/>
      <c r="R6608" s="41" t="str"/>
      <c r="S6608" s="41" t="str"/>
      <c r="T6608" s="41" t="str"/>
      <c r="U6608" s="41" t="str"/>
      <c r="V6608" s="41" t="str"/>
      <c r="W6608" s="41" t="str"/>
    </row>
    <row r="6609">
      <c r="B6609" s="2" t="n"/>
      <c r="C6609" s="40" t="n"/>
      <c r="D6609" s="52">
        <f t="array" ref="D6609:W6609">IF(All_Students_Scores!C6607:V6607="","",All_Students_Scores!C6607:V6607)</f>
        <v/>
      </c>
      <c r="E6609" s="57" t="str"/>
      <c r="F6609" s="49" t="str"/>
      <c r="G6609" s="59" t="str"/>
      <c r="H6609" s="64" t="str"/>
      <c r="I6609" s="65" t="str"/>
      <c r="J6609" s="49" t="str"/>
      <c r="K6609" s="41" t="str"/>
      <c r="L6609" s="41" t="str"/>
      <c r="M6609" s="41" t="str"/>
      <c r="N6609" s="41" t="str"/>
      <c r="O6609" s="41" t="str"/>
      <c r="P6609" s="41" t="str"/>
      <c r="Q6609" s="41" t="str"/>
      <c r="R6609" s="41" t="str"/>
      <c r="S6609" s="41" t="str"/>
      <c r="T6609" s="41" t="str"/>
      <c r="U6609" s="41" t="str"/>
      <c r="V6609" s="41" t="str"/>
      <c r="W6609" s="41" t="str"/>
    </row>
    <row r="6610">
      <c r="B6610" s="2" t="n"/>
      <c r="C6610" s="40" t="n"/>
      <c r="D6610" s="52">
        <f t="array" ref="D6610:W6610">IF(All_Students_Scores!C6608:V6608="","",All_Students_Scores!C6608:V6608)</f>
        <v/>
      </c>
      <c r="E6610" s="57" t="str"/>
      <c r="F6610" s="49" t="str"/>
      <c r="G6610" s="59" t="str"/>
      <c r="H6610" s="64" t="str"/>
      <c r="I6610" s="65" t="str"/>
      <c r="J6610" s="49" t="str"/>
      <c r="K6610" s="41" t="str"/>
      <c r="L6610" s="41" t="str"/>
      <c r="M6610" s="41" t="str"/>
      <c r="N6610" s="41" t="str"/>
      <c r="O6610" s="41" t="str"/>
      <c r="P6610" s="41" t="str"/>
      <c r="Q6610" s="41" t="str"/>
      <c r="R6610" s="41" t="str"/>
      <c r="S6610" s="41" t="str"/>
      <c r="T6610" s="41" t="str"/>
      <c r="U6610" s="41" t="str"/>
      <c r="V6610" s="41" t="str"/>
      <c r="W6610" s="41" t="str"/>
    </row>
    <row r="6611">
      <c r="B6611" s="2" t="n"/>
      <c r="C6611" s="40" t="n"/>
      <c r="D6611" s="52">
        <f t="array" ref="D6611:W6611">IF(All_Students_Scores!C6609:V6609="","",All_Students_Scores!C6609:V6609)</f>
        <v/>
      </c>
      <c r="E6611" s="57" t="str"/>
      <c r="F6611" s="49" t="str"/>
      <c r="G6611" s="59" t="str"/>
      <c r="H6611" s="64" t="str"/>
      <c r="I6611" s="65" t="str"/>
      <c r="J6611" s="49" t="str"/>
      <c r="K6611" s="41" t="str"/>
      <c r="L6611" s="41" t="str"/>
      <c r="M6611" s="41" t="str"/>
      <c r="N6611" s="41" t="str"/>
      <c r="O6611" s="41" t="str"/>
      <c r="P6611" s="41" t="str"/>
      <c r="Q6611" s="41" t="str"/>
      <c r="R6611" s="41" t="str"/>
      <c r="S6611" s="41" t="str"/>
      <c r="T6611" s="41" t="str"/>
      <c r="U6611" s="41" t="str"/>
      <c r="V6611" s="41" t="str"/>
      <c r="W6611" s="41" t="str"/>
    </row>
    <row r="6612">
      <c r="B6612" s="2" t="n"/>
      <c r="C6612" s="40" t="n"/>
      <c r="D6612" s="52">
        <f t="array" ref="D6612:W6612">IF(All_Students_Scores!C6610:V6610="","",All_Students_Scores!C6610:V6610)</f>
        <v/>
      </c>
      <c r="E6612" s="57" t="str"/>
      <c r="F6612" s="49" t="str"/>
      <c r="G6612" s="59" t="str"/>
      <c r="H6612" s="64" t="str"/>
      <c r="I6612" s="65" t="str"/>
      <c r="J6612" s="49" t="str"/>
      <c r="K6612" s="41" t="str"/>
      <c r="L6612" s="41" t="str"/>
      <c r="M6612" s="41" t="str"/>
      <c r="N6612" s="41" t="str"/>
      <c r="O6612" s="41" t="str"/>
      <c r="P6612" s="41" t="str"/>
      <c r="Q6612" s="41" t="str"/>
      <c r="R6612" s="41" t="str"/>
      <c r="S6612" s="41" t="str"/>
      <c r="T6612" s="41" t="str"/>
      <c r="U6612" s="41" t="str"/>
      <c r="V6612" s="41" t="str"/>
      <c r="W6612" s="41" t="str"/>
    </row>
    <row r="6613">
      <c r="B6613" s="2" t="n"/>
      <c r="C6613" s="40" t="n"/>
      <c r="D6613" s="52">
        <f t="array" ref="D6613:W6613">IF(All_Students_Scores!C6611:V6611="","",All_Students_Scores!C6611:V6611)</f>
        <v/>
      </c>
      <c r="E6613" s="57" t="str"/>
      <c r="F6613" s="49" t="str"/>
      <c r="G6613" s="59" t="str"/>
      <c r="H6613" s="64" t="str"/>
      <c r="I6613" s="65" t="str"/>
      <c r="J6613" s="49" t="str"/>
      <c r="K6613" s="41" t="str"/>
      <c r="L6613" s="41" t="str"/>
      <c r="M6613" s="41" t="str"/>
      <c r="N6613" s="41" t="str"/>
      <c r="O6613" s="41" t="str"/>
      <c r="P6613" s="41" t="str"/>
      <c r="Q6613" s="41" t="str"/>
      <c r="R6613" s="41" t="str"/>
      <c r="S6613" s="41" t="str"/>
      <c r="T6613" s="41" t="str"/>
      <c r="U6613" s="41" t="str"/>
      <c r="V6613" s="41" t="str"/>
      <c r="W6613" s="41" t="str"/>
    </row>
    <row r="6614">
      <c r="B6614" s="2" t="n"/>
      <c r="C6614" s="40" t="n"/>
      <c r="D6614" s="52">
        <f t="array" ref="D6614:W6614">IF(All_Students_Scores!C6612:V6612="","",All_Students_Scores!C6612:V6612)</f>
        <v/>
      </c>
      <c r="E6614" s="57" t="str"/>
      <c r="F6614" s="49" t="str"/>
      <c r="G6614" s="59" t="str"/>
      <c r="H6614" s="64" t="str"/>
      <c r="I6614" s="65" t="str"/>
      <c r="J6614" s="49" t="str"/>
      <c r="K6614" s="41" t="str"/>
      <c r="L6614" s="41" t="str"/>
      <c r="M6614" s="41" t="str"/>
      <c r="N6614" s="41" t="str"/>
      <c r="O6614" s="41" t="str"/>
      <c r="P6614" s="41" t="str"/>
      <c r="Q6614" s="41" t="str"/>
      <c r="R6614" s="41" t="str"/>
      <c r="S6614" s="41" t="str"/>
      <c r="T6614" s="41" t="str"/>
      <c r="U6614" s="41" t="str"/>
      <c r="V6614" s="41" t="str"/>
      <c r="W6614" s="41" t="str"/>
    </row>
    <row r="6615">
      <c r="B6615" s="2" t="n"/>
      <c r="C6615" s="40" t="n"/>
      <c r="D6615" s="52">
        <f t="array" ref="D6615:W6615">IF(All_Students_Scores!C6613:V6613="","",All_Students_Scores!C6613:V6613)</f>
        <v/>
      </c>
      <c r="E6615" s="57" t="str"/>
      <c r="F6615" s="49" t="str"/>
      <c r="G6615" s="59" t="str"/>
      <c r="H6615" s="64" t="str"/>
      <c r="I6615" s="65" t="str"/>
      <c r="J6615" s="49" t="str"/>
      <c r="K6615" s="41" t="str"/>
      <c r="L6615" s="41" t="str"/>
      <c r="M6615" s="41" t="str"/>
      <c r="N6615" s="41" t="str"/>
      <c r="O6615" s="41" t="str"/>
      <c r="P6615" s="41" t="str"/>
      <c r="Q6615" s="41" t="str"/>
      <c r="R6615" s="41" t="str"/>
      <c r="S6615" s="41" t="str"/>
      <c r="T6615" s="41" t="str"/>
      <c r="U6615" s="41" t="str"/>
      <c r="V6615" s="41" t="str"/>
      <c r="W6615" s="41" t="str"/>
    </row>
    <row r="6616">
      <c r="B6616" s="2" t="n"/>
      <c r="C6616" s="40" t="n"/>
      <c r="D6616" s="52">
        <f t="array" ref="D6616:W6616">IF(All_Students_Scores!C6614:V6614="","",All_Students_Scores!C6614:V6614)</f>
        <v/>
      </c>
      <c r="E6616" s="57" t="str"/>
      <c r="F6616" s="49" t="str"/>
      <c r="G6616" s="59" t="str"/>
      <c r="H6616" s="64" t="str"/>
      <c r="I6616" s="65" t="str"/>
      <c r="J6616" s="49" t="str"/>
      <c r="K6616" s="41" t="str"/>
      <c r="L6616" s="41" t="str"/>
      <c r="M6616" s="41" t="str"/>
      <c r="N6616" s="41" t="str"/>
      <c r="O6616" s="41" t="str"/>
      <c r="P6616" s="41" t="str"/>
      <c r="Q6616" s="41" t="str"/>
      <c r="R6616" s="41" t="str"/>
      <c r="S6616" s="41" t="str"/>
      <c r="T6616" s="41" t="str"/>
      <c r="U6616" s="41" t="str"/>
      <c r="V6616" s="41" t="str"/>
      <c r="W6616" s="41" t="str"/>
    </row>
    <row r="6617">
      <c r="B6617" s="2" t="n"/>
      <c r="C6617" s="40" t="n"/>
      <c r="D6617" s="52">
        <f t="array" ref="D6617:W6617">IF(All_Students_Scores!C6615:V6615="","",All_Students_Scores!C6615:V6615)</f>
        <v/>
      </c>
      <c r="E6617" s="57" t="str"/>
      <c r="F6617" s="49" t="str"/>
      <c r="G6617" s="59" t="str"/>
      <c r="H6617" s="64" t="str"/>
      <c r="I6617" s="65" t="str"/>
      <c r="J6617" s="49" t="str"/>
      <c r="K6617" s="41" t="str"/>
      <c r="L6617" s="41" t="str"/>
      <c r="M6617" s="41" t="str"/>
      <c r="N6617" s="41" t="str"/>
      <c r="O6617" s="41" t="str"/>
      <c r="P6617" s="41" t="str"/>
      <c r="Q6617" s="41" t="str"/>
      <c r="R6617" s="41" t="str"/>
      <c r="S6617" s="41" t="str"/>
      <c r="T6617" s="41" t="str"/>
      <c r="U6617" s="41" t="str"/>
      <c r="V6617" s="41" t="str"/>
      <c r="W6617" s="41" t="str"/>
    </row>
    <row r="6618">
      <c r="B6618" s="2" t="n"/>
      <c r="C6618" s="40" t="n"/>
      <c r="D6618" s="52">
        <f t="array" ref="D6618:W6618">IF(All_Students_Scores!C6616:V6616="","",All_Students_Scores!C6616:V6616)</f>
        <v/>
      </c>
      <c r="E6618" s="57" t="str"/>
      <c r="F6618" s="49" t="str"/>
      <c r="G6618" s="59" t="str"/>
      <c r="H6618" s="64" t="str"/>
      <c r="I6618" s="65" t="str"/>
      <c r="J6618" s="49" t="str"/>
      <c r="K6618" s="41" t="str"/>
      <c r="L6618" s="41" t="str"/>
      <c r="M6618" s="41" t="str"/>
      <c r="N6618" s="41" t="str"/>
      <c r="O6618" s="41" t="str"/>
      <c r="P6618" s="41" t="str"/>
      <c r="Q6618" s="41" t="str"/>
      <c r="R6618" s="41" t="str"/>
      <c r="S6618" s="41" t="str"/>
      <c r="T6618" s="41" t="str"/>
      <c r="U6618" s="41" t="str"/>
      <c r="V6618" s="41" t="str"/>
      <c r="W6618" s="41" t="str"/>
    </row>
    <row r="6619">
      <c r="B6619" s="2" t="n"/>
      <c r="C6619" s="40" t="n"/>
      <c r="D6619" s="52">
        <f t="array" ref="D6619:W6619">IF(All_Students_Scores!C6617:V6617="","",All_Students_Scores!C6617:V6617)</f>
        <v/>
      </c>
      <c r="E6619" s="57" t="str"/>
      <c r="F6619" s="49" t="str"/>
      <c r="G6619" s="59" t="str"/>
      <c r="H6619" s="64" t="str"/>
      <c r="I6619" s="65" t="str"/>
      <c r="J6619" s="49" t="str"/>
      <c r="K6619" s="41" t="str"/>
      <c r="L6619" s="41" t="str"/>
      <c r="M6619" s="41" t="str"/>
      <c r="N6619" s="41" t="str"/>
      <c r="O6619" s="41" t="str"/>
      <c r="P6619" s="41" t="str"/>
      <c r="Q6619" s="41" t="str"/>
      <c r="R6619" s="41" t="str"/>
      <c r="S6619" s="41" t="str"/>
      <c r="T6619" s="41" t="str"/>
      <c r="U6619" s="41" t="str"/>
      <c r="V6619" s="41" t="str"/>
      <c r="W6619" s="41" t="str"/>
    </row>
    <row r="6620">
      <c r="B6620" s="2" t="n"/>
      <c r="C6620" s="40" t="n"/>
      <c r="D6620" s="52">
        <f t="array" ref="D6620:W6620">IF(All_Students_Scores!C6618:V6618="","",All_Students_Scores!C6618:V6618)</f>
        <v/>
      </c>
      <c r="E6620" s="57" t="str"/>
      <c r="F6620" s="49" t="str"/>
      <c r="G6620" s="59" t="str"/>
      <c r="H6620" s="64" t="str"/>
      <c r="I6620" s="65" t="str"/>
      <c r="J6620" s="49" t="str"/>
      <c r="K6620" s="41" t="str"/>
      <c r="L6620" s="41" t="str"/>
      <c r="M6620" s="41" t="str"/>
      <c r="N6620" s="41" t="str"/>
      <c r="O6620" s="41" t="str"/>
      <c r="P6620" s="41" t="str"/>
      <c r="Q6620" s="41" t="str"/>
      <c r="R6620" s="41" t="str"/>
      <c r="S6620" s="41" t="str"/>
      <c r="T6620" s="41" t="str"/>
      <c r="U6620" s="41" t="str"/>
      <c r="V6620" s="41" t="str"/>
      <c r="W6620" s="41" t="str"/>
    </row>
    <row r="6621">
      <c r="B6621" s="2" t="n"/>
      <c r="C6621" s="40" t="n"/>
      <c r="D6621" s="52">
        <f t="array" ref="D6621:W6621">IF(All_Students_Scores!C6619:V6619="","",All_Students_Scores!C6619:V6619)</f>
        <v/>
      </c>
      <c r="E6621" s="57" t="str"/>
      <c r="F6621" s="49" t="str"/>
      <c r="G6621" s="59" t="str"/>
      <c r="H6621" s="64" t="str"/>
      <c r="I6621" s="65" t="str"/>
      <c r="J6621" s="49" t="str"/>
      <c r="K6621" s="41" t="str"/>
      <c r="L6621" s="41" t="str"/>
      <c r="M6621" s="41" t="str"/>
      <c r="N6621" s="41" t="str"/>
      <c r="O6621" s="41" t="str"/>
      <c r="P6621" s="41" t="str"/>
      <c r="Q6621" s="41" t="str"/>
      <c r="R6621" s="41" t="str"/>
      <c r="S6621" s="41" t="str"/>
      <c r="T6621" s="41" t="str"/>
      <c r="U6621" s="41" t="str"/>
      <c r="V6621" s="41" t="str"/>
      <c r="W6621" s="41" t="str"/>
    </row>
    <row r="6622">
      <c r="B6622" s="2" t="n"/>
      <c r="C6622" s="40" t="n"/>
      <c r="D6622" s="52">
        <f t="array" ref="D6622:W6622">IF(All_Students_Scores!C6620:V6620="","",All_Students_Scores!C6620:V6620)</f>
        <v/>
      </c>
      <c r="E6622" s="57" t="str"/>
      <c r="F6622" s="49" t="str"/>
      <c r="G6622" s="59" t="str"/>
      <c r="H6622" s="64" t="str"/>
      <c r="I6622" s="65" t="str"/>
      <c r="J6622" s="49" t="str"/>
      <c r="K6622" s="41" t="str"/>
      <c r="L6622" s="41" t="str"/>
      <c r="M6622" s="41" t="str"/>
      <c r="N6622" s="41" t="str"/>
      <c r="O6622" s="41" t="str"/>
      <c r="P6622" s="41" t="str"/>
      <c r="Q6622" s="41" t="str"/>
      <c r="R6622" s="41" t="str"/>
      <c r="S6622" s="41" t="str"/>
      <c r="T6622" s="41" t="str"/>
      <c r="U6622" s="41" t="str"/>
      <c r="V6622" s="41" t="str"/>
      <c r="W6622" s="41" t="str"/>
    </row>
    <row r="6623">
      <c r="B6623" s="2" t="n"/>
      <c r="C6623" s="40" t="n"/>
      <c r="D6623" s="52">
        <f t="array" ref="D6623:W6623">IF(All_Students_Scores!C6621:V6621="","",All_Students_Scores!C6621:V6621)</f>
        <v/>
      </c>
      <c r="E6623" s="57" t="str"/>
      <c r="F6623" s="49" t="str"/>
      <c r="G6623" s="59" t="str"/>
      <c r="H6623" s="64" t="str"/>
      <c r="I6623" s="65" t="str"/>
      <c r="J6623" s="49" t="str"/>
      <c r="K6623" s="41" t="str"/>
      <c r="L6623" s="41" t="str"/>
      <c r="M6623" s="41" t="str"/>
      <c r="N6623" s="41" t="str"/>
      <c r="O6623" s="41" t="str"/>
      <c r="P6623" s="41" t="str"/>
      <c r="Q6623" s="41" t="str"/>
      <c r="R6623" s="41" t="str"/>
      <c r="S6623" s="41" t="str"/>
      <c r="T6623" s="41" t="str"/>
      <c r="U6623" s="41" t="str"/>
      <c r="V6623" s="41" t="str"/>
      <c r="W6623" s="41" t="str"/>
    </row>
    <row r="6624">
      <c r="B6624" s="2" t="n"/>
      <c r="C6624" s="40" t="n"/>
      <c r="D6624" s="52">
        <f t="array" ref="D6624:W6624">IF(All_Students_Scores!C6622:V6622="","",All_Students_Scores!C6622:V6622)</f>
        <v/>
      </c>
      <c r="E6624" s="57" t="str"/>
      <c r="F6624" s="49" t="str"/>
      <c r="G6624" s="59" t="str"/>
      <c r="H6624" s="64" t="str"/>
      <c r="I6624" s="65" t="str"/>
      <c r="J6624" s="49" t="str"/>
      <c r="K6624" s="41" t="str"/>
      <c r="L6624" s="41" t="str"/>
      <c r="M6624" s="41" t="str"/>
      <c r="N6624" s="41" t="str"/>
      <c r="O6624" s="41" t="str"/>
      <c r="P6624" s="41" t="str"/>
      <c r="Q6624" s="41" t="str"/>
      <c r="R6624" s="41" t="str"/>
      <c r="S6624" s="41" t="str"/>
      <c r="T6624" s="41" t="str"/>
      <c r="U6624" s="41" t="str"/>
      <c r="V6624" s="41" t="str"/>
      <c r="W6624" s="41" t="str"/>
    </row>
    <row r="6625">
      <c r="B6625" s="2" t="n"/>
      <c r="C6625" s="40" t="n"/>
      <c r="D6625" s="52">
        <f t="array" ref="D6625:W6625">IF(All_Students_Scores!C6623:V6623="","",All_Students_Scores!C6623:V6623)</f>
        <v/>
      </c>
      <c r="E6625" s="57" t="str"/>
      <c r="F6625" s="49" t="str"/>
      <c r="G6625" s="59" t="str"/>
      <c r="H6625" s="64" t="str"/>
      <c r="I6625" s="65" t="str"/>
      <c r="J6625" s="49" t="str"/>
      <c r="K6625" s="41" t="str"/>
      <c r="L6625" s="41" t="str"/>
      <c r="M6625" s="41" t="str"/>
      <c r="N6625" s="41" t="str"/>
      <c r="O6625" s="41" t="str"/>
      <c r="P6625" s="41" t="str"/>
      <c r="Q6625" s="41" t="str"/>
      <c r="R6625" s="41" t="str"/>
      <c r="S6625" s="41" t="str"/>
      <c r="T6625" s="41" t="str"/>
      <c r="U6625" s="41" t="str"/>
      <c r="V6625" s="41" t="str"/>
      <c r="W6625" s="41" t="str"/>
    </row>
    <row r="6626">
      <c r="B6626" s="2" t="n"/>
      <c r="C6626" s="40" t="n"/>
      <c r="D6626" s="52">
        <f t="array" ref="D6626:W6626">IF(All_Students_Scores!C6624:V6624="","",All_Students_Scores!C6624:V6624)</f>
        <v/>
      </c>
      <c r="E6626" s="57" t="str"/>
      <c r="F6626" s="49" t="str"/>
      <c r="G6626" s="59" t="str"/>
      <c r="H6626" s="64" t="str"/>
      <c r="I6626" s="65" t="str"/>
      <c r="J6626" s="49" t="str"/>
      <c r="K6626" s="41" t="str"/>
      <c r="L6626" s="41" t="str"/>
      <c r="M6626" s="41" t="str"/>
      <c r="N6626" s="41" t="str"/>
      <c r="O6626" s="41" t="str"/>
      <c r="P6626" s="41" t="str"/>
      <c r="Q6626" s="41" t="str"/>
      <c r="R6626" s="41" t="str"/>
      <c r="S6626" s="41" t="str"/>
      <c r="T6626" s="41" t="str"/>
      <c r="U6626" s="41" t="str"/>
      <c r="V6626" s="41" t="str"/>
      <c r="W6626" s="41" t="str"/>
    </row>
    <row r="6627">
      <c r="B6627" s="2" t="n"/>
      <c r="C6627" s="40" t="n"/>
      <c r="D6627" s="52">
        <f t="array" ref="D6627:W6627">IF(All_Students_Scores!C6625:V6625="","",All_Students_Scores!C6625:V6625)</f>
        <v/>
      </c>
      <c r="E6627" s="57" t="str"/>
      <c r="F6627" s="49" t="str"/>
      <c r="G6627" s="59" t="str"/>
      <c r="H6627" s="64" t="str"/>
      <c r="I6627" s="65" t="str"/>
      <c r="J6627" s="49" t="str"/>
      <c r="K6627" s="41" t="str"/>
      <c r="L6627" s="41" t="str"/>
      <c r="M6627" s="41" t="str"/>
      <c r="N6627" s="41" t="str"/>
      <c r="O6627" s="41" t="str"/>
      <c r="P6627" s="41" t="str"/>
      <c r="Q6627" s="41" t="str"/>
      <c r="R6627" s="41" t="str"/>
      <c r="S6627" s="41" t="str"/>
      <c r="T6627" s="41" t="str"/>
      <c r="U6627" s="41" t="str"/>
      <c r="V6627" s="41" t="str"/>
      <c r="W6627" s="41" t="str"/>
    </row>
    <row r="6628">
      <c r="B6628" s="2" t="n"/>
      <c r="C6628" s="40" t="n"/>
      <c r="D6628" s="52">
        <f t="array" ref="D6628:W6628">IF(All_Students_Scores!C6626:V6626="","",All_Students_Scores!C6626:V6626)</f>
        <v/>
      </c>
      <c r="E6628" s="57" t="str"/>
      <c r="F6628" s="49" t="str"/>
      <c r="G6628" s="59" t="str"/>
      <c r="H6628" s="64" t="str"/>
      <c r="I6628" s="65" t="str"/>
      <c r="J6628" s="49" t="str"/>
      <c r="K6628" s="41" t="str"/>
      <c r="L6628" s="41" t="str"/>
      <c r="M6628" s="41" t="str"/>
      <c r="N6628" s="41" t="str"/>
      <c r="O6628" s="41" t="str"/>
      <c r="P6628" s="41" t="str"/>
      <c r="Q6628" s="41" t="str"/>
      <c r="R6628" s="41" t="str"/>
      <c r="S6628" s="41" t="str"/>
      <c r="T6628" s="41" t="str"/>
      <c r="U6628" s="41" t="str"/>
      <c r="V6628" s="41" t="str"/>
      <c r="W6628" s="41" t="str"/>
    </row>
    <row r="6629">
      <c r="B6629" s="2" t="n"/>
      <c r="C6629" s="40" t="n"/>
      <c r="D6629" s="52">
        <f t="array" ref="D6629:W6629">IF(All_Students_Scores!C6627:V6627="","",All_Students_Scores!C6627:V6627)</f>
        <v/>
      </c>
      <c r="E6629" s="57" t="str"/>
      <c r="F6629" s="49" t="str"/>
      <c r="G6629" s="59" t="str"/>
      <c r="H6629" s="64" t="str"/>
      <c r="I6629" s="65" t="str"/>
      <c r="J6629" s="49" t="str"/>
      <c r="K6629" s="41" t="str"/>
      <c r="L6629" s="41" t="str"/>
      <c r="M6629" s="41" t="str"/>
      <c r="N6629" s="41" t="str"/>
      <c r="O6629" s="41" t="str"/>
      <c r="P6629" s="41" t="str"/>
      <c r="Q6629" s="41" t="str"/>
      <c r="R6629" s="41" t="str"/>
      <c r="S6629" s="41" t="str"/>
      <c r="T6629" s="41" t="str"/>
      <c r="U6629" s="41" t="str"/>
      <c r="V6629" s="41" t="str"/>
      <c r="W6629" s="41" t="str"/>
    </row>
    <row r="6630">
      <c r="B6630" s="2" t="n"/>
      <c r="C6630" s="40" t="n"/>
      <c r="D6630" s="52">
        <f t="array" ref="D6630:W6630">IF(All_Students_Scores!C6628:V6628="","",All_Students_Scores!C6628:V6628)</f>
        <v/>
      </c>
      <c r="E6630" s="57" t="str"/>
      <c r="F6630" s="49" t="str"/>
      <c r="G6630" s="59" t="str"/>
      <c r="H6630" s="64" t="str"/>
      <c r="I6630" s="65" t="str"/>
      <c r="J6630" s="49" t="str"/>
      <c r="K6630" s="41" t="str"/>
      <c r="L6630" s="41" t="str"/>
      <c r="M6630" s="41" t="str"/>
      <c r="N6630" s="41" t="str"/>
      <c r="O6630" s="41" t="str"/>
      <c r="P6630" s="41" t="str"/>
      <c r="Q6630" s="41" t="str"/>
      <c r="R6630" s="41" t="str"/>
      <c r="S6630" s="41" t="str"/>
      <c r="T6630" s="41" t="str"/>
      <c r="U6630" s="41" t="str"/>
      <c r="V6630" s="41" t="str"/>
      <c r="W6630" s="41" t="str"/>
    </row>
    <row r="6631">
      <c r="B6631" s="2" t="n"/>
      <c r="C6631" s="40" t="n"/>
      <c r="D6631" s="52">
        <f t="array" ref="D6631:W6631">IF(All_Students_Scores!C6629:V6629="","",All_Students_Scores!C6629:V6629)</f>
        <v/>
      </c>
      <c r="E6631" s="57" t="str"/>
      <c r="F6631" s="49" t="str"/>
      <c r="G6631" s="59" t="str"/>
      <c r="H6631" s="64" t="str"/>
      <c r="I6631" s="65" t="str"/>
      <c r="J6631" s="49" t="str"/>
      <c r="K6631" s="41" t="str"/>
      <c r="L6631" s="41" t="str"/>
      <c r="M6631" s="41" t="str"/>
      <c r="N6631" s="41" t="str"/>
      <c r="O6631" s="41" t="str"/>
      <c r="P6631" s="41" t="str"/>
      <c r="Q6631" s="41" t="str"/>
      <c r="R6631" s="41" t="str"/>
      <c r="S6631" s="41" t="str"/>
      <c r="T6631" s="41" t="str"/>
      <c r="U6631" s="41" t="str"/>
      <c r="V6631" s="41" t="str"/>
      <c r="W6631" s="41" t="str"/>
    </row>
    <row r="6632">
      <c r="B6632" s="2" t="n"/>
      <c r="C6632" s="40" t="n"/>
      <c r="D6632" s="52">
        <f t="array" ref="D6632:W6632">IF(All_Students_Scores!C6630:V6630="","",All_Students_Scores!C6630:V6630)</f>
        <v/>
      </c>
      <c r="E6632" s="57" t="str"/>
      <c r="F6632" s="49" t="str"/>
      <c r="G6632" s="59" t="str"/>
      <c r="H6632" s="64" t="str"/>
      <c r="I6632" s="65" t="str"/>
      <c r="J6632" s="49" t="str"/>
      <c r="K6632" s="41" t="str"/>
      <c r="L6632" s="41" t="str"/>
      <c r="M6632" s="41" t="str"/>
      <c r="N6632" s="41" t="str"/>
      <c r="O6632" s="41" t="str"/>
      <c r="P6632" s="41" t="str"/>
      <c r="Q6632" s="41" t="str"/>
      <c r="R6632" s="41" t="str"/>
      <c r="S6632" s="41" t="str"/>
      <c r="T6632" s="41" t="str"/>
      <c r="U6632" s="41" t="str"/>
      <c r="V6632" s="41" t="str"/>
      <c r="W6632" s="41" t="str"/>
    </row>
    <row r="6633">
      <c r="B6633" s="2" t="n"/>
      <c r="C6633" s="40" t="n"/>
      <c r="D6633" s="52">
        <f t="array" ref="D6633:W6633">IF(All_Students_Scores!C6631:V6631="","",All_Students_Scores!C6631:V6631)</f>
        <v/>
      </c>
      <c r="E6633" s="57" t="str"/>
      <c r="F6633" s="49" t="str"/>
      <c r="G6633" s="59" t="str"/>
      <c r="H6633" s="64" t="str"/>
      <c r="I6633" s="65" t="str"/>
      <c r="J6633" s="49" t="str"/>
      <c r="K6633" s="41" t="str"/>
      <c r="L6633" s="41" t="str"/>
      <c r="M6633" s="41" t="str"/>
      <c r="N6633" s="41" t="str"/>
      <c r="O6633" s="41" t="str"/>
      <c r="P6633" s="41" t="str"/>
      <c r="Q6633" s="41" t="str"/>
      <c r="R6633" s="41" t="str"/>
      <c r="S6633" s="41" t="str"/>
      <c r="T6633" s="41" t="str"/>
      <c r="U6633" s="41" t="str"/>
      <c r="V6633" s="41" t="str"/>
      <c r="W6633" s="41" t="str"/>
    </row>
    <row r="6634">
      <c r="B6634" s="2" t="n"/>
      <c r="C6634" s="40" t="n"/>
      <c r="D6634" s="52">
        <f t="array" ref="D6634:W6634">IF(All_Students_Scores!C6632:V6632="","",All_Students_Scores!C6632:V6632)</f>
        <v/>
      </c>
      <c r="E6634" s="57" t="str"/>
      <c r="F6634" s="49" t="str"/>
      <c r="G6634" s="59" t="str"/>
      <c r="H6634" s="64" t="str"/>
      <c r="I6634" s="65" t="str"/>
      <c r="J6634" s="49" t="str"/>
      <c r="K6634" s="41" t="str"/>
      <c r="L6634" s="41" t="str"/>
      <c r="M6634" s="41" t="str"/>
      <c r="N6634" s="41" t="str"/>
      <c r="O6634" s="41" t="str"/>
      <c r="P6634" s="41" t="str"/>
      <c r="Q6634" s="41" t="str"/>
      <c r="R6634" s="41" t="str"/>
      <c r="S6634" s="41" t="str"/>
      <c r="T6634" s="41" t="str"/>
      <c r="U6634" s="41" t="str"/>
      <c r="V6634" s="41" t="str"/>
      <c r="W6634" s="41" t="str"/>
    </row>
    <row r="6635">
      <c r="B6635" s="2" t="n"/>
      <c r="C6635" s="40" t="n"/>
      <c r="D6635" s="52">
        <f t="array" ref="D6635:W6635">IF(All_Students_Scores!C6633:V6633="","",All_Students_Scores!C6633:V6633)</f>
        <v/>
      </c>
      <c r="E6635" s="57" t="str"/>
      <c r="F6635" s="49" t="str"/>
      <c r="G6635" s="59" t="str"/>
      <c r="H6635" s="64" t="str"/>
      <c r="I6635" s="65" t="str"/>
      <c r="J6635" s="49" t="str"/>
      <c r="K6635" s="41" t="str"/>
      <c r="L6635" s="41" t="str"/>
      <c r="M6635" s="41" t="str"/>
      <c r="N6635" s="41" t="str"/>
      <c r="O6635" s="41" t="str"/>
      <c r="P6635" s="41" t="str"/>
      <c r="Q6635" s="41" t="str"/>
      <c r="R6635" s="41" t="str"/>
      <c r="S6635" s="41" t="str"/>
      <c r="T6635" s="41" t="str"/>
      <c r="U6635" s="41" t="str"/>
      <c r="V6635" s="41" t="str"/>
      <c r="W6635" s="41" t="str"/>
    </row>
    <row r="6636">
      <c r="B6636" s="2" t="n"/>
      <c r="C6636" s="40" t="n"/>
      <c r="D6636" s="52">
        <f t="array" ref="D6636:W6636">IF(All_Students_Scores!C6634:V6634="","",All_Students_Scores!C6634:V6634)</f>
        <v/>
      </c>
      <c r="E6636" s="57" t="str"/>
      <c r="F6636" s="49" t="str"/>
      <c r="G6636" s="59" t="str"/>
      <c r="H6636" s="64" t="str"/>
      <c r="I6636" s="65" t="str"/>
      <c r="J6636" s="49" t="str"/>
      <c r="K6636" s="41" t="str"/>
      <c r="L6636" s="41" t="str"/>
      <c r="M6636" s="41" t="str"/>
      <c r="N6636" s="41" t="str"/>
      <c r="O6636" s="41" t="str"/>
      <c r="P6636" s="41" t="str"/>
      <c r="Q6636" s="41" t="str"/>
      <c r="R6636" s="41" t="str"/>
      <c r="S6636" s="41" t="str"/>
      <c r="T6636" s="41" t="str"/>
      <c r="U6636" s="41" t="str"/>
      <c r="V6636" s="41" t="str"/>
      <c r="W6636" s="41" t="str"/>
    </row>
    <row r="6637">
      <c r="B6637" s="2" t="n"/>
      <c r="C6637" s="40" t="n"/>
      <c r="D6637" s="52">
        <f t="array" ref="D6637:W6637">IF(All_Students_Scores!C6635:V6635="","",All_Students_Scores!C6635:V6635)</f>
        <v/>
      </c>
      <c r="E6637" s="57" t="str"/>
      <c r="F6637" s="49" t="str"/>
      <c r="G6637" s="59" t="str"/>
      <c r="H6637" s="64" t="str"/>
      <c r="I6637" s="65" t="str"/>
      <c r="J6637" s="49" t="str"/>
      <c r="K6637" s="41" t="str"/>
      <c r="L6637" s="41" t="str"/>
      <c r="M6637" s="41" t="str"/>
      <c r="N6637" s="41" t="str"/>
      <c r="O6637" s="41" t="str"/>
      <c r="P6637" s="41" t="str"/>
      <c r="Q6637" s="41" t="str"/>
      <c r="R6637" s="41" t="str"/>
      <c r="S6637" s="41" t="str"/>
      <c r="T6637" s="41" t="str"/>
      <c r="U6637" s="41" t="str"/>
      <c r="V6637" s="41" t="str"/>
      <c r="W6637" s="41" t="str"/>
    </row>
    <row r="6638">
      <c r="B6638" s="2" t="n"/>
      <c r="C6638" s="40" t="n"/>
      <c r="D6638" s="52">
        <f t="array" ref="D6638:W6638">IF(All_Students_Scores!C6636:V6636="","",All_Students_Scores!C6636:V6636)</f>
        <v/>
      </c>
      <c r="E6638" s="57" t="str"/>
      <c r="F6638" s="49" t="str"/>
      <c r="G6638" s="59" t="str"/>
      <c r="H6638" s="64" t="str"/>
      <c r="I6638" s="65" t="str"/>
      <c r="J6638" s="49" t="str"/>
      <c r="K6638" s="41" t="str"/>
      <c r="L6638" s="41" t="str"/>
      <c r="M6638" s="41" t="str"/>
      <c r="N6638" s="41" t="str"/>
      <c r="O6638" s="41" t="str"/>
      <c r="P6638" s="41" t="str"/>
      <c r="Q6638" s="41" t="str"/>
      <c r="R6638" s="41" t="str"/>
      <c r="S6638" s="41" t="str"/>
      <c r="T6638" s="41" t="str"/>
      <c r="U6638" s="41" t="str"/>
      <c r="V6638" s="41" t="str"/>
      <c r="W6638" s="41" t="str"/>
    </row>
    <row r="6639">
      <c r="B6639" s="2" t="n"/>
      <c r="C6639" s="40" t="n"/>
      <c r="D6639" s="52">
        <f t="array" ref="D6639:W6639">IF(All_Students_Scores!C6637:V6637="","",All_Students_Scores!C6637:V6637)</f>
        <v/>
      </c>
      <c r="E6639" s="57" t="str"/>
      <c r="F6639" s="49" t="str"/>
      <c r="G6639" s="59" t="str"/>
      <c r="H6639" s="64" t="str"/>
      <c r="I6639" s="65" t="str"/>
      <c r="J6639" s="49" t="str"/>
      <c r="K6639" s="41" t="str"/>
      <c r="L6639" s="41" t="str"/>
      <c r="M6639" s="41" t="str"/>
      <c r="N6639" s="41" t="str"/>
      <c r="O6639" s="41" t="str"/>
      <c r="P6639" s="41" t="str"/>
      <c r="Q6639" s="41" t="str"/>
      <c r="R6639" s="41" t="str"/>
      <c r="S6639" s="41" t="str"/>
      <c r="T6639" s="41" t="str"/>
      <c r="U6639" s="41" t="str"/>
      <c r="V6639" s="41" t="str"/>
      <c r="W6639" s="41" t="str"/>
    </row>
    <row r="6640">
      <c r="B6640" s="2" t="n"/>
      <c r="C6640" s="40" t="n"/>
      <c r="D6640" s="52">
        <f t="array" ref="D6640:W6640">IF(All_Students_Scores!C6638:V6638="","",All_Students_Scores!C6638:V6638)</f>
        <v/>
      </c>
      <c r="E6640" s="57" t="str"/>
      <c r="F6640" s="49" t="str"/>
      <c r="G6640" s="59" t="str"/>
      <c r="H6640" s="64" t="str"/>
      <c r="I6640" s="65" t="str"/>
      <c r="J6640" s="49" t="str"/>
      <c r="K6640" s="41" t="str"/>
      <c r="L6640" s="41" t="str"/>
      <c r="M6640" s="41" t="str"/>
      <c r="N6640" s="41" t="str"/>
      <c r="O6640" s="41" t="str"/>
      <c r="P6640" s="41" t="str"/>
      <c r="Q6640" s="41" t="str"/>
      <c r="R6640" s="41" t="str"/>
      <c r="S6640" s="41" t="str"/>
      <c r="T6640" s="41" t="str"/>
      <c r="U6640" s="41" t="str"/>
      <c r="V6640" s="41" t="str"/>
      <c r="W6640" s="41" t="str"/>
    </row>
    <row r="6641">
      <c r="B6641" s="2" t="n"/>
      <c r="C6641" s="40" t="n"/>
      <c r="D6641" s="52">
        <f t="array" ref="D6641:W6641">IF(All_Students_Scores!C6639:V6639="","",All_Students_Scores!C6639:V6639)</f>
        <v/>
      </c>
      <c r="E6641" s="57" t="str"/>
      <c r="F6641" s="49" t="str"/>
      <c r="G6641" s="59" t="str"/>
      <c r="H6641" s="64" t="str"/>
      <c r="I6641" s="65" t="str"/>
      <c r="J6641" s="49" t="str"/>
      <c r="K6641" s="41" t="str"/>
      <c r="L6641" s="41" t="str"/>
      <c r="M6641" s="41" t="str"/>
      <c r="N6641" s="41" t="str"/>
      <c r="O6641" s="41" t="str"/>
      <c r="P6641" s="41" t="str"/>
      <c r="Q6641" s="41" t="str"/>
      <c r="R6641" s="41" t="str"/>
      <c r="S6641" s="41" t="str"/>
      <c r="T6641" s="41" t="str"/>
      <c r="U6641" s="41" t="str"/>
      <c r="V6641" s="41" t="str"/>
      <c r="W6641" s="41" t="str"/>
    </row>
    <row r="6642">
      <c r="B6642" s="2" t="n"/>
      <c r="C6642" s="40" t="n"/>
      <c r="D6642" s="52">
        <f t="array" ref="D6642:W6642">IF(All_Students_Scores!C6640:V6640="","",All_Students_Scores!C6640:V6640)</f>
        <v/>
      </c>
      <c r="E6642" s="57" t="str"/>
      <c r="F6642" s="49" t="str"/>
      <c r="G6642" s="59" t="str"/>
      <c r="H6642" s="64" t="str"/>
      <c r="I6642" s="65" t="str"/>
      <c r="J6642" s="49" t="str"/>
      <c r="K6642" s="41" t="str"/>
      <c r="L6642" s="41" t="str"/>
      <c r="M6642" s="41" t="str"/>
      <c r="N6642" s="41" t="str"/>
      <c r="O6642" s="41" t="str"/>
      <c r="P6642" s="41" t="str"/>
      <c r="Q6642" s="41" t="str"/>
      <c r="R6642" s="41" t="str"/>
      <c r="S6642" s="41" t="str"/>
      <c r="T6642" s="41" t="str"/>
      <c r="U6642" s="41" t="str"/>
      <c r="V6642" s="41" t="str"/>
      <c r="W6642" s="41" t="str"/>
    </row>
    <row r="6643">
      <c r="B6643" s="2" t="n"/>
      <c r="C6643" s="40" t="n"/>
      <c r="D6643" s="52">
        <f t="array" ref="D6643:W6643">IF(All_Students_Scores!C6641:V6641="","",All_Students_Scores!C6641:V6641)</f>
        <v/>
      </c>
      <c r="E6643" s="57" t="str"/>
      <c r="F6643" s="49" t="str"/>
      <c r="G6643" s="59" t="str"/>
      <c r="H6643" s="64" t="str"/>
      <c r="I6643" s="65" t="str"/>
      <c r="J6643" s="49" t="str"/>
      <c r="K6643" s="41" t="str"/>
      <c r="L6643" s="41" t="str"/>
      <c r="M6643" s="41" t="str"/>
      <c r="N6643" s="41" t="str"/>
      <c r="O6643" s="41" t="str"/>
      <c r="P6643" s="41" t="str"/>
      <c r="Q6643" s="41" t="str"/>
      <c r="R6643" s="41" t="str"/>
      <c r="S6643" s="41" t="str"/>
      <c r="T6643" s="41" t="str"/>
      <c r="U6643" s="41" t="str"/>
      <c r="V6643" s="41" t="str"/>
      <c r="W6643" s="41" t="str"/>
    </row>
    <row r="6644">
      <c r="B6644" s="2" t="n"/>
      <c r="C6644" s="40" t="n"/>
      <c r="D6644" s="52">
        <f t="array" ref="D6644:W6644">IF(All_Students_Scores!C6642:V6642="","",All_Students_Scores!C6642:V6642)</f>
        <v/>
      </c>
      <c r="E6644" s="57" t="str"/>
      <c r="F6644" s="49" t="str"/>
      <c r="G6644" s="59" t="str"/>
      <c r="H6644" s="64" t="str"/>
      <c r="I6644" s="65" t="str"/>
      <c r="J6644" s="49" t="str"/>
      <c r="K6644" s="41" t="str"/>
      <c r="L6644" s="41" t="str"/>
      <c r="M6644" s="41" t="str"/>
      <c r="N6644" s="41" t="str"/>
      <c r="O6644" s="41" t="str"/>
      <c r="P6644" s="41" t="str"/>
      <c r="Q6644" s="41" t="str"/>
      <c r="R6644" s="41" t="str"/>
      <c r="S6644" s="41" t="str"/>
      <c r="T6644" s="41" t="str"/>
      <c r="U6644" s="41" t="str"/>
      <c r="V6644" s="41" t="str"/>
      <c r="W6644" s="41" t="str"/>
    </row>
    <row r="6645">
      <c r="B6645" s="2" t="n"/>
      <c r="C6645" s="40" t="n"/>
      <c r="D6645" s="52">
        <f t="array" ref="D6645:W6645">IF(All_Students_Scores!C6643:V6643="","",All_Students_Scores!C6643:V6643)</f>
        <v/>
      </c>
      <c r="E6645" s="57" t="str"/>
      <c r="F6645" s="49" t="str"/>
      <c r="G6645" s="59" t="str"/>
      <c r="H6645" s="64" t="str"/>
      <c r="I6645" s="65" t="str"/>
      <c r="J6645" s="49" t="str"/>
      <c r="K6645" s="41" t="str"/>
      <c r="L6645" s="41" t="str"/>
      <c r="M6645" s="41" t="str"/>
      <c r="N6645" s="41" t="str"/>
      <c r="O6645" s="41" t="str"/>
      <c r="P6645" s="41" t="str"/>
      <c r="Q6645" s="41" t="str"/>
      <c r="R6645" s="41" t="str"/>
      <c r="S6645" s="41" t="str"/>
      <c r="T6645" s="41" t="str"/>
      <c r="U6645" s="41" t="str"/>
      <c r="V6645" s="41" t="str"/>
      <c r="W6645" s="41" t="str"/>
    </row>
    <row r="6646">
      <c r="B6646" s="2" t="n"/>
      <c r="C6646" s="40" t="n"/>
      <c r="D6646" s="52">
        <f t="array" ref="D6646:W6646">IF(All_Students_Scores!C6644:V6644="","",All_Students_Scores!C6644:V6644)</f>
        <v/>
      </c>
      <c r="E6646" s="57" t="str"/>
      <c r="F6646" s="49" t="str"/>
      <c r="G6646" s="59" t="str"/>
      <c r="H6646" s="64" t="str"/>
      <c r="I6646" s="65" t="str"/>
      <c r="J6646" s="49" t="str"/>
      <c r="K6646" s="41" t="str"/>
      <c r="L6646" s="41" t="str"/>
      <c r="M6646" s="41" t="str"/>
      <c r="N6646" s="41" t="str"/>
      <c r="O6646" s="41" t="str"/>
      <c r="P6646" s="41" t="str"/>
      <c r="Q6646" s="41" t="str"/>
      <c r="R6646" s="41" t="str"/>
      <c r="S6646" s="41" t="str"/>
      <c r="T6646" s="41" t="str"/>
      <c r="U6646" s="41" t="str"/>
      <c r="V6646" s="41" t="str"/>
      <c r="W6646" s="41" t="str"/>
    </row>
    <row r="6647">
      <c r="B6647" s="2" t="n"/>
      <c r="C6647" s="40" t="n"/>
      <c r="D6647" s="52">
        <f t="array" ref="D6647:W6647">IF(All_Students_Scores!C6645:V6645="","",All_Students_Scores!C6645:V6645)</f>
        <v/>
      </c>
      <c r="E6647" s="57" t="str"/>
      <c r="F6647" s="49" t="str"/>
      <c r="G6647" s="59" t="str"/>
      <c r="H6647" s="64" t="str"/>
      <c r="I6647" s="65" t="str"/>
      <c r="J6647" s="49" t="str"/>
      <c r="K6647" s="41" t="str"/>
      <c r="L6647" s="41" t="str"/>
      <c r="M6647" s="41" t="str"/>
      <c r="N6647" s="41" t="str"/>
      <c r="O6647" s="41" t="str"/>
      <c r="P6647" s="41" t="str"/>
      <c r="Q6647" s="41" t="str"/>
      <c r="R6647" s="41" t="str"/>
      <c r="S6647" s="41" t="str"/>
      <c r="T6647" s="41" t="str"/>
      <c r="U6647" s="41" t="str"/>
      <c r="V6647" s="41" t="str"/>
      <c r="W6647" s="41" t="str"/>
    </row>
    <row r="6648">
      <c r="B6648" s="2" t="n"/>
      <c r="C6648" s="40" t="n"/>
      <c r="D6648" s="52">
        <f t="array" ref="D6648:W6648">IF(All_Students_Scores!C6646:V6646="","",All_Students_Scores!C6646:V6646)</f>
        <v/>
      </c>
      <c r="E6648" s="57" t="str"/>
      <c r="F6648" s="49" t="str"/>
      <c r="G6648" s="59" t="str"/>
      <c r="H6648" s="64" t="str"/>
      <c r="I6648" s="65" t="str"/>
      <c r="J6648" s="49" t="str"/>
      <c r="K6648" s="41" t="str"/>
      <c r="L6648" s="41" t="str"/>
      <c r="M6648" s="41" t="str"/>
      <c r="N6648" s="41" t="str"/>
      <c r="O6648" s="41" t="str"/>
      <c r="P6648" s="41" t="str"/>
      <c r="Q6648" s="41" t="str"/>
      <c r="R6648" s="41" t="str"/>
      <c r="S6648" s="41" t="str"/>
      <c r="T6648" s="41" t="str"/>
      <c r="U6648" s="41" t="str"/>
      <c r="V6648" s="41" t="str"/>
      <c r="W6648" s="41" t="str"/>
    </row>
    <row r="6649">
      <c r="B6649" s="2" t="n"/>
      <c r="C6649" s="40" t="n"/>
      <c r="D6649" s="52">
        <f t="array" ref="D6649:W6649">IF(All_Students_Scores!C6647:V6647="","",All_Students_Scores!C6647:V6647)</f>
        <v/>
      </c>
      <c r="E6649" s="57" t="str"/>
      <c r="F6649" s="49" t="str"/>
      <c r="G6649" s="59" t="str"/>
      <c r="H6649" s="64" t="str"/>
      <c r="I6649" s="65" t="str"/>
      <c r="J6649" s="49" t="str"/>
      <c r="K6649" s="41" t="str"/>
      <c r="L6649" s="41" t="str"/>
      <c r="M6649" s="41" t="str"/>
      <c r="N6649" s="41" t="str"/>
      <c r="O6649" s="41" t="str"/>
      <c r="P6649" s="41" t="str"/>
      <c r="Q6649" s="41" t="str"/>
      <c r="R6649" s="41" t="str"/>
      <c r="S6649" s="41" t="str"/>
      <c r="T6649" s="41" t="str"/>
      <c r="U6649" s="41" t="str"/>
      <c r="V6649" s="41" t="str"/>
      <c r="W6649" s="41" t="str"/>
    </row>
    <row r="6650">
      <c r="B6650" s="2" t="n"/>
      <c r="C6650" s="40" t="n"/>
      <c r="D6650" s="52">
        <f t="array" ref="D6650:W6650">IF(All_Students_Scores!C6648:V6648="","",All_Students_Scores!C6648:V6648)</f>
        <v/>
      </c>
      <c r="E6650" s="57" t="str"/>
      <c r="F6650" s="49" t="str"/>
      <c r="G6650" s="59" t="str"/>
      <c r="H6650" s="64" t="str"/>
      <c r="I6650" s="65" t="str"/>
      <c r="J6650" s="49" t="str"/>
      <c r="K6650" s="41" t="str"/>
      <c r="L6650" s="41" t="str"/>
      <c r="M6650" s="41" t="str"/>
      <c r="N6650" s="41" t="str"/>
      <c r="O6650" s="41" t="str"/>
      <c r="P6650" s="41" t="str"/>
      <c r="Q6650" s="41" t="str"/>
      <c r="R6650" s="41" t="str"/>
      <c r="S6650" s="41" t="str"/>
      <c r="T6650" s="41" t="str"/>
      <c r="U6650" s="41" t="str"/>
      <c r="V6650" s="41" t="str"/>
      <c r="W6650" s="41" t="str"/>
    </row>
    <row r="6651">
      <c r="B6651" s="2" t="n"/>
      <c r="C6651" s="40" t="n"/>
      <c r="D6651" s="52">
        <f t="array" ref="D6651:W6651">IF(All_Students_Scores!C6649:V6649="","",All_Students_Scores!C6649:V6649)</f>
        <v/>
      </c>
      <c r="E6651" s="57" t="str"/>
      <c r="F6651" s="49" t="str"/>
      <c r="G6651" s="59" t="str"/>
      <c r="H6651" s="64" t="str"/>
      <c r="I6651" s="65" t="str"/>
      <c r="J6651" s="49" t="str"/>
      <c r="K6651" s="41" t="str"/>
      <c r="L6651" s="41" t="str"/>
      <c r="M6651" s="41" t="str"/>
      <c r="N6651" s="41" t="str"/>
      <c r="O6651" s="41" t="str"/>
      <c r="P6651" s="41" t="str"/>
      <c r="Q6651" s="41" t="str"/>
      <c r="R6651" s="41" t="str"/>
      <c r="S6651" s="41" t="str"/>
      <c r="T6651" s="41" t="str"/>
      <c r="U6651" s="41" t="str"/>
      <c r="V6651" s="41" t="str"/>
      <c r="W6651" s="41" t="str"/>
    </row>
    <row r="6652">
      <c r="B6652" s="2" t="n"/>
      <c r="C6652" s="40" t="n"/>
      <c r="D6652" s="52">
        <f t="array" ref="D6652:W6652">IF(All_Students_Scores!C6650:V6650="","",All_Students_Scores!C6650:V6650)</f>
        <v/>
      </c>
      <c r="E6652" s="57" t="str"/>
      <c r="F6652" s="49" t="str"/>
      <c r="G6652" s="59" t="str"/>
      <c r="H6652" s="64" t="str"/>
      <c r="I6652" s="65" t="str"/>
      <c r="J6652" s="49" t="str"/>
      <c r="K6652" s="41" t="str"/>
      <c r="L6652" s="41" t="str"/>
      <c r="M6652" s="41" t="str"/>
      <c r="N6652" s="41" t="str"/>
      <c r="O6652" s="41" t="str"/>
      <c r="P6652" s="41" t="str"/>
      <c r="Q6652" s="41" t="str"/>
      <c r="R6652" s="41" t="str"/>
      <c r="S6652" s="41" t="str"/>
      <c r="T6652" s="41" t="str"/>
      <c r="U6652" s="41" t="str"/>
      <c r="V6652" s="41" t="str"/>
      <c r="W6652" s="41" t="str"/>
    </row>
    <row r="6653">
      <c r="B6653" s="2" t="n"/>
      <c r="C6653" s="40" t="n"/>
      <c r="D6653" s="52">
        <f t="array" ref="D6653:W6653">IF(All_Students_Scores!C6651:V6651="","",All_Students_Scores!C6651:V6651)</f>
        <v/>
      </c>
      <c r="E6653" s="57" t="str"/>
      <c r="F6653" s="49" t="str"/>
      <c r="G6653" s="59" t="str"/>
      <c r="H6653" s="64" t="str"/>
      <c r="I6653" s="65" t="str"/>
      <c r="J6653" s="49" t="str"/>
      <c r="K6653" s="41" t="str"/>
      <c r="L6653" s="41" t="str"/>
      <c r="M6653" s="41" t="str"/>
      <c r="N6653" s="41" t="str"/>
      <c r="O6653" s="41" t="str"/>
      <c r="P6653" s="41" t="str"/>
      <c r="Q6653" s="41" t="str"/>
      <c r="R6653" s="41" t="str"/>
      <c r="S6653" s="41" t="str"/>
      <c r="T6653" s="41" t="str"/>
      <c r="U6653" s="41" t="str"/>
      <c r="V6653" s="41" t="str"/>
      <c r="W6653" s="41" t="str"/>
    </row>
    <row r="6654">
      <c r="B6654" s="2" t="n"/>
      <c r="C6654" s="40" t="n"/>
      <c r="D6654" s="52">
        <f t="array" ref="D6654:W6654">IF(All_Students_Scores!C6652:V6652="","",All_Students_Scores!C6652:V6652)</f>
        <v/>
      </c>
      <c r="E6654" s="57" t="str"/>
      <c r="F6654" s="49" t="str"/>
      <c r="G6654" s="59" t="str"/>
      <c r="H6654" s="64" t="str"/>
      <c r="I6654" s="65" t="str"/>
      <c r="J6654" s="49" t="str"/>
      <c r="K6654" s="41" t="str"/>
      <c r="L6654" s="41" t="str"/>
      <c r="M6654" s="41" t="str"/>
      <c r="N6654" s="41" t="str"/>
      <c r="O6654" s="41" t="str"/>
      <c r="P6654" s="41" t="str"/>
      <c r="Q6654" s="41" t="str"/>
      <c r="R6654" s="41" t="str"/>
      <c r="S6654" s="41" t="str"/>
      <c r="T6654" s="41" t="str"/>
      <c r="U6654" s="41" t="str"/>
      <c r="V6654" s="41" t="str"/>
      <c r="W6654" s="41" t="str"/>
    </row>
    <row r="6655">
      <c r="B6655" s="2" t="n"/>
      <c r="C6655" s="40" t="n"/>
      <c r="D6655" s="52">
        <f t="array" ref="D6655:W6655">IF(All_Students_Scores!C6653:V6653="","",All_Students_Scores!C6653:V6653)</f>
        <v/>
      </c>
      <c r="E6655" s="57" t="str"/>
      <c r="F6655" s="49" t="str"/>
      <c r="G6655" s="59" t="str"/>
      <c r="H6655" s="64" t="str"/>
      <c r="I6655" s="65" t="str"/>
      <c r="J6655" s="49" t="str"/>
      <c r="K6655" s="41" t="str"/>
      <c r="L6655" s="41" t="str"/>
      <c r="M6655" s="41" t="str"/>
      <c r="N6655" s="41" t="str"/>
      <c r="O6655" s="41" t="str"/>
      <c r="P6655" s="41" t="str"/>
      <c r="Q6655" s="41" t="str"/>
      <c r="R6655" s="41" t="str"/>
      <c r="S6655" s="41" t="str"/>
      <c r="T6655" s="41" t="str"/>
      <c r="U6655" s="41" t="str"/>
      <c r="V6655" s="41" t="str"/>
      <c r="W6655" s="41" t="str"/>
    </row>
    <row r="6656">
      <c r="B6656" s="2" t="n"/>
      <c r="C6656" s="40" t="n"/>
      <c r="D6656" s="52">
        <f t="array" ref="D6656:W6656">IF(All_Students_Scores!C6654:V6654="","",All_Students_Scores!C6654:V6654)</f>
        <v/>
      </c>
      <c r="E6656" s="57" t="str"/>
      <c r="F6656" s="49" t="str"/>
      <c r="G6656" s="59" t="str"/>
      <c r="H6656" s="64" t="str"/>
      <c r="I6656" s="65" t="str"/>
      <c r="J6656" s="49" t="str"/>
      <c r="K6656" s="41" t="str"/>
      <c r="L6656" s="41" t="str"/>
      <c r="M6656" s="41" t="str"/>
      <c r="N6656" s="41" t="str"/>
      <c r="O6656" s="41" t="str"/>
      <c r="P6656" s="41" t="str"/>
      <c r="Q6656" s="41" t="str"/>
      <c r="R6656" s="41" t="str"/>
      <c r="S6656" s="41" t="str"/>
      <c r="T6656" s="41" t="str"/>
      <c r="U6656" s="41" t="str"/>
      <c r="V6656" s="41" t="str"/>
      <c r="W6656" s="41" t="str"/>
    </row>
    <row r="6657">
      <c r="B6657" s="2" t="n"/>
      <c r="C6657" s="40" t="n"/>
      <c r="D6657" s="52">
        <f t="array" ref="D6657:W6657">IF(All_Students_Scores!C6655:V6655="","",All_Students_Scores!C6655:V6655)</f>
        <v/>
      </c>
      <c r="E6657" s="57" t="str"/>
      <c r="F6657" s="49" t="str"/>
      <c r="G6657" s="59" t="str"/>
      <c r="H6657" s="64" t="str"/>
      <c r="I6657" s="65" t="str"/>
      <c r="J6657" s="49" t="str"/>
      <c r="K6657" s="41" t="str"/>
      <c r="L6657" s="41" t="str"/>
      <c r="M6657" s="41" t="str"/>
      <c r="N6657" s="41" t="str"/>
      <c r="O6657" s="41" t="str"/>
      <c r="P6657" s="41" t="str"/>
      <c r="Q6657" s="41" t="str"/>
      <c r="R6657" s="41" t="str"/>
      <c r="S6657" s="41" t="str"/>
      <c r="T6657" s="41" t="str"/>
      <c r="U6657" s="41" t="str"/>
      <c r="V6657" s="41" t="str"/>
      <c r="W6657" s="41" t="str"/>
    </row>
    <row r="6658">
      <c r="B6658" s="2" t="n"/>
      <c r="C6658" s="40" t="n"/>
      <c r="D6658" s="52">
        <f t="array" ref="D6658:W6658">IF(All_Students_Scores!C6656:V6656="","",All_Students_Scores!C6656:V6656)</f>
        <v/>
      </c>
      <c r="E6658" s="57" t="str"/>
      <c r="F6658" s="49" t="str"/>
      <c r="G6658" s="59" t="str"/>
      <c r="H6658" s="64" t="str"/>
      <c r="I6658" s="65" t="str"/>
      <c r="J6658" s="49" t="str"/>
      <c r="K6658" s="41" t="str"/>
      <c r="L6658" s="41" t="str"/>
      <c r="M6658" s="41" t="str"/>
      <c r="N6658" s="41" t="str"/>
      <c r="O6658" s="41" t="str"/>
      <c r="P6658" s="41" t="str"/>
      <c r="Q6658" s="41" t="str"/>
      <c r="R6658" s="41" t="str"/>
      <c r="S6658" s="41" t="str"/>
      <c r="T6658" s="41" t="str"/>
      <c r="U6658" s="41" t="str"/>
      <c r="V6658" s="41" t="str"/>
      <c r="W6658" s="41" t="str"/>
    </row>
    <row r="6659">
      <c r="B6659" s="2" t="n"/>
      <c r="C6659" s="40" t="n"/>
      <c r="D6659" s="52">
        <f t="array" ref="D6659:W6659">IF(All_Students_Scores!C6657:V6657="","",All_Students_Scores!C6657:V6657)</f>
        <v/>
      </c>
      <c r="E6659" s="57" t="str"/>
      <c r="F6659" s="49" t="str"/>
      <c r="G6659" s="59" t="str"/>
      <c r="H6659" s="64" t="str"/>
      <c r="I6659" s="65" t="str"/>
      <c r="J6659" s="49" t="str"/>
      <c r="K6659" s="41" t="str"/>
      <c r="L6659" s="41" t="str"/>
      <c r="M6659" s="41" t="str"/>
      <c r="N6659" s="41" t="str"/>
      <c r="O6659" s="41" t="str"/>
      <c r="P6659" s="41" t="str"/>
      <c r="Q6659" s="41" t="str"/>
      <c r="R6659" s="41" t="str"/>
      <c r="S6659" s="41" t="str"/>
      <c r="T6659" s="41" t="str"/>
      <c r="U6659" s="41" t="str"/>
      <c r="V6659" s="41" t="str"/>
      <c r="W6659" s="41" t="str"/>
    </row>
    <row r="6660">
      <c r="B6660" s="2" t="n"/>
      <c r="C6660" s="40" t="n"/>
      <c r="D6660" s="52">
        <f t="array" ref="D6660:W6660">IF(All_Students_Scores!C6658:V6658="","",All_Students_Scores!C6658:V6658)</f>
        <v/>
      </c>
      <c r="E6660" s="57" t="str"/>
      <c r="F6660" s="49" t="str"/>
      <c r="G6660" s="59" t="str"/>
      <c r="H6660" s="64" t="str"/>
      <c r="I6660" s="65" t="str"/>
      <c r="J6660" s="49" t="str"/>
      <c r="K6660" s="41" t="str"/>
      <c r="L6660" s="41" t="str"/>
      <c r="M6660" s="41" t="str"/>
      <c r="N6660" s="41" t="str"/>
      <c r="O6660" s="41" t="str"/>
      <c r="P6660" s="41" t="str"/>
      <c r="Q6660" s="41" t="str"/>
      <c r="R6660" s="41" t="str"/>
      <c r="S6660" s="41" t="str"/>
      <c r="T6660" s="41" t="str"/>
      <c r="U6660" s="41" t="str"/>
      <c r="V6660" s="41" t="str"/>
      <c r="W6660" s="41" t="str"/>
    </row>
    <row r="6661">
      <c r="B6661" s="2" t="n"/>
      <c r="C6661" s="40" t="n"/>
      <c r="D6661" s="52">
        <f t="array" ref="D6661:W6661">IF(All_Students_Scores!C6659:V6659="","",All_Students_Scores!C6659:V6659)</f>
        <v/>
      </c>
      <c r="E6661" s="57" t="str"/>
      <c r="F6661" s="49" t="str"/>
      <c r="G6661" s="59" t="str"/>
      <c r="H6661" s="64" t="str"/>
      <c r="I6661" s="65" t="str"/>
      <c r="J6661" s="49" t="str"/>
      <c r="K6661" s="41" t="str"/>
      <c r="L6661" s="41" t="str"/>
      <c r="M6661" s="41" t="str"/>
      <c r="N6661" s="41" t="str"/>
      <c r="O6661" s="41" t="str"/>
      <c r="P6661" s="41" t="str"/>
      <c r="Q6661" s="41" t="str"/>
      <c r="R6661" s="41" t="str"/>
      <c r="S6661" s="41" t="str"/>
      <c r="T6661" s="41" t="str"/>
      <c r="U6661" s="41" t="str"/>
      <c r="V6661" s="41" t="str"/>
      <c r="W6661" s="41" t="str"/>
    </row>
    <row r="6662">
      <c r="B6662" s="2" t="n"/>
      <c r="C6662" s="40" t="n"/>
      <c r="D6662" s="52">
        <f t="array" ref="D6662:W6662">IF(All_Students_Scores!C6660:V6660="","",All_Students_Scores!C6660:V6660)</f>
        <v/>
      </c>
      <c r="E6662" s="57" t="str"/>
      <c r="F6662" s="49" t="str"/>
      <c r="G6662" s="59" t="str"/>
      <c r="H6662" s="64" t="str"/>
      <c r="I6662" s="65" t="str"/>
      <c r="J6662" s="49" t="str"/>
      <c r="K6662" s="41" t="str"/>
      <c r="L6662" s="41" t="str"/>
      <c r="M6662" s="41" t="str"/>
      <c r="N6662" s="41" t="str"/>
      <c r="O6662" s="41" t="str"/>
      <c r="P6662" s="41" t="str"/>
      <c r="Q6662" s="41" t="str"/>
      <c r="R6662" s="41" t="str"/>
      <c r="S6662" s="41" t="str"/>
      <c r="T6662" s="41" t="str"/>
      <c r="U6662" s="41" t="str"/>
      <c r="V6662" s="41" t="str"/>
      <c r="W6662" s="41" t="str"/>
    </row>
    <row r="6663">
      <c r="B6663" s="2" t="n"/>
      <c r="C6663" s="40" t="n"/>
      <c r="D6663" s="52">
        <f t="array" ref="D6663:W6663">IF(All_Students_Scores!C6661:V6661="","",All_Students_Scores!C6661:V6661)</f>
        <v/>
      </c>
      <c r="E6663" s="57" t="str"/>
      <c r="F6663" s="49" t="str"/>
      <c r="G6663" s="59" t="str"/>
      <c r="H6663" s="64" t="str"/>
      <c r="I6663" s="65" t="str"/>
      <c r="J6663" s="49" t="str"/>
      <c r="K6663" s="41" t="str"/>
      <c r="L6663" s="41" t="str"/>
      <c r="M6663" s="41" t="str"/>
      <c r="N6663" s="41" t="str"/>
      <c r="O6663" s="41" t="str"/>
      <c r="P6663" s="41" t="str"/>
      <c r="Q6663" s="41" t="str"/>
      <c r="R6663" s="41" t="str"/>
      <c r="S6663" s="41" t="str"/>
      <c r="T6663" s="41" t="str"/>
      <c r="U6663" s="41" t="str"/>
      <c r="V6663" s="41" t="str"/>
      <c r="W6663" s="41" t="str"/>
    </row>
    <row r="6664">
      <c r="B6664" s="2" t="n"/>
      <c r="C6664" s="40" t="n"/>
      <c r="D6664" s="52">
        <f t="array" ref="D6664:W6664">IF(All_Students_Scores!C6662:V6662="","",All_Students_Scores!C6662:V6662)</f>
        <v/>
      </c>
      <c r="E6664" s="57" t="str"/>
      <c r="F6664" s="49" t="str"/>
      <c r="G6664" s="59" t="str"/>
      <c r="H6664" s="64" t="str"/>
      <c r="I6664" s="65" t="str"/>
      <c r="J6664" s="49" t="str"/>
      <c r="K6664" s="41" t="str"/>
      <c r="L6664" s="41" t="str"/>
      <c r="M6664" s="41" t="str"/>
      <c r="N6664" s="41" t="str"/>
      <c r="O6664" s="41" t="str"/>
      <c r="P6664" s="41" t="str"/>
      <c r="Q6664" s="41" t="str"/>
      <c r="R6664" s="41" t="str"/>
      <c r="S6664" s="41" t="str"/>
      <c r="T6664" s="41" t="str"/>
      <c r="U6664" s="41" t="str"/>
      <c r="V6664" s="41" t="str"/>
      <c r="W6664" s="41" t="str"/>
    </row>
    <row r="6665">
      <c r="B6665" s="2" t="n"/>
      <c r="C6665" s="40" t="n"/>
      <c r="D6665" s="52">
        <f t="array" ref="D6665:W6665">IF(All_Students_Scores!C6663:V6663="","",All_Students_Scores!C6663:V6663)</f>
        <v/>
      </c>
      <c r="E6665" s="57" t="str"/>
      <c r="F6665" s="49" t="str"/>
      <c r="G6665" s="59" t="str"/>
      <c r="H6665" s="64" t="str"/>
      <c r="I6665" s="65" t="str"/>
      <c r="J6665" s="49" t="str"/>
      <c r="K6665" s="41" t="str"/>
      <c r="L6665" s="41" t="str"/>
      <c r="M6665" s="41" t="str"/>
      <c r="N6665" s="41" t="str"/>
      <c r="O6665" s="41" t="str"/>
      <c r="P6665" s="41" t="str"/>
      <c r="Q6665" s="41" t="str"/>
      <c r="R6665" s="41" t="str"/>
      <c r="S6665" s="41" t="str"/>
      <c r="T6665" s="41" t="str"/>
      <c r="U6665" s="41" t="str"/>
      <c r="V6665" s="41" t="str"/>
      <c r="W6665" s="41" t="str"/>
    </row>
    <row r="6666">
      <c r="B6666" s="2" t="n"/>
      <c r="C6666" s="40" t="n"/>
      <c r="D6666" s="52">
        <f t="array" ref="D6666:W6666">IF(All_Students_Scores!C6664:V6664="","",All_Students_Scores!C6664:V6664)</f>
        <v/>
      </c>
      <c r="E6666" s="57" t="str"/>
      <c r="F6666" s="49" t="str"/>
      <c r="G6666" s="59" t="str"/>
      <c r="H6666" s="64" t="str"/>
      <c r="I6666" s="65" t="str"/>
      <c r="J6666" s="49" t="str"/>
      <c r="K6666" s="41" t="str"/>
      <c r="L6666" s="41" t="str"/>
      <c r="M6666" s="41" t="str"/>
      <c r="N6666" s="41" t="str"/>
      <c r="O6666" s="41" t="str"/>
      <c r="P6666" s="41" t="str"/>
      <c r="Q6666" s="41" t="str"/>
      <c r="R6666" s="41" t="str"/>
      <c r="S6666" s="41" t="str"/>
      <c r="T6666" s="41" t="str"/>
      <c r="U6666" s="41" t="str"/>
      <c r="V6666" s="41" t="str"/>
      <c r="W6666" s="41" t="str"/>
    </row>
    <row r="6667">
      <c r="B6667" s="2" t="n"/>
      <c r="C6667" s="40" t="n"/>
      <c r="D6667" s="52">
        <f t="array" ref="D6667:W6667">IF(All_Students_Scores!C6665:V6665="","",All_Students_Scores!C6665:V6665)</f>
        <v/>
      </c>
      <c r="E6667" s="57" t="str"/>
      <c r="F6667" s="49" t="str"/>
      <c r="G6667" s="59" t="str"/>
      <c r="H6667" s="64" t="str"/>
      <c r="I6667" s="65" t="str"/>
      <c r="J6667" s="49" t="str"/>
      <c r="K6667" s="41" t="str"/>
      <c r="L6667" s="41" t="str"/>
      <c r="M6667" s="41" t="str"/>
      <c r="N6667" s="41" t="str"/>
      <c r="O6667" s="41" t="str"/>
      <c r="P6667" s="41" t="str"/>
      <c r="Q6667" s="41" t="str"/>
      <c r="R6667" s="41" t="str"/>
      <c r="S6667" s="41" t="str"/>
      <c r="T6667" s="41" t="str"/>
      <c r="U6667" s="41" t="str"/>
      <c r="V6667" s="41" t="str"/>
      <c r="W6667" s="41" t="str"/>
    </row>
    <row r="6668">
      <c r="B6668" s="2" t="n"/>
      <c r="C6668" s="40" t="n"/>
      <c r="D6668" s="52">
        <f t="array" ref="D6668:W6668">IF(All_Students_Scores!C6666:V6666="","",All_Students_Scores!C6666:V6666)</f>
        <v/>
      </c>
      <c r="E6668" s="57" t="str"/>
      <c r="F6668" s="49" t="str"/>
      <c r="G6668" s="59" t="str"/>
      <c r="H6668" s="64" t="str"/>
      <c r="I6668" s="65" t="str"/>
      <c r="J6668" s="49" t="str"/>
      <c r="K6668" s="41" t="str"/>
      <c r="L6668" s="41" t="str"/>
      <c r="M6668" s="41" t="str"/>
      <c r="N6668" s="41" t="str"/>
      <c r="O6668" s="41" t="str"/>
      <c r="P6668" s="41" t="str"/>
      <c r="Q6668" s="41" t="str"/>
      <c r="R6668" s="41" t="str"/>
      <c r="S6668" s="41" t="str"/>
      <c r="T6668" s="41" t="str"/>
      <c r="U6668" s="41" t="str"/>
      <c r="V6668" s="41" t="str"/>
      <c r="W6668" s="41" t="str"/>
    </row>
    <row r="6669">
      <c r="B6669" s="2" t="n"/>
      <c r="C6669" s="40" t="n"/>
      <c r="D6669" s="52">
        <f t="array" ref="D6669:W6669">IF(All_Students_Scores!C6667:V6667="","",All_Students_Scores!C6667:V6667)</f>
        <v/>
      </c>
      <c r="E6669" s="57" t="str"/>
      <c r="F6669" s="49" t="str"/>
      <c r="G6669" s="59" t="str"/>
      <c r="H6669" s="64" t="str"/>
      <c r="I6669" s="65" t="str"/>
      <c r="J6669" s="49" t="str"/>
      <c r="K6669" s="41" t="str"/>
      <c r="L6669" s="41" t="str"/>
      <c r="M6669" s="41" t="str"/>
      <c r="N6669" s="41" t="str"/>
      <c r="O6669" s="41" t="str"/>
      <c r="P6669" s="41" t="str"/>
      <c r="Q6669" s="41" t="str"/>
      <c r="R6669" s="41" t="str"/>
      <c r="S6669" s="41" t="str"/>
      <c r="T6669" s="41" t="str"/>
      <c r="U6669" s="41" t="str"/>
      <c r="V6669" s="41" t="str"/>
      <c r="W6669" s="41" t="str"/>
    </row>
    <row r="6670">
      <c r="B6670" s="2" t="n"/>
      <c r="C6670" s="40" t="n"/>
      <c r="D6670" s="52">
        <f t="array" ref="D6670:W6670">IF(All_Students_Scores!C6668:V6668="","",All_Students_Scores!C6668:V6668)</f>
        <v/>
      </c>
      <c r="E6670" s="57" t="str"/>
      <c r="F6670" s="49" t="str"/>
      <c r="G6670" s="59" t="str"/>
      <c r="H6670" s="64" t="str"/>
      <c r="I6670" s="65" t="str"/>
      <c r="J6670" s="49" t="str"/>
      <c r="K6670" s="41" t="str"/>
      <c r="L6670" s="41" t="str"/>
      <c r="M6670" s="41" t="str"/>
      <c r="N6670" s="41" t="str"/>
      <c r="O6670" s="41" t="str"/>
      <c r="P6670" s="41" t="str"/>
      <c r="Q6670" s="41" t="str"/>
      <c r="R6670" s="41" t="str"/>
      <c r="S6670" s="41" t="str"/>
      <c r="T6670" s="41" t="str"/>
      <c r="U6670" s="41" t="str"/>
      <c r="V6670" s="41" t="str"/>
      <c r="W6670" s="41" t="str"/>
    </row>
    <row r="6671">
      <c r="B6671" s="2" t="n"/>
      <c r="C6671" s="40" t="n"/>
      <c r="D6671" s="52">
        <f t="array" ref="D6671:W6671">IF(All_Students_Scores!C6669:V6669="","",All_Students_Scores!C6669:V6669)</f>
        <v/>
      </c>
      <c r="E6671" s="57" t="str"/>
      <c r="F6671" s="49" t="str"/>
      <c r="G6671" s="59" t="str"/>
      <c r="H6671" s="64" t="str"/>
      <c r="I6671" s="65" t="str"/>
      <c r="J6671" s="49" t="str"/>
      <c r="K6671" s="41" t="str"/>
      <c r="L6671" s="41" t="str"/>
      <c r="M6671" s="41" t="str"/>
      <c r="N6671" s="41" t="str"/>
      <c r="O6671" s="41" t="str"/>
      <c r="P6671" s="41" t="str"/>
      <c r="Q6671" s="41" t="str"/>
      <c r="R6671" s="41" t="str"/>
      <c r="S6671" s="41" t="str"/>
      <c r="T6671" s="41" t="str"/>
      <c r="U6671" s="41" t="str"/>
      <c r="V6671" s="41" t="str"/>
      <c r="W6671" s="41" t="str"/>
    </row>
    <row r="6672">
      <c r="B6672" s="2" t="n"/>
      <c r="C6672" s="40" t="n"/>
      <c r="D6672" s="52">
        <f t="array" ref="D6672:W6672">IF(All_Students_Scores!C6670:V6670="","",All_Students_Scores!C6670:V6670)</f>
        <v/>
      </c>
      <c r="E6672" s="57" t="str"/>
      <c r="F6672" s="49" t="str"/>
      <c r="G6672" s="59" t="str"/>
      <c r="H6672" s="64" t="str"/>
      <c r="I6672" s="65" t="str"/>
      <c r="J6672" s="49" t="str"/>
      <c r="K6672" s="41" t="str"/>
      <c r="L6672" s="41" t="str"/>
      <c r="M6672" s="41" t="str"/>
      <c r="N6672" s="41" t="str"/>
      <c r="O6672" s="41" t="str"/>
      <c r="P6672" s="41" t="str"/>
      <c r="Q6672" s="41" t="str"/>
      <c r="R6672" s="41" t="str"/>
      <c r="S6672" s="41" t="str"/>
      <c r="T6672" s="41" t="str"/>
      <c r="U6672" s="41" t="str"/>
      <c r="V6672" s="41" t="str"/>
      <c r="W6672" s="41" t="str"/>
    </row>
    <row r="6673">
      <c r="B6673" s="2" t="n"/>
      <c r="C6673" s="40" t="n"/>
      <c r="D6673" s="52">
        <f t="array" ref="D6673:W6673">IF(All_Students_Scores!C6671:V6671="","",All_Students_Scores!C6671:V6671)</f>
        <v/>
      </c>
      <c r="E6673" s="57" t="str"/>
      <c r="F6673" s="49" t="str"/>
      <c r="G6673" s="59" t="str"/>
      <c r="H6673" s="64" t="str"/>
      <c r="I6673" s="65" t="str"/>
      <c r="J6673" s="49" t="str"/>
      <c r="K6673" s="41" t="str"/>
      <c r="L6673" s="41" t="str"/>
      <c r="M6673" s="41" t="str"/>
      <c r="N6673" s="41" t="str"/>
      <c r="O6673" s="41" t="str"/>
      <c r="P6673" s="41" t="str"/>
      <c r="Q6673" s="41" t="str"/>
      <c r="R6673" s="41" t="str"/>
      <c r="S6673" s="41" t="str"/>
      <c r="T6673" s="41" t="str"/>
      <c r="U6673" s="41" t="str"/>
      <c r="V6673" s="41" t="str"/>
      <c r="W6673" s="41" t="str"/>
    </row>
    <row r="6674">
      <c r="B6674" s="2" t="n"/>
      <c r="C6674" s="40" t="n"/>
      <c r="D6674" s="52">
        <f t="array" ref="D6674:W6674">IF(All_Students_Scores!C6672:V6672="","",All_Students_Scores!C6672:V6672)</f>
        <v/>
      </c>
      <c r="E6674" s="57" t="str"/>
      <c r="F6674" s="49" t="str"/>
      <c r="G6674" s="59" t="str"/>
      <c r="H6674" s="64" t="str"/>
      <c r="I6674" s="65" t="str"/>
      <c r="J6674" s="49" t="str"/>
      <c r="K6674" s="41" t="str"/>
      <c r="L6674" s="41" t="str"/>
      <c r="M6674" s="41" t="str"/>
      <c r="N6674" s="41" t="str"/>
      <c r="O6674" s="41" t="str"/>
      <c r="P6674" s="41" t="str"/>
      <c r="Q6674" s="41" t="str"/>
      <c r="R6674" s="41" t="str"/>
      <c r="S6674" s="41" t="str"/>
      <c r="T6674" s="41" t="str"/>
      <c r="U6674" s="41" t="str"/>
      <c r="V6674" s="41" t="str"/>
      <c r="W6674" s="41" t="str"/>
    </row>
    <row r="6675">
      <c r="B6675" s="2" t="n"/>
      <c r="C6675" s="40" t="n"/>
      <c r="D6675" s="52">
        <f t="array" ref="D6675:W6675">IF(All_Students_Scores!C6673:V6673="","",All_Students_Scores!C6673:V6673)</f>
        <v/>
      </c>
      <c r="E6675" s="57" t="str"/>
      <c r="F6675" s="49" t="str"/>
      <c r="G6675" s="59" t="str"/>
      <c r="H6675" s="64" t="str"/>
      <c r="I6675" s="65" t="str"/>
      <c r="J6675" s="49" t="str"/>
      <c r="K6675" s="41" t="str"/>
      <c r="L6675" s="41" t="str"/>
      <c r="M6675" s="41" t="str"/>
      <c r="N6675" s="41" t="str"/>
      <c r="O6675" s="41" t="str"/>
      <c r="P6675" s="41" t="str"/>
      <c r="Q6675" s="41" t="str"/>
      <c r="R6675" s="41" t="str"/>
      <c r="S6675" s="41" t="str"/>
      <c r="T6675" s="41" t="str"/>
      <c r="U6675" s="41" t="str"/>
      <c r="V6675" s="41" t="str"/>
      <c r="W6675" s="41" t="str"/>
    </row>
    <row r="6676">
      <c r="B6676" s="2" t="n"/>
      <c r="C6676" s="40" t="n"/>
      <c r="D6676" s="52">
        <f t="array" ref="D6676:W6676">IF(All_Students_Scores!C6674:V6674="","",All_Students_Scores!C6674:V6674)</f>
        <v/>
      </c>
      <c r="E6676" s="57" t="str"/>
      <c r="F6676" s="49" t="str"/>
      <c r="G6676" s="59" t="str"/>
      <c r="H6676" s="64" t="str"/>
      <c r="I6676" s="65" t="str"/>
      <c r="J6676" s="49" t="str"/>
      <c r="K6676" s="41" t="str"/>
      <c r="L6676" s="41" t="str"/>
      <c r="M6676" s="41" t="str"/>
      <c r="N6676" s="41" t="str"/>
      <c r="O6676" s="41" t="str"/>
      <c r="P6676" s="41" t="str"/>
      <c r="Q6676" s="41" t="str"/>
      <c r="R6676" s="41" t="str"/>
      <c r="S6676" s="41" t="str"/>
      <c r="T6676" s="41" t="str"/>
      <c r="U6676" s="41" t="str"/>
      <c r="V6676" s="41" t="str"/>
      <c r="W6676" s="41" t="str"/>
    </row>
    <row r="6677">
      <c r="B6677" s="2" t="n"/>
      <c r="C6677" s="40" t="n"/>
      <c r="D6677" s="52">
        <f t="array" ref="D6677:W6677">IF(All_Students_Scores!C6675:V6675="","",All_Students_Scores!C6675:V6675)</f>
        <v/>
      </c>
      <c r="E6677" s="57" t="str"/>
      <c r="F6677" s="49" t="str"/>
      <c r="G6677" s="59" t="str"/>
      <c r="H6677" s="64" t="str"/>
      <c r="I6677" s="65" t="str"/>
      <c r="J6677" s="49" t="str"/>
      <c r="K6677" s="41" t="str"/>
      <c r="L6677" s="41" t="str"/>
      <c r="M6677" s="41" t="str"/>
      <c r="N6677" s="41" t="str"/>
      <c r="O6677" s="41" t="str"/>
      <c r="P6677" s="41" t="str"/>
      <c r="Q6677" s="41" t="str"/>
      <c r="R6677" s="41" t="str"/>
      <c r="S6677" s="41" t="str"/>
      <c r="T6677" s="41" t="str"/>
      <c r="U6677" s="41" t="str"/>
      <c r="V6677" s="41" t="str"/>
      <c r="W6677" s="41" t="str"/>
    </row>
    <row r="6678">
      <c r="B6678" s="2" t="n"/>
      <c r="C6678" s="40" t="n"/>
      <c r="D6678" s="52">
        <f t="array" ref="D6678:W6678">IF(All_Students_Scores!C6676:V6676="","",All_Students_Scores!C6676:V6676)</f>
        <v/>
      </c>
      <c r="E6678" s="57" t="str"/>
      <c r="F6678" s="49" t="str"/>
      <c r="G6678" s="59" t="str"/>
      <c r="H6678" s="64" t="str"/>
      <c r="I6678" s="65" t="str"/>
      <c r="J6678" s="49" t="str"/>
      <c r="K6678" s="41" t="str"/>
      <c r="L6678" s="41" t="str"/>
      <c r="M6678" s="41" t="str"/>
      <c r="N6678" s="41" t="str"/>
      <c r="O6678" s="41" t="str"/>
      <c r="P6678" s="41" t="str"/>
      <c r="Q6678" s="41" t="str"/>
      <c r="R6678" s="41" t="str"/>
      <c r="S6678" s="41" t="str"/>
      <c r="T6678" s="41" t="str"/>
      <c r="U6678" s="41" t="str"/>
      <c r="V6678" s="41" t="str"/>
      <c r="W6678" s="41" t="str"/>
    </row>
    <row r="6679">
      <c r="B6679" s="2" t="n"/>
      <c r="C6679" s="40" t="n"/>
      <c r="D6679" s="52">
        <f t="array" ref="D6679:W6679">IF(All_Students_Scores!C6677:V6677="","",All_Students_Scores!C6677:V6677)</f>
        <v/>
      </c>
      <c r="E6679" s="57" t="str"/>
      <c r="F6679" s="49" t="str"/>
      <c r="G6679" s="59" t="str"/>
      <c r="H6679" s="64" t="str"/>
      <c r="I6679" s="65" t="str"/>
      <c r="J6679" s="49" t="str"/>
      <c r="K6679" s="41" t="str"/>
      <c r="L6679" s="41" t="str"/>
      <c r="M6679" s="41" t="str"/>
      <c r="N6679" s="41" t="str"/>
      <c r="O6679" s="41" t="str"/>
      <c r="P6679" s="41" t="str"/>
      <c r="Q6679" s="41" t="str"/>
      <c r="R6679" s="41" t="str"/>
      <c r="S6679" s="41" t="str"/>
      <c r="T6679" s="41" t="str"/>
      <c r="U6679" s="41" t="str"/>
      <c r="V6679" s="41" t="str"/>
      <c r="W6679" s="41" t="str"/>
    </row>
    <row r="6680">
      <c r="B6680" s="2" t="n"/>
      <c r="C6680" s="40" t="n"/>
      <c r="D6680" s="52">
        <f t="array" ref="D6680:W6680">IF(All_Students_Scores!C6678:V6678="","",All_Students_Scores!C6678:V6678)</f>
        <v/>
      </c>
      <c r="E6680" s="57" t="str"/>
      <c r="F6680" s="49" t="str"/>
      <c r="G6680" s="59" t="str"/>
      <c r="H6680" s="64" t="str"/>
      <c r="I6680" s="65" t="str"/>
      <c r="J6680" s="49" t="str"/>
      <c r="K6680" s="41" t="str"/>
      <c r="L6680" s="41" t="str"/>
      <c r="M6680" s="41" t="str"/>
      <c r="N6680" s="41" t="str"/>
      <c r="O6680" s="41" t="str"/>
      <c r="P6680" s="41" t="str"/>
      <c r="Q6680" s="41" t="str"/>
      <c r="R6680" s="41" t="str"/>
      <c r="S6680" s="41" t="str"/>
      <c r="T6680" s="41" t="str"/>
      <c r="U6680" s="41" t="str"/>
      <c r="V6680" s="41" t="str"/>
      <c r="W6680" s="41" t="str"/>
    </row>
    <row r="6681">
      <c r="B6681" s="2" t="n"/>
      <c r="C6681" s="40" t="n"/>
      <c r="D6681" s="52">
        <f t="array" ref="D6681:W6681">IF(All_Students_Scores!C6679:V6679="","",All_Students_Scores!C6679:V6679)</f>
        <v/>
      </c>
      <c r="E6681" s="57" t="str"/>
      <c r="F6681" s="49" t="str"/>
      <c r="G6681" s="59" t="str"/>
      <c r="H6681" s="64" t="str"/>
      <c r="I6681" s="65" t="str"/>
      <c r="J6681" s="49" t="str"/>
      <c r="K6681" s="41" t="str"/>
      <c r="L6681" s="41" t="str"/>
      <c r="M6681" s="41" t="str"/>
      <c r="N6681" s="41" t="str"/>
      <c r="O6681" s="41" t="str"/>
      <c r="P6681" s="41" t="str"/>
      <c r="Q6681" s="41" t="str"/>
      <c r="R6681" s="41" t="str"/>
      <c r="S6681" s="41" t="str"/>
      <c r="T6681" s="41" t="str"/>
      <c r="U6681" s="41" t="str"/>
      <c r="V6681" s="41" t="str"/>
      <c r="W6681" s="41" t="str"/>
    </row>
    <row r="6682">
      <c r="B6682" s="2" t="n"/>
      <c r="C6682" s="40" t="n"/>
      <c r="D6682" s="52">
        <f t="array" ref="D6682:W6682">IF(All_Students_Scores!C6680:V6680="","",All_Students_Scores!C6680:V6680)</f>
        <v/>
      </c>
      <c r="E6682" s="57" t="str"/>
      <c r="F6682" s="49" t="str"/>
      <c r="G6682" s="59" t="str"/>
      <c r="H6682" s="64" t="str"/>
      <c r="I6682" s="65" t="str"/>
      <c r="J6682" s="49" t="str"/>
      <c r="K6682" s="41" t="str"/>
      <c r="L6682" s="41" t="str"/>
      <c r="M6682" s="41" t="str"/>
      <c r="N6682" s="41" t="str"/>
      <c r="O6682" s="41" t="str"/>
      <c r="P6682" s="41" t="str"/>
      <c r="Q6682" s="41" t="str"/>
      <c r="R6682" s="41" t="str"/>
      <c r="S6682" s="41" t="str"/>
      <c r="T6682" s="41" t="str"/>
      <c r="U6682" s="41" t="str"/>
      <c r="V6682" s="41" t="str"/>
      <c r="W6682" s="41" t="str"/>
    </row>
    <row r="6683">
      <c r="B6683" s="2" t="n"/>
      <c r="C6683" s="40" t="n"/>
      <c r="D6683" s="52">
        <f t="array" ref="D6683:W6683">IF(All_Students_Scores!C6681:V6681="","",All_Students_Scores!C6681:V6681)</f>
        <v/>
      </c>
      <c r="E6683" s="57" t="str"/>
      <c r="F6683" s="49" t="str"/>
      <c r="G6683" s="59" t="str"/>
      <c r="H6683" s="64" t="str"/>
      <c r="I6683" s="65" t="str"/>
      <c r="J6683" s="49" t="str"/>
      <c r="K6683" s="41" t="str"/>
      <c r="L6683" s="41" t="str"/>
      <c r="M6683" s="41" t="str"/>
      <c r="N6683" s="41" t="str"/>
      <c r="O6683" s="41" t="str"/>
      <c r="P6683" s="41" t="str"/>
      <c r="Q6683" s="41" t="str"/>
      <c r="R6683" s="41" t="str"/>
      <c r="S6683" s="41" t="str"/>
      <c r="T6683" s="41" t="str"/>
      <c r="U6683" s="41" t="str"/>
      <c r="V6683" s="41" t="str"/>
      <c r="W6683" s="41" t="str"/>
    </row>
    <row r="6684">
      <c r="B6684" s="2" t="n"/>
      <c r="C6684" s="40" t="n"/>
      <c r="D6684" s="52">
        <f t="array" ref="D6684:W6684">IF(All_Students_Scores!C6682:V6682="","",All_Students_Scores!C6682:V6682)</f>
        <v/>
      </c>
      <c r="E6684" s="57" t="str"/>
      <c r="F6684" s="49" t="str"/>
      <c r="G6684" s="59" t="str"/>
      <c r="H6684" s="64" t="str"/>
      <c r="I6684" s="65" t="str"/>
      <c r="J6684" s="49" t="str"/>
      <c r="K6684" s="41" t="str"/>
      <c r="L6684" s="41" t="str"/>
      <c r="M6684" s="41" t="str"/>
      <c r="N6684" s="41" t="str"/>
      <c r="O6684" s="41" t="str"/>
      <c r="P6684" s="41" t="str"/>
      <c r="Q6684" s="41" t="str"/>
      <c r="R6684" s="41" t="str"/>
      <c r="S6684" s="41" t="str"/>
      <c r="T6684" s="41" t="str"/>
      <c r="U6684" s="41" t="str"/>
      <c r="V6684" s="41" t="str"/>
      <c r="W6684" s="41" t="str"/>
    </row>
    <row r="6685">
      <c r="B6685" s="2" t="n"/>
      <c r="C6685" s="40" t="n"/>
      <c r="D6685" s="52">
        <f t="array" ref="D6685:W6685">IF(All_Students_Scores!C6683:V6683="","",All_Students_Scores!C6683:V6683)</f>
        <v/>
      </c>
      <c r="E6685" s="57" t="str"/>
      <c r="F6685" s="49" t="str"/>
      <c r="G6685" s="59" t="str"/>
      <c r="H6685" s="64" t="str"/>
      <c r="I6685" s="65" t="str"/>
      <c r="J6685" s="49" t="str"/>
      <c r="K6685" s="41" t="str"/>
      <c r="L6685" s="41" t="str"/>
      <c r="M6685" s="41" t="str"/>
      <c r="N6685" s="41" t="str"/>
      <c r="O6685" s="41" t="str"/>
      <c r="P6685" s="41" t="str"/>
      <c r="Q6685" s="41" t="str"/>
      <c r="R6685" s="41" t="str"/>
      <c r="S6685" s="41" t="str"/>
      <c r="T6685" s="41" t="str"/>
      <c r="U6685" s="41" t="str"/>
      <c r="V6685" s="41" t="str"/>
      <c r="W6685" s="41" t="str"/>
    </row>
    <row r="6686">
      <c r="B6686" s="2" t="n"/>
      <c r="C6686" s="40" t="n"/>
      <c r="D6686" s="52">
        <f t="array" ref="D6686:W6686">IF(All_Students_Scores!C6684:V6684="","",All_Students_Scores!C6684:V6684)</f>
        <v/>
      </c>
      <c r="E6686" s="57" t="str"/>
      <c r="F6686" s="49" t="str"/>
      <c r="G6686" s="59" t="str"/>
      <c r="H6686" s="64" t="str"/>
      <c r="I6686" s="65" t="str"/>
      <c r="J6686" s="49" t="str"/>
      <c r="K6686" s="41" t="str"/>
      <c r="L6686" s="41" t="str"/>
      <c r="M6686" s="41" t="str"/>
      <c r="N6686" s="41" t="str"/>
      <c r="O6686" s="41" t="str"/>
      <c r="P6686" s="41" t="str"/>
      <c r="Q6686" s="41" t="str"/>
      <c r="R6686" s="41" t="str"/>
      <c r="S6686" s="41" t="str"/>
      <c r="T6686" s="41" t="str"/>
      <c r="U6686" s="41" t="str"/>
      <c r="V6686" s="41" t="str"/>
      <c r="W6686" s="41" t="str"/>
    </row>
    <row r="6687">
      <c r="B6687" s="2" t="n"/>
      <c r="C6687" s="40" t="n"/>
      <c r="D6687" s="52">
        <f t="array" ref="D6687:W6687">IF(All_Students_Scores!C6685:V6685="","",All_Students_Scores!C6685:V6685)</f>
        <v/>
      </c>
      <c r="E6687" s="57" t="str"/>
      <c r="F6687" s="49" t="str"/>
      <c r="G6687" s="59" t="str"/>
      <c r="H6687" s="64" t="str"/>
      <c r="I6687" s="65" t="str"/>
      <c r="J6687" s="49" t="str"/>
      <c r="K6687" s="41" t="str"/>
      <c r="L6687" s="41" t="str"/>
      <c r="M6687" s="41" t="str"/>
      <c r="N6687" s="41" t="str"/>
      <c r="O6687" s="41" t="str"/>
      <c r="P6687" s="41" t="str"/>
      <c r="Q6687" s="41" t="str"/>
      <c r="R6687" s="41" t="str"/>
      <c r="S6687" s="41" t="str"/>
      <c r="T6687" s="41" t="str"/>
      <c r="U6687" s="41" t="str"/>
      <c r="V6687" s="41" t="str"/>
      <c r="W6687" s="41" t="str"/>
    </row>
    <row r="6688">
      <c r="B6688" s="2" t="n"/>
      <c r="C6688" s="40" t="n"/>
      <c r="D6688" s="52">
        <f t="array" ref="D6688:W6688">IF(All_Students_Scores!C6686:V6686="","",All_Students_Scores!C6686:V6686)</f>
        <v/>
      </c>
      <c r="E6688" s="57" t="str"/>
      <c r="F6688" s="49" t="str"/>
      <c r="G6688" s="59" t="str"/>
      <c r="H6688" s="64" t="str"/>
      <c r="I6688" s="65" t="str"/>
      <c r="J6688" s="49" t="str"/>
      <c r="K6688" s="41" t="str"/>
      <c r="L6688" s="41" t="str"/>
      <c r="M6688" s="41" t="str"/>
      <c r="N6688" s="41" t="str"/>
      <c r="O6688" s="41" t="str"/>
      <c r="P6688" s="41" t="str"/>
      <c r="Q6688" s="41" t="str"/>
      <c r="R6688" s="41" t="str"/>
      <c r="S6688" s="41" t="str"/>
      <c r="T6688" s="41" t="str"/>
      <c r="U6688" s="41" t="str"/>
      <c r="V6688" s="41" t="str"/>
      <c r="W6688" s="41" t="str"/>
    </row>
    <row r="6689">
      <c r="B6689" s="2" t="n"/>
      <c r="C6689" s="40" t="n"/>
      <c r="D6689" s="52">
        <f t="array" ref="D6689:W6689">IF(All_Students_Scores!C6687:V6687="","",All_Students_Scores!C6687:V6687)</f>
        <v/>
      </c>
      <c r="E6689" s="57" t="str"/>
      <c r="F6689" s="49" t="str"/>
      <c r="G6689" s="59" t="str"/>
      <c r="H6689" s="64" t="str"/>
      <c r="I6689" s="65" t="str"/>
      <c r="J6689" s="49" t="str"/>
      <c r="K6689" s="41" t="str"/>
      <c r="L6689" s="41" t="str"/>
      <c r="M6689" s="41" t="str"/>
      <c r="N6689" s="41" t="str"/>
      <c r="O6689" s="41" t="str"/>
      <c r="P6689" s="41" t="str"/>
      <c r="Q6689" s="41" t="str"/>
      <c r="R6689" s="41" t="str"/>
      <c r="S6689" s="41" t="str"/>
      <c r="T6689" s="41" t="str"/>
      <c r="U6689" s="41" t="str"/>
      <c r="V6689" s="41" t="str"/>
      <c r="W6689" s="41" t="str"/>
    </row>
    <row r="6690">
      <c r="B6690" s="2" t="n"/>
      <c r="C6690" s="40" t="n"/>
      <c r="D6690" s="52">
        <f t="array" ref="D6690:W6690">IF(All_Students_Scores!C6688:V6688="","",All_Students_Scores!C6688:V6688)</f>
        <v/>
      </c>
      <c r="E6690" s="57" t="str"/>
      <c r="F6690" s="49" t="str"/>
      <c r="G6690" s="59" t="str"/>
      <c r="H6690" s="64" t="str"/>
      <c r="I6690" s="65" t="str"/>
      <c r="J6690" s="49" t="str"/>
      <c r="K6690" s="41" t="str"/>
      <c r="L6690" s="41" t="str"/>
      <c r="M6690" s="41" t="str"/>
      <c r="N6690" s="41" t="str"/>
      <c r="O6690" s="41" t="str"/>
      <c r="P6690" s="41" t="str"/>
      <c r="Q6690" s="41" t="str"/>
      <c r="R6690" s="41" t="str"/>
      <c r="S6690" s="41" t="str"/>
      <c r="T6690" s="41" t="str"/>
      <c r="U6690" s="41" t="str"/>
      <c r="V6690" s="41" t="str"/>
      <c r="W6690" s="41" t="str"/>
    </row>
    <row r="6691">
      <c r="B6691" s="2" t="n"/>
      <c r="C6691" s="40" t="n"/>
      <c r="D6691" s="52">
        <f t="array" ref="D6691:W6691">IF(All_Students_Scores!C6689:V6689="","",All_Students_Scores!C6689:V6689)</f>
        <v/>
      </c>
      <c r="E6691" s="57" t="str"/>
      <c r="F6691" s="49" t="str"/>
      <c r="G6691" s="59" t="str"/>
      <c r="H6691" s="64" t="str"/>
      <c r="I6691" s="65" t="str"/>
      <c r="J6691" s="49" t="str"/>
      <c r="K6691" s="41" t="str"/>
      <c r="L6691" s="41" t="str"/>
      <c r="M6691" s="41" t="str"/>
      <c r="N6691" s="41" t="str"/>
      <c r="O6691" s="41" t="str"/>
      <c r="P6691" s="41" t="str"/>
      <c r="Q6691" s="41" t="str"/>
      <c r="R6691" s="41" t="str"/>
      <c r="S6691" s="41" t="str"/>
      <c r="T6691" s="41" t="str"/>
      <c r="U6691" s="41" t="str"/>
      <c r="V6691" s="41" t="str"/>
      <c r="W6691" s="41" t="str"/>
    </row>
    <row r="6692">
      <c r="B6692" s="2" t="n"/>
      <c r="C6692" s="40" t="n"/>
      <c r="D6692" s="52">
        <f t="array" ref="D6692:W6692">IF(All_Students_Scores!C6690:V6690="","",All_Students_Scores!C6690:V6690)</f>
        <v/>
      </c>
      <c r="E6692" s="57" t="str"/>
      <c r="F6692" s="49" t="str"/>
      <c r="G6692" s="59" t="str"/>
      <c r="H6692" s="64" t="str"/>
      <c r="I6692" s="65" t="str"/>
      <c r="J6692" s="49" t="str"/>
      <c r="K6692" s="41" t="str"/>
      <c r="L6692" s="41" t="str"/>
      <c r="M6692" s="41" t="str"/>
      <c r="N6692" s="41" t="str"/>
      <c r="O6692" s="41" t="str"/>
      <c r="P6692" s="41" t="str"/>
      <c r="Q6692" s="41" t="str"/>
      <c r="R6692" s="41" t="str"/>
      <c r="S6692" s="41" t="str"/>
      <c r="T6692" s="41" t="str"/>
      <c r="U6692" s="41" t="str"/>
      <c r="V6692" s="41" t="str"/>
      <c r="W6692" s="41" t="str"/>
    </row>
    <row r="6693">
      <c r="B6693" s="2" t="n"/>
      <c r="C6693" s="40" t="n"/>
      <c r="D6693" s="52">
        <f t="array" ref="D6693:W6693">IF(All_Students_Scores!C6691:V6691="","",All_Students_Scores!C6691:V6691)</f>
        <v/>
      </c>
      <c r="E6693" s="57" t="str"/>
      <c r="F6693" s="49" t="str"/>
      <c r="G6693" s="59" t="str"/>
      <c r="H6693" s="64" t="str"/>
      <c r="I6693" s="65" t="str"/>
      <c r="J6693" s="49" t="str"/>
      <c r="K6693" s="41" t="str"/>
      <c r="L6693" s="41" t="str"/>
      <c r="M6693" s="41" t="str"/>
      <c r="N6693" s="41" t="str"/>
      <c r="O6693" s="41" t="str"/>
      <c r="P6693" s="41" t="str"/>
      <c r="Q6693" s="41" t="str"/>
      <c r="R6693" s="41" t="str"/>
      <c r="S6693" s="41" t="str"/>
      <c r="T6693" s="41" t="str"/>
      <c r="U6693" s="41" t="str"/>
      <c r="V6693" s="41" t="str"/>
      <c r="W6693" s="41" t="str"/>
    </row>
    <row r="6694">
      <c r="B6694" s="2" t="n"/>
      <c r="C6694" s="40" t="n"/>
      <c r="D6694" s="52">
        <f t="array" ref="D6694:W6694">IF(All_Students_Scores!C6692:V6692="","",All_Students_Scores!C6692:V6692)</f>
        <v/>
      </c>
      <c r="E6694" s="57" t="str"/>
      <c r="F6694" s="49" t="str"/>
      <c r="G6694" s="59" t="str"/>
      <c r="H6694" s="64" t="str"/>
      <c r="I6694" s="65" t="str"/>
      <c r="J6694" s="49" t="str"/>
      <c r="K6694" s="41" t="str"/>
      <c r="L6694" s="41" t="str"/>
      <c r="M6694" s="41" t="str"/>
      <c r="N6694" s="41" t="str"/>
      <c r="O6694" s="41" t="str"/>
      <c r="P6694" s="41" t="str"/>
      <c r="Q6694" s="41" t="str"/>
      <c r="R6694" s="41" t="str"/>
      <c r="S6694" s="41" t="str"/>
      <c r="T6694" s="41" t="str"/>
      <c r="U6694" s="41" t="str"/>
      <c r="V6694" s="41" t="str"/>
      <c r="W6694" s="41" t="str"/>
    </row>
    <row r="6695">
      <c r="B6695" s="2" t="n"/>
      <c r="C6695" s="40" t="n"/>
      <c r="D6695" s="52">
        <f t="array" ref="D6695:W6695">IF(All_Students_Scores!C6693:V6693="","",All_Students_Scores!C6693:V6693)</f>
        <v/>
      </c>
      <c r="E6695" s="57" t="str"/>
      <c r="F6695" s="49" t="str"/>
      <c r="G6695" s="59" t="str"/>
      <c r="H6695" s="64" t="str"/>
      <c r="I6695" s="65" t="str"/>
      <c r="J6695" s="49" t="str"/>
      <c r="K6695" s="41" t="str"/>
      <c r="L6695" s="41" t="str"/>
      <c r="M6695" s="41" t="str"/>
      <c r="N6695" s="41" t="str"/>
      <c r="O6695" s="41" t="str"/>
      <c r="P6695" s="41" t="str"/>
      <c r="Q6695" s="41" t="str"/>
      <c r="R6695" s="41" t="str"/>
      <c r="S6695" s="41" t="str"/>
      <c r="T6695" s="41" t="str"/>
      <c r="U6695" s="41" t="str"/>
      <c r="V6695" s="41" t="str"/>
      <c r="W6695" s="41" t="str"/>
    </row>
    <row r="6696">
      <c r="B6696" s="2" t="n"/>
      <c r="C6696" s="40" t="n"/>
      <c r="D6696" s="52">
        <f t="array" ref="D6696:W6696">IF(All_Students_Scores!C6694:V6694="","",All_Students_Scores!C6694:V6694)</f>
        <v/>
      </c>
      <c r="E6696" s="57" t="str"/>
      <c r="F6696" s="49" t="str"/>
      <c r="G6696" s="59" t="str"/>
      <c r="H6696" s="64" t="str"/>
      <c r="I6696" s="65" t="str"/>
      <c r="J6696" s="49" t="str"/>
      <c r="K6696" s="41" t="str"/>
      <c r="L6696" s="41" t="str"/>
      <c r="M6696" s="41" t="str"/>
      <c r="N6696" s="41" t="str"/>
      <c r="O6696" s="41" t="str"/>
      <c r="P6696" s="41" t="str"/>
      <c r="Q6696" s="41" t="str"/>
      <c r="R6696" s="41" t="str"/>
      <c r="S6696" s="41" t="str"/>
      <c r="T6696" s="41" t="str"/>
      <c r="U6696" s="41" t="str"/>
      <c r="V6696" s="41" t="str"/>
      <c r="W6696" s="41" t="str"/>
    </row>
    <row r="6697">
      <c r="B6697" s="2" t="n"/>
      <c r="C6697" s="40" t="n"/>
      <c r="D6697" s="52">
        <f t="array" ref="D6697:W6697">IF(All_Students_Scores!C6695:V6695="","",All_Students_Scores!C6695:V6695)</f>
        <v/>
      </c>
      <c r="E6697" s="57" t="str"/>
      <c r="F6697" s="49" t="str"/>
      <c r="G6697" s="59" t="str"/>
      <c r="H6697" s="64" t="str"/>
      <c r="I6697" s="65" t="str"/>
      <c r="J6697" s="49" t="str"/>
      <c r="K6697" s="41" t="str"/>
      <c r="L6697" s="41" t="str"/>
      <c r="M6697" s="41" t="str"/>
      <c r="N6697" s="41" t="str"/>
      <c r="O6697" s="41" t="str"/>
      <c r="P6697" s="41" t="str"/>
      <c r="Q6697" s="41" t="str"/>
      <c r="R6697" s="41" t="str"/>
      <c r="S6697" s="41" t="str"/>
      <c r="T6697" s="41" t="str"/>
      <c r="U6697" s="41" t="str"/>
      <c r="V6697" s="41" t="str"/>
      <c r="W6697" s="41" t="str"/>
    </row>
    <row r="6698">
      <c r="B6698" s="2" t="n"/>
      <c r="C6698" s="40" t="n"/>
      <c r="D6698" s="52">
        <f t="array" ref="D6698:W6698">IF(All_Students_Scores!C6696:V6696="","",All_Students_Scores!C6696:V6696)</f>
        <v/>
      </c>
      <c r="E6698" s="57" t="str"/>
      <c r="F6698" s="49" t="str"/>
      <c r="G6698" s="59" t="str"/>
      <c r="H6698" s="64" t="str"/>
      <c r="I6698" s="65" t="str"/>
      <c r="J6698" s="49" t="str"/>
      <c r="K6698" s="41" t="str"/>
      <c r="L6698" s="41" t="str"/>
      <c r="M6698" s="41" t="str"/>
      <c r="N6698" s="41" t="str"/>
      <c r="O6698" s="41" t="str"/>
      <c r="P6698" s="41" t="str"/>
      <c r="Q6698" s="41" t="str"/>
      <c r="R6698" s="41" t="str"/>
      <c r="S6698" s="41" t="str"/>
      <c r="T6698" s="41" t="str"/>
      <c r="U6698" s="41" t="str"/>
      <c r="V6698" s="41" t="str"/>
      <c r="W6698" s="41" t="str"/>
    </row>
    <row r="6699">
      <c r="B6699" s="2" t="n"/>
      <c r="C6699" s="40" t="n"/>
      <c r="D6699" s="52">
        <f t="array" ref="D6699:W6699">IF(All_Students_Scores!C6697:V6697="","",All_Students_Scores!C6697:V6697)</f>
        <v/>
      </c>
      <c r="E6699" s="57" t="str"/>
      <c r="F6699" s="49" t="str"/>
      <c r="G6699" s="59" t="str"/>
      <c r="H6699" s="64" t="str"/>
      <c r="I6699" s="65" t="str"/>
      <c r="J6699" s="49" t="str"/>
      <c r="K6699" s="41" t="str"/>
      <c r="L6699" s="41" t="str"/>
      <c r="M6699" s="41" t="str"/>
      <c r="N6699" s="41" t="str"/>
      <c r="O6699" s="41" t="str"/>
      <c r="P6699" s="41" t="str"/>
      <c r="Q6699" s="41" t="str"/>
      <c r="R6699" s="41" t="str"/>
      <c r="S6699" s="41" t="str"/>
      <c r="T6699" s="41" t="str"/>
      <c r="U6699" s="41" t="str"/>
      <c r="V6699" s="41" t="str"/>
      <c r="W6699" s="41" t="str"/>
    </row>
    <row r="6700">
      <c r="B6700" s="2" t="n"/>
      <c r="C6700" s="40" t="n"/>
      <c r="D6700" s="52">
        <f t="array" ref="D6700:W6700">IF(All_Students_Scores!C6698:V6698="","",All_Students_Scores!C6698:V6698)</f>
        <v/>
      </c>
      <c r="E6700" s="57" t="str"/>
      <c r="F6700" s="49" t="str"/>
      <c r="G6700" s="59" t="str"/>
      <c r="H6700" s="64" t="str"/>
      <c r="I6700" s="65" t="str"/>
      <c r="J6700" s="49" t="str"/>
      <c r="K6700" s="41" t="str"/>
      <c r="L6700" s="41" t="str"/>
      <c r="M6700" s="41" t="str"/>
      <c r="N6700" s="41" t="str"/>
      <c r="O6700" s="41" t="str"/>
      <c r="P6700" s="41" t="str"/>
      <c r="Q6700" s="41" t="str"/>
      <c r="R6700" s="41" t="str"/>
      <c r="S6700" s="41" t="str"/>
      <c r="T6700" s="41" t="str"/>
      <c r="U6700" s="41" t="str"/>
      <c r="V6700" s="41" t="str"/>
      <c r="W6700" s="41" t="str"/>
    </row>
    <row r="6701">
      <c r="B6701" s="2" t="n"/>
      <c r="C6701" s="40" t="n"/>
      <c r="D6701" s="52">
        <f t="array" ref="D6701:W6701">IF(All_Students_Scores!C6699:V6699="","",All_Students_Scores!C6699:V6699)</f>
        <v/>
      </c>
      <c r="E6701" s="57" t="str"/>
      <c r="F6701" s="49" t="str"/>
      <c r="G6701" s="59" t="str"/>
      <c r="H6701" s="64" t="str"/>
      <c r="I6701" s="65" t="str"/>
      <c r="J6701" s="49" t="str"/>
      <c r="K6701" s="41" t="str"/>
      <c r="L6701" s="41" t="str"/>
      <c r="M6701" s="41" t="str"/>
      <c r="N6701" s="41" t="str"/>
      <c r="O6701" s="41" t="str"/>
      <c r="P6701" s="41" t="str"/>
      <c r="Q6701" s="41" t="str"/>
      <c r="R6701" s="41" t="str"/>
      <c r="S6701" s="41" t="str"/>
      <c r="T6701" s="41" t="str"/>
      <c r="U6701" s="41" t="str"/>
      <c r="V6701" s="41" t="str"/>
      <c r="W6701" s="41" t="str"/>
    </row>
    <row r="6702">
      <c r="B6702" s="2" t="n"/>
      <c r="C6702" s="40" t="n"/>
      <c r="D6702" s="52">
        <f t="array" ref="D6702:W6702">IF(All_Students_Scores!C6700:V6700="","",All_Students_Scores!C6700:V6700)</f>
        <v/>
      </c>
      <c r="E6702" s="57" t="str"/>
      <c r="F6702" s="49" t="str"/>
      <c r="G6702" s="59" t="str"/>
      <c r="H6702" s="64" t="str"/>
      <c r="I6702" s="65" t="str"/>
      <c r="J6702" s="49" t="str"/>
      <c r="K6702" s="41" t="str"/>
      <c r="L6702" s="41" t="str"/>
      <c r="M6702" s="41" t="str"/>
      <c r="N6702" s="41" t="str"/>
      <c r="O6702" s="41" t="str"/>
      <c r="P6702" s="41" t="str"/>
      <c r="Q6702" s="41" t="str"/>
      <c r="R6702" s="41" t="str"/>
      <c r="S6702" s="41" t="str"/>
      <c r="T6702" s="41" t="str"/>
      <c r="U6702" s="41" t="str"/>
      <c r="V6702" s="41" t="str"/>
      <c r="W6702" s="41" t="str"/>
    </row>
    <row r="6703">
      <c r="B6703" s="2" t="n"/>
      <c r="C6703" s="40" t="n"/>
      <c r="D6703" s="52">
        <f t="array" ref="D6703:W6703">IF(All_Students_Scores!C6701:V6701="","",All_Students_Scores!C6701:V6701)</f>
        <v/>
      </c>
      <c r="E6703" s="57" t="str"/>
      <c r="F6703" s="49" t="str"/>
      <c r="G6703" s="59" t="str"/>
      <c r="H6703" s="64" t="str"/>
      <c r="I6703" s="65" t="str"/>
      <c r="J6703" s="49" t="str"/>
      <c r="K6703" s="41" t="str"/>
      <c r="L6703" s="41" t="str"/>
      <c r="M6703" s="41" t="str"/>
      <c r="N6703" s="41" t="str"/>
      <c r="O6703" s="41" t="str"/>
      <c r="P6703" s="41" t="str"/>
      <c r="Q6703" s="41" t="str"/>
      <c r="R6703" s="41" t="str"/>
      <c r="S6703" s="41" t="str"/>
      <c r="T6703" s="41" t="str"/>
      <c r="U6703" s="41" t="str"/>
      <c r="V6703" s="41" t="str"/>
      <c r="W6703" s="41" t="str"/>
    </row>
    <row r="6704">
      <c r="B6704" s="2" t="n"/>
      <c r="C6704" s="40" t="n"/>
      <c r="D6704" s="52">
        <f t="array" ref="D6704:W6704">IF(All_Students_Scores!C6702:V6702="","",All_Students_Scores!C6702:V6702)</f>
        <v/>
      </c>
      <c r="E6704" s="57" t="str"/>
      <c r="F6704" s="49" t="str"/>
      <c r="G6704" s="59" t="str"/>
      <c r="H6704" s="64" t="str"/>
      <c r="I6704" s="65" t="str"/>
      <c r="J6704" s="49" t="str"/>
      <c r="K6704" s="41" t="str"/>
      <c r="L6704" s="41" t="str"/>
      <c r="M6704" s="41" t="str"/>
      <c r="N6704" s="41" t="str"/>
      <c r="O6704" s="41" t="str"/>
      <c r="P6704" s="41" t="str"/>
      <c r="Q6704" s="41" t="str"/>
      <c r="R6704" s="41" t="str"/>
      <c r="S6704" s="41" t="str"/>
      <c r="T6704" s="41" t="str"/>
      <c r="U6704" s="41" t="str"/>
      <c r="V6704" s="41" t="str"/>
      <c r="W6704" s="41" t="str"/>
    </row>
    <row r="6705">
      <c r="B6705" s="2" t="n"/>
      <c r="C6705" s="40" t="n"/>
      <c r="D6705" s="52">
        <f t="array" ref="D6705:W6705">IF(All_Students_Scores!C6703:V6703="","",All_Students_Scores!C6703:V6703)</f>
        <v/>
      </c>
      <c r="E6705" s="57" t="str"/>
      <c r="F6705" s="49" t="str"/>
      <c r="G6705" s="59" t="str"/>
      <c r="H6705" s="64" t="str"/>
      <c r="I6705" s="65" t="str"/>
      <c r="J6705" s="49" t="str"/>
      <c r="K6705" s="41" t="str"/>
      <c r="L6705" s="41" t="str"/>
      <c r="M6705" s="41" t="str"/>
      <c r="N6705" s="41" t="str"/>
      <c r="O6705" s="41" t="str"/>
      <c r="P6705" s="41" t="str"/>
      <c r="Q6705" s="41" t="str"/>
      <c r="R6705" s="41" t="str"/>
      <c r="S6705" s="41" t="str"/>
      <c r="T6705" s="41" t="str"/>
      <c r="U6705" s="41" t="str"/>
      <c r="V6705" s="41" t="str"/>
      <c r="W6705" s="41" t="str"/>
    </row>
    <row r="6706">
      <c r="B6706" s="2" t="n"/>
      <c r="C6706" s="40" t="n"/>
      <c r="D6706" s="52">
        <f t="array" ref="D6706:W6706">IF(All_Students_Scores!C6704:V6704="","",All_Students_Scores!C6704:V6704)</f>
        <v/>
      </c>
      <c r="E6706" s="57" t="str"/>
      <c r="F6706" s="49" t="str"/>
      <c r="G6706" s="59" t="str"/>
      <c r="H6706" s="64" t="str"/>
      <c r="I6706" s="65" t="str"/>
      <c r="J6706" s="49" t="str"/>
      <c r="K6706" s="41" t="str"/>
      <c r="L6706" s="41" t="str"/>
      <c r="M6706" s="41" t="str"/>
      <c r="N6706" s="41" t="str"/>
      <c r="O6706" s="41" t="str"/>
      <c r="P6706" s="41" t="str"/>
      <c r="Q6706" s="41" t="str"/>
      <c r="R6706" s="41" t="str"/>
      <c r="S6706" s="41" t="str"/>
      <c r="T6706" s="41" t="str"/>
      <c r="U6706" s="41" t="str"/>
      <c r="V6706" s="41" t="str"/>
      <c r="W6706" s="41" t="str"/>
    </row>
    <row r="6707">
      <c r="B6707" s="2" t="n"/>
      <c r="C6707" s="40" t="n"/>
      <c r="D6707" s="52">
        <f t="array" ref="D6707:W6707">IF(All_Students_Scores!C6705:V6705="","",All_Students_Scores!C6705:V6705)</f>
        <v/>
      </c>
      <c r="E6707" s="57" t="str"/>
      <c r="F6707" s="49" t="str"/>
      <c r="G6707" s="59" t="str"/>
      <c r="H6707" s="64" t="str"/>
      <c r="I6707" s="65" t="str"/>
      <c r="J6707" s="49" t="str"/>
      <c r="K6707" s="41" t="str"/>
      <c r="L6707" s="41" t="str"/>
      <c r="M6707" s="41" t="str"/>
      <c r="N6707" s="41" t="str"/>
      <c r="O6707" s="41" t="str"/>
      <c r="P6707" s="41" t="str"/>
      <c r="Q6707" s="41" t="str"/>
      <c r="R6707" s="41" t="str"/>
      <c r="S6707" s="41" t="str"/>
      <c r="T6707" s="41" t="str"/>
      <c r="U6707" s="41" t="str"/>
      <c r="V6707" s="41" t="str"/>
      <c r="W6707" s="41" t="str"/>
    </row>
    <row r="6708">
      <c r="B6708" s="2" t="n"/>
      <c r="C6708" s="40" t="n"/>
      <c r="D6708" s="52">
        <f t="array" ref="D6708:W6708">IF(All_Students_Scores!C6706:V6706="","",All_Students_Scores!C6706:V6706)</f>
        <v/>
      </c>
      <c r="E6708" s="57" t="str"/>
      <c r="F6708" s="49" t="str"/>
      <c r="G6708" s="59" t="str"/>
      <c r="H6708" s="64" t="str"/>
      <c r="I6708" s="65" t="str"/>
      <c r="J6708" s="49" t="str"/>
      <c r="K6708" s="41" t="str"/>
      <c r="L6708" s="41" t="str"/>
      <c r="M6708" s="41" t="str"/>
      <c r="N6708" s="41" t="str"/>
      <c r="O6708" s="41" t="str"/>
      <c r="P6708" s="41" t="str"/>
      <c r="Q6708" s="41" t="str"/>
      <c r="R6708" s="41" t="str"/>
      <c r="S6708" s="41" t="str"/>
      <c r="T6708" s="41" t="str"/>
      <c r="U6708" s="41" t="str"/>
      <c r="V6708" s="41" t="str"/>
      <c r="W6708" s="41" t="str"/>
    </row>
    <row r="6709">
      <c r="B6709" s="2" t="n"/>
      <c r="C6709" s="40" t="n"/>
      <c r="D6709" s="52">
        <f t="array" ref="D6709:W6709">IF(All_Students_Scores!C6707:V6707="","",All_Students_Scores!C6707:V6707)</f>
        <v/>
      </c>
      <c r="E6709" s="57" t="str"/>
      <c r="F6709" s="49" t="str"/>
      <c r="G6709" s="59" t="str"/>
      <c r="H6709" s="64" t="str"/>
      <c r="I6709" s="65" t="str"/>
      <c r="J6709" s="49" t="str"/>
      <c r="K6709" s="41" t="str"/>
      <c r="L6709" s="41" t="str"/>
      <c r="M6709" s="41" t="str"/>
      <c r="N6709" s="41" t="str"/>
      <c r="O6709" s="41" t="str"/>
      <c r="P6709" s="41" t="str"/>
      <c r="Q6709" s="41" t="str"/>
      <c r="R6709" s="41" t="str"/>
      <c r="S6709" s="41" t="str"/>
      <c r="T6709" s="41" t="str"/>
      <c r="U6709" s="41" t="str"/>
      <c r="V6709" s="41" t="str"/>
      <c r="W6709" s="41" t="str"/>
    </row>
    <row r="6710">
      <c r="B6710" s="2" t="n"/>
      <c r="C6710" s="40" t="n"/>
      <c r="D6710" s="52">
        <f t="array" ref="D6710:W6710">IF(All_Students_Scores!C6708:V6708="","",All_Students_Scores!C6708:V6708)</f>
        <v/>
      </c>
      <c r="E6710" s="57" t="str"/>
      <c r="F6710" s="49" t="str"/>
      <c r="G6710" s="59" t="str"/>
      <c r="H6710" s="64" t="str"/>
      <c r="I6710" s="65" t="str"/>
      <c r="J6710" s="49" t="str"/>
      <c r="K6710" s="41" t="str"/>
      <c r="L6710" s="41" t="str"/>
      <c r="M6710" s="41" t="str"/>
      <c r="N6710" s="41" t="str"/>
      <c r="O6710" s="41" t="str"/>
      <c r="P6710" s="41" t="str"/>
      <c r="Q6710" s="41" t="str"/>
      <c r="R6710" s="41" t="str"/>
      <c r="S6710" s="41" t="str"/>
      <c r="T6710" s="41" t="str"/>
      <c r="U6710" s="41" t="str"/>
      <c r="V6710" s="41" t="str"/>
      <c r="W6710" s="41" t="str"/>
    </row>
    <row r="6711">
      <c r="B6711" s="2" t="n"/>
      <c r="C6711" s="40" t="n"/>
      <c r="D6711" s="52">
        <f t="array" ref="D6711:W6711">IF(All_Students_Scores!C6709:V6709="","",All_Students_Scores!C6709:V6709)</f>
        <v/>
      </c>
      <c r="E6711" s="57" t="str"/>
      <c r="F6711" s="49" t="str"/>
      <c r="G6711" s="59" t="str"/>
      <c r="H6711" s="64" t="str"/>
      <c r="I6711" s="65" t="str"/>
      <c r="J6711" s="49" t="str"/>
      <c r="K6711" s="41" t="str"/>
      <c r="L6711" s="41" t="str"/>
      <c r="M6711" s="41" t="str"/>
      <c r="N6711" s="41" t="str"/>
      <c r="O6711" s="41" t="str"/>
      <c r="P6711" s="41" t="str"/>
      <c r="Q6711" s="41" t="str"/>
      <c r="R6711" s="41" t="str"/>
      <c r="S6711" s="41" t="str"/>
      <c r="T6711" s="41" t="str"/>
      <c r="U6711" s="41" t="str"/>
      <c r="V6711" s="41" t="str"/>
      <c r="W6711" s="41" t="str"/>
    </row>
    <row r="6712">
      <c r="B6712" s="2" t="n"/>
      <c r="C6712" s="40" t="n"/>
      <c r="D6712" s="52">
        <f t="array" ref="D6712:W6712">IF(All_Students_Scores!C6710:V6710="","",All_Students_Scores!C6710:V6710)</f>
        <v/>
      </c>
      <c r="E6712" s="57" t="str"/>
      <c r="F6712" s="49" t="str"/>
      <c r="G6712" s="59" t="str"/>
      <c r="H6712" s="64" t="str"/>
      <c r="I6712" s="65" t="str"/>
      <c r="J6712" s="49" t="str"/>
      <c r="K6712" s="41" t="str"/>
      <c r="L6712" s="41" t="str"/>
      <c r="M6712" s="41" t="str"/>
      <c r="N6712" s="41" t="str"/>
      <c r="O6712" s="41" t="str"/>
      <c r="P6712" s="41" t="str"/>
      <c r="Q6712" s="41" t="str"/>
      <c r="R6712" s="41" t="str"/>
      <c r="S6712" s="41" t="str"/>
      <c r="T6712" s="41" t="str"/>
      <c r="U6712" s="41" t="str"/>
      <c r="V6712" s="41" t="str"/>
      <c r="W6712" s="41" t="str"/>
    </row>
    <row r="6713">
      <c r="B6713" s="2" t="n"/>
      <c r="C6713" s="40" t="n"/>
      <c r="D6713" s="52">
        <f t="array" ref="D6713:W6713">IF(All_Students_Scores!C6711:V6711="","",All_Students_Scores!C6711:V6711)</f>
        <v/>
      </c>
      <c r="E6713" s="57" t="str"/>
      <c r="F6713" s="49" t="str"/>
      <c r="G6713" s="59" t="str"/>
      <c r="H6713" s="64" t="str"/>
      <c r="I6713" s="65" t="str"/>
      <c r="J6713" s="49" t="str"/>
      <c r="K6713" s="41" t="str"/>
      <c r="L6713" s="41" t="str"/>
      <c r="M6713" s="41" t="str"/>
      <c r="N6713" s="41" t="str"/>
      <c r="O6713" s="41" t="str"/>
      <c r="P6713" s="41" t="str"/>
      <c r="Q6713" s="41" t="str"/>
      <c r="R6713" s="41" t="str"/>
      <c r="S6713" s="41" t="str"/>
      <c r="T6713" s="41" t="str"/>
      <c r="U6713" s="41" t="str"/>
      <c r="V6713" s="41" t="str"/>
      <c r="W6713" s="41" t="str"/>
    </row>
    <row r="6714">
      <c r="B6714" s="2" t="n"/>
      <c r="C6714" s="40" t="n"/>
      <c r="D6714" s="52">
        <f t="array" ref="D6714:W6714">IF(All_Students_Scores!C6712:V6712="","",All_Students_Scores!C6712:V6712)</f>
        <v/>
      </c>
      <c r="E6714" s="57" t="str"/>
      <c r="F6714" s="49" t="str"/>
      <c r="G6714" s="59" t="str"/>
      <c r="H6714" s="64" t="str"/>
      <c r="I6714" s="65" t="str"/>
      <c r="J6714" s="49" t="str"/>
      <c r="K6714" s="41" t="str"/>
      <c r="L6714" s="41" t="str"/>
      <c r="M6714" s="41" t="str"/>
      <c r="N6714" s="41" t="str"/>
      <c r="O6714" s="41" t="str"/>
      <c r="P6714" s="41" t="str"/>
      <c r="Q6714" s="41" t="str"/>
      <c r="R6714" s="41" t="str"/>
      <c r="S6714" s="41" t="str"/>
      <c r="T6714" s="41" t="str"/>
      <c r="U6714" s="41" t="str"/>
      <c r="V6714" s="41" t="str"/>
      <c r="W6714" s="41" t="str"/>
    </row>
    <row r="6715">
      <c r="B6715" s="2" t="n"/>
      <c r="C6715" s="40" t="n"/>
      <c r="D6715" s="52">
        <f t="array" ref="D6715:W6715">IF(All_Students_Scores!C6713:V6713="","",All_Students_Scores!C6713:V6713)</f>
        <v/>
      </c>
      <c r="E6715" s="57" t="str"/>
      <c r="F6715" s="49" t="str"/>
      <c r="G6715" s="59" t="str"/>
      <c r="H6715" s="64" t="str"/>
      <c r="I6715" s="65" t="str"/>
      <c r="J6715" s="49" t="str"/>
      <c r="K6715" s="41" t="str"/>
      <c r="L6715" s="41" t="str"/>
      <c r="M6715" s="41" t="str"/>
      <c r="N6715" s="41" t="str"/>
      <c r="O6715" s="41" t="str"/>
      <c r="P6715" s="41" t="str"/>
      <c r="Q6715" s="41" t="str"/>
      <c r="R6715" s="41" t="str"/>
      <c r="S6715" s="41" t="str"/>
      <c r="T6715" s="41" t="str"/>
      <c r="U6715" s="41" t="str"/>
      <c r="V6715" s="41" t="str"/>
      <c r="W6715" s="41" t="str"/>
    </row>
    <row r="6716">
      <c r="B6716" s="2" t="n"/>
      <c r="C6716" s="40" t="n"/>
      <c r="D6716" s="52">
        <f t="array" ref="D6716:W6716">IF(All_Students_Scores!C6714:V6714="","",All_Students_Scores!C6714:V6714)</f>
        <v/>
      </c>
      <c r="E6716" s="57" t="str"/>
      <c r="F6716" s="49" t="str"/>
      <c r="G6716" s="59" t="str"/>
      <c r="H6716" s="64" t="str"/>
      <c r="I6716" s="65" t="str"/>
      <c r="J6716" s="49" t="str"/>
      <c r="K6716" s="41" t="str"/>
      <c r="L6716" s="41" t="str"/>
      <c r="M6716" s="41" t="str"/>
      <c r="N6716" s="41" t="str"/>
      <c r="O6716" s="41" t="str"/>
      <c r="P6716" s="41" t="str"/>
      <c r="Q6716" s="41" t="str"/>
      <c r="R6716" s="41" t="str"/>
      <c r="S6716" s="41" t="str"/>
      <c r="T6716" s="41" t="str"/>
      <c r="U6716" s="41" t="str"/>
      <c r="V6716" s="41" t="str"/>
      <c r="W6716" s="41" t="str"/>
    </row>
    <row r="6717">
      <c r="B6717" s="2" t="n"/>
      <c r="C6717" s="40" t="n"/>
      <c r="D6717" s="52">
        <f t="array" ref="D6717:W6717">IF(All_Students_Scores!C6715:V6715="","",All_Students_Scores!C6715:V6715)</f>
        <v/>
      </c>
      <c r="E6717" s="57" t="str"/>
      <c r="F6717" s="49" t="str"/>
      <c r="G6717" s="59" t="str"/>
      <c r="H6717" s="64" t="str"/>
      <c r="I6717" s="65" t="str"/>
      <c r="J6717" s="49" t="str"/>
      <c r="K6717" s="41" t="str"/>
      <c r="L6717" s="41" t="str"/>
      <c r="M6717" s="41" t="str"/>
      <c r="N6717" s="41" t="str"/>
      <c r="O6717" s="41" t="str"/>
      <c r="P6717" s="41" t="str"/>
      <c r="Q6717" s="41" t="str"/>
      <c r="R6717" s="41" t="str"/>
      <c r="S6717" s="41" t="str"/>
      <c r="T6717" s="41" t="str"/>
      <c r="U6717" s="41" t="str"/>
      <c r="V6717" s="41" t="str"/>
      <c r="W6717" s="41" t="str"/>
    </row>
    <row r="6718">
      <c r="B6718" s="2" t="n"/>
      <c r="C6718" s="40" t="n"/>
      <c r="D6718" s="52">
        <f t="array" ref="D6718:W6718">IF(All_Students_Scores!C6716:V6716="","",All_Students_Scores!C6716:V6716)</f>
        <v/>
      </c>
      <c r="E6718" s="57" t="str"/>
      <c r="F6718" s="49" t="str"/>
      <c r="G6718" s="59" t="str"/>
      <c r="H6718" s="64" t="str"/>
      <c r="I6718" s="65" t="str"/>
      <c r="J6718" s="49" t="str"/>
      <c r="K6718" s="41" t="str"/>
      <c r="L6718" s="41" t="str"/>
      <c r="M6718" s="41" t="str"/>
      <c r="N6718" s="41" t="str"/>
      <c r="O6718" s="41" t="str"/>
      <c r="P6718" s="41" t="str"/>
      <c r="Q6718" s="41" t="str"/>
      <c r="R6718" s="41" t="str"/>
      <c r="S6718" s="41" t="str"/>
      <c r="T6718" s="41" t="str"/>
      <c r="U6718" s="41" t="str"/>
      <c r="V6718" s="41" t="str"/>
      <c r="W6718" s="41" t="str"/>
    </row>
    <row r="6719">
      <c r="B6719" s="2" t="n"/>
      <c r="C6719" s="40" t="n"/>
      <c r="D6719" s="52">
        <f t="array" ref="D6719:W6719">IF(All_Students_Scores!C6717:V6717="","",All_Students_Scores!C6717:V6717)</f>
        <v/>
      </c>
      <c r="E6719" s="57" t="str"/>
      <c r="F6719" s="49" t="str"/>
      <c r="G6719" s="59" t="str"/>
      <c r="H6719" s="64" t="str"/>
      <c r="I6719" s="65" t="str"/>
      <c r="J6719" s="49" t="str"/>
      <c r="K6719" s="41" t="str"/>
      <c r="L6719" s="41" t="str"/>
      <c r="M6719" s="41" t="str"/>
      <c r="N6719" s="41" t="str"/>
      <c r="O6719" s="41" t="str"/>
      <c r="P6719" s="41" t="str"/>
      <c r="Q6719" s="41" t="str"/>
      <c r="R6719" s="41" t="str"/>
      <c r="S6719" s="41" t="str"/>
      <c r="T6719" s="41" t="str"/>
      <c r="U6719" s="41" t="str"/>
      <c r="V6719" s="41" t="str"/>
      <c r="W6719" s="41" t="str"/>
    </row>
    <row r="6720">
      <c r="B6720" s="2" t="n"/>
      <c r="C6720" s="40" t="n"/>
      <c r="D6720" s="52">
        <f t="array" ref="D6720:W6720">IF(All_Students_Scores!C6718:V6718="","",All_Students_Scores!C6718:V6718)</f>
        <v/>
      </c>
      <c r="E6720" s="57" t="str"/>
      <c r="F6720" s="49" t="str"/>
      <c r="G6720" s="59" t="str"/>
      <c r="H6720" s="64" t="str"/>
      <c r="I6720" s="65" t="str"/>
      <c r="J6720" s="49" t="str"/>
      <c r="K6720" s="41" t="str"/>
      <c r="L6720" s="41" t="str"/>
      <c r="M6720" s="41" t="str"/>
      <c r="N6720" s="41" t="str"/>
      <c r="O6720" s="41" t="str"/>
      <c r="P6720" s="41" t="str"/>
      <c r="Q6720" s="41" t="str"/>
      <c r="R6720" s="41" t="str"/>
      <c r="S6720" s="41" t="str"/>
      <c r="T6720" s="41" t="str"/>
      <c r="U6720" s="41" t="str"/>
      <c r="V6720" s="41" t="str"/>
      <c r="W6720" s="41" t="str"/>
    </row>
    <row r="6721">
      <c r="B6721" s="2" t="n"/>
      <c r="C6721" s="40" t="n"/>
      <c r="D6721" s="52">
        <f t="array" ref="D6721:W6721">IF(All_Students_Scores!C6719:V6719="","",All_Students_Scores!C6719:V6719)</f>
        <v/>
      </c>
      <c r="E6721" s="57" t="str"/>
      <c r="F6721" s="49" t="str"/>
      <c r="G6721" s="59" t="str"/>
      <c r="H6721" s="64" t="str"/>
      <c r="I6721" s="65" t="str"/>
      <c r="J6721" s="49" t="str"/>
      <c r="K6721" s="41" t="str"/>
      <c r="L6721" s="41" t="str"/>
      <c r="M6721" s="41" t="str"/>
      <c r="N6721" s="41" t="str"/>
      <c r="O6721" s="41" t="str"/>
      <c r="P6721" s="41" t="str"/>
      <c r="Q6721" s="41" t="str"/>
      <c r="R6721" s="41" t="str"/>
      <c r="S6721" s="41" t="str"/>
      <c r="T6721" s="41" t="str"/>
      <c r="U6721" s="41" t="str"/>
      <c r="V6721" s="41" t="str"/>
      <c r="W6721" s="41" t="str"/>
    </row>
    <row r="6722">
      <c r="B6722" s="2" t="n"/>
      <c r="C6722" s="40" t="n"/>
      <c r="D6722" s="52">
        <f t="array" ref="D6722:W6722">IF(All_Students_Scores!C6720:V6720="","",All_Students_Scores!C6720:V6720)</f>
        <v/>
      </c>
      <c r="E6722" s="57" t="str"/>
      <c r="F6722" s="49" t="str"/>
      <c r="G6722" s="59" t="str"/>
      <c r="H6722" s="64" t="str"/>
      <c r="I6722" s="65" t="str"/>
      <c r="J6722" s="49" t="str"/>
      <c r="K6722" s="41" t="str"/>
      <c r="L6722" s="41" t="str"/>
      <c r="M6722" s="41" t="str"/>
      <c r="N6722" s="41" t="str"/>
      <c r="O6722" s="41" t="str"/>
      <c r="P6722" s="41" t="str"/>
      <c r="Q6722" s="41" t="str"/>
      <c r="R6722" s="41" t="str"/>
      <c r="S6722" s="41" t="str"/>
      <c r="T6722" s="41" t="str"/>
      <c r="U6722" s="41" t="str"/>
      <c r="V6722" s="41" t="str"/>
      <c r="W6722" s="41" t="str"/>
    </row>
    <row r="6723">
      <c r="B6723" s="2" t="n"/>
      <c r="C6723" s="40" t="n"/>
      <c r="D6723" s="52">
        <f t="array" ref="D6723:W6723">IF(All_Students_Scores!C6721:V6721="","",All_Students_Scores!C6721:V6721)</f>
        <v/>
      </c>
      <c r="E6723" s="57" t="str"/>
      <c r="F6723" s="49" t="str"/>
      <c r="G6723" s="59" t="str"/>
      <c r="H6723" s="64" t="str"/>
      <c r="I6723" s="65" t="str"/>
      <c r="J6723" s="49" t="str"/>
      <c r="K6723" s="41" t="str"/>
      <c r="L6723" s="41" t="str"/>
      <c r="M6723" s="41" t="str"/>
      <c r="N6723" s="41" t="str"/>
      <c r="O6723" s="41" t="str"/>
      <c r="P6723" s="41" t="str"/>
      <c r="Q6723" s="41" t="str"/>
      <c r="R6723" s="41" t="str"/>
      <c r="S6723" s="41" t="str"/>
      <c r="T6723" s="41" t="str"/>
      <c r="U6723" s="41" t="str"/>
      <c r="V6723" s="41" t="str"/>
      <c r="W6723" s="41" t="str"/>
    </row>
    <row r="6724">
      <c r="B6724" s="2" t="n"/>
      <c r="C6724" s="40" t="n"/>
      <c r="D6724" s="52">
        <f t="array" ref="D6724:W6724">IF(All_Students_Scores!C6722:V6722="","",All_Students_Scores!C6722:V6722)</f>
        <v/>
      </c>
      <c r="E6724" s="57" t="str"/>
      <c r="F6724" s="49" t="str"/>
      <c r="G6724" s="59" t="str"/>
      <c r="H6724" s="64" t="str"/>
      <c r="I6724" s="65" t="str"/>
      <c r="J6724" s="49" t="str"/>
      <c r="K6724" s="41" t="str"/>
      <c r="L6724" s="41" t="str"/>
      <c r="M6724" s="41" t="str"/>
      <c r="N6724" s="41" t="str"/>
      <c r="O6724" s="41" t="str"/>
      <c r="P6724" s="41" t="str"/>
      <c r="Q6724" s="41" t="str"/>
      <c r="R6724" s="41" t="str"/>
      <c r="S6724" s="41" t="str"/>
      <c r="T6724" s="41" t="str"/>
      <c r="U6724" s="41" t="str"/>
      <c r="V6724" s="41" t="str"/>
      <c r="W6724" s="41" t="str"/>
    </row>
    <row r="6725">
      <c r="B6725" s="2" t="n"/>
      <c r="C6725" s="40" t="n"/>
      <c r="D6725" s="52">
        <f t="array" ref="D6725:W6725">IF(All_Students_Scores!C6723:V6723="","",All_Students_Scores!C6723:V6723)</f>
        <v/>
      </c>
      <c r="E6725" s="57" t="str"/>
      <c r="F6725" s="49" t="str"/>
      <c r="G6725" s="59" t="str"/>
      <c r="H6725" s="64" t="str"/>
      <c r="I6725" s="65" t="str"/>
      <c r="J6725" s="49" t="str"/>
      <c r="K6725" s="41" t="str"/>
      <c r="L6725" s="41" t="str"/>
      <c r="M6725" s="41" t="str"/>
      <c r="N6725" s="41" t="str"/>
      <c r="O6725" s="41" t="str"/>
      <c r="P6725" s="41" t="str"/>
      <c r="Q6725" s="41" t="str"/>
      <c r="R6725" s="41" t="str"/>
      <c r="S6725" s="41" t="str"/>
      <c r="T6725" s="41" t="str"/>
      <c r="U6725" s="41" t="str"/>
      <c r="V6725" s="41" t="str"/>
      <c r="W6725" s="41" t="str"/>
    </row>
    <row r="6726">
      <c r="B6726" s="2" t="n"/>
      <c r="C6726" s="40" t="n"/>
      <c r="D6726" s="52">
        <f t="array" ref="D6726:W6726">IF(All_Students_Scores!C6724:V6724="","",All_Students_Scores!C6724:V6724)</f>
        <v/>
      </c>
      <c r="E6726" s="57" t="str"/>
      <c r="F6726" s="49" t="str"/>
      <c r="G6726" s="59" t="str"/>
      <c r="H6726" s="64" t="str"/>
      <c r="I6726" s="65" t="str"/>
      <c r="J6726" s="49" t="str"/>
      <c r="K6726" s="41" t="str"/>
      <c r="L6726" s="41" t="str"/>
      <c r="M6726" s="41" t="str"/>
      <c r="N6726" s="41" t="str"/>
      <c r="O6726" s="41" t="str"/>
      <c r="P6726" s="41" t="str"/>
      <c r="Q6726" s="41" t="str"/>
      <c r="R6726" s="41" t="str"/>
      <c r="S6726" s="41" t="str"/>
      <c r="T6726" s="41" t="str"/>
      <c r="U6726" s="41" t="str"/>
      <c r="V6726" s="41" t="str"/>
      <c r="W6726" s="41" t="str"/>
    </row>
    <row r="6727">
      <c r="B6727" s="2" t="n"/>
      <c r="C6727" s="40" t="n"/>
      <c r="D6727" s="52">
        <f t="array" ref="D6727:W6727">IF(All_Students_Scores!C6725:V6725="","",All_Students_Scores!C6725:V6725)</f>
        <v/>
      </c>
      <c r="E6727" s="57" t="str"/>
      <c r="F6727" s="49" t="str"/>
      <c r="G6727" s="59" t="str"/>
      <c r="H6727" s="64" t="str"/>
      <c r="I6727" s="65" t="str"/>
      <c r="J6727" s="49" t="str"/>
      <c r="K6727" s="41" t="str"/>
      <c r="L6727" s="41" t="str"/>
      <c r="M6727" s="41" t="str"/>
      <c r="N6727" s="41" t="str"/>
      <c r="O6727" s="41" t="str"/>
      <c r="P6727" s="41" t="str"/>
      <c r="Q6727" s="41" t="str"/>
      <c r="R6727" s="41" t="str"/>
      <c r="S6727" s="41" t="str"/>
      <c r="T6727" s="41" t="str"/>
      <c r="U6727" s="41" t="str"/>
      <c r="V6727" s="41" t="str"/>
      <c r="W6727" s="41" t="str"/>
    </row>
    <row r="6728">
      <c r="B6728" s="2" t="n"/>
      <c r="C6728" s="40" t="n"/>
      <c r="D6728" s="52">
        <f t="array" ref="D6728:W6728">IF(All_Students_Scores!C6726:V6726="","",All_Students_Scores!C6726:V6726)</f>
        <v/>
      </c>
      <c r="E6728" s="57" t="str"/>
      <c r="F6728" s="49" t="str"/>
      <c r="G6728" s="59" t="str"/>
      <c r="H6728" s="64" t="str"/>
      <c r="I6728" s="65" t="str"/>
      <c r="J6728" s="49" t="str"/>
      <c r="K6728" s="41" t="str"/>
      <c r="L6728" s="41" t="str"/>
      <c r="M6728" s="41" t="str"/>
      <c r="N6728" s="41" t="str"/>
      <c r="O6728" s="41" t="str"/>
      <c r="P6728" s="41" t="str"/>
      <c r="Q6728" s="41" t="str"/>
      <c r="R6728" s="41" t="str"/>
      <c r="S6728" s="41" t="str"/>
      <c r="T6728" s="41" t="str"/>
      <c r="U6728" s="41" t="str"/>
      <c r="V6728" s="41" t="str"/>
      <c r="W6728" s="41" t="str"/>
    </row>
    <row r="6729">
      <c r="B6729" s="2" t="n"/>
      <c r="C6729" s="40" t="n"/>
      <c r="D6729" s="52">
        <f t="array" ref="D6729:W6729">IF(All_Students_Scores!C6727:V6727="","",All_Students_Scores!C6727:V6727)</f>
        <v/>
      </c>
      <c r="E6729" s="57" t="str"/>
      <c r="F6729" s="49" t="str"/>
      <c r="G6729" s="59" t="str"/>
      <c r="H6729" s="64" t="str"/>
      <c r="I6729" s="65" t="str"/>
      <c r="J6729" s="49" t="str"/>
      <c r="K6729" s="41" t="str"/>
      <c r="L6729" s="41" t="str"/>
      <c r="M6729" s="41" t="str"/>
      <c r="N6729" s="41" t="str"/>
      <c r="O6729" s="41" t="str"/>
      <c r="P6729" s="41" t="str"/>
      <c r="Q6729" s="41" t="str"/>
      <c r="R6729" s="41" t="str"/>
      <c r="S6729" s="41" t="str"/>
      <c r="T6729" s="41" t="str"/>
      <c r="U6729" s="41" t="str"/>
      <c r="V6729" s="41" t="str"/>
      <c r="W6729" s="41" t="str"/>
    </row>
    <row r="6730">
      <c r="B6730" s="2" t="n"/>
      <c r="C6730" s="40" t="n"/>
      <c r="D6730" s="52">
        <f t="array" ref="D6730:W6730">IF(All_Students_Scores!C6728:V6728="","",All_Students_Scores!C6728:V6728)</f>
        <v/>
      </c>
      <c r="E6730" s="57" t="str"/>
      <c r="F6730" s="49" t="str"/>
      <c r="G6730" s="59" t="str"/>
      <c r="H6730" s="64" t="str"/>
      <c r="I6730" s="65" t="str"/>
      <c r="J6730" s="49" t="str"/>
      <c r="K6730" s="41" t="str"/>
      <c r="L6730" s="41" t="str"/>
      <c r="M6730" s="41" t="str"/>
      <c r="N6730" s="41" t="str"/>
      <c r="O6730" s="41" t="str"/>
      <c r="P6730" s="41" t="str"/>
      <c r="Q6730" s="41" t="str"/>
      <c r="R6730" s="41" t="str"/>
      <c r="S6730" s="41" t="str"/>
      <c r="T6730" s="41" t="str"/>
      <c r="U6730" s="41" t="str"/>
      <c r="V6730" s="41" t="str"/>
      <c r="W6730" s="41" t="str"/>
    </row>
    <row r="6731">
      <c r="B6731" s="2" t="n"/>
      <c r="C6731" s="40" t="n"/>
      <c r="D6731" s="52">
        <f t="array" ref="D6731:W6731">IF(All_Students_Scores!C6729:V6729="","",All_Students_Scores!C6729:V6729)</f>
        <v/>
      </c>
      <c r="E6731" s="57" t="str"/>
      <c r="F6731" s="49" t="str"/>
      <c r="G6731" s="59" t="str"/>
      <c r="H6731" s="64" t="str"/>
      <c r="I6731" s="65" t="str"/>
      <c r="J6731" s="49" t="str"/>
      <c r="K6731" s="41" t="str"/>
      <c r="L6731" s="41" t="str"/>
      <c r="M6731" s="41" t="str"/>
      <c r="N6731" s="41" t="str"/>
      <c r="O6731" s="41" t="str"/>
      <c r="P6731" s="41" t="str"/>
      <c r="Q6731" s="41" t="str"/>
      <c r="R6731" s="41" t="str"/>
      <c r="S6731" s="41" t="str"/>
      <c r="T6731" s="41" t="str"/>
      <c r="U6731" s="41" t="str"/>
      <c r="V6731" s="41" t="str"/>
      <c r="W6731" s="41" t="str"/>
    </row>
    <row r="6732">
      <c r="B6732" s="2" t="n"/>
      <c r="C6732" s="40" t="n"/>
      <c r="D6732" s="52">
        <f t="array" ref="D6732:W6732">IF(All_Students_Scores!C6730:V6730="","",All_Students_Scores!C6730:V6730)</f>
        <v/>
      </c>
      <c r="E6732" s="57" t="str"/>
      <c r="F6732" s="49" t="str"/>
      <c r="G6732" s="59" t="str"/>
      <c r="H6732" s="64" t="str"/>
      <c r="I6732" s="65" t="str"/>
      <c r="J6732" s="49" t="str"/>
      <c r="K6732" s="41" t="str"/>
      <c r="L6732" s="41" t="str"/>
      <c r="M6732" s="41" t="str"/>
      <c r="N6732" s="41" t="str"/>
      <c r="O6732" s="41" t="str"/>
      <c r="P6732" s="41" t="str"/>
      <c r="Q6732" s="41" t="str"/>
      <c r="R6732" s="41" t="str"/>
      <c r="S6732" s="41" t="str"/>
      <c r="T6732" s="41" t="str"/>
      <c r="U6732" s="41" t="str"/>
      <c r="V6732" s="41" t="str"/>
      <c r="W6732" s="41" t="str"/>
    </row>
    <row r="6733">
      <c r="B6733" s="2" t="n"/>
      <c r="C6733" s="40" t="n"/>
      <c r="D6733" s="52">
        <f t="array" ref="D6733:W6733">IF(All_Students_Scores!C6731:V6731="","",All_Students_Scores!C6731:V6731)</f>
        <v/>
      </c>
      <c r="E6733" s="57" t="str"/>
      <c r="F6733" s="49" t="str"/>
      <c r="G6733" s="59" t="str"/>
      <c r="H6733" s="64" t="str"/>
      <c r="I6733" s="65" t="str"/>
      <c r="J6733" s="49" t="str"/>
      <c r="K6733" s="41" t="str"/>
      <c r="L6733" s="41" t="str"/>
      <c r="M6733" s="41" t="str"/>
      <c r="N6733" s="41" t="str"/>
      <c r="O6733" s="41" t="str"/>
      <c r="P6733" s="41" t="str"/>
      <c r="Q6733" s="41" t="str"/>
      <c r="R6733" s="41" t="str"/>
      <c r="S6733" s="41" t="str"/>
      <c r="T6733" s="41" t="str"/>
      <c r="U6733" s="41" t="str"/>
      <c r="V6733" s="41" t="str"/>
      <c r="W6733" s="41" t="str"/>
    </row>
    <row r="6734">
      <c r="B6734" s="2" t="n"/>
      <c r="C6734" s="40" t="n"/>
      <c r="D6734" s="52">
        <f t="array" ref="D6734:W6734">IF(All_Students_Scores!C6732:V6732="","",All_Students_Scores!C6732:V6732)</f>
        <v/>
      </c>
      <c r="E6734" s="57" t="str"/>
      <c r="F6734" s="49" t="str"/>
      <c r="G6734" s="59" t="str"/>
      <c r="H6734" s="64" t="str"/>
      <c r="I6734" s="65" t="str"/>
      <c r="J6734" s="49" t="str"/>
      <c r="K6734" s="41" t="str"/>
      <c r="L6734" s="41" t="str"/>
      <c r="M6734" s="41" t="str"/>
      <c r="N6734" s="41" t="str"/>
      <c r="O6734" s="41" t="str"/>
      <c r="P6734" s="41" t="str"/>
      <c r="Q6734" s="41" t="str"/>
      <c r="R6734" s="41" t="str"/>
      <c r="S6734" s="41" t="str"/>
      <c r="T6734" s="41" t="str"/>
      <c r="U6734" s="41" t="str"/>
      <c r="V6734" s="41" t="str"/>
      <c r="W6734" s="41" t="str"/>
    </row>
    <row r="6735">
      <c r="B6735" s="2" t="n"/>
      <c r="C6735" s="40" t="n"/>
      <c r="D6735" s="52">
        <f t="array" ref="D6735:W6735">IF(All_Students_Scores!C6733:V6733="","",All_Students_Scores!C6733:V6733)</f>
        <v/>
      </c>
      <c r="E6735" s="57" t="str"/>
      <c r="F6735" s="49" t="str"/>
      <c r="G6735" s="59" t="str"/>
      <c r="H6735" s="64" t="str"/>
      <c r="I6735" s="65" t="str"/>
      <c r="J6735" s="49" t="str"/>
      <c r="K6735" s="41" t="str"/>
      <c r="L6735" s="41" t="str"/>
      <c r="M6735" s="41" t="str"/>
      <c r="N6735" s="41" t="str"/>
      <c r="O6735" s="41" t="str"/>
      <c r="P6735" s="41" t="str"/>
      <c r="Q6735" s="41" t="str"/>
      <c r="R6735" s="41" t="str"/>
      <c r="S6735" s="41" t="str"/>
      <c r="T6735" s="41" t="str"/>
      <c r="U6735" s="41" t="str"/>
      <c r="V6735" s="41" t="str"/>
      <c r="W6735" s="41" t="str"/>
    </row>
    <row r="6736">
      <c r="B6736" s="2" t="n"/>
      <c r="C6736" s="40" t="n"/>
      <c r="D6736" s="52">
        <f t="array" ref="D6736:W6736">IF(All_Students_Scores!C6734:V6734="","",All_Students_Scores!C6734:V6734)</f>
        <v/>
      </c>
      <c r="E6736" s="57" t="str"/>
      <c r="F6736" s="49" t="str"/>
      <c r="G6736" s="59" t="str"/>
      <c r="H6736" s="64" t="str"/>
      <c r="I6736" s="65" t="str"/>
      <c r="J6736" s="49" t="str"/>
      <c r="K6736" s="41" t="str"/>
      <c r="L6736" s="41" t="str"/>
      <c r="M6736" s="41" t="str"/>
      <c r="N6736" s="41" t="str"/>
      <c r="O6736" s="41" t="str"/>
      <c r="P6736" s="41" t="str"/>
      <c r="Q6736" s="41" t="str"/>
      <c r="R6736" s="41" t="str"/>
      <c r="S6736" s="41" t="str"/>
      <c r="T6736" s="41" t="str"/>
      <c r="U6736" s="41" t="str"/>
      <c r="V6736" s="41" t="str"/>
      <c r="W6736" s="41" t="str"/>
    </row>
    <row r="6737">
      <c r="B6737" s="2" t="n"/>
      <c r="C6737" s="40" t="n"/>
      <c r="D6737" s="52">
        <f t="array" ref="D6737:W6737">IF(All_Students_Scores!C6735:V6735="","",All_Students_Scores!C6735:V6735)</f>
        <v/>
      </c>
      <c r="E6737" s="57" t="str"/>
      <c r="F6737" s="49" t="str"/>
      <c r="G6737" s="59" t="str"/>
      <c r="H6737" s="64" t="str"/>
      <c r="I6737" s="65" t="str"/>
      <c r="J6737" s="49" t="str"/>
      <c r="K6737" s="41" t="str"/>
      <c r="L6737" s="41" t="str"/>
      <c r="M6737" s="41" t="str"/>
      <c r="N6737" s="41" t="str"/>
      <c r="O6737" s="41" t="str"/>
      <c r="P6737" s="41" t="str"/>
      <c r="Q6737" s="41" t="str"/>
      <c r="R6737" s="41" t="str"/>
      <c r="S6737" s="41" t="str"/>
      <c r="T6737" s="41" t="str"/>
      <c r="U6737" s="41" t="str"/>
      <c r="V6737" s="41" t="str"/>
      <c r="W6737" s="41" t="str"/>
    </row>
    <row r="6738">
      <c r="B6738" s="2" t="n"/>
      <c r="C6738" s="40" t="n"/>
      <c r="D6738" s="52">
        <f t="array" ref="D6738:W6738">IF(All_Students_Scores!C6736:V6736="","",All_Students_Scores!C6736:V6736)</f>
        <v/>
      </c>
      <c r="E6738" s="57" t="str"/>
      <c r="F6738" s="49" t="str"/>
      <c r="G6738" s="59" t="str"/>
      <c r="H6738" s="64" t="str"/>
      <c r="I6738" s="65" t="str"/>
      <c r="J6738" s="49" t="str"/>
      <c r="K6738" s="41" t="str"/>
      <c r="L6738" s="41" t="str"/>
      <c r="M6738" s="41" t="str"/>
      <c r="N6738" s="41" t="str"/>
      <c r="O6738" s="41" t="str"/>
      <c r="P6738" s="41" t="str"/>
      <c r="Q6738" s="41" t="str"/>
      <c r="R6738" s="41" t="str"/>
      <c r="S6738" s="41" t="str"/>
      <c r="T6738" s="41" t="str"/>
      <c r="U6738" s="41" t="str"/>
      <c r="V6738" s="41" t="str"/>
      <c r="W6738" s="41" t="str"/>
    </row>
    <row r="6739">
      <c r="B6739" s="2" t="n"/>
      <c r="C6739" s="40" t="n"/>
      <c r="D6739" s="52">
        <f t="array" ref="D6739:W6739">IF(All_Students_Scores!C6737:V6737="","",All_Students_Scores!C6737:V6737)</f>
        <v/>
      </c>
      <c r="E6739" s="57" t="str"/>
      <c r="F6739" s="49" t="str"/>
      <c r="G6739" s="59" t="str"/>
      <c r="H6739" s="64" t="str"/>
      <c r="I6739" s="65" t="str"/>
      <c r="J6739" s="49" t="str"/>
      <c r="K6739" s="41" t="str"/>
      <c r="L6739" s="41" t="str"/>
      <c r="M6739" s="41" t="str"/>
      <c r="N6739" s="41" t="str"/>
      <c r="O6739" s="41" t="str"/>
      <c r="P6739" s="41" t="str"/>
      <c r="Q6739" s="41" t="str"/>
      <c r="R6739" s="41" t="str"/>
      <c r="S6739" s="41" t="str"/>
      <c r="T6739" s="41" t="str"/>
      <c r="U6739" s="41" t="str"/>
      <c r="V6739" s="41" t="str"/>
      <c r="W6739" s="41" t="str"/>
    </row>
    <row r="6740">
      <c r="B6740" s="2" t="n"/>
      <c r="C6740" s="40" t="n"/>
      <c r="D6740" s="52">
        <f t="array" ref="D6740:W6740">IF(All_Students_Scores!C6738:V6738="","",All_Students_Scores!C6738:V6738)</f>
        <v/>
      </c>
      <c r="E6740" s="57" t="str"/>
      <c r="F6740" s="49" t="str"/>
      <c r="G6740" s="59" t="str"/>
      <c r="H6740" s="64" t="str"/>
      <c r="I6740" s="65" t="str"/>
      <c r="J6740" s="49" t="str"/>
      <c r="K6740" s="41" t="str"/>
      <c r="L6740" s="41" t="str"/>
      <c r="M6740" s="41" t="str"/>
      <c r="N6740" s="41" t="str"/>
      <c r="O6740" s="41" t="str"/>
      <c r="P6740" s="41" t="str"/>
      <c r="Q6740" s="41" t="str"/>
      <c r="R6740" s="41" t="str"/>
      <c r="S6740" s="41" t="str"/>
      <c r="T6740" s="41" t="str"/>
      <c r="U6740" s="41" t="str"/>
      <c r="V6740" s="41" t="str"/>
      <c r="W6740" s="41" t="str"/>
    </row>
    <row r="6741">
      <c r="B6741" s="2" t="n"/>
      <c r="C6741" s="40" t="n"/>
      <c r="D6741" s="52">
        <f t="array" ref="D6741:W6741">IF(All_Students_Scores!C6739:V6739="","",All_Students_Scores!C6739:V6739)</f>
        <v/>
      </c>
      <c r="E6741" s="57" t="str"/>
      <c r="F6741" s="49" t="str"/>
      <c r="G6741" s="59" t="str"/>
      <c r="H6741" s="64" t="str"/>
      <c r="I6741" s="65" t="str"/>
      <c r="J6741" s="49" t="str"/>
      <c r="K6741" s="41" t="str"/>
      <c r="L6741" s="41" t="str"/>
      <c r="M6741" s="41" t="str"/>
      <c r="N6741" s="41" t="str"/>
      <c r="O6741" s="41" t="str"/>
      <c r="P6741" s="41" t="str"/>
      <c r="Q6741" s="41" t="str"/>
      <c r="R6741" s="41" t="str"/>
      <c r="S6741" s="41" t="str"/>
      <c r="T6741" s="41" t="str"/>
      <c r="U6741" s="41" t="str"/>
      <c r="V6741" s="41" t="str"/>
      <c r="W6741" s="41" t="str"/>
    </row>
    <row r="6742">
      <c r="B6742" s="2" t="n"/>
      <c r="C6742" s="40" t="n"/>
      <c r="D6742" s="52">
        <f t="array" ref="D6742:W6742">IF(All_Students_Scores!C6740:V6740="","",All_Students_Scores!C6740:V6740)</f>
        <v/>
      </c>
      <c r="E6742" s="57" t="str"/>
      <c r="F6742" s="49" t="str"/>
      <c r="G6742" s="59" t="str"/>
      <c r="H6742" s="64" t="str"/>
      <c r="I6742" s="65" t="str"/>
      <c r="J6742" s="49" t="str"/>
      <c r="K6742" s="41" t="str"/>
      <c r="L6742" s="41" t="str"/>
      <c r="M6742" s="41" t="str"/>
      <c r="N6742" s="41" t="str"/>
      <c r="O6742" s="41" t="str"/>
      <c r="P6742" s="41" t="str"/>
      <c r="Q6742" s="41" t="str"/>
      <c r="R6742" s="41" t="str"/>
      <c r="S6742" s="41" t="str"/>
      <c r="T6742" s="41" t="str"/>
      <c r="U6742" s="41" t="str"/>
      <c r="V6742" s="41" t="str"/>
      <c r="W6742" s="41" t="str"/>
    </row>
    <row r="6743">
      <c r="B6743" s="2" t="n"/>
      <c r="C6743" s="40" t="n"/>
      <c r="D6743" s="52">
        <f t="array" ref="D6743:W6743">IF(All_Students_Scores!C6741:V6741="","",All_Students_Scores!C6741:V6741)</f>
        <v/>
      </c>
      <c r="E6743" s="57" t="str"/>
      <c r="F6743" s="49" t="str"/>
      <c r="G6743" s="59" t="str"/>
      <c r="H6743" s="64" t="str"/>
      <c r="I6743" s="65" t="str"/>
      <c r="J6743" s="49" t="str"/>
      <c r="K6743" s="41" t="str"/>
      <c r="L6743" s="41" t="str"/>
      <c r="M6743" s="41" t="str"/>
      <c r="N6743" s="41" t="str"/>
      <c r="O6743" s="41" t="str"/>
      <c r="P6743" s="41" t="str"/>
      <c r="Q6743" s="41" t="str"/>
      <c r="R6743" s="41" t="str"/>
      <c r="S6743" s="41" t="str"/>
      <c r="T6743" s="41" t="str"/>
      <c r="U6743" s="41" t="str"/>
      <c r="V6743" s="41" t="str"/>
      <c r="W6743" s="41" t="str"/>
    </row>
    <row r="6744">
      <c r="B6744" s="2" t="n"/>
      <c r="C6744" s="40" t="n"/>
      <c r="D6744" s="52">
        <f t="array" ref="D6744:W6744">IF(All_Students_Scores!C6742:V6742="","",All_Students_Scores!C6742:V6742)</f>
        <v/>
      </c>
      <c r="E6744" s="57" t="str"/>
      <c r="F6744" s="49" t="str"/>
      <c r="G6744" s="59" t="str"/>
      <c r="H6744" s="64" t="str"/>
      <c r="I6744" s="65" t="str"/>
      <c r="J6744" s="49" t="str"/>
      <c r="K6744" s="41" t="str"/>
      <c r="L6744" s="41" t="str"/>
      <c r="M6744" s="41" t="str"/>
      <c r="N6744" s="41" t="str"/>
      <c r="O6744" s="41" t="str"/>
      <c r="P6744" s="41" t="str"/>
      <c r="Q6744" s="41" t="str"/>
      <c r="R6744" s="41" t="str"/>
      <c r="S6744" s="41" t="str"/>
      <c r="T6744" s="41" t="str"/>
      <c r="U6744" s="41" t="str"/>
      <c r="V6744" s="41" t="str"/>
      <c r="W6744" s="41" t="str"/>
    </row>
    <row r="6745">
      <c r="B6745" s="2" t="n"/>
      <c r="C6745" s="40" t="n"/>
      <c r="D6745" s="52">
        <f t="array" ref="D6745:W6745">IF(All_Students_Scores!C6743:V6743="","",All_Students_Scores!C6743:V6743)</f>
        <v/>
      </c>
      <c r="E6745" s="57" t="str"/>
      <c r="F6745" s="49" t="str"/>
      <c r="G6745" s="59" t="str"/>
      <c r="H6745" s="64" t="str"/>
      <c r="I6745" s="65" t="str"/>
      <c r="J6745" s="49" t="str"/>
      <c r="K6745" s="41" t="str"/>
      <c r="L6745" s="41" t="str"/>
      <c r="M6745" s="41" t="str"/>
      <c r="N6745" s="41" t="str"/>
      <c r="O6745" s="41" t="str"/>
      <c r="P6745" s="41" t="str"/>
      <c r="Q6745" s="41" t="str"/>
      <c r="R6745" s="41" t="str"/>
      <c r="S6745" s="41" t="str"/>
      <c r="T6745" s="41" t="str"/>
      <c r="U6745" s="41" t="str"/>
      <c r="V6745" s="41" t="str"/>
      <c r="W6745" s="41" t="str"/>
    </row>
    <row r="6746">
      <c r="B6746" s="2" t="n"/>
      <c r="C6746" s="40" t="n"/>
      <c r="D6746" s="52">
        <f t="array" ref="D6746:W6746">IF(All_Students_Scores!C6744:V6744="","",All_Students_Scores!C6744:V6744)</f>
        <v/>
      </c>
      <c r="E6746" s="57" t="str"/>
      <c r="F6746" s="49" t="str"/>
      <c r="G6746" s="59" t="str"/>
      <c r="H6746" s="64" t="str"/>
      <c r="I6746" s="65" t="str"/>
      <c r="J6746" s="49" t="str"/>
      <c r="K6746" s="41" t="str"/>
      <c r="L6746" s="41" t="str"/>
      <c r="M6746" s="41" t="str"/>
      <c r="N6746" s="41" t="str"/>
      <c r="O6746" s="41" t="str"/>
      <c r="P6746" s="41" t="str"/>
      <c r="Q6746" s="41" t="str"/>
      <c r="R6746" s="41" t="str"/>
      <c r="S6746" s="41" t="str"/>
      <c r="T6746" s="41" t="str"/>
      <c r="U6746" s="41" t="str"/>
      <c r="V6746" s="41" t="str"/>
      <c r="W6746" s="41" t="str"/>
    </row>
    <row r="6747">
      <c r="B6747" s="2" t="n"/>
      <c r="C6747" s="40" t="n"/>
      <c r="D6747" s="52">
        <f t="array" ref="D6747:W6747">IF(All_Students_Scores!C6745:V6745="","",All_Students_Scores!C6745:V6745)</f>
        <v/>
      </c>
      <c r="E6747" s="57" t="str"/>
      <c r="F6747" s="49" t="str"/>
      <c r="G6747" s="59" t="str"/>
      <c r="H6747" s="64" t="str"/>
      <c r="I6747" s="65" t="str"/>
      <c r="J6747" s="49" t="str"/>
      <c r="K6747" s="41" t="str"/>
      <c r="L6747" s="41" t="str"/>
      <c r="M6747" s="41" t="str"/>
      <c r="N6747" s="41" t="str"/>
      <c r="O6747" s="41" t="str"/>
      <c r="P6747" s="41" t="str"/>
      <c r="Q6747" s="41" t="str"/>
      <c r="R6747" s="41" t="str"/>
      <c r="S6747" s="41" t="str"/>
      <c r="T6747" s="41" t="str"/>
      <c r="U6747" s="41" t="str"/>
      <c r="V6747" s="41" t="str"/>
      <c r="W6747" s="41" t="str"/>
    </row>
    <row r="6748">
      <c r="B6748" s="2" t="n"/>
      <c r="C6748" s="40" t="n"/>
      <c r="D6748" s="52">
        <f t="array" ref="D6748:W6748">IF(All_Students_Scores!C6746:V6746="","",All_Students_Scores!C6746:V6746)</f>
        <v/>
      </c>
      <c r="E6748" s="57" t="str"/>
      <c r="F6748" s="49" t="str"/>
      <c r="G6748" s="59" t="str"/>
      <c r="H6748" s="64" t="str"/>
      <c r="I6748" s="65" t="str"/>
      <c r="J6748" s="49" t="str"/>
      <c r="K6748" s="41" t="str"/>
      <c r="L6748" s="41" t="str"/>
      <c r="M6748" s="41" t="str"/>
      <c r="N6748" s="41" t="str"/>
      <c r="O6748" s="41" t="str"/>
      <c r="P6748" s="41" t="str"/>
      <c r="Q6748" s="41" t="str"/>
      <c r="R6748" s="41" t="str"/>
      <c r="S6748" s="41" t="str"/>
      <c r="T6748" s="41" t="str"/>
      <c r="U6748" s="41" t="str"/>
      <c r="V6748" s="41" t="str"/>
      <c r="W6748" s="41" t="str"/>
    </row>
    <row r="6749">
      <c r="B6749" s="2" t="n"/>
      <c r="C6749" s="40" t="n"/>
      <c r="D6749" s="52">
        <f t="array" ref="D6749:W6749">IF(All_Students_Scores!C6747:V6747="","",All_Students_Scores!C6747:V6747)</f>
        <v/>
      </c>
      <c r="E6749" s="57" t="str"/>
      <c r="F6749" s="49" t="str"/>
      <c r="G6749" s="59" t="str"/>
      <c r="H6749" s="64" t="str"/>
      <c r="I6749" s="65" t="str"/>
      <c r="J6749" s="49" t="str"/>
      <c r="K6749" s="41" t="str"/>
      <c r="L6749" s="41" t="str"/>
      <c r="M6749" s="41" t="str"/>
      <c r="N6749" s="41" t="str"/>
      <c r="O6749" s="41" t="str"/>
      <c r="P6749" s="41" t="str"/>
      <c r="Q6749" s="41" t="str"/>
      <c r="R6749" s="41" t="str"/>
      <c r="S6749" s="41" t="str"/>
      <c r="T6749" s="41" t="str"/>
      <c r="U6749" s="41" t="str"/>
      <c r="V6749" s="41" t="str"/>
      <c r="W6749" s="41" t="str"/>
    </row>
    <row r="6750">
      <c r="B6750" s="2" t="n"/>
      <c r="C6750" s="40" t="n"/>
      <c r="D6750" s="52">
        <f t="array" ref="D6750:W6750">IF(All_Students_Scores!C6748:V6748="","",All_Students_Scores!C6748:V6748)</f>
        <v/>
      </c>
      <c r="E6750" s="57" t="str"/>
      <c r="F6750" s="49" t="str"/>
      <c r="G6750" s="59" t="str"/>
      <c r="H6750" s="64" t="str"/>
      <c r="I6750" s="65" t="str"/>
      <c r="J6750" s="49" t="str"/>
      <c r="K6750" s="41" t="str"/>
      <c r="L6750" s="41" t="str"/>
      <c r="M6750" s="41" t="str"/>
      <c r="N6750" s="41" t="str"/>
      <c r="O6750" s="41" t="str"/>
      <c r="P6750" s="41" t="str"/>
      <c r="Q6750" s="41" t="str"/>
      <c r="R6750" s="41" t="str"/>
      <c r="S6750" s="41" t="str"/>
      <c r="T6750" s="41" t="str"/>
      <c r="U6750" s="41" t="str"/>
      <c r="V6750" s="41" t="str"/>
      <c r="W6750" s="41" t="str"/>
    </row>
    <row r="6751">
      <c r="B6751" s="2" t="n"/>
      <c r="C6751" s="40" t="n"/>
      <c r="D6751" s="52">
        <f t="array" ref="D6751:W6751">IF(All_Students_Scores!C6749:V6749="","",All_Students_Scores!C6749:V6749)</f>
        <v/>
      </c>
      <c r="E6751" s="57" t="str"/>
      <c r="F6751" s="49" t="str"/>
      <c r="G6751" s="59" t="str"/>
      <c r="H6751" s="64" t="str"/>
      <c r="I6751" s="65" t="str"/>
      <c r="J6751" s="49" t="str"/>
      <c r="K6751" s="41" t="str"/>
      <c r="L6751" s="41" t="str"/>
      <c r="M6751" s="41" t="str"/>
      <c r="N6751" s="41" t="str"/>
      <c r="O6751" s="41" t="str"/>
      <c r="P6751" s="41" t="str"/>
      <c r="Q6751" s="41" t="str"/>
      <c r="R6751" s="41" t="str"/>
      <c r="S6751" s="41" t="str"/>
      <c r="T6751" s="41" t="str"/>
      <c r="U6751" s="41" t="str"/>
      <c r="V6751" s="41" t="str"/>
      <c r="W6751" s="41" t="str"/>
    </row>
    <row r="6752">
      <c r="B6752" s="2" t="n"/>
      <c r="C6752" s="40" t="n"/>
      <c r="D6752" s="52">
        <f t="array" ref="D6752:W6752">IF(All_Students_Scores!C6750:V6750="","",All_Students_Scores!C6750:V6750)</f>
        <v/>
      </c>
      <c r="E6752" s="57" t="str"/>
      <c r="F6752" s="49" t="str"/>
      <c r="G6752" s="59" t="str"/>
      <c r="H6752" s="64" t="str"/>
      <c r="I6752" s="65" t="str"/>
      <c r="J6752" s="49" t="str"/>
      <c r="K6752" s="41" t="str"/>
      <c r="L6752" s="41" t="str"/>
      <c r="M6752" s="41" t="str"/>
      <c r="N6752" s="41" t="str"/>
      <c r="O6752" s="41" t="str"/>
      <c r="P6752" s="41" t="str"/>
      <c r="Q6752" s="41" t="str"/>
      <c r="R6752" s="41" t="str"/>
      <c r="S6752" s="41" t="str"/>
      <c r="T6752" s="41" t="str"/>
      <c r="U6752" s="41" t="str"/>
      <c r="V6752" s="41" t="str"/>
      <c r="W6752" s="41" t="str"/>
    </row>
    <row r="6753">
      <c r="B6753" s="2" t="n"/>
      <c r="C6753" s="40" t="n"/>
      <c r="D6753" s="52">
        <f t="array" ref="D6753:W6753">IF(All_Students_Scores!C6751:V6751="","",All_Students_Scores!C6751:V6751)</f>
        <v/>
      </c>
      <c r="E6753" s="57" t="str"/>
      <c r="F6753" s="49" t="str"/>
      <c r="G6753" s="59" t="str"/>
      <c r="H6753" s="64" t="str"/>
      <c r="I6753" s="65" t="str"/>
      <c r="J6753" s="49" t="str"/>
      <c r="K6753" s="41" t="str"/>
      <c r="L6753" s="41" t="str"/>
      <c r="M6753" s="41" t="str"/>
      <c r="N6753" s="41" t="str"/>
      <c r="O6753" s="41" t="str"/>
      <c r="P6753" s="41" t="str"/>
      <c r="Q6753" s="41" t="str"/>
      <c r="R6753" s="41" t="str"/>
      <c r="S6753" s="41" t="str"/>
      <c r="T6753" s="41" t="str"/>
      <c r="U6753" s="41" t="str"/>
      <c r="V6753" s="41" t="str"/>
      <c r="W6753" s="41" t="str"/>
    </row>
    <row r="6754">
      <c r="B6754" s="2" t="n"/>
      <c r="C6754" s="40" t="n"/>
      <c r="D6754" s="52">
        <f t="array" ref="D6754:W6754">IF(All_Students_Scores!C6752:V6752="","",All_Students_Scores!C6752:V6752)</f>
        <v/>
      </c>
      <c r="E6754" s="57" t="str"/>
      <c r="F6754" s="49" t="str"/>
      <c r="G6754" s="59" t="str"/>
      <c r="H6754" s="64" t="str"/>
      <c r="I6754" s="65" t="str"/>
      <c r="J6754" s="49" t="str"/>
      <c r="K6754" s="41" t="str"/>
      <c r="L6754" s="41" t="str"/>
      <c r="M6754" s="41" t="str"/>
      <c r="N6754" s="41" t="str"/>
      <c r="O6754" s="41" t="str"/>
      <c r="P6754" s="41" t="str"/>
      <c r="Q6754" s="41" t="str"/>
      <c r="R6754" s="41" t="str"/>
      <c r="S6754" s="41" t="str"/>
      <c r="T6754" s="41" t="str"/>
      <c r="U6754" s="41" t="str"/>
      <c r="V6754" s="41" t="str"/>
      <c r="W6754" s="41" t="str"/>
    </row>
    <row r="6755">
      <c r="B6755" s="2" t="n"/>
      <c r="C6755" s="40" t="n"/>
      <c r="D6755" s="52">
        <f t="array" ref="D6755:W6755">IF(All_Students_Scores!C6753:V6753="","",All_Students_Scores!C6753:V6753)</f>
        <v/>
      </c>
      <c r="E6755" s="57" t="str"/>
      <c r="F6755" s="49" t="str"/>
      <c r="G6755" s="59" t="str"/>
      <c r="H6755" s="64" t="str"/>
      <c r="I6755" s="65" t="str"/>
      <c r="J6755" s="49" t="str"/>
      <c r="K6755" s="41" t="str"/>
      <c r="L6755" s="41" t="str"/>
      <c r="M6755" s="41" t="str"/>
      <c r="N6755" s="41" t="str"/>
      <c r="O6755" s="41" t="str"/>
      <c r="P6755" s="41" t="str"/>
      <c r="Q6755" s="41" t="str"/>
      <c r="R6755" s="41" t="str"/>
      <c r="S6755" s="41" t="str"/>
      <c r="T6755" s="41" t="str"/>
      <c r="U6755" s="41" t="str"/>
      <c r="V6755" s="41" t="str"/>
      <c r="W6755" s="41" t="str"/>
    </row>
    <row r="6756">
      <c r="B6756" s="2" t="n"/>
      <c r="C6756" s="40" t="n"/>
      <c r="D6756" s="52">
        <f t="array" ref="D6756:W6756">IF(All_Students_Scores!C6754:V6754="","",All_Students_Scores!C6754:V6754)</f>
        <v/>
      </c>
      <c r="E6756" s="57" t="str"/>
      <c r="F6756" s="49" t="str"/>
      <c r="G6756" s="59" t="str"/>
      <c r="H6756" s="64" t="str"/>
      <c r="I6756" s="65" t="str"/>
      <c r="J6756" s="49" t="str"/>
      <c r="K6756" s="41" t="str"/>
      <c r="L6756" s="41" t="str"/>
      <c r="M6756" s="41" t="str"/>
      <c r="N6756" s="41" t="str"/>
      <c r="O6756" s="41" t="str"/>
      <c r="P6756" s="41" t="str"/>
      <c r="Q6756" s="41" t="str"/>
      <c r="R6756" s="41" t="str"/>
      <c r="S6756" s="41" t="str"/>
      <c r="T6756" s="41" t="str"/>
      <c r="U6756" s="41" t="str"/>
      <c r="V6756" s="41" t="str"/>
      <c r="W6756" s="41" t="str"/>
    </row>
    <row r="6757">
      <c r="B6757" s="2" t="n"/>
      <c r="C6757" s="40" t="n"/>
      <c r="D6757" s="52">
        <f t="array" ref="D6757:W6757">IF(All_Students_Scores!C6755:V6755="","",All_Students_Scores!C6755:V6755)</f>
        <v/>
      </c>
      <c r="E6757" s="57" t="str"/>
      <c r="F6757" s="49" t="str"/>
      <c r="G6757" s="59" t="str"/>
      <c r="H6757" s="64" t="str"/>
      <c r="I6757" s="65" t="str"/>
      <c r="J6757" s="49" t="str"/>
      <c r="K6757" s="41" t="str"/>
      <c r="L6757" s="41" t="str"/>
      <c r="M6757" s="41" t="str"/>
      <c r="N6757" s="41" t="str"/>
      <c r="O6757" s="41" t="str"/>
      <c r="P6757" s="41" t="str"/>
      <c r="Q6757" s="41" t="str"/>
      <c r="R6757" s="41" t="str"/>
      <c r="S6757" s="41" t="str"/>
      <c r="T6757" s="41" t="str"/>
      <c r="U6757" s="41" t="str"/>
      <c r="V6757" s="41" t="str"/>
      <c r="W6757" s="41" t="str"/>
    </row>
    <row r="6758">
      <c r="B6758" s="2" t="n"/>
      <c r="C6758" s="40" t="n"/>
      <c r="D6758" s="52">
        <f t="array" ref="D6758:W6758">IF(All_Students_Scores!C6756:V6756="","",All_Students_Scores!C6756:V6756)</f>
        <v/>
      </c>
      <c r="E6758" s="57" t="str"/>
      <c r="F6758" s="49" t="str"/>
      <c r="G6758" s="59" t="str"/>
      <c r="H6758" s="64" t="str"/>
      <c r="I6758" s="65" t="str"/>
      <c r="J6758" s="49" t="str"/>
      <c r="K6758" s="41" t="str"/>
      <c r="L6758" s="41" t="str"/>
      <c r="M6758" s="41" t="str"/>
      <c r="N6758" s="41" t="str"/>
      <c r="O6758" s="41" t="str"/>
      <c r="P6758" s="41" t="str"/>
      <c r="Q6758" s="41" t="str"/>
      <c r="R6758" s="41" t="str"/>
      <c r="S6758" s="41" t="str"/>
      <c r="T6758" s="41" t="str"/>
      <c r="U6758" s="41" t="str"/>
      <c r="V6758" s="41" t="str"/>
      <c r="W6758" s="41" t="str"/>
    </row>
    <row r="6759">
      <c r="B6759" s="2" t="n"/>
      <c r="C6759" s="40" t="n"/>
      <c r="D6759" s="52">
        <f t="array" ref="D6759:W6759">IF(All_Students_Scores!C6757:V6757="","",All_Students_Scores!C6757:V6757)</f>
        <v/>
      </c>
      <c r="E6759" s="57" t="str"/>
      <c r="F6759" s="49" t="str"/>
      <c r="G6759" s="59" t="str"/>
      <c r="H6759" s="64" t="str"/>
      <c r="I6759" s="65" t="str"/>
      <c r="J6759" s="49" t="str"/>
      <c r="K6759" s="41" t="str"/>
      <c r="L6759" s="41" t="str"/>
      <c r="M6759" s="41" t="str"/>
      <c r="N6759" s="41" t="str"/>
      <c r="O6759" s="41" t="str"/>
      <c r="P6759" s="41" t="str"/>
      <c r="Q6759" s="41" t="str"/>
      <c r="R6759" s="41" t="str"/>
      <c r="S6759" s="41" t="str"/>
      <c r="T6759" s="41" t="str"/>
      <c r="U6759" s="41" t="str"/>
      <c r="V6759" s="41" t="str"/>
      <c r="W6759" s="41" t="str"/>
    </row>
    <row r="6760">
      <c r="B6760" s="2" t="n"/>
      <c r="C6760" s="40" t="n"/>
      <c r="D6760" s="52">
        <f t="array" ref="D6760:W6760">IF(All_Students_Scores!C6758:V6758="","",All_Students_Scores!C6758:V6758)</f>
        <v/>
      </c>
      <c r="E6760" s="57" t="str"/>
      <c r="F6760" s="49" t="str"/>
      <c r="G6760" s="59" t="str"/>
      <c r="H6760" s="64" t="str"/>
      <c r="I6760" s="65" t="str"/>
      <c r="J6760" s="49" t="str"/>
      <c r="K6760" s="41" t="str"/>
      <c r="L6760" s="41" t="str"/>
      <c r="M6760" s="41" t="str"/>
      <c r="N6760" s="41" t="str"/>
      <c r="O6760" s="41" t="str"/>
      <c r="P6760" s="41" t="str"/>
      <c r="Q6760" s="41" t="str"/>
      <c r="R6760" s="41" t="str"/>
      <c r="S6760" s="41" t="str"/>
      <c r="T6760" s="41" t="str"/>
      <c r="U6760" s="41" t="str"/>
      <c r="V6760" s="41" t="str"/>
      <c r="W6760" s="41" t="str"/>
    </row>
    <row r="6761">
      <c r="B6761" s="2" t="n"/>
      <c r="C6761" s="40" t="n"/>
      <c r="D6761" s="52">
        <f t="array" ref="D6761:W6761">IF(All_Students_Scores!C6759:V6759="","",All_Students_Scores!C6759:V6759)</f>
        <v/>
      </c>
      <c r="E6761" s="57" t="str"/>
      <c r="F6761" s="49" t="str"/>
      <c r="G6761" s="59" t="str"/>
      <c r="H6761" s="64" t="str"/>
      <c r="I6761" s="65" t="str"/>
      <c r="J6761" s="49" t="str"/>
      <c r="K6761" s="41" t="str"/>
      <c r="L6761" s="41" t="str"/>
      <c r="M6761" s="41" t="str"/>
      <c r="N6761" s="41" t="str"/>
      <c r="O6761" s="41" t="str"/>
      <c r="P6761" s="41" t="str"/>
      <c r="Q6761" s="41" t="str"/>
      <c r="R6761" s="41" t="str"/>
      <c r="S6761" s="41" t="str"/>
      <c r="T6761" s="41" t="str"/>
      <c r="U6761" s="41" t="str"/>
      <c r="V6761" s="41" t="str"/>
      <c r="W6761" s="41" t="str"/>
    </row>
    <row r="6762">
      <c r="B6762" s="2" t="n"/>
      <c r="C6762" s="40" t="n"/>
      <c r="D6762" s="52">
        <f t="array" ref="D6762:W6762">IF(All_Students_Scores!C6760:V6760="","",All_Students_Scores!C6760:V6760)</f>
        <v/>
      </c>
      <c r="E6762" s="57" t="str"/>
      <c r="F6762" s="49" t="str"/>
      <c r="G6762" s="59" t="str"/>
      <c r="H6762" s="64" t="str"/>
      <c r="I6762" s="65" t="str"/>
      <c r="J6762" s="49" t="str"/>
      <c r="K6762" s="41" t="str"/>
      <c r="L6762" s="41" t="str"/>
      <c r="M6762" s="41" t="str"/>
      <c r="N6762" s="41" t="str"/>
      <c r="O6762" s="41" t="str"/>
      <c r="P6762" s="41" t="str"/>
      <c r="Q6762" s="41" t="str"/>
      <c r="R6762" s="41" t="str"/>
      <c r="S6762" s="41" t="str"/>
      <c r="T6762" s="41" t="str"/>
      <c r="U6762" s="41" t="str"/>
      <c r="V6762" s="41" t="str"/>
      <c r="W6762" s="41" t="str"/>
    </row>
    <row r="6763">
      <c r="B6763" s="2" t="n"/>
      <c r="C6763" s="40" t="n"/>
      <c r="D6763" s="52">
        <f t="array" ref="D6763:W6763">IF(All_Students_Scores!C6761:V6761="","",All_Students_Scores!C6761:V6761)</f>
        <v/>
      </c>
      <c r="E6763" s="57" t="str"/>
      <c r="F6763" s="49" t="str"/>
      <c r="G6763" s="59" t="str"/>
      <c r="H6763" s="64" t="str"/>
      <c r="I6763" s="65" t="str"/>
      <c r="J6763" s="49" t="str"/>
      <c r="K6763" s="41" t="str"/>
      <c r="L6763" s="41" t="str"/>
      <c r="M6763" s="41" t="str"/>
      <c r="N6763" s="41" t="str"/>
      <c r="O6763" s="41" t="str"/>
      <c r="P6763" s="41" t="str"/>
      <c r="Q6763" s="41" t="str"/>
      <c r="R6763" s="41" t="str"/>
      <c r="S6763" s="41" t="str"/>
      <c r="T6763" s="41" t="str"/>
      <c r="U6763" s="41" t="str"/>
      <c r="V6763" s="41" t="str"/>
      <c r="W6763" s="41" t="str"/>
    </row>
    <row r="6764">
      <c r="B6764" s="2" t="n"/>
      <c r="C6764" s="40" t="n"/>
      <c r="D6764" s="52">
        <f t="array" ref="D6764:W6764">IF(All_Students_Scores!C6762:V6762="","",All_Students_Scores!C6762:V6762)</f>
        <v/>
      </c>
      <c r="E6764" s="57" t="str"/>
      <c r="F6764" s="49" t="str"/>
      <c r="G6764" s="59" t="str"/>
      <c r="H6764" s="64" t="str"/>
      <c r="I6764" s="65" t="str"/>
      <c r="J6764" s="49" t="str"/>
      <c r="K6764" s="41" t="str"/>
      <c r="L6764" s="41" t="str"/>
      <c r="M6764" s="41" t="str"/>
      <c r="N6764" s="41" t="str"/>
      <c r="O6764" s="41" t="str"/>
      <c r="P6764" s="41" t="str"/>
      <c r="Q6764" s="41" t="str"/>
      <c r="R6764" s="41" t="str"/>
      <c r="S6764" s="41" t="str"/>
      <c r="T6764" s="41" t="str"/>
      <c r="U6764" s="41" t="str"/>
      <c r="V6764" s="41" t="str"/>
      <c r="W6764" s="41" t="str"/>
    </row>
    <row r="6765">
      <c r="B6765" s="2" t="n"/>
      <c r="C6765" s="40" t="n"/>
      <c r="D6765" s="52">
        <f t="array" ref="D6765:W6765">IF(All_Students_Scores!C6763:V6763="","",All_Students_Scores!C6763:V6763)</f>
        <v/>
      </c>
      <c r="E6765" s="57" t="str"/>
      <c r="F6765" s="49" t="str"/>
      <c r="G6765" s="59" t="str"/>
      <c r="H6765" s="64" t="str"/>
      <c r="I6765" s="65" t="str"/>
      <c r="J6765" s="49" t="str"/>
      <c r="K6765" s="41" t="str"/>
      <c r="L6765" s="41" t="str"/>
      <c r="M6765" s="41" t="str"/>
      <c r="N6765" s="41" t="str"/>
      <c r="O6765" s="41" t="str"/>
      <c r="P6765" s="41" t="str"/>
      <c r="Q6765" s="41" t="str"/>
      <c r="R6765" s="41" t="str"/>
      <c r="S6765" s="41" t="str"/>
      <c r="T6765" s="41" t="str"/>
      <c r="U6765" s="41" t="str"/>
      <c r="V6765" s="41" t="str"/>
      <c r="W6765" s="41" t="str"/>
    </row>
    <row r="6766">
      <c r="B6766" s="2" t="n"/>
      <c r="C6766" s="40" t="n"/>
      <c r="D6766" s="52">
        <f t="array" ref="D6766:W6766">IF(All_Students_Scores!C6764:V6764="","",All_Students_Scores!C6764:V6764)</f>
        <v/>
      </c>
      <c r="E6766" s="57" t="str"/>
      <c r="F6766" s="49" t="str"/>
      <c r="G6766" s="59" t="str"/>
      <c r="H6766" s="64" t="str"/>
      <c r="I6766" s="65" t="str"/>
      <c r="J6766" s="49" t="str"/>
      <c r="K6766" s="41" t="str"/>
      <c r="L6766" s="41" t="str"/>
      <c r="M6766" s="41" t="str"/>
      <c r="N6766" s="41" t="str"/>
      <c r="O6766" s="41" t="str"/>
      <c r="P6766" s="41" t="str"/>
      <c r="Q6766" s="41" t="str"/>
      <c r="R6766" s="41" t="str"/>
      <c r="S6766" s="41" t="str"/>
      <c r="T6766" s="41" t="str"/>
      <c r="U6766" s="41" t="str"/>
      <c r="V6766" s="41" t="str"/>
      <c r="W6766" s="41" t="str"/>
    </row>
    <row r="6767">
      <c r="B6767" s="2" t="n"/>
      <c r="C6767" s="40" t="n"/>
      <c r="D6767" s="52">
        <f t="array" ref="D6767:W6767">IF(All_Students_Scores!C6765:V6765="","",All_Students_Scores!C6765:V6765)</f>
        <v/>
      </c>
      <c r="E6767" s="57" t="str"/>
      <c r="F6767" s="49" t="str"/>
      <c r="G6767" s="59" t="str"/>
      <c r="H6767" s="64" t="str"/>
      <c r="I6767" s="65" t="str"/>
      <c r="J6767" s="49" t="str"/>
      <c r="K6767" s="41" t="str"/>
      <c r="L6767" s="41" t="str"/>
      <c r="M6767" s="41" t="str"/>
      <c r="N6767" s="41" t="str"/>
      <c r="O6767" s="41" t="str"/>
      <c r="P6767" s="41" t="str"/>
      <c r="Q6767" s="41" t="str"/>
      <c r="R6767" s="41" t="str"/>
      <c r="S6767" s="41" t="str"/>
      <c r="T6767" s="41" t="str"/>
      <c r="U6767" s="41" t="str"/>
      <c r="V6767" s="41" t="str"/>
      <c r="W6767" s="41" t="str"/>
    </row>
    <row r="6768">
      <c r="B6768" s="2" t="n"/>
      <c r="C6768" s="40" t="n"/>
      <c r="D6768" s="52">
        <f t="array" ref="D6768:W6768">IF(All_Students_Scores!C6766:V6766="","",All_Students_Scores!C6766:V6766)</f>
        <v/>
      </c>
      <c r="E6768" s="57" t="str"/>
      <c r="F6768" s="49" t="str"/>
      <c r="G6768" s="59" t="str"/>
      <c r="H6768" s="64" t="str"/>
      <c r="I6768" s="65" t="str"/>
      <c r="J6768" s="49" t="str"/>
      <c r="K6768" s="41" t="str"/>
      <c r="L6768" s="41" t="str"/>
      <c r="M6768" s="41" t="str"/>
      <c r="N6768" s="41" t="str"/>
      <c r="O6768" s="41" t="str"/>
      <c r="P6768" s="41" t="str"/>
      <c r="Q6768" s="41" t="str"/>
      <c r="R6768" s="41" t="str"/>
      <c r="S6768" s="41" t="str"/>
      <c r="T6768" s="41" t="str"/>
      <c r="U6768" s="41" t="str"/>
      <c r="V6768" s="41" t="str"/>
      <c r="W6768" s="41" t="str"/>
    </row>
    <row r="6769">
      <c r="B6769" s="2" t="n"/>
      <c r="C6769" s="40" t="n"/>
      <c r="D6769" s="52">
        <f t="array" ref="D6769:W6769">IF(All_Students_Scores!C6767:V6767="","",All_Students_Scores!C6767:V6767)</f>
        <v/>
      </c>
      <c r="E6769" s="57" t="str"/>
      <c r="F6769" s="49" t="str"/>
      <c r="G6769" s="59" t="str"/>
      <c r="H6769" s="64" t="str"/>
      <c r="I6769" s="65" t="str"/>
      <c r="J6769" s="49" t="str"/>
      <c r="K6769" s="41" t="str"/>
      <c r="L6769" s="41" t="str"/>
      <c r="M6769" s="41" t="str"/>
      <c r="N6769" s="41" t="str"/>
      <c r="O6769" s="41" t="str"/>
      <c r="P6769" s="41" t="str"/>
      <c r="Q6769" s="41" t="str"/>
      <c r="R6769" s="41" t="str"/>
      <c r="S6769" s="41" t="str"/>
      <c r="T6769" s="41" t="str"/>
      <c r="U6769" s="41" t="str"/>
      <c r="V6769" s="41" t="str"/>
      <c r="W6769" s="41" t="str"/>
    </row>
    <row r="6770">
      <c r="B6770" s="2" t="n"/>
      <c r="C6770" s="40" t="n"/>
      <c r="D6770" s="52">
        <f t="array" ref="D6770:W6770">IF(All_Students_Scores!C6768:V6768="","",All_Students_Scores!C6768:V6768)</f>
        <v/>
      </c>
      <c r="E6770" s="57" t="str"/>
      <c r="F6770" s="49" t="str"/>
      <c r="G6770" s="59" t="str"/>
      <c r="H6770" s="64" t="str"/>
      <c r="I6770" s="65" t="str"/>
      <c r="J6770" s="49" t="str"/>
      <c r="K6770" s="41" t="str"/>
      <c r="L6770" s="41" t="str"/>
      <c r="M6770" s="41" t="str"/>
      <c r="N6770" s="41" t="str"/>
      <c r="O6770" s="41" t="str"/>
      <c r="P6770" s="41" t="str"/>
      <c r="Q6770" s="41" t="str"/>
      <c r="R6770" s="41" t="str"/>
      <c r="S6770" s="41" t="str"/>
      <c r="T6770" s="41" t="str"/>
      <c r="U6770" s="41" t="str"/>
      <c r="V6770" s="41" t="str"/>
      <c r="W6770" s="41" t="str"/>
    </row>
    <row r="6771">
      <c r="B6771" s="2" t="n"/>
      <c r="C6771" s="40" t="n"/>
      <c r="D6771" s="52">
        <f t="array" ref="D6771:W6771">IF(All_Students_Scores!C6769:V6769="","",All_Students_Scores!C6769:V6769)</f>
        <v/>
      </c>
      <c r="E6771" s="57" t="str"/>
      <c r="F6771" s="49" t="str"/>
      <c r="G6771" s="59" t="str"/>
      <c r="H6771" s="64" t="str"/>
      <c r="I6771" s="65" t="str"/>
      <c r="J6771" s="49" t="str"/>
      <c r="K6771" s="41" t="str"/>
      <c r="L6771" s="41" t="str"/>
      <c r="M6771" s="41" t="str"/>
      <c r="N6771" s="41" t="str"/>
      <c r="O6771" s="41" t="str"/>
      <c r="P6771" s="41" t="str"/>
      <c r="Q6771" s="41" t="str"/>
      <c r="R6771" s="41" t="str"/>
      <c r="S6771" s="41" t="str"/>
      <c r="T6771" s="41" t="str"/>
      <c r="U6771" s="41" t="str"/>
      <c r="V6771" s="41" t="str"/>
      <c r="W6771" s="41" t="str"/>
    </row>
    <row r="6772">
      <c r="B6772" s="2" t="n"/>
      <c r="C6772" s="40" t="n"/>
      <c r="D6772" s="52">
        <f t="array" ref="D6772:W6772">IF(All_Students_Scores!C6770:V6770="","",All_Students_Scores!C6770:V6770)</f>
        <v/>
      </c>
      <c r="E6772" s="57" t="str"/>
      <c r="F6772" s="49" t="str"/>
      <c r="G6772" s="59" t="str"/>
      <c r="H6772" s="64" t="str"/>
      <c r="I6772" s="65" t="str"/>
      <c r="J6772" s="49" t="str"/>
      <c r="K6772" s="41" t="str"/>
      <c r="L6772" s="41" t="str"/>
      <c r="M6772" s="41" t="str"/>
      <c r="N6772" s="41" t="str"/>
      <c r="O6772" s="41" t="str"/>
      <c r="P6772" s="41" t="str"/>
      <c r="Q6772" s="41" t="str"/>
      <c r="R6772" s="41" t="str"/>
      <c r="S6772" s="41" t="str"/>
      <c r="T6772" s="41" t="str"/>
      <c r="U6772" s="41" t="str"/>
      <c r="V6772" s="41" t="str"/>
      <c r="W6772" s="41" t="str"/>
    </row>
    <row r="6773">
      <c r="B6773" s="2" t="n"/>
      <c r="C6773" s="40" t="n"/>
      <c r="D6773" s="52">
        <f t="array" ref="D6773:W6773">IF(All_Students_Scores!C6771:V6771="","",All_Students_Scores!C6771:V6771)</f>
        <v/>
      </c>
      <c r="E6773" s="57" t="str"/>
      <c r="F6773" s="49" t="str"/>
      <c r="G6773" s="59" t="str"/>
      <c r="H6773" s="64" t="str"/>
      <c r="I6773" s="65" t="str"/>
      <c r="J6773" s="49" t="str"/>
      <c r="K6773" s="41" t="str"/>
      <c r="L6773" s="41" t="str"/>
      <c r="M6773" s="41" t="str"/>
      <c r="N6773" s="41" t="str"/>
      <c r="O6773" s="41" t="str"/>
      <c r="P6773" s="41" t="str"/>
      <c r="Q6773" s="41" t="str"/>
      <c r="R6773" s="41" t="str"/>
      <c r="S6773" s="41" t="str"/>
      <c r="T6773" s="41" t="str"/>
      <c r="U6773" s="41" t="str"/>
      <c r="V6773" s="41" t="str"/>
      <c r="W6773" s="41" t="str"/>
    </row>
    <row r="6774">
      <c r="B6774" s="2" t="n"/>
      <c r="C6774" s="40" t="n"/>
      <c r="D6774" s="52">
        <f t="array" ref="D6774:W6774">IF(All_Students_Scores!C6772:V6772="","",All_Students_Scores!C6772:V6772)</f>
        <v/>
      </c>
      <c r="E6774" s="57" t="str"/>
      <c r="F6774" s="49" t="str"/>
      <c r="G6774" s="59" t="str"/>
      <c r="H6774" s="64" t="str"/>
      <c r="I6774" s="65" t="str"/>
      <c r="J6774" s="49" t="str"/>
      <c r="K6774" s="41" t="str"/>
      <c r="L6774" s="41" t="str"/>
      <c r="M6774" s="41" t="str"/>
      <c r="N6774" s="41" t="str"/>
      <c r="O6774" s="41" t="str"/>
      <c r="P6774" s="41" t="str"/>
      <c r="Q6774" s="41" t="str"/>
      <c r="R6774" s="41" t="str"/>
      <c r="S6774" s="41" t="str"/>
      <c r="T6774" s="41" t="str"/>
      <c r="U6774" s="41" t="str"/>
      <c r="V6774" s="41" t="str"/>
      <c r="W6774" s="41" t="str"/>
    </row>
    <row r="6775">
      <c r="B6775" s="2" t="n"/>
      <c r="C6775" s="40" t="n"/>
      <c r="D6775" s="52">
        <f t="array" ref="D6775:W6775">IF(All_Students_Scores!C6773:V6773="","",All_Students_Scores!C6773:V6773)</f>
        <v/>
      </c>
      <c r="E6775" s="57" t="str"/>
      <c r="F6775" s="49" t="str"/>
      <c r="G6775" s="59" t="str"/>
      <c r="H6775" s="64" t="str"/>
      <c r="I6775" s="65" t="str"/>
      <c r="J6775" s="49" t="str"/>
      <c r="K6775" s="41" t="str"/>
      <c r="L6775" s="41" t="str"/>
      <c r="M6775" s="41" t="str"/>
      <c r="N6775" s="41" t="str"/>
      <c r="O6775" s="41" t="str"/>
      <c r="P6775" s="41" t="str"/>
      <c r="Q6775" s="41" t="str"/>
      <c r="R6775" s="41" t="str"/>
      <c r="S6775" s="41" t="str"/>
      <c r="T6775" s="41" t="str"/>
      <c r="U6775" s="41" t="str"/>
      <c r="V6775" s="41" t="str"/>
      <c r="W6775" s="41" t="str"/>
    </row>
    <row r="6776">
      <c r="B6776" s="2" t="n"/>
      <c r="C6776" s="40" t="n"/>
      <c r="D6776" s="52">
        <f t="array" ref="D6776:W6776">IF(All_Students_Scores!C6774:V6774="","",All_Students_Scores!C6774:V6774)</f>
        <v/>
      </c>
      <c r="E6776" s="57" t="str"/>
      <c r="F6776" s="49" t="str"/>
      <c r="G6776" s="59" t="str"/>
      <c r="H6776" s="64" t="str"/>
      <c r="I6776" s="65" t="str"/>
      <c r="J6776" s="49" t="str"/>
      <c r="K6776" s="41" t="str"/>
      <c r="L6776" s="41" t="str"/>
      <c r="M6776" s="41" t="str"/>
      <c r="N6776" s="41" t="str"/>
      <c r="O6776" s="41" t="str"/>
      <c r="P6776" s="41" t="str"/>
      <c r="Q6776" s="41" t="str"/>
      <c r="R6776" s="41" t="str"/>
      <c r="S6776" s="41" t="str"/>
      <c r="T6776" s="41" t="str"/>
      <c r="U6776" s="41" t="str"/>
      <c r="V6776" s="41" t="str"/>
      <c r="W6776" s="41" t="str"/>
    </row>
    <row r="6777">
      <c r="B6777" s="2" t="n"/>
      <c r="C6777" s="40" t="n"/>
      <c r="D6777" s="52">
        <f t="array" ref="D6777:W6777">IF(All_Students_Scores!C6775:V6775="","",All_Students_Scores!C6775:V6775)</f>
        <v/>
      </c>
      <c r="E6777" s="57" t="str"/>
      <c r="F6777" s="49" t="str"/>
      <c r="G6777" s="59" t="str"/>
      <c r="H6777" s="64" t="str"/>
      <c r="I6777" s="65" t="str"/>
      <c r="J6777" s="49" t="str"/>
      <c r="K6777" s="41" t="str"/>
      <c r="L6777" s="41" t="str"/>
      <c r="M6777" s="41" t="str"/>
      <c r="N6777" s="41" t="str"/>
      <c r="O6777" s="41" t="str"/>
      <c r="P6777" s="41" t="str"/>
      <c r="Q6777" s="41" t="str"/>
      <c r="R6777" s="41" t="str"/>
      <c r="S6777" s="41" t="str"/>
      <c r="T6777" s="41" t="str"/>
      <c r="U6777" s="41" t="str"/>
      <c r="V6777" s="41" t="str"/>
      <c r="W6777" s="41" t="str"/>
    </row>
    <row r="6778">
      <c r="B6778" s="2" t="n"/>
      <c r="C6778" s="40" t="n"/>
      <c r="D6778" s="52">
        <f t="array" ref="D6778:W6778">IF(All_Students_Scores!C6776:V6776="","",All_Students_Scores!C6776:V6776)</f>
        <v/>
      </c>
      <c r="E6778" s="57" t="str"/>
      <c r="F6778" s="49" t="str"/>
      <c r="G6778" s="59" t="str"/>
      <c r="H6778" s="64" t="str"/>
      <c r="I6778" s="65" t="str"/>
      <c r="J6778" s="49" t="str"/>
      <c r="K6778" s="41" t="str"/>
      <c r="L6778" s="41" t="str"/>
      <c r="M6778" s="41" t="str"/>
      <c r="N6778" s="41" t="str"/>
      <c r="O6778" s="41" t="str"/>
      <c r="P6778" s="41" t="str"/>
      <c r="Q6778" s="41" t="str"/>
      <c r="R6778" s="41" t="str"/>
      <c r="S6778" s="41" t="str"/>
      <c r="T6778" s="41" t="str"/>
      <c r="U6778" s="41" t="str"/>
      <c r="V6778" s="41" t="str"/>
      <c r="W6778" s="41" t="str"/>
    </row>
    <row r="6779">
      <c r="B6779" s="2" t="n"/>
      <c r="C6779" s="40" t="n"/>
      <c r="D6779" s="52">
        <f t="array" ref="D6779:W6779">IF(All_Students_Scores!C6777:V6777="","",All_Students_Scores!C6777:V6777)</f>
        <v/>
      </c>
      <c r="E6779" s="57" t="str"/>
      <c r="F6779" s="49" t="str"/>
      <c r="G6779" s="59" t="str"/>
      <c r="H6779" s="64" t="str"/>
      <c r="I6779" s="65" t="str"/>
      <c r="J6779" s="49" t="str"/>
      <c r="K6779" s="41" t="str"/>
      <c r="L6779" s="41" t="str"/>
      <c r="M6779" s="41" t="str"/>
      <c r="N6779" s="41" t="str"/>
      <c r="O6779" s="41" t="str"/>
      <c r="P6779" s="41" t="str"/>
      <c r="Q6779" s="41" t="str"/>
      <c r="R6779" s="41" t="str"/>
      <c r="S6779" s="41" t="str"/>
      <c r="T6779" s="41" t="str"/>
      <c r="U6779" s="41" t="str"/>
      <c r="V6779" s="41" t="str"/>
      <c r="W6779" s="41" t="str"/>
    </row>
    <row r="6780">
      <c r="B6780" s="2" t="n"/>
      <c r="C6780" s="40" t="n"/>
      <c r="D6780" s="52">
        <f t="array" ref="D6780:W6780">IF(All_Students_Scores!C6778:V6778="","",All_Students_Scores!C6778:V6778)</f>
        <v/>
      </c>
      <c r="E6780" s="57" t="str"/>
      <c r="F6780" s="49" t="str"/>
      <c r="G6780" s="59" t="str"/>
      <c r="H6780" s="64" t="str"/>
      <c r="I6780" s="65" t="str"/>
      <c r="J6780" s="49" t="str"/>
      <c r="K6780" s="41" t="str"/>
      <c r="L6780" s="41" t="str"/>
      <c r="M6780" s="41" t="str"/>
      <c r="N6780" s="41" t="str"/>
      <c r="O6780" s="41" t="str"/>
      <c r="P6780" s="41" t="str"/>
      <c r="Q6780" s="41" t="str"/>
      <c r="R6780" s="41" t="str"/>
      <c r="S6780" s="41" t="str"/>
      <c r="T6780" s="41" t="str"/>
      <c r="U6780" s="41" t="str"/>
      <c r="V6780" s="41" t="str"/>
      <c r="W6780" s="41" t="str"/>
    </row>
    <row r="6781">
      <c r="B6781" s="2" t="n"/>
      <c r="C6781" s="40" t="n"/>
      <c r="D6781" s="52">
        <f t="array" ref="D6781:W6781">IF(All_Students_Scores!C6779:V6779="","",All_Students_Scores!C6779:V6779)</f>
        <v/>
      </c>
      <c r="E6781" s="57" t="str"/>
      <c r="F6781" s="49" t="str"/>
      <c r="G6781" s="59" t="str"/>
      <c r="H6781" s="64" t="str"/>
      <c r="I6781" s="65" t="str"/>
      <c r="J6781" s="49" t="str"/>
      <c r="K6781" s="41" t="str"/>
      <c r="L6781" s="41" t="str"/>
      <c r="M6781" s="41" t="str"/>
      <c r="N6781" s="41" t="str"/>
      <c r="O6781" s="41" t="str"/>
      <c r="P6781" s="41" t="str"/>
      <c r="Q6781" s="41" t="str"/>
      <c r="R6781" s="41" t="str"/>
      <c r="S6781" s="41" t="str"/>
      <c r="T6781" s="41" t="str"/>
      <c r="U6781" s="41" t="str"/>
      <c r="V6781" s="41" t="str"/>
      <c r="W6781" s="41" t="str"/>
    </row>
    <row r="6782">
      <c r="B6782" s="2" t="n"/>
      <c r="C6782" s="40" t="n"/>
      <c r="D6782" s="52">
        <f t="array" ref="D6782:W6782">IF(All_Students_Scores!C6780:V6780="","",All_Students_Scores!C6780:V6780)</f>
        <v/>
      </c>
      <c r="E6782" s="57" t="str"/>
      <c r="F6782" s="49" t="str"/>
      <c r="G6782" s="59" t="str"/>
      <c r="H6782" s="64" t="str"/>
      <c r="I6782" s="65" t="str"/>
      <c r="J6782" s="49" t="str"/>
      <c r="K6782" s="41" t="str"/>
      <c r="L6782" s="41" t="str"/>
      <c r="M6782" s="41" t="str"/>
      <c r="N6782" s="41" t="str"/>
      <c r="O6782" s="41" t="str"/>
      <c r="P6782" s="41" t="str"/>
      <c r="Q6782" s="41" t="str"/>
      <c r="R6782" s="41" t="str"/>
      <c r="S6782" s="41" t="str"/>
      <c r="T6782" s="41" t="str"/>
      <c r="U6782" s="41" t="str"/>
      <c r="V6782" s="41" t="str"/>
      <c r="W6782" s="41" t="str"/>
    </row>
    <row r="6783">
      <c r="B6783" s="2" t="n"/>
      <c r="C6783" s="40" t="n"/>
      <c r="D6783" s="52">
        <f t="array" ref="D6783:W6783">IF(All_Students_Scores!C6781:V6781="","",All_Students_Scores!C6781:V6781)</f>
        <v/>
      </c>
      <c r="E6783" s="57" t="str"/>
      <c r="F6783" s="49" t="str"/>
      <c r="G6783" s="59" t="str"/>
      <c r="H6783" s="64" t="str"/>
      <c r="I6783" s="65" t="str"/>
      <c r="J6783" s="49" t="str"/>
      <c r="K6783" s="41" t="str"/>
      <c r="L6783" s="41" t="str"/>
      <c r="M6783" s="41" t="str"/>
      <c r="N6783" s="41" t="str"/>
      <c r="O6783" s="41" t="str"/>
      <c r="P6783" s="41" t="str"/>
      <c r="Q6783" s="41" t="str"/>
      <c r="R6783" s="41" t="str"/>
      <c r="S6783" s="41" t="str"/>
      <c r="T6783" s="41" t="str"/>
      <c r="U6783" s="41" t="str"/>
      <c r="V6783" s="41" t="str"/>
      <c r="W6783" s="41" t="str"/>
    </row>
    <row r="6784">
      <c r="B6784" s="2" t="n"/>
      <c r="C6784" s="40" t="n"/>
      <c r="D6784" s="52">
        <f t="array" ref="D6784:W6784">IF(All_Students_Scores!C6782:V6782="","",All_Students_Scores!C6782:V6782)</f>
        <v/>
      </c>
      <c r="E6784" s="57" t="str"/>
      <c r="F6784" s="49" t="str"/>
      <c r="G6784" s="59" t="str"/>
      <c r="H6784" s="64" t="str"/>
      <c r="I6784" s="65" t="str"/>
      <c r="J6784" s="49" t="str"/>
      <c r="K6784" s="41" t="str"/>
      <c r="L6784" s="41" t="str"/>
      <c r="M6784" s="41" t="str"/>
      <c r="N6784" s="41" t="str"/>
      <c r="O6784" s="41" t="str"/>
      <c r="P6784" s="41" t="str"/>
      <c r="Q6784" s="41" t="str"/>
      <c r="R6784" s="41" t="str"/>
      <c r="S6784" s="41" t="str"/>
      <c r="T6784" s="41" t="str"/>
      <c r="U6784" s="41" t="str"/>
      <c r="V6784" s="41" t="str"/>
      <c r="W6784" s="41" t="str"/>
    </row>
    <row r="6785">
      <c r="B6785" s="2" t="n"/>
      <c r="C6785" s="40" t="n"/>
      <c r="D6785" s="52">
        <f t="array" ref="D6785:W6785">IF(All_Students_Scores!C6783:V6783="","",All_Students_Scores!C6783:V6783)</f>
        <v/>
      </c>
      <c r="E6785" s="57" t="str"/>
      <c r="F6785" s="49" t="str"/>
      <c r="G6785" s="59" t="str"/>
      <c r="H6785" s="64" t="str"/>
      <c r="I6785" s="65" t="str"/>
      <c r="J6785" s="49" t="str"/>
      <c r="K6785" s="41" t="str"/>
      <c r="L6785" s="41" t="str"/>
      <c r="M6785" s="41" t="str"/>
      <c r="N6785" s="41" t="str"/>
      <c r="O6785" s="41" t="str"/>
      <c r="P6785" s="41" t="str"/>
      <c r="Q6785" s="41" t="str"/>
      <c r="R6785" s="41" t="str"/>
      <c r="S6785" s="41" t="str"/>
      <c r="T6785" s="41" t="str"/>
      <c r="U6785" s="41" t="str"/>
      <c r="V6785" s="41" t="str"/>
      <c r="W6785" s="41" t="str"/>
    </row>
    <row r="6786">
      <c r="B6786" s="2" t="n"/>
      <c r="C6786" s="40" t="n"/>
      <c r="D6786" s="52">
        <f t="array" ref="D6786:W6786">IF(All_Students_Scores!C6784:V6784="","",All_Students_Scores!C6784:V6784)</f>
        <v/>
      </c>
      <c r="E6786" s="57" t="str"/>
      <c r="F6786" s="49" t="str"/>
      <c r="G6786" s="59" t="str"/>
      <c r="H6786" s="64" t="str"/>
      <c r="I6786" s="65" t="str"/>
      <c r="J6786" s="49" t="str"/>
      <c r="K6786" s="41" t="str"/>
      <c r="L6786" s="41" t="str"/>
      <c r="M6786" s="41" t="str"/>
      <c r="N6786" s="41" t="str"/>
      <c r="O6786" s="41" t="str"/>
      <c r="P6786" s="41" t="str"/>
      <c r="Q6786" s="41" t="str"/>
      <c r="R6786" s="41" t="str"/>
      <c r="S6786" s="41" t="str"/>
      <c r="T6786" s="41" t="str"/>
      <c r="U6786" s="41" t="str"/>
      <c r="V6786" s="41" t="str"/>
      <c r="W6786" s="41" t="str"/>
    </row>
    <row r="6787">
      <c r="B6787" s="2" t="n"/>
      <c r="C6787" s="40" t="n"/>
      <c r="D6787" s="52">
        <f t="array" ref="D6787:W6787">IF(All_Students_Scores!C6785:V6785="","",All_Students_Scores!C6785:V6785)</f>
        <v/>
      </c>
      <c r="E6787" s="57" t="str"/>
      <c r="F6787" s="49" t="str"/>
      <c r="G6787" s="59" t="str"/>
      <c r="H6787" s="64" t="str"/>
      <c r="I6787" s="65" t="str"/>
      <c r="J6787" s="49" t="str"/>
      <c r="K6787" s="41" t="str"/>
      <c r="L6787" s="41" t="str"/>
      <c r="M6787" s="41" t="str"/>
      <c r="N6787" s="41" t="str"/>
      <c r="O6787" s="41" t="str"/>
      <c r="P6787" s="41" t="str"/>
      <c r="Q6787" s="41" t="str"/>
      <c r="R6787" s="41" t="str"/>
      <c r="S6787" s="41" t="str"/>
      <c r="T6787" s="41" t="str"/>
      <c r="U6787" s="41" t="str"/>
      <c r="V6787" s="41" t="str"/>
      <c r="W6787" s="41" t="str"/>
    </row>
    <row r="6788">
      <c r="B6788" s="2" t="n"/>
      <c r="C6788" s="40" t="n"/>
      <c r="D6788" s="52">
        <f t="array" ref="D6788:W6788">IF(All_Students_Scores!C6786:V6786="","",All_Students_Scores!C6786:V6786)</f>
        <v/>
      </c>
      <c r="E6788" s="57" t="str"/>
      <c r="F6788" s="49" t="str"/>
      <c r="G6788" s="59" t="str"/>
      <c r="H6788" s="64" t="str"/>
      <c r="I6788" s="65" t="str"/>
      <c r="J6788" s="49" t="str"/>
      <c r="K6788" s="41" t="str"/>
      <c r="L6788" s="41" t="str"/>
      <c r="M6788" s="41" t="str"/>
      <c r="N6788" s="41" t="str"/>
      <c r="O6788" s="41" t="str"/>
      <c r="P6788" s="41" t="str"/>
      <c r="Q6788" s="41" t="str"/>
      <c r="R6788" s="41" t="str"/>
      <c r="S6788" s="41" t="str"/>
      <c r="T6788" s="41" t="str"/>
      <c r="U6788" s="41" t="str"/>
      <c r="V6788" s="41" t="str"/>
      <c r="W6788" s="41" t="str"/>
    </row>
    <row r="6789">
      <c r="B6789" s="2" t="n"/>
      <c r="C6789" s="40" t="n"/>
      <c r="D6789" s="52">
        <f t="array" ref="D6789:W6789">IF(All_Students_Scores!C6787:V6787="","",All_Students_Scores!C6787:V6787)</f>
        <v/>
      </c>
      <c r="E6789" s="57" t="str"/>
      <c r="F6789" s="49" t="str"/>
      <c r="G6789" s="59" t="str"/>
      <c r="H6789" s="64" t="str"/>
      <c r="I6789" s="65" t="str"/>
      <c r="J6789" s="49" t="str"/>
      <c r="K6789" s="41" t="str"/>
      <c r="L6789" s="41" t="str"/>
      <c r="M6789" s="41" t="str"/>
      <c r="N6789" s="41" t="str"/>
      <c r="O6789" s="41" t="str"/>
      <c r="P6789" s="41" t="str"/>
      <c r="Q6789" s="41" t="str"/>
      <c r="R6789" s="41" t="str"/>
      <c r="S6789" s="41" t="str"/>
      <c r="T6789" s="41" t="str"/>
      <c r="U6789" s="41" t="str"/>
      <c r="V6789" s="41" t="str"/>
      <c r="W6789" s="41" t="str"/>
    </row>
    <row r="6790">
      <c r="B6790" s="2" t="n"/>
      <c r="C6790" s="40" t="n"/>
      <c r="D6790" s="52">
        <f t="array" ref="D6790:W6790">IF(All_Students_Scores!C6788:V6788="","",All_Students_Scores!C6788:V6788)</f>
        <v/>
      </c>
      <c r="E6790" s="57" t="str"/>
      <c r="F6790" s="49" t="str"/>
      <c r="G6790" s="59" t="str"/>
      <c r="H6790" s="64" t="str"/>
      <c r="I6790" s="65" t="str"/>
      <c r="J6790" s="49" t="str"/>
      <c r="K6790" s="41" t="str"/>
      <c r="L6790" s="41" t="str"/>
      <c r="M6790" s="41" t="str"/>
      <c r="N6790" s="41" t="str"/>
      <c r="O6790" s="41" t="str"/>
      <c r="P6790" s="41" t="str"/>
      <c r="Q6790" s="41" t="str"/>
      <c r="R6790" s="41" t="str"/>
      <c r="S6790" s="41" t="str"/>
      <c r="T6790" s="41" t="str"/>
      <c r="U6790" s="41" t="str"/>
      <c r="V6790" s="41" t="str"/>
      <c r="W6790" s="41" t="str"/>
    </row>
    <row r="6791">
      <c r="B6791" s="2" t="n"/>
      <c r="C6791" s="40" t="n"/>
      <c r="D6791" s="52">
        <f t="array" ref="D6791:W6791">IF(All_Students_Scores!C6789:V6789="","",All_Students_Scores!C6789:V6789)</f>
        <v/>
      </c>
      <c r="E6791" s="57" t="str"/>
      <c r="F6791" s="49" t="str"/>
      <c r="G6791" s="59" t="str"/>
      <c r="H6791" s="64" t="str"/>
      <c r="I6791" s="65" t="str"/>
      <c r="J6791" s="49" t="str"/>
      <c r="K6791" s="41" t="str"/>
      <c r="L6791" s="41" t="str"/>
      <c r="M6791" s="41" t="str"/>
      <c r="N6791" s="41" t="str"/>
      <c r="O6791" s="41" t="str"/>
      <c r="P6791" s="41" t="str"/>
      <c r="Q6791" s="41" t="str"/>
      <c r="R6791" s="41" t="str"/>
      <c r="S6791" s="41" t="str"/>
      <c r="T6791" s="41" t="str"/>
      <c r="U6791" s="41" t="str"/>
      <c r="V6791" s="41" t="str"/>
      <c r="W6791" s="41" t="str"/>
    </row>
    <row r="6792">
      <c r="B6792" s="2" t="n"/>
      <c r="C6792" s="40" t="n"/>
      <c r="D6792" s="52">
        <f t="array" ref="D6792:W6792">IF(All_Students_Scores!C6790:V6790="","",All_Students_Scores!C6790:V6790)</f>
        <v/>
      </c>
      <c r="E6792" s="57" t="str"/>
      <c r="F6792" s="49" t="str"/>
      <c r="G6792" s="59" t="str"/>
      <c r="H6792" s="64" t="str"/>
      <c r="I6792" s="65" t="str"/>
      <c r="J6792" s="49" t="str"/>
      <c r="K6792" s="41" t="str"/>
      <c r="L6792" s="41" t="str"/>
      <c r="M6792" s="41" t="str"/>
      <c r="N6792" s="41" t="str"/>
      <c r="O6792" s="41" t="str"/>
      <c r="P6792" s="41" t="str"/>
      <c r="Q6792" s="41" t="str"/>
      <c r="R6792" s="41" t="str"/>
      <c r="S6792" s="41" t="str"/>
      <c r="T6792" s="41" t="str"/>
      <c r="U6792" s="41" t="str"/>
      <c r="V6792" s="41" t="str"/>
      <c r="W6792" s="41" t="str"/>
    </row>
    <row r="6793">
      <c r="B6793" s="2" t="n"/>
      <c r="C6793" s="40" t="n"/>
      <c r="D6793" s="52">
        <f t="array" ref="D6793:W6793">IF(All_Students_Scores!C6791:V6791="","",All_Students_Scores!C6791:V6791)</f>
        <v/>
      </c>
      <c r="E6793" s="57" t="str"/>
      <c r="F6793" s="49" t="str"/>
      <c r="G6793" s="59" t="str"/>
      <c r="H6793" s="64" t="str"/>
      <c r="I6793" s="65" t="str"/>
      <c r="J6793" s="49" t="str"/>
      <c r="K6793" s="41" t="str"/>
      <c r="L6793" s="41" t="str"/>
      <c r="M6793" s="41" t="str"/>
      <c r="N6793" s="41" t="str"/>
      <c r="O6793" s="41" t="str"/>
      <c r="P6793" s="41" t="str"/>
      <c r="Q6793" s="41" t="str"/>
      <c r="R6793" s="41" t="str"/>
      <c r="S6793" s="41" t="str"/>
      <c r="T6793" s="41" t="str"/>
      <c r="U6793" s="41" t="str"/>
      <c r="V6793" s="41" t="str"/>
      <c r="W6793" s="41" t="str"/>
    </row>
    <row r="6794">
      <c r="B6794" s="2" t="n"/>
      <c r="C6794" s="40" t="n"/>
      <c r="D6794" s="52">
        <f t="array" ref="D6794:W6794">IF(All_Students_Scores!C6792:V6792="","",All_Students_Scores!C6792:V6792)</f>
        <v/>
      </c>
      <c r="E6794" s="57" t="str"/>
      <c r="F6794" s="49" t="str"/>
      <c r="G6794" s="59" t="str"/>
      <c r="H6794" s="64" t="str"/>
      <c r="I6794" s="65" t="str"/>
      <c r="J6794" s="49" t="str"/>
      <c r="K6794" s="41" t="str"/>
      <c r="L6794" s="41" t="str"/>
      <c r="M6794" s="41" t="str"/>
      <c r="N6794" s="41" t="str"/>
      <c r="O6794" s="41" t="str"/>
      <c r="P6794" s="41" t="str"/>
      <c r="Q6794" s="41" t="str"/>
      <c r="R6794" s="41" t="str"/>
      <c r="S6794" s="41" t="str"/>
      <c r="T6794" s="41" t="str"/>
      <c r="U6794" s="41" t="str"/>
      <c r="V6794" s="41" t="str"/>
      <c r="W6794" s="41" t="str"/>
    </row>
    <row r="6795">
      <c r="B6795" s="2" t="n"/>
      <c r="C6795" s="40" t="n"/>
      <c r="D6795" s="52">
        <f t="array" ref="D6795:W6795">IF(All_Students_Scores!C6793:V6793="","",All_Students_Scores!C6793:V6793)</f>
        <v/>
      </c>
      <c r="E6795" s="57" t="str"/>
      <c r="F6795" s="49" t="str"/>
      <c r="G6795" s="59" t="str"/>
      <c r="H6795" s="64" t="str"/>
      <c r="I6795" s="65" t="str"/>
      <c r="J6795" s="49" t="str"/>
      <c r="K6795" s="41" t="str"/>
      <c r="L6795" s="41" t="str"/>
      <c r="M6795" s="41" t="str"/>
      <c r="N6795" s="41" t="str"/>
      <c r="O6795" s="41" t="str"/>
      <c r="P6795" s="41" t="str"/>
      <c r="Q6795" s="41" t="str"/>
      <c r="R6795" s="41" t="str"/>
      <c r="S6795" s="41" t="str"/>
      <c r="T6795" s="41" t="str"/>
      <c r="U6795" s="41" t="str"/>
      <c r="V6795" s="41" t="str"/>
      <c r="W6795" s="41" t="str"/>
    </row>
    <row r="6796">
      <c r="B6796" s="2" t="n"/>
      <c r="C6796" s="40" t="n"/>
      <c r="D6796" s="52">
        <f t="array" ref="D6796:W6796">IF(All_Students_Scores!C6794:V6794="","",All_Students_Scores!C6794:V6794)</f>
        <v/>
      </c>
      <c r="E6796" s="57" t="str"/>
      <c r="F6796" s="49" t="str"/>
      <c r="G6796" s="59" t="str"/>
      <c r="H6796" s="64" t="str"/>
      <c r="I6796" s="65" t="str"/>
      <c r="J6796" s="49" t="str"/>
      <c r="K6796" s="41" t="str"/>
      <c r="L6796" s="41" t="str"/>
      <c r="M6796" s="41" t="str"/>
      <c r="N6796" s="41" t="str"/>
      <c r="O6796" s="41" t="str"/>
      <c r="P6796" s="41" t="str"/>
      <c r="Q6796" s="41" t="str"/>
      <c r="R6796" s="41" t="str"/>
      <c r="S6796" s="41" t="str"/>
      <c r="T6796" s="41" t="str"/>
      <c r="U6796" s="41" t="str"/>
      <c r="V6796" s="41" t="str"/>
      <c r="W6796" s="41" t="str"/>
    </row>
    <row r="6797">
      <c r="B6797" s="2" t="n"/>
      <c r="C6797" s="40" t="n"/>
      <c r="D6797" s="52">
        <f t="array" ref="D6797:W6797">IF(All_Students_Scores!C6795:V6795="","",All_Students_Scores!C6795:V6795)</f>
        <v/>
      </c>
      <c r="E6797" s="57" t="str"/>
      <c r="F6797" s="49" t="str"/>
      <c r="G6797" s="59" t="str"/>
      <c r="H6797" s="64" t="str"/>
      <c r="I6797" s="65" t="str"/>
      <c r="J6797" s="49" t="str"/>
      <c r="K6797" s="41" t="str"/>
      <c r="L6797" s="41" t="str"/>
      <c r="M6797" s="41" t="str"/>
      <c r="N6797" s="41" t="str"/>
      <c r="O6797" s="41" t="str"/>
      <c r="P6797" s="41" t="str"/>
      <c r="Q6797" s="41" t="str"/>
      <c r="R6797" s="41" t="str"/>
      <c r="S6797" s="41" t="str"/>
      <c r="T6797" s="41" t="str"/>
      <c r="U6797" s="41" t="str"/>
      <c r="V6797" s="41" t="str"/>
      <c r="W6797" s="41" t="str"/>
    </row>
    <row r="6798">
      <c r="B6798" s="2" t="n"/>
      <c r="C6798" s="40" t="n"/>
      <c r="D6798" s="52">
        <f t="array" ref="D6798:W6798">IF(All_Students_Scores!C6796:V6796="","",All_Students_Scores!C6796:V6796)</f>
        <v/>
      </c>
      <c r="E6798" s="57" t="str"/>
      <c r="F6798" s="49" t="str"/>
      <c r="G6798" s="59" t="str"/>
      <c r="H6798" s="64" t="str"/>
      <c r="I6798" s="65" t="str"/>
      <c r="J6798" s="49" t="str"/>
      <c r="K6798" s="41" t="str"/>
      <c r="L6798" s="41" t="str"/>
      <c r="M6798" s="41" t="str"/>
      <c r="N6798" s="41" t="str"/>
      <c r="O6798" s="41" t="str"/>
      <c r="P6798" s="41" t="str"/>
      <c r="Q6798" s="41" t="str"/>
      <c r="R6798" s="41" t="str"/>
      <c r="S6798" s="41" t="str"/>
      <c r="T6798" s="41" t="str"/>
      <c r="U6798" s="41" t="str"/>
      <c r="V6798" s="41" t="str"/>
      <c r="W6798" s="41" t="str"/>
    </row>
    <row r="6799">
      <c r="B6799" s="2" t="n"/>
      <c r="C6799" s="40" t="n"/>
      <c r="D6799" s="52">
        <f t="array" ref="D6799:W6799">IF(All_Students_Scores!C6797:V6797="","",All_Students_Scores!C6797:V6797)</f>
        <v/>
      </c>
      <c r="E6799" s="57" t="str"/>
      <c r="F6799" s="49" t="str"/>
      <c r="G6799" s="59" t="str"/>
      <c r="H6799" s="64" t="str"/>
      <c r="I6799" s="65" t="str"/>
      <c r="J6799" s="49" t="str"/>
      <c r="K6799" s="41" t="str"/>
      <c r="L6799" s="41" t="str"/>
      <c r="M6799" s="41" t="str"/>
      <c r="N6799" s="41" t="str"/>
      <c r="O6799" s="41" t="str"/>
      <c r="P6799" s="41" t="str"/>
      <c r="Q6799" s="41" t="str"/>
      <c r="R6799" s="41" t="str"/>
      <c r="S6799" s="41" t="str"/>
      <c r="T6799" s="41" t="str"/>
      <c r="U6799" s="41" t="str"/>
      <c r="V6799" s="41" t="str"/>
      <c r="W6799" s="41" t="str"/>
    </row>
    <row r="6800">
      <c r="B6800" s="2" t="n"/>
      <c r="C6800" s="40" t="n"/>
      <c r="D6800" s="52">
        <f t="array" ref="D6800:W6800">IF(All_Students_Scores!C6798:V6798="","",All_Students_Scores!C6798:V6798)</f>
        <v/>
      </c>
      <c r="E6800" s="57" t="str"/>
      <c r="F6800" s="49" t="str"/>
      <c r="G6800" s="59" t="str"/>
      <c r="H6800" s="64" t="str"/>
      <c r="I6800" s="65" t="str"/>
      <c r="J6800" s="49" t="str"/>
      <c r="K6800" s="41" t="str"/>
      <c r="L6800" s="41" t="str"/>
      <c r="M6800" s="41" t="str"/>
      <c r="N6800" s="41" t="str"/>
      <c r="O6800" s="41" t="str"/>
      <c r="P6800" s="41" t="str"/>
      <c r="Q6800" s="41" t="str"/>
      <c r="R6800" s="41" t="str"/>
      <c r="S6800" s="41" t="str"/>
      <c r="T6800" s="41" t="str"/>
      <c r="U6800" s="41" t="str"/>
      <c r="V6800" s="41" t="str"/>
      <c r="W6800" s="41" t="str"/>
    </row>
    <row r="6801">
      <c r="B6801" s="2" t="n"/>
      <c r="C6801" s="40" t="n"/>
      <c r="D6801" s="52">
        <f t="array" ref="D6801:W6801">IF(All_Students_Scores!C6799:V6799="","",All_Students_Scores!C6799:V6799)</f>
        <v/>
      </c>
      <c r="E6801" s="57" t="str"/>
      <c r="F6801" s="49" t="str"/>
      <c r="G6801" s="59" t="str"/>
      <c r="H6801" s="64" t="str"/>
      <c r="I6801" s="65" t="str"/>
      <c r="J6801" s="49" t="str"/>
      <c r="K6801" s="41" t="str"/>
      <c r="L6801" s="41" t="str"/>
      <c r="M6801" s="41" t="str"/>
      <c r="N6801" s="41" t="str"/>
      <c r="O6801" s="41" t="str"/>
      <c r="P6801" s="41" t="str"/>
      <c r="Q6801" s="41" t="str"/>
      <c r="R6801" s="41" t="str"/>
      <c r="S6801" s="41" t="str"/>
      <c r="T6801" s="41" t="str"/>
      <c r="U6801" s="41" t="str"/>
      <c r="V6801" s="41" t="str"/>
      <c r="W6801" s="41" t="str"/>
    </row>
    <row r="6802">
      <c r="B6802" s="2" t="n"/>
      <c r="C6802" s="40" t="n"/>
      <c r="D6802" s="52">
        <f t="array" ref="D6802:W6802">IF(All_Students_Scores!C6800:V6800="","",All_Students_Scores!C6800:V6800)</f>
        <v/>
      </c>
      <c r="E6802" s="57" t="str"/>
      <c r="F6802" s="49" t="str"/>
      <c r="G6802" s="59" t="str"/>
      <c r="H6802" s="64" t="str"/>
      <c r="I6802" s="65" t="str"/>
      <c r="J6802" s="49" t="str"/>
      <c r="K6802" s="41" t="str"/>
      <c r="L6802" s="41" t="str"/>
      <c r="M6802" s="41" t="str"/>
      <c r="N6802" s="41" t="str"/>
      <c r="O6802" s="41" t="str"/>
      <c r="P6802" s="41" t="str"/>
      <c r="Q6802" s="41" t="str"/>
      <c r="R6802" s="41" t="str"/>
      <c r="S6802" s="41" t="str"/>
      <c r="T6802" s="41" t="str"/>
      <c r="U6802" s="41" t="str"/>
      <c r="V6802" s="41" t="str"/>
      <c r="W6802" s="41" t="str"/>
    </row>
    <row r="6803">
      <c r="B6803" s="2" t="n"/>
      <c r="C6803" s="40" t="n"/>
      <c r="D6803" s="52">
        <f t="array" ref="D6803:W6803">IF(All_Students_Scores!C6801:V6801="","",All_Students_Scores!C6801:V6801)</f>
        <v/>
      </c>
      <c r="E6803" s="57" t="str"/>
      <c r="F6803" s="49" t="str"/>
      <c r="G6803" s="59" t="str"/>
      <c r="H6803" s="64" t="str"/>
      <c r="I6803" s="65" t="str"/>
      <c r="J6803" s="49" t="str"/>
      <c r="K6803" s="41" t="str"/>
      <c r="L6803" s="41" t="str"/>
      <c r="M6803" s="41" t="str"/>
      <c r="N6803" s="41" t="str"/>
      <c r="O6803" s="41" t="str"/>
      <c r="P6803" s="41" t="str"/>
      <c r="Q6803" s="41" t="str"/>
      <c r="R6803" s="41" t="str"/>
      <c r="S6803" s="41" t="str"/>
      <c r="T6803" s="41" t="str"/>
      <c r="U6803" s="41" t="str"/>
      <c r="V6803" s="41" t="str"/>
      <c r="W6803" s="41" t="str"/>
    </row>
    <row r="6804">
      <c r="B6804" s="2" t="n"/>
      <c r="C6804" s="40" t="n"/>
      <c r="D6804" s="52">
        <f t="array" ref="D6804:W6804">IF(All_Students_Scores!C6802:V6802="","",All_Students_Scores!C6802:V6802)</f>
        <v/>
      </c>
      <c r="E6804" s="57" t="str"/>
      <c r="F6804" s="49" t="str"/>
      <c r="G6804" s="59" t="str"/>
      <c r="H6804" s="64" t="str"/>
      <c r="I6804" s="65" t="str"/>
      <c r="J6804" s="49" t="str"/>
      <c r="K6804" s="41" t="str"/>
      <c r="L6804" s="41" t="str"/>
      <c r="M6804" s="41" t="str"/>
      <c r="N6804" s="41" t="str"/>
      <c r="O6804" s="41" t="str"/>
      <c r="P6804" s="41" t="str"/>
      <c r="Q6804" s="41" t="str"/>
      <c r="R6804" s="41" t="str"/>
      <c r="S6804" s="41" t="str"/>
      <c r="T6804" s="41" t="str"/>
      <c r="U6804" s="41" t="str"/>
      <c r="V6804" s="41" t="str"/>
      <c r="W6804" s="41" t="str"/>
    </row>
    <row r="6805">
      <c r="B6805" s="2" t="n"/>
      <c r="C6805" s="40" t="n"/>
      <c r="D6805" s="52">
        <f t="array" ref="D6805:W6805">IF(All_Students_Scores!C6803:V6803="","",All_Students_Scores!C6803:V6803)</f>
        <v/>
      </c>
      <c r="E6805" s="57" t="str"/>
      <c r="F6805" s="49" t="str"/>
      <c r="G6805" s="59" t="str"/>
      <c r="H6805" s="64" t="str"/>
      <c r="I6805" s="65" t="str"/>
      <c r="J6805" s="49" t="str"/>
      <c r="K6805" s="41" t="str"/>
      <c r="L6805" s="41" t="str"/>
      <c r="M6805" s="41" t="str"/>
      <c r="N6805" s="41" t="str"/>
      <c r="O6805" s="41" t="str"/>
      <c r="P6805" s="41" t="str"/>
      <c r="Q6805" s="41" t="str"/>
      <c r="R6805" s="41" t="str"/>
      <c r="S6805" s="41" t="str"/>
      <c r="T6805" s="41" t="str"/>
      <c r="U6805" s="41" t="str"/>
      <c r="V6805" s="41" t="str"/>
      <c r="W6805" s="41" t="str"/>
    </row>
    <row r="6806">
      <c r="B6806" s="2" t="n"/>
      <c r="C6806" s="40" t="n"/>
      <c r="D6806" s="52">
        <f t="array" ref="D6806:W6806">IF(All_Students_Scores!C6804:V6804="","",All_Students_Scores!C6804:V6804)</f>
        <v/>
      </c>
      <c r="E6806" s="57" t="str"/>
      <c r="F6806" s="49" t="str"/>
      <c r="G6806" s="59" t="str"/>
      <c r="H6806" s="64" t="str"/>
      <c r="I6806" s="65" t="str"/>
      <c r="J6806" s="49" t="str"/>
      <c r="K6806" s="41" t="str"/>
      <c r="L6806" s="41" t="str"/>
      <c r="M6806" s="41" t="str"/>
      <c r="N6806" s="41" t="str"/>
      <c r="O6806" s="41" t="str"/>
      <c r="P6806" s="41" t="str"/>
      <c r="Q6806" s="41" t="str"/>
      <c r="R6806" s="41" t="str"/>
      <c r="S6806" s="41" t="str"/>
      <c r="T6806" s="41" t="str"/>
      <c r="U6806" s="41" t="str"/>
      <c r="V6806" s="41" t="str"/>
      <c r="W6806" s="41" t="str"/>
    </row>
    <row r="6807">
      <c r="B6807" s="2" t="n"/>
      <c r="C6807" s="40" t="n"/>
      <c r="D6807" s="52">
        <f t="array" ref="D6807:W6807">IF(All_Students_Scores!C6805:V6805="","",All_Students_Scores!C6805:V6805)</f>
        <v/>
      </c>
      <c r="E6807" s="57" t="str"/>
      <c r="F6807" s="49" t="str"/>
      <c r="G6807" s="59" t="str"/>
      <c r="H6807" s="64" t="str"/>
      <c r="I6807" s="65" t="str"/>
      <c r="J6807" s="49" t="str"/>
      <c r="K6807" s="41" t="str"/>
      <c r="L6807" s="41" t="str"/>
      <c r="M6807" s="41" t="str"/>
      <c r="N6807" s="41" t="str"/>
      <c r="O6807" s="41" t="str"/>
      <c r="P6807" s="41" t="str"/>
      <c r="Q6807" s="41" t="str"/>
      <c r="R6807" s="41" t="str"/>
      <c r="S6807" s="41" t="str"/>
      <c r="T6807" s="41" t="str"/>
      <c r="U6807" s="41" t="str"/>
      <c r="V6807" s="41" t="str"/>
      <c r="W6807" s="41" t="str"/>
    </row>
    <row r="6808">
      <c r="B6808" s="2" t="n"/>
      <c r="C6808" s="40" t="n"/>
      <c r="D6808" s="52">
        <f t="array" ref="D6808:W6808">IF(All_Students_Scores!C6806:V6806="","",All_Students_Scores!C6806:V6806)</f>
        <v/>
      </c>
      <c r="E6808" s="57" t="str"/>
      <c r="F6808" s="49" t="str"/>
      <c r="G6808" s="59" t="str"/>
      <c r="H6808" s="64" t="str"/>
      <c r="I6808" s="65" t="str"/>
      <c r="J6808" s="49" t="str"/>
      <c r="K6808" s="41" t="str"/>
      <c r="L6808" s="41" t="str"/>
      <c r="M6808" s="41" t="str"/>
      <c r="N6808" s="41" t="str"/>
      <c r="O6808" s="41" t="str"/>
      <c r="P6808" s="41" t="str"/>
      <c r="Q6808" s="41" t="str"/>
      <c r="R6808" s="41" t="str"/>
      <c r="S6808" s="41" t="str"/>
      <c r="T6808" s="41" t="str"/>
      <c r="U6808" s="41" t="str"/>
      <c r="V6808" s="41" t="str"/>
      <c r="W6808" s="41" t="str"/>
    </row>
    <row r="6809">
      <c r="B6809" s="2" t="n"/>
      <c r="C6809" s="40" t="n"/>
      <c r="D6809" s="52">
        <f t="array" ref="D6809:W6809">IF(All_Students_Scores!C6807:V6807="","",All_Students_Scores!C6807:V6807)</f>
        <v/>
      </c>
      <c r="E6809" s="57" t="str"/>
      <c r="F6809" s="49" t="str"/>
      <c r="G6809" s="59" t="str"/>
      <c r="H6809" s="64" t="str"/>
      <c r="I6809" s="65" t="str"/>
      <c r="J6809" s="49" t="str"/>
      <c r="K6809" s="41" t="str"/>
      <c r="L6809" s="41" t="str"/>
      <c r="M6809" s="41" t="str"/>
      <c r="N6809" s="41" t="str"/>
      <c r="O6809" s="41" t="str"/>
      <c r="P6809" s="41" t="str"/>
      <c r="Q6809" s="41" t="str"/>
      <c r="R6809" s="41" t="str"/>
      <c r="S6809" s="41" t="str"/>
      <c r="T6809" s="41" t="str"/>
      <c r="U6809" s="41" t="str"/>
      <c r="V6809" s="41" t="str"/>
      <c r="W6809" s="41" t="str"/>
    </row>
    <row r="6810">
      <c r="B6810" s="2" t="n"/>
      <c r="C6810" s="40" t="n"/>
      <c r="D6810" s="52">
        <f t="array" ref="D6810:W6810">IF(All_Students_Scores!C6808:V6808="","",All_Students_Scores!C6808:V6808)</f>
        <v/>
      </c>
      <c r="E6810" s="57" t="str"/>
      <c r="F6810" s="49" t="str"/>
      <c r="G6810" s="59" t="str"/>
      <c r="H6810" s="64" t="str"/>
      <c r="I6810" s="65" t="str"/>
      <c r="J6810" s="49" t="str"/>
      <c r="K6810" s="41" t="str"/>
      <c r="L6810" s="41" t="str"/>
      <c r="M6810" s="41" t="str"/>
      <c r="N6810" s="41" t="str"/>
      <c r="O6810" s="41" t="str"/>
      <c r="P6810" s="41" t="str"/>
      <c r="Q6810" s="41" t="str"/>
      <c r="R6810" s="41" t="str"/>
      <c r="S6810" s="41" t="str"/>
      <c r="T6810" s="41" t="str"/>
      <c r="U6810" s="41" t="str"/>
      <c r="V6810" s="41" t="str"/>
      <c r="W6810" s="41" t="str"/>
    </row>
    <row r="6811">
      <c r="B6811" s="2" t="n"/>
      <c r="C6811" s="40" t="n"/>
      <c r="D6811" s="52">
        <f t="array" ref="D6811:W6811">IF(All_Students_Scores!C6809:V6809="","",All_Students_Scores!C6809:V6809)</f>
        <v/>
      </c>
      <c r="E6811" s="57" t="str"/>
      <c r="F6811" s="49" t="str"/>
      <c r="G6811" s="59" t="str"/>
      <c r="H6811" s="64" t="str"/>
      <c r="I6811" s="65" t="str"/>
      <c r="J6811" s="49" t="str"/>
      <c r="K6811" s="41" t="str"/>
      <c r="L6811" s="41" t="str"/>
      <c r="M6811" s="41" t="str"/>
      <c r="N6811" s="41" t="str"/>
      <c r="O6811" s="41" t="str"/>
      <c r="P6811" s="41" t="str"/>
      <c r="Q6811" s="41" t="str"/>
      <c r="R6811" s="41" t="str"/>
      <c r="S6811" s="41" t="str"/>
      <c r="T6811" s="41" t="str"/>
      <c r="U6811" s="41" t="str"/>
      <c r="V6811" s="41" t="str"/>
      <c r="W6811" s="41" t="str"/>
    </row>
    <row r="6812">
      <c r="B6812" s="2" t="n"/>
      <c r="C6812" s="40" t="n"/>
      <c r="D6812" s="52">
        <f t="array" ref="D6812:W6812">IF(All_Students_Scores!C6810:V6810="","",All_Students_Scores!C6810:V6810)</f>
        <v/>
      </c>
      <c r="E6812" s="57" t="str"/>
      <c r="F6812" s="49" t="str"/>
      <c r="G6812" s="59" t="str"/>
      <c r="H6812" s="64" t="str"/>
      <c r="I6812" s="65" t="str"/>
      <c r="J6812" s="49" t="str"/>
      <c r="K6812" s="41" t="str"/>
      <c r="L6812" s="41" t="str"/>
      <c r="M6812" s="41" t="str"/>
      <c r="N6812" s="41" t="str"/>
      <c r="O6812" s="41" t="str"/>
      <c r="P6812" s="41" t="str"/>
      <c r="Q6812" s="41" t="str"/>
      <c r="R6812" s="41" t="str"/>
      <c r="S6812" s="41" t="str"/>
      <c r="T6812" s="41" t="str"/>
      <c r="U6812" s="41" t="str"/>
      <c r="V6812" s="41" t="str"/>
      <c r="W6812" s="41" t="str"/>
    </row>
    <row r="6813">
      <c r="B6813" s="2" t="n"/>
      <c r="C6813" s="40" t="n"/>
      <c r="D6813" s="52">
        <f t="array" ref="D6813:W6813">IF(All_Students_Scores!C6811:V6811="","",All_Students_Scores!C6811:V6811)</f>
        <v/>
      </c>
      <c r="E6813" s="57" t="str"/>
      <c r="F6813" s="49" t="str"/>
      <c r="G6813" s="59" t="str"/>
      <c r="H6813" s="64" t="str"/>
      <c r="I6813" s="65" t="str"/>
      <c r="J6813" s="49" t="str"/>
      <c r="K6813" s="41" t="str"/>
      <c r="L6813" s="41" t="str"/>
      <c r="M6813" s="41" t="str"/>
      <c r="N6813" s="41" t="str"/>
      <c r="O6813" s="41" t="str"/>
      <c r="P6813" s="41" t="str"/>
      <c r="Q6813" s="41" t="str"/>
      <c r="R6813" s="41" t="str"/>
      <c r="S6813" s="41" t="str"/>
      <c r="T6813" s="41" t="str"/>
      <c r="U6813" s="41" t="str"/>
      <c r="V6813" s="41" t="str"/>
      <c r="W6813" s="41" t="str"/>
    </row>
    <row r="6814">
      <c r="B6814" s="2" t="n"/>
      <c r="C6814" s="40" t="n"/>
      <c r="D6814" s="52">
        <f t="array" ref="D6814:W6814">IF(All_Students_Scores!C6812:V6812="","",All_Students_Scores!C6812:V6812)</f>
        <v/>
      </c>
      <c r="E6814" s="57" t="str"/>
      <c r="F6814" s="49" t="str"/>
      <c r="G6814" s="59" t="str"/>
      <c r="H6814" s="64" t="str"/>
      <c r="I6814" s="65" t="str"/>
      <c r="J6814" s="49" t="str"/>
      <c r="K6814" s="41" t="str"/>
      <c r="L6814" s="41" t="str"/>
      <c r="M6814" s="41" t="str"/>
      <c r="N6814" s="41" t="str"/>
      <c r="O6814" s="41" t="str"/>
      <c r="P6814" s="41" t="str"/>
      <c r="Q6814" s="41" t="str"/>
      <c r="R6814" s="41" t="str"/>
      <c r="S6814" s="41" t="str"/>
      <c r="T6814" s="41" t="str"/>
      <c r="U6814" s="41" t="str"/>
      <c r="V6814" s="41" t="str"/>
      <c r="W6814" s="41" t="str"/>
    </row>
    <row r="6815">
      <c r="B6815" s="2" t="n"/>
      <c r="C6815" s="40" t="n"/>
      <c r="D6815" s="52">
        <f t="array" ref="D6815:W6815">IF(All_Students_Scores!C6813:V6813="","",All_Students_Scores!C6813:V6813)</f>
        <v/>
      </c>
      <c r="E6815" s="57" t="str"/>
      <c r="F6815" s="49" t="str"/>
      <c r="G6815" s="59" t="str"/>
      <c r="H6815" s="64" t="str"/>
      <c r="I6815" s="65" t="str"/>
      <c r="J6815" s="49" t="str"/>
      <c r="K6815" s="41" t="str"/>
      <c r="L6815" s="41" t="str"/>
      <c r="M6815" s="41" t="str"/>
      <c r="N6815" s="41" t="str"/>
      <c r="O6815" s="41" t="str"/>
      <c r="P6815" s="41" t="str"/>
      <c r="Q6815" s="41" t="str"/>
      <c r="R6815" s="41" t="str"/>
      <c r="S6815" s="41" t="str"/>
      <c r="T6815" s="41" t="str"/>
      <c r="U6815" s="41" t="str"/>
      <c r="V6815" s="41" t="str"/>
      <c r="W6815" s="41" t="str"/>
    </row>
    <row r="6816">
      <c r="B6816" s="2" t="n"/>
      <c r="C6816" s="40" t="n"/>
      <c r="D6816" s="52">
        <f t="array" ref="D6816:W6816">IF(All_Students_Scores!C6814:V6814="","",All_Students_Scores!C6814:V6814)</f>
        <v/>
      </c>
      <c r="E6816" s="57" t="str"/>
      <c r="F6816" s="49" t="str"/>
      <c r="G6816" s="59" t="str"/>
      <c r="H6816" s="64" t="str"/>
      <c r="I6816" s="65" t="str"/>
      <c r="J6816" s="49" t="str"/>
      <c r="K6816" s="41" t="str"/>
      <c r="L6816" s="41" t="str"/>
      <c r="M6816" s="41" t="str"/>
      <c r="N6816" s="41" t="str"/>
      <c r="O6816" s="41" t="str"/>
      <c r="P6816" s="41" t="str"/>
      <c r="Q6816" s="41" t="str"/>
      <c r="R6816" s="41" t="str"/>
      <c r="S6816" s="41" t="str"/>
      <c r="T6816" s="41" t="str"/>
      <c r="U6816" s="41" t="str"/>
      <c r="V6816" s="41" t="str"/>
      <c r="W6816" s="41" t="str"/>
    </row>
    <row r="6817">
      <c r="B6817" s="2" t="n"/>
      <c r="C6817" s="40" t="n"/>
      <c r="D6817" s="52">
        <f t="array" ref="D6817:W6817">IF(All_Students_Scores!C6815:V6815="","",All_Students_Scores!C6815:V6815)</f>
        <v/>
      </c>
      <c r="E6817" s="57" t="str"/>
      <c r="F6817" s="49" t="str"/>
      <c r="G6817" s="59" t="str"/>
      <c r="H6817" s="64" t="str"/>
      <c r="I6817" s="65" t="str"/>
      <c r="J6817" s="49" t="str"/>
      <c r="K6817" s="41" t="str"/>
      <c r="L6817" s="41" t="str"/>
      <c r="M6817" s="41" t="str"/>
      <c r="N6817" s="41" t="str"/>
      <c r="O6817" s="41" t="str"/>
      <c r="P6817" s="41" t="str"/>
      <c r="Q6817" s="41" t="str"/>
      <c r="R6817" s="41" t="str"/>
      <c r="S6817" s="41" t="str"/>
      <c r="T6817" s="41" t="str"/>
      <c r="U6817" s="41" t="str"/>
      <c r="V6817" s="41" t="str"/>
      <c r="W6817" s="41" t="str"/>
    </row>
    <row r="6818">
      <c r="B6818" s="2" t="n"/>
      <c r="C6818" s="40" t="n"/>
      <c r="D6818" s="52">
        <f t="array" ref="D6818:W6818">IF(All_Students_Scores!C6816:V6816="","",All_Students_Scores!C6816:V6816)</f>
        <v/>
      </c>
      <c r="E6818" s="57" t="str"/>
      <c r="F6818" s="49" t="str"/>
      <c r="G6818" s="59" t="str"/>
      <c r="H6818" s="64" t="str"/>
      <c r="I6818" s="65" t="str"/>
      <c r="J6818" s="49" t="str"/>
      <c r="K6818" s="41" t="str"/>
      <c r="L6818" s="41" t="str"/>
      <c r="M6818" s="41" t="str"/>
      <c r="N6818" s="41" t="str"/>
      <c r="O6818" s="41" t="str"/>
      <c r="P6818" s="41" t="str"/>
      <c r="Q6818" s="41" t="str"/>
      <c r="R6818" s="41" t="str"/>
      <c r="S6818" s="41" t="str"/>
      <c r="T6818" s="41" t="str"/>
      <c r="U6818" s="41" t="str"/>
      <c r="V6818" s="41" t="str"/>
      <c r="W6818" s="41" t="str"/>
    </row>
    <row r="6819">
      <c r="B6819" s="2" t="n"/>
      <c r="C6819" s="40" t="n"/>
      <c r="D6819" s="52">
        <f t="array" ref="D6819:W6819">IF(All_Students_Scores!C6817:V6817="","",All_Students_Scores!C6817:V6817)</f>
        <v/>
      </c>
      <c r="E6819" s="57" t="str"/>
      <c r="F6819" s="49" t="str"/>
      <c r="G6819" s="59" t="str"/>
      <c r="H6819" s="64" t="str"/>
      <c r="I6819" s="65" t="str"/>
      <c r="J6819" s="49" t="str"/>
      <c r="K6819" s="41" t="str"/>
      <c r="L6819" s="41" t="str"/>
      <c r="M6819" s="41" t="str"/>
      <c r="N6819" s="41" t="str"/>
      <c r="O6819" s="41" t="str"/>
      <c r="P6819" s="41" t="str"/>
      <c r="Q6819" s="41" t="str"/>
      <c r="R6819" s="41" t="str"/>
      <c r="S6819" s="41" t="str"/>
      <c r="T6819" s="41" t="str"/>
      <c r="U6819" s="41" t="str"/>
      <c r="V6819" s="41" t="str"/>
      <c r="W6819" s="41" t="str"/>
    </row>
    <row r="6820">
      <c r="B6820" s="2" t="n"/>
      <c r="C6820" s="40" t="n"/>
      <c r="D6820" s="52">
        <f t="array" ref="D6820:W6820">IF(All_Students_Scores!C6818:V6818="","",All_Students_Scores!C6818:V6818)</f>
        <v/>
      </c>
      <c r="E6820" s="57" t="str"/>
      <c r="F6820" s="49" t="str"/>
      <c r="G6820" s="59" t="str"/>
      <c r="H6820" s="64" t="str"/>
      <c r="I6820" s="65" t="str"/>
      <c r="J6820" s="49" t="str"/>
      <c r="K6820" s="41" t="str"/>
      <c r="L6820" s="41" t="str"/>
      <c r="M6820" s="41" t="str"/>
      <c r="N6820" s="41" t="str"/>
      <c r="O6820" s="41" t="str"/>
      <c r="P6820" s="41" t="str"/>
      <c r="Q6820" s="41" t="str"/>
      <c r="R6820" s="41" t="str"/>
      <c r="S6820" s="41" t="str"/>
      <c r="T6820" s="41" t="str"/>
      <c r="U6820" s="41" t="str"/>
      <c r="V6820" s="41" t="str"/>
      <c r="W6820" s="41" t="str"/>
    </row>
    <row r="6821">
      <c r="B6821" s="2" t="n"/>
      <c r="C6821" s="40" t="n"/>
      <c r="D6821" s="52">
        <f t="array" ref="D6821:W6821">IF(All_Students_Scores!C6819:V6819="","",All_Students_Scores!C6819:V6819)</f>
        <v/>
      </c>
      <c r="E6821" s="57" t="str"/>
      <c r="F6821" s="49" t="str"/>
      <c r="G6821" s="59" t="str"/>
      <c r="H6821" s="64" t="str"/>
      <c r="I6821" s="65" t="str"/>
      <c r="J6821" s="49" t="str"/>
      <c r="K6821" s="41" t="str"/>
      <c r="L6821" s="41" t="str"/>
      <c r="M6821" s="41" t="str"/>
      <c r="N6821" s="41" t="str"/>
      <c r="O6821" s="41" t="str"/>
      <c r="P6821" s="41" t="str"/>
      <c r="Q6821" s="41" t="str"/>
      <c r="R6821" s="41" t="str"/>
      <c r="S6821" s="41" t="str"/>
      <c r="T6821" s="41" t="str"/>
      <c r="U6821" s="41" t="str"/>
      <c r="V6821" s="41" t="str"/>
      <c r="W6821" s="41" t="str"/>
    </row>
    <row r="6822">
      <c r="B6822" s="2" t="n"/>
      <c r="C6822" s="40" t="n"/>
      <c r="D6822" s="52">
        <f t="array" ref="D6822:W6822">IF(All_Students_Scores!C6820:V6820="","",All_Students_Scores!C6820:V6820)</f>
        <v/>
      </c>
      <c r="E6822" s="57" t="str"/>
      <c r="F6822" s="49" t="str"/>
      <c r="G6822" s="59" t="str"/>
      <c r="H6822" s="64" t="str"/>
      <c r="I6822" s="65" t="str"/>
      <c r="J6822" s="49" t="str"/>
      <c r="K6822" s="41" t="str"/>
      <c r="L6822" s="41" t="str"/>
      <c r="M6822" s="41" t="str"/>
      <c r="N6822" s="41" t="str"/>
      <c r="O6822" s="41" t="str"/>
      <c r="P6822" s="41" t="str"/>
      <c r="Q6822" s="41" t="str"/>
      <c r="R6822" s="41" t="str"/>
      <c r="S6822" s="41" t="str"/>
      <c r="T6822" s="41" t="str"/>
      <c r="U6822" s="41" t="str"/>
      <c r="V6822" s="41" t="str"/>
      <c r="W6822" s="41" t="str"/>
    </row>
    <row r="6823">
      <c r="B6823" s="2" t="n"/>
      <c r="C6823" s="40" t="n"/>
      <c r="D6823" s="52">
        <f t="array" ref="D6823:W6823">IF(All_Students_Scores!C6821:V6821="","",All_Students_Scores!C6821:V6821)</f>
        <v/>
      </c>
      <c r="E6823" s="57" t="str"/>
      <c r="F6823" s="49" t="str"/>
      <c r="G6823" s="59" t="str"/>
      <c r="H6823" s="64" t="str"/>
      <c r="I6823" s="65" t="str"/>
      <c r="J6823" s="49" t="str"/>
      <c r="K6823" s="41" t="str"/>
      <c r="L6823" s="41" t="str"/>
      <c r="M6823" s="41" t="str"/>
      <c r="N6823" s="41" t="str"/>
      <c r="O6823" s="41" t="str"/>
      <c r="P6823" s="41" t="str"/>
      <c r="Q6823" s="41" t="str"/>
      <c r="R6823" s="41" t="str"/>
      <c r="S6823" s="41" t="str"/>
      <c r="T6823" s="41" t="str"/>
      <c r="U6823" s="41" t="str"/>
      <c r="V6823" s="41" t="str"/>
      <c r="W6823" s="41" t="str"/>
    </row>
    <row r="6824">
      <c r="B6824" s="2" t="n"/>
      <c r="C6824" s="40" t="n"/>
      <c r="D6824" s="52">
        <f t="array" ref="D6824:W6824">IF(All_Students_Scores!C6822:V6822="","",All_Students_Scores!C6822:V6822)</f>
        <v/>
      </c>
      <c r="E6824" s="57" t="str"/>
      <c r="F6824" s="49" t="str"/>
      <c r="G6824" s="59" t="str"/>
      <c r="H6824" s="64" t="str"/>
      <c r="I6824" s="65" t="str"/>
      <c r="J6824" s="49" t="str"/>
      <c r="K6824" s="41" t="str"/>
      <c r="L6824" s="41" t="str"/>
      <c r="M6824" s="41" t="str"/>
      <c r="N6824" s="41" t="str"/>
      <c r="O6824" s="41" t="str"/>
      <c r="P6824" s="41" t="str"/>
      <c r="Q6824" s="41" t="str"/>
      <c r="R6824" s="41" t="str"/>
      <c r="S6824" s="41" t="str"/>
      <c r="T6824" s="41" t="str"/>
      <c r="U6824" s="41" t="str"/>
      <c r="V6824" s="41" t="str"/>
      <c r="W6824" s="41" t="str"/>
    </row>
    <row r="6825">
      <c r="B6825" s="2" t="n"/>
      <c r="C6825" s="40" t="n"/>
      <c r="D6825" s="52">
        <f t="array" ref="D6825:W6825">IF(All_Students_Scores!C6823:V6823="","",All_Students_Scores!C6823:V6823)</f>
        <v/>
      </c>
      <c r="E6825" s="57" t="str"/>
      <c r="F6825" s="49" t="str"/>
      <c r="G6825" s="59" t="str"/>
      <c r="H6825" s="64" t="str"/>
      <c r="I6825" s="65" t="str"/>
      <c r="J6825" s="49" t="str"/>
      <c r="K6825" s="41" t="str"/>
      <c r="L6825" s="41" t="str"/>
      <c r="M6825" s="41" t="str"/>
      <c r="N6825" s="41" t="str"/>
      <c r="O6825" s="41" t="str"/>
      <c r="P6825" s="41" t="str"/>
      <c r="Q6825" s="41" t="str"/>
      <c r="R6825" s="41" t="str"/>
      <c r="S6825" s="41" t="str"/>
      <c r="T6825" s="41" t="str"/>
      <c r="U6825" s="41" t="str"/>
      <c r="V6825" s="41" t="str"/>
      <c r="W6825" s="41" t="str"/>
    </row>
    <row r="6826">
      <c r="B6826" s="2" t="n"/>
      <c r="C6826" s="40" t="n"/>
      <c r="D6826" s="52">
        <f t="array" ref="D6826:W6826">IF(All_Students_Scores!C6824:V6824="","",All_Students_Scores!C6824:V6824)</f>
        <v/>
      </c>
      <c r="E6826" s="57" t="str"/>
      <c r="F6826" s="49" t="str"/>
      <c r="G6826" s="59" t="str"/>
      <c r="H6826" s="64" t="str"/>
      <c r="I6826" s="65" t="str"/>
      <c r="J6826" s="49" t="str"/>
      <c r="K6826" s="41" t="str"/>
      <c r="L6826" s="41" t="str"/>
      <c r="M6826" s="41" t="str"/>
      <c r="N6826" s="41" t="str"/>
      <c r="O6826" s="41" t="str"/>
      <c r="P6826" s="41" t="str"/>
      <c r="Q6826" s="41" t="str"/>
      <c r="R6826" s="41" t="str"/>
      <c r="S6826" s="41" t="str"/>
      <c r="T6826" s="41" t="str"/>
      <c r="U6826" s="41" t="str"/>
      <c r="V6826" s="41" t="str"/>
      <c r="W6826" s="41" t="str"/>
    </row>
    <row r="6827">
      <c r="B6827" s="2" t="n"/>
      <c r="C6827" s="40" t="n"/>
      <c r="D6827" s="52">
        <f t="array" ref="D6827:W6827">IF(All_Students_Scores!C6825:V6825="","",All_Students_Scores!C6825:V6825)</f>
        <v/>
      </c>
      <c r="E6827" s="57" t="str"/>
      <c r="F6827" s="49" t="str"/>
      <c r="G6827" s="59" t="str"/>
      <c r="H6827" s="64" t="str"/>
      <c r="I6827" s="65" t="str"/>
      <c r="J6827" s="49" t="str"/>
      <c r="K6827" s="41" t="str"/>
      <c r="L6827" s="41" t="str"/>
      <c r="M6827" s="41" t="str"/>
      <c r="N6827" s="41" t="str"/>
      <c r="O6827" s="41" t="str"/>
      <c r="P6827" s="41" t="str"/>
      <c r="Q6827" s="41" t="str"/>
      <c r="R6827" s="41" t="str"/>
      <c r="S6827" s="41" t="str"/>
      <c r="T6827" s="41" t="str"/>
      <c r="U6827" s="41" t="str"/>
      <c r="V6827" s="41" t="str"/>
      <c r="W6827" s="41" t="str"/>
    </row>
    <row r="6828">
      <c r="B6828" s="2" t="n"/>
      <c r="C6828" s="40" t="n"/>
      <c r="D6828" s="52">
        <f t="array" ref="D6828:W6828">IF(All_Students_Scores!C6826:V6826="","",All_Students_Scores!C6826:V6826)</f>
        <v/>
      </c>
      <c r="E6828" s="57" t="str"/>
      <c r="F6828" s="49" t="str"/>
      <c r="G6828" s="59" t="str"/>
      <c r="H6828" s="64" t="str"/>
      <c r="I6828" s="65" t="str"/>
      <c r="J6828" s="49" t="str"/>
      <c r="K6828" s="41" t="str"/>
      <c r="L6828" s="41" t="str"/>
      <c r="M6828" s="41" t="str"/>
      <c r="N6828" s="41" t="str"/>
      <c r="O6828" s="41" t="str"/>
      <c r="P6828" s="41" t="str"/>
      <c r="Q6828" s="41" t="str"/>
      <c r="R6828" s="41" t="str"/>
      <c r="S6828" s="41" t="str"/>
      <c r="T6828" s="41" t="str"/>
      <c r="U6828" s="41" t="str"/>
      <c r="V6828" s="41" t="str"/>
      <c r="W6828" s="41" t="str"/>
    </row>
    <row r="6829">
      <c r="B6829" s="2" t="n"/>
      <c r="C6829" s="40" t="n"/>
      <c r="D6829" s="52">
        <f t="array" ref="D6829:W6829">IF(All_Students_Scores!C6827:V6827="","",All_Students_Scores!C6827:V6827)</f>
        <v/>
      </c>
      <c r="E6829" s="57" t="str"/>
      <c r="F6829" s="49" t="str"/>
      <c r="G6829" s="59" t="str"/>
      <c r="H6829" s="64" t="str"/>
      <c r="I6829" s="65" t="str"/>
      <c r="J6829" s="49" t="str"/>
      <c r="K6829" s="41" t="str"/>
      <c r="L6829" s="41" t="str"/>
      <c r="M6829" s="41" t="str"/>
      <c r="N6829" s="41" t="str"/>
      <c r="O6829" s="41" t="str"/>
      <c r="P6829" s="41" t="str"/>
      <c r="Q6829" s="41" t="str"/>
      <c r="R6829" s="41" t="str"/>
      <c r="S6829" s="41" t="str"/>
      <c r="T6829" s="41" t="str"/>
      <c r="U6829" s="41" t="str"/>
      <c r="V6829" s="41" t="str"/>
      <c r="W6829" s="41" t="str"/>
    </row>
    <row r="6830">
      <c r="B6830" s="2" t="n"/>
      <c r="C6830" s="40" t="n"/>
      <c r="D6830" s="52">
        <f t="array" ref="D6830:W6830">IF(All_Students_Scores!C6828:V6828="","",All_Students_Scores!C6828:V6828)</f>
        <v/>
      </c>
      <c r="E6830" s="57" t="str"/>
      <c r="F6830" s="49" t="str"/>
      <c r="G6830" s="59" t="str"/>
      <c r="H6830" s="64" t="str"/>
      <c r="I6830" s="65" t="str"/>
      <c r="J6830" s="49" t="str"/>
      <c r="K6830" s="41" t="str"/>
      <c r="L6830" s="41" t="str"/>
      <c r="M6830" s="41" t="str"/>
      <c r="N6830" s="41" t="str"/>
      <c r="O6830" s="41" t="str"/>
      <c r="P6830" s="41" t="str"/>
      <c r="Q6830" s="41" t="str"/>
      <c r="R6830" s="41" t="str"/>
      <c r="S6830" s="41" t="str"/>
      <c r="T6830" s="41" t="str"/>
      <c r="U6830" s="41" t="str"/>
      <c r="V6830" s="41" t="str"/>
      <c r="W6830" s="41" t="str"/>
    </row>
    <row r="6831">
      <c r="B6831" s="2" t="n"/>
      <c r="C6831" s="40" t="n"/>
      <c r="D6831" s="52">
        <f t="array" ref="D6831:W6831">IF(All_Students_Scores!C6829:V6829="","",All_Students_Scores!C6829:V6829)</f>
        <v/>
      </c>
      <c r="E6831" s="57" t="str"/>
      <c r="F6831" s="49" t="str"/>
      <c r="G6831" s="59" t="str"/>
      <c r="H6831" s="64" t="str"/>
      <c r="I6831" s="65" t="str"/>
      <c r="J6831" s="49" t="str"/>
      <c r="K6831" s="41" t="str"/>
      <c r="L6831" s="41" t="str"/>
      <c r="M6831" s="41" t="str"/>
      <c r="N6831" s="41" t="str"/>
      <c r="O6831" s="41" t="str"/>
      <c r="P6831" s="41" t="str"/>
      <c r="Q6831" s="41" t="str"/>
      <c r="R6831" s="41" t="str"/>
      <c r="S6831" s="41" t="str"/>
      <c r="T6831" s="41" t="str"/>
      <c r="U6831" s="41" t="str"/>
      <c r="V6831" s="41" t="str"/>
      <c r="W6831" s="41" t="str"/>
    </row>
    <row r="6832">
      <c r="B6832" s="2" t="n"/>
      <c r="C6832" s="40" t="n"/>
      <c r="D6832" s="52">
        <f t="array" ref="D6832:W6832">IF(All_Students_Scores!C6830:V6830="","",All_Students_Scores!C6830:V6830)</f>
        <v/>
      </c>
      <c r="E6832" s="57" t="str"/>
      <c r="F6832" s="49" t="str"/>
      <c r="G6832" s="59" t="str"/>
      <c r="H6832" s="64" t="str"/>
      <c r="I6832" s="65" t="str"/>
      <c r="J6832" s="49" t="str"/>
      <c r="K6832" s="41" t="str"/>
      <c r="L6832" s="41" t="str"/>
      <c r="M6832" s="41" t="str"/>
      <c r="N6832" s="41" t="str"/>
      <c r="O6832" s="41" t="str"/>
      <c r="P6832" s="41" t="str"/>
      <c r="Q6832" s="41" t="str"/>
      <c r="R6832" s="41" t="str"/>
      <c r="S6832" s="41" t="str"/>
      <c r="T6832" s="41" t="str"/>
      <c r="U6832" s="41" t="str"/>
      <c r="V6832" s="41" t="str"/>
      <c r="W6832" s="41" t="str"/>
    </row>
    <row r="6833">
      <c r="B6833" s="2" t="n"/>
      <c r="C6833" s="40" t="n"/>
      <c r="D6833" s="52">
        <f t="array" ref="D6833:W6833">IF(All_Students_Scores!C6831:V6831="","",All_Students_Scores!C6831:V6831)</f>
        <v/>
      </c>
      <c r="E6833" s="57" t="str"/>
      <c r="F6833" s="49" t="str"/>
      <c r="G6833" s="59" t="str"/>
      <c r="H6833" s="64" t="str"/>
      <c r="I6833" s="65" t="str"/>
      <c r="J6833" s="49" t="str"/>
      <c r="K6833" s="41" t="str"/>
      <c r="L6833" s="41" t="str"/>
      <c r="M6833" s="41" t="str"/>
      <c r="N6833" s="41" t="str"/>
      <c r="O6833" s="41" t="str"/>
      <c r="P6833" s="41" t="str"/>
      <c r="Q6833" s="41" t="str"/>
      <c r="R6833" s="41" t="str"/>
      <c r="S6833" s="41" t="str"/>
      <c r="T6833" s="41" t="str"/>
      <c r="U6833" s="41" t="str"/>
      <c r="V6833" s="41" t="str"/>
      <c r="W6833" s="41" t="str"/>
    </row>
    <row r="6834">
      <c r="B6834" s="2" t="n"/>
      <c r="C6834" s="40" t="n"/>
      <c r="D6834" s="52">
        <f t="array" ref="D6834:W6834">IF(All_Students_Scores!C6832:V6832="","",All_Students_Scores!C6832:V6832)</f>
        <v/>
      </c>
      <c r="E6834" s="57" t="str"/>
      <c r="F6834" s="49" t="str"/>
      <c r="G6834" s="59" t="str"/>
      <c r="H6834" s="64" t="str"/>
      <c r="I6834" s="65" t="str"/>
      <c r="J6834" s="49" t="str"/>
      <c r="K6834" s="41" t="str"/>
      <c r="L6834" s="41" t="str"/>
      <c r="M6834" s="41" t="str"/>
      <c r="N6834" s="41" t="str"/>
      <c r="O6834" s="41" t="str"/>
      <c r="P6834" s="41" t="str"/>
      <c r="Q6834" s="41" t="str"/>
      <c r="R6834" s="41" t="str"/>
      <c r="S6834" s="41" t="str"/>
      <c r="T6834" s="41" t="str"/>
      <c r="U6834" s="41" t="str"/>
      <c r="V6834" s="41" t="str"/>
      <c r="W6834" s="41" t="str"/>
    </row>
    <row r="6835">
      <c r="B6835" s="2" t="n"/>
      <c r="C6835" s="40" t="n"/>
      <c r="D6835" s="52">
        <f t="array" ref="D6835:W6835">IF(All_Students_Scores!C6833:V6833="","",All_Students_Scores!C6833:V6833)</f>
        <v/>
      </c>
      <c r="E6835" s="57" t="str"/>
      <c r="F6835" s="49" t="str"/>
      <c r="G6835" s="59" t="str"/>
      <c r="H6835" s="64" t="str"/>
      <c r="I6835" s="65" t="str"/>
      <c r="J6835" s="49" t="str"/>
      <c r="K6835" s="41" t="str"/>
      <c r="L6835" s="41" t="str"/>
      <c r="M6835" s="41" t="str"/>
      <c r="N6835" s="41" t="str"/>
      <c r="O6835" s="41" t="str"/>
      <c r="P6835" s="41" t="str"/>
      <c r="Q6835" s="41" t="str"/>
      <c r="R6835" s="41" t="str"/>
      <c r="S6835" s="41" t="str"/>
      <c r="T6835" s="41" t="str"/>
      <c r="U6835" s="41" t="str"/>
      <c r="V6835" s="41" t="str"/>
      <c r="W6835" s="41" t="str"/>
    </row>
    <row r="6836">
      <c r="B6836" s="2" t="n"/>
      <c r="C6836" s="40" t="n"/>
      <c r="D6836" s="52">
        <f t="array" ref="D6836:W6836">IF(All_Students_Scores!C6834:V6834="","",All_Students_Scores!C6834:V6834)</f>
        <v/>
      </c>
      <c r="E6836" s="57" t="str"/>
      <c r="F6836" s="49" t="str"/>
      <c r="G6836" s="59" t="str"/>
      <c r="H6836" s="64" t="str"/>
      <c r="I6836" s="65" t="str"/>
      <c r="J6836" s="49" t="str"/>
      <c r="K6836" s="41" t="str"/>
      <c r="L6836" s="41" t="str"/>
      <c r="M6836" s="41" t="str"/>
      <c r="N6836" s="41" t="str"/>
      <c r="O6836" s="41" t="str"/>
      <c r="P6836" s="41" t="str"/>
      <c r="Q6836" s="41" t="str"/>
      <c r="R6836" s="41" t="str"/>
      <c r="S6836" s="41" t="str"/>
      <c r="T6836" s="41" t="str"/>
      <c r="U6836" s="41" t="str"/>
      <c r="V6836" s="41" t="str"/>
      <c r="W6836" s="41" t="str"/>
    </row>
    <row r="6837">
      <c r="B6837" s="2" t="n"/>
      <c r="C6837" s="40" t="n"/>
      <c r="D6837" s="52">
        <f t="array" ref="D6837:W6837">IF(All_Students_Scores!C6835:V6835="","",All_Students_Scores!C6835:V6835)</f>
        <v/>
      </c>
      <c r="E6837" s="57" t="str"/>
      <c r="F6837" s="49" t="str"/>
      <c r="G6837" s="59" t="str"/>
      <c r="H6837" s="64" t="str"/>
      <c r="I6837" s="65" t="str"/>
      <c r="J6837" s="49" t="str"/>
      <c r="K6837" s="41" t="str"/>
      <c r="L6837" s="41" t="str"/>
      <c r="M6837" s="41" t="str"/>
      <c r="N6837" s="41" t="str"/>
      <c r="O6837" s="41" t="str"/>
      <c r="P6837" s="41" t="str"/>
      <c r="Q6837" s="41" t="str"/>
      <c r="R6837" s="41" t="str"/>
      <c r="S6837" s="41" t="str"/>
      <c r="T6837" s="41" t="str"/>
      <c r="U6837" s="41" t="str"/>
      <c r="V6837" s="41" t="str"/>
      <c r="W6837" s="41" t="str"/>
    </row>
    <row r="6838">
      <c r="B6838" s="2" t="n"/>
      <c r="C6838" s="40" t="n"/>
      <c r="D6838" s="52">
        <f t="array" ref="D6838:W6838">IF(All_Students_Scores!C6836:V6836="","",All_Students_Scores!C6836:V6836)</f>
        <v/>
      </c>
      <c r="E6838" s="57" t="str"/>
      <c r="F6838" s="49" t="str"/>
      <c r="G6838" s="59" t="str"/>
      <c r="H6838" s="64" t="str"/>
      <c r="I6838" s="65" t="str"/>
      <c r="J6838" s="49" t="str"/>
      <c r="K6838" s="41" t="str"/>
      <c r="L6838" s="41" t="str"/>
      <c r="M6838" s="41" t="str"/>
      <c r="N6838" s="41" t="str"/>
      <c r="O6838" s="41" t="str"/>
      <c r="P6838" s="41" t="str"/>
      <c r="Q6838" s="41" t="str"/>
      <c r="R6838" s="41" t="str"/>
      <c r="S6838" s="41" t="str"/>
      <c r="T6838" s="41" t="str"/>
      <c r="U6838" s="41" t="str"/>
      <c r="V6838" s="41" t="str"/>
      <c r="W6838" s="41" t="str"/>
    </row>
    <row r="6839">
      <c r="B6839" s="2" t="n"/>
      <c r="C6839" s="40" t="n"/>
      <c r="D6839" s="52">
        <f t="array" ref="D6839:W6839">IF(All_Students_Scores!C6837:V6837="","",All_Students_Scores!C6837:V6837)</f>
        <v/>
      </c>
      <c r="E6839" s="57" t="str"/>
      <c r="F6839" s="49" t="str"/>
      <c r="G6839" s="59" t="str"/>
      <c r="H6839" s="64" t="str"/>
      <c r="I6839" s="65" t="str"/>
      <c r="J6839" s="49" t="str"/>
      <c r="K6839" s="41" t="str"/>
      <c r="L6839" s="41" t="str"/>
      <c r="M6839" s="41" t="str"/>
      <c r="N6839" s="41" t="str"/>
      <c r="O6839" s="41" t="str"/>
      <c r="P6839" s="41" t="str"/>
      <c r="Q6839" s="41" t="str"/>
      <c r="R6839" s="41" t="str"/>
      <c r="S6839" s="41" t="str"/>
      <c r="T6839" s="41" t="str"/>
      <c r="U6839" s="41" t="str"/>
      <c r="V6839" s="41" t="str"/>
      <c r="W6839" s="41" t="str"/>
    </row>
    <row r="6840">
      <c r="B6840" s="2" t="n"/>
      <c r="C6840" s="40" t="n"/>
      <c r="D6840" s="52">
        <f t="array" ref="D6840:W6840">IF(All_Students_Scores!C6838:V6838="","",All_Students_Scores!C6838:V6838)</f>
        <v/>
      </c>
      <c r="E6840" s="57" t="str"/>
      <c r="F6840" s="49" t="str"/>
      <c r="G6840" s="59" t="str"/>
      <c r="H6840" s="64" t="str"/>
      <c r="I6840" s="65" t="str"/>
      <c r="J6840" s="49" t="str"/>
      <c r="K6840" s="41" t="str"/>
      <c r="L6840" s="41" t="str"/>
      <c r="M6840" s="41" t="str"/>
      <c r="N6840" s="41" t="str"/>
      <c r="O6840" s="41" t="str"/>
      <c r="P6840" s="41" t="str"/>
      <c r="Q6840" s="41" t="str"/>
      <c r="R6840" s="41" t="str"/>
      <c r="S6840" s="41" t="str"/>
      <c r="T6840" s="41" t="str"/>
      <c r="U6840" s="41" t="str"/>
      <c r="V6840" s="41" t="str"/>
      <c r="W6840" s="41" t="str"/>
    </row>
    <row r="6841">
      <c r="B6841" s="2" t="n"/>
      <c r="C6841" s="40" t="n"/>
      <c r="D6841" s="52">
        <f t="array" ref="D6841:W6841">IF(All_Students_Scores!C6839:V6839="","",All_Students_Scores!C6839:V6839)</f>
        <v/>
      </c>
      <c r="E6841" s="57" t="str"/>
      <c r="F6841" s="49" t="str"/>
      <c r="G6841" s="59" t="str"/>
      <c r="H6841" s="64" t="str"/>
      <c r="I6841" s="65" t="str"/>
      <c r="J6841" s="49" t="str"/>
      <c r="K6841" s="41" t="str"/>
      <c r="L6841" s="41" t="str"/>
      <c r="M6841" s="41" t="str"/>
      <c r="N6841" s="41" t="str"/>
      <c r="O6841" s="41" t="str"/>
      <c r="P6841" s="41" t="str"/>
      <c r="Q6841" s="41" t="str"/>
      <c r="R6841" s="41" t="str"/>
      <c r="S6841" s="41" t="str"/>
      <c r="T6841" s="41" t="str"/>
      <c r="U6841" s="41" t="str"/>
      <c r="V6841" s="41" t="str"/>
      <c r="W6841" s="41" t="str"/>
    </row>
    <row r="6842">
      <c r="B6842" s="2" t="n"/>
      <c r="C6842" s="40" t="n"/>
      <c r="D6842" s="52">
        <f t="array" ref="D6842:W6842">IF(All_Students_Scores!C6840:V6840="","",All_Students_Scores!C6840:V6840)</f>
        <v/>
      </c>
      <c r="E6842" s="57" t="str"/>
      <c r="F6842" s="49" t="str"/>
      <c r="G6842" s="59" t="str"/>
      <c r="H6842" s="64" t="str"/>
      <c r="I6842" s="65" t="str"/>
      <c r="J6842" s="49" t="str"/>
      <c r="K6842" s="41" t="str"/>
      <c r="L6842" s="41" t="str"/>
      <c r="M6842" s="41" t="str"/>
      <c r="N6842" s="41" t="str"/>
      <c r="O6842" s="41" t="str"/>
      <c r="P6842" s="41" t="str"/>
      <c r="Q6842" s="41" t="str"/>
      <c r="R6842" s="41" t="str"/>
      <c r="S6842" s="41" t="str"/>
      <c r="T6842" s="41" t="str"/>
      <c r="U6842" s="41" t="str"/>
      <c r="V6842" s="41" t="str"/>
      <c r="W6842" s="41" t="str"/>
    </row>
    <row r="6843">
      <c r="B6843" s="2" t="n"/>
      <c r="C6843" s="40" t="n"/>
      <c r="D6843" s="52">
        <f t="array" ref="D6843:W6843">IF(All_Students_Scores!C6841:V6841="","",All_Students_Scores!C6841:V6841)</f>
        <v/>
      </c>
      <c r="E6843" s="57" t="str"/>
      <c r="F6843" s="49" t="str"/>
      <c r="G6843" s="59" t="str"/>
      <c r="H6843" s="64" t="str"/>
      <c r="I6843" s="65" t="str"/>
      <c r="J6843" s="49" t="str"/>
      <c r="K6843" s="41" t="str"/>
      <c r="L6843" s="41" t="str"/>
      <c r="M6843" s="41" t="str"/>
      <c r="N6843" s="41" t="str"/>
      <c r="O6843" s="41" t="str"/>
      <c r="P6843" s="41" t="str"/>
      <c r="Q6843" s="41" t="str"/>
      <c r="R6843" s="41" t="str"/>
      <c r="S6843" s="41" t="str"/>
      <c r="T6843" s="41" t="str"/>
      <c r="U6843" s="41" t="str"/>
      <c r="V6843" s="41" t="str"/>
      <c r="W6843" s="41" t="str"/>
    </row>
    <row r="6844">
      <c r="B6844" s="2" t="n"/>
      <c r="C6844" s="40" t="n"/>
      <c r="D6844" s="52">
        <f t="array" ref="D6844:W6844">IF(All_Students_Scores!C6842:V6842="","",All_Students_Scores!C6842:V6842)</f>
        <v/>
      </c>
      <c r="E6844" s="57" t="str"/>
      <c r="F6844" s="49" t="str"/>
      <c r="G6844" s="59" t="str"/>
      <c r="H6844" s="64" t="str"/>
      <c r="I6844" s="65" t="str"/>
      <c r="J6844" s="49" t="str"/>
      <c r="K6844" s="41" t="str"/>
      <c r="L6844" s="41" t="str"/>
      <c r="M6844" s="41" t="str"/>
      <c r="N6844" s="41" t="str"/>
      <c r="O6844" s="41" t="str"/>
      <c r="P6844" s="41" t="str"/>
      <c r="Q6844" s="41" t="str"/>
      <c r="R6844" s="41" t="str"/>
      <c r="S6844" s="41" t="str"/>
      <c r="T6844" s="41" t="str"/>
      <c r="U6844" s="41" t="str"/>
      <c r="V6844" s="41" t="str"/>
      <c r="W6844" s="41" t="str"/>
    </row>
    <row r="6845">
      <c r="B6845" s="2" t="n"/>
      <c r="C6845" s="40" t="n"/>
      <c r="D6845" s="52">
        <f t="array" ref="D6845:W6845">IF(All_Students_Scores!C6843:V6843="","",All_Students_Scores!C6843:V6843)</f>
        <v/>
      </c>
      <c r="E6845" s="57" t="str"/>
      <c r="F6845" s="49" t="str"/>
      <c r="G6845" s="59" t="str"/>
      <c r="H6845" s="64" t="str"/>
      <c r="I6845" s="65" t="str"/>
      <c r="J6845" s="49" t="str"/>
      <c r="K6845" s="41" t="str"/>
      <c r="L6845" s="41" t="str"/>
      <c r="M6845" s="41" t="str"/>
      <c r="N6845" s="41" t="str"/>
      <c r="O6845" s="41" t="str"/>
      <c r="P6845" s="41" t="str"/>
      <c r="Q6845" s="41" t="str"/>
      <c r="R6845" s="41" t="str"/>
      <c r="S6845" s="41" t="str"/>
      <c r="T6845" s="41" t="str"/>
      <c r="U6845" s="41" t="str"/>
      <c r="V6845" s="41" t="str"/>
      <c r="W6845" s="41" t="str"/>
    </row>
    <row r="6846">
      <c r="B6846" s="2" t="n"/>
      <c r="C6846" s="40" t="n"/>
      <c r="D6846" s="52">
        <f t="array" ref="D6846:W6846">IF(All_Students_Scores!C6844:V6844="","",All_Students_Scores!C6844:V6844)</f>
        <v/>
      </c>
      <c r="E6846" s="57" t="str"/>
      <c r="F6846" s="49" t="str"/>
      <c r="G6846" s="59" t="str"/>
      <c r="H6846" s="64" t="str"/>
      <c r="I6846" s="65" t="str"/>
      <c r="J6846" s="49" t="str"/>
      <c r="K6846" s="41" t="str"/>
      <c r="L6846" s="41" t="str"/>
      <c r="M6846" s="41" t="str"/>
      <c r="N6846" s="41" t="str"/>
      <c r="O6846" s="41" t="str"/>
      <c r="P6846" s="41" t="str"/>
      <c r="Q6846" s="41" t="str"/>
      <c r="R6846" s="41" t="str"/>
      <c r="S6846" s="41" t="str"/>
      <c r="T6846" s="41" t="str"/>
      <c r="U6846" s="41" t="str"/>
      <c r="V6846" s="41" t="str"/>
      <c r="W6846" s="41" t="str"/>
    </row>
    <row r="6847">
      <c r="B6847" s="2" t="n"/>
      <c r="C6847" s="40" t="n"/>
      <c r="D6847" s="52">
        <f t="array" ref="D6847:W6847">IF(All_Students_Scores!C6845:V6845="","",All_Students_Scores!C6845:V6845)</f>
        <v/>
      </c>
      <c r="E6847" s="57" t="str"/>
      <c r="F6847" s="49" t="str"/>
      <c r="G6847" s="59" t="str"/>
      <c r="H6847" s="64" t="str"/>
      <c r="I6847" s="65" t="str"/>
      <c r="J6847" s="49" t="str"/>
      <c r="K6847" s="41" t="str"/>
      <c r="L6847" s="41" t="str"/>
      <c r="M6847" s="41" t="str"/>
      <c r="N6847" s="41" t="str"/>
      <c r="O6847" s="41" t="str"/>
      <c r="P6847" s="41" t="str"/>
      <c r="Q6847" s="41" t="str"/>
      <c r="R6847" s="41" t="str"/>
      <c r="S6847" s="41" t="str"/>
      <c r="T6847" s="41" t="str"/>
      <c r="U6847" s="41" t="str"/>
      <c r="V6847" s="41" t="str"/>
      <c r="W6847" s="41" t="str"/>
    </row>
    <row r="6848">
      <c r="B6848" s="2" t="n"/>
      <c r="C6848" s="40" t="n"/>
      <c r="D6848" s="52">
        <f t="array" ref="D6848:W6848">IF(All_Students_Scores!C6846:V6846="","",All_Students_Scores!C6846:V6846)</f>
        <v/>
      </c>
      <c r="E6848" s="57" t="str"/>
      <c r="F6848" s="49" t="str"/>
      <c r="G6848" s="59" t="str"/>
      <c r="H6848" s="64" t="str"/>
      <c r="I6848" s="65" t="str"/>
      <c r="J6848" s="49" t="str"/>
      <c r="K6848" s="41" t="str"/>
      <c r="L6848" s="41" t="str"/>
      <c r="M6848" s="41" t="str"/>
      <c r="N6848" s="41" t="str"/>
      <c r="O6848" s="41" t="str"/>
      <c r="P6848" s="41" t="str"/>
      <c r="Q6848" s="41" t="str"/>
      <c r="R6848" s="41" t="str"/>
      <c r="S6848" s="41" t="str"/>
      <c r="T6848" s="41" t="str"/>
      <c r="U6848" s="41" t="str"/>
      <c r="V6848" s="41" t="str"/>
      <c r="W6848" s="41" t="str"/>
    </row>
    <row r="6849">
      <c r="B6849" s="2" t="n"/>
      <c r="C6849" s="40" t="n"/>
      <c r="D6849" s="52">
        <f t="array" ref="D6849:W6849">IF(All_Students_Scores!C6847:V6847="","",All_Students_Scores!C6847:V6847)</f>
        <v/>
      </c>
      <c r="E6849" s="57" t="str"/>
      <c r="F6849" s="49" t="str"/>
      <c r="G6849" s="59" t="str"/>
      <c r="H6849" s="64" t="str"/>
      <c r="I6849" s="65" t="str"/>
      <c r="J6849" s="49" t="str"/>
      <c r="K6849" s="41" t="str"/>
      <c r="L6849" s="41" t="str"/>
      <c r="M6849" s="41" t="str"/>
      <c r="N6849" s="41" t="str"/>
      <c r="O6849" s="41" t="str"/>
      <c r="P6849" s="41" t="str"/>
      <c r="Q6849" s="41" t="str"/>
      <c r="R6849" s="41" t="str"/>
      <c r="S6849" s="41" t="str"/>
      <c r="T6849" s="41" t="str"/>
      <c r="U6849" s="41" t="str"/>
      <c r="V6849" s="41" t="str"/>
      <c r="W6849" s="41" t="str"/>
    </row>
    <row r="6850">
      <c r="B6850" s="2" t="n"/>
      <c r="C6850" s="40" t="n"/>
      <c r="D6850" s="52">
        <f t="array" ref="D6850:W6850">IF(All_Students_Scores!C6848:V6848="","",All_Students_Scores!C6848:V6848)</f>
        <v/>
      </c>
      <c r="E6850" s="57" t="str"/>
      <c r="F6850" s="49" t="str"/>
      <c r="G6850" s="59" t="str"/>
      <c r="H6850" s="64" t="str"/>
      <c r="I6850" s="65" t="str"/>
      <c r="J6850" s="49" t="str"/>
      <c r="K6850" s="41" t="str"/>
      <c r="L6850" s="41" t="str"/>
      <c r="M6850" s="41" t="str"/>
      <c r="N6850" s="41" t="str"/>
      <c r="O6850" s="41" t="str"/>
      <c r="P6850" s="41" t="str"/>
      <c r="Q6850" s="41" t="str"/>
      <c r="R6850" s="41" t="str"/>
      <c r="S6850" s="41" t="str"/>
      <c r="T6850" s="41" t="str"/>
      <c r="U6850" s="41" t="str"/>
      <c r="V6850" s="41" t="str"/>
      <c r="W6850" s="41" t="str"/>
    </row>
    <row r="6851">
      <c r="B6851" s="2" t="n"/>
      <c r="C6851" s="40" t="n"/>
      <c r="D6851" s="52">
        <f t="array" ref="D6851:W6851">IF(All_Students_Scores!C6849:V6849="","",All_Students_Scores!C6849:V6849)</f>
        <v/>
      </c>
      <c r="E6851" s="57" t="str"/>
      <c r="F6851" s="49" t="str"/>
      <c r="G6851" s="59" t="str"/>
      <c r="H6851" s="64" t="str"/>
      <c r="I6851" s="65" t="str"/>
      <c r="J6851" s="49" t="str"/>
      <c r="K6851" s="41" t="str"/>
      <c r="L6851" s="41" t="str"/>
      <c r="M6851" s="41" t="str"/>
      <c r="N6851" s="41" t="str"/>
      <c r="O6851" s="41" t="str"/>
      <c r="P6851" s="41" t="str"/>
      <c r="Q6851" s="41" t="str"/>
      <c r="R6851" s="41" t="str"/>
      <c r="S6851" s="41" t="str"/>
      <c r="T6851" s="41" t="str"/>
      <c r="U6851" s="41" t="str"/>
      <c r="V6851" s="41" t="str"/>
      <c r="W6851" s="41" t="str"/>
    </row>
    <row r="6852">
      <c r="B6852" s="2" t="n"/>
      <c r="C6852" s="40" t="n"/>
      <c r="D6852" s="52">
        <f t="array" ref="D6852:W6852">IF(All_Students_Scores!C6850:V6850="","",All_Students_Scores!C6850:V6850)</f>
        <v/>
      </c>
      <c r="E6852" s="57" t="str"/>
      <c r="F6852" s="49" t="str"/>
      <c r="G6852" s="59" t="str"/>
      <c r="H6852" s="64" t="str"/>
      <c r="I6852" s="65" t="str"/>
      <c r="J6852" s="49" t="str"/>
      <c r="K6852" s="41" t="str"/>
      <c r="L6852" s="41" t="str"/>
      <c r="M6852" s="41" t="str"/>
      <c r="N6852" s="41" t="str"/>
      <c r="O6852" s="41" t="str"/>
      <c r="P6852" s="41" t="str"/>
      <c r="Q6852" s="41" t="str"/>
      <c r="R6852" s="41" t="str"/>
      <c r="S6852" s="41" t="str"/>
      <c r="T6852" s="41" t="str"/>
      <c r="U6852" s="41" t="str"/>
      <c r="V6852" s="41" t="str"/>
      <c r="W6852" s="41" t="str"/>
    </row>
    <row r="6853">
      <c r="B6853" s="2" t="n"/>
      <c r="C6853" s="40" t="n"/>
      <c r="D6853" s="52">
        <f t="array" ref="D6853:W6853">IF(All_Students_Scores!C6851:V6851="","",All_Students_Scores!C6851:V6851)</f>
        <v/>
      </c>
      <c r="E6853" s="57" t="str"/>
      <c r="F6853" s="49" t="str"/>
      <c r="G6853" s="59" t="str"/>
      <c r="H6853" s="64" t="str"/>
      <c r="I6853" s="65" t="str"/>
      <c r="J6853" s="49" t="str"/>
      <c r="K6853" s="41" t="str"/>
      <c r="L6853" s="41" t="str"/>
      <c r="M6853" s="41" t="str"/>
      <c r="N6853" s="41" t="str"/>
      <c r="O6853" s="41" t="str"/>
      <c r="P6853" s="41" t="str"/>
      <c r="Q6853" s="41" t="str"/>
      <c r="R6853" s="41" t="str"/>
      <c r="S6853" s="41" t="str"/>
      <c r="T6853" s="41" t="str"/>
      <c r="U6853" s="41" t="str"/>
      <c r="V6853" s="41" t="str"/>
      <c r="W6853" s="41" t="str"/>
    </row>
    <row r="6854">
      <c r="B6854" s="2" t="n"/>
      <c r="C6854" s="40" t="n"/>
      <c r="D6854" s="52">
        <f t="array" ref="D6854:W6854">IF(All_Students_Scores!C6852:V6852="","",All_Students_Scores!C6852:V6852)</f>
        <v/>
      </c>
      <c r="E6854" s="57" t="str"/>
      <c r="F6854" s="49" t="str"/>
      <c r="G6854" s="59" t="str"/>
      <c r="H6854" s="64" t="str"/>
      <c r="I6854" s="65" t="str"/>
      <c r="J6854" s="49" t="str"/>
      <c r="K6854" s="41" t="str"/>
      <c r="L6854" s="41" t="str"/>
      <c r="M6854" s="41" t="str"/>
      <c r="N6854" s="41" t="str"/>
      <c r="O6854" s="41" t="str"/>
      <c r="P6854" s="41" t="str"/>
      <c r="Q6854" s="41" t="str"/>
      <c r="R6854" s="41" t="str"/>
      <c r="S6854" s="41" t="str"/>
      <c r="T6854" s="41" t="str"/>
      <c r="U6854" s="41" t="str"/>
      <c r="V6854" s="41" t="str"/>
      <c r="W6854" s="41" t="str"/>
    </row>
    <row r="6855">
      <c r="B6855" s="2" t="n"/>
      <c r="C6855" s="40" t="n"/>
      <c r="D6855" s="52">
        <f t="array" ref="D6855:W6855">IF(All_Students_Scores!C6853:V6853="","",All_Students_Scores!C6853:V6853)</f>
        <v/>
      </c>
      <c r="E6855" s="57" t="str"/>
      <c r="F6855" s="49" t="str"/>
      <c r="G6855" s="59" t="str"/>
      <c r="H6855" s="64" t="str"/>
      <c r="I6855" s="65" t="str"/>
      <c r="J6855" s="49" t="str"/>
      <c r="K6855" s="41" t="str"/>
      <c r="L6855" s="41" t="str"/>
      <c r="M6855" s="41" t="str"/>
      <c r="N6855" s="41" t="str"/>
      <c r="O6855" s="41" t="str"/>
      <c r="P6855" s="41" t="str"/>
      <c r="Q6855" s="41" t="str"/>
      <c r="R6855" s="41" t="str"/>
      <c r="S6855" s="41" t="str"/>
      <c r="T6855" s="41" t="str"/>
      <c r="U6855" s="41" t="str"/>
      <c r="V6855" s="41" t="str"/>
      <c r="W6855" s="41" t="str"/>
    </row>
    <row r="6856">
      <c r="B6856" s="2" t="n"/>
      <c r="C6856" s="40" t="n"/>
      <c r="D6856" s="52">
        <f t="array" ref="D6856:W6856">IF(All_Students_Scores!C6854:V6854="","",All_Students_Scores!C6854:V6854)</f>
        <v/>
      </c>
      <c r="E6856" s="57" t="str"/>
      <c r="F6856" s="49" t="str"/>
      <c r="G6856" s="59" t="str"/>
      <c r="H6856" s="64" t="str"/>
      <c r="I6856" s="65" t="str"/>
      <c r="J6856" s="49" t="str"/>
      <c r="K6856" s="41" t="str"/>
      <c r="L6856" s="41" t="str"/>
      <c r="M6856" s="41" t="str"/>
      <c r="N6856" s="41" t="str"/>
      <c r="O6856" s="41" t="str"/>
      <c r="P6856" s="41" t="str"/>
      <c r="Q6856" s="41" t="str"/>
      <c r="R6856" s="41" t="str"/>
      <c r="S6856" s="41" t="str"/>
      <c r="T6856" s="41" t="str"/>
      <c r="U6856" s="41" t="str"/>
      <c r="V6856" s="41" t="str"/>
      <c r="W6856" s="41" t="str"/>
    </row>
    <row r="6857">
      <c r="B6857" s="2" t="n"/>
      <c r="C6857" s="40" t="n"/>
      <c r="D6857" s="52">
        <f t="array" ref="D6857:W6857">IF(All_Students_Scores!C6855:V6855="","",All_Students_Scores!C6855:V6855)</f>
        <v/>
      </c>
      <c r="E6857" s="57" t="str"/>
      <c r="F6857" s="49" t="str"/>
      <c r="G6857" s="59" t="str"/>
      <c r="H6857" s="64" t="str"/>
      <c r="I6857" s="65" t="str"/>
      <c r="J6857" s="49" t="str"/>
      <c r="K6857" s="41" t="str"/>
      <c r="L6857" s="41" t="str"/>
      <c r="M6857" s="41" t="str"/>
      <c r="N6857" s="41" t="str"/>
      <c r="O6857" s="41" t="str"/>
      <c r="P6857" s="41" t="str"/>
      <c r="Q6857" s="41" t="str"/>
      <c r="R6857" s="41" t="str"/>
      <c r="S6857" s="41" t="str"/>
      <c r="T6857" s="41" t="str"/>
      <c r="U6857" s="41" t="str"/>
      <c r="V6857" s="41" t="str"/>
      <c r="W6857" s="41" t="str"/>
    </row>
    <row r="6858">
      <c r="B6858" s="2" t="n"/>
      <c r="C6858" s="40" t="n"/>
      <c r="D6858" s="52">
        <f t="array" ref="D6858:W6858">IF(All_Students_Scores!C6856:V6856="","",All_Students_Scores!C6856:V6856)</f>
        <v/>
      </c>
      <c r="E6858" s="57" t="str"/>
      <c r="F6858" s="49" t="str"/>
      <c r="G6858" s="59" t="str"/>
      <c r="H6858" s="64" t="str"/>
      <c r="I6858" s="65" t="str"/>
      <c r="J6858" s="49" t="str"/>
      <c r="K6858" s="41" t="str"/>
      <c r="L6858" s="41" t="str"/>
      <c r="M6858" s="41" t="str"/>
      <c r="N6858" s="41" t="str"/>
      <c r="O6858" s="41" t="str"/>
      <c r="P6858" s="41" t="str"/>
      <c r="Q6858" s="41" t="str"/>
      <c r="R6858" s="41" t="str"/>
      <c r="S6858" s="41" t="str"/>
      <c r="T6858" s="41" t="str"/>
      <c r="U6858" s="41" t="str"/>
      <c r="V6858" s="41" t="str"/>
      <c r="W6858" s="41" t="str"/>
    </row>
    <row r="6859">
      <c r="B6859" s="2" t="n"/>
      <c r="C6859" s="40" t="n"/>
      <c r="D6859" s="52">
        <f t="array" ref="D6859:W6859">IF(All_Students_Scores!C6857:V6857="","",All_Students_Scores!C6857:V6857)</f>
        <v/>
      </c>
      <c r="E6859" s="57" t="str"/>
      <c r="F6859" s="49" t="str"/>
      <c r="G6859" s="59" t="str"/>
      <c r="H6859" s="64" t="str"/>
      <c r="I6859" s="65" t="str"/>
      <c r="J6859" s="49" t="str"/>
      <c r="K6859" s="41" t="str"/>
      <c r="L6859" s="41" t="str"/>
      <c r="M6859" s="41" t="str"/>
      <c r="N6859" s="41" t="str"/>
      <c r="O6859" s="41" t="str"/>
      <c r="P6859" s="41" t="str"/>
      <c r="Q6859" s="41" t="str"/>
      <c r="R6859" s="41" t="str"/>
      <c r="S6859" s="41" t="str"/>
      <c r="T6859" s="41" t="str"/>
      <c r="U6859" s="41" t="str"/>
      <c r="V6859" s="41" t="str"/>
      <c r="W6859" s="41" t="str"/>
    </row>
    <row r="6860">
      <c r="B6860" s="2" t="n"/>
      <c r="C6860" s="40" t="n"/>
      <c r="D6860" s="52">
        <f t="array" ref="D6860:W6860">IF(All_Students_Scores!C6858:V6858="","",All_Students_Scores!C6858:V6858)</f>
        <v/>
      </c>
      <c r="E6860" s="57" t="str"/>
      <c r="F6860" s="49" t="str"/>
      <c r="G6860" s="59" t="str"/>
      <c r="H6860" s="64" t="str"/>
      <c r="I6860" s="65" t="str"/>
      <c r="J6860" s="49" t="str"/>
      <c r="K6860" s="41" t="str"/>
      <c r="L6860" s="41" t="str"/>
      <c r="M6860" s="41" t="str"/>
      <c r="N6860" s="41" t="str"/>
      <c r="O6860" s="41" t="str"/>
      <c r="P6860" s="41" t="str"/>
      <c r="Q6860" s="41" t="str"/>
      <c r="R6860" s="41" t="str"/>
      <c r="S6860" s="41" t="str"/>
      <c r="T6860" s="41" t="str"/>
      <c r="U6860" s="41" t="str"/>
      <c r="V6860" s="41" t="str"/>
      <c r="W6860" s="41" t="str"/>
    </row>
    <row r="6861">
      <c r="B6861" s="2" t="n"/>
      <c r="C6861" s="40" t="n"/>
      <c r="D6861" s="52">
        <f t="array" ref="D6861:W6861">IF(All_Students_Scores!C6859:V6859="","",All_Students_Scores!C6859:V6859)</f>
        <v/>
      </c>
      <c r="E6861" s="57" t="str"/>
      <c r="F6861" s="49" t="str"/>
      <c r="G6861" s="59" t="str"/>
      <c r="H6861" s="64" t="str"/>
      <c r="I6861" s="65" t="str"/>
      <c r="J6861" s="49" t="str"/>
      <c r="K6861" s="41" t="str"/>
      <c r="L6861" s="41" t="str"/>
      <c r="M6861" s="41" t="str"/>
      <c r="N6861" s="41" t="str"/>
      <c r="O6861" s="41" t="str"/>
      <c r="P6861" s="41" t="str"/>
      <c r="Q6861" s="41" t="str"/>
      <c r="R6861" s="41" t="str"/>
      <c r="S6861" s="41" t="str"/>
      <c r="T6861" s="41" t="str"/>
      <c r="U6861" s="41" t="str"/>
      <c r="V6861" s="41" t="str"/>
      <c r="W6861" s="41" t="str"/>
    </row>
    <row r="6862">
      <c r="B6862" s="2" t="n"/>
      <c r="C6862" s="40" t="n"/>
      <c r="D6862" s="52">
        <f t="array" ref="D6862:W6862">IF(All_Students_Scores!C6860:V6860="","",All_Students_Scores!C6860:V6860)</f>
        <v/>
      </c>
      <c r="E6862" s="57" t="str"/>
      <c r="F6862" s="49" t="str"/>
      <c r="G6862" s="59" t="str"/>
      <c r="H6862" s="64" t="str"/>
      <c r="I6862" s="65" t="str"/>
      <c r="J6862" s="49" t="str"/>
      <c r="K6862" s="41" t="str"/>
      <c r="L6862" s="41" t="str"/>
      <c r="M6862" s="41" t="str"/>
      <c r="N6862" s="41" t="str"/>
      <c r="O6862" s="41" t="str"/>
      <c r="P6862" s="41" t="str"/>
      <c r="Q6862" s="41" t="str"/>
      <c r="R6862" s="41" t="str"/>
      <c r="S6862" s="41" t="str"/>
      <c r="T6862" s="41" t="str"/>
      <c r="U6862" s="41" t="str"/>
      <c r="V6862" s="41" t="str"/>
      <c r="W6862" s="41" t="str"/>
    </row>
    <row r="6863">
      <c r="B6863" s="2" t="n"/>
      <c r="C6863" s="40" t="n"/>
      <c r="D6863" s="52">
        <f t="array" ref="D6863:W6863">IF(All_Students_Scores!C6861:V6861="","",All_Students_Scores!C6861:V6861)</f>
        <v/>
      </c>
      <c r="E6863" s="57" t="str"/>
      <c r="F6863" s="49" t="str"/>
      <c r="G6863" s="59" t="str"/>
      <c r="H6863" s="64" t="str"/>
      <c r="I6863" s="65" t="str"/>
      <c r="J6863" s="49" t="str"/>
      <c r="K6863" s="41" t="str"/>
      <c r="L6863" s="41" t="str"/>
      <c r="M6863" s="41" t="str"/>
      <c r="N6863" s="41" t="str"/>
      <c r="O6863" s="41" t="str"/>
      <c r="P6863" s="41" t="str"/>
      <c r="Q6863" s="41" t="str"/>
      <c r="R6863" s="41" t="str"/>
      <c r="S6863" s="41" t="str"/>
      <c r="T6863" s="41" t="str"/>
      <c r="U6863" s="41" t="str"/>
      <c r="V6863" s="41" t="str"/>
      <c r="W6863" s="41" t="str"/>
    </row>
    <row r="6864">
      <c r="B6864" s="2" t="n"/>
      <c r="C6864" s="40" t="n"/>
      <c r="D6864" s="52">
        <f t="array" ref="D6864:W6864">IF(All_Students_Scores!C6862:V6862="","",All_Students_Scores!C6862:V6862)</f>
        <v/>
      </c>
      <c r="E6864" s="57" t="str"/>
      <c r="F6864" s="49" t="str"/>
      <c r="G6864" s="59" t="str"/>
      <c r="H6864" s="64" t="str"/>
      <c r="I6864" s="65" t="str"/>
      <c r="J6864" s="49" t="str"/>
      <c r="K6864" s="41" t="str"/>
      <c r="L6864" s="41" t="str"/>
      <c r="M6864" s="41" t="str"/>
      <c r="N6864" s="41" t="str"/>
      <c r="O6864" s="41" t="str"/>
      <c r="P6864" s="41" t="str"/>
      <c r="Q6864" s="41" t="str"/>
      <c r="R6864" s="41" t="str"/>
      <c r="S6864" s="41" t="str"/>
      <c r="T6864" s="41" t="str"/>
      <c r="U6864" s="41" t="str"/>
      <c r="V6864" s="41" t="str"/>
      <c r="W6864" s="41" t="str"/>
    </row>
    <row r="6865">
      <c r="B6865" s="2" t="n"/>
      <c r="C6865" s="40" t="n"/>
      <c r="D6865" s="52">
        <f t="array" ref="D6865:W6865">IF(All_Students_Scores!C6863:V6863="","",All_Students_Scores!C6863:V6863)</f>
        <v/>
      </c>
      <c r="E6865" s="57" t="str"/>
      <c r="F6865" s="49" t="str"/>
      <c r="G6865" s="59" t="str"/>
      <c r="H6865" s="64" t="str"/>
      <c r="I6865" s="65" t="str"/>
      <c r="J6865" s="49" t="str"/>
      <c r="K6865" s="41" t="str"/>
      <c r="L6865" s="41" t="str"/>
      <c r="M6865" s="41" t="str"/>
      <c r="N6865" s="41" t="str"/>
      <c r="O6865" s="41" t="str"/>
      <c r="P6865" s="41" t="str"/>
      <c r="Q6865" s="41" t="str"/>
      <c r="R6865" s="41" t="str"/>
      <c r="S6865" s="41" t="str"/>
      <c r="T6865" s="41" t="str"/>
      <c r="U6865" s="41" t="str"/>
      <c r="V6865" s="41" t="str"/>
      <c r="W6865" s="41" t="str"/>
    </row>
    <row r="6866">
      <c r="B6866" s="2" t="n"/>
      <c r="C6866" s="40" t="n"/>
      <c r="D6866" s="52">
        <f t="array" ref="D6866:W6866">IF(All_Students_Scores!C6864:V6864="","",All_Students_Scores!C6864:V6864)</f>
        <v/>
      </c>
      <c r="E6866" s="57" t="str"/>
      <c r="F6866" s="49" t="str"/>
      <c r="G6866" s="59" t="str"/>
      <c r="H6866" s="64" t="str"/>
      <c r="I6866" s="65" t="str"/>
      <c r="J6866" s="49" t="str"/>
      <c r="K6866" s="41" t="str"/>
      <c r="L6866" s="41" t="str"/>
      <c r="M6866" s="41" t="str"/>
      <c r="N6866" s="41" t="str"/>
      <c r="O6866" s="41" t="str"/>
      <c r="P6866" s="41" t="str"/>
      <c r="Q6866" s="41" t="str"/>
      <c r="R6866" s="41" t="str"/>
      <c r="S6866" s="41" t="str"/>
      <c r="T6866" s="41" t="str"/>
      <c r="U6866" s="41" t="str"/>
      <c r="V6866" s="41" t="str"/>
      <c r="W6866" s="41" t="str"/>
    </row>
    <row r="6867">
      <c r="B6867" s="2" t="n"/>
      <c r="C6867" s="40" t="n"/>
      <c r="D6867" s="52">
        <f t="array" ref="D6867:W6867">IF(All_Students_Scores!C6865:V6865="","",All_Students_Scores!C6865:V6865)</f>
        <v/>
      </c>
      <c r="E6867" s="57" t="str"/>
      <c r="F6867" s="49" t="str"/>
      <c r="G6867" s="59" t="str"/>
      <c r="H6867" s="64" t="str"/>
      <c r="I6867" s="65" t="str"/>
      <c r="J6867" s="49" t="str"/>
      <c r="K6867" s="41" t="str"/>
      <c r="L6867" s="41" t="str"/>
      <c r="M6867" s="41" t="str"/>
      <c r="N6867" s="41" t="str"/>
      <c r="O6867" s="41" t="str"/>
      <c r="P6867" s="41" t="str"/>
      <c r="Q6867" s="41" t="str"/>
      <c r="R6867" s="41" t="str"/>
      <c r="S6867" s="41" t="str"/>
      <c r="T6867" s="41" t="str"/>
      <c r="U6867" s="41" t="str"/>
      <c r="V6867" s="41" t="str"/>
      <c r="W6867" s="41" t="str"/>
    </row>
    <row r="6868">
      <c r="B6868" s="2" t="n"/>
      <c r="C6868" s="40" t="n"/>
      <c r="D6868" s="52">
        <f t="array" ref="D6868:W6868">IF(All_Students_Scores!C6866:V6866="","",All_Students_Scores!C6866:V6866)</f>
        <v/>
      </c>
      <c r="E6868" s="57" t="str"/>
      <c r="F6868" s="49" t="str"/>
      <c r="G6868" s="59" t="str"/>
      <c r="H6868" s="64" t="str"/>
      <c r="I6868" s="65" t="str"/>
      <c r="J6868" s="49" t="str"/>
      <c r="K6868" s="41" t="str"/>
      <c r="L6868" s="41" t="str"/>
      <c r="M6868" s="41" t="str"/>
      <c r="N6868" s="41" t="str"/>
      <c r="O6868" s="41" t="str"/>
      <c r="P6868" s="41" t="str"/>
      <c r="Q6868" s="41" t="str"/>
      <c r="R6868" s="41" t="str"/>
      <c r="S6868" s="41" t="str"/>
      <c r="T6868" s="41" t="str"/>
      <c r="U6868" s="41" t="str"/>
      <c r="V6868" s="41" t="str"/>
      <c r="W6868" s="41" t="str"/>
    </row>
    <row r="6869">
      <c r="B6869" s="2" t="n"/>
      <c r="C6869" s="40" t="n"/>
      <c r="D6869" s="52">
        <f t="array" ref="D6869:W6869">IF(All_Students_Scores!C6867:V6867="","",All_Students_Scores!C6867:V6867)</f>
        <v/>
      </c>
      <c r="E6869" s="57" t="str"/>
      <c r="F6869" s="49" t="str"/>
      <c r="G6869" s="59" t="str"/>
      <c r="H6869" s="64" t="str"/>
      <c r="I6869" s="65" t="str"/>
      <c r="J6869" s="49" t="str"/>
      <c r="K6869" s="41" t="str"/>
      <c r="L6869" s="41" t="str"/>
      <c r="M6869" s="41" t="str"/>
      <c r="N6869" s="41" t="str"/>
      <c r="O6869" s="41" t="str"/>
      <c r="P6869" s="41" t="str"/>
      <c r="Q6869" s="41" t="str"/>
      <c r="R6869" s="41" t="str"/>
      <c r="S6869" s="41" t="str"/>
      <c r="T6869" s="41" t="str"/>
      <c r="U6869" s="41" t="str"/>
      <c r="V6869" s="41" t="str"/>
      <c r="W6869" s="41" t="str"/>
    </row>
    <row r="6870">
      <c r="B6870" s="2" t="n"/>
      <c r="C6870" s="40" t="n"/>
      <c r="D6870" s="52">
        <f t="array" ref="D6870:W6870">IF(All_Students_Scores!C6868:V6868="","",All_Students_Scores!C6868:V6868)</f>
        <v/>
      </c>
      <c r="E6870" s="57" t="str"/>
      <c r="F6870" s="49" t="str"/>
      <c r="G6870" s="59" t="str"/>
      <c r="H6870" s="64" t="str"/>
      <c r="I6870" s="65" t="str"/>
      <c r="J6870" s="49" t="str"/>
      <c r="K6870" s="41" t="str"/>
      <c r="L6870" s="41" t="str"/>
      <c r="M6870" s="41" t="str"/>
      <c r="N6870" s="41" t="str"/>
      <c r="O6870" s="41" t="str"/>
      <c r="P6870" s="41" t="str"/>
      <c r="Q6870" s="41" t="str"/>
      <c r="R6870" s="41" t="str"/>
      <c r="S6870" s="41" t="str"/>
      <c r="T6870" s="41" t="str"/>
      <c r="U6870" s="41" t="str"/>
      <c r="V6870" s="41" t="str"/>
      <c r="W6870" s="41" t="str"/>
    </row>
    <row r="6871">
      <c r="B6871" s="2" t="n"/>
      <c r="C6871" s="40" t="n"/>
      <c r="D6871" s="52">
        <f t="array" ref="D6871:W6871">IF(All_Students_Scores!C6869:V6869="","",All_Students_Scores!C6869:V6869)</f>
        <v/>
      </c>
      <c r="E6871" s="57" t="str"/>
      <c r="F6871" s="49" t="str"/>
      <c r="G6871" s="59" t="str"/>
      <c r="H6871" s="64" t="str"/>
      <c r="I6871" s="65" t="str"/>
      <c r="J6871" s="49" t="str"/>
      <c r="K6871" s="41" t="str"/>
      <c r="L6871" s="41" t="str"/>
      <c r="M6871" s="41" t="str"/>
      <c r="N6871" s="41" t="str"/>
      <c r="O6871" s="41" t="str"/>
      <c r="P6871" s="41" t="str"/>
      <c r="Q6871" s="41" t="str"/>
      <c r="R6871" s="41" t="str"/>
      <c r="S6871" s="41" t="str"/>
      <c r="T6871" s="41" t="str"/>
      <c r="U6871" s="41" t="str"/>
      <c r="V6871" s="41" t="str"/>
      <c r="W6871" s="41" t="str"/>
    </row>
    <row r="6872">
      <c r="B6872" s="2" t="n"/>
      <c r="C6872" s="40" t="n"/>
      <c r="D6872" s="52">
        <f t="array" ref="D6872:W6872">IF(All_Students_Scores!C6870:V6870="","",All_Students_Scores!C6870:V6870)</f>
        <v/>
      </c>
      <c r="E6872" s="57" t="str"/>
      <c r="F6872" s="49" t="str"/>
      <c r="G6872" s="59" t="str"/>
      <c r="H6872" s="64" t="str"/>
      <c r="I6872" s="65" t="str"/>
      <c r="J6872" s="49" t="str"/>
      <c r="K6872" s="41" t="str"/>
      <c r="L6872" s="41" t="str"/>
      <c r="M6872" s="41" t="str"/>
      <c r="N6872" s="41" t="str"/>
      <c r="O6872" s="41" t="str"/>
      <c r="P6872" s="41" t="str"/>
      <c r="Q6872" s="41" t="str"/>
      <c r="R6872" s="41" t="str"/>
      <c r="S6872" s="41" t="str"/>
      <c r="T6872" s="41" t="str"/>
      <c r="U6872" s="41" t="str"/>
      <c r="V6872" s="41" t="str"/>
      <c r="W6872" s="41" t="str"/>
    </row>
    <row r="6873">
      <c r="B6873" s="2" t="n"/>
      <c r="C6873" s="40" t="n"/>
      <c r="D6873" s="52">
        <f t="array" ref="D6873:W6873">IF(All_Students_Scores!C6871:V6871="","",All_Students_Scores!C6871:V6871)</f>
        <v/>
      </c>
      <c r="E6873" s="57" t="str"/>
      <c r="F6873" s="49" t="str"/>
      <c r="G6873" s="59" t="str"/>
      <c r="H6873" s="64" t="str"/>
      <c r="I6873" s="65" t="str"/>
      <c r="J6873" s="49" t="str"/>
      <c r="K6873" s="41" t="str"/>
      <c r="L6873" s="41" t="str"/>
      <c r="M6873" s="41" t="str"/>
      <c r="N6873" s="41" t="str"/>
      <c r="O6873" s="41" t="str"/>
      <c r="P6873" s="41" t="str"/>
      <c r="Q6873" s="41" t="str"/>
      <c r="R6873" s="41" t="str"/>
      <c r="S6873" s="41" t="str"/>
      <c r="T6873" s="41" t="str"/>
      <c r="U6873" s="41" t="str"/>
      <c r="V6873" s="41" t="str"/>
      <c r="W6873" s="41" t="str"/>
    </row>
    <row r="6874">
      <c r="B6874" s="2" t="n"/>
      <c r="C6874" s="40" t="n"/>
      <c r="D6874" s="52">
        <f t="array" ref="D6874:W6874">IF(All_Students_Scores!C6872:V6872="","",All_Students_Scores!C6872:V6872)</f>
        <v/>
      </c>
      <c r="E6874" s="57" t="str"/>
      <c r="F6874" s="49" t="str"/>
      <c r="G6874" s="59" t="str"/>
      <c r="H6874" s="64" t="str"/>
      <c r="I6874" s="65" t="str"/>
      <c r="J6874" s="49" t="str"/>
      <c r="K6874" s="41" t="str"/>
      <c r="L6874" s="41" t="str"/>
      <c r="M6874" s="41" t="str"/>
      <c r="N6874" s="41" t="str"/>
      <c r="O6874" s="41" t="str"/>
      <c r="P6874" s="41" t="str"/>
      <c r="Q6874" s="41" t="str"/>
      <c r="R6874" s="41" t="str"/>
      <c r="S6874" s="41" t="str"/>
      <c r="T6874" s="41" t="str"/>
      <c r="U6874" s="41" t="str"/>
      <c r="V6874" s="41" t="str"/>
      <c r="W6874" s="41" t="str"/>
    </row>
    <row r="6875">
      <c r="B6875" s="2" t="n"/>
      <c r="C6875" s="40" t="n"/>
      <c r="D6875" s="52">
        <f t="array" ref="D6875:W6875">IF(All_Students_Scores!C6873:V6873="","",All_Students_Scores!C6873:V6873)</f>
        <v/>
      </c>
      <c r="E6875" s="57" t="str"/>
      <c r="F6875" s="49" t="str"/>
      <c r="G6875" s="59" t="str"/>
      <c r="H6875" s="64" t="str"/>
      <c r="I6875" s="65" t="str"/>
      <c r="J6875" s="49" t="str"/>
      <c r="K6875" s="41" t="str"/>
      <c r="L6875" s="41" t="str"/>
      <c r="M6875" s="41" t="str"/>
      <c r="N6875" s="41" t="str"/>
      <c r="O6875" s="41" t="str"/>
      <c r="P6875" s="41" t="str"/>
      <c r="Q6875" s="41" t="str"/>
      <c r="R6875" s="41" t="str"/>
      <c r="S6875" s="41" t="str"/>
      <c r="T6875" s="41" t="str"/>
      <c r="U6875" s="41" t="str"/>
      <c r="V6875" s="41" t="str"/>
      <c r="W6875" s="41" t="str"/>
    </row>
    <row r="6876">
      <c r="B6876" s="2" t="n"/>
      <c r="C6876" s="40" t="n"/>
      <c r="D6876" s="52">
        <f t="array" ref="D6876:W6876">IF(All_Students_Scores!C6874:V6874="","",All_Students_Scores!C6874:V6874)</f>
        <v/>
      </c>
      <c r="E6876" s="57" t="str"/>
      <c r="F6876" s="49" t="str"/>
      <c r="G6876" s="59" t="str"/>
      <c r="H6876" s="64" t="str"/>
      <c r="I6876" s="65" t="str"/>
      <c r="J6876" s="49" t="str"/>
      <c r="K6876" s="41" t="str"/>
      <c r="L6876" s="41" t="str"/>
      <c r="M6876" s="41" t="str"/>
      <c r="N6876" s="41" t="str"/>
      <c r="O6876" s="41" t="str"/>
      <c r="P6876" s="41" t="str"/>
      <c r="Q6876" s="41" t="str"/>
      <c r="R6876" s="41" t="str"/>
      <c r="S6876" s="41" t="str"/>
      <c r="T6876" s="41" t="str"/>
      <c r="U6876" s="41" t="str"/>
      <c r="V6876" s="41" t="str"/>
      <c r="W6876" s="41" t="str"/>
    </row>
    <row r="6877">
      <c r="B6877" s="2" t="n"/>
      <c r="C6877" s="40" t="n"/>
      <c r="D6877" s="52">
        <f t="array" ref="D6877:W6877">IF(All_Students_Scores!C6875:V6875="","",All_Students_Scores!C6875:V6875)</f>
        <v/>
      </c>
      <c r="E6877" s="57" t="str"/>
      <c r="F6877" s="49" t="str"/>
      <c r="G6877" s="59" t="str"/>
      <c r="H6877" s="64" t="str"/>
      <c r="I6877" s="65" t="str"/>
      <c r="J6877" s="49" t="str"/>
      <c r="K6877" s="41" t="str"/>
      <c r="L6877" s="41" t="str"/>
      <c r="M6877" s="41" t="str"/>
      <c r="N6877" s="41" t="str"/>
      <c r="O6877" s="41" t="str"/>
      <c r="P6877" s="41" t="str"/>
      <c r="Q6877" s="41" t="str"/>
      <c r="R6877" s="41" t="str"/>
      <c r="S6877" s="41" t="str"/>
      <c r="T6877" s="41" t="str"/>
      <c r="U6877" s="41" t="str"/>
      <c r="V6877" s="41" t="str"/>
      <c r="W6877" s="41" t="str"/>
    </row>
    <row r="6878">
      <c r="B6878" s="2" t="n"/>
      <c r="C6878" s="40" t="n"/>
      <c r="D6878" s="52">
        <f t="array" ref="D6878:W6878">IF(All_Students_Scores!C6876:V6876="","",All_Students_Scores!C6876:V6876)</f>
        <v/>
      </c>
      <c r="E6878" s="57" t="str"/>
      <c r="F6878" s="49" t="str"/>
      <c r="G6878" s="59" t="str"/>
      <c r="H6878" s="64" t="str"/>
      <c r="I6878" s="65" t="str"/>
      <c r="J6878" s="49" t="str"/>
      <c r="K6878" s="41" t="str"/>
      <c r="L6878" s="41" t="str"/>
      <c r="M6878" s="41" t="str"/>
      <c r="N6878" s="41" t="str"/>
      <c r="O6878" s="41" t="str"/>
      <c r="P6878" s="41" t="str"/>
      <c r="Q6878" s="41" t="str"/>
      <c r="R6878" s="41" t="str"/>
      <c r="S6878" s="41" t="str"/>
      <c r="T6878" s="41" t="str"/>
      <c r="U6878" s="41" t="str"/>
      <c r="V6878" s="41" t="str"/>
      <c r="W6878" s="41" t="str"/>
    </row>
    <row r="6879">
      <c r="B6879" s="2" t="n"/>
      <c r="C6879" s="40" t="n"/>
      <c r="D6879" s="52">
        <f t="array" ref="D6879:W6879">IF(All_Students_Scores!C6877:V6877="","",All_Students_Scores!C6877:V6877)</f>
        <v/>
      </c>
      <c r="E6879" s="57" t="str"/>
      <c r="F6879" s="49" t="str"/>
      <c r="G6879" s="59" t="str"/>
      <c r="H6879" s="64" t="str"/>
      <c r="I6879" s="65" t="str"/>
      <c r="J6879" s="49" t="str"/>
      <c r="K6879" s="41" t="str"/>
      <c r="L6879" s="41" t="str"/>
      <c r="M6879" s="41" t="str"/>
      <c r="N6879" s="41" t="str"/>
      <c r="O6879" s="41" t="str"/>
      <c r="P6879" s="41" t="str"/>
      <c r="Q6879" s="41" t="str"/>
      <c r="R6879" s="41" t="str"/>
      <c r="S6879" s="41" t="str"/>
      <c r="T6879" s="41" t="str"/>
      <c r="U6879" s="41" t="str"/>
      <c r="V6879" s="41" t="str"/>
      <c r="W6879" s="41" t="str"/>
    </row>
    <row r="6880">
      <c r="B6880" s="2" t="n"/>
      <c r="C6880" s="40" t="n"/>
      <c r="D6880" s="52">
        <f t="array" ref="D6880:W6880">IF(All_Students_Scores!C6878:V6878="","",All_Students_Scores!C6878:V6878)</f>
        <v/>
      </c>
      <c r="E6880" s="57" t="str"/>
      <c r="F6880" s="49" t="str"/>
      <c r="G6880" s="59" t="str"/>
      <c r="H6880" s="64" t="str"/>
      <c r="I6880" s="65" t="str"/>
      <c r="J6880" s="49" t="str"/>
      <c r="K6880" s="41" t="str"/>
      <c r="L6880" s="41" t="str"/>
      <c r="M6880" s="41" t="str"/>
      <c r="N6880" s="41" t="str"/>
      <c r="O6880" s="41" t="str"/>
      <c r="P6880" s="41" t="str"/>
      <c r="Q6880" s="41" t="str"/>
      <c r="R6880" s="41" t="str"/>
      <c r="S6880" s="41" t="str"/>
      <c r="T6880" s="41" t="str"/>
      <c r="U6880" s="41" t="str"/>
      <c r="V6880" s="41" t="str"/>
      <c r="W6880" s="41" t="str"/>
    </row>
    <row r="6881">
      <c r="B6881" s="2" t="n"/>
      <c r="C6881" s="40" t="n"/>
      <c r="D6881" s="52">
        <f t="array" ref="D6881:W6881">IF(All_Students_Scores!C6879:V6879="","",All_Students_Scores!C6879:V6879)</f>
        <v/>
      </c>
      <c r="E6881" s="57" t="str"/>
      <c r="F6881" s="49" t="str"/>
      <c r="G6881" s="59" t="str"/>
      <c r="H6881" s="64" t="str"/>
      <c r="I6881" s="65" t="str"/>
      <c r="J6881" s="49" t="str"/>
      <c r="K6881" s="41" t="str"/>
      <c r="L6881" s="41" t="str"/>
      <c r="M6881" s="41" t="str"/>
      <c r="N6881" s="41" t="str"/>
      <c r="O6881" s="41" t="str"/>
      <c r="P6881" s="41" t="str"/>
      <c r="Q6881" s="41" t="str"/>
      <c r="R6881" s="41" t="str"/>
      <c r="S6881" s="41" t="str"/>
      <c r="T6881" s="41" t="str"/>
      <c r="U6881" s="41" t="str"/>
      <c r="V6881" s="41" t="str"/>
      <c r="W6881" s="41" t="str"/>
    </row>
    <row r="6882">
      <c r="B6882" s="2" t="n"/>
      <c r="C6882" s="40" t="n"/>
      <c r="D6882" s="52">
        <f t="array" ref="D6882:W6882">IF(All_Students_Scores!C6880:V6880="","",All_Students_Scores!C6880:V6880)</f>
        <v/>
      </c>
      <c r="E6882" s="57" t="str"/>
      <c r="F6882" s="49" t="str"/>
      <c r="G6882" s="59" t="str"/>
      <c r="H6882" s="64" t="str"/>
      <c r="I6882" s="65" t="str"/>
      <c r="J6882" s="49" t="str"/>
      <c r="K6882" s="41" t="str"/>
      <c r="L6882" s="41" t="str"/>
      <c r="M6882" s="41" t="str"/>
      <c r="N6882" s="41" t="str"/>
      <c r="O6882" s="41" t="str"/>
      <c r="P6882" s="41" t="str"/>
      <c r="Q6882" s="41" t="str"/>
      <c r="R6882" s="41" t="str"/>
      <c r="S6882" s="41" t="str"/>
      <c r="T6882" s="41" t="str"/>
      <c r="U6882" s="41" t="str"/>
      <c r="V6882" s="41" t="str"/>
      <c r="W6882" s="41" t="str"/>
    </row>
    <row r="6883">
      <c r="B6883" s="2" t="n"/>
      <c r="C6883" s="40" t="n"/>
      <c r="D6883" s="52">
        <f t="array" ref="D6883:W6883">IF(All_Students_Scores!C6881:V6881="","",All_Students_Scores!C6881:V6881)</f>
        <v/>
      </c>
      <c r="E6883" s="57" t="str"/>
      <c r="F6883" s="49" t="str"/>
      <c r="G6883" s="59" t="str"/>
      <c r="H6883" s="64" t="str"/>
      <c r="I6883" s="65" t="str"/>
      <c r="J6883" s="49" t="str"/>
      <c r="K6883" s="41" t="str"/>
      <c r="L6883" s="41" t="str"/>
      <c r="M6883" s="41" t="str"/>
      <c r="N6883" s="41" t="str"/>
      <c r="O6883" s="41" t="str"/>
      <c r="P6883" s="41" t="str"/>
      <c r="Q6883" s="41" t="str"/>
      <c r="R6883" s="41" t="str"/>
      <c r="S6883" s="41" t="str"/>
      <c r="T6883" s="41" t="str"/>
      <c r="U6883" s="41" t="str"/>
      <c r="V6883" s="41" t="str"/>
      <c r="W6883" s="41" t="str"/>
    </row>
    <row r="6884">
      <c r="B6884" s="2" t="n"/>
      <c r="C6884" s="40" t="n"/>
      <c r="D6884" s="52">
        <f t="array" ref="D6884:W6884">IF(All_Students_Scores!C6882:V6882="","",All_Students_Scores!C6882:V6882)</f>
        <v/>
      </c>
      <c r="E6884" s="57" t="str"/>
      <c r="F6884" s="49" t="str"/>
      <c r="G6884" s="59" t="str"/>
      <c r="H6884" s="64" t="str"/>
      <c r="I6884" s="65" t="str"/>
      <c r="J6884" s="49" t="str"/>
      <c r="K6884" s="41" t="str"/>
      <c r="L6884" s="41" t="str"/>
      <c r="M6884" s="41" t="str"/>
      <c r="N6884" s="41" t="str"/>
      <c r="O6884" s="41" t="str"/>
      <c r="P6884" s="41" t="str"/>
      <c r="Q6884" s="41" t="str"/>
      <c r="R6884" s="41" t="str"/>
      <c r="S6884" s="41" t="str"/>
      <c r="T6884" s="41" t="str"/>
      <c r="U6884" s="41" t="str"/>
      <c r="V6884" s="41" t="str"/>
      <c r="W6884" s="41" t="str"/>
    </row>
    <row r="6885">
      <c r="B6885" s="2" t="n"/>
      <c r="C6885" s="40" t="n"/>
      <c r="D6885" s="52">
        <f t="array" ref="D6885:W6885">IF(All_Students_Scores!C6883:V6883="","",All_Students_Scores!C6883:V6883)</f>
        <v/>
      </c>
      <c r="E6885" s="57" t="str"/>
      <c r="F6885" s="49" t="str"/>
      <c r="G6885" s="59" t="str"/>
      <c r="H6885" s="64" t="str"/>
      <c r="I6885" s="65" t="str"/>
      <c r="J6885" s="49" t="str"/>
      <c r="K6885" s="41" t="str"/>
      <c r="L6885" s="41" t="str"/>
      <c r="M6885" s="41" t="str"/>
      <c r="N6885" s="41" t="str"/>
      <c r="O6885" s="41" t="str"/>
      <c r="P6885" s="41" t="str"/>
      <c r="Q6885" s="41" t="str"/>
      <c r="R6885" s="41" t="str"/>
      <c r="S6885" s="41" t="str"/>
      <c r="T6885" s="41" t="str"/>
      <c r="U6885" s="41" t="str"/>
      <c r="V6885" s="41" t="str"/>
      <c r="W6885" s="41" t="str"/>
    </row>
    <row r="6886">
      <c r="B6886" s="2" t="n"/>
      <c r="C6886" s="40" t="n"/>
      <c r="D6886" s="52">
        <f t="array" ref="D6886:W6886">IF(All_Students_Scores!C6884:V6884="","",All_Students_Scores!C6884:V6884)</f>
        <v/>
      </c>
      <c r="E6886" s="57" t="str"/>
      <c r="F6886" s="49" t="str"/>
      <c r="G6886" s="59" t="str"/>
      <c r="H6886" s="64" t="str"/>
      <c r="I6886" s="65" t="str"/>
      <c r="J6886" s="49" t="str"/>
      <c r="K6886" s="41" t="str"/>
      <c r="L6886" s="41" t="str"/>
      <c r="M6886" s="41" t="str"/>
      <c r="N6886" s="41" t="str"/>
      <c r="O6886" s="41" t="str"/>
      <c r="P6886" s="41" t="str"/>
      <c r="Q6886" s="41" t="str"/>
      <c r="R6886" s="41" t="str"/>
      <c r="S6886" s="41" t="str"/>
      <c r="T6886" s="41" t="str"/>
      <c r="U6886" s="41" t="str"/>
      <c r="V6886" s="41" t="str"/>
      <c r="W6886" s="41" t="str"/>
    </row>
    <row r="6887">
      <c r="B6887" s="2" t="n"/>
      <c r="C6887" s="40" t="n"/>
      <c r="D6887" s="52">
        <f t="array" ref="D6887:W6887">IF(All_Students_Scores!C6885:V6885="","",All_Students_Scores!C6885:V6885)</f>
        <v/>
      </c>
      <c r="E6887" s="57" t="str"/>
      <c r="F6887" s="49" t="str"/>
      <c r="G6887" s="59" t="str"/>
      <c r="H6887" s="64" t="str"/>
      <c r="I6887" s="65" t="str"/>
      <c r="J6887" s="49" t="str"/>
      <c r="K6887" s="41" t="str"/>
      <c r="L6887" s="41" t="str"/>
      <c r="M6887" s="41" t="str"/>
      <c r="N6887" s="41" t="str"/>
      <c r="O6887" s="41" t="str"/>
      <c r="P6887" s="41" t="str"/>
      <c r="Q6887" s="41" t="str"/>
      <c r="R6887" s="41" t="str"/>
      <c r="S6887" s="41" t="str"/>
      <c r="T6887" s="41" t="str"/>
      <c r="U6887" s="41" t="str"/>
      <c r="V6887" s="41" t="str"/>
      <c r="W6887" s="41" t="str"/>
    </row>
    <row r="6888">
      <c r="B6888" s="2" t="n"/>
      <c r="C6888" s="40" t="n"/>
      <c r="D6888" s="52">
        <f t="array" ref="D6888:W6888">IF(All_Students_Scores!C6886:V6886="","",All_Students_Scores!C6886:V6886)</f>
        <v/>
      </c>
      <c r="E6888" s="57" t="str"/>
      <c r="F6888" s="49" t="str"/>
      <c r="G6888" s="59" t="str"/>
      <c r="H6888" s="64" t="str"/>
      <c r="I6888" s="65" t="str"/>
      <c r="J6888" s="49" t="str"/>
      <c r="K6888" s="41" t="str"/>
      <c r="L6888" s="41" t="str"/>
      <c r="M6888" s="41" t="str"/>
      <c r="N6888" s="41" t="str"/>
      <c r="O6888" s="41" t="str"/>
      <c r="P6888" s="41" t="str"/>
      <c r="Q6888" s="41" t="str"/>
      <c r="R6888" s="41" t="str"/>
      <c r="S6888" s="41" t="str"/>
      <c r="T6888" s="41" t="str"/>
      <c r="U6888" s="41" t="str"/>
      <c r="V6888" s="41" t="str"/>
      <c r="W6888" s="41" t="str"/>
    </row>
    <row r="6889">
      <c r="B6889" s="2" t="n"/>
      <c r="C6889" s="40" t="n"/>
      <c r="D6889" s="52">
        <f t="array" ref="D6889:W6889">IF(All_Students_Scores!C6887:V6887="","",All_Students_Scores!C6887:V6887)</f>
        <v/>
      </c>
      <c r="E6889" s="57" t="str"/>
      <c r="F6889" s="49" t="str"/>
      <c r="G6889" s="59" t="str"/>
      <c r="H6889" s="64" t="str"/>
      <c r="I6889" s="65" t="str"/>
      <c r="J6889" s="49" t="str"/>
      <c r="K6889" s="41" t="str"/>
      <c r="L6889" s="41" t="str"/>
      <c r="M6889" s="41" t="str"/>
      <c r="N6889" s="41" t="str"/>
      <c r="O6889" s="41" t="str"/>
      <c r="P6889" s="41" t="str"/>
      <c r="Q6889" s="41" t="str"/>
      <c r="R6889" s="41" t="str"/>
      <c r="S6889" s="41" t="str"/>
      <c r="T6889" s="41" t="str"/>
      <c r="U6889" s="41" t="str"/>
      <c r="V6889" s="41" t="str"/>
      <c r="W6889" s="41" t="str"/>
    </row>
    <row r="6890">
      <c r="B6890" s="2" t="n"/>
      <c r="C6890" s="40" t="n"/>
      <c r="D6890" s="52">
        <f t="array" ref="D6890:W6890">IF(All_Students_Scores!C6888:V6888="","",All_Students_Scores!C6888:V6888)</f>
        <v/>
      </c>
      <c r="E6890" s="57" t="str"/>
      <c r="F6890" s="49" t="str"/>
      <c r="G6890" s="59" t="str"/>
      <c r="H6890" s="64" t="str"/>
      <c r="I6890" s="65" t="str"/>
      <c r="J6890" s="49" t="str"/>
      <c r="K6890" s="41" t="str"/>
      <c r="L6890" s="41" t="str"/>
      <c r="M6890" s="41" t="str"/>
      <c r="N6890" s="41" t="str"/>
      <c r="O6890" s="41" t="str"/>
      <c r="P6890" s="41" t="str"/>
      <c r="Q6890" s="41" t="str"/>
      <c r="R6890" s="41" t="str"/>
      <c r="S6890" s="41" t="str"/>
      <c r="T6890" s="41" t="str"/>
      <c r="U6890" s="41" t="str"/>
      <c r="V6890" s="41" t="str"/>
      <c r="W6890" s="41" t="str"/>
    </row>
    <row r="6891">
      <c r="B6891" s="2" t="n"/>
      <c r="C6891" s="40" t="n"/>
      <c r="D6891" s="52">
        <f t="array" ref="D6891:W6891">IF(All_Students_Scores!C6889:V6889="","",All_Students_Scores!C6889:V6889)</f>
        <v/>
      </c>
      <c r="E6891" s="57" t="str"/>
      <c r="F6891" s="49" t="str"/>
      <c r="G6891" s="59" t="str"/>
      <c r="H6891" s="64" t="str"/>
      <c r="I6891" s="65" t="str"/>
      <c r="J6891" s="49" t="str"/>
      <c r="K6891" s="41" t="str"/>
      <c r="L6891" s="41" t="str"/>
      <c r="M6891" s="41" t="str"/>
      <c r="N6891" s="41" t="str"/>
      <c r="O6891" s="41" t="str"/>
      <c r="P6891" s="41" t="str"/>
      <c r="Q6891" s="41" t="str"/>
      <c r="R6891" s="41" t="str"/>
      <c r="S6891" s="41" t="str"/>
      <c r="T6891" s="41" t="str"/>
      <c r="U6891" s="41" t="str"/>
      <c r="V6891" s="41" t="str"/>
      <c r="W6891" s="41" t="str"/>
    </row>
    <row r="6892">
      <c r="B6892" s="2" t="n"/>
      <c r="C6892" s="40" t="n"/>
      <c r="D6892" s="52">
        <f t="array" ref="D6892:W6892">IF(All_Students_Scores!C6890:V6890="","",All_Students_Scores!C6890:V6890)</f>
        <v/>
      </c>
      <c r="E6892" s="57" t="str"/>
      <c r="F6892" s="49" t="str"/>
      <c r="G6892" s="59" t="str"/>
      <c r="H6892" s="64" t="str"/>
      <c r="I6892" s="65" t="str"/>
      <c r="J6892" s="49" t="str"/>
      <c r="K6892" s="41" t="str"/>
      <c r="L6892" s="41" t="str"/>
      <c r="M6892" s="41" t="str"/>
      <c r="N6892" s="41" t="str"/>
      <c r="O6892" s="41" t="str"/>
      <c r="P6892" s="41" t="str"/>
      <c r="Q6892" s="41" t="str"/>
      <c r="R6892" s="41" t="str"/>
      <c r="S6892" s="41" t="str"/>
      <c r="T6892" s="41" t="str"/>
      <c r="U6892" s="41" t="str"/>
      <c r="V6892" s="41" t="str"/>
      <c r="W6892" s="41" t="str"/>
    </row>
    <row r="6893">
      <c r="B6893" s="2" t="n"/>
      <c r="C6893" s="40" t="n"/>
      <c r="D6893" s="52">
        <f t="array" ref="D6893:W6893">IF(All_Students_Scores!C6891:V6891="","",All_Students_Scores!C6891:V6891)</f>
        <v/>
      </c>
      <c r="E6893" s="57" t="str"/>
      <c r="F6893" s="49" t="str"/>
      <c r="G6893" s="59" t="str"/>
      <c r="H6893" s="64" t="str"/>
      <c r="I6893" s="65" t="str"/>
      <c r="J6893" s="49" t="str"/>
      <c r="K6893" s="41" t="str"/>
      <c r="L6893" s="41" t="str"/>
      <c r="M6893" s="41" t="str"/>
      <c r="N6893" s="41" t="str"/>
      <c r="O6893" s="41" t="str"/>
      <c r="P6893" s="41" t="str"/>
      <c r="Q6893" s="41" t="str"/>
      <c r="R6893" s="41" t="str"/>
      <c r="S6893" s="41" t="str"/>
      <c r="T6893" s="41" t="str"/>
      <c r="U6893" s="41" t="str"/>
      <c r="V6893" s="41" t="str"/>
      <c r="W6893" s="41" t="str"/>
    </row>
    <row r="6894">
      <c r="B6894" s="2" t="n"/>
      <c r="C6894" s="40" t="n"/>
      <c r="D6894" s="52">
        <f t="array" ref="D6894:W6894">IF(All_Students_Scores!C6892:V6892="","",All_Students_Scores!C6892:V6892)</f>
        <v/>
      </c>
      <c r="E6894" s="57" t="str"/>
      <c r="F6894" s="49" t="str"/>
      <c r="G6894" s="59" t="str"/>
      <c r="H6894" s="64" t="str"/>
      <c r="I6894" s="65" t="str"/>
      <c r="J6894" s="49" t="str"/>
      <c r="K6894" s="41" t="str"/>
      <c r="L6894" s="41" t="str"/>
      <c r="M6894" s="41" t="str"/>
      <c r="N6894" s="41" t="str"/>
      <c r="O6894" s="41" t="str"/>
      <c r="P6894" s="41" t="str"/>
      <c r="Q6894" s="41" t="str"/>
      <c r="R6894" s="41" t="str"/>
      <c r="S6894" s="41" t="str"/>
      <c r="T6894" s="41" t="str"/>
      <c r="U6894" s="41" t="str"/>
      <c r="V6894" s="41" t="str"/>
      <c r="W6894" s="41" t="str"/>
    </row>
    <row r="6895">
      <c r="B6895" s="2" t="n"/>
      <c r="C6895" s="40" t="n"/>
      <c r="D6895" s="52">
        <f t="array" ref="D6895:W6895">IF(All_Students_Scores!C6893:V6893="","",All_Students_Scores!C6893:V6893)</f>
        <v/>
      </c>
      <c r="E6895" s="57" t="str"/>
      <c r="F6895" s="49" t="str"/>
      <c r="G6895" s="59" t="str"/>
      <c r="H6895" s="64" t="str"/>
      <c r="I6895" s="65" t="str"/>
      <c r="J6895" s="49" t="str"/>
      <c r="K6895" s="41" t="str"/>
      <c r="L6895" s="41" t="str"/>
      <c r="M6895" s="41" t="str"/>
      <c r="N6895" s="41" t="str"/>
      <c r="O6895" s="41" t="str"/>
      <c r="P6895" s="41" t="str"/>
      <c r="Q6895" s="41" t="str"/>
      <c r="R6895" s="41" t="str"/>
      <c r="S6895" s="41" t="str"/>
      <c r="T6895" s="41" t="str"/>
      <c r="U6895" s="41" t="str"/>
      <c r="V6895" s="41" t="str"/>
      <c r="W6895" s="41" t="str"/>
    </row>
    <row r="6896">
      <c r="B6896" s="2" t="n"/>
      <c r="C6896" s="40" t="n"/>
      <c r="D6896" s="52">
        <f t="array" ref="D6896:W6896">IF(All_Students_Scores!C6894:V6894="","",All_Students_Scores!C6894:V6894)</f>
        <v/>
      </c>
      <c r="E6896" s="57" t="str"/>
      <c r="F6896" s="49" t="str"/>
      <c r="G6896" s="59" t="str"/>
      <c r="H6896" s="64" t="str"/>
      <c r="I6896" s="65" t="str"/>
      <c r="J6896" s="49" t="str"/>
      <c r="K6896" s="41" t="str"/>
      <c r="L6896" s="41" t="str"/>
      <c r="M6896" s="41" t="str"/>
      <c r="N6896" s="41" t="str"/>
      <c r="O6896" s="41" t="str"/>
      <c r="P6896" s="41" t="str"/>
      <c r="Q6896" s="41" t="str"/>
      <c r="R6896" s="41" t="str"/>
      <c r="S6896" s="41" t="str"/>
      <c r="T6896" s="41" t="str"/>
      <c r="U6896" s="41" t="str"/>
      <c r="V6896" s="41" t="str"/>
      <c r="W6896" s="41" t="str"/>
    </row>
    <row r="6897">
      <c r="B6897" s="2" t="n"/>
      <c r="C6897" s="40" t="n"/>
      <c r="D6897" s="52">
        <f t="array" ref="D6897:W6897">IF(All_Students_Scores!C6895:V6895="","",All_Students_Scores!C6895:V6895)</f>
        <v/>
      </c>
      <c r="E6897" s="57" t="str"/>
      <c r="F6897" s="49" t="str"/>
      <c r="G6897" s="59" t="str"/>
      <c r="H6897" s="64" t="str"/>
      <c r="I6897" s="65" t="str"/>
      <c r="J6897" s="49" t="str"/>
      <c r="K6897" s="41" t="str"/>
      <c r="L6897" s="41" t="str"/>
      <c r="M6897" s="41" t="str"/>
      <c r="N6897" s="41" t="str"/>
      <c r="O6897" s="41" t="str"/>
      <c r="P6897" s="41" t="str"/>
      <c r="Q6897" s="41" t="str"/>
      <c r="R6897" s="41" t="str"/>
      <c r="S6897" s="41" t="str"/>
      <c r="T6897" s="41" t="str"/>
      <c r="U6897" s="41" t="str"/>
      <c r="V6897" s="41" t="str"/>
      <c r="W6897" s="41" t="str"/>
    </row>
    <row r="6898">
      <c r="B6898" s="2" t="n"/>
      <c r="C6898" s="40" t="n"/>
      <c r="D6898" s="52">
        <f t="array" ref="D6898:W6898">IF(All_Students_Scores!C6896:V6896="","",All_Students_Scores!C6896:V6896)</f>
        <v/>
      </c>
      <c r="E6898" s="57" t="str"/>
      <c r="F6898" s="49" t="str"/>
      <c r="G6898" s="59" t="str"/>
      <c r="H6898" s="64" t="str"/>
      <c r="I6898" s="65" t="str"/>
      <c r="J6898" s="49" t="str"/>
      <c r="K6898" s="41" t="str"/>
      <c r="L6898" s="41" t="str"/>
      <c r="M6898" s="41" t="str"/>
      <c r="N6898" s="41" t="str"/>
      <c r="O6898" s="41" t="str"/>
      <c r="P6898" s="41" t="str"/>
      <c r="Q6898" s="41" t="str"/>
      <c r="R6898" s="41" t="str"/>
      <c r="S6898" s="41" t="str"/>
      <c r="T6898" s="41" t="str"/>
      <c r="U6898" s="41" t="str"/>
      <c r="V6898" s="41" t="str"/>
      <c r="W6898" s="41" t="str"/>
    </row>
    <row r="6899">
      <c r="B6899" s="2" t="n"/>
      <c r="C6899" s="40" t="n"/>
      <c r="D6899" s="52">
        <f t="array" ref="D6899:W6899">IF(All_Students_Scores!C6897:V6897="","",All_Students_Scores!C6897:V6897)</f>
        <v/>
      </c>
      <c r="E6899" s="57" t="str"/>
      <c r="F6899" s="49" t="str"/>
      <c r="G6899" s="59" t="str"/>
      <c r="H6899" s="64" t="str"/>
      <c r="I6899" s="65" t="str"/>
      <c r="J6899" s="49" t="str"/>
      <c r="K6899" s="41" t="str"/>
      <c r="L6899" s="41" t="str"/>
      <c r="M6899" s="41" t="str"/>
      <c r="N6899" s="41" t="str"/>
      <c r="O6899" s="41" t="str"/>
      <c r="P6899" s="41" t="str"/>
      <c r="Q6899" s="41" t="str"/>
      <c r="R6899" s="41" t="str"/>
      <c r="S6899" s="41" t="str"/>
      <c r="T6899" s="41" t="str"/>
      <c r="U6899" s="41" t="str"/>
      <c r="V6899" s="41" t="str"/>
      <c r="W6899" s="41" t="str"/>
    </row>
    <row r="6900">
      <c r="B6900" s="2" t="n"/>
      <c r="C6900" s="40" t="n"/>
      <c r="D6900" s="52">
        <f t="array" ref="D6900:W6900">IF(All_Students_Scores!C6898:V6898="","",All_Students_Scores!C6898:V6898)</f>
        <v/>
      </c>
      <c r="E6900" s="57" t="str"/>
      <c r="F6900" s="49" t="str"/>
      <c r="G6900" s="59" t="str"/>
      <c r="H6900" s="64" t="str"/>
      <c r="I6900" s="65" t="str"/>
      <c r="J6900" s="49" t="str"/>
      <c r="K6900" s="41" t="str"/>
      <c r="L6900" s="41" t="str"/>
      <c r="M6900" s="41" t="str"/>
      <c r="N6900" s="41" t="str"/>
      <c r="O6900" s="41" t="str"/>
      <c r="P6900" s="41" t="str"/>
      <c r="Q6900" s="41" t="str"/>
      <c r="R6900" s="41" t="str"/>
      <c r="S6900" s="41" t="str"/>
      <c r="T6900" s="41" t="str"/>
      <c r="U6900" s="41" t="str"/>
      <c r="V6900" s="41" t="str"/>
      <c r="W6900" s="41" t="str"/>
    </row>
    <row r="6901">
      <c r="B6901" s="2" t="n"/>
      <c r="C6901" s="40" t="n"/>
      <c r="D6901" s="52">
        <f t="array" ref="D6901:W6901">IF(All_Students_Scores!C6899:V6899="","",All_Students_Scores!C6899:V6899)</f>
        <v/>
      </c>
      <c r="E6901" s="57" t="str"/>
      <c r="F6901" s="49" t="str"/>
      <c r="G6901" s="59" t="str"/>
      <c r="H6901" s="64" t="str"/>
      <c r="I6901" s="65" t="str"/>
      <c r="J6901" s="49" t="str"/>
      <c r="K6901" s="41" t="str"/>
      <c r="L6901" s="41" t="str"/>
      <c r="M6901" s="41" t="str"/>
      <c r="N6901" s="41" t="str"/>
      <c r="O6901" s="41" t="str"/>
      <c r="P6901" s="41" t="str"/>
      <c r="Q6901" s="41" t="str"/>
      <c r="R6901" s="41" t="str"/>
      <c r="S6901" s="41" t="str"/>
      <c r="T6901" s="41" t="str"/>
      <c r="U6901" s="41" t="str"/>
      <c r="V6901" s="41" t="str"/>
      <c r="W6901" s="41" t="str"/>
    </row>
    <row r="6902">
      <c r="B6902" s="2" t="n"/>
      <c r="C6902" s="40" t="n"/>
      <c r="D6902" s="52">
        <f t="array" ref="D6902:W6902">IF(All_Students_Scores!C6900:V6900="","",All_Students_Scores!C6900:V6900)</f>
        <v/>
      </c>
      <c r="E6902" s="57" t="str"/>
      <c r="F6902" s="49" t="str"/>
      <c r="G6902" s="59" t="str"/>
      <c r="H6902" s="64" t="str"/>
      <c r="I6902" s="65" t="str"/>
      <c r="J6902" s="49" t="str"/>
      <c r="K6902" s="41" t="str"/>
      <c r="L6902" s="41" t="str"/>
      <c r="M6902" s="41" t="str"/>
      <c r="N6902" s="41" t="str"/>
      <c r="O6902" s="41" t="str"/>
      <c r="P6902" s="41" t="str"/>
      <c r="Q6902" s="41" t="str"/>
      <c r="R6902" s="41" t="str"/>
      <c r="S6902" s="41" t="str"/>
      <c r="T6902" s="41" t="str"/>
      <c r="U6902" s="41" t="str"/>
      <c r="V6902" s="41" t="str"/>
      <c r="W6902" s="41" t="str"/>
    </row>
    <row r="6903">
      <c r="B6903" s="2" t="n"/>
      <c r="C6903" s="40" t="n"/>
      <c r="D6903" s="52">
        <f t="array" ref="D6903:W6903">IF(All_Students_Scores!C6901:V6901="","",All_Students_Scores!C6901:V6901)</f>
        <v/>
      </c>
      <c r="E6903" s="57" t="str"/>
      <c r="F6903" s="49" t="str"/>
      <c r="G6903" s="59" t="str"/>
      <c r="H6903" s="64" t="str"/>
      <c r="I6903" s="65" t="str"/>
      <c r="J6903" s="49" t="str"/>
      <c r="K6903" s="41" t="str"/>
      <c r="L6903" s="41" t="str"/>
      <c r="M6903" s="41" t="str"/>
      <c r="N6903" s="41" t="str"/>
      <c r="O6903" s="41" t="str"/>
      <c r="P6903" s="41" t="str"/>
      <c r="Q6903" s="41" t="str"/>
      <c r="R6903" s="41" t="str"/>
      <c r="S6903" s="41" t="str"/>
      <c r="T6903" s="41" t="str"/>
      <c r="U6903" s="41" t="str"/>
      <c r="V6903" s="41" t="str"/>
      <c r="W6903" s="41" t="str"/>
    </row>
    <row r="6904">
      <c r="B6904" s="2" t="n"/>
      <c r="C6904" s="40" t="n"/>
      <c r="D6904" s="52">
        <f t="array" ref="D6904:W6904">IF(All_Students_Scores!C6902:V6902="","",All_Students_Scores!C6902:V6902)</f>
        <v/>
      </c>
      <c r="E6904" s="57" t="str"/>
      <c r="F6904" s="49" t="str"/>
      <c r="G6904" s="59" t="str"/>
      <c r="H6904" s="64" t="str"/>
      <c r="I6904" s="65" t="str"/>
      <c r="J6904" s="49" t="str"/>
      <c r="K6904" s="41" t="str"/>
      <c r="L6904" s="41" t="str"/>
      <c r="M6904" s="41" t="str"/>
      <c r="N6904" s="41" t="str"/>
      <c r="O6904" s="41" t="str"/>
      <c r="P6904" s="41" t="str"/>
      <c r="Q6904" s="41" t="str"/>
      <c r="R6904" s="41" t="str"/>
      <c r="S6904" s="41" t="str"/>
      <c r="T6904" s="41" t="str"/>
      <c r="U6904" s="41" t="str"/>
      <c r="V6904" s="41" t="str"/>
      <c r="W6904" s="41" t="str"/>
    </row>
    <row r="6905">
      <c r="B6905" s="2" t="n"/>
      <c r="C6905" s="40" t="n"/>
      <c r="D6905" s="52">
        <f t="array" ref="D6905:W6905">IF(All_Students_Scores!C6903:V6903="","",All_Students_Scores!C6903:V6903)</f>
        <v/>
      </c>
      <c r="E6905" s="57" t="str"/>
      <c r="F6905" s="49" t="str"/>
      <c r="G6905" s="59" t="str"/>
      <c r="H6905" s="64" t="str"/>
      <c r="I6905" s="65" t="str"/>
      <c r="J6905" s="49" t="str"/>
      <c r="K6905" s="41" t="str"/>
      <c r="L6905" s="41" t="str"/>
      <c r="M6905" s="41" t="str"/>
      <c r="N6905" s="41" t="str"/>
      <c r="O6905" s="41" t="str"/>
      <c r="P6905" s="41" t="str"/>
      <c r="Q6905" s="41" t="str"/>
      <c r="R6905" s="41" t="str"/>
      <c r="S6905" s="41" t="str"/>
      <c r="T6905" s="41" t="str"/>
      <c r="U6905" s="41" t="str"/>
      <c r="V6905" s="41" t="str"/>
      <c r="W6905" s="41" t="str"/>
    </row>
    <row r="6906">
      <c r="B6906" s="2" t="n"/>
      <c r="C6906" s="40" t="n"/>
      <c r="D6906" s="52">
        <f t="array" ref="D6906:W6906">IF(All_Students_Scores!C6904:V6904="","",All_Students_Scores!C6904:V6904)</f>
        <v/>
      </c>
      <c r="E6906" s="57" t="str"/>
      <c r="F6906" s="49" t="str"/>
      <c r="G6906" s="59" t="str"/>
      <c r="H6906" s="64" t="str"/>
      <c r="I6906" s="65" t="str"/>
      <c r="J6906" s="49" t="str"/>
      <c r="K6906" s="41" t="str"/>
      <c r="L6906" s="41" t="str"/>
      <c r="M6906" s="41" t="str"/>
      <c r="N6906" s="41" t="str"/>
      <c r="O6906" s="41" t="str"/>
      <c r="P6906" s="41" t="str"/>
      <c r="Q6906" s="41" t="str"/>
      <c r="R6906" s="41" t="str"/>
      <c r="S6906" s="41" t="str"/>
      <c r="T6906" s="41" t="str"/>
      <c r="U6906" s="41" t="str"/>
      <c r="V6906" s="41" t="str"/>
      <c r="W6906" s="41" t="str"/>
    </row>
    <row r="6907">
      <c r="B6907" s="2" t="n"/>
      <c r="C6907" s="40" t="n"/>
      <c r="D6907" s="52">
        <f t="array" ref="D6907:W6907">IF(All_Students_Scores!C6905:V6905="","",All_Students_Scores!C6905:V6905)</f>
        <v/>
      </c>
      <c r="E6907" s="57" t="str"/>
      <c r="F6907" s="49" t="str"/>
      <c r="G6907" s="59" t="str"/>
      <c r="H6907" s="64" t="str"/>
      <c r="I6907" s="65" t="str"/>
      <c r="J6907" s="49" t="str"/>
      <c r="K6907" s="41" t="str"/>
      <c r="L6907" s="41" t="str"/>
      <c r="M6907" s="41" t="str"/>
      <c r="N6907" s="41" t="str"/>
      <c r="O6907" s="41" t="str"/>
      <c r="P6907" s="41" t="str"/>
      <c r="Q6907" s="41" t="str"/>
      <c r="R6907" s="41" t="str"/>
      <c r="S6907" s="41" t="str"/>
      <c r="T6907" s="41" t="str"/>
      <c r="U6907" s="41" t="str"/>
      <c r="V6907" s="41" t="str"/>
      <c r="W6907" s="41" t="str"/>
    </row>
    <row r="6908">
      <c r="B6908" s="2" t="n"/>
      <c r="C6908" s="40" t="n"/>
      <c r="D6908" s="52">
        <f t="array" ref="D6908:W6908">IF(All_Students_Scores!C6906:V6906="","",All_Students_Scores!C6906:V6906)</f>
        <v/>
      </c>
      <c r="E6908" s="57" t="str"/>
      <c r="F6908" s="49" t="str"/>
      <c r="G6908" s="59" t="str"/>
      <c r="H6908" s="64" t="str"/>
      <c r="I6908" s="65" t="str"/>
      <c r="J6908" s="49" t="str"/>
      <c r="K6908" s="41" t="str"/>
      <c r="L6908" s="41" t="str"/>
      <c r="M6908" s="41" t="str"/>
      <c r="N6908" s="41" t="str"/>
      <c r="O6908" s="41" t="str"/>
      <c r="P6908" s="41" t="str"/>
      <c r="Q6908" s="41" t="str"/>
      <c r="R6908" s="41" t="str"/>
      <c r="S6908" s="41" t="str"/>
      <c r="T6908" s="41" t="str"/>
      <c r="U6908" s="41" t="str"/>
      <c r="V6908" s="41" t="str"/>
      <c r="W6908" s="41" t="str"/>
    </row>
    <row r="6909">
      <c r="B6909" s="2" t="n"/>
      <c r="C6909" s="40" t="n"/>
      <c r="D6909" s="52">
        <f t="array" ref="D6909:W6909">IF(All_Students_Scores!C6907:V6907="","",All_Students_Scores!C6907:V6907)</f>
        <v/>
      </c>
      <c r="E6909" s="57" t="str"/>
      <c r="F6909" s="49" t="str"/>
      <c r="G6909" s="59" t="str"/>
      <c r="H6909" s="64" t="str"/>
      <c r="I6909" s="65" t="str"/>
      <c r="J6909" s="49" t="str"/>
      <c r="K6909" s="41" t="str"/>
      <c r="L6909" s="41" t="str"/>
      <c r="M6909" s="41" t="str"/>
      <c r="N6909" s="41" t="str"/>
      <c r="O6909" s="41" t="str"/>
      <c r="P6909" s="41" t="str"/>
      <c r="Q6909" s="41" t="str"/>
      <c r="R6909" s="41" t="str"/>
      <c r="S6909" s="41" t="str"/>
      <c r="T6909" s="41" t="str"/>
      <c r="U6909" s="41" t="str"/>
      <c r="V6909" s="41" t="str"/>
      <c r="W6909" s="41" t="str"/>
    </row>
    <row r="6910">
      <c r="B6910" s="2" t="n"/>
      <c r="C6910" s="40" t="n"/>
      <c r="D6910" s="52">
        <f t="array" ref="D6910:W6910">IF(All_Students_Scores!C6908:V6908="","",All_Students_Scores!C6908:V6908)</f>
        <v/>
      </c>
      <c r="E6910" s="57" t="str"/>
      <c r="F6910" s="49" t="str"/>
      <c r="G6910" s="59" t="str"/>
      <c r="H6910" s="64" t="str"/>
      <c r="I6910" s="65" t="str"/>
      <c r="J6910" s="49" t="str"/>
      <c r="K6910" s="41" t="str"/>
      <c r="L6910" s="41" t="str"/>
      <c r="M6910" s="41" t="str"/>
      <c r="N6910" s="41" t="str"/>
      <c r="O6910" s="41" t="str"/>
      <c r="P6910" s="41" t="str"/>
      <c r="Q6910" s="41" t="str"/>
      <c r="R6910" s="41" t="str"/>
      <c r="S6910" s="41" t="str"/>
      <c r="T6910" s="41" t="str"/>
      <c r="U6910" s="41" t="str"/>
      <c r="V6910" s="41" t="str"/>
      <c r="W6910" s="41" t="str"/>
    </row>
    <row r="6911">
      <c r="B6911" s="2" t="n"/>
      <c r="C6911" s="40" t="n"/>
      <c r="D6911" s="52">
        <f t="array" ref="D6911:W6911">IF(All_Students_Scores!C6909:V6909="","",All_Students_Scores!C6909:V6909)</f>
        <v/>
      </c>
      <c r="E6911" s="57" t="str"/>
      <c r="F6911" s="49" t="str"/>
      <c r="G6911" s="59" t="str"/>
      <c r="H6911" s="64" t="str"/>
      <c r="I6911" s="65" t="str"/>
      <c r="J6911" s="49" t="str"/>
      <c r="K6911" s="41" t="str"/>
      <c r="L6911" s="41" t="str"/>
      <c r="M6911" s="41" t="str"/>
      <c r="N6911" s="41" t="str"/>
      <c r="O6911" s="41" t="str"/>
      <c r="P6911" s="41" t="str"/>
      <c r="Q6911" s="41" t="str"/>
      <c r="R6911" s="41" t="str"/>
      <c r="S6911" s="41" t="str"/>
      <c r="T6911" s="41" t="str"/>
      <c r="U6911" s="41" t="str"/>
      <c r="V6911" s="41" t="str"/>
      <c r="W6911" s="41" t="str"/>
    </row>
    <row r="6912">
      <c r="B6912" s="2" t="n"/>
      <c r="C6912" s="40" t="n"/>
      <c r="D6912" s="52">
        <f t="array" ref="D6912:W6912">IF(All_Students_Scores!C6910:V6910="","",All_Students_Scores!C6910:V6910)</f>
        <v/>
      </c>
      <c r="E6912" s="57" t="str"/>
      <c r="F6912" s="49" t="str"/>
      <c r="G6912" s="59" t="str"/>
      <c r="H6912" s="64" t="str"/>
      <c r="I6912" s="65" t="str"/>
      <c r="J6912" s="49" t="str"/>
      <c r="K6912" s="41" t="str"/>
      <c r="L6912" s="41" t="str"/>
      <c r="M6912" s="41" t="str"/>
      <c r="N6912" s="41" t="str"/>
      <c r="O6912" s="41" t="str"/>
      <c r="P6912" s="41" t="str"/>
      <c r="Q6912" s="41" t="str"/>
      <c r="R6912" s="41" t="str"/>
      <c r="S6912" s="41" t="str"/>
      <c r="T6912" s="41" t="str"/>
      <c r="U6912" s="41" t="str"/>
      <c r="V6912" s="41" t="str"/>
      <c r="W6912" s="41" t="str"/>
    </row>
    <row r="6913">
      <c r="B6913" s="2" t="n"/>
      <c r="C6913" s="40" t="n"/>
      <c r="D6913" s="52">
        <f t="array" ref="D6913:W6913">IF(All_Students_Scores!C6911:V6911="","",All_Students_Scores!C6911:V6911)</f>
        <v/>
      </c>
      <c r="E6913" s="57" t="str"/>
      <c r="F6913" s="49" t="str"/>
      <c r="G6913" s="59" t="str"/>
      <c r="H6913" s="64" t="str"/>
      <c r="I6913" s="65" t="str"/>
      <c r="J6913" s="49" t="str"/>
      <c r="K6913" s="41" t="str"/>
      <c r="L6913" s="41" t="str"/>
      <c r="M6913" s="41" t="str"/>
      <c r="N6913" s="41" t="str"/>
      <c r="O6913" s="41" t="str"/>
      <c r="P6913" s="41" t="str"/>
      <c r="Q6913" s="41" t="str"/>
      <c r="R6913" s="41" t="str"/>
      <c r="S6913" s="41" t="str"/>
      <c r="T6913" s="41" t="str"/>
      <c r="U6913" s="41" t="str"/>
      <c r="V6913" s="41" t="str"/>
      <c r="W6913" s="41" t="str"/>
    </row>
    <row r="6914">
      <c r="B6914" s="2" t="n"/>
      <c r="C6914" s="40" t="n"/>
      <c r="D6914" s="52">
        <f t="array" ref="D6914:W6914">IF(All_Students_Scores!C6912:V6912="","",All_Students_Scores!C6912:V6912)</f>
        <v/>
      </c>
      <c r="E6914" s="57" t="str"/>
      <c r="F6914" s="49" t="str"/>
      <c r="G6914" s="59" t="str"/>
      <c r="H6914" s="64" t="str"/>
      <c r="I6914" s="65" t="str"/>
      <c r="J6914" s="49" t="str"/>
      <c r="K6914" s="41" t="str"/>
      <c r="L6914" s="41" t="str"/>
      <c r="M6914" s="41" t="str"/>
      <c r="N6914" s="41" t="str"/>
      <c r="O6914" s="41" t="str"/>
      <c r="P6914" s="41" t="str"/>
      <c r="Q6914" s="41" t="str"/>
      <c r="R6914" s="41" t="str"/>
      <c r="S6914" s="41" t="str"/>
      <c r="T6914" s="41" t="str"/>
      <c r="U6914" s="41" t="str"/>
      <c r="V6914" s="41" t="str"/>
      <c r="W6914" s="41" t="str"/>
    </row>
    <row r="6915">
      <c r="B6915" s="2" t="n"/>
      <c r="C6915" s="40" t="n"/>
      <c r="D6915" s="52">
        <f t="array" ref="D6915:W6915">IF(All_Students_Scores!C6913:V6913="","",All_Students_Scores!C6913:V6913)</f>
        <v/>
      </c>
      <c r="E6915" s="57" t="str"/>
      <c r="F6915" s="49" t="str"/>
      <c r="G6915" s="59" t="str"/>
      <c r="H6915" s="64" t="str"/>
      <c r="I6915" s="65" t="str"/>
      <c r="J6915" s="49" t="str"/>
      <c r="K6915" s="41" t="str"/>
      <c r="L6915" s="41" t="str"/>
      <c r="M6915" s="41" t="str"/>
      <c r="N6915" s="41" t="str"/>
      <c r="O6915" s="41" t="str"/>
      <c r="P6915" s="41" t="str"/>
      <c r="Q6915" s="41" t="str"/>
      <c r="R6915" s="41" t="str"/>
      <c r="S6915" s="41" t="str"/>
      <c r="T6915" s="41" t="str"/>
      <c r="U6915" s="41" t="str"/>
      <c r="V6915" s="41" t="str"/>
      <c r="W6915" s="41" t="str"/>
    </row>
    <row r="6916">
      <c r="B6916" s="2" t="n"/>
      <c r="C6916" s="40" t="n"/>
      <c r="D6916" s="52">
        <f t="array" ref="D6916:W6916">IF(All_Students_Scores!C6914:V6914="","",All_Students_Scores!C6914:V6914)</f>
        <v/>
      </c>
      <c r="E6916" s="57" t="str"/>
      <c r="F6916" s="49" t="str"/>
      <c r="G6916" s="59" t="str"/>
      <c r="H6916" s="64" t="str"/>
      <c r="I6916" s="65" t="str"/>
      <c r="J6916" s="49" t="str"/>
      <c r="K6916" s="41" t="str"/>
      <c r="L6916" s="41" t="str"/>
      <c r="M6916" s="41" t="str"/>
      <c r="N6916" s="41" t="str"/>
      <c r="O6916" s="41" t="str"/>
      <c r="P6916" s="41" t="str"/>
      <c r="Q6916" s="41" t="str"/>
      <c r="R6916" s="41" t="str"/>
      <c r="S6916" s="41" t="str"/>
      <c r="T6916" s="41" t="str"/>
      <c r="U6916" s="41" t="str"/>
      <c r="V6916" s="41" t="str"/>
      <c r="W6916" s="41" t="str"/>
    </row>
    <row r="6917">
      <c r="B6917" s="2" t="n"/>
      <c r="C6917" s="40" t="n"/>
      <c r="D6917" s="52">
        <f t="array" ref="D6917:W6917">IF(All_Students_Scores!C6915:V6915="","",All_Students_Scores!C6915:V6915)</f>
        <v/>
      </c>
      <c r="E6917" s="57" t="str"/>
      <c r="F6917" s="49" t="str"/>
      <c r="G6917" s="59" t="str"/>
      <c r="H6917" s="64" t="str"/>
      <c r="I6917" s="65" t="str"/>
      <c r="J6917" s="49" t="str"/>
      <c r="K6917" s="41" t="str"/>
      <c r="L6917" s="41" t="str"/>
      <c r="M6917" s="41" t="str"/>
      <c r="N6917" s="41" t="str"/>
      <c r="O6917" s="41" t="str"/>
      <c r="P6917" s="41" t="str"/>
      <c r="Q6917" s="41" t="str"/>
      <c r="R6917" s="41" t="str"/>
      <c r="S6917" s="41" t="str"/>
      <c r="T6917" s="41" t="str"/>
      <c r="U6917" s="41" t="str"/>
      <c r="V6917" s="41" t="str"/>
      <c r="W6917" s="41" t="str"/>
    </row>
    <row r="6918">
      <c r="B6918" s="2" t="n"/>
      <c r="C6918" s="40" t="n"/>
      <c r="D6918" s="52">
        <f t="array" ref="D6918:W6918">IF(All_Students_Scores!C6916:V6916="","",All_Students_Scores!C6916:V6916)</f>
        <v/>
      </c>
      <c r="E6918" s="57" t="str"/>
      <c r="F6918" s="49" t="str"/>
      <c r="G6918" s="59" t="str"/>
      <c r="H6918" s="64" t="str"/>
      <c r="I6918" s="65" t="str"/>
      <c r="J6918" s="49" t="str"/>
      <c r="K6918" s="41" t="str"/>
      <c r="L6918" s="41" t="str"/>
      <c r="M6918" s="41" t="str"/>
      <c r="N6918" s="41" t="str"/>
      <c r="O6918" s="41" t="str"/>
      <c r="P6918" s="41" t="str"/>
      <c r="Q6918" s="41" t="str"/>
      <c r="R6918" s="41" t="str"/>
      <c r="S6918" s="41" t="str"/>
      <c r="T6918" s="41" t="str"/>
      <c r="U6918" s="41" t="str"/>
      <c r="V6918" s="41" t="str"/>
      <c r="W6918" s="41" t="str"/>
    </row>
    <row r="6919">
      <c r="B6919" s="2" t="n"/>
      <c r="C6919" s="40" t="n"/>
      <c r="D6919" s="52">
        <f t="array" ref="D6919:W6919">IF(All_Students_Scores!C6917:V6917="","",All_Students_Scores!C6917:V6917)</f>
        <v/>
      </c>
      <c r="E6919" s="57" t="str"/>
      <c r="F6919" s="49" t="str"/>
      <c r="G6919" s="59" t="str"/>
      <c r="H6919" s="64" t="str"/>
      <c r="I6919" s="65" t="str"/>
      <c r="J6919" s="49" t="str"/>
      <c r="K6919" s="41" t="str"/>
      <c r="L6919" s="41" t="str"/>
      <c r="M6919" s="41" t="str"/>
      <c r="N6919" s="41" t="str"/>
      <c r="O6919" s="41" t="str"/>
      <c r="P6919" s="41" t="str"/>
      <c r="Q6919" s="41" t="str"/>
      <c r="R6919" s="41" t="str"/>
      <c r="S6919" s="41" t="str"/>
      <c r="T6919" s="41" t="str"/>
      <c r="U6919" s="41" t="str"/>
      <c r="V6919" s="41" t="str"/>
      <c r="W6919" s="41" t="str"/>
    </row>
    <row r="6920">
      <c r="B6920" s="2" t="n"/>
      <c r="C6920" s="40" t="n"/>
      <c r="D6920" s="52">
        <f t="array" ref="D6920:W6920">IF(All_Students_Scores!C6918:V6918="","",All_Students_Scores!C6918:V6918)</f>
        <v/>
      </c>
      <c r="E6920" s="57" t="str"/>
      <c r="F6920" s="49" t="str"/>
      <c r="G6920" s="59" t="str"/>
      <c r="H6920" s="64" t="str"/>
      <c r="I6920" s="65" t="str"/>
      <c r="J6920" s="49" t="str"/>
      <c r="K6920" s="41" t="str"/>
      <c r="L6920" s="41" t="str"/>
      <c r="M6920" s="41" t="str"/>
      <c r="N6920" s="41" t="str"/>
      <c r="O6920" s="41" t="str"/>
      <c r="P6920" s="41" t="str"/>
      <c r="Q6920" s="41" t="str"/>
      <c r="R6920" s="41" t="str"/>
      <c r="S6920" s="41" t="str"/>
      <c r="T6920" s="41" t="str"/>
      <c r="U6920" s="41" t="str"/>
      <c r="V6920" s="41" t="str"/>
      <c r="W6920" s="41" t="str"/>
    </row>
    <row r="6921">
      <c r="B6921" s="2" t="n"/>
      <c r="C6921" s="40" t="n"/>
      <c r="D6921" s="52">
        <f t="array" ref="D6921:W6921">IF(All_Students_Scores!C6919:V6919="","",All_Students_Scores!C6919:V6919)</f>
        <v/>
      </c>
      <c r="E6921" s="57" t="str"/>
      <c r="F6921" s="49" t="str"/>
      <c r="G6921" s="59" t="str"/>
      <c r="H6921" s="64" t="str"/>
      <c r="I6921" s="65" t="str"/>
      <c r="J6921" s="49" t="str"/>
      <c r="K6921" s="41" t="str"/>
      <c r="L6921" s="41" t="str"/>
      <c r="M6921" s="41" t="str"/>
      <c r="N6921" s="41" t="str"/>
      <c r="O6921" s="41" t="str"/>
      <c r="P6921" s="41" t="str"/>
      <c r="Q6921" s="41" t="str"/>
      <c r="R6921" s="41" t="str"/>
      <c r="S6921" s="41" t="str"/>
      <c r="T6921" s="41" t="str"/>
      <c r="U6921" s="41" t="str"/>
      <c r="V6921" s="41" t="str"/>
      <c r="W6921" s="41" t="str"/>
    </row>
    <row r="6922">
      <c r="B6922" s="2" t="n"/>
      <c r="C6922" s="40" t="n"/>
      <c r="D6922" s="52">
        <f t="array" ref="D6922:W6922">IF(All_Students_Scores!C6920:V6920="","",All_Students_Scores!C6920:V6920)</f>
        <v/>
      </c>
      <c r="E6922" s="57" t="str"/>
      <c r="F6922" s="49" t="str"/>
      <c r="G6922" s="59" t="str"/>
      <c r="H6922" s="64" t="str"/>
      <c r="I6922" s="65" t="str"/>
      <c r="J6922" s="49" t="str"/>
      <c r="K6922" s="41" t="str"/>
      <c r="L6922" s="41" t="str"/>
      <c r="M6922" s="41" t="str"/>
      <c r="N6922" s="41" t="str"/>
      <c r="O6922" s="41" t="str"/>
      <c r="P6922" s="41" t="str"/>
      <c r="Q6922" s="41" t="str"/>
      <c r="R6922" s="41" t="str"/>
      <c r="S6922" s="41" t="str"/>
      <c r="T6922" s="41" t="str"/>
      <c r="U6922" s="41" t="str"/>
      <c r="V6922" s="41" t="str"/>
      <c r="W6922" s="41" t="str"/>
    </row>
    <row r="6923">
      <c r="B6923" s="2" t="n"/>
      <c r="C6923" s="40" t="n"/>
      <c r="D6923" s="52">
        <f t="array" ref="D6923:W6923">IF(All_Students_Scores!C6921:V6921="","",All_Students_Scores!C6921:V6921)</f>
        <v/>
      </c>
      <c r="E6923" s="57" t="str"/>
      <c r="F6923" s="49" t="str"/>
      <c r="G6923" s="59" t="str"/>
      <c r="H6923" s="64" t="str"/>
      <c r="I6923" s="65" t="str"/>
      <c r="J6923" s="49" t="str"/>
      <c r="K6923" s="41" t="str"/>
      <c r="L6923" s="41" t="str"/>
      <c r="M6923" s="41" t="str"/>
      <c r="N6923" s="41" t="str"/>
      <c r="O6923" s="41" t="str"/>
      <c r="P6923" s="41" t="str"/>
      <c r="Q6923" s="41" t="str"/>
      <c r="R6923" s="41" t="str"/>
      <c r="S6923" s="41" t="str"/>
      <c r="T6923" s="41" t="str"/>
      <c r="U6923" s="41" t="str"/>
      <c r="V6923" s="41" t="str"/>
      <c r="W6923" s="41" t="str"/>
    </row>
    <row r="6924">
      <c r="B6924" s="2" t="n"/>
      <c r="C6924" s="40" t="n"/>
      <c r="D6924" s="52">
        <f t="array" ref="D6924:W6924">IF(All_Students_Scores!C6922:V6922="","",All_Students_Scores!C6922:V6922)</f>
        <v/>
      </c>
      <c r="E6924" s="57" t="str"/>
      <c r="F6924" s="49" t="str"/>
      <c r="G6924" s="59" t="str"/>
      <c r="H6924" s="64" t="str"/>
      <c r="I6924" s="65" t="str"/>
      <c r="J6924" s="49" t="str"/>
      <c r="K6924" s="41" t="str"/>
      <c r="L6924" s="41" t="str"/>
      <c r="M6924" s="41" t="str"/>
      <c r="N6924" s="41" t="str"/>
      <c r="O6924" s="41" t="str"/>
      <c r="P6924" s="41" t="str"/>
      <c r="Q6924" s="41" t="str"/>
      <c r="R6924" s="41" t="str"/>
      <c r="S6924" s="41" t="str"/>
      <c r="T6924" s="41" t="str"/>
      <c r="U6924" s="41" t="str"/>
      <c r="V6924" s="41" t="str"/>
      <c r="W6924" s="41" t="str"/>
    </row>
    <row r="6925">
      <c r="B6925" s="2" t="n"/>
      <c r="C6925" s="40" t="n"/>
      <c r="D6925" s="52">
        <f t="array" ref="D6925:W6925">IF(All_Students_Scores!C6923:V6923="","",All_Students_Scores!C6923:V6923)</f>
        <v/>
      </c>
      <c r="E6925" s="57" t="str"/>
      <c r="F6925" s="49" t="str"/>
      <c r="G6925" s="59" t="str"/>
      <c r="H6925" s="64" t="str"/>
      <c r="I6925" s="65" t="str"/>
      <c r="J6925" s="49" t="str"/>
      <c r="K6925" s="41" t="str"/>
      <c r="L6925" s="41" t="str"/>
      <c r="M6925" s="41" t="str"/>
      <c r="N6925" s="41" t="str"/>
      <c r="O6925" s="41" t="str"/>
      <c r="P6925" s="41" t="str"/>
      <c r="Q6925" s="41" t="str"/>
      <c r="R6925" s="41" t="str"/>
      <c r="S6925" s="41" t="str"/>
      <c r="T6925" s="41" t="str"/>
      <c r="U6925" s="41" t="str"/>
      <c r="V6925" s="41" t="str"/>
      <c r="W6925" s="41" t="str"/>
    </row>
    <row r="6926">
      <c r="B6926" s="2" t="n"/>
      <c r="C6926" s="40" t="n"/>
      <c r="D6926" s="52">
        <f t="array" ref="D6926:W6926">IF(All_Students_Scores!C6924:V6924="","",All_Students_Scores!C6924:V6924)</f>
        <v/>
      </c>
      <c r="E6926" s="57" t="str"/>
      <c r="F6926" s="49" t="str"/>
      <c r="G6926" s="59" t="str"/>
      <c r="H6926" s="64" t="str"/>
      <c r="I6926" s="65" t="str"/>
      <c r="J6926" s="49" t="str"/>
      <c r="K6926" s="41" t="str"/>
      <c r="L6926" s="41" t="str"/>
      <c r="M6926" s="41" t="str"/>
      <c r="N6926" s="41" t="str"/>
      <c r="O6926" s="41" t="str"/>
      <c r="P6926" s="41" t="str"/>
      <c r="Q6926" s="41" t="str"/>
      <c r="R6926" s="41" t="str"/>
      <c r="S6926" s="41" t="str"/>
      <c r="T6926" s="41" t="str"/>
      <c r="U6926" s="41" t="str"/>
      <c r="V6926" s="41" t="str"/>
      <c r="W6926" s="41" t="str"/>
    </row>
    <row r="6927">
      <c r="B6927" s="2" t="n"/>
      <c r="C6927" s="40" t="n"/>
      <c r="D6927" s="52">
        <f t="array" ref="D6927:W6927">IF(All_Students_Scores!C6925:V6925="","",All_Students_Scores!C6925:V6925)</f>
        <v/>
      </c>
      <c r="E6927" s="57" t="str"/>
      <c r="F6927" s="49" t="str"/>
      <c r="G6927" s="59" t="str"/>
      <c r="H6927" s="64" t="str"/>
      <c r="I6927" s="65" t="str"/>
      <c r="J6927" s="49" t="str"/>
      <c r="K6927" s="41" t="str"/>
      <c r="L6927" s="41" t="str"/>
      <c r="M6927" s="41" t="str"/>
      <c r="N6927" s="41" t="str"/>
      <c r="O6927" s="41" t="str"/>
      <c r="P6927" s="41" t="str"/>
      <c r="Q6927" s="41" t="str"/>
      <c r="R6927" s="41" t="str"/>
      <c r="S6927" s="41" t="str"/>
      <c r="T6927" s="41" t="str"/>
      <c r="U6927" s="41" t="str"/>
      <c r="V6927" s="41" t="str"/>
      <c r="W6927" s="41" t="str"/>
    </row>
    <row r="6928">
      <c r="B6928" s="2" t="n"/>
      <c r="C6928" s="40" t="n"/>
      <c r="D6928" s="52">
        <f t="array" ref="D6928:W6928">IF(All_Students_Scores!C6926:V6926="","",All_Students_Scores!C6926:V6926)</f>
        <v/>
      </c>
      <c r="E6928" s="57" t="str"/>
      <c r="F6928" s="49" t="str"/>
      <c r="G6928" s="59" t="str"/>
      <c r="H6928" s="64" t="str"/>
      <c r="I6928" s="65" t="str"/>
      <c r="J6928" s="49" t="str"/>
      <c r="K6928" s="41" t="str"/>
      <c r="L6928" s="41" t="str"/>
      <c r="M6928" s="41" t="str"/>
      <c r="N6928" s="41" t="str"/>
      <c r="O6928" s="41" t="str"/>
      <c r="P6928" s="41" t="str"/>
      <c r="Q6928" s="41" t="str"/>
      <c r="R6928" s="41" t="str"/>
      <c r="S6928" s="41" t="str"/>
      <c r="T6928" s="41" t="str"/>
      <c r="U6928" s="41" t="str"/>
      <c r="V6928" s="41" t="str"/>
      <c r="W6928" s="41" t="str"/>
    </row>
    <row r="6929">
      <c r="B6929" s="2" t="n"/>
      <c r="C6929" s="40" t="n"/>
      <c r="D6929" s="52">
        <f t="array" ref="D6929:W6929">IF(All_Students_Scores!C6927:V6927="","",All_Students_Scores!C6927:V6927)</f>
        <v/>
      </c>
      <c r="E6929" s="57" t="str"/>
      <c r="F6929" s="49" t="str"/>
      <c r="G6929" s="59" t="str"/>
      <c r="H6929" s="64" t="str"/>
      <c r="I6929" s="65" t="str"/>
      <c r="J6929" s="49" t="str"/>
      <c r="K6929" s="41" t="str"/>
      <c r="L6929" s="41" t="str"/>
      <c r="M6929" s="41" t="str"/>
      <c r="N6929" s="41" t="str"/>
      <c r="O6929" s="41" t="str"/>
      <c r="P6929" s="41" t="str"/>
      <c r="Q6929" s="41" t="str"/>
      <c r="R6929" s="41" t="str"/>
      <c r="S6929" s="41" t="str"/>
      <c r="T6929" s="41" t="str"/>
      <c r="U6929" s="41" t="str"/>
      <c r="V6929" s="41" t="str"/>
      <c r="W6929" s="41" t="str"/>
    </row>
    <row r="6930">
      <c r="B6930" s="2" t="n"/>
      <c r="C6930" s="40" t="n"/>
      <c r="D6930" s="52">
        <f t="array" ref="D6930:W6930">IF(All_Students_Scores!C6928:V6928="","",All_Students_Scores!C6928:V6928)</f>
        <v/>
      </c>
      <c r="E6930" s="57" t="str"/>
      <c r="F6930" s="49" t="str"/>
      <c r="G6930" s="59" t="str"/>
      <c r="H6930" s="64" t="str"/>
      <c r="I6930" s="65" t="str"/>
      <c r="J6930" s="49" t="str"/>
      <c r="K6930" s="41" t="str"/>
      <c r="L6930" s="41" t="str"/>
      <c r="M6930" s="41" t="str"/>
      <c r="N6930" s="41" t="str"/>
      <c r="O6930" s="41" t="str"/>
      <c r="P6930" s="41" t="str"/>
      <c r="Q6930" s="41" t="str"/>
      <c r="R6930" s="41" t="str"/>
      <c r="S6930" s="41" t="str"/>
      <c r="T6930" s="41" t="str"/>
      <c r="U6930" s="41" t="str"/>
      <c r="V6930" s="41" t="str"/>
      <c r="W6930" s="41" t="str"/>
    </row>
    <row r="6931">
      <c r="B6931" s="2" t="n"/>
      <c r="C6931" s="40" t="n"/>
      <c r="D6931" s="52">
        <f t="array" ref="D6931:W6931">IF(All_Students_Scores!C6929:V6929="","",All_Students_Scores!C6929:V6929)</f>
        <v/>
      </c>
      <c r="E6931" s="57" t="str"/>
      <c r="F6931" s="49" t="str"/>
      <c r="G6931" s="59" t="str"/>
      <c r="H6931" s="64" t="str"/>
      <c r="I6931" s="65" t="str"/>
      <c r="J6931" s="49" t="str"/>
      <c r="K6931" s="41" t="str"/>
      <c r="L6931" s="41" t="str"/>
      <c r="M6931" s="41" t="str"/>
      <c r="N6931" s="41" t="str"/>
      <c r="O6931" s="41" t="str"/>
      <c r="P6931" s="41" t="str"/>
      <c r="Q6931" s="41" t="str"/>
      <c r="R6931" s="41" t="str"/>
      <c r="S6931" s="41" t="str"/>
      <c r="T6931" s="41" t="str"/>
      <c r="U6931" s="41" t="str"/>
      <c r="V6931" s="41" t="str"/>
      <c r="W6931" s="41" t="str"/>
    </row>
    <row r="6932">
      <c r="B6932" s="2" t="n"/>
      <c r="C6932" s="40" t="n"/>
      <c r="D6932" s="52">
        <f t="array" ref="D6932:W6932">IF(All_Students_Scores!C6930:V6930="","",All_Students_Scores!C6930:V6930)</f>
        <v/>
      </c>
      <c r="E6932" s="57" t="str"/>
      <c r="F6932" s="49" t="str"/>
      <c r="G6932" s="59" t="str"/>
      <c r="H6932" s="64" t="str"/>
      <c r="I6932" s="65" t="str"/>
      <c r="J6932" s="49" t="str"/>
      <c r="K6932" s="41" t="str"/>
      <c r="L6932" s="41" t="str"/>
      <c r="M6932" s="41" t="str"/>
      <c r="N6932" s="41" t="str"/>
      <c r="O6932" s="41" t="str"/>
      <c r="P6932" s="41" t="str"/>
      <c r="Q6932" s="41" t="str"/>
      <c r="R6932" s="41" t="str"/>
      <c r="S6932" s="41" t="str"/>
      <c r="T6932" s="41" t="str"/>
      <c r="U6932" s="41" t="str"/>
      <c r="V6932" s="41" t="str"/>
      <c r="W6932" s="41" t="str"/>
    </row>
    <row r="6933">
      <c r="B6933" s="2" t="n"/>
      <c r="C6933" s="40" t="n"/>
      <c r="D6933" s="52">
        <f t="array" ref="D6933:W6933">IF(All_Students_Scores!C6931:V6931="","",All_Students_Scores!C6931:V6931)</f>
        <v/>
      </c>
      <c r="E6933" s="57" t="str"/>
      <c r="F6933" s="49" t="str"/>
      <c r="G6933" s="59" t="str"/>
      <c r="H6933" s="64" t="str"/>
      <c r="I6933" s="65" t="str"/>
      <c r="J6933" s="49" t="str"/>
      <c r="K6933" s="41" t="str"/>
      <c r="L6933" s="41" t="str"/>
      <c r="M6933" s="41" t="str"/>
      <c r="N6933" s="41" t="str"/>
      <c r="O6933" s="41" t="str"/>
      <c r="P6933" s="41" t="str"/>
      <c r="Q6933" s="41" t="str"/>
      <c r="R6933" s="41" t="str"/>
      <c r="S6933" s="41" t="str"/>
      <c r="T6933" s="41" t="str"/>
      <c r="U6933" s="41" t="str"/>
      <c r="V6933" s="41" t="str"/>
      <c r="W6933" s="41" t="str"/>
    </row>
    <row r="6934">
      <c r="B6934" s="2" t="n"/>
      <c r="C6934" s="40" t="n"/>
      <c r="D6934" s="52">
        <f t="array" ref="D6934:W6934">IF(All_Students_Scores!C6932:V6932="","",All_Students_Scores!C6932:V6932)</f>
        <v/>
      </c>
      <c r="E6934" s="57" t="str"/>
      <c r="F6934" s="49" t="str"/>
      <c r="G6934" s="59" t="str"/>
      <c r="H6934" s="64" t="str"/>
      <c r="I6934" s="65" t="str"/>
      <c r="J6934" s="49" t="str"/>
      <c r="K6934" s="41" t="str"/>
      <c r="L6934" s="41" t="str"/>
      <c r="M6934" s="41" t="str"/>
      <c r="N6934" s="41" t="str"/>
      <c r="O6934" s="41" t="str"/>
      <c r="P6934" s="41" t="str"/>
      <c r="Q6934" s="41" t="str"/>
      <c r="R6934" s="41" t="str"/>
      <c r="S6934" s="41" t="str"/>
      <c r="T6934" s="41" t="str"/>
      <c r="U6934" s="41" t="str"/>
      <c r="V6934" s="41" t="str"/>
      <c r="W6934" s="41" t="str"/>
    </row>
    <row r="6935">
      <c r="B6935" s="2" t="n"/>
      <c r="C6935" s="40" t="n"/>
      <c r="D6935" s="52">
        <f t="array" ref="D6935:W6935">IF(All_Students_Scores!C6933:V6933="","",All_Students_Scores!C6933:V6933)</f>
        <v/>
      </c>
      <c r="E6935" s="57" t="str"/>
      <c r="F6935" s="49" t="str"/>
      <c r="G6935" s="59" t="str"/>
      <c r="H6935" s="64" t="str"/>
      <c r="I6935" s="65" t="str"/>
      <c r="J6935" s="49" t="str"/>
      <c r="K6935" s="41" t="str"/>
      <c r="L6935" s="41" t="str"/>
      <c r="M6935" s="41" t="str"/>
      <c r="N6935" s="41" t="str"/>
      <c r="O6935" s="41" t="str"/>
      <c r="P6935" s="41" t="str"/>
      <c r="Q6935" s="41" t="str"/>
      <c r="R6935" s="41" t="str"/>
      <c r="S6935" s="41" t="str"/>
      <c r="T6935" s="41" t="str"/>
      <c r="U6935" s="41" t="str"/>
      <c r="V6935" s="41" t="str"/>
      <c r="W6935" s="41" t="str"/>
    </row>
    <row r="6936">
      <c r="B6936" s="2" t="n"/>
      <c r="C6936" s="40" t="n"/>
      <c r="D6936" s="52">
        <f t="array" ref="D6936:W6936">IF(All_Students_Scores!C6934:V6934="","",All_Students_Scores!C6934:V6934)</f>
        <v/>
      </c>
      <c r="E6936" s="57" t="str"/>
      <c r="F6936" s="49" t="str"/>
      <c r="G6936" s="59" t="str"/>
      <c r="H6936" s="64" t="str"/>
      <c r="I6936" s="65" t="str"/>
      <c r="J6936" s="49" t="str"/>
      <c r="K6936" s="41" t="str"/>
      <c r="L6936" s="41" t="str"/>
      <c r="M6936" s="41" t="str"/>
      <c r="N6936" s="41" t="str"/>
      <c r="O6936" s="41" t="str"/>
      <c r="P6936" s="41" t="str"/>
      <c r="Q6936" s="41" t="str"/>
      <c r="R6936" s="41" t="str"/>
      <c r="S6936" s="41" t="str"/>
      <c r="T6936" s="41" t="str"/>
      <c r="U6936" s="41" t="str"/>
      <c r="V6936" s="41" t="str"/>
      <c r="W6936" s="41" t="str"/>
    </row>
    <row r="6937">
      <c r="B6937" s="2" t="n"/>
      <c r="C6937" s="40" t="n"/>
      <c r="D6937" s="52">
        <f t="array" ref="D6937:W6937">IF(All_Students_Scores!C6935:V6935="","",All_Students_Scores!C6935:V6935)</f>
        <v/>
      </c>
      <c r="E6937" s="57" t="str"/>
      <c r="F6937" s="49" t="str"/>
      <c r="G6937" s="59" t="str"/>
      <c r="H6937" s="64" t="str"/>
      <c r="I6937" s="65" t="str"/>
      <c r="J6937" s="49" t="str"/>
      <c r="K6937" s="41" t="str"/>
      <c r="L6937" s="41" t="str"/>
      <c r="M6937" s="41" t="str"/>
      <c r="N6937" s="41" t="str"/>
      <c r="O6937" s="41" t="str"/>
      <c r="P6937" s="41" t="str"/>
      <c r="Q6937" s="41" t="str"/>
      <c r="R6937" s="41" t="str"/>
      <c r="S6937" s="41" t="str"/>
      <c r="T6937" s="41" t="str"/>
      <c r="U6937" s="41" t="str"/>
      <c r="V6937" s="41" t="str"/>
      <c r="W6937" s="41" t="str"/>
    </row>
    <row r="6938">
      <c r="B6938" s="2" t="n"/>
      <c r="C6938" s="40" t="n"/>
      <c r="D6938" s="52">
        <f t="array" ref="D6938:W6938">IF(All_Students_Scores!C6936:V6936="","",All_Students_Scores!C6936:V6936)</f>
        <v/>
      </c>
      <c r="E6938" s="57" t="str"/>
      <c r="F6938" s="49" t="str"/>
      <c r="G6938" s="59" t="str"/>
      <c r="H6938" s="64" t="str"/>
      <c r="I6938" s="65" t="str"/>
      <c r="J6938" s="49" t="str"/>
      <c r="K6938" s="41" t="str"/>
      <c r="L6938" s="41" t="str"/>
      <c r="M6938" s="41" t="str"/>
      <c r="N6938" s="41" t="str"/>
      <c r="O6938" s="41" t="str"/>
      <c r="P6938" s="41" t="str"/>
      <c r="Q6938" s="41" t="str"/>
      <c r="R6938" s="41" t="str"/>
      <c r="S6938" s="41" t="str"/>
      <c r="T6938" s="41" t="str"/>
      <c r="U6938" s="41" t="str"/>
      <c r="V6938" s="41" t="str"/>
      <c r="W6938" s="41" t="str"/>
    </row>
    <row r="6939">
      <c r="B6939" s="2" t="n"/>
      <c r="C6939" s="40" t="n"/>
      <c r="D6939" s="52">
        <f t="array" ref="D6939:W6939">IF(All_Students_Scores!C6937:V6937="","",All_Students_Scores!C6937:V6937)</f>
        <v/>
      </c>
      <c r="E6939" s="57" t="str"/>
      <c r="F6939" s="49" t="str"/>
      <c r="G6939" s="59" t="str"/>
      <c r="H6939" s="64" t="str"/>
      <c r="I6939" s="65" t="str"/>
      <c r="J6939" s="49" t="str"/>
      <c r="K6939" s="41" t="str"/>
      <c r="L6939" s="41" t="str"/>
      <c r="M6939" s="41" t="str"/>
      <c r="N6939" s="41" t="str"/>
      <c r="O6939" s="41" t="str"/>
      <c r="P6939" s="41" t="str"/>
      <c r="Q6939" s="41" t="str"/>
      <c r="R6939" s="41" t="str"/>
      <c r="S6939" s="41" t="str"/>
      <c r="T6939" s="41" t="str"/>
      <c r="U6939" s="41" t="str"/>
      <c r="V6939" s="41" t="str"/>
      <c r="W6939" s="41" t="str"/>
    </row>
    <row r="6940">
      <c r="B6940" s="2" t="n"/>
      <c r="C6940" s="40" t="n"/>
      <c r="D6940" s="52">
        <f t="array" ref="D6940:W6940">IF(All_Students_Scores!C6938:V6938="","",All_Students_Scores!C6938:V6938)</f>
        <v/>
      </c>
      <c r="E6940" s="57" t="str"/>
      <c r="F6940" s="49" t="str"/>
      <c r="G6940" s="59" t="str"/>
      <c r="H6940" s="64" t="str"/>
      <c r="I6940" s="65" t="str"/>
      <c r="J6940" s="49" t="str"/>
      <c r="K6940" s="41" t="str"/>
      <c r="L6940" s="41" t="str"/>
      <c r="M6940" s="41" t="str"/>
      <c r="N6940" s="41" t="str"/>
      <c r="O6940" s="41" t="str"/>
      <c r="P6940" s="41" t="str"/>
      <c r="Q6940" s="41" t="str"/>
      <c r="R6940" s="41" t="str"/>
      <c r="S6940" s="41" t="str"/>
      <c r="T6940" s="41" t="str"/>
      <c r="U6940" s="41" t="str"/>
      <c r="V6940" s="41" t="str"/>
      <c r="W6940" s="41" t="str"/>
    </row>
    <row r="6941">
      <c r="B6941" s="2" t="n"/>
      <c r="C6941" s="40" t="n"/>
      <c r="D6941" s="52">
        <f t="array" ref="D6941:W6941">IF(All_Students_Scores!C6939:V6939="","",All_Students_Scores!C6939:V6939)</f>
        <v/>
      </c>
      <c r="E6941" s="57" t="str"/>
      <c r="F6941" s="49" t="str"/>
      <c r="G6941" s="59" t="str"/>
      <c r="H6941" s="64" t="str"/>
      <c r="I6941" s="65" t="str"/>
      <c r="J6941" s="49" t="str"/>
      <c r="K6941" s="41" t="str"/>
      <c r="L6941" s="41" t="str"/>
      <c r="M6941" s="41" t="str"/>
      <c r="N6941" s="41" t="str"/>
      <c r="O6941" s="41" t="str"/>
      <c r="P6941" s="41" t="str"/>
      <c r="Q6941" s="41" t="str"/>
      <c r="R6941" s="41" t="str"/>
      <c r="S6941" s="41" t="str"/>
      <c r="T6941" s="41" t="str"/>
      <c r="U6941" s="41" t="str"/>
      <c r="V6941" s="41" t="str"/>
      <c r="W6941" s="41" t="str"/>
    </row>
    <row r="6942">
      <c r="B6942" s="2" t="n"/>
      <c r="C6942" s="40" t="n"/>
      <c r="D6942" s="52">
        <f t="array" ref="D6942:W6942">IF(All_Students_Scores!C6940:V6940="","",All_Students_Scores!C6940:V6940)</f>
        <v/>
      </c>
      <c r="E6942" s="57" t="str"/>
      <c r="F6942" s="49" t="str"/>
      <c r="G6942" s="59" t="str"/>
      <c r="H6942" s="64" t="str"/>
      <c r="I6942" s="65" t="str"/>
      <c r="J6942" s="49" t="str"/>
      <c r="K6942" s="41" t="str"/>
      <c r="L6942" s="41" t="str"/>
      <c r="M6942" s="41" t="str"/>
      <c r="N6942" s="41" t="str"/>
      <c r="O6942" s="41" t="str"/>
      <c r="P6942" s="41" t="str"/>
      <c r="Q6942" s="41" t="str"/>
      <c r="R6942" s="41" t="str"/>
      <c r="S6942" s="41" t="str"/>
      <c r="T6942" s="41" t="str"/>
      <c r="U6942" s="41" t="str"/>
      <c r="V6942" s="41" t="str"/>
      <c r="W6942" s="41" t="str"/>
    </row>
    <row r="6943">
      <c r="B6943" s="2" t="n"/>
      <c r="C6943" s="40" t="n"/>
      <c r="D6943" s="52">
        <f t="array" ref="D6943:W6943">IF(All_Students_Scores!C6941:V6941="","",All_Students_Scores!C6941:V6941)</f>
        <v/>
      </c>
      <c r="E6943" s="57" t="str"/>
      <c r="F6943" s="49" t="str"/>
      <c r="G6943" s="59" t="str"/>
      <c r="H6943" s="64" t="str"/>
      <c r="I6943" s="65" t="str"/>
      <c r="J6943" s="49" t="str"/>
      <c r="K6943" s="41" t="str"/>
      <c r="L6943" s="41" t="str"/>
      <c r="M6943" s="41" t="str"/>
      <c r="N6943" s="41" t="str"/>
      <c r="O6943" s="41" t="str"/>
      <c r="P6943" s="41" t="str"/>
      <c r="Q6943" s="41" t="str"/>
      <c r="R6943" s="41" t="str"/>
      <c r="S6943" s="41" t="str"/>
      <c r="T6943" s="41" t="str"/>
      <c r="U6943" s="41" t="str"/>
      <c r="V6943" s="41" t="str"/>
      <c r="W6943" s="41" t="str"/>
    </row>
    <row r="6944">
      <c r="B6944" s="2" t="n"/>
      <c r="C6944" s="40" t="n"/>
      <c r="D6944" s="52">
        <f t="array" ref="D6944:W6944">IF(All_Students_Scores!C6942:V6942="","",All_Students_Scores!C6942:V6942)</f>
        <v/>
      </c>
      <c r="E6944" s="57" t="str"/>
      <c r="F6944" s="49" t="str"/>
      <c r="G6944" s="59" t="str"/>
      <c r="H6944" s="64" t="str"/>
      <c r="I6944" s="65" t="str"/>
      <c r="J6944" s="49" t="str"/>
      <c r="K6944" s="41" t="str"/>
      <c r="L6944" s="41" t="str"/>
      <c r="M6944" s="41" t="str"/>
      <c r="N6944" s="41" t="str"/>
      <c r="O6944" s="41" t="str"/>
      <c r="P6944" s="41" t="str"/>
      <c r="Q6944" s="41" t="str"/>
      <c r="R6944" s="41" t="str"/>
      <c r="S6944" s="41" t="str"/>
      <c r="T6944" s="41" t="str"/>
      <c r="U6944" s="41" t="str"/>
      <c r="V6944" s="41" t="str"/>
      <c r="W6944" s="41" t="str"/>
    </row>
    <row r="6945">
      <c r="B6945" s="2" t="n"/>
      <c r="C6945" s="40" t="n"/>
      <c r="D6945" s="52">
        <f t="array" ref="D6945:W6945">IF(All_Students_Scores!C6943:V6943="","",All_Students_Scores!C6943:V6943)</f>
        <v/>
      </c>
      <c r="E6945" s="57" t="str"/>
      <c r="F6945" s="49" t="str"/>
      <c r="G6945" s="59" t="str"/>
      <c r="H6945" s="64" t="str"/>
      <c r="I6945" s="65" t="str"/>
      <c r="J6945" s="49" t="str"/>
      <c r="K6945" s="41" t="str"/>
      <c r="L6945" s="41" t="str"/>
      <c r="M6945" s="41" t="str"/>
      <c r="N6945" s="41" t="str"/>
      <c r="O6945" s="41" t="str"/>
      <c r="P6945" s="41" t="str"/>
      <c r="Q6945" s="41" t="str"/>
      <c r="R6945" s="41" t="str"/>
      <c r="S6945" s="41" t="str"/>
      <c r="T6945" s="41" t="str"/>
      <c r="U6945" s="41" t="str"/>
      <c r="V6945" s="41" t="str"/>
      <c r="W6945" s="41" t="str"/>
    </row>
    <row r="6946">
      <c r="B6946" s="2" t="n"/>
      <c r="C6946" s="40" t="n"/>
      <c r="D6946" s="52">
        <f t="array" ref="D6946:W6946">IF(All_Students_Scores!C6944:V6944="","",All_Students_Scores!C6944:V6944)</f>
        <v/>
      </c>
      <c r="E6946" s="57" t="str"/>
      <c r="F6946" s="49" t="str"/>
      <c r="G6946" s="59" t="str"/>
      <c r="H6946" s="64" t="str"/>
      <c r="I6946" s="65" t="str"/>
      <c r="J6946" s="49" t="str"/>
      <c r="K6946" s="41" t="str"/>
      <c r="L6946" s="41" t="str"/>
      <c r="M6946" s="41" t="str"/>
      <c r="N6946" s="41" t="str"/>
      <c r="O6946" s="41" t="str"/>
      <c r="P6946" s="41" t="str"/>
      <c r="Q6946" s="41" t="str"/>
      <c r="R6946" s="41" t="str"/>
      <c r="S6946" s="41" t="str"/>
      <c r="T6946" s="41" t="str"/>
      <c r="U6946" s="41" t="str"/>
      <c r="V6946" s="41" t="str"/>
      <c r="W6946" s="41" t="str"/>
    </row>
    <row r="6947">
      <c r="B6947" s="2" t="n"/>
      <c r="C6947" s="40" t="n"/>
      <c r="D6947" s="52">
        <f t="array" ref="D6947:W6947">IF(All_Students_Scores!C6945:V6945="","",All_Students_Scores!C6945:V6945)</f>
        <v/>
      </c>
      <c r="E6947" s="57" t="str"/>
      <c r="F6947" s="49" t="str"/>
      <c r="G6947" s="59" t="str"/>
      <c r="H6947" s="64" t="str"/>
      <c r="I6947" s="65" t="str"/>
      <c r="J6947" s="49" t="str"/>
      <c r="K6947" s="41" t="str"/>
      <c r="L6947" s="41" t="str"/>
      <c r="M6947" s="41" t="str"/>
      <c r="N6947" s="41" t="str"/>
      <c r="O6947" s="41" t="str"/>
      <c r="P6947" s="41" t="str"/>
      <c r="Q6947" s="41" t="str"/>
      <c r="R6947" s="41" t="str"/>
      <c r="S6947" s="41" t="str"/>
      <c r="T6947" s="41" t="str"/>
      <c r="U6947" s="41" t="str"/>
      <c r="V6947" s="41" t="str"/>
      <c r="W6947" s="41" t="str"/>
    </row>
    <row r="6948">
      <c r="B6948" s="2" t="n"/>
      <c r="C6948" s="40" t="n"/>
      <c r="D6948" s="52">
        <f t="array" ref="D6948:W6948">IF(All_Students_Scores!C6946:V6946="","",All_Students_Scores!C6946:V6946)</f>
        <v/>
      </c>
      <c r="E6948" s="57" t="str"/>
      <c r="F6948" s="49" t="str"/>
      <c r="G6948" s="59" t="str"/>
      <c r="H6948" s="64" t="str"/>
      <c r="I6948" s="65" t="str"/>
      <c r="J6948" s="49" t="str"/>
      <c r="K6948" s="41" t="str"/>
      <c r="L6948" s="41" t="str"/>
      <c r="M6948" s="41" t="str"/>
      <c r="N6948" s="41" t="str"/>
      <c r="O6948" s="41" t="str"/>
      <c r="P6948" s="41" t="str"/>
      <c r="Q6948" s="41" t="str"/>
      <c r="R6948" s="41" t="str"/>
      <c r="S6948" s="41" t="str"/>
      <c r="T6948" s="41" t="str"/>
      <c r="U6948" s="41" t="str"/>
      <c r="V6948" s="41" t="str"/>
      <c r="W6948" s="41" t="str"/>
    </row>
    <row r="6949">
      <c r="B6949" s="2" t="n"/>
      <c r="C6949" s="40" t="n"/>
      <c r="D6949" s="52">
        <f t="array" ref="D6949:W6949">IF(All_Students_Scores!C6947:V6947="","",All_Students_Scores!C6947:V6947)</f>
        <v/>
      </c>
      <c r="E6949" s="57" t="str"/>
      <c r="F6949" s="49" t="str"/>
      <c r="G6949" s="59" t="str"/>
      <c r="H6949" s="64" t="str"/>
      <c r="I6949" s="65" t="str"/>
      <c r="J6949" s="49" t="str"/>
      <c r="K6949" s="41" t="str"/>
      <c r="L6949" s="41" t="str"/>
      <c r="M6949" s="41" t="str"/>
      <c r="N6949" s="41" t="str"/>
      <c r="O6949" s="41" t="str"/>
      <c r="P6949" s="41" t="str"/>
      <c r="Q6949" s="41" t="str"/>
      <c r="R6949" s="41" t="str"/>
      <c r="S6949" s="41" t="str"/>
      <c r="T6949" s="41" t="str"/>
      <c r="U6949" s="41" t="str"/>
      <c r="V6949" s="41" t="str"/>
      <c r="W6949" s="41" t="str"/>
    </row>
    <row r="6950">
      <c r="B6950" s="2" t="n"/>
      <c r="C6950" s="40" t="n"/>
      <c r="D6950" s="52">
        <f t="array" ref="D6950:W6950">IF(All_Students_Scores!C6948:V6948="","",All_Students_Scores!C6948:V6948)</f>
        <v/>
      </c>
      <c r="E6950" s="57" t="str"/>
      <c r="F6950" s="49" t="str"/>
      <c r="G6950" s="59" t="str"/>
      <c r="H6950" s="64" t="str"/>
      <c r="I6950" s="65" t="str"/>
      <c r="J6950" s="49" t="str"/>
      <c r="K6950" s="41" t="str"/>
      <c r="L6950" s="41" t="str"/>
      <c r="M6950" s="41" t="str"/>
      <c r="N6950" s="41" t="str"/>
      <c r="O6950" s="41" t="str"/>
      <c r="P6950" s="41" t="str"/>
      <c r="Q6950" s="41" t="str"/>
      <c r="R6950" s="41" t="str"/>
      <c r="S6950" s="41" t="str"/>
      <c r="T6950" s="41" t="str"/>
      <c r="U6950" s="41" t="str"/>
      <c r="V6950" s="41" t="str"/>
      <c r="W6950" s="41" t="str"/>
    </row>
    <row r="6951">
      <c r="B6951" s="2" t="n"/>
      <c r="C6951" s="40" t="n"/>
      <c r="D6951" s="52">
        <f t="array" ref="D6951:W6951">IF(All_Students_Scores!C6949:V6949="","",All_Students_Scores!C6949:V6949)</f>
        <v/>
      </c>
      <c r="E6951" s="57" t="str"/>
      <c r="F6951" s="49" t="str"/>
      <c r="G6951" s="59" t="str"/>
      <c r="H6951" s="64" t="str"/>
      <c r="I6951" s="65" t="str"/>
      <c r="J6951" s="49" t="str"/>
      <c r="K6951" s="41" t="str"/>
      <c r="L6951" s="41" t="str"/>
      <c r="M6951" s="41" t="str"/>
      <c r="N6951" s="41" t="str"/>
      <c r="O6951" s="41" t="str"/>
      <c r="P6951" s="41" t="str"/>
      <c r="Q6951" s="41" t="str"/>
      <c r="R6951" s="41" t="str"/>
      <c r="S6951" s="41" t="str"/>
      <c r="T6951" s="41" t="str"/>
      <c r="U6951" s="41" t="str"/>
      <c r="V6951" s="41" t="str"/>
      <c r="W6951" s="41" t="str"/>
    </row>
    <row r="6952">
      <c r="B6952" s="2" t="n"/>
      <c r="C6952" s="40" t="n"/>
      <c r="D6952" s="52">
        <f t="array" ref="D6952:W6952">IF(All_Students_Scores!C6950:V6950="","",All_Students_Scores!C6950:V6950)</f>
        <v/>
      </c>
      <c r="E6952" s="57" t="str"/>
      <c r="F6952" s="49" t="str"/>
      <c r="G6952" s="59" t="str"/>
      <c r="H6952" s="64" t="str"/>
      <c r="I6952" s="65" t="str"/>
      <c r="J6952" s="49" t="str"/>
      <c r="K6952" s="41" t="str"/>
      <c r="L6952" s="41" t="str"/>
      <c r="M6952" s="41" t="str"/>
      <c r="N6952" s="41" t="str"/>
      <c r="O6952" s="41" t="str"/>
      <c r="P6952" s="41" t="str"/>
      <c r="Q6952" s="41" t="str"/>
      <c r="R6952" s="41" t="str"/>
      <c r="S6952" s="41" t="str"/>
      <c r="T6952" s="41" t="str"/>
      <c r="U6952" s="41" t="str"/>
      <c r="V6952" s="41" t="str"/>
      <c r="W6952" s="41" t="str"/>
    </row>
    <row r="6953">
      <c r="B6953" s="2" t="n"/>
      <c r="C6953" s="40" t="n"/>
      <c r="D6953" s="52">
        <f t="array" ref="D6953:W6953">IF(All_Students_Scores!C6951:V6951="","",All_Students_Scores!C6951:V6951)</f>
        <v/>
      </c>
      <c r="E6953" s="57" t="str"/>
      <c r="F6953" s="49" t="str"/>
      <c r="G6953" s="59" t="str"/>
      <c r="H6953" s="64" t="str"/>
      <c r="I6953" s="65" t="str"/>
      <c r="J6953" s="49" t="str"/>
      <c r="K6953" s="41" t="str"/>
      <c r="L6953" s="41" t="str"/>
      <c r="M6953" s="41" t="str"/>
      <c r="N6953" s="41" t="str"/>
      <c r="O6953" s="41" t="str"/>
      <c r="P6953" s="41" t="str"/>
      <c r="Q6953" s="41" t="str"/>
      <c r="R6953" s="41" t="str"/>
      <c r="S6953" s="41" t="str"/>
      <c r="T6953" s="41" t="str"/>
      <c r="U6953" s="41" t="str"/>
      <c r="V6953" s="41" t="str"/>
      <c r="W6953" s="41" t="str"/>
    </row>
    <row r="6954">
      <c r="B6954" s="2" t="n"/>
      <c r="C6954" s="40" t="n"/>
      <c r="D6954" s="52">
        <f t="array" ref="D6954:W6954">IF(All_Students_Scores!C6952:V6952="","",All_Students_Scores!C6952:V6952)</f>
        <v/>
      </c>
      <c r="E6954" s="57" t="str"/>
      <c r="F6954" s="49" t="str"/>
      <c r="G6954" s="59" t="str"/>
      <c r="H6954" s="64" t="str"/>
      <c r="I6954" s="65" t="str"/>
      <c r="J6954" s="49" t="str"/>
      <c r="K6954" s="41" t="str"/>
      <c r="L6954" s="41" t="str"/>
      <c r="M6954" s="41" t="str"/>
      <c r="N6954" s="41" t="str"/>
      <c r="O6954" s="41" t="str"/>
      <c r="P6954" s="41" t="str"/>
      <c r="Q6954" s="41" t="str"/>
      <c r="R6954" s="41" t="str"/>
      <c r="S6954" s="41" t="str"/>
      <c r="T6954" s="41" t="str"/>
      <c r="U6954" s="41" t="str"/>
      <c r="V6954" s="41" t="str"/>
      <c r="W6954" s="41" t="str"/>
    </row>
    <row r="6955">
      <c r="B6955" s="2" t="n"/>
      <c r="C6955" s="40" t="n"/>
      <c r="D6955" s="52">
        <f t="array" ref="D6955:W6955">IF(All_Students_Scores!C6953:V6953="","",All_Students_Scores!C6953:V6953)</f>
        <v/>
      </c>
      <c r="E6955" s="57" t="str"/>
      <c r="F6955" s="49" t="str"/>
      <c r="G6955" s="59" t="str"/>
      <c r="H6955" s="64" t="str"/>
      <c r="I6955" s="65" t="str"/>
      <c r="J6955" s="49" t="str"/>
      <c r="K6955" s="41" t="str"/>
      <c r="L6955" s="41" t="str"/>
      <c r="M6955" s="41" t="str"/>
      <c r="N6955" s="41" t="str"/>
      <c r="O6955" s="41" t="str"/>
      <c r="P6955" s="41" t="str"/>
      <c r="Q6955" s="41" t="str"/>
      <c r="R6955" s="41" t="str"/>
      <c r="S6955" s="41" t="str"/>
      <c r="T6955" s="41" t="str"/>
      <c r="U6955" s="41" t="str"/>
      <c r="V6955" s="41" t="str"/>
      <c r="W6955" s="41" t="str"/>
    </row>
    <row r="6956">
      <c r="B6956" s="2" t="n"/>
      <c r="C6956" s="40" t="n"/>
      <c r="D6956" s="52">
        <f t="array" ref="D6956:W6956">IF(All_Students_Scores!C6954:V6954="","",All_Students_Scores!C6954:V6954)</f>
        <v/>
      </c>
      <c r="E6956" s="57" t="str"/>
      <c r="F6956" s="49" t="str"/>
      <c r="G6956" s="59" t="str"/>
      <c r="H6956" s="64" t="str"/>
      <c r="I6956" s="65" t="str"/>
      <c r="J6956" s="49" t="str"/>
      <c r="K6956" s="41" t="str"/>
      <c r="L6956" s="41" t="str"/>
      <c r="M6956" s="41" t="str"/>
      <c r="N6956" s="41" t="str"/>
      <c r="O6956" s="41" t="str"/>
      <c r="P6956" s="41" t="str"/>
      <c r="Q6956" s="41" t="str"/>
      <c r="R6956" s="41" t="str"/>
      <c r="S6956" s="41" t="str"/>
      <c r="T6956" s="41" t="str"/>
      <c r="U6956" s="41" t="str"/>
      <c r="V6956" s="41" t="str"/>
      <c r="W6956" s="41" t="str"/>
    </row>
    <row r="6957">
      <c r="B6957" s="2" t="n"/>
      <c r="C6957" s="40" t="n"/>
      <c r="D6957" s="52">
        <f t="array" ref="D6957:W6957">IF(All_Students_Scores!C6955:V6955="","",All_Students_Scores!C6955:V6955)</f>
        <v/>
      </c>
      <c r="E6957" s="57" t="str"/>
      <c r="F6957" s="49" t="str"/>
      <c r="G6957" s="59" t="str"/>
      <c r="H6957" s="64" t="str"/>
      <c r="I6957" s="65" t="str"/>
      <c r="J6957" s="49" t="str"/>
      <c r="K6957" s="41" t="str"/>
      <c r="L6957" s="41" t="str"/>
      <c r="M6957" s="41" t="str"/>
      <c r="N6957" s="41" t="str"/>
      <c r="O6957" s="41" t="str"/>
      <c r="P6957" s="41" t="str"/>
      <c r="Q6957" s="41" t="str"/>
      <c r="R6957" s="41" t="str"/>
      <c r="S6957" s="41" t="str"/>
      <c r="T6957" s="41" t="str"/>
      <c r="U6957" s="41" t="str"/>
      <c r="V6957" s="41" t="str"/>
      <c r="W6957" s="41" t="str"/>
    </row>
    <row r="6958">
      <c r="B6958" s="2" t="n"/>
      <c r="C6958" s="40" t="n"/>
      <c r="D6958" s="52">
        <f t="array" ref="D6958:W6958">IF(All_Students_Scores!C6956:V6956="","",All_Students_Scores!C6956:V6956)</f>
        <v/>
      </c>
      <c r="E6958" s="57" t="str"/>
      <c r="F6958" s="49" t="str"/>
      <c r="G6958" s="59" t="str"/>
      <c r="H6958" s="64" t="str"/>
      <c r="I6958" s="65" t="str"/>
      <c r="J6958" s="49" t="str"/>
      <c r="K6958" s="41" t="str"/>
      <c r="L6958" s="41" t="str"/>
      <c r="M6958" s="41" t="str"/>
      <c r="N6958" s="41" t="str"/>
      <c r="O6958" s="41" t="str"/>
      <c r="P6958" s="41" t="str"/>
      <c r="Q6958" s="41" t="str"/>
      <c r="R6958" s="41" t="str"/>
      <c r="S6958" s="41" t="str"/>
      <c r="T6958" s="41" t="str"/>
      <c r="U6958" s="41" t="str"/>
      <c r="V6958" s="41" t="str"/>
      <c r="W6958" s="41" t="str"/>
    </row>
    <row r="6959">
      <c r="B6959" s="2" t="n"/>
      <c r="C6959" s="40" t="n"/>
      <c r="D6959" s="52">
        <f t="array" ref="D6959:W6959">IF(All_Students_Scores!C6957:V6957="","",All_Students_Scores!C6957:V6957)</f>
        <v/>
      </c>
      <c r="E6959" s="57" t="str"/>
      <c r="F6959" s="49" t="str"/>
      <c r="G6959" s="59" t="str"/>
      <c r="H6959" s="64" t="str"/>
      <c r="I6959" s="65" t="str"/>
      <c r="J6959" s="49" t="str"/>
      <c r="K6959" s="41" t="str"/>
      <c r="L6959" s="41" t="str"/>
      <c r="M6959" s="41" t="str"/>
      <c r="N6959" s="41" t="str"/>
      <c r="O6959" s="41" t="str"/>
      <c r="P6959" s="41" t="str"/>
      <c r="Q6959" s="41" t="str"/>
      <c r="R6959" s="41" t="str"/>
      <c r="S6959" s="41" t="str"/>
      <c r="T6959" s="41" t="str"/>
      <c r="U6959" s="41" t="str"/>
      <c r="V6959" s="41" t="str"/>
      <c r="W6959" s="41" t="str"/>
    </row>
    <row r="6960">
      <c r="B6960" s="2" t="n"/>
      <c r="C6960" s="40" t="n"/>
      <c r="D6960" s="52">
        <f t="array" ref="D6960:W6960">IF(All_Students_Scores!C6958:V6958="","",All_Students_Scores!C6958:V6958)</f>
        <v/>
      </c>
      <c r="E6960" s="57" t="str"/>
      <c r="F6960" s="49" t="str"/>
      <c r="G6960" s="59" t="str"/>
      <c r="H6960" s="64" t="str"/>
      <c r="I6960" s="65" t="str"/>
      <c r="J6960" s="49" t="str"/>
      <c r="K6960" s="41" t="str"/>
      <c r="L6960" s="41" t="str"/>
      <c r="M6960" s="41" t="str"/>
      <c r="N6960" s="41" t="str"/>
      <c r="O6960" s="41" t="str"/>
      <c r="P6960" s="41" t="str"/>
      <c r="Q6960" s="41" t="str"/>
      <c r="R6960" s="41" t="str"/>
      <c r="S6960" s="41" t="str"/>
      <c r="T6960" s="41" t="str"/>
      <c r="U6960" s="41" t="str"/>
      <c r="V6960" s="41" t="str"/>
      <c r="W6960" s="41" t="str"/>
    </row>
    <row r="6961">
      <c r="B6961" s="2" t="n"/>
      <c r="C6961" s="40" t="n"/>
      <c r="D6961" s="52">
        <f t="array" ref="D6961:W6961">IF(All_Students_Scores!C6959:V6959="","",All_Students_Scores!C6959:V6959)</f>
        <v/>
      </c>
      <c r="E6961" s="57" t="str"/>
      <c r="F6961" s="49" t="str"/>
      <c r="G6961" s="59" t="str"/>
      <c r="H6961" s="64" t="str"/>
      <c r="I6961" s="65" t="str"/>
      <c r="J6961" s="49" t="str"/>
      <c r="K6961" s="41" t="str"/>
      <c r="L6961" s="41" t="str"/>
      <c r="M6961" s="41" t="str"/>
      <c r="N6961" s="41" t="str"/>
      <c r="O6961" s="41" t="str"/>
      <c r="P6961" s="41" t="str"/>
      <c r="Q6961" s="41" t="str"/>
      <c r="R6961" s="41" t="str"/>
      <c r="S6961" s="41" t="str"/>
      <c r="T6961" s="41" t="str"/>
      <c r="U6961" s="41" t="str"/>
      <c r="V6961" s="41" t="str"/>
      <c r="W6961" s="41" t="str"/>
    </row>
    <row r="6962">
      <c r="B6962" s="2" t="n"/>
      <c r="C6962" s="40" t="n"/>
      <c r="D6962" s="52">
        <f t="array" ref="D6962:W6962">IF(All_Students_Scores!C6960:V6960="","",All_Students_Scores!C6960:V6960)</f>
        <v/>
      </c>
      <c r="E6962" s="57" t="str"/>
      <c r="F6962" s="49" t="str"/>
      <c r="G6962" s="59" t="str"/>
      <c r="H6962" s="64" t="str"/>
      <c r="I6962" s="65" t="str"/>
      <c r="J6962" s="49" t="str"/>
      <c r="K6962" s="41" t="str"/>
      <c r="L6962" s="41" t="str"/>
      <c r="M6962" s="41" t="str"/>
      <c r="N6962" s="41" t="str"/>
      <c r="O6962" s="41" t="str"/>
      <c r="P6962" s="41" t="str"/>
      <c r="Q6962" s="41" t="str"/>
      <c r="R6962" s="41" t="str"/>
      <c r="S6962" s="41" t="str"/>
      <c r="T6962" s="41" t="str"/>
      <c r="U6962" s="41" t="str"/>
      <c r="V6962" s="41" t="str"/>
      <c r="W6962" s="41" t="str"/>
    </row>
    <row r="6963">
      <c r="B6963" s="2" t="n"/>
      <c r="C6963" s="40" t="n"/>
      <c r="D6963" s="52">
        <f t="array" ref="D6963:W6963">IF(All_Students_Scores!C6961:V6961="","",All_Students_Scores!C6961:V6961)</f>
        <v/>
      </c>
      <c r="E6963" s="57" t="str"/>
      <c r="F6963" s="49" t="str"/>
      <c r="G6963" s="59" t="str"/>
      <c r="H6963" s="64" t="str"/>
      <c r="I6963" s="65" t="str"/>
      <c r="J6963" s="49" t="str"/>
      <c r="K6963" s="41" t="str"/>
      <c r="L6963" s="41" t="str"/>
      <c r="M6963" s="41" t="str"/>
      <c r="N6963" s="41" t="str"/>
      <c r="O6963" s="41" t="str"/>
      <c r="P6963" s="41" t="str"/>
      <c r="Q6963" s="41" t="str"/>
      <c r="R6963" s="41" t="str"/>
      <c r="S6963" s="41" t="str"/>
      <c r="T6963" s="41" t="str"/>
      <c r="U6963" s="41" t="str"/>
      <c r="V6963" s="41" t="str"/>
      <c r="W6963" s="41" t="str"/>
    </row>
    <row r="6964">
      <c r="B6964" s="2" t="n"/>
      <c r="C6964" s="40" t="n"/>
      <c r="D6964" s="52">
        <f t="array" ref="D6964:W6964">IF(All_Students_Scores!C6962:V6962="","",All_Students_Scores!C6962:V6962)</f>
        <v/>
      </c>
      <c r="E6964" s="57" t="str"/>
      <c r="F6964" s="49" t="str"/>
      <c r="G6964" s="59" t="str"/>
      <c r="H6964" s="64" t="str"/>
      <c r="I6964" s="65" t="str"/>
      <c r="J6964" s="49" t="str"/>
      <c r="K6964" s="41" t="str"/>
      <c r="L6964" s="41" t="str"/>
      <c r="M6964" s="41" t="str"/>
      <c r="N6964" s="41" t="str"/>
      <c r="O6964" s="41" t="str"/>
      <c r="P6964" s="41" t="str"/>
      <c r="Q6964" s="41" t="str"/>
      <c r="R6964" s="41" t="str"/>
      <c r="S6964" s="41" t="str"/>
      <c r="T6964" s="41" t="str"/>
      <c r="U6964" s="41" t="str"/>
      <c r="V6964" s="41" t="str"/>
      <c r="W6964" s="41" t="str"/>
    </row>
    <row r="6965">
      <c r="B6965" s="2" t="n"/>
      <c r="C6965" s="40" t="n"/>
      <c r="D6965" s="52">
        <f t="array" ref="D6965:W6965">IF(All_Students_Scores!C6963:V6963="","",All_Students_Scores!C6963:V6963)</f>
        <v/>
      </c>
      <c r="E6965" s="57" t="str"/>
      <c r="F6965" s="49" t="str"/>
      <c r="G6965" s="59" t="str"/>
      <c r="H6965" s="64" t="str"/>
      <c r="I6965" s="65" t="str"/>
      <c r="J6965" s="49" t="str"/>
      <c r="K6965" s="41" t="str"/>
      <c r="L6965" s="41" t="str"/>
      <c r="M6965" s="41" t="str"/>
      <c r="N6965" s="41" t="str"/>
      <c r="O6965" s="41" t="str"/>
      <c r="P6965" s="41" t="str"/>
      <c r="Q6965" s="41" t="str"/>
      <c r="R6965" s="41" t="str"/>
      <c r="S6965" s="41" t="str"/>
      <c r="T6965" s="41" t="str"/>
      <c r="U6965" s="41" t="str"/>
      <c r="V6965" s="41" t="str"/>
      <c r="W6965" s="41" t="str"/>
    </row>
    <row r="6966">
      <c r="B6966" s="2" t="n"/>
      <c r="C6966" s="40" t="n"/>
      <c r="D6966" s="52">
        <f t="array" ref="D6966:W6966">IF(All_Students_Scores!C6964:V6964="","",All_Students_Scores!C6964:V6964)</f>
        <v/>
      </c>
      <c r="E6966" s="57" t="str"/>
      <c r="F6966" s="49" t="str"/>
      <c r="G6966" s="59" t="str"/>
      <c r="H6966" s="64" t="str"/>
      <c r="I6966" s="65" t="str"/>
      <c r="J6966" s="49" t="str"/>
      <c r="K6966" s="41" t="str"/>
      <c r="L6966" s="41" t="str"/>
      <c r="M6966" s="41" t="str"/>
      <c r="N6966" s="41" t="str"/>
      <c r="O6966" s="41" t="str"/>
      <c r="P6966" s="41" t="str"/>
      <c r="Q6966" s="41" t="str"/>
      <c r="R6966" s="41" t="str"/>
      <c r="S6966" s="41" t="str"/>
      <c r="T6966" s="41" t="str"/>
      <c r="U6966" s="41" t="str"/>
      <c r="V6966" s="41" t="str"/>
      <c r="W6966" s="41" t="str"/>
    </row>
    <row r="6967">
      <c r="B6967" s="2" t="n"/>
      <c r="C6967" s="40" t="n"/>
      <c r="D6967" s="52">
        <f t="array" ref="D6967:W6967">IF(All_Students_Scores!C6965:V6965="","",All_Students_Scores!C6965:V6965)</f>
        <v/>
      </c>
      <c r="E6967" s="57" t="str"/>
      <c r="F6967" s="49" t="str"/>
      <c r="G6967" s="59" t="str"/>
      <c r="H6967" s="64" t="str"/>
      <c r="I6967" s="65" t="str"/>
      <c r="J6967" s="49" t="str"/>
      <c r="K6967" s="41" t="str"/>
      <c r="L6967" s="41" t="str"/>
      <c r="M6967" s="41" t="str"/>
      <c r="N6967" s="41" t="str"/>
      <c r="O6967" s="41" t="str"/>
      <c r="P6967" s="41" t="str"/>
      <c r="Q6967" s="41" t="str"/>
      <c r="R6967" s="41" t="str"/>
      <c r="S6967" s="41" t="str"/>
      <c r="T6967" s="41" t="str"/>
      <c r="U6967" s="41" t="str"/>
      <c r="V6967" s="41" t="str"/>
      <c r="W6967" s="41" t="str"/>
    </row>
    <row r="6968">
      <c r="B6968" s="2" t="n"/>
      <c r="C6968" s="40" t="n"/>
      <c r="D6968" s="52">
        <f t="array" ref="D6968:W6968">IF(All_Students_Scores!C6966:V6966="","",All_Students_Scores!C6966:V6966)</f>
        <v/>
      </c>
      <c r="E6968" s="57" t="str"/>
      <c r="F6968" s="49" t="str"/>
      <c r="G6968" s="59" t="str"/>
      <c r="H6968" s="64" t="str"/>
      <c r="I6968" s="65" t="str"/>
      <c r="J6968" s="49" t="str"/>
      <c r="K6968" s="41" t="str"/>
      <c r="L6968" s="41" t="str"/>
      <c r="M6968" s="41" t="str"/>
      <c r="N6968" s="41" t="str"/>
      <c r="O6968" s="41" t="str"/>
      <c r="P6968" s="41" t="str"/>
      <c r="Q6968" s="41" t="str"/>
      <c r="R6968" s="41" t="str"/>
      <c r="S6968" s="41" t="str"/>
      <c r="T6968" s="41" t="str"/>
      <c r="U6968" s="41" t="str"/>
      <c r="V6968" s="41" t="str"/>
      <c r="W6968" s="41" t="str"/>
    </row>
    <row r="6969">
      <c r="B6969" s="2" t="n"/>
      <c r="C6969" s="40" t="n"/>
      <c r="D6969" s="52">
        <f t="array" ref="D6969:W6969">IF(All_Students_Scores!C6967:V6967="","",All_Students_Scores!C6967:V6967)</f>
        <v/>
      </c>
      <c r="E6969" s="57" t="str"/>
      <c r="F6969" s="49" t="str"/>
      <c r="G6969" s="59" t="str"/>
      <c r="H6969" s="64" t="str"/>
      <c r="I6969" s="65" t="str"/>
      <c r="J6969" s="49" t="str"/>
      <c r="K6969" s="41" t="str"/>
      <c r="L6969" s="41" t="str"/>
      <c r="M6969" s="41" t="str"/>
      <c r="N6969" s="41" t="str"/>
      <c r="O6969" s="41" t="str"/>
      <c r="P6969" s="41" t="str"/>
      <c r="Q6969" s="41" t="str"/>
      <c r="R6969" s="41" t="str"/>
      <c r="S6969" s="41" t="str"/>
      <c r="T6969" s="41" t="str"/>
      <c r="U6969" s="41" t="str"/>
      <c r="V6969" s="41" t="str"/>
      <c r="W6969" s="41" t="str"/>
    </row>
    <row r="6970">
      <c r="B6970" s="2" t="n"/>
      <c r="C6970" s="40" t="n"/>
      <c r="D6970" s="52">
        <f t="array" ref="D6970:W6970">IF(All_Students_Scores!C6968:V6968="","",All_Students_Scores!C6968:V6968)</f>
        <v/>
      </c>
      <c r="E6970" s="57" t="str"/>
      <c r="F6970" s="49" t="str"/>
      <c r="G6970" s="59" t="str"/>
      <c r="H6970" s="64" t="str"/>
      <c r="I6970" s="65" t="str"/>
      <c r="J6970" s="49" t="str"/>
      <c r="K6970" s="41" t="str"/>
      <c r="L6970" s="41" t="str"/>
      <c r="M6970" s="41" t="str"/>
      <c r="N6970" s="41" t="str"/>
      <c r="O6970" s="41" t="str"/>
      <c r="P6970" s="41" t="str"/>
      <c r="Q6970" s="41" t="str"/>
      <c r="R6970" s="41" t="str"/>
      <c r="S6970" s="41" t="str"/>
      <c r="T6970" s="41" t="str"/>
      <c r="U6970" s="41" t="str"/>
      <c r="V6970" s="41" t="str"/>
      <c r="W6970" s="41" t="str"/>
    </row>
    <row r="6971">
      <c r="B6971" s="2" t="n"/>
      <c r="C6971" s="40" t="n"/>
      <c r="D6971" s="52">
        <f t="array" ref="D6971:W6971">IF(All_Students_Scores!C6969:V6969="","",All_Students_Scores!C6969:V6969)</f>
        <v/>
      </c>
      <c r="E6971" s="57" t="str"/>
      <c r="F6971" s="49" t="str"/>
      <c r="G6971" s="59" t="str"/>
      <c r="H6971" s="64" t="str"/>
      <c r="I6971" s="65" t="str"/>
      <c r="J6971" s="49" t="str"/>
      <c r="K6971" s="41" t="str"/>
      <c r="L6971" s="41" t="str"/>
      <c r="M6971" s="41" t="str"/>
      <c r="N6971" s="41" t="str"/>
      <c r="O6971" s="41" t="str"/>
      <c r="P6971" s="41" t="str"/>
      <c r="Q6971" s="41" t="str"/>
      <c r="R6971" s="41" t="str"/>
      <c r="S6971" s="41" t="str"/>
      <c r="T6971" s="41" t="str"/>
      <c r="U6971" s="41" t="str"/>
      <c r="V6971" s="41" t="str"/>
      <c r="W6971" s="41" t="str"/>
    </row>
    <row r="6972">
      <c r="B6972" s="2" t="n"/>
      <c r="C6972" s="40" t="n"/>
      <c r="D6972" s="52">
        <f t="array" ref="D6972:W6972">IF(All_Students_Scores!C6970:V6970="","",All_Students_Scores!C6970:V6970)</f>
        <v/>
      </c>
      <c r="E6972" s="57" t="str"/>
      <c r="F6972" s="49" t="str"/>
      <c r="G6972" s="59" t="str"/>
      <c r="H6972" s="64" t="str"/>
      <c r="I6972" s="65" t="str"/>
      <c r="J6972" s="49" t="str"/>
      <c r="K6972" s="41" t="str"/>
      <c r="L6972" s="41" t="str"/>
      <c r="M6972" s="41" t="str"/>
      <c r="N6972" s="41" t="str"/>
      <c r="O6972" s="41" t="str"/>
      <c r="P6972" s="41" t="str"/>
      <c r="Q6972" s="41" t="str"/>
      <c r="R6972" s="41" t="str"/>
      <c r="S6972" s="41" t="str"/>
      <c r="T6972" s="41" t="str"/>
      <c r="U6972" s="41" t="str"/>
      <c r="V6972" s="41" t="str"/>
      <c r="W6972" s="41" t="str"/>
    </row>
    <row r="6973">
      <c r="B6973" s="2" t="n"/>
      <c r="C6973" s="40" t="n"/>
      <c r="D6973" s="52">
        <f t="array" ref="D6973:W6973">IF(All_Students_Scores!C6971:V6971="","",All_Students_Scores!C6971:V6971)</f>
        <v/>
      </c>
      <c r="E6973" s="57" t="str"/>
      <c r="F6973" s="49" t="str"/>
      <c r="G6973" s="59" t="str"/>
      <c r="H6973" s="64" t="str"/>
      <c r="I6973" s="65" t="str"/>
      <c r="J6973" s="49" t="str"/>
      <c r="K6973" s="41" t="str"/>
      <c r="L6973" s="41" t="str"/>
      <c r="M6973" s="41" t="str"/>
      <c r="N6973" s="41" t="str"/>
      <c r="O6973" s="41" t="str"/>
      <c r="P6973" s="41" t="str"/>
      <c r="Q6973" s="41" t="str"/>
      <c r="R6973" s="41" t="str"/>
      <c r="S6973" s="41" t="str"/>
      <c r="T6973" s="41" t="str"/>
      <c r="U6973" s="41" t="str"/>
      <c r="V6973" s="41" t="str"/>
      <c r="W6973" s="41" t="str"/>
    </row>
    <row r="6974">
      <c r="B6974" s="2" t="n"/>
      <c r="C6974" s="40" t="n"/>
      <c r="D6974" s="52">
        <f t="array" ref="D6974:W6974">IF(All_Students_Scores!C6972:V6972="","",All_Students_Scores!C6972:V6972)</f>
        <v/>
      </c>
      <c r="E6974" s="57" t="str"/>
      <c r="F6974" s="49" t="str"/>
      <c r="G6974" s="59" t="str"/>
      <c r="H6974" s="64" t="str"/>
      <c r="I6974" s="65" t="str"/>
      <c r="J6974" s="49" t="str"/>
      <c r="K6974" s="41" t="str"/>
      <c r="L6974" s="41" t="str"/>
      <c r="M6974" s="41" t="str"/>
      <c r="N6974" s="41" t="str"/>
      <c r="O6974" s="41" t="str"/>
      <c r="P6974" s="41" t="str"/>
      <c r="Q6974" s="41" t="str"/>
      <c r="R6974" s="41" t="str"/>
      <c r="S6974" s="41" t="str"/>
      <c r="T6974" s="41" t="str"/>
      <c r="U6974" s="41" t="str"/>
      <c r="V6974" s="41" t="str"/>
      <c r="W6974" s="41" t="str"/>
    </row>
    <row r="6975">
      <c r="B6975" s="2" t="n"/>
      <c r="C6975" s="40" t="n"/>
      <c r="D6975" s="52">
        <f t="array" ref="D6975:W6975">IF(All_Students_Scores!C6973:V6973="","",All_Students_Scores!C6973:V6973)</f>
        <v/>
      </c>
      <c r="E6975" s="57" t="str"/>
      <c r="F6975" s="49" t="str"/>
      <c r="G6975" s="59" t="str"/>
      <c r="H6975" s="64" t="str"/>
      <c r="I6975" s="65" t="str"/>
      <c r="J6975" s="49" t="str"/>
      <c r="K6975" s="41" t="str"/>
      <c r="L6975" s="41" t="str"/>
      <c r="M6975" s="41" t="str"/>
      <c r="N6975" s="41" t="str"/>
      <c r="O6975" s="41" t="str"/>
      <c r="P6975" s="41" t="str"/>
      <c r="Q6975" s="41" t="str"/>
      <c r="R6975" s="41" t="str"/>
      <c r="S6975" s="41" t="str"/>
      <c r="T6975" s="41" t="str"/>
      <c r="U6975" s="41" t="str"/>
      <c r="V6975" s="41" t="str"/>
      <c r="W6975" s="41" t="str"/>
    </row>
    <row r="6976">
      <c r="B6976" s="2" t="n"/>
      <c r="C6976" s="40" t="n"/>
      <c r="D6976" s="52">
        <f t="array" ref="D6976:W6976">IF(All_Students_Scores!C6974:V6974="","",All_Students_Scores!C6974:V6974)</f>
        <v/>
      </c>
      <c r="E6976" s="57" t="str"/>
      <c r="F6976" s="49" t="str"/>
      <c r="G6976" s="59" t="str"/>
      <c r="H6976" s="64" t="str"/>
      <c r="I6976" s="65" t="str"/>
      <c r="J6976" s="49" t="str"/>
      <c r="K6976" s="41" t="str"/>
      <c r="L6976" s="41" t="str"/>
      <c r="M6976" s="41" t="str"/>
      <c r="N6976" s="41" t="str"/>
      <c r="O6976" s="41" t="str"/>
      <c r="P6976" s="41" t="str"/>
      <c r="Q6976" s="41" t="str"/>
      <c r="R6976" s="41" t="str"/>
      <c r="S6976" s="41" t="str"/>
      <c r="T6976" s="41" t="str"/>
      <c r="U6976" s="41" t="str"/>
      <c r="V6976" s="41" t="str"/>
      <c r="W6976" s="41" t="str"/>
    </row>
    <row r="6977">
      <c r="B6977" s="2" t="n"/>
      <c r="C6977" s="40" t="n"/>
      <c r="D6977" s="52">
        <f t="array" ref="D6977:W6977">IF(All_Students_Scores!C6975:V6975="","",All_Students_Scores!C6975:V6975)</f>
        <v/>
      </c>
      <c r="E6977" s="57" t="str"/>
      <c r="F6977" s="49" t="str"/>
      <c r="G6977" s="59" t="str"/>
      <c r="H6977" s="64" t="str"/>
      <c r="I6977" s="65" t="str"/>
      <c r="J6977" s="49" t="str"/>
      <c r="K6977" s="41" t="str"/>
      <c r="L6977" s="41" t="str"/>
      <c r="M6977" s="41" t="str"/>
      <c r="N6977" s="41" t="str"/>
      <c r="O6977" s="41" t="str"/>
      <c r="P6977" s="41" t="str"/>
      <c r="Q6977" s="41" t="str"/>
      <c r="R6977" s="41" t="str"/>
      <c r="S6977" s="41" t="str"/>
      <c r="T6977" s="41" t="str"/>
      <c r="U6977" s="41" t="str"/>
      <c r="V6977" s="41" t="str"/>
      <c r="W6977" s="41" t="str"/>
    </row>
    <row r="6978">
      <c r="B6978" s="2" t="n"/>
      <c r="C6978" s="40" t="n"/>
      <c r="D6978" s="52">
        <f t="array" ref="D6978:W6978">IF(All_Students_Scores!C6976:V6976="","",All_Students_Scores!C6976:V6976)</f>
        <v/>
      </c>
      <c r="E6978" s="57" t="str"/>
      <c r="F6978" s="49" t="str"/>
      <c r="G6978" s="59" t="str"/>
      <c r="H6978" s="64" t="str"/>
      <c r="I6978" s="65" t="str"/>
      <c r="J6978" s="49" t="str"/>
      <c r="K6978" s="41" t="str"/>
      <c r="L6978" s="41" t="str"/>
      <c r="M6978" s="41" t="str"/>
      <c r="N6978" s="41" t="str"/>
      <c r="O6978" s="41" t="str"/>
      <c r="P6978" s="41" t="str"/>
      <c r="Q6978" s="41" t="str"/>
      <c r="R6978" s="41" t="str"/>
      <c r="S6978" s="41" t="str"/>
      <c r="T6978" s="41" t="str"/>
      <c r="U6978" s="41" t="str"/>
      <c r="V6978" s="41" t="str"/>
      <c r="W6978" s="41" t="str"/>
    </row>
    <row r="6979">
      <c r="B6979" s="2" t="n"/>
      <c r="C6979" s="40" t="n"/>
      <c r="D6979" s="52">
        <f t="array" ref="D6979:W6979">IF(All_Students_Scores!C6977:V6977="","",All_Students_Scores!C6977:V6977)</f>
        <v/>
      </c>
      <c r="E6979" s="57" t="str"/>
      <c r="F6979" s="49" t="str"/>
      <c r="G6979" s="59" t="str"/>
      <c r="H6979" s="64" t="str"/>
      <c r="I6979" s="65" t="str"/>
      <c r="J6979" s="49" t="str"/>
      <c r="K6979" s="41" t="str"/>
      <c r="L6979" s="41" t="str"/>
      <c r="M6979" s="41" t="str"/>
      <c r="N6979" s="41" t="str"/>
      <c r="O6979" s="41" t="str"/>
      <c r="P6979" s="41" t="str"/>
      <c r="Q6979" s="41" t="str"/>
      <c r="R6979" s="41" t="str"/>
      <c r="S6979" s="41" t="str"/>
      <c r="T6979" s="41" t="str"/>
      <c r="U6979" s="41" t="str"/>
      <c r="V6979" s="41" t="str"/>
      <c r="W6979" s="41" t="str"/>
    </row>
    <row r="6980">
      <c r="B6980" s="2" t="n"/>
      <c r="C6980" s="40" t="n"/>
      <c r="D6980" s="52">
        <f t="array" ref="D6980:W6980">IF(All_Students_Scores!C6978:V6978="","",All_Students_Scores!C6978:V6978)</f>
        <v/>
      </c>
      <c r="E6980" s="57" t="str"/>
      <c r="F6980" s="49" t="str"/>
      <c r="G6980" s="59" t="str"/>
      <c r="H6980" s="64" t="str"/>
      <c r="I6980" s="65" t="str"/>
      <c r="J6980" s="49" t="str"/>
      <c r="K6980" s="41" t="str"/>
      <c r="L6980" s="41" t="str"/>
      <c r="M6980" s="41" t="str"/>
      <c r="N6980" s="41" t="str"/>
      <c r="O6980" s="41" t="str"/>
      <c r="P6980" s="41" t="str"/>
      <c r="Q6980" s="41" t="str"/>
      <c r="R6980" s="41" t="str"/>
      <c r="S6980" s="41" t="str"/>
      <c r="T6980" s="41" t="str"/>
      <c r="U6980" s="41" t="str"/>
      <c r="V6980" s="41" t="str"/>
      <c r="W6980" s="41" t="str"/>
    </row>
    <row r="6981">
      <c r="B6981" s="2" t="n"/>
      <c r="C6981" s="40" t="n"/>
      <c r="D6981" s="52">
        <f t="array" ref="D6981:W6981">IF(All_Students_Scores!C6979:V6979="","",All_Students_Scores!C6979:V6979)</f>
        <v/>
      </c>
      <c r="E6981" s="57" t="str"/>
      <c r="F6981" s="49" t="str"/>
      <c r="G6981" s="59" t="str"/>
      <c r="H6981" s="64" t="str"/>
      <c r="I6981" s="65" t="str"/>
      <c r="J6981" s="49" t="str"/>
      <c r="K6981" s="41" t="str"/>
      <c r="L6981" s="41" t="str"/>
      <c r="M6981" s="41" t="str"/>
      <c r="N6981" s="41" t="str"/>
      <c r="O6981" s="41" t="str"/>
      <c r="P6981" s="41" t="str"/>
      <c r="Q6981" s="41" t="str"/>
      <c r="R6981" s="41" t="str"/>
      <c r="S6981" s="41" t="str"/>
      <c r="T6981" s="41" t="str"/>
      <c r="U6981" s="41" t="str"/>
      <c r="V6981" s="41" t="str"/>
      <c r="W6981" s="41" t="str"/>
    </row>
    <row r="6982">
      <c r="B6982" s="2" t="n"/>
      <c r="C6982" s="40" t="n"/>
      <c r="D6982" s="52">
        <f t="array" ref="D6982:W6982">IF(All_Students_Scores!C6980:V6980="","",All_Students_Scores!C6980:V6980)</f>
        <v/>
      </c>
      <c r="E6982" s="57" t="str"/>
      <c r="F6982" s="49" t="str"/>
      <c r="G6982" s="59" t="str"/>
      <c r="H6982" s="64" t="str"/>
      <c r="I6982" s="65" t="str"/>
      <c r="J6982" s="49" t="str"/>
      <c r="K6982" s="41" t="str"/>
      <c r="L6982" s="41" t="str"/>
      <c r="M6982" s="41" t="str"/>
      <c r="N6982" s="41" t="str"/>
      <c r="O6982" s="41" t="str"/>
      <c r="P6982" s="41" t="str"/>
      <c r="Q6982" s="41" t="str"/>
      <c r="R6982" s="41" t="str"/>
      <c r="S6982" s="41" t="str"/>
      <c r="T6982" s="41" t="str"/>
      <c r="U6982" s="41" t="str"/>
      <c r="V6982" s="41" t="str"/>
      <c r="W6982" s="41" t="str"/>
    </row>
    <row r="6983">
      <c r="B6983" s="2" t="n"/>
      <c r="C6983" s="40" t="n"/>
      <c r="D6983" s="52">
        <f t="array" ref="D6983:W6983">IF(All_Students_Scores!C6981:V6981="","",All_Students_Scores!C6981:V6981)</f>
        <v/>
      </c>
      <c r="E6983" s="57" t="str"/>
      <c r="F6983" s="49" t="str"/>
      <c r="G6983" s="59" t="str"/>
      <c r="H6983" s="64" t="str"/>
      <c r="I6983" s="65" t="str"/>
      <c r="J6983" s="49" t="str"/>
      <c r="K6983" s="41" t="str"/>
      <c r="L6983" s="41" t="str"/>
      <c r="M6983" s="41" t="str"/>
      <c r="N6983" s="41" t="str"/>
      <c r="O6983" s="41" t="str"/>
      <c r="P6983" s="41" t="str"/>
      <c r="Q6983" s="41" t="str"/>
      <c r="R6983" s="41" t="str"/>
      <c r="S6983" s="41" t="str"/>
      <c r="T6983" s="41" t="str"/>
      <c r="U6983" s="41" t="str"/>
      <c r="V6983" s="41" t="str"/>
      <c r="W6983" s="41" t="str"/>
    </row>
    <row r="6984">
      <c r="B6984" s="2" t="n"/>
      <c r="C6984" s="40" t="n"/>
      <c r="D6984" s="52">
        <f t="array" ref="D6984:W6984">IF(All_Students_Scores!C6982:V6982="","",All_Students_Scores!C6982:V6982)</f>
        <v/>
      </c>
      <c r="E6984" s="57" t="str"/>
      <c r="F6984" s="49" t="str"/>
      <c r="G6984" s="59" t="str"/>
      <c r="H6984" s="64" t="str"/>
      <c r="I6984" s="65" t="str"/>
      <c r="J6984" s="49" t="str"/>
      <c r="K6984" s="41" t="str"/>
      <c r="L6984" s="41" t="str"/>
      <c r="M6984" s="41" t="str"/>
      <c r="N6984" s="41" t="str"/>
      <c r="O6984" s="41" t="str"/>
      <c r="P6984" s="41" t="str"/>
      <c r="Q6984" s="41" t="str"/>
      <c r="R6984" s="41" t="str"/>
      <c r="S6984" s="41" t="str"/>
      <c r="T6984" s="41" t="str"/>
      <c r="U6984" s="41" t="str"/>
      <c r="V6984" s="41" t="str"/>
      <c r="W6984" s="41" t="str"/>
    </row>
    <row r="6985">
      <c r="B6985" s="2" t="n"/>
      <c r="C6985" s="40" t="n"/>
      <c r="D6985" s="52">
        <f t="array" ref="D6985:W6985">IF(All_Students_Scores!C6983:V6983="","",All_Students_Scores!C6983:V6983)</f>
        <v/>
      </c>
      <c r="E6985" s="57" t="str"/>
      <c r="F6985" s="49" t="str"/>
      <c r="G6985" s="59" t="str"/>
      <c r="H6985" s="64" t="str"/>
      <c r="I6985" s="65" t="str"/>
      <c r="J6985" s="49" t="str"/>
      <c r="K6985" s="41" t="str"/>
      <c r="L6985" s="41" t="str"/>
      <c r="M6985" s="41" t="str"/>
      <c r="N6985" s="41" t="str"/>
      <c r="O6985" s="41" t="str"/>
      <c r="P6985" s="41" t="str"/>
      <c r="Q6985" s="41" t="str"/>
      <c r="R6985" s="41" t="str"/>
      <c r="S6985" s="41" t="str"/>
      <c r="T6985" s="41" t="str"/>
      <c r="U6985" s="41" t="str"/>
      <c r="V6985" s="41" t="str"/>
      <c r="W6985" s="41" t="str"/>
    </row>
    <row r="6986">
      <c r="B6986" s="2" t="n"/>
      <c r="C6986" s="40" t="n"/>
      <c r="D6986" s="52">
        <f t="array" ref="D6986:W6986">IF(All_Students_Scores!C6984:V6984="","",All_Students_Scores!C6984:V6984)</f>
        <v/>
      </c>
      <c r="E6986" s="57" t="str"/>
      <c r="F6986" s="49" t="str"/>
      <c r="G6986" s="59" t="str"/>
      <c r="H6986" s="64" t="str"/>
      <c r="I6986" s="65" t="str"/>
      <c r="J6986" s="49" t="str"/>
      <c r="K6986" s="41" t="str"/>
      <c r="L6986" s="41" t="str"/>
      <c r="M6986" s="41" t="str"/>
      <c r="N6986" s="41" t="str"/>
      <c r="O6986" s="41" t="str"/>
      <c r="P6986" s="41" t="str"/>
      <c r="Q6986" s="41" t="str"/>
      <c r="R6986" s="41" t="str"/>
      <c r="S6986" s="41" t="str"/>
      <c r="T6986" s="41" t="str"/>
      <c r="U6986" s="41" t="str"/>
      <c r="V6986" s="41" t="str"/>
      <c r="W6986" s="41" t="str"/>
    </row>
    <row r="6987">
      <c r="B6987" s="2" t="n"/>
      <c r="C6987" s="40" t="n"/>
      <c r="D6987" s="52">
        <f t="array" ref="D6987:W6987">IF(All_Students_Scores!C6985:V6985="","",All_Students_Scores!C6985:V6985)</f>
        <v/>
      </c>
      <c r="E6987" s="57" t="str"/>
      <c r="F6987" s="49" t="str"/>
      <c r="G6987" s="59" t="str"/>
      <c r="H6987" s="64" t="str"/>
      <c r="I6987" s="65" t="str"/>
      <c r="J6987" s="49" t="str"/>
      <c r="K6987" s="41" t="str"/>
      <c r="L6987" s="41" t="str"/>
      <c r="M6987" s="41" t="str"/>
      <c r="N6987" s="41" t="str"/>
      <c r="O6987" s="41" t="str"/>
      <c r="P6987" s="41" t="str"/>
      <c r="Q6987" s="41" t="str"/>
      <c r="R6987" s="41" t="str"/>
      <c r="S6987" s="41" t="str"/>
      <c r="T6987" s="41" t="str"/>
      <c r="U6987" s="41" t="str"/>
      <c r="V6987" s="41" t="str"/>
      <c r="W6987" s="41" t="str"/>
    </row>
    <row r="6988">
      <c r="B6988" s="2" t="n"/>
      <c r="C6988" s="40" t="n"/>
      <c r="D6988" s="52">
        <f t="array" ref="D6988:W6988">IF(All_Students_Scores!C6986:V6986="","",All_Students_Scores!C6986:V6986)</f>
        <v/>
      </c>
      <c r="E6988" s="57" t="str"/>
      <c r="F6988" s="49" t="str"/>
      <c r="G6988" s="59" t="str"/>
      <c r="H6988" s="64" t="str"/>
      <c r="I6988" s="65" t="str"/>
      <c r="J6988" s="49" t="str"/>
      <c r="K6988" s="41" t="str"/>
      <c r="L6988" s="41" t="str"/>
      <c r="M6988" s="41" t="str"/>
      <c r="N6988" s="41" t="str"/>
      <c r="O6988" s="41" t="str"/>
      <c r="P6988" s="41" t="str"/>
      <c r="Q6988" s="41" t="str"/>
      <c r="R6988" s="41" t="str"/>
      <c r="S6988" s="41" t="str"/>
      <c r="T6988" s="41" t="str"/>
      <c r="U6988" s="41" t="str"/>
      <c r="V6988" s="41" t="str"/>
      <c r="W6988" s="41" t="str"/>
    </row>
    <row r="6989">
      <c r="B6989" s="2" t="n"/>
      <c r="C6989" s="40" t="n"/>
      <c r="D6989" s="52">
        <f t="array" ref="D6989:W6989">IF(All_Students_Scores!C6987:V6987="","",All_Students_Scores!C6987:V6987)</f>
        <v/>
      </c>
      <c r="E6989" s="57" t="str"/>
      <c r="F6989" s="49" t="str"/>
      <c r="G6989" s="59" t="str"/>
      <c r="H6989" s="64" t="str"/>
      <c r="I6989" s="65" t="str"/>
      <c r="J6989" s="49" t="str"/>
      <c r="K6989" s="41" t="str"/>
      <c r="L6989" s="41" t="str"/>
      <c r="M6989" s="41" t="str"/>
      <c r="N6989" s="41" t="str"/>
      <c r="O6989" s="41" t="str"/>
      <c r="P6989" s="41" t="str"/>
      <c r="Q6989" s="41" t="str"/>
      <c r="R6989" s="41" t="str"/>
      <c r="S6989" s="41" t="str"/>
      <c r="T6989" s="41" t="str"/>
      <c r="U6989" s="41" t="str"/>
      <c r="V6989" s="41" t="str"/>
      <c r="W6989" s="41" t="str"/>
    </row>
    <row r="6990">
      <c r="B6990" s="2" t="n"/>
      <c r="C6990" s="40" t="n"/>
      <c r="D6990" s="52">
        <f t="array" ref="D6990:W6990">IF(All_Students_Scores!C6988:V6988="","",All_Students_Scores!C6988:V6988)</f>
        <v/>
      </c>
      <c r="E6990" s="57" t="str"/>
      <c r="F6990" s="49" t="str"/>
      <c r="G6990" s="59" t="str"/>
      <c r="H6990" s="64" t="str"/>
      <c r="I6990" s="65" t="str"/>
      <c r="J6990" s="49" t="str"/>
      <c r="K6990" s="41" t="str"/>
      <c r="L6990" s="41" t="str"/>
      <c r="M6990" s="41" t="str"/>
      <c r="N6990" s="41" t="str"/>
      <c r="O6990" s="41" t="str"/>
      <c r="P6990" s="41" t="str"/>
      <c r="Q6990" s="41" t="str"/>
      <c r="R6990" s="41" t="str"/>
      <c r="S6990" s="41" t="str"/>
      <c r="T6990" s="41" t="str"/>
      <c r="U6990" s="41" t="str"/>
      <c r="V6990" s="41" t="str"/>
      <c r="W6990" s="41" t="str"/>
    </row>
    <row r="6991">
      <c r="B6991" s="2" t="n"/>
      <c r="C6991" s="40" t="n"/>
      <c r="D6991" s="52">
        <f t="array" ref="D6991:W6991">IF(All_Students_Scores!C6989:V6989="","",All_Students_Scores!C6989:V6989)</f>
        <v/>
      </c>
      <c r="E6991" s="57" t="str"/>
      <c r="F6991" s="49" t="str"/>
      <c r="G6991" s="59" t="str"/>
      <c r="H6991" s="64" t="str"/>
      <c r="I6991" s="65" t="str"/>
      <c r="J6991" s="49" t="str"/>
      <c r="K6991" s="41" t="str"/>
      <c r="L6991" s="41" t="str"/>
      <c r="M6991" s="41" t="str"/>
      <c r="N6991" s="41" t="str"/>
      <c r="O6991" s="41" t="str"/>
      <c r="P6991" s="41" t="str"/>
      <c r="Q6991" s="41" t="str"/>
      <c r="R6991" s="41" t="str"/>
      <c r="S6991" s="41" t="str"/>
      <c r="T6991" s="41" t="str"/>
      <c r="U6991" s="41" t="str"/>
      <c r="V6991" s="41" t="str"/>
      <c r="W6991" s="41" t="str"/>
    </row>
    <row r="6992">
      <c r="B6992" s="2" t="n"/>
      <c r="C6992" s="40" t="n"/>
      <c r="D6992" s="52">
        <f t="array" ref="D6992:W6992">IF(All_Students_Scores!C6990:V6990="","",All_Students_Scores!C6990:V6990)</f>
        <v/>
      </c>
      <c r="E6992" s="57" t="str"/>
      <c r="F6992" s="49" t="str"/>
      <c r="G6992" s="59" t="str"/>
      <c r="H6992" s="64" t="str"/>
      <c r="I6992" s="65" t="str"/>
      <c r="J6992" s="49" t="str"/>
      <c r="K6992" s="41" t="str"/>
      <c r="L6992" s="41" t="str"/>
      <c r="M6992" s="41" t="str"/>
      <c r="N6992" s="41" t="str"/>
      <c r="O6992" s="41" t="str"/>
      <c r="P6992" s="41" t="str"/>
      <c r="Q6992" s="41" t="str"/>
      <c r="R6992" s="41" t="str"/>
      <c r="S6992" s="41" t="str"/>
      <c r="T6992" s="41" t="str"/>
      <c r="U6992" s="41" t="str"/>
      <c r="V6992" s="41" t="str"/>
      <c r="W6992" s="41" t="str"/>
    </row>
    <row r="6993">
      <c r="B6993" s="2" t="n"/>
      <c r="C6993" s="40" t="n"/>
      <c r="D6993" s="52">
        <f t="array" ref="D6993:W6993">IF(All_Students_Scores!C6991:V6991="","",All_Students_Scores!C6991:V6991)</f>
        <v/>
      </c>
      <c r="E6993" s="57" t="str"/>
      <c r="F6993" s="49" t="str"/>
      <c r="G6993" s="59" t="str"/>
      <c r="H6993" s="64" t="str"/>
      <c r="I6993" s="65" t="str"/>
      <c r="J6993" s="49" t="str"/>
      <c r="K6993" s="41" t="str"/>
      <c r="L6993" s="41" t="str"/>
      <c r="M6993" s="41" t="str"/>
      <c r="N6993" s="41" t="str"/>
      <c r="O6993" s="41" t="str"/>
      <c r="P6993" s="41" t="str"/>
      <c r="Q6993" s="41" t="str"/>
      <c r="R6993" s="41" t="str"/>
      <c r="S6993" s="41" t="str"/>
      <c r="T6993" s="41" t="str"/>
      <c r="U6993" s="41" t="str"/>
      <c r="V6993" s="41" t="str"/>
      <c r="W6993" s="41" t="str"/>
    </row>
    <row r="6994">
      <c r="B6994" s="2" t="n"/>
      <c r="C6994" s="40" t="n"/>
      <c r="D6994" s="52">
        <f t="array" ref="D6994:W6994">IF(All_Students_Scores!C6992:V6992="","",All_Students_Scores!C6992:V6992)</f>
        <v/>
      </c>
      <c r="E6994" s="57" t="str"/>
      <c r="F6994" s="49" t="str"/>
      <c r="G6994" s="59" t="str"/>
      <c r="H6994" s="64" t="str"/>
      <c r="I6994" s="65" t="str"/>
      <c r="J6994" s="49" t="str"/>
      <c r="K6994" s="41" t="str"/>
      <c r="L6994" s="41" t="str"/>
      <c r="M6994" s="41" t="str"/>
      <c r="N6994" s="41" t="str"/>
      <c r="O6994" s="41" t="str"/>
      <c r="P6994" s="41" t="str"/>
      <c r="Q6994" s="41" t="str"/>
      <c r="R6994" s="41" t="str"/>
      <c r="S6994" s="41" t="str"/>
      <c r="T6994" s="41" t="str"/>
      <c r="U6994" s="41" t="str"/>
      <c r="V6994" s="41" t="str"/>
      <c r="W6994" s="41" t="str"/>
    </row>
    <row r="6995">
      <c r="B6995" s="2" t="n"/>
      <c r="C6995" s="40" t="n"/>
      <c r="D6995" s="52">
        <f t="array" ref="D6995:W6995">IF(All_Students_Scores!C6993:V6993="","",All_Students_Scores!C6993:V6993)</f>
        <v/>
      </c>
      <c r="E6995" s="57" t="str"/>
      <c r="F6995" s="49" t="str"/>
      <c r="G6995" s="59" t="str"/>
      <c r="H6995" s="64" t="str"/>
      <c r="I6995" s="65" t="str"/>
      <c r="J6995" s="49" t="str"/>
      <c r="K6995" s="41" t="str"/>
      <c r="L6995" s="41" t="str"/>
      <c r="M6995" s="41" t="str"/>
      <c r="N6995" s="41" t="str"/>
      <c r="O6995" s="41" t="str"/>
      <c r="P6995" s="41" t="str"/>
      <c r="Q6995" s="41" t="str"/>
      <c r="R6995" s="41" t="str"/>
      <c r="S6995" s="41" t="str"/>
      <c r="T6995" s="41" t="str"/>
      <c r="U6995" s="41" t="str"/>
      <c r="V6995" s="41" t="str"/>
      <c r="W6995" s="41" t="str"/>
    </row>
    <row r="6996">
      <c r="B6996" s="2" t="n"/>
      <c r="C6996" s="40" t="n"/>
      <c r="D6996" s="52">
        <f t="array" ref="D6996:W6996">IF(All_Students_Scores!C6994:V6994="","",All_Students_Scores!C6994:V6994)</f>
        <v/>
      </c>
      <c r="E6996" s="57" t="str"/>
      <c r="F6996" s="49" t="str"/>
      <c r="G6996" s="59" t="str"/>
      <c r="H6996" s="64" t="str"/>
      <c r="I6996" s="65" t="str"/>
      <c r="J6996" s="49" t="str"/>
      <c r="K6996" s="41" t="str"/>
      <c r="L6996" s="41" t="str"/>
      <c r="M6996" s="41" t="str"/>
      <c r="N6996" s="41" t="str"/>
      <c r="O6996" s="41" t="str"/>
      <c r="P6996" s="41" t="str"/>
      <c r="Q6996" s="41" t="str"/>
      <c r="R6996" s="41" t="str"/>
      <c r="S6996" s="41" t="str"/>
      <c r="T6996" s="41" t="str"/>
      <c r="U6996" s="41" t="str"/>
      <c r="V6996" s="41" t="str"/>
      <c r="W6996" s="41" t="str"/>
    </row>
    <row r="6997">
      <c r="B6997" s="2" t="n"/>
      <c r="C6997" s="40" t="n"/>
      <c r="D6997" s="52">
        <f t="array" ref="D6997:W6997">IF(All_Students_Scores!C6995:V6995="","",All_Students_Scores!C6995:V6995)</f>
        <v/>
      </c>
      <c r="E6997" s="57" t="str"/>
      <c r="F6997" s="49" t="str"/>
      <c r="G6997" s="59" t="str"/>
      <c r="H6997" s="64" t="str"/>
      <c r="I6997" s="65" t="str"/>
      <c r="J6997" s="49" t="str"/>
      <c r="K6997" s="41" t="str"/>
      <c r="L6997" s="41" t="str"/>
      <c r="M6997" s="41" t="str"/>
      <c r="N6997" s="41" t="str"/>
      <c r="O6997" s="41" t="str"/>
      <c r="P6997" s="41" t="str"/>
      <c r="Q6997" s="41" t="str"/>
      <c r="R6997" s="41" t="str"/>
      <c r="S6997" s="41" t="str"/>
      <c r="T6997" s="41" t="str"/>
      <c r="U6997" s="41" t="str"/>
      <c r="V6997" s="41" t="str"/>
      <c r="W6997" s="41" t="str"/>
    </row>
    <row r="6998">
      <c r="B6998" s="2" t="n"/>
      <c r="C6998" s="40" t="n"/>
      <c r="D6998" s="52">
        <f t="array" ref="D6998:W6998">IF(All_Students_Scores!C6996:V6996="","",All_Students_Scores!C6996:V6996)</f>
        <v/>
      </c>
      <c r="E6998" s="57" t="str"/>
      <c r="F6998" s="49" t="str"/>
      <c r="G6998" s="59" t="str"/>
      <c r="H6998" s="64" t="str"/>
      <c r="I6998" s="65" t="str"/>
      <c r="J6998" s="49" t="str"/>
      <c r="K6998" s="41" t="str"/>
      <c r="L6998" s="41" t="str"/>
      <c r="M6998" s="41" t="str"/>
      <c r="N6998" s="41" t="str"/>
      <c r="O6998" s="41" t="str"/>
      <c r="P6998" s="41" t="str"/>
      <c r="Q6998" s="41" t="str"/>
      <c r="R6998" s="41" t="str"/>
      <c r="S6998" s="41" t="str"/>
      <c r="T6998" s="41" t="str"/>
      <c r="U6998" s="41" t="str"/>
      <c r="V6998" s="41" t="str"/>
      <c r="W6998" s="41" t="str"/>
    </row>
    <row r="6999">
      <c r="B6999" s="2" t="n"/>
      <c r="C6999" s="40" t="n"/>
      <c r="D6999" s="52">
        <f t="array" ref="D6999:W6999">IF(All_Students_Scores!C6997:V6997="","",All_Students_Scores!C6997:V6997)</f>
        <v/>
      </c>
      <c r="E6999" s="57" t="str"/>
      <c r="F6999" s="49" t="str"/>
      <c r="G6999" s="59" t="str"/>
      <c r="H6999" s="64" t="str"/>
      <c r="I6999" s="65" t="str"/>
      <c r="J6999" s="49" t="str"/>
      <c r="K6999" s="41" t="str"/>
      <c r="L6999" s="41" t="str"/>
      <c r="M6999" s="41" t="str"/>
      <c r="N6999" s="41" t="str"/>
      <c r="O6999" s="41" t="str"/>
      <c r="P6999" s="41" t="str"/>
      <c r="Q6999" s="41" t="str"/>
      <c r="R6999" s="41" t="str"/>
      <c r="S6999" s="41" t="str"/>
      <c r="T6999" s="41" t="str"/>
      <c r="U6999" s="41" t="str"/>
      <c r="V6999" s="41" t="str"/>
      <c r="W6999" s="41" t="str"/>
    </row>
    <row r="7000">
      <c r="B7000" s="2" t="n"/>
      <c r="C7000" s="40" t="n"/>
      <c r="D7000" s="52">
        <f t="array" ref="D7000:W7000">IF(All_Students_Scores!C6998:V6998="","",All_Students_Scores!C6998:V6998)</f>
        <v/>
      </c>
      <c r="E7000" s="57" t="str"/>
      <c r="F7000" s="49" t="str"/>
      <c r="G7000" s="59" t="str"/>
      <c r="H7000" s="64" t="str"/>
      <c r="I7000" s="65" t="str"/>
      <c r="J7000" s="49" t="str"/>
      <c r="K7000" s="41" t="str"/>
      <c r="L7000" s="41" t="str"/>
      <c r="M7000" s="41" t="str"/>
      <c r="N7000" s="41" t="str"/>
      <c r="O7000" s="41" t="str"/>
      <c r="P7000" s="41" t="str"/>
      <c r="Q7000" s="41" t="str"/>
      <c r="R7000" s="41" t="str"/>
      <c r="S7000" s="41" t="str"/>
      <c r="T7000" s="41" t="str"/>
      <c r="U7000" s="41" t="str"/>
      <c r="V7000" s="41" t="str"/>
      <c r="W7000" s="41" t="str"/>
    </row>
    <row r="7001">
      <c r="B7001" s="2" t="n"/>
      <c r="C7001" s="40" t="n"/>
      <c r="D7001" s="52">
        <f t="array" ref="D7001:W7001">IF(All_Students_Scores!C6999:V6999="","",All_Students_Scores!C6999:V6999)</f>
        <v/>
      </c>
      <c r="E7001" s="57" t="str"/>
      <c r="F7001" s="49" t="str"/>
      <c r="G7001" s="59" t="str"/>
      <c r="H7001" s="64" t="str"/>
      <c r="I7001" s="65" t="str"/>
      <c r="J7001" s="49" t="str"/>
      <c r="K7001" s="41" t="str"/>
      <c r="L7001" s="41" t="str"/>
      <c r="M7001" s="41" t="str"/>
      <c r="N7001" s="41" t="str"/>
      <c r="O7001" s="41" t="str"/>
      <c r="P7001" s="41" t="str"/>
      <c r="Q7001" s="41" t="str"/>
      <c r="R7001" s="41" t="str"/>
      <c r="S7001" s="41" t="str"/>
      <c r="T7001" s="41" t="str"/>
      <c r="U7001" s="41" t="str"/>
      <c r="V7001" s="41" t="str"/>
      <c r="W7001" s="41" t="str"/>
    </row>
    <row r="7002">
      <c r="B7002" s="2" t="n"/>
      <c r="C7002" s="40" t="n"/>
      <c r="D7002" s="52">
        <f t="array" ref="D7002:W7002">IF(All_Students_Scores!C7000:V7000="","",All_Students_Scores!C7000:V7000)</f>
        <v/>
      </c>
      <c r="E7002" s="57" t="str"/>
      <c r="F7002" s="49" t="str"/>
      <c r="G7002" s="59" t="str"/>
      <c r="H7002" s="64" t="str"/>
      <c r="I7002" s="65" t="str"/>
      <c r="J7002" s="49" t="str"/>
      <c r="K7002" s="41" t="str"/>
      <c r="L7002" s="41" t="str"/>
      <c r="M7002" s="41" t="str"/>
      <c r="N7002" s="41" t="str"/>
      <c r="O7002" s="41" t="str"/>
      <c r="P7002" s="41" t="str"/>
      <c r="Q7002" s="41" t="str"/>
      <c r="R7002" s="41" t="str"/>
      <c r="S7002" s="41" t="str"/>
      <c r="T7002" s="41" t="str"/>
      <c r="U7002" s="41" t="str"/>
      <c r="V7002" s="41" t="str"/>
      <c r="W7002" s="41" t="str"/>
    </row>
    <row r="7003">
      <c r="B7003" s="2" t="n"/>
      <c r="C7003" s="40" t="n"/>
      <c r="D7003" s="52">
        <f t="array" ref="D7003:W7003">IF(All_Students_Scores!C7001:V7001="","",All_Students_Scores!C7001:V7001)</f>
        <v/>
      </c>
      <c r="E7003" s="57" t="str"/>
      <c r="F7003" s="49" t="str"/>
      <c r="G7003" s="59" t="str"/>
      <c r="H7003" s="64" t="str"/>
      <c r="I7003" s="65" t="str"/>
      <c r="J7003" s="49" t="str"/>
      <c r="K7003" s="41" t="str"/>
      <c r="L7003" s="41" t="str"/>
      <c r="M7003" s="41" t="str"/>
      <c r="N7003" s="41" t="str"/>
      <c r="O7003" s="41" t="str"/>
      <c r="P7003" s="41" t="str"/>
      <c r="Q7003" s="41" t="str"/>
      <c r="R7003" s="41" t="str"/>
      <c r="S7003" s="41" t="str"/>
      <c r="T7003" s="41" t="str"/>
      <c r="U7003" s="41" t="str"/>
      <c r="V7003" s="41" t="str"/>
      <c r="W7003" s="41" t="str"/>
    </row>
    <row r="7004">
      <c r="B7004" s="2" t="n"/>
      <c r="C7004" s="40" t="n"/>
      <c r="D7004" s="52">
        <f t="array" ref="D7004:W7004">IF(All_Students_Scores!C7002:V7002="","",All_Students_Scores!C7002:V7002)</f>
        <v/>
      </c>
      <c r="E7004" s="57" t="str"/>
      <c r="F7004" s="49" t="str"/>
      <c r="G7004" s="59" t="str"/>
      <c r="H7004" s="64" t="str"/>
      <c r="I7004" s="65" t="str"/>
      <c r="J7004" s="49" t="str"/>
      <c r="K7004" s="41" t="str"/>
      <c r="L7004" s="41" t="str"/>
      <c r="M7004" s="41" t="str"/>
      <c r="N7004" s="41" t="str"/>
      <c r="O7004" s="41" t="str"/>
      <c r="P7004" s="41" t="str"/>
      <c r="Q7004" s="41" t="str"/>
      <c r="R7004" s="41" t="str"/>
      <c r="S7004" s="41" t="str"/>
      <c r="T7004" s="41" t="str"/>
      <c r="U7004" s="41" t="str"/>
      <c r="V7004" s="41" t="str"/>
      <c r="W7004" s="41" t="str"/>
    </row>
    <row r="7005">
      <c r="B7005" s="2" t="n"/>
      <c r="C7005" s="40" t="n"/>
      <c r="D7005" s="52">
        <f t="array" ref="D7005:W7005">IF(All_Students_Scores!C7003:V7003="","",All_Students_Scores!C7003:V7003)</f>
        <v/>
      </c>
      <c r="E7005" s="57" t="str"/>
      <c r="F7005" s="49" t="str"/>
      <c r="G7005" s="59" t="str"/>
      <c r="H7005" s="64" t="str"/>
      <c r="I7005" s="65" t="str"/>
      <c r="J7005" s="49" t="str"/>
      <c r="K7005" s="41" t="str"/>
      <c r="L7005" s="41" t="str"/>
      <c r="M7005" s="41" t="str"/>
      <c r="N7005" s="41" t="str"/>
      <c r="O7005" s="41" t="str"/>
      <c r="P7005" s="41" t="str"/>
      <c r="Q7005" s="41" t="str"/>
      <c r="R7005" s="41" t="str"/>
      <c r="S7005" s="41" t="str"/>
      <c r="T7005" s="41" t="str"/>
      <c r="U7005" s="41" t="str"/>
      <c r="V7005" s="41" t="str"/>
      <c r="W7005" s="41" t="str"/>
    </row>
    <row r="7006">
      <c r="B7006" s="2" t="n"/>
      <c r="C7006" s="40" t="n"/>
      <c r="D7006" s="52">
        <f t="array" ref="D7006:W7006">IF(All_Students_Scores!C7004:V7004="","",All_Students_Scores!C7004:V7004)</f>
        <v/>
      </c>
      <c r="E7006" s="57" t="str"/>
      <c r="F7006" s="49" t="str"/>
      <c r="G7006" s="59" t="str"/>
      <c r="H7006" s="64" t="str"/>
      <c r="I7006" s="65" t="str"/>
      <c r="J7006" s="49" t="str"/>
      <c r="K7006" s="41" t="str"/>
      <c r="L7006" s="41" t="str"/>
      <c r="M7006" s="41" t="str"/>
      <c r="N7006" s="41" t="str"/>
      <c r="O7006" s="41" t="str"/>
      <c r="P7006" s="41" t="str"/>
      <c r="Q7006" s="41" t="str"/>
      <c r="R7006" s="41" t="str"/>
      <c r="S7006" s="41" t="str"/>
      <c r="T7006" s="41" t="str"/>
      <c r="U7006" s="41" t="str"/>
      <c r="V7006" s="41" t="str"/>
      <c r="W7006" s="41" t="str"/>
    </row>
    <row r="7007">
      <c r="B7007" s="2" t="n"/>
      <c r="C7007" s="40" t="n"/>
      <c r="D7007" s="52">
        <f t="array" ref="D7007:W7007">IF(All_Students_Scores!C7005:V7005="","",All_Students_Scores!C7005:V7005)</f>
        <v/>
      </c>
      <c r="E7007" s="57" t="str"/>
      <c r="F7007" s="49" t="str"/>
      <c r="G7007" s="59" t="str"/>
      <c r="H7007" s="64" t="str"/>
      <c r="I7007" s="65" t="str"/>
      <c r="J7007" s="49" t="str"/>
      <c r="K7007" s="41" t="str"/>
      <c r="L7007" s="41" t="str"/>
      <c r="M7007" s="41" t="str"/>
      <c r="N7007" s="41" t="str"/>
      <c r="O7007" s="41" t="str"/>
      <c r="P7007" s="41" t="str"/>
      <c r="Q7007" s="41" t="str"/>
      <c r="R7007" s="41" t="str"/>
      <c r="S7007" s="41" t="str"/>
      <c r="T7007" s="41" t="str"/>
      <c r="U7007" s="41" t="str"/>
      <c r="V7007" s="41" t="str"/>
      <c r="W7007" s="41" t="str"/>
    </row>
    <row r="7008">
      <c r="B7008" s="2" t="n"/>
      <c r="C7008" s="40" t="n"/>
      <c r="D7008" s="52">
        <f t="array" ref="D7008:W7008">IF(All_Students_Scores!C7006:V7006="","",All_Students_Scores!C7006:V7006)</f>
        <v/>
      </c>
      <c r="E7008" s="57" t="str"/>
      <c r="F7008" s="49" t="str"/>
      <c r="G7008" s="59" t="str"/>
      <c r="H7008" s="64" t="str"/>
      <c r="I7008" s="65" t="str"/>
      <c r="J7008" s="49" t="str"/>
      <c r="K7008" s="41" t="str"/>
      <c r="L7008" s="41" t="str"/>
      <c r="M7008" s="41" t="str"/>
      <c r="N7008" s="41" t="str"/>
      <c r="O7008" s="41" t="str"/>
      <c r="P7008" s="41" t="str"/>
      <c r="Q7008" s="41" t="str"/>
      <c r="R7008" s="41" t="str"/>
      <c r="S7008" s="41" t="str"/>
      <c r="T7008" s="41" t="str"/>
      <c r="U7008" s="41" t="str"/>
      <c r="V7008" s="41" t="str"/>
      <c r="W7008" s="41" t="str"/>
    </row>
    <row r="7009">
      <c r="B7009" s="2" t="n"/>
      <c r="C7009" s="40" t="n"/>
      <c r="D7009" s="52">
        <f t="array" ref="D7009:W7009">IF(All_Students_Scores!C7007:V7007="","",All_Students_Scores!C7007:V7007)</f>
        <v/>
      </c>
      <c r="E7009" s="57" t="str"/>
      <c r="F7009" s="49" t="str"/>
      <c r="G7009" s="59" t="str"/>
      <c r="H7009" s="64" t="str"/>
      <c r="I7009" s="65" t="str"/>
      <c r="J7009" s="49" t="str"/>
      <c r="K7009" s="41" t="str"/>
      <c r="L7009" s="41" t="str"/>
      <c r="M7009" s="41" t="str"/>
      <c r="N7009" s="41" t="str"/>
      <c r="O7009" s="41" t="str"/>
      <c r="P7009" s="41" t="str"/>
      <c r="Q7009" s="41" t="str"/>
      <c r="R7009" s="41" t="str"/>
      <c r="S7009" s="41" t="str"/>
      <c r="T7009" s="41" t="str"/>
      <c r="U7009" s="41" t="str"/>
      <c r="V7009" s="41" t="str"/>
      <c r="W7009" s="41" t="str"/>
    </row>
    <row r="7010">
      <c r="B7010" s="2" t="n"/>
      <c r="C7010" s="40" t="n"/>
      <c r="D7010" s="52">
        <f t="array" ref="D7010:W7010">IF(All_Students_Scores!C7008:V7008="","",All_Students_Scores!C7008:V7008)</f>
        <v/>
      </c>
      <c r="E7010" s="57" t="str"/>
      <c r="F7010" s="49" t="str"/>
      <c r="G7010" s="59" t="str"/>
      <c r="H7010" s="64" t="str"/>
      <c r="I7010" s="65" t="str"/>
      <c r="J7010" s="49" t="str"/>
      <c r="K7010" s="41" t="str"/>
      <c r="L7010" s="41" t="str"/>
      <c r="M7010" s="41" t="str"/>
      <c r="N7010" s="41" t="str"/>
      <c r="O7010" s="41" t="str"/>
      <c r="P7010" s="41" t="str"/>
      <c r="Q7010" s="41" t="str"/>
      <c r="R7010" s="41" t="str"/>
      <c r="S7010" s="41" t="str"/>
      <c r="T7010" s="41" t="str"/>
      <c r="U7010" s="41" t="str"/>
      <c r="V7010" s="41" t="str"/>
      <c r="W7010" s="41" t="str"/>
    </row>
    <row r="7011">
      <c r="B7011" s="2" t="n"/>
      <c r="C7011" s="40" t="n"/>
      <c r="D7011" s="52">
        <f t="array" ref="D7011:W7011">IF(All_Students_Scores!C7009:V7009="","",All_Students_Scores!C7009:V7009)</f>
        <v/>
      </c>
      <c r="E7011" s="57" t="str"/>
      <c r="F7011" s="49" t="str"/>
      <c r="G7011" s="59" t="str"/>
      <c r="H7011" s="64" t="str"/>
      <c r="I7011" s="65" t="str"/>
      <c r="J7011" s="49" t="str"/>
      <c r="K7011" s="41" t="str"/>
      <c r="L7011" s="41" t="str"/>
      <c r="M7011" s="41" t="str"/>
      <c r="N7011" s="41" t="str"/>
      <c r="O7011" s="41" t="str"/>
      <c r="P7011" s="41" t="str"/>
      <c r="Q7011" s="41" t="str"/>
      <c r="R7011" s="41" t="str"/>
      <c r="S7011" s="41" t="str"/>
      <c r="T7011" s="41" t="str"/>
      <c r="U7011" s="41" t="str"/>
      <c r="V7011" s="41" t="str"/>
      <c r="W7011" s="41" t="str"/>
    </row>
    <row r="7012">
      <c r="B7012" s="2" t="n"/>
      <c r="C7012" s="40" t="n"/>
      <c r="D7012" s="52">
        <f t="array" ref="D7012:W7012">IF(All_Students_Scores!C7010:V7010="","",All_Students_Scores!C7010:V7010)</f>
        <v/>
      </c>
      <c r="E7012" s="57" t="str"/>
      <c r="F7012" s="49" t="str"/>
      <c r="G7012" s="59" t="str"/>
      <c r="H7012" s="64" t="str"/>
      <c r="I7012" s="65" t="str"/>
      <c r="J7012" s="49" t="str"/>
      <c r="K7012" s="41" t="str"/>
      <c r="L7012" s="41" t="str"/>
      <c r="M7012" s="41" t="str"/>
      <c r="N7012" s="41" t="str"/>
      <c r="O7012" s="41" t="str"/>
      <c r="P7012" s="41" t="str"/>
      <c r="Q7012" s="41" t="str"/>
      <c r="R7012" s="41" t="str"/>
      <c r="S7012" s="41" t="str"/>
      <c r="T7012" s="41" t="str"/>
      <c r="U7012" s="41" t="str"/>
      <c r="V7012" s="41" t="str"/>
      <c r="W7012" s="41" t="str"/>
    </row>
    <row r="7013">
      <c r="B7013" s="2" t="n"/>
      <c r="C7013" s="40" t="n"/>
      <c r="D7013" s="52">
        <f t="array" ref="D7013:W7013">IF(All_Students_Scores!C7011:V7011="","",All_Students_Scores!C7011:V7011)</f>
        <v/>
      </c>
      <c r="E7013" s="57" t="str"/>
      <c r="F7013" s="49" t="str"/>
      <c r="G7013" s="59" t="str"/>
      <c r="H7013" s="64" t="str"/>
      <c r="I7013" s="65" t="str"/>
      <c r="J7013" s="49" t="str"/>
      <c r="K7013" s="41" t="str"/>
      <c r="L7013" s="41" t="str"/>
      <c r="M7013" s="41" t="str"/>
      <c r="N7013" s="41" t="str"/>
      <c r="O7013" s="41" t="str"/>
      <c r="P7013" s="41" t="str"/>
      <c r="Q7013" s="41" t="str"/>
      <c r="R7013" s="41" t="str"/>
      <c r="S7013" s="41" t="str"/>
      <c r="T7013" s="41" t="str"/>
      <c r="U7013" s="41" t="str"/>
      <c r="V7013" s="41" t="str"/>
      <c r="W7013" s="41" t="str"/>
    </row>
    <row r="7014">
      <c r="B7014" s="2" t="n"/>
      <c r="C7014" s="40" t="n"/>
      <c r="D7014" s="52">
        <f t="array" ref="D7014:W7014">IF(All_Students_Scores!C7012:V7012="","",All_Students_Scores!C7012:V7012)</f>
        <v/>
      </c>
      <c r="E7014" s="57" t="str"/>
      <c r="F7014" s="49" t="str"/>
      <c r="G7014" s="59" t="str"/>
      <c r="H7014" s="64" t="str"/>
      <c r="I7014" s="65" t="str"/>
      <c r="J7014" s="49" t="str"/>
      <c r="K7014" s="41" t="str"/>
      <c r="L7014" s="41" t="str"/>
      <c r="M7014" s="41" t="str"/>
      <c r="N7014" s="41" t="str"/>
      <c r="O7014" s="41" t="str"/>
      <c r="P7014" s="41" t="str"/>
      <c r="Q7014" s="41" t="str"/>
      <c r="R7014" s="41" t="str"/>
      <c r="S7014" s="41" t="str"/>
      <c r="T7014" s="41" t="str"/>
      <c r="U7014" s="41" t="str"/>
      <c r="V7014" s="41" t="str"/>
      <c r="W7014" s="41" t="str"/>
    </row>
    <row r="7015">
      <c r="B7015" s="2" t="n"/>
      <c r="C7015" s="40" t="n"/>
      <c r="D7015" s="52">
        <f t="array" ref="D7015:W7015">IF(All_Students_Scores!C7013:V7013="","",All_Students_Scores!C7013:V7013)</f>
        <v/>
      </c>
      <c r="E7015" s="57" t="str"/>
      <c r="F7015" s="49" t="str"/>
      <c r="G7015" s="59" t="str"/>
      <c r="H7015" s="64" t="str"/>
      <c r="I7015" s="65" t="str"/>
      <c r="J7015" s="49" t="str"/>
      <c r="K7015" s="41" t="str"/>
      <c r="L7015" s="41" t="str"/>
      <c r="M7015" s="41" t="str"/>
      <c r="N7015" s="41" t="str"/>
      <c r="O7015" s="41" t="str"/>
      <c r="P7015" s="41" t="str"/>
      <c r="Q7015" s="41" t="str"/>
      <c r="R7015" s="41" t="str"/>
      <c r="S7015" s="41" t="str"/>
      <c r="T7015" s="41" t="str"/>
      <c r="U7015" s="41" t="str"/>
      <c r="V7015" s="41" t="str"/>
      <c r="W7015" s="41" t="str"/>
    </row>
    <row r="7016">
      <c r="B7016" s="2" t="n"/>
      <c r="C7016" s="40" t="n"/>
      <c r="D7016" s="52">
        <f t="array" ref="D7016:W7016">IF(All_Students_Scores!C7014:V7014="","",All_Students_Scores!C7014:V7014)</f>
        <v/>
      </c>
      <c r="E7016" s="57" t="str"/>
      <c r="F7016" s="49" t="str"/>
      <c r="G7016" s="59" t="str"/>
      <c r="H7016" s="64" t="str"/>
      <c r="I7016" s="65" t="str"/>
      <c r="J7016" s="49" t="str"/>
      <c r="K7016" s="41" t="str"/>
      <c r="L7016" s="41" t="str"/>
      <c r="M7016" s="41" t="str"/>
      <c r="N7016" s="41" t="str"/>
      <c r="O7016" s="41" t="str"/>
      <c r="P7016" s="41" t="str"/>
      <c r="Q7016" s="41" t="str"/>
      <c r="R7016" s="41" t="str"/>
      <c r="S7016" s="41" t="str"/>
      <c r="T7016" s="41" t="str"/>
      <c r="U7016" s="41" t="str"/>
      <c r="V7016" s="41" t="str"/>
      <c r="W7016" s="41" t="str"/>
    </row>
    <row r="7017">
      <c r="B7017" s="2" t="n"/>
      <c r="C7017" s="40" t="n"/>
      <c r="D7017" s="52">
        <f t="array" ref="D7017:W7017">IF(All_Students_Scores!C7015:V7015="","",All_Students_Scores!C7015:V7015)</f>
        <v/>
      </c>
      <c r="E7017" s="57" t="str"/>
      <c r="F7017" s="49" t="str"/>
      <c r="G7017" s="59" t="str"/>
      <c r="H7017" s="64" t="str"/>
      <c r="I7017" s="65" t="str"/>
      <c r="J7017" s="49" t="str"/>
      <c r="K7017" s="41" t="str"/>
      <c r="L7017" s="41" t="str"/>
      <c r="M7017" s="41" t="str"/>
      <c r="N7017" s="41" t="str"/>
      <c r="O7017" s="41" t="str"/>
      <c r="P7017" s="41" t="str"/>
      <c r="Q7017" s="41" t="str"/>
      <c r="R7017" s="41" t="str"/>
      <c r="S7017" s="41" t="str"/>
      <c r="T7017" s="41" t="str"/>
      <c r="U7017" s="41" t="str"/>
      <c r="V7017" s="41" t="str"/>
      <c r="W7017" s="41" t="str"/>
    </row>
    <row r="7018">
      <c r="B7018" s="2" t="n"/>
      <c r="C7018" s="40" t="n"/>
      <c r="D7018" s="52">
        <f t="array" ref="D7018:W7018">IF(All_Students_Scores!C7016:V7016="","",All_Students_Scores!C7016:V7016)</f>
        <v/>
      </c>
      <c r="E7018" s="57" t="str"/>
      <c r="F7018" s="49" t="str"/>
      <c r="G7018" s="59" t="str"/>
      <c r="H7018" s="64" t="str"/>
      <c r="I7018" s="65" t="str"/>
      <c r="J7018" s="49" t="str"/>
      <c r="K7018" s="41" t="str"/>
      <c r="L7018" s="41" t="str"/>
      <c r="M7018" s="41" t="str"/>
      <c r="N7018" s="41" t="str"/>
      <c r="O7018" s="41" t="str"/>
      <c r="P7018" s="41" t="str"/>
      <c r="Q7018" s="41" t="str"/>
      <c r="R7018" s="41" t="str"/>
      <c r="S7018" s="41" t="str"/>
      <c r="T7018" s="41" t="str"/>
      <c r="U7018" s="41" t="str"/>
      <c r="V7018" s="41" t="str"/>
      <c r="W7018" s="41" t="str"/>
    </row>
    <row r="7019">
      <c r="B7019" s="2" t="n"/>
      <c r="C7019" s="40" t="n"/>
      <c r="D7019" s="52">
        <f t="array" ref="D7019:W7019">IF(All_Students_Scores!C7017:V7017="","",All_Students_Scores!C7017:V7017)</f>
        <v/>
      </c>
      <c r="E7019" s="57" t="str"/>
      <c r="F7019" s="49" t="str"/>
      <c r="G7019" s="59" t="str"/>
      <c r="H7019" s="64" t="str"/>
      <c r="I7019" s="65" t="str"/>
      <c r="J7019" s="49" t="str"/>
      <c r="K7019" s="41" t="str"/>
      <c r="L7019" s="41" t="str"/>
      <c r="M7019" s="41" t="str"/>
      <c r="N7019" s="41" t="str"/>
      <c r="O7019" s="41" t="str"/>
      <c r="P7019" s="41" t="str"/>
      <c r="Q7019" s="41" t="str"/>
      <c r="R7019" s="41" t="str"/>
      <c r="S7019" s="41" t="str"/>
      <c r="T7019" s="41" t="str"/>
      <c r="U7019" s="41" t="str"/>
      <c r="V7019" s="41" t="str"/>
      <c r="W7019" s="41" t="str"/>
    </row>
    <row r="7020">
      <c r="B7020" s="2" t="n"/>
      <c r="C7020" s="40" t="n"/>
      <c r="D7020" s="52">
        <f t="array" ref="D7020:W7020">IF(All_Students_Scores!C7018:V7018="","",All_Students_Scores!C7018:V7018)</f>
        <v/>
      </c>
      <c r="E7020" s="57" t="str"/>
      <c r="F7020" s="49" t="str"/>
      <c r="G7020" s="59" t="str"/>
      <c r="H7020" s="64" t="str"/>
      <c r="I7020" s="65" t="str"/>
      <c r="J7020" s="49" t="str"/>
      <c r="K7020" s="41" t="str"/>
      <c r="L7020" s="41" t="str"/>
      <c r="M7020" s="41" t="str"/>
      <c r="N7020" s="41" t="str"/>
      <c r="O7020" s="41" t="str"/>
      <c r="P7020" s="41" t="str"/>
      <c r="Q7020" s="41" t="str"/>
      <c r="R7020" s="41" t="str"/>
      <c r="S7020" s="41" t="str"/>
      <c r="T7020" s="41" t="str"/>
      <c r="U7020" s="41" t="str"/>
      <c r="V7020" s="41" t="str"/>
      <c r="W7020" s="41" t="str"/>
    </row>
    <row r="7021">
      <c r="B7021" s="2" t="n"/>
      <c r="C7021" s="40" t="n"/>
      <c r="D7021" s="52">
        <f t="array" ref="D7021:W7021">IF(All_Students_Scores!C7019:V7019="","",All_Students_Scores!C7019:V7019)</f>
        <v/>
      </c>
      <c r="E7021" s="57" t="str"/>
      <c r="F7021" s="49" t="str"/>
      <c r="G7021" s="59" t="str"/>
      <c r="H7021" s="64" t="str"/>
      <c r="I7021" s="65" t="str"/>
      <c r="J7021" s="49" t="str"/>
      <c r="K7021" s="41" t="str"/>
      <c r="L7021" s="41" t="str"/>
      <c r="M7021" s="41" t="str"/>
      <c r="N7021" s="41" t="str"/>
      <c r="O7021" s="41" t="str"/>
      <c r="P7021" s="41" t="str"/>
      <c r="Q7021" s="41" t="str"/>
      <c r="R7021" s="41" t="str"/>
      <c r="S7021" s="41" t="str"/>
      <c r="T7021" s="41" t="str"/>
      <c r="U7021" s="41" t="str"/>
      <c r="V7021" s="41" t="str"/>
      <c r="W7021" s="41" t="str"/>
    </row>
    <row r="7022">
      <c r="B7022" s="2" t="n"/>
      <c r="C7022" s="40" t="n"/>
      <c r="D7022" s="52">
        <f t="array" ref="D7022:W7022">IF(All_Students_Scores!C7020:V7020="","",All_Students_Scores!C7020:V7020)</f>
        <v/>
      </c>
      <c r="E7022" s="57" t="str"/>
      <c r="F7022" s="49" t="str"/>
      <c r="G7022" s="59" t="str"/>
      <c r="H7022" s="64" t="str"/>
      <c r="I7022" s="65" t="str"/>
      <c r="J7022" s="49" t="str"/>
      <c r="K7022" s="41" t="str"/>
      <c r="L7022" s="41" t="str"/>
      <c r="M7022" s="41" t="str"/>
      <c r="N7022" s="41" t="str"/>
      <c r="O7022" s="41" t="str"/>
      <c r="P7022" s="41" t="str"/>
      <c r="Q7022" s="41" t="str"/>
      <c r="R7022" s="41" t="str"/>
      <c r="S7022" s="41" t="str"/>
      <c r="T7022" s="41" t="str"/>
      <c r="U7022" s="41" t="str"/>
      <c r="V7022" s="41" t="str"/>
      <c r="W7022" s="41" t="str"/>
    </row>
    <row r="7023">
      <c r="B7023" s="2" t="n"/>
      <c r="C7023" s="40" t="n"/>
      <c r="D7023" s="52">
        <f t="array" ref="D7023:W7023">IF(All_Students_Scores!C7021:V7021="","",All_Students_Scores!C7021:V7021)</f>
        <v/>
      </c>
      <c r="E7023" s="57" t="str"/>
      <c r="F7023" s="49" t="str"/>
      <c r="G7023" s="59" t="str"/>
      <c r="H7023" s="64" t="str"/>
      <c r="I7023" s="65" t="str"/>
      <c r="J7023" s="49" t="str"/>
      <c r="K7023" s="41" t="str"/>
      <c r="L7023" s="41" t="str"/>
      <c r="M7023" s="41" t="str"/>
      <c r="N7023" s="41" t="str"/>
      <c r="O7023" s="41" t="str"/>
      <c r="P7023" s="41" t="str"/>
      <c r="Q7023" s="41" t="str"/>
      <c r="R7023" s="41" t="str"/>
      <c r="S7023" s="41" t="str"/>
      <c r="T7023" s="41" t="str"/>
      <c r="U7023" s="41" t="str"/>
      <c r="V7023" s="41" t="str"/>
      <c r="W7023" s="41" t="str"/>
    </row>
    <row r="7024">
      <c r="B7024" s="2" t="n"/>
      <c r="C7024" s="40" t="n"/>
      <c r="D7024" s="52">
        <f t="array" ref="D7024:W7024">IF(All_Students_Scores!C7022:V7022="","",All_Students_Scores!C7022:V7022)</f>
        <v/>
      </c>
      <c r="E7024" s="57" t="str"/>
      <c r="F7024" s="49" t="str"/>
      <c r="G7024" s="59" t="str"/>
      <c r="H7024" s="64" t="str"/>
      <c r="I7024" s="65" t="str"/>
      <c r="J7024" s="49" t="str"/>
      <c r="K7024" s="41" t="str"/>
      <c r="L7024" s="41" t="str"/>
      <c r="M7024" s="41" t="str"/>
      <c r="N7024" s="41" t="str"/>
      <c r="O7024" s="41" t="str"/>
      <c r="P7024" s="41" t="str"/>
      <c r="Q7024" s="41" t="str"/>
      <c r="R7024" s="41" t="str"/>
      <c r="S7024" s="41" t="str"/>
      <c r="T7024" s="41" t="str"/>
      <c r="U7024" s="41" t="str"/>
      <c r="V7024" s="41" t="str"/>
      <c r="W7024" s="41" t="str"/>
    </row>
    <row r="7025">
      <c r="B7025" s="2" t="n"/>
      <c r="C7025" s="40" t="n"/>
      <c r="D7025" s="52">
        <f t="array" ref="D7025:W7025">IF(All_Students_Scores!C7023:V7023="","",All_Students_Scores!C7023:V7023)</f>
        <v/>
      </c>
      <c r="E7025" s="57" t="str"/>
      <c r="F7025" s="49" t="str"/>
      <c r="G7025" s="59" t="str"/>
      <c r="H7025" s="64" t="str"/>
      <c r="I7025" s="65" t="str"/>
      <c r="J7025" s="49" t="str"/>
      <c r="K7025" s="41" t="str"/>
      <c r="L7025" s="41" t="str"/>
      <c r="M7025" s="41" t="str"/>
      <c r="N7025" s="41" t="str"/>
      <c r="O7025" s="41" t="str"/>
      <c r="P7025" s="41" t="str"/>
      <c r="Q7025" s="41" t="str"/>
      <c r="R7025" s="41" t="str"/>
      <c r="S7025" s="41" t="str"/>
      <c r="T7025" s="41" t="str"/>
      <c r="U7025" s="41" t="str"/>
      <c r="V7025" s="41" t="str"/>
      <c r="W7025" s="41" t="str"/>
    </row>
    <row r="7026">
      <c r="B7026" s="2" t="n"/>
      <c r="C7026" s="40" t="n"/>
      <c r="D7026" s="52">
        <f t="array" ref="D7026:W7026">IF(All_Students_Scores!C7024:V7024="","",All_Students_Scores!C7024:V7024)</f>
        <v/>
      </c>
      <c r="E7026" s="57" t="str"/>
      <c r="F7026" s="49" t="str"/>
      <c r="G7026" s="59" t="str"/>
      <c r="H7026" s="64" t="str"/>
      <c r="I7026" s="65" t="str"/>
      <c r="J7026" s="49" t="str"/>
      <c r="K7026" s="41" t="str"/>
      <c r="L7026" s="41" t="str"/>
      <c r="M7026" s="41" t="str"/>
      <c r="N7026" s="41" t="str"/>
      <c r="O7026" s="41" t="str"/>
      <c r="P7026" s="41" t="str"/>
      <c r="Q7026" s="41" t="str"/>
      <c r="R7026" s="41" t="str"/>
      <c r="S7026" s="41" t="str"/>
      <c r="T7026" s="41" t="str"/>
      <c r="U7026" s="41" t="str"/>
      <c r="V7026" s="41" t="str"/>
      <c r="W7026" s="41" t="str"/>
    </row>
    <row r="7027">
      <c r="B7027" s="2" t="n"/>
      <c r="C7027" s="40" t="n"/>
      <c r="D7027" s="52">
        <f t="array" ref="D7027:W7027">IF(All_Students_Scores!C7025:V7025="","",All_Students_Scores!C7025:V7025)</f>
        <v/>
      </c>
      <c r="E7027" s="57" t="str"/>
      <c r="F7027" s="49" t="str"/>
      <c r="G7027" s="59" t="str"/>
      <c r="H7027" s="64" t="str"/>
      <c r="I7027" s="65" t="str"/>
      <c r="J7027" s="49" t="str"/>
      <c r="K7027" s="41" t="str"/>
      <c r="L7027" s="41" t="str"/>
      <c r="M7027" s="41" t="str"/>
      <c r="N7027" s="41" t="str"/>
      <c r="O7027" s="41" t="str"/>
      <c r="P7027" s="41" t="str"/>
      <c r="Q7027" s="41" t="str"/>
      <c r="R7027" s="41" t="str"/>
      <c r="S7027" s="41" t="str"/>
      <c r="T7027" s="41" t="str"/>
      <c r="U7027" s="41" t="str"/>
      <c r="V7027" s="41" t="str"/>
      <c r="W7027" s="41" t="str"/>
    </row>
    <row r="7028">
      <c r="B7028" s="2" t="n"/>
      <c r="C7028" s="40" t="n"/>
      <c r="D7028" s="52">
        <f t="array" ref="D7028:W7028">IF(All_Students_Scores!C7026:V7026="","",All_Students_Scores!C7026:V7026)</f>
        <v/>
      </c>
      <c r="E7028" s="57" t="str"/>
      <c r="F7028" s="49" t="str"/>
      <c r="G7028" s="59" t="str"/>
      <c r="H7028" s="64" t="str"/>
      <c r="I7028" s="65" t="str"/>
      <c r="J7028" s="49" t="str"/>
      <c r="K7028" s="41" t="str"/>
      <c r="L7028" s="41" t="str"/>
      <c r="M7028" s="41" t="str"/>
      <c r="N7028" s="41" t="str"/>
      <c r="O7028" s="41" t="str"/>
      <c r="P7028" s="41" t="str"/>
      <c r="Q7028" s="41" t="str"/>
      <c r="R7028" s="41" t="str"/>
      <c r="S7028" s="41" t="str"/>
      <c r="T7028" s="41" t="str"/>
      <c r="U7028" s="41" t="str"/>
      <c r="V7028" s="41" t="str"/>
      <c r="W7028" s="41" t="str"/>
    </row>
    <row r="7029">
      <c r="B7029" s="2" t="n"/>
      <c r="C7029" s="40" t="n"/>
      <c r="D7029" s="52">
        <f t="array" ref="D7029:W7029">IF(All_Students_Scores!C7027:V7027="","",All_Students_Scores!C7027:V7027)</f>
        <v/>
      </c>
      <c r="E7029" s="57" t="str"/>
      <c r="F7029" s="49" t="str"/>
      <c r="G7029" s="59" t="str"/>
      <c r="H7029" s="64" t="str"/>
      <c r="I7029" s="65" t="str"/>
      <c r="J7029" s="49" t="str"/>
      <c r="K7029" s="41" t="str"/>
      <c r="L7029" s="41" t="str"/>
      <c r="M7029" s="41" t="str"/>
      <c r="N7029" s="41" t="str"/>
      <c r="O7029" s="41" t="str"/>
      <c r="P7029" s="41" t="str"/>
      <c r="Q7029" s="41" t="str"/>
      <c r="R7029" s="41" t="str"/>
      <c r="S7029" s="41" t="str"/>
      <c r="T7029" s="41" t="str"/>
      <c r="U7029" s="41" t="str"/>
      <c r="V7029" s="41" t="str"/>
      <c r="W7029" s="41" t="str"/>
    </row>
    <row r="7030">
      <c r="B7030" s="2" t="n"/>
      <c r="C7030" s="40" t="n"/>
      <c r="D7030" s="52">
        <f t="array" ref="D7030:W7030">IF(All_Students_Scores!C7028:V7028="","",All_Students_Scores!C7028:V7028)</f>
        <v/>
      </c>
      <c r="E7030" s="57" t="str"/>
      <c r="F7030" s="49" t="str"/>
      <c r="G7030" s="59" t="str"/>
      <c r="H7030" s="64" t="str"/>
      <c r="I7030" s="65" t="str"/>
      <c r="J7030" s="49" t="str"/>
      <c r="K7030" s="41" t="str"/>
      <c r="L7030" s="41" t="str"/>
      <c r="M7030" s="41" t="str"/>
      <c r="N7030" s="41" t="str"/>
      <c r="O7030" s="41" t="str"/>
      <c r="P7030" s="41" t="str"/>
      <c r="Q7030" s="41" t="str"/>
      <c r="R7030" s="41" t="str"/>
      <c r="S7030" s="41" t="str"/>
      <c r="T7030" s="41" t="str"/>
      <c r="U7030" s="41" t="str"/>
      <c r="V7030" s="41" t="str"/>
      <c r="W7030" s="41" t="str"/>
    </row>
    <row r="7031">
      <c r="B7031" s="2" t="n"/>
      <c r="C7031" s="40" t="n"/>
      <c r="D7031" s="52">
        <f t="array" ref="D7031:W7031">IF(All_Students_Scores!C7029:V7029="","",All_Students_Scores!C7029:V7029)</f>
        <v/>
      </c>
      <c r="E7031" s="57" t="str"/>
      <c r="F7031" s="49" t="str"/>
      <c r="G7031" s="59" t="str"/>
      <c r="H7031" s="64" t="str"/>
      <c r="I7031" s="65" t="str"/>
      <c r="J7031" s="49" t="str"/>
      <c r="K7031" s="41" t="str"/>
      <c r="L7031" s="41" t="str"/>
      <c r="M7031" s="41" t="str"/>
      <c r="N7031" s="41" t="str"/>
      <c r="O7031" s="41" t="str"/>
      <c r="P7031" s="41" t="str"/>
      <c r="Q7031" s="41" t="str"/>
      <c r="R7031" s="41" t="str"/>
      <c r="S7031" s="41" t="str"/>
      <c r="T7031" s="41" t="str"/>
      <c r="U7031" s="41" t="str"/>
      <c r="V7031" s="41" t="str"/>
      <c r="W7031" s="41" t="str"/>
    </row>
    <row r="7032">
      <c r="B7032" s="2" t="n"/>
      <c r="C7032" s="40" t="n"/>
      <c r="D7032" s="52">
        <f t="array" ref="D7032:W7032">IF(All_Students_Scores!C7030:V7030="","",All_Students_Scores!C7030:V7030)</f>
        <v/>
      </c>
      <c r="E7032" s="57" t="str"/>
      <c r="F7032" s="49" t="str"/>
      <c r="G7032" s="59" t="str"/>
      <c r="H7032" s="64" t="str"/>
      <c r="I7032" s="65" t="str"/>
      <c r="J7032" s="49" t="str"/>
      <c r="K7032" s="41" t="str"/>
      <c r="L7032" s="41" t="str"/>
      <c r="M7032" s="41" t="str"/>
      <c r="N7032" s="41" t="str"/>
      <c r="O7032" s="41" t="str"/>
      <c r="P7032" s="41" t="str"/>
      <c r="Q7032" s="41" t="str"/>
      <c r="R7032" s="41" t="str"/>
      <c r="S7032" s="41" t="str"/>
      <c r="T7032" s="41" t="str"/>
      <c r="U7032" s="41" t="str"/>
      <c r="V7032" s="41" t="str"/>
      <c r="W7032" s="41" t="str"/>
    </row>
    <row r="7033">
      <c r="B7033" s="2" t="n"/>
      <c r="C7033" s="40" t="n"/>
      <c r="D7033" s="52">
        <f t="array" ref="D7033:W7033">IF(All_Students_Scores!C7031:V7031="","",All_Students_Scores!C7031:V7031)</f>
        <v/>
      </c>
      <c r="E7033" s="57" t="str"/>
      <c r="F7033" s="49" t="str"/>
      <c r="G7033" s="59" t="str"/>
      <c r="H7033" s="64" t="str"/>
      <c r="I7033" s="65" t="str"/>
      <c r="J7033" s="49" t="str"/>
      <c r="K7033" s="41" t="str"/>
      <c r="L7033" s="41" t="str"/>
      <c r="M7033" s="41" t="str"/>
      <c r="N7033" s="41" t="str"/>
      <c r="O7033" s="41" t="str"/>
      <c r="P7033" s="41" t="str"/>
      <c r="Q7033" s="41" t="str"/>
      <c r="R7033" s="41" t="str"/>
      <c r="S7033" s="41" t="str"/>
      <c r="T7033" s="41" t="str"/>
      <c r="U7033" s="41" t="str"/>
      <c r="V7033" s="41" t="str"/>
      <c r="W7033" s="41" t="str"/>
    </row>
    <row r="7034">
      <c r="B7034" s="2" t="n"/>
      <c r="C7034" s="40" t="n"/>
      <c r="D7034" s="52">
        <f t="array" ref="D7034:W7034">IF(All_Students_Scores!C7032:V7032="","",All_Students_Scores!C7032:V7032)</f>
        <v/>
      </c>
      <c r="E7034" s="57" t="str"/>
      <c r="F7034" s="49" t="str"/>
      <c r="G7034" s="59" t="str"/>
      <c r="H7034" s="64" t="str"/>
      <c r="I7034" s="65" t="str"/>
      <c r="J7034" s="49" t="str"/>
      <c r="K7034" s="41" t="str"/>
      <c r="L7034" s="41" t="str"/>
      <c r="M7034" s="41" t="str"/>
      <c r="N7034" s="41" t="str"/>
      <c r="O7034" s="41" t="str"/>
      <c r="P7034" s="41" t="str"/>
      <c r="Q7034" s="41" t="str"/>
      <c r="R7034" s="41" t="str"/>
      <c r="S7034" s="41" t="str"/>
      <c r="T7034" s="41" t="str"/>
      <c r="U7034" s="41" t="str"/>
      <c r="V7034" s="41" t="str"/>
      <c r="W7034" s="41" t="str"/>
    </row>
    <row r="7035">
      <c r="B7035" s="2" t="n"/>
      <c r="C7035" s="40" t="n"/>
      <c r="D7035" s="52">
        <f t="array" ref="D7035:W7035">IF(All_Students_Scores!C7033:V7033="","",All_Students_Scores!C7033:V7033)</f>
        <v/>
      </c>
      <c r="E7035" s="57" t="str"/>
      <c r="F7035" s="49" t="str"/>
      <c r="G7035" s="59" t="str"/>
      <c r="H7035" s="64" t="str"/>
      <c r="I7035" s="65" t="str"/>
      <c r="J7035" s="49" t="str"/>
      <c r="K7035" s="41" t="str"/>
      <c r="L7035" s="41" t="str"/>
      <c r="M7035" s="41" t="str"/>
      <c r="N7035" s="41" t="str"/>
      <c r="O7035" s="41" t="str"/>
      <c r="P7035" s="41" t="str"/>
      <c r="Q7035" s="41" t="str"/>
      <c r="R7035" s="41" t="str"/>
      <c r="S7035" s="41" t="str"/>
      <c r="T7035" s="41" t="str"/>
      <c r="U7035" s="41" t="str"/>
      <c r="V7035" s="41" t="str"/>
      <c r="W7035" s="41" t="str"/>
    </row>
    <row r="7036">
      <c r="B7036" s="2" t="n"/>
      <c r="C7036" s="40" t="n"/>
      <c r="D7036" s="52">
        <f t="array" ref="D7036:W7036">IF(All_Students_Scores!C7034:V7034="","",All_Students_Scores!C7034:V7034)</f>
        <v/>
      </c>
      <c r="E7036" s="57" t="str"/>
      <c r="F7036" s="49" t="str"/>
      <c r="G7036" s="59" t="str"/>
      <c r="H7036" s="64" t="str"/>
      <c r="I7036" s="65" t="str"/>
      <c r="J7036" s="49" t="str"/>
      <c r="K7036" s="41" t="str"/>
      <c r="L7036" s="41" t="str"/>
      <c r="M7036" s="41" t="str"/>
      <c r="N7036" s="41" t="str"/>
      <c r="O7036" s="41" t="str"/>
      <c r="P7036" s="41" t="str"/>
      <c r="Q7036" s="41" t="str"/>
      <c r="R7036" s="41" t="str"/>
      <c r="S7036" s="41" t="str"/>
      <c r="T7036" s="41" t="str"/>
      <c r="U7036" s="41" t="str"/>
      <c r="V7036" s="41" t="str"/>
      <c r="W7036" s="41" t="str"/>
    </row>
    <row r="7037">
      <c r="B7037" s="2" t="n"/>
      <c r="C7037" s="40" t="n"/>
      <c r="D7037" s="52">
        <f t="array" ref="D7037:W7037">IF(All_Students_Scores!C7035:V7035="","",All_Students_Scores!C7035:V7035)</f>
        <v/>
      </c>
      <c r="E7037" s="57" t="str"/>
      <c r="F7037" s="49" t="str"/>
      <c r="G7037" s="59" t="str"/>
      <c r="H7037" s="64" t="str"/>
      <c r="I7037" s="65" t="str"/>
      <c r="J7037" s="49" t="str"/>
      <c r="K7037" s="41" t="str"/>
      <c r="L7037" s="41" t="str"/>
      <c r="M7037" s="41" t="str"/>
      <c r="N7037" s="41" t="str"/>
      <c r="O7037" s="41" t="str"/>
      <c r="P7037" s="41" t="str"/>
      <c r="Q7037" s="41" t="str"/>
      <c r="R7037" s="41" t="str"/>
      <c r="S7037" s="41" t="str"/>
      <c r="T7037" s="41" t="str"/>
      <c r="U7037" s="41" t="str"/>
      <c r="V7037" s="41" t="str"/>
      <c r="W7037" s="41" t="str"/>
    </row>
    <row r="7038">
      <c r="B7038" s="2" t="n"/>
      <c r="C7038" s="40" t="n"/>
      <c r="D7038" s="52">
        <f t="array" ref="D7038:W7038">IF(All_Students_Scores!C7036:V7036="","",All_Students_Scores!C7036:V7036)</f>
        <v/>
      </c>
      <c r="E7038" s="57" t="str"/>
      <c r="F7038" s="49" t="str"/>
      <c r="G7038" s="59" t="str"/>
      <c r="H7038" s="64" t="str"/>
      <c r="I7038" s="65" t="str"/>
      <c r="J7038" s="49" t="str"/>
      <c r="K7038" s="41" t="str"/>
      <c r="L7038" s="41" t="str"/>
      <c r="M7038" s="41" t="str"/>
      <c r="N7038" s="41" t="str"/>
      <c r="O7038" s="41" t="str"/>
      <c r="P7038" s="41" t="str"/>
      <c r="Q7038" s="41" t="str"/>
      <c r="R7038" s="41" t="str"/>
      <c r="S7038" s="41" t="str"/>
      <c r="T7038" s="41" t="str"/>
      <c r="U7038" s="41" t="str"/>
      <c r="V7038" s="41" t="str"/>
      <c r="W7038" s="41" t="str"/>
    </row>
    <row r="7039">
      <c r="B7039" s="2" t="n"/>
      <c r="C7039" s="40" t="n"/>
      <c r="D7039" s="52">
        <f t="array" ref="D7039:W7039">IF(All_Students_Scores!C7037:V7037="","",All_Students_Scores!C7037:V7037)</f>
        <v/>
      </c>
      <c r="E7039" s="57" t="str"/>
      <c r="F7039" s="49" t="str"/>
      <c r="G7039" s="59" t="str"/>
      <c r="H7039" s="64" t="str"/>
      <c r="I7039" s="65" t="str"/>
      <c r="J7039" s="49" t="str"/>
      <c r="K7039" s="41" t="str"/>
      <c r="L7039" s="41" t="str"/>
      <c r="M7039" s="41" t="str"/>
      <c r="N7039" s="41" t="str"/>
      <c r="O7039" s="41" t="str"/>
      <c r="P7039" s="41" t="str"/>
      <c r="Q7039" s="41" t="str"/>
      <c r="R7039" s="41" t="str"/>
      <c r="S7039" s="41" t="str"/>
      <c r="T7039" s="41" t="str"/>
      <c r="U7039" s="41" t="str"/>
      <c r="V7039" s="41" t="str"/>
      <c r="W7039" s="41" t="str"/>
    </row>
    <row r="7040">
      <c r="B7040" s="2" t="n"/>
      <c r="C7040" s="40" t="n"/>
      <c r="D7040" s="52">
        <f t="array" ref="D7040:W7040">IF(All_Students_Scores!C7038:V7038="","",All_Students_Scores!C7038:V7038)</f>
        <v/>
      </c>
      <c r="E7040" s="57" t="str"/>
      <c r="F7040" s="49" t="str"/>
      <c r="G7040" s="59" t="str"/>
      <c r="H7040" s="64" t="str"/>
      <c r="I7040" s="65" t="str"/>
      <c r="J7040" s="49" t="str"/>
      <c r="K7040" s="41" t="str"/>
      <c r="L7040" s="41" t="str"/>
      <c r="M7040" s="41" t="str"/>
      <c r="N7040" s="41" t="str"/>
      <c r="O7040" s="41" t="str"/>
      <c r="P7040" s="41" t="str"/>
      <c r="Q7040" s="41" t="str"/>
      <c r="R7040" s="41" t="str"/>
      <c r="S7040" s="41" t="str"/>
      <c r="T7040" s="41" t="str"/>
      <c r="U7040" s="41" t="str"/>
      <c r="V7040" s="41" t="str"/>
      <c r="W7040" s="41" t="str"/>
    </row>
    <row r="7041">
      <c r="B7041" s="2" t="n"/>
      <c r="C7041" s="40" t="n"/>
      <c r="D7041" s="52">
        <f t="array" ref="D7041:W7041">IF(All_Students_Scores!C7039:V7039="","",All_Students_Scores!C7039:V7039)</f>
        <v/>
      </c>
      <c r="E7041" s="57" t="str"/>
      <c r="F7041" s="49" t="str"/>
      <c r="G7041" s="59" t="str"/>
      <c r="H7041" s="64" t="str"/>
      <c r="I7041" s="65" t="str"/>
      <c r="J7041" s="49" t="str"/>
      <c r="K7041" s="41" t="str"/>
      <c r="L7041" s="41" t="str"/>
      <c r="M7041" s="41" t="str"/>
      <c r="N7041" s="41" t="str"/>
      <c r="O7041" s="41" t="str"/>
      <c r="P7041" s="41" t="str"/>
      <c r="Q7041" s="41" t="str"/>
      <c r="R7041" s="41" t="str"/>
      <c r="S7041" s="41" t="str"/>
      <c r="T7041" s="41" t="str"/>
      <c r="U7041" s="41" t="str"/>
      <c r="V7041" s="41" t="str"/>
      <c r="W7041" s="41" t="str"/>
    </row>
    <row r="7042">
      <c r="B7042" s="2" t="n"/>
      <c r="C7042" s="40" t="n"/>
      <c r="D7042" s="52">
        <f t="array" ref="D7042:W7042">IF(All_Students_Scores!C7040:V7040="","",All_Students_Scores!C7040:V7040)</f>
        <v/>
      </c>
      <c r="E7042" s="57" t="str"/>
      <c r="F7042" s="49" t="str"/>
      <c r="G7042" s="59" t="str"/>
      <c r="H7042" s="64" t="str"/>
      <c r="I7042" s="65" t="str"/>
      <c r="J7042" s="49" t="str"/>
      <c r="K7042" s="41" t="str"/>
      <c r="L7042" s="41" t="str"/>
      <c r="M7042" s="41" t="str"/>
      <c r="N7042" s="41" t="str"/>
      <c r="O7042" s="41" t="str"/>
      <c r="P7042" s="41" t="str"/>
      <c r="Q7042" s="41" t="str"/>
      <c r="R7042" s="41" t="str"/>
      <c r="S7042" s="41" t="str"/>
      <c r="T7042" s="41" t="str"/>
      <c r="U7042" s="41" t="str"/>
      <c r="V7042" s="41" t="str"/>
      <c r="W7042" s="41" t="str"/>
    </row>
    <row r="7043">
      <c r="B7043" s="2" t="n"/>
      <c r="C7043" s="40" t="n"/>
      <c r="D7043" s="52">
        <f t="array" ref="D7043:W7043">IF(All_Students_Scores!C7041:V7041="","",All_Students_Scores!C7041:V7041)</f>
        <v/>
      </c>
      <c r="E7043" s="57" t="str"/>
      <c r="F7043" s="49" t="str"/>
      <c r="G7043" s="59" t="str"/>
      <c r="H7043" s="64" t="str"/>
      <c r="I7043" s="65" t="str"/>
      <c r="J7043" s="49" t="str"/>
      <c r="K7043" s="41" t="str"/>
      <c r="L7043" s="41" t="str"/>
      <c r="M7043" s="41" t="str"/>
      <c r="N7043" s="41" t="str"/>
      <c r="O7043" s="41" t="str"/>
      <c r="P7043" s="41" t="str"/>
      <c r="Q7043" s="41" t="str"/>
      <c r="R7043" s="41" t="str"/>
      <c r="S7043" s="41" t="str"/>
      <c r="T7043" s="41" t="str"/>
      <c r="U7043" s="41" t="str"/>
      <c r="V7043" s="41" t="str"/>
      <c r="W7043" s="41" t="str"/>
    </row>
    <row r="7044">
      <c r="B7044" s="2" t="n"/>
      <c r="C7044" s="40" t="n"/>
      <c r="D7044" s="52">
        <f t="array" ref="D7044:W7044">IF(All_Students_Scores!C7042:V7042="","",All_Students_Scores!C7042:V7042)</f>
        <v/>
      </c>
      <c r="E7044" s="57" t="str"/>
      <c r="F7044" s="49" t="str"/>
      <c r="G7044" s="59" t="str"/>
      <c r="H7044" s="64" t="str"/>
      <c r="I7044" s="65" t="str"/>
      <c r="J7044" s="49" t="str"/>
      <c r="K7044" s="41" t="str"/>
      <c r="L7044" s="41" t="str"/>
      <c r="M7044" s="41" t="str"/>
      <c r="N7044" s="41" t="str"/>
      <c r="O7044" s="41" t="str"/>
      <c r="P7044" s="41" t="str"/>
      <c r="Q7044" s="41" t="str"/>
      <c r="R7044" s="41" t="str"/>
      <c r="S7044" s="41" t="str"/>
      <c r="T7044" s="41" t="str"/>
      <c r="U7044" s="41" t="str"/>
      <c r="V7044" s="41" t="str"/>
      <c r="W7044" s="41" t="str"/>
    </row>
    <row r="7045">
      <c r="B7045" s="2" t="n"/>
      <c r="C7045" s="40" t="n"/>
      <c r="D7045" s="52">
        <f t="array" ref="D7045:W7045">IF(All_Students_Scores!C7043:V7043="","",All_Students_Scores!C7043:V7043)</f>
        <v/>
      </c>
      <c r="E7045" s="57" t="str"/>
      <c r="F7045" s="49" t="str"/>
      <c r="G7045" s="59" t="str"/>
      <c r="H7045" s="64" t="str"/>
      <c r="I7045" s="65" t="str"/>
      <c r="J7045" s="49" t="str"/>
      <c r="K7045" s="41" t="str"/>
      <c r="L7045" s="41" t="str"/>
      <c r="M7045" s="41" t="str"/>
      <c r="N7045" s="41" t="str"/>
      <c r="O7045" s="41" t="str"/>
      <c r="P7045" s="41" t="str"/>
      <c r="Q7045" s="41" t="str"/>
      <c r="R7045" s="41" t="str"/>
      <c r="S7045" s="41" t="str"/>
      <c r="T7045" s="41" t="str"/>
      <c r="U7045" s="41" t="str"/>
      <c r="V7045" s="41" t="str"/>
      <c r="W7045" s="41" t="str"/>
    </row>
    <row r="7046">
      <c r="B7046" s="2" t="n"/>
      <c r="C7046" s="40" t="n"/>
      <c r="D7046" s="52">
        <f t="array" ref="D7046:W7046">IF(All_Students_Scores!C7044:V7044="","",All_Students_Scores!C7044:V7044)</f>
        <v/>
      </c>
      <c r="E7046" s="57" t="str"/>
      <c r="F7046" s="49" t="str"/>
      <c r="G7046" s="59" t="str"/>
      <c r="H7046" s="64" t="str"/>
      <c r="I7046" s="65" t="str"/>
      <c r="J7046" s="49" t="str"/>
      <c r="K7046" s="41" t="str"/>
      <c r="L7046" s="41" t="str"/>
      <c r="M7046" s="41" t="str"/>
      <c r="N7046" s="41" t="str"/>
      <c r="O7046" s="41" t="str"/>
      <c r="P7046" s="41" t="str"/>
      <c r="Q7046" s="41" t="str"/>
      <c r="R7046" s="41" t="str"/>
      <c r="S7046" s="41" t="str"/>
      <c r="T7046" s="41" t="str"/>
      <c r="U7046" s="41" t="str"/>
      <c r="V7046" s="41" t="str"/>
      <c r="W7046" s="41" t="str"/>
    </row>
    <row r="7047">
      <c r="B7047" s="2" t="n"/>
      <c r="C7047" s="40" t="n"/>
      <c r="D7047" s="52">
        <f t="array" ref="D7047:W7047">IF(All_Students_Scores!C7045:V7045="","",All_Students_Scores!C7045:V7045)</f>
        <v/>
      </c>
      <c r="E7047" s="57" t="str"/>
      <c r="F7047" s="49" t="str"/>
      <c r="G7047" s="59" t="str"/>
      <c r="H7047" s="64" t="str"/>
      <c r="I7047" s="65" t="str"/>
      <c r="J7047" s="49" t="str"/>
      <c r="K7047" s="41" t="str"/>
      <c r="L7047" s="41" t="str"/>
      <c r="M7047" s="41" t="str"/>
      <c r="N7047" s="41" t="str"/>
      <c r="O7047" s="41" t="str"/>
      <c r="P7047" s="41" t="str"/>
      <c r="Q7047" s="41" t="str"/>
      <c r="R7047" s="41" t="str"/>
      <c r="S7047" s="41" t="str"/>
      <c r="T7047" s="41" t="str"/>
      <c r="U7047" s="41" t="str"/>
      <c r="V7047" s="41" t="str"/>
      <c r="W7047" s="41" t="str"/>
    </row>
    <row r="7048">
      <c r="B7048" s="2" t="n"/>
      <c r="C7048" s="40" t="n"/>
      <c r="D7048" s="52">
        <f t="array" ref="D7048:W7048">IF(All_Students_Scores!C7046:V7046="","",All_Students_Scores!C7046:V7046)</f>
        <v/>
      </c>
      <c r="E7048" s="57" t="str"/>
      <c r="F7048" s="49" t="str"/>
      <c r="G7048" s="59" t="str"/>
      <c r="H7048" s="64" t="str"/>
      <c r="I7048" s="65" t="str"/>
      <c r="J7048" s="49" t="str"/>
      <c r="K7048" s="41" t="str"/>
      <c r="L7048" s="41" t="str"/>
      <c r="M7048" s="41" t="str"/>
      <c r="N7048" s="41" t="str"/>
      <c r="O7048" s="41" t="str"/>
      <c r="P7048" s="41" t="str"/>
      <c r="Q7048" s="41" t="str"/>
      <c r="R7048" s="41" t="str"/>
      <c r="S7048" s="41" t="str"/>
      <c r="T7048" s="41" t="str"/>
      <c r="U7048" s="41" t="str"/>
      <c r="V7048" s="41" t="str"/>
      <c r="W7048" s="41" t="str"/>
    </row>
    <row r="7049">
      <c r="B7049" s="2" t="n"/>
      <c r="C7049" s="40" t="n"/>
      <c r="D7049" s="52">
        <f t="array" ref="D7049:W7049">IF(All_Students_Scores!C7047:V7047="","",All_Students_Scores!C7047:V7047)</f>
        <v/>
      </c>
      <c r="E7049" s="57" t="str"/>
      <c r="F7049" s="49" t="str"/>
      <c r="G7049" s="59" t="str"/>
      <c r="H7049" s="64" t="str"/>
      <c r="I7049" s="65" t="str"/>
      <c r="J7049" s="49" t="str"/>
      <c r="K7049" s="41" t="str"/>
      <c r="L7049" s="41" t="str"/>
      <c r="M7049" s="41" t="str"/>
      <c r="N7049" s="41" t="str"/>
      <c r="O7049" s="41" t="str"/>
      <c r="P7049" s="41" t="str"/>
      <c r="Q7049" s="41" t="str"/>
      <c r="R7049" s="41" t="str"/>
      <c r="S7049" s="41" t="str"/>
      <c r="T7049" s="41" t="str"/>
      <c r="U7049" s="41" t="str"/>
      <c r="V7049" s="41" t="str"/>
      <c r="W7049" s="41" t="str"/>
    </row>
    <row r="7050">
      <c r="B7050" s="2" t="n"/>
      <c r="C7050" s="40" t="n"/>
      <c r="D7050" s="52">
        <f t="array" ref="D7050:W7050">IF(All_Students_Scores!C7048:V7048="","",All_Students_Scores!C7048:V7048)</f>
        <v/>
      </c>
      <c r="E7050" s="57" t="str"/>
      <c r="F7050" s="49" t="str"/>
      <c r="G7050" s="59" t="str"/>
      <c r="H7050" s="64" t="str"/>
      <c r="I7050" s="65" t="str"/>
      <c r="J7050" s="49" t="str"/>
      <c r="K7050" s="41" t="str"/>
      <c r="L7050" s="41" t="str"/>
      <c r="M7050" s="41" t="str"/>
      <c r="N7050" s="41" t="str"/>
      <c r="O7050" s="41" t="str"/>
      <c r="P7050" s="41" t="str"/>
      <c r="Q7050" s="41" t="str"/>
      <c r="R7050" s="41" t="str"/>
      <c r="S7050" s="41" t="str"/>
      <c r="T7050" s="41" t="str"/>
      <c r="U7050" s="41" t="str"/>
      <c r="V7050" s="41" t="str"/>
      <c r="W7050" s="41" t="str"/>
    </row>
    <row r="7051">
      <c r="B7051" s="2" t="n"/>
      <c r="C7051" s="40" t="n"/>
      <c r="D7051" s="52">
        <f t="array" ref="D7051:W7051">IF(All_Students_Scores!C7049:V7049="","",All_Students_Scores!C7049:V7049)</f>
        <v/>
      </c>
      <c r="E7051" s="57" t="str"/>
      <c r="F7051" s="49" t="str"/>
      <c r="G7051" s="59" t="str"/>
      <c r="H7051" s="64" t="str"/>
      <c r="I7051" s="65" t="str"/>
      <c r="J7051" s="49" t="str"/>
      <c r="K7051" s="41" t="str"/>
      <c r="L7051" s="41" t="str"/>
      <c r="M7051" s="41" t="str"/>
      <c r="N7051" s="41" t="str"/>
      <c r="O7051" s="41" t="str"/>
      <c r="P7051" s="41" t="str"/>
      <c r="Q7051" s="41" t="str"/>
      <c r="R7051" s="41" t="str"/>
      <c r="S7051" s="41" t="str"/>
      <c r="T7051" s="41" t="str"/>
      <c r="U7051" s="41" t="str"/>
      <c r="V7051" s="41" t="str"/>
      <c r="W7051" s="41" t="str"/>
    </row>
    <row r="7052">
      <c r="B7052" s="2" t="n"/>
      <c r="C7052" s="40" t="n"/>
      <c r="D7052" s="52">
        <f t="array" ref="D7052:W7052">IF(All_Students_Scores!C7050:V7050="","",All_Students_Scores!C7050:V7050)</f>
        <v/>
      </c>
      <c r="E7052" s="57" t="str"/>
      <c r="F7052" s="49" t="str"/>
      <c r="G7052" s="59" t="str"/>
      <c r="H7052" s="64" t="str"/>
      <c r="I7052" s="65" t="str"/>
      <c r="J7052" s="49" t="str"/>
      <c r="K7052" s="41" t="str"/>
      <c r="L7052" s="41" t="str"/>
      <c r="M7052" s="41" t="str"/>
      <c r="N7052" s="41" t="str"/>
      <c r="O7052" s="41" t="str"/>
      <c r="P7052" s="41" t="str"/>
      <c r="Q7052" s="41" t="str"/>
      <c r="R7052" s="41" t="str"/>
      <c r="S7052" s="41" t="str"/>
      <c r="T7052" s="41" t="str"/>
      <c r="U7052" s="41" t="str"/>
      <c r="V7052" s="41" t="str"/>
      <c r="W7052" s="41" t="str"/>
    </row>
    <row r="7053">
      <c r="B7053" s="2" t="n"/>
      <c r="C7053" s="40" t="n"/>
      <c r="D7053" s="52">
        <f t="array" ref="D7053:W7053">IF(All_Students_Scores!C7051:V7051="","",All_Students_Scores!C7051:V7051)</f>
        <v/>
      </c>
      <c r="E7053" s="57" t="str"/>
      <c r="F7053" s="49" t="str"/>
      <c r="G7053" s="59" t="str"/>
      <c r="H7053" s="64" t="str"/>
      <c r="I7053" s="65" t="str"/>
      <c r="J7053" s="49" t="str"/>
      <c r="K7053" s="41" t="str"/>
      <c r="L7053" s="41" t="str"/>
      <c r="M7053" s="41" t="str"/>
      <c r="N7053" s="41" t="str"/>
      <c r="O7053" s="41" t="str"/>
      <c r="P7053" s="41" t="str"/>
      <c r="Q7053" s="41" t="str"/>
      <c r="R7053" s="41" t="str"/>
      <c r="S7053" s="41" t="str"/>
      <c r="T7053" s="41" t="str"/>
      <c r="U7053" s="41" t="str"/>
      <c r="V7053" s="41" t="str"/>
      <c r="W7053" s="41" t="str"/>
    </row>
    <row r="7054">
      <c r="B7054" s="2" t="n"/>
      <c r="C7054" s="40" t="n"/>
      <c r="D7054" s="52">
        <f t="array" ref="D7054:W7054">IF(All_Students_Scores!C7052:V7052="","",All_Students_Scores!C7052:V7052)</f>
        <v/>
      </c>
      <c r="E7054" s="57" t="str"/>
      <c r="F7054" s="49" t="str"/>
      <c r="G7054" s="59" t="str"/>
      <c r="H7054" s="64" t="str"/>
      <c r="I7054" s="65" t="str"/>
      <c r="J7054" s="49" t="str"/>
      <c r="K7054" s="41" t="str"/>
      <c r="L7054" s="41" t="str"/>
      <c r="M7054" s="41" t="str"/>
      <c r="N7054" s="41" t="str"/>
      <c r="O7054" s="41" t="str"/>
      <c r="P7054" s="41" t="str"/>
      <c r="Q7054" s="41" t="str"/>
      <c r="R7054" s="41" t="str"/>
      <c r="S7054" s="41" t="str"/>
      <c r="T7054" s="41" t="str"/>
      <c r="U7054" s="41" t="str"/>
      <c r="V7054" s="41" t="str"/>
      <c r="W7054" s="41" t="str"/>
    </row>
    <row r="7055">
      <c r="B7055" s="2" t="n"/>
      <c r="C7055" s="40" t="n"/>
      <c r="D7055" s="52">
        <f t="array" ref="D7055:W7055">IF(All_Students_Scores!C7053:V7053="","",All_Students_Scores!C7053:V7053)</f>
        <v/>
      </c>
      <c r="E7055" s="57" t="str"/>
      <c r="F7055" s="49" t="str"/>
      <c r="G7055" s="59" t="str"/>
      <c r="H7055" s="64" t="str"/>
      <c r="I7055" s="65" t="str"/>
      <c r="J7055" s="49" t="str"/>
      <c r="K7055" s="41" t="str"/>
      <c r="L7055" s="41" t="str"/>
      <c r="M7055" s="41" t="str"/>
      <c r="N7055" s="41" t="str"/>
      <c r="O7055" s="41" t="str"/>
      <c r="P7055" s="41" t="str"/>
      <c r="Q7055" s="41" t="str"/>
      <c r="R7055" s="41" t="str"/>
      <c r="S7055" s="41" t="str"/>
      <c r="T7055" s="41" t="str"/>
      <c r="U7055" s="41" t="str"/>
      <c r="V7055" s="41" t="str"/>
      <c r="W7055" s="41" t="str"/>
    </row>
    <row r="7056">
      <c r="B7056" s="2" t="n"/>
      <c r="C7056" s="40" t="n"/>
      <c r="D7056" s="52">
        <f t="array" ref="D7056:W7056">IF(All_Students_Scores!C7054:V7054="","",All_Students_Scores!C7054:V7054)</f>
        <v/>
      </c>
      <c r="E7056" s="57" t="str"/>
      <c r="F7056" s="49" t="str"/>
      <c r="G7056" s="59" t="str"/>
      <c r="H7056" s="64" t="str"/>
      <c r="I7056" s="65" t="str"/>
      <c r="J7056" s="49" t="str"/>
      <c r="K7056" s="41" t="str"/>
      <c r="L7056" s="41" t="str"/>
      <c r="M7056" s="41" t="str"/>
      <c r="N7056" s="41" t="str"/>
      <c r="O7056" s="41" t="str"/>
      <c r="P7056" s="41" t="str"/>
      <c r="Q7056" s="41" t="str"/>
      <c r="R7056" s="41" t="str"/>
      <c r="S7056" s="41" t="str"/>
      <c r="T7056" s="41" t="str"/>
      <c r="U7056" s="41" t="str"/>
      <c r="V7056" s="41" t="str"/>
      <c r="W7056" s="41" t="str"/>
    </row>
    <row r="7057">
      <c r="B7057" s="2" t="n"/>
      <c r="C7057" s="40" t="n"/>
      <c r="D7057" s="52">
        <f t="array" ref="D7057:W7057">IF(All_Students_Scores!C7055:V7055="","",All_Students_Scores!C7055:V7055)</f>
        <v/>
      </c>
      <c r="E7057" s="57" t="str"/>
      <c r="F7057" s="49" t="str"/>
      <c r="G7057" s="59" t="str"/>
      <c r="H7057" s="64" t="str"/>
      <c r="I7057" s="65" t="str"/>
      <c r="J7057" s="49" t="str"/>
      <c r="K7057" s="41" t="str"/>
      <c r="L7057" s="41" t="str"/>
      <c r="M7057" s="41" t="str"/>
      <c r="N7057" s="41" t="str"/>
      <c r="O7057" s="41" t="str"/>
      <c r="P7057" s="41" t="str"/>
      <c r="Q7057" s="41" t="str"/>
      <c r="R7057" s="41" t="str"/>
      <c r="S7057" s="41" t="str"/>
      <c r="T7057" s="41" t="str"/>
      <c r="U7057" s="41" t="str"/>
      <c r="V7057" s="41" t="str"/>
      <c r="W7057" s="41" t="str"/>
    </row>
    <row r="7058">
      <c r="B7058" s="2" t="n"/>
      <c r="C7058" s="40" t="n"/>
      <c r="D7058" s="52">
        <f t="array" ref="D7058:W7058">IF(All_Students_Scores!C7056:V7056="","",All_Students_Scores!C7056:V7056)</f>
        <v/>
      </c>
      <c r="E7058" s="57" t="str"/>
      <c r="F7058" s="49" t="str"/>
      <c r="G7058" s="59" t="str"/>
      <c r="H7058" s="64" t="str"/>
      <c r="I7058" s="65" t="str"/>
      <c r="J7058" s="49" t="str"/>
      <c r="K7058" s="41" t="str"/>
      <c r="L7058" s="41" t="str"/>
      <c r="M7058" s="41" t="str"/>
      <c r="N7058" s="41" t="str"/>
      <c r="O7058" s="41" t="str"/>
      <c r="P7058" s="41" t="str"/>
      <c r="Q7058" s="41" t="str"/>
      <c r="R7058" s="41" t="str"/>
      <c r="S7058" s="41" t="str"/>
      <c r="T7058" s="41" t="str"/>
      <c r="U7058" s="41" t="str"/>
      <c r="V7058" s="41" t="str"/>
      <c r="W7058" s="41" t="str"/>
    </row>
    <row r="7059">
      <c r="B7059" s="2" t="n"/>
      <c r="C7059" s="40" t="n"/>
      <c r="D7059" s="52">
        <f t="array" ref="D7059:W7059">IF(All_Students_Scores!C7057:V7057="","",All_Students_Scores!C7057:V7057)</f>
        <v/>
      </c>
      <c r="E7059" s="57" t="str"/>
      <c r="F7059" s="49" t="str"/>
      <c r="G7059" s="59" t="str"/>
      <c r="H7059" s="64" t="str"/>
      <c r="I7059" s="65" t="str"/>
      <c r="J7059" s="49" t="str"/>
      <c r="K7059" s="41" t="str"/>
      <c r="L7059" s="41" t="str"/>
      <c r="M7059" s="41" t="str"/>
      <c r="N7059" s="41" t="str"/>
      <c r="O7059" s="41" t="str"/>
      <c r="P7059" s="41" t="str"/>
      <c r="Q7059" s="41" t="str"/>
      <c r="R7059" s="41" t="str"/>
      <c r="S7059" s="41" t="str"/>
      <c r="T7059" s="41" t="str"/>
      <c r="U7059" s="41" t="str"/>
      <c r="V7059" s="41" t="str"/>
      <c r="W7059" s="41" t="str"/>
    </row>
    <row r="7060">
      <c r="B7060" s="2" t="n"/>
      <c r="C7060" s="40" t="n"/>
      <c r="D7060" s="52">
        <f t="array" ref="D7060:W7060">IF(All_Students_Scores!C7058:V7058="","",All_Students_Scores!C7058:V7058)</f>
        <v/>
      </c>
      <c r="E7060" s="57" t="str"/>
      <c r="F7060" s="49" t="str"/>
      <c r="G7060" s="59" t="str"/>
      <c r="H7060" s="64" t="str"/>
      <c r="I7060" s="65" t="str"/>
      <c r="J7060" s="49" t="str"/>
      <c r="K7060" s="41" t="str"/>
      <c r="L7060" s="41" t="str"/>
      <c r="M7060" s="41" t="str"/>
      <c r="N7060" s="41" t="str"/>
      <c r="O7060" s="41" t="str"/>
      <c r="P7060" s="41" t="str"/>
      <c r="Q7060" s="41" t="str"/>
      <c r="R7060" s="41" t="str"/>
      <c r="S7060" s="41" t="str"/>
      <c r="T7060" s="41" t="str"/>
      <c r="U7060" s="41" t="str"/>
      <c r="V7060" s="41" t="str"/>
      <c r="W7060" s="41" t="str"/>
    </row>
    <row r="7061">
      <c r="B7061" s="2" t="n"/>
      <c r="C7061" s="40" t="n"/>
      <c r="D7061" s="52">
        <f t="array" ref="D7061:W7061">IF(All_Students_Scores!C7059:V7059="","",All_Students_Scores!C7059:V7059)</f>
        <v/>
      </c>
      <c r="E7061" s="57" t="str"/>
      <c r="F7061" s="49" t="str"/>
      <c r="G7061" s="59" t="str"/>
      <c r="H7061" s="64" t="str"/>
      <c r="I7061" s="65" t="str"/>
      <c r="J7061" s="49" t="str"/>
      <c r="K7061" s="41" t="str"/>
      <c r="L7061" s="41" t="str"/>
      <c r="M7061" s="41" t="str"/>
      <c r="N7061" s="41" t="str"/>
      <c r="O7061" s="41" t="str"/>
      <c r="P7061" s="41" t="str"/>
      <c r="Q7061" s="41" t="str"/>
      <c r="R7061" s="41" t="str"/>
      <c r="S7061" s="41" t="str"/>
      <c r="T7061" s="41" t="str"/>
      <c r="U7061" s="41" t="str"/>
      <c r="V7061" s="41" t="str"/>
      <c r="W7061" s="41" t="str"/>
    </row>
    <row r="7062">
      <c r="B7062" s="2" t="n"/>
      <c r="C7062" s="40" t="n"/>
      <c r="D7062" s="52">
        <f t="array" ref="D7062:W7062">IF(All_Students_Scores!C7060:V7060="","",All_Students_Scores!C7060:V7060)</f>
        <v/>
      </c>
      <c r="E7062" s="57" t="str"/>
      <c r="F7062" s="49" t="str"/>
      <c r="G7062" s="59" t="str"/>
      <c r="H7062" s="64" t="str"/>
      <c r="I7062" s="65" t="str"/>
      <c r="J7062" s="49" t="str"/>
      <c r="K7062" s="41" t="str"/>
      <c r="L7062" s="41" t="str"/>
      <c r="M7062" s="41" t="str"/>
      <c r="N7062" s="41" t="str"/>
      <c r="O7062" s="41" t="str"/>
      <c r="P7062" s="41" t="str"/>
      <c r="Q7062" s="41" t="str"/>
      <c r="R7062" s="41" t="str"/>
      <c r="S7062" s="41" t="str"/>
      <c r="T7062" s="41" t="str"/>
      <c r="U7062" s="41" t="str"/>
      <c r="V7062" s="41" t="str"/>
      <c r="W7062" s="41" t="str"/>
    </row>
    <row r="7063">
      <c r="B7063" s="2" t="n"/>
      <c r="C7063" s="40" t="n"/>
      <c r="D7063" s="52">
        <f t="array" ref="D7063:W7063">IF(All_Students_Scores!C7061:V7061="","",All_Students_Scores!C7061:V7061)</f>
        <v/>
      </c>
      <c r="E7063" s="57" t="str"/>
      <c r="F7063" s="49" t="str"/>
      <c r="G7063" s="59" t="str"/>
      <c r="H7063" s="64" t="str"/>
      <c r="I7063" s="65" t="str"/>
      <c r="J7063" s="49" t="str"/>
      <c r="K7063" s="41" t="str"/>
      <c r="L7063" s="41" t="str"/>
      <c r="M7063" s="41" t="str"/>
      <c r="N7063" s="41" t="str"/>
      <c r="O7063" s="41" t="str"/>
      <c r="P7063" s="41" t="str"/>
      <c r="Q7063" s="41" t="str"/>
      <c r="R7063" s="41" t="str"/>
      <c r="S7063" s="41" t="str"/>
      <c r="T7063" s="41" t="str"/>
      <c r="U7063" s="41" t="str"/>
      <c r="V7063" s="41" t="str"/>
      <c r="W7063" s="41" t="str"/>
    </row>
    <row r="7064">
      <c r="B7064" s="2" t="n"/>
      <c r="C7064" s="40" t="n"/>
      <c r="D7064" s="52">
        <f t="array" ref="D7064:W7064">IF(All_Students_Scores!C7062:V7062="","",All_Students_Scores!C7062:V7062)</f>
        <v/>
      </c>
      <c r="E7064" s="57" t="str"/>
      <c r="F7064" s="49" t="str"/>
      <c r="G7064" s="59" t="str"/>
      <c r="H7064" s="64" t="str"/>
      <c r="I7064" s="65" t="str"/>
      <c r="J7064" s="49" t="str"/>
      <c r="K7064" s="41" t="str"/>
      <c r="L7064" s="41" t="str"/>
      <c r="M7064" s="41" t="str"/>
      <c r="N7064" s="41" t="str"/>
      <c r="O7064" s="41" t="str"/>
      <c r="P7064" s="41" t="str"/>
      <c r="Q7064" s="41" t="str"/>
      <c r="R7064" s="41" t="str"/>
      <c r="S7064" s="41" t="str"/>
      <c r="T7064" s="41" t="str"/>
      <c r="U7064" s="41" t="str"/>
      <c r="V7064" s="41" t="str"/>
      <c r="W7064" s="41" t="str"/>
    </row>
    <row r="7065">
      <c r="B7065" s="2" t="n"/>
      <c r="C7065" s="40" t="n"/>
      <c r="D7065" s="52">
        <f t="array" ref="D7065:W7065">IF(All_Students_Scores!C7063:V7063="","",All_Students_Scores!C7063:V7063)</f>
        <v/>
      </c>
      <c r="E7065" s="57" t="str"/>
      <c r="F7065" s="49" t="str"/>
      <c r="G7065" s="59" t="str"/>
      <c r="H7065" s="64" t="str"/>
      <c r="I7065" s="65" t="str"/>
      <c r="J7065" s="49" t="str"/>
      <c r="K7065" s="41" t="str"/>
      <c r="L7065" s="41" t="str"/>
      <c r="M7065" s="41" t="str"/>
      <c r="N7065" s="41" t="str"/>
      <c r="O7065" s="41" t="str"/>
      <c r="P7065" s="41" t="str"/>
      <c r="Q7065" s="41" t="str"/>
      <c r="R7065" s="41" t="str"/>
      <c r="S7065" s="41" t="str"/>
      <c r="T7065" s="41" t="str"/>
      <c r="U7065" s="41" t="str"/>
      <c r="V7065" s="41" t="str"/>
      <c r="W7065" s="41" t="str"/>
    </row>
    <row r="7066">
      <c r="B7066" s="2" t="n"/>
      <c r="C7066" s="40" t="n"/>
      <c r="D7066" s="52">
        <f t="array" ref="D7066:W7066">IF(All_Students_Scores!C7064:V7064="","",All_Students_Scores!C7064:V7064)</f>
        <v/>
      </c>
      <c r="E7066" s="57" t="str"/>
      <c r="F7066" s="49" t="str"/>
      <c r="G7066" s="59" t="str"/>
      <c r="H7066" s="64" t="str"/>
      <c r="I7066" s="65" t="str"/>
      <c r="J7066" s="49" t="str"/>
      <c r="K7066" s="41" t="str"/>
      <c r="L7066" s="41" t="str"/>
      <c r="M7066" s="41" t="str"/>
      <c r="N7066" s="41" t="str"/>
      <c r="O7066" s="41" t="str"/>
      <c r="P7066" s="41" t="str"/>
      <c r="Q7066" s="41" t="str"/>
      <c r="R7066" s="41" t="str"/>
      <c r="S7066" s="41" t="str"/>
      <c r="T7066" s="41" t="str"/>
      <c r="U7066" s="41" t="str"/>
      <c r="V7066" s="41" t="str"/>
      <c r="W7066" s="41" t="str"/>
    </row>
    <row r="7067">
      <c r="B7067" s="2" t="n"/>
      <c r="C7067" s="40" t="n"/>
      <c r="D7067" s="52">
        <f t="array" ref="D7067:W7067">IF(All_Students_Scores!C7065:V7065="","",All_Students_Scores!C7065:V7065)</f>
        <v/>
      </c>
      <c r="E7067" s="57" t="str"/>
      <c r="F7067" s="49" t="str"/>
      <c r="G7067" s="59" t="str"/>
      <c r="H7067" s="64" t="str"/>
      <c r="I7067" s="65" t="str"/>
      <c r="J7067" s="49" t="str"/>
      <c r="K7067" s="41" t="str"/>
      <c r="L7067" s="41" t="str"/>
      <c r="M7067" s="41" t="str"/>
      <c r="N7067" s="41" t="str"/>
      <c r="O7067" s="41" t="str"/>
      <c r="P7067" s="41" t="str"/>
      <c r="Q7067" s="41" t="str"/>
      <c r="R7067" s="41" t="str"/>
      <c r="S7067" s="41" t="str"/>
      <c r="T7067" s="41" t="str"/>
      <c r="U7067" s="41" t="str"/>
      <c r="V7067" s="41" t="str"/>
      <c r="W7067" s="41" t="str"/>
    </row>
    <row r="7068">
      <c r="B7068" s="2" t="n"/>
      <c r="C7068" s="40" t="n"/>
      <c r="D7068" s="52">
        <f t="array" ref="D7068:W7068">IF(All_Students_Scores!C7066:V7066="","",All_Students_Scores!C7066:V7066)</f>
        <v/>
      </c>
      <c r="E7068" s="57" t="str"/>
      <c r="F7068" s="49" t="str"/>
      <c r="G7068" s="59" t="str"/>
      <c r="H7068" s="64" t="str"/>
      <c r="I7068" s="65" t="str"/>
      <c r="J7068" s="49" t="str"/>
      <c r="K7068" s="41" t="str"/>
      <c r="L7068" s="41" t="str"/>
      <c r="M7068" s="41" t="str"/>
      <c r="N7068" s="41" t="str"/>
      <c r="O7068" s="41" t="str"/>
      <c r="P7068" s="41" t="str"/>
      <c r="Q7068" s="41" t="str"/>
      <c r="R7068" s="41" t="str"/>
      <c r="S7068" s="41" t="str"/>
      <c r="T7068" s="41" t="str"/>
      <c r="U7068" s="41" t="str"/>
      <c r="V7068" s="41" t="str"/>
      <c r="W7068" s="41" t="str"/>
    </row>
    <row r="7069">
      <c r="B7069" s="2" t="n"/>
      <c r="C7069" s="40" t="n"/>
      <c r="D7069" s="52">
        <f t="array" ref="D7069:W7069">IF(All_Students_Scores!C7067:V7067="","",All_Students_Scores!C7067:V7067)</f>
        <v/>
      </c>
      <c r="E7069" s="57" t="str"/>
      <c r="F7069" s="49" t="str"/>
      <c r="G7069" s="59" t="str"/>
      <c r="H7069" s="64" t="str"/>
      <c r="I7069" s="65" t="str"/>
      <c r="J7069" s="49" t="str"/>
      <c r="K7069" s="41" t="str"/>
      <c r="L7069" s="41" t="str"/>
      <c r="M7069" s="41" t="str"/>
      <c r="N7069" s="41" t="str"/>
      <c r="O7069" s="41" t="str"/>
      <c r="P7069" s="41" t="str"/>
      <c r="Q7069" s="41" t="str"/>
      <c r="R7069" s="41" t="str"/>
      <c r="S7069" s="41" t="str"/>
      <c r="T7069" s="41" t="str"/>
      <c r="U7069" s="41" t="str"/>
      <c r="V7069" s="41" t="str"/>
      <c r="W7069" s="41" t="str"/>
    </row>
    <row r="7070">
      <c r="B7070" s="2" t="n"/>
      <c r="C7070" s="40" t="n"/>
      <c r="D7070" s="52">
        <f t="array" ref="D7070:W7070">IF(All_Students_Scores!C7068:V7068="","",All_Students_Scores!C7068:V7068)</f>
        <v/>
      </c>
      <c r="E7070" s="57" t="str"/>
      <c r="F7070" s="49" t="str"/>
      <c r="G7070" s="59" t="str"/>
      <c r="H7070" s="64" t="str"/>
      <c r="I7070" s="65" t="str"/>
      <c r="J7070" s="49" t="str"/>
      <c r="K7070" s="41" t="str"/>
      <c r="L7070" s="41" t="str"/>
      <c r="M7070" s="41" t="str"/>
      <c r="N7070" s="41" t="str"/>
      <c r="O7070" s="41" t="str"/>
      <c r="P7070" s="41" t="str"/>
      <c r="Q7070" s="41" t="str"/>
      <c r="R7070" s="41" t="str"/>
      <c r="S7070" s="41" t="str"/>
      <c r="T7070" s="41" t="str"/>
      <c r="U7070" s="41" t="str"/>
      <c r="V7070" s="41" t="str"/>
      <c r="W7070" s="41" t="str"/>
    </row>
    <row r="7071">
      <c r="B7071" s="2" t="n"/>
      <c r="C7071" s="40" t="n"/>
      <c r="D7071" s="52">
        <f t="array" ref="D7071:W7071">IF(All_Students_Scores!C7069:V7069="","",All_Students_Scores!C7069:V7069)</f>
        <v/>
      </c>
      <c r="E7071" s="57" t="str"/>
      <c r="F7071" s="49" t="str"/>
      <c r="G7071" s="59" t="str"/>
      <c r="H7071" s="64" t="str"/>
      <c r="I7071" s="65" t="str"/>
      <c r="J7071" s="49" t="str"/>
      <c r="K7071" s="41" t="str"/>
      <c r="L7071" s="41" t="str"/>
      <c r="M7071" s="41" t="str"/>
      <c r="N7071" s="41" t="str"/>
      <c r="O7071" s="41" t="str"/>
      <c r="P7071" s="41" t="str"/>
      <c r="Q7071" s="41" t="str"/>
      <c r="R7071" s="41" t="str"/>
      <c r="S7071" s="41" t="str"/>
      <c r="T7071" s="41" t="str"/>
      <c r="U7071" s="41" t="str"/>
      <c r="V7071" s="41" t="str"/>
      <c r="W7071" s="41" t="str"/>
    </row>
    <row r="7072">
      <c r="B7072" s="2" t="n"/>
      <c r="C7072" s="40" t="n"/>
      <c r="D7072" s="52">
        <f t="array" ref="D7072:W7072">IF(All_Students_Scores!C7070:V7070="","",All_Students_Scores!C7070:V7070)</f>
        <v/>
      </c>
      <c r="E7072" s="57" t="str"/>
      <c r="F7072" s="49" t="str"/>
      <c r="G7072" s="59" t="str"/>
      <c r="H7072" s="64" t="str"/>
      <c r="I7072" s="65" t="str"/>
      <c r="J7072" s="49" t="str"/>
      <c r="K7072" s="41" t="str"/>
      <c r="L7072" s="41" t="str"/>
      <c r="M7072" s="41" t="str"/>
      <c r="N7072" s="41" t="str"/>
      <c r="O7072" s="41" t="str"/>
      <c r="P7072" s="41" t="str"/>
      <c r="Q7072" s="41" t="str"/>
      <c r="R7072" s="41" t="str"/>
      <c r="S7072" s="41" t="str"/>
      <c r="T7072" s="41" t="str"/>
      <c r="U7072" s="41" t="str"/>
      <c r="V7072" s="41" t="str"/>
      <c r="W7072" s="41" t="str"/>
    </row>
    <row r="7073">
      <c r="B7073" s="2" t="n"/>
      <c r="C7073" s="40" t="n"/>
      <c r="D7073" s="52">
        <f t="array" ref="D7073:W7073">IF(All_Students_Scores!C7071:V7071="","",All_Students_Scores!C7071:V7071)</f>
        <v/>
      </c>
      <c r="E7073" s="57" t="str"/>
      <c r="F7073" s="49" t="str"/>
      <c r="G7073" s="59" t="str"/>
      <c r="H7073" s="64" t="str"/>
      <c r="I7073" s="65" t="str"/>
      <c r="J7073" s="49" t="str"/>
      <c r="K7073" s="41" t="str"/>
      <c r="L7073" s="41" t="str"/>
      <c r="M7073" s="41" t="str"/>
      <c r="N7073" s="41" t="str"/>
      <c r="O7073" s="41" t="str"/>
      <c r="P7073" s="41" t="str"/>
      <c r="Q7073" s="41" t="str"/>
      <c r="R7073" s="41" t="str"/>
      <c r="S7073" s="41" t="str"/>
      <c r="T7073" s="41" t="str"/>
      <c r="U7073" s="41" t="str"/>
      <c r="V7073" s="41" t="str"/>
      <c r="W7073" s="41" t="str"/>
    </row>
    <row r="7074">
      <c r="B7074" s="2" t="n"/>
      <c r="C7074" s="40" t="n"/>
      <c r="D7074" s="52">
        <f t="array" ref="D7074:W7074">IF(All_Students_Scores!C7072:V7072="","",All_Students_Scores!C7072:V7072)</f>
        <v/>
      </c>
      <c r="E7074" s="57" t="str"/>
      <c r="F7074" s="49" t="str"/>
      <c r="G7074" s="59" t="str"/>
      <c r="H7074" s="64" t="str"/>
      <c r="I7074" s="65" t="str"/>
      <c r="J7074" s="49" t="str"/>
      <c r="K7074" s="41" t="str"/>
      <c r="L7074" s="41" t="str"/>
      <c r="M7074" s="41" t="str"/>
      <c r="N7074" s="41" t="str"/>
      <c r="O7074" s="41" t="str"/>
      <c r="P7074" s="41" t="str"/>
      <c r="Q7074" s="41" t="str"/>
      <c r="R7074" s="41" t="str"/>
      <c r="S7074" s="41" t="str"/>
      <c r="T7074" s="41" t="str"/>
      <c r="U7074" s="41" t="str"/>
      <c r="V7074" s="41" t="str"/>
      <c r="W7074" s="41" t="str"/>
    </row>
    <row r="7075">
      <c r="B7075" s="2" t="n"/>
      <c r="C7075" s="40" t="n"/>
      <c r="D7075" s="52">
        <f t="array" ref="D7075:W7075">IF(All_Students_Scores!C7073:V7073="","",All_Students_Scores!C7073:V7073)</f>
        <v/>
      </c>
      <c r="E7075" s="57" t="str"/>
      <c r="F7075" s="49" t="str"/>
      <c r="G7075" s="59" t="str"/>
      <c r="H7075" s="64" t="str"/>
      <c r="I7075" s="65" t="str"/>
      <c r="J7075" s="49" t="str"/>
      <c r="K7075" s="41" t="str"/>
      <c r="L7075" s="41" t="str"/>
      <c r="M7075" s="41" t="str"/>
      <c r="N7075" s="41" t="str"/>
      <c r="O7075" s="41" t="str"/>
      <c r="P7075" s="41" t="str"/>
      <c r="Q7075" s="41" t="str"/>
      <c r="R7075" s="41" t="str"/>
      <c r="S7075" s="41" t="str"/>
      <c r="T7075" s="41" t="str"/>
      <c r="U7075" s="41" t="str"/>
      <c r="V7075" s="41" t="str"/>
      <c r="W7075" s="41" t="str"/>
    </row>
    <row r="7076">
      <c r="B7076" s="2" t="n"/>
      <c r="C7076" s="40" t="n"/>
      <c r="D7076" s="52">
        <f t="array" ref="D7076:W7076">IF(All_Students_Scores!C7074:V7074="","",All_Students_Scores!C7074:V7074)</f>
        <v/>
      </c>
      <c r="E7076" s="57" t="str"/>
      <c r="F7076" s="49" t="str"/>
      <c r="G7076" s="59" t="str"/>
      <c r="H7076" s="64" t="str"/>
      <c r="I7076" s="65" t="str"/>
      <c r="J7076" s="49" t="str"/>
      <c r="K7076" s="41" t="str"/>
      <c r="L7076" s="41" t="str"/>
      <c r="M7076" s="41" t="str"/>
      <c r="N7076" s="41" t="str"/>
      <c r="O7076" s="41" t="str"/>
      <c r="P7076" s="41" t="str"/>
      <c r="Q7076" s="41" t="str"/>
      <c r="R7076" s="41" t="str"/>
      <c r="S7076" s="41" t="str"/>
      <c r="T7076" s="41" t="str"/>
      <c r="U7076" s="41" t="str"/>
      <c r="V7076" s="41" t="str"/>
      <c r="W7076" s="41" t="str"/>
    </row>
    <row r="7077">
      <c r="B7077" s="2" t="n"/>
      <c r="C7077" s="40" t="n"/>
      <c r="D7077" s="52">
        <f t="array" ref="D7077:W7077">IF(All_Students_Scores!C7075:V7075="","",All_Students_Scores!C7075:V7075)</f>
        <v/>
      </c>
      <c r="E7077" s="57" t="str"/>
      <c r="F7077" s="49" t="str"/>
      <c r="G7077" s="59" t="str"/>
      <c r="H7077" s="64" t="str"/>
      <c r="I7077" s="65" t="str"/>
      <c r="J7077" s="49" t="str"/>
      <c r="K7077" s="41" t="str"/>
      <c r="L7077" s="41" t="str"/>
      <c r="M7077" s="41" t="str"/>
      <c r="N7077" s="41" t="str"/>
      <c r="O7077" s="41" t="str"/>
      <c r="P7077" s="41" t="str"/>
      <c r="Q7077" s="41" t="str"/>
      <c r="R7077" s="41" t="str"/>
      <c r="S7077" s="41" t="str"/>
      <c r="T7077" s="41" t="str"/>
      <c r="U7077" s="41" t="str"/>
      <c r="V7077" s="41" t="str"/>
      <c r="W7077" s="41" t="str"/>
    </row>
    <row r="7078">
      <c r="B7078" s="2" t="n"/>
      <c r="C7078" s="40" t="n"/>
      <c r="D7078" s="52">
        <f t="array" ref="D7078:W7078">IF(All_Students_Scores!C7076:V7076="","",All_Students_Scores!C7076:V7076)</f>
        <v/>
      </c>
      <c r="E7078" s="57" t="str"/>
      <c r="F7078" s="49" t="str"/>
      <c r="G7078" s="59" t="str"/>
      <c r="H7078" s="64" t="str"/>
      <c r="I7078" s="65" t="str"/>
      <c r="J7078" s="49" t="str"/>
      <c r="K7078" s="41" t="str"/>
      <c r="L7078" s="41" t="str"/>
      <c r="M7078" s="41" t="str"/>
      <c r="N7078" s="41" t="str"/>
      <c r="O7078" s="41" t="str"/>
      <c r="P7078" s="41" t="str"/>
      <c r="Q7078" s="41" t="str"/>
      <c r="R7078" s="41" t="str"/>
      <c r="S7078" s="41" t="str"/>
      <c r="T7078" s="41" t="str"/>
      <c r="U7078" s="41" t="str"/>
      <c r="V7078" s="41" t="str"/>
      <c r="W7078" s="41" t="str"/>
    </row>
    <row r="7079">
      <c r="B7079" s="2" t="n"/>
      <c r="C7079" s="40" t="n"/>
      <c r="D7079" s="52">
        <f t="array" ref="D7079:W7079">IF(All_Students_Scores!C7077:V7077="","",All_Students_Scores!C7077:V7077)</f>
        <v/>
      </c>
      <c r="E7079" s="57" t="str"/>
      <c r="F7079" s="49" t="str"/>
      <c r="G7079" s="59" t="str"/>
      <c r="H7079" s="64" t="str"/>
      <c r="I7079" s="65" t="str"/>
      <c r="J7079" s="49" t="str"/>
      <c r="K7079" s="41" t="str"/>
      <c r="L7079" s="41" t="str"/>
      <c r="M7079" s="41" t="str"/>
      <c r="N7079" s="41" t="str"/>
      <c r="O7079" s="41" t="str"/>
      <c r="P7079" s="41" t="str"/>
      <c r="Q7079" s="41" t="str"/>
      <c r="R7079" s="41" t="str"/>
      <c r="S7079" s="41" t="str"/>
      <c r="T7079" s="41" t="str"/>
      <c r="U7079" s="41" t="str"/>
      <c r="V7079" s="41" t="str"/>
      <c r="W7079" s="41" t="str"/>
    </row>
    <row r="7080">
      <c r="B7080" s="2" t="n"/>
      <c r="C7080" s="40" t="n"/>
      <c r="D7080" s="52">
        <f t="array" ref="D7080:W7080">IF(All_Students_Scores!C7078:V7078="","",All_Students_Scores!C7078:V7078)</f>
        <v/>
      </c>
      <c r="E7080" s="57" t="str"/>
      <c r="F7080" s="49" t="str"/>
      <c r="G7080" s="59" t="str"/>
      <c r="H7080" s="64" t="str"/>
      <c r="I7080" s="65" t="str"/>
      <c r="J7080" s="49" t="str"/>
      <c r="K7080" s="41" t="str"/>
      <c r="L7080" s="41" t="str"/>
      <c r="M7080" s="41" t="str"/>
      <c r="N7080" s="41" t="str"/>
      <c r="O7080" s="41" t="str"/>
      <c r="P7080" s="41" t="str"/>
      <c r="Q7080" s="41" t="str"/>
      <c r="R7080" s="41" t="str"/>
      <c r="S7080" s="41" t="str"/>
      <c r="T7080" s="41" t="str"/>
      <c r="U7080" s="41" t="str"/>
      <c r="V7080" s="41" t="str"/>
      <c r="W7080" s="41" t="str"/>
    </row>
    <row r="7081">
      <c r="B7081" s="2" t="n"/>
      <c r="C7081" s="40" t="n"/>
      <c r="D7081" s="52">
        <f t="array" ref="D7081:W7081">IF(All_Students_Scores!C7079:V7079="","",All_Students_Scores!C7079:V7079)</f>
        <v/>
      </c>
      <c r="E7081" s="57" t="str"/>
      <c r="F7081" s="49" t="str"/>
      <c r="G7081" s="59" t="str"/>
      <c r="H7081" s="64" t="str"/>
      <c r="I7081" s="65" t="str"/>
      <c r="J7081" s="49" t="str"/>
      <c r="K7081" s="41" t="str"/>
      <c r="L7081" s="41" t="str"/>
      <c r="M7081" s="41" t="str"/>
      <c r="N7081" s="41" t="str"/>
      <c r="O7081" s="41" t="str"/>
      <c r="P7081" s="41" t="str"/>
      <c r="Q7081" s="41" t="str"/>
      <c r="R7081" s="41" t="str"/>
      <c r="S7081" s="41" t="str"/>
      <c r="T7081" s="41" t="str"/>
      <c r="U7081" s="41" t="str"/>
      <c r="V7081" s="41" t="str"/>
      <c r="W7081" s="41" t="str"/>
    </row>
    <row r="7082">
      <c r="B7082" s="2" t="n"/>
      <c r="C7082" s="40" t="n"/>
      <c r="D7082" s="52">
        <f t="array" ref="D7082:W7082">IF(All_Students_Scores!C7080:V7080="","",All_Students_Scores!C7080:V7080)</f>
        <v/>
      </c>
      <c r="E7082" s="57" t="str"/>
      <c r="F7082" s="49" t="str"/>
      <c r="G7082" s="59" t="str"/>
      <c r="H7082" s="64" t="str"/>
      <c r="I7082" s="65" t="str"/>
      <c r="J7082" s="49" t="str"/>
      <c r="K7082" s="41" t="str"/>
      <c r="L7082" s="41" t="str"/>
      <c r="M7082" s="41" t="str"/>
      <c r="N7082" s="41" t="str"/>
      <c r="O7082" s="41" t="str"/>
      <c r="P7082" s="41" t="str"/>
      <c r="Q7082" s="41" t="str"/>
      <c r="R7082" s="41" t="str"/>
      <c r="S7082" s="41" t="str"/>
      <c r="T7082" s="41" t="str"/>
      <c r="U7082" s="41" t="str"/>
      <c r="V7082" s="41" t="str"/>
      <c r="W7082" s="41" t="str"/>
    </row>
    <row r="7083">
      <c r="B7083" s="2" t="n"/>
      <c r="C7083" s="40" t="n"/>
      <c r="D7083" s="52">
        <f t="array" ref="D7083:W7083">IF(All_Students_Scores!C7081:V7081="","",All_Students_Scores!C7081:V7081)</f>
        <v/>
      </c>
      <c r="E7083" s="57" t="str"/>
      <c r="F7083" s="49" t="str"/>
      <c r="G7083" s="59" t="str"/>
      <c r="H7083" s="64" t="str"/>
      <c r="I7083" s="65" t="str"/>
      <c r="J7083" s="49" t="str"/>
      <c r="K7083" s="41" t="str"/>
      <c r="L7083" s="41" t="str"/>
      <c r="M7083" s="41" t="str"/>
      <c r="N7083" s="41" t="str"/>
      <c r="O7083" s="41" t="str"/>
      <c r="P7083" s="41" t="str"/>
      <c r="Q7083" s="41" t="str"/>
      <c r="R7083" s="41" t="str"/>
      <c r="S7083" s="41" t="str"/>
      <c r="T7083" s="41" t="str"/>
      <c r="U7083" s="41" t="str"/>
      <c r="V7083" s="41" t="str"/>
      <c r="W7083" s="41" t="str"/>
    </row>
    <row r="7084">
      <c r="B7084" s="2" t="n"/>
      <c r="C7084" s="40" t="n"/>
      <c r="D7084" s="52">
        <f t="array" ref="D7084:W7084">IF(All_Students_Scores!C7082:V7082="","",All_Students_Scores!C7082:V7082)</f>
        <v/>
      </c>
      <c r="E7084" s="57" t="str"/>
      <c r="F7084" s="49" t="str"/>
      <c r="G7084" s="59" t="str"/>
      <c r="H7084" s="64" t="str"/>
      <c r="I7084" s="65" t="str"/>
      <c r="J7084" s="49" t="str"/>
      <c r="K7084" s="41" t="str"/>
      <c r="L7084" s="41" t="str"/>
      <c r="M7084" s="41" t="str"/>
      <c r="N7084" s="41" t="str"/>
      <c r="O7084" s="41" t="str"/>
      <c r="P7084" s="41" t="str"/>
      <c r="Q7084" s="41" t="str"/>
      <c r="R7084" s="41" t="str"/>
      <c r="S7084" s="41" t="str"/>
      <c r="T7084" s="41" t="str"/>
      <c r="U7084" s="41" t="str"/>
      <c r="V7084" s="41" t="str"/>
      <c r="W7084" s="41" t="str"/>
    </row>
    <row r="7085">
      <c r="B7085" s="2" t="n"/>
      <c r="C7085" s="40" t="n"/>
      <c r="D7085" s="52">
        <f t="array" ref="D7085:W7085">IF(All_Students_Scores!C7083:V7083="","",All_Students_Scores!C7083:V7083)</f>
        <v/>
      </c>
      <c r="E7085" s="57" t="str"/>
      <c r="F7085" s="49" t="str"/>
      <c r="G7085" s="59" t="str"/>
      <c r="H7085" s="64" t="str"/>
      <c r="I7085" s="65" t="str"/>
      <c r="J7085" s="49" t="str"/>
      <c r="K7085" s="41" t="str"/>
      <c r="L7085" s="41" t="str"/>
      <c r="M7085" s="41" t="str"/>
      <c r="N7085" s="41" t="str"/>
      <c r="O7085" s="41" t="str"/>
      <c r="P7085" s="41" t="str"/>
      <c r="Q7085" s="41" t="str"/>
      <c r="R7085" s="41" t="str"/>
      <c r="S7085" s="41" t="str"/>
      <c r="T7085" s="41" t="str"/>
      <c r="U7085" s="41" t="str"/>
      <c r="V7085" s="41" t="str"/>
      <c r="W7085" s="41" t="str"/>
    </row>
    <row r="7086">
      <c r="B7086" s="2" t="n"/>
      <c r="C7086" s="40" t="n"/>
      <c r="D7086" s="52">
        <f t="array" ref="D7086:W7086">IF(All_Students_Scores!C7084:V7084="","",All_Students_Scores!C7084:V7084)</f>
        <v/>
      </c>
      <c r="E7086" s="57" t="str"/>
      <c r="F7086" s="49" t="str"/>
      <c r="G7086" s="59" t="str"/>
      <c r="H7086" s="64" t="str"/>
      <c r="I7086" s="65" t="str"/>
      <c r="J7086" s="49" t="str"/>
      <c r="K7086" s="41" t="str"/>
      <c r="L7086" s="41" t="str"/>
      <c r="M7086" s="41" t="str"/>
      <c r="N7086" s="41" t="str"/>
      <c r="O7086" s="41" t="str"/>
      <c r="P7086" s="41" t="str"/>
      <c r="Q7086" s="41" t="str"/>
      <c r="R7086" s="41" t="str"/>
      <c r="S7086" s="41" t="str"/>
      <c r="T7086" s="41" t="str"/>
      <c r="U7086" s="41" t="str"/>
      <c r="V7086" s="41" t="str"/>
      <c r="W7086" s="41" t="str"/>
    </row>
    <row r="7087">
      <c r="B7087" s="2" t="n"/>
      <c r="C7087" s="40" t="n"/>
      <c r="D7087" s="52">
        <f t="array" ref="D7087:W7087">IF(All_Students_Scores!C7085:V7085="","",All_Students_Scores!C7085:V7085)</f>
        <v/>
      </c>
      <c r="E7087" s="57" t="str"/>
      <c r="F7087" s="49" t="str"/>
      <c r="G7087" s="59" t="str"/>
      <c r="H7087" s="64" t="str"/>
      <c r="I7087" s="65" t="str"/>
      <c r="J7087" s="49" t="str"/>
      <c r="K7087" s="41" t="str"/>
      <c r="L7087" s="41" t="str"/>
      <c r="M7087" s="41" t="str"/>
      <c r="N7087" s="41" t="str"/>
      <c r="O7087" s="41" t="str"/>
      <c r="P7087" s="41" t="str"/>
      <c r="Q7087" s="41" t="str"/>
      <c r="R7087" s="41" t="str"/>
      <c r="S7087" s="41" t="str"/>
      <c r="T7087" s="41" t="str"/>
      <c r="U7087" s="41" t="str"/>
      <c r="V7087" s="41" t="str"/>
      <c r="W7087" s="41" t="str"/>
    </row>
    <row r="7088">
      <c r="B7088" s="2" t="n"/>
      <c r="C7088" s="40" t="n"/>
      <c r="D7088" s="52">
        <f t="array" ref="D7088:W7088">IF(All_Students_Scores!C7086:V7086="","",All_Students_Scores!C7086:V7086)</f>
        <v/>
      </c>
      <c r="E7088" s="57" t="str"/>
      <c r="F7088" s="49" t="str"/>
      <c r="G7088" s="59" t="str"/>
      <c r="H7088" s="64" t="str"/>
      <c r="I7088" s="65" t="str"/>
      <c r="J7088" s="49" t="str"/>
      <c r="K7088" s="41" t="str"/>
      <c r="L7088" s="41" t="str"/>
      <c r="M7088" s="41" t="str"/>
      <c r="N7088" s="41" t="str"/>
      <c r="O7088" s="41" t="str"/>
      <c r="P7088" s="41" t="str"/>
      <c r="Q7088" s="41" t="str"/>
      <c r="R7088" s="41" t="str"/>
      <c r="S7088" s="41" t="str"/>
      <c r="T7088" s="41" t="str"/>
      <c r="U7088" s="41" t="str"/>
      <c r="V7088" s="41" t="str"/>
      <c r="W7088" s="41" t="str"/>
    </row>
    <row r="7089">
      <c r="B7089" s="2" t="n"/>
      <c r="C7089" s="40" t="n"/>
      <c r="D7089" s="52">
        <f t="array" ref="D7089:W7089">IF(All_Students_Scores!C7087:V7087="","",All_Students_Scores!C7087:V7087)</f>
        <v/>
      </c>
      <c r="E7089" s="57" t="str"/>
      <c r="F7089" s="49" t="str"/>
      <c r="G7089" s="59" t="str"/>
      <c r="H7089" s="64" t="str"/>
      <c r="I7089" s="65" t="str"/>
      <c r="J7089" s="49" t="str"/>
      <c r="K7089" s="41" t="str"/>
      <c r="L7089" s="41" t="str"/>
      <c r="M7089" s="41" t="str"/>
      <c r="N7089" s="41" t="str"/>
      <c r="O7089" s="41" t="str"/>
      <c r="P7089" s="41" t="str"/>
      <c r="Q7089" s="41" t="str"/>
      <c r="R7089" s="41" t="str"/>
      <c r="S7089" s="41" t="str"/>
      <c r="T7089" s="41" t="str"/>
      <c r="U7089" s="41" t="str"/>
      <c r="V7089" s="41" t="str"/>
      <c r="W7089" s="41" t="str"/>
    </row>
    <row r="7090">
      <c r="B7090" s="2" t="n"/>
      <c r="C7090" s="40" t="n"/>
      <c r="D7090" s="52">
        <f t="array" ref="D7090:W7090">IF(All_Students_Scores!C7088:V7088="","",All_Students_Scores!C7088:V7088)</f>
        <v/>
      </c>
      <c r="E7090" s="57" t="str"/>
      <c r="F7090" s="49" t="str"/>
      <c r="G7090" s="59" t="str"/>
      <c r="H7090" s="64" t="str"/>
      <c r="I7090" s="65" t="str"/>
      <c r="J7090" s="49" t="str"/>
      <c r="K7090" s="41" t="str"/>
      <c r="L7090" s="41" t="str"/>
      <c r="M7090" s="41" t="str"/>
      <c r="N7090" s="41" t="str"/>
      <c r="O7090" s="41" t="str"/>
      <c r="P7090" s="41" t="str"/>
      <c r="Q7090" s="41" t="str"/>
      <c r="R7090" s="41" t="str"/>
      <c r="S7090" s="41" t="str"/>
      <c r="T7090" s="41" t="str"/>
      <c r="U7090" s="41" t="str"/>
      <c r="V7090" s="41" t="str"/>
      <c r="W7090" s="41" t="str"/>
    </row>
    <row r="7091">
      <c r="B7091" s="2" t="n"/>
      <c r="C7091" s="40" t="n"/>
      <c r="D7091" s="52">
        <f t="array" ref="D7091:W7091">IF(All_Students_Scores!C7089:V7089="","",All_Students_Scores!C7089:V7089)</f>
        <v/>
      </c>
      <c r="E7091" s="57" t="str"/>
      <c r="F7091" s="49" t="str"/>
      <c r="G7091" s="59" t="str"/>
      <c r="H7091" s="64" t="str"/>
      <c r="I7091" s="65" t="str"/>
      <c r="J7091" s="49" t="str"/>
      <c r="K7091" s="41" t="str"/>
      <c r="L7091" s="41" t="str"/>
      <c r="M7091" s="41" t="str"/>
      <c r="N7091" s="41" t="str"/>
      <c r="O7091" s="41" t="str"/>
      <c r="P7091" s="41" t="str"/>
      <c r="Q7091" s="41" t="str"/>
      <c r="R7091" s="41" t="str"/>
      <c r="S7091" s="41" t="str"/>
      <c r="T7091" s="41" t="str"/>
      <c r="U7091" s="41" t="str"/>
      <c r="V7091" s="41" t="str"/>
      <c r="W7091" s="41" t="str"/>
    </row>
    <row r="7092">
      <c r="B7092" s="2" t="n"/>
      <c r="C7092" s="40" t="n"/>
      <c r="D7092" s="52">
        <f t="array" ref="D7092:W7092">IF(All_Students_Scores!C7090:V7090="","",All_Students_Scores!C7090:V7090)</f>
        <v/>
      </c>
      <c r="E7092" s="57" t="str"/>
      <c r="F7092" s="49" t="str"/>
      <c r="G7092" s="59" t="str"/>
      <c r="H7092" s="64" t="str"/>
      <c r="I7092" s="65" t="str"/>
      <c r="J7092" s="49" t="str"/>
      <c r="K7092" s="41" t="str"/>
      <c r="L7092" s="41" t="str"/>
      <c r="M7092" s="41" t="str"/>
      <c r="N7092" s="41" t="str"/>
      <c r="O7092" s="41" t="str"/>
      <c r="P7092" s="41" t="str"/>
      <c r="Q7092" s="41" t="str"/>
      <c r="R7092" s="41" t="str"/>
      <c r="S7092" s="41" t="str"/>
      <c r="T7092" s="41" t="str"/>
      <c r="U7092" s="41" t="str"/>
      <c r="V7092" s="41" t="str"/>
      <c r="W7092" s="41" t="str"/>
    </row>
    <row r="7093">
      <c r="B7093" s="2" t="n"/>
      <c r="C7093" s="40" t="n"/>
      <c r="D7093" s="52">
        <f t="array" ref="D7093:W7093">IF(All_Students_Scores!C7091:V7091="","",All_Students_Scores!C7091:V7091)</f>
        <v/>
      </c>
      <c r="E7093" s="57" t="str"/>
      <c r="F7093" s="49" t="str"/>
      <c r="G7093" s="59" t="str"/>
      <c r="H7093" s="64" t="str"/>
      <c r="I7093" s="65" t="str"/>
      <c r="J7093" s="49" t="str"/>
      <c r="K7093" s="41" t="str"/>
      <c r="L7093" s="41" t="str"/>
      <c r="M7093" s="41" t="str"/>
      <c r="N7093" s="41" t="str"/>
      <c r="O7093" s="41" t="str"/>
      <c r="P7093" s="41" t="str"/>
      <c r="Q7093" s="41" t="str"/>
      <c r="R7093" s="41" t="str"/>
      <c r="S7093" s="41" t="str"/>
      <c r="T7093" s="41" t="str"/>
      <c r="U7093" s="41" t="str"/>
      <c r="V7093" s="41" t="str"/>
      <c r="W7093" s="41" t="str"/>
    </row>
    <row r="7094">
      <c r="B7094" s="2" t="n"/>
      <c r="C7094" s="40" t="n"/>
      <c r="D7094" s="52">
        <f t="array" ref="D7094:W7094">IF(All_Students_Scores!C7092:V7092="","",All_Students_Scores!C7092:V7092)</f>
        <v/>
      </c>
      <c r="E7094" s="57" t="str"/>
      <c r="F7094" s="49" t="str"/>
      <c r="G7094" s="59" t="str"/>
      <c r="H7094" s="64" t="str"/>
      <c r="I7094" s="65" t="str"/>
      <c r="J7094" s="49" t="str"/>
      <c r="K7094" s="41" t="str"/>
      <c r="L7094" s="41" t="str"/>
      <c r="M7094" s="41" t="str"/>
      <c r="N7094" s="41" t="str"/>
      <c r="O7094" s="41" t="str"/>
      <c r="P7094" s="41" t="str"/>
      <c r="Q7094" s="41" t="str"/>
      <c r="R7094" s="41" t="str"/>
      <c r="S7094" s="41" t="str"/>
      <c r="T7094" s="41" t="str"/>
      <c r="U7094" s="41" t="str"/>
      <c r="V7094" s="41" t="str"/>
      <c r="W7094" s="41" t="str"/>
    </row>
    <row r="7095">
      <c r="B7095" s="2" t="n"/>
      <c r="C7095" s="40" t="n"/>
      <c r="D7095" s="52">
        <f t="array" ref="D7095:W7095">IF(All_Students_Scores!C7093:V7093="","",All_Students_Scores!C7093:V7093)</f>
        <v/>
      </c>
      <c r="E7095" s="57" t="str"/>
      <c r="F7095" s="49" t="str"/>
      <c r="G7095" s="59" t="str"/>
      <c r="H7095" s="64" t="str"/>
      <c r="I7095" s="65" t="str"/>
      <c r="J7095" s="49" t="str"/>
      <c r="K7095" s="41" t="str"/>
      <c r="L7095" s="41" t="str"/>
      <c r="M7095" s="41" t="str"/>
      <c r="N7095" s="41" t="str"/>
      <c r="O7095" s="41" t="str"/>
      <c r="P7095" s="41" t="str"/>
      <c r="Q7095" s="41" t="str"/>
      <c r="R7095" s="41" t="str"/>
      <c r="S7095" s="41" t="str"/>
      <c r="T7095" s="41" t="str"/>
      <c r="U7095" s="41" t="str"/>
      <c r="V7095" s="41" t="str"/>
      <c r="W7095" s="41" t="str"/>
    </row>
    <row r="7096">
      <c r="B7096" s="2" t="n"/>
      <c r="C7096" s="40" t="n"/>
      <c r="D7096" s="52">
        <f t="array" ref="D7096:W7096">IF(All_Students_Scores!C7094:V7094="","",All_Students_Scores!C7094:V7094)</f>
        <v/>
      </c>
      <c r="E7096" s="57" t="str"/>
      <c r="F7096" s="49" t="str"/>
      <c r="G7096" s="59" t="str"/>
      <c r="H7096" s="64" t="str"/>
      <c r="I7096" s="65" t="str"/>
      <c r="J7096" s="49" t="str"/>
      <c r="K7096" s="41" t="str"/>
      <c r="L7096" s="41" t="str"/>
      <c r="M7096" s="41" t="str"/>
      <c r="N7096" s="41" t="str"/>
      <c r="O7096" s="41" t="str"/>
      <c r="P7096" s="41" t="str"/>
      <c r="Q7096" s="41" t="str"/>
      <c r="R7096" s="41" t="str"/>
      <c r="S7096" s="41" t="str"/>
      <c r="T7096" s="41" t="str"/>
      <c r="U7096" s="41" t="str"/>
      <c r="V7096" s="41" t="str"/>
      <c r="W7096" s="41" t="str"/>
    </row>
    <row r="7097">
      <c r="B7097" s="2" t="n"/>
      <c r="C7097" s="40" t="n"/>
      <c r="D7097" s="52">
        <f t="array" ref="D7097:W7097">IF(All_Students_Scores!C7095:V7095="","",All_Students_Scores!C7095:V7095)</f>
        <v/>
      </c>
      <c r="E7097" s="57" t="str"/>
      <c r="F7097" s="49" t="str"/>
      <c r="G7097" s="59" t="str"/>
      <c r="H7097" s="64" t="str"/>
      <c r="I7097" s="65" t="str"/>
      <c r="J7097" s="49" t="str"/>
      <c r="K7097" s="41" t="str"/>
      <c r="L7097" s="41" t="str"/>
      <c r="M7097" s="41" t="str"/>
      <c r="N7097" s="41" t="str"/>
      <c r="O7097" s="41" t="str"/>
      <c r="P7097" s="41" t="str"/>
      <c r="Q7097" s="41" t="str"/>
      <c r="R7097" s="41" t="str"/>
      <c r="S7097" s="41" t="str"/>
      <c r="T7097" s="41" t="str"/>
      <c r="U7097" s="41" t="str"/>
      <c r="V7097" s="41" t="str"/>
      <c r="W7097" s="41" t="str"/>
    </row>
    <row r="7098">
      <c r="B7098" s="2" t="n"/>
      <c r="C7098" s="40" t="n"/>
      <c r="D7098" s="52">
        <f t="array" ref="D7098:W7098">IF(All_Students_Scores!C7096:V7096="","",All_Students_Scores!C7096:V7096)</f>
        <v/>
      </c>
      <c r="E7098" s="57" t="str"/>
      <c r="F7098" s="49" t="str"/>
      <c r="G7098" s="59" t="str"/>
      <c r="H7098" s="64" t="str"/>
      <c r="I7098" s="65" t="str"/>
      <c r="J7098" s="49" t="str"/>
      <c r="K7098" s="41" t="str"/>
      <c r="L7098" s="41" t="str"/>
      <c r="M7098" s="41" t="str"/>
      <c r="N7098" s="41" t="str"/>
      <c r="O7098" s="41" t="str"/>
      <c r="P7098" s="41" t="str"/>
      <c r="Q7098" s="41" t="str"/>
      <c r="R7098" s="41" t="str"/>
      <c r="S7098" s="41" t="str"/>
      <c r="T7098" s="41" t="str"/>
      <c r="U7098" s="41" t="str"/>
      <c r="V7098" s="41" t="str"/>
      <c r="W7098" s="41" t="str"/>
    </row>
    <row r="7099">
      <c r="B7099" s="2" t="n"/>
      <c r="C7099" s="40" t="n"/>
      <c r="D7099" s="52">
        <f t="array" ref="D7099:W7099">IF(All_Students_Scores!C7097:V7097="","",All_Students_Scores!C7097:V7097)</f>
        <v/>
      </c>
      <c r="E7099" s="57" t="str"/>
      <c r="F7099" s="49" t="str"/>
      <c r="G7099" s="59" t="str"/>
      <c r="H7099" s="64" t="str"/>
      <c r="I7099" s="65" t="str"/>
      <c r="J7099" s="49" t="str"/>
      <c r="K7099" s="41" t="str"/>
      <c r="L7099" s="41" t="str"/>
      <c r="M7099" s="41" t="str"/>
      <c r="N7099" s="41" t="str"/>
      <c r="O7099" s="41" t="str"/>
      <c r="P7099" s="41" t="str"/>
      <c r="Q7099" s="41" t="str"/>
      <c r="R7099" s="41" t="str"/>
      <c r="S7099" s="41" t="str"/>
      <c r="T7099" s="41" t="str"/>
      <c r="U7099" s="41" t="str"/>
      <c r="V7099" s="41" t="str"/>
      <c r="W7099" s="41" t="str"/>
    </row>
    <row r="7100">
      <c r="B7100" s="2" t="n"/>
      <c r="C7100" s="40" t="n"/>
      <c r="D7100" s="52">
        <f t="array" ref="D7100:W7100">IF(All_Students_Scores!C7098:V7098="","",All_Students_Scores!C7098:V7098)</f>
        <v/>
      </c>
      <c r="E7100" s="57" t="str"/>
      <c r="F7100" s="49" t="str"/>
      <c r="G7100" s="59" t="str"/>
      <c r="H7100" s="64" t="str"/>
      <c r="I7100" s="65" t="str"/>
      <c r="J7100" s="49" t="str"/>
      <c r="K7100" s="41" t="str"/>
      <c r="L7100" s="41" t="str"/>
      <c r="M7100" s="41" t="str"/>
      <c r="N7100" s="41" t="str"/>
      <c r="O7100" s="41" t="str"/>
      <c r="P7100" s="41" t="str"/>
      <c r="Q7100" s="41" t="str"/>
      <c r="R7100" s="41" t="str"/>
      <c r="S7100" s="41" t="str"/>
      <c r="T7100" s="41" t="str"/>
      <c r="U7100" s="41" t="str"/>
      <c r="V7100" s="41" t="str"/>
      <c r="W7100" s="41" t="str"/>
    </row>
    <row r="7101">
      <c r="B7101" s="2" t="n"/>
      <c r="C7101" s="40" t="n"/>
      <c r="D7101" s="52">
        <f t="array" ref="D7101:W7101">IF(All_Students_Scores!C7099:V7099="","",All_Students_Scores!C7099:V7099)</f>
        <v/>
      </c>
      <c r="E7101" s="57" t="str"/>
      <c r="F7101" s="49" t="str"/>
      <c r="G7101" s="59" t="str"/>
      <c r="H7101" s="64" t="str"/>
      <c r="I7101" s="65" t="str"/>
      <c r="J7101" s="49" t="str"/>
      <c r="K7101" s="41" t="str"/>
      <c r="L7101" s="41" t="str"/>
      <c r="M7101" s="41" t="str"/>
      <c r="N7101" s="41" t="str"/>
      <c r="O7101" s="41" t="str"/>
      <c r="P7101" s="41" t="str"/>
      <c r="Q7101" s="41" t="str"/>
      <c r="R7101" s="41" t="str"/>
      <c r="S7101" s="41" t="str"/>
      <c r="T7101" s="41" t="str"/>
      <c r="U7101" s="41" t="str"/>
      <c r="V7101" s="41" t="str"/>
      <c r="W7101" s="41" t="str"/>
    </row>
    <row r="7102">
      <c r="B7102" s="2" t="n"/>
      <c r="C7102" s="40" t="n"/>
      <c r="D7102" s="52">
        <f t="array" ref="D7102:W7102">IF(All_Students_Scores!C7100:V7100="","",All_Students_Scores!C7100:V7100)</f>
        <v/>
      </c>
      <c r="E7102" s="57" t="str"/>
      <c r="F7102" s="49" t="str"/>
      <c r="G7102" s="59" t="str"/>
      <c r="H7102" s="64" t="str"/>
      <c r="I7102" s="65" t="str"/>
      <c r="J7102" s="49" t="str"/>
      <c r="K7102" s="41" t="str"/>
      <c r="L7102" s="41" t="str"/>
      <c r="M7102" s="41" t="str"/>
      <c r="N7102" s="41" t="str"/>
      <c r="O7102" s="41" t="str"/>
      <c r="P7102" s="41" t="str"/>
      <c r="Q7102" s="41" t="str"/>
      <c r="R7102" s="41" t="str"/>
      <c r="S7102" s="41" t="str"/>
      <c r="T7102" s="41" t="str"/>
      <c r="U7102" s="41" t="str"/>
      <c r="V7102" s="41" t="str"/>
      <c r="W7102" s="41" t="str"/>
    </row>
    <row r="7103">
      <c r="B7103" s="2" t="n"/>
      <c r="C7103" s="40" t="n"/>
      <c r="D7103" s="52">
        <f t="array" ref="D7103:W7103">IF(All_Students_Scores!C7101:V7101="","",All_Students_Scores!C7101:V7101)</f>
        <v/>
      </c>
      <c r="E7103" s="57" t="str"/>
      <c r="F7103" s="49" t="str"/>
      <c r="G7103" s="59" t="str"/>
      <c r="H7103" s="64" t="str"/>
      <c r="I7103" s="65" t="str"/>
      <c r="J7103" s="49" t="str"/>
      <c r="K7103" s="41" t="str"/>
      <c r="L7103" s="41" t="str"/>
      <c r="M7103" s="41" t="str"/>
      <c r="N7103" s="41" t="str"/>
      <c r="O7103" s="41" t="str"/>
      <c r="P7103" s="41" t="str"/>
      <c r="Q7103" s="41" t="str"/>
      <c r="R7103" s="41" t="str"/>
      <c r="S7103" s="41" t="str"/>
      <c r="T7103" s="41" t="str"/>
      <c r="U7103" s="41" t="str"/>
      <c r="V7103" s="41" t="str"/>
      <c r="W7103" s="41" t="str"/>
    </row>
    <row r="7104">
      <c r="B7104" s="2" t="n"/>
      <c r="C7104" s="40" t="n"/>
      <c r="D7104" s="52">
        <f t="array" ref="D7104:W7104">IF(All_Students_Scores!C7102:V7102="","",All_Students_Scores!C7102:V7102)</f>
        <v/>
      </c>
      <c r="E7104" s="57" t="str"/>
      <c r="F7104" s="49" t="str"/>
      <c r="G7104" s="59" t="str"/>
      <c r="H7104" s="64" t="str"/>
      <c r="I7104" s="65" t="str"/>
      <c r="J7104" s="49" t="str"/>
      <c r="K7104" s="41" t="str"/>
      <c r="L7104" s="41" t="str"/>
      <c r="M7104" s="41" t="str"/>
      <c r="N7104" s="41" t="str"/>
      <c r="O7104" s="41" t="str"/>
      <c r="P7104" s="41" t="str"/>
      <c r="Q7104" s="41" t="str"/>
      <c r="R7104" s="41" t="str"/>
      <c r="S7104" s="41" t="str"/>
      <c r="T7104" s="41" t="str"/>
      <c r="U7104" s="41" t="str"/>
      <c r="V7104" s="41" t="str"/>
      <c r="W7104" s="41" t="str"/>
    </row>
    <row r="7105">
      <c r="B7105" s="2" t="n"/>
      <c r="C7105" s="40" t="n"/>
      <c r="D7105" s="52">
        <f t="array" ref="D7105:W7105">IF(All_Students_Scores!C7103:V7103="","",All_Students_Scores!C7103:V7103)</f>
        <v/>
      </c>
      <c r="E7105" s="57" t="str"/>
      <c r="F7105" s="49" t="str"/>
      <c r="G7105" s="59" t="str"/>
      <c r="H7105" s="64" t="str"/>
      <c r="I7105" s="65" t="str"/>
      <c r="J7105" s="49" t="str"/>
      <c r="K7105" s="41" t="str"/>
      <c r="L7105" s="41" t="str"/>
      <c r="M7105" s="41" t="str"/>
      <c r="N7105" s="41" t="str"/>
      <c r="O7105" s="41" t="str"/>
      <c r="P7105" s="41" t="str"/>
      <c r="Q7105" s="41" t="str"/>
      <c r="R7105" s="41" t="str"/>
      <c r="S7105" s="41" t="str"/>
      <c r="T7105" s="41" t="str"/>
      <c r="U7105" s="41" t="str"/>
      <c r="V7105" s="41" t="str"/>
      <c r="W7105" s="41" t="str"/>
    </row>
    <row r="7106">
      <c r="B7106" s="2" t="n"/>
      <c r="C7106" s="40" t="n"/>
      <c r="D7106" s="52">
        <f t="array" ref="D7106:W7106">IF(All_Students_Scores!C7104:V7104="","",All_Students_Scores!C7104:V7104)</f>
        <v/>
      </c>
      <c r="E7106" s="57" t="str"/>
      <c r="F7106" s="49" t="str"/>
      <c r="G7106" s="59" t="str"/>
      <c r="H7106" s="64" t="str"/>
      <c r="I7106" s="65" t="str"/>
      <c r="J7106" s="49" t="str"/>
      <c r="K7106" s="41" t="str"/>
      <c r="L7106" s="41" t="str"/>
      <c r="M7106" s="41" t="str"/>
      <c r="N7106" s="41" t="str"/>
      <c r="O7106" s="41" t="str"/>
      <c r="P7106" s="41" t="str"/>
      <c r="Q7106" s="41" t="str"/>
      <c r="R7106" s="41" t="str"/>
      <c r="S7106" s="41" t="str"/>
      <c r="T7106" s="41" t="str"/>
      <c r="U7106" s="41" t="str"/>
      <c r="V7106" s="41" t="str"/>
      <c r="W7106" s="41" t="str"/>
    </row>
    <row r="7107">
      <c r="B7107" s="2" t="n"/>
      <c r="C7107" s="40" t="n"/>
      <c r="D7107" s="52">
        <f t="array" ref="D7107:W7107">IF(All_Students_Scores!C7105:V7105="","",All_Students_Scores!C7105:V7105)</f>
        <v/>
      </c>
      <c r="E7107" s="57" t="str"/>
      <c r="F7107" s="49" t="str"/>
      <c r="G7107" s="59" t="str"/>
      <c r="H7107" s="64" t="str"/>
      <c r="I7107" s="65" t="str"/>
      <c r="J7107" s="49" t="str"/>
      <c r="K7107" s="41" t="str"/>
      <c r="L7107" s="41" t="str"/>
      <c r="M7107" s="41" t="str"/>
      <c r="N7107" s="41" t="str"/>
      <c r="O7107" s="41" t="str"/>
      <c r="P7107" s="41" t="str"/>
      <c r="Q7107" s="41" t="str"/>
      <c r="R7107" s="41" t="str"/>
      <c r="S7107" s="41" t="str"/>
      <c r="T7107" s="41" t="str"/>
      <c r="U7107" s="41" t="str"/>
      <c r="V7107" s="41" t="str"/>
      <c r="W7107" s="41" t="str"/>
    </row>
    <row r="7108">
      <c r="B7108" s="2" t="n"/>
      <c r="C7108" s="40" t="n"/>
      <c r="D7108" s="52">
        <f t="array" ref="D7108:W7108">IF(All_Students_Scores!C7106:V7106="","",All_Students_Scores!C7106:V7106)</f>
        <v/>
      </c>
      <c r="E7108" s="57" t="str"/>
      <c r="F7108" s="49" t="str"/>
      <c r="G7108" s="59" t="str"/>
      <c r="H7108" s="64" t="str"/>
      <c r="I7108" s="65" t="str"/>
      <c r="J7108" s="49" t="str"/>
      <c r="K7108" s="41" t="str"/>
      <c r="L7108" s="41" t="str"/>
      <c r="M7108" s="41" t="str"/>
      <c r="N7108" s="41" t="str"/>
      <c r="O7108" s="41" t="str"/>
      <c r="P7108" s="41" t="str"/>
      <c r="Q7108" s="41" t="str"/>
      <c r="R7108" s="41" t="str"/>
      <c r="S7108" s="41" t="str"/>
      <c r="T7108" s="41" t="str"/>
      <c r="U7108" s="41" t="str"/>
      <c r="V7108" s="41" t="str"/>
      <c r="W7108" s="41" t="str"/>
    </row>
    <row r="7109">
      <c r="B7109" s="2" t="n"/>
      <c r="C7109" s="40" t="n"/>
      <c r="D7109" s="52">
        <f t="array" ref="D7109:W7109">IF(All_Students_Scores!C7107:V7107="","",All_Students_Scores!C7107:V7107)</f>
        <v/>
      </c>
      <c r="E7109" s="57" t="str"/>
      <c r="F7109" s="49" t="str"/>
      <c r="G7109" s="59" t="str"/>
      <c r="H7109" s="64" t="str"/>
      <c r="I7109" s="65" t="str"/>
      <c r="J7109" s="49" t="str"/>
      <c r="K7109" s="41" t="str"/>
      <c r="L7109" s="41" t="str"/>
      <c r="M7109" s="41" t="str"/>
      <c r="N7109" s="41" t="str"/>
      <c r="O7109" s="41" t="str"/>
      <c r="P7109" s="41" t="str"/>
      <c r="Q7109" s="41" t="str"/>
      <c r="R7109" s="41" t="str"/>
      <c r="S7109" s="41" t="str"/>
      <c r="T7109" s="41" t="str"/>
      <c r="U7109" s="41" t="str"/>
      <c r="V7109" s="41" t="str"/>
      <c r="W7109" s="41" t="str"/>
    </row>
    <row r="7110">
      <c r="B7110" s="2" t="n"/>
      <c r="C7110" s="40" t="n"/>
      <c r="D7110" s="52">
        <f t="array" ref="D7110:W7110">IF(All_Students_Scores!C7108:V7108="","",All_Students_Scores!C7108:V7108)</f>
        <v/>
      </c>
      <c r="E7110" s="57" t="str"/>
      <c r="F7110" s="49" t="str"/>
      <c r="G7110" s="59" t="str"/>
      <c r="H7110" s="64" t="str"/>
      <c r="I7110" s="65" t="str"/>
      <c r="J7110" s="49" t="str"/>
      <c r="K7110" s="41" t="str"/>
      <c r="L7110" s="41" t="str"/>
      <c r="M7110" s="41" t="str"/>
      <c r="N7110" s="41" t="str"/>
      <c r="O7110" s="41" t="str"/>
      <c r="P7110" s="41" t="str"/>
      <c r="Q7110" s="41" t="str"/>
      <c r="R7110" s="41" t="str"/>
      <c r="S7110" s="41" t="str"/>
      <c r="T7110" s="41" t="str"/>
      <c r="U7110" s="41" t="str"/>
      <c r="V7110" s="41" t="str"/>
      <c r="W7110" s="41" t="str"/>
    </row>
    <row r="7111">
      <c r="B7111" s="2" t="n"/>
      <c r="C7111" s="40" t="n"/>
      <c r="D7111" s="52">
        <f t="array" ref="D7111:W7111">IF(All_Students_Scores!C7109:V7109="","",All_Students_Scores!C7109:V7109)</f>
        <v/>
      </c>
      <c r="E7111" s="57" t="str"/>
      <c r="F7111" s="49" t="str"/>
      <c r="G7111" s="59" t="str"/>
      <c r="H7111" s="64" t="str"/>
      <c r="I7111" s="65" t="str"/>
      <c r="J7111" s="49" t="str"/>
      <c r="K7111" s="41" t="str"/>
      <c r="L7111" s="41" t="str"/>
      <c r="M7111" s="41" t="str"/>
      <c r="N7111" s="41" t="str"/>
      <c r="O7111" s="41" t="str"/>
      <c r="P7111" s="41" t="str"/>
      <c r="Q7111" s="41" t="str"/>
      <c r="R7111" s="41" t="str"/>
      <c r="S7111" s="41" t="str"/>
      <c r="T7111" s="41" t="str"/>
      <c r="U7111" s="41" t="str"/>
      <c r="V7111" s="41" t="str"/>
      <c r="W7111" s="41" t="str"/>
    </row>
    <row r="7112">
      <c r="B7112" s="2" t="n"/>
      <c r="C7112" s="40" t="n"/>
      <c r="D7112" s="52">
        <f t="array" ref="D7112:W7112">IF(All_Students_Scores!C7110:V7110="","",All_Students_Scores!C7110:V7110)</f>
        <v/>
      </c>
      <c r="E7112" s="57" t="str"/>
      <c r="F7112" s="49" t="str"/>
      <c r="G7112" s="59" t="str"/>
      <c r="H7112" s="64" t="str"/>
      <c r="I7112" s="65" t="str"/>
      <c r="J7112" s="49" t="str"/>
      <c r="K7112" s="41" t="str"/>
      <c r="L7112" s="41" t="str"/>
      <c r="M7112" s="41" t="str"/>
      <c r="N7112" s="41" t="str"/>
      <c r="O7112" s="41" t="str"/>
      <c r="P7112" s="41" t="str"/>
      <c r="Q7112" s="41" t="str"/>
      <c r="R7112" s="41" t="str"/>
      <c r="S7112" s="41" t="str"/>
      <c r="T7112" s="41" t="str"/>
      <c r="U7112" s="41" t="str"/>
      <c r="V7112" s="41" t="str"/>
      <c r="W7112" s="41" t="str"/>
    </row>
    <row r="7113">
      <c r="B7113" s="2" t="n"/>
      <c r="C7113" s="40" t="n"/>
      <c r="D7113" s="52">
        <f t="array" ref="D7113:W7113">IF(All_Students_Scores!C7111:V7111="","",All_Students_Scores!C7111:V7111)</f>
        <v/>
      </c>
      <c r="E7113" s="57" t="str"/>
      <c r="F7113" s="49" t="str"/>
      <c r="G7113" s="59" t="str"/>
      <c r="H7113" s="64" t="str"/>
      <c r="I7113" s="65" t="str"/>
      <c r="J7113" s="49" t="str"/>
      <c r="K7113" s="41" t="str"/>
      <c r="L7113" s="41" t="str"/>
      <c r="M7113" s="41" t="str"/>
      <c r="N7113" s="41" t="str"/>
      <c r="O7113" s="41" t="str"/>
      <c r="P7113" s="41" t="str"/>
      <c r="Q7113" s="41" t="str"/>
      <c r="R7113" s="41" t="str"/>
      <c r="S7113" s="41" t="str"/>
      <c r="T7113" s="41" t="str"/>
      <c r="U7113" s="41" t="str"/>
      <c r="V7113" s="41" t="str"/>
      <c r="W7113" s="41" t="str"/>
    </row>
    <row r="7114">
      <c r="B7114" s="2" t="n"/>
      <c r="C7114" s="40" t="n"/>
      <c r="D7114" s="52">
        <f t="array" ref="D7114:W7114">IF(All_Students_Scores!C7112:V7112="","",All_Students_Scores!C7112:V7112)</f>
        <v/>
      </c>
      <c r="E7114" s="57" t="str"/>
      <c r="F7114" s="49" t="str"/>
      <c r="G7114" s="59" t="str"/>
      <c r="H7114" s="64" t="str"/>
      <c r="I7114" s="65" t="str"/>
      <c r="J7114" s="49" t="str"/>
      <c r="K7114" s="41" t="str"/>
      <c r="L7114" s="41" t="str"/>
      <c r="M7114" s="41" t="str"/>
      <c r="N7114" s="41" t="str"/>
      <c r="O7114" s="41" t="str"/>
      <c r="P7114" s="41" t="str"/>
      <c r="Q7114" s="41" t="str"/>
      <c r="R7114" s="41" t="str"/>
      <c r="S7114" s="41" t="str"/>
      <c r="T7114" s="41" t="str"/>
      <c r="U7114" s="41" t="str"/>
      <c r="V7114" s="41" t="str"/>
      <c r="W7114" s="41" t="str"/>
    </row>
    <row r="7115">
      <c r="B7115" s="2" t="n"/>
      <c r="C7115" s="40" t="n"/>
      <c r="D7115" s="52">
        <f t="array" ref="D7115:W7115">IF(All_Students_Scores!C7113:V7113="","",All_Students_Scores!C7113:V7113)</f>
        <v/>
      </c>
      <c r="E7115" s="57" t="str"/>
      <c r="F7115" s="49" t="str"/>
      <c r="G7115" s="59" t="str"/>
      <c r="H7115" s="64" t="str"/>
      <c r="I7115" s="65" t="str"/>
      <c r="J7115" s="49" t="str"/>
      <c r="K7115" s="41" t="str"/>
      <c r="L7115" s="41" t="str"/>
      <c r="M7115" s="41" t="str"/>
      <c r="N7115" s="41" t="str"/>
      <c r="O7115" s="41" t="str"/>
      <c r="P7115" s="41" t="str"/>
      <c r="Q7115" s="41" t="str"/>
      <c r="R7115" s="41" t="str"/>
      <c r="S7115" s="41" t="str"/>
      <c r="T7115" s="41" t="str"/>
      <c r="U7115" s="41" t="str"/>
      <c r="V7115" s="41" t="str"/>
      <c r="W7115" s="41" t="str"/>
    </row>
    <row r="7116">
      <c r="B7116" s="2" t="n"/>
      <c r="C7116" s="40" t="n"/>
      <c r="D7116" s="52">
        <f t="array" ref="D7116:W7116">IF(All_Students_Scores!C7114:V7114="","",All_Students_Scores!C7114:V7114)</f>
        <v/>
      </c>
      <c r="E7116" s="57" t="str"/>
      <c r="F7116" s="49" t="str"/>
      <c r="G7116" s="59" t="str"/>
      <c r="H7116" s="64" t="str"/>
      <c r="I7116" s="65" t="str"/>
      <c r="J7116" s="49" t="str"/>
      <c r="K7116" s="41" t="str"/>
      <c r="L7116" s="41" t="str"/>
      <c r="M7116" s="41" t="str"/>
      <c r="N7116" s="41" t="str"/>
      <c r="O7116" s="41" t="str"/>
      <c r="P7116" s="41" t="str"/>
      <c r="Q7116" s="41" t="str"/>
      <c r="R7116" s="41" t="str"/>
      <c r="S7116" s="41" t="str"/>
      <c r="T7116" s="41" t="str"/>
      <c r="U7116" s="41" t="str"/>
      <c r="V7116" s="41" t="str"/>
      <c r="W7116" s="41" t="str"/>
    </row>
    <row r="7117">
      <c r="B7117" s="2" t="n"/>
      <c r="C7117" s="40" t="n"/>
      <c r="D7117" s="52">
        <f t="array" ref="D7117:W7117">IF(All_Students_Scores!C7115:V7115="","",All_Students_Scores!C7115:V7115)</f>
        <v/>
      </c>
      <c r="E7117" s="57" t="str"/>
      <c r="F7117" s="49" t="str"/>
      <c r="G7117" s="59" t="str"/>
      <c r="H7117" s="64" t="str"/>
      <c r="I7117" s="65" t="str"/>
      <c r="J7117" s="49" t="str"/>
      <c r="K7117" s="41" t="str"/>
      <c r="L7117" s="41" t="str"/>
      <c r="M7117" s="41" t="str"/>
      <c r="N7117" s="41" t="str"/>
      <c r="O7117" s="41" t="str"/>
      <c r="P7117" s="41" t="str"/>
      <c r="Q7117" s="41" t="str"/>
      <c r="R7117" s="41" t="str"/>
      <c r="S7117" s="41" t="str"/>
      <c r="T7117" s="41" t="str"/>
      <c r="U7117" s="41" t="str"/>
      <c r="V7117" s="41" t="str"/>
      <c r="W7117" s="41" t="str"/>
    </row>
    <row r="7118">
      <c r="B7118" s="2" t="n"/>
      <c r="C7118" s="40" t="n"/>
      <c r="D7118" s="52">
        <f t="array" ref="D7118:W7118">IF(All_Students_Scores!C7116:V7116="","",All_Students_Scores!C7116:V7116)</f>
        <v/>
      </c>
      <c r="E7118" s="57" t="str"/>
      <c r="F7118" s="49" t="str"/>
      <c r="G7118" s="59" t="str"/>
      <c r="H7118" s="64" t="str"/>
      <c r="I7118" s="65" t="str"/>
      <c r="J7118" s="49" t="str"/>
      <c r="K7118" s="41" t="str"/>
      <c r="L7118" s="41" t="str"/>
      <c r="M7118" s="41" t="str"/>
      <c r="N7118" s="41" t="str"/>
      <c r="O7118" s="41" t="str"/>
      <c r="P7118" s="41" t="str"/>
      <c r="Q7118" s="41" t="str"/>
      <c r="R7118" s="41" t="str"/>
      <c r="S7118" s="41" t="str"/>
      <c r="T7118" s="41" t="str"/>
      <c r="U7118" s="41" t="str"/>
      <c r="V7118" s="41" t="str"/>
      <c r="W7118" s="41" t="str"/>
    </row>
    <row r="7119">
      <c r="B7119" s="2" t="n"/>
      <c r="C7119" s="40" t="n"/>
      <c r="D7119" s="52">
        <f t="array" ref="D7119:W7119">IF(All_Students_Scores!C7117:V7117="","",All_Students_Scores!C7117:V7117)</f>
        <v/>
      </c>
      <c r="E7119" s="57" t="str"/>
      <c r="F7119" s="49" t="str"/>
      <c r="G7119" s="59" t="str"/>
      <c r="H7119" s="64" t="str"/>
      <c r="I7119" s="65" t="str"/>
      <c r="J7119" s="49" t="str"/>
      <c r="K7119" s="41" t="str"/>
      <c r="L7119" s="41" t="str"/>
      <c r="M7119" s="41" t="str"/>
      <c r="N7119" s="41" t="str"/>
      <c r="O7119" s="41" t="str"/>
      <c r="P7119" s="41" t="str"/>
      <c r="Q7119" s="41" t="str"/>
      <c r="R7119" s="41" t="str"/>
      <c r="S7119" s="41" t="str"/>
      <c r="T7119" s="41" t="str"/>
      <c r="U7119" s="41" t="str"/>
      <c r="V7119" s="41" t="str"/>
      <c r="W7119" s="41" t="str"/>
    </row>
    <row r="7120">
      <c r="B7120" s="2" t="n"/>
      <c r="C7120" s="40" t="n"/>
      <c r="D7120" s="52">
        <f t="array" ref="D7120:W7120">IF(All_Students_Scores!C7118:V7118="","",All_Students_Scores!C7118:V7118)</f>
        <v/>
      </c>
      <c r="E7120" s="57" t="str"/>
      <c r="F7120" s="49" t="str"/>
      <c r="G7120" s="59" t="str"/>
      <c r="H7120" s="64" t="str"/>
      <c r="I7120" s="65" t="str"/>
      <c r="J7120" s="49" t="str"/>
      <c r="K7120" s="41" t="str"/>
      <c r="L7120" s="41" t="str"/>
      <c r="M7120" s="41" t="str"/>
      <c r="N7120" s="41" t="str"/>
      <c r="O7120" s="41" t="str"/>
      <c r="P7120" s="41" t="str"/>
      <c r="Q7120" s="41" t="str"/>
      <c r="R7120" s="41" t="str"/>
      <c r="S7120" s="41" t="str"/>
      <c r="T7120" s="41" t="str"/>
      <c r="U7120" s="41" t="str"/>
      <c r="V7120" s="41" t="str"/>
      <c r="W7120" s="41" t="str"/>
    </row>
    <row r="7121">
      <c r="B7121" s="2" t="n"/>
      <c r="C7121" s="40" t="n"/>
      <c r="D7121" s="52">
        <f t="array" ref="D7121:W7121">IF(All_Students_Scores!C7119:V7119="","",All_Students_Scores!C7119:V7119)</f>
        <v/>
      </c>
      <c r="E7121" s="57" t="str"/>
      <c r="F7121" s="49" t="str"/>
      <c r="G7121" s="59" t="str"/>
      <c r="H7121" s="64" t="str"/>
      <c r="I7121" s="65" t="str"/>
      <c r="J7121" s="49" t="str"/>
      <c r="K7121" s="41" t="str"/>
      <c r="L7121" s="41" t="str"/>
      <c r="M7121" s="41" t="str"/>
      <c r="N7121" s="41" t="str"/>
      <c r="O7121" s="41" t="str"/>
      <c r="P7121" s="41" t="str"/>
      <c r="Q7121" s="41" t="str"/>
      <c r="R7121" s="41" t="str"/>
      <c r="S7121" s="41" t="str"/>
      <c r="T7121" s="41" t="str"/>
      <c r="U7121" s="41" t="str"/>
      <c r="V7121" s="41" t="str"/>
      <c r="W7121" s="41" t="str"/>
    </row>
    <row r="7122">
      <c r="B7122" s="2" t="n"/>
      <c r="C7122" s="40" t="n"/>
      <c r="D7122" s="52">
        <f t="array" ref="D7122:W7122">IF(All_Students_Scores!C7120:V7120="","",All_Students_Scores!C7120:V7120)</f>
        <v/>
      </c>
      <c r="E7122" s="57" t="str"/>
      <c r="F7122" s="49" t="str"/>
      <c r="G7122" s="59" t="str"/>
      <c r="H7122" s="64" t="str"/>
      <c r="I7122" s="65" t="str"/>
      <c r="J7122" s="49" t="str"/>
      <c r="K7122" s="41" t="str"/>
      <c r="L7122" s="41" t="str"/>
      <c r="M7122" s="41" t="str"/>
      <c r="N7122" s="41" t="str"/>
      <c r="O7122" s="41" t="str"/>
      <c r="P7122" s="41" t="str"/>
      <c r="Q7122" s="41" t="str"/>
      <c r="R7122" s="41" t="str"/>
      <c r="S7122" s="41" t="str"/>
      <c r="T7122" s="41" t="str"/>
      <c r="U7122" s="41" t="str"/>
      <c r="V7122" s="41" t="str"/>
      <c r="W7122" s="41" t="str"/>
    </row>
    <row r="7123">
      <c r="B7123" s="2" t="n"/>
      <c r="C7123" s="40" t="n"/>
      <c r="D7123" s="52">
        <f t="array" ref="D7123:W7123">IF(All_Students_Scores!C7121:V7121="","",All_Students_Scores!C7121:V7121)</f>
        <v/>
      </c>
      <c r="E7123" s="57" t="str"/>
      <c r="F7123" s="49" t="str"/>
      <c r="G7123" s="59" t="str"/>
      <c r="H7123" s="64" t="str"/>
      <c r="I7123" s="65" t="str"/>
      <c r="J7123" s="49" t="str"/>
      <c r="K7123" s="41" t="str"/>
      <c r="L7123" s="41" t="str"/>
      <c r="M7123" s="41" t="str"/>
      <c r="N7123" s="41" t="str"/>
      <c r="O7123" s="41" t="str"/>
      <c r="P7123" s="41" t="str"/>
      <c r="Q7123" s="41" t="str"/>
      <c r="R7123" s="41" t="str"/>
      <c r="S7123" s="41" t="str"/>
      <c r="T7123" s="41" t="str"/>
      <c r="U7123" s="41" t="str"/>
      <c r="V7123" s="41" t="str"/>
      <c r="W7123" s="41" t="str"/>
    </row>
    <row r="7124">
      <c r="B7124" s="2" t="n"/>
      <c r="C7124" s="40" t="n"/>
      <c r="D7124" s="52">
        <f t="array" ref="D7124:W7124">IF(All_Students_Scores!C7122:V7122="","",All_Students_Scores!C7122:V7122)</f>
        <v/>
      </c>
      <c r="E7124" s="57" t="str"/>
      <c r="F7124" s="49" t="str"/>
      <c r="G7124" s="59" t="str"/>
      <c r="H7124" s="64" t="str"/>
      <c r="I7124" s="65" t="str"/>
      <c r="J7124" s="49" t="str"/>
      <c r="K7124" s="41" t="str"/>
      <c r="L7124" s="41" t="str"/>
      <c r="M7124" s="41" t="str"/>
      <c r="N7124" s="41" t="str"/>
      <c r="O7124" s="41" t="str"/>
      <c r="P7124" s="41" t="str"/>
      <c r="Q7124" s="41" t="str"/>
      <c r="R7124" s="41" t="str"/>
      <c r="S7124" s="41" t="str"/>
      <c r="T7124" s="41" t="str"/>
      <c r="U7124" s="41" t="str"/>
      <c r="V7124" s="41" t="str"/>
      <c r="W7124" s="41" t="str"/>
    </row>
    <row r="7125">
      <c r="B7125" s="2" t="n"/>
      <c r="C7125" s="40" t="n"/>
      <c r="D7125" s="52">
        <f t="array" ref="D7125:W7125">IF(All_Students_Scores!C7123:V7123="","",All_Students_Scores!C7123:V7123)</f>
        <v/>
      </c>
      <c r="E7125" s="57" t="str"/>
      <c r="F7125" s="49" t="str"/>
      <c r="G7125" s="59" t="str"/>
      <c r="H7125" s="64" t="str"/>
      <c r="I7125" s="65" t="str"/>
      <c r="J7125" s="49" t="str"/>
      <c r="K7125" s="41" t="str"/>
      <c r="L7125" s="41" t="str"/>
      <c r="M7125" s="41" t="str"/>
      <c r="N7125" s="41" t="str"/>
      <c r="O7125" s="41" t="str"/>
      <c r="P7125" s="41" t="str"/>
      <c r="Q7125" s="41" t="str"/>
      <c r="R7125" s="41" t="str"/>
      <c r="S7125" s="41" t="str"/>
      <c r="T7125" s="41" t="str"/>
      <c r="U7125" s="41" t="str"/>
      <c r="V7125" s="41" t="str"/>
      <c r="W7125" s="41" t="str"/>
    </row>
    <row r="7126">
      <c r="B7126" s="2" t="n"/>
      <c r="C7126" s="40" t="n"/>
      <c r="D7126" s="52">
        <f t="array" ref="D7126:W7126">IF(All_Students_Scores!C7124:V7124="","",All_Students_Scores!C7124:V7124)</f>
        <v/>
      </c>
      <c r="E7126" s="57" t="str"/>
      <c r="F7126" s="49" t="str"/>
      <c r="G7126" s="59" t="str"/>
      <c r="H7126" s="64" t="str"/>
      <c r="I7126" s="65" t="str"/>
      <c r="J7126" s="49" t="str"/>
      <c r="K7126" s="41" t="str"/>
      <c r="L7126" s="41" t="str"/>
      <c r="M7126" s="41" t="str"/>
      <c r="N7126" s="41" t="str"/>
      <c r="O7126" s="41" t="str"/>
      <c r="P7126" s="41" t="str"/>
      <c r="Q7126" s="41" t="str"/>
      <c r="R7126" s="41" t="str"/>
      <c r="S7126" s="41" t="str"/>
      <c r="T7126" s="41" t="str"/>
      <c r="U7126" s="41" t="str"/>
      <c r="V7126" s="41" t="str"/>
      <c r="W7126" s="41" t="str"/>
    </row>
    <row r="7127">
      <c r="B7127" s="2" t="n"/>
      <c r="C7127" s="40" t="n"/>
      <c r="D7127" s="52">
        <f t="array" ref="D7127:W7127">IF(All_Students_Scores!C7125:V7125="","",All_Students_Scores!C7125:V7125)</f>
        <v/>
      </c>
      <c r="E7127" s="57" t="str"/>
      <c r="F7127" s="49" t="str"/>
      <c r="G7127" s="59" t="str"/>
      <c r="H7127" s="64" t="str"/>
      <c r="I7127" s="65" t="str"/>
      <c r="J7127" s="49" t="str"/>
      <c r="K7127" s="41" t="str"/>
      <c r="L7127" s="41" t="str"/>
      <c r="M7127" s="41" t="str"/>
      <c r="N7127" s="41" t="str"/>
      <c r="O7127" s="41" t="str"/>
      <c r="P7127" s="41" t="str"/>
      <c r="Q7127" s="41" t="str"/>
      <c r="R7127" s="41" t="str"/>
      <c r="S7127" s="41" t="str"/>
      <c r="T7127" s="41" t="str"/>
      <c r="U7127" s="41" t="str"/>
      <c r="V7127" s="41" t="str"/>
      <c r="W7127" s="41" t="str"/>
    </row>
    <row r="7128">
      <c r="B7128" s="2" t="n"/>
      <c r="C7128" s="40" t="n"/>
      <c r="D7128" s="52">
        <f t="array" ref="D7128:W7128">IF(All_Students_Scores!C7126:V7126="","",All_Students_Scores!C7126:V7126)</f>
        <v/>
      </c>
      <c r="E7128" s="57" t="str"/>
      <c r="F7128" s="49" t="str"/>
      <c r="G7128" s="59" t="str"/>
      <c r="H7128" s="64" t="str"/>
      <c r="I7128" s="65" t="str"/>
      <c r="J7128" s="49" t="str"/>
      <c r="K7128" s="41" t="str"/>
      <c r="L7128" s="41" t="str"/>
      <c r="M7128" s="41" t="str"/>
      <c r="N7128" s="41" t="str"/>
      <c r="O7128" s="41" t="str"/>
      <c r="P7128" s="41" t="str"/>
      <c r="Q7128" s="41" t="str"/>
      <c r="R7128" s="41" t="str"/>
      <c r="S7128" s="41" t="str"/>
      <c r="T7128" s="41" t="str"/>
      <c r="U7128" s="41" t="str"/>
      <c r="V7128" s="41" t="str"/>
      <c r="W7128" s="41" t="str"/>
    </row>
    <row r="7129">
      <c r="B7129" s="2" t="n"/>
      <c r="C7129" s="40" t="n"/>
      <c r="D7129" s="52">
        <f t="array" ref="D7129:W7129">IF(All_Students_Scores!C7127:V7127="","",All_Students_Scores!C7127:V7127)</f>
        <v/>
      </c>
      <c r="E7129" s="57" t="str"/>
      <c r="F7129" s="49" t="str"/>
      <c r="G7129" s="59" t="str"/>
      <c r="H7129" s="64" t="str"/>
      <c r="I7129" s="65" t="str"/>
      <c r="J7129" s="49" t="str"/>
      <c r="K7129" s="41" t="str"/>
      <c r="L7129" s="41" t="str"/>
      <c r="M7129" s="41" t="str"/>
      <c r="N7129" s="41" t="str"/>
      <c r="O7129" s="41" t="str"/>
      <c r="P7129" s="41" t="str"/>
      <c r="Q7129" s="41" t="str"/>
      <c r="R7129" s="41" t="str"/>
      <c r="S7129" s="41" t="str"/>
      <c r="T7129" s="41" t="str"/>
      <c r="U7129" s="41" t="str"/>
      <c r="V7129" s="41" t="str"/>
      <c r="W7129" s="41" t="str"/>
    </row>
    <row r="7130">
      <c r="B7130" s="2" t="n"/>
      <c r="C7130" s="40" t="n"/>
      <c r="D7130" s="52">
        <f t="array" ref="D7130:W7130">IF(All_Students_Scores!C7128:V7128="","",All_Students_Scores!C7128:V7128)</f>
        <v/>
      </c>
      <c r="E7130" s="57" t="str"/>
      <c r="F7130" s="49" t="str"/>
      <c r="G7130" s="59" t="str"/>
      <c r="H7130" s="64" t="str"/>
      <c r="I7130" s="65" t="str"/>
      <c r="J7130" s="49" t="str"/>
      <c r="K7130" s="41" t="str"/>
      <c r="L7130" s="41" t="str"/>
      <c r="M7130" s="41" t="str"/>
      <c r="N7130" s="41" t="str"/>
      <c r="O7130" s="41" t="str"/>
      <c r="P7130" s="41" t="str"/>
      <c r="Q7130" s="41" t="str"/>
      <c r="R7130" s="41" t="str"/>
      <c r="S7130" s="41" t="str"/>
      <c r="T7130" s="41" t="str"/>
      <c r="U7130" s="41" t="str"/>
      <c r="V7130" s="41" t="str"/>
      <c r="W7130" s="41" t="str"/>
    </row>
    <row r="7131">
      <c r="B7131" s="2" t="n"/>
      <c r="C7131" s="40" t="n"/>
      <c r="D7131" s="52">
        <f t="array" ref="D7131:W7131">IF(All_Students_Scores!C7129:V7129="","",All_Students_Scores!C7129:V7129)</f>
        <v/>
      </c>
      <c r="E7131" s="57" t="str"/>
      <c r="F7131" s="49" t="str"/>
      <c r="G7131" s="59" t="str"/>
      <c r="H7131" s="64" t="str"/>
      <c r="I7131" s="65" t="str"/>
      <c r="J7131" s="49" t="str"/>
      <c r="K7131" s="41" t="str"/>
      <c r="L7131" s="41" t="str"/>
      <c r="M7131" s="41" t="str"/>
      <c r="N7131" s="41" t="str"/>
      <c r="O7131" s="41" t="str"/>
      <c r="P7131" s="41" t="str"/>
      <c r="Q7131" s="41" t="str"/>
      <c r="R7131" s="41" t="str"/>
      <c r="S7131" s="41" t="str"/>
      <c r="T7131" s="41" t="str"/>
      <c r="U7131" s="41" t="str"/>
      <c r="V7131" s="41" t="str"/>
      <c r="W7131" s="41" t="str"/>
    </row>
    <row r="7132">
      <c r="B7132" s="2" t="n"/>
      <c r="C7132" s="40" t="n"/>
      <c r="D7132" s="52">
        <f t="array" ref="D7132:W7132">IF(All_Students_Scores!C7130:V7130="","",All_Students_Scores!C7130:V7130)</f>
        <v/>
      </c>
      <c r="E7132" s="57" t="str"/>
      <c r="F7132" s="49" t="str"/>
      <c r="G7132" s="59" t="str"/>
      <c r="H7132" s="64" t="str"/>
      <c r="I7132" s="65" t="str"/>
      <c r="J7132" s="49" t="str"/>
      <c r="K7132" s="41" t="str"/>
      <c r="L7132" s="41" t="str"/>
      <c r="M7132" s="41" t="str"/>
      <c r="N7132" s="41" t="str"/>
      <c r="O7132" s="41" t="str"/>
      <c r="P7132" s="41" t="str"/>
      <c r="Q7132" s="41" t="str"/>
      <c r="R7132" s="41" t="str"/>
      <c r="S7132" s="41" t="str"/>
      <c r="T7132" s="41" t="str"/>
      <c r="U7132" s="41" t="str"/>
      <c r="V7132" s="41" t="str"/>
      <c r="W7132" s="41" t="str"/>
    </row>
    <row r="7133">
      <c r="B7133" s="2" t="n"/>
      <c r="C7133" s="40" t="n"/>
      <c r="D7133" s="52">
        <f t="array" ref="D7133:W7133">IF(All_Students_Scores!C7131:V7131="","",All_Students_Scores!C7131:V7131)</f>
        <v/>
      </c>
      <c r="E7133" s="57" t="str"/>
      <c r="F7133" s="49" t="str"/>
      <c r="G7133" s="59" t="str"/>
      <c r="H7133" s="64" t="str"/>
      <c r="I7133" s="65" t="str"/>
      <c r="J7133" s="49" t="str"/>
      <c r="K7133" s="41" t="str"/>
      <c r="L7133" s="41" t="str"/>
      <c r="M7133" s="41" t="str"/>
      <c r="N7133" s="41" t="str"/>
      <c r="O7133" s="41" t="str"/>
      <c r="P7133" s="41" t="str"/>
      <c r="Q7133" s="41" t="str"/>
      <c r="R7133" s="41" t="str"/>
      <c r="S7133" s="41" t="str"/>
      <c r="T7133" s="41" t="str"/>
      <c r="U7133" s="41" t="str"/>
      <c r="V7133" s="41" t="str"/>
      <c r="W7133" s="41" t="str"/>
    </row>
    <row r="7134">
      <c r="B7134" s="2" t="n"/>
      <c r="C7134" s="40" t="n"/>
      <c r="D7134" s="52">
        <f t="array" ref="D7134:W7134">IF(All_Students_Scores!C7132:V7132="","",All_Students_Scores!C7132:V7132)</f>
        <v/>
      </c>
      <c r="E7134" s="57" t="str"/>
      <c r="F7134" s="49" t="str"/>
      <c r="G7134" s="59" t="str"/>
      <c r="H7134" s="64" t="str"/>
      <c r="I7134" s="65" t="str"/>
      <c r="J7134" s="49" t="str"/>
      <c r="K7134" s="41" t="str"/>
      <c r="L7134" s="41" t="str"/>
      <c r="M7134" s="41" t="str"/>
      <c r="N7134" s="41" t="str"/>
      <c r="O7134" s="41" t="str"/>
      <c r="P7134" s="41" t="str"/>
      <c r="Q7134" s="41" t="str"/>
      <c r="R7134" s="41" t="str"/>
      <c r="S7134" s="41" t="str"/>
      <c r="T7134" s="41" t="str"/>
      <c r="U7134" s="41" t="str"/>
      <c r="V7134" s="41" t="str"/>
      <c r="W7134" s="41" t="str"/>
    </row>
    <row r="7135">
      <c r="B7135" s="2" t="n"/>
      <c r="C7135" s="40" t="n"/>
      <c r="D7135" s="52">
        <f t="array" ref="D7135:W7135">IF(All_Students_Scores!C7133:V7133="","",All_Students_Scores!C7133:V7133)</f>
        <v/>
      </c>
      <c r="E7135" s="57" t="str"/>
      <c r="F7135" s="49" t="str"/>
      <c r="G7135" s="59" t="str"/>
      <c r="H7135" s="64" t="str"/>
      <c r="I7135" s="65" t="str"/>
      <c r="J7135" s="49" t="str"/>
      <c r="K7135" s="41" t="str"/>
      <c r="L7135" s="41" t="str"/>
      <c r="M7135" s="41" t="str"/>
      <c r="N7135" s="41" t="str"/>
      <c r="O7135" s="41" t="str"/>
      <c r="P7135" s="41" t="str"/>
      <c r="Q7135" s="41" t="str"/>
      <c r="R7135" s="41" t="str"/>
      <c r="S7135" s="41" t="str"/>
      <c r="T7135" s="41" t="str"/>
      <c r="U7135" s="41" t="str"/>
      <c r="V7135" s="41" t="str"/>
      <c r="W7135" s="41" t="str"/>
    </row>
    <row r="7136">
      <c r="B7136" s="2" t="n"/>
      <c r="C7136" s="40" t="n"/>
      <c r="D7136" s="52">
        <f t="array" ref="D7136:W7136">IF(All_Students_Scores!C7134:V7134="","",All_Students_Scores!C7134:V7134)</f>
        <v/>
      </c>
      <c r="E7136" s="57" t="str"/>
      <c r="F7136" s="49" t="str"/>
      <c r="G7136" s="59" t="str"/>
      <c r="H7136" s="64" t="str"/>
      <c r="I7136" s="65" t="str"/>
      <c r="J7136" s="49" t="str"/>
      <c r="K7136" s="41" t="str"/>
      <c r="L7136" s="41" t="str"/>
      <c r="M7136" s="41" t="str"/>
      <c r="N7136" s="41" t="str"/>
      <c r="O7136" s="41" t="str"/>
      <c r="P7136" s="41" t="str"/>
      <c r="Q7136" s="41" t="str"/>
      <c r="R7136" s="41" t="str"/>
      <c r="S7136" s="41" t="str"/>
      <c r="T7136" s="41" t="str"/>
      <c r="U7136" s="41" t="str"/>
      <c r="V7136" s="41" t="str"/>
      <c r="W7136" s="41" t="str"/>
    </row>
    <row r="7137">
      <c r="B7137" s="2" t="n"/>
      <c r="C7137" s="40" t="n"/>
      <c r="D7137" s="52">
        <f t="array" ref="D7137:W7137">IF(All_Students_Scores!C7135:V7135="","",All_Students_Scores!C7135:V7135)</f>
        <v/>
      </c>
      <c r="E7137" s="57" t="str"/>
      <c r="F7137" s="49" t="str"/>
      <c r="G7137" s="59" t="str"/>
      <c r="H7137" s="64" t="str"/>
      <c r="I7137" s="65" t="str"/>
      <c r="J7137" s="49" t="str"/>
      <c r="K7137" s="41" t="str"/>
      <c r="L7137" s="41" t="str"/>
      <c r="M7137" s="41" t="str"/>
      <c r="N7137" s="41" t="str"/>
      <c r="O7137" s="41" t="str"/>
      <c r="P7137" s="41" t="str"/>
      <c r="Q7137" s="41" t="str"/>
      <c r="R7137" s="41" t="str"/>
      <c r="S7137" s="41" t="str"/>
      <c r="T7137" s="41" t="str"/>
      <c r="U7137" s="41" t="str"/>
      <c r="V7137" s="41" t="str"/>
      <c r="W7137" s="41" t="str"/>
    </row>
    <row r="7138">
      <c r="B7138" s="2" t="n"/>
      <c r="C7138" s="40" t="n"/>
      <c r="D7138" s="52">
        <f t="array" ref="D7138:W7138">IF(All_Students_Scores!C7136:V7136="","",All_Students_Scores!C7136:V7136)</f>
        <v/>
      </c>
      <c r="E7138" s="57" t="str"/>
      <c r="F7138" s="49" t="str"/>
      <c r="G7138" s="59" t="str"/>
      <c r="H7138" s="64" t="str"/>
      <c r="I7138" s="65" t="str"/>
      <c r="J7138" s="49" t="str"/>
      <c r="K7138" s="41" t="str"/>
      <c r="L7138" s="41" t="str"/>
      <c r="M7138" s="41" t="str"/>
      <c r="N7138" s="41" t="str"/>
      <c r="O7138" s="41" t="str"/>
      <c r="P7138" s="41" t="str"/>
      <c r="Q7138" s="41" t="str"/>
      <c r="R7138" s="41" t="str"/>
      <c r="S7138" s="41" t="str"/>
      <c r="T7138" s="41" t="str"/>
      <c r="U7138" s="41" t="str"/>
      <c r="V7138" s="41" t="str"/>
      <c r="W7138" s="41" t="str"/>
    </row>
    <row r="7139">
      <c r="B7139" s="2" t="n"/>
      <c r="C7139" s="40" t="n"/>
      <c r="D7139" s="52">
        <f t="array" ref="D7139:W7139">IF(All_Students_Scores!C7137:V7137="","",All_Students_Scores!C7137:V7137)</f>
        <v/>
      </c>
      <c r="E7139" s="57" t="str"/>
      <c r="F7139" s="49" t="str"/>
      <c r="G7139" s="59" t="str"/>
      <c r="H7139" s="64" t="str"/>
      <c r="I7139" s="65" t="str"/>
      <c r="J7139" s="49" t="str"/>
      <c r="K7139" s="41" t="str"/>
      <c r="L7139" s="41" t="str"/>
      <c r="M7139" s="41" t="str"/>
      <c r="N7139" s="41" t="str"/>
      <c r="O7139" s="41" t="str"/>
      <c r="P7139" s="41" t="str"/>
      <c r="Q7139" s="41" t="str"/>
      <c r="R7139" s="41" t="str"/>
      <c r="S7139" s="41" t="str"/>
      <c r="T7139" s="41" t="str"/>
      <c r="U7139" s="41" t="str"/>
      <c r="V7139" s="41" t="str"/>
      <c r="W7139" s="41" t="str"/>
    </row>
    <row r="7140">
      <c r="B7140" s="2" t="n"/>
      <c r="C7140" s="40" t="n"/>
      <c r="D7140" s="52">
        <f t="array" ref="D7140:W7140">IF(All_Students_Scores!C7138:V7138="","",All_Students_Scores!C7138:V7138)</f>
        <v/>
      </c>
      <c r="E7140" s="57" t="str"/>
      <c r="F7140" s="49" t="str"/>
      <c r="G7140" s="59" t="str"/>
      <c r="H7140" s="64" t="str"/>
      <c r="I7140" s="65" t="str"/>
      <c r="J7140" s="49" t="str"/>
      <c r="K7140" s="41" t="str"/>
      <c r="L7140" s="41" t="str"/>
      <c r="M7140" s="41" t="str"/>
      <c r="N7140" s="41" t="str"/>
      <c r="O7140" s="41" t="str"/>
      <c r="P7140" s="41" t="str"/>
      <c r="Q7140" s="41" t="str"/>
      <c r="R7140" s="41" t="str"/>
      <c r="S7140" s="41" t="str"/>
      <c r="T7140" s="41" t="str"/>
      <c r="U7140" s="41" t="str"/>
      <c r="V7140" s="41" t="str"/>
      <c r="W7140" s="41" t="str"/>
    </row>
    <row r="7141">
      <c r="B7141" s="2" t="n"/>
      <c r="C7141" s="40" t="n"/>
      <c r="D7141" s="52">
        <f t="array" ref="D7141:W7141">IF(All_Students_Scores!C7139:V7139="","",All_Students_Scores!C7139:V7139)</f>
        <v/>
      </c>
      <c r="E7141" s="57" t="str"/>
      <c r="F7141" s="49" t="str"/>
      <c r="G7141" s="59" t="str"/>
      <c r="H7141" s="64" t="str"/>
      <c r="I7141" s="65" t="str"/>
      <c r="J7141" s="49" t="str"/>
      <c r="K7141" s="41" t="str"/>
      <c r="L7141" s="41" t="str"/>
      <c r="M7141" s="41" t="str"/>
      <c r="N7141" s="41" t="str"/>
      <c r="O7141" s="41" t="str"/>
      <c r="P7141" s="41" t="str"/>
      <c r="Q7141" s="41" t="str"/>
      <c r="R7141" s="41" t="str"/>
      <c r="S7141" s="41" t="str"/>
      <c r="T7141" s="41" t="str"/>
      <c r="U7141" s="41" t="str"/>
      <c r="V7141" s="41" t="str"/>
      <c r="W7141" s="41" t="str"/>
    </row>
    <row r="7142">
      <c r="B7142" s="2" t="n"/>
      <c r="C7142" s="40" t="n"/>
      <c r="D7142" s="52">
        <f t="array" ref="D7142:W7142">IF(All_Students_Scores!C7140:V7140="","",All_Students_Scores!C7140:V7140)</f>
        <v/>
      </c>
      <c r="E7142" s="57" t="str"/>
      <c r="F7142" s="49" t="str"/>
      <c r="G7142" s="59" t="str"/>
      <c r="H7142" s="64" t="str"/>
      <c r="I7142" s="65" t="str"/>
      <c r="J7142" s="49" t="str"/>
      <c r="K7142" s="41" t="str"/>
      <c r="L7142" s="41" t="str"/>
      <c r="M7142" s="41" t="str"/>
      <c r="N7142" s="41" t="str"/>
      <c r="O7142" s="41" t="str"/>
      <c r="P7142" s="41" t="str"/>
      <c r="Q7142" s="41" t="str"/>
      <c r="R7142" s="41" t="str"/>
      <c r="S7142" s="41" t="str"/>
      <c r="T7142" s="41" t="str"/>
      <c r="U7142" s="41" t="str"/>
      <c r="V7142" s="41" t="str"/>
      <c r="W7142" s="41" t="str"/>
    </row>
    <row r="7143">
      <c r="B7143" s="2" t="n"/>
      <c r="C7143" s="40" t="n"/>
      <c r="D7143" s="52">
        <f t="array" ref="D7143:W7143">IF(All_Students_Scores!C7141:V7141="","",All_Students_Scores!C7141:V7141)</f>
        <v/>
      </c>
      <c r="E7143" s="57" t="str"/>
      <c r="F7143" s="49" t="str"/>
      <c r="G7143" s="59" t="str"/>
      <c r="H7143" s="64" t="str"/>
      <c r="I7143" s="65" t="str"/>
      <c r="J7143" s="49" t="str"/>
      <c r="K7143" s="41" t="str"/>
      <c r="L7143" s="41" t="str"/>
      <c r="M7143" s="41" t="str"/>
      <c r="N7143" s="41" t="str"/>
      <c r="O7143" s="41" t="str"/>
      <c r="P7143" s="41" t="str"/>
      <c r="Q7143" s="41" t="str"/>
      <c r="R7143" s="41" t="str"/>
      <c r="S7143" s="41" t="str"/>
      <c r="T7143" s="41" t="str"/>
      <c r="U7143" s="41" t="str"/>
      <c r="V7143" s="41" t="str"/>
      <c r="W7143" s="41" t="str"/>
    </row>
    <row r="7144">
      <c r="B7144" s="2" t="n"/>
      <c r="C7144" s="40" t="n"/>
      <c r="D7144" s="52">
        <f t="array" ref="D7144:W7144">IF(All_Students_Scores!C7142:V7142="","",All_Students_Scores!C7142:V7142)</f>
        <v/>
      </c>
      <c r="E7144" s="57" t="str"/>
      <c r="F7144" s="49" t="str"/>
      <c r="G7144" s="59" t="str"/>
      <c r="H7144" s="64" t="str"/>
      <c r="I7144" s="65" t="str"/>
      <c r="J7144" s="49" t="str"/>
      <c r="K7144" s="41" t="str"/>
      <c r="L7144" s="41" t="str"/>
      <c r="M7144" s="41" t="str"/>
      <c r="N7144" s="41" t="str"/>
      <c r="O7144" s="41" t="str"/>
      <c r="P7144" s="41" t="str"/>
      <c r="Q7144" s="41" t="str"/>
      <c r="R7144" s="41" t="str"/>
      <c r="S7144" s="41" t="str"/>
      <c r="T7144" s="41" t="str"/>
      <c r="U7144" s="41" t="str"/>
      <c r="V7144" s="41" t="str"/>
      <c r="W7144" s="41" t="str"/>
    </row>
    <row r="7145">
      <c r="B7145" s="2" t="n"/>
      <c r="C7145" s="40" t="n"/>
      <c r="D7145" s="52">
        <f t="array" ref="D7145:W7145">IF(All_Students_Scores!C7143:V7143="","",All_Students_Scores!C7143:V7143)</f>
        <v/>
      </c>
      <c r="E7145" s="57" t="str"/>
      <c r="F7145" s="49" t="str"/>
      <c r="G7145" s="59" t="str"/>
      <c r="H7145" s="64" t="str"/>
      <c r="I7145" s="65" t="str"/>
      <c r="J7145" s="49" t="str"/>
      <c r="K7145" s="41" t="str"/>
      <c r="L7145" s="41" t="str"/>
      <c r="M7145" s="41" t="str"/>
      <c r="N7145" s="41" t="str"/>
      <c r="O7145" s="41" t="str"/>
      <c r="P7145" s="41" t="str"/>
      <c r="Q7145" s="41" t="str"/>
      <c r="R7145" s="41" t="str"/>
      <c r="S7145" s="41" t="str"/>
      <c r="T7145" s="41" t="str"/>
      <c r="U7145" s="41" t="str"/>
      <c r="V7145" s="41" t="str"/>
      <c r="W7145" s="41" t="str"/>
    </row>
    <row r="7146">
      <c r="B7146" s="2" t="n"/>
      <c r="C7146" s="40" t="n"/>
      <c r="D7146" s="52">
        <f t="array" ref="D7146:W7146">IF(All_Students_Scores!C7144:V7144="","",All_Students_Scores!C7144:V7144)</f>
        <v/>
      </c>
      <c r="E7146" s="57" t="str"/>
      <c r="F7146" s="49" t="str"/>
      <c r="G7146" s="59" t="str"/>
      <c r="H7146" s="64" t="str"/>
      <c r="I7146" s="65" t="str"/>
      <c r="J7146" s="49" t="str"/>
      <c r="K7146" s="41" t="str"/>
      <c r="L7146" s="41" t="str"/>
      <c r="M7146" s="41" t="str"/>
      <c r="N7146" s="41" t="str"/>
      <c r="O7146" s="41" t="str"/>
      <c r="P7146" s="41" t="str"/>
      <c r="Q7146" s="41" t="str"/>
      <c r="R7146" s="41" t="str"/>
      <c r="S7146" s="41" t="str"/>
      <c r="T7146" s="41" t="str"/>
      <c r="U7146" s="41" t="str"/>
      <c r="V7146" s="41" t="str"/>
      <c r="W7146" s="41" t="str"/>
    </row>
    <row r="7147">
      <c r="B7147" s="2" t="n"/>
      <c r="C7147" s="40" t="n"/>
      <c r="D7147" s="52">
        <f t="array" ref="D7147:W7147">IF(All_Students_Scores!C7145:V7145="","",All_Students_Scores!C7145:V7145)</f>
        <v/>
      </c>
      <c r="E7147" s="57" t="str"/>
      <c r="F7147" s="49" t="str"/>
      <c r="G7147" s="59" t="str"/>
      <c r="H7147" s="64" t="str"/>
      <c r="I7147" s="65" t="str"/>
      <c r="J7147" s="49" t="str"/>
      <c r="K7147" s="41" t="str"/>
      <c r="L7147" s="41" t="str"/>
      <c r="M7147" s="41" t="str"/>
      <c r="N7147" s="41" t="str"/>
      <c r="O7147" s="41" t="str"/>
      <c r="P7147" s="41" t="str"/>
      <c r="Q7147" s="41" t="str"/>
      <c r="R7147" s="41" t="str"/>
      <c r="S7147" s="41" t="str"/>
      <c r="T7147" s="41" t="str"/>
      <c r="U7147" s="41" t="str"/>
      <c r="V7147" s="41" t="str"/>
      <c r="W7147" s="41" t="str"/>
    </row>
    <row r="7148">
      <c r="B7148" s="2" t="n"/>
      <c r="C7148" s="40" t="n"/>
      <c r="D7148" s="52">
        <f t="array" ref="D7148:W7148">IF(All_Students_Scores!C7146:V7146="","",All_Students_Scores!C7146:V7146)</f>
        <v/>
      </c>
      <c r="E7148" s="57" t="str"/>
      <c r="F7148" s="49" t="str"/>
      <c r="G7148" s="59" t="str"/>
      <c r="H7148" s="64" t="str"/>
      <c r="I7148" s="65" t="str"/>
      <c r="J7148" s="49" t="str"/>
      <c r="K7148" s="41" t="str"/>
      <c r="L7148" s="41" t="str"/>
      <c r="M7148" s="41" t="str"/>
      <c r="N7148" s="41" t="str"/>
      <c r="O7148" s="41" t="str"/>
      <c r="P7148" s="41" t="str"/>
      <c r="Q7148" s="41" t="str"/>
      <c r="R7148" s="41" t="str"/>
      <c r="S7148" s="41" t="str"/>
      <c r="T7148" s="41" t="str"/>
      <c r="U7148" s="41" t="str"/>
      <c r="V7148" s="41" t="str"/>
      <c r="W7148" s="41" t="str"/>
    </row>
    <row r="7149">
      <c r="B7149" s="2" t="n"/>
      <c r="C7149" s="40" t="n"/>
      <c r="D7149" s="52">
        <f t="array" ref="D7149:W7149">IF(All_Students_Scores!C7147:V7147="","",All_Students_Scores!C7147:V7147)</f>
        <v/>
      </c>
      <c r="E7149" s="57" t="str"/>
      <c r="F7149" s="49" t="str"/>
      <c r="G7149" s="59" t="str"/>
      <c r="H7149" s="64" t="str"/>
      <c r="I7149" s="65" t="str"/>
      <c r="J7149" s="49" t="str"/>
      <c r="K7149" s="41" t="str"/>
      <c r="L7149" s="41" t="str"/>
      <c r="M7149" s="41" t="str"/>
      <c r="N7149" s="41" t="str"/>
      <c r="O7149" s="41" t="str"/>
      <c r="P7149" s="41" t="str"/>
      <c r="Q7149" s="41" t="str"/>
      <c r="R7149" s="41" t="str"/>
      <c r="S7149" s="41" t="str"/>
      <c r="T7149" s="41" t="str"/>
      <c r="U7149" s="41" t="str"/>
      <c r="V7149" s="41" t="str"/>
      <c r="W7149" s="41" t="str"/>
    </row>
    <row r="7150">
      <c r="B7150" s="2" t="n"/>
      <c r="C7150" s="40" t="n"/>
      <c r="D7150" s="52">
        <f t="array" ref="D7150:W7150">IF(All_Students_Scores!C7148:V7148="","",All_Students_Scores!C7148:V7148)</f>
        <v/>
      </c>
      <c r="E7150" s="57" t="str"/>
      <c r="F7150" s="49" t="str"/>
      <c r="G7150" s="59" t="str"/>
      <c r="H7150" s="64" t="str"/>
      <c r="I7150" s="65" t="str"/>
      <c r="J7150" s="49" t="str"/>
      <c r="K7150" s="41" t="str"/>
      <c r="L7150" s="41" t="str"/>
      <c r="M7150" s="41" t="str"/>
      <c r="N7150" s="41" t="str"/>
      <c r="O7150" s="41" t="str"/>
      <c r="P7150" s="41" t="str"/>
      <c r="Q7150" s="41" t="str"/>
      <c r="R7150" s="41" t="str"/>
      <c r="S7150" s="41" t="str"/>
      <c r="T7150" s="41" t="str"/>
      <c r="U7150" s="41" t="str"/>
      <c r="V7150" s="41" t="str"/>
      <c r="W7150" s="41" t="str"/>
    </row>
    <row r="7151">
      <c r="B7151" s="2" t="n"/>
      <c r="C7151" s="40" t="n"/>
      <c r="D7151" s="52">
        <f t="array" ref="D7151:W7151">IF(All_Students_Scores!C7149:V7149="","",All_Students_Scores!C7149:V7149)</f>
        <v/>
      </c>
      <c r="E7151" s="57" t="str"/>
      <c r="F7151" s="49" t="str"/>
      <c r="G7151" s="59" t="str"/>
      <c r="H7151" s="64" t="str"/>
      <c r="I7151" s="65" t="str"/>
      <c r="J7151" s="49" t="str"/>
      <c r="K7151" s="41" t="str"/>
      <c r="L7151" s="41" t="str"/>
      <c r="M7151" s="41" t="str"/>
      <c r="N7151" s="41" t="str"/>
      <c r="O7151" s="41" t="str"/>
      <c r="P7151" s="41" t="str"/>
      <c r="Q7151" s="41" t="str"/>
      <c r="R7151" s="41" t="str"/>
      <c r="S7151" s="41" t="str"/>
      <c r="T7151" s="41" t="str"/>
      <c r="U7151" s="41" t="str"/>
      <c r="V7151" s="41" t="str"/>
      <c r="W7151" s="41" t="str"/>
    </row>
    <row r="7152">
      <c r="B7152" s="2" t="n"/>
      <c r="C7152" s="40" t="n"/>
      <c r="D7152" s="52">
        <f t="array" ref="D7152:W7152">IF(All_Students_Scores!C7150:V7150="","",All_Students_Scores!C7150:V7150)</f>
        <v/>
      </c>
      <c r="E7152" s="57" t="str"/>
      <c r="F7152" s="49" t="str"/>
      <c r="G7152" s="59" t="str"/>
      <c r="H7152" s="64" t="str"/>
      <c r="I7152" s="65" t="str"/>
      <c r="J7152" s="49" t="str"/>
      <c r="K7152" s="41" t="str"/>
      <c r="L7152" s="41" t="str"/>
      <c r="M7152" s="41" t="str"/>
      <c r="N7152" s="41" t="str"/>
      <c r="O7152" s="41" t="str"/>
      <c r="P7152" s="41" t="str"/>
      <c r="Q7152" s="41" t="str"/>
      <c r="R7152" s="41" t="str"/>
      <c r="S7152" s="41" t="str"/>
      <c r="T7152" s="41" t="str"/>
      <c r="U7152" s="41" t="str"/>
      <c r="V7152" s="41" t="str"/>
      <c r="W7152" s="41" t="str"/>
    </row>
    <row r="7153">
      <c r="B7153" s="2" t="n"/>
      <c r="C7153" s="40" t="n"/>
      <c r="D7153" s="52">
        <f t="array" ref="D7153:W7153">IF(All_Students_Scores!C7151:V7151="","",All_Students_Scores!C7151:V7151)</f>
        <v/>
      </c>
      <c r="E7153" s="57" t="str"/>
      <c r="F7153" s="49" t="str"/>
      <c r="G7153" s="59" t="str"/>
      <c r="H7153" s="64" t="str"/>
      <c r="I7153" s="65" t="str"/>
      <c r="J7153" s="49" t="str"/>
      <c r="K7153" s="41" t="str"/>
      <c r="L7153" s="41" t="str"/>
      <c r="M7153" s="41" t="str"/>
      <c r="N7153" s="41" t="str"/>
      <c r="O7153" s="41" t="str"/>
      <c r="P7153" s="41" t="str"/>
      <c r="Q7153" s="41" t="str"/>
      <c r="R7153" s="41" t="str"/>
      <c r="S7153" s="41" t="str"/>
      <c r="T7153" s="41" t="str"/>
      <c r="U7153" s="41" t="str"/>
      <c r="V7153" s="41" t="str"/>
      <c r="W7153" s="41" t="str"/>
    </row>
    <row r="7154">
      <c r="B7154" s="2" t="n"/>
      <c r="C7154" s="40" t="n"/>
      <c r="D7154" s="52">
        <f t="array" ref="D7154:W7154">IF(All_Students_Scores!C7152:V7152="","",All_Students_Scores!C7152:V7152)</f>
        <v/>
      </c>
      <c r="E7154" s="57" t="str"/>
      <c r="F7154" s="49" t="str"/>
      <c r="G7154" s="59" t="str"/>
      <c r="H7154" s="64" t="str"/>
      <c r="I7154" s="65" t="str"/>
      <c r="J7154" s="49" t="str"/>
      <c r="K7154" s="41" t="str"/>
      <c r="L7154" s="41" t="str"/>
      <c r="M7154" s="41" t="str"/>
      <c r="N7154" s="41" t="str"/>
      <c r="O7154" s="41" t="str"/>
      <c r="P7154" s="41" t="str"/>
      <c r="Q7154" s="41" t="str"/>
      <c r="R7154" s="41" t="str"/>
      <c r="S7154" s="41" t="str"/>
      <c r="T7154" s="41" t="str"/>
      <c r="U7154" s="41" t="str"/>
      <c r="V7154" s="41" t="str"/>
      <c r="W7154" s="41" t="str"/>
    </row>
    <row r="7155">
      <c r="B7155" s="2" t="n"/>
      <c r="C7155" s="40" t="n"/>
      <c r="D7155" s="52">
        <f t="array" ref="D7155:W7155">IF(All_Students_Scores!C7153:V7153="","",All_Students_Scores!C7153:V7153)</f>
        <v/>
      </c>
      <c r="E7155" s="57" t="str"/>
      <c r="F7155" s="49" t="str"/>
      <c r="G7155" s="59" t="str"/>
      <c r="H7155" s="64" t="str"/>
      <c r="I7155" s="65" t="str"/>
      <c r="J7155" s="49" t="str"/>
      <c r="K7155" s="41" t="str"/>
      <c r="L7155" s="41" t="str"/>
      <c r="M7155" s="41" t="str"/>
      <c r="N7155" s="41" t="str"/>
      <c r="O7155" s="41" t="str"/>
      <c r="P7155" s="41" t="str"/>
      <c r="Q7155" s="41" t="str"/>
      <c r="R7155" s="41" t="str"/>
      <c r="S7155" s="41" t="str"/>
      <c r="T7155" s="41" t="str"/>
      <c r="U7155" s="41" t="str"/>
      <c r="V7155" s="41" t="str"/>
      <c r="W7155" s="41" t="str"/>
    </row>
    <row r="7156">
      <c r="B7156" s="2" t="n"/>
      <c r="C7156" s="40" t="n"/>
      <c r="D7156" s="52">
        <f t="array" ref="D7156:W7156">IF(All_Students_Scores!C7154:V7154="","",All_Students_Scores!C7154:V7154)</f>
        <v/>
      </c>
      <c r="E7156" s="57" t="str"/>
      <c r="F7156" s="49" t="str"/>
      <c r="G7156" s="59" t="str"/>
      <c r="H7156" s="64" t="str"/>
      <c r="I7156" s="65" t="str"/>
      <c r="J7156" s="49" t="str"/>
      <c r="K7156" s="41" t="str"/>
      <c r="L7156" s="41" t="str"/>
      <c r="M7156" s="41" t="str"/>
      <c r="N7156" s="41" t="str"/>
      <c r="O7156" s="41" t="str"/>
      <c r="P7156" s="41" t="str"/>
      <c r="Q7156" s="41" t="str"/>
      <c r="R7156" s="41" t="str"/>
      <c r="S7156" s="41" t="str"/>
      <c r="T7156" s="41" t="str"/>
      <c r="U7156" s="41" t="str"/>
      <c r="V7156" s="41" t="str"/>
      <c r="W7156" s="41" t="str"/>
    </row>
    <row r="7157">
      <c r="B7157" s="2" t="n"/>
      <c r="C7157" s="40" t="n"/>
      <c r="D7157" s="52">
        <f t="array" ref="D7157:W7157">IF(All_Students_Scores!C7155:V7155="","",All_Students_Scores!C7155:V7155)</f>
        <v/>
      </c>
      <c r="E7157" s="57" t="str"/>
      <c r="F7157" s="49" t="str"/>
      <c r="G7157" s="59" t="str"/>
      <c r="H7157" s="64" t="str"/>
      <c r="I7157" s="65" t="str"/>
      <c r="J7157" s="49" t="str"/>
      <c r="K7157" s="41" t="str"/>
      <c r="L7157" s="41" t="str"/>
      <c r="M7157" s="41" t="str"/>
      <c r="N7157" s="41" t="str"/>
      <c r="O7157" s="41" t="str"/>
      <c r="P7157" s="41" t="str"/>
      <c r="Q7157" s="41" t="str"/>
      <c r="R7157" s="41" t="str"/>
      <c r="S7157" s="41" t="str"/>
      <c r="T7157" s="41" t="str"/>
      <c r="U7157" s="41" t="str"/>
      <c r="V7157" s="41" t="str"/>
      <c r="W7157" s="41" t="str"/>
    </row>
    <row r="7158">
      <c r="B7158" s="2" t="n"/>
      <c r="C7158" s="40" t="n"/>
      <c r="D7158" s="52">
        <f t="array" ref="D7158:W7158">IF(All_Students_Scores!C7156:V7156="","",All_Students_Scores!C7156:V7156)</f>
        <v/>
      </c>
      <c r="E7158" s="57" t="str"/>
      <c r="F7158" s="49" t="str"/>
      <c r="G7158" s="59" t="str"/>
      <c r="H7158" s="64" t="str"/>
      <c r="I7158" s="65" t="str"/>
      <c r="J7158" s="49" t="str"/>
      <c r="K7158" s="41" t="str"/>
      <c r="L7158" s="41" t="str"/>
      <c r="M7158" s="41" t="str"/>
      <c r="N7158" s="41" t="str"/>
      <c r="O7158" s="41" t="str"/>
      <c r="P7158" s="41" t="str"/>
      <c r="Q7158" s="41" t="str"/>
      <c r="R7158" s="41" t="str"/>
      <c r="S7158" s="41" t="str"/>
      <c r="T7158" s="41" t="str"/>
      <c r="U7158" s="41" t="str"/>
      <c r="V7158" s="41" t="str"/>
      <c r="W7158" s="41" t="str"/>
    </row>
    <row r="7159">
      <c r="B7159" s="2" t="n"/>
      <c r="C7159" s="40" t="n"/>
      <c r="D7159" s="52">
        <f t="array" ref="D7159:W7159">IF(All_Students_Scores!C7157:V7157="","",All_Students_Scores!C7157:V7157)</f>
        <v/>
      </c>
      <c r="E7159" s="57" t="str"/>
      <c r="F7159" s="49" t="str"/>
      <c r="G7159" s="59" t="str"/>
      <c r="H7159" s="64" t="str"/>
      <c r="I7159" s="65" t="str"/>
      <c r="J7159" s="49" t="str"/>
      <c r="K7159" s="41" t="str"/>
      <c r="L7159" s="41" t="str"/>
      <c r="M7159" s="41" t="str"/>
      <c r="N7159" s="41" t="str"/>
      <c r="O7159" s="41" t="str"/>
      <c r="P7159" s="41" t="str"/>
      <c r="Q7159" s="41" t="str"/>
      <c r="R7159" s="41" t="str"/>
      <c r="S7159" s="41" t="str"/>
      <c r="T7159" s="41" t="str"/>
      <c r="U7159" s="41" t="str"/>
      <c r="V7159" s="41" t="str"/>
      <c r="W7159" s="41" t="str"/>
    </row>
    <row r="7160">
      <c r="B7160" s="2" t="n"/>
      <c r="C7160" s="40" t="n"/>
      <c r="D7160" s="52">
        <f t="array" ref="D7160:W7160">IF(All_Students_Scores!C7158:V7158="","",All_Students_Scores!C7158:V7158)</f>
        <v/>
      </c>
      <c r="E7160" s="57" t="str"/>
      <c r="F7160" s="49" t="str"/>
      <c r="G7160" s="59" t="str"/>
      <c r="H7160" s="64" t="str"/>
      <c r="I7160" s="65" t="str"/>
      <c r="J7160" s="49" t="str"/>
      <c r="K7160" s="41" t="str"/>
      <c r="L7160" s="41" t="str"/>
      <c r="M7160" s="41" t="str"/>
      <c r="N7160" s="41" t="str"/>
      <c r="O7160" s="41" t="str"/>
      <c r="P7160" s="41" t="str"/>
      <c r="Q7160" s="41" t="str"/>
      <c r="R7160" s="41" t="str"/>
      <c r="S7160" s="41" t="str"/>
      <c r="T7160" s="41" t="str"/>
      <c r="U7160" s="41" t="str"/>
      <c r="V7160" s="41" t="str"/>
      <c r="W7160" s="41" t="str"/>
    </row>
    <row r="7161">
      <c r="B7161" s="2" t="n"/>
      <c r="C7161" s="40" t="n"/>
      <c r="D7161" s="52">
        <f t="array" ref="D7161:W7161">IF(All_Students_Scores!C7159:V7159="","",All_Students_Scores!C7159:V7159)</f>
        <v/>
      </c>
      <c r="E7161" s="57" t="str"/>
      <c r="F7161" s="49" t="str"/>
      <c r="G7161" s="59" t="str"/>
      <c r="H7161" s="64" t="str"/>
      <c r="I7161" s="65" t="str"/>
      <c r="J7161" s="49" t="str"/>
      <c r="K7161" s="41" t="str"/>
      <c r="L7161" s="41" t="str"/>
      <c r="M7161" s="41" t="str"/>
      <c r="N7161" s="41" t="str"/>
      <c r="O7161" s="41" t="str"/>
      <c r="P7161" s="41" t="str"/>
      <c r="Q7161" s="41" t="str"/>
      <c r="R7161" s="41" t="str"/>
      <c r="S7161" s="41" t="str"/>
      <c r="T7161" s="41" t="str"/>
      <c r="U7161" s="41" t="str"/>
      <c r="V7161" s="41" t="str"/>
      <c r="W7161" s="41" t="str"/>
    </row>
    <row r="7162">
      <c r="B7162" s="2" t="n"/>
      <c r="C7162" s="40" t="n"/>
      <c r="D7162" s="52">
        <f t="array" ref="D7162:W7162">IF(All_Students_Scores!C7160:V7160="","",All_Students_Scores!C7160:V7160)</f>
        <v/>
      </c>
      <c r="E7162" s="57" t="str"/>
      <c r="F7162" s="49" t="str"/>
      <c r="G7162" s="59" t="str"/>
      <c r="H7162" s="64" t="str"/>
      <c r="I7162" s="65" t="str"/>
      <c r="J7162" s="49" t="str"/>
      <c r="K7162" s="41" t="str"/>
      <c r="L7162" s="41" t="str"/>
      <c r="M7162" s="41" t="str"/>
      <c r="N7162" s="41" t="str"/>
      <c r="O7162" s="41" t="str"/>
      <c r="P7162" s="41" t="str"/>
      <c r="Q7162" s="41" t="str"/>
      <c r="R7162" s="41" t="str"/>
      <c r="S7162" s="41" t="str"/>
      <c r="T7162" s="41" t="str"/>
      <c r="U7162" s="41" t="str"/>
      <c r="V7162" s="41" t="str"/>
      <c r="W7162" s="41" t="str"/>
    </row>
    <row r="7163">
      <c r="B7163" s="2" t="n"/>
      <c r="C7163" s="40" t="n"/>
      <c r="D7163" s="52">
        <f t="array" ref="D7163:W7163">IF(All_Students_Scores!C7161:V7161="","",All_Students_Scores!C7161:V7161)</f>
        <v/>
      </c>
      <c r="E7163" s="57" t="str"/>
      <c r="F7163" s="49" t="str"/>
      <c r="G7163" s="59" t="str"/>
      <c r="H7163" s="64" t="str"/>
      <c r="I7163" s="65" t="str"/>
      <c r="J7163" s="49" t="str"/>
      <c r="K7163" s="41" t="str"/>
      <c r="L7163" s="41" t="str"/>
      <c r="M7163" s="41" t="str"/>
      <c r="N7163" s="41" t="str"/>
      <c r="O7163" s="41" t="str"/>
      <c r="P7163" s="41" t="str"/>
      <c r="Q7163" s="41" t="str"/>
      <c r="R7163" s="41" t="str"/>
      <c r="S7163" s="41" t="str"/>
      <c r="T7163" s="41" t="str"/>
      <c r="U7163" s="41" t="str"/>
      <c r="V7163" s="41" t="str"/>
      <c r="W7163" s="41" t="str"/>
    </row>
    <row r="7164">
      <c r="B7164" s="2" t="n"/>
      <c r="C7164" s="40" t="n"/>
      <c r="D7164" s="52">
        <f t="array" ref="D7164:W7164">IF(All_Students_Scores!C7162:V7162="","",All_Students_Scores!C7162:V7162)</f>
        <v/>
      </c>
      <c r="E7164" s="57" t="str"/>
      <c r="F7164" s="49" t="str"/>
      <c r="G7164" s="59" t="str"/>
      <c r="H7164" s="64" t="str"/>
      <c r="I7164" s="65" t="str"/>
      <c r="J7164" s="49" t="str"/>
      <c r="K7164" s="41" t="str"/>
      <c r="L7164" s="41" t="str"/>
      <c r="M7164" s="41" t="str"/>
      <c r="N7164" s="41" t="str"/>
      <c r="O7164" s="41" t="str"/>
      <c r="P7164" s="41" t="str"/>
      <c r="Q7164" s="41" t="str"/>
      <c r="R7164" s="41" t="str"/>
      <c r="S7164" s="41" t="str"/>
      <c r="T7164" s="41" t="str"/>
      <c r="U7164" s="41" t="str"/>
      <c r="V7164" s="41" t="str"/>
      <c r="W7164" s="41" t="str"/>
    </row>
    <row r="7165">
      <c r="B7165" s="2" t="n"/>
      <c r="C7165" s="40" t="n"/>
      <c r="D7165" s="52">
        <f t="array" ref="D7165:W7165">IF(All_Students_Scores!C7163:V7163="","",All_Students_Scores!C7163:V7163)</f>
        <v/>
      </c>
      <c r="E7165" s="57" t="str"/>
      <c r="F7165" s="49" t="str"/>
      <c r="G7165" s="59" t="str"/>
      <c r="H7165" s="64" t="str"/>
      <c r="I7165" s="65" t="str"/>
      <c r="J7165" s="49" t="str"/>
      <c r="K7165" s="41" t="str"/>
      <c r="L7165" s="41" t="str"/>
      <c r="M7165" s="41" t="str"/>
      <c r="N7165" s="41" t="str"/>
      <c r="O7165" s="41" t="str"/>
      <c r="P7165" s="41" t="str"/>
      <c r="Q7165" s="41" t="str"/>
      <c r="R7165" s="41" t="str"/>
      <c r="S7165" s="41" t="str"/>
      <c r="T7165" s="41" t="str"/>
      <c r="U7165" s="41" t="str"/>
      <c r="V7165" s="41" t="str"/>
      <c r="W7165" s="41" t="str"/>
    </row>
    <row r="7166">
      <c r="B7166" s="2" t="n"/>
      <c r="C7166" s="40" t="n"/>
      <c r="D7166" s="52">
        <f t="array" ref="D7166:W7166">IF(All_Students_Scores!C7164:V7164="","",All_Students_Scores!C7164:V7164)</f>
        <v/>
      </c>
      <c r="E7166" s="57" t="str"/>
      <c r="F7166" s="49" t="str"/>
      <c r="G7166" s="59" t="str"/>
      <c r="H7166" s="64" t="str"/>
      <c r="I7166" s="65" t="str"/>
      <c r="J7166" s="49" t="str"/>
      <c r="K7166" s="41" t="str"/>
      <c r="L7166" s="41" t="str"/>
      <c r="M7166" s="41" t="str"/>
      <c r="N7166" s="41" t="str"/>
      <c r="O7166" s="41" t="str"/>
      <c r="P7166" s="41" t="str"/>
      <c r="Q7166" s="41" t="str"/>
      <c r="R7166" s="41" t="str"/>
      <c r="S7166" s="41" t="str"/>
      <c r="T7166" s="41" t="str"/>
      <c r="U7166" s="41" t="str"/>
      <c r="V7166" s="41" t="str"/>
      <c r="W7166" s="41" t="str"/>
    </row>
    <row r="7167">
      <c r="B7167" s="2" t="n"/>
      <c r="C7167" s="40" t="n"/>
      <c r="D7167" s="52">
        <f t="array" ref="D7167:W7167">IF(All_Students_Scores!C7165:V7165="","",All_Students_Scores!C7165:V7165)</f>
        <v/>
      </c>
      <c r="E7167" s="57" t="str"/>
      <c r="F7167" s="49" t="str"/>
      <c r="G7167" s="59" t="str"/>
      <c r="H7167" s="64" t="str"/>
      <c r="I7167" s="65" t="str"/>
      <c r="J7167" s="49" t="str"/>
      <c r="K7167" s="41" t="str"/>
      <c r="L7167" s="41" t="str"/>
      <c r="M7167" s="41" t="str"/>
      <c r="N7167" s="41" t="str"/>
      <c r="O7167" s="41" t="str"/>
      <c r="P7167" s="41" t="str"/>
      <c r="Q7167" s="41" t="str"/>
      <c r="R7167" s="41" t="str"/>
      <c r="S7167" s="41" t="str"/>
      <c r="T7167" s="41" t="str"/>
      <c r="U7167" s="41" t="str"/>
      <c r="V7167" s="41" t="str"/>
      <c r="W7167" s="41" t="str"/>
    </row>
    <row r="7168">
      <c r="B7168" s="2" t="n"/>
      <c r="C7168" s="40" t="n"/>
      <c r="D7168" s="52">
        <f t="array" ref="D7168:W7168">IF(All_Students_Scores!C7166:V7166="","",All_Students_Scores!C7166:V7166)</f>
        <v/>
      </c>
      <c r="E7168" s="57" t="str"/>
      <c r="F7168" s="49" t="str"/>
      <c r="G7168" s="59" t="str"/>
      <c r="H7168" s="64" t="str"/>
      <c r="I7168" s="65" t="str"/>
      <c r="J7168" s="49" t="str"/>
      <c r="K7168" s="41" t="str"/>
      <c r="L7168" s="41" t="str"/>
      <c r="M7168" s="41" t="str"/>
      <c r="N7168" s="41" t="str"/>
      <c r="O7168" s="41" t="str"/>
      <c r="P7168" s="41" t="str"/>
      <c r="Q7168" s="41" t="str"/>
      <c r="R7168" s="41" t="str"/>
      <c r="S7168" s="41" t="str"/>
      <c r="T7168" s="41" t="str"/>
      <c r="U7168" s="41" t="str"/>
      <c r="V7168" s="41" t="str"/>
      <c r="W7168" s="41" t="str"/>
    </row>
    <row r="7169">
      <c r="B7169" s="2" t="n"/>
      <c r="C7169" s="40" t="n"/>
      <c r="D7169" s="52">
        <f t="array" ref="D7169:W7169">IF(All_Students_Scores!C7167:V7167="","",All_Students_Scores!C7167:V7167)</f>
        <v/>
      </c>
      <c r="E7169" s="57" t="str"/>
      <c r="F7169" s="49" t="str"/>
      <c r="G7169" s="59" t="str"/>
      <c r="H7169" s="64" t="str"/>
      <c r="I7169" s="65" t="str"/>
      <c r="J7169" s="49" t="str"/>
      <c r="K7169" s="41" t="str"/>
      <c r="L7169" s="41" t="str"/>
      <c r="M7169" s="41" t="str"/>
      <c r="N7169" s="41" t="str"/>
      <c r="O7169" s="41" t="str"/>
      <c r="P7169" s="41" t="str"/>
      <c r="Q7169" s="41" t="str"/>
      <c r="R7169" s="41" t="str"/>
      <c r="S7169" s="41" t="str"/>
      <c r="T7169" s="41" t="str"/>
      <c r="U7169" s="41" t="str"/>
      <c r="V7169" s="41" t="str"/>
      <c r="W7169" s="41" t="str"/>
    </row>
    <row r="7170">
      <c r="B7170" s="2" t="n"/>
      <c r="C7170" s="40" t="n"/>
      <c r="D7170" s="52">
        <f t="array" ref="D7170:W7170">IF(All_Students_Scores!C7168:V7168="","",All_Students_Scores!C7168:V7168)</f>
        <v/>
      </c>
      <c r="E7170" s="57" t="str"/>
      <c r="F7170" s="49" t="str"/>
      <c r="G7170" s="59" t="str"/>
      <c r="H7170" s="64" t="str"/>
      <c r="I7170" s="65" t="str"/>
      <c r="J7170" s="49" t="str"/>
      <c r="K7170" s="41" t="str"/>
      <c r="L7170" s="41" t="str"/>
      <c r="M7170" s="41" t="str"/>
      <c r="N7170" s="41" t="str"/>
      <c r="O7170" s="41" t="str"/>
      <c r="P7170" s="41" t="str"/>
      <c r="Q7170" s="41" t="str"/>
      <c r="R7170" s="41" t="str"/>
      <c r="S7170" s="41" t="str"/>
      <c r="T7170" s="41" t="str"/>
      <c r="U7170" s="41" t="str"/>
      <c r="V7170" s="41" t="str"/>
      <c r="W7170" s="41" t="str"/>
    </row>
    <row r="7171">
      <c r="B7171" s="2" t="n"/>
      <c r="C7171" s="40" t="n"/>
      <c r="D7171" s="52">
        <f t="array" ref="D7171:W7171">IF(All_Students_Scores!C7169:V7169="","",All_Students_Scores!C7169:V7169)</f>
        <v/>
      </c>
      <c r="E7171" s="57" t="str"/>
      <c r="F7171" s="49" t="str"/>
      <c r="G7171" s="59" t="str"/>
      <c r="H7171" s="64" t="str"/>
      <c r="I7171" s="65" t="str"/>
      <c r="J7171" s="49" t="str"/>
      <c r="K7171" s="41" t="str"/>
      <c r="L7171" s="41" t="str"/>
      <c r="M7171" s="41" t="str"/>
      <c r="N7171" s="41" t="str"/>
      <c r="O7171" s="41" t="str"/>
      <c r="P7171" s="41" t="str"/>
      <c r="Q7171" s="41" t="str"/>
      <c r="R7171" s="41" t="str"/>
      <c r="S7171" s="41" t="str"/>
      <c r="T7171" s="41" t="str"/>
      <c r="U7171" s="41" t="str"/>
      <c r="V7171" s="41" t="str"/>
      <c r="W7171" s="41" t="str"/>
    </row>
    <row r="7172">
      <c r="B7172" s="2" t="n"/>
      <c r="C7172" s="40" t="n"/>
      <c r="D7172" s="52">
        <f t="array" ref="D7172:W7172">IF(All_Students_Scores!C7170:V7170="","",All_Students_Scores!C7170:V7170)</f>
        <v/>
      </c>
      <c r="E7172" s="57" t="str"/>
      <c r="F7172" s="49" t="str"/>
      <c r="G7172" s="59" t="str"/>
      <c r="H7172" s="64" t="str"/>
      <c r="I7172" s="65" t="str"/>
      <c r="J7172" s="49" t="str"/>
      <c r="K7172" s="41" t="str"/>
      <c r="L7172" s="41" t="str"/>
      <c r="M7172" s="41" t="str"/>
      <c r="N7172" s="41" t="str"/>
      <c r="O7172" s="41" t="str"/>
      <c r="P7172" s="41" t="str"/>
      <c r="Q7172" s="41" t="str"/>
      <c r="R7172" s="41" t="str"/>
      <c r="S7172" s="41" t="str"/>
      <c r="T7172" s="41" t="str"/>
      <c r="U7172" s="41" t="str"/>
      <c r="V7172" s="41" t="str"/>
      <c r="W7172" s="41" t="str"/>
    </row>
    <row r="7173">
      <c r="B7173" s="2" t="n"/>
      <c r="C7173" s="40" t="n"/>
      <c r="D7173" s="52">
        <f t="array" ref="D7173:W7173">IF(All_Students_Scores!C7171:V7171="","",All_Students_Scores!C7171:V7171)</f>
        <v/>
      </c>
      <c r="E7173" s="57" t="str"/>
      <c r="F7173" s="49" t="str"/>
      <c r="G7173" s="59" t="str"/>
      <c r="H7173" s="64" t="str"/>
      <c r="I7173" s="65" t="str"/>
      <c r="J7173" s="49" t="str"/>
      <c r="K7173" s="41" t="str"/>
      <c r="L7173" s="41" t="str"/>
      <c r="M7173" s="41" t="str"/>
      <c r="N7173" s="41" t="str"/>
      <c r="O7173" s="41" t="str"/>
      <c r="P7173" s="41" t="str"/>
      <c r="Q7173" s="41" t="str"/>
      <c r="R7173" s="41" t="str"/>
      <c r="S7173" s="41" t="str"/>
      <c r="T7173" s="41" t="str"/>
      <c r="U7173" s="41" t="str"/>
      <c r="V7173" s="41" t="str"/>
      <c r="W7173" s="41" t="str"/>
    </row>
    <row r="7174">
      <c r="B7174" s="2" t="n"/>
      <c r="C7174" s="40" t="n"/>
      <c r="D7174" s="52">
        <f t="array" ref="D7174:W7174">IF(All_Students_Scores!C7172:V7172="","",All_Students_Scores!C7172:V7172)</f>
        <v/>
      </c>
      <c r="E7174" s="57" t="str"/>
      <c r="F7174" s="49" t="str"/>
      <c r="G7174" s="59" t="str"/>
      <c r="H7174" s="64" t="str"/>
      <c r="I7174" s="65" t="str"/>
      <c r="J7174" s="49" t="str"/>
      <c r="K7174" s="41" t="str"/>
      <c r="L7174" s="41" t="str"/>
      <c r="M7174" s="41" t="str"/>
      <c r="N7174" s="41" t="str"/>
      <c r="O7174" s="41" t="str"/>
      <c r="P7174" s="41" t="str"/>
      <c r="Q7174" s="41" t="str"/>
      <c r="R7174" s="41" t="str"/>
      <c r="S7174" s="41" t="str"/>
      <c r="T7174" s="41" t="str"/>
      <c r="U7174" s="41" t="str"/>
      <c r="V7174" s="41" t="str"/>
      <c r="W7174" s="41" t="str"/>
    </row>
    <row r="7175">
      <c r="B7175" s="2" t="n"/>
      <c r="C7175" s="40" t="n"/>
      <c r="D7175" s="52">
        <f t="array" ref="D7175:W7175">IF(All_Students_Scores!C7173:V7173="","",All_Students_Scores!C7173:V7173)</f>
        <v/>
      </c>
      <c r="E7175" s="57" t="str"/>
      <c r="F7175" s="49" t="str"/>
      <c r="G7175" s="59" t="str"/>
      <c r="H7175" s="64" t="str"/>
      <c r="I7175" s="65" t="str"/>
      <c r="J7175" s="49" t="str"/>
      <c r="K7175" s="41" t="str"/>
      <c r="L7175" s="41" t="str"/>
      <c r="M7175" s="41" t="str"/>
      <c r="N7175" s="41" t="str"/>
      <c r="O7175" s="41" t="str"/>
      <c r="P7175" s="41" t="str"/>
      <c r="Q7175" s="41" t="str"/>
      <c r="R7175" s="41" t="str"/>
      <c r="S7175" s="41" t="str"/>
      <c r="T7175" s="41" t="str"/>
      <c r="U7175" s="41" t="str"/>
      <c r="V7175" s="41" t="str"/>
      <c r="W7175" s="41" t="str"/>
    </row>
    <row r="7176">
      <c r="B7176" s="2" t="n"/>
      <c r="C7176" s="40" t="n"/>
      <c r="D7176" s="52">
        <f t="array" ref="D7176:W7176">IF(All_Students_Scores!C7174:V7174="","",All_Students_Scores!C7174:V7174)</f>
        <v/>
      </c>
      <c r="E7176" s="57" t="str"/>
      <c r="F7176" s="49" t="str"/>
      <c r="G7176" s="59" t="str"/>
      <c r="H7176" s="64" t="str"/>
      <c r="I7176" s="65" t="str"/>
      <c r="J7176" s="49" t="str"/>
      <c r="K7176" s="41" t="str"/>
      <c r="L7176" s="41" t="str"/>
      <c r="M7176" s="41" t="str"/>
      <c r="N7176" s="41" t="str"/>
      <c r="O7176" s="41" t="str"/>
      <c r="P7176" s="41" t="str"/>
      <c r="Q7176" s="41" t="str"/>
      <c r="R7176" s="41" t="str"/>
      <c r="S7176" s="41" t="str"/>
      <c r="T7176" s="41" t="str"/>
      <c r="U7176" s="41" t="str"/>
      <c r="V7176" s="41" t="str"/>
      <c r="W7176" s="41" t="str"/>
    </row>
    <row r="7177">
      <c r="B7177" s="2" t="n"/>
      <c r="C7177" s="40" t="n"/>
      <c r="D7177" s="52">
        <f t="array" ref="D7177:W7177">IF(All_Students_Scores!C7175:V7175="","",All_Students_Scores!C7175:V7175)</f>
        <v/>
      </c>
      <c r="E7177" s="57" t="str"/>
      <c r="F7177" s="49" t="str"/>
      <c r="G7177" s="59" t="str"/>
      <c r="H7177" s="64" t="str"/>
      <c r="I7177" s="65" t="str"/>
      <c r="J7177" s="49" t="str"/>
      <c r="K7177" s="41" t="str"/>
      <c r="L7177" s="41" t="str"/>
      <c r="M7177" s="41" t="str"/>
      <c r="N7177" s="41" t="str"/>
      <c r="O7177" s="41" t="str"/>
      <c r="P7177" s="41" t="str"/>
      <c r="Q7177" s="41" t="str"/>
      <c r="R7177" s="41" t="str"/>
      <c r="S7177" s="41" t="str"/>
      <c r="T7177" s="41" t="str"/>
      <c r="U7177" s="41" t="str"/>
      <c r="V7177" s="41" t="str"/>
      <c r="W7177" s="41" t="str"/>
    </row>
    <row r="7178">
      <c r="B7178" s="2" t="n"/>
      <c r="C7178" s="40" t="n"/>
      <c r="D7178" s="52">
        <f t="array" ref="D7178:W7178">IF(All_Students_Scores!C7176:V7176="","",All_Students_Scores!C7176:V7176)</f>
        <v/>
      </c>
      <c r="E7178" s="57" t="str"/>
      <c r="F7178" s="49" t="str"/>
      <c r="G7178" s="59" t="str"/>
      <c r="H7178" s="64" t="str"/>
      <c r="I7178" s="65" t="str"/>
      <c r="J7178" s="49" t="str"/>
      <c r="K7178" s="41" t="str"/>
      <c r="L7178" s="41" t="str"/>
      <c r="M7178" s="41" t="str"/>
      <c r="N7178" s="41" t="str"/>
      <c r="O7178" s="41" t="str"/>
      <c r="P7178" s="41" t="str"/>
      <c r="Q7178" s="41" t="str"/>
      <c r="R7178" s="41" t="str"/>
      <c r="S7178" s="41" t="str"/>
      <c r="T7178" s="41" t="str"/>
      <c r="U7178" s="41" t="str"/>
      <c r="V7178" s="41" t="str"/>
      <c r="W7178" s="41" t="str"/>
    </row>
    <row r="7179">
      <c r="B7179" s="2" t="n"/>
      <c r="C7179" s="40" t="n"/>
      <c r="D7179" s="52">
        <f t="array" ref="D7179:W7179">IF(All_Students_Scores!C7177:V7177="","",All_Students_Scores!C7177:V7177)</f>
        <v/>
      </c>
      <c r="E7179" s="57" t="str"/>
      <c r="F7179" s="49" t="str"/>
      <c r="G7179" s="59" t="str"/>
      <c r="H7179" s="64" t="str"/>
      <c r="I7179" s="65" t="str"/>
      <c r="J7179" s="49" t="str"/>
      <c r="K7179" s="41" t="str"/>
      <c r="L7179" s="41" t="str"/>
      <c r="M7179" s="41" t="str"/>
      <c r="N7179" s="41" t="str"/>
      <c r="O7179" s="41" t="str"/>
      <c r="P7179" s="41" t="str"/>
      <c r="Q7179" s="41" t="str"/>
      <c r="R7179" s="41" t="str"/>
      <c r="S7179" s="41" t="str"/>
      <c r="T7179" s="41" t="str"/>
      <c r="U7179" s="41" t="str"/>
      <c r="V7179" s="41" t="str"/>
      <c r="W7179" s="41" t="str"/>
    </row>
    <row r="7180">
      <c r="B7180" s="2" t="n"/>
      <c r="C7180" s="40" t="n"/>
      <c r="D7180" s="52">
        <f t="array" ref="D7180:W7180">IF(All_Students_Scores!C7178:V7178="","",All_Students_Scores!C7178:V7178)</f>
        <v/>
      </c>
      <c r="E7180" s="57" t="str"/>
      <c r="F7180" s="49" t="str"/>
      <c r="G7180" s="59" t="str"/>
      <c r="H7180" s="64" t="str"/>
      <c r="I7180" s="65" t="str"/>
      <c r="J7180" s="49" t="str"/>
      <c r="K7180" s="41" t="str"/>
      <c r="L7180" s="41" t="str"/>
      <c r="M7180" s="41" t="str"/>
      <c r="N7180" s="41" t="str"/>
      <c r="O7180" s="41" t="str"/>
      <c r="P7180" s="41" t="str"/>
      <c r="Q7180" s="41" t="str"/>
      <c r="R7180" s="41" t="str"/>
      <c r="S7180" s="41" t="str"/>
      <c r="T7180" s="41" t="str"/>
      <c r="U7180" s="41" t="str"/>
      <c r="V7180" s="41" t="str"/>
      <c r="W7180" s="41" t="str"/>
    </row>
    <row r="7181">
      <c r="B7181" s="2" t="n"/>
      <c r="C7181" s="40" t="n"/>
      <c r="D7181" s="52">
        <f t="array" ref="D7181:W7181">IF(All_Students_Scores!C7179:V7179="","",All_Students_Scores!C7179:V7179)</f>
        <v/>
      </c>
      <c r="E7181" s="57" t="str"/>
      <c r="F7181" s="49" t="str"/>
      <c r="G7181" s="59" t="str"/>
      <c r="H7181" s="64" t="str"/>
      <c r="I7181" s="65" t="str"/>
      <c r="J7181" s="49" t="str"/>
      <c r="K7181" s="41" t="str"/>
      <c r="L7181" s="41" t="str"/>
      <c r="M7181" s="41" t="str"/>
      <c r="N7181" s="41" t="str"/>
      <c r="O7181" s="41" t="str"/>
      <c r="P7181" s="41" t="str"/>
      <c r="Q7181" s="41" t="str"/>
      <c r="R7181" s="41" t="str"/>
      <c r="S7181" s="41" t="str"/>
      <c r="T7181" s="41" t="str"/>
      <c r="U7181" s="41" t="str"/>
      <c r="V7181" s="41" t="str"/>
      <c r="W7181" s="41" t="str"/>
    </row>
    <row r="7182">
      <c r="B7182" s="2" t="n"/>
      <c r="C7182" s="40" t="n"/>
      <c r="D7182" s="52">
        <f t="array" ref="D7182:W7182">IF(All_Students_Scores!C7180:V7180="","",All_Students_Scores!C7180:V7180)</f>
        <v/>
      </c>
      <c r="E7182" s="57" t="str"/>
      <c r="F7182" s="49" t="str"/>
      <c r="G7182" s="59" t="str"/>
      <c r="H7182" s="64" t="str"/>
      <c r="I7182" s="65" t="str"/>
      <c r="J7182" s="49" t="str"/>
      <c r="K7182" s="41" t="str"/>
      <c r="L7182" s="41" t="str"/>
      <c r="M7182" s="41" t="str"/>
      <c r="N7182" s="41" t="str"/>
      <c r="O7182" s="41" t="str"/>
      <c r="P7182" s="41" t="str"/>
      <c r="Q7182" s="41" t="str"/>
      <c r="R7182" s="41" t="str"/>
      <c r="S7182" s="41" t="str"/>
      <c r="T7182" s="41" t="str"/>
      <c r="U7182" s="41" t="str"/>
      <c r="V7182" s="41" t="str"/>
      <c r="W7182" s="41" t="str"/>
    </row>
    <row r="7183">
      <c r="B7183" s="2" t="n"/>
      <c r="C7183" s="40" t="n"/>
      <c r="D7183" s="52">
        <f t="array" ref="D7183:W7183">IF(All_Students_Scores!C7181:V7181="","",All_Students_Scores!C7181:V7181)</f>
        <v/>
      </c>
      <c r="E7183" s="57" t="str"/>
      <c r="F7183" s="49" t="str"/>
      <c r="G7183" s="59" t="str"/>
      <c r="H7183" s="64" t="str"/>
      <c r="I7183" s="65" t="str"/>
      <c r="J7183" s="49" t="str"/>
      <c r="K7183" s="41" t="str"/>
      <c r="L7183" s="41" t="str"/>
      <c r="M7183" s="41" t="str"/>
      <c r="N7183" s="41" t="str"/>
      <c r="O7183" s="41" t="str"/>
      <c r="P7183" s="41" t="str"/>
      <c r="Q7183" s="41" t="str"/>
      <c r="R7183" s="41" t="str"/>
      <c r="S7183" s="41" t="str"/>
      <c r="T7183" s="41" t="str"/>
      <c r="U7183" s="41" t="str"/>
      <c r="V7183" s="41" t="str"/>
      <c r="W7183" s="41" t="str"/>
    </row>
    <row r="7184">
      <c r="B7184" s="2" t="n"/>
      <c r="C7184" s="40" t="n"/>
      <c r="D7184" s="52">
        <f t="array" ref="D7184:W7184">IF(All_Students_Scores!C7182:V7182="","",All_Students_Scores!C7182:V7182)</f>
        <v/>
      </c>
      <c r="E7184" s="57" t="str"/>
      <c r="F7184" s="49" t="str"/>
      <c r="G7184" s="59" t="str"/>
      <c r="H7184" s="64" t="str"/>
      <c r="I7184" s="65" t="str"/>
      <c r="J7184" s="49" t="str"/>
      <c r="K7184" s="41" t="str"/>
      <c r="L7184" s="41" t="str"/>
      <c r="M7184" s="41" t="str"/>
      <c r="N7184" s="41" t="str"/>
      <c r="O7184" s="41" t="str"/>
      <c r="P7184" s="41" t="str"/>
      <c r="Q7184" s="41" t="str"/>
      <c r="R7184" s="41" t="str"/>
      <c r="S7184" s="41" t="str"/>
      <c r="T7184" s="41" t="str"/>
      <c r="U7184" s="41" t="str"/>
      <c r="V7184" s="41" t="str"/>
      <c r="W7184" s="41" t="str"/>
    </row>
    <row r="7185">
      <c r="B7185" s="2" t="n"/>
      <c r="C7185" s="40" t="n"/>
      <c r="D7185" s="52">
        <f t="array" ref="D7185:W7185">IF(All_Students_Scores!C7183:V7183="","",All_Students_Scores!C7183:V7183)</f>
        <v/>
      </c>
      <c r="E7185" s="57" t="str"/>
      <c r="F7185" s="49" t="str"/>
      <c r="G7185" s="59" t="str"/>
      <c r="H7185" s="64" t="str"/>
      <c r="I7185" s="65" t="str"/>
      <c r="J7185" s="49" t="str"/>
      <c r="K7185" s="41" t="str"/>
      <c r="L7185" s="41" t="str"/>
      <c r="M7185" s="41" t="str"/>
      <c r="N7185" s="41" t="str"/>
      <c r="O7185" s="41" t="str"/>
      <c r="P7185" s="41" t="str"/>
      <c r="Q7185" s="41" t="str"/>
      <c r="R7185" s="41" t="str"/>
      <c r="S7185" s="41" t="str"/>
      <c r="T7185" s="41" t="str"/>
      <c r="U7185" s="41" t="str"/>
      <c r="V7185" s="41" t="str"/>
      <c r="W7185" s="41" t="str"/>
    </row>
    <row r="7186">
      <c r="B7186" s="2" t="n"/>
      <c r="C7186" s="40" t="n"/>
      <c r="D7186" s="52">
        <f t="array" ref="D7186:W7186">IF(All_Students_Scores!C7184:V7184="","",All_Students_Scores!C7184:V7184)</f>
        <v/>
      </c>
      <c r="E7186" s="57" t="str"/>
      <c r="F7186" s="49" t="str"/>
      <c r="G7186" s="59" t="str"/>
      <c r="H7186" s="64" t="str"/>
      <c r="I7186" s="65" t="str"/>
      <c r="J7186" s="49" t="str"/>
      <c r="K7186" s="41" t="str"/>
      <c r="L7186" s="41" t="str"/>
      <c r="M7186" s="41" t="str"/>
      <c r="N7186" s="41" t="str"/>
      <c r="O7186" s="41" t="str"/>
      <c r="P7186" s="41" t="str"/>
      <c r="Q7186" s="41" t="str"/>
      <c r="R7186" s="41" t="str"/>
      <c r="S7186" s="41" t="str"/>
      <c r="T7186" s="41" t="str"/>
      <c r="U7186" s="41" t="str"/>
      <c r="V7186" s="41" t="str"/>
      <c r="W7186" s="41" t="str"/>
    </row>
    <row r="7187">
      <c r="B7187" s="2" t="n"/>
      <c r="C7187" s="40" t="n"/>
      <c r="D7187" s="52">
        <f t="array" ref="D7187:W7187">IF(All_Students_Scores!C7185:V7185="","",All_Students_Scores!C7185:V7185)</f>
        <v/>
      </c>
      <c r="E7187" s="57" t="str"/>
      <c r="F7187" s="49" t="str"/>
      <c r="G7187" s="59" t="str"/>
      <c r="H7187" s="64" t="str"/>
      <c r="I7187" s="65" t="str"/>
      <c r="J7187" s="49" t="str"/>
      <c r="K7187" s="41" t="str"/>
      <c r="L7187" s="41" t="str"/>
      <c r="M7187" s="41" t="str"/>
      <c r="N7187" s="41" t="str"/>
      <c r="O7187" s="41" t="str"/>
      <c r="P7187" s="41" t="str"/>
      <c r="Q7187" s="41" t="str"/>
      <c r="R7187" s="41" t="str"/>
      <c r="S7187" s="41" t="str"/>
      <c r="T7187" s="41" t="str"/>
      <c r="U7187" s="41" t="str"/>
      <c r="V7187" s="41" t="str"/>
      <c r="W7187" s="41" t="str"/>
    </row>
    <row r="7188">
      <c r="B7188" s="2" t="n"/>
      <c r="C7188" s="40" t="n"/>
      <c r="D7188" s="52">
        <f t="array" ref="D7188:W7188">IF(All_Students_Scores!C7186:V7186="","",All_Students_Scores!C7186:V7186)</f>
        <v/>
      </c>
      <c r="E7188" s="57" t="str"/>
      <c r="F7188" s="49" t="str"/>
      <c r="G7188" s="59" t="str"/>
      <c r="H7188" s="64" t="str"/>
      <c r="I7188" s="65" t="str"/>
      <c r="J7188" s="49" t="str"/>
      <c r="K7188" s="41" t="str"/>
      <c r="L7188" s="41" t="str"/>
      <c r="M7188" s="41" t="str"/>
      <c r="N7188" s="41" t="str"/>
      <c r="O7188" s="41" t="str"/>
      <c r="P7188" s="41" t="str"/>
      <c r="Q7188" s="41" t="str"/>
      <c r="R7188" s="41" t="str"/>
      <c r="S7188" s="41" t="str"/>
      <c r="T7188" s="41" t="str"/>
      <c r="U7188" s="41" t="str"/>
      <c r="V7188" s="41" t="str"/>
      <c r="W7188" s="41" t="str"/>
    </row>
    <row r="7189">
      <c r="B7189" s="2" t="n"/>
      <c r="C7189" s="40" t="n"/>
      <c r="D7189" s="52">
        <f t="array" ref="D7189:W7189">IF(All_Students_Scores!C7187:V7187="","",All_Students_Scores!C7187:V7187)</f>
        <v/>
      </c>
      <c r="E7189" s="57" t="str"/>
      <c r="F7189" s="49" t="str"/>
      <c r="G7189" s="59" t="str"/>
      <c r="H7189" s="64" t="str"/>
      <c r="I7189" s="65" t="str"/>
      <c r="J7189" s="49" t="str"/>
      <c r="K7189" s="41" t="str"/>
      <c r="L7189" s="41" t="str"/>
      <c r="M7189" s="41" t="str"/>
      <c r="N7189" s="41" t="str"/>
      <c r="O7189" s="41" t="str"/>
      <c r="P7189" s="41" t="str"/>
      <c r="Q7189" s="41" t="str"/>
      <c r="R7189" s="41" t="str"/>
      <c r="S7189" s="41" t="str"/>
      <c r="T7189" s="41" t="str"/>
      <c r="U7189" s="41" t="str"/>
      <c r="V7189" s="41" t="str"/>
      <c r="W7189" s="41" t="str"/>
    </row>
    <row r="7190">
      <c r="B7190" s="2" t="n"/>
      <c r="C7190" s="40" t="n"/>
      <c r="D7190" s="52">
        <f t="array" ref="D7190:W7190">IF(All_Students_Scores!C7188:V7188="","",All_Students_Scores!C7188:V7188)</f>
        <v/>
      </c>
      <c r="E7190" s="57" t="str"/>
      <c r="F7190" s="49" t="str"/>
      <c r="G7190" s="59" t="str"/>
      <c r="H7190" s="64" t="str"/>
      <c r="I7190" s="65" t="str"/>
      <c r="J7190" s="49" t="str"/>
      <c r="K7190" s="41" t="str"/>
      <c r="L7190" s="41" t="str"/>
      <c r="M7190" s="41" t="str"/>
      <c r="N7190" s="41" t="str"/>
      <c r="O7190" s="41" t="str"/>
      <c r="P7190" s="41" t="str"/>
      <c r="Q7190" s="41" t="str"/>
      <c r="R7190" s="41" t="str"/>
      <c r="S7190" s="41" t="str"/>
      <c r="T7190" s="41" t="str"/>
      <c r="U7190" s="41" t="str"/>
      <c r="V7190" s="41" t="str"/>
      <c r="W7190" s="41" t="str"/>
    </row>
    <row r="7191">
      <c r="B7191" s="2" t="n"/>
      <c r="C7191" s="40" t="n"/>
      <c r="D7191" s="52">
        <f t="array" ref="D7191:W7191">IF(All_Students_Scores!C7189:V7189="","",All_Students_Scores!C7189:V7189)</f>
        <v/>
      </c>
      <c r="E7191" s="57" t="str"/>
      <c r="F7191" s="49" t="str"/>
      <c r="G7191" s="59" t="str"/>
      <c r="H7191" s="64" t="str"/>
      <c r="I7191" s="65" t="str"/>
      <c r="J7191" s="49" t="str"/>
      <c r="K7191" s="41" t="str"/>
      <c r="L7191" s="41" t="str"/>
      <c r="M7191" s="41" t="str"/>
      <c r="N7191" s="41" t="str"/>
      <c r="O7191" s="41" t="str"/>
      <c r="P7191" s="41" t="str"/>
      <c r="Q7191" s="41" t="str"/>
      <c r="R7191" s="41" t="str"/>
      <c r="S7191" s="41" t="str"/>
      <c r="T7191" s="41" t="str"/>
      <c r="U7191" s="41" t="str"/>
      <c r="V7191" s="41" t="str"/>
      <c r="W7191" s="41" t="str"/>
    </row>
    <row r="7192">
      <c r="B7192" s="2" t="n"/>
      <c r="C7192" s="40" t="n"/>
      <c r="D7192" s="52">
        <f t="array" ref="D7192:W7192">IF(All_Students_Scores!C7190:V7190="","",All_Students_Scores!C7190:V7190)</f>
        <v/>
      </c>
      <c r="E7192" s="57" t="str"/>
      <c r="F7192" s="49" t="str"/>
      <c r="G7192" s="59" t="str"/>
      <c r="H7192" s="64" t="str"/>
      <c r="I7192" s="65" t="str"/>
      <c r="J7192" s="49" t="str"/>
      <c r="K7192" s="41" t="str"/>
      <c r="L7192" s="41" t="str"/>
      <c r="M7192" s="41" t="str"/>
      <c r="N7192" s="41" t="str"/>
      <c r="O7192" s="41" t="str"/>
      <c r="P7192" s="41" t="str"/>
      <c r="Q7192" s="41" t="str"/>
      <c r="R7192" s="41" t="str"/>
      <c r="S7192" s="41" t="str"/>
      <c r="T7192" s="41" t="str"/>
      <c r="U7192" s="41" t="str"/>
      <c r="V7192" s="41" t="str"/>
      <c r="W7192" s="41" t="str"/>
    </row>
    <row r="7193">
      <c r="B7193" s="2" t="n"/>
      <c r="C7193" s="40" t="n"/>
      <c r="D7193" s="52">
        <f t="array" ref="D7193:W7193">IF(All_Students_Scores!C7191:V7191="","",All_Students_Scores!C7191:V7191)</f>
        <v/>
      </c>
      <c r="E7193" s="57" t="str"/>
      <c r="F7193" s="49" t="str"/>
      <c r="G7193" s="59" t="str"/>
      <c r="H7193" s="64" t="str"/>
      <c r="I7193" s="65" t="str"/>
      <c r="J7193" s="49" t="str"/>
      <c r="K7193" s="41" t="str"/>
      <c r="L7193" s="41" t="str"/>
      <c r="M7193" s="41" t="str"/>
      <c r="N7193" s="41" t="str"/>
      <c r="O7193" s="41" t="str"/>
      <c r="P7193" s="41" t="str"/>
      <c r="Q7193" s="41" t="str"/>
      <c r="R7193" s="41" t="str"/>
      <c r="S7193" s="41" t="str"/>
      <c r="T7193" s="41" t="str"/>
      <c r="U7193" s="41" t="str"/>
      <c r="V7193" s="41" t="str"/>
      <c r="W7193" s="41" t="str"/>
    </row>
    <row r="7194">
      <c r="B7194" s="2" t="n"/>
      <c r="C7194" s="40" t="n"/>
      <c r="D7194" s="52">
        <f t="array" ref="D7194:W7194">IF(All_Students_Scores!C7192:V7192="","",All_Students_Scores!C7192:V7192)</f>
        <v/>
      </c>
      <c r="E7194" s="57" t="str"/>
      <c r="F7194" s="49" t="str"/>
      <c r="G7194" s="59" t="str"/>
      <c r="H7194" s="64" t="str"/>
      <c r="I7194" s="65" t="str"/>
      <c r="J7194" s="49" t="str"/>
      <c r="K7194" s="41" t="str"/>
      <c r="L7194" s="41" t="str"/>
      <c r="M7194" s="41" t="str"/>
      <c r="N7194" s="41" t="str"/>
      <c r="O7194" s="41" t="str"/>
      <c r="P7194" s="41" t="str"/>
      <c r="Q7194" s="41" t="str"/>
      <c r="R7194" s="41" t="str"/>
      <c r="S7194" s="41" t="str"/>
      <c r="T7194" s="41" t="str"/>
      <c r="U7194" s="41" t="str"/>
      <c r="V7194" s="41" t="str"/>
      <c r="W7194" s="41" t="str"/>
    </row>
    <row r="7195">
      <c r="B7195" s="2" t="n"/>
      <c r="C7195" s="40" t="n"/>
      <c r="D7195" s="52">
        <f t="array" ref="D7195:W7195">IF(All_Students_Scores!C7193:V7193="","",All_Students_Scores!C7193:V7193)</f>
        <v/>
      </c>
      <c r="E7195" s="57" t="str"/>
      <c r="F7195" s="49" t="str"/>
      <c r="G7195" s="59" t="str"/>
      <c r="H7195" s="64" t="str"/>
      <c r="I7195" s="65" t="str"/>
      <c r="J7195" s="49" t="str"/>
      <c r="K7195" s="41" t="str"/>
      <c r="L7195" s="41" t="str"/>
      <c r="M7195" s="41" t="str"/>
      <c r="N7195" s="41" t="str"/>
      <c r="O7195" s="41" t="str"/>
      <c r="P7195" s="41" t="str"/>
      <c r="Q7195" s="41" t="str"/>
      <c r="R7195" s="41" t="str"/>
      <c r="S7195" s="41" t="str"/>
      <c r="T7195" s="41" t="str"/>
      <c r="U7195" s="41" t="str"/>
      <c r="V7195" s="41" t="str"/>
      <c r="W7195" s="41" t="str"/>
    </row>
    <row r="7196">
      <c r="B7196" s="2" t="n"/>
      <c r="C7196" s="40" t="n"/>
      <c r="D7196" s="52">
        <f t="array" ref="D7196:W7196">IF(All_Students_Scores!C7194:V7194="","",All_Students_Scores!C7194:V7194)</f>
        <v/>
      </c>
      <c r="E7196" s="57" t="str"/>
      <c r="F7196" s="49" t="str"/>
      <c r="G7196" s="59" t="str"/>
      <c r="H7196" s="64" t="str"/>
      <c r="I7196" s="65" t="str"/>
      <c r="J7196" s="49" t="str"/>
      <c r="K7196" s="41" t="str"/>
      <c r="L7196" s="41" t="str"/>
      <c r="M7196" s="41" t="str"/>
      <c r="N7196" s="41" t="str"/>
      <c r="O7196" s="41" t="str"/>
      <c r="P7196" s="41" t="str"/>
      <c r="Q7196" s="41" t="str"/>
      <c r="R7196" s="41" t="str"/>
      <c r="S7196" s="41" t="str"/>
      <c r="T7196" s="41" t="str"/>
      <c r="U7196" s="41" t="str"/>
      <c r="V7196" s="41" t="str"/>
      <c r="W7196" s="41" t="str"/>
    </row>
    <row r="7197">
      <c r="B7197" s="2" t="n"/>
      <c r="C7197" s="40" t="n"/>
      <c r="D7197" s="52">
        <f t="array" ref="D7197:W7197">IF(All_Students_Scores!C7195:V7195="","",All_Students_Scores!C7195:V7195)</f>
        <v/>
      </c>
      <c r="E7197" s="57" t="str"/>
      <c r="F7197" s="49" t="str"/>
      <c r="G7197" s="59" t="str"/>
      <c r="H7197" s="64" t="str"/>
      <c r="I7197" s="65" t="str"/>
      <c r="J7197" s="49" t="str"/>
      <c r="K7197" s="41" t="str"/>
      <c r="L7197" s="41" t="str"/>
      <c r="M7197" s="41" t="str"/>
      <c r="N7197" s="41" t="str"/>
      <c r="O7197" s="41" t="str"/>
      <c r="P7197" s="41" t="str"/>
      <c r="Q7197" s="41" t="str"/>
      <c r="R7197" s="41" t="str"/>
      <c r="S7197" s="41" t="str"/>
      <c r="T7197" s="41" t="str"/>
      <c r="U7197" s="41" t="str"/>
      <c r="V7197" s="41" t="str"/>
      <c r="W7197" s="41" t="str"/>
    </row>
    <row r="7198">
      <c r="B7198" s="2" t="n"/>
      <c r="C7198" s="40" t="n"/>
      <c r="D7198" s="52">
        <f t="array" ref="D7198:W7198">IF(All_Students_Scores!C7196:V7196="","",All_Students_Scores!C7196:V7196)</f>
        <v/>
      </c>
      <c r="E7198" s="57" t="str"/>
      <c r="F7198" s="49" t="str"/>
      <c r="G7198" s="59" t="str"/>
      <c r="H7198" s="64" t="str"/>
      <c r="I7198" s="65" t="str"/>
      <c r="J7198" s="49" t="str"/>
      <c r="K7198" s="41" t="str"/>
      <c r="L7198" s="41" t="str"/>
      <c r="M7198" s="41" t="str"/>
      <c r="N7198" s="41" t="str"/>
      <c r="O7198" s="41" t="str"/>
      <c r="P7198" s="41" t="str"/>
      <c r="Q7198" s="41" t="str"/>
      <c r="R7198" s="41" t="str"/>
      <c r="S7198" s="41" t="str"/>
      <c r="T7198" s="41" t="str"/>
      <c r="U7198" s="41" t="str"/>
      <c r="V7198" s="41" t="str"/>
      <c r="W7198" s="41" t="str"/>
    </row>
    <row r="7199">
      <c r="B7199" s="2" t="n"/>
      <c r="C7199" s="40" t="n"/>
      <c r="D7199" s="52">
        <f t="array" ref="D7199:W7199">IF(All_Students_Scores!C7197:V7197="","",All_Students_Scores!C7197:V7197)</f>
        <v/>
      </c>
      <c r="E7199" s="57" t="str"/>
      <c r="F7199" s="49" t="str"/>
      <c r="G7199" s="59" t="str"/>
      <c r="H7199" s="64" t="str"/>
      <c r="I7199" s="65" t="str"/>
      <c r="J7199" s="49" t="str"/>
      <c r="K7199" s="41" t="str"/>
      <c r="L7199" s="41" t="str"/>
      <c r="M7199" s="41" t="str"/>
      <c r="N7199" s="41" t="str"/>
      <c r="O7199" s="41" t="str"/>
      <c r="P7199" s="41" t="str"/>
      <c r="Q7199" s="41" t="str"/>
      <c r="R7199" s="41" t="str"/>
      <c r="S7199" s="41" t="str"/>
      <c r="T7199" s="41" t="str"/>
      <c r="U7199" s="41" t="str"/>
      <c r="V7199" s="41" t="str"/>
      <c r="W7199" s="41" t="str"/>
    </row>
    <row r="7200">
      <c r="B7200" s="2" t="n"/>
      <c r="C7200" s="40" t="n"/>
      <c r="D7200" s="52">
        <f t="array" ref="D7200:W7200">IF(All_Students_Scores!C7198:V7198="","",All_Students_Scores!C7198:V7198)</f>
        <v/>
      </c>
      <c r="E7200" s="57" t="str"/>
      <c r="F7200" s="49" t="str"/>
      <c r="G7200" s="59" t="str"/>
      <c r="H7200" s="64" t="str"/>
      <c r="I7200" s="65" t="str"/>
      <c r="J7200" s="49" t="str"/>
      <c r="K7200" s="41" t="str"/>
      <c r="L7200" s="41" t="str"/>
      <c r="M7200" s="41" t="str"/>
      <c r="N7200" s="41" t="str"/>
      <c r="O7200" s="41" t="str"/>
      <c r="P7200" s="41" t="str"/>
      <c r="Q7200" s="41" t="str"/>
      <c r="R7200" s="41" t="str"/>
      <c r="S7200" s="41" t="str"/>
      <c r="T7200" s="41" t="str"/>
      <c r="U7200" s="41" t="str"/>
      <c r="V7200" s="41" t="str"/>
      <c r="W7200" s="41" t="str"/>
    </row>
    <row r="7201">
      <c r="B7201" s="2" t="n"/>
      <c r="C7201" s="40" t="n"/>
      <c r="D7201" s="52">
        <f t="array" ref="D7201:W7201">IF(All_Students_Scores!C7199:V7199="","",All_Students_Scores!C7199:V7199)</f>
        <v/>
      </c>
      <c r="E7201" s="57" t="str"/>
      <c r="F7201" s="49" t="str"/>
      <c r="G7201" s="59" t="str"/>
      <c r="H7201" s="64" t="str"/>
      <c r="I7201" s="65" t="str"/>
      <c r="J7201" s="49" t="str"/>
      <c r="K7201" s="41" t="str"/>
      <c r="L7201" s="41" t="str"/>
      <c r="M7201" s="41" t="str"/>
      <c r="N7201" s="41" t="str"/>
      <c r="O7201" s="41" t="str"/>
      <c r="P7201" s="41" t="str"/>
      <c r="Q7201" s="41" t="str"/>
      <c r="R7201" s="41" t="str"/>
      <c r="S7201" s="41" t="str"/>
      <c r="T7201" s="41" t="str"/>
      <c r="U7201" s="41" t="str"/>
      <c r="V7201" s="41" t="str"/>
      <c r="W7201" s="41" t="str"/>
    </row>
    <row r="7202">
      <c r="B7202" s="2" t="n"/>
      <c r="C7202" s="40" t="n"/>
      <c r="D7202" s="52">
        <f t="array" ref="D7202:W7202">IF(All_Students_Scores!C7200:V7200="","",All_Students_Scores!C7200:V7200)</f>
        <v/>
      </c>
      <c r="E7202" s="57" t="str"/>
      <c r="F7202" s="49" t="str"/>
      <c r="G7202" s="59" t="str"/>
      <c r="H7202" s="64" t="str"/>
      <c r="I7202" s="65" t="str"/>
      <c r="J7202" s="49" t="str"/>
      <c r="K7202" s="41" t="str"/>
      <c r="L7202" s="41" t="str"/>
      <c r="M7202" s="41" t="str"/>
      <c r="N7202" s="41" t="str"/>
      <c r="O7202" s="41" t="str"/>
      <c r="P7202" s="41" t="str"/>
      <c r="Q7202" s="41" t="str"/>
      <c r="R7202" s="41" t="str"/>
      <c r="S7202" s="41" t="str"/>
      <c r="T7202" s="41" t="str"/>
      <c r="U7202" s="41" t="str"/>
      <c r="V7202" s="41" t="str"/>
      <c r="W7202" s="41" t="str"/>
    </row>
    <row r="7203">
      <c r="B7203" s="2" t="n"/>
      <c r="C7203" s="40" t="n"/>
      <c r="D7203" s="52">
        <f t="array" ref="D7203:W7203">IF(All_Students_Scores!C7201:V7201="","",All_Students_Scores!C7201:V7201)</f>
        <v/>
      </c>
      <c r="E7203" s="57" t="str"/>
      <c r="F7203" s="49" t="str"/>
      <c r="G7203" s="59" t="str"/>
      <c r="H7203" s="64" t="str"/>
      <c r="I7203" s="65" t="str"/>
      <c r="J7203" s="49" t="str"/>
      <c r="K7203" s="41" t="str"/>
      <c r="L7203" s="41" t="str"/>
      <c r="M7203" s="41" t="str"/>
      <c r="N7203" s="41" t="str"/>
      <c r="O7203" s="41" t="str"/>
      <c r="P7203" s="41" t="str"/>
      <c r="Q7203" s="41" t="str"/>
      <c r="R7203" s="41" t="str"/>
      <c r="S7203" s="41" t="str"/>
      <c r="T7203" s="41" t="str"/>
      <c r="U7203" s="41" t="str"/>
      <c r="V7203" s="41" t="str"/>
      <c r="W7203" s="41" t="str"/>
    </row>
    <row r="7204">
      <c r="B7204" s="2" t="n"/>
      <c r="C7204" s="40" t="n"/>
      <c r="D7204" s="52">
        <f t="array" ref="D7204:W7204">IF(All_Students_Scores!C7202:V7202="","",All_Students_Scores!C7202:V7202)</f>
        <v/>
      </c>
      <c r="E7204" s="57" t="str"/>
      <c r="F7204" s="49" t="str"/>
      <c r="G7204" s="59" t="str"/>
      <c r="H7204" s="64" t="str"/>
      <c r="I7204" s="65" t="str"/>
      <c r="J7204" s="49" t="str"/>
      <c r="K7204" s="41" t="str"/>
      <c r="L7204" s="41" t="str"/>
      <c r="M7204" s="41" t="str"/>
      <c r="N7204" s="41" t="str"/>
      <c r="O7204" s="41" t="str"/>
      <c r="P7204" s="41" t="str"/>
      <c r="Q7204" s="41" t="str"/>
      <c r="R7204" s="41" t="str"/>
      <c r="S7204" s="41" t="str"/>
      <c r="T7204" s="41" t="str"/>
      <c r="U7204" s="41" t="str"/>
      <c r="V7204" s="41" t="str"/>
      <c r="W7204" s="41" t="str"/>
    </row>
    <row r="7205">
      <c r="B7205" s="2" t="n"/>
      <c r="C7205" s="40" t="n"/>
      <c r="D7205" s="52">
        <f t="array" ref="D7205:W7205">IF(All_Students_Scores!C7203:V7203="","",All_Students_Scores!C7203:V7203)</f>
        <v/>
      </c>
      <c r="E7205" s="57" t="str"/>
      <c r="F7205" s="49" t="str"/>
      <c r="G7205" s="59" t="str"/>
      <c r="H7205" s="64" t="str"/>
      <c r="I7205" s="65" t="str"/>
      <c r="J7205" s="49" t="str"/>
      <c r="K7205" s="41" t="str"/>
      <c r="L7205" s="41" t="str"/>
      <c r="M7205" s="41" t="str"/>
      <c r="N7205" s="41" t="str"/>
      <c r="O7205" s="41" t="str"/>
      <c r="P7205" s="41" t="str"/>
      <c r="Q7205" s="41" t="str"/>
      <c r="R7205" s="41" t="str"/>
      <c r="S7205" s="41" t="str"/>
      <c r="T7205" s="41" t="str"/>
      <c r="U7205" s="41" t="str"/>
      <c r="V7205" s="41" t="str"/>
      <c r="W7205" s="41" t="str"/>
    </row>
    <row r="7206">
      <c r="B7206" s="2" t="n"/>
      <c r="C7206" s="40" t="n"/>
      <c r="D7206" s="52">
        <f t="array" ref="D7206:W7206">IF(All_Students_Scores!C7204:V7204="","",All_Students_Scores!C7204:V7204)</f>
        <v/>
      </c>
      <c r="E7206" s="57" t="str"/>
      <c r="F7206" s="49" t="str"/>
      <c r="G7206" s="59" t="str"/>
      <c r="H7206" s="64" t="str"/>
      <c r="I7206" s="65" t="str"/>
      <c r="J7206" s="49" t="str"/>
      <c r="K7206" s="41" t="str"/>
      <c r="L7206" s="41" t="str"/>
      <c r="M7206" s="41" t="str"/>
      <c r="N7206" s="41" t="str"/>
      <c r="O7206" s="41" t="str"/>
      <c r="P7206" s="41" t="str"/>
      <c r="Q7206" s="41" t="str"/>
      <c r="R7206" s="41" t="str"/>
      <c r="S7206" s="41" t="str"/>
      <c r="T7206" s="41" t="str"/>
      <c r="U7206" s="41" t="str"/>
      <c r="V7206" s="41" t="str"/>
      <c r="W7206" s="41" t="str"/>
    </row>
    <row r="7207">
      <c r="B7207" s="2" t="n"/>
      <c r="C7207" s="40" t="n"/>
      <c r="D7207" s="52">
        <f t="array" ref="D7207:W7207">IF(All_Students_Scores!C7205:V7205="","",All_Students_Scores!C7205:V7205)</f>
        <v/>
      </c>
      <c r="E7207" s="57" t="str"/>
      <c r="F7207" s="49" t="str"/>
      <c r="G7207" s="59" t="str"/>
      <c r="H7207" s="64" t="str"/>
      <c r="I7207" s="65" t="str"/>
      <c r="J7207" s="49" t="str"/>
      <c r="K7207" s="41" t="str"/>
      <c r="L7207" s="41" t="str"/>
      <c r="M7207" s="41" t="str"/>
      <c r="N7207" s="41" t="str"/>
      <c r="O7207" s="41" t="str"/>
      <c r="P7207" s="41" t="str"/>
      <c r="Q7207" s="41" t="str"/>
      <c r="R7207" s="41" t="str"/>
      <c r="S7207" s="41" t="str"/>
      <c r="T7207" s="41" t="str"/>
      <c r="U7207" s="41" t="str"/>
      <c r="V7207" s="41" t="str"/>
      <c r="W7207" s="41" t="str"/>
    </row>
    <row r="7208">
      <c r="B7208" s="2" t="n"/>
      <c r="C7208" s="40" t="n"/>
      <c r="D7208" s="52">
        <f t="array" ref="D7208:W7208">IF(All_Students_Scores!C7206:V7206="","",All_Students_Scores!C7206:V7206)</f>
        <v/>
      </c>
      <c r="E7208" s="57" t="str"/>
      <c r="F7208" s="49" t="str"/>
      <c r="G7208" s="59" t="str"/>
      <c r="H7208" s="64" t="str"/>
      <c r="I7208" s="65" t="str"/>
      <c r="J7208" s="49" t="str"/>
      <c r="K7208" s="41" t="str"/>
      <c r="L7208" s="41" t="str"/>
      <c r="M7208" s="41" t="str"/>
      <c r="N7208" s="41" t="str"/>
      <c r="O7208" s="41" t="str"/>
      <c r="P7208" s="41" t="str"/>
      <c r="Q7208" s="41" t="str"/>
      <c r="R7208" s="41" t="str"/>
      <c r="S7208" s="41" t="str"/>
      <c r="T7208" s="41" t="str"/>
      <c r="U7208" s="41" t="str"/>
      <c r="V7208" s="41" t="str"/>
      <c r="W7208" s="41" t="str"/>
    </row>
    <row r="7209">
      <c r="B7209" s="2" t="n"/>
      <c r="C7209" s="40" t="n"/>
      <c r="D7209" s="52">
        <f t="array" ref="D7209:W7209">IF(All_Students_Scores!C7207:V7207="","",All_Students_Scores!C7207:V7207)</f>
        <v/>
      </c>
      <c r="E7209" s="57" t="str"/>
      <c r="F7209" s="49" t="str"/>
      <c r="G7209" s="59" t="str"/>
      <c r="H7209" s="64" t="str"/>
      <c r="I7209" s="65" t="str"/>
      <c r="J7209" s="49" t="str"/>
      <c r="K7209" s="41" t="str"/>
      <c r="L7209" s="41" t="str"/>
      <c r="M7209" s="41" t="str"/>
      <c r="N7209" s="41" t="str"/>
      <c r="O7209" s="41" t="str"/>
      <c r="P7209" s="41" t="str"/>
      <c r="Q7209" s="41" t="str"/>
      <c r="R7209" s="41" t="str"/>
      <c r="S7209" s="41" t="str"/>
      <c r="T7209" s="41" t="str"/>
      <c r="U7209" s="41" t="str"/>
      <c r="V7209" s="41" t="str"/>
      <c r="W7209" s="41" t="str"/>
    </row>
    <row r="7210">
      <c r="B7210" s="2" t="n"/>
      <c r="C7210" s="40" t="n"/>
      <c r="D7210" s="52">
        <f t="array" ref="D7210:W7210">IF(All_Students_Scores!C7208:V7208="","",All_Students_Scores!C7208:V7208)</f>
        <v/>
      </c>
      <c r="E7210" s="57" t="str"/>
      <c r="F7210" s="49" t="str"/>
      <c r="G7210" s="59" t="str"/>
      <c r="H7210" s="64" t="str"/>
      <c r="I7210" s="65" t="str"/>
      <c r="J7210" s="49" t="str"/>
      <c r="K7210" s="41" t="str"/>
      <c r="L7210" s="41" t="str"/>
      <c r="M7210" s="41" t="str"/>
      <c r="N7210" s="41" t="str"/>
      <c r="O7210" s="41" t="str"/>
      <c r="P7210" s="41" t="str"/>
      <c r="Q7210" s="41" t="str"/>
      <c r="R7210" s="41" t="str"/>
      <c r="S7210" s="41" t="str"/>
      <c r="T7210" s="41" t="str"/>
      <c r="U7210" s="41" t="str"/>
      <c r="V7210" s="41" t="str"/>
      <c r="W7210" s="41" t="str"/>
    </row>
    <row r="7211">
      <c r="B7211" s="2" t="n"/>
      <c r="C7211" s="40" t="n"/>
      <c r="D7211" s="52">
        <f t="array" ref="D7211:W7211">IF(All_Students_Scores!C7209:V7209="","",All_Students_Scores!C7209:V7209)</f>
        <v/>
      </c>
      <c r="E7211" s="57" t="str"/>
      <c r="F7211" s="49" t="str"/>
      <c r="G7211" s="59" t="str"/>
      <c r="H7211" s="64" t="str"/>
      <c r="I7211" s="65" t="str"/>
      <c r="J7211" s="49" t="str"/>
      <c r="K7211" s="41" t="str"/>
      <c r="L7211" s="41" t="str"/>
      <c r="M7211" s="41" t="str"/>
      <c r="N7211" s="41" t="str"/>
      <c r="O7211" s="41" t="str"/>
      <c r="P7211" s="41" t="str"/>
      <c r="Q7211" s="41" t="str"/>
      <c r="R7211" s="41" t="str"/>
      <c r="S7211" s="41" t="str"/>
      <c r="T7211" s="41" t="str"/>
      <c r="U7211" s="41" t="str"/>
      <c r="V7211" s="41" t="str"/>
      <c r="W7211" s="41" t="str"/>
    </row>
    <row r="7212">
      <c r="B7212" s="2" t="n"/>
      <c r="C7212" s="40" t="n"/>
      <c r="D7212" s="52">
        <f t="array" ref="D7212:W7212">IF(All_Students_Scores!C7210:V7210="","",All_Students_Scores!C7210:V7210)</f>
        <v/>
      </c>
      <c r="E7212" s="57" t="str"/>
      <c r="F7212" s="49" t="str"/>
      <c r="G7212" s="59" t="str"/>
      <c r="H7212" s="64" t="str"/>
      <c r="I7212" s="65" t="str"/>
      <c r="J7212" s="49" t="str"/>
      <c r="K7212" s="41" t="str"/>
      <c r="L7212" s="41" t="str"/>
      <c r="M7212" s="41" t="str"/>
      <c r="N7212" s="41" t="str"/>
      <c r="O7212" s="41" t="str"/>
      <c r="P7212" s="41" t="str"/>
      <c r="Q7212" s="41" t="str"/>
      <c r="R7212" s="41" t="str"/>
      <c r="S7212" s="41" t="str"/>
      <c r="T7212" s="41" t="str"/>
      <c r="U7212" s="41" t="str"/>
      <c r="V7212" s="41" t="str"/>
      <c r="W7212" s="41" t="str"/>
    </row>
    <row r="7213">
      <c r="B7213" s="2" t="n"/>
      <c r="C7213" s="40" t="n"/>
      <c r="D7213" s="52">
        <f t="array" ref="D7213:W7213">IF(All_Students_Scores!C7211:V7211="","",All_Students_Scores!C7211:V7211)</f>
        <v/>
      </c>
      <c r="E7213" s="57" t="str"/>
      <c r="F7213" s="49" t="str"/>
      <c r="G7213" s="59" t="str"/>
      <c r="H7213" s="64" t="str"/>
      <c r="I7213" s="65" t="str"/>
      <c r="J7213" s="49" t="str"/>
      <c r="K7213" s="41" t="str"/>
      <c r="L7213" s="41" t="str"/>
      <c r="M7213" s="41" t="str"/>
      <c r="N7213" s="41" t="str"/>
      <c r="O7213" s="41" t="str"/>
      <c r="P7213" s="41" t="str"/>
      <c r="Q7213" s="41" t="str"/>
      <c r="R7213" s="41" t="str"/>
      <c r="S7213" s="41" t="str"/>
      <c r="T7213" s="41" t="str"/>
      <c r="U7213" s="41" t="str"/>
      <c r="V7213" s="41" t="str"/>
      <c r="W7213" s="41" t="str"/>
    </row>
    <row r="7214">
      <c r="B7214" s="2" t="n"/>
      <c r="C7214" s="40" t="n"/>
      <c r="D7214" s="52">
        <f t="array" ref="D7214:W7214">IF(All_Students_Scores!C7212:V7212="","",All_Students_Scores!C7212:V7212)</f>
        <v/>
      </c>
      <c r="E7214" s="57" t="str"/>
      <c r="F7214" s="49" t="str"/>
      <c r="G7214" s="59" t="str"/>
      <c r="H7214" s="64" t="str"/>
      <c r="I7214" s="65" t="str"/>
      <c r="J7214" s="49" t="str"/>
      <c r="K7214" s="41" t="str"/>
      <c r="L7214" s="41" t="str"/>
      <c r="M7214" s="41" t="str"/>
      <c r="N7214" s="41" t="str"/>
      <c r="O7214" s="41" t="str"/>
      <c r="P7214" s="41" t="str"/>
      <c r="Q7214" s="41" t="str"/>
      <c r="R7214" s="41" t="str"/>
      <c r="S7214" s="41" t="str"/>
      <c r="T7214" s="41" t="str"/>
      <c r="U7214" s="41" t="str"/>
      <c r="V7214" s="41" t="str"/>
      <c r="W7214" s="41" t="str"/>
    </row>
    <row r="7215">
      <c r="B7215" s="2" t="n"/>
      <c r="C7215" s="40" t="n"/>
      <c r="D7215" s="52">
        <f t="array" ref="D7215:W7215">IF(All_Students_Scores!C7213:V7213="","",All_Students_Scores!C7213:V7213)</f>
        <v/>
      </c>
      <c r="E7215" s="57" t="str"/>
      <c r="F7215" s="49" t="str"/>
      <c r="G7215" s="59" t="str"/>
      <c r="H7215" s="64" t="str"/>
      <c r="I7215" s="65" t="str"/>
      <c r="J7215" s="49" t="str"/>
      <c r="K7215" s="41" t="str"/>
      <c r="L7215" s="41" t="str"/>
      <c r="M7215" s="41" t="str"/>
      <c r="N7215" s="41" t="str"/>
      <c r="O7215" s="41" t="str"/>
      <c r="P7215" s="41" t="str"/>
      <c r="Q7215" s="41" t="str"/>
      <c r="R7215" s="41" t="str"/>
      <c r="S7215" s="41" t="str"/>
      <c r="T7215" s="41" t="str"/>
      <c r="U7215" s="41" t="str"/>
      <c r="V7215" s="41" t="str"/>
      <c r="W7215" s="41" t="str"/>
    </row>
    <row r="7216">
      <c r="B7216" s="2" t="n"/>
      <c r="C7216" s="40" t="n"/>
      <c r="D7216" s="52">
        <f t="array" ref="D7216:W7216">IF(All_Students_Scores!C7214:V7214="","",All_Students_Scores!C7214:V7214)</f>
        <v/>
      </c>
      <c r="E7216" s="57" t="str"/>
      <c r="F7216" s="49" t="str"/>
      <c r="G7216" s="59" t="str"/>
      <c r="H7216" s="64" t="str"/>
      <c r="I7216" s="65" t="str"/>
      <c r="J7216" s="49" t="str"/>
      <c r="K7216" s="41" t="str"/>
      <c r="L7216" s="41" t="str"/>
      <c r="M7216" s="41" t="str"/>
      <c r="N7216" s="41" t="str"/>
      <c r="O7216" s="41" t="str"/>
      <c r="P7216" s="41" t="str"/>
      <c r="Q7216" s="41" t="str"/>
      <c r="R7216" s="41" t="str"/>
      <c r="S7216" s="41" t="str"/>
      <c r="T7216" s="41" t="str"/>
      <c r="U7216" s="41" t="str"/>
      <c r="V7216" s="41" t="str"/>
      <c r="W7216" s="41" t="str"/>
    </row>
    <row r="7217">
      <c r="B7217" s="2" t="n"/>
      <c r="C7217" s="40" t="n"/>
      <c r="D7217" s="52">
        <f t="array" ref="D7217:W7217">IF(All_Students_Scores!C7215:V7215="","",All_Students_Scores!C7215:V7215)</f>
        <v/>
      </c>
      <c r="E7217" s="57" t="str"/>
      <c r="F7217" s="49" t="str"/>
      <c r="G7217" s="59" t="str"/>
      <c r="H7217" s="64" t="str"/>
      <c r="I7217" s="65" t="str"/>
      <c r="J7217" s="49" t="str"/>
      <c r="K7217" s="41" t="str"/>
      <c r="L7217" s="41" t="str"/>
      <c r="M7217" s="41" t="str"/>
      <c r="N7217" s="41" t="str"/>
      <c r="O7217" s="41" t="str"/>
      <c r="P7217" s="41" t="str"/>
      <c r="Q7217" s="41" t="str"/>
      <c r="R7217" s="41" t="str"/>
      <c r="S7217" s="41" t="str"/>
      <c r="T7217" s="41" t="str"/>
      <c r="U7217" s="41" t="str"/>
      <c r="V7217" s="41" t="str"/>
      <c r="W7217" s="41" t="str"/>
    </row>
    <row r="7218">
      <c r="B7218" s="2" t="n"/>
      <c r="C7218" s="40" t="n"/>
      <c r="D7218" s="52">
        <f t="array" ref="D7218:W7218">IF(All_Students_Scores!C7216:V7216="","",All_Students_Scores!C7216:V7216)</f>
        <v/>
      </c>
      <c r="E7218" s="57" t="str"/>
      <c r="F7218" s="49" t="str"/>
      <c r="G7218" s="59" t="str"/>
      <c r="H7218" s="64" t="str"/>
      <c r="I7218" s="65" t="str"/>
      <c r="J7218" s="49" t="str"/>
      <c r="K7218" s="41" t="str"/>
      <c r="L7218" s="41" t="str"/>
      <c r="M7218" s="41" t="str"/>
      <c r="N7218" s="41" t="str"/>
      <c r="O7218" s="41" t="str"/>
      <c r="P7218" s="41" t="str"/>
      <c r="Q7218" s="41" t="str"/>
      <c r="R7218" s="41" t="str"/>
      <c r="S7218" s="41" t="str"/>
      <c r="T7218" s="41" t="str"/>
      <c r="U7218" s="41" t="str"/>
      <c r="V7218" s="41" t="str"/>
      <c r="W7218" s="41" t="str"/>
    </row>
    <row r="7219">
      <c r="B7219" s="2" t="n"/>
      <c r="C7219" s="40" t="n"/>
      <c r="D7219" s="52">
        <f t="array" ref="D7219:W7219">IF(All_Students_Scores!C7217:V7217="","",All_Students_Scores!C7217:V7217)</f>
        <v/>
      </c>
      <c r="E7219" s="57" t="str"/>
      <c r="F7219" s="49" t="str"/>
      <c r="G7219" s="59" t="str"/>
      <c r="H7219" s="64" t="str"/>
      <c r="I7219" s="65" t="str"/>
      <c r="J7219" s="49" t="str"/>
      <c r="K7219" s="41" t="str"/>
      <c r="L7219" s="41" t="str"/>
      <c r="M7219" s="41" t="str"/>
      <c r="N7219" s="41" t="str"/>
      <c r="O7219" s="41" t="str"/>
      <c r="P7219" s="41" t="str"/>
      <c r="Q7219" s="41" t="str"/>
      <c r="R7219" s="41" t="str"/>
      <c r="S7219" s="41" t="str"/>
      <c r="T7219" s="41" t="str"/>
      <c r="U7219" s="41" t="str"/>
      <c r="V7219" s="41" t="str"/>
      <c r="W7219" s="41" t="str"/>
    </row>
    <row r="7220">
      <c r="B7220" s="2" t="n"/>
      <c r="C7220" s="40" t="n"/>
      <c r="D7220" s="52">
        <f t="array" ref="D7220:W7220">IF(All_Students_Scores!C7218:V7218="","",All_Students_Scores!C7218:V7218)</f>
        <v/>
      </c>
      <c r="E7220" s="57" t="str"/>
      <c r="F7220" s="49" t="str"/>
      <c r="G7220" s="59" t="str"/>
      <c r="H7220" s="64" t="str"/>
      <c r="I7220" s="65" t="str"/>
      <c r="J7220" s="49" t="str"/>
      <c r="K7220" s="41" t="str"/>
      <c r="L7220" s="41" t="str"/>
      <c r="M7220" s="41" t="str"/>
      <c r="N7220" s="41" t="str"/>
      <c r="O7220" s="41" t="str"/>
      <c r="P7220" s="41" t="str"/>
      <c r="Q7220" s="41" t="str"/>
      <c r="R7220" s="41" t="str"/>
      <c r="S7220" s="41" t="str"/>
      <c r="T7220" s="41" t="str"/>
      <c r="U7220" s="41" t="str"/>
      <c r="V7220" s="41" t="str"/>
      <c r="W7220" s="41" t="str"/>
    </row>
    <row r="7221">
      <c r="B7221" s="2" t="n"/>
      <c r="C7221" s="40" t="n"/>
      <c r="D7221" s="52">
        <f t="array" ref="D7221:W7221">IF(All_Students_Scores!C7219:V7219="","",All_Students_Scores!C7219:V7219)</f>
        <v/>
      </c>
      <c r="E7221" s="57" t="str"/>
      <c r="F7221" s="49" t="str"/>
      <c r="G7221" s="59" t="str"/>
      <c r="H7221" s="64" t="str"/>
      <c r="I7221" s="65" t="str"/>
      <c r="J7221" s="49" t="str"/>
      <c r="K7221" s="41" t="str"/>
      <c r="L7221" s="41" t="str"/>
      <c r="M7221" s="41" t="str"/>
      <c r="N7221" s="41" t="str"/>
      <c r="O7221" s="41" t="str"/>
      <c r="P7221" s="41" t="str"/>
      <c r="Q7221" s="41" t="str"/>
      <c r="R7221" s="41" t="str"/>
      <c r="S7221" s="41" t="str"/>
      <c r="T7221" s="41" t="str"/>
      <c r="U7221" s="41" t="str"/>
      <c r="V7221" s="41" t="str"/>
      <c r="W7221" s="41" t="str"/>
    </row>
    <row r="7222">
      <c r="B7222" s="2" t="n"/>
      <c r="C7222" s="40" t="n"/>
      <c r="D7222" s="52">
        <f t="array" ref="D7222:W7222">IF(All_Students_Scores!C7220:V7220="","",All_Students_Scores!C7220:V7220)</f>
        <v/>
      </c>
      <c r="E7222" s="57" t="str"/>
      <c r="F7222" s="49" t="str"/>
      <c r="G7222" s="59" t="str"/>
      <c r="H7222" s="64" t="str"/>
      <c r="I7222" s="65" t="str"/>
      <c r="J7222" s="49" t="str"/>
      <c r="K7222" s="41" t="str"/>
      <c r="L7222" s="41" t="str"/>
      <c r="M7222" s="41" t="str"/>
      <c r="N7222" s="41" t="str"/>
      <c r="O7222" s="41" t="str"/>
      <c r="P7222" s="41" t="str"/>
      <c r="Q7222" s="41" t="str"/>
      <c r="R7222" s="41" t="str"/>
      <c r="S7222" s="41" t="str"/>
      <c r="T7222" s="41" t="str"/>
      <c r="U7222" s="41" t="str"/>
      <c r="V7222" s="41" t="str"/>
      <c r="W7222" s="41" t="str"/>
    </row>
    <row r="7223">
      <c r="B7223" s="2" t="n"/>
      <c r="C7223" s="40" t="n"/>
      <c r="D7223" s="52">
        <f t="array" ref="D7223:W7223">IF(All_Students_Scores!C7221:V7221="","",All_Students_Scores!C7221:V7221)</f>
        <v/>
      </c>
      <c r="E7223" s="57" t="str"/>
      <c r="F7223" s="49" t="str"/>
      <c r="G7223" s="59" t="str"/>
      <c r="H7223" s="64" t="str"/>
      <c r="I7223" s="65" t="str"/>
      <c r="J7223" s="49" t="str"/>
      <c r="K7223" s="41" t="str"/>
      <c r="L7223" s="41" t="str"/>
      <c r="M7223" s="41" t="str"/>
      <c r="N7223" s="41" t="str"/>
      <c r="O7223" s="41" t="str"/>
      <c r="P7223" s="41" t="str"/>
      <c r="Q7223" s="41" t="str"/>
      <c r="R7223" s="41" t="str"/>
      <c r="S7223" s="41" t="str"/>
      <c r="T7223" s="41" t="str"/>
      <c r="U7223" s="41" t="str"/>
      <c r="V7223" s="41" t="str"/>
      <c r="W7223" s="41" t="str"/>
    </row>
    <row r="7224">
      <c r="B7224" s="2" t="n"/>
      <c r="C7224" s="40" t="n"/>
      <c r="D7224" s="52">
        <f t="array" ref="D7224:W7224">IF(All_Students_Scores!C7222:V7222="","",All_Students_Scores!C7222:V7222)</f>
        <v/>
      </c>
      <c r="E7224" s="57" t="str"/>
      <c r="F7224" s="49" t="str"/>
      <c r="G7224" s="59" t="str"/>
      <c r="H7224" s="64" t="str"/>
      <c r="I7224" s="65" t="str"/>
      <c r="J7224" s="49" t="str"/>
      <c r="K7224" s="41" t="str"/>
      <c r="L7224" s="41" t="str"/>
      <c r="M7224" s="41" t="str"/>
      <c r="N7224" s="41" t="str"/>
      <c r="O7224" s="41" t="str"/>
      <c r="P7224" s="41" t="str"/>
      <c r="Q7224" s="41" t="str"/>
      <c r="R7224" s="41" t="str"/>
      <c r="S7224" s="41" t="str"/>
      <c r="T7224" s="41" t="str"/>
      <c r="U7224" s="41" t="str"/>
      <c r="V7224" s="41" t="str"/>
      <c r="W7224" s="41" t="str"/>
    </row>
    <row r="7225">
      <c r="B7225" s="2" t="n"/>
      <c r="C7225" s="40" t="n"/>
      <c r="D7225" s="52">
        <f t="array" ref="D7225:W7225">IF(All_Students_Scores!C7223:V7223="","",All_Students_Scores!C7223:V7223)</f>
        <v/>
      </c>
      <c r="E7225" s="57" t="str"/>
      <c r="F7225" s="49" t="str"/>
      <c r="G7225" s="59" t="str"/>
      <c r="H7225" s="64" t="str"/>
      <c r="I7225" s="65" t="str"/>
      <c r="J7225" s="49" t="str"/>
      <c r="K7225" s="41" t="str"/>
      <c r="L7225" s="41" t="str"/>
      <c r="M7225" s="41" t="str"/>
      <c r="N7225" s="41" t="str"/>
      <c r="O7225" s="41" t="str"/>
      <c r="P7225" s="41" t="str"/>
      <c r="Q7225" s="41" t="str"/>
      <c r="R7225" s="41" t="str"/>
      <c r="S7225" s="41" t="str"/>
      <c r="T7225" s="41" t="str"/>
      <c r="U7225" s="41" t="str"/>
      <c r="V7225" s="41" t="str"/>
      <c r="W7225" s="41" t="str"/>
    </row>
    <row r="7226">
      <c r="B7226" s="2" t="n"/>
      <c r="C7226" s="40" t="n"/>
      <c r="D7226" s="52">
        <f t="array" ref="D7226:W7226">IF(All_Students_Scores!C7224:V7224="","",All_Students_Scores!C7224:V7224)</f>
        <v/>
      </c>
      <c r="E7226" s="57" t="str"/>
      <c r="F7226" s="49" t="str"/>
      <c r="G7226" s="59" t="str"/>
      <c r="H7226" s="64" t="str"/>
      <c r="I7226" s="65" t="str"/>
      <c r="J7226" s="49" t="str"/>
      <c r="K7226" s="41" t="str"/>
      <c r="L7226" s="41" t="str"/>
      <c r="M7226" s="41" t="str"/>
      <c r="N7226" s="41" t="str"/>
      <c r="O7226" s="41" t="str"/>
      <c r="P7226" s="41" t="str"/>
      <c r="Q7226" s="41" t="str"/>
      <c r="R7226" s="41" t="str"/>
      <c r="S7226" s="41" t="str"/>
      <c r="T7226" s="41" t="str"/>
      <c r="U7226" s="41" t="str"/>
      <c r="V7226" s="41" t="str"/>
      <c r="W7226" s="41" t="str"/>
    </row>
    <row r="7227">
      <c r="B7227" s="2" t="n"/>
      <c r="C7227" s="40" t="n"/>
      <c r="D7227" s="52">
        <f t="array" ref="D7227:W7227">IF(All_Students_Scores!C7225:V7225="","",All_Students_Scores!C7225:V7225)</f>
        <v/>
      </c>
      <c r="E7227" s="57" t="str"/>
      <c r="F7227" s="49" t="str"/>
      <c r="G7227" s="59" t="str"/>
      <c r="H7227" s="64" t="str"/>
      <c r="I7227" s="65" t="str"/>
      <c r="J7227" s="49" t="str"/>
      <c r="K7227" s="41" t="str"/>
      <c r="L7227" s="41" t="str"/>
      <c r="M7227" s="41" t="str"/>
      <c r="N7227" s="41" t="str"/>
      <c r="O7227" s="41" t="str"/>
      <c r="P7227" s="41" t="str"/>
      <c r="Q7227" s="41" t="str"/>
      <c r="R7227" s="41" t="str"/>
      <c r="S7227" s="41" t="str"/>
      <c r="T7227" s="41" t="str"/>
      <c r="U7227" s="41" t="str"/>
      <c r="V7227" s="41" t="str"/>
      <c r="W7227" s="41" t="str"/>
    </row>
    <row r="7228">
      <c r="B7228" s="2" t="n"/>
      <c r="C7228" s="40" t="n"/>
      <c r="D7228" s="52">
        <f t="array" ref="D7228:W7228">IF(All_Students_Scores!C7226:V7226="","",All_Students_Scores!C7226:V7226)</f>
        <v/>
      </c>
      <c r="E7228" s="57" t="str"/>
      <c r="F7228" s="49" t="str"/>
      <c r="G7228" s="59" t="str"/>
      <c r="H7228" s="64" t="str"/>
      <c r="I7228" s="65" t="str"/>
      <c r="J7228" s="49" t="str"/>
      <c r="K7228" s="41" t="str"/>
      <c r="L7228" s="41" t="str"/>
      <c r="M7228" s="41" t="str"/>
      <c r="N7228" s="41" t="str"/>
      <c r="O7228" s="41" t="str"/>
      <c r="P7228" s="41" t="str"/>
      <c r="Q7228" s="41" t="str"/>
      <c r="R7228" s="41" t="str"/>
      <c r="S7228" s="41" t="str"/>
      <c r="T7228" s="41" t="str"/>
      <c r="U7228" s="41" t="str"/>
      <c r="V7228" s="41" t="str"/>
      <c r="W7228" s="41" t="str"/>
    </row>
    <row r="7229">
      <c r="B7229" s="2" t="n"/>
      <c r="C7229" s="40" t="n"/>
      <c r="D7229" s="52">
        <f t="array" ref="D7229:W7229">IF(All_Students_Scores!C7227:V7227="","",All_Students_Scores!C7227:V7227)</f>
        <v/>
      </c>
      <c r="E7229" s="57" t="str"/>
      <c r="F7229" s="49" t="str"/>
      <c r="G7229" s="59" t="str"/>
      <c r="H7229" s="64" t="str"/>
      <c r="I7229" s="65" t="str"/>
      <c r="J7229" s="49" t="str"/>
      <c r="K7229" s="41" t="str"/>
      <c r="L7229" s="41" t="str"/>
      <c r="M7229" s="41" t="str"/>
      <c r="N7229" s="41" t="str"/>
      <c r="O7229" s="41" t="str"/>
      <c r="P7229" s="41" t="str"/>
      <c r="Q7229" s="41" t="str"/>
      <c r="R7229" s="41" t="str"/>
      <c r="S7229" s="41" t="str"/>
      <c r="T7229" s="41" t="str"/>
      <c r="U7229" s="41" t="str"/>
      <c r="V7229" s="41" t="str"/>
      <c r="W7229" s="41" t="str"/>
    </row>
    <row r="7230">
      <c r="B7230" s="2" t="n"/>
      <c r="C7230" s="40" t="n"/>
      <c r="D7230" s="52">
        <f t="array" ref="D7230:W7230">IF(All_Students_Scores!C7228:V7228="","",All_Students_Scores!C7228:V7228)</f>
        <v/>
      </c>
      <c r="E7230" s="57" t="str"/>
      <c r="F7230" s="49" t="str"/>
      <c r="G7230" s="59" t="str"/>
      <c r="H7230" s="64" t="str"/>
      <c r="I7230" s="65" t="str"/>
      <c r="J7230" s="49" t="str"/>
      <c r="K7230" s="41" t="str"/>
      <c r="L7230" s="41" t="str"/>
      <c r="M7230" s="41" t="str"/>
      <c r="N7230" s="41" t="str"/>
      <c r="O7230" s="41" t="str"/>
      <c r="P7230" s="41" t="str"/>
      <c r="Q7230" s="41" t="str"/>
      <c r="R7230" s="41" t="str"/>
      <c r="S7230" s="41" t="str"/>
      <c r="T7230" s="41" t="str"/>
      <c r="U7230" s="41" t="str"/>
      <c r="V7230" s="41" t="str"/>
      <c r="W7230" s="41" t="str"/>
    </row>
    <row r="7231">
      <c r="B7231" s="2" t="n"/>
      <c r="C7231" s="40" t="n"/>
      <c r="D7231" s="52">
        <f t="array" ref="D7231:W7231">IF(All_Students_Scores!C7229:V7229="","",All_Students_Scores!C7229:V7229)</f>
        <v/>
      </c>
      <c r="E7231" s="57" t="str"/>
      <c r="F7231" s="49" t="str"/>
      <c r="G7231" s="59" t="str"/>
      <c r="H7231" s="64" t="str"/>
      <c r="I7231" s="65" t="str"/>
      <c r="J7231" s="49" t="str"/>
      <c r="K7231" s="41" t="str"/>
      <c r="L7231" s="41" t="str"/>
      <c r="M7231" s="41" t="str"/>
      <c r="N7231" s="41" t="str"/>
      <c r="O7231" s="41" t="str"/>
      <c r="P7231" s="41" t="str"/>
      <c r="Q7231" s="41" t="str"/>
      <c r="R7231" s="41" t="str"/>
      <c r="S7231" s="41" t="str"/>
      <c r="T7231" s="41" t="str"/>
      <c r="U7231" s="41" t="str"/>
      <c r="V7231" s="41" t="str"/>
      <c r="W7231" s="41" t="str"/>
    </row>
    <row r="7232">
      <c r="B7232" s="2" t="n"/>
      <c r="C7232" s="40" t="n"/>
      <c r="D7232" s="52">
        <f t="array" ref="D7232:W7232">IF(All_Students_Scores!C7230:V7230="","",All_Students_Scores!C7230:V7230)</f>
        <v/>
      </c>
      <c r="E7232" s="57" t="str"/>
      <c r="F7232" s="49" t="str"/>
      <c r="G7232" s="59" t="str"/>
      <c r="H7232" s="64" t="str"/>
      <c r="I7232" s="65" t="str"/>
      <c r="J7232" s="49" t="str"/>
      <c r="K7232" s="41" t="str"/>
      <c r="L7232" s="41" t="str"/>
      <c r="M7232" s="41" t="str"/>
      <c r="N7232" s="41" t="str"/>
      <c r="O7232" s="41" t="str"/>
      <c r="P7232" s="41" t="str"/>
      <c r="Q7232" s="41" t="str"/>
      <c r="R7232" s="41" t="str"/>
      <c r="S7232" s="41" t="str"/>
      <c r="T7232" s="41" t="str"/>
      <c r="U7232" s="41" t="str"/>
      <c r="V7232" s="41" t="str"/>
      <c r="W7232" s="41" t="str"/>
    </row>
    <row r="7233">
      <c r="B7233" s="2" t="n"/>
      <c r="C7233" s="40" t="n"/>
      <c r="D7233" s="52">
        <f t="array" ref="D7233:W7233">IF(All_Students_Scores!C7231:V7231="","",All_Students_Scores!C7231:V7231)</f>
        <v/>
      </c>
      <c r="E7233" s="57" t="str"/>
      <c r="F7233" s="49" t="str"/>
      <c r="G7233" s="59" t="str"/>
      <c r="H7233" s="64" t="str"/>
      <c r="I7233" s="65" t="str"/>
      <c r="J7233" s="49" t="str"/>
      <c r="K7233" s="41" t="str"/>
      <c r="L7233" s="41" t="str"/>
      <c r="M7233" s="41" t="str"/>
      <c r="N7233" s="41" t="str"/>
      <c r="O7233" s="41" t="str"/>
      <c r="P7233" s="41" t="str"/>
      <c r="Q7233" s="41" t="str"/>
      <c r="R7233" s="41" t="str"/>
      <c r="S7233" s="41" t="str"/>
      <c r="T7233" s="41" t="str"/>
      <c r="U7233" s="41" t="str"/>
      <c r="V7233" s="41" t="str"/>
      <c r="W7233" s="41" t="str"/>
    </row>
    <row r="7234">
      <c r="B7234" s="2" t="n"/>
      <c r="C7234" s="40" t="n"/>
      <c r="D7234" s="52">
        <f t="array" ref="D7234:W7234">IF(All_Students_Scores!C7232:V7232="","",All_Students_Scores!C7232:V7232)</f>
        <v/>
      </c>
      <c r="E7234" s="57" t="str"/>
      <c r="F7234" s="49" t="str"/>
      <c r="G7234" s="59" t="str"/>
      <c r="H7234" s="64" t="str"/>
      <c r="I7234" s="65" t="str"/>
      <c r="J7234" s="49" t="str"/>
      <c r="K7234" s="41" t="str"/>
      <c r="L7234" s="41" t="str"/>
      <c r="M7234" s="41" t="str"/>
      <c r="N7234" s="41" t="str"/>
      <c r="O7234" s="41" t="str"/>
      <c r="P7234" s="41" t="str"/>
      <c r="Q7234" s="41" t="str"/>
      <c r="R7234" s="41" t="str"/>
      <c r="S7234" s="41" t="str"/>
      <c r="T7234" s="41" t="str"/>
      <c r="U7234" s="41" t="str"/>
      <c r="V7234" s="41" t="str"/>
      <c r="W7234" s="41" t="str"/>
    </row>
    <row r="7235">
      <c r="B7235" s="2" t="n"/>
      <c r="C7235" s="40" t="n"/>
      <c r="D7235" s="52">
        <f t="array" ref="D7235:W7235">IF(All_Students_Scores!C7233:V7233="","",All_Students_Scores!C7233:V7233)</f>
        <v/>
      </c>
      <c r="E7235" s="57" t="str"/>
      <c r="F7235" s="49" t="str"/>
      <c r="G7235" s="59" t="str"/>
      <c r="H7235" s="64" t="str"/>
      <c r="I7235" s="65" t="str"/>
      <c r="J7235" s="49" t="str"/>
      <c r="K7235" s="41" t="str"/>
      <c r="L7235" s="41" t="str"/>
      <c r="M7235" s="41" t="str"/>
      <c r="N7235" s="41" t="str"/>
      <c r="O7235" s="41" t="str"/>
      <c r="P7235" s="41" t="str"/>
      <c r="Q7235" s="41" t="str"/>
      <c r="R7235" s="41" t="str"/>
      <c r="S7235" s="41" t="str"/>
      <c r="T7235" s="41" t="str"/>
      <c r="U7235" s="41" t="str"/>
      <c r="V7235" s="41" t="str"/>
      <c r="W7235" s="41" t="str"/>
    </row>
    <row r="7236">
      <c r="B7236" s="2" t="n"/>
      <c r="C7236" s="40" t="n"/>
      <c r="D7236" s="52">
        <f t="array" ref="D7236:W7236">IF(All_Students_Scores!C7234:V7234="","",All_Students_Scores!C7234:V7234)</f>
        <v/>
      </c>
      <c r="E7236" s="57" t="str"/>
      <c r="F7236" s="49" t="str"/>
      <c r="G7236" s="59" t="str"/>
      <c r="H7236" s="64" t="str"/>
      <c r="I7236" s="65" t="str"/>
      <c r="J7236" s="49" t="str"/>
      <c r="K7236" s="41" t="str"/>
      <c r="L7236" s="41" t="str"/>
      <c r="M7236" s="41" t="str"/>
      <c r="N7236" s="41" t="str"/>
      <c r="O7236" s="41" t="str"/>
      <c r="P7236" s="41" t="str"/>
      <c r="Q7236" s="41" t="str"/>
      <c r="R7236" s="41" t="str"/>
      <c r="S7236" s="41" t="str"/>
      <c r="T7236" s="41" t="str"/>
      <c r="U7236" s="41" t="str"/>
      <c r="V7236" s="41" t="str"/>
      <c r="W7236" s="41" t="str"/>
    </row>
    <row r="7237">
      <c r="B7237" s="2" t="n"/>
      <c r="C7237" s="40" t="n"/>
      <c r="D7237" s="52">
        <f t="array" ref="D7237:W7237">IF(All_Students_Scores!C7235:V7235="","",All_Students_Scores!C7235:V7235)</f>
        <v/>
      </c>
      <c r="E7237" s="57" t="str"/>
      <c r="F7237" s="49" t="str"/>
      <c r="G7237" s="59" t="str"/>
      <c r="H7237" s="64" t="str"/>
      <c r="I7237" s="65" t="str"/>
      <c r="J7237" s="49" t="str"/>
      <c r="K7237" s="41" t="str"/>
      <c r="L7237" s="41" t="str"/>
      <c r="M7237" s="41" t="str"/>
      <c r="N7237" s="41" t="str"/>
      <c r="O7237" s="41" t="str"/>
      <c r="P7237" s="41" t="str"/>
      <c r="Q7237" s="41" t="str"/>
      <c r="R7237" s="41" t="str"/>
      <c r="S7237" s="41" t="str"/>
      <c r="T7237" s="41" t="str"/>
      <c r="U7237" s="41" t="str"/>
      <c r="V7237" s="41" t="str"/>
      <c r="W7237" s="41" t="str"/>
    </row>
    <row r="7238">
      <c r="B7238" s="2" t="n"/>
      <c r="C7238" s="40" t="n"/>
      <c r="D7238" s="52">
        <f t="array" ref="D7238:W7238">IF(All_Students_Scores!C7236:V7236="","",All_Students_Scores!C7236:V7236)</f>
        <v/>
      </c>
      <c r="E7238" s="57" t="str"/>
      <c r="F7238" s="49" t="str"/>
      <c r="G7238" s="59" t="str"/>
      <c r="H7238" s="64" t="str"/>
      <c r="I7238" s="65" t="str"/>
      <c r="J7238" s="49" t="str"/>
      <c r="K7238" s="41" t="str"/>
      <c r="L7238" s="41" t="str"/>
      <c r="M7238" s="41" t="str"/>
      <c r="N7238" s="41" t="str"/>
      <c r="O7238" s="41" t="str"/>
      <c r="P7238" s="41" t="str"/>
      <c r="Q7238" s="41" t="str"/>
      <c r="R7238" s="41" t="str"/>
      <c r="S7238" s="41" t="str"/>
      <c r="T7238" s="41" t="str"/>
      <c r="U7238" s="41" t="str"/>
      <c r="V7238" s="41" t="str"/>
      <c r="W7238" s="41" t="str"/>
    </row>
    <row r="7239">
      <c r="B7239" s="2" t="n"/>
      <c r="C7239" s="40" t="n"/>
      <c r="D7239" s="52">
        <f t="array" ref="D7239:W7239">IF(All_Students_Scores!C7237:V7237="","",All_Students_Scores!C7237:V7237)</f>
        <v/>
      </c>
      <c r="E7239" s="57" t="str"/>
      <c r="F7239" s="49" t="str"/>
      <c r="G7239" s="59" t="str"/>
      <c r="H7239" s="64" t="str"/>
      <c r="I7239" s="65" t="str"/>
      <c r="J7239" s="49" t="str"/>
      <c r="K7239" s="41" t="str"/>
      <c r="L7239" s="41" t="str"/>
      <c r="M7239" s="41" t="str"/>
      <c r="N7239" s="41" t="str"/>
      <c r="O7239" s="41" t="str"/>
      <c r="P7239" s="41" t="str"/>
      <c r="Q7239" s="41" t="str"/>
      <c r="R7239" s="41" t="str"/>
      <c r="S7239" s="41" t="str"/>
      <c r="T7239" s="41" t="str"/>
      <c r="U7239" s="41" t="str"/>
      <c r="V7239" s="41" t="str"/>
      <c r="W7239" s="41" t="str"/>
    </row>
    <row r="7240">
      <c r="B7240" s="2" t="n"/>
      <c r="C7240" s="40" t="n"/>
      <c r="D7240" s="52">
        <f t="array" ref="D7240:W7240">IF(All_Students_Scores!C7238:V7238="","",All_Students_Scores!C7238:V7238)</f>
        <v/>
      </c>
      <c r="E7240" s="57" t="str"/>
      <c r="F7240" s="49" t="str"/>
      <c r="G7240" s="59" t="str"/>
      <c r="H7240" s="64" t="str"/>
      <c r="I7240" s="65" t="str"/>
      <c r="J7240" s="49" t="str"/>
      <c r="K7240" s="41" t="str"/>
      <c r="L7240" s="41" t="str"/>
      <c r="M7240" s="41" t="str"/>
      <c r="N7240" s="41" t="str"/>
      <c r="O7240" s="41" t="str"/>
      <c r="P7240" s="41" t="str"/>
      <c r="Q7240" s="41" t="str"/>
      <c r="R7240" s="41" t="str"/>
      <c r="S7240" s="41" t="str"/>
      <c r="T7240" s="41" t="str"/>
      <c r="U7240" s="41" t="str"/>
      <c r="V7240" s="41" t="str"/>
      <c r="W7240" s="41" t="str"/>
    </row>
    <row r="7241">
      <c r="B7241" s="2" t="n"/>
      <c r="C7241" s="40" t="n"/>
      <c r="D7241" s="52">
        <f t="array" ref="D7241:W7241">IF(All_Students_Scores!C7239:V7239="","",All_Students_Scores!C7239:V7239)</f>
        <v/>
      </c>
      <c r="E7241" s="57" t="str"/>
      <c r="F7241" s="49" t="str"/>
      <c r="G7241" s="59" t="str"/>
      <c r="H7241" s="64" t="str"/>
      <c r="I7241" s="65" t="str"/>
      <c r="J7241" s="49" t="str"/>
      <c r="K7241" s="41" t="str"/>
      <c r="L7241" s="41" t="str"/>
      <c r="M7241" s="41" t="str"/>
      <c r="N7241" s="41" t="str"/>
      <c r="O7241" s="41" t="str"/>
      <c r="P7241" s="41" t="str"/>
      <c r="Q7241" s="41" t="str"/>
      <c r="R7241" s="41" t="str"/>
      <c r="S7241" s="41" t="str"/>
      <c r="T7241" s="41" t="str"/>
      <c r="U7241" s="41" t="str"/>
      <c r="V7241" s="41" t="str"/>
      <c r="W7241" s="41" t="str"/>
    </row>
    <row r="7242">
      <c r="B7242" s="2" t="n"/>
      <c r="C7242" s="40" t="n"/>
      <c r="D7242" s="52">
        <f t="array" ref="D7242:W7242">IF(All_Students_Scores!C7240:V7240="","",All_Students_Scores!C7240:V7240)</f>
        <v/>
      </c>
      <c r="E7242" s="57" t="str"/>
      <c r="F7242" s="49" t="str"/>
      <c r="G7242" s="59" t="str"/>
      <c r="H7242" s="64" t="str"/>
      <c r="I7242" s="65" t="str"/>
      <c r="J7242" s="49" t="str"/>
      <c r="K7242" s="41" t="str"/>
      <c r="L7242" s="41" t="str"/>
      <c r="M7242" s="41" t="str"/>
      <c r="N7242" s="41" t="str"/>
      <c r="O7242" s="41" t="str"/>
      <c r="P7242" s="41" t="str"/>
      <c r="Q7242" s="41" t="str"/>
      <c r="R7242" s="41" t="str"/>
      <c r="S7242" s="41" t="str"/>
      <c r="T7242" s="41" t="str"/>
      <c r="U7242" s="41" t="str"/>
      <c r="V7242" s="41" t="str"/>
      <c r="W7242" s="41" t="str"/>
    </row>
    <row r="7243">
      <c r="B7243" s="2" t="n"/>
      <c r="C7243" s="40" t="n"/>
      <c r="D7243" s="52">
        <f t="array" ref="D7243:W7243">IF(All_Students_Scores!C7241:V7241="","",All_Students_Scores!C7241:V7241)</f>
        <v/>
      </c>
      <c r="E7243" s="57" t="str"/>
      <c r="F7243" s="49" t="str"/>
      <c r="G7243" s="59" t="str"/>
      <c r="H7243" s="64" t="str"/>
      <c r="I7243" s="65" t="str"/>
      <c r="J7243" s="49" t="str"/>
      <c r="K7243" s="41" t="str"/>
      <c r="L7243" s="41" t="str"/>
      <c r="M7243" s="41" t="str"/>
      <c r="N7243" s="41" t="str"/>
      <c r="O7243" s="41" t="str"/>
      <c r="P7243" s="41" t="str"/>
      <c r="Q7243" s="41" t="str"/>
      <c r="R7243" s="41" t="str"/>
      <c r="S7243" s="41" t="str"/>
      <c r="T7243" s="41" t="str"/>
      <c r="U7243" s="41" t="str"/>
      <c r="V7243" s="41" t="str"/>
      <c r="W7243" s="41" t="str"/>
    </row>
    <row r="7244">
      <c r="B7244" s="2" t="n"/>
      <c r="C7244" s="40" t="n"/>
      <c r="D7244" s="52">
        <f t="array" ref="D7244:W7244">IF(All_Students_Scores!C7242:V7242="","",All_Students_Scores!C7242:V7242)</f>
        <v/>
      </c>
      <c r="E7244" s="57" t="str"/>
      <c r="F7244" s="49" t="str"/>
      <c r="G7244" s="59" t="str"/>
      <c r="H7244" s="64" t="str"/>
      <c r="I7244" s="65" t="str"/>
      <c r="J7244" s="49" t="str"/>
      <c r="K7244" s="41" t="str"/>
      <c r="L7244" s="41" t="str"/>
      <c r="M7244" s="41" t="str"/>
      <c r="N7244" s="41" t="str"/>
      <c r="O7244" s="41" t="str"/>
      <c r="P7244" s="41" t="str"/>
      <c r="Q7244" s="41" t="str"/>
      <c r="R7244" s="41" t="str"/>
      <c r="S7244" s="41" t="str"/>
      <c r="T7244" s="41" t="str"/>
      <c r="U7244" s="41" t="str"/>
      <c r="V7244" s="41" t="str"/>
      <c r="W7244" s="41" t="str"/>
    </row>
    <row r="7245">
      <c r="B7245" s="2" t="n"/>
      <c r="C7245" s="40" t="n"/>
      <c r="D7245" s="52">
        <f t="array" ref="D7245:W7245">IF(All_Students_Scores!C7243:V7243="","",All_Students_Scores!C7243:V7243)</f>
        <v/>
      </c>
      <c r="E7245" s="57" t="str"/>
      <c r="F7245" s="49" t="str"/>
      <c r="G7245" s="59" t="str"/>
      <c r="H7245" s="64" t="str"/>
      <c r="I7245" s="65" t="str"/>
      <c r="J7245" s="49" t="str"/>
      <c r="K7245" s="41" t="str"/>
      <c r="L7245" s="41" t="str"/>
      <c r="M7245" s="41" t="str"/>
      <c r="N7245" s="41" t="str"/>
      <c r="O7245" s="41" t="str"/>
      <c r="P7245" s="41" t="str"/>
      <c r="Q7245" s="41" t="str"/>
      <c r="R7245" s="41" t="str"/>
      <c r="S7245" s="41" t="str"/>
      <c r="T7245" s="41" t="str"/>
      <c r="U7245" s="41" t="str"/>
      <c r="V7245" s="41" t="str"/>
      <c r="W7245" s="41" t="str"/>
    </row>
    <row r="7246">
      <c r="B7246" s="2" t="n"/>
      <c r="C7246" s="40" t="n"/>
      <c r="D7246" s="52">
        <f t="array" ref="D7246:W7246">IF(All_Students_Scores!C7244:V7244="","",All_Students_Scores!C7244:V7244)</f>
        <v/>
      </c>
      <c r="E7246" s="57" t="str"/>
      <c r="F7246" s="49" t="str"/>
      <c r="G7246" s="59" t="str"/>
      <c r="H7246" s="64" t="str"/>
      <c r="I7246" s="65" t="str"/>
      <c r="J7246" s="49" t="str"/>
      <c r="K7246" s="41" t="str"/>
      <c r="L7246" s="41" t="str"/>
      <c r="M7246" s="41" t="str"/>
      <c r="N7246" s="41" t="str"/>
      <c r="O7246" s="41" t="str"/>
      <c r="P7246" s="41" t="str"/>
      <c r="Q7246" s="41" t="str"/>
      <c r="R7246" s="41" t="str"/>
      <c r="S7246" s="41" t="str"/>
      <c r="T7246" s="41" t="str"/>
      <c r="U7246" s="41" t="str"/>
      <c r="V7246" s="41" t="str"/>
      <c r="W7246" s="41" t="str"/>
    </row>
    <row r="7247">
      <c r="B7247" s="2" t="n"/>
      <c r="C7247" s="40" t="n"/>
      <c r="D7247" s="52">
        <f t="array" ref="D7247:W7247">IF(All_Students_Scores!C7245:V7245="","",All_Students_Scores!C7245:V7245)</f>
        <v/>
      </c>
      <c r="E7247" s="57" t="str"/>
      <c r="F7247" s="49" t="str"/>
      <c r="G7247" s="59" t="str"/>
      <c r="H7247" s="64" t="str"/>
      <c r="I7247" s="65" t="str"/>
      <c r="J7247" s="49" t="str"/>
      <c r="K7247" s="41" t="str"/>
      <c r="L7247" s="41" t="str"/>
      <c r="M7247" s="41" t="str"/>
      <c r="N7247" s="41" t="str"/>
      <c r="O7247" s="41" t="str"/>
      <c r="P7247" s="41" t="str"/>
      <c r="Q7247" s="41" t="str"/>
      <c r="R7247" s="41" t="str"/>
      <c r="S7247" s="41" t="str"/>
      <c r="T7247" s="41" t="str"/>
      <c r="U7247" s="41" t="str"/>
      <c r="V7247" s="41" t="str"/>
      <c r="W7247" s="41" t="str"/>
    </row>
    <row r="7248">
      <c r="B7248" s="2" t="n"/>
      <c r="C7248" s="40" t="n"/>
      <c r="D7248" s="52">
        <f t="array" ref="D7248:W7248">IF(All_Students_Scores!C7246:V7246="","",All_Students_Scores!C7246:V7246)</f>
        <v/>
      </c>
      <c r="E7248" s="57" t="str"/>
      <c r="F7248" s="49" t="str"/>
      <c r="G7248" s="59" t="str"/>
      <c r="H7248" s="64" t="str"/>
      <c r="I7248" s="65" t="str"/>
      <c r="J7248" s="49" t="str"/>
      <c r="K7248" s="41" t="str"/>
      <c r="L7248" s="41" t="str"/>
      <c r="M7248" s="41" t="str"/>
      <c r="N7248" s="41" t="str"/>
      <c r="O7248" s="41" t="str"/>
      <c r="P7248" s="41" t="str"/>
      <c r="Q7248" s="41" t="str"/>
      <c r="R7248" s="41" t="str"/>
      <c r="S7248" s="41" t="str"/>
      <c r="T7248" s="41" t="str"/>
      <c r="U7248" s="41" t="str"/>
      <c r="V7248" s="41" t="str"/>
      <c r="W7248" s="41" t="str"/>
    </row>
    <row r="7249">
      <c r="B7249" s="2" t="n"/>
      <c r="C7249" s="40" t="n"/>
      <c r="D7249" s="52">
        <f t="array" ref="D7249:W7249">IF(All_Students_Scores!C7247:V7247="","",All_Students_Scores!C7247:V7247)</f>
        <v/>
      </c>
      <c r="E7249" s="57" t="str"/>
      <c r="F7249" s="49" t="str"/>
      <c r="G7249" s="59" t="str"/>
      <c r="H7249" s="64" t="str"/>
      <c r="I7249" s="65" t="str"/>
      <c r="J7249" s="49" t="str"/>
      <c r="K7249" s="41" t="str"/>
      <c r="L7249" s="41" t="str"/>
      <c r="M7249" s="41" t="str"/>
      <c r="N7249" s="41" t="str"/>
      <c r="O7249" s="41" t="str"/>
      <c r="P7249" s="41" t="str"/>
      <c r="Q7249" s="41" t="str"/>
      <c r="R7249" s="41" t="str"/>
      <c r="S7249" s="41" t="str"/>
      <c r="T7249" s="41" t="str"/>
      <c r="U7249" s="41" t="str"/>
      <c r="V7249" s="41" t="str"/>
      <c r="W7249" s="41" t="str"/>
    </row>
    <row r="7250">
      <c r="B7250" s="2" t="n"/>
      <c r="C7250" s="40" t="n"/>
      <c r="D7250" s="52">
        <f t="array" ref="D7250:W7250">IF(All_Students_Scores!C7248:V7248="","",All_Students_Scores!C7248:V7248)</f>
        <v/>
      </c>
      <c r="E7250" s="57" t="str"/>
      <c r="F7250" s="49" t="str"/>
      <c r="G7250" s="59" t="str"/>
      <c r="H7250" s="64" t="str"/>
      <c r="I7250" s="65" t="str"/>
      <c r="J7250" s="49" t="str"/>
      <c r="K7250" s="41" t="str"/>
      <c r="L7250" s="41" t="str"/>
      <c r="M7250" s="41" t="str"/>
      <c r="N7250" s="41" t="str"/>
      <c r="O7250" s="41" t="str"/>
      <c r="P7250" s="41" t="str"/>
      <c r="Q7250" s="41" t="str"/>
      <c r="R7250" s="41" t="str"/>
      <c r="S7250" s="41" t="str"/>
      <c r="T7250" s="41" t="str"/>
      <c r="U7250" s="41" t="str"/>
      <c r="V7250" s="41" t="str"/>
      <c r="W7250" s="41" t="str"/>
    </row>
    <row r="7251">
      <c r="B7251" s="2" t="n"/>
      <c r="C7251" s="40" t="n"/>
      <c r="D7251" s="52">
        <f t="array" ref="D7251:W7251">IF(All_Students_Scores!C7249:V7249="","",All_Students_Scores!C7249:V7249)</f>
        <v/>
      </c>
      <c r="E7251" s="57" t="str"/>
      <c r="F7251" s="49" t="str"/>
      <c r="G7251" s="59" t="str"/>
      <c r="H7251" s="64" t="str"/>
      <c r="I7251" s="65" t="str"/>
      <c r="J7251" s="49" t="str"/>
      <c r="K7251" s="41" t="str"/>
      <c r="L7251" s="41" t="str"/>
      <c r="M7251" s="41" t="str"/>
      <c r="N7251" s="41" t="str"/>
      <c r="O7251" s="41" t="str"/>
      <c r="P7251" s="41" t="str"/>
      <c r="Q7251" s="41" t="str"/>
      <c r="R7251" s="41" t="str"/>
      <c r="S7251" s="41" t="str"/>
      <c r="T7251" s="41" t="str"/>
      <c r="U7251" s="41" t="str"/>
      <c r="V7251" s="41" t="str"/>
      <c r="W7251" s="41" t="str"/>
    </row>
    <row r="7252">
      <c r="B7252" s="2" t="n"/>
      <c r="C7252" s="40" t="n"/>
      <c r="D7252" s="52">
        <f t="array" ref="D7252:W7252">IF(All_Students_Scores!C7250:V7250="","",All_Students_Scores!C7250:V7250)</f>
        <v/>
      </c>
      <c r="E7252" s="57" t="str"/>
      <c r="F7252" s="49" t="str"/>
      <c r="G7252" s="59" t="str"/>
      <c r="H7252" s="64" t="str"/>
      <c r="I7252" s="65" t="str"/>
      <c r="J7252" s="49" t="str"/>
      <c r="K7252" s="41" t="str"/>
      <c r="L7252" s="41" t="str"/>
      <c r="M7252" s="41" t="str"/>
      <c r="N7252" s="41" t="str"/>
      <c r="O7252" s="41" t="str"/>
      <c r="P7252" s="41" t="str"/>
      <c r="Q7252" s="41" t="str"/>
      <c r="R7252" s="41" t="str"/>
      <c r="S7252" s="41" t="str"/>
      <c r="T7252" s="41" t="str"/>
      <c r="U7252" s="41" t="str"/>
      <c r="V7252" s="41" t="str"/>
      <c r="W7252" s="41" t="str"/>
    </row>
    <row r="7253">
      <c r="B7253" s="2" t="n"/>
      <c r="C7253" s="40" t="n"/>
      <c r="D7253" s="52">
        <f t="array" ref="D7253:W7253">IF(All_Students_Scores!C7251:V7251="","",All_Students_Scores!C7251:V7251)</f>
        <v/>
      </c>
      <c r="E7253" s="57" t="str"/>
      <c r="F7253" s="49" t="str"/>
      <c r="G7253" s="59" t="str"/>
      <c r="H7253" s="64" t="str"/>
      <c r="I7253" s="65" t="str"/>
      <c r="J7253" s="49" t="str"/>
      <c r="K7253" s="41" t="str"/>
      <c r="L7253" s="41" t="str"/>
      <c r="M7253" s="41" t="str"/>
      <c r="N7253" s="41" t="str"/>
      <c r="O7253" s="41" t="str"/>
      <c r="P7253" s="41" t="str"/>
      <c r="Q7253" s="41" t="str"/>
      <c r="R7253" s="41" t="str"/>
      <c r="S7253" s="41" t="str"/>
      <c r="T7253" s="41" t="str"/>
      <c r="U7253" s="41" t="str"/>
      <c r="V7253" s="41" t="str"/>
      <c r="W7253" s="41" t="str"/>
    </row>
    <row r="7254">
      <c r="B7254" s="2" t="n"/>
      <c r="C7254" s="40" t="n"/>
      <c r="D7254" s="52">
        <f t="array" ref="D7254:W7254">IF(All_Students_Scores!C7252:V7252="","",All_Students_Scores!C7252:V7252)</f>
        <v/>
      </c>
      <c r="E7254" s="57" t="str"/>
      <c r="F7254" s="49" t="str"/>
      <c r="G7254" s="59" t="str"/>
      <c r="H7254" s="64" t="str"/>
      <c r="I7254" s="65" t="str"/>
      <c r="J7254" s="49" t="str"/>
      <c r="K7254" s="41" t="str"/>
      <c r="L7254" s="41" t="str"/>
      <c r="M7254" s="41" t="str"/>
      <c r="N7254" s="41" t="str"/>
      <c r="O7254" s="41" t="str"/>
      <c r="P7254" s="41" t="str"/>
      <c r="Q7254" s="41" t="str"/>
      <c r="R7254" s="41" t="str"/>
      <c r="S7254" s="41" t="str"/>
      <c r="T7254" s="41" t="str"/>
      <c r="U7254" s="41" t="str"/>
      <c r="V7254" s="41" t="str"/>
      <c r="W7254" s="41" t="str"/>
    </row>
    <row r="7255">
      <c r="B7255" s="2" t="n"/>
      <c r="C7255" s="40" t="n"/>
      <c r="D7255" s="52">
        <f t="array" ref="D7255:W7255">IF(All_Students_Scores!C7253:V7253="","",All_Students_Scores!C7253:V7253)</f>
        <v/>
      </c>
      <c r="E7255" s="57" t="str"/>
      <c r="F7255" s="49" t="str"/>
      <c r="G7255" s="59" t="str"/>
      <c r="H7255" s="64" t="str"/>
      <c r="I7255" s="65" t="str"/>
      <c r="J7255" s="49" t="str"/>
      <c r="K7255" s="41" t="str"/>
      <c r="L7255" s="41" t="str"/>
      <c r="M7255" s="41" t="str"/>
      <c r="N7255" s="41" t="str"/>
      <c r="O7255" s="41" t="str"/>
      <c r="P7255" s="41" t="str"/>
      <c r="Q7255" s="41" t="str"/>
      <c r="R7255" s="41" t="str"/>
      <c r="S7255" s="41" t="str"/>
      <c r="T7255" s="41" t="str"/>
      <c r="U7255" s="41" t="str"/>
      <c r="V7255" s="41" t="str"/>
      <c r="W7255" s="41" t="str"/>
    </row>
    <row r="7256">
      <c r="B7256" s="2" t="n"/>
      <c r="C7256" s="40" t="n"/>
      <c r="D7256" s="52">
        <f t="array" ref="D7256:W7256">IF(All_Students_Scores!C7254:V7254="","",All_Students_Scores!C7254:V7254)</f>
        <v/>
      </c>
      <c r="E7256" s="57" t="str"/>
      <c r="F7256" s="49" t="str"/>
      <c r="G7256" s="59" t="str"/>
      <c r="H7256" s="64" t="str"/>
      <c r="I7256" s="65" t="str"/>
      <c r="J7256" s="49" t="str"/>
      <c r="K7256" s="41" t="str"/>
      <c r="L7256" s="41" t="str"/>
      <c r="M7256" s="41" t="str"/>
      <c r="N7256" s="41" t="str"/>
      <c r="O7256" s="41" t="str"/>
      <c r="P7256" s="41" t="str"/>
      <c r="Q7256" s="41" t="str"/>
      <c r="R7256" s="41" t="str"/>
      <c r="S7256" s="41" t="str"/>
      <c r="T7256" s="41" t="str"/>
      <c r="U7256" s="41" t="str"/>
      <c r="V7256" s="41" t="str"/>
      <c r="W7256" s="41" t="str"/>
    </row>
    <row r="7257">
      <c r="B7257" s="2" t="n"/>
      <c r="C7257" s="40" t="n"/>
      <c r="D7257" s="52">
        <f t="array" ref="D7257:W7257">IF(All_Students_Scores!C7255:V7255="","",All_Students_Scores!C7255:V7255)</f>
        <v/>
      </c>
      <c r="E7257" s="57" t="str"/>
      <c r="F7257" s="49" t="str"/>
      <c r="G7257" s="59" t="str"/>
      <c r="H7257" s="64" t="str"/>
      <c r="I7257" s="65" t="str"/>
      <c r="J7257" s="49" t="str"/>
      <c r="K7257" s="41" t="str"/>
      <c r="L7257" s="41" t="str"/>
      <c r="M7257" s="41" t="str"/>
      <c r="N7257" s="41" t="str"/>
      <c r="O7257" s="41" t="str"/>
      <c r="P7257" s="41" t="str"/>
      <c r="Q7257" s="41" t="str"/>
      <c r="R7257" s="41" t="str"/>
      <c r="S7257" s="41" t="str"/>
      <c r="T7257" s="41" t="str"/>
      <c r="U7257" s="41" t="str"/>
      <c r="V7257" s="41" t="str"/>
      <c r="W7257" s="41" t="str"/>
    </row>
    <row r="7258">
      <c r="B7258" s="2" t="n"/>
      <c r="C7258" s="40" t="n"/>
      <c r="D7258" s="52">
        <f t="array" ref="D7258:W7258">IF(All_Students_Scores!C7256:V7256="","",All_Students_Scores!C7256:V7256)</f>
        <v/>
      </c>
      <c r="E7258" s="57" t="str"/>
      <c r="F7258" s="49" t="str"/>
      <c r="G7258" s="59" t="str"/>
      <c r="H7258" s="64" t="str"/>
      <c r="I7258" s="65" t="str"/>
      <c r="J7258" s="49" t="str"/>
      <c r="K7258" s="41" t="str"/>
      <c r="L7258" s="41" t="str"/>
      <c r="M7258" s="41" t="str"/>
      <c r="N7258" s="41" t="str"/>
      <c r="O7258" s="41" t="str"/>
      <c r="P7258" s="41" t="str"/>
      <c r="Q7258" s="41" t="str"/>
      <c r="R7258" s="41" t="str"/>
      <c r="S7258" s="41" t="str"/>
      <c r="T7258" s="41" t="str"/>
      <c r="U7258" s="41" t="str"/>
      <c r="V7258" s="41" t="str"/>
      <c r="W7258" s="41" t="str"/>
    </row>
    <row r="7259">
      <c r="B7259" s="2" t="n"/>
      <c r="C7259" s="40" t="n"/>
      <c r="D7259" s="52">
        <f t="array" ref="D7259:W7259">IF(All_Students_Scores!C7257:V7257="","",All_Students_Scores!C7257:V7257)</f>
        <v/>
      </c>
      <c r="E7259" s="57" t="str"/>
      <c r="F7259" s="49" t="str"/>
      <c r="G7259" s="59" t="str"/>
      <c r="H7259" s="64" t="str"/>
      <c r="I7259" s="65" t="str"/>
      <c r="J7259" s="49" t="str"/>
      <c r="K7259" s="41" t="str"/>
      <c r="L7259" s="41" t="str"/>
      <c r="M7259" s="41" t="str"/>
      <c r="N7259" s="41" t="str"/>
      <c r="O7259" s="41" t="str"/>
      <c r="P7259" s="41" t="str"/>
      <c r="Q7259" s="41" t="str"/>
      <c r="R7259" s="41" t="str"/>
      <c r="S7259" s="41" t="str"/>
      <c r="T7259" s="41" t="str"/>
      <c r="U7259" s="41" t="str"/>
      <c r="V7259" s="41" t="str"/>
      <c r="W7259" s="41" t="str"/>
    </row>
    <row r="7260">
      <c r="B7260" s="2" t="n"/>
      <c r="C7260" s="40" t="n"/>
      <c r="D7260" s="52">
        <f t="array" ref="D7260:W7260">IF(All_Students_Scores!C7258:V7258="","",All_Students_Scores!C7258:V7258)</f>
        <v/>
      </c>
      <c r="E7260" s="57" t="str"/>
      <c r="F7260" s="49" t="str"/>
      <c r="G7260" s="59" t="str"/>
      <c r="H7260" s="64" t="str"/>
      <c r="I7260" s="65" t="str"/>
      <c r="J7260" s="49" t="str"/>
      <c r="K7260" s="41" t="str"/>
      <c r="L7260" s="41" t="str"/>
      <c r="M7260" s="41" t="str"/>
      <c r="N7260" s="41" t="str"/>
      <c r="O7260" s="41" t="str"/>
      <c r="P7260" s="41" t="str"/>
      <c r="Q7260" s="41" t="str"/>
      <c r="R7260" s="41" t="str"/>
      <c r="S7260" s="41" t="str"/>
      <c r="T7260" s="41" t="str"/>
      <c r="U7260" s="41" t="str"/>
      <c r="V7260" s="41" t="str"/>
      <c r="W7260" s="41" t="str"/>
    </row>
    <row r="7261">
      <c r="B7261" s="2" t="n"/>
      <c r="C7261" s="40" t="n"/>
      <c r="D7261" s="52">
        <f t="array" ref="D7261:W7261">IF(All_Students_Scores!C7259:V7259="","",All_Students_Scores!C7259:V7259)</f>
        <v/>
      </c>
      <c r="E7261" s="57" t="str"/>
      <c r="F7261" s="49" t="str"/>
      <c r="G7261" s="59" t="str"/>
      <c r="H7261" s="64" t="str"/>
      <c r="I7261" s="65" t="str"/>
      <c r="J7261" s="49" t="str"/>
      <c r="K7261" s="41" t="str"/>
      <c r="L7261" s="41" t="str"/>
      <c r="M7261" s="41" t="str"/>
      <c r="N7261" s="41" t="str"/>
      <c r="O7261" s="41" t="str"/>
      <c r="P7261" s="41" t="str"/>
      <c r="Q7261" s="41" t="str"/>
      <c r="R7261" s="41" t="str"/>
      <c r="S7261" s="41" t="str"/>
      <c r="T7261" s="41" t="str"/>
      <c r="U7261" s="41" t="str"/>
      <c r="V7261" s="41" t="str"/>
      <c r="W7261" s="41" t="str"/>
    </row>
    <row r="7262">
      <c r="B7262" s="2" t="n"/>
      <c r="C7262" s="40" t="n"/>
      <c r="D7262" s="52">
        <f t="array" ref="D7262:W7262">IF(All_Students_Scores!C7260:V7260="","",All_Students_Scores!C7260:V7260)</f>
        <v/>
      </c>
      <c r="E7262" s="57" t="str"/>
      <c r="F7262" s="49" t="str"/>
      <c r="G7262" s="59" t="str"/>
      <c r="H7262" s="64" t="str"/>
      <c r="I7262" s="65" t="str"/>
      <c r="J7262" s="49" t="str"/>
      <c r="K7262" s="41" t="str"/>
      <c r="L7262" s="41" t="str"/>
      <c r="M7262" s="41" t="str"/>
      <c r="N7262" s="41" t="str"/>
      <c r="O7262" s="41" t="str"/>
      <c r="P7262" s="41" t="str"/>
      <c r="Q7262" s="41" t="str"/>
      <c r="R7262" s="41" t="str"/>
      <c r="S7262" s="41" t="str"/>
      <c r="T7262" s="41" t="str"/>
      <c r="U7262" s="41" t="str"/>
      <c r="V7262" s="41" t="str"/>
      <c r="W7262" s="41" t="str"/>
    </row>
    <row r="7263">
      <c r="B7263" s="2" t="n"/>
      <c r="C7263" s="40" t="n"/>
      <c r="D7263" s="52">
        <f t="array" ref="D7263:W7263">IF(All_Students_Scores!C7261:V7261="","",All_Students_Scores!C7261:V7261)</f>
        <v/>
      </c>
      <c r="E7263" s="57" t="str"/>
      <c r="F7263" s="49" t="str"/>
      <c r="G7263" s="59" t="str"/>
      <c r="H7263" s="64" t="str"/>
      <c r="I7263" s="65" t="str"/>
      <c r="J7263" s="49" t="str"/>
      <c r="K7263" s="41" t="str"/>
      <c r="L7263" s="41" t="str"/>
      <c r="M7263" s="41" t="str"/>
      <c r="N7263" s="41" t="str"/>
      <c r="O7263" s="41" t="str"/>
      <c r="P7263" s="41" t="str"/>
      <c r="Q7263" s="41" t="str"/>
      <c r="R7263" s="41" t="str"/>
      <c r="S7263" s="41" t="str"/>
      <c r="T7263" s="41" t="str"/>
      <c r="U7263" s="41" t="str"/>
      <c r="V7263" s="41" t="str"/>
      <c r="W7263" s="41" t="str"/>
    </row>
    <row r="7264">
      <c r="B7264" s="2" t="n"/>
      <c r="C7264" s="40" t="n"/>
      <c r="D7264" s="52">
        <f t="array" ref="D7264:W7264">IF(All_Students_Scores!C7262:V7262="","",All_Students_Scores!C7262:V7262)</f>
        <v/>
      </c>
      <c r="E7264" s="57" t="str"/>
      <c r="F7264" s="49" t="str"/>
      <c r="G7264" s="59" t="str"/>
      <c r="H7264" s="64" t="str"/>
      <c r="I7264" s="65" t="str"/>
      <c r="J7264" s="49" t="str"/>
      <c r="K7264" s="41" t="str"/>
      <c r="L7264" s="41" t="str"/>
      <c r="M7264" s="41" t="str"/>
      <c r="N7264" s="41" t="str"/>
      <c r="O7264" s="41" t="str"/>
      <c r="P7264" s="41" t="str"/>
      <c r="Q7264" s="41" t="str"/>
      <c r="R7264" s="41" t="str"/>
      <c r="S7264" s="41" t="str"/>
      <c r="T7264" s="41" t="str"/>
      <c r="U7264" s="41" t="str"/>
      <c r="V7264" s="41" t="str"/>
      <c r="W7264" s="41" t="str"/>
    </row>
    <row r="7265">
      <c r="B7265" s="2" t="n"/>
      <c r="C7265" s="40" t="n"/>
      <c r="D7265" s="52">
        <f t="array" ref="D7265:W7265">IF(All_Students_Scores!C7263:V7263="","",All_Students_Scores!C7263:V7263)</f>
        <v/>
      </c>
      <c r="E7265" s="57" t="str"/>
      <c r="F7265" s="49" t="str"/>
      <c r="G7265" s="59" t="str"/>
      <c r="H7265" s="64" t="str"/>
      <c r="I7265" s="65" t="str"/>
      <c r="J7265" s="49" t="str"/>
      <c r="K7265" s="41" t="str"/>
      <c r="L7265" s="41" t="str"/>
      <c r="M7265" s="41" t="str"/>
      <c r="N7265" s="41" t="str"/>
      <c r="O7265" s="41" t="str"/>
      <c r="P7265" s="41" t="str"/>
      <c r="Q7265" s="41" t="str"/>
      <c r="R7265" s="41" t="str"/>
      <c r="S7265" s="41" t="str"/>
      <c r="T7265" s="41" t="str"/>
      <c r="U7265" s="41" t="str"/>
      <c r="V7265" s="41" t="str"/>
      <c r="W7265" s="41" t="str"/>
    </row>
    <row r="7266">
      <c r="B7266" s="2" t="n"/>
      <c r="C7266" s="40" t="n"/>
      <c r="D7266" s="52">
        <f t="array" ref="D7266:W7266">IF(All_Students_Scores!C7264:V7264="","",All_Students_Scores!C7264:V7264)</f>
        <v/>
      </c>
      <c r="E7266" s="57" t="str"/>
      <c r="F7266" s="49" t="str"/>
      <c r="G7266" s="59" t="str"/>
      <c r="H7266" s="64" t="str"/>
      <c r="I7266" s="65" t="str"/>
      <c r="J7266" s="49" t="str"/>
      <c r="K7266" s="41" t="str"/>
      <c r="L7266" s="41" t="str"/>
      <c r="M7266" s="41" t="str"/>
      <c r="N7266" s="41" t="str"/>
      <c r="O7266" s="41" t="str"/>
      <c r="P7266" s="41" t="str"/>
      <c r="Q7266" s="41" t="str"/>
      <c r="R7266" s="41" t="str"/>
      <c r="S7266" s="41" t="str"/>
      <c r="T7266" s="41" t="str"/>
      <c r="U7266" s="41" t="str"/>
      <c r="V7266" s="41" t="str"/>
      <c r="W7266" s="41" t="str"/>
    </row>
    <row r="7267">
      <c r="B7267" s="2" t="n"/>
      <c r="C7267" s="40" t="n"/>
      <c r="D7267" s="52">
        <f t="array" ref="D7267:W7267">IF(All_Students_Scores!C7265:V7265="","",All_Students_Scores!C7265:V7265)</f>
        <v/>
      </c>
      <c r="E7267" s="57" t="str"/>
      <c r="F7267" s="49" t="str"/>
      <c r="G7267" s="59" t="str"/>
      <c r="H7267" s="64" t="str"/>
      <c r="I7267" s="65" t="str"/>
      <c r="J7267" s="49" t="str"/>
      <c r="K7267" s="41" t="str"/>
      <c r="L7267" s="41" t="str"/>
      <c r="M7267" s="41" t="str"/>
      <c r="N7267" s="41" t="str"/>
      <c r="O7267" s="41" t="str"/>
      <c r="P7267" s="41" t="str"/>
      <c r="Q7267" s="41" t="str"/>
      <c r="R7267" s="41" t="str"/>
      <c r="S7267" s="41" t="str"/>
      <c r="T7267" s="41" t="str"/>
      <c r="U7267" s="41" t="str"/>
      <c r="V7267" s="41" t="str"/>
      <c r="W7267" s="41" t="str"/>
    </row>
    <row r="7268">
      <c r="B7268" s="2" t="n"/>
      <c r="C7268" s="40" t="n"/>
      <c r="D7268" s="52">
        <f t="array" ref="D7268:W7268">IF(All_Students_Scores!C7266:V7266="","",All_Students_Scores!C7266:V7266)</f>
        <v/>
      </c>
      <c r="E7268" s="57" t="str"/>
      <c r="F7268" s="49" t="str"/>
      <c r="G7268" s="59" t="str"/>
      <c r="H7268" s="64" t="str"/>
      <c r="I7268" s="65" t="str"/>
      <c r="J7268" s="49" t="str"/>
      <c r="K7268" s="41" t="str"/>
      <c r="L7268" s="41" t="str"/>
      <c r="M7268" s="41" t="str"/>
      <c r="N7268" s="41" t="str"/>
      <c r="O7268" s="41" t="str"/>
      <c r="P7268" s="41" t="str"/>
      <c r="Q7268" s="41" t="str"/>
      <c r="R7268" s="41" t="str"/>
      <c r="S7268" s="41" t="str"/>
      <c r="T7268" s="41" t="str"/>
      <c r="U7268" s="41" t="str"/>
      <c r="V7268" s="41" t="str"/>
      <c r="W7268" s="41" t="str"/>
    </row>
    <row r="7269">
      <c r="B7269" s="2" t="n"/>
      <c r="C7269" s="40" t="n"/>
      <c r="D7269" s="52">
        <f t="array" ref="D7269:W7269">IF(All_Students_Scores!C7267:V7267="","",All_Students_Scores!C7267:V7267)</f>
        <v/>
      </c>
      <c r="E7269" s="57" t="str"/>
      <c r="F7269" s="49" t="str"/>
      <c r="G7269" s="59" t="str"/>
      <c r="H7269" s="64" t="str"/>
      <c r="I7269" s="65" t="str"/>
      <c r="J7269" s="49" t="str"/>
      <c r="K7269" s="41" t="str"/>
      <c r="L7269" s="41" t="str"/>
      <c r="M7269" s="41" t="str"/>
      <c r="N7269" s="41" t="str"/>
      <c r="O7269" s="41" t="str"/>
      <c r="P7269" s="41" t="str"/>
      <c r="Q7269" s="41" t="str"/>
      <c r="R7269" s="41" t="str"/>
      <c r="S7269" s="41" t="str"/>
      <c r="T7269" s="41" t="str"/>
      <c r="U7269" s="41" t="str"/>
      <c r="V7269" s="41" t="str"/>
      <c r="W7269" s="41" t="str"/>
    </row>
    <row r="7270">
      <c r="B7270" s="2" t="n"/>
      <c r="C7270" s="40" t="n"/>
      <c r="D7270" s="52">
        <f t="array" ref="D7270:W7270">IF(All_Students_Scores!C7268:V7268="","",All_Students_Scores!C7268:V7268)</f>
        <v/>
      </c>
      <c r="E7270" s="57" t="str"/>
      <c r="F7270" s="49" t="str"/>
      <c r="G7270" s="59" t="str"/>
      <c r="H7270" s="64" t="str"/>
      <c r="I7270" s="65" t="str"/>
      <c r="J7270" s="49" t="str"/>
      <c r="K7270" s="41" t="str"/>
      <c r="L7270" s="41" t="str"/>
      <c r="M7270" s="41" t="str"/>
      <c r="N7270" s="41" t="str"/>
      <c r="O7270" s="41" t="str"/>
      <c r="P7270" s="41" t="str"/>
      <c r="Q7270" s="41" t="str"/>
      <c r="R7270" s="41" t="str"/>
      <c r="S7270" s="41" t="str"/>
      <c r="T7270" s="41" t="str"/>
      <c r="U7270" s="41" t="str"/>
      <c r="V7270" s="41" t="str"/>
      <c r="W7270" s="41" t="str"/>
    </row>
    <row r="7271">
      <c r="B7271" s="2" t="n"/>
      <c r="C7271" s="40" t="n"/>
      <c r="D7271" s="52">
        <f t="array" ref="D7271:W7271">IF(All_Students_Scores!C7269:V7269="","",All_Students_Scores!C7269:V7269)</f>
        <v/>
      </c>
      <c r="E7271" s="57" t="str"/>
      <c r="F7271" s="49" t="str"/>
      <c r="G7271" s="59" t="str"/>
      <c r="H7271" s="64" t="str"/>
      <c r="I7271" s="65" t="str"/>
      <c r="J7271" s="49" t="str"/>
      <c r="K7271" s="41" t="str"/>
      <c r="L7271" s="41" t="str"/>
      <c r="M7271" s="41" t="str"/>
      <c r="N7271" s="41" t="str"/>
      <c r="O7271" s="41" t="str"/>
      <c r="P7271" s="41" t="str"/>
      <c r="Q7271" s="41" t="str"/>
      <c r="R7271" s="41" t="str"/>
      <c r="S7271" s="41" t="str"/>
      <c r="T7271" s="41" t="str"/>
      <c r="U7271" s="41" t="str"/>
      <c r="V7271" s="41" t="str"/>
      <c r="W7271" s="41" t="str"/>
    </row>
    <row r="7272">
      <c r="B7272" s="2" t="n"/>
      <c r="C7272" s="40" t="n"/>
      <c r="D7272" s="52">
        <f t="array" ref="D7272:W7272">IF(All_Students_Scores!C7270:V7270="","",All_Students_Scores!C7270:V7270)</f>
        <v/>
      </c>
      <c r="E7272" s="57" t="str"/>
      <c r="F7272" s="49" t="str"/>
      <c r="G7272" s="59" t="str"/>
      <c r="H7272" s="64" t="str"/>
      <c r="I7272" s="65" t="str"/>
      <c r="J7272" s="49" t="str"/>
      <c r="K7272" s="41" t="str"/>
      <c r="L7272" s="41" t="str"/>
      <c r="M7272" s="41" t="str"/>
      <c r="N7272" s="41" t="str"/>
      <c r="O7272" s="41" t="str"/>
      <c r="P7272" s="41" t="str"/>
      <c r="Q7272" s="41" t="str"/>
      <c r="R7272" s="41" t="str"/>
      <c r="S7272" s="41" t="str"/>
      <c r="T7272" s="41" t="str"/>
      <c r="U7272" s="41" t="str"/>
      <c r="V7272" s="41" t="str"/>
      <c r="W7272" s="41" t="str"/>
    </row>
    <row r="7273">
      <c r="B7273" s="2" t="n"/>
      <c r="C7273" s="40" t="n"/>
      <c r="D7273" s="52">
        <f t="array" ref="D7273:W7273">IF(All_Students_Scores!C7271:V7271="","",All_Students_Scores!C7271:V7271)</f>
        <v/>
      </c>
      <c r="E7273" s="57" t="str"/>
      <c r="F7273" s="49" t="str"/>
      <c r="G7273" s="59" t="str"/>
      <c r="H7273" s="64" t="str"/>
      <c r="I7273" s="65" t="str"/>
      <c r="J7273" s="49" t="str"/>
      <c r="K7273" s="41" t="str"/>
      <c r="L7273" s="41" t="str"/>
      <c r="M7273" s="41" t="str"/>
      <c r="N7273" s="41" t="str"/>
      <c r="O7273" s="41" t="str"/>
      <c r="P7273" s="41" t="str"/>
      <c r="Q7273" s="41" t="str"/>
      <c r="R7273" s="41" t="str"/>
      <c r="S7273" s="41" t="str"/>
      <c r="T7273" s="41" t="str"/>
      <c r="U7273" s="41" t="str"/>
      <c r="V7273" s="41" t="str"/>
      <c r="W7273" s="41" t="str"/>
    </row>
    <row r="7274">
      <c r="B7274" s="2" t="n"/>
      <c r="C7274" s="40" t="n"/>
      <c r="D7274" s="52">
        <f t="array" ref="D7274:W7274">IF(All_Students_Scores!C7272:V7272="","",All_Students_Scores!C7272:V7272)</f>
        <v/>
      </c>
      <c r="E7274" s="57" t="str"/>
      <c r="F7274" s="49" t="str"/>
      <c r="G7274" s="59" t="str"/>
      <c r="H7274" s="64" t="str"/>
      <c r="I7274" s="65" t="str"/>
      <c r="J7274" s="49" t="str"/>
      <c r="K7274" s="41" t="str"/>
      <c r="L7274" s="41" t="str"/>
      <c r="M7274" s="41" t="str"/>
      <c r="N7274" s="41" t="str"/>
      <c r="O7274" s="41" t="str"/>
      <c r="P7274" s="41" t="str"/>
      <c r="Q7274" s="41" t="str"/>
      <c r="R7274" s="41" t="str"/>
      <c r="S7274" s="41" t="str"/>
      <c r="T7274" s="41" t="str"/>
      <c r="U7274" s="41" t="str"/>
      <c r="V7274" s="41" t="str"/>
      <c r="W7274" s="41" t="str"/>
    </row>
    <row r="7275">
      <c r="B7275" s="2" t="n"/>
      <c r="C7275" s="40" t="n"/>
      <c r="D7275" s="52">
        <f t="array" ref="D7275:W7275">IF(All_Students_Scores!C7273:V7273="","",All_Students_Scores!C7273:V7273)</f>
        <v/>
      </c>
      <c r="E7275" s="57" t="str"/>
      <c r="F7275" s="49" t="str"/>
      <c r="G7275" s="59" t="str"/>
      <c r="H7275" s="64" t="str"/>
      <c r="I7275" s="65" t="str"/>
      <c r="J7275" s="49" t="str"/>
      <c r="K7275" s="41" t="str"/>
      <c r="L7275" s="41" t="str"/>
      <c r="M7275" s="41" t="str"/>
      <c r="N7275" s="41" t="str"/>
      <c r="O7275" s="41" t="str"/>
      <c r="P7275" s="41" t="str"/>
      <c r="Q7275" s="41" t="str"/>
      <c r="R7275" s="41" t="str"/>
      <c r="S7275" s="41" t="str"/>
      <c r="T7275" s="41" t="str"/>
      <c r="U7275" s="41" t="str"/>
      <c r="V7275" s="41" t="str"/>
      <c r="W7275" s="41" t="str"/>
    </row>
    <row r="7276">
      <c r="B7276" s="2" t="n"/>
      <c r="C7276" s="40" t="n"/>
      <c r="D7276" s="52">
        <f t="array" ref="D7276:W7276">IF(All_Students_Scores!C7274:V7274="","",All_Students_Scores!C7274:V7274)</f>
        <v/>
      </c>
      <c r="E7276" s="57" t="str"/>
      <c r="F7276" s="49" t="str"/>
      <c r="G7276" s="59" t="str"/>
      <c r="H7276" s="64" t="str"/>
      <c r="I7276" s="65" t="str"/>
      <c r="J7276" s="49" t="str"/>
      <c r="K7276" s="41" t="str"/>
      <c r="L7276" s="41" t="str"/>
      <c r="M7276" s="41" t="str"/>
      <c r="N7276" s="41" t="str"/>
      <c r="O7276" s="41" t="str"/>
      <c r="P7276" s="41" t="str"/>
      <c r="Q7276" s="41" t="str"/>
      <c r="R7276" s="41" t="str"/>
      <c r="S7276" s="41" t="str"/>
      <c r="T7276" s="41" t="str"/>
      <c r="U7276" s="41" t="str"/>
      <c r="V7276" s="41" t="str"/>
      <c r="W7276" s="41" t="str"/>
    </row>
    <row r="7277">
      <c r="B7277" s="2" t="n"/>
      <c r="C7277" s="40" t="n"/>
      <c r="D7277" s="52">
        <f t="array" ref="D7277:W7277">IF(All_Students_Scores!C7275:V7275="","",All_Students_Scores!C7275:V7275)</f>
        <v/>
      </c>
      <c r="E7277" s="57" t="str"/>
      <c r="F7277" s="49" t="str"/>
      <c r="G7277" s="59" t="str"/>
      <c r="H7277" s="64" t="str"/>
      <c r="I7277" s="65" t="str"/>
      <c r="J7277" s="49" t="str"/>
      <c r="K7277" s="41" t="str"/>
      <c r="L7277" s="41" t="str"/>
      <c r="M7277" s="41" t="str"/>
      <c r="N7277" s="41" t="str"/>
      <c r="O7277" s="41" t="str"/>
      <c r="P7277" s="41" t="str"/>
      <c r="Q7277" s="41" t="str"/>
      <c r="R7277" s="41" t="str"/>
      <c r="S7277" s="41" t="str"/>
      <c r="T7277" s="41" t="str"/>
      <c r="U7277" s="41" t="str"/>
      <c r="V7277" s="41" t="str"/>
      <c r="W7277" s="41" t="str"/>
    </row>
    <row r="7278">
      <c r="B7278" s="2" t="n"/>
      <c r="C7278" s="40" t="n"/>
      <c r="D7278" s="52">
        <f t="array" ref="D7278:W7278">IF(All_Students_Scores!C7276:V7276="","",All_Students_Scores!C7276:V7276)</f>
        <v/>
      </c>
      <c r="E7278" s="57" t="str"/>
      <c r="F7278" s="49" t="str"/>
      <c r="G7278" s="59" t="str"/>
      <c r="H7278" s="64" t="str"/>
      <c r="I7278" s="65" t="str"/>
      <c r="J7278" s="49" t="str"/>
      <c r="K7278" s="41" t="str"/>
      <c r="L7278" s="41" t="str"/>
      <c r="M7278" s="41" t="str"/>
      <c r="N7278" s="41" t="str"/>
      <c r="O7278" s="41" t="str"/>
      <c r="P7278" s="41" t="str"/>
      <c r="Q7278" s="41" t="str"/>
      <c r="R7278" s="41" t="str"/>
      <c r="S7278" s="41" t="str"/>
      <c r="T7278" s="41" t="str"/>
      <c r="U7278" s="41" t="str"/>
      <c r="V7278" s="41" t="str"/>
      <c r="W7278" s="41" t="str"/>
    </row>
    <row r="7279">
      <c r="B7279" s="2" t="n"/>
      <c r="C7279" s="40" t="n"/>
      <c r="D7279" s="52">
        <f t="array" ref="D7279:W7279">IF(All_Students_Scores!C7277:V7277="","",All_Students_Scores!C7277:V7277)</f>
        <v/>
      </c>
      <c r="E7279" s="57" t="str"/>
      <c r="F7279" s="49" t="str"/>
      <c r="G7279" s="59" t="str"/>
      <c r="H7279" s="64" t="str"/>
      <c r="I7279" s="65" t="str"/>
      <c r="J7279" s="49" t="str"/>
      <c r="K7279" s="41" t="str"/>
      <c r="L7279" s="41" t="str"/>
      <c r="M7279" s="41" t="str"/>
      <c r="N7279" s="41" t="str"/>
      <c r="O7279" s="41" t="str"/>
      <c r="P7279" s="41" t="str"/>
      <c r="Q7279" s="41" t="str"/>
      <c r="R7279" s="41" t="str"/>
      <c r="S7279" s="41" t="str"/>
      <c r="T7279" s="41" t="str"/>
      <c r="U7279" s="41" t="str"/>
      <c r="V7279" s="41" t="str"/>
      <c r="W7279" s="41" t="str"/>
    </row>
    <row r="7280">
      <c r="B7280" s="2" t="n"/>
      <c r="C7280" s="40" t="n"/>
      <c r="D7280" s="52">
        <f t="array" ref="D7280:W7280">IF(All_Students_Scores!C7278:V7278="","",All_Students_Scores!C7278:V7278)</f>
        <v/>
      </c>
      <c r="E7280" s="57" t="str"/>
      <c r="F7280" s="49" t="str"/>
      <c r="G7280" s="59" t="str"/>
      <c r="H7280" s="64" t="str"/>
      <c r="I7280" s="65" t="str"/>
      <c r="J7280" s="49" t="str"/>
      <c r="K7280" s="41" t="str"/>
      <c r="L7280" s="41" t="str"/>
      <c r="M7280" s="41" t="str"/>
      <c r="N7280" s="41" t="str"/>
      <c r="O7280" s="41" t="str"/>
      <c r="P7280" s="41" t="str"/>
      <c r="Q7280" s="41" t="str"/>
      <c r="R7280" s="41" t="str"/>
      <c r="S7280" s="41" t="str"/>
      <c r="T7280" s="41" t="str"/>
      <c r="U7280" s="41" t="str"/>
      <c r="V7280" s="41" t="str"/>
      <c r="W7280" s="41" t="str"/>
    </row>
    <row r="7281">
      <c r="B7281" s="2" t="n"/>
      <c r="C7281" s="40" t="n"/>
      <c r="D7281" s="52">
        <f t="array" ref="D7281:W7281">IF(All_Students_Scores!C7279:V7279="","",All_Students_Scores!C7279:V7279)</f>
        <v/>
      </c>
      <c r="E7281" s="57" t="str"/>
      <c r="F7281" s="49" t="str"/>
      <c r="G7281" s="59" t="str"/>
      <c r="H7281" s="64" t="str"/>
      <c r="I7281" s="65" t="str"/>
      <c r="J7281" s="49" t="str"/>
      <c r="K7281" s="41" t="str"/>
      <c r="L7281" s="41" t="str"/>
      <c r="M7281" s="41" t="str"/>
      <c r="N7281" s="41" t="str"/>
      <c r="O7281" s="41" t="str"/>
      <c r="P7281" s="41" t="str"/>
      <c r="Q7281" s="41" t="str"/>
      <c r="R7281" s="41" t="str"/>
      <c r="S7281" s="41" t="str"/>
      <c r="T7281" s="41" t="str"/>
      <c r="U7281" s="41" t="str"/>
      <c r="V7281" s="41" t="str"/>
      <c r="W7281" s="41" t="str"/>
    </row>
    <row r="7282">
      <c r="B7282" s="2" t="n"/>
      <c r="C7282" s="40" t="n"/>
      <c r="D7282" s="52">
        <f t="array" ref="D7282:W7282">IF(All_Students_Scores!C7280:V7280="","",All_Students_Scores!C7280:V7280)</f>
        <v/>
      </c>
      <c r="E7282" s="57" t="str"/>
      <c r="F7282" s="49" t="str"/>
      <c r="G7282" s="59" t="str"/>
      <c r="H7282" s="64" t="str"/>
      <c r="I7282" s="65" t="str"/>
      <c r="J7282" s="49" t="str"/>
      <c r="K7282" s="41" t="str"/>
      <c r="L7282" s="41" t="str"/>
      <c r="M7282" s="41" t="str"/>
      <c r="N7282" s="41" t="str"/>
      <c r="O7282" s="41" t="str"/>
      <c r="P7282" s="41" t="str"/>
      <c r="Q7282" s="41" t="str"/>
      <c r="R7282" s="41" t="str"/>
      <c r="S7282" s="41" t="str"/>
      <c r="T7282" s="41" t="str"/>
      <c r="U7282" s="41" t="str"/>
      <c r="V7282" s="41" t="str"/>
      <c r="W7282" s="41" t="str"/>
    </row>
    <row r="7283">
      <c r="B7283" s="2" t="n"/>
      <c r="C7283" s="40" t="n"/>
      <c r="D7283" s="52">
        <f t="array" ref="D7283:W7283">IF(All_Students_Scores!C7281:V7281="","",All_Students_Scores!C7281:V7281)</f>
        <v/>
      </c>
      <c r="E7283" s="57" t="str"/>
      <c r="F7283" s="49" t="str"/>
      <c r="G7283" s="59" t="str"/>
      <c r="H7283" s="64" t="str"/>
      <c r="I7283" s="65" t="str"/>
      <c r="J7283" s="49" t="str"/>
      <c r="K7283" s="41" t="str"/>
      <c r="L7283" s="41" t="str"/>
      <c r="M7283" s="41" t="str"/>
      <c r="N7283" s="41" t="str"/>
      <c r="O7283" s="41" t="str"/>
      <c r="P7283" s="41" t="str"/>
      <c r="Q7283" s="41" t="str"/>
      <c r="R7283" s="41" t="str"/>
      <c r="S7283" s="41" t="str"/>
      <c r="T7283" s="41" t="str"/>
      <c r="U7283" s="41" t="str"/>
      <c r="V7283" s="41" t="str"/>
      <c r="W7283" s="41" t="str"/>
    </row>
    <row r="7284">
      <c r="B7284" s="2" t="n"/>
      <c r="C7284" s="40" t="n"/>
      <c r="D7284" s="52">
        <f t="array" ref="D7284:W7284">IF(All_Students_Scores!C7282:V7282="","",All_Students_Scores!C7282:V7282)</f>
        <v/>
      </c>
      <c r="E7284" s="57" t="str"/>
      <c r="F7284" s="49" t="str"/>
      <c r="G7284" s="59" t="str"/>
      <c r="H7284" s="64" t="str"/>
      <c r="I7284" s="65" t="str"/>
      <c r="J7284" s="49" t="str"/>
      <c r="K7284" s="41" t="str"/>
      <c r="L7284" s="41" t="str"/>
      <c r="M7284" s="41" t="str"/>
      <c r="N7284" s="41" t="str"/>
      <c r="O7284" s="41" t="str"/>
      <c r="P7284" s="41" t="str"/>
      <c r="Q7284" s="41" t="str"/>
      <c r="R7284" s="41" t="str"/>
      <c r="S7284" s="41" t="str"/>
      <c r="T7284" s="41" t="str"/>
      <c r="U7284" s="41" t="str"/>
      <c r="V7284" s="41" t="str"/>
      <c r="W7284" s="41" t="str"/>
    </row>
    <row r="7285">
      <c r="B7285" s="2" t="n"/>
      <c r="C7285" s="40" t="n"/>
      <c r="D7285" s="52">
        <f t="array" ref="D7285:W7285">IF(All_Students_Scores!C7283:V7283="","",All_Students_Scores!C7283:V7283)</f>
        <v/>
      </c>
      <c r="E7285" s="57" t="str"/>
      <c r="F7285" s="49" t="str"/>
      <c r="G7285" s="59" t="str"/>
      <c r="H7285" s="64" t="str"/>
      <c r="I7285" s="65" t="str"/>
      <c r="J7285" s="49" t="str"/>
      <c r="K7285" s="41" t="str"/>
      <c r="L7285" s="41" t="str"/>
      <c r="M7285" s="41" t="str"/>
      <c r="N7285" s="41" t="str"/>
      <c r="O7285" s="41" t="str"/>
      <c r="P7285" s="41" t="str"/>
      <c r="Q7285" s="41" t="str"/>
      <c r="R7285" s="41" t="str"/>
      <c r="S7285" s="41" t="str"/>
      <c r="T7285" s="41" t="str"/>
      <c r="U7285" s="41" t="str"/>
      <c r="V7285" s="41" t="str"/>
      <c r="W7285" s="41" t="str"/>
    </row>
    <row r="7286">
      <c r="B7286" s="2" t="n"/>
      <c r="C7286" s="40" t="n"/>
      <c r="D7286" s="52">
        <f t="array" ref="D7286:W7286">IF(All_Students_Scores!C7284:V7284="","",All_Students_Scores!C7284:V7284)</f>
        <v/>
      </c>
      <c r="E7286" s="57" t="str"/>
      <c r="F7286" s="49" t="str"/>
      <c r="G7286" s="59" t="str"/>
      <c r="H7286" s="64" t="str"/>
      <c r="I7286" s="65" t="str"/>
      <c r="J7286" s="49" t="str"/>
      <c r="K7286" s="41" t="str"/>
      <c r="L7286" s="41" t="str"/>
      <c r="M7286" s="41" t="str"/>
      <c r="N7286" s="41" t="str"/>
      <c r="O7286" s="41" t="str"/>
      <c r="P7286" s="41" t="str"/>
      <c r="Q7286" s="41" t="str"/>
      <c r="R7286" s="41" t="str"/>
      <c r="S7286" s="41" t="str"/>
      <c r="T7286" s="41" t="str"/>
      <c r="U7286" s="41" t="str"/>
      <c r="V7286" s="41" t="str"/>
      <c r="W7286" s="41" t="str"/>
    </row>
    <row r="7287">
      <c r="B7287" s="2" t="n"/>
      <c r="C7287" s="40" t="n"/>
      <c r="D7287" s="52">
        <f t="array" ref="D7287:W7287">IF(All_Students_Scores!C7285:V7285="","",All_Students_Scores!C7285:V7285)</f>
        <v/>
      </c>
      <c r="E7287" s="57" t="str"/>
      <c r="F7287" s="49" t="str"/>
      <c r="G7287" s="59" t="str"/>
      <c r="H7287" s="64" t="str"/>
      <c r="I7287" s="65" t="str"/>
      <c r="J7287" s="49" t="str"/>
      <c r="K7287" s="41" t="str"/>
      <c r="L7287" s="41" t="str"/>
      <c r="M7287" s="41" t="str"/>
      <c r="N7287" s="41" t="str"/>
      <c r="O7287" s="41" t="str"/>
      <c r="P7287" s="41" t="str"/>
      <c r="Q7287" s="41" t="str"/>
      <c r="R7287" s="41" t="str"/>
      <c r="S7287" s="41" t="str"/>
      <c r="T7287" s="41" t="str"/>
      <c r="U7287" s="41" t="str"/>
      <c r="V7287" s="41" t="str"/>
      <c r="W7287" s="41" t="str"/>
    </row>
    <row r="7288">
      <c r="B7288" s="2" t="n"/>
      <c r="C7288" s="40" t="n"/>
      <c r="D7288" s="52">
        <f t="array" ref="D7288:W7288">IF(All_Students_Scores!C7286:V7286="","",All_Students_Scores!C7286:V7286)</f>
        <v/>
      </c>
      <c r="E7288" s="57" t="str"/>
      <c r="F7288" s="49" t="str"/>
      <c r="G7288" s="59" t="str"/>
      <c r="H7288" s="64" t="str"/>
      <c r="I7288" s="65" t="str"/>
      <c r="J7288" s="49" t="str"/>
      <c r="K7288" s="41" t="str"/>
      <c r="L7288" s="41" t="str"/>
      <c r="M7288" s="41" t="str"/>
      <c r="N7288" s="41" t="str"/>
      <c r="O7288" s="41" t="str"/>
      <c r="P7288" s="41" t="str"/>
      <c r="Q7288" s="41" t="str"/>
      <c r="R7288" s="41" t="str"/>
      <c r="S7288" s="41" t="str"/>
      <c r="T7288" s="41" t="str"/>
      <c r="U7288" s="41" t="str"/>
      <c r="V7288" s="41" t="str"/>
      <c r="W7288" s="41" t="str"/>
    </row>
    <row r="7289">
      <c r="B7289" s="2" t="n"/>
      <c r="C7289" s="40" t="n"/>
      <c r="D7289" s="52">
        <f t="array" ref="D7289:W7289">IF(All_Students_Scores!C7287:V7287="","",All_Students_Scores!C7287:V7287)</f>
        <v/>
      </c>
      <c r="E7289" s="57" t="str"/>
      <c r="F7289" s="49" t="str"/>
      <c r="G7289" s="59" t="str"/>
      <c r="H7289" s="64" t="str"/>
      <c r="I7289" s="65" t="str"/>
      <c r="J7289" s="49" t="str"/>
      <c r="K7289" s="41" t="str"/>
      <c r="L7289" s="41" t="str"/>
      <c r="M7289" s="41" t="str"/>
      <c r="N7289" s="41" t="str"/>
      <c r="O7289" s="41" t="str"/>
      <c r="P7289" s="41" t="str"/>
      <c r="Q7289" s="41" t="str"/>
      <c r="R7289" s="41" t="str"/>
      <c r="S7289" s="41" t="str"/>
      <c r="T7289" s="41" t="str"/>
      <c r="U7289" s="41" t="str"/>
      <c r="V7289" s="41" t="str"/>
      <c r="W7289" s="41" t="str"/>
    </row>
    <row r="7290">
      <c r="B7290" s="2" t="n"/>
      <c r="C7290" s="40" t="n"/>
      <c r="D7290" s="52">
        <f t="array" ref="D7290:W7290">IF(All_Students_Scores!C7288:V7288="","",All_Students_Scores!C7288:V7288)</f>
        <v/>
      </c>
      <c r="E7290" s="57" t="str"/>
      <c r="F7290" s="49" t="str"/>
      <c r="G7290" s="59" t="str"/>
      <c r="H7290" s="64" t="str"/>
      <c r="I7290" s="65" t="str"/>
      <c r="J7290" s="49" t="str"/>
      <c r="K7290" s="41" t="str"/>
      <c r="L7290" s="41" t="str"/>
      <c r="M7290" s="41" t="str"/>
      <c r="N7290" s="41" t="str"/>
      <c r="O7290" s="41" t="str"/>
      <c r="P7290" s="41" t="str"/>
      <c r="Q7290" s="41" t="str"/>
      <c r="R7290" s="41" t="str"/>
      <c r="S7290" s="41" t="str"/>
      <c r="T7290" s="41" t="str"/>
      <c r="U7290" s="41" t="str"/>
      <c r="V7290" s="41" t="str"/>
      <c r="W7290" s="41" t="str"/>
    </row>
    <row r="7291">
      <c r="B7291" s="2" t="n"/>
      <c r="C7291" s="40" t="n"/>
      <c r="D7291" s="52">
        <f t="array" ref="D7291:W7291">IF(All_Students_Scores!C7289:V7289="","",All_Students_Scores!C7289:V7289)</f>
        <v/>
      </c>
      <c r="E7291" s="57" t="str"/>
      <c r="F7291" s="49" t="str"/>
      <c r="G7291" s="59" t="str"/>
      <c r="H7291" s="64" t="str"/>
      <c r="I7291" s="65" t="str"/>
      <c r="J7291" s="49" t="str"/>
      <c r="K7291" s="41" t="str"/>
      <c r="L7291" s="41" t="str"/>
      <c r="M7291" s="41" t="str"/>
      <c r="N7291" s="41" t="str"/>
      <c r="O7291" s="41" t="str"/>
      <c r="P7291" s="41" t="str"/>
      <c r="Q7291" s="41" t="str"/>
      <c r="R7291" s="41" t="str"/>
      <c r="S7291" s="41" t="str"/>
      <c r="T7291" s="41" t="str"/>
      <c r="U7291" s="41" t="str"/>
      <c r="V7291" s="41" t="str"/>
      <c r="W7291" s="41" t="str"/>
    </row>
    <row r="7292">
      <c r="B7292" s="2" t="n"/>
      <c r="C7292" s="40" t="n"/>
      <c r="D7292" s="52">
        <f t="array" ref="D7292:W7292">IF(All_Students_Scores!C7290:V7290="","",All_Students_Scores!C7290:V7290)</f>
        <v/>
      </c>
      <c r="E7292" s="57" t="str"/>
      <c r="F7292" s="49" t="str"/>
      <c r="G7292" s="59" t="str"/>
      <c r="H7292" s="64" t="str"/>
      <c r="I7292" s="65" t="str"/>
      <c r="J7292" s="49" t="str"/>
      <c r="K7292" s="41" t="str"/>
      <c r="L7292" s="41" t="str"/>
      <c r="M7292" s="41" t="str"/>
      <c r="N7292" s="41" t="str"/>
      <c r="O7292" s="41" t="str"/>
      <c r="P7292" s="41" t="str"/>
      <c r="Q7292" s="41" t="str"/>
      <c r="R7292" s="41" t="str"/>
      <c r="S7292" s="41" t="str"/>
      <c r="T7292" s="41" t="str"/>
      <c r="U7292" s="41" t="str"/>
      <c r="V7292" s="41" t="str"/>
      <c r="W7292" s="41" t="str"/>
    </row>
    <row r="7293">
      <c r="B7293" s="2" t="n"/>
      <c r="C7293" s="40" t="n"/>
      <c r="D7293" s="52">
        <f t="array" ref="D7293:W7293">IF(All_Students_Scores!C7291:V7291="","",All_Students_Scores!C7291:V7291)</f>
        <v/>
      </c>
      <c r="E7293" s="57" t="str"/>
      <c r="F7293" s="49" t="str"/>
      <c r="G7293" s="59" t="str"/>
      <c r="H7293" s="64" t="str"/>
      <c r="I7293" s="65" t="str"/>
      <c r="J7293" s="49" t="str"/>
      <c r="K7293" s="41" t="str"/>
      <c r="L7293" s="41" t="str"/>
      <c r="M7293" s="41" t="str"/>
      <c r="N7293" s="41" t="str"/>
      <c r="O7293" s="41" t="str"/>
      <c r="P7293" s="41" t="str"/>
      <c r="Q7293" s="41" t="str"/>
      <c r="R7293" s="41" t="str"/>
      <c r="S7293" s="41" t="str"/>
      <c r="T7293" s="41" t="str"/>
      <c r="U7293" s="41" t="str"/>
      <c r="V7293" s="41" t="str"/>
      <c r="W7293" s="41" t="str"/>
    </row>
    <row r="7294">
      <c r="B7294" s="2" t="n"/>
      <c r="C7294" s="40" t="n"/>
      <c r="D7294" s="52">
        <f t="array" ref="D7294:W7294">IF(All_Students_Scores!C7292:V7292="","",All_Students_Scores!C7292:V7292)</f>
        <v/>
      </c>
      <c r="E7294" s="57" t="str"/>
      <c r="F7294" s="49" t="str"/>
      <c r="G7294" s="59" t="str"/>
      <c r="H7294" s="64" t="str"/>
      <c r="I7294" s="65" t="str"/>
      <c r="J7294" s="49" t="str"/>
      <c r="K7294" s="41" t="str"/>
      <c r="L7294" s="41" t="str"/>
      <c r="M7294" s="41" t="str"/>
      <c r="N7294" s="41" t="str"/>
      <c r="O7294" s="41" t="str"/>
      <c r="P7294" s="41" t="str"/>
      <c r="Q7294" s="41" t="str"/>
      <c r="R7294" s="41" t="str"/>
      <c r="S7294" s="41" t="str"/>
      <c r="T7294" s="41" t="str"/>
      <c r="U7294" s="41" t="str"/>
      <c r="V7294" s="41" t="str"/>
      <c r="W7294" s="41" t="str"/>
    </row>
    <row r="7295">
      <c r="B7295" s="2" t="n"/>
      <c r="C7295" s="40" t="n"/>
      <c r="D7295" s="52">
        <f t="array" ref="D7295:W7295">IF(All_Students_Scores!C7293:V7293="","",All_Students_Scores!C7293:V7293)</f>
        <v/>
      </c>
      <c r="E7295" s="57" t="str"/>
      <c r="F7295" s="49" t="str"/>
      <c r="G7295" s="59" t="str"/>
      <c r="H7295" s="64" t="str"/>
      <c r="I7295" s="65" t="str"/>
      <c r="J7295" s="49" t="str"/>
      <c r="K7295" s="41" t="str"/>
      <c r="L7295" s="41" t="str"/>
      <c r="M7295" s="41" t="str"/>
      <c r="N7295" s="41" t="str"/>
      <c r="O7295" s="41" t="str"/>
      <c r="P7295" s="41" t="str"/>
      <c r="Q7295" s="41" t="str"/>
      <c r="R7295" s="41" t="str"/>
      <c r="S7295" s="41" t="str"/>
      <c r="T7295" s="41" t="str"/>
      <c r="U7295" s="41" t="str"/>
      <c r="V7295" s="41" t="str"/>
      <c r="W7295" s="41" t="str"/>
    </row>
    <row r="7296">
      <c r="B7296" s="2" t="n"/>
      <c r="C7296" s="40" t="n"/>
      <c r="D7296" s="52">
        <f t="array" ref="D7296:W7296">IF(All_Students_Scores!C7294:V7294="","",All_Students_Scores!C7294:V7294)</f>
        <v/>
      </c>
      <c r="E7296" s="57" t="str"/>
      <c r="F7296" s="49" t="str"/>
      <c r="G7296" s="59" t="str"/>
      <c r="H7296" s="64" t="str"/>
      <c r="I7296" s="65" t="str"/>
      <c r="J7296" s="49" t="str"/>
      <c r="K7296" s="41" t="str"/>
      <c r="L7296" s="41" t="str"/>
      <c r="M7296" s="41" t="str"/>
      <c r="N7296" s="41" t="str"/>
      <c r="O7296" s="41" t="str"/>
      <c r="P7296" s="41" t="str"/>
      <c r="Q7296" s="41" t="str"/>
      <c r="R7296" s="41" t="str"/>
      <c r="S7296" s="41" t="str"/>
      <c r="T7296" s="41" t="str"/>
      <c r="U7296" s="41" t="str"/>
      <c r="V7296" s="41" t="str"/>
      <c r="W7296" s="41" t="str"/>
    </row>
    <row r="7297">
      <c r="B7297" s="2" t="n"/>
      <c r="C7297" s="40" t="n"/>
      <c r="D7297" s="52">
        <f t="array" ref="D7297:W7297">IF(All_Students_Scores!C7295:V7295="","",All_Students_Scores!C7295:V7295)</f>
        <v/>
      </c>
      <c r="E7297" s="57" t="str"/>
      <c r="F7297" s="49" t="str"/>
      <c r="G7297" s="59" t="str"/>
      <c r="H7297" s="64" t="str"/>
      <c r="I7297" s="65" t="str"/>
      <c r="J7297" s="49" t="str"/>
      <c r="K7297" s="41" t="str"/>
      <c r="L7297" s="41" t="str"/>
      <c r="M7297" s="41" t="str"/>
      <c r="N7297" s="41" t="str"/>
      <c r="O7297" s="41" t="str"/>
      <c r="P7297" s="41" t="str"/>
      <c r="Q7297" s="41" t="str"/>
      <c r="R7297" s="41" t="str"/>
      <c r="S7297" s="41" t="str"/>
      <c r="T7297" s="41" t="str"/>
      <c r="U7297" s="41" t="str"/>
      <c r="V7297" s="41" t="str"/>
      <c r="W7297" s="41" t="str"/>
    </row>
    <row r="7298">
      <c r="B7298" s="2" t="n"/>
      <c r="C7298" s="40" t="n"/>
      <c r="D7298" s="52">
        <f t="array" ref="D7298:W7298">IF(All_Students_Scores!C7296:V7296="","",All_Students_Scores!C7296:V7296)</f>
        <v/>
      </c>
      <c r="E7298" s="57" t="str"/>
      <c r="F7298" s="49" t="str"/>
      <c r="G7298" s="59" t="str"/>
      <c r="H7298" s="64" t="str"/>
      <c r="I7298" s="65" t="str"/>
      <c r="J7298" s="49" t="str"/>
      <c r="K7298" s="41" t="str"/>
      <c r="L7298" s="41" t="str"/>
      <c r="M7298" s="41" t="str"/>
      <c r="N7298" s="41" t="str"/>
      <c r="O7298" s="41" t="str"/>
      <c r="P7298" s="41" t="str"/>
      <c r="Q7298" s="41" t="str"/>
      <c r="R7298" s="41" t="str"/>
      <c r="S7298" s="41" t="str"/>
      <c r="T7298" s="41" t="str"/>
      <c r="U7298" s="41" t="str"/>
      <c r="V7298" s="41" t="str"/>
      <c r="W7298" s="41" t="str"/>
    </row>
    <row r="7299">
      <c r="B7299" s="2" t="n"/>
      <c r="C7299" s="40" t="n"/>
      <c r="D7299" s="52">
        <f t="array" ref="D7299:W7299">IF(All_Students_Scores!C7297:V7297="","",All_Students_Scores!C7297:V7297)</f>
        <v/>
      </c>
      <c r="E7299" s="57" t="str"/>
      <c r="F7299" s="49" t="str"/>
      <c r="G7299" s="59" t="str"/>
      <c r="H7299" s="64" t="str"/>
      <c r="I7299" s="65" t="str"/>
      <c r="J7299" s="49" t="str"/>
      <c r="K7299" s="41" t="str"/>
      <c r="L7299" s="41" t="str"/>
      <c r="M7299" s="41" t="str"/>
      <c r="N7299" s="41" t="str"/>
      <c r="O7299" s="41" t="str"/>
      <c r="P7299" s="41" t="str"/>
      <c r="Q7299" s="41" t="str"/>
      <c r="R7299" s="41" t="str"/>
      <c r="S7299" s="41" t="str"/>
      <c r="T7299" s="41" t="str"/>
      <c r="U7299" s="41" t="str"/>
      <c r="V7299" s="41" t="str"/>
      <c r="W7299" s="41" t="str"/>
    </row>
    <row r="7300">
      <c r="B7300" s="2" t="n"/>
      <c r="C7300" s="40" t="n"/>
      <c r="D7300" s="52">
        <f t="array" ref="D7300:W7300">IF(All_Students_Scores!C7298:V7298="","",All_Students_Scores!C7298:V7298)</f>
        <v/>
      </c>
      <c r="E7300" s="57" t="str"/>
      <c r="F7300" s="49" t="str"/>
      <c r="G7300" s="59" t="str"/>
      <c r="H7300" s="64" t="str"/>
      <c r="I7300" s="65" t="str"/>
      <c r="J7300" s="49" t="str"/>
      <c r="K7300" s="41" t="str"/>
      <c r="L7300" s="41" t="str"/>
      <c r="M7300" s="41" t="str"/>
      <c r="N7300" s="41" t="str"/>
      <c r="O7300" s="41" t="str"/>
      <c r="P7300" s="41" t="str"/>
      <c r="Q7300" s="41" t="str"/>
      <c r="R7300" s="41" t="str"/>
      <c r="S7300" s="41" t="str"/>
      <c r="T7300" s="41" t="str"/>
      <c r="U7300" s="41" t="str"/>
      <c r="V7300" s="41" t="str"/>
      <c r="W7300" s="41" t="str"/>
    </row>
    <row r="7301">
      <c r="B7301" s="2" t="n"/>
      <c r="C7301" s="40" t="n"/>
      <c r="D7301" s="52">
        <f t="array" ref="D7301:W7301">IF(All_Students_Scores!C7299:V7299="","",All_Students_Scores!C7299:V7299)</f>
        <v/>
      </c>
      <c r="E7301" s="57" t="str"/>
      <c r="F7301" s="49" t="str"/>
      <c r="G7301" s="59" t="str"/>
      <c r="H7301" s="64" t="str"/>
      <c r="I7301" s="65" t="str"/>
      <c r="J7301" s="49" t="str"/>
      <c r="K7301" s="41" t="str"/>
      <c r="L7301" s="41" t="str"/>
      <c r="M7301" s="41" t="str"/>
      <c r="N7301" s="41" t="str"/>
      <c r="O7301" s="41" t="str"/>
      <c r="P7301" s="41" t="str"/>
      <c r="Q7301" s="41" t="str"/>
      <c r="R7301" s="41" t="str"/>
      <c r="S7301" s="41" t="str"/>
      <c r="T7301" s="41" t="str"/>
      <c r="U7301" s="41" t="str"/>
      <c r="V7301" s="41" t="str"/>
      <c r="W7301" s="41" t="str"/>
    </row>
    <row r="7302">
      <c r="B7302" s="2" t="n"/>
      <c r="C7302" s="40" t="n"/>
      <c r="D7302" s="52">
        <f t="array" ref="D7302:W7302">IF(All_Students_Scores!C7300:V7300="","",All_Students_Scores!C7300:V7300)</f>
        <v/>
      </c>
      <c r="E7302" s="57" t="str"/>
      <c r="F7302" s="49" t="str"/>
      <c r="G7302" s="59" t="str"/>
      <c r="H7302" s="64" t="str"/>
      <c r="I7302" s="65" t="str"/>
      <c r="J7302" s="49" t="str"/>
      <c r="K7302" s="41" t="str"/>
      <c r="L7302" s="41" t="str"/>
      <c r="M7302" s="41" t="str"/>
      <c r="N7302" s="41" t="str"/>
      <c r="O7302" s="41" t="str"/>
      <c r="P7302" s="41" t="str"/>
      <c r="Q7302" s="41" t="str"/>
      <c r="R7302" s="41" t="str"/>
      <c r="S7302" s="41" t="str"/>
      <c r="T7302" s="41" t="str"/>
      <c r="U7302" s="41" t="str"/>
      <c r="V7302" s="41" t="str"/>
      <c r="W7302" s="41" t="str"/>
    </row>
    <row r="7303">
      <c r="B7303" s="2" t="n"/>
      <c r="C7303" s="40" t="n"/>
      <c r="D7303" s="52">
        <f t="array" ref="D7303:W7303">IF(All_Students_Scores!C7301:V7301="","",All_Students_Scores!C7301:V7301)</f>
        <v/>
      </c>
      <c r="E7303" s="57" t="str"/>
      <c r="F7303" s="49" t="str"/>
      <c r="G7303" s="59" t="str"/>
      <c r="H7303" s="64" t="str"/>
      <c r="I7303" s="65" t="str"/>
      <c r="J7303" s="49" t="str"/>
      <c r="K7303" s="41" t="str"/>
      <c r="L7303" s="41" t="str"/>
      <c r="M7303" s="41" t="str"/>
      <c r="N7303" s="41" t="str"/>
      <c r="O7303" s="41" t="str"/>
      <c r="P7303" s="41" t="str"/>
      <c r="Q7303" s="41" t="str"/>
      <c r="R7303" s="41" t="str"/>
      <c r="S7303" s="41" t="str"/>
      <c r="T7303" s="41" t="str"/>
      <c r="U7303" s="41" t="str"/>
      <c r="V7303" s="41" t="str"/>
      <c r="W7303" s="41" t="str"/>
    </row>
    <row r="7304">
      <c r="B7304" s="2" t="n"/>
      <c r="C7304" s="40" t="n"/>
      <c r="D7304" s="52">
        <f t="array" ref="D7304:W7304">IF(All_Students_Scores!C7302:V7302="","",All_Students_Scores!C7302:V7302)</f>
        <v/>
      </c>
      <c r="E7304" s="57" t="str"/>
      <c r="F7304" s="49" t="str"/>
      <c r="G7304" s="59" t="str"/>
      <c r="H7304" s="64" t="str"/>
      <c r="I7304" s="65" t="str"/>
      <c r="J7304" s="49" t="str"/>
      <c r="K7304" s="41" t="str"/>
      <c r="L7304" s="41" t="str"/>
      <c r="M7304" s="41" t="str"/>
      <c r="N7304" s="41" t="str"/>
      <c r="O7304" s="41" t="str"/>
      <c r="P7304" s="41" t="str"/>
      <c r="Q7304" s="41" t="str"/>
      <c r="R7304" s="41" t="str"/>
      <c r="S7304" s="41" t="str"/>
      <c r="T7304" s="41" t="str"/>
      <c r="U7304" s="41" t="str"/>
      <c r="V7304" s="41" t="str"/>
      <c r="W7304" s="41" t="str"/>
    </row>
    <row r="7305">
      <c r="B7305" s="2" t="n"/>
      <c r="C7305" s="40" t="n"/>
      <c r="D7305" s="52">
        <f t="array" ref="D7305:W7305">IF(All_Students_Scores!C7303:V7303="","",All_Students_Scores!C7303:V7303)</f>
        <v/>
      </c>
      <c r="E7305" s="57" t="str"/>
      <c r="F7305" s="49" t="str"/>
      <c r="G7305" s="59" t="str"/>
      <c r="H7305" s="64" t="str"/>
      <c r="I7305" s="65" t="str"/>
      <c r="J7305" s="49" t="str"/>
      <c r="K7305" s="41" t="str"/>
      <c r="L7305" s="41" t="str"/>
      <c r="M7305" s="41" t="str"/>
      <c r="N7305" s="41" t="str"/>
      <c r="O7305" s="41" t="str"/>
      <c r="P7305" s="41" t="str"/>
      <c r="Q7305" s="41" t="str"/>
      <c r="R7305" s="41" t="str"/>
      <c r="S7305" s="41" t="str"/>
      <c r="T7305" s="41" t="str"/>
      <c r="U7305" s="41" t="str"/>
      <c r="V7305" s="41" t="str"/>
      <c r="W7305" s="41" t="str"/>
    </row>
    <row r="7306">
      <c r="B7306" s="2" t="n"/>
      <c r="C7306" s="40" t="n"/>
      <c r="D7306" s="52">
        <f t="array" ref="D7306:W7306">IF(All_Students_Scores!C7304:V7304="","",All_Students_Scores!C7304:V7304)</f>
        <v/>
      </c>
      <c r="E7306" s="57" t="str"/>
      <c r="F7306" s="49" t="str"/>
      <c r="G7306" s="59" t="str"/>
      <c r="H7306" s="64" t="str"/>
      <c r="I7306" s="65" t="str"/>
      <c r="J7306" s="49" t="str"/>
      <c r="K7306" s="41" t="str"/>
      <c r="L7306" s="41" t="str"/>
      <c r="M7306" s="41" t="str"/>
      <c r="N7306" s="41" t="str"/>
      <c r="O7306" s="41" t="str"/>
      <c r="P7306" s="41" t="str"/>
      <c r="Q7306" s="41" t="str"/>
      <c r="R7306" s="41" t="str"/>
      <c r="S7306" s="41" t="str"/>
      <c r="T7306" s="41" t="str"/>
      <c r="U7306" s="41" t="str"/>
      <c r="V7306" s="41" t="str"/>
      <c r="W7306" s="41" t="str"/>
    </row>
    <row r="7307">
      <c r="B7307" s="2" t="n"/>
      <c r="C7307" s="40" t="n"/>
      <c r="D7307" s="52">
        <f t="array" ref="D7307:W7307">IF(All_Students_Scores!C7305:V7305="","",All_Students_Scores!C7305:V7305)</f>
        <v/>
      </c>
      <c r="E7307" s="57" t="str"/>
      <c r="F7307" s="49" t="str"/>
      <c r="G7307" s="59" t="str"/>
      <c r="H7307" s="64" t="str"/>
      <c r="I7307" s="65" t="str"/>
      <c r="J7307" s="49" t="str"/>
      <c r="K7307" s="41" t="str"/>
      <c r="L7307" s="41" t="str"/>
      <c r="M7307" s="41" t="str"/>
      <c r="N7307" s="41" t="str"/>
      <c r="O7307" s="41" t="str"/>
      <c r="P7307" s="41" t="str"/>
      <c r="Q7307" s="41" t="str"/>
      <c r="R7307" s="41" t="str"/>
      <c r="S7307" s="41" t="str"/>
      <c r="T7307" s="41" t="str"/>
      <c r="U7307" s="41" t="str"/>
      <c r="V7307" s="41" t="str"/>
      <c r="W7307" s="41" t="str"/>
    </row>
    <row r="7308">
      <c r="B7308" s="2" t="n"/>
      <c r="C7308" s="40" t="n"/>
      <c r="D7308" s="52">
        <f t="array" ref="D7308:W7308">IF(All_Students_Scores!C7306:V7306="","",All_Students_Scores!C7306:V7306)</f>
        <v/>
      </c>
      <c r="E7308" s="57" t="str"/>
      <c r="F7308" s="49" t="str"/>
      <c r="G7308" s="59" t="str"/>
      <c r="H7308" s="64" t="str"/>
      <c r="I7308" s="65" t="str"/>
      <c r="J7308" s="49" t="str"/>
      <c r="K7308" s="41" t="str"/>
      <c r="L7308" s="41" t="str"/>
      <c r="M7308" s="41" t="str"/>
      <c r="N7308" s="41" t="str"/>
      <c r="O7308" s="41" t="str"/>
      <c r="P7308" s="41" t="str"/>
      <c r="Q7308" s="41" t="str"/>
      <c r="R7308" s="41" t="str"/>
      <c r="S7308" s="41" t="str"/>
      <c r="T7308" s="41" t="str"/>
      <c r="U7308" s="41" t="str"/>
      <c r="V7308" s="41" t="str"/>
      <c r="W7308" s="41" t="str"/>
    </row>
    <row r="7309">
      <c r="B7309" s="2" t="n"/>
      <c r="C7309" s="40" t="n"/>
      <c r="D7309" s="52">
        <f t="array" ref="D7309:W7309">IF(All_Students_Scores!C7307:V7307="","",All_Students_Scores!C7307:V7307)</f>
        <v/>
      </c>
      <c r="E7309" s="57" t="str"/>
      <c r="F7309" s="49" t="str"/>
      <c r="G7309" s="59" t="str"/>
      <c r="H7309" s="64" t="str"/>
      <c r="I7309" s="65" t="str"/>
      <c r="J7309" s="49" t="str"/>
      <c r="K7309" s="41" t="str"/>
      <c r="L7309" s="41" t="str"/>
      <c r="M7309" s="41" t="str"/>
      <c r="N7309" s="41" t="str"/>
      <c r="O7309" s="41" t="str"/>
      <c r="P7309" s="41" t="str"/>
      <c r="Q7309" s="41" t="str"/>
      <c r="R7309" s="41" t="str"/>
      <c r="S7309" s="41" t="str"/>
      <c r="T7309" s="41" t="str"/>
      <c r="U7309" s="41" t="str"/>
      <c r="V7309" s="41" t="str"/>
      <c r="W7309" s="41" t="str"/>
    </row>
    <row r="7310">
      <c r="B7310" s="2" t="n"/>
      <c r="C7310" s="40" t="n"/>
      <c r="D7310" s="52">
        <f t="array" ref="D7310:W7310">IF(All_Students_Scores!C7308:V7308="","",All_Students_Scores!C7308:V7308)</f>
        <v/>
      </c>
      <c r="E7310" s="57" t="str"/>
      <c r="F7310" s="49" t="str"/>
      <c r="G7310" s="59" t="str"/>
      <c r="H7310" s="64" t="str"/>
      <c r="I7310" s="65" t="str"/>
      <c r="J7310" s="49" t="str"/>
      <c r="K7310" s="41" t="str"/>
      <c r="L7310" s="41" t="str"/>
      <c r="M7310" s="41" t="str"/>
      <c r="N7310" s="41" t="str"/>
      <c r="O7310" s="41" t="str"/>
      <c r="P7310" s="41" t="str"/>
      <c r="Q7310" s="41" t="str"/>
      <c r="R7310" s="41" t="str"/>
      <c r="S7310" s="41" t="str"/>
      <c r="T7310" s="41" t="str"/>
      <c r="U7310" s="41" t="str"/>
      <c r="V7310" s="41" t="str"/>
      <c r="W7310" s="41" t="str"/>
    </row>
    <row r="7311">
      <c r="B7311" s="2" t="n"/>
      <c r="C7311" s="40" t="n"/>
      <c r="D7311" s="52">
        <f t="array" ref="D7311:W7311">IF(All_Students_Scores!C7309:V7309="","",All_Students_Scores!C7309:V7309)</f>
        <v/>
      </c>
      <c r="E7311" s="57" t="str"/>
      <c r="F7311" s="49" t="str"/>
      <c r="G7311" s="59" t="str"/>
      <c r="H7311" s="64" t="str"/>
      <c r="I7311" s="65" t="str"/>
      <c r="J7311" s="49" t="str"/>
      <c r="K7311" s="41" t="str"/>
      <c r="L7311" s="41" t="str"/>
      <c r="M7311" s="41" t="str"/>
      <c r="N7311" s="41" t="str"/>
      <c r="O7311" s="41" t="str"/>
      <c r="P7311" s="41" t="str"/>
      <c r="Q7311" s="41" t="str"/>
      <c r="R7311" s="41" t="str"/>
      <c r="S7311" s="41" t="str"/>
      <c r="T7311" s="41" t="str"/>
      <c r="U7311" s="41" t="str"/>
      <c r="V7311" s="41" t="str"/>
      <c r="W7311" s="41" t="str"/>
    </row>
    <row r="7312">
      <c r="B7312" s="2" t="n"/>
      <c r="C7312" s="40" t="n"/>
      <c r="D7312" s="52">
        <f t="array" ref="D7312:W7312">IF(All_Students_Scores!C7310:V7310="","",All_Students_Scores!C7310:V7310)</f>
        <v/>
      </c>
      <c r="E7312" s="57" t="str"/>
      <c r="F7312" s="49" t="str"/>
      <c r="G7312" s="59" t="str"/>
      <c r="H7312" s="64" t="str"/>
      <c r="I7312" s="65" t="str"/>
      <c r="J7312" s="49" t="str"/>
      <c r="K7312" s="41" t="str"/>
      <c r="L7312" s="41" t="str"/>
      <c r="M7312" s="41" t="str"/>
      <c r="N7312" s="41" t="str"/>
      <c r="O7312" s="41" t="str"/>
      <c r="P7312" s="41" t="str"/>
      <c r="Q7312" s="41" t="str"/>
      <c r="R7312" s="41" t="str"/>
      <c r="S7312" s="41" t="str"/>
      <c r="T7312" s="41" t="str"/>
      <c r="U7312" s="41" t="str"/>
      <c r="V7312" s="41" t="str"/>
      <c r="W7312" s="41" t="str"/>
    </row>
    <row r="7313">
      <c r="B7313" s="2" t="n"/>
      <c r="C7313" s="40" t="n"/>
      <c r="D7313" s="52">
        <f t="array" ref="D7313:W7313">IF(All_Students_Scores!C7311:V7311="","",All_Students_Scores!C7311:V7311)</f>
        <v/>
      </c>
      <c r="E7313" s="57" t="str"/>
      <c r="F7313" s="49" t="str"/>
      <c r="G7313" s="59" t="str"/>
      <c r="H7313" s="64" t="str"/>
      <c r="I7313" s="65" t="str"/>
      <c r="J7313" s="49" t="str"/>
      <c r="K7313" s="41" t="str"/>
      <c r="L7313" s="41" t="str"/>
      <c r="M7313" s="41" t="str"/>
      <c r="N7313" s="41" t="str"/>
      <c r="O7313" s="41" t="str"/>
      <c r="P7313" s="41" t="str"/>
      <c r="Q7313" s="41" t="str"/>
      <c r="R7313" s="41" t="str"/>
      <c r="S7313" s="41" t="str"/>
      <c r="T7313" s="41" t="str"/>
      <c r="U7313" s="41" t="str"/>
      <c r="V7313" s="41" t="str"/>
      <c r="W7313" s="41" t="str"/>
    </row>
    <row r="7314">
      <c r="B7314" s="2" t="n"/>
      <c r="C7314" s="40" t="n"/>
      <c r="D7314" s="52">
        <f t="array" ref="D7314:W7314">IF(All_Students_Scores!C7312:V7312="","",All_Students_Scores!C7312:V7312)</f>
        <v/>
      </c>
      <c r="E7314" s="57" t="str"/>
      <c r="F7314" s="49" t="str"/>
      <c r="G7314" s="59" t="str"/>
      <c r="H7314" s="64" t="str"/>
      <c r="I7314" s="65" t="str"/>
      <c r="J7314" s="49" t="str"/>
      <c r="K7314" s="41" t="str"/>
      <c r="L7314" s="41" t="str"/>
      <c r="M7314" s="41" t="str"/>
      <c r="N7314" s="41" t="str"/>
      <c r="O7314" s="41" t="str"/>
      <c r="P7314" s="41" t="str"/>
      <c r="Q7314" s="41" t="str"/>
      <c r="R7314" s="41" t="str"/>
      <c r="S7314" s="41" t="str"/>
      <c r="T7314" s="41" t="str"/>
      <c r="U7314" s="41" t="str"/>
      <c r="V7314" s="41" t="str"/>
      <c r="W7314" s="41" t="str"/>
    </row>
    <row r="7315">
      <c r="B7315" s="2" t="n"/>
      <c r="C7315" s="40" t="n"/>
      <c r="D7315" s="52">
        <f t="array" ref="D7315:W7315">IF(All_Students_Scores!C7313:V7313="","",All_Students_Scores!C7313:V7313)</f>
        <v/>
      </c>
      <c r="E7315" s="57" t="str"/>
      <c r="F7315" s="49" t="str"/>
      <c r="G7315" s="59" t="str"/>
      <c r="H7315" s="64" t="str"/>
      <c r="I7315" s="65" t="str"/>
      <c r="J7315" s="49" t="str"/>
      <c r="K7315" s="41" t="str"/>
      <c r="L7315" s="41" t="str"/>
      <c r="M7315" s="41" t="str"/>
      <c r="N7315" s="41" t="str"/>
      <c r="O7315" s="41" t="str"/>
      <c r="P7315" s="41" t="str"/>
      <c r="Q7315" s="41" t="str"/>
      <c r="R7315" s="41" t="str"/>
      <c r="S7315" s="41" t="str"/>
      <c r="T7315" s="41" t="str"/>
      <c r="U7315" s="41" t="str"/>
      <c r="V7315" s="41" t="str"/>
      <c r="W7315" s="41" t="str"/>
    </row>
    <row r="7316">
      <c r="B7316" s="2" t="n"/>
      <c r="C7316" s="40" t="n"/>
      <c r="D7316" s="52">
        <f t="array" ref="D7316:W7316">IF(All_Students_Scores!C7314:V7314="","",All_Students_Scores!C7314:V7314)</f>
        <v/>
      </c>
      <c r="E7316" s="57" t="str"/>
      <c r="F7316" s="49" t="str"/>
      <c r="G7316" s="59" t="str"/>
      <c r="H7316" s="64" t="str"/>
      <c r="I7316" s="65" t="str"/>
      <c r="J7316" s="49" t="str"/>
      <c r="K7316" s="41" t="str"/>
      <c r="L7316" s="41" t="str"/>
      <c r="M7316" s="41" t="str"/>
      <c r="N7316" s="41" t="str"/>
      <c r="O7316" s="41" t="str"/>
      <c r="P7316" s="41" t="str"/>
      <c r="Q7316" s="41" t="str"/>
      <c r="R7316" s="41" t="str"/>
      <c r="S7316" s="41" t="str"/>
      <c r="T7316" s="41" t="str"/>
      <c r="U7316" s="41" t="str"/>
      <c r="V7316" s="41" t="str"/>
      <c r="W7316" s="41" t="str"/>
    </row>
    <row r="7317">
      <c r="B7317" s="2" t="n"/>
      <c r="C7317" s="40" t="n"/>
      <c r="D7317" s="52">
        <f t="array" ref="D7317:W7317">IF(All_Students_Scores!C7315:V7315="","",All_Students_Scores!C7315:V7315)</f>
        <v/>
      </c>
      <c r="E7317" s="57" t="str"/>
      <c r="F7317" s="49" t="str"/>
      <c r="G7317" s="59" t="str"/>
      <c r="H7317" s="64" t="str"/>
      <c r="I7317" s="65" t="str"/>
      <c r="J7317" s="49" t="str"/>
      <c r="K7317" s="41" t="str"/>
      <c r="L7317" s="41" t="str"/>
      <c r="M7317" s="41" t="str"/>
      <c r="N7317" s="41" t="str"/>
      <c r="O7317" s="41" t="str"/>
      <c r="P7317" s="41" t="str"/>
      <c r="Q7317" s="41" t="str"/>
      <c r="R7317" s="41" t="str"/>
      <c r="S7317" s="41" t="str"/>
      <c r="T7317" s="41" t="str"/>
      <c r="U7317" s="41" t="str"/>
      <c r="V7317" s="41" t="str"/>
      <c r="W7317" s="41" t="str"/>
    </row>
    <row r="7318">
      <c r="B7318" s="2" t="n"/>
      <c r="C7318" s="40" t="n"/>
      <c r="D7318" s="52">
        <f t="array" ref="D7318:W7318">IF(All_Students_Scores!C7316:V7316="","",All_Students_Scores!C7316:V7316)</f>
        <v/>
      </c>
      <c r="E7318" s="57" t="str"/>
      <c r="F7318" s="49" t="str"/>
      <c r="G7318" s="59" t="str"/>
      <c r="H7318" s="64" t="str"/>
      <c r="I7318" s="65" t="str"/>
      <c r="J7318" s="49" t="str"/>
      <c r="K7318" s="41" t="str"/>
      <c r="L7318" s="41" t="str"/>
      <c r="M7318" s="41" t="str"/>
      <c r="N7318" s="41" t="str"/>
      <c r="O7318" s="41" t="str"/>
      <c r="P7318" s="41" t="str"/>
      <c r="Q7318" s="41" t="str"/>
      <c r="R7318" s="41" t="str"/>
      <c r="S7318" s="41" t="str"/>
      <c r="T7318" s="41" t="str"/>
      <c r="U7318" s="41" t="str"/>
      <c r="V7318" s="41" t="str"/>
      <c r="W7318" s="41" t="str"/>
    </row>
    <row r="7319">
      <c r="B7319" s="2" t="n"/>
      <c r="C7319" s="40" t="n"/>
      <c r="D7319" s="52">
        <f t="array" ref="D7319:W7319">IF(All_Students_Scores!C7317:V7317="","",All_Students_Scores!C7317:V7317)</f>
        <v/>
      </c>
      <c r="E7319" s="57" t="str"/>
      <c r="F7319" s="49" t="str"/>
      <c r="G7319" s="59" t="str"/>
      <c r="H7319" s="64" t="str"/>
      <c r="I7319" s="65" t="str"/>
      <c r="J7319" s="49" t="str"/>
      <c r="K7319" s="41" t="str"/>
      <c r="L7319" s="41" t="str"/>
      <c r="M7319" s="41" t="str"/>
      <c r="N7319" s="41" t="str"/>
      <c r="O7319" s="41" t="str"/>
      <c r="P7319" s="41" t="str"/>
      <c r="Q7319" s="41" t="str"/>
      <c r="R7319" s="41" t="str"/>
      <c r="S7319" s="41" t="str"/>
      <c r="T7319" s="41" t="str"/>
      <c r="U7319" s="41" t="str"/>
      <c r="V7319" s="41" t="str"/>
      <c r="W7319" s="41" t="str"/>
    </row>
    <row r="7320">
      <c r="B7320" s="2" t="n"/>
      <c r="C7320" s="40" t="n"/>
      <c r="D7320" s="52">
        <f t="array" ref="D7320:W7320">IF(All_Students_Scores!C7318:V7318="","",All_Students_Scores!C7318:V7318)</f>
        <v/>
      </c>
      <c r="E7320" s="57" t="str"/>
      <c r="F7320" s="49" t="str"/>
      <c r="G7320" s="59" t="str"/>
      <c r="H7320" s="64" t="str"/>
      <c r="I7320" s="65" t="str"/>
      <c r="J7320" s="49" t="str"/>
      <c r="K7320" s="41" t="str"/>
      <c r="L7320" s="41" t="str"/>
      <c r="M7320" s="41" t="str"/>
      <c r="N7320" s="41" t="str"/>
      <c r="O7320" s="41" t="str"/>
      <c r="P7320" s="41" t="str"/>
      <c r="Q7320" s="41" t="str"/>
      <c r="R7320" s="41" t="str"/>
      <c r="S7320" s="41" t="str"/>
      <c r="T7320" s="41" t="str"/>
      <c r="U7320" s="41" t="str"/>
      <c r="V7320" s="41" t="str"/>
      <c r="W7320" s="41" t="str"/>
    </row>
    <row r="7321">
      <c r="B7321" s="2" t="n"/>
      <c r="C7321" s="40" t="n"/>
      <c r="D7321" s="52">
        <f t="array" ref="D7321:W7321">IF(All_Students_Scores!C7319:V7319="","",All_Students_Scores!C7319:V7319)</f>
        <v/>
      </c>
      <c r="E7321" s="57" t="str"/>
      <c r="F7321" s="49" t="str"/>
      <c r="G7321" s="59" t="str"/>
      <c r="H7321" s="64" t="str"/>
      <c r="I7321" s="65" t="str"/>
      <c r="J7321" s="49" t="str"/>
      <c r="K7321" s="41" t="str"/>
      <c r="L7321" s="41" t="str"/>
      <c r="M7321" s="41" t="str"/>
      <c r="N7321" s="41" t="str"/>
      <c r="O7321" s="41" t="str"/>
      <c r="P7321" s="41" t="str"/>
      <c r="Q7321" s="41" t="str"/>
      <c r="R7321" s="41" t="str"/>
      <c r="S7321" s="41" t="str"/>
      <c r="T7321" s="41" t="str"/>
      <c r="U7321" s="41" t="str"/>
      <c r="V7321" s="41" t="str"/>
      <c r="W7321" s="41" t="str"/>
    </row>
    <row r="7322">
      <c r="B7322" s="2" t="n"/>
      <c r="C7322" s="40" t="n"/>
      <c r="D7322" s="52">
        <f t="array" ref="D7322:W7322">IF(All_Students_Scores!C7320:V7320="","",All_Students_Scores!C7320:V7320)</f>
        <v/>
      </c>
      <c r="E7322" s="57" t="str"/>
      <c r="F7322" s="49" t="str"/>
      <c r="G7322" s="59" t="str"/>
      <c r="H7322" s="64" t="str"/>
      <c r="I7322" s="65" t="str"/>
      <c r="J7322" s="49" t="str"/>
      <c r="K7322" s="41" t="str"/>
      <c r="L7322" s="41" t="str"/>
      <c r="M7322" s="41" t="str"/>
      <c r="N7322" s="41" t="str"/>
      <c r="O7322" s="41" t="str"/>
      <c r="P7322" s="41" t="str"/>
      <c r="Q7322" s="41" t="str"/>
      <c r="R7322" s="41" t="str"/>
      <c r="S7322" s="41" t="str"/>
      <c r="T7322" s="41" t="str"/>
      <c r="U7322" s="41" t="str"/>
      <c r="V7322" s="41" t="str"/>
      <c r="W7322" s="41" t="str"/>
    </row>
    <row r="7323">
      <c r="B7323" s="2" t="n"/>
      <c r="C7323" s="40" t="n"/>
      <c r="D7323" s="52">
        <f t="array" ref="D7323:W7323">IF(All_Students_Scores!C7321:V7321="","",All_Students_Scores!C7321:V7321)</f>
        <v/>
      </c>
      <c r="E7323" s="57" t="str"/>
      <c r="F7323" s="49" t="str"/>
      <c r="G7323" s="59" t="str"/>
      <c r="H7323" s="64" t="str"/>
      <c r="I7323" s="65" t="str"/>
      <c r="J7323" s="49" t="str"/>
      <c r="K7323" s="41" t="str"/>
      <c r="L7323" s="41" t="str"/>
      <c r="M7323" s="41" t="str"/>
      <c r="N7323" s="41" t="str"/>
      <c r="O7323" s="41" t="str"/>
      <c r="P7323" s="41" t="str"/>
      <c r="Q7323" s="41" t="str"/>
      <c r="R7323" s="41" t="str"/>
      <c r="S7323" s="41" t="str"/>
      <c r="T7323" s="41" t="str"/>
      <c r="U7323" s="41" t="str"/>
      <c r="V7323" s="41" t="str"/>
      <c r="W7323" s="41" t="str"/>
    </row>
    <row r="7324">
      <c r="B7324" s="2" t="n"/>
      <c r="C7324" s="40" t="n"/>
      <c r="D7324" s="52">
        <f t="array" ref="D7324:W7324">IF(All_Students_Scores!C7322:V7322="","",All_Students_Scores!C7322:V7322)</f>
        <v/>
      </c>
      <c r="E7324" s="57" t="str"/>
      <c r="F7324" s="49" t="str"/>
      <c r="G7324" s="59" t="str"/>
      <c r="H7324" s="64" t="str"/>
      <c r="I7324" s="65" t="str"/>
      <c r="J7324" s="49" t="str"/>
      <c r="K7324" s="41" t="str"/>
      <c r="L7324" s="41" t="str"/>
      <c r="M7324" s="41" t="str"/>
      <c r="N7324" s="41" t="str"/>
      <c r="O7324" s="41" t="str"/>
      <c r="P7324" s="41" t="str"/>
      <c r="Q7324" s="41" t="str"/>
      <c r="R7324" s="41" t="str"/>
      <c r="S7324" s="41" t="str"/>
      <c r="T7324" s="41" t="str"/>
      <c r="U7324" s="41" t="str"/>
      <c r="V7324" s="41" t="str"/>
      <c r="W7324" s="41" t="str"/>
    </row>
    <row r="7325">
      <c r="B7325" s="2" t="n"/>
      <c r="C7325" s="40" t="n"/>
      <c r="D7325" s="52">
        <f t="array" ref="D7325:W7325">IF(All_Students_Scores!C7323:V7323="","",All_Students_Scores!C7323:V7323)</f>
        <v/>
      </c>
      <c r="E7325" s="57" t="str"/>
      <c r="F7325" s="49" t="str"/>
      <c r="G7325" s="59" t="str"/>
      <c r="H7325" s="64" t="str"/>
      <c r="I7325" s="65" t="str"/>
      <c r="J7325" s="49" t="str"/>
      <c r="K7325" s="41" t="str"/>
      <c r="L7325" s="41" t="str"/>
      <c r="M7325" s="41" t="str"/>
      <c r="N7325" s="41" t="str"/>
      <c r="O7325" s="41" t="str"/>
      <c r="P7325" s="41" t="str"/>
      <c r="Q7325" s="41" t="str"/>
      <c r="R7325" s="41" t="str"/>
      <c r="S7325" s="41" t="str"/>
      <c r="T7325" s="41" t="str"/>
      <c r="U7325" s="41" t="str"/>
      <c r="V7325" s="41" t="str"/>
      <c r="W7325" s="41" t="str"/>
    </row>
    <row r="7326">
      <c r="B7326" s="2" t="n"/>
      <c r="C7326" s="40" t="n"/>
      <c r="D7326" s="52">
        <f t="array" ref="D7326:W7326">IF(All_Students_Scores!C7324:V7324="","",All_Students_Scores!C7324:V7324)</f>
        <v/>
      </c>
      <c r="E7326" s="57" t="str"/>
      <c r="F7326" s="49" t="str"/>
      <c r="G7326" s="59" t="str"/>
      <c r="H7326" s="64" t="str"/>
      <c r="I7326" s="65" t="str"/>
      <c r="J7326" s="49" t="str"/>
      <c r="K7326" s="41" t="str"/>
      <c r="L7326" s="41" t="str"/>
      <c r="M7326" s="41" t="str"/>
      <c r="N7326" s="41" t="str"/>
      <c r="O7326" s="41" t="str"/>
      <c r="P7326" s="41" t="str"/>
      <c r="Q7326" s="41" t="str"/>
      <c r="R7326" s="41" t="str"/>
      <c r="S7326" s="41" t="str"/>
      <c r="T7326" s="41" t="str"/>
      <c r="U7326" s="41" t="str"/>
      <c r="V7326" s="41" t="str"/>
      <c r="W7326" s="41" t="str"/>
    </row>
    <row r="7327">
      <c r="B7327" s="2" t="n"/>
      <c r="C7327" s="40" t="n"/>
      <c r="D7327" s="52">
        <f t="array" ref="D7327:W7327">IF(All_Students_Scores!C7325:V7325="","",All_Students_Scores!C7325:V7325)</f>
        <v/>
      </c>
      <c r="E7327" s="57" t="str"/>
      <c r="F7327" s="49" t="str"/>
      <c r="G7327" s="59" t="str"/>
      <c r="H7327" s="64" t="str"/>
      <c r="I7327" s="65" t="str"/>
      <c r="J7327" s="49" t="str"/>
      <c r="K7327" s="41" t="str"/>
      <c r="L7327" s="41" t="str"/>
      <c r="M7327" s="41" t="str"/>
      <c r="N7327" s="41" t="str"/>
      <c r="O7327" s="41" t="str"/>
      <c r="P7327" s="41" t="str"/>
      <c r="Q7327" s="41" t="str"/>
      <c r="R7327" s="41" t="str"/>
      <c r="S7327" s="41" t="str"/>
      <c r="T7327" s="41" t="str"/>
      <c r="U7327" s="41" t="str"/>
      <c r="V7327" s="41" t="str"/>
      <c r="W7327" s="41" t="str"/>
    </row>
    <row r="7328">
      <c r="B7328" s="2" t="n"/>
      <c r="C7328" s="40" t="n"/>
      <c r="D7328" s="52">
        <f t="array" ref="D7328:W7328">IF(All_Students_Scores!C7326:V7326="","",All_Students_Scores!C7326:V7326)</f>
        <v/>
      </c>
      <c r="E7328" s="57" t="str"/>
      <c r="F7328" s="49" t="str"/>
      <c r="G7328" s="59" t="str"/>
      <c r="H7328" s="64" t="str"/>
      <c r="I7328" s="65" t="str"/>
      <c r="J7328" s="49" t="str"/>
      <c r="K7328" s="41" t="str"/>
      <c r="L7328" s="41" t="str"/>
      <c r="M7328" s="41" t="str"/>
      <c r="N7328" s="41" t="str"/>
      <c r="O7328" s="41" t="str"/>
      <c r="P7328" s="41" t="str"/>
      <c r="Q7328" s="41" t="str"/>
      <c r="R7328" s="41" t="str"/>
      <c r="S7328" s="41" t="str"/>
      <c r="T7328" s="41" t="str"/>
      <c r="U7328" s="41" t="str"/>
      <c r="V7328" s="41" t="str"/>
      <c r="W7328" s="41" t="str"/>
    </row>
    <row r="7329">
      <c r="B7329" s="2" t="n"/>
      <c r="C7329" s="40" t="n"/>
      <c r="D7329" s="52">
        <f t="array" ref="D7329:W7329">IF(All_Students_Scores!C7327:V7327="","",All_Students_Scores!C7327:V7327)</f>
        <v/>
      </c>
      <c r="E7329" s="57" t="str"/>
      <c r="F7329" s="49" t="str"/>
      <c r="G7329" s="59" t="str"/>
      <c r="H7329" s="64" t="str"/>
      <c r="I7329" s="65" t="str"/>
      <c r="J7329" s="49" t="str"/>
      <c r="K7329" s="41" t="str"/>
      <c r="L7329" s="41" t="str"/>
      <c r="M7329" s="41" t="str"/>
      <c r="N7329" s="41" t="str"/>
      <c r="O7329" s="41" t="str"/>
      <c r="P7329" s="41" t="str"/>
      <c r="Q7329" s="41" t="str"/>
      <c r="R7329" s="41" t="str"/>
      <c r="S7329" s="41" t="str"/>
      <c r="T7329" s="41" t="str"/>
      <c r="U7329" s="41" t="str"/>
      <c r="V7329" s="41" t="str"/>
      <c r="W7329" s="41" t="str"/>
    </row>
    <row r="7330">
      <c r="B7330" s="2" t="n"/>
      <c r="C7330" s="40" t="n"/>
      <c r="D7330" s="52">
        <f t="array" ref="D7330:W7330">IF(All_Students_Scores!C7328:V7328="","",All_Students_Scores!C7328:V7328)</f>
        <v/>
      </c>
      <c r="E7330" s="57" t="str"/>
      <c r="F7330" s="49" t="str"/>
      <c r="G7330" s="59" t="str"/>
      <c r="H7330" s="64" t="str"/>
      <c r="I7330" s="65" t="str"/>
      <c r="J7330" s="49" t="str"/>
      <c r="K7330" s="41" t="str"/>
      <c r="L7330" s="41" t="str"/>
      <c r="M7330" s="41" t="str"/>
      <c r="N7330" s="41" t="str"/>
      <c r="O7330" s="41" t="str"/>
      <c r="P7330" s="41" t="str"/>
      <c r="Q7330" s="41" t="str"/>
      <c r="R7330" s="41" t="str"/>
      <c r="S7330" s="41" t="str"/>
      <c r="T7330" s="41" t="str"/>
      <c r="U7330" s="41" t="str"/>
      <c r="V7330" s="41" t="str"/>
      <c r="W7330" s="41" t="str"/>
    </row>
    <row r="7331">
      <c r="B7331" s="2" t="n"/>
      <c r="C7331" s="40" t="n"/>
      <c r="D7331" s="52">
        <f t="array" ref="D7331:W7331">IF(All_Students_Scores!C7329:V7329="","",All_Students_Scores!C7329:V7329)</f>
        <v/>
      </c>
      <c r="E7331" s="57" t="str"/>
      <c r="F7331" s="49" t="str"/>
      <c r="G7331" s="59" t="str"/>
      <c r="H7331" s="64" t="str"/>
      <c r="I7331" s="65" t="str"/>
      <c r="J7331" s="49" t="str"/>
      <c r="K7331" s="41" t="str"/>
      <c r="L7331" s="41" t="str"/>
      <c r="M7331" s="41" t="str"/>
      <c r="N7331" s="41" t="str"/>
      <c r="O7331" s="41" t="str"/>
      <c r="P7331" s="41" t="str"/>
      <c r="Q7331" s="41" t="str"/>
      <c r="R7331" s="41" t="str"/>
      <c r="S7331" s="41" t="str"/>
      <c r="T7331" s="41" t="str"/>
      <c r="U7331" s="41" t="str"/>
      <c r="V7331" s="41" t="str"/>
      <c r="W7331" s="41" t="str"/>
    </row>
    <row r="7332">
      <c r="B7332" s="2" t="n"/>
      <c r="C7332" s="40" t="n"/>
      <c r="D7332" s="52">
        <f t="array" ref="D7332:W7332">IF(All_Students_Scores!C7330:V7330="","",All_Students_Scores!C7330:V7330)</f>
        <v/>
      </c>
      <c r="E7332" s="57" t="str"/>
      <c r="F7332" s="49" t="str"/>
      <c r="G7332" s="59" t="str"/>
      <c r="H7332" s="64" t="str"/>
      <c r="I7332" s="65" t="str"/>
      <c r="J7332" s="49" t="str"/>
      <c r="K7332" s="41" t="str"/>
      <c r="L7332" s="41" t="str"/>
      <c r="M7332" s="41" t="str"/>
      <c r="N7332" s="41" t="str"/>
      <c r="O7332" s="41" t="str"/>
      <c r="P7332" s="41" t="str"/>
      <c r="Q7332" s="41" t="str"/>
      <c r="R7332" s="41" t="str"/>
      <c r="S7332" s="41" t="str"/>
      <c r="T7332" s="41" t="str"/>
      <c r="U7332" s="41" t="str"/>
      <c r="V7332" s="41" t="str"/>
      <c r="W7332" s="41" t="str"/>
    </row>
    <row r="7333">
      <c r="B7333" s="2" t="n"/>
      <c r="C7333" s="40" t="n"/>
      <c r="D7333" s="52">
        <f t="array" ref="D7333:W7333">IF(All_Students_Scores!C7331:V7331="","",All_Students_Scores!C7331:V7331)</f>
        <v/>
      </c>
      <c r="E7333" s="57" t="str"/>
      <c r="F7333" s="49" t="str"/>
      <c r="G7333" s="59" t="str"/>
      <c r="H7333" s="64" t="str"/>
      <c r="I7333" s="65" t="str"/>
      <c r="J7333" s="49" t="str"/>
      <c r="K7333" s="41" t="str"/>
      <c r="L7333" s="41" t="str"/>
      <c r="M7333" s="41" t="str"/>
      <c r="N7333" s="41" t="str"/>
      <c r="O7333" s="41" t="str"/>
      <c r="P7333" s="41" t="str"/>
      <c r="Q7333" s="41" t="str"/>
      <c r="R7333" s="41" t="str"/>
      <c r="S7333" s="41" t="str"/>
      <c r="T7333" s="41" t="str"/>
      <c r="U7333" s="41" t="str"/>
      <c r="V7333" s="41" t="str"/>
      <c r="W7333" s="41" t="str"/>
    </row>
    <row r="7334">
      <c r="B7334" s="2" t="n"/>
      <c r="C7334" s="40" t="n"/>
      <c r="D7334" s="52">
        <f t="array" ref="D7334:W7334">IF(All_Students_Scores!C7332:V7332="","",All_Students_Scores!C7332:V7332)</f>
        <v/>
      </c>
      <c r="E7334" s="57" t="str"/>
      <c r="F7334" s="49" t="str"/>
      <c r="G7334" s="59" t="str"/>
      <c r="H7334" s="64" t="str"/>
      <c r="I7334" s="65" t="str"/>
      <c r="J7334" s="49" t="str"/>
      <c r="K7334" s="41" t="str"/>
      <c r="L7334" s="41" t="str"/>
      <c r="M7334" s="41" t="str"/>
      <c r="N7334" s="41" t="str"/>
      <c r="O7334" s="41" t="str"/>
      <c r="P7334" s="41" t="str"/>
      <c r="Q7334" s="41" t="str"/>
      <c r="R7334" s="41" t="str"/>
      <c r="S7334" s="41" t="str"/>
      <c r="T7334" s="41" t="str"/>
      <c r="U7334" s="41" t="str"/>
      <c r="V7334" s="41" t="str"/>
      <c r="W7334" s="41" t="str"/>
    </row>
    <row r="7335">
      <c r="B7335" s="2" t="n"/>
      <c r="C7335" s="40" t="n"/>
      <c r="D7335" s="52">
        <f t="array" ref="D7335:W7335">IF(All_Students_Scores!C7333:V7333="","",All_Students_Scores!C7333:V7333)</f>
        <v/>
      </c>
      <c r="E7335" s="57" t="str"/>
      <c r="F7335" s="49" t="str"/>
      <c r="G7335" s="59" t="str"/>
      <c r="H7335" s="64" t="str"/>
      <c r="I7335" s="65" t="str"/>
      <c r="J7335" s="49" t="str"/>
      <c r="K7335" s="41" t="str"/>
      <c r="L7335" s="41" t="str"/>
      <c r="M7335" s="41" t="str"/>
      <c r="N7335" s="41" t="str"/>
      <c r="O7335" s="41" t="str"/>
      <c r="P7335" s="41" t="str"/>
      <c r="Q7335" s="41" t="str"/>
      <c r="R7335" s="41" t="str"/>
      <c r="S7335" s="41" t="str"/>
      <c r="T7335" s="41" t="str"/>
      <c r="U7335" s="41" t="str"/>
      <c r="V7335" s="41" t="str"/>
      <c r="W7335" s="41" t="str"/>
    </row>
    <row r="7336">
      <c r="B7336" s="2" t="n"/>
      <c r="C7336" s="40" t="n"/>
      <c r="D7336" s="52">
        <f t="array" ref="D7336:W7336">IF(All_Students_Scores!C7334:V7334="","",All_Students_Scores!C7334:V7334)</f>
        <v/>
      </c>
      <c r="E7336" s="57" t="str"/>
      <c r="F7336" s="49" t="str"/>
      <c r="G7336" s="59" t="str"/>
      <c r="H7336" s="64" t="str"/>
      <c r="I7336" s="65" t="str"/>
      <c r="J7336" s="49" t="str"/>
      <c r="K7336" s="41" t="str"/>
      <c r="L7336" s="41" t="str"/>
      <c r="M7336" s="41" t="str"/>
      <c r="N7336" s="41" t="str"/>
      <c r="O7336" s="41" t="str"/>
      <c r="P7336" s="41" t="str"/>
      <c r="Q7336" s="41" t="str"/>
      <c r="R7336" s="41" t="str"/>
      <c r="S7336" s="41" t="str"/>
      <c r="T7336" s="41" t="str"/>
      <c r="U7336" s="41" t="str"/>
      <c r="V7336" s="41" t="str"/>
      <c r="W7336" s="41" t="str"/>
    </row>
    <row r="7337">
      <c r="B7337" s="2" t="n"/>
      <c r="C7337" s="40" t="n"/>
      <c r="D7337" s="52">
        <f t="array" ref="D7337:W7337">IF(All_Students_Scores!C7335:V7335="","",All_Students_Scores!C7335:V7335)</f>
        <v/>
      </c>
      <c r="E7337" s="57" t="str"/>
      <c r="F7337" s="49" t="str"/>
      <c r="G7337" s="59" t="str"/>
      <c r="H7337" s="64" t="str"/>
      <c r="I7337" s="65" t="str"/>
      <c r="J7337" s="49" t="str"/>
      <c r="K7337" s="41" t="str"/>
      <c r="L7337" s="41" t="str"/>
      <c r="M7337" s="41" t="str"/>
      <c r="N7337" s="41" t="str"/>
      <c r="O7337" s="41" t="str"/>
      <c r="P7337" s="41" t="str"/>
      <c r="Q7337" s="41" t="str"/>
      <c r="R7337" s="41" t="str"/>
      <c r="S7337" s="41" t="str"/>
      <c r="T7337" s="41" t="str"/>
      <c r="U7337" s="41" t="str"/>
      <c r="V7337" s="41" t="str"/>
      <c r="W7337" s="41" t="str"/>
    </row>
    <row r="7338">
      <c r="B7338" s="2" t="n"/>
      <c r="C7338" s="40" t="n"/>
      <c r="D7338" s="52">
        <f t="array" ref="D7338:W7338">IF(All_Students_Scores!C7336:V7336="","",All_Students_Scores!C7336:V7336)</f>
        <v/>
      </c>
      <c r="E7338" s="57" t="str"/>
      <c r="F7338" s="49" t="str"/>
      <c r="G7338" s="59" t="str"/>
      <c r="H7338" s="64" t="str"/>
      <c r="I7338" s="65" t="str"/>
      <c r="J7338" s="49" t="str"/>
      <c r="K7338" s="41" t="str"/>
      <c r="L7338" s="41" t="str"/>
      <c r="M7338" s="41" t="str"/>
      <c r="N7338" s="41" t="str"/>
      <c r="O7338" s="41" t="str"/>
      <c r="P7338" s="41" t="str"/>
      <c r="Q7338" s="41" t="str"/>
      <c r="R7338" s="41" t="str"/>
      <c r="S7338" s="41" t="str"/>
      <c r="T7338" s="41" t="str"/>
      <c r="U7338" s="41" t="str"/>
      <c r="V7338" s="41" t="str"/>
      <c r="W7338" s="41" t="str"/>
    </row>
    <row r="7339">
      <c r="B7339" s="2" t="n"/>
      <c r="C7339" s="40" t="n"/>
      <c r="D7339" s="52">
        <f t="array" ref="D7339:W7339">IF(All_Students_Scores!C7337:V7337="","",All_Students_Scores!C7337:V7337)</f>
        <v/>
      </c>
      <c r="E7339" s="57" t="str"/>
      <c r="F7339" s="49" t="str"/>
      <c r="G7339" s="59" t="str"/>
      <c r="H7339" s="64" t="str"/>
      <c r="I7339" s="65" t="str"/>
      <c r="J7339" s="49" t="str"/>
      <c r="K7339" s="41" t="str"/>
      <c r="L7339" s="41" t="str"/>
      <c r="M7339" s="41" t="str"/>
      <c r="N7339" s="41" t="str"/>
      <c r="O7339" s="41" t="str"/>
      <c r="P7339" s="41" t="str"/>
      <c r="Q7339" s="41" t="str"/>
      <c r="R7339" s="41" t="str"/>
      <c r="S7339" s="41" t="str"/>
      <c r="T7339" s="41" t="str"/>
      <c r="U7339" s="41" t="str"/>
      <c r="V7339" s="41" t="str"/>
      <c r="W7339" s="41" t="str"/>
    </row>
    <row r="7340">
      <c r="B7340" s="2" t="n"/>
      <c r="C7340" s="40" t="n"/>
      <c r="D7340" s="52">
        <f t="array" ref="D7340:W7340">IF(All_Students_Scores!C7338:V7338="","",All_Students_Scores!C7338:V7338)</f>
        <v/>
      </c>
      <c r="E7340" s="57" t="str"/>
      <c r="F7340" s="49" t="str"/>
      <c r="G7340" s="59" t="str"/>
      <c r="H7340" s="64" t="str"/>
      <c r="I7340" s="65" t="str"/>
      <c r="J7340" s="49" t="str"/>
      <c r="K7340" s="41" t="str"/>
      <c r="L7340" s="41" t="str"/>
      <c r="M7340" s="41" t="str"/>
      <c r="N7340" s="41" t="str"/>
      <c r="O7340" s="41" t="str"/>
      <c r="P7340" s="41" t="str"/>
      <c r="Q7340" s="41" t="str"/>
      <c r="R7340" s="41" t="str"/>
      <c r="S7340" s="41" t="str"/>
      <c r="T7340" s="41" t="str"/>
      <c r="U7340" s="41" t="str"/>
      <c r="V7340" s="41" t="str"/>
      <c r="W7340" s="41" t="str"/>
    </row>
    <row r="7341">
      <c r="B7341" s="2" t="n"/>
      <c r="C7341" s="40" t="n"/>
      <c r="D7341" s="52">
        <f t="array" ref="D7341:W7341">IF(All_Students_Scores!C7339:V7339="","",All_Students_Scores!C7339:V7339)</f>
        <v/>
      </c>
      <c r="E7341" s="57" t="str"/>
      <c r="F7341" s="49" t="str"/>
      <c r="G7341" s="59" t="str"/>
      <c r="H7341" s="64" t="str"/>
      <c r="I7341" s="65" t="str"/>
      <c r="J7341" s="49" t="str"/>
      <c r="K7341" s="41" t="str"/>
      <c r="L7341" s="41" t="str"/>
      <c r="M7341" s="41" t="str"/>
      <c r="N7341" s="41" t="str"/>
      <c r="O7341" s="41" t="str"/>
      <c r="P7341" s="41" t="str"/>
      <c r="Q7341" s="41" t="str"/>
      <c r="R7341" s="41" t="str"/>
      <c r="S7341" s="41" t="str"/>
      <c r="T7341" s="41" t="str"/>
      <c r="U7341" s="41" t="str"/>
      <c r="V7341" s="41" t="str"/>
      <c r="W7341" s="41" t="str"/>
    </row>
    <row r="7342">
      <c r="B7342" s="2" t="n"/>
      <c r="C7342" s="40" t="n"/>
      <c r="D7342" s="52">
        <f t="array" ref="D7342:W7342">IF(All_Students_Scores!C7340:V7340="","",All_Students_Scores!C7340:V7340)</f>
        <v/>
      </c>
      <c r="E7342" s="57" t="str"/>
      <c r="F7342" s="49" t="str"/>
      <c r="G7342" s="59" t="str"/>
      <c r="H7342" s="64" t="str"/>
      <c r="I7342" s="65" t="str"/>
      <c r="J7342" s="49" t="str"/>
      <c r="K7342" s="41" t="str"/>
      <c r="L7342" s="41" t="str"/>
      <c r="M7342" s="41" t="str"/>
      <c r="N7342" s="41" t="str"/>
      <c r="O7342" s="41" t="str"/>
      <c r="P7342" s="41" t="str"/>
      <c r="Q7342" s="41" t="str"/>
      <c r="R7342" s="41" t="str"/>
      <c r="S7342" s="41" t="str"/>
      <c r="T7342" s="41" t="str"/>
      <c r="U7342" s="41" t="str"/>
      <c r="V7342" s="41" t="str"/>
      <c r="W7342" s="41" t="str"/>
    </row>
    <row r="7343">
      <c r="B7343" s="2" t="n"/>
      <c r="C7343" s="40" t="n"/>
      <c r="D7343" s="52">
        <f t="array" ref="D7343:W7343">IF(All_Students_Scores!C7341:V7341="","",All_Students_Scores!C7341:V7341)</f>
        <v/>
      </c>
      <c r="E7343" s="57" t="str"/>
      <c r="F7343" s="49" t="str"/>
      <c r="G7343" s="59" t="str"/>
      <c r="H7343" s="64" t="str"/>
      <c r="I7343" s="65" t="str"/>
      <c r="J7343" s="49" t="str"/>
      <c r="K7343" s="41" t="str"/>
      <c r="L7343" s="41" t="str"/>
      <c r="M7343" s="41" t="str"/>
      <c r="N7343" s="41" t="str"/>
      <c r="O7343" s="41" t="str"/>
      <c r="P7343" s="41" t="str"/>
      <c r="Q7343" s="41" t="str"/>
      <c r="R7343" s="41" t="str"/>
      <c r="S7343" s="41" t="str"/>
      <c r="T7343" s="41" t="str"/>
      <c r="U7343" s="41" t="str"/>
      <c r="V7343" s="41" t="str"/>
      <c r="W7343" s="41" t="str"/>
    </row>
    <row r="7344">
      <c r="B7344" s="2" t="n"/>
      <c r="C7344" s="40" t="n"/>
      <c r="D7344" s="52">
        <f t="array" ref="D7344:W7344">IF(All_Students_Scores!C7342:V7342="","",All_Students_Scores!C7342:V7342)</f>
        <v/>
      </c>
      <c r="E7344" s="57" t="str"/>
      <c r="F7344" s="49" t="str"/>
      <c r="G7344" s="59" t="str"/>
      <c r="H7344" s="64" t="str"/>
      <c r="I7344" s="65" t="str"/>
      <c r="J7344" s="49" t="str"/>
      <c r="K7344" s="41" t="str"/>
      <c r="L7344" s="41" t="str"/>
      <c r="M7344" s="41" t="str"/>
      <c r="N7344" s="41" t="str"/>
      <c r="O7344" s="41" t="str"/>
      <c r="P7344" s="41" t="str"/>
      <c r="Q7344" s="41" t="str"/>
      <c r="R7344" s="41" t="str"/>
      <c r="S7344" s="41" t="str"/>
      <c r="T7344" s="41" t="str"/>
      <c r="U7344" s="41" t="str"/>
      <c r="V7344" s="41" t="str"/>
      <c r="W7344" s="41" t="str"/>
    </row>
    <row r="7345">
      <c r="B7345" s="2" t="n"/>
      <c r="C7345" s="40" t="n"/>
      <c r="D7345" s="52">
        <f t="array" ref="D7345:W7345">IF(All_Students_Scores!C7343:V7343="","",All_Students_Scores!C7343:V7343)</f>
        <v/>
      </c>
      <c r="E7345" s="57" t="str"/>
      <c r="F7345" s="49" t="str"/>
      <c r="G7345" s="59" t="str"/>
      <c r="H7345" s="64" t="str"/>
      <c r="I7345" s="65" t="str"/>
      <c r="J7345" s="49" t="str"/>
      <c r="K7345" s="41" t="str"/>
      <c r="L7345" s="41" t="str"/>
      <c r="M7345" s="41" t="str"/>
      <c r="N7345" s="41" t="str"/>
      <c r="O7345" s="41" t="str"/>
      <c r="P7345" s="41" t="str"/>
      <c r="Q7345" s="41" t="str"/>
      <c r="R7345" s="41" t="str"/>
      <c r="S7345" s="41" t="str"/>
      <c r="T7345" s="41" t="str"/>
      <c r="U7345" s="41" t="str"/>
      <c r="V7345" s="41" t="str"/>
      <c r="W7345" s="41" t="str"/>
    </row>
    <row r="7346">
      <c r="B7346" s="2" t="n"/>
      <c r="C7346" s="40" t="n"/>
      <c r="D7346" s="52">
        <f t="array" ref="D7346:W7346">IF(All_Students_Scores!C7344:V7344="","",All_Students_Scores!C7344:V7344)</f>
        <v/>
      </c>
      <c r="E7346" s="57" t="str"/>
      <c r="F7346" s="49" t="str"/>
      <c r="G7346" s="59" t="str"/>
      <c r="H7346" s="64" t="str"/>
      <c r="I7346" s="65" t="str"/>
      <c r="J7346" s="49" t="str"/>
      <c r="K7346" s="41" t="str"/>
      <c r="L7346" s="41" t="str"/>
      <c r="M7346" s="41" t="str"/>
      <c r="N7346" s="41" t="str"/>
      <c r="O7346" s="41" t="str"/>
      <c r="P7346" s="41" t="str"/>
      <c r="Q7346" s="41" t="str"/>
      <c r="R7346" s="41" t="str"/>
      <c r="S7346" s="41" t="str"/>
      <c r="T7346" s="41" t="str"/>
      <c r="U7346" s="41" t="str"/>
      <c r="V7346" s="41" t="str"/>
      <c r="W7346" s="41" t="str"/>
    </row>
    <row r="7347">
      <c r="B7347" s="2" t="n"/>
      <c r="C7347" s="40" t="n"/>
      <c r="D7347" s="52">
        <f t="array" ref="D7347:W7347">IF(All_Students_Scores!C7345:V7345="","",All_Students_Scores!C7345:V7345)</f>
        <v/>
      </c>
      <c r="E7347" s="57" t="str"/>
      <c r="F7347" s="49" t="str"/>
      <c r="G7347" s="59" t="str"/>
      <c r="H7347" s="64" t="str"/>
      <c r="I7347" s="65" t="str"/>
      <c r="J7347" s="49" t="str"/>
      <c r="K7347" s="41" t="str"/>
      <c r="L7347" s="41" t="str"/>
      <c r="M7347" s="41" t="str"/>
      <c r="N7347" s="41" t="str"/>
      <c r="O7347" s="41" t="str"/>
      <c r="P7347" s="41" t="str"/>
      <c r="Q7347" s="41" t="str"/>
      <c r="R7347" s="41" t="str"/>
      <c r="S7347" s="41" t="str"/>
      <c r="T7347" s="41" t="str"/>
      <c r="U7347" s="41" t="str"/>
      <c r="V7347" s="41" t="str"/>
      <c r="W7347" s="41" t="str"/>
    </row>
    <row r="7348">
      <c r="B7348" s="2" t="n"/>
      <c r="C7348" s="40" t="n"/>
      <c r="D7348" s="52">
        <f t="array" ref="D7348:W7348">IF(All_Students_Scores!C7346:V7346="","",All_Students_Scores!C7346:V7346)</f>
        <v/>
      </c>
      <c r="E7348" s="57" t="str"/>
      <c r="F7348" s="49" t="str"/>
      <c r="G7348" s="59" t="str"/>
      <c r="H7348" s="64" t="str"/>
      <c r="I7348" s="65" t="str"/>
      <c r="J7348" s="49" t="str"/>
      <c r="K7348" s="41" t="str"/>
      <c r="L7348" s="41" t="str"/>
      <c r="M7348" s="41" t="str"/>
      <c r="N7348" s="41" t="str"/>
      <c r="O7348" s="41" t="str"/>
      <c r="P7348" s="41" t="str"/>
      <c r="Q7348" s="41" t="str"/>
      <c r="R7348" s="41" t="str"/>
      <c r="S7348" s="41" t="str"/>
      <c r="T7348" s="41" t="str"/>
      <c r="U7348" s="41" t="str"/>
      <c r="V7348" s="41" t="str"/>
      <c r="W7348" s="41" t="str"/>
    </row>
    <row r="7349">
      <c r="B7349" s="2" t="n"/>
      <c r="C7349" s="40" t="n"/>
      <c r="D7349" s="52">
        <f t="array" ref="D7349:W7349">IF(All_Students_Scores!C7347:V7347="","",All_Students_Scores!C7347:V7347)</f>
        <v/>
      </c>
      <c r="E7349" s="57" t="str"/>
      <c r="F7349" s="49" t="str"/>
      <c r="G7349" s="59" t="str"/>
      <c r="H7349" s="64" t="str"/>
      <c r="I7349" s="65" t="str"/>
      <c r="J7349" s="49" t="str"/>
      <c r="K7349" s="41" t="str"/>
      <c r="L7349" s="41" t="str"/>
      <c r="M7349" s="41" t="str"/>
      <c r="N7349" s="41" t="str"/>
      <c r="O7349" s="41" t="str"/>
      <c r="P7349" s="41" t="str"/>
      <c r="Q7349" s="41" t="str"/>
      <c r="R7349" s="41" t="str"/>
      <c r="S7349" s="41" t="str"/>
      <c r="T7349" s="41" t="str"/>
      <c r="U7349" s="41" t="str"/>
      <c r="V7349" s="41" t="str"/>
      <c r="W7349" s="41" t="str"/>
    </row>
    <row r="7350">
      <c r="B7350" s="2" t="n"/>
      <c r="C7350" s="40" t="n"/>
      <c r="D7350" s="52">
        <f t="array" ref="D7350:W7350">IF(All_Students_Scores!C7348:V7348="","",All_Students_Scores!C7348:V7348)</f>
        <v/>
      </c>
      <c r="E7350" s="57" t="str"/>
      <c r="F7350" s="49" t="str"/>
      <c r="G7350" s="59" t="str"/>
      <c r="H7350" s="64" t="str"/>
      <c r="I7350" s="65" t="str"/>
      <c r="J7350" s="49" t="str"/>
      <c r="K7350" s="41" t="str"/>
      <c r="L7350" s="41" t="str"/>
      <c r="M7350" s="41" t="str"/>
      <c r="N7350" s="41" t="str"/>
      <c r="O7350" s="41" t="str"/>
      <c r="P7350" s="41" t="str"/>
      <c r="Q7350" s="41" t="str"/>
      <c r="R7350" s="41" t="str"/>
      <c r="S7350" s="41" t="str"/>
      <c r="T7350" s="41" t="str"/>
      <c r="U7350" s="41" t="str"/>
      <c r="V7350" s="41" t="str"/>
      <c r="W7350" s="41" t="str"/>
    </row>
    <row r="7351">
      <c r="B7351" s="2" t="n"/>
      <c r="C7351" s="40" t="n"/>
      <c r="D7351" s="52">
        <f t="array" ref="D7351:W7351">IF(All_Students_Scores!C7349:V7349="","",All_Students_Scores!C7349:V7349)</f>
        <v/>
      </c>
      <c r="E7351" s="57" t="str"/>
      <c r="F7351" s="49" t="str"/>
      <c r="G7351" s="59" t="str"/>
      <c r="H7351" s="64" t="str"/>
      <c r="I7351" s="65" t="str"/>
      <c r="J7351" s="49" t="str"/>
      <c r="K7351" s="41" t="str"/>
      <c r="L7351" s="41" t="str"/>
      <c r="M7351" s="41" t="str"/>
      <c r="N7351" s="41" t="str"/>
      <c r="O7351" s="41" t="str"/>
      <c r="P7351" s="41" t="str"/>
      <c r="Q7351" s="41" t="str"/>
      <c r="R7351" s="41" t="str"/>
      <c r="S7351" s="41" t="str"/>
      <c r="T7351" s="41" t="str"/>
      <c r="U7351" s="41" t="str"/>
      <c r="V7351" s="41" t="str"/>
      <c r="W7351" s="41" t="str"/>
    </row>
    <row r="7352">
      <c r="B7352" s="2" t="n"/>
      <c r="C7352" s="40" t="n"/>
      <c r="D7352" s="52">
        <f t="array" ref="D7352:W7352">IF(All_Students_Scores!C7350:V7350="","",All_Students_Scores!C7350:V7350)</f>
        <v/>
      </c>
      <c r="E7352" s="57" t="str"/>
      <c r="F7352" s="49" t="str"/>
      <c r="G7352" s="59" t="str"/>
      <c r="H7352" s="64" t="str"/>
      <c r="I7352" s="65" t="str"/>
      <c r="J7352" s="49" t="str"/>
      <c r="K7352" s="41" t="str"/>
      <c r="L7352" s="41" t="str"/>
      <c r="M7352" s="41" t="str"/>
      <c r="N7352" s="41" t="str"/>
      <c r="O7352" s="41" t="str"/>
      <c r="P7352" s="41" t="str"/>
      <c r="Q7352" s="41" t="str"/>
      <c r="R7352" s="41" t="str"/>
      <c r="S7352" s="41" t="str"/>
      <c r="T7352" s="41" t="str"/>
      <c r="U7352" s="41" t="str"/>
      <c r="V7352" s="41" t="str"/>
      <c r="W7352" s="41" t="str"/>
    </row>
    <row r="7353">
      <c r="B7353" s="2" t="n"/>
      <c r="C7353" s="40" t="n"/>
      <c r="D7353" s="52">
        <f t="array" ref="D7353:W7353">IF(All_Students_Scores!C7351:V7351="","",All_Students_Scores!C7351:V7351)</f>
        <v/>
      </c>
      <c r="E7353" s="57" t="str"/>
      <c r="F7353" s="49" t="str"/>
      <c r="G7353" s="59" t="str"/>
      <c r="H7353" s="64" t="str"/>
      <c r="I7353" s="65" t="str"/>
      <c r="J7353" s="49" t="str"/>
      <c r="K7353" s="41" t="str"/>
      <c r="L7353" s="41" t="str"/>
      <c r="M7353" s="41" t="str"/>
      <c r="N7353" s="41" t="str"/>
      <c r="O7353" s="41" t="str"/>
      <c r="P7353" s="41" t="str"/>
      <c r="Q7353" s="41" t="str"/>
      <c r="R7353" s="41" t="str"/>
      <c r="S7353" s="41" t="str"/>
      <c r="T7353" s="41" t="str"/>
      <c r="U7353" s="41" t="str"/>
      <c r="V7353" s="41" t="str"/>
      <c r="W7353" s="41" t="str"/>
    </row>
    <row r="7354">
      <c r="B7354" s="2" t="n"/>
      <c r="C7354" s="40" t="n"/>
      <c r="D7354" s="52">
        <f t="array" ref="D7354:W7354">IF(All_Students_Scores!C7352:V7352="","",All_Students_Scores!C7352:V7352)</f>
        <v/>
      </c>
      <c r="E7354" s="57" t="str"/>
      <c r="F7354" s="49" t="str"/>
      <c r="G7354" s="59" t="str"/>
      <c r="H7354" s="64" t="str"/>
      <c r="I7354" s="65" t="str"/>
      <c r="J7354" s="49" t="str"/>
      <c r="K7354" s="41" t="str"/>
      <c r="L7354" s="41" t="str"/>
      <c r="M7354" s="41" t="str"/>
      <c r="N7354" s="41" t="str"/>
      <c r="O7354" s="41" t="str"/>
      <c r="P7354" s="41" t="str"/>
      <c r="Q7354" s="41" t="str"/>
      <c r="R7354" s="41" t="str"/>
      <c r="S7354" s="41" t="str"/>
      <c r="T7354" s="41" t="str"/>
      <c r="U7354" s="41" t="str"/>
      <c r="V7354" s="41" t="str"/>
      <c r="W7354" s="41" t="str"/>
    </row>
    <row r="7355">
      <c r="B7355" s="2" t="n"/>
      <c r="C7355" s="40" t="n"/>
      <c r="D7355" s="52">
        <f t="array" ref="D7355:W7355">IF(All_Students_Scores!C7353:V7353="","",All_Students_Scores!C7353:V7353)</f>
        <v/>
      </c>
      <c r="E7355" s="57" t="str"/>
      <c r="F7355" s="49" t="str"/>
      <c r="G7355" s="59" t="str"/>
      <c r="H7355" s="64" t="str"/>
      <c r="I7355" s="65" t="str"/>
      <c r="J7355" s="49" t="str"/>
      <c r="K7355" s="41" t="str"/>
      <c r="L7355" s="41" t="str"/>
      <c r="M7355" s="41" t="str"/>
      <c r="N7355" s="41" t="str"/>
      <c r="O7355" s="41" t="str"/>
      <c r="P7355" s="41" t="str"/>
      <c r="Q7355" s="41" t="str"/>
      <c r="R7355" s="41" t="str"/>
      <c r="S7355" s="41" t="str"/>
      <c r="T7355" s="41" t="str"/>
      <c r="U7355" s="41" t="str"/>
      <c r="V7355" s="41" t="str"/>
      <c r="W7355" s="41" t="str"/>
    </row>
    <row r="7356">
      <c r="B7356" s="2" t="n"/>
      <c r="C7356" s="40" t="n"/>
      <c r="D7356" s="52">
        <f t="array" ref="D7356:W7356">IF(All_Students_Scores!C7354:V7354="","",All_Students_Scores!C7354:V7354)</f>
        <v/>
      </c>
      <c r="E7356" s="57" t="str"/>
      <c r="F7356" s="49" t="str"/>
      <c r="G7356" s="59" t="str"/>
      <c r="H7356" s="64" t="str"/>
      <c r="I7356" s="65" t="str"/>
      <c r="J7356" s="49" t="str"/>
      <c r="K7356" s="41" t="str"/>
      <c r="L7356" s="41" t="str"/>
      <c r="M7356" s="41" t="str"/>
      <c r="N7356" s="41" t="str"/>
      <c r="O7356" s="41" t="str"/>
      <c r="P7356" s="41" t="str"/>
      <c r="Q7356" s="41" t="str"/>
      <c r="R7356" s="41" t="str"/>
      <c r="S7356" s="41" t="str"/>
      <c r="T7356" s="41" t="str"/>
      <c r="U7356" s="41" t="str"/>
      <c r="V7356" s="41" t="str"/>
      <c r="W7356" s="41" t="str"/>
    </row>
    <row r="7357">
      <c r="B7357" s="2" t="n"/>
      <c r="C7357" s="40" t="n"/>
      <c r="D7357" s="52">
        <f t="array" ref="D7357:W7357">IF(All_Students_Scores!C7355:V7355="","",All_Students_Scores!C7355:V7355)</f>
        <v/>
      </c>
      <c r="E7357" s="57" t="str"/>
      <c r="F7357" s="49" t="str"/>
      <c r="G7357" s="59" t="str"/>
      <c r="H7357" s="64" t="str"/>
      <c r="I7357" s="65" t="str"/>
      <c r="J7357" s="49" t="str"/>
      <c r="K7357" s="41" t="str"/>
      <c r="L7357" s="41" t="str"/>
      <c r="M7357" s="41" t="str"/>
      <c r="N7357" s="41" t="str"/>
      <c r="O7357" s="41" t="str"/>
      <c r="P7357" s="41" t="str"/>
      <c r="Q7357" s="41" t="str"/>
      <c r="R7357" s="41" t="str"/>
      <c r="S7357" s="41" t="str"/>
      <c r="T7357" s="41" t="str"/>
      <c r="U7357" s="41" t="str"/>
      <c r="V7357" s="41" t="str"/>
      <c r="W7357" s="41" t="str"/>
    </row>
    <row r="7358">
      <c r="B7358" s="2" t="n"/>
      <c r="C7358" s="40" t="n"/>
    </row>
    <row r="7359">
      <c r="B7359" s="2" t="n"/>
      <c r="C7359" s="40" t="n"/>
    </row>
    <row r="7360">
      <c r="B7360" s="2" t="n"/>
      <c r="C7360" s="40" t="n"/>
    </row>
    <row r="7361">
      <c r="B7361" s="2" t="n"/>
      <c r="C7361" s="40" t="n"/>
    </row>
    <row r="7362">
      <c r="B7362" s="2" t="n"/>
      <c r="C7362" s="40" t="n"/>
    </row>
    <row r="7363">
      <c r="B7363" s="2" t="n"/>
      <c r="C7363" s="40" t="n"/>
    </row>
    <row r="7364">
      <c r="B7364" s="2" t="n"/>
      <c r="C7364" s="40" t="n"/>
    </row>
    <row r="7365">
      <c r="B7365" s="2" t="n"/>
      <c r="C7365" s="40" t="n"/>
    </row>
    <row r="7366">
      <c r="B7366" s="2" t="n"/>
      <c r="C7366" s="40" t="n"/>
    </row>
    <row r="7367">
      <c r="B7367" s="2" t="n"/>
      <c r="C7367" s="40" t="n"/>
    </row>
    <row r="7368">
      <c r="B7368" s="2" t="n"/>
      <c r="C7368" s="40" t="n"/>
    </row>
    <row r="7369">
      <c r="B7369" s="2" t="n"/>
      <c r="C7369" s="40" t="n"/>
    </row>
    <row r="7370">
      <c r="B7370" s="2" t="n"/>
      <c r="C7370" s="40" t="n"/>
    </row>
    <row r="7371">
      <c r="B7371" s="2" t="n"/>
      <c r="C7371" s="40" t="n"/>
    </row>
    <row r="7372">
      <c r="B7372" s="2" t="n"/>
      <c r="C7372" s="40" t="n"/>
    </row>
    <row r="7373">
      <c r="B7373" s="2" t="n"/>
      <c r="C7373" s="40" t="n"/>
    </row>
    <row r="7374">
      <c r="B7374" s="2" t="n"/>
      <c r="C7374" s="40" t="n"/>
    </row>
    <row r="7375">
      <c r="B7375" s="2" t="n"/>
      <c r="C7375" s="40" t="n"/>
    </row>
    <row r="7376">
      <c r="B7376" s="2" t="n"/>
      <c r="C7376" s="40" t="n"/>
    </row>
    <row r="7377">
      <c r="B7377" s="2" t="n"/>
      <c r="C7377" s="40" t="n"/>
    </row>
    <row r="7378">
      <c r="B7378" s="2" t="n"/>
      <c r="C7378" s="40" t="n"/>
    </row>
    <row r="7379">
      <c r="B7379" s="2" t="n"/>
      <c r="C7379" s="40" t="n"/>
    </row>
    <row r="7380">
      <c r="B7380" s="2" t="n"/>
      <c r="C7380" s="40" t="n"/>
    </row>
    <row r="7381">
      <c r="B7381" s="2" t="n"/>
      <c r="C7381" s="40" t="n"/>
    </row>
    <row r="7382">
      <c r="B7382" s="2" t="n"/>
      <c r="C7382" s="40" t="n"/>
    </row>
    <row r="7383">
      <c r="B7383" s="2" t="n"/>
      <c r="C7383" s="40" t="n"/>
    </row>
    <row r="7384">
      <c r="B7384" s="2" t="n"/>
      <c r="C7384" s="40" t="n"/>
    </row>
    <row r="7385">
      <c r="B7385" s="2" t="n"/>
      <c r="C7385" s="40" t="n"/>
    </row>
    <row r="7386">
      <c r="B7386" s="2" t="n"/>
      <c r="C7386" s="40" t="n"/>
    </row>
    <row r="7387">
      <c r="B7387" s="2" t="n"/>
      <c r="C7387" s="40" t="n"/>
    </row>
    <row r="7388">
      <c r="B7388" s="2" t="n"/>
      <c r="C7388" s="40" t="n"/>
    </row>
    <row r="7389">
      <c r="B7389" s="2" t="n"/>
      <c r="C7389" s="40" t="n"/>
    </row>
    <row r="7390">
      <c r="B7390" s="2" t="n"/>
      <c r="C7390" s="40" t="n"/>
    </row>
    <row r="7391">
      <c r="B7391" s="2" t="n"/>
      <c r="C7391" s="40" t="n"/>
    </row>
    <row r="7392">
      <c r="B7392" s="2" t="n"/>
      <c r="C7392" s="40" t="n"/>
    </row>
    <row r="7393">
      <c r="B7393" s="2" t="n"/>
      <c r="C7393" s="40" t="n"/>
    </row>
    <row r="7394">
      <c r="B7394" s="2" t="n"/>
      <c r="C7394" s="40" t="n"/>
    </row>
    <row r="7395">
      <c r="B7395" s="2" t="n"/>
      <c r="C7395" s="40" t="n"/>
    </row>
    <row r="7396">
      <c r="B7396" s="2" t="n"/>
      <c r="C7396" s="40" t="n"/>
    </row>
    <row r="7397">
      <c r="B7397" s="2" t="n"/>
      <c r="C7397" s="40" t="n"/>
    </row>
    <row r="7398">
      <c r="B7398" s="2" t="n"/>
      <c r="C7398" s="40" t="n"/>
    </row>
    <row r="7399">
      <c r="B7399" s="2" t="n"/>
      <c r="C7399" s="40" t="n"/>
    </row>
    <row r="7400">
      <c r="B7400" s="2" t="n"/>
      <c r="C7400" s="40" t="n"/>
    </row>
    <row r="7401">
      <c r="B7401" s="2" t="n"/>
      <c r="C7401" s="40" t="n"/>
    </row>
    <row r="7402">
      <c r="B7402" s="2" t="n"/>
      <c r="C7402" s="40" t="n"/>
    </row>
    <row r="7403">
      <c r="B7403" s="2" t="n"/>
      <c r="C7403" s="40" t="n"/>
    </row>
    <row r="7404">
      <c r="B7404" s="2" t="n"/>
      <c r="C7404" s="40" t="n"/>
    </row>
    <row r="7405">
      <c r="B7405" s="2" t="n"/>
      <c r="C7405" s="40" t="n"/>
    </row>
    <row r="7406">
      <c r="B7406" s="2" t="n"/>
      <c r="C7406" s="40" t="n"/>
    </row>
    <row r="7407">
      <c r="B7407" s="2" t="n"/>
      <c r="C7407" s="40" t="n"/>
    </row>
    <row r="7408">
      <c r="B7408" s="2" t="n"/>
      <c r="C7408" s="40" t="n"/>
    </row>
    <row r="7409">
      <c r="B7409" s="2" t="n"/>
      <c r="C7409" s="40" t="n"/>
    </row>
    <row r="7410">
      <c r="B7410" s="2" t="n"/>
      <c r="C7410" s="40" t="n"/>
    </row>
    <row r="7411">
      <c r="B7411" s="2" t="n"/>
      <c r="C7411" s="40" t="n"/>
    </row>
    <row r="7412">
      <c r="B7412" s="2" t="n"/>
      <c r="C7412" s="40" t="n"/>
    </row>
    <row r="7413">
      <c r="B7413" s="2" t="n"/>
      <c r="C7413" s="40" t="n"/>
    </row>
    <row r="7414">
      <c r="B7414" s="2" t="n"/>
      <c r="C7414" s="40" t="n"/>
    </row>
    <row r="7415">
      <c r="B7415" s="2" t="n"/>
      <c r="C7415" s="40" t="n"/>
    </row>
    <row r="7416">
      <c r="B7416" s="2" t="n"/>
      <c r="C7416" s="40" t="n"/>
    </row>
    <row r="7417">
      <c r="B7417" s="2" t="n"/>
      <c r="C7417" s="40" t="n"/>
    </row>
    <row r="7418">
      <c r="B7418" s="2" t="n"/>
      <c r="C7418" s="40" t="n"/>
    </row>
    <row r="7419">
      <c r="B7419" s="2" t="n"/>
      <c r="C7419" s="40" t="n"/>
    </row>
    <row r="7420">
      <c r="B7420" s="2" t="n"/>
      <c r="C7420" s="40" t="n"/>
    </row>
    <row r="7421">
      <c r="B7421" s="2" t="n"/>
      <c r="C7421" s="40" t="n"/>
    </row>
    <row r="7422">
      <c r="B7422" s="2" t="n"/>
      <c r="C7422" s="40" t="n"/>
    </row>
    <row r="7423">
      <c r="B7423" s="2" t="n"/>
      <c r="C7423" s="40" t="n"/>
    </row>
    <row r="7424">
      <c r="B7424" s="2" t="n"/>
      <c r="C7424" s="40" t="n"/>
    </row>
    <row r="7425">
      <c r="B7425" s="2" t="n"/>
      <c r="C7425" s="40" t="n"/>
    </row>
    <row r="7426">
      <c r="B7426" s="2" t="n"/>
      <c r="C7426" s="40" t="n"/>
    </row>
    <row r="7427">
      <c r="B7427" s="2" t="n"/>
      <c r="C7427" s="40" t="n"/>
    </row>
    <row r="7428">
      <c r="B7428" s="2" t="n"/>
      <c r="C7428" s="40" t="n"/>
    </row>
    <row r="7429">
      <c r="B7429" s="2" t="n"/>
      <c r="C7429" s="40" t="n"/>
    </row>
    <row r="7430">
      <c r="B7430" s="2" t="n"/>
      <c r="C7430" s="40" t="n"/>
    </row>
    <row r="7431">
      <c r="B7431" s="2" t="n"/>
      <c r="C7431" s="40" t="n"/>
    </row>
    <row r="7432">
      <c r="B7432" s="2" t="n"/>
      <c r="C7432" s="40" t="n"/>
    </row>
    <row r="7433">
      <c r="B7433" s="2" t="n"/>
      <c r="C7433" s="40" t="n"/>
    </row>
    <row r="7434">
      <c r="B7434" s="2" t="n"/>
      <c r="C7434" s="40" t="n"/>
    </row>
    <row r="7435">
      <c r="B7435" s="2" t="n"/>
      <c r="C7435" s="40" t="n"/>
    </row>
    <row r="7436">
      <c r="B7436" s="2" t="n"/>
      <c r="C7436" s="40" t="n"/>
    </row>
    <row r="7437">
      <c r="B7437" s="2" t="n"/>
      <c r="C7437" s="40" t="n"/>
    </row>
    <row r="7438">
      <c r="B7438" s="2" t="n"/>
      <c r="C7438" s="40" t="n"/>
    </row>
    <row r="7439">
      <c r="B7439" s="2" t="n"/>
      <c r="C7439" s="40" t="n"/>
    </row>
    <row r="7440">
      <c r="B7440" s="2" t="n"/>
      <c r="C7440" s="40" t="n"/>
    </row>
    <row r="7441">
      <c r="B7441" s="2" t="n"/>
      <c r="C7441" s="40" t="n"/>
    </row>
    <row r="7442">
      <c r="B7442" s="2" t="n"/>
      <c r="C7442" s="40" t="n"/>
    </row>
    <row r="7443">
      <c r="B7443" s="2" t="n"/>
      <c r="C7443" s="40" t="n"/>
    </row>
    <row r="7444">
      <c r="B7444" s="2" t="n"/>
      <c r="C7444" s="40" t="n"/>
    </row>
    <row r="7445">
      <c r="B7445" s="2" t="n"/>
      <c r="C7445" s="40" t="n"/>
    </row>
    <row r="7446">
      <c r="B7446" s="2" t="n"/>
      <c r="C7446" s="40" t="n"/>
    </row>
    <row r="7447">
      <c r="B7447" s="2" t="n"/>
      <c r="C7447" s="40" t="n"/>
    </row>
    <row r="7448">
      <c r="B7448" s="2" t="n"/>
      <c r="C7448" s="40" t="n"/>
    </row>
    <row r="7449">
      <c r="B7449" s="2" t="n"/>
      <c r="C7449" s="40" t="n"/>
    </row>
    <row r="7450">
      <c r="B7450" s="2" t="n"/>
      <c r="C7450" s="40" t="n"/>
    </row>
    <row r="7451">
      <c r="B7451" s="2" t="n"/>
      <c r="C7451" s="40" t="n"/>
    </row>
    <row r="7452">
      <c r="B7452" s="2" t="n"/>
      <c r="C7452" s="40" t="n"/>
    </row>
    <row r="7453">
      <c r="B7453" s="2" t="n"/>
      <c r="C7453" s="40" t="n"/>
    </row>
    <row r="7454">
      <c r="B7454" s="2" t="n"/>
      <c r="C7454" s="40" t="n"/>
    </row>
    <row r="7455">
      <c r="B7455" s="2" t="n"/>
      <c r="C7455" s="40" t="n"/>
    </row>
    <row r="7456">
      <c r="B7456" s="2" t="n"/>
      <c r="C7456" s="40" t="n"/>
    </row>
    <row r="7457">
      <c r="B7457" s="2" t="n"/>
      <c r="C7457" s="40" t="n"/>
    </row>
    <row r="7458">
      <c r="B7458" s="2" t="n"/>
      <c r="C7458" s="40" t="n"/>
    </row>
    <row r="7459">
      <c r="B7459" s="2" t="n"/>
      <c r="C7459" s="40" t="n"/>
    </row>
    <row r="7460">
      <c r="B7460" s="2" t="n"/>
      <c r="C7460" s="40" t="n"/>
    </row>
    <row r="7461">
      <c r="B7461" s="2" t="n"/>
      <c r="C7461" s="40" t="n"/>
    </row>
    <row r="7462">
      <c r="B7462" s="2" t="n"/>
      <c r="C7462" s="40" t="n"/>
    </row>
    <row r="7463">
      <c r="B7463" s="2" t="n"/>
      <c r="C7463" s="40" t="n"/>
    </row>
    <row r="7464">
      <c r="B7464" s="2" t="n"/>
      <c r="C7464" s="40" t="n"/>
    </row>
    <row r="7465">
      <c r="B7465" s="2" t="n"/>
      <c r="C7465" s="40" t="n"/>
    </row>
    <row r="7466">
      <c r="B7466" s="2" t="n"/>
      <c r="C7466" s="40" t="n"/>
    </row>
    <row r="7467">
      <c r="B7467" s="2" t="n"/>
      <c r="C7467" s="40" t="n"/>
    </row>
    <row r="7468">
      <c r="B7468" s="2" t="n"/>
      <c r="C7468" s="40" t="n"/>
    </row>
    <row r="7469">
      <c r="B7469" s="2" t="n"/>
      <c r="C7469" s="40" t="n"/>
    </row>
    <row r="7470">
      <c r="B7470" s="2" t="n"/>
      <c r="C7470" s="40" t="n"/>
    </row>
    <row r="7471">
      <c r="B7471" s="2" t="n"/>
      <c r="C7471" s="40" t="n"/>
    </row>
    <row r="7472">
      <c r="B7472" s="2" t="n"/>
      <c r="C7472" s="40" t="n"/>
    </row>
    <row r="7473">
      <c r="B7473" s="2" t="n"/>
      <c r="C7473" s="40" t="n"/>
    </row>
    <row r="7474">
      <c r="B7474" s="2" t="n"/>
      <c r="C7474" s="40" t="n"/>
    </row>
    <row r="7475">
      <c r="B7475" s="2" t="n"/>
      <c r="C7475" s="40" t="n"/>
    </row>
    <row r="7476">
      <c r="B7476" s="2" t="n"/>
      <c r="C7476" s="40" t="n"/>
    </row>
    <row r="7477">
      <c r="B7477" s="2" t="n"/>
      <c r="C7477" s="40" t="n"/>
    </row>
    <row r="7478">
      <c r="B7478" s="2" t="n"/>
      <c r="C7478" s="40" t="n"/>
    </row>
    <row r="7479">
      <c r="B7479" s="2" t="n"/>
      <c r="C7479" s="40" t="n"/>
    </row>
    <row r="7480">
      <c r="B7480" s="2" t="n"/>
      <c r="C7480" s="40" t="n"/>
    </row>
    <row r="7481">
      <c r="B7481" s="2" t="n"/>
      <c r="C7481" s="40" t="n"/>
    </row>
    <row r="7482">
      <c r="B7482" s="2" t="n"/>
      <c r="C7482" s="40" t="n"/>
    </row>
    <row r="7483">
      <c r="B7483" s="2" t="n"/>
      <c r="C7483" s="40" t="n"/>
    </row>
    <row r="7484">
      <c r="B7484" s="2" t="n"/>
      <c r="C7484" s="40" t="n"/>
    </row>
    <row r="7485">
      <c r="B7485" s="2" t="n"/>
      <c r="C7485" s="40" t="n"/>
    </row>
    <row r="7486">
      <c r="B7486" s="2" t="n"/>
      <c r="C7486" s="40" t="n"/>
    </row>
    <row r="7487">
      <c r="B7487" s="2" t="n"/>
      <c r="C7487" s="40" t="n"/>
    </row>
    <row r="7488">
      <c r="B7488" s="2" t="n"/>
      <c r="C7488" s="40" t="n"/>
    </row>
    <row r="7489">
      <c r="B7489" s="2" t="n"/>
      <c r="C7489" s="40" t="n"/>
    </row>
    <row r="7490">
      <c r="B7490" s="2" t="n"/>
      <c r="C7490" s="40" t="n"/>
    </row>
    <row r="7491">
      <c r="B7491" s="2" t="n"/>
      <c r="C7491" s="40" t="n"/>
    </row>
    <row r="7492">
      <c r="B7492" s="2" t="n"/>
      <c r="C7492" s="40" t="n"/>
    </row>
    <row r="7493">
      <c r="B7493" s="2" t="n"/>
      <c r="C7493" s="40" t="n"/>
    </row>
    <row r="7494">
      <c r="B7494" s="2" t="n"/>
      <c r="C7494" s="40" t="n"/>
    </row>
    <row r="7495">
      <c r="B7495" s="2" t="n"/>
      <c r="C7495" s="40" t="n"/>
    </row>
    <row r="7496">
      <c r="B7496" s="2" t="n"/>
      <c r="C7496" s="40" t="n"/>
    </row>
    <row r="7497">
      <c r="B7497" s="2" t="n"/>
      <c r="C7497" s="40" t="n"/>
    </row>
    <row r="7498">
      <c r="B7498" s="2" t="n"/>
      <c r="C7498" s="40" t="n"/>
    </row>
    <row r="7499">
      <c r="B7499" s="2" t="n"/>
      <c r="C7499" s="40" t="n"/>
    </row>
    <row r="7500">
      <c r="B7500" s="2" t="n"/>
      <c r="C7500" s="40" t="n"/>
    </row>
    <row r="7501">
      <c r="B7501" s="2" t="n"/>
      <c r="C7501" s="40" t="n"/>
    </row>
    <row r="7502">
      <c r="B7502" s="2" t="n"/>
      <c r="C7502" s="40" t="n"/>
    </row>
    <row r="7503">
      <c r="B7503" s="2" t="n"/>
      <c r="C7503" s="40" t="n"/>
    </row>
    <row r="7504">
      <c r="B7504" s="2" t="n"/>
      <c r="C7504" s="40" t="n"/>
    </row>
    <row r="7505">
      <c r="B7505" s="2" t="n"/>
      <c r="C7505" s="40" t="n"/>
    </row>
    <row r="7506">
      <c r="B7506" s="2" t="n"/>
      <c r="C7506" s="40" t="n"/>
    </row>
    <row r="7507">
      <c r="B7507" s="2" t="n"/>
      <c r="C7507" s="40" t="n"/>
    </row>
    <row r="7508">
      <c r="B7508" s="2" t="n"/>
      <c r="C7508" s="40" t="n"/>
    </row>
    <row r="7509">
      <c r="B7509" s="2" t="n"/>
      <c r="C7509" s="40" t="n"/>
    </row>
    <row r="7510">
      <c r="B7510" s="2" t="n"/>
      <c r="C7510" s="40" t="n"/>
    </row>
    <row r="7511">
      <c r="B7511" s="2" t="n"/>
      <c r="C7511" s="40" t="n"/>
    </row>
    <row r="7512">
      <c r="B7512" s="2" t="n"/>
      <c r="C7512" s="40" t="n"/>
    </row>
    <row r="7513">
      <c r="B7513" s="2" t="n"/>
      <c r="C7513" s="40" t="n"/>
    </row>
    <row r="7514">
      <c r="B7514" s="2" t="n"/>
      <c r="C7514" s="40" t="n"/>
    </row>
    <row r="7515">
      <c r="B7515" s="2" t="n"/>
      <c r="C7515" s="40" t="n"/>
    </row>
    <row r="7516">
      <c r="B7516" s="2" t="n"/>
      <c r="C7516" s="40" t="n"/>
    </row>
    <row r="7517">
      <c r="B7517" s="2" t="n"/>
      <c r="C7517" s="40" t="n"/>
    </row>
    <row r="7518">
      <c r="B7518" s="2" t="n"/>
      <c r="C7518" s="40" t="n"/>
    </row>
    <row r="7519">
      <c r="B7519" s="2" t="n"/>
      <c r="C7519" s="40" t="n"/>
    </row>
    <row r="7520">
      <c r="B7520" s="2" t="n"/>
      <c r="C7520" s="40" t="n"/>
    </row>
    <row r="7521">
      <c r="B7521" s="2" t="n"/>
      <c r="C7521" s="40" t="n"/>
    </row>
    <row r="7522">
      <c r="B7522" s="2" t="n"/>
      <c r="C7522" s="40" t="n"/>
    </row>
    <row r="7523">
      <c r="B7523" s="2" t="n"/>
      <c r="C7523" s="40" t="n"/>
    </row>
    <row r="7524">
      <c r="B7524" s="2" t="n"/>
      <c r="C7524" s="40" t="n"/>
    </row>
    <row r="7525">
      <c r="B7525" s="2" t="n"/>
      <c r="C7525" s="40" t="n"/>
    </row>
    <row r="7526">
      <c r="B7526" s="2" t="n"/>
      <c r="C7526" s="40" t="n"/>
    </row>
    <row r="7527">
      <c r="B7527" s="2" t="n"/>
      <c r="C7527" s="40" t="n"/>
    </row>
    <row r="7528">
      <c r="B7528" s="2" t="n"/>
      <c r="C7528" s="40" t="n"/>
    </row>
    <row r="7529">
      <c r="B7529" s="2" t="n"/>
      <c r="C7529" s="40" t="n"/>
    </row>
    <row r="7530">
      <c r="B7530" s="2" t="n"/>
      <c r="C7530" s="40" t="n"/>
    </row>
    <row r="7531">
      <c r="B7531" s="2" t="n"/>
      <c r="C7531" s="40" t="n"/>
    </row>
    <row r="7532">
      <c r="B7532" s="2" t="n"/>
      <c r="C7532" s="40" t="n"/>
    </row>
    <row r="7533">
      <c r="B7533" s="2" t="n"/>
      <c r="C7533" s="40" t="n"/>
    </row>
    <row r="7534">
      <c r="B7534" s="2" t="n"/>
      <c r="C7534" s="40" t="n"/>
    </row>
    <row r="7535">
      <c r="B7535" s="2" t="n"/>
      <c r="C7535" s="40" t="n"/>
    </row>
    <row r="7536">
      <c r="B7536" s="2" t="n"/>
      <c r="C7536" s="40" t="n"/>
    </row>
    <row r="7537">
      <c r="B7537" s="2" t="n"/>
      <c r="C7537" s="40" t="n"/>
    </row>
    <row r="7538">
      <c r="B7538" s="2" t="n"/>
      <c r="C7538" s="40" t="n"/>
    </row>
    <row r="7539">
      <c r="B7539" s="2" t="n"/>
      <c r="C7539" s="40" t="n"/>
    </row>
    <row r="7540">
      <c r="B7540" s="2" t="n"/>
      <c r="C7540" s="40" t="n"/>
    </row>
    <row r="7541">
      <c r="B7541" s="2" t="n"/>
      <c r="C7541" s="40" t="n"/>
    </row>
    <row r="7542">
      <c r="B7542" s="2" t="n"/>
      <c r="C7542" s="40" t="n"/>
    </row>
    <row r="7543">
      <c r="B7543" s="2" t="n"/>
      <c r="C7543" s="40" t="n"/>
    </row>
    <row r="7544">
      <c r="B7544" s="2" t="n"/>
      <c r="C7544" s="40" t="n"/>
    </row>
    <row r="7545">
      <c r="B7545" s="2" t="n"/>
      <c r="C7545" s="40" t="n"/>
    </row>
    <row r="7546">
      <c r="B7546" s="2" t="n"/>
      <c r="C7546" s="40" t="n"/>
    </row>
    <row r="7547">
      <c r="B7547" s="2" t="n"/>
      <c r="C7547" s="40" t="n"/>
    </row>
    <row r="7548">
      <c r="B7548" s="2" t="n"/>
      <c r="C7548" s="40" t="n"/>
    </row>
    <row r="7549">
      <c r="B7549" s="2" t="n"/>
      <c r="C7549" s="40" t="n"/>
    </row>
    <row r="7550">
      <c r="B7550" s="2" t="n"/>
      <c r="C7550" s="40" t="n"/>
    </row>
    <row r="7551">
      <c r="B7551" s="2" t="n"/>
      <c r="C7551" s="40" t="n"/>
    </row>
    <row r="7552">
      <c r="B7552" s="2" t="n"/>
      <c r="C7552" s="40" t="n"/>
    </row>
    <row r="7553">
      <c r="B7553" s="2" t="n"/>
      <c r="C7553" s="40" t="n"/>
    </row>
    <row r="7554">
      <c r="B7554" s="2" t="n"/>
      <c r="C7554" s="40" t="n"/>
    </row>
    <row r="7555">
      <c r="B7555" s="2" t="n"/>
      <c r="C7555" s="40" t="n"/>
    </row>
    <row r="7556">
      <c r="B7556" s="2" t="n"/>
      <c r="C7556" s="40" t="n"/>
    </row>
    <row r="7557">
      <c r="B7557" s="2" t="n"/>
      <c r="C7557" s="40" t="n"/>
    </row>
    <row r="7558">
      <c r="B7558" s="2" t="n"/>
      <c r="C7558" s="40" t="n"/>
    </row>
    <row r="7559">
      <c r="B7559" s="2" t="n"/>
      <c r="C7559" s="40" t="n"/>
    </row>
    <row r="7560">
      <c r="B7560" s="2" t="n"/>
      <c r="C7560" s="40" t="n"/>
    </row>
    <row r="7561">
      <c r="B7561" s="2" t="n"/>
      <c r="C7561" s="40" t="n"/>
    </row>
    <row r="7562">
      <c r="B7562" s="2" t="n"/>
      <c r="C7562" s="40" t="n"/>
    </row>
    <row r="7563">
      <c r="B7563" s="2" t="n"/>
      <c r="C7563" s="40" t="n"/>
    </row>
    <row r="7564">
      <c r="B7564" s="2" t="n"/>
      <c r="C7564" s="40" t="n"/>
    </row>
    <row r="7565">
      <c r="B7565" s="2" t="n"/>
      <c r="C7565" s="40" t="n"/>
    </row>
    <row r="7566">
      <c r="B7566" s="2" t="n"/>
      <c r="C7566" s="40" t="n"/>
    </row>
    <row r="7567">
      <c r="B7567" s="2" t="n"/>
      <c r="C7567" s="40" t="n"/>
    </row>
    <row r="7568">
      <c r="B7568" s="2" t="n"/>
      <c r="C7568" s="40" t="n"/>
    </row>
    <row r="7569">
      <c r="B7569" s="2" t="n"/>
      <c r="C7569" s="40" t="n"/>
    </row>
    <row r="7570">
      <c r="B7570" s="2" t="n"/>
      <c r="C7570" s="40" t="n"/>
    </row>
    <row r="7571">
      <c r="B7571" s="2" t="n"/>
      <c r="C7571" s="40" t="n"/>
    </row>
    <row r="7572">
      <c r="B7572" s="2" t="n"/>
      <c r="C7572" s="40" t="n"/>
    </row>
    <row r="7573">
      <c r="B7573" s="2" t="n"/>
      <c r="C7573" s="40" t="n"/>
    </row>
    <row r="7574">
      <c r="B7574" s="2" t="n"/>
      <c r="C7574" s="40" t="n"/>
    </row>
    <row r="7575">
      <c r="B7575" s="2" t="n"/>
      <c r="C7575" s="40" t="n"/>
    </row>
    <row r="7576">
      <c r="B7576" s="2" t="n"/>
      <c r="C7576" s="40" t="n"/>
    </row>
    <row r="7577">
      <c r="B7577" s="2" t="n"/>
      <c r="C7577" s="40" t="n"/>
    </row>
    <row r="7578">
      <c r="B7578" s="2" t="n"/>
      <c r="C7578" s="40" t="n"/>
    </row>
    <row r="7579">
      <c r="B7579" s="2" t="n"/>
      <c r="C7579" s="40" t="n"/>
    </row>
    <row r="7580">
      <c r="B7580" s="2" t="n"/>
      <c r="C7580" s="40" t="n"/>
    </row>
    <row r="7581">
      <c r="B7581" s="2" t="n"/>
      <c r="C7581" s="40" t="n"/>
    </row>
    <row r="7582">
      <c r="B7582" s="2" t="n"/>
      <c r="C7582" s="40" t="n"/>
    </row>
    <row r="7583">
      <c r="B7583" s="2" t="n"/>
      <c r="C7583" s="40" t="n"/>
    </row>
    <row r="7584">
      <c r="B7584" s="2" t="n"/>
      <c r="C7584" s="40" t="n"/>
    </row>
    <row r="7585">
      <c r="B7585" s="2" t="n"/>
      <c r="C7585" s="40" t="n"/>
    </row>
    <row r="7586">
      <c r="B7586" s="2" t="n"/>
      <c r="C7586" s="40" t="n"/>
    </row>
    <row r="7587">
      <c r="B7587" s="2" t="n"/>
      <c r="C7587" s="40" t="n"/>
    </row>
    <row r="7588">
      <c r="B7588" s="2" t="n"/>
      <c r="C7588" s="40" t="n"/>
    </row>
    <row r="7589">
      <c r="B7589" s="2" t="n"/>
      <c r="C7589" s="40" t="n"/>
    </row>
    <row r="7590">
      <c r="B7590" s="2" t="n"/>
      <c r="C7590" s="40" t="n"/>
    </row>
    <row r="7591">
      <c r="B7591" s="2" t="n"/>
      <c r="C7591" s="40" t="n"/>
    </row>
    <row r="7592">
      <c r="B7592" s="2" t="n"/>
      <c r="C7592" s="40" t="n"/>
    </row>
    <row r="7593">
      <c r="B7593" s="2" t="n"/>
      <c r="C7593" s="40" t="n"/>
    </row>
    <row r="7594">
      <c r="B7594" s="2" t="n"/>
      <c r="C7594" s="40" t="n"/>
    </row>
    <row r="7595">
      <c r="B7595" s="2" t="n"/>
      <c r="C7595" s="40" t="n"/>
    </row>
    <row r="7596">
      <c r="B7596" s="2" t="n"/>
      <c r="C7596" s="40" t="n"/>
    </row>
    <row r="7597">
      <c r="B7597" s="2" t="n"/>
      <c r="C7597" s="40" t="n"/>
    </row>
    <row r="7598">
      <c r="B7598" s="2" t="n"/>
      <c r="C7598" s="40" t="n"/>
    </row>
    <row r="7599">
      <c r="B7599" s="2" t="n"/>
      <c r="C7599" s="40" t="n"/>
    </row>
    <row r="7600">
      <c r="B7600" s="2" t="n"/>
      <c r="C7600" s="40" t="n"/>
    </row>
    <row r="7601">
      <c r="B7601" s="2" t="n"/>
      <c r="C7601" s="40" t="n"/>
    </row>
    <row r="7602">
      <c r="B7602" s="2" t="n"/>
      <c r="C7602" s="40" t="n"/>
    </row>
    <row r="7603">
      <c r="B7603" s="2" t="n"/>
      <c r="C7603" s="40" t="n"/>
    </row>
    <row r="7604">
      <c r="B7604" s="2" t="n"/>
      <c r="C7604" s="40" t="n"/>
    </row>
    <row r="7605">
      <c r="B7605" s="2" t="n"/>
      <c r="C7605" s="40" t="n"/>
    </row>
    <row r="7606">
      <c r="B7606" s="2" t="n"/>
      <c r="C7606" s="40" t="n"/>
    </row>
    <row r="7607">
      <c r="B7607" s="2" t="n"/>
      <c r="C7607" s="40" t="n"/>
    </row>
    <row r="7608">
      <c r="B7608" s="2" t="n"/>
      <c r="C7608" s="40" t="n"/>
    </row>
    <row r="7609">
      <c r="B7609" s="2" t="n"/>
      <c r="C7609" s="40" t="n"/>
    </row>
    <row r="7610">
      <c r="B7610" s="2" t="n"/>
      <c r="C7610" s="40" t="n"/>
    </row>
    <row r="7611">
      <c r="B7611" s="2" t="n"/>
      <c r="C7611" s="40" t="n"/>
    </row>
    <row r="7612">
      <c r="B7612" s="2" t="n"/>
      <c r="C7612" s="40" t="n"/>
    </row>
    <row r="7613">
      <c r="B7613" s="2" t="n"/>
      <c r="C7613" s="40" t="n"/>
    </row>
    <row r="7614">
      <c r="B7614" s="2" t="n"/>
      <c r="C7614" s="40" t="n"/>
    </row>
    <row r="7615">
      <c r="B7615" s="2" t="n"/>
      <c r="C7615" s="40" t="n"/>
    </row>
    <row r="7616">
      <c r="B7616" s="2" t="n"/>
      <c r="C7616" s="40" t="n"/>
    </row>
    <row r="7617">
      <c r="B7617" s="2" t="n"/>
      <c r="C7617" s="40" t="n"/>
    </row>
    <row r="7618">
      <c r="B7618" s="2" t="n"/>
      <c r="C7618" s="40" t="n"/>
    </row>
    <row r="7619">
      <c r="B7619" s="2" t="n"/>
      <c r="C7619" s="40" t="n"/>
    </row>
    <row r="7620">
      <c r="B7620" s="2" t="n"/>
      <c r="C7620" s="40" t="n"/>
    </row>
    <row r="7621">
      <c r="B7621" s="2" t="n"/>
      <c r="C7621" s="40" t="n"/>
    </row>
    <row r="7622">
      <c r="B7622" s="2" t="n"/>
      <c r="C7622" s="40" t="n"/>
    </row>
    <row r="7623">
      <c r="B7623" s="2" t="n"/>
      <c r="C7623" s="40" t="n"/>
    </row>
    <row r="7624">
      <c r="B7624" s="2" t="n"/>
      <c r="C7624" s="40" t="n"/>
    </row>
    <row r="7625">
      <c r="B7625" s="2" t="n"/>
      <c r="C7625" s="40" t="n"/>
    </row>
  </sheetData>
  <mergeCells count="16">
    <mergeCell ref="L2:M2"/>
    <mergeCell ref="F2:G2"/>
    <mergeCell ref="H2:I2"/>
    <mergeCell ref="V2:W2"/>
    <mergeCell ref="T2:U2"/>
    <mergeCell ref="Z2:AA2"/>
    <mergeCell ref="X2:Y2"/>
    <mergeCell ref="D2:E2"/>
    <mergeCell ref="AB2:AC2"/>
    <mergeCell ref="J2:K2"/>
    <mergeCell ref="N2:O2"/>
    <mergeCell ref="R2:S2"/>
    <mergeCell ref="P2:Q2"/>
    <mergeCell ref="B2:B3"/>
    <mergeCell ref="C2:C3"/>
    <mergeCell ref="B1:Y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AM7625"/>
  <sheetViews>
    <sheetView showGridLines="0" showRowColHeaders="0" workbookViewId="0">
      <selection activeCell="A2" sqref="A2"/>
    </sheetView>
  </sheetViews>
  <sheetFormatPr baseColWidth="8" defaultColWidth="9.85546875" defaultRowHeight="15"/>
  <cols>
    <col width="3.28515625" customWidth="1" style="130" min="1" max="1"/>
    <col width="24.28515625" customWidth="1" style="130" min="3" max="3"/>
    <col width="9.85546875" customWidth="1" style="56" min="4" max="4"/>
    <col width="9.85546875" customWidth="1" style="57" min="5" max="5"/>
    <col width="9.85546875" customWidth="1" style="49" min="6" max="6"/>
    <col width="9.85546875" customWidth="1" style="59" min="7" max="7"/>
    <col width="9.85546875" customWidth="1" style="64" min="8" max="8"/>
    <col width="9.85546875" customWidth="1" style="65" min="9" max="9"/>
    <col width="9.85546875" customWidth="1" style="49" min="10" max="10"/>
    <col width="9.85546875" customWidth="1" style="41" min="11" max="22"/>
    <col width="11.5703125" customWidth="1" style="41" min="23" max="23"/>
    <col width="9.85546875" customWidth="1" style="41" min="24" max="24"/>
    <col width="15.7109375" customWidth="1" style="41" min="25" max="25"/>
    <col width="9.85546875" customWidth="1" style="41" min="26" max="29"/>
    <col width="19.42578125" customWidth="1" style="41" min="30" max="30"/>
    <col width="9.85546875" customWidth="1" style="41" min="31" max="35"/>
  </cols>
  <sheetData>
    <row r="1" ht="20.1" customHeight="1" s="130">
      <c r="B1" s="178" t="inlineStr">
        <is>
          <t>📝  SCORES ENTRY — Enter CA and Exam scores for each student</t>
        </is>
      </c>
      <c r="C1" s="191" t="n"/>
      <c r="D1" s="191" t="n"/>
      <c r="E1" s="191" t="n"/>
      <c r="F1" s="191" t="n"/>
      <c r="G1" s="191" t="n"/>
      <c r="H1" s="191" t="n"/>
      <c r="I1" s="191" t="n"/>
      <c r="J1" s="191" t="n"/>
      <c r="K1" s="191" t="n"/>
      <c r="L1" s="191" t="n"/>
      <c r="M1" s="191" t="n"/>
      <c r="N1" s="191" t="n"/>
      <c r="O1" s="191" t="n"/>
      <c r="P1" s="191" t="n"/>
      <c r="Q1" s="191" t="n"/>
      <c r="R1" s="191" t="n"/>
      <c r="S1" s="191" t="n"/>
      <c r="T1" s="191" t="n"/>
      <c r="U1" s="191" t="n"/>
      <c r="V1" s="191" t="n"/>
      <c r="W1" s="191" t="n"/>
      <c r="X1" s="191" t="n"/>
      <c r="Y1" s="191" t="n"/>
      <c r="Z1" s="191" t="n"/>
    </row>
    <row r="2" customFormat="1" s="43">
      <c r="B2" s="192" t="inlineStr">
        <is>
          <t>Reg/No</t>
        </is>
      </c>
      <c r="C2" s="193" t="inlineStr">
        <is>
          <t>Student Name</t>
        </is>
      </c>
      <c r="D2" s="194">
        <f>SUBJECTS!$C6</f>
        <v/>
      </c>
      <c r="E2" s="195" t="n"/>
      <c r="F2" s="174">
        <f>SUBJECTS!$C7</f>
        <v/>
      </c>
      <c r="G2" s="196" t="n"/>
      <c r="H2" s="194">
        <f>SUBJECTS!$C8</f>
        <v/>
      </c>
      <c r="I2" s="195" t="n"/>
      <c r="J2" s="174">
        <f>SUBJECTS!$C9</f>
        <v/>
      </c>
      <c r="K2" s="196" t="n"/>
      <c r="L2" s="176">
        <f>SUBJECTS!$C10</f>
        <v/>
      </c>
      <c r="M2" s="196" t="n"/>
      <c r="N2" s="174">
        <f>SUBJECTS!$C11</f>
        <v/>
      </c>
      <c r="O2" s="196" t="n"/>
      <c r="P2" s="176">
        <f>SUBJECTS!$C12</f>
        <v/>
      </c>
      <c r="Q2" s="196" t="n"/>
      <c r="R2" s="174">
        <f>SUBJECTS!$C13</f>
        <v/>
      </c>
      <c r="S2" s="196" t="n"/>
      <c r="T2" s="176">
        <f>SUBJECTS!$C14</f>
        <v/>
      </c>
      <c r="U2" s="196" t="n"/>
      <c r="V2" s="174">
        <f>SUBJECTS!$C15</f>
        <v/>
      </c>
      <c r="W2" s="196" t="n"/>
      <c r="X2" s="176">
        <f>SUBJECTS!$C16</f>
        <v/>
      </c>
      <c r="Y2" s="196" t="n"/>
      <c r="Z2" s="174">
        <f>SUBJECTS!$C17</f>
        <v/>
      </c>
      <c r="AA2" s="196" t="n"/>
      <c r="AB2" s="176">
        <f>SUBJECTS!$C18</f>
        <v/>
      </c>
      <c r="AC2" s="196" t="n"/>
      <c r="AD2" s="174">
        <f>SUBJECTS!$C19</f>
        <v/>
      </c>
      <c r="AE2" s="196" t="n"/>
      <c r="AF2" s="176">
        <f>SUBJECTS!$C20</f>
        <v/>
      </c>
      <c r="AG2" s="196" t="n"/>
      <c r="AH2" s="174">
        <f>SUBJECTS!$C21</f>
        <v/>
      </c>
      <c r="AI2" s="196" t="n"/>
      <c r="AJ2" s="172">
        <f>IF(SUBJECTS!$C22="","",SUBJECTS!$C22)</f>
        <v/>
      </c>
      <c r="AK2" s="196" t="n"/>
      <c r="AL2" s="172" t="n"/>
      <c r="AM2" s="196" t="n"/>
    </row>
    <row r="3" ht="35.25" customFormat="1" customHeight="1" s="39" thickBot="1">
      <c r="B3" s="197" t="n"/>
      <c r="C3" s="198" t="n"/>
      <c r="D3" s="72" t="inlineStr">
        <is>
          <t>1st Term (100)</t>
        </is>
      </c>
      <c r="E3" s="73" t="inlineStr">
        <is>
          <t>2nd Term (100)</t>
        </is>
      </c>
      <c r="F3" s="72" t="inlineStr">
        <is>
          <t>1st Term (100)</t>
        </is>
      </c>
      <c r="G3" s="73" t="inlineStr">
        <is>
          <t>2nd Term (100)</t>
        </is>
      </c>
      <c r="H3" s="72" t="inlineStr">
        <is>
          <t>1st Term (100)</t>
        </is>
      </c>
      <c r="I3" s="73" t="inlineStr">
        <is>
          <t>2nd Term (100)</t>
        </is>
      </c>
      <c r="J3" s="72" t="inlineStr">
        <is>
          <t>1st Term (100)</t>
        </is>
      </c>
      <c r="K3" s="73" t="inlineStr">
        <is>
          <t>2nd Term (100)</t>
        </is>
      </c>
      <c r="L3" s="72" t="inlineStr">
        <is>
          <t>1st Term (100)</t>
        </is>
      </c>
      <c r="M3" s="73" t="inlineStr">
        <is>
          <t>2nd Term (100)</t>
        </is>
      </c>
      <c r="N3" s="72" t="inlineStr">
        <is>
          <t>1st Term (100)</t>
        </is>
      </c>
      <c r="O3" s="73" t="inlineStr">
        <is>
          <t>2nd Term (100)</t>
        </is>
      </c>
      <c r="P3" s="72" t="inlineStr">
        <is>
          <t>1st Term (100)</t>
        </is>
      </c>
      <c r="Q3" s="73" t="inlineStr">
        <is>
          <t>2nd Term (100)</t>
        </is>
      </c>
      <c r="R3" s="72" t="inlineStr">
        <is>
          <t>1st Term (100)</t>
        </is>
      </c>
      <c r="S3" s="73" t="inlineStr">
        <is>
          <t>2nd Term (100)</t>
        </is>
      </c>
      <c r="T3" s="72" t="inlineStr">
        <is>
          <t>1st Term (100)</t>
        </is>
      </c>
      <c r="U3" s="73" t="inlineStr">
        <is>
          <t>2nd Term (100)</t>
        </is>
      </c>
      <c r="V3" s="72" t="inlineStr">
        <is>
          <t>1st Term (100)</t>
        </is>
      </c>
      <c r="W3" s="73" t="inlineStr">
        <is>
          <t>2nd Term (100)</t>
        </is>
      </c>
      <c r="X3" s="72" t="inlineStr">
        <is>
          <t>1st Term (100)</t>
        </is>
      </c>
      <c r="Y3" s="73" t="inlineStr">
        <is>
          <t>2nd Term (100)</t>
        </is>
      </c>
      <c r="Z3" s="72" t="inlineStr">
        <is>
          <t>1st Term (100)</t>
        </is>
      </c>
      <c r="AA3" s="73" t="inlineStr">
        <is>
          <t>2nd Term (100)</t>
        </is>
      </c>
      <c r="AB3" s="72" t="inlineStr">
        <is>
          <t>1st Term (100)</t>
        </is>
      </c>
      <c r="AC3" s="73" t="inlineStr">
        <is>
          <t>2nd Term (100)</t>
        </is>
      </c>
      <c r="AD3" s="72" t="inlineStr">
        <is>
          <t>1st Term (100)</t>
        </is>
      </c>
      <c r="AE3" s="73" t="inlineStr">
        <is>
          <t>2nd Term (100)</t>
        </is>
      </c>
      <c r="AF3" s="72" t="inlineStr">
        <is>
          <t>1st Term (100)</t>
        </is>
      </c>
      <c r="AG3" s="73" t="inlineStr">
        <is>
          <t>2nd Term (100)</t>
        </is>
      </c>
      <c r="AH3" s="72" t="inlineStr">
        <is>
          <t>1st Term (100)</t>
        </is>
      </c>
      <c r="AI3" s="73" t="inlineStr">
        <is>
          <t>2nd Term (100)</t>
        </is>
      </c>
    </row>
    <row r="4">
      <c r="B4" s="2">
        <f>IF(STUDENTS!B3="","",STUDENTS!B3)</f>
        <v/>
      </c>
      <c r="C4" s="44" t="inlineStr">
        <is>
          <t>Student 01</t>
        </is>
      </c>
      <c r="D4" s="52" t="n">
        <v>12</v>
      </c>
      <c r="E4" s="53" t="n">
        <v>32</v>
      </c>
      <c r="F4" s="66" t="n">
        <v>31</v>
      </c>
      <c r="G4" s="67" t="n">
        <v>50</v>
      </c>
      <c r="H4" s="60" t="n">
        <v>23</v>
      </c>
      <c r="I4" s="61" t="n">
        <v>40</v>
      </c>
      <c r="J4" s="66" t="n">
        <v>33</v>
      </c>
      <c r="K4" s="67" t="n">
        <v>51</v>
      </c>
      <c r="L4" s="45" t="n">
        <v>40</v>
      </c>
      <c r="M4" s="45" t="n">
        <v>60</v>
      </c>
      <c r="N4" s="66" t="n">
        <v>24</v>
      </c>
      <c r="O4" s="67" t="n">
        <v>38</v>
      </c>
      <c r="P4" s="45" t="n">
        <v>27</v>
      </c>
      <c r="Q4" s="45" t="n">
        <v>49</v>
      </c>
      <c r="R4" s="66" t="n">
        <v>33</v>
      </c>
      <c r="S4" s="67" t="n">
        <v>58</v>
      </c>
      <c r="T4" s="45" t="n">
        <v>18</v>
      </c>
      <c r="U4" s="45" t="n">
        <v>28</v>
      </c>
      <c r="V4" s="66" t="n">
        <v>36</v>
      </c>
      <c r="W4" s="67" t="n">
        <v>45</v>
      </c>
      <c r="X4" s="45" t="n">
        <v>21</v>
      </c>
      <c r="Y4" s="45" t="n">
        <v>33</v>
      </c>
      <c r="Z4" s="66" t="n">
        <v>36</v>
      </c>
      <c r="AA4" s="67" t="n">
        <v>35</v>
      </c>
      <c r="AB4" s="41" t="n">
        <v>32</v>
      </c>
      <c r="AC4" s="41" t="n">
        <v>33</v>
      </c>
      <c r="AD4" s="66" t="n">
        <v>36</v>
      </c>
      <c r="AE4" s="67" t="n">
        <v>36</v>
      </c>
      <c r="AF4" s="41" t="n">
        <v>33</v>
      </c>
      <c r="AG4" s="41" t="n">
        <v>32</v>
      </c>
      <c r="AH4" s="66" t="n">
        <v>37</v>
      </c>
      <c r="AI4" s="67" t="n">
        <v>36</v>
      </c>
    </row>
    <row r="5">
      <c r="B5" s="2">
        <f>IF(STUDENTS!B4="","",STUDENTS!B4)</f>
        <v/>
      </c>
      <c r="C5" s="44" t="inlineStr">
        <is>
          <t>Student 02</t>
        </is>
      </c>
      <c r="D5" s="54" t="n">
        <v>21</v>
      </c>
      <c r="E5" s="55" t="n">
        <v>51</v>
      </c>
      <c r="F5" s="48" t="n"/>
      <c r="G5" s="58" t="n"/>
      <c r="H5" s="62" t="n"/>
      <c r="I5" s="63" t="n"/>
      <c r="J5" s="48" t="n"/>
      <c r="K5" s="58" t="n"/>
      <c r="L5" s="42" t="n"/>
      <c r="M5" s="42" t="n"/>
      <c r="N5" s="48" t="n"/>
      <c r="O5" s="58" t="n"/>
      <c r="P5" s="42" t="n"/>
      <c r="Q5" s="42" t="n"/>
      <c r="R5" s="48" t="n"/>
      <c r="S5" s="58" t="n"/>
      <c r="T5" s="42" t="n"/>
      <c r="U5" s="42" t="n"/>
      <c r="V5" s="48" t="n"/>
      <c r="W5" s="58" t="n"/>
      <c r="X5" s="42" t="n"/>
      <c r="Y5" s="42" t="n"/>
      <c r="Z5" s="48" t="n"/>
      <c r="AA5" s="58" t="n"/>
      <c r="AB5" s="42" t="n"/>
      <c r="AC5" s="42" t="n"/>
      <c r="AD5" s="48" t="n"/>
      <c r="AE5" s="58" t="n"/>
      <c r="AF5" s="42" t="n"/>
      <c r="AG5" s="42" t="n"/>
      <c r="AH5" s="48" t="n"/>
      <c r="AI5" s="58" t="n"/>
    </row>
    <row r="6">
      <c r="B6" s="2">
        <f>IF(STUDENTS!B5="","",STUDENTS!B5)</f>
        <v/>
      </c>
      <c r="C6" s="44" t="inlineStr">
        <is>
          <t>Student 03</t>
        </is>
      </c>
      <c r="D6" s="56" t="n">
        <v>32</v>
      </c>
      <c r="E6" s="57" t="n">
        <v>23</v>
      </c>
      <c r="F6" s="66" t="n"/>
      <c r="G6" s="67" t="n"/>
      <c r="J6" s="66" t="n"/>
      <c r="K6" s="67" t="n"/>
      <c r="N6" s="66" t="n"/>
      <c r="O6" s="67" t="n"/>
      <c r="R6" s="66" t="n"/>
      <c r="S6" s="67" t="n"/>
      <c r="V6" s="66" t="n"/>
      <c r="W6" s="67" t="n"/>
      <c r="Z6" s="66" t="n"/>
      <c r="AA6" s="67" t="n"/>
      <c r="AD6" s="66" t="n"/>
      <c r="AE6" s="67" t="n"/>
      <c r="AH6" s="66" t="n"/>
      <c r="AI6" s="67" t="n"/>
    </row>
    <row r="7">
      <c r="B7" s="2">
        <f>IF(STUDENTS!B6="","",STUDENTS!B6)</f>
        <v/>
      </c>
      <c r="C7" s="44" t="inlineStr">
        <is>
          <t>Student 04</t>
        </is>
      </c>
      <c r="D7" s="54" t="n">
        <v>21</v>
      </c>
      <c r="E7" s="55" t="n">
        <v>50</v>
      </c>
      <c r="F7" s="48" t="n"/>
      <c r="G7" s="58" t="n"/>
      <c r="H7" s="62" t="n"/>
      <c r="I7" s="63" t="n"/>
      <c r="J7" s="48" t="n"/>
      <c r="K7" s="58" t="n"/>
      <c r="L7" s="42" t="n"/>
      <c r="M7" s="42" t="n"/>
      <c r="N7" s="48" t="n"/>
      <c r="O7" s="58" t="n"/>
      <c r="P7" s="42" t="n"/>
      <c r="Q7" s="42" t="n"/>
      <c r="R7" s="48" t="n"/>
      <c r="S7" s="58" t="n"/>
      <c r="T7" s="42" t="n"/>
      <c r="U7" s="42" t="n"/>
      <c r="V7" s="48" t="n"/>
      <c r="W7" s="58" t="n"/>
      <c r="X7" s="42" t="n"/>
      <c r="Y7" s="42" t="n"/>
      <c r="Z7" s="48" t="n"/>
      <c r="AA7" s="58" t="n"/>
      <c r="AB7" s="42" t="n"/>
      <c r="AC7" s="42" t="n"/>
      <c r="AD7" s="48" t="n"/>
      <c r="AE7" s="58" t="n"/>
      <c r="AF7" s="42" t="n"/>
      <c r="AG7" s="42" t="n"/>
      <c r="AH7" s="48" t="n"/>
      <c r="AI7" s="58" t="n"/>
    </row>
    <row r="8">
      <c r="B8" s="2">
        <f>IF(STUDENTS!B7="","",STUDENTS!B7)</f>
        <v/>
      </c>
      <c r="C8" s="44" t="inlineStr">
        <is>
          <t>Student 05</t>
        </is>
      </c>
      <c r="D8" s="56" t="n">
        <v>35</v>
      </c>
      <c r="E8" s="57" t="n">
        <v>51</v>
      </c>
      <c r="F8" s="66" t="n"/>
      <c r="G8" s="67" t="n"/>
      <c r="J8" s="66" t="n"/>
      <c r="K8" s="67" t="n"/>
      <c r="N8" s="66" t="n"/>
      <c r="O8" s="67" t="n"/>
      <c r="R8" s="66" t="n"/>
      <c r="S8" s="67" t="n"/>
      <c r="V8" s="66" t="n"/>
      <c r="W8" s="67" t="n"/>
      <c r="Z8" s="66" t="n"/>
      <c r="AA8" s="67" t="n"/>
      <c r="AD8" s="66" t="n"/>
      <c r="AE8" s="67" t="n"/>
      <c r="AH8" s="66" t="n"/>
      <c r="AI8" s="67" t="n"/>
    </row>
    <row r="9">
      <c r="B9" s="2">
        <f>IF(STUDENTS!B8="","",STUDENTS!B8)</f>
        <v/>
      </c>
      <c r="C9" s="44" t="inlineStr">
        <is>
          <t>Student 06</t>
        </is>
      </c>
      <c r="D9" s="54" t="n">
        <v>32</v>
      </c>
      <c r="E9" s="55" t="n">
        <v>49</v>
      </c>
      <c r="F9" s="48" t="n"/>
      <c r="G9" s="58" t="n"/>
      <c r="H9" s="62" t="n"/>
      <c r="I9" s="63" t="n"/>
      <c r="J9" s="48" t="n"/>
      <c r="K9" s="58" t="n"/>
      <c r="L9" s="42" t="n"/>
      <c r="M9" s="42" t="n"/>
      <c r="N9" s="48" t="n"/>
      <c r="O9" s="58" t="n"/>
      <c r="P9" s="42" t="n"/>
      <c r="Q9" s="42" t="n"/>
      <c r="R9" s="48" t="n"/>
      <c r="S9" s="58" t="n"/>
      <c r="T9" s="42" t="n"/>
      <c r="U9" s="42" t="n"/>
      <c r="V9" s="48" t="n"/>
      <c r="W9" s="58" t="n"/>
      <c r="X9" s="42" t="n"/>
      <c r="Y9" s="42" t="n"/>
      <c r="Z9" s="48" t="n"/>
      <c r="AA9" s="58" t="n"/>
      <c r="AB9" s="42" t="n"/>
      <c r="AC9" s="42" t="n"/>
      <c r="AD9" s="48" t="n"/>
      <c r="AE9" s="58" t="n"/>
      <c r="AF9" s="42" t="n"/>
      <c r="AG9" s="42" t="n"/>
      <c r="AH9" s="48" t="n"/>
      <c r="AI9" s="58" t="n"/>
    </row>
    <row r="10">
      <c r="B10" s="2">
        <f>IF(STUDENTS!B9="","",STUDENTS!B9)</f>
        <v/>
      </c>
      <c r="C10" s="44" t="inlineStr">
        <is>
          <t>Student 07</t>
        </is>
      </c>
      <c r="F10" s="66" t="n"/>
      <c r="G10" s="67" t="n"/>
      <c r="J10" s="66" t="n"/>
      <c r="K10" s="67" t="n"/>
      <c r="N10" s="66" t="n"/>
      <c r="O10" s="67" t="n"/>
      <c r="R10" s="66" t="n"/>
      <c r="S10" s="67" t="n"/>
      <c r="V10" s="66" t="n"/>
      <c r="W10" s="67" t="n"/>
      <c r="Z10" s="66" t="n"/>
      <c r="AA10" s="67" t="n"/>
      <c r="AD10" s="66" t="n"/>
      <c r="AE10" s="67" t="n"/>
      <c r="AH10" s="66" t="n"/>
      <c r="AI10" s="67" t="n"/>
    </row>
    <row r="11">
      <c r="B11" s="2">
        <f>IF(STUDENTS!B10="","",STUDENTS!B10)</f>
        <v/>
      </c>
      <c r="C11" s="44" t="inlineStr">
        <is>
          <t>Student 08</t>
        </is>
      </c>
      <c r="D11" s="54" t="n"/>
      <c r="E11" s="55" t="n"/>
      <c r="F11" s="48" t="n"/>
      <c r="G11" s="58" t="n"/>
      <c r="H11" s="62" t="n"/>
      <c r="I11" s="63" t="n"/>
      <c r="J11" s="48" t="n"/>
      <c r="K11" s="58" t="n"/>
      <c r="L11" s="42" t="n"/>
      <c r="M11" s="42" t="n"/>
      <c r="N11" s="48" t="n"/>
      <c r="O11" s="58" t="n"/>
      <c r="P11" s="42" t="n"/>
      <c r="Q11" s="42" t="n"/>
      <c r="R11" s="48" t="n"/>
      <c r="S11" s="58" t="n"/>
      <c r="T11" s="42" t="n"/>
      <c r="U11" s="42" t="n"/>
      <c r="V11" s="48" t="n"/>
      <c r="W11" s="58" t="n"/>
      <c r="X11" s="42" t="n"/>
      <c r="Y11" s="42" t="n"/>
      <c r="Z11" s="48" t="n"/>
      <c r="AA11" s="58" t="n"/>
      <c r="AB11" s="42" t="n"/>
      <c r="AC11" s="42" t="n"/>
      <c r="AD11" s="48" t="n"/>
      <c r="AE11" s="58" t="n"/>
      <c r="AF11" s="42" t="n"/>
      <c r="AG11" s="42" t="n"/>
      <c r="AH11" s="48" t="n"/>
      <c r="AI11" s="58" t="n"/>
    </row>
    <row r="12">
      <c r="B12" s="2">
        <f>IF(STUDENTS!B11="","",STUDENTS!B11)</f>
        <v/>
      </c>
      <c r="C12" s="44" t="inlineStr">
        <is>
          <t>Student 09</t>
        </is>
      </c>
      <c r="F12" s="66" t="n"/>
      <c r="G12" s="67" t="n"/>
      <c r="J12" s="66" t="n"/>
      <c r="K12" s="67" t="n"/>
      <c r="N12" s="66" t="n"/>
      <c r="O12" s="67" t="n"/>
      <c r="R12" s="66" t="n"/>
      <c r="S12" s="67" t="n"/>
      <c r="V12" s="66" t="n"/>
      <c r="W12" s="67" t="n"/>
      <c r="Z12" s="66" t="n"/>
      <c r="AA12" s="67" t="n"/>
      <c r="AD12" s="66" t="n"/>
      <c r="AE12" s="67" t="n"/>
      <c r="AH12" s="66" t="n"/>
      <c r="AI12" s="67" t="n"/>
    </row>
    <row r="13">
      <c r="B13" s="2">
        <f>IF(STUDENTS!B12="","",STUDENTS!B12)</f>
        <v/>
      </c>
      <c r="C13" s="44" t="inlineStr">
        <is>
          <t>Student 10</t>
        </is>
      </c>
      <c r="D13" s="54" t="n"/>
      <c r="E13" s="55" t="n"/>
      <c r="F13" s="48" t="n"/>
      <c r="G13" s="58" t="n"/>
      <c r="H13" s="62" t="n"/>
      <c r="I13" s="63" t="n"/>
      <c r="J13" s="48" t="n"/>
      <c r="K13" s="58" t="n"/>
      <c r="L13" s="42" t="n"/>
      <c r="M13" s="42" t="n"/>
      <c r="N13" s="48" t="n"/>
      <c r="O13" s="58" t="n"/>
      <c r="P13" s="42" t="n"/>
      <c r="Q13" s="42" t="n"/>
      <c r="R13" s="48" t="n"/>
      <c r="S13" s="58" t="n"/>
      <c r="T13" s="42" t="n"/>
      <c r="U13" s="42" t="n"/>
      <c r="V13" s="48" t="n"/>
      <c r="W13" s="58" t="n"/>
      <c r="X13" s="42" t="n"/>
      <c r="Y13" s="42" t="n"/>
      <c r="Z13" s="48" t="n"/>
      <c r="AA13" s="58" t="n"/>
      <c r="AB13" s="42" t="n"/>
      <c r="AC13" s="42" t="n"/>
      <c r="AD13" s="48" t="n"/>
      <c r="AE13" s="58" t="n"/>
      <c r="AF13" s="42" t="n"/>
      <c r="AG13" s="42" t="n"/>
      <c r="AH13" s="48" t="n"/>
      <c r="AI13" s="58" t="n"/>
    </row>
    <row r="14">
      <c r="B14" s="2">
        <f>IF(STUDENTS!B13="","",STUDENTS!B13)</f>
        <v/>
      </c>
      <c r="C14" s="44" t="inlineStr">
        <is>
          <t>Student 11</t>
        </is>
      </c>
      <c r="F14" s="66" t="n"/>
      <c r="G14" s="67" t="n"/>
      <c r="J14" s="66" t="n"/>
      <c r="K14" s="67" t="n"/>
      <c r="N14" s="66" t="n"/>
      <c r="O14" s="67" t="n"/>
      <c r="R14" s="66" t="n"/>
      <c r="S14" s="67" t="n"/>
      <c r="V14" s="66" t="n"/>
      <c r="W14" s="67" t="n"/>
      <c r="Z14" s="66" t="n"/>
      <c r="AA14" s="67" t="n"/>
      <c r="AD14" s="66" t="n"/>
      <c r="AE14" s="67" t="n"/>
      <c r="AH14" s="66" t="n"/>
      <c r="AI14" s="67" t="n"/>
    </row>
    <row r="15">
      <c r="B15" s="2">
        <f>IF(STUDENTS!B14="","",STUDENTS!B14)</f>
        <v/>
      </c>
      <c r="C15" s="44" t="inlineStr">
        <is>
          <t>Student 12</t>
        </is>
      </c>
      <c r="D15" s="54" t="n"/>
      <c r="E15" s="55" t="n"/>
      <c r="F15" s="48" t="n"/>
      <c r="G15" s="58" t="n"/>
      <c r="H15" s="62" t="n"/>
      <c r="I15" s="63" t="n"/>
      <c r="J15" s="48" t="n"/>
      <c r="K15" s="58" t="n"/>
      <c r="L15" s="42" t="n"/>
      <c r="M15" s="42" t="n"/>
      <c r="N15" s="48" t="n"/>
      <c r="O15" s="58" t="n"/>
      <c r="P15" s="42" t="n"/>
      <c r="Q15" s="42" t="n"/>
      <c r="R15" s="48" t="n"/>
      <c r="S15" s="58" t="n"/>
      <c r="T15" s="42" t="n"/>
      <c r="U15" s="42" t="n"/>
      <c r="V15" s="48" t="n"/>
      <c r="W15" s="58" t="n"/>
      <c r="X15" s="42" t="n"/>
      <c r="Y15" s="42" t="n"/>
      <c r="Z15" s="48" t="n"/>
      <c r="AA15" s="58" t="n"/>
      <c r="AB15" s="42" t="n"/>
      <c r="AC15" s="42" t="n"/>
      <c r="AD15" s="48" t="n"/>
      <c r="AE15" s="58" t="n"/>
      <c r="AF15" s="42" t="n"/>
      <c r="AG15" s="42" t="n"/>
      <c r="AH15" s="48" t="n"/>
      <c r="AI15" s="58" t="n"/>
    </row>
    <row r="16">
      <c r="B16" s="2">
        <f>IF(STUDENTS!B15="","",STUDENTS!B15)</f>
        <v/>
      </c>
      <c r="C16" s="44" t="inlineStr">
        <is>
          <t>Student 13</t>
        </is>
      </c>
      <c r="F16" s="66" t="n"/>
      <c r="G16" s="67" t="n"/>
      <c r="J16" s="66" t="n"/>
      <c r="K16" s="67" t="n"/>
      <c r="N16" s="66" t="n"/>
      <c r="O16" s="67" t="n"/>
      <c r="R16" s="66" t="n"/>
      <c r="S16" s="67" t="n"/>
      <c r="V16" s="66" t="n"/>
      <c r="W16" s="67" t="n"/>
      <c r="Z16" s="66" t="n"/>
      <c r="AA16" s="67" t="n"/>
      <c r="AD16" s="66" t="n"/>
      <c r="AE16" s="67" t="n"/>
      <c r="AH16" s="66" t="n"/>
      <c r="AI16" s="67" t="n"/>
    </row>
    <row r="17">
      <c r="B17" s="2">
        <f>IF(STUDENTS!B16="","",STUDENTS!B16)</f>
        <v/>
      </c>
      <c r="C17" s="44" t="inlineStr">
        <is>
          <t>Student 14</t>
        </is>
      </c>
      <c r="D17" s="54" t="n"/>
      <c r="E17" s="55" t="n"/>
      <c r="F17" s="48" t="n"/>
      <c r="G17" s="58" t="n"/>
      <c r="H17" s="62" t="n"/>
      <c r="I17" s="63" t="n"/>
      <c r="J17" s="48" t="n"/>
      <c r="K17" s="58" t="n"/>
      <c r="L17" s="42" t="n"/>
      <c r="M17" s="42" t="n"/>
      <c r="N17" s="48" t="n"/>
      <c r="O17" s="58" t="n"/>
      <c r="P17" s="42" t="n"/>
      <c r="Q17" s="42" t="n"/>
      <c r="R17" s="48" t="n"/>
      <c r="S17" s="58" t="n"/>
      <c r="T17" s="42" t="n"/>
      <c r="U17" s="42" t="n"/>
      <c r="V17" s="48" t="n"/>
      <c r="W17" s="58" t="n"/>
      <c r="X17" s="42" t="n"/>
      <c r="Y17" s="42" t="n"/>
      <c r="Z17" s="48" t="n"/>
      <c r="AA17" s="58" t="n"/>
      <c r="AB17" s="42" t="n"/>
      <c r="AC17" s="42" t="n"/>
      <c r="AD17" s="48" t="n"/>
      <c r="AE17" s="58" t="n"/>
      <c r="AF17" s="42" t="n"/>
      <c r="AG17" s="42" t="n"/>
      <c r="AH17" s="48" t="n"/>
      <c r="AI17" s="58" t="n"/>
    </row>
    <row r="18">
      <c r="B18" s="2">
        <f>IF(STUDENTS!B17="","",STUDENTS!B17)</f>
        <v/>
      </c>
      <c r="C18" s="44" t="inlineStr">
        <is>
          <t>Student 15</t>
        </is>
      </c>
      <c r="F18" s="66" t="n"/>
      <c r="G18" s="67" t="n"/>
      <c r="J18" s="66" t="n"/>
      <c r="K18" s="67" t="n"/>
      <c r="N18" s="66" t="n"/>
      <c r="O18" s="67" t="n"/>
      <c r="R18" s="66" t="n"/>
      <c r="S18" s="67" t="n"/>
      <c r="V18" s="66" t="n"/>
      <c r="W18" s="67" t="n"/>
      <c r="Z18" s="66" t="n"/>
      <c r="AA18" s="67" t="n"/>
      <c r="AD18" s="66" t="n"/>
      <c r="AE18" s="67" t="n"/>
      <c r="AH18" s="66" t="n"/>
      <c r="AI18" s="67" t="n"/>
    </row>
    <row r="19">
      <c r="B19" s="2">
        <f>IF(STUDENTS!B18="","",STUDENTS!B18)</f>
        <v/>
      </c>
      <c r="C19" s="44" t="inlineStr">
        <is>
          <t>Student 16</t>
        </is>
      </c>
      <c r="D19" s="54" t="n"/>
      <c r="E19" s="55" t="n"/>
      <c r="F19" s="48" t="n"/>
      <c r="G19" s="58" t="n"/>
      <c r="H19" s="62" t="n"/>
      <c r="I19" s="63" t="n"/>
      <c r="J19" s="48" t="n"/>
      <c r="K19" s="58" t="n"/>
      <c r="L19" s="42" t="n"/>
      <c r="M19" s="42" t="n"/>
      <c r="N19" s="48" t="n"/>
      <c r="O19" s="58" t="n"/>
      <c r="P19" s="42" t="n"/>
      <c r="Q19" s="42" t="n"/>
      <c r="R19" s="48" t="n"/>
      <c r="S19" s="58" t="n"/>
      <c r="T19" s="42" t="n"/>
      <c r="U19" s="42" t="n"/>
      <c r="V19" s="48" t="n"/>
      <c r="W19" s="58" t="n"/>
      <c r="X19" s="42" t="n"/>
      <c r="Y19" s="42" t="n"/>
      <c r="Z19" s="48" t="n"/>
      <c r="AA19" s="58" t="n"/>
      <c r="AB19" s="42" t="n"/>
      <c r="AC19" s="42" t="n"/>
      <c r="AD19" s="48" t="n"/>
      <c r="AE19" s="58" t="n"/>
      <c r="AF19" s="42" t="n"/>
      <c r="AG19" s="42" t="n"/>
      <c r="AH19" s="48" t="n"/>
      <c r="AI19" s="58" t="n"/>
    </row>
    <row r="20">
      <c r="B20" s="2">
        <f>IF(STUDENTS!B19="","",STUDENTS!B19)</f>
        <v/>
      </c>
      <c r="C20" s="44" t="inlineStr">
        <is>
          <t>Student 17</t>
        </is>
      </c>
      <c r="F20" s="66" t="n"/>
      <c r="G20" s="67" t="n"/>
      <c r="J20" s="66" t="n"/>
      <c r="K20" s="67" t="n"/>
      <c r="N20" s="66" t="n"/>
      <c r="O20" s="67" t="n"/>
      <c r="R20" s="66" t="n"/>
      <c r="S20" s="67" t="n"/>
      <c r="V20" s="66" t="n"/>
      <c r="W20" s="67" t="n"/>
      <c r="Z20" s="66" t="n"/>
      <c r="AA20" s="67" t="n"/>
      <c r="AD20" s="66" t="n"/>
      <c r="AE20" s="67" t="n"/>
      <c r="AH20" s="66" t="n"/>
      <c r="AI20" s="67" t="n"/>
    </row>
    <row r="21">
      <c r="B21" s="2">
        <f>IF(STUDENTS!B20="","",STUDENTS!B20)</f>
        <v/>
      </c>
      <c r="C21" s="44" t="inlineStr">
        <is>
          <t>Student 18</t>
        </is>
      </c>
      <c r="D21" s="54" t="n"/>
      <c r="E21" s="55" t="n"/>
      <c r="F21" s="48" t="n"/>
      <c r="G21" s="58" t="n"/>
      <c r="H21" s="62" t="n"/>
      <c r="I21" s="63" t="n"/>
      <c r="J21" s="48" t="n"/>
      <c r="K21" s="58" t="n"/>
      <c r="L21" s="42" t="n"/>
      <c r="M21" s="42" t="n"/>
      <c r="N21" s="48" t="n"/>
      <c r="O21" s="58" t="n"/>
      <c r="P21" s="42" t="n"/>
      <c r="Q21" s="42" t="n"/>
      <c r="R21" s="48" t="n"/>
      <c r="S21" s="58" t="n"/>
      <c r="T21" s="42" t="n"/>
      <c r="U21" s="42" t="n"/>
      <c r="V21" s="48" t="n"/>
      <c r="W21" s="58" t="n"/>
      <c r="X21" s="42" t="n"/>
      <c r="Y21" s="42" t="n"/>
      <c r="Z21" s="48" t="n"/>
      <c r="AA21" s="58" t="n"/>
      <c r="AB21" s="42" t="n"/>
      <c r="AC21" s="42" t="n"/>
      <c r="AD21" s="48" t="n"/>
      <c r="AE21" s="58" t="n"/>
      <c r="AF21" s="42" t="n"/>
      <c r="AG21" s="42" t="n"/>
      <c r="AH21" s="48" t="n"/>
      <c r="AI21" s="58" t="n"/>
    </row>
    <row r="22">
      <c r="B22" s="2">
        <f>IF(STUDENTS!B21="","",STUDENTS!B21)</f>
        <v/>
      </c>
      <c r="C22" s="44" t="inlineStr">
        <is>
          <t>Student 19</t>
        </is>
      </c>
      <c r="F22" s="66" t="n"/>
      <c r="G22" s="67" t="n"/>
      <c r="J22" s="66" t="n"/>
      <c r="K22" s="67" t="n"/>
      <c r="N22" s="66" t="n"/>
      <c r="O22" s="67" t="n"/>
      <c r="R22" s="66" t="n"/>
      <c r="S22" s="67" t="n"/>
      <c r="V22" s="66" t="n"/>
      <c r="W22" s="67" t="n"/>
      <c r="Z22" s="66" t="n"/>
      <c r="AA22" s="67" t="n"/>
      <c r="AD22" s="66" t="n"/>
      <c r="AE22" s="67" t="n"/>
      <c r="AH22" s="66" t="n"/>
      <c r="AI22" s="67" t="n"/>
    </row>
    <row r="23">
      <c r="B23" s="2">
        <f>IF(STUDENTS!B22="","",STUDENTS!B22)</f>
        <v/>
      </c>
      <c r="C23" s="44" t="inlineStr">
        <is>
          <t>Student 20</t>
        </is>
      </c>
      <c r="D23" s="54" t="n"/>
      <c r="E23" s="55" t="n"/>
      <c r="F23" s="48" t="n"/>
      <c r="G23" s="58" t="n"/>
      <c r="H23" s="62" t="n"/>
      <c r="I23" s="63" t="n"/>
      <c r="J23" s="48" t="n"/>
      <c r="K23" s="58" t="n"/>
      <c r="L23" s="42" t="n"/>
      <c r="M23" s="42" t="n"/>
      <c r="N23" s="48" t="n"/>
      <c r="O23" s="58" t="n"/>
      <c r="P23" s="42" t="n"/>
      <c r="Q23" s="42" t="n"/>
      <c r="R23" s="48" t="n"/>
      <c r="S23" s="58" t="n"/>
      <c r="T23" s="42" t="n"/>
      <c r="U23" s="42" t="n"/>
      <c r="V23" s="48" t="n"/>
      <c r="W23" s="58" t="n"/>
      <c r="X23" s="42" t="n"/>
      <c r="Y23" s="42" t="n"/>
      <c r="Z23" s="48" t="n"/>
      <c r="AA23" s="58" t="n"/>
      <c r="AB23" s="42" t="n"/>
      <c r="AC23" s="42" t="n"/>
      <c r="AD23" s="48" t="n"/>
      <c r="AE23" s="58" t="n"/>
      <c r="AF23" s="42" t="n"/>
      <c r="AG23" s="42" t="n"/>
      <c r="AH23" s="48" t="n"/>
      <c r="AI23" s="58" t="n"/>
    </row>
    <row r="24">
      <c r="B24" s="2">
        <f>IF(STUDENTS!B23="","",STUDENTS!B23)</f>
        <v/>
      </c>
      <c r="C24" s="44" t="inlineStr">
        <is>
          <t>Student 21</t>
        </is>
      </c>
      <c r="F24" s="66" t="n"/>
      <c r="G24" s="67" t="n"/>
      <c r="J24" s="66" t="n"/>
      <c r="K24" s="67" t="n"/>
      <c r="N24" s="66" t="n"/>
      <c r="O24" s="67" t="n"/>
      <c r="R24" s="66" t="n"/>
      <c r="S24" s="67" t="n"/>
      <c r="V24" s="66" t="n"/>
      <c r="W24" s="67" t="n"/>
      <c r="Z24" s="66" t="n"/>
      <c r="AA24" s="67" t="n"/>
      <c r="AD24" s="66" t="n"/>
      <c r="AE24" s="67" t="n"/>
      <c r="AH24" s="66" t="n"/>
      <c r="AI24" s="67" t="n"/>
    </row>
    <row r="25">
      <c r="B25" s="2">
        <f>IF(STUDENTS!B24="","",STUDENTS!B24)</f>
        <v/>
      </c>
      <c r="C25" s="44" t="inlineStr">
        <is>
          <t>Student 22</t>
        </is>
      </c>
      <c r="D25" s="54" t="n"/>
      <c r="E25" s="55" t="n"/>
      <c r="F25" s="48" t="n"/>
      <c r="G25" s="58" t="n"/>
      <c r="H25" s="62" t="n"/>
      <c r="I25" s="63" t="n"/>
      <c r="J25" s="48" t="n"/>
      <c r="K25" s="58" t="n"/>
      <c r="L25" s="42" t="n"/>
      <c r="M25" s="42" t="n"/>
      <c r="N25" s="48" t="n"/>
      <c r="O25" s="58" t="n"/>
      <c r="P25" s="42" t="n"/>
      <c r="Q25" s="42" t="n"/>
      <c r="R25" s="48" t="n"/>
      <c r="S25" s="58" t="n"/>
      <c r="T25" s="42" t="n"/>
      <c r="U25" s="42" t="n"/>
      <c r="V25" s="48" t="n"/>
      <c r="W25" s="58" t="n"/>
      <c r="X25" s="42" t="n"/>
      <c r="Y25" s="42" t="n"/>
      <c r="Z25" s="48" t="n"/>
      <c r="AA25" s="58" t="n"/>
      <c r="AB25" s="42" t="n"/>
      <c r="AC25" s="42" t="n"/>
      <c r="AD25" s="48" t="n"/>
      <c r="AE25" s="58" t="n"/>
      <c r="AF25" s="42" t="n"/>
      <c r="AG25" s="42" t="n"/>
      <c r="AH25" s="48" t="n"/>
      <c r="AI25" s="58" t="n"/>
    </row>
    <row r="26">
      <c r="B26" s="2">
        <f>IF(STUDENTS!B25="","",STUDENTS!B25)</f>
        <v/>
      </c>
      <c r="C26" s="44" t="inlineStr">
        <is>
          <t>Student 23</t>
        </is>
      </c>
      <c r="F26" s="66" t="n"/>
      <c r="G26" s="67" t="n"/>
      <c r="J26" s="66" t="n"/>
      <c r="K26" s="67" t="n"/>
      <c r="N26" s="66" t="n"/>
      <c r="O26" s="67" t="n"/>
      <c r="R26" s="66" t="n"/>
      <c r="S26" s="67" t="n"/>
      <c r="V26" s="66" t="n"/>
      <c r="W26" s="67" t="n"/>
      <c r="Z26" s="66" t="n"/>
      <c r="AA26" s="67" t="n"/>
      <c r="AD26" s="66" t="n"/>
      <c r="AE26" s="67" t="n"/>
      <c r="AH26" s="66" t="n"/>
      <c r="AI26" s="67" t="n"/>
    </row>
    <row r="27">
      <c r="B27" s="2">
        <f>IF(STUDENTS!B26="","",STUDENTS!B26)</f>
        <v/>
      </c>
      <c r="C27" s="44" t="inlineStr">
        <is>
          <t>Student 24</t>
        </is>
      </c>
      <c r="D27" s="54" t="n"/>
      <c r="E27" s="55" t="n"/>
      <c r="F27" s="48" t="n"/>
      <c r="G27" s="58" t="n"/>
      <c r="H27" s="62" t="n"/>
      <c r="I27" s="63" t="n"/>
      <c r="J27" s="48" t="n"/>
      <c r="K27" s="58" t="n"/>
      <c r="L27" s="42" t="n"/>
      <c r="M27" s="42" t="n"/>
      <c r="N27" s="48" t="n"/>
      <c r="O27" s="58" t="n"/>
      <c r="P27" s="42" t="n"/>
      <c r="Q27" s="42" t="n"/>
      <c r="R27" s="48" t="n"/>
      <c r="S27" s="58" t="n"/>
      <c r="T27" s="42" t="n"/>
      <c r="U27" s="42" t="n"/>
      <c r="V27" s="48" t="n"/>
      <c r="W27" s="58" t="n"/>
      <c r="X27" s="42" t="n"/>
      <c r="Y27" s="42" t="n"/>
      <c r="Z27" s="48" t="n"/>
      <c r="AA27" s="58" t="n"/>
      <c r="AB27" s="42" t="n"/>
      <c r="AC27" s="42" t="n"/>
      <c r="AD27" s="48" t="n"/>
      <c r="AE27" s="58" t="n"/>
      <c r="AF27" s="42" t="n"/>
      <c r="AG27" s="42" t="n"/>
      <c r="AH27" s="48" t="n"/>
      <c r="AI27" s="58" t="n"/>
    </row>
    <row r="28">
      <c r="B28" s="2">
        <f>IF(STUDENTS!B27="","",STUDENTS!B27)</f>
        <v/>
      </c>
      <c r="C28" s="44" t="inlineStr">
        <is>
          <t>Student 25</t>
        </is>
      </c>
      <c r="F28" s="66" t="n"/>
      <c r="G28" s="67" t="n"/>
      <c r="J28" s="66" t="n"/>
      <c r="K28" s="67" t="n"/>
      <c r="N28" s="66" t="n"/>
      <c r="O28" s="67" t="n"/>
      <c r="R28" s="66" t="n"/>
      <c r="S28" s="67" t="n"/>
      <c r="V28" s="66" t="n"/>
      <c r="W28" s="67" t="n"/>
      <c r="Z28" s="66" t="n"/>
      <c r="AA28" s="67" t="n"/>
      <c r="AD28" s="66" t="n"/>
      <c r="AE28" s="67" t="n"/>
      <c r="AH28" s="66" t="n"/>
      <c r="AI28" s="67" t="n"/>
    </row>
    <row r="29">
      <c r="B29" s="2">
        <f>IF(STUDENTS!B28="","",STUDENTS!B28)</f>
        <v/>
      </c>
      <c r="C29" s="44" t="inlineStr">
        <is>
          <t>Student 26</t>
        </is>
      </c>
      <c r="D29" s="54" t="n"/>
      <c r="E29" s="55" t="n"/>
      <c r="F29" s="48" t="n"/>
      <c r="G29" s="58" t="n"/>
      <c r="H29" s="62" t="n"/>
      <c r="I29" s="63" t="n"/>
      <c r="J29" s="48" t="n"/>
      <c r="K29" s="58" t="n"/>
      <c r="L29" s="42" t="n"/>
      <c r="M29" s="42" t="n"/>
      <c r="N29" s="48" t="n"/>
      <c r="O29" s="58" t="n"/>
      <c r="P29" s="42" t="n"/>
      <c r="Q29" s="42" t="n"/>
      <c r="R29" s="48" t="n"/>
      <c r="S29" s="58" t="n"/>
      <c r="T29" s="42" t="n"/>
      <c r="U29" s="42" t="n"/>
      <c r="V29" s="48" t="n"/>
      <c r="W29" s="58" t="n"/>
      <c r="X29" s="42" t="n"/>
      <c r="Y29" s="42" t="n"/>
      <c r="Z29" s="48" t="n"/>
      <c r="AA29" s="58" t="n"/>
      <c r="AB29" s="42" t="n"/>
      <c r="AC29" s="42" t="n"/>
      <c r="AD29" s="48" t="n"/>
      <c r="AE29" s="58" t="n"/>
      <c r="AF29" s="42" t="n"/>
      <c r="AG29" s="42" t="n"/>
      <c r="AH29" s="48" t="n"/>
      <c r="AI29" s="58" t="n"/>
    </row>
    <row r="30">
      <c r="B30" s="2">
        <f>IF(STUDENTS!B29="","",STUDENTS!B29)</f>
        <v/>
      </c>
      <c r="C30" s="44" t="inlineStr">
        <is>
          <t>Student 27</t>
        </is>
      </c>
      <c r="F30" s="66" t="n"/>
      <c r="G30" s="67" t="n"/>
      <c r="J30" s="66" t="n"/>
      <c r="K30" s="67" t="n"/>
      <c r="N30" s="66" t="n"/>
      <c r="O30" s="67" t="n"/>
      <c r="R30" s="66" t="n"/>
      <c r="S30" s="67" t="n"/>
      <c r="V30" s="66" t="n"/>
      <c r="W30" s="67" t="n"/>
      <c r="Z30" s="66" t="n"/>
      <c r="AA30" s="67" t="n"/>
      <c r="AD30" s="66" t="n"/>
      <c r="AE30" s="67" t="n"/>
      <c r="AH30" s="66" t="n"/>
      <c r="AI30" s="67" t="n"/>
    </row>
    <row r="31">
      <c r="B31" s="2">
        <f>IF(STUDENTS!B30="","",STUDENTS!B30)</f>
        <v/>
      </c>
      <c r="C31" s="44" t="inlineStr">
        <is>
          <t>Student 28</t>
        </is>
      </c>
      <c r="D31" s="54" t="n"/>
      <c r="E31" s="55" t="n"/>
      <c r="F31" s="48" t="n"/>
      <c r="G31" s="58" t="n"/>
      <c r="H31" s="62" t="n"/>
      <c r="I31" s="63" t="n"/>
      <c r="J31" s="48" t="n"/>
      <c r="K31" s="58" t="n"/>
      <c r="L31" s="42" t="n"/>
      <c r="M31" s="42" t="n"/>
      <c r="N31" s="48" t="n"/>
      <c r="O31" s="58" t="n"/>
      <c r="P31" s="42" t="n"/>
      <c r="Q31" s="42" t="n"/>
      <c r="R31" s="48" t="n"/>
      <c r="S31" s="58" t="n"/>
      <c r="T31" s="42" t="n"/>
      <c r="U31" s="42" t="n"/>
      <c r="V31" s="48" t="n"/>
      <c r="W31" s="58" t="n"/>
      <c r="X31" s="42" t="n"/>
      <c r="Y31" s="42" t="n"/>
      <c r="Z31" s="48" t="n"/>
      <c r="AA31" s="58" t="n"/>
      <c r="AB31" s="42" t="n"/>
      <c r="AC31" s="42" t="n"/>
      <c r="AD31" s="48" t="n"/>
      <c r="AE31" s="58" t="n"/>
      <c r="AF31" s="42" t="n"/>
      <c r="AG31" s="42" t="n"/>
      <c r="AH31" s="48" t="n"/>
      <c r="AI31" s="58" t="n"/>
    </row>
    <row r="32">
      <c r="B32" s="2">
        <f>IF(STUDENTS!B31="","",STUDENTS!B31)</f>
        <v/>
      </c>
      <c r="C32" s="44" t="inlineStr">
        <is>
          <t>Student 29</t>
        </is>
      </c>
      <c r="F32" s="66" t="n"/>
      <c r="G32" s="67" t="n"/>
      <c r="J32" s="66" t="n"/>
      <c r="K32" s="67" t="n"/>
      <c r="N32" s="66" t="n"/>
      <c r="O32" s="67" t="n"/>
      <c r="R32" s="66" t="n"/>
      <c r="S32" s="67" t="n"/>
      <c r="V32" s="66" t="n"/>
      <c r="W32" s="67" t="n"/>
      <c r="Z32" s="66" t="n"/>
      <c r="AA32" s="67" t="n"/>
      <c r="AD32" s="66" t="n"/>
      <c r="AE32" s="67" t="n"/>
      <c r="AH32" s="66" t="n"/>
      <c r="AI32" s="67" t="n"/>
    </row>
    <row r="33">
      <c r="B33" s="2">
        <f>IF(STUDENTS!B32="","",STUDENTS!B32)</f>
        <v/>
      </c>
      <c r="C33" s="44" t="inlineStr">
        <is>
          <t>Student 30</t>
        </is>
      </c>
      <c r="D33" s="54" t="n"/>
      <c r="E33" s="55" t="n"/>
      <c r="F33" s="48" t="n"/>
      <c r="G33" s="58" t="n"/>
      <c r="H33" s="62" t="n"/>
      <c r="I33" s="63" t="n"/>
      <c r="J33" s="48" t="n"/>
      <c r="K33" s="58" t="n"/>
      <c r="L33" s="42" t="n"/>
      <c r="M33" s="42" t="n"/>
      <c r="N33" s="48" t="n"/>
      <c r="O33" s="58" t="n"/>
      <c r="P33" s="42" t="n"/>
      <c r="Q33" s="42" t="n"/>
      <c r="R33" s="48" t="n"/>
      <c r="S33" s="58" t="n"/>
      <c r="T33" s="42" t="n"/>
      <c r="U33" s="42" t="n"/>
      <c r="V33" s="48" t="n"/>
      <c r="W33" s="58" t="n"/>
      <c r="X33" s="42" t="n"/>
      <c r="Y33" s="42" t="n"/>
      <c r="Z33" s="48" t="n"/>
      <c r="AA33" s="58" t="n"/>
      <c r="AB33" s="42" t="n"/>
      <c r="AC33" s="42" t="n"/>
      <c r="AD33" s="48" t="n"/>
      <c r="AE33" s="58" t="n"/>
      <c r="AF33" s="42" t="n"/>
      <c r="AG33" s="42" t="n"/>
      <c r="AH33" s="48" t="n"/>
      <c r="AI33" s="58" t="n"/>
    </row>
    <row r="34">
      <c r="B34" s="2">
        <f>IF(STUDENTS!B33="","",STUDENTS!B33)</f>
        <v/>
      </c>
      <c r="C34" s="44" t="inlineStr">
        <is>
          <t>Student 31</t>
        </is>
      </c>
      <c r="F34" s="66" t="n"/>
      <c r="G34" s="67" t="n"/>
      <c r="J34" s="66" t="n"/>
      <c r="K34" s="67" t="n"/>
      <c r="N34" s="66" t="n"/>
      <c r="O34" s="67" t="n"/>
      <c r="R34" s="66" t="n"/>
      <c r="S34" s="67" t="n"/>
      <c r="V34" s="66" t="n"/>
      <c r="W34" s="67" t="n"/>
      <c r="Z34" s="66" t="n"/>
      <c r="AA34" s="67" t="n"/>
      <c r="AD34" s="66" t="n"/>
      <c r="AE34" s="67" t="n"/>
      <c r="AH34" s="66" t="n"/>
      <c r="AI34" s="67" t="n"/>
    </row>
    <row r="35">
      <c r="B35" s="2">
        <f>IF(STUDENTS!B34="","",STUDENTS!B34)</f>
        <v/>
      </c>
      <c r="C35" s="44" t="inlineStr">
        <is>
          <t>Student 32</t>
        </is>
      </c>
      <c r="D35" s="54" t="n"/>
      <c r="E35" s="55" t="n"/>
      <c r="F35" s="48" t="n"/>
      <c r="G35" s="58" t="n"/>
      <c r="H35" s="62" t="n"/>
      <c r="I35" s="63" t="n"/>
      <c r="J35" s="48" t="n"/>
      <c r="K35" s="58" t="n"/>
      <c r="L35" s="42" t="n"/>
      <c r="M35" s="42" t="n"/>
      <c r="N35" s="48" t="n"/>
      <c r="O35" s="58" t="n"/>
      <c r="P35" s="42" t="n"/>
      <c r="Q35" s="42" t="n"/>
      <c r="R35" s="48" t="n"/>
      <c r="S35" s="58" t="n"/>
      <c r="T35" s="42" t="n"/>
      <c r="U35" s="42" t="n"/>
      <c r="V35" s="48" t="n"/>
      <c r="W35" s="58" t="n"/>
      <c r="X35" s="42" t="n"/>
      <c r="Y35" s="42" t="n"/>
      <c r="Z35" s="48" t="n"/>
      <c r="AA35" s="58" t="n"/>
      <c r="AB35" s="42" t="n"/>
      <c r="AC35" s="42" t="n"/>
      <c r="AD35" s="48" t="n"/>
      <c r="AE35" s="58" t="n"/>
      <c r="AF35" s="42" t="n"/>
      <c r="AG35" s="42" t="n"/>
      <c r="AH35" s="48" t="n"/>
      <c r="AI35" s="58" t="n"/>
    </row>
    <row r="36">
      <c r="B36" s="2">
        <f>IF(STUDENTS!B35="","",STUDENTS!B35)</f>
        <v/>
      </c>
      <c r="C36" s="44" t="inlineStr">
        <is>
          <t>Student 33</t>
        </is>
      </c>
      <c r="F36" s="66" t="n"/>
      <c r="G36" s="67" t="n"/>
      <c r="J36" s="66" t="n"/>
      <c r="K36" s="67" t="n"/>
      <c r="N36" s="66" t="n"/>
      <c r="O36" s="67" t="n"/>
      <c r="R36" s="66" t="n"/>
      <c r="S36" s="67" t="n"/>
      <c r="V36" s="66" t="n"/>
      <c r="W36" s="67" t="n"/>
      <c r="Z36" s="66" t="n"/>
      <c r="AA36" s="67" t="n"/>
      <c r="AD36" s="66" t="n"/>
      <c r="AE36" s="67" t="n"/>
      <c r="AH36" s="66" t="n"/>
      <c r="AI36" s="67" t="n"/>
    </row>
    <row r="37">
      <c r="B37" s="2">
        <f>IF(STUDENTS!B36="","",STUDENTS!B36)</f>
        <v/>
      </c>
      <c r="C37" s="44" t="inlineStr">
        <is>
          <t>Student 34</t>
        </is>
      </c>
      <c r="D37" s="54" t="n"/>
      <c r="E37" s="55" t="n"/>
      <c r="F37" s="48" t="n"/>
      <c r="G37" s="58" t="n"/>
      <c r="H37" s="62" t="n"/>
      <c r="I37" s="63" t="n"/>
      <c r="J37" s="48" t="n"/>
      <c r="K37" s="58" t="n"/>
      <c r="L37" s="42" t="n"/>
      <c r="M37" s="42" t="n"/>
      <c r="N37" s="48" t="n"/>
      <c r="O37" s="58" t="n"/>
      <c r="P37" s="42" t="n"/>
      <c r="Q37" s="42" t="n"/>
      <c r="R37" s="48" t="n"/>
      <c r="S37" s="58" t="n"/>
      <c r="T37" s="42" t="n"/>
      <c r="U37" s="42" t="n"/>
      <c r="V37" s="48" t="n"/>
      <c r="W37" s="58" t="n"/>
      <c r="X37" s="42" t="n"/>
      <c r="Y37" s="42" t="n"/>
      <c r="Z37" s="48" t="n"/>
      <c r="AA37" s="58" t="n"/>
      <c r="AB37" s="42" t="n"/>
      <c r="AC37" s="42" t="n"/>
      <c r="AD37" s="48" t="n"/>
      <c r="AE37" s="58" t="n"/>
      <c r="AF37" s="42" t="n"/>
      <c r="AG37" s="42" t="n"/>
      <c r="AH37" s="48" t="n"/>
      <c r="AI37" s="58" t="n"/>
    </row>
    <row r="38">
      <c r="B38" s="2">
        <f>IF(STUDENTS!B37="","",STUDENTS!B37)</f>
        <v/>
      </c>
      <c r="C38" s="44" t="inlineStr">
        <is>
          <t>Student 35</t>
        </is>
      </c>
      <c r="F38" s="66" t="n"/>
      <c r="G38" s="67" t="n"/>
      <c r="J38" s="66" t="n"/>
      <c r="K38" s="67" t="n"/>
      <c r="N38" s="66" t="n"/>
      <c r="O38" s="67" t="n"/>
      <c r="R38" s="66" t="n"/>
      <c r="S38" s="67" t="n"/>
      <c r="V38" s="66" t="n"/>
      <c r="W38" s="67" t="n"/>
      <c r="Z38" s="66" t="n"/>
      <c r="AA38" s="67" t="n"/>
      <c r="AD38" s="66" t="n"/>
      <c r="AE38" s="67" t="n"/>
      <c r="AH38" s="66" t="n"/>
      <c r="AI38" s="67" t="n"/>
    </row>
    <row r="39">
      <c r="B39" s="2">
        <f>IF(STUDENTS!B38="","",STUDENTS!B38)</f>
        <v/>
      </c>
      <c r="C39" s="44" t="inlineStr">
        <is>
          <t>Student 36</t>
        </is>
      </c>
      <c r="D39" s="54" t="n"/>
      <c r="E39" s="55" t="n"/>
      <c r="F39" s="48" t="n"/>
      <c r="G39" s="58" t="n"/>
      <c r="H39" s="62" t="n"/>
      <c r="I39" s="63" t="n"/>
      <c r="J39" s="48" t="n"/>
      <c r="K39" s="58" t="n"/>
      <c r="L39" s="42" t="n"/>
      <c r="M39" s="42" t="n"/>
      <c r="N39" s="48" t="n"/>
      <c r="O39" s="58" t="n"/>
      <c r="P39" s="42" t="n"/>
      <c r="Q39" s="42" t="n"/>
      <c r="R39" s="48" t="n"/>
      <c r="S39" s="58" t="n"/>
      <c r="T39" s="42" t="n"/>
      <c r="U39" s="42" t="n"/>
      <c r="V39" s="48" t="n"/>
      <c r="W39" s="58" t="n"/>
      <c r="X39" s="42" t="n"/>
      <c r="Y39" s="42" t="n"/>
      <c r="Z39" s="48" t="n"/>
      <c r="AA39" s="58" t="n"/>
      <c r="AB39" s="42" t="n"/>
      <c r="AC39" s="42" t="n"/>
      <c r="AD39" s="48" t="n"/>
      <c r="AE39" s="58" t="n"/>
      <c r="AF39" s="42" t="n"/>
      <c r="AG39" s="42" t="n"/>
      <c r="AH39" s="48" t="n"/>
      <c r="AI39" s="58" t="n"/>
    </row>
    <row r="40">
      <c r="B40" s="2">
        <f>IF(STUDENTS!B39="","",STUDENTS!B39)</f>
        <v/>
      </c>
      <c r="C40" s="44" t="inlineStr">
        <is>
          <t>Student 37</t>
        </is>
      </c>
      <c r="F40" s="66" t="n"/>
      <c r="G40" s="67" t="n"/>
      <c r="J40" s="66" t="n"/>
      <c r="K40" s="67" t="n"/>
      <c r="N40" s="66" t="n"/>
      <c r="O40" s="67" t="n"/>
      <c r="R40" s="66" t="n"/>
      <c r="S40" s="67" t="n"/>
      <c r="V40" s="66" t="n"/>
      <c r="W40" s="67" t="n"/>
      <c r="Z40" s="66" t="n"/>
      <c r="AA40" s="67" t="n"/>
      <c r="AD40" s="66" t="n"/>
      <c r="AE40" s="67" t="n"/>
      <c r="AH40" s="66" t="n"/>
      <c r="AI40" s="67" t="n"/>
    </row>
    <row r="41">
      <c r="B41" s="2">
        <f>IF(STUDENTS!B40="","",STUDENTS!B40)</f>
        <v/>
      </c>
      <c r="C41" s="44" t="inlineStr">
        <is>
          <t>Student 38</t>
        </is>
      </c>
      <c r="D41" s="54" t="n"/>
      <c r="E41" s="55" t="n"/>
      <c r="F41" s="48" t="n"/>
      <c r="G41" s="58" t="n"/>
      <c r="H41" s="62" t="n"/>
      <c r="I41" s="63" t="n"/>
      <c r="J41" s="48" t="n"/>
      <c r="K41" s="58" t="n"/>
      <c r="L41" s="42" t="n"/>
      <c r="M41" s="42" t="n"/>
      <c r="N41" s="48" t="n"/>
      <c r="O41" s="58" t="n"/>
      <c r="P41" s="42" t="n"/>
      <c r="Q41" s="42" t="n"/>
      <c r="R41" s="48" t="n"/>
      <c r="S41" s="58" t="n"/>
      <c r="T41" s="42" t="n"/>
      <c r="U41" s="42" t="n"/>
      <c r="V41" s="48" t="n"/>
      <c r="W41" s="58" t="n"/>
      <c r="X41" s="42" t="n"/>
      <c r="Y41" s="42" t="n"/>
      <c r="Z41" s="48" t="n"/>
      <c r="AA41" s="58" t="n"/>
      <c r="AB41" s="42" t="n"/>
      <c r="AC41" s="42" t="n"/>
      <c r="AD41" s="48" t="n"/>
      <c r="AE41" s="58" t="n"/>
      <c r="AF41" s="42" t="n"/>
      <c r="AG41" s="42" t="n"/>
      <c r="AH41" s="48" t="n"/>
      <c r="AI41" s="58" t="n"/>
    </row>
    <row r="42">
      <c r="B42" s="2">
        <f>IF(STUDENTS!B41="","",STUDENTS!B41)</f>
        <v/>
      </c>
      <c r="C42" s="44" t="inlineStr">
        <is>
          <t>Student 39</t>
        </is>
      </c>
      <c r="F42" s="66" t="n"/>
      <c r="G42" s="67" t="n"/>
      <c r="J42" s="66" t="n"/>
      <c r="K42" s="67" t="n"/>
      <c r="N42" s="66" t="n"/>
      <c r="O42" s="67" t="n"/>
      <c r="R42" s="66" t="n"/>
      <c r="S42" s="67" t="n"/>
      <c r="V42" s="66" t="n"/>
      <c r="W42" s="67" t="n"/>
      <c r="Z42" s="66" t="n"/>
      <c r="AA42" s="67" t="n"/>
      <c r="AD42" s="66" t="n"/>
      <c r="AE42" s="67" t="n"/>
      <c r="AH42" s="66" t="n"/>
      <c r="AI42" s="67" t="n"/>
    </row>
    <row r="43">
      <c r="B43" s="2">
        <f>IF(STUDENTS!B42="","",STUDENTS!B42)</f>
        <v/>
      </c>
      <c r="C43" s="44" t="inlineStr">
        <is>
          <t>Student 40</t>
        </is>
      </c>
      <c r="D43" s="54" t="n"/>
      <c r="E43" s="55" t="n"/>
      <c r="F43" s="48" t="n"/>
      <c r="G43" s="58" t="n"/>
      <c r="H43" s="62" t="n"/>
      <c r="I43" s="63" t="n"/>
      <c r="J43" s="48" t="n"/>
      <c r="K43" s="58" t="n"/>
      <c r="L43" s="42" t="n"/>
      <c r="M43" s="42" t="n"/>
      <c r="N43" s="48" t="n"/>
      <c r="O43" s="58" t="n"/>
      <c r="P43" s="42" t="n"/>
      <c r="Q43" s="42" t="n"/>
      <c r="R43" s="48" t="n"/>
      <c r="S43" s="58" t="n"/>
      <c r="T43" s="42" t="n"/>
      <c r="U43" s="42" t="n"/>
      <c r="V43" s="48" t="n"/>
      <c r="W43" s="58" t="n"/>
      <c r="X43" s="42" t="n"/>
      <c r="Y43" s="42" t="n"/>
      <c r="Z43" s="48" t="n"/>
      <c r="AA43" s="58" t="n"/>
      <c r="AB43" s="42" t="n"/>
      <c r="AC43" s="42" t="n"/>
      <c r="AD43" s="48" t="n"/>
      <c r="AE43" s="58" t="n"/>
      <c r="AF43" s="42" t="n"/>
      <c r="AG43" s="42" t="n"/>
      <c r="AH43" s="48" t="n"/>
      <c r="AI43" s="58" t="n"/>
    </row>
    <row r="44">
      <c r="B44" s="2">
        <f>IF(STUDENTS!B43="","",STUDENTS!B43)</f>
        <v/>
      </c>
      <c r="C44" s="44" t="inlineStr">
        <is>
          <t>Student 41</t>
        </is>
      </c>
      <c r="F44" s="66" t="n"/>
      <c r="G44" s="67" t="n"/>
      <c r="J44" s="66" t="n"/>
      <c r="K44" s="67" t="n"/>
      <c r="N44" s="66" t="n"/>
      <c r="O44" s="67" t="n"/>
      <c r="R44" s="66" t="n"/>
      <c r="S44" s="67" t="n"/>
      <c r="V44" s="66" t="n"/>
      <c r="W44" s="67" t="n"/>
      <c r="Z44" s="66" t="n"/>
      <c r="AA44" s="67" t="n"/>
      <c r="AD44" s="66" t="n"/>
      <c r="AE44" s="67" t="n"/>
      <c r="AH44" s="66" t="n"/>
      <c r="AI44" s="67" t="n"/>
    </row>
    <row r="45">
      <c r="B45" s="2">
        <f>IF(STUDENTS!B44="","",STUDENTS!B44)</f>
        <v/>
      </c>
      <c r="C45" s="44" t="inlineStr">
        <is>
          <t>Student 42</t>
        </is>
      </c>
      <c r="D45" s="54" t="n"/>
      <c r="E45" s="55" t="n"/>
      <c r="F45" s="48" t="n"/>
      <c r="G45" s="58" t="n"/>
      <c r="H45" s="62" t="n"/>
      <c r="I45" s="63" t="n"/>
      <c r="J45" s="48" t="n"/>
      <c r="K45" s="58" t="n"/>
      <c r="L45" s="42" t="n"/>
      <c r="M45" s="42" t="n"/>
      <c r="N45" s="48" t="n"/>
      <c r="O45" s="58" t="n"/>
      <c r="P45" s="42" t="n"/>
      <c r="Q45" s="42" t="n"/>
      <c r="R45" s="48" t="n"/>
      <c r="S45" s="58" t="n"/>
      <c r="T45" s="42" t="n"/>
      <c r="U45" s="42" t="n"/>
      <c r="V45" s="48" t="n"/>
      <c r="W45" s="58" t="n"/>
      <c r="X45" s="42" t="n"/>
      <c r="Y45" s="42" t="n"/>
      <c r="Z45" s="48" t="n"/>
      <c r="AA45" s="58" t="n"/>
      <c r="AB45" s="42" t="n"/>
      <c r="AC45" s="42" t="n"/>
      <c r="AD45" s="48" t="n"/>
      <c r="AE45" s="58" t="n"/>
      <c r="AF45" s="42" t="n"/>
      <c r="AG45" s="42" t="n"/>
      <c r="AH45" s="48" t="n"/>
      <c r="AI45" s="58" t="n"/>
    </row>
    <row r="46">
      <c r="B46" s="2">
        <f>IF(STUDENTS!B45="","",STUDENTS!B45)</f>
        <v/>
      </c>
      <c r="C46" s="44" t="inlineStr">
        <is>
          <t>Student 43</t>
        </is>
      </c>
      <c r="F46" s="66" t="n"/>
      <c r="G46" s="67" t="n"/>
      <c r="J46" s="66" t="n"/>
      <c r="K46" s="67" t="n"/>
      <c r="N46" s="66" t="n"/>
      <c r="O46" s="67" t="n"/>
      <c r="R46" s="66" t="n"/>
      <c r="S46" s="67" t="n"/>
      <c r="V46" s="66" t="n"/>
      <c r="W46" s="67" t="n"/>
      <c r="Z46" s="66" t="n"/>
      <c r="AA46" s="67" t="n"/>
      <c r="AD46" s="66" t="n"/>
      <c r="AE46" s="67" t="n"/>
      <c r="AH46" s="66" t="n"/>
      <c r="AI46" s="67" t="n"/>
    </row>
    <row r="47">
      <c r="B47" s="2">
        <f>IF(STUDENTS!B46="","",STUDENTS!B46)</f>
        <v/>
      </c>
      <c r="C47" s="44" t="inlineStr">
        <is>
          <t>Student 44</t>
        </is>
      </c>
      <c r="D47" s="54" t="n"/>
      <c r="E47" s="55" t="n"/>
      <c r="F47" s="48" t="n"/>
      <c r="G47" s="58" t="n"/>
      <c r="H47" s="62" t="n"/>
      <c r="I47" s="63" t="n"/>
      <c r="J47" s="48" t="n"/>
      <c r="K47" s="58" t="n"/>
      <c r="L47" s="42" t="n"/>
      <c r="M47" s="42" t="n"/>
      <c r="N47" s="48" t="n"/>
      <c r="O47" s="58" t="n"/>
      <c r="P47" s="42" t="n"/>
      <c r="Q47" s="42" t="n"/>
      <c r="R47" s="48" t="n"/>
      <c r="S47" s="58" t="n"/>
      <c r="T47" s="42" t="n"/>
      <c r="U47" s="42" t="n"/>
      <c r="V47" s="48" t="n"/>
      <c r="W47" s="58" t="n"/>
      <c r="X47" s="42" t="n"/>
      <c r="Y47" s="42" t="n"/>
      <c r="Z47" s="48" t="n"/>
      <c r="AA47" s="58" t="n"/>
      <c r="AB47" s="42" t="n"/>
      <c r="AC47" s="42" t="n"/>
      <c r="AD47" s="48" t="n"/>
      <c r="AE47" s="58" t="n"/>
      <c r="AF47" s="42" t="n"/>
      <c r="AG47" s="42" t="n"/>
      <c r="AH47" s="48" t="n"/>
      <c r="AI47" s="58" t="n"/>
    </row>
    <row r="48">
      <c r="B48" s="2">
        <f>IF(STUDENTS!B47="","",STUDENTS!B47)</f>
        <v/>
      </c>
      <c r="C48" s="44" t="inlineStr">
        <is>
          <t>Student 45</t>
        </is>
      </c>
      <c r="F48" s="66" t="n"/>
      <c r="G48" s="67" t="n"/>
      <c r="J48" s="66" t="n"/>
      <c r="K48" s="67" t="n"/>
      <c r="N48" s="66" t="n"/>
      <c r="O48" s="67" t="n"/>
      <c r="R48" s="66" t="n"/>
      <c r="S48" s="67" t="n"/>
      <c r="V48" s="66" t="n"/>
      <c r="W48" s="67" t="n"/>
      <c r="Z48" s="66" t="n"/>
      <c r="AA48" s="67" t="n"/>
      <c r="AD48" s="66" t="n"/>
      <c r="AE48" s="67" t="n"/>
      <c r="AH48" s="66" t="n"/>
      <c r="AI48" s="67" t="n"/>
    </row>
    <row r="49">
      <c r="B49" s="2">
        <f>IF(STUDENTS!B48="","",STUDENTS!B48)</f>
        <v/>
      </c>
      <c r="C49" s="44" t="inlineStr">
        <is>
          <t>Student 46</t>
        </is>
      </c>
      <c r="D49" s="54" t="n"/>
      <c r="E49" s="55" t="n"/>
      <c r="F49" s="48" t="n"/>
      <c r="G49" s="58" t="n"/>
      <c r="H49" s="62" t="n"/>
      <c r="I49" s="63" t="n"/>
      <c r="J49" s="48" t="n"/>
      <c r="K49" s="58" t="n"/>
      <c r="L49" s="42" t="n"/>
      <c r="M49" s="42" t="n"/>
      <c r="N49" s="48" t="n"/>
      <c r="O49" s="58" t="n"/>
      <c r="P49" s="42" t="n"/>
      <c r="Q49" s="42" t="n"/>
      <c r="R49" s="48" t="n"/>
      <c r="S49" s="58" t="n"/>
      <c r="T49" s="42" t="n"/>
      <c r="U49" s="42" t="n"/>
      <c r="V49" s="48" t="n"/>
      <c r="W49" s="58" t="n"/>
      <c r="X49" s="42" t="n"/>
      <c r="Y49" s="42" t="n"/>
      <c r="Z49" s="48" t="n"/>
      <c r="AA49" s="58" t="n"/>
      <c r="AB49" s="42" t="n"/>
      <c r="AC49" s="42" t="n"/>
      <c r="AD49" s="48" t="n"/>
      <c r="AE49" s="58" t="n"/>
      <c r="AF49" s="42" t="n"/>
      <c r="AG49" s="42" t="n"/>
      <c r="AH49" s="48" t="n"/>
      <c r="AI49" s="58" t="n"/>
    </row>
    <row r="50">
      <c r="B50" s="2">
        <f>IF(STUDENTS!B49="","",STUDENTS!B49)</f>
        <v/>
      </c>
      <c r="C50" s="44" t="inlineStr">
        <is>
          <t>Student 47</t>
        </is>
      </c>
      <c r="F50" s="66" t="n"/>
      <c r="G50" s="67" t="n"/>
      <c r="J50" s="66" t="n"/>
      <c r="K50" s="67" t="n"/>
      <c r="N50" s="66" t="n"/>
      <c r="O50" s="67" t="n"/>
      <c r="R50" s="66" t="n"/>
      <c r="S50" s="67" t="n"/>
      <c r="V50" s="66" t="n"/>
      <c r="W50" s="67" t="n"/>
      <c r="Z50" s="66" t="n"/>
      <c r="AA50" s="67" t="n"/>
      <c r="AD50" s="66" t="n"/>
      <c r="AE50" s="67" t="n"/>
      <c r="AH50" s="66" t="n"/>
      <c r="AI50" s="67" t="n"/>
    </row>
    <row r="51">
      <c r="B51" s="2">
        <f>IF(STUDENTS!B50="","",STUDENTS!B50)</f>
        <v/>
      </c>
      <c r="C51" s="44" t="inlineStr">
        <is>
          <t>Student 48</t>
        </is>
      </c>
      <c r="D51" s="54" t="n"/>
      <c r="E51" s="55" t="n"/>
      <c r="F51" s="48" t="n"/>
      <c r="G51" s="58" t="n"/>
      <c r="H51" s="62" t="n"/>
      <c r="I51" s="63" t="n"/>
      <c r="J51" s="48" t="n"/>
      <c r="K51" s="58" t="n"/>
      <c r="L51" s="42" t="n"/>
      <c r="M51" s="42" t="n"/>
      <c r="N51" s="48" t="n"/>
      <c r="O51" s="58" t="n"/>
      <c r="P51" s="42" t="n"/>
      <c r="Q51" s="42" t="n"/>
      <c r="R51" s="48" t="n"/>
      <c r="S51" s="58" t="n"/>
      <c r="T51" s="42" t="n"/>
      <c r="U51" s="42" t="n"/>
      <c r="V51" s="48" t="n"/>
      <c r="W51" s="58" t="n"/>
      <c r="X51" s="42" t="n"/>
      <c r="Y51" s="42" t="n"/>
      <c r="Z51" s="48" t="n"/>
      <c r="AA51" s="58" t="n"/>
      <c r="AB51" s="42" t="n"/>
      <c r="AC51" s="42" t="n"/>
      <c r="AD51" s="48" t="n"/>
      <c r="AE51" s="58" t="n"/>
      <c r="AF51" s="42" t="n"/>
      <c r="AG51" s="42" t="n"/>
      <c r="AH51" s="48" t="n"/>
      <c r="AI51" s="58" t="n"/>
    </row>
    <row r="52">
      <c r="B52" s="2">
        <f>IF(STUDENTS!B51="","",STUDENTS!B51)</f>
        <v/>
      </c>
      <c r="C52" s="44" t="inlineStr">
        <is>
          <t>Student 49</t>
        </is>
      </c>
      <c r="F52" s="66" t="n"/>
      <c r="G52" s="67" t="n"/>
      <c r="J52" s="66" t="n"/>
      <c r="K52" s="67" t="n"/>
      <c r="N52" s="66" t="n"/>
      <c r="O52" s="67" t="n"/>
      <c r="R52" s="66" t="n"/>
      <c r="S52" s="67" t="n"/>
      <c r="V52" s="66" t="n"/>
      <c r="W52" s="67" t="n"/>
      <c r="Z52" s="66" t="n"/>
      <c r="AA52" s="67" t="n"/>
      <c r="AD52" s="66" t="n"/>
      <c r="AE52" s="67" t="n"/>
      <c r="AH52" s="66" t="n"/>
      <c r="AI52" s="67" t="n"/>
    </row>
    <row r="53">
      <c r="B53" s="2">
        <f>IF(STUDENTS!B52="","",STUDENTS!B52)</f>
        <v/>
      </c>
      <c r="C53" s="44" t="inlineStr">
        <is>
          <t>Student 50</t>
        </is>
      </c>
      <c r="D53" s="54" t="n"/>
      <c r="E53" s="55" t="n"/>
      <c r="F53" s="48" t="n"/>
      <c r="G53" s="58" t="n"/>
      <c r="H53" s="62" t="n"/>
      <c r="I53" s="63" t="n"/>
      <c r="J53" s="48" t="n"/>
      <c r="K53" s="58" t="n"/>
      <c r="L53" s="42" t="n"/>
      <c r="M53" s="42" t="n"/>
      <c r="N53" s="48" t="n"/>
      <c r="O53" s="58" t="n"/>
      <c r="P53" s="42" t="n"/>
      <c r="Q53" s="42" t="n"/>
      <c r="R53" s="48" t="n"/>
      <c r="S53" s="58" t="n"/>
      <c r="T53" s="42" t="n"/>
      <c r="U53" s="42" t="n"/>
      <c r="V53" s="48" t="n"/>
      <c r="W53" s="58" t="n"/>
      <c r="X53" s="42" t="n"/>
      <c r="Y53" s="42" t="n"/>
      <c r="Z53" s="48" t="n"/>
      <c r="AA53" s="58" t="n"/>
      <c r="AB53" s="42" t="n"/>
      <c r="AC53" s="42" t="n"/>
      <c r="AD53" s="48" t="n"/>
      <c r="AE53" s="58" t="n"/>
      <c r="AF53" s="42" t="n"/>
      <c r="AG53" s="42" t="n"/>
      <c r="AH53" s="48" t="n"/>
      <c r="AI53" s="58" t="n"/>
    </row>
    <row r="54">
      <c r="B54" s="2">
        <f>IF(STUDENTS!B53="","",STUDENTS!B53)</f>
        <v/>
      </c>
      <c r="C54" s="44" t="inlineStr">
        <is>
          <t>Student 51</t>
        </is>
      </c>
      <c r="F54" s="66" t="n"/>
      <c r="G54" s="67" t="n"/>
      <c r="J54" s="66" t="n"/>
      <c r="K54" s="67" t="n"/>
      <c r="N54" s="66" t="n"/>
      <c r="O54" s="67" t="n"/>
      <c r="R54" s="66" t="n"/>
      <c r="S54" s="67" t="n"/>
      <c r="V54" s="66" t="n"/>
      <c r="W54" s="67" t="n"/>
      <c r="Z54" s="66" t="n"/>
      <c r="AA54" s="67" t="n"/>
      <c r="AD54" s="66" t="n"/>
      <c r="AE54" s="67" t="n"/>
      <c r="AH54" s="66" t="n"/>
      <c r="AI54" s="67" t="n"/>
    </row>
    <row r="55">
      <c r="B55" s="2">
        <f>IF(STUDENTS!B54="","",STUDENTS!B54)</f>
        <v/>
      </c>
      <c r="C55" s="44" t="inlineStr">
        <is>
          <t>Student 52</t>
        </is>
      </c>
      <c r="D55" s="54" t="n"/>
      <c r="E55" s="55" t="n"/>
      <c r="F55" s="48" t="n"/>
      <c r="G55" s="58" t="n"/>
      <c r="H55" s="62" t="n"/>
      <c r="I55" s="63" t="n"/>
      <c r="J55" s="48" t="n"/>
      <c r="K55" s="58" t="n"/>
      <c r="L55" s="42" t="n"/>
      <c r="M55" s="42" t="n"/>
      <c r="N55" s="48" t="n"/>
      <c r="O55" s="58" t="n"/>
      <c r="P55" s="42" t="n"/>
      <c r="Q55" s="42" t="n"/>
      <c r="R55" s="48" t="n"/>
      <c r="S55" s="58" t="n"/>
      <c r="T55" s="42" t="n"/>
      <c r="U55" s="42" t="n"/>
      <c r="V55" s="48" t="n"/>
      <c r="W55" s="58" t="n"/>
      <c r="X55" s="42" t="n"/>
      <c r="Y55" s="42" t="n"/>
      <c r="Z55" s="48" t="n"/>
      <c r="AA55" s="58" t="n"/>
      <c r="AB55" s="42" t="n"/>
      <c r="AC55" s="42" t="n"/>
      <c r="AD55" s="48" t="n"/>
      <c r="AE55" s="58" t="n"/>
      <c r="AF55" s="42" t="n"/>
      <c r="AG55" s="42" t="n"/>
      <c r="AH55" s="48" t="n"/>
      <c r="AI55" s="58" t="n"/>
    </row>
    <row r="56">
      <c r="B56" s="2">
        <f>IF(STUDENTS!B55="","",STUDENTS!B55)</f>
        <v/>
      </c>
      <c r="C56" s="44" t="inlineStr">
        <is>
          <t>Student 53</t>
        </is>
      </c>
      <c r="F56" s="66" t="n"/>
      <c r="G56" s="67" t="n"/>
      <c r="J56" s="66" t="n"/>
      <c r="K56" s="67" t="n"/>
      <c r="N56" s="66" t="n"/>
      <c r="O56" s="67" t="n"/>
      <c r="R56" s="66" t="n"/>
      <c r="S56" s="67" t="n"/>
      <c r="V56" s="66" t="n"/>
      <c r="W56" s="67" t="n"/>
      <c r="Z56" s="66" t="n"/>
      <c r="AA56" s="67" t="n"/>
      <c r="AD56" s="66" t="n"/>
      <c r="AE56" s="67" t="n"/>
      <c r="AH56" s="66" t="n"/>
      <c r="AI56" s="67" t="n"/>
    </row>
    <row r="57">
      <c r="B57" s="2">
        <f>IF(STUDENTS!B56="","",STUDENTS!B56)</f>
        <v/>
      </c>
      <c r="C57" s="44" t="inlineStr">
        <is>
          <t>Student 54</t>
        </is>
      </c>
      <c r="D57" s="54" t="n"/>
      <c r="E57" s="55" t="n"/>
      <c r="F57" s="48" t="n"/>
      <c r="G57" s="58" t="n"/>
      <c r="H57" s="62" t="n"/>
      <c r="I57" s="63" t="n"/>
      <c r="J57" s="48" t="n"/>
      <c r="K57" s="58" t="n"/>
      <c r="L57" s="42" t="n"/>
      <c r="M57" s="42" t="n"/>
      <c r="N57" s="48" t="n"/>
      <c r="O57" s="58" t="n"/>
      <c r="P57" s="42" t="n"/>
      <c r="Q57" s="42" t="n"/>
      <c r="R57" s="48" t="n"/>
      <c r="S57" s="58" t="n"/>
      <c r="T57" s="42" t="n"/>
      <c r="U57" s="42" t="n"/>
      <c r="V57" s="48" t="n"/>
      <c r="W57" s="58" t="n"/>
      <c r="X57" s="42" t="n"/>
      <c r="Y57" s="42" t="n"/>
      <c r="Z57" s="48" t="n"/>
      <c r="AA57" s="58" t="n"/>
      <c r="AB57" s="42" t="n"/>
      <c r="AC57" s="42" t="n"/>
      <c r="AD57" s="48" t="n"/>
      <c r="AE57" s="58" t="n"/>
      <c r="AF57" s="42" t="n"/>
      <c r="AG57" s="42" t="n"/>
      <c r="AH57" s="48" t="n"/>
      <c r="AI57" s="58" t="n"/>
    </row>
    <row r="58">
      <c r="B58" s="2">
        <f>IF(STUDENTS!B57="","",STUDENTS!B57)</f>
        <v/>
      </c>
      <c r="C58" s="44" t="inlineStr">
        <is>
          <t>Student 55</t>
        </is>
      </c>
      <c r="F58" s="66" t="n"/>
      <c r="G58" s="67" t="n"/>
      <c r="J58" s="66" t="n"/>
      <c r="K58" s="67" t="n"/>
      <c r="N58" s="66" t="n"/>
      <c r="O58" s="67" t="n"/>
      <c r="R58" s="66" t="n"/>
      <c r="S58" s="67" t="n"/>
      <c r="V58" s="66" t="n"/>
      <c r="W58" s="67" t="n"/>
      <c r="Z58" s="66" t="n"/>
      <c r="AA58" s="67" t="n"/>
      <c r="AD58" s="66" t="n"/>
      <c r="AE58" s="67" t="n"/>
      <c r="AH58" s="66" t="n"/>
      <c r="AI58" s="67" t="n"/>
    </row>
    <row r="59">
      <c r="B59" s="2">
        <f>IF(STUDENTS!B58="","",STUDENTS!B58)</f>
        <v/>
      </c>
      <c r="C59" s="44" t="inlineStr">
        <is>
          <t>Student 56</t>
        </is>
      </c>
      <c r="D59" s="54" t="n"/>
      <c r="E59" s="55" t="n"/>
      <c r="F59" s="48" t="n"/>
      <c r="G59" s="58" t="n"/>
      <c r="H59" s="62" t="n"/>
      <c r="I59" s="63" t="n"/>
      <c r="J59" s="48" t="n"/>
      <c r="K59" s="58" t="n"/>
      <c r="L59" s="42" t="n"/>
      <c r="M59" s="42" t="n"/>
      <c r="N59" s="48" t="n"/>
      <c r="O59" s="58" t="n"/>
      <c r="P59" s="42" t="n"/>
      <c r="Q59" s="42" t="n"/>
      <c r="R59" s="48" t="n"/>
      <c r="S59" s="58" t="n"/>
      <c r="T59" s="42" t="n"/>
      <c r="U59" s="42" t="n"/>
      <c r="V59" s="48" t="n"/>
      <c r="W59" s="58" t="n"/>
      <c r="X59" s="42" t="n"/>
      <c r="Y59" s="42" t="n"/>
      <c r="Z59" s="48" t="n"/>
      <c r="AA59" s="58" t="n"/>
      <c r="AB59" s="42" t="n"/>
      <c r="AC59" s="42" t="n"/>
      <c r="AD59" s="48" t="n"/>
      <c r="AE59" s="58" t="n"/>
      <c r="AF59" s="42" t="n"/>
      <c r="AG59" s="42" t="n"/>
      <c r="AH59" s="48" t="n"/>
      <c r="AI59" s="58" t="n"/>
    </row>
    <row r="60">
      <c r="B60" s="2">
        <f>IF(STUDENTS!B59="","",STUDENTS!B59)</f>
        <v/>
      </c>
      <c r="C60" s="44" t="inlineStr">
        <is>
          <t>Student 57</t>
        </is>
      </c>
      <c r="F60" s="66" t="n"/>
      <c r="G60" s="67" t="n"/>
      <c r="J60" s="66" t="n"/>
      <c r="K60" s="67" t="n"/>
      <c r="N60" s="66" t="n"/>
      <c r="O60" s="67" t="n"/>
      <c r="R60" s="66" t="n"/>
      <c r="S60" s="67" t="n"/>
      <c r="V60" s="66" t="n"/>
      <c r="W60" s="67" t="n"/>
      <c r="Z60" s="66" t="n"/>
      <c r="AA60" s="67" t="n"/>
      <c r="AD60" s="66" t="n"/>
      <c r="AE60" s="67" t="n"/>
      <c r="AH60" s="66" t="n"/>
      <c r="AI60" s="67" t="n"/>
    </row>
    <row r="61">
      <c r="B61" s="2">
        <f>IF(STUDENTS!B60="","",STUDENTS!B60)</f>
        <v/>
      </c>
      <c r="C61" s="44" t="inlineStr">
        <is>
          <t>Student 58</t>
        </is>
      </c>
      <c r="D61" s="54" t="n"/>
      <c r="E61" s="55" t="n"/>
      <c r="F61" s="48" t="n"/>
      <c r="G61" s="58" t="n"/>
      <c r="H61" s="62" t="n"/>
      <c r="I61" s="63" t="n"/>
      <c r="J61" s="48" t="n"/>
      <c r="K61" s="58" t="n"/>
      <c r="L61" s="42" t="n"/>
      <c r="M61" s="42" t="n"/>
      <c r="N61" s="48" t="n"/>
      <c r="O61" s="58" t="n"/>
      <c r="P61" s="42" t="n"/>
      <c r="Q61" s="42" t="n"/>
      <c r="R61" s="48" t="n"/>
      <c r="S61" s="58" t="n"/>
      <c r="T61" s="42" t="n"/>
      <c r="U61" s="42" t="n"/>
      <c r="V61" s="48" t="n"/>
      <c r="W61" s="58" t="n"/>
      <c r="X61" s="42" t="n"/>
      <c r="Y61" s="42" t="n"/>
      <c r="Z61" s="48" t="n"/>
      <c r="AA61" s="58" t="n"/>
      <c r="AB61" s="42" t="n"/>
      <c r="AC61" s="42" t="n"/>
      <c r="AD61" s="48" t="n"/>
      <c r="AE61" s="58" t="n"/>
      <c r="AF61" s="42" t="n"/>
      <c r="AG61" s="42" t="n"/>
      <c r="AH61" s="48" t="n"/>
      <c r="AI61" s="58" t="n"/>
    </row>
    <row r="62">
      <c r="B62" s="2">
        <f>IF(STUDENTS!B61="","",STUDENTS!B61)</f>
        <v/>
      </c>
      <c r="C62" s="44" t="inlineStr">
        <is>
          <t>Student 59</t>
        </is>
      </c>
      <c r="F62" s="66" t="n"/>
      <c r="G62" s="67" t="n"/>
      <c r="J62" s="66" t="n"/>
      <c r="K62" s="67" t="n"/>
      <c r="N62" s="66" t="n"/>
      <c r="O62" s="67" t="n"/>
      <c r="R62" s="66" t="n"/>
      <c r="S62" s="67" t="n"/>
      <c r="V62" s="66" t="n"/>
      <c r="W62" s="67" t="n"/>
      <c r="Z62" s="66" t="n"/>
      <c r="AA62" s="67" t="n"/>
      <c r="AD62" s="66" t="n"/>
      <c r="AE62" s="67" t="n"/>
      <c r="AH62" s="66" t="n"/>
      <c r="AI62" s="67" t="n"/>
    </row>
    <row r="63">
      <c r="B63" s="2">
        <f>IF(STUDENTS!B62="","",STUDENTS!B62)</f>
        <v/>
      </c>
      <c r="C63" s="44" t="inlineStr">
        <is>
          <t>Student 60</t>
        </is>
      </c>
      <c r="D63" s="54" t="n"/>
      <c r="E63" s="55" t="n"/>
      <c r="F63" s="48" t="n"/>
      <c r="G63" s="58" t="n"/>
      <c r="H63" s="62" t="n"/>
      <c r="I63" s="63" t="n"/>
      <c r="J63" s="48" t="n"/>
      <c r="K63" s="58" t="n"/>
      <c r="L63" s="42" t="n"/>
      <c r="M63" s="42" t="n"/>
      <c r="N63" s="48" t="n"/>
      <c r="O63" s="58" t="n"/>
      <c r="P63" s="42" t="n"/>
      <c r="Q63" s="42" t="n"/>
      <c r="R63" s="48" t="n"/>
      <c r="S63" s="58" t="n"/>
      <c r="T63" s="42" t="n"/>
      <c r="U63" s="42" t="n"/>
      <c r="V63" s="48" t="n"/>
      <c r="W63" s="58" t="n"/>
      <c r="X63" s="42" t="n"/>
      <c r="Y63" s="42" t="n"/>
      <c r="Z63" s="48" t="n"/>
      <c r="AA63" s="58" t="n"/>
      <c r="AB63" s="42" t="n"/>
      <c r="AC63" s="42" t="n"/>
      <c r="AD63" s="48" t="n"/>
      <c r="AE63" s="58" t="n"/>
      <c r="AF63" s="42" t="n"/>
      <c r="AG63" s="42" t="n"/>
      <c r="AH63" s="48" t="n"/>
      <c r="AI63" s="58" t="n"/>
    </row>
    <row r="64">
      <c r="B64" s="2">
        <f>IF(STUDENTS!B63="","",STUDENTS!B63)</f>
        <v/>
      </c>
      <c r="C64" s="44" t="inlineStr">
        <is>
          <t>Student 61</t>
        </is>
      </c>
      <c r="F64" s="66" t="n"/>
      <c r="G64" s="67" t="n"/>
      <c r="J64" s="66" t="n"/>
      <c r="K64" s="67" t="n"/>
      <c r="N64" s="66" t="n"/>
      <c r="O64" s="67" t="n"/>
      <c r="R64" s="66" t="n"/>
      <c r="S64" s="67" t="n"/>
      <c r="V64" s="66" t="n"/>
      <c r="W64" s="67" t="n"/>
      <c r="Z64" s="66" t="n"/>
      <c r="AA64" s="67" t="n"/>
      <c r="AD64" s="66" t="n"/>
      <c r="AE64" s="67" t="n"/>
      <c r="AH64" s="66" t="n"/>
      <c r="AI64" s="67" t="n"/>
    </row>
    <row r="65">
      <c r="B65" s="2">
        <f>IF(STUDENTS!B64="","",STUDENTS!B64)</f>
        <v/>
      </c>
      <c r="C65" s="44" t="inlineStr">
        <is>
          <t>Student 62</t>
        </is>
      </c>
      <c r="D65" s="54" t="n"/>
      <c r="E65" s="55" t="n"/>
      <c r="F65" s="48" t="n"/>
      <c r="G65" s="58" t="n"/>
      <c r="H65" s="62" t="n"/>
      <c r="I65" s="63" t="n"/>
      <c r="J65" s="48" t="n"/>
      <c r="K65" s="58" t="n"/>
      <c r="L65" s="42" t="n"/>
      <c r="M65" s="42" t="n"/>
      <c r="N65" s="48" t="n"/>
      <c r="O65" s="58" t="n"/>
      <c r="P65" s="42" t="n"/>
      <c r="Q65" s="42" t="n"/>
      <c r="R65" s="48" t="n"/>
      <c r="S65" s="58" t="n"/>
      <c r="T65" s="42" t="n"/>
      <c r="U65" s="42" t="n"/>
      <c r="V65" s="48" t="n"/>
      <c r="W65" s="58" t="n"/>
      <c r="X65" s="42" t="n"/>
      <c r="Y65" s="42" t="n"/>
      <c r="Z65" s="48" t="n"/>
      <c r="AA65" s="58" t="n"/>
      <c r="AB65" s="42" t="n"/>
      <c r="AC65" s="42" t="n"/>
      <c r="AD65" s="48" t="n"/>
      <c r="AE65" s="58" t="n"/>
      <c r="AF65" s="42" t="n"/>
      <c r="AG65" s="42" t="n"/>
      <c r="AH65" s="48" t="n"/>
      <c r="AI65" s="58" t="n"/>
    </row>
    <row r="66">
      <c r="B66" s="2">
        <f>IF(STUDENTS!B65="","",STUDENTS!B65)</f>
        <v/>
      </c>
      <c r="C66" s="44" t="inlineStr">
        <is>
          <t>Student 63</t>
        </is>
      </c>
      <c r="F66" s="66" t="n"/>
      <c r="G66" s="67" t="n"/>
      <c r="J66" s="66" t="n"/>
      <c r="K66" s="67" t="n"/>
      <c r="N66" s="66" t="n"/>
      <c r="O66" s="67" t="n"/>
      <c r="R66" s="66" t="n"/>
      <c r="S66" s="67" t="n"/>
      <c r="V66" s="66" t="n"/>
      <c r="W66" s="67" t="n"/>
      <c r="Z66" s="66" t="n"/>
      <c r="AA66" s="67" t="n"/>
      <c r="AD66" s="66" t="n"/>
      <c r="AE66" s="67" t="n"/>
      <c r="AH66" s="66" t="n"/>
      <c r="AI66" s="67" t="n"/>
    </row>
    <row r="67">
      <c r="B67" s="2">
        <f>IF(STUDENTS!B66="","",STUDENTS!B66)</f>
        <v/>
      </c>
      <c r="C67" s="44" t="inlineStr">
        <is>
          <t>Student 64</t>
        </is>
      </c>
      <c r="D67" s="54" t="n"/>
      <c r="E67" s="55" t="n"/>
      <c r="F67" s="48" t="n"/>
      <c r="G67" s="58" t="n"/>
      <c r="H67" s="62" t="n"/>
      <c r="I67" s="63" t="n"/>
      <c r="J67" s="48" t="n"/>
      <c r="K67" s="58" t="n"/>
      <c r="L67" s="42" t="n"/>
      <c r="M67" s="42" t="n"/>
      <c r="N67" s="48" t="n"/>
      <c r="O67" s="58" t="n"/>
      <c r="P67" s="42" t="n"/>
      <c r="Q67" s="42" t="n"/>
      <c r="R67" s="48" t="n"/>
      <c r="S67" s="58" t="n"/>
      <c r="T67" s="42" t="n"/>
      <c r="U67" s="42" t="n"/>
      <c r="V67" s="48" t="n"/>
      <c r="W67" s="58" t="n"/>
      <c r="X67" s="42" t="n"/>
      <c r="Y67" s="42" t="n"/>
      <c r="Z67" s="48" t="n"/>
      <c r="AA67" s="58" t="n"/>
      <c r="AB67" s="42" t="n"/>
      <c r="AC67" s="42" t="n"/>
      <c r="AD67" s="48" t="n"/>
      <c r="AE67" s="58" t="n"/>
      <c r="AF67" s="42" t="n"/>
      <c r="AG67" s="42" t="n"/>
      <c r="AH67" s="48" t="n"/>
      <c r="AI67" s="58" t="n"/>
    </row>
    <row r="68">
      <c r="B68" s="2">
        <f>IF(STUDENTS!B67="","",STUDENTS!B67)</f>
        <v/>
      </c>
      <c r="C68" s="44" t="inlineStr">
        <is>
          <t>Student 65</t>
        </is>
      </c>
      <c r="F68" s="66" t="n"/>
      <c r="G68" s="67" t="n"/>
      <c r="J68" s="66" t="n"/>
      <c r="K68" s="67" t="n"/>
      <c r="N68" s="66" t="n"/>
      <c r="O68" s="67" t="n"/>
      <c r="R68" s="66" t="n"/>
      <c r="S68" s="67" t="n"/>
      <c r="V68" s="66" t="n"/>
      <c r="W68" s="67" t="n"/>
      <c r="Z68" s="66" t="n"/>
      <c r="AA68" s="67" t="n"/>
      <c r="AD68" s="66" t="n"/>
      <c r="AE68" s="67" t="n"/>
      <c r="AH68" s="66" t="n"/>
      <c r="AI68" s="67" t="n"/>
    </row>
    <row r="69">
      <c r="B69" s="2">
        <f>IF(STUDENTS!B68="","",STUDENTS!B68)</f>
        <v/>
      </c>
      <c r="C69" s="44" t="inlineStr">
        <is>
          <t>Student 66</t>
        </is>
      </c>
      <c r="D69" s="54" t="n"/>
      <c r="E69" s="55" t="n"/>
      <c r="F69" s="48" t="n"/>
      <c r="G69" s="58" t="n"/>
      <c r="H69" s="62" t="n"/>
      <c r="I69" s="63" t="n"/>
      <c r="J69" s="48" t="n"/>
      <c r="K69" s="58" t="n"/>
      <c r="L69" s="42" t="n"/>
      <c r="M69" s="42" t="n"/>
      <c r="N69" s="48" t="n"/>
      <c r="O69" s="58" t="n"/>
      <c r="P69" s="42" t="n"/>
      <c r="Q69" s="42" t="n"/>
      <c r="R69" s="48" t="n"/>
      <c r="S69" s="58" t="n"/>
      <c r="T69" s="42" t="n"/>
      <c r="U69" s="42" t="n"/>
      <c r="V69" s="48" t="n"/>
      <c r="W69" s="58" t="n"/>
      <c r="X69" s="42" t="n"/>
      <c r="Y69" s="42" t="n"/>
      <c r="Z69" s="48" t="n"/>
      <c r="AA69" s="58" t="n"/>
      <c r="AB69" s="42" t="n"/>
      <c r="AC69" s="42" t="n"/>
      <c r="AD69" s="48" t="n"/>
      <c r="AE69" s="58" t="n"/>
      <c r="AF69" s="42" t="n"/>
      <c r="AG69" s="42" t="n"/>
      <c r="AH69" s="48" t="n"/>
      <c r="AI69" s="58" t="n"/>
    </row>
    <row r="70">
      <c r="B70" s="2">
        <f>IF(STUDENTS!B69="","",STUDENTS!B69)</f>
        <v/>
      </c>
      <c r="C70" s="44" t="inlineStr">
        <is>
          <t>Student 67</t>
        </is>
      </c>
      <c r="F70" s="66" t="n"/>
      <c r="G70" s="67" t="n"/>
      <c r="J70" s="66" t="n"/>
      <c r="K70" s="67" t="n"/>
      <c r="N70" s="66" t="n"/>
      <c r="O70" s="67" t="n"/>
      <c r="R70" s="66" t="n"/>
      <c r="S70" s="67" t="n"/>
      <c r="V70" s="66" t="n"/>
      <c r="W70" s="67" t="n"/>
      <c r="Z70" s="66" t="n"/>
      <c r="AA70" s="67" t="n"/>
      <c r="AD70" s="66" t="n"/>
      <c r="AE70" s="67" t="n"/>
      <c r="AH70" s="66" t="n"/>
      <c r="AI70" s="67" t="n"/>
    </row>
    <row r="71">
      <c r="B71" s="2">
        <f>IF(STUDENTS!B70="","",STUDENTS!B70)</f>
        <v/>
      </c>
      <c r="C71" s="44" t="inlineStr">
        <is>
          <t>Student 68</t>
        </is>
      </c>
      <c r="D71" s="54" t="n"/>
      <c r="E71" s="55" t="n"/>
      <c r="F71" s="48" t="n"/>
      <c r="G71" s="58" t="n"/>
      <c r="H71" s="62" t="n"/>
      <c r="I71" s="63" t="n"/>
      <c r="J71" s="48" t="n"/>
      <c r="K71" s="58" t="n"/>
      <c r="L71" s="42" t="n"/>
      <c r="M71" s="42" t="n"/>
      <c r="N71" s="48" t="n"/>
      <c r="O71" s="58" t="n"/>
      <c r="P71" s="42" t="n"/>
      <c r="Q71" s="42" t="n"/>
      <c r="R71" s="48" t="n"/>
      <c r="S71" s="58" t="n"/>
      <c r="T71" s="42" t="n"/>
      <c r="U71" s="42" t="n"/>
      <c r="V71" s="48" t="n"/>
      <c r="W71" s="58" t="n"/>
      <c r="X71" s="42" t="n"/>
      <c r="Y71" s="42" t="n"/>
      <c r="Z71" s="48" t="n"/>
      <c r="AA71" s="58" t="n"/>
      <c r="AB71" s="42" t="n"/>
      <c r="AC71" s="42" t="n"/>
      <c r="AD71" s="48" t="n"/>
      <c r="AE71" s="58" t="n"/>
      <c r="AF71" s="42" t="n"/>
      <c r="AG71" s="42" t="n"/>
      <c r="AH71" s="48" t="n"/>
      <c r="AI71" s="58" t="n"/>
    </row>
    <row r="72">
      <c r="B72" s="2">
        <f>IF(STUDENTS!B71="","",STUDENTS!B71)</f>
        <v/>
      </c>
      <c r="C72" s="44" t="inlineStr">
        <is>
          <t>Student 69</t>
        </is>
      </c>
      <c r="F72" s="66" t="n"/>
      <c r="G72" s="67" t="n"/>
      <c r="J72" s="66" t="n"/>
      <c r="K72" s="67" t="n"/>
      <c r="N72" s="66" t="n"/>
      <c r="O72" s="67" t="n"/>
      <c r="R72" s="66" t="n"/>
      <c r="S72" s="67" t="n"/>
      <c r="V72" s="66" t="n"/>
      <c r="W72" s="67" t="n"/>
      <c r="Z72" s="66" t="n"/>
      <c r="AA72" s="67" t="n"/>
      <c r="AD72" s="66" t="n"/>
      <c r="AE72" s="67" t="n"/>
      <c r="AH72" s="66" t="n"/>
      <c r="AI72" s="67" t="n"/>
    </row>
    <row r="73">
      <c r="B73" s="2">
        <f>IF(STUDENTS!B72="","",STUDENTS!B72)</f>
        <v/>
      </c>
      <c r="C73" s="44" t="inlineStr">
        <is>
          <t>Student 70</t>
        </is>
      </c>
      <c r="D73" s="54" t="n"/>
      <c r="E73" s="55" t="n"/>
      <c r="F73" s="48" t="n"/>
      <c r="G73" s="58" t="n"/>
      <c r="H73" s="62" t="n"/>
      <c r="I73" s="63" t="n"/>
      <c r="J73" s="48" t="n"/>
      <c r="K73" s="58" t="n"/>
      <c r="L73" s="42" t="n"/>
      <c r="M73" s="42" t="n"/>
      <c r="N73" s="48" t="n"/>
      <c r="O73" s="58" t="n"/>
      <c r="P73" s="42" t="n"/>
      <c r="Q73" s="42" t="n"/>
      <c r="R73" s="48" t="n"/>
      <c r="S73" s="58" t="n"/>
      <c r="T73" s="42" t="n"/>
      <c r="U73" s="42" t="n"/>
      <c r="V73" s="48" t="n"/>
      <c r="W73" s="58" t="n"/>
      <c r="X73" s="42" t="n"/>
      <c r="Y73" s="42" t="n"/>
      <c r="Z73" s="48" t="n"/>
      <c r="AA73" s="58" t="n"/>
      <c r="AB73" s="42" t="n"/>
      <c r="AC73" s="42" t="n"/>
      <c r="AD73" s="48" t="n"/>
      <c r="AE73" s="58" t="n"/>
      <c r="AF73" s="42" t="n"/>
      <c r="AG73" s="42" t="n"/>
      <c r="AH73" s="48" t="n"/>
      <c r="AI73" s="58" t="n"/>
    </row>
    <row r="74">
      <c r="B74" s="2">
        <f>IF(STUDENTS!B73="","",STUDENTS!B73)</f>
        <v/>
      </c>
      <c r="C74" s="44" t="inlineStr">
        <is>
          <t>Student 71</t>
        </is>
      </c>
      <c r="F74" s="66" t="n"/>
      <c r="G74" s="67" t="n"/>
      <c r="J74" s="66" t="n"/>
      <c r="K74" s="67" t="n"/>
      <c r="N74" s="66" t="n"/>
      <c r="O74" s="67" t="n"/>
      <c r="R74" s="66" t="n"/>
      <c r="S74" s="67" t="n"/>
      <c r="V74" s="66" t="n"/>
      <c r="W74" s="67" t="n"/>
      <c r="Z74" s="66" t="n"/>
      <c r="AA74" s="67" t="n"/>
      <c r="AD74" s="66" t="n"/>
      <c r="AE74" s="67" t="n"/>
      <c r="AH74" s="66" t="n"/>
      <c r="AI74" s="67" t="n"/>
    </row>
    <row r="75">
      <c r="B75" s="2">
        <f>IF(STUDENTS!B74="","",STUDENTS!B74)</f>
        <v/>
      </c>
      <c r="C75" s="44" t="inlineStr">
        <is>
          <t>Student 72</t>
        </is>
      </c>
      <c r="D75" s="54" t="n"/>
      <c r="E75" s="55" t="n"/>
      <c r="F75" s="48" t="n"/>
      <c r="G75" s="58" t="n"/>
      <c r="H75" s="62" t="n"/>
      <c r="I75" s="63" t="n"/>
      <c r="J75" s="48" t="n"/>
      <c r="K75" s="58" t="n"/>
      <c r="L75" s="42" t="n"/>
      <c r="M75" s="42" t="n"/>
      <c r="N75" s="48" t="n"/>
      <c r="O75" s="58" t="n"/>
      <c r="P75" s="42" t="n"/>
      <c r="Q75" s="42" t="n"/>
      <c r="R75" s="48" t="n"/>
      <c r="S75" s="58" t="n"/>
      <c r="T75" s="42" t="n"/>
      <c r="U75" s="42" t="n"/>
      <c r="V75" s="48" t="n"/>
      <c r="W75" s="58" t="n"/>
      <c r="X75" s="42" t="n"/>
      <c r="Y75" s="42" t="n"/>
      <c r="Z75" s="48" t="n"/>
      <c r="AA75" s="58" t="n"/>
      <c r="AB75" s="42" t="n"/>
      <c r="AC75" s="42" t="n"/>
      <c r="AD75" s="48" t="n"/>
      <c r="AE75" s="58" t="n"/>
      <c r="AF75" s="42" t="n"/>
      <c r="AG75" s="42" t="n"/>
      <c r="AH75" s="48" t="n"/>
      <c r="AI75" s="58" t="n"/>
    </row>
    <row r="76">
      <c r="B76" s="2">
        <f>IF(STUDENTS!B75="","",STUDENTS!B75)</f>
        <v/>
      </c>
      <c r="C76" s="44" t="inlineStr">
        <is>
          <t>Student 73</t>
        </is>
      </c>
      <c r="F76" s="66" t="n"/>
      <c r="G76" s="67" t="n"/>
      <c r="J76" s="66" t="n"/>
      <c r="K76" s="67" t="n"/>
      <c r="N76" s="66" t="n"/>
      <c r="O76" s="67" t="n"/>
      <c r="R76" s="66" t="n"/>
      <c r="S76" s="67" t="n"/>
      <c r="V76" s="66" t="n"/>
      <c r="W76" s="67" t="n"/>
      <c r="Z76" s="66" t="n"/>
      <c r="AA76" s="67" t="n"/>
      <c r="AD76" s="66" t="n"/>
      <c r="AE76" s="67" t="n"/>
      <c r="AH76" s="66" t="n"/>
      <c r="AI76" s="67" t="n"/>
    </row>
    <row r="77">
      <c r="B77" s="2">
        <f>IF(STUDENTS!B76="","",STUDENTS!B76)</f>
        <v/>
      </c>
      <c r="C77" s="44" t="inlineStr">
        <is>
          <t>Student 74</t>
        </is>
      </c>
      <c r="D77" s="54" t="n"/>
      <c r="E77" s="55" t="n"/>
      <c r="F77" s="48" t="n"/>
      <c r="G77" s="58" t="n"/>
      <c r="H77" s="62" t="n"/>
      <c r="I77" s="63" t="n"/>
      <c r="J77" s="48" t="n"/>
      <c r="K77" s="58" t="n"/>
      <c r="L77" s="42" t="n"/>
      <c r="M77" s="42" t="n"/>
      <c r="N77" s="48" t="n"/>
      <c r="O77" s="58" t="n"/>
      <c r="P77" s="42" t="n"/>
      <c r="Q77" s="42" t="n"/>
      <c r="R77" s="48" t="n"/>
      <c r="S77" s="58" t="n"/>
      <c r="T77" s="42" t="n"/>
      <c r="U77" s="42" t="n"/>
      <c r="V77" s="48" t="n"/>
      <c r="W77" s="58" t="n"/>
      <c r="X77" s="42" t="n"/>
      <c r="Y77" s="42" t="n"/>
      <c r="Z77" s="48" t="n"/>
      <c r="AA77" s="58" t="n"/>
      <c r="AB77" s="42" t="n"/>
      <c r="AC77" s="42" t="n"/>
      <c r="AD77" s="48" t="n"/>
      <c r="AE77" s="58" t="n"/>
      <c r="AF77" s="42" t="n"/>
      <c r="AG77" s="42" t="n"/>
      <c r="AH77" s="48" t="n"/>
      <c r="AI77" s="58" t="n"/>
    </row>
    <row r="78">
      <c r="B78" s="2">
        <f>IF(STUDENTS!B77="","",STUDENTS!B77)</f>
        <v/>
      </c>
      <c r="C78" s="44" t="inlineStr">
        <is>
          <t>Student 75</t>
        </is>
      </c>
      <c r="F78" s="66" t="n"/>
      <c r="G78" s="67" t="n"/>
      <c r="J78" s="66" t="n"/>
      <c r="K78" s="67" t="n"/>
      <c r="N78" s="66" t="n"/>
      <c r="O78" s="67" t="n"/>
      <c r="R78" s="66" t="n"/>
      <c r="S78" s="67" t="n"/>
      <c r="V78" s="66" t="n"/>
      <c r="W78" s="67" t="n"/>
      <c r="Z78" s="66" t="n"/>
      <c r="AA78" s="67" t="n"/>
      <c r="AD78" s="66" t="n"/>
      <c r="AE78" s="67" t="n"/>
      <c r="AH78" s="66" t="n"/>
      <c r="AI78" s="67" t="n"/>
    </row>
    <row r="79">
      <c r="B79" s="2">
        <f>IF(STUDENTS!B78="","",STUDENTS!B78)</f>
        <v/>
      </c>
      <c r="C79" s="44" t="inlineStr">
        <is>
          <t>Student 76</t>
        </is>
      </c>
      <c r="D79" s="54" t="n"/>
      <c r="E79" s="55" t="n"/>
      <c r="F79" s="48" t="n"/>
      <c r="G79" s="58" t="n"/>
      <c r="H79" s="62" t="n"/>
      <c r="I79" s="63" t="n"/>
      <c r="J79" s="48" t="n"/>
      <c r="K79" s="58" t="n"/>
      <c r="L79" s="42" t="n"/>
      <c r="M79" s="42" t="n"/>
      <c r="N79" s="48" t="n"/>
      <c r="O79" s="58" t="n"/>
      <c r="P79" s="42" t="n"/>
      <c r="Q79" s="42" t="n"/>
      <c r="R79" s="48" t="n"/>
      <c r="S79" s="58" t="n"/>
      <c r="T79" s="42" t="n"/>
      <c r="U79" s="42" t="n"/>
      <c r="V79" s="48" t="n"/>
      <c r="W79" s="58" t="n"/>
      <c r="X79" s="42" t="n"/>
      <c r="Y79" s="42" t="n"/>
      <c r="Z79" s="48" t="n"/>
      <c r="AA79" s="58" t="n"/>
      <c r="AB79" s="42" t="n"/>
      <c r="AC79" s="42" t="n"/>
      <c r="AD79" s="48" t="n"/>
      <c r="AE79" s="58" t="n"/>
      <c r="AF79" s="42" t="n"/>
      <c r="AG79" s="42" t="n"/>
      <c r="AH79" s="48" t="n"/>
      <c r="AI79" s="58" t="n"/>
    </row>
    <row r="80">
      <c r="B80" s="2">
        <f>IF(STUDENTS!B79="","",STUDENTS!B79)</f>
        <v/>
      </c>
      <c r="C80" s="44" t="inlineStr">
        <is>
          <t>Student 77</t>
        </is>
      </c>
      <c r="F80" s="66" t="n"/>
      <c r="G80" s="67" t="n"/>
      <c r="J80" s="66" t="n"/>
      <c r="K80" s="67" t="n"/>
      <c r="N80" s="66" t="n"/>
      <c r="O80" s="67" t="n"/>
      <c r="R80" s="66" t="n"/>
      <c r="S80" s="67" t="n"/>
      <c r="V80" s="66" t="n"/>
      <c r="W80" s="67" t="n"/>
      <c r="Z80" s="66" t="n"/>
      <c r="AA80" s="67" t="n"/>
      <c r="AD80" s="66" t="n"/>
      <c r="AE80" s="67" t="n"/>
      <c r="AH80" s="66" t="n"/>
      <c r="AI80" s="67" t="n"/>
    </row>
    <row r="81">
      <c r="B81" s="2">
        <f>IF(STUDENTS!B80="","",STUDENTS!B80)</f>
        <v/>
      </c>
      <c r="C81" s="44" t="inlineStr">
        <is>
          <t>Student 78</t>
        </is>
      </c>
      <c r="D81" s="54" t="n"/>
      <c r="E81" s="55" t="n"/>
      <c r="F81" s="48" t="n"/>
      <c r="G81" s="58" t="n"/>
      <c r="H81" s="62" t="n"/>
      <c r="I81" s="63" t="n"/>
      <c r="J81" s="48" t="n"/>
      <c r="K81" s="58" t="n"/>
      <c r="L81" s="42" t="n"/>
      <c r="M81" s="42" t="n"/>
      <c r="N81" s="48" t="n"/>
      <c r="O81" s="58" t="n"/>
      <c r="P81" s="42" t="n"/>
      <c r="Q81" s="42" t="n"/>
      <c r="R81" s="48" t="n"/>
      <c r="S81" s="58" t="n"/>
      <c r="T81" s="42" t="n"/>
      <c r="U81" s="42" t="n"/>
      <c r="V81" s="48" t="n"/>
      <c r="W81" s="58" t="n"/>
      <c r="X81" s="42" t="n"/>
      <c r="Y81" s="42" t="n"/>
      <c r="Z81" s="48" t="n"/>
      <c r="AA81" s="58" t="n"/>
      <c r="AB81" s="42" t="n"/>
      <c r="AC81" s="42" t="n"/>
      <c r="AD81" s="48" t="n"/>
      <c r="AE81" s="58" t="n"/>
      <c r="AF81" s="42" t="n"/>
      <c r="AG81" s="42" t="n"/>
      <c r="AH81" s="48" t="n"/>
      <c r="AI81" s="58" t="n"/>
    </row>
    <row r="82">
      <c r="B82" s="2">
        <f>IF(STUDENTS!B81="","",STUDENTS!B81)</f>
        <v/>
      </c>
      <c r="C82" s="44" t="inlineStr">
        <is>
          <t>Student 79</t>
        </is>
      </c>
      <c r="F82" s="66" t="n"/>
      <c r="G82" s="67" t="n"/>
      <c r="J82" s="66" t="n"/>
      <c r="K82" s="67" t="n"/>
      <c r="N82" s="66" t="n"/>
      <c r="O82" s="67" t="n"/>
      <c r="R82" s="66" t="n"/>
      <c r="S82" s="67" t="n"/>
      <c r="V82" s="66" t="n"/>
      <c r="W82" s="67" t="n"/>
      <c r="Z82" s="66" t="n"/>
      <c r="AA82" s="67" t="n"/>
      <c r="AD82" s="66" t="n"/>
      <c r="AE82" s="67" t="n"/>
      <c r="AH82" s="66" t="n"/>
      <c r="AI82" s="67" t="n"/>
    </row>
    <row r="83">
      <c r="B83" s="2">
        <f>IF(STUDENTS!B82="","",STUDENTS!B82)</f>
        <v/>
      </c>
      <c r="C83" s="44" t="inlineStr">
        <is>
          <t>Student 80</t>
        </is>
      </c>
      <c r="D83" s="54" t="n"/>
      <c r="E83" s="55" t="n"/>
      <c r="F83" s="48" t="n"/>
      <c r="G83" s="58" t="n"/>
      <c r="H83" s="62" t="n"/>
      <c r="I83" s="63" t="n"/>
      <c r="J83" s="48" t="n"/>
      <c r="K83" s="58" t="n"/>
      <c r="L83" s="42" t="n"/>
      <c r="M83" s="42" t="n"/>
      <c r="N83" s="48" t="n"/>
      <c r="O83" s="58" t="n"/>
      <c r="P83" s="42" t="n"/>
      <c r="Q83" s="42" t="n"/>
      <c r="R83" s="48" t="n"/>
      <c r="S83" s="58" t="n"/>
      <c r="T83" s="42" t="n"/>
      <c r="U83" s="42" t="n"/>
      <c r="V83" s="48" t="n"/>
      <c r="W83" s="58" t="n"/>
      <c r="X83" s="42" t="n"/>
      <c r="Y83" s="42" t="n"/>
      <c r="Z83" s="48" t="n"/>
      <c r="AA83" s="58" t="n"/>
      <c r="AB83" s="42" t="n"/>
      <c r="AC83" s="42" t="n"/>
      <c r="AD83" s="48" t="n"/>
      <c r="AE83" s="58" t="n"/>
      <c r="AF83" s="42" t="n"/>
      <c r="AG83" s="42" t="n"/>
      <c r="AH83" s="48" t="n"/>
      <c r="AI83" s="58" t="n"/>
    </row>
    <row r="84">
      <c r="B84" s="2">
        <f>IF(STUDENTS!B83="","",STUDENTS!B83)</f>
        <v/>
      </c>
      <c r="C84" s="44" t="inlineStr">
        <is>
          <t>Student 81</t>
        </is>
      </c>
      <c r="F84" s="66" t="n"/>
      <c r="G84" s="67" t="n"/>
      <c r="J84" s="66" t="n"/>
      <c r="K84" s="67" t="n"/>
      <c r="N84" s="66" t="n"/>
      <c r="O84" s="67" t="n"/>
      <c r="R84" s="66" t="n"/>
      <c r="S84" s="67" t="n"/>
      <c r="V84" s="66" t="n"/>
      <c r="W84" s="67" t="n"/>
      <c r="Z84" s="66" t="n"/>
      <c r="AA84" s="67" t="n"/>
      <c r="AD84" s="66" t="n"/>
      <c r="AE84" s="67" t="n"/>
      <c r="AH84" s="66" t="n"/>
      <c r="AI84" s="67" t="n"/>
    </row>
    <row r="85">
      <c r="B85" s="2">
        <f>IF(STUDENTS!B84="","",STUDENTS!B84)</f>
        <v/>
      </c>
      <c r="C85" s="44" t="inlineStr">
        <is>
          <t>Student 82</t>
        </is>
      </c>
      <c r="D85" s="54" t="n"/>
      <c r="E85" s="55" t="n"/>
      <c r="F85" s="48" t="n"/>
      <c r="G85" s="58" t="n"/>
      <c r="H85" s="62" t="n"/>
      <c r="I85" s="63" t="n"/>
      <c r="J85" s="48" t="n"/>
      <c r="K85" s="58" t="n"/>
      <c r="L85" s="42" t="n"/>
      <c r="M85" s="42" t="n"/>
      <c r="N85" s="48" t="n"/>
      <c r="O85" s="58" t="n"/>
      <c r="P85" s="42" t="n"/>
      <c r="Q85" s="42" t="n"/>
      <c r="R85" s="48" t="n"/>
      <c r="S85" s="58" t="n"/>
      <c r="T85" s="42" t="n"/>
      <c r="U85" s="42" t="n"/>
      <c r="V85" s="48" t="n"/>
      <c r="W85" s="58" t="n"/>
      <c r="X85" s="42" t="n"/>
      <c r="Y85" s="42" t="n"/>
      <c r="Z85" s="48" t="n"/>
      <c r="AA85" s="58" t="n"/>
      <c r="AB85" s="42" t="n"/>
      <c r="AC85" s="42" t="n"/>
      <c r="AD85" s="48" t="n"/>
      <c r="AE85" s="58" t="n"/>
      <c r="AF85" s="42" t="n"/>
      <c r="AG85" s="42" t="n"/>
      <c r="AH85" s="48" t="n"/>
      <c r="AI85" s="58" t="n"/>
    </row>
    <row r="86">
      <c r="B86" s="2">
        <f>IF(STUDENTS!B85="","",STUDENTS!B85)</f>
        <v/>
      </c>
      <c r="C86" s="44" t="inlineStr">
        <is>
          <t>Student 83</t>
        </is>
      </c>
      <c r="F86" s="66" t="n"/>
      <c r="G86" s="67" t="n"/>
      <c r="J86" s="66" t="n"/>
      <c r="K86" s="67" t="n"/>
      <c r="N86" s="66" t="n"/>
      <c r="O86" s="67" t="n"/>
      <c r="R86" s="66" t="n"/>
      <c r="S86" s="67" t="n"/>
      <c r="V86" s="66" t="n"/>
      <c r="W86" s="67" t="n"/>
      <c r="Z86" s="66" t="n"/>
      <c r="AA86" s="67" t="n"/>
      <c r="AD86" s="66" t="n"/>
      <c r="AE86" s="67" t="n"/>
      <c r="AH86" s="66" t="n"/>
      <c r="AI86" s="67" t="n"/>
    </row>
    <row r="87">
      <c r="B87" s="2">
        <f>IF(STUDENTS!B86="","",STUDENTS!B86)</f>
        <v/>
      </c>
      <c r="C87" s="44" t="inlineStr">
        <is>
          <t>Student 84</t>
        </is>
      </c>
      <c r="D87" s="54" t="n"/>
      <c r="E87" s="55" t="n"/>
      <c r="F87" s="48" t="n"/>
      <c r="G87" s="58" t="n"/>
      <c r="H87" s="62" t="n"/>
      <c r="I87" s="63" t="n"/>
      <c r="J87" s="48" t="n"/>
      <c r="K87" s="58" t="n"/>
      <c r="L87" s="42" t="n"/>
      <c r="M87" s="42" t="n"/>
      <c r="N87" s="48" t="n"/>
      <c r="O87" s="58" t="n"/>
      <c r="P87" s="42" t="n"/>
      <c r="Q87" s="42" t="n"/>
      <c r="R87" s="48" t="n"/>
      <c r="S87" s="58" t="n"/>
      <c r="T87" s="42" t="n"/>
      <c r="U87" s="42" t="n"/>
      <c r="V87" s="48" t="n"/>
      <c r="W87" s="58" t="n"/>
      <c r="X87" s="42" t="n"/>
      <c r="Y87" s="42" t="n"/>
      <c r="Z87" s="48" t="n"/>
      <c r="AA87" s="58" t="n"/>
      <c r="AB87" s="42" t="n"/>
      <c r="AC87" s="42" t="n"/>
      <c r="AD87" s="48" t="n"/>
      <c r="AE87" s="58" t="n"/>
      <c r="AF87" s="42" t="n"/>
      <c r="AG87" s="42" t="n"/>
      <c r="AH87" s="48" t="n"/>
      <c r="AI87" s="58" t="n"/>
    </row>
    <row r="88">
      <c r="B88" s="2">
        <f>IF(STUDENTS!B87="","",STUDENTS!B87)</f>
        <v/>
      </c>
      <c r="C88" s="44" t="inlineStr">
        <is>
          <t>Student 85</t>
        </is>
      </c>
      <c r="F88" s="66" t="n"/>
      <c r="G88" s="67" t="n"/>
      <c r="J88" s="66" t="n"/>
      <c r="K88" s="67" t="n"/>
      <c r="N88" s="66" t="n"/>
      <c r="O88" s="67" t="n"/>
      <c r="R88" s="66" t="n"/>
      <c r="S88" s="67" t="n"/>
      <c r="V88" s="66" t="n"/>
      <c r="W88" s="67" t="n"/>
      <c r="Z88" s="66" t="n"/>
      <c r="AA88" s="67" t="n"/>
      <c r="AD88" s="66" t="n"/>
      <c r="AE88" s="67" t="n"/>
      <c r="AH88" s="66" t="n"/>
      <c r="AI88" s="67" t="n"/>
    </row>
    <row r="89">
      <c r="B89" s="2">
        <f>IF(STUDENTS!B88="","",STUDENTS!B88)</f>
        <v/>
      </c>
      <c r="C89" s="44" t="inlineStr">
        <is>
          <t>Student 86</t>
        </is>
      </c>
      <c r="D89" s="54" t="n"/>
      <c r="E89" s="55" t="n"/>
      <c r="F89" s="48" t="n"/>
      <c r="G89" s="58" t="n"/>
      <c r="H89" s="62" t="n"/>
      <c r="I89" s="63" t="n"/>
      <c r="J89" s="48" t="n"/>
      <c r="K89" s="58" t="n"/>
      <c r="L89" s="42" t="n"/>
      <c r="M89" s="42" t="n"/>
      <c r="N89" s="48" t="n"/>
      <c r="O89" s="58" t="n"/>
      <c r="P89" s="42" t="n"/>
      <c r="Q89" s="42" t="n"/>
      <c r="R89" s="48" t="n"/>
      <c r="S89" s="58" t="n"/>
      <c r="T89" s="42" t="n"/>
      <c r="U89" s="42" t="n"/>
      <c r="V89" s="48" t="n"/>
      <c r="W89" s="58" t="n"/>
      <c r="X89" s="42" t="n"/>
      <c r="Y89" s="42" t="n"/>
      <c r="Z89" s="48" t="n"/>
      <c r="AA89" s="58" t="n"/>
      <c r="AB89" s="42" t="n"/>
      <c r="AC89" s="42" t="n"/>
      <c r="AD89" s="48" t="n"/>
      <c r="AE89" s="58" t="n"/>
      <c r="AF89" s="42" t="n"/>
      <c r="AG89" s="42" t="n"/>
      <c r="AH89" s="48" t="n"/>
      <c r="AI89" s="58" t="n"/>
    </row>
    <row r="90">
      <c r="B90" s="2">
        <f>IF(STUDENTS!B89="","",STUDENTS!B89)</f>
        <v/>
      </c>
      <c r="C90" s="44" t="inlineStr">
        <is>
          <t>Student 87</t>
        </is>
      </c>
      <c r="F90" s="66" t="n"/>
      <c r="G90" s="67" t="n"/>
      <c r="J90" s="66" t="n"/>
      <c r="K90" s="67" t="n"/>
      <c r="N90" s="66" t="n"/>
      <c r="O90" s="67" t="n"/>
      <c r="R90" s="66" t="n"/>
      <c r="S90" s="67" t="n"/>
      <c r="V90" s="66" t="n"/>
      <c r="W90" s="67" t="n"/>
      <c r="Z90" s="66" t="n"/>
      <c r="AA90" s="67" t="n"/>
      <c r="AD90" s="66" t="n"/>
      <c r="AE90" s="67" t="n"/>
      <c r="AH90" s="66" t="n"/>
      <c r="AI90" s="67" t="n"/>
    </row>
    <row r="91">
      <c r="B91" s="2">
        <f>IF(STUDENTS!B90="","",STUDENTS!B90)</f>
        <v/>
      </c>
      <c r="C91" s="44" t="inlineStr">
        <is>
          <t>Student 88</t>
        </is>
      </c>
      <c r="D91" s="54" t="n"/>
      <c r="E91" s="55" t="n"/>
      <c r="F91" s="48" t="n"/>
      <c r="G91" s="58" t="n"/>
      <c r="H91" s="62" t="n"/>
      <c r="I91" s="63" t="n"/>
      <c r="J91" s="48" t="n"/>
      <c r="K91" s="58" t="n"/>
      <c r="L91" s="42" t="n"/>
      <c r="M91" s="42" t="n"/>
      <c r="N91" s="48" t="n"/>
      <c r="O91" s="58" t="n"/>
      <c r="P91" s="42" t="n"/>
      <c r="Q91" s="42" t="n"/>
      <c r="R91" s="48" t="n"/>
      <c r="S91" s="58" t="n"/>
      <c r="T91" s="42" t="n"/>
      <c r="U91" s="42" t="n"/>
      <c r="V91" s="48" t="n"/>
      <c r="W91" s="58" t="n"/>
      <c r="X91" s="42" t="n"/>
      <c r="Y91" s="42" t="n"/>
      <c r="Z91" s="48" t="n"/>
      <c r="AA91" s="58" t="n"/>
      <c r="AB91" s="42" t="n"/>
      <c r="AC91" s="42" t="n"/>
      <c r="AD91" s="48" t="n"/>
      <c r="AE91" s="58" t="n"/>
      <c r="AF91" s="42" t="n"/>
      <c r="AG91" s="42" t="n"/>
      <c r="AH91" s="48" t="n"/>
      <c r="AI91" s="58" t="n"/>
    </row>
    <row r="92">
      <c r="B92" s="2">
        <f>IF(STUDENTS!B91="","",STUDENTS!B91)</f>
        <v/>
      </c>
      <c r="C92" s="44" t="inlineStr">
        <is>
          <t>Student 89</t>
        </is>
      </c>
      <c r="F92" s="66" t="n"/>
      <c r="G92" s="67" t="n"/>
      <c r="J92" s="66" t="n"/>
      <c r="K92" s="67" t="n"/>
      <c r="N92" s="66" t="n"/>
      <c r="O92" s="67" t="n"/>
      <c r="R92" s="66" t="n"/>
      <c r="S92" s="67" t="n"/>
      <c r="V92" s="66" t="n"/>
      <c r="W92" s="67" t="n"/>
      <c r="Z92" s="66" t="n"/>
      <c r="AA92" s="67" t="n"/>
      <c r="AD92" s="66" t="n"/>
      <c r="AE92" s="67" t="n"/>
      <c r="AH92" s="66" t="n"/>
      <c r="AI92" s="67" t="n"/>
    </row>
    <row r="93">
      <c r="B93" s="2">
        <f>IF(STUDENTS!B92="","",STUDENTS!B92)</f>
        <v/>
      </c>
      <c r="C93" s="44" t="inlineStr">
        <is>
          <t>Student 90</t>
        </is>
      </c>
      <c r="D93" s="54" t="n"/>
      <c r="E93" s="55" t="n"/>
      <c r="F93" s="48" t="n"/>
      <c r="G93" s="58" t="n"/>
      <c r="H93" s="62" t="n"/>
      <c r="I93" s="63" t="n"/>
      <c r="J93" s="48" t="n"/>
      <c r="K93" s="58" t="n"/>
      <c r="L93" s="42" t="n"/>
      <c r="M93" s="42" t="n"/>
      <c r="N93" s="48" t="n"/>
      <c r="O93" s="58" t="n"/>
      <c r="P93" s="42" t="n"/>
      <c r="Q93" s="42" t="n"/>
      <c r="R93" s="48" t="n"/>
      <c r="S93" s="58" t="n"/>
      <c r="T93" s="42" t="n"/>
      <c r="U93" s="42" t="n"/>
      <c r="V93" s="48" t="n"/>
      <c r="W93" s="58" t="n"/>
      <c r="X93" s="42" t="n"/>
      <c r="Y93" s="42" t="n"/>
      <c r="Z93" s="48" t="n"/>
      <c r="AA93" s="58" t="n"/>
      <c r="AB93" s="42" t="n"/>
      <c r="AC93" s="42" t="n"/>
      <c r="AD93" s="48" t="n"/>
      <c r="AE93" s="58" t="n"/>
      <c r="AF93" s="42" t="n"/>
      <c r="AG93" s="42" t="n"/>
      <c r="AH93" s="48" t="n"/>
      <c r="AI93" s="58" t="n"/>
    </row>
    <row r="94">
      <c r="B94" s="2">
        <f>IF(STUDENTS!B93="","",STUDENTS!B93)</f>
        <v/>
      </c>
      <c r="C94" s="44" t="inlineStr">
        <is>
          <t>Student 91</t>
        </is>
      </c>
      <c r="F94" s="66" t="n"/>
      <c r="G94" s="67" t="n"/>
      <c r="J94" s="66" t="n"/>
      <c r="K94" s="67" t="n"/>
      <c r="N94" s="66" t="n"/>
      <c r="O94" s="67" t="n"/>
      <c r="R94" s="66" t="n"/>
      <c r="S94" s="67" t="n"/>
      <c r="V94" s="66" t="n"/>
      <c r="W94" s="67" t="n"/>
      <c r="Z94" s="66" t="n"/>
      <c r="AA94" s="67" t="n"/>
      <c r="AD94" s="66" t="n"/>
      <c r="AE94" s="67" t="n"/>
      <c r="AH94" s="66" t="n"/>
      <c r="AI94" s="67" t="n"/>
    </row>
    <row r="95">
      <c r="B95" s="2">
        <f>IF(STUDENTS!B94="","",STUDENTS!B94)</f>
        <v/>
      </c>
      <c r="C95" s="44" t="inlineStr">
        <is>
          <t>Student 92</t>
        </is>
      </c>
      <c r="D95" s="54" t="n"/>
      <c r="E95" s="55" t="n"/>
      <c r="F95" s="48" t="n"/>
      <c r="G95" s="58" t="n"/>
      <c r="H95" s="62" t="n"/>
      <c r="I95" s="63" t="n"/>
      <c r="J95" s="48" t="n"/>
      <c r="K95" s="58" t="n"/>
      <c r="L95" s="42" t="n"/>
      <c r="M95" s="42" t="n"/>
      <c r="N95" s="48" t="n"/>
      <c r="O95" s="58" t="n"/>
      <c r="P95" s="42" t="n"/>
      <c r="Q95" s="42" t="n"/>
      <c r="R95" s="48" t="n"/>
      <c r="S95" s="58" t="n"/>
      <c r="T95" s="42" t="n"/>
      <c r="U95" s="42" t="n"/>
      <c r="V95" s="48" t="n"/>
      <c r="W95" s="58" t="n"/>
      <c r="X95" s="42" t="n"/>
      <c r="Y95" s="42" t="n"/>
      <c r="Z95" s="48" t="n"/>
      <c r="AA95" s="58" t="n"/>
      <c r="AB95" s="42" t="n"/>
      <c r="AC95" s="42" t="n"/>
      <c r="AD95" s="48" t="n"/>
      <c r="AE95" s="58" t="n"/>
      <c r="AF95" s="42" t="n"/>
      <c r="AG95" s="42" t="n"/>
      <c r="AH95" s="48" t="n"/>
      <c r="AI95" s="58" t="n"/>
    </row>
    <row r="96">
      <c r="B96" s="2">
        <f>IF(STUDENTS!B95="","",STUDENTS!B95)</f>
        <v/>
      </c>
      <c r="C96" s="44" t="inlineStr">
        <is>
          <t>Student 93</t>
        </is>
      </c>
      <c r="F96" s="66" t="n"/>
      <c r="G96" s="67" t="n"/>
      <c r="J96" s="66" t="n"/>
      <c r="K96" s="67" t="n"/>
      <c r="N96" s="66" t="n"/>
      <c r="O96" s="67" t="n"/>
      <c r="R96" s="66" t="n"/>
      <c r="S96" s="67" t="n"/>
      <c r="V96" s="66" t="n"/>
      <c r="W96" s="67" t="n"/>
      <c r="Z96" s="66" t="n"/>
      <c r="AA96" s="67" t="n"/>
      <c r="AD96" s="66" t="n"/>
      <c r="AE96" s="67" t="n"/>
      <c r="AH96" s="66" t="n"/>
      <c r="AI96" s="67" t="n"/>
    </row>
    <row r="97">
      <c r="B97" s="2">
        <f>IF(STUDENTS!B96="","",STUDENTS!B96)</f>
        <v/>
      </c>
      <c r="C97" s="44" t="inlineStr">
        <is>
          <t>Student 94</t>
        </is>
      </c>
      <c r="D97" s="54" t="n"/>
      <c r="E97" s="55" t="n"/>
      <c r="F97" s="48" t="n"/>
      <c r="G97" s="58" t="n"/>
      <c r="H97" s="62" t="n"/>
      <c r="I97" s="63" t="n"/>
      <c r="J97" s="48" t="n"/>
      <c r="K97" s="58" t="n"/>
      <c r="L97" s="42" t="n"/>
      <c r="M97" s="42" t="n"/>
      <c r="N97" s="48" t="n"/>
      <c r="O97" s="58" t="n"/>
      <c r="P97" s="42" t="n"/>
      <c r="Q97" s="42" t="n"/>
      <c r="R97" s="48" t="n"/>
      <c r="S97" s="58" t="n"/>
      <c r="T97" s="42" t="n"/>
      <c r="U97" s="42" t="n"/>
      <c r="V97" s="48" t="n"/>
      <c r="W97" s="58" t="n"/>
      <c r="X97" s="42" t="n"/>
      <c r="Y97" s="42" t="n"/>
      <c r="Z97" s="48" t="n"/>
      <c r="AA97" s="58" t="n"/>
      <c r="AB97" s="42" t="n"/>
      <c r="AC97" s="42" t="n"/>
      <c r="AD97" s="48" t="n"/>
      <c r="AE97" s="58" t="n"/>
      <c r="AF97" s="42" t="n"/>
      <c r="AG97" s="42" t="n"/>
      <c r="AH97" s="48" t="n"/>
      <c r="AI97" s="58" t="n"/>
    </row>
    <row r="98">
      <c r="B98" s="2">
        <f>IF(STUDENTS!B97="","",STUDENTS!B97)</f>
        <v/>
      </c>
      <c r="C98" s="44" t="inlineStr">
        <is>
          <t>Student 95</t>
        </is>
      </c>
      <c r="F98" s="66" t="n"/>
      <c r="G98" s="67" t="n"/>
      <c r="J98" s="66" t="n"/>
      <c r="K98" s="67" t="n"/>
      <c r="N98" s="66" t="n"/>
      <c r="O98" s="67" t="n"/>
      <c r="R98" s="66" t="n"/>
      <c r="S98" s="67" t="n"/>
      <c r="V98" s="66" t="n"/>
      <c r="W98" s="67" t="n"/>
      <c r="Z98" s="66" t="n"/>
      <c r="AA98" s="67" t="n"/>
      <c r="AD98" s="66" t="n"/>
      <c r="AE98" s="67" t="n"/>
      <c r="AH98" s="66" t="n"/>
      <c r="AI98" s="67" t="n"/>
    </row>
    <row r="99">
      <c r="B99" s="2">
        <f>IF(STUDENTS!B98="","",STUDENTS!B98)</f>
        <v/>
      </c>
      <c r="C99" s="44">
        <f>IFERROR(IF(B99="","",_xlfn.XLOOKUP(B99,STUDENTS!$B$3:$B$1048576,STUDENTS!$C$3:$C$1048576)),"Enter a registered reg. no")</f>
        <v/>
      </c>
      <c r="D99" s="54" t="n"/>
      <c r="E99" s="55" t="n"/>
      <c r="F99" s="48" t="n"/>
      <c r="G99" s="58" t="n"/>
      <c r="H99" s="62" t="n"/>
      <c r="I99" s="63" t="n"/>
      <c r="J99" s="48" t="n"/>
      <c r="K99" s="58" t="n"/>
      <c r="L99" s="42" t="n"/>
      <c r="M99" s="42" t="n"/>
      <c r="N99" s="48" t="n"/>
      <c r="O99" s="58" t="n"/>
      <c r="P99" s="42" t="n"/>
      <c r="Q99" s="42" t="n"/>
      <c r="R99" s="48" t="n"/>
      <c r="S99" s="58" t="n"/>
      <c r="T99" s="42" t="n"/>
      <c r="U99" s="42" t="n"/>
      <c r="V99" s="48" t="n"/>
      <c r="W99" s="58" t="n"/>
      <c r="X99" s="42" t="n"/>
      <c r="Y99" s="42" t="n"/>
      <c r="Z99" s="48" t="n"/>
      <c r="AA99" s="58" t="n"/>
      <c r="AB99" s="42" t="n"/>
      <c r="AC99" s="42" t="n"/>
      <c r="AD99" s="48" t="n"/>
      <c r="AE99" s="58" t="n"/>
      <c r="AF99" s="42" t="n"/>
      <c r="AG99" s="42" t="n"/>
      <c r="AH99" s="48" t="n"/>
      <c r="AI99" s="58" t="n"/>
    </row>
    <row r="100">
      <c r="B100" s="2">
        <f>IF(STUDENTS!B99="","",STUDENTS!B99)</f>
        <v/>
      </c>
      <c r="C100" s="44">
        <f>IFERROR(IF(B100="","",_xlfn.XLOOKUP(B100,STUDENTS!$B$3:$B$1048576,STUDENTS!$C$3:$C$1048576)),"Enter a registered reg. no")</f>
        <v/>
      </c>
      <c r="F100" s="66" t="n"/>
      <c r="G100" s="67" t="n"/>
      <c r="J100" s="66" t="n"/>
      <c r="K100" s="67" t="n"/>
      <c r="N100" s="66" t="n"/>
      <c r="O100" s="67" t="n"/>
      <c r="R100" s="66" t="n"/>
      <c r="S100" s="67" t="n"/>
      <c r="V100" s="66" t="n"/>
      <c r="W100" s="67" t="n"/>
      <c r="Z100" s="66" t="n"/>
      <c r="AA100" s="67" t="n"/>
      <c r="AD100" s="66" t="n"/>
      <c r="AE100" s="67" t="n"/>
      <c r="AH100" s="66" t="n"/>
      <c r="AI100" s="67" t="n"/>
    </row>
    <row r="101">
      <c r="B101" s="2">
        <f>IF(STUDENTS!B100="","",STUDENTS!B100)</f>
        <v/>
      </c>
      <c r="C101" s="44">
        <f>IFERROR(IF(B101="","",_xlfn.XLOOKUP(B101,STUDENTS!$B$3:$B$1048576,STUDENTS!$C$3:$C$1048576)),"Enter a registered reg. no")</f>
        <v/>
      </c>
      <c r="D101" s="54" t="n"/>
      <c r="E101" s="55" t="n"/>
      <c r="F101" s="48" t="n"/>
      <c r="G101" s="58" t="n"/>
      <c r="H101" s="62" t="n"/>
      <c r="I101" s="63" t="n"/>
      <c r="J101" s="48" t="n"/>
      <c r="K101" s="58" t="n"/>
      <c r="L101" s="42" t="n"/>
      <c r="M101" s="42" t="n"/>
      <c r="N101" s="48" t="n"/>
      <c r="O101" s="58" t="n"/>
      <c r="P101" s="42" t="n"/>
      <c r="Q101" s="42" t="n"/>
      <c r="R101" s="48" t="n"/>
      <c r="S101" s="58" t="n"/>
      <c r="T101" s="42" t="n"/>
      <c r="U101" s="42" t="n"/>
      <c r="V101" s="48" t="n"/>
      <c r="W101" s="58" t="n"/>
      <c r="X101" s="42" t="n"/>
      <c r="Y101" s="42" t="n"/>
      <c r="Z101" s="48" t="n"/>
      <c r="AA101" s="58" t="n"/>
      <c r="AB101" s="42" t="n"/>
      <c r="AC101" s="42" t="n"/>
      <c r="AD101" s="48" t="n"/>
      <c r="AE101" s="58" t="n"/>
      <c r="AF101" s="42" t="n"/>
      <c r="AG101" s="42" t="n"/>
      <c r="AH101" s="48" t="n"/>
      <c r="AI101" s="58" t="n"/>
    </row>
    <row r="102">
      <c r="B102" s="2">
        <f>IF(STUDENTS!B101="","",STUDENTS!B101)</f>
        <v/>
      </c>
      <c r="C102" s="44">
        <f>IFERROR(IF(B102="","",_xlfn.XLOOKUP(B102,STUDENTS!$B$3:$B$1048576,STUDENTS!$C$3:$C$1048576)),"Enter a registered reg. no")</f>
        <v/>
      </c>
      <c r="F102" s="66" t="n"/>
      <c r="G102" s="67" t="n"/>
      <c r="J102" s="66" t="n"/>
      <c r="K102" s="67" t="n"/>
      <c r="N102" s="66" t="n"/>
      <c r="O102" s="67" t="n"/>
      <c r="R102" s="66" t="n"/>
      <c r="S102" s="67" t="n"/>
      <c r="V102" s="66" t="n"/>
      <c r="W102" s="67" t="n"/>
      <c r="Z102" s="66" t="n"/>
      <c r="AA102" s="67" t="n"/>
      <c r="AD102" s="66" t="n"/>
      <c r="AE102" s="67" t="n"/>
      <c r="AH102" s="66" t="n"/>
      <c r="AI102" s="67" t="n"/>
    </row>
    <row r="103">
      <c r="B103" s="2">
        <f>IF(STUDENTS!B102="","",STUDENTS!B102)</f>
        <v/>
      </c>
      <c r="C103" s="44">
        <f>IFERROR(IF(B103="","",_xlfn.XLOOKUP(B103,STUDENTS!$B$3:$B$1048576,STUDENTS!$C$3:$C$1048576)),"Enter a registered reg. no")</f>
        <v/>
      </c>
      <c r="D103" s="54" t="n"/>
      <c r="E103" s="55" t="n"/>
      <c r="F103" s="48" t="n"/>
      <c r="G103" s="58" t="n"/>
      <c r="H103" s="62" t="n"/>
      <c r="I103" s="63" t="n"/>
      <c r="J103" s="48" t="n"/>
      <c r="K103" s="58" t="n"/>
      <c r="L103" s="42" t="n"/>
      <c r="M103" s="42" t="n"/>
      <c r="N103" s="48" t="n"/>
      <c r="O103" s="58" t="n"/>
      <c r="P103" s="42" t="n"/>
      <c r="Q103" s="42" t="n"/>
      <c r="R103" s="48" t="n"/>
      <c r="S103" s="58" t="n"/>
      <c r="T103" s="42" t="n"/>
      <c r="U103" s="42" t="n"/>
      <c r="V103" s="48" t="n"/>
      <c r="W103" s="58" t="n"/>
      <c r="X103" s="42" t="n"/>
      <c r="Y103" s="42" t="n"/>
      <c r="Z103" s="48" t="n"/>
      <c r="AA103" s="58" t="n"/>
      <c r="AB103" s="42" t="n"/>
      <c r="AC103" s="42" t="n"/>
      <c r="AD103" s="48" t="n"/>
      <c r="AE103" s="58" t="n"/>
      <c r="AF103" s="42" t="n"/>
      <c r="AG103" s="42" t="n"/>
      <c r="AH103" s="48" t="n"/>
      <c r="AI103" s="58" t="n"/>
    </row>
    <row r="104">
      <c r="B104" s="2">
        <f>IF(STUDENTS!B103="","",STUDENTS!B103)</f>
        <v/>
      </c>
      <c r="C104" s="44">
        <f>IFERROR(IF(B104="","",_xlfn.XLOOKUP(B104,STUDENTS!$B$3:$B$1048576,STUDENTS!$C$3:$C$1048576)),"Enter a registered reg. no")</f>
        <v/>
      </c>
      <c r="F104" s="66" t="n"/>
      <c r="G104" s="67" t="n"/>
      <c r="J104" s="66" t="n"/>
      <c r="K104" s="67" t="n"/>
      <c r="N104" s="66" t="n"/>
      <c r="O104" s="67" t="n"/>
      <c r="R104" s="66" t="n"/>
      <c r="S104" s="67" t="n"/>
      <c r="V104" s="66" t="n"/>
      <c r="W104" s="67" t="n"/>
      <c r="Z104" s="66" t="n"/>
      <c r="AA104" s="67" t="n"/>
      <c r="AD104" s="66" t="n"/>
      <c r="AE104" s="67" t="n"/>
      <c r="AH104" s="66" t="n"/>
      <c r="AI104" s="67" t="n"/>
    </row>
    <row r="105">
      <c r="B105" s="2">
        <f>IF(STUDENTS!B104="","",STUDENTS!B104)</f>
        <v/>
      </c>
      <c r="C105" s="44">
        <f>IFERROR(IF(B105="","",_xlfn.XLOOKUP(B105,STUDENTS!$B$3:$B$1048576,STUDENTS!$C$3:$C$1048576)),"Enter a registered reg. no")</f>
        <v/>
      </c>
      <c r="D105" s="54" t="n"/>
      <c r="E105" s="55" t="n"/>
      <c r="F105" s="48" t="n"/>
      <c r="G105" s="58" t="n"/>
      <c r="H105" s="62" t="n"/>
      <c r="I105" s="63" t="n"/>
      <c r="J105" s="48" t="n"/>
      <c r="K105" s="58" t="n"/>
      <c r="L105" s="42" t="n"/>
      <c r="M105" s="42" t="n"/>
      <c r="N105" s="48" t="n"/>
      <c r="O105" s="58" t="n"/>
      <c r="P105" s="42" t="n"/>
      <c r="Q105" s="42" t="n"/>
      <c r="R105" s="48" t="n"/>
      <c r="S105" s="58" t="n"/>
      <c r="T105" s="42" t="n"/>
      <c r="U105" s="42" t="n"/>
      <c r="V105" s="48" t="n"/>
      <c r="W105" s="58" t="n"/>
      <c r="X105" s="42" t="n"/>
      <c r="Y105" s="42" t="n"/>
      <c r="Z105" s="48" t="n"/>
      <c r="AA105" s="58" t="n"/>
      <c r="AB105" s="42" t="n"/>
      <c r="AC105" s="42" t="n"/>
      <c r="AD105" s="48" t="n"/>
      <c r="AE105" s="58" t="n"/>
      <c r="AF105" s="42" t="n"/>
      <c r="AG105" s="42" t="n"/>
      <c r="AH105" s="48" t="n"/>
      <c r="AI105" s="58" t="n"/>
    </row>
    <row r="106">
      <c r="B106" s="2">
        <f>IF(STUDENTS!B105="","",STUDENTS!B105)</f>
        <v/>
      </c>
      <c r="C106" s="44">
        <f>IFERROR(IF(B106="","",_xlfn.XLOOKUP(B106,STUDENTS!$B$3:$B$1048576,STUDENTS!$C$3:$C$1048576)),"Enter a registered reg. no")</f>
        <v/>
      </c>
      <c r="F106" s="66" t="n"/>
      <c r="G106" s="67" t="n"/>
      <c r="J106" s="66" t="n"/>
      <c r="K106" s="67" t="n"/>
      <c r="N106" s="66" t="n"/>
      <c r="O106" s="67" t="n"/>
      <c r="R106" s="66" t="n"/>
      <c r="S106" s="67" t="n"/>
      <c r="V106" s="66" t="n"/>
      <c r="W106" s="67" t="n"/>
      <c r="Z106" s="66" t="n"/>
      <c r="AA106" s="67" t="n"/>
      <c r="AD106" s="66" t="n"/>
      <c r="AE106" s="67" t="n"/>
      <c r="AH106" s="66" t="n"/>
      <c r="AI106" s="67" t="n"/>
    </row>
    <row r="107">
      <c r="B107" s="2">
        <f>IF(STUDENTS!B106="","",STUDENTS!B106)</f>
        <v/>
      </c>
      <c r="C107" s="44">
        <f>IFERROR(IF(B107="","",_xlfn.XLOOKUP(B107,STUDENTS!$B$3:$B$1048576,STUDENTS!$C$3:$C$1048576)),"Enter a registered reg. no")</f>
        <v/>
      </c>
      <c r="D107" s="54" t="n"/>
      <c r="E107" s="55" t="n"/>
      <c r="F107" s="48" t="n"/>
      <c r="G107" s="58" t="n"/>
      <c r="H107" s="62" t="n"/>
      <c r="I107" s="63" t="n"/>
      <c r="J107" s="48" t="n"/>
      <c r="K107" s="58" t="n"/>
      <c r="L107" s="42" t="n"/>
      <c r="M107" s="42" t="n"/>
      <c r="N107" s="48" t="n"/>
      <c r="O107" s="58" t="n"/>
      <c r="P107" s="42" t="n"/>
      <c r="Q107" s="42" t="n"/>
      <c r="R107" s="48" t="n"/>
      <c r="S107" s="58" t="n"/>
      <c r="T107" s="42" t="n"/>
      <c r="U107" s="42" t="n"/>
      <c r="V107" s="48" t="n"/>
      <c r="W107" s="58" t="n"/>
      <c r="X107" s="42" t="n"/>
      <c r="Y107" s="42" t="n"/>
      <c r="Z107" s="48" t="n"/>
      <c r="AA107" s="58" t="n"/>
      <c r="AB107" s="42" t="n"/>
      <c r="AC107" s="42" t="n"/>
      <c r="AD107" s="48" t="n"/>
      <c r="AE107" s="58" t="n"/>
      <c r="AF107" s="42" t="n"/>
      <c r="AG107" s="42" t="n"/>
      <c r="AH107" s="48" t="n"/>
      <c r="AI107" s="58" t="n"/>
    </row>
    <row r="108">
      <c r="B108" s="2">
        <f>IF(STUDENTS!B107="","",STUDENTS!B107)</f>
        <v/>
      </c>
      <c r="C108" s="44">
        <f>IFERROR(IF(B108="","",_xlfn.XLOOKUP(B108,STUDENTS!$B$3:$B$1048576,STUDENTS!$C$3:$C$1048576)),"Enter a registered reg. no")</f>
        <v/>
      </c>
      <c r="F108" s="66" t="n"/>
      <c r="G108" s="67" t="n"/>
      <c r="J108" s="66" t="n"/>
      <c r="K108" s="67" t="n"/>
      <c r="N108" s="66" t="n"/>
      <c r="O108" s="67" t="n"/>
      <c r="R108" s="66" t="n"/>
      <c r="S108" s="67" t="n"/>
      <c r="V108" s="66" t="n"/>
      <c r="W108" s="67" t="n"/>
      <c r="Z108" s="66" t="n"/>
      <c r="AA108" s="67" t="n"/>
      <c r="AD108" s="66" t="n"/>
      <c r="AE108" s="67" t="n"/>
      <c r="AH108" s="66" t="n"/>
      <c r="AI108" s="67" t="n"/>
    </row>
    <row r="109">
      <c r="B109" s="2">
        <f>IF(STUDENTS!B108="","",STUDENTS!B108)</f>
        <v/>
      </c>
      <c r="C109" s="44">
        <f>IFERROR(IF(B109="","",_xlfn.XLOOKUP(B109,STUDENTS!$B$3:$B$1048576,STUDENTS!$C$3:$C$1048576)),"Enter a registered reg. no")</f>
        <v/>
      </c>
      <c r="D109" s="54" t="n"/>
      <c r="E109" s="55" t="n"/>
      <c r="F109" s="48" t="n"/>
      <c r="G109" s="58" t="n"/>
      <c r="H109" s="62" t="n"/>
      <c r="I109" s="63" t="n"/>
      <c r="J109" s="48" t="n"/>
      <c r="K109" s="58" t="n"/>
      <c r="L109" s="42" t="n"/>
      <c r="M109" s="42" t="n"/>
      <c r="N109" s="48" t="n"/>
      <c r="O109" s="58" t="n"/>
      <c r="P109" s="42" t="n"/>
      <c r="Q109" s="42" t="n"/>
      <c r="R109" s="48" t="n"/>
      <c r="S109" s="58" t="n"/>
      <c r="T109" s="42" t="n"/>
      <c r="U109" s="42" t="n"/>
      <c r="V109" s="48" t="n"/>
      <c r="W109" s="58" t="n"/>
      <c r="X109" s="42" t="n"/>
      <c r="Y109" s="42" t="n"/>
      <c r="Z109" s="48" t="n"/>
      <c r="AA109" s="58" t="n"/>
      <c r="AB109" s="42" t="n"/>
      <c r="AC109" s="42" t="n"/>
      <c r="AD109" s="48" t="n"/>
      <c r="AE109" s="58" t="n"/>
      <c r="AF109" s="42" t="n"/>
      <c r="AG109" s="42" t="n"/>
      <c r="AH109" s="48" t="n"/>
      <c r="AI109" s="58" t="n"/>
    </row>
    <row r="110">
      <c r="B110" s="2">
        <f>IF(STUDENTS!B109="","",STUDENTS!B109)</f>
        <v/>
      </c>
      <c r="C110" s="44">
        <f>IFERROR(IF(B110="","",_xlfn.XLOOKUP(B110,STUDENTS!$B$3:$B$1048576,STUDENTS!$C$3:$C$1048576)),"Enter a registered reg. no")</f>
        <v/>
      </c>
      <c r="F110" s="66" t="n"/>
      <c r="G110" s="67" t="n"/>
      <c r="J110" s="66" t="n"/>
      <c r="K110" s="67" t="n"/>
      <c r="N110" s="66" t="n"/>
      <c r="O110" s="67" t="n"/>
      <c r="R110" s="66" t="n"/>
      <c r="S110" s="67" t="n"/>
      <c r="V110" s="66" t="n"/>
      <c r="W110" s="67" t="n"/>
      <c r="Z110" s="66" t="n"/>
      <c r="AA110" s="67" t="n"/>
      <c r="AD110" s="66" t="n"/>
      <c r="AE110" s="67" t="n"/>
      <c r="AH110" s="66" t="n"/>
      <c r="AI110" s="67" t="n"/>
    </row>
    <row r="111">
      <c r="B111" s="2">
        <f>IF(STUDENTS!B110="","",STUDENTS!B110)</f>
        <v/>
      </c>
      <c r="C111" s="44">
        <f>IFERROR(IF(B111="","",_xlfn.XLOOKUP(B111,STUDENTS!$B$3:$B$1048576,STUDENTS!$C$3:$C$1048576)),"Enter a registered reg. no")</f>
        <v/>
      </c>
      <c r="D111" s="54" t="n"/>
      <c r="E111" s="55" t="n"/>
      <c r="F111" s="48" t="n"/>
      <c r="G111" s="58" t="n"/>
      <c r="H111" s="62" t="n"/>
      <c r="I111" s="63" t="n"/>
      <c r="J111" s="48" t="n"/>
      <c r="K111" s="58" t="n"/>
      <c r="L111" s="42" t="n"/>
      <c r="M111" s="42" t="n"/>
      <c r="N111" s="48" t="n"/>
      <c r="O111" s="58" t="n"/>
      <c r="P111" s="42" t="n"/>
      <c r="Q111" s="42" t="n"/>
      <c r="R111" s="48" t="n"/>
      <c r="S111" s="58" t="n"/>
      <c r="T111" s="42" t="n"/>
      <c r="U111" s="42" t="n"/>
      <c r="V111" s="48" t="n"/>
      <c r="W111" s="58" t="n"/>
      <c r="X111" s="42" t="n"/>
      <c r="Y111" s="42" t="n"/>
      <c r="Z111" s="48" t="n"/>
      <c r="AA111" s="58" t="n"/>
      <c r="AB111" s="42" t="n"/>
      <c r="AC111" s="42" t="n"/>
      <c r="AD111" s="48" t="n"/>
      <c r="AE111" s="58" t="n"/>
      <c r="AF111" s="42" t="n"/>
      <c r="AG111" s="42" t="n"/>
      <c r="AH111" s="48" t="n"/>
      <c r="AI111" s="58" t="n"/>
    </row>
    <row r="112">
      <c r="B112" s="2">
        <f>IF(STUDENTS!B111="","",STUDENTS!B111)</f>
        <v/>
      </c>
      <c r="C112" s="44">
        <f>IFERROR(IF(B112="","",_xlfn.XLOOKUP(B112,STUDENTS!$B$3:$B$1048576,STUDENTS!$C$3:$C$1048576)),"Enter a registered reg. no")</f>
        <v/>
      </c>
      <c r="F112" s="66" t="n"/>
      <c r="G112" s="67" t="n"/>
      <c r="J112" s="66" t="n"/>
      <c r="K112" s="67" t="n"/>
      <c r="N112" s="66" t="n"/>
      <c r="O112" s="67" t="n"/>
      <c r="R112" s="66" t="n"/>
      <c r="S112" s="67" t="n"/>
      <c r="V112" s="66" t="n"/>
      <c r="W112" s="67" t="n"/>
      <c r="Z112" s="66" t="n"/>
      <c r="AA112" s="67" t="n"/>
      <c r="AD112" s="66" t="n"/>
      <c r="AE112" s="67" t="n"/>
      <c r="AH112" s="66" t="n"/>
      <c r="AI112" s="67" t="n"/>
    </row>
    <row r="113">
      <c r="B113" s="2">
        <f>IF(STUDENTS!B112="","",STUDENTS!B112)</f>
        <v/>
      </c>
      <c r="C113" s="44">
        <f>IFERROR(IF(B113="","",_xlfn.XLOOKUP(B113,STUDENTS!$B$3:$B$1048576,STUDENTS!$C$3:$C$1048576)),"Enter a registered reg. no")</f>
        <v/>
      </c>
      <c r="D113" s="54" t="n"/>
      <c r="E113" s="55" t="n"/>
      <c r="F113" s="48" t="n"/>
      <c r="G113" s="58" t="n"/>
      <c r="H113" s="62" t="n"/>
      <c r="I113" s="63" t="n"/>
      <c r="J113" s="48" t="n"/>
      <c r="K113" s="58" t="n"/>
      <c r="L113" s="42" t="n"/>
      <c r="M113" s="42" t="n"/>
      <c r="N113" s="48" t="n"/>
      <c r="O113" s="58" t="n"/>
      <c r="P113" s="42" t="n"/>
      <c r="Q113" s="42" t="n"/>
      <c r="R113" s="48" t="n"/>
      <c r="S113" s="58" t="n"/>
      <c r="T113" s="42" t="n"/>
      <c r="U113" s="42" t="n"/>
      <c r="V113" s="48" t="n"/>
      <c r="W113" s="58" t="n"/>
      <c r="X113" s="42" t="n"/>
      <c r="Y113" s="42" t="n"/>
      <c r="Z113" s="48" t="n"/>
      <c r="AA113" s="58" t="n"/>
      <c r="AB113" s="42" t="n"/>
      <c r="AC113" s="42" t="n"/>
      <c r="AD113" s="48" t="n"/>
      <c r="AE113" s="58" t="n"/>
      <c r="AF113" s="42" t="n"/>
      <c r="AG113" s="42" t="n"/>
      <c r="AH113" s="48" t="n"/>
      <c r="AI113" s="58" t="n"/>
    </row>
    <row r="114">
      <c r="B114" s="2">
        <f>IF(STUDENTS!B113="","",STUDENTS!B113)</f>
        <v/>
      </c>
      <c r="C114" s="44">
        <f>IFERROR(IF(B114="","",_xlfn.XLOOKUP(B114,STUDENTS!$B$3:$B$1048576,STUDENTS!$C$3:$C$1048576)),"Enter a registered reg. no")</f>
        <v/>
      </c>
      <c r="F114" s="66" t="n"/>
      <c r="G114" s="67" t="n"/>
      <c r="J114" s="66" t="n"/>
      <c r="K114" s="67" t="n"/>
      <c r="N114" s="66" t="n"/>
      <c r="O114" s="67" t="n"/>
      <c r="R114" s="66" t="n"/>
      <c r="S114" s="67" t="n"/>
      <c r="V114" s="66" t="n"/>
      <c r="W114" s="67" t="n"/>
      <c r="Z114" s="66" t="n"/>
      <c r="AA114" s="67" t="n"/>
      <c r="AD114" s="66" t="n"/>
      <c r="AE114" s="67" t="n"/>
      <c r="AH114" s="66" t="n"/>
      <c r="AI114" s="67" t="n"/>
    </row>
    <row r="115">
      <c r="B115" s="2">
        <f>IF(STUDENTS!B114="","",STUDENTS!B114)</f>
        <v/>
      </c>
      <c r="C115" s="44">
        <f>IFERROR(IF(B115="","",_xlfn.XLOOKUP(B115,STUDENTS!$B$3:$B$1048576,STUDENTS!$C$3:$C$1048576)),"Enter a registered reg. no")</f>
        <v/>
      </c>
      <c r="D115" s="54" t="n"/>
      <c r="E115" s="55" t="n"/>
      <c r="F115" s="48" t="n"/>
      <c r="G115" s="58" t="n"/>
      <c r="H115" s="62" t="n"/>
      <c r="I115" s="63" t="n"/>
      <c r="J115" s="48" t="n"/>
      <c r="K115" s="58" t="n"/>
      <c r="L115" s="42" t="n"/>
      <c r="M115" s="42" t="n"/>
      <c r="N115" s="48" t="n"/>
      <c r="O115" s="58" t="n"/>
      <c r="P115" s="42" t="n"/>
      <c r="Q115" s="42" t="n"/>
      <c r="R115" s="48" t="n"/>
      <c r="S115" s="58" t="n"/>
      <c r="T115" s="42" t="n"/>
      <c r="U115" s="42" t="n"/>
      <c r="V115" s="48" t="n"/>
      <c r="W115" s="58" t="n"/>
      <c r="X115" s="42" t="n"/>
      <c r="Y115" s="42" t="n"/>
      <c r="Z115" s="48" t="n"/>
      <c r="AA115" s="58" t="n"/>
      <c r="AB115" s="42" t="n"/>
      <c r="AC115" s="42" t="n"/>
      <c r="AD115" s="48" t="n"/>
      <c r="AE115" s="58" t="n"/>
      <c r="AF115" s="42" t="n"/>
      <c r="AG115" s="42" t="n"/>
      <c r="AH115" s="48" t="n"/>
      <c r="AI115" s="58" t="n"/>
    </row>
    <row r="116">
      <c r="B116" s="2">
        <f>IF(STUDENTS!B115="","",STUDENTS!B115)</f>
        <v/>
      </c>
      <c r="C116" s="44">
        <f>IFERROR(IF(B116="","",_xlfn.XLOOKUP(B116,STUDENTS!$B$3:$B$1048576,STUDENTS!$C$3:$C$1048576)),"Enter a registered reg. no")</f>
        <v/>
      </c>
      <c r="F116" s="66" t="n"/>
      <c r="G116" s="67" t="n"/>
      <c r="J116" s="66" t="n"/>
      <c r="K116" s="67" t="n"/>
      <c r="N116" s="66" t="n"/>
      <c r="O116" s="67" t="n"/>
      <c r="R116" s="66" t="n"/>
      <c r="S116" s="67" t="n"/>
      <c r="V116" s="66" t="n"/>
      <c r="W116" s="67" t="n"/>
      <c r="Z116" s="66" t="n"/>
      <c r="AA116" s="67" t="n"/>
      <c r="AD116" s="66" t="n"/>
      <c r="AE116" s="67" t="n"/>
      <c r="AH116" s="66" t="n"/>
      <c r="AI116" s="67" t="n"/>
    </row>
    <row r="117">
      <c r="B117" s="2">
        <f>IF(STUDENTS!B116="","",STUDENTS!B116)</f>
        <v/>
      </c>
      <c r="C117" s="44">
        <f>IFERROR(IF(B117="","",_xlfn.XLOOKUP(B117,STUDENTS!$B$3:$B$1048576,STUDENTS!$C$3:$C$1048576)),"Enter a registered reg. no")</f>
        <v/>
      </c>
      <c r="D117" s="54" t="n"/>
      <c r="E117" s="55" t="n"/>
      <c r="F117" s="48" t="n"/>
      <c r="G117" s="58" t="n"/>
      <c r="H117" s="62" t="n"/>
      <c r="I117" s="63" t="n"/>
      <c r="J117" s="48" t="n"/>
      <c r="K117" s="58" t="n"/>
      <c r="L117" s="42" t="n"/>
      <c r="M117" s="42" t="n"/>
      <c r="N117" s="48" t="n"/>
      <c r="O117" s="58" t="n"/>
      <c r="P117" s="42" t="n"/>
      <c r="Q117" s="42" t="n"/>
      <c r="R117" s="48" t="n"/>
      <c r="S117" s="58" t="n"/>
      <c r="T117" s="42" t="n"/>
      <c r="U117" s="42" t="n"/>
      <c r="V117" s="48" t="n"/>
      <c r="W117" s="58" t="n"/>
      <c r="X117" s="42" t="n"/>
      <c r="Y117" s="42" t="n"/>
      <c r="Z117" s="48" t="n"/>
      <c r="AA117" s="58" t="n"/>
      <c r="AB117" s="42" t="n"/>
      <c r="AC117" s="42" t="n"/>
      <c r="AD117" s="48" t="n"/>
      <c r="AE117" s="58" t="n"/>
      <c r="AF117" s="42" t="n"/>
      <c r="AG117" s="42" t="n"/>
      <c r="AH117" s="48" t="n"/>
      <c r="AI117" s="58" t="n"/>
    </row>
    <row r="118">
      <c r="B118" s="2">
        <f>IF(STUDENTS!B117="","",STUDENTS!B117)</f>
        <v/>
      </c>
      <c r="C118" s="44">
        <f>IFERROR(IF(B118="","",_xlfn.XLOOKUP(B118,STUDENTS!$B$3:$B$1048576,STUDENTS!$C$3:$C$1048576)),"Enter a registered reg. no")</f>
        <v/>
      </c>
      <c r="F118" s="66" t="n"/>
      <c r="G118" s="67" t="n"/>
      <c r="J118" s="66" t="n"/>
      <c r="K118" s="67" t="n"/>
      <c r="N118" s="66" t="n"/>
      <c r="O118" s="67" t="n"/>
      <c r="R118" s="66" t="n"/>
      <c r="S118" s="67" t="n"/>
      <c r="V118" s="66" t="n"/>
      <c r="W118" s="67" t="n"/>
      <c r="Z118" s="66" t="n"/>
      <c r="AA118" s="67" t="n"/>
      <c r="AD118" s="66" t="n"/>
      <c r="AE118" s="67" t="n"/>
      <c r="AH118" s="66" t="n"/>
      <c r="AI118" s="67" t="n"/>
    </row>
    <row r="119">
      <c r="B119" s="2">
        <f>IF(STUDENTS!B118="","",STUDENTS!B118)</f>
        <v/>
      </c>
      <c r="C119" s="44">
        <f>IFERROR(IF(B119="","",_xlfn.XLOOKUP(B119,STUDENTS!$B$3:$B$1048576,STUDENTS!$C$3:$C$1048576)),"Enter a registered reg. no")</f>
        <v/>
      </c>
      <c r="D119" s="54" t="n"/>
      <c r="E119" s="55" t="n"/>
      <c r="F119" s="48" t="n"/>
      <c r="G119" s="58" t="n"/>
      <c r="H119" s="62" t="n"/>
      <c r="I119" s="63" t="n"/>
      <c r="J119" s="48" t="n"/>
      <c r="K119" s="58" t="n"/>
      <c r="L119" s="42" t="n"/>
      <c r="M119" s="42" t="n"/>
      <c r="N119" s="48" t="n"/>
      <c r="O119" s="58" t="n"/>
      <c r="P119" s="42" t="n"/>
      <c r="Q119" s="42" t="n"/>
      <c r="R119" s="48" t="n"/>
      <c r="S119" s="58" t="n"/>
      <c r="T119" s="42" t="n"/>
      <c r="U119" s="42" t="n"/>
      <c r="V119" s="48" t="n"/>
      <c r="W119" s="58" t="n"/>
      <c r="X119" s="42" t="n"/>
      <c r="Y119" s="42" t="n"/>
      <c r="Z119" s="48" t="n"/>
      <c r="AA119" s="58" t="n"/>
      <c r="AB119" s="42" t="n"/>
      <c r="AC119" s="42" t="n"/>
      <c r="AD119" s="48" t="n"/>
      <c r="AE119" s="58" t="n"/>
      <c r="AF119" s="42" t="n"/>
      <c r="AG119" s="42" t="n"/>
      <c r="AH119" s="48" t="n"/>
      <c r="AI119" s="58" t="n"/>
    </row>
    <row r="120">
      <c r="B120" s="2">
        <f>IF(STUDENTS!B119="","",STUDENTS!B119)</f>
        <v/>
      </c>
      <c r="C120" s="44">
        <f>IFERROR(IF(B120="","",_xlfn.XLOOKUP(B120,STUDENTS!$B$3:$B$1048576,STUDENTS!$C$3:$C$1048576)),"Enter a registered reg. no")</f>
        <v/>
      </c>
      <c r="F120" s="66" t="n"/>
      <c r="G120" s="67" t="n"/>
      <c r="J120" s="66" t="n"/>
      <c r="K120" s="67" t="n"/>
      <c r="N120" s="66" t="n"/>
      <c r="O120" s="67" t="n"/>
      <c r="R120" s="66" t="n"/>
      <c r="S120" s="67" t="n"/>
      <c r="V120" s="66" t="n"/>
      <c r="W120" s="67" t="n"/>
      <c r="Z120" s="66" t="n"/>
      <c r="AA120" s="67" t="n"/>
      <c r="AD120" s="66" t="n"/>
      <c r="AE120" s="67" t="n"/>
      <c r="AH120" s="66" t="n"/>
      <c r="AI120" s="67" t="n"/>
    </row>
    <row r="121">
      <c r="B121" s="2">
        <f>IF(STUDENTS!B120="","",STUDENTS!B120)</f>
        <v/>
      </c>
      <c r="C121" s="44">
        <f>IFERROR(IF(B121="","",_xlfn.XLOOKUP(B121,STUDENTS!$B$3:$B$1048576,STUDENTS!$C$3:$C$1048576)),"Enter a registered reg. no")</f>
        <v/>
      </c>
      <c r="D121" s="54" t="n"/>
      <c r="E121" s="55" t="n"/>
      <c r="F121" s="48" t="n"/>
      <c r="G121" s="58" t="n"/>
      <c r="H121" s="62" t="n"/>
      <c r="I121" s="63" t="n"/>
      <c r="J121" s="48" t="n"/>
      <c r="K121" s="58" t="n"/>
      <c r="L121" s="42" t="n"/>
      <c r="M121" s="42" t="n"/>
      <c r="N121" s="48" t="n"/>
      <c r="O121" s="58" t="n"/>
      <c r="P121" s="42" t="n"/>
      <c r="Q121" s="42" t="n"/>
      <c r="R121" s="48" t="n"/>
      <c r="S121" s="58" t="n"/>
      <c r="T121" s="42" t="n"/>
      <c r="U121" s="42" t="n"/>
      <c r="V121" s="48" t="n"/>
      <c r="W121" s="58" t="n"/>
      <c r="X121" s="42" t="n"/>
      <c r="Y121" s="42" t="n"/>
      <c r="Z121" s="48" t="n"/>
      <c r="AA121" s="58" t="n"/>
      <c r="AB121" s="42" t="n"/>
      <c r="AC121" s="42" t="n"/>
      <c r="AD121" s="48" t="n"/>
      <c r="AE121" s="58" t="n"/>
      <c r="AF121" s="42" t="n"/>
      <c r="AG121" s="42" t="n"/>
      <c r="AH121" s="48" t="n"/>
      <c r="AI121" s="58" t="n"/>
    </row>
    <row r="122">
      <c r="B122" s="2">
        <f>IF(STUDENTS!B121="","",STUDENTS!B121)</f>
        <v/>
      </c>
      <c r="C122" s="44">
        <f>IFERROR(IF(B122="","",_xlfn.XLOOKUP(B122,STUDENTS!$B$3:$B$1048576,STUDENTS!$C$3:$C$1048576)),"Enter a registered reg. no")</f>
        <v/>
      </c>
      <c r="F122" s="66" t="n"/>
      <c r="G122" s="67" t="n"/>
      <c r="J122" s="66" t="n"/>
      <c r="K122" s="67" t="n"/>
      <c r="N122" s="66" t="n"/>
      <c r="O122" s="67" t="n"/>
      <c r="R122" s="66" t="n"/>
      <c r="S122" s="67" t="n"/>
      <c r="V122" s="66" t="n"/>
      <c r="W122" s="67" t="n"/>
      <c r="Z122" s="66" t="n"/>
      <c r="AA122" s="67" t="n"/>
      <c r="AD122" s="66" t="n"/>
      <c r="AE122" s="67" t="n"/>
      <c r="AH122" s="66" t="n"/>
      <c r="AI122" s="67" t="n"/>
    </row>
    <row r="123">
      <c r="B123" s="2">
        <f>IF(STUDENTS!B122="","",STUDENTS!B122)</f>
        <v/>
      </c>
      <c r="C123" s="44">
        <f>IFERROR(IF(B123="","",_xlfn.XLOOKUP(B123,STUDENTS!$B$3:$B$1048576,STUDENTS!$C$3:$C$1048576)),"Enter a registered reg. no")</f>
        <v/>
      </c>
      <c r="D123" s="54" t="n"/>
      <c r="E123" s="55" t="n"/>
      <c r="F123" s="48" t="n"/>
      <c r="G123" s="58" t="n"/>
      <c r="H123" s="62" t="n"/>
      <c r="I123" s="63" t="n"/>
      <c r="J123" s="48" t="n"/>
      <c r="K123" s="58" t="n"/>
      <c r="L123" s="42" t="n"/>
      <c r="M123" s="42" t="n"/>
      <c r="N123" s="48" t="n"/>
      <c r="O123" s="58" t="n"/>
      <c r="P123" s="42" t="n"/>
      <c r="Q123" s="42" t="n"/>
      <c r="R123" s="48" t="n"/>
      <c r="S123" s="58" t="n"/>
      <c r="T123" s="42" t="n"/>
      <c r="U123" s="42" t="n"/>
      <c r="V123" s="48" t="n"/>
      <c r="W123" s="58" t="n"/>
      <c r="X123" s="42" t="n"/>
      <c r="Y123" s="42" t="n"/>
      <c r="Z123" s="48" t="n"/>
      <c r="AA123" s="58" t="n"/>
      <c r="AB123" s="42" t="n"/>
      <c r="AC123" s="42" t="n"/>
      <c r="AD123" s="48" t="n"/>
      <c r="AE123" s="58" t="n"/>
      <c r="AF123" s="42" t="n"/>
      <c r="AG123" s="42" t="n"/>
      <c r="AH123" s="48" t="n"/>
      <c r="AI123" s="58" t="n"/>
    </row>
    <row r="124">
      <c r="B124" s="2">
        <f>IF(STUDENTS!B123="","",STUDENTS!B123)</f>
        <v/>
      </c>
      <c r="C124" s="44">
        <f>IFERROR(IF(B124="","",_xlfn.XLOOKUP(B124,STUDENTS!$B$3:$B$1048576,STUDENTS!$C$3:$C$1048576)),"Enter a registered reg. no")</f>
        <v/>
      </c>
      <c r="F124" s="66" t="n"/>
      <c r="G124" s="67" t="n"/>
      <c r="J124" s="66" t="n"/>
      <c r="K124" s="67" t="n"/>
      <c r="N124" s="66" t="n"/>
      <c r="O124" s="67" t="n"/>
      <c r="R124" s="66" t="n"/>
      <c r="S124" s="67" t="n"/>
      <c r="V124" s="66" t="n"/>
      <c r="W124" s="67" t="n"/>
      <c r="Z124" s="66" t="n"/>
      <c r="AA124" s="67" t="n"/>
      <c r="AD124" s="66" t="n"/>
      <c r="AE124" s="67" t="n"/>
      <c r="AH124" s="66" t="n"/>
      <c r="AI124" s="67" t="n"/>
    </row>
    <row r="125">
      <c r="B125" s="2">
        <f>IF(STUDENTS!B124="","",STUDENTS!B124)</f>
        <v/>
      </c>
      <c r="C125" s="44">
        <f>IFERROR(IF(B125="","",_xlfn.XLOOKUP(B125,STUDENTS!$B$3:$B$1048576,STUDENTS!$C$3:$C$1048576)),"Enter a registered reg. no")</f>
        <v/>
      </c>
      <c r="D125" s="54" t="n"/>
      <c r="E125" s="55" t="n"/>
      <c r="F125" s="48" t="n"/>
      <c r="G125" s="58" t="n"/>
      <c r="H125" s="62" t="n"/>
      <c r="I125" s="63" t="n"/>
      <c r="J125" s="48" t="n"/>
      <c r="K125" s="58" t="n"/>
      <c r="L125" s="42" t="n"/>
      <c r="M125" s="42" t="n"/>
      <c r="N125" s="48" t="n"/>
      <c r="O125" s="58" t="n"/>
      <c r="P125" s="42" t="n"/>
      <c r="Q125" s="42" t="n"/>
      <c r="R125" s="48" t="n"/>
      <c r="S125" s="58" t="n"/>
      <c r="T125" s="42" t="n"/>
      <c r="U125" s="42" t="n"/>
      <c r="V125" s="48" t="n"/>
      <c r="W125" s="58" t="n"/>
      <c r="X125" s="42" t="n"/>
      <c r="Y125" s="42" t="n"/>
      <c r="Z125" s="48" t="n"/>
      <c r="AA125" s="58" t="n"/>
      <c r="AB125" s="42" t="n"/>
      <c r="AC125" s="42" t="n"/>
      <c r="AD125" s="48" t="n"/>
      <c r="AE125" s="58" t="n"/>
      <c r="AF125" s="42" t="n"/>
      <c r="AG125" s="42" t="n"/>
      <c r="AH125" s="48" t="n"/>
      <c r="AI125" s="58" t="n"/>
    </row>
    <row r="126">
      <c r="B126" s="2">
        <f>IF(STUDENTS!B125="","",STUDENTS!B125)</f>
        <v/>
      </c>
      <c r="C126" s="44">
        <f>IFERROR(IF(B126="","",_xlfn.XLOOKUP(B126,STUDENTS!$B$3:$B$1048576,STUDENTS!$C$3:$C$1048576)),"Enter a registered reg. no")</f>
        <v/>
      </c>
      <c r="F126" s="66" t="n"/>
      <c r="G126" s="67" t="n"/>
      <c r="J126" s="66" t="n"/>
      <c r="K126" s="67" t="n"/>
      <c r="N126" s="66" t="n"/>
      <c r="O126" s="67" t="n"/>
      <c r="R126" s="66" t="n"/>
      <c r="S126" s="67" t="n"/>
      <c r="V126" s="66" t="n"/>
      <c r="W126" s="67" t="n"/>
      <c r="Z126" s="66" t="n"/>
      <c r="AA126" s="67" t="n"/>
      <c r="AD126" s="66" t="n"/>
      <c r="AE126" s="67" t="n"/>
      <c r="AH126" s="66" t="n"/>
      <c r="AI126" s="67" t="n"/>
    </row>
    <row r="127">
      <c r="B127" s="2">
        <f>IF(STUDENTS!B126="","",STUDENTS!B126)</f>
        <v/>
      </c>
      <c r="C127" s="44">
        <f>IFERROR(IF(B127="","",_xlfn.XLOOKUP(B127,STUDENTS!$B$3:$B$1048576,STUDENTS!$C$3:$C$1048576)),"Enter a registered reg. no")</f>
        <v/>
      </c>
      <c r="D127" s="54" t="n"/>
      <c r="E127" s="55" t="n"/>
      <c r="F127" s="48" t="n"/>
      <c r="G127" s="58" t="n"/>
      <c r="H127" s="62" t="n"/>
      <c r="I127" s="63" t="n"/>
      <c r="J127" s="48" t="n"/>
      <c r="K127" s="58" t="n"/>
      <c r="L127" s="42" t="n"/>
      <c r="M127" s="42" t="n"/>
      <c r="N127" s="48" t="n"/>
      <c r="O127" s="58" t="n"/>
      <c r="P127" s="42" t="n"/>
      <c r="Q127" s="42" t="n"/>
      <c r="R127" s="48" t="n"/>
      <c r="S127" s="58" t="n"/>
      <c r="T127" s="42" t="n"/>
      <c r="U127" s="42" t="n"/>
      <c r="V127" s="48" t="n"/>
      <c r="W127" s="58" t="n"/>
      <c r="X127" s="42" t="n"/>
      <c r="Y127" s="42" t="n"/>
      <c r="Z127" s="48" t="n"/>
      <c r="AA127" s="58" t="n"/>
      <c r="AB127" s="42" t="n"/>
      <c r="AC127" s="42" t="n"/>
      <c r="AD127" s="48" t="n"/>
      <c r="AE127" s="58" t="n"/>
      <c r="AF127" s="42" t="n"/>
      <c r="AG127" s="42" t="n"/>
      <c r="AH127" s="48" t="n"/>
      <c r="AI127" s="58" t="n"/>
    </row>
    <row r="128">
      <c r="B128" s="2">
        <f>IF(STUDENTS!B127="","",STUDENTS!B127)</f>
        <v/>
      </c>
      <c r="C128" s="44">
        <f>IFERROR(IF(B128="","",_xlfn.XLOOKUP(B128,STUDENTS!$B$3:$B$1048576,STUDENTS!$C$3:$C$1048576)),"Enter a registered reg. no")</f>
        <v/>
      </c>
      <c r="F128" s="66" t="n"/>
      <c r="G128" s="67" t="n"/>
      <c r="J128" s="66" t="n"/>
      <c r="K128" s="67" t="n"/>
      <c r="N128" s="66" t="n"/>
      <c r="O128" s="67" t="n"/>
      <c r="R128" s="66" t="n"/>
      <c r="S128" s="67" t="n"/>
      <c r="V128" s="66" t="n"/>
      <c r="W128" s="67" t="n"/>
      <c r="Z128" s="66" t="n"/>
      <c r="AA128" s="67" t="n"/>
      <c r="AD128" s="66" t="n"/>
      <c r="AE128" s="67" t="n"/>
      <c r="AH128" s="66" t="n"/>
      <c r="AI128" s="67" t="n"/>
    </row>
    <row r="129">
      <c r="B129" s="2">
        <f>IF(STUDENTS!B128="","",STUDENTS!B128)</f>
        <v/>
      </c>
      <c r="C129" s="44">
        <f>IFERROR(IF(B129="","",_xlfn.XLOOKUP(B129,STUDENTS!$B$3:$B$1048576,STUDENTS!$C$3:$C$1048576)),"Enter a registered reg. no")</f>
        <v/>
      </c>
      <c r="D129" s="54" t="n"/>
      <c r="E129" s="55" t="n"/>
      <c r="F129" s="48" t="n"/>
      <c r="G129" s="58" t="n"/>
      <c r="H129" s="62" t="n"/>
      <c r="I129" s="63" t="n"/>
      <c r="J129" s="48" t="n"/>
      <c r="K129" s="58" t="n"/>
      <c r="L129" s="42" t="n"/>
      <c r="M129" s="42" t="n"/>
      <c r="N129" s="48" t="n"/>
      <c r="O129" s="58" t="n"/>
      <c r="P129" s="42" t="n"/>
      <c r="Q129" s="42" t="n"/>
      <c r="R129" s="48" t="n"/>
      <c r="S129" s="58" t="n"/>
      <c r="T129" s="42" t="n"/>
      <c r="U129" s="42" t="n"/>
      <c r="V129" s="48" t="n"/>
      <c r="W129" s="58" t="n"/>
      <c r="X129" s="42" t="n"/>
      <c r="Y129" s="42" t="n"/>
      <c r="Z129" s="48" t="n"/>
      <c r="AA129" s="58" t="n"/>
      <c r="AB129" s="42" t="n"/>
      <c r="AC129" s="42" t="n"/>
      <c r="AD129" s="48" t="n"/>
      <c r="AE129" s="58" t="n"/>
      <c r="AF129" s="42" t="n"/>
      <c r="AG129" s="42" t="n"/>
      <c r="AH129" s="48" t="n"/>
      <c r="AI129" s="58" t="n"/>
    </row>
    <row r="130">
      <c r="B130" s="2">
        <f>IF(STUDENTS!B129="","",STUDENTS!B129)</f>
        <v/>
      </c>
      <c r="C130" s="44">
        <f>IFERROR(IF(B130="","",_xlfn.XLOOKUP(B130,STUDENTS!$B$3:$B$1048576,STUDENTS!$C$3:$C$1048576)),"Enter a registered reg. no")</f>
        <v/>
      </c>
      <c r="F130" s="66" t="n"/>
      <c r="G130" s="67" t="n"/>
      <c r="J130" s="66" t="n"/>
      <c r="K130" s="67" t="n"/>
      <c r="N130" s="66" t="n"/>
      <c r="O130" s="67" t="n"/>
      <c r="R130" s="66" t="n"/>
      <c r="S130" s="67" t="n"/>
      <c r="V130" s="66" t="n"/>
      <c r="W130" s="67" t="n"/>
      <c r="Z130" s="66" t="n"/>
      <c r="AA130" s="67" t="n"/>
      <c r="AD130" s="66" t="n"/>
      <c r="AE130" s="67" t="n"/>
      <c r="AH130" s="66" t="n"/>
      <c r="AI130" s="67" t="n"/>
    </row>
    <row r="131">
      <c r="B131" s="2">
        <f>IF(STUDENTS!B130="","",STUDENTS!B130)</f>
        <v/>
      </c>
      <c r="C131" s="44">
        <f>IFERROR(IF(B131="","",_xlfn.XLOOKUP(B131,STUDENTS!$B$3:$B$1048576,STUDENTS!$C$3:$C$1048576)),"Enter a registered reg. no")</f>
        <v/>
      </c>
      <c r="D131" s="54" t="n"/>
      <c r="E131" s="55" t="n"/>
      <c r="F131" s="48" t="n"/>
      <c r="G131" s="58" t="n"/>
      <c r="H131" s="62" t="n"/>
      <c r="I131" s="63" t="n"/>
      <c r="J131" s="48" t="n"/>
      <c r="K131" s="58" t="n"/>
      <c r="L131" s="42" t="n"/>
      <c r="M131" s="42" t="n"/>
      <c r="N131" s="48" t="n"/>
      <c r="O131" s="58" t="n"/>
      <c r="P131" s="42" t="n"/>
      <c r="Q131" s="42" t="n"/>
      <c r="R131" s="48" t="n"/>
      <c r="S131" s="58" t="n"/>
      <c r="T131" s="42" t="n"/>
      <c r="U131" s="42" t="n"/>
      <c r="V131" s="48" t="n"/>
      <c r="W131" s="58" t="n"/>
      <c r="X131" s="42" t="n"/>
      <c r="Y131" s="42" t="n"/>
      <c r="Z131" s="48" t="n"/>
      <c r="AA131" s="58" t="n"/>
      <c r="AB131" s="42" t="n"/>
      <c r="AC131" s="42" t="n"/>
      <c r="AD131" s="48" t="n"/>
      <c r="AE131" s="58" t="n"/>
      <c r="AF131" s="42" t="n"/>
      <c r="AG131" s="42" t="n"/>
      <c r="AH131" s="48" t="n"/>
      <c r="AI131" s="58" t="n"/>
    </row>
    <row r="132">
      <c r="B132" s="2">
        <f>IF(STUDENTS!B131="","",STUDENTS!B131)</f>
        <v/>
      </c>
      <c r="C132" s="44">
        <f>IFERROR(IF(B132="","",_xlfn.XLOOKUP(B132,STUDENTS!$B$3:$B$1048576,STUDENTS!$C$3:$C$1048576)),"Enter a registered reg. no")</f>
        <v/>
      </c>
      <c r="F132" s="66" t="n"/>
      <c r="G132" s="67" t="n"/>
      <c r="J132" s="66" t="n"/>
      <c r="K132" s="67" t="n"/>
      <c r="N132" s="66" t="n"/>
      <c r="O132" s="67" t="n"/>
      <c r="R132" s="66" t="n"/>
      <c r="S132" s="67" t="n"/>
      <c r="V132" s="66" t="n"/>
      <c r="W132" s="67" t="n"/>
      <c r="Z132" s="66" t="n"/>
      <c r="AA132" s="67" t="n"/>
      <c r="AD132" s="66" t="n"/>
      <c r="AE132" s="67" t="n"/>
      <c r="AH132" s="66" t="n"/>
      <c r="AI132" s="67" t="n"/>
    </row>
    <row r="133">
      <c r="B133" s="2">
        <f>IF(STUDENTS!B132="","",STUDENTS!B132)</f>
        <v/>
      </c>
      <c r="C133" s="44">
        <f>IFERROR(IF(B133="","",_xlfn.XLOOKUP(B133,STUDENTS!$B$3:$B$1048576,STUDENTS!$C$3:$C$1048576)),"Enter a registered reg. no")</f>
        <v/>
      </c>
      <c r="D133" s="54" t="n"/>
      <c r="E133" s="55" t="n"/>
      <c r="F133" s="48" t="n"/>
      <c r="G133" s="58" t="n"/>
      <c r="H133" s="62" t="n"/>
      <c r="I133" s="63" t="n"/>
      <c r="J133" s="48" t="n"/>
      <c r="K133" s="58" t="n"/>
      <c r="L133" s="42" t="n"/>
      <c r="M133" s="42" t="n"/>
      <c r="N133" s="48" t="n"/>
      <c r="O133" s="58" t="n"/>
      <c r="P133" s="42" t="n"/>
      <c r="Q133" s="42" t="n"/>
      <c r="R133" s="48" t="n"/>
      <c r="S133" s="58" t="n"/>
      <c r="T133" s="42" t="n"/>
      <c r="U133" s="42" t="n"/>
      <c r="V133" s="48" t="n"/>
      <c r="W133" s="58" t="n"/>
      <c r="X133" s="42" t="n"/>
      <c r="Y133" s="42" t="n"/>
      <c r="Z133" s="48" t="n"/>
      <c r="AA133" s="58" t="n"/>
      <c r="AB133" s="42" t="n"/>
      <c r="AC133" s="42" t="n"/>
      <c r="AD133" s="48" t="n"/>
      <c r="AE133" s="58" t="n"/>
      <c r="AF133" s="42" t="n"/>
      <c r="AG133" s="42" t="n"/>
      <c r="AH133" s="48" t="n"/>
      <c r="AI133" s="58" t="n"/>
    </row>
    <row r="134">
      <c r="B134" s="2">
        <f>IF(STUDENTS!B133="","",STUDENTS!B133)</f>
        <v/>
      </c>
      <c r="C134" s="44">
        <f>IFERROR(IF(B134="","",_xlfn.XLOOKUP(B134,STUDENTS!$B$3:$B$1048576,STUDENTS!$C$3:$C$1048576)),"Enter a registered reg. no")</f>
        <v/>
      </c>
      <c r="F134" s="66" t="n"/>
      <c r="G134" s="67" t="n"/>
      <c r="J134" s="66" t="n"/>
      <c r="K134" s="67" t="n"/>
      <c r="N134" s="66" t="n"/>
      <c r="O134" s="67" t="n"/>
      <c r="R134" s="66" t="n"/>
      <c r="S134" s="67" t="n"/>
      <c r="V134" s="66" t="n"/>
      <c r="W134" s="67" t="n"/>
      <c r="Z134" s="66" t="n"/>
      <c r="AA134" s="67" t="n"/>
      <c r="AD134" s="66" t="n"/>
      <c r="AE134" s="67" t="n"/>
      <c r="AH134" s="66" t="n"/>
      <c r="AI134" s="67" t="n"/>
    </row>
    <row r="135">
      <c r="B135" s="2">
        <f>IF(STUDENTS!B134="","",STUDENTS!B134)</f>
        <v/>
      </c>
      <c r="C135" s="44">
        <f>IFERROR(IF(B135="","",_xlfn.XLOOKUP(B135,STUDENTS!$B$3:$B$1048576,STUDENTS!$C$3:$C$1048576)),"Enter a registered reg. no")</f>
        <v/>
      </c>
      <c r="D135" s="54" t="n"/>
      <c r="E135" s="55" t="n"/>
      <c r="F135" s="48" t="n"/>
      <c r="G135" s="58" t="n"/>
      <c r="H135" s="62" t="n"/>
      <c r="I135" s="63" t="n"/>
      <c r="J135" s="48" t="n"/>
      <c r="K135" s="58" t="n"/>
      <c r="L135" s="42" t="n"/>
      <c r="M135" s="42" t="n"/>
      <c r="N135" s="48" t="n"/>
      <c r="O135" s="58" t="n"/>
      <c r="P135" s="42" t="n"/>
      <c r="Q135" s="42" t="n"/>
      <c r="R135" s="48" t="n"/>
      <c r="S135" s="58" t="n"/>
      <c r="T135" s="42" t="n"/>
      <c r="U135" s="42" t="n"/>
      <c r="V135" s="48" t="n"/>
      <c r="W135" s="58" t="n"/>
      <c r="X135" s="42" t="n"/>
      <c r="Y135" s="42" t="n"/>
      <c r="Z135" s="48" t="n"/>
      <c r="AA135" s="58" t="n"/>
      <c r="AB135" s="42" t="n"/>
      <c r="AC135" s="42" t="n"/>
      <c r="AD135" s="48" t="n"/>
      <c r="AE135" s="58" t="n"/>
      <c r="AF135" s="42" t="n"/>
      <c r="AG135" s="42" t="n"/>
      <c r="AH135" s="48" t="n"/>
      <c r="AI135" s="58" t="n"/>
    </row>
    <row r="136">
      <c r="B136" s="2">
        <f>IF(STUDENTS!B135="","",STUDENTS!B135)</f>
        <v/>
      </c>
      <c r="C136" s="44">
        <f>IFERROR(IF(B136="","",_xlfn.XLOOKUP(B136,STUDENTS!$B$3:$B$1048576,STUDENTS!$C$3:$C$1048576)),"Enter a registered reg. no")</f>
        <v/>
      </c>
      <c r="F136" s="66" t="n"/>
      <c r="G136" s="67" t="n"/>
      <c r="J136" s="66" t="n"/>
      <c r="K136" s="67" t="n"/>
      <c r="N136" s="66" t="n"/>
      <c r="O136" s="67" t="n"/>
      <c r="R136" s="66" t="n"/>
      <c r="S136" s="67" t="n"/>
      <c r="V136" s="66" t="n"/>
      <c r="W136" s="67" t="n"/>
      <c r="Z136" s="66" t="n"/>
      <c r="AA136" s="67" t="n"/>
      <c r="AD136" s="66" t="n"/>
      <c r="AE136" s="67" t="n"/>
      <c r="AH136" s="66" t="n"/>
      <c r="AI136" s="67" t="n"/>
    </row>
    <row r="137">
      <c r="B137" s="2">
        <f>IF(STUDENTS!B136="","",STUDENTS!B136)</f>
        <v/>
      </c>
      <c r="C137" s="44">
        <f>IFERROR(IF(B137="","",_xlfn.XLOOKUP(B137,STUDENTS!$B$3:$B$1048576,STUDENTS!$C$3:$C$1048576)),"Enter a registered reg. no")</f>
        <v/>
      </c>
      <c r="D137" s="54" t="n"/>
      <c r="E137" s="55" t="n"/>
      <c r="F137" s="48" t="n"/>
      <c r="G137" s="58" t="n"/>
      <c r="H137" s="62" t="n"/>
      <c r="I137" s="63" t="n"/>
      <c r="J137" s="48" t="n"/>
      <c r="K137" s="58" t="n"/>
      <c r="L137" s="42" t="n"/>
      <c r="M137" s="42" t="n"/>
      <c r="N137" s="48" t="n"/>
      <c r="O137" s="58" t="n"/>
      <c r="P137" s="42" t="n"/>
      <c r="Q137" s="42" t="n"/>
      <c r="R137" s="48" t="n"/>
      <c r="S137" s="58" t="n"/>
      <c r="T137" s="42" t="n"/>
      <c r="U137" s="42" t="n"/>
      <c r="V137" s="48" t="n"/>
      <c r="W137" s="58" t="n"/>
      <c r="X137" s="42" t="n"/>
      <c r="Y137" s="42" t="n"/>
      <c r="Z137" s="48" t="n"/>
      <c r="AA137" s="58" t="n"/>
      <c r="AB137" s="42" t="n"/>
      <c r="AC137" s="42" t="n"/>
      <c r="AD137" s="48" t="n"/>
      <c r="AE137" s="58" t="n"/>
      <c r="AF137" s="42" t="n"/>
      <c r="AG137" s="42" t="n"/>
      <c r="AH137" s="48" t="n"/>
      <c r="AI137" s="58" t="n"/>
    </row>
    <row r="138">
      <c r="B138" s="2">
        <f>IF(STUDENTS!B137="","",STUDENTS!B137)</f>
        <v/>
      </c>
      <c r="C138" s="44">
        <f>IFERROR(IF(B138="","",_xlfn.XLOOKUP(B138,STUDENTS!$B$3:$B$1048576,STUDENTS!$C$3:$C$1048576)),"Enter a registered reg. no")</f>
        <v/>
      </c>
      <c r="F138" s="66" t="n"/>
      <c r="G138" s="67" t="n"/>
      <c r="J138" s="66" t="n"/>
      <c r="K138" s="67" t="n"/>
      <c r="N138" s="66" t="n"/>
      <c r="O138" s="67" t="n"/>
      <c r="R138" s="66" t="n"/>
      <c r="S138" s="67" t="n"/>
      <c r="V138" s="66" t="n"/>
      <c r="W138" s="67" t="n"/>
      <c r="Z138" s="66" t="n"/>
      <c r="AA138" s="67" t="n"/>
      <c r="AD138" s="66" t="n"/>
      <c r="AE138" s="67" t="n"/>
      <c r="AH138" s="66" t="n"/>
      <c r="AI138" s="67" t="n"/>
    </row>
    <row r="139">
      <c r="B139" s="2">
        <f>IF(STUDENTS!B138="","",STUDENTS!B138)</f>
        <v/>
      </c>
      <c r="C139" s="44">
        <f>IFERROR(IF(B139="","",_xlfn.XLOOKUP(B139,STUDENTS!$B$3:$B$1048576,STUDENTS!$C$3:$C$1048576)),"Enter a registered reg. no")</f>
        <v/>
      </c>
      <c r="D139" s="54" t="n"/>
      <c r="E139" s="55" t="n"/>
      <c r="F139" s="48" t="n"/>
      <c r="G139" s="58" t="n"/>
      <c r="H139" s="62" t="n"/>
      <c r="I139" s="63" t="n"/>
      <c r="J139" s="48" t="n"/>
      <c r="K139" s="58" t="n"/>
      <c r="L139" s="42" t="n"/>
      <c r="M139" s="42" t="n"/>
      <c r="N139" s="48" t="n"/>
      <c r="O139" s="58" t="n"/>
      <c r="P139" s="42" t="n"/>
      <c r="Q139" s="42" t="n"/>
      <c r="R139" s="48" t="n"/>
      <c r="S139" s="58" t="n"/>
      <c r="T139" s="42" t="n"/>
      <c r="U139" s="42" t="n"/>
      <c r="V139" s="48" t="n"/>
      <c r="W139" s="58" t="n"/>
      <c r="X139" s="42" t="n"/>
      <c r="Y139" s="42" t="n"/>
      <c r="Z139" s="48" t="n"/>
      <c r="AA139" s="58" t="n"/>
      <c r="AB139" s="42" t="n"/>
      <c r="AC139" s="42" t="n"/>
      <c r="AD139" s="48" t="n"/>
      <c r="AE139" s="58" t="n"/>
      <c r="AF139" s="42" t="n"/>
      <c r="AG139" s="42" t="n"/>
      <c r="AH139" s="48" t="n"/>
      <c r="AI139" s="58" t="n"/>
    </row>
    <row r="140">
      <c r="B140" s="2">
        <f>IF(STUDENTS!B139="","",STUDENTS!B139)</f>
        <v/>
      </c>
      <c r="C140" s="44">
        <f>IFERROR(IF(B140="","",_xlfn.XLOOKUP(B140,STUDENTS!$B$3:$B$1048576,STUDENTS!$C$3:$C$1048576)),"Enter a registered reg. no")</f>
        <v/>
      </c>
      <c r="F140" s="66" t="n"/>
      <c r="G140" s="67" t="n"/>
      <c r="J140" s="66" t="n"/>
      <c r="K140" s="67" t="n"/>
      <c r="N140" s="66" t="n"/>
      <c r="O140" s="67" t="n"/>
      <c r="R140" s="66" t="n"/>
      <c r="S140" s="67" t="n"/>
      <c r="V140" s="66" t="n"/>
      <c r="W140" s="67" t="n"/>
      <c r="Z140" s="66" t="n"/>
      <c r="AA140" s="67" t="n"/>
      <c r="AD140" s="66" t="n"/>
      <c r="AE140" s="67" t="n"/>
      <c r="AH140" s="66" t="n"/>
      <c r="AI140" s="67" t="n"/>
    </row>
    <row r="141">
      <c r="B141" s="2">
        <f>IF(STUDENTS!B140="","",STUDENTS!B140)</f>
        <v/>
      </c>
      <c r="C141" s="44">
        <f>IFERROR(IF(B141="","",_xlfn.XLOOKUP(B141,STUDENTS!$B$3:$B$1048576,STUDENTS!$C$3:$C$1048576)),"Enter a registered reg. no")</f>
        <v/>
      </c>
      <c r="D141" s="54" t="n"/>
      <c r="E141" s="55" t="n"/>
      <c r="F141" s="48" t="n"/>
      <c r="G141" s="58" t="n"/>
      <c r="H141" s="62" t="n"/>
      <c r="I141" s="63" t="n"/>
      <c r="J141" s="48" t="n"/>
      <c r="K141" s="58" t="n"/>
      <c r="L141" s="42" t="n"/>
      <c r="M141" s="42" t="n"/>
      <c r="N141" s="48" t="n"/>
      <c r="O141" s="58" t="n"/>
      <c r="P141" s="42" t="n"/>
      <c r="Q141" s="42" t="n"/>
      <c r="R141" s="48" t="n"/>
      <c r="S141" s="58" t="n"/>
      <c r="T141" s="42" t="n"/>
      <c r="U141" s="42" t="n"/>
      <c r="V141" s="48" t="n"/>
      <c r="W141" s="58" t="n"/>
      <c r="X141" s="42" t="n"/>
      <c r="Y141" s="42" t="n"/>
      <c r="Z141" s="48" t="n"/>
      <c r="AA141" s="58" t="n"/>
      <c r="AB141" s="42" t="n"/>
      <c r="AC141" s="42" t="n"/>
      <c r="AD141" s="48" t="n"/>
      <c r="AE141" s="58" t="n"/>
      <c r="AF141" s="42" t="n"/>
      <c r="AG141" s="42" t="n"/>
      <c r="AH141" s="48" t="n"/>
      <c r="AI141" s="58" t="n"/>
    </row>
    <row r="142">
      <c r="B142" s="2">
        <f>IF(STUDENTS!B141="","",STUDENTS!B141)</f>
        <v/>
      </c>
      <c r="C142" s="44">
        <f>IFERROR(IF(B142="","",_xlfn.XLOOKUP(B142,STUDENTS!$B$3:$B$1048576,STUDENTS!$C$3:$C$1048576)),"Enter a registered reg. no")</f>
        <v/>
      </c>
      <c r="F142" s="66" t="n"/>
      <c r="G142" s="67" t="n"/>
      <c r="J142" s="66" t="n"/>
      <c r="K142" s="67" t="n"/>
      <c r="N142" s="66" t="n"/>
      <c r="O142" s="67" t="n"/>
      <c r="R142" s="66" t="n"/>
      <c r="S142" s="67" t="n"/>
      <c r="V142" s="66" t="n"/>
      <c r="W142" s="67" t="n"/>
      <c r="Z142" s="66" t="n"/>
      <c r="AA142" s="67" t="n"/>
      <c r="AD142" s="66" t="n"/>
      <c r="AE142" s="67" t="n"/>
      <c r="AH142" s="66" t="n"/>
      <c r="AI142" s="67" t="n"/>
    </row>
    <row r="143">
      <c r="B143" s="2">
        <f>IF(STUDENTS!B142="","",STUDENTS!B142)</f>
        <v/>
      </c>
      <c r="C143" s="44">
        <f>IFERROR(IF(B143="","",_xlfn.XLOOKUP(B143,STUDENTS!$B$3:$B$1048576,STUDENTS!$C$3:$C$1048576)),"Enter a registered reg. no")</f>
        <v/>
      </c>
      <c r="D143" s="54" t="n"/>
      <c r="E143" s="55" t="n"/>
      <c r="F143" s="48" t="n"/>
      <c r="G143" s="58" t="n"/>
      <c r="H143" s="62" t="n"/>
      <c r="I143" s="63" t="n"/>
      <c r="J143" s="48" t="n"/>
      <c r="K143" s="58" t="n"/>
      <c r="L143" s="42" t="n"/>
      <c r="M143" s="42" t="n"/>
      <c r="N143" s="48" t="n"/>
      <c r="O143" s="58" t="n"/>
      <c r="P143" s="42" t="n"/>
      <c r="Q143" s="42" t="n"/>
      <c r="R143" s="48" t="n"/>
      <c r="S143" s="58" t="n"/>
      <c r="T143" s="42" t="n"/>
      <c r="U143" s="42" t="n"/>
      <c r="V143" s="48" t="n"/>
      <c r="W143" s="58" t="n"/>
      <c r="X143" s="42" t="n"/>
      <c r="Y143" s="42" t="n"/>
      <c r="Z143" s="48" t="n"/>
      <c r="AA143" s="58" t="n"/>
      <c r="AB143" s="42" t="n"/>
      <c r="AC143" s="42" t="n"/>
      <c r="AD143" s="48" t="n"/>
      <c r="AE143" s="58" t="n"/>
      <c r="AF143" s="42" t="n"/>
      <c r="AG143" s="42" t="n"/>
      <c r="AH143" s="48" t="n"/>
      <c r="AI143" s="58" t="n"/>
    </row>
    <row r="144">
      <c r="B144" s="2">
        <f>IF(STUDENTS!B143="","",STUDENTS!B143)</f>
        <v/>
      </c>
      <c r="C144" s="44">
        <f>IFERROR(IF(B144="","",_xlfn.XLOOKUP(B144,STUDENTS!$B$3:$B$1048576,STUDENTS!$C$3:$C$1048576)),"Enter a registered reg. no")</f>
        <v/>
      </c>
      <c r="F144" s="66" t="n"/>
      <c r="G144" s="67" t="n"/>
      <c r="J144" s="66" t="n"/>
      <c r="K144" s="67" t="n"/>
      <c r="N144" s="66" t="n"/>
      <c r="O144" s="67" t="n"/>
      <c r="R144" s="66" t="n"/>
      <c r="S144" s="67" t="n"/>
      <c r="V144" s="66" t="n"/>
      <c r="W144" s="67" t="n"/>
      <c r="Z144" s="66" t="n"/>
      <c r="AA144" s="67" t="n"/>
      <c r="AD144" s="66" t="n"/>
      <c r="AE144" s="67" t="n"/>
      <c r="AH144" s="66" t="n"/>
      <c r="AI144" s="67" t="n"/>
    </row>
    <row r="145">
      <c r="B145" s="2">
        <f>IF(STUDENTS!B144="","",STUDENTS!B144)</f>
        <v/>
      </c>
      <c r="C145" s="44">
        <f>IFERROR(IF(B145="","",_xlfn.XLOOKUP(B145,STUDENTS!$B$3:$B$1048576,STUDENTS!$C$3:$C$1048576)),"Enter a registered reg. no")</f>
        <v/>
      </c>
      <c r="D145" s="54" t="n"/>
      <c r="E145" s="55" t="n"/>
      <c r="F145" s="48" t="n"/>
      <c r="G145" s="58" t="n"/>
      <c r="H145" s="62" t="n"/>
      <c r="I145" s="63" t="n"/>
      <c r="J145" s="48" t="n"/>
      <c r="K145" s="58" t="n"/>
      <c r="L145" s="42" t="n"/>
      <c r="M145" s="42" t="n"/>
      <c r="N145" s="48" t="n"/>
      <c r="O145" s="58" t="n"/>
      <c r="P145" s="42" t="n"/>
      <c r="Q145" s="42" t="n"/>
      <c r="R145" s="48" t="n"/>
      <c r="S145" s="58" t="n"/>
      <c r="T145" s="42" t="n"/>
      <c r="U145" s="42" t="n"/>
      <c r="V145" s="48" t="n"/>
      <c r="W145" s="58" t="n"/>
      <c r="X145" s="42" t="n"/>
      <c r="Y145" s="42" t="n"/>
      <c r="Z145" s="48" t="n"/>
      <c r="AA145" s="58" t="n"/>
      <c r="AB145" s="42" t="n"/>
      <c r="AC145" s="42" t="n"/>
      <c r="AD145" s="48" t="n"/>
      <c r="AE145" s="58" t="n"/>
      <c r="AF145" s="42" t="n"/>
      <c r="AG145" s="42" t="n"/>
      <c r="AH145" s="48" t="n"/>
      <c r="AI145" s="58" t="n"/>
    </row>
    <row r="146">
      <c r="B146" s="2">
        <f>IF(STUDENTS!B145="","",STUDENTS!B145)</f>
        <v/>
      </c>
      <c r="C146" s="44">
        <f>IFERROR(IF(B146="","",_xlfn.XLOOKUP(B146,STUDENTS!$B$3:$B$1048576,STUDENTS!$C$3:$C$1048576)),"Enter a registered reg. no")</f>
        <v/>
      </c>
      <c r="F146" s="66" t="n"/>
      <c r="G146" s="67" t="n"/>
      <c r="J146" s="66" t="n"/>
      <c r="K146" s="67" t="n"/>
      <c r="N146" s="66" t="n"/>
      <c r="O146" s="67" t="n"/>
      <c r="R146" s="66" t="n"/>
      <c r="S146" s="67" t="n"/>
      <c r="V146" s="66" t="n"/>
      <c r="W146" s="67" t="n"/>
      <c r="Z146" s="66" t="n"/>
      <c r="AA146" s="67" t="n"/>
      <c r="AD146" s="66" t="n"/>
      <c r="AE146" s="67" t="n"/>
      <c r="AH146" s="66" t="n"/>
      <c r="AI146" s="67" t="n"/>
    </row>
    <row r="147">
      <c r="B147" s="2">
        <f>IF(STUDENTS!B146="","",STUDENTS!B146)</f>
        <v/>
      </c>
      <c r="C147" s="44">
        <f>IFERROR(IF(B147="","",_xlfn.XLOOKUP(B147,STUDENTS!$B$3:$B$1048576,STUDENTS!$C$3:$C$1048576)),"Enter a registered reg. no")</f>
        <v/>
      </c>
      <c r="D147" s="54" t="n"/>
      <c r="E147" s="55" t="n"/>
      <c r="F147" s="48" t="n"/>
      <c r="G147" s="58" t="n"/>
      <c r="H147" s="62" t="n"/>
      <c r="I147" s="63" t="n"/>
      <c r="J147" s="48" t="n"/>
      <c r="K147" s="58" t="n"/>
      <c r="L147" s="42" t="n"/>
      <c r="M147" s="42" t="n"/>
      <c r="N147" s="48" t="n"/>
      <c r="O147" s="58" t="n"/>
      <c r="P147" s="42" t="n"/>
      <c r="Q147" s="42" t="n"/>
      <c r="R147" s="48" t="n"/>
      <c r="S147" s="58" t="n"/>
      <c r="T147" s="42" t="n"/>
      <c r="U147" s="42" t="n"/>
      <c r="V147" s="48" t="n"/>
      <c r="W147" s="58" t="n"/>
      <c r="X147" s="42" t="n"/>
      <c r="Y147" s="42" t="n"/>
      <c r="Z147" s="48" t="n"/>
      <c r="AA147" s="58" t="n"/>
      <c r="AB147" s="42" t="n"/>
      <c r="AC147" s="42" t="n"/>
      <c r="AD147" s="48" t="n"/>
      <c r="AE147" s="58" t="n"/>
      <c r="AF147" s="42" t="n"/>
      <c r="AG147" s="42" t="n"/>
      <c r="AH147" s="48" t="n"/>
      <c r="AI147" s="58" t="n"/>
    </row>
    <row r="148">
      <c r="B148" s="2">
        <f>IF(STUDENTS!B147="","",STUDENTS!B147)</f>
        <v/>
      </c>
      <c r="C148" s="44">
        <f>IFERROR(IF(B148="","",_xlfn.XLOOKUP(B148,STUDENTS!$B$3:$B$1048576,STUDENTS!$C$3:$C$1048576)),"Enter a registered reg. no")</f>
        <v/>
      </c>
      <c r="F148" s="66" t="n"/>
      <c r="G148" s="67" t="n"/>
      <c r="J148" s="66" t="n"/>
      <c r="K148" s="67" t="n"/>
      <c r="N148" s="66" t="n"/>
      <c r="O148" s="67" t="n"/>
      <c r="R148" s="66" t="n"/>
      <c r="S148" s="67" t="n"/>
      <c r="V148" s="66" t="n"/>
      <c r="W148" s="67" t="n"/>
      <c r="Z148" s="66" t="n"/>
      <c r="AA148" s="67" t="n"/>
      <c r="AD148" s="66" t="n"/>
      <c r="AE148" s="67" t="n"/>
      <c r="AH148" s="66" t="n"/>
      <c r="AI148" s="67" t="n"/>
    </row>
    <row r="149">
      <c r="B149" s="2">
        <f>IF(STUDENTS!B148="","",STUDENTS!B148)</f>
        <v/>
      </c>
      <c r="C149" s="44">
        <f>IFERROR(IF(B149="","",_xlfn.XLOOKUP(B149,STUDENTS!$B$3:$B$1048576,STUDENTS!$C$3:$C$1048576)),"Enter a registered reg. no")</f>
        <v/>
      </c>
      <c r="D149" s="54" t="n"/>
      <c r="E149" s="55" t="n"/>
      <c r="F149" s="48" t="n"/>
      <c r="G149" s="58" t="n"/>
      <c r="H149" s="62" t="n"/>
      <c r="I149" s="63" t="n"/>
      <c r="J149" s="48" t="n"/>
      <c r="K149" s="58" t="n"/>
      <c r="L149" s="42" t="n"/>
      <c r="M149" s="42" t="n"/>
      <c r="N149" s="48" t="n"/>
      <c r="O149" s="58" t="n"/>
      <c r="P149" s="42" t="n"/>
      <c r="Q149" s="42" t="n"/>
      <c r="R149" s="48" t="n"/>
      <c r="S149" s="58" t="n"/>
      <c r="T149" s="42" t="n"/>
      <c r="U149" s="42" t="n"/>
      <c r="V149" s="48" t="n"/>
      <c r="W149" s="58" t="n"/>
      <c r="X149" s="42" t="n"/>
      <c r="Y149" s="42" t="n"/>
      <c r="Z149" s="48" t="n"/>
      <c r="AA149" s="58" t="n"/>
      <c r="AB149" s="42" t="n"/>
      <c r="AC149" s="42" t="n"/>
      <c r="AD149" s="48" t="n"/>
      <c r="AE149" s="58" t="n"/>
      <c r="AF149" s="42" t="n"/>
      <c r="AG149" s="42" t="n"/>
      <c r="AH149" s="48" t="n"/>
      <c r="AI149" s="58" t="n"/>
    </row>
    <row r="150">
      <c r="B150" s="2">
        <f>IF(STUDENTS!B149="","",STUDENTS!B149)</f>
        <v/>
      </c>
      <c r="C150" s="44">
        <f>IFERROR(IF(B150="","",_xlfn.XLOOKUP(B150,STUDENTS!$B$3:$B$1048576,STUDENTS!$C$3:$C$1048576)),"Enter a registered reg. no")</f>
        <v/>
      </c>
      <c r="F150" s="66" t="n"/>
      <c r="G150" s="67" t="n"/>
      <c r="J150" s="66" t="n"/>
      <c r="K150" s="67" t="n"/>
      <c r="N150" s="66" t="n"/>
      <c r="O150" s="67" t="n"/>
      <c r="R150" s="66" t="n"/>
      <c r="S150" s="67" t="n"/>
      <c r="V150" s="66" t="n"/>
      <c r="W150" s="67" t="n"/>
      <c r="Z150" s="66" t="n"/>
      <c r="AA150" s="67" t="n"/>
      <c r="AD150" s="66" t="n"/>
      <c r="AE150" s="67" t="n"/>
      <c r="AH150" s="66" t="n"/>
      <c r="AI150" s="67" t="n"/>
    </row>
    <row r="151">
      <c r="B151" s="2">
        <f>IF(STUDENTS!B150="","",STUDENTS!B150)</f>
        <v/>
      </c>
      <c r="C151" s="44">
        <f>IFERROR(IF(B151="","",_xlfn.XLOOKUP(B151,STUDENTS!$B$3:$B$1048576,STUDENTS!$C$3:$C$1048576)),"Enter a registered reg. no")</f>
        <v/>
      </c>
      <c r="D151" s="54" t="n"/>
      <c r="E151" s="55" t="n"/>
      <c r="F151" s="48" t="n"/>
      <c r="G151" s="58" t="n"/>
      <c r="H151" s="62" t="n"/>
      <c r="I151" s="63" t="n"/>
      <c r="J151" s="48" t="n"/>
      <c r="K151" s="58" t="n"/>
      <c r="L151" s="42" t="n"/>
      <c r="M151" s="42" t="n"/>
      <c r="N151" s="48" t="n"/>
      <c r="O151" s="58" t="n"/>
      <c r="P151" s="42" t="n"/>
      <c r="Q151" s="42" t="n"/>
      <c r="R151" s="48" t="n"/>
      <c r="S151" s="58" t="n"/>
      <c r="T151" s="42" t="n"/>
      <c r="U151" s="42" t="n"/>
      <c r="V151" s="48" t="n"/>
      <c r="W151" s="58" t="n"/>
      <c r="X151" s="42" t="n"/>
      <c r="Y151" s="42" t="n"/>
      <c r="Z151" s="48" t="n"/>
      <c r="AA151" s="58" t="n"/>
      <c r="AB151" s="42" t="n"/>
      <c r="AC151" s="42" t="n"/>
      <c r="AD151" s="48" t="n"/>
      <c r="AE151" s="58" t="n"/>
      <c r="AF151" s="42" t="n"/>
      <c r="AG151" s="42" t="n"/>
      <c r="AH151" s="48" t="n"/>
      <c r="AI151" s="58" t="n"/>
    </row>
    <row r="152">
      <c r="B152" s="2">
        <f>IF(STUDENTS!B151="","",STUDENTS!B151)</f>
        <v/>
      </c>
      <c r="C152" s="44">
        <f>IFERROR(IF(B152="","",_xlfn.XLOOKUP(B152,STUDENTS!$B$3:$B$1048576,STUDENTS!$C$3:$C$1048576)),"Enter a registered reg. no")</f>
        <v/>
      </c>
      <c r="F152" s="66" t="n"/>
      <c r="G152" s="67" t="n"/>
      <c r="J152" s="66" t="n"/>
      <c r="K152" s="67" t="n"/>
      <c r="N152" s="66" t="n"/>
      <c r="O152" s="67" t="n"/>
      <c r="R152" s="66" t="n"/>
      <c r="S152" s="67" t="n"/>
      <c r="V152" s="66" t="n"/>
      <c r="W152" s="67" t="n"/>
      <c r="Z152" s="66" t="n"/>
      <c r="AA152" s="67" t="n"/>
      <c r="AD152" s="66" t="n"/>
      <c r="AE152" s="67" t="n"/>
      <c r="AH152" s="66" t="n"/>
      <c r="AI152" s="67" t="n"/>
    </row>
    <row r="153">
      <c r="B153" s="2">
        <f>IF(STUDENTS!B152="","",STUDENTS!B152)</f>
        <v/>
      </c>
      <c r="C153" s="44">
        <f>IFERROR(IF(B153="","",_xlfn.XLOOKUP(B153,STUDENTS!$B$3:$B$1048576,STUDENTS!$C$3:$C$1048576)),"Enter a registered reg. no")</f>
        <v/>
      </c>
      <c r="D153" s="54" t="n"/>
      <c r="E153" s="55" t="n"/>
      <c r="F153" s="48" t="n"/>
      <c r="G153" s="58" t="n"/>
      <c r="H153" s="62" t="n"/>
      <c r="I153" s="63" t="n"/>
      <c r="J153" s="48" t="n"/>
      <c r="K153" s="58" t="n"/>
      <c r="L153" s="42" t="n"/>
      <c r="M153" s="42" t="n"/>
      <c r="N153" s="48" t="n"/>
      <c r="O153" s="58" t="n"/>
      <c r="P153" s="42" t="n"/>
      <c r="Q153" s="42" t="n"/>
      <c r="R153" s="48" t="n"/>
      <c r="S153" s="58" t="n"/>
      <c r="T153" s="42" t="n"/>
      <c r="U153" s="42" t="n"/>
      <c r="V153" s="48" t="n"/>
      <c r="W153" s="58" t="n"/>
      <c r="X153" s="42" t="n"/>
      <c r="Y153" s="42" t="n"/>
      <c r="Z153" s="48" t="n"/>
      <c r="AA153" s="58" t="n"/>
      <c r="AB153" s="42" t="n"/>
      <c r="AC153" s="42" t="n"/>
      <c r="AD153" s="48" t="n"/>
      <c r="AE153" s="58" t="n"/>
      <c r="AF153" s="42" t="n"/>
      <c r="AG153" s="42" t="n"/>
      <c r="AH153" s="48" t="n"/>
      <c r="AI153" s="58" t="n"/>
    </row>
    <row r="154">
      <c r="B154" s="2">
        <f>IF(STUDENTS!B153="","",STUDENTS!B153)</f>
        <v/>
      </c>
      <c r="C154" s="44">
        <f>IFERROR(IF(B154="","",_xlfn.XLOOKUP(B154,STUDENTS!$B$3:$B$1048576,STUDENTS!$C$3:$C$1048576)),"Enter a registered reg. no")</f>
        <v/>
      </c>
      <c r="F154" s="66" t="n"/>
      <c r="G154" s="67" t="n"/>
      <c r="J154" s="66" t="n"/>
      <c r="K154" s="67" t="n"/>
      <c r="N154" s="66" t="n"/>
      <c r="O154" s="67" t="n"/>
      <c r="R154" s="66" t="n"/>
      <c r="S154" s="67" t="n"/>
      <c r="V154" s="66" t="n"/>
      <c r="W154" s="67" t="n"/>
      <c r="Z154" s="66" t="n"/>
      <c r="AA154" s="67" t="n"/>
      <c r="AD154" s="66" t="n"/>
      <c r="AE154" s="67" t="n"/>
      <c r="AH154" s="66" t="n"/>
      <c r="AI154" s="67" t="n"/>
    </row>
    <row r="155">
      <c r="B155" s="2">
        <f>IF(STUDENTS!B154="","",STUDENTS!B154)</f>
        <v/>
      </c>
      <c r="C155" s="44">
        <f>IFERROR(IF(B155="","",_xlfn.XLOOKUP(B155,STUDENTS!$B$3:$B$1048576,STUDENTS!$C$3:$C$1048576)),"Enter a registered reg. no")</f>
        <v/>
      </c>
      <c r="D155" s="54" t="n"/>
      <c r="E155" s="55" t="n"/>
      <c r="F155" s="48" t="n"/>
      <c r="G155" s="58" t="n"/>
      <c r="H155" s="62" t="n"/>
      <c r="I155" s="63" t="n"/>
      <c r="J155" s="48" t="n"/>
      <c r="K155" s="58" t="n"/>
      <c r="L155" s="42" t="n"/>
      <c r="M155" s="42" t="n"/>
      <c r="N155" s="48" t="n"/>
      <c r="O155" s="58" t="n"/>
      <c r="P155" s="42" t="n"/>
      <c r="Q155" s="42" t="n"/>
      <c r="R155" s="48" t="n"/>
      <c r="S155" s="58" t="n"/>
      <c r="T155" s="42" t="n"/>
      <c r="U155" s="42" t="n"/>
      <c r="V155" s="48" t="n"/>
      <c r="W155" s="58" t="n"/>
      <c r="X155" s="42" t="n"/>
      <c r="Y155" s="42" t="n"/>
      <c r="Z155" s="48" t="n"/>
      <c r="AA155" s="58" t="n"/>
      <c r="AB155" s="42" t="n"/>
      <c r="AC155" s="42" t="n"/>
      <c r="AD155" s="48" t="n"/>
      <c r="AE155" s="58" t="n"/>
      <c r="AF155" s="42" t="n"/>
      <c r="AG155" s="42" t="n"/>
      <c r="AH155" s="48" t="n"/>
      <c r="AI155" s="58" t="n"/>
    </row>
    <row r="156">
      <c r="B156" s="2">
        <f>IF(STUDENTS!B155="","",STUDENTS!B155)</f>
        <v/>
      </c>
      <c r="C156" s="44">
        <f>IFERROR(IF(B156="","",_xlfn.XLOOKUP(B156,STUDENTS!$B$3:$B$1048576,STUDENTS!$C$3:$C$1048576)),"Enter a registered reg. no")</f>
        <v/>
      </c>
      <c r="F156" s="66" t="n"/>
      <c r="G156" s="67" t="n"/>
      <c r="J156" s="66" t="n"/>
      <c r="K156" s="67" t="n"/>
      <c r="N156" s="66" t="n"/>
      <c r="O156" s="67" t="n"/>
      <c r="R156" s="66" t="n"/>
      <c r="S156" s="67" t="n"/>
      <c r="V156" s="66" t="n"/>
      <c r="W156" s="67" t="n"/>
      <c r="Z156" s="66" t="n"/>
      <c r="AA156" s="67" t="n"/>
      <c r="AD156" s="66" t="n"/>
      <c r="AE156" s="67" t="n"/>
      <c r="AH156" s="66" t="n"/>
      <c r="AI156" s="67" t="n"/>
    </row>
    <row r="157">
      <c r="B157" s="2">
        <f>IF(STUDENTS!B156="","",STUDENTS!B156)</f>
        <v/>
      </c>
      <c r="C157" s="44">
        <f>IFERROR(IF(B157="","",_xlfn.XLOOKUP(B157,STUDENTS!$B$3:$B$1048576,STUDENTS!$C$3:$C$1048576)),"Enter a registered reg. no")</f>
        <v/>
      </c>
      <c r="D157" s="54" t="n"/>
      <c r="E157" s="55" t="n"/>
      <c r="F157" s="48" t="n"/>
      <c r="G157" s="58" t="n"/>
      <c r="H157" s="62" t="n"/>
      <c r="I157" s="63" t="n"/>
      <c r="J157" s="48" t="n"/>
      <c r="K157" s="58" t="n"/>
      <c r="L157" s="42" t="n"/>
      <c r="M157" s="42" t="n"/>
      <c r="N157" s="48" t="n"/>
      <c r="O157" s="58" t="n"/>
      <c r="P157" s="42" t="n"/>
      <c r="Q157" s="42" t="n"/>
      <c r="R157" s="48" t="n"/>
      <c r="S157" s="58" t="n"/>
      <c r="T157" s="42" t="n"/>
      <c r="U157" s="42" t="n"/>
      <c r="V157" s="48" t="n"/>
      <c r="W157" s="58" t="n"/>
      <c r="X157" s="42" t="n"/>
      <c r="Y157" s="42" t="n"/>
      <c r="Z157" s="48" t="n"/>
      <c r="AA157" s="58" t="n"/>
      <c r="AB157" s="42" t="n"/>
      <c r="AC157" s="42" t="n"/>
      <c r="AD157" s="48" t="n"/>
      <c r="AE157" s="58" t="n"/>
      <c r="AF157" s="42" t="n"/>
      <c r="AG157" s="42" t="n"/>
      <c r="AH157" s="48" t="n"/>
      <c r="AI157" s="58" t="n"/>
    </row>
    <row r="158">
      <c r="B158" s="2">
        <f>IF(STUDENTS!B157="","",STUDENTS!B157)</f>
        <v/>
      </c>
      <c r="C158" s="44">
        <f>IFERROR(IF(B158="","",_xlfn.XLOOKUP(B158,STUDENTS!$B$3:$B$1048576,STUDENTS!$C$3:$C$1048576)),"Enter a registered reg. no")</f>
        <v/>
      </c>
      <c r="F158" s="66" t="n"/>
      <c r="G158" s="67" t="n"/>
      <c r="J158" s="66" t="n"/>
      <c r="K158" s="67" t="n"/>
      <c r="N158" s="66" t="n"/>
      <c r="O158" s="67" t="n"/>
      <c r="R158" s="66" t="n"/>
      <c r="S158" s="67" t="n"/>
      <c r="V158" s="66" t="n"/>
      <c r="W158" s="67" t="n"/>
      <c r="Z158" s="66" t="n"/>
      <c r="AA158" s="67" t="n"/>
      <c r="AD158" s="66" t="n"/>
      <c r="AE158" s="67" t="n"/>
      <c r="AH158" s="66" t="n"/>
      <c r="AI158" s="67" t="n"/>
    </row>
    <row r="159">
      <c r="B159" s="2">
        <f>IF(STUDENTS!B158="","",STUDENTS!B158)</f>
        <v/>
      </c>
      <c r="C159" s="44">
        <f>IFERROR(IF(B159="","",_xlfn.XLOOKUP(B159,STUDENTS!$B$3:$B$1048576,STUDENTS!$C$3:$C$1048576)),"Enter a registered reg. no")</f>
        <v/>
      </c>
      <c r="D159" s="54" t="n"/>
      <c r="E159" s="55" t="n"/>
      <c r="F159" s="48" t="n"/>
      <c r="G159" s="58" t="n"/>
      <c r="H159" s="62" t="n"/>
      <c r="I159" s="63" t="n"/>
      <c r="J159" s="48" t="n"/>
      <c r="K159" s="58" t="n"/>
      <c r="L159" s="42" t="n"/>
      <c r="M159" s="42" t="n"/>
      <c r="N159" s="48" t="n"/>
      <c r="O159" s="58" t="n"/>
      <c r="P159" s="42" t="n"/>
      <c r="Q159" s="42" t="n"/>
      <c r="R159" s="48" t="n"/>
      <c r="S159" s="58" t="n"/>
      <c r="T159" s="42" t="n"/>
      <c r="U159" s="42" t="n"/>
      <c r="V159" s="48" t="n"/>
      <c r="W159" s="58" t="n"/>
      <c r="X159" s="42" t="n"/>
      <c r="Y159" s="42" t="n"/>
      <c r="Z159" s="48" t="n"/>
      <c r="AA159" s="58" t="n"/>
      <c r="AB159" s="42" t="n"/>
      <c r="AC159" s="42" t="n"/>
      <c r="AD159" s="48" t="n"/>
      <c r="AE159" s="58" t="n"/>
      <c r="AF159" s="42" t="n"/>
      <c r="AG159" s="42" t="n"/>
      <c r="AH159" s="48" t="n"/>
      <c r="AI159" s="58" t="n"/>
    </row>
    <row r="160">
      <c r="B160" s="2">
        <f>IF(STUDENTS!B159="","",STUDENTS!B159)</f>
        <v/>
      </c>
      <c r="C160" s="44">
        <f>IFERROR(IF(B160="","",_xlfn.XLOOKUP(B160,STUDENTS!$B$3:$B$1048576,STUDENTS!$C$3:$C$1048576)),"Enter a registered reg. no")</f>
        <v/>
      </c>
      <c r="F160" s="66" t="n"/>
      <c r="G160" s="67" t="n"/>
      <c r="J160" s="66" t="n"/>
      <c r="K160" s="67" t="n"/>
      <c r="N160" s="66" t="n"/>
      <c r="O160" s="67" t="n"/>
      <c r="R160" s="66" t="n"/>
      <c r="S160" s="67" t="n"/>
      <c r="V160" s="66" t="n"/>
      <c r="W160" s="67" t="n"/>
      <c r="Z160" s="66" t="n"/>
      <c r="AA160" s="67" t="n"/>
      <c r="AD160" s="66" t="n"/>
      <c r="AE160" s="67" t="n"/>
      <c r="AH160" s="66" t="n"/>
      <c r="AI160" s="67" t="n"/>
    </row>
    <row r="161">
      <c r="B161" s="2">
        <f>IF(STUDENTS!B160="","",STUDENTS!B160)</f>
        <v/>
      </c>
      <c r="C161" s="44">
        <f>IFERROR(IF(B161="","",_xlfn.XLOOKUP(B161,STUDENTS!$B$3:$B$1048576,STUDENTS!$C$3:$C$1048576)),"Enter a registered reg. no")</f>
        <v/>
      </c>
      <c r="D161" s="54" t="n"/>
      <c r="E161" s="55" t="n"/>
      <c r="F161" s="48" t="n"/>
      <c r="G161" s="58" t="n"/>
      <c r="H161" s="62" t="n"/>
      <c r="I161" s="63" t="n"/>
      <c r="J161" s="48" t="n"/>
      <c r="K161" s="58" t="n"/>
      <c r="L161" s="42" t="n"/>
      <c r="M161" s="42" t="n"/>
      <c r="N161" s="48" t="n"/>
      <c r="O161" s="58" t="n"/>
      <c r="P161" s="42" t="n"/>
      <c r="Q161" s="42" t="n"/>
      <c r="R161" s="48" t="n"/>
      <c r="S161" s="58" t="n"/>
      <c r="T161" s="42" t="n"/>
      <c r="U161" s="42" t="n"/>
      <c r="V161" s="48" t="n"/>
      <c r="W161" s="58" t="n"/>
      <c r="X161" s="42" t="n"/>
      <c r="Y161" s="42" t="n"/>
      <c r="Z161" s="48" t="n"/>
      <c r="AA161" s="58" t="n"/>
      <c r="AB161" s="42" t="n"/>
      <c r="AC161" s="42" t="n"/>
      <c r="AD161" s="48" t="n"/>
      <c r="AE161" s="58" t="n"/>
      <c r="AF161" s="42" t="n"/>
      <c r="AG161" s="42" t="n"/>
      <c r="AH161" s="48" t="n"/>
      <c r="AI161" s="58" t="n"/>
    </row>
    <row r="162">
      <c r="B162" s="2">
        <f>IF(STUDENTS!B161="","",STUDENTS!B161)</f>
        <v/>
      </c>
      <c r="C162" s="44">
        <f>IFERROR(IF(B162="","",_xlfn.XLOOKUP(B162,STUDENTS!$B$3:$B$1048576,STUDENTS!$C$3:$C$1048576)),"Enter a registered reg. no")</f>
        <v/>
      </c>
      <c r="F162" s="66" t="n"/>
      <c r="G162" s="67" t="n"/>
      <c r="J162" s="66" t="n"/>
      <c r="K162" s="67" t="n"/>
      <c r="N162" s="66" t="n"/>
      <c r="O162" s="67" t="n"/>
      <c r="R162" s="66" t="n"/>
      <c r="S162" s="67" t="n"/>
      <c r="V162" s="66" t="n"/>
      <c r="W162" s="67" t="n"/>
      <c r="Z162" s="66" t="n"/>
      <c r="AA162" s="67" t="n"/>
      <c r="AD162" s="66" t="n"/>
      <c r="AE162" s="67" t="n"/>
      <c r="AH162" s="66" t="n"/>
      <c r="AI162" s="67" t="n"/>
    </row>
    <row r="163">
      <c r="B163" s="2">
        <f>IF(STUDENTS!B162="","",STUDENTS!B162)</f>
        <v/>
      </c>
      <c r="C163" s="44">
        <f>IFERROR(IF(B163="","",_xlfn.XLOOKUP(B163,STUDENTS!$B$3:$B$1048576,STUDENTS!$C$3:$C$1048576)),"Enter a registered reg. no")</f>
        <v/>
      </c>
      <c r="D163" s="54" t="n"/>
      <c r="E163" s="55" t="n"/>
      <c r="F163" s="48" t="n"/>
      <c r="G163" s="58" t="n"/>
      <c r="H163" s="62" t="n"/>
      <c r="I163" s="63" t="n"/>
      <c r="J163" s="48" t="n"/>
      <c r="K163" s="58" t="n"/>
      <c r="L163" s="42" t="n"/>
      <c r="M163" s="42" t="n"/>
      <c r="N163" s="48" t="n"/>
      <c r="O163" s="58" t="n"/>
      <c r="P163" s="42" t="n"/>
      <c r="Q163" s="42" t="n"/>
      <c r="R163" s="48" t="n"/>
      <c r="S163" s="58" t="n"/>
      <c r="T163" s="42" t="n"/>
      <c r="U163" s="42" t="n"/>
      <c r="V163" s="48" t="n"/>
      <c r="W163" s="58" t="n"/>
      <c r="X163" s="42" t="n"/>
      <c r="Y163" s="42" t="n"/>
      <c r="Z163" s="48" t="n"/>
      <c r="AA163" s="58" t="n"/>
      <c r="AB163" s="42" t="n"/>
      <c r="AC163" s="42" t="n"/>
      <c r="AD163" s="48" t="n"/>
      <c r="AE163" s="58" t="n"/>
      <c r="AF163" s="42" t="n"/>
      <c r="AG163" s="42" t="n"/>
      <c r="AH163" s="48" t="n"/>
      <c r="AI163" s="58" t="n"/>
    </row>
    <row r="164">
      <c r="B164" s="2">
        <f>IF(STUDENTS!B163="","",STUDENTS!B163)</f>
        <v/>
      </c>
      <c r="C164" s="44">
        <f>IFERROR(IF(B164="","",_xlfn.XLOOKUP(B164,STUDENTS!$B$3:$B$1048576,STUDENTS!$C$3:$C$1048576)),"Enter a registered reg. no")</f>
        <v/>
      </c>
      <c r="F164" s="66" t="n"/>
      <c r="G164" s="67" t="n"/>
      <c r="J164" s="66" t="n"/>
      <c r="K164" s="67" t="n"/>
      <c r="N164" s="66" t="n"/>
      <c r="O164" s="67" t="n"/>
      <c r="R164" s="66" t="n"/>
      <c r="S164" s="67" t="n"/>
      <c r="V164" s="66" t="n"/>
      <c r="W164" s="67" t="n"/>
      <c r="Z164" s="66" t="n"/>
      <c r="AA164" s="67" t="n"/>
      <c r="AD164" s="66" t="n"/>
      <c r="AE164" s="67" t="n"/>
      <c r="AH164" s="66" t="n"/>
      <c r="AI164" s="67" t="n"/>
    </row>
    <row r="165">
      <c r="B165" s="2">
        <f>IF(STUDENTS!B164="","",STUDENTS!B164)</f>
        <v/>
      </c>
      <c r="C165" s="44">
        <f>IFERROR(IF(B165="","",_xlfn.XLOOKUP(B165,STUDENTS!$B$3:$B$1048576,STUDENTS!$C$3:$C$1048576)),"Enter a registered reg. no")</f>
        <v/>
      </c>
      <c r="D165" s="54" t="n"/>
      <c r="E165" s="55" t="n"/>
      <c r="F165" s="48" t="n"/>
      <c r="G165" s="58" t="n"/>
      <c r="H165" s="62" t="n"/>
      <c r="I165" s="63" t="n"/>
      <c r="J165" s="48" t="n"/>
      <c r="K165" s="58" t="n"/>
      <c r="L165" s="42" t="n"/>
      <c r="M165" s="42" t="n"/>
      <c r="N165" s="48" t="n"/>
      <c r="O165" s="58" t="n"/>
      <c r="P165" s="42" t="n"/>
      <c r="Q165" s="42" t="n"/>
      <c r="R165" s="48" t="n"/>
      <c r="S165" s="58" t="n"/>
      <c r="T165" s="42" t="n"/>
      <c r="U165" s="42" t="n"/>
      <c r="V165" s="48" t="n"/>
      <c r="W165" s="58" t="n"/>
      <c r="X165" s="42" t="n"/>
      <c r="Y165" s="42" t="n"/>
      <c r="Z165" s="48" t="n"/>
      <c r="AA165" s="58" t="n"/>
      <c r="AB165" s="42" t="n"/>
      <c r="AC165" s="42" t="n"/>
      <c r="AD165" s="48" t="n"/>
      <c r="AE165" s="58" t="n"/>
      <c r="AF165" s="42" t="n"/>
      <c r="AG165" s="42" t="n"/>
      <c r="AH165" s="48" t="n"/>
      <c r="AI165" s="58" t="n"/>
    </row>
    <row r="166">
      <c r="B166" s="2">
        <f>IF(STUDENTS!B165="","",STUDENTS!B165)</f>
        <v/>
      </c>
      <c r="C166" s="44">
        <f>IFERROR(IF(B166="","",_xlfn.XLOOKUP(B166,STUDENTS!$B$3:$B$1048576,STUDENTS!$C$3:$C$1048576)),"Enter a registered reg. no")</f>
        <v/>
      </c>
      <c r="F166" s="66" t="n"/>
      <c r="G166" s="67" t="n"/>
      <c r="J166" s="66" t="n"/>
      <c r="K166" s="67" t="n"/>
      <c r="N166" s="66" t="n"/>
      <c r="O166" s="67" t="n"/>
      <c r="R166" s="66" t="n"/>
      <c r="S166" s="67" t="n"/>
      <c r="V166" s="66" t="n"/>
      <c r="W166" s="67" t="n"/>
      <c r="Z166" s="66" t="n"/>
      <c r="AA166" s="67" t="n"/>
      <c r="AD166" s="66" t="n"/>
      <c r="AE166" s="67" t="n"/>
      <c r="AH166" s="66" t="n"/>
      <c r="AI166" s="67" t="n"/>
    </row>
    <row r="167">
      <c r="B167" s="2">
        <f>IF(STUDENTS!B166="","",STUDENTS!B166)</f>
        <v/>
      </c>
      <c r="C167" s="44">
        <f>IFERROR(IF(B167="","",_xlfn.XLOOKUP(B167,STUDENTS!$B$3:$B$1048576,STUDENTS!$C$3:$C$1048576)),"Enter a registered reg. no")</f>
        <v/>
      </c>
      <c r="D167" s="54" t="n"/>
      <c r="E167" s="55" t="n"/>
      <c r="F167" s="48" t="n"/>
      <c r="G167" s="58" t="n"/>
      <c r="H167" s="62" t="n"/>
      <c r="I167" s="63" t="n"/>
      <c r="J167" s="48" t="n"/>
      <c r="K167" s="58" t="n"/>
      <c r="L167" s="42" t="n"/>
      <c r="M167" s="42" t="n"/>
      <c r="N167" s="48" t="n"/>
      <c r="O167" s="58" t="n"/>
      <c r="P167" s="42" t="n"/>
      <c r="Q167" s="42" t="n"/>
      <c r="R167" s="48" t="n"/>
      <c r="S167" s="58" t="n"/>
      <c r="T167" s="42" t="n"/>
      <c r="U167" s="42" t="n"/>
      <c r="V167" s="48" t="n"/>
      <c r="W167" s="58" t="n"/>
      <c r="X167" s="42" t="n"/>
      <c r="Y167" s="42" t="n"/>
      <c r="Z167" s="48" t="n"/>
      <c r="AA167" s="58" t="n"/>
      <c r="AB167" s="42" t="n"/>
      <c r="AC167" s="42" t="n"/>
      <c r="AD167" s="48" t="n"/>
      <c r="AE167" s="58" t="n"/>
      <c r="AF167" s="42" t="n"/>
      <c r="AG167" s="42" t="n"/>
      <c r="AH167" s="48" t="n"/>
      <c r="AI167" s="58" t="n"/>
    </row>
    <row r="168">
      <c r="B168" s="2">
        <f>IF(STUDENTS!B167="","",STUDENTS!B167)</f>
        <v/>
      </c>
      <c r="C168" s="44">
        <f>IFERROR(IF(B168="","",_xlfn.XLOOKUP(B168,STUDENTS!$B$3:$B$1048576,STUDENTS!$C$3:$C$1048576)),"Enter a registered reg. no")</f>
        <v/>
      </c>
      <c r="F168" s="66" t="n"/>
      <c r="G168" s="67" t="n"/>
      <c r="J168" s="66" t="n"/>
      <c r="K168" s="67" t="n"/>
      <c r="N168" s="66" t="n"/>
      <c r="O168" s="67" t="n"/>
      <c r="R168" s="66" t="n"/>
      <c r="S168" s="67" t="n"/>
      <c r="V168" s="66" t="n"/>
      <c r="W168" s="67" t="n"/>
      <c r="Z168" s="66" t="n"/>
      <c r="AA168" s="67" t="n"/>
      <c r="AD168" s="66" t="n"/>
      <c r="AE168" s="67" t="n"/>
      <c r="AH168" s="66" t="n"/>
      <c r="AI168" s="67" t="n"/>
    </row>
    <row r="169">
      <c r="B169" s="2">
        <f>IF(STUDENTS!B168="","",STUDENTS!B168)</f>
        <v/>
      </c>
      <c r="C169" s="44">
        <f>IFERROR(IF(B169="","",_xlfn.XLOOKUP(B169,STUDENTS!$B$3:$B$1048576,STUDENTS!$C$3:$C$1048576)),"Enter a registered reg. no")</f>
        <v/>
      </c>
      <c r="D169" s="54" t="n"/>
      <c r="E169" s="55" t="n"/>
      <c r="F169" s="48" t="n"/>
      <c r="G169" s="58" t="n"/>
      <c r="H169" s="62" t="n"/>
      <c r="I169" s="63" t="n"/>
      <c r="J169" s="48" t="n"/>
      <c r="K169" s="58" t="n"/>
      <c r="L169" s="42" t="n"/>
      <c r="M169" s="42" t="n"/>
      <c r="N169" s="48" t="n"/>
      <c r="O169" s="58" t="n"/>
      <c r="P169" s="42" t="n"/>
      <c r="Q169" s="42" t="n"/>
      <c r="R169" s="48" t="n"/>
      <c r="S169" s="58" t="n"/>
      <c r="T169" s="42" t="n"/>
      <c r="U169" s="42" t="n"/>
      <c r="V169" s="48" t="n"/>
      <c r="W169" s="58" t="n"/>
      <c r="X169" s="42" t="n"/>
      <c r="Y169" s="42" t="n"/>
      <c r="Z169" s="48" t="n"/>
      <c r="AA169" s="58" t="n"/>
      <c r="AB169" s="42" t="n"/>
      <c r="AC169" s="42" t="n"/>
      <c r="AD169" s="48" t="n"/>
      <c r="AE169" s="58" t="n"/>
      <c r="AF169" s="42" t="n"/>
      <c r="AG169" s="42" t="n"/>
      <c r="AH169" s="48" t="n"/>
      <c r="AI169" s="58" t="n"/>
    </row>
    <row r="170">
      <c r="B170" s="2">
        <f>IF(STUDENTS!B169="","",STUDENTS!B169)</f>
        <v/>
      </c>
      <c r="C170" s="44">
        <f>IFERROR(IF(B170="","",_xlfn.XLOOKUP(B170,STUDENTS!$B$3:$B$1048576,STUDENTS!$C$3:$C$1048576)),"Enter a registered reg. no")</f>
        <v/>
      </c>
      <c r="F170" s="66" t="n"/>
      <c r="G170" s="67" t="n"/>
      <c r="J170" s="66" t="n"/>
      <c r="K170" s="67" t="n"/>
      <c r="N170" s="66" t="n"/>
      <c r="O170" s="67" t="n"/>
      <c r="R170" s="66" t="n"/>
      <c r="S170" s="67" t="n"/>
      <c r="V170" s="66" t="n"/>
      <c r="W170" s="67" t="n"/>
      <c r="Z170" s="66" t="n"/>
      <c r="AA170" s="67" t="n"/>
      <c r="AD170" s="66" t="n"/>
      <c r="AE170" s="67" t="n"/>
      <c r="AH170" s="66" t="n"/>
      <c r="AI170" s="67" t="n"/>
    </row>
    <row r="171">
      <c r="B171" s="2">
        <f>IF(STUDENTS!B170="","",STUDENTS!B170)</f>
        <v/>
      </c>
      <c r="C171" s="44">
        <f>IFERROR(IF(B171="","",_xlfn.XLOOKUP(B171,STUDENTS!$B$3:$B$1048576,STUDENTS!$C$3:$C$1048576)),"Enter a registered reg. no")</f>
        <v/>
      </c>
      <c r="D171" s="54" t="n"/>
      <c r="E171" s="55" t="n"/>
      <c r="F171" s="48" t="n"/>
      <c r="G171" s="58" t="n"/>
      <c r="H171" s="62" t="n"/>
      <c r="I171" s="63" t="n"/>
      <c r="J171" s="48" t="n"/>
      <c r="K171" s="58" t="n"/>
      <c r="L171" s="42" t="n"/>
      <c r="M171" s="42" t="n"/>
      <c r="N171" s="48" t="n"/>
      <c r="O171" s="58" t="n"/>
      <c r="P171" s="42" t="n"/>
      <c r="Q171" s="42" t="n"/>
      <c r="R171" s="48" t="n"/>
      <c r="S171" s="58" t="n"/>
      <c r="T171" s="42" t="n"/>
      <c r="U171" s="42" t="n"/>
      <c r="V171" s="48" t="n"/>
      <c r="W171" s="58" t="n"/>
      <c r="X171" s="42" t="n"/>
      <c r="Y171" s="42" t="n"/>
      <c r="Z171" s="48" t="n"/>
      <c r="AA171" s="58" t="n"/>
      <c r="AB171" s="42" t="n"/>
      <c r="AC171" s="42" t="n"/>
      <c r="AD171" s="48" t="n"/>
      <c r="AE171" s="58" t="n"/>
      <c r="AF171" s="42" t="n"/>
      <c r="AG171" s="42" t="n"/>
      <c r="AH171" s="48" t="n"/>
      <c r="AI171" s="58" t="n"/>
    </row>
    <row r="172">
      <c r="B172" s="2">
        <f>IF(STUDENTS!B171="","",STUDENTS!B171)</f>
        <v/>
      </c>
      <c r="C172" s="44">
        <f>IFERROR(IF(B172="","",_xlfn.XLOOKUP(B172,STUDENTS!$B$3:$B$1048576,STUDENTS!$C$3:$C$1048576)),"Enter a registered reg. no")</f>
        <v/>
      </c>
      <c r="F172" s="66" t="n"/>
      <c r="G172" s="67" t="n"/>
      <c r="J172" s="66" t="n"/>
      <c r="K172" s="67" t="n"/>
      <c r="N172" s="66" t="n"/>
      <c r="O172" s="67" t="n"/>
      <c r="R172" s="66" t="n"/>
      <c r="S172" s="67" t="n"/>
      <c r="V172" s="66" t="n"/>
      <c r="W172" s="67" t="n"/>
      <c r="Z172" s="66" t="n"/>
      <c r="AA172" s="67" t="n"/>
      <c r="AD172" s="66" t="n"/>
      <c r="AE172" s="67" t="n"/>
      <c r="AH172" s="66" t="n"/>
      <c r="AI172" s="67" t="n"/>
    </row>
    <row r="173">
      <c r="B173" s="2">
        <f>IF(STUDENTS!B172="","",STUDENTS!B172)</f>
        <v/>
      </c>
      <c r="C173" s="44">
        <f>IFERROR(IF(B173="","",_xlfn.XLOOKUP(B173,STUDENTS!$B$3:$B$1048576,STUDENTS!$C$3:$C$1048576)),"Enter a registered reg. no")</f>
        <v/>
      </c>
      <c r="D173" s="54" t="n"/>
      <c r="E173" s="55" t="n"/>
      <c r="F173" s="48" t="n"/>
      <c r="G173" s="58" t="n"/>
      <c r="H173" s="62" t="n"/>
      <c r="I173" s="63" t="n"/>
      <c r="J173" s="48" t="n"/>
      <c r="K173" s="58" t="n"/>
      <c r="L173" s="42" t="n"/>
      <c r="M173" s="42" t="n"/>
      <c r="N173" s="48" t="n"/>
      <c r="O173" s="58" t="n"/>
      <c r="P173" s="42" t="n"/>
      <c r="Q173" s="42" t="n"/>
      <c r="R173" s="48" t="n"/>
      <c r="S173" s="58" t="n"/>
      <c r="T173" s="42" t="n"/>
      <c r="U173" s="42" t="n"/>
      <c r="V173" s="48" t="n"/>
      <c r="W173" s="58" t="n"/>
      <c r="X173" s="42" t="n"/>
      <c r="Y173" s="42" t="n"/>
      <c r="Z173" s="48" t="n"/>
      <c r="AA173" s="58" t="n"/>
      <c r="AB173" s="42" t="n"/>
      <c r="AC173" s="42" t="n"/>
      <c r="AD173" s="48" t="n"/>
      <c r="AE173" s="58" t="n"/>
      <c r="AF173" s="42" t="n"/>
      <c r="AG173" s="42" t="n"/>
      <c r="AH173" s="48" t="n"/>
      <c r="AI173" s="58" t="n"/>
    </row>
    <row r="174">
      <c r="B174" s="2">
        <f>IF(STUDENTS!B173="","",STUDENTS!B173)</f>
        <v/>
      </c>
      <c r="C174" s="44">
        <f>IFERROR(IF(B174="","",_xlfn.XLOOKUP(B174,STUDENTS!$B$3:$B$1048576,STUDENTS!$C$3:$C$1048576)),"Enter a registered reg. no")</f>
        <v/>
      </c>
      <c r="F174" s="66" t="n"/>
      <c r="G174" s="67" t="n"/>
      <c r="J174" s="66" t="n"/>
      <c r="K174" s="67" t="n"/>
      <c r="N174" s="66" t="n"/>
      <c r="O174" s="67" t="n"/>
      <c r="R174" s="66" t="n"/>
      <c r="S174" s="67" t="n"/>
      <c r="V174" s="66" t="n"/>
      <c r="W174" s="67" t="n"/>
      <c r="Z174" s="66" t="n"/>
      <c r="AA174" s="67" t="n"/>
      <c r="AD174" s="66" t="n"/>
      <c r="AE174" s="67" t="n"/>
      <c r="AH174" s="66" t="n"/>
      <c r="AI174" s="67" t="n"/>
    </row>
    <row r="175">
      <c r="B175" s="2">
        <f>IF(STUDENTS!B174="","",STUDENTS!B174)</f>
        <v/>
      </c>
      <c r="C175" s="44">
        <f>IFERROR(IF(B175="","",_xlfn.XLOOKUP(B175,STUDENTS!$B$3:$B$1048576,STUDENTS!$C$3:$C$1048576)),"Enter a registered reg. no")</f>
        <v/>
      </c>
      <c r="D175" s="54" t="n"/>
      <c r="E175" s="55" t="n"/>
      <c r="F175" s="48" t="n"/>
      <c r="G175" s="58" t="n"/>
      <c r="H175" s="62" t="n"/>
      <c r="I175" s="63" t="n"/>
      <c r="J175" s="48" t="n"/>
      <c r="K175" s="58" t="n"/>
      <c r="L175" s="42" t="n"/>
      <c r="M175" s="42" t="n"/>
      <c r="N175" s="48" t="n"/>
      <c r="O175" s="58" t="n"/>
      <c r="P175" s="42" t="n"/>
      <c r="Q175" s="42" t="n"/>
      <c r="R175" s="48" t="n"/>
      <c r="S175" s="58" t="n"/>
      <c r="T175" s="42" t="n"/>
      <c r="U175" s="42" t="n"/>
      <c r="V175" s="48" t="n"/>
      <c r="W175" s="58" t="n"/>
      <c r="X175" s="42" t="n"/>
      <c r="Y175" s="42" t="n"/>
      <c r="Z175" s="48" t="n"/>
      <c r="AA175" s="58" t="n"/>
      <c r="AB175" s="42" t="n"/>
      <c r="AC175" s="42" t="n"/>
      <c r="AD175" s="48" t="n"/>
      <c r="AE175" s="58" t="n"/>
      <c r="AF175" s="42" t="n"/>
      <c r="AG175" s="42" t="n"/>
      <c r="AH175" s="48" t="n"/>
      <c r="AI175" s="58" t="n"/>
    </row>
    <row r="176">
      <c r="B176" s="2">
        <f>IF(STUDENTS!B175="","",STUDENTS!B175)</f>
        <v/>
      </c>
      <c r="C176" s="44">
        <f>IFERROR(IF(B176="","",_xlfn.XLOOKUP(B176,STUDENTS!$B$3:$B$1048576,STUDENTS!$C$3:$C$1048576)),"Enter a registered reg. no")</f>
        <v/>
      </c>
      <c r="F176" s="66" t="n"/>
      <c r="G176" s="67" t="n"/>
      <c r="J176" s="66" t="n"/>
      <c r="K176" s="67" t="n"/>
      <c r="N176" s="66" t="n"/>
      <c r="O176" s="67" t="n"/>
      <c r="R176" s="66" t="n"/>
      <c r="S176" s="67" t="n"/>
      <c r="V176" s="66" t="n"/>
      <c r="W176" s="67" t="n"/>
      <c r="Z176" s="66" t="n"/>
      <c r="AA176" s="67" t="n"/>
      <c r="AD176" s="66" t="n"/>
      <c r="AE176" s="67" t="n"/>
      <c r="AH176" s="66" t="n"/>
      <c r="AI176" s="67" t="n"/>
    </row>
    <row r="177">
      <c r="B177" s="2">
        <f>IF(STUDENTS!B176="","",STUDENTS!B176)</f>
        <v/>
      </c>
      <c r="C177" s="44">
        <f>IFERROR(IF(B177="","",_xlfn.XLOOKUP(B177,STUDENTS!$B$3:$B$1048576,STUDENTS!$C$3:$C$1048576)),"Enter a registered reg. no")</f>
        <v/>
      </c>
      <c r="D177" s="54" t="n"/>
      <c r="E177" s="55" t="n"/>
      <c r="F177" s="48" t="n"/>
      <c r="G177" s="58" t="n"/>
      <c r="H177" s="62" t="n"/>
      <c r="I177" s="63" t="n"/>
      <c r="J177" s="48" t="n"/>
      <c r="K177" s="58" t="n"/>
      <c r="L177" s="42" t="n"/>
      <c r="M177" s="42" t="n"/>
      <c r="N177" s="48" t="n"/>
      <c r="O177" s="58" t="n"/>
      <c r="P177" s="42" t="n"/>
      <c r="Q177" s="42" t="n"/>
      <c r="R177" s="48" t="n"/>
      <c r="S177" s="58" t="n"/>
      <c r="T177" s="42" t="n"/>
      <c r="U177" s="42" t="n"/>
      <c r="V177" s="48" t="n"/>
      <c r="W177" s="58" t="n"/>
      <c r="X177" s="42" t="n"/>
      <c r="Y177" s="42" t="n"/>
      <c r="Z177" s="48" t="n"/>
      <c r="AA177" s="58" t="n"/>
      <c r="AB177" s="42" t="n"/>
      <c r="AC177" s="42" t="n"/>
      <c r="AD177" s="48" t="n"/>
      <c r="AE177" s="58" t="n"/>
      <c r="AF177" s="42" t="n"/>
      <c r="AG177" s="42" t="n"/>
      <c r="AH177" s="48" t="n"/>
      <c r="AI177" s="58" t="n"/>
    </row>
    <row r="178">
      <c r="B178" s="2">
        <f>IF(STUDENTS!B177="","",STUDENTS!B177)</f>
        <v/>
      </c>
      <c r="C178" s="44">
        <f>IFERROR(IF(B178="","",_xlfn.XLOOKUP(B178,STUDENTS!$B$3:$B$1048576,STUDENTS!$C$3:$C$1048576)),"Enter a registered reg. no")</f>
        <v/>
      </c>
      <c r="F178" s="66" t="n"/>
      <c r="G178" s="67" t="n"/>
      <c r="J178" s="66" t="n"/>
      <c r="K178" s="67" t="n"/>
      <c r="N178" s="66" t="n"/>
      <c r="O178" s="67" t="n"/>
      <c r="R178" s="66" t="n"/>
      <c r="S178" s="67" t="n"/>
      <c r="V178" s="66" t="n"/>
      <c r="W178" s="67" t="n"/>
      <c r="Z178" s="66" t="n"/>
      <c r="AA178" s="67" t="n"/>
      <c r="AD178" s="66" t="n"/>
      <c r="AE178" s="67" t="n"/>
      <c r="AH178" s="66" t="n"/>
      <c r="AI178" s="67" t="n"/>
    </row>
    <row r="179">
      <c r="B179" s="2">
        <f>IF(STUDENTS!B178="","",STUDENTS!B178)</f>
        <v/>
      </c>
      <c r="C179" s="44">
        <f>IFERROR(IF(B179="","",_xlfn.XLOOKUP(B179,STUDENTS!$B$3:$B$1048576,STUDENTS!$C$3:$C$1048576)),"Enter a registered reg. no")</f>
        <v/>
      </c>
      <c r="D179" s="54" t="n"/>
      <c r="E179" s="55" t="n"/>
      <c r="F179" s="48" t="n"/>
      <c r="G179" s="58" t="n"/>
      <c r="H179" s="62" t="n"/>
      <c r="I179" s="63" t="n"/>
      <c r="J179" s="48" t="n"/>
      <c r="K179" s="58" t="n"/>
      <c r="L179" s="42" t="n"/>
      <c r="M179" s="42" t="n"/>
      <c r="N179" s="48" t="n"/>
      <c r="O179" s="58" t="n"/>
      <c r="P179" s="42" t="n"/>
      <c r="Q179" s="42" t="n"/>
      <c r="R179" s="48" t="n"/>
      <c r="S179" s="58" t="n"/>
      <c r="T179" s="42" t="n"/>
      <c r="U179" s="42" t="n"/>
      <c r="V179" s="48" t="n"/>
      <c r="W179" s="58" t="n"/>
      <c r="X179" s="42" t="n"/>
      <c r="Y179" s="42" t="n"/>
      <c r="Z179" s="48" t="n"/>
      <c r="AA179" s="58" t="n"/>
      <c r="AB179" s="42" t="n"/>
      <c r="AC179" s="42" t="n"/>
      <c r="AD179" s="48" t="n"/>
      <c r="AE179" s="58" t="n"/>
      <c r="AF179" s="42" t="n"/>
      <c r="AG179" s="42" t="n"/>
      <c r="AH179" s="48" t="n"/>
      <c r="AI179" s="58" t="n"/>
    </row>
    <row r="180">
      <c r="B180" s="2">
        <f>IF(STUDENTS!B179="","",STUDENTS!B179)</f>
        <v/>
      </c>
      <c r="C180" s="44">
        <f>IFERROR(IF(B180="","",_xlfn.XLOOKUP(B180,STUDENTS!$B$3:$B$1048576,STUDENTS!$C$3:$C$1048576)),"Enter a registered reg. no")</f>
        <v/>
      </c>
      <c r="F180" s="66" t="n"/>
      <c r="G180" s="67" t="n"/>
      <c r="J180" s="66" t="n"/>
      <c r="K180" s="67" t="n"/>
      <c r="N180" s="66" t="n"/>
      <c r="O180" s="67" t="n"/>
      <c r="R180" s="66" t="n"/>
      <c r="S180" s="67" t="n"/>
      <c r="V180" s="66" t="n"/>
      <c r="W180" s="67" t="n"/>
      <c r="Z180" s="66" t="n"/>
      <c r="AA180" s="67" t="n"/>
      <c r="AD180" s="66" t="n"/>
      <c r="AE180" s="67" t="n"/>
      <c r="AH180" s="66" t="n"/>
      <c r="AI180" s="67" t="n"/>
    </row>
    <row r="181">
      <c r="B181" s="2">
        <f>IF(STUDENTS!B180="","",STUDENTS!B180)</f>
        <v/>
      </c>
      <c r="C181" s="44">
        <f>IFERROR(IF(B181="","",_xlfn.XLOOKUP(B181,STUDENTS!$B$3:$B$1048576,STUDENTS!$C$3:$C$1048576)),"Enter a registered reg. no")</f>
        <v/>
      </c>
      <c r="D181" s="54" t="n"/>
      <c r="E181" s="55" t="n"/>
      <c r="F181" s="48" t="n"/>
      <c r="G181" s="58" t="n"/>
      <c r="H181" s="62" t="n"/>
      <c r="I181" s="63" t="n"/>
      <c r="J181" s="48" t="n"/>
      <c r="K181" s="58" t="n"/>
      <c r="L181" s="42" t="n"/>
      <c r="M181" s="42" t="n"/>
      <c r="N181" s="48" t="n"/>
      <c r="O181" s="58" t="n"/>
      <c r="P181" s="42" t="n"/>
      <c r="Q181" s="42" t="n"/>
      <c r="R181" s="48" t="n"/>
      <c r="S181" s="58" t="n"/>
      <c r="T181" s="42" t="n"/>
      <c r="U181" s="42" t="n"/>
      <c r="V181" s="48" t="n"/>
      <c r="W181" s="58" t="n"/>
      <c r="X181" s="42" t="n"/>
      <c r="Y181" s="42" t="n"/>
      <c r="Z181" s="48" t="n"/>
      <c r="AA181" s="58" t="n"/>
      <c r="AB181" s="42" t="n"/>
      <c r="AC181" s="42" t="n"/>
      <c r="AD181" s="48" t="n"/>
      <c r="AE181" s="58" t="n"/>
      <c r="AF181" s="42" t="n"/>
      <c r="AG181" s="42" t="n"/>
      <c r="AH181" s="48" t="n"/>
      <c r="AI181" s="58" t="n"/>
    </row>
    <row r="182">
      <c r="B182" s="2">
        <f>IF(STUDENTS!B181="","",STUDENTS!B181)</f>
        <v/>
      </c>
      <c r="C182" s="44">
        <f>IFERROR(IF(B182="","",_xlfn.XLOOKUP(B182,STUDENTS!$B$3:$B$1048576,STUDENTS!$C$3:$C$1048576)),"Enter a registered reg. no")</f>
        <v/>
      </c>
      <c r="F182" s="66" t="n"/>
      <c r="G182" s="67" t="n"/>
      <c r="J182" s="66" t="n"/>
      <c r="K182" s="67" t="n"/>
      <c r="N182" s="66" t="n"/>
      <c r="O182" s="67" t="n"/>
      <c r="R182" s="66" t="n"/>
      <c r="S182" s="67" t="n"/>
      <c r="V182" s="66" t="n"/>
      <c r="W182" s="67" t="n"/>
      <c r="Z182" s="66" t="n"/>
      <c r="AA182" s="67" t="n"/>
      <c r="AD182" s="66" t="n"/>
      <c r="AE182" s="67" t="n"/>
      <c r="AH182" s="66" t="n"/>
      <c r="AI182" s="67" t="n"/>
    </row>
    <row r="183">
      <c r="B183" s="2">
        <f>IF(STUDENTS!B182="","",STUDENTS!B182)</f>
        <v/>
      </c>
      <c r="C183" s="44">
        <f>IFERROR(IF(B183="","",_xlfn.XLOOKUP(B183,STUDENTS!$B$3:$B$1048576,STUDENTS!$C$3:$C$1048576)),"Enter a registered reg. no")</f>
        <v/>
      </c>
      <c r="D183" s="54" t="n"/>
      <c r="E183" s="55" t="n"/>
      <c r="F183" s="48" t="n"/>
      <c r="G183" s="58" t="n"/>
      <c r="H183" s="62" t="n"/>
      <c r="I183" s="63" t="n"/>
      <c r="J183" s="48" t="n"/>
      <c r="K183" s="58" t="n"/>
      <c r="L183" s="42" t="n"/>
      <c r="M183" s="42" t="n"/>
      <c r="N183" s="48" t="n"/>
      <c r="O183" s="58" t="n"/>
      <c r="P183" s="42" t="n"/>
      <c r="Q183" s="42" t="n"/>
      <c r="R183" s="48" t="n"/>
      <c r="S183" s="58" t="n"/>
      <c r="T183" s="42" t="n"/>
      <c r="U183" s="42" t="n"/>
      <c r="V183" s="48" t="n"/>
      <c r="W183" s="58" t="n"/>
      <c r="X183" s="42" t="n"/>
      <c r="Y183" s="42" t="n"/>
      <c r="Z183" s="48" t="n"/>
      <c r="AA183" s="58" t="n"/>
      <c r="AB183" s="42" t="n"/>
      <c r="AC183" s="42" t="n"/>
      <c r="AD183" s="48" t="n"/>
      <c r="AE183" s="58" t="n"/>
      <c r="AF183" s="42" t="n"/>
      <c r="AG183" s="42" t="n"/>
      <c r="AH183" s="48" t="n"/>
      <c r="AI183" s="58" t="n"/>
    </row>
    <row r="184">
      <c r="B184" s="2">
        <f>IF(STUDENTS!B183="","",STUDENTS!B183)</f>
        <v/>
      </c>
      <c r="C184" s="44">
        <f>IFERROR(IF(B184="","",_xlfn.XLOOKUP(B184,STUDENTS!$B$3:$B$1048576,STUDENTS!$C$3:$C$1048576)),"Enter a registered reg. no")</f>
        <v/>
      </c>
      <c r="F184" s="66" t="n"/>
      <c r="G184" s="67" t="n"/>
      <c r="J184" s="66" t="n"/>
      <c r="K184" s="67" t="n"/>
      <c r="N184" s="66" t="n"/>
      <c r="O184" s="67" t="n"/>
      <c r="R184" s="66" t="n"/>
      <c r="S184" s="67" t="n"/>
      <c r="V184" s="66" t="n"/>
      <c r="W184" s="67" t="n"/>
      <c r="Z184" s="66" t="n"/>
      <c r="AA184" s="67" t="n"/>
      <c r="AD184" s="66" t="n"/>
      <c r="AE184" s="67" t="n"/>
      <c r="AH184" s="66" t="n"/>
      <c r="AI184" s="67" t="n"/>
    </row>
    <row r="185">
      <c r="B185" s="2">
        <f>IF(STUDENTS!B184="","",STUDENTS!B184)</f>
        <v/>
      </c>
      <c r="C185" s="44">
        <f>IFERROR(IF(B185="","",_xlfn.XLOOKUP(B185,STUDENTS!$B$3:$B$1048576,STUDENTS!$C$3:$C$1048576)),"Enter a registered reg. no")</f>
        <v/>
      </c>
      <c r="D185" s="54" t="n"/>
      <c r="E185" s="55" t="n"/>
      <c r="F185" s="48" t="n"/>
      <c r="G185" s="58" t="n"/>
      <c r="H185" s="62" t="n"/>
      <c r="I185" s="63" t="n"/>
      <c r="J185" s="48" t="n"/>
      <c r="K185" s="58" t="n"/>
      <c r="L185" s="42" t="n"/>
      <c r="M185" s="42" t="n"/>
      <c r="N185" s="48" t="n"/>
      <c r="O185" s="58" t="n"/>
      <c r="P185" s="42" t="n"/>
      <c r="Q185" s="42" t="n"/>
      <c r="R185" s="48" t="n"/>
      <c r="S185" s="58" t="n"/>
      <c r="T185" s="42" t="n"/>
      <c r="U185" s="42" t="n"/>
      <c r="V185" s="48" t="n"/>
      <c r="W185" s="58" t="n"/>
      <c r="X185" s="42" t="n"/>
      <c r="Y185" s="42" t="n"/>
      <c r="Z185" s="48" t="n"/>
      <c r="AA185" s="58" t="n"/>
      <c r="AB185" s="42" t="n"/>
      <c r="AC185" s="42" t="n"/>
      <c r="AD185" s="48" t="n"/>
      <c r="AE185" s="58" t="n"/>
      <c r="AF185" s="42" t="n"/>
      <c r="AG185" s="42" t="n"/>
      <c r="AH185" s="48" t="n"/>
      <c r="AI185" s="58" t="n"/>
    </row>
    <row r="186">
      <c r="B186" s="2">
        <f>IF(STUDENTS!B185="","",STUDENTS!B185)</f>
        <v/>
      </c>
      <c r="C186" s="44">
        <f>IFERROR(IF(B186="","",_xlfn.XLOOKUP(B186,STUDENTS!$B$3:$B$1048576,STUDENTS!$C$3:$C$1048576)),"Enter a registered reg. no")</f>
        <v/>
      </c>
      <c r="F186" s="66" t="n"/>
      <c r="G186" s="67" t="n"/>
      <c r="J186" s="66" t="n"/>
      <c r="K186" s="67" t="n"/>
      <c r="N186" s="66" t="n"/>
      <c r="O186" s="67" t="n"/>
      <c r="R186" s="66" t="n"/>
      <c r="S186" s="67" t="n"/>
      <c r="V186" s="66" t="n"/>
      <c r="W186" s="67" t="n"/>
      <c r="Z186" s="66" t="n"/>
      <c r="AA186" s="67" t="n"/>
      <c r="AD186" s="66" t="n"/>
      <c r="AE186" s="67" t="n"/>
      <c r="AH186" s="66" t="n"/>
      <c r="AI186" s="67" t="n"/>
    </row>
    <row r="187">
      <c r="B187" s="2">
        <f>IF(STUDENTS!B186="","",STUDENTS!B186)</f>
        <v/>
      </c>
      <c r="C187" s="44">
        <f>IFERROR(IF(B187="","",_xlfn.XLOOKUP(B187,STUDENTS!$B$3:$B$1048576,STUDENTS!$C$3:$C$1048576)),"Enter a registered reg. no")</f>
        <v/>
      </c>
      <c r="D187" s="54" t="n"/>
      <c r="E187" s="55" t="n"/>
      <c r="F187" s="48" t="n"/>
      <c r="G187" s="58" t="n"/>
      <c r="H187" s="62" t="n"/>
      <c r="I187" s="63" t="n"/>
      <c r="J187" s="48" t="n"/>
      <c r="K187" s="58" t="n"/>
      <c r="L187" s="42" t="n"/>
      <c r="M187" s="42" t="n"/>
      <c r="N187" s="48" t="n"/>
      <c r="O187" s="58" t="n"/>
      <c r="P187" s="42" t="n"/>
      <c r="Q187" s="42" t="n"/>
      <c r="R187" s="48" t="n"/>
      <c r="S187" s="58" t="n"/>
      <c r="T187" s="42" t="n"/>
      <c r="U187" s="42" t="n"/>
      <c r="V187" s="48" t="n"/>
      <c r="W187" s="58" t="n"/>
      <c r="X187" s="42" t="n"/>
      <c r="Y187" s="42" t="n"/>
      <c r="Z187" s="48" t="n"/>
      <c r="AA187" s="58" t="n"/>
      <c r="AB187" s="42" t="n"/>
      <c r="AC187" s="42" t="n"/>
      <c r="AD187" s="48" t="n"/>
      <c r="AE187" s="58" t="n"/>
      <c r="AF187" s="42" t="n"/>
      <c r="AG187" s="42" t="n"/>
      <c r="AH187" s="48" t="n"/>
      <c r="AI187" s="58" t="n"/>
    </row>
    <row r="188">
      <c r="B188" s="2">
        <f>IF(STUDENTS!B187="","",STUDENTS!B187)</f>
        <v/>
      </c>
      <c r="C188" s="44">
        <f>IFERROR(IF(B188="","",_xlfn.XLOOKUP(B188,STUDENTS!$B$3:$B$1048576,STUDENTS!$C$3:$C$1048576)),"Enter a registered reg. no")</f>
        <v/>
      </c>
      <c r="F188" s="66" t="n"/>
      <c r="G188" s="67" t="n"/>
      <c r="J188" s="66" t="n"/>
      <c r="K188" s="67" t="n"/>
      <c r="N188" s="66" t="n"/>
      <c r="O188" s="67" t="n"/>
      <c r="R188" s="66" t="n"/>
      <c r="S188" s="67" t="n"/>
      <c r="V188" s="66" t="n"/>
      <c r="W188" s="67" t="n"/>
      <c r="Z188" s="66" t="n"/>
      <c r="AA188" s="67" t="n"/>
      <c r="AD188" s="66" t="n"/>
      <c r="AE188" s="67" t="n"/>
      <c r="AH188" s="66" t="n"/>
      <c r="AI188" s="67" t="n"/>
    </row>
    <row r="189">
      <c r="B189" s="2">
        <f>IF(STUDENTS!B188="","",STUDENTS!B188)</f>
        <v/>
      </c>
      <c r="C189" s="44">
        <f>IFERROR(IF(B189="","",_xlfn.XLOOKUP(B189,STUDENTS!$B$3:$B$1048576,STUDENTS!$C$3:$C$1048576)),"Enter a registered reg. no")</f>
        <v/>
      </c>
      <c r="D189" s="54" t="n"/>
      <c r="E189" s="55" t="n"/>
      <c r="F189" s="48" t="n"/>
      <c r="G189" s="58" t="n"/>
      <c r="H189" s="62" t="n"/>
      <c r="I189" s="63" t="n"/>
      <c r="J189" s="48" t="n"/>
      <c r="K189" s="58" t="n"/>
      <c r="L189" s="42" t="n"/>
      <c r="M189" s="42" t="n"/>
      <c r="N189" s="48" t="n"/>
      <c r="O189" s="58" t="n"/>
      <c r="P189" s="42" t="n"/>
      <c r="Q189" s="42" t="n"/>
      <c r="R189" s="48" t="n"/>
      <c r="S189" s="58" t="n"/>
      <c r="T189" s="42" t="n"/>
      <c r="U189" s="42" t="n"/>
      <c r="V189" s="48" t="n"/>
      <c r="W189" s="58" t="n"/>
      <c r="X189" s="42" t="n"/>
      <c r="Y189" s="42" t="n"/>
      <c r="Z189" s="48" t="n"/>
      <c r="AA189" s="58" t="n"/>
      <c r="AB189" s="42" t="n"/>
      <c r="AC189" s="42" t="n"/>
      <c r="AD189" s="48" t="n"/>
      <c r="AE189" s="58" t="n"/>
      <c r="AF189" s="42" t="n"/>
      <c r="AG189" s="42" t="n"/>
      <c r="AH189" s="48" t="n"/>
      <c r="AI189" s="58" t="n"/>
    </row>
    <row r="190">
      <c r="B190" s="2">
        <f>IF(STUDENTS!B189="","",STUDENTS!B189)</f>
        <v/>
      </c>
      <c r="C190" s="44">
        <f>IFERROR(IF(B190="","",_xlfn.XLOOKUP(B190,STUDENTS!$B$3:$B$1048576,STUDENTS!$C$3:$C$1048576)),"Enter a registered reg. no")</f>
        <v/>
      </c>
      <c r="F190" s="66" t="n"/>
      <c r="G190" s="67" t="n"/>
      <c r="J190" s="66" t="n"/>
      <c r="K190" s="67" t="n"/>
      <c r="N190" s="66" t="n"/>
      <c r="O190" s="67" t="n"/>
      <c r="R190" s="66" t="n"/>
      <c r="S190" s="67" t="n"/>
      <c r="V190" s="66" t="n"/>
      <c r="W190" s="67" t="n"/>
      <c r="Z190" s="66" t="n"/>
      <c r="AA190" s="67" t="n"/>
      <c r="AD190" s="66" t="n"/>
      <c r="AE190" s="67" t="n"/>
      <c r="AH190" s="66" t="n"/>
      <c r="AI190" s="67" t="n"/>
    </row>
    <row r="191">
      <c r="B191" s="2">
        <f>IF(STUDENTS!B190="","",STUDENTS!B190)</f>
        <v/>
      </c>
      <c r="C191" s="44">
        <f>IFERROR(IF(B191="","",_xlfn.XLOOKUP(B191,STUDENTS!$B$3:$B$1048576,STUDENTS!$C$3:$C$1048576)),"Enter a registered reg. no")</f>
        <v/>
      </c>
      <c r="D191" s="54" t="n"/>
      <c r="E191" s="55" t="n"/>
      <c r="F191" s="48" t="n"/>
      <c r="G191" s="58" t="n"/>
      <c r="H191" s="62" t="n"/>
      <c r="I191" s="63" t="n"/>
      <c r="J191" s="48" t="n"/>
      <c r="K191" s="58" t="n"/>
      <c r="L191" s="42" t="n"/>
      <c r="M191" s="42" t="n"/>
      <c r="N191" s="48" t="n"/>
      <c r="O191" s="58" t="n"/>
      <c r="P191" s="42" t="n"/>
      <c r="Q191" s="42" t="n"/>
      <c r="R191" s="48" t="n"/>
      <c r="S191" s="58" t="n"/>
      <c r="T191" s="42" t="n"/>
      <c r="U191" s="42" t="n"/>
      <c r="V191" s="48" t="n"/>
      <c r="W191" s="58" t="n"/>
      <c r="X191" s="42" t="n"/>
      <c r="Y191" s="42" t="n"/>
      <c r="Z191" s="48" t="n"/>
      <c r="AA191" s="58" t="n"/>
      <c r="AB191" s="42" t="n"/>
      <c r="AC191" s="42" t="n"/>
      <c r="AD191" s="48" t="n"/>
      <c r="AE191" s="58" t="n"/>
      <c r="AF191" s="42" t="n"/>
      <c r="AG191" s="42" t="n"/>
      <c r="AH191" s="48" t="n"/>
      <c r="AI191" s="58" t="n"/>
    </row>
    <row r="192">
      <c r="B192" s="2">
        <f>IF(STUDENTS!B191="","",STUDENTS!B191)</f>
        <v/>
      </c>
      <c r="C192" s="44">
        <f>IFERROR(IF(B192="","",_xlfn.XLOOKUP(B192,STUDENTS!$B$3:$B$1048576,STUDENTS!$C$3:$C$1048576)),"Enter a registered reg. no")</f>
        <v/>
      </c>
      <c r="F192" s="66" t="n"/>
      <c r="G192" s="67" t="n"/>
      <c r="J192" s="66" t="n"/>
      <c r="K192" s="67" t="n"/>
      <c r="N192" s="66" t="n"/>
      <c r="O192" s="67" t="n"/>
      <c r="R192" s="66" t="n"/>
      <c r="S192" s="67" t="n"/>
      <c r="V192" s="66" t="n"/>
      <c r="W192" s="67" t="n"/>
      <c r="Z192" s="66" t="n"/>
      <c r="AA192" s="67" t="n"/>
      <c r="AD192" s="66" t="n"/>
      <c r="AE192" s="67" t="n"/>
      <c r="AH192" s="66" t="n"/>
      <c r="AI192" s="67" t="n"/>
    </row>
    <row r="193">
      <c r="B193" s="2">
        <f>IF(STUDENTS!B192="","",STUDENTS!B192)</f>
        <v/>
      </c>
      <c r="C193" s="44">
        <f>IFERROR(IF(B193="","",_xlfn.XLOOKUP(B193,STUDENTS!$B$3:$B$1048576,STUDENTS!$C$3:$C$1048576)),"Enter a registered reg. no")</f>
        <v/>
      </c>
      <c r="D193" s="54" t="n"/>
      <c r="E193" s="55" t="n"/>
      <c r="F193" s="48" t="n"/>
      <c r="G193" s="58" t="n"/>
      <c r="H193" s="62" t="n"/>
      <c r="I193" s="63" t="n"/>
      <c r="J193" s="48" t="n"/>
      <c r="K193" s="58" t="n"/>
      <c r="L193" s="42" t="n"/>
      <c r="M193" s="42" t="n"/>
      <c r="N193" s="48" t="n"/>
      <c r="O193" s="58" t="n"/>
      <c r="P193" s="42" t="n"/>
      <c r="Q193" s="42" t="n"/>
      <c r="R193" s="48" t="n"/>
      <c r="S193" s="58" t="n"/>
      <c r="T193" s="42" t="n"/>
      <c r="U193" s="42" t="n"/>
      <c r="V193" s="48" t="n"/>
      <c r="W193" s="58" t="n"/>
      <c r="X193" s="42" t="n"/>
      <c r="Y193" s="42" t="n"/>
      <c r="Z193" s="48" t="n"/>
      <c r="AA193" s="58" t="n"/>
      <c r="AB193" s="42" t="n"/>
      <c r="AC193" s="42" t="n"/>
      <c r="AD193" s="48" t="n"/>
      <c r="AE193" s="58" t="n"/>
      <c r="AF193" s="42" t="n"/>
      <c r="AG193" s="42" t="n"/>
      <c r="AH193" s="48" t="n"/>
      <c r="AI193" s="58" t="n"/>
    </row>
    <row r="194">
      <c r="B194" s="2">
        <f>IF(STUDENTS!B193="","",STUDENTS!B193)</f>
        <v/>
      </c>
      <c r="C194" s="44">
        <f>IFERROR(IF(B194="","",_xlfn.XLOOKUP(B194,STUDENTS!$B$3:$B$1048576,STUDENTS!$C$3:$C$1048576)),"Enter a registered reg. no")</f>
        <v/>
      </c>
      <c r="F194" s="66" t="n"/>
      <c r="G194" s="67" t="n"/>
      <c r="J194" s="66" t="n"/>
      <c r="K194" s="67" t="n"/>
      <c r="N194" s="66" t="n"/>
      <c r="O194" s="67" t="n"/>
      <c r="R194" s="66" t="n"/>
      <c r="S194" s="67" t="n"/>
      <c r="V194" s="66" t="n"/>
      <c r="W194" s="67" t="n"/>
      <c r="Z194" s="66" t="n"/>
      <c r="AA194" s="67" t="n"/>
      <c r="AD194" s="66" t="n"/>
      <c r="AE194" s="67" t="n"/>
      <c r="AH194" s="66" t="n"/>
      <c r="AI194" s="67" t="n"/>
    </row>
    <row r="195">
      <c r="B195" s="2">
        <f>IF(STUDENTS!B194="","",STUDENTS!B194)</f>
        <v/>
      </c>
      <c r="C195" s="44">
        <f>IFERROR(IF(B195="","",_xlfn.XLOOKUP(B195,STUDENTS!$B$3:$B$1048576,STUDENTS!$C$3:$C$1048576)),"Enter a registered reg. no")</f>
        <v/>
      </c>
      <c r="D195" s="54" t="n"/>
      <c r="E195" s="55" t="n"/>
      <c r="F195" s="48" t="n"/>
      <c r="G195" s="58" t="n"/>
      <c r="H195" s="62" t="n"/>
      <c r="I195" s="63" t="n"/>
      <c r="J195" s="48" t="n"/>
      <c r="K195" s="58" t="n"/>
      <c r="L195" s="42" t="n"/>
      <c r="M195" s="42" t="n"/>
      <c r="N195" s="48" t="n"/>
      <c r="O195" s="58" t="n"/>
      <c r="P195" s="42" t="n"/>
      <c r="Q195" s="42" t="n"/>
      <c r="R195" s="48" t="n"/>
      <c r="S195" s="58" t="n"/>
      <c r="T195" s="42" t="n"/>
      <c r="U195" s="42" t="n"/>
      <c r="V195" s="48" t="n"/>
      <c r="W195" s="58" t="n"/>
      <c r="X195" s="42" t="n"/>
      <c r="Y195" s="42" t="n"/>
      <c r="Z195" s="48" t="n"/>
      <c r="AA195" s="58" t="n"/>
      <c r="AB195" s="42" t="n"/>
      <c r="AC195" s="42" t="n"/>
      <c r="AD195" s="48" t="n"/>
      <c r="AE195" s="58" t="n"/>
      <c r="AF195" s="42" t="n"/>
      <c r="AG195" s="42" t="n"/>
      <c r="AH195" s="48" t="n"/>
      <c r="AI195" s="58" t="n"/>
    </row>
    <row r="196">
      <c r="B196" s="2">
        <f>IF(STUDENTS!B195="","",STUDENTS!B195)</f>
        <v/>
      </c>
      <c r="C196" s="44">
        <f>IFERROR(IF(B196="","",_xlfn.XLOOKUP(B196,STUDENTS!$B$3:$B$1048576,STUDENTS!$C$3:$C$1048576)),"Enter a registered reg. no")</f>
        <v/>
      </c>
      <c r="F196" s="66" t="n"/>
      <c r="G196" s="67" t="n"/>
      <c r="J196" s="66" t="n"/>
      <c r="K196" s="67" t="n"/>
      <c r="N196" s="66" t="n"/>
      <c r="O196" s="67" t="n"/>
      <c r="R196" s="66" t="n"/>
      <c r="S196" s="67" t="n"/>
      <c r="V196" s="66" t="n"/>
      <c r="W196" s="67" t="n"/>
      <c r="Z196" s="66" t="n"/>
      <c r="AA196" s="67" t="n"/>
      <c r="AD196" s="66" t="n"/>
      <c r="AE196" s="67" t="n"/>
      <c r="AH196" s="66" t="n"/>
      <c r="AI196" s="67" t="n"/>
    </row>
    <row r="197">
      <c r="B197" s="2">
        <f>IF(STUDENTS!B196="","",STUDENTS!B196)</f>
        <v/>
      </c>
      <c r="C197" s="44">
        <f>IFERROR(IF(B197="","",_xlfn.XLOOKUP(B197,STUDENTS!$B$3:$B$1048576,STUDENTS!$C$3:$C$1048576)),"Enter a registered reg. no")</f>
        <v/>
      </c>
      <c r="D197" s="54" t="n"/>
      <c r="E197" s="55" t="n"/>
      <c r="F197" s="48" t="n"/>
      <c r="G197" s="58" t="n"/>
      <c r="H197" s="62" t="n"/>
      <c r="I197" s="63" t="n"/>
      <c r="J197" s="48" t="n"/>
      <c r="K197" s="58" t="n"/>
      <c r="L197" s="42" t="n"/>
      <c r="M197" s="42" t="n"/>
      <c r="N197" s="48" t="n"/>
      <c r="O197" s="58" t="n"/>
      <c r="P197" s="42" t="n"/>
      <c r="Q197" s="42" t="n"/>
      <c r="R197" s="48" t="n"/>
      <c r="S197" s="58" t="n"/>
      <c r="T197" s="42" t="n"/>
      <c r="U197" s="42" t="n"/>
      <c r="V197" s="48" t="n"/>
      <c r="W197" s="58" t="n"/>
      <c r="X197" s="42" t="n"/>
      <c r="Y197" s="42" t="n"/>
      <c r="Z197" s="48" t="n"/>
      <c r="AA197" s="58" t="n"/>
      <c r="AB197" s="42" t="n"/>
      <c r="AC197" s="42" t="n"/>
      <c r="AD197" s="48" t="n"/>
      <c r="AE197" s="58" t="n"/>
      <c r="AF197" s="42" t="n"/>
      <c r="AG197" s="42" t="n"/>
      <c r="AH197" s="48" t="n"/>
      <c r="AI197" s="58" t="n"/>
    </row>
    <row r="198">
      <c r="B198" s="2">
        <f>IF(STUDENTS!B197="","",STUDENTS!B197)</f>
        <v/>
      </c>
      <c r="C198" s="44">
        <f>IFERROR(IF(B198="","",_xlfn.XLOOKUP(B198,STUDENTS!$B$3:$B$1048576,STUDENTS!$C$3:$C$1048576)),"Enter a registered reg. no")</f>
        <v/>
      </c>
      <c r="F198" s="66" t="n"/>
      <c r="G198" s="67" t="n"/>
      <c r="J198" s="66" t="n"/>
      <c r="K198" s="67" t="n"/>
      <c r="N198" s="66" t="n"/>
      <c r="O198" s="67" t="n"/>
      <c r="R198" s="66" t="n"/>
      <c r="S198" s="67" t="n"/>
      <c r="V198" s="66" t="n"/>
      <c r="W198" s="67" t="n"/>
      <c r="Z198" s="66" t="n"/>
      <c r="AA198" s="67" t="n"/>
      <c r="AD198" s="66" t="n"/>
      <c r="AE198" s="67" t="n"/>
      <c r="AH198" s="66" t="n"/>
      <c r="AI198" s="67" t="n"/>
    </row>
    <row r="199">
      <c r="B199" s="2">
        <f>IF(STUDENTS!B198="","",STUDENTS!B198)</f>
        <v/>
      </c>
      <c r="C199" s="44">
        <f>IFERROR(IF(B199="","",_xlfn.XLOOKUP(B199,STUDENTS!$B$3:$B$1048576,STUDENTS!$C$3:$C$1048576)),"Enter a registered reg. no")</f>
        <v/>
      </c>
      <c r="D199" s="54" t="n"/>
      <c r="E199" s="55" t="n"/>
      <c r="F199" s="48" t="n"/>
      <c r="G199" s="58" t="n"/>
      <c r="H199" s="62" t="n"/>
      <c r="I199" s="63" t="n"/>
      <c r="J199" s="48" t="n"/>
      <c r="K199" s="58" t="n"/>
      <c r="L199" s="42" t="n"/>
      <c r="M199" s="42" t="n"/>
      <c r="N199" s="48" t="n"/>
      <c r="O199" s="58" t="n"/>
      <c r="P199" s="42" t="n"/>
      <c r="Q199" s="42" t="n"/>
      <c r="R199" s="48" t="n"/>
      <c r="S199" s="58" t="n"/>
      <c r="T199" s="42" t="n"/>
      <c r="U199" s="42" t="n"/>
      <c r="V199" s="48" t="n"/>
      <c r="W199" s="58" t="n"/>
      <c r="X199" s="42" t="n"/>
      <c r="Y199" s="42" t="n"/>
      <c r="Z199" s="48" t="n"/>
      <c r="AA199" s="58" t="n"/>
      <c r="AB199" s="42" t="n"/>
      <c r="AC199" s="42" t="n"/>
      <c r="AD199" s="48" t="n"/>
      <c r="AE199" s="58" t="n"/>
      <c r="AF199" s="42" t="n"/>
      <c r="AG199" s="42" t="n"/>
      <c r="AH199" s="48" t="n"/>
      <c r="AI199" s="58" t="n"/>
    </row>
    <row r="200">
      <c r="B200" s="2">
        <f>IF(STUDENTS!B199="","",STUDENTS!B199)</f>
        <v/>
      </c>
      <c r="C200" s="44">
        <f>IFERROR(IF(B200="","",_xlfn.XLOOKUP(B200,STUDENTS!$B$3:$B$1048576,STUDENTS!$C$3:$C$1048576)),"Enter a registered reg. no")</f>
        <v/>
      </c>
      <c r="F200" s="66" t="n"/>
      <c r="G200" s="67" t="n"/>
      <c r="J200" s="66" t="n"/>
      <c r="K200" s="67" t="n"/>
      <c r="N200" s="66" t="n"/>
      <c r="O200" s="67" t="n"/>
      <c r="R200" s="66" t="n"/>
      <c r="S200" s="67" t="n"/>
      <c r="V200" s="66" t="n"/>
      <c r="W200" s="67" t="n"/>
      <c r="Z200" s="66" t="n"/>
      <c r="AA200" s="67" t="n"/>
      <c r="AD200" s="66" t="n"/>
      <c r="AE200" s="67" t="n"/>
      <c r="AH200" s="66" t="n"/>
      <c r="AI200" s="67" t="n"/>
    </row>
    <row r="201">
      <c r="B201" s="2">
        <f>IF(STUDENTS!B200="","",STUDENTS!B200)</f>
        <v/>
      </c>
      <c r="C201" s="44">
        <f>IFERROR(IF(B201="","",_xlfn.XLOOKUP(B201,STUDENTS!$B$3:$B$1048576,STUDENTS!$C$3:$C$1048576)),"Enter a registered reg. no")</f>
        <v/>
      </c>
      <c r="D201" s="54" t="n"/>
      <c r="E201" s="55" t="n"/>
      <c r="F201" s="48" t="n"/>
      <c r="G201" s="58" t="n"/>
      <c r="H201" s="62" t="n"/>
      <c r="I201" s="63" t="n"/>
      <c r="J201" s="48" t="n"/>
      <c r="K201" s="58" t="n"/>
      <c r="L201" s="42" t="n"/>
      <c r="M201" s="42" t="n"/>
      <c r="N201" s="48" t="n"/>
      <c r="O201" s="58" t="n"/>
      <c r="P201" s="42" t="n"/>
      <c r="Q201" s="42" t="n"/>
      <c r="R201" s="48" t="n"/>
      <c r="S201" s="58" t="n"/>
      <c r="T201" s="42" t="n"/>
      <c r="U201" s="42" t="n"/>
      <c r="V201" s="48" t="n"/>
      <c r="W201" s="58" t="n"/>
      <c r="X201" s="42" t="n"/>
      <c r="Y201" s="42" t="n"/>
      <c r="Z201" s="48" t="n"/>
      <c r="AA201" s="58" t="n"/>
      <c r="AB201" s="42" t="n"/>
      <c r="AC201" s="42" t="n"/>
      <c r="AD201" s="48" t="n"/>
      <c r="AE201" s="58" t="n"/>
      <c r="AF201" s="42" t="n"/>
      <c r="AG201" s="42" t="n"/>
      <c r="AH201" s="48" t="n"/>
      <c r="AI201" s="58" t="n"/>
    </row>
    <row r="202">
      <c r="B202" s="2">
        <f>IF(STUDENTS!B201="","",STUDENTS!B201)</f>
        <v/>
      </c>
      <c r="C202" s="44">
        <f>IFERROR(IF(B202="","",_xlfn.XLOOKUP(B202,STUDENTS!$B$3:$B$1048576,STUDENTS!$C$3:$C$1048576)),"Enter a registered reg. no")</f>
        <v/>
      </c>
      <c r="F202" s="66" t="n"/>
      <c r="G202" s="67" t="n"/>
      <c r="J202" s="66" t="n"/>
      <c r="K202" s="67" t="n"/>
      <c r="N202" s="66" t="n"/>
      <c r="O202" s="67" t="n"/>
      <c r="R202" s="66" t="n"/>
      <c r="S202" s="67" t="n"/>
      <c r="V202" s="66" t="n"/>
      <c r="W202" s="67" t="n"/>
      <c r="Z202" s="66" t="n"/>
      <c r="AA202" s="67" t="n"/>
      <c r="AD202" s="66" t="n"/>
      <c r="AE202" s="67" t="n"/>
      <c r="AH202" s="66" t="n"/>
      <c r="AI202" s="67" t="n"/>
    </row>
    <row r="203">
      <c r="B203" s="2">
        <f>IF(STUDENTS!B202="","",STUDENTS!B202)</f>
        <v/>
      </c>
      <c r="C203" s="44">
        <f>IFERROR(IF(B203="","",_xlfn.XLOOKUP(B203,STUDENTS!$B$3:$B$1048576,STUDENTS!$C$3:$C$1048576)),"Enter a registered reg. no")</f>
        <v/>
      </c>
      <c r="D203" s="54" t="n"/>
      <c r="E203" s="55" t="n"/>
      <c r="F203" s="48" t="n"/>
      <c r="G203" s="58" t="n"/>
      <c r="H203" s="62" t="n"/>
      <c r="I203" s="63" t="n"/>
      <c r="J203" s="48" t="n"/>
      <c r="K203" s="58" t="n"/>
      <c r="L203" s="42" t="n"/>
      <c r="M203" s="42" t="n"/>
      <c r="N203" s="48" t="n"/>
      <c r="O203" s="58" t="n"/>
      <c r="P203" s="42" t="n"/>
      <c r="Q203" s="42" t="n"/>
      <c r="R203" s="48" t="n"/>
      <c r="S203" s="58" t="n"/>
      <c r="T203" s="42" t="n"/>
      <c r="U203" s="42" t="n"/>
      <c r="V203" s="48" t="n"/>
      <c r="W203" s="58" t="n"/>
      <c r="X203" s="42" t="n"/>
      <c r="Y203" s="42" t="n"/>
      <c r="Z203" s="48" t="n"/>
      <c r="AA203" s="58" t="n"/>
      <c r="AB203" s="42" t="n"/>
      <c r="AC203" s="42" t="n"/>
      <c r="AD203" s="48" t="n"/>
      <c r="AE203" s="58" t="n"/>
      <c r="AF203" s="42" t="n"/>
      <c r="AG203" s="42" t="n"/>
      <c r="AH203" s="48" t="n"/>
      <c r="AI203" s="58" t="n"/>
    </row>
    <row r="204">
      <c r="B204" s="2">
        <f>IF(STUDENTS!B203="","",STUDENTS!B203)</f>
        <v/>
      </c>
      <c r="C204" s="44">
        <f>IFERROR(IF(B204="","",_xlfn.XLOOKUP(B204,STUDENTS!$B$3:$B$1048576,STUDENTS!$C$3:$C$1048576)),"Enter a registered reg. no")</f>
        <v/>
      </c>
      <c r="F204" s="66" t="n"/>
      <c r="G204" s="67" t="n"/>
      <c r="J204" s="66" t="n"/>
      <c r="K204" s="67" t="n"/>
      <c r="N204" s="66" t="n"/>
      <c r="O204" s="67" t="n"/>
      <c r="R204" s="66" t="n"/>
      <c r="S204" s="67" t="n"/>
      <c r="V204" s="66" t="n"/>
      <c r="W204" s="67" t="n"/>
      <c r="Z204" s="66" t="n"/>
      <c r="AA204" s="67" t="n"/>
      <c r="AD204" s="66" t="n"/>
      <c r="AE204" s="67" t="n"/>
      <c r="AH204" s="66" t="n"/>
      <c r="AI204" s="67" t="n"/>
    </row>
    <row r="205">
      <c r="B205" s="2">
        <f>IF(STUDENTS!B204="","",STUDENTS!B204)</f>
        <v/>
      </c>
      <c r="C205" s="44">
        <f>IFERROR(IF(B205="","",_xlfn.XLOOKUP(B205,STUDENTS!$B$3:$B$1048576,STUDENTS!$C$3:$C$1048576)),"Enter a registered reg. no")</f>
        <v/>
      </c>
      <c r="D205" s="54" t="n"/>
      <c r="E205" s="55" t="n"/>
      <c r="F205" s="48" t="n"/>
      <c r="G205" s="58" t="n"/>
      <c r="H205" s="62" t="n"/>
      <c r="I205" s="63" t="n"/>
      <c r="J205" s="48" t="n"/>
      <c r="K205" s="58" t="n"/>
      <c r="L205" s="42" t="n"/>
      <c r="M205" s="42" t="n"/>
      <c r="N205" s="48" t="n"/>
      <c r="O205" s="58" t="n"/>
      <c r="P205" s="42" t="n"/>
      <c r="Q205" s="42" t="n"/>
      <c r="R205" s="48" t="n"/>
      <c r="S205" s="58" t="n"/>
      <c r="T205" s="42" t="n"/>
      <c r="U205" s="42" t="n"/>
      <c r="V205" s="48" t="n"/>
      <c r="W205" s="58" t="n"/>
      <c r="X205" s="42" t="n"/>
      <c r="Y205" s="42" t="n"/>
      <c r="Z205" s="48" t="n"/>
      <c r="AA205" s="58" t="n"/>
      <c r="AB205" s="42" t="n"/>
      <c r="AC205" s="42" t="n"/>
      <c r="AD205" s="48" t="n"/>
      <c r="AE205" s="58" t="n"/>
      <c r="AF205" s="42" t="n"/>
      <c r="AG205" s="42" t="n"/>
      <c r="AH205" s="48" t="n"/>
      <c r="AI205" s="58" t="n"/>
    </row>
    <row r="206">
      <c r="B206" s="2">
        <f>IF(STUDENTS!B205="","",STUDENTS!B205)</f>
        <v/>
      </c>
      <c r="C206" s="44">
        <f>IFERROR(IF(B206="","",_xlfn.XLOOKUP(B206,STUDENTS!$B$3:$B$1048576,STUDENTS!$C$3:$C$1048576)),"Enter a registered reg. no")</f>
        <v/>
      </c>
      <c r="F206" s="66" t="n"/>
      <c r="G206" s="67" t="n"/>
      <c r="J206" s="66" t="n"/>
      <c r="K206" s="67" t="n"/>
      <c r="N206" s="66" t="n"/>
      <c r="O206" s="67" t="n"/>
      <c r="R206" s="66" t="n"/>
      <c r="S206" s="67" t="n"/>
      <c r="V206" s="66" t="n"/>
      <c r="W206" s="67" t="n"/>
      <c r="Z206" s="66" t="n"/>
      <c r="AA206" s="67" t="n"/>
      <c r="AD206" s="66" t="n"/>
      <c r="AE206" s="67" t="n"/>
      <c r="AH206" s="66" t="n"/>
      <c r="AI206" s="67" t="n"/>
    </row>
    <row r="207">
      <c r="B207" s="2">
        <f>IF(STUDENTS!B206="","",STUDENTS!B206)</f>
        <v/>
      </c>
      <c r="C207" s="44">
        <f>IFERROR(IF(B207="","",_xlfn.XLOOKUP(B207,STUDENTS!$B$3:$B$1048576,STUDENTS!$C$3:$C$1048576)),"Enter a registered reg. no")</f>
        <v/>
      </c>
      <c r="D207" s="54" t="n"/>
      <c r="E207" s="55" t="n"/>
      <c r="F207" s="48" t="n"/>
      <c r="G207" s="58" t="n"/>
      <c r="H207" s="62" t="n"/>
      <c r="I207" s="63" t="n"/>
      <c r="J207" s="48" t="n"/>
      <c r="K207" s="58" t="n"/>
      <c r="L207" s="42" t="n"/>
      <c r="M207" s="42" t="n"/>
      <c r="N207" s="48" t="n"/>
      <c r="O207" s="58" t="n"/>
      <c r="P207" s="42" t="n"/>
      <c r="Q207" s="42" t="n"/>
      <c r="R207" s="48" t="n"/>
      <c r="S207" s="58" t="n"/>
      <c r="T207" s="42" t="n"/>
      <c r="U207" s="42" t="n"/>
      <c r="V207" s="48" t="n"/>
      <c r="W207" s="58" t="n"/>
      <c r="X207" s="42" t="n"/>
      <c r="Y207" s="42" t="n"/>
      <c r="Z207" s="48" t="n"/>
      <c r="AA207" s="58" t="n"/>
      <c r="AB207" s="42" t="n"/>
      <c r="AC207" s="42" t="n"/>
      <c r="AD207" s="48" t="n"/>
      <c r="AE207" s="58" t="n"/>
      <c r="AF207" s="42" t="n"/>
      <c r="AG207" s="42" t="n"/>
      <c r="AH207" s="48" t="n"/>
      <c r="AI207" s="58" t="n"/>
    </row>
    <row r="208">
      <c r="B208" s="2">
        <f>IF(STUDENTS!B207="","",STUDENTS!B207)</f>
        <v/>
      </c>
      <c r="C208" s="44">
        <f>IFERROR(IF(B208="","",_xlfn.XLOOKUP(B208,STUDENTS!$B$3:$B$1048576,STUDENTS!$C$3:$C$1048576)),"Enter a registered reg. no")</f>
        <v/>
      </c>
      <c r="F208" s="66" t="n"/>
      <c r="G208" s="67" t="n"/>
      <c r="J208" s="66" t="n"/>
      <c r="K208" s="67" t="n"/>
      <c r="N208" s="66" t="n"/>
      <c r="O208" s="67" t="n"/>
      <c r="R208" s="66" t="n"/>
      <c r="S208" s="67" t="n"/>
      <c r="V208" s="66" t="n"/>
      <c r="W208" s="67" t="n"/>
      <c r="Z208" s="66" t="n"/>
      <c r="AA208" s="67" t="n"/>
      <c r="AD208" s="66" t="n"/>
      <c r="AE208" s="67" t="n"/>
      <c r="AH208" s="66" t="n"/>
      <c r="AI208" s="67" t="n"/>
    </row>
    <row r="209">
      <c r="B209" s="2">
        <f>IF(STUDENTS!B208="","",STUDENTS!B208)</f>
        <v/>
      </c>
      <c r="C209" s="44">
        <f>IFERROR(IF(B209="","",_xlfn.XLOOKUP(B209,STUDENTS!$B$3:$B$1048576,STUDENTS!$C$3:$C$1048576)),"Enter a registered reg. no")</f>
        <v/>
      </c>
      <c r="D209" s="54" t="n"/>
      <c r="E209" s="55" t="n"/>
      <c r="F209" s="48" t="n"/>
      <c r="G209" s="58" t="n"/>
      <c r="H209" s="62" t="n"/>
      <c r="I209" s="63" t="n"/>
      <c r="J209" s="48" t="n"/>
      <c r="K209" s="58" t="n"/>
      <c r="L209" s="42" t="n"/>
      <c r="M209" s="42" t="n"/>
      <c r="N209" s="48" t="n"/>
      <c r="O209" s="58" t="n"/>
      <c r="P209" s="42" t="n"/>
      <c r="Q209" s="42" t="n"/>
      <c r="R209" s="48" t="n"/>
      <c r="S209" s="58" t="n"/>
      <c r="T209" s="42" t="n"/>
      <c r="U209" s="42" t="n"/>
      <c r="V209" s="48" t="n"/>
      <c r="W209" s="58" t="n"/>
      <c r="X209" s="42" t="n"/>
      <c r="Y209" s="42" t="n"/>
      <c r="Z209" s="48" t="n"/>
      <c r="AA209" s="58" t="n"/>
      <c r="AB209" s="42" t="n"/>
      <c r="AC209" s="42" t="n"/>
      <c r="AD209" s="48" t="n"/>
      <c r="AE209" s="58" t="n"/>
      <c r="AF209" s="42" t="n"/>
      <c r="AG209" s="42" t="n"/>
      <c r="AH209" s="48" t="n"/>
      <c r="AI209" s="58" t="n"/>
    </row>
    <row r="210">
      <c r="B210" s="2">
        <f>IF(STUDENTS!B209="","",STUDENTS!B209)</f>
        <v/>
      </c>
      <c r="C210" s="44">
        <f>IFERROR(IF(B210="","",_xlfn.XLOOKUP(B210,STUDENTS!$B$3:$B$1048576,STUDENTS!$C$3:$C$1048576)),"Enter a registered reg. no")</f>
        <v/>
      </c>
      <c r="F210" s="66" t="n"/>
      <c r="G210" s="67" t="n"/>
      <c r="J210" s="66" t="n"/>
      <c r="K210" s="67" t="n"/>
      <c r="N210" s="66" t="n"/>
      <c r="O210" s="67" t="n"/>
      <c r="R210" s="66" t="n"/>
      <c r="S210" s="67" t="n"/>
      <c r="V210" s="66" t="n"/>
      <c r="W210" s="67" t="n"/>
      <c r="Z210" s="66" t="n"/>
      <c r="AA210" s="67" t="n"/>
      <c r="AD210" s="66" t="n"/>
      <c r="AE210" s="67" t="n"/>
      <c r="AH210" s="66" t="n"/>
      <c r="AI210" s="67" t="n"/>
    </row>
    <row r="211">
      <c r="B211" s="2">
        <f>IF(STUDENTS!B210="","",STUDENTS!B210)</f>
        <v/>
      </c>
      <c r="C211" s="44">
        <f>IFERROR(IF(B211="","",_xlfn.XLOOKUP(B211,STUDENTS!$B$3:$B$1048576,STUDENTS!$C$3:$C$1048576)),"Enter a registered reg. no")</f>
        <v/>
      </c>
      <c r="D211" s="54" t="n"/>
      <c r="E211" s="55" t="n"/>
      <c r="F211" s="48" t="n"/>
      <c r="G211" s="58" t="n"/>
      <c r="H211" s="62" t="n"/>
      <c r="I211" s="63" t="n"/>
      <c r="J211" s="48" t="n"/>
      <c r="K211" s="58" t="n"/>
      <c r="L211" s="42" t="n"/>
      <c r="M211" s="42" t="n"/>
      <c r="N211" s="48" t="n"/>
      <c r="O211" s="58" t="n"/>
      <c r="P211" s="42" t="n"/>
      <c r="Q211" s="42" t="n"/>
      <c r="R211" s="48" t="n"/>
      <c r="S211" s="58" t="n"/>
      <c r="T211" s="42" t="n"/>
      <c r="U211" s="42" t="n"/>
      <c r="V211" s="48" t="n"/>
      <c r="W211" s="58" t="n"/>
      <c r="X211" s="42" t="n"/>
      <c r="Y211" s="42" t="n"/>
      <c r="Z211" s="48" t="n"/>
      <c r="AA211" s="58" t="n"/>
      <c r="AB211" s="42" t="n"/>
      <c r="AC211" s="42" t="n"/>
      <c r="AD211" s="48" t="n"/>
      <c r="AE211" s="58" t="n"/>
      <c r="AF211" s="42" t="n"/>
      <c r="AG211" s="42" t="n"/>
      <c r="AH211" s="48" t="n"/>
      <c r="AI211" s="58" t="n"/>
    </row>
    <row r="212">
      <c r="B212" s="2">
        <f>IF(STUDENTS!B211="","",STUDENTS!B211)</f>
        <v/>
      </c>
      <c r="C212" s="44">
        <f>IFERROR(IF(B212="","",_xlfn.XLOOKUP(B212,STUDENTS!$B$3:$B$1048576,STUDENTS!$C$3:$C$1048576)),"Enter a registered reg. no")</f>
        <v/>
      </c>
      <c r="F212" s="66" t="n"/>
      <c r="G212" s="67" t="n"/>
      <c r="J212" s="66" t="n"/>
      <c r="K212" s="67" t="n"/>
      <c r="N212" s="66" t="n"/>
      <c r="O212" s="67" t="n"/>
      <c r="R212" s="66" t="n"/>
      <c r="S212" s="67" t="n"/>
      <c r="V212" s="66" t="n"/>
      <c r="W212" s="67" t="n"/>
      <c r="Z212" s="66" t="n"/>
      <c r="AA212" s="67" t="n"/>
      <c r="AD212" s="66" t="n"/>
      <c r="AE212" s="67" t="n"/>
      <c r="AH212" s="66" t="n"/>
      <c r="AI212" s="67" t="n"/>
    </row>
    <row r="213">
      <c r="B213" s="2">
        <f>IF(STUDENTS!B212="","",STUDENTS!B212)</f>
        <v/>
      </c>
      <c r="C213" s="44">
        <f>IFERROR(IF(B213="","",_xlfn.XLOOKUP(B213,STUDENTS!$B$3:$B$1048576,STUDENTS!$C$3:$C$1048576)),"Enter a registered reg. no")</f>
        <v/>
      </c>
      <c r="D213" s="54" t="n"/>
      <c r="E213" s="55" t="n"/>
      <c r="F213" s="48" t="n"/>
      <c r="G213" s="58" t="n"/>
      <c r="H213" s="62" t="n"/>
      <c r="I213" s="63" t="n"/>
      <c r="J213" s="48" t="n"/>
      <c r="K213" s="58" t="n"/>
      <c r="L213" s="42" t="n"/>
      <c r="M213" s="42" t="n"/>
      <c r="N213" s="48" t="n"/>
      <c r="O213" s="58" t="n"/>
      <c r="P213" s="42" t="n"/>
      <c r="Q213" s="42" t="n"/>
      <c r="R213" s="48" t="n"/>
      <c r="S213" s="58" t="n"/>
      <c r="T213" s="42" t="n"/>
      <c r="U213" s="42" t="n"/>
      <c r="V213" s="48" t="n"/>
      <c r="W213" s="58" t="n"/>
      <c r="X213" s="42" t="n"/>
      <c r="Y213" s="42" t="n"/>
      <c r="Z213" s="48" t="n"/>
      <c r="AA213" s="58" t="n"/>
      <c r="AB213" s="42" t="n"/>
      <c r="AC213" s="42" t="n"/>
      <c r="AD213" s="48" t="n"/>
      <c r="AE213" s="58" t="n"/>
      <c r="AF213" s="42" t="n"/>
      <c r="AG213" s="42" t="n"/>
      <c r="AH213" s="48" t="n"/>
      <c r="AI213" s="58" t="n"/>
    </row>
    <row r="214">
      <c r="B214" s="2">
        <f>IF(STUDENTS!B213="","",STUDENTS!B213)</f>
        <v/>
      </c>
      <c r="C214" s="44">
        <f>IFERROR(IF(B214="","",_xlfn.XLOOKUP(B214,STUDENTS!$B$3:$B$1048576,STUDENTS!$C$3:$C$1048576)),"Enter a registered reg. no")</f>
        <v/>
      </c>
      <c r="F214" s="66" t="n"/>
      <c r="G214" s="67" t="n"/>
      <c r="J214" s="66" t="n"/>
      <c r="K214" s="67" t="n"/>
      <c r="N214" s="66" t="n"/>
      <c r="O214" s="67" t="n"/>
      <c r="R214" s="66" t="n"/>
      <c r="S214" s="67" t="n"/>
      <c r="V214" s="66" t="n"/>
      <c r="W214" s="67" t="n"/>
      <c r="Z214" s="66" t="n"/>
      <c r="AA214" s="67" t="n"/>
      <c r="AD214" s="66" t="n"/>
      <c r="AE214" s="67" t="n"/>
      <c r="AH214" s="66" t="n"/>
      <c r="AI214" s="67" t="n"/>
    </row>
    <row r="215">
      <c r="B215" s="2">
        <f>IF(STUDENTS!B214="","",STUDENTS!B214)</f>
        <v/>
      </c>
      <c r="C215" s="44">
        <f>IFERROR(IF(B215="","",_xlfn.XLOOKUP(B215,STUDENTS!$B$3:$B$1048576,STUDENTS!$C$3:$C$1048576)),"Enter a registered reg. no")</f>
        <v/>
      </c>
      <c r="D215" s="54" t="n"/>
      <c r="E215" s="55" t="n"/>
      <c r="F215" s="48" t="n"/>
      <c r="G215" s="58" t="n"/>
      <c r="H215" s="62" t="n"/>
      <c r="I215" s="63" t="n"/>
      <c r="J215" s="48" t="n"/>
      <c r="K215" s="58" t="n"/>
      <c r="L215" s="42" t="n"/>
      <c r="M215" s="42" t="n"/>
      <c r="N215" s="48" t="n"/>
      <c r="O215" s="58" t="n"/>
      <c r="P215" s="42" t="n"/>
      <c r="Q215" s="42" t="n"/>
      <c r="R215" s="48" t="n"/>
      <c r="S215" s="58" t="n"/>
      <c r="T215" s="42" t="n"/>
      <c r="U215" s="42" t="n"/>
      <c r="V215" s="48" t="n"/>
      <c r="W215" s="58" t="n"/>
      <c r="X215" s="42" t="n"/>
      <c r="Y215" s="42" t="n"/>
      <c r="Z215" s="48" t="n"/>
      <c r="AA215" s="58" t="n"/>
      <c r="AB215" s="42" t="n"/>
      <c r="AC215" s="42" t="n"/>
      <c r="AD215" s="48" t="n"/>
      <c r="AE215" s="58" t="n"/>
      <c r="AF215" s="42" t="n"/>
      <c r="AG215" s="42" t="n"/>
      <c r="AH215" s="48" t="n"/>
      <c r="AI215" s="58" t="n"/>
    </row>
    <row r="216">
      <c r="B216" s="2">
        <f>IF(STUDENTS!B215="","",STUDENTS!B215)</f>
        <v/>
      </c>
      <c r="C216" s="44">
        <f>IFERROR(IF(B216="","",_xlfn.XLOOKUP(B216,STUDENTS!$B$3:$B$1048576,STUDENTS!$C$3:$C$1048576)),"Enter a registered reg. no")</f>
        <v/>
      </c>
      <c r="F216" s="66" t="n"/>
      <c r="G216" s="67" t="n"/>
      <c r="J216" s="66" t="n"/>
      <c r="K216" s="67" t="n"/>
      <c r="N216" s="66" t="n"/>
      <c r="O216" s="67" t="n"/>
      <c r="R216" s="66" t="n"/>
      <c r="S216" s="67" t="n"/>
      <c r="V216" s="66" t="n"/>
      <c r="W216" s="67" t="n"/>
      <c r="Z216" s="66" t="n"/>
      <c r="AA216" s="67" t="n"/>
      <c r="AD216" s="66" t="n"/>
      <c r="AE216" s="67" t="n"/>
      <c r="AH216" s="66" t="n"/>
      <c r="AI216" s="67" t="n"/>
    </row>
    <row r="217">
      <c r="B217" s="2">
        <f>IF(STUDENTS!B216="","",STUDENTS!B216)</f>
        <v/>
      </c>
      <c r="C217" s="44">
        <f>IFERROR(IF(B217="","",_xlfn.XLOOKUP(B217,STUDENTS!$B$3:$B$1048576,STUDENTS!$C$3:$C$1048576)),"Enter a registered reg. no")</f>
        <v/>
      </c>
      <c r="D217" s="54" t="n"/>
      <c r="E217" s="55" t="n"/>
      <c r="F217" s="48" t="n"/>
      <c r="G217" s="58" t="n"/>
      <c r="H217" s="62" t="n"/>
      <c r="I217" s="63" t="n"/>
      <c r="J217" s="48" t="n"/>
      <c r="K217" s="58" t="n"/>
      <c r="L217" s="42" t="n"/>
      <c r="M217" s="42" t="n"/>
      <c r="N217" s="48" t="n"/>
      <c r="O217" s="58" t="n"/>
      <c r="P217" s="42" t="n"/>
      <c r="Q217" s="42" t="n"/>
      <c r="R217" s="48" t="n"/>
      <c r="S217" s="58" t="n"/>
      <c r="T217" s="42" t="n"/>
      <c r="U217" s="42" t="n"/>
      <c r="V217" s="48" t="n"/>
      <c r="W217" s="58" t="n"/>
      <c r="X217" s="42" t="n"/>
      <c r="Y217" s="42" t="n"/>
      <c r="Z217" s="48" t="n"/>
      <c r="AA217" s="58" t="n"/>
      <c r="AB217" s="42" t="n"/>
      <c r="AC217" s="42" t="n"/>
      <c r="AD217" s="48" t="n"/>
      <c r="AE217" s="58" t="n"/>
      <c r="AF217" s="42" t="n"/>
      <c r="AG217" s="42" t="n"/>
      <c r="AH217" s="48" t="n"/>
      <c r="AI217" s="58" t="n"/>
    </row>
    <row r="218">
      <c r="B218" s="2">
        <f>IF(STUDENTS!B217="","",STUDENTS!B217)</f>
        <v/>
      </c>
      <c r="C218" s="44">
        <f>IFERROR(IF(B218="","",_xlfn.XLOOKUP(B218,STUDENTS!$B$3:$B$1048576,STUDENTS!$C$3:$C$1048576)),"Enter a registered reg. no")</f>
        <v/>
      </c>
      <c r="F218" s="66" t="n"/>
      <c r="G218" s="67" t="n"/>
      <c r="J218" s="66" t="n"/>
      <c r="K218" s="67" t="n"/>
      <c r="N218" s="66" t="n"/>
      <c r="O218" s="67" t="n"/>
      <c r="R218" s="66" t="n"/>
      <c r="S218" s="67" t="n"/>
      <c r="V218" s="66" t="n"/>
      <c r="W218" s="67" t="n"/>
      <c r="Z218" s="66" t="n"/>
      <c r="AA218" s="67" t="n"/>
      <c r="AD218" s="66" t="n"/>
      <c r="AE218" s="67" t="n"/>
      <c r="AH218" s="66" t="n"/>
      <c r="AI218" s="67" t="n"/>
    </row>
    <row r="219">
      <c r="B219" s="2">
        <f>IF(STUDENTS!B218="","",STUDENTS!B218)</f>
        <v/>
      </c>
      <c r="C219" s="44">
        <f>IFERROR(IF(B219="","",_xlfn.XLOOKUP(B219,STUDENTS!$B$3:$B$1048576,STUDENTS!$C$3:$C$1048576)),"Enter a registered reg. no")</f>
        <v/>
      </c>
      <c r="D219" s="54" t="n"/>
      <c r="E219" s="55" t="n"/>
      <c r="F219" s="48" t="n"/>
      <c r="G219" s="58" t="n"/>
      <c r="H219" s="62" t="n"/>
      <c r="I219" s="63" t="n"/>
      <c r="J219" s="48" t="n"/>
      <c r="K219" s="58" t="n"/>
      <c r="L219" s="42" t="n"/>
      <c r="M219" s="42" t="n"/>
      <c r="N219" s="48" t="n"/>
      <c r="O219" s="58" t="n"/>
      <c r="P219" s="42" t="n"/>
      <c r="Q219" s="42" t="n"/>
      <c r="R219" s="48" t="n"/>
      <c r="S219" s="58" t="n"/>
      <c r="T219" s="42" t="n"/>
      <c r="U219" s="42" t="n"/>
      <c r="V219" s="48" t="n"/>
      <c r="W219" s="58" t="n"/>
      <c r="X219" s="42" t="n"/>
      <c r="Y219" s="42" t="n"/>
      <c r="Z219" s="48" t="n"/>
      <c r="AA219" s="58" t="n"/>
      <c r="AB219" s="42" t="n"/>
      <c r="AC219" s="42" t="n"/>
      <c r="AD219" s="48" t="n"/>
      <c r="AE219" s="58" t="n"/>
      <c r="AF219" s="42" t="n"/>
      <c r="AG219" s="42" t="n"/>
      <c r="AH219" s="48" t="n"/>
      <c r="AI219" s="58" t="n"/>
    </row>
    <row r="220">
      <c r="B220" s="2">
        <f>IF(STUDENTS!B219="","",STUDENTS!B219)</f>
        <v/>
      </c>
      <c r="C220" s="44">
        <f>IFERROR(IF(B220="","",_xlfn.XLOOKUP(B220,STUDENTS!$B$3:$B$1048576,STUDENTS!$C$3:$C$1048576)),"Enter a registered reg. no")</f>
        <v/>
      </c>
      <c r="F220" s="66" t="n"/>
      <c r="G220" s="67" t="n"/>
      <c r="J220" s="66" t="n"/>
      <c r="K220" s="67" t="n"/>
      <c r="N220" s="66" t="n"/>
      <c r="O220" s="67" t="n"/>
      <c r="R220" s="66" t="n"/>
      <c r="S220" s="67" t="n"/>
      <c r="V220" s="66" t="n"/>
      <c r="W220" s="67" t="n"/>
      <c r="Z220" s="66" t="n"/>
      <c r="AA220" s="67" t="n"/>
      <c r="AD220" s="66" t="n"/>
      <c r="AE220" s="67" t="n"/>
      <c r="AH220" s="66" t="n"/>
      <c r="AI220" s="67" t="n"/>
    </row>
    <row r="221">
      <c r="B221" s="2">
        <f>IF(STUDENTS!B220="","",STUDENTS!B220)</f>
        <v/>
      </c>
      <c r="C221" s="44">
        <f>IFERROR(IF(B221="","",_xlfn.XLOOKUP(B221,STUDENTS!$B$3:$B$1048576,STUDENTS!$C$3:$C$1048576)),"Enter a registered reg. no")</f>
        <v/>
      </c>
      <c r="D221" s="54" t="n"/>
      <c r="E221" s="55" t="n"/>
      <c r="F221" s="48" t="n"/>
      <c r="G221" s="58" t="n"/>
      <c r="H221" s="62" t="n"/>
      <c r="I221" s="63" t="n"/>
      <c r="J221" s="48" t="n"/>
      <c r="K221" s="58" t="n"/>
      <c r="L221" s="42" t="n"/>
      <c r="M221" s="42" t="n"/>
      <c r="N221" s="48" t="n"/>
      <c r="O221" s="58" t="n"/>
      <c r="P221" s="42" t="n"/>
      <c r="Q221" s="42" t="n"/>
      <c r="R221" s="48" t="n"/>
      <c r="S221" s="58" t="n"/>
      <c r="T221" s="42" t="n"/>
      <c r="U221" s="42" t="n"/>
      <c r="V221" s="48" t="n"/>
      <c r="W221" s="58" t="n"/>
      <c r="X221" s="42" t="n"/>
      <c r="Y221" s="42" t="n"/>
      <c r="Z221" s="48" t="n"/>
      <c r="AA221" s="58" t="n"/>
      <c r="AB221" s="42" t="n"/>
      <c r="AC221" s="42" t="n"/>
      <c r="AD221" s="48" t="n"/>
      <c r="AE221" s="58" t="n"/>
      <c r="AF221" s="42" t="n"/>
      <c r="AG221" s="42" t="n"/>
      <c r="AH221" s="48" t="n"/>
      <c r="AI221" s="58" t="n"/>
    </row>
    <row r="222">
      <c r="B222" s="2">
        <f>IF(STUDENTS!B221="","",STUDENTS!B221)</f>
        <v/>
      </c>
      <c r="C222" s="44">
        <f>IFERROR(IF(B222="","",_xlfn.XLOOKUP(B222,STUDENTS!$B$3:$B$1048576,STUDENTS!$C$3:$C$1048576)),"Enter a registered reg. no")</f>
        <v/>
      </c>
      <c r="F222" s="66" t="n"/>
      <c r="G222" s="67" t="n"/>
      <c r="J222" s="66" t="n"/>
      <c r="K222" s="67" t="n"/>
      <c r="N222" s="66" t="n"/>
      <c r="O222" s="67" t="n"/>
      <c r="R222" s="66" t="n"/>
      <c r="S222" s="67" t="n"/>
      <c r="V222" s="66" t="n"/>
      <c r="W222" s="67" t="n"/>
      <c r="Z222" s="66" t="n"/>
      <c r="AA222" s="67" t="n"/>
      <c r="AD222" s="66" t="n"/>
      <c r="AE222" s="67" t="n"/>
      <c r="AH222" s="66" t="n"/>
      <c r="AI222" s="67" t="n"/>
    </row>
    <row r="223">
      <c r="B223" s="2">
        <f>IF(STUDENTS!B222="","",STUDENTS!B222)</f>
        <v/>
      </c>
      <c r="C223" s="44">
        <f>IFERROR(IF(B223="","",_xlfn.XLOOKUP(B223,STUDENTS!$B$3:$B$1048576,STUDENTS!$C$3:$C$1048576)),"Enter a registered reg. no")</f>
        <v/>
      </c>
      <c r="D223" s="54" t="n"/>
      <c r="E223" s="55" t="n"/>
      <c r="F223" s="48" t="n"/>
      <c r="G223" s="58" t="n"/>
      <c r="H223" s="62" t="n"/>
      <c r="I223" s="63" t="n"/>
      <c r="J223" s="48" t="n"/>
      <c r="K223" s="58" t="n"/>
      <c r="L223" s="42" t="n"/>
      <c r="M223" s="42" t="n"/>
      <c r="N223" s="48" t="n"/>
      <c r="O223" s="58" t="n"/>
      <c r="P223" s="42" t="n"/>
      <c r="Q223" s="42" t="n"/>
      <c r="R223" s="48" t="n"/>
      <c r="S223" s="58" t="n"/>
      <c r="T223" s="42" t="n"/>
      <c r="U223" s="42" t="n"/>
      <c r="V223" s="48" t="n"/>
      <c r="W223" s="58" t="n"/>
      <c r="X223" s="42" t="n"/>
      <c r="Y223" s="42" t="n"/>
      <c r="Z223" s="48" t="n"/>
      <c r="AA223" s="58" t="n"/>
      <c r="AB223" s="42" t="n"/>
      <c r="AC223" s="42" t="n"/>
      <c r="AD223" s="48" t="n"/>
      <c r="AE223" s="58" t="n"/>
      <c r="AF223" s="42" t="n"/>
      <c r="AG223" s="42" t="n"/>
      <c r="AH223" s="48" t="n"/>
      <c r="AI223" s="58" t="n"/>
    </row>
    <row r="224">
      <c r="B224" s="2">
        <f>IF(STUDENTS!B223="","",STUDENTS!B223)</f>
        <v/>
      </c>
      <c r="C224" s="44">
        <f>IFERROR(IF(B224="","",_xlfn.XLOOKUP(B224,STUDENTS!$B$3:$B$1048576,STUDENTS!$C$3:$C$1048576)),"Enter a registered reg. no")</f>
        <v/>
      </c>
      <c r="F224" s="66" t="n"/>
      <c r="G224" s="67" t="n"/>
      <c r="J224" s="66" t="n"/>
      <c r="K224" s="67" t="n"/>
      <c r="N224" s="66" t="n"/>
      <c r="O224" s="67" t="n"/>
      <c r="R224" s="66" t="n"/>
      <c r="S224" s="67" t="n"/>
      <c r="V224" s="66" t="n"/>
      <c r="W224" s="67" t="n"/>
      <c r="Z224" s="66" t="n"/>
      <c r="AA224" s="67" t="n"/>
      <c r="AD224" s="66" t="n"/>
      <c r="AE224" s="67" t="n"/>
      <c r="AH224" s="66" t="n"/>
      <c r="AI224" s="67" t="n"/>
    </row>
    <row r="225">
      <c r="B225" s="2">
        <f>IF(STUDENTS!B224="","",STUDENTS!B224)</f>
        <v/>
      </c>
      <c r="C225" s="44">
        <f>IFERROR(IF(B225="","",_xlfn.XLOOKUP(B225,STUDENTS!$B$3:$B$1048576,STUDENTS!$C$3:$C$1048576)),"Enter a registered reg. no")</f>
        <v/>
      </c>
      <c r="D225" s="54" t="n"/>
      <c r="E225" s="55" t="n"/>
      <c r="F225" s="48" t="n"/>
      <c r="G225" s="58" t="n"/>
      <c r="H225" s="62" t="n"/>
      <c r="I225" s="63" t="n"/>
      <c r="J225" s="48" t="n"/>
      <c r="K225" s="58" t="n"/>
      <c r="L225" s="42" t="n"/>
      <c r="M225" s="42" t="n"/>
      <c r="N225" s="48" t="n"/>
      <c r="O225" s="58" t="n"/>
      <c r="P225" s="42" t="n"/>
      <c r="Q225" s="42" t="n"/>
      <c r="R225" s="48" t="n"/>
      <c r="S225" s="58" t="n"/>
      <c r="T225" s="42" t="n"/>
      <c r="U225" s="42" t="n"/>
      <c r="V225" s="48" t="n"/>
      <c r="W225" s="58" t="n"/>
      <c r="X225" s="42" t="n"/>
      <c r="Y225" s="42" t="n"/>
      <c r="Z225" s="48" t="n"/>
      <c r="AA225" s="58" t="n"/>
      <c r="AB225" s="42" t="n"/>
      <c r="AC225" s="42" t="n"/>
      <c r="AD225" s="48" t="n"/>
      <c r="AE225" s="58" t="n"/>
      <c r="AF225" s="42" t="n"/>
      <c r="AG225" s="42" t="n"/>
      <c r="AH225" s="48" t="n"/>
      <c r="AI225" s="58" t="n"/>
    </row>
    <row r="226">
      <c r="B226" s="2">
        <f>IF(STUDENTS!B225="","",STUDENTS!B225)</f>
        <v/>
      </c>
      <c r="C226" s="44">
        <f>IFERROR(IF(B226="","",_xlfn.XLOOKUP(B226,STUDENTS!$B$3:$B$1048576,STUDENTS!$C$3:$C$1048576)),"Enter a registered reg. no")</f>
        <v/>
      </c>
      <c r="F226" s="66" t="n"/>
      <c r="G226" s="67" t="n"/>
      <c r="J226" s="66" t="n"/>
      <c r="K226" s="67" t="n"/>
      <c r="N226" s="66" t="n"/>
      <c r="O226" s="67" t="n"/>
      <c r="R226" s="66" t="n"/>
      <c r="S226" s="67" t="n"/>
      <c r="V226" s="66" t="n"/>
      <c r="W226" s="67" t="n"/>
      <c r="Z226" s="66" t="n"/>
      <c r="AA226" s="67" t="n"/>
      <c r="AD226" s="66" t="n"/>
      <c r="AE226" s="67" t="n"/>
      <c r="AH226" s="66" t="n"/>
      <c r="AI226" s="67" t="n"/>
    </row>
    <row r="227">
      <c r="B227" s="2">
        <f>IF(STUDENTS!B226="","",STUDENTS!B226)</f>
        <v/>
      </c>
      <c r="C227" s="44">
        <f>IFERROR(IF(B227="","",_xlfn.XLOOKUP(B227,STUDENTS!$B$3:$B$1048576,STUDENTS!$C$3:$C$1048576)),"Enter a registered reg. no")</f>
        <v/>
      </c>
      <c r="D227" s="54" t="n"/>
      <c r="E227" s="55" t="n"/>
      <c r="F227" s="48" t="n"/>
      <c r="G227" s="58" t="n"/>
      <c r="H227" s="62" t="n"/>
      <c r="I227" s="63" t="n"/>
      <c r="J227" s="48" t="n"/>
      <c r="K227" s="58" t="n"/>
      <c r="L227" s="42" t="n"/>
      <c r="M227" s="42" t="n"/>
      <c r="N227" s="48" t="n"/>
      <c r="O227" s="58" t="n"/>
      <c r="P227" s="42" t="n"/>
      <c r="Q227" s="42" t="n"/>
      <c r="R227" s="48" t="n"/>
      <c r="S227" s="58" t="n"/>
      <c r="T227" s="42" t="n"/>
      <c r="U227" s="42" t="n"/>
      <c r="V227" s="48" t="n"/>
      <c r="W227" s="58" t="n"/>
      <c r="X227" s="42" t="n"/>
      <c r="Y227" s="42" t="n"/>
      <c r="Z227" s="48" t="n"/>
      <c r="AA227" s="58" t="n"/>
      <c r="AB227" s="42" t="n"/>
      <c r="AC227" s="42" t="n"/>
      <c r="AD227" s="48" t="n"/>
      <c r="AE227" s="58" t="n"/>
      <c r="AF227" s="42" t="n"/>
      <c r="AG227" s="42" t="n"/>
      <c r="AH227" s="48" t="n"/>
      <c r="AI227" s="58" t="n"/>
    </row>
    <row r="228">
      <c r="B228" s="2">
        <f>IF(STUDENTS!B227="","",STUDENTS!B227)</f>
        <v/>
      </c>
      <c r="C228" s="44">
        <f>IFERROR(IF(B228="","",_xlfn.XLOOKUP(B228,STUDENTS!$B$3:$B$1048576,STUDENTS!$C$3:$C$1048576)),"Enter a registered reg. no")</f>
        <v/>
      </c>
      <c r="F228" s="66" t="n"/>
      <c r="G228" s="67" t="n"/>
      <c r="J228" s="66" t="n"/>
      <c r="K228" s="67" t="n"/>
      <c r="N228" s="66" t="n"/>
      <c r="O228" s="67" t="n"/>
      <c r="R228" s="66" t="n"/>
      <c r="S228" s="67" t="n"/>
      <c r="V228" s="66" t="n"/>
      <c r="W228" s="67" t="n"/>
      <c r="Z228" s="66" t="n"/>
      <c r="AA228" s="67" t="n"/>
      <c r="AD228" s="66" t="n"/>
      <c r="AE228" s="67" t="n"/>
      <c r="AH228" s="66" t="n"/>
      <c r="AI228" s="67" t="n"/>
    </row>
    <row r="229">
      <c r="B229" s="2">
        <f>IF(STUDENTS!B228="","",STUDENTS!B228)</f>
        <v/>
      </c>
      <c r="C229" s="44">
        <f>IFERROR(IF(B229="","",_xlfn.XLOOKUP(B229,STUDENTS!$B$3:$B$1048576,STUDENTS!$C$3:$C$1048576)),"Enter a registered reg. no")</f>
        <v/>
      </c>
      <c r="D229" s="54" t="n"/>
      <c r="E229" s="55" t="n"/>
      <c r="F229" s="48" t="n"/>
      <c r="G229" s="58" t="n"/>
      <c r="H229" s="62" t="n"/>
      <c r="I229" s="63" t="n"/>
      <c r="J229" s="48" t="n"/>
      <c r="K229" s="58" t="n"/>
      <c r="L229" s="42" t="n"/>
      <c r="M229" s="42" t="n"/>
      <c r="N229" s="48" t="n"/>
      <c r="O229" s="58" t="n"/>
      <c r="P229" s="42" t="n"/>
      <c r="Q229" s="42" t="n"/>
      <c r="R229" s="48" t="n"/>
      <c r="S229" s="58" t="n"/>
      <c r="T229" s="42" t="n"/>
      <c r="U229" s="42" t="n"/>
      <c r="V229" s="48" t="n"/>
      <c r="W229" s="58" t="n"/>
      <c r="X229" s="42" t="n"/>
      <c r="Y229" s="42" t="n"/>
      <c r="Z229" s="48" t="n"/>
      <c r="AA229" s="58" t="n"/>
      <c r="AB229" s="42" t="n"/>
      <c r="AC229" s="42" t="n"/>
      <c r="AD229" s="48" t="n"/>
      <c r="AE229" s="58" t="n"/>
      <c r="AF229" s="42" t="n"/>
      <c r="AG229" s="42" t="n"/>
      <c r="AH229" s="48" t="n"/>
      <c r="AI229" s="58" t="n"/>
    </row>
    <row r="230">
      <c r="B230" s="2">
        <f>IF(STUDENTS!B229="","",STUDENTS!B229)</f>
        <v/>
      </c>
      <c r="C230" s="44">
        <f>IFERROR(IF(B230="","",_xlfn.XLOOKUP(B230,STUDENTS!$B$3:$B$1048576,STUDENTS!$C$3:$C$1048576)),"Enter a registered reg. no")</f>
        <v/>
      </c>
      <c r="F230" s="66" t="n"/>
      <c r="G230" s="67" t="n"/>
      <c r="J230" s="66" t="n"/>
      <c r="K230" s="67" t="n"/>
      <c r="N230" s="66" t="n"/>
      <c r="O230" s="67" t="n"/>
      <c r="R230" s="66" t="n"/>
      <c r="S230" s="67" t="n"/>
      <c r="V230" s="66" t="n"/>
      <c r="W230" s="67" t="n"/>
      <c r="Z230" s="66" t="n"/>
      <c r="AA230" s="67" t="n"/>
      <c r="AD230" s="66" t="n"/>
      <c r="AE230" s="67" t="n"/>
      <c r="AH230" s="66" t="n"/>
      <c r="AI230" s="67" t="n"/>
    </row>
    <row r="231">
      <c r="B231" s="2">
        <f>IF(STUDENTS!B230="","",STUDENTS!B230)</f>
        <v/>
      </c>
      <c r="C231" s="44">
        <f>IFERROR(IF(B231="","",_xlfn.XLOOKUP(B231,STUDENTS!$B$3:$B$1048576,STUDENTS!$C$3:$C$1048576)),"Enter a registered reg. no")</f>
        <v/>
      </c>
      <c r="D231" s="54" t="n"/>
      <c r="E231" s="55" t="n"/>
      <c r="F231" s="48" t="n"/>
      <c r="G231" s="58" t="n"/>
      <c r="H231" s="62" t="n"/>
      <c r="I231" s="63" t="n"/>
      <c r="J231" s="48" t="n"/>
      <c r="K231" s="58" t="n"/>
      <c r="L231" s="42" t="n"/>
      <c r="M231" s="42" t="n"/>
      <c r="N231" s="48" t="n"/>
      <c r="O231" s="58" t="n"/>
      <c r="P231" s="42" t="n"/>
      <c r="Q231" s="42" t="n"/>
      <c r="R231" s="48" t="n"/>
      <c r="S231" s="58" t="n"/>
      <c r="T231" s="42" t="n"/>
      <c r="U231" s="42" t="n"/>
      <c r="V231" s="48" t="n"/>
      <c r="W231" s="58" t="n"/>
      <c r="X231" s="42" t="n"/>
      <c r="Y231" s="42" t="n"/>
      <c r="Z231" s="48" t="n"/>
      <c r="AA231" s="58" t="n"/>
      <c r="AB231" s="42" t="n"/>
      <c r="AC231" s="42" t="n"/>
      <c r="AD231" s="48" t="n"/>
      <c r="AE231" s="58" t="n"/>
      <c r="AF231" s="42" t="n"/>
      <c r="AG231" s="42" t="n"/>
      <c r="AH231" s="48" t="n"/>
      <c r="AI231" s="58" t="n"/>
    </row>
    <row r="232">
      <c r="B232" s="2">
        <f>IF(STUDENTS!B231="","",STUDENTS!B231)</f>
        <v/>
      </c>
      <c r="C232" s="44">
        <f>IFERROR(IF(B232="","",_xlfn.XLOOKUP(B232,STUDENTS!$B$3:$B$1048576,STUDENTS!$C$3:$C$1048576)),"Enter a registered reg. no")</f>
        <v/>
      </c>
      <c r="F232" s="66" t="n"/>
      <c r="G232" s="67" t="n"/>
      <c r="J232" s="66" t="n"/>
      <c r="K232" s="67" t="n"/>
      <c r="N232" s="66" t="n"/>
      <c r="O232" s="67" t="n"/>
      <c r="R232" s="66" t="n"/>
      <c r="S232" s="67" t="n"/>
      <c r="V232" s="66" t="n"/>
      <c r="W232" s="67" t="n"/>
      <c r="Z232" s="66" t="n"/>
      <c r="AA232" s="67" t="n"/>
      <c r="AD232" s="66" t="n"/>
      <c r="AE232" s="67" t="n"/>
      <c r="AH232" s="66" t="n"/>
      <c r="AI232" s="67" t="n"/>
    </row>
    <row r="233">
      <c r="B233" s="2">
        <f>IF(STUDENTS!B232="","",STUDENTS!B232)</f>
        <v/>
      </c>
      <c r="C233" s="44">
        <f>IFERROR(IF(B233="","",_xlfn.XLOOKUP(B233,STUDENTS!$B$3:$B$1048576,STUDENTS!$C$3:$C$1048576)),"Enter a registered reg. no")</f>
        <v/>
      </c>
      <c r="D233" s="54" t="n"/>
      <c r="E233" s="55" t="n"/>
      <c r="F233" s="48" t="n"/>
      <c r="G233" s="58" t="n"/>
      <c r="H233" s="62" t="n"/>
      <c r="I233" s="63" t="n"/>
      <c r="J233" s="48" t="n"/>
      <c r="K233" s="58" t="n"/>
      <c r="L233" s="42" t="n"/>
      <c r="M233" s="42" t="n"/>
      <c r="N233" s="48" t="n"/>
      <c r="O233" s="58" t="n"/>
      <c r="P233" s="42" t="n"/>
      <c r="Q233" s="42" t="n"/>
      <c r="R233" s="48" t="n"/>
      <c r="S233" s="58" t="n"/>
      <c r="T233" s="42" t="n"/>
      <c r="U233" s="42" t="n"/>
      <c r="V233" s="48" t="n"/>
      <c r="W233" s="58" t="n"/>
      <c r="X233" s="42" t="n"/>
      <c r="Y233" s="42" t="n"/>
      <c r="Z233" s="48" t="n"/>
      <c r="AA233" s="58" t="n"/>
      <c r="AB233" s="42" t="n"/>
      <c r="AC233" s="42" t="n"/>
      <c r="AD233" s="48" t="n"/>
      <c r="AE233" s="58" t="n"/>
      <c r="AF233" s="42" t="n"/>
      <c r="AG233" s="42" t="n"/>
      <c r="AH233" s="48" t="n"/>
      <c r="AI233" s="58" t="n"/>
    </row>
    <row r="234">
      <c r="B234" s="2">
        <f>IF(STUDENTS!B233="","",STUDENTS!B233)</f>
        <v/>
      </c>
      <c r="C234" s="44">
        <f>IFERROR(IF(B234="","",_xlfn.XLOOKUP(B234,STUDENTS!$B$3:$B$1048576,STUDENTS!$C$3:$C$1048576)),"Enter a registered reg. no")</f>
        <v/>
      </c>
      <c r="F234" s="66" t="n"/>
      <c r="G234" s="67" t="n"/>
      <c r="J234" s="66" t="n"/>
      <c r="K234" s="67" t="n"/>
      <c r="N234" s="66" t="n"/>
      <c r="O234" s="67" t="n"/>
      <c r="R234" s="66" t="n"/>
      <c r="S234" s="67" t="n"/>
      <c r="V234" s="66" t="n"/>
      <c r="W234" s="67" t="n"/>
      <c r="Z234" s="66" t="n"/>
      <c r="AA234" s="67" t="n"/>
      <c r="AD234" s="66" t="n"/>
      <c r="AE234" s="67" t="n"/>
      <c r="AH234" s="66" t="n"/>
      <c r="AI234" s="67" t="n"/>
    </row>
    <row r="235">
      <c r="B235" s="2">
        <f>IF(STUDENTS!B234="","",STUDENTS!B234)</f>
        <v/>
      </c>
      <c r="C235" s="44">
        <f>IFERROR(IF(B235="","",_xlfn.XLOOKUP(B235,STUDENTS!$B$3:$B$1048576,STUDENTS!$C$3:$C$1048576)),"Enter a registered reg. no")</f>
        <v/>
      </c>
      <c r="D235" s="54" t="n"/>
      <c r="E235" s="55" t="n"/>
      <c r="F235" s="48" t="n"/>
      <c r="G235" s="58" t="n"/>
      <c r="H235" s="62" t="n"/>
      <c r="I235" s="63" t="n"/>
      <c r="J235" s="48" t="n"/>
      <c r="K235" s="58" t="n"/>
      <c r="L235" s="42" t="n"/>
      <c r="M235" s="42" t="n"/>
      <c r="N235" s="48" t="n"/>
      <c r="O235" s="58" t="n"/>
      <c r="P235" s="42" t="n"/>
      <c r="Q235" s="42" t="n"/>
      <c r="R235" s="48" t="n"/>
      <c r="S235" s="58" t="n"/>
      <c r="T235" s="42" t="n"/>
      <c r="U235" s="42" t="n"/>
      <c r="V235" s="48" t="n"/>
      <c r="W235" s="58" t="n"/>
      <c r="X235" s="42" t="n"/>
      <c r="Y235" s="42" t="n"/>
      <c r="Z235" s="48" t="n"/>
      <c r="AA235" s="58" t="n"/>
      <c r="AB235" s="42" t="n"/>
      <c r="AC235" s="42" t="n"/>
      <c r="AD235" s="48" t="n"/>
      <c r="AE235" s="58" t="n"/>
      <c r="AF235" s="42" t="n"/>
      <c r="AG235" s="42" t="n"/>
      <c r="AH235" s="48" t="n"/>
      <c r="AI235" s="58" t="n"/>
    </row>
    <row r="236">
      <c r="B236" s="2">
        <f>IF(STUDENTS!B235="","",STUDENTS!B235)</f>
        <v/>
      </c>
      <c r="C236" s="44">
        <f>IFERROR(IF(B236="","",_xlfn.XLOOKUP(B236,STUDENTS!$B$3:$B$1048576,STUDENTS!$C$3:$C$1048576)),"Enter a registered reg. no")</f>
        <v/>
      </c>
      <c r="F236" s="66" t="n"/>
      <c r="G236" s="67" t="n"/>
      <c r="J236" s="66" t="n"/>
      <c r="K236" s="67" t="n"/>
      <c r="N236" s="66" t="n"/>
      <c r="O236" s="67" t="n"/>
      <c r="R236" s="66" t="n"/>
      <c r="S236" s="67" t="n"/>
      <c r="V236" s="66" t="n"/>
      <c r="W236" s="67" t="n"/>
      <c r="Z236" s="66" t="n"/>
      <c r="AA236" s="67" t="n"/>
      <c r="AD236" s="66" t="n"/>
      <c r="AE236" s="67" t="n"/>
      <c r="AH236" s="66" t="n"/>
      <c r="AI236" s="67" t="n"/>
    </row>
    <row r="237">
      <c r="B237" s="2">
        <f>IF(STUDENTS!B236="","",STUDENTS!B236)</f>
        <v/>
      </c>
      <c r="C237" s="44">
        <f>IFERROR(IF(B237="","",_xlfn.XLOOKUP(B237,STUDENTS!$B$3:$B$1048576,STUDENTS!$C$3:$C$1048576)),"Enter a registered reg. no")</f>
        <v/>
      </c>
      <c r="D237" s="54" t="n"/>
      <c r="E237" s="55" t="n"/>
      <c r="F237" s="48" t="n"/>
      <c r="G237" s="58" t="n"/>
      <c r="H237" s="62" t="n"/>
      <c r="I237" s="63" t="n"/>
      <c r="J237" s="48" t="n"/>
      <c r="K237" s="58" t="n"/>
      <c r="L237" s="42" t="n"/>
      <c r="M237" s="42" t="n"/>
      <c r="N237" s="48" t="n"/>
      <c r="O237" s="58" t="n"/>
      <c r="P237" s="42" t="n"/>
      <c r="Q237" s="42" t="n"/>
      <c r="R237" s="48" t="n"/>
      <c r="S237" s="58" t="n"/>
      <c r="T237" s="42" t="n"/>
      <c r="U237" s="42" t="n"/>
      <c r="V237" s="48" t="n"/>
      <c r="W237" s="58" t="n"/>
      <c r="X237" s="42" t="n"/>
      <c r="Y237" s="42" t="n"/>
      <c r="Z237" s="48" t="n"/>
      <c r="AA237" s="58" t="n"/>
      <c r="AB237" s="42" t="n"/>
      <c r="AC237" s="42" t="n"/>
      <c r="AD237" s="48" t="n"/>
      <c r="AE237" s="58" t="n"/>
      <c r="AF237" s="42" t="n"/>
      <c r="AG237" s="42" t="n"/>
      <c r="AH237" s="48" t="n"/>
      <c r="AI237" s="58" t="n"/>
    </row>
    <row r="238">
      <c r="B238" s="2">
        <f>IF(STUDENTS!B237="","",STUDENTS!B237)</f>
        <v/>
      </c>
      <c r="C238" s="44">
        <f>IFERROR(IF(B238="","",_xlfn.XLOOKUP(B238,STUDENTS!$B$3:$B$1048576,STUDENTS!$C$3:$C$1048576)),"Enter a registered reg. no")</f>
        <v/>
      </c>
      <c r="F238" s="66" t="n"/>
      <c r="G238" s="67" t="n"/>
      <c r="J238" s="66" t="n"/>
      <c r="K238" s="67" t="n"/>
      <c r="N238" s="66" t="n"/>
      <c r="O238" s="67" t="n"/>
      <c r="R238" s="66" t="n"/>
      <c r="S238" s="67" t="n"/>
      <c r="V238" s="66" t="n"/>
      <c r="W238" s="67" t="n"/>
      <c r="Z238" s="66" t="n"/>
      <c r="AA238" s="67" t="n"/>
      <c r="AD238" s="66" t="n"/>
      <c r="AE238" s="67" t="n"/>
      <c r="AH238" s="66" t="n"/>
      <c r="AI238" s="67" t="n"/>
    </row>
    <row r="239">
      <c r="B239" s="2">
        <f>IF(STUDENTS!B238="","",STUDENTS!B238)</f>
        <v/>
      </c>
      <c r="C239" s="44">
        <f>IFERROR(IF(B239="","",_xlfn.XLOOKUP(B239,STUDENTS!$B$3:$B$1048576,STUDENTS!$C$3:$C$1048576)),"Enter a registered reg. no")</f>
        <v/>
      </c>
      <c r="D239" s="54" t="n"/>
      <c r="E239" s="55" t="n"/>
      <c r="F239" s="48" t="n"/>
      <c r="G239" s="58" t="n"/>
      <c r="H239" s="62" t="n"/>
      <c r="I239" s="63" t="n"/>
      <c r="J239" s="48" t="n"/>
      <c r="K239" s="58" t="n"/>
      <c r="L239" s="42" t="n"/>
      <c r="M239" s="42" t="n"/>
      <c r="N239" s="48" t="n"/>
      <c r="O239" s="58" t="n"/>
      <c r="P239" s="42" t="n"/>
      <c r="Q239" s="42" t="n"/>
      <c r="R239" s="48" t="n"/>
      <c r="S239" s="58" t="n"/>
      <c r="T239" s="42" t="n"/>
      <c r="U239" s="42" t="n"/>
      <c r="V239" s="48" t="n"/>
      <c r="W239" s="58" t="n"/>
      <c r="X239" s="42" t="n"/>
      <c r="Y239" s="42" t="n"/>
      <c r="Z239" s="48" t="n"/>
      <c r="AA239" s="58" t="n"/>
      <c r="AB239" s="42" t="n"/>
      <c r="AC239" s="42" t="n"/>
      <c r="AD239" s="48" t="n"/>
      <c r="AE239" s="58" t="n"/>
      <c r="AF239" s="42" t="n"/>
      <c r="AG239" s="42" t="n"/>
      <c r="AH239" s="48" t="n"/>
      <c r="AI239" s="58" t="n"/>
    </row>
    <row r="240">
      <c r="B240" s="2">
        <f>IF(STUDENTS!B239="","",STUDENTS!B239)</f>
        <v/>
      </c>
      <c r="C240" s="44">
        <f>IFERROR(IF(B240="","",_xlfn.XLOOKUP(B240,STUDENTS!$B$3:$B$1048576,STUDENTS!$C$3:$C$1048576)),"Enter a registered reg. no")</f>
        <v/>
      </c>
      <c r="F240" s="66" t="n"/>
      <c r="G240" s="67" t="n"/>
      <c r="J240" s="66" t="n"/>
      <c r="K240" s="67" t="n"/>
      <c r="N240" s="66" t="n"/>
      <c r="O240" s="67" t="n"/>
      <c r="R240" s="66" t="n"/>
      <c r="S240" s="67" t="n"/>
      <c r="V240" s="66" t="n"/>
      <c r="W240" s="67" t="n"/>
      <c r="Z240" s="66" t="n"/>
      <c r="AA240" s="67" t="n"/>
      <c r="AD240" s="66" t="n"/>
      <c r="AE240" s="67" t="n"/>
      <c r="AH240" s="66" t="n"/>
      <c r="AI240" s="67" t="n"/>
    </row>
    <row r="241">
      <c r="B241" s="2">
        <f>IF(STUDENTS!B240="","",STUDENTS!B240)</f>
        <v/>
      </c>
      <c r="C241" s="44">
        <f>IFERROR(IF(B241="","",_xlfn.XLOOKUP(B241,STUDENTS!$B$3:$B$1048576,STUDENTS!$C$3:$C$1048576)),"Enter a registered reg. no")</f>
        <v/>
      </c>
      <c r="D241" s="54" t="n"/>
      <c r="E241" s="55" t="n"/>
      <c r="F241" s="48" t="n"/>
      <c r="G241" s="58" t="n"/>
      <c r="H241" s="62" t="n"/>
      <c r="I241" s="63" t="n"/>
      <c r="J241" s="48" t="n"/>
      <c r="K241" s="58" t="n"/>
      <c r="L241" s="42" t="n"/>
      <c r="M241" s="42" t="n"/>
      <c r="N241" s="48" t="n"/>
      <c r="O241" s="58" t="n"/>
      <c r="P241" s="42" t="n"/>
      <c r="Q241" s="42" t="n"/>
      <c r="R241" s="48" t="n"/>
      <c r="S241" s="58" t="n"/>
      <c r="T241" s="42" t="n"/>
      <c r="U241" s="42" t="n"/>
      <c r="V241" s="48" t="n"/>
      <c r="W241" s="58" t="n"/>
      <c r="X241" s="42" t="n"/>
      <c r="Y241" s="42" t="n"/>
      <c r="Z241" s="48" t="n"/>
      <c r="AA241" s="58" t="n"/>
      <c r="AB241" s="42" t="n"/>
      <c r="AC241" s="42" t="n"/>
      <c r="AD241" s="48" t="n"/>
      <c r="AE241" s="58" t="n"/>
      <c r="AF241" s="42" t="n"/>
      <c r="AG241" s="42" t="n"/>
      <c r="AH241" s="48" t="n"/>
      <c r="AI241" s="58" t="n"/>
    </row>
    <row r="242">
      <c r="B242" s="2">
        <f>IF(STUDENTS!B241="","",STUDENTS!B241)</f>
        <v/>
      </c>
      <c r="C242" s="44">
        <f>IFERROR(IF(B242="","",_xlfn.XLOOKUP(B242,STUDENTS!$B$3:$B$1048576,STUDENTS!$C$3:$C$1048576)),"Enter a registered reg. no")</f>
        <v/>
      </c>
      <c r="F242" s="66" t="n"/>
      <c r="G242" s="67" t="n"/>
      <c r="J242" s="66" t="n"/>
      <c r="K242" s="67" t="n"/>
      <c r="N242" s="66" t="n"/>
      <c r="O242" s="67" t="n"/>
      <c r="R242" s="66" t="n"/>
      <c r="S242" s="67" t="n"/>
      <c r="V242" s="66" t="n"/>
      <c r="W242" s="67" t="n"/>
      <c r="Z242" s="66" t="n"/>
      <c r="AA242" s="67" t="n"/>
      <c r="AD242" s="66" t="n"/>
      <c r="AE242" s="67" t="n"/>
      <c r="AH242" s="66" t="n"/>
      <c r="AI242" s="67" t="n"/>
    </row>
    <row r="243">
      <c r="B243" s="2">
        <f>IF(STUDENTS!B242="","",STUDENTS!B242)</f>
        <v/>
      </c>
      <c r="C243" s="44">
        <f>IFERROR(IF(B243="","",_xlfn.XLOOKUP(B243,STUDENTS!$B$3:$B$1048576,STUDENTS!$C$3:$C$1048576)),"Enter a registered reg. no")</f>
        <v/>
      </c>
      <c r="D243" s="54" t="n"/>
      <c r="E243" s="55" t="n"/>
      <c r="F243" s="48" t="n"/>
      <c r="G243" s="58" t="n"/>
      <c r="H243" s="62" t="n"/>
      <c r="I243" s="63" t="n"/>
      <c r="J243" s="48" t="n"/>
      <c r="K243" s="58" t="n"/>
      <c r="L243" s="42" t="n"/>
      <c r="M243" s="42" t="n"/>
      <c r="N243" s="48" t="n"/>
      <c r="O243" s="58" t="n"/>
      <c r="P243" s="42" t="n"/>
      <c r="Q243" s="42" t="n"/>
      <c r="R243" s="48" t="n"/>
      <c r="S243" s="58" t="n"/>
      <c r="T243" s="42" t="n"/>
      <c r="U243" s="42" t="n"/>
      <c r="V243" s="48" t="n"/>
      <c r="W243" s="58" t="n"/>
      <c r="X243" s="42" t="n"/>
      <c r="Y243" s="42" t="n"/>
      <c r="Z243" s="48" t="n"/>
      <c r="AA243" s="58" t="n"/>
      <c r="AB243" s="42" t="n"/>
      <c r="AC243" s="42" t="n"/>
      <c r="AD243" s="48" t="n"/>
      <c r="AE243" s="58" t="n"/>
      <c r="AF243" s="42" t="n"/>
      <c r="AG243" s="42" t="n"/>
      <c r="AH243" s="48" t="n"/>
      <c r="AI243" s="58" t="n"/>
    </row>
    <row r="244">
      <c r="B244" s="2">
        <f>IF(STUDENTS!B243="","",STUDENTS!B243)</f>
        <v/>
      </c>
      <c r="C244" s="44">
        <f>IFERROR(IF(B244="","",_xlfn.XLOOKUP(B244,STUDENTS!$B$3:$B$1048576,STUDENTS!$C$3:$C$1048576)),"Enter a registered reg. no")</f>
        <v/>
      </c>
      <c r="F244" s="66" t="n"/>
      <c r="G244" s="67" t="n"/>
      <c r="J244" s="66" t="n"/>
      <c r="K244" s="67" t="n"/>
      <c r="N244" s="66" t="n"/>
      <c r="O244" s="67" t="n"/>
      <c r="R244" s="66" t="n"/>
      <c r="S244" s="67" t="n"/>
      <c r="V244" s="66" t="n"/>
      <c r="W244" s="67" t="n"/>
      <c r="Z244" s="66" t="n"/>
      <c r="AA244" s="67" t="n"/>
      <c r="AD244" s="66" t="n"/>
      <c r="AE244" s="67" t="n"/>
      <c r="AH244" s="66" t="n"/>
      <c r="AI244" s="67" t="n"/>
    </row>
    <row r="245">
      <c r="B245" s="2">
        <f>IF(STUDENTS!B244="","",STUDENTS!B244)</f>
        <v/>
      </c>
      <c r="C245" s="44">
        <f>IFERROR(IF(B245="","",_xlfn.XLOOKUP(B245,STUDENTS!$B$3:$B$1048576,STUDENTS!$C$3:$C$1048576)),"Enter a registered reg. no")</f>
        <v/>
      </c>
      <c r="D245" s="54" t="n"/>
      <c r="E245" s="55" t="n"/>
      <c r="F245" s="48" t="n"/>
      <c r="G245" s="58" t="n"/>
      <c r="H245" s="62" t="n"/>
      <c r="I245" s="63" t="n"/>
      <c r="J245" s="48" t="n"/>
      <c r="K245" s="58" t="n"/>
      <c r="L245" s="42" t="n"/>
      <c r="M245" s="42" t="n"/>
      <c r="N245" s="48" t="n"/>
      <c r="O245" s="58" t="n"/>
      <c r="P245" s="42" t="n"/>
      <c r="Q245" s="42" t="n"/>
      <c r="R245" s="48" t="n"/>
      <c r="S245" s="58" t="n"/>
      <c r="T245" s="42" t="n"/>
      <c r="U245" s="42" t="n"/>
      <c r="V245" s="48" t="n"/>
      <c r="W245" s="58" t="n"/>
      <c r="X245" s="42" t="n"/>
      <c r="Y245" s="42" t="n"/>
      <c r="Z245" s="48" t="n"/>
      <c r="AA245" s="58" t="n"/>
      <c r="AB245" s="42" t="n"/>
      <c r="AC245" s="42" t="n"/>
      <c r="AD245" s="48" t="n"/>
      <c r="AE245" s="58" t="n"/>
      <c r="AF245" s="42" t="n"/>
      <c r="AG245" s="42" t="n"/>
      <c r="AH245" s="48" t="n"/>
      <c r="AI245" s="58" t="n"/>
    </row>
    <row r="246">
      <c r="B246" s="2">
        <f>IF(STUDENTS!B245="","",STUDENTS!B245)</f>
        <v/>
      </c>
      <c r="C246" s="44">
        <f>IFERROR(IF(B246="","",_xlfn.XLOOKUP(B246,STUDENTS!$B$3:$B$1048576,STUDENTS!$C$3:$C$1048576)),"Enter a registered reg. no")</f>
        <v/>
      </c>
      <c r="F246" s="66" t="n"/>
      <c r="G246" s="67" t="n"/>
      <c r="J246" s="66" t="n"/>
      <c r="K246" s="67" t="n"/>
      <c r="N246" s="66" t="n"/>
      <c r="O246" s="67" t="n"/>
      <c r="R246" s="66" t="n"/>
      <c r="S246" s="67" t="n"/>
      <c r="V246" s="66" t="n"/>
      <c r="W246" s="67" t="n"/>
      <c r="Z246" s="66" t="n"/>
      <c r="AA246" s="67" t="n"/>
      <c r="AD246" s="66" t="n"/>
      <c r="AE246" s="67" t="n"/>
      <c r="AH246" s="66" t="n"/>
      <c r="AI246" s="67" t="n"/>
    </row>
    <row r="247">
      <c r="B247" s="2">
        <f>IF(STUDENTS!B246="","",STUDENTS!B246)</f>
        <v/>
      </c>
      <c r="C247" s="44">
        <f>IFERROR(IF(B247="","",_xlfn.XLOOKUP(B247,STUDENTS!$B$3:$B$1048576,STUDENTS!$C$3:$C$1048576)),"Enter a registered reg. no")</f>
        <v/>
      </c>
      <c r="D247" s="54" t="n"/>
      <c r="E247" s="55" t="n"/>
      <c r="F247" s="48" t="n"/>
      <c r="G247" s="58" t="n"/>
      <c r="H247" s="62" t="n"/>
      <c r="I247" s="63" t="n"/>
      <c r="J247" s="48" t="n"/>
      <c r="K247" s="58" t="n"/>
      <c r="L247" s="42" t="n"/>
      <c r="M247" s="42" t="n"/>
      <c r="N247" s="48" t="n"/>
      <c r="O247" s="58" t="n"/>
      <c r="P247" s="42" t="n"/>
      <c r="Q247" s="42" t="n"/>
      <c r="R247" s="48" t="n"/>
      <c r="S247" s="58" t="n"/>
      <c r="T247" s="42" t="n"/>
      <c r="U247" s="42" t="n"/>
      <c r="V247" s="48" t="n"/>
      <c r="W247" s="58" t="n"/>
      <c r="X247" s="42" t="n"/>
      <c r="Y247" s="42" t="n"/>
      <c r="Z247" s="48" t="n"/>
      <c r="AA247" s="58" t="n"/>
      <c r="AB247" s="42" t="n"/>
      <c r="AC247" s="42" t="n"/>
      <c r="AD247" s="48" t="n"/>
      <c r="AE247" s="58" t="n"/>
      <c r="AF247" s="42" t="n"/>
      <c r="AG247" s="42" t="n"/>
      <c r="AH247" s="48" t="n"/>
      <c r="AI247" s="58" t="n"/>
    </row>
    <row r="248">
      <c r="B248" s="2">
        <f>IF(STUDENTS!B247="","",STUDENTS!B247)</f>
        <v/>
      </c>
      <c r="C248" s="44">
        <f>IFERROR(IF(B248="","",_xlfn.XLOOKUP(B248,STUDENTS!$B$3:$B$1048576,STUDENTS!$C$3:$C$1048576)),"Enter a registered reg. no")</f>
        <v/>
      </c>
      <c r="F248" s="66" t="n"/>
      <c r="G248" s="67" t="n"/>
      <c r="J248" s="66" t="n"/>
      <c r="K248" s="67" t="n"/>
      <c r="N248" s="66" t="n"/>
      <c r="O248" s="67" t="n"/>
      <c r="R248" s="66" t="n"/>
      <c r="S248" s="67" t="n"/>
      <c r="V248" s="66" t="n"/>
      <c r="W248" s="67" t="n"/>
      <c r="Z248" s="66" t="n"/>
      <c r="AA248" s="67" t="n"/>
      <c r="AD248" s="66" t="n"/>
      <c r="AE248" s="67" t="n"/>
      <c r="AH248" s="66" t="n"/>
      <c r="AI248" s="67" t="n"/>
    </row>
    <row r="249">
      <c r="B249" s="2">
        <f>IF(STUDENTS!B248="","",STUDENTS!B248)</f>
        <v/>
      </c>
      <c r="C249" s="44">
        <f>IFERROR(IF(B249="","",_xlfn.XLOOKUP(B249,STUDENTS!$B$3:$B$1048576,STUDENTS!$C$3:$C$1048576)),"Enter a registered reg. no")</f>
        <v/>
      </c>
      <c r="D249" s="54" t="n"/>
      <c r="E249" s="55" t="n"/>
      <c r="F249" s="48" t="n"/>
      <c r="G249" s="58" t="n"/>
      <c r="H249" s="62" t="n"/>
      <c r="I249" s="63" t="n"/>
      <c r="J249" s="48" t="n"/>
      <c r="K249" s="58" t="n"/>
      <c r="L249" s="42" t="n"/>
      <c r="M249" s="42" t="n"/>
      <c r="N249" s="48" t="n"/>
      <c r="O249" s="58" t="n"/>
      <c r="P249" s="42" t="n"/>
      <c r="Q249" s="42" t="n"/>
      <c r="R249" s="48" t="n"/>
      <c r="S249" s="58" t="n"/>
      <c r="T249" s="42" t="n"/>
      <c r="U249" s="42" t="n"/>
      <c r="V249" s="48" t="n"/>
      <c r="W249" s="58" t="n"/>
      <c r="X249" s="42" t="n"/>
      <c r="Y249" s="42" t="n"/>
      <c r="Z249" s="48" t="n"/>
      <c r="AA249" s="58" t="n"/>
      <c r="AB249" s="42" t="n"/>
      <c r="AC249" s="42" t="n"/>
      <c r="AD249" s="48" t="n"/>
      <c r="AE249" s="58" t="n"/>
      <c r="AF249" s="42" t="n"/>
      <c r="AG249" s="42" t="n"/>
      <c r="AH249" s="48" t="n"/>
      <c r="AI249" s="58" t="n"/>
    </row>
    <row r="250">
      <c r="B250" s="2">
        <f>IF(STUDENTS!B249="","",STUDENTS!B249)</f>
        <v/>
      </c>
      <c r="C250" s="44">
        <f>IFERROR(IF(B250="","",_xlfn.XLOOKUP(B250,STUDENTS!$B$3:$B$1048576,STUDENTS!$C$3:$C$1048576)),"Enter a registered reg. no")</f>
        <v/>
      </c>
      <c r="F250" s="66" t="n"/>
      <c r="G250" s="67" t="n"/>
      <c r="J250" s="66" t="n"/>
      <c r="K250" s="67" t="n"/>
      <c r="N250" s="66" t="n"/>
      <c r="O250" s="67" t="n"/>
      <c r="R250" s="66" t="n"/>
      <c r="S250" s="67" t="n"/>
      <c r="V250" s="66" t="n"/>
      <c r="W250" s="67" t="n"/>
      <c r="Z250" s="66" t="n"/>
      <c r="AA250" s="67" t="n"/>
      <c r="AD250" s="66" t="n"/>
      <c r="AE250" s="67" t="n"/>
      <c r="AH250" s="66" t="n"/>
      <c r="AI250" s="67" t="n"/>
    </row>
    <row r="251">
      <c r="B251" s="2">
        <f>IF(STUDENTS!B250="","",STUDENTS!B250)</f>
        <v/>
      </c>
      <c r="C251" s="44">
        <f>IFERROR(IF(B251="","",_xlfn.XLOOKUP(B251,STUDENTS!$B$3:$B$1048576,STUDENTS!$C$3:$C$1048576)),"Enter a registered reg. no")</f>
        <v/>
      </c>
      <c r="D251" s="54" t="n"/>
      <c r="E251" s="55" t="n"/>
      <c r="F251" s="48" t="n"/>
      <c r="G251" s="58" t="n"/>
      <c r="H251" s="62" t="n"/>
      <c r="I251" s="63" t="n"/>
      <c r="J251" s="48" t="n"/>
      <c r="K251" s="58" t="n"/>
      <c r="L251" s="42" t="n"/>
      <c r="M251" s="42" t="n"/>
      <c r="N251" s="48" t="n"/>
      <c r="O251" s="58" t="n"/>
      <c r="P251" s="42" t="n"/>
      <c r="Q251" s="42" t="n"/>
      <c r="R251" s="48" t="n"/>
      <c r="S251" s="58" t="n"/>
      <c r="T251" s="42" t="n"/>
      <c r="U251" s="42" t="n"/>
      <c r="V251" s="48" t="n"/>
      <c r="W251" s="58" t="n"/>
      <c r="X251" s="42" t="n"/>
      <c r="Y251" s="42" t="n"/>
      <c r="Z251" s="48" t="n"/>
      <c r="AA251" s="58" t="n"/>
      <c r="AB251" s="42" t="n"/>
      <c r="AC251" s="42" t="n"/>
      <c r="AD251" s="48" t="n"/>
      <c r="AE251" s="58" t="n"/>
      <c r="AF251" s="42" t="n"/>
      <c r="AG251" s="42" t="n"/>
      <c r="AH251" s="48" t="n"/>
      <c r="AI251" s="58" t="n"/>
    </row>
    <row r="252">
      <c r="B252" s="2">
        <f>IF(STUDENTS!B251="","",STUDENTS!B251)</f>
        <v/>
      </c>
      <c r="C252" s="44">
        <f>IFERROR(IF(B252="","",_xlfn.XLOOKUP(B252,STUDENTS!$B$3:$B$1048576,STUDENTS!$C$3:$C$1048576)),"Enter a registered reg. no")</f>
        <v/>
      </c>
      <c r="F252" s="66" t="n"/>
      <c r="G252" s="67" t="n"/>
      <c r="J252" s="66" t="n"/>
      <c r="K252" s="67" t="n"/>
      <c r="N252" s="66" t="n"/>
      <c r="O252" s="67" t="n"/>
      <c r="R252" s="66" t="n"/>
      <c r="S252" s="67" t="n"/>
      <c r="V252" s="66" t="n"/>
      <c r="W252" s="67" t="n"/>
      <c r="Z252" s="66" t="n"/>
      <c r="AA252" s="67" t="n"/>
      <c r="AD252" s="66" t="n"/>
      <c r="AE252" s="67" t="n"/>
      <c r="AH252" s="66" t="n"/>
      <c r="AI252" s="67" t="n"/>
    </row>
    <row r="253">
      <c r="B253" s="2">
        <f>IF(STUDENTS!B252="","",STUDENTS!B252)</f>
        <v/>
      </c>
      <c r="C253" s="44">
        <f>IFERROR(IF(B253="","",_xlfn.XLOOKUP(B253,STUDENTS!$B$3:$B$1048576,STUDENTS!$C$3:$C$1048576)),"Enter a registered reg. no")</f>
        <v/>
      </c>
      <c r="D253" s="54" t="n"/>
      <c r="E253" s="55" t="n"/>
      <c r="F253" s="48" t="n"/>
      <c r="G253" s="58" t="n"/>
      <c r="H253" s="62" t="n"/>
      <c r="I253" s="63" t="n"/>
      <c r="J253" s="48" t="n"/>
      <c r="K253" s="58" t="n"/>
      <c r="L253" s="42" t="n"/>
      <c r="M253" s="42" t="n"/>
      <c r="N253" s="48" t="n"/>
      <c r="O253" s="58" t="n"/>
      <c r="P253" s="42" t="n"/>
      <c r="Q253" s="42" t="n"/>
      <c r="R253" s="48" t="n"/>
      <c r="S253" s="58" t="n"/>
      <c r="T253" s="42" t="n"/>
      <c r="U253" s="42" t="n"/>
      <c r="V253" s="48" t="n"/>
      <c r="W253" s="58" t="n"/>
      <c r="X253" s="42" t="n"/>
      <c r="Y253" s="42" t="n"/>
      <c r="Z253" s="48" t="n"/>
      <c r="AA253" s="58" t="n"/>
      <c r="AB253" s="42" t="n"/>
      <c r="AC253" s="42" t="n"/>
      <c r="AD253" s="48" t="n"/>
      <c r="AE253" s="58" t="n"/>
      <c r="AF253" s="42" t="n"/>
      <c r="AG253" s="42" t="n"/>
      <c r="AH253" s="48" t="n"/>
      <c r="AI253" s="58" t="n"/>
    </row>
    <row r="254">
      <c r="B254" s="2">
        <f>IF(STUDENTS!B253="","",STUDENTS!B253)</f>
        <v/>
      </c>
      <c r="C254" s="44">
        <f>IFERROR(IF(B254="","",_xlfn.XLOOKUP(B254,STUDENTS!$B$3:$B$1048576,STUDENTS!$C$3:$C$1048576)),"Enter a registered reg. no")</f>
        <v/>
      </c>
      <c r="F254" s="66" t="n"/>
      <c r="G254" s="67" t="n"/>
      <c r="J254" s="66" t="n"/>
      <c r="K254" s="67" t="n"/>
      <c r="N254" s="66" t="n"/>
      <c r="O254" s="67" t="n"/>
      <c r="R254" s="66" t="n"/>
      <c r="S254" s="67" t="n"/>
      <c r="V254" s="66" t="n"/>
      <c r="W254" s="67" t="n"/>
      <c r="Z254" s="66" t="n"/>
      <c r="AA254" s="67" t="n"/>
      <c r="AD254" s="66" t="n"/>
      <c r="AE254" s="67" t="n"/>
      <c r="AH254" s="66" t="n"/>
      <c r="AI254" s="67" t="n"/>
    </row>
    <row r="255">
      <c r="B255" s="2">
        <f>IF(STUDENTS!B254="","",STUDENTS!B254)</f>
        <v/>
      </c>
      <c r="C255" s="44">
        <f>IFERROR(IF(B255="","",_xlfn.XLOOKUP(B255,STUDENTS!$B$3:$B$1048576,STUDENTS!$C$3:$C$1048576)),"Enter a registered reg. no")</f>
        <v/>
      </c>
      <c r="D255" s="54" t="n"/>
      <c r="E255" s="55" t="n"/>
      <c r="F255" s="48" t="n"/>
      <c r="G255" s="58" t="n"/>
      <c r="H255" s="62" t="n"/>
      <c r="I255" s="63" t="n"/>
      <c r="J255" s="48" t="n"/>
      <c r="K255" s="58" t="n"/>
      <c r="L255" s="42" t="n"/>
      <c r="M255" s="42" t="n"/>
      <c r="N255" s="48" t="n"/>
      <c r="O255" s="58" t="n"/>
      <c r="P255" s="42" t="n"/>
      <c r="Q255" s="42" t="n"/>
      <c r="R255" s="48" t="n"/>
      <c r="S255" s="58" t="n"/>
      <c r="T255" s="42" t="n"/>
      <c r="U255" s="42" t="n"/>
      <c r="V255" s="48" t="n"/>
      <c r="W255" s="58" t="n"/>
      <c r="X255" s="42" t="n"/>
      <c r="Y255" s="42" t="n"/>
      <c r="Z255" s="48" t="n"/>
      <c r="AA255" s="58" t="n"/>
      <c r="AB255" s="42" t="n"/>
      <c r="AC255" s="42" t="n"/>
      <c r="AD255" s="48" t="n"/>
      <c r="AE255" s="58" t="n"/>
      <c r="AF255" s="42" t="n"/>
      <c r="AG255" s="42" t="n"/>
      <c r="AH255" s="48" t="n"/>
      <c r="AI255" s="58" t="n"/>
    </row>
    <row r="256">
      <c r="B256" s="2">
        <f>IF(STUDENTS!B255="","",STUDENTS!B255)</f>
        <v/>
      </c>
      <c r="C256" s="44">
        <f>IFERROR(IF(B256="","",_xlfn.XLOOKUP(B256,STUDENTS!$B$3:$B$1048576,STUDENTS!$C$3:$C$1048576)),"Enter a registered reg. no")</f>
        <v/>
      </c>
      <c r="F256" s="66" t="n"/>
      <c r="G256" s="67" t="n"/>
      <c r="J256" s="66" t="n"/>
      <c r="K256" s="67" t="n"/>
      <c r="N256" s="66" t="n"/>
      <c r="O256" s="67" t="n"/>
      <c r="R256" s="66" t="n"/>
      <c r="S256" s="67" t="n"/>
      <c r="V256" s="66" t="n"/>
      <c r="W256" s="67" t="n"/>
      <c r="Z256" s="66" t="n"/>
      <c r="AA256" s="67" t="n"/>
      <c r="AD256" s="66" t="n"/>
      <c r="AE256" s="67" t="n"/>
      <c r="AH256" s="66" t="n"/>
      <c r="AI256" s="67" t="n"/>
    </row>
    <row r="257">
      <c r="B257" s="2">
        <f>IF(STUDENTS!B256="","",STUDENTS!B256)</f>
        <v/>
      </c>
      <c r="C257" s="44">
        <f>IFERROR(IF(B257="","",_xlfn.XLOOKUP(B257,STUDENTS!$B$3:$B$1048576,STUDENTS!$C$3:$C$1048576)),"Enter a registered reg. no")</f>
        <v/>
      </c>
      <c r="D257" s="54" t="n"/>
      <c r="E257" s="55" t="n"/>
      <c r="F257" s="48" t="n"/>
      <c r="G257" s="58" t="n"/>
      <c r="H257" s="62" t="n"/>
      <c r="I257" s="63" t="n"/>
      <c r="J257" s="48" t="n"/>
      <c r="K257" s="58" t="n"/>
      <c r="L257" s="42" t="n"/>
      <c r="M257" s="42" t="n"/>
      <c r="N257" s="48" t="n"/>
      <c r="O257" s="58" t="n"/>
      <c r="P257" s="42" t="n"/>
      <c r="Q257" s="42" t="n"/>
      <c r="R257" s="48" t="n"/>
      <c r="S257" s="58" t="n"/>
      <c r="T257" s="42" t="n"/>
      <c r="U257" s="42" t="n"/>
      <c r="V257" s="48" t="n"/>
      <c r="W257" s="58" t="n"/>
      <c r="X257" s="42" t="n"/>
      <c r="Y257" s="42" t="n"/>
      <c r="Z257" s="48" t="n"/>
      <c r="AA257" s="58" t="n"/>
      <c r="AB257" s="42" t="n"/>
      <c r="AC257" s="42" t="n"/>
      <c r="AD257" s="48" t="n"/>
      <c r="AE257" s="58" t="n"/>
      <c r="AF257" s="42" t="n"/>
      <c r="AG257" s="42" t="n"/>
      <c r="AH257" s="48" t="n"/>
      <c r="AI257" s="58" t="n"/>
    </row>
    <row r="258">
      <c r="B258" s="2">
        <f>IF(STUDENTS!B257="","",STUDENTS!B257)</f>
        <v/>
      </c>
      <c r="C258" s="44">
        <f>IFERROR(IF(B258="","",_xlfn.XLOOKUP(B258,STUDENTS!$B$3:$B$1048576,STUDENTS!$C$3:$C$1048576)),"Enter a registered reg. no")</f>
        <v/>
      </c>
      <c r="F258" s="66" t="n"/>
      <c r="G258" s="67" t="n"/>
      <c r="J258" s="66" t="n"/>
      <c r="K258" s="67" t="n"/>
      <c r="N258" s="66" t="n"/>
      <c r="O258" s="67" t="n"/>
      <c r="R258" s="66" t="n"/>
      <c r="S258" s="67" t="n"/>
      <c r="V258" s="66" t="n"/>
      <c r="W258" s="67" t="n"/>
      <c r="Z258" s="66" t="n"/>
      <c r="AA258" s="67" t="n"/>
      <c r="AD258" s="66" t="n"/>
      <c r="AE258" s="67" t="n"/>
      <c r="AH258" s="66" t="n"/>
      <c r="AI258" s="67" t="n"/>
    </row>
    <row r="259">
      <c r="B259" s="2">
        <f>IF(STUDENTS!B258="","",STUDENTS!B258)</f>
        <v/>
      </c>
      <c r="C259" s="44">
        <f>IFERROR(IF(B259="","",_xlfn.XLOOKUP(B259,STUDENTS!$B$3:$B$1048576,STUDENTS!$C$3:$C$1048576)),"Enter a registered reg. no")</f>
        <v/>
      </c>
      <c r="D259" s="54" t="n"/>
      <c r="E259" s="55" t="n"/>
      <c r="F259" s="48" t="n"/>
      <c r="G259" s="58" t="n"/>
      <c r="H259" s="62" t="n"/>
      <c r="I259" s="63" t="n"/>
      <c r="J259" s="48" t="n"/>
      <c r="K259" s="58" t="n"/>
      <c r="L259" s="42" t="n"/>
      <c r="M259" s="42" t="n"/>
      <c r="N259" s="48" t="n"/>
      <c r="O259" s="58" t="n"/>
      <c r="P259" s="42" t="n"/>
      <c r="Q259" s="42" t="n"/>
      <c r="R259" s="48" t="n"/>
      <c r="S259" s="58" t="n"/>
      <c r="T259" s="42" t="n"/>
      <c r="U259" s="42" t="n"/>
      <c r="V259" s="48" t="n"/>
      <c r="W259" s="58" t="n"/>
      <c r="X259" s="42" t="n"/>
      <c r="Y259" s="42" t="n"/>
      <c r="Z259" s="48" t="n"/>
      <c r="AA259" s="58" t="n"/>
      <c r="AB259" s="42" t="n"/>
      <c r="AC259" s="42" t="n"/>
      <c r="AD259" s="48" t="n"/>
      <c r="AE259" s="58" t="n"/>
      <c r="AF259" s="42" t="n"/>
      <c r="AG259" s="42" t="n"/>
      <c r="AH259" s="48" t="n"/>
      <c r="AI259" s="58" t="n"/>
    </row>
    <row r="260">
      <c r="B260" s="2">
        <f>IF(STUDENTS!B259="","",STUDENTS!B259)</f>
        <v/>
      </c>
      <c r="C260" s="44">
        <f>IFERROR(IF(B260="","",_xlfn.XLOOKUP(B260,STUDENTS!$B$3:$B$1048576,STUDENTS!$C$3:$C$1048576)),"Enter a registered reg. no")</f>
        <v/>
      </c>
      <c r="F260" s="66" t="n"/>
      <c r="G260" s="67" t="n"/>
      <c r="J260" s="66" t="n"/>
      <c r="K260" s="67" t="n"/>
      <c r="N260" s="66" t="n"/>
      <c r="O260" s="67" t="n"/>
      <c r="R260" s="66" t="n"/>
      <c r="S260" s="67" t="n"/>
      <c r="V260" s="66" t="n"/>
      <c r="W260" s="67" t="n"/>
      <c r="Z260" s="66" t="n"/>
      <c r="AA260" s="67" t="n"/>
      <c r="AD260" s="66" t="n"/>
      <c r="AE260" s="67" t="n"/>
      <c r="AH260" s="66" t="n"/>
      <c r="AI260" s="67" t="n"/>
    </row>
    <row r="261">
      <c r="B261" s="2">
        <f>IF(STUDENTS!B260="","",STUDENTS!B260)</f>
        <v/>
      </c>
      <c r="C261" s="44">
        <f>IFERROR(IF(B261="","",_xlfn.XLOOKUP(B261,STUDENTS!$B$3:$B$1048576,STUDENTS!$C$3:$C$1048576)),"Enter a registered reg. no")</f>
        <v/>
      </c>
      <c r="D261" s="54" t="n"/>
      <c r="E261" s="55" t="n"/>
      <c r="F261" s="48" t="n"/>
      <c r="G261" s="58" t="n"/>
      <c r="H261" s="62" t="n"/>
      <c r="I261" s="63" t="n"/>
      <c r="J261" s="48" t="n"/>
      <c r="K261" s="58" t="n"/>
      <c r="L261" s="42" t="n"/>
      <c r="M261" s="42" t="n"/>
      <c r="N261" s="48" t="n"/>
      <c r="O261" s="58" t="n"/>
      <c r="P261" s="42" t="n"/>
      <c r="Q261" s="42" t="n"/>
      <c r="R261" s="48" t="n"/>
      <c r="S261" s="58" t="n"/>
      <c r="T261" s="42" t="n"/>
      <c r="U261" s="42" t="n"/>
      <c r="V261" s="48" t="n"/>
      <c r="W261" s="58" t="n"/>
      <c r="X261" s="42" t="n"/>
      <c r="Y261" s="42" t="n"/>
      <c r="Z261" s="48" t="n"/>
      <c r="AA261" s="58" t="n"/>
      <c r="AB261" s="42" t="n"/>
      <c r="AC261" s="42" t="n"/>
      <c r="AD261" s="48" t="n"/>
      <c r="AE261" s="58" t="n"/>
      <c r="AF261" s="42" t="n"/>
      <c r="AG261" s="42" t="n"/>
      <c r="AH261" s="48" t="n"/>
      <c r="AI261" s="58" t="n"/>
    </row>
    <row r="262">
      <c r="B262" s="2">
        <f>IF(STUDENTS!B261="","",STUDENTS!B261)</f>
        <v/>
      </c>
      <c r="C262" s="44">
        <f>IFERROR(IF(B262="","",_xlfn.XLOOKUP(B262,STUDENTS!$B$3:$B$1048576,STUDENTS!$C$3:$C$1048576)),"Enter a registered reg. no")</f>
        <v/>
      </c>
      <c r="F262" s="66" t="n"/>
      <c r="G262" s="67" t="n"/>
      <c r="J262" s="66" t="n"/>
      <c r="K262" s="67" t="n"/>
      <c r="N262" s="66" t="n"/>
      <c r="O262" s="67" t="n"/>
      <c r="R262" s="66" t="n"/>
      <c r="S262" s="67" t="n"/>
      <c r="V262" s="66" t="n"/>
      <c r="W262" s="67" t="n"/>
      <c r="Z262" s="66" t="n"/>
      <c r="AA262" s="67" t="n"/>
      <c r="AD262" s="66" t="n"/>
      <c r="AE262" s="67" t="n"/>
      <c r="AH262" s="66" t="n"/>
      <c r="AI262" s="67" t="n"/>
    </row>
    <row r="263">
      <c r="B263" s="2">
        <f>IF(STUDENTS!B262="","",STUDENTS!B262)</f>
        <v/>
      </c>
      <c r="C263" s="44">
        <f>IFERROR(IF(B263="","",_xlfn.XLOOKUP(B263,STUDENTS!$B$3:$B$1048576,STUDENTS!$C$3:$C$1048576)),"Enter a registered reg. no")</f>
        <v/>
      </c>
      <c r="D263" s="54" t="n"/>
      <c r="E263" s="55" t="n"/>
      <c r="F263" s="48" t="n"/>
      <c r="G263" s="58" t="n"/>
      <c r="H263" s="62" t="n"/>
      <c r="I263" s="63" t="n"/>
      <c r="J263" s="48" t="n"/>
      <c r="K263" s="58" t="n"/>
      <c r="L263" s="42" t="n"/>
      <c r="M263" s="42" t="n"/>
      <c r="N263" s="48" t="n"/>
      <c r="O263" s="58" t="n"/>
      <c r="P263" s="42" t="n"/>
      <c r="Q263" s="42" t="n"/>
      <c r="R263" s="48" t="n"/>
      <c r="S263" s="58" t="n"/>
      <c r="T263" s="42" t="n"/>
      <c r="U263" s="42" t="n"/>
      <c r="V263" s="48" t="n"/>
      <c r="W263" s="58" t="n"/>
      <c r="X263" s="42" t="n"/>
      <c r="Y263" s="42" t="n"/>
      <c r="Z263" s="48" t="n"/>
      <c r="AA263" s="58" t="n"/>
      <c r="AB263" s="42" t="n"/>
      <c r="AC263" s="42" t="n"/>
      <c r="AD263" s="48" t="n"/>
      <c r="AE263" s="58" t="n"/>
      <c r="AF263" s="42" t="n"/>
      <c r="AG263" s="42" t="n"/>
      <c r="AH263" s="48" t="n"/>
      <c r="AI263" s="58" t="n"/>
    </row>
    <row r="264">
      <c r="B264" s="2">
        <f>IF(STUDENTS!B263="","",STUDENTS!B263)</f>
        <v/>
      </c>
      <c r="C264" s="44">
        <f>IFERROR(IF(B264="","",_xlfn.XLOOKUP(B264,STUDENTS!$B$3:$B$1048576,STUDENTS!$C$3:$C$1048576)),"Enter a registered reg. no")</f>
        <v/>
      </c>
      <c r="F264" s="66" t="n"/>
      <c r="G264" s="67" t="n"/>
      <c r="J264" s="66" t="n"/>
      <c r="K264" s="67" t="n"/>
      <c r="N264" s="66" t="n"/>
      <c r="O264" s="67" t="n"/>
      <c r="R264" s="66" t="n"/>
      <c r="S264" s="67" t="n"/>
      <c r="V264" s="66" t="n"/>
      <c r="W264" s="67" t="n"/>
      <c r="Z264" s="66" t="n"/>
      <c r="AA264" s="67" t="n"/>
      <c r="AD264" s="66" t="n"/>
      <c r="AE264" s="67" t="n"/>
      <c r="AH264" s="66" t="n"/>
      <c r="AI264" s="67" t="n"/>
    </row>
    <row r="265">
      <c r="B265" s="2">
        <f>IF(STUDENTS!B264="","",STUDENTS!B264)</f>
        <v/>
      </c>
      <c r="C265" s="44">
        <f>IFERROR(IF(B265="","",_xlfn.XLOOKUP(B265,STUDENTS!$B$3:$B$1048576,STUDENTS!$C$3:$C$1048576)),"Enter a registered reg. no")</f>
        <v/>
      </c>
      <c r="D265" s="54" t="n"/>
      <c r="E265" s="55" t="n"/>
      <c r="F265" s="48" t="n"/>
      <c r="G265" s="58" t="n"/>
      <c r="H265" s="62" t="n"/>
      <c r="I265" s="63" t="n"/>
      <c r="J265" s="48" t="n"/>
      <c r="K265" s="58" t="n"/>
      <c r="L265" s="42" t="n"/>
      <c r="M265" s="42" t="n"/>
      <c r="N265" s="48" t="n"/>
      <c r="O265" s="58" t="n"/>
      <c r="P265" s="42" t="n"/>
      <c r="Q265" s="42" t="n"/>
      <c r="R265" s="48" t="n"/>
      <c r="S265" s="58" t="n"/>
      <c r="T265" s="42" t="n"/>
      <c r="U265" s="42" t="n"/>
      <c r="V265" s="48" t="n"/>
      <c r="W265" s="58" t="n"/>
      <c r="X265" s="42" t="n"/>
      <c r="Y265" s="42" t="n"/>
      <c r="Z265" s="48" t="n"/>
      <c r="AA265" s="58" t="n"/>
      <c r="AB265" s="42" t="n"/>
      <c r="AC265" s="42" t="n"/>
      <c r="AD265" s="48" t="n"/>
      <c r="AE265" s="58" t="n"/>
      <c r="AF265" s="42" t="n"/>
      <c r="AG265" s="42" t="n"/>
      <c r="AH265" s="48" t="n"/>
      <c r="AI265" s="58" t="n"/>
    </row>
    <row r="266">
      <c r="B266" s="2">
        <f>IF(STUDENTS!B265="","",STUDENTS!B265)</f>
        <v/>
      </c>
      <c r="C266" s="44">
        <f>IFERROR(IF(B266="","",_xlfn.XLOOKUP(B266,STUDENTS!$B$3:$B$1048576,STUDENTS!$C$3:$C$1048576)),"Enter a registered reg. no")</f>
        <v/>
      </c>
      <c r="F266" s="66" t="n"/>
      <c r="G266" s="67" t="n"/>
      <c r="J266" s="66" t="n"/>
      <c r="K266" s="67" t="n"/>
      <c r="N266" s="66" t="n"/>
      <c r="O266" s="67" t="n"/>
      <c r="R266" s="66" t="n"/>
      <c r="S266" s="67" t="n"/>
      <c r="V266" s="66" t="n"/>
      <c r="W266" s="67" t="n"/>
      <c r="Z266" s="66" t="n"/>
      <c r="AA266" s="67" t="n"/>
      <c r="AD266" s="66" t="n"/>
      <c r="AE266" s="67" t="n"/>
      <c r="AH266" s="66" t="n"/>
      <c r="AI266" s="67" t="n"/>
    </row>
    <row r="267">
      <c r="B267" s="2">
        <f>IF(STUDENTS!B266="","",STUDENTS!B266)</f>
        <v/>
      </c>
      <c r="C267" s="44">
        <f>IFERROR(IF(B267="","",_xlfn.XLOOKUP(B267,STUDENTS!$B$3:$B$1048576,STUDENTS!$C$3:$C$1048576)),"Enter a registered reg. no")</f>
        <v/>
      </c>
      <c r="D267" s="54" t="n"/>
      <c r="E267" s="55" t="n"/>
      <c r="F267" s="48" t="n"/>
      <c r="G267" s="58" t="n"/>
      <c r="H267" s="62" t="n"/>
      <c r="I267" s="63" t="n"/>
      <c r="J267" s="48" t="n"/>
      <c r="K267" s="58" t="n"/>
      <c r="L267" s="42" t="n"/>
      <c r="M267" s="42" t="n"/>
      <c r="N267" s="48" t="n"/>
      <c r="O267" s="58" t="n"/>
      <c r="P267" s="42" t="n"/>
      <c r="Q267" s="42" t="n"/>
      <c r="R267" s="48" t="n"/>
      <c r="S267" s="58" t="n"/>
      <c r="T267" s="42" t="n"/>
      <c r="U267" s="42" t="n"/>
      <c r="V267" s="48" t="n"/>
      <c r="W267" s="58" t="n"/>
      <c r="X267" s="42" t="n"/>
      <c r="Y267" s="42" t="n"/>
      <c r="Z267" s="48" t="n"/>
      <c r="AA267" s="58" t="n"/>
      <c r="AB267" s="42" t="n"/>
      <c r="AC267" s="42" t="n"/>
      <c r="AD267" s="48" t="n"/>
      <c r="AE267" s="58" t="n"/>
      <c r="AF267" s="42" t="n"/>
      <c r="AG267" s="42" t="n"/>
      <c r="AH267" s="48" t="n"/>
      <c r="AI267" s="58" t="n"/>
    </row>
    <row r="268">
      <c r="B268" s="2">
        <f>IF(STUDENTS!B267="","",STUDENTS!B267)</f>
        <v/>
      </c>
      <c r="C268" s="44">
        <f>IFERROR(IF(B268="","",_xlfn.XLOOKUP(B268,STUDENTS!$B$3:$B$1048576,STUDENTS!$C$3:$C$1048576)),"Enter a registered reg. no")</f>
        <v/>
      </c>
      <c r="F268" s="66" t="n"/>
      <c r="G268" s="67" t="n"/>
      <c r="J268" s="66" t="n"/>
      <c r="K268" s="67" t="n"/>
      <c r="N268" s="66" t="n"/>
      <c r="O268" s="67" t="n"/>
      <c r="R268" s="66" t="n"/>
      <c r="S268" s="67" t="n"/>
      <c r="V268" s="66" t="n"/>
      <c r="W268" s="67" t="n"/>
      <c r="Z268" s="66" t="n"/>
      <c r="AA268" s="67" t="n"/>
      <c r="AD268" s="66" t="n"/>
      <c r="AE268" s="67" t="n"/>
      <c r="AH268" s="66" t="n"/>
      <c r="AI268" s="67" t="n"/>
    </row>
    <row r="269">
      <c r="B269" s="2">
        <f>IF(STUDENTS!B268="","",STUDENTS!B268)</f>
        <v/>
      </c>
      <c r="C269" s="44">
        <f>IFERROR(IF(B269="","",_xlfn.XLOOKUP(B269,STUDENTS!$B$3:$B$1048576,STUDENTS!$C$3:$C$1048576)),"Enter a registered reg. no")</f>
        <v/>
      </c>
      <c r="D269" s="54" t="n"/>
      <c r="E269" s="55" t="n"/>
      <c r="F269" s="48" t="n"/>
      <c r="G269" s="58" t="n"/>
      <c r="H269" s="62" t="n"/>
      <c r="I269" s="63" t="n"/>
      <c r="J269" s="48" t="n"/>
      <c r="K269" s="58" t="n"/>
      <c r="L269" s="42" t="n"/>
      <c r="M269" s="42" t="n"/>
      <c r="N269" s="48" t="n"/>
      <c r="O269" s="58" t="n"/>
      <c r="P269" s="42" t="n"/>
      <c r="Q269" s="42" t="n"/>
      <c r="R269" s="48" t="n"/>
      <c r="S269" s="58" t="n"/>
      <c r="T269" s="42" t="n"/>
      <c r="U269" s="42" t="n"/>
      <c r="V269" s="48" t="n"/>
      <c r="W269" s="58" t="n"/>
      <c r="X269" s="42" t="n"/>
      <c r="Y269" s="42" t="n"/>
      <c r="Z269" s="48" t="n"/>
      <c r="AA269" s="58" t="n"/>
      <c r="AB269" s="42" t="n"/>
      <c r="AC269" s="42" t="n"/>
      <c r="AD269" s="48" t="n"/>
      <c r="AE269" s="58" t="n"/>
      <c r="AF269" s="42" t="n"/>
      <c r="AG269" s="42" t="n"/>
      <c r="AH269" s="48" t="n"/>
      <c r="AI269" s="58" t="n"/>
    </row>
    <row r="270">
      <c r="B270" s="2">
        <f>IF(STUDENTS!B269="","",STUDENTS!B269)</f>
        <v/>
      </c>
      <c r="C270" s="44">
        <f>IFERROR(IF(B270="","",_xlfn.XLOOKUP(B270,STUDENTS!$B$3:$B$1048576,STUDENTS!$C$3:$C$1048576)),"Enter a registered reg. no")</f>
        <v/>
      </c>
      <c r="F270" s="66" t="n"/>
      <c r="G270" s="67" t="n"/>
      <c r="J270" s="66" t="n"/>
      <c r="K270" s="67" t="n"/>
      <c r="N270" s="66" t="n"/>
      <c r="O270" s="67" t="n"/>
      <c r="R270" s="66" t="n"/>
      <c r="S270" s="67" t="n"/>
      <c r="V270" s="66" t="n"/>
      <c r="W270" s="67" t="n"/>
      <c r="Z270" s="66" t="n"/>
      <c r="AA270" s="67" t="n"/>
      <c r="AD270" s="66" t="n"/>
      <c r="AE270" s="67" t="n"/>
      <c r="AH270" s="66" t="n"/>
      <c r="AI270" s="67" t="n"/>
    </row>
    <row r="271">
      <c r="B271" s="2">
        <f>IF(STUDENTS!B270="","",STUDENTS!B270)</f>
        <v/>
      </c>
      <c r="C271" s="44">
        <f>IFERROR(IF(B271="","",_xlfn.XLOOKUP(B271,STUDENTS!$B$3:$B$1048576,STUDENTS!$C$3:$C$1048576)),"Enter a registered reg. no")</f>
        <v/>
      </c>
      <c r="D271" s="54" t="n"/>
      <c r="E271" s="55" t="n"/>
      <c r="F271" s="48" t="n"/>
      <c r="G271" s="58" t="n"/>
      <c r="H271" s="62" t="n"/>
      <c r="I271" s="63" t="n"/>
      <c r="J271" s="48" t="n"/>
      <c r="K271" s="58" t="n"/>
      <c r="L271" s="42" t="n"/>
      <c r="M271" s="42" t="n"/>
      <c r="N271" s="48" t="n"/>
      <c r="O271" s="58" t="n"/>
      <c r="P271" s="42" t="n"/>
      <c r="Q271" s="42" t="n"/>
      <c r="R271" s="48" t="n"/>
      <c r="S271" s="58" t="n"/>
      <c r="T271" s="42" t="n"/>
      <c r="U271" s="42" t="n"/>
      <c r="V271" s="48" t="n"/>
      <c r="W271" s="58" t="n"/>
      <c r="X271" s="42" t="n"/>
      <c r="Y271" s="42" t="n"/>
      <c r="Z271" s="48" t="n"/>
      <c r="AA271" s="58" t="n"/>
      <c r="AB271" s="42" t="n"/>
      <c r="AC271" s="42" t="n"/>
      <c r="AD271" s="48" t="n"/>
      <c r="AE271" s="58" t="n"/>
      <c r="AF271" s="42" t="n"/>
      <c r="AG271" s="42" t="n"/>
      <c r="AH271" s="48" t="n"/>
      <c r="AI271" s="58" t="n"/>
    </row>
    <row r="272">
      <c r="B272" s="2">
        <f>IF(STUDENTS!B271="","",STUDENTS!B271)</f>
        <v/>
      </c>
      <c r="C272" s="44">
        <f>IFERROR(IF(B272="","",_xlfn.XLOOKUP(B272,STUDENTS!$B$3:$B$1048576,STUDENTS!$C$3:$C$1048576)),"Enter a registered reg. no")</f>
        <v/>
      </c>
      <c r="F272" s="66" t="n"/>
      <c r="G272" s="67" t="n"/>
      <c r="J272" s="66" t="n"/>
      <c r="K272" s="67" t="n"/>
      <c r="N272" s="66" t="n"/>
      <c r="O272" s="67" t="n"/>
      <c r="R272" s="66" t="n"/>
      <c r="S272" s="67" t="n"/>
      <c r="V272" s="66" t="n"/>
      <c r="W272" s="67" t="n"/>
      <c r="Z272" s="66" t="n"/>
      <c r="AA272" s="67" t="n"/>
      <c r="AD272" s="66" t="n"/>
      <c r="AE272" s="67" t="n"/>
      <c r="AH272" s="66" t="n"/>
      <c r="AI272" s="67" t="n"/>
    </row>
    <row r="273">
      <c r="B273" s="2">
        <f>IF(STUDENTS!B272="","",STUDENTS!B272)</f>
        <v/>
      </c>
      <c r="C273" s="44">
        <f>IFERROR(IF(B273="","",_xlfn.XLOOKUP(B273,STUDENTS!$B$3:$B$1048576,STUDENTS!$C$3:$C$1048576)),"Enter a registered reg. no")</f>
        <v/>
      </c>
      <c r="D273" s="54" t="n"/>
      <c r="E273" s="55" t="n"/>
      <c r="F273" s="48" t="n"/>
      <c r="G273" s="58" t="n"/>
      <c r="H273" s="62" t="n"/>
      <c r="I273" s="63" t="n"/>
      <c r="J273" s="48" t="n"/>
      <c r="K273" s="58" t="n"/>
      <c r="L273" s="42" t="n"/>
      <c r="M273" s="42" t="n"/>
      <c r="N273" s="48" t="n"/>
      <c r="O273" s="58" t="n"/>
      <c r="P273" s="42" t="n"/>
      <c r="Q273" s="42" t="n"/>
      <c r="R273" s="48" t="n"/>
      <c r="S273" s="58" t="n"/>
      <c r="T273" s="42" t="n"/>
      <c r="U273" s="42" t="n"/>
      <c r="V273" s="48" t="n"/>
      <c r="W273" s="58" t="n"/>
      <c r="X273" s="42" t="n"/>
      <c r="Y273" s="42" t="n"/>
      <c r="Z273" s="48" t="n"/>
      <c r="AA273" s="58" t="n"/>
      <c r="AB273" s="42" t="n"/>
      <c r="AC273" s="42" t="n"/>
      <c r="AD273" s="48" t="n"/>
      <c r="AE273" s="58" t="n"/>
      <c r="AF273" s="42" t="n"/>
      <c r="AG273" s="42" t="n"/>
      <c r="AH273" s="48" t="n"/>
      <c r="AI273" s="58" t="n"/>
    </row>
    <row r="274">
      <c r="B274" s="2">
        <f>IF(STUDENTS!B273="","",STUDENTS!B273)</f>
        <v/>
      </c>
      <c r="C274" s="44">
        <f>IFERROR(IF(B274="","",_xlfn.XLOOKUP(B274,STUDENTS!$B$3:$B$1048576,STUDENTS!$C$3:$C$1048576)),"Enter a registered reg. no")</f>
        <v/>
      </c>
      <c r="F274" s="66" t="n"/>
      <c r="G274" s="67" t="n"/>
      <c r="J274" s="66" t="n"/>
      <c r="K274" s="67" t="n"/>
      <c r="N274" s="66" t="n"/>
      <c r="O274" s="67" t="n"/>
      <c r="R274" s="66" t="n"/>
      <c r="S274" s="67" t="n"/>
      <c r="V274" s="66" t="n"/>
      <c r="W274" s="67" t="n"/>
      <c r="Z274" s="66" t="n"/>
      <c r="AA274" s="67" t="n"/>
      <c r="AD274" s="66" t="n"/>
      <c r="AE274" s="67" t="n"/>
      <c r="AH274" s="66" t="n"/>
      <c r="AI274" s="67" t="n"/>
    </row>
    <row r="275">
      <c r="B275" s="2">
        <f>IF(STUDENTS!B274="","",STUDENTS!B274)</f>
        <v/>
      </c>
      <c r="C275" s="44">
        <f>IFERROR(IF(B275="","",_xlfn.XLOOKUP(B275,STUDENTS!$B$3:$B$1048576,STUDENTS!$C$3:$C$1048576)),"Enter a registered reg. no")</f>
        <v/>
      </c>
      <c r="D275" s="54" t="n"/>
      <c r="E275" s="55" t="n"/>
      <c r="F275" s="48" t="n"/>
      <c r="G275" s="58" t="n"/>
      <c r="H275" s="62" t="n"/>
      <c r="I275" s="63" t="n"/>
      <c r="J275" s="48" t="n"/>
      <c r="K275" s="58" t="n"/>
      <c r="L275" s="42" t="n"/>
      <c r="M275" s="42" t="n"/>
      <c r="N275" s="48" t="n"/>
      <c r="O275" s="58" t="n"/>
      <c r="P275" s="42" t="n"/>
      <c r="Q275" s="42" t="n"/>
      <c r="R275" s="48" t="n"/>
      <c r="S275" s="58" t="n"/>
      <c r="T275" s="42" t="n"/>
      <c r="U275" s="42" t="n"/>
      <c r="V275" s="48" t="n"/>
      <c r="W275" s="58" t="n"/>
      <c r="X275" s="42" t="n"/>
      <c r="Y275" s="42" t="n"/>
      <c r="Z275" s="48" t="n"/>
      <c r="AA275" s="58" t="n"/>
      <c r="AB275" s="42" t="n"/>
      <c r="AC275" s="42" t="n"/>
      <c r="AD275" s="48" t="n"/>
      <c r="AE275" s="58" t="n"/>
      <c r="AF275" s="42" t="n"/>
      <c r="AG275" s="42" t="n"/>
      <c r="AH275" s="48" t="n"/>
      <c r="AI275" s="58" t="n"/>
    </row>
    <row r="276">
      <c r="B276" s="2">
        <f>IF(STUDENTS!B275="","",STUDENTS!B275)</f>
        <v/>
      </c>
      <c r="C276" s="44">
        <f>IFERROR(IF(B276="","",_xlfn.XLOOKUP(B276,STUDENTS!$B$3:$B$1048576,STUDENTS!$C$3:$C$1048576)),"Enter a registered reg. no")</f>
        <v/>
      </c>
      <c r="F276" s="66" t="n"/>
      <c r="G276" s="67" t="n"/>
      <c r="J276" s="66" t="n"/>
      <c r="K276" s="67" t="n"/>
      <c r="N276" s="66" t="n"/>
      <c r="O276" s="67" t="n"/>
      <c r="R276" s="66" t="n"/>
      <c r="S276" s="67" t="n"/>
      <c r="V276" s="66" t="n"/>
      <c r="W276" s="67" t="n"/>
      <c r="Z276" s="66" t="n"/>
      <c r="AA276" s="67" t="n"/>
      <c r="AD276" s="66" t="n"/>
      <c r="AE276" s="67" t="n"/>
      <c r="AH276" s="66" t="n"/>
      <c r="AI276" s="67" t="n"/>
    </row>
    <row r="277">
      <c r="B277" s="2">
        <f>IF(STUDENTS!B276="","",STUDENTS!B276)</f>
        <v/>
      </c>
      <c r="C277" s="44">
        <f>IFERROR(IF(B277="","",_xlfn.XLOOKUP(B277,STUDENTS!$B$3:$B$1048576,STUDENTS!$C$3:$C$1048576)),"Enter a registered reg. no")</f>
        <v/>
      </c>
      <c r="D277" s="54" t="n"/>
      <c r="E277" s="55" t="n"/>
      <c r="F277" s="48" t="n"/>
      <c r="G277" s="58" t="n"/>
      <c r="H277" s="62" t="n"/>
      <c r="I277" s="63" t="n"/>
      <c r="J277" s="48" t="n"/>
      <c r="K277" s="58" t="n"/>
      <c r="L277" s="42" t="n"/>
      <c r="M277" s="42" t="n"/>
      <c r="N277" s="48" t="n"/>
      <c r="O277" s="58" t="n"/>
      <c r="P277" s="42" t="n"/>
      <c r="Q277" s="42" t="n"/>
      <c r="R277" s="48" t="n"/>
      <c r="S277" s="58" t="n"/>
      <c r="T277" s="42" t="n"/>
      <c r="U277" s="42" t="n"/>
      <c r="V277" s="48" t="n"/>
      <c r="W277" s="58" t="n"/>
      <c r="X277" s="42" t="n"/>
      <c r="Y277" s="42" t="n"/>
      <c r="Z277" s="48" t="n"/>
      <c r="AA277" s="58" t="n"/>
      <c r="AB277" s="42" t="n"/>
      <c r="AC277" s="42" t="n"/>
      <c r="AD277" s="48" t="n"/>
      <c r="AE277" s="58" t="n"/>
      <c r="AF277" s="42" t="n"/>
      <c r="AG277" s="42" t="n"/>
      <c r="AH277" s="48" t="n"/>
      <c r="AI277" s="58" t="n"/>
    </row>
    <row r="278">
      <c r="B278" s="2">
        <f>IF(STUDENTS!B277="","",STUDENTS!B277)</f>
        <v/>
      </c>
      <c r="C278" s="44">
        <f>IFERROR(IF(B278="","",_xlfn.XLOOKUP(B278,STUDENTS!$B$3:$B$1048576,STUDENTS!$C$3:$C$1048576)),"Enter a registered reg. no")</f>
        <v/>
      </c>
      <c r="F278" s="66" t="n"/>
      <c r="G278" s="67" t="n"/>
      <c r="J278" s="66" t="n"/>
      <c r="K278" s="67" t="n"/>
      <c r="N278" s="66" t="n"/>
      <c r="O278" s="67" t="n"/>
      <c r="R278" s="66" t="n"/>
      <c r="S278" s="67" t="n"/>
      <c r="V278" s="66" t="n"/>
      <c r="W278" s="67" t="n"/>
      <c r="Z278" s="66" t="n"/>
      <c r="AA278" s="67" t="n"/>
      <c r="AD278" s="66" t="n"/>
      <c r="AE278" s="67" t="n"/>
      <c r="AH278" s="66" t="n"/>
      <c r="AI278" s="67" t="n"/>
    </row>
    <row r="279">
      <c r="B279" s="2">
        <f>IF(STUDENTS!B278="","",STUDENTS!B278)</f>
        <v/>
      </c>
      <c r="C279" s="44">
        <f>IFERROR(IF(B279="","",_xlfn.XLOOKUP(B279,STUDENTS!$B$3:$B$1048576,STUDENTS!$C$3:$C$1048576)),"Enter a registered reg. no")</f>
        <v/>
      </c>
      <c r="D279" s="54" t="n"/>
      <c r="E279" s="55" t="n"/>
      <c r="F279" s="48" t="n"/>
      <c r="G279" s="58" t="n"/>
      <c r="H279" s="62" t="n"/>
      <c r="I279" s="63" t="n"/>
      <c r="J279" s="48" t="n"/>
      <c r="K279" s="58" t="n"/>
      <c r="L279" s="42" t="n"/>
      <c r="M279" s="42" t="n"/>
      <c r="N279" s="48" t="n"/>
      <c r="O279" s="58" t="n"/>
      <c r="P279" s="42" t="n"/>
      <c r="Q279" s="42" t="n"/>
      <c r="R279" s="48" t="n"/>
      <c r="S279" s="58" t="n"/>
      <c r="T279" s="42" t="n"/>
      <c r="U279" s="42" t="n"/>
      <c r="V279" s="48" t="n"/>
      <c r="W279" s="58" t="n"/>
      <c r="X279" s="42" t="n"/>
      <c r="Y279" s="42" t="n"/>
      <c r="Z279" s="48" t="n"/>
      <c r="AA279" s="58" t="n"/>
      <c r="AB279" s="42" t="n"/>
      <c r="AC279" s="42" t="n"/>
      <c r="AD279" s="48" t="n"/>
      <c r="AE279" s="58" t="n"/>
      <c r="AF279" s="42" t="n"/>
      <c r="AG279" s="42" t="n"/>
      <c r="AH279" s="48" t="n"/>
      <c r="AI279" s="58" t="n"/>
    </row>
    <row r="280">
      <c r="B280" s="2">
        <f>IF(STUDENTS!B279="","",STUDENTS!B279)</f>
        <v/>
      </c>
      <c r="C280" s="44">
        <f>IFERROR(IF(B280="","",_xlfn.XLOOKUP(B280,STUDENTS!$B$3:$B$1048576,STUDENTS!$C$3:$C$1048576)),"Enter a registered reg. no")</f>
        <v/>
      </c>
      <c r="F280" s="66" t="n"/>
      <c r="G280" s="67" t="n"/>
      <c r="J280" s="66" t="n"/>
      <c r="K280" s="67" t="n"/>
      <c r="N280" s="66" t="n"/>
      <c r="O280" s="67" t="n"/>
      <c r="R280" s="66" t="n"/>
      <c r="S280" s="67" t="n"/>
      <c r="V280" s="66" t="n"/>
      <c r="W280" s="67" t="n"/>
      <c r="Z280" s="66" t="n"/>
      <c r="AA280" s="67" t="n"/>
      <c r="AD280" s="66" t="n"/>
      <c r="AE280" s="67" t="n"/>
      <c r="AH280" s="66" t="n"/>
      <c r="AI280" s="67" t="n"/>
    </row>
    <row r="281">
      <c r="B281" s="2">
        <f>IF(STUDENTS!B280="","",STUDENTS!B280)</f>
        <v/>
      </c>
      <c r="C281" s="44">
        <f>IFERROR(IF(B281="","",_xlfn.XLOOKUP(B281,STUDENTS!$B$3:$B$1048576,STUDENTS!$C$3:$C$1048576)),"Enter a registered reg. no")</f>
        <v/>
      </c>
      <c r="D281" s="54" t="n"/>
      <c r="E281" s="55" t="n"/>
      <c r="F281" s="48" t="n"/>
      <c r="G281" s="58" t="n"/>
      <c r="H281" s="62" t="n"/>
      <c r="I281" s="63" t="n"/>
      <c r="J281" s="48" t="n"/>
      <c r="K281" s="58" t="n"/>
      <c r="L281" s="42" t="n"/>
      <c r="M281" s="42" t="n"/>
      <c r="N281" s="48" t="n"/>
      <c r="O281" s="58" t="n"/>
      <c r="P281" s="42" t="n"/>
      <c r="Q281" s="42" t="n"/>
      <c r="R281" s="48" t="n"/>
      <c r="S281" s="58" t="n"/>
      <c r="T281" s="42" t="n"/>
      <c r="U281" s="42" t="n"/>
      <c r="V281" s="48" t="n"/>
      <c r="W281" s="58" t="n"/>
      <c r="X281" s="42" t="n"/>
      <c r="Y281" s="42" t="n"/>
      <c r="Z281" s="48" t="n"/>
      <c r="AA281" s="58" t="n"/>
      <c r="AB281" s="42" t="n"/>
      <c r="AC281" s="42" t="n"/>
      <c r="AD281" s="48" t="n"/>
      <c r="AE281" s="58" t="n"/>
      <c r="AF281" s="42" t="n"/>
      <c r="AG281" s="42" t="n"/>
      <c r="AH281" s="48" t="n"/>
      <c r="AI281" s="58" t="n"/>
    </row>
    <row r="282">
      <c r="B282" s="2">
        <f>IF(STUDENTS!B281="","",STUDENTS!B281)</f>
        <v/>
      </c>
      <c r="C282" s="44">
        <f>IFERROR(IF(B282="","",_xlfn.XLOOKUP(B282,STUDENTS!$B$3:$B$1048576,STUDENTS!$C$3:$C$1048576)),"Enter a registered reg. no")</f>
        <v/>
      </c>
      <c r="F282" s="66" t="n"/>
      <c r="G282" s="67" t="n"/>
      <c r="J282" s="66" t="n"/>
      <c r="K282" s="67" t="n"/>
      <c r="N282" s="66" t="n"/>
      <c r="O282" s="67" t="n"/>
      <c r="R282" s="66" t="n"/>
      <c r="S282" s="67" t="n"/>
      <c r="V282" s="66" t="n"/>
      <c r="W282" s="67" t="n"/>
      <c r="Z282" s="66" t="n"/>
      <c r="AA282" s="67" t="n"/>
      <c r="AD282" s="66" t="n"/>
      <c r="AE282" s="67" t="n"/>
      <c r="AH282" s="66" t="n"/>
      <c r="AI282" s="67" t="n"/>
    </row>
    <row r="283">
      <c r="B283" s="2">
        <f>IF(STUDENTS!B282="","",STUDENTS!B282)</f>
        <v/>
      </c>
      <c r="C283" s="44">
        <f>IFERROR(IF(B283="","",_xlfn.XLOOKUP(B283,STUDENTS!$B$3:$B$1048576,STUDENTS!$C$3:$C$1048576)),"Enter a registered reg. no")</f>
        <v/>
      </c>
      <c r="D283" s="54" t="n"/>
      <c r="E283" s="55" t="n"/>
      <c r="F283" s="48" t="n"/>
      <c r="G283" s="58" t="n"/>
      <c r="H283" s="62" t="n"/>
      <c r="I283" s="63" t="n"/>
      <c r="J283" s="48" t="n"/>
      <c r="K283" s="58" t="n"/>
      <c r="L283" s="42" t="n"/>
      <c r="M283" s="42" t="n"/>
      <c r="N283" s="48" t="n"/>
      <c r="O283" s="58" t="n"/>
      <c r="P283" s="42" t="n"/>
      <c r="Q283" s="42" t="n"/>
      <c r="R283" s="48" t="n"/>
      <c r="S283" s="58" t="n"/>
      <c r="T283" s="42" t="n"/>
      <c r="U283" s="42" t="n"/>
      <c r="V283" s="48" t="n"/>
      <c r="W283" s="58" t="n"/>
      <c r="X283" s="42" t="n"/>
      <c r="Y283" s="42" t="n"/>
      <c r="Z283" s="48" t="n"/>
      <c r="AA283" s="58" t="n"/>
      <c r="AB283" s="42" t="n"/>
      <c r="AC283" s="42" t="n"/>
      <c r="AD283" s="48" t="n"/>
      <c r="AE283" s="58" t="n"/>
      <c r="AF283" s="42" t="n"/>
      <c r="AG283" s="42" t="n"/>
      <c r="AH283" s="48" t="n"/>
      <c r="AI283" s="58" t="n"/>
    </row>
    <row r="284">
      <c r="B284" s="2">
        <f>IF(STUDENTS!B283="","",STUDENTS!B283)</f>
        <v/>
      </c>
      <c r="C284" s="44">
        <f>IFERROR(IF(B284="","",_xlfn.XLOOKUP(B284,STUDENTS!$B$3:$B$1048576,STUDENTS!$C$3:$C$1048576)),"Enter a registered reg. no")</f>
        <v/>
      </c>
      <c r="F284" s="66" t="n"/>
      <c r="G284" s="67" t="n"/>
      <c r="J284" s="66" t="n"/>
      <c r="K284" s="67" t="n"/>
      <c r="N284" s="66" t="n"/>
      <c r="O284" s="67" t="n"/>
      <c r="R284" s="66" t="n"/>
      <c r="S284" s="67" t="n"/>
      <c r="V284" s="66" t="n"/>
      <c r="W284" s="67" t="n"/>
      <c r="Z284" s="66" t="n"/>
      <c r="AA284" s="67" t="n"/>
      <c r="AD284" s="66" t="n"/>
      <c r="AE284" s="67" t="n"/>
      <c r="AH284" s="66" t="n"/>
      <c r="AI284" s="67" t="n"/>
    </row>
    <row r="285">
      <c r="B285" s="2">
        <f>IF(STUDENTS!B284="","",STUDENTS!B284)</f>
        <v/>
      </c>
      <c r="C285" s="44">
        <f>IFERROR(IF(B285="","",_xlfn.XLOOKUP(B285,STUDENTS!$B$3:$B$1048576,STUDENTS!$C$3:$C$1048576)),"Enter a registered reg. no")</f>
        <v/>
      </c>
      <c r="D285" s="54" t="n"/>
      <c r="E285" s="55" t="n"/>
      <c r="F285" s="48" t="n"/>
      <c r="G285" s="58" t="n"/>
      <c r="H285" s="62" t="n"/>
      <c r="I285" s="63" t="n"/>
      <c r="J285" s="48" t="n"/>
      <c r="K285" s="58" t="n"/>
      <c r="L285" s="42" t="n"/>
      <c r="M285" s="42" t="n"/>
      <c r="N285" s="48" t="n"/>
      <c r="O285" s="58" t="n"/>
      <c r="P285" s="42" t="n"/>
      <c r="Q285" s="42" t="n"/>
      <c r="R285" s="48" t="n"/>
      <c r="S285" s="58" t="n"/>
      <c r="T285" s="42" t="n"/>
      <c r="U285" s="42" t="n"/>
      <c r="V285" s="48" t="n"/>
      <c r="W285" s="58" t="n"/>
      <c r="X285" s="42" t="n"/>
      <c r="Y285" s="42" t="n"/>
      <c r="Z285" s="48" t="n"/>
      <c r="AA285" s="58" t="n"/>
      <c r="AB285" s="42" t="n"/>
      <c r="AC285" s="42" t="n"/>
      <c r="AD285" s="48" t="n"/>
      <c r="AE285" s="58" t="n"/>
      <c r="AF285" s="42" t="n"/>
      <c r="AG285" s="42" t="n"/>
      <c r="AH285" s="48" t="n"/>
      <c r="AI285" s="58" t="n"/>
    </row>
    <row r="286">
      <c r="B286" s="2">
        <f>IF(STUDENTS!B285="","",STUDENTS!B285)</f>
        <v/>
      </c>
      <c r="C286" s="44">
        <f>IFERROR(IF(B286="","",_xlfn.XLOOKUP(B286,STUDENTS!$B$3:$B$1048576,STUDENTS!$C$3:$C$1048576)),"Enter a registered reg. no")</f>
        <v/>
      </c>
      <c r="F286" s="66" t="n"/>
      <c r="G286" s="67" t="n"/>
      <c r="J286" s="66" t="n"/>
      <c r="K286" s="67" t="n"/>
      <c r="N286" s="66" t="n"/>
      <c r="O286" s="67" t="n"/>
      <c r="R286" s="66" t="n"/>
      <c r="S286" s="67" t="n"/>
      <c r="V286" s="66" t="n"/>
      <c r="W286" s="67" t="n"/>
      <c r="Z286" s="66" t="n"/>
      <c r="AA286" s="67" t="n"/>
      <c r="AD286" s="66" t="n"/>
      <c r="AE286" s="67" t="n"/>
      <c r="AH286" s="66" t="n"/>
      <c r="AI286" s="67" t="n"/>
    </row>
    <row r="287">
      <c r="B287" s="2">
        <f>IF(STUDENTS!B286="","",STUDENTS!B286)</f>
        <v/>
      </c>
      <c r="C287" s="44">
        <f>IFERROR(IF(B287="","",_xlfn.XLOOKUP(B287,STUDENTS!$B$3:$B$1048576,STUDENTS!$C$3:$C$1048576)),"Enter a registered reg. no")</f>
        <v/>
      </c>
      <c r="D287" s="54" t="n"/>
      <c r="E287" s="55" t="n"/>
      <c r="F287" s="48" t="n"/>
      <c r="G287" s="58" t="n"/>
      <c r="H287" s="62" t="n"/>
      <c r="I287" s="63" t="n"/>
      <c r="J287" s="48" t="n"/>
      <c r="K287" s="58" t="n"/>
      <c r="L287" s="42" t="n"/>
      <c r="M287" s="42" t="n"/>
      <c r="N287" s="48" t="n"/>
      <c r="O287" s="58" t="n"/>
      <c r="P287" s="42" t="n"/>
      <c r="Q287" s="42" t="n"/>
      <c r="R287" s="48" t="n"/>
      <c r="S287" s="58" t="n"/>
      <c r="T287" s="42" t="n"/>
      <c r="U287" s="42" t="n"/>
      <c r="V287" s="48" t="n"/>
      <c r="W287" s="58" t="n"/>
      <c r="X287" s="42" t="n"/>
      <c r="Y287" s="42" t="n"/>
      <c r="Z287" s="48" t="n"/>
      <c r="AA287" s="58" t="n"/>
      <c r="AB287" s="42" t="n"/>
      <c r="AC287" s="42" t="n"/>
      <c r="AD287" s="48" t="n"/>
      <c r="AE287" s="58" t="n"/>
      <c r="AF287" s="42" t="n"/>
      <c r="AG287" s="42" t="n"/>
      <c r="AH287" s="48" t="n"/>
      <c r="AI287" s="58" t="n"/>
    </row>
    <row r="288">
      <c r="B288" s="2">
        <f>IF(STUDENTS!B287="","",STUDENTS!B287)</f>
        <v/>
      </c>
      <c r="C288" s="44">
        <f>IFERROR(IF(B288="","",_xlfn.XLOOKUP(B288,STUDENTS!$B$3:$B$1048576,STUDENTS!$C$3:$C$1048576)),"Enter a registered reg. no")</f>
        <v/>
      </c>
      <c r="F288" s="66" t="n"/>
      <c r="G288" s="67" t="n"/>
      <c r="J288" s="66" t="n"/>
      <c r="K288" s="67" t="n"/>
      <c r="N288" s="66" t="n"/>
      <c r="O288" s="67" t="n"/>
      <c r="R288" s="66" t="n"/>
      <c r="S288" s="67" t="n"/>
      <c r="V288" s="66" t="n"/>
      <c r="W288" s="67" t="n"/>
      <c r="Z288" s="66" t="n"/>
      <c r="AA288" s="67" t="n"/>
      <c r="AD288" s="66" t="n"/>
      <c r="AE288" s="67" t="n"/>
      <c r="AH288" s="66" t="n"/>
      <c r="AI288" s="67" t="n"/>
    </row>
    <row r="289">
      <c r="B289" s="2">
        <f>IF(STUDENTS!B288="","",STUDENTS!B288)</f>
        <v/>
      </c>
      <c r="C289" s="44">
        <f>IFERROR(IF(B289="","",_xlfn.XLOOKUP(B289,STUDENTS!$B$3:$B$1048576,STUDENTS!$C$3:$C$1048576)),"Enter a registered reg. no")</f>
        <v/>
      </c>
      <c r="D289" s="54" t="n"/>
      <c r="E289" s="55" t="n"/>
      <c r="F289" s="48" t="n"/>
      <c r="G289" s="58" t="n"/>
      <c r="H289" s="62" t="n"/>
      <c r="I289" s="63" t="n"/>
      <c r="J289" s="48" t="n"/>
      <c r="K289" s="58" t="n"/>
      <c r="L289" s="42" t="n"/>
      <c r="M289" s="42" t="n"/>
      <c r="N289" s="48" t="n"/>
      <c r="O289" s="58" t="n"/>
      <c r="P289" s="42" t="n"/>
      <c r="Q289" s="42" t="n"/>
      <c r="R289" s="48" t="n"/>
      <c r="S289" s="58" t="n"/>
      <c r="T289" s="42" t="n"/>
      <c r="U289" s="42" t="n"/>
      <c r="V289" s="48" t="n"/>
      <c r="W289" s="58" t="n"/>
      <c r="X289" s="42" t="n"/>
      <c r="Y289" s="42" t="n"/>
      <c r="Z289" s="48" t="n"/>
      <c r="AA289" s="58" t="n"/>
      <c r="AB289" s="42" t="n"/>
      <c r="AC289" s="42" t="n"/>
      <c r="AD289" s="48" t="n"/>
      <c r="AE289" s="58" t="n"/>
      <c r="AF289" s="42" t="n"/>
      <c r="AG289" s="42" t="n"/>
      <c r="AH289" s="48" t="n"/>
      <c r="AI289" s="58" t="n"/>
    </row>
    <row r="290">
      <c r="B290" s="2">
        <f>IF(STUDENTS!B289="","",STUDENTS!B289)</f>
        <v/>
      </c>
      <c r="C290" s="44">
        <f>IFERROR(IF(B290="","",_xlfn.XLOOKUP(B290,STUDENTS!$B$3:$B$1048576,STUDENTS!$C$3:$C$1048576)),"Enter a registered reg. no")</f>
        <v/>
      </c>
      <c r="F290" s="66" t="n"/>
      <c r="G290" s="67" t="n"/>
      <c r="J290" s="66" t="n"/>
      <c r="K290" s="67" t="n"/>
      <c r="N290" s="66" t="n"/>
      <c r="O290" s="67" t="n"/>
      <c r="R290" s="66" t="n"/>
      <c r="S290" s="67" t="n"/>
      <c r="V290" s="66" t="n"/>
      <c r="W290" s="67" t="n"/>
      <c r="Z290" s="66" t="n"/>
      <c r="AA290" s="67" t="n"/>
      <c r="AD290" s="66" t="n"/>
      <c r="AE290" s="67" t="n"/>
      <c r="AH290" s="66" t="n"/>
      <c r="AI290" s="67" t="n"/>
    </row>
    <row r="291">
      <c r="B291" s="2">
        <f>IF(STUDENTS!B290="","",STUDENTS!B290)</f>
        <v/>
      </c>
      <c r="C291" s="44">
        <f>IFERROR(IF(B291="","",_xlfn.XLOOKUP(B291,STUDENTS!$B$3:$B$1048576,STUDENTS!$C$3:$C$1048576)),"Enter a registered reg. no")</f>
        <v/>
      </c>
      <c r="D291" s="54" t="n"/>
      <c r="E291" s="55" t="n"/>
      <c r="F291" s="48" t="n"/>
      <c r="G291" s="58" t="n"/>
      <c r="H291" s="62" t="n"/>
      <c r="I291" s="63" t="n"/>
      <c r="J291" s="48" t="n"/>
      <c r="K291" s="58" t="n"/>
      <c r="L291" s="42" t="n"/>
      <c r="M291" s="42" t="n"/>
      <c r="N291" s="48" t="n"/>
      <c r="O291" s="58" t="n"/>
      <c r="P291" s="42" t="n"/>
      <c r="Q291" s="42" t="n"/>
      <c r="R291" s="48" t="n"/>
      <c r="S291" s="58" t="n"/>
      <c r="T291" s="42" t="n"/>
      <c r="U291" s="42" t="n"/>
      <c r="V291" s="48" t="n"/>
      <c r="W291" s="58" t="n"/>
      <c r="X291" s="42" t="n"/>
      <c r="Y291" s="42" t="n"/>
      <c r="Z291" s="48" t="n"/>
      <c r="AA291" s="58" t="n"/>
      <c r="AB291" s="42" t="n"/>
      <c r="AC291" s="42" t="n"/>
      <c r="AD291" s="48" t="n"/>
      <c r="AE291" s="58" t="n"/>
      <c r="AF291" s="42" t="n"/>
      <c r="AG291" s="42" t="n"/>
      <c r="AH291" s="48" t="n"/>
      <c r="AI291" s="58" t="n"/>
    </row>
    <row r="292">
      <c r="B292" s="2">
        <f>IF(STUDENTS!B291="","",STUDENTS!B291)</f>
        <v/>
      </c>
      <c r="C292" s="44">
        <f>IFERROR(IF(B292="","",_xlfn.XLOOKUP(B292,STUDENTS!$B$3:$B$1048576,STUDENTS!$C$3:$C$1048576)),"Enter a registered reg. no")</f>
        <v/>
      </c>
      <c r="F292" s="66" t="n"/>
      <c r="G292" s="67" t="n"/>
      <c r="J292" s="66" t="n"/>
      <c r="K292" s="67" t="n"/>
      <c r="N292" s="66" t="n"/>
      <c r="O292" s="67" t="n"/>
      <c r="R292" s="66" t="n"/>
      <c r="S292" s="67" t="n"/>
      <c r="V292" s="66" t="n"/>
      <c r="W292" s="67" t="n"/>
      <c r="Z292" s="66" t="n"/>
      <c r="AA292" s="67" t="n"/>
      <c r="AD292" s="66" t="n"/>
      <c r="AE292" s="67" t="n"/>
      <c r="AH292" s="66" t="n"/>
      <c r="AI292" s="67" t="n"/>
    </row>
    <row r="293">
      <c r="B293" s="2">
        <f>IF(STUDENTS!B292="","",STUDENTS!B292)</f>
        <v/>
      </c>
      <c r="C293" s="44">
        <f>IFERROR(IF(B293="","",_xlfn.XLOOKUP(B293,STUDENTS!$B$3:$B$1048576,STUDENTS!$C$3:$C$1048576)),"Enter a registered reg. no")</f>
        <v/>
      </c>
      <c r="D293" s="54" t="n"/>
      <c r="E293" s="55" t="n"/>
      <c r="F293" s="48" t="n"/>
      <c r="G293" s="58" t="n"/>
      <c r="H293" s="62" t="n"/>
      <c r="I293" s="63" t="n"/>
      <c r="J293" s="48" t="n"/>
      <c r="K293" s="58" t="n"/>
      <c r="L293" s="42" t="n"/>
      <c r="M293" s="42" t="n"/>
      <c r="N293" s="48" t="n"/>
      <c r="O293" s="58" t="n"/>
      <c r="P293" s="42" t="n"/>
      <c r="Q293" s="42" t="n"/>
      <c r="R293" s="48" t="n"/>
      <c r="S293" s="58" t="n"/>
      <c r="T293" s="42" t="n"/>
      <c r="U293" s="42" t="n"/>
      <c r="V293" s="48" t="n"/>
      <c r="W293" s="58" t="n"/>
      <c r="X293" s="42" t="n"/>
      <c r="Y293" s="42" t="n"/>
      <c r="Z293" s="48" t="n"/>
      <c r="AA293" s="58" t="n"/>
      <c r="AB293" s="42" t="n"/>
      <c r="AC293" s="42" t="n"/>
      <c r="AD293" s="48" t="n"/>
      <c r="AE293" s="58" t="n"/>
      <c r="AF293" s="42" t="n"/>
      <c r="AG293" s="42" t="n"/>
      <c r="AH293" s="48" t="n"/>
      <c r="AI293" s="58" t="n"/>
    </row>
    <row r="294">
      <c r="B294" s="2">
        <f>IF(STUDENTS!B293="","",STUDENTS!B293)</f>
        <v/>
      </c>
      <c r="C294" s="44">
        <f>IFERROR(IF(B294="","",_xlfn.XLOOKUP(B294,STUDENTS!$B$3:$B$1048576,STUDENTS!$C$3:$C$1048576)),"Enter a registered reg. no")</f>
        <v/>
      </c>
      <c r="F294" s="66" t="n"/>
      <c r="G294" s="67" t="n"/>
      <c r="J294" s="66" t="n"/>
      <c r="K294" s="67" t="n"/>
      <c r="N294" s="66" t="n"/>
      <c r="O294" s="67" t="n"/>
      <c r="R294" s="66" t="n"/>
      <c r="S294" s="67" t="n"/>
      <c r="V294" s="66" t="n"/>
      <c r="W294" s="67" t="n"/>
      <c r="Z294" s="66" t="n"/>
      <c r="AA294" s="67" t="n"/>
      <c r="AD294" s="66" t="n"/>
      <c r="AE294" s="67" t="n"/>
      <c r="AH294" s="66" t="n"/>
      <c r="AI294" s="67" t="n"/>
    </row>
    <row r="295">
      <c r="B295" s="2">
        <f>IF(STUDENTS!B294="","",STUDENTS!B294)</f>
        <v/>
      </c>
      <c r="C295" s="44">
        <f>IFERROR(IF(B295="","",_xlfn.XLOOKUP(B295,STUDENTS!$B$3:$B$1048576,STUDENTS!$C$3:$C$1048576)),"Enter a registered reg. no")</f>
        <v/>
      </c>
      <c r="D295" s="54" t="n"/>
      <c r="E295" s="55" t="n"/>
      <c r="F295" s="48" t="n"/>
      <c r="G295" s="58" t="n"/>
      <c r="H295" s="62" t="n"/>
      <c r="I295" s="63" t="n"/>
      <c r="J295" s="48" t="n"/>
      <c r="K295" s="58" t="n"/>
      <c r="L295" s="42" t="n"/>
      <c r="M295" s="42" t="n"/>
      <c r="N295" s="48" t="n"/>
      <c r="O295" s="58" t="n"/>
      <c r="P295" s="42" t="n"/>
      <c r="Q295" s="42" t="n"/>
      <c r="R295" s="48" t="n"/>
      <c r="S295" s="58" t="n"/>
      <c r="T295" s="42" t="n"/>
      <c r="U295" s="42" t="n"/>
      <c r="V295" s="48" t="n"/>
      <c r="W295" s="58" t="n"/>
      <c r="X295" s="42" t="n"/>
      <c r="Y295" s="42" t="n"/>
      <c r="Z295" s="48" t="n"/>
      <c r="AA295" s="58" t="n"/>
      <c r="AB295" s="42" t="n"/>
      <c r="AC295" s="42" t="n"/>
      <c r="AD295" s="48" t="n"/>
      <c r="AE295" s="58" t="n"/>
      <c r="AF295" s="42" t="n"/>
      <c r="AG295" s="42" t="n"/>
      <c r="AH295" s="48" t="n"/>
      <c r="AI295" s="58" t="n"/>
    </row>
    <row r="296">
      <c r="B296" s="2">
        <f>IF(STUDENTS!B295="","",STUDENTS!B295)</f>
        <v/>
      </c>
      <c r="C296" s="44">
        <f>IFERROR(IF(B296="","",_xlfn.XLOOKUP(B296,STUDENTS!$B$3:$B$1048576,STUDENTS!$C$3:$C$1048576)),"Enter a registered reg. no")</f>
        <v/>
      </c>
      <c r="F296" s="66" t="n"/>
      <c r="G296" s="67" t="n"/>
      <c r="J296" s="66" t="n"/>
      <c r="K296" s="67" t="n"/>
      <c r="N296" s="66" t="n"/>
      <c r="O296" s="67" t="n"/>
      <c r="R296" s="66" t="n"/>
      <c r="S296" s="67" t="n"/>
      <c r="V296" s="66" t="n"/>
      <c r="W296" s="67" t="n"/>
      <c r="Z296" s="66" t="n"/>
      <c r="AA296" s="67" t="n"/>
      <c r="AD296" s="66" t="n"/>
      <c r="AE296" s="67" t="n"/>
      <c r="AH296" s="66" t="n"/>
      <c r="AI296" s="67" t="n"/>
    </row>
    <row r="297">
      <c r="B297" s="2">
        <f>IF(STUDENTS!B296="","",STUDENTS!B296)</f>
        <v/>
      </c>
      <c r="C297" s="44">
        <f>IFERROR(IF(B297="","",_xlfn.XLOOKUP(B297,STUDENTS!$B$3:$B$1048576,STUDENTS!$C$3:$C$1048576)),"Enter a registered reg. no")</f>
        <v/>
      </c>
      <c r="D297" s="54" t="n"/>
      <c r="E297" s="55" t="n"/>
      <c r="F297" s="48" t="n"/>
      <c r="G297" s="58" t="n"/>
      <c r="H297" s="62" t="n"/>
      <c r="I297" s="63" t="n"/>
      <c r="J297" s="48" t="n"/>
      <c r="K297" s="58" t="n"/>
      <c r="L297" s="42" t="n"/>
      <c r="M297" s="42" t="n"/>
      <c r="N297" s="48" t="n"/>
      <c r="O297" s="58" t="n"/>
      <c r="P297" s="42" t="n"/>
      <c r="Q297" s="42" t="n"/>
      <c r="R297" s="48" t="n"/>
      <c r="S297" s="58" t="n"/>
      <c r="T297" s="42" t="n"/>
      <c r="U297" s="42" t="n"/>
      <c r="V297" s="48" t="n"/>
      <c r="W297" s="58" t="n"/>
      <c r="X297" s="42" t="n"/>
      <c r="Y297" s="42" t="n"/>
      <c r="Z297" s="48" t="n"/>
      <c r="AA297" s="58" t="n"/>
      <c r="AB297" s="42" t="n"/>
      <c r="AC297" s="42" t="n"/>
      <c r="AD297" s="48" t="n"/>
      <c r="AE297" s="58" t="n"/>
      <c r="AF297" s="42" t="n"/>
      <c r="AG297" s="42" t="n"/>
      <c r="AH297" s="48" t="n"/>
      <c r="AI297" s="58" t="n"/>
    </row>
    <row r="298">
      <c r="B298" s="2">
        <f>IF(STUDENTS!B297="","",STUDENTS!B297)</f>
        <v/>
      </c>
      <c r="C298" s="44">
        <f>IFERROR(IF(B298="","",_xlfn.XLOOKUP(B298,STUDENTS!$B$3:$B$1048576,STUDENTS!$C$3:$C$1048576)),"Enter a registered reg. no")</f>
        <v/>
      </c>
      <c r="F298" s="66" t="n"/>
      <c r="G298" s="67" t="n"/>
      <c r="J298" s="66" t="n"/>
      <c r="K298" s="67" t="n"/>
      <c r="N298" s="66" t="n"/>
      <c r="O298" s="67" t="n"/>
      <c r="R298" s="66" t="n"/>
      <c r="S298" s="67" t="n"/>
      <c r="V298" s="66" t="n"/>
      <c r="W298" s="67" t="n"/>
      <c r="Z298" s="66" t="n"/>
      <c r="AA298" s="67" t="n"/>
      <c r="AD298" s="66" t="n"/>
      <c r="AE298" s="67" t="n"/>
      <c r="AH298" s="66" t="n"/>
      <c r="AI298" s="67" t="n"/>
    </row>
    <row r="299">
      <c r="B299" s="2">
        <f>IF(STUDENTS!B298="","",STUDENTS!B298)</f>
        <v/>
      </c>
      <c r="C299" s="44">
        <f>IFERROR(IF(B299="","",_xlfn.XLOOKUP(B299,STUDENTS!$B$3:$B$1048576,STUDENTS!$C$3:$C$1048576)),"Enter a registered reg. no")</f>
        <v/>
      </c>
      <c r="D299" s="54" t="n"/>
      <c r="E299" s="55" t="n"/>
      <c r="F299" s="48" t="n"/>
      <c r="G299" s="58" t="n"/>
      <c r="H299" s="62" t="n"/>
      <c r="I299" s="63" t="n"/>
      <c r="J299" s="48" t="n"/>
      <c r="K299" s="58" t="n"/>
      <c r="L299" s="42" t="n"/>
      <c r="M299" s="42" t="n"/>
      <c r="N299" s="48" t="n"/>
      <c r="O299" s="58" t="n"/>
      <c r="P299" s="42" t="n"/>
      <c r="Q299" s="42" t="n"/>
      <c r="R299" s="48" t="n"/>
      <c r="S299" s="58" t="n"/>
      <c r="T299" s="42" t="n"/>
      <c r="U299" s="42" t="n"/>
      <c r="V299" s="48" t="n"/>
      <c r="W299" s="58" t="n"/>
      <c r="X299" s="42" t="n"/>
      <c r="Y299" s="42" t="n"/>
      <c r="Z299" s="48" t="n"/>
      <c r="AA299" s="58" t="n"/>
      <c r="AB299" s="42" t="n"/>
      <c r="AC299" s="42" t="n"/>
      <c r="AD299" s="48" t="n"/>
      <c r="AE299" s="58" t="n"/>
      <c r="AF299" s="42" t="n"/>
      <c r="AG299" s="42" t="n"/>
      <c r="AH299" s="48" t="n"/>
      <c r="AI299" s="58" t="n"/>
    </row>
    <row r="300">
      <c r="B300" s="2">
        <f>IF(STUDENTS!B299="","",STUDENTS!B299)</f>
        <v/>
      </c>
      <c r="C300" s="44">
        <f>IFERROR(IF(B300="","",_xlfn.XLOOKUP(B300,STUDENTS!$B$3:$B$1048576,STUDENTS!$C$3:$C$1048576)),"Enter a registered reg. no")</f>
        <v/>
      </c>
      <c r="F300" s="66" t="n"/>
      <c r="G300" s="67" t="n"/>
      <c r="J300" s="66" t="n"/>
      <c r="K300" s="67" t="n"/>
      <c r="N300" s="66" t="n"/>
      <c r="O300" s="67" t="n"/>
      <c r="R300" s="66" t="n"/>
      <c r="S300" s="67" t="n"/>
      <c r="V300" s="66" t="n"/>
      <c r="W300" s="67" t="n"/>
      <c r="Z300" s="66" t="n"/>
      <c r="AA300" s="67" t="n"/>
      <c r="AD300" s="66" t="n"/>
      <c r="AE300" s="67" t="n"/>
      <c r="AH300" s="66" t="n"/>
      <c r="AI300" s="67" t="n"/>
    </row>
    <row r="301">
      <c r="B301" s="2">
        <f>IF(STUDENTS!B300="","",STUDENTS!B300)</f>
        <v/>
      </c>
      <c r="C301" s="44">
        <f>IFERROR(IF(B301="","",_xlfn.XLOOKUP(B301,STUDENTS!$B$3:$B$1048576,STUDENTS!$C$3:$C$1048576)),"Enter a registered reg. no")</f>
        <v/>
      </c>
      <c r="D301" s="54" t="n"/>
      <c r="E301" s="55" t="n"/>
      <c r="F301" s="48" t="n"/>
      <c r="G301" s="58" t="n"/>
      <c r="H301" s="62" t="n"/>
      <c r="I301" s="63" t="n"/>
      <c r="J301" s="48" t="n"/>
      <c r="K301" s="58" t="n"/>
      <c r="L301" s="42" t="n"/>
      <c r="M301" s="42" t="n"/>
      <c r="N301" s="48" t="n"/>
      <c r="O301" s="58" t="n"/>
      <c r="P301" s="42" t="n"/>
      <c r="Q301" s="42" t="n"/>
      <c r="R301" s="48" t="n"/>
      <c r="S301" s="58" t="n"/>
      <c r="T301" s="42" t="n"/>
      <c r="U301" s="42" t="n"/>
      <c r="V301" s="48" t="n"/>
      <c r="W301" s="58" t="n"/>
      <c r="X301" s="42" t="n"/>
      <c r="Y301" s="42" t="n"/>
      <c r="Z301" s="48" t="n"/>
      <c r="AA301" s="58" t="n"/>
      <c r="AB301" s="42" t="n"/>
      <c r="AC301" s="42" t="n"/>
      <c r="AD301" s="48" t="n"/>
      <c r="AE301" s="58" t="n"/>
      <c r="AF301" s="42" t="n"/>
      <c r="AG301" s="42" t="n"/>
      <c r="AH301" s="48" t="n"/>
      <c r="AI301" s="58" t="n"/>
    </row>
    <row r="302">
      <c r="B302" s="2">
        <f>IF(STUDENTS!B301="","",STUDENTS!B301)</f>
        <v/>
      </c>
      <c r="C302" s="44">
        <f>IFERROR(IF(B302="","",_xlfn.XLOOKUP(B302,STUDENTS!$B$3:$B$1048576,STUDENTS!$C$3:$C$1048576)),"Enter a registered reg. no")</f>
        <v/>
      </c>
      <c r="F302" s="66" t="n"/>
      <c r="G302" s="67" t="n"/>
      <c r="J302" s="66" t="n"/>
      <c r="K302" s="67" t="n"/>
      <c r="N302" s="66" t="n"/>
      <c r="O302" s="67" t="n"/>
      <c r="R302" s="66" t="n"/>
      <c r="S302" s="67" t="n"/>
      <c r="V302" s="66" t="n"/>
      <c r="W302" s="67" t="n"/>
      <c r="Z302" s="66" t="n"/>
      <c r="AA302" s="67" t="n"/>
      <c r="AD302" s="66" t="n"/>
      <c r="AE302" s="67" t="n"/>
      <c r="AH302" s="66" t="n"/>
      <c r="AI302" s="67" t="n"/>
    </row>
    <row r="303">
      <c r="B303" s="2">
        <f>IF(STUDENTS!B302="","",STUDENTS!B302)</f>
        <v/>
      </c>
      <c r="C303" s="44">
        <f>IFERROR(IF(B303="","",_xlfn.XLOOKUP(B303,STUDENTS!$B$3:$B$1048576,STUDENTS!$C$3:$C$1048576)),"Enter a registered reg. no")</f>
        <v/>
      </c>
      <c r="D303" s="54" t="n"/>
      <c r="E303" s="55" t="n"/>
      <c r="F303" s="48" t="n"/>
      <c r="G303" s="58" t="n"/>
      <c r="H303" s="62" t="n"/>
      <c r="I303" s="63" t="n"/>
      <c r="J303" s="48" t="n"/>
      <c r="K303" s="58" t="n"/>
      <c r="L303" s="42" t="n"/>
      <c r="M303" s="42" t="n"/>
      <c r="N303" s="48" t="n"/>
      <c r="O303" s="58" t="n"/>
      <c r="P303" s="42" t="n"/>
      <c r="Q303" s="42" t="n"/>
      <c r="R303" s="48" t="n"/>
      <c r="S303" s="58" t="n"/>
      <c r="T303" s="42" t="n"/>
      <c r="U303" s="42" t="n"/>
      <c r="V303" s="48" t="n"/>
      <c r="W303" s="58" t="n"/>
      <c r="X303" s="42" t="n"/>
      <c r="Y303" s="42" t="n"/>
      <c r="Z303" s="48" t="n"/>
      <c r="AA303" s="58" t="n"/>
      <c r="AB303" s="42" t="n"/>
      <c r="AC303" s="42" t="n"/>
      <c r="AD303" s="48" t="n"/>
      <c r="AE303" s="58" t="n"/>
      <c r="AF303" s="42" t="n"/>
      <c r="AG303" s="42" t="n"/>
      <c r="AH303" s="48" t="n"/>
      <c r="AI303" s="58" t="n"/>
    </row>
    <row r="304">
      <c r="B304" s="2">
        <f>IF(STUDENTS!B303="","",STUDENTS!B303)</f>
        <v/>
      </c>
      <c r="C304" s="44">
        <f>IFERROR(IF(B304="","",_xlfn.XLOOKUP(B304,STUDENTS!$B$3:$B$1048576,STUDENTS!$C$3:$C$1048576)),"Enter a registered reg. no")</f>
        <v/>
      </c>
      <c r="F304" s="66" t="n"/>
      <c r="G304" s="67" t="n"/>
      <c r="J304" s="66" t="n"/>
      <c r="K304" s="67" t="n"/>
      <c r="N304" s="66" t="n"/>
      <c r="O304" s="67" t="n"/>
      <c r="R304" s="66" t="n"/>
      <c r="S304" s="67" t="n"/>
      <c r="V304" s="66" t="n"/>
      <c r="W304" s="67" t="n"/>
      <c r="Z304" s="66" t="n"/>
      <c r="AA304" s="67" t="n"/>
      <c r="AD304" s="66" t="n"/>
      <c r="AE304" s="67" t="n"/>
      <c r="AH304" s="66" t="n"/>
      <c r="AI304" s="67" t="n"/>
    </row>
    <row r="305">
      <c r="B305" s="2">
        <f>IF(STUDENTS!B304="","",STUDENTS!B304)</f>
        <v/>
      </c>
      <c r="C305" s="44">
        <f>IFERROR(IF(B305="","",_xlfn.XLOOKUP(B305,STUDENTS!$B$3:$B$1048576,STUDENTS!$C$3:$C$1048576)),"Enter a registered reg. no")</f>
        <v/>
      </c>
      <c r="D305" s="54" t="n"/>
      <c r="E305" s="55" t="n"/>
      <c r="F305" s="48" t="n"/>
      <c r="G305" s="58" t="n"/>
      <c r="H305" s="62" t="n"/>
      <c r="I305" s="63" t="n"/>
      <c r="J305" s="48" t="n"/>
      <c r="K305" s="58" t="n"/>
      <c r="L305" s="42" t="n"/>
      <c r="M305" s="42" t="n"/>
      <c r="N305" s="48" t="n"/>
      <c r="O305" s="58" t="n"/>
      <c r="P305" s="42" t="n"/>
      <c r="Q305" s="42" t="n"/>
      <c r="R305" s="48" t="n"/>
      <c r="S305" s="58" t="n"/>
      <c r="T305" s="42" t="n"/>
      <c r="U305" s="42" t="n"/>
      <c r="V305" s="48" t="n"/>
      <c r="W305" s="58" t="n"/>
      <c r="X305" s="42" t="n"/>
      <c r="Y305" s="42" t="n"/>
      <c r="Z305" s="48" t="n"/>
      <c r="AA305" s="58" t="n"/>
      <c r="AB305" s="42" t="n"/>
      <c r="AC305" s="42" t="n"/>
      <c r="AD305" s="48" t="n"/>
      <c r="AE305" s="58" t="n"/>
      <c r="AF305" s="42" t="n"/>
      <c r="AG305" s="42" t="n"/>
      <c r="AH305" s="48" t="n"/>
      <c r="AI305" s="58" t="n"/>
    </row>
    <row r="306">
      <c r="B306" s="2">
        <f>IF(STUDENTS!B305="","",STUDENTS!B305)</f>
        <v/>
      </c>
      <c r="C306" s="44">
        <f>IFERROR(IF(B306="","",_xlfn.XLOOKUP(B306,STUDENTS!$B$3:$B$1048576,STUDENTS!$C$3:$C$1048576)),"Enter a registered reg. no")</f>
        <v/>
      </c>
      <c r="F306" s="66" t="n"/>
      <c r="G306" s="67" t="n"/>
      <c r="J306" s="66" t="n"/>
      <c r="K306" s="67" t="n"/>
      <c r="N306" s="66" t="n"/>
      <c r="O306" s="67" t="n"/>
      <c r="R306" s="66" t="n"/>
      <c r="S306" s="67" t="n"/>
      <c r="V306" s="66" t="n"/>
      <c r="W306" s="67" t="n"/>
      <c r="Z306" s="66" t="n"/>
      <c r="AA306" s="67" t="n"/>
      <c r="AD306" s="66" t="n"/>
      <c r="AE306" s="67" t="n"/>
      <c r="AH306" s="66" t="n"/>
      <c r="AI306" s="67" t="n"/>
    </row>
    <row r="307">
      <c r="B307" s="2">
        <f>IF(STUDENTS!B306="","",STUDENTS!B306)</f>
        <v/>
      </c>
      <c r="C307" s="44">
        <f>IFERROR(IF(B307="","",_xlfn.XLOOKUP(B307,STUDENTS!$B$3:$B$1048576,STUDENTS!$C$3:$C$1048576)),"Enter a registered reg. no")</f>
        <v/>
      </c>
      <c r="D307" s="54" t="n"/>
      <c r="E307" s="55" t="n"/>
      <c r="F307" s="48" t="n"/>
      <c r="G307" s="58" t="n"/>
      <c r="H307" s="62" t="n"/>
      <c r="I307" s="63" t="n"/>
      <c r="J307" s="48" t="n"/>
      <c r="K307" s="58" t="n"/>
      <c r="L307" s="42" t="n"/>
      <c r="M307" s="42" t="n"/>
      <c r="N307" s="48" t="n"/>
      <c r="O307" s="58" t="n"/>
      <c r="P307" s="42" t="n"/>
      <c r="Q307" s="42" t="n"/>
      <c r="R307" s="48" t="n"/>
      <c r="S307" s="58" t="n"/>
      <c r="T307" s="42" t="n"/>
      <c r="U307" s="42" t="n"/>
      <c r="V307" s="48" t="n"/>
      <c r="W307" s="58" t="n"/>
      <c r="X307" s="42" t="n"/>
      <c r="Y307" s="42" t="n"/>
      <c r="Z307" s="48" t="n"/>
      <c r="AA307" s="58" t="n"/>
      <c r="AB307" s="42" t="n"/>
      <c r="AC307" s="42" t="n"/>
      <c r="AD307" s="48" t="n"/>
      <c r="AE307" s="58" t="n"/>
      <c r="AF307" s="42" t="n"/>
      <c r="AG307" s="42" t="n"/>
      <c r="AH307" s="48" t="n"/>
      <c r="AI307" s="58" t="n"/>
    </row>
    <row r="308">
      <c r="B308" s="2">
        <f>IF(STUDENTS!B307="","",STUDENTS!B307)</f>
        <v/>
      </c>
      <c r="C308" s="44">
        <f>IFERROR(IF(B308="","",_xlfn.XLOOKUP(B308,STUDENTS!$B$3:$B$1048576,STUDENTS!$C$3:$C$1048576)),"Enter a registered reg. no")</f>
        <v/>
      </c>
      <c r="F308" s="66" t="n"/>
      <c r="G308" s="67" t="n"/>
      <c r="J308" s="66" t="n"/>
      <c r="K308" s="67" t="n"/>
      <c r="N308" s="66" t="n"/>
      <c r="O308" s="67" t="n"/>
      <c r="R308" s="66" t="n"/>
      <c r="S308" s="67" t="n"/>
      <c r="V308" s="66" t="n"/>
      <c r="W308" s="67" t="n"/>
      <c r="Z308" s="66" t="n"/>
      <c r="AA308" s="67" t="n"/>
      <c r="AD308" s="66" t="n"/>
      <c r="AE308" s="67" t="n"/>
      <c r="AH308" s="66" t="n"/>
      <c r="AI308" s="67" t="n"/>
    </row>
    <row r="309">
      <c r="B309" s="2">
        <f>IF(STUDENTS!B308="","",STUDENTS!B308)</f>
        <v/>
      </c>
      <c r="C309" s="44">
        <f>IFERROR(IF(B309="","",_xlfn.XLOOKUP(B309,STUDENTS!$B$3:$B$1048576,STUDENTS!$C$3:$C$1048576)),"Enter a registered reg. no")</f>
        <v/>
      </c>
      <c r="D309" s="54" t="n"/>
      <c r="E309" s="55" t="n"/>
      <c r="F309" s="48" t="n"/>
      <c r="G309" s="58" t="n"/>
      <c r="H309" s="62" t="n"/>
      <c r="I309" s="63" t="n"/>
      <c r="J309" s="48" t="n"/>
      <c r="K309" s="58" t="n"/>
      <c r="L309" s="42" t="n"/>
      <c r="M309" s="42" t="n"/>
      <c r="N309" s="48" t="n"/>
      <c r="O309" s="58" t="n"/>
      <c r="P309" s="42" t="n"/>
      <c r="Q309" s="42" t="n"/>
      <c r="R309" s="48" t="n"/>
      <c r="S309" s="58" t="n"/>
      <c r="T309" s="42" t="n"/>
      <c r="U309" s="42" t="n"/>
      <c r="V309" s="48" t="n"/>
      <c r="W309" s="58" t="n"/>
      <c r="X309" s="42" t="n"/>
      <c r="Y309" s="42" t="n"/>
      <c r="Z309" s="48" t="n"/>
      <c r="AA309" s="58" t="n"/>
      <c r="AB309" s="42" t="n"/>
      <c r="AC309" s="42" t="n"/>
      <c r="AD309" s="48" t="n"/>
      <c r="AE309" s="58" t="n"/>
      <c r="AF309" s="42" t="n"/>
      <c r="AG309" s="42" t="n"/>
      <c r="AH309" s="48" t="n"/>
      <c r="AI309" s="58" t="n"/>
    </row>
    <row r="310">
      <c r="B310" s="2">
        <f>IF(STUDENTS!B309="","",STUDENTS!B309)</f>
        <v/>
      </c>
      <c r="C310" s="44">
        <f>IFERROR(IF(B310="","",_xlfn.XLOOKUP(B310,STUDENTS!$B$3:$B$1048576,STUDENTS!$C$3:$C$1048576)),"Enter a registered reg. no")</f>
        <v/>
      </c>
      <c r="F310" s="66" t="n"/>
      <c r="G310" s="67" t="n"/>
      <c r="J310" s="66" t="n"/>
      <c r="K310" s="67" t="n"/>
      <c r="N310" s="66" t="n"/>
      <c r="O310" s="67" t="n"/>
      <c r="R310" s="66" t="n"/>
      <c r="S310" s="67" t="n"/>
      <c r="V310" s="66" t="n"/>
      <c r="W310" s="67" t="n"/>
      <c r="Z310" s="66" t="n"/>
      <c r="AA310" s="67" t="n"/>
      <c r="AD310" s="66" t="n"/>
      <c r="AE310" s="67" t="n"/>
      <c r="AH310" s="66" t="n"/>
      <c r="AI310" s="67" t="n"/>
    </row>
    <row r="311">
      <c r="B311" s="2">
        <f>IF(STUDENTS!B310="","",STUDENTS!B310)</f>
        <v/>
      </c>
      <c r="C311" s="44">
        <f>IFERROR(IF(B311="","",_xlfn.XLOOKUP(B311,STUDENTS!$B$3:$B$1048576,STUDENTS!$C$3:$C$1048576)),"Enter a registered reg. no")</f>
        <v/>
      </c>
      <c r="D311" s="54" t="n"/>
      <c r="E311" s="55" t="n"/>
      <c r="F311" s="48" t="n"/>
      <c r="G311" s="58" t="n"/>
      <c r="H311" s="62" t="n"/>
      <c r="I311" s="63" t="n"/>
      <c r="J311" s="48" t="n"/>
      <c r="K311" s="58" t="n"/>
      <c r="L311" s="42" t="n"/>
      <c r="M311" s="42" t="n"/>
      <c r="N311" s="48" t="n"/>
      <c r="O311" s="58" t="n"/>
      <c r="P311" s="42" t="n"/>
      <c r="Q311" s="42" t="n"/>
      <c r="R311" s="48" t="n"/>
      <c r="S311" s="58" t="n"/>
      <c r="T311" s="42" t="n"/>
      <c r="U311" s="42" t="n"/>
      <c r="V311" s="48" t="n"/>
      <c r="W311" s="58" t="n"/>
      <c r="X311" s="42" t="n"/>
      <c r="Y311" s="42" t="n"/>
      <c r="Z311" s="48" t="n"/>
      <c r="AA311" s="58" t="n"/>
      <c r="AB311" s="42" t="n"/>
      <c r="AC311" s="42" t="n"/>
      <c r="AD311" s="48" t="n"/>
      <c r="AE311" s="58" t="n"/>
      <c r="AF311" s="42" t="n"/>
      <c r="AG311" s="42" t="n"/>
      <c r="AH311" s="48" t="n"/>
      <c r="AI311" s="58" t="n"/>
    </row>
    <row r="312">
      <c r="B312" s="2">
        <f>IF(STUDENTS!B311="","",STUDENTS!B311)</f>
        <v/>
      </c>
      <c r="C312" s="44">
        <f>IFERROR(IF(B312="","",_xlfn.XLOOKUP(B312,STUDENTS!$B$3:$B$1048576,STUDENTS!$C$3:$C$1048576)),"Enter a registered reg. no")</f>
        <v/>
      </c>
      <c r="F312" s="66" t="n"/>
      <c r="G312" s="67" t="n"/>
      <c r="J312" s="66" t="n"/>
      <c r="K312" s="67" t="n"/>
      <c r="N312" s="66" t="n"/>
      <c r="O312" s="67" t="n"/>
      <c r="R312" s="66" t="n"/>
      <c r="S312" s="67" t="n"/>
      <c r="V312" s="66" t="n"/>
      <c r="W312" s="67" t="n"/>
      <c r="Z312" s="66" t="n"/>
      <c r="AA312" s="67" t="n"/>
      <c r="AD312" s="66" t="n"/>
      <c r="AE312" s="67" t="n"/>
      <c r="AH312" s="66" t="n"/>
      <c r="AI312" s="67" t="n"/>
    </row>
    <row r="313">
      <c r="B313" s="2">
        <f>IF(STUDENTS!B312="","",STUDENTS!B312)</f>
        <v/>
      </c>
      <c r="C313" s="44">
        <f>IFERROR(IF(B313="","",_xlfn.XLOOKUP(B313,STUDENTS!$B$3:$B$1048576,STUDENTS!$C$3:$C$1048576)),"Enter a registered reg. no")</f>
        <v/>
      </c>
      <c r="D313" s="54" t="n"/>
      <c r="E313" s="55" t="n"/>
      <c r="F313" s="48" t="n"/>
      <c r="G313" s="58" t="n"/>
      <c r="H313" s="62" t="n"/>
      <c r="I313" s="63" t="n"/>
      <c r="J313" s="48" t="n"/>
      <c r="K313" s="58" t="n"/>
      <c r="L313" s="42" t="n"/>
      <c r="M313" s="42" t="n"/>
      <c r="N313" s="48" t="n"/>
      <c r="O313" s="58" t="n"/>
      <c r="P313" s="42" t="n"/>
      <c r="Q313" s="42" t="n"/>
      <c r="R313" s="48" t="n"/>
      <c r="S313" s="58" t="n"/>
      <c r="T313" s="42" t="n"/>
      <c r="U313" s="42" t="n"/>
      <c r="V313" s="48" t="n"/>
      <c r="W313" s="58" t="n"/>
      <c r="X313" s="42" t="n"/>
      <c r="Y313" s="42" t="n"/>
      <c r="Z313" s="48" t="n"/>
      <c r="AA313" s="58" t="n"/>
      <c r="AB313" s="42" t="n"/>
      <c r="AC313" s="42" t="n"/>
      <c r="AD313" s="48" t="n"/>
      <c r="AE313" s="58" t="n"/>
      <c r="AF313" s="42" t="n"/>
      <c r="AG313" s="42" t="n"/>
      <c r="AH313" s="48" t="n"/>
      <c r="AI313" s="58" t="n"/>
    </row>
    <row r="314">
      <c r="B314" s="2">
        <f>IF(STUDENTS!B313="","",STUDENTS!B313)</f>
        <v/>
      </c>
      <c r="C314" s="44">
        <f>IFERROR(IF(B314="","",_xlfn.XLOOKUP(B314,STUDENTS!$B$3:$B$1048576,STUDENTS!$C$3:$C$1048576)),"Enter a registered reg. no")</f>
        <v/>
      </c>
      <c r="F314" s="66" t="n"/>
      <c r="G314" s="67" t="n"/>
      <c r="J314" s="66" t="n"/>
      <c r="K314" s="67" t="n"/>
      <c r="N314" s="66" t="n"/>
      <c r="O314" s="67" t="n"/>
      <c r="R314" s="66" t="n"/>
      <c r="S314" s="67" t="n"/>
      <c r="V314" s="66" t="n"/>
      <c r="W314" s="67" t="n"/>
      <c r="Z314" s="66" t="n"/>
      <c r="AA314" s="67" t="n"/>
      <c r="AD314" s="66" t="n"/>
      <c r="AE314" s="67" t="n"/>
      <c r="AH314" s="66" t="n"/>
      <c r="AI314" s="67" t="n"/>
    </row>
    <row r="315">
      <c r="B315" s="2">
        <f>IF(STUDENTS!B314="","",STUDENTS!B314)</f>
        <v/>
      </c>
      <c r="C315" s="44">
        <f>IFERROR(IF(B315="","",_xlfn.XLOOKUP(B315,STUDENTS!$B$3:$B$1048576,STUDENTS!$C$3:$C$1048576)),"Enter a registered reg. no")</f>
        <v/>
      </c>
      <c r="D315" s="54" t="n"/>
      <c r="E315" s="55" t="n"/>
      <c r="F315" s="48" t="n"/>
      <c r="G315" s="58" t="n"/>
      <c r="H315" s="62" t="n"/>
      <c r="I315" s="63" t="n"/>
      <c r="J315" s="48" t="n"/>
      <c r="K315" s="58" t="n"/>
      <c r="L315" s="42" t="n"/>
      <c r="M315" s="42" t="n"/>
      <c r="N315" s="48" t="n"/>
      <c r="O315" s="58" t="n"/>
      <c r="P315" s="42" t="n"/>
      <c r="Q315" s="42" t="n"/>
      <c r="R315" s="48" t="n"/>
      <c r="S315" s="58" t="n"/>
      <c r="T315" s="42" t="n"/>
      <c r="U315" s="42" t="n"/>
      <c r="V315" s="48" t="n"/>
      <c r="W315" s="58" t="n"/>
      <c r="X315" s="42" t="n"/>
      <c r="Y315" s="42" t="n"/>
      <c r="Z315" s="48" t="n"/>
      <c r="AA315" s="58" t="n"/>
      <c r="AB315" s="42" t="n"/>
      <c r="AC315" s="42" t="n"/>
      <c r="AD315" s="48" t="n"/>
      <c r="AE315" s="58" t="n"/>
      <c r="AF315" s="42" t="n"/>
      <c r="AG315" s="42" t="n"/>
      <c r="AH315" s="48" t="n"/>
      <c r="AI315" s="58" t="n"/>
    </row>
    <row r="316">
      <c r="B316" s="2">
        <f>IF(STUDENTS!B315="","",STUDENTS!B315)</f>
        <v/>
      </c>
      <c r="C316" s="44">
        <f>IFERROR(IF(B316="","",_xlfn.XLOOKUP(B316,STUDENTS!$B$3:$B$1048576,STUDENTS!$C$3:$C$1048576)),"Enter a registered reg. no")</f>
        <v/>
      </c>
      <c r="F316" s="66" t="n"/>
      <c r="G316" s="67" t="n"/>
      <c r="J316" s="66" t="n"/>
      <c r="K316" s="67" t="n"/>
      <c r="N316" s="66" t="n"/>
      <c r="O316" s="67" t="n"/>
      <c r="R316" s="66" t="n"/>
      <c r="S316" s="67" t="n"/>
      <c r="V316" s="66" t="n"/>
      <c r="W316" s="67" t="n"/>
      <c r="Z316" s="66" t="n"/>
      <c r="AA316" s="67" t="n"/>
      <c r="AD316" s="66" t="n"/>
      <c r="AE316" s="67" t="n"/>
      <c r="AH316" s="66" t="n"/>
      <c r="AI316" s="67" t="n"/>
    </row>
    <row r="317">
      <c r="B317" s="2">
        <f>IF(STUDENTS!B316="","",STUDENTS!B316)</f>
        <v/>
      </c>
      <c r="C317" s="44">
        <f>IFERROR(IF(B317="","",_xlfn.XLOOKUP(B317,STUDENTS!$B$3:$B$1048576,STUDENTS!$C$3:$C$1048576)),"Enter a registered reg. no")</f>
        <v/>
      </c>
      <c r="D317" s="54" t="n"/>
      <c r="E317" s="55" t="n"/>
      <c r="F317" s="48" t="n"/>
      <c r="G317" s="58" t="n"/>
      <c r="H317" s="62" t="n"/>
      <c r="I317" s="63" t="n"/>
      <c r="J317" s="48" t="n"/>
      <c r="K317" s="58" t="n"/>
      <c r="L317" s="42" t="n"/>
      <c r="M317" s="42" t="n"/>
      <c r="N317" s="48" t="n"/>
      <c r="O317" s="58" t="n"/>
      <c r="P317" s="42" t="n"/>
      <c r="Q317" s="42" t="n"/>
      <c r="R317" s="48" t="n"/>
      <c r="S317" s="58" t="n"/>
      <c r="T317" s="42" t="n"/>
      <c r="U317" s="42" t="n"/>
      <c r="V317" s="48" t="n"/>
      <c r="W317" s="58" t="n"/>
      <c r="X317" s="42" t="n"/>
      <c r="Y317" s="42" t="n"/>
      <c r="Z317" s="48" t="n"/>
      <c r="AA317" s="58" t="n"/>
      <c r="AB317" s="42" t="n"/>
      <c r="AC317" s="42" t="n"/>
      <c r="AD317" s="48" t="n"/>
      <c r="AE317" s="58" t="n"/>
      <c r="AF317" s="42" t="n"/>
      <c r="AG317" s="42" t="n"/>
      <c r="AH317" s="48" t="n"/>
      <c r="AI317" s="58" t="n"/>
    </row>
    <row r="318">
      <c r="B318" s="2">
        <f>IF(STUDENTS!B317="","",STUDENTS!B317)</f>
        <v/>
      </c>
      <c r="C318" s="44">
        <f>IFERROR(IF(B318="","",_xlfn.XLOOKUP(B318,STUDENTS!$B$3:$B$1048576,STUDENTS!$C$3:$C$1048576)),"Enter a registered reg. no")</f>
        <v/>
      </c>
      <c r="F318" s="66" t="n"/>
      <c r="G318" s="67" t="n"/>
      <c r="J318" s="66" t="n"/>
      <c r="K318" s="67" t="n"/>
      <c r="N318" s="66" t="n"/>
      <c r="O318" s="67" t="n"/>
      <c r="R318" s="66" t="n"/>
      <c r="S318" s="67" t="n"/>
      <c r="V318" s="66" t="n"/>
      <c r="W318" s="67" t="n"/>
      <c r="Z318" s="66" t="n"/>
      <c r="AA318" s="67" t="n"/>
      <c r="AD318" s="66" t="n"/>
      <c r="AE318" s="67" t="n"/>
      <c r="AH318" s="66" t="n"/>
      <c r="AI318" s="67" t="n"/>
    </row>
    <row r="319">
      <c r="B319" s="2">
        <f>IF(STUDENTS!B318="","",STUDENTS!B318)</f>
        <v/>
      </c>
      <c r="C319" s="44">
        <f>IFERROR(IF(B319="","",_xlfn.XLOOKUP(B319,STUDENTS!$B$3:$B$1048576,STUDENTS!$C$3:$C$1048576)),"Enter a registered reg. no")</f>
        <v/>
      </c>
      <c r="D319" s="54" t="n"/>
      <c r="E319" s="55" t="n"/>
      <c r="F319" s="48" t="n"/>
      <c r="G319" s="58" t="n"/>
      <c r="H319" s="62" t="n"/>
      <c r="I319" s="63" t="n"/>
      <c r="J319" s="48" t="n"/>
      <c r="K319" s="58" t="n"/>
      <c r="L319" s="42" t="n"/>
      <c r="M319" s="42" t="n"/>
      <c r="N319" s="48" t="n"/>
      <c r="O319" s="58" t="n"/>
      <c r="P319" s="42" t="n"/>
      <c r="Q319" s="42" t="n"/>
      <c r="R319" s="48" t="n"/>
      <c r="S319" s="58" t="n"/>
      <c r="T319" s="42" t="n"/>
      <c r="U319" s="42" t="n"/>
      <c r="V319" s="48" t="n"/>
      <c r="W319" s="58" t="n"/>
      <c r="X319" s="42" t="n"/>
      <c r="Y319" s="42" t="n"/>
      <c r="Z319" s="48" t="n"/>
      <c r="AA319" s="58" t="n"/>
      <c r="AB319" s="42" t="n"/>
      <c r="AC319" s="42" t="n"/>
      <c r="AD319" s="48" t="n"/>
      <c r="AE319" s="58" t="n"/>
      <c r="AF319" s="42" t="n"/>
      <c r="AG319" s="42" t="n"/>
      <c r="AH319" s="48" t="n"/>
      <c r="AI319" s="58" t="n"/>
    </row>
    <row r="320">
      <c r="B320" s="2">
        <f>IF(STUDENTS!B319="","",STUDENTS!B319)</f>
        <v/>
      </c>
      <c r="C320" s="44">
        <f>IFERROR(IF(B320="","",_xlfn.XLOOKUP(B320,STUDENTS!$B$3:$B$1048576,STUDENTS!$C$3:$C$1048576)),"Enter a registered reg. no")</f>
        <v/>
      </c>
      <c r="F320" s="66" t="n"/>
      <c r="G320" s="67" t="n"/>
      <c r="J320" s="66" t="n"/>
      <c r="K320" s="67" t="n"/>
      <c r="N320" s="66" t="n"/>
      <c r="O320" s="67" t="n"/>
      <c r="R320" s="66" t="n"/>
      <c r="S320" s="67" t="n"/>
      <c r="V320" s="66" t="n"/>
      <c r="W320" s="67" t="n"/>
      <c r="Z320" s="66" t="n"/>
      <c r="AA320" s="67" t="n"/>
      <c r="AD320" s="66" t="n"/>
      <c r="AE320" s="67" t="n"/>
      <c r="AH320" s="66" t="n"/>
      <c r="AI320" s="67" t="n"/>
    </row>
    <row r="321">
      <c r="B321" s="2">
        <f>IF(STUDENTS!B320="","",STUDENTS!B320)</f>
        <v/>
      </c>
      <c r="C321" s="44">
        <f>IFERROR(IF(B321="","",_xlfn.XLOOKUP(B321,STUDENTS!$B$3:$B$1048576,STUDENTS!$C$3:$C$1048576)),"Enter a registered reg. no")</f>
        <v/>
      </c>
      <c r="D321" s="54" t="n"/>
      <c r="E321" s="55" t="n"/>
      <c r="F321" s="48" t="n"/>
      <c r="G321" s="58" t="n"/>
      <c r="H321" s="62" t="n"/>
      <c r="I321" s="63" t="n"/>
      <c r="J321" s="48" t="n"/>
      <c r="K321" s="58" t="n"/>
      <c r="L321" s="42" t="n"/>
      <c r="M321" s="42" t="n"/>
      <c r="N321" s="48" t="n"/>
      <c r="O321" s="58" t="n"/>
      <c r="P321" s="42" t="n"/>
      <c r="Q321" s="42" t="n"/>
      <c r="R321" s="48" t="n"/>
      <c r="S321" s="58" t="n"/>
      <c r="T321" s="42" t="n"/>
      <c r="U321" s="42" t="n"/>
      <c r="V321" s="48" t="n"/>
      <c r="W321" s="58" t="n"/>
      <c r="X321" s="42" t="n"/>
      <c r="Y321" s="42" t="n"/>
      <c r="Z321" s="48" t="n"/>
      <c r="AA321" s="58" t="n"/>
      <c r="AB321" s="42" t="n"/>
      <c r="AC321" s="42" t="n"/>
      <c r="AD321" s="48" t="n"/>
      <c r="AE321" s="58" t="n"/>
      <c r="AF321" s="42" t="n"/>
      <c r="AG321" s="42" t="n"/>
      <c r="AH321" s="48" t="n"/>
      <c r="AI321" s="58" t="n"/>
    </row>
    <row r="322">
      <c r="B322" s="2">
        <f>IF(STUDENTS!B321="","",STUDENTS!B321)</f>
        <v/>
      </c>
      <c r="C322" s="44">
        <f>IFERROR(IF(B322="","",_xlfn.XLOOKUP(B322,STUDENTS!$B$3:$B$1048576,STUDENTS!$C$3:$C$1048576)),"Enter a registered reg. no")</f>
        <v/>
      </c>
      <c r="F322" s="66" t="n"/>
      <c r="G322" s="67" t="n"/>
      <c r="J322" s="66" t="n"/>
      <c r="K322" s="67" t="n"/>
      <c r="N322" s="66" t="n"/>
      <c r="O322" s="67" t="n"/>
      <c r="R322" s="66" t="n"/>
      <c r="S322" s="67" t="n"/>
      <c r="V322" s="66" t="n"/>
      <c r="W322" s="67" t="n"/>
      <c r="Z322" s="66" t="n"/>
      <c r="AA322" s="67" t="n"/>
      <c r="AD322" s="66" t="n"/>
      <c r="AE322" s="67" t="n"/>
      <c r="AH322" s="66" t="n"/>
      <c r="AI322" s="67" t="n"/>
    </row>
    <row r="323">
      <c r="B323" s="2">
        <f>IF(STUDENTS!B322="","",STUDENTS!B322)</f>
        <v/>
      </c>
      <c r="C323" s="44">
        <f>IFERROR(IF(B323="","",_xlfn.XLOOKUP(B323,STUDENTS!$B$3:$B$1048576,STUDENTS!$C$3:$C$1048576)),"Enter a registered reg. no")</f>
        <v/>
      </c>
      <c r="D323" s="54" t="n"/>
      <c r="E323" s="55" t="n"/>
      <c r="F323" s="48" t="n"/>
      <c r="G323" s="58" t="n"/>
      <c r="H323" s="62" t="n"/>
      <c r="I323" s="63" t="n"/>
      <c r="J323" s="48" t="n"/>
      <c r="K323" s="58" t="n"/>
      <c r="L323" s="42" t="n"/>
      <c r="M323" s="42" t="n"/>
      <c r="N323" s="48" t="n"/>
      <c r="O323" s="58" t="n"/>
      <c r="P323" s="42" t="n"/>
      <c r="Q323" s="42" t="n"/>
      <c r="R323" s="48" t="n"/>
      <c r="S323" s="58" t="n"/>
      <c r="T323" s="42" t="n"/>
      <c r="U323" s="42" t="n"/>
      <c r="V323" s="48" t="n"/>
      <c r="W323" s="58" t="n"/>
      <c r="X323" s="42" t="n"/>
      <c r="Y323" s="42" t="n"/>
      <c r="Z323" s="48" t="n"/>
      <c r="AA323" s="58" t="n"/>
      <c r="AB323" s="42" t="n"/>
      <c r="AC323" s="42" t="n"/>
      <c r="AD323" s="48" t="n"/>
      <c r="AE323" s="58" t="n"/>
      <c r="AF323" s="42" t="n"/>
      <c r="AG323" s="42" t="n"/>
      <c r="AH323" s="48" t="n"/>
      <c r="AI323" s="58" t="n"/>
    </row>
    <row r="324">
      <c r="B324" s="2">
        <f>IF(STUDENTS!B323="","",STUDENTS!B323)</f>
        <v/>
      </c>
      <c r="C324" s="44">
        <f>IFERROR(IF(B324="","",_xlfn.XLOOKUP(B324,STUDENTS!$B$3:$B$1048576,STUDENTS!$C$3:$C$1048576)),"Enter a registered reg. no")</f>
        <v/>
      </c>
      <c r="F324" s="66" t="n"/>
      <c r="G324" s="67" t="n"/>
      <c r="J324" s="66" t="n"/>
      <c r="K324" s="67" t="n"/>
      <c r="N324" s="66" t="n"/>
      <c r="O324" s="67" t="n"/>
      <c r="R324" s="66" t="n"/>
      <c r="S324" s="67" t="n"/>
      <c r="V324" s="66" t="n"/>
      <c r="W324" s="67" t="n"/>
      <c r="Z324" s="66" t="n"/>
      <c r="AA324" s="67" t="n"/>
      <c r="AD324" s="66" t="n"/>
      <c r="AE324" s="67" t="n"/>
      <c r="AH324" s="66" t="n"/>
      <c r="AI324" s="67" t="n"/>
    </row>
    <row r="325">
      <c r="B325" s="2">
        <f>IF(STUDENTS!B324="","",STUDENTS!B324)</f>
        <v/>
      </c>
      <c r="C325" s="44">
        <f>IFERROR(IF(B325="","",_xlfn.XLOOKUP(B325,STUDENTS!$B$3:$B$1048576,STUDENTS!$C$3:$C$1048576)),"Enter a registered reg. no")</f>
        <v/>
      </c>
      <c r="D325" s="54" t="n"/>
      <c r="E325" s="55" t="n"/>
      <c r="F325" s="48" t="n"/>
      <c r="G325" s="58" t="n"/>
      <c r="H325" s="62" t="n"/>
      <c r="I325" s="63" t="n"/>
      <c r="J325" s="48" t="n"/>
      <c r="K325" s="58" t="n"/>
      <c r="L325" s="42" t="n"/>
      <c r="M325" s="42" t="n"/>
      <c r="N325" s="48" t="n"/>
      <c r="O325" s="58" t="n"/>
      <c r="P325" s="42" t="n"/>
      <c r="Q325" s="42" t="n"/>
      <c r="R325" s="48" t="n"/>
      <c r="S325" s="58" t="n"/>
      <c r="T325" s="42" t="n"/>
      <c r="U325" s="42" t="n"/>
      <c r="V325" s="48" t="n"/>
      <c r="W325" s="58" t="n"/>
      <c r="X325" s="42" t="n"/>
      <c r="Y325" s="42" t="n"/>
      <c r="Z325" s="48" t="n"/>
      <c r="AA325" s="58" t="n"/>
      <c r="AB325" s="42" t="n"/>
      <c r="AC325" s="42" t="n"/>
      <c r="AD325" s="48" t="n"/>
      <c r="AE325" s="58" t="n"/>
      <c r="AF325" s="42" t="n"/>
      <c r="AG325" s="42" t="n"/>
      <c r="AH325" s="48" t="n"/>
      <c r="AI325" s="58" t="n"/>
    </row>
    <row r="326">
      <c r="B326" s="2">
        <f>IF(STUDENTS!B325="","",STUDENTS!B325)</f>
        <v/>
      </c>
      <c r="C326" s="44">
        <f>IFERROR(IF(B326="","",_xlfn.XLOOKUP(B326,STUDENTS!$B$3:$B$1048576,STUDENTS!$C$3:$C$1048576)),"Enter a registered reg. no")</f>
        <v/>
      </c>
      <c r="F326" s="66" t="n"/>
      <c r="G326" s="67" t="n"/>
      <c r="J326" s="66" t="n"/>
      <c r="K326" s="67" t="n"/>
      <c r="N326" s="66" t="n"/>
      <c r="O326" s="67" t="n"/>
      <c r="R326" s="66" t="n"/>
      <c r="S326" s="67" t="n"/>
      <c r="V326" s="66" t="n"/>
      <c r="W326" s="67" t="n"/>
      <c r="Z326" s="66" t="n"/>
      <c r="AA326" s="67" t="n"/>
      <c r="AD326" s="66" t="n"/>
      <c r="AE326" s="67" t="n"/>
      <c r="AH326" s="66" t="n"/>
      <c r="AI326" s="67" t="n"/>
    </row>
    <row r="327">
      <c r="B327" s="2">
        <f>IF(STUDENTS!B326="","",STUDENTS!B326)</f>
        <v/>
      </c>
      <c r="C327" s="44">
        <f>IFERROR(IF(B327="","",_xlfn.XLOOKUP(B327,STUDENTS!$B$3:$B$1048576,STUDENTS!$C$3:$C$1048576)),"Enter a registered reg. no")</f>
        <v/>
      </c>
      <c r="D327" s="54" t="n"/>
      <c r="E327" s="55" t="n"/>
      <c r="F327" s="48" t="n"/>
      <c r="G327" s="58" t="n"/>
      <c r="H327" s="62" t="n"/>
      <c r="I327" s="63" t="n"/>
      <c r="J327" s="48" t="n"/>
      <c r="K327" s="58" t="n"/>
      <c r="L327" s="42" t="n"/>
      <c r="M327" s="42" t="n"/>
      <c r="N327" s="48" t="n"/>
      <c r="O327" s="58" t="n"/>
      <c r="P327" s="42" t="n"/>
      <c r="Q327" s="42" t="n"/>
      <c r="R327" s="48" t="n"/>
      <c r="S327" s="58" t="n"/>
      <c r="T327" s="42" t="n"/>
      <c r="U327" s="42" t="n"/>
      <c r="V327" s="48" t="n"/>
      <c r="W327" s="58" t="n"/>
      <c r="X327" s="42" t="n"/>
      <c r="Y327" s="42" t="n"/>
      <c r="Z327" s="48" t="n"/>
      <c r="AA327" s="58" t="n"/>
      <c r="AB327" s="42" t="n"/>
      <c r="AC327" s="42" t="n"/>
      <c r="AD327" s="48" t="n"/>
      <c r="AE327" s="58" t="n"/>
      <c r="AF327" s="42" t="n"/>
      <c r="AG327" s="42" t="n"/>
      <c r="AH327" s="48" t="n"/>
      <c r="AI327" s="58" t="n"/>
    </row>
    <row r="328">
      <c r="B328" s="2">
        <f>IF(STUDENTS!B327="","",STUDENTS!B327)</f>
        <v/>
      </c>
      <c r="C328" s="44">
        <f>IFERROR(IF(B328="","",_xlfn.XLOOKUP(B328,STUDENTS!$B$3:$B$1048576,STUDENTS!$C$3:$C$1048576)),"Enter a registered reg. no")</f>
        <v/>
      </c>
      <c r="F328" s="66" t="n"/>
      <c r="G328" s="67" t="n"/>
      <c r="J328" s="66" t="n"/>
      <c r="K328" s="67" t="n"/>
      <c r="N328" s="66" t="n"/>
      <c r="O328" s="67" t="n"/>
      <c r="R328" s="66" t="n"/>
      <c r="S328" s="67" t="n"/>
      <c r="V328" s="66" t="n"/>
      <c r="W328" s="67" t="n"/>
      <c r="Z328" s="66" t="n"/>
      <c r="AA328" s="67" t="n"/>
      <c r="AD328" s="66" t="n"/>
      <c r="AE328" s="67" t="n"/>
      <c r="AH328" s="66" t="n"/>
      <c r="AI328" s="67" t="n"/>
    </row>
    <row r="329">
      <c r="B329" s="2">
        <f>IF(STUDENTS!B328="","",STUDENTS!B328)</f>
        <v/>
      </c>
      <c r="C329" s="44">
        <f>IFERROR(IF(B329="","",_xlfn.XLOOKUP(B329,STUDENTS!$B$3:$B$1048576,STUDENTS!$C$3:$C$1048576)),"Enter a registered reg. no")</f>
        <v/>
      </c>
      <c r="D329" s="54" t="n"/>
      <c r="E329" s="55" t="n"/>
      <c r="F329" s="48" t="n"/>
      <c r="G329" s="58" t="n"/>
      <c r="H329" s="62" t="n"/>
      <c r="I329" s="63" t="n"/>
      <c r="J329" s="48" t="n"/>
      <c r="K329" s="58" t="n"/>
      <c r="L329" s="42" t="n"/>
      <c r="M329" s="42" t="n"/>
      <c r="N329" s="48" t="n"/>
      <c r="O329" s="58" t="n"/>
      <c r="P329" s="42" t="n"/>
      <c r="Q329" s="42" t="n"/>
      <c r="R329" s="48" t="n"/>
      <c r="S329" s="58" t="n"/>
      <c r="T329" s="42" t="n"/>
      <c r="U329" s="42" t="n"/>
      <c r="V329" s="48" t="n"/>
      <c r="W329" s="58" t="n"/>
      <c r="X329" s="42" t="n"/>
      <c r="Y329" s="42" t="n"/>
      <c r="Z329" s="48" t="n"/>
      <c r="AA329" s="58" t="n"/>
      <c r="AB329" s="42" t="n"/>
      <c r="AC329" s="42" t="n"/>
      <c r="AD329" s="48" t="n"/>
      <c r="AE329" s="58" t="n"/>
      <c r="AF329" s="42" t="n"/>
      <c r="AG329" s="42" t="n"/>
      <c r="AH329" s="48" t="n"/>
      <c r="AI329" s="58" t="n"/>
    </row>
    <row r="330">
      <c r="B330" s="2">
        <f>IF(STUDENTS!B329="","",STUDENTS!B329)</f>
        <v/>
      </c>
      <c r="C330" s="44">
        <f>IFERROR(IF(B330="","",_xlfn.XLOOKUP(B330,STUDENTS!$B$3:$B$1048576,STUDENTS!$C$3:$C$1048576)),"Enter a registered reg. no")</f>
        <v/>
      </c>
      <c r="F330" s="66" t="n"/>
      <c r="G330" s="67" t="n"/>
      <c r="J330" s="66" t="n"/>
      <c r="K330" s="67" t="n"/>
      <c r="N330" s="66" t="n"/>
      <c r="O330" s="67" t="n"/>
      <c r="R330" s="66" t="n"/>
      <c r="S330" s="67" t="n"/>
      <c r="V330" s="66" t="n"/>
      <c r="W330" s="67" t="n"/>
      <c r="Z330" s="66" t="n"/>
      <c r="AA330" s="67" t="n"/>
      <c r="AD330" s="66" t="n"/>
      <c r="AE330" s="67" t="n"/>
      <c r="AH330" s="66" t="n"/>
      <c r="AI330" s="67" t="n"/>
    </row>
    <row r="331">
      <c r="B331" s="2">
        <f>IF(STUDENTS!B330="","",STUDENTS!B330)</f>
        <v/>
      </c>
      <c r="C331" s="44">
        <f>IFERROR(IF(B331="","",_xlfn.XLOOKUP(B331,STUDENTS!$B$3:$B$1048576,STUDENTS!$C$3:$C$1048576)),"Enter a registered reg. no")</f>
        <v/>
      </c>
      <c r="D331" s="54" t="n"/>
      <c r="E331" s="55" t="n"/>
      <c r="F331" s="48" t="n"/>
      <c r="G331" s="58" t="n"/>
      <c r="H331" s="62" t="n"/>
      <c r="I331" s="63" t="n"/>
      <c r="J331" s="48" t="n"/>
      <c r="K331" s="58" t="n"/>
      <c r="L331" s="42" t="n"/>
      <c r="M331" s="42" t="n"/>
      <c r="N331" s="48" t="n"/>
      <c r="O331" s="58" t="n"/>
      <c r="P331" s="42" t="n"/>
      <c r="Q331" s="42" t="n"/>
      <c r="R331" s="48" t="n"/>
      <c r="S331" s="58" t="n"/>
      <c r="T331" s="42" t="n"/>
      <c r="U331" s="42" t="n"/>
      <c r="V331" s="48" t="n"/>
      <c r="W331" s="58" t="n"/>
      <c r="X331" s="42" t="n"/>
      <c r="Y331" s="42" t="n"/>
      <c r="Z331" s="48" t="n"/>
      <c r="AA331" s="58" t="n"/>
      <c r="AB331" s="42" t="n"/>
      <c r="AC331" s="42" t="n"/>
      <c r="AD331" s="48" t="n"/>
      <c r="AE331" s="58" t="n"/>
      <c r="AF331" s="42" t="n"/>
      <c r="AG331" s="42" t="n"/>
      <c r="AH331" s="48" t="n"/>
      <c r="AI331" s="58" t="n"/>
    </row>
    <row r="332">
      <c r="B332" s="2">
        <f>IF(STUDENTS!B331="","",STUDENTS!B331)</f>
        <v/>
      </c>
      <c r="C332" s="44">
        <f>IFERROR(IF(B332="","",_xlfn.XLOOKUP(B332,STUDENTS!$B$3:$B$1048576,STUDENTS!$C$3:$C$1048576)),"Enter a registered reg. no")</f>
        <v/>
      </c>
      <c r="F332" s="66" t="n"/>
      <c r="G332" s="67" t="n"/>
      <c r="J332" s="66" t="n"/>
      <c r="K332" s="67" t="n"/>
      <c r="N332" s="66" t="n"/>
      <c r="O332" s="67" t="n"/>
      <c r="R332" s="66" t="n"/>
      <c r="S332" s="67" t="n"/>
      <c r="V332" s="66" t="n"/>
      <c r="W332" s="67" t="n"/>
      <c r="Z332" s="66" t="n"/>
      <c r="AA332" s="67" t="n"/>
      <c r="AD332" s="66" t="n"/>
      <c r="AE332" s="67" t="n"/>
      <c r="AH332" s="66" t="n"/>
      <c r="AI332" s="67" t="n"/>
    </row>
    <row r="333">
      <c r="B333" s="2">
        <f>IF(STUDENTS!B332="","",STUDENTS!B332)</f>
        <v/>
      </c>
      <c r="C333" s="44">
        <f>IFERROR(IF(B333="","",_xlfn.XLOOKUP(B333,STUDENTS!$B$3:$B$1048576,STUDENTS!$C$3:$C$1048576)),"Enter a registered reg. no")</f>
        <v/>
      </c>
      <c r="D333" s="54" t="n"/>
      <c r="E333" s="55" t="n"/>
      <c r="F333" s="48" t="n"/>
      <c r="G333" s="58" t="n"/>
      <c r="H333" s="62" t="n"/>
      <c r="I333" s="63" t="n"/>
      <c r="J333" s="48" t="n"/>
      <c r="K333" s="58" t="n"/>
      <c r="L333" s="42" t="n"/>
      <c r="M333" s="42" t="n"/>
      <c r="N333" s="48" t="n"/>
      <c r="O333" s="58" t="n"/>
      <c r="P333" s="42" t="n"/>
      <c r="Q333" s="42" t="n"/>
      <c r="R333" s="48" t="n"/>
      <c r="S333" s="58" t="n"/>
      <c r="T333" s="42" t="n"/>
      <c r="U333" s="42" t="n"/>
      <c r="V333" s="48" t="n"/>
      <c r="W333" s="58" t="n"/>
      <c r="X333" s="42" t="n"/>
      <c r="Y333" s="42" t="n"/>
      <c r="Z333" s="48" t="n"/>
      <c r="AA333" s="58" t="n"/>
      <c r="AB333" s="42" t="n"/>
      <c r="AC333" s="42" t="n"/>
      <c r="AD333" s="48" t="n"/>
      <c r="AE333" s="58" t="n"/>
      <c r="AF333" s="42" t="n"/>
      <c r="AG333" s="42" t="n"/>
      <c r="AH333" s="48" t="n"/>
      <c r="AI333" s="58" t="n"/>
    </row>
    <row r="334">
      <c r="B334" s="2">
        <f>IF(STUDENTS!B333="","",STUDENTS!B333)</f>
        <v/>
      </c>
      <c r="C334" s="44">
        <f>IFERROR(IF(B334="","",_xlfn.XLOOKUP(B334,STUDENTS!$B$3:$B$1048576,STUDENTS!$C$3:$C$1048576)),"Enter a registered reg. no")</f>
        <v/>
      </c>
      <c r="F334" s="66" t="n"/>
      <c r="G334" s="67" t="n"/>
      <c r="J334" s="66" t="n"/>
      <c r="K334" s="67" t="n"/>
      <c r="N334" s="66" t="n"/>
      <c r="O334" s="67" t="n"/>
      <c r="R334" s="66" t="n"/>
      <c r="S334" s="67" t="n"/>
      <c r="V334" s="66" t="n"/>
      <c r="W334" s="67" t="n"/>
      <c r="Z334" s="66" t="n"/>
      <c r="AA334" s="67" t="n"/>
      <c r="AD334" s="66" t="n"/>
      <c r="AE334" s="67" t="n"/>
      <c r="AH334" s="66" t="n"/>
      <c r="AI334" s="67" t="n"/>
    </row>
    <row r="335">
      <c r="B335" s="2">
        <f>IF(STUDENTS!B334="","",STUDENTS!B334)</f>
        <v/>
      </c>
      <c r="C335" s="44">
        <f>IFERROR(IF(B335="","",_xlfn.XLOOKUP(B335,STUDENTS!$B$3:$B$1048576,STUDENTS!$C$3:$C$1048576)),"Enter a registered reg. no")</f>
        <v/>
      </c>
      <c r="D335" s="54" t="n"/>
      <c r="E335" s="55" t="n"/>
      <c r="F335" s="48" t="n"/>
      <c r="G335" s="58" t="n"/>
      <c r="H335" s="62" t="n"/>
      <c r="I335" s="63" t="n"/>
      <c r="J335" s="48" t="n"/>
      <c r="K335" s="58" t="n"/>
      <c r="L335" s="42" t="n"/>
      <c r="M335" s="42" t="n"/>
      <c r="N335" s="48" t="n"/>
      <c r="O335" s="58" t="n"/>
      <c r="P335" s="42" t="n"/>
      <c r="Q335" s="42" t="n"/>
      <c r="R335" s="48" t="n"/>
      <c r="S335" s="58" t="n"/>
      <c r="T335" s="42" t="n"/>
      <c r="U335" s="42" t="n"/>
      <c r="V335" s="48" t="n"/>
      <c r="W335" s="58" t="n"/>
      <c r="X335" s="42" t="n"/>
      <c r="Y335" s="42" t="n"/>
      <c r="Z335" s="48" t="n"/>
      <c r="AA335" s="58" t="n"/>
      <c r="AB335" s="42" t="n"/>
      <c r="AC335" s="42" t="n"/>
      <c r="AD335" s="48" t="n"/>
      <c r="AE335" s="58" t="n"/>
      <c r="AF335" s="42" t="n"/>
      <c r="AG335" s="42" t="n"/>
      <c r="AH335" s="48" t="n"/>
      <c r="AI335" s="58" t="n"/>
    </row>
    <row r="336">
      <c r="B336" s="2">
        <f>IF(STUDENTS!B335="","",STUDENTS!B335)</f>
        <v/>
      </c>
      <c r="C336" s="44">
        <f>IFERROR(IF(B336="","",_xlfn.XLOOKUP(B336,STUDENTS!$B$3:$B$1048576,STUDENTS!$C$3:$C$1048576)),"Enter a registered reg. no")</f>
        <v/>
      </c>
      <c r="F336" s="66" t="n"/>
      <c r="G336" s="67" t="n"/>
      <c r="J336" s="66" t="n"/>
      <c r="K336" s="67" t="n"/>
      <c r="N336" s="66" t="n"/>
      <c r="O336" s="67" t="n"/>
      <c r="R336" s="66" t="n"/>
      <c r="S336" s="67" t="n"/>
      <c r="V336" s="66" t="n"/>
      <c r="W336" s="67" t="n"/>
      <c r="Z336" s="66" t="n"/>
      <c r="AA336" s="67" t="n"/>
      <c r="AD336" s="66" t="n"/>
      <c r="AE336" s="67" t="n"/>
      <c r="AH336" s="66" t="n"/>
      <c r="AI336" s="67" t="n"/>
    </row>
    <row r="337">
      <c r="B337" s="2">
        <f>IF(STUDENTS!B336="","",STUDENTS!B336)</f>
        <v/>
      </c>
      <c r="C337" s="44">
        <f>IFERROR(IF(B337="","",_xlfn.XLOOKUP(B337,STUDENTS!$B$3:$B$1048576,STUDENTS!$C$3:$C$1048576)),"Enter a registered reg. no")</f>
        <v/>
      </c>
      <c r="D337" s="54" t="n"/>
      <c r="E337" s="55" t="n"/>
      <c r="F337" s="48" t="n"/>
      <c r="G337" s="58" t="n"/>
      <c r="H337" s="62" t="n"/>
      <c r="I337" s="63" t="n"/>
      <c r="J337" s="48" t="n"/>
      <c r="K337" s="58" t="n"/>
      <c r="L337" s="42" t="n"/>
      <c r="M337" s="42" t="n"/>
      <c r="N337" s="48" t="n"/>
      <c r="O337" s="58" t="n"/>
      <c r="P337" s="42" t="n"/>
      <c r="Q337" s="42" t="n"/>
      <c r="R337" s="48" t="n"/>
      <c r="S337" s="58" t="n"/>
      <c r="T337" s="42" t="n"/>
      <c r="U337" s="42" t="n"/>
      <c r="V337" s="48" t="n"/>
      <c r="W337" s="58" t="n"/>
      <c r="X337" s="42" t="n"/>
      <c r="Y337" s="42" t="n"/>
      <c r="Z337" s="48" t="n"/>
      <c r="AA337" s="58" t="n"/>
      <c r="AB337" s="42" t="n"/>
      <c r="AC337" s="42" t="n"/>
      <c r="AD337" s="48" t="n"/>
      <c r="AE337" s="58" t="n"/>
      <c r="AF337" s="42" t="n"/>
      <c r="AG337" s="42" t="n"/>
      <c r="AH337" s="48" t="n"/>
      <c r="AI337" s="58" t="n"/>
    </row>
    <row r="338">
      <c r="B338" s="2">
        <f>IF(STUDENTS!B337="","",STUDENTS!B337)</f>
        <v/>
      </c>
      <c r="C338" s="44">
        <f>IFERROR(IF(B338="","",_xlfn.XLOOKUP(B338,STUDENTS!$B$3:$B$1048576,STUDENTS!$C$3:$C$1048576)),"Enter a registered reg. no")</f>
        <v/>
      </c>
      <c r="F338" s="66" t="n"/>
      <c r="G338" s="67" t="n"/>
      <c r="J338" s="66" t="n"/>
      <c r="K338" s="67" t="n"/>
      <c r="N338" s="66" t="n"/>
      <c r="O338" s="67" t="n"/>
      <c r="R338" s="66" t="n"/>
      <c r="S338" s="67" t="n"/>
      <c r="V338" s="66" t="n"/>
      <c r="W338" s="67" t="n"/>
      <c r="Z338" s="66" t="n"/>
      <c r="AA338" s="67" t="n"/>
      <c r="AD338" s="66" t="n"/>
      <c r="AE338" s="67" t="n"/>
      <c r="AH338" s="66" t="n"/>
      <c r="AI338" s="67" t="n"/>
    </row>
    <row r="339">
      <c r="B339" s="2">
        <f>IF(STUDENTS!B338="","",STUDENTS!B338)</f>
        <v/>
      </c>
      <c r="C339" s="44">
        <f>IFERROR(IF(B339="","",_xlfn.XLOOKUP(B339,STUDENTS!$B$3:$B$1048576,STUDENTS!$C$3:$C$1048576)),"Enter a registered reg. no")</f>
        <v/>
      </c>
      <c r="D339" s="54" t="n"/>
      <c r="E339" s="55" t="n"/>
      <c r="F339" s="48" t="n"/>
      <c r="G339" s="58" t="n"/>
      <c r="H339" s="62" t="n"/>
      <c r="I339" s="63" t="n"/>
      <c r="J339" s="48" t="n"/>
      <c r="K339" s="58" t="n"/>
      <c r="L339" s="42" t="n"/>
      <c r="M339" s="42" t="n"/>
      <c r="N339" s="48" t="n"/>
      <c r="O339" s="58" t="n"/>
      <c r="P339" s="42" t="n"/>
      <c r="Q339" s="42" t="n"/>
      <c r="R339" s="48" t="n"/>
      <c r="S339" s="58" t="n"/>
      <c r="T339" s="42" t="n"/>
      <c r="U339" s="42" t="n"/>
      <c r="V339" s="48" t="n"/>
      <c r="W339" s="58" t="n"/>
      <c r="X339" s="42" t="n"/>
      <c r="Y339" s="42" t="n"/>
      <c r="Z339" s="48" t="n"/>
      <c r="AA339" s="58" t="n"/>
      <c r="AB339" s="42" t="n"/>
      <c r="AC339" s="42" t="n"/>
      <c r="AD339" s="48" t="n"/>
      <c r="AE339" s="58" t="n"/>
      <c r="AF339" s="42" t="n"/>
      <c r="AG339" s="42" t="n"/>
      <c r="AH339" s="48" t="n"/>
      <c r="AI339" s="58" t="n"/>
    </row>
    <row r="340">
      <c r="B340" s="2">
        <f>IF(STUDENTS!B339="","",STUDENTS!B339)</f>
        <v/>
      </c>
      <c r="C340" s="44">
        <f>IFERROR(IF(B340="","",_xlfn.XLOOKUP(B340,STUDENTS!$B$3:$B$1048576,STUDENTS!$C$3:$C$1048576)),"Enter a registered reg. no")</f>
        <v/>
      </c>
      <c r="F340" s="66" t="n"/>
      <c r="G340" s="67" t="n"/>
      <c r="J340" s="66" t="n"/>
      <c r="K340" s="67" t="n"/>
      <c r="N340" s="66" t="n"/>
      <c r="O340" s="67" t="n"/>
      <c r="R340" s="66" t="n"/>
      <c r="S340" s="67" t="n"/>
      <c r="V340" s="66" t="n"/>
      <c r="W340" s="67" t="n"/>
      <c r="Z340" s="66" t="n"/>
      <c r="AA340" s="67" t="n"/>
      <c r="AD340" s="66" t="n"/>
      <c r="AE340" s="67" t="n"/>
      <c r="AH340" s="66" t="n"/>
      <c r="AI340" s="67" t="n"/>
    </row>
    <row r="341">
      <c r="B341" s="2">
        <f>IF(STUDENTS!B340="","",STUDENTS!B340)</f>
        <v/>
      </c>
      <c r="C341" s="44">
        <f>IFERROR(IF(B341="","",_xlfn.XLOOKUP(B341,STUDENTS!$B$3:$B$1048576,STUDENTS!$C$3:$C$1048576)),"Enter a registered reg. no")</f>
        <v/>
      </c>
      <c r="D341" s="54" t="n"/>
      <c r="E341" s="55" t="n"/>
      <c r="F341" s="48" t="n"/>
      <c r="G341" s="58" t="n"/>
      <c r="H341" s="62" t="n"/>
      <c r="I341" s="63" t="n"/>
      <c r="J341" s="48" t="n"/>
      <c r="K341" s="58" t="n"/>
      <c r="L341" s="42" t="n"/>
      <c r="M341" s="42" t="n"/>
      <c r="N341" s="48" t="n"/>
      <c r="O341" s="58" t="n"/>
      <c r="P341" s="42" t="n"/>
      <c r="Q341" s="42" t="n"/>
      <c r="R341" s="48" t="n"/>
      <c r="S341" s="58" t="n"/>
      <c r="T341" s="42" t="n"/>
      <c r="U341" s="42" t="n"/>
      <c r="V341" s="48" t="n"/>
      <c r="W341" s="58" t="n"/>
      <c r="X341" s="42" t="n"/>
      <c r="Y341" s="42" t="n"/>
      <c r="Z341" s="48" t="n"/>
      <c r="AA341" s="58" t="n"/>
      <c r="AB341" s="42" t="n"/>
      <c r="AC341" s="42" t="n"/>
      <c r="AD341" s="48" t="n"/>
      <c r="AE341" s="58" t="n"/>
      <c r="AF341" s="42" t="n"/>
      <c r="AG341" s="42" t="n"/>
      <c r="AH341" s="48" t="n"/>
      <c r="AI341" s="58" t="n"/>
    </row>
    <row r="342">
      <c r="B342" s="2">
        <f>IF(STUDENTS!B341="","",STUDENTS!B341)</f>
        <v/>
      </c>
      <c r="C342" s="44">
        <f>IFERROR(IF(B342="","",_xlfn.XLOOKUP(B342,STUDENTS!$B$3:$B$1048576,STUDENTS!$C$3:$C$1048576)),"Enter a registered reg. no")</f>
        <v/>
      </c>
      <c r="F342" s="66" t="n"/>
      <c r="G342" s="67" t="n"/>
      <c r="J342" s="66" t="n"/>
      <c r="K342" s="67" t="n"/>
      <c r="N342" s="66" t="n"/>
      <c r="O342" s="67" t="n"/>
      <c r="R342" s="66" t="n"/>
      <c r="S342" s="67" t="n"/>
      <c r="V342" s="66" t="n"/>
      <c r="W342" s="67" t="n"/>
      <c r="Z342" s="66" t="n"/>
      <c r="AA342" s="67" t="n"/>
      <c r="AD342" s="66" t="n"/>
      <c r="AE342" s="67" t="n"/>
      <c r="AH342" s="66" t="n"/>
      <c r="AI342" s="67" t="n"/>
    </row>
    <row r="343">
      <c r="B343" s="2">
        <f>IF(STUDENTS!B342="","",STUDENTS!B342)</f>
        <v/>
      </c>
      <c r="C343" s="44">
        <f>IFERROR(IF(B343="","",_xlfn.XLOOKUP(B343,STUDENTS!$B$3:$B$1048576,STUDENTS!$C$3:$C$1048576)),"Enter a registered reg. no")</f>
        <v/>
      </c>
      <c r="D343" s="54" t="n"/>
      <c r="E343" s="55" t="n"/>
      <c r="F343" s="48" t="n"/>
      <c r="G343" s="58" t="n"/>
      <c r="H343" s="62" t="n"/>
      <c r="I343" s="63" t="n"/>
      <c r="J343" s="48" t="n"/>
      <c r="K343" s="58" t="n"/>
      <c r="L343" s="42" t="n"/>
      <c r="M343" s="42" t="n"/>
      <c r="N343" s="48" t="n"/>
      <c r="O343" s="58" t="n"/>
      <c r="P343" s="42" t="n"/>
      <c r="Q343" s="42" t="n"/>
      <c r="R343" s="48" t="n"/>
      <c r="S343" s="58" t="n"/>
      <c r="T343" s="42" t="n"/>
      <c r="U343" s="42" t="n"/>
      <c r="V343" s="48" t="n"/>
      <c r="W343" s="58" t="n"/>
      <c r="X343" s="42" t="n"/>
      <c r="Y343" s="42" t="n"/>
      <c r="Z343" s="48" t="n"/>
      <c r="AA343" s="58" t="n"/>
      <c r="AB343" s="42" t="n"/>
      <c r="AC343" s="42" t="n"/>
      <c r="AD343" s="48" t="n"/>
      <c r="AE343" s="58" t="n"/>
      <c r="AF343" s="42" t="n"/>
      <c r="AG343" s="42" t="n"/>
      <c r="AH343" s="48" t="n"/>
      <c r="AI343" s="58" t="n"/>
    </row>
    <row r="344">
      <c r="B344" s="2">
        <f>IF(STUDENTS!B343="","",STUDENTS!B343)</f>
        <v/>
      </c>
      <c r="C344" s="44">
        <f>IFERROR(IF(B344="","",_xlfn.XLOOKUP(B344,STUDENTS!$B$3:$B$1048576,STUDENTS!$C$3:$C$1048576)),"Enter a registered reg. no")</f>
        <v/>
      </c>
      <c r="F344" s="66" t="n"/>
      <c r="G344" s="67" t="n"/>
      <c r="J344" s="66" t="n"/>
      <c r="K344" s="67" t="n"/>
      <c r="N344" s="66" t="n"/>
      <c r="O344" s="67" t="n"/>
      <c r="R344" s="66" t="n"/>
      <c r="S344" s="67" t="n"/>
      <c r="V344" s="66" t="n"/>
      <c r="W344" s="67" t="n"/>
      <c r="Z344" s="66" t="n"/>
      <c r="AA344" s="67" t="n"/>
      <c r="AD344" s="66" t="n"/>
      <c r="AE344" s="67" t="n"/>
      <c r="AH344" s="66" t="n"/>
      <c r="AI344" s="67" t="n"/>
    </row>
    <row r="345">
      <c r="B345" s="2">
        <f>IF(STUDENTS!B344="","",STUDENTS!B344)</f>
        <v/>
      </c>
      <c r="C345" s="44">
        <f>IFERROR(IF(B345="","",_xlfn.XLOOKUP(B345,STUDENTS!$B$3:$B$1048576,STUDENTS!$C$3:$C$1048576)),"Enter a registered reg. no")</f>
        <v/>
      </c>
      <c r="D345" s="54" t="n"/>
      <c r="E345" s="55" t="n"/>
      <c r="F345" s="48" t="n"/>
      <c r="G345" s="58" t="n"/>
      <c r="H345" s="62" t="n"/>
      <c r="I345" s="63" t="n"/>
      <c r="J345" s="48" t="n"/>
      <c r="K345" s="58" t="n"/>
      <c r="L345" s="42" t="n"/>
      <c r="M345" s="42" t="n"/>
      <c r="N345" s="48" t="n"/>
      <c r="O345" s="58" t="n"/>
      <c r="P345" s="42" t="n"/>
      <c r="Q345" s="42" t="n"/>
      <c r="R345" s="48" t="n"/>
      <c r="S345" s="58" t="n"/>
      <c r="T345" s="42" t="n"/>
      <c r="U345" s="42" t="n"/>
      <c r="V345" s="48" t="n"/>
      <c r="W345" s="58" t="n"/>
      <c r="X345" s="42" t="n"/>
      <c r="Y345" s="42" t="n"/>
      <c r="Z345" s="48" t="n"/>
      <c r="AA345" s="58" t="n"/>
      <c r="AB345" s="42" t="n"/>
      <c r="AC345" s="42" t="n"/>
      <c r="AD345" s="48" t="n"/>
      <c r="AE345" s="58" t="n"/>
      <c r="AF345" s="42" t="n"/>
      <c r="AG345" s="42" t="n"/>
      <c r="AH345" s="48" t="n"/>
      <c r="AI345" s="58" t="n"/>
    </row>
    <row r="346">
      <c r="B346" s="2">
        <f>IF(STUDENTS!B345="","",STUDENTS!B345)</f>
        <v/>
      </c>
      <c r="C346" s="44">
        <f>IFERROR(IF(B346="","",_xlfn.XLOOKUP(B346,STUDENTS!$B$3:$B$1048576,STUDENTS!$C$3:$C$1048576)),"Enter a registered reg. no")</f>
        <v/>
      </c>
      <c r="F346" s="66" t="n"/>
      <c r="G346" s="67" t="n"/>
      <c r="J346" s="66" t="n"/>
      <c r="K346" s="67" t="n"/>
      <c r="N346" s="66" t="n"/>
      <c r="O346" s="67" t="n"/>
      <c r="R346" s="66" t="n"/>
      <c r="S346" s="67" t="n"/>
      <c r="V346" s="66" t="n"/>
      <c r="W346" s="67" t="n"/>
      <c r="Z346" s="66" t="n"/>
      <c r="AA346" s="67" t="n"/>
      <c r="AD346" s="66" t="n"/>
      <c r="AE346" s="67" t="n"/>
      <c r="AH346" s="66" t="n"/>
      <c r="AI346" s="67" t="n"/>
    </row>
    <row r="347">
      <c r="B347" s="2">
        <f>IF(STUDENTS!B346="","",STUDENTS!B346)</f>
        <v/>
      </c>
      <c r="C347" s="44">
        <f>IFERROR(IF(B347="","",_xlfn.XLOOKUP(B347,STUDENTS!$B$3:$B$1048576,STUDENTS!$C$3:$C$1048576)),"Enter a registered reg. no")</f>
        <v/>
      </c>
      <c r="D347" s="54" t="n"/>
      <c r="E347" s="55" t="n"/>
      <c r="F347" s="48" t="n"/>
      <c r="G347" s="58" t="n"/>
      <c r="H347" s="62" t="n"/>
      <c r="I347" s="63" t="n"/>
      <c r="J347" s="48" t="n"/>
      <c r="K347" s="58" t="n"/>
      <c r="L347" s="42" t="n"/>
      <c r="M347" s="42" t="n"/>
      <c r="N347" s="48" t="n"/>
      <c r="O347" s="58" t="n"/>
      <c r="P347" s="42" t="n"/>
      <c r="Q347" s="42" t="n"/>
      <c r="R347" s="48" t="n"/>
      <c r="S347" s="58" t="n"/>
      <c r="T347" s="42" t="n"/>
      <c r="U347" s="42" t="n"/>
      <c r="V347" s="48" t="n"/>
      <c r="W347" s="58" t="n"/>
      <c r="X347" s="42" t="n"/>
      <c r="Y347" s="42" t="n"/>
      <c r="Z347" s="48" t="n"/>
      <c r="AA347" s="58" t="n"/>
      <c r="AB347" s="42" t="n"/>
      <c r="AC347" s="42" t="n"/>
      <c r="AD347" s="48" t="n"/>
      <c r="AE347" s="58" t="n"/>
      <c r="AF347" s="42" t="n"/>
      <c r="AG347" s="42" t="n"/>
      <c r="AH347" s="48" t="n"/>
      <c r="AI347" s="58" t="n"/>
    </row>
    <row r="348">
      <c r="B348" s="2">
        <f>IF(STUDENTS!B347="","",STUDENTS!B347)</f>
        <v/>
      </c>
      <c r="C348" s="44">
        <f>IFERROR(IF(B348="","",_xlfn.XLOOKUP(B348,STUDENTS!$B$3:$B$1048576,STUDENTS!$C$3:$C$1048576)),"Enter a registered reg. no")</f>
        <v/>
      </c>
      <c r="F348" s="66" t="n"/>
      <c r="G348" s="67" t="n"/>
      <c r="J348" s="66" t="n"/>
      <c r="K348" s="67" t="n"/>
      <c r="N348" s="66" t="n"/>
      <c r="O348" s="67" t="n"/>
      <c r="R348" s="66" t="n"/>
      <c r="S348" s="67" t="n"/>
      <c r="V348" s="66" t="n"/>
      <c r="W348" s="67" t="n"/>
      <c r="Z348" s="66" t="n"/>
      <c r="AA348" s="67" t="n"/>
      <c r="AD348" s="66" t="n"/>
      <c r="AE348" s="67" t="n"/>
      <c r="AH348" s="66" t="n"/>
      <c r="AI348" s="67" t="n"/>
    </row>
    <row r="349">
      <c r="B349" s="2">
        <f>IF(STUDENTS!B348="","",STUDENTS!B348)</f>
        <v/>
      </c>
      <c r="C349" s="44">
        <f>IFERROR(IF(B349="","",_xlfn.XLOOKUP(B349,STUDENTS!$B$3:$B$1048576,STUDENTS!$C$3:$C$1048576)),"Enter a registered reg. no")</f>
        <v/>
      </c>
      <c r="D349" s="54" t="n"/>
      <c r="E349" s="55" t="n"/>
      <c r="F349" s="48" t="n"/>
      <c r="G349" s="58" t="n"/>
      <c r="H349" s="62" t="n"/>
      <c r="I349" s="63" t="n"/>
      <c r="J349" s="48" t="n"/>
      <c r="K349" s="58" t="n"/>
      <c r="L349" s="42" t="n"/>
      <c r="M349" s="42" t="n"/>
      <c r="N349" s="48" t="n"/>
      <c r="O349" s="58" t="n"/>
      <c r="P349" s="42" t="n"/>
      <c r="Q349" s="42" t="n"/>
      <c r="R349" s="48" t="n"/>
      <c r="S349" s="58" t="n"/>
      <c r="T349" s="42" t="n"/>
      <c r="U349" s="42" t="n"/>
      <c r="V349" s="48" t="n"/>
      <c r="W349" s="58" t="n"/>
      <c r="X349" s="42" t="n"/>
      <c r="Y349" s="42" t="n"/>
      <c r="Z349" s="48" t="n"/>
      <c r="AA349" s="58" t="n"/>
      <c r="AB349" s="42" t="n"/>
      <c r="AC349" s="42" t="n"/>
      <c r="AD349" s="48" t="n"/>
      <c r="AE349" s="58" t="n"/>
      <c r="AF349" s="42" t="n"/>
      <c r="AG349" s="42" t="n"/>
      <c r="AH349" s="48" t="n"/>
      <c r="AI349" s="58" t="n"/>
    </row>
    <row r="350">
      <c r="B350" s="2">
        <f>IF(STUDENTS!B349="","",STUDENTS!B349)</f>
        <v/>
      </c>
      <c r="C350" s="44">
        <f>IFERROR(IF(B350="","",_xlfn.XLOOKUP(B350,STUDENTS!$B$3:$B$1048576,STUDENTS!$C$3:$C$1048576)),"Enter a registered reg. no")</f>
        <v/>
      </c>
      <c r="F350" s="66" t="n"/>
      <c r="G350" s="67" t="n"/>
      <c r="J350" s="66" t="n"/>
      <c r="K350" s="67" t="n"/>
      <c r="N350" s="66" t="n"/>
      <c r="O350" s="67" t="n"/>
      <c r="R350" s="66" t="n"/>
      <c r="S350" s="67" t="n"/>
      <c r="V350" s="66" t="n"/>
      <c r="W350" s="67" t="n"/>
      <c r="Z350" s="66" t="n"/>
      <c r="AA350" s="67" t="n"/>
      <c r="AD350" s="66" t="n"/>
      <c r="AE350" s="67" t="n"/>
      <c r="AH350" s="66" t="n"/>
      <c r="AI350" s="67" t="n"/>
    </row>
    <row r="351">
      <c r="B351" s="2">
        <f>IF(STUDENTS!B350="","",STUDENTS!B350)</f>
        <v/>
      </c>
      <c r="C351" s="44">
        <f>IFERROR(IF(B351="","",_xlfn.XLOOKUP(B351,STUDENTS!$B$3:$B$1048576,STUDENTS!$C$3:$C$1048576)),"Enter a registered reg. no")</f>
        <v/>
      </c>
      <c r="D351" s="54" t="n"/>
      <c r="E351" s="55" t="n"/>
      <c r="F351" s="48" t="n"/>
      <c r="G351" s="58" t="n"/>
      <c r="H351" s="62" t="n"/>
      <c r="I351" s="63" t="n"/>
      <c r="J351" s="48" t="n"/>
      <c r="K351" s="58" t="n"/>
      <c r="L351" s="42" t="n"/>
      <c r="M351" s="42" t="n"/>
      <c r="N351" s="48" t="n"/>
      <c r="O351" s="58" t="n"/>
      <c r="P351" s="42" t="n"/>
      <c r="Q351" s="42" t="n"/>
      <c r="R351" s="48" t="n"/>
      <c r="S351" s="58" t="n"/>
      <c r="T351" s="42" t="n"/>
      <c r="U351" s="42" t="n"/>
      <c r="V351" s="48" t="n"/>
      <c r="W351" s="58" t="n"/>
      <c r="X351" s="42" t="n"/>
      <c r="Y351" s="42" t="n"/>
      <c r="Z351" s="48" t="n"/>
      <c r="AA351" s="58" t="n"/>
      <c r="AB351" s="42" t="n"/>
      <c r="AC351" s="42" t="n"/>
      <c r="AD351" s="48" t="n"/>
      <c r="AE351" s="58" t="n"/>
      <c r="AF351" s="42" t="n"/>
      <c r="AG351" s="42" t="n"/>
      <c r="AH351" s="48" t="n"/>
      <c r="AI351" s="58" t="n"/>
    </row>
    <row r="352">
      <c r="B352" s="2">
        <f>IF(STUDENTS!B351="","",STUDENTS!B351)</f>
        <v/>
      </c>
      <c r="C352" s="44">
        <f>IFERROR(IF(B352="","",_xlfn.XLOOKUP(B352,STUDENTS!$B$3:$B$1048576,STUDENTS!$C$3:$C$1048576)),"Enter a registered reg. no")</f>
        <v/>
      </c>
      <c r="F352" s="66" t="n"/>
      <c r="G352" s="67" t="n"/>
      <c r="J352" s="66" t="n"/>
      <c r="K352" s="67" t="n"/>
      <c r="N352" s="66" t="n"/>
      <c r="O352" s="67" t="n"/>
      <c r="R352" s="66" t="n"/>
      <c r="S352" s="67" t="n"/>
      <c r="V352" s="66" t="n"/>
      <c r="W352" s="67" t="n"/>
      <c r="Z352" s="66" t="n"/>
      <c r="AA352" s="67" t="n"/>
      <c r="AD352" s="66" t="n"/>
      <c r="AE352" s="67" t="n"/>
      <c r="AH352" s="66" t="n"/>
      <c r="AI352" s="67" t="n"/>
    </row>
    <row r="353">
      <c r="B353" s="2">
        <f>IF(STUDENTS!B352="","",STUDENTS!B352)</f>
        <v/>
      </c>
      <c r="C353" s="44">
        <f>IFERROR(IF(B353="","",_xlfn.XLOOKUP(B353,STUDENTS!$B$3:$B$1048576,STUDENTS!$C$3:$C$1048576)),"Enter a registered reg. no")</f>
        <v/>
      </c>
      <c r="D353" s="54" t="n"/>
      <c r="E353" s="55" t="n"/>
      <c r="F353" s="48" t="n"/>
      <c r="G353" s="58" t="n"/>
      <c r="H353" s="62" t="n"/>
      <c r="I353" s="63" t="n"/>
      <c r="J353" s="48" t="n"/>
      <c r="K353" s="58" t="n"/>
      <c r="L353" s="42" t="n"/>
      <c r="M353" s="42" t="n"/>
      <c r="N353" s="48" t="n"/>
      <c r="O353" s="58" t="n"/>
      <c r="P353" s="42" t="n"/>
      <c r="Q353" s="42" t="n"/>
      <c r="R353" s="48" t="n"/>
      <c r="S353" s="58" t="n"/>
      <c r="T353" s="42" t="n"/>
      <c r="U353" s="42" t="n"/>
      <c r="V353" s="48" t="n"/>
      <c r="W353" s="58" t="n"/>
      <c r="X353" s="42" t="n"/>
      <c r="Y353" s="42" t="n"/>
      <c r="Z353" s="48" t="n"/>
      <c r="AA353" s="58" t="n"/>
      <c r="AB353" s="42" t="n"/>
      <c r="AC353" s="42" t="n"/>
      <c r="AD353" s="48" t="n"/>
      <c r="AE353" s="58" t="n"/>
      <c r="AF353" s="42" t="n"/>
      <c r="AG353" s="42" t="n"/>
      <c r="AH353" s="48" t="n"/>
      <c r="AI353" s="58" t="n"/>
    </row>
    <row r="354">
      <c r="B354" s="2">
        <f>IF(STUDENTS!B353="","",STUDENTS!B353)</f>
        <v/>
      </c>
      <c r="C354" s="44">
        <f>IFERROR(IF(B354="","",_xlfn.XLOOKUP(B354,STUDENTS!$B$3:$B$1048576,STUDENTS!$C$3:$C$1048576)),"Enter a registered reg. no")</f>
        <v/>
      </c>
      <c r="F354" s="66" t="n"/>
      <c r="G354" s="67" t="n"/>
      <c r="J354" s="66" t="n"/>
      <c r="K354" s="67" t="n"/>
      <c r="N354" s="66" t="n"/>
      <c r="O354" s="67" t="n"/>
      <c r="R354" s="66" t="n"/>
      <c r="S354" s="67" t="n"/>
      <c r="V354" s="66" t="n"/>
      <c r="W354" s="67" t="n"/>
      <c r="Z354" s="66" t="n"/>
      <c r="AA354" s="67" t="n"/>
      <c r="AD354" s="66" t="n"/>
      <c r="AE354" s="67" t="n"/>
      <c r="AH354" s="66" t="n"/>
      <c r="AI354" s="67" t="n"/>
    </row>
    <row r="355">
      <c r="B355" s="2">
        <f>IF(STUDENTS!B354="","",STUDENTS!B354)</f>
        <v/>
      </c>
      <c r="C355" s="44">
        <f>IFERROR(IF(B355="","",_xlfn.XLOOKUP(B355,STUDENTS!$B$3:$B$1048576,STUDENTS!$C$3:$C$1048576)),"Enter a registered reg. no")</f>
        <v/>
      </c>
      <c r="D355" s="54" t="n"/>
      <c r="E355" s="55" t="n"/>
      <c r="F355" s="48" t="n"/>
      <c r="G355" s="58" t="n"/>
      <c r="H355" s="62" t="n"/>
      <c r="I355" s="63" t="n"/>
      <c r="J355" s="48" t="n"/>
      <c r="K355" s="58" t="n"/>
      <c r="L355" s="42" t="n"/>
      <c r="M355" s="42" t="n"/>
      <c r="N355" s="48" t="n"/>
      <c r="O355" s="58" t="n"/>
      <c r="P355" s="42" t="n"/>
      <c r="Q355" s="42" t="n"/>
      <c r="R355" s="48" t="n"/>
      <c r="S355" s="58" t="n"/>
      <c r="T355" s="42" t="n"/>
      <c r="U355" s="42" t="n"/>
      <c r="V355" s="48" t="n"/>
      <c r="W355" s="58" t="n"/>
      <c r="X355" s="42" t="n"/>
      <c r="Y355" s="42" t="n"/>
      <c r="Z355" s="48" t="n"/>
      <c r="AA355" s="58" t="n"/>
      <c r="AB355" s="42" t="n"/>
      <c r="AC355" s="42" t="n"/>
      <c r="AD355" s="48" t="n"/>
      <c r="AE355" s="58" t="n"/>
      <c r="AF355" s="42" t="n"/>
      <c r="AG355" s="42" t="n"/>
      <c r="AH355" s="48" t="n"/>
      <c r="AI355" s="58" t="n"/>
    </row>
    <row r="356">
      <c r="B356" s="2">
        <f>IF(STUDENTS!B355="","",STUDENTS!B355)</f>
        <v/>
      </c>
      <c r="C356" s="44">
        <f>IFERROR(IF(B356="","",_xlfn.XLOOKUP(B356,STUDENTS!$B$3:$B$1048576,STUDENTS!$C$3:$C$1048576)),"Enter a registered reg. no")</f>
        <v/>
      </c>
      <c r="F356" s="66" t="n"/>
      <c r="G356" s="67" t="n"/>
      <c r="J356" s="66" t="n"/>
      <c r="K356" s="67" t="n"/>
      <c r="N356" s="66" t="n"/>
      <c r="O356" s="67" t="n"/>
      <c r="R356" s="66" t="n"/>
      <c r="S356" s="67" t="n"/>
      <c r="V356" s="66" t="n"/>
      <c r="W356" s="67" t="n"/>
      <c r="Z356" s="66" t="n"/>
      <c r="AA356" s="67" t="n"/>
      <c r="AD356" s="66" t="n"/>
      <c r="AE356" s="67" t="n"/>
      <c r="AH356" s="66" t="n"/>
      <c r="AI356" s="67" t="n"/>
    </row>
    <row r="357">
      <c r="B357" s="2">
        <f>IF(STUDENTS!B356="","",STUDENTS!B356)</f>
        <v/>
      </c>
      <c r="C357" s="44">
        <f>IFERROR(IF(B357="","",_xlfn.XLOOKUP(B357,STUDENTS!$B$3:$B$1048576,STUDENTS!$C$3:$C$1048576)),"Enter a registered reg. no")</f>
        <v/>
      </c>
      <c r="D357" s="54" t="n"/>
      <c r="E357" s="55" t="n"/>
      <c r="F357" s="48" t="n"/>
      <c r="G357" s="58" t="n"/>
      <c r="H357" s="62" t="n"/>
      <c r="I357" s="63" t="n"/>
      <c r="J357" s="48" t="n"/>
      <c r="K357" s="58" t="n"/>
      <c r="L357" s="42" t="n"/>
      <c r="M357" s="42" t="n"/>
      <c r="N357" s="48" t="n"/>
      <c r="O357" s="58" t="n"/>
      <c r="P357" s="42" t="n"/>
      <c r="Q357" s="42" t="n"/>
      <c r="R357" s="48" t="n"/>
      <c r="S357" s="58" t="n"/>
      <c r="T357" s="42" t="n"/>
      <c r="U357" s="42" t="n"/>
      <c r="V357" s="48" t="n"/>
      <c r="W357" s="58" t="n"/>
      <c r="X357" s="42" t="n"/>
      <c r="Y357" s="42" t="n"/>
      <c r="Z357" s="48" t="n"/>
      <c r="AA357" s="58" t="n"/>
      <c r="AB357" s="42" t="n"/>
      <c r="AC357" s="42" t="n"/>
      <c r="AD357" s="48" t="n"/>
      <c r="AE357" s="58" t="n"/>
      <c r="AF357" s="42" t="n"/>
      <c r="AG357" s="42" t="n"/>
      <c r="AH357" s="48" t="n"/>
      <c r="AI357" s="58" t="n"/>
    </row>
    <row r="358">
      <c r="B358" s="2">
        <f>IF(STUDENTS!B357="","",STUDENTS!B357)</f>
        <v/>
      </c>
      <c r="C358" s="44">
        <f>IFERROR(IF(B358="","",_xlfn.XLOOKUP(B358,STUDENTS!$B$3:$B$1048576,STUDENTS!$C$3:$C$1048576)),"Enter a registered reg. no")</f>
        <v/>
      </c>
      <c r="F358" s="66" t="n"/>
      <c r="G358" s="67" t="n"/>
      <c r="J358" s="66" t="n"/>
      <c r="K358" s="67" t="n"/>
      <c r="N358" s="66" t="n"/>
      <c r="O358" s="67" t="n"/>
      <c r="R358" s="66" t="n"/>
      <c r="S358" s="67" t="n"/>
      <c r="V358" s="66" t="n"/>
      <c r="W358" s="67" t="n"/>
      <c r="Z358" s="66" t="n"/>
      <c r="AA358" s="67" t="n"/>
      <c r="AD358" s="66" t="n"/>
      <c r="AE358" s="67" t="n"/>
      <c r="AH358" s="66" t="n"/>
      <c r="AI358" s="67" t="n"/>
    </row>
    <row r="359">
      <c r="B359" s="2">
        <f>IF(STUDENTS!B358="","",STUDENTS!B358)</f>
        <v/>
      </c>
      <c r="C359" s="44">
        <f>IFERROR(IF(B359="","",_xlfn.XLOOKUP(B359,STUDENTS!$B$3:$B$1048576,STUDENTS!$C$3:$C$1048576)),"Enter a registered reg. no")</f>
        <v/>
      </c>
      <c r="D359" s="54" t="n"/>
      <c r="E359" s="55" t="n"/>
      <c r="F359" s="48" t="n"/>
      <c r="G359" s="58" t="n"/>
      <c r="H359" s="62" t="n"/>
      <c r="I359" s="63" t="n"/>
      <c r="J359" s="48" t="n"/>
      <c r="K359" s="58" t="n"/>
      <c r="L359" s="42" t="n"/>
      <c r="M359" s="42" t="n"/>
      <c r="N359" s="48" t="n"/>
      <c r="O359" s="58" t="n"/>
      <c r="P359" s="42" t="n"/>
      <c r="Q359" s="42" t="n"/>
      <c r="R359" s="48" t="n"/>
      <c r="S359" s="58" t="n"/>
      <c r="T359" s="42" t="n"/>
      <c r="U359" s="42" t="n"/>
      <c r="V359" s="48" t="n"/>
      <c r="W359" s="58" t="n"/>
      <c r="X359" s="42" t="n"/>
      <c r="Y359" s="42" t="n"/>
      <c r="Z359" s="48" t="n"/>
      <c r="AA359" s="58" t="n"/>
      <c r="AB359" s="42" t="n"/>
      <c r="AC359" s="42" t="n"/>
      <c r="AD359" s="48" t="n"/>
      <c r="AE359" s="58" t="n"/>
      <c r="AF359" s="42" t="n"/>
      <c r="AG359" s="42" t="n"/>
      <c r="AH359" s="48" t="n"/>
      <c r="AI359" s="58" t="n"/>
    </row>
    <row r="360">
      <c r="B360" s="2">
        <f>IF(STUDENTS!B359="","",STUDENTS!B359)</f>
        <v/>
      </c>
      <c r="C360" s="44">
        <f>IFERROR(IF(B360="","",_xlfn.XLOOKUP(B360,STUDENTS!$B$3:$B$1048576,STUDENTS!$C$3:$C$1048576)),"Enter a registered reg. no")</f>
        <v/>
      </c>
      <c r="F360" s="66" t="n"/>
      <c r="G360" s="67" t="n"/>
      <c r="J360" s="66" t="n"/>
      <c r="K360" s="67" t="n"/>
      <c r="N360" s="66" t="n"/>
      <c r="O360" s="67" t="n"/>
      <c r="R360" s="66" t="n"/>
      <c r="S360" s="67" t="n"/>
      <c r="V360" s="66" t="n"/>
      <c r="W360" s="67" t="n"/>
      <c r="Z360" s="66" t="n"/>
      <c r="AA360" s="67" t="n"/>
      <c r="AD360" s="66" t="n"/>
      <c r="AE360" s="67" t="n"/>
      <c r="AH360" s="66" t="n"/>
      <c r="AI360" s="67" t="n"/>
    </row>
    <row r="361">
      <c r="B361" s="2">
        <f>IF(STUDENTS!B360="","",STUDENTS!B360)</f>
        <v/>
      </c>
      <c r="C361" s="44">
        <f>IFERROR(IF(B361="","",_xlfn.XLOOKUP(B361,STUDENTS!$B$3:$B$1048576,STUDENTS!$C$3:$C$1048576)),"Enter a registered reg. no")</f>
        <v/>
      </c>
      <c r="D361" s="54" t="n"/>
      <c r="E361" s="55" t="n"/>
      <c r="F361" s="48" t="n"/>
      <c r="G361" s="58" t="n"/>
      <c r="H361" s="62" t="n"/>
      <c r="I361" s="63" t="n"/>
      <c r="J361" s="48" t="n"/>
      <c r="K361" s="58" t="n"/>
      <c r="L361" s="42" t="n"/>
      <c r="M361" s="42" t="n"/>
      <c r="N361" s="48" t="n"/>
      <c r="O361" s="58" t="n"/>
      <c r="P361" s="42" t="n"/>
      <c r="Q361" s="42" t="n"/>
      <c r="R361" s="48" t="n"/>
      <c r="S361" s="58" t="n"/>
      <c r="T361" s="42" t="n"/>
      <c r="U361" s="42" t="n"/>
      <c r="V361" s="48" t="n"/>
      <c r="W361" s="58" t="n"/>
      <c r="X361" s="42" t="n"/>
      <c r="Y361" s="42" t="n"/>
      <c r="Z361" s="48" t="n"/>
      <c r="AA361" s="58" t="n"/>
      <c r="AB361" s="42" t="n"/>
      <c r="AC361" s="42" t="n"/>
      <c r="AD361" s="48" t="n"/>
      <c r="AE361" s="58" t="n"/>
      <c r="AF361" s="42" t="n"/>
      <c r="AG361" s="42" t="n"/>
      <c r="AH361" s="48" t="n"/>
      <c r="AI361" s="58" t="n"/>
    </row>
    <row r="362">
      <c r="B362" s="2">
        <f>IF(STUDENTS!B361="","",STUDENTS!B361)</f>
        <v/>
      </c>
      <c r="C362" s="44">
        <f>IFERROR(IF(B362="","",_xlfn.XLOOKUP(B362,STUDENTS!$B$3:$B$1048576,STUDENTS!$C$3:$C$1048576)),"Enter a registered reg. no")</f>
        <v/>
      </c>
      <c r="F362" s="66" t="n"/>
      <c r="G362" s="67" t="n"/>
      <c r="J362" s="66" t="n"/>
      <c r="K362" s="67" t="n"/>
      <c r="N362" s="66" t="n"/>
      <c r="O362" s="67" t="n"/>
      <c r="R362" s="66" t="n"/>
      <c r="S362" s="67" t="n"/>
      <c r="V362" s="66" t="n"/>
      <c r="W362" s="67" t="n"/>
      <c r="Z362" s="66" t="n"/>
      <c r="AA362" s="67" t="n"/>
      <c r="AD362" s="66" t="n"/>
      <c r="AE362" s="67" t="n"/>
      <c r="AH362" s="66" t="n"/>
      <c r="AI362" s="67" t="n"/>
    </row>
    <row r="363">
      <c r="B363" s="2">
        <f>IF(STUDENTS!B362="","",STUDENTS!B362)</f>
        <v/>
      </c>
      <c r="C363" s="44">
        <f>IFERROR(IF(B363="","",_xlfn.XLOOKUP(B363,STUDENTS!$B$3:$B$1048576,STUDENTS!$C$3:$C$1048576)),"Enter a registered reg. no")</f>
        <v/>
      </c>
      <c r="D363" s="54" t="n"/>
      <c r="E363" s="55" t="n"/>
      <c r="F363" s="48" t="n"/>
      <c r="G363" s="58" t="n"/>
      <c r="H363" s="62" t="n"/>
      <c r="I363" s="63" t="n"/>
      <c r="J363" s="48" t="n"/>
      <c r="K363" s="58" t="n"/>
      <c r="L363" s="42" t="n"/>
      <c r="M363" s="42" t="n"/>
      <c r="N363" s="48" t="n"/>
      <c r="O363" s="58" t="n"/>
      <c r="P363" s="42" t="n"/>
      <c r="Q363" s="42" t="n"/>
      <c r="R363" s="48" t="n"/>
      <c r="S363" s="58" t="n"/>
      <c r="T363" s="42" t="n"/>
      <c r="U363" s="42" t="n"/>
      <c r="V363" s="48" t="n"/>
      <c r="W363" s="58" t="n"/>
      <c r="X363" s="42" t="n"/>
      <c r="Y363" s="42" t="n"/>
      <c r="Z363" s="48" t="n"/>
      <c r="AA363" s="58" t="n"/>
      <c r="AB363" s="42" t="n"/>
      <c r="AC363" s="42" t="n"/>
      <c r="AD363" s="48" t="n"/>
      <c r="AE363" s="58" t="n"/>
      <c r="AF363" s="42" t="n"/>
      <c r="AG363" s="42" t="n"/>
      <c r="AH363" s="48" t="n"/>
      <c r="AI363" s="58" t="n"/>
    </row>
    <row r="364">
      <c r="B364" s="2">
        <f>IF(STUDENTS!B363="","",STUDENTS!B363)</f>
        <v/>
      </c>
      <c r="C364" s="44">
        <f>IFERROR(IF(B364="","",_xlfn.XLOOKUP(B364,STUDENTS!$B$3:$B$1048576,STUDENTS!$C$3:$C$1048576)),"Enter a registered reg. no")</f>
        <v/>
      </c>
      <c r="F364" s="66" t="n"/>
      <c r="G364" s="67" t="n"/>
      <c r="J364" s="66" t="n"/>
      <c r="K364" s="67" t="n"/>
      <c r="N364" s="66" t="n"/>
      <c r="O364" s="67" t="n"/>
      <c r="R364" s="66" t="n"/>
      <c r="S364" s="67" t="n"/>
      <c r="V364" s="66" t="n"/>
      <c r="W364" s="67" t="n"/>
      <c r="Z364" s="66" t="n"/>
      <c r="AA364" s="67" t="n"/>
      <c r="AD364" s="66" t="n"/>
      <c r="AE364" s="67" t="n"/>
      <c r="AH364" s="66" t="n"/>
      <c r="AI364" s="67" t="n"/>
    </row>
    <row r="365">
      <c r="B365" s="2">
        <f>IF(STUDENTS!B364="","",STUDENTS!B364)</f>
        <v/>
      </c>
      <c r="C365" s="44">
        <f>IFERROR(IF(B365="","",_xlfn.XLOOKUP(B365,STUDENTS!$B$3:$B$1048576,STUDENTS!$C$3:$C$1048576)),"Enter a registered reg. no")</f>
        <v/>
      </c>
      <c r="D365" s="54" t="n"/>
      <c r="E365" s="55" t="n"/>
      <c r="F365" s="48" t="n"/>
      <c r="G365" s="58" t="n"/>
      <c r="H365" s="62" t="n"/>
      <c r="I365" s="63" t="n"/>
      <c r="J365" s="48" t="n"/>
      <c r="K365" s="58" t="n"/>
      <c r="L365" s="42" t="n"/>
      <c r="M365" s="42" t="n"/>
      <c r="N365" s="48" t="n"/>
      <c r="O365" s="58" t="n"/>
      <c r="P365" s="42" t="n"/>
      <c r="Q365" s="42" t="n"/>
      <c r="R365" s="48" t="n"/>
      <c r="S365" s="58" t="n"/>
      <c r="T365" s="42" t="n"/>
      <c r="U365" s="42" t="n"/>
      <c r="V365" s="48" t="n"/>
      <c r="W365" s="58" t="n"/>
      <c r="X365" s="42" t="n"/>
      <c r="Y365" s="42" t="n"/>
      <c r="Z365" s="48" t="n"/>
      <c r="AA365" s="58" t="n"/>
      <c r="AB365" s="42" t="n"/>
      <c r="AC365" s="42" t="n"/>
      <c r="AD365" s="48" t="n"/>
      <c r="AE365" s="58" t="n"/>
      <c r="AF365" s="42" t="n"/>
      <c r="AG365" s="42" t="n"/>
      <c r="AH365" s="48" t="n"/>
      <c r="AI365" s="58" t="n"/>
    </row>
    <row r="366">
      <c r="B366" s="2">
        <f>IF(STUDENTS!B365="","",STUDENTS!B365)</f>
        <v/>
      </c>
      <c r="C366" s="44">
        <f>IFERROR(IF(B366="","",_xlfn.XLOOKUP(B366,STUDENTS!$B$3:$B$1048576,STUDENTS!$C$3:$C$1048576)),"Enter a registered reg. no")</f>
        <v/>
      </c>
      <c r="F366" s="66" t="n"/>
      <c r="G366" s="67" t="n"/>
      <c r="J366" s="66" t="n"/>
      <c r="K366" s="67" t="n"/>
      <c r="N366" s="66" t="n"/>
      <c r="O366" s="67" t="n"/>
      <c r="R366" s="66" t="n"/>
      <c r="S366" s="67" t="n"/>
      <c r="V366" s="66" t="n"/>
      <c r="W366" s="67" t="n"/>
      <c r="Z366" s="66" t="n"/>
      <c r="AA366" s="67" t="n"/>
      <c r="AD366" s="66" t="n"/>
      <c r="AE366" s="67" t="n"/>
      <c r="AH366" s="66" t="n"/>
      <c r="AI366" s="67" t="n"/>
    </row>
    <row r="367">
      <c r="B367" s="2">
        <f>IF(STUDENTS!B366="","",STUDENTS!B366)</f>
        <v/>
      </c>
      <c r="C367" s="44">
        <f>IFERROR(IF(B367="","",_xlfn.XLOOKUP(B367,STUDENTS!$B$3:$B$1048576,STUDENTS!$C$3:$C$1048576)),"Enter a registered reg. no")</f>
        <v/>
      </c>
      <c r="D367" s="54" t="n"/>
      <c r="E367" s="55" t="n"/>
      <c r="F367" s="48" t="n"/>
      <c r="G367" s="58" t="n"/>
      <c r="H367" s="62" t="n"/>
      <c r="I367" s="63" t="n"/>
      <c r="J367" s="48" t="n"/>
      <c r="K367" s="58" t="n"/>
      <c r="L367" s="42" t="n"/>
      <c r="M367" s="42" t="n"/>
      <c r="N367" s="48" t="n"/>
      <c r="O367" s="58" t="n"/>
      <c r="P367" s="42" t="n"/>
      <c r="Q367" s="42" t="n"/>
      <c r="R367" s="48" t="n"/>
      <c r="S367" s="58" t="n"/>
      <c r="T367" s="42" t="n"/>
      <c r="U367" s="42" t="n"/>
      <c r="V367" s="48" t="n"/>
      <c r="W367" s="58" t="n"/>
      <c r="X367" s="42" t="n"/>
      <c r="Y367" s="42" t="n"/>
      <c r="Z367" s="48" t="n"/>
      <c r="AA367" s="58" t="n"/>
      <c r="AB367" s="42" t="n"/>
      <c r="AC367" s="42" t="n"/>
      <c r="AD367" s="48" t="n"/>
      <c r="AE367" s="58" t="n"/>
      <c r="AF367" s="42" t="n"/>
      <c r="AG367" s="42" t="n"/>
      <c r="AH367" s="48" t="n"/>
      <c r="AI367" s="58" t="n"/>
    </row>
    <row r="368">
      <c r="B368" s="2">
        <f>IF(STUDENTS!B367="","",STUDENTS!B367)</f>
        <v/>
      </c>
      <c r="C368" s="44">
        <f>IFERROR(IF(B368="","",_xlfn.XLOOKUP(B368,STUDENTS!$B$3:$B$1048576,STUDENTS!$C$3:$C$1048576)),"Enter a registered reg. no")</f>
        <v/>
      </c>
      <c r="F368" s="66" t="n"/>
      <c r="G368" s="67" t="n"/>
      <c r="J368" s="66" t="n"/>
      <c r="K368" s="67" t="n"/>
      <c r="N368" s="66" t="n"/>
      <c r="O368" s="67" t="n"/>
      <c r="R368" s="66" t="n"/>
      <c r="S368" s="67" t="n"/>
      <c r="V368" s="66" t="n"/>
      <c r="W368" s="67" t="n"/>
      <c r="Z368" s="66" t="n"/>
      <c r="AA368" s="67" t="n"/>
      <c r="AD368" s="66" t="n"/>
      <c r="AE368" s="67" t="n"/>
      <c r="AH368" s="66" t="n"/>
      <c r="AI368" s="67" t="n"/>
    </row>
    <row r="369">
      <c r="B369" s="2">
        <f>IF(STUDENTS!B368="","",STUDENTS!B368)</f>
        <v/>
      </c>
      <c r="C369" s="44">
        <f>IFERROR(IF(B369="","",_xlfn.XLOOKUP(B369,STUDENTS!$B$3:$B$1048576,STUDENTS!$C$3:$C$1048576)),"Enter a registered reg. no")</f>
        <v/>
      </c>
      <c r="D369" s="54" t="n"/>
      <c r="E369" s="55" t="n"/>
      <c r="F369" s="48" t="n"/>
      <c r="G369" s="58" t="n"/>
      <c r="H369" s="62" t="n"/>
      <c r="I369" s="63" t="n"/>
      <c r="J369" s="48" t="n"/>
      <c r="K369" s="58" t="n"/>
      <c r="L369" s="42" t="n"/>
      <c r="M369" s="42" t="n"/>
      <c r="N369" s="48" t="n"/>
      <c r="O369" s="58" t="n"/>
      <c r="P369" s="42" t="n"/>
      <c r="Q369" s="42" t="n"/>
      <c r="R369" s="48" t="n"/>
      <c r="S369" s="58" t="n"/>
      <c r="T369" s="42" t="n"/>
      <c r="U369" s="42" t="n"/>
      <c r="V369" s="48" t="n"/>
      <c r="W369" s="58" t="n"/>
      <c r="X369" s="42" t="n"/>
      <c r="Y369" s="42" t="n"/>
      <c r="Z369" s="48" t="n"/>
      <c r="AA369" s="58" t="n"/>
      <c r="AB369" s="42" t="n"/>
      <c r="AC369" s="42" t="n"/>
      <c r="AD369" s="48" t="n"/>
      <c r="AE369" s="58" t="n"/>
      <c r="AF369" s="42" t="n"/>
      <c r="AG369" s="42" t="n"/>
      <c r="AH369" s="48" t="n"/>
      <c r="AI369" s="58" t="n"/>
    </row>
    <row r="370">
      <c r="B370" s="2">
        <f>IF(STUDENTS!B369="","",STUDENTS!B369)</f>
        <v/>
      </c>
      <c r="C370" s="44">
        <f>IFERROR(IF(B370="","",_xlfn.XLOOKUP(B370,STUDENTS!$B$3:$B$1048576,STUDENTS!$C$3:$C$1048576)),"Enter a registered reg. no")</f>
        <v/>
      </c>
      <c r="F370" s="66" t="n"/>
      <c r="G370" s="67" t="n"/>
      <c r="J370" s="66" t="n"/>
      <c r="K370" s="67" t="n"/>
      <c r="N370" s="66" t="n"/>
      <c r="O370" s="67" t="n"/>
      <c r="R370" s="66" t="n"/>
      <c r="S370" s="67" t="n"/>
      <c r="V370" s="66" t="n"/>
      <c r="W370" s="67" t="n"/>
      <c r="Z370" s="66" t="n"/>
      <c r="AA370" s="67" t="n"/>
      <c r="AD370" s="66" t="n"/>
      <c r="AE370" s="67" t="n"/>
      <c r="AH370" s="66" t="n"/>
      <c r="AI370" s="67" t="n"/>
    </row>
    <row r="371">
      <c r="B371" s="2">
        <f>IF(STUDENTS!B370="","",STUDENTS!B370)</f>
        <v/>
      </c>
      <c r="C371" s="44">
        <f>IFERROR(IF(B371="","",_xlfn.XLOOKUP(B371,STUDENTS!$B$3:$B$1048576,STUDENTS!$C$3:$C$1048576)),"Enter a registered reg. no")</f>
        <v/>
      </c>
      <c r="D371" s="54" t="n"/>
      <c r="E371" s="55" t="n"/>
      <c r="F371" s="48" t="n"/>
      <c r="G371" s="58" t="n"/>
      <c r="H371" s="62" t="n"/>
      <c r="I371" s="63" t="n"/>
      <c r="J371" s="48" t="n"/>
      <c r="K371" s="58" t="n"/>
      <c r="L371" s="42" t="n"/>
      <c r="M371" s="42" t="n"/>
      <c r="N371" s="48" t="n"/>
      <c r="O371" s="58" t="n"/>
      <c r="P371" s="42" t="n"/>
      <c r="Q371" s="42" t="n"/>
      <c r="R371" s="48" t="n"/>
      <c r="S371" s="58" t="n"/>
      <c r="T371" s="42" t="n"/>
      <c r="U371" s="42" t="n"/>
      <c r="V371" s="48" t="n"/>
      <c r="W371" s="58" t="n"/>
      <c r="X371" s="42" t="n"/>
      <c r="Y371" s="42" t="n"/>
      <c r="Z371" s="48" t="n"/>
      <c r="AA371" s="58" t="n"/>
      <c r="AB371" s="42" t="n"/>
      <c r="AC371" s="42" t="n"/>
      <c r="AD371" s="48" t="n"/>
      <c r="AE371" s="58" t="n"/>
      <c r="AF371" s="42" t="n"/>
      <c r="AG371" s="42" t="n"/>
      <c r="AH371" s="48" t="n"/>
      <c r="AI371" s="58" t="n"/>
    </row>
    <row r="372">
      <c r="B372" s="2">
        <f>IF(STUDENTS!B371="","",STUDENTS!B371)</f>
        <v/>
      </c>
      <c r="C372" s="44">
        <f>IFERROR(IF(B372="","",_xlfn.XLOOKUP(B372,STUDENTS!$B$3:$B$1048576,STUDENTS!$C$3:$C$1048576)),"Enter a registered reg. no")</f>
        <v/>
      </c>
      <c r="F372" s="66" t="n"/>
      <c r="G372" s="67" t="n"/>
      <c r="J372" s="66" t="n"/>
      <c r="K372" s="67" t="n"/>
      <c r="N372" s="66" t="n"/>
      <c r="O372" s="67" t="n"/>
      <c r="R372" s="66" t="n"/>
      <c r="S372" s="67" t="n"/>
      <c r="V372" s="66" t="n"/>
      <c r="W372" s="67" t="n"/>
      <c r="Z372" s="66" t="n"/>
      <c r="AA372" s="67" t="n"/>
      <c r="AD372" s="66" t="n"/>
      <c r="AE372" s="67" t="n"/>
      <c r="AH372" s="66" t="n"/>
      <c r="AI372" s="67" t="n"/>
    </row>
    <row r="373">
      <c r="B373" s="2">
        <f>IF(STUDENTS!B372="","",STUDENTS!B372)</f>
        <v/>
      </c>
      <c r="C373" s="44">
        <f>IFERROR(IF(B373="","",_xlfn.XLOOKUP(B373,STUDENTS!$B$3:$B$1048576,STUDENTS!$C$3:$C$1048576)),"Enter a registered reg. no")</f>
        <v/>
      </c>
      <c r="D373" s="54" t="n"/>
      <c r="E373" s="55" t="n"/>
      <c r="F373" s="48" t="n"/>
      <c r="G373" s="58" t="n"/>
      <c r="H373" s="62" t="n"/>
      <c r="I373" s="63" t="n"/>
      <c r="J373" s="48" t="n"/>
      <c r="K373" s="58" t="n"/>
      <c r="L373" s="42" t="n"/>
      <c r="M373" s="42" t="n"/>
      <c r="N373" s="48" t="n"/>
      <c r="O373" s="58" t="n"/>
      <c r="P373" s="42" t="n"/>
      <c r="Q373" s="42" t="n"/>
      <c r="R373" s="48" t="n"/>
      <c r="S373" s="58" t="n"/>
      <c r="T373" s="42" t="n"/>
      <c r="U373" s="42" t="n"/>
      <c r="V373" s="48" t="n"/>
      <c r="W373" s="58" t="n"/>
      <c r="X373" s="42" t="n"/>
      <c r="Y373" s="42" t="n"/>
      <c r="Z373" s="48" t="n"/>
      <c r="AA373" s="58" t="n"/>
      <c r="AB373" s="42" t="n"/>
      <c r="AC373" s="42" t="n"/>
      <c r="AD373" s="48" t="n"/>
      <c r="AE373" s="58" t="n"/>
      <c r="AF373" s="42" t="n"/>
      <c r="AG373" s="42" t="n"/>
      <c r="AH373" s="48" t="n"/>
      <c r="AI373" s="58" t="n"/>
    </row>
    <row r="374">
      <c r="B374" s="2">
        <f>IF(STUDENTS!B373="","",STUDENTS!B373)</f>
        <v/>
      </c>
      <c r="C374" s="44">
        <f>IFERROR(IF(B374="","",_xlfn.XLOOKUP(B374,STUDENTS!$B$3:$B$1048576,STUDENTS!$C$3:$C$1048576)),"Enter a registered reg. no")</f>
        <v/>
      </c>
      <c r="F374" s="66" t="n"/>
      <c r="G374" s="67" t="n"/>
      <c r="J374" s="66" t="n"/>
      <c r="K374" s="67" t="n"/>
      <c r="N374" s="66" t="n"/>
      <c r="O374" s="67" t="n"/>
      <c r="R374" s="66" t="n"/>
      <c r="S374" s="67" t="n"/>
      <c r="V374" s="66" t="n"/>
      <c r="W374" s="67" t="n"/>
      <c r="Z374" s="66" t="n"/>
      <c r="AA374" s="67" t="n"/>
      <c r="AD374" s="66" t="n"/>
      <c r="AE374" s="67" t="n"/>
      <c r="AH374" s="66" t="n"/>
      <c r="AI374" s="67" t="n"/>
    </row>
    <row r="375">
      <c r="B375" s="2">
        <f>IF(STUDENTS!B374="","",STUDENTS!B374)</f>
        <v/>
      </c>
      <c r="C375" s="44">
        <f>IFERROR(IF(B375="","",_xlfn.XLOOKUP(B375,STUDENTS!$B$3:$B$1048576,STUDENTS!$C$3:$C$1048576)),"Enter a registered reg. no")</f>
        <v/>
      </c>
      <c r="D375" s="54" t="n"/>
      <c r="E375" s="55" t="n"/>
      <c r="F375" s="48" t="n"/>
      <c r="G375" s="58" t="n"/>
      <c r="H375" s="62" t="n"/>
      <c r="I375" s="63" t="n"/>
      <c r="J375" s="48" t="n"/>
      <c r="K375" s="58" t="n"/>
      <c r="L375" s="42" t="n"/>
      <c r="M375" s="42" t="n"/>
      <c r="N375" s="48" t="n"/>
      <c r="O375" s="58" t="n"/>
      <c r="P375" s="42" t="n"/>
      <c r="Q375" s="42" t="n"/>
      <c r="R375" s="48" t="n"/>
      <c r="S375" s="58" t="n"/>
      <c r="T375" s="42" t="n"/>
      <c r="U375" s="42" t="n"/>
      <c r="V375" s="48" t="n"/>
      <c r="W375" s="58" t="n"/>
      <c r="X375" s="42" t="n"/>
      <c r="Y375" s="42" t="n"/>
      <c r="Z375" s="48" t="n"/>
      <c r="AA375" s="58" t="n"/>
      <c r="AB375" s="42" t="n"/>
      <c r="AC375" s="42" t="n"/>
      <c r="AD375" s="48" t="n"/>
      <c r="AE375" s="58" t="n"/>
      <c r="AF375" s="42" t="n"/>
      <c r="AG375" s="42" t="n"/>
      <c r="AH375" s="48" t="n"/>
      <c r="AI375" s="58" t="n"/>
    </row>
    <row r="376">
      <c r="B376" s="2">
        <f>IF(STUDENTS!B375="","",STUDENTS!B375)</f>
        <v/>
      </c>
      <c r="C376" s="44">
        <f>IFERROR(IF(B376="","",_xlfn.XLOOKUP(B376,STUDENTS!$B$3:$B$1048576,STUDENTS!$C$3:$C$1048576)),"Enter a registered reg. no")</f>
        <v/>
      </c>
      <c r="F376" s="66" t="n"/>
      <c r="G376" s="67" t="n"/>
      <c r="J376" s="66" t="n"/>
      <c r="K376" s="67" t="n"/>
      <c r="N376" s="66" t="n"/>
      <c r="O376" s="67" t="n"/>
      <c r="R376" s="66" t="n"/>
      <c r="S376" s="67" t="n"/>
      <c r="V376" s="66" t="n"/>
      <c r="W376" s="67" t="n"/>
      <c r="Z376" s="66" t="n"/>
      <c r="AA376" s="67" t="n"/>
      <c r="AD376" s="66" t="n"/>
      <c r="AE376" s="67" t="n"/>
      <c r="AH376" s="66" t="n"/>
      <c r="AI376" s="67" t="n"/>
    </row>
    <row r="377">
      <c r="B377" s="2">
        <f>IF(STUDENTS!B376="","",STUDENTS!B376)</f>
        <v/>
      </c>
      <c r="C377" s="44">
        <f>IFERROR(IF(B377="","",_xlfn.XLOOKUP(B377,STUDENTS!$B$3:$B$1048576,STUDENTS!$C$3:$C$1048576)),"Enter a registered reg. no")</f>
        <v/>
      </c>
      <c r="D377" s="54" t="n"/>
      <c r="E377" s="55" t="n"/>
      <c r="F377" s="48" t="n"/>
      <c r="G377" s="58" t="n"/>
      <c r="H377" s="62" t="n"/>
      <c r="I377" s="63" t="n"/>
      <c r="J377" s="48" t="n"/>
      <c r="K377" s="58" t="n"/>
      <c r="L377" s="42" t="n"/>
      <c r="M377" s="42" t="n"/>
      <c r="N377" s="48" t="n"/>
      <c r="O377" s="58" t="n"/>
      <c r="P377" s="42" t="n"/>
      <c r="Q377" s="42" t="n"/>
      <c r="R377" s="48" t="n"/>
      <c r="S377" s="58" t="n"/>
      <c r="T377" s="42" t="n"/>
      <c r="U377" s="42" t="n"/>
      <c r="V377" s="48" t="n"/>
      <c r="W377" s="58" t="n"/>
      <c r="X377" s="42" t="n"/>
      <c r="Y377" s="42" t="n"/>
      <c r="Z377" s="48" t="n"/>
      <c r="AA377" s="58" t="n"/>
      <c r="AB377" s="42" t="n"/>
      <c r="AC377" s="42" t="n"/>
      <c r="AD377" s="48" t="n"/>
      <c r="AE377" s="58" t="n"/>
      <c r="AF377" s="42" t="n"/>
      <c r="AG377" s="42" t="n"/>
      <c r="AH377" s="48" t="n"/>
      <c r="AI377" s="58" t="n"/>
    </row>
    <row r="378">
      <c r="B378" s="2">
        <f>IF(STUDENTS!B377="","",STUDENTS!B377)</f>
        <v/>
      </c>
      <c r="C378" s="44">
        <f>IFERROR(IF(B378="","",_xlfn.XLOOKUP(B378,STUDENTS!$B$3:$B$1048576,STUDENTS!$C$3:$C$1048576)),"Enter a registered reg. no")</f>
        <v/>
      </c>
      <c r="F378" s="66" t="n"/>
      <c r="G378" s="67" t="n"/>
      <c r="J378" s="66" t="n"/>
      <c r="K378" s="67" t="n"/>
      <c r="N378" s="66" t="n"/>
      <c r="O378" s="67" t="n"/>
      <c r="R378" s="66" t="n"/>
      <c r="S378" s="67" t="n"/>
      <c r="V378" s="66" t="n"/>
      <c r="W378" s="67" t="n"/>
      <c r="Z378" s="66" t="n"/>
      <c r="AA378" s="67" t="n"/>
      <c r="AD378" s="66" t="n"/>
      <c r="AE378" s="67" t="n"/>
      <c r="AH378" s="66" t="n"/>
      <c r="AI378" s="67" t="n"/>
    </row>
    <row r="379">
      <c r="B379" s="2">
        <f>IF(STUDENTS!B378="","",STUDENTS!B378)</f>
        <v/>
      </c>
      <c r="C379" s="44">
        <f>IFERROR(IF(B379="","",_xlfn.XLOOKUP(B379,STUDENTS!$B$3:$B$1048576,STUDENTS!$C$3:$C$1048576)),"Enter a registered reg. no")</f>
        <v/>
      </c>
      <c r="D379" s="54" t="n"/>
      <c r="E379" s="55" t="n"/>
      <c r="F379" s="48" t="n"/>
      <c r="G379" s="58" t="n"/>
      <c r="H379" s="62" t="n"/>
      <c r="I379" s="63" t="n"/>
      <c r="J379" s="48" t="n"/>
      <c r="K379" s="58" t="n"/>
      <c r="L379" s="42" t="n"/>
      <c r="M379" s="42" t="n"/>
      <c r="N379" s="48" t="n"/>
      <c r="O379" s="58" t="n"/>
      <c r="P379" s="42" t="n"/>
      <c r="Q379" s="42" t="n"/>
      <c r="R379" s="48" t="n"/>
      <c r="S379" s="58" t="n"/>
      <c r="T379" s="42" t="n"/>
      <c r="U379" s="42" t="n"/>
      <c r="V379" s="48" t="n"/>
      <c r="W379" s="58" t="n"/>
      <c r="X379" s="42" t="n"/>
      <c r="Y379" s="42" t="n"/>
      <c r="Z379" s="48" t="n"/>
      <c r="AA379" s="58" t="n"/>
      <c r="AB379" s="42" t="n"/>
      <c r="AC379" s="42" t="n"/>
      <c r="AD379" s="48" t="n"/>
      <c r="AE379" s="58" t="n"/>
      <c r="AF379" s="42" t="n"/>
      <c r="AG379" s="42" t="n"/>
      <c r="AH379" s="48" t="n"/>
      <c r="AI379" s="58" t="n"/>
    </row>
    <row r="380">
      <c r="B380" s="2">
        <f>IF(STUDENTS!B379="","",STUDENTS!B379)</f>
        <v/>
      </c>
      <c r="C380" s="44">
        <f>IFERROR(IF(B380="","",_xlfn.XLOOKUP(B380,STUDENTS!$B$3:$B$1048576,STUDENTS!$C$3:$C$1048576)),"Enter a registered reg. no")</f>
        <v/>
      </c>
      <c r="F380" s="66" t="n"/>
      <c r="G380" s="67" t="n"/>
      <c r="J380" s="66" t="n"/>
      <c r="K380" s="67" t="n"/>
      <c r="N380" s="66" t="n"/>
      <c r="O380" s="67" t="n"/>
      <c r="R380" s="66" t="n"/>
      <c r="S380" s="67" t="n"/>
      <c r="V380" s="66" t="n"/>
      <c r="W380" s="67" t="n"/>
      <c r="Z380" s="66" t="n"/>
      <c r="AA380" s="67" t="n"/>
      <c r="AD380" s="66" t="n"/>
      <c r="AE380" s="67" t="n"/>
      <c r="AH380" s="66" t="n"/>
      <c r="AI380" s="67" t="n"/>
    </row>
    <row r="381">
      <c r="B381" s="2">
        <f>IF(STUDENTS!B380="","",STUDENTS!B380)</f>
        <v/>
      </c>
      <c r="C381" s="44">
        <f>IFERROR(IF(B381="","",_xlfn.XLOOKUP(B381,STUDENTS!$B$3:$B$1048576,STUDENTS!$C$3:$C$1048576)),"Enter a registered reg. no")</f>
        <v/>
      </c>
      <c r="D381" s="54" t="n"/>
      <c r="E381" s="55" t="n"/>
      <c r="F381" s="48" t="n"/>
      <c r="G381" s="58" t="n"/>
      <c r="H381" s="62" t="n"/>
      <c r="I381" s="63" t="n"/>
      <c r="J381" s="48" t="n"/>
      <c r="K381" s="58" t="n"/>
      <c r="L381" s="42" t="n"/>
      <c r="M381" s="42" t="n"/>
      <c r="N381" s="48" t="n"/>
      <c r="O381" s="58" t="n"/>
      <c r="P381" s="42" t="n"/>
      <c r="Q381" s="42" t="n"/>
      <c r="R381" s="48" t="n"/>
      <c r="S381" s="58" t="n"/>
      <c r="T381" s="42" t="n"/>
      <c r="U381" s="42" t="n"/>
      <c r="V381" s="48" t="n"/>
      <c r="W381" s="58" t="n"/>
      <c r="X381" s="42" t="n"/>
      <c r="Y381" s="42" t="n"/>
      <c r="Z381" s="48" t="n"/>
      <c r="AA381" s="58" t="n"/>
      <c r="AB381" s="42" t="n"/>
      <c r="AC381" s="42" t="n"/>
      <c r="AD381" s="48" t="n"/>
      <c r="AE381" s="58" t="n"/>
      <c r="AF381" s="42" t="n"/>
      <c r="AG381" s="42" t="n"/>
      <c r="AH381" s="48" t="n"/>
      <c r="AI381" s="58" t="n"/>
    </row>
    <row r="382">
      <c r="B382" s="2">
        <f>IF(STUDENTS!B381="","",STUDENTS!B381)</f>
        <v/>
      </c>
      <c r="C382" s="44">
        <f>IFERROR(IF(B382="","",_xlfn.XLOOKUP(B382,STUDENTS!$B$3:$B$1048576,STUDENTS!$C$3:$C$1048576)),"Enter a registered reg. no")</f>
        <v/>
      </c>
      <c r="F382" s="66" t="n"/>
      <c r="G382" s="67" t="n"/>
      <c r="J382" s="66" t="n"/>
      <c r="K382" s="67" t="n"/>
      <c r="N382" s="66" t="n"/>
      <c r="O382" s="67" t="n"/>
      <c r="R382" s="66" t="n"/>
      <c r="S382" s="67" t="n"/>
      <c r="V382" s="66" t="n"/>
      <c r="W382" s="67" t="n"/>
      <c r="Z382" s="66" t="n"/>
      <c r="AA382" s="67" t="n"/>
      <c r="AD382" s="66" t="n"/>
      <c r="AE382" s="67" t="n"/>
      <c r="AH382" s="66" t="n"/>
      <c r="AI382" s="67" t="n"/>
    </row>
    <row r="383">
      <c r="B383" s="2">
        <f>IF(STUDENTS!B382="","",STUDENTS!B382)</f>
        <v/>
      </c>
      <c r="C383" s="44">
        <f>IFERROR(IF(B383="","",_xlfn.XLOOKUP(B383,STUDENTS!$B$3:$B$1048576,STUDENTS!$C$3:$C$1048576)),"Enter a registered reg. no")</f>
        <v/>
      </c>
      <c r="D383" s="54" t="n"/>
      <c r="E383" s="55" t="n"/>
      <c r="F383" s="48" t="n"/>
      <c r="G383" s="58" t="n"/>
      <c r="H383" s="62" t="n"/>
      <c r="I383" s="63" t="n"/>
      <c r="J383" s="48" t="n"/>
      <c r="K383" s="58" t="n"/>
      <c r="L383" s="42" t="n"/>
      <c r="M383" s="42" t="n"/>
      <c r="N383" s="48" t="n"/>
      <c r="O383" s="58" t="n"/>
      <c r="P383" s="42" t="n"/>
      <c r="Q383" s="42" t="n"/>
      <c r="R383" s="48" t="n"/>
      <c r="S383" s="58" t="n"/>
      <c r="T383" s="42" t="n"/>
      <c r="U383" s="42" t="n"/>
      <c r="V383" s="48" t="n"/>
      <c r="W383" s="58" t="n"/>
      <c r="X383" s="42" t="n"/>
      <c r="Y383" s="42" t="n"/>
      <c r="Z383" s="48" t="n"/>
      <c r="AA383" s="58" t="n"/>
      <c r="AB383" s="42" t="n"/>
      <c r="AC383" s="42" t="n"/>
      <c r="AD383" s="48" t="n"/>
      <c r="AE383" s="58" t="n"/>
      <c r="AF383" s="42" t="n"/>
      <c r="AG383" s="42" t="n"/>
      <c r="AH383" s="48" t="n"/>
      <c r="AI383" s="58" t="n"/>
    </row>
    <row r="384">
      <c r="B384" s="2">
        <f>IF(STUDENTS!B383="","",STUDENTS!B383)</f>
        <v/>
      </c>
      <c r="C384" s="44">
        <f>IFERROR(IF(B384="","",_xlfn.XLOOKUP(B384,STUDENTS!$B$3:$B$1048576,STUDENTS!$C$3:$C$1048576)),"Enter a registered reg. no")</f>
        <v/>
      </c>
      <c r="F384" s="66" t="n"/>
      <c r="G384" s="67" t="n"/>
      <c r="J384" s="66" t="n"/>
      <c r="K384" s="67" t="n"/>
      <c r="N384" s="66" t="n"/>
      <c r="O384" s="67" t="n"/>
      <c r="R384" s="66" t="n"/>
      <c r="S384" s="67" t="n"/>
      <c r="V384" s="66" t="n"/>
      <c r="W384" s="67" t="n"/>
      <c r="Z384" s="66" t="n"/>
      <c r="AA384" s="67" t="n"/>
      <c r="AD384" s="66" t="n"/>
      <c r="AE384" s="67" t="n"/>
      <c r="AH384" s="66" t="n"/>
      <c r="AI384" s="67" t="n"/>
    </row>
    <row r="385">
      <c r="B385" s="2">
        <f>IF(STUDENTS!B384="","",STUDENTS!B384)</f>
        <v/>
      </c>
      <c r="C385" s="44">
        <f>IFERROR(IF(B385="","",_xlfn.XLOOKUP(B385,STUDENTS!$B$3:$B$1048576,STUDENTS!$C$3:$C$1048576)),"Enter a registered reg. no")</f>
        <v/>
      </c>
      <c r="D385" s="54" t="n"/>
      <c r="E385" s="55" t="n"/>
      <c r="F385" s="48" t="n"/>
      <c r="G385" s="58" t="n"/>
      <c r="H385" s="62" t="n"/>
      <c r="I385" s="63" t="n"/>
      <c r="J385" s="48" t="n"/>
      <c r="K385" s="58" t="n"/>
      <c r="L385" s="42" t="n"/>
      <c r="M385" s="42" t="n"/>
      <c r="N385" s="48" t="n"/>
      <c r="O385" s="58" t="n"/>
      <c r="P385" s="42" t="n"/>
      <c r="Q385" s="42" t="n"/>
      <c r="R385" s="48" t="n"/>
      <c r="S385" s="58" t="n"/>
      <c r="T385" s="42" t="n"/>
      <c r="U385" s="42" t="n"/>
      <c r="V385" s="48" t="n"/>
      <c r="W385" s="58" t="n"/>
      <c r="X385" s="42" t="n"/>
      <c r="Y385" s="42" t="n"/>
      <c r="Z385" s="48" t="n"/>
      <c r="AA385" s="58" t="n"/>
      <c r="AB385" s="42" t="n"/>
      <c r="AC385" s="42" t="n"/>
      <c r="AD385" s="48" t="n"/>
      <c r="AE385" s="58" t="n"/>
      <c r="AF385" s="42" t="n"/>
      <c r="AG385" s="42" t="n"/>
      <c r="AH385" s="48" t="n"/>
      <c r="AI385" s="58" t="n"/>
    </row>
    <row r="386">
      <c r="B386" s="2">
        <f>IF(STUDENTS!B385="","",STUDENTS!B385)</f>
        <v/>
      </c>
      <c r="C386" s="44">
        <f>IFERROR(IF(B386="","",_xlfn.XLOOKUP(B386,STUDENTS!$B$3:$B$1048576,STUDENTS!$C$3:$C$1048576)),"Enter a registered reg. no")</f>
        <v/>
      </c>
      <c r="F386" s="66" t="n"/>
      <c r="G386" s="67" t="n"/>
      <c r="J386" s="66" t="n"/>
      <c r="K386" s="67" t="n"/>
      <c r="N386" s="66" t="n"/>
      <c r="O386" s="67" t="n"/>
      <c r="R386" s="66" t="n"/>
      <c r="S386" s="67" t="n"/>
      <c r="V386" s="66" t="n"/>
      <c r="W386" s="67" t="n"/>
      <c r="Z386" s="66" t="n"/>
      <c r="AA386" s="67" t="n"/>
      <c r="AD386" s="66" t="n"/>
      <c r="AE386" s="67" t="n"/>
      <c r="AH386" s="66" t="n"/>
      <c r="AI386" s="67" t="n"/>
    </row>
    <row r="387">
      <c r="B387" s="2">
        <f>IF(STUDENTS!B386="","",STUDENTS!B386)</f>
        <v/>
      </c>
      <c r="C387" s="44">
        <f>IFERROR(IF(B387="","",_xlfn.XLOOKUP(B387,STUDENTS!$B$3:$B$1048576,STUDENTS!$C$3:$C$1048576)),"Enter a registered reg. no")</f>
        <v/>
      </c>
      <c r="D387" s="54" t="n"/>
      <c r="E387" s="55" t="n"/>
      <c r="F387" s="48" t="n"/>
      <c r="G387" s="58" t="n"/>
      <c r="H387" s="62" t="n"/>
      <c r="I387" s="63" t="n"/>
      <c r="J387" s="48" t="n"/>
      <c r="K387" s="58" t="n"/>
      <c r="L387" s="42" t="n"/>
      <c r="M387" s="42" t="n"/>
      <c r="N387" s="48" t="n"/>
      <c r="O387" s="58" t="n"/>
      <c r="P387" s="42" t="n"/>
      <c r="Q387" s="42" t="n"/>
      <c r="R387" s="48" t="n"/>
      <c r="S387" s="58" t="n"/>
      <c r="T387" s="42" t="n"/>
      <c r="U387" s="42" t="n"/>
      <c r="V387" s="48" t="n"/>
      <c r="W387" s="58" t="n"/>
      <c r="X387" s="42" t="n"/>
      <c r="Y387" s="42" t="n"/>
      <c r="Z387" s="48" t="n"/>
      <c r="AA387" s="58" t="n"/>
      <c r="AB387" s="42" t="n"/>
      <c r="AC387" s="42" t="n"/>
      <c r="AD387" s="48" t="n"/>
      <c r="AE387" s="58" t="n"/>
      <c r="AF387" s="42" t="n"/>
      <c r="AG387" s="42" t="n"/>
      <c r="AH387" s="48" t="n"/>
      <c r="AI387" s="58" t="n"/>
    </row>
    <row r="388">
      <c r="B388" s="2">
        <f>IF(STUDENTS!B387="","",STUDENTS!B387)</f>
        <v/>
      </c>
      <c r="C388" s="44">
        <f>IFERROR(IF(B388="","",_xlfn.XLOOKUP(B388,STUDENTS!$B$3:$B$1048576,STUDENTS!$C$3:$C$1048576)),"Enter a registered reg. no")</f>
        <v/>
      </c>
      <c r="F388" s="66" t="n"/>
      <c r="G388" s="67" t="n"/>
      <c r="J388" s="66" t="n"/>
      <c r="K388" s="67" t="n"/>
      <c r="N388" s="66" t="n"/>
      <c r="O388" s="67" t="n"/>
      <c r="R388" s="66" t="n"/>
      <c r="S388" s="67" t="n"/>
      <c r="V388" s="66" t="n"/>
      <c r="W388" s="67" t="n"/>
      <c r="Z388" s="66" t="n"/>
      <c r="AA388" s="67" t="n"/>
      <c r="AD388" s="66" t="n"/>
      <c r="AE388" s="67" t="n"/>
      <c r="AH388" s="66" t="n"/>
      <c r="AI388" s="67" t="n"/>
    </row>
    <row r="389">
      <c r="B389" s="2">
        <f>IF(STUDENTS!B388="","",STUDENTS!B388)</f>
        <v/>
      </c>
      <c r="C389" s="44">
        <f>IFERROR(IF(B389="","",_xlfn.XLOOKUP(B389,STUDENTS!$B$3:$B$1048576,STUDENTS!$C$3:$C$1048576)),"Enter a registered reg. no")</f>
        <v/>
      </c>
      <c r="D389" s="54" t="n"/>
      <c r="E389" s="55" t="n"/>
      <c r="F389" s="48" t="n"/>
      <c r="G389" s="58" t="n"/>
      <c r="H389" s="62" t="n"/>
      <c r="I389" s="63" t="n"/>
      <c r="J389" s="48" t="n"/>
      <c r="K389" s="58" t="n"/>
      <c r="L389" s="42" t="n"/>
      <c r="M389" s="42" t="n"/>
      <c r="N389" s="48" t="n"/>
      <c r="O389" s="58" t="n"/>
      <c r="P389" s="42" t="n"/>
      <c r="Q389" s="42" t="n"/>
      <c r="R389" s="48" t="n"/>
      <c r="S389" s="58" t="n"/>
      <c r="T389" s="42" t="n"/>
      <c r="U389" s="42" t="n"/>
      <c r="V389" s="48" t="n"/>
      <c r="W389" s="58" t="n"/>
      <c r="X389" s="42" t="n"/>
      <c r="Y389" s="42" t="n"/>
      <c r="Z389" s="48" t="n"/>
      <c r="AA389" s="58" t="n"/>
      <c r="AB389" s="42" t="n"/>
      <c r="AC389" s="42" t="n"/>
      <c r="AD389" s="48" t="n"/>
      <c r="AE389" s="58" t="n"/>
      <c r="AF389" s="42" t="n"/>
      <c r="AG389" s="42" t="n"/>
      <c r="AH389" s="48" t="n"/>
      <c r="AI389" s="58" t="n"/>
    </row>
    <row r="390">
      <c r="B390" s="2">
        <f>IF(STUDENTS!B389="","",STUDENTS!B389)</f>
        <v/>
      </c>
      <c r="C390" s="44">
        <f>IFERROR(IF(B390="","",_xlfn.XLOOKUP(B390,STUDENTS!$B$3:$B$1048576,STUDENTS!$C$3:$C$1048576)),"Enter a registered reg. no")</f>
        <v/>
      </c>
      <c r="F390" s="66" t="n"/>
      <c r="G390" s="67" t="n"/>
      <c r="J390" s="66" t="n"/>
      <c r="K390" s="67" t="n"/>
      <c r="N390" s="66" t="n"/>
      <c r="O390" s="67" t="n"/>
      <c r="R390" s="66" t="n"/>
      <c r="S390" s="67" t="n"/>
      <c r="V390" s="66" t="n"/>
      <c r="W390" s="67" t="n"/>
      <c r="Z390" s="66" t="n"/>
      <c r="AA390" s="67" t="n"/>
      <c r="AD390" s="66" t="n"/>
      <c r="AE390" s="67" t="n"/>
      <c r="AH390" s="66" t="n"/>
      <c r="AI390" s="67" t="n"/>
    </row>
    <row r="391">
      <c r="B391" s="2">
        <f>IF(STUDENTS!B390="","",STUDENTS!B390)</f>
        <v/>
      </c>
      <c r="C391" s="44">
        <f>IFERROR(IF(B391="","",_xlfn.XLOOKUP(B391,STUDENTS!$B$3:$B$1048576,STUDENTS!$C$3:$C$1048576)),"Enter a registered reg. no")</f>
        <v/>
      </c>
      <c r="D391" s="54" t="n"/>
      <c r="E391" s="55" t="n"/>
      <c r="F391" s="48" t="n"/>
      <c r="G391" s="58" t="n"/>
      <c r="H391" s="62" t="n"/>
      <c r="I391" s="63" t="n"/>
      <c r="J391" s="48" t="n"/>
      <c r="K391" s="58" t="n"/>
      <c r="L391" s="42" t="n"/>
      <c r="M391" s="42" t="n"/>
      <c r="N391" s="48" t="n"/>
      <c r="O391" s="58" t="n"/>
      <c r="P391" s="42" t="n"/>
      <c r="Q391" s="42" t="n"/>
      <c r="R391" s="48" t="n"/>
      <c r="S391" s="58" t="n"/>
      <c r="T391" s="42" t="n"/>
      <c r="U391" s="42" t="n"/>
      <c r="V391" s="48" t="n"/>
      <c r="W391" s="58" t="n"/>
      <c r="X391" s="42" t="n"/>
      <c r="Y391" s="42" t="n"/>
      <c r="Z391" s="48" t="n"/>
      <c r="AA391" s="58" t="n"/>
      <c r="AB391" s="42" t="n"/>
      <c r="AC391" s="42" t="n"/>
      <c r="AD391" s="48" t="n"/>
      <c r="AE391" s="58" t="n"/>
      <c r="AF391" s="42" t="n"/>
      <c r="AG391" s="42" t="n"/>
      <c r="AH391" s="48" t="n"/>
      <c r="AI391" s="58" t="n"/>
    </row>
    <row r="392">
      <c r="B392" s="2">
        <f>IF(STUDENTS!B391="","",STUDENTS!B391)</f>
        <v/>
      </c>
      <c r="C392" s="44">
        <f>IFERROR(IF(B392="","",_xlfn.XLOOKUP(B392,STUDENTS!$B$3:$B$1048576,STUDENTS!$C$3:$C$1048576)),"Enter a registered reg. no")</f>
        <v/>
      </c>
      <c r="F392" s="66" t="n"/>
      <c r="G392" s="67" t="n"/>
      <c r="J392" s="66" t="n"/>
      <c r="K392" s="67" t="n"/>
      <c r="N392" s="66" t="n"/>
      <c r="O392" s="67" t="n"/>
      <c r="R392" s="66" t="n"/>
      <c r="S392" s="67" t="n"/>
      <c r="V392" s="66" t="n"/>
      <c r="W392" s="67" t="n"/>
      <c r="Z392" s="66" t="n"/>
      <c r="AA392" s="67" t="n"/>
      <c r="AD392" s="66" t="n"/>
      <c r="AE392" s="67" t="n"/>
      <c r="AH392" s="66" t="n"/>
      <c r="AI392" s="67" t="n"/>
    </row>
    <row r="393">
      <c r="B393" s="2">
        <f>IF(STUDENTS!B392="","",STUDENTS!B392)</f>
        <v/>
      </c>
      <c r="C393" s="44">
        <f>IFERROR(IF(B393="","",_xlfn.XLOOKUP(B393,STUDENTS!$B$3:$B$1048576,STUDENTS!$C$3:$C$1048576)),"Enter a registered reg. no")</f>
        <v/>
      </c>
      <c r="D393" s="54" t="n"/>
      <c r="E393" s="55" t="n"/>
      <c r="F393" s="48" t="n"/>
      <c r="G393" s="58" t="n"/>
      <c r="H393" s="62" t="n"/>
      <c r="I393" s="63" t="n"/>
      <c r="J393" s="48" t="n"/>
      <c r="K393" s="58" t="n"/>
      <c r="L393" s="42" t="n"/>
      <c r="M393" s="42" t="n"/>
      <c r="N393" s="48" t="n"/>
      <c r="O393" s="58" t="n"/>
      <c r="P393" s="42" t="n"/>
      <c r="Q393" s="42" t="n"/>
      <c r="R393" s="48" t="n"/>
      <c r="S393" s="58" t="n"/>
      <c r="T393" s="42" t="n"/>
      <c r="U393" s="42" t="n"/>
      <c r="V393" s="48" t="n"/>
      <c r="W393" s="58" t="n"/>
      <c r="X393" s="42" t="n"/>
      <c r="Y393" s="42" t="n"/>
      <c r="Z393" s="48" t="n"/>
      <c r="AA393" s="58" t="n"/>
      <c r="AB393" s="42" t="n"/>
      <c r="AC393" s="42" t="n"/>
      <c r="AD393" s="48" t="n"/>
      <c r="AE393" s="58" t="n"/>
      <c r="AF393" s="42" t="n"/>
      <c r="AG393" s="42" t="n"/>
      <c r="AH393" s="48" t="n"/>
      <c r="AI393" s="58" t="n"/>
    </row>
    <row r="394">
      <c r="B394" s="2">
        <f>IF(STUDENTS!B393="","",STUDENTS!B393)</f>
        <v/>
      </c>
      <c r="C394" s="44">
        <f>IFERROR(IF(B394="","",_xlfn.XLOOKUP(B394,STUDENTS!$B$3:$B$1048576,STUDENTS!$C$3:$C$1048576)),"Enter a registered reg. no")</f>
        <v/>
      </c>
      <c r="F394" s="66" t="n"/>
      <c r="G394" s="67" t="n"/>
      <c r="J394" s="66" t="n"/>
      <c r="K394" s="67" t="n"/>
      <c r="N394" s="66" t="n"/>
      <c r="O394" s="67" t="n"/>
      <c r="R394" s="66" t="n"/>
      <c r="S394" s="67" t="n"/>
      <c r="V394" s="66" t="n"/>
      <c r="W394" s="67" t="n"/>
      <c r="Z394" s="66" t="n"/>
      <c r="AA394" s="67" t="n"/>
      <c r="AD394" s="66" t="n"/>
      <c r="AE394" s="67" t="n"/>
      <c r="AH394" s="66" t="n"/>
      <c r="AI394" s="67" t="n"/>
    </row>
    <row r="395">
      <c r="B395" s="2">
        <f>IF(STUDENTS!B394="","",STUDENTS!B394)</f>
        <v/>
      </c>
      <c r="C395" s="44">
        <f>IFERROR(IF(B395="","",_xlfn.XLOOKUP(B395,STUDENTS!$B$3:$B$1048576,STUDENTS!$C$3:$C$1048576)),"Enter a registered reg. no")</f>
        <v/>
      </c>
      <c r="D395" s="54" t="n"/>
      <c r="E395" s="55" t="n"/>
      <c r="F395" s="48" t="n"/>
      <c r="G395" s="58" t="n"/>
      <c r="H395" s="62" t="n"/>
      <c r="I395" s="63" t="n"/>
      <c r="J395" s="48" t="n"/>
      <c r="K395" s="58" t="n"/>
      <c r="L395" s="42" t="n"/>
      <c r="M395" s="42" t="n"/>
      <c r="N395" s="48" t="n"/>
      <c r="O395" s="58" t="n"/>
      <c r="P395" s="42" t="n"/>
      <c r="Q395" s="42" t="n"/>
      <c r="R395" s="48" t="n"/>
      <c r="S395" s="58" t="n"/>
      <c r="T395" s="42" t="n"/>
      <c r="U395" s="42" t="n"/>
      <c r="V395" s="48" t="n"/>
      <c r="W395" s="58" t="n"/>
      <c r="X395" s="42" t="n"/>
      <c r="Y395" s="42" t="n"/>
      <c r="Z395" s="48" t="n"/>
      <c r="AA395" s="58" t="n"/>
      <c r="AB395" s="42" t="n"/>
      <c r="AC395" s="42" t="n"/>
      <c r="AD395" s="48" t="n"/>
      <c r="AE395" s="58" t="n"/>
      <c r="AF395" s="42" t="n"/>
      <c r="AG395" s="42" t="n"/>
      <c r="AH395" s="48" t="n"/>
      <c r="AI395" s="58" t="n"/>
    </row>
    <row r="396">
      <c r="B396" s="2">
        <f>IF(STUDENTS!B395="","",STUDENTS!B395)</f>
        <v/>
      </c>
      <c r="C396" s="44">
        <f>IFERROR(IF(B396="","",_xlfn.XLOOKUP(B396,STUDENTS!$B$3:$B$1048576,STUDENTS!$C$3:$C$1048576)),"Enter a registered reg. no")</f>
        <v/>
      </c>
      <c r="F396" s="66" t="n"/>
      <c r="G396" s="67" t="n"/>
      <c r="J396" s="66" t="n"/>
      <c r="K396" s="67" t="n"/>
      <c r="N396" s="66" t="n"/>
      <c r="O396" s="67" t="n"/>
      <c r="R396" s="66" t="n"/>
      <c r="S396" s="67" t="n"/>
      <c r="V396" s="66" t="n"/>
      <c r="W396" s="67" t="n"/>
      <c r="Z396" s="66" t="n"/>
      <c r="AA396" s="67" t="n"/>
      <c r="AD396" s="66" t="n"/>
      <c r="AE396" s="67" t="n"/>
      <c r="AH396" s="66" t="n"/>
      <c r="AI396" s="67" t="n"/>
    </row>
    <row r="397">
      <c r="B397" s="2">
        <f>IF(STUDENTS!B396="","",STUDENTS!B396)</f>
        <v/>
      </c>
      <c r="C397" s="44">
        <f>IFERROR(IF(B397="","",_xlfn.XLOOKUP(B397,STUDENTS!$B$3:$B$1048576,STUDENTS!$C$3:$C$1048576)),"Enter a registered reg. no")</f>
        <v/>
      </c>
      <c r="D397" s="54" t="n"/>
      <c r="E397" s="55" t="n"/>
      <c r="F397" s="48" t="n"/>
      <c r="G397" s="58" t="n"/>
      <c r="H397" s="62" t="n"/>
      <c r="I397" s="63" t="n"/>
      <c r="J397" s="48" t="n"/>
      <c r="K397" s="58" t="n"/>
      <c r="L397" s="42" t="n"/>
      <c r="M397" s="42" t="n"/>
      <c r="N397" s="48" t="n"/>
      <c r="O397" s="58" t="n"/>
      <c r="P397" s="42" t="n"/>
      <c r="Q397" s="42" t="n"/>
      <c r="R397" s="48" t="n"/>
      <c r="S397" s="58" t="n"/>
      <c r="T397" s="42" t="n"/>
      <c r="U397" s="42" t="n"/>
      <c r="V397" s="48" t="n"/>
      <c r="W397" s="58" t="n"/>
      <c r="X397" s="42" t="n"/>
      <c r="Y397" s="42" t="n"/>
      <c r="Z397" s="48" t="n"/>
      <c r="AA397" s="58" t="n"/>
      <c r="AB397" s="42" t="n"/>
      <c r="AC397" s="42" t="n"/>
      <c r="AD397" s="48" t="n"/>
      <c r="AE397" s="58" t="n"/>
      <c r="AF397" s="42" t="n"/>
      <c r="AG397" s="42" t="n"/>
      <c r="AH397" s="48" t="n"/>
      <c r="AI397" s="58" t="n"/>
    </row>
    <row r="398">
      <c r="B398" s="2">
        <f>IF(STUDENTS!B397="","",STUDENTS!B397)</f>
        <v/>
      </c>
      <c r="C398" s="44">
        <f>IFERROR(IF(B398="","",_xlfn.XLOOKUP(B398,STUDENTS!$B$3:$B$1048576,STUDENTS!$C$3:$C$1048576)),"Enter a registered reg. no")</f>
        <v/>
      </c>
      <c r="F398" s="66" t="n"/>
      <c r="G398" s="67" t="n"/>
      <c r="J398" s="66" t="n"/>
      <c r="K398" s="67" t="n"/>
      <c r="N398" s="66" t="n"/>
      <c r="O398" s="67" t="n"/>
      <c r="R398" s="66" t="n"/>
      <c r="S398" s="67" t="n"/>
      <c r="V398" s="66" t="n"/>
      <c r="W398" s="67" t="n"/>
      <c r="Z398" s="66" t="n"/>
      <c r="AA398" s="67" t="n"/>
      <c r="AD398" s="66" t="n"/>
      <c r="AE398" s="67" t="n"/>
      <c r="AH398" s="66" t="n"/>
      <c r="AI398" s="67" t="n"/>
    </row>
    <row r="399">
      <c r="B399" s="2">
        <f>IF(STUDENTS!B398="","",STUDENTS!B398)</f>
        <v/>
      </c>
      <c r="C399" s="44">
        <f>IFERROR(IF(B399="","",_xlfn.XLOOKUP(B399,STUDENTS!$B$3:$B$1048576,STUDENTS!$C$3:$C$1048576)),"Enter a registered reg. no")</f>
        <v/>
      </c>
      <c r="D399" s="54" t="n"/>
      <c r="E399" s="55" t="n"/>
      <c r="F399" s="48" t="n"/>
      <c r="G399" s="58" t="n"/>
      <c r="H399" s="62" t="n"/>
      <c r="I399" s="63" t="n"/>
      <c r="J399" s="48" t="n"/>
      <c r="K399" s="58" t="n"/>
      <c r="L399" s="42" t="n"/>
      <c r="M399" s="42" t="n"/>
      <c r="N399" s="48" t="n"/>
      <c r="O399" s="58" t="n"/>
      <c r="P399" s="42" t="n"/>
      <c r="Q399" s="42" t="n"/>
      <c r="R399" s="48" t="n"/>
      <c r="S399" s="58" t="n"/>
      <c r="T399" s="42" t="n"/>
      <c r="U399" s="42" t="n"/>
      <c r="V399" s="48" t="n"/>
      <c r="W399" s="58" t="n"/>
      <c r="X399" s="42" t="n"/>
      <c r="Y399" s="42" t="n"/>
      <c r="Z399" s="48" t="n"/>
      <c r="AA399" s="58" t="n"/>
      <c r="AB399" s="42" t="n"/>
      <c r="AC399" s="42" t="n"/>
      <c r="AD399" s="48" t="n"/>
      <c r="AE399" s="58" t="n"/>
      <c r="AF399" s="42" t="n"/>
      <c r="AG399" s="42" t="n"/>
      <c r="AH399" s="48" t="n"/>
      <c r="AI399" s="58" t="n"/>
    </row>
    <row r="400">
      <c r="B400" s="2">
        <f>IF(STUDENTS!B399="","",STUDENTS!B399)</f>
        <v/>
      </c>
      <c r="C400" s="44">
        <f>IFERROR(IF(B400="","",_xlfn.XLOOKUP(B400,STUDENTS!$B$3:$B$1048576,STUDENTS!$C$3:$C$1048576)),"Enter a registered reg. no")</f>
        <v/>
      </c>
      <c r="F400" s="66" t="n"/>
      <c r="G400" s="67" t="n"/>
      <c r="J400" s="66" t="n"/>
      <c r="K400" s="67" t="n"/>
      <c r="N400" s="66" t="n"/>
      <c r="O400" s="67" t="n"/>
      <c r="R400" s="66" t="n"/>
      <c r="S400" s="67" t="n"/>
      <c r="V400" s="66" t="n"/>
      <c r="W400" s="67" t="n"/>
      <c r="Z400" s="66" t="n"/>
      <c r="AA400" s="67" t="n"/>
      <c r="AD400" s="66" t="n"/>
      <c r="AE400" s="67" t="n"/>
      <c r="AH400" s="66" t="n"/>
      <c r="AI400" s="67" t="n"/>
    </row>
    <row r="401">
      <c r="B401" s="2">
        <f>IF(STUDENTS!B400="","",STUDENTS!B400)</f>
        <v/>
      </c>
      <c r="C401" s="44">
        <f>IFERROR(IF(B401="","",_xlfn.XLOOKUP(B401,STUDENTS!$B$3:$B$1048576,STUDENTS!$C$3:$C$1048576)),"Enter a registered reg. no")</f>
        <v/>
      </c>
      <c r="D401" s="54" t="n"/>
      <c r="E401" s="55" t="n"/>
      <c r="F401" s="48" t="n"/>
      <c r="G401" s="58" t="n"/>
      <c r="H401" s="62" t="n"/>
      <c r="I401" s="63" t="n"/>
      <c r="J401" s="48" t="n"/>
      <c r="K401" s="58" t="n"/>
      <c r="L401" s="42" t="n"/>
      <c r="M401" s="42" t="n"/>
      <c r="N401" s="48" t="n"/>
      <c r="O401" s="58" t="n"/>
      <c r="P401" s="42" t="n"/>
      <c r="Q401" s="42" t="n"/>
      <c r="R401" s="48" t="n"/>
      <c r="S401" s="58" t="n"/>
      <c r="T401" s="42" t="n"/>
      <c r="U401" s="42" t="n"/>
      <c r="V401" s="48" t="n"/>
      <c r="W401" s="58" t="n"/>
      <c r="X401" s="42" t="n"/>
      <c r="Y401" s="42" t="n"/>
      <c r="Z401" s="48" t="n"/>
      <c r="AA401" s="58" t="n"/>
      <c r="AB401" s="42" t="n"/>
      <c r="AC401" s="42" t="n"/>
      <c r="AD401" s="48" t="n"/>
      <c r="AE401" s="58" t="n"/>
      <c r="AF401" s="42" t="n"/>
      <c r="AG401" s="42" t="n"/>
      <c r="AH401" s="48" t="n"/>
      <c r="AI401" s="58" t="n"/>
    </row>
    <row r="402">
      <c r="B402" s="2">
        <f>IF(STUDENTS!B401="","",STUDENTS!B401)</f>
        <v/>
      </c>
      <c r="C402" s="44">
        <f>IFERROR(IF(B402="","",_xlfn.XLOOKUP(B402,STUDENTS!$B$3:$B$1048576,STUDENTS!$C$3:$C$1048576)),"Enter a registered reg. no")</f>
        <v/>
      </c>
      <c r="F402" s="66" t="n"/>
      <c r="G402" s="67" t="n"/>
      <c r="J402" s="66" t="n"/>
      <c r="K402" s="67" t="n"/>
      <c r="N402" s="66" t="n"/>
      <c r="O402" s="67" t="n"/>
      <c r="R402" s="66" t="n"/>
      <c r="S402" s="67" t="n"/>
      <c r="V402" s="66" t="n"/>
      <c r="W402" s="67" t="n"/>
      <c r="Z402" s="66" t="n"/>
      <c r="AA402" s="67" t="n"/>
      <c r="AD402" s="66" t="n"/>
      <c r="AE402" s="67" t="n"/>
      <c r="AH402" s="66" t="n"/>
      <c r="AI402" s="67" t="n"/>
    </row>
    <row r="403">
      <c r="B403" s="2">
        <f>IF(STUDENTS!B402="","",STUDENTS!B402)</f>
        <v/>
      </c>
      <c r="C403" s="44">
        <f>IFERROR(IF(B403="","",_xlfn.XLOOKUP(B403,STUDENTS!$B$3:$B$1048576,STUDENTS!$C$3:$C$1048576)),"Enter a registered reg. no")</f>
        <v/>
      </c>
      <c r="D403" s="54" t="n"/>
      <c r="E403" s="55" t="n"/>
      <c r="F403" s="48" t="n"/>
      <c r="G403" s="58" t="n"/>
      <c r="H403" s="62" t="n"/>
      <c r="I403" s="63" t="n"/>
      <c r="J403" s="48" t="n"/>
      <c r="K403" s="58" t="n"/>
      <c r="L403" s="42" t="n"/>
      <c r="M403" s="42" t="n"/>
      <c r="N403" s="48" t="n"/>
      <c r="O403" s="58" t="n"/>
      <c r="P403" s="42" t="n"/>
      <c r="Q403" s="42" t="n"/>
      <c r="R403" s="48" t="n"/>
      <c r="S403" s="58" t="n"/>
      <c r="T403" s="42" t="n"/>
      <c r="U403" s="42" t="n"/>
      <c r="V403" s="48" t="n"/>
      <c r="W403" s="58" t="n"/>
      <c r="X403" s="42" t="n"/>
      <c r="Y403" s="42" t="n"/>
      <c r="Z403" s="48" t="n"/>
      <c r="AA403" s="58" t="n"/>
      <c r="AB403" s="42" t="n"/>
      <c r="AC403" s="42" t="n"/>
      <c r="AD403" s="48" t="n"/>
      <c r="AE403" s="58" t="n"/>
      <c r="AF403" s="42" t="n"/>
      <c r="AG403" s="42" t="n"/>
      <c r="AH403" s="48" t="n"/>
      <c r="AI403" s="58" t="n"/>
    </row>
    <row r="404">
      <c r="B404" s="2">
        <f>IF(STUDENTS!B403="","",STUDENTS!B403)</f>
        <v/>
      </c>
      <c r="C404" s="44">
        <f>IFERROR(IF(B404="","",_xlfn.XLOOKUP(B404,STUDENTS!$B$3:$B$1048576,STUDENTS!$C$3:$C$1048576)),"Enter a registered reg. no")</f>
        <v/>
      </c>
      <c r="F404" s="66" t="n"/>
      <c r="G404" s="67" t="n"/>
      <c r="J404" s="66" t="n"/>
      <c r="K404" s="67" t="n"/>
      <c r="N404" s="66" t="n"/>
      <c r="O404" s="67" t="n"/>
      <c r="R404" s="66" t="n"/>
      <c r="S404" s="67" t="n"/>
      <c r="V404" s="66" t="n"/>
      <c r="W404" s="67" t="n"/>
      <c r="Z404" s="66" t="n"/>
      <c r="AA404" s="67" t="n"/>
      <c r="AD404" s="66" t="n"/>
      <c r="AE404" s="67" t="n"/>
      <c r="AH404" s="66" t="n"/>
      <c r="AI404" s="67" t="n"/>
    </row>
    <row r="405">
      <c r="B405" s="2">
        <f>IF(STUDENTS!B404="","",STUDENTS!B404)</f>
        <v/>
      </c>
      <c r="C405" s="44">
        <f>IFERROR(IF(B405="","",_xlfn.XLOOKUP(B405,STUDENTS!$B$3:$B$1048576,STUDENTS!$C$3:$C$1048576)),"Enter a registered reg. no")</f>
        <v/>
      </c>
      <c r="D405" s="54" t="n"/>
      <c r="E405" s="55" t="n"/>
      <c r="F405" s="48" t="n"/>
      <c r="G405" s="58" t="n"/>
      <c r="H405" s="62" t="n"/>
      <c r="I405" s="63" t="n"/>
      <c r="J405" s="48" t="n"/>
      <c r="K405" s="58" t="n"/>
      <c r="L405" s="42" t="n"/>
      <c r="M405" s="42" t="n"/>
      <c r="N405" s="48" t="n"/>
      <c r="O405" s="58" t="n"/>
      <c r="P405" s="42" t="n"/>
      <c r="Q405" s="42" t="n"/>
      <c r="R405" s="48" t="n"/>
      <c r="S405" s="58" t="n"/>
      <c r="T405" s="42" t="n"/>
      <c r="U405" s="42" t="n"/>
      <c r="V405" s="48" t="n"/>
      <c r="W405" s="58" t="n"/>
      <c r="X405" s="42" t="n"/>
      <c r="Y405" s="42" t="n"/>
      <c r="Z405" s="48" t="n"/>
      <c r="AA405" s="58" t="n"/>
      <c r="AB405" s="42" t="n"/>
      <c r="AC405" s="42" t="n"/>
      <c r="AD405" s="48" t="n"/>
      <c r="AE405" s="58" t="n"/>
      <c r="AF405" s="42" t="n"/>
      <c r="AG405" s="42" t="n"/>
      <c r="AH405" s="48" t="n"/>
      <c r="AI405" s="58" t="n"/>
    </row>
    <row r="406">
      <c r="B406" s="2">
        <f>IF(STUDENTS!B405="","",STUDENTS!B405)</f>
        <v/>
      </c>
      <c r="C406" s="44">
        <f>IFERROR(IF(B406="","",_xlfn.XLOOKUP(B406,STUDENTS!$B$3:$B$1048576,STUDENTS!$C$3:$C$1048576)),"Enter a registered reg. no")</f>
        <v/>
      </c>
      <c r="F406" s="66" t="n"/>
      <c r="G406" s="67" t="n"/>
      <c r="J406" s="66" t="n"/>
      <c r="K406" s="67" t="n"/>
      <c r="N406" s="66" t="n"/>
      <c r="O406" s="67" t="n"/>
      <c r="R406" s="66" t="n"/>
      <c r="S406" s="67" t="n"/>
      <c r="V406" s="66" t="n"/>
      <c r="W406" s="67" t="n"/>
      <c r="Z406" s="66" t="n"/>
      <c r="AA406" s="67" t="n"/>
      <c r="AD406" s="66" t="n"/>
      <c r="AE406" s="67" t="n"/>
      <c r="AH406" s="66" t="n"/>
      <c r="AI406" s="67" t="n"/>
    </row>
    <row r="407">
      <c r="B407" s="2">
        <f>IF(STUDENTS!B406="","",STUDENTS!B406)</f>
        <v/>
      </c>
      <c r="C407" s="44">
        <f>IFERROR(IF(B407="","",_xlfn.XLOOKUP(B407,STUDENTS!$B$3:$B$1048576,STUDENTS!$C$3:$C$1048576)),"Enter a registered reg. no")</f>
        <v/>
      </c>
      <c r="D407" s="54" t="n"/>
      <c r="E407" s="55" t="n"/>
      <c r="F407" s="48" t="n"/>
      <c r="G407" s="58" t="n"/>
      <c r="H407" s="62" t="n"/>
      <c r="I407" s="63" t="n"/>
      <c r="J407" s="48" t="n"/>
      <c r="K407" s="58" t="n"/>
      <c r="L407" s="42" t="n"/>
      <c r="M407" s="42" t="n"/>
      <c r="N407" s="48" t="n"/>
      <c r="O407" s="58" t="n"/>
      <c r="P407" s="42" t="n"/>
      <c r="Q407" s="42" t="n"/>
      <c r="R407" s="48" t="n"/>
      <c r="S407" s="58" t="n"/>
      <c r="T407" s="42" t="n"/>
      <c r="U407" s="42" t="n"/>
      <c r="V407" s="48" t="n"/>
      <c r="W407" s="58" t="n"/>
      <c r="X407" s="42" t="n"/>
      <c r="Y407" s="42" t="n"/>
      <c r="Z407" s="48" t="n"/>
      <c r="AA407" s="58" t="n"/>
      <c r="AB407" s="42" t="n"/>
      <c r="AC407" s="42" t="n"/>
      <c r="AD407" s="48" t="n"/>
      <c r="AE407" s="58" t="n"/>
      <c r="AF407" s="42" t="n"/>
      <c r="AG407" s="42" t="n"/>
      <c r="AH407" s="48" t="n"/>
      <c r="AI407" s="58" t="n"/>
    </row>
    <row r="408">
      <c r="B408" s="2">
        <f>IF(STUDENTS!B407="","",STUDENTS!B407)</f>
        <v/>
      </c>
      <c r="C408" s="44">
        <f>IFERROR(IF(B408="","",_xlfn.XLOOKUP(B408,STUDENTS!$B$3:$B$1048576,STUDENTS!$C$3:$C$1048576)),"Enter a registered reg. no")</f>
        <v/>
      </c>
      <c r="F408" s="66" t="n"/>
      <c r="G408" s="67" t="n"/>
      <c r="J408" s="66" t="n"/>
      <c r="K408" s="67" t="n"/>
      <c r="N408" s="66" t="n"/>
      <c r="O408" s="67" t="n"/>
      <c r="R408" s="66" t="n"/>
      <c r="S408" s="67" t="n"/>
      <c r="V408" s="66" t="n"/>
      <c r="W408" s="67" t="n"/>
      <c r="Z408" s="66" t="n"/>
      <c r="AA408" s="67" t="n"/>
      <c r="AD408" s="66" t="n"/>
      <c r="AE408" s="67" t="n"/>
      <c r="AH408" s="66" t="n"/>
      <c r="AI408" s="67" t="n"/>
    </row>
    <row r="409">
      <c r="B409" s="2">
        <f>IF(STUDENTS!B408="","",STUDENTS!B408)</f>
        <v/>
      </c>
      <c r="C409" s="44">
        <f>IFERROR(IF(B409="","",_xlfn.XLOOKUP(B409,STUDENTS!$B$3:$B$1048576,STUDENTS!$C$3:$C$1048576)),"Enter a registered reg. no")</f>
        <v/>
      </c>
      <c r="D409" s="54" t="n"/>
      <c r="E409" s="55" t="n"/>
      <c r="F409" s="48" t="n"/>
      <c r="G409" s="58" t="n"/>
      <c r="H409" s="62" t="n"/>
      <c r="I409" s="63" t="n"/>
      <c r="J409" s="48" t="n"/>
      <c r="K409" s="58" t="n"/>
      <c r="L409" s="42" t="n"/>
      <c r="M409" s="42" t="n"/>
      <c r="N409" s="48" t="n"/>
      <c r="O409" s="58" t="n"/>
      <c r="P409" s="42" t="n"/>
      <c r="Q409" s="42" t="n"/>
      <c r="R409" s="48" t="n"/>
      <c r="S409" s="58" t="n"/>
      <c r="T409" s="42" t="n"/>
      <c r="U409" s="42" t="n"/>
      <c r="V409" s="48" t="n"/>
      <c r="W409" s="58" t="n"/>
      <c r="X409" s="42" t="n"/>
      <c r="Y409" s="42" t="n"/>
      <c r="Z409" s="48" t="n"/>
      <c r="AA409" s="58" t="n"/>
      <c r="AB409" s="42" t="n"/>
      <c r="AC409" s="42" t="n"/>
      <c r="AD409" s="48" t="n"/>
      <c r="AE409" s="58" t="n"/>
      <c r="AF409" s="42" t="n"/>
      <c r="AG409" s="42" t="n"/>
      <c r="AH409" s="48" t="n"/>
      <c r="AI409" s="58" t="n"/>
    </row>
    <row r="410">
      <c r="B410" s="2">
        <f>IF(STUDENTS!B409="","",STUDENTS!B409)</f>
        <v/>
      </c>
      <c r="C410" s="44">
        <f>IFERROR(IF(B410="","",_xlfn.XLOOKUP(B410,STUDENTS!$B$3:$B$1048576,STUDENTS!$C$3:$C$1048576)),"Enter a registered reg. no")</f>
        <v/>
      </c>
      <c r="F410" s="66" t="n"/>
      <c r="G410" s="67" t="n"/>
      <c r="J410" s="66" t="n"/>
      <c r="K410" s="67" t="n"/>
      <c r="N410" s="66" t="n"/>
      <c r="O410" s="67" t="n"/>
      <c r="R410" s="66" t="n"/>
      <c r="S410" s="67" t="n"/>
      <c r="V410" s="66" t="n"/>
      <c r="W410" s="67" t="n"/>
      <c r="Z410" s="66" t="n"/>
      <c r="AA410" s="67" t="n"/>
      <c r="AD410" s="66" t="n"/>
      <c r="AE410" s="67" t="n"/>
      <c r="AH410" s="66" t="n"/>
      <c r="AI410" s="67" t="n"/>
    </row>
    <row r="411">
      <c r="B411" s="2">
        <f>IF(STUDENTS!B410="","",STUDENTS!B410)</f>
        <v/>
      </c>
      <c r="C411" s="44">
        <f>IFERROR(IF(B411="","",_xlfn.XLOOKUP(B411,STUDENTS!$B$3:$B$1048576,STUDENTS!$C$3:$C$1048576)),"Enter a registered reg. no")</f>
        <v/>
      </c>
      <c r="D411" s="54" t="n"/>
      <c r="E411" s="55" t="n"/>
      <c r="F411" s="48" t="n"/>
      <c r="G411" s="58" t="n"/>
      <c r="H411" s="62" t="n"/>
      <c r="I411" s="63" t="n"/>
      <c r="J411" s="48" t="n"/>
      <c r="K411" s="58" t="n"/>
      <c r="L411" s="42" t="n"/>
      <c r="M411" s="42" t="n"/>
      <c r="N411" s="48" t="n"/>
      <c r="O411" s="58" t="n"/>
      <c r="P411" s="42" t="n"/>
      <c r="Q411" s="42" t="n"/>
      <c r="R411" s="48" t="n"/>
      <c r="S411" s="58" t="n"/>
      <c r="T411" s="42" t="n"/>
      <c r="U411" s="42" t="n"/>
      <c r="V411" s="48" t="n"/>
      <c r="W411" s="58" t="n"/>
      <c r="X411" s="42" t="n"/>
      <c r="Y411" s="42" t="n"/>
      <c r="Z411" s="48" t="n"/>
      <c r="AA411" s="58" t="n"/>
      <c r="AB411" s="42" t="n"/>
      <c r="AC411" s="42" t="n"/>
      <c r="AD411" s="48" t="n"/>
      <c r="AE411" s="58" t="n"/>
      <c r="AF411" s="42" t="n"/>
      <c r="AG411" s="42" t="n"/>
      <c r="AH411" s="48" t="n"/>
      <c r="AI411" s="58" t="n"/>
    </row>
    <row r="412">
      <c r="B412" s="2">
        <f>IF(STUDENTS!B411="","",STUDENTS!B411)</f>
        <v/>
      </c>
      <c r="C412" s="44">
        <f>IFERROR(IF(B412="","",_xlfn.XLOOKUP(B412,STUDENTS!$B$3:$B$1048576,STUDENTS!$C$3:$C$1048576)),"Enter a registered reg. no")</f>
        <v/>
      </c>
      <c r="F412" s="66" t="n"/>
      <c r="G412" s="67" t="n"/>
      <c r="J412" s="66" t="n"/>
      <c r="K412" s="67" t="n"/>
      <c r="N412" s="66" t="n"/>
      <c r="O412" s="67" t="n"/>
      <c r="R412" s="66" t="n"/>
      <c r="S412" s="67" t="n"/>
      <c r="V412" s="66" t="n"/>
      <c r="W412" s="67" t="n"/>
      <c r="Z412" s="66" t="n"/>
      <c r="AA412" s="67" t="n"/>
      <c r="AD412" s="66" t="n"/>
      <c r="AE412" s="67" t="n"/>
      <c r="AH412" s="66" t="n"/>
      <c r="AI412" s="67" t="n"/>
    </row>
    <row r="413">
      <c r="B413" s="2">
        <f>IF(STUDENTS!B412="","",STUDENTS!B412)</f>
        <v/>
      </c>
      <c r="C413" s="44">
        <f>IFERROR(IF(B413="","",_xlfn.XLOOKUP(B413,STUDENTS!$B$3:$B$1048576,STUDENTS!$C$3:$C$1048576)),"Enter a registered reg. no")</f>
        <v/>
      </c>
      <c r="D413" s="54" t="n"/>
      <c r="E413" s="55" t="n"/>
      <c r="F413" s="48" t="n"/>
      <c r="G413" s="58" t="n"/>
      <c r="H413" s="62" t="n"/>
      <c r="I413" s="63" t="n"/>
      <c r="J413" s="48" t="n"/>
      <c r="K413" s="58" t="n"/>
      <c r="L413" s="42" t="n"/>
      <c r="M413" s="42" t="n"/>
      <c r="N413" s="48" t="n"/>
      <c r="O413" s="58" t="n"/>
      <c r="P413" s="42" t="n"/>
      <c r="Q413" s="42" t="n"/>
      <c r="R413" s="48" t="n"/>
      <c r="S413" s="58" t="n"/>
      <c r="T413" s="42" t="n"/>
      <c r="U413" s="42" t="n"/>
      <c r="V413" s="48" t="n"/>
      <c r="W413" s="58" t="n"/>
      <c r="X413" s="42" t="n"/>
      <c r="Y413" s="42" t="n"/>
      <c r="Z413" s="48" t="n"/>
      <c r="AA413" s="58" t="n"/>
      <c r="AB413" s="42" t="n"/>
      <c r="AC413" s="42" t="n"/>
      <c r="AD413" s="48" t="n"/>
      <c r="AE413" s="58" t="n"/>
      <c r="AF413" s="42" t="n"/>
      <c r="AG413" s="42" t="n"/>
      <c r="AH413" s="48" t="n"/>
      <c r="AI413" s="58" t="n"/>
    </row>
    <row r="414">
      <c r="B414" s="2">
        <f>IF(STUDENTS!B413="","",STUDENTS!B413)</f>
        <v/>
      </c>
      <c r="C414" s="44">
        <f>IFERROR(IF(B414="","",_xlfn.XLOOKUP(B414,STUDENTS!$B$3:$B$1048576,STUDENTS!$C$3:$C$1048576)),"Enter a registered reg. no")</f>
        <v/>
      </c>
      <c r="F414" s="66" t="n"/>
      <c r="G414" s="67" t="n"/>
      <c r="J414" s="66" t="n"/>
      <c r="K414" s="67" t="n"/>
      <c r="N414" s="66" t="n"/>
      <c r="O414" s="67" t="n"/>
      <c r="R414" s="66" t="n"/>
      <c r="S414" s="67" t="n"/>
      <c r="V414" s="66" t="n"/>
      <c r="W414" s="67" t="n"/>
      <c r="Z414" s="66" t="n"/>
      <c r="AA414" s="67" t="n"/>
      <c r="AD414" s="66" t="n"/>
      <c r="AE414" s="67" t="n"/>
      <c r="AH414" s="66" t="n"/>
      <c r="AI414" s="67" t="n"/>
    </row>
    <row r="415">
      <c r="B415" s="2">
        <f>IF(STUDENTS!B414="","",STUDENTS!B414)</f>
        <v/>
      </c>
      <c r="C415" s="44">
        <f>IFERROR(IF(B415="","",_xlfn.XLOOKUP(B415,STUDENTS!$B$3:$B$1048576,STUDENTS!$C$3:$C$1048576)),"Enter a registered reg. no")</f>
        <v/>
      </c>
      <c r="D415" s="54" t="n"/>
      <c r="E415" s="55" t="n"/>
      <c r="F415" s="48" t="n"/>
      <c r="G415" s="58" t="n"/>
      <c r="H415" s="62" t="n"/>
      <c r="I415" s="63" t="n"/>
      <c r="J415" s="48" t="n"/>
      <c r="K415" s="58" t="n"/>
      <c r="L415" s="42" t="n"/>
      <c r="M415" s="42" t="n"/>
      <c r="N415" s="48" t="n"/>
      <c r="O415" s="58" t="n"/>
      <c r="P415" s="42" t="n"/>
      <c r="Q415" s="42" t="n"/>
      <c r="R415" s="48" t="n"/>
      <c r="S415" s="58" t="n"/>
      <c r="T415" s="42" t="n"/>
      <c r="U415" s="42" t="n"/>
      <c r="V415" s="48" t="n"/>
      <c r="W415" s="58" t="n"/>
      <c r="X415" s="42" t="n"/>
      <c r="Y415" s="42" t="n"/>
      <c r="Z415" s="48" t="n"/>
      <c r="AA415" s="58" t="n"/>
      <c r="AB415" s="42" t="n"/>
      <c r="AC415" s="42" t="n"/>
      <c r="AD415" s="48" t="n"/>
      <c r="AE415" s="58" t="n"/>
      <c r="AF415" s="42" t="n"/>
      <c r="AG415" s="42" t="n"/>
      <c r="AH415" s="48" t="n"/>
      <c r="AI415" s="58" t="n"/>
    </row>
    <row r="416">
      <c r="B416" s="2">
        <f>IF(STUDENTS!B415="","",STUDENTS!B415)</f>
        <v/>
      </c>
      <c r="C416" s="44">
        <f>IFERROR(IF(B416="","",_xlfn.XLOOKUP(B416,STUDENTS!$B$3:$B$1048576,STUDENTS!$C$3:$C$1048576)),"Enter a registered reg. no")</f>
        <v/>
      </c>
      <c r="F416" s="66" t="n"/>
      <c r="G416" s="67" t="n"/>
      <c r="J416" s="66" t="n"/>
      <c r="K416" s="67" t="n"/>
      <c r="N416" s="66" t="n"/>
      <c r="O416" s="67" t="n"/>
      <c r="R416" s="66" t="n"/>
      <c r="S416" s="67" t="n"/>
      <c r="V416" s="66" t="n"/>
      <c r="W416" s="67" t="n"/>
      <c r="Z416" s="66" t="n"/>
      <c r="AA416" s="67" t="n"/>
      <c r="AD416" s="66" t="n"/>
      <c r="AE416" s="67" t="n"/>
      <c r="AH416" s="66" t="n"/>
      <c r="AI416" s="67" t="n"/>
    </row>
    <row r="417">
      <c r="B417" s="2">
        <f>IF(STUDENTS!B416="","",STUDENTS!B416)</f>
        <v/>
      </c>
      <c r="C417" s="44">
        <f>IFERROR(IF(B417="","",_xlfn.XLOOKUP(B417,STUDENTS!$B$3:$B$1048576,STUDENTS!$C$3:$C$1048576)),"Enter a registered reg. no")</f>
        <v/>
      </c>
      <c r="D417" s="54" t="n"/>
      <c r="E417" s="55" t="n"/>
      <c r="F417" s="48" t="n"/>
      <c r="G417" s="58" t="n"/>
      <c r="H417" s="62" t="n"/>
      <c r="I417" s="63" t="n"/>
      <c r="J417" s="48" t="n"/>
      <c r="K417" s="58" t="n"/>
      <c r="L417" s="42" t="n"/>
      <c r="M417" s="42" t="n"/>
      <c r="N417" s="48" t="n"/>
      <c r="O417" s="58" t="n"/>
      <c r="P417" s="42" t="n"/>
      <c r="Q417" s="42" t="n"/>
      <c r="R417" s="48" t="n"/>
      <c r="S417" s="58" t="n"/>
      <c r="T417" s="42" t="n"/>
      <c r="U417" s="42" t="n"/>
      <c r="V417" s="48" t="n"/>
      <c r="W417" s="58" t="n"/>
      <c r="X417" s="42" t="n"/>
      <c r="Y417" s="42" t="n"/>
      <c r="Z417" s="48" t="n"/>
      <c r="AA417" s="58" t="n"/>
      <c r="AB417" s="42" t="n"/>
      <c r="AC417" s="42" t="n"/>
      <c r="AD417" s="48" t="n"/>
      <c r="AE417" s="58" t="n"/>
      <c r="AF417" s="42" t="n"/>
      <c r="AG417" s="42" t="n"/>
      <c r="AH417" s="48" t="n"/>
      <c r="AI417" s="58" t="n"/>
    </row>
    <row r="418">
      <c r="B418" s="2">
        <f>IF(STUDENTS!B417="","",STUDENTS!B417)</f>
        <v/>
      </c>
      <c r="C418" s="44">
        <f>IFERROR(IF(B418="","",_xlfn.XLOOKUP(B418,STUDENTS!$B$3:$B$1048576,STUDENTS!$C$3:$C$1048576)),"Enter a registered reg. no")</f>
        <v/>
      </c>
      <c r="F418" s="66" t="n"/>
      <c r="G418" s="67" t="n"/>
      <c r="J418" s="66" t="n"/>
      <c r="K418" s="67" t="n"/>
      <c r="N418" s="66" t="n"/>
      <c r="O418" s="67" t="n"/>
      <c r="R418" s="66" t="n"/>
      <c r="S418" s="67" t="n"/>
      <c r="V418" s="66" t="n"/>
      <c r="W418" s="67" t="n"/>
      <c r="Z418" s="66" t="n"/>
      <c r="AA418" s="67" t="n"/>
      <c r="AD418" s="66" t="n"/>
      <c r="AE418" s="67" t="n"/>
      <c r="AH418" s="66" t="n"/>
      <c r="AI418" s="67" t="n"/>
    </row>
    <row r="419">
      <c r="B419" s="2">
        <f>IF(STUDENTS!B418="","",STUDENTS!B418)</f>
        <v/>
      </c>
      <c r="C419" s="44">
        <f>IFERROR(IF(B419="","",_xlfn.XLOOKUP(B419,STUDENTS!$B$3:$B$1048576,STUDENTS!$C$3:$C$1048576)),"Enter a registered reg. no")</f>
        <v/>
      </c>
      <c r="D419" s="54" t="n"/>
      <c r="E419" s="55" t="n"/>
      <c r="F419" s="48" t="n"/>
      <c r="G419" s="58" t="n"/>
      <c r="H419" s="62" t="n"/>
      <c r="I419" s="63" t="n"/>
      <c r="J419" s="48" t="n"/>
      <c r="K419" s="58" t="n"/>
      <c r="L419" s="42" t="n"/>
      <c r="M419" s="42" t="n"/>
      <c r="N419" s="48" t="n"/>
      <c r="O419" s="58" t="n"/>
      <c r="P419" s="42" t="n"/>
      <c r="Q419" s="42" t="n"/>
      <c r="R419" s="48" t="n"/>
      <c r="S419" s="58" t="n"/>
      <c r="T419" s="42" t="n"/>
      <c r="U419" s="42" t="n"/>
      <c r="V419" s="48" t="n"/>
      <c r="W419" s="58" t="n"/>
      <c r="X419" s="42" t="n"/>
      <c r="Y419" s="42" t="n"/>
      <c r="Z419" s="48" t="n"/>
      <c r="AA419" s="58" t="n"/>
      <c r="AB419" s="42" t="n"/>
      <c r="AC419" s="42" t="n"/>
      <c r="AD419" s="48" t="n"/>
      <c r="AE419" s="58" t="n"/>
      <c r="AF419" s="42" t="n"/>
      <c r="AG419" s="42" t="n"/>
      <c r="AH419" s="48" t="n"/>
      <c r="AI419" s="58" t="n"/>
    </row>
    <row r="420">
      <c r="B420" s="2">
        <f>IF(STUDENTS!B419="","",STUDENTS!B419)</f>
        <v/>
      </c>
      <c r="C420" s="44">
        <f>IFERROR(IF(B420="","",_xlfn.XLOOKUP(B420,STUDENTS!$B$3:$B$1048576,STUDENTS!$C$3:$C$1048576)),"Enter a registered reg. no")</f>
        <v/>
      </c>
      <c r="F420" s="66" t="n"/>
      <c r="G420" s="67" t="n"/>
      <c r="J420" s="66" t="n"/>
      <c r="K420" s="67" t="n"/>
      <c r="N420" s="66" t="n"/>
      <c r="O420" s="67" t="n"/>
      <c r="R420" s="66" t="n"/>
      <c r="S420" s="67" t="n"/>
      <c r="V420" s="66" t="n"/>
      <c r="W420" s="67" t="n"/>
      <c r="Z420" s="66" t="n"/>
      <c r="AA420" s="67" t="n"/>
      <c r="AD420" s="66" t="n"/>
      <c r="AE420" s="67" t="n"/>
      <c r="AH420" s="66" t="n"/>
      <c r="AI420" s="67" t="n"/>
    </row>
    <row r="421">
      <c r="B421" s="2">
        <f>IF(STUDENTS!B420="","",STUDENTS!B420)</f>
        <v/>
      </c>
      <c r="C421" s="44">
        <f>IFERROR(IF(B421="","",_xlfn.XLOOKUP(B421,STUDENTS!$B$3:$B$1048576,STUDENTS!$C$3:$C$1048576)),"Enter a registered reg. no")</f>
        <v/>
      </c>
      <c r="D421" s="54" t="n"/>
      <c r="E421" s="55" t="n"/>
      <c r="F421" s="48" t="n"/>
      <c r="G421" s="58" t="n"/>
      <c r="H421" s="62" t="n"/>
      <c r="I421" s="63" t="n"/>
      <c r="J421" s="48" t="n"/>
      <c r="K421" s="58" t="n"/>
      <c r="L421" s="42" t="n"/>
      <c r="M421" s="42" t="n"/>
      <c r="N421" s="48" t="n"/>
      <c r="O421" s="58" t="n"/>
      <c r="P421" s="42" t="n"/>
      <c r="Q421" s="42" t="n"/>
      <c r="R421" s="48" t="n"/>
      <c r="S421" s="58" t="n"/>
      <c r="T421" s="42" t="n"/>
      <c r="U421" s="42" t="n"/>
      <c r="V421" s="48" t="n"/>
      <c r="W421" s="58" t="n"/>
      <c r="X421" s="42" t="n"/>
      <c r="Y421" s="42" t="n"/>
      <c r="Z421" s="48" t="n"/>
      <c r="AA421" s="58" t="n"/>
      <c r="AB421" s="42" t="n"/>
      <c r="AC421" s="42" t="n"/>
      <c r="AD421" s="48" t="n"/>
      <c r="AE421" s="58" t="n"/>
      <c r="AF421" s="42" t="n"/>
      <c r="AG421" s="42" t="n"/>
      <c r="AH421" s="48" t="n"/>
      <c r="AI421" s="58" t="n"/>
    </row>
    <row r="422">
      <c r="B422" s="2">
        <f>IF(STUDENTS!B421="","",STUDENTS!B421)</f>
        <v/>
      </c>
      <c r="C422" s="44">
        <f>IFERROR(IF(B422="","",_xlfn.XLOOKUP(B422,STUDENTS!$B$3:$B$1048576,STUDENTS!$C$3:$C$1048576)),"Enter a registered reg. no")</f>
        <v/>
      </c>
      <c r="F422" s="66" t="n"/>
      <c r="G422" s="67" t="n"/>
      <c r="J422" s="66" t="n"/>
      <c r="K422" s="67" t="n"/>
      <c r="N422" s="66" t="n"/>
      <c r="O422" s="67" t="n"/>
      <c r="R422" s="66" t="n"/>
      <c r="S422" s="67" t="n"/>
      <c r="V422" s="66" t="n"/>
      <c r="W422" s="67" t="n"/>
      <c r="Z422" s="66" t="n"/>
      <c r="AA422" s="67" t="n"/>
      <c r="AD422" s="66" t="n"/>
      <c r="AE422" s="67" t="n"/>
      <c r="AH422" s="66" t="n"/>
      <c r="AI422" s="67" t="n"/>
    </row>
    <row r="423">
      <c r="B423" s="2">
        <f>IF(STUDENTS!B422="","",STUDENTS!B422)</f>
        <v/>
      </c>
      <c r="C423" s="44">
        <f>IFERROR(IF(B423="","",_xlfn.XLOOKUP(B423,STUDENTS!$B$3:$B$1048576,STUDENTS!$C$3:$C$1048576)),"Enter a registered reg. no")</f>
        <v/>
      </c>
      <c r="D423" s="54" t="n"/>
      <c r="E423" s="55" t="n"/>
      <c r="F423" s="48" t="n"/>
      <c r="G423" s="58" t="n"/>
      <c r="H423" s="62" t="n"/>
      <c r="I423" s="63" t="n"/>
      <c r="J423" s="48" t="n"/>
      <c r="K423" s="58" t="n"/>
      <c r="L423" s="42" t="n"/>
      <c r="M423" s="42" t="n"/>
      <c r="N423" s="48" t="n"/>
      <c r="O423" s="58" t="n"/>
      <c r="P423" s="42" t="n"/>
      <c r="Q423" s="42" t="n"/>
      <c r="R423" s="48" t="n"/>
      <c r="S423" s="58" t="n"/>
      <c r="T423" s="42" t="n"/>
      <c r="U423" s="42" t="n"/>
      <c r="V423" s="48" t="n"/>
      <c r="W423" s="58" t="n"/>
      <c r="X423" s="42" t="n"/>
      <c r="Y423" s="42" t="n"/>
      <c r="Z423" s="48" t="n"/>
      <c r="AA423" s="58" t="n"/>
      <c r="AB423" s="42" t="n"/>
      <c r="AC423" s="42" t="n"/>
      <c r="AD423" s="48" t="n"/>
      <c r="AE423" s="58" t="n"/>
      <c r="AF423" s="42" t="n"/>
      <c r="AG423" s="42" t="n"/>
      <c r="AH423" s="48" t="n"/>
      <c r="AI423" s="58" t="n"/>
    </row>
    <row r="424">
      <c r="B424" s="2">
        <f>IF(STUDENTS!B423="","",STUDENTS!B423)</f>
        <v/>
      </c>
      <c r="C424" s="44">
        <f>IFERROR(IF(B424="","",_xlfn.XLOOKUP(B424,STUDENTS!$B$3:$B$1048576,STUDENTS!$C$3:$C$1048576)),"Enter a registered reg. no")</f>
        <v/>
      </c>
      <c r="F424" s="66" t="n"/>
      <c r="G424" s="67" t="n"/>
      <c r="J424" s="66" t="n"/>
      <c r="K424" s="67" t="n"/>
      <c r="N424" s="66" t="n"/>
      <c r="O424" s="67" t="n"/>
      <c r="R424" s="66" t="n"/>
      <c r="S424" s="67" t="n"/>
      <c r="V424" s="66" t="n"/>
      <c r="W424" s="67" t="n"/>
      <c r="Z424" s="66" t="n"/>
      <c r="AA424" s="67" t="n"/>
      <c r="AD424" s="66" t="n"/>
      <c r="AE424" s="67" t="n"/>
      <c r="AH424" s="66" t="n"/>
      <c r="AI424" s="67" t="n"/>
    </row>
    <row r="425">
      <c r="B425" s="2">
        <f>IF(STUDENTS!B424="","",STUDENTS!B424)</f>
        <v/>
      </c>
      <c r="C425" s="44">
        <f>IFERROR(IF(B425="","",_xlfn.XLOOKUP(B425,STUDENTS!$B$3:$B$1048576,STUDENTS!$C$3:$C$1048576)),"Enter a registered reg. no")</f>
        <v/>
      </c>
      <c r="D425" s="54" t="n"/>
      <c r="E425" s="55" t="n"/>
      <c r="F425" s="48" t="n"/>
      <c r="G425" s="58" t="n"/>
      <c r="H425" s="62" t="n"/>
      <c r="I425" s="63" t="n"/>
      <c r="J425" s="48" t="n"/>
      <c r="K425" s="58" t="n"/>
      <c r="L425" s="42" t="n"/>
      <c r="M425" s="42" t="n"/>
      <c r="N425" s="48" t="n"/>
      <c r="O425" s="58" t="n"/>
      <c r="P425" s="42" t="n"/>
      <c r="Q425" s="42" t="n"/>
      <c r="R425" s="48" t="n"/>
      <c r="S425" s="58" t="n"/>
      <c r="T425" s="42" t="n"/>
      <c r="U425" s="42" t="n"/>
      <c r="V425" s="48" t="n"/>
      <c r="W425" s="58" t="n"/>
      <c r="X425" s="42" t="n"/>
      <c r="Y425" s="42" t="n"/>
      <c r="Z425" s="48" t="n"/>
      <c r="AA425" s="58" t="n"/>
      <c r="AB425" s="42" t="n"/>
      <c r="AC425" s="42" t="n"/>
      <c r="AD425" s="48" t="n"/>
      <c r="AE425" s="58" t="n"/>
      <c r="AF425" s="42" t="n"/>
      <c r="AG425" s="42" t="n"/>
      <c r="AH425" s="48" t="n"/>
      <c r="AI425" s="58" t="n"/>
    </row>
    <row r="426">
      <c r="B426" s="2">
        <f>IF(STUDENTS!B425="","",STUDENTS!B425)</f>
        <v/>
      </c>
      <c r="C426" s="44">
        <f>IFERROR(IF(B426="","",_xlfn.XLOOKUP(B426,STUDENTS!$B$3:$B$1048576,STUDENTS!$C$3:$C$1048576)),"Enter a registered reg. no")</f>
        <v/>
      </c>
      <c r="F426" s="66" t="n"/>
      <c r="G426" s="67" t="n"/>
      <c r="J426" s="66" t="n"/>
      <c r="K426" s="67" t="n"/>
      <c r="N426" s="66" t="n"/>
      <c r="O426" s="67" t="n"/>
      <c r="R426" s="66" t="n"/>
      <c r="S426" s="67" t="n"/>
      <c r="V426" s="66" t="n"/>
      <c r="W426" s="67" t="n"/>
      <c r="Z426" s="66" t="n"/>
      <c r="AA426" s="67" t="n"/>
      <c r="AD426" s="66" t="n"/>
      <c r="AE426" s="67" t="n"/>
      <c r="AH426" s="66" t="n"/>
      <c r="AI426" s="67" t="n"/>
    </row>
    <row r="427">
      <c r="B427" s="2">
        <f>IF(STUDENTS!B426="","",STUDENTS!B426)</f>
        <v/>
      </c>
      <c r="C427" s="44">
        <f>IFERROR(IF(B427="","",_xlfn.XLOOKUP(B427,STUDENTS!$B$3:$B$1048576,STUDENTS!$C$3:$C$1048576)),"Enter a registered reg. no")</f>
        <v/>
      </c>
      <c r="D427" s="54" t="n"/>
      <c r="E427" s="55" t="n"/>
      <c r="F427" s="48" t="n"/>
      <c r="G427" s="58" t="n"/>
      <c r="H427" s="62" t="n"/>
      <c r="I427" s="63" t="n"/>
      <c r="J427" s="48" t="n"/>
      <c r="K427" s="58" t="n"/>
      <c r="L427" s="42" t="n"/>
      <c r="M427" s="42" t="n"/>
      <c r="N427" s="48" t="n"/>
      <c r="O427" s="58" t="n"/>
      <c r="P427" s="42" t="n"/>
      <c r="Q427" s="42" t="n"/>
      <c r="R427" s="48" t="n"/>
      <c r="S427" s="58" t="n"/>
      <c r="T427" s="42" t="n"/>
      <c r="U427" s="42" t="n"/>
      <c r="V427" s="48" t="n"/>
      <c r="W427" s="58" t="n"/>
      <c r="X427" s="42" t="n"/>
      <c r="Y427" s="42" t="n"/>
      <c r="Z427" s="48" t="n"/>
      <c r="AA427" s="58" t="n"/>
      <c r="AB427" s="42" t="n"/>
      <c r="AC427" s="42" t="n"/>
      <c r="AD427" s="48" t="n"/>
      <c r="AE427" s="58" t="n"/>
      <c r="AF427" s="42" t="n"/>
      <c r="AG427" s="42" t="n"/>
      <c r="AH427" s="48" t="n"/>
      <c r="AI427" s="58" t="n"/>
    </row>
    <row r="428">
      <c r="B428" s="2">
        <f>IF(STUDENTS!B427="","",STUDENTS!B427)</f>
        <v/>
      </c>
      <c r="C428" s="44">
        <f>IFERROR(IF(B428="","",_xlfn.XLOOKUP(B428,STUDENTS!$B$3:$B$1048576,STUDENTS!$C$3:$C$1048576)),"Enter a registered reg. no")</f>
        <v/>
      </c>
      <c r="F428" s="66" t="n"/>
      <c r="G428" s="67" t="n"/>
      <c r="J428" s="66" t="n"/>
      <c r="K428" s="67" t="n"/>
      <c r="N428" s="66" t="n"/>
      <c r="O428" s="67" t="n"/>
      <c r="R428" s="66" t="n"/>
      <c r="S428" s="67" t="n"/>
      <c r="V428" s="66" t="n"/>
      <c r="W428" s="67" t="n"/>
      <c r="Z428" s="66" t="n"/>
      <c r="AA428" s="67" t="n"/>
      <c r="AD428" s="66" t="n"/>
      <c r="AE428" s="67" t="n"/>
      <c r="AH428" s="66" t="n"/>
      <c r="AI428" s="67" t="n"/>
    </row>
    <row r="429">
      <c r="B429" s="2">
        <f>IF(STUDENTS!B428="","",STUDENTS!B428)</f>
        <v/>
      </c>
      <c r="C429" s="44">
        <f>IFERROR(IF(B429="","",_xlfn.XLOOKUP(B429,STUDENTS!$B$3:$B$1048576,STUDENTS!$C$3:$C$1048576)),"Enter a registered reg. no")</f>
        <v/>
      </c>
      <c r="D429" s="54" t="n"/>
      <c r="E429" s="55" t="n"/>
      <c r="F429" s="48" t="n"/>
      <c r="G429" s="58" t="n"/>
      <c r="H429" s="62" t="n"/>
      <c r="I429" s="63" t="n"/>
      <c r="J429" s="48" t="n"/>
      <c r="K429" s="58" t="n"/>
      <c r="L429" s="42" t="n"/>
      <c r="M429" s="42" t="n"/>
      <c r="N429" s="48" t="n"/>
      <c r="O429" s="58" t="n"/>
      <c r="P429" s="42" t="n"/>
      <c r="Q429" s="42" t="n"/>
      <c r="R429" s="48" t="n"/>
      <c r="S429" s="58" t="n"/>
      <c r="T429" s="42" t="n"/>
      <c r="U429" s="42" t="n"/>
      <c r="V429" s="48" t="n"/>
      <c r="W429" s="58" t="n"/>
      <c r="X429" s="42" t="n"/>
      <c r="Y429" s="42" t="n"/>
      <c r="Z429" s="48" t="n"/>
      <c r="AA429" s="58" t="n"/>
      <c r="AB429" s="42" t="n"/>
      <c r="AC429" s="42" t="n"/>
      <c r="AD429" s="48" t="n"/>
      <c r="AE429" s="58" t="n"/>
      <c r="AF429" s="42" t="n"/>
      <c r="AG429" s="42" t="n"/>
      <c r="AH429" s="48" t="n"/>
      <c r="AI429" s="58" t="n"/>
    </row>
    <row r="430">
      <c r="B430" s="2">
        <f>IF(STUDENTS!B429="","",STUDENTS!B429)</f>
        <v/>
      </c>
      <c r="C430" s="44">
        <f>IFERROR(IF(B430="","",_xlfn.XLOOKUP(B430,STUDENTS!$B$3:$B$1048576,STUDENTS!$C$3:$C$1048576)),"Enter a registered reg. no")</f>
        <v/>
      </c>
      <c r="F430" s="66" t="n"/>
      <c r="G430" s="67" t="n"/>
      <c r="J430" s="66" t="n"/>
      <c r="K430" s="67" t="n"/>
      <c r="N430" s="66" t="n"/>
      <c r="O430" s="67" t="n"/>
      <c r="R430" s="66" t="n"/>
      <c r="S430" s="67" t="n"/>
      <c r="V430" s="66" t="n"/>
      <c r="W430" s="67" t="n"/>
      <c r="Z430" s="66" t="n"/>
      <c r="AA430" s="67" t="n"/>
      <c r="AD430" s="66" t="n"/>
      <c r="AE430" s="67" t="n"/>
      <c r="AH430" s="66" t="n"/>
      <c r="AI430" s="67" t="n"/>
    </row>
    <row r="431">
      <c r="B431" s="2">
        <f>IF(STUDENTS!B430="","",STUDENTS!B430)</f>
        <v/>
      </c>
      <c r="C431" s="44">
        <f>IFERROR(IF(B431="","",_xlfn.XLOOKUP(B431,STUDENTS!$B$3:$B$1048576,STUDENTS!$C$3:$C$1048576)),"Enter a registered reg. no")</f>
        <v/>
      </c>
      <c r="D431" s="54" t="n"/>
      <c r="E431" s="55" t="n"/>
      <c r="F431" s="48" t="n"/>
      <c r="G431" s="58" t="n"/>
      <c r="H431" s="62" t="n"/>
      <c r="I431" s="63" t="n"/>
      <c r="J431" s="48" t="n"/>
      <c r="K431" s="58" t="n"/>
      <c r="L431" s="42" t="n"/>
      <c r="M431" s="42" t="n"/>
      <c r="N431" s="48" t="n"/>
      <c r="O431" s="58" t="n"/>
      <c r="P431" s="42" t="n"/>
      <c r="Q431" s="42" t="n"/>
      <c r="R431" s="48" t="n"/>
      <c r="S431" s="58" t="n"/>
      <c r="T431" s="42" t="n"/>
      <c r="U431" s="42" t="n"/>
      <c r="V431" s="48" t="n"/>
      <c r="W431" s="58" t="n"/>
      <c r="X431" s="42" t="n"/>
      <c r="Y431" s="42" t="n"/>
      <c r="Z431" s="48" t="n"/>
      <c r="AA431" s="58" t="n"/>
      <c r="AB431" s="42" t="n"/>
      <c r="AC431" s="42" t="n"/>
      <c r="AD431" s="48" t="n"/>
      <c r="AE431" s="58" t="n"/>
      <c r="AF431" s="42" t="n"/>
      <c r="AG431" s="42" t="n"/>
      <c r="AH431" s="48" t="n"/>
      <c r="AI431" s="58" t="n"/>
    </row>
    <row r="432">
      <c r="B432" s="2">
        <f>IF(STUDENTS!B431="","",STUDENTS!B431)</f>
        <v/>
      </c>
      <c r="C432" s="44">
        <f>IFERROR(IF(B432="","",_xlfn.XLOOKUP(B432,STUDENTS!$B$3:$B$1048576,STUDENTS!$C$3:$C$1048576)),"Enter a registered reg. no")</f>
        <v/>
      </c>
      <c r="F432" s="66" t="n"/>
      <c r="G432" s="67" t="n"/>
      <c r="J432" s="66" t="n"/>
      <c r="K432" s="67" t="n"/>
      <c r="N432" s="66" t="n"/>
      <c r="O432" s="67" t="n"/>
      <c r="R432" s="66" t="n"/>
      <c r="S432" s="67" t="n"/>
      <c r="V432" s="66" t="n"/>
      <c r="W432" s="67" t="n"/>
      <c r="Z432" s="66" t="n"/>
      <c r="AA432" s="67" t="n"/>
      <c r="AD432" s="66" t="n"/>
      <c r="AE432" s="67" t="n"/>
      <c r="AH432" s="66" t="n"/>
      <c r="AI432" s="67" t="n"/>
    </row>
    <row r="433">
      <c r="B433" s="2">
        <f>IF(STUDENTS!B432="","",STUDENTS!B432)</f>
        <v/>
      </c>
      <c r="C433" s="44">
        <f>IFERROR(IF(B433="","",_xlfn.XLOOKUP(B433,STUDENTS!$B$3:$B$1048576,STUDENTS!$C$3:$C$1048576)),"Enter a registered reg. no")</f>
        <v/>
      </c>
      <c r="D433" s="54" t="n"/>
      <c r="E433" s="55" t="n"/>
      <c r="F433" s="48" t="n"/>
      <c r="G433" s="58" t="n"/>
      <c r="H433" s="62" t="n"/>
      <c r="I433" s="63" t="n"/>
      <c r="J433" s="48" t="n"/>
      <c r="K433" s="58" t="n"/>
      <c r="L433" s="42" t="n"/>
      <c r="M433" s="42" t="n"/>
      <c r="N433" s="48" t="n"/>
      <c r="O433" s="58" t="n"/>
      <c r="P433" s="42" t="n"/>
      <c r="Q433" s="42" t="n"/>
      <c r="R433" s="48" t="n"/>
      <c r="S433" s="58" t="n"/>
      <c r="T433" s="42" t="n"/>
      <c r="U433" s="42" t="n"/>
      <c r="V433" s="48" t="n"/>
      <c r="W433" s="58" t="n"/>
      <c r="X433" s="42" t="n"/>
      <c r="Y433" s="42" t="n"/>
      <c r="Z433" s="48" t="n"/>
      <c r="AA433" s="58" t="n"/>
      <c r="AB433" s="42" t="n"/>
      <c r="AC433" s="42" t="n"/>
      <c r="AD433" s="48" t="n"/>
      <c r="AE433" s="58" t="n"/>
      <c r="AF433" s="42" t="n"/>
      <c r="AG433" s="42" t="n"/>
      <c r="AH433" s="48" t="n"/>
      <c r="AI433" s="58" t="n"/>
    </row>
    <row r="434">
      <c r="B434" s="2">
        <f>IF(STUDENTS!B433="","",STUDENTS!B433)</f>
        <v/>
      </c>
      <c r="C434" s="44">
        <f>IFERROR(IF(B434="","",_xlfn.XLOOKUP(B434,STUDENTS!$B$3:$B$1048576,STUDENTS!$C$3:$C$1048576)),"Enter a registered reg. no")</f>
        <v/>
      </c>
      <c r="F434" s="66" t="n"/>
      <c r="G434" s="67" t="n"/>
      <c r="J434" s="66" t="n"/>
      <c r="K434" s="67" t="n"/>
      <c r="N434" s="66" t="n"/>
      <c r="O434" s="67" t="n"/>
      <c r="R434" s="66" t="n"/>
      <c r="S434" s="67" t="n"/>
      <c r="V434" s="66" t="n"/>
      <c r="W434" s="67" t="n"/>
      <c r="Z434" s="66" t="n"/>
      <c r="AA434" s="67" t="n"/>
      <c r="AD434" s="66" t="n"/>
      <c r="AE434" s="67" t="n"/>
      <c r="AH434" s="66" t="n"/>
      <c r="AI434" s="67" t="n"/>
    </row>
    <row r="435">
      <c r="B435" s="2">
        <f>IF(STUDENTS!B434="","",STUDENTS!B434)</f>
        <v/>
      </c>
      <c r="C435" s="44">
        <f>IFERROR(IF(B435="","",_xlfn.XLOOKUP(B435,STUDENTS!$B$3:$B$1048576,STUDENTS!$C$3:$C$1048576)),"Enter a registered reg. no")</f>
        <v/>
      </c>
      <c r="D435" s="54" t="n"/>
      <c r="E435" s="55" t="n"/>
      <c r="F435" s="48" t="n"/>
      <c r="G435" s="58" t="n"/>
      <c r="H435" s="62" t="n"/>
      <c r="I435" s="63" t="n"/>
      <c r="J435" s="48" t="n"/>
      <c r="K435" s="58" t="n"/>
      <c r="L435" s="42" t="n"/>
      <c r="M435" s="42" t="n"/>
      <c r="N435" s="48" t="n"/>
      <c r="O435" s="58" t="n"/>
      <c r="P435" s="42" t="n"/>
      <c r="Q435" s="42" t="n"/>
      <c r="R435" s="48" t="n"/>
      <c r="S435" s="58" t="n"/>
      <c r="T435" s="42" t="n"/>
      <c r="U435" s="42" t="n"/>
      <c r="V435" s="48" t="n"/>
      <c r="W435" s="58" t="n"/>
      <c r="X435" s="42" t="n"/>
      <c r="Y435" s="42" t="n"/>
      <c r="Z435" s="48" t="n"/>
      <c r="AA435" s="58" t="n"/>
      <c r="AB435" s="42" t="n"/>
      <c r="AC435" s="42" t="n"/>
      <c r="AD435" s="48" t="n"/>
      <c r="AE435" s="58" t="n"/>
      <c r="AF435" s="42" t="n"/>
      <c r="AG435" s="42" t="n"/>
      <c r="AH435" s="48" t="n"/>
      <c r="AI435" s="58" t="n"/>
    </row>
    <row r="436">
      <c r="B436" s="2">
        <f>IF(STUDENTS!B435="","",STUDENTS!B435)</f>
        <v/>
      </c>
      <c r="C436" s="44">
        <f>IFERROR(IF(B436="","",_xlfn.XLOOKUP(B436,STUDENTS!$B$3:$B$1048576,STUDENTS!$C$3:$C$1048576)),"Enter a registered reg. no")</f>
        <v/>
      </c>
      <c r="F436" s="66" t="n"/>
      <c r="G436" s="67" t="n"/>
      <c r="J436" s="66" t="n"/>
      <c r="K436" s="67" t="n"/>
      <c r="N436" s="66" t="n"/>
      <c r="O436" s="67" t="n"/>
      <c r="R436" s="66" t="n"/>
      <c r="S436" s="67" t="n"/>
      <c r="V436" s="66" t="n"/>
      <c r="W436" s="67" t="n"/>
      <c r="Z436" s="66" t="n"/>
      <c r="AA436" s="67" t="n"/>
      <c r="AD436" s="66" t="n"/>
      <c r="AE436" s="67" t="n"/>
      <c r="AH436" s="66" t="n"/>
      <c r="AI436" s="67" t="n"/>
    </row>
    <row r="437">
      <c r="B437" s="2">
        <f>IF(STUDENTS!B436="","",STUDENTS!B436)</f>
        <v/>
      </c>
      <c r="C437" s="44">
        <f>IFERROR(IF(B437="","",_xlfn.XLOOKUP(B437,STUDENTS!$B$3:$B$1048576,STUDENTS!$C$3:$C$1048576)),"Enter a registered reg. no")</f>
        <v/>
      </c>
      <c r="D437" s="54" t="n"/>
      <c r="E437" s="55" t="n"/>
      <c r="F437" s="48" t="n"/>
      <c r="G437" s="58" t="n"/>
      <c r="H437" s="62" t="n"/>
      <c r="I437" s="63" t="n"/>
      <c r="J437" s="48" t="n"/>
      <c r="K437" s="58" t="n"/>
      <c r="L437" s="42" t="n"/>
      <c r="M437" s="42" t="n"/>
      <c r="N437" s="48" t="n"/>
      <c r="O437" s="58" t="n"/>
      <c r="P437" s="42" t="n"/>
      <c r="Q437" s="42" t="n"/>
      <c r="R437" s="48" t="n"/>
      <c r="S437" s="58" t="n"/>
      <c r="T437" s="42" t="n"/>
      <c r="U437" s="42" t="n"/>
      <c r="V437" s="48" t="n"/>
      <c r="W437" s="58" t="n"/>
      <c r="X437" s="42" t="n"/>
      <c r="Y437" s="42" t="n"/>
      <c r="Z437" s="48" t="n"/>
      <c r="AA437" s="58" t="n"/>
      <c r="AB437" s="42" t="n"/>
      <c r="AC437" s="42" t="n"/>
      <c r="AD437" s="48" t="n"/>
      <c r="AE437" s="58" t="n"/>
      <c r="AF437" s="42" t="n"/>
      <c r="AG437" s="42" t="n"/>
      <c r="AH437" s="48" t="n"/>
      <c r="AI437" s="58" t="n"/>
    </row>
    <row r="438">
      <c r="B438" s="2">
        <f>IF(STUDENTS!B437="","",STUDENTS!B437)</f>
        <v/>
      </c>
      <c r="C438" s="44">
        <f>IFERROR(IF(B438="","",_xlfn.XLOOKUP(B438,STUDENTS!$B$3:$B$1048576,STUDENTS!$C$3:$C$1048576)),"Enter a registered reg. no")</f>
        <v/>
      </c>
      <c r="F438" s="66" t="n"/>
      <c r="G438" s="67" t="n"/>
      <c r="J438" s="66" t="n"/>
      <c r="K438" s="67" t="n"/>
      <c r="N438" s="66" t="n"/>
      <c r="O438" s="67" t="n"/>
      <c r="R438" s="66" t="n"/>
      <c r="S438" s="67" t="n"/>
      <c r="V438" s="66" t="n"/>
      <c r="W438" s="67" t="n"/>
      <c r="Z438" s="66" t="n"/>
      <c r="AA438" s="67" t="n"/>
      <c r="AD438" s="66" t="n"/>
      <c r="AE438" s="67" t="n"/>
      <c r="AH438" s="66" t="n"/>
      <c r="AI438" s="67" t="n"/>
    </row>
    <row r="439">
      <c r="B439" s="2">
        <f>IF(STUDENTS!B438="","",STUDENTS!B438)</f>
        <v/>
      </c>
      <c r="C439" s="44">
        <f>IFERROR(IF(B439="","",_xlfn.XLOOKUP(B439,STUDENTS!$B$3:$B$1048576,STUDENTS!$C$3:$C$1048576)),"Enter a registered reg. no")</f>
        <v/>
      </c>
      <c r="D439" s="54" t="n"/>
      <c r="E439" s="55" t="n"/>
      <c r="F439" s="48" t="n"/>
      <c r="G439" s="58" t="n"/>
      <c r="H439" s="62" t="n"/>
      <c r="I439" s="63" t="n"/>
      <c r="J439" s="48" t="n"/>
      <c r="K439" s="58" t="n"/>
      <c r="L439" s="42" t="n"/>
      <c r="M439" s="42" t="n"/>
      <c r="N439" s="48" t="n"/>
      <c r="O439" s="58" t="n"/>
      <c r="P439" s="42" t="n"/>
      <c r="Q439" s="42" t="n"/>
      <c r="R439" s="48" t="n"/>
      <c r="S439" s="58" t="n"/>
      <c r="T439" s="42" t="n"/>
      <c r="U439" s="42" t="n"/>
      <c r="V439" s="48" t="n"/>
      <c r="W439" s="58" t="n"/>
      <c r="X439" s="42" t="n"/>
      <c r="Y439" s="42" t="n"/>
      <c r="Z439" s="48" t="n"/>
      <c r="AA439" s="58" t="n"/>
      <c r="AB439" s="42" t="n"/>
      <c r="AC439" s="42" t="n"/>
      <c r="AD439" s="48" t="n"/>
      <c r="AE439" s="58" t="n"/>
      <c r="AF439" s="42" t="n"/>
      <c r="AG439" s="42" t="n"/>
      <c r="AH439" s="48" t="n"/>
      <c r="AI439" s="58" t="n"/>
    </row>
    <row r="440">
      <c r="B440" s="2">
        <f>IF(STUDENTS!B439="","",STUDENTS!B439)</f>
        <v/>
      </c>
      <c r="C440" s="44">
        <f>IFERROR(IF(B440="","",_xlfn.XLOOKUP(B440,STUDENTS!$B$3:$B$1048576,STUDENTS!$C$3:$C$1048576)),"Enter a registered reg. no")</f>
        <v/>
      </c>
      <c r="F440" s="66" t="n"/>
      <c r="G440" s="67" t="n"/>
      <c r="J440" s="66" t="n"/>
      <c r="K440" s="67" t="n"/>
      <c r="N440" s="66" t="n"/>
      <c r="O440" s="67" t="n"/>
      <c r="R440" s="66" t="n"/>
      <c r="S440" s="67" t="n"/>
      <c r="V440" s="66" t="n"/>
      <c r="W440" s="67" t="n"/>
      <c r="Z440" s="66" t="n"/>
      <c r="AA440" s="67" t="n"/>
      <c r="AD440" s="66" t="n"/>
      <c r="AE440" s="67" t="n"/>
      <c r="AH440" s="66" t="n"/>
      <c r="AI440" s="67" t="n"/>
    </row>
    <row r="441">
      <c r="B441" s="2">
        <f>IF(STUDENTS!B440="","",STUDENTS!B440)</f>
        <v/>
      </c>
      <c r="C441" s="44">
        <f>IFERROR(IF(B441="","",_xlfn.XLOOKUP(B441,STUDENTS!$B$3:$B$1048576,STUDENTS!$C$3:$C$1048576)),"Enter a registered reg. no")</f>
        <v/>
      </c>
      <c r="D441" s="54" t="n"/>
      <c r="E441" s="55" t="n"/>
      <c r="F441" s="48" t="n"/>
      <c r="G441" s="58" t="n"/>
      <c r="H441" s="62" t="n"/>
      <c r="I441" s="63" t="n"/>
      <c r="J441" s="48" t="n"/>
      <c r="K441" s="58" t="n"/>
      <c r="L441" s="42" t="n"/>
      <c r="M441" s="42" t="n"/>
      <c r="N441" s="48" t="n"/>
      <c r="O441" s="58" t="n"/>
      <c r="P441" s="42" t="n"/>
      <c r="Q441" s="42" t="n"/>
      <c r="R441" s="48" t="n"/>
      <c r="S441" s="58" t="n"/>
      <c r="T441" s="42" t="n"/>
      <c r="U441" s="42" t="n"/>
      <c r="V441" s="48" t="n"/>
      <c r="W441" s="58" t="n"/>
      <c r="X441" s="42" t="n"/>
      <c r="Y441" s="42" t="n"/>
      <c r="Z441" s="48" t="n"/>
      <c r="AA441" s="58" t="n"/>
      <c r="AB441" s="42" t="n"/>
      <c r="AC441" s="42" t="n"/>
      <c r="AD441" s="48" t="n"/>
      <c r="AE441" s="58" t="n"/>
      <c r="AF441" s="42" t="n"/>
      <c r="AG441" s="42" t="n"/>
      <c r="AH441" s="48" t="n"/>
      <c r="AI441" s="58" t="n"/>
    </row>
    <row r="442">
      <c r="B442" s="2">
        <f>IF(STUDENTS!B441="","",STUDENTS!B441)</f>
        <v/>
      </c>
      <c r="C442" s="44">
        <f>IFERROR(IF(B442="","",_xlfn.XLOOKUP(B442,STUDENTS!$B$3:$B$1048576,STUDENTS!$C$3:$C$1048576)),"Enter a registered reg. no")</f>
        <v/>
      </c>
      <c r="F442" s="66" t="n"/>
      <c r="G442" s="67" t="n"/>
      <c r="J442" s="66" t="n"/>
      <c r="K442" s="67" t="n"/>
      <c r="N442" s="66" t="n"/>
      <c r="O442" s="67" t="n"/>
      <c r="R442" s="66" t="n"/>
      <c r="S442" s="67" t="n"/>
      <c r="V442" s="66" t="n"/>
      <c r="W442" s="67" t="n"/>
      <c r="Z442" s="66" t="n"/>
      <c r="AA442" s="67" t="n"/>
      <c r="AD442" s="66" t="n"/>
      <c r="AE442" s="67" t="n"/>
      <c r="AH442" s="66" t="n"/>
      <c r="AI442" s="67" t="n"/>
    </row>
    <row r="443">
      <c r="B443" s="2">
        <f>IF(STUDENTS!B442="","",STUDENTS!B442)</f>
        <v/>
      </c>
      <c r="C443" s="44">
        <f>IFERROR(IF(B443="","",_xlfn.XLOOKUP(B443,STUDENTS!$B$3:$B$1048576,STUDENTS!$C$3:$C$1048576)),"Enter a registered reg. no")</f>
        <v/>
      </c>
      <c r="D443" s="54" t="n"/>
      <c r="E443" s="55" t="n"/>
      <c r="F443" s="48" t="n"/>
      <c r="G443" s="58" t="n"/>
      <c r="H443" s="62" t="n"/>
      <c r="I443" s="63" t="n"/>
      <c r="J443" s="48" t="n"/>
      <c r="K443" s="58" t="n"/>
      <c r="L443" s="42" t="n"/>
      <c r="M443" s="42" t="n"/>
      <c r="N443" s="48" t="n"/>
      <c r="O443" s="58" t="n"/>
      <c r="P443" s="42" t="n"/>
      <c r="Q443" s="42" t="n"/>
      <c r="R443" s="48" t="n"/>
      <c r="S443" s="58" t="n"/>
      <c r="T443" s="42" t="n"/>
      <c r="U443" s="42" t="n"/>
      <c r="V443" s="48" t="n"/>
      <c r="W443" s="58" t="n"/>
      <c r="X443" s="42" t="n"/>
      <c r="Y443" s="42" t="n"/>
      <c r="Z443" s="48" t="n"/>
      <c r="AA443" s="58" t="n"/>
      <c r="AB443" s="42" t="n"/>
      <c r="AC443" s="42" t="n"/>
      <c r="AD443" s="48" t="n"/>
      <c r="AE443" s="58" t="n"/>
      <c r="AF443" s="42" t="n"/>
      <c r="AG443" s="42" t="n"/>
      <c r="AH443" s="48" t="n"/>
      <c r="AI443" s="58" t="n"/>
    </row>
    <row r="444">
      <c r="B444" s="2">
        <f>IF(STUDENTS!B443="","",STUDENTS!B443)</f>
        <v/>
      </c>
      <c r="C444" s="44">
        <f>IFERROR(IF(B444="","",_xlfn.XLOOKUP(B444,STUDENTS!$B$3:$B$1048576,STUDENTS!$C$3:$C$1048576)),"Enter a registered reg. no")</f>
        <v/>
      </c>
      <c r="F444" s="66" t="n"/>
      <c r="G444" s="67" t="n"/>
      <c r="J444" s="66" t="n"/>
      <c r="K444" s="67" t="n"/>
      <c r="N444" s="66" t="n"/>
      <c r="O444" s="67" t="n"/>
      <c r="R444" s="66" t="n"/>
      <c r="S444" s="67" t="n"/>
      <c r="V444" s="66" t="n"/>
      <c r="W444" s="67" t="n"/>
      <c r="Z444" s="66" t="n"/>
      <c r="AA444" s="67" t="n"/>
      <c r="AD444" s="66" t="n"/>
      <c r="AE444" s="67" t="n"/>
      <c r="AH444" s="66" t="n"/>
      <c r="AI444" s="67" t="n"/>
    </row>
    <row r="445">
      <c r="B445" s="2">
        <f>IF(STUDENTS!B444="","",STUDENTS!B444)</f>
        <v/>
      </c>
      <c r="C445" s="44">
        <f>IFERROR(IF(B445="","",_xlfn.XLOOKUP(B445,STUDENTS!$B$3:$B$1048576,STUDENTS!$C$3:$C$1048576)),"Enter a registered reg. no")</f>
        <v/>
      </c>
      <c r="D445" s="54" t="n"/>
      <c r="E445" s="55" t="n"/>
      <c r="F445" s="48" t="n"/>
      <c r="G445" s="58" t="n"/>
      <c r="H445" s="62" t="n"/>
      <c r="I445" s="63" t="n"/>
      <c r="J445" s="48" t="n"/>
      <c r="K445" s="58" t="n"/>
      <c r="L445" s="42" t="n"/>
      <c r="M445" s="42" t="n"/>
      <c r="N445" s="48" t="n"/>
      <c r="O445" s="58" t="n"/>
      <c r="P445" s="42" t="n"/>
      <c r="Q445" s="42" t="n"/>
      <c r="R445" s="48" t="n"/>
      <c r="S445" s="58" t="n"/>
      <c r="T445" s="42" t="n"/>
      <c r="U445" s="42" t="n"/>
      <c r="V445" s="48" t="n"/>
      <c r="W445" s="58" t="n"/>
      <c r="X445" s="42" t="n"/>
      <c r="Y445" s="42" t="n"/>
      <c r="Z445" s="48" t="n"/>
      <c r="AA445" s="58" t="n"/>
      <c r="AB445" s="42" t="n"/>
      <c r="AC445" s="42" t="n"/>
      <c r="AD445" s="48" t="n"/>
      <c r="AE445" s="58" t="n"/>
      <c r="AF445" s="42" t="n"/>
      <c r="AG445" s="42" t="n"/>
      <c r="AH445" s="48" t="n"/>
      <c r="AI445" s="58" t="n"/>
    </row>
    <row r="446">
      <c r="B446" s="2">
        <f>IF(STUDENTS!B445="","",STUDENTS!B445)</f>
        <v/>
      </c>
      <c r="C446" s="44">
        <f>IFERROR(IF(B446="","",_xlfn.XLOOKUP(B446,STUDENTS!$B$3:$B$1048576,STUDENTS!$C$3:$C$1048576)),"Enter a registered reg. no")</f>
        <v/>
      </c>
      <c r="F446" s="66" t="n"/>
      <c r="G446" s="67" t="n"/>
      <c r="J446" s="66" t="n"/>
      <c r="K446" s="67" t="n"/>
      <c r="N446" s="66" t="n"/>
      <c r="O446" s="67" t="n"/>
      <c r="R446" s="66" t="n"/>
      <c r="S446" s="67" t="n"/>
      <c r="V446" s="66" t="n"/>
      <c r="W446" s="67" t="n"/>
      <c r="Z446" s="66" t="n"/>
      <c r="AA446" s="67" t="n"/>
      <c r="AD446" s="66" t="n"/>
      <c r="AE446" s="67" t="n"/>
      <c r="AH446" s="66" t="n"/>
      <c r="AI446" s="67" t="n"/>
    </row>
    <row r="447">
      <c r="B447" s="2">
        <f>IF(STUDENTS!B446="","",STUDENTS!B446)</f>
        <v/>
      </c>
      <c r="C447" s="44">
        <f>IFERROR(IF(B447="","",_xlfn.XLOOKUP(B447,STUDENTS!$B$3:$B$1048576,STUDENTS!$C$3:$C$1048576)),"Enter a registered reg. no")</f>
        <v/>
      </c>
      <c r="D447" s="54" t="n"/>
      <c r="E447" s="55" t="n"/>
      <c r="F447" s="48" t="n"/>
      <c r="G447" s="58" t="n"/>
      <c r="H447" s="62" t="n"/>
      <c r="I447" s="63" t="n"/>
      <c r="J447" s="48" t="n"/>
      <c r="K447" s="58" t="n"/>
      <c r="L447" s="42" t="n"/>
      <c r="M447" s="42" t="n"/>
      <c r="N447" s="48" t="n"/>
      <c r="O447" s="58" t="n"/>
      <c r="P447" s="42" t="n"/>
      <c r="Q447" s="42" t="n"/>
      <c r="R447" s="48" t="n"/>
      <c r="S447" s="58" t="n"/>
      <c r="T447" s="42" t="n"/>
      <c r="U447" s="42" t="n"/>
      <c r="V447" s="48" t="n"/>
      <c r="W447" s="58" t="n"/>
      <c r="X447" s="42" t="n"/>
      <c r="Y447" s="42" t="n"/>
      <c r="Z447" s="48" t="n"/>
      <c r="AA447" s="58" t="n"/>
      <c r="AB447" s="42" t="n"/>
      <c r="AC447" s="42" t="n"/>
      <c r="AD447" s="48" t="n"/>
      <c r="AE447" s="58" t="n"/>
      <c r="AF447" s="42" t="n"/>
      <c r="AG447" s="42" t="n"/>
      <c r="AH447" s="48" t="n"/>
      <c r="AI447" s="58" t="n"/>
    </row>
    <row r="448">
      <c r="B448" s="2">
        <f>IF(STUDENTS!B447="","",STUDENTS!B447)</f>
        <v/>
      </c>
      <c r="C448" s="44">
        <f>IFERROR(IF(B448="","",_xlfn.XLOOKUP(B448,STUDENTS!$B$3:$B$1048576,STUDENTS!$C$3:$C$1048576)),"Enter a registered reg. no")</f>
        <v/>
      </c>
      <c r="F448" s="66" t="n"/>
      <c r="G448" s="67" t="n"/>
      <c r="J448" s="66" t="n"/>
      <c r="K448" s="67" t="n"/>
      <c r="N448" s="66" t="n"/>
      <c r="O448" s="67" t="n"/>
      <c r="R448" s="66" t="n"/>
      <c r="S448" s="67" t="n"/>
      <c r="V448" s="66" t="n"/>
      <c r="W448" s="67" t="n"/>
      <c r="Z448" s="66" t="n"/>
      <c r="AA448" s="67" t="n"/>
      <c r="AD448" s="66" t="n"/>
      <c r="AE448" s="67" t="n"/>
      <c r="AH448" s="66" t="n"/>
      <c r="AI448" s="67" t="n"/>
    </row>
    <row r="449">
      <c r="B449" s="2">
        <f>IF(STUDENTS!B448="","",STUDENTS!B448)</f>
        <v/>
      </c>
      <c r="C449" s="44">
        <f>IFERROR(IF(B449="","",_xlfn.XLOOKUP(B449,STUDENTS!$B$3:$B$1048576,STUDENTS!$C$3:$C$1048576)),"Enter a registered reg. no")</f>
        <v/>
      </c>
      <c r="D449" s="54" t="n"/>
      <c r="E449" s="55" t="n"/>
      <c r="F449" s="48" t="n"/>
      <c r="G449" s="58" t="n"/>
      <c r="H449" s="62" t="n"/>
      <c r="I449" s="63" t="n"/>
      <c r="J449" s="48" t="n"/>
      <c r="K449" s="58" t="n"/>
      <c r="L449" s="42" t="n"/>
      <c r="M449" s="42" t="n"/>
      <c r="N449" s="48" t="n"/>
      <c r="O449" s="58" t="n"/>
      <c r="P449" s="42" t="n"/>
      <c r="Q449" s="42" t="n"/>
      <c r="R449" s="48" t="n"/>
      <c r="S449" s="58" t="n"/>
      <c r="T449" s="42" t="n"/>
      <c r="U449" s="42" t="n"/>
      <c r="V449" s="48" t="n"/>
      <c r="W449" s="58" t="n"/>
      <c r="X449" s="42" t="n"/>
      <c r="Y449" s="42" t="n"/>
      <c r="Z449" s="48" t="n"/>
      <c r="AA449" s="58" t="n"/>
      <c r="AB449" s="42" t="n"/>
      <c r="AC449" s="42" t="n"/>
      <c r="AD449" s="48" t="n"/>
      <c r="AE449" s="58" t="n"/>
      <c r="AF449" s="42" t="n"/>
      <c r="AG449" s="42" t="n"/>
      <c r="AH449" s="48" t="n"/>
      <c r="AI449" s="58" t="n"/>
    </row>
    <row r="450">
      <c r="B450" s="2">
        <f>IF(STUDENTS!B449="","",STUDENTS!B449)</f>
        <v/>
      </c>
      <c r="C450" s="44">
        <f>IFERROR(IF(B450="","",_xlfn.XLOOKUP(B450,STUDENTS!$B$3:$B$1048576,STUDENTS!$C$3:$C$1048576)),"Enter a registered reg. no")</f>
        <v/>
      </c>
      <c r="F450" s="66" t="n"/>
      <c r="G450" s="67" t="n"/>
      <c r="J450" s="66" t="n"/>
      <c r="K450" s="67" t="n"/>
      <c r="N450" s="66" t="n"/>
      <c r="O450" s="67" t="n"/>
      <c r="R450" s="66" t="n"/>
      <c r="S450" s="67" t="n"/>
      <c r="V450" s="66" t="n"/>
      <c r="W450" s="67" t="n"/>
      <c r="Z450" s="66" t="n"/>
      <c r="AA450" s="67" t="n"/>
      <c r="AD450" s="66" t="n"/>
      <c r="AE450" s="67" t="n"/>
      <c r="AH450" s="66" t="n"/>
      <c r="AI450" s="67" t="n"/>
    </row>
    <row r="451">
      <c r="B451" s="2">
        <f>IF(STUDENTS!B450="","",STUDENTS!B450)</f>
        <v/>
      </c>
      <c r="C451" s="44">
        <f>IFERROR(IF(B451="","",_xlfn.XLOOKUP(B451,STUDENTS!$B$3:$B$1048576,STUDENTS!$C$3:$C$1048576)),"Enter a registered reg. no")</f>
        <v/>
      </c>
      <c r="D451" s="54" t="n"/>
      <c r="E451" s="55" t="n"/>
      <c r="F451" s="48" t="n"/>
      <c r="G451" s="58" t="n"/>
      <c r="H451" s="62" t="n"/>
      <c r="I451" s="63" t="n"/>
      <c r="J451" s="48" t="n"/>
      <c r="K451" s="58" t="n"/>
      <c r="L451" s="42" t="n"/>
      <c r="M451" s="42" t="n"/>
      <c r="N451" s="48" t="n"/>
      <c r="O451" s="58" t="n"/>
      <c r="P451" s="42" t="n"/>
      <c r="Q451" s="42" t="n"/>
      <c r="R451" s="48" t="n"/>
      <c r="S451" s="58" t="n"/>
      <c r="T451" s="42" t="n"/>
      <c r="U451" s="42" t="n"/>
      <c r="V451" s="48" t="n"/>
      <c r="W451" s="58" t="n"/>
      <c r="X451" s="42" t="n"/>
      <c r="Y451" s="42" t="n"/>
      <c r="Z451" s="48" t="n"/>
      <c r="AA451" s="58" t="n"/>
      <c r="AB451" s="42" t="n"/>
      <c r="AC451" s="42" t="n"/>
      <c r="AD451" s="48" t="n"/>
      <c r="AE451" s="58" t="n"/>
      <c r="AF451" s="42" t="n"/>
      <c r="AG451" s="42" t="n"/>
      <c r="AH451" s="48" t="n"/>
      <c r="AI451" s="58" t="n"/>
    </row>
    <row r="452">
      <c r="B452" s="2">
        <f>IF(STUDENTS!B451="","",STUDENTS!B451)</f>
        <v/>
      </c>
      <c r="C452" s="44">
        <f>IFERROR(IF(B452="","",_xlfn.XLOOKUP(B452,STUDENTS!$B$3:$B$1048576,STUDENTS!$C$3:$C$1048576)),"Enter a registered reg. no")</f>
        <v/>
      </c>
      <c r="F452" s="66" t="n"/>
      <c r="G452" s="67" t="n"/>
      <c r="J452" s="66" t="n"/>
      <c r="K452" s="67" t="n"/>
      <c r="N452" s="66" t="n"/>
      <c r="O452" s="67" t="n"/>
      <c r="R452" s="66" t="n"/>
      <c r="S452" s="67" t="n"/>
      <c r="V452" s="66" t="n"/>
      <c r="W452" s="67" t="n"/>
      <c r="Z452" s="66" t="n"/>
      <c r="AA452" s="67" t="n"/>
      <c r="AD452" s="66" t="n"/>
      <c r="AE452" s="67" t="n"/>
      <c r="AH452" s="66" t="n"/>
      <c r="AI452" s="67" t="n"/>
    </row>
    <row r="453">
      <c r="B453" s="2">
        <f>IF(STUDENTS!B452="","",STUDENTS!B452)</f>
        <v/>
      </c>
      <c r="C453" s="44">
        <f>IFERROR(IF(B453="","",_xlfn.XLOOKUP(B453,STUDENTS!$B$3:$B$1048576,STUDENTS!$C$3:$C$1048576)),"Enter a registered reg. no")</f>
        <v/>
      </c>
      <c r="D453" s="54" t="n"/>
      <c r="E453" s="55" t="n"/>
      <c r="F453" s="48" t="n"/>
      <c r="G453" s="58" t="n"/>
      <c r="H453" s="62" t="n"/>
      <c r="I453" s="63" t="n"/>
      <c r="J453" s="48" t="n"/>
      <c r="K453" s="58" t="n"/>
      <c r="L453" s="42" t="n"/>
      <c r="M453" s="42" t="n"/>
      <c r="N453" s="48" t="n"/>
      <c r="O453" s="58" t="n"/>
      <c r="P453" s="42" t="n"/>
      <c r="Q453" s="42" t="n"/>
      <c r="R453" s="48" t="n"/>
      <c r="S453" s="58" t="n"/>
      <c r="T453" s="42" t="n"/>
      <c r="U453" s="42" t="n"/>
      <c r="V453" s="48" t="n"/>
      <c r="W453" s="58" t="n"/>
      <c r="X453" s="42" t="n"/>
      <c r="Y453" s="42" t="n"/>
      <c r="Z453" s="48" t="n"/>
      <c r="AA453" s="58" t="n"/>
      <c r="AB453" s="42" t="n"/>
      <c r="AC453" s="42" t="n"/>
      <c r="AD453" s="48" t="n"/>
      <c r="AE453" s="58" t="n"/>
      <c r="AF453" s="42" t="n"/>
      <c r="AG453" s="42" t="n"/>
      <c r="AH453" s="48" t="n"/>
      <c r="AI453" s="58" t="n"/>
    </row>
    <row r="454">
      <c r="B454" s="2">
        <f>IF(STUDENTS!B453="","",STUDENTS!B453)</f>
        <v/>
      </c>
      <c r="C454" s="44">
        <f>IFERROR(IF(B454="","",_xlfn.XLOOKUP(B454,STUDENTS!$B$3:$B$1048576,STUDENTS!$C$3:$C$1048576)),"Enter a registered reg. no")</f>
        <v/>
      </c>
      <c r="F454" s="66" t="n"/>
      <c r="G454" s="67" t="n"/>
      <c r="J454" s="66" t="n"/>
      <c r="K454" s="67" t="n"/>
      <c r="N454" s="66" t="n"/>
      <c r="O454" s="67" t="n"/>
      <c r="R454" s="66" t="n"/>
      <c r="S454" s="67" t="n"/>
      <c r="V454" s="66" t="n"/>
      <c r="W454" s="67" t="n"/>
      <c r="Z454" s="66" t="n"/>
      <c r="AA454" s="67" t="n"/>
      <c r="AD454" s="66" t="n"/>
      <c r="AE454" s="67" t="n"/>
      <c r="AH454" s="66" t="n"/>
      <c r="AI454" s="67" t="n"/>
    </row>
    <row r="455">
      <c r="B455" s="2">
        <f>IF(STUDENTS!B454="","",STUDENTS!B454)</f>
        <v/>
      </c>
      <c r="C455" s="44">
        <f>IFERROR(IF(B455="","",_xlfn.XLOOKUP(B455,STUDENTS!$B$3:$B$1048576,STUDENTS!$C$3:$C$1048576)),"Enter a registered reg. no")</f>
        <v/>
      </c>
      <c r="D455" s="54" t="n"/>
      <c r="E455" s="55" t="n"/>
      <c r="F455" s="48" t="n"/>
      <c r="G455" s="58" t="n"/>
      <c r="H455" s="62" t="n"/>
      <c r="I455" s="63" t="n"/>
      <c r="J455" s="48" t="n"/>
      <c r="K455" s="58" t="n"/>
      <c r="L455" s="42" t="n"/>
      <c r="M455" s="42" t="n"/>
      <c r="N455" s="48" t="n"/>
      <c r="O455" s="58" t="n"/>
      <c r="P455" s="42" t="n"/>
      <c r="Q455" s="42" t="n"/>
      <c r="R455" s="48" t="n"/>
      <c r="S455" s="58" t="n"/>
      <c r="T455" s="42" t="n"/>
      <c r="U455" s="42" t="n"/>
      <c r="V455" s="48" t="n"/>
      <c r="W455" s="58" t="n"/>
      <c r="X455" s="42" t="n"/>
      <c r="Y455" s="42" t="n"/>
      <c r="Z455" s="48" t="n"/>
      <c r="AA455" s="58" t="n"/>
      <c r="AB455" s="42" t="n"/>
      <c r="AC455" s="42" t="n"/>
      <c r="AD455" s="48" t="n"/>
      <c r="AE455" s="58" t="n"/>
      <c r="AF455" s="42" t="n"/>
      <c r="AG455" s="42" t="n"/>
      <c r="AH455" s="48" t="n"/>
      <c r="AI455" s="58" t="n"/>
    </row>
    <row r="456">
      <c r="B456" s="2">
        <f>IF(STUDENTS!B455="","",STUDENTS!B455)</f>
        <v/>
      </c>
      <c r="C456" s="44">
        <f>IFERROR(IF(B456="","",_xlfn.XLOOKUP(B456,STUDENTS!$B$3:$B$1048576,STUDENTS!$C$3:$C$1048576)),"Enter a registered reg. no")</f>
        <v/>
      </c>
      <c r="F456" s="66" t="n"/>
      <c r="G456" s="67" t="n"/>
      <c r="J456" s="66" t="n"/>
      <c r="K456" s="67" t="n"/>
      <c r="N456" s="66" t="n"/>
      <c r="O456" s="67" t="n"/>
      <c r="R456" s="66" t="n"/>
      <c r="S456" s="67" t="n"/>
      <c r="V456" s="66" t="n"/>
      <c r="W456" s="67" t="n"/>
      <c r="Z456" s="66" t="n"/>
      <c r="AA456" s="67" t="n"/>
      <c r="AD456" s="66" t="n"/>
      <c r="AE456" s="67" t="n"/>
      <c r="AH456" s="66" t="n"/>
      <c r="AI456" s="67" t="n"/>
    </row>
    <row r="457">
      <c r="B457" s="2">
        <f>IF(STUDENTS!B456="","",STUDENTS!B456)</f>
        <v/>
      </c>
      <c r="C457" s="44">
        <f>IFERROR(IF(B457="","",_xlfn.XLOOKUP(B457,STUDENTS!$B$3:$B$1048576,STUDENTS!$C$3:$C$1048576)),"Enter a registered reg. no")</f>
        <v/>
      </c>
      <c r="D457" s="54" t="n"/>
      <c r="E457" s="55" t="n"/>
      <c r="F457" s="48" t="n"/>
      <c r="G457" s="58" t="n"/>
      <c r="H457" s="62" t="n"/>
      <c r="I457" s="63" t="n"/>
      <c r="J457" s="48" t="n"/>
      <c r="K457" s="58" t="n"/>
      <c r="L457" s="42" t="n"/>
      <c r="M457" s="42" t="n"/>
      <c r="N457" s="48" t="n"/>
      <c r="O457" s="58" t="n"/>
      <c r="P457" s="42" t="n"/>
      <c r="Q457" s="42" t="n"/>
      <c r="R457" s="48" t="n"/>
      <c r="S457" s="58" t="n"/>
      <c r="T457" s="42" t="n"/>
      <c r="U457" s="42" t="n"/>
      <c r="V457" s="48" t="n"/>
      <c r="W457" s="58" t="n"/>
      <c r="X457" s="42" t="n"/>
      <c r="Y457" s="42" t="n"/>
      <c r="Z457" s="48" t="n"/>
      <c r="AA457" s="58" t="n"/>
      <c r="AB457" s="42" t="n"/>
      <c r="AC457" s="42" t="n"/>
      <c r="AD457" s="48" t="n"/>
      <c r="AE457" s="58" t="n"/>
      <c r="AF457" s="42" t="n"/>
      <c r="AG457" s="42" t="n"/>
      <c r="AH457" s="48" t="n"/>
      <c r="AI457" s="58" t="n"/>
    </row>
    <row r="458">
      <c r="B458" s="2">
        <f>IF(STUDENTS!B457="","",STUDENTS!B457)</f>
        <v/>
      </c>
      <c r="C458" s="44">
        <f>IFERROR(IF(B458="","",_xlfn.XLOOKUP(B458,STUDENTS!$B$3:$B$1048576,STUDENTS!$C$3:$C$1048576)),"Enter a registered reg. no")</f>
        <v/>
      </c>
      <c r="F458" s="66" t="n"/>
      <c r="G458" s="67" t="n"/>
      <c r="J458" s="66" t="n"/>
      <c r="K458" s="67" t="n"/>
      <c r="N458" s="66" t="n"/>
      <c r="O458" s="67" t="n"/>
      <c r="R458" s="66" t="n"/>
      <c r="S458" s="67" t="n"/>
      <c r="V458" s="66" t="n"/>
      <c r="W458" s="67" t="n"/>
      <c r="Z458" s="66" t="n"/>
      <c r="AA458" s="67" t="n"/>
      <c r="AD458" s="66" t="n"/>
      <c r="AE458" s="67" t="n"/>
      <c r="AH458" s="66" t="n"/>
      <c r="AI458" s="67" t="n"/>
    </row>
    <row r="459">
      <c r="B459" s="2">
        <f>IF(STUDENTS!B458="","",STUDENTS!B458)</f>
        <v/>
      </c>
      <c r="C459" s="44">
        <f>IFERROR(IF(B459="","",_xlfn.XLOOKUP(B459,STUDENTS!$B$3:$B$1048576,STUDENTS!$C$3:$C$1048576)),"Enter a registered reg. no")</f>
        <v/>
      </c>
      <c r="D459" s="54" t="n"/>
      <c r="E459" s="55" t="n"/>
      <c r="F459" s="48" t="n"/>
      <c r="G459" s="58" t="n"/>
      <c r="H459" s="62" t="n"/>
      <c r="I459" s="63" t="n"/>
      <c r="J459" s="48" t="n"/>
      <c r="K459" s="58" t="n"/>
      <c r="L459" s="42" t="n"/>
      <c r="M459" s="42" t="n"/>
      <c r="N459" s="48" t="n"/>
      <c r="O459" s="58" t="n"/>
      <c r="P459" s="42" t="n"/>
      <c r="Q459" s="42" t="n"/>
      <c r="R459" s="48" t="n"/>
      <c r="S459" s="58" t="n"/>
      <c r="T459" s="42" t="n"/>
      <c r="U459" s="42" t="n"/>
      <c r="V459" s="48" t="n"/>
      <c r="W459" s="58" t="n"/>
      <c r="X459" s="42" t="n"/>
      <c r="Y459" s="42" t="n"/>
      <c r="Z459" s="48" t="n"/>
      <c r="AA459" s="58" t="n"/>
      <c r="AB459" s="42" t="n"/>
      <c r="AC459" s="42" t="n"/>
      <c r="AD459" s="48" t="n"/>
      <c r="AE459" s="58" t="n"/>
      <c r="AF459" s="42" t="n"/>
      <c r="AG459" s="42" t="n"/>
      <c r="AH459" s="48" t="n"/>
      <c r="AI459" s="58" t="n"/>
    </row>
    <row r="460">
      <c r="B460" s="2">
        <f>IF(STUDENTS!B459="","",STUDENTS!B459)</f>
        <v/>
      </c>
      <c r="C460" s="44">
        <f>IFERROR(IF(B460="","",_xlfn.XLOOKUP(B460,STUDENTS!$B$3:$B$1048576,STUDENTS!$C$3:$C$1048576)),"Enter a registered reg. no")</f>
        <v/>
      </c>
      <c r="F460" s="66" t="n"/>
      <c r="G460" s="67" t="n"/>
      <c r="J460" s="66" t="n"/>
      <c r="K460" s="67" t="n"/>
      <c r="N460" s="66" t="n"/>
      <c r="O460" s="67" t="n"/>
      <c r="R460" s="66" t="n"/>
      <c r="S460" s="67" t="n"/>
      <c r="V460" s="66" t="n"/>
      <c r="W460" s="67" t="n"/>
      <c r="Z460" s="66" t="n"/>
      <c r="AA460" s="67" t="n"/>
      <c r="AD460" s="66" t="n"/>
      <c r="AE460" s="67" t="n"/>
      <c r="AH460" s="66" t="n"/>
      <c r="AI460" s="67" t="n"/>
    </row>
    <row r="461">
      <c r="B461" s="2">
        <f>IF(STUDENTS!B460="","",STUDENTS!B460)</f>
        <v/>
      </c>
      <c r="C461" s="44">
        <f>IFERROR(IF(B461="","",_xlfn.XLOOKUP(B461,STUDENTS!$B$3:$B$1048576,STUDENTS!$C$3:$C$1048576)),"Enter a registered reg. no")</f>
        <v/>
      </c>
      <c r="D461" s="54" t="n"/>
      <c r="E461" s="55" t="n"/>
      <c r="F461" s="48" t="n"/>
      <c r="G461" s="58" t="n"/>
      <c r="H461" s="62" t="n"/>
      <c r="I461" s="63" t="n"/>
      <c r="J461" s="48" t="n"/>
      <c r="K461" s="58" t="n"/>
      <c r="L461" s="42" t="n"/>
      <c r="M461" s="42" t="n"/>
      <c r="N461" s="48" t="n"/>
      <c r="O461" s="58" t="n"/>
      <c r="P461" s="42" t="n"/>
      <c r="Q461" s="42" t="n"/>
      <c r="R461" s="48" t="n"/>
      <c r="S461" s="58" t="n"/>
      <c r="T461" s="42" t="n"/>
      <c r="U461" s="42" t="n"/>
      <c r="V461" s="48" t="n"/>
      <c r="W461" s="58" t="n"/>
      <c r="X461" s="42" t="n"/>
      <c r="Y461" s="42" t="n"/>
      <c r="Z461" s="48" t="n"/>
      <c r="AA461" s="58" t="n"/>
      <c r="AB461" s="42" t="n"/>
      <c r="AC461" s="42" t="n"/>
      <c r="AD461" s="48" t="n"/>
      <c r="AE461" s="58" t="n"/>
      <c r="AF461" s="42" t="n"/>
      <c r="AG461" s="42" t="n"/>
      <c r="AH461" s="48" t="n"/>
      <c r="AI461" s="58" t="n"/>
    </row>
    <row r="462">
      <c r="B462" s="2">
        <f>IF(STUDENTS!B461="","",STUDENTS!B461)</f>
        <v/>
      </c>
      <c r="C462" s="44">
        <f>IFERROR(IF(B462="","",_xlfn.XLOOKUP(B462,STUDENTS!$B$3:$B$1048576,STUDENTS!$C$3:$C$1048576)),"Enter a registered reg. no")</f>
        <v/>
      </c>
      <c r="F462" s="66" t="n"/>
      <c r="G462" s="67" t="n"/>
      <c r="J462" s="66" t="n"/>
      <c r="K462" s="67" t="n"/>
      <c r="N462" s="66" t="n"/>
      <c r="O462" s="67" t="n"/>
      <c r="R462" s="66" t="n"/>
      <c r="S462" s="67" t="n"/>
      <c r="V462" s="66" t="n"/>
      <c r="W462" s="67" t="n"/>
      <c r="Z462" s="66" t="n"/>
      <c r="AA462" s="67" t="n"/>
      <c r="AD462" s="66" t="n"/>
      <c r="AE462" s="67" t="n"/>
      <c r="AH462" s="66" t="n"/>
      <c r="AI462" s="67" t="n"/>
    </row>
    <row r="463">
      <c r="B463" s="2">
        <f>IF(STUDENTS!B462="","",STUDENTS!B462)</f>
        <v/>
      </c>
      <c r="C463" s="44">
        <f>IFERROR(IF(B463="","",_xlfn.XLOOKUP(B463,STUDENTS!$B$3:$B$1048576,STUDENTS!$C$3:$C$1048576)),"Enter a registered reg. no")</f>
        <v/>
      </c>
      <c r="D463" s="54" t="n"/>
      <c r="E463" s="55" t="n"/>
      <c r="F463" s="48" t="n"/>
      <c r="G463" s="58" t="n"/>
      <c r="H463" s="62" t="n"/>
      <c r="I463" s="63" t="n"/>
      <c r="J463" s="48" t="n"/>
      <c r="K463" s="58" t="n"/>
      <c r="L463" s="42" t="n"/>
      <c r="M463" s="42" t="n"/>
      <c r="N463" s="48" t="n"/>
      <c r="O463" s="58" t="n"/>
      <c r="P463" s="42" t="n"/>
      <c r="Q463" s="42" t="n"/>
      <c r="R463" s="48" t="n"/>
      <c r="S463" s="58" t="n"/>
      <c r="T463" s="42" t="n"/>
      <c r="U463" s="42" t="n"/>
      <c r="V463" s="48" t="n"/>
      <c r="W463" s="58" t="n"/>
      <c r="X463" s="42" t="n"/>
      <c r="Y463" s="42" t="n"/>
      <c r="Z463" s="48" t="n"/>
      <c r="AA463" s="58" t="n"/>
      <c r="AB463" s="42" t="n"/>
      <c r="AC463" s="42" t="n"/>
      <c r="AD463" s="48" t="n"/>
      <c r="AE463" s="58" t="n"/>
      <c r="AF463" s="42" t="n"/>
      <c r="AG463" s="42" t="n"/>
      <c r="AH463" s="48" t="n"/>
      <c r="AI463" s="58" t="n"/>
    </row>
    <row r="464">
      <c r="B464" s="2">
        <f>IF(STUDENTS!B463="","",STUDENTS!B463)</f>
        <v/>
      </c>
      <c r="C464" s="44">
        <f>IFERROR(IF(B464="","",_xlfn.XLOOKUP(B464,STUDENTS!$B$3:$B$1048576,STUDENTS!$C$3:$C$1048576)),"Enter a registered reg. no")</f>
        <v/>
      </c>
      <c r="F464" s="66" t="n"/>
      <c r="G464" s="67" t="n"/>
      <c r="J464" s="66" t="n"/>
      <c r="K464" s="67" t="n"/>
      <c r="N464" s="66" t="n"/>
      <c r="O464" s="67" t="n"/>
      <c r="R464" s="66" t="n"/>
      <c r="S464" s="67" t="n"/>
      <c r="V464" s="66" t="n"/>
      <c r="W464" s="67" t="n"/>
      <c r="Z464" s="66" t="n"/>
      <c r="AA464" s="67" t="n"/>
      <c r="AD464" s="66" t="n"/>
      <c r="AE464" s="67" t="n"/>
      <c r="AH464" s="66" t="n"/>
      <c r="AI464" s="67" t="n"/>
    </row>
    <row r="465">
      <c r="B465" s="2">
        <f>IF(STUDENTS!B464="","",STUDENTS!B464)</f>
        <v/>
      </c>
      <c r="C465" s="44">
        <f>IFERROR(IF(B465="","",_xlfn.XLOOKUP(B465,STUDENTS!$B$3:$B$1048576,STUDENTS!$C$3:$C$1048576)),"Enter a registered reg. no")</f>
        <v/>
      </c>
      <c r="D465" s="54" t="n"/>
      <c r="E465" s="55" t="n"/>
      <c r="F465" s="48" t="n"/>
      <c r="G465" s="58" t="n"/>
      <c r="H465" s="62" t="n"/>
      <c r="I465" s="63" t="n"/>
      <c r="J465" s="48" t="n"/>
      <c r="K465" s="58" t="n"/>
      <c r="L465" s="42" t="n"/>
      <c r="M465" s="42" t="n"/>
      <c r="N465" s="48" t="n"/>
      <c r="O465" s="58" t="n"/>
      <c r="P465" s="42" t="n"/>
      <c r="Q465" s="42" t="n"/>
      <c r="R465" s="48" t="n"/>
      <c r="S465" s="58" t="n"/>
      <c r="T465" s="42" t="n"/>
      <c r="U465" s="42" t="n"/>
      <c r="V465" s="48" t="n"/>
      <c r="W465" s="58" t="n"/>
      <c r="X465" s="42" t="n"/>
      <c r="Y465" s="42" t="n"/>
      <c r="Z465" s="48" t="n"/>
      <c r="AA465" s="58" t="n"/>
      <c r="AB465" s="42" t="n"/>
      <c r="AC465" s="42" t="n"/>
      <c r="AD465" s="48" t="n"/>
      <c r="AE465" s="58" t="n"/>
      <c r="AF465" s="42" t="n"/>
      <c r="AG465" s="42" t="n"/>
      <c r="AH465" s="48" t="n"/>
      <c r="AI465" s="58" t="n"/>
    </row>
    <row r="466">
      <c r="B466" s="2">
        <f>IF(STUDENTS!B465="","",STUDENTS!B465)</f>
        <v/>
      </c>
      <c r="C466" s="44">
        <f>IFERROR(IF(B466="","",_xlfn.XLOOKUP(B466,STUDENTS!$B$3:$B$1048576,STUDENTS!$C$3:$C$1048576)),"Enter a registered reg. no")</f>
        <v/>
      </c>
      <c r="F466" s="66" t="n"/>
      <c r="G466" s="67" t="n"/>
      <c r="J466" s="66" t="n"/>
      <c r="K466" s="67" t="n"/>
      <c r="N466" s="66" t="n"/>
      <c r="O466" s="67" t="n"/>
      <c r="R466" s="66" t="n"/>
      <c r="S466" s="67" t="n"/>
      <c r="V466" s="66" t="n"/>
      <c r="W466" s="67" t="n"/>
      <c r="Z466" s="66" t="n"/>
      <c r="AA466" s="67" t="n"/>
      <c r="AD466" s="66" t="n"/>
      <c r="AE466" s="67" t="n"/>
      <c r="AH466" s="66" t="n"/>
      <c r="AI466" s="67" t="n"/>
    </row>
    <row r="467">
      <c r="B467" s="2">
        <f>IF(STUDENTS!B466="","",STUDENTS!B466)</f>
        <v/>
      </c>
      <c r="C467" s="44">
        <f>IFERROR(IF(B467="","",_xlfn.XLOOKUP(B467,STUDENTS!$B$3:$B$1048576,STUDENTS!$C$3:$C$1048576)),"Enter a registered reg. no")</f>
        <v/>
      </c>
      <c r="D467" s="54" t="n"/>
      <c r="E467" s="55" t="n"/>
      <c r="F467" s="48" t="n"/>
      <c r="G467" s="58" t="n"/>
      <c r="H467" s="62" t="n"/>
      <c r="I467" s="63" t="n"/>
      <c r="J467" s="48" t="n"/>
      <c r="K467" s="58" t="n"/>
      <c r="L467" s="42" t="n"/>
      <c r="M467" s="42" t="n"/>
      <c r="N467" s="48" t="n"/>
      <c r="O467" s="58" t="n"/>
      <c r="P467" s="42" t="n"/>
      <c r="Q467" s="42" t="n"/>
      <c r="R467" s="48" t="n"/>
      <c r="S467" s="58" t="n"/>
      <c r="T467" s="42" t="n"/>
      <c r="U467" s="42" t="n"/>
      <c r="V467" s="48" t="n"/>
      <c r="W467" s="58" t="n"/>
      <c r="X467" s="42" t="n"/>
      <c r="Y467" s="42" t="n"/>
      <c r="Z467" s="48" t="n"/>
      <c r="AA467" s="58" t="n"/>
      <c r="AB467" s="42" t="n"/>
      <c r="AC467" s="42" t="n"/>
      <c r="AD467" s="48" t="n"/>
      <c r="AE467" s="58" t="n"/>
      <c r="AF467" s="42" t="n"/>
      <c r="AG467" s="42" t="n"/>
      <c r="AH467" s="48" t="n"/>
      <c r="AI467" s="58" t="n"/>
    </row>
    <row r="468">
      <c r="B468" s="2">
        <f>IF(STUDENTS!B467="","",STUDENTS!B467)</f>
        <v/>
      </c>
      <c r="C468" s="44">
        <f>IFERROR(IF(B468="","",_xlfn.XLOOKUP(B468,STUDENTS!$B$3:$B$1048576,STUDENTS!$C$3:$C$1048576)),"Enter a registered reg. no")</f>
        <v/>
      </c>
      <c r="F468" s="66" t="n"/>
      <c r="G468" s="67" t="n"/>
      <c r="J468" s="66" t="n"/>
      <c r="K468" s="67" t="n"/>
      <c r="N468" s="66" t="n"/>
      <c r="O468" s="67" t="n"/>
      <c r="R468" s="66" t="n"/>
      <c r="S468" s="67" t="n"/>
      <c r="V468" s="66" t="n"/>
      <c r="W468" s="67" t="n"/>
      <c r="Z468" s="66" t="n"/>
      <c r="AA468" s="67" t="n"/>
      <c r="AD468" s="66" t="n"/>
      <c r="AE468" s="67" t="n"/>
      <c r="AH468" s="66" t="n"/>
      <c r="AI468" s="67" t="n"/>
    </row>
    <row r="469">
      <c r="B469" s="2">
        <f>IF(STUDENTS!B468="","",STUDENTS!B468)</f>
        <v/>
      </c>
      <c r="C469" s="44">
        <f>IFERROR(IF(B469="","",_xlfn.XLOOKUP(B469,STUDENTS!$B$3:$B$1048576,STUDENTS!$C$3:$C$1048576)),"Enter a registered reg. no")</f>
        <v/>
      </c>
      <c r="D469" s="54" t="n"/>
      <c r="E469" s="55" t="n"/>
      <c r="F469" s="48" t="n"/>
      <c r="G469" s="58" t="n"/>
      <c r="H469" s="62" t="n"/>
      <c r="I469" s="63" t="n"/>
      <c r="J469" s="48" t="n"/>
      <c r="K469" s="58" t="n"/>
      <c r="L469" s="42" t="n"/>
      <c r="M469" s="42" t="n"/>
      <c r="N469" s="48" t="n"/>
      <c r="O469" s="58" t="n"/>
      <c r="P469" s="42" t="n"/>
      <c r="Q469" s="42" t="n"/>
      <c r="R469" s="48" t="n"/>
      <c r="S469" s="58" t="n"/>
      <c r="T469" s="42" t="n"/>
      <c r="U469" s="42" t="n"/>
      <c r="V469" s="48" t="n"/>
      <c r="W469" s="58" t="n"/>
      <c r="X469" s="42" t="n"/>
      <c r="Y469" s="42" t="n"/>
      <c r="Z469" s="48" t="n"/>
      <c r="AA469" s="58" t="n"/>
      <c r="AB469" s="42" t="n"/>
      <c r="AC469" s="42" t="n"/>
      <c r="AD469" s="48" t="n"/>
      <c r="AE469" s="58" t="n"/>
      <c r="AF469" s="42" t="n"/>
      <c r="AG469" s="42" t="n"/>
      <c r="AH469" s="48" t="n"/>
      <c r="AI469" s="58" t="n"/>
    </row>
    <row r="470">
      <c r="B470" s="2">
        <f>IF(STUDENTS!B469="","",STUDENTS!B469)</f>
        <v/>
      </c>
      <c r="C470" s="44">
        <f>IFERROR(IF(B470="","",_xlfn.XLOOKUP(B470,STUDENTS!$B$3:$B$1048576,STUDENTS!$C$3:$C$1048576)),"Enter a registered reg. no")</f>
        <v/>
      </c>
      <c r="F470" s="66" t="n"/>
      <c r="G470" s="67" t="n"/>
      <c r="J470" s="66" t="n"/>
      <c r="K470" s="67" t="n"/>
      <c r="N470" s="66" t="n"/>
      <c r="O470" s="67" t="n"/>
      <c r="R470" s="66" t="n"/>
      <c r="S470" s="67" t="n"/>
      <c r="V470" s="66" t="n"/>
      <c r="W470" s="67" t="n"/>
      <c r="Z470" s="66" t="n"/>
      <c r="AA470" s="67" t="n"/>
      <c r="AD470" s="66" t="n"/>
      <c r="AE470" s="67" t="n"/>
      <c r="AH470" s="66" t="n"/>
      <c r="AI470" s="67" t="n"/>
    </row>
    <row r="471">
      <c r="B471" s="2">
        <f>IF(STUDENTS!B470="","",STUDENTS!B470)</f>
        <v/>
      </c>
      <c r="C471" s="44">
        <f>IFERROR(IF(B471="","",_xlfn.XLOOKUP(B471,STUDENTS!$B$3:$B$1048576,STUDENTS!$C$3:$C$1048576)),"Enter a registered reg. no")</f>
        <v/>
      </c>
      <c r="D471" s="54" t="n"/>
      <c r="E471" s="55" t="n"/>
      <c r="F471" s="48" t="n"/>
      <c r="G471" s="58" t="n"/>
      <c r="H471" s="62" t="n"/>
      <c r="I471" s="63" t="n"/>
      <c r="J471" s="48" t="n"/>
      <c r="K471" s="58" t="n"/>
      <c r="L471" s="42" t="n"/>
      <c r="M471" s="42" t="n"/>
      <c r="N471" s="48" t="n"/>
      <c r="O471" s="58" t="n"/>
      <c r="P471" s="42" t="n"/>
      <c r="Q471" s="42" t="n"/>
      <c r="R471" s="48" t="n"/>
      <c r="S471" s="58" t="n"/>
      <c r="T471" s="42" t="n"/>
      <c r="U471" s="42" t="n"/>
      <c r="V471" s="48" t="n"/>
      <c r="W471" s="58" t="n"/>
      <c r="X471" s="42" t="n"/>
      <c r="Y471" s="42" t="n"/>
      <c r="Z471" s="48" t="n"/>
      <c r="AA471" s="58" t="n"/>
      <c r="AB471" s="42" t="n"/>
      <c r="AC471" s="42" t="n"/>
      <c r="AD471" s="48" t="n"/>
      <c r="AE471" s="58" t="n"/>
      <c r="AF471" s="42" t="n"/>
      <c r="AG471" s="42" t="n"/>
      <c r="AH471" s="48" t="n"/>
      <c r="AI471" s="58" t="n"/>
    </row>
    <row r="472">
      <c r="B472" s="2">
        <f>IF(STUDENTS!B471="","",STUDENTS!B471)</f>
        <v/>
      </c>
      <c r="C472" s="44">
        <f>IFERROR(IF(B472="","",_xlfn.XLOOKUP(B472,STUDENTS!$B$3:$B$1048576,STUDENTS!$C$3:$C$1048576)),"Enter a registered reg. no")</f>
        <v/>
      </c>
      <c r="F472" s="66" t="n"/>
      <c r="G472" s="67" t="n"/>
      <c r="J472" s="66" t="n"/>
      <c r="K472" s="67" t="n"/>
      <c r="N472" s="66" t="n"/>
      <c r="O472" s="67" t="n"/>
      <c r="R472" s="66" t="n"/>
      <c r="S472" s="67" t="n"/>
      <c r="V472" s="66" t="n"/>
      <c r="W472" s="67" t="n"/>
      <c r="Z472" s="66" t="n"/>
      <c r="AA472" s="67" t="n"/>
      <c r="AD472" s="66" t="n"/>
      <c r="AE472" s="67" t="n"/>
      <c r="AH472" s="66" t="n"/>
      <c r="AI472" s="67" t="n"/>
    </row>
    <row r="473">
      <c r="B473" s="2">
        <f>IF(STUDENTS!B472="","",STUDENTS!B472)</f>
        <v/>
      </c>
      <c r="C473" s="44">
        <f>IFERROR(IF(B473="","",_xlfn.XLOOKUP(B473,STUDENTS!$B$3:$B$1048576,STUDENTS!$C$3:$C$1048576)),"Enter a registered reg. no")</f>
        <v/>
      </c>
      <c r="D473" s="54" t="n"/>
      <c r="E473" s="55" t="n"/>
      <c r="F473" s="48" t="n"/>
      <c r="G473" s="58" t="n"/>
      <c r="H473" s="62" t="n"/>
      <c r="I473" s="63" t="n"/>
      <c r="J473" s="48" t="n"/>
      <c r="K473" s="58" t="n"/>
      <c r="L473" s="42" t="n"/>
      <c r="M473" s="42" t="n"/>
      <c r="N473" s="48" t="n"/>
      <c r="O473" s="58" t="n"/>
      <c r="P473" s="42" t="n"/>
      <c r="Q473" s="42" t="n"/>
      <c r="R473" s="48" t="n"/>
      <c r="S473" s="58" t="n"/>
      <c r="T473" s="42" t="n"/>
      <c r="U473" s="42" t="n"/>
      <c r="V473" s="48" t="n"/>
      <c r="W473" s="58" t="n"/>
      <c r="X473" s="42" t="n"/>
      <c r="Y473" s="42" t="n"/>
      <c r="Z473" s="48" t="n"/>
      <c r="AA473" s="58" t="n"/>
      <c r="AB473" s="42" t="n"/>
      <c r="AC473" s="42" t="n"/>
      <c r="AD473" s="48" t="n"/>
      <c r="AE473" s="58" t="n"/>
      <c r="AF473" s="42" t="n"/>
      <c r="AG473" s="42" t="n"/>
      <c r="AH473" s="48" t="n"/>
      <c r="AI473" s="58" t="n"/>
    </row>
    <row r="474">
      <c r="B474" s="2">
        <f>IF(STUDENTS!B473="","",STUDENTS!B473)</f>
        <v/>
      </c>
      <c r="C474" s="44">
        <f>IFERROR(IF(B474="","",_xlfn.XLOOKUP(B474,STUDENTS!$B$3:$B$1048576,STUDENTS!$C$3:$C$1048576)),"Enter a registered reg. no")</f>
        <v/>
      </c>
      <c r="F474" s="66" t="n"/>
      <c r="G474" s="67" t="n"/>
      <c r="J474" s="66" t="n"/>
      <c r="K474" s="67" t="n"/>
      <c r="N474" s="66" t="n"/>
      <c r="O474" s="67" t="n"/>
      <c r="R474" s="66" t="n"/>
      <c r="S474" s="67" t="n"/>
      <c r="V474" s="66" t="n"/>
      <c r="W474" s="67" t="n"/>
      <c r="Z474" s="66" t="n"/>
      <c r="AA474" s="67" t="n"/>
      <c r="AD474" s="66" t="n"/>
      <c r="AE474" s="67" t="n"/>
      <c r="AH474" s="66" t="n"/>
      <c r="AI474" s="67" t="n"/>
    </row>
    <row r="475">
      <c r="B475" s="2">
        <f>IF(STUDENTS!B474="","",STUDENTS!B474)</f>
        <v/>
      </c>
      <c r="C475" s="44">
        <f>IFERROR(IF(B475="","",_xlfn.XLOOKUP(B475,STUDENTS!$B$3:$B$1048576,STUDENTS!$C$3:$C$1048576)),"Enter a registered reg. no")</f>
        <v/>
      </c>
      <c r="D475" s="54" t="n"/>
      <c r="E475" s="55" t="n"/>
      <c r="F475" s="48" t="n"/>
      <c r="G475" s="58" t="n"/>
      <c r="H475" s="62" t="n"/>
      <c r="I475" s="63" t="n"/>
      <c r="J475" s="48" t="n"/>
      <c r="K475" s="58" t="n"/>
      <c r="L475" s="42" t="n"/>
      <c r="M475" s="42" t="n"/>
      <c r="N475" s="48" t="n"/>
      <c r="O475" s="58" t="n"/>
      <c r="P475" s="42" t="n"/>
      <c r="Q475" s="42" t="n"/>
      <c r="R475" s="48" t="n"/>
      <c r="S475" s="58" t="n"/>
      <c r="T475" s="42" t="n"/>
      <c r="U475" s="42" t="n"/>
      <c r="V475" s="48" t="n"/>
      <c r="W475" s="58" t="n"/>
      <c r="X475" s="42" t="n"/>
      <c r="Y475" s="42" t="n"/>
      <c r="Z475" s="48" t="n"/>
      <c r="AA475" s="58" t="n"/>
      <c r="AB475" s="42" t="n"/>
      <c r="AC475" s="42" t="n"/>
      <c r="AD475" s="48" t="n"/>
      <c r="AE475" s="58" t="n"/>
      <c r="AF475" s="42" t="n"/>
      <c r="AG475" s="42" t="n"/>
      <c r="AH475" s="48" t="n"/>
      <c r="AI475" s="58" t="n"/>
    </row>
    <row r="476">
      <c r="B476" s="2">
        <f>IF(STUDENTS!B475="","",STUDENTS!B475)</f>
        <v/>
      </c>
      <c r="C476" s="44">
        <f>IFERROR(IF(B476="","",_xlfn.XLOOKUP(B476,STUDENTS!$B$3:$B$1048576,STUDENTS!$C$3:$C$1048576)),"Enter a registered reg. no")</f>
        <v/>
      </c>
      <c r="F476" s="66" t="n"/>
      <c r="G476" s="67" t="n"/>
      <c r="J476" s="66" t="n"/>
      <c r="K476" s="67" t="n"/>
      <c r="N476" s="66" t="n"/>
      <c r="O476" s="67" t="n"/>
      <c r="R476" s="66" t="n"/>
      <c r="S476" s="67" t="n"/>
      <c r="V476" s="66" t="n"/>
      <c r="W476" s="67" t="n"/>
      <c r="Z476" s="66" t="n"/>
      <c r="AA476" s="67" t="n"/>
      <c r="AD476" s="66" t="n"/>
      <c r="AE476" s="67" t="n"/>
      <c r="AH476" s="66" t="n"/>
      <c r="AI476" s="67" t="n"/>
    </row>
    <row r="477">
      <c r="B477" s="2">
        <f>IF(STUDENTS!B476="","",STUDENTS!B476)</f>
        <v/>
      </c>
      <c r="C477" s="44">
        <f>IFERROR(IF(B477="","",_xlfn.XLOOKUP(B477,STUDENTS!$B$3:$B$1048576,STUDENTS!$C$3:$C$1048576)),"Enter a registered reg. no")</f>
        <v/>
      </c>
      <c r="D477" s="54" t="n"/>
      <c r="E477" s="55" t="n"/>
      <c r="F477" s="48" t="n"/>
      <c r="G477" s="58" t="n"/>
      <c r="H477" s="62" t="n"/>
      <c r="I477" s="63" t="n"/>
      <c r="J477" s="48" t="n"/>
      <c r="K477" s="58" t="n"/>
      <c r="L477" s="42" t="n"/>
      <c r="M477" s="42" t="n"/>
      <c r="N477" s="48" t="n"/>
      <c r="O477" s="58" t="n"/>
      <c r="P477" s="42" t="n"/>
      <c r="Q477" s="42" t="n"/>
      <c r="R477" s="48" t="n"/>
      <c r="S477" s="58" t="n"/>
      <c r="T477" s="42" t="n"/>
      <c r="U477" s="42" t="n"/>
      <c r="V477" s="48" t="n"/>
      <c r="W477" s="58" t="n"/>
      <c r="X477" s="42" t="n"/>
      <c r="Y477" s="42" t="n"/>
      <c r="Z477" s="48" t="n"/>
      <c r="AA477" s="58" t="n"/>
      <c r="AB477" s="42" t="n"/>
      <c r="AC477" s="42" t="n"/>
      <c r="AD477" s="48" t="n"/>
      <c r="AE477" s="58" t="n"/>
      <c r="AF477" s="42" t="n"/>
      <c r="AG477" s="42" t="n"/>
      <c r="AH477" s="48" t="n"/>
      <c r="AI477" s="58" t="n"/>
    </row>
    <row r="478">
      <c r="B478" s="2">
        <f>IF(STUDENTS!B477="","",STUDENTS!B477)</f>
        <v/>
      </c>
      <c r="C478" s="44">
        <f>IFERROR(IF(B478="","",_xlfn.XLOOKUP(B478,STUDENTS!$B$3:$B$1048576,STUDENTS!$C$3:$C$1048576)),"Enter a registered reg. no")</f>
        <v/>
      </c>
      <c r="F478" s="66" t="n"/>
      <c r="G478" s="67" t="n"/>
      <c r="J478" s="66" t="n"/>
      <c r="K478" s="67" t="n"/>
      <c r="N478" s="66" t="n"/>
      <c r="O478" s="67" t="n"/>
      <c r="R478" s="66" t="n"/>
      <c r="S478" s="67" t="n"/>
      <c r="V478" s="66" t="n"/>
      <c r="W478" s="67" t="n"/>
      <c r="Z478" s="66" t="n"/>
      <c r="AA478" s="67" t="n"/>
      <c r="AD478" s="66" t="n"/>
      <c r="AE478" s="67" t="n"/>
      <c r="AH478" s="66" t="n"/>
      <c r="AI478" s="67" t="n"/>
    </row>
    <row r="479">
      <c r="B479" s="2">
        <f>IF(STUDENTS!B478="","",STUDENTS!B478)</f>
        <v/>
      </c>
      <c r="C479" s="44">
        <f>IFERROR(IF(B479="","",_xlfn.XLOOKUP(B479,STUDENTS!$B$3:$B$1048576,STUDENTS!$C$3:$C$1048576)),"Enter a registered reg. no")</f>
        <v/>
      </c>
      <c r="D479" s="54" t="n"/>
      <c r="E479" s="55" t="n"/>
      <c r="F479" s="48" t="n"/>
      <c r="G479" s="58" t="n"/>
      <c r="H479" s="62" t="n"/>
      <c r="I479" s="63" t="n"/>
      <c r="J479" s="48" t="n"/>
      <c r="K479" s="58" t="n"/>
      <c r="L479" s="42" t="n"/>
      <c r="M479" s="42" t="n"/>
      <c r="N479" s="48" t="n"/>
      <c r="O479" s="58" t="n"/>
      <c r="P479" s="42" t="n"/>
      <c r="Q479" s="42" t="n"/>
      <c r="R479" s="48" t="n"/>
      <c r="S479" s="58" t="n"/>
      <c r="T479" s="42" t="n"/>
      <c r="U479" s="42" t="n"/>
      <c r="V479" s="48" t="n"/>
      <c r="W479" s="58" t="n"/>
      <c r="X479" s="42" t="n"/>
      <c r="Y479" s="42" t="n"/>
      <c r="Z479" s="48" t="n"/>
      <c r="AA479" s="58" t="n"/>
      <c r="AB479" s="42" t="n"/>
      <c r="AC479" s="42" t="n"/>
      <c r="AD479" s="48" t="n"/>
      <c r="AE479" s="58" t="n"/>
      <c r="AF479" s="42" t="n"/>
      <c r="AG479" s="42" t="n"/>
      <c r="AH479" s="48" t="n"/>
      <c r="AI479" s="58" t="n"/>
    </row>
    <row r="480">
      <c r="B480" s="2">
        <f>IF(STUDENTS!B479="","",STUDENTS!B479)</f>
        <v/>
      </c>
      <c r="C480" s="44">
        <f>IFERROR(IF(B480="","",_xlfn.XLOOKUP(B480,STUDENTS!$B$3:$B$1048576,STUDENTS!$C$3:$C$1048576)),"Enter a registered reg. no")</f>
        <v/>
      </c>
      <c r="F480" s="66" t="n"/>
      <c r="G480" s="67" t="n"/>
      <c r="J480" s="66" t="n"/>
      <c r="K480" s="67" t="n"/>
      <c r="N480" s="66" t="n"/>
      <c r="O480" s="67" t="n"/>
      <c r="R480" s="66" t="n"/>
      <c r="S480" s="67" t="n"/>
      <c r="V480" s="66" t="n"/>
      <c r="W480" s="67" t="n"/>
      <c r="Z480" s="66" t="n"/>
      <c r="AA480" s="67" t="n"/>
      <c r="AD480" s="66" t="n"/>
      <c r="AE480" s="67" t="n"/>
      <c r="AH480" s="66" t="n"/>
      <c r="AI480" s="67" t="n"/>
    </row>
    <row r="481">
      <c r="B481" s="2">
        <f>IF(STUDENTS!B480="","",STUDENTS!B480)</f>
        <v/>
      </c>
      <c r="C481" s="44">
        <f>IFERROR(IF(B481="","",_xlfn.XLOOKUP(B481,STUDENTS!$B$3:$B$1048576,STUDENTS!$C$3:$C$1048576)),"Enter a registered reg. no")</f>
        <v/>
      </c>
      <c r="D481" s="54" t="n"/>
      <c r="E481" s="55" t="n"/>
      <c r="F481" s="48" t="n"/>
      <c r="G481" s="58" t="n"/>
      <c r="H481" s="62" t="n"/>
      <c r="I481" s="63" t="n"/>
      <c r="J481" s="48" t="n"/>
      <c r="K481" s="58" t="n"/>
      <c r="L481" s="42" t="n"/>
      <c r="M481" s="42" t="n"/>
      <c r="N481" s="48" t="n"/>
      <c r="O481" s="58" t="n"/>
      <c r="P481" s="42" t="n"/>
      <c r="Q481" s="42" t="n"/>
      <c r="R481" s="48" t="n"/>
      <c r="S481" s="58" t="n"/>
      <c r="T481" s="42" t="n"/>
      <c r="U481" s="42" t="n"/>
      <c r="V481" s="48" t="n"/>
      <c r="W481" s="58" t="n"/>
      <c r="X481" s="42" t="n"/>
      <c r="Y481" s="42" t="n"/>
      <c r="Z481" s="48" t="n"/>
      <c r="AA481" s="58" t="n"/>
      <c r="AB481" s="42" t="n"/>
      <c r="AC481" s="42" t="n"/>
      <c r="AD481" s="48" t="n"/>
      <c r="AE481" s="58" t="n"/>
      <c r="AF481" s="42" t="n"/>
      <c r="AG481" s="42" t="n"/>
      <c r="AH481" s="48" t="n"/>
      <c r="AI481" s="58" t="n"/>
    </row>
    <row r="482">
      <c r="B482" s="2">
        <f>IF(STUDENTS!B481="","",STUDENTS!B481)</f>
        <v/>
      </c>
      <c r="C482" s="44">
        <f>IFERROR(IF(B482="","",_xlfn.XLOOKUP(B482,STUDENTS!$B$3:$B$1048576,STUDENTS!$C$3:$C$1048576)),"Enter a registered reg. no")</f>
        <v/>
      </c>
      <c r="F482" s="66" t="n"/>
      <c r="G482" s="67" t="n"/>
      <c r="J482" s="66" t="n"/>
      <c r="K482" s="67" t="n"/>
      <c r="N482" s="66" t="n"/>
      <c r="O482" s="67" t="n"/>
      <c r="R482" s="66" t="n"/>
      <c r="S482" s="67" t="n"/>
      <c r="V482" s="66" t="n"/>
      <c r="W482" s="67" t="n"/>
      <c r="Z482" s="66" t="n"/>
      <c r="AA482" s="67" t="n"/>
      <c r="AD482" s="66" t="n"/>
      <c r="AE482" s="67" t="n"/>
      <c r="AH482" s="66" t="n"/>
      <c r="AI482" s="67" t="n"/>
    </row>
    <row r="483">
      <c r="B483" s="2">
        <f>IF(STUDENTS!B482="","",STUDENTS!B482)</f>
        <v/>
      </c>
      <c r="C483" s="44">
        <f>IFERROR(IF(B483="","",_xlfn.XLOOKUP(B483,STUDENTS!$B$3:$B$1048576,STUDENTS!$C$3:$C$1048576)),"Enter a registered reg. no")</f>
        <v/>
      </c>
      <c r="D483" s="54" t="n"/>
      <c r="E483" s="55" t="n"/>
      <c r="F483" s="48" t="n"/>
      <c r="G483" s="58" t="n"/>
      <c r="H483" s="62" t="n"/>
      <c r="I483" s="63" t="n"/>
      <c r="J483" s="48" t="n"/>
      <c r="K483" s="58" t="n"/>
      <c r="L483" s="42" t="n"/>
      <c r="M483" s="42" t="n"/>
      <c r="N483" s="48" t="n"/>
      <c r="O483" s="58" t="n"/>
      <c r="P483" s="42" t="n"/>
      <c r="Q483" s="42" t="n"/>
      <c r="R483" s="48" t="n"/>
      <c r="S483" s="58" t="n"/>
      <c r="T483" s="42" t="n"/>
      <c r="U483" s="42" t="n"/>
      <c r="V483" s="48" t="n"/>
      <c r="W483" s="58" t="n"/>
      <c r="X483" s="42" t="n"/>
      <c r="Y483" s="42" t="n"/>
      <c r="Z483" s="48" t="n"/>
      <c r="AA483" s="58" t="n"/>
      <c r="AB483" s="42" t="n"/>
      <c r="AC483" s="42" t="n"/>
      <c r="AD483" s="48" t="n"/>
      <c r="AE483" s="58" t="n"/>
      <c r="AF483" s="42" t="n"/>
      <c r="AG483" s="42" t="n"/>
      <c r="AH483" s="48" t="n"/>
      <c r="AI483" s="58" t="n"/>
    </row>
    <row r="484">
      <c r="B484" s="2">
        <f>IF(STUDENTS!B483="","",STUDENTS!B483)</f>
        <v/>
      </c>
      <c r="C484" s="44">
        <f>IFERROR(IF(B484="","",_xlfn.XLOOKUP(B484,STUDENTS!$B$3:$B$1048576,STUDENTS!$C$3:$C$1048576)),"Enter a registered reg. no")</f>
        <v/>
      </c>
      <c r="F484" s="66" t="n"/>
      <c r="G484" s="67" t="n"/>
      <c r="J484" s="66" t="n"/>
      <c r="K484" s="67" t="n"/>
      <c r="N484" s="66" t="n"/>
      <c r="O484" s="67" t="n"/>
      <c r="R484" s="66" t="n"/>
      <c r="S484" s="67" t="n"/>
      <c r="V484" s="66" t="n"/>
      <c r="W484" s="67" t="n"/>
      <c r="Z484" s="66" t="n"/>
      <c r="AA484" s="67" t="n"/>
      <c r="AD484" s="66" t="n"/>
      <c r="AE484" s="67" t="n"/>
      <c r="AH484" s="66" t="n"/>
      <c r="AI484" s="67" t="n"/>
    </row>
    <row r="485">
      <c r="B485" s="2">
        <f>IF(STUDENTS!B484="","",STUDENTS!B484)</f>
        <v/>
      </c>
      <c r="C485" s="44">
        <f>IFERROR(IF(B485="","",_xlfn.XLOOKUP(B485,STUDENTS!$B$3:$B$1048576,STUDENTS!$C$3:$C$1048576)),"Enter a registered reg. no")</f>
        <v/>
      </c>
      <c r="D485" s="54" t="n"/>
      <c r="E485" s="55" t="n"/>
      <c r="F485" s="48" t="n"/>
      <c r="G485" s="58" t="n"/>
      <c r="H485" s="62" t="n"/>
      <c r="I485" s="63" t="n"/>
      <c r="J485" s="48" t="n"/>
      <c r="K485" s="58" t="n"/>
      <c r="L485" s="42" t="n"/>
      <c r="M485" s="42" t="n"/>
      <c r="N485" s="48" t="n"/>
      <c r="O485" s="58" t="n"/>
      <c r="P485" s="42" t="n"/>
      <c r="Q485" s="42" t="n"/>
      <c r="R485" s="48" t="n"/>
      <c r="S485" s="58" t="n"/>
      <c r="T485" s="42" t="n"/>
      <c r="U485" s="42" t="n"/>
      <c r="V485" s="48" t="n"/>
      <c r="W485" s="58" t="n"/>
      <c r="X485" s="42" t="n"/>
      <c r="Y485" s="42" t="n"/>
      <c r="Z485" s="48" t="n"/>
      <c r="AA485" s="58" t="n"/>
      <c r="AB485" s="42" t="n"/>
      <c r="AC485" s="42" t="n"/>
      <c r="AD485" s="48" t="n"/>
      <c r="AE485" s="58" t="n"/>
      <c r="AF485" s="42" t="n"/>
      <c r="AG485" s="42" t="n"/>
      <c r="AH485" s="48" t="n"/>
      <c r="AI485" s="58" t="n"/>
    </row>
    <row r="486">
      <c r="B486" s="2">
        <f>IF(STUDENTS!B485="","",STUDENTS!B485)</f>
        <v/>
      </c>
      <c r="C486" s="44">
        <f>IFERROR(IF(B486="","",_xlfn.XLOOKUP(B486,STUDENTS!$B$3:$B$1048576,STUDENTS!$C$3:$C$1048576)),"Enter a registered reg. no")</f>
        <v/>
      </c>
      <c r="F486" s="66" t="n"/>
      <c r="G486" s="67" t="n"/>
      <c r="J486" s="66" t="n"/>
      <c r="K486" s="67" t="n"/>
      <c r="N486" s="66" t="n"/>
      <c r="O486" s="67" t="n"/>
      <c r="R486" s="66" t="n"/>
      <c r="S486" s="67" t="n"/>
      <c r="V486" s="66" t="n"/>
      <c r="W486" s="67" t="n"/>
      <c r="Z486" s="66" t="n"/>
      <c r="AA486" s="67" t="n"/>
      <c r="AD486" s="66" t="n"/>
      <c r="AE486" s="67" t="n"/>
      <c r="AH486" s="66" t="n"/>
      <c r="AI486" s="67" t="n"/>
    </row>
    <row r="487">
      <c r="B487" s="2">
        <f>IF(STUDENTS!B486="","",STUDENTS!B486)</f>
        <v/>
      </c>
      <c r="C487" s="44">
        <f>IFERROR(IF(B487="","",_xlfn.XLOOKUP(B487,STUDENTS!$B$3:$B$1048576,STUDENTS!$C$3:$C$1048576)),"Enter a registered reg. no")</f>
        <v/>
      </c>
      <c r="D487" s="54" t="n"/>
      <c r="E487" s="55" t="n"/>
      <c r="F487" s="48" t="n"/>
      <c r="G487" s="58" t="n"/>
      <c r="H487" s="62" t="n"/>
      <c r="I487" s="63" t="n"/>
      <c r="J487" s="48" t="n"/>
      <c r="K487" s="58" t="n"/>
      <c r="L487" s="42" t="n"/>
      <c r="M487" s="42" t="n"/>
      <c r="N487" s="48" t="n"/>
      <c r="O487" s="58" t="n"/>
      <c r="P487" s="42" t="n"/>
      <c r="Q487" s="42" t="n"/>
      <c r="R487" s="48" t="n"/>
      <c r="S487" s="58" t="n"/>
      <c r="T487" s="42" t="n"/>
      <c r="U487" s="42" t="n"/>
      <c r="V487" s="48" t="n"/>
      <c r="W487" s="58" t="n"/>
      <c r="X487" s="42" t="n"/>
      <c r="Y487" s="42" t="n"/>
      <c r="Z487" s="48" t="n"/>
      <c r="AA487" s="58" t="n"/>
      <c r="AB487" s="42" t="n"/>
      <c r="AC487" s="42" t="n"/>
      <c r="AD487" s="48" t="n"/>
      <c r="AE487" s="58" t="n"/>
      <c r="AF487" s="42" t="n"/>
      <c r="AG487" s="42" t="n"/>
      <c r="AH487" s="48" t="n"/>
      <c r="AI487" s="58" t="n"/>
    </row>
    <row r="488">
      <c r="B488" s="2">
        <f>IF(STUDENTS!B487="","",STUDENTS!B487)</f>
        <v/>
      </c>
      <c r="C488" s="44">
        <f>IFERROR(IF(B488="","",_xlfn.XLOOKUP(B488,STUDENTS!$B$3:$B$1048576,STUDENTS!$C$3:$C$1048576)),"Enter a registered reg. no")</f>
        <v/>
      </c>
      <c r="F488" s="66" t="n"/>
      <c r="G488" s="67" t="n"/>
      <c r="J488" s="66" t="n"/>
      <c r="K488" s="67" t="n"/>
      <c r="N488" s="66" t="n"/>
      <c r="O488" s="67" t="n"/>
      <c r="R488" s="66" t="n"/>
      <c r="S488" s="67" t="n"/>
      <c r="V488" s="66" t="n"/>
      <c r="W488" s="67" t="n"/>
      <c r="Z488" s="66" t="n"/>
      <c r="AA488" s="67" t="n"/>
      <c r="AD488" s="66" t="n"/>
      <c r="AE488" s="67" t="n"/>
      <c r="AH488" s="66" t="n"/>
      <c r="AI488" s="67" t="n"/>
    </row>
    <row r="489">
      <c r="B489" s="2">
        <f>IF(STUDENTS!B488="","",STUDENTS!B488)</f>
        <v/>
      </c>
      <c r="C489" s="44">
        <f>IFERROR(IF(B489="","",_xlfn.XLOOKUP(B489,STUDENTS!$B$3:$B$1048576,STUDENTS!$C$3:$C$1048576)),"Enter a registered reg. no")</f>
        <v/>
      </c>
      <c r="D489" s="54" t="n"/>
      <c r="E489" s="55" t="n"/>
      <c r="F489" s="48" t="n"/>
      <c r="G489" s="58" t="n"/>
      <c r="H489" s="62" t="n"/>
      <c r="I489" s="63" t="n"/>
      <c r="J489" s="48" t="n"/>
      <c r="K489" s="58" t="n"/>
      <c r="L489" s="42" t="n"/>
      <c r="M489" s="42" t="n"/>
      <c r="N489" s="48" t="n"/>
      <c r="O489" s="58" t="n"/>
      <c r="P489" s="42" t="n"/>
      <c r="Q489" s="42" t="n"/>
      <c r="R489" s="48" t="n"/>
      <c r="S489" s="58" t="n"/>
      <c r="T489" s="42" t="n"/>
      <c r="U489" s="42" t="n"/>
      <c r="V489" s="48" t="n"/>
      <c r="W489" s="58" t="n"/>
      <c r="X489" s="42" t="n"/>
      <c r="Y489" s="42" t="n"/>
      <c r="Z489" s="48" t="n"/>
      <c r="AA489" s="58" t="n"/>
      <c r="AB489" s="42" t="n"/>
      <c r="AC489" s="42" t="n"/>
      <c r="AD489" s="48" t="n"/>
      <c r="AE489" s="58" t="n"/>
      <c r="AF489" s="42" t="n"/>
      <c r="AG489" s="42" t="n"/>
      <c r="AH489" s="48" t="n"/>
      <c r="AI489" s="58" t="n"/>
    </row>
    <row r="490">
      <c r="B490" s="2">
        <f>IF(STUDENTS!B489="","",STUDENTS!B489)</f>
        <v/>
      </c>
      <c r="C490" s="44">
        <f>IFERROR(IF(B490="","",_xlfn.XLOOKUP(B490,STUDENTS!$B$3:$B$1048576,STUDENTS!$C$3:$C$1048576)),"Enter a registered reg. no")</f>
        <v/>
      </c>
      <c r="F490" s="66" t="n"/>
      <c r="G490" s="67" t="n"/>
      <c r="J490" s="66" t="n"/>
      <c r="K490" s="67" t="n"/>
      <c r="N490" s="66" t="n"/>
      <c r="O490" s="67" t="n"/>
      <c r="R490" s="66" t="n"/>
      <c r="S490" s="67" t="n"/>
      <c r="V490" s="66" t="n"/>
      <c r="W490" s="67" t="n"/>
      <c r="Z490" s="66" t="n"/>
      <c r="AA490" s="67" t="n"/>
      <c r="AD490" s="66" t="n"/>
      <c r="AE490" s="67" t="n"/>
      <c r="AH490" s="66" t="n"/>
      <c r="AI490" s="67" t="n"/>
    </row>
    <row r="491">
      <c r="B491" s="2">
        <f>IF(STUDENTS!B490="","",STUDENTS!B490)</f>
        <v/>
      </c>
      <c r="C491" s="44">
        <f>IFERROR(IF(B491="","",_xlfn.XLOOKUP(B491,STUDENTS!$B$3:$B$1048576,STUDENTS!$C$3:$C$1048576)),"Enter a registered reg. no")</f>
        <v/>
      </c>
      <c r="D491" s="54" t="n"/>
      <c r="E491" s="55" t="n"/>
      <c r="F491" s="48" t="n"/>
      <c r="G491" s="58" t="n"/>
      <c r="H491" s="62" t="n"/>
      <c r="I491" s="63" t="n"/>
      <c r="J491" s="48" t="n"/>
      <c r="K491" s="58" t="n"/>
      <c r="L491" s="42" t="n"/>
      <c r="M491" s="42" t="n"/>
      <c r="N491" s="48" t="n"/>
      <c r="O491" s="58" t="n"/>
      <c r="P491" s="42" t="n"/>
      <c r="Q491" s="42" t="n"/>
      <c r="R491" s="48" t="n"/>
      <c r="S491" s="58" t="n"/>
      <c r="T491" s="42" t="n"/>
      <c r="U491" s="42" t="n"/>
      <c r="V491" s="48" t="n"/>
      <c r="W491" s="58" t="n"/>
      <c r="X491" s="42" t="n"/>
      <c r="Y491" s="42" t="n"/>
      <c r="Z491" s="48" t="n"/>
      <c r="AA491" s="58" t="n"/>
      <c r="AB491" s="42" t="n"/>
      <c r="AC491" s="42" t="n"/>
      <c r="AD491" s="48" t="n"/>
      <c r="AE491" s="58" t="n"/>
      <c r="AF491" s="42" t="n"/>
      <c r="AG491" s="42" t="n"/>
      <c r="AH491" s="48" t="n"/>
      <c r="AI491" s="58" t="n"/>
    </row>
    <row r="492">
      <c r="B492" s="2">
        <f>IF(STUDENTS!B491="","",STUDENTS!B491)</f>
        <v/>
      </c>
      <c r="C492" s="44">
        <f>IFERROR(IF(B492="","",_xlfn.XLOOKUP(B492,STUDENTS!$B$3:$B$1048576,STUDENTS!$C$3:$C$1048576)),"Enter a registered reg. no")</f>
        <v/>
      </c>
      <c r="F492" s="66" t="n"/>
      <c r="G492" s="67" t="n"/>
      <c r="J492" s="66" t="n"/>
      <c r="K492" s="67" t="n"/>
      <c r="N492" s="66" t="n"/>
      <c r="O492" s="67" t="n"/>
      <c r="R492" s="66" t="n"/>
      <c r="S492" s="67" t="n"/>
      <c r="V492" s="66" t="n"/>
      <c r="W492" s="67" t="n"/>
      <c r="Z492" s="66" t="n"/>
      <c r="AA492" s="67" t="n"/>
      <c r="AD492" s="66" t="n"/>
      <c r="AE492" s="67" t="n"/>
      <c r="AH492" s="66" t="n"/>
      <c r="AI492" s="67" t="n"/>
    </row>
    <row r="493">
      <c r="B493" s="2">
        <f>IF(STUDENTS!B492="","",STUDENTS!B492)</f>
        <v/>
      </c>
      <c r="C493" s="44">
        <f>IFERROR(IF(B493="","",_xlfn.XLOOKUP(B493,STUDENTS!$B$3:$B$1048576,STUDENTS!$C$3:$C$1048576)),"Enter a registered reg. no")</f>
        <v/>
      </c>
      <c r="D493" s="54" t="n"/>
      <c r="E493" s="55" t="n"/>
      <c r="F493" s="48" t="n"/>
      <c r="G493" s="58" t="n"/>
      <c r="H493" s="62" t="n"/>
      <c r="I493" s="63" t="n"/>
      <c r="J493" s="48" t="n"/>
      <c r="K493" s="58" t="n"/>
      <c r="L493" s="42" t="n"/>
      <c r="M493" s="42" t="n"/>
      <c r="N493" s="48" t="n"/>
      <c r="O493" s="58" t="n"/>
      <c r="P493" s="42" t="n"/>
      <c r="Q493" s="42" t="n"/>
      <c r="R493" s="48" t="n"/>
      <c r="S493" s="58" t="n"/>
      <c r="T493" s="42" t="n"/>
      <c r="U493" s="42" t="n"/>
      <c r="V493" s="48" t="n"/>
      <c r="W493" s="58" t="n"/>
      <c r="X493" s="42" t="n"/>
      <c r="Y493" s="42" t="n"/>
      <c r="Z493" s="48" t="n"/>
      <c r="AA493" s="58" t="n"/>
      <c r="AB493" s="42" t="n"/>
      <c r="AC493" s="42" t="n"/>
      <c r="AD493" s="48" t="n"/>
      <c r="AE493" s="58" t="n"/>
      <c r="AF493" s="42" t="n"/>
      <c r="AG493" s="42" t="n"/>
      <c r="AH493" s="48" t="n"/>
      <c r="AI493" s="58" t="n"/>
    </row>
    <row r="494">
      <c r="B494" s="2">
        <f>IF(STUDENTS!B493="","",STUDENTS!B493)</f>
        <v/>
      </c>
      <c r="C494" s="44">
        <f>IFERROR(IF(B494="","",_xlfn.XLOOKUP(B494,STUDENTS!$B$3:$B$1048576,STUDENTS!$C$3:$C$1048576)),"Enter a registered reg. no")</f>
        <v/>
      </c>
      <c r="F494" s="66" t="n"/>
      <c r="G494" s="67" t="n"/>
      <c r="J494" s="66" t="n"/>
      <c r="K494" s="67" t="n"/>
      <c r="N494" s="66" t="n"/>
      <c r="O494" s="67" t="n"/>
      <c r="R494" s="66" t="n"/>
      <c r="S494" s="67" t="n"/>
      <c r="V494" s="66" t="n"/>
      <c r="W494" s="67" t="n"/>
      <c r="Z494" s="66" t="n"/>
      <c r="AA494" s="67" t="n"/>
      <c r="AD494" s="66" t="n"/>
      <c r="AE494" s="67" t="n"/>
      <c r="AH494" s="66" t="n"/>
      <c r="AI494" s="67" t="n"/>
    </row>
    <row r="495">
      <c r="B495" s="2">
        <f>IF(STUDENTS!B494="","",STUDENTS!B494)</f>
        <v/>
      </c>
      <c r="C495" s="44">
        <f>IFERROR(IF(B495="","",_xlfn.XLOOKUP(B495,STUDENTS!$B$3:$B$1048576,STUDENTS!$C$3:$C$1048576)),"Enter a registered reg. no")</f>
        <v/>
      </c>
      <c r="D495" s="54" t="n"/>
      <c r="E495" s="55" t="n"/>
      <c r="F495" s="48" t="n"/>
      <c r="G495" s="58" t="n"/>
      <c r="H495" s="62" t="n"/>
      <c r="I495" s="63" t="n"/>
      <c r="J495" s="48" t="n"/>
      <c r="K495" s="58" t="n"/>
      <c r="L495" s="42" t="n"/>
      <c r="M495" s="42" t="n"/>
      <c r="N495" s="48" t="n"/>
      <c r="O495" s="58" t="n"/>
      <c r="P495" s="42" t="n"/>
      <c r="Q495" s="42" t="n"/>
      <c r="R495" s="48" t="n"/>
      <c r="S495" s="58" t="n"/>
      <c r="T495" s="42" t="n"/>
      <c r="U495" s="42" t="n"/>
      <c r="V495" s="48" t="n"/>
      <c r="W495" s="58" t="n"/>
      <c r="X495" s="42" t="n"/>
      <c r="Y495" s="42" t="n"/>
      <c r="Z495" s="48" t="n"/>
      <c r="AA495" s="58" t="n"/>
      <c r="AB495" s="42" t="n"/>
      <c r="AC495" s="42" t="n"/>
      <c r="AD495" s="48" t="n"/>
      <c r="AE495" s="58" t="n"/>
      <c r="AF495" s="42" t="n"/>
      <c r="AG495" s="42" t="n"/>
      <c r="AH495" s="48" t="n"/>
      <c r="AI495" s="58" t="n"/>
    </row>
    <row r="496">
      <c r="B496" s="2">
        <f>IF(STUDENTS!B495="","",STUDENTS!B495)</f>
        <v/>
      </c>
      <c r="C496" s="44">
        <f>IFERROR(IF(B496="","",_xlfn.XLOOKUP(B496,STUDENTS!$B$3:$B$1048576,STUDENTS!$C$3:$C$1048576)),"Enter a registered reg. no")</f>
        <v/>
      </c>
      <c r="F496" s="66" t="n"/>
      <c r="G496" s="67" t="n"/>
      <c r="J496" s="66" t="n"/>
      <c r="K496" s="67" t="n"/>
      <c r="N496" s="66" t="n"/>
      <c r="O496" s="67" t="n"/>
      <c r="R496" s="66" t="n"/>
      <c r="S496" s="67" t="n"/>
      <c r="V496" s="66" t="n"/>
      <c r="W496" s="67" t="n"/>
      <c r="Z496" s="66" t="n"/>
      <c r="AA496" s="67" t="n"/>
      <c r="AD496" s="66" t="n"/>
      <c r="AE496" s="67" t="n"/>
      <c r="AH496" s="66" t="n"/>
      <c r="AI496" s="67" t="n"/>
    </row>
    <row r="497">
      <c r="B497" s="2">
        <f>IF(STUDENTS!B496="","",STUDENTS!B496)</f>
        <v/>
      </c>
      <c r="C497" s="44">
        <f>IFERROR(IF(B497="","",_xlfn.XLOOKUP(B497,STUDENTS!$B$3:$B$1048576,STUDENTS!$C$3:$C$1048576)),"Enter a registered reg. no")</f>
        <v/>
      </c>
      <c r="D497" s="54" t="n"/>
      <c r="E497" s="55" t="n"/>
      <c r="F497" s="48" t="n"/>
      <c r="G497" s="58" t="n"/>
      <c r="H497" s="62" t="n"/>
      <c r="I497" s="63" t="n"/>
      <c r="J497" s="48" t="n"/>
      <c r="K497" s="58" t="n"/>
      <c r="L497" s="42" t="n"/>
      <c r="M497" s="42" t="n"/>
      <c r="N497" s="48" t="n"/>
      <c r="O497" s="58" t="n"/>
      <c r="P497" s="42" t="n"/>
      <c r="Q497" s="42" t="n"/>
      <c r="R497" s="48" t="n"/>
      <c r="S497" s="58" t="n"/>
      <c r="T497" s="42" t="n"/>
      <c r="U497" s="42" t="n"/>
      <c r="V497" s="48" t="n"/>
      <c r="W497" s="58" t="n"/>
      <c r="X497" s="42" t="n"/>
      <c r="Y497" s="42" t="n"/>
      <c r="Z497" s="48" t="n"/>
      <c r="AA497" s="58" t="n"/>
      <c r="AB497" s="42" t="n"/>
      <c r="AC497" s="42" t="n"/>
      <c r="AD497" s="48" t="n"/>
      <c r="AE497" s="58" t="n"/>
      <c r="AF497" s="42" t="n"/>
      <c r="AG497" s="42" t="n"/>
      <c r="AH497" s="48" t="n"/>
      <c r="AI497" s="58" t="n"/>
    </row>
    <row r="498">
      <c r="B498" s="2">
        <f>IF(STUDENTS!B497="","",STUDENTS!B497)</f>
        <v/>
      </c>
      <c r="C498" s="44">
        <f>IFERROR(IF(B498="","",_xlfn.XLOOKUP(B498,STUDENTS!$B$3:$B$1048576,STUDENTS!$C$3:$C$1048576)),"Enter a registered reg. no")</f>
        <v/>
      </c>
      <c r="F498" s="66" t="n"/>
      <c r="G498" s="67" t="n"/>
      <c r="J498" s="66" t="n"/>
      <c r="K498" s="67" t="n"/>
      <c r="N498" s="66" t="n"/>
      <c r="O498" s="67" t="n"/>
      <c r="R498" s="66" t="n"/>
      <c r="S498" s="67" t="n"/>
      <c r="V498" s="66" t="n"/>
      <c r="W498" s="67" t="n"/>
      <c r="Z498" s="66" t="n"/>
      <c r="AA498" s="67" t="n"/>
      <c r="AD498" s="66" t="n"/>
      <c r="AE498" s="67" t="n"/>
      <c r="AH498" s="66" t="n"/>
      <c r="AI498" s="67" t="n"/>
    </row>
    <row r="499">
      <c r="B499" s="2">
        <f>IF(STUDENTS!B498="","",STUDENTS!B498)</f>
        <v/>
      </c>
      <c r="C499" s="44">
        <f>IFERROR(IF(B499="","",_xlfn.XLOOKUP(B499,STUDENTS!$B$3:$B$1048576,STUDENTS!$C$3:$C$1048576)),"Enter a registered reg. no")</f>
        <v/>
      </c>
      <c r="D499" s="54" t="n"/>
      <c r="E499" s="55" t="n"/>
      <c r="F499" s="48" t="n"/>
      <c r="G499" s="58" t="n"/>
      <c r="H499" s="62" t="n"/>
      <c r="I499" s="63" t="n"/>
      <c r="J499" s="48" t="n"/>
      <c r="K499" s="58" t="n"/>
      <c r="L499" s="42" t="n"/>
      <c r="M499" s="42" t="n"/>
      <c r="N499" s="48" t="n"/>
      <c r="O499" s="58" t="n"/>
      <c r="P499" s="42" t="n"/>
      <c r="Q499" s="42" t="n"/>
      <c r="R499" s="48" t="n"/>
      <c r="S499" s="58" t="n"/>
      <c r="T499" s="42" t="n"/>
      <c r="U499" s="42" t="n"/>
      <c r="V499" s="48" t="n"/>
      <c r="W499" s="58" t="n"/>
      <c r="X499" s="42" t="n"/>
      <c r="Y499" s="42" t="n"/>
      <c r="Z499" s="48" t="n"/>
      <c r="AA499" s="58" t="n"/>
      <c r="AB499" s="42" t="n"/>
      <c r="AC499" s="42" t="n"/>
      <c r="AD499" s="48" t="n"/>
      <c r="AE499" s="58" t="n"/>
      <c r="AF499" s="42" t="n"/>
      <c r="AG499" s="42" t="n"/>
      <c r="AH499" s="48" t="n"/>
      <c r="AI499" s="58" t="n"/>
    </row>
    <row r="500">
      <c r="B500" s="2">
        <f>IF(STUDENTS!B499="","",STUDENTS!B499)</f>
        <v/>
      </c>
      <c r="C500" s="44">
        <f>IFERROR(IF(B500="","",_xlfn.XLOOKUP(B500,STUDENTS!$B$3:$B$1048576,STUDENTS!$C$3:$C$1048576)),"Enter a registered reg. no")</f>
        <v/>
      </c>
      <c r="F500" s="66" t="n"/>
      <c r="G500" s="67" t="n"/>
      <c r="J500" s="66" t="n"/>
      <c r="K500" s="67" t="n"/>
      <c r="N500" s="66" t="n"/>
      <c r="O500" s="67" t="n"/>
      <c r="R500" s="66" t="n"/>
      <c r="S500" s="67" t="n"/>
      <c r="V500" s="66" t="n"/>
      <c r="W500" s="67" t="n"/>
      <c r="Z500" s="66" t="n"/>
      <c r="AA500" s="67" t="n"/>
      <c r="AD500" s="66" t="n"/>
      <c r="AE500" s="67" t="n"/>
      <c r="AH500" s="66" t="n"/>
      <c r="AI500" s="67" t="n"/>
    </row>
    <row r="501">
      <c r="B501" s="2">
        <f>IF(STUDENTS!B500="","",STUDENTS!B500)</f>
        <v/>
      </c>
      <c r="C501" s="44">
        <f>IFERROR(IF(B501="","",_xlfn.XLOOKUP(B501,STUDENTS!$B$3:$B$1048576,STUDENTS!$C$3:$C$1048576)),"Enter a registered reg. no")</f>
        <v/>
      </c>
      <c r="D501" s="54" t="n"/>
      <c r="E501" s="55" t="n"/>
      <c r="F501" s="48" t="n"/>
      <c r="G501" s="58" t="n"/>
      <c r="H501" s="62" t="n"/>
      <c r="I501" s="63" t="n"/>
      <c r="J501" s="48" t="n"/>
      <c r="K501" s="58" t="n"/>
      <c r="L501" s="42" t="n"/>
      <c r="M501" s="42" t="n"/>
      <c r="N501" s="48" t="n"/>
      <c r="O501" s="58" t="n"/>
      <c r="P501" s="42" t="n"/>
      <c r="Q501" s="42" t="n"/>
      <c r="R501" s="48" t="n"/>
      <c r="S501" s="58" t="n"/>
      <c r="T501" s="42" t="n"/>
      <c r="U501" s="42" t="n"/>
      <c r="V501" s="48" t="n"/>
      <c r="W501" s="58" t="n"/>
      <c r="X501" s="42" t="n"/>
      <c r="Y501" s="42" t="n"/>
      <c r="Z501" s="48" t="n"/>
      <c r="AA501" s="58" t="n"/>
      <c r="AB501" s="42" t="n"/>
      <c r="AC501" s="42" t="n"/>
      <c r="AD501" s="48" t="n"/>
      <c r="AE501" s="58" t="n"/>
      <c r="AF501" s="42" t="n"/>
      <c r="AG501" s="42" t="n"/>
      <c r="AH501" s="48" t="n"/>
      <c r="AI501" s="58" t="n"/>
    </row>
    <row r="502">
      <c r="B502" s="2">
        <f>IF(STUDENTS!B501="","",STUDENTS!B501)</f>
        <v/>
      </c>
      <c r="C502" s="44">
        <f>IFERROR(IF(B502="","",_xlfn.XLOOKUP(B502,STUDENTS!$B$3:$B$1048576,STUDENTS!$C$3:$C$1048576)),"Enter a registered reg. no")</f>
        <v/>
      </c>
      <c r="F502" s="66" t="n"/>
      <c r="G502" s="67" t="n"/>
      <c r="J502" s="66" t="n"/>
      <c r="K502" s="67" t="n"/>
      <c r="N502" s="66" t="n"/>
      <c r="O502" s="67" t="n"/>
      <c r="R502" s="66" t="n"/>
      <c r="S502" s="67" t="n"/>
      <c r="V502" s="66" t="n"/>
      <c r="W502" s="67" t="n"/>
      <c r="Z502" s="66" t="n"/>
      <c r="AA502" s="67" t="n"/>
      <c r="AD502" s="66" t="n"/>
      <c r="AE502" s="67" t="n"/>
      <c r="AH502" s="66" t="n"/>
      <c r="AI502" s="67" t="n"/>
    </row>
    <row r="503">
      <c r="B503" s="2">
        <f>IF(STUDENTS!B502="","",STUDENTS!B502)</f>
        <v/>
      </c>
      <c r="C503" s="44">
        <f>IFERROR(IF(B503="","",_xlfn.XLOOKUP(B503,STUDENTS!$B$3:$B$1048576,STUDENTS!$C$3:$C$1048576)),"Enter a registered reg. no")</f>
        <v/>
      </c>
      <c r="D503" s="54" t="n"/>
      <c r="E503" s="55" t="n"/>
      <c r="F503" s="48" t="n"/>
      <c r="G503" s="58" t="n"/>
      <c r="H503" s="62" t="n"/>
      <c r="I503" s="63" t="n"/>
      <c r="J503" s="48" t="n"/>
      <c r="K503" s="58" t="n"/>
      <c r="L503" s="42" t="n"/>
      <c r="M503" s="42" t="n"/>
      <c r="N503" s="48" t="n"/>
      <c r="O503" s="58" t="n"/>
      <c r="P503" s="42" t="n"/>
      <c r="Q503" s="42" t="n"/>
      <c r="R503" s="48" t="n"/>
      <c r="S503" s="58" t="n"/>
      <c r="T503" s="42" t="n"/>
      <c r="U503" s="42" t="n"/>
      <c r="V503" s="48" t="n"/>
      <c r="W503" s="58" t="n"/>
      <c r="X503" s="42" t="n"/>
      <c r="Y503" s="42" t="n"/>
      <c r="Z503" s="48" t="n"/>
      <c r="AA503" s="58" t="n"/>
      <c r="AB503" s="42" t="n"/>
      <c r="AC503" s="42" t="n"/>
      <c r="AD503" s="48" t="n"/>
      <c r="AE503" s="58" t="n"/>
      <c r="AF503" s="42" t="n"/>
      <c r="AG503" s="42" t="n"/>
      <c r="AH503" s="48" t="n"/>
      <c r="AI503" s="58" t="n"/>
    </row>
    <row r="504">
      <c r="B504" s="2">
        <f>IF(STUDENTS!B503="","",STUDENTS!B503)</f>
        <v/>
      </c>
      <c r="C504" s="44">
        <f>IFERROR(IF(B504="","",_xlfn.XLOOKUP(B504,STUDENTS!$B$3:$B$1048576,STUDENTS!$C$3:$C$1048576)),"Enter a registered reg. no")</f>
        <v/>
      </c>
      <c r="F504" s="66" t="n"/>
      <c r="G504" s="67" t="n"/>
      <c r="J504" s="66" t="n"/>
      <c r="K504" s="67" t="n"/>
      <c r="N504" s="66" t="n"/>
      <c r="O504" s="67" t="n"/>
      <c r="R504" s="66" t="n"/>
      <c r="S504" s="67" t="n"/>
      <c r="V504" s="66" t="n"/>
      <c r="W504" s="67" t="n"/>
      <c r="Z504" s="66" t="n"/>
      <c r="AA504" s="67" t="n"/>
      <c r="AD504" s="66" t="n"/>
      <c r="AE504" s="67" t="n"/>
      <c r="AH504" s="66" t="n"/>
      <c r="AI504" s="67" t="n"/>
    </row>
    <row r="505">
      <c r="B505" s="2">
        <f>IF(STUDENTS!B504="","",STUDENTS!B504)</f>
        <v/>
      </c>
      <c r="C505" s="44">
        <f>IFERROR(IF(B505="","",_xlfn.XLOOKUP(B505,STUDENTS!$B$3:$B$1048576,STUDENTS!$C$3:$C$1048576)),"Enter a registered reg. no")</f>
        <v/>
      </c>
      <c r="D505" s="54" t="n"/>
      <c r="E505" s="55" t="n"/>
      <c r="F505" s="48" t="n"/>
      <c r="G505" s="58" t="n"/>
      <c r="H505" s="62" t="n"/>
      <c r="I505" s="63" t="n"/>
      <c r="J505" s="48" t="n"/>
      <c r="K505" s="58" t="n"/>
      <c r="L505" s="42" t="n"/>
      <c r="M505" s="42" t="n"/>
      <c r="N505" s="48" t="n"/>
      <c r="O505" s="58" t="n"/>
      <c r="P505" s="42" t="n"/>
      <c r="Q505" s="42" t="n"/>
      <c r="R505" s="48" t="n"/>
      <c r="S505" s="58" t="n"/>
      <c r="T505" s="42" t="n"/>
      <c r="U505" s="42" t="n"/>
      <c r="V505" s="48" t="n"/>
      <c r="W505" s="58" t="n"/>
      <c r="X505" s="42" t="n"/>
      <c r="Y505" s="42" t="n"/>
      <c r="Z505" s="48" t="n"/>
      <c r="AA505" s="58" t="n"/>
      <c r="AB505" s="42" t="n"/>
      <c r="AC505" s="42" t="n"/>
      <c r="AD505" s="48" t="n"/>
      <c r="AE505" s="58" t="n"/>
      <c r="AF505" s="42" t="n"/>
      <c r="AG505" s="42" t="n"/>
      <c r="AH505" s="48" t="n"/>
      <c r="AI505" s="58" t="n"/>
    </row>
    <row r="506">
      <c r="B506" s="2">
        <f>IF(STUDENTS!B505="","",STUDENTS!B505)</f>
        <v/>
      </c>
      <c r="C506" s="44">
        <f>IFERROR(IF(B506="","",_xlfn.XLOOKUP(B506,STUDENTS!$B$3:$B$1048576,STUDENTS!$C$3:$C$1048576)),"Enter a registered reg. no")</f>
        <v/>
      </c>
      <c r="F506" s="66" t="n"/>
      <c r="G506" s="67" t="n"/>
      <c r="J506" s="66" t="n"/>
      <c r="K506" s="67" t="n"/>
      <c r="N506" s="66" t="n"/>
      <c r="O506" s="67" t="n"/>
      <c r="R506" s="66" t="n"/>
      <c r="S506" s="67" t="n"/>
      <c r="V506" s="66" t="n"/>
      <c r="W506" s="67" t="n"/>
      <c r="Z506" s="66" t="n"/>
      <c r="AA506" s="67" t="n"/>
      <c r="AD506" s="66" t="n"/>
      <c r="AE506" s="67" t="n"/>
      <c r="AH506" s="66" t="n"/>
      <c r="AI506" s="67" t="n"/>
    </row>
    <row r="507">
      <c r="B507" s="2">
        <f>IF(STUDENTS!B506="","",STUDENTS!B506)</f>
        <v/>
      </c>
      <c r="C507" s="44">
        <f>IFERROR(IF(B507="","",_xlfn.XLOOKUP(B507,STUDENTS!$B$3:$B$1048576,STUDENTS!$C$3:$C$1048576)),"Enter a registered reg. no")</f>
        <v/>
      </c>
      <c r="D507" s="54" t="n"/>
      <c r="E507" s="55" t="n"/>
      <c r="F507" s="48" t="n"/>
      <c r="G507" s="58" t="n"/>
      <c r="H507" s="62" t="n"/>
      <c r="I507" s="63" t="n"/>
      <c r="J507" s="48" t="n"/>
      <c r="K507" s="58" t="n"/>
      <c r="L507" s="42" t="n"/>
      <c r="M507" s="42" t="n"/>
      <c r="N507" s="48" t="n"/>
      <c r="O507" s="58" t="n"/>
      <c r="P507" s="42" t="n"/>
      <c r="Q507" s="42" t="n"/>
      <c r="R507" s="48" t="n"/>
      <c r="S507" s="58" t="n"/>
      <c r="T507" s="42" t="n"/>
      <c r="U507" s="42" t="n"/>
      <c r="V507" s="48" t="n"/>
      <c r="W507" s="58" t="n"/>
      <c r="X507" s="42" t="n"/>
      <c r="Y507" s="42" t="n"/>
      <c r="Z507" s="48" t="n"/>
      <c r="AA507" s="58" t="n"/>
      <c r="AB507" s="42" t="n"/>
      <c r="AC507" s="42" t="n"/>
      <c r="AD507" s="48" t="n"/>
      <c r="AE507" s="58" t="n"/>
      <c r="AF507" s="42" t="n"/>
      <c r="AG507" s="42" t="n"/>
      <c r="AH507" s="48" t="n"/>
      <c r="AI507" s="58" t="n"/>
    </row>
    <row r="508">
      <c r="B508" s="2">
        <f>IF(STUDENTS!B507="","",STUDENTS!B507)</f>
        <v/>
      </c>
      <c r="C508" s="44">
        <f>IFERROR(IF(B508="","",_xlfn.XLOOKUP(B508,STUDENTS!$B$3:$B$1048576,STUDENTS!$C$3:$C$1048576)),"Enter a registered reg. no")</f>
        <v/>
      </c>
      <c r="F508" s="66" t="n"/>
      <c r="G508" s="67" t="n"/>
      <c r="J508" s="66" t="n"/>
      <c r="K508" s="67" t="n"/>
      <c r="N508" s="66" t="n"/>
      <c r="O508" s="67" t="n"/>
      <c r="R508" s="66" t="n"/>
      <c r="S508" s="67" t="n"/>
      <c r="V508" s="66" t="n"/>
      <c r="W508" s="67" t="n"/>
      <c r="Z508" s="66" t="n"/>
      <c r="AA508" s="67" t="n"/>
      <c r="AD508" s="66" t="n"/>
      <c r="AE508" s="67" t="n"/>
      <c r="AH508" s="66" t="n"/>
      <c r="AI508" s="67" t="n"/>
    </row>
    <row r="509">
      <c r="B509" s="2">
        <f>IF(STUDENTS!B508="","",STUDENTS!B508)</f>
        <v/>
      </c>
      <c r="C509" s="44">
        <f>IFERROR(IF(B509="","",_xlfn.XLOOKUP(B509,STUDENTS!$B$3:$B$1048576,STUDENTS!$C$3:$C$1048576)),"Enter a registered reg. no")</f>
        <v/>
      </c>
      <c r="D509" s="54" t="n"/>
      <c r="E509" s="55" t="n"/>
      <c r="F509" s="48" t="n"/>
      <c r="G509" s="58" t="n"/>
      <c r="H509" s="62" t="n"/>
      <c r="I509" s="63" t="n"/>
      <c r="J509" s="48" t="n"/>
      <c r="K509" s="58" t="n"/>
      <c r="L509" s="42" t="n"/>
      <c r="M509" s="42" t="n"/>
      <c r="N509" s="48" t="n"/>
      <c r="O509" s="58" t="n"/>
      <c r="P509" s="42" t="n"/>
      <c r="Q509" s="42" t="n"/>
      <c r="R509" s="48" t="n"/>
      <c r="S509" s="58" t="n"/>
      <c r="T509" s="42" t="n"/>
      <c r="U509" s="42" t="n"/>
      <c r="V509" s="48" t="n"/>
      <c r="W509" s="58" t="n"/>
      <c r="X509" s="42" t="n"/>
      <c r="Y509" s="42" t="n"/>
      <c r="Z509" s="48" t="n"/>
      <c r="AA509" s="58" t="n"/>
      <c r="AB509" s="42" t="n"/>
      <c r="AC509" s="42" t="n"/>
      <c r="AD509" s="48" t="n"/>
      <c r="AE509" s="58" t="n"/>
      <c r="AF509" s="42" t="n"/>
      <c r="AG509" s="42" t="n"/>
      <c r="AH509" s="48" t="n"/>
      <c r="AI509" s="58" t="n"/>
    </row>
    <row r="510">
      <c r="B510" s="2">
        <f>IF(STUDENTS!B509="","",STUDENTS!B509)</f>
        <v/>
      </c>
      <c r="C510" s="44">
        <f>IFERROR(IF(B510="","",_xlfn.XLOOKUP(B510,STUDENTS!$B$3:$B$1048576,STUDENTS!$C$3:$C$1048576)),"Enter a registered reg. no")</f>
        <v/>
      </c>
      <c r="F510" s="66" t="n"/>
      <c r="G510" s="67" t="n"/>
      <c r="J510" s="66" t="n"/>
      <c r="K510" s="67" t="n"/>
      <c r="N510" s="66" t="n"/>
      <c r="O510" s="67" t="n"/>
      <c r="R510" s="66" t="n"/>
      <c r="S510" s="67" t="n"/>
      <c r="V510" s="66" t="n"/>
      <c r="W510" s="67" t="n"/>
      <c r="Z510" s="66" t="n"/>
      <c r="AA510" s="67" t="n"/>
      <c r="AD510" s="66" t="n"/>
      <c r="AE510" s="67" t="n"/>
      <c r="AH510" s="66" t="n"/>
      <c r="AI510" s="67" t="n"/>
    </row>
    <row r="511">
      <c r="B511" s="2">
        <f>IF(STUDENTS!B510="","",STUDENTS!B510)</f>
        <v/>
      </c>
      <c r="C511" s="44">
        <f>IFERROR(IF(B511="","",_xlfn.XLOOKUP(B511,STUDENTS!$B$3:$B$1048576,STUDENTS!$C$3:$C$1048576)),"Enter a registered reg. no")</f>
        <v/>
      </c>
      <c r="D511" s="54" t="n"/>
      <c r="E511" s="55" t="n"/>
      <c r="F511" s="48" t="n"/>
      <c r="G511" s="58" t="n"/>
      <c r="H511" s="62" t="n"/>
      <c r="I511" s="63" t="n"/>
      <c r="J511" s="48" t="n"/>
      <c r="K511" s="58" t="n"/>
      <c r="L511" s="42" t="n"/>
      <c r="M511" s="42" t="n"/>
      <c r="N511" s="48" t="n"/>
      <c r="O511" s="58" t="n"/>
      <c r="P511" s="42" t="n"/>
      <c r="Q511" s="42" t="n"/>
      <c r="R511" s="48" t="n"/>
      <c r="S511" s="58" t="n"/>
      <c r="T511" s="42" t="n"/>
      <c r="U511" s="42" t="n"/>
      <c r="V511" s="48" t="n"/>
      <c r="W511" s="58" t="n"/>
      <c r="X511" s="42" t="n"/>
      <c r="Y511" s="42" t="n"/>
      <c r="Z511" s="48" t="n"/>
      <c r="AA511" s="58" t="n"/>
      <c r="AB511" s="42" t="n"/>
      <c r="AC511" s="42" t="n"/>
      <c r="AD511" s="48" t="n"/>
      <c r="AE511" s="58" t="n"/>
      <c r="AF511" s="42" t="n"/>
      <c r="AG511" s="42" t="n"/>
      <c r="AH511" s="48" t="n"/>
      <c r="AI511" s="58" t="n"/>
    </row>
    <row r="512">
      <c r="B512" s="2">
        <f>IF(STUDENTS!B511="","",STUDENTS!B511)</f>
        <v/>
      </c>
      <c r="C512" s="44">
        <f>IFERROR(IF(B512="","",_xlfn.XLOOKUP(B512,STUDENTS!$B$3:$B$1048576,STUDENTS!$C$3:$C$1048576)),"Enter a registered reg. no")</f>
        <v/>
      </c>
      <c r="F512" s="66" t="n"/>
      <c r="G512" s="67" t="n"/>
      <c r="J512" s="66" t="n"/>
      <c r="K512" s="67" t="n"/>
      <c r="N512" s="66" t="n"/>
      <c r="O512" s="67" t="n"/>
      <c r="R512" s="66" t="n"/>
      <c r="S512" s="67" t="n"/>
      <c r="V512" s="66" t="n"/>
      <c r="W512" s="67" t="n"/>
      <c r="Z512" s="66" t="n"/>
      <c r="AA512" s="67" t="n"/>
      <c r="AD512" s="66" t="n"/>
      <c r="AE512" s="67" t="n"/>
      <c r="AH512" s="66" t="n"/>
      <c r="AI512" s="67" t="n"/>
    </row>
    <row r="513">
      <c r="B513" s="2">
        <f>IF(STUDENTS!B512="","",STUDENTS!B512)</f>
        <v/>
      </c>
      <c r="C513" s="44">
        <f>IFERROR(IF(B513="","",_xlfn.XLOOKUP(B513,STUDENTS!$B$3:$B$1048576,STUDENTS!$C$3:$C$1048576)),"Enter a registered reg. no")</f>
        <v/>
      </c>
      <c r="D513" s="54" t="n"/>
      <c r="E513" s="55" t="n"/>
      <c r="F513" s="48" t="n"/>
      <c r="G513" s="58" t="n"/>
      <c r="H513" s="62" t="n"/>
      <c r="I513" s="63" t="n"/>
      <c r="J513" s="48" t="n"/>
      <c r="K513" s="58" t="n"/>
      <c r="L513" s="42" t="n"/>
      <c r="M513" s="42" t="n"/>
      <c r="N513" s="48" t="n"/>
      <c r="O513" s="58" t="n"/>
      <c r="P513" s="42" t="n"/>
      <c r="Q513" s="42" t="n"/>
      <c r="R513" s="48" t="n"/>
      <c r="S513" s="58" t="n"/>
      <c r="T513" s="42" t="n"/>
      <c r="U513" s="42" t="n"/>
      <c r="V513" s="48" t="n"/>
      <c r="W513" s="58" t="n"/>
      <c r="X513" s="42" t="n"/>
      <c r="Y513" s="42" t="n"/>
      <c r="Z513" s="48" t="n"/>
      <c r="AA513" s="58" t="n"/>
      <c r="AB513" s="42" t="n"/>
      <c r="AC513" s="42" t="n"/>
      <c r="AD513" s="48" t="n"/>
      <c r="AE513" s="58" t="n"/>
      <c r="AF513" s="42" t="n"/>
      <c r="AG513" s="42" t="n"/>
      <c r="AH513" s="48" t="n"/>
      <c r="AI513" s="58" t="n"/>
    </row>
    <row r="514">
      <c r="B514" s="2">
        <f>IF(STUDENTS!B513="","",STUDENTS!B513)</f>
        <v/>
      </c>
      <c r="C514" s="44">
        <f>IFERROR(IF(B514="","",_xlfn.XLOOKUP(B514,STUDENTS!$B$3:$B$1048576,STUDENTS!$C$3:$C$1048576)),"Enter a registered reg. no")</f>
        <v/>
      </c>
      <c r="F514" s="66" t="n"/>
      <c r="G514" s="67" t="n"/>
      <c r="J514" s="66" t="n"/>
      <c r="K514" s="67" t="n"/>
      <c r="N514" s="66" t="n"/>
      <c r="O514" s="67" t="n"/>
      <c r="R514" s="66" t="n"/>
      <c r="S514" s="67" t="n"/>
      <c r="V514" s="66" t="n"/>
      <c r="W514" s="67" t="n"/>
      <c r="Z514" s="66" t="n"/>
      <c r="AA514" s="67" t="n"/>
      <c r="AD514" s="66" t="n"/>
      <c r="AE514" s="67" t="n"/>
      <c r="AH514" s="66" t="n"/>
      <c r="AI514" s="67" t="n"/>
    </row>
    <row r="515">
      <c r="B515" s="2">
        <f>IF(STUDENTS!B514="","",STUDENTS!B514)</f>
        <v/>
      </c>
      <c r="C515" s="44">
        <f>IFERROR(IF(B515="","",_xlfn.XLOOKUP(B515,STUDENTS!$B$3:$B$1048576,STUDENTS!$C$3:$C$1048576)),"Enter a registered reg. no")</f>
        <v/>
      </c>
      <c r="D515" s="54" t="n"/>
      <c r="E515" s="55" t="n"/>
      <c r="F515" s="48" t="n"/>
      <c r="G515" s="58" t="n"/>
      <c r="H515" s="62" t="n"/>
      <c r="I515" s="63" t="n"/>
      <c r="J515" s="48" t="n"/>
      <c r="K515" s="58" t="n"/>
      <c r="L515" s="42" t="n"/>
      <c r="M515" s="42" t="n"/>
      <c r="N515" s="48" t="n"/>
      <c r="O515" s="58" t="n"/>
      <c r="P515" s="42" t="n"/>
      <c r="Q515" s="42" t="n"/>
      <c r="R515" s="48" t="n"/>
      <c r="S515" s="58" t="n"/>
      <c r="T515" s="42" t="n"/>
      <c r="U515" s="42" t="n"/>
      <c r="V515" s="48" t="n"/>
      <c r="W515" s="58" t="n"/>
      <c r="X515" s="42" t="n"/>
      <c r="Y515" s="42" t="n"/>
      <c r="Z515" s="48" t="n"/>
      <c r="AA515" s="58" t="n"/>
      <c r="AB515" s="42" t="n"/>
      <c r="AC515" s="42" t="n"/>
      <c r="AD515" s="48" t="n"/>
      <c r="AE515" s="58" t="n"/>
      <c r="AF515" s="42" t="n"/>
      <c r="AG515" s="42" t="n"/>
      <c r="AH515" s="48" t="n"/>
      <c r="AI515" s="58" t="n"/>
    </row>
    <row r="516">
      <c r="B516" s="2">
        <f>IF(STUDENTS!B515="","",STUDENTS!B515)</f>
        <v/>
      </c>
      <c r="C516" s="44">
        <f>IFERROR(IF(B516="","",_xlfn.XLOOKUP(B516,STUDENTS!$B$3:$B$1048576,STUDENTS!$C$3:$C$1048576)),"Enter a registered reg. no")</f>
        <v/>
      </c>
      <c r="F516" s="66" t="n"/>
      <c r="G516" s="67" t="n"/>
      <c r="J516" s="66" t="n"/>
      <c r="K516" s="67" t="n"/>
      <c r="N516" s="66" t="n"/>
      <c r="O516" s="67" t="n"/>
      <c r="R516" s="66" t="n"/>
      <c r="S516" s="67" t="n"/>
      <c r="V516" s="66" t="n"/>
      <c r="W516" s="67" t="n"/>
      <c r="Z516" s="66" t="n"/>
      <c r="AA516" s="67" t="n"/>
      <c r="AD516" s="66" t="n"/>
      <c r="AE516" s="67" t="n"/>
      <c r="AH516" s="66" t="n"/>
      <c r="AI516" s="67" t="n"/>
    </row>
    <row r="517">
      <c r="B517" s="2">
        <f>IF(STUDENTS!B516="","",STUDENTS!B516)</f>
        <v/>
      </c>
      <c r="C517" s="44">
        <f>IFERROR(IF(B517="","",_xlfn.XLOOKUP(B517,STUDENTS!$B$3:$B$1048576,STUDENTS!$C$3:$C$1048576)),"Enter a registered reg. no")</f>
        <v/>
      </c>
      <c r="D517" s="54" t="n"/>
      <c r="E517" s="55" t="n"/>
      <c r="F517" s="48" t="n"/>
      <c r="G517" s="58" t="n"/>
      <c r="H517" s="62" t="n"/>
      <c r="I517" s="63" t="n"/>
      <c r="J517" s="48" t="n"/>
      <c r="K517" s="58" t="n"/>
      <c r="L517" s="42" t="n"/>
      <c r="M517" s="42" t="n"/>
      <c r="N517" s="48" t="n"/>
      <c r="O517" s="58" t="n"/>
      <c r="P517" s="42" t="n"/>
      <c r="Q517" s="42" t="n"/>
      <c r="R517" s="48" t="n"/>
      <c r="S517" s="58" t="n"/>
      <c r="T517" s="42" t="n"/>
      <c r="U517" s="42" t="n"/>
      <c r="V517" s="48" t="n"/>
      <c r="W517" s="58" t="n"/>
      <c r="X517" s="42" t="n"/>
      <c r="Y517" s="42" t="n"/>
      <c r="Z517" s="48" t="n"/>
      <c r="AA517" s="58" t="n"/>
      <c r="AB517" s="42" t="n"/>
      <c r="AC517" s="42" t="n"/>
      <c r="AD517" s="48" t="n"/>
      <c r="AE517" s="58" t="n"/>
      <c r="AF517" s="42" t="n"/>
      <c r="AG517" s="42" t="n"/>
      <c r="AH517" s="48" t="n"/>
      <c r="AI517" s="58" t="n"/>
    </row>
    <row r="518">
      <c r="B518" s="2">
        <f>IF(STUDENTS!B517="","",STUDENTS!B517)</f>
        <v/>
      </c>
      <c r="C518" s="44">
        <f>IFERROR(IF(B518="","",_xlfn.XLOOKUP(B518,STUDENTS!$B$3:$B$1048576,STUDENTS!$C$3:$C$1048576)),"Enter a registered reg. no")</f>
        <v/>
      </c>
      <c r="F518" s="66" t="n"/>
      <c r="G518" s="67" t="n"/>
      <c r="J518" s="66" t="n"/>
      <c r="K518" s="67" t="n"/>
      <c r="N518" s="66" t="n"/>
      <c r="O518" s="67" t="n"/>
      <c r="R518" s="66" t="n"/>
      <c r="S518" s="67" t="n"/>
      <c r="V518" s="66" t="n"/>
      <c r="W518" s="67" t="n"/>
      <c r="Z518" s="66" t="n"/>
      <c r="AA518" s="67" t="n"/>
      <c r="AD518" s="66" t="n"/>
      <c r="AE518" s="67" t="n"/>
      <c r="AH518" s="66" t="n"/>
      <c r="AI518" s="67" t="n"/>
    </row>
    <row r="519">
      <c r="B519" s="2">
        <f>IF(STUDENTS!B518="","",STUDENTS!B518)</f>
        <v/>
      </c>
      <c r="C519" s="44">
        <f>IFERROR(IF(B519="","",_xlfn.XLOOKUP(B519,STUDENTS!$B$3:$B$1048576,STUDENTS!$C$3:$C$1048576)),"Enter a registered reg. no")</f>
        <v/>
      </c>
      <c r="D519" s="54" t="n"/>
      <c r="E519" s="55" t="n"/>
      <c r="F519" s="48" t="n"/>
      <c r="G519" s="58" t="n"/>
      <c r="H519" s="62" t="n"/>
      <c r="I519" s="63" t="n"/>
      <c r="J519" s="48" t="n"/>
      <c r="K519" s="58" t="n"/>
      <c r="L519" s="42" t="n"/>
      <c r="M519" s="42" t="n"/>
      <c r="N519" s="48" t="n"/>
      <c r="O519" s="58" t="n"/>
      <c r="P519" s="42" t="n"/>
      <c r="Q519" s="42" t="n"/>
      <c r="R519" s="48" t="n"/>
      <c r="S519" s="58" t="n"/>
      <c r="T519" s="42" t="n"/>
      <c r="U519" s="42" t="n"/>
      <c r="V519" s="48" t="n"/>
      <c r="W519" s="58" t="n"/>
      <c r="X519" s="42" t="n"/>
      <c r="Y519" s="42" t="n"/>
      <c r="Z519" s="48" t="n"/>
      <c r="AA519" s="58" t="n"/>
      <c r="AB519" s="42" t="n"/>
      <c r="AC519" s="42" t="n"/>
      <c r="AD519" s="48" t="n"/>
      <c r="AE519" s="58" t="n"/>
      <c r="AF519" s="42" t="n"/>
      <c r="AG519" s="42" t="n"/>
      <c r="AH519" s="48" t="n"/>
      <c r="AI519" s="58" t="n"/>
    </row>
    <row r="520">
      <c r="B520" s="2">
        <f>IF(STUDENTS!B519="","",STUDENTS!B519)</f>
        <v/>
      </c>
      <c r="C520" s="44">
        <f>IFERROR(IF(B520="","",_xlfn.XLOOKUP(B520,STUDENTS!$B$3:$B$1048576,STUDENTS!$C$3:$C$1048576)),"Enter a registered reg. no")</f>
        <v/>
      </c>
      <c r="F520" s="66" t="n"/>
      <c r="G520" s="67" t="n"/>
      <c r="J520" s="66" t="n"/>
      <c r="K520" s="67" t="n"/>
      <c r="N520" s="66" t="n"/>
      <c r="O520" s="67" t="n"/>
      <c r="R520" s="66" t="n"/>
      <c r="S520" s="67" t="n"/>
      <c r="V520" s="66" t="n"/>
      <c r="W520" s="67" t="n"/>
      <c r="Z520" s="66" t="n"/>
      <c r="AA520" s="67" t="n"/>
      <c r="AD520" s="66" t="n"/>
      <c r="AE520" s="67" t="n"/>
      <c r="AH520" s="66" t="n"/>
      <c r="AI520" s="67" t="n"/>
    </row>
    <row r="521">
      <c r="B521" s="2">
        <f>IF(STUDENTS!B520="","",STUDENTS!B520)</f>
        <v/>
      </c>
      <c r="C521" s="44">
        <f>IFERROR(IF(B521="","",_xlfn.XLOOKUP(B521,STUDENTS!$B$3:$B$1048576,STUDENTS!$C$3:$C$1048576)),"Enter a registered reg. no")</f>
        <v/>
      </c>
      <c r="D521" s="54" t="n"/>
      <c r="E521" s="55" t="n"/>
      <c r="F521" s="48" t="n"/>
      <c r="G521" s="58" t="n"/>
      <c r="H521" s="62" t="n"/>
      <c r="I521" s="63" t="n"/>
      <c r="J521" s="48" t="n"/>
      <c r="K521" s="58" t="n"/>
      <c r="L521" s="42" t="n"/>
      <c r="M521" s="42" t="n"/>
      <c r="N521" s="48" t="n"/>
      <c r="O521" s="58" t="n"/>
      <c r="P521" s="42" t="n"/>
      <c r="Q521" s="42" t="n"/>
      <c r="R521" s="48" t="n"/>
      <c r="S521" s="58" t="n"/>
      <c r="T521" s="42" t="n"/>
      <c r="U521" s="42" t="n"/>
      <c r="V521" s="48" t="n"/>
      <c r="W521" s="58" t="n"/>
      <c r="X521" s="42" t="n"/>
      <c r="Y521" s="42" t="n"/>
      <c r="Z521" s="48" t="n"/>
      <c r="AA521" s="58" t="n"/>
      <c r="AB521" s="42" t="n"/>
      <c r="AC521" s="42" t="n"/>
      <c r="AD521" s="48" t="n"/>
      <c r="AE521" s="58" t="n"/>
      <c r="AF521" s="42" t="n"/>
      <c r="AG521" s="42" t="n"/>
      <c r="AH521" s="48" t="n"/>
      <c r="AI521" s="58" t="n"/>
    </row>
    <row r="522">
      <c r="B522" s="2">
        <f>IF(STUDENTS!B521="","",STUDENTS!B521)</f>
        <v/>
      </c>
      <c r="C522" s="44">
        <f>IFERROR(IF(B522="","",_xlfn.XLOOKUP(B522,STUDENTS!$B$3:$B$1048576,STUDENTS!$C$3:$C$1048576)),"Enter a registered reg. no")</f>
        <v/>
      </c>
      <c r="F522" s="66" t="n"/>
      <c r="G522" s="67" t="n"/>
      <c r="J522" s="66" t="n"/>
      <c r="K522" s="67" t="n"/>
      <c r="N522" s="66" t="n"/>
      <c r="O522" s="67" t="n"/>
      <c r="R522" s="66" t="n"/>
      <c r="S522" s="67" t="n"/>
      <c r="V522" s="66" t="n"/>
      <c r="W522" s="67" t="n"/>
      <c r="Z522" s="66" t="n"/>
      <c r="AA522" s="67" t="n"/>
      <c r="AD522" s="66" t="n"/>
      <c r="AE522" s="67" t="n"/>
      <c r="AH522" s="66" t="n"/>
      <c r="AI522" s="67" t="n"/>
    </row>
    <row r="523">
      <c r="B523" s="2">
        <f>IF(STUDENTS!B522="","",STUDENTS!B522)</f>
        <v/>
      </c>
      <c r="C523" s="44">
        <f>IFERROR(IF(B523="","",_xlfn.XLOOKUP(B523,STUDENTS!$B$3:$B$1048576,STUDENTS!$C$3:$C$1048576)),"Enter a registered reg. no")</f>
        <v/>
      </c>
      <c r="D523" s="54" t="n"/>
      <c r="E523" s="55" t="n"/>
      <c r="F523" s="48" t="n"/>
      <c r="G523" s="58" t="n"/>
      <c r="H523" s="62" t="n"/>
      <c r="I523" s="63" t="n"/>
      <c r="J523" s="48" t="n"/>
      <c r="K523" s="58" t="n"/>
      <c r="L523" s="42" t="n"/>
      <c r="M523" s="42" t="n"/>
      <c r="N523" s="48" t="n"/>
      <c r="O523" s="58" t="n"/>
      <c r="P523" s="42" t="n"/>
      <c r="Q523" s="42" t="n"/>
      <c r="R523" s="48" t="n"/>
      <c r="S523" s="58" t="n"/>
      <c r="T523" s="42" t="n"/>
      <c r="U523" s="42" t="n"/>
      <c r="V523" s="48" t="n"/>
      <c r="W523" s="58" t="n"/>
      <c r="X523" s="42" t="n"/>
      <c r="Y523" s="42" t="n"/>
      <c r="Z523" s="48" t="n"/>
      <c r="AA523" s="58" t="n"/>
      <c r="AB523" s="42" t="n"/>
      <c r="AC523" s="42" t="n"/>
      <c r="AD523" s="48" t="n"/>
      <c r="AE523" s="58" t="n"/>
      <c r="AF523" s="42" t="n"/>
      <c r="AG523" s="42" t="n"/>
      <c r="AH523" s="48" t="n"/>
      <c r="AI523" s="58" t="n"/>
    </row>
    <row r="524">
      <c r="B524" s="2">
        <f>IF(STUDENTS!B523="","",STUDENTS!B523)</f>
        <v/>
      </c>
      <c r="C524" s="44">
        <f>IFERROR(IF(B524="","",_xlfn.XLOOKUP(B524,STUDENTS!$B$3:$B$1048576,STUDENTS!$C$3:$C$1048576)),"Enter a registered reg. no")</f>
        <v/>
      </c>
      <c r="F524" s="66" t="n"/>
      <c r="G524" s="67" t="n"/>
      <c r="J524" s="66" t="n"/>
      <c r="K524" s="67" t="n"/>
      <c r="N524" s="66" t="n"/>
      <c r="O524" s="67" t="n"/>
      <c r="R524" s="66" t="n"/>
      <c r="S524" s="67" t="n"/>
      <c r="V524" s="66" t="n"/>
      <c r="W524" s="67" t="n"/>
      <c r="Z524" s="66" t="n"/>
      <c r="AA524" s="67" t="n"/>
      <c r="AD524" s="66" t="n"/>
      <c r="AE524" s="67" t="n"/>
      <c r="AH524" s="66" t="n"/>
      <c r="AI524" s="67" t="n"/>
    </row>
    <row r="525">
      <c r="B525" s="2">
        <f>IF(STUDENTS!B524="","",STUDENTS!B524)</f>
        <v/>
      </c>
      <c r="C525" s="44">
        <f>IFERROR(IF(B525="","",_xlfn.XLOOKUP(B525,STUDENTS!$B$3:$B$1048576,STUDENTS!$C$3:$C$1048576)),"Enter a registered reg. no")</f>
        <v/>
      </c>
      <c r="D525" s="54" t="n"/>
      <c r="E525" s="55" t="n"/>
      <c r="F525" s="48" t="n"/>
      <c r="G525" s="58" t="n"/>
      <c r="H525" s="62" t="n"/>
      <c r="I525" s="63" t="n"/>
      <c r="J525" s="48" t="n"/>
      <c r="K525" s="58" t="n"/>
      <c r="L525" s="42" t="n"/>
      <c r="M525" s="42" t="n"/>
      <c r="N525" s="48" t="n"/>
      <c r="O525" s="58" t="n"/>
      <c r="P525" s="42" t="n"/>
      <c r="Q525" s="42" t="n"/>
      <c r="R525" s="48" t="n"/>
      <c r="S525" s="58" t="n"/>
      <c r="T525" s="42" t="n"/>
      <c r="U525" s="42" t="n"/>
      <c r="V525" s="48" t="n"/>
      <c r="W525" s="58" t="n"/>
      <c r="X525" s="42" t="n"/>
      <c r="Y525" s="42" t="n"/>
      <c r="Z525" s="48" t="n"/>
      <c r="AA525" s="58" t="n"/>
      <c r="AB525" s="42" t="n"/>
      <c r="AC525" s="42" t="n"/>
      <c r="AD525" s="48" t="n"/>
      <c r="AE525" s="58" t="n"/>
      <c r="AF525" s="42" t="n"/>
      <c r="AG525" s="42" t="n"/>
      <c r="AH525" s="48" t="n"/>
      <c r="AI525" s="58" t="n"/>
    </row>
    <row r="526">
      <c r="B526" s="2">
        <f>IF(STUDENTS!B525="","",STUDENTS!B525)</f>
        <v/>
      </c>
      <c r="C526" s="44">
        <f>IFERROR(IF(B526="","",_xlfn.XLOOKUP(B526,STUDENTS!$B$3:$B$1048576,STUDENTS!$C$3:$C$1048576)),"Enter a registered reg. no")</f>
        <v/>
      </c>
      <c r="F526" s="66" t="n"/>
      <c r="G526" s="67" t="n"/>
      <c r="J526" s="66" t="n"/>
      <c r="K526" s="67" t="n"/>
      <c r="N526" s="66" t="n"/>
      <c r="O526" s="67" t="n"/>
      <c r="R526" s="66" t="n"/>
      <c r="S526" s="67" t="n"/>
      <c r="V526" s="66" t="n"/>
      <c r="W526" s="67" t="n"/>
      <c r="Z526" s="66" t="n"/>
      <c r="AA526" s="67" t="n"/>
      <c r="AD526" s="66" t="n"/>
      <c r="AE526" s="67" t="n"/>
      <c r="AH526" s="66" t="n"/>
      <c r="AI526" s="67" t="n"/>
    </row>
    <row r="527">
      <c r="B527" s="2">
        <f>IF(STUDENTS!B526="","",STUDENTS!B526)</f>
        <v/>
      </c>
      <c r="C527" s="44">
        <f>IFERROR(IF(B527="","",_xlfn.XLOOKUP(B527,STUDENTS!$B$3:$B$1048576,STUDENTS!$C$3:$C$1048576)),"Enter a registered reg. no")</f>
        <v/>
      </c>
      <c r="D527" s="54" t="n"/>
      <c r="E527" s="55" t="n"/>
      <c r="F527" s="48" t="n"/>
      <c r="G527" s="58" t="n"/>
      <c r="H527" s="62" t="n"/>
      <c r="I527" s="63" t="n"/>
      <c r="J527" s="48" t="n"/>
      <c r="K527" s="58" t="n"/>
      <c r="L527" s="42" t="n"/>
      <c r="M527" s="42" t="n"/>
      <c r="N527" s="48" t="n"/>
      <c r="O527" s="58" t="n"/>
      <c r="P527" s="42" t="n"/>
      <c r="Q527" s="42" t="n"/>
      <c r="R527" s="48" t="n"/>
      <c r="S527" s="58" t="n"/>
      <c r="T527" s="42" t="n"/>
      <c r="U527" s="42" t="n"/>
      <c r="V527" s="48" t="n"/>
      <c r="W527" s="58" t="n"/>
      <c r="X527" s="42" t="n"/>
      <c r="Y527" s="42" t="n"/>
      <c r="Z527" s="48" t="n"/>
      <c r="AA527" s="58" t="n"/>
      <c r="AB527" s="42" t="n"/>
      <c r="AC527" s="42" t="n"/>
      <c r="AD527" s="48" t="n"/>
      <c r="AE527" s="58" t="n"/>
      <c r="AF527" s="42" t="n"/>
      <c r="AG527" s="42" t="n"/>
      <c r="AH527" s="48" t="n"/>
      <c r="AI527" s="58" t="n"/>
    </row>
    <row r="528">
      <c r="B528" s="2">
        <f>IF(STUDENTS!B527="","",STUDENTS!B527)</f>
        <v/>
      </c>
      <c r="C528" s="44">
        <f>IFERROR(IF(B528="","",_xlfn.XLOOKUP(B528,STUDENTS!$B$3:$B$1048576,STUDENTS!$C$3:$C$1048576)),"Enter a registered reg. no")</f>
        <v/>
      </c>
      <c r="F528" s="66" t="n"/>
      <c r="G528" s="67" t="n"/>
      <c r="J528" s="66" t="n"/>
      <c r="K528" s="67" t="n"/>
      <c r="N528" s="66" t="n"/>
      <c r="O528" s="67" t="n"/>
      <c r="R528" s="66" t="n"/>
      <c r="S528" s="67" t="n"/>
      <c r="V528" s="66" t="n"/>
      <c r="W528" s="67" t="n"/>
      <c r="Z528" s="66" t="n"/>
      <c r="AA528" s="67" t="n"/>
      <c r="AD528" s="66" t="n"/>
      <c r="AE528" s="67" t="n"/>
      <c r="AH528" s="66" t="n"/>
      <c r="AI528" s="67" t="n"/>
    </row>
    <row r="529">
      <c r="B529" s="2">
        <f>IF(STUDENTS!B528="","",STUDENTS!B528)</f>
        <v/>
      </c>
      <c r="C529" s="44">
        <f>IFERROR(IF(B529="","",_xlfn.XLOOKUP(B529,STUDENTS!$B$3:$B$1048576,STUDENTS!$C$3:$C$1048576)),"Enter a registered reg. no")</f>
        <v/>
      </c>
      <c r="D529" s="54" t="n"/>
      <c r="E529" s="55" t="n"/>
      <c r="F529" s="48" t="n"/>
      <c r="G529" s="58" t="n"/>
      <c r="H529" s="62" t="n"/>
      <c r="I529" s="63" t="n"/>
      <c r="J529" s="48" t="n"/>
      <c r="K529" s="58" t="n"/>
      <c r="L529" s="42" t="n"/>
      <c r="M529" s="42" t="n"/>
      <c r="N529" s="48" t="n"/>
      <c r="O529" s="58" t="n"/>
      <c r="P529" s="42" t="n"/>
      <c r="Q529" s="42" t="n"/>
      <c r="R529" s="48" t="n"/>
      <c r="S529" s="58" t="n"/>
      <c r="T529" s="42" t="n"/>
      <c r="U529" s="42" t="n"/>
      <c r="V529" s="48" t="n"/>
      <c r="W529" s="58" t="n"/>
      <c r="X529" s="42" t="n"/>
      <c r="Y529" s="42" t="n"/>
      <c r="Z529" s="48" t="n"/>
      <c r="AA529" s="58" t="n"/>
      <c r="AB529" s="42" t="n"/>
      <c r="AC529" s="42" t="n"/>
      <c r="AD529" s="48" t="n"/>
      <c r="AE529" s="58" t="n"/>
      <c r="AF529" s="42" t="n"/>
      <c r="AG529" s="42" t="n"/>
      <c r="AH529" s="48" t="n"/>
      <c r="AI529" s="58" t="n"/>
    </row>
    <row r="530">
      <c r="B530" s="2">
        <f>IF(STUDENTS!B529="","",STUDENTS!B529)</f>
        <v/>
      </c>
      <c r="C530" s="44">
        <f>IFERROR(IF(B530="","",_xlfn.XLOOKUP(B530,STUDENTS!$B$3:$B$1048576,STUDENTS!$C$3:$C$1048576)),"Enter a registered reg. no")</f>
        <v/>
      </c>
      <c r="F530" s="66" t="n"/>
      <c r="G530" s="67" t="n"/>
      <c r="J530" s="66" t="n"/>
      <c r="K530" s="67" t="n"/>
      <c r="N530" s="66" t="n"/>
      <c r="O530" s="67" t="n"/>
      <c r="R530" s="66" t="n"/>
      <c r="S530" s="67" t="n"/>
      <c r="V530" s="66" t="n"/>
      <c r="W530" s="67" t="n"/>
      <c r="Z530" s="66" t="n"/>
      <c r="AA530" s="67" t="n"/>
      <c r="AD530" s="66" t="n"/>
      <c r="AE530" s="67" t="n"/>
      <c r="AH530" s="66" t="n"/>
      <c r="AI530" s="67" t="n"/>
    </row>
    <row r="531">
      <c r="B531" s="2">
        <f>IF(STUDENTS!B530="","",STUDENTS!B530)</f>
        <v/>
      </c>
      <c r="C531" s="44">
        <f>IFERROR(IF(B531="","",_xlfn.XLOOKUP(B531,STUDENTS!$B$3:$B$1048576,STUDENTS!$C$3:$C$1048576)),"Enter a registered reg. no")</f>
        <v/>
      </c>
      <c r="D531" s="54" t="n"/>
      <c r="E531" s="55" t="n"/>
      <c r="F531" s="48" t="n"/>
      <c r="G531" s="58" t="n"/>
      <c r="H531" s="62" t="n"/>
      <c r="I531" s="63" t="n"/>
      <c r="J531" s="48" t="n"/>
      <c r="K531" s="58" t="n"/>
      <c r="L531" s="42" t="n"/>
      <c r="M531" s="42" t="n"/>
      <c r="N531" s="48" t="n"/>
      <c r="O531" s="58" t="n"/>
      <c r="P531" s="42" t="n"/>
      <c r="Q531" s="42" t="n"/>
      <c r="R531" s="48" t="n"/>
      <c r="S531" s="58" t="n"/>
      <c r="T531" s="42" t="n"/>
      <c r="U531" s="42" t="n"/>
      <c r="V531" s="48" t="n"/>
      <c r="W531" s="58" t="n"/>
      <c r="X531" s="42" t="n"/>
      <c r="Y531" s="42" t="n"/>
      <c r="Z531" s="48" t="n"/>
      <c r="AA531" s="58" t="n"/>
      <c r="AB531" s="42" t="n"/>
      <c r="AC531" s="42" t="n"/>
      <c r="AD531" s="48" t="n"/>
      <c r="AE531" s="58" t="n"/>
      <c r="AF531" s="42" t="n"/>
      <c r="AG531" s="42" t="n"/>
      <c r="AH531" s="48" t="n"/>
      <c r="AI531" s="58" t="n"/>
    </row>
    <row r="532">
      <c r="B532" s="2">
        <f>IF(STUDENTS!B531="","",STUDENTS!B531)</f>
        <v/>
      </c>
      <c r="C532" s="44">
        <f>IFERROR(IF(B532="","",_xlfn.XLOOKUP(B532,STUDENTS!$B$3:$B$1048576,STUDENTS!$C$3:$C$1048576)),"Enter a registered reg. no")</f>
        <v/>
      </c>
      <c r="F532" s="66" t="n"/>
      <c r="G532" s="67" t="n"/>
      <c r="J532" s="66" t="n"/>
      <c r="K532" s="67" t="n"/>
      <c r="N532" s="66" t="n"/>
      <c r="O532" s="67" t="n"/>
      <c r="R532" s="66" t="n"/>
      <c r="S532" s="67" t="n"/>
      <c r="V532" s="66" t="n"/>
      <c r="W532" s="67" t="n"/>
      <c r="Z532" s="66" t="n"/>
      <c r="AA532" s="67" t="n"/>
      <c r="AD532" s="66" t="n"/>
      <c r="AE532" s="67" t="n"/>
      <c r="AH532" s="66" t="n"/>
      <c r="AI532" s="67" t="n"/>
    </row>
    <row r="533">
      <c r="B533" s="2">
        <f>IF(STUDENTS!B532="","",STUDENTS!B532)</f>
        <v/>
      </c>
      <c r="C533" s="44">
        <f>IFERROR(IF(B533="","",_xlfn.XLOOKUP(B533,STUDENTS!$B$3:$B$1048576,STUDENTS!$C$3:$C$1048576)),"Enter a registered reg. no")</f>
        <v/>
      </c>
      <c r="D533" s="54" t="n"/>
      <c r="E533" s="55" t="n"/>
      <c r="F533" s="48" t="n"/>
      <c r="G533" s="58" t="n"/>
      <c r="H533" s="62" t="n"/>
      <c r="I533" s="63" t="n"/>
      <c r="J533" s="48" t="n"/>
      <c r="K533" s="58" t="n"/>
      <c r="L533" s="42" t="n"/>
      <c r="M533" s="42" t="n"/>
      <c r="N533" s="48" t="n"/>
      <c r="O533" s="58" t="n"/>
      <c r="P533" s="42" t="n"/>
      <c r="Q533" s="42" t="n"/>
      <c r="R533" s="48" t="n"/>
      <c r="S533" s="58" t="n"/>
      <c r="T533" s="42" t="n"/>
      <c r="U533" s="42" t="n"/>
      <c r="V533" s="48" t="n"/>
      <c r="W533" s="58" t="n"/>
      <c r="X533" s="42" t="n"/>
      <c r="Y533" s="42" t="n"/>
      <c r="Z533" s="48" t="n"/>
      <c r="AA533" s="58" t="n"/>
      <c r="AB533" s="42" t="n"/>
      <c r="AC533" s="42" t="n"/>
      <c r="AD533" s="48" t="n"/>
      <c r="AE533" s="58" t="n"/>
      <c r="AF533" s="42" t="n"/>
      <c r="AG533" s="42" t="n"/>
      <c r="AH533" s="48" t="n"/>
      <c r="AI533" s="58" t="n"/>
    </row>
    <row r="534">
      <c r="B534" s="2">
        <f>IF(STUDENTS!B533="","",STUDENTS!B533)</f>
        <v/>
      </c>
      <c r="C534" s="44">
        <f>IFERROR(IF(B534="","",_xlfn.XLOOKUP(B534,STUDENTS!$B$3:$B$1048576,STUDENTS!$C$3:$C$1048576)),"Enter a registered reg. no")</f>
        <v/>
      </c>
      <c r="F534" s="66" t="n"/>
      <c r="G534" s="67" t="n"/>
      <c r="J534" s="66" t="n"/>
      <c r="K534" s="67" t="n"/>
      <c r="N534" s="66" t="n"/>
      <c r="O534" s="67" t="n"/>
      <c r="R534" s="66" t="n"/>
      <c r="S534" s="67" t="n"/>
      <c r="V534" s="66" t="n"/>
      <c r="W534" s="67" t="n"/>
      <c r="Z534" s="66" t="n"/>
      <c r="AA534" s="67" t="n"/>
      <c r="AD534" s="66" t="n"/>
      <c r="AE534" s="67" t="n"/>
      <c r="AH534" s="66" t="n"/>
      <c r="AI534" s="67" t="n"/>
    </row>
    <row r="535">
      <c r="B535" s="2">
        <f>IF(STUDENTS!B534="","",STUDENTS!B534)</f>
        <v/>
      </c>
      <c r="C535" s="44">
        <f>IFERROR(IF(B535="","",_xlfn.XLOOKUP(B535,STUDENTS!$B$3:$B$1048576,STUDENTS!$C$3:$C$1048576)),"Enter a registered reg. no")</f>
        <v/>
      </c>
      <c r="D535" s="54" t="n"/>
      <c r="E535" s="55" t="n"/>
      <c r="F535" s="48" t="n"/>
      <c r="G535" s="58" t="n"/>
      <c r="H535" s="62" t="n"/>
      <c r="I535" s="63" t="n"/>
      <c r="J535" s="48" t="n"/>
      <c r="K535" s="58" t="n"/>
      <c r="L535" s="42" t="n"/>
      <c r="M535" s="42" t="n"/>
      <c r="N535" s="48" t="n"/>
      <c r="O535" s="58" t="n"/>
      <c r="P535" s="42" t="n"/>
      <c r="Q535" s="42" t="n"/>
      <c r="R535" s="48" t="n"/>
      <c r="S535" s="58" t="n"/>
      <c r="T535" s="42" t="n"/>
      <c r="U535" s="42" t="n"/>
      <c r="V535" s="48" t="n"/>
      <c r="W535" s="58" t="n"/>
      <c r="X535" s="42" t="n"/>
      <c r="Y535" s="42" t="n"/>
      <c r="Z535" s="48" t="n"/>
      <c r="AA535" s="58" t="n"/>
      <c r="AB535" s="42" t="n"/>
      <c r="AC535" s="42" t="n"/>
      <c r="AD535" s="48" t="n"/>
      <c r="AE535" s="58" t="n"/>
      <c r="AF535" s="42" t="n"/>
      <c r="AG535" s="42" t="n"/>
      <c r="AH535" s="48" t="n"/>
      <c r="AI535" s="58" t="n"/>
    </row>
    <row r="536">
      <c r="B536" s="2">
        <f>IF(STUDENTS!B535="","",STUDENTS!B535)</f>
        <v/>
      </c>
      <c r="C536" s="44">
        <f>IFERROR(IF(B536="","",_xlfn.XLOOKUP(B536,STUDENTS!$B$3:$B$1048576,STUDENTS!$C$3:$C$1048576)),"Enter a registered reg. no")</f>
        <v/>
      </c>
      <c r="F536" s="66" t="n"/>
      <c r="G536" s="67" t="n"/>
      <c r="J536" s="66" t="n"/>
      <c r="K536" s="67" t="n"/>
      <c r="N536" s="66" t="n"/>
      <c r="O536" s="67" t="n"/>
      <c r="R536" s="66" t="n"/>
      <c r="S536" s="67" t="n"/>
      <c r="V536" s="66" t="n"/>
      <c r="W536" s="67" t="n"/>
      <c r="Z536" s="66" t="n"/>
      <c r="AA536" s="67" t="n"/>
      <c r="AD536" s="66" t="n"/>
      <c r="AE536" s="67" t="n"/>
      <c r="AH536" s="66" t="n"/>
      <c r="AI536" s="67" t="n"/>
    </row>
    <row r="537">
      <c r="B537" s="2">
        <f>IF(STUDENTS!B536="","",STUDENTS!B536)</f>
        <v/>
      </c>
      <c r="C537" s="44">
        <f>IFERROR(IF(B537="","",_xlfn.XLOOKUP(B537,STUDENTS!$B$3:$B$1048576,STUDENTS!$C$3:$C$1048576)),"Enter a registered reg. no")</f>
        <v/>
      </c>
      <c r="D537" s="54" t="n"/>
      <c r="E537" s="55" t="n"/>
      <c r="F537" s="48" t="n"/>
      <c r="G537" s="58" t="n"/>
      <c r="H537" s="62" t="n"/>
      <c r="I537" s="63" t="n"/>
      <c r="J537" s="48" t="n"/>
      <c r="K537" s="58" t="n"/>
      <c r="L537" s="42" t="n"/>
      <c r="M537" s="42" t="n"/>
      <c r="N537" s="48" t="n"/>
      <c r="O537" s="58" t="n"/>
      <c r="P537" s="42" t="n"/>
      <c r="Q537" s="42" t="n"/>
      <c r="R537" s="48" t="n"/>
      <c r="S537" s="58" t="n"/>
      <c r="T537" s="42" t="n"/>
      <c r="U537" s="42" t="n"/>
      <c r="V537" s="48" t="n"/>
      <c r="W537" s="58" t="n"/>
      <c r="X537" s="42" t="n"/>
      <c r="Y537" s="42" t="n"/>
      <c r="Z537" s="48" t="n"/>
      <c r="AA537" s="58" t="n"/>
      <c r="AB537" s="42" t="n"/>
      <c r="AC537" s="42" t="n"/>
      <c r="AD537" s="48" t="n"/>
      <c r="AE537" s="58" t="n"/>
      <c r="AF537" s="42" t="n"/>
      <c r="AG537" s="42" t="n"/>
      <c r="AH537" s="48" t="n"/>
      <c r="AI537" s="58" t="n"/>
    </row>
    <row r="538">
      <c r="B538" s="2">
        <f>IF(STUDENTS!B537="","",STUDENTS!B537)</f>
        <v/>
      </c>
      <c r="C538" s="44">
        <f>IFERROR(IF(B538="","",_xlfn.XLOOKUP(B538,STUDENTS!$B$3:$B$1048576,STUDENTS!$C$3:$C$1048576)),"Enter a registered reg. no")</f>
        <v/>
      </c>
      <c r="F538" s="66" t="n"/>
      <c r="G538" s="67" t="n"/>
      <c r="J538" s="66" t="n"/>
      <c r="K538" s="67" t="n"/>
      <c r="N538" s="66" t="n"/>
      <c r="O538" s="67" t="n"/>
      <c r="R538" s="66" t="n"/>
      <c r="S538" s="67" t="n"/>
      <c r="V538" s="66" t="n"/>
      <c r="W538" s="67" t="n"/>
      <c r="Z538" s="66" t="n"/>
      <c r="AA538" s="67" t="n"/>
      <c r="AD538" s="66" t="n"/>
      <c r="AE538" s="67" t="n"/>
      <c r="AH538" s="66" t="n"/>
      <c r="AI538" s="67" t="n"/>
    </row>
    <row r="539">
      <c r="B539" s="2">
        <f>IF(STUDENTS!B538="","",STUDENTS!B538)</f>
        <v/>
      </c>
      <c r="C539" s="44">
        <f>IFERROR(IF(B539="","",_xlfn.XLOOKUP(B539,STUDENTS!$B$3:$B$1048576,STUDENTS!$C$3:$C$1048576)),"Enter a registered reg. no")</f>
        <v/>
      </c>
      <c r="D539" s="54" t="n"/>
      <c r="E539" s="55" t="n"/>
      <c r="F539" s="48" t="n"/>
      <c r="G539" s="58" t="n"/>
      <c r="H539" s="62" t="n"/>
      <c r="I539" s="63" t="n"/>
      <c r="J539" s="48" t="n"/>
      <c r="K539" s="58" t="n"/>
      <c r="L539" s="42" t="n"/>
      <c r="M539" s="42" t="n"/>
      <c r="N539" s="48" t="n"/>
      <c r="O539" s="58" t="n"/>
      <c r="P539" s="42" t="n"/>
      <c r="Q539" s="42" t="n"/>
      <c r="R539" s="48" t="n"/>
      <c r="S539" s="58" t="n"/>
      <c r="T539" s="42" t="n"/>
      <c r="U539" s="42" t="n"/>
      <c r="V539" s="48" t="n"/>
      <c r="W539" s="58" t="n"/>
      <c r="X539" s="42" t="n"/>
      <c r="Y539" s="42" t="n"/>
      <c r="Z539" s="48" t="n"/>
      <c r="AA539" s="58" t="n"/>
      <c r="AB539" s="42" t="n"/>
      <c r="AC539" s="42" t="n"/>
      <c r="AD539" s="48" t="n"/>
      <c r="AE539" s="58" t="n"/>
      <c r="AF539" s="42" t="n"/>
      <c r="AG539" s="42" t="n"/>
      <c r="AH539" s="48" t="n"/>
      <c r="AI539" s="58" t="n"/>
    </row>
    <row r="540">
      <c r="B540" s="2">
        <f>IF(STUDENTS!B539="","",STUDENTS!B539)</f>
        <v/>
      </c>
      <c r="C540" s="44">
        <f>IFERROR(IF(B540="","",_xlfn.XLOOKUP(B540,STUDENTS!$B$3:$B$1048576,STUDENTS!$C$3:$C$1048576)),"Enter a registered reg. no")</f>
        <v/>
      </c>
      <c r="F540" s="66" t="n"/>
      <c r="G540" s="67" t="n"/>
      <c r="J540" s="66" t="n"/>
      <c r="K540" s="67" t="n"/>
      <c r="N540" s="66" t="n"/>
      <c r="O540" s="67" t="n"/>
      <c r="R540" s="66" t="n"/>
      <c r="S540" s="67" t="n"/>
      <c r="V540" s="66" t="n"/>
      <c r="W540" s="67" t="n"/>
      <c r="Z540" s="66" t="n"/>
      <c r="AA540" s="67" t="n"/>
      <c r="AD540" s="66" t="n"/>
      <c r="AE540" s="67" t="n"/>
      <c r="AH540" s="66" t="n"/>
      <c r="AI540" s="67" t="n"/>
    </row>
    <row r="541">
      <c r="B541" s="2">
        <f>IF(STUDENTS!B540="","",STUDENTS!B540)</f>
        <v/>
      </c>
      <c r="C541" s="44">
        <f>IFERROR(IF(B541="","",_xlfn.XLOOKUP(B541,STUDENTS!$B$3:$B$1048576,STUDENTS!$C$3:$C$1048576)),"Enter a registered reg. no")</f>
        <v/>
      </c>
      <c r="D541" s="54" t="n"/>
      <c r="E541" s="55" t="n"/>
      <c r="F541" s="48" t="n"/>
      <c r="G541" s="58" t="n"/>
      <c r="H541" s="62" t="n"/>
      <c r="I541" s="63" t="n"/>
      <c r="J541" s="48" t="n"/>
      <c r="K541" s="58" t="n"/>
      <c r="L541" s="42" t="n"/>
      <c r="M541" s="42" t="n"/>
      <c r="N541" s="48" t="n"/>
      <c r="O541" s="58" t="n"/>
      <c r="P541" s="42" t="n"/>
      <c r="Q541" s="42" t="n"/>
      <c r="R541" s="48" t="n"/>
      <c r="S541" s="58" t="n"/>
      <c r="T541" s="42" t="n"/>
      <c r="U541" s="42" t="n"/>
      <c r="V541" s="48" t="n"/>
      <c r="W541" s="58" t="n"/>
      <c r="X541" s="42" t="n"/>
      <c r="Y541" s="42" t="n"/>
      <c r="Z541" s="48" t="n"/>
      <c r="AA541" s="58" t="n"/>
      <c r="AB541" s="42" t="n"/>
      <c r="AC541" s="42" t="n"/>
      <c r="AD541" s="48" t="n"/>
      <c r="AE541" s="58" t="n"/>
      <c r="AF541" s="42" t="n"/>
      <c r="AG541" s="42" t="n"/>
      <c r="AH541" s="48" t="n"/>
      <c r="AI541" s="58" t="n"/>
    </row>
    <row r="542">
      <c r="B542" s="2">
        <f>IF(STUDENTS!B541="","",STUDENTS!B541)</f>
        <v/>
      </c>
      <c r="C542" s="44">
        <f>IFERROR(IF(B542="","",_xlfn.XLOOKUP(B542,STUDENTS!$B$3:$B$1048576,STUDENTS!$C$3:$C$1048576)),"Enter a registered reg. no")</f>
        <v/>
      </c>
      <c r="F542" s="66" t="n"/>
      <c r="G542" s="67" t="n"/>
      <c r="J542" s="66" t="n"/>
      <c r="K542" s="67" t="n"/>
      <c r="N542" s="66" t="n"/>
      <c r="O542" s="67" t="n"/>
      <c r="R542" s="66" t="n"/>
      <c r="S542" s="67" t="n"/>
      <c r="V542" s="66" t="n"/>
      <c r="W542" s="67" t="n"/>
      <c r="Z542" s="66" t="n"/>
      <c r="AA542" s="67" t="n"/>
      <c r="AD542" s="66" t="n"/>
      <c r="AE542" s="67" t="n"/>
      <c r="AH542" s="66" t="n"/>
      <c r="AI542" s="67" t="n"/>
    </row>
    <row r="543">
      <c r="B543" s="2">
        <f>IF(STUDENTS!B542="","",STUDENTS!B542)</f>
        <v/>
      </c>
      <c r="C543" s="44">
        <f>IFERROR(IF(B543="","",_xlfn.XLOOKUP(B543,STUDENTS!$B$3:$B$1048576,STUDENTS!$C$3:$C$1048576)),"Enter a registered reg. no")</f>
        <v/>
      </c>
      <c r="D543" s="54" t="n"/>
      <c r="E543" s="55" t="n"/>
      <c r="F543" s="48" t="n"/>
      <c r="G543" s="58" t="n"/>
      <c r="H543" s="62" t="n"/>
      <c r="I543" s="63" t="n"/>
      <c r="J543" s="48" t="n"/>
      <c r="K543" s="58" t="n"/>
      <c r="L543" s="42" t="n"/>
      <c r="M543" s="42" t="n"/>
      <c r="N543" s="48" t="n"/>
      <c r="O543" s="58" t="n"/>
      <c r="P543" s="42" t="n"/>
      <c r="Q543" s="42" t="n"/>
      <c r="R543" s="48" t="n"/>
      <c r="S543" s="58" t="n"/>
      <c r="T543" s="42" t="n"/>
      <c r="U543" s="42" t="n"/>
      <c r="V543" s="48" t="n"/>
      <c r="W543" s="58" t="n"/>
      <c r="X543" s="42" t="n"/>
      <c r="Y543" s="42" t="n"/>
      <c r="Z543" s="48" t="n"/>
      <c r="AA543" s="58" t="n"/>
      <c r="AB543" s="42" t="n"/>
      <c r="AC543" s="42" t="n"/>
      <c r="AD543" s="48" t="n"/>
      <c r="AE543" s="58" t="n"/>
      <c r="AF543" s="42" t="n"/>
      <c r="AG543" s="42" t="n"/>
      <c r="AH543" s="48" t="n"/>
      <c r="AI543" s="58" t="n"/>
    </row>
    <row r="544">
      <c r="B544" s="2">
        <f>IF(STUDENTS!B543="","",STUDENTS!B543)</f>
        <v/>
      </c>
      <c r="C544" s="44">
        <f>IFERROR(IF(B544="","",_xlfn.XLOOKUP(B544,STUDENTS!$B$3:$B$1048576,STUDENTS!$C$3:$C$1048576)),"Enter a registered reg. no")</f>
        <v/>
      </c>
      <c r="F544" s="66" t="n"/>
      <c r="G544" s="67" t="n"/>
      <c r="J544" s="66" t="n"/>
      <c r="K544" s="67" t="n"/>
      <c r="N544" s="66" t="n"/>
      <c r="O544" s="67" t="n"/>
      <c r="R544" s="66" t="n"/>
      <c r="S544" s="67" t="n"/>
      <c r="V544" s="66" t="n"/>
      <c r="W544" s="67" t="n"/>
      <c r="Z544" s="66" t="n"/>
      <c r="AA544" s="67" t="n"/>
      <c r="AD544" s="66" t="n"/>
      <c r="AE544" s="67" t="n"/>
      <c r="AH544" s="66" t="n"/>
      <c r="AI544" s="67" t="n"/>
    </row>
    <row r="545">
      <c r="B545" s="2">
        <f>IF(STUDENTS!B544="","",STUDENTS!B544)</f>
        <v/>
      </c>
      <c r="C545" s="44">
        <f>IFERROR(IF(B545="","",_xlfn.XLOOKUP(B545,STUDENTS!$B$3:$B$1048576,STUDENTS!$C$3:$C$1048576)),"Enter a registered reg. no")</f>
        <v/>
      </c>
      <c r="D545" s="54" t="n"/>
      <c r="E545" s="55" t="n"/>
      <c r="F545" s="48" t="n"/>
      <c r="G545" s="58" t="n"/>
      <c r="H545" s="62" t="n"/>
      <c r="I545" s="63" t="n"/>
      <c r="J545" s="48" t="n"/>
      <c r="K545" s="58" t="n"/>
      <c r="L545" s="42" t="n"/>
      <c r="M545" s="42" t="n"/>
      <c r="N545" s="48" t="n"/>
      <c r="O545" s="58" t="n"/>
      <c r="P545" s="42" t="n"/>
      <c r="Q545" s="42" t="n"/>
      <c r="R545" s="48" t="n"/>
      <c r="S545" s="58" t="n"/>
      <c r="T545" s="42" t="n"/>
      <c r="U545" s="42" t="n"/>
      <c r="V545" s="48" t="n"/>
      <c r="W545" s="58" t="n"/>
      <c r="X545" s="42" t="n"/>
      <c r="Y545" s="42" t="n"/>
      <c r="Z545" s="48" t="n"/>
      <c r="AA545" s="58" t="n"/>
      <c r="AB545" s="42" t="n"/>
      <c r="AC545" s="42" t="n"/>
      <c r="AD545" s="48" t="n"/>
      <c r="AE545" s="58" t="n"/>
      <c r="AF545" s="42" t="n"/>
      <c r="AG545" s="42" t="n"/>
      <c r="AH545" s="48" t="n"/>
      <c r="AI545" s="58" t="n"/>
    </row>
    <row r="546">
      <c r="B546" s="2">
        <f>IF(STUDENTS!B545="","",STUDENTS!B545)</f>
        <v/>
      </c>
      <c r="C546" s="44">
        <f>IFERROR(IF(B546="","",_xlfn.XLOOKUP(B546,STUDENTS!$B$3:$B$1048576,STUDENTS!$C$3:$C$1048576)),"Enter a registered reg. no")</f>
        <v/>
      </c>
      <c r="F546" s="66" t="n"/>
      <c r="G546" s="67" t="n"/>
      <c r="J546" s="66" t="n"/>
      <c r="K546" s="67" t="n"/>
      <c r="N546" s="66" t="n"/>
      <c r="O546" s="67" t="n"/>
      <c r="R546" s="66" t="n"/>
      <c r="S546" s="67" t="n"/>
      <c r="V546" s="66" t="n"/>
      <c r="W546" s="67" t="n"/>
      <c r="Z546" s="66" t="n"/>
      <c r="AA546" s="67" t="n"/>
      <c r="AD546" s="66" t="n"/>
      <c r="AE546" s="67" t="n"/>
      <c r="AH546" s="66" t="n"/>
      <c r="AI546" s="67" t="n"/>
    </row>
    <row r="547">
      <c r="B547" s="2">
        <f>IF(STUDENTS!B546="","",STUDENTS!B546)</f>
        <v/>
      </c>
      <c r="C547" s="44">
        <f>IFERROR(IF(B547="","",_xlfn.XLOOKUP(B547,STUDENTS!$B$3:$B$1048576,STUDENTS!$C$3:$C$1048576)),"Enter a registered reg. no")</f>
        <v/>
      </c>
      <c r="D547" s="54" t="n"/>
      <c r="E547" s="55" t="n"/>
      <c r="F547" s="48" t="n"/>
      <c r="G547" s="58" t="n"/>
      <c r="H547" s="62" t="n"/>
      <c r="I547" s="63" t="n"/>
      <c r="J547" s="48" t="n"/>
      <c r="K547" s="58" t="n"/>
      <c r="L547" s="42" t="n"/>
      <c r="M547" s="42" t="n"/>
      <c r="N547" s="48" t="n"/>
      <c r="O547" s="58" t="n"/>
      <c r="P547" s="42" t="n"/>
      <c r="Q547" s="42" t="n"/>
      <c r="R547" s="48" t="n"/>
      <c r="S547" s="58" t="n"/>
      <c r="T547" s="42" t="n"/>
      <c r="U547" s="42" t="n"/>
      <c r="V547" s="48" t="n"/>
      <c r="W547" s="58" t="n"/>
      <c r="X547" s="42" t="n"/>
      <c r="Y547" s="42" t="n"/>
      <c r="Z547" s="48" t="n"/>
      <c r="AA547" s="58" t="n"/>
      <c r="AB547" s="42" t="n"/>
      <c r="AC547" s="42" t="n"/>
      <c r="AD547" s="48" t="n"/>
      <c r="AE547" s="58" t="n"/>
      <c r="AF547" s="42" t="n"/>
      <c r="AG547" s="42" t="n"/>
      <c r="AH547" s="48" t="n"/>
      <c r="AI547" s="58" t="n"/>
    </row>
    <row r="548">
      <c r="B548" s="2">
        <f>IF(STUDENTS!B547="","",STUDENTS!B547)</f>
        <v/>
      </c>
      <c r="C548" s="44">
        <f>IFERROR(IF(B548="","",_xlfn.XLOOKUP(B548,STUDENTS!$B$3:$B$1048576,STUDENTS!$C$3:$C$1048576)),"Enter a registered reg. no")</f>
        <v/>
      </c>
      <c r="F548" s="66" t="n"/>
      <c r="G548" s="67" t="n"/>
      <c r="J548" s="66" t="n"/>
      <c r="K548" s="67" t="n"/>
      <c r="N548" s="66" t="n"/>
      <c r="O548" s="67" t="n"/>
      <c r="R548" s="66" t="n"/>
      <c r="S548" s="67" t="n"/>
      <c r="V548" s="66" t="n"/>
      <c r="W548" s="67" t="n"/>
      <c r="Z548" s="66" t="n"/>
      <c r="AA548" s="67" t="n"/>
      <c r="AD548" s="66" t="n"/>
      <c r="AE548" s="67" t="n"/>
      <c r="AH548" s="66" t="n"/>
      <c r="AI548" s="67" t="n"/>
    </row>
    <row r="549">
      <c r="B549" s="2">
        <f>IF(STUDENTS!B548="","",STUDENTS!B548)</f>
        <v/>
      </c>
      <c r="C549" s="44">
        <f>IFERROR(IF(B549="","",_xlfn.XLOOKUP(B549,STUDENTS!$B$3:$B$1048576,STUDENTS!$C$3:$C$1048576)),"Enter a registered reg. no")</f>
        <v/>
      </c>
      <c r="D549" s="54" t="n"/>
      <c r="E549" s="55" t="n"/>
      <c r="F549" s="48" t="n"/>
      <c r="G549" s="58" t="n"/>
      <c r="H549" s="62" t="n"/>
      <c r="I549" s="63" t="n"/>
      <c r="J549" s="48" t="n"/>
      <c r="K549" s="58" t="n"/>
      <c r="L549" s="42" t="n"/>
      <c r="M549" s="42" t="n"/>
      <c r="N549" s="48" t="n"/>
      <c r="O549" s="58" t="n"/>
      <c r="P549" s="42" t="n"/>
      <c r="Q549" s="42" t="n"/>
      <c r="R549" s="48" t="n"/>
      <c r="S549" s="58" t="n"/>
      <c r="T549" s="42" t="n"/>
      <c r="U549" s="42" t="n"/>
      <c r="V549" s="48" t="n"/>
      <c r="W549" s="58" t="n"/>
      <c r="X549" s="42" t="n"/>
      <c r="Y549" s="42" t="n"/>
      <c r="Z549" s="48" t="n"/>
      <c r="AA549" s="58" t="n"/>
      <c r="AB549" s="42" t="n"/>
      <c r="AC549" s="42" t="n"/>
      <c r="AD549" s="48" t="n"/>
      <c r="AE549" s="58" t="n"/>
      <c r="AF549" s="42" t="n"/>
      <c r="AG549" s="42" t="n"/>
      <c r="AH549" s="48" t="n"/>
      <c r="AI549" s="58" t="n"/>
    </row>
    <row r="550">
      <c r="B550" s="2">
        <f>IF(STUDENTS!B549="","",STUDENTS!B549)</f>
        <v/>
      </c>
      <c r="C550" s="44">
        <f>IFERROR(IF(B550="","",_xlfn.XLOOKUP(B550,STUDENTS!$B$3:$B$1048576,STUDENTS!$C$3:$C$1048576)),"Enter a registered reg. no")</f>
        <v/>
      </c>
      <c r="F550" s="66" t="n"/>
      <c r="G550" s="67" t="n"/>
      <c r="J550" s="66" t="n"/>
      <c r="K550" s="67" t="n"/>
      <c r="N550" s="66" t="n"/>
      <c r="O550" s="67" t="n"/>
      <c r="R550" s="66" t="n"/>
      <c r="S550" s="67" t="n"/>
      <c r="V550" s="66" t="n"/>
      <c r="W550" s="67" t="n"/>
      <c r="Z550" s="66" t="n"/>
      <c r="AA550" s="67" t="n"/>
      <c r="AD550" s="66" t="n"/>
      <c r="AE550" s="67" t="n"/>
      <c r="AH550" s="66" t="n"/>
      <c r="AI550" s="67" t="n"/>
    </row>
    <row r="551">
      <c r="B551" s="2">
        <f>IF(STUDENTS!B550="","",STUDENTS!B550)</f>
        <v/>
      </c>
      <c r="C551" s="44">
        <f>IFERROR(IF(B551="","",_xlfn.XLOOKUP(B551,STUDENTS!$B$3:$B$1048576,STUDENTS!$C$3:$C$1048576)),"Enter a registered reg. no")</f>
        <v/>
      </c>
      <c r="D551" s="54" t="n"/>
      <c r="E551" s="55" t="n"/>
      <c r="F551" s="48" t="n"/>
      <c r="G551" s="58" t="n"/>
      <c r="H551" s="62" t="n"/>
      <c r="I551" s="63" t="n"/>
      <c r="J551" s="48" t="n"/>
      <c r="K551" s="58" t="n"/>
      <c r="L551" s="42" t="n"/>
      <c r="M551" s="42" t="n"/>
      <c r="N551" s="48" t="n"/>
      <c r="O551" s="58" t="n"/>
      <c r="P551" s="42" t="n"/>
      <c r="Q551" s="42" t="n"/>
      <c r="R551" s="48" t="n"/>
      <c r="S551" s="58" t="n"/>
      <c r="T551" s="42" t="n"/>
      <c r="U551" s="42" t="n"/>
      <c r="V551" s="48" t="n"/>
      <c r="W551" s="58" t="n"/>
      <c r="X551" s="42" t="n"/>
      <c r="Y551" s="42" t="n"/>
      <c r="Z551" s="48" t="n"/>
      <c r="AA551" s="58" t="n"/>
      <c r="AB551" s="42" t="n"/>
      <c r="AC551" s="42" t="n"/>
      <c r="AD551" s="48" t="n"/>
      <c r="AE551" s="58" t="n"/>
      <c r="AF551" s="42" t="n"/>
      <c r="AG551" s="42" t="n"/>
      <c r="AH551" s="48" t="n"/>
      <c r="AI551" s="58" t="n"/>
    </row>
    <row r="552">
      <c r="B552" s="2">
        <f>IF(STUDENTS!B551="","",STUDENTS!B551)</f>
        <v/>
      </c>
      <c r="C552" s="44">
        <f>IFERROR(IF(B552="","",_xlfn.XLOOKUP(B552,STUDENTS!$B$3:$B$1048576,STUDENTS!$C$3:$C$1048576)),"Enter a registered reg. no")</f>
        <v/>
      </c>
      <c r="F552" s="66" t="n"/>
      <c r="G552" s="67" t="n"/>
      <c r="J552" s="66" t="n"/>
      <c r="K552" s="67" t="n"/>
      <c r="N552" s="66" t="n"/>
      <c r="O552" s="67" t="n"/>
      <c r="R552" s="66" t="n"/>
      <c r="S552" s="67" t="n"/>
      <c r="V552" s="66" t="n"/>
      <c r="W552" s="67" t="n"/>
      <c r="Z552" s="66" t="n"/>
      <c r="AA552" s="67" t="n"/>
      <c r="AD552" s="66" t="n"/>
      <c r="AE552" s="67" t="n"/>
      <c r="AH552" s="66" t="n"/>
      <c r="AI552" s="67" t="n"/>
    </row>
    <row r="553">
      <c r="B553" s="2">
        <f>IF(STUDENTS!B552="","",STUDENTS!B552)</f>
        <v/>
      </c>
      <c r="C553" s="44">
        <f>IFERROR(IF(B553="","",_xlfn.XLOOKUP(B553,STUDENTS!$B$3:$B$1048576,STUDENTS!$C$3:$C$1048576)),"Enter a registered reg. no")</f>
        <v/>
      </c>
      <c r="D553" s="54" t="n"/>
      <c r="E553" s="55" t="n"/>
      <c r="F553" s="48" t="n"/>
      <c r="G553" s="58" t="n"/>
      <c r="H553" s="62" t="n"/>
      <c r="I553" s="63" t="n"/>
      <c r="J553" s="48" t="n"/>
      <c r="K553" s="58" t="n"/>
      <c r="L553" s="42" t="n"/>
      <c r="M553" s="42" t="n"/>
      <c r="N553" s="48" t="n"/>
      <c r="O553" s="58" t="n"/>
      <c r="P553" s="42" t="n"/>
      <c r="Q553" s="42" t="n"/>
      <c r="R553" s="48" t="n"/>
      <c r="S553" s="58" t="n"/>
      <c r="T553" s="42" t="n"/>
      <c r="U553" s="42" t="n"/>
      <c r="V553" s="48" t="n"/>
      <c r="W553" s="58" t="n"/>
      <c r="X553" s="42" t="n"/>
      <c r="Y553" s="42" t="n"/>
      <c r="Z553" s="48" t="n"/>
      <c r="AA553" s="58" t="n"/>
      <c r="AB553" s="42" t="n"/>
      <c r="AC553" s="42" t="n"/>
      <c r="AD553" s="48" t="n"/>
      <c r="AE553" s="58" t="n"/>
      <c r="AF553" s="42" t="n"/>
      <c r="AG553" s="42" t="n"/>
      <c r="AH553" s="48" t="n"/>
      <c r="AI553" s="58" t="n"/>
    </row>
    <row r="554">
      <c r="B554" s="2">
        <f>IF(STUDENTS!B553="","",STUDENTS!B553)</f>
        <v/>
      </c>
      <c r="C554" s="44">
        <f>IFERROR(IF(B554="","",_xlfn.XLOOKUP(B554,STUDENTS!$B$3:$B$1048576,STUDENTS!$C$3:$C$1048576)),"Enter a registered reg. no")</f>
        <v/>
      </c>
      <c r="F554" s="66" t="n"/>
      <c r="G554" s="67" t="n"/>
      <c r="J554" s="66" t="n"/>
      <c r="K554" s="67" t="n"/>
      <c r="N554" s="66" t="n"/>
      <c r="O554" s="67" t="n"/>
      <c r="R554" s="66" t="n"/>
      <c r="S554" s="67" t="n"/>
      <c r="V554" s="66" t="n"/>
      <c r="W554" s="67" t="n"/>
      <c r="Z554" s="66" t="n"/>
      <c r="AA554" s="67" t="n"/>
      <c r="AD554" s="66" t="n"/>
      <c r="AE554" s="67" t="n"/>
      <c r="AH554" s="66" t="n"/>
      <c r="AI554" s="67" t="n"/>
    </row>
    <row r="555">
      <c r="B555" s="2">
        <f>IF(STUDENTS!B554="","",STUDENTS!B554)</f>
        <v/>
      </c>
      <c r="C555" s="44">
        <f>IFERROR(IF(B555="","",_xlfn.XLOOKUP(B555,STUDENTS!$B$3:$B$1048576,STUDENTS!$C$3:$C$1048576)),"Enter a registered reg. no")</f>
        <v/>
      </c>
      <c r="D555" s="54" t="n"/>
      <c r="E555" s="55" t="n"/>
      <c r="F555" s="48" t="n"/>
      <c r="G555" s="58" t="n"/>
      <c r="H555" s="62" t="n"/>
      <c r="I555" s="63" t="n"/>
      <c r="J555" s="48" t="n"/>
      <c r="K555" s="58" t="n"/>
      <c r="L555" s="42" t="n"/>
      <c r="M555" s="42" t="n"/>
      <c r="N555" s="48" t="n"/>
      <c r="O555" s="58" t="n"/>
      <c r="P555" s="42" t="n"/>
      <c r="Q555" s="42" t="n"/>
      <c r="R555" s="48" t="n"/>
      <c r="S555" s="58" t="n"/>
      <c r="T555" s="42" t="n"/>
      <c r="U555" s="42" t="n"/>
      <c r="V555" s="48" t="n"/>
      <c r="W555" s="58" t="n"/>
      <c r="X555" s="42" t="n"/>
      <c r="Y555" s="42" t="n"/>
      <c r="Z555" s="48" t="n"/>
      <c r="AA555" s="58" t="n"/>
      <c r="AB555" s="42" t="n"/>
      <c r="AC555" s="42" t="n"/>
      <c r="AD555" s="48" t="n"/>
      <c r="AE555" s="58" t="n"/>
      <c r="AF555" s="42" t="n"/>
      <c r="AG555" s="42" t="n"/>
      <c r="AH555" s="48" t="n"/>
      <c r="AI555" s="58" t="n"/>
    </row>
    <row r="556">
      <c r="B556" s="2">
        <f>IF(STUDENTS!B555="","",STUDENTS!B555)</f>
        <v/>
      </c>
      <c r="C556" s="44">
        <f>IFERROR(IF(B556="","",_xlfn.XLOOKUP(B556,STUDENTS!$B$3:$B$1048576,STUDENTS!$C$3:$C$1048576)),"Enter a registered reg. no")</f>
        <v/>
      </c>
      <c r="F556" s="66" t="n"/>
      <c r="G556" s="67" t="n"/>
      <c r="J556" s="66" t="n"/>
      <c r="K556" s="67" t="n"/>
      <c r="N556" s="66" t="n"/>
      <c r="O556" s="67" t="n"/>
      <c r="R556" s="66" t="n"/>
      <c r="S556" s="67" t="n"/>
      <c r="V556" s="66" t="n"/>
      <c r="W556" s="67" t="n"/>
      <c r="Z556" s="66" t="n"/>
      <c r="AA556" s="67" t="n"/>
      <c r="AD556" s="66" t="n"/>
      <c r="AE556" s="67" t="n"/>
      <c r="AH556" s="66" t="n"/>
      <c r="AI556" s="67" t="n"/>
    </row>
    <row r="557">
      <c r="B557" s="2">
        <f>IF(STUDENTS!B556="","",STUDENTS!B556)</f>
        <v/>
      </c>
      <c r="C557" s="44">
        <f>IFERROR(IF(B557="","",_xlfn.XLOOKUP(B557,STUDENTS!$B$3:$B$1048576,STUDENTS!$C$3:$C$1048576)),"Enter a registered reg. no")</f>
        <v/>
      </c>
      <c r="D557" s="54" t="n"/>
      <c r="E557" s="55" t="n"/>
      <c r="F557" s="48" t="n"/>
      <c r="G557" s="58" t="n"/>
      <c r="H557" s="62" t="n"/>
      <c r="I557" s="63" t="n"/>
      <c r="J557" s="48" t="n"/>
      <c r="K557" s="58" t="n"/>
      <c r="L557" s="42" t="n"/>
      <c r="M557" s="42" t="n"/>
      <c r="N557" s="48" t="n"/>
      <c r="O557" s="58" t="n"/>
      <c r="P557" s="42" t="n"/>
      <c r="Q557" s="42" t="n"/>
      <c r="R557" s="48" t="n"/>
      <c r="S557" s="58" t="n"/>
      <c r="T557" s="42" t="n"/>
      <c r="U557" s="42" t="n"/>
      <c r="V557" s="48" t="n"/>
      <c r="W557" s="58" t="n"/>
      <c r="X557" s="42" t="n"/>
      <c r="Y557" s="42" t="n"/>
      <c r="Z557" s="48" t="n"/>
      <c r="AA557" s="58" t="n"/>
      <c r="AB557" s="42" t="n"/>
      <c r="AC557" s="42" t="n"/>
      <c r="AD557" s="48" t="n"/>
      <c r="AE557" s="58" t="n"/>
      <c r="AF557" s="42" t="n"/>
      <c r="AG557" s="42" t="n"/>
      <c r="AH557" s="48" t="n"/>
      <c r="AI557" s="58" t="n"/>
    </row>
    <row r="558">
      <c r="B558" s="2">
        <f>IF(STUDENTS!B557="","",STUDENTS!B557)</f>
        <v/>
      </c>
      <c r="C558" s="44">
        <f>IFERROR(IF(B558="","",_xlfn.XLOOKUP(B558,STUDENTS!$B$3:$B$1048576,STUDENTS!$C$3:$C$1048576)),"Enter a registered reg. no")</f>
        <v/>
      </c>
      <c r="F558" s="66" t="n"/>
      <c r="G558" s="67" t="n"/>
      <c r="J558" s="66" t="n"/>
      <c r="K558" s="67" t="n"/>
      <c r="N558" s="66" t="n"/>
      <c r="O558" s="67" t="n"/>
      <c r="R558" s="66" t="n"/>
      <c r="S558" s="67" t="n"/>
      <c r="V558" s="66" t="n"/>
      <c r="W558" s="67" t="n"/>
      <c r="Z558" s="66" t="n"/>
      <c r="AA558" s="67" t="n"/>
      <c r="AD558" s="66" t="n"/>
      <c r="AE558" s="67" t="n"/>
      <c r="AH558" s="66" t="n"/>
      <c r="AI558" s="67" t="n"/>
    </row>
    <row r="559">
      <c r="B559" s="2">
        <f>IF(STUDENTS!B558="","",STUDENTS!B558)</f>
        <v/>
      </c>
      <c r="C559" s="44">
        <f>IFERROR(IF(B559="","",_xlfn.XLOOKUP(B559,STUDENTS!$B$3:$B$1048576,STUDENTS!$C$3:$C$1048576)),"Enter a registered reg. no")</f>
        <v/>
      </c>
      <c r="D559" s="54" t="n"/>
      <c r="E559" s="55" t="n"/>
      <c r="F559" s="48" t="n"/>
      <c r="G559" s="58" t="n"/>
      <c r="H559" s="62" t="n"/>
      <c r="I559" s="63" t="n"/>
      <c r="J559" s="48" t="n"/>
      <c r="K559" s="58" t="n"/>
      <c r="L559" s="42" t="n"/>
      <c r="M559" s="42" t="n"/>
      <c r="N559" s="48" t="n"/>
      <c r="O559" s="58" t="n"/>
      <c r="P559" s="42" t="n"/>
      <c r="Q559" s="42" t="n"/>
      <c r="R559" s="48" t="n"/>
      <c r="S559" s="58" t="n"/>
      <c r="T559" s="42" t="n"/>
      <c r="U559" s="42" t="n"/>
      <c r="V559" s="48" t="n"/>
      <c r="W559" s="58" t="n"/>
      <c r="X559" s="42" t="n"/>
      <c r="Y559" s="42" t="n"/>
      <c r="Z559" s="48" t="n"/>
      <c r="AA559" s="58" t="n"/>
      <c r="AB559" s="42" t="n"/>
      <c r="AC559" s="42" t="n"/>
      <c r="AD559" s="48" t="n"/>
      <c r="AE559" s="58" t="n"/>
      <c r="AF559" s="42" t="n"/>
      <c r="AG559" s="42" t="n"/>
      <c r="AH559" s="48" t="n"/>
      <c r="AI559" s="58" t="n"/>
    </row>
    <row r="560">
      <c r="B560" s="2">
        <f>IF(STUDENTS!B559="","",STUDENTS!B559)</f>
        <v/>
      </c>
      <c r="C560" s="44">
        <f>IFERROR(IF(B560="","",_xlfn.XLOOKUP(B560,STUDENTS!$B$3:$B$1048576,STUDENTS!$C$3:$C$1048576)),"Enter a registered reg. no")</f>
        <v/>
      </c>
      <c r="F560" s="66" t="n"/>
      <c r="G560" s="67" t="n"/>
      <c r="J560" s="66" t="n"/>
      <c r="K560" s="67" t="n"/>
      <c r="N560" s="66" t="n"/>
      <c r="O560" s="67" t="n"/>
      <c r="R560" s="66" t="n"/>
      <c r="S560" s="67" t="n"/>
      <c r="V560" s="66" t="n"/>
      <c r="W560" s="67" t="n"/>
      <c r="Z560" s="66" t="n"/>
      <c r="AA560" s="67" t="n"/>
      <c r="AD560" s="66" t="n"/>
      <c r="AE560" s="67" t="n"/>
      <c r="AH560" s="66" t="n"/>
      <c r="AI560" s="67" t="n"/>
    </row>
    <row r="561">
      <c r="B561" s="2">
        <f>IF(STUDENTS!B560="","",STUDENTS!B560)</f>
        <v/>
      </c>
      <c r="C561" s="44">
        <f>IFERROR(IF(B561="","",_xlfn.XLOOKUP(B561,STUDENTS!$B$3:$B$1048576,STUDENTS!$C$3:$C$1048576)),"Enter a registered reg. no")</f>
        <v/>
      </c>
      <c r="D561" s="54" t="n"/>
      <c r="E561" s="55" t="n"/>
      <c r="F561" s="48" t="n"/>
      <c r="G561" s="58" t="n"/>
      <c r="H561" s="62" t="n"/>
      <c r="I561" s="63" t="n"/>
      <c r="J561" s="48" t="n"/>
      <c r="K561" s="58" t="n"/>
      <c r="L561" s="42" t="n"/>
      <c r="M561" s="42" t="n"/>
      <c r="N561" s="48" t="n"/>
      <c r="O561" s="58" t="n"/>
      <c r="P561" s="42" t="n"/>
      <c r="Q561" s="42" t="n"/>
      <c r="R561" s="48" t="n"/>
      <c r="S561" s="58" t="n"/>
      <c r="T561" s="42" t="n"/>
      <c r="U561" s="42" t="n"/>
      <c r="V561" s="48" t="n"/>
      <c r="W561" s="58" t="n"/>
      <c r="X561" s="42" t="n"/>
      <c r="Y561" s="42" t="n"/>
      <c r="Z561" s="48" t="n"/>
      <c r="AA561" s="58" t="n"/>
      <c r="AB561" s="42" t="n"/>
      <c r="AC561" s="42" t="n"/>
      <c r="AD561" s="48" t="n"/>
      <c r="AE561" s="58" t="n"/>
      <c r="AF561" s="42" t="n"/>
      <c r="AG561" s="42" t="n"/>
      <c r="AH561" s="48" t="n"/>
      <c r="AI561" s="58" t="n"/>
    </row>
    <row r="562">
      <c r="B562" s="2">
        <f>IF(STUDENTS!B561="","",STUDENTS!B561)</f>
        <v/>
      </c>
      <c r="C562" s="44">
        <f>IFERROR(IF(B562="","",_xlfn.XLOOKUP(B562,STUDENTS!$B$3:$B$1048576,STUDENTS!$C$3:$C$1048576)),"Enter a registered reg. no")</f>
        <v/>
      </c>
      <c r="F562" s="66" t="n"/>
      <c r="G562" s="67" t="n"/>
      <c r="J562" s="66" t="n"/>
      <c r="K562" s="67" t="n"/>
      <c r="N562" s="66" t="n"/>
      <c r="O562" s="67" t="n"/>
      <c r="R562" s="66" t="n"/>
      <c r="S562" s="67" t="n"/>
      <c r="V562" s="66" t="n"/>
      <c r="W562" s="67" t="n"/>
      <c r="Z562" s="66" t="n"/>
      <c r="AA562" s="67" t="n"/>
      <c r="AD562" s="66" t="n"/>
      <c r="AE562" s="67" t="n"/>
      <c r="AH562" s="66" t="n"/>
      <c r="AI562" s="67" t="n"/>
    </row>
    <row r="563">
      <c r="B563" s="2">
        <f>IF(STUDENTS!B562="","",STUDENTS!B562)</f>
        <v/>
      </c>
      <c r="C563" s="44">
        <f>IFERROR(IF(B563="","",_xlfn.XLOOKUP(B563,STUDENTS!$B$3:$B$1048576,STUDENTS!$C$3:$C$1048576)),"Enter a registered reg. no")</f>
        <v/>
      </c>
      <c r="D563" s="54" t="n"/>
      <c r="E563" s="55" t="n"/>
      <c r="F563" s="48" t="n"/>
      <c r="G563" s="58" t="n"/>
      <c r="H563" s="62" t="n"/>
      <c r="I563" s="63" t="n"/>
      <c r="J563" s="48" t="n"/>
      <c r="K563" s="58" t="n"/>
      <c r="L563" s="42" t="n"/>
      <c r="M563" s="42" t="n"/>
      <c r="N563" s="48" t="n"/>
      <c r="O563" s="58" t="n"/>
      <c r="P563" s="42" t="n"/>
      <c r="Q563" s="42" t="n"/>
      <c r="R563" s="48" t="n"/>
      <c r="S563" s="58" t="n"/>
      <c r="T563" s="42" t="n"/>
      <c r="U563" s="42" t="n"/>
      <c r="V563" s="48" t="n"/>
      <c r="W563" s="58" t="n"/>
      <c r="X563" s="42" t="n"/>
      <c r="Y563" s="42" t="n"/>
      <c r="Z563" s="48" t="n"/>
      <c r="AA563" s="58" t="n"/>
      <c r="AB563" s="42" t="n"/>
      <c r="AC563" s="42" t="n"/>
      <c r="AD563" s="48" t="n"/>
      <c r="AE563" s="58" t="n"/>
      <c r="AF563" s="42" t="n"/>
      <c r="AG563" s="42" t="n"/>
      <c r="AH563" s="48" t="n"/>
      <c r="AI563" s="58" t="n"/>
    </row>
    <row r="564">
      <c r="B564" s="2">
        <f>IF(STUDENTS!B563="","",STUDENTS!B563)</f>
        <v/>
      </c>
      <c r="C564" s="44">
        <f>IFERROR(IF(B564="","",_xlfn.XLOOKUP(B564,STUDENTS!$B$3:$B$1048576,STUDENTS!$C$3:$C$1048576)),"Enter a registered reg. no")</f>
        <v/>
      </c>
      <c r="F564" s="66" t="n"/>
      <c r="G564" s="67" t="n"/>
      <c r="J564" s="66" t="n"/>
      <c r="K564" s="67" t="n"/>
      <c r="N564" s="66" t="n"/>
      <c r="O564" s="67" t="n"/>
      <c r="R564" s="66" t="n"/>
      <c r="S564" s="67" t="n"/>
      <c r="V564" s="66" t="n"/>
      <c r="W564" s="67" t="n"/>
      <c r="Z564" s="66" t="n"/>
      <c r="AA564" s="67" t="n"/>
      <c r="AD564" s="66" t="n"/>
      <c r="AE564" s="67" t="n"/>
      <c r="AH564" s="66" t="n"/>
      <c r="AI564" s="67" t="n"/>
    </row>
    <row r="565">
      <c r="B565" s="2">
        <f>IF(STUDENTS!B564="","",STUDENTS!B564)</f>
        <v/>
      </c>
      <c r="C565" s="44">
        <f>IFERROR(IF(B565="","",_xlfn.XLOOKUP(B565,STUDENTS!$B$3:$B$1048576,STUDENTS!$C$3:$C$1048576)),"Enter a registered reg. no")</f>
        <v/>
      </c>
      <c r="D565" s="54" t="n"/>
      <c r="E565" s="55" t="n"/>
      <c r="F565" s="48" t="n"/>
      <c r="G565" s="58" t="n"/>
      <c r="H565" s="62" t="n"/>
      <c r="I565" s="63" t="n"/>
      <c r="J565" s="48" t="n"/>
      <c r="K565" s="58" t="n"/>
      <c r="L565" s="42" t="n"/>
      <c r="M565" s="42" t="n"/>
      <c r="N565" s="48" t="n"/>
      <c r="O565" s="58" t="n"/>
      <c r="P565" s="42" t="n"/>
      <c r="Q565" s="42" t="n"/>
      <c r="R565" s="48" t="n"/>
      <c r="S565" s="58" t="n"/>
      <c r="T565" s="42" t="n"/>
      <c r="U565" s="42" t="n"/>
      <c r="V565" s="48" t="n"/>
      <c r="W565" s="58" t="n"/>
      <c r="X565" s="42" t="n"/>
      <c r="Y565" s="42" t="n"/>
      <c r="Z565" s="48" t="n"/>
      <c r="AA565" s="58" t="n"/>
      <c r="AB565" s="42" t="n"/>
      <c r="AC565" s="42" t="n"/>
      <c r="AD565" s="48" t="n"/>
      <c r="AE565" s="58" t="n"/>
      <c r="AF565" s="42" t="n"/>
      <c r="AG565" s="42" t="n"/>
      <c r="AH565" s="48" t="n"/>
      <c r="AI565" s="58" t="n"/>
    </row>
    <row r="566">
      <c r="B566" s="2">
        <f>IF(STUDENTS!B565="","",STUDENTS!B565)</f>
        <v/>
      </c>
      <c r="C566" s="44">
        <f>IFERROR(IF(B566="","",_xlfn.XLOOKUP(B566,STUDENTS!$B$3:$B$1048576,STUDENTS!$C$3:$C$1048576)),"Enter a registered reg. no")</f>
        <v/>
      </c>
      <c r="F566" s="66" t="n"/>
      <c r="G566" s="67" t="n"/>
      <c r="J566" s="66" t="n"/>
      <c r="K566" s="67" t="n"/>
      <c r="N566" s="66" t="n"/>
      <c r="O566" s="67" t="n"/>
      <c r="R566" s="66" t="n"/>
      <c r="S566" s="67" t="n"/>
      <c r="V566" s="66" t="n"/>
      <c r="W566" s="67" t="n"/>
      <c r="Z566" s="66" t="n"/>
      <c r="AA566" s="67" t="n"/>
      <c r="AD566" s="66" t="n"/>
      <c r="AE566" s="67" t="n"/>
      <c r="AH566" s="66" t="n"/>
      <c r="AI566" s="67" t="n"/>
    </row>
    <row r="567">
      <c r="B567" s="2">
        <f>IF(STUDENTS!B566="","",STUDENTS!B566)</f>
        <v/>
      </c>
      <c r="C567" s="44">
        <f>IFERROR(IF(B567="","",_xlfn.XLOOKUP(B567,STUDENTS!$B$3:$B$1048576,STUDENTS!$C$3:$C$1048576)),"Enter a registered reg. no")</f>
        <v/>
      </c>
      <c r="D567" s="54" t="n"/>
      <c r="E567" s="55" t="n"/>
      <c r="F567" s="48" t="n"/>
      <c r="G567" s="58" t="n"/>
      <c r="H567" s="62" t="n"/>
      <c r="I567" s="63" t="n"/>
      <c r="J567" s="48" t="n"/>
      <c r="K567" s="58" t="n"/>
      <c r="L567" s="42" t="n"/>
      <c r="M567" s="42" t="n"/>
      <c r="N567" s="48" t="n"/>
      <c r="O567" s="58" t="n"/>
      <c r="P567" s="42" t="n"/>
      <c r="Q567" s="42" t="n"/>
      <c r="R567" s="48" t="n"/>
      <c r="S567" s="58" t="n"/>
      <c r="T567" s="42" t="n"/>
      <c r="U567" s="42" t="n"/>
      <c r="V567" s="48" t="n"/>
      <c r="W567" s="58" t="n"/>
      <c r="X567" s="42" t="n"/>
      <c r="Y567" s="42" t="n"/>
      <c r="Z567" s="48" t="n"/>
      <c r="AA567" s="58" t="n"/>
      <c r="AB567" s="42" t="n"/>
      <c r="AC567" s="42" t="n"/>
      <c r="AD567" s="48" t="n"/>
      <c r="AE567" s="58" t="n"/>
      <c r="AF567" s="42" t="n"/>
      <c r="AG567" s="42" t="n"/>
      <c r="AH567" s="48" t="n"/>
      <c r="AI567" s="58" t="n"/>
    </row>
    <row r="568">
      <c r="B568" s="2">
        <f>IF(STUDENTS!B567="","",STUDENTS!B567)</f>
        <v/>
      </c>
      <c r="C568" s="44">
        <f>IFERROR(IF(B568="","",_xlfn.XLOOKUP(B568,STUDENTS!$B$3:$B$1048576,STUDENTS!$C$3:$C$1048576)),"Enter a registered reg. no")</f>
        <v/>
      </c>
      <c r="F568" s="66" t="n"/>
      <c r="G568" s="67" t="n"/>
      <c r="J568" s="66" t="n"/>
      <c r="K568" s="67" t="n"/>
      <c r="N568" s="66" t="n"/>
      <c r="O568" s="67" t="n"/>
      <c r="R568" s="66" t="n"/>
      <c r="S568" s="67" t="n"/>
      <c r="V568" s="66" t="n"/>
      <c r="W568" s="67" t="n"/>
      <c r="Z568" s="66" t="n"/>
      <c r="AA568" s="67" t="n"/>
      <c r="AD568" s="66" t="n"/>
      <c r="AE568" s="67" t="n"/>
      <c r="AH568" s="66" t="n"/>
      <c r="AI568" s="67" t="n"/>
    </row>
    <row r="569">
      <c r="B569" s="2">
        <f>IF(STUDENTS!B568="","",STUDENTS!B568)</f>
        <v/>
      </c>
      <c r="C569" s="44">
        <f>IFERROR(IF(B569="","",_xlfn.XLOOKUP(B569,STUDENTS!$B$3:$B$1048576,STUDENTS!$C$3:$C$1048576)),"Enter a registered reg. no")</f>
        <v/>
      </c>
      <c r="D569" s="54" t="n"/>
      <c r="E569" s="55" t="n"/>
      <c r="F569" s="48" t="n"/>
      <c r="G569" s="58" t="n"/>
      <c r="H569" s="62" t="n"/>
      <c r="I569" s="63" t="n"/>
      <c r="J569" s="48" t="n"/>
      <c r="K569" s="58" t="n"/>
      <c r="L569" s="42" t="n"/>
      <c r="M569" s="42" t="n"/>
      <c r="N569" s="48" t="n"/>
      <c r="O569" s="58" t="n"/>
      <c r="P569" s="42" t="n"/>
      <c r="Q569" s="42" t="n"/>
      <c r="R569" s="48" t="n"/>
      <c r="S569" s="58" t="n"/>
      <c r="T569" s="42" t="n"/>
      <c r="U569" s="42" t="n"/>
      <c r="V569" s="48" t="n"/>
      <c r="W569" s="58" t="n"/>
      <c r="X569" s="42" t="n"/>
      <c r="Y569" s="42" t="n"/>
      <c r="Z569" s="48" t="n"/>
      <c r="AA569" s="58" t="n"/>
      <c r="AB569" s="42" t="n"/>
      <c r="AC569" s="42" t="n"/>
      <c r="AD569" s="48" t="n"/>
      <c r="AE569" s="58" t="n"/>
      <c r="AF569" s="42" t="n"/>
      <c r="AG569" s="42" t="n"/>
      <c r="AH569" s="48" t="n"/>
      <c r="AI569" s="58" t="n"/>
    </row>
    <row r="570">
      <c r="B570" s="2">
        <f>IF(STUDENTS!B569="","",STUDENTS!B569)</f>
        <v/>
      </c>
      <c r="C570" s="44">
        <f>IFERROR(IF(B570="","",_xlfn.XLOOKUP(B570,STUDENTS!$B$3:$B$1048576,STUDENTS!$C$3:$C$1048576)),"Enter a registered reg. no")</f>
        <v/>
      </c>
      <c r="F570" s="66" t="n"/>
      <c r="G570" s="67" t="n"/>
      <c r="J570" s="66" t="n"/>
      <c r="K570" s="67" t="n"/>
      <c r="N570" s="66" t="n"/>
      <c r="O570" s="67" t="n"/>
      <c r="R570" s="66" t="n"/>
      <c r="S570" s="67" t="n"/>
      <c r="V570" s="66" t="n"/>
      <c r="W570" s="67" t="n"/>
      <c r="Z570" s="66" t="n"/>
      <c r="AA570" s="67" t="n"/>
      <c r="AD570" s="66" t="n"/>
      <c r="AE570" s="67" t="n"/>
      <c r="AH570" s="66" t="n"/>
      <c r="AI570" s="67" t="n"/>
    </row>
    <row r="571">
      <c r="B571" s="2">
        <f>IF(STUDENTS!B570="","",STUDENTS!B570)</f>
        <v/>
      </c>
      <c r="C571" s="44">
        <f>IFERROR(IF(B571="","",_xlfn.XLOOKUP(B571,STUDENTS!$B$3:$B$1048576,STUDENTS!$C$3:$C$1048576)),"Enter a registered reg. no")</f>
        <v/>
      </c>
      <c r="D571" s="54" t="n"/>
      <c r="E571" s="55" t="n"/>
      <c r="F571" s="48" t="n"/>
      <c r="G571" s="58" t="n"/>
      <c r="H571" s="62" t="n"/>
      <c r="I571" s="63" t="n"/>
      <c r="J571" s="48" t="n"/>
      <c r="K571" s="58" t="n"/>
      <c r="L571" s="42" t="n"/>
      <c r="M571" s="42" t="n"/>
      <c r="N571" s="48" t="n"/>
      <c r="O571" s="58" t="n"/>
      <c r="P571" s="42" t="n"/>
      <c r="Q571" s="42" t="n"/>
      <c r="R571" s="48" t="n"/>
      <c r="S571" s="58" t="n"/>
      <c r="T571" s="42" t="n"/>
      <c r="U571" s="42" t="n"/>
      <c r="V571" s="48" t="n"/>
      <c r="W571" s="58" t="n"/>
      <c r="X571" s="42" t="n"/>
      <c r="Y571" s="42" t="n"/>
      <c r="Z571" s="48" t="n"/>
      <c r="AA571" s="58" t="n"/>
      <c r="AB571" s="42" t="n"/>
      <c r="AC571" s="42" t="n"/>
      <c r="AD571" s="48" t="n"/>
      <c r="AE571" s="58" t="n"/>
      <c r="AF571" s="42" t="n"/>
      <c r="AG571" s="42" t="n"/>
      <c r="AH571" s="48" t="n"/>
      <c r="AI571" s="58" t="n"/>
    </row>
    <row r="572">
      <c r="B572" s="2">
        <f>IF(STUDENTS!B571="","",STUDENTS!B571)</f>
        <v/>
      </c>
      <c r="C572" s="44">
        <f>IFERROR(IF(B572="","",_xlfn.XLOOKUP(B572,STUDENTS!$B$3:$B$1048576,STUDENTS!$C$3:$C$1048576)),"Enter a registered reg. no")</f>
        <v/>
      </c>
      <c r="F572" s="66" t="n"/>
      <c r="G572" s="67" t="n"/>
      <c r="J572" s="66" t="n"/>
      <c r="K572" s="67" t="n"/>
      <c r="N572" s="66" t="n"/>
      <c r="O572" s="67" t="n"/>
      <c r="R572" s="66" t="n"/>
      <c r="S572" s="67" t="n"/>
      <c r="V572" s="66" t="n"/>
      <c r="W572" s="67" t="n"/>
      <c r="Z572" s="66" t="n"/>
      <c r="AA572" s="67" t="n"/>
      <c r="AD572" s="66" t="n"/>
      <c r="AE572" s="67" t="n"/>
      <c r="AH572" s="66" t="n"/>
      <c r="AI572" s="67" t="n"/>
    </row>
    <row r="573">
      <c r="B573" s="2">
        <f>IF(STUDENTS!B572="","",STUDENTS!B572)</f>
        <v/>
      </c>
      <c r="C573" s="44">
        <f>IFERROR(IF(B573="","",_xlfn.XLOOKUP(B573,STUDENTS!$B$3:$B$1048576,STUDENTS!$C$3:$C$1048576)),"Enter a registered reg. no")</f>
        <v/>
      </c>
      <c r="D573" s="54" t="n"/>
      <c r="E573" s="55" t="n"/>
      <c r="F573" s="48" t="n"/>
      <c r="G573" s="58" t="n"/>
      <c r="H573" s="62" t="n"/>
      <c r="I573" s="63" t="n"/>
      <c r="J573" s="48" t="n"/>
      <c r="K573" s="58" t="n"/>
      <c r="L573" s="42" t="n"/>
      <c r="M573" s="42" t="n"/>
      <c r="N573" s="48" t="n"/>
      <c r="O573" s="58" t="n"/>
      <c r="P573" s="42" t="n"/>
      <c r="Q573" s="42" t="n"/>
      <c r="R573" s="48" t="n"/>
      <c r="S573" s="58" t="n"/>
      <c r="T573" s="42" t="n"/>
      <c r="U573" s="42" t="n"/>
      <c r="V573" s="48" t="n"/>
      <c r="W573" s="58" t="n"/>
      <c r="X573" s="42" t="n"/>
      <c r="Y573" s="42" t="n"/>
      <c r="Z573" s="48" t="n"/>
      <c r="AA573" s="58" t="n"/>
      <c r="AB573" s="42" t="n"/>
      <c r="AC573" s="42" t="n"/>
      <c r="AD573" s="48" t="n"/>
      <c r="AE573" s="58" t="n"/>
      <c r="AF573" s="42" t="n"/>
      <c r="AG573" s="42" t="n"/>
      <c r="AH573" s="48" t="n"/>
      <c r="AI573" s="58" t="n"/>
    </row>
    <row r="574">
      <c r="B574" s="2">
        <f>IF(STUDENTS!B573="","",STUDENTS!B573)</f>
        <v/>
      </c>
      <c r="C574" s="44">
        <f>IFERROR(IF(B574="","",_xlfn.XLOOKUP(B574,STUDENTS!$B$3:$B$1048576,STUDENTS!$C$3:$C$1048576)),"Enter a registered reg. no")</f>
        <v/>
      </c>
      <c r="F574" s="66" t="n"/>
      <c r="G574" s="67" t="n"/>
      <c r="J574" s="66" t="n"/>
      <c r="K574" s="67" t="n"/>
      <c r="N574" s="66" t="n"/>
      <c r="O574" s="67" t="n"/>
      <c r="R574" s="66" t="n"/>
      <c r="S574" s="67" t="n"/>
      <c r="V574" s="66" t="n"/>
      <c r="W574" s="67" t="n"/>
      <c r="Z574" s="66" t="n"/>
      <c r="AA574" s="67" t="n"/>
      <c r="AD574" s="66" t="n"/>
      <c r="AE574" s="67" t="n"/>
      <c r="AH574" s="66" t="n"/>
      <c r="AI574" s="67" t="n"/>
    </row>
    <row r="575">
      <c r="B575" s="2">
        <f>IF(STUDENTS!B574="","",STUDENTS!B574)</f>
        <v/>
      </c>
      <c r="C575" s="44">
        <f>IFERROR(IF(B575="","",_xlfn.XLOOKUP(B575,STUDENTS!$B$3:$B$1048576,STUDENTS!$C$3:$C$1048576)),"Enter a registered reg. no")</f>
        <v/>
      </c>
      <c r="D575" s="54" t="n"/>
      <c r="E575" s="55" t="n"/>
      <c r="F575" s="48" t="n"/>
      <c r="G575" s="58" t="n"/>
      <c r="H575" s="62" t="n"/>
      <c r="I575" s="63" t="n"/>
      <c r="J575" s="48" t="n"/>
      <c r="K575" s="58" t="n"/>
      <c r="L575" s="42" t="n"/>
      <c r="M575" s="42" t="n"/>
      <c r="N575" s="48" t="n"/>
      <c r="O575" s="58" t="n"/>
      <c r="P575" s="42" t="n"/>
      <c r="Q575" s="42" t="n"/>
      <c r="R575" s="48" t="n"/>
      <c r="S575" s="58" t="n"/>
      <c r="T575" s="42" t="n"/>
      <c r="U575" s="42" t="n"/>
      <c r="V575" s="48" t="n"/>
      <c r="W575" s="58" t="n"/>
      <c r="X575" s="42" t="n"/>
      <c r="Y575" s="42" t="n"/>
      <c r="Z575" s="48" t="n"/>
      <c r="AA575" s="58" t="n"/>
      <c r="AB575" s="42" t="n"/>
      <c r="AC575" s="42" t="n"/>
      <c r="AD575" s="48" t="n"/>
      <c r="AE575" s="58" t="n"/>
      <c r="AF575" s="42" t="n"/>
      <c r="AG575" s="42" t="n"/>
      <c r="AH575" s="48" t="n"/>
      <c r="AI575" s="58" t="n"/>
    </row>
    <row r="576">
      <c r="B576" s="2">
        <f>IF(STUDENTS!B575="","",STUDENTS!B575)</f>
        <v/>
      </c>
      <c r="C576" s="44">
        <f>IFERROR(IF(B576="","",_xlfn.XLOOKUP(B576,STUDENTS!$B$3:$B$1048576,STUDENTS!$C$3:$C$1048576)),"Enter a registered reg. no")</f>
        <v/>
      </c>
      <c r="F576" s="66" t="n"/>
      <c r="G576" s="67" t="n"/>
      <c r="J576" s="66" t="n"/>
      <c r="K576" s="67" t="n"/>
      <c r="N576" s="66" t="n"/>
      <c r="O576" s="67" t="n"/>
      <c r="R576" s="66" t="n"/>
      <c r="S576" s="67" t="n"/>
      <c r="V576" s="66" t="n"/>
      <c r="W576" s="67" t="n"/>
      <c r="Z576" s="66" t="n"/>
      <c r="AA576" s="67" t="n"/>
      <c r="AD576" s="66" t="n"/>
      <c r="AE576" s="67" t="n"/>
      <c r="AH576" s="66" t="n"/>
      <c r="AI576" s="67" t="n"/>
    </row>
    <row r="577">
      <c r="B577" s="2">
        <f>IF(STUDENTS!B576="","",STUDENTS!B576)</f>
        <v/>
      </c>
      <c r="C577" s="44">
        <f>IFERROR(IF(B577="","",_xlfn.XLOOKUP(B577,STUDENTS!$B$3:$B$1048576,STUDENTS!$C$3:$C$1048576)),"Enter a registered reg. no")</f>
        <v/>
      </c>
      <c r="D577" s="54" t="n"/>
      <c r="E577" s="55" t="n"/>
      <c r="F577" s="48" t="n"/>
      <c r="G577" s="58" t="n"/>
      <c r="H577" s="62" t="n"/>
      <c r="I577" s="63" t="n"/>
      <c r="J577" s="48" t="n"/>
      <c r="K577" s="58" t="n"/>
      <c r="L577" s="42" t="n"/>
      <c r="M577" s="42" t="n"/>
      <c r="N577" s="48" t="n"/>
      <c r="O577" s="58" t="n"/>
      <c r="P577" s="42" t="n"/>
      <c r="Q577" s="42" t="n"/>
      <c r="R577" s="48" t="n"/>
      <c r="S577" s="58" t="n"/>
      <c r="T577" s="42" t="n"/>
      <c r="U577" s="42" t="n"/>
      <c r="V577" s="48" t="n"/>
      <c r="W577" s="58" t="n"/>
      <c r="X577" s="42" t="n"/>
      <c r="Y577" s="42" t="n"/>
      <c r="Z577" s="48" t="n"/>
      <c r="AA577" s="58" t="n"/>
      <c r="AB577" s="42" t="n"/>
      <c r="AC577" s="42" t="n"/>
      <c r="AD577" s="48" t="n"/>
      <c r="AE577" s="58" t="n"/>
      <c r="AF577" s="42" t="n"/>
      <c r="AG577" s="42" t="n"/>
      <c r="AH577" s="48" t="n"/>
      <c r="AI577" s="58" t="n"/>
    </row>
    <row r="578">
      <c r="B578" s="2">
        <f>IF(STUDENTS!B577="","",STUDENTS!B577)</f>
        <v/>
      </c>
      <c r="C578" s="44">
        <f>IFERROR(IF(B578="","",_xlfn.XLOOKUP(B578,STUDENTS!$B$3:$B$1048576,STUDENTS!$C$3:$C$1048576)),"Enter a registered reg. no")</f>
        <v/>
      </c>
      <c r="F578" s="66" t="n"/>
      <c r="G578" s="67" t="n"/>
      <c r="J578" s="66" t="n"/>
      <c r="K578" s="67" t="n"/>
      <c r="N578" s="66" t="n"/>
      <c r="O578" s="67" t="n"/>
      <c r="R578" s="66" t="n"/>
      <c r="S578" s="67" t="n"/>
      <c r="V578" s="66" t="n"/>
      <c r="W578" s="67" t="n"/>
      <c r="Z578" s="66" t="n"/>
      <c r="AA578" s="67" t="n"/>
      <c r="AD578" s="66" t="n"/>
      <c r="AE578" s="67" t="n"/>
      <c r="AH578" s="66" t="n"/>
      <c r="AI578" s="67" t="n"/>
    </row>
    <row r="579">
      <c r="B579" s="2">
        <f>IF(STUDENTS!B578="","",STUDENTS!B578)</f>
        <v/>
      </c>
      <c r="C579" s="44">
        <f>IFERROR(IF(B579="","",_xlfn.XLOOKUP(B579,STUDENTS!$B$3:$B$1048576,STUDENTS!$C$3:$C$1048576)),"Enter a registered reg. no")</f>
        <v/>
      </c>
      <c r="D579" s="54" t="n"/>
      <c r="E579" s="55" t="n"/>
      <c r="F579" s="48" t="n"/>
      <c r="G579" s="58" t="n"/>
      <c r="H579" s="62" t="n"/>
      <c r="I579" s="63" t="n"/>
      <c r="J579" s="48" t="n"/>
      <c r="K579" s="58" t="n"/>
      <c r="L579" s="42" t="n"/>
      <c r="M579" s="42" t="n"/>
      <c r="N579" s="48" t="n"/>
      <c r="O579" s="58" t="n"/>
      <c r="P579" s="42" t="n"/>
      <c r="Q579" s="42" t="n"/>
      <c r="R579" s="48" t="n"/>
      <c r="S579" s="58" t="n"/>
      <c r="T579" s="42" t="n"/>
      <c r="U579" s="42" t="n"/>
      <c r="V579" s="48" t="n"/>
      <c r="W579" s="58" t="n"/>
      <c r="X579" s="42" t="n"/>
      <c r="Y579" s="42" t="n"/>
      <c r="Z579" s="48" t="n"/>
      <c r="AA579" s="58" t="n"/>
      <c r="AB579" s="42" t="n"/>
      <c r="AC579" s="42" t="n"/>
      <c r="AD579" s="48" t="n"/>
      <c r="AE579" s="58" t="n"/>
      <c r="AF579" s="42" t="n"/>
      <c r="AG579" s="42" t="n"/>
      <c r="AH579" s="48" t="n"/>
      <c r="AI579" s="58" t="n"/>
    </row>
    <row r="580">
      <c r="B580" s="2">
        <f>IF(STUDENTS!B579="","",STUDENTS!B579)</f>
        <v/>
      </c>
      <c r="C580" s="44">
        <f>IFERROR(IF(B580="","",_xlfn.XLOOKUP(B580,STUDENTS!$B$3:$B$1048576,STUDENTS!$C$3:$C$1048576)),"Enter a registered reg. no")</f>
        <v/>
      </c>
      <c r="F580" s="66" t="n"/>
      <c r="G580" s="67" t="n"/>
      <c r="J580" s="66" t="n"/>
      <c r="K580" s="67" t="n"/>
      <c r="N580" s="66" t="n"/>
      <c r="O580" s="67" t="n"/>
      <c r="R580" s="66" t="n"/>
      <c r="S580" s="67" t="n"/>
      <c r="V580" s="66" t="n"/>
      <c r="W580" s="67" t="n"/>
      <c r="Z580" s="66" t="n"/>
      <c r="AA580" s="67" t="n"/>
      <c r="AD580" s="66" t="n"/>
      <c r="AE580" s="67" t="n"/>
      <c r="AH580" s="66" t="n"/>
      <c r="AI580" s="67" t="n"/>
    </row>
    <row r="581">
      <c r="B581" s="2">
        <f>IF(STUDENTS!B580="","",STUDENTS!B580)</f>
        <v/>
      </c>
      <c r="C581" s="44">
        <f>IFERROR(IF(B581="","",_xlfn.XLOOKUP(B581,STUDENTS!$B$3:$B$1048576,STUDENTS!$C$3:$C$1048576)),"Enter a registered reg. no")</f>
        <v/>
      </c>
      <c r="D581" s="54" t="n"/>
      <c r="E581" s="55" t="n"/>
      <c r="F581" s="48" t="n"/>
      <c r="G581" s="58" t="n"/>
      <c r="H581" s="62" t="n"/>
      <c r="I581" s="63" t="n"/>
      <c r="J581" s="48" t="n"/>
      <c r="K581" s="58" t="n"/>
      <c r="L581" s="42" t="n"/>
      <c r="M581" s="42" t="n"/>
      <c r="N581" s="48" t="n"/>
      <c r="O581" s="58" t="n"/>
      <c r="P581" s="42" t="n"/>
      <c r="Q581" s="42" t="n"/>
      <c r="R581" s="48" t="n"/>
      <c r="S581" s="58" t="n"/>
      <c r="T581" s="42" t="n"/>
      <c r="U581" s="42" t="n"/>
      <c r="V581" s="48" t="n"/>
      <c r="W581" s="58" t="n"/>
      <c r="X581" s="42" t="n"/>
      <c r="Y581" s="42" t="n"/>
      <c r="Z581" s="48" t="n"/>
      <c r="AA581" s="58" t="n"/>
      <c r="AB581" s="42" t="n"/>
      <c r="AC581" s="42" t="n"/>
      <c r="AD581" s="48" t="n"/>
      <c r="AE581" s="58" t="n"/>
      <c r="AF581" s="42" t="n"/>
      <c r="AG581" s="42" t="n"/>
      <c r="AH581" s="48" t="n"/>
      <c r="AI581" s="58" t="n"/>
    </row>
    <row r="582">
      <c r="B582" s="2">
        <f>IF(STUDENTS!B581="","",STUDENTS!B581)</f>
        <v/>
      </c>
      <c r="C582" s="44">
        <f>IFERROR(IF(B582="","",_xlfn.XLOOKUP(B582,STUDENTS!$B$3:$B$1048576,STUDENTS!$C$3:$C$1048576)),"Enter a registered reg. no")</f>
        <v/>
      </c>
      <c r="F582" s="66" t="n"/>
      <c r="G582" s="67" t="n"/>
      <c r="J582" s="66" t="n"/>
      <c r="K582" s="67" t="n"/>
      <c r="N582" s="66" t="n"/>
      <c r="O582" s="67" t="n"/>
      <c r="R582" s="66" t="n"/>
      <c r="S582" s="67" t="n"/>
      <c r="V582" s="66" t="n"/>
      <c r="W582" s="67" t="n"/>
      <c r="Z582" s="66" t="n"/>
      <c r="AA582" s="67" t="n"/>
      <c r="AD582" s="66" t="n"/>
      <c r="AE582" s="67" t="n"/>
      <c r="AH582" s="66" t="n"/>
      <c r="AI582" s="67" t="n"/>
    </row>
    <row r="583">
      <c r="B583" s="2">
        <f>IF(STUDENTS!B582="","",STUDENTS!B582)</f>
        <v/>
      </c>
      <c r="C583" s="44">
        <f>IFERROR(IF(B583="","",_xlfn.XLOOKUP(B583,STUDENTS!$B$3:$B$1048576,STUDENTS!$C$3:$C$1048576)),"Enter a registered reg. no")</f>
        <v/>
      </c>
      <c r="D583" s="54" t="n"/>
      <c r="E583" s="55" t="n"/>
      <c r="F583" s="48" t="n"/>
      <c r="G583" s="58" t="n"/>
      <c r="H583" s="62" t="n"/>
      <c r="I583" s="63" t="n"/>
      <c r="J583" s="48" t="n"/>
      <c r="K583" s="58" t="n"/>
      <c r="L583" s="42" t="n"/>
      <c r="M583" s="42" t="n"/>
      <c r="N583" s="48" t="n"/>
      <c r="O583" s="58" t="n"/>
      <c r="P583" s="42" t="n"/>
      <c r="Q583" s="42" t="n"/>
      <c r="R583" s="48" t="n"/>
      <c r="S583" s="58" t="n"/>
      <c r="T583" s="42" t="n"/>
      <c r="U583" s="42" t="n"/>
      <c r="V583" s="48" t="n"/>
      <c r="W583" s="58" t="n"/>
      <c r="X583" s="42" t="n"/>
      <c r="Y583" s="42" t="n"/>
      <c r="Z583" s="48" t="n"/>
      <c r="AA583" s="58" t="n"/>
      <c r="AB583" s="42" t="n"/>
      <c r="AC583" s="42" t="n"/>
      <c r="AD583" s="48" t="n"/>
      <c r="AE583" s="58" t="n"/>
      <c r="AF583" s="42" t="n"/>
      <c r="AG583" s="42" t="n"/>
      <c r="AH583" s="48" t="n"/>
      <c r="AI583" s="58" t="n"/>
    </row>
    <row r="584">
      <c r="B584" s="2">
        <f>IF(STUDENTS!B583="","",STUDENTS!B583)</f>
        <v/>
      </c>
      <c r="C584" s="44">
        <f>IFERROR(IF(B584="","",_xlfn.XLOOKUP(B584,STUDENTS!$B$3:$B$1048576,STUDENTS!$C$3:$C$1048576)),"Enter a registered reg. no")</f>
        <v/>
      </c>
      <c r="F584" s="66" t="n"/>
      <c r="G584" s="67" t="n"/>
      <c r="J584" s="66" t="n"/>
      <c r="K584" s="67" t="n"/>
      <c r="N584" s="66" t="n"/>
      <c r="O584" s="67" t="n"/>
      <c r="R584" s="66" t="n"/>
      <c r="S584" s="67" t="n"/>
      <c r="V584" s="66" t="n"/>
      <c r="W584" s="67" t="n"/>
      <c r="Z584" s="66" t="n"/>
      <c r="AA584" s="67" t="n"/>
      <c r="AD584" s="66" t="n"/>
      <c r="AE584" s="67" t="n"/>
      <c r="AH584" s="66" t="n"/>
      <c r="AI584" s="67" t="n"/>
    </row>
    <row r="585">
      <c r="B585" s="2">
        <f>IF(STUDENTS!B584="","",STUDENTS!B584)</f>
        <v/>
      </c>
      <c r="C585" s="44">
        <f>IFERROR(IF(B585="","",_xlfn.XLOOKUP(B585,STUDENTS!$B$3:$B$1048576,STUDENTS!$C$3:$C$1048576)),"Enter a registered reg. no")</f>
        <v/>
      </c>
      <c r="D585" s="54" t="n"/>
      <c r="E585" s="55" t="n"/>
      <c r="F585" s="48" t="n"/>
      <c r="G585" s="58" t="n"/>
      <c r="H585" s="62" t="n"/>
      <c r="I585" s="63" t="n"/>
      <c r="J585" s="48" t="n"/>
      <c r="K585" s="58" t="n"/>
      <c r="L585" s="42" t="n"/>
      <c r="M585" s="42" t="n"/>
      <c r="N585" s="48" t="n"/>
      <c r="O585" s="58" t="n"/>
      <c r="P585" s="42" t="n"/>
      <c r="Q585" s="42" t="n"/>
      <c r="R585" s="48" t="n"/>
      <c r="S585" s="58" t="n"/>
      <c r="T585" s="42" t="n"/>
      <c r="U585" s="42" t="n"/>
      <c r="V585" s="48" t="n"/>
      <c r="W585" s="58" t="n"/>
      <c r="X585" s="42" t="n"/>
      <c r="Y585" s="42" t="n"/>
      <c r="Z585" s="48" t="n"/>
      <c r="AA585" s="58" t="n"/>
      <c r="AB585" s="42" t="n"/>
      <c r="AC585" s="42" t="n"/>
      <c r="AD585" s="48" t="n"/>
      <c r="AE585" s="58" t="n"/>
      <c r="AF585" s="42" t="n"/>
      <c r="AG585" s="42" t="n"/>
      <c r="AH585" s="48" t="n"/>
      <c r="AI585" s="58" t="n"/>
    </row>
    <row r="586">
      <c r="B586" s="2">
        <f>IF(STUDENTS!B585="","",STUDENTS!B585)</f>
        <v/>
      </c>
      <c r="C586" s="44">
        <f>IFERROR(IF(B586="","",_xlfn.XLOOKUP(B586,STUDENTS!$B$3:$B$1048576,STUDENTS!$C$3:$C$1048576)),"Enter a registered reg. no")</f>
        <v/>
      </c>
      <c r="F586" s="66" t="n"/>
      <c r="G586" s="67" t="n"/>
      <c r="J586" s="66" t="n"/>
      <c r="K586" s="67" t="n"/>
      <c r="N586" s="66" t="n"/>
      <c r="O586" s="67" t="n"/>
      <c r="R586" s="66" t="n"/>
      <c r="S586" s="67" t="n"/>
      <c r="V586" s="66" t="n"/>
      <c r="W586" s="67" t="n"/>
      <c r="Z586" s="66" t="n"/>
      <c r="AA586" s="67" t="n"/>
      <c r="AD586" s="66" t="n"/>
      <c r="AE586" s="67" t="n"/>
      <c r="AH586" s="66" t="n"/>
      <c r="AI586" s="67" t="n"/>
    </row>
    <row r="587">
      <c r="B587" s="2">
        <f>IF(STUDENTS!B586="","",STUDENTS!B586)</f>
        <v/>
      </c>
      <c r="C587" s="44">
        <f>IFERROR(IF(B587="","",_xlfn.XLOOKUP(B587,STUDENTS!$B$3:$B$1048576,STUDENTS!$C$3:$C$1048576)),"Enter a registered reg. no")</f>
        <v/>
      </c>
      <c r="D587" s="54" t="n"/>
      <c r="E587" s="55" t="n"/>
      <c r="F587" s="48" t="n"/>
      <c r="G587" s="58" t="n"/>
      <c r="H587" s="62" t="n"/>
      <c r="I587" s="63" t="n"/>
      <c r="J587" s="48" t="n"/>
      <c r="K587" s="58" t="n"/>
      <c r="L587" s="42" t="n"/>
      <c r="M587" s="42" t="n"/>
      <c r="N587" s="48" t="n"/>
      <c r="O587" s="58" t="n"/>
      <c r="P587" s="42" t="n"/>
      <c r="Q587" s="42" t="n"/>
      <c r="R587" s="48" t="n"/>
      <c r="S587" s="58" t="n"/>
      <c r="T587" s="42" t="n"/>
      <c r="U587" s="42" t="n"/>
      <c r="V587" s="48" t="n"/>
      <c r="W587" s="58" t="n"/>
      <c r="X587" s="42" t="n"/>
      <c r="Y587" s="42" t="n"/>
      <c r="Z587" s="48" t="n"/>
      <c r="AA587" s="58" t="n"/>
      <c r="AB587" s="42" t="n"/>
      <c r="AC587" s="42" t="n"/>
      <c r="AD587" s="48" t="n"/>
      <c r="AE587" s="58" t="n"/>
      <c r="AF587" s="42" t="n"/>
      <c r="AG587" s="42" t="n"/>
      <c r="AH587" s="48" t="n"/>
      <c r="AI587" s="58" t="n"/>
    </row>
    <row r="588">
      <c r="B588" s="2">
        <f>IF(STUDENTS!B587="","",STUDENTS!B587)</f>
        <v/>
      </c>
      <c r="C588" s="44">
        <f>IFERROR(IF(B588="","",_xlfn.XLOOKUP(B588,STUDENTS!$B$3:$B$1048576,STUDENTS!$C$3:$C$1048576)),"Enter a registered reg. no")</f>
        <v/>
      </c>
      <c r="F588" s="66" t="n"/>
      <c r="G588" s="67" t="n"/>
      <c r="J588" s="66" t="n"/>
      <c r="K588" s="67" t="n"/>
      <c r="N588" s="66" t="n"/>
      <c r="O588" s="67" t="n"/>
      <c r="R588" s="66" t="n"/>
      <c r="S588" s="67" t="n"/>
      <c r="V588" s="66" t="n"/>
      <c r="W588" s="67" t="n"/>
      <c r="Z588" s="66" t="n"/>
      <c r="AA588" s="67" t="n"/>
      <c r="AD588" s="66" t="n"/>
      <c r="AE588" s="67" t="n"/>
      <c r="AH588" s="66" t="n"/>
      <c r="AI588" s="67" t="n"/>
    </row>
    <row r="589">
      <c r="B589" s="2">
        <f>IF(STUDENTS!B588="","",STUDENTS!B588)</f>
        <v/>
      </c>
      <c r="C589" s="44">
        <f>IFERROR(IF(B589="","",_xlfn.XLOOKUP(B589,STUDENTS!$B$3:$B$1048576,STUDENTS!$C$3:$C$1048576)),"Enter a registered reg. no")</f>
        <v/>
      </c>
      <c r="D589" s="54" t="n"/>
      <c r="E589" s="55" t="n"/>
      <c r="F589" s="48" t="n"/>
      <c r="G589" s="58" t="n"/>
      <c r="H589" s="62" t="n"/>
      <c r="I589" s="63" t="n"/>
      <c r="J589" s="48" t="n"/>
      <c r="K589" s="58" t="n"/>
      <c r="L589" s="42" t="n"/>
      <c r="M589" s="42" t="n"/>
      <c r="N589" s="48" t="n"/>
      <c r="O589" s="58" t="n"/>
      <c r="P589" s="42" t="n"/>
      <c r="Q589" s="42" t="n"/>
      <c r="R589" s="48" t="n"/>
      <c r="S589" s="58" t="n"/>
      <c r="T589" s="42" t="n"/>
      <c r="U589" s="42" t="n"/>
      <c r="V589" s="48" t="n"/>
      <c r="W589" s="58" t="n"/>
      <c r="X589" s="42" t="n"/>
      <c r="Y589" s="42" t="n"/>
      <c r="Z589" s="48" t="n"/>
      <c r="AA589" s="58" t="n"/>
      <c r="AB589" s="42" t="n"/>
      <c r="AC589" s="42" t="n"/>
      <c r="AD589" s="48" t="n"/>
      <c r="AE589" s="58" t="n"/>
      <c r="AF589" s="42" t="n"/>
      <c r="AG589" s="42" t="n"/>
      <c r="AH589" s="48" t="n"/>
      <c r="AI589" s="58" t="n"/>
    </row>
    <row r="590">
      <c r="B590" s="2">
        <f>IF(STUDENTS!B589="","",STUDENTS!B589)</f>
        <v/>
      </c>
      <c r="C590" s="44">
        <f>IFERROR(IF(B590="","",_xlfn.XLOOKUP(B590,STUDENTS!$B$3:$B$1048576,STUDENTS!$C$3:$C$1048576)),"Enter a registered reg. no")</f>
        <v/>
      </c>
      <c r="F590" s="66" t="n"/>
      <c r="G590" s="67" t="n"/>
      <c r="J590" s="66" t="n"/>
      <c r="K590" s="67" t="n"/>
      <c r="N590" s="66" t="n"/>
      <c r="O590" s="67" t="n"/>
      <c r="R590" s="66" t="n"/>
      <c r="S590" s="67" t="n"/>
      <c r="V590" s="66" t="n"/>
      <c r="W590" s="67" t="n"/>
      <c r="Z590" s="66" t="n"/>
      <c r="AA590" s="67" t="n"/>
      <c r="AD590" s="66" t="n"/>
      <c r="AE590" s="67" t="n"/>
      <c r="AH590" s="66" t="n"/>
      <c r="AI590" s="67" t="n"/>
    </row>
    <row r="591">
      <c r="B591" s="2">
        <f>IF(STUDENTS!B590="","",STUDENTS!B590)</f>
        <v/>
      </c>
      <c r="C591" s="44">
        <f>IFERROR(IF(B591="","",_xlfn.XLOOKUP(B591,STUDENTS!$B$3:$B$1048576,STUDENTS!$C$3:$C$1048576)),"Enter a registered reg. no")</f>
        <v/>
      </c>
      <c r="D591" s="54" t="n"/>
      <c r="E591" s="55" t="n"/>
      <c r="F591" s="48" t="n"/>
      <c r="G591" s="58" t="n"/>
      <c r="H591" s="62" t="n"/>
      <c r="I591" s="63" t="n"/>
      <c r="J591" s="48" t="n"/>
      <c r="K591" s="58" t="n"/>
      <c r="L591" s="42" t="n"/>
      <c r="M591" s="42" t="n"/>
      <c r="N591" s="48" t="n"/>
      <c r="O591" s="58" t="n"/>
      <c r="P591" s="42" t="n"/>
      <c r="Q591" s="42" t="n"/>
      <c r="R591" s="48" t="n"/>
      <c r="S591" s="58" t="n"/>
      <c r="T591" s="42" t="n"/>
      <c r="U591" s="42" t="n"/>
      <c r="V591" s="48" t="n"/>
      <c r="W591" s="58" t="n"/>
      <c r="X591" s="42" t="n"/>
      <c r="Y591" s="42" t="n"/>
      <c r="Z591" s="48" t="n"/>
      <c r="AA591" s="58" t="n"/>
      <c r="AB591" s="42" t="n"/>
      <c r="AC591" s="42" t="n"/>
      <c r="AD591" s="48" t="n"/>
      <c r="AE591" s="58" t="n"/>
      <c r="AF591" s="42" t="n"/>
      <c r="AG591" s="42" t="n"/>
      <c r="AH591" s="48" t="n"/>
      <c r="AI591" s="58" t="n"/>
    </row>
    <row r="592">
      <c r="B592" s="2">
        <f>IF(STUDENTS!B591="","",STUDENTS!B591)</f>
        <v/>
      </c>
      <c r="C592" s="44">
        <f>IFERROR(IF(B592="","",_xlfn.XLOOKUP(B592,STUDENTS!$B$3:$B$1048576,STUDENTS!$C$3:$C$1048576)),"Enter a registered reg. no")</f>
        <v/>
      </c>
      <c r="F592" s="66" t="n"/>
      <c r="G592" s="67" t="n"/>
      <c r="J592" s="66" t="n"/>
      <c r="K592" s="67" t="n"/>
      <c r="N592" s="66" t="n"/>
      <c r="O592" s="67" t="n"/>
      <c r="R592" s="66" t="n"/>
      <c r="S592" s="67" t="n"/>
      <c r="V592" s="66" t="n"/>
      <c r="W592" s="67" t="n"/>
      <c r="Z592" s="66" t="n"/>
      <c r="AA592" s="67" t="n"/>
      <c r="AD592" s="66" t="n"/>
      <c r="AE592" s="67" t="n"/>
      <c r="AH592" s="66" t="n"/>
      <c r="AI592" s="67" t="n"/>
    </row>
    <row r="593">
      <c r="B593" s="2">
        <f>IF(STUDENTS!B592="","",STUDENTS!B592)</f>
        <v/>
      </c>
      <c r="C593" s="44">
        <f>IFERROR(IF(B593="","",_xlfn.XLOOKUP(B593,STUDENTS!$B$3:$B$1048576,STUDENTS!$C$3:$C$1048576)),"Enter a registered reg. no")</f>
        <v/>
      </c>
      <c r="D593" s="54" t="n"/>
      <c r="E593" s="55" t="n"/>
      <c r="F593" s="48" t="n"/>
      <c r="G593" s="58" t="n"/>
      <c r="H593" s="62" t="n"/>
      <c r="I593" s="63" t="n"/>
      <c r="J593" s="48" t="n"/>
      <c r="K593" s="58" t="n"/>
      <c r="L593" s="42" t="n"/>
      <c r="M593" s="42" t="n"/>
      <c r="N593" s="48" t="n"/>
      <c r="O593" s="58" t="n"/>
      <c r="P593" s="42" t="n"/>
      <c r="Q593" s="42" t="n"/>
      <c r="R593" s="48" t="n"/>
      <c r="S593" s="58" t="n"/>
      <c r="T593" s="42" t="n"/>
      <c r="U593" s="42" t="n"/>
      <c r="V593" s="48" t="n"/>
      <c r="W593" s="58" t="n"/>
      <c r="X593" s="42" t="n"/>
      <c r="Y593" s="42" t="n"/>
      <c r="Z593" s="48" t="n"/>
      <c r="AA593" s="58" t="n"/>
      <c r="AB593" s="42" t="n"/>
      <c r="AC593" s="42" t="n"/>
      <c r="AD593" s="48" t="n"/>
      <c r="AE593" s="58" t="n"/>
      <c r="AF593" s="42" t="n"/>
      <c r="AG593" s="42" t="n"/>
      <c r="AH593" s="48" t="n"/>
      <c r="AI593" s="58" t="n"/>
    </row>
    <row r="594">
      <c r="B594" s="2">
        <f>IF(STUDENTS!B593="","",STUDENTS!B593)</f>
        <v/>
      </c>
      <c r="C594" s="44">
        <f>IFERROR(IF(B594="","",_xlfn.XLOOKUP(B594,STUDENTS!$B$3:$B$1048576,STUDENTS!$C$3:$C$1048576)),"Enter a registered reg. no")</f>
        <v/>
      </c>
      <c r="F594" s="66" t="n"/>
      <c r="G594" s="67" t="n"/>
      <c r="J594" s="66" t="n"/>
      <c r="K594" s="67" t="n"/>
      <c r="N594" s="66" t="n"/>
      <c r="O594" s="67" t="n"/>
      <c r="R594" s="66" t="n"/>
      <c r="S594" s="67" t="n"/>
      <c r="V594" s="66" t="n"/>
      <c r="W594" s="67" t="n"/>
      <c r="Z594" s="66" t="n"/>
      <c r="AA594" s="67" t="n"/>
      <c r="AD594" s="66" t="n"/>
      <c r="AE594" s="67" t="n"/>
      <c r="AH594" s="66" t="n"/>
      <c r="AI594" s="67" t="n"/>
    </row>
    <row r="595">
      <c r="B595" s="2">
        <f>IF(STUDENTS!B594="","",STUDENTS!B594)</f>
        <v/>
      </c>
      <c r="C595" s="44">
        <f>IFERROR(IF(B595="","",_xlfn.XLOOKUP(B595,STUDENTS!$B$3:$B$1048576,STUDENTS!$C$3:$C$1048576)),"Enter a registered reg. no")</f>
        <v/>
      </c>
      <c r="D595" s="54" t="n"/>
      <c r="E595" s="55" t="n"/>
      <c r="F595" s="48" t="n"/>
      <c r="G595" s="58" t="n"/>
      <c r="H595" s="62" t="n"/>
      <c r="I595" s="63" t="n"/>
      <c r="J595" s="48" t="n"/>
      <c r="K595" s="58" t="n"/>
      <c r="L595" s="42" t="n"/>
      <c r="M595" s="42" t="n"/>
      <c r="N595" s="48" t="n"/>
      <c r="O595" s="58" t="n"/>
      <c r="P595" s="42" t="n"/>
      <c r="Q595" s="42" t="n"/>
      <c r="R595" s="48" t="n"/>
      <c r="S595" s="58" t="n"/>
      <c r="T595" s="42" t="n"/>
      <c r="U595" s="42" t="n"/>
      <c r="V595" s="48" t="n"/>
      <c r="W595" s="58" t="n"/>
      <c r="X595" s="42" t="n"/>
      <c r="Y595" s="42" t="n"/>
      <c r="Z595" s="48" t="n"/>
      <c r="AA595" s="58" t="n"/>
      <c r="AB595" s="42" t="n"/>
      <c r="AC595" s="42" t="n"/>
      <c r="AD595" s="48" t="n"/>
      <c r="AE595" s="58" t="n"/>
      <c r="AF595" s="42" t="n"/>
      <c r="AG595" s="42" t="n"/>
      <c r="AH595" s="48" t="n"/>
      <c r="AI595" s="58" t="n"/>
    </row>
    <row r="596">
      <c r="B596" s="2">
        <f>IF(STUDENTS!B595="","",STUDENTS!B595)</f>
        <v/>
      </c>
      <c r="C596" s="44">
        <f>IFERROR(IF(B596="","",_xlfn.XLOOKUP(B596,STUDENTS!$B$3:$B$1048576,STUDENTS!$C$3:$C$1048576)),"Enter a registered reg. no")</f>
        <v/>
      </c>
      <c r="F596" s="66" t="n"/>
      <c r="G596" s="67" t="n"/>
      <c r="J596" s="66" t="n"/>
      <c r="K596" s="67" t="n"/>
      <c r="N596" s="66" t="n"/>
      <c r="O596" s="67" t="n"/>
      <c r="R596" s="66" t="n"/>
      <c r="S596" s="67" t="n"/>
      <c r="V596" s="66" t="n"/>
      <c r="W596" s="67" t="n"/>
      <c r="Z596" s="66" t="n"/>
      <c r="AA596" s="67" t="n"/>
      <c r="AD596" s="66" t="n"/>
      <c r="AE596" s="67" t="n"/>
      <c r="AH596" s="66" t="n"/>
      <c r="AI596" s="67" t="n"/>
    </row>
    <row r="597">
      <c r="B597" s="2">
        <f>IF(STUDENTS!B596="","",STUDENTS!B596)</f>
        <v/>
      </c>
      <c r="C597" s="44">
        <f>IFERROR(IF(B597="","",_xlfn.XLOOKUP(B597,STUDENTS!$B$3:$B$1048576,STUDENTS!$C$3:$C$1048576)),"Enter a registered reg. no")</f>
        <v/>
      </c>
      <c r="D597" s="54" t="n"/>
      <c r="E597" s="55" t="n"/>
      <c r="F597" s="48" t="n"/>
      <c r="G597" s="58" t="n"/>
      <c r="H597" s="62" t="n"/>
      <c r="I597" s="63" t="n"/>
      <c r="J597" s="48" t="n"/>
      <c r="K597" s="58" t="n"/>
      <c r="L597" s="42" t="n"/>
      <c r="M597" s="42" t="n"/>
      <c r="N597" s="48" t="n"/>
      <c r="O597" s="58" t="n"/>
      <c r="P597" s="42" t="n"/>
      <c r="Q597" s="42" t="n"/>
      <c r="R597" s="48" t="n"/>
      <c r="S597" s="58" t="n"/>
      <c r="T597" s="42" t="n"/>
      <c r="U597" s="42" t="n"/>
      <c r="V597" s="48" t="n"/>
      <c r="W597" s="58" t="n"/>
      <c r="X597" s="42" t="n"/>
      <c r="Y597" s="42" t="n"/>
      <c r="Z597" s="48" t="n"/>
      <c r="AA597" s="58" t="n"/>
      <c r="AB597" s="42" t="n"/>
      <c r="AC597" s="42" t="n"/>
      <c r="AD597" s="48" t="n"/>
      <c r="AE597" s="58" t="n"/>
      <c r="AF597" s="42" t="n"/>
      <c r="AG597" s="42" t="n"/>
      <c r="AH597" s="48" t="n"/>
      <c r="AI597" s="58" t="n"/>
    </row>
    <row r="598">
      <c r="B598" s="2">
        <f>IF(STUDENTS!B597="","",STUDENTS!B597)</f>
        <v/>
      </c>
      <c r="C598" s="44">
        <f>IFERROR(IF(B598="","",_xlfn.XLOOKUP(B598,STUDENTS!$B$3:$B$1048576,STUDENTS!$C$3:$C$1048576)),"Enter a registered reg. no")</f>
        <v/>
      </c>
      <c r="F598" s="66" t="n"/>
      <c r="G598" s="67" t="n"/>
      <c r="J598" s="66" t="n"/>
      <c r="K598" s="67" t="n"/>
      <c r="N598" s="66" t="n"/>
      <c r="O598" s="67" t="n"/>
      <c r="R598" s="66" t="n"/>
      <c r="S598" s="67" t="n"/>
      <c r="V598" s="66" t="n"/>
      <c r="W598" s="67" t="n"/>
      <c r="Z598" s="66" t="n"/>
      <c r="AA598" s="67" t="n"/>
      <c r="AD598" s="66" t="n"/>
      <c r="AE598" s="67" t="n"/>
      <c r="AH598" s="66" t="n"/>
      <c r="AI598" s="67" t="n"/>
    </row>
    <row r="599">
      <c r="B599" s="2">
        <f>IF(STUDENTS!B598="","",STUDENTS!B598)</f>
        <v/>
      </c>
      <c r="C599" s="44">
        <f>IFERROR(IF(B599="","",_xlfn.XLOOKUP(B599,STUDENTS!$B$3:$B$1048576,STUDENTS!$C$3:$C$1048576)),"Enter a registered reg. no")</f>
        <v/>
      </c>
      <c r="D599" s="54" t="n"/>
      <c r="E599" s="55" t="n"/>
      <c r="F599" s="48" t="n"/>
      <c r="G599" s="58" t="n"/>
      <c r="H599" s="62" t="n"/>
      <c r="I599" s="63" t="n"/>
      <c r="J599" s="48" t="n"/>
      <c r="K599" s="58" t="n"/>
      <c r="L599" s="42" t="n"/>
      <c r="M599" s="42" t="n"/>
      <c r="N599" s="48" t="n"/>
      <c r="O599" s="58" t="n"/>
      <c r="P599" s="42" t="n"/>
      <c r="Q599" s="42" t="n"/>
      <c r="R599" s="48" t="n"/>
      <c r="S599" s="58" t="n"/>
      <c r="T599" s="42" t="n"/>
      <c r="U599" s="42" t="n"/>
      <c r="V599" s="48" t="n"/>
      <c r="W599" s="58" t="n"/>
      <c r="X599" s="42" t="n"/>
      <c r="Y599" s="42" t="n"/>
      <c r="Z599" s="48" t="n"/>
      <c r="AA599" s="58" t="n"/>
      <c r="AB599" s="42" t="n"/>
      <c r="AC599" s="42" t="n"/>
      <c r="AD599" s="48" t="n"/>
      <c r="AE599" s="58" t="n"/>
      <c r="AF599" s="42" t="n"/>
      <c r="AG599" s="42" t="n"/>
      <c r="AH599" s="48" t="n"/>
      <c r="AI599" s="58" t="n"/>
    </row>
    <row r="600">
      <c r="B600" s="2">
        <f>IF(STUDENTS!B599="","",STUDENTS!B599)</f>
        <v/>
      </c>
      <c r="C600" s="44">
        <f>IFERROR(IF(B600="","",_xlfn.XLOOKUP(B600,STUDENTS!$B$3:$B$1048576,STUDENTS!$C$3:$C$1048576)),"Enter a registered reg. no")</f>
        <v/>
      </c>
      <c r="F600" s="66" t="n"/>
      <c r="G600" s="67" t="n"/>
      <c r="J600" s="66" t="n"/>
      <c r="K600" s="67" t="n"/>
      <c r="N600" s="66" t="n"/>
      <c r="O600" s="67" t="n"/>
      <c r="R600" s="66" t="n"/>
      <c r="S600" s="67" t="n"/>
      <c r="V600" s="66" t="n"/>
      <c r="W600" s="67" t="n"/>
      <c r="Z600" s="66" t="n"/>
      <c r="AA600" s="67" t="n"/>
      <c r="AD600" s="66" t="n"/>
      <c r="AE600" s="67" t="n"/>
      <c r="AH600" s="66" t="n"/>
      <c r="AI600" s="67" t="n"/>
    </row>
    <row r="601">
      <c r="B601" s="2">
        <f>IF(STUDENTS!B600="","",STUDENTS!B600)</f>
        <v/>
      </c>
      <c r="C601" s="44">
        <f>IFERROR(IF(B601="","",_xlfn.XLOOKUP(B601,STUDENTS!$B$3:$B$1048576,STUDENTS!$C$3:$C$1048576)),"Enter a registered reg. no")</f>
        <v/>
      </c>
      <c r="D601" s="54" t="n"/>
      <c r="E601" s="55" t="n"/>
      <c r="F601" s="48" t="n"/>
      <c r="G601" s="58" t="n"/>
      <c r="H601" s="62" t="n"/>
      <c r="I601" s="63" t="n"/>
      <c r="J601" s="48" t="n"/>
      <c r="K601" s="58" t="n"/>
      <c r="L601" s="42" t="n"/>
      <c r="M601" s="42" t="n"/>
      <c r="N601" s="48" t="n"/>
      <c r="O601" s="58" t="n"/>
      <c r="P601" s="42" t="n"/>
      <c r="Q601" s="42" t="n"/>
      <c r="R601" s="48" t="n"/>
      <c r="S601" s="58" t="n"/>
      <c r="T601" s="42" t="n"/>
      <c r="U601" s="42" t="n"/>
      <c r="V601" s="48" t="n"/>
      <c r="W601" s="58" t="n"/>
      <c r="X601" s="42" t="n"/>
      <c r="Y601" s="42" t="n"/>
      <c r="Z601" s="48" t="n"/>
      <c r="AA601" s="58" t="n"/>
      <c r="AB601" s="42" t="n"/>
      <c r="AC601" s="42" t="n"/>
      <c r="AD601" s="48" t="n"/>
      <c r="AE601" s="58" t="n"/>
      <c r="AF601" s="42" t="n"/>
      <c r="AG601" s="42" t="n"/>
      <c r="AH601" s="48" t="n"/>
      <c r="AI601" s="58" t="n"/>
    </row>
    <row r="602">
      <c r="B602" s="2">
        <f>IF(STUDENTS!B601="","",STUDENTS!B601)</f>
        <v/>
      </c>
      <c r="C602" s="44">
        <f>IFERROR(IF(B602="","",_xlfn.XLOOKUP(B602,STUDENTS!$B$3:$B$1048576,STUDENTS!$C$3:$C$1048576)),"Enter a registered reg. no")</f>
        <v/>
      </c>
      <c r="F602" s="66" t="n"/>
      <c r="G602" s="67" t="n"/>
      <c r="J602" s="66" t="n"/>
      <c r="K602" s="67" t="n"/>
      <c r="N602" s="66" t="n"/>
      <c r="O602" s="67" t="n"/>
      <c r="R602" s="66" t="n"/>
      <c r="S602" s="67" t="n"/>
      <c r="V602" s="66" t="n"/>
      <c r="W602" s="67" t="n"/>
      <c r="Z602" s="66" t="n"/>
      <c r="AA602" s="67" t="n"/>
      <c r="AD602" s="66" t="n"/>
      <c r="AE602" s="67" t="n"/>
      <c r="AH602" s="66" t="n"/>
      <c r="AI602" s="67" t="n"/>
    </row>
    <row r="603">
      <c r="B603" s="2">
        <f>IF(STUDENTS!B602="","",STUDENTS!B602)</f>
        <v/>
      </c>
      <c r="C603" s="44">
        <f>IFERROR(IF(B603="","",_xlfn.XLOOKUP(B603,STUDENTS!$B$3:$B$1048576,STUDENTS!$C$3:$C$1048576)),"Enter a registered reg. no")</f>
        <v/>
      </c>
      <c r="D603" s="54" t="n"/>
      <c r="E603" s="55" t="n"/>
      <c r="F603" s="48" t="n"/>
      <c r="G603" s="58" t="n"/>
      <c r="H603" s="62" t="n"/>
      <c r="I603" s="63" t="n"/>
      <c r="J603" s="48" t="n"/>
      <c r="K603" s="58" t="n"/>
      <c r="L603" s="42" t="n"/>
      <c r="M603" s="42" t="n"/>
      <c r="N603" s="48" t="n"/>
      <c r="O603" s="58" t="n"/>
      <c r="P603" s="42" t="n"/>
      <c r="Q603" s="42" t="n"/>
      <c r="R603" s="48" t="n"/>
      <c r="S603" s="58" t="n"/>
      <c r="T603" s="42" t="n"/>
      <c r="U603" s="42" t="n"/>
      <c r="V603" s="48" t="n"/>
      <c r="W603" s="58" t="n"/>
      <c r="X603" s="42" t="n"/>
      <c r="Y603" s="42" t="n"/>
      <c r="Z603" s="48" t="n"/>
      <c r="AA603" s="58" t="n"/>
      <c r="AB603" s="42" t="n"/>
      <c r="AC603" s="42" t="n"/>
      <c r="AD603" s="48" t="n"/>
      <c r="AE603" s="58" t="n"/>
      <c r="AF603" s="42" t="n"/>
      <c r="AG603" s="42" t="n"/>
      <c r="AH603" s="48" t="n"/>
      <c r="AI603" s="58" t="n"/>
    </row>
    <row r="604">
      <c r="B604" s="2">
        <f>IF(STUDENTS!B603="","",STUDENTS!B603)</f>
        <v/>
      </c>
      <c r="C604" s="44">
        <f>IFERROR(IF(B604="","",_xlfn.XLOOKUP(B604,STUDENTS!$B$3:$B$1048576,STUDENTS!$C$3:$C$1048576)),"Enter a registered reg. no")</f>
        <v/>
      </c>
      <c r="F604" s="66" t="n"/>
      <c r="G604" s="67" t="n"/>
      <c r="J604" s="66" t="n"/>
      <c r="K604" s="67" t="n"/>
      <c r="N604" s="66" t="n"/>
      <c r="O604" s="67" t="n"/>
      <c r="R604" s="66" t="n"/>
      <c r="S604" s="67" t="n"/>
      <c r="V604" s="66" t="n"/>
      <c r="W604" s="67" t="n"/>
      <c r="Z604" s="66" t="n"/>
      <c r="AA604" s="67" t="n"/>
      <c r="AD604" s="66" t="n"/>
      <c r="AE604" s="67" t="n"/>
      <c r="AH604" s="66" t="n"/>
      <c r="AI604" s="67" t="n"/>
    </row>
    <row r="605">
      <c r="B605" s="2">
        <f>IF(STUDENTS!B604="","",STUDENTS!B604)</f>
        <v/>
      </c>
      <c r="C605" s="44">
        <f>IFERROR(IF(B605="","",_xlfn.XLOOKUP(B605,STUDENTS!$B$3:$B$1048576,STUDENTS!$C$3:$C$1048576)),"Enter a registered reg. no")</f>
        <v/>
      </c>
      <c r="D605" s="54" t="n"/>
      <c r="E605" s="55" t="n"/>
      <c r="F605" s="48" t="n"/>
      <c r="G605" s="58" t="n"/>
      <c r="H605" s="62" t="n"/>
      <c r="I605" s="63" t="n"/>
      <c r="J605" s="48" t="n"/>
      <c r="K605" s="58" t="n"/>
      <c r="L605" s="42" t="n"/>
      <c r="M605" s="42" t="n"/>
      <c r="N605" s="48" t="n"/>
      <c r="O605" s="58" t="n"/>
      <c r="P605" s="42" t="n"/>
      <c r="Q605" s="42" t="n"/>
      <c r="R605" s="48" t="n"/>
      <c r="S605" s="58" t="n"/>
      <c r="T605" s="42" t="n"/>
      <c r="U605" s="42" t="n"/>
      <c r="V605" s="48" t="n"/>
      <c r="W605" s="58" t="n"/>
      <c r="X605" s="42" t="n"/>
      <c r="Y605" s="42" t="n"/>
      <c r="Z605" s="48" t="n"/>
      <c r="AA605" s="58" t="n"/>
      <c r="AB605" s="42" t="n"/>
      <c r="AC605" s="42" t="n"/>
      <c r="AD605" s="48" t="n"/>
      <c r="AE605" s="58" t="n"/>
      <c r="AF605" s="42" t="n"/>
      <c r="AG605" s="42" t="n"/>
      <c r="AH605" s="48" t="n"/>
      <c r="AI605" s="58" t="n"/>
    </row>
    <row r="606">
      <c r="B606" s="2">
        <f>IF(STUDENTS!B605="","",STUDENTS!B605)</f>
        <v/>
      </c>
      <c r="C606" s="44">
        <f>IFERROR(IF(B606="","",_xlfn.XLOOKUP(B606,STUDENTS!$B$3:$B$1048576,STUDENTS!$C$3:$C$1048576)),"Enter a registered reg. no")</f>
        <v/>
      </c>
      <c r="F606" s="66" t="n"/>
      <c r="G606" s="67" t="n"/>
      <c r="J606" s="66" t="n"/>
      <c r="K606" s="67" t="n"/>
      <c r="N606" s="66" t="n"/>
      <c r="O606" s="67" t="n"/>
      <c r="R606" s="66" t="n"/>
      <c r="S606" s="67" t="n"/>
      <c r="V606" s="66" t="n"/>
      <c r="W606" s="67" t="n"/>
      <c r="Z606" s="66" t="n"/>
      <c r="AA606" s="67" t="n"/>
      <c r="AD606" s="66" t="n"/>
      <c r="AE606" s="67" t="n"/>
      <c r="AH606" s="66" t="n"/>
      <c r="AI606" s="67" t="n"/>
    </row>
    <row r="607">
      <c r="B607" s="2">
        <f>IF(STUDENTS!B606="","",STUDENTS!B606)</f>
        <v/>
      </c>
      <c r="C607" s="44">
        <f>IFERROR(IF(B607="","",_xlfn.XLOOKUP(B607,STUDENTS!$B$3:$B$1048576,STUDENTS!$C$3:$C$1048576)),"Enter a registered reg. no")</f>
        <v/>
      </c>
      <c r="D607" s="54" t="n"/>
      <c r="E607" s="55" t="n"/>
      <c r="F607" s="48" t="n"/>
      <c r="G607" s="58" t="n"/>
      <c r="H607" s="62" t="n"/>
      <c r="I607" s="63" t="n"/>
      <c r="J607" s="48" t="n"/>
      <c r="K607" s="58" t="n"/>
      <c r="L607" s="42" t="n"/>
      <c r="M607" s="42" t="n"/>
      <c r="N607" s="48" t="n"/>
      <c r="O607" s="58" t="n"/>
      <c r="P607" s="42" t="n"/>
      <c r="Q607" s="42" t="n"/>
      <c r="R607" s="48" t="n"/>
      <c r="S607" s="58" t="n"/>
      <c r="T607" s="42" t="n"/>
      <c r="U607" s="42" t="n"/>
      <c r="V607" s="48" t="n"/>
      <c r="W607" s="58" t="n"/>
      <c r="X607" s="42" t="n"/>
      <c r="Y607" s="42" t="n"/>
      <c r="Z607" s="48" t="n"/>
      <c r="AA607" s="58" t="n"/>
      <c r="AB607" s="42" t="n"/>
      <c r="AC607" s="42" t="n"/>
      <c r="AD607" s="48" t="n"/>
      <c r="AE607" s="58" t="n"/>
      <c r="AF607" s="42" t="n"/>
      <c r="AG607" s="42" t="n"/>
      <c r="AH607" s="48" t="n"/>
      <c r="AI607" s="58" t="n"/>
    </row>
    <row r="608">
      <c r="B608" s="2">
        <f>IF(STUDENTS!B607="","",STUDENTS!B607)</f>
        <v/>
      </c>
      <c r="C608" s="44">
        <f>IFERROR(IF(B608="","",_xlfn.XLOOKUP(B608,STUDENTS!$B$3:$B$1048576,STUDENTS!$C$3:$C$1048576)),"Enter a registered reg. no")</f>
        <v/>
      </c>
      <c r="F608" s="66" t="n"/>
      <c r="G608" s="67" t="n"/>
      <c r="J608" s="66" t="n"/>
      <c r="K608" s="67" t="n"/>
      <c r="N608" s="66" t="n"/>
      <c r="O608" s="67" t="n"/>
      <c r="R608" s="66" t="n"/>
      <c r="S608" s="67" t="n"/>
      <c r="V608" s="66" t="n"/>
      <c r="W608" s="67" t="n"/>
      <c r="Z608" s="66" t="n"/>
      <c r="AA608" s="67" t="n"/>
      <c r="AD608" s="66" t="n"/>
      <c r="AE608" s="67" t="n"/>
      <c r="AH608" s="66" t="n"/>
      <c r="AI608" s="67" t="n"/>
    </row>
    <row r="609">
      <c r="B609" s="2">
        <f>IF(STUDENTS!B608="","",STUDENTS!B608)</f>
        <v/>
      </c>
      <c r="C609" s="44">
        <f>IFERROR(IF(B609="","",_xlfn.XLOOKUP(B609,STUDENTS!$B$3:$B$1048576,STUDENTS!$C$3:$C$1048576)),"Enter a registered reg. no")</f>
        <v/>
      </c>
      <c r="D609" s="54" t="n"/>
      <c r="E609" s="55" t="n"/>
      <c r="F609" s="48" t="n"/>
      <c r="G609" s="58" t="n"/>
      <c r="H609" s="62" t="n"/>
      <c r="I609" s="63" t="n"/>
      <c r="J609" s="48" t="n"/>
      <c r="K609" s="58" t="n"/>
      <c r="L609" s="42" t="n"/>
      <c r="M609" s="42" t="n"/>
      <c r="N609" s="48" t="n"/>
      <c r="O609" s="58" t="n"/>
      <c r="P609" s="42" t="n"/>
      <c r="Q609" s="42" t="n"/>
      <c r="R609" s="48" t="n"/>
      <c r="S609" s="58" t="n"/>
      <c r="T609" s="42" t="n"/>
      <c r="U609" s="42" t="n"/>
      <c r="V609" s="48" t="n"/>
      <c r="W609" s="58" t="n"/>
      <c r="X609" s="42" t="n"/>
      <c r="Y609" s="42" t="n"/>
      <c r="Z609" s="48" t="n"/>
      <c r="AA609" s="58" t="n"/>
      <c r="AB609" s="42" t="n"/>
      <c r="AC609" s="42" t="n"/>
      <c r="AD609" s="48" t="n"/>
      <c r="AE609" s="58" t="n"/>
      <c r="AF609" s="42" t="n"/>
      <c r="AG609" s="42" t="n"/>
      <c r="AH609" s="48" t="n"/>
      <c r="AI609" s="58" t="n"/>
    </row>
    <row r="610">
      <c r="B610" s="2">
        <f>IF(STUDENTS!B609="","",STUDENTS!B609)</f>
        <v/>
      </c>
      <c r="C610" s="44">
        <f>IFERROR(IF(B610="","",_xlfn.XLOOKUP(B610,STUDENTS!$B$3:$B$1048576,STUDENTS!$C$3:$C$1048576)),"Enter a registered reg. no")</f>
        <v/>
      </c>
      <c r="F610" s="66" t="n"/>
      <c r="G610" s="67" t="n"/>
      <c r="J610" s="66" t="n"/>
      <c r="K610" s="67" t="n"/>
      <c r="N610" s="66" t="n"/>
      <c r="O610" s="67" t="n"/>
      <c r="R610" s="66" t="n"/>
      <c r="S610" s="67" t="n"/>
      <c r="V610" s="66" t="n"/>
      <c r="W610" s="67" t="n"/>
      <c r="Z610" s="66" t="n"/>
      <c r="AA610" s="67" t="n"/>
      <c r="AD610" s="66" t="n"/>
      <c r="AE610" s="67" t="n"/>
      <c r="AH610" s="66" t="n"/>
      <c r="AI610" s="67" t="n"/>
    </row>
    <row r="611">
      <c r="B611" s="2">
        <f>IF(STUDENTS!B610="","",STUDENTS!B610)</f>
        <v/>
      </c>
      <c r="C611" s="44">
        <f>IFERROR(IF(B611="","",_xlfn.XLOOKUP(B611,STUDENTS!$B$3:$B$1048576,STUDENTS!$C$3:$C$1048576)),"Enter a registered reg. no")</f>
        <v/>
      </c>
      <c r="D611" s="54" t="n"/>
      <c r="E611" s="55" t="n"/>
      <c r="F611" s="48" t="n"/>
      <c r="G611" s="58" t="n"/>
      <c r="H611" s="62" t="n"/>
      <c r="I611" s="63" t="n"/>
      <c r="J611" s="48" t="n"/>
      <c r="K611" s="58" t="n"/>
      <c r="L611" s="42" t="n"/>
      <c r="M611" s="42" t="n"/>
      <c r="N611" s="48" t="n"/>
      <c r="O611" s="58" t="n"/>
      <c r="P611" s="42" t="n"/>
      <c r="Q611" s="42" t="n"/>
      <c r="R611" s="48" t="n"/>
      <c r="S611" s="58" t="n"/>
      <c r="T611" s="42" t="n"/>
      <c r="U611" s="42" t="n"/>
      <c r="V611" s="48" t="n"/>
      <c r="W611" s="58" t="n"/>
      <c r="X611" s="42" t="n"/>
      <c r="Y611" s="42" t="n"/>
      <c r="Z611" s="48" t="n"/>
      <c r="AA611" s="58" t="n"/>
      <c r="AB611" s="42" t="n"/>
      <c r="AC611" s="42" t="n"/>
      <c r="AD611" s="48" t="n"/>
      <c r="AE611" s="58" t="n"/>
      <c r="AF611" s="42" t="n"/>
      <c r="AG611" s="42" t="n"/>
      <c r="AH611" s="48" t="n"/>
      <c r="AI611" s="58" t="n"/>
    </row>
    <row r="612">
      <c r="B612" s="2">
        <f>IF(STUDENTS!B611="","",STUDENTS!B611)</f>
        <v/>
      </c>
      <c r="C612" s="44">
        <f>IFERROR(IF(B612="","",_xlfn.XLOOKUP(B612,STUDENTS!$B$3:$B$1048576,STUDENTS!$C$3:$C$1048576)),"Enter a registered reg. no")</f>
        <v/>
      </c>
      <c r="F612" s="66" t="n"/>
      <c r="G612" s="67" t="n"/>
      <c r="J612" s="66" t="n"/>
      <c r="K612" s="67" t="n"/>
      <c r="N612" s="66" t="n"/>
      <c r="O612" s="67" t="n"/>
      <c r="R612" s="66" t="n"/>
      <c r="S612" s="67" t="n"/>
      <c r="V612" s="66" t="n"/>
      <c r="W612" s="67" t="n"/>
      <c r="Z612" s="66" t="n"/>
      <c r="AA612" s="67" t="n"/>
      <c r="AD612" s="66" t="n"/>
      <c r="AE612" s="67" t="n"/>
      <c r="AH612" s="66" t="n"/>
      <c r="AI612" s="67" t="n"/>
    </row>
    <row r="613">
      <c r="B613" s="2">
        <f>IF(STUDENTS!B612="","",STUDENTS!B612)</f>
        <v/>
      </c>
      <c r="C613" s="44">
        <f>IFERROR(IF(B613="","",_xlfn.XLOOKUP(B613,STUDENTS!$B$3:$B$1048576,STUDENTS!$C$3:$C$1048576)),"Enter a registered reg. no")</f>
        <v/>
      </c>
      <c r="D613" s="54" t="n"/>
      <c r="E613" s="55" t="n"/>
      <c r="F613" s="48" t="n"/>
      <c r="G613" s="58" t="n"/>
      <c r="H613" s="62" t="n"/>
      <c r="I613" s="63" t="n"/>
      <c r="J613" s="48" t="n"/>
      <c r="K613" s="58" t="n"/>
      <c r="L613" s="42" t="n"/>
      <c r="M613" s="42" t="n"/>
      <c r="N613" s="48" t="n"/>
      <c r="O613" s="58" t="n"/>
      <c r="P613" s="42" t="n"/>
      <c r="Q613" s="42" t="n"/>
      <c r="R613" s="48" t="n"/>
      <c r="S613" s="58" t="n"/>
      <c r="T613" s="42" t="n"/>
      <c r="U613" s="42" t="n"/>
      <c r="V613" s="48" t="n"/>
      <c r="W613" s="58" t="n"/>
      <c r="X613" s="42" t="n"/>
      <c r="Y613" s="42" t="n"/>
      <c r="Z613" s="48" t="n"/>
      <c r="AA613" s="58" t="n"/>
      <c r="AB613" s="42" t="n"/>
      <c r="AC613" s="42" t="n"/>
      <c r="AD613" s="48" t="n"/>
      <c r="AE613" s="58" t="n"/>
      <c r="AF613" s="42" t="n"/>
      <c r="AG613" s="42" t="n"/>
      <c r="AH613" s="48" t="n"/>
      <c r="AI613" s="58" t="n"/>
    </row>
    <row r="614">
      <c r="B614" s="2">
        <f>IF(STUDENTS!B613="","",STUDENTS!B613)</f>
        <v/>
      </c>
      <c r="C614" s="44">
        <f>IFERROR(IF(B614="","",_xlfn.XLOOKUP(B614,STUDENTS!$B$3:$B$1048576,STUDENTS!$C$3:$C$1048576)),"Enter a registered reg. no")</f>
        <v/>
      </c>
      <c r="F614" s="66" t="n"/>
      <c r="G614" s="67" t="n"/>
      <c r="J614" s="66" t="n"/>
      <c r="K614" s="67" t="n"/>
      <c r="N614" s="66" t="n"/>
      <c r="O614" s="67" t="n"/>
      <c r="R614" s="66" t="n"/>
      <c r="S614" s="67" t="n"/>
      <c r="V614" s="66" t="n"/>
      <c r="W614" s="67" t="n"/>
      <c r="Z614" s="66" t="n"/>
      <c r="AA614" s="67" t="n"/>
      <c r="AD614" s="66" t="n"/>
      <c r="AE614" s="67" t="n"/>
      <c r="AH614" s="66" t="n"/>
      <c r="AI614" s="67" t="n"/>
    </row>
    <row r="615">
      <c r="B615" s="2">
        <f>IF(STUDENTS!B614="","",STUDENTS!B614)</f>
        <v/>
      </c>
      <c r="C615" s="44">
        <f>IFERROR(IF(B615="","",_xlfn.XLOOKUP(B615,STUDENTS!$B$3:$B$1048576,STUDENTS!$C$3:$C$1048576)),"Enter a registered reg. no")</f>
        <v/>
      </c>
      <c r="D615" s="54" t="n"/>
      <c r="E615" s="55" t="n"/>
      <c r="F615" s="48" t="n"/>
      <c r="G615" s="58" t="n"/>
      <c r="H615" s="62" t="n"/>
      <c r="I615" s="63" t="n"/>
      <c r="J615" s="48" t="n"/>
      <c r="K615" s="58" t="n"/>
      <c r="L615" s="42" t="n"/>
      <c r="M615" s="42" t="n"/>
      <c r="N615" s="48" t="n"/>
      <c r="O615" s="58" t="n"/>
      <c r="P615" s="42" t="n"/>
      <c r="Q615" s="42" t="n"/>
      <c r="R615" s="48" t="n"/>
      <c r="S615" s="58" t="n"/>
      <c r="T615" s="42" t="n"/>
      <c r="U615" s="42" t="n"/>
      <c r="V615" s="48" t="n"/>
      <c r="W615" s="58" t="n"/>
      <c r="X615" s="42" t="n"/>
      <c r="Y615" s="42" t="n"/>
      <c r="Z615" s="48" t="n"/>
      <c r="AA615" s="58" t="n"/>
      <c r="AB615" s="42" t="n"/>
      <c r="AC615" s="42" t="n"/>
      <c r="AD615" s="48" t="n"/>
      <c r="AE615" s="58" t="n"/>
      <c r="AF615" s="42" t="n"/>
      <c r="AG615" s="42" t="n"/>
      <c r="AH615" s="48" t="n"/>
      <c r="AI615" s="58" t="n"/>
    </row>
    <row r="616">
      <c r="B616" s="2">
        <f>IF(STUDENTS!B615="","",STUDENTS!B615)</f>
        <v/>
      </c>
      <c r="C616" s="44">
        <f>IFERROR(IF(B616="","",_xlfn.XLOOKUP(B616,STUDENTS!$B$3:$B$1048576,STUDENTS!$C$3:$C$1048576)),"Enter a registered reg. no")</f>
        <v/>
      </c>
      <c r="F616" s="66" t="n"/>
      <c r="G616" s="67" t="n"/>
      <c r="J616" s="66" t="n"/>
      <c r="K616" s="67" t="n"/>
      <c r="N616" s="66" t="n"/>
      <c r="O616" s="67" t="n"/>
      <c r="R616" s="66" t="n"/>
      <c r="S616" s="67" t="n"/>
      <c r="V616" s="66" t="n"/>
      <c r="W616" s="67" t="n"/>
      <c r="Z616" s="66" t="n"/>
      <c r="AA616" s="67" t="n"/>
      <c r="AD616" s="66" t="n"/>
      <c r="AE616" s="67" t="n"/>
      <c r="AH616" s="66" t="n"/>
      <c r="AI616" s="67" t="n"/>
    </row>
    <row r="617">
      <c r="B617" s="2">
        <f>IF(STUDENTS!B616="","",STUDENTS!B616)</f>
        <v/>
      </c>
      <c r="C617" s="44">
        <f>IFERROR(IF(B617="","",_xlfn.XLOOKUP(B617,STUDENTS!$B$3:$B$1048576,STUDENTS!$C$3:$C$1048576)),"Enter a registered reg. no")</f>
        <v/>
      </c>
      <c r="D617" s="54" t="n"/>
      <c r="E617" s="55" t="n"/>
      <c r="F617" s="48" t="n"/>
      <c r="G617" s="58" t="n"/>
      <c r="H617" s="62" t="n"/>
      <c r="I617" s="63" t="n"/>
      <c r="J617" s="48" t="n"/>
      <c r="K617" s="58" t="n"/>
      <c r="L617" s="42" t="n"/>
      <c r="M617" s="42" t="n"/>
      <c r="N617" s="48" t="n"/>
      <c r="O617" s="58" t="n"/>
      <c r="P617" s="42" t="n"/>
      <c r="Q617" s="42" t="n"/>
      <c r="R617" s="48" t="n"/>
      <c r="S617" s="58" t="n"/>
      <c r="T617" s="42" t="n"/>
      <c r="U617" s="42" t="n"/>
      <c r="V617" s="48" t="n"/>
      <c r="W617" s="58" t="n"/>
      <c r="X617" s="42" t="n"/>
      <c r="Y617" s="42" t="n"/>
      <c r="Z617" s="48" t="n"/>
      <c r="AA617" s="58" t="n"/>
      <c r="AB617" s="42" t="n"/>
      <c r="AC617" s="42" t="n"/>
      <c r="AD617" s="48" t="n"/>
      <c r="AE617" s="58" t="n"/>
      <c r="AF617" s="42" t="n"/>
      <c r="AG617" s="42" t="n"/>
      <c r="AH617" s="48" t="n"/>
      <c r="AI617" s="58" t="n"/>
    </row>
    <row r="618">
      <c r="B618" s="2">
        <f>IF(STUDENTS!B617="","",STUDENTS!B617)</f>
        <v/>
      </c>
      <c r="C618" s="44">
        <f>IFERROR(IF(B618="","",_xlfn.XLOOKUP(B618,STUDENTS!$B$3:$B$1048576,STUDENTS!$C$3:$C$1048576)),"Enter a registered reg. no")</f>
        <v/>
      </c>
      <c r="F618" s="66" t="n"/>
      <c r="G618" s="67" t="n"/>
      <c r="J618" s="66" t="n"/>
      <c r="K618" s="67" t="n"/>
      <c r="N618" s="66" t="n"/>
      <c r="O618" s="67" t="n"/>
      <c r="R618" s="66" t="n"/>
      <c r="S618" s="67" t="n"/>
      <c r="V618" s="66" t="n"/>
      <c r="W618" s="67" t="n"/>
      <c r="Z618" s="66" t="n"/>
      <c r="AA618" s="67" t="n"/>
      <c r="AD618" s="66" t="n"/>
      <c r="AE618" s="67" t="n"/>
      <c r="AH618" s="66" t="n"/>
      <c r="AI618" s="67" t="n"/>
    </row>
    <row r="619">
      <c r="B619" s="2">
        <f>IF(STUDENTS!B618="","",STUDENTS!B618)</f>
        <v/>
      </c>
      <c r="C619" s="44">
        <f>IFERROR(IF(B619="","",_xlfn.XLOOKUP(B619,STUDENTS!$B$3:$B$1048576,STUDENTS!$C$3:$C$1048576)),"Enter a registered reg. no")</f>
        <v/>
      </c>
      <c r="D619" s="54" t="n"/>
      <c r="E619" s="55" t="n"/>
      <c r="F619" s="48" t="n"/>
      <c r="G619" s="58" t="n"/>
      <c r="H619" s="62" t="n"/>
      <c r="I619" s="63" t="n"/>
      <c r="J619" s="48" t="n"/>
      <c r="K619" s="58" t="n"/>
      <c r="L619" s="42" t="n"/>
      <c r="M619" s="42" t="n"/>
      <c r="N619" s="48" t="n"/>
      <c r="O619" s="58" t="n"/>
      <c r="P619" s="42" t="n"/>
      <c r="Q619" s="42" t="n"/>
      <c r="R619" s="48" t="n"/>
      <c r="S619" s="58" t="n"/>
      <c r="T619" s="42" t="n"/>
      <c r="U619" s="42" t="n"/>
      <c r="V619" s="48" t="n"/>
      <c r="W619" s="58" t="n"/>
      <c r="X619" s="42" t="n"/>
      <c r="Y619" s="42" t="n"/>
      <c r="Z619" s="48" t="n"/>
      <c r="AA619" s="58" t="n"/>
      <c r="AB619" s="42" t="n"/>
      <c r="AC619" s="42" t="n"/>
      <c r="AD619" s="48" t="n"/>
      <c r="AE619" s="58" t="n"/>
      <c r="AF619" s="42" t="n"/>
      <c r="AG619" s="42" t="n"/>
      <c r="AH619" s="48" t="n"/>
      <c r="AI619" s="58" t="n"/>
    </row>
    <row r="620">
      <c r="B620" s="2">
        <f>IF(STUDENTS!B619="","",STUDENTS!B619)</f>
        <v/>
      </c>
      <c r="C620" s="44">
        <f>IFERROR(IF(B620="","",_xlfn.XLOOKUP(B620,STUDENTS!$B$3:$B$1048576,STUDENTS!$C$3:$C$1048576)),"Enter a registered reg. no")</f>
        <v/>
      </c>
      <c r="F620" s="66" t="n"/>
      <c r="G620" s="67" t="n"/>
      <c r="J620" s="66" t="n"/>
      <c r="K620" s="67" t="n"/>
      <c r="N620" s="66" t="n"/>
      <c r="O620" s="67" t="n"/>
      <c r="R620" s="66" t="n"/>
      <c r="S620" s="67" t="n"/>
      <c r="V620" s="66" t="n"/>
      <c r="W620" s="67" t="n"/>
      <c r="Z620" s="66" t="n"/>
      <c r="AA620" s="67" t="n"/>
      <c r="AD620" s="66" t="n"/>
      <c r="AE620" s="67" t="n"/>
      <c r="AH620" s="66" t="n"/>
      <c r="AI620" s="67" t="n"/>
    </row>
    <row r="621">
      <c r="B621" s="2">
        <f>IF(STUDENTS!B620="","",STUDENTS!B620)</f>
        <v/>
      </c>
      <c r="C621" s="44">
        <f>IFERROR(IF(B621="","",_xlfn.XLOOKUP(B621,STUDENTS!$B$3:$B$1048576,STUDENTS!$C$3:$C$1048576)),"Enter a registered reg. no")</f>
        <v/>
      </c>
      <c r="D621" s="54" t="n"/>
      <c r="E621" s="55" t="n"/>
      <c r="F621" s="48" t="n"/>
      <c r="G621" s="58" t="n"/>
      <c r="H621" s="62" t="n"/>
      <c r="I621" s="63" t="n"/>
      <c r="J621" s="48" t="n"/>
      <c r="K621" s="58" t="n"/>
      <c r="L621" s="42" t="n"/>
      <c r="M621" s="42" t="n"/>
      <c r="N621" s="48" t="n"/>
      <c r="O621" s="58" t="n"/>
      <c r="P621" s="42" t="n"/>
      <c r="Q621" s="42" t="n"/>
      <c r="R621" s="48" t="n"/>
      <c r="S621" s="58" t="n"/>
      <c r="T621" s="42" t="n"/>
      <c r="U621" s="42" t="n"/>
      <c r="V621" s="48" t="n"/>
      <c r="W621" s="58" t="n"/>
      <c r="X621" s="42" t="n"/>
      <c r="Y621" s="42" t="n"/>
      <c r="Z621" s="48" t="n"/>
      <c r="AA621" s="58" t="n"/>
      <c r="AB621" s="42" t="n"/>
      <c r="AC621" s="42" t="n"/>
      <c r="AD621" s="48" t="n"/>
      <c r="AE621" s="58" t="n"/>
      <c r="AF621" s="42" t="n"/>
      <c r="AG621" s="42" t="n"/>
      <c r="AH621" s="48" t="n"/>
      <c r="AI621" s="58" t="n"/>
    </row>
    <row r="622">
      <c r="B622" s="2">
        <f>IF(STUDENTS!B621="","",STUDENTS!B621)</f>
        <v/>
      </c>
      <c r="C622" s="44">
        <f>IFERROR(IF(B622="","",_xlfn.XLOOKUP(B622,STUDENTS!$B$3:$B$1048576,STUDENTS!$C$3:$C$1048576)),"Enter a registered reg. no")</f>
        <v/>
      </c>
      <c r="F622" s="66" t="n"/>
      <c r="G622" s="67" t="n"/>
      <c r="J622" s="66" t="n"/>
      <c r="K622" s="67" t="n"/>
      <c r="N622" s="66" t="n"/>
      <c r="O622" s="67" t="n"/>
      <c r="R622" s="66" t="n"/>
      <c r="S622" s="67" t="n"/>
      <c r="V622" s="66" t="n"/>
      <c r="W622" s="67" t="n"/>
      <c r="Z622" s="66" t="n"/>
      <c r="AA622" s="67" t="n"/>
      <c r="AD622" s="66" t="n"/>
      <c r="AE622" s="67" t="n"/>
      <c r="AH622" s="66" t="n"/>
      <c r="AI622" s="67" t="n"/>
    </row>
    <row r="623">
      <c r="B623" s="2">
        <f>IF(STUDENTS!B622="","",STUDENTS!B622)</f>
        <v/>
      </c>
      <c r="C623" s="44">
        <f>IFERROR(IF(B623="","",_xlfn.XLOOKUP(B623,STUDENTS!$B$3:$B$1048576,STUDENTS!$C$3:$C$1048576)),"Enter a registered reg. no")</f>
        <v/>
      </c>
      <c r="D623" s="54" t="n"/>
      <c r="E623" s="55" t="n"/>
      <c r="F623" s="48" t="n"/>
      <c r="G623" s="58" t="n"/>
      <c r="H623" s="62" t="n"/>
      <c r="I623" s="63" t="n"/>
      <c r="J623" s="48" t="n"/>
      <c r="K623" s="58" t="n"/>
      <c r="L623" s="42" t="n"/>
      <c r="M623" s="42" t="n"/>
      <c r="N623" s="48" t="n"/>
      <c r="O623" s="58" t="n"/>
      <c r="P623" s="42" t="n"/>
      <c r="Q623" s="42" t="n"/>
      <c r="R623" s="48" t="n"/>
      <c r="S623" s="58" t="n"/>
      <c r="T623" s="42" t="n"/>
      <c r="U623" s="42" t="n"/>
      <c r="V623" s="48" t="n"/>
      <c r="W623" s="58" t="n"/>
      <c r="X623" s="42" t="n"/>
      <c r="Y623" s="42" t="n"/>
      <c r="Z623" s="48" t="n"/>
      <c r="AA623" s="58" t="n"/>
      <c r="AB623" s="42" t="n"/>
      <c r="AC623" s="42" t="n"/>
      <c r="AD623" s="48" t="n"/>
      <c r="AE623" s="58" t="n"/>
      <c r="AF623" s="42" t="n"/>
      <c r="AG623" s="42" t="n"/>
      <c r="AH623" s="48" t="n"/>
      <c r="AI623" s="58" t="n"/>
    </row>
    <row r="624">
      <c r="B624" s="2">
        <f>IF(STUDENTS!B623="","",STUDENTS!B623)</f>
        <v/>
      </c>
      <c r="C624" s="44">
        <f>IFERROR(IF(B624="","",_xlfn.XLOOKUP(B624,STUDENTS!$B$3:$B$1048576,STUDENTS!$C$3:$C$1048576)),"Enter a registered reg. no")</f>
        <v/>
      </c>
      <c r="F624" s="66" t="n"/>
      <c r="G624" s="67" t="n"/>
      <c r="J624" s="66" t="n"/>
      <c r="K624" s="67" t="n"/>
      <c r="N624" s="66" t="n"/>
      <c r="O624" s="67" t="n"/>
      <c r="R624" s="66" t="n"/>
      <c r="S624" s="67" t="n"/>
      <c r="V624" s="66" t="n"/>
      <c r="W624" s="67" t="n"/>
      <c r="Z624" s="66" t="n"/>
      <c r="AA624" s="67" t="n"/>
      <c r="AD624" s="66" t="n"/>
      <c r="AE624" s="67" t="n"/>
      <c r="AH624" s="66" t="n"/>
      <c r="AI624" s="67" t="n"/>
    </row>
    <row r="625">
      <c r="B625" s="2">
        <f>IF(STUDENTS!B624="","",STUDENTS!B624)</f>
        <v/>
      </c>
      <c r="C625" s="44">
        <f>IFERROR(IF(B625="","",_xlfn.XLOOKUP(B625,STUDENTS!$B$3:$B$1048576,STUDENTS!$C$3:$C$1048576)),"Enter a registered reg. no")</f>
        <v/>
      </c>
      <c r="D625" s="54" t="n"/>
      <c r="E625" s="55" t="n"/>
      <c r="F625" s="48" t="n"/>
      <c r="G625" s="58" t="n"/>
      <c r="H625" s="62" t="n"/>
      <c r="I625" s="63" t="n"/>
      <c r="J625" s="48" t="n"/>
      <c r="K625" s="58" t="n"/>
      <c r="L625" s="42" t="n"/>
      <c r="M625" s="42" t="n"/>
      <c r="N625" s="48" t="n"/>
      <c r="O625" s="58" t="n"/>
      <c r="P625" s="42" t="n"/>
      <c r="Q625" s="42" t="n"/>
      <c r="R625" s="48" t="n"/>
      <c r="S625" s="58" t="n"/>
      <c r="T625" s="42" t="n"/>
      <c r="U625" s="42" t="n"/>
      <c r="V625" s="48" t="n"/>
      <c r="W625" s="58" t="n"/>
      <c r="X625" s="42" t="n"/>
      <c r="Y625" s="42" t="n"/>
      <c r="Z625" s="48" t="n"/>
      <c r="AA625" s="58" t="n"/>
      <c r="AB625" s="42" t="n"/>
      <c r="AC625" s="42" t="n"/>
      <c r="AD625" s="48" t="n"/>
      <c r="AE625" s="58" t="n"/>
      <c r="AF625" s="42" t="n"/>
      <c r="AG625" s="42" t="n"/>
      <c r="AH625" s="48" t="n"/>
      <c r="AI625" s="58" t="n"/>
    </row>
    <row r="626">
      <c r="B626" s="2">
        <f>IF(STUDENTS!B625="","",STUDENTS!B625)</f>
        <v/>
      </c>
      <c r="C626" s="44">
        <f>IFERROR(IF(B626="","",_xlfn.XLOOKUP(B626,STUDENTS!$B$3:$B$1048576,STUDENTS!$C$3:$C$1048576)),"Enter a registered reg. no")</f>
        <v/>
      </c>
      <c r="F626" s="66" t="n"/>
      <c r="G626" s="67" t="n"/>
      <c r="J626" s="66" t="n"/>
      <c r="K626" s="67" t="n"/>
      <c r="N626" s="66" t="n"/>
      <c r="O626" s="67" t="n"/>
      <c r="R626" s="66" t="n"/>
      <c r="S626" s="67" t="n"/>
      <c r="V626" s="66" t="n"/>
      <c r="W626" s="67" t="n"/>
      <c r="Z626" s="66" t="n"/>
      <c r="AA626" s="67" t="n"/>
      <c r="AD626" s="66" t="n"/>
      <c r="AE626" s="67" t="n"/>
      <c r="AH626" s="66" t="n"/>
      <c r="AI626" s="67" t="n"/>
    </row>
    <row r="627">
      <c r="B627" s="2">
        <f>IF(STUDENTS!B626="","",STUDENTS!B626)</f>
        <v/>
      </c>
      <c r="C627" s="44">
        <f>IFERROR(IF(B627="","",_xlfn.XLOOKUP(B627,STUDENTS!$B$3:$B$1048576,STUDENTS!$C$3:$C$1048576)),"Enter a registered reg. no")</f>
        <v/>
      </c>
      <c r="D627" s="54" t="n"/>
      <c r="E627" s="55" t="n"/>
      <c r="F627" s="48" t="n"/>
      <c r="G627" s="58" t="n"/>
      <c r="H627" s="62" t="n"/>
      <c r="I627" s="63" t="n"/>
      <c r="J627" s="48" t="n"/>
      <c r="K627" s="58" t="n"/>
      <c r="L627" s="42" t="n"/>
      <c r="M627" s="42" t="n"/>
      <c r="N627" s="48" t="n"/>
      <c r="O627" s="58" t="n"/>
      <c r="P627" s="42" t="n"/>
      <c r="Q627" s="42" t="n"/>
      <c r="R627" s="48" t="n"/>
      <c r="S627" s="58" t="n"/>
      <c r="T627" s="42" t="n"/>
      <c r="U627" s="42" t="n"/>
      <c r="V627" s="48" t="n"/>
      <c r="W627" s="58" t="n"/>
      <c r="X627" s="42" t="n"/>
      <c r="Y627" s="42" t="n"/>
      <c r="Z627" s="48" t="n"/>
      <c r="AA627" s="58" t="n"/>
      <c r="AB627" s="42" t="n"/>
      <c r="AC627" s="42" t="n"/>
      <c r="AD627" s="48" t="n"/>
      <c r="AE627" s="58" t="n"/>
      <c r="AF627" s="42" t="n"/>
      <c r="AG627" s="42" t="n"/>
      <c r="AH627" s="48" t="n"/>
      <c r="AI627" s="58" t="n"/>
    </row>
    <row r="628">
      <c r="B628" s="2">
        <f>IF(STUDENTS!B627="","",STUDENTS!B627)</f>
        <v/>
      </c>
      <c r="C628" s="44">
        <f>IFERROR(IF(B628="","",_xlfn.XLOOKUP(B628,STUDENTS!$B$3:$B$1048576,STUDENTS!$C$3:$C$1048576)),"Enter a registered reg. no")</f>
        <v/>
      </c>
      <c r="F628" s="66" t="n"/>
      <c r="G628" s="67" t="n"/>
      <c r="J628" s="66" t="n"/>
      <c r="K628" s="67" t="n"/>
      <c r="N628" s="66" t="n"/>
      <c r="O628" s="67" t="n"/>
      <c r="R628" s="66" t="n"/>
      <c r="S628" s="67" t="n"/>
      <c r="V628" s="66" t="n"/>
      <c r="W628" s="67" t="n"/>
      <c r="Z628" s="66" t="n"/>
      <c r="AA628" s="67" t="n"/>
      <c r="AD628" s="66" t="n"/>
      <c r="AE628" s="67" t="n"/>
      <c r="AH628" s="66" t="n"/>
      <c r="AI628" s="67" t="n"/>
    </row>
    <row r="629">
      <c r="B629" s="2">
        <f>IF(STUDENTS!B628="","",STUDENTS!B628)</f>
        <v/>
      </c>
      <c r="C629" s="44">
        <f>IFERROR(IF(B629="","",_xlfn.XLOOKUP(B629,STUDENTS!$B$3:$B$1048576,STUDENTS!$C$3:$C$1048576)),"Enter a registered reg. no")</f>
        <v/>
      </c>
      <c r="D629" s="54" t="n"/>
      <c r="E629" s="55" t="n"/>
      <c r="F629" s="48" t="n"/>
      <c r="G629" s="58" t="n"/>
      <c r="H629" s="62" t="n"/>
      <c r="I629" s="63" t="n"/>
      <c r="J629" s="48" t="n"/>
      <c r="K629" s="58" t="n"/>
      <c r="L629" s="42" t="n"/>
      <c r="M629" s="42" t="n"/>
      <c r="N629" s="48" t="n"/>
      <c r="O629" s="58" t="n"/>
      <c r="P629" s="42" t="n"/>
      <c r="Q629" s="42" t="n"/>
      <c r="R629" s="48" t="n"/>
      <c r="S629" s="58" t="n"/>
      <c r="T629" s="42" t="n"/>
      <c r="U629" s="42" t="n"/>
      <c r="V629" s="48" t="n"/>
      <c r="W629" s="58" t="n"/>
      <c r="X629" s="42" t="n"/>
      <c r="Y629" s="42" t="n"/>
      <c r="Z629" s="48" t="n"/>
      <c r="AA629" s="58" t="n"/>
      <c r="AB629" s="42" t="n"/>
      <c r="AC629" s="42" t="n"/>
      <c r="AD629" s="48" t="n"/>
      <c r="AE629" s="58" t="n"/>
      <c r="AF629" s="42" t="n"/>
      <c r="AG629" s="42" t="n"/>
      <c r="AH629" s="48" t="n"/>
      <c r="AI629" s="58" t="n"/>
    </row>
    <row r="630">
      <c r="B630" s="2">
        <f>IF(STUDENTS!B629="","",STUDENTS!B629)</f>
        <v/>
      </c>
      <c r="C630" s="44">
        <f>IFERROR(IF(B630="","",_xlfn.XLOOKUP(B630,STUDENTS!$B$3:$B$1048576,STUDENTS!$C$3:$C$1048576)),"Enter a registered reg. no")</f>
        <v/>
      </c>
      <c r="F630" s="66" t="n"/>
      <c r="G630" s="67" t="n"/>
      <c r="J630" s="66" t="n"/>
      <c r="K630" s="67" t="n"/>
      <c r="N630" s="66" t="n"/>
      <c r="O630" s="67" t="n"/>
      <c r="R630" s="66" t="n"/>
      <c r="S630" s="67" t="n"/>
      <c r="V630" s="66" t="n"/>
      <c r="W630" s="67" t="n"/>
      <c r="Z630" s="66" t="n"/>
      <c r="AA630" s="67" t="n"/>
      <c r="AD630" s="66" t="n"/>
      <c r="AE630" s="67" t="n"/>
      <c r="AH630" s="66" t="n"/>
      <c r="AI630" s="67" t="n"/>
    </row>
    <row r="631">
      <c r="B631" s="2">
        <f>IF(STUDENTS!B630="","",STUDENTS!B630)</f>
        <v/>
      </c>
      <c r="C631" s="44">
        <f>IFERROR(IF(B631="","",_xlfn.XLOOKUP(B631,STUDENTS!$B$3:$B$1048576,STUDENTS!$C$3:$C$1048576)),"Enter a registered reg. no")</f>
        <v/>
      </c>
      <c r="D631" s="54" t="n"/>
      <c r="E631" s="55" t="n"/>
      <c r="F631" s="48" t="n"/>
      <c r="G631" s="58" t="n"/>
      <c r="H631" s="62" t="n"/>
      <c r="I631" s="63" t="n"/>
      <c r="J631" s="48" t="n"/>
      <c r="K631" s="58" t="n"/>
      <c r="L631" s="42" t="n"/>
      <c r="M631" s="42" t="n"/>
      <c r="N631" s="48" t="n"/>
      <c r="O631" s="58" t="n"/>
      <c r="P631" s="42" t="n"/>
      <c r="Q631" s="42" t="n"/>
      <c r="R631" s="48" t="n"/>
      <c r="S631" s="58" t="n"/>
      <c r="T631" s="42" t="n"/>
      <c r="U631" s="42" t="n"/>
      <c r="V631" s="48" t="n"/>
      <c r="W631" s="58" t="n"/>
      <c r="X631" s="42" t="n"/>
      <c r="Y631" s="42" t="n"/>
      <c r="Z631" s="48" t="n"/>
      <c r="AA631" s="58" t="n"/>
      <c r="AB631" s="42" t="n"/>
      <c r="AC631" s="42" t="n"/>
      <c r="AD631" s="48" t="n"/>
      <c r="AE631" s="58" t="n"/>
      <c r="AF631" s="42" t="n"/>
      <c r="AG631" s="42" t="n"/>
      <c r="AH631" s="48" t="n"/>
      <c r="AI631" s="58" t="n"/>
    </row>
    <row r="632">
      <c r="B632" s="2">
        <f>IF(STUDENTS!B631="","",STUDENTS!B631)</f>
        <v/>
      </c>
      <c r="C632" s="44">
        <f>IFERROR(IF(B632="","",_xlfn.XLOOKUP(B632,STUDENTS!$B$3:$B$1048576,STUDENTS!$C$3:$C$1048576)),"Enter a registered reg. no")</f>
        <v/>
      </c>
      <c r="F632" s="66" t="n"/>
      <c r="G632" s="67" t="n"/>
      <c r="J632" s="66" t="n"/>
      <c r="K632" s="67" t="n"/>
      <c r="N632" s="66" t="n"/>
      <c r="O632" s="67" t="n"/>
      <c r="R632" s="66" t="n"/>
      <c r="S632" s="67" t="n"/>
      <c r="V632" s="66" t="n"/>
      <c r="W632" s="67" t="n"/>
      <c r="Z632" s="66" t="n"/>
      <c r="AA632" s="67" t="n"/>
      <c r="AD632" s="66" t="n"/>
      <c r="AE632" s="67" t="n"/>
      <c r="AH632" s="66" t="n"/>
      <c r="AI632" s="67" t="n"/>
    </row>
    <row r="633">
      <c r="B633" s="2">
        <f>IF(STUDENTS!B632="","",STUDENTS!B632)</f>
        <v/>
      </c>
      <c r="C633" s="44">
        <f>IFERROR(IF(B633="","",_xlfn.XLOOKUP(B633,STUDENTS!$B$3:$B$1048576,STUDENTS!$C$3:$C$1048576)),"Enter a registered reg. no")</f>
        <v/>
      </c>
      <c r="D633" s="54" t="n"/>
      <c r="E633" s="55" t="n"/>
      <c r="F633" s="48" t="n"/>
      <c r="G633" s="58" t="n"/>
      <c r="H633" s="62" t="n"/>
      <c r="I633" s="63" t="n"/>
      <c r="J633" s="48" t="n"/>
      <c r="K633" s="58" t="n"/>
      <c r="L633" s="42" t="n"/>
      <c r="M633" s="42" t="n"/>
      <c r="N633" s="48" t="n"/>
      <c r="O633" s="58" t="n"/>
      <c r="P633" s="42" t="n"/>
      <c r="Q633" s="42" t="n"/>
      <c r="R633" s="48" t="n"/>
      <c r="S633" s="58" t="n"/>
      <c r="T633" s="42" t="n"/>
      <c r="U633" s="42" t="n"/>
      <c r="V633" s="48" t="n"/>
      <c r="W633" s="58" t="n"/>
      <c r="X633" s="42" t="n"/>
      <c r="Y633" s="42" t="n"/>
      <c r="Z633" s="48" t="n"/>
      <c r="AA633" s="58" t="n"/>
      <c r="AB633" s="42" t="n"/>
      <c r="AC633" s="42" t="n"/>
      <c r="AD633" s="48" t="n"/>
      <c r="AE633" s="58" t="n"/>
      <c r="AF633" s="42" t="n"/>
      <c r="AG633" s="42" t="n"/>
      <c r="AH633" s="48" t="n"/>
      <c r="AI633" s="58" t="n"/>
    </row>
    <row r="634">
      <c r="B634" s="2">
        <f>IF(STUDENTS!B633="","",STUDENTS!B633)</f>
        <v/>
      </c>
      <c r="C634" s="44">
        <f>IFERROR(IF(B634="","",_xlfn.XLOOKUP(B634,STUDENTS!$B$3:$B$1048576,STUDENTS!$C$3:$C$1048576)),"Enter a registered reg. no")</f>
        <v/>
      </c>
      <c r="F634" s="66" t="n"/>
      <c r="G634" s="67" t="n"/>
      <c r="J634" s="66" t="n"/>
      <c r="K634" s="67" t="n"/>
      <c r="N634" s="66" t="n"/>
      <c r="O634" s="67" t="n"/>
      <c r="R634" s="66" t="n"/>
      <c r="S634" s="67" t="n"/>
      <c r="V634" s="66" t="n"/>
      <c r="W634" s="67" t="n"/>
      <c r="Z634" s="66" t="n"/>
      <c r="AA634" s="67" t="n"/>
      <c r="AD634" s="66" t="n"/>
      <c r="AE634" s="67" t="n"/>
      <c r="AH634" s="66" t="n"/>
      <c r="AI634" s="67" t="n"/>
    </row>
    <row r="635">
      <c r="B635" s="2">
        <f>IF(STUDENTS!B634="","",STUDENTS!B634)</f>
        <v/>
      </c>
      <c r="C635" s="44">
        <f>IFERROR(IF(B635="","",_xlfn.XLOOKUP(B635,STUDENTS!$B$3:$B$1048576,STUDENTS!$C$3:$C$1048576)),"Enter a registered reg. no")</f>
        <v/>
      </c>
      <c r="D635" s="54" t="n"/>
      <c r="E635" s="55" t="n"/>
      <c r="F635" s="48" t="n"/>
      <c r="G635" s="58" t="n"/>
      <c r="H635" s="62" t="n"/>
      <c r="I635" s="63" t="n"/>
      <c r="J635" s="48" t="n"/>
      <c r="K635" s="58" t="n"/>
      <c r="L635" s="42" t="n"/>
      <c r="M635" s="42" t="n"/>
      <c r="N635" s="48" t="n"/>
      <c r="O635" s="58" t="n"/>
      <c r="P635" s="42" t="n"/>
      <c r="Q635" s="42" t="n"/>
      <c r="R635" s="48" t="n"/>
      <c r="S635" s="58" t="n"/>
      <c r="T635" s="42" t="n"/>
      <c r="U635" s="42" t="n"/>
      <c r="V635" s="48" t="n"/>
      <c r="W635" s="58" t="n"/>
      <c r="X635" s="42" t="n"/>
      <c r="Y635" s="42" t="n"/>
      <c r="Z635" s="48" t="n"/>
      <c r="AA635" s="58" t="n"/>
      <c r="AB635" s="42" t="n"/>
      <c r="AC635" s="42" t="n"/>
      <c r="AD635" s="48" t="n"/>
      <c r="AE635" s="58" t="n"/>
      <c r="AF635" s="42" t="n"/>
      <c r="AG635" s="42" t="n"/>
      <c r="AH635" s="48" t="n"/>
      <c r="AI635" s="58" t="n"/>
    </row>
    <row r="636">
      <c r="B636" s="2">
        <f>IF(STUDENTS!B635="","",STUDENTS!B635)</f>
        <v/>
      </c>
      <c r="C636" s="44">
        <f>IFERROR(IF(B636="","",_xlfn.XLOOKUP(B636,STUDENTS!$B$3:$B$1048576,STUDENTS!$C$3:$C$1048576)),"Enter a registered reg. no")</f>
        <v/>
      </c>
      <c r="F636" s="66" t="n"/>
      <c r="G636" s="67" t="n"/>
      <c r="J636" s="66" t="n"/>
      <c r="K636" s="67" t="n"/>
      <c r="N636" s="66" t="n"/>
      <c r="O636" s="67" t="n"/>
      <c r="R636" s="66" t="n"/>
      <c r="S636" s="67" t="n"/>
      <c r="V636" s="66" t="n"/>
      <c r="W636" s="67" t="n"/>
      <c r="Z636" s="66" t="n"/>
      <c r="AA636" s="67" t="n"/>
      <c r="AD636" s="66" t="n"/>
      <c r="AE636" s="67" t="n"/>
      <c r="AH636" s="66" t="n"/>
      <c r="AI636" s="67" t="n"/>
    </row>
    <row r="637">
      <c r="B637" s="2">
        <f>IF(STUDENTS!B636="","",STUDENTS!B636)</f>
        <v/>
      </c>
      <c r="C637" s="44">
        <f>IFERROR(IF(B637="","",_xlfn.XLOOKUP(B637,STUDENTS!$B$3:$B$1048576,STUDENTS!$C$3:$C$1048576)),"Enter a registered reg. no")</f>
        <v/>
      </c>
      <c r="D637" s="54" t="n"/>
      <c r="E637" s="55" t="n"/>
      <c r="F637" s="48" t="n"/>
      <c r="G637" s="58" t="n"/>
      <c r="H637" s="62" t="n"/>
      <c r="I637" s="63" t="n"/>
      <c r="J637" s="48" t="n"/>
      <c r="K637" s="58" t="n"/>
      <c r="L637" s="42" t="n"/>
      <c r="M637" s="42" t="n"/>
      <c r="N637" s="48" t="n"/>
      <c r="O637" s="58" t="n"/>
      <c r="P637" s="42" t="n"/>
      <c r="Q637" s="42" t="n"/>
      <c r="R637" s="48" t="n"/>
      <c r="S637" s="58" t="n"/>
      <c r="T637" s="42" t="n"/>
      <c r="U637" s="42" t="n"/>
      <c r="V637" s="48" t="n"/>
      <c r="W637" s="58" t="n"/>
      <c r="X637" s="42" t="n"/>
      <c r="Y637" s="42" t="n"/>
      <c r="Z637" s="48" t="n"/>
      <c r="AA637" s="58" t="n"/>
      <c r="AB637" s="42" t="n"/>
      <c r="AC637" s="42" t="n"/>
      <c r="AD637" s="48" t="n"/>
      <c r="AE637" s="58" t="n"/>
      <c r="AF637" s="42" t="n"/>
      <c r="AG637" s="42" t="n"/>
      <c r="AH637" s="48" t="n"/>
      <c r="AI637" s="58" t="n"/>
    </row>
    <row r="638">
      <c r="B638" s="2">
        <f>IF(STUDENTS!B637="","",STUDENTS!B637)</f>
        <v/>
      </c>
      <c r="C638" s="44">
        <f>IFERROR(IF(B638="","",_xlfn.XLOOKUP(B638,STUDENTS!$B$3:$B$1048576,STUDENTS!$C$3:$C$1048576)),"Enter a registered reg. no")</f>
        <v/>
      </c>
      <c r="F638" s="66" t="n"/>
      <c r="G638" s="67" t="n"/>
      <c r="J638" s="66" t="n"/>
      <c r="K638" s="67" t="n"/>
      <c r="N638" s="66" t="n"/>
      <c r="O638" s="67" t="n"/>
      <c r="R638" s="66" t="n"/>
      <c r="S638" s="67" t="n"/>
      <c r="V638" s="66" t="n"/>
      <c r="W638" s="67" t="n"/>
      <c r="Z638" s="66" t="n"/>
      <c r="AA638" s="67" t="n"/>
      <c r="AD638" s="66" t="n"/>
      <c r="AE638" s="67" t="n"/>
      <c r="AH638" s="66" t="n"/>
      <c r="AI638" s="67" t="n"/>
    </row>
    <row r="639">
      <c r="B639" s="2">
        <f>IF(STUDENTS!B638="","",STUDENTS!B638)</f>
        <v/>
      </c>
      <c r="C639" s="44">
        <f>IFERROR(IF(B639="","",_xlfn.XLOOKUP(B639,STUDENTS!$B$3:$B$1048576,STUDENTS!$C$3:$C$1048576)),"Enter a registered reg. no")</f>
        <v/>
      </c>
      <c r="D639" s="54" t="n"/>
      <c r="E639" s="55" t="n"/>
      <c r="F639" s="48" t="n"/>
      <c r="G639" s="58" t="n"/>
      <c r="H639" s="62" t="n"/>
      <c r="I639" s="63" t="n"/>
      <c r="J639" s="48" t="n"/>
      <c r="K639" s="58" t="n"/>
      <c r="L639" s="42" t="n"/>
      <c r="M639" s="42" t="n"/>
      <c r="N639" s="48" t="n"/>
      <c r="O639" s="58" t="n"/>
      <c r="P639" s="42" t="n"/>
      <c r="Q639" s="42" t="n"/>
      <c r="R639" s="48" t="n"/>
      <c r="S639" s="58" t="n"/>
      <c r="T639" s="42" t="n"/>
      <c r="U639" s="42" t="n"/>
      <c r="V639" s="48" t="n"/>
      <c r="W639" s="58" t="n"/>
      <c r="X639" s="42" t="n"/>
      <c r="Y639" s="42" t="n"/>
      <c r="Z639" s="48" t="n"/>
      <c r="AA639" s="58" t="n"/>
      <c r="AB639" s="42" t="n"/>
      <c r="AC639" s="42" t="n"/>
      <c r="AD639" s="48" t="n"/>
      <c r="AE639" s="58" t="n"/>
      <c r="AF639" s="42" t="n"/>
      <c r="AG639" s="42" t="n"/>
      <c r="AH639" s="48" t="n"/>
      <c r="AI639" s="58" t="n"/>
    </row>
    <row r="640">
      <c r="B640" s="2">
        <f>IF(STUDENTS!B639="","",STUDENTS!B639)</f>
        <v/>
      </c>
      <c r="C640" s="44">
        <f>IFERROR(IF(B640="","",_xlfn.XLOOKUP(B640,STUDENTS!$B$3:$B$1048576,STUDENTS!$C$3:$C$1048576)),"Enter a registered reg. no")</f>
        <v/>
      </c>
      <c r="F640" s="66" t="n"/>
      <c r="G640" s="67" t="n"/>
      <c r="J640" s="66" t="n"/>
      <c r="K640" s="67" t="n"/>
      <c r="N640" s="66" t="n"/>
      <c r="O640" s="67" t="n"/>
      <c r="R640" s="66" t="n"/>
      <c r="S640" s="67" t="n"/>
      <c r="V640" s="66" t="n"/>
      <c r="W640" s="67" t="n"/>
      <c r="Z640" s="66" t="n"/>
      <c r="AA640" s="67" t="n"/>
      <c r="AD640" s="66" t="n"/>
      <c r="AE640" s="67" t="n"/>
      <c r="AH640" s="66" t="n"/>
      <c r="AI640" s="67" t="n"/>
    </row>
    <row r="641">
      <c r="B641" s="2">
        <f>IF(STUDENTS!B640="","",STUDENTS!B640)</f>
        <v/>
      </c>
      <c r="C641" s="44">
        <f>IFERROR(IF(B641="","",_xlfn.XLOOKUP(B641,STUDENTS!$B$3:$B$1048576,STUDENTS!$C$3:$C$1048576)),"Enter a registered reg. no")</f>
        <v/>
      </c>
      <c r="D641" s="54" t="n"/>
      <c r="E641" s="55" t="n"/>
      <c r="F641" s="48" t="n"/>
      <c r="G641" s="58" t="n"/>
      <c r="H641" s="62" t="n"/>
      <c r="I641" s="63" t="n"/>
      <c r="J641" s="48" t="n"/>
      <c r="K641" s="58" t="n"/>
      <c r="L641" s="42" t="n"/>
      <c r="M641" s="42" t="n"/>
      <c r="N641" s="48" t="n"/>
      <c r="O641" s="58" t="n"/>
      <c r="P641" s="42" t="n"/>
      <c r="Q641" s="42" t="n"/>
      <c r="R641" s="48" t="n"/>
      <c r="S641" s="58" t="n"/>
      <c r="T641" s="42" t="n"/>
      <c r="U641" s="42" t="n"/>
      <c r="V641" s="48" t="n"/>
      <c r="W641" s="58" t="n"/>
      <c r="X641" s="42" t="n"/>
      <c r="Y641" s="42" t="n"/>
      <c r="Z641" s="48" t="n"/>
      <c r="AA641" s="58" t="n"/>
      <c r="AB641" s="42" t="n"/>
      <c r="AC641" s="42" t="n"/>
      <c r="AD641" s="48" t="n"/>
      <c r="AE641" s="58" t="n"/>
      <c r="AF641" s="42" t="n"/>
      <c r="AG641" s="42" t="n"/>
      <c r="AH641" s="48" t="n"/>
      <c r="AI641" s="58" t="n"/>
    </row>
    <row r="642">
      <c r="B642" s="2">
        <f>IF(STUDENTS!B641="","",STUDENTS!B641)</f>
        <v/>
      </c>
      <c r="C642" s="44">
        <f>IFERROR(IF(B642="","",_xlfn.XLOOKUP(B642,STUDENTS!$B$3:$B$1048576,STUDENTS!$C$3:$C$1048576)),"Enter a registered reg. no")</f>
        <v/>
      </c>
      <c r="F642" s="66" t="n"/>
      <c r="G642" s="67" t="n"/>
      <c r="J642" s="66" t="n"/>
      <c r="K642" s="67" t="n"/>
      <c r="N642" s="66" t="n"/>
      <c r="O642" s="67" t="n"/>
      <c r="R642" s="66" t="n"/>
      <c r="S642" s="67" t="n"/>
      <c r="V642" s="66" t="n"/>
      <c r="W642" s="67" t="n"/>
      <c r="Z642" s="66" t="n"/>
      <c r="AA642" s="67" t="n"/>
      <c r="AD642" s="66" t="n"/>
      <c r="AE642" s="67" t="n"/>
      <c r="AH642" s="66" t="n"/>
      <c r="AI642" s="67" t="n"/>
    </row>
    <row r="643">
      <c r="B643" s="2">
        <f>IF(STUDENTS!B642="","",STUDENTS!B642)</f>
        <v/>
      </c>
      <c r="C643" s="44">
        <f>IFERROR(IF(B643="","",_xlfn.XLOOKUP(B643,STUDENTS!$B$3:$B$1048576,STUDENTS!$C$3:$C$1048576)),"Enter a registered reg. no")</f>
        <v/>
      </c>
      <c r="D643" s="54" t="n"/>
      <c r="E643" s="55" t="n"/>
      <c r="F643" s="48" t="n"/>
      <c r="G643" s="58" t="n"/>
      <c r="H643" s="62" t="n"/>
      <c r="I643" s="63" t="n"/>
      <c r="J643" s="48" t="n"/>
      <c r="K643" s="58" t="n"/>
      <c r="L643" s="42" t="n"/>
      <c r="M643" s="42" t="n"/>
      <c r="N643" s="48" t="n"/>
      <c r="O643" s="58" t="n"/>
      <c r="P643" s="42" t="n"/>
      <c r="Q643" s="42" t="n"/>
      <c r="R643" s="48" t="n"/>
      <c r="S643" s="58" t="n"/>
      <c r="T643" s="42" t="n"/>
      <c r="U643" s="42" t="n"/>
      <c r="V643" s="48" t="n"/>
      <c r="W643" s="58" t="n"/>
      <c r="X643" s="42" t="n"/>
      <c r="Y643" s="42" t="n"/>
      <c r="Z643" s="48" t="n"/>
      <c r="AA643" s="58" t="n"/>
      <c r="AB643" s="42" t="n"/>
      <c r="AC643" s="42" t="n"/>
      <c r="AD643" s="48" t="n"/>
      <c r="AE643" s="58" t="n"/>
      <c r="AF643" s="42" t="n"/>
      <c r="AG643" s="42" t="n"/>
      <c r="AH643" s="48" t="n"/>
      <c r="AI643" s="58" t="n"/>
    </row>
    <row r="644">
      <c r="B644" s="2">
        <f>IF(STUDENTS!B643="","",STUDENTS!B643)</f>
        <v/>
      </c>
      <c r="C644" s="44">
        <f>IFERROR(IF(B644="","",_xlfn.XLOOKUP(B644,STUDENTS!$B$3:$B$1048576,STUDENTS!$C$3:$C$1048576)),"Enter a registered reg. no")</f>
        <v/>
      </c>
      <c r="F644" s="66" t="n"/>
      <c r="G644" s="67" t="n"/>
      <c r="J644" s="66" t="n"/>
      <c r="K644" s="67" t="n"/>
      <c r="N644" s="66" t="n"/>
      <c r="O644" s="67" t="n"/>
      <c r="R644" s="66" t="n"/>
      <c r="S644" s="67" t="n"/>
      <c r="V644" s="66" t="n"/>
      <c r="W644" s="67" t="n"/>
      <c r="Z644" s="66" t="n"/>
      <c r="AA644" s="67" t="n"/>
      <c r="AD644" s="66" t="n"/>
      <c r="AE644" s="67" t="n"/>
      <c r="AH644" s="66" t="n"/>
      <c r="AI644" s="67" t="n"/>
    </row>
    <row r="645">
      <c r="B645" s="2">
        <f>IF(STUDENTS!B644="","",STUDENTS!B644)</f>
        <v/>
      </c>
      <c r="C645" s="44">
        <f>IFERROR(IF(B645="","",_xlfn.XLOOKUP(B645,STUDENTS!$B$3:$B$1048576,STUDENTS!$C$3:$C$1048576)),"Enter a registered reg. no")</f>
        <v/>
      </c>
      <c r="D645" s="54" t="n"/>
      <c r="E645" s="55" t="n"/>
      <c r="F645" s="48" t="n"/>
      <c r="G645" s="58" t="n"/>
      <c r="H645" s="62" t="n"/>
      <c r="I645" s="63" t="n"/>
      <c r="J645" s="48" t="n"/>
      <c r="K645" s="58" t="n"/>
      <c r="L645" s="42" t="n"/>
      <c r="M645" s="42" t="n"/>
      <c r="N645" s="48" t="n"/>
      <c r="O645" s="58" t="n"/>
      <c r="P645" s="42" t="n"/>
      <c r="Q645" s="42" t="n"/>
      <c r="R645" s="48" t="n"/>
      <c r="S645" s="58" t="n"/>
      <c r="T645" s="42" t="n"/>
      <c r="U645" s="42" t="n"/>
      <c r="V645" s="48" t="n"/>
      <c r="W645" s="58" t="n"/>
      <c r="X645" s="42" t="n"/>
      <c r="Y645" s="42" t="n"/>
      <c r="Z645" s="48" t="n"/>
      <c r="AA645" s="58" t="n"/>
      <c r="AB645" s="42" t="n"/>
      <c r="AC645" s="42" t="n"/>
      <c r="AD645" s="48" t="n"/>
      <c r="AE645" s="58" t="n"/>
      <c r="AF645" s="42" t="n"/>
      <c r="AG645" s="42" t="n"/>
      <c r="AH645" s="48" t="n"/>
      <c r="AI645" s="58" t="n"/>
    </row>
    <row r="646">
      <c r="B646" s="2">
        <f>IF(STUDENTS!B645="","",STUDENTS!B645)</f>
        <v/>
      </c>
      <c r="C646" s="44">
        <f>IFERROR(IF(B646="","",_xlfn.XLOOKUP(B646,STUDENTS!$B$3:$B$1048576,STUDENTS!$C$3:$C$1048576)),"Enter a registered reg. no")</f>
        <v/>
      </c>
      <c r="F646" s="66" t="n"/>
      <c r="G646" s="67" t="n"/>
      <c r="J646" s="66" t="n"/>
      <c r="K646" s="67" t="n"/>
      <c r="N646" s="66" t="n"/>
      <c r="O646" s="67" t="n"/>
      <c r="R646" s="66" t="n"/>
      <c r="S646" s="67" t="n"/>
      <c r="V646" s="66" t="n"/>
      <c r="W646" s="67" t="n"/>
      <c r="Z646" s="66" t="n"/>
      <c r="AA646" s="67" t="n"/>
      <c r="AD646" s="66" t="n"/>
      <c r="AE646" s="67" t="n"/>
      <c r="AH646" s="66" t="n"/>
      <c r="AI646" s="67" t="n"/>
    </row>
    <row r="647">
      <c r="B647" s="2">
        <f>IF(STUDENTS!B646="","",STUDENTS!B646)</f>
        <v/>
      </c>
      <c r="C647" s="44">
        <f>IFERROR(IF(B647="","",_xlfn.XLOOKUP(B647,STUDENTS!$B$3:$B$1048576,STUDENTS!$C$3:$C$1048576)),"Enter a registered reg. no")</f>
        <v/>
      </c>
      <c r="D647" s="54" t="n"/>
      <c r="E647" s="55" t="n"/>
      <c r="F647" s="48" t="n"/>
      <c r="G647" s="58" t="n"/>
      <c r="H647" s="62" t="n"/>
      <c r="I647" s="63" t="n"/>
      <c r="J647" s="48" t="n"/>
      <c r="K647" s="58" t="n"/>
      <c r="L647" s="42" t="n"/>
      <c r="M647" s="42" t="n"/>
      <c r="N647" s="48" t="n"/>
      <c r="O647" s="58" t="n"/>
      <c r="P647" s="42" t="n"/>
      <c r="Q647" s="42" t="n"/>
      <c r="R647" s="48" t="n"/>
      <c r="S647" s="58" t="n"/>
      <c r="T647" s="42" t="n"/>
      <c r="U647" s="42" t="n"/>
      <c r="V647" s="48" t="n"/>
      <c r="W647" s="58" t="n"/>
      <c r="X647" s="42" t="n"/>
      <c r="Y647" s="42" t="n"/>
      <c r="Z647" s="48" t="n"/>
      <c r="AA647" s="58" t="n"/>
      <c r="AB647" s="42" t="n"/>
      <c r="AC647" s="42" t="n"/>
      <c r="AD647" s="48" t="n"/>
      <c r="AE647" s="58" t="n"/>
      <c r="AF647" s="42" t="n"/>
      <c r="AG647" s="42" t="n"/>
      <c r="AH647" s="48" t="n"/>
      <c r="AI647" s="58" t="n"/>
    </row>
    <row r="648">
      <c r="B648" s="2">
        <f>IF(STUDENTS!B647="","",STUDENTS!B647)</f>
        <v/>
      </c>
      <c r="C648" s="44">
        <f>IFERROR(IF(B648="","",_xlfn.XLOOKUP(B648,STUDENTS!$B$3:$B$1048576,STUDENTS!$C$3:$C$1048576)),"Enter a registered reg. no")</f>
        <v/>
      </c>
      <c r="F648" s="66" t="n"/>
      <c r="G648" s="67" t="n"/>
      <c r="J648" s="66" t="n"/>
      <c r="K648" s="67" t="n"/>
      <c r="N648" s="66" t="n"/>
      <c r="O648" s="67" t="n"/>
      <c r="R648" s="66" t="n"/>
      <c r="S648" s="67" t="n"/>
      <c r="V648" s="66" t="n"/>
      <c r="W648" s="67" t="n"/>
      <c r="Z648" s="66" t="n"/>
      <c r="AA648" s="67" t="n"/>
      <c r="AD648" s="66" t="n"/>
      <c r="AE648" s="67" t="n"/>
      <c r="AH648" s="66" t="n"/>
      <c r="AI648" s="67" t="n"/>
    </row>
    <row r="649">
      <c r="B649" s="2">
        <f>IF(STUDENTS!B648="","",STUDENTS!B648)</f>
        <v/>
      </c>
      <c r="C649" s="44">
        <f>IFERROR(IF(B649="","",_xlfn.XLOOKUP(B649,STUDENTS!$B$3:$B$1048576,STUDENTS!$C$3:$C$1048576)),"Enter a registered reg. no")</f>
        <v/>
      </c>
      <c r="D649" s="54" t="n"/>
      <c r="E649" s="55" t="n"/>
      <c r="F649" s="48" t="n"/>
      <c r="G649" s="58" t="n"/>
      <c r="H649" s="62" t="n"/>
      <c r="I649" s="63" t="n"/>
      <c r="J649" s="48" t="n"/>
      <c r="K649" s="58" t="n"/>
      <c r="L649" s="42" t="n"/>
      <c r="M649" s="42" t="n"/>
      <c r="N649" s="48" t="n"/>
      <c r="O649" s="58" t="n"/>
      <c r="P649" s="42" t="n"/>
      <c r="Q649" s="42" t="n"/>
      <c r="R649" s="48" t="n"/>
      <c r="S649" s="58" t="n"/>
      <c r="T649" s="42" t="n"/>
      <c r="U649" s="42" t="n"/>
      <c r="V649" s="48" t="n"/>
      <c r="W649" s="58" t="n"/>
      <c r="X649" s="42" t="n"/>
      <c r="Y649" s="42" t="n"/>
      <c r="Z649" s="48" t="n"/>
      <c r="AA649" s="58" t="n"/>
      <c r="AB649" s="42" t="n"/>
      <c r="AC649" s="42" t="n"/>
      <c r="AD649" s="48" t="n"/>
      <c r="AE649" s="58" t="n"/>
      <c r="AF649" s="42" t="n"/>
      <c r="AG649" s="42" t="n"/>
      <c r="AH649" s="48" t="n"/>
      <c r="AI649" s="58" t="n"/>
    </row>
    <row r="650">
      <c r="B650" s="2">
        <f>IF(STUDENTS!B649="","",STUDENTS!B649)</f>
        <v/>
      </c>
      <c r="C650" s="44">
        <f>IFERROR(IF(B650="","",_xlfn.XLOOKUP(B650,STUDENTS!$B$3:$B$1048576,STUDENTS!$C$3:$C$1048576)),"Enter a registered reg. no")</f>
        <v/>
      </c>
      <c r="F650" s="66" t="n"/>
      <c r="G650" s="67" t="n"/>
      <c r="J650" s="66" t="n"/>
      <c r="K650" s="67" t="n"/>
      <c r="N650" s="66" t="n"/>
      <c r="O650" s="67" t="n"/>
      <c r="R650" s="66" t="n"/>
      <c r="S650" s="67" t="n"/>
      <c r="V650" s="66" t="n"/>
      <c r="W650" s="67" t="n"/>
      <c r="Z650" s="66" t="n"/>
      <c r="AA650" s="67" t="n"/>
      <c r="AD650" s="66" t="n"/>
      <c r="AE650" s="67" t="n"/>
      <c r="AH650" s="66" t="n"/>
      <c r="AI650" s="67" t="n"/>
    </row>
    <row r="651">
      <c r="B651" s="2">
        <f>IF(STUDENTS!B650="","",STUDENTS!B650)</f>
        <v/>
      </c>
      <c r="C651" s="44">
        <f>IFERROR(IF(B651="","",_xlfn.XLOOKUP(B651,STUDENTS!$B$3:$B$1048576,STUDENTS!$C$3:$C$1048576)),"Enter a registered reg. no")</f>
        <v/>
      </c>
      <c r="D651" s="54" t="n"/>
      <c r="E651" s="55" t="n"/>
      <c r="F651" s="48" t="n"/>
      <c r="G651" s="58" t="n"/>
      <c r="H651" s="62" t="n"/>
      <c r="I651" s="63" t="n"/>
      <c r="J651" s="48" t="n"/>
      <c r="K651" s="58" t="n"/>
      <c r="L651" s="42" t="n"/>
      <c r="M651" s="42" t="n"/>
      <c r="N651" s="48" t="n"/>
      <c r="O651" s="58" t="n"/>
      <c r="P651" s="42" t="n"/>
      <c r="Q651" s="42" t="n"/>
      <c r="R651" s="48" t="n"/>
      <c r="S651" s="58" t="n"/>
      <c r="T651" s="42" t="n"/>
      <c r="U651" s="42" t="n"/>
      <c r="V651" s="48" t="n"/>
      <c r="W651" s="58" t="n"/>
      <c r="X651" s="42" t="n"/>
      <c r="Y651" s="42" t="n"/>
      <c r="Z651" s="48" t="n"/>
      <c r="AA651" s="58" t="n"/>
      <c r="AB651" s="42" t="n"/>
      <c r="AC651" s="42" t="n"/>
      <c r="AD651" s="48" t="n"/>
      <c r="AE651" s="58" t="n"/>
      <c r="AF651" s="42" t="n"/>
      <c r="AG651" s="42" t="n"/>
      <c r="AH651" s="48" t="n"/>
      <c r="AI651" s="58" t="n"/>
    </row>
    <row r="652">
      <c r="B652" s="2">
        <f>IF(STUDENTS!B651="","",STUDENTS!B651)</f>
        <v/>
      </c>
      <c r="C652" s="44">
        <f>IFERROR(IF(B652="","",_xlfn.XLOOKUP(B652,STUDENTS!$B$3:$B$1048576,STUDENTS!$C$3:$C$1048576)),"Enter a registered reg. no")</f>
        <v/>
      </c>
      <c r="F652" s="66" t="n"/>
      <c r="G652" s="67" t="n"/>
      <c r="J652" s="66" t="n"/>
      <c r="K652" s="67" t="n"/>
      <c r="N652" s="66" t="n"/>
      <c r="O652" s="67" t="n"/>
      <c r="R652" s="66" t="n"/>
      <c r="S652" s="67" t="n"/>
      <c r="V652" s="66" t="n"/>
      <c r="W652" s="67" t="n"/>
      <c r="Z652" s="66" t="n"/>
      <c r="AA652" s="67" t="n"/>
      <c r="AD652" s="66" t="n"/>
      <c r="AE652" s="67" t="n"/>
      <c r="AH652" s="66" t="n"/>
      <c r="AI652" s="67" t="n"/>
    </row>
    <row r="653">
      <c r="B653" s="2">
        <f>IF(STUDENTS!B652="","",STUDENTS!B652)</f>
        <v/>
      </c>
      <c r="C653" s="44">
        <f>IFERROR(IF(B653="","",_xlfn.XLOOKUP(B653,STUDENTS!$B$3:$B$1048576,STUDENTS!$C$3:$C$1048576)),"Enter a registered reg. no")</f>
        <v/>
      </c>
      <c r="D653" s="54" t="n"/>
      <c r="E653" s="55" t="n"/>
      <c r="F653" s="48" t="n"/>
      <c r="G653" s="58" t="n"/>
      <c r="H653" s="62" t="n"/>
      <c r="I653" s="63" t="n"/>
      <c r="J653" s="48" t="n"/>
      <c r="K653" s="58" t="n"/>
      <c r="L653" s="42" t="n"/>
      <c r="M653" s="42" t="n"/>
      <c r="N653" s="48" t="n"/>
      <c r="O653" s="58" t="n"/>
      <c r="P653" s="42" t="n"/>
      <c r="Q653" s="42" t="n"/>
      <c r="R653" s="48" t="n"/>
      <c r="S653" s="58" t="n"/>
      <c r="T653" s="42" t="n"/>
      <c r="U653" s="42" t="n"/>
      <c r="V653" s="48" t="n"/>
      <c r="W653" s="58" t="n"/>
      <c r="X653" s="42" t="n"/>
      <c r="Y653" s="42" t="n"/>
      <c r="Z653" s="48" t="n"/>
      <c r="AA653" s="58" t="n"/>
      <c r="AB653" s="42" t="n"/>
      <c r="AC653" s="42" t="n"/>
      <c r="AD653" s="48" t="n"/>
      <c r="AE653" s="58" t="n"/>
      <c r="AF653" s="42" t="n"/>
      <c r="AG653" s="42" t="n"/>
      <c r="AH653" s="48" t="n"/>
      <c r="AI653" s="58" t="n"/>
    </row>
    <row r="654">
      <c r="B654" s="2">
        <f>IF(STUDENTS!B653="","",STUDENTS!B653)</f>
        <v/>
      </c>
      <c r="C654" s="44">
        <f>IFERROR(IF(B654="","",_xlfn.XLOOKUP(B654,STUDENTS!$B$3:$B$1048576,STUDENTS!$C$3:$C$1048576)),"Enter a registered reg. no")</f>
        <v/>
      </c>
      <c r="F654" s="66" t="n"/>
      <c r="G654" s="67" t="n"/>
      <c r="J654" s="66" t="n"/>
      <c r="K654" s="67" t="n"/>
      <c r="N654" s="66" t="n"/>
      <c r="O654" s="67" t="n"/>
      <c r="R654" s="66" t="n"/>
      <c r="S654" s="67" t="n"/>
      <c r="V654" s="66" t="n"/>
      <c r="W654" s="67" t="n"/>
      <c r="Z654" s="66" t="n"/>
      <c r="AA654" s="67" t="n"/>
      <c r="AD654" s="66" t="n"/>
      <c r="AE654" s="67" t="n"/>
      <c r="AH654" s="66" t="n"/>
      <c r="AI654" s="67" t="n"/>
    </row>
    <row r="655">
      <c r="B655" s="2">
        <f>IF(STUDENTS!B654="","",STUDENTS!B654)</f>
        <v/>
      </c>
      <c r="C655" s="44">
        <f>IFERROR(IF(B655="","",_xlfn.XLOOKUP(B655,STUDENTS!$B$3:$B$1048576,STUDENTS!$C$3:$C$1048576)),"Enter a registered reg. no")</f>
        <v/>
      </c>
      <c r="D655" s="54" t="n"/>
      <c r="E655" s="55" t="n"/>
      <c r="F655" s="48" t="n"/>
      <c r="G655" s="58" t="n"/>
      <c r="H655" s="62" t="n"/>
      <c r="I655" s="63" t="n"/>
      <c r="J655" s="48" t="n"/>
      <c r="K655" s="58" t="n"/>
      <c r="L655" s="42" t="n"/>
      <c r="M655" s="42" t="n"/>
      <c r="N655" s="48" t="n"/>
      <c r="O655" s="58" t="n"/>
      <c r="P655" s="42" t="n"/>
      <c r="Q655" s="42" t="n"/>
      <c r="R655" s="48" t="n"/>
      <c r="S655" s="58" t="n"/>
      <c r="T655" s="42" t="n"/>
      <c r="U655" s="42" t="n"/>
      <c r="V655" s="48" t="n"/>
      <c r="W655" s="58" t="n"/>
      <c r="X655" s="42" t="n"/>
      <c r="Y655" s="42" t="n"/>
      <c r="Z655" s="48" t="n"/>
      <c r="AA655" s="58" t="n"/>
      <c r="AB655" s="42" t="n"/>
      <c r="AC655" s="42" t="n"/>
      <c r="AD655" s="48" t="n"/>
      <c r="AE655" s="58" t="n"/>
      <c r="AF655" s="42" t="n"/>
      <c r="AG655" s="42" t="n"/>
      <c r="AH655" s="48" t="n"/>
      <c r="AI655" s="58" t="n"/>
    </row>
    <row r="656">
      <c r="B656" s="2">
        <f>IF(STUDENTS!B655="","",STUDENTS!B655)</f>
        <v/>
      </c>
      <c r="C656" s="44">
        <f>IFERROR(IF(B656="","",_xlfn.XLOOKUP(B656,STUDENTS!$B$3:$B$1048576,STUDENTS!$C$3:$C$1048576)),"Enter a registered reg. no")</f>
        <v/>
      </c>
      <c r="F656" s="66" t="n"/>
      <c r="G656" s="67" t="n"/>
      <c r="J656" s="66" t="n"/>
      <c r="K656" s="67" t="n"/>
      <c r="N656" s="66" t="n"/>
      <c r="O656" s="67" t="n"/>
      <c r="R656" s="66" t="n"/>
      <c r="S656" s="67" t="n"/>
      <c r="V656" s="66" t="n"/>
      <c r="W656" s="67" t="n"/>
      <c r="Z656" s="66" t="n"/>
      <c r="AA656" s="67" t="n"/>
      <c r="AD656" s="66" t="n"/>
      <c r="AE656" s="67" t="n"/>
      <c r="AH656" s="66" t="n"/>
      <c r="AI656" s="67" t="n"/>
    </row>
    <row r="657">
      <c r="B657" s="2">
        <f>IF(STUDENTS!B656="","",STUDENTS!B656)</f>
        <v/>
      </c>
      <c r="C657" s="44">
        <f>IFERROR(IF(B657="","",_xlfn.XLOOKUP(B657,STUDENTS!$B$3:$B$1048576,STUDENTS!$C$3:$C$1048576)),"Enter a registered reg. no")</f>
        <v/>
      </c>
      <c r="D657" s="54" t="n"/>
      <c r="E657" s="55" t="n"/>
      <c r="F657" s="48" t="n"/>
      <c r="G657" s="58" t="n"/>
      <c r="H657" s="62" t="n"/>
      <c r="I657" s="63" t="n"/>
      <c r="J657" s="48" t="n"/>
      <c r="K657" s="58" t="n"/>
      <c r="L657" s="42" t="n"/>
      <c r="M657" s="42" t="n"/>
      <c r="N657" s="48" t="n"/>
      <c r="O657" s="58" t="n"/>
      <c r="P657" s="42" t="n"/>
      <c r="Q657" s="42" t="n"/>
      <c r="R657" s="48" t="n"/>
      <c r="S657" s="58" t="n"/>
      <c r="T657" s="42" t="n"/>
      <c r="U657" s="42" t="n"/>
      <c r="V657" s="48" t="n"/>
      <c r="W657" s="58" t="n"/>
      <c r="X657" s="42" t="n"/>
      <c r="Y657" s="42" t="n"/>
      <c r="Z657" s="48" t="n"/>
      <c r="AA657" s="58" t="n"/>
      <c r="AB657" s="42" t="n"/>
      <c r="AC657" s="42" t="n"/>
      <c r="AD657" s="48" t="n"/>
      <c r="AE657" s="58" t="n"/>
      <c r="AF657" s="42" t="n"/>
      <c r="AG657" s="42" t="n"/>
      <c r="AH657" s="48" t="n"/>
      <c r="AI657" s="58" t="n"/>
    </row>
    <row r="658">
      <c r="B658" s="2">
        <f>IF(STUDENTS!B657="","",STUDENTS!B657)</f>
        <v/>
      </c>
      <c r="C658" s="44">
        <f>IFERROR(IF(B658="","",_xlfn.XLOOKUP(B658,STUDENTS!$B$3:$B$1048576,STUDENTS!$C$3:$C$1048576)),"Enter a registered reg. no")</f>
        <v/>
      </c>
      <c r="F658" s="66" t="n"/>
      <c r="G658" s="67" t="n"/>
      <c r="J658" s="66" t="n"/>
      <c r="K658" s="67" t="n"/>
      <c r="N658" s="66" t="n"/>
      <c r="O658" s="67" t="n"/>
      <c r="R658" s="66" t="n"/>
      <c r="S658" s="67" t="n"/>
      <c r="V658" s="66" t="n"/>
      <c r="W658" s="67" t="n"/>
      <c r="Z658" s="66" t="n"/>
      <c r="AA658" s="67" t="n"/>
      <c r="AD658" s="66" t="n"/>
      <c r="AE658" s="67" t="n"/>
      <c r="AH658" s="66" t="n"/>
      <c r="AI658" s="67" t="n"/>
    </row>
    <row r="659">
      <c r="B659" s="2">
        <f>IF(STUDENTS!B658="","",STUDENTS!B658)</f>
        <v/>
      </c>
      <c r="C659" s="44">
        <f>IFERROR(IF(B659="","",_xlfn.XLOOKUP(B659,STUDENTS!$B$3:$B$1048576,STUDENTS!$C$3:$C$1048576)),"Enter a registered reg. no")</f>
        <v/>
      </c>
      <c r="D659" s="54" t="n"/>
      <c r="E659" s="55" t="n"/>
      <c r="F659" s="48" t="n"/>
      <c r="G659" s="58" t="n"/>
      <c r="H659" s="62" t="n"/>
      <c r="I659" s="63" t="n"/>
      <c r="J659" s="48" t="n"/>
      <c r="K659" s="58" t="n"/>
      <c r="L659" s="42" t="n"/>
      <c r="M659" s="42" t="n"/>
      <c r="N659" s="48" t="n"/>
      <c r="O659" s="58" t="n"/>
      <c r="P659" s="42" t="n"/>
      <c r="Q659" s="42" t="n"/>
      <c r="R659" s="48" t="n"/>
      <c r="S659" s="58" t="n"/>
      <c r="T659" s="42" t="n"/>
      <c r="U659" s="42" t="n"/>
      <c r="V659" s="48" t="n"/>
      <c r="W659" s="58" t="n"/>
      <c r="X659" s="42" t="n"/>
      <c r="Y659" s="42" t="n"/>
      <c r="Z659" s="48" t="n"/>
      <c r="AA659" s="58" t="n"/>
      <c r="AB659" s="42" t="n"/>
      <c r="AC659" s="42" t="n"/>
      <c r="AD659" s="48" t="n"/>
      <c r="AE659" s="58" t="n"/>
      <c r="AF659" s="42" t="n"/>
      <c r="AG659" s="42" t="n"/>
      <c r="AH659" s="48" t="n"/>
      <c r="AI659" s="58" t="n"/>
    </row>
    <row r="660">
      <c r="B660" s="2">
        <f>IF(STUDENTS!B659="","",STUDENTS!B659)</f>
        <v/>
      </c>
      <c r="C660" s="44">
        <f>IFERROR(IF(B660="","",_xlfn.XLOOKUP(B660,STUDENTS!$B$3:$B$1048576,STUDENTS!$C$3:$C$1048576)),"Enter a registered reg. no")</f>
        <v/>
      </c>
      <c r="F660" s="66" t="n"/>
      <c r="G660" s="67" t="n"/>
      <c r="J660" s="66" t="n"/>
      <c r="K660" s="67" t="n"/>
      <c r="N660" s="66" t="n"/>
      <c r="O660" s="67" t="n"/>
      <c r="R660" s="66" t="n"/>
      <c r="S660" s="67" t="n"/>
      <c r="V660" s="66" t="n"/>
      <c r="W660" s="67" t="n"/>
      <c r="Z660" s="66" t="n"/>
      <c r="AA660" s="67" t="n"/>
      <c r="AD660" s="66" t="n"/>
      <c r="AE660" s="67" t="n"/>
      <c r="AH660" s="66" t="n"/>
      <c r="AI660" s="67" t="n"/>
    </row>
    <row r="661">
      <c r="B661" s="2">
        <f>IF(STUDENTS!B660="","",STUDENTS!B660)</f>
        <v/>
      </c>
      <c r="C661" s="44">
        <f>IFERROR(IF(B661="","",_xlfn.XLOOKUP(B661,STUDENTS!$B$3:$B$1048576,STUDENTS!$C$3:$C$1048576)),"Enter a registered reg. no")</f>
        <v/>
      </c>
      <c r="D661" s="54" t="n"/>
      <c r="E661" s="55" t="n"/>
      <c r="F661" s="48" t="n"/>
      <c r="G661" s="58" t="n"/>
      <c r="H661" s="62" t="n"/>
      <c r="I661" s="63" t="n"/>
      <c r="J661" s="48" t="n"/>
      <c r="K661" s="58" t="n"/>
      <c r="L661" s="42" t="n"/>
      <c r="M661" s="42" t="n"/>
      <c r="N661" s="48" t="n"/>
      <c r="O661" s="58" t="n"/>
      <c r="P661" s="42" t="n"/>
      <c r="Q661" s="42" t="n"/>
      <c r="R661" s="48" t="n"/>
      <c r="S661" s="58" t="n"/>
      <c r="T661" s="42" t="n"/>
      <c r="U661" s="42" t="n"/>
      <c r="V661" s="48" t="n"/>
      <c r="W661" s="58" t="n"/>
      <c r="X661" s="42" t="n"/>
      <c r="Y661" s="42" t="n"/>
      <c r="Z661" s="48" t="n"/>
      <c r="AA661" s="58" t="n"/>
      <c r="AB661" s="42" t="n"/>
      <c r="AC661" s="42" t="n"/>
      <c r="AD661" s="48" t="n"/>
      <c r="AE661" s="58" t="n"/>
      <c r="AF661" s="42" t="n"/>
      <c r="AG661" s="42" t="n"/>
      <c r="AH661" s="48" t="n"/>
      <c r="AI661" s="58" t="n"/>
    </row>
    <row r="662">
      <c r="B662" s="2">
        <f>IF(STUDENTS!B661="","",STUDENTS!B661)</f>
        <v/>
      </c>
      <c r="C662" s="44">
        <f>IFERROR(IF(B662="","",_xlfn.XLOOKUP(B662,STUDENTS!$B$3:$B$1048576,STUDENTS!$C$3:$C$1048576)),"Enter a registered reg. no")</f>
        <v/>
      </c>
      <c r="F662" s="66" t="n"/>
      <c r="G662" s="67" t="n"/>
      <c r="J662" s="66" t="n"/>
      <c r="K662" s="67" t="n"/>
      <c r="N662" s="66" t="n"/>
      <c r="O662" s="67" t="n"/>
      <c r="R662" s="66" t="n"/>
      <c r="S662" s="67" t="n"/>
      <c r="V662" s="66" t="n"/>
      <c r="W662" s="67" t="n"/>
      <c r="Z662" s="66" t="n"/>
      <c r="AA662" s="67" t="n"/>
      <c r="AD662" s="66" t="n"/>
      <c r="AE662" s="67" t="n"/>
      <c r="AH662" s="66" t="n"/>
      <c r="AI662" s="67" t="n"/>
    </row>
    <row r="663">
      <c r="B663" s="2">
        <f>IF(STUDENTS!B662="","",STUDENTS!B662)</f>
        <v/>
      </c>
      <c r="C663" s="44">
        <f>IFERROR(IF(B663="","",_xlfn.XLOOKUP(B663,STUDENTS!$B$3:$B$1048576,STUDENTS!$C$3:$C$1048576)),"Enter a registered reg. no")</f>
        <v/>
      </c>
      <c r="D663" s="54" t="n"/>
      <c r="E663" s="55" t="n"/>
      <c r="F663" s="48" t="n"/>
      <c r="G663" s="58" t="n"/>
      <c r="H663" s="62" t="n"/>
      <c r="I663" s="63" t="n"/>
      <c r="J663" s="48" t="n"/>
      <c r="K663" s="58" t="n"/>
      <c r="L663" s="42" t="n"/>
      <c r="M663" s="42" t="n"/>
      <c r="N663" s="48" t="n"/>
      <c r="O663" s="58" t="n"/>
      <c r="P663" s="42" t="n"/>
      <c r="Q663" s="42" t="n"/>
      <c r="R663" s="48" t="n"/>
      <c r="S663" s="58" t="n"/>
      <c r="T663" s="42" t="n"/>
      <c r="U663" s="42" t="n"/>
      <c r="V663" s="48" t="n"/>
      <c r="W663" s="58" t="n"/>
      <c r="X663" s="42" t="n"/>
      <c r="Y663" s="42" t="n"/>
      <c r="Z663" s="48" t="n"/>
      <c r="AA663" s="58" t="n"/>
      <c r="AB663" s="42" t="n"/>
      <c r="AC663" s="42" t="n"/>
      <c r="AD663" s="48" t="n"/>
      <c r="AE663" s="58" t="n"/>
      <c r="AF663" s="42" t="n"/>
      <c r="AG663" s="42" t="n"/>
      <c r="AH663" s="48" t="n"/>
      <c r="AI663" s="58" t="n"/>
    </row>
    <row r="664">
      <c r="B664" s="2">
        <f>IF(STUDENTS!B663="","",STUDENTS!B663)</f>
        <v/>
      </c>
      <c r="C664" s="44">
        <f>IFERROR(IF(B664="","",_xlfn.XLOOKUP(B664,STUDENTS!$B$3:$B$1048576,STUDENTS!$C$3:$C$1048576)),"Enter a registered reg. no")</f>
        <v/>
      </c>
      <c r="F664" s="66" t="n"/>
      <c r="G664" s="67" t="n"/>
      <c r="J664" s="66" t="n"/>
      <c r="K664" s="67" t="n"/>
      <c r="N664" s="66" t="n"/>
      <c r="O664" s="67" t="n"/>
      <c r="R664" s="66" t="n"/>
      <c r="S664" s="67" t="n"/>
      <c r="V664" s="66" t="n"/>
      <c r="W664" s="67" t="n"/>
      <c r="Z664" s="66" t="n"/>
      <c r="AA664" s="67" t="n"/>
      <c r="AD664" s="66" t="n"/>
      <c r="AE664" s="67" t="n"/>
      <c r="AH664" s="66" t="n"/>
      <c r="AI664" s="67" t="n"/>
    </row>
    <row r="665">
      <c r="B665" s="2">
        <f>IF(STUDENTS!B664="","",STUDENTS!B664)</f>
        <v/>
      </c>
      <c r="C665" s="44">
        <f>IFERROR(IF(B665="","",_xlfn.XLOOKUP(B665,STUDENTS!$B$3:$B$1048576,STUDENTS!$C$3:$C$1048576)),"Enter a registered reg. no")</f>
        <v/>
      </c>
      <c r="D665" s="54" t="n"/>
      <c r="E665" s="55" t="n"/>
      <c r="F665" s="48" t="n"/>
      <c r="G665" s="58" t="n"/>
      <c r="H665" s="62" t="n"/>
      <c r="I665" s="63" t="n"/>
      <c r="J665" s="48" t="n"/>
      <c r="K665" s="58" t="n"/>
      <c r="L665" s="42" t="n"/>
      <c r="M665" s="42" t="n"/>
      <c r="N665" s="48" t="n"/>
      <c r="O665" s="58" t="n"/>
      <c r="P665" s="42" t="n"/>
      <c r="Q665" s="42" t="n"/>
      <c r="R665" s="48" t="n"/>
      <c r="S665" s="58" t="n"/>
      <c r="T665" s="42" t="n"/>
      <c r="U665" s="42" t="n"/>
      <c r="V665" s="48" t="n"/>
      <c r="W665" s="58" t="n"/>
      <c r="X665" s="42" t="n"/>
      <c r="Y665" s="42" t="n"/>
      <c r="Z665" s="48" t="n"/>
      <c r="AA665" s="58" t="n"/>
      <c r="AB665" s="42" t="n"/>
      <c r="AC665" s="42" t="n"/>
      <c r="AD665" s="48" t="n"/>
      <c r="AE665" s="58" t="n"/>
      <c r="AF665" s="42" t="n"/>
      <c r="AG665" s="42" t="n"/>
      <c r="AH665" s="48" t="n"/>
      <c r="AI665" s="58" t="n"/>
    </row>
    <row r="666">
      <c r="B666" s="2">
        <f>IF(STUDENTS!B665="","",STUDENTS!B665)</f>
        <v/>
      </c>
      <c r="C666" s="44">
        <f>IFERROR(IF(B666="","",_xlfn.XLOOKUP(B666,STUDENTS!$B$3:$B$1048576,STUDENTS!$C$3:$C$1048576)),"Enter a registered reg. no")</f>
        <v/>
      </c>
      <c r="F666" s="66" t="n"/>
      <c r="G666" s="67" t="n"/>
      <c r="J666" s="66" t="n"/>
      <c r="K666" s="67" t="n"/>
      <c r="N666" s="66" t="n"/>
      <c r="O666" s="67" t="n"/>
      <c r="R666" s="66" t="n"/>
      <c r="S666" s="67" t="n"/>
      <c r="V666" s="66" t="n"/>
      <c r="W666" s="67" t="n"/>
      <c r="Z666" s="66" t="n"/>
      <c r="AA666" s="67" t="n"/>
      <c r="AD666" s="66" t="n"/>
      <c r="AE666" s="67" t="n"/>
      <c r="AH666" s="66" t="n"/>
      <c r="AI666" s="67" t="n"/>
    </row>
    <row r="667">
      <c r="B667" s="2">
        <f>IF(STUDENTS!B666="","",STUDENTS!B666)</f>
        <v/>
      </c>
      <c r="C667" s="44">
        <f>IFERROR(IF(B667="","",_xlfn.XLOOKUP(B667,STUDENTS!$B$3:$B$1048576,STUDENTS!$C$3:$C$1048576)),"Enter a registered reg. no")</f>
        <v/>
      </c>
      <c r="D667" s="54" t="n"/>
      <c r="E667" s="55" t="n"/>
      <c r="F667" s="48" t="n"/>
      <c r="G667" s="58" t="n"/>
      <c r="H667" s="62" t="n"/>
      <c r="I667" s="63" t="n"/>
      <c r="J667" s="48" t="n"/>
      <c r="K667" s="58" t="n"/>
      <c r="L667" s="42" t="n"/>
      <c r="M667" s="42" t="n"/>
      <c r="N667" s="48" t="n"/>
      <c r="O667" s="58" t="n"/>
      <c r="P667" s="42" t="n"/>
      <c r="Q667" s="42" t="n"/>
      <c r="R667" s="48" t="n"/>
      <c r="S667" s="58" t="n"/>
      <c r="T667" s="42" t="n"/>
      <c r="U667" s="42" t="n"/>
      <c r="V667" s="48" t="n"/>
      <c r="W667" s="58" t="n"/>
      <c r="X667" s="42" t="n"/>
      <c r="Y667" s="42" t="n"/>
      <c r="Z667" s="48" t="n"/>
      <c r="AA667" s="58" t="n"/>
      <c r="AB667" s="42" t="n"/>
      <c r="AC667" s="42" t="n"/>
      <c r="AD667" s="48" t="n"/>
      <c r="AE667" s="58" t="n"/>
      <c r="AF667" s="42" t="n"/>
      <c r="AG667" s="42" t="n"/>
      <c r="AH667" s="48" t="n"/>
      <c r="AI667" s="58" t="n"/>
    </row>
    <row r="668">
      <c r="B668" s="2">
        <f>IF(STUDENTS!B667="","",STUDENTS!B667)</f>
        <v/>
      </c>
      <c r="C668" s="44">
        <f>IFERROR(IF(B668="","",_xlfn.XLOOKUP(B668,STUDENTS!$B$3:$B$1048576,STUDENTS!$C$3:$C$1048576)),"Enter a registered reg. no")</f>
        <v/>
      </c>
      <c r="F668" s="66" t="n"/>
      <c r="G668" s="67" t="n"/>
      <c r="J668" s="66" t="n"/>
      <c r="K668" s="67" t="n"/>
      <c r="N668" s="66" t="n"/>
      <c r="O668" s="67" t="n"/>
      <c r="R668" s="66" t="n"/>
      <c r="S668" s="67" t="n"/>
      <c r="V668" s="66" t="n"/>
      <c r="W668" s="67" t="n"/>
      <c r="Z668" s="66" t="n"/>
      <c r="AA668" s="67" t="n"/>
      <c r="AD668" s="66" t="n"/>
      <c r="AE668" s="67" t="n"/>
      <c r="AH668" s="66" t="n"/>
      <c r="AI668" s="67" t="n"/>
    </row>
    <row r="669">
      <c r="B669" s="2">
        <f>IF(STUDENTS!B668="","",STUDENTS!B668)</f>
        <v/>
      </c>
      <c r="C669" s="44">
        <f>IFERROR(IF(B669="","",_xlfn.XLOOKUP(B669,STUDENTS!$B$3:$B$1048576,STUDENTS!$C$3:$C$1048576)),"Enter a registered reg. no")</f>
        <v/>
      </c>
      <c r="D669" s="54" t="n"/>
      <c r="E669" s="55" t="n"/>
      <c r="F669" s="48" t="n"/>
      <c r="G669" s="58" t="n"/>
      <c r="H669" s="62" t="n"/>
      <c r="I669" s="63" t="n"/>
      <c r="J669" s="48" t="n"/>
      <c r="K669" s="58" t="n"/>
      <c r="L669" s="42" t="n"/>
      <c r="M669" s="42" t="n"/>
      <c r="N669" s="48" t="n"/>
      <c r="O669" s="58" t="n"/>
      <c r="P669" s="42" t="n"/>
      <c r="Q669" s="42" t="n"/>
      <c r="R669" s="48" t="n"/>
      <c r="S669" s="58" t="n"/>
      <c r="T669" s="42" t="n"/>
      <c r="U669" s="42" t="n"/>
      <c r="V669" s="48" t="n"/>
      <c r="W669" s="58" t="n"/>
      <c r="X669" s="42" t="n"/>
      <c r="Y669" s="42" t="n"/>
      <c r="Z669" s="48" t="n"/>
      <c r="AA669" s="58" t="n"/>
      <c r="AB669" s="42" t="n"/>
      <c r="AC669" s="42" t="n"/>
      <c r="AD669" s="48" t="n"/>
      <c r="AE669" s="58" t="n"/>
      <c r="AF669" s="42" t="n"/>
      <c r="AG669" s="42" t="n"/>
      <c r="AH669" s="48" t="n"/>
      <c r="AI669" s="58" t="n"/>
    </row>
    <row r="670">
      <c r="B670" s="2">
        <f>IF(STUDENTS!B669="","",STUDENTS!B669)</f>
        <v/>
      </c>
      <c r="C670" s="44">
        <f>IFERROR(IF(B670="","",_xlfn.XLOOKUP(B670,STUDENTS!$B$3:$B$1048576,STUDENTS!$C$3:$C$1048576)),"Enter a registered reg. no")</f>
        <v/>
      </c>
      <c r="F670" s="66" t="n"/>
      <c r="G670" s="67" t="n"/>
      <c r="J670" s="66" t="n"/>
      <c r="K670" s="67" t="n"/>
      <c r="N670" s="66" t="n"/>
      <c r="O670" s="67" t="n"/>
      <c r="R670" s="66" t="n"/>
      <c r="S670" s="67" t="n"/>
      <c r="V670" s="66" t="n"/>
      <c r="W670" s="67" t="n"/>
      <c r="Z670" s="66" t="n"/>
      <c r="AA670" s="67" t="n"/>
      <c r="AD670" s="66" t="n"/>
      <c r="AE670" s="67" t="n"/>
      <c r="AH670" s="66" t="n"/>
      <c r="AI670" s="67" t="n"/>
    </row>
    <row r="671">
      <c r="B671" s="2">
        <f>IF(STUDENTS!B670="","",STUDENTS!B670)</f>
        <v/>
      </c>
      <c r="C671" s="44">
        <f>IFERROR(IF(B671="","",_xlfn.XLOOKUP(B671,STUDENTS!$B$3:$B$1048576,STUDENTS!$C$3:$C$1048576)),"Enter a registered reg. no")</f>
        <v/>
      </c>
      <c r="D671" s="54" t="n"/>
      <c r="E671" s="55" t="n"/>
      <c r="F671" s="48" t="n"/>
      <c r="G671" s="58" t="n"/>
      <c r="H671" s="62" t="n"/>
      <c r="I671" s="63" t="n"/>
      <c r="J671" s="48" t="n"/>
      <c r="K671" s="58" t="n"/>
      <c r="L671" s="42" t="n"/>
      <c r="M671" s="42" t="n"/>
      <c r="N671" s="48" t="n"/>
      <c r="O671" s="58" t="n"/>
      <c r="P671" s="42" t="n"/>
      <c r="Q671" s="42" t="n"/>
      <c r="R671" s="48" t="n"/>
      <c r="S671" s="58" t="n"/>
      <c r="T671" s="42" t="n"/>
      <c r="U671" s="42" t="n"/>
      <c r="V671" s="48" t="n"/>
      <c r="W671" s="58" t="n"/>
      <c r="X671" s="42" t="n"/>
      <c r="Y671" s="42" t="n"/>
      <c r="Z671" s="48" t="n"/>
      <c r="AA671" s="58" t="n"/>
      <c r="AB671" s="42" t="n"/>
      <c r="AC671" s="42" t="n"/>
      <c r="AD671" s="48" t="n"/>
      <c r="AE671" s="58" t="n"/>
      <c r="AF671" s="42" t="n"/>
      <c r="AG671" s="42" t="n"/>
      <c r="AH671" s="48" t="n"/>
      <c r="AI671" s="58" t="n"/>
    </row>
    <row r="672">
      <c r="B672" s="2">
        <f>IF(STUDENTS!B671="","",STUDENTS!B671)</f>
        <v/>
      </c>
      <c r="C672" s="44">
        <f>IFERROR(IF(B672="","",_xlfn.XLOOKUP(B672,STUDENTS!$B$3:$B$1048576,STUDENTS!$C$3:$C$1048576)),"Enter a registered reg. no")</f>
        <v/>
      </c>
      <c r="F672" s="66" t="n"/>
      <c r="G672" s="67" t="n"/>
      <c r="J672" s="66" t="n"/>
      <c r="K672" s="67" t="n"/>
      <c r="N672" s="66" t="n"/>
      <c r="O672" s="67" t="n"/>
      <c r="R672" s="66" t="n"/>
      <c r="S672" s="67" t="n"/>
      <c r="V672" s="66" t="n"/>
      <c r="W672" s="67" t="n"/>
      <c r="Z672" s="66" t="n"/>
      <c r="AA672" s="67" t="n"/>
      <c r="AD672" s="66" t="n"/>
      <c r="AE672" s="67" t="n"/>
      <c r="AH672" s="66" t="n"/>
      <c r="AI672" s="67" t="n"/>
    </row>
    <row r="673">
      <c r="B673" s="2">
        <f>IF(STUDENTS!B672="","",STUDENTS!B672)</f>
        <v/>
      </c>
      <c r="C673" s="44">
        <f>IFERROR(IF(B673="","",_xlfn.XLOOKUP(B673,STUDENTS!$B$3:$B$1048576,STUDENTS!$C$3:$C$1048576)),"Enter a registered reg. no")</f>
        <v/>
      </c>
      <c r="D673" s="54" t="n"/>
      <c r="E673" s="55" t="n"/>
      <c r="F673" s="48" t="n"/>
      <c r="G673" s="58" t="n"/>
      <c r="H673" s="62" t="n"/>
      <c r="I673" s="63" t="n"/>
      <c r="J673" s="48" t="n"/>
      <c r="K673" s="58" t="n"/>
      <c r="L673" s="42" t="n"/>
      <c r="M673" s="42" t="n"/>
      <c r="N673" s="48" t="n"/>
      <c r="O673" s="58" t="n"/>
      <c r="P673" s="42" t="n"/>
      <c r="Q673" s="42" t="n"/>
      <c r="R673" s="48" t="n"/>
      <c r="S673" s="58" t="n"/>
      <c r="T673" s="42" t="n"/>
      <c r="U673" s="42" t="n"/>
      <c r="V673" s="48" t="n"/>
      <c r="W673" s="58" t="n"/>
      <c r="X673" s="42" t="n"/>
      <c r="Y673" s="42" t="n"/>
      <c r="Z673" s="48" t="n"/>
      <c r="AA673" s="58" t="n"/>
      <c r="AB673" s="42" t="n"/>
      <c r="AC673" s="42" t="n"/>
      <c r="AD673" s="48" t="n"/>
      <c r="AE673" s="58" t="n"/>
      <c r="AF673" s="42" t="n"/>
      <c r="AG673" s="42" t="n"/>
      <c r="AH673" s="48" t="n"/>
      <c r="AI673" s="58" t="n"/>
    </row>
    <row r="674">
      <c r="B674" s="2">
        <f>IF(STUDENTS!B673="","",STUDENTS!B673)</f>
        <v/>
      </c>
      <c r="C674" s="44">
        <f>IFERROR(IF(B674="","",_xlfn.XLOOKUP(B674,STUDENTS!$B$3:$B$1048576,STUDENTS!$C$3:$C$1048576)),"Enter a registered reg. no")</f>
        <v/>
      </c>
      <c r="F674" s="66" t="n"/>
      <c r="G674" s="67" t="n"/>
      <c r="J674" s="66" t="n"/>
      <c r="K674" s="67" t="n"/>
      <c r="N674" s="66" t="n"/>
      <c r="O674" s="67" t="n"/>
      <c r="R674" s="66" t="n"/>
      <c r="S674" s="67" t="n"/>
      <c r="V674" s="66" t="n"/>
      <c r="W674" s="67" t="n"/>
      <c r="Z674" s="66" t="n"/>
      <c r="AA674" s="67" t="n"/>
      <c r="AD674" s="66" t="n"/>
      <c r="AE674" s="67" t="n"/>
      <c r="AH674" s="66" t="n"/>
      <c r="AI674" s="67" t="n"/>
    </row>
    <row r="675">
      <c r="B675" s="2">
        <f>IF(STUDENTS!B674="","",STUDENTS!B674)</f>
        <v/>
      </c>
      <c r="C675" s="44">
        <f>IFERROR(IF(B675="","",_xlfn.XLOOKUP(B675,STUDENTS!$B$3:$B$1048576,STUDENTS!$C$3:$C$1048576)),"Enter a registered reg. no")</f>
        <v/>
      </c>
      <c r="D675" s="54" t="n"/>
      <c r="E675" s="55" t="n"/>
      <c r="F675" s="48" t="n"/>
      <c r="G675" s="58" t="n"/>
      <c r="H675" s="62" t="n"/>
      <c r="I675" s="63" t="n"/>
      <c r="J675" s="48" t="n"/>
      <c r="K675" s="58" t="n"/>
      <c r="L675" s="42" t="n"/>
      <c r="M675" s="42" t="n"/>
      <c r="N675" s="48" t="n"/>
      <c r="O675" s="58" t="n"/>
      <c r="P675" s="42" t="n"/>
      <c r="Q675" s="42" t="n"/>
      <c r="R675" s="48" t="n"/>
      <c r="S675" s="58" t="n"/>
      <c r="T675" s="42" t="n"/>
      <c r="U675" s="42" t="n"/>
      <c r="V675" s="48" t="n"/>
      <c r="W675" s="58" t="n"/>
      <c r="X675" s="42" t="n"/>
      <c r="Y675" s="42" t="n"/>
      <c r="Z675" s="48" t="n"/>
      <c r="AA675" s="58" t="n"/>
      <c r="AB675" s="42" t="n"/>
      <c r="AC675" s="42" t="n"/>
      <c r="AD675" s="48" t="n"/>
      <c r="AE675" s="58" t="n"/>
      <c r="AF675" s="42" t="n"/>
      <c r="AG675" s="42" t="n"/>
      <c r="AH675" s="48" t="n"/>
      <c r="AI675" s="58" t="n"/>
    </row>
    <row r="676">
      <c r="B676" s="2">
        <f>IF(STUDENTS!B675="","",STUDENTS!B675)</f>
        <v/>
      </c>
      <c r="C676" s="44">
        <f>IFERROR(IF(B676="","",_xlfn.XLOOKUP(B676,STUDENTS!$B$3:$B$1048576,STUDENTS!$C$3:$C$1048576)),"Enter a registered reg. no")</f>
        <v/>
      </c>
      <c r="F676" s="66" t="n"/>
      <c r="G676" s="67" t="n"/>
      <c r="J676" s="66" t="n"/>
      <c r="K676" s="67" t="n"/>
      <c r="N676" s="66" t="n"/>
      <c r="O676" s="67" t="n"/>
      <c r="R676" s="66" t="n"/>
      <c r="S676" s="67" t="n"/>
      <c r="V676" s="66" t="n"/>
      <c r="W676" s="67" t="n"/>
      <c r="Z676" s="66" t="n"/>
      <c r="AA676" s="67" t="n"/>
      <c r="AD676" s="66" t="n"/>
      <c r="AE676" s="67" t="n"/>
      <c r="AH676" s="66" t="n"/>
      <c r="AI676" s="67" t="n"/>
    </row>
    <row r="677">
      <c r="B677" s="2">
        <f>IF(STUDENTS!B676="","",STUDENTS!B676)</f>
        <v/>
      </c>
      <c r="C677" s="44">
        <f>IFERROR(IF(B677="","",_xlfn.XLOOKUP(B677,STUDENTS!$B$3:$B$1048576,STUDENTS!$C$3:$C$1048576)),"Enter a registered reg. no")</f>
        <v/>
      </c>
      <c r="D677" s="54" t="n"/>
      <c r="E677" s="55" t="n"/>
      <c r="F677" s="48" t="n"/>
      <c r="G677" s="58" t="n"/>
      <c r="H677" s="62" t="n"/>
      <c r="I677" s="63" t="n"/>
      <c r="J677" s="48" t="n"/>
      <c r="K677" s="58" t="n"/>
      <c r="L677" s="42" t="n"/>
      <c r="M677" s="42" t="n"/>
      <c r="N677" s="48" t="n"/>
      <c r="O677" s="58" t="n"/>
      <c r="P677" s="42" t="n"/>
      <c r="Q677" s="42" t="n"/>
      <c r="R677" s="48" t="n"/>
      <c r="S677" s="58" t="n"/>
      <c r="T677" s="42" t="n"/>
      <c r="U677" s="42" t="n"/>
      <c r="V677" s="48" t="n"/>
      <c r="W677" s="58" t="n"/>
      <c r="X677" s="42" t="n"/>
      <c r="Y677" s="42" t="n"/>
      <c r="Z677" s="48" t="n"/>
      <c r="AA677" s="58" t="n"/>
      <c r="AB677" s="42" t="n"/>
      <c r="AC677" s="42" t="n"/>
      <c r="AD677" s="48" t="n"/>
      <c r="AE677" s="58" t="n"/>
      <c r="AF677" s="42" t="n"/>
      <c r="AG677" s="42" t="n"/>
      <c r="AH677" s="48" t="n"/>
      <c r="AI677" s="58" t="n"/>
    </row>
    <row r="678">
      <c r="B678" s="2">
        <f>IF(STUDENTS!B677="","",STUDENTS!B677)</f>
        <v/>
      </c>
      <c r="C678" s="44">
        <f>IFERROR(IF(B678="","",_xlfn.XLOOKUP(B678,STUDENTS!$B$3:$B$1048576,STUDENTS!$C$3:$C$1048576)),"Enter a registered reg. no")</f>
        <v/>
      </c>
      <c r="F678" s="66" t="n"/>
      <c r="G678" s="67" t="n"/>
      <c r="J678" s="66" t="n"/>
      <c r="K678" s="67" t="n"/>
      <c r="N678" s="66" t="n"/>
      <c r="O678" s="67" t="n"/>
      <c r="R678" s="66" t="n"/>
      <c r="S678" s="67" t="n"/>
      <c r="V678" s="66" t="n"/>
      <c r="W678" s="67" t="n"/>
      <c r="Z678" s="66" t="n"/>
      <c r="AA678" s="67" t="n"/>
      <c r="AD678" s="66" t="n"/>
      <c r="AE678" s="67" t="n"/>
      <c r="AH678" s="66" t="n"/>
      <c r="AI678" s="67" t="n"/>
    </row>
    <row r="679">
      <c r="B679" s="2">
        <f>IF(STUDENTS!B678="","",STUDENTS!B678)</f>
        <v/>
      </c>
      <c r="C679" s="44">
        <f>IFERROR(IF(B679="","",_xlfn.XLOOKUP(B679,STUDENTS!$B$3:$B$1048576,STUDENTS!$C$3:$C$1048576)),"Enter a registered reg. no")</f>
        <v/>
      </c>
      <c r="D679" s="54" t="n"/>
      <c r="E679" s="55" t="n"/>
      <c r="F679" s="48" t="n"/>
      <c r="G679" s="58" t="n"/>
      <c r="H679" s="62" t="n"/>
      <c r="I679" s="63" t="n"/>
      <c r="J679" s="48" t="n"/>
      <c r="K679" s="58" t="n"/>
      <c r="L679" s="42" t="n"/>
      <c r="M679" s="42" t="n"/>
      <c r="N679" s="48" t="n"/>
      <c r="O679" s="58" t="n"/>
      <c r="P679" s="42" t="n"/>
      <c r="Q679" s="42" t="n"/>
      <c r="R679" s="48" t="n"/>
      <c r="S679" s="58" t="n"/>
      <c r="T679" s="42" t="n"/>
      <c r="U679" s="42" t="n"/>
      <c r="V679" s="48" t="n"/>
      <c r="W679" s="58" t="n"/>
      <c r="X679" s="42" t="n"/>
      <c r="Y679" s="42" t="n"/>
      <c r="Z679" s="48" t="n"/>
      <c r="AA679" s="58" t="n"/>
      <c r="AB679" s="42" t="n"/>
      <c r="AC679" s="42" t="n"/>
      <c r="AD679" s="48" t="n"/>
      <c r="AE679" s="58" t="n"/>
      <c r="AF679" s="42" t="n"/>
      <c r="AG679" s="42" t="n"/>
      <c r="AH679" s="48" t="n"/>
      <c r="AI679" s="58" t="n"/>
    </row>
    <row r="680">
      <c r="B680" s="2">
        <f>IF(STUDENTS!B679="","",STUDENTS!B679)</f>
        <v/>
      </c>
      <c r="C680" s="44">
        <f>IFERROR(IF(B680="","",_xlfn.XLOOKUP(B680,STUDENTS!$B$3:$B$1048576,STUDENTS!$C$3:$C$1048576)),"Enter a registered reg. no")</f>
        <v/>
      </c>
      <c r="F680" s="66" t="n"/>
      <c r="G680" s="67" t="n"/>
      <c r="J680" s="66" t="n"/>
      <c r="K680" s="67" t="n"/>
      <c r="N680" s="66" t="n"/>
      <c r="O680" s="67" t="n"/>
      <c r="R680" s="66" t="n"/>
      <c r="S680" s="67" t="n"/>
      <c r="V680" s="66" t="n"/>
      <c r="W680" s="67" t="n"/>
      <c r="Z680" s="66" t="n"/>
      <c r="AA680" s="67" t="n"/>
      <c r="AD680" s="66" t="n"/>
      <c r="AE680" s="67" t="n"/>
      <c r="AH680" s="66" t="n"/>
      <c r="AI680" s="67" t="n"/>
    </row>
    <row r="681">
      <c r="B681" s="2">
        <f>IF(STUDENTS!B680="","",STUDENTS!B680)</f>
        <v/>
      </c>
      <c r="C681" s="44">
        <f>IFERROR(IF(B681="","",_xlfn.XLOOKUP(B681,STUDENTS!$B$3:$B$1048576,STUDENTS!$C$3:$C$1048576)),"Enter a registered reg. no")</f>
        <v/>
      </c>
      <c r="D681" s="54" t="n"/>
      <c r="E681" s="55" t="n"/>
      <c r="F681" s="48" t="n"/>
      <c r="G681" s="58" t="n"/>
      <c r="H681" s="62" t="n"/>
      <c r="I681" s="63" t="n"/>
      <c r="J681" s="48" t="n"/>
      <c r="K681" s="58" t="n"/>
      <c r="L681" s="42" t="n"/>
      <c r="M681" s="42" t="n"/>
      <c r="N681" s="48" t="n"/>
      <c r="O681" s="58" t="n"/>
      <c r="P681" s="42" t="n"/>
      <c r="Q681" s="42" t="n"/>
      <c r="R681" s="48" t="n"/>
      <c r="S681" s="58" t="n"/>
      <c r="T681" s="42" t="n"/>
      <c r="U681" s="42" t="n"/>
      <c r="V681" s="48" t="n"/>
      <c r="W681" s="58" t="n"/>
      <c r="X681" s="42" t="n"/>
      <c r="Y681" s="42" t="n"/>
      <c r="Z681" s="48" t="n"/>
      <c r="AA681" s="58" t="n"/>
      <c r="AB681" s="42" t="n"/>
      <c r="AC681" s="42" t="n"/>
      <c r="AD681" s="48" t="n"/>
      <c r="AE681" s="58" t="n"/>
      <c r="AF681" s="42" t="n"/>
      <c r="AG681" s="42" t="n"/>
      <c r="AH681" s="48" t="n"/>
      <c r="AI681" s="58" t="n"/>
    </row>
    <row r="682">
      <c r="B682" s="2">
        <f>IF(STUDENTS!B681="","",STUDENTS!B681)</f>
        <v/>
      </c>
      <c r="C682" s="44">
        <f>IFERROR(IF(B682="","",_xlfn.XLOOKUP(B682,STUDENTS!$B$3:$B$1048576,STUDENTS!$C$3:$C$1048576)),"Enter a registered reg. no")</f>
        <v/>
      </c>
      <c r="F682" s="66" t="n"/>
      <c r="G682" s="67" t="n"/>
      <c r="J682" s="66" t="n"/>
      <c r="K682" s="67" t="n"/>
      <c r="N682" s="66" t="n"/>
      <c r="O682" s="67" t="n"/>
      <c r="R682" s="66" t="n"/>
      <c r="S682" s="67" t="n"/>
      <c r="V682" s="66" t="n"/>
      <c r="W682" s="67" t="n"/>
      <c r="Z682" s="66" t="n"/>
      <c r="AA682" s="67" t="n"/>
      <c r="AD682" s="66" t="n"/>
      <c r="AE682" s="67" t="n"/>
      <c r="AH682" s="66" t="n"/>
      <c r="AI682" s="67" t="n"/>
    </row>
    <row r="683">
      <c r="B683" s="2">
        <f>IF(STUDENTS!B682="","",STUDENTS!B682)</f>
        <v/>
      </c>
      <c r="C683" s="44">
        <f>IFERROR(IF(B683="","",_xlfn.XLOOKUP(B683,STUDENTS!$B$3:$B$1048576,STUDENTS!$C$3:$C$1048576)),"Enter a registered reg. no")</f>
        <v/>
      </c>
      <c r="D683" s="54" t="n"/>
      <c r="E683" s="55" t="n"/>
      <c r="F683" s="48" t="n"/>
      <c r="G683" s="58" t="n"/>
      <c r="H683" s="62" t="n"/>
      <c r="I683" s="63" t="n"/>
      <c r="J683" s="48" t="n"/>
      <c r="K683" s="58" t="n"/>
      <c r="L683" s="42" t="n"/>
      <c r="M683" s="42" t="n"/>
      <c r="N683" s="48" t="n"/>
      <c r="O683" s="58" t="n"/>
      <c r="P683" s="42" t="n"/>
      <c r="Q683" s="42" t="n"/>
      <c r="R683" s="48" t="n"/>
      <c r="S683" s="58" t="n"/>
      <c r="T683" s="42" t="n"/>
      <c r="U683" s="42" t="n"/>
      <c r="V683" s="48" t="n"/>
      <c r="W683" s="58" t="n"/>
      <c r="X683" s="42" t="n"/>
      <c r="Y683" s="42" t="n"/>
      <c r="Z683" s="48" t="n"/>
      <c r="AA683" s="58" t="n"/>
      <c r="AB683" s="42" t="n"/>
      <c r="AC683" s="42" t="n"/>
      <c r="AD683" s="48" t="n"/>
      <c r="AE683" s="58" t="n"/>
      <c r="AF683" s="42" t="n"/>
      <c r="AG683" s="42" t="n"/>
      <c r="AH683" s="48" t="n"/>
      <c r="AI683" s="58" t="n"/>
    </row>
    <row r="684">
      <c r="B684" s="2">
        <f>IF(STUDENTS!B683="","",STUDENTS!B683)</f>
        <v/>
      </c>
      <c r="C684" s="44">
        <f>IFERROR(IF(B684="","",_xlfn.XLOOKUP(B684,STUDENTS!$B$3:$B$1048576,STUDENTS!$C$3:$C$1048576)),"Enter a registered reg. no")</f>
        <v/>
      </c>
      <c r="F684" s="66" t="n"/>
      <c r="G684" s="67" t="n"/>
      <c r="J684" s="66" t="n"/>
      <c r="K684" s="67" t="n"/>
      <c r="N684" s="66" t="n"/>
      <c r="O684" s="67" t="n"/>
      <c r="R684" s="66" t="n"/>
      <c r="S684" s="67" t="n"/>
      <c r="V684" s="66" t="n"/>
      <c r="W684" s="67" t="n"/>
      <c r="Z684" s="66" t="n"/>
      <c r="AA684" s="67" t="n"/>
      <c r="AD684" s="66" t="n"/>
      <c r="AE684" s="67" t="n"/>
      <c r="AH684" s="66" t="n"/>
      <c r="AI684" s="67" t="n"/>
    </row>
    <row r="685">
      <c r="B685" s="2">
        <f>IF(STUDENTS!B684="","",STUDENTS!B684)</f>
        <v/>
      </c>
      <c r="C685" s="44">
        <f>IFERROR(IF(B685="","",_xlfn.XLOOKUP(B685,STUDENTS!$B$3:$B$1048576,STUDENTS!$C$3:$C$1048576)),"Enter a registered reg. no")</f>
        <v/>
      </c>
      <c r="D685" s="54" t="n"/>
      <c r="E685" s="55" t="n"/>
      <c r="F685" s="48" t="n"/>
      <c r="G685" s="58" t="n"/>
      <c r="H685" s="62" t="n"/>
      <c r="I685" s="63" t="n"/>
      <c r="J685" s="48" t="n"/>
      <c r="K685" s="58" t="n"/>
      <c r="L685" s="42" t="n"/>
      <c r="M685" s="42" t="n"/>
      <c r="N685" s="48" t="n"/>
      <c r="O685" s="58" t="n"/>
      <c r="P685" s="42" t="n"/>
      <c r="Q685" s="42" t="n"/>
      <c r="R685" s="48" t="n"/>
      <c r="S685" s="58" t="n"/>
      <c r="T685" s="42" t="n"/>
      <c r="U685" s="42" t="n"/>
      <c r="V685" s="48" t="n"/>
      <c r="W685" s="58" t="n"/>
      <c r="X685" s="42" t="n"/>
      <c r="Y685" s="42" t="n"/>
      <c r="Z685" s="48" t="n"/>
      <c r="AA685" s="58" t="n"/>
      <c r="AB685" s="42" t="n"/>
      <c r="AC685" s="42" t="n"/>
      <c r="AD685" s="48" t="n"/>
      <c r="AE685" s="58" t="n"/>
      <c r="AF685" s="42" t="n"/>
      <c r="AG685" s="42" t="n"/>
      <c r="AH685" s="48" t="n"/>
      <c r="AI685" s="58" t="n"/>
    </row>
    <row r="686">
      <c r="B686" s="2">
        <f>IF(STUDENTS!B685="","",STUDENTS!B685)</f>
        <v/>
      </c>
      <c r="C686" s="44">
        <f>IFERROR(IF(B686="","",_xlfn.XLOOKUP(B686,STUDENTS!$B$3:$B$1048576,STUDENTS!$C$3:$C$1048576)),"Enter a registered reg. no")</f>
        <v/>
      </c>
      <c r="F686" s="66" t="n"/>
      <c r="G686" s="67" t="n"/>
      <c r="J686" s="66" t="n"/>
      <c r="K686" s="67" t="n"/>
      <c r="N686" s="66" t="n"/>
      <c r="O686" s="67" t="n"/>
      <c r="R686" s="66" t="n"/>
      <c r="S686" s="67" t="n"/>
      <c r="V686" s="66" t="n"/>
      <c r="W686" s="67" t="n"/>
      <c r="Z686" s="66" t="n"/>
      <c r="AA686" s="67" t="n"/>
      <c r="AD686" s="66" t="n"/>
      <c r="AE686" s="67" t="n"/>
      <c r="AH686" s="66" t="n"/>
      <c r="AI686" s="67" t="n"/>
    </row>
    <row r="687">
      <c r="B687" s="2">
        <f>IF(STUDENTS!B686="","",STUDENTS!B686)</f>
        <v/>
      </c>
      <c r="C687" s="44">
        <f>IFERROR(IF(B687="","",_xlfn.XLOOKUP(B687,STUDENTS!$B$3:$B$1048576,STUDENTS!$C$3:$C$1048576)),"Enter a registered reg. no")</f>
        <v/>
      </c>
      <c r="D687" s="54" t="n"/>
      <c r="E687" s="55" t="n"/>
      <c r="F687" s="48" t="n"/>
      <c r="G687" s="58" t="n"/>
      <c r="H687" s="62" t="n"/>
      <c r="I687" s="63" t="n"/>
      <c r="J687" s="48" t="n"/>
      <c r="K687" s="58" t="n"/>
      <c r="L687" s="42" t="n"/>
      <c r="M687" s="42" t="n"/>
      <c r="N687" s="48" t="n"/>
      <c r="O687" s="58" t="n"/>
      <c r="P687" s="42" t="n"/>
      <c r="Q687" s="42" t="n"/>
      <c r="R687" s="48" t="n"/>
      <c r="S687" s="58" t="n"/>
      <c r="T687" s="42" t="n"/>
      <c r="U687" s="42" t="n"/>
      <c r="V687" s="48" t="n"/>
      <c r="W687" s="58" t="n"/>
      <c r="X687" s="42" t="n"/>
      <c r="Y687" s="42" t="n"/>
      <c r="Z687" s="48" t="n"/>
      <c r="AA687" s="58" t="n"/>
      <c r="AB687" s="42" t="n"/>
      <c r="AC687" s="42" t="n"/>
      <c r="AD687" s="48" t="n"/>
      <c r="AE687" s="58" t="n"/>
      <c r="AF687" s="42" t="n"/>
      <c r="AG687" s="42" t="n"/>
      <c r="AH687" s="48" t="n"/>
      <c r="AI687" s="58" t="n"/>
    </row>
    <row r="688">
      <c r="B688" s="2">
        <f>IF(STUDENTS!B687="","",STUDENTS!B687)</f>
        <v/>
      </c>
      <c r="C688" s="44">
        <f>IFERROR(IF(B688="","",_xlfn.XLOOKUP(B688,STUDENTS!$B$3:$B$1048576,STUDENTS!$C$3:$C$1048576)),"Enter a registered reg. no")</f>
        <v/>
      </c>
      <c r="F688" s="66" t="n"/>
      <c r="G688" s="67" t="n"/>
      <c r="J688" s="66" t="n"/>
      <c r="K688" s="67" t="n"/>
      <c r="N688" s="66" t="n"/>
      <c r="O688" s="67" t="n"/>
      <c r="R688" s="66" t="n"/>
      <c r="S688" s="67" t="n"/>
      <c r="V688" s="66" t="n"/>
      <c r="W688" s="67" t="n"/>
      <c r="Z688" s="66" t="n"/>
      <c r="AA688" s="67" t="n"/>
      <c r="AD688" s="66" t="n"/>
      <c r="AE688" s="67" t="n"/>
      <c r="AH688" s="66" t="n"/>
      <c r="AI688" s="67" t="n"/>
    </row>
    <row r="689">
      <c r="B689" s="2">
        <f>IF(STUDENTS!B688="","",STUDENTS!B688)</f>
        <v/>
      </c>
      <c r="C689" s="44">
        <f>IFERROR(IF(B689="","",_xlfn.XLOOKUP(B689,STUDENTS!$B$3:$B$1048576,STUDENTS!$C$3:$C$1048576)),"Enter a registered reg. no")</f>
        <v/>
      </c>
      <c r="D689" s="54" t="n"/>
      <c r="E689" s="55" t="n"/>
      <c r="F689" s="48" t="n"/>
      <c r="G689" s="58" t="n"/>
      <c r="H689" s="62" t="n"/>
      <c r="I689" s="63" t="n"/>
      <c r="J689" s="48" t="n"/>
      <c r="K689" s="58" t="n"/>
      <c r="L689" s="42" t="n"/>
      <c r="M689" s="42" t="n"/>
      <c r="N689" s="48" t="n"/>
      <c r="O689" s="58" t="n"/>
      <c r="P689" s="42" t="n"/>
      <c r="Q689" s="42" t="n"/>
      <c r="R689" s="48" t="n"/>
      <c r="S689" s="58" t="n"/>
      <c r="T689" s="42" t="n"/>
      <c r="U689" s="42" t="n"/>
      <c r="V689" s="48" t="n"/>
      <c r="W689" s="58" t="n"/>
      <c r="X689" s="42" t="n"/>
      <c r="Y689" s="42" t="n"/>
      <c r="Z689" s="48" t="n"/>
      <c r="AA689" s="58" t="n"/>
      <c r="AB689" s="42" t="n"/>
      <c r="AC689" s="42" t="n"/>
      <c r="AD689" s="48" t="n"/>
      <c r="AE689" s="58" t="n"/>
      <c r="AF689" s="42" t="n"/>
      <c r="AG689" s="42" t="n"/>
      <c r="AH689" s="48" t="n"/>
      <c r="AI689" s="58" t="n"/>
    </row>
    <row r="690">
      <c r="B690" s="2">
        <f>IF(STUDENTS!B689="","",STUDENTS!B689)</f>
        <v/>
      </c>
      <c r="C690" s="44">
        <f>IFERROR(IF(B690="","",_xlfn.XLOOKUP(B690,STUDENTS!$B$3:$B$1048576,STUDENTS!$C$3:$C$1048576)),"Enter a registered reg. no")</f>
        <v/>
      </c>
      <c r="F690" s="66" t="n"/>
      <c r="G690" s="67" t="n"/>
      <c r="J690" s="66" t="n"/>
      <c r="K690" s="67" t="n"/>
      <c r="N690" s="66" t="n"/>
      <c r="O690" s="67" t="n"/>
      <c r="R690" s="66" t="n"/>
      <c r="S690" s="67" t="n"/>
      <c r="V690" s="66" t="n"/>
      <c r="W690" s="67" t="n"/>
      <c r="Z690" s="66" t="n"/>
      <c r="AA690" s="67" t="n"/>
      <c r="AD690" s="66" t="n"/>
      <c r="AE690" s="67" t="n"/>
      <c r="AH690" s="66" t="n"/>
      <c r="AI690" s="67" t="n"/>
    </row>
    <row r="691">
      <c r="B691" s="2">
        <f>IF(STUDENTS!B690="","",STUDENTS!B690)</f>
        <v/>
      </c>
      <c r="C691" s="44">
        <f>IFERROR(IF(B691="","",_xlfn.XLOOKUP(B691,STUDENTS!$B$3:$B$1048576,STUDENTS!$C$3:$C$1048576)),"Enter a registered reg. no")</f>
        <v/>
      </c>
      <c r="D691" s="54" t="n"/>
      <c r="E691" s="55" t="n"/>
      <c r="F691" s="48" t="n"/>
      <c r="G691" s="58" t="n"/>
      <c r="H691" s="62" t="n"/>
      <c r="I691" s="63" t="n"/>
      <c r="J691" s="48" t="n"/>
      <c r="K691" s="58" t="n"/>
      <c r="L691" s="42" t="n"/>
      <c r="M691" s="42" t="n"/>
      <c r="N691" s="48" t="n"/>
      <c r="O691" s="58" t="n"/>
      <c r="P691" s="42" t="n"/>
      <c r="Q691" s="42" t="n"/>
      <c r="R691" s="48" t="n"/>
      <c r="S691" s="58" t="n"/>
      <c r="T691" s="42" t="n"/>
      <c r="U691" s="42" t="n"/>
      <c r="V691" s="48" t="n"/>
      <c r="W691" s="58" t="n"/>
      <c r="X691" s="42" t="n"/>
      <c r="Y691" s="42" t="n"/>
      <c r="Z691" s="48" t="n"/>
      <c r="AA691" s="58" t="n"/>
      <c r="AB691" s="42" t="n"/>
      <c r="AC691" s="42" t="n"/>
      <c r="AD691" s="48" t="n"/>
      <c r="AE691" s="58" t="n"/>
      <c r="AF691" s="42" t="n"/>
      <c r="AG691" s="42" t="n"/>
      <c r="AH691" s="48" t="n"/>
      <c r="AI691" s="58" t="n"/>
    </row>
    <row r="692">
      <c r="B692" s="2">
        <f>IF(STUDENTS!B691="","",STUDENTS!B691)</f>
        <v/>
      </c>
      <c r="C692" s="44">
        <f>IFERROR(IF(B692="","",_xlfn.XLOOKUP(B692,STUDENTS!$B$3:$B$1048576,STUDENTS!$C$3:$C$1048576)),"Enter a registered reg. no")</f>
        <v/>
      </c>
      <c r="F692" s="66" t="n"/>
      <c r="G692" s="67" t="n"/>
      <c r="J692" s="66" t="n"/>
      <c r="K692" s="67" t="n"/>
      <c r="N692" s="66" t="n"/>
      <c r="O692" s="67" t="n"/>
      <c r="R692" s="66" t="n"/>
      <c r="S692" s="67" t="n"/>
      <c r="V692" s="66" t="n"/>
      <c r="W692" s="67" t="n"/>
      <c r="Z692" s="66" t="n"/>
      <c r="AA692" s="67" t="n"/>
      <c r="AD692" s="66" t="n"/>
      <c r="AE692" s="67" t="n"/>
      <c r="AH692" s="66" t="n"/>
      <c r="AI692" s="67" t="n"/>
    </row>
    <row r="693">
      <c r="B693" s="2">
        <f>IF(STUDENTS!B692="","",STUDENTS!B692)</f>
        <v/>
      </c>
      <c r="C693" s="44">
        <f>IFERROR(IF(B693="","",_xlfn.XLOOKUP(B693,STUDENTS!$B$3:$B$1048576,STUDENTS!$C$3:$C$1048576)),"Enter a registered reg. no")</f>
        <v/>
      </c>
      <c r="D693" s="54" t="n"/>
      <c r="E693" s="55" t="n"/>
      <c r="F693" s="48" t="n"/>
      <c r="G693" s="58" t="n"/>
      <c r="H693" s="62" t="n"/>
      <c r="I693" s="63" t="n"/>
      <c r="J693" s="48" t="n"/>
      <c r="K693" s="58" t="n"/>
      <c r="L693" s="42" t="n"/>
      <c r="M693" s="42" t="n"/>
      <c r="N693" s="48" t="n"/>
      <c r="O693" s="58" t="n"/>
      <c r="P693" s="42" t="n"/>
      <c r="Q693" s="42" t="n"/>
      <c r="R693" s="48" t="n"/>
      <c r="S693" s="58" t="n"/>
      <c r="T693" s="42" t="n"/>
      <c r="U693" s="42" t="n"/>
      <c r="V693" s="48" t="n"/>
      <c r="W693" s="58" t="n"/>
      <c r="X693" s="42" t="n"/>
      <c r="Y693" s="42" t="n"/>
      <c r="Z693" s="48" t="n"/>
      <c r="AA693" s="58" t="n"/>
      <c r="AB693" s="42" t="n"/>
      <c r="AC693" s="42" t="n"/>
      <c r="AD693" s="48" t="n"/>
      <c r="AE693" s="58" t="n"/>
      <c r="AF693" s="42" t="n"/>
      <c r="AG693" s="42" t="n"/>
      <c r="AH693" s="48" t="n"/>
      <c r="AI693" s="58" t="n"/>
    </row>
    <row r="694">
      <c r="B694" s="2">
        <f>IF(STUDENTS!B693="","",STUDENTS!B693)</f>
        <v/>
      </c>
      <c r="C694" s="44">
        <f>IFERROR(IF(B694="","",_xlfn.XLOOKUP(B694,STUDENTS!$B$3:$B$1048576,STUDENTS!$C$3:$C$1048576)),"Enter a registered reg. no")</f>
        <v/>
      </c>
      <c r="F694" s="66" t="n"/>
      <c r="G694" s="67" t="n"/>
      <c r="J694" s="66" t="n"/>
      <c r="K694" s="67" t="n"/>
      <c r="N694" s="66" t="n"/>
      <c r="O694" s="67" t="n"/>
      <c r="R694" s="66" t="n"/>
      <c r="S694" s="67" t="n"/>
      <c r="V694" s="66" t="n"/>
      <c r="W694" s="67" t="n"/>
      <c r="Z694" s="66" t="n"/>
      <c r="AA694" s="67" t="n"/>
      <c r="AD694" s="66" t="n"/>
      <c r="AE694" s="67" t="n"/>
      <c r="AH694" s="66" t="n"/>
      <c r="AI694" s="67" t="n"/>
    </row>
    <row r="695">
      <c r="B695" s="2">
        <f>IF(STUDENTS!B694="","",STUDENTS!B694)</f>
        <v/>
      </c>
      <c r="C695" s="44">
        <f>IFERROR(IF(B695="","",_xlfn.XLOOKUP(B695,STUDENTS!$B$3:$B$1048576,STUDENTS!$C$3:$C$1048576)),"Enter a registered reg. no")</f>
        <v/>
      </c>
      <c r="D695" s="54" t="n"/>
      <c r="E695" s="55" t="n"/>
      <c r="F695" s="48" t="n"/>
      <c r="G695" s="58" t="n"/>
      <c r="H695" s="62" t="n"/>
      <c r="I695" s="63" t="n"/>
      <c r="J695" s="48" t="n"/>
      <c r="K695" s="58" t="n"/>
      <c r="L695" s="42" t="n"/>
      <c r="M695" s="42" t="n"/>
      <c r="N695" s="48" t="n"/>
      <c r="O695" s="58" t="n"/>
      <c r="P695" s="42" t="n"/>
      <c r="Q695" s="42" t="n"/>
      <c r="R695" s="48" t="n"/>
      <c r="S695" s="58" t="n"/>
      <c r="T695" s="42" t="n"/>
      <c r="U695" s="42" t="n"/>
      <c r="V695" s="48" t="n"/>
      <c r="W695" s="58" t="n"/>
      <c r="X695" s="42" t="n"/>
      <c r="Y695" s="42" t="n"/>
      <c r="Z695" s="48" t="n"/>
      <c r="AA695" s="58" t="n"/>
      <c r="AB695" s="42" t="n"/>
      <c r="AC695" s="42" t="n"/>
      <c r="AD695" s="48" t="n"/>
      <c r="AE695" s="58" t="n"/>
      <c r="AF695" s="42" t="n"/>
      <c r="AG695" s="42" t="n"/>
      <c r="AH695" s="48" t="n"/>
      <c r="AI695" s="58" t="n"/>
    </row>
    <row r="696">
      <c r="B696" s="2">
        <f>IF(STUDENTS!B695="","",STUDENTS!B695)</f>
        <v/>
      </c>
      <c r="C696" s="44">
        <f>IFERROR(IF(B696="","",_xlfn.XLOOKUP(B696,STUDENTS!$B$3:$B$1048576,STUDENTS!$C$3:$C$1048576)),"Enter a registered reg. no")</f>
        <v/>
      </c>
      <c r="F696" s="66" t="n"/>
      <c r="G696" s="67" t="n"/>
      <c r="J696" s="66" t="n"/>
      <c r="K696" s="67" t="n"/>
      <c r="N696" s="66" t="n"/>
      <c r="O696" s="67" t="n"/>
      <c r="R696" s="66" t="n"/>
      <c r="S696" s="67" t="n"/>
      <c r="V696" s="66" t="n"/>
      <c r="W696" s="67" t="n"/>
      <c r="Z696" s="66" t="n"/>
      <c r="AA696" s="67" t="n"/>
      <c r="AD696" s="66" t="n"/>
      <c r="AE696" s="67" t="n"/>
      <c r="AH696" s="66" t="n"/>
      <c r="AI696" s="67" t="n"/>
    </row>
    <row r="697">
      <c r="B697" s="2">
        <f>IF(STUDENTS!B696="","",STUDENTS!B696)</f>
        <v/>
      </c>
      <c r="C697" s="44">
        <f>IFERROR(IF(B697="","",_xlfn.XLOOKUP(B697,STUDENTS!$B$3:$B$1048576,STUDENTS!$C$3:$C$1048576)),"Enter a registered reg. no")</f>
        <v/>
      </c>
      <c r="D697" s="54" t="n"/>
      <c r="E697" s="55" t="n"/>
      <c r="F697" s="48" t="n"/>
      <c r="G697" s="58" t="n"/>
      <c r="H697" s="62" t="n"/>
      <c r="I697" s="63" t="n"/>
      <c r="J697" s="48" t="n"/>
      <c r="K697" s="58" t="n"/>
      <c r="L697" s="42" t="n"/>
      <c r="M697" s="42" t="n"/>
      <c r="N697" s="48" t="n"/>
      <c r="O697" s="58" t="n"/>
      <c r="P697" s="42" t="n"/>
      <c r="Q697" s="42" t="n"/>
      <c r="R697" s="48" t="n"/>
      <c r="S697" s="58" t="n"/>
      <c r="T697" s="42" t="n"/>
      <c r="U697" s="42" t="n"/>
      <c r="V697" s="48" t="n"/>
      <c r="W697" s="58" t="n"/>
      <c r="X697" s="42" t="n"/>
      <c r="Y697" s="42" t="n"/>
      <c r="Z697" s="48" t="n"/>
      <c r="AA697" s="58" t="n"/>
      <c r="AB697" s="42" t="n"/>
      <c r="AC697" s="42" t="n"/>
      <c r="AD697" s="48" t="n"/>
      <c r="AE697" s="58" t="n"/>
      <c r="AF697" s="42" t="n"/>
      <c r="AG697" s="42" t="n"/>
      <c r="AH697" s="48" t="n"/>
      <c r="AI697" s="58" t="n"/>
    </row>
    <row r="698">
      <c r="B698" s="2">
        <f>IF(STUDENTS!B697="","",STUDENTS!B697)</f>
        <v/>
      </c>
      <c r="C698" s="44">
        <f>IFERROR(IF(B698="","",_xlfn.XLOOKUP(B698,STUDENTS!$B$3:$B$1048576,STUDENTS!$C$3:$C$1048576)),"Enter a registered reg. no")</f>
        <v/>
      </c>
      <c r="F698" s="66" t="n"/>
      <c r="G698" s="67" t="n"/>
      <c r="J698" s="66" t="n"/>
      <c r="K698" s="67" t="n"/>
      <c r="N698" s="66" t="n"/>
      <c r="O698" s="67" t="n"/>
      <c r="R698" s="66" t="n"/>
      <c r="S698" s="67" t="n"/>
      <c r="V698" s="66" t="n"/>
      <c r="W698" s="67" t="n"/>
      <c r="Z698" s="66" t="n"/>
      <c r="AA698" s="67" t="n"/>
      <c r="AD698" s="66" t="n"/>
      <c r="AE698" s="67" t="n"/>
      <c r="AH698" s="66" t="n"/>
      <c r="AI698" s="67" t="n"/>
    </row>
    <row r="699">
      <c r="B699" s="2">
        <f>IF(STUDENTS!B698="","",STUDENTS!B698)</f>
        <v/>
      </c>
      <c r="C699" s="44">
        <f>IFERROR(IF(B699="","",_xlfn.XLOOKUP(B699,STUDENTS!$B$3:$B$1048576,STUDENTS!$C$3:$C$1048576)),"Enter a registered reg. no")</f>
        <v/>
      </c>
      <c r="D699" s="54" t="n"/>
      <c r="E699" s="55" t="n"/>
      <c r="F699" s="48" t="n"/>
      <c r="G699" s="58" t="n"/>
      <c r="H699" s="62" t="n"/>
      <c r="I699" s="63" t="n"/>
      <c r="J699" s="48" t="n"/>
      <c r="K699" s="58" t="n"/>
      <c r="L699" s="42" t="n"/>
      <c r="M699" s="42" t="n"/>
      <c r="N699" s="48" t="n"/>
      <c r="O699" s="58" t="n"/>
      <c r="P699" s="42" t="n"/>
      <c r="Q699" s="42" t="n"/>
      <c r="R699" s="48" t="n"/>
      <c r="S699" s="58" t="n"/>
      <c r="T699" s="42" t="n"/>
      <c r="U699" s="42" t="n"/>
      <c r="V699" s="48" t="n"/>
      <c r="W699" s="58" t="n"/>
      <c r="X699" s="42" t="n"/>
      <c r="Y699" s="42" t="n"/>
      <c r="Z699" s="48" t="n"/>
      <c r="AA699" s="58" t="n"/>
      <c r="AB699" s="42" t="n"/>
      <c r="AC699" s="42" t="n"/>
      <c r="AD699" s="48" t="n"/>
      <c r="AE699" s="58" t="n"/>
      <c r="AF699" s="42" t="n"/>
      <c r="AG699" s="42" t="n"/>
      <c r="AH699" s="48" t="n"/>
      <c r="AI699" s="58" t="n"/>
    </row>
    <row r="700">
      <c r="B700" s="2">
        <f>IF(STUDENTS!B699="","",STUDENTS!B699)</f>
        <v/>
      </c>
      <c r="C700" s="44">
        <f>IFERROR(IF(B700="","",_xlfn.XLOOKUP(B700,STUDENTS!$B$3:$B$1048576,STUDENTS!$C$3:$C$1048576)),"Enter a registered reg. no")</f>
        <v/>
      </c>
      <c r="F700" s="66" t="n"/>
      <c r="G700" s="67" t="n"/>
      <c r="J700" s="66" t="n"/>
      <c r="K700" s="67" t="n"/>
      <c r="N700" s="66" t="n"/>
      <c r="O700" s="67" t="n"/>
      <c r="R700" s="66" t="n"/>
      <c r="S700" s="67" t="n"/>
      <c r="V700" s="66" t="n"/>
      <c r="W700" s="67" t="n"/>
      <c r="Z700" s="66" t="n"/>
      <c r="AA700" s="67" t="n"/>
      <c r="AD700" s="66" t="n"/>
      <c r="AE700" s="67" t="n"/>
      <c r="AH700" s="66" t="n"/>
      <c r="AI700" s="67" t="n"/>
    </row>
    <row r="701">
      <c r="B701" s="2">
        <f>IF(STUDENTS!B700="","",STUDENTS!B700)</f>
        <v/>
      </c>
      <c r="C701" s="44">
        <f>IFERROR(IF(B701="","",_xlfn.XLOOKUP(B701,STUDENTS!$B$3:$B$1048576,STUDENTS!$C$3:$C$1048576)),"Enter a registered reg. no")</f>
        <v/>
      </c>
      <c r="D701" s="54" t="n"/>
      <c r="E701" s="55" t="n"/>
      <c r="F701" s="48" t="n"/>
      <c r="G701" s="58" t="n"/>
      <c r="H701" s="62" t="n"/>
      <c r="I701" s="63" t="n"/>
      <c r="J701" s="48" t="n"/>
      <c r="K701" s="58" t="n"/>
      <c r="L701" s="42" t="n"/>
      <c r="M701" s="42" t="n"/>
      <c r="N701" s="48" t="n"/>
      <c r="O701" s="58" t="n"/>
      <c r="P701" s="42" t="n"/>
      <c r="Q701" s="42" t="n"/>
      <c r="R701" s="48" t="n"/>
      <c r="S701" s="58" t="n"/>
      <c r="T701" s="42" t="n"/>
      <c r="U701" s="42" t="n"/>
      <c r="V701" s="48" t="n"/>
      <c r="W701" s="58" t="n"/>
      <c r="X701" s="42" t="n"/>
      <c r="Y701" s="42" t="n"/>
      <c r="Z701" s="48" t="n"/>
      <c r="AA701" s="58" t="n"/>
      <c r="AB701" s="42" t="n"/>
      <c r="AC701" s="42" t="n"/>
      <c r="AD701" s="48" t="n"/>
      <c r="AE701" s="58" t="n"/>
      <c r="AF701" s="42" t="n"/>
      <c r="AG701" s="42" t="n"/>
      <c r="AH701" s="48" t="n"/>
      <c r="AI701" s="58" t="n"/>
    </row>
    <row r="702">
      <c r="B702" s="2">
        <f>IF(STUDENTS!B701="","",STUDENTS!B701)</f>
        <v/>
      </c>
      <c r="C702" s="44">
        <f>IFERROR(IF(B702="","",_xlfn.XLOOKUP(B702,STUDENTS!$B$3:$B$1048576,STUDENTS!$C$3:$C$1048576)),"Enter a registered reg. no")</f>
        <v/>
      </c>
      <c r="F702" s="66" t="n"/>
      <c r="G702" s="67" t="n"/>
      <c r="J702" s="66" t="n"/>
      <c r="K702" s="67" t="n"/>
      <c r="N702" s="66" t="n"/>
      <c r="O702" s="67" t="n"/>
      <c r="R702" s="66" t="n"/>
      <c r="S702" s="67" t="n"/>
      <c r="V702" s="66" t="n"/>
      <c r="W702" s="67" t="n"/>
      <c r="Z702" s="66" t="n"/>
      <c r="AA702" s="67" t="n"/>
      <c r="AD702" s="66" t="n"/>
      <c r="AE702" s="67" t="n"/>
      <c r="AH702" s="66" t="n"/>
      <c r="AI702" s="67" t="n"/>
    </row>
    <row r="703">
      <c r="B703" s="2">
        <f>IF(STUDENTS!B702="","",STUDENTS!B702)</f>
        <v/>
      </c>
      <c r="C703" s="44">
        <f>IFERROR(IF(B703="","",_xlfn.XLOOKUP(B703,STUDENTS!$B$3:$B$1048576,STUDENTS!$C$3:$C$1048576)),"Enter a registered reg. no")</f>
        <v/>
      </c>
      <c r="D703" s="54" t="n"/>
      <c r="E703" s="55" t="n"/>
      <c r="F703" s="48" t="n"/>
      <c r="G703" s="58" t="n"/>
      <c r="H703" s="62" t="n"/>
      <c r="I703" s="63" t="n"/>
      <c r="J703" s="48" t="n"/>
      <c r="K703" s="58" t="n"/>
      <c r="L703" s="42" t="n"/>
      <c r="M703" s="42" t="n"/>
      <c r="N703" s="48" t="n"/>
      <c r="O703" s="58" t="n"/>
      <c r="P703" s="42" t="n"/>
      <c r="Q703" s="42" t="n"/>
      <c r="R703" s="48" t="n"/>
      <c r="S703" s="58" t="n"/>
      <c r="T703" s="42" t="n"/>
      <c r="U703" s="42" t="n"/>
      <c r="V703" s="48" t="n"/>
      <c r="W703" s="58" t="n"/>
      <c r="X703" s="42" t="n"/>
      <c r="Y703" s="42" t="n"/>
      <c r="Z703" s="48" t="n"/>
      <c r="AA703" s="58" t="n"/>
      <c r="AB703" s="42" t="n"/>
      <c r="AC703" s="42" t="n"/>
      <c r="AD703" s="48" t="n"/>
      <c r="AE703" s="58" t="n"/>
      <c r="AF703" s="42" t="n"/>
      <c r="AG703" s="42" t="n"/>
      <c r="AH703" s="48" t="n"/>
      <c r="AI703" s="58" t="n"/>
    </row>
    <row r="704">
      <c r="B704" s="2">
        <f>IF(STUDENTS!B703="","",STUDENTS!B703)</f>
        <v/>
      </c>
      <c r="C704" s="44">
        <f>IFERROR(IF(B704="","",_xlfn.XLOOKUP(B704,STUDENTS!$B$3:$B$1048576,STUDENTS!$C$3:$C$1048576)),"Enter a registered reg. no")</f>
        <v/>
      </c>
      <c r="F704" s="66" t="n"/>
      <c r="G704" s="67" t="n"/>
      <c r="J704" s="66" t="n"/>
      <c r="K704" s="67" t="n"/>
      <c r="N704" s="66" t="n"/>
      <c r="O704" s="67" t="n"/>
      <c r="R704" s="66" t="n"/>
      <c r="S704" s="67" t="n"/>
      <c r="V704" s="66" t="n"/>
      <c r="W704" s="67" t="n"/>
      <c r="Z704" s="66" t="n"/>
      <c r="AA704" s="67" t="n"/>
      <c r="AD704" s="66" t="n"/>
      <c r="AE704" s="67" t="n"/>
      <c r="AH704" s="66" t="n"/>
      <c r="AI704" s="67" t="n"/>
    </row>
    <row r="705">
      <c r="B705" s="2">
        <f>IF(STUDENTS!B704="","",STUDENTS!B704)</f>
        <v/>
      </c>
      <c r="C705" s="44">
        <f>IFERROR(IF(B705="","",_xlfn.XLOOKUP(B705,STUDENTS!$B$3:$B$1048576,STUDENTS!$C$3:$C$1048576)),"Enter a registered reg. no")</f>
        <v/>
      </c>
      <c r="D705" s="54" t="n"/>
      <c r="E705" s="55" t="n"/>
      <c r="F705" s="48" t="n"/>
      <c r="G705" s="58" t="n"/>
      <c r="H705" s="62" t="n"/>
      <c r="I705" s="63" t="n"/>
      <c r="J705" s="48" t="n"/>
      <c r="K705" s="58" t="n"/>
      <c r="L705" s="42" t="n"/>
      <c r="M705" s="42" t="n"/>
      <c r="N705" s="48" t="n"/>
      <c r="O705" s="58" t="n"/>
      <c r="P705" s="42" t="n"/>
      <c r="Q705" s="42" t="n"/>
      <c r="R705" s="48" t="n"/>
      <c r="S705" s="58" t="n"/>
      <c r="T705" s="42" t="n"/>
      <c r="U705" s="42" t="n"/>
      <c r="V705" s="48" t="n"/>
      <c r="W705" s="58" t="n"/>
      <c r="X705" s="42" t="n"/>
      <c r="Y705" s="42" t="n"/>
      <c r="Z705" s="48" t="n"/>
      <c r="AA705" s="58" t="n"/>
      <c r="AB705" s="42" t="n"/>
      <c r="AC705" s="42" t="n"/>
      <c r="AD705" s="48" t="n"/>
      <c r="AE705" s="58" t="n"/>
      <c r="AF705" s="42" t="n"/>
      <c r="AG705" s="42" t="n"/>
      <c r="AH705" s="48" t="n"/>
      <c r="AI705" s="58" t="n"/>
    </row>
    <row r="706">
      <c r="B706" s="2">
        <f>IF(STUDENTS!B705="","",STUDENTS!B705)</f>
        <v/>
      </c>
      <c r="C706" s="44">
        <f>IFERROR(IF(B706="","",_xlfn.XLOOKUP(B706,STUDENTS!$B$3:$B$1048576,STUDENTS!$C$3:$C$1048576)),"Enter a registered reg. no")</f>
        <v/>
      </c>
      <c r="F706" s="66" t="n"/>
      <c r="G706" s="67" t="n"/>
      <c r="J706" s="66" t="n"/>
      <c r="K706" s="67" t="n"/>
      <c r="N706" s="66" t="n"/>
      <c r="O706" s="67" t="n"/>
      <c r="R706" s="66" t="n"/>
      <c r="S706" s="67" t="n"/>
      <c r="V706" s="66" t="n"/>
      <c r="W706" s="67" t="n"/>
      <c r="Z706" s="66" t="n"/>
      <c r="AA706" s="67" t="n"/>
      <c r="AD706" s="66" t="n"/>
      <c r="AE706" s="67" t="n"/>
      <c r="AH706" s="66" t="n"/>
      <c r="AI706" s="67" t="n"/>
    </row>
    <row r="707">
      <c r="B707" s="2">
        <f>IF(STUDENTS!B706="","",STUDENTS!B706)</f>
        <v/>
      </c>
      <c r="C707" s="44">
        <f>IFERROR(IF(B707="","",_xlfn.XLOOKUP(B707,STUDENTS!$B$3:$B$1048576,STUDENTS!$C$3:$C$1048576)),"Enter a registered reg. no")</f>
        <v/>
      </c>
      <c r="D707" s="54" t="n"/>
      <c r="E707" s="55" t="n"/>
      <c r="F707" s="48" t="n"/>
      <c r="G707" s="58" t="n"/>
      <c r="H707" s="62" t="n"/>
      <c r="I707" s="63" t="n"/>
      <c r="J707" s="48" t="n"/>
      <c r="K707" s="58" t="n"/>
      <c r="L707" s="42" t="n"/>
      <c r="M707" s="42" t="n"/>
      <c r="N707" s="48" t="n"/>
      <c r="O707" s="58" t="n"/>
      <c r="P707" s="42" t="n"/>
      <c r="Q707" s="42" t="n"/>
      <c r="R707" s="48" t="n"/>
      <c r="S707" s="58" t="n"/>
      <c r="T707" s="42" t="n"/>
      <c r="U707" s="42" t="n"/>
      <c r="V707" s="48" t="n"/>
      <c r="W707" s="58" t="n"/>
      <c r="X707" s="42" t="n"/>
      <c r="Y707" s="42" t="n"/>
      <c r="Z707" s="48" t="n"/>
      <c r="AA707" s="58" t="n"/>
      <c r="AB707" s="42" t="n"/>
      <c r="AC707" s="42" t="n"/>
      <c r="AD707" s="48" t="n"/>
      <c r="AE707" s="58" t="n"/>
      <c r="AF707" s="42" t="n"/>
      <c r="AG707" s="42" t="n"/>
      <c r="AH707" s="48" t="n"/>
      <c r="AI707" s="58" t="n"/>
    </row>
    <row r="708">
      <c r="B708" s="2">
        <f>IF(STUDENTS!B707="","",STUDENTS!B707)</f>
        <v/>
      </c>
      <c r="C708" s="44">
        <f>IFERROR(IF(B708="","",_xlfn.XLOOKUP(B708,STUDENTS!$B$3:$B$1048576,STUDENTS!$C$3:$C$1048576)),"Enter a registered reg. no")</f>
        <v/>
      </c>
      <c r="F708" s="66" t="n"/>
      <c r="G708" s="67" t="n"/>
      <c r="J708" s="66" t="n"/>
      <c r="K708" s="67" t="n"/>
      <c r="N708" s="66" t="n"/>
      <c r="O708" s="67" t="n"/>
      <c r="R708" s="66" t="n"/>
      <c r="S708" s="67" t="n"/>
      <c r="V708" s="66" t="n"/>
      <c r="W708" s="67" t="n"/>
      <c r="Z708" s="66" t="n"/>
      <c r="AA708" s="67" t="n"/>
      <c r="AD708" s="66" t="n"/>
      <c r="AE708" s="67" t="n"/>
      <c r="AH708" s="66" t="n"/>
      <c r="AI708" s="67" t="n"/>
    </row>
    <row r="709">
      <c r="B709" s="2">
        <f>IF(STUDENTS!B708="","",STUDENTS!B708)</f>
        <v/>
      </c>
      <c r="C709" s="44">
        <f>IFERROR(IF(B709="","",_xlfn.XLOOKUP(B709,STUDENTS!$B$3:$B$1048576,STUDENTS!$C$3:$C$1048576)),"Enter a registered reg. no")</f>
        <v/>
      </c>
      <c r="D709" s="54" t="n"/>
      <c r="E709" s="55" t="n"/>
      <c r="F709" s="48" t="n"/>
      <c r="G709" s="58" t="n"/>
      <c r="H709" s="62" t="n"/>
      <c r="I709" s="63" t="n"/>
      <c r="J709" s="48" t="n"/>
      <c r="K709" s="58" t="n"/>
      <c r="L709" s="42" t="n"/>
      <c r="M709" s="42" t="n"/>
      <c r="N709" s="48" t="n"/>
      <c r="O709" s="58" t="n"/>
      <c r="P709" s="42" t="n"/>
      <c r="Q709" s="42" t="n"/>
      <c r="R709" s="48" t="n"/>
      <c r="S709" s="58" t="n"/>
      <c r="T709" s="42" t="n"/>
      <c r="U709" s="42" t="n"/>
      <c r="V709" s="48" t="n"/>
      <c r="W709" s="58" t="n"/>
      <c r="X709" s="42" t="n"/>
      <c r="Y709" s="42" t="n"/>
      <c r="Z709" s="48" t="n"/>
      <c r="AA709" s="58" t="n"/>
      <c r="AB709" s="42" t="n"/>
      <c r="AC709" s="42" t="n"/>
      <c r="AD709" s="48" t="n"/>
      <c r="AE709" s="58" t="n"/>
      <c r="AF709" s="42" t="n"/>
      <c r="AG709" s="42" t="n"/>
      <c r="AH709" s="48" t="n"/>
      <c r="AI709" s="58" t="n"/>
    </row>
    <row r="710">
      <c r="B710" s="2">
        <f>IF(STUDENTS!B709="","",STUDENTS!B709)</f>
        <v/>
      </c>
      <c r="C710" s="44">
        <f>IFERROR(IF(B710="","",_xlfn.XLOOKUP(B710,STUDENTS!$B$3:$B$1048576,STUDENTS!$C$3:$C$1048576)),"Enter a registered reg. no")</f>
        <v/>
      </c>
      <c r="F710" s="66" t="n"/>
      <c r="G710" s="67" t="n"/>
      <c r="J710" s="66" t="n"/>
      <c r="K710" s="67" t="n"/>
      <c r="N710" s="66" t="n"/>
      <c r="O710" s="67" t="n"/>
      <c r="R710" s="66" t="n"/>
      <c r="S710" s="67" t="n"/>
      <c r="V710" s="66" t="n"/>
      <c r="W710" s="67" t="n"/>
      <c r="Z710" s="66" t="n"/>
      <c r="AA710" s="67" t="n"/>
      <c r="AD710" s="66" t="n"/>
      <c r="AE710" s="67" t="n"/>
      <c r="AH710" s="66" t="n"/>
      <c r="AI710" s="67" t="n"/>
    </row>
    <row r="711">
      <c r="B711" s="2">
        <f>IF(STUDENTS!B710="","",STUDENTS!B710)</f>
        <v/>
      </c>
      <c r="C711" s="44">
        <f>IFERROR(IF(B711="","",_xlfn.XLOOKUP(B711,STUDENTS!$B$3:$B$1048576,STUDENTS!$C$3:$C$1048576)),"Enter a registered reg. no")</f>
        <v/>
      </c>
      <c r="D711" s="54" t="n"/>
      <c r="E711" s="55" t="n"/>
      <c r="F711" s="48" t="n"/>
      <c r="G711" s="58" t="n"/>
      <c r="H711" s="62" t="n"/>
      <c r="I711" s="63" t="n"/>
      <c r="J711" s="48" t="n"/>
      <c r="K711" s="58" t="n"/>
      <c r="L711" s="42" t="n"/>
      <c r="M711" s="42" t="n"/>
      <c r="N711" s="48" t="n"/>
      <c r="O711" s="58" t="n"/>
      <c r="P711" s="42" t="n"/>
      <c r="Q711" s="42" t="n"/>
      <c r="R711" s="48" t="n"/>
      <c r="S711" s="58" t="n"/>
      <c r="T711" s="42" t="n"/>
      <c r="U711" s="42" t="n"/>
      <c r="V711" s="48" t="n"/>
      <c r="W711" s="58" t="n"/>
      <c r="X711" s="42" t="n"/>
      <c r="Y711" s="42" t="n"/>
      <c r="Z711" s="48" t="n"/>
      <c r="AA711" s="58" t="n"/>
      <c r="AB711" s="42" t="n"/>
      <c r="AC711" s="42" t="n"/>
      <c r="AD711" s="48" t="n"/>
      <c r="AE711" s="58" t="n"/>
      <c r="AF711" s="42" t="n"/>
      <c r="AG711" s="42" t="n"/>
      <c r="AH711" s="48" t="n"/>
      <c r="AI711" s="58" t="n"/>
    </row>
    <row r="712">
      <c r="B712" s="2">
        <f>IF(STUDENTS!B711="","",STUDENTS!B711)</f>
        <v/>
      </c>
      <c r="C712" s="44">
        <f>IFERROR(IF(B712="","",_xlfn.XLOOKUP(B712,STUDENTS!$B$3:$B$1048576,STUDENTS!$C$3:$C$1048576)),"Enter a registered reg. no")</f>
        <v/>
      </c>
      <c r="F712" s="66" t="n"/>
      <c r="G712" s="67" t="n"/>
      <c r="J712" s="66" t="n"/>
      <c r="K712" s="67" t="n"/>
      <c r="N712" s="66" t="n"/>
      <c r="O712" s="67" t="n"/>
      <c r="R712" s="66" t="n"/>
      <c r="S712" s="67" t="n"/>
      <c r="V712" s="66" t="n"/>
      <c r="W712" s="67" t="n"/>
      <c r="Z712" s="66" t="n"/>
      <c r="AA712" s="67" t="n"/>
      <c r="AD712" s="66" t="n"/>
      <c r="AE712" s="67" t="n"/>
      <c r="AH712" s="66" t="n"/>
      <c r="AI712" s="67" t="n"/>
    </row>
    <row r="713">
      <c r="B713" s="2">
        <f>IF(STUDENTS!B712="","",STUDENTS!B712)</f>
        <v/>
      </c>
      <c r="C713" s="44">
        <f>IFERROR(IF(B713="","",_xlfn.XLOOKUP(B713,STUDENTS!$B$3:$B$1048576,STUDENTS!$C$3:$C$1048576)),"Enter a registered reg. no")</f>
        <v/>
      </c>
      <c r="D713" s="54" t="n"/>
      <c r="E713" s="55" t="n"/>
      <c r="F713" s="48" t="n"/>
      <c r="G713" s="58" t="n"/>
      <c r="H713" s="62" t="n"/>
      <c r="I713" s="63" t="n"/>
      <c r="J713" s="48" t="n"/>
      <c r="K713" s="58" t="n"/>
      <c r="L713" s="42" t="n"/>
      <c r="M713" s="42" t="n"/>
      <c r="N713" s="48" t="n"/>
      <c r="O713" s="58" t="n"/>
      <c r="P713" s="42" t="n"/>
      <c r="Q713" s="42" t="n"/>
      <c r="R713" s="48" t="n"/>
      <c r="S713" s="58" t="n"/>
      <c r="T713" s="42" t="n"/>
      <c r="U713" s="42" t="n"/>
      <c r="V713" s="48" t="n"/>
      <c r="W713" s="58" t="n"/>
      <c r="X713" s="42" t="n"/>
      <c r="Y713" s="42" t="n"/>
      <c r="Z713" s="48" t="n"/>
      <c r="AA713" s="58" t="n"/>
      <c r="AB713" s="42" t="n"/>
      <c r="AC713" s="42" t="n"/>
      <c r="AD713" s="48" t="n"/>
      <c r="AE713" s="58" t="n"/>
      <c r="AF713" s="42" t="n"/>
      <c r="AG713" s="42" t="n"/>
      <c r="AH713" s="48" t="n"/>
      <c r="AI713" s="58" t="n"/>
    </row>
    <row r="714">
      <c r="B714" s="2">
        <f>IF(STUDENTS!B713="","",STUDENTS!B713)</f>
        <v/>
      </c>
      <c r="C714" s="44">
        <f>IFERROR(IF(B714="","",_xlfn.XLOOKUP(B714,STUDENTS!$B$3:$B$1048576,STUDENTS!$C$3:$C$1048576)),"Enter a registered reg. no")</f>
        <v/>
      </c>
      <c r="F714" s="66" t="n"/>
      <c r="G714" s="67" t="n"/>
      <c r="J714" s="66" t="n"/>
      <c r="K714" s="67" t="n"/>
      <c r="N714" s="66" t="n"/>
      <c r="O714" s="67" t="n"/>
      <c r="R714" s="66" t="n"/>
      <c r="S714" s="67" t="n"/>
      <c r="V714" s="66" t="n"/>
      <c r="W714" s="67" t="n"/>
      <c r="Z714" s="66" t="n"/>
      <c r="AA714" s="67" t="n"/>
      <c r="AD714" s="66" t="n"/>
      <c r="AE714" s="67" t="n"/>
      <c r="AH714" s="66" t="n"/>
      <c r="AI714" s="67" t="n"/>
    </row>
    <row r="715">
      <c r="B715" s="2">
        <f>IF(STUDENTS!B714="","",STUDENTS!B714)</f>
        <v/>
      </c>
      <c r="C715" s="44">
        <f>IFERROR(IF(B715="","",_xlfn.XLOOKUP(B715,STUDENTS!$B$3:$B$1048576,STUDENTS!$C$3:$C$1048576)),"Enter a registered reg. no")</f>
        <v/>
      </c>
      <c r="D715" s="54" t="n"/>
      <c r="E715" s="55" t="n"/>
      <c r="F715" s="48" t="n"/>
      <c r="G715" s="58" t="n"/>
      <c r="H715" s="62" t="n"/>
      <c r="I715" s="63" t="n"/>
      <c r="J715" s="48" t="n"/>
      <c r="K715" s="58" t="n"/>
      <c r="L715" s="42" t="n"/>
      <c r="M715" s="42" t="n"/>
      <c r="N715" s="48" t="n"/>
      <c r="O715" s="58" t="n"/>
      <c r="P715" s="42" t="n"/>
      <c r="Q715" s="42" t="n"/>
      <c r="R715" s="48" t="n"/>
      <c r="S715" s="58" t="n"/>
      <c r="T715" s="42" t="n"/>
      <c r="U715" s="42" t="n"/>
      <c r="V715" s="48" t="n"/>
      <c r="W715" s="58" t="n"/>
      <c r="X715" s="42" t="n"/>
      <c r="Y715" s="42" t="n"/>
      <c r="Z715" s="48" t="n"/>
      <c r="AA715" s="58" t="n"/>
      <c r="AB715" s="42" t="n"/>
      <c r="AC715" s="42" t="n"/>
      <c r="AD715" s="48" t="n"/>
      <c r="AE715" s="58" t="n"/>
      <c r="AF715" s="42" t="n"/>
      <c r="AG715" s="42" t="n"/>
      <c r="AH715" s="48" t="n"/>
      <c r="AI715" s="58" t="n"/>
    </row>
    <row r="716">
      <c r="B716" s="2">
        <f>IF(STUDENTS!B715="","",STUDENTS!B715)</f>
        <v/>
      </c>
      <c r="C716" s="44">
        <f>IFERROR(IF(B716="","",_xlfn.XLOOKUP(B716,STUDENTS!$B$3:$B$1048576,STUDENTS!$C$3:$C$1048576)),"Enter a registered reg. no")</f>
        <v/>
      </c>
      <c r="F716" s="66" t="n"/>
      <c r="G716" s="67" t="n"/>
      <c r="J716" s="66" t="n"/>
      <c r="K716" s="67" t="n"/>
      <c r="N716" s="66" t="n"/>
      <c r="O716" s="67" t="n"/>
      <c r="R716" s="66" t="n"/>
      <c r="S716" s="67" t="n"/>
      <c r="V716" s="66" t="n"/>
      <c r="W716" s="67" t="n"/>
      <c r="Z716" s="66" t="n"/>
      <c r="AA716" s="67" t="n"/>
      <c r="AD716" s="66" t="n"/>
      <c r="AE716" s="67" t="n"/>
      <c r="AH716" s="66" t="n"/>
      <c r="AI716" s="67" t="n"/>
    </row>
    <row r="717">
      <c r="B717" s="2">
        <f>IF(STUDENTS!B716="","",STUDENTS!B716)</f>
        <v/>
      </c>
      <c r="C717" s="44">
        <f>IFERROR(IF(B717="","",_xlfn.XLOOKUP(B717,STUDENTS!$B$3:$B$1048576,STUDENTS!$C$3:$C$1048576)),"Enter a registered reg. no")</f>
        <v/>
      </c>
      <c r="D717" s="54" t="n"/>
      <c r="E717" s="55" t="n"/>
      <c r="F717" s="48" t="n"/>
      <c r="G717" s="58" t="n"/>
      <c r="H717" s="62" t="n"/>
      <c r="I717" s="63" t="n"/>
      <c r="J717" s="48" t="n"/>
      <c r="K717" s="58" t="n"/>
      <c r="L717" s="42" t="n"/>
      <c r="M717" s="42" t="n"/>
      <c r="N717" s="48" t="n"/>
      <c r="O717" s="58" t="n"/>
      <c r="P717" s="42" t="n"/>
      <c r="Q717" s="42" t="n"/>
      <c r="R717" s="48" t="n"/>
      <c r="S717" s="58" t="n"/>
      <c r="T717" s="42" t="n"/>
      <c r="U717" s="42" t="n"/>
      <c r="V717" s="48" t="n"/>
      <c r="W717" s="58" t="n"/>
      <c r="X717" s="42" t="n"/>
      <c r="Y717" s="42" t="n"/>
      <c r="Z717" s="48" t="n"/>
      <c r="AA717" s="58" t="n"/>
      <c r="AB717" s="42" t="n"/>
      <c r="AC717" s="42" t="n"/>
      <c r="AD717" s="48" t="n"/>
      <c r="AE717" s="58" t="n"/>
      <c r="AF717" s="42" t="n"/>
      <c r="AG717" s="42" t="n"/>
      <c r="AH717" s="48" t="n"/>
      <c r="AI717" s="58" t="n"/>
    </row>
    <row r="718">
      <c r="B718" s="2">
        <f>IF(STUDENTS!B717="","",STUDENTS!B717)</f>
        <v/>
      </c>
      <c r="C718" s="44">
        <f>IFERROR(IF(B718="","",_xlfn.XLOOKUP(B718,STUDENTS!$B$3:$B$1048576,STUDENTS!$C$3:$C$1048576)),"Enter a registered reg. no")</f>
        <v/>
      </c>
      <c r="F718" s="66" t="n"/>
      <c r="G718" s="67" t="n"/>
      <c r="J718" s="66" t="n"/>
      <c r="K718" s="67" t="n"/>
      <c r="N718" s="66" t="n"/>
      <c r="O718" s="67" t="n"/>
      <c r="R718" s="66" t="n"/>
      <c r="S718" s="67" t="n"/>
      <c r="V718" s="66" t="n"/>
      <c r="W718" s="67" t="n"/>
      <c r="Z718" s="66" t="n"/>
      <c r="AA718" s="67" t="n"/>
      <c r="AD718" s="66" t="n"/>
      <c r="AE718" s="67" t="n"/>
      <c r="AH718" s="66" t="n"/>
      <c r="AI718" s="67" t="n"/>
    </row>
    <row r="719">
      <c r="B719" s="2">
        <f>IF(STUDENTS!B718="","",STUDENTS!B718)</f>
        <v/>
      </c>
      <c r="C719" s="44">
        <f>IFERROR(IF(B719="","",_xlfn.XLOOKUP(B719,STUDENTS!$B$3:$B$1048576,STUDENTS!$C$3:$C$1048576)),"Enter a registered reg. no")</f>
        <v/>
      </c>
      <c r="D719" s="54" t="n"/>
      <c r="E719" s="55" t="n"/>
      <c r="F719" s="48" t="n"/>
      <c r="G719" s="58" t="n"/>
      <c r="H719" s="62" t="n"/>
      <c r="I719" s="63" t="n"/>
      <c r="J719" s="48" t="n"/>
      <c r="K719" s="58" t="n"/>
      <c r="L719" s="42" t="n"/>
      <c r="M719" s="42" t="n"/>
      <c r="N719" s="48" t="n"/>
      <c r="O719" s="58" t="n"/>
      <c r="P719" s="42" t="n"/>
      <c r="Q719" s="42" t="n"/>
      <c r="R719" s="48" t="n"/>
      <c r="S719" s="58" t="n"/>
      <c r="T719" s="42" t="n"/>
      <c r="U719" s="42" t="n"/>
      <c r="V719" s="48" t="n"/>
      <c r="W719" s="58" t="n"/>
      <c r="X719" s="42" t="n"/>
      <c r="Y719" s="42" t="n"/>
      <c r="Z719" s="48" t="n"/>
      <c r="AA719" s="58" t="n"/>
      <c r="AB719" s="42" t="n"/>
      <c r="AC719" s="42" t="n"/>
      <c r="AD719" s="48" t="n"/>
      <c r="AE719" s="58" t="n"/>
      <c r="AF719" s="42" t="n"/>
      <c r="AG719" s="42" t="n"/>
      <c r="AH719" s="48" t="n"/>
      <c r="AI719" s="58" t="n"/>
    </row>
    <row r="720">
      <c r="B720" s="2">
        <f>IF(STUDENTS!B719="","",STUDENTS!B719)</f>
        <v/>
      </c>
      <c r="C720" s="44">
        <f>IFERROR(IF(B720="","",_xlfn.XLOOKUP(B720,STUDENTS!$B$3:$B$1048576,STUDENTS!$C$3:$C$1048576)),"Enter a registered reg. no")</f>
        <v/>
      </c>
      <c r="F720" s="66" t="n"/>
      <c r="G720" s="67" t="n"/>
      <c r="J720" s="66" t="n"/>
      <c r="K720" s="67" t="n"/>
      <c r="N720" s="66" t="n"/>
      <c r="O720" s="67" t="n"/>
      <c r="R720" s="66" t="n"/>
      <c r="S720" s="67" t="n"/>
      <c r="V720" s="66" t="n"/>
      <c r="W720" s="67" t="n"/>
      <c r="Z720" s="66" t="n"/>
      <c r="AA720" s="67" t="n"/>
      <c r="AD720" s="66" t="n"/>
      <c r="AE720" s="67" t="n"/>
      <c r="AH720" s="66" t="n"/>
      <c r="AI720" s="67" t="n"/>
    </row>
    <row r="721">
      <c r="B721" s="2">
        <f>IF(STUDENTS!B720="","",STUDENTS!B720)</f>
        <v/>
      </c>
      <c r="C721" s="44">
        <f>IFERROR(IF(B721="","",_xlfn.XLOOKUP(B721,STUDENTS!$B$3:$B$1048576,STUDENTS!$C$3:$C$1048576)),"Enter a registered reg. no")</f>
        <v/>
      </c>
      <c r="D721" s="54" t="n"/>
      <c r="E721" s="55" t="n"/>
      <c r="F721" s="48" t="n"/>
      <c r="G721" s="58" t="n"/>
      <c r="H721" s="62" t="n"/>
      <c r="I721" s="63" t="n"/>
      <c r="J721" s="48" t="n"/>
      <c r="K721" s="58" t="n"/>
      <c r="L721" s="42" t="n"/>
      <c r="M721" s="42" t="n"/>
      <c r="N721" s="48" t="n"/>
      <c r="O721" s="58" t="n"/>
      <c r="P721" s="42" t="n"/>
      <c r="Q721" s="42" t="n"/>
      <c r="R721" s="48" t="n"/>
      <c r="S721" s="58" t="n"/>
      <c r="T721" s="42" t="n"/>
      <c r="U721" s="42" t="n"/>
      <c r="V721" s="48" t="n"/>
      <c r="W721" s="58" t="n"/>
      <c r="X721" s="42" t="n"/>
      <c r="Y721" s="42" t="n"/>
      <c r="Z721" s="48" t="n"/>
      <c r="AA721" s="58" t="n"/>
      <c r="AB721" s="42" t="n"/>
      <c r="AC721" s="42" t="n"/>
      <c r="AD721" s="48" t="n"/>
      <c r="AE721" s="58" t="n"/>
      <c r="AF721" s="42" t="n"/>
      <c r="AG721" s="42" t="n"/>
      <c r="AH721" s="48" t="n"/>
      <c r="AI721" s="58" t="n"/>
    </row>
    <row r="722">
      <c r="B722" s="2">
        <f>IF(STUDENTS!B721="","",STUDENTS!B721)</f>
        <v/>
      </c>
      <c r="C722" s="44">
        <f>IFERROR(IF(B722="","",_xlfn.XLOOKUP(B722,STUDENTS!$B$3:$B$1048576,STUDENTS!$C$3:$C$1048576)),"Enter a registered reg. no")</f>
        <v/>
      </c>
      <c r="F722" s="66" t="n"/>
      <c r="G722" s="67" t="n"/>
      <c r="J722" s="66" t="n"/>
      <c r="K722" s="67" t="n"/>
      <c r="N722" s="66" t="n"/>
      <c r="O722" s="67" t="n"/>
      <c r="R722" s="66" t="n"/>
      <c r="S722" s="67" t="n"/>
      <c r="V722" s="66" t="n"/>
      <c r="W722" s="67" t="n"/>
      <c r="Z722" s="66" t="n"/>
      <c r="AA722" s="67" t="n"/>
      <c r="AD722" s="66" t="n"/>
      <c r="AE722" s="67" t="n"/>
      <c r="AH722" s="66" t="n"/>
      <c r="AI722" s="67" t="n"/>
    </row>
    <row r="723">
      <c r="B723" s="2">
        <f>IF(STUDENTS!B722="","",STUDENTS!B722)</f>
        <v/>
      </c>
      <c r="C723" s="44">
        <f>IFERROR(IF(B723="","",_xlfn.XLOOKUP(B723,STUDENTS!$B$3:$B$1048576,STUDENTS!$C$3:$C$1048576)),"Enter a registered reg. no")</f>
        <v/>
      </c>
      <c r="D723" s="54" t="n"/>
      <c r="E723" s="55" t="n"/>
      <c r="F723" s="48" t="n"/>
      <c r="G723" s="58" t="n"/>
      <c r="H723" s="62" t="n"/>
      <c r="I723" s="63" t="n"/>
      <c r="J723" s="48" t="n"/>
      <c r="K723" s="58" t="n"/>
      <c r="L723" s="42" t="n"/>
      <c r="M723" s="42" t="n"/>
      <c r="N723" s="48" t="n"/>
      <c r="O723" s="58" t="n"/>
      <c r="P723" s="42" t="n"/>
      <c r="Q723" s="42" t="n"/>
      <c r="R723" s="48" t="n"/>
      <c r="S723" s="58" t="n"/>
      <c r="T723" s="42" t="n"/>
      <c r="U723" s="42" t="n"/>
      <c r="V723" s="48" t="n"/>
      <c r="W723" s="58" t="n"/>
      <c r="X723" s="42" t="n"/>
      <c r="Y723" s="42" t="n"/>
      <c r="Z723" s="48" t="n"/>
      <c r="AA723" s="58" t="n"/>
      <c r="AB723" s="42" t="n"/>
      <c r="AC723" s="42" t="n"/>
      <c r="AD723" s="48" t="n"/>
      <c r="AE723" s="58" t="n"/>
      <c r="AF723" s="42" t="n"/>
      <c r="AG723" s="42" t="n"/>
      <c r="AH723" s="48" t="n"/>
      <c r="AI723" s="58" t="n"/>
    </row>
    <row r="724">
      <c r="B724" s="2">
        <f>IF(STUDENTS!B723="","",STUDENTS!B723)</f>
        <v/>
      </c>
      <c r="C724" s="44">
        <f>IFERROR(IF(B724="","",_xlfn.XLOOKUP(B724,STUDENTS!$B$3:$B$1048576,STUDENTS!$C$3:$C$1048576)),"Enter a registered reg. no")</f>
        <v/>
      </c>
      <c r="F724" s="66" t="n"/>
      <c r="G724" s="67" t="n"/>
      <c r="J724" s="66" t="n"/>
      <c r="K724" s="67" t="n"/>
      <c r="N724" s="66" t="n"/>
      <c r="O724" s="67" t="n"/>
      <c r="R724" s="66" t="n"/>
      <c r="S724" s="67" t="n"/>
      <c r="V724" s="66" t="n"/>
      <c r="W724" s="67" t="n"/>
      <c r="Z724" s="66" t="n"/>
      <c r="AA724" s="67" t="n"/>
      <c r="AD724" s="66" t="n"/>
      <c r="AE724" s="67" t="n"/>
      <c r="AH724" s="66" t="n"/>
      <c r="AI724" s="67" t="n"/>
    </row>
    <row r="725">
      <c r="B725" s="2">
        <f>IF(STUDENTS!B724="","",STUDENTS!B724)</f>
        <v/>
      </c>
      <c r="C725" s="44">
        <f>IFERROR(IF(B725="","",_xlfn.XLOOKUP(B725,STUDENTS!$B$3:$B$1048576,STUDENTS!$C$3:$C$1048576)),"Enter a registered reg. no")</f>
        <v/>
      </c>
      <c r="D725" s="54" t="n"/>
      <c r="E725" s="55" t="n"/>
      <c r="F725" s="48" t="n"/>
      <c r="G725" s="58" t="n"/>
      <c r="H725" s="62" t="n"/>
      <c r="I725" s="63" t="n"/>
      <c r="J725" s="48" t="n"/>
      <c r="K725" s="58" t="n"/>
      <c r="L725" s="42" t="n"/>
      <c r="M725" s="42" t="n"/>
      <c r="N725" s="48" t="n"/>
      <c r="O725" s="58" t="n"/>
      <c r="P725" s="42" t="n"/>
      <c r="Q725" s="42" t="n"/>
      <c r="R725" s="48" t="n"/>
      <c r="S725" s="58" t="n"/>
      <c r="T725" s="42" t="n"/>
      <c r="U725" s="42" t="n"/>
      <c r="V725" s="48" t="n"/>
      <c r="W725" s="58" t="n"/>
      <c r="X725" s="42" t="n"/>
      <c r="Y725" s="42" t="n"/>
      <c r="Z725" s="48" t="n"/>
      <c r="AA725" s="58" t="n"/>
      <c r="AB725" s="42" t="n"/>
      <c r="AC725" s="42" t="n"/>
      <c r="AD725" s="48" t="n"/>
      <c r="AE725" s="58" t="n"/>
      <c r="AF725" s="42" t="n"/>
      <c r="AG725" s="42" t="n"/>
      <c r="AH725" s="48" t="n"/>
      <c r="AI725" s="58" t="n"/>
    </row>
    <row r="726">
      <c r="B726" s="2">
        <f>IF(STUDENTS!B725="","",STUDENTS!B725)</f>
        <v/>
      </c>
      <c r="C726" s="44">
        <f>IFERROR(IF(B726="","",_xlfn.XLOOKUP(B726,STUDENTS!$B$3:$B$1048576,STUDENTS!$C$3:$C$1048576)),"Enter a registered reg. no")</f>
        <v/>
      </c>
      <c r="F726" s="66" t="n"/>
      <c r="G726" s="67" t="n"/>
      <c r="J726" s="66" t="n"/>
      <c r="K726" s="67" t="n"/>
      <c r="N726" s="66" t="n"/>
      <c r="O726" s="67" t="n"/>
      <c r="R726" s="66" t="n"/>
      <c r="S726" s="67" t="n"/>
      <c r="V726" s="66" t="n"/>
      <c r="W726" s="67" t="n"/>
      <c r="Z726" s="66" t="n"/>
      <c r="AA726" s="67" t="n"/>
      <c r="AD726" s="66" t="n"/>
      <c r="AE726" s="67" t="n"/>
      <c r="AH726" s="66" t="n"/>
      <c r="AI726" s="67" t="n"/>
    </row>
    <row r="727">
      <c r="B727" s="2">
        <f>IF(STUDENTS!B726="","",STUDENTS!B726)</f>
        <v/>
      </c>
      <c r="C727" s="44">
        <f>IFERROR(IF(B727="","",_xlfn.XLOOKUP(B727,STUDENTS!$B$3:$B$1048576,STUDENTS!$C$3:$C$1048576)),"Enter a registered reg. no")</f>
        <v/>
      </c>
      <c r="D727" s="54" t="n"/>
      <c r="E727" s="55" t="n"/>
      <c r="F727" s="48" t="n"/>
      <c r="G727" s="58" t="n"/>
      <c r="H727" s="62" t="n"/>
      <c r="I727" s="63" t="n"/>
      <c r="J727" s="48" t="n"/>
      <c r="K727" s="58" t="n"/>
      <c r="L727" s="42" t="n"/>
      <c r="M727" s="42" t="n"/>
      <c r="N727" s="48" t="n"/>
      <c r="O727" s="58" t="n"/>
      <c r="P727" s="42" t="n"/>
      <c r="Q727" s="42" t="n"/>
      <c r="R727" s="48" t="n"/>
      <c r="S727" s="58" t="n"/>
      <c r="T727" s="42" t="n"/>
      <c r="U727" s="42" t="n"/>
      <c r="V727" s="48" t="n"/>
      <c r="W727" s="58" t="n"/>
      <c r="X727" s="42" t="n"/>
      <c r="Y727" s="42" t="n"/>
      <c r="Z727" s="48" t="n"/>
      <c r="AA727" s="58" t="n"/>
      <c r="AB727" s="42" t="n"/>
      <c r="AC727" s="42" t="n"/>
      <c r="AD727" s="48" t="n"/>
      <c r="AE727" s="58" t="n"/>
      <c r="AF727" s="42" t="n"/>
      <c r="AG727" s="42" t="n"/>
      <c r="AH727" s="48" t="n"/>
      <c r="AI727" s="58" t="n"/>
    </row>
    <row r="728">
      <c r="B728" s="2">
        <f>IF(STUDENTS!B727="","",STUDENTS!B727)</f>
        <v/>
      </c>
      <c r="C728" s="44">
        <f>IFERROR(IF(B728="","",_xlfn.XLOOKUP(B728,STUDENTS!$B$3:$B$1048576,STUDENTS!$C$3:$C$1048576)),"Enter a registered reg. no")</f>
        <v/>
      </c>
      <c r="F728" s="66" t="n"/>
      <c r="G728" s="67" t="n"/>
      <c r="J728" s="66" t="n"/>
      <c r="K728" s="67" t="n"/>
      <c r="N728" s="66" t="n"/>
      <c r="O728" s="67" t="n"/>
      <c r="R728" s="66" t="n"/>
      <c r="S728" s="67" t="n"/>
      <c r="V728" s="66" t="n"/>
      <c r="W728" s="67" t="n"/>
      <c r="Z728" s="66" t="n"/>
      <c r="AA728" s="67" t="n"/>
      <c r="AD728" s="66" t="n"/>
      <c r="AE728" s="67" t="n"/>
      <c r="AH728" s="66" t="n"/>
      <c r="AI728" s="67" t="n"/>
    </row>
    <row r="729">
      <c r="B729" s="2">
        <f>IF(STUDENTS!B728="","",STUDENTS!B728)</f>
        <v/>
      </c>
      <c r="C729" s="44">
        <f>IFERROR(IF(B729="","",_xlfn.XLOOKUP(B729,STUDENTS!$B$3:$B$1048576,STUDENTS!$C$3:$C$1048576)),"Enter a registered reg. no")</f>
        <v/>
      </c>
      <c r="D729" s="54" t="n"/>
      <c r="E729" s="55" t="n"/>
      <c r="F729" s="48" t="n"/>
      <c r="G729" s="58" t="n"/>
      <c r="H729" s="62" t="n"/>
      <c r="I729" s="63" t="n"/>
      <c r="J729" s="48" t="n"/>
      <c r="K729" s="58" t="n"/>
      <c r="L729" s="42" t="n"/>
      <c r="M729" s="42" t="n"/>
      <c r="N729" s="48" t="n"/>
      <c r="O729" s="58" t="n"/>
      <c r="P729" s="42" t="n"/>
      <c r="Q729" s="42" t="n"/>
      <c r="R729" s="48" t="n"/>
      <c r="S729" s="58" t="n"/>
      <c r="T729" s="42" t="n"/>
      <c r="U729" s="42" t="n"/>
      <c r="V729" s="48" t="n"/>
      <c r="W729" s="58" t="n"/>
      <c r="X729" s="42" t="n"/>
      <c r="Y729" s="42" t="n"/>
      <c r="Z729" s="48" t="n"/>
      <c r="AA729" s="58" t="n"/>
      <c r="AB729" s="42" t="n"/>
      <c r="AC729" s="42" t="n"/>
      <c r="AD729" s="48" t="n"/>
      <c r="AE729" s="58" t="n"/>
      <c r="AF729" s="42" t="n"/>
      <c r="AG729" s="42" t="n"/>
      <c r="AH729" s="48" t="n"/>
      <c r="AI729" s="58" t="n"/>
    </row>
    <row r="730">
      <c r="B730" s="2">
        <f>IF(STUDENTS!B729="","",STUDENTS!B729)</f>
        <v/>
      </c>
      <c r="C730" s="44">
        <f>IFERROR(IF(B730="","",_xlfn.XLOOKUP(B730,STUDENTS!$B$3:$B$1048576,STUDENTS!$C$3:$C$1048576)),"Enter a registered reg. no")</f>
        <v/>
      </c>
      <c r="F730" s="66" t="n"/>
      <c r="G730" s="67" t="n"/>
      <c r="J730" s="66" t="n"/>
      <c r="K730" s="67" t="n"/>
      <c r="N730" s="66" t="n"/>
      <c r="O730" s="67" t="n"/>
      <c r="R730" s="66" t="n"/>
      <c r="S730" s="67" t="n"/>
      <c r="V730" s="66" t="n"/>
      <c r="W730" s="67" t="n"/>
      <c r="Z730" s="66" t="n"/>
      <c r="AA730" s="67" t="n"/>
      <c r="AD730" s="66" t="n"/>
      <c r="AE730" s="67" t="n"/>
      <c r="AH730" s="66" t="n"/>
      <c r="AI730" s="67" t="n"/>
    </row>
    <row r="731">
      <c r="B731" s="2">
        <f>IF(STUDENTS!B730="","",STUDENTS!B730)</f>
        <v/>
      </c>
      <c r="C731" s="44">
        <f>IFERROR(IF(B731="","",_xlfn.XLOOKUP(B731,STUDENTS!$B$3:$B$1048576,STUDENTS!$C$3:$C$1048576)),"Enter a registered reg. no")</f>
        <v/>
      </c>
      <c r="D731" s="54" t="n"/>
      <c r="E731" s="55" t="n"/>
      <c r="F731" s="48" t="n"/>
      <c r="G731" s="58" t="n"/>
      <c r="H731" s="62" t="n"/>
      <c r="I731" s="63" t="n"/>
      <c r="J731" s="48" t="n"/>
      <c r="K731" s="58" t="n"/>
      <c r="L731" s="42" t="n"/>
      <c r="M731" s="42" t="n"/>
      <c r="N731" s="48" t="n"/>
      <c r="O731" s="58" t="n"/>
      <c r="P731" s="42" t="n"/>
      <c r="Q731" s="42" t="n"/>
      <c r="R731" s="48" t="n"/>
      <c r="S731" s="58" t="n"/>
      <c r="T731" s="42" t="n"/>
      <c r="U731" s="42" t="n"/>
      <c r="V731" s="48" t="n"/>
      <c r="W731" s="58" t="n"/>
      <c r="X731" s="42" t="n"/>
      <c r="Y731" s="42" t="n"/>
      <c r="Z731" s="48" t="n"/>
      <c r="AA731" s="58" t="n"/>
      <c r="AB731" s="42" t="n"/>
      <c r="AC731" s="42" t="n"/>
      <c r="AD731" s="48" t="n"/>
      <c r="AE731" s="58" t="n"/>
      <c r="AF731" s="42" t="n"/>
      <c r="AG731" s="42" t="n"/>
      <c r="AH731" s="48" t="n"/>
      <c r="AI731" s="58" t="n"/>
    </row>
    <row r="732">
      <c r="B732" s="2">
        <f>IF(STUDENTS!B731="","",STUDENTS!B731)</f>
        <v/>
      </c>
      <c r="C732" s="44">
        <f>IFERROR(IF(B732="","",_xlfn.XLOOKUP(B732,STUDENTS!$B$3:$B$1048576,STUDENTS!$C$3:$C$1048576)),"Enter a registered reg. no")</f>
        <v/>
      </c>
      <c r="F732" s="66" t="n"/>
      <c r="G732" s="67" t="n"/>
      <c r="J732" s="66" t="n"/>
      <c r="K732" s="67" t="n"/>
      <c r="N732" s="66" t="n"/>
      <c r="O732" s="67" t="n"/>
      <c r="R732" s="66" t="n"/>
      <c r="S732" s="67" t="n"/>
      <c r="V732" s="66" t="n"/>
      <c r="W732" s="67" t="n"/>
      <c r="Z732" s="66" t="n"/>
      <c r="AA732" s="67" t="n"/>
      <c r="AD732" s="66" t="n"/>
      <c r="AE732" s="67" t="n"/>
      <c r="AH732" s="66" t="n"/>
      <c r="AI732" s="67" t="n"/>
    </row>
    <row r="733">
      <c r="B733" s="2">
        <f>IF(STUDENTS!B732="","",STUDENTS!B732)</f>
        <v/>
      </c>
      <c r="C733" s="44">
        <f>IFERROR(IF(B733="","",_xlfn.XLOOKUP(B733,STUDENTS!$B$3:$B$1048576,STUDENTS!$C$3:$C$1048576)),"Enter a registered reg. no")</f>
        <v/>
      </c>
      <c r="D733" s="54" t="n"/>
      <c r="E733" s="55" t="n"/>
      <c r="F733" s="48" t="n"/>
      <c r="G733" s="58" t="n"/>
      <c r="H733" s="62" t="n"/>
      <c r="I733" s="63" t="n"/>
      <c r="J733" s="48" t="n"/>
      <c r="K733" s="58" t="n"/>
      <c r="L733" s="42" t="n"/>
      <c r="M733" s="42" t="n"/>
      <c r="N733" s="48" t="n"/>
      <c r="O733" s="58" t="n"/>
      <c r="P733" s="42" t="n"/>
      <c r="Q733" s="42" t="n"/>
      <c r="R733" s="48" t="n"/>
      <c r="S733" s="58" t="n"/>
      <c r="T733" s="42" t="n"/>
      <c r="U733" s="42" t="n"/>
      <c r="V733" s="48" t="n"/>
      <c r="W733" s="58" t="n"/>
      <c r="X733" s="42" t="n"/>
      <c r="Y733" s="42" t="n"/>
      <c r="Z733" s="48" t="n"/>
      <c r="AA733" s="58" t="n"/>
      <c r="AB733" s="42" t="n"/>
      <c r="AC733" s="42" t="n"/>
      <c r="AD733" s="48" t="n"/>
      <c r="AE733" s="58" t="n"/>
      <c r="AF733" s="42" t="n"/>
      <c r="AG733" s="42" t="n"/>
      <c r="AH733" s="48" t="n"/>
      <c r="AI733" s="58" t="n"/>
    </row>
    <row r="734">
      <c r="B734" s="2">
        <f>IF(STUDENTS!B733="","",STUDENTS!B733)</f>
        <v/>
      </c>
      <c r="C734" s="44">
        <f>IFERROR(IF(B734="","",_xlfn.XLOOKUP(B734,STUDENTS!$B$3:$B$1048576,STUDENTS!$C$3:$C$1048576)),"Enter a registered reg. no")</f>
        <v/>
      </c>
      <c r="F734" s="66" t="n"/>
      <c r="G734" s="67" t="n"/>
      <c r="J734" s="66" t="n"/>
      <c r="K734" s="67" t="n"/>
      <c r="N734" s="66" t="n"/>
      <c r="O734" s="67" t="n"/>
      <c r="R734" s="66" t="n"/>
      <c r="S734" s="67" t="n"/>
      <c r="V734" s="66" t="n"/>
      <c r="W734" s="67" t="n"/>
      <c r="Z734" s="66" t="n"/>
      <c r="AA734" s="67" t="n"/>
      <c r="AD734" s="66" t="n"/>
      <c r="AE734" s="67" t="n"/>
      <c r="AH734" s="66" t="n"/>
      <c r="AI734" s="67" t="n"/>
    </row>
    <row r="735">
      <c r="B735" s="2">
        <f>IF(STUDENTS!B734="","",STUDENTS!B734)</f>
        <v/>
      </c>
      <c r="C735" s="44">
        <f>IFERROR(IF(B735="","",_xlfn.XLOOKUP(B735,STUDENTS!$B$3:$B$1048576,STUDENTS!$C$3:$C$1048576)),"Enter a registered reg. no")</f>
        <v/>
      </c>
      <c r="D735" s="54" t="n"/>
      <c r="E735" s="55" t="n"/>
      <c r="F735" s="48" t="n"/>
      <c r="G735" s="58" t="n"/>
      <c r="H735" s="62" t="n"/>
      <c r="I735" s="63" t="n"/>
      <c r="J735" s="48" t="n"/>
      <c r="K735" s="58" t="n"/>
      <c r="L735" s="42" t="n"/>
      <c r="M735" s="42" t="n"/>
      <c r="N735" s="48" t="n"/>
      <c r="O735" s="58" t="n"/>
      <c r="P735" s="42" t="n"/>
      <c r="Q735" s="42" t="n"/>
      <c r="R735" s="48" t="n"/>
      <c r="S735" s="58" t="n"/>
      <c r="T735" s="42" t="n"/>
      <c r="U735" s="42" t="n"/>
      <c r="V735" s="48" t="n"/>
      <c r="W735" s="58" t="n"/>
      <c r="X735" s="42" t="n"/>
      <c r="Y735" s="42" t="n"/>
      <c r="Z735" s="48" t="n"/>
      <c r="AA735" s="58" t="n"/>
      <c r="AB735" s="42" t="n"/>
      <c r="AC735" s="42" t="n"/>
      <c r="AD735" s="48" t="n"/>
      <c r="AE735" s="58" t="n"/>
      <c r="AF735" s="42" t="n"/>
      <c r="AG735" s="42" t="n"/>
      <c r="AH735" s="48" t="n"/>
      <c r="AI735" s="58" t="n"/>
    </row>
    <row r="736">
      <c r="B736" s="2">
        <f>IF(STUDENTS!B735="","",STUDENTS!B735)</f>
        <v/>
      </c>
      <c r="C736" s="44">
        <f>IFERROR(IF(B736="","",_xlfn.XLOOKUP(B736,STUDENTS!$B$3:$B$1048576,STUDENTS!$C$3:$C$1048576)),"Enter a registered reg. no")</f>
        <v/>
      </c>
      <c r="F736" s="66" t="n"/>
      <c r="G736" s="67" t="n"/>
      <c r="J736" s="66" t="n"/>
      <c r="K736" s="67" t="n"/>
      <c r="N736" s="66" t="n"/>
      <c r="O736" s="67" t="n"/>
      <c r="R736" s="66" t="n"/>
      <c r="S736" s="67" t="n"/>
      <c r="V736" s="66" t="n"/>
      <c r="W736" s="67" t="n"/>
      <c r="Z736" s="66" t="n"/>
      <c r="AA736" s="67" t="n"/>
      <c r="AD736" s="66" t="n"/>
      <c r="AE736" s="67" t="n"/>
      <c r="AH736" s="66" t="n"/>
      <c r="AI736" s="67" t="n"/>
    </row>
    <row r="737">
      <c r="B737" s="2">
        <f>IF(STUDENTS!B736="","",STUDENTS!B736)</f>
        <v/>
      </c>
      <c r="C737" s="44">
        <f>IFERROR(IF(B737="","",_xlfn.XLOOKUP(B737,STUDENTS!$B$3:$B$1048576,STUDENTS!$C$3:$C$1048576)),"Enter a registered reg. no")</f>
        <v/>
      </c>
      <c r="D737" s="54" t="n"/>
      <c r="E737" s="55" t="n"/>
      <c r="F737" s="48" t="n"/>
      <c r="G737" s="58" t="n"/>
      <c r="H737" s="62" t="n"/>
      <c r="I737" s="63" t="n"/>
      <c r="J737" s="48" t="n"/>
      <c r="K737" s="58" t="n"/>
      <c r="L737" s="42" t="n"/>
      <c r="M737" s="42" t="n"/>
      <c r="N737" s="48" t="n"/>
      <c r="O737" s="58" t="n"/>
      <c r="P737" s="42" t="n"/>
      <c r="Q737" s="42" t="n"/>
      <c r="R737" s="48" t="n"/>
      <c r="S737" s="58" t="n"/>
      <c r="T737" s="42" t="n"/>
      <c r="U737" s="42" t="n"/>
      <c r="V737" s="48" t="n"/>
      <c r="W737" s="58" t="n"/>
      <c r="X737" s="42" t="n"/>
      <c r="Y737" s="42" t="n"/>
      <c r="Z737" s="48" t="n"/>
      <c r="AA737" s="58" t="n"/>
      <c r="AB737" s="42" t="n"/>
      <c r="AC737" s="42" t="n"/>
      <c r="AD737" s="48" t="n"/>
      <c r="AE737" s="58" t="n"/>
      <c r="AF737" s="42" t="n"/>
      <c r="AG737" s="42" t="n"/>
      <c r="AH737" s="48" t="n"/>
      <c r="AI737" s="58" t="n"/>
    </row>
    <row r="738">
      <c r="B738" s="2">
        <f>IF(STUDENTS!B737="","",STUDENTS!B737)</f>
        <v/>
      </c>
      <c r="C738" s="44">
        <f>IFERROR(IF(B738="","",_xlfn.XLOOKUP(B738,STUDENTS!$B$3:$B$1048576,STUDENTS!$C$3:$C$1048576)),"Enter a registered reg. no")</f>
        <v/>
      </c>
      <c r="F738" s="66" t="n"/>
      <c r="G738" s="67" t="n"/>
      <c r="J738" s="66" t="n"/>
      <c r="K738" s="67" t="n"/>
      <c r="N738" s="66" t="n"/>
      <c r="O738" s="67" t="n"/>
      <c r="R738" s="66" t="n"/>
      <c r="S738" s="67" t="n"/>
      <c r="V738" s="66" t="n"/>
      <c r="W738" s="67" t="n"/>
      <c r="Z738" s="66" t="n"/>
      <c r="AA738" s="67" t="n"/>
      <c r="AD738" s="66" t="n"/>
      <c r="AE738" s="67" t="n"/>
      <c r="AH738" s="66" t="n"/>
      <c r="AI738" s="67" t="n"/>
    </row>
    <row r="739">
      <c r="B739" s="2">
        <f>IF(STUDENTS!B738="","",STUDENTS!B738)</f>
        <v/>
      </c>
      <c r="C739" s="44">
        <f>IFERROR(IF(B739="","",_xlfn.XLOOKUP(B739,STUDENTS!$B$3:$B$1048576,STUDENTS!$C$3:$C$1048576)),"Enter a registered reg. no")</f>
        <v/>
      </c>
      <c r="D739" s="54" t="n"/>
      <c r="E739" s="55" t="n"/>
      <c r="F739" s="48" t="n"/>
      <c r="G739" s="58" t="n"/>
      <c r="H739" s="62" t="n"/>
      <c r="I739" s="63" t="n"/>
      <c r="J739" s="48" t="n"/>
      <c r="K739" s="58" t="n"/>
      <c r="L739" s="42" t="n"/>
      <c r="M739" s="42" t="n"/>
      <c r="N739" s="48" t="n"/>
      <c r="O739" s="58" t="n"/>
      <c r="P739" s="42" t="n"/>
      <c r="Q739" s="42" t="n"/>
      <c r="R739" s="48" t="n"/>
      <c r="S739" s="58" t="n"/>
      <c r="T739" s="42" t="n"/>
      <c r="U739" s="42" t="n"/>
      <c r="V739" s="48" t="n"/>
      <c r="W739" s="58" t="n"/>
      <c r="X739" s="42" t="n"/>
      <c r="Y739" s="42" t="n"/>
      <c r="Z739" s="48" t="n"/>
      <c r="AA739" s="58" t="n"/>
      <c r="AB739" s="42" t="n"/>
      <c r="AC739" s="42" t="n"/>
      <c r="AD739" s="48" t="n"/>
      <c r="AE739" s="58" t="n"/>
      <c r="AF739" s="42" t="n"/>
      <c r="AG739" s="42" t="n"/>
      <c r="AH739" s="48" t="n"/>
      <c r="AI739" s="58" t="n"/>
    </row>
    <row r="740">
      <c r="B740" s="2">
        <f>IF(STUDENTS!B739="","",STUDENTS!B739)</f>
        <v/>
      </c>
      <c r="C740" s="44">
        <f>IFERROR(IF(B740="","",_xlfn.XLOOKUP(B740,STUDENTS!$B$3:$B$1048576,STUDENTS!$C$3:$C$1048576)),"Enter a registered reg. no")</f>
        <v/>
      </c>
      <c r="F740" s="66" t="n"/>
      <c r="G740" s="67" t="n"/>
      <c r="J740" s="66" t="n"/>
      <c r="K740" s="67" t="n"/>
      <c r="N740" s="66" t="n"/>
      <c r="O740" s="67" t="n"/>
      <c r="R740" s="66" t="n"/>
      <c r="S740" s="67" t="n"/>
      <c r="V740" s="66" t="n"/>
      <c r="W740" s="67" t="n"/>
      <c r="Z740" s="66" t="n"/>
      <c r="AA740" s="67" t="n"/>
      <c r="AD740" s="66" t="n"/>
      <c r="AE740" s="67" t="n"/>
      <c r="AH740" s="66" t="n"/>
      <c r="AI740" s="67" t="n"/>
    </row>
    <row r="741">
      <c r="B741" s="2">
        <f>IF(STUDENTS!B740="","",STUDENTS!B740)</f>
        <v/>
      </c>
      <c r="C741" s="44">
        <f>IFERROR(IF(B741="","",_xlfn.XLOOKUP(B741,STUDENTS!$B$3:$B$1048576,STUDENTS!$C$3:$C$1048576)),"Enter a registered reg. no")</f>
        <v/>
      </c>
      <c r="D741" s="54" t="n"/>
      <c r="E741" s="55" t="n"/>
      <c r="F741" s="48" t="n"/>
      <c r="G741" s="58" t="n"/>
      <c r="H741" s="62" t="n"/>
      <c r="I741" s="63" t="n"/>
      <c r="J741" s="48" t="n"/>
      <c r="K741" s="58" t="n"/>
      <c r="L741" s="42" t="n"/>
      <c r="M741" s="42" t="n"/>
      <c r="N741" s="48" t="n"/>
      <c r="O741" s="58" t="n"/>
      <c r="P741" s="42" t="n"/>
      <c r="Q741" s="42" t="n"/>
      <c r="R741" s="48" t="n"/>
      <c r="S741" s="58" t="n"/>
      <c r="T741" s="42" t="n"/>
      <c r="U741" s="42" t="n"/>
      <c r="V741" s="48" t="n"/>
      <c r="W741" s="58" t="n"/>
      <c r="X741" s="42" t="n"/>
      <c r="Y741" s="42" t="n"/>
      <c r="Z741" s="48" t="n"/>
      <c r="AA741" s="58" t="n"/>
      <c r="AB741" s="42" t="n"/>
      <c r="AC741" s="42" t="n"/>
      <c r="AD741" s="48" t="n"/>
      <c r="AE741" s="58" t="n"/>
      <c r="AF741" s="42" t="n"/>
      <c r="AG741" s="42" t="n"/>
      <c r="AH741" s="48" t="n"/>
      <c r="AI741" s="58" t="n"/>
    </row>
    <row r="742">
      <c r="B742" s="2">
        <f>IF(STUDENTS!B741="","",STUDENTS!B741)</f>
        <v/>
      </c>
      <c r="C742" s="44">
        <f>IFERROR(IF(B742="","",_xlfn.XLOOKUP(B742,STUDENTS!$B$3:$B$1048576,STUDENTS!$C$3:$C$1048576)),"Enter a registered reg. no")</f>
        <v/>
      </c>
      <c r="F742" s="66" t="n"/>
      <c r="G742" s="67" t="n"/>
      <c r="J742" s="66" t="n"/>
      <c r="K742" s="67" t="n"/>
      <c r="N742" s="66" t="n"/>
      <c r="O742" s="67" t="n"/>
      <c r="R742" s="66" t="n"/>
      <c r="S742" s="67" t="n"/>
      <c r="V742" s="66" t="n"/>
      <c r="W742" s="67" t="n"/>
      <c r="Z742" s="66" t="n"/>
      <c r="AA742" s="67" t="n"/>
      <c r="AD742" s="66" t="n"/>
      <c r="AE742" s="67" t="n"/>
      <c r="AH742" s="66" t="n"/>
      <c r="AI742" s="67" t="n"/>
    </row>
    <row r="743">
      <c r="B743" s="2">
        <f>IF(STUDENTS!B742="","",STUDENTS!B742)</f>
        <v/>
      </c>
      <c r="C743" s="44">
        <f>IFERROR(IF(B743="","",_xlfn.XLOOKUP(B743,STUDENTS!$B$3:$B$1048576,STUDENTS!$C$3:$C$1048576)),"Enter a registered reg. no")</f>
        <v/>
      </c>
      <c r="D743" s="54" t="n"/>
      <c r="E743" s="55" t="n"/>
      <c r="F743" s="48" t="n"/>
      <c r="G743" s="58" t="n"/>
      <c r="H743" s="62" t="n"/>
      <c r="I743" s="63" t="n"/>
      <c r="J743" s="48" t="n"/>
      <c r="K743" s="58" t="n"/>
      <c r="L743" s="42" t="n"/>
      <c r="M743" s="42" t="n"/>
      <c r="N743" s="48" t="n"/>
      <c r="O743" s="58" t="n"/>
      <c r="P743" s="42" t="n"/>
      <c r="Q743" s="42" t="n"/>
      <c r="R743" s="48" t="n"/>
      <c r="S743" s="58" t="n"/>
      <c r="T743" s="42" t="n"/>
      <c r="U743" s="42" t="n"/>
      <c r="V743" s="48" t="n"/>
      <c r="W743" s="58" t="n"/>
      <c r="X743" s="42" t="n"/>
      <c r="Y743" s="42" t="n"/>
      <c r="Z743" s="48" t="n"/>
      <c r="AA743" s="58" t="n"/>
      <c r="AB743" s="42" t="n"/>
      <c r="AC743" s="42" t="n"/>
      <c r="AD743" s="48" t="n"/>
      <c r="AE743" s="58" t="n"/>
      <c r="AF743" s="42" t="n"/>
      <c r="AG743" s="42" t="n"/>
      <c r="AH743" s="48" t="n"/>
      <c r="AI743" s="58" t="n"/>
    </row>
    <row r="744">
      <c r="B744" s="2">
        <f>IF(STUDENTS!B743="","",STUDENTS!B743)</f>
        <v/>
      </c>
      <c r="C744" s="44">
        <f>IFERROR(IF(B744="","",_xlfn.XLOOKUP(B744,STUDENTS!$B$3:$B$1048576,STUDENTS!$C$3:$C$1048576)),"Enter a registered reg. no")</f>
        <v/>
      </c>
      <c r="F744" s="66" t="n"/>
      <c r="G744" s="67" t="n"/>
      <c r="J744" s="66" t="n"/>
      <c r="K744" s="67" t="n"/>
      <c r="N744" s="66" t="n"/>
      <c r="O744" s="67" t="n"/>
      <c r="R744" s="66" t="n"/>
      <c r="S744" s="67" t="n"/>
      <c r="V744" s="66" t="n"/>
      <c r="W744" s="67" t="n"/>
      <c r="Z744" s="66" t="n"/>
      <c r="AA744" s="67" t="n"/>
      <c r="AD744" s="66" t="n"/>
      <c r="AE744" s="67" t="n"/>
      <c r="AH744" s="66" t="n"/>
      <c r="AI744" s="67" t="n"/>
    </row>
    <row r="745">
      <c r="B745" s="2">
        <f>IF(STUDENTS!B744="","",STUDENTS!B744)</f>
        <v/>
      </c>
      <c r="C745" s="44">
        <f>IFERROR(IF(B745="","",_xlfn.XLOOKUP(B745,STUDENTS!$B$3:$B$1048576,STUDENTS!$C$3:$C$1048576)),"Enter a registered reg. no")</f>
        <v/>
      </c>
      <c r="D745" s="54" t="n"/>
      <c r="E745" s="55" t="n"/>
      <c r="F745" s="48" t="n"/>
      <c r="G745" s="58" t="n"/>
      <c r="H745" s="62" t="n"/>
      <c r="I745" s="63" t="n"/>
      <c r="J745" s="48" t="n"/>
      <c r="K745" s="58" t="n"/>
      <c r="L745" s="42" t="n"/>
      <c r="M745" s="42" t="n"/>
      <c r="N745" s="48" t="n"/>
      <c r="O745" s="58" t="n"/>
      <c r="P745" s="42" t="n"/>
      <c r="Q745" s="42" t="n"/>
      <c r="R745" s="48" t="n"/>
      <c r="S745" s="58" t="n"/>
      <c r="T745" s="42" t="n"/>
      <c r="U745" s="42" t="n"/>
      <c r="V745" s="48" t="n"/>
      <c r="W745" s="58" t="n"/>
      <c r="X745" s="42" t="n"/>
      <c r="Y745" s="42" t="n"/>
      <c r="Z745" s="48" t="n"/>
      <c r="AA745" s="58" t="n"/>
      <c r="AB745" s="42" t="n"/>
      <c r="AC745" s="42" t="n"/>
      <c r="AD745" s="48" t="n"/>
      <c r="AE745" s="58" t="n"/>
      <c r="AF745" s="42" t="n"/>
      <c r="AG745" s="42" t="n"/>
      <c r="AH745" s="48" t="n"/>
      <c r="AI745" s="58" t="n"/>
    </row>
    <row r="746">
      <c r="B746" s="2">
        <f>IF(STUDENTS!B745="","",STUDENTS!B745)</f>
        <v/>
      </c>
      <c r="C746" s="44">
        <f>IFERROR(IF(B746="","",_xlfn.XLOOKUP(B746,STUDENTS!$B$3:$B$1048576,STUDENTS!$C$3:$C$1048576)),"Enter a registered reg. no")</f>
        <v/>
      </c>
      <c r="F746" s="66" t="n"/>
      <c r="G746" s="67" t="n"/>
      <c r="J746" s="66" t="n"/>
      <c r="K746" s="67" t="n"/>
      <c r="N746" s="66" t="n"/>
      <c r="O746" s="67" t="n"/>
      <c r="R746" s="66" t="n"/>
      <c r="S746" s="67" t="n"/>
      <c r="V746" s="66" t="n"/>
      <c r="W746" s="67" t="n"/>
      <c r="Z746" s="66" t="n"/>
      <c r="AA746" s="67" t="n"/>
      <c r="AD746" s="66" t="n"/>
      <c r="AE746" s="67" t="n"/>
      <c r="AH746" s="66" t="n"/>
      <c r="AI746" s="67" t="n"/>
    </row>
    <row r="747">
      <c r="B747" s="2">
        <f>IF(STUDENTS!B746="","",STUDENTS!B746)</f>
        <v/>
      </c>
      <c r="C747" s="44">
        <f>IFERROR(IF(B747="","",_xlfn.XLOOKUP(B747,STUDENTS!$B$3:$B$1048576,STUDENTS!$C$3:$C$1048576)),"Enter a registered reg. no")</f>
        <v/>
      </c>
      <c r="D747" s="54" t="n"/>
      <c r="E747" s="55" t="n"/>
      <c r="F747" s="48" t="n"/>
      <c r="G747" s="58" t="n"/>
      <c r="H747" s="62" t="n"/>
      <c r="I747" s="63" t="n"/>
      <c r="J747" s="48" t="n"/>
      <c r="K747" s="58" t="n"/>
      <c r="L747" s="42" t="n"/>
      <c r="M747" s="42" t="n"/>
      <c r="N747" s="48" t="n"/>
      <c r="O747" s="58" t="n"/>
      <c r="P747" s="42" t="n"/>
      <c r="Q747" s="42" t="n"/>
      <c r="R747" s="48" t="n"/>
      <c r="S747" s="58" t="n"/>
      <c r="T747" s="42" t="n"/>
      <c r="U747" s="42" t="n"/>
      <c r="V747" s="48" t="n"/>
      <c r="W747" s="58" t="n"/>
      <c r="X747" s="42" t="n"/>
      <c r="Y747" s="42" t="n"/>
      <c r="Z747" s="48" t="n"/>
      <c r="AA747" s="58" t="n"/>
      <c r="AB747" s="42" t="n"/>
      <c r="AC747" s="42" t="n"/>
      <c r="AD747" s="48" t="n"/>
      <c r="AE747" s="58" t="n"/>
      <c r="AF747" s="42" t="n"/>
      <c r="AG747" s="42" t="n"/>
      <c r="AH747" s="48" t="n"/>
      <c r="AI747" s="58" t="n"/>
    </row>
    <row r="748">
      <c r="B748" s="2">
        <f>IF(STUDENTS!B747="","",STUDENTS!B747)</f>
        <v/>
      </c>
      <c r="C748" s="44">
        <f>IFERROR(IF(B748="","",_xlfn.XLOOKUP(B748,STUDENTS!$B$3:$B$1048576,STUDENTS!$C$3:$C$1048576)),"Enter a registered reg. no")</f>
        <v/>
      </c>
      <c r="F748" s="66" t="n"/>
      <c r="G748" s="67" t="n"/>
      <c r="J748" s="66" t="n"/>
      <c r="K748" s="67" t="n"/>
      <c r="N748" s="66" t="n"/>
      <c r="O748" s="67" t="n"/>
      <c r="R748" s="66" t="n"/>
      <c r="S748" s="67" t="n"/>
      <c r="V748" s="66" t="n"/>
      <c r="W748" s="67" t="n"/>
      <c r="Z748" s="66" t="n"/>
      <c r="AA748" s="67" t="n"/>
      <c r="AD748" s="66" t="n"/>
      <c r="AE748" s="67" t="n"/>
      <c r="AH748" s="66" t="n"/>
      <c r="AI748" s="67" t="n"/>
    </row>
    <row r="749">
      <c r="B749" s="2">
        <f>IF(STUDENTS!B748="","",STUDENTS!B748)</f>
        <v/>
      </c>
      <c r="C749" s="44">
        <f>IFERROR(IF(B749="","",_xlfn.XLOOKUP(B749,STUDENTS!$B$3:$B$1048576,STUDENTS!$C$3:$C$1048576)),"Enter a registered reg. no")</f>
        <v/>
      </c>
      <c r="D749" s="54" t="n"/>
      <c r="E749" s="55" t="n"/>
      <c r="F749" s="48" t="n"/>
      <c r="G749" s="58" t="n"/>
      <c r="H749" s="62" t="n"/>
      <c r="I749" s="63" t="n"/>
      <c r="J749" s="48" t="n"/>
      <c r="K749" s="58" t="n"/>
      <c r="L749" s="42" t="n"/>
      <c r="M749" s="42" t="n"/>
      <c r="N749" s="48" t="n"/>
      <c r="O749" s="58" t="n"/>
      <c r="P749" s="42" t="n"/>
      <c r="Q749" s="42" t="n"/>
      <c r="R749" s="48" t="n"/>
      <c r="S749" s="58" t="n"/>
      <c r="T749" s="42" t="n"/>
      <c r="U749" s="42" t="n"/>
      <c r="V749" s="48" t="n"/>
      <c r="W749" s="58" t="n"/>
      <c r="X749" s="42" t="n"/>
      <c r="Y749" s="42" t="n"/>
      <c r="Z749" s="48" t="n"/>
      <c r="AA749" s="58" t="n"/>
      <c r="AB749" s="42" t="n"/>
      <c r="AC749" s="42" t="n"/>
      <c r="AD749" s="48" t="n"/>
      <c r="AE749" s="58" t="n"/>
      <c r="AF749" s="42" t="n"/>
      <c r="AG749" s="42" t="n"/>
      <c r="AH749" s="48" t="n"/>
      <c r="AI749" s="58" t="n"/>
    </row>
    <row r="750">
      <c r="B750" s="2">
        <f>IF(STUDENTS!B749="","",STUDENTS!B749)</f>
        <v/>
      </c>
      <c r="C750" s="44">
        <f>IFERROR(IF(B750="","",_xlfn.XLOOKUP(B750,STUDENTS!$B$3:$B$1048576,STUDENTS!$C$3:$C$1048576)),"Enter a registered reg. no")</f>
        <v/>
      </c>
      <c r="F750" s="66" t="n"/>
      <c r="G750" s="67" t="n"/>
      <c r="J750" s="66" t="n"/>
      <c r="K750" s="67" t="n"/>
      <c r="N750" s="66" t="n"/>
      <c r="O750" s="67" t="n"/>
      <c r="R750" s="66" t="n"/>
      <c r="S750" s="67" t="n"/>
      <c r="V750" s="66" t="n"/>
      <c r="W750" s="67" t="n"/>
      <c r="Z750" s="66" t="n"/>
      <c r="AA750" s="67" t="n"/>
      <c r="AD750" s="66" t="n"/>
      <c r="AE750" s="67" t="n"/>
      <c r="AH750" s="66" t="n"/>
      <c r="AI750" s="67" t="n"/>
    </row>
    <row r="751">
      <c r="B751" s="2">
        <f>IF(STUDENTS!B750="","",STUDENTS!B750)</f>
        <v/>
      </c>
      <c r="C751" s="44">
        <f>IFERROR(IF(B751="","",_xlfn.XLOOKUP(B751,STUDENTS!$B$3:$B$1048576,STUDENTS!$C$3:$C$1048576)),"Enter a registered reg. no")</f>
        <v/>
      </c>
      <c r="D751" s="54" t="n"/>
      <c r="E751" s="55" t="n"/>
      <c r="F751" s="48" t="n"/>
      <c r="G751" s="58" t="n"/>
      <c r="H751" s="62" t="n"/>
      <c r="I751" s="63" t="n"/>
      <c r="J751" s="48" t="n"/>
      <c r="K751" s="58" t="n"/>
      <c r="L751" s="42" t="n"/>
      <c r="M751" s="42" t="n"/>
      <c r="N751" s="48" t="n"/>
      <c r="O751" s="58" t="n"/>
      <c r="P751" s="42" t="n"/>
      <c r="Q751" s="42" t="n"/>
      <c r="R751" s="48" t="n"/>
      <c r="S751" s="58" t="n"/>
      <c r="T751" s="42" t="n"/>
      <c r="U751" s="42" t="n"/>
      <c r="V751" s="48" t="n"/>
      <c r="W751" s="58" t="n"/>
      <c r="X751" s="42" t="n"/>
      <c r="Y751" s="42" t="n"/>
      <c r="Z751" s="48" t="n"/>
      <c r="AA751" s="58" t="n"/>
      <c r="AB751" s="42" t="n"/>
      <c r="AC751" s="42" t="n"/>
      <c r="AD751" s="48" t="n"/>
      <c r="AE751" s="58" t="n"/>
      <c r="AF751" s="42" t="n"/>
      <c r="AG751" s="42" t="n"/>
      <c r="AH751" s="48" t="n"/>
      <c r="AI751" s="58" t="n"/>
    </row>
    <row r="752">
      <c r="B752" s="2">
        <f>IF(STUDENTS!B751="","",STUDENTS!B751)</f>
        <v/>
      </c>
      <c r="C752" s="44">
        <f>IFERROR(IF(B752="","",_xlfn.XLOOKUP(B752,STUDENTS!$B$3:$B$1048576,STUDENTS!$C$3:$C$1048576)),"Enter a registered reg. no")</f>
        <v/>
      </c>
      <c r="F752" s="66" t="n"/>
      <c r="G752" s="67" t="n"/>
      <c r="J752" s="66" t="n"/>
      <c r="K752" s="67" t="n"/>
      <c r="N752" s="66" t="n"/>
      <c r="O752" s="67" t="n"/>
      <c r="R752" s="66" t="n"/>
      <c r="S752" s="67" t="n"/>
      <c r="V752" s="66" t="n"/>
      <c r="W752" s="67" t="n"/>
      <c r="Z752" s="66" t="n"/>
      <c r="AA752" s="67" t="n"/>
      <c r="AD752" s="66" t="n"/>
      <c r="AE752" s="67" t="n"/>
      <c r="AH752" s="66" t="n"/>
      <c r="AI752" s="67" t="n"/>
    </row>
    <row r="753">
      <c r="B753" s="2">
        <f>IF(STUDENTS!B752="","",STUDENTS!B752)</f>
        <v/>
      </c>
      <c r="C753" s="44">
        <f>IFERROR(IF(B753="","",_xlfn.XLOOKUP(B753,STUDENTS!$B$3:$B$1048576,STUDENTS!$C$3:$C$1048576)),"Enter a registered reg. no")</f>
        <v/>
      </c>
      <c r="D753" s="54" t="n"/>
      <c r="E753" s="55" t="n"/>
      <c r="F753" s="48" t="n"/>
      <c r="G753" s="58" t="n"/>
      <c r="H753" s="62" t="n"/>
      <c r="I753" s="63" t="n"/>
      <c r="J753" s="48" t="n"/>
      <c r="K753" s="58" t="n"/>
      <c r="L753" s="42" t="n"/>
      <c r="M753" s="42" t="n"/>
      <c r="N753" s="48" t="n"/>
      <c r="O753" s="58" t="n"/>
      <c r="P753" s="42" t="n"/>
      <c r="Q753" s="42" t="n"/>
      <c r="R753" s="48" t="n"/>
      <c r="S753" s="58" t="n"/>
      <c r="T753" s="42" t="n"/>
      <c r="U753" s="42" t="n"/>
      <c r="V753" s="48" t="n"/>
      <c r="W753" s="58" t="n"/>
      <c r="X753" s="42" t="n"/>
      <c r="Y753" s="42" t="n"/>
      <c r="Z753" s="48" t="n"/>
      <c r="AA753" s="58" t="n"/>
      <c r="AB753" s="42" t="n"/>
      <c r="AC753" s="42" t="n"/>
      <c r="AD753" s="48" t="n"/>
      <c r="AE753" s="58" t="n"/>
      <c r="AF753" s="42" t="n"/>
      <c r="AG753" s="42" t="n"/>
      <c r="AH753" s="48" t="n"/>
      <c r="AI753" s="58" t="n"/>
    </row>
    <row r="754">
      <c r="B754" s="2">
        <f>IF(STUDENTS!B753="","",STUDENTS!B753)</f>
        <v/>
      </c>
      <c r="C754" s="44">
        <f>IFERROR(IF(B754="","",_xlfn.XLOOKUP(B754,STUDENTS!$B$3:$B$1048576,STUDENTS!$C$3:$C$1048576)),"Enter a registered reg. no")</f>
        <v/>
      </c>
      <c r="F754" s="66" t="n"/>
      <c r="G754" s="67" t="n"/>
      <c r="J754" s="66" t="n"/>
      <c r="K754" s="67" t="n"/>
      <c r="N754" s="66" t="n"/>
      <c r="O754" s="67" t="n"/>
      <c r="R754" s="66" t="n"/>
      <c r="S754" s="67" t="n"/>
      <c r="V754" s="66" t="n"/>
      <c r="W754" s="67" t="n"/>
      <c r="Z754" s="66" t="n"/>
      <c r="AA754" s="67" t="n"/>
      <c r="AD754" s="66" t="n"/>
      <c r="AE754" s="67" t="n"/>
      <c r="AH754" s="66" t="n"/>
      <c r="AI754" s="67" t="n"/>
    </row>
    <row r="755">
      <c r="B755" s="2">
        <f>IF(STUDENTS!B754="","",STUDENTS!B754)</f>
        <v/>
      </c>
      <c r="C755" s="44">
        <f>IFERROR(IF(B755="","",_xlfn.XLOOKUP(B755,STUDENTS!$B$3:$B$1048576,STUDENTS!$C$3:$C$1048576)),"Enter a registered reg. no")</f>
        <v/>
      </c>
      <c r="D755" s="54" t="n"/>
      <c r="E755" s="55" t="n"/>
      <c r="F755" s="48" t="n"/>
      <c r="G755" s="58" t="n"/>
      <c r="H755" s="62" t="n"/>
      <c r="I755" s="63" t="n"/>
      <c r="J755" s="48" t="n"/>
      <c r="K755" s="58" t="n"/>
      <c r="L755" s="42" t="n"/>
      <c r="M755" s="42" t="n"/>
      <c r="N755" s="48" t="n"/>
      <c r="O755" s="58" t="n"/>
      <c r="P755" s="42" t="n"/>
      <c r="Q755" s="42" t="n"/>
      <c r="R755" s="48" t="n"/>
      <c r="S755" s="58" t="n"/>
      <c r="T755" s="42" t="n"/>
      <c r="U755" s="42" t="n"/>
      <c r="V755" s="48" t="n"/>
      <c r="W755" s="58" t="n"/>
      <c r="X755" s="42" t="n"/>
      <c r="Y755" s="42" t="n"/>
      <c r="Z755" s="48" t="n"/>
      <c r="AA755" s="58" t="n"/>
      <c r="AB755" s="42" t="n"/>
      <c r="AC755" s="42" t="n"/>
      <c r="AD755" s="48" t="n"/>
      <c r="AE755" s="58" t="n"/>
      <c r="AF755" s="42" t="n"/>
      <c r="AG755" s="42" t="n"/>
      <c r="AH755" s="48" t="n"/>
      <c r="AI755" s="58" t="n"/>
    </row>
    <row r="756">
      <c r="B756" s="2">
        <f>IF(STUDENTS!B755="","",STUDENTS!B755)</f>
        <v/>
      </c>
      <c r="C756" s="44">
        <f>IFERROR(IF(B756="","",_xlfn.XLOOKUP(B756,STUDENTS!$B$3:$B$1048576,STUDENTS!$C$3:$C$1048576)),"Enter a registered reg. no")</f>
        <v/>
      </c>
      <c r="F756" s="66" t="n"/>
      <c r="G756" s="67" t="n"/>
      <c r="J756" s="66" t="n"/>
      <c r="K756" s="67" t="n"/>
      <c r="N756" s="66" t="n"/>
      <c r="O756" s="67" t="n"/>
      <c r="R756" s="66" t="n"/>
      <c r="S756" s="67" t="n"/>
      <c r="V756" s="66" t="n"/>
      <c r="W756" s="67" t="n"/>
      <c r="Z756" s="66" t="n"/>
      <c r="AA756" s="67" t="n"/>
      <c r="AD756" s="66" t="n"/>
      <c r="AE756" s="67" t="n"/>
      <c r="AH756" s="66" t="n"/>
      <c r="AI756" s="67" t="n"/>
    </row>
    <row r="757">
      <c r="B757" s="2">
        <f>IF(STUDENTS!B756="","",STUDENTS!B756)</f>
        <v/>
      </c>
      <c r="C757" s="44">
        <f>IFERROR(IF(B757="","",_xlfn.XLOOKUP(B757,STUDENTS!$B$3:$B$1048576,STUDENTS!$C$3:$C$1048576)),"Enter a registered reg. no")</f>
        <v/>
      </c>
      <c r="D757" s="54" t="n"/>
      <c r="E757" s="55" t="n"/>
      <c r="F757" s="48" t="n"/>
      <c r="G757" s="58" t="n"/>
      <c r="H757" s="62" t="n"/>
      <c r="I757" s="63" t="n"/>
      <c r="J757" s="48" t="n"/>
      <c r="K757" s="58" t="n"/>
      <c r="L757" s="42" t="n"/>
      <c r="M757" s="42" t="n"/>
      <c r="N757" s="48" t="n"/>
      <c r="O757" s="58" t="n"/>
      <c r="P757" s="42" t="n"/>
      <c r="Q757" s="42" t="n"/>
      <c r="R757" s="48" t="n"/>
      <c r="S757" s="58" t="n"/>
      <c r="T757" s="42" t="n"/>
      <c r="U757" s="42" t="n"/>
      <c r="V757" s="48" t="n"/>
      <c r="W757" s="58" t="n"/>
      <c r="X757" s="42" t="n"/>
      <c r="Y757" s="42" t="n"/>
      <c r="Z757" s="48" t="n"/>
      <c r="AA757" s="58" t="n"/>
      <c r="AB757" s="42" t="n"/>
      <c r="AC757" s="42" t="n"/>
      <c r="AD757" s="48" t="n"/>
      <c r="AE757" s="58" t="n"/>
      <c r="AF757" s="42" t="n"/>
      <c r="AG757" s="42" t="n"/>
      <c r="AH757" s="48" t="n"/>
      <c r="AI757" s="58" t="n"/>
    </row>
    <row r="758">
      <c r="B758" s="2">
        <f>IF(STUDENTS!B757="","",STUDENTS!B757)</f>
        <v/>
      </c>
      <c r="C758" s="44">
        <f>IFERROR(IF(B758="","",_xlfn.XLOOKUP(B758,STUDENTS!$B$3:$B$1048576,STUDENTS!$C$3:$C$1048576)),"Enter a registered reg. no")</f>
        <v/>
      </c>
      <c r="F758" s="66" t="n"/>
      <c r="G758" s="67" t="n"/>
      <c r="J758" s="66" t="n"/>
      <c r="K758" s="67" t="n"/>
      <c r="N758" s="66" t="n"/>
      <c r="O758" s="67" t="n"/>
      <c r="R758" s="66" t="n"/>
      <c r="S758" s="67" t="n"/>
      <c r="V758" s="66" t="n"/>
      <c r="W758" s="67" t="n"/>
      <c r="Z758" s="66" t="n"/>
      <c r="AA758" s="67" t="n"/>
      <c r="AD758" s="66" t="n"/>
      <c r="AE758" s="67" t="n"/>
      <c r="AH758" s="66" t="n"/>
      <c r="AI758" s="67" t="n"/>
    </row>
    <row r="759">
      <c r="B759" s="2">
        <f>IF(STUDENTS!B758="","",STUDENTS!B758)</f>
        <v/>
      </c>
      <c r="C759" s="44">
        <f>IFERROR(IF(B759="","",_xlfn.XLOOKUP(B759,STUDENTS!$B$3:$B$1048576,STUDENTS!$C$3:$C$1048576)),"Enter a registered reg. no")</f>
        <v/>
      </c>
      <c r="D759" s="54" t="n"/>
      <c r="E759" s="55" t="n"/>
      <c r="F759" s="48" t="n"/>
      <c r="G759" s="58" t="n"/>
      <c r="H759" s="62" t="n"/>
      <c r="I759" s="63" t="n"/>
      <c r="J759" s="48" t="n"/>
      <c r="K759" s="58" t="n"/>
      <c r="L759" s="42" t="n"/>
      <c r="M759" s="42" t="n"/>
      <c r="N759" s="48" t="n"/>
      <c r="O759" s="58" t="n"/>
      <c r="P759" s="42" t="n"/>
      <c r="Q759" s="42" t="n"/>
      <c r="R759" s="48" t="n"/>
      <c r="S759" s="58" t="n"/>
      <c r="T759" s="42" t="n"/>
      <c r="U759" s="42" t="n"/>
      <c r="V759" s="48" t="n"/>
      <c r="W759" s="58" t="n"/>
      <c r="X759" s="42" t="n"/>
      <c r="Y759" s="42" t="n"/>
      <c r="Z759" s="48" t="n"/>
      <c r="AA759" s="58" t="n"/>
      <c r="AB759" s="42" t="n"/>
      <c r="AC759" s="42" t="n"/>
      <c r="AD759" s="48" t="n"/>
      <c r="AE759" s="58" t="n"/>
      <c r="AF759" s="42" t="n"/>
      <c r="AG759" s="42" t="n"/>
      <c r="AH759" s="48" t="n"/>
      <c r="AI759" s="58" t="n"/>
    </row>
    <row r="760">
      <c r="B760" s="2">
        <f>IF(STUDENTS!B759="","",STUDENTS!B759)</f>
        <v/>
      </c>
      <c r="C760" s="44">
        <f>IFERROR(IF(B760="","",_xlfn.XLOOKUP(B760,STUDENTS!$B$3:$B$1048576,STUDENTS!$C$3:$C$1048576)),"Enter a registered reg. no")</f>
        <v/>
      </c>
      <c r="F760" s="66" t="n"/>
      <c r="G760" s="67" t="n"/>
      <c r="J760" s="66" t="n"/>
      <c r="K760" s="67" t="n"/>
      <c r="N760" s="66" t="n"/>
      <c r="O760" s="67" t="n"/>
      <c r="R760" s="66" t="n"/>
      <c r="S760" s="67" t="n"/>
      <c r="V760" s="66" t="n"/>
      <c r="W760" s="67" t="n"/>
      <c r="Z760" s="66" t="n"/>
      <c r="AA760" s="67" t="n"/>
      <c r="AD760" s="66" t="n"/>
      <c r="AE760" s="67" t="n"/>
      <c r="AH760" s="66" t="n"/>
      <c r="AI760" s="67" t="n"/>
    </row>
    <row r="761">
      <c r="B761" s="2">
        <f>IF(STUDENTS!B760="","",STUDENTS!B760)</f>
        <v/>
      </c>
      <c r="C761" s="44">
        <f>IFERROR(IF(B761="","",_xlfn.XLOOKUP(B761,STUDENTS!$B$3:$B$1048576,STUDENTS!$C$3:$C$1048576)),"Enter a registered reg. no")</f>
        <v/>
      </c>
      <c r="D761" s="54" t="n"/>
      <c r="E761" s="55" t="n"/>
      <c r="F761" s="48" t="n"/>
      <c r="G761" s="58" t="n"/>
      <c r="H761" s="62" t="n"/>
      <c r="I761" s="63" t="n"/>
      <c r="J761" s="48" t="n"/>
      <c r="K761" s="58" t="n"/>
      <c r="L761" s="42" t="n"/>
      <c r="M761" s="42" t="n"/>
      <c r="N761" s="48" t="n"/>
      <c r="O761" s="58" t="n"/>
      <c r="P761" s="42" t="n"/>
      <c r="Q761" s="42" t="n"/>
      <c r="R761" s="48" t="n"/>
      <c r="S761" s="58" t="n"/>
      <c r="T761" s="42" t="n"/>
      <c r="U761" s="42" t="n"/>
      <c r="V761" s="48" t="n"/>
      <c r="W761" s="58" t="n"/>
      <c r="X761" s="42" t="n"/>
      <c r="Y761" s="42" t="n"/>
      <c r="Z761" s="48" t="n"/>
      <c r="AA761" s="58" t="n"/>
      <c r="AB761" s="42" t="n"/>
      <c r="AC761" s="42" t="n"/>
      <c r="AD761" s="48" t="n"/>
      <c r="AE761" s="58" t="n"/>
      <c r="AF761" s="42" t="n"/>
      <c r="AG761" s="42" t="n"/>
      <c r="AH761" s="48" t="n"/>
      <c r="AI761" s="58" t="n"/>
    </row>
    <row r="762">
      <c r="B762" s="2">
        <f>IF(STUDENTS!B761="","",STUDENTS!B761)</f>
        <v/>
      </c>
      <c r="C762" s="44">
        <f>IFERROR(IF(B762="","",_xlfn.XLOOKUP(B762,STUDENTS!$B$3:$B$1048576,STUDENTS!$C$3:$C$1048576)),"Enter a registered reg. no")</f>
        <v/>
      </c>
      <c r="F762" s="66" t="n"/>
      <c r="G762" s="67" t="n"/>
      <c r="J762" s="66" t="n"/>
      <c r="K762" s="67" t="n"/>
      <c r="N762" s="66" t="n"/>
      <c r="O762" s="67" t="n"/>
      <c r="R762" s="66" t="n"/>
      <c r="S762" s="67" t="n"/>
      <c r="V762" s="66" t="n"/>
      <c r="W762" s="67" t="n"/>
      <c r="Z762" s="66" t="n"/>
      <c r="AA762" s="67" t="n"/>
      <c r="AD762" s="66" t="n"/>
      <c r="AE762" s="67" t="n"/>
      <c r="AH762" s="66" t="n"/>
      <c r="AI762" s="67" t="n"/>
    </row>
    <row r="763">
      <c r="B763" s="2">
        <f>IF(STUDENTS!B762="","",STUDENTS!B762)</f>
        <v/>
      </c>
      <c r="C763" s="44">
        <f>IFERROR(IF(B763="","",_xlfn.XLOOKUP(B763,STUDENTS!$B$3:$B$1048576,STUDENTS!$C$3:$C$1048576)),"Enter a registered reg. no")</f>
        <v/>
      </c>
      <c r="D763" s="54" t="n"/>
      <c r="E763" s="55" t="n"/>
      <c r="F763" s="48" t="n"/>
      <c r="G763" s="58" t="n"/>
      <c r="H763" s="62" t="n"/>
      <c r="I763" s="63" t="n"/>
      <c r="J763" s="48" t="n"/>
      <c r="K763" s="58" t="n"/>
      <c r="L763" s="42" t="n"/>
      <c r="M763" s="42" t="n"/>
      <c r="N763" s="48" t="n"/>
      <c r="O763" s="58" t="n"/>
      <c r="P763" s="42" t="n"/>
      <c r="Q763" s="42" t="n"/>
      <c r="R763" s="48" t="n"/>
      <c r="S763" s="58" t="n"/>
      <c r="T763" s="42" t="n"/>
      <c r="U763" s="42" t="n"/>
      <c r="V763" s="48" t="n"/>
      <c r="W763" s="58" t="n"/>
      <c r="X763" s="42" t="n"/>
      <c r="Y763" s="42" t="n"/>
      <c r="Z763" s="48" t="n"/>
      <c r="AA763" s="58" t="n"/>
      <c r="AB763" s="42" t="n"/>
      <c r="AC763" s="42" t="n"/>
      <c r="AD763" s="48" t="n"/>
      <c r="AE763" s="58" t="n"/>
      <c r="AF763" s="42" t="n"/>
      <c r="AG763" s="42" t="n"/>
      <c r="AH763" s="48" t="n"/>
      <c r="AI763" s="58" t="n"/>
    </row>
    <row r="764">
      <c r="B764" s="2">
        <f>IF(STUDENTS!B763="","",STUDENTS!B763)</f>
        <v/>
      </c>
      <c r="C764" s="44">
        <f>IFERROR(IF(B764="","",_xlfn.XLOOKUP(B764,STUDENTS!$B$3:$B$1048576,STUDENTS!$C$3:$C$1048576)),"Enter a registered reg. no")</f>
        <v/>
      </c>
      <c r="F764" s="66" t="n"/>
      <c r="G764" s="67" t="n"/>
      <c r="J764" s="66" t="n"/>
      <c r="K764" s="67" t="n"/>
      <c r="N764" s="66" t="n"/>
      <c r="O764" s="67" t="n"/>
      <c r="R764" s="66" t="n"/>
      <c r="S764" s="67" t="n"/>
      <c r="V764" s="66" t="n"/>
      <c r="W764" s="67" t="n"/>
      <c r="Z764" s="66" t="n"/>
      <c r="AA764" s="67" t="n"/>
      <c r="AD764" s="66" t="n"/>
      <c r="AE764" s="67" t="n"/>
      <c r="AH764" s="66" t="n"/>
      <c r="AI764" s="67" t="n"/>
    </row>
    <row r="765">
      <c r="B765" s="2">
        <f>IF(STUDENTS!B764="","",STUDENTS!B764)</f>
        <v/>
      </c>
      <c r="C765" s="44">
        <f>IFERROR(IF(B765="","",_xlfn.XLOOKUP(B765,STUDENTS!$B$3:$B$1048576,STUDENTS!$C$3:$C$1048576)),"Enter a registered reg. no")</f>
        <v/>
      </c>
      <c r="D765" s="54" t="n"/>
      <c r="E765" s="55" t="n"/>
      <c r="F765" s="48" t="n"/>
      <c r="G765" s="58" t="n"/>
      <c r="H765" s="62" t="n"/>
      <c r="I765" s="63" t="n"/>
      <c r="J765" s="48" t="n"/>
      <c r="K765" s="58" t="n"/>
      <c r="L765" s="42" t="n"/>
      <c r="M765" s="42" t="n"/>
      <c r="N765" s="48" t="n"/>
      <c r="O765" s="58" t="n"/>
      <c r="P765" s="42" t="n"/>
      <c r="Q765" s="42" t="n"/>
      <c r="R765" s="48" t="n"/>
      <c r="S765" s="58" t="n"/>
      <c r="T765" s="42" t="n"/>
      <c r="U765" s="42" t="n"/>
      <c r="V765" s="48" t="n"/>
      <c r="W765" s="58" t="n"/>
      <c r="X765" s="42" t="n"/>
      <c r="Y765" s="42" t="n"/>
      <c r="Z765" s="48" t="n"/>
      <c r="AA765" s="58" t="n"/>
      <c r="AB765" s="42" t="n"/>
      <c r="AC765" s="42" t="n"/>
      <c r="AD765" s="48" t="n"/>
      <c r="AE765" s="58" t="n"/>
      <c r="AF765" s="42" t="n"/>
      <c r="AG765" s="42" t="n"/>
      <c r="AH765" s="48" t="n"/>
      <c r="AI765" s="58" t="n"/>
    </row>
    <row r="766">
      <c r="B766" s="2">
        <f>IF(STUDENTS!B765="","",STUDENTS!B765)</f>
        <v/>
      </c>
      <c r="C766" s="44">
        <f>IFERROR(IF(B766="","",_xlfn.XLOOKUP(B766,STUDENTS!$B$3:$B$1048576,STUDENTS!$C$3:$C$1048576)),"Enter a registered reg. no")</f>
        <v/>
      </c>
      <c r="F766" s="66" t="n"/>
      <c r="G766" s="67" t="n"/>
      <c r="J766" s="66" t="n"/>
      <c r="K766" s="67" t="n"/>
      <c r="N766" s="66" t="n"/>
      <c r="O766" s="67" t="n"/>
      <c r="R766" s="66" t="n"/>
      <c r="S766" s="67" t="n"/>
      <c r="V766" s="66" t="n"/>
      <c r="W766" s="67" t="n"/>
      <c r="Z766" s="66" t="n"/>
      <c r="AA766" s="67" t="n"/>
      <c r="AD766" s="66" t="n"/>
      <c r="AE766" s="67" t="n"/>
      <c r="AH766" s="66" t="n"/>
      <c r="AI766" s="67" t="n"/>
    </row>
    <row r="767">
      <c r="B767" s="2">
        <f>IF(STUDENTS!B766="","",STUDENTS!B766)</f>
        <v/>
      </c>
      <c r="C767" s="44">
        <f>IFERROR(IF(B767="","",_xlfn.XLOOKUP(B767,STUDENTS!$B$3:$B$1048576,STUDENTS!$C$3:$C$1048576)),"Enter a registered reg. no")</f>
        <v/>
      </c>
      <c r="D767" s="54" t="n"/>
      <c r="E767" s="55" t="n"/>
      <c r="F767" s="48" t="n"/>
      <c r="G767" s="58" t="n"/>
      <c r="H767" s="62" t="n"/>
      <c r="I767" s="63" t="n"/>
      <c r="J767" s="48" t="n"/>
      <c r="K767" s="58" t="n"/>
      <c r="L767" s="42" t="n"/>
      <c r="M767" s="42" t="n"/>
      <c r="N767" s="48" t="n"/>
      <c r="O767" s="58" t="n"/>
      <c r="P767" s="42" t="n"/>
      <c r="Q767" s="42" t="n"/>
      <c r="R767" s="48" t="n"/>
      <c r="S767" s="58" t="n"/>
      <c r="T767" s="42" t="n"/>
      <c r="U767" s="42" t="n"/>
      <c r="V767" s="48" t="n"/>
      <c r="W767" s="58" t="n"/>
      <c r="X767" s="42" t="n"/>
      <c r="Y767" s="42" t="n"/>
      <c r="Z767" s="48" t="n"/>
      <c r="AA767" s="58" t="n"/>
      <c r="AB767" s="42" t="n"/>
      <c r="AC767" s="42" t="n"/>
      <c r="AD767" s="48" t="n"/>
      <c r="AE767" s="58" t="n"/>
      <c r="AF767" s="42" t="n"/>
      <c r="AG767" s="42" t="n"/>
      <c r="AH767" s="48" t="n"/>
      <c r="AI767" s="58" t="n"/>
    </row>
    <row r="768">
      <c r="B768" s="2">
        <f>IF(STUDENTS!B767="","",STUDENTS!B767)</f>
        <v/>
      </c>
      <c r="C768" s="44">
        <f>IFERROR(IF(B768="","",_xlfn.XLOOKUP(B768,STUDENTS!$B$3:$B$1048576,STUDENTS!$C$3:$C$1048576)),"Enter a registered reg. no")</f>
        <v/>
      </c>
      <c r="F768" s="66" t="n"/>
      <c r="G768" s="67" t="n"/>
      <c r="J768" s="66" t="n"/>
      <c r="K768" s="67" t="n"/>
      <c r="N768" s="66" t="n"/>
      <c r="O768" s="67" t="n"/>
      <c r="R768" s="66" t="n"/>
      <c r="S768" s="67" t="n"/>
      <c r="V768" s="66" t="n"/>
      <c r="W768" s="67" t="n"/>
      <c r="Z768" s="66" t="n"/>
      <c r="AA768" s="67" t="n"/>
      <c r="AD768" s="66" t="n"/>
      <c r="AE768" s="67" t="n"/>
      <c r="AH768" s="66" t="n"/>
      <c r="AI768" s="67" t="n"/>
    </row>
    <row r="769">
      <c r="B769" s="2">
        <f>IF(STUDENTS!B768="","",STUDENTS!B768)</f>
        <v/>
      </c>
      <c r="C769" s="44">
        <f>IFERROR(IF(B769="","",_xlfn.XLOOKUP(B769,STUDENTS!$B$3:$B$1048576,STUDENTS!$C$3:$C$1048576)),"Enter a registered reg. no")</f>
        <v/>
      </c>
      <c r="D769" s="54" t="n"/>
      <c r="E769" s="55" t="n"/>
      <c r="F769" s="48" t="n"/>
      <c r="G769" s="58" t="n"/>
      <c r="H769" s="62" t="n"/>
      <c r="I769" s="63" t="n"/>
      <c r="J769" s="48" t="n"/>
      <c r="K769" s="58" t="n"/>
      <c r="L769" s="42" t="n"/>
      <c r="M769" s="42" t="n"/>
      <c r="N769" s="48" t="n"/>
      <c r="O769" s="58" t="n"/>
      <c r="P769" s="42" t="n"/>
      <c r="Q769" s="42" t="n"/>
      <c r="R769" s="48" t="n"/>
      <c r="S769" s="58" t="n"/>
      <c r="T769" s="42" t="n"/>
      <c r="U769" s="42" t="n"/>
      <c r="V769" s="48" t="n"/>
      <c r="W769" s="58" t="n"/>
      <c r="X769" s="42" t="n"/>
      <c r="Y769" s="42" t="n"/>
      <c r="Z769" s="48" t="n"/>
      <c r="AA769" s="58" t="n"/>
      <c r="AB769" s="42" t="n"/>
      <c r="AC769" s="42" t="n"/>
      <c r="AD769" s="48" t="n"/>
      <c r="AE769" s="58" t="n"/>
      <c r="AF769" s="42" t="n"/>
      <c r="AG769" s="42" t="n"/>
      <c r="AH769" s="48" t="n"/>
      <c r="AI769" s="58" t="n"/>
    </row>
    <row r="770">
      <c r="B770" s="2">
        <f>IF(STUDENTS!B769="","",STUDENTS!B769)</f>
        <v/>
      </c>
      <c r="C770" s="44">
        <f>IFERROR(IF(B770="","",_xlfn.XLOOKUP(B770,STUDENTS!$B$3:$B$1048576,STUDENTS!$C$3:$C$1048576)),"Enter a registered reg. no")</f>
        <v/>
      </c>
      <c r="F770" s="66" t="n"/>
      <c r="G770" s="67" t="n"/>
      <c r="J770" s="66" t="n"/>
      <c r="K770" s="67" t="n"/>
      <c r="N770" s="66" t="n"/>
      <c r="O770" s="67" t="n"/>
      <c r="R770" s="66" t="n"/>
      <c r="S770" s="67" t="n"/>
      <c r="V770" s="66" t="n"/>
      <c r="W770" s="67" t="n"/>
      <c r="Z770" s="66" t="n"/>
      <c r="AA770" s="67" t="n"/>
      <c r="AD770" s="66" t="n"/>
      <c r="AE770" s="67" t="n"/>
      <c r="AH770" s="66" t="n"/>
      <c r="AI770" s="67" t="n"/>
    </row>
    <row r="771">
      <c r="B771" s="2">
        <f>IF(STUDENTS!B770="","",STUDENTS!B770)</f>
        <v/>
      </c>
      <c r="C771" s="44">
        <f>IFERROR(IF(B771="","",_xlfn.XLOOKUP(B771,STUDENTS!$B$3:$B$1048576,STUDENTS!$C$3:$C$1048576)),"Enter a registered reg. no")</f>
        <v/>
      </c>
      <c r="D771" s="54" t="n"/>
      <c r="E771" s="55" t="n"/>
      <c r="F771" s="48" t="n"/>
      <c r="G771" s="58" t="n"/>
      <c r="H771" s="62" t="n"/>
      <c r="I771" s="63" t="n"/>
      <c r="J771" s="48" t="n"/>
      <c r="K771" s="58" t="n"/>
      <c r="L771" s="42" t="n"/>
      <c r="M771" s="42" t="n"/>
      <c r="N771" s="48" t="n"/>
      <c r="O771" s="58" t="n"/>
      <c r="P771" s="42" t="n"/>
      <c r="Q771" s="42" t="n"/>
      <c r="R771" s="48" t="n"/>
      <c r="S771" s="58" t="n"/>
      <c r="T771" s="42" t="n"/>
      <c r="U771" s="42" t="n"/>
      <c r="V771" s="48" t="n"/>
      <c r="W771" s="58" t="n"/>
      <c r="X771" s="42" t="n"/>
      <c r="Y771" s="42" t="n"/>
      <c r="Z771" s="48" t="n"/>
      <c r="AA771" s="58" t="n"/>
      <c r="AB771" s="42" t="n"/>
      <c r="AC771" s="42" t="n"/>
      <c r="AD771" s="48" t="n"/>
      <c r="AE771" s="58" t="n"/>
      <c r="AF771" s="42" t="n"/>
      <c r="AG771" s="42" t="n"/>
      <c r="AH771" s="48" t="n"/>
      <c r="AI771" s="58" t="n"/>
    </row>
    <row r="772">
      <c r="B772" s="2">
        <f>IF(STUDENTS!B771="","",STUDENTS!B771)</f>
        <v/>
      </c>
      <c r="C772" s="44">
        <f>IFERROR(IF(B772="","",_xlfn.XLOOKUP(B772,STUDENTS!$B$3:$B$1048576,STUDENTS!$C$3:$C$1048576)),"Enter a registered reg. no")</f>
        <v/>
      </c>
      <c r="F772" s="66" t="n"/>
      <c r="G772" s="67" t="n"/>
      <c r="J772" s="66" t="n"/>
      <c r="K772" s="67" t="n"/>
      <c r="N772" s="66" t="n"/>
      <c r="O772" s="67" t="n"/>
      <c r="R772" s="66" t="n"/>
      <c r="S772" s="67" t="n"/>
      <c r="V772" s="66" t="n"/>
      <c r="W772" s="67" t="n"/>
      <c r="Z772" s="66" t="n"/>
      <c r="AA772" s="67" t="n"/>
      <c r="AD772" s="66" t="n"/>
      <c r="AE772" s="67" t="n"/>
      <c r="AH772" s="66" t="n"/>
      <c r="AI772" s="67" t="n"/>
    </row>
    <row r="773">
      <c r="B773" s="2">
        <f>IF(STUDENTS!B772="","",STUDENTS!B772)</f>
        <v/>
      </c>
      <c r="C773" s="44">
        <f>IFERROR(IF(B773="","",_xlfn.XLOOKUP(B773,STUDENTS!$B$3:$B$1048576,STUDENTS!$C$3:$C$1048576)),"Enter a registered reg. no")</f>
        <v/>
      </c>
      <c r="D773" s="54" t="n"/>
      <c r="E773" s="55" t="n"/>
      <c r="F773" s="48" t="n"/>
      <c r="G773" s="58" t="n"/>
      <c r="H773" s="62" t="n"/>
      <c r="I773" s="63" t="n"/>
      <c r="J773" s="48" t="n"/>
      <c r="K773" s="58" t="n"/>
      <c r="L773" s="42" t="n"/>
      <c r="M773" s="42" t="n"/>
      <c r="N773" s="48" t="n"/>
      <c r="O773" s="58" t="n"/>
      <c r="P773" s="42" t="n"/>
      <c r="Q773" s="42" t="n"/>
      <c r="R773" s="48" t="n"/>
      <c r="S773" s="58" t="n"/>
      <c r="T773" s="42" t="n"/>
      <c r="U773" s="42" t="n"/>
      <c r="V773" s="48" t="n"/>
      <c r="W773" s="58" t="n"/>
      <c r="X773" s="42" t="n"/>
      <c r="Y773" s="42" t="n"/>
      <c r="Z773" s="48" t="n"/>
      <c r="AA773" s="58" t="n"/>
      <c r="AB773" s="42" t="n"/>
      <c r="AC773" s="42" t="n"/>
      <c r="AD773" s="48" t="n"/>
      <c r="AE773" s="58" t="n"/>
      <c r="AF773" s="42" t="n"/>
      <c r="AG773" s="42" t="n"/>
      <c r="AH773" s="48" t="n"/>
      <c r="AI773" s="58" t="n"/>
    </row>
    <row r="774">
      <c r="B774" s="2">
        <f>IF(STUDENTS!B773="","",STUDENTS!B773)</f>
        <v/>
      </c>
      <c r="C774" s="44">
        <f>IFERROR(IF(B774="","",_xlfn.XLOOKUP(B774,STUDENTS!$B$3:$B$1048576,STUDENTS!$C$3:$C$1048576)),"Enter a registered reg. no")</f>
        <v/>
      </c>
      <c r="F774" s="66" t="n"/>
      <c r="G774" s="67" t="n"/>
      <c r="J774" s="66" t="n"/>
      <c r="K774" s="67" t="n"/>
      <c r="N774" s="66" t="n"/>
      <c r="O774" s="67" t="n"/>
      <c r="R774" s="66" t="n"/>
      <c r="S774" s="67" t="n"/>
      <c r="V774" s="66" t="n"/>
      <c r="W774" s="67" t="n"/>
      <c r="Z774" s="66" t="n"/>
      <c r="AA774" s="67" t="n"/>
      <c r="AD774" s="66" t="n"/>
      <c r="AE774" s="67" t="n"/>
      <c r="AH774" s="66" t="n"/>
      <c r="AI774" s="67" t="n"/>
    </row>
    <row r="775">
      <c r="B775" s="2">
        <f>IF(STUDENTS!B774="","",STUDENTS!B774)</f>
        <v/>
      </c>
      <c r="C775" s="44">
        <f>IFERROR(IF(B775="","",_xlfn.XLOOKUP(B775,STUDENTS!$B$3:$B$1048576,STUDENTS!$C$3:$C$1048576)),"Enter a registered reg. no")</f>
        <v/>
      </c>
      <c r="D775" s="54" t="n"/>
      <c r="E775" s="55" t="n"/>
      <c r="F775" s="48" t="n"/>
      <c r="G775" s="58" t="n"/>
      <c r="H775" s="62" t="n"/>
      <c r="I775" s="63" t="n"/>
      <c r="J775" s="48" t="n"/>
      <c r="K775" s="58" t="n"/>
      <c r="L775" s="42" t="n"/>
      <c r="M775" s="42" t="n"/>
      <c r="N775" s="48" t="n"/>
      <c r="O775" s="58" t="n"/>
      <c r="P775" s="42" t="n"/>
      <c r="Q775" s="42" t="n"/>
      <c r="R775" s="48" t="n"/>
      <c r="S775" s="58" t="n"/>
      <c r="T775" s="42" t="n"/>
      <c r="U775" s="42" t="n"/>
      <c r="V775" s="48" t="n"/>
      <c r="W775" s="58" t="n"/>
      <c r="X775" s="42" t="n"/>
      <c r="Y775" s="42" t="n"/>
      <c r="Z775" s="48" t="n"/>
      <c r="AA775" s="58" t="n"/>
      <c r="AB775" s="42" t="n"/>
      <c r="AC775" s="42" t="n"/>
      <c r="AD775" s="48" t="n"/>
      <c r="AE775" s="58" t="n"/>
      <c r="AF775" s="42" t="n"/>
      <c r="AG775" s="42" t="n"/>
      <c r="AH775" s="48" t="n"/>
      <c r="AI775" s="58" t="n"/>
    </row>
    <row r="776">
      <c r="B776" s="2">
        <f>IF(STUDENTS!B775="","",STUDENTS!B775)</f>
        <v/>
      </c>
      <c r="C776" s="44">
        <f>IFERROR(IF(B776="","",_xlfn.XLOOKUP(B776,STUDENTS!$B$3:$B$1048576,STUDENTS!$C$3:$C$1048576)),"Enter a registered reg. no")</f>
        <v/>
      </c>
      <c r="F776" s="66" t="n"/>
      <c r="G776" s="67" t="n"/>
      <c r="J776" s="66" t="n"/>
      <c r="K776" s="67" t="n"/>
      <c r="N776" s="66" t="n"/>
      <c r="O776" s="67" t="n"/>
      <c r="R776" s="66" t="n"/>
      <c r="S776" s="67" t="n"/>
      <c r="V776" s="66" t="n"/>
      <c r="W776" s="67" t="n"/>
      <c r="Z776" s="66" t="n"/>
      <c r="AA776" s="67" t="n"/>
      <c r="AD776" s="66" t="n"/>
      <c r="AE776" s="67" t="n"/>
      <c r="AH776" s="66" t="n"/>
      <c r="AI776" s="67" t="n"/>
    </row>
    <row r="777">
      <c r="B777" s="2">
        <f>IF(STUDENTS!B776="","",STUDENTS!B776)</f>
        <v/>
      </c>
      <c r="C777" s="44">
        <f>IFERROR(IF(B777="","",_xlfn.XLOOKUP(B777,STUDENTS!$B$3:$B$1048576,STUDENTS!$C$3:$C$1048576)),"Enter a registered reg. no")</f>
        <v/>
      </c>
      <c r="D777" s="54" t="n"/>
      <c r="E777" s="55" t="n"/>
      <c r="F777" s="48" t="n"/>
      <c r="G777" s="58" t="n"/>
      <c r="H777" s="62" t="n"/>
      <c r="I777" s="63" t="n"/>
      <c r="J777" s="48" t="n"/>
      <c r="K777" s="58" t="n"/>
      <c r="L777" s="42" t="n"/>
      <c r="M777" s="42" t="n"/>
      <c r="N777" s="48" t="n"/>
      <c r="O777" s="58" t="n"/>
      <c r="P777" s="42" t="n"/>
      <c r="Q777" s="42" t="n"/>
      <c r="R777" s="48" t="n"/>
      <c r="S777" s="58" t="n"/>
      <c r="T777" s="42" t="n"/>
      <c r="U777" s="42" t="n"/>
      <c r="V777" s="48" t="n"/>
      <c r="W777" s="58" t="n"/>
      <c r="X777" s="42" t="n"/>
      <c r="Y777" s="42" t="n"/>
      <c r="Z777" s="48" t="n"/>
      <c r="AA777" s="58" t="n"/>
      <c r="AB777" s="42" t="n"/>
      <c r="AC777" s="42" t="n"/>
      <c r="AD777" s="48" t="n"/>
      <c r="AE777" s="58" t="n"/>
      <c r="AF777" s="42" t="n"/>
      <c r="AG777" s="42" t="n"/>
      <c r="AH777" s="48" t="n"/>
      <c r="AI777" s="58" t="n"/>
    </row>
    <row r="778">
      <c r="B778" s="2">
        <f>IF(STUDENTS!B777="","",STUDENTS!B777)</f>
        <v/>
      </c>
      <c r="C778" s="44">
        <f>IFERROR(IF(B778="","",_xlfn.XLOOKUP(B778,STUDENTS!$B$3:$B$1048576,STUDENTS!$C$3:$C$1048576)),"Enter a registered reg. no")</f>
        <v/>
      </c>
      <c r="F778" s="66" t="n"/>
      <c r="G778" s="67" t="n"/>
      <c r="J778" s="66" t="n"/>
      <c r="K778" s="67" t="n"/>
      <c r="N778" s="66" t="n"/>
      <c r="O778" s="67" t="n"/>
      <c r="R778" s="66" t="n"/>
      <c r="S778" s="67" t="n"/>
      <c r="V778" s="66" t="n"/>
      <c r="W778" s="67" t="n"/>
      <c r="Z778" s="66" t="n"/>
      <c r="AA778" s="67" t="n"/>
      <c r="AD778" s="66" t="n"/>
      <c r="AE778" s="67" t="n"/>
      <c r="AH778" s="66" t="n"/>
      <c r="AI778" s="67" t="n"/>
    </row>
    <row r="779">
      <c r="B779" s="2">
        <f>IF(STUDENTS!B778="","",STUDENTS!B778)</f>
        <v/>
      </c>
      <c r="C779" s="44">
        <f>IFERROR(IF(B779="","",_xlfn.XLOOKUP(B779,STUDENTS!$B$3:$B$1048576,STUDENTS!$C$3:$C$1048576)),"Enter a registered reg. no")</f>
        <v/>
      </c>
      <c r="D779" s="54" t="n"/>
      <c r="E779" s="55" t="n"/>
      <c r="F779" s="48" t="n"/>
      <c r="G779" s="58" t="n"/>
      <c r="H779" s="62" t="n"/>
      <c r="I779" s="63" t="n"/>
      <c r="J779" s="48" t="n"/>
      <c r="K779" s="58" t="n"/>
      <c r="L779" s="42" t="n"/>
      <c r="M779" s="42" t="n"/>
      <c r="N779" s="48" t="n"/>
      <c r="O779" s="58" t="n"/>
      <c r="P779" s="42" t="n"/>
      <c r="Q779" s="42" t="n"/>
      <c r="R779" s="48" t="n"/>
      <c r="S779" s="58" t="n"/>
      <c r="T779" s="42" t="n"/>
      <c r="U779" s="42" t="n"/>
      <c r="V779" s="48" t="n"/>
      <c r="W779" s="58" t="n"/>
      <c r="X779" s="42" t="n"/>
      <c r="Y779" s="42" t="n"/>
      <c r="Z779" s="48" t="n"/>
      <c r="AA779" s="58" t="n"/>
      <c r="AB779" s="42" t="n"/>
      <c r="AC779" s="42" t="n"/>
      <c r="AD779" s="48" t="n"/>
      <c r="AE779" s="58" t="n"/>
      <c r="AF779" s="42" t="n"/>
      <c r="AG779" s="42" t="n"/>
      <c r="AH779" s="48" t="n"/>
      <c r="AI779" s="58" t="n"/>
    </row>
    <row r="780">
      <c r="B780" s="2">
        <f>IF(STUDENTS!B779="","",STUDENTS!B779)</f>
        <v/>
      </c>
      <c r="C780" s="44">
        <f>IFERROR(IF(B780="","",_xlfn.XLOOKUP(B780,STUDENTS!$B$3:$B$1048576,STUDENTS!$C$3:$C$1048576)),"Enter a registered reg. no")</f>
        <v/>
      </c>
      <c r="F780" s="66" t="n"/>
      <c r="G780" s="67" t="n"/>
      <c r="J780" s="66" t="n"/>
      <c r="K780" s="67" t="n"/>
      <c r="N780" s="66" t="n"/>
      <c r="O780" s="67" t="n"/>
      <c r="R780" s="66" t="n"/>
      <c r="S780" s="67" t="n"/>
      <c r="V780" s="66" t="n"/>
      <c r="W780" s="67" t="n"/>
      <c r="Z780" s="66" t="n"/>
      <c r="AA780" s="67" t="n"/>
      <c r="AD780" s="66" t="n"/>
      <c r="AE780" s="67" t="n"/>
      <c r="AH780" s="66" t="n"/>
      <c r="AI780" s="67" t="n"/>
    </row>
    <row r="781">
      <c r="B781" s="2">
        <f>IF(STUDENTS!B780="","",STUDENTS!B780)</f>
        <v/>
      </c>
      <c r="C781" s="44">
        <f>IFERROR(IF(B781="","",_xlfn.XLOOKUP(B781,STUDENTS!$B$3:$B$1048576,STUDENTS!$C$3:$C$1048576)),"Enter a registered reg. no")</f>
        <v/>
      </c>
      <c r="D781" s="54" t="n"/>
      <c r="E781" s="55" t="n"/>
      <c r="F781" s="48" t="n"/>
      <c r="G781" s="58" t="n"/>
      <c r="H781" s="62" t="n"/>
      <c r="I781" s="63" t="n"/>
      <c r="J781" s="48" t="n"/>
      <c r="K781" s="58" t="n"/>
      <c r="L781" s="42" t="n"/>
      <c r="M781" s="42" t="n"/>
      <c r="N781" s="48" t="n"/>
      <c r="O781" s="58" t="n"/>
      <c r="P781" s="42" t="n"/>
      <c r="Q781" s="42" t="n"/>
      <c r="R781" s="48" t="n"/>
      <c r="S781" s="58" t="n"/>
      <c r="T781" s="42" t="n"/>
      <c r="U781" s="42" t="n"/>
      <c r="V781" s="48" t="n"/>
      <c r="W781" s="58" t="n"/>
      <c r="X781" s="42" t="n"/>
      <c r="Y781" s="42" t="n"/>
      <c r="Z781" s="48" t="n"/>
      <c r="AA781" s="58" t="n"/>
      <c r="AB781" s="42" t="n"/>
      <c r="AC781" s="42" t="n"/>
      <c r="AD781" s="48" t="n"/>
      <c r="AE781" s="58" t="n"/>
      <c r="AF781" s="42" t="n"/>
      <c r="AG781" s="42" t="n"/>
      <c r="AH781" s="48" t="n"/>
      <c r="AI781" s="58" t="n"/>
    </row>
    <row r="782">
      <c r="B782" s="2">
        <f>IF(STUDENTS!B781="","",STUDENTS!B781)</f>
        <v/>
      </c>
      <c r="C782" s="44">
        <f>IFERROR(IF(B782="","",_xlfn.XLOOKUP(B782,STUDENTS!$B$3:$B$1048576,STUDENTS!$C$3:$C$1048576)),"Enter a registered reg. no")</f>
        <v/>
      </c>
      <c r="F782" s="66" t="n"/>
      <c r="G782" s="67" t="n"/>
      <c r="J782" s="66" t="n"/>
      <c r="K782" s="67" t="n"/>
      <c r="N782" s="66" t="n"/>
      <c r="O782" s="67" t="n"/>
      <c r="R782" s="66" t="n"/>
      <c r="S782" s="67" t="n"/>
      <c r="V782" s="66" t="n"/>
      <c r="W782" s="67" t="n"/>
      <c r="Z782" s="66" t="n"/>
      <c r="AA782" s="67" t="n"/>
      <c r="AD782" s="66" t="n"/>
      <c r="AE782" s="67" t="n"/>
      <c r="AH782" s="66" t="n"/>
      <c r="AI782" s="67" t="n"/>
    </row>
    <row r="783">
      <c r="B783" s="2">
        <f>IF(STUDENTS!B782="","",STUDENTS!B782)</f>
        <v/>
      </c>
      <c r="C783" s="44">
        <f>IFERROR(IF(B783="","",_xlfn.XLOOKUP(B783,STUDENTS!$B$3:$B$1048576,STUDENTS!$C$3:$C$1048576)),"Enter a registered reg. no")</f>
        <v/>
      </c>
      <c r="D783" s="54" t="n"/>
      <c r="E783" s="55" t="n"/>
      <c r="F783" s="48" t="n"/>
      <c r="G783" s="58" t="n"/>
      <c r="H783" s="62" t="n"/>
      <c r="I783" s="63" t="n"/>
      <c r="J783" s="48" t="n"/>
      <c r="K783" s="58" t="n"/>
      <c r="L783" s="42" t="n"/>
      <c r="M783" s="42" t="n"/>
      <c r="N783" s="48" t="n"/>
      <c r="O783" s="58" t="n"/>
      <c r="P783" s="42" t="n"/>
      <c r="Q783" s="42" t="n"/>
      <c r="R783" s="48" t="n"/>
      <c r="S783" s="58" t="n"/>
      <c r="T783" s="42" t="n"/>
      <c r="U783" s="42" t="n"/>
      <c r="V783" s="48" t="n"/>
      <c r="W783" s="58" t="n"/>
      <c r="X783" s="42" t="n"/>
      <c r="Y783" s="42" t="n"/>
      <c r="Z783" s="48" t="n"/>
      <c r="AA783" s="58" t="n"/>
      <c r="AB783" s="42" t="n"/>
      <c r="AC783" s="42" t="n"/>
      <c r="AD783" s="48" t="n"/>
      <c r="AE783" s="58" t="n"/>
      <c r="AF783" s="42" t="n"/>
      <c r="AG783" s="42" t="n"/>
      <c r="AH783" s="48" t="n"/>
      <c r="AI783" s="58" t="n"/>
    </row>
    <row r="784">
      <c r="B784" s="2">
        <f>IF(STUDENTS!B783="","",STUDENTS!B783)</f>
        <v/>
      </c>
      <c r="C784" s="44">
        <f>IFERROR(IF(B784="","",_xlfn.XLOOKUP(B784,STUDENTS!$B$3:$B$1048576,STUDENTS!$C$3:$C$1048576)),"Enter a registered reg. no")</f>
        <v/>
      </c>
      <c r="F784" s="66" t="n"/>
      <c r="G784" s="67" t="n"/>
      <c r="J784" s="66" t="n"/>
      <c r="K784" s="67" t="n"/>
      <c r="N784" s="66" t="n"/>
      <c r="O784" s="67" t="n"/>
      <c r="R784" s="66" t="n"/>
      <c r="S784" s="67" t="n"/>
      <c r="V784" s="66" t="n"/>
      <c r="W784" s="67" t="n"/>
      <c r="Z784" s="66" t="n"/>
      <c r="AA784" s="67" t="n"/>
      <c r="AD784" s="66" t="n"/>
      <c r="AE784" s="67" t="n"/>
      <c r="AH784" s="66" t="n"/>
      <c r="AI784" s="67" t="n"/>
    </row>
    <row r="785">
      <c r="B785" s="2">
        <f>IF(STUDENTS!B784="","",STUDENTS!B784)</f>
        <v/>
      </c>
      <c r="C785" s="44">
        <f>IFERROR(IF(B785="","",_xlfn.XLOOKUP(B785,STUDENTS!$B$3:$B$1048576,STUDENTS!$C$3:$C$1048576)),"Enter a registered reg. no")</f>
        <v/>
      </c>
      <c r="D785" s="54" t="n"/>
      <c r="E785" s="55" t="n"/>
      <c r="F785" s="48" t="n"/>
      <c r="G785" s="58" t="n"/>
      <c r="H785" s="62" t="n"/>
      <c r="I785" s="63" t="n"/>
      <c r="J785" s="48" t="n"/>
      <c r="K785" s="58" t="n"/>
      <c r="L785" s="42" t="n"/>
      <c r="M785" s="42" t="n"/>
      <c r="N785" s="48" t="n"/>
      <c r="O785" s="58" t="n"/>
      <c r="P785" s="42" t="n"/>
      <c r="Q785" s="42" t="n"/>
      <c r="R785" s="48" t="n"/>
      <c r="S785" s="58" t="n"/>
      <c r="T785" s="42" t="n"/>
      <c r="U785" s="42" t="n"/>
      <c r="V785" s="48" t="n"/>
      <c r="W785" s="58" t="n"/>
      <c r="X785" s="42" t="n"/>
      <c r="Y785" s="42" t="n"/>
      <c r="Z785" s="48" t="n"/>
      <c r="AA785" s="58" t="n"/>
      <c r="AB785" s="42" t="n"/>
      <c r="AC785" s="42" t="n"/>
      <c r="AD785" s="48" t="n"/>
      <c r="AE785" s="58" t="n"/>
      <c r="AF785" s="42" t="n"/>
      <c r="AG785" s="42" t="n"/>
      <c r="AH785" s="48" t="n"/>
      <c r="AI785" s="58" t="n"/>
    </row>
    <row r="786">
      <c r="B786" s="2">
        <f>IF(STUDENTS!B785="","",STUDENTS!B785)</f>
        <v/>
      </c>
      <c r="C786" s="44">
        <f>IFERROR(IF(B786="","",_xlfn.XLOOKUP(B786,STUDENTS!$B$3:$B$1048576,STUDENTS!$C$3:$C$1048576)),"Enter a registered reg. no")</f>
        <v/>
      </c>
      <c r="F786" s="66" t="n"/>
      <c r="G786" s="67" t="n"/>
      <c r="J786" s="66" t="n"/>
      <c r="K786" s="67" t="n"/>
      <c r="N786" s="66" t="n"/>
      <c r="O786" s="67" t="n"/>
      <c r="R786" s="66" t="n"/>
      <c r="S786" s="67" t="n"/>
      <c r="V786" s="66" t="n"/>
      <c r="W786" s="67" t="n"/>
      <c r="Z786" s="66" t="n"/>
      <c r="AA786" s="67" t="n"/>
      <c r="AD786" s="66" t="n"/>
      <c r="AE786" s="67" t="n"/>
      <c r="AH786" s="66" t="n"/>
      <c r="AI786" s="67" t="n"/>
    </row>
    <row r="787">
      <c r="B787" s="2">
        <f>IF(STUDENTS!B786="","",STUDENTS!B786)</f>
        <v/>
      </c>
      <c r="C787" s="44">
        <f>IFERROR(IF(B787="","",_xlfn.XLOOKUP(B787,STUDENTS!$B$3:$B$1048576,STUDENTS!$C$3:$C$1048576)),"Enter a registered reg. no")</f>
        <v/>
      </c>
      <c r="D787" s="54" t="n"/>
      <c r="E787" s="55" t="n"/>
      <c r="F787" s="48" t="n"/>
      <c r="G787" s="58" t="n"/>
      <c r="H787" s="62" t="n"/>
      <c r="I787" s="63" t="n"/>
      <c r="J787" s="48" t="n"/>
      <c r="K787" s="58" t="n"/>
      <c r="L787" s="42" t="n"/>
      <c r="M787" s="42" t="n"/>
      <c r="N787" s="48" t="n"/>
      <c r="O787" s="58" t="n"/>
      <c r="P787" s="42" t="n"/>
      <c r="Q787" s="42" t="n"/>
      <c r="R787" s="48" t="n"/>
      <c r="S787" s="58" t="n"/>
      <c r="T787" s="42" t="n"/>
      <c r="U787" s="42" t="n"/>
      <c r="V787" s="48" t="n"/>
      <c r="W787" s="58" t="n"/>
      <c r="X787" s="42" t="n"/>
      <c r="Y787" s="42" t="n"/>
      <c r="Z787" s="48" t="n"/>
      <c r="AA787" s="58" t="n"/>
      <c r="AB787" s="42" t="n"/>
      <c r="AC787" s="42" t="n"/>
      <c r="AD787" s="48" t="n"/>
      <c r="AE787" s="58" t="n"/>
      <c r="AF787" s="42" t="n"/>
      <c r="AG787" s="42" t="n"/>
      <c r="AH787" s="48" t="n"/>
      <c r="AI787" s="58" t="n"/>
    </row>
    <row r="788">
      <c r="B788" s="2">
        <f>IF(STUDENTS!B787="","",STUDENTS!B787)</f>
        <v/>
      </c>
      <c r="C788" s="44">
        <f>IFERROR(IF(B788="","",_xlfn.XLOOKUP(B788,STUDENTS!$B$3:$B$1048576,STUDENTS!$C$3:$C$1048576)),"Enter a registered reg. no")</f>
        <v/>
      </c>
      <c r="F788" s="66" t="n"/>
      <c r="G788" s="67" t="n"/>
      <c r="J788" s="66" t="n"/>
      <c r="K788" s="67" t="n"/>
      <c r="N788" s="66" t="n"/>
      <c r="O788" s="67" t="n"/>
      <c r="R788" s="66" t="n"/>
      <c r="S788" s="67" t="n"/>
      <c r="V788" s="66" t="n"/>
      <c r="W788" s="67" t="n"/>
      <c r="Z788" s="66" t="n"/>
      <c r="AA788" s="67" t="n"/>
      <c r="AD788" s="66" t="n"/>
      <c r="AE788" s="67" t="n"/>
      <c r="AH788" s="66" t="n"/>
      <c r="AI788" s="67" t="n"/>
    </row>
    <row r="789">
      <c r="B789" s="2">
        <f>IF(STUDENTS!B788="","",STUDENTS!B788)</f>
        <v/>
      </c>
      <c r="C789" s="44">
        <f>IFERROR(IF(B789="","",_xlfn.XLOOKUP(B789,STUDENTS!$B$3:$B$1048576,STUDENTS!$C$3:$C$1048576)),"Enter a registered reg. no")</f>
        <v/>
      </c>
      <c r="D789" s="54" t="n"/>
      <c r="E789" s="55" t="n"/>
      <c r="F789" s="48" t="n"/>
      <c r="G789" s="58" t="n"/>
      <c r="H789" s="62" t="n"/>
      <c r="I789" s="63" t="n"/>
      <c r="J789" s="48" t="n"/>
      <c r="K789" s="58" t="n"/>
      <c r="L789" s="42" t="n"/>
      <c r="M789" s="42" t="n"/>
      <c r="N789" s="48" t="n"/>
      <c r="O789" s="58" t="n"/>
      <c r="P789" s="42" t="n"/>
      <c r="Q789" s="42" t="n"/>
      <c r="R789" s="48" t="n"/>
      <c r="S789" s="58" t="n"/>
      <c r="T789" s="42" t="n"/>
      <c r="U789" s="42" t="n"/>
      <c r="V789" s="48" t="n"/>
      <c r="W789" s="58" t="n"/>
      <c r="X789" s="42" t="n"/>
      <c r="Y789" s="42" t="n"/>
      <c r="Z789" s="48" t="n"/>
      <c r="AA789" s="58" t="n"/>
      <c r="AB789" s="42" t="n"/>
      <c r="AC789" s="42" t="n"/>
      <c r="AD789" s="48" t="n"/>
      <c r="AE789" s="58" t="n"/>
      <c r="AF789" s="42" t="n"/>
      <c r="AG789" s="42" t="n"/>
      <c r="AH789" s="48" t="n"/>
      <c r="AI789" s="58" t="n"/>
    </row>
    <row r="790">
      <c r="B790" s="2">
        <f>IF(STUDENTS!B789="","",STUDENTS!B789)</f>
        <v/>
      </c>
      <c r="C790" s="44">
        <f>IFERROR(IF(B790="","",_xlfn.XLOOKUP(B790,STUDENTS!$B$3:$B$1048576,STUDENTS!$C$3:$C$1048576)),"Enter a registered reg. no")</f>
        <v/>
      </c>
      <c r="F790" s="66" t="n"/>
      <c r="G790" s="67" t="n"/>
      <c r="J790" s="66" t="n"/>
      <c r="K790" s="67" t="n"/>
      <c r="N790" s="66" t="n"/>
      <c r="O790" s="67" t="n"/>
      <c r="R790" s="66" t="n"/>
      <c r="S790" s="67" t="n"/>
      <c r="V790" s="66" t="n"/>
      <c r="W790" s="67" t="n"/>
      <c r="Z790" s="66" t="n"/>
      <c r="AA790" s="67" t="n"/>
      <c r="AD790" s="66" t="n"/>
      <c r="AE790" s="67" t="n"/>
      <c r="AH790" s="66" t="n"/>
      <c r="AI790" s="67" t="n"/>
    </row>
    <row r="791">
      <c r="B791" s="2">
        <f>IF(STUDENTS!B790="","",STUDENTS!B790)</f>
        <v/>
      </c>
      <c r="C791" s="44">
        <f>IFERROR(IF(B791="","",_xlfn.XLOOKUP(B791,STUDENTS!$B$3:$B$1048576,STUDENTS!$C$3:$C$1048576)),"Enter a registered reg. no")</f>
        <v/>
      </c>
      <c r="D791" s="54" t="n"/>
      <c r="E791" s="55" t="n"/>
      <c r="F791" s="48" t="n"/>
      <c r="G791" s="58" t="n"/>
      <c r="H791" s="62" t="n"/>
      <c r="I791" s="63" t="n"/>
      <c r="J791" s="48" t="n"/>
      <c r="K791" s="58" t="n"/>
      <c r="L791" s="42" t="n"/>
      <c r="M791" s="42" t="n"/>
      <c r="N791" s="48" t="n"/>
      <c r="O791" s="58" t="n"/>
      <c r="P791" s="42" t="n"/>
      <c r="Q791" s="42" t="n"/>
      <c r="R791" s="48" t="n"/>
      <c r="S791" s="58" t="n"/>
      <c r="T791" s="42" t="n"/>
      <c r="U791" s="42" t="n"/>
      <c r="V791" s="48" t="n"/>
      <c r="W791" s="58" t="n"/>
      <c r="X791" s="42" t="n"/>
      <c r="Y791" s="42" t="n"/>
      <c r="Z791" s="48" t="n"/>
      <c r="AA791" s="58" t="n"/>
      <c r="AB791" s="42" t="n"/>
      <c r="AC791" s="42" t="n"/>
      <c r="AD791" s="48" t="n"/>
      <c r="AE791" s="58" t="n"/>
      <c r="AF791" s="42" t="n"/>
      <c r="AG791" s="42" t="n"/>
      <c r="AH791" s="48" t="n"/>
      <c r="AI791" s="58" t="n"/>
    </row>
    <row r="792">
      <c r="B792" s="2">
        <f>IF(STUDENTS!B791="","",STUDENTS!B791)</f>
        <v/>
      </c>
      <c r="C792" s="44">
        <f>IFERROR(IF(B792="","",_xlfn.XLOOKUP(B792,STUDENTS!$B$3:$B$1048576,STUDENTS!$C$3:$C$1048576)),"Enter a registered reg. no")</f>
        <v/>
      </c>
      <c r="F792" s="66" t="n"/>
      <c r="G792" s="67" t="n"/>
      <c r="J792" s="66" t="n"/>
      <c r="K792" s="67" t="n"/>
      <c r="N792" s="66" t="n"/>
      <c r="O792" s="67" t="n"/>
      <c r="R792" s="66" t="n"/>
      <c r="S792" s="67" t="n"/>
      <c r="V792" s="66" t="n"/>
      <c r="W792" s="67" t="n"/>
      <c r="Z792" s="66" t="n"/>
      <c r="AA792" s="67" t="n"/>
      <c r="AD792" s="66" t="n"/>
      <c r="AE792" s="67" t="n"/>
      <c r="AH792" s="66" t="n"/>
      <c r="AI792" s="67" t="n"/>
    </row>
    <row r="793">
      <c r="B793" s="2">
        <f>IF(STUDENTS!B792="","",STUDENTS!B792)</f>
        <v/>
      </c>
      <c r="C793" s="44">
        <f>IFERROR(IF(B793="","",_xlfn.XLOOKUP(B793,STUDENTS!$B$3:$B$1048576,STUDENTS!$C$3:$C$1048576)),"Enter a registered reg. no")</f>
        <v/>
      </c>
      <c r="D793" s="54" t="n"/>
      <c r="E793" s="55" t="n"/>
      <c r="F793" s="48" t="n"/>
      <c r="G793" s="58" t="n"/>
      <c r="H793" s="62" t="n"/>
      <c r="I793" s="63" t="n"/>
      <c r="J793" s="48" t="n"/>
      <c r="K793" s="58" t="n"/>
      <c r="L793" s="42" t="n"/>
      <c r="M793" s="42" t="n"/>
      <c r="N793" s="48" t="n"/>
      <c r="O793" s="58" t="n"/>
      <c r="P793" s="42" t="n"/>
      <c r="Q793" s="42" t="n"/>
      <c r="R793" s="48" t="n"/>
      <c r="S793" s="58" t="n"/>
      <c r="T793" s="42" t="n"/>
      <c r="U793" s="42" t="n"/>
      <c r="V793" s="48" t="n"/>
      <c r="W793" s="58" t="n"/>
      <c r="X793" s="42" t="n"/>
      <c r="Y793" s="42" t="n"/>
      <c r="Z793" s="48" t="n"/>
      <c r="AA793" s="58" t="n"/>
      <c r="AB793" s="42" t="n"/>
      <c r="AC793" s="42" t="n"/>
      <c r="AD793" s="48" t="n"/>
      <c r="AE793" s="58" t="n"/>
      <c r="AF793" s="42" t="n"/>
      <c r="AG793" s="42" t="n"/>
      <c r="AH793" s="48" t="n"/>
      <c r="AI793" s="58" t="n"/>
    </row>
    <row r="794">
      <c r="B794" s="2">
        <f>IF(STUDENTS!B793="","",STUDENTS!B793)</f>
        <v/>
      </c>
      <c r="C794" s="44">
        <f>IFERROR(IF(B794="","",_xlfn.XLOOKUP(B794,STUDENTS!$B$3:$B$1048576,STUDENTS!$C$3:$C$1048576)),"Enter a registered reg. no")</f>
        <v/>
      </c>
      <c r="F794" s="66" t="n"/>
      <c r="G794" s="67" t="n"/>
      <c r="J794" s="66" t="n"/>
      <c r="K794" s="67" t="n"/>
      <c r="N794" s="66" t="n"/>
      <c r="O794" s="67" t="n"/>
      <c r="R794" s="66" t="n"/>
      <c r="S794" s="67" t="n"/>
      <c r="V794" s="66" t="n"/>
      <c r="W794" s="67" t="n"/>
      <c r="Z794" s="66" t="n"/>
      <c r="AA794" s="67" t="n"/>
      <c r="AD794" s="66" t="n"/>
      <c r="AE794" s="67" t="n"/>
      <c r="AH794" s="66" t="n"/>
      <c r="AI794" s="67" t="n"/>
    </row>
    <row r="795">
      <c r="B795" s="2">
        <f>IF(STUDENTS!B794="","",STUDENTS!B794)</f>
        <v/>
      </c>
      <c r="C795" s="44">
        <f>IFERROR(IF(B795="","",_xlfn.XLOOKUP(B795,STUDENTS!$B$3:$B$1048576,STUDENTS!$C$3:$C$1048576)),"Enter a registered reg. no")</f>
        <v/>
      </c>
      <c r="D795" s="54" t="n"/>
      <c r="E795" s="55" t="n"/>
      <c r="F795" s="48" t="n"/>
      <c r="G795" s="58" t="n"/>
      <c r="H795" s="62" t="n"/>
      <c r="I795" s="63" t="n"/>
      <c r="J795" s="48" t="n"/>
      <c r="K795" s="58" t="n"/>
      <c r="L795" s="42" t="n"/>
      <c r="M795" s="42" t="n"/>
      <c r="N795" s="48" t="n"/>
      <c r="O795" s="58" t="n"/>
      <c r="P795" s="42" t="n"/>
      <c r="Q795" s="42" t="n"/>
      <c r="R795" s="48" t="n"/>
      <c r="S795" s="58" t="n"/>
      <c r="T795" s="42" t="n"/>
      <c r="U795" s="42" t="n"/>
      <c r="V795" s="48" t="n"/>
      <c r="W795" s="58" t="n"/>
      <c r="X795" s="42" t="n"/>
      <c r="Y795" s="42" t="n"/>
      <c r="Z795" s="48" t="n"/>
      <c r="AA795" s="58" t="n"/>
      <c r="AB795" s="42" t="n"/>
      <c r="AC795" s="42" t="n"/>
      <c r="AD795" s="48" t="n"/>
      <c r="AE795" s="58" t="n"/>
      <c r="AF795" s="42" t="n"/>
      <c r="AG795" s="42" t="n"/>
      <c r="AH795" s="48" t="n"/>
      <c r="AI795" s="58" t="n"/>
    </row>
    <row r="796">
      <c r="B796" s="2">
        <f>IF(STUDENTS!B795="","",STUDENTS!B795)</f>
        <v/>
      </c>
      <c r="C796" s="44">
        <f>IFERROR(IF(B796="","",_xlfn.XLOOKUP(B796,STUDENTS!$B$3:$B$1048576,STUDENTS!$C$3:$C$1048576)),"Enter a registered reg. no")</f>
        <v/>
      </c>
      <c r="F796" s="66" t="n"/>
      <c r="G796" s="67" t="n"/>
      <c r="J796" s="66" t="n"/>
      <c r="K796" s="67" t="n"/>
      <c r="N796" s="66" t="n"/>
      <c r="O796" s="67" t="n"/>
      <c r="R796" s="66" t="n"/>
      <c r="S796" s="67" t="n"/>
      <c r="V796" s="66" t="n"/>
      <c r="W796" s="67" t="n"/>
      <c r="Z796" s="66" t="n"/>
      <c r="AA796" s="67" t="n"/>
      <c r="AD796" s="66" t="n"/>
      <c r="AE796" s="67" t="n"/>
      <c r="AH796" s="66" t="n"/>
      <c r="AI796" s="67" t="n"/>
    </row>
    <row r="797">
      <c r="B797" s="2">
        <f>IF(STUDENTS!B796="","",STUDENTS!B796)</f>
        <v/>
      </c>
      <c r="C797" s="44">
        <f>IFERROR(IF(B797="","",_xlfn.XLOOKUP(B797,STUDENTS!$B$3:$B$1048576,STUDENTS!$C$3:$C$1048576)),"Enter a registered reg. no")</f>
        <v/>
      </c>
      <c r="D797" s="54" t="n"/>
      <c r="E797" s="55" t="n"/>
      <c r="F797" s="48" t="n"/>
      <c r="G797" s="58" t="n"/>
      <c r="H797" s="62" t="n"/>
      <c r="I797" s="63" t="n"/>
      <c r="J797" s="48" t="n"/>
      <c r="K797" s="58" t="n"/>
      <c r="L797" s="42" t="n"/>
      <c r="M797" s="42" t="n"/>
      <c r="N797" s="48" t="n"/>
      <c r="O797" s="58" t="n"/>
      <c r="P797" s="42" t="n"/>
      <c r="Q797" s="42" t="n"/>
      <c r="R797" s="48" t="n"/>
      <c r="S797" s="58" t="n"/>
      <c r="T797" s="42" t="n"/>
      <c r="U797" s="42" t="n"/>
      <c r="V797" s="48" t="n"/>
      <c r="W797" s="58" t="n"/>
      <c r="X797" s="42" t="n"/>
      <c r="Y797" s="42" t="n"/>
      <c r="Z797" s="48" t="n"/>
      <c r="AA797" s="58" t="n"/>
      <c r="AB797" s="42" t="n"/>
      <c r="AC797" s="42" t="n"/>
      <c r="AD797" s="48" t="n"/>
      <c r="AE797" s="58" t="n"/>
      <c r="AF797" s="42" t="n"/>
      <c r="AG797" s="42" t="n"/>
      <c r="AH797" s="48" t="n"/>
      <c r="AI797" s="58" t="n"/>
    </row>
    <row r="798">
      <c r="B798" s="2">
        <f>IF(STUDENTS!B797="","",STUDENTS!B797)</f>
        <v/>
      </c>
      <c r="C798" s="44">
        <f>IFERROR(IF(B798="","",_xlfn.XLOOKUP(B798,STUDENTS!$B$3:$B$1048576,STUDENTS!$C$3:$C$1048576)),"Enter a registered reg. no")</f>
        <v/>
      </c>
      <c r="F798" s="66" t="n"/>
      <c r="G798" s="67" t="n"/>
      <c r="J798" s="66" t="n"/>
      <c r="K798" s="67" t="n"/>
      <c r="N798" s="66" t="n"/>
      <c r="O798" s="67" t="n"/>
      <c r="R798" s="66" t="n"/>
      <c r="S798" s="67" t="n"/>
      <c r="V798" s="66" t="n"/>
      <c r="W798" s="67" t="n"/>
      <c r="Z798" s="66" t="n"/>
      <c r="AA798" s="67" t="n"/>
      <c r="AD798" s="66" t="n"/>
      <c r="AE798" s="67" t="n"/>
      <c r="AH798" s="66" t="n"/>
      <c r="AI798" s="67" t="n"/>
    </row>
    <row r="799">
      <c r="B799" s="2">
        <f>IF(STUDENTS!B798="","",STUDENTS!B798)</f>
        <v/>
      </c>
      <c r="C799" s="44">
        <f>IFERROR(IF(B799="","",_xlfn.XLOOKUP(B799,STUDENTS!$B$3:$B$1048576,STUDENTS!$C$3:$C$1048576)),"Enter a registered reg. no")</f>
        <v/>
      </c>
      <c r="D799" s="54" t="n"/>
      <c r="E799" s="55" t="n"/>
      <c r="F799" s="48" t="n"/>
      <c r="G799" s="58" t="n"/>
      <c r="H799" s="62" t="n"/>
      <c r="I799" s="63" t="n"/>
      <c r="J799" s="48" t="n"/>
      <c r="K799" s="58" t="n"/>
      <c r="L799" s="42" t="n"/>
      <c r="M799" s="42" t="n"/>
      <c r="N799" s="48" t="n"/>
      <c r="O799" s="58" t="n"/>
      <c r="P799" s="42" t="n"/>
      <c r="Q799" s="42" t="n"/>
      <c r="R799" s="48" t="n"/>
      <c r="S799" s="58" t="n"/>
      <c r="T799" s="42" t="n"/>
      <c r="U799" s="42" t="n"/>
      <c r="V799" s="48" t="n"/>
      <c r="W799" s="58" t="n"/>
      <c r="X799" s="42" t="n"/>
      <c r="Y799" s="42" t="n"/>
      <c r="Z799" s="48" t="n"/>
      <c r="AA799" s="58" t="n"/>
      <c r="AB799" s="42" t="n"/>
      <c r="AC799" s="42" t="n"/>
      <c r="AD799" s="48" t="n"/>
      <c r="AE799" s="58" t="n"/>
      <c r="AF799" s="42" t="n"/>
      <c r="AG799" s="42" t="n"/>
      <c r="AH799" s="48" t="n"/>
      <c r="AI799" s="58" t="n"/>
    </row>
    <row r="800">
      <c r="B800" s="2">
        <f>IF(STUDENTS!B799="","",STUDENTS!B799)</f>
        <v/>
      </c>
      <c r="C800" s="44">
        <f>IFERROR(IF(B800="","",_xlfn.XLOOKUP(B800,STUDENTS!$B$3:$B$1048576,STUDENTS!$C$3:$C$1048576)),"Enter a registered reg. no")</f>
        <v/>
      </c>
      <c r="F800" s="66" t="n"/>
      <c r="G800" s="67" t="n"/>
      <c r="J800" s="66" t="n"/>
      <c r="K800" s="67" t="n"/>
      <c r="N800" s="66" t="n"/>
      <c r="O800" s="67" t="n"/>
      <c r="R800" s="66" t="n"/>
      <c r="S800" s="67" t="n"/>
      <c r="V800" s="66" t="n"/>
      <c r="W800" s="67" t="n"/>
      <c r="Z800" s="66" t="n"/>
      <c r="AA800" s="67" t="n"/>
      <c r="AD800" s="66" t="n"/>
      <c r="AE800" s="67" t="n"/>
      <c r="AH800" s="66" t="n"/>
      <c r="AI800" s="67" t="n"/>
    </row>
    <row r="801">
      <c r="B801" s="2">
        <f>IF(STUDENTS!B800="","",STUDENTS!B800)</f>
        <v/>
      </c>
      <c r="C801" s="44">
        <f>IFERROR(IF(B801="","",_xlfn.XLOOKUP(B801,STUDENTS!$B$3:$B$1048576,STUDENTS!$C$3:$C$1048576)),"Enter a registered reg. no")</f>
        <v/>
      </c>
      <c r="D801" s="54" t="n"/>
      <c r="E801" s="55" t="n"/>
      <c r="F801" s="48" t="n"/>
      <c r="G801" s="58" t="n"/>
      <c r="H801" s="62" t="n"/>
      <c r="I801" s="63" t="n"/>
      <c r="J801" s="48" t="n"/>
      <c r="K801" s="58" t="n"/>
      <c r="L801" s="42" t="n"/>
      <c r="M801" s="42" t="n"/>
      <c r="N801" s="48" t="n"/>
      <c r="O801" s="58" t="n"/>
      <c r="P801" s="42" t="n"/>
      <c r="Q801" s="42" t="n"/>
      <c r="R801" s="48" t="n"/>
      <c r="S801" s="58" t="n"/>
      <c r="T801" s="42" t="n"/>
      <c r="U801" s="42" t="n"/>
      <c r="V801" s="48" t="n"/>
      <c r="W801" s="58" t="n"/>
      <c r="X801" s="42" t="n"/>
      <c r="Y801" s="42" t="n"/>
      <c r="Z801" s="48" t="n"/>
      <c r="AA801" s="58" t="n"/>
      <c r="AB801" s="42" t="n"/>
      <c r="AC801" s="42" t="n"/>
      <c r="AD801" s="48" t="n"/>
      <c r="AE801" s="58" t="n"/>
      <c r="AF801" s="42" t="n"/>
      <c r="AG801" s="42" t="n"/>
      <c r="AH801" s="48" t="n"/>
      <c r="AI801" s="58" t="n"/>
    </row>
    <row r="802">
      <c r="B802" s="2">
        <f>IF(STUDENTS!B801="","",STUDENTS!B801)</f>
        <v/>
      </c>
      <c r="C802" s="44">
        <f>IFERROR(IF(B802="","",_xlfn.XLOOKUP(B802,STUDENTS!$B$3:$B$1048576,STUDENTS!$C$3:$C$1048576)),"Enter a registered reg. no")</f>
        <v/>
      </c>
      <c r="F802" s="66" t="n"/>
      <c r="G802" s="67" t="n"/>
      <c r="J802" s="66" t="n"/>
      <c r="K802" s="67" t="n"/>
      <c r="N802" s="66" t="n"/>
      <c r="O802" s="67" t="n"/>
      <c r="R802" s="66" t="n"/>
      <c r="S802" s="67" t="n"/>
      <c r="V802" s="66" t="n"/>
      <c r="W802" s="67" t="n"/>
      <c r="Z802" s="66" t="n"/>
      <c r="AA802" s="67" t="n"/>
      <c r="AD802" s="66" t="n"/>
      <c r="AE802" s="67" t="n"/>
      <c r="AH802" s="66" t="n"/>
      <c r="AI802" s="67" t="n"/>
    </row>
    <row r="803">
      <c r="B803" s="2">
        <f>IF(STUDENTS!B802="","",STUDENTS!B802)</f>
        <v/>
      </c>
      <c r="C803" s="44">
        <f>IFERROR(IF(B803="","",_xlfn.XLOOKUP(B803,STUDENTS!$B$3:$B$1048576,STUDENTS!$C$3:$C$1048576)),"Enter a registered reg. no")</f>
        <v/>
      </c>
      <c r="D803" s="54" t="n"/>
      <c r="E803" s="55" t="n"/>
      <c r="F803" s="48" t="n"/>
      <c r="G803" s="58" t="n"/>
      <c r="H803" s="62" t="n"/>
      <c r="I803" s="63" t="n"/>
      <c r="J803" s="48" t="n"/>
      <c r="K803" s="58" t="n"/>
      <c r="L803" s="42" t="n"/>
      <c r="M803" s="42" t="n"/>
      <c r="N803" s="48" t="n"/>
      <c r="O803" s="58" t="n"/>
      <c r="P803" s="42" t="n"/>
      <c r="Q803" s="42" t="n"/>
      <c r="R803" s="48" t="n"/>
      <c r="S803" s="58" t="n"/>
      <c r="T803" s="42" t="n"/>
      <c r="U803" s="42" t="n"/>
      <c r="V803" s="48" t="n"/>
      <c r="W803" s="58" t="n"/>
      <c r="X803" s="42" t="n"/>
      <c r="Y803" s="42" t="n"/>
      <c r="Z803" s="48" t="n"/>
      <c r="AA803" s="58" t="n"/>
      <c r="AB803" s="42" t="n"/>
      <c r="AC803" s="42" t="n"/>
      <c r="AD803" s="48" t="n"/>
      <c r="AE803" s="58" t="n"/>
      <c r="AF803" s="42" t="n"/>
      <c r="AG803" s="42" t="n"/>
      <c r="AH803" s="48" t="n"/>
      <c r="AI803" s="58" t="n"/>
    </row>
    <row r="804">
      <c r="B804" s="2">
        <f>IF(STUDENTS!B803="","",STUDENTS!B803)</f>
        <v/>
      </c>
      <c r="C804" s="44">
        <f>IFERROR(IF(B804="","",_xlfn.XLOOKUP(B804,STUDENTS!$B$3:$B$1048576,STUDENTS!$C$3:$C$1048576)),"Enter a registered reg. no")</f>
        <v/>
      </c>
      <c r="F804" s="66" t="n"/>
      <c r="G804" s="67" t="n"/>
      <c r="J804" s="66" t="n"/>
      <c r="K804" s="67" t="n"/>
      <c r="N804" s="66" t="n"/>
      <c r="O804" s="67" t="n"/>
      <c r="R804" s="66" t="n"/>
      <c r="S804" s="67" t="n"/>
      <c r="V804" s="66" t="n"/>
      <c r="W804" s="67" t="n"/>
      <c r="Z804" s="66" t="n"/>
      <c r="AA804" s="67" t="n"/>
      <c r="AD804" s="66" t="n"/>
      <c r="AE804" s="67" t="n"/>
      <c r="AH804" s="66" t="n"/>
      <c r="AI804" s="67" t="n"/>
    </row>
    <row r="805">
      <c r="B805" s="2">
        <f>IF(STUDENTS!B804="","",STUDENTS!B804)</f>
        <v/>
      </c>
      <c r="C805" s="44">
        <f>IFERROR(IF(B805="","",_xlfn.XLOOKUP(B805,STUDENTS!$B$3:$B$1048576,STUDENTS!$C$3:$C$1048576)),"Enter a registered reg. no")</f>
        <v/>
      </c>
      <c r="D805" s="54" t="n"/>
      <c r="E805" s="55" t="n"/>
      <c r="F805" s="48" t="n"/>
      <c r="G805" s="58" t="n"/>
      <c r="H805" s="62" t="n"/>
      <c r="I805" s="63" t="n"/>
      <c r="J805" s="48" t="n"/>
      <c r="K805" s="58" t="n"/>
      <c r="L805" s="42" t="n"/>
      <c r="M805" s="42" t="n"/>
      <c r="N805" s="48" t="n"/>
      <c r="O805" s="58" t="n"/>
      <c r="P805" s="42" t="n"/>
      <c r="Q805" s="42" t="n"/>
      <c r="R805" s="48" t="n"/>
      <c r="S805" s="58" t="n"/>
      <c r="T805" s="42" t="n"/>
      <c r="U805" s="42" t="n"/>
      <c r="V805" s="48" t="n"/>
      <c r="W805" s="58" t="n"/>
      <c r="X805" s="42" t="n"/>
      <c r="Y805" s="42" t="n"/>
      <c r="Z805" s="48" t="n"/>
      <c r="AA805" s="58" t="n"/>
      <c r="AB805" s="42" t="n"/>
      <c r="AC805" s="42" t="n"/>
      <c r="AD805" s="48" t="n"/>
      <c r="AE805" s="58" t="n"/>
      <c r="AF805" s="42" t="n"/>
      <c r="AG805" s="42" t="n"/>
      <c r="AH805" s="48" t="n"/>
      <c r="AI805" s="58" t="n"/>
    </row>
    <row r="806">
      <c r="B806" s="2">
        <f>IF(STUDENTS!B805="","",STUDENTS!B805)</f>
        <v/>
      </c>
      <c r="C806" s="44">
        <f>IFERROR(IF(B806="","",_xlfn.XLOOKUP(B806,STUDENTS!$B$3:$B$1048576,STUDENTS!$C$3:$C$1048576)),"Enter a registered reg. no")</f>
        <v/>
      </c>
      <c r="F806" s="66" t="n"/>
      <c r="G806" s="67" t="n"/>
      <c r="J806" s="66" t="n"/>
      <c r="K806" s="67" t="n"/>
      <c r="N806" s="66" t="n"/>
      <c r="O806" s="67" t="n"/>
      <c r="R806" s="66" t="n"/>
      <c r="S806" s="67" t="n"/>
      <c r="V806" s="66" t="n"/>
      <c r="W806" s="67" t="n"/>
      <c r="Z806" s="66" t="n"/>
      <c r="AA806" s="67" t="n"/>
      <c r="AD806" s="66" t="n"/>
      <c r="AE806" s="67" t="n"/>
      <c r="AH806" s="66" t="n"/>
      <c r="AI806" s="67" t="n"/>
    </row>
    <row r="807">
      <c r="B807" s="2">
        <f>IF(STUDENTS!B806="","",STUDENTS!B806)</f>
        <v/>
      </c>
      <c r="C807" s="44">
        <f>IFERROR(IF(B807="","",_xlfn.XLOOKUP(B807,STUDENTS!$B$3:$B$1048576,STUDENTS!$C$3:$C$1048576)),"Enter a registered reg. no")</f>
        <v/>
      </c>
      <c r="D807" s="54" t="n"/>
      <c r="E807" s="55" t="n"/>
      <c r="F807" s="48" t="n"/>
      <c r="G807" s="58" t="n"/>
      <c r="H807" s="62" t="n"/>
      <c r="I807" s="63" t="n"/>
      <c r="J807" s="48" t="n"/>
      <c r="K807" s="58" t="n"/>
      <c r="L807" s="42" t="n"/>
      <c r="M807" s="42" t="n"/>
      <c r="N807" s="48" t="n"/>
      <c r="O807" s="58" t="n"/>
      <c r="P807" s="42" t="n"/>
      <c r="Q807" s="42" t="n"/>
      <c r="R807" s="48" t="n"/>
      <c r="S807" s="58" t="n"/>
      <c r="T807" s="42" t="n"/>
      <c r="U807" s="42" t="n"/>
      <c r="V807" s="48" t="n"/>
      <c r="W807" s="58" t="n"/>
      <c r="X807" s="42" t="n"/>
      <c r="Y807" s="42" t="n"/>
      <c r="Z807" s="48" t="n"/>
      <c r="AA807" s="58" t="n"/>
      <c r="AB807" s="42" t="n"/>
      <c r="AC807" s="42" t="n"/>
      <c r="AD807" s="48" t="n"/>
      <c r="AE807" s="58" t="n"/>
      <c r="AF807" s="42" t="n"/>
      <c r="AG807" s="42" t="n"/>
      <c r="AH807" s="48" t="n"/>
      <c r="AI807" s="58" t="n"/>
    </row>
    <row r="808">
      <c r="B808" s="2">
        <f>IF(STUDENTS!B807="","",STUDENTS!B807)</f>
        <v/>
      </c>
      <c r="C808" s="44">
        <f>IFERROR(IF(B808="","",_xlfn.XLOOKUP(B808,STUDENTS!$B$3:$B$1048576,STUDENTS!$C$3:$C$1048576)),"Enter a registered reg. no")</f>
        <v/>
      </c>
      <c r="F808" s="66" t="n"/>
      <c r="G808" s="67" t="n"/>
      <c r="J808" s="66" t="n"/>
      <c r="K808" s="67" t="n"/>
      <c r="N808" s="66" t="n"/>
      <c r="O808" s="67" t="n"/>
      <c r="R808" s="66" t="n"/>
      <c r="S808" s="67" t="n"/>
      <c r="V808" s="66" t="n"/>
      <c r="W808" s="67" t="n"/>
      <c r="Z808" s="66" t="n"/>
      <c r="AA808" s="67" t="n"/>
      <c r="AD808" s="66" t="n"/>
      <c r="AE808" s="67" t="n"/>
      <c r="AH808" s="66" t="n"/>
      <c r="AI808" s="67" t="n"/>
    </row>
    <row r="809">
      <c r="B809" s="2">
        <f>IF(STUDENTS!B808="","",STUDENTS!B808)</f>
        <v/>
      </c>
      <c r="C809" s="44">
        <f>IFERROR(IF(B809="","",_xlfn.XLOOKUP(B809,STUDENTS!$B$3:$B$1048576,STUDENTS!$C$3:$C$1048576)),"Enter a registered reg. no")</f>
        <v/>
      </c>
      <c r="D809" s="54" t="n"/>
      <c r="E809" s="55" t="n"/>
      <c r="F809" s="48" t="n"/>
      <c r="G809" s="58" t="n"/>
      <c r="H809" s="62" t="n"/>
      <c r="I809" s="63" t="n"/>
      <c r="J809" s="48" t="n"/>
      <c r="K809" s="58" t="n"/>
      <c r="L809" s="42" t="n"/>
      <c r="M809" s="42" t="n"/>
      <c r="N809" s="48" t="n"/>
      <c r="O809" s="58" t="n"/>
      <c r="P809" s="42" t="n"/>
      <c r="Q809" s="42" t="n"/>
      <c r="R809" s="48" t="n"/>
      <c r="S809" s="58" t="n"/>
      <c r="T809" s="42" t="n"/>
      <c r="U809" s="42" t="n"/>
      <c r="V809" s="48" t="n"/>
      <c r="W809" s="58" t="n"/>
      <c r="X809" s="42" t="n"/>
      <c r="Y809" s="42" t="n"/>
      <c r="Z809" s="48" t="n"/>
      <c r="AA809" s="58" t="n"/>
      <c r="AB809" s="42" t="n"/>
      <c r="AC809" s="42" t="n"/>
      <c r="AD809" s="48" t="n"/>
      <c r="AE809" s="58" t="n"/>
      <c r="AF809" s="42" t="n"/>
      <c r="AG809" s="42" t="n"/>
      <c r="AH809" s="48" t="n"/>
      <c r="AI809" s="58" t="n"/>
    </row>
    <row r="810">
      <c r="B810" s="2">
        <f>IF(STUDENTS!B809="","",STUDENTS!B809)</f>
        <v/>
      </c>
      <c r="C810" s="44">
        <f>IFERROR(IF(B810="","",_xlfn.XLOOKUP(B810,STUDENTS!$B$3:$B$1048576,STUDENTS!$C$3:$C$1048576)),"Enter a registered reg. no")</f>
        <v/>
      </c>
      <c r="F810" s="66" t="n"/>
      <c r="G810" s="67" t="n"/>
      <c r="J810" s="66" t="n"/>
      <c r="K810" s="67" t="n"/>
      <c r="N810" s="66" t="n"/>
      <c r="O810" s="67" t="n"/>
      <c r="R810" s="66" t="n"/>
      <c r="S810" s="67" t="n"/>
      <c r="V810" s="66" t="n"/>
      <c r="W810" s="67" t="n"/>
      <c r="Z810" s="66" t="n"/>
      <c r="AA810" s="67" t="n"/>
      <c r="AD810" s="66" t="n"/>
      <c r="AE810" s="67" t="n"/>
      <c r="AH810" s="66" t="n"/>
      <c r="AI810" s="67" t="n"/>
    </row>
    <row r="811">
      <c r="B811" s="2">
        <f>IF(STUDENTS!B810="","",STUDENTS!B810)</f>
        <v/>
      </c>
      <c r="C811" s="44">
        <f>IFERROR(IF(B811="","",_xlfn.XLOOKUP(B811,STUDENTS!$B$3:$B$1048576,STUDENTS!$C$3:$C$1048576)),"Enter a registered reg. no")</f>
        <v/>
      </c>
      <c r="D811" s="54" t="n"/>
      <c r="E811" s="55" t="n"/>
      <c r="F811" s="48" t="n"/>
      <c r="G811" s="58" t="n"/>
      <c r="H811" s="62" t="n"/>
      <c r="I811" s="63" t="n"/>
      <c r="J811" s="48" t="n"/>
      <c r="K811" s="58" t="n"/>
      <c r="L811" s="42" t="n"/>
      <c r="M811" s="42" t="n"/>
      <c r="N811" s="48" t="n"/>
      <c r="O811" s="58" t="n"/>
      <c r="P811" s="42" t="n"/>
      <c r="Q811" s="42" t="n"/>
      <c r="R811" s="48" t="n"/>
      <c r="S811" s="58" t="n"/>
      <c r="T811" s="42" t="n"/>
      <c r="U811" s="42" t="n"/>
      <c r="V811" s="48" t="n"/>
      <c r="W811" s="58" t="n"/>
      <c r="X811" s="42" t="n"/>
      <c r="Y811" s="42" t="n"/>
      <c r="Z811" s="48" t="n"/>
      <c r="AA811" s="58" t="n"/>
      <c r="AB811" s="42" t="n"/>
      <c r="AC811" s="42" t="n"/>
      <c r="AD811" s="48" t="n"/>
      <c r="AE811" s="58" t="n"/>
      <c r="AF811" s="42" t="n"/>
      <c r="AG811" s="42" t="n"/>
      <c r="AH811" s="48" t="n"/>
      <c r="AI811" s="58" t="n"/>
    </row>
    <row r="812">
      <c r="B812" s="2">
        <f>IF(STUDENTS!B811="","",STUDENTS!B811)</f>
        <v/>
      </c>
      <c r="C812" s="44">
        <f>IFERROR(IF(B812="","",_xlfn.XLOOKUP(B812,STUDENTS!$B$3:$B$1048576,STUDENTS!$C$3:$C$1048576)),"Enter a registered reg. no")</f>
        <v/>
      </c>
      <c r="F812" s="66" t="n"/>
      <c r="G812" s="67" t="n"/>
      <c r="J812" s="66" t="n"/>
      <c r="K812" s="67" t="n"/>
      <c r="N812" s="66" t="n"/>
      <c r="O812" s="67" t="n"/>
      <c r="R812" s="66" t="n"/>
      <c r="S812" s="67" t="n"/>
      <c r="V812" s="66" t="n"/>
      <c r="W812" s="67" t="n"/>
      <c r="Z812" s="66" t="n"/>
      <c r="AA812" s="67" t="n"/>
      <c r="AD812" s="66" t="n"/>
      <c r="AE812" s="67" t="n"/>
      <c r="AH812" s="66" t="n"/>
      <c r="AI812" s="67" t="n"/>
    </row>
    <row r="813">
      <c r="B813" s="2">
        <f>IF(STUDENTS!B812="","",STUDENTS!B812)</f>
        <v/>
      </c>
      <c r="C813" s="44">
        <f>IFERROR(IF(B813="","",_xlfn.XLOOKUP(B813,STUDENTS!$B$3:$B$1048576,STUDENTS!$C$3:$C$1048576)),"Enter a registered reg. no")</f>
        <v/>
      </c>
      <c r="D813" s="54" t="n"/>
      <c r="E813" s="55" t="n"/>
      <c r="F813" s="48" t="n"/>
      <c r="G813" s="58" t="n"/>
      <c r="H813" s="62" t="n"/>
      <c r="I813" s="63" t="n"/>
      <c r="J813" s="48" t="n"/>
      <c r="K813" s="58" t="n"/>
      <c r="L813" s="42" t="n"/>
      <c r="M813" s="42" t="n"/>
      <c r="N813" s="48" t="n"/>
      <c r="O813" s="58" t="n"/>
      <c r="P813" s="42" t="n"/>
      <c r="Q813" s="42" t="n"/>
      <c r="R813" s="48" t="n"/>
      <c r="S813" s="58" t="n"/>
      <c r="T813" s="42" t="n"/>
      <c r="U813" s="42" t="n"/>
      <c r="V813" s="48" t="n"/>
      <c r="W813" s="58" t="n"/>
      <c r="X813" s="42" t="n"/>
      <c r="Y813" s="42" t="n"/>
      <c r="Z813" s="48" t="n"/>
      <c r="AA813" s="58" t="n"/>
      <c r="AB813" s="42" t="n"/>
      <c r="AC813" s="42" t="n"/>
      <c r="AD813" s="48" t="n"/>
      <c r="AE813" s="58" t="n"/>
      <c r="AF813" s="42" t="n"/>
      <c r="AG813" s="42" t="n"/>
      <c r="AH813" s="48" t="n"/>
      <c r="AI813" s="58" t="n"/>
    </row>
    <row r="814">
      <c r="B814" s="2">
        <f>IF(STUDENTS!B813="","",STUDENTS!B813)</f>
        <v/>
      </c>
      <c r="C814" s="44">
        <f>IFERROR(IF(B814="","",_xlfn.XLOOKUP(B814,STUDENTS!$B$3:$B$1048576,STUDENTS!$C$3:$C$1048576)),"Enter a registered reg. no")</f>
        <v/>
      </c>
      <c r="F814" s="66" t="n"/>
      <c r="G814" s="67" t="n"/>
      <c r="J814" s="66" t="n"/>
      <c r="K814" s="67" t="n"/>
      <c r="N814" s="66" t="n"/>
      <c r="O814" s="67" t="n"/>
      <c r="R814" s="66" t="n"/>
      <c r="S814" s="67" t="n"/>
      <c r="V814" s="66" t="n"/>
      <c r="W814" s="67" t="n"/>
      <c r="Z814" s="66" t="n"/>
      <c r="AA814" s="67" t="n"/>
      <c r="AD814" s="66" t="n"/>
      <c r="AE814" s="67" t="n"/>
      <c r="AH814" s="66" t="n"/>
      <c r="AI814" s="67" t="n"/>
    </row>
    <row r="815">
      <c r="B815" s="2">
        <f>IF(STUDENTS!B814="","",STUDENTS!B814)</f>
        <v/>
      </c>
      <c r="C815" s="44">
        <f>IFERROR(IF(B815="","",_xlfn.XLOOKUP(B815,STUDENTS!$B$3:$B$1048576,STUDENTS!$C$3:$C$1048576)),"Enter a registered reg. no")</f>
        <v/>
      </c>
      <c r="D815" s="54" t="n"/>
      <c r="E815" s="55" t="n"/>
      <c r="F815" s="48" t="n"/>
      <c r="G815" s="58" t="n"/>
      <c r="H815" s="62" t="n"/>
      <c r="I815" s="63" t="n"/>
      <c r="J815" s="48" t="n"/>
      <c r="K815" s="58" t="n"/>
      <c r="L815" s="42" t="n"/>
      <c r="M815" s="42" t="n"/>
      <c r="N815" s="48" t="n"/>
      <c r="O815" s="58" t="n"/>
      <c r="P815" s="42" t="n"/>
      <c r="Q815" s="42" t="n"/>
      <c r="R815" s="48" t="n"/>
      <c r="S815" s="58" t="n"/>
      <c r="T815" s="42" t="n"/>
      <c r="U815" s="42" t="n"/>
      <c r="V815" s="48" t="n"/>
      <c r="W815" s="58" t="n"/>
      <c r="X815" s="42" t="n"/>
      <c r="Y815" s="42" t="n"/>
      <c r="Z815" s="48" t="n"/>
      <c r="AA815" s="58" t="n"/>
      <c r="AB815" s="42" t="n"/>
      <c r="AC815" s="42" t="n"/>
      <c r="AD815" s="48" t="n"/>
      <c r="AE815" s="58" t="n"/>
      <c r="AF815" s="42" t="n"/>
      <c r="AG815" s="42" t="n"/>
      <c r="AH815" s="48" t="n"/>
      <c r="AI815" s="58" t="n"/>
    </row>
    <row r="816">
      <c r="B816" s="2">
        <f>IF(STUDENTS!B815="","",STUDENTS!B815)</f>
        <v/>
      </c>
      <c r="C816" s="44">
        <f>IFERROR(IF(B816="","",_xlfn.XLOOKUP(B816,STUDENTS!$B$3:$B$1048576,STUDENTS!$C$3:$C$1048576)),"Enter a registered reg. no")</f>
        <v/>
      </c>
      <c r="F816" s="66" t="n"/>
      <c r="G816" s="67" t="n"/>
      <c r="J816" s="66" t="n"/>
      <c r="K816" s="67" t="n"/>
      <c r="N816" s="66" t="n"/>
      <c r="O816" s="67" t="n"/>
      <c r="R816" s="66" t="n"/>
      <c r="S816" s="67" t="n"/>
      <c r="V816" s="66" t="n"/>
      <c r="W816" s="67" t="n"/>
      <c r="Z816" s="66" t="n"/>
      <c r="AA816" s="67" t="n"/>
      <c r="AD816" s="66" t="n"/>
      <c r="AE816" s="67" t="n"/>
      <c r="AH816" s="66" t="n"/>
      <c r="AI816" s="67" t="n"/>
    </row>
    <row r="817">
      <c r="B817" s="2">
        <f>IF(STUDENTS!B816="","",STUDENTS!B816)</f>
        <v/>
      </c>
      <c r="C817" s="44">
        <f>IFERROR(IF(B817="","",_xlfn.XLOOKUP(B817,STUDENTS!$B$3:$B$1048576,STUDENTS!$C$3:$C$1048576)),"Enter a registered reg. no")</f>
        <v/>
      </c>
      <c r="D817" s="54" t="n"/>
      <c r="E817" s="55" t="n"/>
      <c r="F817" s="48" t="n"/>
      <c r="G817" s="58" t="n"/>
      <c r="H817" s="62" t="n"/>
      <c r="I817" s="63" t="n"/>
      <c r="J817" s="48" t="n"/>
      <c r="K817" s="58" t="n"/>
      <c r="L817" s="42" t="n"/>
      <c r="M817" s="42" t="n"/>
      <c r="N817" s="48" t="n"/>
      <c r="O817" s="58" t="n"/>
      <c r="P817" s="42" t="n"/>
      <c r="Q817" s="42" t="n"/>
      <c r="R817" s="48" t="n"/>
      <c r="S817" s="58" t="n"/>
      <c r="T817" s="42" t="n"/>
      <c r="U817" s="42" t="n"/>
      <c r="V817" s="48" t="n"/>
      <c r="W817" s="58" t="n"/>
      <c r="X817" s="42" t="n"/>
      <c r="Y817" s="42" t="n"/>
      <c r="Z817" s="48" t="n"/>
      <c r="AA817" s="58" t="n"/>
      <c r="AB817" s="42" t="n"/>
      <c r="AC817" s="42" t="n"/>
      <c r="AD817" s="48" t="n"/>
      <c r="AE817" s="58" t="n"/>
      <c r="AF817" s="42" t="n"/>
      <c r="AG817" s="42" t="n"/>
      <c r="AH817" s="48" t="n"/>
      <c r="AI817" s="58" t="n"/>
    </row>
    <row r="818">
      <c r="B818" s="2">
        <f>IF(STUDENTS!B817="","",STUDENTS!B817)</f>
        <v/>
      </c>
      <c r="C818" s="44">
        <f>IFERROR(IF(B818="","",_xlfn.XLOOKUP(B818,STUDENTS!$B$3:$B$1048576,STUDENTS!$C$3:$C$1048576)),"Enter a registered reg. no")</f>
        <v/>
      </c>
      <c r="F818" s="66" t="n"/>
      <c r="G818" s="67" t="n"/>
      <c r="J818" s="66" t="n"/>
      <c r="K818" s="67" t="n"/>
      <c r="N818" s="66" t="n"/>
      <c r="O818" s="67" t="n"/>
      <c r="R818" s="66" t="n"/>
      <c r="S818" s="67" t="n"/>
      <c r="V818" s="66" t="n"/>
      <c r="W818" s="67" t="n"/>
      <c r="Z818" s="66" t="n"/>
      <c r="AA818" s="67" t="n"/>
      <c r="AD818" s="66" t="n"/>
      <c r="AE818" s="67" t="n"/>
      <c r="AH818" s="66" t="n"/>
      <c r="AI818" s="67" t="n"/>
    </row>
    <row r="819">
      <c r="B819" s="2">
        <f>IF(STUDENTS!B818="","",STUDENTS!B818)</f>
        <v/>
      </c>
      <c r="C819" s="44">
        <f>IFERROR(IF(B819="","",_xlfn.XLOOKUP(B819,STUDENTS!$B$3:$B$1048576,STUDENTS!$C$3:$C$1048576)),"Enter a registered reg. no")</f>
        <v/>
      </c>
      <c r="D819" s="54" t="n"/>
      <c r="E819" s="55" t="n"/>
      <c r="F819" s="48" t="n"/>
      <c r="G819" s="58" t="n"/>
      <c r="H819" s="62" t="n"/>
      <c r="I819" s="63" t="n"/>
      <c r="J819" s="48" t="n"/>
      <c r="K819" s="58" t="n"/>
      <c r="L819" s="42" t="n"/>
      <c r="M819" s="42" t="n"/>
      <c r="N819" s="48" t="n"/>
      <c r="O819" s="58" t="n"/>
      <c r="P819" s="42" t="n"/>
      <c r="Q819" s="42" t="n"/>
      <c r="R819" s="48" t="n"/>
      <c r="S819" s="58" t="n"/>
      <c r="T819" s="42" t="n"/>
      <c r="U819" s="42" t="n"/>
      <c r="V819" s="48" t="n"/>
      <c r="W819" s="58" t="n"/>
      <c r="X819" s="42" t="n"/>
      <c r="Y819" s="42" t="n"/>
      <c r="Z819" s="48" t="n"/>
      <c r="AA819" s="58" t="n"/>
      <c r="AB819" s="42" t="n"/>
      <c r="AC819" s="42" t="n"/>
      <c r="AD819" s="48" t="n"/>
      <c r="AE819" s="58" t="n"/>
      <c r="AF819" s="42" t="n"/>
      <c r="AG819" s="42" t="n"/>
      <c r="AH819" s="48" t="n"/>
      <c r="AI819" s="58" t="n"/>
    </row>
    <row r="820">
      <c r="B820" s="2">
        <f>IF(STUDENTS!B819="","",STUDENTS!B819)</f>
        <v/>
      </c>
      <c r="C820" s="44">
        <f>IFERROR(IF(B820="","",_xlfn.XLOOKUP(B820,STUDENTS!$B$3:$B$1048576,STUDENTS!$C$3:$C$1048576)),"Enter a registered reg. no")</f>
        <v/>
      </c>
      <c r="F820" s="66" t="n"/>
      <c r="G820" s="67" t="n"/>
      <c r="J820" s="66" t="n"/>
      <c r="K820" s="67" t="n"/>
      <c r="N820" s="66" t="n"/>
      <c r="O820" s="67" t="n"/>
      <c r="R820" s="66" t="n"/>
      <c r="S820" s="67" t="n"/>
      <c r="V820" s="66" t="n"/>
      <c r="W820" s="67" t="n"/>
      <c r="Z820" s="66" t="n"/>
      <c r="AA820" s="67" t="n"/>
      <c r="AD820" s="66" t="n"/>
      <c r="AE820" s="67" t="n"/>
      <c r="AH820" s="66" t="n"/>
      <c r="AI820" s="67" t="n"/>
    </row>
    <row r="821">
      <c r="B821" s="2">
        <f>IF(STUDENTS!B820="","",STUDENTS!B820)</f>
        <v/>
      </c>
      <c r="C821" s="44">
        <f>IFERROR(IF(B821="","",_xlfn.XLOOKUP(B821,STUDENTS!$B$3:$B$1048576,STUDENTS!$C$3:$C$1048576)),"Enter a registered reg. no")</f>
        <v/>
      </c>
      <c r="D821" s="54" t="n"/>
      <c r="E821" s="55" t="n"/>
      <c r="F821" s="48" t="n"/>
      <c r="G821" s="58" t="n"/>
      <c r="H821" s="62" t="n"/>
      <c r="I821" s="63" t="n"/>
      <c r="J821" s="48" t="n"/>
      <c r="K821" s="58" t="n"/>
      <c r="L821" s="42" t="n"/>
      <c r="M821" s="42" t="n"/>
      <c r="N821" s="48" t="n"/>
      <c r="O821" s="58" t="n"/>
      <c r="P821" s="42" t="n"/>
      <c r="Q821" s="42" t="n"/>
      <c r="R821" s="48" t="n"/>
      <c r="S821" s="58" t="n"/>
      <c r="T821" s="42" t="n"/>
      <c r="U821" s="42" t="n"/>
      <c r="V821" s="48" t="n"/>
      <c r="W821" s="58" t="n"/>
      <c r="X821" s="42" t="n"/>
      <c r="Y821" s="42" t="n"/>
      <c r="Z821" s="48" t="n"/>
      <c r="AA821" s="58" t="n"/>
      <c r="AB821" s="42" t="n"/>
      <c r="AC821" s="42" t="n"/>
      <c r="AD821" s="48" t="n"/>
      <c r="AE821" s="58" t="n"/>
      <c r="AF821" s="42" t="n"/>
      <c r="AG821" s="42" t="n"/>
      <c r="AH821" s="48" t="n"/>
      <c r="AI821" s="58" t="n"/>
    </row>
    <row r="822">
      <c r="B822" s="2">
        <f>IF(STUDENTS!B821="","",STUDENTS!B821)</f>
        <v/>
      </c>
      <c r="C822" s="44">
        <f>IFERROR(IF(B822="","",_xlfn.XLOOKUP(B822,STUDENTS!$B$3:$B$1048576,STUDENTS!$C$3:$C$1048576)),"Enter a registered reg. no")</f>
        <v/>
      </c>
      <c r="F822" s="66" t="n"/>
      <c r="G822" s="67" t="n"/>
      <c r="J822" s="66" t="n"/>
      <c r="K822" s="67" t="n"/>
      <c r="N822" s="66" t="n"/>
      <c r="O822" s="67" t="n"/>
      <c r="R822" s="66" t="n"/>
      <c r="S822" s="67" t="n"/>
      <c r="V822" s="66" t="n"/>
      <c r="W822" s="67" t="n"/>
      <c r="Z822" s="66" t="n"/>
      <c r="AA822" s="67" t="n"/>
      <c r="AD822" s="66" t="n"/>
      <c r="AE822" s="67" t="n"/>
      <c r="AH822" s="66" t="n"/>
      <c r="AI822" s="67" t="n"/>
    </row>
    <row r="823">
      <c r="B823" s="2">
        <f>IF(STUDENTS!B822="","",STUDENTS!B822)</f>
        <v/>
      </c>
      <c r="C823" s="44">
        <f>IFERROR(IF(B823="","",_xlfn.XLOOKUP(B823,STUDENTS!$B$3:$B$1048576,STUDENTS!$C$3:$C$1048576)),"Enter a registered reg. no")</f>
        <v/>
      </c>
      <c r="D823" s="54" t="n"/>
      <c r="E823" s="55" t="n"/>
      <c r="F823" s="48" t="n"/>
      <c r="G823" s="58" t="n"/>
      <c r="H823" s="62" t="n"/>
      <c r="I823" s="63" t="n"/>
      <c r="J823" s="48" t="n"/>
      <c r="K823" s="58" t="n"/>
      <c r="L823" s="42" t="n"/>
      <c r="M823" s="42" t="n"/>
      <c r="N823" s="48" t="n"/>
      <c r="O823" s="58" t="n"/>
      <c r="P823" s="42" t="n"/>
      <c r="Q823" s="42" t="n"/>
      <c r="R823" s="48" t="n"/>
      <c r="S823" s="58" t="n"/>
      <c r="T823" s="42" t="n"/>
      <c r="U823" s="42" t="n"/>
      <c r="V823" s="48" t="n"/>
      <c r="W823" s="58" t="n"/>
      <c r="X823" s="42" t="n"/>
      <c r="Y823" s="42" t="n"/>
      <c r="Z823" s="48" t="n"/>
      <c r="AA823" s="58" t="n"/>
      <c r="AB823" s="42" t="n"/>
      <c r="AC823" s="42" t="n"/>
      <c r="AD823" s="48" t="n"/>
      <c r="AE823" s="58" t="n"/>
      <c r="AF823" s="42" t="n"/>
      <c r="AG823" s="42" t="n"/>
      <c r="AH823" s="48" t="n"/>
      <c r="AI823" s="58" t="n"/>
    </row>
    <row r="824">
      <c r="B824" s="2">
        <f>IF(STUDENTS!B823="","",STUDENTS!B823)</f>
        <v/>
      </c>
      <c r="C824" s="44">
        <f>IFERROR(IF(B824="","",_xlfn.XLOOKUP(B824,STUDENTS!$B$3:$B$1048576,STUDENTS!$C$3:$C$1048576)),"Enter a registered reg. no")</f>
        <v/>
      </c>
      <c r="F824" s="66" t="n"/>
      <c r="G824" s="67" t="n"/>
      <c r="J824" s="66" t="n"/>
      <c r="K824" s="67" t="n"/>
      <c r="N824" s="66" t="n"/>
      <c r="O824" s="67" t="n"/>
      <c r="R824" s="66" t="n"/>
      <c r="S824" s="67" t="n"/>
      <c r="V824" s="66" t="n"/>
      <c r="W824" s="67" t="n"/>
      <c r="Z824" s="66" t="n"/>
      <c r="AA824" s="67" t="n"/>
      <c r="AD824" s="66" t="n"/>
      <c r="AE824" s="67" t="n"/>
      <c r="AH824" s="66" t="n"/>
      <c r="AI824" s="67" t="n"/>
    </row>
    <row r="825">
      <c r="B825" s="2">
        <f>IF(STUDENTS!B824="","",STUDENTS!B824)</f>
        <v/>
      </c>
      <c r="C825" s="44">
        <f>IFERROR(IF(B825="","",_xlfn.XLOOKUP(B825,STUDENTS!$B$3:$B$1048576,STUDENTS!$C$3:$C$1048576)),"Enter a registered reg. no")</f>
        <v/>
      </c>
      <c r="D825" s="54" t="n"/>
      <c r="E825" s="55" t="n"/>
      <c r="F825" s="48" t="n"/>
      <c r="G825" s="58" t="n"/>
      <c r="H825" s="62" t="n"/>
      <c r="I825" s="63" t="n"/>
      <c r="J825" s="48" t="n"/>
      <c r="K825" s="58" t="n"/>
      <c r="L825" s="42" t="n"/>
      <c r="M825" s="42" t="n"/>
      <c r="N825" s="48" t="n"/>
      <c r="O825" s="58" t="n"/>
      <c r="P825" s="42" t="n"/>
      <c r="Q825" s="42" t="n"/>
      <c r="R825" s="48" t="n"/>
      <c r="S825" s="58" t="n"/>
      <c r="T825" s="42" t="n"/>
      <c r="U825" s="42" t="n"/>
      <c r="V825" s="48" t="n"/>
      <c r="W825" s="58" t="n"/>
      <c r="X825" s="42" t="n"/>
      <c r="Y825" s="42" t="n"/>
      <c r="Z825" s="48" t="n"/>
      <c r="AA825" s="58" t="n"/>
      <c r="AB825" s="42" t="n"/>
      <c r="AC825" s="42" t="n"/>
      <c r="AD825" s="48" t="n"/>
      <c r="AE825" s="58" t="n"/>
      <c r="AF825" s="42" t="n"/>
      <c r="AG825" s="42" t="n"/>
      <c r="AH825" s="48" t="n"/>
      <c r="AI825" s="58" t="n"/>
    </row>
    <row r="826">
      <c r="B826" s="2">
        <f>IF(STUDENTS!B825="","",STUDENTS!B825)</f>
        <v/>
      </c>
      <c r="C826" s="44">
        <f>IFERROR(IF(B826="","",_xlfn.XLOOKUP(B826,STUDENTS!$B$3:$B$1048576,STUDENTS!$C$3:$C$1048576)),"Enter a registered reg. no")</f>
        <v/>
      </c>
      <c r="F826" s="66" t="n"/>
      <c r="G826" s="67" t="n"/>
      <c r="J826" s="66" t="n"/>
      <c r="K826" s="67" t="n"/>
      <c r="N826" s="66" t="n"/>
      <c r="O826" s="67" t="n"/>
      <c r="R826" s="66" t="n"/>
      <c r="S826" s="67" t="n"/>
      <c r="V826" s="66" t="n"/>
      <c r="W826" s="67" t="n"/>
      <c r="Z826" s="66" t="n"/>
      <c r="AA826" s="67" t="n"/>
      <c r="AD826" s="66" t="n"/>
      <c r="AE826" s="67" t="n"/>
      <c r="AH826" s="66" t="n"/>
      <c r="AI826" s="67" t="n"/>
    </row>
    <row r="827">
      <c r="B827" s="2">
        <f>IF(STUDENTS!B826="","",STUDENTS!B826)</f>
        <v/>
      </c>
      <c r="C827" s="44">
        <f>IFERROR(IF(B827="","",_xlfn.XLOOKUP(B827,STUDENTS!$B$3:$B$1048576,STUDENTS!$C$3:$C$1048576)),"Enter a registered reg. no")</f>
        <v/>
      </c>
      <c r="D827" s="54" t="n"/>
      <c r="E827" s="55" t="n"/>
      <c r="F827" s="48" t="n"/>
      <c r="G827" s="58" t="n"/>
      <c r="H827" s="62" t="n"/>
      <c r="I827" s="63" t="n"/>
      <c r="J827" s="48" t="n"/>
      <c r="K827" s="58" t="n"/>
      <c r="L827" s="42" t="n"/>
      <c r="M827" s="42" t="n"/>
      <c r="N827" s="48" t="n"/>
      <c r="O827" s="58" t="n"/>
      <c r="P827" s="42" t="n"/>
      <c r="Q827" s="42" t="n"/>
      <c r="R827" s="48" t="n"/>
      <c r="S827" s="58" t="n"/>
      <c r="T827" s="42" t="n"/>
      <c r="U827" s="42" t="n"/>
      <c r="V827" s="48" t="n"/>
      <c r="W827" s="58" t="n"/>
      <c r="X827" s="42" t="n"/>
      <c r="Y827" s="42" t="n"/>
      <c r="Z827" s="48" t="n"/>
      <c r="AA827" s="58" t="n"/>
      <c r="AB827" s="42" t="n"/>
      <c r="AC827" s="42" t="n"/>
      <c r="AD827" s="48" t="n"/>
      <c r="AE827" s="58" t="n"/>
      <c r="AF827" s="42" t="n"/>
      <c r="AG827" s="42" t="n"/>
      <c r="AH827" s="48" t="n"/>
      <c r="AI827" s="58" t="n"/>
    </row>
    <row r="828">
      <c r="B828" s="2">
        <f>IF(STUDENTS!B827="","",STUDENTS!B827)</f>
        <v/>
      </c>
      <c r="C828" s="44">
        <f>IFERROR(IF(B828="","",_xlfn.XLOOKUP(B828,STUDENTS!$B$3:$B$1048576,STUDENTS!$C$3:$C$1048576)),"Enter a registered reg. no")</f>
        <v/>
      </c>
      <c r="F828" s="66" t="n"/>
      <c r="G828" s="67" t="n"/>
      <c r="J828" s="66" t="n"/>
      <c r="K828" s="67" t="n"/>
      <c r="N828" s="66" t="n"/>
      <c r="O828" s="67" t="n"/>
      <c r="R828" s="66" t="n"/>
      <c r="S828" s="67" t="n"/>
      <c r="V828" s="66" t="n"/>
      <c r="W828" s="67" t="n"/>
      <c r="Z828" s="66" t="n"/>
      <c r="AA828" s="67" t="n"/>
      <c r="AD828" s="66" t="n"/>
      <c r="AE828" s="67" t="n"/>
      <c r="AH828" s="66" t="n"/>
      <c r="AI828" s="67" t="n"/>
    </row>
    <row r="829">
      <c r="B829" s="2">
        <f>IF(STUDENTS!B828="","",STUDENTS!B828)</f>
        <v/>
      </c>
      <c r="C829" s="44">
        <f>IFERROR(IF(B829="","",_xlfn.XLOOKUP(B829,STUDENTS!$B$3:$B$1048576,STUDENTS!$C$3:$C$1048576)),"Enter a registered reg. no")</f>
        <v/>
      </c>
      <c r="D829" s="54" t="n"/>
      <c r="E829" s="55" t="n"/>
      <c r="F829" s="48" t="n"/>
      <c r="G829" s="58" t="n"/>
      <c r="H829" s="62" t="n"/>
      <c r="I829" s="63" t="n"/>
      <c r="J829" s="48" t="n"/>
      <c r="K829" s="58" t="n"/>
      <c r="L829" s="42" t="n"/>
      <c r="M829" s="42" t="n"/>
      <c r="N829" s="48" t="n"/>
      <c r="O829" s="58" t="n"/>
      <c r="P829" s="42" t="n"/>
      <c r="Q829" s="42" t="n"/>
      <c r="R829" s="48" t="n"/>
      <c r="S829" s="58" t="n"/>
      <c r="T829" s="42" t="n"/>
      <c r="U829" s="42" t="n"/>
      <c r="V829" s="48" t="n"/>
      <c r="W829" s="58" t="n"/>
      <c r="X829" s="42" t="n"/>
      <c r="Y829" s="42" t="n"/>
      <c r="Z829" s="48" t="n"/>
      <c r="AA829" s="58" t="n"/>
      <c r="AB829" s="42" t="n"/>
      <c r="AC829" s="42" t="n"/>
      <c r="AD829" s="48" t="n"/>
      <c r="AE829" s="58" t="n"/>
      <c r="AF829" s="42" t="n"/>
      <c r="AG829" s="42" t="n"/>
      <c r="AH829" s="48" t="n"/>
      <c r="AI829" s="58" t="n"/>
    </row>
    <row r="830">
      <c r="B830" s="2">
        <f>IF(STUDENTS!B829="","",STUDENTS!B829)</f>
        <v/>
      </c>
      <c r="C830" s="44">
        <f>IFERROR(IF(B830="","",_xlfn.XLOOKUP(B830,STUDENTS!$B$3:$B$1048576,STUDENTS!$C$3:$C$1048576)),"Enter a registered reg. no")</f>
        <v/>
      </c>
      <c r="F830" s="66" t="n"/>
      <c r="G830" s="67" t="n"/>
      <c r="J830" s="66" t="n"/>
      <c r="K830" s="67" t="n"/>
      <c r="N830" s="66" t="n"/>
      <c r="O830" s="67" t="n"/>
      <c r="R830" s="66" t="n"/>
      <c r="S830" s="67" t="n"/>
      <c r="V830" s="66" t="n"/>
      <c r="W830" s="67" t="n"/>
      <c r="Z830" s="66" t="n"/>
      <c r="AA830" s="67" t="n"/>
      <c r="AD830" s="66" t="n"/>
      <c r="AE830" s="67" t="n"/>
      <c r="AH830" s="66" t="n"/>
      <c r="AI830" s="67" t="n"/>
    </row>
    <row r="831">
      <c r="B831" s="2">
        <f>IF(STUDENTS!B830="","",STUDENTS!B830)</f>
        <v/>
      </c>
      <c r="C831" s="44">
        <f>IFERROR(IF(B831="","",_xlfn.XLOOKUP(B831,STUDENTS!$B$3:$B$1048576,STUDENTS!$C$3:$C$1048576)),"Enter a registered reg. no")</f>
        <v/>
      </c>
      <c r="D831" s="54" t="n"/>
      <c r="E831" s="55" t="n"/>
      <c r="F831" s="48" t="n"/>
      <c r="G831" s="58" t="n"/>
      <c r="H831" s="62" t="n"/>
      <c r="I831" s="63" t="n"/>
      <c r="J831" s="48" t="n"/>
      <c r="K831" s="58" t="n"/>
      <c r="L831" s="42" t="n"/>
      <c r="M831" s="42" t="n"/>
      <c r="N831" s="48" t="n"/>
      <c r="O831" s="58" t="n"/>
      <c r="P831" s="42" t="n"/>
      <c r="Q831" s="42" t="n"/>
      <c r="R831" s="48" t="n"/>
      <c r="S831" s="58" t="n"/>
      <c r="T831" s="42" t="n"/>
      <c r="U831" s="42" t="n"/>
      <c r="V831" s="48" t="n"/>
      <c r="W831" s="58" t="n"/>
      <c r="X831" s="42" t="n"/>
      <c r="Y831" s="42" t="n"/>
      <c r="Z831" s="48" t="n"/>
      <c r="AA831" s="58" t="n"/>
      <c r="AB831" s="42" t="n"/>
      <c r="AC831" s="42" t="n"/>
      <c r="AD831" s="48" t="n"/>
      <c r="AE831" s="58" t="n"/>
      <c r="AF831" s="42" t="n"/>
      <c r="AG831" s="42" t="n"/>
      <c r="AH831" s="48" t="n"/>
      <c r="AI831" s="58" t="n"/>
    </row>
    <row r="832">
      <c r="B832" s="2">
        <f>IF(STUDENTS!B831="","",STUDENTS!B831)</f>
        <v/>
      </c>
      <c r="C832" s="44">
        <f>IFERROR(IF(B832="","",_xlfn.XLOOKUP(B832,STUDENTS!$B$3:$B$1048576,STUDENTS!$C$3:$C$1048576)),"Enter a registered reg. no")</f>
        <v/>
      </c>
      <c r="F832" s="66" t="n"/>
      <c r="G832" s="67" t="n"/>
      <c r="J832" s="66" t="n"/>
      <c r="K832" s="67" t="n"/>
      <c r="N832" s="66" t="n"/>
      <c r="O832" s="67" t="n"/>
      <c r="R832" s="66" t="n"/>
      <c r="S832" s="67" t="n"/>
      <c r="V832" s="66" t="n"/>
      <c r="W832" s="67" t="n"/>
      <c r="Z832" s="66" t="n"/>
      <c r="AA832" s="67" t="n"/>
      <c r="AD832" s="66" t="n"/>
      <c r="AE832" s="67" t="n"/>
      <c r="AH832" s="66" t="n"/>
      <c r="AI832" s="67" t="n"/>
    </row>
    <row r="833">
      <c r="B833" s="2">
        <f>IF(STUDENTS!B832="","",STUDENTS!B832)</f>
        <v/>
      </c>
      <c r="C833" s="44">
        <f>IFERROR(IF(B833="","",_xlfn.XLOOKUP(B833,STUDENTS!$B$3:$B$1048576,STUDENTS!$C$3:$C$1048576)),"Enter a registered reg. no")</f>
        <v/>
      </c>
      <c r="D833" s="54" t="n"/>
      <c r="E833" s="55" t="n"/>
      <c r="F833" s="48" t="n"/>
      <c r="G833" s="58" t="n"/>
      <c r="H833" s="62" t="n"/>
      <c r="I833" s="63" t="n"/>
      <c r="J833" s="48" t="n"/>
      <c r="K833" s="58" t="n"/>
      <c r="L833" s="42" t="n"/>
      <c r="M833" s="42" t="n"/>
      <c r="N833" s="48" t="n"/>
      <c r="O833" s="58" t="n"/>
      <c r="P833" s="42" t="n"/>
      <c r="Q833" s="42" t="n"/>
      <c r="R833" s="48" t="n"/>
      <c r="S833" s="58" t="n"/>
      <c r="T833" s="42" t="n"/>
      <c r="U833" s="42" t="n"/>
      <c r="V833" s="48" t="n"/>
      <c r="W833" s="58" t="n"/>
      <c r="X833" s="42" t="n"/>
      <c r="Y833" s="42" t="n"/>
      <c r="Z833" s="48" t="n"/>
      <c r="AA833" s="58" t="n"/>
      <c r="AB833" s="42" t="n"/>
      <c r="AC833" s="42" t="n"/>
      <c r="AD833" s="48" t="n"/>
      <c r="AE833" s="58" t="n"/>
      <c r="AF833" s="42" t="n"/>
      <c r="AG833" s="42" t="n"/>
      <c r="AH833" s="48" t="n"/>
      <c r="AI833" s="58" t="n"/>
    </row>
    <row r="834">
      <c r="B834" s="2">
        <f>IF(STUDENTS!B833="","",STUDENTS!B833)</f>
        <v/>
      </c>
      <c r="C834" s="44">
        <f>IFERROR(IF(B834="","",_xlfn.XLOOKUP(B834,STUDENTS!$B$3:$B$1048576,STUDENTS!$C$3:$C$1048576)),"Enter a registered reg. no")</f>
        <v/>
      </c>
      <c r="F834" s="66" t="n"/>
      <c r="G834" s="67" t="n"/>
      <c r="J834" s="66" t="n"/>
      <c r="K834" s="67" t="n"/>
      <c r="N834" s="66" t="n"/>
      <c r="O834" s="67" t="n"/>
      <c r="R834" s="66" t="n"/>
      <c r="S834" s="67" t="n"/>
      <c r="V834" s="66" t="n"/>
      <c r="W834" s="67" t="n"/>
      <c r="Z834" s="66" t="n"/>
      <c r="AA834" s="67" t="n"/>
      <c r="AD834" s="66" t="n"/>
      <c r="AE834" s="67" t="n"/>
      <c r="AH834" s="66" t="n"/>
      <c r="AI834" s="67" t="n"/>
    </row>
    <row r="835">
      <c r="B835" s="2">
        <f>IF(STUDENTS!B834="","",STUDENTS!B834)</f>
        <v/>
      </c>
      <c r="C835" s="44">
        <f>IFERROR(IF(B835="","",_xlfn.XLOOKUP(B835,STUDENTS!$B$3:$B$1048576,STUDENTS!$C$3:$C$1048576)),"Enter a registered reg. no")</f>
        <v/>
      </c>
      <c r="D835" s="54" t="n"/>
      <c r="E835" s="55" t="n"/>
      <c r="F835" s="48" t="n"/>
      <c r="G835" s="58" t="n"/>
      <c r="H835" s="62" t="n"/>
      <c r="I835" s="63" t="n"/>
      <c r="J835" s="48" t="n"/>
      <c r="K835" s="58" t="n"/>
      <c r="L835" s="42" t="n"/>
      <c r="M835" s="42" t="n"/>
      <c r="N835" s="48" t="n"/>
      <c r="O835" s="58" t="n"/>
      <c r="P835" s="42" t="n"/>
      <c r="Q835" s="42" t="n"/>
      <c r="R835" s="48" t="n"/>
      <c r="S835" s="58" t="n"/>
      <c r="T835" s="42" t="n"/>
      <c r="U835" s="42" t="n"/>
      <c r="V835" s="48" t="n"/>
      <c r="W835" s="58" t="n"/>
      <c r="X835" s="42" t="n"/>
      <c r="Y835" s="42" t="n"/>
      <c r="Z835" s="48" t="n"/>
      <c r="AA835" s="58" t="n"/>
      <c r="AB835" s="42" t="n"/>
      <c r="AC835" s="42" t="n"/>
      <c r="AD835" s="48" t="n"/>
      <c r="AE835" s="58" t="n"/>
      <c r="AF835" s="42" t="n"/>
      <c r="AG835" s="42" t="n"/>
      <c r="AH835" s="48" t="n"/>
      <c r="AI835" s="58" t="n"/>
    </row>
    <row r="836">
      <c r="B836" s="2">
        <f>IF(STUDENTS!B835="","",STUDENTS!B835)</f>
        <v/>
      </c>
      <c r="C836" s="44">
        <f>IFERROR(IF(B836="","",_xlfn.XLOOKUP(B836,STUDENTS!$B$3:$B$1048576,STUDENTS!$C$3:$C$1048576)),"Enter a registered reg. no")</f>
        <v/>
      </c>
      <c r="F836" s="66" t="n"/>
      <c r="G836" s="67" t="n"/>
      <c r="J836" s="66" t="n"/>
      <c r="K836" s="67" t="n"/>
      <c r="N836" s="66" t="n"/>
      <c r="O836" s="67" t="n"/>
      <c r="R836" s="66" t="n"/>
      <c r="S836" s="67" t="n"/>
      <c r="V836" s="66" t="n"/>
      <c r="W836" s="67" t="n"/>
      <c r="Z836" s="66" t="n"/>
      <c r="AA836" s="67" t="n"/>
      <c r="AD836" s="66" t="n"/>
      <c r="AE836" s="67" t="n"/>
      <c r="AH836" s="66" t="n"/>
      <c r="AI836" s="67" t="n"/>
    </row>
    <row r="837">
      <c r="B837" s="2">
        <f>IF(STUDENTS!B836="","",STUDENTS!B836)</f>
        <v/>
      </c>
      <c r="C837" s="44">
        <f>IFERROR(IF(B837="","",_xlfn.XLOOKUP(B837,STUDENTS!$B$3:$B$1048576,STUDENTS!$C$3:$C$1048576)),"Enter a registered reg. no")</f>
        <v/>
      </c>
      <c r="D837" s="54" t="n"/>
      <c r="E837" s="55" t="n"/>
      <c r="F837" s="48" t="n"/>
      <c r="G837" s="58" t="n"/>
      <c r="H837" s="62" t="n"/>
      <c r="I837" s="63" t="n"/>
      <c r="J837" s="48" t="n"/>
      <c r="K837" s="58" t="n"/>
      <c r="L837" s="42" t="n"/>
      <c r="M837" s="42" t="n"/>
      <c r="N837" s="48" t="n"/>
      <c r="O837" s="58" t="n"/>
      <c r="P837" s="42" t="n"/>
      <c r="Q837" s="42" t="n"/>
      <c r="R837" s="48" t="n"/>
      <c r="S837" s="58" t="n"/>
      <c r="T837" s="42" t="n"/>
      <c r="U837" s="42" t="n"/>
      <c r="V837" s="48" t="n"/>
      <c r="W837" s="58" t="n"/>
      <c r="X837" s="42" t="n"/>
      <c r="Y837" s="42" t="n"/>
      <c r="Z837" s="48" t="n"/>
      <c r="AA837" s="58" t="n"/>
      <c r="AB837" s="42" t="n"/>
      <c r="AC837" s="42" t="n"/>
      <c r="AD837" s="48" t="n"/>
      <c r="AE837" s="58" t="n"/>
      <c r="AF837" s="42" t="n"/>
      <c r="AG837" s="42" t="n"/>
      <c r="AH837" s="48" t="n"/>
      <c r="AI837" s="58" t="n"/>
    </row>
    <row r="838">
      <c r="B838" s="2">
        <f>IF(STUDENTS!B837="","",STUDENTS!B837)</f>
        <v/>
      </c>
      <c r="C838" s="44">
        <f>IFERROR(IF(B838="","",_xlfn.XLOOKUP(B838,STUDENTS!$B$3:$B$1048576,STUDENTS!$C$3:$C$1048576)),"Enter a registered reg. no")</f>
        <v/>
      </c>
      <c r="F838" s="66" t="n"/>
      <c r="G838" s="67" t="n"/>
      <c r="J838" s="66" t="n"/>
      <c r="K838" s="67" t="n"/>
      <c r="N838" s="66" t="n"/>
      <c r="O838" s="67" t="n"/>
      <c r="R838" s="66" t="n"/>
      <c r="S838" s="67" t="n"/>
      <c r="V838" s="66" t="n"/>
      <c r="W838" s="67" t="n"/>
      <c r="Z838" s="66" t="n"/>
      <c r="AA838" s="67" t="n"/>
      <c r="AD838" s="66" t="n"/>
      <c r="AE838" s="67" t="n"/>
      <c r="AH838" s="66" t="n"/>
      <c r="AI838" s="67" t="n"/>
    </row>
    <row r="839">
      <c r="B839" s="2">
        <f>IF(STUDENTS!B838="","",STUDENTS!B838)</f>
        <v/>
      </c>
      <c r="C839" s="44">
        <f>IFERROR(IF(B839="","",_xlfn.XLOOKUP(B839,STUDENTS!$B$3:$B$1048576,STUDENTS!$C$3:$C$1048576)),"Enter a registered reg. no")</f>
        <v/>
      </c>
      <c r="D839" s="54" t="n"/>
      <c r="E839" s="55" t="n"/>
      <c r="F839" s="48" t="n"/>
      <c r="G839" s="58" t="n"/>
      <c r="H839" s="62" t="n"/>
      <c r="I839" s="63" t="n"/>
      <c r="J839" s="48" t="n"/>
      <c r="K839" s="58" t="n"/>
      <c r="L839" s="42" t="n"/>
      <c r="M839" s="42" t="n"/>
      <c r="N839" s="48" t="n"/>
      <c r="O839" s="58" t="n"/>
      <c r="P839" s="42" t="n"/>
      <c r="Q839" s="42" t="n"/>
      <c r="R839" s="48" t="n"/>
      <c r="S839" s="58" t="n"/>
      <c r="T839" s="42" t="n"/>
      <c r="U839" s="42" t="n"/>
      <c r="V839" s="48" t="n"/>
      <c r="W839" s="58" t="n"/>
      <c r="X839" s="42" t="n"/>
      <c r="Y839" s="42" t="n"/>
      <c r="Z839" s="48" t="n"/>
      <c r="AA839" s="58" t="n"/>
      <c r="AB839" s="42" t="n"/>
      <c r="AC839" s="42" t="n"/>
      <c r="AD839" s="48" t="n"/>
      <c r="AE839" s="58" t="n"/>
      <c r="AF839" s="42" t="n"/>
      <c r="AG839" s="42" t="n"/>
      <c r="AH839" s="48" t="n"/>
      <c r="AI839" s="58" t="n"/>
    </row>
    <row r="840">
      <c r="B840" s="2">
        <f>IF(STUDENTS!B839="","",STUDENTS!B839)</f>
        <v/>
      </c>
      <c r="C840" s="44">
        <f>IFERROR(IF(B840="","",_xlfn.XLOOKUP(B840,STUDENTS!$B$3:$B$1048576,STUDENTS!$C$3:$C$1048576)),"Enter a registered reg. no")</f>
        <v/>
      </c>
      <c r="F840" s="66" t="n"/>
      <c r="G840" s="67" t="n"/>
      <c r="J840" s="66" t="n"/>
      <c r="K840" s="67" t="n"/>
      <c r="N840" s="66" t="n"/>
      <c r="O840" s="67" t="n"/>
      <c r="R840" s="66" t="n"/>
      <c r="S840" s="67" t="n"/>
      <c r="V840" s="66" t="n"/>
      <c r="W840" s="67" t="n"/>
      <c r="Z840" s="66" t="n"/>
      <c r="AA840" s="67" t="n"/>
      <c r="AD840" s="66" t="n"/>
      <c r="AE840" s="67" t="n"/>
      <c r="AH840" s="66" t="n"/>
      <c r="AI840" s="67" t="n"/>
    </row>
    <row r="841">
      <c r="B841" s="2">
        <f>IF(STUDENTS!B840="","",STUDENTS!B840)</f>
        <v/>
      </c>
      <c r="C841" s="44">
        <f>IFERROR(IF(B841="","",_xlfn.XLOOKUP(B841,STUDENTS!$B$3:$B$1048576,STUDENTS!$C$3:$C$1048576)),"Enter a registered reg. no")</f>
        <v/>
      </c>
      <c r="D841" s="54" t="n"/>
      <c r="E841" s="55" t="n"/>
      <c r="F841" s="48" t="n"/>
      <c r="G841" s="58" t="n"/>
      <c r="H841" s="62" t="n"/>
      <c r="I841" s="63" t="n"/>
      <c r="J841" s="48" t="n"/>
      <c r="K841" s="58" t="n"/>
      <c r="L841" s="42" t="n"/>
      <c r="M841" s="42" t="n"/>
      <c r="N841" s="48" t="n"/>
      <c r="O841" s="58" t="n"/>
      <c r="P841" s="42" t="n"/>
      <c r="Q841" s="42" t="n"/>
      <c r="R841" s="48" t="n"/>
      <c r="S841" s="58" t="n"/>
      <c r="T841" s="42" t="n"/>
      <c r="U841" s="42" t="n"/>
      <c r="V841" s="48" t="n"/>
      <c r="W841" s="58" t="n"/>
      <c r="X841" s="42" t="n"/>
      <c r="Y841" s="42" t="n"/>
      <c r="Z841" s="48" t="n"/>
      <c r="AA841" s="58" t="n"/>
      <c r="AB841" s="42" t="n"/>
      <c r="AC841" s="42" t="n"/>
      <c r="AD841" s="48" t="n"/>
      <c r="AE841" s="58" t="n"/>
      <c r="AF841" s="42" t="n"/>
      <c r="AG841" s="42" t="n"/>
      <c r="AH841" s="48" t="n"/>
      <c r="AI841" s="58" t="n"/>
    </row>
    <row r="842">
      <c r="B842" s="2">
        <f>IF(STUDENTS!B841="","",STUDENTS!B841)</f>
        <v/>
      </c>
      <c r="C842" s="44">
        <f>IFERROR(IF(B842="","",_xlfn.XLOOKUP(B842,STUDENTS!$B$3:$B$1048576,STUDENTS!$C$3:$C$1048576)),"Enter a registered reg. no")</f>
        <v/>
      </c>
      <c r="F842" s="66" t="n"/>
      <c r="G842" s="67" t="n"/>
      <c r="J842" s="66" t="n"/>
      <c r="K842" s="67" t="n"/>
      <c r="N842" s="66" t="n"/>
      <c r="O842" s="67" t="n"/>
      <c r="R842" s="66" t="n"/>
      <c r="S842" s="67" t="n"/>
      <c r="V842" s="66" t="n"/>
      <c r="W842" s="67" t="n"/>
      <c r="Z842" s="66" t="n"/>
      <c r="AA842" s="67" t="n"/>
      <c r="AD842" s="66" t="n"/>
      <c r="AE842" s="67" t="n"/>
      <c r="AH842" s="66" t="n"/>
      <c r="AI842" s="67" t="n"/>
    </row>
    <row r="843">
      <c r="B843" s="2">
        <f>IF(STUDENTS!B842="","",STUDENTS!B842)</f>
        <v/>
      </c>
      <c r="C843" s="44">
        <f>IFERROR(IF(B843="","",_xlfn.XLOOKUP(B843,STUDENTS!$B$3:$B$1048576,STUDENTS!$C$3:$C$1048576)),"Enter a registered reg. no")</f>
        <v/>
      </c>
      <c r="D843" s="54" t="n"/>
      <c r="E843" s="55" t="n"/>
      <c r="F843" s="48" t="n"/>
      <c r="G843" s="58" t="n"/>
      <c r="H843" s="62" t="n"/>
      <c r="I843" s="63" t="n"/>
      <c r="J843" s="48" t="n"/>
      <c r="K843" s="58" t="n"/>
      <c r="L843" s="42" t="n"/>
      <c r="M843" s="42" t="n"/>
      <c r="N843" s="48" t="n"/>
      <c r="O843" s="58" t="n"/>
      <c r="P843" s="42" t="n"/>
      <c r="Q843" s="42" t="n"/>
      <c r="R843" s="48" t="n"/>
      <c r="S843" s="58" t="n"/>
      <c r="T843" s="42" t="n"/>
      <c r="U843" s="42" t="n"/>
      <c r="V843" s="48" t="n"/>
      <c r="W843" s="58" t="n"/>
      <c r="X843" s="42" t="n"/>
      <c r="Y843" s="42" t="n"/>
      <c r="Z843" s="48" t="n"/>
      <c r="AA843" s="58" t="n"/>
      <c r="AB843" s="42" t="n"/>
      <c r="AC843" s="42" t="n"/>
      <c r="AD843" s="48" t="n"/>
      <c r="AE843" s="58" t="n"/>
      <c r="AF843" s="42" t="n"/>
      <c r="AG843" s="42" t="n"/>
      <c r="AH843" s="48" t="n"/>
      <c r="AI843" s="58" t="n"/>
    </row>
    <row r="844">
      <c r="B844" s="2">
        <f>IF(STUDENTS!B843="","",STUDENTS!B843)</f>
        <v/>
      </c>
      <c r="C844" s="44">
        <f>IFERROR(IF(B844="","",_xlfn.XLOOKUP(B844,STUDENTS!$B$3:$B$1048576,STUDENTS!$C$3:$C$1048576)),"Enter a registered reg. no")</f>
        <v/>
      </c>
      <c r="F844" s="66" t="n"/>
      <c r="G844" s="67" t="n"/>
      <c r="J844" s="66" t="n"/>
      <c r="K844" s="67" t="n"/>
      <c r="N844" s="66" t="n"/>
      <c r="O844" s="67" t="n"/>
      <c r="R844" s="66" t="n"/>
      <c r="S844" s="67" t="n"/>
      <c r="V844" s="66" t="n"/>
      <c r="W844" s="67" t="n"/>
      <c r="Z844" s="66" t="n"/>
      <c r="AA844" s="67" t="n"/>
      <c r="AD844" s="66" t="n"/>
      <c r="AE844" s="67" t="n"/>
      <c r="AH844" s="66" t="n"/>
      <c r="AI844" s="67" t="n"/>
    </row>
    <row r="845">
      <c r="B845" s="2">
        <f>IF(STUDENTS!B844="","",STUDENTS!B844)</f>
        <v/>
      </c>
      <c r="C845" s="44">
        <f>IFERROR(IF(B845="","",_xlfn.XLOOKUP(B845,STUDENTS!$B$3:$B$1048576,STUDENTS!$C$3:$C$1048576)),"Enter a registered reg. no")</f>
        <v/>
      </c>
      <c r="D845" s="54" t="n"/>
      <c r="E845" s="55" t="n"/>
      <c r="F845" s="48" t="n"/>
      <c r="G845" s="58" t="n"/>
      <c r="H845" s="62" t="n"/>
      <c r="I845" s="63" t="n"/>
      <c r="J845" s="48" t="n"/>
      <c r="K845" s="58" t="n"/>
      <c r="L845" s="42" t="n"/>
      <c r="M845" s="42" t="n"/>
      <c r="N845" s="48" t="n"/>
      <c r="O845" s="58" t="n"/>
      <c r="P845" s="42" t="n"/>
      <c r="Q845" s="42" t="n"/>
      <c r="R845" s="48" t="n"/>
      <c r="S845" s="58" t="n"/>
      <c r="T845" s="42" t="n"/>
      <c r="U845" s="42" t="n"/>
      <c r="V845" s="48" t="n"/>
      <c r="W845" s="58" t="n"/>
      <c r="X845" s="42" t="n"/>
      <c r="Y845" s="42" t="n"/>
      <c r="Z845" s="48" t="n"/>
      <c r="AA845" s="58" t="n"/>
      <c r="AB845" s="42" t="n"/>
      <c r="AC845" s="42" t="n"/>
      <c r="AD845" s="48" t="n"/>
      <c r="AE845" s="58" t="n"/>
      <c r="AF845" s="42" t="n"/>
      <c r="AG845" s="42" t="n"/>
      <c r="AH845" s="48" t="n"/>
      <c r="AI845" s="58" t="n"/>
    </row>
    <row r="846">
      <c r="B846" s="2">
        <f>IF(STUDENTS!B845="","",STUDENTS!B845)</f>
        <v/>
      </c>
      <c r="C846" s="44">
        <f>IFERROR(IF(B846="","",_xlfn.XLOOKUP(B846,STUDENTS!$B$3:$B$1048576,STUDENTS!$C$3:$C$1048576)),"Enter a registered reg. no")</f>
        <v/>
      </c>
      <c r="F846" s="66" t="n"/>
      <c r="G846" s="67" t="n"/>
      <c r="J846" s="66" t="n"/>
      <c r="K846" s="67" t="n"/>
      <c r="N846" s="66" t="n"/>
      <c r="O846" s="67" t="n"/>
      <c r="R846" s="66" t="n"/>
      <c r="S846" s="67" t="n"/>
      <c r="V846" s="66" t="n"/>
      <c r="W846" s="67" t="n"/>
      <c r="Z846" s="66" t="n"/>
      <c r="AA846" s="67" t="n"/>
      <c r="AD846" s="66" t="n"/>
      <c r="AE846" s="67" t="n"/>
      <c r="AH846" s="66" t="n"/>
      <c r="AI846" s="67" t="n"/>
    </row>
    <row r="847">
      <c r="B847" s="2">
        <f>IF(STUDENTS!B846="","",STUDENTS!B846)</f>
        <v/>
      </c>
      <c r="C847" s="44">
        <f>IFERROR(IF(B847="","",_xlfn.XLOOKUP(B847,STUDENTS!$B$3:$B$1048576,STUDENTS!$C$3:$C$1048576)),"Enter a registered reg. no")</f>
        <v/>
      </c>
      <c r="D847" s="54" t="n"/>
      <c r="E847" s="55" t="n"/>
      <c r="F847" s="48" t="n"/>
      <c r="G847" s="58" t="n"/>
      <c r="H847" s="62" t="n"/>
      <c r="I847" s="63" t="n"/>
      <c r="J847" s="48" t="n"/>
      <c r="K847" s="58" t="n"/>
      <c r="L847" s="42" t="n"/>
      <c r="M847" s="42" t="n"/>
      <c r="N847" s="48" t="n"/>
      <c r="O847" s="58" t="n"/>
      <c r="P847" s="42" t="n"/>
      <c r="Q847" s="42" t="n"/>
      <c r="R847" s="48" t="n"/>
      <c r="S847" s="58" t="n"/>
      <c r="T847" s="42" t="n"/>
      <c r="U847" s="42" t="n"/>
      <c r="V847" s="48" t="n"/>
      <c r="W847" s="58" t="n"/>
      <c r="X847" s="42" t="n"/>
      <c r="Y847" s="42" t="n"/>
      <c r="Z847" s="48" t="n"/>
      <c r="AA847" s="58" t="n"/>
      <c r="AB847" s="42" t="n"/>
      <c r="AC847" s="42" t="n"/>
      <c r="AD847" s="48" t="n"/>
      <c r="AE847" s="58" t="n"/>
      <c r="AF847" s="42" t="n"/>
      <c r="AG847" s="42" t="n"/>
      <c r="AH847" s="48" t="n"/>
      <c r="AI847" s="58" t="n"/>
    </row>
    <row r="848">
      <c r="B848" s="2">
        <f>IF(STUDENTS!B847="","",STUDENTS!B847)</f>
        <v/>
      </c>
      <c r="C848" s="44">
        <f>IFERROR(IF(B848="","",_xlfn.XLOOKUP(B848,STUDENTS!$B$3:$B$1048576,STUDENTS!$C$3:$C$1048576)),"Enter a registered reg. no")</f>
        <v/>
      </c>
      <c r="F848" s="66" t="n"/>
      <c r="G848" s="67" t="n"/>
      <c r="J848" s="66" t="n"/>
      <c r="K848" s="67" t="n"/>
      <c r="N848" s="66" t="n"/>
      <c r="O848" s="67" t="n"/>
      <c r="R848" s="66" t="n"/>
      <c r="S848" s="67" t="n"/>
      <c r="V848" s="66" t="n"/>
      <c r="W848" s="67" t="n"/>
      <c r="Z848" s="66" t="n"/>
      <c r="AA848" s="67" t="n"/>
      <c r="AD848" s="66" t="n"/>
      <c r="AE848" s="67" t="n"/>
      <c r="AH848" s="66" t="n"/>
      <c r="AI848" s="67" t="n"/>
    </row>
    <row r="849">
      <c r="B849" s="2">
        <f>IF(STUDENTS!B848="","",STUDENTS!B848)</f>
        <v/>
      </c>
      <c r="C849" s="44">
        <f>IFERROR(IF(B849="","",_xlfn.XLOOKUP(B849,STUDENTS!$B$3:$B$1048576,STUDENTS!$C$3:$C$1048576)),"Enter a registered reg. no")</f>
        <v/>
      </c>
      <c r="D849" s="54" t="n"/>
      <c r="E849" s="55" t="n"/>
      <c r="F849" s="48" t="n"/>
      <c r="G849" s="58" t="n"/>
      <c r="H849" s="62" t="n"/>
      <c r="I849" s="63" t="n"/>
      <c r="J849" s="48" t="n"/>
      <c r="K849" s="58" t="n"/>
      <c r="L849" s="42" t="n"/>
      <c r="M849" s="42" t="n"/>
      <c r="N849" s="48" t="n"/>
      <c r="O849" s="58" t="n"/>
      <c r="P849" s="42" t="n"/>
      <c r="Q849" s="42" t="n"/>
      <c r="R849" s="48" t="n"/>
      <c r="S849" s="58" t="n"/>
      <c r="T849" s="42" t="n"/>
      <c r="U849" s="42" t="n"/>
      <c r="V849" s="48" t="n"/>
      <c r="W849" s="58" t="n"/>
      <c r="X849" s="42" t="n"/>
      <c r="Y849" s="42" t="n"/>
      <c r="Z849" s="48" t="n"/>
      <c r="AA849" s="58" t="n"/>
      <c r="AB849" s="42" t="n"/>
      <c r="AC849" s="42" t="n"/>
      <c r="AD849" s="48" t="n"/>
      <c r="AE849" s="58" t="n"/>
      <c r="AF849" s="42" t="n"/>
      <c r="AG849" s="42" t="n"/>
      <c r="AH849" s="48" t="n"/>
      <c r="AI849" s="58" t="n"/>
    </row>
    <row r="850">
      <c r="B850" s="2">
        <f>IF(STUDENTS!B849="","",STUDENTS!B849)</f>
        <v/>
      </c>
      <c r="C850" s="44">
        <f>IFERROR(IF(B850="","",_xlfn.XLOOKUP(B850,STUDENTS!$B$3:$B$1048576,STUDENTS!$C$3:$C$1048576)),"Enter a registered reg. no")</f>
        <v/>
      </c>
      <c r="F850" s="66" t="n"/>
      <c r="G850" s="67" t="n"/>
      <c r="J850" s="66" t="n"/>
      <c r="K850" s="67" t="n"/>
      <c r="N850" s="66" t="n"/>
      <c r="O850" s="67" t="n"/>
      <c r="R850" s="66" t="n"/>
      <c r="S850" s="67" t="n"/>
      <c r="V850" s="66" t="n"/>
      <c r="W850" s="67" t="n"/>
      <c r="Z850" s="66" t="n"/>
      <c r="AA850" s="67" t="n"/>
      <c r="AD850" s="66" t="n"/>
      <c r="AE850" s="67" t="n"/>
      <c r="AH850" s="66" t="n"/>
      <c r="AI850" s="67" t="n"/>
    </row>
    <row r="851">
      <c r="B851" s="2">
        <f>IF(STUDENTS!B850="","",STUDENTS!B850)</f>
        <v/>
      </c>
      <c r="C851" s="44">
        <f>IFERROR(IF(B851="","",_xlfn.XLOOKUP(B851,STUDENTS!$B$3:$B$1048576,STUDENTS!$C$3:$C$1048576)),"Enter a registered reg. no")</f>
        <v/>
      </c>
      <c r="D851" s="54" t="n"/>
      <c r="E851" s="55" t="n"/>
      <c r="F851" s="48" t="n"/>
      <c r="G851" s="58" t="n"/>
      <c r="H851" s="62" t="n"/>
      <c r="I851" s="63" t="n"/>
      <c r="J851" s="48" t="n"/>
      <c r="K851" s="58" t="n"/>
      <c r="L851" s="42" t="n"/>
      <c r="M851" s="42" t="n"/>
      <c r="N851" s="48" t="n"/>
      <c r="O851" s="58" t="n"/>
      <c r="P851" s="42" t="n"/>
      <c r="Q851" s="42" t="n"/>
      <c r="R851" s="48" t="n"/>
      <c r="S851" s="58" t="n"/>
      <c r="T851" s="42" t="n"/>
      <c r="U851" s="42" t="n"/>
      <c r="V851" s="48" t="n"/>
      <c r="W851" s="58" t="n"/>
      <c r="X851" s="42" t="n"/>
      <c r="Y851" s="42" t="n"/>
      <c r="Z851" s="48" t="n"/>
      <c r="AA851" s="58" t="n"/>
      <c r="AB851" s="42" t="n"/>
      <c r="AC851" s="42" t="n"/>
      <c r="AD851" s="48" t="n"/>
      <c r="AE851" s="58" t="n"/>
      <c r="AF851" s="42" t="n"/>
      <c r="AG851" s="42" t="n"/>
      <c r="AH851" s="48" t="n"/>
      <c r="AI851" s="58" t="n"/>
    </row>
    <row r="852">
      <c r="B852" s="2">
        <f>IF(STUDENTS!B851="","",STUDENTS!B851)</f>
        <v/>
      </c>
      <c r="C852" s="44">
        <f>IFERROR(IF(B852="","",_xlfn.XLOOKUP(B852,STUDENTS!$B$3:$B$1048576,STUDENTS!$C$3:$C$1048576)),"Enter a registered reg. no")</f>
        <v/>
      </c>
      <c r="F852" s="66" t="n"/>
      <c r="G852" s="67" t="n"/>
      <c r="J852" s="66" t="n"/>
      <c r="K852" s="67" t="n"/>
      <c r="N852" s="66" t="n"/>
      <c r="O852" s="67" t="n"/>
      <c r="R852" s="66" t="n"/>
      <c r="S852" s="67" t="n"/>
      <c r="V852" s="66" t="n"/>
      <c r="W852" s="67" t="n"/>
      <c r="Z852" s="66" t="n"/>
      <c r="AA852" s="67" t="n"/>
      <c r="AD852" s="66" t="n"/>
      <c r="AE852" s="67" t="n"/>
      <c r="AH852" s="66" t="n"/>
      <c r="AI852" s="67" t="n"/>
    </row>
    <row r="853">
      <c r="B853" s="2">
        <f>IF(STUDENTS!B852="","",STUDENTS!B852)</f>
        <v/>
      </c>
      <c r="C853" s="44">
        <f>IFERROR(IF(B853="","",_xlfn.XLOOKUP(B853,STUDENTS!$B$3:$B$1048576,STUDENTS!$C$3:$C$1048576)),"Enter a registered reg. no")</f>
        <v/>
      </c>
      <c r="D853" s="54" t="n"/>
      <c r="E853" s="55" t="n"/>
      <c r="F853" s="48" t="n"/>
      <c r="G853" s="58" t="n"/>
      <c r="H853" s="62" t="n"/>
      <c r="I853" s="63" t="n"/>
      <c r="J853" s="48" t="n"/>
      <c r="K853" s="58" t="n"/>
      <c r="L853" s="42" t="n"/>
      <c r="M853" s="42" t="n"/>
      <c r="N853" s="48" t="n"/>
      <c r="O853" s="58" t="n"/>
      <c r="P853" s="42" t="n"/>
      <c r="Q853" s="42" t="n"/>
      <c r="R853" s="48" t="n"/>
      <c r="S853" s="58" t="n"/>
      <c r="T853" s="42" t="n"/>
      <c r="U853" s="42" t="n"/>
      <c r="V853" s="48" t="n"/>
      <c r="W853" s="58" t="n"/>
      <c r="X853" s="42" t="n"/>
      <c r="Y853" s="42" t="n"/>
      <c r="Z853" s="48" t="n"/>
      <c r="AA853" s="58" t="n"/>
      <c r="AB853" s="42" t="n"/>
      <c r="AC853" s="42" t="n"/>
      <c r="AD853" s="48" t="n"/>
      <c r="AE853" s="58" t="n"/>
      <c r="AF853" s="42" t="n"/>
      <c r="AG853" s="42" t="n"/>
      <c r="AH853" s="48" t="n"/>
      <c r="AI853" s="58" t="n"/>
    </row>
    <row r="854">
      <c r="B854" s="2">
        <f>IF(STUDENTS!B853="","",STUDENTS!B853)</f>
        <v/>
      </c>
      <c r="C854" s="44">
        <f>IFERROR(IF(B854="","",_xlfn.XLOOKUP(B854,STUDENTS!$B$3:$B$1048576,STUDENTS!$C$3:$C$1048576)),"Enter a registered reg. no")</f>
        <v/>
      </c>
      <c r="F854" s="66" t="n"/>
      <c r="G854" s="67" t="n"/>
      <c r="J854" s="66" t="n"/>
      <c r="K854" s="67" t="n"/>
      <c r="N854" s="66" t="n"/>
      <c r="O854" s="67" t="n"/>
      <c r="R854" s="66" t="n"/>
      <c r="S854" s="67" t="n"/>
      <c r="V854" s="66" t="n"/>
      <c r="W854" s="67" t="n"/>
      <c r="Z854" s="66" t="n"/>
      <c r="AA854" s="67" t="n"/>
      <c r="AD854" s="66" t="n"/>
      <c r="AE854" s="67" t="n"/>
      <c r="AH854" s="66" t="n"/>
      <c r="AI854" s="67" t="n"/>
    </row>
    <row r="855">
      <c r="B855" s="2">
        <f>IF(STUDENTS!B854="","",STUDENTS!B854)</f>
        <v/>
      </c>
      <c r="C855" s="44">
        <f>IFERROR(IF(B855="","",_xlfn.XLOOKUP(B855,STUDENTS!$B$3:$B$1048576,STUDENTS!$C$3:$C$1048576)),"Enter a registered reg. no")</f>
        <v/>
      </c>
      <c r="D855" s="54" t="n"/>
      <c r="E855" s="55" t="n"/>
      <c r="F855" s="48" t="n"/>
      <c r="G855" s="58" t="n"/>
      <c r="H855" s="62" t="n"/>
      <c r="I855" s="63" t="n"/>
      <c r="J855" s="48" t="n"/>
      <c r="K855" s="58" t="n"/>
      <c r="L855" s="42" t="n"/>
      <c r="M855" s="42" t="n"/>
      <c r="N855" s="48" t="n"/>
      <c r="O855" s="58" t="n"/>
      <c r="P855" s="42" t="n"/>
      <c r="Q855" s="42" t="n"/>
      <c r="R855" s="48" t="n"/>
      <c r="S855" s="58" t="n"/>
      <c r="T855" s="42" t="n"/>
      <c r="U855" s="42" t="n"/>
      <c r="V855" s="48" t="n"/>
      <c r="W855" s="58" t="n"/>
      <c r="X855" s="42" t="n"/>
      <c r="Y855" s="42" t="n"/>
      <c r="Z855" s="48" t="n"/>
      <c r="AA855" s="58" t="n"/>
      <c r="AB855" s="42" t="n"/>
      <c r="AC855" s="42" t="n"/>
      <c r="AD855" s="48" t="n"/>
      <c r="AE855" s="58" t="n"/>
      <c r="AF855" s="42" t="n"/>
      <c r="AG855" s="42" t="n"/>
      <c r="AH855" s="48" t="n"/>
      <c r="AI855" s="58" t="n"/>
    </row>
    <row r="856">
      <c r="B856" s="2">
        <f>IF(STUDENTS!B855="","",STUDENTS!B855)</f>
        <v/>
      </c>
      <c r="C856" s="44">
        <f>IFERROR(IF(B856="","",_xlfn.XLOOKUP(B856,STUDENTS!$B$3:$B$1048576,STUDENTS!$C$3:$C$1048576)),"Enter a registered reg. no")</f>
        <v/>
      </c>
      <c r="F856" s="66" t="n"/>
      <c r="G856" s="67" t="n"/>
      <c r="J856" s="66" t="n"/>
      <c r="K856" s="67" t="n"/>
      <c r="N856" s="66" t="n"/>
      <c r="O856" s="67" t="n"/>
      <c r="R856" s="66" t="n"/>
      <c r="S856" s="67" t="n"/>
      <c r="V856" s="66" t="n"/>
      <c r="W856" s="67" t="n"/>
      <c r="Z856" s="66" t="n"/>
      <c r="AA856" s="67" t="n"/>
      <c r="AD856" s="66" t="n"/>
      <c r="AE856" s="67" t="n"/>
      <c r="AH856" s="66" t="n"/>
      <c r="AI856" s="67" t="n"/>
    </row>
    <row r="857">
      <c r="B857" s="2">
        <f>IF(STUDENTS!B856="","",STUDENTS!B856)</f>
        <v/>
      </c>
      <c r="C857" s="44">
        <f>IFERROR(IF(B857="","",_xlfn.XLOOKUP(B857,STUDENTS!$B$3:$B$1048576,STUDENTS!$C$3:$C$1048576)),"Enter a registered reg. no")</f>
        <v/>
      </c>
      <c r="D857" s="54" t="n"/>
      <c r="E857" s="55" t="n"/>
      <c r="F857" s="48" t="n"/>
      <c r="G857" s="58" t="n"/>
      <c r="H857" s="62" t="n"/>
      <c r="I857" s="63" t="n"/>
      <c r="J857" s="48" t="n"/>
      <c r="K857" s="58" t="n"/>
      <c r="L857" s="42" t="n"/>
      <c r="M857" s="42" t="n"/>
      <c r="N857" s="48" t="n"/>
      <c r="O857" s="58" t="n"/>
      <c r="P857" s="42" t="n"/>
      <c r="Q857" s="42" t="n"/>
      <c r="R857" s="48" t="n"/>
      <c r="S857" s="58" t="n"/>
      <c r="T857" s="42" t="n"/>
      <c r="U857" s="42" t="n"/>
      <c r="V857" s="48" t="n"/>
      <c r="W857" s="58" t="n"/>
      <c r="X857" s="42" t="n"/>
      <c r="Y857" s="42" t="n"/>
      <c r="Z857" s="48" t="n"/>
      <c r="AA857" s="58" t="n"/>
      <c r="AB857" s="42" t="n"/>
      <c r="AC857" s="42" t="n"/>
      <c r="AD857" s="48" t="n"/>
      <c r="AE857" s="58" t="n"/>
      <c r="AF857" s="42" t="n"/>
      <c r="AG857" s="42" t="n"/>
      <c r="AH857" s="48" t="n"/>
      <c r="AI857" s="58" t="n"/>
    </row>
    <row r="858">
      <c r="B858" s="2">
        <f>IF(STUDENTS!B857="","",STUDENTS!B857)</f>
        <v/>
      </c>
      <c r="C858" s="44">
        <f>IFERROR(IF(B858="","",_xlfn.XLOOKUP(B858,STUDENTS!$B$3:$B$1048576,STUDENTS!$C$3:$C$1048576)),"Enter a registered reg. no")</f>
        <v/>
      </c>
      <c r="F858" s="66" t="n"/>
      <c r="G858" s="67" t="n"/>
      <c r="J858" s="66" t="n"/>
      <c r="K858" s="67" t="n"/>
      <c r="N858" s="66" t="n"/>
      <c r="O858" s="67" t="n"/>
      <c r="R858" s="66" t="n"/>
      <c r="S858" s="67" t="n"/>
      <c r="V858" s="66" t="n"/>
      <c r="W858" s="67" t="n"/>
      <c r="Z858" s="66" t="n"/>
      <c r="AA858" s="67" t="n"/>
      <c r="AD858" s="66" t="n"/>
      <c r="AE858" s="67" t="n"/>
      <c r="AH858" s="66" t="n"/>
      <c r="AI858" s="67" t="n"/>
    </row>
    <row r="859">
      <c r="B859" s="2">
        <f>IF(STUDENTS!B858="","",STUDENTS!B858)</f>
        <v/>
      </c>
      <c r="C859" s="44">
        <f>IFERROR(IF(B859="","",_xlfn.XLOOKUP(B859,STUDENTS!$B$3:$B$1048576,STUDENTS!$C$3:$C$1048576)),"Enter a registered reg. no")</f>
        <v/>
      </c>
      <c r="D859" s="54" t="n"/>
      <c r="E859" s="55" t="n"/>
      <c r="F859" s="48" t="n"/>
      <c r="G859" s="58" t="n"/>
      <c r="H859" s="62" t="n"/>
      <c r="I859" s="63" t="n"/>
      <c r="J859" s="48" t="n"/>
      <c r="K859" s="58" t="n"/>
      <c r="L859" s="42" t="n"/>
      <c r="M859" s="42" t="n"/>
      <c r="N859" s="48" t="n"/>
      <c r="O859" s="58" t="n"/>
      <c r="P859" s="42" t="n"/>
      <c r="Q859" s="42" t="n"/>
      <c r="R859" s="48" t="n"/>
      <c r="S859" s="58" t="n"/>
      <c r="T859" s="42" t="n"/>
      <c r="U859" s="42" t="n"/>
      <c r="V859" s="48" t="n"/>
      <c r="W859" s="58" t="n"/>
      <c r="X859" s="42" t="n"/>
      <c r="Y859" s="42" t="n"/>
      <c r="Z859" s="48" t="n"/>
      <c r="AA859" s="58" t="n"/>
      <c r="AB859" s="42" t="n"/>
      <c r="AC859" s="42" t="n"/>
      <c r="AD859" s="48" t="n"/>
      <c r="AE859" s="58" t="n"/>
      <c r="AF859" s="42" t="n"/>
      <c r="AG859" s="42" t="n"/>
      <c r="AH859" s="48" t="n"/>
      <c r="AI859" s="58" t="n"/>
    </row>
    <row r="860">
      <c r="B860" s="2">
        <f>IF(STUDENTS!B859="","",STUDENTS!B859)</f>
        <v/>
      </c>
      <c r="C860" s="44">
        <f>IFERROR(IF(B860="","",_xlfn.XLOOKUP(B860,STUDENTS!$B$3:$B$1048576,STUDENTS!$C$3:$C$1048576)),"Enter a registered reg. no")</f>
        <v/>
      </c>
      <c r="F860" s="66" t="n"/>
      <c r="G860" s="67" t="n"/>
      <c r="J860" s="66" t="n"/>
      <c r="K860" s="67" t="n"/>
      <c r="N860" s="66" t="n"/>
      <c r="O860" s="67" t="n"/>
      <c r="R860" s="66" t="n"/>
      <c r="S860" s="67" t="n"/>
      <c r="V860" s="66" t="n"/>
      <c r="W860" s="67" t="n"/>
      <c r="Z860" s="66" t="n"/>
      <c r="AA860" s="67" t="n"/>
      <c r="AD860" s="66" t="n"/>
      <c r="AE860" s="67" t="n"/>
      <c r="AH860" s="66" t="n"/>
      <c r="AI860" s="67" t="n"/>
    </row>
    <row r="861">
      <c r="B861" s="2">
        <f>IF(STUDENTS!B860="","",STUDENTS!B860)</f>
        <v/>
      </c>
      <c r="C861" s="44">
        <f>IFERROR(IF(B861="","",_xlfn.XLOOKUP(B861,STUDENTS!$B$3:$B$1048576,STUDENTS!$C$3:$C$1048576)),"Enter a registered reg. no")</f>
        <v/>
      </c>
      <c r="D861" s="54" t="n"/>
      <c r="E861" s="55" t="n"/>
      <c r="F861" s="48" t="n"/>
      <c r="G861" s="58" t="n"/>
      <c r="H861" s="62" t="n"/>
      <c r="I861" s="63" t="n"/>
      <c r="J861" s="48" t="n"/>
      <c r="K861" s="58" t="n"/>
      <c r="L861" s="42" t="n"/>
      <c r="M861" s="42" t="n"/>
      <c r="N861" s="48" t="n"/>
      <c r="O861" s="58" t="n"/>
      <c r="P861" s="42" t="n"/>
      <c r="Q861" s="42" t="n"/>
      <c r="R861" s="48" t="n"/>
      <c r="S861" s="58" t="n"/>
      <c r="T861" s="42" t="n"/>
      <c r="U861" s="42" t="n"/>
      <c r="V861" s="48" t="n"/>
      <c r="W861" s="58" t="n"/>
      <c r="X861" s="42" t="n"/>
      <c r="Y861" s="42" t="n"/>
      <c r="Z861" s="48" t="n"/>
      <c r="AA861" s="58" t="n"/>
      <c r="AB861" s="42" t="n"/>
      <c r="AC861" s="42" t="n"/>
      <c r="AD861" s="48" t="n"/>
      <c r="AE861" s="58" t="n"/>
      <c r="AF861" s="42" t="n"/>
      <c r="AG861" s="42" t="n"/>
      <c r="AH861" s="48" t="n"/>
      <c r="AI861" s="58" t="n"/>
    </row>
    <row r="862">
      <c r="B862" s="2">
        <f>IF(STUDENTS!B861="","",STUDENTS!B861)</f>
        <v/>
      </c>
      <c r="C862" s="44">
        <f>IFERROR(IF(B862="","",_xlfn.XLOOKUP(B862,STUDENTS!$B$3:$B$1048576,STUDENTS!$C$3:$C$1048576)),"Enter a registered reg. no")</f>
        <v/>
      </c>
      <c r="F862" s="66" t="n"/>
      <c r="G862" s="67" t="n"/>
      <c r="J862" s="66" t="n"/>
      <c r="K862" s="67" t="n"/>
      <c r="N862" s="66" t="n"/>
      <c r="O862" s="67" t="n"/>
      <c r="R862" s="66" t="n"/>
      <c r="S862" s="67" t="n"/>
      <c r="V862" s="66" t="n"/>
      <c r="W862" s="67" t="n"/>
      <c r="Z862" s="66" t="n"/>
      <c r="AA862" s="67" t="n"/>
      <c r="AD862" s="66" t="n"/>
      <c r="AE862" s="67" t="n"/>
      <c r="AH862" s="66" t="n"/>
      <c r="AI862" s="67" t="n"/>
    </row>
    <row r="863">
      <c r="B863" s="2">
        <f>IF(STUDENTS!B862="","",STUDENTS!B862)</f>
        <v/>
      </c>
      <c r="C863" s="44">
        <f>IFERROR(IF(B863="","",_xlfn.XLOOKUP(B863,STUDENTS!$B$3:$B$1048576,STUDENTS!$C$3:$C$1048576)),"Enter a registered reg. no")</f>
        <v/>
      </c>
      <c r="D863" s="54" t="n"/>
      <c r="E863" s="55" t="n"/>
      <c r="F863" s="48" t="n"/>
      <c r="G863" s="58" t="n"/>
      <c r="H863" s="62" t="n"/>
      <c r="I863" s="63" t="n"/>
      <c r="J863" s="48" t="n"/>
      <c r="K863" s="58" t="n"/>
      <c r="L863" s="42" t="n"/>
      <c r="M863" s="42" t="n"/>
      <c r="N863" s="48" t="n"/>
      <c r="O863" s="58" t="n"/>
      <c r="P863" s="42" t="n"/>
      <c r="Q863" s="42" t="n"/>
      <c r="R863" s="48" t="n"/>
      <c r="S863" s="58" t="n"/>
      <c r="T863" s="42" t="n"/>
      <c r="U863" s="42" t="n"/>
      <c r="V863" s="48" t="n"/>
      <c r="W863" s="58" t="n"/>
      <c r="X863" s="42" t="n"/>
      <c r="Y863" s="42" t="n"/>
      <c r="Z863" s="48" t="n"/>
      <c r="AA863" s="58" t="n"/>
      <c r="AB863" s="42" t="n"/>
      <c r="AC863" s="42" t="n"/>
      <c r="AD863" s="48" t="n"/>
      <c r="AE863" s="58" t="n"/>
      <c r="AF863" s="42" t="n"/>
      <c r="AG863" s="42" t="n"/>
      <c r="AH863" s="48" t="n"/>
      <c r="AI863" s="58" t="n"/>
    </row>
    <row r="864">
      <c r="B864" s="2">
        <f>IF(STUDENTS!B863="","",STUDENTS!B863)</f>
        <v/>
      </c>
      <c r="C864" s="44">
        <f>IFERROR(IF(B864="","",_xlfn.XLOOKUP(B864,STUDENTS!$B$3:$B$1048576,STUDENTS!$C$3:$C$1048576)),"Enter a registered reg. no")</f>
        <v/>
      </c>
      <c r="F864" s="66" t="n"/>
      <c r="G864" s="67" t="n"/>
      <c r="J864" s="66" t="n"/>
      <c r="K864" s="67" t="n"/>
      <c r="N864" s="66" t="n"/>
      <c r="O864" s="67" t="n"/>
      <c r="R864" s="66" t="n"/>
      <c r="S864" s="67" t="n"/>
      <c r="V864" s="66" t="n"/>
      <c r="W864" s="67" t="n"/>
      <c r="Z864" s="66" t="n"/>
      <c r="AA864" s="67" t="n"/>
      <c r="AD864" s="66" t="n"/>
      <c r="AE864" s="67" t="n"/>
      <c r="AH864" s="66" t="n"/>
      <c r="AI864" s="67" t="n"/>
    </row>
    <row r="865">
      <c r="B865" s="2">
        <f>IF(STUDENTS!B864="","",STUDENTS!B864)</f>
        <v/>
      </c>
      <c r="C865" s="44">
        <f>IFERROR(IF(B865="","",_xlfn.XLOOKUP(B865,STUDENTS!$B$3:$B$1048576,STUDENTS!$C$3:$C$1048576)),"Enter a registered reg. no")</f>
        <v/>
      </c>
      <c r="D865" s="54" t="n"/>
      <c r="E865" s="55" t="n"/>
      <c r="F865" s="48" t="n"/>
      <c r="G865" s="58" t="n"/>
      <c r="H865" s="62" t="n"/>
      <c r="I865" s="63" t="n"/>
      <c r="J865" s="48" t="n"/>
      <c r="K865" s="58" t="n"/>
      <c r="L865" s="42" t="n"/>
      <c r="M865" s="42" t="n"/>
      <c r="N865" s="48" t="n"/>
      <c r="O865" s="58" t="n"/>
      <c r="P865" s="42" t="n"/>
      <c r="Q865" s="42" t="n"/>
      <c r="R865" s="48" t="n"/>
      <c r="S865" s="58" t="n"/>
      <c r="T865" s="42" t="n"/>
      <c r="U865" s="42" t="n"/>
      <c r="V865" s="48" t="n"/>
      <c r="W865" s="58" t="n"/>
      <c r="X865" s="42" t="n"/>
      <c r="Y865" s="42" t="n"/>
      <c r="Z865" s="48" t="n"/>
      <c r="AA865" s="58" t="n"/>
      <c r="AB865" s="42" t="n"/>
      <c r="AC865" s="42" t="n"/>
      <c r="AD865" s="48" t="n"/>
      <c r="AE865" s="58" t="n"/>
      <c r="AF865" s="42" t="n"/>
      <c r="AG865" s="42" t="n"/>
      <c r="AH865" s="48" t="n"/>
      <c r="AI865" s="58" t="n"/>
    </row>
    <row r="866">
      <c r="B866" s="2">
        <f>IF(STUDENTS!B865="","",STUDENTS!B865)</f>
        <v/>
      </c>
      <c r="C866" s="44">
        <f>IFERROR(IF(B866="","",_xlfn.XLOOKUP(B866,STUDENTS!$B$3:$B$1048576,STUDENTS!$C$3:$C$1048576)),"Enter a registered reg. no")</f>
        <v/>
      </c>
      <c r="F866" s="66" t="n"/>
      <c r="G866" s="67" t="n"/>
      <c r="J866" s="66" t="n"/>
      <c r="K866" s="67" t="n"/>
      <c r="N866" s="66" t="n"/>
      <c r="O866" s="67" t="n"/>
      <c r="R866" s="66" t="n"/>
      <c r="S866" s="67" t="n"/>
      <c r="V866" s="66" t="n"/>
      <c r="W866" s="67" t="n"/>
      <c r="Z866" s="66" t="n"/>
      <c r="AA866" s="67" t="n"/>
      <c r="AD866" s="66" t="n"/>
      <c r="AE866" s="67" t="n"/>
      <c r="AH866" s="66" t="n"/>
      <c r="AI866" s="67" t="n"/>
    </row>
    <row r="867">
      <c r="B867" s="2">
        <f>IF(STUDENTS!B866="","",STUDENTS!B866)</f>
        <v/>
      </c>
      <c r="C867" s="44">
        <f>IFERROR(IF(B867="","",_xlfn.XLOOKUP(B867,STUDENTS!$B$3:$B$1048576,STUDENTS!$C$3:$C$1048576)),"Enter a registered reg. no")</f>
        <v/>
      </c>
      <c r="D867" s="54" t="n"/>
      <c r="E867" s="55" t="n"/>
      <c r="F867" s="48" t="n"/>
      <c r="G867" s="58" t="n"/>
      <c r="H867" s="62" t="n"/>
      <c r="I867" s="63" t="n"/>
      <c r="J867" s="48" t="n"/>
      <c r="K867" s="58" t="n"/>
      <c r="L867" s="42" t="n"/>
      <c r="M867" s="42" t="n"/>
      <c r="N867" s="48" t="n"/>
      <c r="O867" s="58" t="n"/>
      <c r="P867" s="42" t="n"/>
      <c r="Q867" s="42" t="n"/>
      <c r="R867" s="48" t="n"/>
      <c r="S867" s="58" t="n"/>
      <c r="T867" s="42" t="n"/>
      <c r="U867" s="42" t="n"/>
      <c r="V867" s="48" t="n"/>
      <c r="W867" s="58" t="n"/>
      <c r="X867" s="42" t="n"/>
      <c r="Y867" s="42" t="n"/>
      <c r="Z867" s="48" t="n"/>
      <c r="AA867" s="58" t="n"/>
      <c r="AB867" s="42" t="n"/>
      <c r="AC867" s="42" t="n"/>
      <c r="AD867" s="48" t="n"/>
      <c r="AE867" s="58" t="n"/>
      <c r="AF867" s="42" t="n"/>
      <c r="AG867" s="42" t="n"/>
      <c r="AH867" s="48" t="n"/>
      <c r="AI867" s="58" t="n"/>
    </row>
    <row r="868">
      <c r="B868" s="2">
        <f>IF(STUDENTS!B867="","",STUDENTS!B867)</f>
        <v/>
      </c>
      <c r="C868" s="44">
        <f>IFERROR(IF(B868="","",_xlfn.XLOOKUP(B868,STUDENTS!$B$3:$B$1048576,STUDENTS!$C$3:$C$1048576)),"Enter a registered reg. no")</f>
        <v/>
      </c>
      <c r="F868" s="66" t="n"/>
      <c r="G868" s="67" t="n"/>
      <c r="J868" s="66" t="n"/>
      <c r="K868" s="67" t="n"/>
      <c r="N868" s="66" t="n"/>
      <c r="O868" s="67" t="n"/>
      <c r="R868" s="66" t="n"/>
      <c r="S868" s="67" t="n"/>
      <c r="V868" s="66" t="n"/>
      <c r="W868" s="67" t="n"/>
      <c r="Z868" s="66" t="n"/>
      <c r="AA868" s="67" t="n"/>
      <c r="AD868" s="66" t="n"/>
      <c r="AE868" s="67" t="n"/>
      <c r="AH868" s="66" t="n"/>
      <c r="AI868" s="67" t="n"/>
    </row>
    <row r="869">
      <c r="B869" s="2">
        <f>IF(STUDENTS!B868="","",STUDENTS!B868)</f>
        <v/>
      </c>
      <c r="C869" s="44">
        <f>IFERROR(IF(B869="","",_xlfn.XLOOKUP(B869,STUDENTS!$B$3:$B$1048576,STUDENTS!$C$3:$C$1048576)),"Enter a registered reg. no")</f>
        <v/>
      </c>
      <c r="D869" s="54" t="n"/>
      <c r="E869" s="55" t="n"/>
      <c r="F869" s="48" t="n"/>
      <c r="G869" s="58" t="n"/>
      <c r="H869" s="62" t="n"/>
      <c r="I869" s="63" t="n"/>
      <c r="J869" s="48" t="n"/>
      <c r="K869" s="58" t="n"/>
      <c r="L869" s="42" t="n"/>
      <c r="M869" s="42" t="n"/>
      <c r="N869" s="48" t="n"/>
      <c r="O869" s="58" t="n"/>
      <c r="P869" s="42" t="n"/>
      <c r="Q869" s="42" t="n"/>
      <c r="R869" s="48" t="n"/>
      <c r="S869" s="58" t="n"/>
      <c r="T869" s="42" t="n"/>
      <c r="U869" s="42" t="n"/>
      <c r="V869" s="48" t="n"/>
      <c r="W869" s="58" t="n"/>
      <c r="X869" s="42" t="n"/>
      <c r="Y869" s="42" t="n"/>
      <c r="Z869" s="48" t="n"/>
      <c r="AA869" s="58" t="n"/>
      <c r="AB869" s="42" t="n"/>
      <c r="AC869" s="42" t="n"/>
      <c r="AD869" s="48" t="n"/>
      <c r="AE869" s="58" t="n"/>
      <c r="AF869" s="42" t="n"/>
      <c r="AG869" s="42" t="n"/>
      <c r="AH869" s="48" t="n"/>
      <c r="AI869" s="58" t="n"/>
    </row>
    <row r="870">
      <c r="B870" s="2">
        <f>IF(STUDENTS!B869="","",STUDENTS!B869)</f>
        <v/>
      </c>
      <c r="C870" s="44">
        <f>IFERROR(IF(B870="","",_xlfn.XLOOKUP(B870,STUDENTS!$B$3:$B$1048576,STUDENTS!$C$3:$C$1048576)),"Enter a registered reg. no")</f>
        <v/>
      </c>
      <c r="F870" s="66" t="n"/>
      <c r="G870" s="67" t="n"/>
      <c r="J870" s="66" t="n"/>
      <c r="K870" s="67" t="n"/>
      <c r="N870" s="66" t="n"/>
      <c r="O870" s="67" t="n"/>
      <c r="R870" s="66" t="n"/>
      <c r="S870" s="67" t="n"/>
      <c r="V870" s="66" t="n"/>
      <c r="W870" s="67" t="n"/>
      <c r="Z870" s="66" t="n"/>
      <c r="AA870" s="67" t="n"/>
      <c r="AD870" s="66" t="n"/>
      <c r="AE870" s="67" t="n"/>
      <c r="AH870" s="66" t="n"/>
      <c r="AI870" s="67" t="n"/>
    </row>
    <row r="871">
      <c r="B871" s="2">
        <f>IF(STUDENTS!B870="","",STUDENTS!B870)</f>
        <v/>
      </c>
      <c r="C871" s="44">
        <f>IFERROR(IF(B871="","",_xlfn.XLOOKUP(B871,STUDENTS!$B$3:$B$1048576,STUDENTS!$C$3:$C$1048576)),"Enter a registered reg. no")</f>
        <v/>
      </c>
      <c r="D871" s="54" t="n"/>
      <c r="E871" s="55" t="n"/>
      <c r="F871" s="48" t="n"/>
      <c r="G871" s="58" t="n"/>
      <c r="H871" s="62" t="n"/>
      <c r="I871" s="63" t="n"/>
      <c r="J871" s="48" t="n"/>
      <c r="K871" s="58" t="n"/>
      <c r="L871" s="42" t="n"/>
      <c r="M871" s="42" t="n"/>
      <c r="N871" s="48" t="n"/>
      <c r="O871" s="58" t="n"/>
      <c r="P871" s="42" t="n"/>
      <c r="Q871" s="42" t="n"/>
      <c r="R871" s="48" t="n"/>
      <c r="S871" s="58" t="n"/>
      <c r="T871" s="42" t="n"/>
      <c r="U871" s="42" t="n"/>
      <c r="V871" s="48" t="n"/>
      <c r="W871" s="58" t="n"/>
      <c r="X871" s="42" t="n"/>
      <c r="Y871" s="42" t="n"/>
      <c r="Z871" s="48" t="n"/>
      <c r="AA871" s="58" t="n"/>
      <c r="AB871" s="42" t="n"/>
      <c r="AC871" s="42" t="n"/>
      <c r="AD871" s="48" t="n"/>
      <c r="AE871" s="58" t="n"/>
      <c r="AF871" s="42" t="n"/>
      <c r="AG871" s="42" t="n"/>
      <c r="AH871" s="48" t="n"/>
      <c r="AI871" s="58" t="n"/>
    </row>
    <row r="872">
      <c r="B872" s="2">
        <f>IF(STUDENTS!B871="","",STUDENTS!B871)</f>
        <v/>
      </c>
      <c r="C872" s="44">
        <f>IFERROR(IF(B872="","",_xlfn.XLOOKUP(B872,STUDENTS!$B$3:$B$1048576,STUDENTS!$C$3:$C$1048576)),"Enter a registered reg. no")</f>
        <v/>
      </c>
      <c r="F872" s="66" t="n"/>
      <c r="G872" s="67" t="n"/>
      <c r="J872" s="66" t="n"/>
      <c r="K872" s="67" t="n"/>
      <c r="N872" s="66" t="n"/>
      <c r="O872" s="67" t="n"/>
      <c r="R872" s="66" t="n"/>
      <c r="S872" s="67" t="n"/>
      <c r="V872" s="66" t="n"/>
      <c r="W872" s="67" t="n"/>
      <c r="Z872" s="66" t="n"/>
      <c r="AA872" s="67" t="n"/>
      <c r="AD872" s="66" t="n"/>
      <c r="AE872" s="67" t="n"/>
      <c r="AH872" s="66" t="n"/>
      <c r="AI872" s="67" t="n"/>
    </row>
    <row r="873">
      <c r="B873" s="2">
        <f>IF(STUDENTS!B872="","",STUDENTS!B872)</f>
        <v/>
      </c>
      <c r="C873" s="44">
        <f>IFERROR(IF(B873="","",_xlfn.XLOOKUP(B873,STUDENTS!$B$3:$B$1048576,STUDENTS!$C$3:$C$1048576)),"Enter a registered reg. no")</f>
        <v/>
      </c>
      <c r="D873" s="54" t="n"/>
      <c r="E873" s="55" t="n"/>
      <c r="F873" s="48" t="n"/>
      <c r="G873" s="58" t="n"/>
      <c r="H873" s="62" t="n"/>
      <c r="I873" s="63" t="n"/>
      <c r="J873" s="48" t="n"/>
      <c r="K873" s="58" t="n"/>
      <c r="L873" s="42" t="n"/>
      <c r="M873" s="42" t="n"/>
      <c r="N873" s="48" t="n"/>
      <c r="O873" s="58" t="n"/>
      <c r="P873" s="42" t="n"/>
      <c r="Q873" s="42" t="n"/>
      <c r="R873" s="48" t="n"/>
      <c r="S873" s="58" t="n"/>
      <c r="T873" s="42" t="n"/>
      <c r="U873" s="42" t="n"/>
      <c r="V873" s="48" t="n"/>
      <c r="W873" s="58" t="n"/>
      <c r="X873" s="42" t="n"/>
      <c r="Y873" s="42" t="n"/>
      <c r="Z873" s="48" t="n"/>
      <c r="AA873" s="58" t="n"/>
      <c r="AB873" s="42" t="n"/>
      <c r="AC873" s="42" t="n"/>
      <c r="AD873" s="48" t="n"/>
      <c r="AE873" s="58" t="n"/>
      <c r="AF873" s="42" t="n"/>
      <c r="AG873" s="42" t="n"/>
      <c r="AH873" s="48" t="n"/>
      <c r="AI873" s="58" t="n"/>
    </row>
    <row r="874">
      <c r="B874" s="2">
        <f>IF(STUDENTS!B873="","",STUDENTS!B873)</f>
        <v/>
      </c>
      <c r="C874" s="44">
        <f>IFERROR(IF(B874="","",_xlfn.XLOOKUP(B874,STUDENTS!$B$3:$B$1048576,STUDENTS!$C$3:$C$1048576)),"Enter a registered reg. no")</f>
        <v/>
      </c>
      <c r="F874" s="66" t="n"/>
      <c r="G874" s="67" t="n"/>
      <c r="J874" s="66" t="n"/>
      <c r="K874" s="67" t="n"/>
      <c r="N874" s="66" t="n"/>
      <c r="O874" s="67" t="n"/>
      <c r="R874" s="66" t="n"/>
      <c r="S874" s="67" t="n"/>
      <c r="V874" s="66" t="n"/>
      <c r="W874" s="67" t="n"/>
      <c r="Z874" s="66" t="n"/>
      <c r="AA874" s="67" t="n"/>
      <c r="AD874" s="66" t="n"/>
      <c r="AE874" s="67" t="n"/>
      <c r="AH874" s="66" t="n"/>
      <c r="AI874" s="67" t="n"/>
    </row>
    <row r="875">
      <c r="B875" s="2">
        <f>IF(STUDENTS!B874="","",STUDENTS!B874)</f>
        <v/>
      </c>
      <c r="C875" s="44">
        <f>IFERROR(IF(B875="","",_xlfn.XLOOKUP(B875,STUDENTS!$B$3:$B$1048576,STUDENTS!$C$3:$C$1048576)),"Enter a registered reg. no")</f>
        <v/>
      </c>
      <c r="D875" s="54" t="n"/>
      <c r="E875" s="55" t="n"/>
      <c r="F875" s="48" t="n"/>
      <c r="G875" s="58" t="n"/>
      <c r="H875" s="62" t="n"/>
      <c r="I875" s="63" t="n"/>
      <c r="J875" s="48" t="n"/>
      <c r="K875" s="58" t="n"/>
      <c r="L875" s="42" t="n"/>
      <c r="M875" s="42" t="n"/>
      <c r="N875" s="48" t="n"/>
      <c r="O875" s="58" t="n"/>
      <c r="P875" s="42" t="n"/>
      <c r="Q875" s="42" t="n"/>
      <c r="R875" s="48" t="n"/>
      <c r="S875" s="58" t="n"/>
      <c r="T875" s="42" t="n"/>
      <c r="U875" s="42" t="n"/>
      <c r="V875" s="48" t="n"/>
      <c r="W875" s="58" t="n"/>
      <c r="X875" s="42" t="n"/>
      <c r="Y875" s="42" t="n"/>
      <c r="Z875" s="48" t="n"/>
      <c r="AA875" s="58" t="n"/>
      <c r="AB875" s="42" t="n"/>
      <c r="AC875" s="42" t="n"/>
      <c r="AD875" s="48" t="n"/>
      <c r="AE875" s="58" t="n"/>
      <c r="AF875" s="42" t="n"/>
      <c r="AG875" s="42" t="n"/>
      <c r="AH875" s="48" t="n"/>
      <c r="AI875" s="58" t="n"/>
    </row>
    <row r="876">
      <c r="B876" s="2">
        <f>IF(STUDENTS!B875="","",STUDENTS!B875)</f>
        <v/>
      </c>
      <c r="C876" s="44">
        <f>IFERROR(IF(B876="","",_xlfn.XLOOKUP(B876,STUDENTS!$B$3:$B$1048576,STUDENTS!$C$3:$C$1048576)),"Enter a registered reg. no")</f>
        <v/>
      </c>
      <c r="F876" s="66" t="n"/>
      <c r="G876" s="67" t="n"/>
      <c r="J876" s="66" t="n"/>
      <c r="K876" s="67" t="n"/>
      <c r="N876" s="66" t="n"/>
      <c r="O876" s="67" t="n"/>
      <c r="R876" s="66" t="n"/>
      <c r="S876" s="67" t="n"/>
      <c r="V876" s="66" t="n"/>
      <c r="W876" s="67" t="n"/>
      <c r="Z876" s="66" t="n"/>
      <c r="AA876" s="67" t="n"/>
      <c r="AD876" s="66" t="n"/>
      <c r="AE876" s="67" t="n"/>
      <c r="AH876" s="66" t="n"/>
      <c r="AI876" s="67" t="n"/>
    </row>
    <row r="877">
      <c r="B877" s="2">
        <f>IF(STUDENTS!B876="","",STUDENTS!B876)</f>
        <v/>
      </c>
      <c r="C877" s="44">
        <f>IFERROR(IF(B877="","",_xlfn.XLOOKUP(B877,STUDENTS!$B$3:$B$1048576,STUDENTS!$C$3:$C$1048576)),"Enter a registered reg. no")</f>
        <v/>
      </c>
      <c r="D877" s="54" t="n"/>
      <c r="E877" s="55" t="n"/>
      <c r="F877" s="48" t="n"/>
      <c r="G877" s="58" t="n"/>
      <c r="H877" s="62" t="n"/>
      <c r="I877" s="63" t="n"/>
      <c r="J877" s="48" t="n"/>
      <c r="K877" s="58" t="n"/>
      <c r="L877" s="42" t="n"/>
      <c r="M877" s="42" t="n"/>
      <c r="N877" s="48" t="n"/>
      <c r="O877" s="58" t="n"/>
      <c r="P877" s="42" t="n"/>
      <c r="Q877" s="42" t="n"/>
      <c r="R877" s="48" t="n"/>
      <c r="S877" s="58" t="n"/>
      <c r="T877" s="42" t="n"/>
      <c r="U877" s="42" t="n"/>
      <c r="V877" s="48" t="n"/>
      <c r="W877" s="58" t="n"/>
      <c r="X877" s="42" t="n"/>
      <c r="Y877" s="42" t="n"/>
      <c r="Z877" s="48" t="n"/>
      <c r="AA877" s="58" t="n"/>
      <c r="AB877" s="42" t="n"/>
      <c r="AC877" s="42" t="n"/>
      <c r="AD877" s="48" t="n"/>
      <c r="AE877" s="58" t="n"/>
      <c r="AF877" s="42" t="n"/>
      <c r="AG877" s="42" t="n"/>
      <c r="AH877" s="48" t="n"/>
      <c r="AI877" s="58" t="n"/>
    </row>
    <row r="878">
      <c r="B878" s="2">
        <f>IF(STUDENTS!B877="","",STUDENTS!B877)</f>
        <v/>
      </c>
      <c r="C878" s="44">
        <f>IFERROR(IF(B878="","",_xlfn.XLOOKUP(B878,STUDENTS!$B$3:$B$1048576,STUDENTS!$C$3:$C$1048576)),"Enter a registered reg. no")</f>
        <v/>
      </c>
      <c r="F878" s="66" t="n"/>
      <c r="G878" s="67" t="n"/>
      <c r="J878" s="66" t="n"/>
      <c r="K878" s="67" t="n"/>
      <c r="N878" s="66" t="n"/>
      <c r="O878" s="67" t="n"/>
      <c r="R878" s="66" t="n"/>
      <c r="S878" s="67" t="n"/>
      <c r="V878" s="66" t="n"/>
      <c r="W878" s="67" t="n"/>
      <c r="Z878" s="66" t="n"/>
      <c r="AA878" s="67" t="n"/>
      <c r="AD878" s="66" t="n"/>
      <c r="AE878" s="67" t="n"/>
      <c r="AH878" s="66" t="n"/>
      <c r="AI878" s="67" t="n"/>
    </row>
    <row r="879">
      <c r="B879" s="2">
        <f>IF(STUDENTS!B878="","",STUDENTS!B878)</f>
        <v/>
      </c>
      <c r="C879" s="44">
        <f>IFERROR(IF(B879="","",_xlfn.XLOOKUP(B879,STUDENTS!$B$3:$B$1048576,STUDENTS!$C$3:$C$1048576)),"Enter a registered reg. no")</f>
        <v/>
      </c>
      <c r="D879" s="54" t="n"/>
      <c r="E879" s="55" t="n"/>
      <c r="F879" s="48" t="n"/>
      <c r="G879" s="58" t="n"/>
      <c r="H879" s="62" t="n"/>
      <c r="I879" s="63" t="n"/>
      <c r="J879" s="48" t="n"/>
      <c r="K879" s="58" t="n"/>
      <c r="L879" s="42" t="n"/>
      <c r="M879" s="42" t="n"/>
      <c r="N879" s="48" t="n"/>
      <c r="O879" s="58" t="n"/>
      <c r="P879" s="42" t="n"/>
      <c r="Q879" s="42" t="n"/>
      <c r="R879" s="48" t="n"/>
      <c r="S879" s="58" t="n"/>
      <c r="T879" s="42" t="n"/>
      <c r="U879" s="42" t="n"/>
      <c r="V879" s="48" t="n"/>
      <c r="W879" s="58" t="n"/>
      <c r="X879" s="42" t="n"/>
      <c r="Y879" s="42" t="n"/>
      <c r="Z879" s="48" t="n"/>
      <c r="AA879" s="58" t="n"/>
      <c r="AB879" s="42" t="n"/>
      <c r="AC879" s="42" t="n"/>
      <c r="AD879" s="48" t="n"/>
      <c r="AE879" s="58" t="n"/>
      <c r="AF879" s="42" t="n"/>
      <c r="AG879" s="42" t="n"/>
      <c r="AH879" s="48" t="n"/>
      <c r="AI879" s="58" t="n"/>
    </row>
    <row r="880">
      <c r="B880" s="2">
        <f>IF(STUDENTS!B879="","",STUDENTS!B879)</f>
        <v/>
      </c>
      <c r="C880" s="44">
        <f>IFERROR(IF(B880="","",_xlfn.XLOOKUP(B880,STUDENTS!$B$3:$B$1048576,STUDENTS!$C$3:$C$1048576)),"Enter a registered reg. no")</f>
        <v/>
      </c>
      <c r="F880" s="66" t="n"/>
      <c r="G880" s="67" t="n"/>
      <c r="J880" s="66" t="n"/>
      <c r="K880" s="67" t="n"/>
      <c r="N880" s="66" t="n"/>
      <c r="O880" s="67" t="n"/>
      <c r="R880" s="66" t="n"/>
      <c r="S880" s="67" t="n"/>
      <c r="V880" s="66" t="n"/>
      <c r="W880" s="67" t="n"/>
      <c r="Z880" s="66" t="n"/>
      <c r="AA880" s="67" t="n"/>
      <c r="AD880" s="66" t="n"/>
      <c r="AE880" s="67" t="n"/>
      <c r="AH880" s="66" t="n"/>
      <c r="AI880" s="67" t="n"/>
    </row>
    <row r="881">
      <c r="B881" s="2">
        <f>IF(STUDENTS!B880="","",STUDENTS!B880)</f>
        <v/>
      </c>
      <c r="C881" s="44">
        <f>IFERROR(IF(B881="","",_xlfn.XLOOKUP(B881,STUDENTS!$B$3:$B$1048576,STUDENTS!$C$3:$C$1048576)),"Enter a registered reg. no")</f>
        <v/>
      </c>
      <c r="D881" s="54" t="n"/>
      <c r="E881" s="55" t="n"/>
      <c r="F881" s="48" t="n"/>
      <c r="G881" s="58" t="n"/>
      <c r="H881" s="62" t="n"/>
      <c r="I881" s="63" t="n"/>
      <c r="J881" s="48" t="n"/>
      <c r="K881" s="58" t="n"/>
      <c r="L881" s="42" t="n"/>
      <c r="M881" s="42" t="n"/>
      <c r="N881" s="48" t="n"/>
      <c r="O881" s="58" t="n"/>
      <c r="P881" s="42" t="n"/>
      <c r="Q881" s="42" t="n"/>
      <c r="R881" s="48" t="n"/>
      <c r="S881" s="58" t="n"/>
      <c r="T881" s="42" t="n"/>
      <c r="U881" s="42" t="n"/>
      <c r="V881" s="48" t="n"/>
      <c r="W881" s="58" t="n"/>
      <c r="X881" s="42" t="n"/>
      <c r="Y881" s="42" t="n"/>
      <c r="Z881" s="48" t="n"/>
      <c r="AA881" s="58" t="n"/>
      <c r="AB881" s="42" t="n"/>
      <c r="AC881" s="42" t="n"/>
      <c r="AD881" s="48" t="n"/>
      <c r="AE881" s="58" t="n"/>
      <c r="AF881" s="42" t="n"/>
      <c r="AG881" s="42" t="n"/>
      <c r="AH881" s="48" t="n"/>
      <c r="AI881" s="58" t="n"/>
    </row>
    <row r="882">
      <c r="B882" s="2">
        <f>IF(STUDENTS!B881="","",STUDENTS!B881)</f>
        <v/>
      </c>
      <c r="C882" s="44">
        <f>IFERROR(IF(B882="","",_xlfn.XLOOKUP(B882,STUDENTS!$B$3:$B$1048576,STUDENTS!$C$3:$C$1048576)),"Enter a registered reg. no")</f>
        <v/>
      </c>
      <c r="F882" s="66" t="n"/>
      <c r="G882" s="67" t="n"/>
      <c r="J882" s="66" t="n"/>
      <c r="K882" s="67" t="n"/>
      <c r="N882" s="66" t="n"/>
      <c r="O882" s="67" t="n"/>
      <c r="R882" s="66" t="n"/>
      <c r="S882" s="67" t="n"/>
      <c r="V882" s="66" t="n"/>
      <c r="W882" s="67" t="n"/>
      <c r="Z882" s="66" t="n"/>
      <c r="AA882" s="67" t="n"/>
      <c r="AD882" s="66" t="n"/>
      <c r="AE882" s="67" t="n"/>
      <c r="AH882" s="66" t="n"/>
      <c r="AI882" s="67" t="n"/>
    </row>
    <row r="883">
      <c r="B883" s="2">
        <f>IF(STUDENTS!B882="","",STUDENTS!B882)</f>
        <v/>
      </c>
      <c r="C883" s="44">
        <f>IFERROR(IF(B883="","",_xlfn.XLOOKUP(B883,STUDENTS!$B$3:$B$1048576,STUDENTS!$C$3:$C$1048576)),"Enter a registered reg. no")</f>
        <v/>
      </c>
      <c r="D883" s="54" t="n"/>
      <c r="E883" s="55" t="n"/>
      <c r="F883" s="48" t="n"/>
      <c r="G883" s="58" t="n"/>
      <c r="H883" s="62" t="n"/>
      <c r="I883" s="63" t="n"/>
      <c r="J883" s="48" t="n"/>
      <c r="K883" s="58" t="n"/>
      <c r="L883" s="42" t="n"/>
      <c r="M883" s="42" t="n"/>
      <c r="N883" s="48" t="n"/>
      <c r="O883" s="58" t="n"/>
      <c r="P883" s="42" t="n"/>
      <c r="Q883" s="42" t="n"/>
      <c r="R883" s="48" t="n"/>
      <c r="S883" s="58" t="n"/>
      <c r="T883" s="42" t="n"/>
      <c r="U883" s="42" t="n"/>
      <c r="V883" s="48" t="n"/>
      <c r="W883" s="58" t="n"/>
      <c r="X883" s="42" t="n"/>
      <c r="Y883" s="42" t="n"/>
      <c r="Z883" s="48" t="n"/>
      <c r="AA883" s="58" t="n"/>
      <c r="AB883" s="42" t="n"/>
      <c r="AC883" s="42" t="n"/>
      <c r="AD883" s="48" t="n"/>
      <c r="AE883" s="58" t="n"/>
      <c r="AF883" s="42" t="n"/>
      <c r="AG883" s="42" t="n"/>
      <c r="AH883" s="48" t="n"/>
      <c r="AI883" s="58" t="n"/>
    </row>
    <row r="884">
      <c r="B884" s="2">
        <f>IF(STUDENTS!B883="","",STUDENTS!B883)</f>
        <v/>
      </c>
      <c r="C884" s="44">
        <f>IFERROR(IF(B884="","",_xlfn.XLOOKUP(B884,STUDENTS!$B$3:$B$1048576,STUDENTS!$C$3:$C$1048576)),"Enter a registered reg. no")</f>
        <v/>
      </c>
      <c r="F884" s="66" t="n"/>
      <c r="G884" s="67" t="n"/>
      <c r="J884" s="66" t="n"/>
      <c r="K884" s="67" t="n"/>
      <c r="N884" s="66" t="n"/>
      <c r="O884" s="67" t="n"/>
      <c r="R884" s="66" t="n"/>
      <c r="S884" s="67" t="n"/>
      <c r="V884" s="66" t="n"/>
      <c r="W884" s="67" t="n"/>
      <c r="Z884" s="66" t="n"/>
      <c r="AA884" s="67" t="n"/>
      <c r="AD884" s="66" t="n"/>
      <c r="AE884" s="67" t="n"/>
      <c r="AH884" s="66" t="n"/>
      <c r="AI884" s="67" t="n"/>
    </row>
    <row r="885">
      <c r="B885" s="2">
        <f>IF(STUDENTS!B884="","",STUDENTS!B884)</f>
        <v/>
      </c>
      <c r="C885" s="44">
        <f>IFERROR(IF(B885="","",_xlfn.XLOOKUP(B885,STUDENTS!$B$3:$B$1048576,STUDENTS!$C$3:$C$1048576)),"Enter a registered reg. no")</f>
        <v/>
      </c>
      <c r="D885" s="54" t="n"/>
      <c r="E885" s="55" t="n"/>
      <c r="F885" s="48" t="n"/>
      <c r="G885" s="58" t="n"/>
      <c r="H885" s="62" t="n"/>
      <c r="I885" s="63" t="n"/>
      <c r="J885" s="48" t="n"/>
      <c r="K885" s="58" t="n"/>
      <c r="L885" s="42" t="n"/>
      <c r="M885" s="42" t="n"/>
      <c r="N885" s="48" t="n"/>
      <c r="O885" s="58" t="n"/>
      <c r="P885" s="42" t="n"/>
      <c r="Q885" s="42" t="n"/>
      <c r="R885" s="48" t="n"/>
      <c r="S885" s="58" t="n"/>
      <c r="T885" s="42" t="n"/>
      <c r="U885" s="42" t="n"/>
      <c r="V885" s="48" t="n"/>
      <c r="W885" s="58" t="n"/>
      <c r="X885" s="42" t="n"/>
      <c r="Y885" s="42" t="n"/>
      <c r="Z885" s="48" t="n"/>
      <c r="AA885" s="58" t="n"/>
      <c r="AB885" s="42" t="n"/>
      <c r="AC885" s="42" t="n"/>
      <c r="AD885" s="48" t="n"/>
      <c r="AE885" s="58" t="n"/>
      <c r="AF885" s="42" t="n"/>
      <c r="AG885" s="42" t="n"/>
      <c r="AH885" s="48" t="n"/>
      <c r="AI885" s="58" t="n"/>
    </row>
    <row r="886">
      <c r="B886" s="2">
        <f>IF(STUDENTS!B885="","",STUDENTS!B885)</f>
        <v/>
      </c>
      <c r="C886" s="44">
        <f>IFERROR(IF(B886="","",_xlfn.XLOOKUP(B886,STUDENTS!$B$3:$B$1048576,STUDENTS!$C$3:$C$1048576)),"Enter a registered reg. no")</f>
        <v/>
      </c>
      <c r="F886" s="66" t="n"/>
      <c r="G886" s="67" t="n"/>
      <c r="J886" s="66" t="n"/>
      <c r="K886" s="67" t="n"/>
      <c r="N886" s="66" t="n"/>
      <c r="O886" s="67" t="n"/>
      <c r="R886" s="66" t="n"/>
      <c r="S886" s="67" t="n"/>
      <c r="V886" s="66" t="n"/>
      <c r="W886" s="67" t="n"/>
      <c r="Z886" s="66" t="n"/>
      <c r="AA886" s="67" t="n"/>
      <c r="AD886" s="66" t="n"/>
      <c r="AE886" s="67" t="n"/>
      <c r="AH886" s="66" t="n"/>
      <c r="AI886" s="67" t="n"/>
    </row>
    <row r="887">
      <c r="B887" s="2">
        <f>IF(STUDENTS!B886="","",STUDENTS!B886)</f>
        <v/>
      </c>
      <c r="C887" s="44">
        <f>IFERROR(IF(B887="","",_xlfn.XLOOKUP(B887,STUDENTS!$B$3:$B$1048576,STUDENTS!$C$3:$C$1048576)),"Enter a registered reg. no")</f>
        <v/>
      </c>
      <c r="D887" s="54" t="n"/>
      <c r="E887" s="55" t="n"/>
      <c r="F887" s="48" t="n"/>
      <c r="G887" s="58" t="n"/>
      <c r="H887" s="62" t="n"/>
      <c r="I887" s="63" t="n"/>
      <c r="J887" s="48" t="n"/>
      <c r="K887" s="58" t="n"/>
      <c r="L887" s="42" t="n"/>
      <c r="M887" s="42" t="n"/>
      <c r="N887" s="48" t="n"/>
      <c r="O887" s="58" t="n"/>
      <c r="P887" s="42" t="n"/>
      <c r="Q887" s="42" t="n"/>
      <c r="R887" s="48" t="n"/>
      <c r="S887" s="58" t="n"/>
      <c r="T887" s="42" t="n"/>
      <c r="U887" s="42" t="n"/>
      <c r="V887" s="48" t="n"/>
      <c r="W887" s="58" t="n"/>
      <c r="X887" s="42" t="n"/>
      <c r="Y887" s="42" t="n"/>
      <c r="Z887" s="48" t="n"/>
      <c r="AA887" s="58" t="n"/>
      <c r="AB887" s="42" t="n"/>
      <c r="AC887" s="42" t="n"/>
      <c r="AD887" s="48" t="n"/>
      <c r="AE887" s="58" t="n"/>
      <c r="AF887" s="42" t="n"/>
      <c r="AG887" s="42" t="n"/>
      <c r="AH887" s="48" t="n"/>
      <c r="AI887" s="58" t="n"/>
    </row>
    <row r="888">
      <c r="B888" s="2">
        <f>IF(STUDENTS!B887="","",STUDENTS!B887)</f>
        <v/>
      </c>
      <c r="C888" s="44">
        <f>IFERROR(IF(B888="","",_xlfn.XLOOKUP(B888,STUDENTS!$B$3:$B$1048576,STUDENTS!$C$3:$C$1048576)),"Enter a registered reg. no")</f>
        <v/>
      </c>
      <c r="F888" s="66" t="n"/>
      <c r="G888" s="67" t="n"/>
      <c r="J888" s="66" t="n"/>
      <c r="K888" s="67" t="n"/>
      <c r="N888" s="66" t="n"/>
      <c r="O888" s="67" t="n"/>
      <c r="R888" s="66" t="n"/>
      <c r="S888" s="67" t="n"/>
      <c r="V888" s="66" t="n"/>
      <c r="W888" s="67" t="n"/>
      <c r="Z888" s="66" t="n"/>
      <c r="AA888" s="67" t="n"/>
      <c r="AD888" s="66" t="n"/>
      <c r="AE888" s="67" t="n"/>
      <c r="AH888" s="66" t="n"/>
      <c r="AI888" s="67" t="n"/>
    </row>
    <row r="889">
      <c r="B889" s="2">
        <f>IF(STUDENTS!B888="","",STUDENTS!B888)</f>
        <v/>
      </c>
      <c r="C889" s="44">
        <f>IFERROR(IF(B889="","",_xlfn.XLOOKUP(B889,STUDENTS!$B$3:$B$1048576,STUDENTS!$C$3:$C$1048576)),"Enter a registered reg. no")</f>
        <v/>
      </c>
      <c r="D889" s="54" t="n"/>
      <c r="E889" s="55" t="n"/>
      <c r="F889" s="48" t="n"/>
      <c r="G889" s="58" t="n"/>
      <c r="H889" s="62" t="n"/>
      <c r="I889" s="63" t="n"/>
      <c r="J889" s="48" t="n"/>
      <c r="K889" s="58" t="n"/>
      <c r="L889" s="42" t="n"/>
      <c r="M889" s="42" t="n"/>
      <c r="N889" s="48" t="n"/>
      <c r="O889" s="58" t="n"/>
      <c r="P889" s="42" t="n"/>
      <c r="Q889" s="42" t="n"/>
      <c r="R889" s="48" t="n"/>
      <c r="S889" s="58" t="n"/>
      <c r="T889" s="42" t="n"/>
      <c r="U889" s="42" t="n"/>
      <c r="V889" s="48" t="n"/>
      <c r="W889" s="58" t="n"/>
      <c r="X889" s="42" t="n"/>
      <c r="Y889" s="42" t="n"/>
      <c r="Z889" s="48" t="n"/>
      <c r="AA889" s="58" t="n"/>
      <c r="AB889" s="42" t="n"/>
      <c r="AC889" s="42" t="n"/>
      <c r="AD889" s="48" t="n"/>
      <c r="AE889" s="58" t="n"/>
      <c r="AF889" s="42" t="n"/>
      <c r="AG889" s="42" t="n"/>
      <c r="AH889" s="48" t="n"/>
      <c r="AI889" s="58" t="n"/>
    </row>
    <row r="890">
      <c r="B890" s="2">
        <f>IF(STUDENTS!B889="","",STUDENTS!B889)</f>
        <v/>
      </c>
      <c r="C890" s="44">
        <f>IFERROR(IF(B890="","",_xlfn.XLOOKUP(B890,STUDENTS!$B$3:$B$1048576,STUDENTS!$C$3:$C$1048576)),"Enter a registered reg. no")</f>
        <v/>
      </c>
      <c r="F890" s="66" t="n"/>
      <c r="G890" s="67" t="n"/>
      <c r="J890" s="66" t="n"/>
      <c r="K890" s="67" t="n"/>
      <c r="N890" s="66" t="n"/>
      <c r="O890" s="67" t="n"/>
      <c r="R890" s="66" t="n"/>
      <c r="S890" s="67" t="n"/>
      <c r="V890" s="66" t="n"/>
      <c r="W890" s="67" t="n"/>
      <c r="Z890" s="66" t="n"/>
      <c r="AA890" s="67" t="n"/>
      <c r="AD890" s="66" t="n"/>
      <c r="AE890" s="67" t="n"/>
      <c r="AH890" s="66" t="n"/>
      <c r="AI890" s="67" t="n"/>
    </row>
    <row r="891">
      <c r="B891" s="2">
        <f>IF(STUDENTS!B890="","",STUDENTS!B890)</f>
        <v/>
      </c>
      <c r="C891" s="44">
        <f>IFERROR(IF(B891="","",_xlfn.XLOOKUP(B891,STUDENTS!$B$3:$B$1048576,STUDENTS!$C$3:$C$1048576)),"Enter a registered reg. no")</f>
        <v/>
      </c>
      <c r="D891" s="54" t="n"/>
      <c r="E891" s="55" t="n"/>
      <c r="F891" s="48" t="n"/>
      <c r="G891" s="58" t="n"/>
      <c r="H891" s="62" t="n"/>
      <c r="I891" s="63" t="n"/>
      <c r="J891" s="48" t="n"/>
      <c r="K891" s="58" t="n"/>
      <c r="L891" s="42" t="n"/>
      <c r="M891" s="42" t="n"/>
      <c r="N891" s="48" t="n"/>
      <c r="O891" s="58" t="n"/>
      <c r="P891" s="42" t="n"/>
      <c r="Q891" s="42" t="n"/>
      <c r="R891" s="48" t="n"/>
      <c r="S891" s="58" t="n"/>
      <c r="T891" s="42" t="n"/>
      <c r="U891" s="42" t="n"/>
      <c r="V891" s="48" t="n"/>
      <c r="W891" s="58" t="n"/>
      <c r="X891" s="42" t="n"/>
      <c r="Y891" s="42" t="n"/>
      <c r="Z891" s="48" t="n"/>
      <c r="AA891" s="58" t="n"/>
      <c r="AB891" s="42" t="n"/>
      <c r="AC891" s="42" t="n"/>
      <c r="AD891" s="48" t="n"/>
      <c r="AE891" s="58" t="n"/>
      <c r="AF891" s="42" t="n"/>
      <c r="AG891" s="42" t="n"/>
      <c r="AH891" s="48" t="n"/>
      <c r="AI891" s="58" t="n"/>
    </row>
    <row r="892">
      <c r="B892" s="2">
        <f>IF(STUDENTS!B891="","",STUDENTS!B891)</f>
        <v/>
      </c>
      <c r="C892" s="44">
        <f>IFERROR(IF(B892="","",_xlfn.XLOOKUP(B892,STUDENTS!$B$3:$B$1048576,STUDENTS!$C$3:$C$1048576)),"Enter a registered reg. no")</f>
        <v/>
      </c>
      <c r="F892" s="66" t="n"/>
      <c r="G892" s="67" t="n"/>
      <c r="J892" s="66" t="n"/>
      <c r="K892" s="67" t="n"/>
      <c r="N892" s="66" t="n"/>
      <c r="O892" s="67" t="n"/>
      <c r="R892" s="66" t="n"/>
      <c r="S892" s="67" t="n"/>
      <c r="V892" s="66" t="n"/>
      <c r="W892" s="67" t="n"/>
      <c r="Z892" s="66" t="n"/>
      <c r="AA892" s="67" t="n"/>
      <c r="AD892" s="66" t="n"/>
      <c r="AE892" s="67" t="n"/>
      <c r="AH892" s="66" t="n"/>
      <c r="AI892" s="67" t="n"/>
    </row>
    <row r="893">
      <c r="B893" s="2">
        <f>IF(STUDENTS!B892="","",STUDENTS!B892)</f>
        <v/>
      </c>
      <c r="C893" s="44">
        <f>IFERROR(IF(B893="","",_xlfn.XLOOKUP(B893,STUDENTS!$B$3:$B$1048576,STUDENTS!$C$3:$C$1048576)),"Enter a registered reg. no")</f>
        <v/>
      </c>
      <c r="D893" s="54" t="n"/>
      <c r="E893" s="55" t="n"/>
      <c r="F893" s="48" t="n"/>
      <c r="G893" s="58" t="n"/>
      <c r="H893" s="62" t="n"/>
      <c r="I893" s="63" t="n"/>
      <c r="J893" s="48" t="n"/>
      <c r="K893" s="58" t="n"/>
      <c r="L893" s="42" t="n"/>
      <c r="M893" s="42" t="n"/>
      <c r="N893" s="48" t="n"/>
      <c r="O893" s="58" t="n"/>
      <c r="P893" s="42" t="n"/>
      <c r="Q893" s="42" t="n"/>
      <c r="R893" s="48" t="n"/>
      <c r="S893" s="58" t="n"/>
      <c r="T893" s="42" t="n"/>
      <c r="U893" s="42" t="n"/>
      <c r="V893" s="48" t="n"/>
      <c r="W893" s="58" t="n"/>
      <c r="X893" s="42" t="n"/>
      <c r="Y893" s="42" t="n"/>
      <c r="Z893" s="48" t="n"/>
      <c r="AA893" s="58" t="n"/>
      <c r="AB893" s="42" t="n"/>
      <c r="AC893" s="42" t="n"/>
      <c r="AD893" s="48" t="n"/>
      <c r="AE893" s="58" t="n"/>
      <c r="AF893" s="42" t="n"/>
      <c r="AG893" s="42" t="n"/>
      <c r="AH893" s="48" t="n"/>
      <c r="AI893" s="58" t="n"/>
    </row>
    <row r="894">
      <c r="B894" s="2">
        <f>IF(STUDENTS!B893="","",STUDENTS!B893)</f>
        <v/>
      </c>
      <c r="C894" s="44">
        <f>IFERROR(IF(B894="","",_xlfn.XLOOKUP(B894,STUDENTS!$B$3:$B$1048576,STUDENTS!$C$3:$C$1048576)),"Enter a registered reg. no")</f>
        <v/>
      </c>
      <c r="F894" s="66" t="n"/>
      <c r="G894" s="67" t="n"/>
      <c r="J894" s="66" t="n"/>
      <c r="K894" s="67" t="n"/>
      <c r="N894" s="66" t="n"/>
      <c r="O894" s="67" t="n"/>
      <c r="R894" s="66" t="n"/>
      <c r="S894" s="67" t="n"/>
      <c r="V894" s="66" t="n"/>
      <c r="W894" s="67" t="n"/>
      <c r="Z894" s="66" t="n"/>
      <c r="AA894" s="67" t="n"/>
      <c r="AD894" s="66" t="n"/>
      <c r="AE894" s="67" t="n"/>
      <c r="AH894" s="66" t="n"/>
      <c r="AI894" s="67" t="n"/>
    </row>
    <row r="895">
      <c r="B895" s="2">
        <f>IF(STUDENTS!B894="","",STUDENTS!B894)</f>
        <v/>
      </c>
      <c r="C895" s="44">
        <f>IFERROR(IF(B895="","",_xlfn.XLOOKUP(B895,STUDENTS!$B$3:$B$1048576,STUDENTS!$C$3:$C$1048576)),"Enter a registered reg. no")</f>
        <v/>
      </c>
      <c r="D895" s="54" t="n"/>
      <c r="E895" s="55" t="n"/>
      <c r="F895" s="48" t="n"/>
      <c r="G895" s="58" t="n"/>
      <c r="H895" s="62" t="n"/>
      <c r="I895" s="63" t="n"/>
      <c r="J895" s="48" t="n"/>
      <c r="K895" s="58" t="n"/>
      <c r="L895" s="42" t="n"/>
      <c r="M895" s="42" t="n"/>
      <c r="N895" s="48" t="n"/>
      <c r="O895" s="58" t="n"/>
      <c r="P895" s="42" t="n"/>
      <c r="Q895" s="42" t="n"/>
      <c r="R895" s="48" t="n"/>
      <c r="S895" s="58" t="n"/>
      <c r="T895" s="42" t="n"/>
      <c r="U895" s="42" t="n"/>
      <c r="V895" s="48" t="n"/>
      <c r="W895" s="58" t="n"/>
      <c r="X895" s="42" t="n"/>
      <c r="Y895" s="42" t="n"/>
      <c r="Z895" s="48" t="n"/>
      <c r="AA895" s="58" t="n"/>
      <c r="AB895" s="42" t="n"/>
      <c r="AC895" s="42" t="n"/>
      <c r="AD895" s="48" t="n"/>
      <c r="AE895" s="58" t="n"/>
      <c r="AF895" s="42" t="n"/>
      <c r="AG895" s="42" t="n"/>
      <c r="AH895" s="48" t="n"/>
      <c r="AI895" s="58" t="n"/>
    </row>
    <row r="896">
      <c r="B896" s="2">
        <f>IF(STUDENTS!B895="","",STUDENTS!B895)</f>
        <v/>
      </c>
      <c r="C896" s="44">
        <f>IFERROR(IF(B896="","",_xlfn.XLOOKUP(B896,STUDENTS!$B$3:$B$1048576,STUDENTS!$C$3:$C$1048576)),"Enter a registered reg. no")</f>
        <v/>
      </c>
      <c r="F896" s="66" t="n"/>
      <c r="G896" s="67" t="n"/>
      <c r="J896" s="66" t="n"/>
      <c r="K896" s="67" t="n"/>
      <c r="N896" s="66" t="n"/>
      <c r="O896" s="67" t="n"/>
      <c r="R896" s="66" t="n"/>
      <c r="S896" s="67" t="n"/>
      <c r="V896" s="66" t="n"/>
      <c r="W896" s="67" t="n"/>
      <c r="Z896" s="66" t="n"/>
      <c r="AA896" s="67" t="n"/>
      <c r="AD896" s="66" t="n"/>
      <c r="AE896" s="67" t="n"/>
      <c r="AH896" s="66" t="n"/>
      <c r="AI896" s="67" t="n"/>
    </row>
    <row r="897">
      <c r="B897" s="2">
        <f>IF(STUDENTS!B896="","",STUDENTS!B896)</f>
        <v/>
      </c>
      <c r="C897" s="44">
        <f>IFERROR(IF(B897="","",_xlfn.XLOOKUP(B897,STUDENTS!$B$3:$B$1048576,STUDENTS!$C$3:$C$1048576)),"Enter a registered reg. no")</f>
        <v/>
      </c>
      <c r="D897" s="54" t="n"/>
      <c r="E897" s="55" t="n"/>
      <c r="F897" s="48" t="n"/>
      <c r="G897" s="58" t="n"/>
      <c r="H897" s="62" t="n"/>
      <c r="I897" s="63" t="n"/>
      <c r="J897" s="48" t="n"/>
      <c r="K897" s="58" t="n"/>
      <c r="L897" s="42" t="n"/>
      <c r="M897" s="42" t="n"/>
      <c r="N897" s="48" t="n"/>
      <c r="O897" s="58" t="n"/>
      <c r="P897" s="42" t="n"/>
      <c r="Q897" s="42" t="n"/>
      <c r="R897" s="48" t="n"/>
      <c r="S897" s="58" t="n"/>
      <c r="T897" s="42" t="n"/>
      <c r="U897" s="42" t="n"/>
      <c r="V897" s="48" t="n"/>
      <c r="W897" s="58" t="n"/>
      <c r="X897" s="42" t="n"/>
      <c r="Y897" s="42" t="n"/>
      <c r="Z897" s="48" t="n"/>
      <c r="AA897" s="58" t="n"/>
      <c r="AB897" s="42" t="n"/>
      <c r="AC897" s="42" t="n"/>
      <c r="AD897" s="48" t="n"/>
      <c r="AE897" s="58" t="n"/>
      <c r="AF897" s="42" t="n"/>
      <c r="AG897" s="42" t="n"/>
      <c r="AH897" s="48" t="n"/>
      <c r="AI897" s="58" t="n"/>
    </row>
    <row r="898">
      <c r="B898" s="2">
        <f>IF(STUDENTS!B897="","",STUDENTS!B897)</f>
        <v/>
      </c>
      <c r="C898" s="44">
        <f>IFERROR(IF(B898="","",_xlfn.XLOOKUP(B898,STUDENTS!$B$3:$B$1048576,STUDENTS!$C$3:$C$1048576)),"Enter a registered reg. no")</f>
        <v/>
      </c>
      <c r="F898" s="66" t="n"/>
      <c r="G898" s="67" t="n"/>
      <c r="J898" s="66" t="n"/>
      <c r="K898" s="67" t="n"/>
      <c r="N898" s="66" t="n"/>
      <c r="O898" s="67" t="n"/>
      <c r="R898" s="66" t="n"/>
      <c r="S898" s="67" t="n"/>
      <c r="V898" s="66" t="n"/>
      <c r="W898" s="67" t="n"/>
      <c r="Z898" s="66" t="n"/>
      <c r="AA898" s="67" t="n"/>
      <c r="AD898" s="66" t="n"/>
      <c r="AE898" s="67" t="n"/>
      <c r="AH898" s="66" t="n"/>
      <c r="AI898" s="67" t="n"/>
    </row>
    <row r="899">
      <c r="B899" s="2">
        <f>IF(STUDENTS!B898="","",STUDENTS!B898)</f>
        <v/>
      </c>
      <c r="C899" s="44">
        <f>IFERROR(IF(B899="","",_xlfn.XLOOKUP(B899,STUDENTS!$B$3:$B$1048576,STUDENTS!$C$3:$C$1048576)),"Enter a registered reg. no")</f>
        <v/>
      </c>
      <c r="D899" s="54" t="n"/>
      <c r="E899" s="55" t="n"/>
      <c r="F899" s="48" t="n"/>
      <c r="G899" s="58" t="n"/>
      <c r="H899" s="62" t="n"/>
      <c r="I899" s="63" t="n"/>
      <c r="J899" s="48" t="n"/>
      <c r="K899" s="58" t="n"/>
      <c r="L899" s="42" t="n"/>
      <c r="M899" s="42" t="n"/>
      <c r="N899" s="48" t="n"/>
      <c r="O899" s="58" t="n"/>
      <c r="P899" s="42" t="n"/>
      <c r="Q899" s="42" t="n"/>
      <c r="R899" s="48" t="n"/>
      <c r="S899" s="58" t="n"/>
      <c r="T899" s="42" t="n"/>
      <c r="U899" s="42" t="n"/>
      <c r="V899" s="48" t="n"/>
      <c r="W899" s="58" t="n"/>
      <c r="X899" s="42" t="n"/>
      <c r="Y899" s="42" t="n"/>
      <c r="Z899" s="48" t="n"/>
      <c r="AA899" s="58" t="n"/>
      <c r="AB899" s="42" t="n"/>
      <c r="AC899" s="42" t="n"/>
      <c r="AD899" s="48" t="n"/>
      <c r="AE899" s="58" t="n"/>
      <c r="AF899" s="42" t="n"/>
      <c r="AG899" s="42" t="n"/>
      <c r="AH899" s="48" t="n"/>
      <c r="AI899" s="58" t="n"/>
    </row>
    <row r="900">
      <c r="B900" s="2">
        <f>IF(STUDENTS!B899="","",STUDENTS!B899)</f>
        <v/>
      </c>
      <c r="C900" s="44">
        <f>IFERROR(IF(B900="","",_xlfn.XLOOKUP(B900,STUDENTS!$B$3:$B$1048576,STUDENTS!$C$3:$C$1048576)),"Enter a registered reg. no")</f>
        <v/>
      </c>
      <c r="F900" s="66" t="n"/>
      <c r="G900" s="67" t="n"/>
      <c r="J900" s="66" t="n"/>
      <c r="K900" s="67" t="n"/>
      <c r="N900" s="66" t="n"/>
      <c r="O900" s="67" t="n"/>
      <c r="R900" s="66" t="n"/>
      <c r="S900" s="67" t="n"/>
      <c r="V900" s="66" t="n"/>
      <c r="W900" s="67" t="n"/>
      <c r="Z900" s="66" t="n"/>
      <c r="AA900" s="67" t="n"/>
      <c r="AD900" s="66" t="n"/>
      <c r="AE900" s="67" t="n"/>
      <c r="AH900" s="66" t="n"/>
      <c r="AI900" s="67" t="n"/>
    </row>
    <row r="901">
      <c r="B901" s="2">
        <f>IF(STUDENTS!B900="","",STUDENTS!B900)</f>
        <v/>
      </c>
      <c r="C901" s="44">
        <f>IFERROR(IF(B901="","",_xlfn.XLOOKUP(B901,STUDENTS!$B$3:$B$1048576,STUDENTS!$C$3:$C$1048576)),"Enter a registered reg. no")</f>
        <v/>
      </c>
      <c r="D901" s="54" t="n"/>
      <c r="E901" s="55" t="n"/>
      <c r="F901" s="48" t="n"/>
      <c r="G901" s="58" t="n"/>
      <c r="H901" s="62" t="n"/>
      <c r="I901" s="63" t="n"/>
      <c r="J901" s="48" t="n"/>
      <c r="K901" s="58" t="n"/>
      <c r="L901" s="42" t="n"/>
      <c r="M901" s="42" t="n"/>
      <c r="N901" s="48" t="n"/>
      <c r="O901" s="58" t="n"/>
      <c r="P901" s="42" t="n"/>
      <c r="Q901" s="42" t="n"/>
      <c r="R901" s="48" t="n"/>
      <c r="S901" s="58" t="n"/>
      <c r="T901" s="42" t="n"/>
      <c r="U901" s="42" t="n"/>
      <c r="V901" s="48" t="n"/>
      <c r="W901" s="58" t="n"/>
      <c r="X901" s="42" t="n"/>
      <c r="Y901" s="42" t="n"/>
      <c r="Z901" s="48" t="n"/>
      <c r="AA901" s="58" t="n"/>
      <c r="AB901" s="42" t="n"/>
      <c r="AC901" s="42" t="n"/>
      <c r="AD901" s="48" t="n"/>
      <c r="AE901" s="58" t="n"/>
      <c r="AF901" s="42" t="n"/>
      <c r="AG901" s="42" t="n"/>
      <c r="AH901" s="48" t="n"/>
      <c r="AI901" s="58" t="n"/>
    </row>
    <row r="902">
      <c r="B902" s="2">
        <f>IF(STUDENTS!B901="","",STUDENTS!B901)</f>
        <v/>
      </c>
      <c r="C902" s="44">
        <f>IFERROR(IF(B902="","",_xlfn.XLOOKUP(B902,STUDENTS!$B$3:$B$1048576,STUDENTS!$C$3:$C$1048576)),"Enter a registered reg. no")</f>
        <v/>
      </c>
      <c r="F902" s="66" t="n"/>
      <c r="G902" s="67" t="n"/>
      <c r="J902" s="66" t="n"/>
      <c r="K902" s="67" t="n"/>
      <c r="N902" s="66" t="n"/>
      <c r="O902" s="67" t="n"/>
      <c r="R902" s="66" t="n"/>
      <c r="S902" s="67" t="n"/>
      <c r="V902" s="66" t="n"/>
      <c r="W902" s="67" t="n"/>
      <c r="Z902" s="66" t="n"/>
      <c r="AA902" s="67" t="n"/>
      <c r="AD902" s="66" t="n"/>
      <c r="AE902" s="67" t="n"/>
      <c r="AH902" s="66" t="n"/>
      <c r="AI902" s="67" t="n"/>
    </row>
    <row r="903">
      <c r="B903" s="2">
        <f>IF(STUDENTS!B902="","",STUDENTS!B902)</f>
        <v/>
      </c>
      <c r="C903" s="44">
        <f>IFERROR(IF(B903="","",_xlfn.XLOOKUP(B903,STUDENTS!$B$3:$B$1048576,STUDENTS!$C$3:$C$1048576)),"Enter a registered reg. no")</f>
        <v/>
      </c>
      <c r="D903" s="54" t="n"/>
      <c r="E903" s="55" t="n"/>
      <c r="F903" s="48" t="n"/>
      <c r="G903" s="58" t="n"/>
      <c r="H903" s="62" t="n"/>
      <c r="I903" s="63" t="n"/>
      <c r="J903" s="48" t="n"/>
      <c r="K903" s="58" t="n"/>
      <c r="L903" s="42" t="n"/>
      <c r="M903" s="42" t="n"/>
      <c r="N903" s="48" t="n"/>
      <c r="O903" s="58" t="n"/>
      <c r="P903" s="42" t="n"/>
      <c r="Q903" s="42" t="n"/>
      <c r="R903" s="48" t="n"/>
      <c r="S903" s="58" t="n"/>
      <c r="T903" s="42" t="n"/>
      <c r="U903" s="42" t="n"/>
      <c r="V903" s="48" t="n"/>
      <c r="W903" s="58" t="n"/>
      <c r="X903" s="42" t="n"/>
      <c r="Y903" s="42" t="n"/>
      <c r="Z903" s="48" t="n"/>
      <c r="AA903" s="58" t="n"/>
      <c r="AB903" s="42" t="n"/>
      <c r="AC903" s="42" t="n"/>
      <c r="AD903" s="48" t="n"/>
      <c r="AE903" s="58" t="n"/>
      <c r="AF903" s="42" t="n"/>
      <c r="AG903" s="42" t="n"/>
      <c r="AH903" s="48" t="n"/>
      <c r="AI903" s="58" t="n"/>
    </row>
    <row r="904">
      <c r="B904" s="2">
        <f>IF(STUDENTS!B903="","",STUDENTS!B903)</f>
        <v/>
      </c>
      <c r="C904" s="44">
        <f>IFERROR(IF(B904="","",_xlfn.XLOOKUP(B904,STUDENTS!$B$3:$B$1048576,STUDENTS!$C$3:$C$1048576)),"Enter a registered reg. no")</f>
        <v/>
      </c>
      <c r="F904" s="66" t="n"/>
      <c r="G904" s="67" t="n"/>
      <c r="J904" s="66" t="n"/>
      <c r="K904" s="67" t="n"/>
      <c r="N904" s="66" t="n"/>
      <c r="O904" s="67" t="n"/>
      <c r="R904" s="66" t="n"/>
      <c r="S904" s="67" t="n"/>
      <c r="V904" s="66" t="n"/>
      <c r="W904" s="67" t="n"/>
      <c r="Z904" s="66" t="n"/>
      <c r="AA904" s="67" t="n"/>
      <c r="AD904" s="66" t="n"/>
      <c r="AE904" s="67" t="n"/>
      <c r="AH904" s="66" t="n"/>
      <c r="AI904" s="67" t="n"/>
    </row>
    <row r="905">
      <c r="B905" s="2">
        <f>IF(STUDENTS!B904="","",STUDENTS!B904)</f>
        <v/>
      </c>
      <c r="C905" s="44">
        <f>IFERROR(IF(B905="","",_xlfn.XLOOKUP(B905,STUDENTS!$B$3:$B$1048576,STUDENTS!$C$3:$C$1048576)),"Enter a registered reg. no")</f>
        <v/>
      </c>
      <c r="D905" s="54" t="n"/>
      <c r="E905" s="55" t="n"/>
      <c r="F905" s="48" t="n"/>
      <c r="G905" s="58" t="n"/>
      <c r="H905" s="62" t="n"/>
      <c r="I905" s="63" t="n"/>
      <c r="J905" s="48" t="n"/>
      <c r="K905" s="58" t="n"/>
      <c r="L905" s="42" t="n"/>
      <c r="M905" s="42" t="n"/>
      <c r="N905" s="48" t="n"/>
      <c r="O905" s="58" t="n"/>
      <c r="P905" s="42" t="n"/>
      <c r="Q905" s="42" t="n"/>
      <c r="R905" s="48" t="n"/>
      <c r="S905" s="58" t="n"/>
      <c r="T905" s="42" t="n"/>
      <c r="U905" s="42" t="n"/>
      <c r="V905" s="48" t="n"/>
      <c r="W905" s="58" t="n"/>
      <c r="X905" s="42" t="n"/>
      <c r="Y905" s="42" t="n"/>
      <c r="Z905" s="48" t="n"/>
      <c r="AA905" s="58" t="n"/>
      <c r="AB905" s="42" t="n"/>
      <c r="AC905" s="42" t="n"/>
      <c r="AD905" s="48" t="n"/>
      <c r="AE905" s="58" t="n"/>
      <c r="AF905" s="42" t="n"/>
      <c r="AG905" s="42" t="n"/>
      <c r="AH905" s="48" t="n"/>
      <c r="AI905" s="58" t="n"/>
    </row>
    <row r="906">
      <c r="B906" s="2">
        <f>IF(STUDENTS!B905="","",STUDENTS!B905)</f>
        <v/>
      </c>
      <c r="C906" s="44">
        <f>IFERROR(IF(B906="","",_xlfn.XLOOKUP(B906,STUDENTS!$B$3:$B$1048576,STUDENTS!$C$3:$C$1048576)),"Enter a registered reg. no")</f>
        <v/>
      </c>
      <c r="F906" s="66" t="n"/>
      <c r="G906" s="67" t="n"/>
      <c r="J906" s="66" t="n"/>
      <c r="K906" s="67" t="n"/>
      <c r="N906" s="66" t="n"/>
      <c r="O906" s="67" t="n"/>
      <c r="R906" s="66" t="n"/>
      <c r="S906" s="67" t="n"/>
      <c r="V906" s="66" t="n"/>
      <c r="W906" s="67" t="n"/>
      <c r="Z906" s="66" t="n"/>
      <c r="AA906" s="67" t="n"/>
      <c r="AD906" s="66" t="n"/>
      <c r="AE906" s="67" t="n"/>
      <c r="AH906" s="66" t="n"/>
      <c r="AI906" s="67" t="n"/>
    </row>
    <row r="907">
      <c r="B907" s="2">
        <f>IF(STUDENTS!B906="","",STUDENTS!B906)</f>
        <v/>
      </c>
      <c r="C907" s="44">
        <f>IFERROR(IF(B907="","",_xlfn.XLOOKUP(B907,STUDENTS!$B$3:$B$1048576,STUDENTS!$C$3:$C$1048576)),"Enter a registered reg. no")</f>
        <v/>
      </c>
      <c r="D907" s="54" t="n"/>
      <c r="E907" s="55" t="n"/>
      <c r="F907" s="48" t="n"/>
      <c r="G907" s="58" t="n"/>
      <c r="H907" s="62" t="n"/>
      <c r="I907" s="63" t="n"/>
      <c r="J907" s="48" t="n"/>
      <c r="K907" s="58" t="n"/>
      <c r="L907" s="42" t="n"/>
      <c r="M907" s="42" t="n"/>
      <c r="N907" s="48" t="n"/>
      <c r="O907" s="58" t="n"/>
      <c r="P907" s="42" t="n"/>
      <c r="Q907" s="42" t="n"/>
      <c r="R907" s="48" t="n"/>
      <c r="S907" s="58" t="n"/>
      <c r="T907" s="42" t="n"/>
      <c r="U907" s="42" t="n"/>
      <c r="V907" s="48" t="n"/>
      <c r="W907" s="58" t="n"/>
      <c r="X907" s="42" t="n"/>
      <c r="Y907" s="42" t="n"/>
      <c r="Z907" s="48" t="n"/>
      <c r="AA907" s="58" t="n"/>
      <c r="AB907" s="42" t="n"/>
      <c r="AC907" s="42" t="n"/>
      <c r="AD907" s="48" t="n"/>
      <c r="AE907" s="58" t="n"/>
      <c r="AF907" s="42" t="n"/>
      <c r="AG907" s="42" t="n"/>
      <c r="AH907" s="48" t="n"/>
      <c r="AI907" s="58" t="n"/>
    </row>
    <row r="908">
      <c r="B908" s="2">
        <f>IF(STUDENTS!B907="","",STUDENTS!B907)</f>
        <v/>
      </c>
      <c r="C908" s="44">
        <f>IFERROR(IF(B908="","",_xlfn.XLOOKUP(B908,STUDENTS!$B$3:$B$1048576,STUDENTS!$C$3:$C$1048576)),"Enter a registered reg. no")</f>
        <v/>
      </c>
      <c r="F908" s="66" t="n"/>
      <c r="G908" s="67" t="n"/>
      <c r="J908" s="66" t="n"/>
      <c r="K908" s="67" t="n"/>
      <c r="N908" s="66" t="n"/>
      <c r="O908" s="67" t="n"/>
      <c r="R908" s="66" t="n"/>
      <c r="S908" s="67" t="n"/>
      <c r="V908" s="66" t="n"/>
      <c r="W908" s="67" t="n"/>
      <c r="Z908" s="66" t="n"/>
      <c r="AA908" s="67" t="n"/>
      <c r="AD908" s="66" t="n"/>
      <c r="AE908" s="67" t="n"/>
      <c r="AH908" s="66" t="n"/>
      <c r="AI908" s="67" t="n"/>
    </row>
    <row r="909">
      <c r="B909" s="2">
        <f>IF(STUDENTS!B908="","",STUDENTS!B908)</f>
        <v/>
      </c>
      <c r="C909" s="44">
        <f>IFERROR(IF(B909="","",_xlfn.XLOOKUP(B909,STUDENTS!$B$3:$B$1048576,STUDENTS!$C$3:$C$1048576)),"Enter a registered reg. no")</f>
        <v/>
      </c>
      <c r="D909" s="54" t="n"/>
      <c r="E909" s="55" t="n"/>
      <c r="F909" s="48" t="n"/>
      <c r="G909" s="58" t="n"/>
      <c r="H909" s="62" t="n"/>
      <c r="I909" s="63" t="n"/>
      <c r="J909" s="48" t="n"/>
      <c r="K909" s="58" t="n"/>
      <c r="L909" s="42" t="n"/>
      <c r="M909" s="42" t="n"/>
      <c r="N909" s="48" t="n"/>
      <c r="O909" s="58" t="n"/>
      <c r="P909" s="42" t="n"/>
      <c r="Q909" s="42" t="n"/>
      <c r="R909" s="48" t="n"/>
      <c r="S909" s="58" t="n"/>
      <c r="T909" s="42" t="n"/>
      <c r="U909" s="42" t="n"/>
      <c r="V909" s="48" t="n"/>
      <c r="W909" s="58" t="n"/>
      <c r="X909" s="42" t="n"/>
      <c r="Y909" s="42" t="n"/>
      <c r="Z909" s="48" t="n"/>
      <c r="AA909" s="58" t="n"/>
      <c r="AB909" s="42" t="n"/>
      <c r="AC909" s="42" t="n"/>
      <c r="AD909" s="48" t="n"/>
      <c r="AE909" s="58" t="n"/>
      <c r="AF909" s="42" t="n"/>
      <c r="AG909" s="42" t="n"/>
      <c r="AH909" s="48" t="n"/>
      <c r="AI909" s="58" t="n"/>
    </row>
    <row r="910">
      <c r="B910" s="2">
        <f>IF(STUDENTS!B909="","",STUDENTS!B909)</f>
        <v/>
      </c>
      <c r="C910" s="44">
        <f>IFERROR(IF(B910="","",_xlfn.XLOOKUP(B910,STUDENTS!$B$3:$B$1048576,STUDENTS!$C$3:$C$1048576)),"Enter a registered reg. no")</f>
        <v/>
      </c>
      <c r="F910" s="66" t="n"/>
      <c r="G910" s="67" t="n"/>
      <c r="J910" s="66" t="n"/>
      <c r="K910" s="67" t="n"/>
      <c r="N910" s="66" t="n"/>
      <c r="O910" s="67" t="n"/>
      <c r="R910" s="66" t="n"/>
      <c r="S910" s="67" t="n"/>
      <c r="V910" s="66" t="n"/>
      <c r="W910" s="67" t="n"/>
      <c r="Z910" s="66" t="n"/>
      <c r="AA910" s="67" t="n"/>
      <c r="AD910" s="66" t="n"/>
      <c r="AE910" s="67" t="n"/>
      <c r="AH910" s="66" t="n"/>
      <c r="AI910" s="67" t="n"/>
    </row>
    <row r="911">
      <c r="B911" s="2">
        <f>IF(STUDENTS!B910="","",STUDENTS!B910)</f>
        <v/>
      </c>
      <c r="C911" s="44">
        <f>IFERROR(IF(B911="","",_xlfn.XLOOKUP(B911,STUDENTS!$B$3:$B$1048576,STUDENTS!$C$3:$C$1048576)),"Enter a registered reg. no")</f>
        <v/>
      </c>
      <c r="D911" s="54" t="n"/>
      <c r="E911" s="55" t="n"/>
      <c r="F911" s="48" t="n"/>
      <c r="G911" s="58" t="n"/>
      <c r="H911" s="62" t="n"/>
      <c r="I911" s="63" t="n"/>
      <c r="J911" s="48" t="n"/>
      <c r="K911" s="58" t="n"/>
      <c r="L911" s="42" t="n"/>
      <c r="M911" s="42" t="n"/>
      <c r="N911" s="48" t="n"/>
      <c r="O911" s="58" t="n"/>
      <c r="P911" s="42" t="n"/>
      <c r="Q911" s="42" t="n"/>
      <c r="R911" s="48" t="n"/>
      <c r="S911" s="58" t="n"/>
      <c r="T911" s="42" t="n"/>
      <c r="U911" s="42" t="n"/>
      <c r="V911" s="48" t="n"/>
      <c r="W911" s="58" t="n"/>
      <c r="X911" s="42" t="n"/>
      <c r="Y911" s="42" t="n"/>
      <c r="Z911" s="48" t="n"/>
      <c r="AA911" s="58" t="n"/>
      <c r="AB911" s="42" t="n"/>
      <c r="AC911" s="42" t="n"/>
      <c r="AD911" s="48" t="n"/>
      <c r="AE911" s="58" t="n"/>
      <c r="AF911" s="42" t="n"/>
      <c r="AG911" s="42" t="n"/>
      <c r="AH911" s="48" t="n"/>
      <c r="AI911" s="58" t="n"/>
    </row>
    <row r="912">
      <c r="B912" s="2">
        <f>IF(STUDENTS!B911="","",STUDENTS!B911)</f>
        <v/>
      </c>
      <c r="C912" s="44">
        <f>IFERROR(IF(B912="","",_xlfn.XLOOKUP(B912,STUDENTS!$B$3:$B$1048576,STUDENTS!$C$3:$C$1048576)),"Enter a registered reg. no")</f>
        <v/>
      </c>
      <c r="F912" s="66" t="n"/>
      <c r="G912" s="67" t="n"/>
      <c r="J912" s="66" t="n"/>
      <c r="K912" s="67" t="n"/>
      <c r="N912" s="66" t="n"/>
      <c r="O912" s="67" t="n"/>
      <c r="R912" s="66" t="n"/>
      <c r="S912" s="67" t="n"/>
      <c r="V912" s="66" t="n"/>
      <c r="W912" s="67" t="n"/>
      <c r="Z912" s="66" t="n"/>
      <c r="AA912" s="67" t="n"/>
      <c r="AD912" s="66" t="n"/>
      <c r="AE912" s="67" t="n"/>
      <c r="AH912" s="66" t="n"/>
      <c r="AI912" s="67" t="n"/>
    </row>
    <row r="913">
      <c r="B913" s="2">
        <f>IF(STUDENTS!B912="","",STUDENTS!B912)</f>
        <v/>
      </c>
      <c r="C913" s="44">
        <f>IFERROR(IF(B913="","",_xlfn.XLOOKUP(B913,STUDENTS!$B$3:$B$1048576,STUDENTS!$C$3:$C$1048576)),"Enter a registered reg. no")</f>
        <v/>
      </c>
      <c r="D913" s="54" t="n"/>
      <c r="E913" s="55" t="n"/>
      <c r="F913" s="48" t="n"/>
      <c r="G913" s="58" t="n"/>
      <c r="H913" s="62" t="n"/>
      <c r="I913" s="63" t="n"/>
      <c r="J913" s="48" t="n"/>
      <c r="K913" s="58" t="n"/>
      <c r="L913" s="42" t="n"/>
      <c r="M913" s="42" t="n"/>
      <c r="N913" s="48" t="n"/>
      <c r="O913" s="58" t="n"/>
      <c r="P913" s="42" t="n"/>
      <c r="Q913" s="42" t="n"/>
      <c r="R913" s="48" t="n"/>
      <c r="S913" s="58" t="n"/>
      <c r="T913" s="42" t="n"/>
      <c r="U913" s="42" t="n"/>
      <c r="V913" s="48" t="n"/>
      <c r="W913" s="58" t="n"/>
      <c r="X913" s="42" t="n"/>
      <c r="Y913" s="42" t="n"/>
      <c r="Z913" s="48" t="n"/>
      <c r="AA913" s="58" t="n"/>
      <c r="AB913" s="42" t="n"/>
      <c r="AC913" s="42" t="n"/>
      <c r="AD913" s="48" t="n"/>
      <c r="AE913" s="58" t="n"/>
      <c r="AF913" s="42" t="n"/>
      <c r="AG913" s="42" t="n"/>
      <c r="AH913" s="48" t="n"/>
      <c r="AI913" s="58" t="n"/>
    </row>
    <row r="914">
      <c r="B914" s="2">
        <f>IF(STUDENTS!B913="","",STUDENTS!B913)</f>
        <v/>
      </c>
      <c r="C914" s="44">
        <f>IFERROR(IF(B914="","",_xlfn.XLOOKUP(B914,STUDENTS!$B$3:$B$1048576,STUDENTS!$C$3:$C$1048576)),"Enter a registered reg. no")</f>
        <v/>
      </c>
      <c r="F914" s="66" t="n"/>
      <c r="G914" s="67" t="n"/>
      <c r="J914" s="66" t="n"/>
      <c r="K914" s="67" t="n"/>
      <c r="N914" s="66" t="n"/>
      <c r="O914" s="67" t="n"/>
      <c r="R914" s="66" t="n"/>
      <c r="S914" s="67" t="n"/>
      <c r="V914" s="66" t="n"/>
      <c r="W914" s="67" t="n"/>
      <c r="Z914" s="66" t="n"/>
      <c r="AA914" s="67" t="n"/>
      <c r="AD914" s="66" t="n"/>
      <c r="AE914" s="67" t="n"/>
      <c r="AH914" s="66" t="n"/>
      <c r="AI914" s="67" t="n"/>
    </row>
    <row r="915">
      <c r="B915" s="2">
        <f>IF(STUDENTS!B914="","",STUDENTS!B914)</f>
        <v/>
      </c>
      <c r="C915" s="44">
        <f>IFERROR(IF(B915="","",_xlfn.XLOOKUP(B915,STUDENTS!$B$3:$B$1048576,STUDENTS!$C$3:$C$1048576)),"Enter a registered reg. no")</f>
        <v/>
      </c>
      <c r="D915" s="54" t="n"/>
      <c r="E915" s="55" t="n"/>
      <c r="F915" s="48" t="n"/>
      <c r="G915" s="58" t="n"/>
      <c r="H915" s="62" t="n"/>
      <c r="I915" s="63" t="n"/>
      <c r="J915" s="48" t="n"/>
      <c r="K915" s="58" t="n"/>
      <c r="L915" s="42" t="n"/>
      <c r="M915" s="42" t="n"/>
      <c r="N915" s="48" t="n"/>
      <c r="O915" s="58" t="n"/>
      <c r="P915" s="42" t="n"/>
      <c r="Q915" s="42" t="n"/>
      <c r="R915" s="48" t="n"/>
      <c r="S915" s="58" t="n"/>
      <c r="T915" s="42" t="n"/>
      <c r="U915" s="42" t="n"/>
      <c r="V915" s="48" t="n"/>
      <c r="W915" s="58" t="n"/>
      <c r="X915" s="42" t="n"/>
      <c r="Y915" s="42" t="n"/>
      <c r="Z915" s="48" t="n"/>
      <c r="AA915" s="58" t="n"/>
      <c r="AB915" s="42" t="n"/>
      <c r="AC915" s="42" t="n"/>
      <c r="AD915" s="48" t="n"/>
      <c r="AE915" s="58" t="n"/>
      <c r="AF915" s="42" t="n"/>
      <c r="AG915" s="42" t="n"/>
      <c r="AH915" s="48" t="n"/>
      <c r="AI915" s="58" t="n"/>
    </row>
    <row r="916">
      <c r="B916" s="2">
        <f>IF(STUDENTS!B915="","",STUDENTS!B915)</f>
        <v/>
      </c>
      <c r="C916" s="44">
        <f>IFERROR(IF(B916="","",_xlfn.XLOOKUP(B916,STUDENTS!$B$3:$B$1048576,STUDENTS!$C$3:$C$1048576)),"Enter a registered reg. no")</f>
        <v/>
      </c>
      <c r="F916" s="66" t="n"/>
      <c r="G916" s="67" t="n"/>
      <c r="J916" s="66" t="n"/>
      <c r="K916" s="67" t="n"/>
      <c r="N916" s="66" t="n"/>
      <c r="O916" s="67" t="n"/>
      <c r="R916" s="66" t="n"/>
      <c r="S916" s="67" t="n"/>
      <c r="V916" s="66" t="n"/>
      <c r="W916" s="67" t="n"/>
      <c r="Z916" s="66" t="n"/>
      <c r="AA916" s="67" t="n"/>
      <c r="AD916" s="66" t="n"/>
      <c r="AE916" s="67" t="n"/>
      <c r="AH916" s="66" t="n"/>
      <c r="AI916" s="67" t="n"/>
    </row>
    <row r="917">
      <c r="B917" s="2">
        <f>IF(STUDENTS!B916="","",STUDENTS!B916)</f>
        <v/>
      </c>
      <c r="C917" s="44">
        <f>IFERROR(IF(B917="","",_xlfn.XLOOKUP(B917,STUDENTS!$B$3:$B$1048576,STUDENTS!$C$3:$C$1048576)),"Enter a registered reg. no")</f>
        <v/>
      </c>
      <c r="D917" s="54" t="n"/>
      <c r="E917" s="55" t="n"/>
      <c r="F917" s="48" t="n"/>
      <c r="G917" s="58" t="n"/>
      <c r="H917" s="62" t="n"/>
      <c r="I917" s="63" t="n"/>
      <c r="J917" s="48" t="n"/>
      <c r="K917" s="58" t="n"/>
      <c r="L917" s="42" t="n"/>
      <c r="M917" s="42" t="n"/>
      <c r="N917" s="48" t="n"/>
      <c r="O917" s="58" t="n"/>
      <c r="P917" s="42" t="n"/>
      <c r="Q917" s="42" t="n"/>
      <c r="R917" s="48" t="n"/>
      <c r="S917" s="58" t="n"/>
      <c r="T917" s="42" t="n"/>
      <c r="U917" s="42" t="n"/>
      <c r="V917" s="48" t="n"/>
      <c r="W917" s="58" t="n"/>
      <c r="X917" s="42" t="n"/>
      <c r="Y917" s="42" t="n"/>
      <c r="Z917" s="48" t="n"/>
      <c r="AA917" s="58" t="n"/>
      <c r="AB917" s="42" t="n"/>
      <c r="AC917" s="42" t="n"/>
      <c r="AD917" s="48" t="n"/>
      <c r="AE917" s="58" t="n"/>
      <c r="AF917" s="42" t="n"/>
      <c r="AG917" s="42" t="n"/>
      <c r="AH917" s="48" t="n"/>
      <c r="AI917" s="58" t="n"/>
    </row>
    <row r="918">
      <c r="B918" s="2">
        <f>IF(STUDENTS!B917="","",STUDENTS!B917)</f>
        <v/>
      </c>
      <c r="C918" s="44">
        <f>IFERROR(IF(B918="","",_xlfn.XLOOKUP(B918,STUDENTS!$B$3:$B$1048576,STUDENTS!$C$3:$C$1048576)),"Enter a registered reg. no")</f>
        <v/>
      </c>
      <c r="F918" s="66" t="n"/>
      <c r="G918" s="67" t="n"/>
      <c r="J918" s="66" t="n"/>
      <c r="K918" s="67" t="n"/>
      <c r="N918" s="66" t="n"/>
      <c r="O918" s="67" t="n"/>
      <c r="R918" s="66" t="n"/>
      <c r="S918" s="67" t="n"/>
      <c r="V918" s="66" t="n"/>
      <c r="W918" s="67" t="n"/>
      <c r="Z918" s="66" t="n"/>
      <c r="AA918" s="67" t="n"/>
      <c r="AD918" s="66" t="n"/>
      <c r="AE918" s="67" t="n"/>
      <c r="AH918" s="66" t="n"/>
      <c r="AI918" s="67" t="n"/>
    </row>
    <row r="919">
      <c r="B919" s="2">
        <f>IF(STUDENTS!B918="","",STUDENTS!B918)</f>
        <v/>
      </c>
      <c r="C919" s="44">
        <f>IFERROR(IF(B919="","",_xlfn.XLOOKUP(B919,STUDENTS!$B$3:$B$1048576,STUDENTS!$C$3:$C$1048576)),"Enter a registered reg. no")</f>
        <v/>
      </c>
      <c r="D919" s="54" t="n"/>
      <c r="E919" s="55" t="n"/>
      <c r="F919" s="48" t="n"/>
      <c r="G919" s="58" t="n"/>
      <c r="H919" s="62" t="n"/>
      <c r="I919" s="63" t="n"/>
      <c r="J919" s="48" t="n"/>
      <c r="K919" s="58" t="n"/>
      <c r="L919" s="42" t="n"/>
      <c r="M919" s="42" t="n"/>
      <c r="N919" s="48" t="n"/>
      <c r="O919" s="58" t="n"/>
      <c r="P919" s="42" t="n"/>
      <c r="Q919" s="42" t="n"/>
      <c r="R919" s="48" t="n"/>
      <c r="S919" s="58" t="n"/>
      <c r="T919" s="42" t="n"/>
      <c r="U919" s="42" t="n"/>
      <c r="V919" s="48" t="n"/>
      <c r="W919" s="58" t="n"/>
      <c r="X919" s="42" t="n"/>
      <c r="Y919" s="42" t="n"/>
      <c r="Z919" s="48" t="n"/>
      <c r="AA919" s="58" t="n"/>
      <c r="AB919" s="42" t="n"/>
      <c r="AC919" s="42" t="n"/>
      <c r="AD919" s="48" t="n"/>
      <c r="AE919" s="58" t="n"/>
      <c r="AF919" s="42" t="n"/>
      <c r="AG919" s="42" t="n"/>
      <c r="AH919" s="48" t="n"/>
      <c r="AI919" s="58" t="n"/>
    </row>
    <row r="920">
      <c r="B920" s="2">
        <f>IF(STUDENTS!B919="","",STUDENTS!B919)</f>
        <v/>
      </c>
      <c r="C920" s="44">
        <f>IFERROR(IF(B920="","",_xlfn.XLOOKUP(B920,STUDENTS!$B$3:$B$1048576,STUDENTS!$C$3:$C$1048576)),"Enter a registered reg. no")</f>
        <v/>
      </c>
      <c r="F920" s="66" t="n"/>
      <c r="G920" s="67" t="n"/>
      <c r="J920" s="66" t="n"/>
      <c r="K920" s="67" t="n"/>
      <c r="N920" s="66" t="n"/>
      <c r="O920" s="67" t="n"/>
      <c r="R920" s="66" t="n"/>
      <c r="S920" s="67" t="n"/>
      <c r="V920" s="66" t="n"/>
      <c r="W920" s="67" t="n"/>
      <c r="Z920" s="66" t="n"/>
      <c r="AA920" s="67" t="n"/>
      <c r="AD920" s="66" t="n"/>
      <c r="AE920" s="67" t="n"/>
      <c r="AH920" s="66" t="n"/>
      <c r="AI920" s="67" t="n"/>
    </row>
    <row r="921">
      <c r="B921" s="2">
        <f>IF(STUDENTS!B920="","",STUDENTS!B920)</f>
        <v/>
      </c>
      <c r="C921" s="44">
        <f>IFERROR(IF(B921="","",_xlfn.XLOOKUP(B921,STUDENTS!$B$3:$B$1048576,STUDENTS!$C$3:$C$1048576)),"Enter a registered reg. no")</f>
        <v/>
      </c>
      <c r="D921" s="54" t="n"/>
      <c r="E921" s="55" t="n"/>
      <c r="F921" s="48" t="n"/>
      <c r="G921" s="58" t="n"/>
      <c r="H921" s="62" t="n"/>
      <c r="I921" s="63" t="n"/>
      <c r="J921" s="48" t="n"/>
      <c r="K921" s="58" t="n"/>
      <c r="L921" s="42" t="n"/>
      <c r="M921" s="42" t="n"/>
      <c r="N921" s="48" t="n"/>
      <c r="O921" s="58" t="n"/>
      <c r="P921" s="42" t="n"/>
      <c r="Q921" s="42" t="n"/>
      <c r="R921" s="48" t="n"/>
      <c r="S921" s="58" t="n"/>
      <c r="T921" s="42" t="n"/>
      <c r="U921" s="42" t="n"/>
      <c r="V921" s="48" t="n"/>
      <c r="W921" s="58" t="n"/>
      <c r="X921" s="42" t="n"/>
      <c r="Y921" s="42" t="n"/>
      <c r="Z921" s="48" t="n"/>
      <c r="AA921" s="58" t="n"/>
      <c r="AB921" s="42" t="n"/>
      <c r="AC921" s="42" t="n"/>
      <c r="AD921" s="48" t="n"/>
      <c r="AE921" s="58" t="n"/>
      <c r="AF921" s="42" t="n"/>
      <c r="AG921" s="42" t="n"/>
      <c r="AH921" s="48" t="n"/>
      <c r="AI921" s="58" t="n"/>
    </row>
    <row r="922">
      <c r="B922" s="2">
        <f>IF(STUDENTS!B921="","",STUDENTS!B921)</f>
        <v/>
      </c>
      <c r="C922" s="44">
        <f>IFERROR(IF(B922="","",_xlfn.XLOOKUP(B922,STUDENTS!$B$3:$B$1048576,STUDENTS!$C$3:$C$1048576)),"Enter a registered reg. no")</f>
        <v/>
      </c>
      <c r="F922" s="66" t="n"/>
      <c r="G922" s="67" t="n"/>
      <c r="J922" s="66" t="n"/>
      <c r="K922" s="67" t="n"/>
      <c r="N922" s="66" t="n"/>
      <c r="O922" s="67" t="n"/>
      <c r="R922" s="66" t="n"/>
      <c r="S922" s="67" t="n"/>
      <c r="V922" s="66" t="n"/>
      <c r="W922" s="67" t="n"/>
      <c r="Z922" s="66" t="n"/>
      <c r="AA922" s="67" t="n"/>
      <c r="AD922" s="66" t="n"/>
      <c r="AE922" s="67" t="n"/>
      <c r="AH922" s="66" t="n"/>
      <c r="AI922" s="67" t="n"/>
    </row>
    <row r="923">
      <c r="B923" s="2">
        <f>IF(STUDENTS!B922="","",STUDENTS!B922)</f>
        <v/>
      </c>
      <c r="C923" s="44">
        <f>IFERROR(IF(B923="","",_xlfn.XLOOKUP(B923,STUDENTS!$B$3:$B$1048576,STUDENTS!$C$3:$C$1048576)),"Enter a registered reg. no")</f>
        <v/>
      </c>
      <c r="D923" s="54" t="n"/>
      <c r="E923" s="55" t="n"/>
      <c r="F923" s="48" t="n"/>
      <c r="G923" s="58" t="n"/>
      <c r="H923" s="62" t="n"/>
      <c r="I923" s="63" t="n"/>
      <c r="J923" s="48" t="n"/>
      <c r="K923" s="58" t="n"/>
      <c r="L923" s="42" t="n"/>
      <c r="M923" s="42" t="n"/>
      <c r="N923" s="48" t="n"/>
      <c r="O923" s="58" t="n"/>
      <c r="P923" s="42" t="n"/>
      <c r="Q923" s="42" t="n"/>
      <c r="R923" s="48" t="n"/>
      <c r="S923" s="58" t="n"/>
      <c r="T923" s="42" t="n"/>
      <c r="U923" s="42" t="n"/>
      <c r="V923" s="48" t="n"/>
      <c r="W923" s="58" t="n"/>
      <c r="X923" s="42" t="n"/>
      <c r="Y923" s="42" t="n"/>
      <c r="Z923" s="48" t="n"/>
      <c r="AA923" s="58" t="n"/>
      <c r="AB923" s="42" t="n"/>
      <c r="AC923" s="42" t="n"/>
      <c r="AD923" s="48" t="n"/>
      <c r="AE923" s="58" t="n"/>
      <c r="AF923" s="42" t="n"/>
      <c r="AG923" s="42" t="n"/>
      <c r="AH923" s="48" t="n"/>
      <c r="AI923" s="58" t="n"/>
    </row>
    <row r="924">
      <c r="B924" s="2">
        <f>IF(STUDENTS!B923="","",STUDENTS!B923)</f>
        <v/>
      </c>
      <c r="C924" s="44">
        <f>IFERROR(IF(B924="","",_xlfn.XLOOKUP(B924,STUDENTS!$B$3:$B$1048576,STUDENTS!$C$3:$C$1048576)),"Enter a registered reg. no")</f>
        <v/>
      </c>
      <c r="F924" s="66" t="n"/>
      <c r="G924" s="67" t="n"/>
      <c r="J924" s="66" t="n"/>
      <c r="K924" s="67" t="n"/>
      <c r="N924" s="66" t="n"/>
      <c r="O924" s="67" t="n"/>
      <c r="R924" s="66" t="n"/>
      <c r="S924" s="67" t="n"/>
      <c r="V924" s="66" t="n"/>
      <c r="W924" s="67" t="n"/>
      <c r="Z924" s="66" t="n"/>
      <c r="AA924" s="67" t="n"/>
      <c r="AD924" s="66" t="n"/>
      <c r="AE924" s="67" t="n"/>
      <c r="AH924" s="66" t="n"/>
      <c r="AI924" s="67" t="n"/>
    </row>
    <row r="925">
      <c r="B925" s="2">
        <f>IF(STUDENTS!B924="","",STUDENTS!B924)</f>
        <v/>
      </c>
      <c r="C925" s="44">
        <f>IFERROR(IF(B925="","",_xlfn.XLOOKUP(B925,STUDENTS!$B$3:$B$1048576,STUDENTS!$C$3:$C$1048576)),"Enter a registered reg. no")</f>
        <v/>
      </c>
      <c r="D925" s="54" t="n"/>
      <c r="E925" s="55" t="n"/>
      <c r="F925" s="48" t="n"/>
      <c r="G925" s="58" t="n"/>
      <c r="H925" s="62" t="n"/>
      <c r="I925" s="63" t="n"/>
      <c r="J925" s="48" t="n"/>
      <c r="K925" s="58" t="n"/>
      <c r="L925" s="42" t="n"/>
      <c r="M925" s="42" t="n"/>
      <c r="N925" s="48" t="n"/>
      <c r="O925" s="58" t="n"/>
      <c r="P925" s="42" t="n"/>
      <c r="Q925" s="42" t="n"/>
      <c r="R925" s="48" t="n"/>
      <c r="S925" s="58" t="n"/>
      <c r="T925" s="42" t="n"/>
      <c r="U925" s="42" t="n"/>
      <c r="V925" s="48" t="n"/>
      <c r="W925" s="58" t="n"/>
      <c r="X925" s="42" t="n"/>
      <c r="Y925" s="42" t="n"/>
      <c r="Z925" s="48" t="n"/>
      <c r="AA925" s="58" t="n"/>
      <c r="AB925" s="42" t="n"/>
      <c r="AC925" s="42" t="n"/>
      <c r="AD925" s="48" t="n"/>
      <c r="AE925" s="58" t="n"/>
      <c r="AF925" s="42" t="n"/>
      <c r="AG925" s="42" t="n"/>
      <c r="AH925" s="48" t="n"/>
      <c r="AI925" s="58" t="n"/>
    </row>
    <row r="926">
      <c r="B926" s="2">
        <f>IF(STUDENTS!B925="","",STUDENTS!B925)</f>
        <v/>
      </c>
      <c r="C926" s="44">
        <f>IFERROR(IF(B926="","",_xlfn.XLOOKUP(B926,STUDENTS!$B$3:$B$1048576,STUDENTS!$C$3:$C$1048576)),"Enter a registered reg. no")</f>
        <v/>
      </c>
      <c r="F926" s="66" t="n"/>
      <c r="G926" s="67" t="n"/>
      <c r="J926" s="66" t="n"/>
      <c r="K926" s="67" t="n"/>
      <c r="N926" s="66" t="n"/>
      <c r="O926" s="67" t="n"/>
      <c r="R926" s="66" t="n"/>
      <c r="S926" s="67" t="n"/>
      <c r="V926" s="66" t="n"/>
      <c r="W926" s="67" t="n"/>
      <c r="Z926" s="66" t="n"/>
      <c r="AA926" s="67" t="n"/>
      <c r="AD926" s="66" t="n"/>
      <c r="AE926" s="67" t="n"/>
      <c r="AH926" s="66" t="n"/>
      <c r="AI926" s="67" t="n"/>
    </row>
    <row r="927">
      <c r="B927" s="2">
        <f>IF(STUDENTS!B926="","",STUDENTS!B926)</f>
        <v/>
      </c>
      <c r="C927" s="44">
        <f>IFERROR(IF(B927="","",_xlfn.XLOOKUP(B927,STUDENTS!$B$3:$B$1048576,STUDENTS!$C$3:$C$1048576)),"Enter a registered reg. no")</f>
        <v/>
      </c>
      <c r="D927" s="54" t="n"/>
      <c r="E927" s="55" t="n"/>
      <c r="F927" s="48" t="n"/>
      <c r="G927" s="58" t="n"/>
      <c r="H927" s="62" t="n"/>
      <c r="I927" s="63" t="n"/>
      <c r="J927" s="48" t="n"/>
      <c r="K927" s="58" t="n"/>
      <c r="L927" s="42" t="n"/>
      <c r="M927" s="42" t="n"/>
      <c r="N927" s="48" t="n"/>
      <c r="O927" s="58" t="n"/>
      <c r="P927" s="42" t="n"/>
      <c r="Q927" s="42" t="n"/>
      <c r="R927" s="48" t="n"/>
      <c r="S927" s="58" t="n"/>
      <c r="T927" s="42" t="n"/>
      <c r="U927" s="42" t="n"/>
      <c r="V927" s="48" t="n"/>
      <c r="W927" s="58" t="n"/>
      <c r="X927" s="42" t="n"/>
      <c r="Y927" s="42" t="n"/>
      <c r="Z927" s="48" t="n"/>
      <c r="AA927" s="58" t="n"/>
      <c r="AB927" s="42" t="n"/>
      <c r="AC927" s="42" t="n"/>
      <c r="AD927" s="48" t="n"/>
      <c r="AE927" s="58" t="n"/>
      <c r="AF927" s="42" t="n"/>
      <c r="AG927" s="42" t="n"/>
      <c r="AH927" s="48" t="n"/>
      <c r="AI927" s="58" t="n"/>
    </row>
    <row r="928">
      <c r="B928" s="2">
        <f>IF(STUDENTS!B927="","",STUDENTS!B927)</f>
        <v/>
      </c>
      <c r="C928" s="44">
        <f>IFERROR(IF(B928="","",_xlfn.XLOOKUP(B928,STUDENTS!$B$3:$B$1048576,STUDENTS!$C$3:$C$1048576)),"Enter a registered reg. no")</f>
        <v/>
      </c>
      <c r="F928" s="66" t="n"/>
      <c r="G928" s="67" t="n"/>
      <c r="J928" s="66" t="n"/>
      <c r="K928" s="67" t="n"/>
      <c r="N928" s="66" t="n"/>
      <c r="O928" s="67" t="n"/>
      <c r="R928" s="66" t="n"/>
      <c r="S928" s="67" t="n"/>
      <c r="V928" s="66" t="n"/>
      <c r="W928" s="67" t="n"/>
      <c r="Z928" s="66" t="n"/>
      <c r="AA928" s="67" t="n"/>
      <c r="AD928" s="66" t="n"/>
      <c r="AE928" s="67" t="n"/>
      <c r="AH928" s="66" t="n"/>
      <c r="AI928" s="67" t="n"/>
    </row>
    <row r="929">
      <c r="B929" s="2">
        <f>IF(STUDENTS!B928="","",STUDENTS!B928)</f>
        <v/>
      </c>
      <c r="C929" s="44">
        <f>IFERROR(IF(B929="","",_xlfn.XLOOKUP(B929,STUDENTS!$B$3:$B$1048576,STUDENTS!$C$3:$C$1048576)),"Enter a registered reg. no")</f>
        <v/>
      </c>
      <c r="D929" s="54" t="n"/>
      <c r="E929" s="55" t="n"/>
      <c r="F929" s="48" t="n"/>
      <c r="G929" s="58" t="n"/>
      <c r="H929" s="62" t="n"/>
      <c r="I929" s="63" t="n"/>
      <c r="J929" s="48" t="n"/>
      <c r="K929" s="58" t="n"/>
      <c r="L929" s="42" t="n"/>
      <c r="M929" s="42" t="n"/>
      <c r="N929" s="48" t="n"/>
      <c r="O929" s="58" t="n"/>
      <c r="P929" s="42" t="n"/>
      <c r="Q929" s="42" t="n"/>
      <c r="R929" s="48" t="n"/>
      <c r="S929" s="58" t="n"/>
      <c r="T929" s="42" t="n"/>
      <c r="U929" s="42" t="n"/>
      <c r="V929" s="48" t="n"/>
      <c r="W929" s="58" t="n"/>
      <c r="X929" s="42" t="n"/>
      <c r="Y929" s="42" t="n"/>
      <c r="Z929" s="48" t="n"/>
      <c r="AA929" s="58" t="n"/>
      <c r="AB929" s="42" t="n"/>
      <c r="AC929" s="42" t="n"/>
      <c r="AD929" s="48" t="n"/>
      <c r="AE929" s="58" t="n"/>
      <c r="AF929" s="42" t="n"/>
      <c r="AG929" s="42" t="n"/>
      <c r="AH929" s="48" t="n"/>
      <c r="AI929" s="58" t="n"/>
    </row>
    <row r="930">
      <c r="B930" s="2">
        <f>IF(STUDENTS!B929="","",STUDENTS!B929)</f>
        <v/>
      </c>
      <c r="C930" s="44">
        <f>IFERROR(IF(B930="","",_xlfn.XLOOKUP(B930,STUDENTS!$B$3:$B$1048576,STUDENTS!$C$3:$C$1048576)),"Enter a registered reg. no")</f>
        <v/>
      </c>
      <c r="F930" s="66" t="n"/>
      <c r="G930" s="67" t="n"/>
      <c r="J930" s="66" t="n"/>
      <c r="K930" s="67" t="n"/>
      <c r="N930" s="66" t="n"/>
      <c r="O930" s="67" t="n"/>
      <c r="R930" s="66" t="n"/>
      <c r="S930" s="67" t="n"/>
      <c r="V930" s="66" t="n"/>
      <c r="W930" s="67" t="n"/>
      <c r="Z930" s="66" t="n"/>
      <c r="AA930" s="67" t="n"/>
      <c r="AD930" s="66" t="n"/>
      <c r="AE930" s="67" t="n"/>
      <c r="AH930" s="66" t="n"/>
      <c r="AI930" s="67" t="n"/>
    </row>
    <row r="931">
      <c r="B931" s="2">
        <f>IF(STUDENTS!B930="","",STUDENTS!B930)</f>
        <v/>
      </c>
      <c r="C931" s="44">
        <f>IFERROR(IF(B931="","",_xlfn.XLOOKUP(B931,STUDENTS!$B$3:$B$1048576,STUDENTS!$C$3:$C$1048576)),"Enter a registered reg. no")</f>
        <v/>
      </c>
      <c r="D931" s="54" t="n"/>
      <c r="E931" s="55" t="n"/>
      <c r="F931" s="48" t="n"/>
      <c r="G931" s="58" t="n"/>
      <c r="H931" s="62" t="n"/>
      <c r="I931" s="63" t="n"/>
      <c r="J931" s="48" t="n"/>
      <c r="K931" s="58" t="n"/>
      <c r="L931" s="42" t="n"/>
      <c r="M931" s="42" t="n"/>
      <c r="N931" s="48" t="n"/>
      <c r="O931" s="58" t="n"/>
      <c r="P931" s="42" t="n"/>
      <c r="Q931" s="42" t="n"/>
      <c r="R931" s="48" t="n"/>
      <c r="S931" s="58" t="n"/>
      <c r="T931" s="42" t="n"/>
      <c r="U931" s="42" t="n"/>
      <c r="V931" s="48" t="n"/>
      <c r="W931" s="58" t="n"/>
      <c r="X931" s="42" t="n"/>
      <c r="Y931" s="42" t="n"/>
      <c r="Z931" s="48" t="n"/>
      <c r="AA931" s="58" t="n"/>
      <c r="AB931" s="42" t="n"/>
      <c r="AC931" s="42" t="n"/>
      <c r="AD931" s="48" t="n"/>
      <c r="AE931" s="58" t="n"/>
      <c r="AF931" s="42" t="n"/>
      <c r="AG931" s="42" t="n"/>
      <c r="AH931" s="48" t="n"/>
      <c r="AI931" s="58" t="n"/>
    </row>
    <row r="932">
      <c r="B932" s="2">
        <f>IF(STUDENTS!B931="","",STUDENTS!B931)</f>
        <v/>
      </c>
      <c r="C932" s="44">
        <f>IFERROR(IF(B932="","",_xlfn.XLOOKUP(B932,STUDENTS!$B$3:$B$1048576,STUDENTS!$C$3:$C$1048576)),"Enter a registered reg. no")</f>
        <v/>
      </c>
      <c r="F932" s="66" t="n"/>
      <c r="G932" s="67" t="n"/>
      <c r="J932" s="66" t="n"/>
      <c r="K932" s="67" t="n"/>
      <c r="N932" s="66" t="n"/>
      <c r="O932" s="67" t="n"/>
      <c r="R932" s="66" t="n"/>
      <c r="S932" s="67" t="n"/>
      <c r="V932" s="66" t="n"/>
      <c r="W932" s="67" t="n"/>
      <c r="Z932" s="66" t="n"/>
      <c r="AA932" s="67" t="n"/>
      <c r="AD932" s="66" t="n"/>
      <c r="AE932" s="67" t="n"/>
      <c r="AH932" s="66" t="n"/>
      <c r="AI932" s="67" t="n"/>
    </row>
    <row r="933">
      <c r="B933" s="2">
        <f>IF(STUDENTS!B932="","",STUDENTS!B932)</f>
        <v/>
      </c>
      <c r="C933" s="44">
        <f>IFERROR(IF(B933="","",_xlfn.XLOOKUP(B933,STUDENTS!$B$3:$B$1048576,STUDENTS!$C$3:$C$1048576)),"Enter a registered reg. no")</f>
        <v/>
      </c>
      <c r="D933" s="54" t="n"/>
      <c r="E933" s="55" t="n"/>
      <c r="F933" s="48" t="n"/>
      <c r="G933" s="58" t="n"/>
      <c r="H933" s="62" t="n"/>
      <c r="I933" s="63" t="n"/>
      <c r="J933" s="48" t="n"/>
      <c r="K933" s="58" t="n"/>
      <c r="L933" s="42" t="n"/>
      <c r="M933" s="42" t="n"/>
      <c r="N933" s="48" t="n"/>
      <c r="O933" s="58" t="n"/>
      <c r="P933" s="42" t="n"/>
      <c r="Q933" s="42" t="n"/>
      <c r="R933" s="48" t="n"/>
      <c r="S933" s="58" t="n"/>
      <c r="T933" s="42" t="n"/>
      <c r="U933" s="42" t="n"/>
      <c r="V933" s="48" t="n"/>
      <c r="W933" s="58" t="n"/>
      <c r="X933" s="42" t="n"/>
      <c r="Y933" s="42" t="n"/>
      <c r="Z933" s="48" t="n"/>
      <c r="AA933" s="58" t="n"/>
      <c r="AB933" s="42" t="n"/>
      <c r="AC933" s="42" t="n"/>
      <c r="AD933" s="48" t="n"/>
      <c r="AE933" s="58" t="n"/>
      <c r="AF933" s="42" t="n"/>
      <c r="AG933" s="42" t="n"/>
      <c r="AH933" s="48" t="n"/>
      <c r="AI933" s="58" t="n"/>
    </row>
    <row r="934">
      <c r="B934" s="2">
        <f>IF(STUDENTS!B933="","",STUDENTS!B933)</f>
        <v/>
      </c>
      <c r="C934" s="44">
        <f>IFERROR(IF(B934="","",_xlfn.XLOOKUP(B934,STUDENTS!$B$3:$B$1048576,STUDENTS!$C$3:$C$1048576)),"Enter a registered reg. no")</f>
        <v/>
      </c>
      <c r="F934" s="66" t="n"/>
      <c r="G934" s="67" t="n"/>
      <c r="J934" s="66" t="n"/>
      <c r="K934" s="67" t="n"/>
      <c r="N934" s="66" t="n"/>
      <c r="O934" s="67" t="n"/>
      <c r="R934" s="66" t="n"/>
      <c r="S934" s="67" t="n"/>
      <c r="V934" s="66" t="n"/>
      <c r="W934" s="67" t="n"/>
      <c r="Z934" s="66" t="n"/>
      <c r="AA934" s="67" t="n"/>
      <c r="AD934" s="66" t="n"/>
      <c r="AE934" s="67" t="n"/>
      <c r="AH934" s="66" t="n"/>
      <c r="AI934" s="67" t="n"/>
    </row>
    <row r="935">
      <c r="B935" s="2">
        <f>IF(STUDENTS!B934="","",STUDENTS!B934)</f>
        <v/>
      </c>
      <c r="C935" s="44">
        <f>IFERROR(IF(B935="","",_xlfn.XLOOKUP(B935,STUDENTS!$B$3:$B$1048576,STUDENTS!$C$3:$C$1048576)),"Enter a registered reg. no")</f>
        <v/>
      </c>
      <c r="D935" s="54" t="n"/>
      <c r="E935" s="55" t="n"/>
      <c r="F935" s="48" t="n"/>
      <c r="G935" s="58" t="n"/>
      <c r="H935" s="62" t="n"/>
      <c r="I935" s="63" t="n"/>
      <c r="J935" s="48" t="n"/>
      <c r="K935" s="58" t="n"/>
      <c r="L935" s="42" t="n"/>
      <c r="M935" s="42" t="n"/>
      <c r="N935" s="48" t="n"/>
      <c r="O935" s="58" t="n"/>
      <c r="P935" s="42" t="n"/>
      <c r="Q935" s="42" t="n"/>
      <c r="R935" s="48" t="n"/>
      <c r="S935" s="58" t="n"/>
      <c r="T935" s="42" t="n"/>
      <c r="U935" s="42" t="n"/>
      <c r="V935" s="48" t="n"/>
      <c r="W935" s="58" t="n"/>
      <c r="X935" s="42" t="n"/>
      <c r="Y935" s="42" t="n"/>
      <c r="Z935" s="48" t="n"/>
      <c r="AA935" s="58" t="n"/>
      <c r="AB935" s="42" t="n"/>
      <c r="AC935" s="42" t="n"/>
      <c r="AD935" s="48" t="n"/>
      <c r="AE935" s="58" t="n"/>
      <c r="AF935" s="42" t="n"/>
      <c r="AG935" s="42" t="n"/>
      <c r="AH935" s="48" t="n"/>
      <c r="AI935" s="58" t="n"/>
    </row>
    <row r="936">
      <c r="B936" s="2">
        <f>IF(STUDENTS!B935="","",STUDENTS!B935)</f>
        <v/>
      </c>
      <c r="C936" s="44">
        <f>IFERROR(IF(B936="","",_xlfn.XLOOKUP(B936,STUDENTS!$B$3:$B$1048576,STUDENTS!$C$3:$C$1048576)),"Enter a registered reg. no")</f>
        <v/>
      </c>
      <c r="F936" s="66" t="n"/>
      <c r="G936" s="67" t="n"/>
      <c r="J936" s="66" t="n"/>
      <c r="K936" s="67" t="n"/>
      <c r="N936" s="66" t="n"/>
      <c r="O936" s="67" t="n"/>
      <c r="R936" s="66" t="n"/>
      <c r="S936" s="67" t="n"/>
      <c r="V936" s="66" t="n"/>
      <c r="W936" s="67" t="n"/>
      <c r="Z936" s="66" t="n"/>
      <c r="AA936" s="67" t="n"/>
      <c r="AD936" s="66" t="n"/>
      <c r="AE936" s="67" t="n"/>
      <c r="AH936" s="66" t="n"/>
      <c r="AI936" s="67" t="n"/>
    </row>
    <row r="937">
      <c r="B937" s="2">
        <f>IF(STUDENTS!B936="","",STUDENTS!B936)</f>
        <v/>
      </c>
      <c r="C937" s="44">
        <f>IFERROR(IF(B937="","",_xlfn.XLOOKUP(B937,STUDENTS!$B$3:$B$1048576,STUDENTS!$C$3:$C$1048576)),"Enter a registered reg. no")</f>
        <v/>
      </c>
      <c r="D937" s="54" t="n"/>
      <c r="E937" s="55" t="n"/>
      <c r="F937" s="48" t="n"/>
      <c r="G937" s="58" t="n"/>
      <c r="H937" s="62" t="n"/>
      <c r="I937" s="63" t="n"/>
      <c r="J937" s="48" t="n"/>
      <c r="K937" s="58" t="n"/>
      <c r="L937" s="42" t="n"/>
      <c r="M937" s="42" t="n"/>
      <c r="N937" s="48" t="n"/>
      <c r="O937" s="58" t="n"/>
      <c r="P937" s="42" t="n"/>
      <c r="Q937" s="42" t="n"/>
      <c r="R937" s="48" t="n"/>
      <c r="S937" s="58" t="n"/>
      <c r="T937" s="42" t="n"/>
      <c r="U937" s="42" t="n"/>
      <c r="V937" s="48" t="n"/>
      <c r="W937" s="58" t="n"/>
      <c r="X937" s="42" t="n"/>
      <c r="Y937" s="42" t="n"/>
      <c r="Z937" s="48" t="n"/>
      <c r="AA937" s="58" t="n"/>
      <c r="AB937" s="42" t="n"/>
      <c r="AC937" s="42" t="n"/>
      <c r="AD937" s="48" t="n"/>
      <c r="AE937" s="58" t="n"/>
      <c r="AF937" s="42" t="n"/>
      <c r="AG937" s="42" t="n"/>
      <c r="AH937" s="48" t="n"/>
      <c r="AI937" s="58" t="n"/>
    </row>
    <row r="938">
      <c r="B938" s="2">
        <f>IF(STUDENTS!B937="","",STUDENTS!B937)</f>
        <v/>
      </c>
      <c r="C938" s="44">
        <f>IFERROR(IF(B938="","",_xlfn.XLOOKUP(B938,STUDENTS!$B$3:$B$1048576,STUDENTS!$C$3:$C$1048576)),"Enter a registered reg. no")</f>
        <v/>
      </c>
      <c r="F938" s="66" t="n"/>
      <c r="G938" s="67" t="n"/>
      <c r="J938" s="66" t="n"/>
      <c r="K938" s="67" t="n"/>
      <c r="N938" s="66" t="n"/>
      <c r="O938" s="67" t="n"/>
      <c r="R938" s="66" t="n"/>
      <c r="S938" s="67" t="n"/>
      <c r="V938" s="66" t="n"/>
      <c r="W938" s="67" t="n"/>
      <c r="Z938" s="66" t="n"/>
      <c r="AA938" s="67" t="n"/>
      <c r="AD938" s="66" t="n"/>
      <c r="AE938" s="67" t="n"/>
      <c r="AH938" s="66" t="n"/>
      <c r="AI938" s="67" t="n"/>
    </row>
    <row r="939">
      <c r="B939" s="2">
        <f>IF(STUDENTS!B938="","",STUDENTS!B938)</f>
        <v/>
      </c>
      <c r="C939" s="44">
        <f>IFERROR(IF(B939="","",_xlfn.XLOOKUP(B939,STUDENTS!$B$3:$B$1048576,STUDENTS!$C$3:$C$1048576)),"Enter a registered reg. no")</f>
        <v/>
      </c>
      <c r="D939" s="54" t="n"/>
      <c r="E939" s="55" t="n"/>
      <c r="F939" s="48" t="n"/>
      <c r="G939" s="58" t="n"/>
      <c r="H939" s="62" t="n"/>
      <c r="I939" s="63" t="n"/>
      <c r="J939" s="48" t="n"/>
      <c r="K939" s="58" t="n"/>
      <c r="L939" s="42" t="n"/>
      <c r="M939" s="42" t="n"/>
      <c r="N939" s="48" t="n"/>
      <c r="O939" s="58" t="n"/>
      <c r="P939" s="42" t="n"/>
      <c r="Q939" s="42" t="n"/>
      <c r="R939" s="48" t="n"/>
      <c r="S939" s="58" t="n"/>
      <c r="T939" s="42" t="n"/>
      <c r="U939" s="42" t="n"/>
      <c r="V939" s="48" t="n"/>
      <c r="W939" s="58" t="n"/>
      <c r="X939" s="42" t="n"/>
      <c r="Y939" s="42" t="n"/>
      <c r="Z939" s="48" t="n"/>
      <c r="AA939" s="58" t="n"/>
      <c r="AB939" s="42" t="n"/>
      <c r="AC939" s="42" t="n"/>
      <c r="AD939" s="48" t="n"/>
      <c r="AE939" s="58" t="n"/>
      <c r="AF939" s="42" t="n"/>
      <c r="AG939" s="42" t="n"/>
      <c r="AH939" s="48" t="n"/>
      <c r="AI939" s="58" t="n"/>
    </row>
    <row r="940">
      <c r="B940" s="2">
        <f>IF(STUDENTS!B939="","",STUDENTS!B939)</f>
        <v/>
      </c>
      <c r="C940" s="44">
        <f>IFERROR(IF(B940="","",_xlfn.XLOOKUP(B940,STUDENTS!$B$3:$B$1048576,STUDENTS!$C$3:$C$1048576)),"Enter a registered reg. no")</f>
        <v/>
      </c>
      <c r="F940" s="66" t="n"/>
      <c r="G940" s="67" t="n"/>
      <c r="J940" s="66" t="n"/>
      <c r="K940" s="67" t="n"/>
      <c r="N940" s="66" t="n"/>
      <c r="O940" s="67" t="n"/>
      <c r="R940" s="66" t="n"/>
      <c r="S940" s="67" t="n"/>
      <c r="V940" s="66" t="n"/>
      <c r="W940" s="67" t="n"/>
      <c r="Z940" s="66" t="n"/>
      <c r="AA940" s="67" t="n"/>
      <c r="AD940" s="66" t="n"/>
      <c r="AE940" s="67" t="n"/>
      <c r="AH940" s="66" t="n"/>
      <c r="AI940" s="67" t="n"/>
    </row>
    <row r="941">
      <c r="B941" s="2">
        <f>IF(STUDENTS!B940="","",STUDENTS!B940)</f>
        <v/>
      </c>
      <c r="C941" s="44">
        <f>IFERROR(IF(B941="","",_xlfn.XLOOKUP(B941,STUDENTS!$B$3:$B$1048576,STUDENTS!$C$3:$C$1048576)),"Enter a registered reg. no")</f>
        <v/>
      </c>
      <c r="D941" s="54" t="n"/>
      <c r="E941" s="55" t="n"/>
      <c r="F941" s="48" t="n"/>
      <c r="G941" s="58" t="n"/>
      <c r="H941" s="62" t="n"/>
      <c r="I941" s="63" t="n"/>
      <c r="J941" s="48" t="n"/>
      <c r="K941" s="58" t="n"/>
      <c r="L941" s="42" t="n"/>
      <c r="M941" s="42" t="n"/>
      <c r="N941" s="48" t="n"/>
      <c r="O941" s="58" t="n"/>
      <c r="P941" s="42" t="n"/>
      <c r="Q941" s="42" t="n"/>
      <c r="R941" s="48" t="n"/>
      <c r="S941" s="58" t="n"/>
      <c r="T941" s="42" t="n"/>
      <c r="U941" s="42" t="n"/>
      <c r="V941" s="48" t="n"/>
      <c r="W941" s="58" t="n"/>
      <c r="X941" s="42" t="n"/>
      <c r="Y941" s="42" t="n"/>
      <c r="Z941" s="48" t="n"/>
      <c r="AA941" s="58" t="n"/>
      <c r="AB941" s="42" t="n"/>
      <c r="AC941" s="42" t="n"/>
      <c r="AD941" s="48" t="n"/>
      <c r="AE941" s="58" t="n"/>
      <c r="AF941" s="42" t="n"/>
      <c r="AG941" s="42" t="n"/>
      <c r="AH941" s="48" t="n"/>
      <c r="AI941" s="58" t="n"/>
    </row>
    <row r="942">
      <c r="B942" s="2">
        <f>IF(STUDENTS!B941="","",STUDENTS!B941)</f>
        <v/>
      </c>
      <c r="C942" s="44">
        <f>IFERROR(IF(B942="","",_xlfn.XLOOKUP(B942,STUDENTS!$B$3:$B$1048576,STUDENTS!$C$3:$C$1048576)),"Enter a registered reg. no")</f>
        <v/>
      </c>
      <c r="F942" s="66" t="n"/>
      <c r="G942" s="67" t="n"/>
      <c r="J942" s="66" t="n"/>
      <c r="K942" s="67" t="n"/>
      <c r="N942" s="66" t="n"/>
      <c r="O942" s="67" t="n"/>
      <c r="R942" s="66" t="n"/>
      <c r="S942" s="67" t="n"/>
      <c r="V942" s="66" t="n"/>
      <c r="W942" s="67" t="n"/>
      <c r="Z942" s="66" t="n"/>
      <c r="AA942" s="67" t="n"/>
      <c r="AD942" s="66" t="n"/>
      <c r="AE942" s="67" t="n"/>
      <c r="AH942" s="66" t="n"/>
      <c r="AI942" s="67" t="n"/>
    </row>
    <row r="943">
      <c r="B943" s="2">
        <f>IF(STUDENTS!B942="","",STUDENTS!B942)</f>
        <v/>
      </c>
      <c r="C943" s="44">
        <f>IFERROR(IF(B943="","",_xlfn.XLOOKUP(B943,STUDENTS!$B$3:$B$1048576,STUDENTS!$C$3:$C$1048576)),"Enter a registered reg. no")</f>
        <v/>
      </c>
      <c r="D943" s="54" t="n"/>
      <c r="E943" s="55" t="n"/>
      <c r="F943" s="48" t="n"/>
      <c r="G943" s="58" t="n"/>
      <c r="H943" s="62" t="n"/>
      <c r="I943" s="63" t="n"/>
      <c r="J943" s="48" t="n"/>
      <c r="K943" s="58" t="n"/>
      <c r="L943" s="42" t="n"/>
      <c r="M943" s="42" t="n"/>
      <c r="N943" s="48" t="n"/>
      <c r="O943" s="58" t="n"/>
      <c r="P943" s="42" t="n"/>
      <c r="Q943" s="42" t="n"/>
      <c r="R943" s="48" t="n"/>
      <c r="S943" s="58" t="n"/>
      <c r="T943" s="42" t="n"/>
      <c r="U943" s="42" t="n"/>
      <c r="V943" s="48" t="n"/>
      <c r="W943" s="58" t="n"/>
      <c r="X943" s="42" t="n"/>
      <c r="Y943" s="42" t="n"/>
      <c r="Z943" s="48" t="n"/>
      <c r="AA943" s="58" t="n"/>
      <c r="AB943" s="42" t="n"/>
      <c r="AC943" s="42" t="n"/>
      <c r="AD943" s="48" t="n"/>
      <c r="AE943" s="58" t="n"/>
      <c r="AF943" s="42" t="n"/>
      <c r="AG943" s="42" t="n"/>
      <c r="AH943" s="48" t="n"/>
      <c r="AI943" s="58" t="n"/>
    </row>
    <row r="944">
      <c r="B944" s="2">
        <f>IF(STUDENTS!B943="","",STUDENTS!B943)</f>
        <v/>
      </c>
      <c r="C944" s="44">
        <f>IFERROR(IF(B944="","",_xlfn.XLOOKUP(B944,STUDENTS!$B$3:$B$1048576,STUDENTS!$C$3:$C$1048576)),"Enter a registered reg. no")</f>
        <v/>
      </c>
      <c r="F944" s="66" t="n"/>
      <c r="G944" s="67" t="n"/>
      <c r="J944" s="66" t="n"/>
      <c r="K944" s="67" t="n"/>
      <c r="N944" s="66" t="n"/>
      <c r="O944" s="67" t="n"/>
      <c r="R944" s="66" t="n"/>
      <c r="S944" s="67" t="n"/>
      <c r="V944" s="66" t="n"/>
      <c r="W944" s="67" t="n"/>
      <c r="Z944" s="66" t="n"/>
      <c r="AA944" s="67" t="n"/>
      <c r="AD944" s="66" t="n"/>
      <c r="AE944" s="67" t="n"/>
      <c r="AH944" s="66" t="n"/>
      <c r="AI944" s="67" t="n"/>
    </row>
    <row r="945">
      <c r="B945" s="2">
        <f>IF(STUDENTS!B944="","",STUDENTS!B944)</f>
        <v/>
      </c>
      <c r="C945" s="44">
        <f>IFERROR(IF(B945="","",_xlfn.XLOOKUP(B945,STUDENTS!$B$3:$B$1048576,STUDENTS!$C$3:$C$1048576)),"Enter a registered reg. no")</f>
        <v/>
      </c>
      <c r="D945" s="54" t="n"/>
      <c r="E945" s="55" t="n"/>
      <c r="F945" s="48" t="n"/>
      <c r="G945" s="58" t="n"/>
      <c r="H945" s="62" t="n"/>
      <c r="I945" s="63" t="n"/>
      <c r="J945" s="48" t="n"/>
      <c r="K945" s="58" t="n"/>
      <c r="L945" s="42" t="n"/>
      <c r="M945" s="42" t="n"/>
      <c r="N945" s="48" t="n"/>
      <c r="O945" s="58" t="n"/>
      <c r="P945" s="42" t="n"/>
      <c r="Q945" s="42" t="n"/>
      <c r="R945" s="48" t="n"/>
      <c r="S945" s="58" t="n"/>
      <c r="T945" s="42" t="n"/>
      <c r="U945" s="42" t="n"/>
      <c r="V945" s="48" t="n"/>
      <c r="W945" s="58" t="n"/>
      <c r="X945" s="42" t="n"/>
      <c r="Y945" s="42" t="n"/>
      <c r="Z945" s="48" t="n"/>
      <c r="AA945" s="58" t="n"/>
      <c r="AB945" s="42" t="n"/>
      <c r="AC945" s="42" t="n"/>
      <c r="AD945" s="48" t="n"/>
      <c r="AE945" s="58" t="n"/>
      <c r="AF945" s="42" t="n"/>
      <c r="AG945" s="42" t="n"/>
      <c r="AH945" s="48" t="n"/>
      <c r="AI945" s="58" t="n"/>
    </row>
    <row r="946">
      <c r="B946" s="2">
        <f>IF(STUDENTS!B945="","",STUDENTS!B945)</f>
        <v/>
      </c>
      <c r="C946" s="44">
        <f>IFERROR(IF(B946="","",_xlfn.XLOOKUP(B946,STUDENTS!$B$3:$B$1048576,STUDENTS!$C$3:$C$1048576)),"Enter a registered reg. no")</f>
        <v/>
      </c>
      <c r="F946" s="66" t="n"/>
      <c r="G946" s="67" t="n"/>
      <c r="J946" s="66" t="n"/>
      <c r="K946" s="67" t="n"/>
      <c r="N946" s="66" t="n"/>
      <c r="O946" s="67" t="n"/>
      <c r="R946" s="66" t="n"/>
      <c r="S946" s="67" t="n"/>
      <c r="V946" s="66" t="n"/>
      <c r="W946" s="67" t="n"/>
      <c r="Z946" s="66" t="n"/>
      <c r="AA946" s="67" t="n"/>
      <c r="AD946" s="66" t="n"/>
      <c r="AE946" s="67" t="n"/>
      <c r="AH946" s="66" t="n"/>
      <c r="AI946" s="67" t="n"/>
    </row>
    <row r="947">
      <c r="B947" s="2">
        <f>IF(STUDENTS!B946="","",STUDENTS!B946)</f>
        <v/>
      </c>
      <c r="C947" s="44">
        <f>IFERROR(IF(B947="","",_xlfn.XLOOKUP(B947,STUDENTS!$B$3:$B$1048576,STUDENTS!$C$3:$C$1048576)),"Enter a registered reg. no")</f>
        <v/>
      </c>
      <c r="D947" s="54" t="n"/>
      <c r="E947" s="55" t="n"/>
      <c r="F947" s="48" t="n"/>
      <c r="G947" s="58" t="n"/>
      <c r="H947" s="62" t="n"/>
      <c r="I947" s="63" t="n"/>
      <c r="J947" s="48" t="n"/>
      <c r="K947" s="58" t="n"/>
      <c r="L947" s="42" t="n"/>
      <c r="M947" s="42" t="n"/>
      <c r="N947" s="48" t="n"/>
      <c r="O947" s="58" t="n"/>
      <c r="P947" s="42" t="n"/>
      <c r="Q947" s="42" t="n"/>
      <c r="R947" s="48" t="n"/>
      <c r="S947" s="58" t="n"/>
      <c r="T947" s="42" t="n"/>
      <c r="U947" s="42" t="n"/>
      <c r="V947" s="48" t="n"/>
      <c r="W947" s="58" t="n"/>
      <c r="X947" s="42" t="n"/>
      <c r="Y947" s="42" t="n"/>
      <c r="Z947" s="48" t="n"/>
      <c r="AA947" s="58" t="n"/>
      <c r="AB947" s="42" t="n"/>
      <c r="AC947" s="42" t="n"/>
      <c r="AD947" s="48" t="n"/>
      <c r="AE947" s="58" t="n"/>
      <c r="AF947" s="42" t="n"/>
      <c r="AG947" s="42" t="n"/>
      <c r="AH947" s="48" t="n"/>
      <c r="AI947" s="58" t="n"/>
    </row>
    <row r="948">
      <c r="B948" s="2">
        <f>IF(STUDENTS!B947="","",STUDENTS!B947)</f>
        <v/>
      </c>
      <c r="C948" s="44">
        <f>IFERROR(IF(B948="","",_xlfn.XLOOKUP(B948,STUDENTS!$B$3:$B$1048576,STUDENTS!$C$3:$C$1048576)),"Enter a registered reg. no")</f>
        <v/>
      </c>
      <c r="F948" s="66" t="n"/>
      <c r="G948" s="67" t="n"/>
      <c r="J948" s="66" t="n"/>
      <c r="K948" s="67" t="n"/>
      <c r="N948" s="66" t="n"/>
      <c r="O948" s="67" t="n"/>
      <c r="R948" s="66" t="n"/>
      <c r="S948" s="67" t="n"/>
      <c r="V948" s="66" t="n"/>
      <c r="W948" s="67" t="n"/>
      <c r="Z948" s="66" t="n"/>
      <c r="AA948" s="67" t="n"/>
      <c r="AD948" s="66" t="n"/>
      <c r="AE948" s="67" t="n"/>
      <c r="AH948" s="66" t="n"/>
      <c r="AI948" s="67" t="n"/>
    </row>
    <row r="949">
      <c r="B949" s="2">
        <f>IF(STUDENTS!B948="","",STUDENTS!B948)</f>
        <v/>
      </c>
      <c r="C949" s="44">
        <f>IFERROR(IF(B949="","",_xlfn.XLOOKUP(B949,STUDENTS!$B$3:$B$1048576,STUDENTS!$C$3:$C$1048576)),"Enter a registered reg. no")</f>
        <v/>
      </c>
      <c r="D949" s="54" t="n"/>
      <c r="E949" s="55" t="n"/>
      <c r="F949" s="48" t="n"/>
      <c r="G949" s="58" t="n"/>
      <c r="H949" s="62" t="n"/>
      <c r="I949" s="63" t="n"/>
      <c r="J949" s="48" t="n"/>
      <c r="K949" s="58" t="n"/>
      <c r="L949" s="42" t="n"/>
      <c r="M949" s="42" t="n"/>
      <c r="N949" s="48" t="n"/>
      <c r="O949" s="58" t="n"/>
      <c r="P949" s="42" t="n"/>
      <c r="Q949" s="42" t="n"/>
      <c r="R949" s="48" t="n"/>
      <c r="S949" s="58" t="n"/>
      <c r="T949" s="42" t="n"/>
      <c r="U949" s="42" t="n"/>
      <c r="V949" s="48" t="n"/>
      <c r="W949" s="58" t="n"/>
      <c r="X949" s="42" t="n"/>
      <c r="Y949" s="42" t="n"/>
      <c r="Z949" s="48" t="n"/>
      <c r="AA949" s="58" t="n"/>
      <c r="AB949" s="42" t="n"/>
      <c r="AC949" s="42" t="n"/>
      <c r="AD949" s="48" t="n"/>
      <c r="AE949" s="58" t="n"/>
      <c r="AF949" s="42" t="n"/>
      <c r="AG949" s="42" t="n"/>
      <c r="AH949" s="48" t="n"/>
      <c r="AI949" s="58" t="n"/>
    </row>
    <row r="950">
      <c r="B950" s="2">
        <f>IF(STUDENTS!B949="","",STUDENTS!B949)</f>
        <v/>
      </c>
      <c r="C950" s="44">
        <f>IFERROR(IF(B950="","",_xlfn.XLOOKUP(B950,STUDENTS!$B$3:$B$1048576,STUDENTS!$C$3:$C$1048576)),"Enter a registered reg. no")</f>
        <v/>
      </c>
      <c r="F950" s="66" t="n"/>
      <c r="G950" s="67" t="n"/>
      <c r="J950" s="66" t="n"/>
      <c r="K950" s="67" t="n"/>
      <c r="N950" s="66" t="n"/>
      <c r="O950" s="67" t="n"/>
      <c r="R950" s="66" t="n"/>
      <c r="S950" s="67" t="n"/>
      <c r="V950" s="66" t="n"/>
      <c r="W950" s="67" t="n"/>
      <c r="Z950" s="66" t="n"/>
      <c r="AA950" s="67" t="n"/>
      <c r="AD950" s="66" t="n"/>
      <c r="AE950" s="67" t="n"/>
      <c r="AH950" s="66" t="n"/>
      <c r="AI950" s="67" t="n"/>
    </row>
    <row r="951">
      <c r="B951" s="2">
        <f>IF(STUDENTS!B950="","",STUDENTS!B950)</f>
        <v/>
      </c>
      <c r="C951" s="44">
        <f>IFERROR(IF(B951="","",_xlfn.XLOOKUP(B951,STUDENTS!$B$3:$B$1048576,STUDENTS!$C$3:$C$1048576)),"Enter a registered reg. no")</f>
        <v/>
      </c>
      <c r="D951" s="54" t="n"/>
      <c r="E951" s="55" t="n"/>
      <c r="F951" s="48" t="n"/>
      <c r="G951" s="58" t="n"/>
      <c r="H951" s="62" t="n"/>
      <c r="I951" s="63" t="n"/>
      <c r="J951" s="48" t="n"/>
      <c r="K951" s="58" t="n"/>
      <c r="L951" s="42" t="n"/>
      <c r="M951" s="42" t="n"/>
      <c r="N951" s="48" t="n"/>
      <c r="O951" s="58" t="n"/>
      <c r="P951" s="42" t="n"/>
      <c r="Q951" s="42" t="n"/>
      <c r="R951" s="48" t="n"/>
      <c r="S951" s="58" t="n"/>
      <c r="T951" s="42" t="n"/>
      <c r="U951" s="42" t="n"/>
      <c r="V951" s="48" t="n"/>
      <c r="W951" s="58" t="n"/>
      <c r="X951" s="42" t="n"/>
      <c r="Y951" s="42" t="n"/>
      <c r="Z951" s="48" t="n"/>
      <c r="AA951" s="58" t="n"/>
      <c r="AB951" s="42" t="n"/>
      <c r="AC951" s="42" t="n"/>
      <c r="AD951" s="48" t="n"/>
      <c r="AE951" s="58" t="n"/>
      <c r="AF951" s="42" t="n"/>
      <c r="AG951" s="42" t="n"/>
      <c r="AH951" s="48" t="n"/>
      <c r="AI951" s="58" t="n"/>
    </row>
    <row r="952">
      <c r="B952" s="2">
        <f>IF(STUDENTS!B951="","",STUDENTS!B951)</f>
        <v/>
      </c>
      <c r="C952" s="44">
        <f>IFERROR(IF(B952="","",_xlfn.XLOOKUP(B952,STUDENTS!$B$3:$B$1048576,STUDENTS!$C$3:$C$1048576)),"Enter a registered reg. no")</f>
        <v/>
      </c>
      <c r="F952" s="66" t="n"/>
      <c r="G952" s="67" t="n"/>
      <c r="J952" s="66" t="n"/>
      <c r="K952" s="67" t="n"/>
      <c r="N952" s="66" t="n"/>
      <c r="O952" s="67" t="n"/>
      <c r="R952" s="66" t="n"/>
      <c r="S952" s="67" t="n"/>
      <c r="V952" s="66" t="n"/>
      <c r="W952" s="67" t="n"/>
      <c r="Z952" s="66" t="n"/>
      <c r="AA952" s="67" t="n"/>
      <c r="AD952" s="66" t="n"/>
      <c r="AE952" s="67" t="n"/>
      <c r="AH952" s="66" t="n"/>
      <c r="AI952" s="67" t="n"/>
    </row>
    <row r="953">
      <c r="B953" s="2">
        <f>IF(STUDENTS!B952="","",STUDENTS!B952)</f>
        <v/>
      </c>
      <c r="C953" s="44">
        <f>IFERROR(IF(B953="","",_xlfn.XLOOKUP(B953,STUDENTS!$B$3:$B$1048576,STUDENTS!$C$3:$C$1048576)),"Enter a registered reg. no")</f>
        <v/>
      </c>
      <c r="D953" s="54" t="n"/>
      <c r="E953" s="55" t="n"/>
      <c r="F953" s="48" t="n"/>
      <c r="G953" s="58" t="n"/>
      <c r="H953" s="62" t="n"/>
      <c r="I953" s="63" t="n"/>
      <c r="J953" s="48" t="n"/>
      <c r="K953" s="58" t="n"/>
      <c r="L953" s="42" t="n"/>
      <c r="M953" s="42" t="n"/>
      <c r="N953" s="48" t="n"/>
      <c r="O953" s="58" t="n"/>
      <c r="P953" s="42" t="n"/>
      <c r="Q953" s="42" t="n"/>
      <c r="R953" s="48" t="n"/>
      <c r="S953" s="58" t="n"/>
      <c r="T953" s="42" t="n"/>
      <c r="U953" s="42" t="n"/>
      <c r="V953" s="48" t="n"/>
      <c r="W953" s="58" t="n"/>
      <c r="X953" s="42" t="n"/>
      <c r="Y953" s="42" t="n"/>
      <c r="Z953" s="48" t="n"/>
      <c r="AA953" s="58" t="n"/>
      <c r="AB953" s="42" t="n"/>
      <c r="AC953" s="42" t="n"/>
      <c r="AD953" s="48" t="n"/>
      <c r="AE953" s="58" t="n"/>
      <c r="AF953" s="42" t="n"/>
      <c r="AG953" s="42" t="n"/>
      <c r="AH953" s="48" t="n"/>
      <c r="AI953" s="58" t="n"/>
    </row>
    <row r="954">
      <c r="B954" s="2">
        <f>IF(STUDENTS!B953="","",STUDENTS!B953)</f>
        <v/>
      </c>
      <c r="C954" s="44">
        <f>IFERROR(IF(B954="","",_xlfn.XLOOKUP(B954,STUDENTS!$B$3:$B$1048576,STUDENTS!$C$3:$C$1048576)),"Enter a registered reg. no")</f>
        <v/>
      </c>
      <c r="F954" s="66" t="n"/>
      <c r="G954" s="67" t="n"/>
      <c r="J954" s="66" t="n"/>
      <c r="K954" s="67" t="n"/>
      <c r="N954" s="66" t="n"/>
      <c r="O954" s="67" t="n"/>
      <c r="R954" s="66" t="n"/>
      <c r="S954" s="67" t="n"/>
      <c r="V954" s="66" t="n"/>
      <c r="W954" s="67" t="n"/>
      <c r="Z954" s="66" t="n"/>
      <c r="AA954" s="67" t="n"/>
      <c r="AD954" s="66" t="n"/>
      <c r="AE954" s="67" t="n"/>
      <c r="AH954" s="66" t="n"/>
      <c r="AI954" s="67" t="n"/>
    </row>
    <row r="955">
      <c r="B955" s="2">
        <f>IF(STUDENTS!B954="","",STUDENTS!B954)</f>
        <v/>
      </c>
      <c r="C955" s="44">
        <f>IFERROR(IF(B955="","",_xlfn.XLOOKUP(B955,STUDENTS!$B$3:$B$1048576,STUDENTS!$C$3:$C$1048576)),"Enter a registered reg. no")</f>
        <v/>
      </c>
      <c r="D955" s="54" t="n"/>
      <c r="E955" s="55" t="n"/>
      <c r="F955" s="48" t="n"/>
      <c r="G955" s="58" t="n"/>
      <c r="H955" s="62" t="n"/>
      <c r="I955" s="63" t="n"/>
      <c r="J955" s="48" t="n"/>
      <c r="K955" s="58" t="n"/>
      <c r="L955" s="42" t="n"/>
      <c r="M955" s="42" t="n"/>
      <c r="N955" s="48" t="n"/>
      <c r="O955" s="58" t="n"/>
      <c r="P955" s="42" t="n"/>
      <c r="Q955" s="42" t="n"/>
      <c r="R955" s="48" t="n"/>
      <c r="S955" s="58" t="n"/>
      <c r="T955" s="42" t="n"/>
      <c r="U955" s="42" t="n"/>
      <c r="V955" s="48" t="n"/>
      <c r="W955" s="58" t="n"/>
      <c r="X955" s="42" t="n"/>
      <c r="Y955" s="42" t="n"/>
      <c r="Z955" s="48" t="n"/>
      <c r="AA955" s="58" t="n"/>
      <c r="AB955" s="42" t="n"/>
      <c r="AC955" s="42" t="n"/>
      <c r="AD955" s="48" t="n"/>
      <c r="AE955" s="58" t="n"/>
      <c r="AF955" s="42" t="n"/>
      <c r="AG955" s="42" t="n"/>
      <c r="AH955" s="48" t="n"/>
      <c r="AI955" s="58" t="n"/>
    </row>
    <row r="956">
      <c r="B956" s="2">
        <f>IF(STUDENTS!B955="","",STUDENTS!B955)</f>
        <v/>
      </c>
      <c r="C956" s="44">
        <f>IFERROR(IF(B956="","",_xlfn.XLOOKUP(B956,STUDENTS!$B$3:$B$1048576,STUDENTS!$C$3:$C$1048576)),"Enter a registered reg. no")</f>
        <v/>
      </c>
      <c r="F956" s="66" t="n"/>
      <c r="G956" s="67" t="n"/>
      <c r="J956" s="66" t="n"/>
      <c r="K956" s="67" t="n"/>
      <c r="N956" s="66" t="n"/>
      <c r="O956" s="67" t="n"/>
      <c r="R956" s="66" t="n"/>
      <c r="S956" s="67" t="n"/>
      <c r="V956" s="66" t="n"/>
      <c r="W956" s="67" t="n"/>
      <c r="Z956" s="66" t="n"/>
      <c r="AA956" s="67" t="n"/>
      <c r="AD956" s="66" t="n"/>
      <c r="AE956" s="67" t="n"/>
      <c r="AH956" s="66" t="n"/>
      <c r="AI956" s="67" t="n"/>
    </row>
    <row r="957">
      <c r="B957" s="2">
        <f>IF(STUDENTS!B956="","",STUDENTS!B956)</f>
        <v/>
      </c>
      <c r="C957" s="44">
        <f>IFERROR(IF(B957="","",_xlfn.XLOOKUP(B957,STUDENTS!$B$3:$B$1048576,STUDENTS!$C$3:$C$1048576)),"Enter a registered reg. no")</f>
        <v/>
      </c>
      <c r="D957" s="54" t="n"/>
      <c r="E957" s="55" t="n"/>
      <c r="F957" s="48" t="n"/>
      <c r="G957" s="58" t="n"/>
      <c r="H957" s="62" t="n"/>
      <c r="I957" s="63" t="n"/>
      <c r="J957" s="48" t="n"/>
      <c r="K957" s="58" t="n"/>
      <c r="L957" s="42" t="n"/>
      <c r="M957" s="42" t="n"/>
      <c r="N957" s="48" t="n"/>
      <c r="O957" s="58" t="n"/>
      <c r="P957" s="42" t="n"/>
      <c r="Q957" s="42" t="n"/>
      <c r="R957" s="48" t="n"/>
      <c r="S957" s="58" t="n"/>
      <c r="T957" s="42" t="n"/>
      <c r="U957" s="42" t="n"/>
      <c r="V957" s="48" t="n"/>
      <c r="W957" s="58" t="n"/>
      <c r="X957" s="42" t="n"/>
      <c r="Y957" s="42" t="n"/>
      <c r="Z957" s="48" t="n"/>
      <c r="AA957" s="58" t="n"/>
      <c r="AB957" s="42" t="n"/>
      <c r="AC957" s="42" t="n"/>
      <c r="AD957" s="48" t="n"/>
      <c r="AE957" s="58" t="n"/>
      <c r="AF957" s="42" t="n"/>
      <c r="AG957" s="42" t="n"/>
      <c r="AH957" s="48" t="n"/>
      <c r="AI957" s="58" t="n"/>
    </row>
    <row r="958">
      <c r="B958" s="2">
        <f>IF(STUDENTS!B957="","",STUDENTS!B957)</f>
        <v/>
      </c>
      <c r="C958" s="44">
        <f>IFERROR(IF(B958="","",_xlfn.XLOOKUP(B958,STUDENTS!$B$3:$B$1048576,STUDENTS!$C$3:$C$1048576)),"Enter a registered reg. no")</f>
        <v/>
      </c>
      <c r="F958" s="66" t="n"/>
      <c r="G958" s="67" t="n"/>
      <c r="J958" s="66" t="n"/>
      <c r="K958" s="67" t="n"/>
      <c r="N958" s="66" t="n"/>
      <c r="O958" s="67" t="n"/>
      <c r="R958" s="66" t="n"/>
      <c r="S958" s="67" t="n"/>
      <c r="V958" s="66" t="n"/>
      <c r="W958" s="67" t="n"/>
      <c r="Z958" s="66" t="n"/>
      <c r="AA958" s="67" t="n"/>
      <c r="AD958" s="66" t="n"/>
      <c r="AE958" s="67" t="n"/>
      <c r="AH958" s="66" t="n"/>
      <c r="AI958" s="67" t="n"/>
    </row>
    <row r="959">
      <c r="B959" s="2">
        <f>IF(STUDENTS!B958="","",STUDENTS!B958)</f>
        <v/>
      </c>
      <c r="C959" s="44">
        <f>IFERROR(IF(B959="","",_xlfn.XLOOKUP(B959,STUDENTS!$B$3:$B$1048576,STUDENTS!$C$3:$C$1048576)),"Enter a registered reg. no")</f>
        <v/>
      </c>
      <c r="D959" s="54" t="n"/>
      <c r="E959" s="55" t="n"/>
      <c r="F959" s="48" t="n"/>
      <c r="G959" s="58" t="n"/>
      <c r="H959" s="62" t="n"/>
      <c r="I959" s="63" t="n"/>
      <c r="J959" s="48" t="n"/>
      <c r="K959" s="58" t="n"/>
      <c r="L959" s="42" t="n"/>
      <c r="M959" s="42" t="n"/>
      <c r="N959" s="48" t="n"/>
      <c r="O959" s="58" t="n"/>
      <c r="P959" s="42" t="n"/>
      <c r="Q959" s="42" t="n"/>
      <c r="R959" s="48" t="n"/>
      <c r="S959" s="58" t="n"/>
      <c r="T959" s="42" t="n"/>
      <c r="U959" s="42" t="n"/>
      <c r="V959" s="48" t="n"/>
      <c r="W959" s="58" t="n"/>
      <c r="X959" s="42" t="n"/>
      <c r="Y959" s="42" t="n"/>
      <c r="Z959" s="48" t="n"/>
      <c r="AA959" s="58" t="n"/>
      <c r="AB959" s="42" t="n"/>
      <c r="AC959" s="42" t="n"/>
      <c r="AD959" s="48" t="n"/>
      <c r="AE959" s="58" t="n"/>
      <c r="AF959" s="42" t="n"/>
      <c r="AG959" s="42" t="n"/>
      <c r="AH959" s="48" t="n"/>
      <c r="AI959" s="58" t="n"/>
    </row>
    <row r="960">
      <c r="B960" s="2">
        <f>IF(STUDENTS!B959="","",STUDENTS!B959)</f>
        <v/>
      </c>
      <c r="C960" s="44">
        <f>IFERROR(IF(B960="","",_xlfn.XLOOKUP(B960,STUDENTS!$B$3:$B$1048576,STUDENTS!$C$3:$C$1048576)),"Enter a registered reg. no")</f>
        <v/>
      </c>
      <c r="F960" s="66" t="n"/>
      <c r="G960" s="67" t="n"/>
      <c r="J960" s="66" t="n"/>
      <c r="K960" s="67" t="n"/>
      <c r="N960" s="66" t="n"/>
      <c r="O960" s="67" t="n"/>
      <c r="R960" s="66" t="n"/>
      <c r="S960" s="67" t="n"/>
      <c r="V960" s="66" t="n"/>
      <c r="W960" s="67" t="n"/>
      <c r="Z960" s="66" t="n"/>
      <c r="AA960" s="67" t="n"/>
      <c r="AD960" s="66" t="n"/>
      <c r="AE960" s="67" t="n"/>
      <c r="AH960" s="66" t="n"/>
      <c r="AI960" s="67" t="n"/>
    </row>
    <row r="961">
      <c r="B961" s="2">
        <f>IF(STUDENTS!B960="","",STUDENTS!B960)</f>
        <v/>
      </c>
      <c r="C961" s="44">
        <f>IFERROR(IF(B961="","",_xlfn.XLOOKUP(B961,STUDENTS!$B$3:$B$1048576,STUDENTS!$C$3:$C$1048576)),"Enter a registered reg. no")</f>
        <v/>
      </c>
      <c r="D961" s="54" t="n"/>
      <c r="E961" s="55" t="n"/>
      <c r="F961" s="48" t="n"/>
      <c r="G961" s="58" t="n"/>
      <c r="H961" s="62" t="n"/>
      <c r="I961" s="63" t="n"/>
      <c r="J961" s="48" t="n"/>
      <c r="K961" s="58" t="n"/>
      <c r="L961" s="42" t="n"/>
      <c r="M961" s="42" t="n"/>
      <c r="N961" s="48" t="n"/>
      <c r="O961" s="58" t="n"/>
      <c r="P961" s="42" t="n"/>
      <c r="Q961" s="42" t="n"/>
      <c r="R961" s="48" t="n"/>
      <c r="S961" s="58" t="n"/>
      <c r="T961" s="42" t="n"/>
      <c r="U961" s="42" t="n"/>
      <c r="V961" s="48" t="n"/>
      <c r="W961" s="58" t="n"/>
      <c r="X961" s="42" t="n"/>
      <c r="Y961" s="42" t="n"/>
      <c r="Z961" s="48" t="n"/>
      <c r="AA961" s="58" t="n"/>
      <c r="AB961" s="42" t="n"/>
      <c r="AC961" s="42" t="n"/>
      <c r="AD961" s="48" t="n"/>
      <c r="AE961" s="58" t="n"/>
      <c r="AF961" s="42" t="n"/>
      <c r="AG961" s="42" t="n"/>
      <c r="AH961" s="48" t="n"/>
      <c r="AI961" s="58" t="n"/>
    </row>
    <row r="962">
      <c r="B962" s="2">
        <f>IF(STUDENTS!B961="","",STUDENTS!B961)</f>
        <v/>
      </c>
      <c r="C962" s="44">
        <f>IFERROR(IF(B962="","",_xlfn.XLOOKUP(B962,STUDENTS!$B$3:$B$1048576,STUDENTS!$C$3:$C$1048576)),"Enter a registered reg. no")</f>
        <v/>
      </c>
      <c r="F962" s="66" t="n"/>
      <c r="G962" s="67" t="n"/>
      <c r="J962" s="66" t="n"/>
      <c r="K962" s="67" t="n"/>
      <c r="N962" s="66" t="n"/>
      <c r="O962" s="67" t="n"/>
      <c r="R962" s="66" t="n"/>
      <c r="S962" s="67" t="n"/>
      <c r="V962" s="66" t="n"/>
      <c r="W962" s="67" t="n"/>
      <c r="Z962" s="66" t="n"/>
      <c r="AA962" s="67" t="n"/>
      <c r="AD962" s="66" t="n"/>
      <c r="AE962" s="67" t="n"/>
      <c r="AH962" s="66" t="n"/>
      <c r="AI962" s="67" t="n"/>
    </row>
    <row r="963">
      <c r="B963" s="2">
        <f>IF(STUDENTS!B962="","",STUDENTS!B962)</f>
        <v/>
      </c>
      <c r="C963" s="44">
        <f>IFERROR(IF(B963="","",_xlfn.XLOOKUP(B963,STUDENTS!$B$3:$B$1048576,STUDENTS!$C$3:$C$1048576)),"Enter a registered reg. no")</f>
        <v/>
      </c>
      <c r="D963" s="54" t="n"/>
      <c r="E963" s="55" t="n"/>
      <c r="F963" s="48" t="n"/>
      <c r="G963" s="58" t="n"/>
      <c r="H963" s="62" t="n"/>
      <c r="I963" s="63" t="n"/>
      <c r="J963" s="48" t="n"/>
      <c r="K963" s="58" t="n"/>
      <c r="L963" s="42" t="n"/>
      <c r="M963" s="42" t="n"/>
      <c r="N963" s="48" t="n"/>
      <c r="O963" s="58" t="n"/>
      <c r="P963" s="42" t="n"/>
      <c r="Q963" s="42" t="n"/>
      <c r="R963" s="48" t="n"/>
      <c r="S963" s="58" t="n"/>
      <c r="T963" s="42" t="n"/>
      <c r="U963" s="42" t="n"/>
      <c r="V963" s="48" t="n"/>
      <c r="W963" s="58" t="n"/>
      <c r="X963" s="42" t="n"/>
      <c r="Y963" s="42" t="n"/>
      <c r="Z963" s="48" t="n"/>
      <c r="AA963" s="58" t="n"/>
      <c r="AB963" s="42" t="n"/>
      <c r="AC963" s="42" t="n"/>
      <c r="AD963" s="48" t="n"/>
      <c r="AE963" s="58" t="n"/>
      <c r="AF963" s="42" t="n"/>
      <c r="AG963" s="42" t="n"/>
      <c r="AH963" s="48" t="n"/>
      <c r="AI963" s="58" t="n"/>
    </row>
    <row r="964">
      <c r="B964" s="2">
        <f>IF(STUDENTS!B963="","",STUDENTS!B963)</f>
        <v/>
      </c>
      <c r="C964" s="44">
        <f>IFERROR(IF(B964="","",_xlfn.XLOOKUP(B964,STUDENTS!$B$3:$B$1048576,STUDENTS!$C$3:$C$1048576)),"Enter a registered reg. no")</f>
        <v/>
      </c>
      <c r="F964" s="66" t="n"/>
      <c r="G964" s="67" t="n"/>
      <c r="J964" s="66" t="n"/>
      <c r="K964" s="67" t="n"/>
      <c r="N964" s="66" t="n"/>
      <c r="O964" s="67" t="n"/>
      <c r="R964" s="66" t="n"/>
      <c r="S964" s="67" t="n"/>
      <c r="V964" s="66" t="n"/>
      <c r="W964" s="67" t="n"/>
      <c r="Z964" s="66" t="n"/>
      <c r="AA964" s="67" t="n"/>
      <c r="AD964" s="66" t="n"/>
      <c r="AE964" s="67" t="n"/>
      <c r="AH964" s="66" t="n"/>
      <c r="AI964" s="67" t="n"/>
    </row>
    <row r="965">
      <c r="B965" s="2">
        <f>IF(STUDENTS!B964="","",STUDENTS!B964)</f>
        <v/>
      </c>
      <c r="C965" s="44">
        <f>IFERROR(IF(B965="","",_xlfn.XLOOKUP(B965,STUDENTS!$B$3:$B$1048576,STUDENTS!$C$3:$C$1048576)),"Enter a registered reg. no")</f>
        <v/>
      </c>
      <c r="D965" s="54" t="n"/>
      <c r="E965" s="55" t="n"/>
      <c r="F965" s="48" t="n"/>
      <c r="G965" s="58" t="n"/>
      <c r="H965" s="62" t="n"/>
      <c r="I965" s="63" t="n"/>
      <c r="J965" s="48" t="n"/>
      <c r="K965" s="58" t="n"/>
      <c r="L965" s="42" t="n"/>
      <c r="M965" s="42" t="n"/>
      <c r="N965" s="48" t="n"/>
      <c r="O965" s="58" t="n"/>
      <c r="P965" s="42" t="n"/>
      <c r="Q965" s="42" t="n"/>
      <c r="R965" s="48" t="n"/>
      <c r="S965" s="58" t="n"/>
      <c r="T965" s="42" t="n"/>
      <c r="U965" s="42" t="n"/>
      <c r="V965" s="48" t="n"/>
      <c r="W965" s="58" t="n"/>
      <c r="X965" s="42" t="n"/>
      <c r="Y965" s="42" t="n"/>
      <c r="Z965" s="48" t="n"/>
      <c r="AA965" s="58" t="n"/>
      <c r="AB965" s="42" t="n"/>
      <c r="AC965" s="42" t="n"/>
      <c r="AD965" s="48" t="n"/>
      <c r="AE965" s="58" t="n"/>
      <c r="AF965" s="42" t="n"/>
      <c r="AG965" s="42" t="n"/>
      <c r="AH965" s="48" t="n"/>
      <c r="AI965" s="58" t="n"/>
    </row>
    <row r="966">
      <c r="B966" s="2">
        <f>IF(STUDENTS!B965="","",STUDENTS!B965)</f>
        <v/>
      </c>
      <c r="C966" s="44">
        <f>IFERROR(IF(B966="","",_xlfn.XLOOKUP(B966,STUDENTS!$B$3:$B$1048576,STUDENTS!$C$3:$C$1048576)),"Enter a registered reg. no")</f>
        <v/>
      </c>
      <c r="F966" s="66" t="n"/>
      <c r="G966" s="67" t="n"/>
      <c r="J966" s="66" t="n"/>
      <c r="K966" s="67" t="n"/>
      <c r="N966" s="66" t="n"/>
      <c r="O966" s="67" t="n"/>
      <c r="R966" s="66" t="n"/>
      <c r="S966" s="67" t="n"/>
      <c r="V966" s="66" t="n"/>
      <c r="W966" s="67" t="n"/>
      <c r="Z966" s="66" t="n"/>
      <c r="AA966" s="67" t="n"/>
      <c r="AD966" s="66" t="n"/>
      <c r="AE966" s="67" t="n"/>
      <c r="AH966" s="66" t="n"/>
      <c r="AI966" s="67" t="n"/>
    </row>
    <row r="967">
      <c r="B967" s="2">
        <f>IF(STUDENTS!B966="","",STUDENTS!B966)</f>
        <v/>
      </c>
      <c r="C967" s="44">
        <f>IFERROR(IF(B967="","",_xlfn.XLOOKUP(B967,STUDENTS!$B$3:$B$1048576,STUDENTS!$C$3:$C$1048576)),"Enter a registered reg. no")</f>
        <v/>
      </c>
      <c r="D967" s="54" t="n"/>
      <c r="E967" s="55" t="n"/>
      <c r="F967" s="48" t="n"/>
      <c r="G967" s="58" t="n"/>
      <c r="H967" s="62" t="n"/>
      <c r="I967" s="63" t="n"/>
      <c r="J967" s="48" t="n"/>
      <c r="K967" s="58" t="n"/>
      <c r="L967" s="42" t="n"/>
      <c r="M967" s="42" t="n"/>
      <c r="N967" s="48" t="n"/>
      <c r="O967" s="58" t="n"/>
      <c r="P967" s="42" t="n"/>
      <c r="Q967" s="42" t="n"/>
      <c r="R967" s="48" t="n"/>
      <c r="S967" s="58" t="n"/>
      <c r="T967" s="42" t="n"/>
      <c r="U967" s="42" t="n"/>
      <c r="V967" s="48" t="n"/>
      <c r="W967" s="58" t="n"/>
      <c r="X967" s="42" t="n"/>
      <c r="Y967" s="42" t="n"/>
      <c r="Z967" s="48" t="n"/>
      <c r="AA967" s="58" t="n"/>
      <c r="AB967" s="42" t="n"/>
      <c r="AC967" s="42" t="n"/>
      <c r="AD967" s="48" t="n"/>
      <c r="AE967" s="58" t="n"/>
      <c r="AF967" s="42" t="n"/>
      <c r="AG967" s="42" t="n"/>
      <c r="AH967" s="48" t="n"/>
      <c r="AI967" s="58" t="n"/>
    </row>
    <row r="968">
      <c r="B968" s="2">
        <f>IF(STUDENTS!B967="","",STUDENTS!B967)</f>
        <v/>
      </c>
      <c r="C968" s="44">
        <f>IFERROR(IF(B968="","",_xlfn.XLOOKUP(B968,STUDENTS!$B$3:$B$1048576,STUDENTS!$C$3:$C$1048576)),"Enter a registered reg. no")</f>
        <v/>
      </c>
      <c r="F968" s="66" t="n"/>
      <c r="G968" s="67" t="n"/>
      <c r="J968" s="66" t="n"/>
      <c r="K968" s="67" t="n"/>
      <c r="N968" s="66" t="n"/>
      <c r="O968" s="67" t="n"/>
      <c r="R968" s="66" t="n"/>
      <c r="S968" s="67" t="n"/>
      <c r="V968" s="66" t="n"/>
      <c r="W968" s="67" t="n"/>
      <c r="Z968" s="66" t="n"/>
      <c r="AA968" s="67" t="n"/>
      <c r="AD968" s="66" t="n"/>
      <c r="AE968" s="67" t="n"/>
      <c r="AH968" s="66" t="n"/>
      <c r="AI968" s="67" t="n"/>
    </row>
    <row r="969">
      <c r="B969" s="2">
        <f>IF(STUDENTS!B968="","",STUDENTS!B968)</f>
        <v/>
      </c>
      <c r="C969" s="44">
        <f>IFERROR(IF(B969="","",_xlfn.XLOOKUP(B969,STUDENTS!$B$3:$B$1048576,STUDENTS!$C$3:$C$1048576)),"Enter a registered reg. no")</f>
        <v/>
      </c>
      <c r="D969" s="54" t="n"/>
      <c r="E969" s="55" t="n"/>
      <c r="F969" s="48" t="n"/>
      <c r="G969" s="58" t="n"/>
      <c r="H969" s="62" t="n"/>
      <c r="I969" s="63" t="n"/>
      <c r="J969" s="48" t="n"/>
      <c r="K969" s="58" t="n"/>
      <c r="L969" s="42" t="n"/>
      <c r="M969" s="42" t="n"/>
      <c r="N969" s="48" t="n"/>
      <c r="O969" s="58" t="n"/>
      <c r="P969" s="42" t="n"/>
      <c r="Q969" s="42" t="n"/>
      <c r="R969" s="48" t="n"/>
      <c r="S969" s="58" t="n"/>
      <c r="T969" s="42" t="n"/>
      <c r="U969" s="42" t="n"/>
      <c r="V969" s="48" t="n"/>
      <c r="W969" s="58" t="n"/>
      <c r="X969" s="42" t="n"/>
      <c r="Y969" s="42" t="n"/>
      <c r="Z969" s="48" t="n"/>
      <c r="AA969" s="58" t="n"/>
      <c r="AB969" s="42" t="n"/>
      <c r="AC969" s="42" t="n"/>
      <c r="AD969" s="48" t="n"/>
      <c r="AE969" s="58" t="n"/>
      <c r="AF969" s="42" t="n"/>
      <c r="AG969" s="42" t="n"/>
      <c r="AH969" s="48" t="n"/>
      <c r="AI969" s="58" t="n"/>
    </row>
    <row r="970">
      <c r="B970" s="2">
        <f>IF(STUDENTS!B969="","",STUDENTS!B969)</f>
        <v/>
      </c>
      <c r="C970" s="44">
        <f>IFERROR(IF(B970="","",_xlfn.XLOOKUP(B970,STUDENTS!$B$3:$B$1048576,STUDENTS!$C$3:$C$1048576)),"Enter a registered reg. no")</f>
        <v/>
      </c>
      <c r="F970" s="66" t="n"/>
      <c r="G970" s="67" t="n"/>
      <c r="J970" s="66" t="n"/>
      <c r="K970" s="67" t="n"/>
      <c r="N970" s="66" t="n"/>
      <c r="O970" s="67" t="n"/>
      <c r="R970" s="66" t="n"/>
      <c r="S970" s="67" t="n"/>
      <c r="V970" s="66" t="n"/>
      <c r="W970" s="67" t="n"/>
      <c r="Z970" s="66" t="n"/>
      <c r="AA970" s="67" t="n"/>
      <c r="AD970" s="66" t="n"/>
      <c r="AE970" s="67" t="n"/>
      <c r="AH970" s="66" t="n"/>
      <c r="AI970" s="67" t="n"/>
    </row>
    <row r="971">
      <c r="B971" s="2">
        <f>IF(STUDENTS!B970="","",STUDENTS!B970)</f>
        <v/>
      </c>
      <c r="C971" s="44">
        <f>IFERROR(IF(B971="","",_xlfn.XLOOKUP(B971,STUDENTS!$B$3:$B$1048576,STUDENTS!$C$3:$C$1048576)),"Enter a registered reg. no")</f>
        <v/>
      </c>
      <c r="D971" s="54" t="n"/>
      <c r="E971" s="55" t="n"/>
      <c r="F971" s="48" t="n"/>
      <c r="G971" s="58" t="n"/>
      <c r="H971" s="62" t="n"/>
      <c r="I971" s="63" t="n"/>
      <c r="J971" s="48" t="n"/>
      <c r="K971" s="58" t="n"/>
      <c r="L971" s="42" t="n"/>
      <c r="M971" s="42" t="n"/>
      <c r="N971" s="48" t="n"/>
      <c r="O971" s="58" t="n"/>
      <c r="P971" s="42" t="n"/>
      <c r="Q971" s="42" t="n"/>
      <c r="R971" s="48" t="n"/>
      <c r="S971" s="58" t="n"/>
      <c r="T971" s="42" t="n"/>
      <c r="U971" s="42" t="n"/>
      <c r="V971" s="48" t="n"/>
      <c r="W971" s="58" t="n"/>
      <c r="X971" s="42" t="n"/>
      <c r="Y971" s="42" t="n"/>
      <c r="Z971" s="48" t="n"/>
      <c r="AA971" s="58" t="n"/>
      <c r="AB971" s="42" t="n"/>
      <c r="AC971" s="42" t="n"/>
      <c r="AD971" s="48" t="n"/>
      <c r="AE971" s="58" t="n"/>
      <c r="AF971" s="42" t="n"/>
      <c r="AG971" s="42" t="n"/>
      <c r="AH971" s="48" t="n"/>
      <c r="AI971" s="58" t="n"/>
    </row>
    <row r="972">
      <c r="B972" s="2">
        <f>IF(STUDENTS!B971="","",STUDENTS!B971)</f>
        <v/>
      </c>
      <c r="C972" s="44">
        <f>IFERROR(IF(B972="","",_xlfn.XLOOKUP(B972,STUDENTS!$B$3:$B$1048576,STUDENTS!$C$3:$C$1048576)),"Enter a registered reg. no")</f>
        <v/>
      </c>
      <c r="F972" s="66" t="n"/>
      <c r="G972" s="67" t="n"/>
      <c r="J972" s="66" t="n"/>
      <c r="K972" s="67" t="n"/>
      <c r="N972" s="66" t="n"/>
      <c r="O972" s="67" t="n"/>
      <c r="R972" s="66" t="n"/>
      <c r="S972" s="67" t="n"/>
      <c r="V972" s="66" t="n"/>
      <c r="W972" s="67" t="n"/>
      <c r="Z972" s="66" t="n"/>
      <c r="AA972" s="67" t="n"/>
      <c r="AD972" s="66" t="n"/>
      <c r="AE972" s="67" t="n"/>
      <c r="AH972" s="66" t="n"/>
      <c r="AI972" s="67" t="n"/>
    </row>
    <row r="973">
      <c r="B973" s="2">
        <f>IF(STUDENTS!B972="","",STUDENTS!B972)</f>
        <v/>
      </c>
      <c r="C973" s="44">
        <f>IFERROR(IF(B973="","",_xlfn.XLOOKUP(B973,STUDENTS!$B$3:$B$1048576,STUDENTS!$C$3:$C$1048576)),"Enter a registered reg. no")</f>
        <v/>
      </c>
      <c r="D973" s="54" t="n"/>
      <c r="E973" s="55" t="n"/>
      <c r="F973" s="48" t="n"/>
      <c r="G973" s="58" t="n"/>
      <c r="H973" s="62" t="n"/>
      <c r="I973" s="63" t="n"/>
      <c r="J973" s="48" t="n"/>
      <c r="K973" s="58" t="n"/>
      <c r="L973" s="42" t="n"/>
      <c r="M973" s="42" t="n"/>
      <c r="N973" s="48" t="n"/>
      <c r="O973" s="58" t="n"/>
      <c r="P973" s="42" t="n"/>
      <c r="Q973" s="42" t="n"/>
      <c r="R973" s="48" t="n"/>
      <c r="S973" s="58" t="n"/>
      <c r="T973" s="42" t="n"/>
      <c r="U973" s="42" t="n"/>
      <c r="V973" s="48" t="n"/>
      <c r="W973" s="58" t="n"/>
      <c r="X973" s="42" t="n"/>
      <c r="Y973" s="42" t="n"/>
      <c r="Z973" s="48" t="n"/>
      <c r="AA973" s="58" t="n"/>
      <c r="AB973" s="42" t="n"/>
      <c r="AC973" s="42" t="n"/>
      <c r="AD973" s="48" t="n"/>
      <c r="AE973" s="58" t="n"/>
      <c r="AF973" s="42" t="n"/>
      <c r="AG973" s="42" t="n"/>
      <c r="AH973" s="48" t="n"/>
      <c r="AI973" s="58" t="n"/>
    </row>
    <row r="974">
      <c r="B974" s="2">
        <f>IF(STUDENTS!B973="","",STUDENTS!B973)</f>
        <v/>
      </c>
      <c r="C974" s="44">
        <f>IFERROR(IF(B974="","",_xlfn.XLOOKUP(B974,STUDENTS!$B$3:$B$1048576,STUDENTS!$C$3:$C$1048576)),"Enter a registered reg. no")</f>
        <v/>
      </c>
      <c r="F974" s="66" t="n"/>
      <c r="G974" s="67" t="n"/>
      <c r="J974" s="66" t="n"/>
      <c r="K974" s="67" t="n"/>
      <c r="N974" s="66" t="n"/>
      <c r="O974" s="67" t="n"/>
      <c r="R974" s="66" t="n"/>
      <c r="S974" s="67" t="n"/>
      <c r="V974" s="66" t="n"/>
      <c r="W974" s="67" t="n"/>
      <c r="Z974" s="66" t="n"/>
      <c r="AA974" s="67" t="n"/>
      <c r="AD974" s="66" t="n"/>
      <c r="AE974" s="67" t="n"/>
      <c r="AH974" s="66" t="n"/>
      <c r="AI974" s="67" t="n"/>
    </row>
    <row r="975">
      <c r="B975" s="2">
        <f>IF(STUDENTS!B974="","",STUDENTS!B974)</f>
        <v/>
      </c>
      <c r="C975" s="44">
        <f>IFERROR(IF(B975="","",_xlfn.XLOOKUP(B975,STUDENTS!$B$3:$B$1048576,STUDENTS!$C$3:$C$1048576)),"Enter a registered reg. no")</f>
        <v/>
      </c>
      <c r="D975" s="54" t="n"/>
      <c r="E975" s="55" t="n"/>
      <c r="F975" s="48" t="n"/>
      <c r="G975" s="58" t="n"/>
      <c r="H975" s="62" t="n"/>
      <c r="I975" s="63" t="n"/>
      <c r="J975" s="48" t="n"/>
      <c r="K975" s="58" t="n"/>
      <c r="L975" s="42" t="n"/>
      <c r="M975" s="42" t="n"/>
      <c r="N975" s="48" t="n"/>
      <c r="O975" s="58" t="n"/>
      <c r="P975" s="42" t="n"/>
      <c r="Q975" s="42" t="n"/>
      <c r="R975" s="48" t="n"/>
      <c r="S975" s="58" t="n"/>
      <c r="T975" s="42" t="n"/>
      <c r="U975" s="42" t="n"/>
      <c r="V975" s="48" t="n"/>
      <c r="W975" s="58" t="n"/>
      <c r="X975" s="42" t="n"/>
      <c r="Y975" s="42" t="n"/>
      <c r="Z975" s="48" t="n"/>
      <c r="AA975" s="58" t="n"/>
      <c r="AB975" s="42" t="n"/>
      <c r="AC975" s="42" t="n"/>
      <c r="AD975" s="48" t="n"/>
      <c r="AE975" s="58" t="n"/>
      <c r="AF975" s="42" t="n"/>
      <c r="AG975" s="42" t="n"/>
      <c r="AH975" s="48" t="n"/>
      <c r="AI975" s="58" t="n"/>
    </row>
    <row r="976">
      <c r="B976" s="2">
        <f>IF(STUDENTS!B975="","",STUDENTS!B975)</f>
        <v/>
      </c>
      <c r="C976" s="44">
        <f>IFERROR(IF(B976="","",_xlfn.XLOOKUP(B976,STUDENTS!$B$3:$B$1048576,STUDENTS!$C$3:$C$1048576)),"Enter a registered reg. no")</f>
        <v/>
      </c>
      <c r="F976" s="66" t="n"/>
      <c r="G976" s="67" t="n"/>
      <c r="J976" s="66" t="n"/>
      <c r="K976" s="67" t="n"/>
      <c r="N976" s="66" t="n"/>
      <c r="O976" s="67" t="n"/>
      <c r="R976" s="66" t="n"/>
      <c r="S976" s="67" t="n"/>
      <c r="V976" s="66" t="n"/>
      <c r="W976" s="67" t="n"/>
      <c r="Z976" s="66" t="n"/>
      <c r="AA976" s="67" t="n"/>
      <c r="AD976" s="66" t="n"/>
      <c r="AE976" s="67" t="n"/>
      <c r="AH976" s="66" t="n"/>
      <c r="AI976" s="67" t="n"/>
    </row>
    <row r="977">
      <c r="B977" s="2">
        <f>IF(STUDENTS!B976="","",STUDENTS!B976)</f>
        <v/>
      </c>
      <c r="C977" s="44">
        <f>IFERROR(IF(B977="","",_xlfn.XLOOKUP(B977,STUDENTS!$B$3:$B$1048576,STUDENTS!$C$3:$C$1048576)),"Enter a registered reg. no")</f>
        <v/>
      </c>
      <c r="D977" s="54" t="n"/>
      <c r="E977" s="55" t="n"/>
      <c r="F977" s="48" t="n"/>
      <c r="G977" s="58" t="n"/>
      <c r="H977" s="62" t="n"/>
      <c r="I977" s="63" t="n"/>
      <c r="J977" s="48" t="n"/>
      <c r="K977" s="58" t="n"/>
      <c r="L977" s="42" t="n"/>
      <c r="M977" s="42" t="n"/>
      <c r="N977" s="48" t="n"/>
      <c r="O977" s="58" t="n"/>
      <c r="P977" s="42" t="n"/>
      <c r="Q977" s="42" t="n"/>
      <c r="R977" s="48" t="n"/>
      <c r="S977" s="58" t="n"/>
      <c r="T977" s="42" t="n"/>
      <c r="U977" s="42" t="n"/>
      <c r="V977" s="48" t="n"/>
      <c r="W977" s="58" t="n"/>
      <c r="X977" s="42" t="n"/>
      <c r="Y977" s="42" t="n"/>
      <c r="Z977" s="48" t="n"/>
      <c r="AA977" s="58" t="n"/>
      <c r="AB977" s="42" t="n"/>
      <c r="AC977" s="42" t="n"/>
      <c r="AD977" s="48" t="n"/>
      <c r="AE977" s="58" t="n"/>
      <c r="AF977" s="42" t="n"/>
      <c r="AG977" s="42" t="n"/>
      <c r="AH977" s="48" t="n"/>
      <c r="AI977" s="58" t="n"/>
    </row>
    <row r="978">
      <c r="B978" s="2">
        <f>IF(STUDENTS!B977="","",STUDENTS!B977)</f>
        <v/>
      </c>
      <c r="C978" s="44">
        <f>IFERROR(IF(B978="","",_xlfn.XLOOKUP(B978,STUDENTS!$B$3:$B$1048576,STUDENTS!$C$3:$C$1048576)),"Enter a registered reg. no")</f>
        <v/>
      </c>
      <c r="F978" s="66" t="n"/>
      <c r="G978" s="67" t="n"/>
      <c r="J978" s="66" t="n"/>
      <c r="K978" s="67" t="n"/>
      <c r="N978" s="66" t="n"/>
      <c r="O978" s="67" t="n"/>
      <c r="R978" s="66" t="n"/>
      <c r="S978" s="67" t="n"/>
      <c r="V978" s="66" t="n"/>
      <c r="W978" s="67" t="n"/>
      <c r="Z978" s="66" t="n"/>
      <c r="AA978" s="67" t="n"/>
      <c r="AD978" s="66" t="n"/>
      <c r="AE978" s="67" t="n"/>
      <c r="AH978" s="66" t="n"/>
      <c r="AI978" s="67" t="n"/>
    </row>
    <row r="979">
      <c r="B979" s="2">
        <f>IF(STUDENTS!B978="","",STUDENTS!B978)</f>
        <v/>
      </c>
      <c r="C979" s="44">
        <f>IFERROR(IF(B979="","",_xlfn.XLOOKUP(B979,STUDENTS!$B$3:$B$1048576,STUDENTS!$C$3:$C$1048576)),"Enter a registered reg. no")</f>
        <v/>
      </c>
      <c r="D979" s="54" t="n"/>
      <c r="E979" s="55" t="n"/>
      <c r="F979" s="48" t="n"/>
      <c r="G979" s="58" t="n"/>
      <c r="H979" s="62" t="n"/>
      <c r="I979" s="63" t="n"/>
      <c r="J979" s="48" t="n"/>
      <c r="K979" s="58" t="n"/>
      <c r="L979" s="42" t="n"/>
      <c r="M979" s="42" t="n"/>
      <c r="N979" s="48" t="n"/>
      <c r="O979" s="58" t="n"/>
      <c r="P979" s="42" t="n"/>
      <c r="Q979" s="42" t="n"/>
      <c r="R979" s="48" t="n"/>
      <c r="S979" s="58" t="n"/>
      <c r="T979" s="42" t="n"/>
      <c r="U979" s="42" t="n"/>
      <c r="V979" s="48" t="n"/>
      <c r="W979" s="58" t="n"/>
      <c r="X979" s="42" t="n"/>
      <c r="Y979" s="42" t="n"/>
      <c r="Z979" s="48" t="n"/>
      <c r="AA979" s="58" t="n"/>
      <c r="AB979" s="42" t="n"/>
      <c r="AC979" s="42" t="n"/>
      <c r="AD979" s="48" t="n"/>
      <c r="AE979" s="58" t="n"/>
      <c r="AF979" s="42" t="n"/>
      <c r="AG979" s="42" t="n"/>
      <c r="AH979" s="48" t="n"/>
      <c r="AI979" s="58" t="n"/>
    </row>
    <row r="980">
      <c r="B980" s="2">
        <f>IF(STUDENTS!B979="","",STUDENTS!B979)</f>
        <v/>
      </c>
      <c r="C980" s="44">
        <f>IFERROR(IF(B980="","",_xlfn.XLOOKUP(B980,STUDENTS!$B$3:$B$1048576,STUDENTS!$C$3:$C$1048576)),"Enter a registered reg. no")</f>
        <v/>
      </c>
      <c r="F980" s="66" t="n"/>
      <c r="G980" s="67" t="n"/>
      <c r="J980" s="66" t="n"/>
      <c r="K980" s="67" t="n"/>
      <c r="N980" s="66" t="n"/>
      <c r="O980" s="67" t="n"/>
      <c r="R980" s="66" t="n"/>
      <c r="S980" s="67" t="n"/>
      <c r="V980" s="66" t="n"/>
      <c r="W980" s="67" t="n"/>
      <c r="Z980" s="66" t="n"/>
      <c r="AA980" s="67" t="n"/>
      <c r="AD980" s="66" t="n"/>
      <c r="AE980" s="67" t="n"/>
      <c r="AH980" s="66" t="n"/>
      <c r="AI980" s="67" t="n"/>
    </row>
    <row r="981">
      <c r="B981" s="2">
        <f>IF(STUDENTS!B980="","",STUDENTS!B980)</f>
        <v/>
      </c>
      <c r="C981" s="44">
        <f>IFERROR(IF(B981="","",_xlfn.XLOOKUP(B981,STUDENTS!$B$3:$B$1048576,STUDENTS!$C$3:$C$1048576)),"Enter a registered reg. no")</f>
        <v/>
      </c>
      <c r="D981" s="54" t="n"/>
      <c r="E981" s="55" t="n"/>
      <c r="F981" s="48" t="n"/>
      <c r="G981" s="58" t="n"/>
      <c r="H981" s="62" t="n"/>
      <c r="I981" s="63" t="n"/>
      <c r="J981" s="48" t="n"/>
      <c r="K981" s="58" t="n"/>
      <c r="L981" s="42" t="n"/>
      <c r="M981" s="42" t="n"/>
      <c r="N981" s="48" t="n"/>
      <c r="O981" s="58" t="n"/>
      <c r="P981" s="42" t="n"/>
      <c r="Q981" s="42" t="n"/>
      <c r="R981" s="48" t="n"/>
      <c r="S981" s="58" t="n"/>
      <c r="T981" s="42" t="n"/>
      <c r="U981" s="42" t="n"/>
      <c r="V981" s="48" t="n"/>
      <c r="W981" s="58" t="n"/>
      <c r="X981" s="42" t="n"/>
      <c r="Y981" s="42" t="n"/>
      <c r="Z981" s="48" t="n"/>
      <c r="AA981" s="58" t="n"/>
      <c r="AB981" s="42" t="n"/>
      <c r="AC981" s="42" t="n"/>
      <c r="AD981" s="48" t="n"/>
      <c r="AE981" s="58" t="n"/>
      <c r="AF981" s="42" t="n"/>
      <c r="AG981" s="42" t="n"/>
      <c r="AH981" s="48" t="n"/>
      <c r="AI981" s="58" t="n"/>
    </row>
    <row r="982">
      <c r="B982" s="2">
        <f>IF(STUDENTS!B981="","",STUDENTS!B981)</f>
        <v/>
      </c>
      <c r="C982" s="44">
        <f>IFERROR(IF(B982="","",_xlfn.XLOOKUP(B982,STUDENTS!$B$3:$B$1048576,STUDENTS!$C$3:$C$1048576)),"Enter a registered reg. no")</f>
        <v/>
      </c>
      <c r="F982" s="66" t="n"/>
      <c r="G982" s="67" t="n"/>
      <c r="J982" s="66" t="n"/>
      <c r="K982" s="67" t="n"/>
      <c r="N982" s="66" t="n"/>
      <c r="O982" s="67" t="n"/>
      <c r="R982" s="66" t="n"/>
      <c r="S982" s="67" t="n"/>
      <c r="V982" s="66" t="n"/>
      <c r="W982" s="67" t="n"/>
      <c r="Z982" s="66" t="n"/>
      <c r="AA982" s="67" t="n"/>
      <c r="AD982" s="66" t="n"/>
      <c r="AE982" s="67" t="n"/>
      <c r="AH982" s="66" t="n"/>
      <c r="AI982" s="67" t="n"/>
    </row>
    <row r="983">
      <c r="B983" s="2">
        <f>IF(STUDENTS!B982="","",STUDENTS!B982)</f>
        <v/>
      </c>
      <c r="C983" s="44">
        <f>IFERROR(IF(B983="","",_xlfn.XLOOKUP(B983,STUDENTS!$B$3:$B$1048576,STUDENTS!$C$3:$C$1048576)),"Enter a registered reg. no")</f>
        <v/>
      </c>
      <c r="D983" s="54" t="n"/>
      <c r="E983" s="55" t="n"/>
      <c r="F983" s="48" t="n"/>
      <c r="G983" s="58" t="n"/>
      <c r="H983" s="62" t="n"/>
      <c r="I983" s="63" t="n"/>
      <c r="J983" s="48" t="n"/>
      <c r="K983" s="58" t="n"/>
      <c r="L983" s="42" t="n"/>
      <c r="M983" s="42" t="n"/>
      <c r="N983" s="48" t="n"/>
      <c r="O983" s="58" t="n"/>
      <c r="P983" s="42" t="n"/>
      <c r="Q983" s="42" t="n"/>
      <c r="R983" s="48" t="n"/>
      <c r="S983" s="58" t="n"/>
      <c r="T983" s="42" t="n"/>
      <c r="U983" s="42" t="n"/>
      <c r="V983" s="48" t="n"/>
      <c r="W983" s="58" t="n"/>
      <c r="X983" s="42" t="n"/>
      <c r="Y983" s="42" t="n"/>
      <c r="Z983" s="48" t="n"/>
      <c r="AA983" s="58" t="n"/>
      <c r="AB983" s="42" t="n"/>
      <c r="AC983" s="42" t="n"/>
      <c r="AD983" s="48" t="n"/>
      <c r="AE983" s="58" t="n"/>
      <c r="AF983" s="42" t="n"/>
      <c r="AG983" s="42" t="n"/>
      <c r="AH983" s="48" t="n"/>
      <c r="AI983" s="58" t="n"/>
    </row>
    <row r="984">
      <c r="B984" s="2">
        <f>IF(STUDENTS!B983="","",STUDENTS!B983)</f>
        <v/>
      </c>
      <c r="C984" s="44">
        <f>IFERROR(IF(B984="","",_xlfn.XLOOKUP(B984,STUDENTS!$B$3:$B$1048576,STUDENTS!$C$3:$C$1048576)),"Enter a registered reg. no")</f>
        <v/>
      </c>
      <c r="F984" s="66" t="n"/>
      <c r="G984" s="67" t="n"/>
      <c r="J984" s="66" t="n"/>
      <c r="K984" s="67" t="n"/>
      <c r="N984" s="66" t="n"/>
      <c r="O984" s="67" t="n"/>
      <c r="R984" s="66" t="n"/>
      <c r="S984" s="67" t="n"/>
      <c r="V984" s="66" t="n"/>
      <c r="W984" s="67" t="n"/>
      <c r="Z984" s="66" t="n"/>
      <c r="AA984" s="67" t="n"/>
      <c r="AD984" s="66" t="n"/>
      <c r="AE984" s="67" t="n"/>
      <c r="AH984" s="66" t="n"/>
      <c r="AI984" s="67" t="n"/>
    </row>
    <row r="985">
      <c r="B985" s="2">
        <f>IF(STUDENTS!B984="","",STUDENTS!B984)</f>
        <v/>
      </c>
      <c r="C985" s="44">
        <f>IFERROR(IF(B985="","",_xlfn.XLOOKUP(B985,STUDENTS!$B$3:$B$1048576,STUDENTS!$C$3:$C$1048576)),"Enter a registered reg. no")</f>
        <v/>
      </c>
      <c r="D985" s="54" t="n"/>
      <c r="E985" s="55" t="n"/>
      <c r="F985" s="48" t="n"/>
      <c r="G985" s="58" t="n"/>
      <c r="H985" s="62" t="n"/>
      <c r="I985" s="63" t="n"/>
      <c r="J985" s="48" t="n"/>
      <c r="K985" s="58" t="n"/>
      <c r="L985" s="42" t="n"/>
      <c r="M985" s="42" t="n"/>
      <c r="N985" s="48" t="n"/>
      <c r="O985" s="58" t="n"/>
      <c r="P985" s="42" t="n"/>
      <c r="Q985" s="42" t="n"/>
      <c r="R985" s="48" t="n"/>
      <c r="S985" s="58" t="n"/>
      <c r="T985" s="42" t="n"/>
      <c r="U985" s="42" t="n"/>
      <c r="V985" s="48" t="n"/>
      <c r="W985" s="58" t="n"/>
      <c r="X985" s="42" t="n"/>
      <c r="Y985" s="42" t="n"/>
      <c r="Z985" s="48" t="n"/>
      <c r="AA985" s="58" t="n"/>
      <c r="AB985" s="42" t="n"/>
      <c r="AC985" s="42" t="n"/>
      <c r="AD985" s="48" t="n"/>
      <c r="AE985" s="58" t="n"/>
      <c r="AF985" s="42" t="n"/>
      <c r="AG985" s="42" t="n"/>
      <c r="AH985" s="48" t="n"/>
      <c r="AI985" s="58" t="n"/>
    </row>
    <row r="986">
      <c r="B986" s="2">
        <f>IF(STUDENTS!B985="","",STUDENTS!B985)</f>
        <v/>
      </c>
      <c r="C986" s="44">
        <f>IFERROR(IF(B986="","",_xlfn.XLOOKUP(B986,STUDENTS!$B$3:$B$1048576,STUDENTS!$C$3:$C$1048576)),"Enter a registered reg. no")</f>
        <v/>
      </c>
      <c r="F986" s="66" t="n"/>
      <c r="G986" s="67" t="n"/>
      <c r="J986" s="66" t="n"/>
      <c r="K986" s="67" t="n"/>
      <c r="N986" s="66" t="n"/>
      <c r="O986" s="67" t="n"/>
      <c r="R986" s="66" t="n"/>
      <c r="S986" s="67" t="n"/>
      <c r="V986" s="66" t="n"/>
      <c r="W986" s="67" t="n"/>
      <c r="Z986" s="66" t="n"/>
      <c r="AA986" s="67" t="n"/>
      <c r="AD986" s="66" t="n"/>
      <c r="AE986" s="67" t="n"/>
      <c r="AH986" s="66" t="n"/>
      <c r="AI986" s="67" t="n"/>
    </row>
    <row r="987">
      <c r="B987" s="2">
        <f>IF(STUDENTS!B986="","",STUDENTS!B986)</f>
        <v/>
      </c>
      <c r="C987" s="44">
        <f>IFERROR(IF(B987="","",_xlfn.XLOOKUP(B987,STUDENTS!$B$3:$B$1048576,STUDENTS!$C$3:$C$1048576)),"Enter a registered reg. no")</f>
        <v/>
      </c>
      <c r="D987" s="54" t="n"/>
      <c r="E987" s="55" t="n"/>
      <c r="F987" s="48" t="n"/>
      <c r="G987" s="58" t="n"/>
      <c r="H987" s="62" t="n"/>
      <c r="I987" s="63" t="n"/>
      <c r="J987" s="48" t="n"/>
      <c r="K987" s="58" t="n"/>
      <c r="L987" s="42" t="n"/>
      <c r="M987" s="42" t="n"/>
      <c r="N987" s="48" t="n"/>
      <c r="O987" s="58" t="n"/>
      <c r="P987" s="42" t="n"/>
      <c r="Q987" s="42" t="n"/>
      <c r="R987" s="48" t="n"/>
      <c r="S987" s="58" t="n"/>
      <c r="T987" s="42" t="n"/>
      <c r="U987" s="42" t="n"/>
      <c r="V987" s="48" t="n"/>
      <c r="W987" s="58" t="n"/>
      <c r="X987" s="42" t="n"/>
      <c r="Y987" s="42" t="n"/>
      <c r="Z987" s="48" t="n"/>
      <c r="AA987" s="58" t="n"/>
      <c r="AB987" s="42" t="n"/>
      <c r="AC987" s="42" t="n"/>
      <c r="AD987" s="48" t="n"/>
      <c r="AE987" s="58" t="n"/>
      <c r="AF987" s="42" t="n"/>
      <c r="AG987" s="42" t="n"/>
      <c r="AH987" s="48" t="n"/>
      <c r="AI987" s="58" t="n"/>
    </row>
    <row r="988">
      <c r="B988" s="2">
        <f>IF(STUDENTS!B987="","",STUDENTS!B987)</f>
        <v/>
      </c>
      <c r="C988" s="44">
        <f>IFERROR(IF(B988="","",_xlfn.XLOOKUP(B988,STUDENTS!$B$3:$B$1048576,STUDENTS!$C$3:$C$1048576)),"Enter a registered reg. no")</f>
        <v/>
      </c>
      <c r="F988" s="66" t="n"/>
      <c r="G988" s="67" t="n"/>
      <c r="J988" s="66" t="n"/>
      <c r="K988" s="67" t="n"/>
      <c r="N988" s="66" t="n"/>
      <c r="O988" s="67" t="n"/>
      <c r="R988" s="66" t="n"/>
      <c r="S988" s="67" t="n"/>
      <c r="V988" s="66" t="n"/>
      <c r="W988" s="67" t="n"/>
      <c r="Z988" s="66" t="n"/>
      <c r="AA988" s="67" t="n"/>
      <c r="AD988" s="66" t="n"/>
      <c r="AE988" s="67" t="n"/>
      <c r="AH988" s="66" t="n"/>
      <c r="AI988" s="67" t="n"/>
    </row>
    <row r="989">
      <c r="B989" s="2">
        <f>IF(STUDENTS!B988="","",STUDENTS!B988)</f>
        <v/>
      </c>
      <c r="C989" s="44">
        <f>IFERROR(IF(B989="","",_xlfn.XLOOKUP(B989,STUDENTS!$B$3:$B$1048576,STUDENTS!$C$3:$C$1048576)),"Enter a registered reg. no")</f>
        <v/>
      </c>
      <c r="D989" s="54" t="n"/>
      <c r="E989" s="55" t="n"/>
      <c r="F989" s="48" t="n"/>
      <c r="G989" s="58" t="n"/>
      <c r="H989" s="62" t="n"/>
      <c r="I989" s="63" t="n"/>
      <c r="J989" s="48" t="n"/>
      <c r="K989" s="58" t="n"/>
      <c r="L989" s="42" t="n"/>
      <c r="M989" s="42" t="n"/>
      <c r="N989" s="48" t="n"/>
      <c r="O989" s="58" t="n"/>
      <c r="P989" s="42" t="n"/>
      <c r="Q989" s="42" t="n"/>
      <c r="R989" s="48" t="n"/>
      <c r="S989" s="58" t="n"/>
      <c r="T989" s="42" t="n"/>
      <c r="U989" s="42" t="n"/>
      <c r="V989" s="48" t="n"/>
      <c r="W989" s="58" t="n"/>
      <c r="X989" s="42" t="n"/>
      <c r="Y989" s="42" t="n"/>
      <c r="Z989" s="48" t="n"/>
      <c r="AA989" s="58" t="n"/>
      <c r="AB989" s="42" t="n"/>
      <c r="AC989" s="42" t="n"/>
      <c r="AD989" s="48" t="n"/>
      <c r="AE989" s="58" t="n"/>
      <c r="AF989" s="42" t="n"/>
      <c r="AG989" s="42" t="n"/>
      <c r="AH989" s="48" t="n"/>
      <c r="AI989" s="58" t="n"/>
    </row>
    <row r="990">
      <c r="B990" s="2">
        <f>IF(STUDENTS!B989="","",STUDENTS!B989)</f>
        <v/>
      </c>
      <c r="C990" s="44">
        <f>IFERROR(IF(B990="","",_xlfn.XLOOKUP(B990,STUDENTS!$B$3:$B$1048576,STUDENTS!$C$3:$C$1048576)),"Enter a registered reg. no")</f>
        <v/>
      </c>
      <c r="F990" s="66" t="n"/>
      <c r="G990" s="67" t="n"/>
      <c r="J990" s="66" t="n"/>
      <c r="K990" s="67" t="n"/>
      <c r="N990" s="66" t="n"/>
      <c r="O990" s="67" t="n"/>
      <c r="R990" s="66" t="n"/>
      <c r="S990" s="67" t="n"/>
      <c r="V990" s="66" t="n"/>
      <c r="W990" s="67" t="n"/>
      <c r="Z990" s="66" t="n"/>
      <c r="AA990" s="67" t="n"/>
      <c r="AD990" s="66" t="n"/>
      <c r="AE990" s="67" t="n"/>
      <c r="AH990" s="66" t="n"/>
      <c r="AI990" s="67" t="n"/>
    </row>
    <row r="991">
      <c r="B991" s="2">
        <f>IF(STUDENTS!B990="","",STUDENTS!B990)</f>
        <v/>
      </c>
      <c r="C991" s="44">
        <f>IFERROR(IF(B991="","",_xlfn.XLOOKUP(B991,STUDENTS!$B$3:$B$1048576,STUDENTS!$C$3:$C$1048576)),"Enter a registered reg. no")</f>
        <v/>
      </c>
      <c r="D991" s="54" t="n"/>
      <c r="E991" s="55" t="n"/>
      <c r="F991" s="48" t="n"/>
      <c r="G991" s="58" t="n"/>
      <c r="H991" s="62" t="n"/>
      <c r="I991" s="63" t="n"/>
      <c r="J991" s="48" t="n"/>
      <c r="K991" s="58" t="n"/>
      <c r="L991" s="42" t="n"/>
      <c r="M991" s="42" t="n"/>
      <c r="N991" s="48" t="n"/>
      <c r="O991" s="58" t="n"/>
      <c r="P991" s="42" t="n"/>
      <c r="Q991" s="42" t="n"/>
      <c r="R991" s="48" t="n"/>
      <c r="S991" s="58" t="n"/>
      <c r="T991" s="42" t="n"/>
      <c r="U991" s="42" t="n"/>
      <c r="V991" s="48" t="n"/>
      <c r="W991" s="58" t="n"/>
      <c r="X991" s="42" t="n"/>
      <c r="Y991" s="42" t="n"/>
      <c r="Z991" s="48" t="n"/>
      <c r="AA991" s="58" t="n"/>
      <c r="AB991" s="42" t="n"/>
      <c r="AC991" s="42" t="n"/>
      <c r="AD991" s="48" t="n"/>
      <c r="AE991" s="58" t="n"/>
      <c r="AF991" s="42" t="n"/>
      <c r="AG991" s="42" t="n"/>
      <c r="AH991" s="48" t="n"/>
      <c r="AI991" s="58" t="n"/>
    </row>
    <row r="992">
      <c r="B992" s="2">
        <f>IF(STUDENTS!B991="","",STUDENTS!B991)</f>
        <v/>
      </c>
      <c r="C992" s="44">
        <f>IFERROR(IF(B992="","",_xlfn.XLOOKUP(B992,STUDENTS!$B$3:$B$1048576,STUDENTS!$C$3:$C$1048576)),"Enter a registered reg. no")</f>
        <v/>
      </c>
      <c r="F992" s="66" t="n"/>
      <c r="G992" s="67" t="n"/>
      <c r="J992" s="66" t="n"/>
      <c r="K992" s="67" t="n"/>
      <c r="N992" s="66" t="n"/>
      <c r="O992" s="67" t="n"/>
      <c r="R992" s="66" t="n"/>
      <c r="S992" s="67" t="n"/>
      <c r="V992" s="66" t="n"/>
      <c r="W992" s="67" t="n"/>
      <c r="Z992" s="66" t="n"/>
      <c r="AA992" s="67" t="n"/>
      <c r="AD992" s="66" t="n"/>
      <c r="AE992" s="67" t="n"/>
      <c r="AH992" s="66" t="n"/>
      <c r="AI992" s="67" t="n"/>
    </row>
    <row r="993">
      <c r="B993" s="2">
        <f>IF(STUDENTS!B992="","",STUDENTS!B992)</f>
        <v/>
      </c>
      <c r="C993" s="44">
        <f>IFERROR(IF(B993="","",_xlfn.XLOOKUP(B993,STUDENTS!$B$3:$B$1048576,STUDENTS!$C$3:$C$1048576)),"Enter a registered reg. no")</f>
        <v/>
      </c>
      <c r="D993" s="54" t="n"/>
      <c r="E993" s="55" t="n"/>
      <c r="F993" s="48" t="n"/>
      <c r="G993" s="58" t="n"/>
      <c r="H993" s="62" t="n"/>
      <c r="I993" s="63" t="n"/>
      <c r="J993" s="48" t="n"/>
      <c r="K993" s="58" t="n"/>
      <c r="L993" s="42" t="n"/>
      <c r="M993" s="42" t="n"/>
      <c r="N993" s="48" t="n"/>
      <c r="O993" s="58" t="n"/>
      <c r="P993" s="42" t="n"/>
      <c r="Q993" s="42" t="n"/>
      <c r="R993" s="48" t="n"/>
      <c r="S993" s="58" t="n"/>
      <c r="T993" s="42" t="n"/>
      <c r="U993" s="42" t="n"/>
      <c r="V993" s="48" t="n"/>
      <c r="W993" s="58" t="n"/>
      <c r="X993" s="42" t="n"/>
      <c r="Y993" s="42" t="n"/>
      <c r="Z993" s="48" t="n"/>
      <c r="AA993" s="58" t="n"/>
      <c r="AB993" s="42" t="n"/>
      <c r="AC993" s="42" t="n"/>
      <c r="AD993" s="48" t="n"/>
      <c r="AE993" s="58" t="n"/>
      <c r="AF993" s="42" t="n"/>
      <c r="AG993" s="42" t="n"/>
      <c r="AH993" s="48" t="n"/>
      <c r="AI993" s="58" t="n"/>
    </row>
    <row r="994">
      <c r="B994" s="2">
        <f>IF(STUDENTS!B993="","",STUDENTS!B993)</f>
        <v/>
      </c>
      <c r="C994" s="44">
        <f>IFERROR(IF(B994="","",_xlfn.XLOOKUP(B994,STUDENTS!$B$3:$B$1048576,STUDENTS!$C$3:$C$1048576)),"Enter a registered reg. no")</f>
        <v/>
      </c>
      <c r="F994" s="66" t="n"/>
      <c r="G994" s="67" t="n"/>
      <c r="J994" s="66" t="n"/>
      <c r="K994" s="67" t="n"/>
      <c r="N994" s="66" t="n"/>
      <c r="O994" s="67" t="n"/>
      <c r="R994" s="66" t="n"/>
      <c r="S994" s="67" t="n"/>
      <c r="V994" s="66" t="n"/>
      <c r="W994" s="67" t="n"/>
      <c r="Z994" s="66" t="n"/>
      <c r="AA994" s="67" t="n"/>
      <c r="AD994" s="66" t="n"/>
      <c r="AE994" s="67" t="n"/>
      <c r="AH994" s="66" t="n"/>
      <c r="AI994" s="67" t="n"/>
    </row>
    <row r="995">
      <c r="B995" s="2">
        <f>IF(STUDENTS!B994="","",STUDENTS!B994)</f>
        <v/>
      </c>
      <c r="C995" s="44">
        <f>IFERROR(IF(B995="","",_xlfn.XLOOKUP(B995,STUDENTS!$B$3:$B$1048576,STUDENTS!$C$3:$C$1048576)),"Enter a registered reg. no")</f>
        <v/>
      </c>
      <c r="D995" s="54" t="n"/>
      <c r="E995" s="55" t="n"/>
      <c r="F995" s="48" t="n"/>
      <c r="G995" s="58" t="n"/>
      <c r="H995" s="62" t="n"/>
      <c r="I995" s="63" t="n"/>
      <c r="J995" s="48" t="n"/>
      <c r="K995" s="58" t="n"/>
      <c r="L995" s="42" t="n"/>
      <c r="M995" s="42" t="n"/>
      <c r="N995" s="48" t="n"/>
      <c r="O995" s="58" t="n"/>
      <c r="P995" s="42" t="n"/>
      <c r="Q995" s="42" t="n"/>
      <c r="R995" s="48" t="n"/>
      <c r="S995" s="58" t="n"/>
      <c r="T995" s="42" t="n"/>
      <c r="U995" s="42" t="n"/>
      <c r="V995" s="48" t="n"/>
      <c r="W995" s="58" t="n"/>
      <c r="X995" s="42" t="n"/>
      <c r="Y995" s="42" t="n"/>
      <c r="Z995" s="48" t="n"/>
      <c r="AA995" s="58" t="n"/>
      <c r="AB995" s="42" t="n"/>
      <c r="AC995" s="42" t="n"/>
      <c r="AD995" s="48" t="n"/>
      <c r="AE995" s="58" t="n"/>
      <c r="AF995" s="42" t="n"/>
      <c r="AG995" s="42" t="n"/>
      <c r="AH995" s="48" t="n"/>
      <c r="AI995" s="58" t="n"/>
    </row>
    <row r="996">
      <c r="B996" s="2">
        <f>IF(STUDENTS!B995="","",STUDENTS!B995)</f>
        <v/>
      </c>
      <c r="C996" s="44">
        <f>IFERROR(IF(B996="","",_xlfn.XLOOKUP(B996,STUDENTS!$B$3:$B$1048576,STUDENTS!$C$3:$C$1048576)),"Enter a registered reg. no")</f>
        <v/>
      </c>
      <c r="F996" s="66" t="n"/>
      <c r="G996" s="67" t="n"/>
      <c r="J996" s="66" t="n"/>
      <c r="K996" s="67" t="n"/>
      <c r="N996" s="66" t="n"/>
      <c r="O996" s="67" t="n"/>
      <c r="R996" s="66" t="n"/>
      <c r="S996" s="67" t="n"/>
      <c r="V996" s="66" t="n"/>
      <c r="W996" s="67" t="n"/>
      <c r="Z996" s="66" t="n"/>
      <c r="AA996" s="67" t="n"/>
      <c r="AD996" s="66" t="n"/>
      <c r="AE996" s="67" t="n"/>
      <c r="AH996" s="66" t="n"/>
      <c r="AI996" s="67" t="n"/>
    </row>
    <row r="997">
      <c r="B997" s="2">
        <f>IF(STUDENTS!B996="","",STUDENTS!B996)</f>
        <v/>
      </c>
      <c r="C997" s="44">
        <f>IFERROR(IF(B997="","",_xlfn.XLOOKUP(B997,STUDENTS!$B$3:$B$1048576,STUDENTS!$C$3:$C$1048576)),"Enter a registered reg. no")</f>
        <v/>
      </c>
      <c r="D997" s="54" t="n"/>
      <c r="E997" s="55" t="n"/>
      <c r="F997" s="48" t="n"/>
      <c r="G997" s="58" t="n"/>
      <c r="H997" s="62" t="n"/>
      <c r="I997" s="63" t="n"/>
      <c r="J997" s="48" t="n"/>
      <c r="K997" s="58" t="n"/>
      <c r="L997" s="42" t="n"/>
      <c r="M997" s="42" t="n"/>
      <c r="N997" s="48" t="n"/>
      <c r="O997" s="58" t="n"/>
      <c r="P997" s="42" t="n"/>
      <c r="Q997" s="42" t="n"/>
      <c r="R997" s="48" t="n"/>
      <c r="S997" s="58" t="n"/>
      <c r="T997" s="42" t="n"/>
      <c r="U997" s="42" t="n"/>
      <c r="V997" s="48" t="n"/>
      <c r="W997" s="58" t="n"/>
      <c r="X997" s="42" t="n"/>
      <c r="Y997" s="42" t="n"/>
      <c r="Z997" s="48" t="n"/>
      <c r="AA997" s="58" t="n"/>
      <c r="AB997" s="42" t="n"/>
      <c r="AC997" s="42" t="n"/>
      <c r="AD997" s="48" t="n"/>
      <c r="AE997" s="58" t="n"/>
      <c r="AF997" s="42" t="n"/>
      <c r="AG997" s="42" t="n"/>
      <c r="AH997" s="48" t="n"/>
      <c r="AI997" s="58" t="n"/>
    </row>
    <row r="998">
      <c r="B998" s="2">
        <f>IF(STUDENTS!B997="","",STUDENTS!B997)</f>
        <v/>
      </c>
      <c r="C998" s="44">
        <f>IFERROR(IF(B998="","",_xlfn.XLOOKUP(B998,STUDENTS!$B$3:$B$1048576,STUDENTS!$C$3:$C$1048576)),"Enter a registered reg. no")</f>
        <v/>
      </c>
      <c r="F998" s="66" t="n"/>
      <c r="G998" s="67" t="n"/>
      <c r="J998" s="66" t="n"/>
      <c r="K998" s="67" t="n"/>
      <c r="N998" s="66" t="n"/>
      <c r="O998" s="67" t="n"/>
      <c r="R998" s="66" t="n"/>
      <c r="S998" s="67" t="n"/>
      <c r="V998" s="66" t="n"/>
      <c r="W998" s="67" t="n"/>
      <c r="Z998" s="66" t="n"/>
      <c r="AA998" s="67" t="n"/>
      <c r="AD998" s="66" t="n"/>
      <c r="AE998" s="67" t="n"/>
      <c r="AH998" s="66" t="n"/>
      <c r="AI998" s="67" t="n"/>
    </row>
    <row r="999">
      <c r="B999" s="2">
        <f>IF(STUDENTS!B998="","",STUDENTS!B998)</f>
        <v/>
      </c>
      <c r="C999" s="44">
        <f>IFERROR(IF(B999="","",_xlfn.XLOOKUP(B999,STUDENTS!$B$3:$B$1048576,STUDENTS!$C$3:$C$1048576)),"Enter a registered reg. no")</f>
        <v/>
      </c>
      <c r="D999" s="54" t="n"/>
      <c r="E999" s="55" t="n"/>
      <c r="F999" s="48" t="n"/>
      <c r="G999" s="58" t="n"/>
      <c r="H999" s="62" t="n"/>
      <c r="I999" s="63" t="n"/>
      <c r="J999" s="48" t="n"/>
      <c r="K999" s="58" t="n"/>
      <c r="L999" s="42" t="n"/>
      <c r="M999" s="42" t="n"/>
      <c r="N999" s="48" t="n"/>
      <c r="O999" s="58" t="n"/>
      <c r="P999" s="42" t="n"/>
      <c r="Q999" s="42" t="n"/>
      <c r="R999" s="48" t="n"/>
      <c r="S999" s="58" t="n"/>
      <c r="T999" s="42" t="n"/>
      <c r="U999" s="42" t="n"/>
      <c r="V999" s="48" t="n"/>
      <c r="W999" s="58" t="n"/>
      <c r="X999" s="42" t="n"/>
      <c r="Y999" s="42" t="n"/>
      <c r="Z999" s="48" t="n"/>
      <c r="AA999" s="58" t="n"/>
      <c r="AB999" s="42" t="n"/>
      <c r="AC999" s="42" t="n"/>
      <c r="AD999" s="48" t="n"/>
      <c r="AE999" s="58" t="n"/>
      <c r="AF999" s="42" t="n"/>
      <c r="AG999" s="42" t="n"/>
      <c r="AH999" s="48" t="n"/>
      <c r="AI999" s="58" t="n"/>
    </row>
    <row r="1000">
      <c r="B1000" s="2">
        <f>IF(STUDENTS!B999="","",STUDENTS!B999)</f>
        <v/>
      </c>
      <c r="C1000" s="44">
        <f>IFERROR(IF(B1000="","",_xlfn.XLOOKUP(B1000,STUDENTS!$B$3:$B$1048576,STUDENTS!$C$3:$C$1048576)),"Enter a registered reg. no")</f>
        <v/>
      </c>
      <c r="F1000" s="66" t="n"/>
      <c r="G1000" s="67" t="n"/>
      <c r="J1000" s="66" t="n"/>
      <c r="K1000" s="67" t="n"/>
      <c r="N1000" s="66" t="n"/>
      <c r="O1000" s="67" t="n"/>
      <c r="R1000" s="66" t="n"/>
      <c r="S1000" s="67" t="n"/>
      <c r="V1000" s="66" t="n"/>
      <c r="W1000" s="67" t="n"/>
      <c r="Z1000" s="66" t="n"/>
      <c r="AA1000" s="67" t="n"/>
      <c r="AD1000" s="66" t="n"/>
      <c r="AE1000" s="67" t="n"/>
      <c r="AH1000" s="66" t="n"/>
      <c r="AI1000" s="67" t="n"/>
    </row>
    <row r="1001">
      <c r="B1001" s="2">
        <f>IF(STUDENTS!B1000="","",STUDENTS!B1000)</f>
        <v/>
      </c>
      <c r="C1001" s="44">
        <f>IFERROR(IF(B1001="","",_xlfn.XLOOKUP(B1001,STUDENTS!$B$3:$B$1048576,STUDENTS!$C$3:$C$1048576)),"Enter a registered reg. no")</f>
        <v/>
      </c>
      <c r="D1001" s="54" t="n"/>
      <c r="E1001" s="55" t="n"/>
      <c r="F1001" s="48" t="n"/>
      <c r="G1001" s="58" t="n"/>
      <c r="H1001" s="62" t="n"/>
      <c r="I1001" s="63" t="n"/>
      <c r="J1001" s="48" t="n"/>
      <c r="K1001" s="58" t="n"/>
      <c r="L1001" s="42" t="n"/>
      <c r="M1001" s="42" t="n"/>
      <c r="N1001" s="48" t="n"/>
      <c r="O1001" s="58" t="n"/>
      <c r="P1001" s="42" t="n"/>
      <c r="Q1001" s="42" t="n"/>
      <c r="R1001" s="48" t="n"/>
      <c r="S1001" s="58" t="n"/>
      <c r="T1001" s="42" t="n"/>
      <c r="U1001" s="42" t="n"/>
      <c r="V1001" s="48" t="n"/>
      <c r="W1001" s="58" t="n"/>
      <c r="X1001" s="42" t="n"/>
      <c r="Y1001" s="42" t="n"/>
      <c r="Z1001" s="48" t="n"/>
      <c r="AA1001" s="58" t="n"/>
      <c r="AB1001" s="42" t="n"/>
      <c r="AC1001" s="42" t="n"/>
      <c r="AD1001" s="48" t="n"/>
      <c r="AE1001" s="58" t="n"/>
      <c r="AF1001" s="42" t="n"/>
      <c r="AG1001" s="42" t="n"/>
      <c r="AH1001" s="48" t="n"/>
      <c r="AI1001" s="58" t="n"/>
    </row>
    <row r="1002">
      <c r="B1002" s="2">
        <f>IF(STUDENTS!B1001="","",STUDENTS!B1001)</f>
        <v/>
      </c>
      <c r="C1002" s="44">
        <f>IFERROR(IF(B1002="","",_xlfn.XLOOKUP(B1002,STUDENTS!$B$3:$B$1048576,STUDENTS!$C$3:$C$1048576)),"Enter a registered reg. no")</f>
        <v/>
      </c>
      <c r="F1002" s="66" t="n"/>
      <c r="G1002" s="67" t="n"/>
      <c r="J1002" s="66" t="n"/>
      <c r="K1002" s="67" t="n"/>
      <c r="N1002" s="66" t="n"/>
      <c r="O1002" s="67" t="n"/>
      <c r="R1002" s="66" t="n"/>
      <c r="S1002" s="67" t="n"/>
      <c r="V1002" s="66" t="n"/>
      <c r="W1002" s="67" t="n"/>
      <c r="Z1002" s="66" t="n"/>
      <c r="AA1002" s="67" t="n"/>
      <c r="AD1002" s="66" t="n"/>
      <c r="AE1002" s="67" t="n"/>
      <c r="AH1002" s="66" t="n"/>
      <c r="AI1002" s="67" t="n"/>
    </row>
    <row r="1003">
      <c r="B1003" s="2">
        <f>IF(STUDENTS!B1002="","",STUDENTS!B1002)</f>
        <v/>
      </c>
      <c r="C1003" s="44">
        <f>IFERROR(IF(B1003="","",_xlfn.XLOOKUP(B1003,STUDENTS!$B$3:$B$1048576,STUDENTS!$C$3:$C$1048576)),"Enter a registered reg. no")</f>
        <v/>
      </c>
      <c r="D1003" s="54" t="n"/>
      <c r="E1003" s="55" t="n"/>
      <c r="F1003" s="48" t="n"/>
      <c r="G1003" s="58" t="n"/>
      <c r="H1003" s="62" t="n"/>
      <c r="I1003" s="63" t="n"/>
      <c r="J1003" s="48" t="n"/>
      <c r="K1003" s="58" t="n"/>
      <c r="L1003" s="42" t="n"/>
      <c r="M1003" s="42" t="n"/>
      <c r="N1003" s="48" t="n"/>
      <c r="O1003" s="58" t="n"/>
      <c r="P1003" s="42" t="n"/>
      <c r="Q1003" s="42" t="n"/>
      <c r="R1003" s="48" t="n"/>
      <c r="S1003" s="58" t="n"/>
      <c r="T1003" s="42" t="n"/>
      <c r="U1003" s="42" t="n"/>
      <c r="V1003" s="48" t="n"/>
      <c r="W1003" s="58" t="n"/>
      <c r="X1003" s="42" t="n"/>
      <c r="Y1003" s="42" t="n"/>
      <c r="Z1003" s="48" t="n"/>
      <c r="AA1003" s="58" t="n"/>
      <c r="AB1003" s="42" t="n"/>
      <c r="AC1003" s="42" t="n"/>
      <c r="AD1003" s="48" t="n"/>
      <c r="AE1003" s="58" t="n"/>
      <c r="AF1003" s="42" t="n"/>
      <c r="AG1003" s="42" t="n"/>
      <c r="AH1003" s="48" t="n"/>
      <c r="AI1003" s="58" t="n"/>
    </row>
    <row r="1004">
      <c r="B1004" s="2">
        <f>IF(STUDENTS!B1003="","",STUDENTS!B1003)</f>
        <v/>
      </c>
      <c r="C1004" s="44">
        <f>IFERROR(IF(B1004="","",_xlfn.XLOOKUP(B1004,STUDENTS!$B$3:$B$1048576,STUDENTS!$C$3:$C$1048576)),"Enter a registered reg. no")</f>
        <v/>
      </c>
      <c r="F1004" s="66" t="n"/>
      <c r="G1004" s="67" t="n"/>
      <c r="J1004" s="66" t="n"/>
      <c r="K1004" s="67" t="n"/>
      <c r="N1004" s="66" t="n"/>
      <c r="O1004" s="67" t="n"/>
      <c r="R1004" s="66" t="n"/>
      <c r="S1004" s="67" t="n"/>
      <c r="V1004" s="66" t="n"/>
      <c r="W1004" s="67" t="n"/>
      <c r="Z1004" s="66" t="n"/>
      <c r="AA1004" s="67" t="n"/>
      <c r="AD1004" s="66" t="n"/>
      <c r="AE1004" s="67" t="n"/>
      <c r="AH1004" s="66" t="n"/>
      <c r="AI1004" s="67" t="n"/>
    </row>
    <row r="1005">
      <c r="B1005" s="2">
        <f>IF(STUDENTS!B1004="","",STUDENTS!B1004)</f>
        <v/>
      </c>
      <c r="C1005" s="44">
        <f>IFERROR(IF(B1005="","",_xlfn.XLOOKUP(B1005,STUDENTS!$B$3:$B$1048576,STUDENTS!$C$3:$C$1048576)),"Enter a registered reg. no")</f>
        <v/>
      </c>
      <c r="D1005" s="54" t="n"/>
      <c r="E1005" s="55" t="n"/>
      <c r="F1005" s="48" t="n"/>
      <c r="G1005" s="58" t="n"/>
      <c r="H1005" s="62" t="n"/>
      <c r="I1005" s="63" t="n"/>
      <c r="J1005" s="48" t="n"/>
      <c r="K1005" s="58" t="n"/>
      <c r="L1005" s="42" t="n"/>
      <c r="M1005" s="42" t="n"/>
      <c r="N1005" s="48" t="n"/>
      <c r="O1005" s="58" t="n"/>
      <c r="P1005" s="42" t="n"/>
      <c r="Q1005" s="42" t="n"/>
      <c r="R1005" s="48" t="n"/>
      <c r="S1005" s="58" t="n"/>
      <c r="T1005" s="42" t="n"/>
      <c r="U1005" s="42" t="n"/>
      <c r="V1005" s="48" t="n"/>
      <c r="W1005" s="58" t="n"/>
      <c r="X1005" s="42" t="n"/>
      <c r="Y1005" s="42" t="n"/>
      <c r="Z1005" s="48" t="n"/>
      <c r="AA1005" s="58" t="n"/>
      <c r="AB1005" s="42" t="n"/>
      <c r="AC1005" s="42" t="n"/>
      <c r="AD1005" s="48" t="n"/>
      <c r="AE1005" s="58" t="n"/>
      <c r="AF1005" s="42" t="n"/>
      <c r="AG1005" s="42" t="n"/>
      <c r="AH1005" s="48" t="n"/>
      <c r="AI1005" s="58" t="n"/>
    </row>
    <row r="1006">
      <c r="B1006" s="2">
        <f>IF(STUDENTS!B1005="","",STUDENTS!B1005)</f>
        <v/>
      </c>
      <c r="C1006" s="44">
        <f>IFERROR(IF(B1006="","",_xlfn.XLOOKUP(B1006,STUDENTS!$B$3:$B$1048576,STUDENTS!$C$3:$C$1048576)),"Enter a registered reg. no")</f>
        <v/>
      </c>
      <c r="F1006" s="66" t="n"/>
      <c r="G1006" s="67" t="n"/>
      <c r="J1006" s="66" t="n"/>
      <c r="K1006" s="67" t="n"/>
      <c r="N1006" s="66" t="n"/>
      <c r="O1006" s="67" t="n"/>
      <c r="R1006" s="66" t="n"/>
      <c r="S1006" s="67" t="n"/>
      <c r="V1006" s="66" t="n"/>
      <c r="W1006" s="67" t="n"/>
      <c r="Z1006" s="66" t="n"/>
      <c r="AA1006" s="67" t="n"/>
      <c r="AD1006" s="66" t="n"/>
      <c r="AE1006" s="67" t="n"/>
      <c r="AH1006" s="66" t="n"/>
      <c r="AI1006" s="67" t="n"/>
    </row>
    <row r="1007">
      <c r="B1007" s="2">
        <f>IF(STUDENTS!B1006="","",STUDENTS!B1006)</f>
        <v/>
      </c>
      <c r="C1007" s="44">
        <f>IFERROR(IF(B1007="","",_xlfn.XLOOKUP(B1007,STUDENTS!$B$3:$B$1048576,STUDENTS!$C$3:$C$1048576)),"Enter a registered reg. no")</f>
        <v/>
      </c>
      <c r="D1007" s="54" t="n"/>
      <c r="E1007" s="55" t="n"/>
      <c r="F1007" s="48" t="n"/>
      <c r="G1007" s="58" t="n"/>
      <c r="H1007" s="62" t="n"/>
      <c r="I1007" s="63" t="n"/>
      <c r="J1007" s="48" t="n"/>
      <c r="K1007" s="58" t="n"/>
      <c r="L1007" s="42" t="n"/>
      <c r="M1007" s="42" t="n"/>
      <c r="N1007" s="48" t="n"/>
      <c r="O1007" s="58" t="n"/>
      <c r="P1007" s="42" t="n"/>
      <c r="Q1007" s="42" t="n"/>
      <c r="R1007" s="48" t="n"/>
      <c r="S1007" s="58" t="n"/>
      <c r="T1007" s="42" t="n"/>
      <c r="U1007" s="42" t="n"/>
      <c r="V1007" s="48" t="n"/>
      <c r="W1007" s="58" t="n"/>
      <c r="X1007" s="42" t="n"/>
      <c r="Y1007" s="42" t="n"/>
      <c r="Z1007" s="48" t="n"/>
      <c r="AA1007" s="58" t="n"/>
      <c r="AB1007" s="42" t="n"/>
      <c r="AC1007" s="42" t="n"/>
      <c r="AD1007" s="48" t="n"/>
      <c r="AE1007" s="58" t="n"/>
      <c r="AF1007" s="42" t="n"/>
      <c r="AG1007" s="42" t="n"/>
      <c r="AH1007" s="48" t="n"/>
      <c r="AI1007" s="58" t="n"/>
    </row>
    <row r="1008">
      <c r="B1008" s="2">
        <f>IF(STUDENTS!B1007="","",STUDENTS!B1007)</f>
        <v/>
      </c>
      <c r="C1008" s="44">
        <f>IFERROR(IF(B1008="","",_xlfn.XLOOKUP(B1008,STUDENTS!$B$3:$B$1048576,STUDENTS!$C$3:$C$1048576)),"Enter a registered reg. no")</f>
        <v/>
      </c>
      <c r="F1008" s="66" t="n"/>
      <c r="G1008" s="67" t="n"/>
      <c r="J1008" s="66" t="n"/>
      <c r="K1008" s="67" t="n"/>
      <c r="N1008" s="66" t="n"/>
      <c r="O1008" s="67" t="n"/>
      <c r="R1008" s="66" t="n"/>
      <c r="S1008" s="67" t="n"/>
      <c r="V1008" s="66" t="n"/>
      <c r="W1008" s="67" t="n"/>
      <c r="Z1008" s="66" t="n"/>
      <c r="AA1008" s="67" t="n"/>
      <c r="AD1008" s="66" t="n"/>
      <c r="AE1008" s="67" t="n"/>
      <c r="AH1008" s="66" t="n"/>
      <c r="AI1008" s="67" t="n"/>
    </row>
    <row r="1009">
      <c r="B1009" s="2">
        <f>IF(STUDENTS!B1008="","",STUDENTS!B1008)</f>
        <v/>
      </c>
      <c r="C1009" s="44">
        <f>IFERROR(IF(B1009="","",_xlfn.XLOOKUP(B1009,STUDENTS!$B$3:$B$1048576,STUDENTS!$C$3:$C$1048576)),"Enter a registered reg. no")</f>
        <v/>
      </c>
      <c r="D1009" s="54" t="n"/>
      <c r="E1009" s="55" t="n"/>
      <c r="F1009" s="48" t="n"/>
      <c r="G1009" s="58" t="n"/>
      <c r="H1009" s="62" t="n"/>
      <c r="I1009" s="63" t="n"/>
      <c r="J1009" s="48" t="n"/>
      <c r="K1009" s="58" t="n"/>
      <c r="L1009" s="42" t="n"/>
      <c r="M1009" s="42" t="n"/>
      <c r="N1009" s="48" t="n"/>
      <c r="O1009" s="58" t="n"/>
      <c r="P1009" s="42" t="n"/>
      <c r="Q1009" s="42" t="n"/>
      <c r="R1009" s="48" t="n"/>
      <c r="S1009" s="58" t="n"/>
      <c r="T1009" s="42" t="n"/>
      <c r="U1009" s="42" t="n"/>
      <c r="V1009" s="48" t="n"/>
      <c r="W1009" s="58" t="n"/>
      <c r="X1009" s="42" t="n"/>
      <c r="Y1009" s="42" t="n"/>
      <c r="Z1009" s="48" t="n"/>
      <c r="AA1009" s="58" t="n"/>
      <c r="AB1009" s="42" t="n"/>
      <c r="AC1009" s="42" t="n"/>
      <c r="AD1009" s="48" t="n"/>
      <c r="AE1009" s="58" t="n"/>
      <c r="AF1009" s="42" t="n"/>
      <c r="AG1009" s="42" t="n"/>
      <c r="AH1009" s="48" t="n"/>
      <c r="AI1009" s="58" t="n"/>
    </row>
    <row r="1010">
      <c r="B1010" s="2">
        <f>IF(STUDENTS!B1009="","",STUDENTS!B1009)</f>
        <v/>
      </c>
      <c r="C1010" s="44">
        <f>IFERROR(IF(B1010="","",_xlfn.XLOOKUP(B1010,STUDENTS!$B$3:$B$1048576,STUDENTS!$C$3:$C$1048576)),"Enter a registered reg. no")</f>
        <v/>
      </c>
      <c r="F1010" s="66" t="n"/>
      <c r="G1010" s="67" t="n"/>
      <c r="J1010" s="66" t="n"/>
      <c r="K1010" s="67" t="n"/>
      <c r="N1010" s="66" t="n"/>
      <c r="O1010" s="67" t="n"/>
      <c r="R1010" s="66" t="n"/>
      <c r="S1010" s="67" t="n"/>
      <c r="V1010" s="66" t="n"/>
      <c r="W1010" s="67" t="n"/>
      <c r="Z1010" s="66" t="n"/>
      <c r="AA1010" s="67" t="n"/>
      <c r="AD1010" s="66" t="n"/>
      <c r="AE1010" s="67" t="n"/>
      <c r="AH1010" s="66" t="n"/>
      <c r="AI1010" s="67" t="n"/>
    </row>
    <row r="1011">
      <c r="B1011" s="2">
        <f>IF(STUDENTS!B1010="","",STUDENTS!B1010)</f>
        <v/>
      </c>
      <c r="C1011" s="44">
        <f>IFERROR(IF(B1011="","",_xlfn.XLOOKUP(B1011,STUDENTS!$B$3:$B$1048576,STUDENTS!$C$3:$C$1048576)),"Enter a registered reg. no")</f>
        <v/>
      </c>
      <c r="D1011" s="54" t="n"/>
      <c r="E1011" s="55" t="n"/>
      <c r="F1011" s="48" t="n"/>
      <c r="G1011" s="58" t="n"/>
      <c r="H1011" s="62" t="n"/>
      <c r="I1011" s="63" t="n"/>
      <c r="J1011" s="48" t="n"/>
      <c r="K1011" s="58" t="n"/>
      <c r="L1011" s="42" t="n"/>
      <c r="M1011" s="42" t="n"/>
      <c r="N1011" s="48" t="n"/>
      <c r="O1011" s="58" t="n"/>
      <c r="P1011" s="42" t="n"/>
      <c r="Q1011" s="42" t="n"/>
      <c r="R1011" s="48" t="n"/>
      <c r="S1011" s="58" t="n"/>
      <c r="T1011" s="42" t="n"/>
      <c r="U1011" s="42" t="n"/>
      <c r="V1011" s="48" t="n"/>
      <c r="W1011" s="58" t="n"/>
      <c r="X1011" s="42" t="n"/>
      <c r="Y1011" s="42" t="n"/>
      <c r="Z1011" s="48" t="n"/>
      <c r="AA1011" s="58" t="n"/>
      <c r="AB1011" s="42" t="n"/>
      <c r="AC1011" s="42" t="n"/>
      <c r="AD1011" s="48" t="n"/>
      <c r="AE1011" s="58" t="n"/>
      <c r="AF1011" s="42" t="n"/>
      <c r="AG1011" s="42" t="n"/>
      <c r="AH1011" s="48" t="n"/>
      <c r="AI1011" s="58" t="n"/>
    </row>
    <row r="1012">
      <c r="B1012" s="2">
        <f>IF(STUDENTS!B1011="","",STUDENTS!B1011)</f>
        <v/>
      </c>
      <c r="C1012" s="44">
        <f>IFERROR(IF(B1012="","",_xlfn.XLOOKUP(B1012,STUDENTS!$B$3:$B$1048576,STUDENTS!$C$3:$C$1048576)),"Enter a registered reg. no")</f>
        <v/>
      </c>
      <c r="F1012" s="66" t="n"/>
      <c r="G1012" s="67" t="n"/>
      <c r="J1012" s="66" t="n"/>
      <c r="K1012" s="67" t="n"/>
      <c r="N1012" s="66" t="n"/>
      <c r="O1012" s="67" t="n"/>
      <c r="R1012" s="66" t="n"/>
      <c r="S1012" s="67" t="n"/>
      <c r="V1012" s="66" t="n"/>
      <c r="W1012" s="67" t="n"/>
      <c r="Z1012" s="66" t="n"/>
      <c r="AA1012" s="67" t="n"/>
      <c r="AD1012" s="66" t="n"/>
      <c r="AE1012" s="67" t="n"/>
      <c r="AH1012" s="66" t="n"/>
      <c r="AI1012" s="67" t="n"/>
    </row>
    <row r="1013">
      <c r="B1013" s="2">
        <f>IF(STUDENTS!B1012="","",STUDENTS!B1012)</f>
        <v/>
      </c>
      <c r="C1013" s="44">
        <f>IFERROR(IF(B1013="","",_xlfn.XLOOKUP(B1013,STUDENTS!$B$3:$B$1048576,STUDENTS!$C$3:$C$1048576)),"Enter a registered reg. no")</f>
        <v/>
      </c>
      <c r="D1013" s="54" t="n"/>
      <c r="E1013" s="55" t="n"/>
      <c r="F1013" s="48" t="n"/>
      <c r="G1013" s="58" t="n"/>
      <c r="H1013" s="62" t="n"/>
      <c r="I1013" s="63" t="n"/>
      <c r="J1013" s="48" t="n"/>
      <c r="K1013" s="58" t="n"/>
      <c r="L1013" s="42" t="n"/>
      <c r="M1013" s="42" t="n"/>
      <c r="N1013" s="48" t="n"/>
      <c r="O1013" s="58" t="n"/>
      <c r="P1013" s="42" t="n"/>
      <c r="Q1013" s="42" t="n"/>
      <c r="R1013" s="48" t="n"/>
      <c r="S1013" s="58" t="n"/>
      <c r="T1013" s="42" t="n"/>
      <c r="U1013" s="42" t="n"/>
      <c r="V1013" s="48" t="n"/>
      <c r="W1013" s="58" t="n"/>
      <c r="X1013" s="42" t="n"/>
      <c r="Y1013" s="42" t="n"/>
      <c r="Z1013" s="48" t="n"/>
      <c r="AA1013" s="58" t="n"/>
      <c r="AB1013" s="42" t="n"/>
      <c r="AC1013" s="42" t="n"/>
      <c r="AD1013" s="48" t="n"/>
      <c r="AE1013" s="58" t="n"/>
      <c r="AF1013" s="42" t="n"/>
      <c r="AG1013" s="42" t="n"/>
      <c r="AH1013" s="48" t="n"/>
      <c r="AI1013" s="58" t="n"/>
    </row>
    <row r="1014">
      <c r="B1014" s="2">
        <f>IF(STUDENTS!B1013="","",STUDENTS!B1013)</f>
        <v/>
      </c>
      <c r="C1014" s="44">
        <f>IFERROR(IF(B1014="","",_xlfn.XLOOKUP(B1014,STUDENTS!$B$3:$B$1048576,STUDENTS!$C$3:$C$1048576)),"Enter a registered reg. no")</f>
        <v/>
      </c>
      <c r="F1014" s="66" t="n"/>
      <c r="G1014" s="67" t="n"/>
      <c r="J1014" s="66" t="n"/>
      <c r="K1014" s="67" t="n"/>
      <c r="N1014" s="66" t="n"/>
      <c r="O1014" s="67" t="n"/>
      <c r="R1014" s="66" t="n"/>
      <c r="S1014" s="67" t="n"/>
      <c r="V1014" s="66" t="n"/>
      <c r="W1014" s="67" t="n"/>
      <c r="Z1014" s="66" t="n"/>
      <c r="AA1014" s="67" t="n"/>
      <c r="AD1014" s="66" t="n"/>
      <c r="AE1014" s="67" t="n"/>
      <c r="AH1014" s="66" t="n"/>
      <c r="AI1014" s="67" t="n"/>
    </row>
    <row r="1015">
      <c r="B1015" s="2">
        <f>IF(STUDENTS!B1014="","",STUDENTS!B1014)</f>
        <v/>
      </c>
      <c r="C1015" s="44">
        <f>IFERROR(IF(B1015="","",_xlfn.XLOOKUP(B1015,STUDENTS!$B$3:$B$1048576,STUDENTS!$C$3:$C$1048576)),"Enter a registered reg. no")</f>
        <v/>
      </c>
      <c r="D1015" s="54" t="n"/>
      <c r="E1015" s="55" t="n"/>
      <c r="F1015" s="48" t="n"/>
      <c r="G1015" s="58" t="n"/>
      <c r="H1015" s="62" t="n"/>
      <c r="I1015" s="63" t="n"/>
      <c r="J1015" s="48" t="n"/>
      <c r="K1015" s="58" t="n"/>
      <c r="L1015" s="42" t="n"/>
      <c r="M1015" s="42" t="n"/>
      <c r="N1015" s="48" t="n"/>
      <c r="O1015" s="58" t="n"/>
      <c r="P1015" s="42" t="n"/>
      <c r="Q1015" s="42" t="n"/>
      <c r="R1015" s="48" t="n"/>
      <c r="S1015" s="58" t="n"/>
      <c r="T1015" s="42" t="n"/>
      <c r="U1015" s="42" t="n"/>
      <c r="V1015" s="48" t="n"/>
      <c r="W1015" s="58" t="n"/>
      <c r="X1015" s="42" t="n"/>
      <c r="Y1015" s="42" t="n"/>
      <c r="Z1015" s="48" t="n"/>
      <c r="AA1015" s="58" t="n"/>
      <c r="AB1015" s="42" t="n"/>
      <c r="AC1015" s="42" t="n"/>
      <c r="AD1015" s="48" t="n"/>
      <c r="AE1015" s="58" t="n"/>
      <c r="AF1015" s="42" t="n"/>
      <c r="AG1015" s="42" t="n"/>
      <c r="AH1015" s="48" t="n"/>
      <c r="AI1015" s="58" t="n"/>
    </row>
    <row r="1016">
      <c r="B1016" s="2">
        <f>IF(STUDENTS!B1015="","",STUDENTS!B1015)</f>
        <v/>
      </c>
      <c r="C1016" s="44">
        <f>IFERROR(IF(B1016="","",_xlfn.XLOOKUP(B1016,STUDENTS!$B$3:$B$1048576,STUDENTS!$C$3:$C$1048576)),"Enter a registered reg. no")</f>
        <v/>
      </c>
      <c r="F1016" s="66" t="n"/>
      <c r="G1016" s="67" t="n"/>
      <c r="J1016" s="66" t="n"/>
      <c r="K1016" s="67" t="n"/>
      <c r="N1016" s="66" t="n"/>
      <c r="O1016" s="67" t="n"/>
      <c r="R1016" s="66" t="n"/>
      <c r="S1016" s="67" t="n"/>
      <c r="V1016" s="66" t="n"/>
      <c r="W1016" s="67" t="n"/>
      <c r="Z1016" s="66" t="n"/>
      <c r="AA1016" s="67" t="n"/>
      <c r="AD1016" s="66" t="n"/>
      <c r="AE1016" s="67" t="n"/>
      <c r="AH1016" s="66" t="n"/>
      <c r="AI1016" s="67" t="n"/>
    </row>
    <row r="1017">
      <c r="B1017" s="2">
        <f>IF(STUDENTS!B1016="","",STUDENTS!B1016)</f>
        <v/>
      </c>
      <c r="C1017" s="44">
        <f>IFERROR(IF(B1017="","",_xlfn.XLOOKUP(B1017,STUDENTS!$B$3:$B$1048576,STUDENTS!$C$3:$C$1048576)),"Enter a registered reg. no")</f>
        <v/>
      </c>
      <c r="D1017" s="54" t="n"/>
      <c r="E1017" s="55" t="n"/>
      <c r="F1017" s="48" t="n"/>
      <c r="G1017" s="58" t="n"/>
      <c r="H1017" s="62" t="n"/>
      <c r="I1017" s="63" t="n"/>
      <c r="J1017" s="48" t="n"/>
      <c r="K1017" s="58" t="n"/>
      <c r="L1017" s="42" t="n"/>
      <c r="M1017" s="42" t="n"/>
      <c r="N1017" s="48" t="n"/>
      <c r="O1017" s="58" t="n"/>
      <c r="P1017" s="42" t="n"/>
      <c r="Q1017" s="42" t="n"/>
      <c r="R1017" s="48" t="n"/>
      <c r="S1017" s="58" t="n"/>
      <c r="T1017" s="42" t="n"/>
      <c r="U1017" s="42" t="n"/>
      <c r="V1017" s="48" t="n"/>
      <c r="W1017" s="58" t="n"/>
      <c r="X1017" s="42" t="n"/>
      <c r="Y1017" s="42" t="n"/>
      <c r="Z1017" s="48" t="n"/>
      <c r="AA1017" s="58" t="n"/>
      <c r="AB1017" s="42" t="n"/>
      <c r="AC1017" s="42" t="n"/>
      <c r="AD1017" s="48" t="n"/>
      <c r="AE1017" s="58" t="n"/>
      <c r="AF1017" s="42" t="n"/>
      <c r="AG1017" s="42" t="n"/>
      <c r="AH1017" s="48" t="n"/>
      <c r="AI1017" s="58" t="n"/>
    </row>
    <row r="1018">
      <c r="B1018" s="2">
        <f>IF(STUDENTS!B1017="","",STUDENTS!B1017)</f>
        <v/>
      </c>
      <c r="C1018" s="44">
        <f>IFERROR(IF(B1018="","",_xlfn.XLOOKUP(B1018,STUDENTS!$B$3:$B$1048576,STUDENTS!$C$3:$C$1048576)),"Enter a registered reg. no")</f>
        <v/>
      </c>
      <c r="F1018" s="66" t="n"/>
      <c r="G1018" s="67" t="n"/>
      <c r="J1018" s="66" t="n"/>
      <c r="K1018" s="67" t="n"/>
      <c r="N1018" s="66" t="n"/>
      <c r="O1018" s="67" t="n"/>
      <c r="R1018" s="66" t="n"/>
      <c r="S1018" s="67" t="n"/>
      <c r="V1018" s="66" t="n"/>
      <c r="W1018" s="67" t="n"/>
      <c r="Z1018" s="66" t="n"/>
      <c r="AA1018" s="67" t="n"/>
      <c r="AD1018" s="66" t="n"/>
      <c r="AE1018" s="67" t="n"/>
      <c r="AH1018" s="66" t="n"/>
      <c r="AI1018" s="67" t="n"/>
    </row>
    <row r="1019">
      <c r="B1019" s="2">
        <f>IF(STUDENTS!B1018="","",STUDENTS!B1018)</f>
        <v/>
      </c>
      <c r="C1019" s="44">
        <f>IFERROR(IF(B1019="","",_xlfn.XLOOKUP(B1019,STUDENTS!$B$3:$B$1048576,STUDENTS!$C$3:$C$1048576)),"Enter a registered reg. no")</f>
        <v/>
      </c>
      <c r="D1019" s="54" t="n"/>
      <c r="E1019" s="55" t="n"/>
      <c r="F1019" s="48" t="n"/>
      <c r="G1019" s="58" t="n"/>
      <c r="H1019" s="62" t="n"/>
      <c r="I1019" s="63" t="n"/>
      <c r="J1019" s="48" t="n"/>
      <c r="K1019" s="58" t="n"/>
      <c r="L1019" s="42" t="n"/>
      <c r="M1019" s="42" t="n"/>
      <c r="N1019" s="48" t="n"/>
      <c r="O1019" s="58" t="n"/>
      <c r="P1019" s="42" t="n"/>
      <c r="Q1019" s="42" t="n"/>
      <c r="R1019" s="48" t="n"/>
      <c r="S1019" s="58" t="n"/>
      <c r="T1019" s="42" t="n"/>
      <c r="U1019" s="42" t="n"/>
      <c r="V1019" s="48" t="n"/>
      <c r="W1019" s="58" t="n"/>
      <c r="X1019" s="42" t="n"/>
      <c r="Y1019" s="42" t="n"/>
      <c r="Z1019" s="48" t="n"/>
      <c r="AA1019" s="58" t="n"/>
      <c r="AB1019" s="42" t="n"/>
      <c r="AC1019" s="42" t="n"/>
      <c r="AD1019" s="48" t="n"/>
      <c r="AE1019" s="58" t="n"/>
      <c r="AF1019" s="42" t="n"/>
      <c r="AG1019" s="42" t="n"/>
      <c r="AH1019" s="48" t="n"/>
      <c r="AI1019" s="58" t="n"/>
    </row>
    <row r="1020">
      <c r="B1020" s="2">
        <f>IF(STUDENTS!B1019="","",STUDENTS!B1019)</f>
        <v/>
      </c>
      <c r="C1020" s="44">
        <f>IFERROR(IF(B1020="","",_xlfn.XLOOKUP(B1020,STUDENTS!$B$3:$B$1048576,STUDENTS!$C$3:$C$1048576)),"Enter a registered reg. no")</f>
        <v/>
      </c>
      <c r="F1020" s="66" t="n"/>
      <c r="G1020" s="67" t="n"/>
      <c r="J1020" s="66" t="n"/>
      <c r="K1020" s="67" t="n"/>
      <c r="N1020" s="66" t="n"/>
      <c r="O1020" s="67" t="n"/>
      <c r="R1020" s="66" t="n"/>
      <c r="S1020" s="67" t="n"/>
      <c r="V1020" s="66" t="n"/>
      <c r="W1020" s="67" t="n"/>
      <c r="Z1020" s="66" t="n"/>
      <c r="AA1020" s="67" t="n"/>
      <c r="AD1020" s="66" t="n"/>
      <c r="AE1020" s="67" t="n"/>
      <c r="AH1020" s="66" t="n"/>
      <c r="AI1020" s="67" t="n"/>
    </row>
    <row r="1021">
      <c r="B1021" s="2">
        <f>IF(STUDENTS!B1020="","",STUDENTS!B1020)</f>
        <v/>
      </c>
      <c r="C1021" s="44">
        <f>IFERROR(IF(B1021="","",_xlfn.XLOOKUP(B1021,STUDENTS!$B$3:$B$1048576,STUDENTS!$C$3:$C$1048576)),"Enter a registered reg. no")</f>
        <v/>
      </c>
      <c r="D1021" s="54" t="n"/>
      <c r="E1021" s="55" t="n"/>
      <c r="F1021" s="48" t="n"/>
      <c r="G1021" s="58" t="n"/>
      <c r="H1021" s="62" t="n"/>
      <c r="I1021" s="63" t="n"/>
      <c r="J1021" s="48" t="n"/>
      <c r="K1021" s="58" t="n"/>
      <c r="L1021" s="42" t="n"/>
      <c r="M1021" s="42" t="n"/>
      <c r="N1021" s="48" t="n"/>
      <c r="O1021" s="58" t="n"/>
      <c r="P1021" s="42" t="n"/>
      <c r="Q1021" s="42" t="n"/>
      <c r="R1021" s="48" t="n"/>
      <c r="S1021" s="58" t="n"/>
      <c r="T1021" s="42" t="n"/>
      <c r="U1021" s="42" t="n"/>
      <c r="V1021" s="48" t="n"/>
      <c r="W1021" s="58" t="n"/>
      <c r="X1021" s="42" t="n"/>
      <c r="Y1021" s="42" t="n"/>
      <c r="Z1021" s="48" t="n"/>
      <c r="AA1021" s="58" t="n"/>
      <c r="AB1021" s="42" t="n"/>
      <c r="AC1021" s="42" t="n"/>
      <c r="AD1021" s="48" t="n"/>
      <c r="AE1021" s="58" t="n"/>
      <c r="AF1021" s="42" t="n"/>
      <c r="AG1021" s="42" t="n"/>
      <c r="AH1021" s="48" t="n"/>
      <c r="AI1021" s="58" t="n"/>
    </row>
    <row r="1022">
      <c r="B1022" s="2">
        <f>IF(STUDENTS!B1021="","",STUDENTS!B1021)</f>
        <v/>
      </c>
      <c r="C1022" s="44">
        <f>IFERROR(IF(B1022="","",_xlfn.XLOOKUP(B1022,STUDENTS!$B$3:$B$1048576,STUDENTS!$C$3:$C$1048576)),"Enter a registered reg. no")</f>
        <v/>
      </c>
      <c r="F1022" s="66" t="n"/>
      <c r="G1022" s="67" t="n"/>
      <c r="J1022" s="66" t="n"/>
      <c r="K1022" s="67" t="n"/>
      <c r="N1022" s="66" t="n"/>
      <c r="O1022" s="67" t="n"/>
      <c r="R1022" s="66" t="n"/>
      <c r="S1022" s="67" t="n"/>
      <c r="V1022" s="66" t="n"/>
      <c r="W1022" s="67" t="n"/>
      <c r="Z1022" s="66" t="n"/>
      <c r="AA1022" s="67" t="n"/>
      <c r="AD1022" s="66" t="n"/>
      <c r="AE1022" s="67" t="n"/>
      <c r="AH1022" s="66" t="n"/>
      <c r="AI1022" s="67" t="n"/>
    </row>
    <row r="1023">
      <c r="B1023" s="2">
        <f>IF(STUDENTS!B1022="","",STUDENTS!B1022)</f>
        <v/>
      </c>
      <c r="C1023" s="44">
        <f>IFERROR(IF(B1023="","",_xlfn.XLOOKUP(B1023,STUDENTS!$B$3:$B$1048576,STUDENTS!$C$3:$C$1048576)),"Enter a registered reg. no")</f>
        <v/>
      </c>
      <c r="D1023" s="54" t="n"/>
      <c r="E1023" s="55" t="n"/>
      <c r="F1023" s="48" t="n"/>
      <c r="G1023" s="58" t="n"/>
      <c r="H1023" s="62" t="n"/>
      <c r="I1023" s="63" t="n"/>
      <c r="J1023" s="48" t="n"/>
      <c r="K1023" s="58" t="n"/>
      <c r="L1023" s="42" t="n"/>
      <c r="M1023" s="42" t="n"/>
      <c r="N1023" s="48" t="n"/>
      <c r="O1023" s="58" t="n"/>
      <c r="P1023" s="42" t="n"/>
      <c r="Q1023" s="42" t="n"/>
      <c r="R1023" s="48" t="n"/>
      <c r="S1023" s="58" t="n"/>
      <c r="T1023" s="42" t="n"/>
      <c r="U1023" s="42" t="n"/>
      <c r="V1023" s="48" t="n"/>
      <c r="W1023" s="58" t="n"/>
      <c r="X1023" s="42" t="n"/>
      <c r="Y1023" s="42" t="n"/>
      <c r="Z1023" s="48" t="n"/>
      <c r="AA1023" s="58" t="n"/>
      <c r="AB1023" s="42" t="n"/>
      <c r="AC1023" s="42" t="n"/>
      <c r="AD1023" s="48" t="n"/>
      <c r="AE1023" s="58" t="n"/>
      <c r="AF1023" s="42" t="n"/>
      <c r="AG1023" s="42" t="n"/>
      <c r="AH1023" s="48" t="n"/>
      <c r="AI1023" s="58" t="n"/>
    </row>
    <row r="1024">
      <c r="B1024" s="2">
        <f>IF(STUDENTS!B1023="","",STUDENTS!B1023)</f>
        <v/>
      </c>
      <c r="C1024" s="44">
        <f>IFERROR(IF(B1024="","",_xlfn.XLOOKUP(B1024,STUDENTS!$B$3:$B$1048576,STUDENTS!$C$3:$C$1048576)),"Enter a registered reg. no")</f>
        <v/>
      </c>
      <c r="F1024" s="66" t="n"/>
      <c r="G1024" s="67" t="n"/>
      <c r="J1024" s="66" t="n"/>
      <c r="K1024" s="67" t="n"/>
      <c r="N1024" s="66" t="n"/>
      <c r="O1024" s="67" t="n"/>
      <c r="R1024" s="66" t="n"/>
      <c r="S1024" s="67" t="n"/>
      <c r="V1024" s="66" t="n"/>
      <c r="W1024" s="67" t="n"/>
      <c r="Z1024" s="66" t="n"/>
      <c r="AA1024" s="67" t="n"/>
      <c r="AD1024" s="66" t="n"/>
      <c r="AE1024" s="67" t="n"/>
      <c r="AH1024" s="66" t="n"/>
      <c r="AI1024" s="67" t="n"/>
    </row>
    <row r="1025">
      <c r="B1025" s="2">
        <f>IF(STUDENTS!B1024="","",STUDENTS!B1024)</f>
        <v/>
      </c>
      <c r="C1025" s="44">
        <f>IFERROR(IF(B1025="","",_xlfn.XLOOKUP(B1025,STUDENTS!$B$3:$B$1048576,STUDENTS!$C$3:$C$1048576)),"Enter a registered reg. no")</f>
        <v/>
      </c>
      <c r="D1025" s="54" t="n"/>
      <c r="E1025" s="55" t="n"/>
      <c r="F1025" s="48" t="n"/>
      <c r="G1025" s="58" t="n"/>
      <c r="H1025" s="62" t="n"/>
      <c r="I1025" s="63" t="n"/>
      <c r="J1025" s="48" t="n"/>
      <c r="K1025" s="58" t="n"/>
      <c r="L1025" s="42" t="n"/>
      <c r="M1025" s="42" t="n"/>
      <c r="N1025" s="48" t="n"/>
      <c r="O1025" s="58" t="n"/>
      <c r="P1025" s="42" t="n"/>
      <c r="Q1025" s="42" t="n"/>
      <c r="R1025" s="48" t="n"/>
      <c r="S1025" s="58" t="n"/>
      <c r="T1025" s="42" t="n"/>
      <c r="U1025" s="42" t="n"/>
      <c r="V1025" s="48" t="n"/>
      <c r="W1025" s="58" t="n"/>
      <c r="X1025" s="42" t="n"/>
      <c r="Y1025" s="42" t="n"/>
      <c r="Z1025" s="48" t="n"/>
      <c r="AA1025" s="58" t="n"/>
      <c r="AB1025" s="42" t="n"/>
      <c r="AC1025" s="42" t="n"/>
      <c r="AD1025" s="48" t="n"/>
      <c r="AE1025" s="58" t="n"/>
      <c r="AF1025" s="42" t="n"/>
      <c r="AG1025" s="42" t="n"/>
      <c r="AH1025" s="48" t="n"/>
      <c r="AI1025" s="58" t="n"/>
    </row>
    <row r="1026">
      <c r="B1026" s="2">
        <f>IF(STUDENTS!B1025="","",STUDENTS!B1025)</f>
        <v/>
      </c>
      <c r="C1026" s="44">
        <f>IFERROR(IF(B1026="","",_xlfn.XLOOKUP(B1026,STUDENTS!$B$3:$B$1048576,STUDENTS!$C$3:$C$1048576)),"Enter a registered reg. no")</f>
        <v/>
      </c>
      <c r="J1026" s="66" t="n"/>
      <c r="K1026" s="67" t="n"/>
      <c r="N1026" s="66" t="n"/>
      <c r="O1026" s="67" t="n"/>
      <c r="R1026" s="66" t="n"/>
      <c r="S1026" s="67" t="n"/>
      <c r="V1026" s="66" t="n"/>
      <c r="W1026" s="67" t="n"/>
      <c r="Z1026" s="66" t="n"/>
      <c r="AA1026" s="67" t="n"/>
      <c r="AD1026" s="66" t="n"/>
      <c r="AE1026" s="67" t="n"/>
      <c r="AH1026" s="66" t="n"/>
      <c r="AI1026" s="67" t="n"/>
    </row>
    <row r="1027">
      <c r="B1027" s="2">
        <f>IF(STUDENTS!B1026="","",STUDENTS!B1026)</f>
        <v/>
      </c>
      <c r="C1027" s="44">
        <f>IFERROR(IF(B1027="","",_xlfn.XLOOKUP(B1027,STUDENTS!$B$3:$B$1048576,STUDENTS!$C$3:$C$1048576)),"Enter a registered reg. no")</f>
        <v/>
      </c>
      <c r="D1027" s="54" t="n"/>
      <c r="E1027" s="55" t="n"/>
      <c r="F1027" s="48" t="n"/>
      <c r="G1027" s="58" t="n"/>
      <c r="H1027" s="62" t="n"/>
      <c r="I1027" s="63" t="n"/>
      <c r="J1027" s="48" t="n"/>
      <c r="K1027" s="58" t="n"/>
      <c r="L1027" s="42" t="n"/>
      <c r="M1027" s="42" t="n"/>
      <c r="N1027" s="48" t="n"/>
      <c r="O1027" s="58" t="n"/>
      <c r="P1027" s="42" t="n"/>
      <c r="Q1027" s="42" t="n"/>
      <c r="R1027" s="48" t="n"/>
      <c r="S1027" s="58" t="n"/>
      <c r="T1027" s="42" t="n"/>
      <c r="U1027" s="42" t="n"/>
      <c r="V1027" s="48" t="n"/>
      <c r="W1027" s="58" t="n"/>
      <c r="X1027" s="42" t="n"/>
      <c r="Y1027" s="42" t="n"/>
      <c r="Z1027" s="48" t="n"/>
      <c r="AA1027" s="58" t="n"/>
      <c r="AB1027" s="42" t="n"/>
      <c r="AC1027" s="42" t="n"/>
      <c r="AD1027" s="48" t="n"/>
      <c r="AE1027" s="58" t="n"/>
      <c r="AF1027" s="42" t="n"/>
      <c r="AG1027" s="42" t="n"/>
      <c r="AH1027" s="48" t="n"/>
      <c r="AI1027" s="58" t="n"/>
    </row>
    <row r="1028">
      <c r="B1028" s="2">
        <f>IF(STUDENTS!B1027="","",STUDENTS!B1027)</f>
        <v/>
      </c>
      <c r="C1028" s="44">
        <f>IFERROR(IF(B1028="","",_xlfn.XLOOKUP(B1028,STUDENTS!$B$3:$B$1048576,STUDENTS!$C$3:$C$1048576)),"Enter a registered reg. no")</f>
        <v/>
      </c>
      <c r="J1028" s="66" t="n"/>
      <c r="K1028" s="67" t="n"/>
      <c r="N1028" s="66" t="n"/>
      <c r="O1028" s="67" t="n"/>
      <c r="R1028" s="66" t="n"/>
      <c r="S1028" s="67" t="n"/>
      <c r="V1028" s="66" t="n"/>
      <c r="W1028" s="67" t="n"/>
      <c r="Z1028" s="66" t="n"/>
      <c r="AA1028" s="67" t="n"/>
      <c r="AD1028" s="66" t="n"/>
      <c r="AE1028" s="67" t="n"/>
      <c r="AH1028" s="66" t="n"/>
      <c r="AI1028" s="67" t="n"/>
    </row>
    <row r="1029">
      <c r="B1029" s="2">
        <f>IF(STUDENTS!B1028="","",STUDENTS!B1028)</f>
        <v/>
      </c>
      <c r="C1029" s="44">
        <f>IFERROR(IF(B1029="","",_xlfn.XLOOKUP(B1029,STUDENTS!$B$3:$B$1048576,STUDENTS!$C$3:$C$1048576)),"Enter a registered reg. no")</f>
        <v/>
      </c>
      <c r="D1029" s="54" t="n"/>
      <c r="E1029" s="55" t="n"/>
      <c r="F1029" s="48" t="n"/>
      <c r="G1029" s="58" t="n"/>
      <c r="H1029" s="62" t="n"/>
      <c r="I1029" s="63" t="n"/>
      <c r="J1029" s="48" t="n"/>
      <c r="K1029" s="58" t="n"/>
      <c r="L1029" s="42" t="n"/>
      <c r="M1029" s="42" t="n"/>
      <c r="N1029" s="48" t="n"/>
      <c r="O1029" s="58" t="n"/>
      <c r="P1029" s="42" t="n"/>
      <c r="Q1029" s="42" t="n"/>
      <c r="R1029" s="48" t="n"/>
      <c r="S1029" s="58" t="n"/>
      <c r="T1029" s="42" t="n"/>
      <c r="U1029" s="42" t="n"/>
      <c r="V1029" s="48" t="n"/>
      <c r="W1029" s="58" t="n"/>
      <c r="X1029" s="42" t="n"/>
      <c r="Y1029" s="42" t="n"/>
      <c r="Z1029" s="48" t="n"/>
      <c r="AA1029" s="58" t="n"/>
      <c r="AB1029" s="42" t="n"/>
      <c r="AC1029" s="42" t="n"/>
      <c r="AD1029" s="48" t="n"/>
      <c r="AE1029" s="58" t="n"/>
      <c r="AF1029" s="42" t="n"/>
      <c r="AG1029" s="42" t="n"/>
      <c r="AH1029" s="48" t="n"/>
      <c r="AI1029" s="58" t="n"/>
    </row>
    <row r="1030">
      <c r="B1030" s="2">
        <f>IF(STUDENTS!B1029="","",STUDENTS!B1029)</f>
        <v/>
      </c>
      <c r="C1030" s="44">
        <f>IFERROR(IF(B1030="","",_xlfn.XLOOKUP(B1030,STUDENTS!$B$3:$B$1048576,STUDENTS!$C$3:$C$1048576)),"Enter a registered reg. no")</f>
        <v/>
      </c>
      <c r="J1030" s="66" t="n"/>
      <c r="K1030" s="67" t="n"/>
      <c r="N1030" s="66" t="n"/>
      <c r="O1030" s="67" t="n"/>
      <c r="R1030" s="66" t="n"/>
      <c r="S1030" s="67" t="n"/>
      <c r="V1030" s="66" t="n"/>
      <c r="W1030" s="67" t="n"/>
      <c r="Z1030" s="66" t="n"/>
      <c r="AA1030" s="67" t="n"/>
      <c r="AD1030" s="66" t="n"/>
      <c r="AE1030" s="67" t="n"/>
      <c r="AH1030" s="66" t="n"/>
      <c r="AI1030" s="67" t="n"/>
    </row>
    <row r="1031">
      <c r="B1031" s="2">
        <f>IF(STUDENTS!B1030="","",STUDENTS!B1030)</f>
        <v/>
      </c>
      <c r="C1031" s="44">
        <f>IFERROR(IF(B1031="","",_xlfn.XLOOKUP(B1031,STUDENTS!$B$3:$B$1048576,STUDENTS!$C$3:$C$1048576)),"Enter a registered reg. no")</f>
        <v/>
      </c>
      <c r="D1031" s="54" t="n"/>
      <c r="E1031" s="55" t="n"/>
      <c r="F1031" s="48" t="n"/>
      <c r="G1031" s="58" t="n"/>
      <c r="H1031" s="62" t="n"/>
      <c r="I1031" s="63" t="n"/>
      <c r="J1031" s="48" t="n"/>
      <c r="K1031" s="58" t="n"/>
      <c r="L1031" s="42" t="n"/>
      <c r="M1031" s="42" t="n"/>
      <c r="N1031" s="48" t="n"/>
      <c r="O1031" s="58" t="n"/>
      <c r="P1031" s="42" t="n"/>
      <c r="Q1031" s="42" t="n"/>
      <c r="R1031" s="48" t="n"/>
      <c r="S1031" s="58" t="n"/>
      <c r="T1031" s="42" t="n"/>
      <c r="U1031" s="42" t="n"/>
      <c r="V1031" s="48" t="n"/>
      <c r="W1031" s="58" t="n"/>
      <c r="X1031" s="42" t="n"/>
      <c r="Y1031" s="42" t="n"/>
      <c r="Z1031" s="48" t="n"/>
      <c r="AA1031" s="58" t="n"/>
      <c r="AB1031" s="42" t="n"/>
      <c r="AC1031" s="42" t="n"/>
      <c r="AD1031" s="48" t="n"/>
      <c r="AE1031" s="58" t="n"/>
      <c r="AF1031" s="42" t="n"/>
      <c r="AG1031" s="42" t="n"/>
      <c r="AH1031" s="48" t="n"/>
      <c r="AI1031" s="58" t="n"/>
    </row>
    <row r="1032">
      <c r="B1032" s="2">
        <f>IF(STUDENTS!B1031="","",STUDENTS!B1031)</f>
        <v/>
      </c>
      <c r="C1032" s="44">
        <f>IFERROR(IF(B1032="","",_xlfn.XLOOKUP(B1032,STUDENTS!$B$3:$B$1048576,STUDENTS!$C$3:$C$1048576)),"Enter a registered reg. no")</f>
        <v/>
      </c>
      <c r="J1032" s="66" t="n"/>
      <c r="K1032" s="67" t="n"/>
      <c r="N1032" s="66" t="n"/>
      <c r="O1032" s="67" t="n"/>
      <c r="R1032" s="66" t="n"/>
      <c r="S1032" s="67" t="n"/>
      <c r="V1032" s="66" t="n"/>
      <c r="W1032" s="67" t="n"/>
      <c r="Z1032" s="66" t="n"/>
      <c r="AA1032" s="67" t="n"/>
      <c r="AD1032" s="66" t="n"/>
      <c r="AE1032" s="67" t="n"/>
      <c r="AH1032" s="66" t="n"/>
      <c r="AI1032" s="67" t="n"/>
    </row>
    <row r="1033">
      <c r="B1033" s="2">
        <f>IF(STUDENTS!B1032="","",STUDENTS!B1032)</f>
        <v/>
      </c>
      <c r="C1033" s="44">
        <f>IFERROR(IF(B1033="","",_xlfn.XLOOKUP(B1033,STUDENTS!$B$3:$B$1048576,STUDENTS!$C$3:$C$1048576)),"Enter a registered reg. no")</f>
        <v/>
      </c>
      <c r="D1033" s="54" t="n"/>
      <c r="E1033" s="55" t="n"/>
      <c r="F1033" s="48" t="n"/>
      <c r="G1033" s="58" t="n"/>
      <c r="H1033" s="62" t="n"/>
      <c r="I1033" s="63" t="n"/>
      <c r="J1033" s="48" t="n"/>
      <c r="K1033" s="58" t="n"/>
      <c r="L1033" s="42" t="n"/>
      <c r="M1033" s="42" t="n"/>
      <c r="N1033" s="48" t="n"/>
      <c r="O1033" s="58" t="n"/>
      <c r="P1033" s="42" t="n"/>
      <c r="Q1033" s="42" t="n"/>
      <c r="R1033" s="48" t="n"/>
      <c r="S1033" s="58" t="n"/>
      <c r="T1033" s="42" t="n"/>
      <c r="U1033" s="42" t="n"/>
      <c r="V1033" s="48" t="n"/>
      <c r="W1033" s="58" t="n"/>
      <c r="X1033" s="42" t="n"/>
      <c r="Y1033" s="42" t="n"/>
      <c r="Z1033" s="48" t="n"/>
      <c r="AA1033" s="58" t="n"/>
      <c r="AB1033" s="42" t="n"/>
      <c r="AC1033" s="42" t="n"/>
      <c r="AD1033" s="48" t="n"/>
      <c r="AE1033" s="58" t="n"/>
      <c r="AF1033" s="42" t="n"/>
      <c r="AG1033" s="42" t="n"/>
      <c r="AH1033" s="48" t="n"/>
      <c r="AI1033" s="58" t="n"/>
    </row>
    <row r="1034">
      <c r="B1034" s="2">
        <f>IF(STUDENTS!B1033="","",STUDENTS!B1033)</f>
        <v/>
      </c>
      <c r="C1034" s="44">
        <f>IFERROR(IF(B1034="","",_xlfn.XLOOKUP(B1034,STUDENTS!$B$3:$B$1048576,STUDENTS!$C$3:$C$1048576)),"Enter a registered reg. no")</f>
        <v/>
      </c>
      <c r="J1034" s="66" t="n"/>
      <c r="K1034" s="67" t="n"/>
      <c r="N1034" s="66" t="n"/>
      <c r="O1034" s="67" t="n"/>
      <c r="R1034" s="66" t="n"/>
      <c r="S1034" s="67" t="n"/>
      <c r="V1034" s="66" t="n"/>
      <c r="W1034" s="67" t="n"/>
      <c r="Z1034" s="66" t="n"/>
      <c r="AA1034" s="67" t="n"/>
      <c r="AD1034" s="66" t="n"/>
      <c r="AE1034" s="67" t="n"/>
      <c r="AH1034" s="66" t="n"/>
      <c r="AI1034" s="67" t="n"/>
    </row>
    <row r="1035">
      <c r="B1035" s="2">
        <f>IF(STUDENTS!B1034="","",STUDENTS!B1034)</f>
        <v/>
      </c>
      <c r="C1035" s="44">
        <f>IFERROR(IF(B1035="","",_xlfn.XLOOKUP(B1035,STUDENTS!$B$3:$B$1048576,STUDENTS!$C$3:$C$1048576)),"Enter a registered reg. no")</f>
        <v/>
      </c>
      <c r="D1035" s="54" t="n"/>
      <c r="E1035" s="55" t="n"/>
      <c r="F1035" s="48" t="n"/>
      <c r="G1035" s="58" t="n"/>
      <c r="H1035" s="62" t="n"/>
      <c r="I1035" s="63" t="n"/>
      <c r="J1035" s="48" t="n"/>
      <c r="K1035" s="58" t="n"/>
      <c r="L1035" s="42" t="n"/>
      <c r="M1035" s="42" t="n"/>
      <c r="N1035" s="48" t="n"/>
      <c r="O1035" s="58" t="n"/>
      <c r="P1035" s="42" t="n"/>
      <c r="Q1035" s="42" t="n"/>
      <c r="R1035" s="48" t="n"/>
      <c r="S1035" s="58" t="n"/>
      <c r="T1035" s="42" t="n"/>
      <c r="U1035" s="42" t="n"/>
      <c r="V1035" s="48" t="n"/>
      <c r="W1035" s="58" t="n"/>
      <c r="X1035" s="42" t="n"/>
      <c r="Y1035" s="42" t="n"/>
      <c r="Z1035" s="48" t="n"/>
      <c r="AA1035" s="58" t="n"/>
      <c r="AB1035" s="42" t="n"/>
      <c r="AC1035" s="42" t="n"/>
      <c r="AD1035" s="48" t="n"/>
      <c r="AE1035" s="58" t="n"/>
      <c r="AF1035" s="42" t="n"/>
      <c r="AG1035" s="42" t="n"/>
      <c r="AH1035" s="48" t="n"/>
      <c r="AI1035" s="58" t="n"/>
    </row>
    <row r="1036">
      <c r="B1036" s="2">
        <f>IF(STUDENTS!B1035="","",STUDENTS!B1035)</f>
        <v/>
      </c>
      <c r="C1036" s="44">
        <f>IFERROR(IF(B1036="","",_xlfn.XLOOKUP(B1036,STUDENTS!$B$3:$B$1048576,STUDENTS!$C$3:$C$1048576)),"Enter a registered reg. no")</f>
        <v/>
      </c>
      <c r="J1036" s="66" t="n"/>
      <c r="K1036" s="67" t="n"/>
      <c r="N1036" s="66" t="n"/>
      <c r="O1036" s="67" t="n"/>
      <c r="R1036" s="66" t="n"/>
      <c r="S1036" s="67" t="n"/>
      <c r="V1036" s="66" t="n"/>
      <c r="W1036" s="67" t="n"/>
      <c r="Z1036" s="66" t="n"/>
      <c r="AA1036" s="67" t="n"/>
      <c r="AD1036" s="66" t="n"/>
      <c r="AE1036" s="67" t="n"/>
      <c r="AH1036" s="66" t="n"/>
      <c r="AI1036" s="67" t="n"/>
    </row>
    <row r="1037">
      <c r="B1037" s="2">
        <f>IF(STUDENTS!B1036="","",STUDENTS!B1036)</f>
        <v/>
      </c>
      <c r="C1037" s="44">
        <f>IFERROR(IF(B1037="","",_xlfn.XLOOKUP(B1037,STUDENTS!$B$3:$B$1048576,STUDENTS!$C$3:$C$1048576)),"Enter a registered reg. no")</f>
        <v/>
      </c>
      <c r="D1037" s="54" t="n"/>
      <c r="E1037" s="55" t="n"/>
      <c r="F1037" s="48" t="n"/>
      <c r="G1037" s="58" t="n"/>
      <c r="H1037" s="62" t="n"/>
      <c r="I1037" s="63" t="n"/>
      <c r="J1037" s="48" t="n"/>
      <c r="K1037" s="58" t="n"/>
      <c r="L1037" s="42" t="n"/>
      <c r="M1037" s="42" t="n"/>
      <c r="N1037" s="48" t="n"/>
      <c r="O1037" s="58" t="n"/>
      <c r="P1037" s="42" t="n"/>
      <c r="Q1037" s="42" t="n"/>
      <c r="R1037" s="48" t="n"/>
      <c r="S1037" s="58" t="n"/>
      <c r="T1037" s="42" t="n"/>
      <c r="U1037" s="42" t="n"/>
      <c r="V1037" s="48" t="n"/>
      <c r="W1037" s="58" t="n"/>
      <c r="X1037" s="42" t="n"/>
      <c r="Y1037" s="42" t="n"/>
      <c r="Z1037" s="48" t="n"/>
      <c r="AA1037" s="58" t="n"/>
      <c r="AB1037" s="42" t="n"/>
      <c r="AC1037" s="42" t="n"/>
      <c r="AD1037" s="48" t="n"/>
      <c r="AE1037" s="58" t="n"/>
      <c r="AF1037" s="42" t="n"/>
      <c r="AG1037" s="42" t="n"/>
      <c r="AH1037" s="48" t="n"/>
      <c r="AI1037" s="58" t="n"/>
    </row>
    <row r="1038">
      <c r="B1038" s="2">
        <f>IF(STUDENTS!B1037="","",STUDENTS!B1037)</f>
        <v/>
      </c>
      <c r="C1038" s="44">
        <f>IFERROR(IF(B1038="","",_xlfn.XLOOKUP(B1038,STUDENTS!$B$3:$B$1048576,STUDENTS!$C$3:$C$1048576)),"Enter a registered reg. no")</f>
        <v/>
      </c>
      <c r="J1038" s="66" t="n"/>
      <c r="K1038" s="67" t="n"/>
      <c r="N1038" s="66" t="n"/>
      <c r="O1038" s="67" t="n"/>
      <c r="R1038" s="66" t="n"/>
      <c r="S1038" s="67" t="n"/>
      <c r="V1038" s="66" t="n"/>
      <c r="W1038" s="67" t="n"/>
      <c r="Z1038" s="66" t="n"/>
      <c r="AA1038" s="67" t="n"/>
      <c r="AD1038" s="66" t="n"/>
      <c r="AE1038" s="67" t="n"/>
      <c r="AH1038" s="66" t="n"/>
      <c r="AI1038" s="67" t="n"/>
    </row>
    <row r="1039">
      <c r="B1039" s="2">
        <f>IF(STUDENTS!B1038="","",STUDENTS!B1038)</f>
        <v/>
      </c>
      <c r="C1039" s="44">
        <f>IFERROR(IF(B1039="","",_xlfn.XLOOKUP(B1039,STUDENTS!$B$3:$B$1048576,STUDENTS!$C$3:$C$1048576)),"Enter a registered reg. no")</f>
        <v/>
      </c>
      <c r="D1039" s="54" t="n"/>
      <c r="E1039" s="55" t="n"/>
      <c r="F1039" s="48" t="n"/>
      <c r="G1039" s="58" t="n"/>
      <c r="H1039" s="62" t="n"/>
      <c r="I1039" s="63" t="n"/>
      <c r="J1039" s="48" t="n"/>
      <c r="K1039" s="58" t="n"/>
      <c r="L1039" s="42" t="n"/>
      <c r="M1039" s="42" t="n"/>
      <c r="N1039" s="48" t="n"/>
      <c r="O1039" s="58" t="n"/>
      <c r="P1039" s="42" t="n"/>
      <c r="Q1039" s="42" t="n"/>
      <c r="R1039" s="48" t="n"/>
      <c r="S1039" s="58" t="n"/>
      <c r="T1039" s="42" t="n"/>
      <c r="U1039" s="42" t="n"/>
      <c r="V1039" s="48" t="n"/>
      <c r="W1039" s="58" t="n"/>
      <c r="X1039" s="42" t="n"/>
      <c r="Y1039" s="42" t="n"/>
      <c r="Z1039" s="42" t="n"/>
      <c r="AA1039" s="42" t="n"/>
      <c r="AB1039" s="42" t="n"/>
      <c r="AC1039" s="42" t="n"/>
      <c r="AD1039" s="48" t="n"/>
      <c r="AE1039" s="58" t="n"/>
      <c r="AF1039" s="42" t="n"/>
      <c r="AG1039" s="42" t="n"/>
      <c r="AH1039" s="48" t="n"/>
      <c r="AI1039" s="58" t="n"/>
    </row>
    <row r="1040">
      <c r="B1040" s="2">
        <f>IF(STUDENTS!B1039="","",STUDENTS!B1039)</f>
        <v/>
      </c>
      <c r="C1040" s="44">
        <f>IFERROR(IF(B1040="","",_xlfn.XLOOKUP(B1040,STUDENTS!$B$3:$B$1048576,STUDENTS!$C$3:$C$1048576)),"Enter a registered reg. no")</f>
        <v/>
      </c>
      <c r="J1040" s="66" t="n"/>
      <c r="K1040" s="67" t="n"/>
      <c r="N1040" s="66" t="n"/>
      <c r="O1040" s="67" t="n"/>
      <c r="R1040" s="66" t="n"/>
      <c r="S1040" s="67" t="n"/>
      <c r="V1040" s="66" t="n"/>
      <c r="W1040" s="67" t="n"/>
      <c r="AD1040" s="66" t="n"/>
      <c r="AE1040" s="67" t="n"/>
      <c r="AH1040" s="66" t="n"/>
      <c r="AI1040" s="67" t="n"/>
    </row>
    <row r="1041">
      <c r="B1041" s="2">
        <f>IF(STUDENTS!B1040="","",STUDENTS!B1040)</f>
        <v/>
      </c>
      <c r="C1041" s="44">
        <f>IFERROR(IF(B1041="","",_xlfn.XLOOKUP(B1041,STUDENTS!$B$3:$B$1048576,STUDENTS!$C$3:$C$1048576)),"Enter a registered reg. no")</f>
        <v/>
      </c>
      <c r="D1041" s="54" t="n"/>
      <c r="E1041" s="55" t="n"/>
      <c r="F1041" s="48" t="n"/>
      <c r="G1041" s="58" t="n"/>
      <c r="H1041" s="62" t="n"/>
      <c r="I1041" s="63" t="n"/>
      <c r="J1041" s="48" t="n"/>
      <c r="K1041" s="58" t="n"/>
      <c r="L1041" s="42" t="n"/>
      <c r="M1041" s="42" t="n"/>
      <c r="N1041" s="48" t="n"/>
      <c r="O1041" s="58" t="n"/>
      <c r="P1041" s="42" t="n"/>
      <c r="Q1041" s="42" t="n"/>
      <c r="R1041" s="48" t="n"/>
      <c r="S1041" s="58" t="n"/>
      <c r="T1041" s="42" t="n"/>
      <c r="U1041" s="42" t="n"/>
      <c r="V1041" s="48" t="n"/>
      <c r="W1041" s="58" t="n"/>
      <c r="X1041" s="42" t="n"/>
      <c r="Y1041" s="42" t="n"/>
      <c r="Z1041" s="42" t="n"/>
      <c r="AA1041" s="42" t="n"/>
      <c r="AB1041" s="42" t="n"/>
      <c r="AC1041" s="42" t="n"/>
      <c r="AD1041" s="48" t="n"/>
      <c r="AE1041" s="58" t="n"/>
      <c r="AF1041" s="42" t="n"/>
      <c r="AG1041" s="42" t="n"/>
      <c r="AH1041" s="48" t="n"/>
      <c r="AI1041" s="58" t="n"/>
    </row>
    <row r="1042">
      <c r="B1042" s="2">
        <f>IF(STUDENTS!B1041="","",STUDENTS!B1041)</f>
        <v/>
      </c>
      <c r="C1042" s="44">
        <f>IFERROR(IF(B1042="","",_xlfn.XLOOKUP(B1042,STUDENTS!$B$3:$B$1048576,STUDENTS!$C$3:$C$1048576)),"Enter a registered reg. no")</f>
        <v/>
      </c>
      <c r="J1042" s="66" t="n"/>
      <c r="K1042" s="67" t="n"/>
      <c r="N1042" s="66" t="n"/>
      <c r="O1042" s="67" t="n"/>
      <c r="R1042" s="66" t="n"/>
      <c r="S1042" s="67" t="n"/>
      <c r="V1042" s="66" t="n"/>
      <c r="W1042" s="67" t="n"/>
      <c r="AD1042" s="66" t="n"/>
      <c r="AE1042" s="67" t="n"/>
      <c r="AH1042" s="66" t="n"/>
      <c r="AI1042" s="67" t="n"/>
    </row>
    <row r="1043">
      <c r="B1043" s="2">
        <f>IF(STUDENTS!B1042="","",STUDENTS!B1042)</f>
        <v/>
      </c>
      <c r="C1043" s="44">
        <f>IFERROR(IF(B1043="","",_xlfn.XLOOKUP(B1043,STUDENTS!$B$3:$B$1048576,STUDENTS!$C$3:$C$1048576)),"Enter a registered reg. no")</f>
        <v/>
      </c>
      <c r="D1043" s="54" t="n"/>
      <c r="E1043" s="55" t="n"/>
      <c r="F1043" s="48" t="n"/>
      <c r="G1043" s="58" t="n"/>
      <c r="H1043" s="62" t="n"/>
      <c r="I1043" s="63" t="n"/>
      <c r="J1043" s="48" t="n"/>
      <c r="K1043" s="58" t="n"/>
      <c r="L1043" s="42" t="n"/>
      <c r="M1043" s="42" t="n"/>
      <c r="N1043" s="48" t="n"/>
      <c r="O1043" s="58" t="n"/>
      <c r="P1043" s="42" t="n"/>
      <c r="Q1043" s="42" t="n"/>
      <c r="R1043" s="48" t="n"/>
      <c r="S1043" s="58" t="n"/>
      <c r="T1043" s="42" t="n"/>
      <c r="U1043" s="42" t="n"/>
      <c r="V1043" s="48" t="n"/>
      <c r="W1043" s="58" t="n"/>
      <c r="X1043" s="42" t="n"/>
      <c r="Y1043" s="42" t="n"/>
      <c r="Z1043" s="42" t="n"/>
      <c r="AA1043" s="42" t="n"/>
      <c r="AB1043" s="42" t="n"/>
      <c r="AC1043" s="42" t="n"/>
      <c r="AD1043" s="48" t="n"/>
      <c r="AE1043" s="58" t="n"/>
      <c r="AF1043" s="42" t="n"/>
      <c r="AG1043" s="42" t="n"/>
      <c r="AH1043" s="48" t="n"/>
      <c r="AI1043" s="58" t="n"/>
    </row>
    <row r="1044">
      <c r="B1044" s="2">
        <f>IF(STUDENTS!B1043="","",STUDENTS!B1043)</f>
        <v/>
      </c>
      <c r="C1044" s="44">
        <f>IFERROR(IF(B1044="","",_xlfn.XLOOKUP(B1044,STUDENTS!$B$3:$B$1048576,STUDENTS!$C$3:$C$1048576)),"Enter a registered reg. no")</f>
        <v/>
      </c>
      <c r="J1044" s="66" t="n"/>
      <c r="K1044" s="67" t="n"/>
      <c r="N1044" s="66" t="n"/>
      <c r="O1044" s="67" t="n"/>
      <c r="R1044" s="66" t="n"/>
      <c r="S1044" s="67" t="n"/>
      <c r="V1044" s="66" t="n"/>
      <c r="W1044" s="67" t="n"/>
      <c r="AD1044" s="66" t="n"/>
      <c r="AE1044" s="67" t="n"/>
      <c r="AH1044" s="66" t="n"/>
      <c r="AI1044" s="67" t="n"/>
    </row>
    <row r="1045">
      <c r="B1045" s="2">
        <f>IF(STUDENTS!B1044="","",STUDENTS!B1044)</f>
        <v/>
      </c>
      <c r="C1045" s="44">
        <f>IFERROR(IF(B1045="","",_xlfn.XLOOKUP(B1045,STUDENTS!$B$3:$B$1048576,STUDENTS!$C$3:$C$1048576)),"Enter a registered reg. no")</f>
        <v/>
      </c>
      <c r="D1045" s="54" t="n"/>
      <c r="E1045" s="55" t="n"/>
      <c r="F1045" s="48" t="n"/>
      <c r="G1045" s="58" t="n"/>
      <c r="H1045" s="62" t="n"/>
      <c r="I1045" s="63" t="n"/>
      <c r="J1045" s="48" t="n"/>
      <c r="K1045" s="58" t="n"/>
      <c r="L1045" s="42" t="n"/>
      <c r="M1045" s="42" t="n"/>
      <c r="N1045" s="48" t="n"/>
      <c r="O1045" s="58" t="n"/>
      <c r="P1045" s="42" t="n"/>
      <c r="Q1045" s="42" t="n"/>
      <c r="R1045" s="48" t="n"/>
      <c r="S1045" s="58" t="n"/>
      <c r="T1045" s="42" t="n"/>
      <c r="U1045" s="42" t="n"/>
      <c r="V1045" s="48" t="n"/>
      <c r="W1045" s="58" t="n"/>
      <c r="X1045" s="42" t="n"/>
      <c r="Y1045" s="42" t="n"/>
      <c r="Z1045" s="42" t="n"/>
      <c r="AA1045" s="42" t="n"/>
      <c r="AB1045" s="42" t="n"/>
      <c r="AC1045" s="42" t="n"/>
      <c r="AD1045" s="48" t="n"/>
      <c r="AE1045" s="58" t="n"/>
      <c r="AF1045" s="42" t="n"/>
      <c r="AG1045" s="42" t="n"/>
      <c r="AH1045" s="48" t="n"/>
      <c r="AI1045" s="58" t="n"/>
    </row>
    <row r="1046">
      <c r="B1046" s="2">
        <f>IF(STUDENTS!B1045="","",STUDENTS!B1045)</f>
        <v/>
      </c>
      <c r="C1046" s="44">
        <f>IFERROR(IF(B1046="","",_xlfn.XLOOKUP(B1046,STUDENTS!$B$3:$B$1048576,STUDENTS!$C$3:$C$1048576)),"Enter a registered reg. no")</f>
        <v/>
      </c>
      <c r="J1046" s="66" t="n"/>
      <c r="K1046" s="67" t="n"/>
      <c r="N1046" s="66" t="n"/>
      <c r="O1046" s="67" t="n"/>
      <c r="R1046" s="66" t="n"/>
      <c r="S1046" s="67" t="n"/>
      <c r="V1046" s="66" t="n"/>
      <c r="W1046" s="67" t="n"/>
      <c r="AD1046" s="66" t="n"/>
      <c r="AE1046" s="67" t="n"/>
      <c r="AH1046" s="66" t="n"/>
      <c r="AI1046" s="67" t="n"/>
    </row>
    <row r="1047">
      <c r="B1047" s="2">
        <f>IF(STUDENTS!B1046="","",STUDENTS!B1046)</f>
        <v/>
      </c>
      <c r="C1047" s="44">
        <f>IFERROR(IF(B1047="","",_xlfn.XLOOKUP(B1047,STUDENTS!$B$3:$B$1048576,STUDENTS!$C$3:$C$1048576)),"Enter a registered reg. no")</f>
        <v/>
      </c>
      <c r="D1047" s="54" t="n"/>
      <c r="E1047" s="55" t="n"/>
      <c r="F1047" s="48" t="n"/>
      <c r="G1047" s="58" t="n"/>
      <c r="H1047" s="62" t="n"/>
      <c r="I1047" s="63" t="n"/>
      <c r="J1047" s="48" t="n"/>
      <c r="K1047" s="58" t="n"/>
      <c r="L1047" s="42" t="n"/>
      <c r="M1047" s="42" t="n"/>
      <c r="N1047" s="48" t="n"/>
      <c r="O1047" s="58" t="n"/>
      <c r="P1047" s="42" t="n"/>
      <c r="Q1047" s="42" t="n"/>
      <c r="R1047" s="48" t="n"/>
      <c r="S1047" s="58" t="n"/>
      <c r="T1047" s="42" t="n"/>
      <c r="U1047" s="42" t="n"/>
      <c r="V1047" s="48" t="n"/>
      <c r="W1047" s="58" t="n"/>
      <c r="X1047" s="42" t="n"/>
      <c r="Y1047" s="42" t="n"/>
      <c r="Z1047" s="42" t="n"/>
      <c r="AA1047" s="42" t="n"/>
      <c r="AB1047" s="42" t="n"/>
      <c r="AC1047" s="42" t="n"/>
      <c r="AD1047" s="48" t="n"/>
      <c r="AE1047" s="58" t="n"/>
      <c r="AF1047" s="42" t="n"/>
      <c r="AG1047" s="42" t="n"/>
      <c r="AH1047" s="48" t="n"/>
      <c r="AI1047" s="58" t="n"/>
    </row>
    <row r="1048">
      <c r="B1048" s="2">
        <f>IF(STUDENTS!B1047="","",STUDENTS!B1047)</f>
        <v/>
      </c>
      <c r="C1048" s="44">
        <f>IFERROR(IF(B1048="","",_xlfn.XLOOKUP(B1048,STUDENTS!$B$3:$B$1048576,STUDENTS!$C$3:$C$1048576)),"Enter a registered reg. no")</f>
        <v/>
      </c>
      <c r="J1048" s="66" t="n"/>
      <c r="K1048" s="67" t="n"/>
      <c r="N1048" s="66" t="n"/>
      <c r="O1048" s="67" t="n"/>
      <c r="R1048" s="66" t="n"/>
      <c r="S1048" s="67" t="n"/>
      <c r="V1048" s="66" t="n"/>
      <c r="W1048" s="67" t="n"/>
      <c r="AD1048" s="66" t="n"/>
      <c r="AE1048" s="67" t="n"/>
      <c r="AH1048" s="66" t="n"/>
      <c r="AI1048" s="67" t="n"/>
    </row>
    <row r="1049">
      <c r="B1049" s="2">
        <f>IF(STUDENTS!B1048="","",STUDENTS!B1048)</f>
        <v/>
      </c>
      <c r="C1049" s="44">
        <f>IFERROR(IF(B1049="","",_xlfn.XLOOKUP(B1049,STUDENTS!$B$3:$B$1048576,STUDENTS!$C$3:$C$1048576)),"Enter a registered reg. no")</f>
        <v/>
      </c>
      <c r="D1049" s="54" t="n"/>
      <c r="E1049" s="55" t="n"/>
      <c r="F1049" s="48" t="n"/>
      <c r="G1049" s="58" t="n"/>
      <c r="H1049" s="62" t="n"/>
      <c r="I1049" s="63" t="n"/>
      <c r="J1049" s="48" t="n"/>
      <c r="K1049" s="58" t="n"/>
      <c r="L1049" s="42" t="n"/>
      <c r="M1049" s="42" t="n"/>
      <c r="N1049" s="48" t="n"/>
      <c r="O1049" s="58" t="n"/>
      <c r="P1049" s="42" t="n"/>
      <c r="Q1049" s="42" t="n"/>
      <c r="R1049" s="48" t="n"/>
      <c r="S1049" s="58" t="n"/>
      <c r="T1049" s="42" t="n"/>
      <c r="U1049" s="42" t="n"/>
      <c r="V1049" s="48" t="n"/>
      <c r="W1049" s="58" t="n"/>
      <c r="X1049" s="42" t="n"/>
      <c r="Y1049" s="42" t="n"/>
      <c r="Z1049" s="42" t="n"/>
      <c r="AA1049" s="42" t="n"/>
      <c r="AB1049" s="42" t="n"/>
      <c r="AC1049" s="42" t="n"/>
      <c r="AD1049" s="48" t="n"/>
      <c r="AE1049" s="58" t="n"/>
      <c r="AF1049" s="42" t="n"/>
      <c r="AG1049" s="42" t="n"/>
      <c r="AH1049" s="48" t="n"/>
      <c r="AI1049" s="58" t="n"/>
    </row>
    <row r="1050">
      <c r="B1050" s="2">
        <f>IF(STUDENTS!B1049="","",STUDENTS!B1049)</f>
        <v/>
      </c>
      <c r="C1050" s="44">
        <f>IFERROR(IF(B1050="","",_xlfn.XLOOKUP(B1050,STUDENTS!$B$3:$B$1048576,STUDENTS!$C$3:$C$1048576)),"Enter a registered reg. no")</f>
        <v/>
      </c>
      <c r="J1050" s="66" t="n"/>
      <c r="K1050" s="67" t="n"/>
      <c r="N1050" s="66" t="n"/>
      <c r="O1050" s="67" t="n"/>
      <c r="R1050" s="66" t="n"/>
      <c r="S1050" s="67" t="n"/>
      <c r="V1050" s="66" t="n"/>
      <c r="W1050" s="67" t="n"/>
      <c r="AD1050" s="66" t="n"/>
      <c r="AE1050" s="67" t="n"/>
      <c r="AH1050" s="66" t="n"/>
      <c r="AI1050" s="67" t="n"/>
    </row>
    <row r="1051">
      <c r="B1051" s="2">
        <f>IF(STUDENTS!B1050="","",STUDENTS!B1050)</f>
        <v/>
      </c>
      <c r="C1051" s="44">
        <f>IFERROR(IF(B1051="","",_xlfn.XLOOKUP(B1051,STUDENTS!$B$3:$B$1048576,STUDENTS!$C$3:$C$1048576)),"Enter a registered reg. no")</f>
        <v/>
      </c>
      <c r="D1051" s="54" t="n"/>
      <c r="E1051" s="55" t="n"/>
      <c r="F1051" s="48" t="n"/>
      <c r="G1051" s="58" t="n"/>
      <c r="H1051" s="62" t="n"/>
      <c r="I1051" s="63" t="n"/>
      <c r="J1051" s="48" t="n"/>
      <c r="K1051" s="58" t="n"/>
      <c r="L1051" s="42" t="n"/>
      <c r="M1051" s="42" t="n"/>
      <c r="N1051" s="48" t="n"/>
      <c r="O1051" s="58" t="n"/>
      <c r="P1051" s="42" t="n"/>
      <c r="Q1051" s="42" t="n"/>
      <c r="R1051" s="48" t="n"/>
      <c r="S1051" s="58" t="n"/>
      <c r="T1051" s="42" t="n"/>
      <c r="U1051" s="42" t="n"/>
      <c r="V1051" s="48" t="n"/>
      <c r="W1051" s="58" t="n"/>
      <c r="X1051" s="42" t="n"/>
      <c r="Y1051" s="42" t="n"/>
      <c r="Z1051" s="42" t="n"/>
      <c r="AA1051" s="42" t="n"/>
      <c r="AB1051" s="42" t="n"/>
      <c r="AC1051" s="42" t="n"/>
      <c r="AD1051" s="48" t="n"/>
      <c r="AE1051" s="58" t="n"/>
      <c r="AF1051" s="42" t="n"/>
      <c r="AG1051" s="42" t="n"/>
      <c r="AH1051" s="48" t="n"/>
      <c r="AI1051" s="58" t="n"/>
    </row>
    <row r="1052">
      <c r="B1052" s="2">
        <f>IF(STUDENTS!B1051="","",STUDENTS!B1051)</f>
        <v/>
      </c>
      <c r="C1052" s="44">
        <f>IFERROR(IF(B1052="","",_xlfn.XLOOKUP(B1052,STUDENTS!$B$3:$B$1048576,STUDENTS!$C$3:$C$1048576)),"Enter a registered reg. no")</f>
        <v/>
      </c>
      <c r="J1052" s="66" t="n"/>
      <c r="K1052" s="67" t="n"/>
      <c r="N1052" s="66" t="n"/>
      <c r="O1052" s="67" t="n"/>
      <c r="R1052" s="66" t="n"/>
      <c r="S1052" s="67" t="n"/>
      <c r="V1052" s="66" t="n"/>
      <c r="W1052" s="67" t="n"/>
      <c r="AD1052" s="66" t="n"/>
      <c r="AE1052" s="67" t="n"/>
      <c r="AH1052" s="66" t="n"/>
      <c r="AI1052" s="67" t="n"/>
    </row>
    <row r="1053">
      <c r="B1053" s="2">
        <f>IF(STUDENTS!B1052="","",STUDENTS!B1052)</f>
        <v/>
      </c>
      <c r="C1053" s="44">
        <f>IFERROR(IF(B1053="","",_xlfn.XLOOKUP(B1053,STUDENTS!$B$3:$B$1048576,STUDENTS!$C$3:$C$1048576)),"Enter a registered reg. no")</f>
        <v/>
      </c>
      <c r="D1053" s="54" t="n"/>
      <c r="E1053" s="55" t="n"/>
      <c r="F1053" s="48" t="n"/>
      <c r="G1053" s="58" t="n"/>
      <c r="H1053" s="62" t="n"/>
      <c r="I1053" s="63" t="n"/>
      <c r="J1053" s="48" t="n"/>
      <c r="K1053" s="58" t="n"/>
      <c r="L1053" s="42" t="n"/>
      <c r="M1053" s="42" t="n"/>
      <c r="N1053" s="48" t="n"/>
      <c r="O1053" s="58" t="n"/>
      <c r="P1053" s="42" t="n"/>
      <c r="Q1053" s="42" t="n"/>
      <c r="R1053" s="48" t="n"/>
      <c r="S1053" s="58" t="n"/>
      <c r="T1053" s="42" t="n"/>
      <c r="U1053" s="42" t="n"/>
      <c r="V1053" s="48" t="n"/>
      <c r="W1053" s="58" t="n"/>
      <c r="X1053" s="42" t="n"/>
      <c r="Y1053" s="42" t="n"/>
      <c r="Z1053" s="42" t="n"/>
      <c r="AA1053" s="42" t="n"/>
      <c r="AB1053" s="42" t="n"/>
      <c r="AC1053" s="42" t="n"/>
      <c r="AD1053" s="48" t="n"/>
      <c r="AE1053" s="58" t="n"/>
      <c r="AF1053" s="42" t="n"/>
      <c r="AG1053" s="42" t="n"/>
      <c r="AH1053" s="48" t="n"/>
      <c r="AI1053" s="58" t="n"/>
    </row>
    <row r="1054">
      <c r="B1054" s="2">
        <f>IF(STUDENTS!B1053="","",STUDENTS!B1053)</f>
        <v/>
      </c>
      <c r="C1054" s="44">
        <f>IFERROR(IF(B1054="","",_xlfn.XLOOKUP(B1054,STUDENTS!$B$3:$B$1048576,STUDENTS!$C$3:$C$1048576)),"Enter a registered reg. no")</f>
        <v/>
      </c>
      <c r="J1054" s="66" t="n"/>
      <c r="K1054" s="67" t="n"/>
      <c r="N1054" s="66" t="n"/>
      <c r="O1054" s="67" t="n"/>
      <c r="R1054" s="66" t="n"/>
      <c r="S1054" s="67" t="n"/>
      <c r="V1054" s="66" t="n"/>
      <c r="W1054" s="67" t="n"/>
      <c r="AD1054" s="66" t="n"/>
      <c r="AE1054" s="67" t="n"/>
      <c r="AH1054" s="66" t="n"/>
      <c r="AI1054" s="67" t="n"/>
    </row>
    <row r="1055">
      <c r="B1055" s="2">
        <f>IF(STUDENTS!B1054="","",STUDENTS!B1054)</f>
        <v/>
      </c>
      <c r="C1055" s="44">
        <f>IFERROR(IF(B1055="","",_xlfn.XLOOKUP(B1055,STUDENTS!$B$3:$B$1048576,STUDENTS!$C$3:$C$1048576)),"Enter a registered reg. no")</f>
        <v/>
      </c>
      <c r="D1055" s="54" t="n"/>
      <c r="E1055" s="55" t="n"/>
      <c r="F1055" s="48" t="n"/>
      <c r="G1055" s="58" t="n"/>
      <c r="H1055" s="62" t="n"/>
      <c r="I1055" s="63" t="n"/>
      <c r="J1055" s="48" t="n"/>
      <c r="K1055" s="58" t="n"/>
      <c r="L1055" s="42" t="n"/>
      <c r="M1055" s="42" t="n"/>
      <c r="N1055" s="48" t="n"/>
      <c r="O1055" s="58" t="n"/>
      <c r="P1055" s="42" t="n"/>
      <c r="Q1055" s="42" t="n"/>
      <c r="R1055" s="48" t="n"/>
      <c r="S1055" s="58" t="n"/>
      <c r="T1055" s="42" t="n"/>
      <c r="U1055" s="42" t="n"/>
      <c r="V1055" s="48" t="n"/>
      <c r="W1055" s="58" t="n"/>
      <c r="X1055" s="42" t="n"/>
      <c r="Y1055" s="42" t="n"/>
      <c r="Z1055" s="42" t="n"/>
      <c r="AA1055" s="42" t="n"/>
      <c r="AB1055" s="42" t="n"/>
      <c r="AC1055" s="42" t="n"/>
      <c r="AD1055" s="48" t="n"/>
      <c r="AE1055" s="58" t="n"/>
      <c r="AF1055" s="42" t="n"/>
      <c r="AG1055" s="42" t="n"/>
      <c r="AH1055" s="48" t="n"/>
      <c r="AI1055" s="58" t="n"/>
    </row>
    <row r="1056">
      <c r="B1056" s="2">
        <f>IF(STUDENTS!B1055="","",STUDENTS!B1055)</f>
        <v/>
      </c>
      <c r="C1056" s="44">
        <f>IFERROR(IF(B1056="","",_xlfn.XLOOKUP(B1056,STUDENTS!$B$3:$B$1048576,STUDENTS!$C$3:$C$1048576)),"Enter a registered reg. no")</f>
        <v/>
      </c>
      <c r="J1056" s="66" t="n"/>
      <c r="K1056" s="67" t="n"/>
      <c r="N1056" s="66" t="n"/>
      <c r="O1056" s="67" t="n"/>
      <c r="R1056" s="66" t="n"/>
      <c r="S1056" s="67" t="n"/>
      <c r="V1056" s="66" t="n"/>
      <c r="W1056" s="67" t="n"/>
      <c r="AD1056" s="66" t="n"/>
      <c r="AE1056" s="67" t="n"/>
      <c r="AH1056" s="66" t="n"/>
      <c r="AI1056" s="67" t="n"/>
    </row>
    <row r="1057">
      <c r="B1057" s="2">
        <f>IF(STUDENTS!B1056="","",STUDENTS!B1056)</f>
        <v/>
      </c>
      <c r="C1057" s="44">
        <f>IFERROR(IF(B1057="","",_xlfn.XLOOKUP(B1057,STUDENTS!$B$3:$B$1048576,STUDENTS!$C$3:$C$1048576)),"Enter a registered reg. no")</f>
        <v/>
      </c>
      <c r="D1057" s="54" t="n"/>
      <c r="E1057" s="55" t="n"/>
      <c r="F1057" s="48" t="n"/>
      <c r="G1057" s="58" t="n"/>
      <c r="H1057" s="62" t="n"/>
      <c r="I1057" s="63" t="n"/>
      <c r="J1057" s="48" t="n"/>
      <c r="K1057" s="58" t="n"/>
      <c r="L1057" s="42" t="n"/>
      <c r="M1057" s="42" t="n"/>
      <c r="N1057" s="48" t="n"/>
      <c r="O1057" s="58" t="n"/>
      <c r="P1057" s="42" t="n"/>
      <c r="Q1057" s="42" t="n"/>
      <c r="R1057" s="48" t="n"/>
      <c r="S1057" s="58" t="n"/>
      <c r="T1057" s="42" t="n"/>
      <c r="U1057" s="42" t="n"/>
      <c r="V1057" s="48" t="n"/>
      <c r="W1057" s="58" t="n"/>
      <c r="X1057" s="42" t="n"/>
      <c r="Y1057" s="42" t="n"/>
      <c r="Z1057" s="42" t="n"/>
      <c r="AA1057" s="42" t="n"/>
      <c r="AB1057" s="42" t="n"/>
      <c r="AC1057" s="42" t="n"/>
      <c r="AD1057" s="48" t="n"/>
      <c r="AE1057" s="58" t="n"/>
      <c r="AF1057" s="42" t="n"/>
      <c r="AG1057" s="42" t="n"/>
      <c r="AH1057" s="48" t="n"/>
      <c r="AI1057" s="58" t="n"/>
    </row>
    <row r="1058">
      <c r="B1058" s="2">
        <f>IF(STUDENTS!B1057="","",STUDENTS!B1057)</f>
        <v/>
      </c>
      <c r="C1058" s="44">
        <f>IFERROR(IF(B1058="","",_xlfn.XLOOKUP(B1058,STUDENTS!$B$3:$B$1048576,STUDENTS!$C$3:$C$1048576)),"Enter a registered reg. no")</f>
        <v/>
      </c>
      <c r="J1058" s="66" t="n"/>
      <c r="K1058" s="67" t="n"/>
      <c r="N1058" s="66" t="n"/>
      <c r="O1058" s="67" t="n"/>
      <c r="R1058" s="66" t="n"/>
      <c r="S1058" s="67" t="n"/>
      <c r="V1058" s="66" t="n"/>
      <c r="W1058" s="67" t="n"/>
      <c r="AD1058" s="66" t="n"/>
      <c r="AE1058" s="67" t="n"/>
      <c r="AH1058" s="66" t="n"/>
      <c r="AI1058" s="67" t="n"/>
    </row>
    <row r="1059">
      <c r="B1059" s="2">
        <f>IF(STUDENTS!B1058="","",STUDENTS!B1058)</f>
        <v/>
      </c>
      <c r="C1059" s="44">
        <f>IFERROR(IF(B1059="","",_xlfn.XLOOKUP(B1059,STUDENTS!$B$3:$B$1048576,STUDENTS!$C$3:$C$1048576)),"Enter a registered reg. no")</f>
        <v/>
      </c>
      <c r="D1059" s="54" t="n"/>
      <c r="E1059" s="55" t="n"/>
      <c r="F1059" s="48" t="n"/>
      <c r="G1059" s="58" t="n"/>
      <c r="H1059" s="62" t="n"/>
      <c r="I1059" s="63" t="n"/>
      <c r="J1059" s="48" t="n"/>
      <c r="K1059" s="58" t="n"/>
      <c r="L1059" s="42" t="n"/>
      <c r="M1059" s="42" t="n"/>
      <c r="N1059" s="48" t="n"/>
      <c r="O1059" s="58" t="n"/>
      <c r="P1059" s="42" t="n"/>
      <c r="Q1059" s="42" t="n"/>
      <c r="R1059" s="48" t="n"/>
      <c r="S1059" s="58" t="n"/>
      <c r="T1059" s="42" t="n"/>
      <c r="U1059" s="42" t="n"/>
      <c r="V1059" s="48" t="n"/>
      <c r="W1059" s="58" t="n"/>
      <c r="X1059" s="42" t="n"/>
      <c r="Y1059" s="42" t="n"/>
      <c r="Z1059" s="42" t="n"/>
      <c r="AA1059" s="42" t="n"/>
      <c r="AB1059" s="42" t="n"/>
      <c r="AC1059" s="42" t="n"/>
      <c r="AD1059" s="48" t="n"/>
      <c r="AE1059" s="58" t="n"/>
      <c r="AF1059" s="42" t="n"/>
      <c r="AG1059" s="42" t="n"/>
      <c r="AH1059" s="48" t="n"/>
      <c r="AI1059" s="58" t="n"/>
    </row>
    <row r="1060">
      <c r="B1060" s="2">
        <f>IF(STUDENTS!B1059="","",STUDENTS!B1059)</f>
        <v/>
      </c>
      <c r="C1060" s="44">
        <f>IFERROR(IF(B1060="","",_xlfn.XLOOKUP(B1060,STUDENTS!$B$3:$B$1048576,STUDENTS!$C$3:$C$1048576)),"Enter a registered reg. no")</f>
        <v/>
      </c>
      <c r="J1060" s="66" t="n"/>
      <c r="K1060" s="67" t="n"/>
      <c r="N1060" s="66" t="n"/>
      <c r="O1060" s="67" t="n"/>
      <c r="R1060" s="66" t="n"/>
      <c r="S1060" s="67" t="n"/>
      <c r="V1060" s="66" t="n"/>
      <c r="W1060" s="67" t="n"/>
      <c r="AD1060" s="66" t="n"/>
      <c r="AE1060" s="67" t="n"/>
      <c r="AH1060" s="66" t="n"/>
      <c r="AI1060" s="67" t="n"/>
    </row>
    <row r="1061">
      <c r="B1061" s="2">
        <f>IF(STUDENTS!B1060="","",STUDENTS!B1060)</f>
        <v/>
      </c>
      <c r="C1061" s="44">
        <f>IFERROR(IF(B1061="","",_xlfn.XLOOKUP(B1061,STUDENTS!$B$3:$B$1048576,STUDENTS!$C$3:$C$1048576)),"Enter a registered reg. no")</f>
        <v/>
      </c>
      <c r="D1061" s="54" t="n"/>
      <c r="E1061" s="55" t="n"/>
      <c r="F1061" s="48" t="n"/>
      <c r="G1061" s="58" t="n"/>
      <c r="H1061" s="62" t="n"/>
      <c r="I1061" s="63" t="n"/>
      <c r="J1061" s="48" t="n"/>
      <c r="K1061" s="58" t="n"/>
      <c r="L1061" s="42" t="n"/>
      <c r="M1061" s="42" t="n"/>
      <c r="N1061" s="48" t="n"/>
      <c r="O1061" s="58" t="n"/>
      <c r="P1061" s="42" t="n"/>
      <c r="Q1061" s="42" t="n"/>
      <c r="R1061" s="48" t="n"/>
      <c r="S1061" s="58" t="n"/>
      <c r="T1061" s="42" t="n"/>
      <c r="U1061" s="42" t="n"/>
      <c r="V1061" s="48" t="n"/>
      <c r="W1061" s="58" t="n"/>
      <c r="X1061" s="42" t="n"/>
      <c r="Y1061" s="42" t="n"/>
      <c r="Z1061" s="42" t="n"/>
      <c r="AA1061" s="42" t="n"/>
      <c r="AB1061" s="42" t="n"/>
      <c r="AC1061" s="42" t="n"/>
      <c r="AD1061" s="48" t="n"/>
      <c r="AE1061" s="58" t="n"/>
      <c r="AF1061" s="42" t="n"/>
      <c r="AG1061" s="42" t="n"/>
      <c r="AH1061" s="48" t="n"/>
      <c r="AI1061" s="58" t="n"/>
    </row>
    <row r="1062">
      <c r="B1062" s="2">
        <f>IF(STUDENTS!B1061="","",STUDENTS!B1061)</f>
        <v/>
      </c>
      <c r="C1062" s="44">
        <f>IFERROR(IF(B1062="","",_xlfn.XLOOKUP(B1062,STUDENTS!$B$3:$B$1048576,STUDENTS!$C$3:$C$1048576)),"Enter a registered reg. no")</f>
        <v/>
      </c>
      <c r="J1062" s="66" t="n"/>
      <c r="K1062" s="67" t="n"/>
      <c r="N1062" s="66" t="n"/>
      <c r="O1062" s="67" t="n"/>
      <c r="R1062" s="66" t="n"/>
      <c r="S1062" s="67" t="n"/>
      <c r="V1062" s="66" t="n"/>
      <c r="W1062" s="67" t="n"/>
      <c r="AD1062" s="66" t="n"/>
      <c r="AE1062" s="67" t="n"/>
      <c r="AH1062" s="66" t="n"/>
      <c r="AI1062" s="67" t="n"/>
    </row>
    <row r="1063">
      <c r="B1063" s="2">
        <f>IF(STUDENTS!B1062="","",STUDENTS!B1062)</f>
        <v/>
      </c>
      <c r="C1063" s="44">
        <f>IFERROR(IF(B1063="","",_xlfn.XLOOKUP(B1063,STUDENTS!$B$3:$B$1048576,STUDENTS!$C$3:$C$1048576)),"Enter a registered reg. no")</f>
        <v/>
      </c>
      <c r="D1063" s="54" t="n"/>
      <c r="E1063" s="55" t="n"/>
      <c r="F1063" s="48" t="n"/>
      <c r="G1063" s="58" t="n"/>
      <c r="H1063" s="62" t="n"/>
      <c r="I1063" s="63" t="n"/>
      <c r="J1063" s="48" t="n"/>
      <c r="K1063" s="58" t="n"/>
      <c r="L1063" s="42" t="n"/>
      <c r="M1063" s="42" t="n"/>
      <c r="N1063" s="48" t="n"/>
      <c r="O1063" s="58" t="n"/>
      <c r="P1063" s="42" t="n"/>
      <c r="Q1063" s="42" t="n"/>
      <c r="R1063" s="48" t="n"/>
      <c r="S1063" s="58" t="n"/>
      <c r="T1063" s="42" t="n"/>
      <c r="U1063" s="42" t="n"/>
      <c r="V1063" s="48" t="n"/>
      <c r="W1063" s="58" t="n"/>
      <c r="X1063" s="42" t="n"/>
      <c r="Y1063" s="42" t="n"/>
      <c r="Z1063" s="42" t="n"/>
      <c r="AA1063" s="42" t="n"/>
      <c r="AB1063" s="42" t="n"/>
      <c r="AC1063" s="42" t="n"/>
      <c r="AD1063" s="48" t="n"/>
      <c r="AE1063" s="58" t="n"/>
      <c r="AF1063" s="42" t="n"/>
      <c r="AG1063" s="42" t="n"/>
      <c r="AH1063" s="48" t="n"/>
      <c r="AI1063" s="58" t="n"/>
    </row>
    <row r="1064">
      <c r="B1064" s="2">
        <f>IF(STUDENTS!B1063="","",STUDENTS!B1063)</f>
        <v/>
      </c>
      <c r="C1064" s="44">
        <f>IFERROR(IF(B1064="","",_xlfn.XLOOKUP(B1064,STUDENTS!$B$3:$B$1048576,STUDENTS!$C$3:$C$1048576)),"Enter a registered reg. no")</f>
        <v/>
      </c>
      <c r="J1064" s="66" t="n"/>
      <c r="K1064" s="67" t="n"/>
      <c r="N1064" s="66" t="n"/>
      <c r="O1064" s="67" t="n"/>
      <c r="R1064" s="66" t="n"/>
      <c r="S1064" s="67" t="n"/>
      <c r="V1064" s="66" t="n"/>
      <c r="W1064" s="67" t="n"/>
      <c r="AD1064" s="66" t="n"/>
      <c r="AE1064" s="67" t="n"/>
      <c r="AH1064" s="66" t="n"/>
      <c r="AI1064" s="67" t="n"/>
    </row>
    <row r="1065">
      <c r="B1065" s="2">
        <f>IF(STUDENTS!B1064="","",STUDENTS!B1064)</f>
        <v/>
      </c>
      <c r="C1065" s="44">
        <f>IFERROR(IF(B1065="","",_xlfn.XLOOKUP(B1065,STUDENTS!$B$3:$B$1048576,STUDENTS!$C$3:$C$1048576)),"Enter a registered reg. no")</f>
        <v/>
      </c>
      <c r="D1065" s="54" t="n"/>
      <c r="E1065" s="55" t="n"/>
      <c r="F1065" s="48" t="n"/>
      <c r="G1065" s="58" t="n"/>
      <c r="H1065" s="62" t="n"/>
      <c r="I1065" s="63" t="n"/>
      <c r="J1065" s="48" t="n"/>
      <c r="K1065" s="58" t="n"/>
      <c r="L1065" s="42" t="n"/>
      <c r="M1065" s="42" t="n"/>
      <c r="N1065" s="48" t="n"/>
      <c r="O1065" s="58" t="n"/>
      <c r="P1065" s="42" t="n"/>
      <c r="Q1065" s="42" t="n"/>
      <c r="R1065" s="48" t="n"/>
      <c r="S1065" s="58" t="n"/>
      <c r="T1065" s="42" t="n"/>
      <c r="U1065" s="42" t="n"/>
      <c r="V1065" s="48" t="n"/>
      <c r="W1065" s="58" t="n"/>
      <c r="X1065" s="42" t="n"/>
      <c r="Y1065" s="42" t="n"/>
      <c r="Z1065" s="42" t="n"/>
      <c r="AA1065" s="42" t="n"/>
      <c r="AB1065" s="42" t="n"/>
      <c r="AC1065" s="42" t="n"/>
      <c r="AD1065" s="48" t="n"/>
      <c r="AE1065" s="58" t="n"/>
      <c r="AF1065" s="42" t="n"/>
      <c r="AG1065" s="42" t="n"/>
      <c r="AH1065" s="48" t="n"/>
      <c r="AI1065" s="58" t="n"/>
    </row>
    <row r="1066">
      <c r="B1066" s="2">
        <f>IF(STUDENTS!B1065="","",STUDENTS!B1065)</f>
        <v/>
      </c>
      <c r="C1066" s="44">
        <f>IFERROR(IF(B1066="","",_xlfn.XLOOKUP(B1066,STUDENTS!$B$3:$B$1048576,STUDENTS!$C$3:$C$1048576)),"Enter a registered reg. no")</f>
        <v/>
      </c>
      <c r="J1066" s="66" t="n"/>
      <c r="K1066" s="67" t="n"/>
      <c r="N1066" s="66" t="n"/>
      <c r="O1066" s="67" t="n"/>
      <c r="R1066" s="66" t="n"/>
      <c r="S1066" s="67" t="n"/>
      <c r="V1066" s="66" t="n"/>
      <c r="W1066" s="67" t="n"/>
      <c r="AD1066" s="66" t="n"/>
      <c r="AE1066" s="67" t="n"/>
      <c r="AH1066" s="66" t="n"/>
      <c r="AI1066" s="67" t="n"/>
    </row>
    <row r="1067">
      <c r="B1067" s="2">
        <f>IF(STUDENTS!B1066="","",STUDENTS!B1066)</f>
        <v/>
      </c>
      <c r="C1067" s="44">
        <f>IFERROR(IF(B1067="","",_xlfn.XLOOKUP(B1067,STUDENTS!$B$3:$B$1048576,STUDENTS!$C$3:$C$1048576)),"Enter a registered reg. no")</f>
        <v/>
      </c>
      <c r="D1067" s="54" t="n"/>
      <c r="E1067" s="55" t="n"/>
      <c r="F1067" s="48" t="n"/>
      <c r="G1067" s="58" t="n"/>
      <c r="H1067" s="62" t="n"/>
      <c r="I1067" s="63" t="n"/>
      <c r="J1067" s="48" t="n"/>
      <c r="K1067" s="58" t="n"/>
      <c r="L1067" s="42" t="n"/>
      <c r="M1067" s="42" t="n"/>
      <c r="N1067" s="48" t="n"/>
      <c r="O1067" s="58" t="n"/>
      <c r="P1067" s="42" t="n"/>
      <c r="Q1067" s="42" t="n"/>
      <c r="R1067" s="48" t="n"/>
      <c r="S1067" s="58" t="n"/>
      <c r="T1067" s="42" t="n"/>
      <c r="U1067" s="42" t="n"/>
      <c r="V1067" s="48" t="n"/>
      <c r="W1067" s="58" t="n"/>
      <c r="X1067" s="42" t="n"/>
      <c r="Y1067" s="42" t="n"/>
      <c r="Z1067" s="42" t="n"/>
      <c r="AA1067" s="42" t="n"/>
      <c r="AB1067" s="42" t="n"/>
      <c r="AC1067" s="42" t="n"/>
      <c r="AD1067" s="48" t="n"/>
      <c r="AE1067" s="58" t="n"/>
      <c r="AF1067" s="42" t="n"/>
      <c r="AG1067" s="42" t="n"/>
      <c r="AH1067" s="48" t="n"/>
      <c r="AI1067" s="58" t="n"/>
    </row>
    <row r="1068">
      <c r="B1068" s="2">
        <f>IF(STUDENTS!B1067="","",STUDENTS!B1067)</f>
        <v/>
      </c>
      <c r="C1068" s="44">
        <f>IFERROR(IF(B1068="","",_xlfn.XLOOKUP(B1068,STUDENTS!$B$3:$B$1048576,STUDENTS!$C$3:$C$1048576)),"Enter a registered reg. no")</f>
        <v/>
      </c>
      <c r="J1068" s="66" t="n"/>
      <c r="K1068" s="67" t="n"/>
      <c r="N1068" s="66" t="n"/>
      <c r="O1068" s="67" t="n"/>
      <c r="R1068" s="66" t="n"/>
      <c r="S1068" s="67" t="n"/>
      <c r="V1068" s="66" t="n"/>
      <c r="W1068" s="67" t="n"/>
      <c r="AD1068" s="66" t="n"/>
      <c r="AE1068" s="67" t="n"/>
      <c r="AH1068" s="66" t="n"/>
      <c r="AI1068" s="67" t="n"/>
    </row>
    <row r="1069">
      <c r="B1069" s="2">
        <f>IF(STUDENTS!B1068="","",STUDENTS!B1068)</f>
        <v/>
      </c>
      <c r="C1069" s="44">
        <f>IFERROR(IF(B1069="","",_xlfn.XLOOKUP(B1069,STUDENTS!$B$3:$B$1048576,STUDENTS!$C$3:$C$1048576)),"Enter a registered reg. no")</f>
        <v/>
      </c>
      <c r="D1069" s="54" t="n"/>
      <c r="E1069" s="55" t="n"/>
      <c r="F1069" s="48" t="n"/>
      <c r="G1069" s="58" t="n"/>
      <c r="H1069" s="62" t="n"/>
      <c r="I1069" s="63" t="n"/>
      <c r="J1069" s="48" t="n"/>
      <c r="K1069" s="58" t="n"/>
      <c r="L1069" s="42" t="n"/>
      <c r="M1069" s="42" t="n"/>
      <c r="N1069" s="48" t="n"/>
      <c r="O1069" s="58" t="n"/>
      <c r="P1069" s="42" t="n"/>
      <c r="Q1069" s="42" t="n"/>
      <c r="R1069" s="48" t="n"/>
      <c r="S1069" s="58" t="n"/>
      <c r="T1069" s="42" t="n"/>
      <c r="U1069" s="42" t="n"/>
      <c r="V1069" s="48" t="n"/>
      <c r="W1069" s="58" t="n"/>
      <c r="X1069" s="42" t="n"/>
      <c r="Y1069" s="42" t="n"/>
      <c r="Z1069" s="42" t="n"/>
      <c r="AA1069" s="42" t="n"/>
      <c r="AB1069" s="42" t="n"/>
      <c r="AC1069" s="42" t="n"/>
      <c r="AD1069" s="48" t="n"/>
      <c r="AE1069" s="58" t="n"/>
      <c r="AF1069" s="42" t="n"/>
      <c r="AG1069" s="42" t="n"/>
      <c r="AH1069" s="48" t="n"/>
      <c r="AI1069" s="58" t="n"/>
    </row>
    <row r="1070">
      <c r="B1070" s="2">
        <f>IF(STUDENTS!B1069="","",STUDENTS!B1069)</f>
        <v/>
      </c>
      <c r="C1070" s="44">
        <f>IFERROR(IF(B1070="","",_xlfn.XLOOKUP(B1070,STUDENTS!$B$3:$B$1048576,STUDENTS!$C$3:$C$1048576)),"Enter a registered reg. no")</f>
        <v/>
      </c>
      <c r="J1070" s="66" t="n"/>
      <c r="K1070" s="67" t="n"/>
      <c r="N1070" s="66" t="n"/>
      <c r="O1070" s="67" t="n"/>
      <c r="R1070" s="66" t="n"/>
      <c r="S1070" s="67" t="n"/>
      <c r="V1070" s="66" t="n"/>
      <c r="W1070" s="67" t="n"/>
      <c r="AD1070" s="66" t="n"/>
      <c r="AE1070" s="67" t="n"/>
      <c r="AH1070" s="66" t="n"/>
      <c r="AI1070" s="67" t="n"/>
    </row>
    <row r="1071">
      <c r="B1071" s="2">
        <f>IF(STUDENTS!B1070="","",STUDENTS!B1070)</f>
        <v/>
      </c>
      <c r="C1071" s="44">
        <f>IFERROR(IF(B1071="","",_xlfn.XLOOKUP(B1071,STUDENTS!$B$3:$B$1048576,STUDENTS!$C$3:$C$1048576)),"Enter a registered reg. no")</f>
        <v/>
      </c>
      <c r="D1071" s="54" t="n"/>
      <c r="E1071" s="55" t="n"/>
      <c r="F1071" s="48" t="n"/>
      <c r="G1071" s="58" t="n"/>
      <c r="H1071" s="62" t="n"/>
      <c r="I1071" s="63" t="n"/>
      <c r="J1071" s="48" t="n"/>
      <c r="K1071" s="58" t="n"/>
      <c r="L1071" s="42" t="n"/>
      <c r="M1071" s="42" t="n"/>
      <c r="N1071" s="48" t="n"/>
      <c r="O1071" s="58" t="n"/>
      <c r="P1071" s="42" t="n"/>
      <c r="Q1071" s="42" t="n"/>
      <c r="R1071" s="48" t="n"/>
      <c r="S1071" s="58" t="n"/>
      <c r="T1071" s="42" t="n"/>
      <c r="U1071" s="42" t="n"/>
      <c r="V1071" s="48" t="n"/>
      <c r="W1071" s="58" t="n"/>
      <c r="X1071" s="42" t="n"/>
      <c r="Y1071" s="42" t="n"/>
      <c r="Z1071" s="42" t="n"/>
      <c r="AA1071" s="42" t="n"/>
      <c r="AB1071" s="42" t="n"/>
      <c r="AC1071" s="42" t="n"/>
      <c r="AD1071" s="48" t="n"/>
      <c r="AE1071" s="58" t="n"/>
      <c r="AF1071" s="42" t="n"/>
      <c r="AG1071" s="42" t="n"/>
      <c r="AH1071" s="48" t="n"/>
      <c r="AI1071" s="58" t="n"/>
    </row>
    <row r="1072">
      <c r="B1072" s="2">
        <f>IF(STUDENTS!B1071="","",STUDENTS!B1071)</f>
        <v/>
      </c>
      <c r="C1072" s="44">
        <f>IFERROR(IF(B1072="","",_xlfn.XLOOKUP(B1072,STUDENTS!$B$3:$B$1048576,STUDENTS!$C$3:$C$1048576)),"Enter a registered reg. no")</f>
        <v/>
      </c>
      <c r="J1072" s="66" t="n"/>
      <c r="K1072" s="67" t="n"/>
      <c r="N1072" s="66" t="n"/>
      <c r="O1072" s="67" t="n"/>
      <c r="R1072" s="66" t="n"/>
      <c r="S1072" s="67" t="n"/>
      <c r="V1072" s="66" t="n"/>
      <c r="W1072" s="67" t="n"/>
      <c r="AD1072" s="66" t="n"/>
      <c r="AE1072" s="67" t="n"/>
      <c r="AH1072" s="66" t="n"/>
      <c r="AI1072" s="67" t="n"/>
    </row>
    <row r="1073">
      <c r="B1073" s="2">
        <f>IF(STUDENTS!B1072="","",STUDENTS!B1072)</f>
        <v/>
      </c>
      <c r="C1073" s="44">
        <f>IFERROR(IF(B1073="","",_xlfn.XLOOKUP(B1073,STUDENTS!$B$3:$B$1048576,STUDENTS!$C$3:$C$1048576)),"Enter a registered reg. no")</f>
        <v/>
      </c>
      <c r="D1073" s="54" t="n"/>
      <c r="E1073" s="55" t="n"/>
      <c r="F1073" s="48" t="n"/>
      <c r="G1073" s="58" t="n"/>
      <c r="H1073" s="62" t="n"/>
      <c r="I1073" s="63" t="n"/>
      <c r="J1073" s="48" t="n"/>
      <c r="K1073" s="58" t="n"/>
      <c r="L1073" s="42" t="n"/>
      <c r="M1073" s="42" t="n"/>
      <c r="N1073" s="48" t="n"/>
      <c r="O1073" s="58" t="n"/>
      <c r="P1073" s="42" t="n"/>
      <c r="Q1073" s="42" t="n"/>
      <c r="R1073" s="48" t="n"/>
      <c r="S1073" s="58" t="n"/>
      <c r="T1073" s="42" t="n"/>
      <c r="U1073" s="42" t="n"/>
      <c r="V1073" s="48" t="n"/>
      <c r="W1073" s="58" t="n"/>
      <c r="X1073" s="42" t="n"/>
      <c r="Y1073" s="42" t="n"/>
      <c r="Z1073" s="42" t="n"/>
      <c r="AA1073" s="42" t="n"/>
      <c r="AB1073" s="42" t="n"/>
      <c r="AC1073" s="42" t="n"/>
      <c r="AD1073" s="48" t="n"/>
      <c r="AE1073" s="58" t="n"/>
      <c r="AF1073" s="42" t="n"/>
      <c r="AG1073" s="42" t="n"/>
      <c r="AH1073" s="48" t="n"/>
      <c r="AI1073" s="58" t="n"/>
    </row>
    <row r="1074">
      <c r="B1074" s="2">
        <f>IF(STUDENTS!B1073="","",STUDENTS!B1073)</f>
        <v/>
      </c>
      <c r="C1074" s="44">
        <f>IFERROR(IF(B1074="","",_xlfn.XLOOKUP(B1074,STUDENTS!$B$3:$B$1048576,STUDENTS!$C$3:$C$1048576)),"Enter a registered reg. no")</f>
        <v/>
      </c>
      <c r="J1074" s="66" t="n"/>
      <c r="K1074" s="67" t="n"/>
      <c r="N1074" s="66" t="n"/>
      <c r="O1074" s="67" t="n"/>
      <c r="R1074" s="66" t="n"/>
      <c r="S1074" s="67" t="n"/>
      <c r="V1074" s="66" t="n"/>
      <c r="W1074" s="67" t="n"/>
      <c r="AD1074" s="66" t="n"/>
      <c r="AE1074" s="67" t="n"/>
      <c r="AH1074" s="66" t="n"/>
      <c r="AI1074" s="67" t="n"/>
    </row>
    <row r="1075">
      <c r="B1075" s="2">
        <f>IF(STUDENTS!B1074="","",STUDENTS!B1074)</f>
        <v/>
      </c>
      <c r="C1075" s="44">
        <f>IFERROR(IF(B1075="","",_xlfn.XLOOKUP(B1075,STUDENTS!$B$3:$B$1048576,STUDENTS!$C$3:$C$1048576)),"Enter a registered reg. no")</f>
        <v/>
      </c>
      <c r="D1075" s="54" t="n"/>
      <c r="E1075" s="55" t="n"/>
      <c r="F1075" s="48" t="n"/>
      <c r="G1075" s="58" t="n"/>
      <c r="H1075" s="62" t="n"/>
      <c r="I1075" s="63" t="n"/>
      <c r="J1075" s="48" t="n"/>
      <c r="K1075" s="58" t="n"/>
      <c r="L1075" s="42" t="n"/>
      <c r="M1075" s="42" t="n"/>
      <c r="N1075" s="48" t="n"/>
      <c r="O1075" s="58" t="n"/>
      <c r="P1075" s="42" t="n"/>
      <c r="Q1075" s="42" t="n"/>
      <c r="R1075" s="48" t="n"/>
      <c r="S1075" s="58" t="n"/>
      <c r="T1075" s="42" t="n"/>
      <c r="U1075" s="42" t="n"/>
      <c r="V1075" s="48" t="n"/>
      <c r="W1075" s="58" t="n"/>
      <c r="X1075" s="42" t="n"/>
      <c r="Y1075" s="42" t="n"/>
      <c r="Z1075" s="42" t="n"/>
      <c r="AA1075" s="42" t="n"/>
      <c r="AB1075" s="42" t="n"/>
      <c r="AC1075" s="42" t="n"/>
      <c r="AD1075" s="48" t="n"/>
      <c r="AE1075" s="58" t="n"/>
      <c r="AF1075" s="42" t="n"/>
      <c r="AG1075" s="42" t="n"/>
      <c r="AH1075" s="48" t="n"/>
      <c r="AI1075" s="58" t="n"/>
    </row>
    <row r="1076">
      <c r="B1076" s="2">
        <f>IF(STUDENTS!B1075="","",STUDENTS!B1075)</f>
        <v/>
      </c>
      <c r="C1076" s="44">
        <f>IFERROR(IF(B1076="","",_xlfn.XLOOKUP(B1076,STUDENTS!$B$3:$B$1048576,STUDENTS!$C$3:$C$1048576)),"Enter a registered reg. no")</f>
        <v/>
      </c>
      <c r="J1076" s="66" t="n"/>
      <c r="K1076" s="67" t="n"/>
      <c r="N1076" s="66" t="n"/>
      <c r="O1076" s="67" t="n"/>
      <c r="R1076" s="66" t="n"/>
      <c r="S1076" s="67" t="n"/>
      <c r="V1076" s="66" t="n"/>
      <c r="W1076" s="67" t="n"/>
      <c r="AD1076" s="66" t="n"/>
      <c r="AE1076" s="67" t="n"/>
      <c r="AH1076" s="66" t="n"/>
      <c r="AI1076" s="67" t="n"/>
    </row>
    <row r="1077">
      <c r="B1077" s="2">
        <f>IF(STUDENTS!B1076="","",STUDENTS!B1076)</f>
        <v/>
      </c>
      <c r="C1077" s="44">
        <f>IFERROR(IF(B1077="","",_xlfn.XLOOKUP(B1077,STUDENTS!$B$3:$B$1048576,STUDENTS!$C$3:$C$1048576)),"Enter a registered reg. no")</f>
        <v/>
      </c>
      <c r="D1077" s="54" t="n"/>
      <c r="E1077" s="55" t="n"/>
      <c r="F1077" s="48" t="n"/>
      <c r="G1077" s="58" t="n"/>
      <c r="H1077" s="62" t="n"/>
      <c r="I1077" s="63" t="n"/>
      <c r="J1077" s="48" t="n"/>
      <c r="K1077" s="58" t="n"/>
      <c r="L1077" s="42" t="n"/>
      <c r="M1077" s="42" t="n"/>
      <c r="N1077" s="48" t="n"/>
      <c r="O1077" s="58" t="n"/>
      <c r="P1077" s="42" t="n"/>
      <c r="Q1077" s="42" t="n"/>
      <c r="R1077" s="48" t="n"/>
      <c r="S1077" s="58" t="n"/>
      <c r="T1077" s="42" t="n"/>
      <c r="U1077" s="42" t="n"/>
      <c r="V1077" s="48" t="n"/>
      <c r="W1077" s="58" t="n"/>
      <c r="X1077" s="42" t="n"/>
      <c r="Y1077" s="42" t="n"/>
      <c r="Z1077" s="42" t="n"/>
      <c r="AA1077" s="42" t="n"/>
      <c r="AB1077" s="42" t="n"/>
      <c r="AC1077" s="42" t="n"/>
      <c r="AD1077" s="48" t="n"/>
      <c r="AE1077" s="58" t="n"/>
      <c r="AF1077" s="42" t="n"/>
      <c r="AG1077" s="42" t="n"/>
      <c r="AH1077" s="48" t="n"/>
      <c r="AI1077" s="58" t="n"/>
    </row>
    <row r="1078">
      <c r="B1078" s="2">
        <f>IF(STUDENTS!B1077="","",STUDENTS!B1077)</f>
        <v/>
      </c>
      <c r="C1078" s="44">
        <f>IFERROR(IF(B1078="","",_xlfn.XLOOKUP(B1078,STUDENTS!$B$3:$B$1048576,STUDENTS!$C$3:$C$1048576)),"Enter a registered reg. no")</f>
        <v/>
      </c>
      <c r="J1078" s="66" t="n"/>
      <c r="K1078" s="67" t="n"/>
      <c r="N1078" s="66" t="n"/>
      <c r="O1078" s="67" t="n"/>
      <c r="R1078" s="66" t="n"/>
      <c r="S1078" s="67" t="n"/>
      <c r="V1078" s="66" t="n"/>
      <c r="W1078" s="67" t="n"/>
      <c r="AD1078" s="66" t="n"/>
      <c r="AE1078" s="67" t="n"/>
      <c r="AH1078" s="66" t="n"/>
      <c r="AI1078" s="67" t="n"/>
    </row>
    <row r="1079">
      <c r="B1079" s="2">
        <f>IF(STUDENTS!B1078="","",STUDENTS!B1078)</f>
        <v/>
      </c>
      <c r="C1079" s="44">
        <f>IFERROR(IF(B1079="","",_xlfn.XLOOKUP(B1079,STUDENTS!$B$3:$B$1048576,STUDENTS!$C$3:$C$1048576)),"Enter a registered reg. no")</f>
        <v/>
      </c>
      <c r="D1079" s="54" t="n"/>
      <c r="E1079" s="55" t="n"/>
      <c r="F1079" s="48" t="n"/>
      <c r="G1079" s="58" t="n"/>
      <c r="H1079" s="62" t="n"/>
      <c r="I1079" s="63" t="n"/>
      <c r="J1079" s="48" t="n"/>
      <c r="K1079" s="58" t="n"/>
      <c r="L1079" s="42" t="n"/>
      <c r="M1079" s="42" t="n"/>
      <c r="N1079" s="48" t="n"/>
      <c r="O1079" s="58" t="n"/>
      <c r="P1079" s="42" t="n"/>
      <c r="Q1079" s="42" t="n"/>
      <c r="R1079" s="48" t="n"/>
      <c r="S1079" s="58" t="n"/>
      <c r="T1079" s="42" t="n"/>
      <c r="U1079" s="42" t="n"/>
      <c r="V1079" s="48" t="n"/>
      <c r="W1079" s="58" t="n"/>
      <c r="X1079" s="42" t="n"/>
      <c r="Y1079" s="42" t="n"/>
      <c r="Z1079" s="42" t="n"/>
      <c r="AA1079" s="42" t="n"/>
      <c r="AB1079" s="42" t="n"/>
      <c r="AC1079" s="42" t="n"/>
      <c r="AD1079" s="48" t="n"/>
      <c r="AE1079" s="58" t="n"/>
      <c r="AF1079" s="42" t="n"/>
      <c r="AG1079" s="42" t="n"/>
      <c r="AH1079" s="48" t="n"/>
      <c r="AI1079" s="58" t="n"/>
    </row>
    <row r="1080">
      <c r="B1080" s="2">
        <f>IF(STUDENTS!B1079="","",STUDENTS!B1079)</f>
        <v/>
      </c>
      <c r="C1080" s="44">
        <f>IFERROR(IF(B1080="","",_xlfn.XLOOKUP(B1080,STUDENTS!$B$3:$B$1048576,STUDENTS!$C$3:$C$1048576)),"Enter a registered reg. no")</f>
        <v/>
      </c>
      <c r="J1080" s="66" t="n"/>
      <c r="K1080" s="67" t="n"/>
      <c r="N1080" s="66" t="n"/>
      <c r="O1080" s="67" t="n"/>
      <c r="R1080" s="66" t="n"/>
      <c r="S1080" s="67" t="n"/>
      <c r="V1080" s="66" t="n"/>
      <c r="W1080" s="67" t="n"/>
      <c r="AD1080" s="66" t="n"/>
      <c r="AE1080" s="67" t="n"/>
      <c r="AH1080" s="66" t="n"/>
      <c r="AI1080" s="67" t="n"/>
    </row>
    <row r="1081">
      <c r="B1081" s="2">
        <f>IF(STUDENTS!B1080="","",STUDENTS!B1080)</f>
        <v/>
      </c>
      <c r="C1081" s="44">
        <f>IFERROR(IF(B1081="","",_xlfn.XLOOKUP(B1081,STUDENTS!$B$3:$B$1048576,STUDENTS!$C$3:$C$1048576)),"Enter a registered reg. no")</f>
        <v/>
      </c>
      <c r="D1081" s="54" t="n"/>
      <c r="E1081" s="55" t="n"/>
      <c r="F1081" s="48" t="n"/>
      <c r="G1081" s="58" t="n"/>
      <c r="H1081" s="62" t="n"/>
      <c r="I1081" s="63" t="n"/>
      <c r="J1081" s="48" t="n"/>
      <c r="K1081" s="58" t="n"/>
      <c r="L1081" s="42" t="n"/>
      <c r="M1081" s="42" t="n"/>
      <c r="N1081" s="48" t="n"/>
      <c r="O1081" s="58" t="n"/>
      <c r="P1081" s="42" t="n"/>
      <c r="Q1081" s="42" t="n"/>
      <c r="R1081" s="48" t="n"/>
      <c r="S1081" s="58" t="n"/>
      <c r="T1081" s="42" t="n"/>
      <c r="U1081" s="42" t="n"/>
      <c r="V1081" s="48" t="n"/>
      <c r="W1081" s="58" t="n"/>
      <c r="X1081" s="42" t="n"/>
      <c r="Y1081" s="42" t="n"/>
      <c r="Z1081" s="42" t="n"/>
      <c r="AA1081" s="42" t="n"/>
      <c r="AB1081" s="42" t="n"/>
      <c r="AC1081" s="42" t="n"/>
      <c r="AD1081" s="48" t="n"/>
      <c r="AE1081" s="58" t="n"/>
      <c r="AF1081" s="42" t="n"/>
      <c r="AG1081" s="42" t="n"/>
      <c r="AH1081" s="48" t="n"/>
      <c r="AI1081" s="58" t="n"/>
    </row>
    <row r="1082">
      <c r="B1082" s="2">
        <f>IF(STUDENTS!B1081="","",STUDENTS!B1081)</f>
        <v/>
      </c>
      <c r="C1082" s="44">
        <f>IFERROR(IF(B1082="","",_xlfn.XLOOKUP(B1082,STUDENTS!$B$3:$B$1048576,STUDENTS!$C$3:$C$1048576)),"Enter a registered reg. no")</f>
        <v/>
      </c>
      <c r="J1082" s="66" t="n"/>
      <c r="K1082" s="67" t="n"/>
      <c r="N1082" s="66" t="n"/>
      <c r="O1082" s="67" t="n"/>
      <c r="R1082" s="66" t="n"/>
      <c r="S1082" s="67" t="n"/>
      <c r="V1082" s="66" t="n"/>
      <c r="W1082" s="67" t="n"/>
      <c r="AD1082" s="66" t="n"/>
      <c r="AE1082" s="67" t="n"/>
      <c r="AH1082" s="66" t="n"/>
      <c r="AI1082" s="67" t="n"/>
    </row>
    <row r="1083">
      <c r="B1083" s="2">
        <f>IF(STUDENTS!B1082="","",STUDENTS!B1082)</f>
        <v/>
      </c>
      <c r="C1083" s="44">
        <f>IFERROR(IF(B1083="","",_xlfn.XLOOKUP(B1083,STUDENTS!$B$3:$B$1048576,STUDENTS!$C$3:$C$1048576)),"Enter a registered reg. no")</f>
        <v/>
      </c>
      <c r="D1083" s="54" t="n"/>
      <c r="E1083" s="55" t="n"/>
      <c r="F1083" s="48" t="n"/>
      <c r="G1083" s="58" t="n"/>
      <c r="H1083" s="62" t="n"/>
      <c r="I1083" s="63" t="n"/>
      <c r="J1083" s="48" t="n"/>
      <c r="K1083" s="58" t="n"/>
      <c r="L1083" s="42" t="n"/>
      <c r="M1083" s="42" t="n"/>
      <c r="N1083" s="48" t="n"/>
      <c r="O1083" s="58" t="n"/>
      <c r="P1083" s="42" t="n"/>
      <c r="Q1083" s="42" t="n"/>
      <c r="R1083" s="48" t="n"/>
      <c r="S1083" s="58" t="n"/>
      <c r="T1083" s="42" t="n"/>
      <c r="U1083" s="42" t="n"/>
      <c r="V1083" s="48" t="n"/>
      <c r="W1083" s="58" t="n"/>
      <c r="X1083" s="42" t="n"/>
      <c r="Y1083" s="42" t="n"/>
      <c r="Z1083" s="42" t="n"/>
      <c r="AA1083" s="42" t="n"/>
      <c r="AB1083" s="42" t="n"/>
      <c r="AC1083" s="42" t="n"/>
      <c r="AD1083" s="48" t="n"/>
      <c r="AE1083" s="58" t="n"/>
      <c r="AF1083" s="42" t="n"/>
      <c r="AG1083" s="42" t="n"/>
      <c r="AH1083" s="48" t="n"/>
      <c r="AI1083" s="58" t="n"/>
    </row>
    <row r="1084">
      <c r="B1084" s="2">
        <f>IF(STUDENTS!B1083="","",STUDENTS!B1083)</f>
        <v/>
      </c>
      <c r="C1084" s="44">
        <f>IFERROR(IF(B1084="","",_xlfn.XLOOKUP(B1084,STUDENTS!$B$3:$B$1048576,STUDENTS!$C$3:$C$1048576)),"Enter a registered reg. no")</f>
        <v/>
      </c>
      <c r="J1084" s="66" t="n"/>
      <c r="K1084" s="67" t="n"/>
      <c r="N1084" s="66" t="n"/>
      <c r="O1084" s="67" t="n"/>
      <c r="R1084" s="66" t="n"/>
      <c r="S1084" s="67" t="n"/>
      <c r="V1084" s="66" t="n"/>
      <c r="W1084" s="67" t="n"/>
      <c r="AD1084" s="66" t="n"/>
      <c r="AE1084" s="67" t="n"/>
      <c r="AH1084" s="66" t="n"/>
      <c r="AI1084" s="67" t="n"/>
    </row>
    <row r="1085">
      <c r="B1085" s="2">
        <f>IF(STUDENTS!B1084="","",STUDENTS!B1084)</f>
        <v/>
      </c>
      <c r="C1085" s="44">
        <f>IFERROR(IF(B1085="","",_xlfn.XLOOKUP(B1085,STUDENTS!$B$3:$B$1048576,STUDENTS!$C$3:$C$1048576)),"Enter a registered reg. no")</f>
        <v/>
      </c>
      <c r="D1085" s="54" t="n"/>
      <c r="E1085" s="55" t="n"/>
      <c r="F1085" s="48" t="n"/>
      <c r="G1085" s="58" t="n"/>
      <c r="H1085" s="62" t="n"/>
      <c r="I1085" s="63" t="n"/>
      <c r="J1085" s="48" t="n"/>
      <c r="K1085" s="58" t="n"/>
      <c r="L1085" s="42" t="n"/>
      <c r="M1085" s="42" t="n"/>
      <c r="N1085" s="48" t="n"/>
      <c r="O1085" s="58" t="n"/>
      <c r="P1085" s="42" t="n"/>
      <c r="Q1085" s="42" t="n"/>
      <c r="R1085" s="48" t="n"/>
      <c r="S1085" s="58" t="n"/>
      <c r="T1085" s="42" t="n"/>
      <c r="U1085" s="42" t="n"/>
      <c r="V1085" s="48" t="n"/>
      <c r="W1085" s="58" t="n"/>
      <c r="X1085" s="42" t="n"/>
      <c r="Y1085" s="42" t="n"/>
      <c r="Z1085" s="42" t="n"/>
      <c r="AA1085" s="42" t="n"/>
      <c r="AB1085" s="42" t="n"/>
      <c r="AC1085" s="42" t="n"/>
      <c r="AD1085" s="48" t="n"/>
      <c r="AE1085" s="58" t="n"/>
      <c r="AF1085" s="42" t="n"/>
      <c r="AG1085" s="42" t="n"/>
      <c r="AH1085" s="48" t="n"/>
      <c r="AI1085" s="58" t="n"/>
    </row>
    <row r="1086">
      <c r="B1086" s="2">
        <f>IF(STUDENTS!B1085="","",STUDENTS!B1085)</f>
        <v/>
      </c>
      <c r="C1086" s="44">
        <f>IFERROR(IF(B1086="","",_xlfn.XLOOKUP(B1086,STUDENTS!$B$3:$B$1048576,STUDENTS!$C$3:$C$1048576)),"Enter a registered reg. no")</f>
        <v/>
      </c>
      <c r="J1086" s="66" t="n"/>
      <c r="K1086" s="67" t="n"/>
      <c r="N1086" s="66" t="n"/>
      <c r="O1086" s="67" t="n"/>
      <c r="R1086" s="66" t="n"/>
      <c r="S1086" s="67" t="n"/>
      <c r="V1086" s="66" t="n"/>
      <c r="W1086" s="67" t="n"/>
      <c r="AD1086" s="66" t="n"/>
      <c r="AE1086" s="67" t="n"/>
      <c r="AH1086" s="66" t="n"/>
      <c r="AI1086" s="67" t="n"/>
    </row>
    <row r="1087">
      <c r="B1087" s="2">
        <f>IF(STUDENTS!B1086="","",STUDENTS!B1086)</f>
        <v/>
      </c>
      <c r="C1087" s="44">
        <f>IFERROR(IF(B1087="","",_xlfn.XLOOKUP(B1087,STUDENTS!$B$3:$B$1048576,STUDENTS!$C$3:$C$1048576)),"Enter a registered reg. no")</f>
        <v/>
      </c>
      <c r="D1087" s="54" t="n"/>
      <c r="E1087" s="55" t="n"/>
      <c r="F1087" s="48" t="n"/>
      <c r="G1087" s="58" t="n"/>
      <c r="H1087" s="62" t="n"/>
      <c r="I1087" s="63" t="n"/>
      <c r="J1087" s="48" t="n"/>
      <c r="K1087" s="58" t="n"/>
      <c r="L1087" s="42" t="n"/>
      <c r="M1087" s="42" t="n"/>
      <c r="N1087" s="48" t="n"/>
      <c r="O1087" s="58" t="n"/>
      <c r="P1087" s="42" t="n"/>
      <c r="Q1087" s="42" t="n"/>
      <c r="R1087" s="48" t="n"/>
      <c r="S1087" s="58" t="n"/>
      <c r="T1087" s="42" t="n"/>
      <c r="U1087" s="42" t="n"/>
      <c r="V1087" s="48" t="n"/>
      <c r="W1087" s="58" t="n"/>
      <c r="X1087" s="42" t="n"/>
      <c r="Y1087" s="42" t="n"/>
      <c r="Z1087" s="42" t="n"/>
      <c r="AA1087" s="42" t="n"/>
      <c r="AB1087" s="42" t="n"/>
      <c r="AC1087" s="42" t="n"/>
      <c r="AD1087" s="48" t="n"/>
      <c r="AE1087" s="58" t="n"/>
      <c r="AF1087" s="42" t="n"/>
      <c r="AG1087" s="42" t="n"/>
      <c r="AH1087" s="48" t="n"/>
      <c r="AI1087" s="58" t="n"/>
    </row>
    <row r="1088">
      <c r="B1088" s="2">
        <f>IF(STUDENTS!B1087="","",STUDENTS!B1087)</f>
        <v/>
      </c>
      <c r="C1088" s="44">
        <f>IFERROR(IF(B1088="","",_xlfn.XLOOKUP(B1088,STUDENTS!$B$3:$B$1048576,STUDENTS!$C$3:$C$1048576)),"Enter a registered reg. no")</f>
        <v/>
      </c>
      <c r="J1088" s="66" t="n"/>
      <c r="K1088" s="67" t="n"/>
      <c r="N1088" s="66" t="n"/>
      <c r="O1088" s="67" t="n"/>
      <c r="R1088" s="66" t="n"/>
      <c r="S1088" s="67" t="n"/>
      <c r="V1088" s="66" t="n"/>
      <c r="W1088" s="67" t="n"/>
      <c r="AD1088" s="66" t="n"/>
      <c r="AE1088" s="67" t="n"/>
      <c r="AH1088" s="66" t="n"/>
      <c r="AI1088" s="67" t="n"/>
    </row>
    <row r="1089">
      <c r="B1089" s="2">
        <f>IF(STUDENTS!B1088="","",STUDENTS!B1088)</f>
        <v/>
      </c>
      <c r="C1089" s="44">
        <f>IFERROR(IF(B1089="","",_xlfn.XLOOKUP(B1089,STUDENTS!$B$3:$B$1048576,STUDENTS!$C$3:$C$1048576)),"Enter a registered reg. no")</f>
        <v/>
      </c>
      <c r="D1089" s="54" t="n"/>
      <c r="E1089" s="55" t="n"/>
      <c r="F1089" s="48" t="n"/>
      <c r="G1089" s="58" t="n"/>
      <c r="H1089" s="62" t="n"/>
      <c r="I1089" s="63" t="n"/>
      <c r="J1089" s="48" t="n"/>
      <c r="K1089" s="58" t="n"/>
      <c r="L1089" s="42" t="n"/>
      <c r="M1089" s="42" t="n"/>
      <c r="N1089" s="48" t="n"/>
      <c r="O1089" s="58" t="n"/>
      <c r="P1089" s="42" t="n"/>
      <c r="Q1089" s="42" t="n"/>
      <c r="R1089" s="48" t="n"/>
      <c r="S1089" s="58" t="n"/>
      <c r="T1089" s="42" t="n"/>
      <c r="U1089" s="42" t="n"/>
      <c r="V1089" s="48" t="n"/>
      <c r="W1089" s="58" t="n"/>
      <c r="X1089" s="42" t="n"/>
      <c r="Y1089" s="42" t="n"/>
      <c r="Z1089" s="42" t="n"/>
      <c r="AA1089" s="42" t="n"/>
      <c r="AB1089" s="42" t="n"/>
      <c r="AC1089" s="42" t="n"/>
      <c r="AD1089" s="48" t="n"/>
      <c r="AE1089" s="58" t="n"/>
      <c r="AF1089" s="42" t="n"/>
      <c r="AG1089" s="42" t="n"/>
      <c r="AH1089" s="48" t="n"/>
      <c r="AI1089" s="58" t="n"/>
    </row>
    <row r="1090">
      <c r="B1090" s="2">
        <f>IF(STUDENTS!B1089="","",STUDENTS!B1089)</f>
        <v/>
      </c>
      <c r="C1090" s="44">
        <f>IFERROR(IF(B1090="","",_xlfn.XLOOKUP(B1090,STUDENTS!$B$3:$B$1048576,STUDENTS!$C$3:$C$1048576)),"Enter a registered reg. no")</f>
        <v/>
      </c>
      <c r="J1090" s="66" t="n"/>
      <c r="K1090" s="67" t="n"/>
      <c r="N1090" s="66" t="n"/>
      <c r="O1090" s="67" t="n"/>
      <c r="R1090" s="66" t="n"/>
      <c r="S1090" s="67" t="n"/>
      <c r="V1090" s="66" t="n"/>
      <c r="W1090" s="67" t="n"/>
      <c r="AD1090" s="66" t="n"/>
      <c r="AE1090" s="67" t="n"/>
      <c r="AH1090" s="66" t="n"/>
      <c r="AI1090" s="67" t="n"/>
    </row>
    <row r="1091">
      <c r="B1091" s="2">
        <f>IF(STUDENTS!B1090="","",STUDENTS!B1090)</f>
        <v/>
      </c>
      <c r="C1091" s="44">
        <f>IFERROR(IF(B1091="","",_xlfn.XLOOKUP(B1091,STUDENTS!$B$3:$B$1048576,STUDENTS!$C$3:$C$1048576)),"Enter a registered reg. no")</f>
        <v/>
      </c>
      <c r="D1091" s="54" t="n"/>
      <c r="E1091" s="55" t="n"/>
      <c r="F1091" s="48" t="n"/>
      <c r="G1091" s="58" t="n"/>
      <c r="H1091" s="62" t="n"/>
      <c r="I1091" s="63" t="n"/>
      <c r="J1091" s="48" t="n"/>
      <c r="K1091" s="58" t="n"/>
      <c r="L1091" s="42" t="n"/>
      <c r="M1091" s="42" t="n"/>
      <c r="N1091" s="48" t="n"/>
      <c r="O1091" s="58" t="n"/>
      <c r="P1091" s="42" t="n"/>
      <c r="Q1091" s="42" t="n"/>
      <c r="R1091" s="48" t="n"/>
      <c r="S1091" s="58" t="n"/>
      <c r="T1091" s="42" t="n"/>
      <c r="U1091" s="42" t="n"/>
      <c r="V1091" s="48" t="n"/>
      <c r="W1091" s="58" t="n"/>
      <c r="X1091" s="42" t="n"/>
      <c r="Y1091" s="42" t="n"/>
      <c r="Z1091" s="42" t="n"/>
      <c r="AA1091" s="42" t="n"/>
      <c r="AB1091" s="42" t="n"/>
      <c r="AC1091" s="42" t="n"/>
      <c r="AD1091" s="48" t="n"/>
      <c r="AE1091" s="58" t="n"/>
      <c r="AF1091" s="42" t="n"/>
      <c r="AG1091" s="42" t="n"/>
      <c r="AH1091" s="48" t="n"/>
      <c r="AI1091" s="58" t="n"/>
    </row>
    <row r="1092">
      <c r="B1092" s="2">
        <f>IF(STUDENTS!B1091="","",STUDENTS!B1091)</f>
        <v/>
      </c>
      <c r="C1092" s="44">
        <f>IFERROR(IF(B1092="","",_xlfn.XLOOKUP(B1092,STUDENTS!$B$3:$B$1048576,STUDENTS!$C$3:$C$1048576)),"Enter a registered reg. no")</f>
        <v/>
      </c>
      <c r="J1092" s="66" t="n"/>
      <c r="K1092" s="67" t="n"/>
      <c r="N1092" s="66" t="n"/>
      <c r="O1092" s="67" t="n"/>
      <c r="R1092" s="66" t="n"/>
      <c r="S1092" s="67" t="n"/>
      <c r="V1092" s="66" t="n"/>
      <c r="W1092" s="67" t="n"/>
      <c r="AD1092" s="66" t="n"/>
      <c r="AE1092" s="67" t="n"/>
      <c r="AH1092" s="66" t="n"/>
      <c r="AI1092" s="67" t="n"/>
    </row>
    <row r="1093">
      <c r="B1093" s="2">
        <f>IF(STUDENTS!B1092="","",STUDENTS!B1092)</f>
        <v/>
      </c>
      <c r="C1093" s="44">
        <f>IFERROR(IF(B1093="","",_xlfn.XLOOKUP(B1093,STUDENTS!$B$3:$B$1048576,STUDENTS!$C$3:$C$1048576)),"Enter a registered reg. no")</f>
        <v/>
      </c>
      <c r="D1093" s="54" t="n"/>
      <c r="E1093" s="55" t="n"/>
      <c r="F1093" s="48" t="n"/>
      <c r="G1093" s="58" t="n"/>
      <c r="H1093" s="62" t="n"/>
      <c r="I1093" s="63" t="n"/>
      <c r="J1093" s="48" t="n"/>
      <c r="K1093" s="58" t="n"/>
      <c r="L1093" s="42" t="n"/>
      <c r="M1093" s="42" t="n"/>
      <c r="N1093" s="48" t="n"/>
      <c r="O1093" s="58" t="n"/>
      <c r="P1093" s="42" t="n"/>
      <c r="Q1093" s="42" t="n"/>
      <c r="R1093" s="48" t="n"/>
      <c r="S1093" s="58" t="n"/>
      <c r="T1093" s="42" t="n"/>
      <c r="U1093" s="42" t="n"/>
      <c r="V1093" s="48" t="n"/>
      <c r="W1093" s="58" t="n"/>
      <c r="X1093" s="42" t="n"/>
      <c r="Y1093" s="42" t="n"/>
      <c r="Z1093" s="42" t="n"/>
      <c r="AA1093" s="42" t="n"/>
      <c r="AB1093" s="42" t="n"/>
      <c r="AC1093" s="42" t="n"/>
      <c r="AD1093" s="48" t="n"/>
      <c r="AE1093" s="58" t="n"/>
      <c r="AF1093" s="42" t="n"/>
      <c r="AG1093" s="42" t="n"/>
      <c r="AH1093" s="48" t="n"/>
      <c r="AI1093" s="58" t="n"/>
    </row>
    <row r="1094">
      <c r="B1094" s="2">
        <f>IF(STUDENTS!B1093="","",STUDENTS!B1093)</f>
        <v/>
      </c>
      <c r="C1094" s="44">
        <f>IFERROR(IF(B1094="","",_xlfn.XLOOKUP(B1094,STUDENTS!$B$3:$B$1048576,STUDENTS!$C$3:$C$1048576)),"Enter a registered reg. no")</f>
        <v/>
      </c>
      <c r="J1094" s="66" t="n"/>
      <c r="K1094" s="67" t="n"/>
      <c r="N1094" s="66" t="n"/>
      <c r="O1094" s="67" t="n"/>
      <c r="R1094" s="66" t="n"/>
      <c r="S1094" s="67" t="n"/>
      <c r="V1094" s="66" t="n"/>
      <c r="W1094" s="67" t="n"/>
      <c r="AD1094" s="66" t="n"/>
      <c r="AE1094" s="67" t="n"/>
      <c r="AH1094" s="66" t="n"/>
      <c r="AI1094" s="67" t="n"/>
    </row>
    <row r="1095">
      <c r="B1095" s="2">
        <f>IF(STUDENTS!B1094="","",STUDENTS!B1094)</f>
        <v/>
      </c>
      <c r="C1095" s="44">
        <f>IFERROR(IF(B1095="","",_xlfn.XLOOKUP(B1095,STUDENTS!$B$3:$B$1048576,STUDENTS!$C$3:$C$1048576)),"Enter a registered reg. no")</f>
        <v/>
      </c>
      <c r="D1095" s="54" t="n"/>
      <c r="E1095" s="55" t="n"/>
      <c r="F1095" s="48" t="n"/>
      <c r="G1095" s="58" t="n"/>
      <c r="H1095" s="62" t="n"/>
      <c r="I1095" s="63" t="n"/>
      <c r="J1095" s="48" t="n"/>
      <c r="K1095" s="58" t="n"/>
      <c r="L1095" s="42" t="n"/>
      <c r="M1095" s="42" t="n"/>
      <c r="N1095" s="48" t="n"/>
      <c r="O1095" s="58" t="n"/>
      <c r="P1095" s="42" t="n"/>
      <c r="Q1095" s="42" t="n"/>
      <c r="R1095" s="48" t="n"/>
      <c r="S1095" s="58" t="n"/>
      <c r="T1095" s="42" t="n"/>
      <c r="U1095" s="42" t="n"/>
      <c r="V1095" s="48" t="n"/>
      <c r="W1095" s="58" t="n"/>
      <c r="X1095" s="42" t="n"/>
      <c r="Y1095" s="42" t="n"/>
      <c r="Z1095" s="42" t="n"/>
      <c r="AA1095" s="42" t="n"/>
      <c r="AB1095" s="42" t="n"/>
      <c r="AC1095" s="42" t="n"/>
      <c r="AD1095" s="48" t="n"/>
      <c r="AE1095" s="58" t="n"/>
      <c r="AF1095" s="42" t="n"/>
      <c r="AG1095" s="42" t="n"/>
      <c r="AH1095" s="48" t="n"/>
      <c r="AI1095" s="58" t="n"/>
    </row>
    <row r="1096">
      <c r="B1096" s="2">
        <f>IF(STUDENTS!B1095="","",STUDENTS!B1095)</f>
        <v/>
      </c>
      <c r="C1096" s="44">
        <f>IFERROR(IF(B1096="","",_xlfn.XLOOKUP(B1096,STUDENTS!$B$3:$B$1048576,STUDENTS!$C$3:$C$1048576)),"Enter a registered reg. no")</f>
        <v/>
      </c>
      <c r="J1096" s="66" t="n"/>
      <c r="K1096" s="67" t="n"/>
      <c r="N1096" s="66" t="n"/>
      <c r="O1096" s="67" t="n"/>
      <c r="R1096" s="66" t="n"/>
      <c r="S1096" s="67" t="n"/>
      <c r="V1096" s="66" t="n"/>
      <c r="W1096" s="67" t="n"/>
      <c r="AD1096" s="66" t="n"/>
      <c r="AE1096" s="67" t="n"/>
      <c r="AH1096" s="66" t="n"/>
      <c r="AI1096" s="67" t="n"/>
    </row>
    <row r="1097">
      <c r="B1097" s="2">
        <f>IF(STUDENTS!B1096="","",STUDENTS!B1096)</f>
        <v/>
      </c>
      <c r="C1097" s="44">
        <f>IFERROR(IF(B1097="","",_xlfn.XLOOKUP(B1097,STUDENTS!$B$3:$B$1048576,STUDENTS!$C$3:$C$1048576)),"Enter a registered reg. no")</f>
        <v/>
      </c>
      <c r="D1097" s="54" t="n"/>
      <c r="E1097" s="55" t="n"/>
      <c r="F1097" s="48" t="n"/>
      <c r="G1097" s="58" t="n"/>
      <c r="H1097" s="62" t="n"/>
      <c r="I1097" s="63" t="n"/>
      <c r="J1097" s="48" t="n"/>
      <c r="K1097" s="58" t="n"/>
      <c r="L1097" s="42" t="n"/>
      <c r="M1097" s="42" t="n"/>
      <c r="N1097" s="48" t="n"/>
      <c r="O1097" s="58" t="n"/>
      <c r="P1097" s="42" t="n"/>
      <c r="Q1097" s="42" t="n"/>
      <c r="R1097" s="48" t="n"/>
      <c r="S1097" s="58" t="n"/>
      <c r="T1097" s="42" t="n"/>
      <c r="U1097" s="42" t="n"/>
      <c r="V1097" s="48" t="n"/>
      <c r="W1097" s="58" t="n"/>
      <c r="X1097" s="42" t="n"/>
      <c r="Y1097" s="42" t="n"/>
      <c r="Z1097" s="42" t="n"/>
      <c r="AA1097" s="42" t="n"/>
      <c r="AB1097" s="42" t="n"/>
      <c r="AC1097" s="42" t="n"/>
      <c r="AD1097" s="48" t="n"/>
      <c r="AE1097" s="58" t="n"/>
      <c r="AF1097" s="42" t="n"/>
      <c r="AG1097" s="42" t="n"/>
      <c r="AH1097" s="48" t="n"/>
      <c r="AI1097" s="58" t="n"/>
    </row>
    <row r="1098">
      <c r="B1098" s="2">
        <f>IF(STUDENTS!B1097="","",STUDENTS!B1097)</f>
        <v/>
      </c>
      <c r="C1098" s="44">
        <f>IFERROR(IF(B1098="","",_xlfn.XLOOKUP(B1098,STUDENTS!$B$3:$B$1048576,STUDENTS!$C$3:$C$1048576)),"Enter a registered reg. no")</f>
        <v/>
      </c>
      <c r="J1098" s="66" t="n"/>
      <c r="K1098" s="67" t="n"/>
      <c r="N1098" s="66" t="n"/>
      <c r="O1098" s="67" t="n"/>
      <c r="R1098" s="66" t="n"/>
      <c r="S1098" s="67" t="n"/>
      <c r="V1098" s="66" t="n"/>
      <c r="W1098" s="67" t="n"/>
      <c r="AD1098" s="66" t="n"/>
      <c r="AE1098" s="67" t="n"/>
      <c r="AH1098" s="66" t="n"/>
      <c r="AI1098" s="67" t="n"/>
    </row>
    <row r="1099">
      <c r="B1099" s="2">
        <f>IF(STUDENTS!B1098="","",STUDENTS!B1098)</f>
        <v/>
      </c>
      <c r="C1099" s="44">
        <f>IFERROR(IF(B1099="","",_xlfn.XLOOKUP(B1099,STUDENTS!$B$3:$B$1048576,STUDENTS!$C$3:$C$1048576)),"Enter a registered reg. no")</f>
        <v/>
      </c>
      <c r="D1099" s="54" t="n"/>
      <c r="E1099" s="55" t="n"/>
      <c r="F1099" s="48" t="n"/>
      <c r="G1099" s="58" t="n"/>
      <c r="H1099" s="62" t="n"/>
      <c r="I1099" s="63" t="n"/>
      <c r="J1099" s="48" t="n"/>
      <c r="K1099" s="58" t="n"/>
      <c r="L1099" s="42" t="n"/>
      <c r="M1099" s="42" t="n"/>
      <c r="N1099" s="48" t="n"/>
      <c r="O1099" s="58" t="n"/>
      <c r="P1099" s="42" t="n"/>
      <c r="Q1099" s="42" t="n"/>
      <c r="R1099" s="48" t="n"/>
      <c r="S1099" s="58" t="n"/>
      <c r="T1099" s="42" t="n"/>
      <c r="U1099" s="42" t="n"/>
      <c r="V1099" s="48" t="n"/>
      <c r="W1099" s="58" t="n"/>
      <c r="X1099" s="42" t="n"/>
      <c r="Y1099" s="42" t="n"/>
      <c r="Z1099" s="42" t="n"/>
      <c r="AA1099" s="42" t="n"/>
      <c r="AB1099" s="42" t="n"/>
      <c r="AC1099" s="42" t="n"/>
      <c r="AD1099" s="48" t="n"/>
      <c r="AE1099" s="58" t="n"/>
      <c r="AF1099" s="42" t="n"/>
      <c r="AG1099" s="42" t="n"/>
      <c r="AH1099" s="48" t="n"/>
      <c r="AI1099" s="58" t="n"/>
    </row>
    <row r="1100">
      <c r="B1100" s="2">
        <f>IF(STUDENTS!B1099="","",STUDENTS!B1099)</f>
        <v/>
      </c>
      <c r="C1100" s="44">
        <f>IFERROR(IF(B1100="","",_xlfn.XLOOKUP(B1100,STUDENTS!$B$3:$B$1048576,STUDENTS!$C$3:$C$1048576)),"Enter a registered reg. no")</f>
        <v/>
      </c>
      <c r="J1100" s="66" t="n"/>
      <c r="K1100" s="67" t="n"/>
      <c r="N1100" s="66" t="n"/>
      <c r="O1100" s="67" t="n"/>
      <c r="R1100" s="66" t="n"/>
      <c r="S1100" s="67" t="n"/>
      <c r="V1100" s="66" t="n"/>
      <c r="W1100" s="67" t="n"/>
      <c r="AD1100" s="66" t="n"/>
      <c r="AE1100" s="67" t="n"/>
      <c r="AH1100" s="66" t="n"/>
      <c r="AI1100" s="67" t="n"/>
    </row>
    <row r="1101">
      <c r="B1101" s="2">
        <f>IF(STUDENTS!B1100="","",STUDENTS!B1100)</f>
        <v/>
      </c>
      <c r="C1101" s="44">
        <f>IFERROR(IF(B1101="","",_xlfn.XLOOKUP(B1101,STUDENTS!$B$3:$B$1048576,STUDENTS!$C$3:$C$1048576)),"Enter a registered reg. no")</f>
        <v/>
      </c>
      <c r="D1101" s="54" t="n"/>
      <c r="E1101" s="55" t="n"/>
      <c r="F1101" s="48" t="n"/>
      <c r="G1101" s="58" t="n"/>
      <c r="H1101" s="62" t="n"/>
      <c r="I1101" s="63" t="n"/>
      <c r="J1101" s="48" t="n"/>
      <c r="K1101" s="58" t="n"/>
      <c r="L1101" s="42" t="n"/>
      <c r="M1101" s="42" t="n"/>
      <c r="N1101" s="48" t="n"/>
      <c r="O1101" s="58" t="n"/>
      <c r="P1101" s="42" t="n"/>
      <c r="Q1101" s="42" t="n"/>
      <c r="R1101" s="48" t="n"/>
      <c r="S1101" s="58" t="n"/>
      <c r="T1101" s="42" t="n"/>
      <c r="U1101" s="42" t="n"/>
      <c r="V1101" s="48" t="n"/>
      <c r="W1101" s="58" t="n"/>
      <c r="X1101" s="42" t="n"/>
      <c r="Y1101" s="42" t="n"/>
      <c r="Z1101" s="42" t="n"/>
      <c r="AA1101" s="42" t="n"/>
      <c r="AB1101" s="42" t="n"/>
      <c r="AC1101" s="42" t="n"/>
      <c r="AD1101" s="48" t="n"/>
      <c r="AE1101" s="58" t="n"/>
      <c r="AF1101" s="42" t="n"/>
      <c r="AG1101" s="42" t="n"/>
      <c r="AH1101" s="48" t="n"/>
      <c r="AI1101" s="58" t="n"/>
    </row>
    <row r="1102">
      <c r="B1102" s="2">
        <f>IF(STUDENTS!B1101="","",STUDENTS!B1101)</f>
        <v/>
      </c>
      <c r="C1102" s="44">
        <f>IFERROR(IF(B1102="","",_xlfn.XLOOKUP(B1102,STUDENTS!$B$3:$B$1048576,STUDENTS!$C$3:$C$1048576)),"Enter a registered reg. no")</f>
        <v/>
      </c>
      <c r="J1102" s="66" t="n"/>
      <c r="K1102" s="67" t="n"/>
      <c r="N1102" s="66" t="n"/>
      <c r="O1102" s="67" t="n"/>
      <c r="R1102" s="66" t="n"/>
      <c r="S1102" s="67" t="n"/>
      <c r="V1102" s="66" t="n"/>
      <c r="W1102" s="67" t="n"/>
      <c r="AD1102" s="66" t="n"/>
      <c r="AE1102" s="67" t="n"/>
      <c r="AH1102" s="66" t="n"/>
      <c r="AI1102" s="67" t="n"/>
    </row>
    <row r="1103">
      <c r="B1103" s="2">
        <f>IF(STUDENTS!B1102="","",STUDENTS!B1102)</f>
        <v/>
      </c>
      <c r="C1103" s="44">
        <f>IFERROR(IF(B1103="","",_xlfn.XLOOKUP(B1103,STUDENTS!$B$3:$B$1048576,STUDENTS!$C$3:$C$1048576)),"Enter a registered reg. no")</f>
        <v/>
      </c>
      <c r="D1103" s="54" t="n"/>
      <c r="E1103" s="55" t="n"/>
      <c r="F1103" s="48" t="n"/>
      <c r="G1103" s="58" t="n"/>
      <c r="H1103" s="62" t="n"/>
      <c r="I1103" s="63" t="n"/>
      <c r="J1103" s="48" t="n"/>
      <c r="K1103" s="58" t="n"/>
      <c r="L1103" s="42" t="n"/>
      <c r="M1103" s="42" t="n"/>
      <c r="N1103" s="48" t="n"/>
      <c r="O1103" s="58" t="n"/>
      <c r="P1103" s="42" t="n"/>
      <c r="Q1103" s="42" t="n"/>
      <c r="R1103" s="48" t="n"/>
      <c r="S1103" s="58" t="n"/>
      <c r="T1103" s="42" t="n"/>
      <c r="U1103" s="42" t="n"/>
      <c r="V1103" s="48" t="n"/>
      <c r="W1103" s="58" t="n"/>
      <c r="X1103" s="42" t="n"/>
      <c r="Y1103" s="42" t="n"/>
      <c r="Z1103" s="42" t="n"/>
      <c r="AA1103" s="42" t="n"/>
      <c r="AB1103" s="42" t="n"/>
      <c r="AC1103" s="42" t="n"/>
      <c r="AD1103" s="48" t="n"/>
      <c r="AE1103" s="58" t="n"/>
      <c r="AF1103" s="42" t="n"/>
      <c r="AG1103" s="42" t="n"/>
      <c r="AH1103" s="48" t="n"/>
      <c r="AI1103" s="58" t="n"/>
    </row>
    <row r="1104">
      <c r="B1104" s="2">
        <f>IF(STUDENTS!B1103="","",STUDENTS!B1103)</f>
        <v/>
      </c>
      <c r="C1104" s="44">
        <f>IFERROR(IF(B1104="","",_xlfn.XLOOKUP(B1104,STUDENTS!$B$3:$B$1048576,STUDENTS!$C$3:$C$1048576)),"Enter a registered reg. no")</f>
        <v/>
      </c>
      <c r="J1104" s="66" t="n"/>
      <c r="K1104" s="67" t="n"/>
      <c r="N1104" s="66" t="n"/>
      <c r="O1104" s="67" t="n"/>
      <c r="R1104" s="66" t="n"/>
      <c r="S1104" s="67" t="n"/>
      <c r="V1104" s="66" t="n"/>
      <c r="W1104" s="67" t="n"/>
      <c r="AD1104" s="66" t="n"/>
      <c r="AE1104" s="67" t="n"/>
      <c r="AH1104" s="66" t="n"/>
      <c r="AI1104" s="67" t="n"/>
    </row>
    <row r="1105">
      <c r="B1105" s="2">
        <f>IF(STUDENTS!B1104="","",STUDENTS!B1104)</f>
        <v/>
      </c>
      <c r="C1105" s="44">
        <f>IFERROR(IF(B1105="","",_xlfn.XLOOKUP(B1105,STUDENTS!$B$3:$B$1048576,STUDENTS!$C$3:$C$1048576)),"Enter a registered reg. no")</f>
        <v/>
      </c>
      <c r="D1105" s="54" t="n"/>
      <c r="E1105" s="55" t="n"/>
      <c r="F1105" s="48" t="n"/>
      <c r="G1105" s="58" t="n"/>
      <c r="H1105" s="62" t="n"/>
      <c r="I1105" s="63" t="n"/>
      <c r="J1105" s="48" t="n"/>
      <c r="K1105" s="58" t="n"/>
      <c r="L1105" s="42" t="n"/>
      <c r="M1105" s="42" t="n"/>
      <c r="N1105" s="48" t="n"/>
      <c r="O1105" s="58" t="n"/>
      <c r="P1105" s="42" t="n"/>
      <c r="Q1105" s="42" t="n"/>
      <c r="R1105" s="48" t="n"/>
      <c r="S1105" s="58" t="n"/>
      <c r="T1105" s="42" t="n"/>
      <c r="U1105" s="42" t="n"/>
      <c r="V1105" s="48" t="n"/>
      <c r="W1105" s="58" t="n"/>
      <c r="X1105" s="42" t="n"/>
      <c r="Y1105" s="42" t="n"/>
      <c r="Z1105" s="42" t="n"/>
      <c r="AA1105" s="42" t="n"/>
      <c r="AB1105" s="42" t="n"/>
      <c r="AC1105" s="42" t="n"/>
      <c r="AD1105" s="48" t="n"/>
      <c r="AE1105" s="58" t="n"/>
      <c r="AF1105" s="42" t="n"/>
      <c r="AG1105" s="42" t="n"/>
      <c r="AH1105" s="48" t="n"/>
      <c r="AI1105" s="58" t="n"/>
    </row>
    <row r="1106">
      <c r="B1106" s="2">
        <f>IF(STUDENTS!B1105="","",STUDENTS!B1105)</f>
        <v/>
      </c>
      <c r="C1106" s="44">
        <f>IFERROR(IF(B1106="","",_xlfn.XLOOKUP(B1106,STUDENTS!$B$3:$B$1048576,STUDENTS!$C$3:$C$1048576)),"Enter a registered reg. no")</f>
        <v/>
      </c>
      <c r="J1106" s="66" t="n"/>
      <c r="K1106" s="67" t="n"/>
      <c r="N1106" s="66" t="n"/>
      <c r="O1106" s="67" t="n"/>
      <c r="R1106" s="66" t="n"/>
      <c r="S1106" s="67" t="n"/>
      <c r="V1106" s="66" t="n"/>
      <c r="W1106" s="67" t="n"/>
      <c r="AD1106" s="66" t="n"/>
      <c r="AE1106" s="67" t="n"/>
      <c r="AH1106" s="66" t="n"/>
      <c r="AI1106" s="67" t="n"/>
    </row>
    <row r="1107">
      <c r="B1107" s="2">
        <f>IF(STUDENTS!B1106="","",STUDENTS!B1106)</f>
        <v/>
      </c>
      <c r="C1107" s="44">
        <f>IFERROR(IF(B1107="","",_xlfn.XLOOKUP(B1107,STUDENTS!$B$3:$B$1048576,STUDENTS!$C$3:$C$1048576)),"Enter a registered reg. no")</f>
        <v/>
      </c>
      <c r="D1107" s="54" t="n"/>
      <c r="E1107" s="55" t="n"/>
      <c r="F1107" s="48" t="n"/>
      <c r="G1107" s="58" t="n"/>
      <c r="H1107" s="62" t="n"/>
      <c r="I1107" s="63" t="n"/>
      <c r="J1107" s="48" t="n"/>
      <c r="K1107" s="58" t="n"/>
      <c r="L1107" s="42" t="n"/>
      <c r="M1107" s="42" t="n"/>
      <c r="N1107" s="48" t="n"/>
      <c r="O1107" s="58" t="n"/>
      <c r="P1107" s="42" t="n"/>
      <c r="Q1107" s="42" t="n"/>
      <c r="R1107" s="48" t="n"/>
      <c r="S1107" s="58" t="n"/>
      <c r="T1107" s="42" t="n"/>
      <c r="U1107" s="42" t="n"/>
      <c r="V1107" s="48" t="n"/>
      <c r="W1107" s="58" t="n"/>
      <c r="X1107" s="42" t="n"/>
      <c r="Y1107" s="42" t="n"/>
      <c r="Z1107" s="42" t="n"/>
      <c r="AA1107" s="42" t="n"/>
      <c r="AB1107" s="42" t="n"/>
      <c r="AC1107" s="42" t="n"/>
      <c r="AD1107" s="48" t="n"/>
      <c r="AE1107" s="58" t="n"/>
      <c r="AF1107" s="42" t="n"/>
      <c r="AG1107" s="42" t="n"/>
      <c r="AH1107" s="48" t="n"/>
      <c r="AI1107" s="58" t="n"/>
    </row>
    <row r="1108">
      <c r="B1108" s="2">
        <f>IF(STUDENTS!B1107="","",STUDENTS!B1107)</f>
        <v/>
      </c>
      <c r="C1108" s="44">
        <f>IFERROR(IF(B1108="","",_xlfn.XLOOKUP(B1108,STUDENTS!$B$3:$B$1048576,STUDENTS!$C$3:$C$1048576)),"Enter a registered reg. no")</f>
        <v/>
      </c>
      <c r="J1108" s="66" t="n"/>
      <c r="K1108" s="67" t="n"/>
      <c r="N1108" s="66" t="n"/>
      <c r="O1108" s="67" t="n"/>
      <c r="R1108" s="66" t="n"/>
      <c r="S1108" s="67" t="n"/>
      <c r="V1108" s="66" t="n"/>
      <c r="W1108" s="67" t="n"/>
      <c r="AD1108" s="66" t="n"/>
      <c r="AE1108" s="67" t="n"/>
      <c r="AH1108" s="66" t="n"/>
      <c r="AI1108" s="67" t="n"/>
    </row>
    <row r="1109">
      <c r="B1109" s="2">
        <f>IF(STUDENTS!B1108="","",STUDENTS!B1108)</f>
        <v/>
      </c>
      <c r="C1109" s="44">
        <f>IFERROR(IF(B1109="","",_xlfn.XLOOKUP(B1109,STUDENTS!$B$3:$B$1048576,STUDENTS!$C$3:$C$1048576)),"Enter a registered reg. no")</f>
        <v/>
      </c>
      <c r="D1109" s="54" t="n"/>
      <c r="E1109" s="55" t="n"/>
      <c r="F1109" s="48" t="n"/>
      <c r="G1109" s="58" t="n"/>
      <c r="H1109" s="62" t="n"/>
      <c r="I1109" s="63" t="n"/>
      <c r="J1109" s="48" t="n"/>
      <c r="K1109" s="58" t="n"/>
      <c r="L1109" s="42" t="n"/>
      <c r="M1109" s="42" t="n"/>
      <c r="N1109" s="48" t="n"/>
      <c r="O1109" s="58" t="n"/>
      <c r="P1109" s="42" t="n"/>
      <c r="Q1109" s="42" t="n"/>
      <c r="R1109" s="48" t="n"/>
      <c r="S1109" s="58" t="n"/>
      <c r="T1109" s="42" t="n"/>
      <c r="U1109" s="42" t="n"/>
      <c r="V1109" s="48" t="n"/>
      <c r="W1109" s="58" t="n"/>
      <c r="X1109" s="42" t="n"/>
      <c r="Y1109" s="42" t="n"/>
      <c r="Z1109" s="42" t="n"/>
      <c r="AA1109" s="42" t="n"/>
      <c r="AB1109" s="42" t="n"/>
      <c r="AC1109" s="42" t="n"/>
      <c r="AD1109" s="48" t="n"/>
      <c r="AE1109" s="58" t="n"/>
      <c r="AF1109" s="42" t="n"/>
      <c r="AG1109" s="42" t="n"/>
      <c r="AH1109" s="48" t="n"/>
      <c r="AI1109" s="58" t="n"/>
    </row>
    <row r="1110">
      <c r="B1110" s="2">
        <f>IF(STUDENTS!B1109="","",STUDENTS!B1109)</f>
        <v/>
      </c>
      <c r="C1110" s="44">
        <f>IFERROR(IF(B1110="","",_xlfn.XLOOKUP(B1110,STUDENTS!$B$3:$B$1048576,STUDENTS!$C$3:$C$1048576)),"Enter a registered reg. no")</f>
        <v/>
      </c>
      <c r="J1110" s="66" t="n"/>
      <c r="K1110" s="67" t="n"/>
      <c r="N1110" s="66" t="n"/>
      <c r="O1110" s="67" t="n"/>
      <c r="R1110" s="66" t="n"/>
      <c r="S1110" s="67" t="n"/>
      <c r="V1110" s="66" t="n"/>
      <c r="W1110" s="67" t="n"/>
      <c r="AD1110" s="66" t="n"/>
      <c r="AE1110" s="67" t="n"/>
      <c r="AH1110" s="66" t="n"/>
      <c r="AI1110" s="67" t="n"/>
    </row>
    <row r="1111">
      <c r="B1111" s="2">
        <f>IF(STUDENTS!B1110="","",STUDENTS!B1110)</f>
        <v/>
      </c>
      <c r="C1111" s="44">
        <f>IFERROR(IF(B1111="","",_xlfn.XLOOKUP(B1111,STUDENTS!$B$3:$B$1048576,STUDENTS!$C$3:$C$1048576)),"Enter a registered reg. no")</f>
        <v/>
      </c>
      <c r="D1111" s="54" t="n"/>
      <c r="E1111" s="55" t="n"/>
      <c r="F1111" s="48" t="n"/>
      <c r="G1111" s="58" t="n"/>
      <c r="H1111" s="62" t="n"/>
      <c r="I1111" s="63" t="n"/>
      <c r="J1111" s="48" t="n"/>
      <c r="K1111" s="58" t="n"/>
      <c r="L1111" s="42" t="n"/>
      <c r="M1111" s="42" t="n"/>
      <c r="N1111" s="48" t="n"/>
      <c r="O1111" s="58" t="n"/>
      <c r="P1111" s="42" t="n"/>
      <c r="Q1111" s="42" t="n"/>
      <c r="R1111" s="48" t="n"/>
      <c r="S1111" s="58" t="n"/>
      <c r="T1111" s="42" t="n"/>
      <c r="U1111" s="42" t="n"/>
      <c r="V1111" s="48" t="n"/>
      <c r="W1111" s="58" t="n"/>
      <c r="X1111" s="42" t="n"/>
      <c r="Y1111" s="42" t="n"/>
      <c r="Z1111" s="42" t="n"/>
      <c r="AA1111" s="42" t="n"/>
      <c r="AB1111" s="42" t="n"/>
      <c r="AC1111" s="42" t="n"/>
      <c r="AD1111" s="48" t="n"/>
      <c r="AE1111" s="58" t="n"/>
      <c r="AF1111" s="42" t="n"/>
      <c r="AG1111" s="42" t="n"/>
      <c r="AH1111" s="48" t="n"/>
      <c r="AI1111" s="58" t="n"/>
    </row>
    <row r="1112">
      <c r="B1112" s="2">
        <f>IF(STUDENTS!B1111="","",STUDENTS!B1111)</f>
        <v/>
      </c>
      <c r="C1112" s="44">
        <f>IFERROR(IF(B1112="","",_xlfn.XLOOKUP(B1112,STUDENTS!$B$3:$B$1048576,STUDENTS!$C$3:$C$1048576)),"Enter a registered reg. no")</f>
        <v/>
      </c>
      <c r="J1112" s="66" t="n"/>
      <c r="K1112" s="67" t="n"/>
      <c r="N1112" s="66" t="n"/>
      <c r="O1112" s="67" t="n"/>
      <c r="R1112" s="66" t="n"/>
      <c r="S1112" s="67" t="n"/>
      <c r="V1112" s="66" t="n"/>
      <c r="W1112" s="67" t="n"/>
      <c r="AD1112" s="66" t="n"/>
      <c r="AE1112" s="67" t="n"/>
      <c r="AH1112" s="66" t="n"/>
      <c r="AI1112" s="67" t="n"/>
    </row>
    <row r="1113">
      <c r="B1113" s="2">
        <f>IF(STUDENTS!B1112="","",STUDENTS!B1112)</f>
        <v/>
      </c>
      <c r="C1113" s="44">
        <f>IFERROR(IF(B1113="","",_xlfn.XLOOKUP(B1113,STUDENTS!$B$3:$B$1048576,STUDENTS!$C$3:$C$1048576)),"Enter a registered reg. no")</f>
        <v/>
      </c>
      <c r="D1113" s="54" t="n"/>
      <c r="E1113" s="55" t="n"/>
      <c r="F1113" s="48" t="n"/>
      <c r="G1113" s="58" t="n"/>
      <c r="H1113" s="62" t="n"/>
      <c r="I1113" s="63" t="n"/>
      <c r="J1113" s="48" t="n"/>
      <c r="K1113" s="58" t="n"/>
      <c r="L1113" s="42" t="n"/>
      <c r="M1113" s="42" t="n"/>
      <c r="N1113" s="48" t="n"/>
      <c r="O1113" s="58" t="n"/>
      <c r="P1113" s="42" t="n"/>
      <c r="Q1113" s="42" t="n"/>
      <c r="R1113" s="48" t="n"/>
      <c r="S1113" s="58" t="n"/>
      <c r="T1113" s="42" t="n"/>
      <c r="U1113" s="42" t="n"/>
      <c r="V1113" s="48" t="n"/>
      <c r="W1113" s="58" t="n"/>
      <c r="X1113" s="42" t="n"/>
      <c r="Y1113" s="42" t="n"/>
      <c r="Z1113" s="42" t="n"/>
      <c r="AA1113" s="42" t="n"/>
      <c r="AB1113" s="42" t="n"/>
      <c r="AC1113" s="42" t="n"/>
      <c r="AD1113" s="48" t="n"/>
      <c r="AE1113" s="58" t="n"/>
      <c r="AF1113" s="42" t="n"/>
      <c r="AG1113" s="42" t="n"/>
      <c r="AH1113" s="48" t="n"/>
      <c r="AI1113" s="58" t="n"/>
    </row>
    <row r="1114">
      <c r="B1114" s="2">
        <f>IF(STUDENTS!B1113="","",STUDENTS!B1113)</f>
        <v/>
      </c>
      <c r="C1114" s="44">
        <f>IFERROR(IF(B1114="","",_xlfn.XLOOKUP(B1114,STUDENTS!$B$3:$B$1048576,STUDENTS!$C$3:$C$1048576)),"Enter a registered reg. no")</f>
        <v/>
      </c>
      <c r="J1114" s="66" t="n"/>
      <c r="K1114" s="67" t="n"/>
      <c r="N1114" s="66" t="n"/>
      <c r="O1114" s="67" t="n"/>
      <c r="R1114" s="66" t="n"/>
      <c r="S1114" s="67" t="n"/>
      <c r="V1114" s="66" t="n"/>
      <c r="W1114" s="67" t="n"/>
      <c r="AD1114" s="66" t="n"/>
      <c r="AE1114" s="67" t="n"/>
      <c r="AH1114" s="66" t="n"/>
      <c r="AI1114" s="67" t="n"/>
    </row>
    <row r="1115">
      <c r="B1115" s="2">
        <f>IF(STUDENTS!B1114="","",STUDENTS!B1114)</f>
        <v/>
      </c>
      <c r="C1115" s="44">
        <f>IFERROR(IF(B1115="","",_xlfn.XLOOKUP(B1115,STUDENTS!$B$3:$B$1048576,STUDENTS!$C$3:$C$1048576)),"Enter a registered reg. no")</f>
        <v/>
      </c>
      <c r="D1115" s="54" t="n"/>
      <c r="E1115" s="55" t="n"/>
      <c r="F1115" s="48" t="n"/>
      <c r="G1115" s="58" t="n"/>
      <c r="H1115" s="62" t="n"/>
      <c r="I1115" s="63" t="n"/>
      <c r="J1115" s="48" t="n"/>
      <c r="K1115" s="58" t="n"/>
      <c r="L1115" s="42" t="n"/>
      <c r="M1115" s="42" t="n"/>
      <c r="N1115" s="48" t="n"/>
      <c r="O1115" s="58" t="n"/>
      <c r="P1115" s="42" t="n"/>
      <c r="Q1115" s="42" t="n"/>
      <c r="R1115" s="48" t="n"/>
      <c r="S1115" s="58" t="n"/>
      <c r="T1115" s="42" t="n"/>
      <c r="U1115" s="42" t="n"/>
      <c r="V1115" s="48" t="n"/>
      <c r="W1115" s="58" t="n"/>
      <c r="X1115" s="42" t="n"/>
      <c r="Y1115" s="42" t="n"/>
      <c r="Z1115" s="42" t="n"/>
      <c r="AA1115" s="42" t="n"/>
      <c r="AB1115" s="42" t="n"/>
      <c r="AC1115" s="42" t="n"/>
      <c r="AD1115" s="48" t="n"/>
      <c r="AE1115" s="58" t="n"/>
      <c r="AF1115" s="42" t="n"/>
      <c r="AG1115" s="42" t="n"/>
      <c r="AH1115" s="48" t="n"/>
      <c r="AI1115" s="58" t="n"/>
    </row>
    <row r="1116">
      <c r="B1116" s="2">
        <f>IF(STUDENTS!B1115="","",STUDENTS!B1115)</f>
        <v/>
      </c>
      <c r="C1116" s="44">
        <f>IFERROR(IF(B1116="","",_xlfn.XLOOKUP(B1116,STUDENTS!$B$3:$B$1048576,STUDENTS!$C$3:$C$1048576)),"Enter a registered reg. no")</f>
        <v/>
      </c>
      <c r="J1116" s="66" t="n"/>
      <c r="K1116" s="67" t="n"/>
      <c r="N1116" s="66" t="n"/>
      <c r="O1116" s="67" t="n"/>
      <c r="R1116" s="66" t="n"/>
      <c r="S1116" s="67" t="n"/>
      <c r="V1116" s="66" t="n"/>
      <c r="W1116" s="67" t="n"/>
      <c r="AD1116" s="66" t="n"/>
      <c r="AE1116" s="67" t="n"/>
      <c r="AH1116" s="66" t="n"/>
      <c r="AI1116" s="67" t="n"/>
    </row>
    <row r="1117">
      <c r="B1117" s="2">
        <f>IF(STUDENTS!B1116="","",STUDENTS!B1116)</f>
        <v/>
      </c>
      <c r="C1117" s="44">
        <f>IFERROR(IF(B1117="","",_xlfn.XLOOKUP(B1117,STUDENTS!$B$3:$B$1048576,STUDENTS!$C$3:$C$1048576)),"Enter a registered reg. no")</f>
        <v/>
      </c>
      <c r="D1117" s="54" t="n"/>
      <c r="E1117" s="55" t="n"/>
      <c r="F1117" s="48" t="n"/>
      <c r="G1117" s="58" t="n"/>
      <c r="H1117" s="62" t="n"/>
      <c r="I1117" s="63" t="n"/>
      <c r="J1117" s="48" t="n"/>
      <c r="K1117" s="58" t="n"/>
      <c r="L1117" s="42" t="n"/>
      <c r="M1117" s="42" t="n"/>
      <c r="N1117" s="48" t="n"/>
      <c r="O1117" s="58" t="n"/>
      <c r="P1117" s="42" t="n"/>
      <c r="Q1117" s="42" t="n"/>
      <c r="R1117" s="48" t="n"/>
      <c r="S1117" s="58" t="n"/>
      <c r="T1117" s="42" t="n"/>
      <c r="U1117" s="42" t="n"/>
      <c r="V1117" s="48" t="n"/>
      <c r="W1117" s="58" t="n"/>
      <c r="X1117" s="42" t="n"/>
      <c r="Y1117" s="42" t="n"/>
      <c r="Z1117" s="42" t="n"/>
      <c r="AA1117" s="42" t="n"/>
      <c r="AB1117" s="42" t="n"/>
      <c r="AC1117" s="42" t="n"/>
      <c r="AD1117" s="48" t="n"/>
      <c r="AE1117" s="58" t="n"/>
      <c r="AF1117" s="42" t="n"/>
      <c r="AG1117" s="42" t="n"/>
      <c r="AH1117" s="48" t="n"/>
      <c r="AI1117" s="58" t="n"/>
    </row>
    <row r="1118">
      <c r="B1118" s="2">
        <f>IF(STUDENTS!B1117="","",STUDENTS!B1117)</f>
        <v/>
      </c>
      <c r="C1118" s="44">
        <f>IFERROR(IF(B1118="","",_xlfn.XLOOKUP(B1118,STUDENTS!$B$3:$B$1048576,STUDENTS!$C$3:$C$1048576)),"Enter a registered reg. no")</f>
        <v/>
      </c>
      <c r="J1118" s="66" t="n"/>
      <c r="K1118" s="67" t="n"/>
      <c r="N1118" s="66" t="n"/>
      <c r="O1118" s="67" t="n"/>
      <c r="R1118" s="66" t="n"/>
      <c r="S1118" s="67" t="n"/>
      <c r="V1118" s="66" t="n"/>
      <c r="W1118" s="67" t="n"/>
      <c r="AD1118" s="66" t="n"/>
      <c r="AE1118" s="67" t="n"/>
      <c r="AH1118" s="66" t="n"/>
      <c r="AI1118" s="67" t="n"/>
    </row>
    <row r="1119">
      <c r="B1119" s="2">
        <f>IF(STUDENTS!B1118="","",STUDENTS!B1118)</f>
        <v/>
      </c>
      <c r="C1119" s="44">
        <f>IFERROR(IF(B1119="","",_xlfn.XLOOKUP(B1119,STUDENTS!$B$3:$B$1048576,STUDENTS!$C$3:$C$1048576)),"Enter a registered reg. no")</f>
        <v/>
      </c>
      <c r="D1119" s="54" t="n"/>
      <c r="E1119" s="55" t="n"/>
      <c r="F1119" s="48" t="n"/>
      <c r="G1119" s="58" t="n"/>
      <c r="H1119" s="62" t="n"/>
      <c r="I1119" s="63" t="n"/>
      <c r="J1119" s="48" t="n"/>
      <c r="K1119" s="58" t="n"/>
      <c r="L1119" s="42" t="n"/>
      <c r="M1119" s="42" t="n"/>
      <c r="N1119" s="48" t="n"/>
      <c r="O1119" s="58" t="n"/>
      <c r="P1119" s="42" t="n"/>
      <c r="Q1119" s="42" t="n"/>
      <c r="R1119" s="48" t="n"/>
      <c r="S1119" s="58" t="n"/>
      <c r="T1119" s="42" t="n"/>
      <c r="U1119" s="42" t="n"/>
      <c r="V1119" s="48" t="n"/>
      <c r="W1119" s="58" t="n"/>
      <c r="X1119" s="42" t="n"/>
      <c r="Y1119" s="42" t="n"/>
      <c r="Z1119" s="42" t="n"/>
      <c r="AA1119" s="42" t="n"/>
      <c r="AB1119" s="42" t="n"/>
      <c r="AC1119" s="42" t="n"/>
      <c r="AD1119" s="48" t="n"/>
      <c r="AE1119" s="58" t="n"/>
      <c r="AF1119" s="42" t="n"/>
      <c r="AG1119" s="42" t="n"/>
      <c r="AH1119" s="48" t="n"/>
      <c r="AI1119" s="58" t="n"/>
    </row>
    <row r="1120">
      <c r="B1120" s="2">
        <f>IF(STUDENTS!B1119="","",STUDENTS!B1119)</f>
        <v/>
      </c>
      <c r="C1120" s="44">
        <f>IFERROR(IF(B1120="","",_xlfn.XLOOKUP(B1120,STUDENTS!$B$3:$B$1048576,STUDENTS!$C$3:$C$1048576)),"Enter a registered reg. no")</f>
        <v/>
      </c>
      <c r="J1120" s="66" t="n"/>
      <c r="K1120" s="67" t="n"/>
      <c r="N1120" s="66" t="n"/>
      <c r="O1120" s="67" t="n"/>
      <c r="R1120" s="66" t="n"/>
      <c r="S1120" s="67" t="n"/>
      <c r="V1120" s="66" t="n"/>
      <c r="W1120" s="67" t="n"/>
      <c r="AD1120" s="66" t="n"/>
      <c r="AE1120" s="67" t="n"/>
      <c r="AH1120" s="66" t="n"/>
      <c r="AI1120" s="67" t="n"/>
    </row>
    <row r="1121">
      <c r="B1121" s="2">
        <f>IF(STUDENTS!B1120="","",STUDENTS!B1120)</f>
        <v/>
      </c>
      <c r="C1121" s="44">
        <f>IFERROR(IF(B1121="","",_xlfn.XLOOKUP(B1121,STUDENTS!$B$3:$B$1048576,STUDENTS!$C$3:$C$1048576)),"Enter a registered reg. no")</f>
        <v/>
      </c>
      <c r="D1121" s="54" t="n"/>
      <c r="E1121" s="55" t="n"/>
      <c r="F1121" s="48" t="n"/>
      <c r="G1121" s="58" t="n"/>
      <c r="H1121" s="62" t="n"/>
      <c r="I1121" s="63" t="n"/>
      <c r="J1121" s="48" t="n"/>
      <c r="K1121" s="58" t="n"/>
      <c r="L1121" s="42" t="n"/>
      <c r="M1121" s="42" t="n"/>
      <c r="N1121" s="48" t="n"/>
      <c r="O1121" s="58" t="n"/>
      <c r="P1121" s="42" t="n"/>
      <c r="Q1121" s="42" t="n"/>
      <c r="R1121" s="48" t="n"/>
      <c r="S1121" s="58" t="n"/>
      <c r="T1121" s="42" t="n"/>
      <c r="U1121" s="42" t="n"/>
      <c r="V1121" s="48" t="n"/>
      <c r="W1121" s="58" t="n"/>
      <c r="X1121" s="42" t="n"/>
      <c r="Y1121" s="42" t="n"/>
      <c r="Z1121" s="42" t="n"/>
      <c r="AA1121" s="42" t="n"/>
      <c r="AB1121" s="42" t="n"/>
      <c r="AC1121" s="42" t="n"/>
      <c r="AD1121" s="48" t="n"/>
      <c r="AE1121" s="58" t="n"/>
      <c r="AF1121" s="42" t="n"/>
      <c r="AG1121" s="42" t="n"/>
      <c r="AH1121" s="48" t="n"/>
      <c r="AI1121" s="58" t="n"/>
    </row>
    <row r="1122">
      <c r="B1122" s="2">
        <f>IF(STUDENTS!B1121="","",STUDENTS!B1121)</f>
        <v/>
      </c>
      <c r="C1122" s="44">
        <f>IFERROR(IF(B1122="","",_xlfn.XLOOKUP(B1122,STUDENTS!$B$3:$B$1048576,STUDENTS!$C$3:$C$1048576)),"Enter a registered reg. no")</f>
        <v/>
      </c>
      <c r="J1122" s="66" t="n"/>
      <c r="K1122" s="67" t="n"/>
      <c r="N1122" s="66" t="n"/>
      <c r="O1122" s="67" t="n"/>
      <c r="R1122" s="66" t="n"/>
      <c r="S1122" s="67" t="n"/>
      <c r="V1122" s="66" t="n"/>
      <c r="W1122" s="67" t="n"/>
      <c r="AD1122" s="66" t="n"/>
      <c r="AE1122" s="67" t="n"/>
      <c r="AH1122" s="66" t="n"/>
      <c r="AI1122" s="67" t="n"/>
    </row>
    <row r="1123">
      <c r="B1123" s="2">
        <f>IF(STUDENTS!B1122="","",STUDENTS!B1122)</f>
        <v/>
      </c>
      <c r="C1123" s="44">
        <f>IFERROR(IF(B1123="","",_xlfn.XLOOKUP(B1123,STUDENTS!$B$3:$B$1048576,STUDENTS!$C$3:$C$1048576)),"Enter a registered reg. no")</f>
        <v/>
      </c>
      <c r="D1123" s="54" t="n"/>
      <c r="E1123" s="55" t="n"/>
      <c r="F1123" s="48" t="n"/>
      <c r="G1123" s="58" t="n"/>
      <c r="H1123" s="62" t="n"/>
      <c r="I1123" s="63" t="n"/>
      <c r="J1123" s="48" t="n"/>
      <c r="K1123" s="58" t="n"/>
      <c r="L1123" s="42" t="n"/>
      <c r="M1123" s="42" t="n"/>
      <c r="N1123" s="48" t="n"/>
      <c r="O1123" s="58" t="n"/>
      <c r="P1123" s="42" t="n"/>
      <c r="Q1123" s="42" t="n"/>
      <c r="R1123" s="48" t="n"/>
      <c r="S1123" s="58" t="n"/>
      <c r="T1123" s="42" t="n"/>
      <c r="U1123" s="42" t="n"/>
      <c r="V1123" s="48" t="n"/>
      <c r="W1123" s="58" t="n"/>
      <c r="X1123" s="42" t="n"/>
      <c r="Y1123" s="42" t="n"/>
      <c r="Z1123" s="42" t="n"/>
      <c r="AA1123" s="42" t="n"/>
      <c r="AB1123" s="42" t="n"/>
      <c r="AC1123" s="42" t="n"/>
      <c r="AD1123" s="48" t="n"/>
      <c r="AE1123" s="58" t="n"/>
      <c r="AF1123" s="42" t="n"/>
      <c r="AG1123" s="42" t="n"/>
      <c r="AH1123" s="48" t="n"/>
      <c r="AI1123" s="58" t="n"/>
    </row>
    <row r="1124">
      <c r="B1124" s="2">
        <f>IF(STUDENTS!B1123="","",STUDENTS!B1123)</f>
        <v/>
      </c>
      <c r="C1124" s="44">
        <f>IFERROR(IF(B1124="","",_xlfn.XLOOKUP(B1124,STUDENTS!$B$3:$B$1048576,STUDENTS!$C$3:$C$1048576)),"Enter a registered reg. no")</f>
        <v/>
      </c>
      <c r="J1124" s="66" t="n"/>
      <c r="K1124" s="67" t="n"/>
      <c r="N1124" s="66" t="n"/>
      <c r="O1124" s="67" t="n"/>
      <c r="R1124" s="66" t="n"/>
      <c r="S1124" s="67" t="n"/>
      <c r="V1124" s="66" t="n"/>
      <c r="W1124" s="67" t="n"/>
      <c r="AD1124" s="66" t="n"/>
      <c r="AE1124" s="67" t="n"/>
      <c r="AH1124" s="66" t="n"/>
      <c r="AI1124" s="67" t="n"/>
    </row>
    <row r="1125">
      <c r="B1125" s="2">
        <f>IF(STUDENTS!B1124="","",STUDENTS!B1124)</f>
        <v/>
      </c>
      <c r="C1125" s="44">
        <f>IFERROR(IF(B1125="","",_xlfn.XLOOKUP(B1125,STUDENTS!$B$3:$B$1048576,STUDENTS!$C$3:$C$1048576)),"Enter a registered reg. no")</f>
        <v/>
      </c>
      <c r="D1125" s="54" t="n"/>
      <c r="E1125" s="55" t="n"/>
      <c r="F1125" s="48" t="n"/>
      <c r="G1125" s="58" t="n"/>
      <c r="H1125" s="62" t="n"/>
      <c r="I1125" s="63" t="n"/>
      <c r="J1125" s="48" t="n"/>
      <c r="K1125" s="58" t="n"/>
      <c r="L1125" s="42" t="n"/>
      <c r="M1125" s="42" t="n"/>
      <c r="N1125" s="48" t="n"/>
      <c r="O1125" s="58" t="n"/>
      <c r="P1125" s="42" t="n"/>
      <c r="Q1125" s="42" t="n"/>
      <c r="R1125" s="48" t="n"/>
      <c r="S1125" s="58" t="n"/>
      <c r="T1125" s="42" t="n"/>
      <c r="U1125" s="42" t="n"/>
      <c r="V1125" s="48" t="n"/>
      <c r="W1125" s="58" t="n"/>
      <c r="X1125" s="42" t="n"/>
      <c r="Y1125" s="42" t="n"/>
      <c r="Z1125" s="42" t="n"/>
      <c r="AA1125" s="42" t="n"/>
      <c r="AB1125" s="42" t="n"/>
      <c r="AC1125" s="42" t="n"/>
      <c r="AD1125" s="48" t="n"/>
      <c r="AE1125" s="58" t="n"/>
      <c r="AF1125" s="42" t="n"/>
      <c r="AG1125" s="42" t="n"/>
      <c r="AH1125" s="48" t="n"/>
      <c r="AI1125" s="58" t="n"/>
    </row>
    <row r="1126">
      <c r="B1126" s="2">
        <f>IF(STUDENTS!B1125="","",STUDENTS!B1125)</f>
        <v/>
      </c>
      <c r="C1126" s="44">
        <f>IFERROR(IF(B1126="","",_xlfn.XLOOKUP(B1126,STUDENTS!$B$3:$B$1048576,STUDENTS!$C$3:$C$1048576)),"Enter a registered reg. no")</f>
        <v/>
      </c>
      <c r="J1126" s="66" t="n"/>
      <c r="K1126" s="67" t="n"/>
      <c r="N1126" s="66" t="n"/>
      <c r="O1126" s="67" t="n"/>
      <c r="R1126" s="66" t="n"/>
      <c r="S1126" s="67" t="n"/>
      <c r="V1126" s="66" t="n"/>
      <c r="W1126" s="67" t="n"/>
      <c r="AD1126" s="66" t="n"/>
      <c r="AE1126" s="67" t="n"/>
      <c r="AH1126" s="66" t="n"/>
      <c r="AI1126" s="67" t="n"/>
    </row>
    <row r="1127">
      <c r="B1127" s="2">
        <f>IF(STUDENTS!B1126="","",STUDENTS!B1126)</f>
        <v/>
      </c>
      <c r="C1127" s="44">
        <f>IFERROR(IF(B1127="","",_xlfn.XLOOKUP(B1127,STUDENTS!$B$3:$B$1048576,STUDENTS!$C$3:$C$1048576)),"Enter a registered reg. no")</f>
        <v/>
      </c>
      <c r="D1127" s="54" t="n"/>
      <c r="E1127" s="55" t="n"/>
      <c r="F1127" s="48" t="n"/>
      <c r="G1127" s="58" t="n"/>
      <c r="H1127" s="62" t="n"/>
      <c r="I1127" s="63" t="n"/>
      <c r="J1127" s="48" t="n"/>
      <c r="K1127" s="58" t="n"/>
      <c r="L1127" s="42" t="n"/>
      <c r="M1127" s="42" t="n"/>
      <c r="N1127" s="48" t="n"/>
      <c r="O1127" s="58" t="n"/>
      <c r="P1127" s="42" t="n"/>
      <c r="Q1127" s="42" t="n"/>
      <c r="R1127" s="48" t="n"/>
      <c r="S1127" s="58" t="n"/>
      <c r="T1127" s="42" t="n"/>
      <c r="U1127" s="42" t="n"/>
      <c r="V1127" s="48" t="n"/>
      <c r="W1127" s="58" t="n"/>
      <c r="X1127" s="42" t="n"/>
      <c r="Y1127" s="42" t="n"/>
      <c r="Z1127" s="42" t="n"/>
      <c r="AA1127" s="42" t="n"/>
      <c r="AB1127" s="42" t="n"/>
      <c r="AC1127" s="42" t="n"/>
      <c r="AD1127" s="48" t="n"/>
      <c r="AE1127" s="58" t="n"/>
      <c r="AF1127" s="42" t="n"/>
      <c r="AG1127" s="42" t="n"/>
      <c r="AH1127" s="48" t="n"/>
      <c r="AI1127" s="58" t="n"/>
    </row>
    <row r="1128">
      <c r="B1128" s="2">
        <f>IF(STUDENTS!B1127="","",STUDENTS!B1127)</f>
        <v/>
      </c>
      <c r="C1128" s="44">
        <f>IFERROR(IF(B1128="","",_xlfn.XLOOKUP(B1128,STUDENTS!$B$3:$B$1048576,STUDENTS!$C$3:$C$1048576)),"Enter a registered reg. no")</f>
        <v/>
      </c>
      <c r="J1128" s="66" t="n"/>
      <c r="K1128" s="67" t="n"/>
      <c r="N1128" s="66" t="n"/>
      <c r="O1128" s="67" t="n"/>
      <c r="R1128" s="66" t="n"/>
      <c r="S1128" s="67" t="n"/>
      <c r="V1128" s="66" t="n"/>
      <c r="W1128" s="67" t="n"/>
      <c r="AD1128" s="66" t="n"/>
      <c r="AE1128" s="67" t="n"/>
      <c r="AH1128" s="66" t="n"/>
      <c r="AI1128" s="67" t="n"/>
    </row>
    <row r="1129">
      <c r="B1129" s="2">
        <f>IF(STUDENTS!B1128="","",STUDENTS!B1128)</f>
        <v/>
      </c>
      <c r="C1129" s="44">
        <f>IFERROR(IF(B1129="","",_xlfn.XLOOKUP(B1129,STUDENTS!$B$3:$B$1048576,STUDENTS!$C$3:$C$1048576)),"Enter a registered reg. no")</f>
        <v/>
      </c>
      <c r="D1129" s="54" t="n"/>
      <c r="E1129" s="55" t="n"/>
      <c r="F1129" s="48" t="n"/>
      <c r="G1129" s="58" t="n"/>
      <c r="H1129" s="62" t="n"/>
      <c r="I1129" s="63" t="n"/>
      <c r="J1129" s="48" t="n"/>
      <c r="K1129" s="58" t="n"/>
      <c r="L1129" s="42" t="n"/>
      <c r="M1129" s="42" t="n"/>
      <c r="N1129" s="48" t="n"/>
      <c r="O1129" s="58" t="n"/>
      <c r="P1129" s="42" t="n"/>
      <c r="Q1129" s="42" t="n"/>
      <c r="R1129" s="48" t="n"/>
      <c r="S1129" s="58" t="n"/>
      <c r="T1129" s="42" t="n"/>
      <c r="U1129" s="42" t="n"/>
      <c r="V1129" s="48" t="n"/>
      <c r="W1129" s="58" t="n"/>
      <c r="X1129" s="42" t="n"/>
      <c r="Y1129" s="42" t="n"/>
      <c r="Z1129" s="42" t="n"/>
      <c r="AA1129" s="42" t="n"/>
      <c r="AB1129" s="42" t="n"/>
      <c r="AC1129" s="42" t="n"/>
      <c r="AD1129" s="48" t="n"/>
      <c r="AE1129" s="58" t="n"/>
      <c r="AF1129" s="42" t="n"/>
      <c r="AG1129" s="42" t="n"/>
      <c r="AH1129" s="48" t="n"/>
      <c r="AI1129" s="58" t="n"/>
    </row>
    <row r="1130">
      <c r="B1130" s="2">
        <f>IF(STUDENTS!B1129="","",STUDENTS!B1129)</f>
        <v/>
      </c>
      <c r="C1130" s="44">
        <f>IFERROR(IF(B1130="","",_xlfn.XLOOKUP(B1130,STUDENTS!$B$3:$B$1048576,STUDENTS!$C$3:$C$1048576)),"Enter a registered reg. no")</f>
        <v/>
      </c>
      <c r="J1130" s="66" t="n"/>
      <c r="K1130" s="67" t="n"/>
      <c r="N1130" s="66" t="n"/>
      <c r="O1130" s="67" t="n"/>
      <c r="R1130" s="66" t="n"/>
      <c r="S1130" s="67" t="n"/>
      <c r="V1130" s="66" t="n"/>
      <c r="W1130" s="67" t="n"/>
      <c r="AD1130" s="66" t="n"/>
      <c r="AE1130" s="67" t="n"/>
      <c r="AH1130" s="66" t="n"/>
      <c r="AI1130" s="67" t="n"/>
    </row>
    <row r="1131">
      <c r="B1131" s="2">
        <f>IF(STUDENTS!B1130="","",STUDENTS!B1130)</f>
        <v/>
      </c>
      <c r="C1131" s="44">
        <f>IFERROR(IF(B1131="","",_xlfn.XLOOKUP(B1131,STUDENTS!$B$3:$B$1048576,STUDENTS!$C$3:$C$1048576)),"Enter a registered reg. no")</f>
        <v/>
      </c>
      <c r="D1131" s="54" t="n"/>
      <c r="E1131" s="55" t="n"/>
      <c r="F1131" s="48" t="n"/>
      <c r="G1131" s="58" t="n"/>
      <c r="H1131" s="62" t="n"/>
      <c r="I1131" s="63" t="n"/>
      <c r="J1131" s="48" t="n"/>
      <c r="K1131" s="58" t="n"/>
      <c r="L1131" s="42" t="n"/>
      <c r="M1131" s="42" t="n"/>
      <c r="N1131" s="48" t="n"/>
      <c r="O1131" s="58" t="n"/>
      <c r="P1131" s="42" t="n"/>
      <c r="Q1131" s="42" t="n"/>
      <c r="R1131" s="48" t="n"/>
      <c r="S1131" s="58" t="n"/>
      <c r="T1131" s="42" t="n"/>
      <c r="U1131" s="42" t="n"/>
      <c r="V1131" s="48" t="n"/>
      <c r="W1131" s="58" t="n"/>
      <c r="X1131" s="42" t="n"/>
      <c r="Y1131" s="42" t="n"/>
      <c r="Z1131" s="42" t="n"/>
      <c r="AA1131" s="42" t="n"/>
      <c r="AB1131" s="42" t="n"/>
      <c r="AC1131" s="42" t="n"/>
      <c r="AD1131" s="48" t="n"/>
      <c r="AE1131" s="58" t="n"/>
      <c r="AF1131" s="42" t="n"/>
      <c r="AG1131" s="42" t="n"/>
      <c r="AH1131" s="48" t="n"/>
      <c r="AI1131" s="58" t="n"/>
    </row>
    <row r="1132">
      <c r="B1132" s="2">
        <f>IF(STUDENTS!B1131="","",STUDENTS!B1131)</f>
        <v/>
      </c>
      <c r="C1132" s="44">
        <f>IFERROR(IF(B1132="","",_xlfn.XLOOKUP(B1132,STUDENTS!$B$3:$B$1048576,STUDENTS!$C$3:$C$1048576)),"Enter a registered reg. no")</f>
        <v/>
      </c>
      <c r="J1132" s="66" t="n"/>
      <c r="K1132" s="67" t="n"/>
      <c r="N1132" s="66" t="n"/>
      <c r="O1132" s="67" t="n"/>
      <c r="R1132" s="66" t="n"/>
      <c r="S1132" s="67" t="n"/>
      <c r="V1132" s="66" t="n"/>
      <c r="W1132" s="67" t="n"/>
      <c r="AD1132" s="66" t="n"/>
      <c r="AE1132" s="67" t="n"/>
      <c r="AH1132" s="66" t="n"/>
      <c r="AI1132" s="67" t="n"/>
    </row>
    <row r="1133">
      <c r="B1133" s="2">
        <f>IF(STUDENTS!B1132="","",STUDENTS!B1132)</f>
        <v/>
      </c>
      <c r="C1133" s="44">
        <f>IFERROR(IF(B1133="","",_xlfn.XLOOKUP(B1133,STUDENTS!$B$3:$B$1048576,STUDENTS!$C$3:$C$1048576)),"Enter a registered reg. no")</f>
        <v/>
      </c>
      <c r="D1133" s="54" t="n"/>
      <c r="E1133" s="55" t="n"/>
      <c r="F1133" s="48" t="n"/>
      <c r="G1133" s="58" t="n"/>
      <c r="H1133" s="62" t="n"/>
      <c r="I1133" s="63" t="n"/>
      <c r="J1133" s="48" t="n"/>
      <c r="K1133" s="58" t="n"/>
      <c r="L1133" s="42" t="n"/>
      <c r="M1133" s="42" t="n"/>
      <c r="N1133" s="48" t="n"/>
      <c r="O1133" s="58" t="n"/>
      <c r="P1133" s="42" t="n"/>
      <c r="Q1133" s="42" t="n"/>
      <c r="R1133" s="48" t="n"/>
      <c r="S1133" s="58" t="n"/>
      <c r="T1133" s="42" t="n"/>
      <c r="U1133" s="42" t="n"/>
      <c r="V1133" s="48" t="n"/>
      <c r="W1133" s="58" t="n"/>
      <c r="X1133" s="42" t="n"/>
      <c r="Y1133" s="42" t="n"/>
      <c r="Z1133" s="42" t="n"/>
      <c r="AA1133" s="42" t="n"/>
      <c r="AB1133" s="42" t="n"/>
      <c r="AC1133" s="42" t="n"/>
      <c r="AD1133" s="48" t="n"/>
      <c r="AE1133" s="58" t="n"/>
      <c r="AF1133" s="42" t="n"/>
      <c r="AG1133" s="42" t="n"/>
      <c r="AH1133" s="48" t="n"/>
      <c r="AI1133" s="58" t="n"/>
    </row>
    <row r="1134">
      <c r="B1134" s="2">
        <f>IF(STUDENTS!B1133="","",STUDENTS!B1133)</f>
        <v/>
      </c>
      <c r="C1134" s="44">
        <f>IFERROR(IF(B1134="","",_xlfn.XLOOKUP(B1134,STUDENTS!$B$3:$B$1048576,STUDENTS!$C$3:$C$1048576)),"Enter a registered reg. no")</f>
        <v/>
      </c>
      <c r="J1134" s="66" t="n"/>
      <c r="K1134" s="67" t="n"/>
      <c r="N1134" s="66" t="n"/>
      <c r="O1134" s="67" t="n"/>
      <c r="R1134" s="66" t="n"/>
      <c r="S1134" s="67" t="n"/>
      <c r="V1134" s="66" t="n"/>
      <c r="W1134" s="67" t="n"/>
      <c r="AD1134" s="66" t="n"/>
      <c r="AE1134" s="67" t="n"/>
      <c r="AH1134" s="66" t="n"/>
      <c r="AI1134" s="67" t="n"/>
    </row>
    <row r="1135">
      <c r="B1135" s="2">
        <f>IF(STUDENTS!B1134="","",STUDENTS!B1134)</f>
        <v/>
      </c>
      <c r="C1135" s="44">
        <f>IFERROR(IF(B1135="","",_xlfn.XLOOKUP(B1135,STUDENTS!$B$3:$B$1048576,STUDENTS!$C$3:$C$1048576)),"Enter a registered reg. no")</f>
        <v/>
      </c>
      <c r="D1135" s="54" t="n"/>
      <c r="E1135" s="55" t="n"/>
      <c r="F1135" s="48" t="n"/>
      <c r="G1135" s="58" t="n"/>
      <c r="H1135" s="62" t="n"/>
      <c r="I1135" s="63" t="n"/>
      <c r="J1135" s="48" t="n"/>
      <c r="K1135" s="58" t="n"/>
      <c r="L1135" s="42" t="n"/>
      <c r="M1135" s="42" t="n"/>
      <c r="N1135" s="48" t="n"/>
      <c r="O1135" s="58" t="n"/>
      <c r="P1135" s="42" t="n"/>
      <c r="Q1135" s="42" t="n"/>
      <c r="R1135" s="48" t="n"/>
      <c r="S1135" s="58" t="n"/>
      <c r="T1135" s="42" t="n"/>
      <c r="U1135" s="42" t="n"/>
      <c r="V1135" s="48" t="n"/>
      <c r="W1135" s="58" t="n"/>
      <c r="X1135" s="42" t="n"/>
      <c r="Y1135" s="42" t="n"/>
      <c r="Z1135" s="42" t="n"/>
      <c r="AA1135" s="42" t="n"/>
      <c r="AB1135" s="42" t="n"/>
      <c r="AC1135" s="42" t="n"/>
      <c r="AD1135" s="48" t="n"/>
      <c r="AE1135" s="58" t="n"/>
      <c r="AF1135" s="42" t="n"/>
      <c r="AG1135" s="42" t="n"/>
      <c r="AH1135" s="48" t="n"/>
      <c r="AI1135" s="58" t="n"/>
    </row>
    <row r="1136">
      <c r="B1136" s="2">
        <f>IF(STUDENTS!B1135="","",STUDENTS!B1135)</f>
        <v/>
      </c>
      <c r="C1136" s="44">
        <f>IFERROR(IF(B1136="","",_xlfn.XLOOKUP(B1136,STUDENTS!$B$3:$B$1048576,STUDENTS!$C$3:$C$1048576)),"Enter a registered reg. no")</f>
        <v/>
      </c>
      <c r="J1136" s="66" t="n"/>
      <c r="K1136" s="67" t="n"/>
      <c r="N1136" s="66" t="n"/>
      <c r="O1136" s="67" t="n"/>
      <c r="R1136" s="66" t="n"/>
      <c r="S1136" s="67" t="n"/>
      <c r="V1136" s="66" t="n"/>
      <c r="W1136" s="67" t="n"/>
      <c r="AD1136" s="66" t="n"/>
      <c r="AE1136" s="67" t="n"/>
      <c r="AH1136" s="66" t="n"/>
      <c r="AI1136" s="67" t="n"/>
    </row>
    <row r="1137">
      <c r="B1137" s="2">
        <f>IF(STUDENTS!B1136="","",STUDENTS!B1136)</f>
        <v/>
      </c>
      <c r="C1137" s="44">
        <f>IFERROR(IF(B1137="","",_xlfn.XLOOKUP(B1137,STUDENTS!$B$3:$B$1048576,STUDENTS!$C$3:$C$1048576)),"Enter a registered reg. no")</f>
        <v/>
      </c>
      <c r="D1137" s="54" t="n"/>
      <c r="E1137" s="55" t="n"/>
      <c r="F1137" s="48" t="n"/>
      <c r="G1137" s="58" t="n"/>
      <c r="H1137" s="62" t="n"/>
      <c r="I1137" s="63" t="n"/>
      <c r="J1137" s="48" t="n"/>
      <c r="K1137" s="58" t="n"/>
      <c r="L1137" s="42" t="n"/>
      <c r="M1137" s="42" t="n"/>
      <c r="N1137" s="48" t="n"/>
      <c r="O1137" s="58" t="n"/>
      <c r="P1137" s="42" t="n"/>
      <c r="Q1137" s="42" t="n"/>
      <c r="R1137" s="48" t="n"/>
      <c r="S1137" s="58" t="n"/>
      <c r="T1137" s="42" t="n"/>
      <c r="U1137" s="42" t="n"/>
      <c r="V1137" s="48" t="n"/>
      <c r="W1137" s="58" t="n"/>
      <c r="X1137" s="42" t="n"/>
      <c r="Y1137" s="42" t="n"/>
      <c r="Z1137" s="42" t="n"/>
      <c r="AA1137" s="42" t="n"/>
      <c r="AB1137" s="42" t="n"/>
      <c r="AC1137" s="42" t="n"/>
      <c r="AD1137" s="48" t="n"/>
      <c r="AE1137" s="58" t="n"/>
      <c r="AF1137" s="42" t="n"/>
      <c r="AG1137" s="42" t="n"/>
      <c r="AH1137" s="48" t="n"/>
      <c r="AI1137" s="58" t="n"/>
    </row>
    <row r="1138">
      <c r="B1138" s="2">
        <f>IF(STUDENTS!B1137="","",STUDENTS!B1137)</f>
        <v/>
      </c>
      <c r="C1138" s="44">
        <f>IFERROR(IF(B1138="","",_xlfn.XLOOKUP(B1138,STUDENTS!$B$3:$B$1048576,STUDENTS!$C$3:$C$1048576)),"Enter a registered reg. no")</f>
        <v/>
      </c>
      <c r="J1138" s="66" t="n"/>
      <c r="K1138" s="67" t="n"/>
      <c r="N1138" s="66" t="n"/>
      <c r="O1138" s="67" t="n"/>
      <c r="R1138" s="66" t="n"/>
      <c r="S1138" s="67" t="n"/>
      <c r="V1138" s="66" t="n"/>
      <c r="W1138" s="67" t="n"/>
      <c r="AD1138" s="66" t="n"/>
      <c r="AE1138" s="67" t="n"/>
      <c r="AH1138" s="66" t="n"/>
      <c r="AI1138" s="67" t="n"/>
    </row>
    <row r="1139">
      <c r="B1139" s="2">
        <f>IF(STUDENTS!B1138="","",STUDENTS!B1138)</f>
        <v/>
      </c>
      <c r="C1139" s="44">
        <f>IFERROR(IF(B1139="","",_xlfn.XLOOKUP(B1139,STUDENTS!$B$3:$B$1048576,STUDENTS!$C$3:$C$1048576)),"Enter a registered reg. no")</f>
        <v/>
      </c>
      <c r="D1139" s="54" t="n"/>
      <c r="E1139" s="55" t="n"/>
      <c r="F1139" s="48" t="n"/>
      <c r="G1139" s="58" t="n"/>
      <c r="H1139" s="62" t="n"/>
      <c r="I1139" s="63" t="n"/>
      <c r="J1139" s="48" t="n"/>
      <c r="K1139" s="58" t="n"/>
      <c r="L1139" s="42" t="n"/>
      <c r="M1139" s="42" t="n"/>
      <c r="N1139" s="48" t="n"/>
      <c r="O1139" s="58" t="n"/>
      <c r="P1139" s="42" t="n"/>
      <c r="Q1139" s="42" t="n"/>
      <c r="R1139" s="48" t="n"/>
      <c r="S1139" s="58" t="n"/>
      <c r="T1139" s="42" t="n"/>
      <c r="U1139" s="42" t="n"/>
      <c r="V1139" s="48" t="n"/>
      <c r="W1139" s="58" t="n"/>
      <c r="X1139" s="42" t="n"/>
      <c r="Y1139" s="42" t="n"/>
      <c r="Z1139" s="42" t="n"/>
      <c r="AA1139" s="42" t="n"/>
      <c r="AB1139" s="42" t="n"/>
      <c r="AC1139" s="42" t="n"/>
      <c r="AD1139" s="48" t="n"/>
      <c r="AE1139" s="58" t="n"/>
      <c r="AF1139" s="42" t="n"/>
      <c r="AG1139" s="42" t="n"/>
      <c r="AH1139" s="48" t="n"/>
      <c r="AI1139" s="58" t="n"/>
    </row>
    <row r="1140">
      <c r="B1140" s="2">
        <f>IF(STUDENTS!B1139="","",STUDENTS!B1139)</f>
        <v/>
      </c>
      <c r="C1140" s="44">
        <f>IFERROR(IF(B1140="","",_xlfn.XLOOKUP(B1140,STUDENTS!$B$3:$B$1048576,STUDENTS!$C$3:$C$1048576)),"Enter a registered reg. no")</f>
        <v/>
      </c>
      <c r="J1140" s="66" t="n"/>
      <c r="K1140" s="67" t="n"/>
      <c r="N1140" s="66" t="n"/>
      <c r="O1140" s="67" t="n"/>
      <c r="R1140" s="66" t="n"/>
      <c r="S1140" s="67" t="n"/>
      <c r="V1140" s="66" t="n"/>
      <c r="W1140" s="67" t="n"/>
      <c r="AD1140" s="66" t="n"/>
      <c r="AE1140" s="67" t="n"/>
      <c r="AH1140" s="66" t="n"/>
      <c r="AI1140" s="67" t="n"/>
    </row>
    <row r="1141">
      <c r="B1141" s="2">
        <f>IF(STUDENTS!B1140="","",STUDENTS!B1140)</f>
        <v/>
      </c>
      <c r="C1141" s="44">
        <f>IFERROR(IF(B1141="","",_xlfn.XLOOKUP(B1141,STUDENTS!$B$3:$B$1048576,STUDENTS!$C$3:$C$1048576)),"Enter a registered reg. no")</f>
        <v/>
      </c>
      <c r="D1141" s="54" t="n"/>
      <c r="E1141" s="55" t="n"/>
      <c r="F1141" s="48" t="n"/>
      <c r="G1141" s="58" t="n"/>
      <c r="H1141" s="62" t="n"/>
      <c r="I1141" s="63" t="n"/>
      <c r="J1141" s="48" t="n"/>
      <c r="K1141" s="58" t="n"/>
      <c r="L1141" s="42" t="n"/>
      <c r="M1141" s="42" t="n"/>
      <c r="N1141" s="48" t="n"/>
      <c r="O1141" s="58" t="n"/>
      <c r="P1141" s="42" t="n"/>
      <c r="Q1141" s="42" t="n"/>
      <c r="R1141" s="48" t="n"/>
      <c r="S1141" s="58" t="n"/>
      <c r="T1141" s="42" t="n"/>
      <c r="U1141" s="42" t="n"/>
      <c r="V1141" s="48" t="n"/>
      <c r="W1141" s="58" t="n"/>
      <c r="X1141" s="42" t="n"/>
      <c r="Y1141" s="42" t="n"/>
      <c r="Z1141" s="42" t="n"/>
      <c r="AA1141" s="42" t="n"/>
      <c r="AB1141" s="42" t="n"/>
      <c r="AC1141" s="42" t="n"/>
      <c r="AD1141" s="48" t="n"/>
      <c r="AE1141" s="58" t="n"/>
      <c r="AF1141" s="42" t="n"/>
      <c r="AG1141" s="42" t="n"/>
      <c r="AH1141" s="48" t="n"/>
      <c r="AI1141" s="58" t="n"/>
    </row>
    <row r="1142">
      <c r="B1142" s="2">
        <f>IF(STUDENTS!B1141="","",STUDENTS!B1141)</f>
        <v/>
      </c>
      <c r="C1142" s="44">
        <f>IFERROR(IF(B1142="","",_xlfn.XLOOKUP(B1142,STUDENTS!$B$3:$B$1048576,STUDENTS!$C$3:$C$1048576)),"Enter a registered reg. no")</f>
        <v/>
      </c>
      <c r="J1142" s="66" t="n"/>
      <c r="K1142" s="67" t="n"/>
      <c r="N1142" s="66" t="n"/>
      <c r="O1142" s="67" t="n"/>
      <c r="R1142" s="66" t="n"/>
      <c r="S1142" s="67" t="n"/>
      <c r="V1142" s="66" t="n"/>
      <c r="W1142" s="67" t="n"/>
      <c r="AD1142" s="66" t="n"/>
      <c r="AE1142" s="67" t="n"/>
      <c r="AH1142" s="66" t="n"/>
      <c r="AI1142" s="67" t="n"/>
    </row>
    <row r="1143">
      <c r="B1143" s="2">
        <f>IF(STUDENTS!B1142="","",STUDENTS!B1142)</f>
        <v/>
      </c>
      <c r="C1143" s="44">
        <f>IFERROR(IF(B1143="","",_xlfn.XLOOKUP(B1143,STUDENTS!$B$3:$B$1048576,STUDENTS!$C$3:$C$1048576)),"Enter a registered reg. no")</f>
        <v/>
      </c>
      <c r="D1143" s="54" t="n"/>
      <c r="E1143" s="55" t="n"/>
      <c r="F1143" s="48" t="n"/>
      <c r="G1143" s="58" t="n"/>
      <c r="H1143" s="62" t="n"/>
      <c r="I1143" s="63" t="n"/>
      <c r="J1143" s="48" t="n"/>
      <c r="K1143" s="58" t="n"/>
      <c r="L1143" s="42" t="n"/>
      <c r="M1143" s="42" t="n"/>
      <c r="N1143" s="48" t="n"/>
      <c r="O1143" s="58" t="n"/>
      <c r="P1143" s="42" t="n"/>
      <c r="Q1143" s="42" t="n"/>
      <c r="R1143" s="48" t="n"/>
      <c r="S1143" s="58" t="n"/>
      <c r="T1143" s="42" t="n"/>
      <c r="U1143" s="42" t="n"/>
      <c r="V1143" s="48" t="n"/>
      <c r="W1143" s="58" t="n"/>
      <c r="X1143" s="42" t="n"/>
      <c r="Y1143" s="42" t="n"/>
      <c r="Z1143" s="42" t="n"/>
      <c r="AA1143" s="42" t="n"/>
      <c r="AB1143" s="42" t="n"/>
      <c r="AC1143" s="42" t="n"/>
      <c r="AD1143" s="48" t="n"/>
      <c r="AE1143" s="58" t="n"/>
      <c r="AF1143" s="42" t="n"/>
      <c r="AG1143" s="42" t="n"/>
      <c r="AH1143" s="48" t="n"/>
      <c r="AI1143" s="58" t="n"/>
    </row>
    <row r="1144">
      <c r="B1144" s="2">
        <f>IF(STUDENTS!B1143="","",STUDENTS!B1143)</f>
        <v/>
      </c>
      <c r="C1144" s="44">
        <f>IFERROR(IF(B1144="","",_xlfn.XLOOKUP(B1144,STUDENTS!$B$3:$B$1048576,STUDENTS!$C$3:$C$1048576)),"Enter a registered reg. no")</f>
        <v/>
      </c>
      <c r="J1144" s="66" t="n"/>
      <c r="K1144" s="67" t="n"/>
      <c r="N1144" s="66" t="n"/>
      <c r="O1144" s="67" t="n"/>
      <c r="R1144" s="66" t="n"/>
      <c r="S1144" s="67" t="n"/>
      <c r="V1144" s="66" t="n"/>
      <c r="W1144" s="67" t="n"/>
      <c r="AD1144" s="66" t="n"/>
      <c r="AE1144" s="67" t="n"/>
      <c r="AH1144" s="66" t="n"/>
      <c r="AI1144" s="67" t="n"/>
    </row>
    <row r="1145">
      <c r="B1145" s="2">
        <f>IF(STUDENTS!B1144="","",STUDENTS!B1144)</f>
        <v/>
      </c>
      <c r="C1145" s="44">
        <f>IFERROR(IF(B1145="","",_xlfn.XLOOKUP(B1145,STUDENTS!$B$3:$B$1048576,STUDENTS!$C$3:$C$1048576)),"Enter a registered reg. no")</f>
        <v/>
      </c>
      <c r="D1145" s="54" t="n"/>
      <c r="E1145" s="55" t="n"/>
      <c r="F1145" s="48" t="n"/>
      <c r="G1145" s="58" t="n"/>
      <c r="H1145" s="62" t="n"/>
      <c r="I1145" s="63" t="n"/>
      <c r="J1145" s="48" t="n"/>
      <c r="K1145" s="58" t="n"/>
      <c r="L1145" s="42" t="n"/>
      <c r="M1145" s="42" t="n"/>
      <c r="N1145" s="48" t="n"/>
      <c r="O1145" s="58" t="n"/>
      <c r="P1145" s="42" t="n"/>
      <c r="Q1145" s="42" t="n"/>
      <c r="R1145" s="48" t="n"/>
      <c r="S1145" s="58" t="n"/>
      <c r="T1145" s="42" t="n"/>
      <c r="U1145" s="42" t="n"/>
      <c r="V1145" s="48" t="n"/>
      <c r="W1145" s="58" t="n"/>
      <c r="X1145" s="42" t="n"/>
      <c r="Y1145" s="42" t="n"/>
      <c r="Z1145" s="42" t="n"/>
      <c r="AA1145" s="42" t="n"/>
      <c r="AB1145" s="42" t="n"/>
      <c r="AC1145" s="42" t="n"/>
      <c r="AD1145" s="48" t="n"/>
      <c r="AE1145" s="58" t="n"/>
      <c r="AF1145" s="42" t="n"/>
      <c r="AG1145" s="42" t="n"/>
      <c r="AH1145" s="48" t="n"/>
      <c r="AI1145" s="58" t="n"/>
    </row>
    <row r="1146">
      <c r="B1146" s="2">
        <f>IF(STUDENTS!B1145="","",STUDENTS!B1145)</f>
        <v/>
      </c>
      <c r="C1146" s="44">
        <f>IFERROR(IF(B1146="","",_xlfn.XLOOKUP(B1146,STUDENTS!$B$3:$B$1048576,STUDENTS!$C$3:$C$1048576)),"Enter a registered reg. no")</f>
        <v/>
      </c>
      <c r="J1146" s="66" t="n"/>
      <c r="K1146" s="67" t="n"/>
      <c r="N1146" s="66" t="n"/>
      <c r="O1146" s="67" t="n"/>
      <c r="R1146" s="66" t="n"/>
      <c r="S1146" s="67" t="n"/>
      <c r="V1146" s="66" t="n"/>
      <c r="W1146" s="67" t="n"/>
      <c r="AD1146" s="66" t="n"/>
      <c r="AE1146" s="67" t="n"/>
      <c r="AH1146" s="66" t="n"/>
      <c r="AI1146" s="67" t="n"/>
    </row>
    <row r="1147">
      <c r="B1147" s="2">
        <f>IF(STUDENTS!B1146="","",STUDENTS!B1146)</f>
        <v/>
      </c>
      <c r="C1147" s="44">
        <f>IFERROR(IF(B1147="","",_xlfn.XLOOKUP(B1147,STUDENTS!$B$3:$B$1048576,STUDENTS!$C$3:$C$1048576)),"Enter a registered reg. no")</f>
        <v/>
      </c>
      <c r="D1147" s="54" t="n"/>
      <c r="E1147" s="55" t="n"/>
      <c r="F1147" s="48" t="n"/>
      <c r="G1147" s="58" t="n"/>
      <c r="H1147" s="62" t="n"/>
      <c r="I1147" s="63" t="n"/>
      <c r="J1147" s="48" t="n"/>
      <c r="K1147" s="58" t="n"/>
      <c r="L1147" s="42" t="n"/>
      <c r="M1147" s="42" t="n"/>
      <c r="N1147" s="48" t="n"/>
      <c r="O1147" s="58" t="n"/>
      <c r="P1147" s="42" t="n"/>
      <c r="Q1147" s="42" t="n"/>
      <c r="R1147" s="48" t="n"/>
      <c r="S1147" s="58" t="n"/>
      <c r="T1147" s="42" t="n"/>
      <c r="U1147" s="42" t="n"/>
      <c r="V1147" s="48" t="n"/>
      <c r="W1147" s="58" t="n"/>
      <c r="X1147" s="42" t="n"/>
      <c r="Y1147" s="42" t="n"/>
      <c r="Z1147" s="42" t="n"/>
      <c r="AA1147" s="42" t="n"/>
      <c r="AB1147" s="42" t="n"/>
      <c r="AC1147" s="42" t="n"/>
      <c r="AD1147" s="48" t="n"/>
      <c r="AE1147" s="58" t="n"/>
      <c r="AF1147" s="42" t="n"/>
      <c r="AG1147" s="42" t="n"/>
      <c r="AH1147" s="48" t="n"/>
      <c r="AI1147" s="58" t="n"/>
    </row>
    <row r="1148">
      <c r="B1148" s="2">
        <f>IF(STUDENTS!B1147="","",STUDENTS!B1147)</f>
        <v/>
      </c>
      <c r="C1148" s="44">
        <f>IFERROR(IF(B1148="","",_xlfn.XLOOKUP(B1148,STUDENTS!$B$3:$B$1048576,STUDENTS!$C$3:$C$1048576)),"Enter a registered reg. no")</f>
        <v/>
      </c>
      <c r="J1148" s="66" t="n"/>
      <c r="K1148" s="67" t="n"/>
      <c r="N1148" s="66" t="n"/>
      <c r="O1148" s="67" t="n"/>
      <c r="R1148" s="66" t="n"/>
      <c r="S1148" s="67" t="n"/>
      <c r="V1148" s="66" t="n"/>
      <c r="W1148" s="67" t="n"/>
      <c r="AD1148" s="66" t="n"/>
      <c r="AE1148" s="67" t="n"/>
      <c r="AH1148" s="66" t="n"/>
      <c r="AI1148" s="67" t="n"/>
    </row>
    <row r="1149">
      <c r="B1149" s="2">
        <f>IF(STUDENTS!B1148="","",STUDENTS!B1148)</f>
        <v/>
      </c>
      <c r="C1149" s="44">
        <f>IFERROR(IF(B1149="","",_xlfn.XLOOKUP(B1149,STUDENTS!$B$3:$B$1048576,STUDENTS!$C$3:$C$1048576)),"Enter a registered reg. no")</f>
        <v/>
      </c>
      <c r="D1149" s="54" t="n"/>
      <c r="E1149" s="55" t="n"/>
      <c r="F1149" s="48" t="n"/>
      <c r="G1149" s="58" t="n"/>
      <c r="H1149" s="62" t="n"/>
      <c r="I1149" s="63" t="n"/>
      <c r="J1149" s="48" t="n"/>
      <c r="K1149" s="58" t="n"/>
      <c r="L1149" s="42" t="n"/>
      <c r="M1149" s="42" t="n"/>
      <c r="N1149" s="48" t="n"/>
      <c r="O1149" s="58" t="n"/>
      <c r="P1149" s="42" t="n"/>
      <c r="Q1149" s="42" t="n"/>
      <c r="R1149" s="48" t="n"/>
      <c r="S1149" s="58" t="n"/>
      <c r="T1149" s="42" t="n"/>
      <c r="U1149" s="42" t="n"/>
      <c r="V1149" s="48" t="n"/>
      <c r="W1149" s="58" t="n"/>
      <c r="X1149" s="42" t="n"/>
      <c r="Y1149" s="42" t="n"/>
      <c r="Z1149" s="42" t="n"/>
      <c r="AA1149" s="42" t="n"/>
      <c r="AB1149" s="42" t="n"/>
      <c r="AC1149" s="42" t="n"/>
      <c r="AD1149" s="48" t="n"/>
      <c r="AE1149" s="58" t="n"/>
      <c r="AF1149" s="42" t="n"/>
      <c r="AG1149" s="42" t="n"/>
      <c r="AH1149" s="48" t="n"/>
      <c r="AI1149" s="58" t="n"/>
    </row>
    <row r="1150">
      <c r="B1150" s="2">
        <f>IF(STUDENTS!B1149="","",STUDENTS!B1149)</f>
        <v/>
      </c>
      <c r="C1150" s="44">
        <f>IFERROR(IF(B1150="","",_xlfn.XLOOKUP(B1150,STUDENTS!$B$3:$B$1048576,STUDENTS!$C$3:$C$1048576)),"Enter a registered reg. no")</f>
        <v/>
      </c>
      <c r="J1150" s="66" t="n"/>
      <c r="K1150" s="67" t="n"/>
      <c r="N1150" s="66" t="n"/>
      <c r="O1150" s="67" t="n"/>
      <c r="R1150" s="66" t="n"/>
      <c r="S1150" s="67" t="n"/>
      <c r="V1150" s="66" t="n"/>
      <c r="W1150" s="67" t="n"/>
      <c r="AD1150" s="66" t="n"/>
      <c r="AE1150" s="67" t="n"/>
      <c r="AH1150" s="66" t="n"/>
      <c r="AI1150" s="67" t="n"/>
    </row>
    <row r="1151">
      <c r="B1151" s="2">
        <f>IF(STUDENTS!B1150="","",STUDENTS!B1150)</f>
        <v/>
      </c>
      <c r="C1151" s="44">
        <f>IFERROR(IF(B1151="","",_xlfn.XLOOKUP(B1151,STUDENTS!$B$3:$B$1048576,STUDENTS!$C$3:$C$1048576)),"Enter a registered reg. no")</f>
        <v/>
      </c>
      <c r="D1151" s="54" t="n"/>
      <c r="E1151" s="55" t="n"/>
      <c r="F1151" s="48" t="n"/>
      <c r="G1151" s="58" t="n"/>
      <c r="H1151" s="62" t="n"/>
      <c r="I1151" s="63" t="n"/>
      <c r="J1151" s="48" t="n"/>
      <c r="K1151" s="58" t="n"/>
      <c r="L1151" s="42" t="n"/>
      <c r="M1151" s="42" t="n"/>
      <c r="N1151" s="48" t="n"/>
      <c r="O1151" s="58" t="n"/>
      <c r="P1151" s="42" t="n"/>
      <c r="Q1151" s="42" t="n"/>
      <c r="R1151" s="48" t="n"/>
      <c r="S1151" s="58" t="n"/>
      <c r="T1151" s="42" t="n"/>
      <c r="U1151" s="42" t="n"/>
      <c r="V1151" s="48" t="n"/>
      <c r="W1151" s="58" t="n"/>
      <c r="X1151" s="42" t="n"/>
      <c r="Y1151" s="42" t="n"/>
      <c r="Z1151" s="42" t="n"/>
      <c r="AA1151" s="42" t="n"/>
      <c r="AB1151" s="42" t="n"/>
      <c r="AC1151" s="42" t="n"/>
      <c r="AD1151" s="48" t="n"/>
      <c r="AE1151" s="58" t="n"/>
      <c r="AF1151" s="42" t="n"/>
      <c r="AG1151" s="42" t="n"/>
      <c r="AH1151" s="48" t="n"/>
      <c r="AI1151" s="58" t="n"/>
    </row>
    <row r="1152">
      <c r="B1152" s="2">
        <f>IF(STUDENTS!B1151="","",STUDENTS!B1151)</f>
        <v/>
      </c>
      <c r="C1152" s="44">
        <f>IFERROR(IF(B1152="","",_xlfn.XLOOKUP(B1152,STUDENTS!$B$3:$B$1048576,STUDENTS!$C$3:$C$1048576)),"Enter a registered reg. no")</f>
        <v/>
      </c>
      <c r="J1152" s="66" t="n"/>
      <c r="K1152" s="67" t="n"/>
      <c r="N1152" s="66" t="n"/>
      <c r="O1152" s="67" t="n"/>
      <c r="R1152" s="66" t="n"/>
      <c r="S1152" s="67" t="n"/>
      <c r="V1152" s="66" t="n"/>
      <c r="W1152" s="67" t="n"/>
      <c r="AD1152" s="66" t="n"/>
      <c r="AE1152" s="67" t="n"/>
      <c r="AH1152" s="66" t="n"/>
      <c r="AI1152" s="67" t="n"/>
    </row>
    <row r="1153">
      <c r="B1153" s="2">
        <f>IF(STUDENTS!B1152="","",STUDENTS!B1152)</f>
        <v/>
      </c>
      <c r="C1153" s="44">
        <f>IFERROR(IF(B1153="","",_xlfn.XLOOKUP(B1153,STUDENTS!$B$3:$B$1048576,STUDENTS!$C$3:$C$1048576)),"Enter a registered reg. no")</f>
        <v/>
      </c>
      <c r="D1153" s="54" t="n"/>
      <c r="E1153" s="55" t="n"/>
      <c r="F1153" s="48" t="n"/>
      <c r="G1153" s="58" t="n"/>
      <c r="H1153" s="62" t="n"/>
      <c r="I1153" s="63" t="n"/>
      <c r="J1153" s="48" t="n"/>
      <c r="K1153" s="58" t="n"/>
      <c r="L1153" s="42" t="n"/>
      <c r="M1153" s="42" t="n"/>
      <c r="N1153" s="48" t="n"/>
      <c r="O1153" s="58" t="n"/>
      <c r="P1153" s="42" t="n"/>
      <c r="Q1153" s="42" t="n"/>
      <c r="R1153" s="48" t="n"/>
      <c r="S1153" s="58" t="n"/>
      <c r="T1153" s="42" t="n"/>
      <c r="U1153" s="42" t="n"/>
      <c r="V1153" s="48" t="n"/>
      <c r="W1153" s="58" t="n"/>
      <c r="X1153" s="42" t="n"/>
      <c r="Y1153" s="42" t="n"/>
      <c r="Z1153" s="42" t="n"/>
      <c r="AA1153" s="42" t="n"/>
      <c r="AB1153" s="42" t="n"/>
      <c r="AC1153" s="42" t="n"/>
      <c r="AD1153" s="48" t="n"/>
      <c r="AE1153" s="58" t="n"/>
      <c r="AF1153" s="42" t="n"/>
      <c r="AG1153" s="42" t="n"/>
      <c r="AH1153" s="48" t="n"/>
      <c r="AI1153" s="58" t="n"/>
    </row>
    <row r="1154">
      <c r="B1154" s="2">
        <f>IF(STUDENTS!B1153="","",STUDENTS!B1153)</f>
        <v/>
      </c>
      <c r="C1154" s="44">
        <f>IFERROR(IF(B1154="","",_xlfn.XLOOKUP(B1154,STUDENTS!$B$3:$B$1048576,STUDENTS!$C$3:$C$1048576)),"Enter a registered reg. no")</f>
        <v/>
      </c>
      <c r="J1154" s="66" t="n"/>
      <c r="K1154" s="67" t="n"/>
      <c r="N1154" s="66" t="n"/>
      <c r="O1154" s="67" t="n"/>
      <c r="R1154" s="66" t="n"/>
      <c r="S1154" s="67" t="n"/>
      <c r="V1154" s="66" t="n"/>
      <c r="W1154" s="67" t="n"/>
      <c r="AD1154" s="66" t="n"/>
      <c r="AE1154" s="67" t="n"/>
      <c r="AH1154" s="66" t="n"/>
      <c r="AI1154" s="67" t="n"/>
    </row>
    <row r="1155">
      <c r="B1155" s="2">
        <f>IF(STUDENTS!B1154="","",STUDENTS!B1154)</f>
        <v/>
      </c>
      <c r="C1155" s="44">
        <f>IFERROR(IF(B1155="","",_xlfn.XLOOKUP(B1155,STUDENTS!$B$3:$B$1048576,STUDENTS!$C$3:$C$1048576)),"Enter a registered reg. no")</f>
        <v/>
      </c>
      <c r="D1155" s="54" t="n"/>
      <c r="E1155" s="55" t="n"/>
      <c r="F1155" s="48" t="n"/>
      <c r="G1155" s="58" t="n"/>
      <c r="H1155" s="62" t="n"/>
      <c r="I1155" s="63" t="n"/>
      <c r="J1155" s="48" t="n"/>
      <c r="K1155" s="58" t="n"/>
      <c r="L1155" s="42" t="n"/>
      <c r="M1155" s="42" t="n"/>
      <c r="N1155" s="48" t="n"/>
      <c r="O1155" s="58" t="n"/>
      <c r="P1155" s="42" t="n"/>
      <c r="Q1155" s="42" t="n"/>
      <c r="R1155" s="48" t="n"/>
      <c r="S1155" s="58" t="n"/>
      <c r="T1155" s="42" t="n"/>
      <c r="U1155" s="42" t="n"/>
      <c r="V1155" s="48" t="n"/>
      <c r="W1155" s="58" t="n"/>
      <c r="X1155" s="42" t="n"/>
      <c r="Y1155" s="42" t="n"/>
      <c r="Z1155" s="42" t="n"/>
      <c r="AA1155" s="42" t="n"/>
      <c r="AB1155" s="42" t="n"/>
      <c r="AC1155" s="42" t="n"/>
      <c r="AD1155" s="48" t="n"/>
      <c r="AE1155" s="58" t="n"/>
      <c r="AF1155" s="42" t="n"/>
      <c r="AG1155" s="42" t="n"/>
      <c r="AH1155" s="48" t="n"/>
      <c r="AI1155" s="58" t="n"/>
    </row>
    <row r="1156">
      <c r="B1156" s="2">
        <f>IF(STUDENTS!B1155="","",STUDENTS!B1155)</f>
        <v/>
      </c>
      <c r="C1156" s="44">
        <f>IFERROR(IF(B1156="","",_xlfn.XLOOKUP(B1156,STUDENTS!$B$3:$B$1048576,STUDENTS!$C$3:$C$1048576)),"Enter a registered reg. no")</f>
        <v/>
      </c>
      <c r="J1156" s="66" t="n"/>
      <c r="K1156" s="67" t="n"/>
      <c r="N1156" s="66" t="n"/>
      <c r="O1156" s="67" t="n"/>
      <c r="R1156" s="66" t="n"/>
      <c r="S1156" s="67" t="n"/>
      <c r="V1156" s="66" t="n"/>
      <c r="W1156" s="67" t="n"/>
      <c r="AD1156" s="66" t="n"/>
      <c r="AE1156" s="67" t="n"/>
      <c r="AH1156" s="66" t="n"/>
      <c r="AI1156" s="67" t="n"/>
    </row>
    <row r="1157">
      <c r="B1157" s="2">
        <f>IF(STUDENTS!B1156="","",STUDENTS!B1156)</f>
        <v/>
      </c>
      <c r="C1157" s="44">
        <f>IFERROR(IF(B1157="","",_xlfn.XLOOKUP(B1157,STUDENTS!$B$3:$B$1048576,STUDENTS!$C$3:$C$1048576)),"Enter a registered reg. no")</f>
        <v/>
      </c>
      <c r="D1157" s="54" t="n"/>
      <c r="E1157" s="55" t="n"/>
      <c r="F1157" s="48" t="n"/>
      <c r="G1157" s="58" t="n"/>
      <c r="H1157" s="62" t="n"/>
      <c r="I1157" s="63" t="n"/>
      <c r="J1157" s="48" t="n"/>
      <c r="K1157" s="58" t="n"/>
      <c r="L1157" s="42" t="n"/>
      <c r="M1157" s="42" t="n"/>
      <c r="N1157" s="48" t="n"/>
      <c r="O1157" s="58" t="n"/>
      <c r="P1157" s="42" t="n"/>
      <c r="Q1157" s="42" t="n"/>
      <c r="R1157" s="48" t="n"/>
      <c r="S1157" s="58" t="n"/>
      <c r="T1157" s="42" t="n"/>
      <c r="U1157" s="42" t="n"/>
      <c r="V1157" s="48" t="n"/>
      <c r="W1157" s="58" t="n"/>
      <c r="X1157" s="42" t="n"/>
      <c r="Y1157" s="42" t="n"/>
      <c r="Z1157" s="42" t="n"/>
      <c r="AA1157" s="42" t="n"/>
      <c r="AB1157" s="42" t="n"/>
      <c r="AC1157" s="42" t="n"/>
      <c r="AD1157" s="48" t="n"/>
      <c r="AE1157" s="58" t="n"/>
      <c r="AF1157" s="42" t="n"/>
      <c r="AG1157" s="42" t="n"/>
      <c r="AH1157" s="48" t="n"/>
      <c r="AI1157" s="58" t="n"/>
    </row>
    <row r="1158">
      <c r="B1158" s="2">
        <f>IF(STUDENTS!B1157="","",STUDENTS!B1157)</f>
        <v/>
      </c>
      <c r="C1158" s="44">
        <f>IFERROR(IF(B1158="","",_xlfn.XLOOKUP(B1158,STUDENTS!$B$3:$B$1048576,STUDENTS!$C$3:$C$1048576)),"Enter a registered reg. no")</f>
        <v/>
      </c>
      <c r="J1158" s="66" t="n"/>
      <c r="K1158" s="67" t="n"/>
      <c r="N1158" s="66" t="n"/>
      <c r="O1158" s="67" t="n"/>
      <c r="R1158" s="66" t="n"/>
      <c r="S1158" s="67" t="n"/>
      <c r="V1158" s="66" t="n"/>
      <c r="W1158" s="67" t="n"/>
      <c r="AD1158" s="66" t="n"/>
      <c r="AE1158" s="67" t="n"/>
      <c r="AH1158" s="66" t="n"/>
      <c r="AI1158" s="67" t="n"/>
    </row>
    <row r="1159">
      <c r="B1159" s="2">
        <f>IF(STUDENTS!B1158="","",STUDENTS!B1158)</f>
        <v/>
      </c>
      <c r="C1159" s="44">
        <f>IFERROR(IF(B1159="","",_xlfn.XLOOKUP(B1159,STUDENTS!$B$3:$B$1048576,STUDENTS!$C$3:$C$1048576)),"Enter a registered reg. no")</f>
        <v/>
      </c>
      <c r="D1159" s="54" t="n"/>
      <c r="E1159" s="55" t="n"/>
      <c r="F1159" s="48" t="n"/>
      <c r="G1159" s="58" t="n"/>
      <c r="H1159" s="62" t="n"/>
      <c r="I1159" s="63" t="n"/>
      <c r="J1159" s="48" t="n"/>
      <c r="K1159" s="58" t="n"/>
      <c r="L1159" s="42" t="n"/>
      <c r="M1159" s="42" t="n"/>
      <c r="N1159" s="48" t="n"/>
      <c r="O1159" s="58" t="n"/>
      <c r="P1159" s="42" t="n"/>
      <c r="Q1159" s="42" t="n"/>
      <c r="R1159" s="48" t="n"/>
      <c r="S1159" s="58" t="n"/>
      <c r="T1159" s="42" t="n"/>
      <c r="U1159" s="42" t="n"/>
      <c r="V1159" s="48" t="n"/>
      <c r="W1159" s="58" t="n"/>
      <c r="X1159" s="42" t="n"/>
      <c r="Y1159" s="42" t="n"/>
      <c r="Z1159" s="42" t="n"/>
      <c r="AA1159" s="42" t="n"/>
      <c r="AB1159" s="42" t="n"/>
      <c r="AC1159" s="42" t="n"/>
      <c r="AD1159" s="48" t="n"/>
      <c r="AE1159" s="58" t="n"/>
      <c r="AF1159" s="42" t="n"/>
      <c r="AG1159" s="42" t="n"/>
      <c r="AH1159" s="48" t="n"/>
      <c r="AI1159" s="58" t="n"/>
    </row>
    <row r="1160">
      <c r="B1160" s="2">
        <f>IF(STUDENTS!B1159="","",STUDENTS!B1159)</f>
        <v/>
      </c>
      <c r="C1160" s="44">
        <f>IFERROR(IF(B1160="","",_xlfn.XLOOKUP(B1160,STUDENTS!$B$3:$B$1048576,STUDENTS!$C$3:$C$1048576)),"Enter a registered reg. no")</f>
        <v/>
      </c>
      <c r="J1160" s="66" t="n"/>
      <c r="K1160" s="67" t="n"/>
      <c r="N1160" s="66" t="n"/>
      <c r="O1160" s="67" t="n"/>
      <c r="R1160" s="66" t="n"/>
      <c r="S1160" s="67" t="n"/>
      <c r="V1160" s="66" t="n"/>
      <c r="W1160" s="67" t="n"/>
      <c r="AD1160" s="66" t="n"/>
      <c r="AE1160" s="67" t="n"/>
      <c r="AH1160" s="66" t="n"/>
      <c r="AI1160" s="67" t="n"/>
    </row>
    <row r="1161">
      <c r="B1161" s="2">
        <f>IF(STUDENTS!B1160="","",STUDENTS!B1160)</f>
        <v/>
      </c>
      <c r="C1161" s="44">
        <f>IFERROR(IF(B1161="","",_xlfn.XLOOKUP(B1161,STUDENTS!$B$3:$B$1048576,STUDENTS!$C$3:$C$1048576)),"Enter a registered reg. no")</f>
        <v/>
      </c>
      <c r="D1161" s="54" t="n"/>
      <c r="E1161" s="55" t="n"/>
      <c r="F1161" s="48" t="n"/>
      <c r="G1161" s="58" t="n"/>
      <c r="H1161" s="62" t="n"/>
      <c r="I1161" s="63" t="n"/>
      <c r="J1161" s="48" t="n"/>
      <c r="K1161" s="58" t="n"/>
      <c r="L1161" s="42" t="n"/>
      <c r="M1161" s="42" t="n"/>
      <c r="N1161" s="48" t="n"/>
      <c r="O1161" s="58" t="n"/>
      <c r="P1161" s="42" t="n"/>
      <c r="Q1161" s="42" t="n"/>
      <c r="R1161" s="48" t="n"/>
      <c r="S1161" s="58" t="n"/>
      <c r="T1161" s="42" t="n"/>
      <c r="U1161" s="42" t="n"/>
      <c r="V1161" s="48" t="n"/>
      <c r="W1161" s="58" t="n"/>
      <c r="X1161" s="42" t="n"/>
      <c r="Y1161" s="42" t="n"/>
      <c r="Z1161" s="42" t="n"/>
      <c r="AA1161" s="42" t="n"/>
      <c r="AB1161" s="42" t="n"/>
      <c r="AC1161" s="42" t="n"/>
      <c r="AD1161" s="48" t="n"/>
      <c r="AE1161" s="58" t="n"/>
      <c r="AF1161" s="42" t="n"/>
      <c r="AG1161" s="42" t="n"/>
      <c r="AH1161" s="48" t="n"/>
      <c r="AI1161" s="58" t="n"/>
    </row>
    <row r="1162">
      <c r="B1162" s="2">
        <f>IF(STUDENTS!B1161="","",STUDENTS!B1161)</f>
        <v/>
      </c>
      <c r="C1162" s="44">
        <f>IFERROR(IF(B1162="","",_xlfn.XLOOKUP(B1162,STUDENTS!$B$3:$B$1048576,STUDENTS!$C$3:$C$1048576)),"Enter a registered reg. no")</f>
        <v/>
      </c>
      <c r="J1162" s="66" t="n"/>
      <c r="K1162" s="67" t="n"/>
      <c r="N1162" s="66" t="n"/>
      <c r="O1162" s="67" t="n"/>
      <c r="R1162" s="66" t="n"/>
      <c r="S1162" s="67" t="n"/>
      <c r="V1162" s="66" t="n"/>
      <c r="W1162" s="67" t="n"/>
      <c r="AD1162" s="66" t="n"/>
      <c r="AE1162" s="67" t="n"/>
      <c r="AH1162" s="66" t="n"/>
      <c r="AI1162" s="67" t="n"/>
    </row>
    <row r="1163">
      <c r="B1163" s="2">
        <f>IF(STUDENTS!B1162="","",STUDENTS!B1162)</f>
        <v/>
      </c>
      <c r="C1163" s="44">
        <f>IFERROR(IF(B1163="","",_xlfn.XLOOKUP(B1163,STUDENTS!$B$3:$B$1048576,STUDENTS!$C$3:$C$1048576)),"Enter a registered reg. no")</f>
        <v/>
      </c>
      <c r="D1163" s="54" t="n"/>
      <c r="E1163" s="55" t="n"/>
      <c r="F1163" s="48" t="n"/>
      <c r="G1163" s="58" t="n"/>
      <c r="H1163" s="62" t="n"/>
      <c r="I1163" s="63" t="n"/>
      <c r="J1163" s="48" t="n"/>
      <c r="K1163" s="58" t="n"/>
      <c r="L1163" s="42" t="n"/>
      <c r="M1163" s="42" t="n"/>
      <c r="N1163" s="48" t="n"/>
      <c r="O1163" s="58" t="n"/>
      <c r="P1163" s="42" t="n"/>
      <c r="Q1163" s="42" t="n"/>
      <c r="R1163" s="48" t="n"/>
      <c r="S1163" s="58" t="n"/>
      <c r="T1163" s="42" t="n"/>
      <c r="U1163" s="42" t="n"/>
      <c r="V1163" s="48" t="n"/>
      <c r="W1163" s="58" t="n"/>
      <c r="X1163" s="42" t="n"/>
      <c r="Y1163" s="42" t="n"/>
      <c r="Z1163" s="42" t="n"/>
      <c r="AA1163" s="42" t="n"/>
      <c r="AB1163" s="42" t="n"/>
      <c r="AC1163" s="42" t="n"/>
      <c r="AD1163" s="48" t="n"/>
      <c r="AE1163" s="58" t="n"/>
      <c r="AF1163" s="42" t="n"/>
      <c r="AG1163" s="42" t="n"/>
      <c r="AH1163" s="48" t="n"/>
      <c r="AI1163" s="58" t="n"/>
    </row>
    <row r="1164">
      <c r="B1164" s="2">
        <f>IF(STUDENTS!B1163="","",STUDENTS!B1163)</f>
        <v/>
      </c>
      <c r="C1164" s="44">
        <f>IFERROR(IF(B1164="","",_xlfn.XLOOKUP(B1164,STUDENTS!$B$3:$B$1048576,STUDENTS!$C$3:$C$1048576)),"Enter a registered reg. no")</f>
        <v/>
      </c>
      <c r="J1164" s="66" t="n"/>
      <c r="K1164" s="67" t="n"/>
      <c r="N1164" s="66" t="n"/>
      <c r="O1164" s="67" t="n"/>
      <c r="R1164" s="66" t="n"/>
      <c r="S1164" s="67" t="n"/>
      <c r="V1164" s="66" t="n"/>
      <c r="W1164" s="67" t="n"/>
      <c r="AD1164" s="66" t="n"/>
      <c r="AE1164" s="67" t="n"/>
      <c r="AH1164" s="66" t="n"/>
      <c r="AI1164" s="67" t="n"/>
    </row>
    <row r="1165">
      <c r="B1165" s="2">
        <f>IF(STUDENTS!B1164="","",STUDENTS!B1164)</f>
        <v/>
      </c>
      <c r="C1165" s="44">
        <f>IFERROR(IF(B1165="","",_xlfn.XLOOKUP(B1165,STUDENTS!$B$3:$B$1048576,STUDENTS!$C$3:$C$1048576)),"Enter a registered reg. no")</f>
        <v/>
      </c>
      <c r="D1165" s="54" t="n"/>
      <c r="E1165" s="55" t="n"/>
      <c r="F1165" s="48" t="n"/>
      <c r="G1165" s="58" t="n"/>
      <c r="H1165" s="62" t="n"/>
      <c r="I1165" s="63" t="n"/>
      <c r="J1165" s="48" t="n"/>
      <c r="K1165" s="58" t="n"/>
      <c r="L1165" s="42" t="n"/>
      <c r="M1165" s="42" t="n"/>
      <c r="N1165" s="48" t="n"/>
      <c r="O1165" s="58" t="n"/>
      <c r="P1165" s="42" t="n"/>
      <c r="Q1165" s="42" t="n"/>
      <c r="R1165" s="48" t="n"/>
      <c r="S1165" s="58" t="n"/>
      <c r="T1165" s="42" t="n"/>
      <c r="U1165" s="42" t="n"/>
      <c r="V1165" s="48" t="n"/>
      <c r="W1165" s="58" t="n"/>
      <c r="X1165" s="42" t="n"/>
      <c r="Y1165" s="42" t="n"/>
      <c r="Z1165" s="42" t="n"/>
      <c r="AA1165" s="42" t="n"/>
      <c r="AB1165" s="42" t="n"/>
      <c r="AC1165" s="42" t="n"/>
      <c r="AD1165" s="48" t="n"/>
      <c r="AE1165" s="58" t="n"/>
      <c r="AF1165" s="42" t="n"/>
      <c r="AG1165" s="42" t="n"/>
      <c r="AH1165" s="48" t="n"/>
      <c r="AI1165" s="58" t="n"/>
    </row>
    <row r="1166">
      <c r="B1166" s="2">
        <f>IF(STUDENTS!B1165="","",STUDENTS!B1165)</f>
        <v/>
      </c>
      <c r="C1166" s="44">
        <f>IFERROR(IF(B1166="","",_xlfn.XLOOKUP(B1166,STUDENTS!$B$3:$B$1048576,STUDENTS!$C$3:$C$1048576)),"Enter a registered reg. no")</f>
        <v/>
      </c>
      <c r="J1166" s="66" t="n"/>
      <c r="K1166" s="67" t="n"/>
      <c r="N1166" s="66" t="n"/>
      <c r="O1166" s="67" t="n"/>
      <c r="R1166" s="66" t="n"/>
      <c r="S1166" s="67" t="n"/>
      <c r="V1166" s="66" t="n"/>
      <c r="W1166" s="67" t="n"/>
      <c r="AD1166" s="66" t="n"/>
      <c r="AE1166" s="67" t="n"/>
      <c r="AH1166" s="66" t="n"/>
      <c r="AI1166" s="67" t="n"/>
    </row>
    <row r="1167">
      <c r="B1167" s="2">
        <f>IF(STUDENTS!B1166="","",STUDENTS!B1166)</f>
        <v/>
      </c>
      <c r="C1167" s="44">
        <f>IFERROR(IF(B1167="","",_xlfn.XLOOKUP(B1167,STUDENTS!$B$3:$B$1048576,STUDENTS!$C$3:$C$1048576)),"Enter a registered reg. no")</f>
        <v/>
      </c>
      <c r="D1167" s="54" t="n"/>
      <c r="E1167" s="55" t="n"/>
      <c r="F1167" s="48" t="n"/>
      <c r="G1167" s="58" t="n"/>
      <c r="H1167" s="62" t="n"/>
      <c r="I1167" s="63" t="n"/>
      <c r="J1167" s="48" t="n"/>
      <c r="K1167" s="58" t="n"/>
      <c r="L1167" s="42" t="n"/>
      <c r="M1167" s="42" t="n"/>
      <c r="N1167" s="48" t="n"/>
      <c r="O1167" s="58" t="n"/>
      <c r="P1167" s="42" t="n"/>
      <c r="Q1167" s="42" t="n"/>
      <c r="R1167" s="48" t="n"/>
      <c r="S1167" s="58" t="n"/>
      <c r="T1167" s="42" t="n"/>
      <c r="U1167" s="42" t="n"/>
      <c r="V1167" s="48" t="n"/>
      <c r="W1167" s="58" t="n"/>
      <c r="X1167" s="42" t="n"/>
      <c r="Y1167" s="42" t="n"/>
      <c r="Z1167" s="42" t="n"/>
      <c r="AA1167" s="42" t="n"/>
      <c r="AB1167" s="42" t="n"/>
      <c r="AC1167" s="42" t="n"/>
      <c r="AD1167" s="48" t="n"/>
      <c r="AE1167" s="58" t="n"/>
      <c r="AF1167" s="42" t="n"/>
      <c r="AG1167" s="42" t="n"/>
      <c r="AH1167" s="48" t="n"/>
      <c r="AI1167" s="58" t="n"/>
    </row>
    <row r="1168">
      <c r="B1168" s="2">
        <f>IF(STUDENTS!B1167="","",STUDENTS!B1167)</f>
        <v/>
      </c>
      <c r="C1168" s="44">
        <f>IFERROR(IF(B1168="","",_xlfn.XLOOKUP(B1168,STUDENTS!$B$3:$B$1048576,STUDENTS!$C$3:$C$1048576)),"Enter a registered reg. no")</f>
        <v/>
      </c>
      <c r="J1168" s="66" t="n"/>
      <c r="K1168" s="67" t="n"/>
      <c r="N1168" s="66" t="n"/>
      <c r="O1168" s="67" t="n"/>
      <c r="R1168" s="66" t="n"/>
      <c r="S1168" s="67" t="n"/>
      <c r="V1168" s="66" t="n"/>
      <c r="W1168" s="67" t="n"/>
      <c r="AD1168" s="66" t="n"/>
      <c r="AE1168" s="67" t="n"/>
      <c r="AH1168" s="66" t="n"/>
      <c r="AI1168" s="67" t="n"/>
    </row>
    <row r="1169">
      <c r="B1169" s="2">
        <f>IF(STUDENTS!B1168="","",STUDENTS!B1168)</f>
        <v/>
      </c>
      <c r="C1169" s="44">
        <f>IFERROR(IF(B1169="","",_xlfn.XLOOKUP(B1169,STUDENTS!$B$3:$B$1048576,STUDENTS!$C$3:$C$1048576)),"Enter a registered reg. no")</f>
        <v/>
      </c>
      <c r="D1169" s="54" t="n"/>
      <c r="E1169" s="55" t="n"/>
      <c r="F1169" s="48" t="n"/>
      <c r="G1169" s="58" t="n"/>
      <c r="H1169" s="62" t="n"/>
      <c r="I1169" s="63" t="n"/>
      <c r="J1169" s="48" t="n"/>
      <c r="K1169" s="58" t="n"/>
      <c r="L1169" s="42" t="n"/>
      <c r="M1169" s="42" t="n"/>
      <c r="N1169" s="48" t="n"/>
      <c r="O1169" s="58" t="n"/>
      <c r="P1169" s="42" t="n"/>
      <c r="Q1169" s="42" t="n"/>
      <c r="R1169" s="48" t="n"/>
      <c r="S1169" s="58" t="n"/>
      <c r="T1169" s="42" t="n"/>
      <c r="U1169" s="42" t="n"/>
      <c r="V1169" s="48" t="n"/>
      <c r="W1169" s="58" t="n"/>
      <c r="X1169" s="42" t="n"/>
      <c r="Y1169" s="42" t="n"/>
      <c r="Z1169" s="42" t="n"/>
      <c r="AA1169" s="42" t="n"/>
      <c r="AB1169" s="42" t="n"/>
      <c r="AC1169" s="42" t="n"/>
      <c r="AD1169" s="48" t="n"/>
      <c r="AE1169" s="58" t="n"/>
      <c r="AF1169" s="42" t="n"/>
      <c r="AG1169" s="42" t="n"/>
      <c r="AH1169" s="48" t="n"/>
      <c r="AI1169" s="58" t="n"/>
    </row>
    <row r="1170">
      <c r="B1170" s="2">
        <f>IF(STUDENTS!B1169="","",STUDENTS!B1169)</f>
        <v/>
      </c>
      <c r="C1170" s="44">
        <f>IFERROR(IF(B1170="","",_xlfn.XLOOKUP(B1170,STUDENTS!$B$3:$B$1048576,STUDENTS!$C$3:$C$1048576)),"Enter a registered reg. no")</f>
        <v/>
      </c>
      <c r="J1170" s="66" t="n"/>
      <c r="K1170" s="67" t="n"/>
      <c r="N1170" s="66" t="n"/>
      <c r="O1170" s="67" t="n"/>
      <c r="R1170" s="66" t="n"/>
      <c r="S1170" s="67" t="n"/>
      <c r="V1170" s="66" t="n"/>
      <c r="W1170" s="67" t="n"/>
      <c r="AD1170" s="66" t="n"/>
      <c r="AE1170" s="67" t="n"/>
      <c r="AH1170" s="66" t="n"/>
      <c r="AI1170" s="67" t="n"/>
    </row>
    <row r="1171">
      <c r="B1171" s="2">
        <f>IF(STUDENTS!B1170="","",STUDENTS!B1170)</f>
        <v/>
      </c>
      <c r="C1171" s="44">
        <f>IFERROR(IF(B1171="","",_xlfn.XLOOKUP(B1171,STUDENTS!$B$3:$B$1048576,STUDENTS!$C$3:$C$1048576)),"Enter a registered reg. no")</f>
        <v/>
      </c>
      <c r="D1171" s="54" t="n"/>
      <c r="E1171" s="55" t="n"/>
      <c r="F1171" s="48" t="n"/>
      <c r="G1171" s="58" t="n"/>
      <c r="H1171" s="62" t="n"/>
      <c r="I1171" s="63" t="n"/>
      <c r="J1171" s="48" t="n"/>
      <c r="K1171" s="58" t="n"/>
      <c r="L1171" s="42" t="n"/>
      <c r="M1171" s="42" t="n"/>
      <c r="N1171" s="48" t="n"/>
      <c r="O1171" s="58" t="n"/>
      <c r="P1171" s="42" t="n"/>
      <c r="Q1171" s="42" t="n"/>
      <c r="R1171" s="48" t="n"/>
      <c r="S1171" s="58" t="n"/>
      <c r="T1171" s="42" t="n"/>
      <c r="U1171" s="42" t="n"/>
      <c r="V1171" s="48" t="n"/>
      <c r="W1171" s="58" t="n"/>
      <c r="X1171" s="42" t="n"/>
      <c r="Y1171" s="42" t="n"/>
      <c r="Z1171" s="42" t="n"/>
      <c r="AA1171" s="42" t="n"/>
      <c r="AB1171" s="42" t="n"/>
      <c r="AC1171" s="42" t="n"/>
      <c r="AD1171" s="48" t="n"/>
      <c r="AE1171" s="58" t="n"/>
      <c r="AF1171" s="42" t="n"/>
      <c r="AG1171" s="42" t="n"/>
      <c r="AH1171" s="48" t="n"/>
      <c r="AI1171" s="58" t="n"/>
    </row>
    <row r="1172">
      <c r="B1172" s="2">
        <f>IF(STUDENTS!B1171="","",STUDENTS!B1171)</f>
        <v/>
      </c>
      <c r="C1172" s="44">
        <f>IFERROR(IF(B1172="","",_xlfn.XLOOKUP(B1172,STUDENTS!$B$3:$B$1048576,STUDENTS!$C$3:$C$1048576)),"Enter a registered reg. no")</f>
        <v/>
      </c>
      <c r="J1172" s="66" t="n"/>
      <c r="K1172" s="67" t="n"/>
      <c r="N1172" s="66" t="n"/>
      <c r="O1172" s="67" t="n"/>
      <c r="R1172" s="66" t="n"/>
      <c r="S1172" s="67" t="n"/>
      <c r="V1172" s="66" t="n"/>
      <c r="W1172" s="67" t="n"/>
      <c r="AD1172" s="66" t="n"/>
      <c r="AE1172" s="67" t="n"/>
      <c r="AH1172" s="66" t="n"/>
      <c r="AI1172" s="67" t="n"/>
    </row>
    <row r="1173">
      <c r="B1173" s="2">
        <f>IF(STUDENTS!B1172="","",STUDENTS!B1172)</f>
        <v/>
      </c>
      <c r="C1173" s="44">
        <f>IFERROR(IF(B1173="","",_xlfn.XLOOKUP(B1173,STUDENTS!$B$3:$B$1048576,STUDENTS!$C$3:$C$1048576)),"Enter a registered reg. no")</f>
        <v/>
      </c>
      <c r="D1173" s="54" t="n"/>
      <c r="E1173" s="55" t="n"/>
      <c r="F1173" s="48" t="n"/>
      <c r="G1173" s="58" t="n"/>
      <c r="H1173" s="62" t="n"/>
      <c r="I1173" s="63" t="n"/>
      <c r="J1173" s="48" t="n"/>
      <c r="K1173" s="58" t="n"/>
      <c r="L1173" s="42" t="n"/>
      <c r="M1173" s="42" t="n"/>
      <c r="N1173" s="48" t="n"/>
      <c r="O1173" s="58" t="n"/>
      <c r="P1173" s="42" t="n"/>
      <c r="Q1173" s="42" t="n"/>
      <c r="R1173" s="48" t="n"/>
      <c r="S1173" s="58" t="n"/>
      <c r="T1173" s="42" t="n"/>
      <c r="U1173" s="42" t="n"/>
      <c r="V1173" s="48" t="n"/>
      <c r="W1173" s="58" t="n"/>
      <c r="X1173" s="42" t="n"/>
      <c r="Y1173" s="42" t="n"/>
      <c r="Z1173" s="42" t="n"/>
      <c r="AA1173" s="42" t="n"/>
      <c r="AB1173" s="42" t="n"/>
      <c r="AC1173" s="42" t="n"/>
      <c r="AD1173" s="48" t="n"/>
      <c r="AE1173" s="58" t="n"/>
      <c r="AF1173" s="42" t="n"/>
      <c r="AG1173" s="42" t="n"/>
      <c r="AH1173" s="48" t="n"/>
      <c r="AI1173" s="58" t="n"/>
    </row>
    <row r="1174">
      <c r="B1174" s="2">
        <f>IF(STUDENTS!B1173="","",STUDENTS!B1173)</f>
        <v/>
      </c>
      <c r="C1174" s="44">
        <f>IFERROR(IF(B1174="","",_xlfn.XLOOKUP(B1174,STUDENTS!$B$3:$B$1048576,STUDENTS!$C$3:$C$1048576)),"Enter a registered reg. no")</f>
        <v/>
      </c>
      <c r="J1174" s="66" t="n"/>
      <c r="K1174" s="67" t="n"/>
      <c r="N1174" s="66" t="n"/>
      <c r="O1174" s="67" t="n"/>
      <c r="R1174" s="66" t="n"/>
      <c r="S1174" s="67" t="n"/>
      <c r="V1174" s="66" t="n"/>
      <c r="W1174" s="67" t="n"/>
      <c r="AD1174" s="66" t="n"/>
      <c r="AE1174" s="67" t="n"/>
      <c r="AH1174" s="66" t="n"/>
      <c r="AI1174" s="67" t="n"/>
    </row>
    <row r="1175">
      <c r="B1175" s="2">
        <f>IF(STUDENTS!B1174="","",STUDENTS!B1174)</f>
        <v/>
      </c>
      <c r="C1175" s="44">
        <f>IFERROR(IF(B1175="","",_xlfn.XLOOKUP(B1175,STUDENTS!$B$3:$B$1048576,STUDENTS!$C$3:$C$1048576)),"Enter a registered reg. no")</f>
        <v/>
      </c>
      <c r="D1175" s="54" t="n"/>
      <c r="E1175" s="55" t="n"/>
      <c r="F1175" s="48" t="n"/>
      <c r="G1175" s="58" t="n"/>
      <c r="H1175" s="62" t="n"/>
      <c r="I1175" s="63" t="n"/>
      <c r="J1175" s="48" t="n"/>
      <c r="K1175" s="58" t="n"/>
      <c r="L1175" s="42" t="n"/>
      <c r="M1175" s="42" t="n"/>
      <c r="N1175" s="48" t="n"/>
      <c r="O1175" s="58" t="n"/>
      <c r="P1175" s="42" t="n"/>
      <c r="Q1175" s="42" t="n"/>
      <c r="R1175" s="48" t="n"/>
      <c r="S1175" s="58" t="n"/>
      <c r="T1175" s="42" t="n"/>
      <c r="U1175" s="42" t="n"/>
      <c r="V1175" s="48" t="n"/>
      <c r="W1175" s="58" t="n"/>
      <c r="X1175" s="42" t="n"/>
      <c r="Y1175" s="42" t="n"/>
      <c r="Z1175" s="42" t="n"/>
      <c r="AA1175" s="42" t="n"/>
      <c r="AB1175" s="42" t="n"/>
      <c r="AC1175" s="42" t="n"/>
      <c r="AD1175" s="48" t="n"/>
      <c r="AE1175" s="58" t="n"/>
      <c r="AF1175" s="42" t="n"/>
      <c r="AG1175" s="42" t="n"/>
      <c r="AH1175" s="48" t="n"/>
      <c r="AI1175" s="58" t="n"/>
    </row>
    <row r="1176">
      <c r="B1176" s="2">
        <f>IF(STUDENTS!B1175="","",STUDENTS!B1175)</f>
        <v/>
      </c>
      <c r="C1176" s="44">
        <f>IFERROR(IF(B1176="","",_xlfn.XLOOKUP(B1176,STUDENTS!$B$3:$B$1048576,STUDENTS!$C$3:$C$1048576)),"Enter a registered reg. no")</f>
        <v/>
      </c>
      <c r="J1176" s="66" t="n"/>
      <c r="K1176" s="67" t="n"/>
      <c r="N1176" s="66" t="n"/>
      <c r="O1176" s="67" t="n"/>
      <c r="R1176" s="66" t="n"/>
      <c r="S1176" s="67" t="n"/>
      <c r="V1176" s="66" t="n"/>
      <c r="W1176" s="67" t="n"/>
      <c r="AD1176" s="66" t="n"/>
      <c r="AE1176" s="67" t="n"/>
      <c r="AH1176" s="66" t="n"/>
      <c r="AI1176" s="67" t="n"/>
    </row>
    <row r="1177">
      <c r="B1177" s="2">
        <f>IF(STUDENTS!B1176="","",STUDENTS!B1176)</f>
        <v/>
      </c>
      <c r="C1177" s="44">
        <f>IFERROR(IF(B1177="","",_xlfn.XLOOKUP(B1177,STUDENTS!$B$3:$B$1048576,STUDENTS!$C$3:$C$1048576)),"Enter a registered reg. no")</f>
        <v/>
      </c>
      <c r="D1177" s="54" t="n"/>
      <c r="E1177" s="55" t="n"/>
      <c r="F1177" s="48" t="n"/>
      <c r="G1177" s="58" t="n"/>
      <c r="H1177" s="62" t="n"/>
      <c r="I1177" s="63" t="n"/>
      <c r="J1177" s="48" t="n"/>
      <c r="K1177" s="58" t="n"/>
      <c r="L1177" s="42" t="n"/>
      <c r="M1177" s="42" t="n"/>
      <c r="N1177" s="48" t="n"/>
      <c r="O1177" s="58" t="n"/>
      <c r="P1177" s="42" t="n"/>
      <c r="Q1177" s="42" t="n"/>
      <c r="R1177" s="48" t="n"/>
      <c r="S1177" s="58" t="n"/>
      <c r="T1177" s="42" t="n"/>
      <c r="U1177" s="42" t="n"/>
      <c r="V1177" s="48" t="n"/>
      <c r="W1177" s="58" t="n"/>
      <c r="X1177" s="42" t="n"/>
      <c r="Y1177" s="42" t="n"/>
      <c r="Z1177" s="42" t="n"/>
      <c r="AA1177" s="42" t="n"/>
      <c r="AB1177" s="42" t="n"/>
      <c r="AC1177" s="42" t="n"/>
      <c r="AD1177" s="48" t="n"/>
      <c r="AE1177" s="58" t="n"/>
      <c r="AF1177" s="42" t="n"/>
      <c r="AG1177" s="42" t="n"/>
      <c r="AH1177" s="48" t="n"/>
      <c r="AI1177" s="58" t="n"/>
    </row>
    <row r="1178">
      <c r="B1178" s="2">
        <f>IF(STUDENTS!B1177="","",STUDENTS!B1177)</f>
        <v/>
      </c>
      <c r="C1178" s="44">
        <f>IFERROR(IF(B1178="","",_xlfn.XLOOKUP(B1178,STUDENTS!$B$3:$B$1048576,STUDENTS!$C$3:$C$1048576)),"Enter a registered reg. no")</f>
        <v/>
      </c>
      <c r="J1178" s="66" t="n"/>
      <c r="K1178" s="67" t="n"/>
      <c r="N1178" s="66" t="n"/>
      <c r="O1178" s="67" t="n"/>
      <c r="R1178" s="66" t="n"/>
      <c r="S1178" s="67" t="n"/>
      <c r="V1178" s="66" t="n"/>
      <c r="W1178" s="67" t="n"/>
      <c r="AD1178" s="66" t="n"/>
      <c r="AE1178" s="67" t="n"/>
      <c r="AH1178" s="66" t="n"/>
      <c r="AI1178" s="67" t="n"/>
    </row>
    <row r="1179">
      <c r="B1179" s="2">
        <f>IF(STUDENTS!B1178="","",STUDENTS!B1178)</f>
        <v/>
      </c>
      <c r="C1179" s="44">
        <f>IFERROR(IF(B1179="","",_xlfn.XLOOKUP(B1179,STUDENTS!$B$3:$B$1048576,STUDENTS!$C$3:$C$1048576)),"Enter a registered reg. no")</f>
        <v/>
      </c>
      <c r="D1179" s="54" t="n"/>
      <c r="E1179" s="55" t="n"/>
      <c r="F1179" s="48" t="n"/>
      <c r="G1179" s="58" t="n"/>
      <c r="H1179" s="62" t="n"/>
      <c r="I1179" s="63" t="n"/>
      <c r="J1179" s="48" t="n"/>
      <c r="K1179" s="58" t="n"/>
      <c r="L1179" s="42" t="n"/>
      <c r="M1179" s="42" t="n"/>
      <c r="N1179" s="48" t="n"/>
      <c r="O1179" s="58" t="n"/>
      <c r="P1179" s="42" t="n"/>
      <c r="Q1179" s="42" t="n"/>
      <c r="R1179" s="48" t="n"/>
      <c r="S1179" s="58" t="n"/>
      <c r="T1179" s="42" t="n"/>
      <c r="U1179" s="42" t="n"/>
      <c r="V1179" s="48" t="n"/>
      <c r="W1179" s="58" t="n"/>
      <c r="X1179" s="42" t="n"/>
      <c r="Y1179" s="42" t="n"/>
      <c r="Z1179" s="42" t="n"/>
      <c r="AA1179" s="42" t="n"/>
      <c r="AB1179" s="42" t="n"/>
      <c r="AC1179" s="42" t="n"/>
      <c r="AD1179" s="48" t="n"/>
      <c r="AE1179" s="58" t="n"/>
      <c r="AF1179" s="42" t="n"/>
      <c r="AG1179" s="42" t="n"/>
      <c r="AH1179" s="48" t="n"/>
      <c r="AI1179" s="58" t="n"/>
    </row>
    <row r="1180">
      <c r="B1180" s="2">
        <f>IF(STUDENTS!B1179="","",STUDENTS!B1179)</f>
        <v/>
      </c>
      <c r="C1180" s="44">
        <f>IFERROR(IF(B1180="","",_xlfn.XLOOKUP(B1180,STUDENTS!$B$3:$B$1048576,STUDENTS!$C$3:$C$1048576)),"Enter a registered reg. no")</f>
        <v/>
      </c>
      <c r="J1180" s="66" t="n"/>
      <c r="K1180" s="67" t="n"/>
      <c r="N1180" s="66" t="n"/>
      <c r="O1180" s="67" t="n"/>
      <c r="R1180" s="66" t="n"/>
      <c r="S1180" s="67" t="n"/>
      <c r="V1180" s="66" t="n"/>
      <c r="W1180" s="67" t="n"/>
      <c r="AD1180" s="66" t="n"/>
      <c r="AE1180" s="67" t="n"/>
      <c r="AH1180" s="66" t="n"/>
      <c r="AI1180" s="67" t="n"/>
    </row>
    <row r="1181">
      <c r="B1181" s="2">
        <f>IF(STUDENTS!B1180="","",STUDENTS!B1180)</f>
        <v/>
      </c>
      <c r="C1181" s="44">
        <f>IFERROR(IF(B1181="","",_xlfn.XLOOKUP(B1181,STUDENTS!$B$3:$B$1048576,STUDENTS!$C$3:$C$1048576)),"Enter a registered reg. no")</f>
        <v/>
      </c>
      <c r="D1181" s="54" t="n"/>
      <c r="E1181" s="55" t="n"/>
      <c r="F1181" s="48" t="n"/>
      <c r="G1181" s="58" t="n"/>
      <c r="H1181" s="62" t="n"/>
      <c r="I1181" s="63" t="n"/>
      <c r="J1181" s="48" t="n"/>
      <c r="K1181" s="58" t="n"/>
      <c r="L1181" s="42" t="n"/>
      <c r="M1181" s="42" t="n"/>
      <c r="N1181" s="48" t="n"/>
      <c r="O1181" s="58" t="n"/>
      <c r="P1181" s="42" t="n"/>
      <c r="Q1181" s="42" t="n"/>
      <c r="R1181" s="48" t="n"/>
      <c r="S1181" s="58" t="n"/>
      <c r="T1181" s="42" t="n"/>
      <c r="U1181" s="42" t="n"/>
      <c r="V1181" s="48" t="n"/>
      <c r="W1181" s="58" t="n"/>
      <c r="X1181" s="42" t="n"/>
      <c r="Y1181" s="42" t="n"/>
      <c r="Z1181" s="42" t="n"/>
      <c r="AA1181" s="42" t="n"/>
      <c r="AB1181" s="42" t="n"/>
      <c r="AC1181" s="42" t="n"/>
      <c r="AD1181" s="48" t="n"/>
      <c r="AE1181" s="58" t="n"/>
      <c r="AF1181" s="42" t="n"/>
      <c r="AG1181" s="42" t="n"/>
      <c r="AH1181" s="48" t="n"/>
      <c r="AI1181" s="58" t="n"/>
    </row>
    <row r="1182">
      <c r="B1182" s="2">
        <f>IF(STUDENTS!B1181="","",STUDENTS!B1181)</f>
        <v/>
      </c>
      <c r="C1182" s="44">
        <f>IFERROR(IF(B1182="","",_xlfn.XLOOKUP(B1182,STUDENTS!$B$3:$B$1048576,STUDENTS!$C$3:$C$1048576)),"Enter a registered reg. no")</f>
        <v/>
      </c>
      <c r="J1182" s="66" t="n"/>
      <c r="K1182" s="67" t="n"/>
      <c r="N1182" s="66" t="n"/>
      <c r="O1182" s="67" t="n"/>
      <c r="R1182" s="66" t="n"/>
      <c r="S1182" s="67" t="n"/>
      <c r="V1182" s="66" t="n"/>
      <c r="W1182" s="67" t="n"/>
      <c r="AD1182" s="66" t="n"/>
      <c r="AE1182" s="67" t="n"/>
      <c r="AH1182" s="66" t="n"/>
      <c r="AI1182" s="67" t="n"/>
    </row>
    <row r="1183">
      <c r="B1183" s="2">
        <f>IF(STUDENTS!B1182="","",STUDENTS!B1182)</f>
        <v/>
      </c>
      <c r="C1183" s="44">
        <f>IFERROR(IF(B1183="","",_xlfn.XLOOKUP(B1183,STUDENTS!$B$3:$B$1048576,STUDENTS!$C$3:$C$1048576)),"Enter a registered reg. no")</f>
        <v/>
      </c>
      <c r="D1183" s="54" t="n"/>
      <c r="E1183" s="55" t="n"/>
      <c r="F1183" s="48" t="n"/>
      <c r="G1183" s="58" t="n"/>
      <c r="H1183" s="62" t="n"/>
      <c r="I1183" s="63" t="n"/>
      <c r="J1183" s="48" t="n"/>
      <c r="K1183" s="58" t="n"/>
      <c r="L1183" s="42" t="n"/>
      <c r="M1183" s="42" t="n"/>
      <c r="N1183" s="48" t="n"/>
      <c r="O1183" s="58" t="n"/>
      <c r="P1183" s="42" t="n"/>
      <c r="Q1183" s="42" t="n"/>
      <c r="R1183" s="48" t="n"/>
      <c r="S1183" s="58" t="n"/>
      <c r="T1183" s="42" t="n"/>
      <c r="U1183" s="42" t="n"/>
      <c r="V1183" s="48" t="n"/>
      <c r="W1183" s="58" t="n"/>
      <c r="X1183" s="42" t="n"/>
      <c r="Y1183" s="42" t="n"/>
      <c r="Z1183" s="42" t="n"/>
      <c r="AA1183" s="42" t="n"/>
      <c r="AB1183" s="42" t="n"/>
      <c r="AC1183" s="42" t="n"/>
      <c r="AD1183" s="48" t="n"/>
      <c r="AE1183" s="58" t="n"/>
      <c r="AF1183" s="42" t="n"/>
      <c r="AG1183" s="42" t="n"/>
      <c r="AH1183" s="48" t="n"/>
      <c r="AI1183" s="58" t="n"/>
    </row>
    <row r="1184">
      <c r="B1184" s="2">
        <f>IF(STUDENTS!B1183="","",STUDENTS!B1183)</f>
        <v/>
      </c>
      <c r="C1184" s="44">
        <f>IFERROR(IF(B1184="","",_xlfn.XLOOKUP(B1184,STUDENTS!$B$3:$B$1048576,STUDENTS!$C$3:$C$1048576)),"Enter a registered reg. no")</f>
        <v/>
      </c>
      <c r="J1184" s="66" t="n"/>
      <c r="K1184" s="67" t="n"/>
      <c r="N1184" s="66" t="n"/>
      <c r="O1184" s="67" t="n"/>
      <c r="R1184" s="66" t="n"/>
      <c r="S1184" s="67" t="n"/>
      <c r="V1184" s="66" t="n"/>
      <c r="W1184" s="67" t="n"/>
      <c r="AD1184" s="66" t="n"/>
      <c r="AE1184" s="67" t="n"/>
      <c r="AH1184" s="66" t="n"/>
      <c r="AI1184" s="67" t="n"/>
    </row>
    <row r="1185">
      <c r="B1185" s="2">
        <f>IF(STUDENTS!B1184="","",STUDENTS!B1184)</f>
        <v/>
      </c>
      <c r="C1185" s="44">
        <f>IFERROR(IF(B1185="","",_xlfn.XLOOKUP(B1185,STUDENTS!$B$3:$B$1048576,STUDENTS!$C$3:$C$1048576)),"Enter a registered reg. no")</f>
        <v/>
      </c>
      <c r="D1185" s="54" t="n"/>
      <c r="E1185" s="55" t="n"/>
      <c r="F1185" s="48" t="n"/>
      <c r="G1185" s="58" t="n"/>
      <c r="H1185" s="62" t="n"/>
      <c r="I1185" s="63" t="n"/>
      <c r="J1185" s="48" t="n"/>
      <c r="K1185" s="58" t="n"/>
      <c r="L1185" s="42" t="n"/>
      <c r="M1185" s="42" t="n"/>
      <c r="N1185" s="48" t="n"/>
      <c r="O1185" s="58" t="n"/>
      <c r="P1185" s="42" t="n"/>
      <c r="Q1185" s="42" t="n"/>
      <c r="R1185" s="48" t="n"/>
      <c r="S1185" s="58" t="n"/>
      <c r="T1185" s="42" t="n"/>
      <c r="U1185" s="42" t="n"/>
      <c r="V1185" s="48" t="n"/>
      <c r="W1185" s="58" t="n"/>
      <c r="X1185" s="42" t="n"/>
      <c r="Y1185" s="42" t="n"/>
      <c r="Z1185" s="42" t="n"/>
      <c r="AA1185" s="42" t="n"/>
      <c r="AB1185" s="42" t="n"/>
      <c r="AC1185" s="42" t="n"/>
      <c r="AD1185" s="48" t="n"/>
      <c r="AE1185" s="58" t="n"/>
      <c r="AF1185" s="42" t="n"/>
      <c r="AG1185" s="42" t="n"/>
      <c r="AH1185" s="48" t="n"/>
      <c r="AI1185" s="58" t="n"/>
    </row>
    <row r="1186">
      <c r="B1186" s="2">
        <f>IF(STUDENTS!B1185="","",STUDENTS!B1185)</f>
        <v/>
      </c>
      <c r="C1186" s="44">
        <f>IFERROR(IF(B1186="","",_xlfn.XLOOKUP(B1186,STUDENTS!$B$3:$B$1048576,STUDENTS!$C$3:$C$1048576)),"Enter a registered reg. no")</f>
        <v/>
      </c>
      <c r="J1186" s="66" t="n"/>
      <c r="K1186" s="67" t="n"/>
      <c r="N1186" s="66" t="n"/>
      <c r="O1186" s="67" t="n"/>
      <c r="R1186" s="66" t="n"/>
      <c r="S1186" s="67" t="n"/>
      <c r="V1186" s="66" t="n"/>
      <c r="W1186" s="67" t="n"/>
      <c r="AD1186" s="66" t="n"/>
      <c r="AE1186" s="67" t="n"/>
      <c r="AH1186" s="66" t="n"/>
      <c r="AI1186" s="67" t="n"/>
    </row>
    <row r="1187">
      <c r="B1187" s="2">
        <f>IF(STUDENTS!B1186="","",STUDENTS!B1186)</f>
        <v/>
      </c>
      <c r="C1187" s="44">
        <f>IFERROR(IF(B1187="","",_xlfn.XLOOKUP(B1187,STUDENTS!$B$3:$B$1048576,STUDENTS!$C$3:$C$1048576)),"Enter a registered reg. no")</f>
        <v/>
      </c>
      <c r="D1187" s="54" t="n"/>
      <c r="E1187" s="55" t="n"/>
      <c r="F1187" s="48" t="n"/>
      <c r="G1187" s="58" t="n"/>
      <c r="H1187" s="62" t="n"/>
      <c r="I1187" s="63" t="n"/>
      <c r="J1187" s="48" t="n"/>
      <c r="K1187" s="58" t="n"/>
      <c r="L1187" s="42" t="n"/>
      <c r="M1187" s="42" t="n"/>
      <c r="N1187" s="48" t="n"/>
      <c r="O1187" s="58" t="n"/>
      <c r="P1187" s="42" t="n"/>
      <c r="Q1187" s="42" t="n"/>
      <c r="R1187" s="48" t="n"/>
      <c r="S1187" s="58" t="n"/>
      <c r="T1187" s="42" t="n"/>
      <c r="U1187" s="42" t="n"/>
      <c r="V1187" s="48" t="n"/>
      <c r="W1187" s="58" t="n"/>
      <c r="X1187" s="42" t="n"/>
      <c r="Y1187" s="42" t="n"/>
      <c r="Z1187" s="42" t="n"/>
      <c r="AA1187" s="42" t="n"/>
      <c r="AB1187" s="42" t="n"/>
      <c r="AC1187" s="42" t="n"/>
      <c r="AD1187" s="48" t="n"/>
      <c r="AE1187" s="58" t="n"/>
      <c r="AF1187" s="42" t="n"/>
      <c r="AG1187" s="42" t="n"/>
      <c r="AH1187" s="48" t="n"/>
      <c r="AI1187" s="58" t="n"/>
    </row>
    <row r="1188">
      <c r="B1188" s="2">
        <f>IF(STUDENTS!B1187="","",STUDENTS!B1187)</f>
        <v/>
      </c>
      <c r="C1188" s="44">
        <f>IFERROR(IF(B1188="","",_xlfn.XLOOKUP(B1188,STUDENTS!$B$3:$B$1048576,STUDENTS!$C$3:$C$1048576)),"Enter a registered reg. no")</f>
        <v/>
      </c>
      <c r="J1188" s="66" t="n"/>
      <c r="K1188" s="67" t="n"/>
      <c r="N1188" s="66" t="n"/>
      <c r="O1188" s="67" t="n"/>
      <c r="R1188" s="66" t="n"/>
      <c r="S1188" s="67" t="n"/>
      <c r="V1188" s="66" t="n"/>
      <c r="W1188" s="67" t="n"/>
      <c r="AD1188" s="66" t="n"/>
      <c r="AE1188" s="67" t="n"/>
      <c r="AH1188" s="66" t="n"/>
      <c r="AI1188" s="67" t="n"/>
    </row>
    <row r="1189">
      <c r="B1189" s="2">
        <f>IF(STUDENTS!B1188="","",STUDENTS!B1188)</f>
        <v/>
      </c>
      <c r="C1189" s="44">
        <f>IFERROR(IF(B1189="","",_xlfn.XLOOKUP(B1189,STUDENTS!$B$3:$B$1048576,STUDENTS!$C$3:$C$1048576)),"Enter a registered reg. no")</f>
        <v/>
      </c>
      <c r="D1189" s="54" t="n"/>
      <c r="E1189" s="55" t="n"/>
      <c r="F1189" s="48" t="n"/>
      <c r="G1189" s="58" t="n"/>
      <c r="H1189" s="62" t="n"/>
      <c r="I1189" s="63" t="n"/>
      <c r="J1189" s="48" t="n"/>
      <c r="K1189" s="58" t="n"/>
      <c r="L1189" s="42" t="n"/>
      <c r="M1189" s="42" t="n"/>
      <c r="N1189" s="48" t="n"/>
      <c r="O1189" s="58" t="n"/>
      <c r="P1189" s="42" t="n"/>
      <c r="Q1189" s="42" t="n"/>
      <c r="R1189" s="48" t="n"/>
      <c r="S1189" s="58" t="n"/>
      <c r="T1189" s="42" t="n"/>
      <c r="U1189" s="42" t="n"/>
      <c r="V1189" s="48" t="n"/>
      <c r="W1189" s="58" t="n"/>
      <c r="X1189" s="42" t="n"/>
      <c r="Y1189" s="42" t="n"/>
      <c r="Z1189" s="42" t="n"/>
      <c r="AA1189" s="42" t="n"/>
      <c r="AB1189" s="42" t="n"/>
      <c r="AC1189" s="42" t="n"/>
      <c r="AD1189" s="48" t="n"/>
      <c r="AE1189" s="58" t="n"/>
      <c r="AF1189" s="42" t="n"/>
      <c r="AG1189" s="42" t="n"/>
      <c r="AH1189" s="48" t="n"/>
      <c r="AI1189" s="58" t="n"/>
    </row>
    <row r="1190">
      <c r="B1190" s="2">
        <f>IF(STUDENTS!B1189="","",STUDENTS!B1189)</f>
        <v/>
      </c>
      <c r="C1190" s="44">
        <f>IFERROR(IF(B1190="","",_xlfn.XLOOKUP(B1190,STUDENTS!$B$3:$B$1048576,STUDENTS!$C$3:$C$1048576)),"Enter a registered reg. no")</f>
        <v/>
      </c>
      <c r="J1190" s="66" t="n"/>
      <c r="K1190" s="67" t="n"/>
      <c r="N1190" s="66" t="n"/>
      <c r="O1190" s="67" t="n"/>
      <c r="R1190" s="66" t="n"/>
      <c r="S1190" s="67" t="n"/>
      <c r="V1190" s="66" t="n"/>
      <c r="W1190" s="67" t="n"/>
      <c r="AD1190" s="66" t="n"/>
      <c r="AE1190" s="67" t="n"/>
      <c r="AH1190" s="66" t="n"/>
      <c r="AI1190" s="67" t="n"/>
    </row>
    <row r="1191">
      <c r="B1191" s="2">
        <f>IF(STUDENTS!B1190="","",STUDENTS!B1190)</f>
        <v/>
      </c>
      <c r="C1191" s="44">
        <f>IFERROR(IF(B1191="","",_xlfn.XLOOKUP(B1191,STUDENTS!$B$3:$B$1048576,STUDENTS!$C$3:$C$1048576)),"Enter a registered reg. no")</f>
        <v/>
      </c>
      <c r="D1191" s="54" t="n"/>
      <c r="E1191" s="55" t="n"/>
      <c r="F1191" s="48" t="n"/>
      <c r="G1191" s="58" t="n"/>
      <c r="H1191" s="62" t="n"/>
      <c r="I1191" s="63" t="n"/>
      <c r="J1191" s="48" t="n"/>
      <c r="K1191" s="58" t="n"/>
      <c r="L1191" s="42" t="n"/>
      <c r="M1191" s="42" t="n"/>
      <c r="N1191" s="48" t="n"/>
      <c r="O1191" s="58" t="n"/>
      <c r="P1191" s="42" t="n"/>
      <c r="Q1191" s="42" t="n"/>
      <c r="R1191" s="48" t="n"/>
      <c r="S1191" s="58" t="n"/>
      <c r="T1191" s="42" t="n"/>
      <c r="U1191" s="42" t="n"/>
      <c r="V1191" s="48" t="n"/>
      <c r="W1191" s="58" t="n"/>
      <c r="X1191" s="42" t="n"/>
      <c r="Y1191" s="42" t="n"/>
      <c r="Z1191" s="42" t="n"/>
      <c r="AA1191" s="42" t="n"/>
      <c r="AB1191" s="42" t="n"/>
      <c r="AC1191" s="42" t="n"/>
      <c r="AD1191" s="48" t="n"/>
      <c r="AE1191" s="58" t="n"/>
      <c r="AF1191" s="42" t="n"/>
      <c r="AG1191" s="42" t="n"/>
      <c r="AH1191" s="48" t="n"/>
      <c r="AI1191" s="58" t="n"/>
    </row>
    <row r="1192">
      <c r="B1192" s="2">
        <f>IF(STUDENTS!B1191="","",STUDENTS!B1191)</f>
        <v/>
      </c>
      <c r="C1192" s="44">
        <f>IFERROR(IF(B1192="","",_xlfn.XLOOKUP(B1192,STUDENTS!$B$3:$B$1048576,STUDENTS!$C$3:$C$1048576)),"Enter a registered reg. no")</f>
        <v/>
      </c>
      <c r="J1192" s="66" t="n"/>
      <c r="K1192" s="67" t="n"/>
      <c r="N1192" s="66" t="n"/>
      <c r="O1192" s="67" t="n"/>
      <c r="R1192" s="66" t="n"/>
      <c r="S1192" s="67" t="n"/>
      <c r="V1192" s="66" t="n"/>
      <c r="W1192" s="67" t="n"/>
      <c r="AD1192" s="66" t="n"/>
      <c r="AE1192" s="67" t="n"/>
      <c r="AH1192" s="66" t="n"/>
      <c r="AI1192" s="67" t="n"/>
    </row>
    <row r="1193">
      <c r="B1193" s="2">
        <f>IF(STUDENTS!B1192="","",STUDENTS!B1192)</f>
        <v/>
      </c>
      <c r="C1193" s="44">
        <f>IFERROR(IF(B1193="","",_xlfn.XLOOKUP(B1193,STUDENTS!$B$3:$B$1048576,STUDENTS!$C$3:$C$1048576)),"Enter a registered reg. no")</f>
        <v/>
      </c>
      <c r="D1193" s="54" t="n"/>
      <c r="E1193" s="55" t="n"/>
      <c r="F1193" s="48" t="n"/>
      <c r="G1193" s="58" t="n"/>
      <c r="H1193" s="62" t="n"/>
      <c r="I1193" s="63" t="n"/>
      <c r="J1193" s="48" t="n"/>
      <c r="K1193" s="58" t="n"/>
      <c r="L1193" s="42" t="n"/>
      <c r="M1193" s="42" t="n"/>
      <c r="N1193" s="48" t="n"/>
      <c r="O1193" s="58" t="n"/>
      <c r="P1193" s="42" t="n"/>
      <c r="Q1193" s="42" t="n"/>
      <c r="R1193" s="48" t="n"/>
      <c r="S1193" s="58" t="n"/>
      <c r="T1193" s="42" t="n"/>
      <c r="U1193" s="42" t="n"/>
      <c r="V1193" s="48" t="n"/>
      <c r="W1193" s="58" t="n"/>
      <c r="X1193" s="42" t="n"/>
      <c r="Y1193" s="42" t="n"/>
      <c r="Z1193" s="42" t="n"/>
      <c r="AA1193" s="42" t="n"/>
      <c r="AB1193" s="42" t="n"/>
      <c r="AC1193" s="42" t="n"/>
      <c r="AD1193" s="48" t="n"/>
      <c r="AE1193" s="58" t="n"/>
      <c r="AF1193" s="42" t="n"/>
      <c r="AG1193" s="42" t="n"/>
      <c r="AH1193" s="48" t="n"/>
      <c r="AI1193" s="58" t="n"/>
    </row>
    <row r="1194">
      <c r="B1194" s="2">
        <f>IF(STUDENTS!B1193="","",STUDENTS!B1193)</f>
        <v/>
      </c>
      <c r="C1194" s="44">
        <f>IFERROR(IF(B1194="","",_xlfn.XLOOKUP(B1194,STUDENTS!$B$3:$B$1048576,STUDENTS!$C$3:$C$1048576)),"Enter a registered reg. no")</f>
        <v/>
      </c>
      <c r="J1194" s="66" t="n"/>
      <c r="K1194" s="67" t="n"/>
      <c r="N1194" s="66" t="n"/>
      <c r="O1194" s="67" t="n"/>
      <c r="R1194" s="66" t="n"/>
      <c r="S1194" s="67" t="n"/>
      <c r="V1194" s="66" t="n"/>
      <c r="W1194" s="67" t="n"/>
      <c r="AD1194" s="66" t="n"/>
      <c r="AE1194" s="67" t="n"/>
      <c r="AH1194" s="66" t="n"/>
      <c r="AI1194" s="67" t="n"/>
    </row>
    <row r="1195">
      <c r="B1195" s="2">
        <f>IF(STUDENTS!B1194="","",STUDENTS!B1194)</f>
        <v/>
      </c>
      <c r="C1195" s="44">
        <f>IFERROR(IF(B1195="","",_xlfn.XLOOKUP(B1195,STUDENTS!$B$3:$B$1048576,STUDENTS!$C$3:$C$1048576)),"Enter a registered reg. no")</f>
        <v/>
      </c>
      <c r="D1195" s="54" t="n"/>
      <c r="E1195" s="55" t="n"/>
      <c r="F1195" s="48" t="n"/>
      <c r="G1195" s="58" t="n"/>
      <c r="H1195" s="62" t="n"/>
      <c r="I1195" s="63" t="n"/>
      <c r="J1195" s="48" t="n"/>
      <c r="K1195" s="58" t="n"/>
      <c r="L1195" s="42" t="n"/>
      <c r="M1195" s="42" t="n"/>
      <c r="N1195" s="48" t="n"/>
      <c r="O1195" s="58" t="n"/>
      <c r="P1195" s="42" t="n"/>
      <c r="Q1195" s="42" t="n"/>
      <c r="R1195" s="48" t="n"/>
      <c r="S1195" s="58" t="n"/>
      <c r="T1195" s="42" t="n"/>
      <c r="U1195" s="42" t="n"/>
      <c r="V1195" s="48" t="n"/>
      <c r="W1195" s="58" t="n"/>
      <c r="X1195" s="42" t="n"/>
      <c r="Y1195" s="42" t="n"/>
      <c r="Z1195" s="42" t="n"/>
      <c r="AA1195" s="42" t="n"/>
      <c r="AB1195" s="42" t="n"/>
      <c r="AC1195" s="42" t="n"/>
      <c r="AD1195" s="48" t="n"/>
      <c r="AE1195" s="58" t="n"/>
      <c r="AF1195" s="42" t="n"/>
      <c r="AG1195" s="42" t="n"/>
      <c r="AH1195" s="48" t="n"/>
      <c r="AI1195" s="58" t="n"/>
    </row>
    <row r="1196">
      <c r="B1196" s="2">
        <f>IF(STUDENTS!B1195="","",STUDENTS!B1195)</f>
        <v/>
      </c>
      <c r="C1196" s="44">
        <f>IFERROR(IF(B1196="","",_xlfn.XLOOKUP(B1196,STUDENTS!$B$3:$B$1048576,STUDENTS!$C$3:$C$1048576)),"Enter a registered reg. no")</f>
        <v/>
      </c>
      <c r="J1196" s="66" t="n"/>
      <c r="K1196" s="67" t="n"/>
      <c r="N1196" s="66" t="n"/>
      <c r="O1196" s="67" t="n"/>
      <c r="R1196" s="66" t="n"/>
      <c r="S1196" s="67" t="n"/>
      <c r="V1196" s="66" t="n"/>
      <c r="W1196" s="67" t="n"/>
      <c r="AD1196" s="66" t="n"/>
      <c r="AE1196" s="67" t="n"/>
      <c r="AH1196" s="66" t="n"/>
      <c r="AI1196" s="67" t="n"/>
    </row>
    <row r="1197">
      <c r="B1197" s="2">
        <f>IF(STUDENTS!B1196="","",STUDENTS!B1196)</f>
        <v/>
      </c>
      <c r="C1197" s="44">
        <f>IFERROR(IF(B1197="","",_xlfn.XLOOKUP(B1197,STUDENTS!$B$3:$B$1048576,STUDENTS!$C$3:$C$1048576)),"Enter a registered reg. no")</f>
        <v/>
      </c>
      <c r="D1197" s="54" t="n"/>
      <c r="E1197" s="55" t="n"/>
      <c r="F1197" s="48" t="n"/>
      <c r="G1197" s="58" t="n"/>
      <c r="H1197" s="62" t="n"/>
      <c r="I1197" s="63" t="n"/>
      <c r="J1197" s="48" t="n"/>
      <c r="K1197" s="58" t="n"/>
      <c r="L1197" s="42" t="n"/>
      <c r="M1197" s="42" t="n"/>
      <c r="N1197" s="48" t="n"/>
      <c r="O1197" s="58" t="n"/>
      <c r="P1197" s="42" t="n"/>
      <c r="Q1197" s="42" t="n"/>
      <c r="R1197" s="48" t="n"/>
      <c r="S1197" s="58" t="n"/>
      <c r="T1197" s="42" t="n"/>
      <c r="U1197" s="42" t="n"/>
      <c r="V1197" s="48" t="n"/>
      <c r="W1197" s="58" t="n"/>
      <c r="X1197" s="42" t="n"/>
      <c r="Y1197" s="42" t="n"/>
      <c r="Z1197" s="42" t="n"/>
      <c r="AA1197" s="42" t="n"/>
      <c r="AB1197" s="42" t="n"/>
      <c r="AC1197" s="42" t="n"/>
      <c r="AD1197" s="48" t="n"/>
      <c r="AE1197" s="58" t="n"/>
      <c r="AF1197" s="42" t="n"/>
      <c r="AG1197" s="42" t="n"/>
      <c r="AH1197" s="48" t="n"/>
      <c r="AI1197" s="58" t="n"/>
    </row>
    <row r="1198">
      <c r="B1198" s="2">
        <f>IF(STUDENTS!B1197="","",STUDENTS!B1197)</f>
        <v/>
      </c>
      <c r="C1198" s="44">
        <f>IFERROR(IF(B1198="","",_xlfn.XLOOKUP(B1198,STUDENTS!$B$3:$B$1048576,STUDENTS!$C$3:$C$1048576)),"Enter a registered reg. no")</f>
        <v/>
      </c>
      <c r="J1198" s="66" t="n"/>
      <c r="K1198" s="67" t="n"/>
      <c r="N1198" s="66" t="n"/>
      <c r="O1198" s="67" t="n"/>
      <c r="R1198" s="66" t="n"/>
      <c r="S1198" s="67" t="n"/>
      <c r="V1198" s="66" t="n"/>
      <c r="W1198" s="67" t="n"/>
      <c r="AD1198" s="66" t="n"/>
      <c r="AE1198" s="67" t="n"/>
      <c r="AH1198" s="66" t="n"/>
      <c r="AI1198" s="67" t="n"/>
    </row>
    <row r="1199">
      <c r="B1199" s="2">
        <f>IF(STUDENTS!B1198="","",STUDENTS!B1198)</f>
        <v/>
      </c>
      <c r="C1199" s="44">
        <f>IFERROR(IF(B1199="","",_xlfn.XLOOKUP(B1199,STUDENTS!$B$3:$B$1048576,STUDENTS!$C$3:$C$1048576)),"Enter a registered reg. no")</f>
        <v/>
      </c>
      <c r="D1199" s="54" t="n"/>
      <c r="E1199" s="55" t="n"/>
      <c r="F1199" s="48" t="n"/>
      <c r="G1199" s="58" t="n"/>
      <c r="H1199" s="62" t="n"/>
      <c r="I1199" s="63" t="n"/>
      <c r="J1199" s="48" t="n"/>
      <c r="K1199" s="58" t="n"/>
      <c r="L1199" s="42" t="n"/>
      <c r="M1199" s="42" t="n"/>
      <c r="N1199" s="48" t="n"/>
      <c r="O1199" s="58" t="n"/>
      <c r="P1199" s="42" t="n"/>
      <c r="Q1199" s="42" t="n"/>
      <c r="R1199" s="48" t="n"/>
      <c r="S1199" s="58" t="n"/>
      <c r="T1199" s="42" t="n"/>
      <c r="U1199" s="42" t="n"/>
      <c r="V1199" s="48" t="n"/>
      <c r="W1199" s="58" t="n"/>
      <c r="X1199" s="42" t="n"/>
      <c r="Y1199" s="42" t="n"/>
      <c r="Z1199" s="42" t="n"/>
      <c r="AA1199" s="42" t="n"/>
      <c r="AB1199" s="42" t="n"/>
      <c r="AC1199" s="42" t="n"/>
      <c r="AD1199" s="48" t="n"/>
      <c r="AE1199" s="58" t="n"/>
      <c r="AF1199" s="42" t="n"/>
      <c r="AG1199" s="42" t="n"/>
      <c r="AH1199" s="48" t="n"/>
      <c r="AI1199" s="58" t="n"/>
    </row>
    <row r="1200">
      <c r="B1200" s="2">
        <f>IF(STUDENTS!B1199="","",STUDENTS!B1199)</f>
        <v/>
      </c>
      <c r="C1200" s="44">
        <f>IFERROR(IF(B1200="","",_xlfn.XLOOKUP(B1200,STUDENTS!$B$3:$B$1048576,STUDENTS!$C$3:$C$1048576)),"Enter a registered reg. no")</f>
        <v/>
      </c>
      <c r="J1200" s="66" t="n"/>
      <c r="K1200" s="67" t="n"/>
      <c r="R1200" s="66" t="n"/>
      <c r="S1200" s="67" t="n"/>
      <c r="V1200" s="66" t="n"/>
      <c r="W1200" s="67" t="n"/>
      <c r="AD1200" s="66" t="n"/>
      <c r="AE1200" s="67" t="n"/>
      <c r="AH1200" s="66" t="n"/>
      <c r="AI1200" s="67" t="n"/>
    </row>
    <row r="1201">
      <c r="B1201" s="2">
        <f>IF(STUDENTS!B1200="","",STUDENTS!B1200)</f>
        <v/>
      </c>
      <c r="C1201" s="44">
        <f>IFERROR(IF(B1201="","",_xlfn.XLOOKUP(B1201,STUDENTS!$B$3:$B$1048576,STUDENTS!$C$3:$C$1048576)),"Enter a registered reg. no")</f>
        <v/>
      </c>
      <c r="D1201" s="54" t="n"/>
      <c r="E1201" s="55" t="n"/>
      <c r="F1201" s="48" t="n"/>
      <c r="G1201" s="58" t="n"/>
      <c r="H1201" s="62" t="n"/>
      <c r="I1201" s="63" t="n"/>
      <c r="J1201" s="48" t="n"/>
      <c r="K1201" s="58" t="n"/>
      <c r="L1201" s="42" t="n"/>
      <c r="M1201" s="42" t="n"/>
      <c r="N1201" s="42" t="n"/>
      <c r="O1201" s="42" t="n"/>
      <c r="P1201" s="42" t="n"/>
      <c r="Q1201" s="42" t="n"/>
      <c r="R1201" s="48" t="n"/>
      <c r="S1201" s="58" t="n"/>
      <c r="T1201" s="42" t="n"/>
      <c r="U1201" s="42" t="n"/>
      <c r="V1201" s="48" t="n"/>
      <c r="W1201" s="58" t="n"/>
      <c r="X1201" s="42" t="n"/>
      <c r="Y1201" s="42" t="n"/>
      <c r="Z1201" s="42" t="n"/>
      <c r="AA1201" s="42" t="n"/>
      <c r="AB1201" s="42" t="n"/>
      <c r="AC1201" s="42" t="n"/>
      <c r="AD1201" s="48" t="n"/>
      <c r="AE1201" s="58" t="n"/>
      <c r="AF1201" s="42" t="n"/>
      <c r="AG1201" s="42" t="n"/>
      <c r="AH1201" s="48" t="n"/>
      <c r="AI1201" s="58" t="n"/>
    </row>
    <row r="1202">
      <c r="B1202" s="2">
        <f>IF(STUDENTS!B1201="","",STUDENTS!B1201)</f>
        <v/>
      </c>
      <c r="C1202" s="44">
        <f>IFERROR(IF(B1202="","",_xlfn.XLOOKUP(B1202,STUDENTS!$B$3:$B$1048576,STUDENTS!$C$3:$C$1048576)),"Enter a registered reg. no")</f>
        <v/>
      </c>
      <c r="J1202" s="66" t="n"/>
      <c r="K1202" s="67" t="n"/>
      <c r="R1202" s="66" t="n"/>
      <c r="S1202" s="67" t="n"/>
      <c r="V1202" s="66" t="n"/>
      <c r="W1202" s="67" t="n"/>
      <c r="AD1202" s="66" t="n"/>
      <c r="AE1202" s="67" t="n"/>
    </row>
    <row r="1203">
      <c r="B1203" s="2">
        <f>IF(STUDENTS!B1202="","",STUDENTS!B1202)</f>
        <v/>
      </c>
      <c r="C1203" s="44">
        <f>IFERROR(IF(B1203="","",_xlfn.XLOOKUP(B1203,STUDENTS!$B$3:$B$1048576,STUDENTS!$C$3:$C$1048576)),"Enter a registered reg. no")</f>
        <v/>
      </c>
      <c r="D1203" s="54" t="n"/>
      <c r="E1203" s="55" t="n"/>
      <c r="F1203" s="48" t="n"/>
      <c r="G1203" s="58" t="n"/>
      <c r="H1203" s="62" t="n"/>
      <c r="I1203" s="63" t="n"/>
      <c r="J1203" s="48" t="n"/>
      <c r="K1203" s="58" t="n"/>
      <c r="L1203" s="42" t="n"/>
      <c r="M1203" s="42" t="n"/>
      <c r="N1203" s="42" t="n"/>
      <c r="O1203" s="42" t="n"/>
      <c r="P1203" s="42" t="n"/>
      <c r="Q1203" s="42" t="n"/>
      <c r="R1203" s="48" t="n"/>
      <c r="S1203" s="58" t="n"/>
      <c r="T1203" s="42" t="n"/>
      <c r="U1203" s="42" t="n"/>
      <c r="V1203" s="48" t="n"/>
      <c r="W1203" s="58" t="n"/>
      <c r="X1203" s="42" t="n"/>
      <c r="Y1203" s="42" t="n"/>
      <c r="Z1203" s="42" t="n"/>
      <c r="AA1203" s="42" t="n"/>
      <c r="AB1203" s="42" t="n"/>
      <c r="AC1203" s="42" t="n"/>
      <c r="AD1203" s="48" t="n"/>
      <c r="AE1203" s="58" t="n"/>
      <c r="AF1203" s="42" t="n"/>
      <c r="AG1203" s="42" t="n"/>
      <c r="AH1203" s="42" t="n"/>
      <c r="AI1203" s="42" t="n"/>
    </row>
    <row r="1204">
      <c r="B1204" s="2">
        <f>IF(STUDENTS!B1203="","",STUDENTS!B1203)</f>
        <v/>
      </c>
      <c r="C1204" s="44">
        <f>IFERROR(IF(B1204="","",_xlfn.XLOOKUP(B1204,STUDENTS!$B$3:$B$1048576,STUDENTS!$C$3:$C$1048576)),"Enter a registered reg. no")</f>
        <v/>
      </c>
      <c r="J1204" s="66" t="n"/>
      <c r="K1204" s="67" t="n"/>
      <c r="V1204" s="66" t="n"/>
      <c r="W1204" s="67" t="n"/>
      <c r="AD1204" s="66" t="n"/>
      <c r="AE1204" s="67" t="n"/>
    </row>
    <row r="1205">
      <c r="B1205" s="2">
        <f>IF(STUDENTS!B1204="","",STUDENTS!B1204)</f>
        <v/>
      </c>
      <c r="C1205" s="44">
        <f>IFERROR(IF(B1205="","",_xlfn.XLOOKUP(B1205,STUDENTS!$B$3:$B$1048576,STUDENTS!$C$3:$C$1048576)),"Enter a registered reg. no")</f>
        <v/>
      </c>
      <c r="D1205" s="54" t="n"/>
      <c r="E1205" s="55" t="n"/>
      <c r="F1205" s="48" t="n"/>
      <c r="G1205" s="58" t="n"/>
      <c r="H1205" s="62" t="n"/>
      <c r="I1205" s="63" t="n"/>
      <c r="J1205" s="48" t="n"/>
      <c r="K1205" s="58" t="n"/>
      <c r="L1205" s="42" t="n"/>
      <c r="M1205" s="42" t="n"/>
      <c r="N1205" s="42" t="n"/>
      <c r="O1205" s="42" t="n"/>
      <c r="P1205" s="42" t="n"/>
      <c r="Q1205" s="42" t="n"/>
      <c r="R1205" s="42" t="n"/>
      <c r="S1205" s="42" t="n"/>
      <c r="T1205" s="42" t="n"/>
      <c r="U1205" s="42" t="n"/>
      <c r="V1205" s="48" t="n"/>
      <c r="W1205" s="58" t="n"/>
      <c r="X1205" s="42" t="n"/>
      <c r="Y1205" s="42" t="n"/>
      <c r="Z1205" s="42" t="n"/>
      <c r="AA1205" s="42" t="n"/>
      <c r="AB1205" s="42" t="n"/>
      <c r="AC1205" s="42" t="n"/>
      <c r="AD1205" s="48" t="n"/>
      <c r="AE1205" s="58" t="n"/>
      <c r="AF1205" s="42" t="n"/>
      <c r="AG1205" s="42" t="n"/>
      <c r="AH1205" s="42" t="n"/>
      <c r="AI1205" s="42" t="n"/>
    </row>
    <row r="1206">
      <c r="B1206" s="2">
        <f>IF(STUDENTS!B1205="","",STUDENTS!B1205)</f>
        <v/>
      </c>
      <c r="C1206" s="44">
        <f>IFERROR(IF(B1206="","",_xlfn.XLOOKUP(B1206,STUDENTS!$B$3:$B$1048576,STUDENTS!$C$3:$C$1048576)),"Enter a registered reg. no")</f>
        <v/>
      </c>
      <c r="J1206" s="66" t="n"/>
      <c r="K1206" s="67" t="n"/>
      <c r="AD1206" s="66" t="n"/>
      <c r="AE1206" s="67" t="n"/>
    </row>
    <row r="1207">
      <c r="B1207" s="2">
        <f>IF(STUDENTS!B1206="","",STUDENTS!B1206)</f>
        <v/>
      </c>
      <c r="C1207" s="44">
        <f>IFERROR(IF(B1207="","",_xlfn.XLOOKUP(B1207,STUDENTS!$B$3:$B$1048576,STUDENTS!$C$3:$C$1048576)),"Enter a registered reg. no")</f>
        <v/>
      </c>
      <c r="D1207" s="54" t="n"/>
      <c r="E1207" s="55" t="n"/>
      <c r="F1207" s="48" t="n"/>
      <c r="G1207" s="58" t="n"/>
      <c r="H1207" s="62" t="n"/>
      <c r="I1207" s="63" t="n"/>
      <c r="J1207" s="48" t="n"/>
      <c r="K1207" s="58" t="n"/>
      <c r="L1207" s="42" t="n"/>
      <c r="M1207" s="42" t="n"/>
      <c r="N1207" s="42" t="n"/>
      <c r="O1207" s="42" t="n"/>
      <c r="P1207" s="42" t="n"/>
      <c r="Q1207" s="42" t="n"/>
      <c r="R1207" s="42" t="n"/>
      <c r="S1207" s="42" t="n"/>
      <c r="T1207" s="42" t="n"/>
      <c r="U1207" s="42" t="n"/>
      <c r="V1207" s="42" t="n"/>
      <c r="W1207" s="42" t="n"/>
      <c r="X1207" s="42" t="n"/>
      <c r="Y1207" s="42" t="n"/>
      <c r="Z1207" s="42" t="n"/>
      <c r="AA1207" s="42" t="n"/>
      <c r="AB1207" s="42" t="n"/>
      <c r="AC1207" s="42" t="n"/>
      <c r="AD1207" s="42" t="n"/>
      <c r="AE1207" s="42" t="n"/>
      <c r="AF1207" s="42" t="n"/>
      <c r="AG1207" s="42" t="n"/>
      <c r="AH1207" s="42" t="n"/>
      <c r="AI1207" s="42" t="n"/>
    </row>
    <row r="1208">
      <c r="B1208" s="2" t="n"/>
      <c r="C1208" s="40" t="n"/>
      <c r="J1208" s="66" t="n"/>
      <c r="K1208" s="67" t="n"/>
    </row>
    <row r="1209">
      <c r="B1209" s="2" t="n"/>
      <c r="C1209" s="40" t="n"/>
      <c r="J1209" s="48" t="n"/>
      <c r="K1209" s="58" t="n"/>
    </row>
    <row r="1210">
      <c r="B1210" s="2" t="n"/>
      <c r="C1210" s="40" t="n"/>
    </row>
    <row r="1211">
      <c r="B1211" s="2" t="n"/>
      <c r="C1211" s="40" t="n"/>
    </row>
    <row r="1212">
      <c r="B1212" s="2" t="n"/>
      <c r="C1212" s="40" t="n"/>
    </row>
    <row r="1213">
      <c r="B1213" s="2" t="n"/>
      <c r="C1213" s="40" t="n"/>
    </row>
    <row r="1214">
      <c r="B1214" s="2" t="n"/>
      <c r="C1214" s="40" t="n"/>
    </row>
    <row r="1215">
      <c r="B1215" s="2" t="n"/>
      <c r="C1215" s="40" t="n"/>
    </row>
    <row r="1216">
      <c r="B1216" s="2" t="n"/>
      <c r="C1216" s="40" t="n"/>
    </row>
    <row r="1217">
      <c r="B1217" s="2" t="n"/>
      <c r="C1217" s="40" t="n"/>
    </row>
    <row r="1218">
      <c r="B1218" s="2" t="n"/>
      <c r="C1218" s="40" t="n"/>
    </row>
    <row r="1219">
      <c r="B1219" s="2" t="n"/>
      <c r="C1219" s="40" t="n"/>
    </row>
    <row r="1220">
      <c r="B1220" s="2" t="n"/>
      <c r="C1220" s="40" t="n"/>
    </row>
    <row r="1221">
      <c r="B1221" s="2" t="n"/>
      <c r="C1221" s="40" t="n"/>
    </row>
    <row r="1222">
      <c r="B1222" s="2" t="n"/>
      <c r="C1222" s="40" t="n"/>
    </row>
    <row r="1223">
      <c r="B1223" s="2" t="n"/>
      <c r="C1223" s="40" t="n"/>
    </row>
    <row r="1224">
      <c r="B1224" s="2" t="n"/>
      <c r="C1224" s="40" t="n"/>
    </row>
    <row r="1225">
      <c r="B1225" s="2" t="n"/>
      <c r="C1225" s="40" t="n"/>
    </row>
    <row r="1226">
      <c r="B1226" s="2" t="n"/>
      <c r="C1226" s="40" t="n"/>
    </row>
    <row r="1227">
      <c r="B1227" s="2" t="n"/>
      <c r="C1227" s="40" t="n"/>
    </row>
    <row r="1228">
      <c r="B1228" s="2" t="n"/>
      <c r="C1228" s="40" t="n"/>
    </row>
    <row r="1229">
      <c r="B1229" s="2" t="n"/>
      <c r="C1229" s="40" t="n"/>
    </row>
    <row r="1230">
      <c r="B1230" s="2" t="n"/>
      <c r="C1230" s="40" t="n"/>
    </row>
    <row r="1231">
      <c r="B1231" s="2" t="n"/>
      <c r="C1231" s="40" t="n"/>
    </row>
    <row r="1232">
      <c r="B1232" s="2" t="n"/>
      <c r="C1232" s="40" t="n"/>
    </row>
    <row r="1233">
      <c r="B1233" s="2" t="n"/>
      <c r="C1233" s="40" t="n"/>
    </row>
    <row r="1234">
      <c r="B1234" s="2" t="n"/>
      <c r="C1234" s="40" t="n"/>
    </row>
    <row r="1235">
      <c r="B1235" s="2" t="n"/>
      <c r="C1235" s="40" t="n"/>
    </row>
    <row r="1236">
      <c r="B1236" s="2" t="n"/>
      <c r="C1236" s="40" t="n"/>
    </row>
    <row r="1237">
      <c r="B1237" s="2" t="n"/>
      <c r="C1237" s="40" t="n"/>
    </row>
    <row r="1238">
      <c r="B1238" s="2" t="n"/>
      <c r="C1238" s="40" t="n"/>
    </row>
    <row r="1239">
      <c r="B1239" s="2" t="n"/>
      <c r="C1239" s="40" t="n"/>
    </row>
    <row r="1240">
      <c r="B1240" s="2" t="n"/>
      <c r="C1240" s="40" t="n"/>
    </row>
    <row r="1241">
      <c r="B1241" s="2" t="n"/>
      <c r="C1241" s="40" t="n"/>
    </row>
    <row r="1242">
      <c r="B1242" s="2" t="n"/>
      <c r="C1242" s="40" t="n"/>
    </row>
    <row r="1243">
      <c r="B1243" s="2" t="n"/>
      <c r="C1243" s="40" t="n"/>
    </row>
    <row r="1244">
      <c r="B1244" s="2" t="n"/>
      <c r="C1244" s="40" t="n"/>
    </row>
    <row r="1245">
      <c r="B1245" s="2" t="n"/>
      <c r="C1245" s="40" t="n"/>
    </row>
    <row r="1246">
      <c r="B1246" s="2" t="n"/>
      <c r="C1246" s="40" t="n"/>
    </row>
    <row r="1247">
      <c r="B1247" s="2" t="n"/>
      <c r="C1247" s="40" t="n"/>
    </row>
    <row r="1248">
      <c r="B1248" s="2" t="n"/>
      <c r="C1248" s="40" t="n"/>
    </row>
    <row r="1249">
      <c r="B1249" s="2" t="n"/>
      <c r="C1249" s="40" t="n"/>
    </row>
    <row r="1250">
      <c r="B1250" s="2" t="n"/>
      <c r="C1250" s="40" t="n"/>
    </row>
    <row r="1251">
      <c r="B1251" s="2" t="n"/>
      <c r="C1251" s="40" t="n"/>
    </row>
    <row r="1252">
      <c r="B1252" s="2" t="n"/>
      <c r="C1252" s="40" t="n"/>
    </row>
    <row r="1253">
      <c r="B1253" s="2" t="n"/>
      <c r="C1253" s="40" t="n"/>
    </row>
    <row r="1254">
      <c r="B1254" s="2" t="n"/>
      <c r="C1254" s="40" t="n"/>
    </row>
    <row r="1255">
      <c r="B1255" s="2" t="n"/>
      <c r="C1255" s="40" t="n"/>
    </row>
    <row r="1256">
      <c r="B1256" s="2" t="n"/>
      <c r="C1256" s="40" t="n"/>
    </row>
    <row r="1257">
      <c r="B1257" s="2" t="n"/>
      <c r="C1257" s="40" t="n"/>
    </row>
    <row r="1258">
      <c r="B1258" s="2" t="n"/>
      <c r="C1258" s="40" t="n"/>
    </row>
    <row r="1259">
      <c r="B1259" s="2" t="n"/>
      <c r="C1259" s="40" t="n"/>
    </row>
    <row r="1260">
      <c r="B1260" s="2" t="n"/>
      <c r="C1260" s="40" t="n"/>
    </row>
    <row r="1261">
      <c r="B1261" s="2" t="n"/>
      <c r="C1261" s="40" t="n"/>
    </row>
    <row r="1262">
      <c r="B1262" s="2" t="n"/>
      <c r="C1262" s="40" t="n"/>
    </row>
    <row r="1263">
      <c r="B1263" s="2" t="n"/>
      <c r="C1263" s="40" t="n"/>
    </row>
    <row r="1264">
      <c r="B1264" s="2" t="n"/>
      <c r="C1264" s="40" t="n"/>
    </row>
    <row r="1265">
      <c r="B1265" s="2" t="n"/>
      <c r="C1265" s="40" t="n"/>
    </row>
    <row r="1266">
      <c r="B1266" s="2" t="n"/>
      <c r="C1266" s="40" t="n"/>
    </row>
    <row r="1267">
      <c r="B1267" s="2" t="n"/>
      <c r="C1267" s="40" t="n"/>
    </row>
    <row r="1268">
      <c r="B1268" s="2" t="n"/>
      <c r="C1268" s="40" t="n"/>
    </row>
    <row r="1269">
      <c r="B1269" s="2" t="n"/>
      <c r="C1269" s="40" t="n"/>
    </row>
    <row r="1270">
      <c r="B1270" s="2" t="n"/>
      <c r="C1270" s="40" t="n"/>
    </row>
    <row r="1271">
      <c r="B1271" s="2" t="n"/>
      <c r="C1271" s="40" t="n"/>
    </row>
    <row r="1272">
      <c r="B1272" s="2" t="n"/>
      <c r="C1272" s="40" t="n"/>
    </row>
    <row r="1273">
      <c r="B1273" s="2" t="n"/>
      <c r="C1273" s="40" t="n"/>
    </row>
    <row r="1274">
      <c r="B1274" s="2" t="n"/>
      <c r="C1274" s="40" t="n"/>
    </row>
    <row r="1275">
      <c r="B1275" s="2" t="n"/>
      <c r="C1275" s="40" t="n"/>
    </row>
    <row r="1276">
      <c r="B1276" s="2" t="n"/>
      <c r="C1276" s="40" t="n"/>
    </row>
    <row r="1277">
      <c r="B1277" s="2" t="n"/>
      <c r="C1277" s="40" t="n"/>
    </row>
    <row r="1278">
      <c r="B1278" s="2" t="n"/>
      <c r="C1278" s="40" t="n"/>
    </row>
    <row r="1279">
      <c r="B1279" s="2" t="n"/>
      <c r="C1279" s="40" t="n"/>
    </row>
    <row r="1280">
      <c r="B1280" s="2" t="n"/>
      <c r="C1280" s="40" t="n"/>
    </row>
    <row r="1281">
      <c r="B1281" s="2" t="n"/>
      <c r="C1281" s="40" t="n"/>
    </row>
    <row r="1282">
      <c r="B1282" s="2" t="n"/>
      <c r="C1282" s="40" t="n"/>
    </row>
    <row r="1283">
      <c r="B1283" s="2" t="n"/>
      <c r="C1283" s="40" t="n"/>
    </row>
    <row r="1284">
      <c r="B1284" s="2" t="n"/>
      <c r="C1284" s="40" t="n"/>
    </row>
    <row r="1285">
      <c r="B1285" s="2" t="n"/>
      <c r="C1285" s="40" t="n"/>
    </row>
    <row r="1286">
      <c r="B1286" s="2" t="n"/>
      <c r="C1286" s="40" t="n"/>
    </row>
    <row r="1287">
      <c r="B1287" s="2" t="n"/>
      <c r="C1287" s="40" t="n"/>
    </row>
    <row r="1288">
      <c r="B1288" s="2" t="n"/>
      <c r="C1288" s="40" t="n"/>
    </row>
    <row r="1289">
      <c r="B1289" s="2" t="n"/>
      <c r="C1289" s="40" t="n"/>
    </row>
    <row r="1290">
      <c r="B1290" s="2" t="n"/>
      <c r="C1290" s="40" t="n"/>
    </row>
    <row r="1291">
      <c r="B1291" s="2" t="n"/>
      <c r="C1291" s="40" t="n"/>
    </row>
    <row r="1292">
      <c r="B1292" s="2" t="n"/>
      <c r="C1292" s="40" t="n"/>
    </row>
    <row r="1293">
      <c r="B1293" s="2" t="n"/>
      <c r="C1293" s="40" t="n"/>
    </row>
    <row r="1294">
      <c r="B1294" s="2" t="n"/>
      <c r="C1294" s="40" t="n"/>
    </row>
    <row r="1295">
      <c r="B1295" s="2" t="n"/>
      <c r="C1295" s="40" t="n"/>
    </row>
    <row r="1296">
      <c r="B1296" s="2" t="n"/>
      <c r="C1296" s="40" t="n"/>
    </row>
    <row r="1297">
      <c r="B1297" s="2" t="n"/>
      <c r="C1297" s="40" t="n"/>
    </row>
    <row r="1298">
      <c r="B1298" s="2" t="n"/>
      <c r="C1298" s="40" t="n"/>
    </row>
    <row r="1299">
      <c r="B1299" s="2" t="n"/>
      <c r="C1299" s="40" t="n"/>
    </row>
    <row r="1300">
      <c r="B1300" s="2" t="n"/>
      <c r="C1300" s="40" t="n"/>
    </row>
    <row r="1301">
      <c r="B1301" s="2" t="n"/>
      <c r="C1301" s="40" t="n"/>
    </row>
    <row r="1302">
      <c r="B1302" s="2" t="n"/>
      <c r="C1302" s="40" t="n"/>
    </row>
    <row r="1303">
      <c r="B1303" s="2" t="n"/>
      <c r="C1303" s="40" t="n"/>
    </row>
    <row r="1304">
      <c r="B1304" s="2" t="n"/>
      <c r="C1304" s="40" t="n"/>
    </row>
    <row r="1305">
      <c r="B1305" s="2" t="n"/>
      <c r="C1305" s="40" t="n"/>
    </row>
    <row r="1306">
      <c r="B1306" s="2" t="n"/>
      <c r="C1306" s="40" t="n"/>
    </row>
    <row r="1307">
      <c r="B1307" s="2" t="n"/>
      <c r="C1307" s="40" t="n"/>
    </row>
    <row r="1308">
      <c r="B1308" s="2" t="n"/>
      <c r="C1308" s="40" t="n"/>
    </row>
    <row r="1309">
      <c r="B1309" s="2" t="n"/>
      <c r="C1309" s="40" t="n"/>
    </row>
    <row r="1310">
      <c r="B1310" s="2" t="n"/>
      <c r="C1310" s="40" t="n"/>
    </row>
    <row r="1311">
      <c r="B1311" s="2" t="n"/>
      <c r="C1311" s="40" t="n"/>
    </row>
    <row r="1312">
      <c r="B1312" s="2" t="n"/>
      <c r="C1312" s="40" t="n"/>
    </row>
    <row r="1313">
      <c r="B1313" s="2" t="n"/>
      <c r="C1313" s="40" t="n"/>
    </row>
    <row r="1314">
      <c r="B1314" s="2" t="n"/>
      <c r="C1314" s="40" t="n"/>
    </row>
    <row r="1315">
      <c r="B1315" s="2" t="n"/>
      <c r="C1315" s="40" t="n"/>
    </row>
    <row r="1316">
      <c r="B1316" s="2" t="n"/>
      <c r="C1316" s="40" t="n"/>
    </row>
    <row r="1317">
      <c r="B1317" s="2" t="n"/>
      <c r="C1317" s="40" t="n"/>
    </row>
    <row r="1318">
      <c r="B1318" s="2" t="n"/>
      <c r="C1318" s="40" t="n"/>
    </row>
    <row r="1319">
      <c r="B1319" s="2" t="n"/>
      <c r="C1319" s="40" t="n"/>
    </row>
    <row r="1320">
      <c r="B1320" s="2" t="n"/>
      <c r="C1320" s="40" t="n"/>
    </row>
    <row r="1321">
      <c r="B1321" s="2" t="n"/>
      <c r="C1321" s="40" t="n"/>
    </row>
    <row r="1322">
      <c r="B1322" s="2" t="n"/>
      <c r="C1322" s="40" t="n"/>
    </row>
    <row r="1323">
      <c r="B1323" s="2" t="n"/>
      <c r="C1323" s="40" t="n"/>
    </row>
    <row r="1324">
      <c r="B1324" s="2" t="n"/>
      <c r="C1324" s="40" t="n"/>
    </row>
    <row r="1325">
      <c r="B1325" s="2" t="n"/>
      <c r="C1325" s="40" t="n"/>
    </row>
    <row r="1326">
      <c r="B1326" s="2" t="n"/>
      <c r="C1326" s="40" t="n"/>
    </row>
    <row r="1327">
      <c r="B1327" s="2" t="n"/>
      <c r="C1327" s="40" t="n"/>
    </row>
    <row r="1328">
      <c r="B1328" s="2" t="n"/>
      <c r="C1328" s="40" t="n"/>
    </row>
    <row r="1329">
      <c r="B1329" s="2" t="n"/>
      <c r="C1329" s="40" t="n"/>
    </row>
    <row r="1330">
      <c r="B1330" s="2" t="n"/>
      <c r="C1330" s="40" t="n"/>
    </row>
    <row r="1331">
      <c r="B1331" s="2" t="n"/>
      <c r="C1331" s="40" t="n"/>
    </row>
    <row r="1332">
      <c r="B1332" s="2" t="n"/>
      <c r="C1332" s="40" t="n"/>
    </row>
    <row r="1333">
      <c r="B1333" s="2" t="n"/>
      <c r="C1333" s="40" t="n"/>
    </row>
    <row r="1334">
      <c r="B1334" s="2" t="n"/>
      <c r="C1334" s="40" t="n"/>
    </row>
    <row r="1335">
      <c r="B1335" s="2" t="n"/>
      <c r="C1335" s="40" t="n"/>
    </row>
    <row r="1336">
      <c r="B1336" s="2" t="n"/>
      <c r="C1336" s="40" t="n"/>
    </row>
    <row r="1337">
      <c r="B1337" s="2" t="n"/>
      <c r="C1337" s="40" t="n"/>
    </row>
    <row r="1338">
      <c r="B1338" s="2" t="n"/>
      <c r="C1338" s="40" t="n"/>
    </row>
    <row r="1339">
      <c r="B1339" s="2" t="n"/>
      <c r="C1339" s="40" t="n"/>
    </row>
    <row r="1340">
      <c r="B1340" s="2" t="n"/>
      <c r="C1340" s="40" t="n"/>
    </row>
    <row r="1341">
      <c r="B1341" s="2" t="n"/>
      <c r="C1341" s="40" t="n"/>
    </row>
    <row r="1342">
      <c r="B1342" s="2" t="n"/>
      <c r="C1342" s="40" t="n"/>
    </row>
    <row r="1343">
      <c r="B1343" s="2" t="n"/>
      <c r="C1343" s="40" t="n"/>
    </row>
    <row r="1344">
      <c r="B1344" s="2" t="n"/>
      <c r="C1344" s="40" t="n"/>
    </row>
    <row r="1345">
      <c r="B1345" s="2" t="n"/>
      <c r="C1345" s="40" t="n"/>
    </row>
    <row r="1346">
      <c r="B1346" s="2" t="n"/>
      <c r="C1346" s="40" t="n"/>
    </row>
    <row r="1347">
      <c r="B1347" s="2" t="n"/>
      <c r="C1347" s="40" t="n"/>
    </row>
    <row r="1348">
      <c r="B1348" s="2" t="n"/>
      <c r="C1348" s="40" t="n"/>
    </row>
    <row r="1349">
      <c r="B1349" s="2" t="n"/>
      <c r="C1349" s="40" t="n"/>
    </row>
    <row r="1350">
      <c r="B1350" s="2" t="n"/>
      <c r="C1350" s="40" t="n"/>
    </row>
    <row r="1351">
      <c r="B1351" s="2" t="n"/>
      <c r="C1351" s="40" t="n"/>
    </row>
    <row r="1352">
      <c r="B1352" s="2" t="n"/>
      <c r="C1352" s="40" t="n"/>
    </row>
    <row r="1353">
      <c r="B1353" s="2" t="n"/>
      <c r="C1353" s="40" t="n"/>
    </row>
    <row r="1354">
      <c r="B1354" s="2" t="n"/>
      <c r="C1354" s="40" t="n"/>
    </row>
    <row r="1355">
      <c r="B1355" s="2" t="n"/>
      <c r="C1355" s="40" t="n"/>
    </row>
    <row r="1356">
      <c r="B1356" s="2" t="n"/>
      <c r="C1356" s="40" t="n"/>
    </row>
    <row r="1357">
      <c r="B1357" s="2" t="n"/>
      <c r="C1357" s="40" t="n"/>
    </row>
    <row r="1358">
      <c r="B1358" s="2" t="n"/>
      <c r="C1358" s="40" t="n"/>
    </row>
    <row r="1359">
      <c r="B1359" s="2" t="n"/>
      <c r="C1359" s="40" t="n"/>
    </row>
    <row r="1360">
      <c r="B1360" s="2" t="n"/>
      <c r="C1360" s="40" t="n"/>
    </row>
    <row r="1361">
      <c r="B1361" s="2" t="n"/>
      <c r="C1361" s="40" t="n"/>
    </row>
    <row r="1362">
      <c r="B1362" s="2" t="n"/>
      <c r="C1362" s="40" t="n"/>
    </row>
    <row r="1363">
      <c r="B1363" s="2" t="n"/>
      <c r="C1363" s="40" t="n"/>
    </row>
    <row r="1364">
      <c r="B1364" s="2" t="n"/>
      <c r="C1364" s="40" t="n"/>
    </row>
    <row r="1365">
      <c r="B1365" s="2" t="n"/>
      <c r="C1365" s="40" t="n"/>
    </row>
    <row r="1366">
      <c r="B1366" s="2" t="n"/>
      <c r="C1366" s="40" t="n"/>
    </row>
    <row r="1367">
      <c r="B1367" s="2" t="n"/>
      <c r="C1367" s="40" t="n"/>
    </row>
    <row r="1368">
      <c r="B1368" s="2" t="n"/>
      <c r="C1368" s="40" t="n"/>
    </row>
    <row r="1369">
      <c r="B1369" s="2" t="n"/>
      <c r="C1369" s="40" t="n"/>
    </row>
    <row r="1370">
      <c r="B1370" s="2" t="n"/>
      <c r="C1370" s="40" t="n"/>
    </row>
    <row r="1371">
      <c r="B1371" s="2" t="n"/>
      <c r="C1371" s="40" t="n"/>
    </row>
    <row r="1372">
      <c r="B1372" s="2" t="n"/>
      <c r="C1372" s="40" t="n"/>
    </row>
    <row r="1373">
      <c r="B1373" s="2" t="n"/>
      <c r="C1373" s="40" t="n"/>
    </row>
    <row r="1374">
      <c r="B1374" s="2" t="n"/>
      <c r="C1374" s="40" t="n"/>
    </row>
    <row r="1375">
      <c r="B1375" s="2" t="n"/>
      <c r="C1375" s="40" t="n"/>
    </row>
    <row r="1376">
      <c r="B1376" s="2" t="n"/>
      <c r="C1376" s="40" t="n"/>
    </row>
    <row r="1377">
      <c r="B1377" s="2" t="n"/>
      <c r="C1377" s="40" t="n"/>
    </row>
    <row r="1378">
      <c r="B1378" s="2" t="n"/>
      <c r="C1378" s="40" t="n"/>
    </row>
    <row r="1379">
      <c r="B1379" s="2" t="n"/>
      <c r="C1379" s="40" t="n"/>
    </row>
    <row r="1380">
      <c r="B1380" s="2" t="n"/>
      <c r="C1380" s="40" t="n"/>
    </row>
    <row r="1381">
      <c r="B1381" s="2" t="n"/>
      <c r="C1381" s="40" t="n"/>
    </row>
    <row r="1382">
      <c r="B1382" s="2" t="n"/>
      <c r="C1382" s="40" t="n"/>
    </row>
    <row r="1383">
      <c r="B1383" s="2" t="n"/>
      <c r="C1383" s="40" t="n"/>
    </row>
    <row r="1384">
      <c r="B1384" s="2" t="n"/>
      <c r="C1384" s="40" t="n"/>
    </row>
    <row r="1385">
      <c r="B1385" s="2" t="n"/>
      <c r="C1385" s="40" t="n"/>
    </row>
    <row r="1386">
      <c r="B1386" s="2" t="n"/>
      <c r="C1386" s="40" t="n"/>
    </row>
    <row r="1387">
      <c r="B1387" s="2" t="n"/>
      <c r="C1387" s="40" t="n"/>
    </row>
    <row r="1388">
      <c r="B1388" s="2" t="n"/>
      <c r="C1388" s="40" t="n"/>
    </row>
    <row r="1389">
      <c r="B1389" s="2" t="n"/>
      <c r="C1389" s="40" t="n"/>
    </row>
    <row r="1390">
      <c r="B1390" s="2" t="n"/>
      <c r="C1390" s="40" t="n"/>
    </row>
    <row r="1391">
      <c r="B1391" s="2" t="n"/>
      <c r="C1391" s="40" t="n"/>
    </row>
    <row r="1392">
      <c r="B1392" s="2" t="n"/>
      <c r="C1392" s="40" t="n"/>
    </row>
    <row r="1393">
      <c r="B1393" s="2" t="n"/>
      <c r="C1393" s="40" t="n"/>
    </row>
    <row r="1394">
      <c r="B1394" s="2" t="n"/>
      <c r="C1394" s="40" t="n"/>
    </row>
    <row r="1395">
      <c r="B1395" s="2" t="n"/>
      <c r="C1395" s="40" t="n"/>
    </row>
    <row r="1396">
      <c r="B1396" s="2" t="n"/>
      <c r="C1396" s="40" t="n"/>
    </row>
    <row r="1397">
      <c r="B1397" s="2" t="n"/>
      <c r="C1397" s="40" t="n"/>
    </row>
    <row r="1398">
      <c r="B1398" s="2" t="n"/>
      <c r="C1398" s="40" t="n"/>
    </row>
    <row r="1399">
      <c r="B1399" s="2" t="n"/>
      <c r="C1399" s="40" t="n"/>
    </row>
    <row r="1400">
      <c r="B1400" s="2" t="n"/>
      <c r="C1400" s="40" t="n"/>
    </row>
    <row r="1401">
      <c r="B1401" s="2" t="n"/>
      <c r="C1401" s="40" t="n"/>
    </row>
    <row r="1402">
      <c r="B1402" s="2" t="n"/>
      <c r="C1402" s="40" t="n"/>
    </row>
    <row r="1403">
      <c r="B1403" s="2" t="n"/>
      <c r="C1403" s="40" t="n"/>
    </row>
    <row r="1404">
      <c r="B1404" s="2" t="n"/>
      <c r="C1404" s="40" t="n"/>
    </row>
    <row r="1405">
      <c r="B1405" s="2" t="n"/>
      <c r="C1405" s="40" t="n"/>
    </row>
    <row r="1406">
      <c r="B1406" s="2" t="n"/>
      <c r="C1406" s="40" t="n"/>
    </row>
    <row r="1407">
      <c r="B1407" s="2" t="n"/>
      <c r="C1407" s="40" t="n"/>
    </row>
    <row r="1408">
      <c r="B1408" s="2" t="n"/>
      <c r="C1408" s="40" t="n"/>
    </row>
    <row r="1409">
      <c r="B1409" s="2" t="n"/>
      <c r="C1409" s="40" t="n"/>
    </row>
    <row r="1410">
      <c r="B1410" s="2" t="n"/>
      <c r="C1410" s="40" t="n"/>
    </row>
    <row r="1411">
      <c r="B1411" s="2" t="n"/>
      <c r="C1411" s="40" t="n"/>
    </row>
    <row r="1412">
      <c r="B1412" s="2" t="n"/>
      <c r="C1412" s="40" t="n"/>
    </row>
    <row r="1413">
      <c r="B1413" s="2" t="n"/>
      <c r="C1413" s="40" t="n"/>
    </row>
    <row r="1414">
      <c r="B1414" s="2" t="n"/>
      <c r="C1414" s="40" t="n"/>
    </row>
    <row r="1415">
      <c r="B1415" s="2" t="n"/>
      <c r="C1415" s="40" t="n"/>
    </row>
    <row r="1416">
      <c r="B1416" s="2" t="n"/>
      <c r="C1416" s="40" t="n"/>
    </row>
    <row r="1417">
      <c r="B1417" s="2" t="n"/>
      <c r="C1417" s="40" t="n"/>
    </row>
    <row r="1418">
      <c r="B1418" s="2" t="n"/>
      <c r="C1418" s="40" t="n"/>
    </row>
    <row r="1419">
      <c r="B1419" s="2" t="n"/>
      <c r="C1419" s="40" t="n"/>
    </row>
    <row r="1420">
      <c r="B1420" s="2" t="n"/>
      <c r="C1420" s="40" t="n"/>
    </row>
    <row r="1421">
      <c r="B1421" s="2" t="n"/>
      <c r="C1421" s="40" t="n"/>
    </row>
    <row r="1422">
      <c r="B1422" s="2" t="n"/>
      <c r="C1422" s="40" t="n"/>
    </row>
    <row r="1423">
      <c r="B1423" s="2" t="n"/>
      <c r="C1423" s="40" t="n"/>
    </row>
    <row r="1424">
      <c r="B1424" s="2" t="n"/>
      <c r="C1424" s="40" t="n"/>
    </row>
    <row r="1425">
      <c r="B1425" s="2" t="n"/>
      <c r="C1425" s="40" t="n"/>
    </row>
    <row r="1426">
      <c r="B1426" s="2" t="n"/>
      <c r="C1426" s="40" t="n"/>
    </row>
    <row r="1427">
      <c r="B1427" s="2" t="n"/>
      <c r="C1427" s="40" t="n"/>
    </row>
    <row r="1428">
      <c r="B1428" s="2" t="n"/>
      <c r="C1428" s="40" t="n"/>
    </row>
    <row r="1429">
      <c r="B1429" s="2" t="n"/>
      <c r="C1429" s="40" t="n"/>
    </row>
    <row r="1430">
      <c r="B1430" s="2" t="n"/>
      <c r="C1430" s="40" t="n"/>
    </row>
    <row r="1431">
      <c r="B1431" s="2" t="n"/>
      <c r="C1431" s="40" t="n"/>
    </row>
    <row r="1432">
      <c r="B1432" s="2" t="n"/>
      <c r="C1432" s="40" t="n"/>
    </row>
    <row r="1433">
      <c r="B1433" s="2" t="n"/>
      <c r="C1433" s="40" t="n"/>
    </row>
    <row r="1434">
      <c r="B1434" s="2" t="n"/>
      <c r="C1434" s="40" t="n"/>
    </row>
    <row r="1435">
      <c r="B1435" s="2" t="n"/>
      <c r="C1435" s="40" t="n"/>
    </row>
    <row r="1436">
      <c r="B1436" s="2" t="n"/>
      <c r="C1436" s="40" t="n"/>
    </row>
    <row r="1437">
      <c r="B1437" s="2" t="n"/>
      <c r="C1437" s="40" t="n"/>
    </row>
    <row r="1438">
      <c r="B1438" s="2" t="n"/>
      <c r="C1438" s="40" t="n"/>
    </row>
    <row r="1439">
      <c r="B1439" s="2" t="n"/>
      <c r="C1439" s="40" t="n"/>
    </row>
    <row r="1440">
      <c r="B1440" s="2" t="n"/>
      <c r="C1440" s="40" t="n"/>
    </row>
    <row r="1441">
      <c r="B1441" s="2" t="n"/>
      <c r="C1441" s="40" t="n"/>
    </row>
    <row r="1442">
      <c r="B1442" s="2" t="n"/>
      <c r="C1442" s="40" t="n"/>
    </row>
    <row r="1443">
      <c r="B1443" s="2" t="n"/>
      <c r="C1443" s="40" t="n"/>
    </row>
    <row r="1444">
      <c r="B1444" s="2" t="n"/>
      <c r="C1444" s="40" t="n"/>
    </row>
    <row r="1445">
      <c r="B1445" s="2" t="n"/>
      <c r="C1445" s="40" t="n"/>
    </row>
    <row r="1446">
      <c r="B1446" s="2" t="n"/>
      <c r="C1446" s="40" t="n"/>
    </row>
    <row r="1447">
      <c r="B1447" s="2" t="n"/>
      <c r="C1447" s="40" t="n"/>
    </row>
    <row r="1448">
      <c r="B1448" s="2" t="n"/>
      <c r="C1448" s="40" t="n"/>
    </row>
    <row r="1449">
      <c r="B1449" s="2" t="n"/>
      <c r="C1449" s="40" t="n"/>
    </row>
    <row r="1450">
      <c r="B1450" s="2" t="n"/>
      <c r="C1450" s="40" t="n"/>
    </row>
    <row r="1451">
      <c r="B1451" s="2" t="n"/>
      <c r="C1451" s="40" t="n"/>
    </row>
    <row r="1452">
      <c r="B1452" s="2" t="n"/>
      <c r="C1452" s="40" t="n"/>
    </row>
    <row r="1453">
      <c r="B1453" s="2" t="n"/>
      <c r="C1453" s="40" t="n"/>
    </row>
    <row r="1454">
      <c r="B1454" s="2" t="n"/>
      <c r="C1454" s="40" t="n"/>
    </row>
    <row r="1455">
      <c r="B1455" s="2" t="n"/>
      <c r="C1455" s="40" t="n"/>
    </row>
    <row r="1456">
      <c r="B1456" s="2" t="n"/>
      <c r="C1456" s="40" t="n"/>
    </row>
    <row r="1457">
      <c r="B1457" s="2" t="n"/>
      <c r="C1457" s="40" t="n"/>
    </row>
    <row r="1458">
      <c r="B1458" s="2" t="n"/>
      <c r="C1458" s="40" t="n"/>
    </row>
    <row r="1459">
      <c r="B1459" s="2" t="n"/>
      <c r="C1459" s="40" t="n"/>
    </row>
    <row r="1460">
      <c r="B1460" s="2" t="n"/>
      <c r="C1460" s="40" t="n"/>
    </row>
    <row r="1461">
      <c r="B1461" s="2" t="n"/>
      <c r="C1461" s="40" t="n"/>
    </row>
    <row r="1462">
      <c r="B1462" s="2" t="n"/>
      <c r="C1462" s="40" t="n"/>
    </row>
    <row r="1463">
      <c r="B1463" s="2" t="n"/>
      <c r="C1463" s="40" t="n"/>
    </row>
    <row r="1464">
      <c r="B1464" s="2" t="n"/>
      <c r="C1464" s="40" t="n"/>
    </row>
    <row r="1465">
      <c r="B1465" s="2" t="n"/>
      <c r="C1465" s="40" t="n"/>
    </row>
    <row r="1466">
      <c r="B1466" s="2" t="n"/>
      <c r="C1466" s="40" t="n"/>
    </row>
    <row r="1467">
      <c r="B1467" s="2" t="n"/>
      <c r="C1467" s="40" t="n"/>
    </row>
    <row r="1468">
      <c r="B1468" s="2" t="n"/>
      <c r="C1468" s="40" t="n"/>
    </row>
    <row r="1469">
      <c r="B1469" s="2" t="n"/>
      <c r="C1469" s="40" t="n"/>
    </row>
    <row r="1470">
      <c r="B1470" s="2" t="n"/>
      <c r="C1470" s="40" t="n"/>
    </row>
    <row r="1471">
      <c r="B1471" s="2" t="n"/>
      <c r="C1471" s="40" t="n"/>
    </row>
    <row r="1472">
      <c r="B1472" s="2" t="n"/>
      <c r="C1472" s="40" t="n"/>
    </row>
    <row r="1473">
      <c r="B1473" s="2" t="n"/>
      <c r="C1473" s="40" t="n"/>
    </row>
    <row r="1474">
      <c r="B1474" s="2" t="n"/>
      <c r="C1474" s="40" t="n"/>
    </row>
    <row r="1475">
      <c r="B1475" s="2" t="n"/>
      <c r="C1475" s="40" t="n"/>
    </row>
    <row r="1476">
      <c r="B1476" s="2" t="n"/>
      <c r="C1476" s="40" t="n"/>
    </row>
    <row r="1477">
      <c r="B1477" s="2" t="n"/>
      <c r="C1477" s="40" t="n"/>
    </row>
    <row r="1478">
      <c r="B1478" s="2" t="n"/>
      <c r="C1478" s="40" t="n"/>
    </row>
    <row r="1479">
      <c r="B1479" s="2" t="n"/>
      <c r="C1479" s="40" t="n"/>
    </row>
    <row r="1480">
      <c r="B1480" s="2" t="n"/>
      <c r="C1480" s="40" t="n"/>
    </row>
    <row r="1481">
      <c r="B1481" s="2" t="n"/>
      <c r="C1481" s="40" t="n"/>
    </row>
    <row r="1482">
      <c r="B1482" s="2" t="n"/>
      <c r="C1482" s="40" t="n"/>
    </row>
    <row r="1483">
      <c r="B1483" s="2" t="n"/>
      <c r="C1483" s="40" t="n"/>
    </row>
    <row r="1484">
      <c r="B1484" s="2" t="n"/>
      <c r="C1484" s="40" t="n"/>
    </row>
    <row r="1485">
      <c r="B1485" s="2" t="n"/>
      <c r="C1485" s="40" t="n"/>
    </row>
    <row r="1486">
      <c r="B1486" s="2" t="n"/>
      <c r="C1486" s="40" t="n"/>
    </row>
    <row r="1487">
      <c r="B1487" s="2" t="n"/>
      <c r="C1487" s="40" t="n"/>
    </row>
    <row r="1488">
      <c r="B1488" s="2" t="n"/>
      <c r="C1488" s="40" t="n"/>
    </row>
    <row r="1489">
      <c r="B1489" s="2" t="n"/>
      <c r="C1489" s="40" t="n"/>
    </row>
    <row r="1490">
      <c r="B1490" s="2" t="n"/>
      <c r="C1490" s="40" t="n"/>
    </row>
    <row r="1491">
      <c r="B1491" s="2" t="n"/>
      <c r="C1491" s="40" t="n"/>
    </row>
    <row r="1492">
      <c r="B1492" s="2" t="n"/>
      <c r="C1492" s="40" t="n"/>
    </row>
    <row r="1493">
      <c r="B1493" s="2" t="n"/>
      <c r="C1493" s="40" t="n"/>
    </row>
    <row r="1494">
      <c r="B1494" s="2" t="n"/>
      <c r="C1494" s="40" t="n"/>
    </row>
    <row r="1495">
      <c r="B1495" s="2" t="n"/>
      <c r="C1495" s="40" t="n"/>
    </row>
    <row r="1496">
      <c r="B1496" s="2" t="n"/>
      <c r="C1496" s="40" t="n"/>
    </row>
    <row r="1497">
      <c r="B1497" s="2" t="n"/>
      <c r="C1497" s="40" t="n"/>
    </row>
    <row r="1498">
      <c r="B1498" s="2" t="n"/>
      <c r="C1498" s="40" t="n"/>
    </row>
    <row r="1499">
      <c r="B1499" s="2" t="n"/>
      <c r="C1499" s="40" t="n"/>
    </row>
    <row r="1500">
      <c r="B1500" s="2" t="n"/>
      <c r="C1500" s="40" t="n"/>
    </row>
    <row r="1501">
      <c r="B1501" s="2" t="n"/>
      <c r="C1501" s="40" t="n"/>
    </row>
    <row r="1502">
      <c r="B1502" s="2" t="n"/>
      <c r="C1502" s="40" t="n"/>
    </row>
    <row r="1503">
      <c r="B1503" s="2" t="n"/>
      <c r="C1503" s="40" t="n"/>
    </row>
    <row r="1504">
      <c r="B1504" s="2" t="n"/>
      <c r="C1504" s="40" t="n"/>
    </row>
    <row r="1505">
      <c r="B1505" s="2" t="n"/>
      <c r="C1505" s="40" t="n"/>
    </row>
    <row r="1506">
      <c r="B1506" s="2" t="n"/>
      <c r="C1506" s="40" t="n"/>
    </row>
    <row r="1507">
      <c r="B1507" s="2" t="n"/>
      <c r="C1507" s="40" t="n"/>
    </row>
    <row r="1508">
      <c r="B1508" s="2" t="n"/>
      <c r="C1508" s="40" t="n"/>
    </row>
    <row r="1509">
      <c r="B1509" s="2" t="n"/>
      <c r="C1509" s="40" t="n"/>
    </row>
    <row r="1510">
      <c r="B1510" s="2" t="n"/>
      <c r="C1510" s="40" t="n"/>
    </row>
    <row r="1511">
      <c r="B1511" s="2" t="n"/>
      <c r="C1511" s="40" t="n"/>
    </row>
    <row r="1512">
      <c r="B1512" s="2" t="n"/>
      <c r="C1512" s="40" t="n"/>
    </row>
    <row r="1513">
      <c r="B1513" s="2" t="n"/>
      <c r="C1513" s="40" t="n"/>
    </row>
    <row r="1514">
      <c r="B1514" s="2" t="n"/>
      <c r="C1514" s="40" t="n"/>
    </row>
    <row r="1515">
      <c r="B1515" s="2" t="n"/>
      <c r="C1515" s="40" t="n"/>
    </row>
    <row r="1516">
      <c r="B1516" s="2" t="n"/>
      <c r="C1516" s="40" t="n"/>
    </row>
    <row r="1517">
      <c r="B1517" s="2" t="n"/>
      <c r="C1517" s="40" t="n"/>
    </row>
    <row r="1518">
      <c r="B1518" s="2" t="n"/>
      <c r="C1518" s="40" t="n"/>
    </row>
    <row r="1519">
      <c r="B1519" s="2" t="n"/>
      <c r="C1519" s="40" t="n"/>
    </row>
    <row r="1520">
      <c r="B1520" s="2" t="n"/>
      <c r="C1520" s="40" t="n"/>
    </row>
    <row r="1521">
      <c r="B1521" s="2" t="n"/>
      <c r="C1521" s="40" t="n"/>
    </row>
    <row r="1522">
      <c r="B1522" s="2" t="n"/>
      <c r="C1522" s="40" t="n"/>
    </row>
    <row r="1523">
      <c r="B1523" s="2" t="n"/>
      <c r="C1523" s="40" t="n"/>
    </row>
    <row r="1524">
      <c r="B1524" s="2" t="n"/>
      <c r="C1524" s="40" t="n"/>
    </row>
    <row r="1525">
      <c r="B1525" s="2" t="n"/>
      <c r="C1525" s="40" t="n"/>
    </row>
    <row r="1526">
      <c r="B1526" s="2" t="n"/>
      <c r="C1526" s="40" t="n"/>
    </row>
    <row r="1527">
      <c r="B1527" s="2" t="n"/>
      <c r="C1527" s="40" t="n"/>
    </row>
    <row r="1528">
      <c r="B1528" s="2" t="n"/>
      <c r="C1528" s="40" t="n"/>
    </row>
    <row r="1529">
      <c r="B1529" s="2" t="n"/>
      <c r="C1529" s="40" t="n"/>
    </row>
    <row r="1530">
      <c r="B1530" s="2" t="n"/>
      <c r="C1530" s="40" t="n"/>
    </row>
    <row r="1531">
      <c r="B1531" s="2" t="n"/>
      <c r="C1531" s="40" t="n"/>
    </row>
    <row r="1532">
      <c r="B1532" s="2" t="n"/>
      <c r="C1532" s="40" t="n"/>
    </row>
    <row r="1533">
      <c r="B1533" s="2" t="n"/>
      <c r="C1533" s="40" t="n"/>
    </row>
    <row r="1534">
      <c r="B1534" s="2" t="n"/>
      <c r="C1534" s="40" t="n"/>
    </row>
    <row r="1535">
      <c r="B1535" s="2" t="n"/>
      <c r="C1535" s="40" t="n"/>
    </row>
    <row r="1536">
      <c r="B1536" s="2" t="n"/>
      <c r="C1536" s="40" t="n"/>
    </row>
    <row r="1537">
      <c r="B1537" s="2" t="n"/>
      <c r="C1537" s="40" t="n"/>
    </row>
    <row r="1538">
      <c r="B1538" s="2" t="n"/>
      <c r="C1538" s="40" t="n"/>
    </row>
    <row r="1539">
      <c r="B1539" s="2" t="n"/>
      <c r="C1539" s="40" t="n"/>
    </row>
    <row r="1540">
      <c r="B1540" s="2" t="n"/>
      <c r="C1540" s="40" t="n"/>
    </row>
    <row r="1541">
      <c r="B1541" s="2" t="n"/>
      <c r="C1541" s="40" t="n"/>
    </row>
    <row r="1542">
      <c r="B1542" s="2" t="n"/>
      <c r="C1542" s="40" t="n"/>
    </row>
    <row r="1543">
      <c r="B1543" s="2" t="n"/>
      <c r="C1543" s="40" t="n"/>
    </row>
    <row r="1544">
      <c r="B1544" s="2" t="n"/>
      <c r="C1544" s="40" t="n"/>
    </row>
    <row r="1545">
      <c r="B1545" s="2" t="n"/>
      <c r="C1545" s="40" t="n"/>
    </row>
    <row r="1546">
      <c r="B1546" s="2" t="n"/>
      <c r="C1546" s="40" t="n"/>
    </row>
    <row r="1547">
      <c r="B1547" s="2" t="n"/>
      <c r="C1547" s="40" t="n"/>
    </row>
    <row r="1548">
      <c r="B1548" s="2" t="n"/>
      <c r="C1548" s="40" t="n"/>
    </row>
    <row r="1549">
      <c r="B1549" s="2" t="n"/>
      <c r="C1549" s="40" t="n"/>
    </row>
    <row r="1550">
      <c r="B1550" s="2" t="n"/>
      <c r="C1550" s="40" t="n"/>
    </row>
    <row r="1551">
      <c r="B1551" s="2" t="n"/>
      <c r="C1551" s="40" t="n"/>
    </row>
    <row r="1552">
      <c r="B1552" s="2" t="n"/>
      <c r="C1552" s="40" t="n"/>
    </row>
    <row r="1553">
      <c r="B1553" s="2" t="n"/>
      <c r="C1553" s="40" t="n"/>
    </row>
    <row r="1554">
      <c r="B1554" s="2" t="n"/>
      <c r="C1554" s="40" t="n"/>
    </row>
    <row r="1555">
      <c r="B1555" s="2" t="n"/>
      <c r="C1555" s="40" t="n"/>
    </row>
    <row r="1556">
      <c r="B1556" s="2" t="n"/>
      <c r="C1556" s="40" t="n"/>
    </row>
    <row r="1557">
      <c r="B1557" s="2" t="n"/>
      <c r="C1557" s="40" t="n"/>
    </row>
    <row r="1558">
      <c r="B1558" s="2" t="n"/>
      <c r="C1558" s="40" t="n"/>
    </row>
    <row r="1559">
      <c r="B1559" s="2" t="n"/>
      <c r="C1559" s="40" t="n"/>
    </row>
    <row r="1560">
      <c r="B1560" s="2" t="n"/>
      <c r="C1560" s="40" t="n"/>
    </row>
    <row r="1561">
      <c r="B1561" s="2" t="n"/>
      <c r="C1561" s="40" t="n"/>
    </row>
    <row r="1562">
      <c r="B1562" s="2" t="n"/>
      <c r="C1562" s="40" t="n"/>
    </row>
    <row r="1563">
      <c r="B1563" s="2" t="n"/>
      <c r="C1563" s="40" t="n"/>
    </row>
    <row r="1564">
      <c r="B1564" s="2" t="n"/>
      <c r="C1564" s="40" t="n"/>
    </row>
    <row r="1565">
      <c r="B1565" s="2" t="n"/>
      <c r="C1565" s="40" t="n"/>
    </row>
    <row r="1566">
      <c r="B1566" s="2" t="n"/>
      <c r="C1566" s="40" t="n"/>
    </row>
    <row r="1567">
      <c r="B1567" s="2" t="n"/>
      <c r="C1567" s="40" t="n"/>
    </row>
    <row r="1568">
      <c r="B1568" s="2" t="n"/>
      <c r="C1568" s="40" t="n"/>
    </row>
    <row r="1569">
      <c r="B1569" s="2" t="n"/>
      <c r="C1569" s="40" t="n"/>
    </row>
    <row r="1570">
      <c r="B1570" s="2" t="n"/>
      <c r="C1570" s="40" t="n"/>
    </row>
    <row r="1571">
      <c r="B1571" s="2" t="n"/>
      <c r="C1571" s="40" t="n"/>
    </row>
    <row r="1572">
      <c r="B1572" s="2" t="n"/>
      <c r="C1572" s="40" t="n"/>
    </row>
    <row r="1573">
      <c r="B1573" s="2" t="n"/>
      <c r="C1573" s="40" t="n"/>
    </row>
    <row r="1574">
      <c r="B1574" s="2" t="n"/>
      <c r="C1574" s="40" t="n"/>
    </row>
    <row r="1575">
      <c r="B1575" s="2" t="n"/>
      <c r="C1575" s="40" t="n"/>
    </row>
    <row r="1576">
      <c r="B1576" s="2" t="n"/>
      <c r="C1576" s="40" t="n"/>
    </row>
    <row r="1577">
      <c r="B1577" s="2" t="n"/>
      <c r="C1577" s="40" t="n"/>
    </row>
    <row r="1578">
      <c r="B1578" s="2" t="n"/>
      <c r="C1578" s="40" t="n"/>
    </row>
    <row r="1579">
      <c r="B1579" s="2" t="n"/>
      <c r="C1579" s="40" t="n"/>
    </row>
    <row r="1580">
      <c r="B1580" s="2" t="n"/>
      <c r="C1580" s="40" t="n"/>
    </row>
    <row r="1581">
      <c r="B1581" s="2" t="n"/>
      <c r="C1581" s="40" t="n"/>
    </row>
    <row r="1582">
      <c r="B1582" s="2" t="n"/>
      <c r="C1582" s="40" t="n"/>
    </row>
    <row r="1583">
      <c r="B1583" s="2" t="n"/>
      <c r="C1583" s="40" t="n"/>
    </row>
    <row r="1584">
      <c r="B1584" s="2" t="n"/>
      <c r="C1584" s="40" t="n"/>
    </row>
    <row r="1585">
      <c r="B1585" s="2" t="n"/>
      <c r="C1585" s="40" t="n"/>
    </row>
    <row r="1586">
      <c r="B1586" s="2" t="n"/>
      <c r="C1586" s="40" t="n"/>
    </row>
    <row r="1587">
      <c r="B1587" s="2" t="n"/>
      <c r="C1587" s="40" t="n"/>
    </row>
    <row r="1588">
      <c r="B1588" s="2" t="n"/>
      <c r="C1588" s="40" t="n"/>
    </row>
    <row r="1589">
      <c r="B1589" s="2" t="n"/>
      <c r="C1589" s="40" t="n"/>
    </row>
    <row r="1590">
      <c r="B1590" s="2" t="n"/>
      <c r="C1590" s="40" t="n"/>
    </row>
    <row r="1591">
      <c r="B1591" s="2" t="n"/>
      <c r="C1591" s="40" t="n"/>
    </row>
    <row r="1592">
      <c r="B1592" s="2" t="n"/>
      <c r="C1592" s="40" t="n"/>
    </row>
    <row r="1593">
      <c r="B1593" s="2" t="n"/>
      <c r="C1593" s="40" t="n"/>
    </row>
    <row r="1594">
      <c r="B1594" s="2" t="n"/>
      <c r="C1594" s="40" t="n"/>
    </row>
    <row r="1595">
      <c r="B1595" s="2" t="n"/>
      <c r="C1595" s="40" t="n"/>
    </row>
    <row r="1596">
      <c r="B1596" s="2" t="n"/>
      <c r="C1596" s="40" t="n"/>
    </row>
    <row r="1597">
      <c r="B1597" s="2" t="n"/>
      <c r="C1597" s="40" t="n"/>
    </row>
    <row r="1598">
      <c r="B1598" s="2" t="n"/>
      <c r="C1598" s="40" t="n"/>
    </row>
    <row r="1599">
      <c r="B1599" s="2" t="n"/>
      <c r="C1599" s="40" t="n"/>
    </row>
    <row r="1600">
      <c r="B1600" s="2" t="n"/>
      <c r="C1600" s="40" t="n"/>
    </row>
    <row r="1601">
      <c r="B1601" s="2" t="n"/>
      <c r="C1601" s="40" t="n"/>
    </row>
    <row r="1602">
      <c r="B1602" s="2" t="n"/>
      <c r="C1602" s="40" t="n"/>
    </row>
    <row r="1603">
      <c r="B1603" s="2" t="n"/>
      <c r="C1603" s="40" t="n"/>
    </row>
    <row r="1604">
      <c r="B1604" s="2" t="n"/>
      <c r="C1604" s="40" t="n"/>
    </row>
    <row r="1605">
      <c r="B1605" s="2" t="n"/>
      <c r="C1605" s="40" t="n"/>
    </row>
    <row r="1606">
      <c r="B1606" s="2" t="n"/>
      <c r="C1606" s="40" t="n"/>
    </row>
    <row r="1607">
      <c r="B1607" s="2" t="n"/>
      <c r="C1607" s="40" t="n"/>
    </row>
    <row r="1608">
      <c r="B1608" s="2" t="n"/>
      <c r="C1608" s="40" t="n"/>
    </row>
    <row r="1609">
      <c r="B1609" s="2" t="n"/>
      <c r="C1609" s="40" t="n"/>
    </row>
    <row r="1610">
      <c r="B1610" s="2" t="n"/>
      <c r="C1610" s="40" t="n"/>
    </row>
    <row r="1611">
      <c r="B1611" s="2" t="n"/>
      <c r="C1611" s="40" t="n"/>
    </row>
    <row r="1612">
      <c r="B1612" s="2" t="n"/>
      <c r="C1612" s="40" t="n"/>
    </row>
    <row r="1613">
      <c r="B1613" s="2" t="n"/>
      <c r="C1613" s="40" t="n"/>
    </row>
    <row r="1614">
      <c r="B1614" s="2" t="n"/>
      <c r="C1614" s="40" t="n"/>
    </row>
    <row r="1615">
      <c r="B1615" s="2" t="n"/>
      <c r="C1615" s="40" t="n"/>
    </row>
    <row r="1616">
      <c r="B1616" s="2" t="n"/>
      <c r="C1616" s="40" t="n"/>
    </row>
    <row r="1617">
      <c r="B1617" s="2" t="n"/>
      <c r="C1617" s="40" t="n"/>
    </row>
    <row r="1618">
      <c r="B1618" s="2" t="n"/>
      <c r="C1618" s="40" t="n"/>
    </row>
    <row r="1619">
      <c r="B1619" s="2" t="n"/>
      <c r="C1619" s="40" t="n"/>
    </row>
    <row r="1620">
      <c r="B1620" s="2" t="n"/>
      <c r="C1620" s="40" t="n"/>
    </row>
    <row r="1621">
      <c r="B1621" s="2" t="n"/>
      <c r="C1621" s="40" t="n"/>
    </row>
    <row r="1622">
      <c r="B1622" s="2" t="n"/>
      <c r="C1622" s="40" t="n"/>
    </row>
    <row r="1623">
      <c r="B1623" s="2" t="n"/>
      <c r="C1623" s="40" t="n"/>
    </row>
    <row r="1624">
      <c r="B1624" s="2" t="n"/>
      <c r="C1624" s="40" t="n"/>
    </row>
    <row r="1625">
      <c r="B1625" s="2" t="n"/>
      <c r="C1625" s="40" t="n"/>
    </row>
    <row r="1626">
      <c r="B1626" s="2" t="n"/>
      <c r="C1626" s="40" t="n"/>
    </row>
    <row r="1627">
      <c r="B1627" s="2" t="n"/>
      <c r="C1627" s="40" t="n"/>
    </row>
    <row r="1628">
      <c r="B1628" s="2" t="n"/>
      <c r="C1628" s="40" t="n"/>
    </row>
    <row r="1629">
      <c r="B1629" s="2" t="n"/>
      <c r="C1629" s="40" t="n"/>
    </row>
    <row r="1630">
      <c r="B1630" s="2" t="n"/>
      <c r="C1630" s="40" t="n"/>
    </row>
    <row r="1631">
      <c r="B1631" s="2" t="n"/>
      <c r="C1631" s="40" t="n"/>
    </row>
    <row r="1632">
      <c r="B1632" s="2" t="n"/>
      <c r="C1632" s="40" t="n"/>
    </row>
    <row r="1633">
      <c r="B1633" s="2" t="n"/>
      <c r="C1633" s="40" t="n"/>
    </row>
    <row r="1634">
      <c r="B1634" s="2" t="n"/>
      <c r="C1634" s="40" t="n"/>
    </row>
    <row r="1635">
      <c r="B1635" s="2" t="n"/>
      <c r="C1635" s="40" t="n"/>
    </row>
    <row r="1636">
      <c r="B1636" s="2" t="n"/>
      <c r="C1636" s="40" t="n"/>
    </row>
    <row r="1637">
      <c r="B1637" s="2" t="n"/>
      <c r="C1637" s="40" t="n"/>
    </row>
    <row r="1638">
      <c r="B1638" s="2" t="n"/>
      <c r="C1638" s="40" t="n"/>
    </row>
    <row r="1639">
      <c r="B1639" s="2" t="n"/>
      <c r="C1639" s="40" t="n"/>
    </row>
    <row r="1640">
      <c r="B1640" s="2" t="n"/>
      <c r="C1640" s="40" t="n"/>
    </row>
    <row r="1641">
      <c r="B1641" s="2" t="n"/>
      <c r="C1641" s="40" t="n"/>
    </row>
    <row r="1642">
      <c r="B1642" s="2" t="n"/>
      <c r="C1642" s="40" t="n"/>
    </row>
    <row r="1643">
      <c r="B1643" s="2" t="n"/>
      <c r="C1643" s="40" t="n"/>
    </row>
    <row r="1644">
      <c r="B1644" s="2" t="n"/>
      <c r="C1644" s="40" t="n"/>
    </row>
    <row r="1645">
      <c r="B1645" s="2" t="n"/>
      <c r="C1645" s="40" t="n"/>
    </row>
    <row r="1646">
      <c r="B1646" s="2" t="n"/>
      <c r="C1646" s="40" t="n"/>
    </row>
    <row r="1647">
      <c r="B1647" s="2" t="n"/>
      <c r="C1647" s="40" t="n"/>
    </row>
    <row r="1648">
      <c r="B1648" s="2" t="n"/>
      <c r="C1648" s="40" t="n"/>
    </row>
    <row r="1649">
      <c r="B1649" s="2" t="n"/>
      <c r="C1649" s="40" t="n"/>
    </row>
    <row r="1650">
      <c r="B1650" s="2" t="n"/>
      <c r="C1650" s="40" t="n"/>
    </row>
    <row r="1651">
      <c r="B1651" s="2" t="n"/>
      <c r="C1651" s="40" t="n"/>
    </row>
    <row r="1652">
      <c r="B1652" s="2" t="n"/>
      <c r="C1652" s="40" t="n"/>
    </row>
    <row r="1653">
      <c r="B1653" s="2" t="n"/>
      <c r="C1653" s="40" t="n"/>
    </row>
    <row r="1654">
      <c r="B1654" s="2" t="n"/>
      <c r="C1654" s="40" t="n"/>
    </row>
    <row r="1655">
      <c r="B1655" s="2" t="n"/>
      <c r="C1655" s="40" t="n"/>
    </row>
    <row r="1656">
      <c r="B1656" s="2" t="n"/>
      <c r="C1656" s="40" t="n"/>
    </row>
    <row r="1657">
      <c r="B1657" s="2" t="n"/>
      <c r="C1657" s="40" t="n"/>
    </row>
    <row r="1658">
      <c r="B1658" s="2" t="n"/>
      <c r="C1658" s="40" t="n"/>
    </row>
    <row r="1659">
      <c r="B1659" s="2" t="n"/>
      <c r="C1659" s="40" t="n"/>
    </row>
    <row r="1660">
      <c r="B1660" s="2" t="n"/>
      <c r="C1660" s="40" t="n"/>
    </row>
    <row r="1661">
      <c r="B1661" s="2" t="n"/>
      <c r="C1661" s="40" t="n"/>
    </row>
    <row r="1662">
      <c r="B1662" s="2" t="n"/>
      <c r="C1662" s="40" t="n"/>
    </row>
    <row r="1663">
      <c r="B1663" s="2" t="n"/>
      <c r="C1663" s="40" t="n"/>
    </row>
    <row r="1664">
      <c r="B1664" s="2" t="n"/>
      <c r="C1664" s="40" t="n"/>
    </row>
    <row r="1665">
      <c r="B1665" s="2" t="n"/>
      <c r="C1665" s="40" t="n"/>
    </row>
    <row r="1666">
      <c r="B1666" s="2" t="n"/>
      <c r="C1666" s="40" t="n"/>
    </row>
    <row r="1667">
      <c r="B1667" s="2" t="n"/>
      <c r="C1667" s="40" t="n"/>
    </row>
    <row r="1668">
      <c r="B1668" s="2" t="n"/>
      <c r="C1668" s="40" t="n"/>
    </row>
    <row r="1669">
      <c r="B1669" s="2" t="n"/>
      <c r="C1669" s="40" t="n"/>
    </row>
    <row r="1670">
      <c r="B1670" s="2" t="n"/>
      <c r="C1670" s="40" t="n"/>
    </row>
    <row r="1671">
      <c r="B1671" s="2" t="n"/>
      <c r="C1671" s="40" t="n"/>
    </row>
    <row r="1672">
      <c r="B1672" s="2" t="n"/>
      <c r="C1672" s="40" t="n"/>
    </row>
    <row r="1673">
      <c r="B1673" s="2" t="n"/>
      <c r="C1673" s="40" t="n"/>
    </row>
    <row r="1674">
      <c r="B1674" s="2" t="n"/>
      <c r="C1674" s="40" t="n"/>
    </row>
    <row r="1675">
      <c r="B1675" s="2" t="n"/>
      <c r="C1675" s="40" t="n"/>
    </row>
    <row r="1676">
      <c r="B1676" s="2" t="n"/>
      <c r="C1676" s="40" t="n"/>
    </row>
    <row r="1677">
      <c r="B1677" s="2" t="n"/>
      <c r="C1677" s="40" t="n"/>
    </row>
    <row r="1678">
      <c r="B1678" s="2" t="n"/>
      <c r="C1678" s="40" t="n"/>
    </row>
    <row r="1679">
      <c r="B1679" s="2" t="n"/>
      <c r="C1679" s="40" t="n"/>
    </row>
    <row r="1680">
      <c r="B1680" s="2" t="n"/>
      <c r="C1680" s="40" t="n"/>
    </row>
    <row r="1681">
      <c r="B1681" s="2" t="n"/>
      <c r="C1681" s="40" t="n"/>
    </row>
    <row r="1682">
      <c r="B1682" s="2" t="n"/>
      <c r="C1682" s="40" t="n"/>
    </row>
    <row r="1683">
      <c r="B1683" s="2" t="n"/>
      <c r="C1683" s="40" t="n"/>
    </row>
    <row r="1684">
      <c r="B1684" s="2" t="n"/>
      <c r="C1684" s="40" t="n"/>
    </row>
    <row r="1685">
      <c r="B1685" s="2" t="n"/>
      <c r="C1685" s="40" t="n"/>
    </row>
    <row r="1686">
      <c r="B1686" s="2" t="n"/>
      <c r="C1686" s="40" t="n"/>
    </row>
    <row r="1687">
      <c r="B1687" s="2" t="n"/>
      <c r="C1687" s="40" t="n"/>
    </row>
    <row r="1688">
      <c r="B1688" s="2" t="n"/>
      <c r="C1688" s="40" t="n"/>
    </row>
    <row r="1689">
      <c r="B1689" s="2" t="n"/>
      <c r="C1689" s="40" t="n"/>
    </row>
    <row r="1690">
      <c r="B1690" s="2" t="n"/>
      <c r="C1690" s="40" t="n"/>
    </row>
    <row r="1691">
      <c r="B1691" s="2" t="n"/>
      <c r="C1691" s="40" t="n"/>
    </row>
    <row r="1692">
      <c r="B1692" s="2" t="n"/>
      <c r="C1692" s="40" t="n"/>
    </row>
    <row r="1693">
      <c r="B1693" s="2" t="n"/>
      <c r="C1693" s="40" t="n"/>
    </row>
    <row r="1694">
      <c r="B1694" s="2" t="n"/>
      <c r="C1694" s="40" t="n"/>
    </row>
    <row r="1695">
      <c r="B1695" s="2" t="n"/>
      <c r="C1695" s="40" t="n"/>
    </row>
    <row r="1696">
      <c r="B1696" s="2" t="n"/>
      <c r="C1696" s="40" t="n"/>
    </row>
    <row r="1697">
      <c r="B1697" s="2" t="n"/>
      <c r="C1697" s="40" t="n"/>
    </row>
    <row r="1698">
      <c r="B1698" s="2" t="n"/>
      <c r="C1698" s="40" t="n"/>
    </row>
    <row r="1699">
      <c r="B1699" s="2" t="n"/>
      <c r="C1699" s="40" t="n"/>
    </row>
    <row r="1700">
      <c r="B1700" s="2" t="n"/>
      <c r="C1700" s="40" t="n"/>
    </row>
    <row r="1701">
      <c r="B1701" s="2" t="n"/>
      <c r="C1701" s="40" t="n"/>
    </row>
    <row r="1702">
      <c r="B1702" s="2" t="n"/>
      <c r="C1702" s="40" t="n"/>
    </row>
    <row r="1703">
      <c r="B1703" s="2" t="n"/>
      <c r="C1703" s="40" t="n"/>
    </row>
    <row r="1704">
      <c r="B1704" s="2" t="n"/>
      <c r="C1704" s="40" t="n"/>
    </row>
    <row r="1705">
      <c r="B1705" s="2" t="n"/>
      <c r="C1705" s="40" t="n"/>
    </row>
    <row r="1706">
      <c r="B1706" s="2" t="n"/>
      <c r="C1706" s="40" t="n"/>
    </row>
    <row r="1707">
      <c r="B1707" s="2" t="n"/>
      <c r="C1707" s="40" t="n"/>
    </row>
    <row r="1708">
      <c r="B1708" s="2" t="n"/>
      <c r="C1708" s="40" t="n"/>
    </row>
    <row r="1709">
      <c r="B1709" s="2" t="n"/>
      <c r="C1709" s="40" t="n"/>
    </row>
    <row r="1710">
      <c r="B1710" s="2" t="n"/>
      <c r="C1710" s="40" t="n"/>
    </row>
    <row r="1711">
      <c r="B1711" s="2" t="n"/>
      <c r="C1711" s="40" t="n"/>
    </row>
    <row r="1712">
      <c r="B1712" s="2" t="n"/>
      <c r="C1712" s="40" t="n"/>
    </row>
    <row r="1713">
      <c r="B1713" s="2" t="n"/>
      <c r="C1713" s="40" t="n"/>
    </row>
    <row r="1714">
      <c r="B1714" s="2" t="n"/>
      <c r="C1714" s="40" t="n"/>
    </row>
    <row r="1715">
      <c r="B1715" s="2" t="n"/>
      <c r="C1715" s="40" t="n"/>
    </row>
    <row r="1716">
      <c r="B1716" s="2" t="n"/>
      <c r="C1716" s="40" t="n"/>
    </row>
    <row r="1717">
      <c r="B1717" s="2" t="n"/>
      <c r="C1717" s="40" t="n"/>
    </row>
    <row r="1718">
      <c r="B1718" s="2" t="n"/>
      <c r="C1718" s="40" t="n"/>
    </row>
    <row r="1719">
      <c r="B1719" s="2" t="n"/>
      <c r="C1719" s="40" t="n"/>
    </row>
    <row r="1720">
      <c r="B1720" s="2" t="n"/>
      <c r="C1720" s="40" t="n"/>
    </row>
    <row r="1721">
      <c r="B1721" s="2" t="n"/>
      <c r="C1721" s="40" t="n"/>
    </row>
    <row r="1722">
      <c r="B1722" s="2" t="n"/>
      <c r="C1722" s="40" t="n"/>
    </row>
    <row r="1723">
      <c r="B1723" s="2" t="n"/>
      <c r="C1723" s="40" t="n"/>
    </row>
    <row r="1724">
      <c r="B1724" s="2" t="n"/>
      <c r="C1724" s="40" t="n"/>
    </row>
    <row r="1725">
      <c r="B1725" s="2" t="n"/>
      <c r="C1725" s="40" t="n"/>
    </row>
    <row r="1726">
      <c r="B1726" s="2" t="n"/>
      <c r="C1726" s="40" t="n"/>
    </row>
    <row r="1727">
      <c r="B1727" s="2" t="n"/>
      <c r="C1727" s="40" t="n"/>
    </row>
    <row r="1728">
      <c r="B1728" s="2" t="n"/>
      <c r="C1728" s="40" t="n"/>
    </row>
    <row r="1729">
      <c r="B1729" s="2" t="n"/>
      <c r="C1729" s="40" t="n"/>
    </row>
    <row r="1730">
      <c r="B1730" s="2" t="n"/>
      <c r="C1730" s="40" t="n"/>
    </row>
    <row r="1731">
      <c r="B1731" s="2" t="n"/>
      <c r="C1731" s="40" t="n"/>
    </row>
    <row r="1732">
      <c r="B1732" s="2" t="n"/>
      <c r="C1732" s="40" t="n"/>
    </row>
    <row r="1733">
      <c r="B1733" s="2" t="n"/>
      <c r="C1733" s="40" t="n"/>
    </row>
    <row r="1734">
      <c r="B1734" s="2" t="n"/>
      <c r="C1734" s="40" t="n"/>
    </row>
    <row r="1735">
      <c r="B1735" s="2" t="n"/>
      <c r="C1735" s="40" t="n"/>
    </row>
    <row r="1736">
      <c r="B1736" s="2" t="n"/>
      <c r="C1736" s="40" t="n"/>
    </row>
    <row r="1737">
      <c r="B1737" s="2" t="n"/>
      <c r="C1737" s="40" t="n"/>
    </row>
    <row r="1738">
      <c r="B1738" s="2" t="n"/>
      <c r="C1738" s="40" t="n"/>
    </row>
    <row r="1739">
      <c r="B1739" s="2" t="n"/>
      <c r="C1739" s="40" t="n"/>
    </row>
    <row r="1740">
      <c r="B1740" s="2" t="n"/>
      <c r="C1740" s="40" t="n"/>
    </row>
    <row r="1741">
      <c r="B1741" s="2" t="n"/>
      <c r="C1741" s="40" t="n"/>
    </row>
    <row r="1742">
      <c r="B1742" s="2" t="n"/>
      <c r="C1742" s="40" t="n"/>
    </row>
    <row r="1743">
      <c r="B1743" s="2" t="n"/>
      <c r="C1743" s="40" t="n"/>
    </row>
    <row r="1744">
      <c r="B1744" s="2" t="n"/>
      <c r="C1744" s="40" t="n"/>
    </row>
    <row r="1745">
      <c r="B1745" s="2" t="n"/>
      <c r="C1745" s="40" t="n"/>
    </row>
    <row r="1746">
      <c r="B1746" s="2" t="n"/>
      <c r="C1746" s="40" t="n"/>
    </row>
    <row r="1747">
      <c r="B1747" s="2" t="n"/>
      <c r="C1747" s="40" t="n"/>
    </row>
    <row r="1748">
      <c r="B1748" s="2" t="n"/>
      <c r="C1748" s="40" t="n"/>
    </row>
    <row r="1749">
      <c r="B1749" s="2" t="n"/>
      <c r="C1749" s="40" t="n"/>
    </row>
    <row r="1750">
      <c r="B1750" s="2" t="n"/>
      <c r="C1750" s="40" t="n"/>
    </row>
    <row r="1751">
      <c r="B1751" s="2" t="n"/>
      <c r="C1751" s="40" t="n"/>
    </row>
    <row r="1752">
      <c r="B1752" s="2" t="n"/>
      <c r="C1752" s="40" t="n"/>
    </row>
    <row r="1753">
      <c r="B1753" s="2" t="n"/>
      <c r="C1753" s="40" t="n"/>
    </row>
    <row r="1754">
      <c r="B1754" s="2" t="n"/>
      <c r="C1754" s="40" t="n"/>
    </row>
    <row r="1755">
      <c r="B1755" s="2" t="n"/>
      <c r="C1755" s="40" t="n"/>
    </row>
    <row r="1756">
      <c r="B1756" s="2" t="n"/>
      <c r="C1756" s="40" t="n"/>
    </row>
    <row r="1757">
      <c r="B1757" s="2" t="n"/>
      <c r="C1757" s="40" t="n"/>
    </row>
    <row r="1758">
      <c r="B1758" s="2" t="n"/>
      <c r="C1758" s="40" t="n"/>
    </row>
    <row r="1759">
      <c r="B1759" s="2" t="n"/>
      <c r="C1759" s="40" t="n"/>
    </row>
    <row r="1760">
      <c r="B1760" s="2" t="n"/>
      <c r="C1760" s="40" t="n"/>
    </row>
    <row r="1761">
      <c r="B1761" s="2" t="n"/>
      <c r="C1761" s="40" t="n"/>
    </row>
    <row r="1762">
      <c r="B1762" s="2" t="n"/>
      <c r="C1762" s="40" t="n"/>
    </row>
    <row r="1763">
      <c r="B1763" s="2" t="n"/>
      <c r="C1763" s="40" t="n"/>
    </row>
    <row r="1764">
      <c r="B1764" s="2" t="n"/>
      <c r="C1764" s="40" t="n"/>
    </row>
    <row r="1765">
      <c r="B1765" s="2" t="n"/>
      <c r="C1765" s="40" t="n"/>
    </row>
    <row r="1766">
      <c r="B1766" s="2" t="n"/>
      <c r="C1766" s="40" t="n"/>
    </row>
    <row r="1767">
      <c r="B1767" s="2" t="n"/>
      <c r="C1767" s="40" t="n"/>
    </row>
    <row r="1768">
      <c r="B1768" s="2" t="n"/>
      <c r="C1768" s="40" t="n"/>
    </row>
    <row r="1769">
      <c r="B1769" s="2" t="n"/>
      <c r="C1769" s="40" t="n"/>
    </row>
    <row r="1770">
      <c r="B1770" s="2" t="n"/>
      <c r="C1770" s="40" t="n"/>
    </row>
    <row r="1771">
      <c r="B1771" s="2" t="n"/>
      <c r="C1771" s="40" t="n"/>
    </row>
    <row r="1772">
      <c r="B1772" s="2" t="n"/>
      <c r="C1772" s="40" t="n"/>
    </row>
    <row r="1773">
      <c r="B1773" s="2" t="n"/>
      <c r="C1773" s="40" t="n"/>
    </row>
    <row r="1774">
      <c r="B1774" s="2" t="n"/>
      <c r="C1774" s="40" t="n"/>
    </row>
    <row r="1775">
      <c r="B1775" s="2" t="n"/>
      <c r="C1775" s="40" t="n"/>
    </row>
    <row r="1776">
      <c r="B1776" s="2" t="n"/>
      <c r="C1776" s="40" t="n"/>
    </row>
    <row r="1777">
      <c r="B1777" s="2" t="n"/>
      <c r="C1777" s="40" t="n"/>
    </row>
    <row r="1778">
      <c r="B1778" s="2" t="n"/>
      <c r="C1778" s="40" t="n"/>
    </row>
    <row r="1779">
      <c r="B1779" s="2" t="n"/>
      <c r="C1779" s="40" t="n"/>
    </row>
    <row r="1780">
      <c r="B1780" s="2" t="n"/>
      <c r="C1780" s="40" t="n"/>
    </row>
    <row r="1781">
      <c r="B1781" s="2" t="n"/>
      <c r="C1781" s="40" t="n"/>
    </row>
    <row r="1782">
      <c r="B1782" s="2" t="n"/>
      <c r="C1782" s="40" t="n"/>
    </row>
    <row r="1783">
      <c r="B1783" s="2" t="n"/>
      <c r="C1783" s="40" t="n"/>
    </row>
    <row r="1784">
      <c r="B1784" s="2" t="n"/>
      <c r="C1784" s="40" t="n"/>
    </row>
    <row r="1785">
      <c r="B1785" s="2" t="n"/>
      <c r="C1785" s="40" t="n"/>
    </row>
    <row r="1786">
      <c r="B1786" s="2" t="n"/>
      <c r="C1786" s="40" t="n"/>
    </row>
    <row r="1787">
      <c r="B1787" s="2" t="n"/>
      <c r="C1787" s="40" t="n"/>
    </row>
    <row r="1788">
      <c r="B1788" s="2" t="n"/>
      <c r="C1788" s="40" t="n"/>
    </row>
    <row r="1789">
      <c r="B1789" s="2" t="n"/>
      <c r="C1789" s="40" t="n"/>
    </row>
    <row r="1790">
      <c r="B1790" s="2" t="n"/>
      <c r="C1790" s="40" t="n"/>
    </row>
    <row r="1791">
      <c r="B1791" s="2" t="n"/>
      <c r="C1791" s="40" t="n"/>
    </row>
    <row r="1792">
      <c r="B1792" s="2" t="n"/>
      <c r="C1792" s="40" t="n"/>
    </row>
    <row r="1793">
      <c r="B1793" s="2" t="n"/>
      <c r="C1793" s="40" t="n"/>
    </row>
    <row r="1794">
      <c r="B1794" s="2" t="n"/>
      <c r="C1794" s="40" t="n"/>
    </row>
    <row r="1795">
      <c r="B1795" s="2" t="n"/>
      <c r="C1795" s="40" t="n"/>
    </row>
    <row r="1796">
      <c r="B1796" s="2" t="n"/>
      <c r="C1796" s="40" t="n"/>
    </row>
    <row r="1797">
      <c r="B1797" s="2" t="n"/>
      <c r="C1797" s="40" t="n"/>
    </row>
    <row r="1798">
      <c r="B1798" s="2" t="n"/>
      <c r="C1798" s="40" t="n"/>
    </row>
    <row r="1799">
      <c r="B1799" s="2" t="n"/>
      <c r="C1799" s="40" t="n"/>
    </row>
    <row r="1800">
      <c r="B1800" s="2" t="n"/>
      <c r="C1800" s="40" t="n"/>
    </row>
    <row r="1801">
      <c r="B1801" s="2" t="n"/>
      <c r="C1801" s="40" t="n"/>
    </row>
    <row r="1802">
      <c r="B1802" s="2" t="n"/>
      <c r="C1802" s="40" t="n"/>
    </row>
    <row r="1803">
      <c r="B1803" s="2" t="n"/>
      <c r="C1803" s="40" t="n"/>
    </row>
    <row r="1804">
      <c r="B1804" s="2" t="n"/>
      <c r="C1804" s="40" t="n"/>
    </row>
    <row r="1805">
      <c r="B1805" s="2" t="n"/>
      <c r="C1805" s="40" t="n"/>
    </row>
    <row r="1806">
      <c r="B1806" s="2" t="n"/>
      <c r="C1806" s="40" t="n"/>
    </row>
    <row r="1807">
      <c r="B1807" s="2" t="n"/>
      <c r="C1807" s="40" t="n"/>
    </row>
    <row r="1808">
      <c r="B1808" s="2" t="n"/>
      <c r="C1808" s="40" t="n"/>
    </row>
    <row r="1809">
      <c r="B1809" s="2" t="n"/>
      <c r="C1809" s="40" t="n"/>
    </row>
    <row r="1810">
      <c r="B1810" s="2" t="n"/>
      <c r="C1810" s="40" t="n"/>
    </row>
    <row r="1811">
      <c r="B1811" s="2" t="n"/>
      <c r="C1811" s="40" t="n"/>
    </row>
    <row r="1812">
      <c r="B1812" s="2" t="n"/>
      <c r="C1812" s="40" t="n"/>
    </row>
    <row r="1813">
      <c r="B1813" s="2" t="n"/>
      <c r="C1813" s="40" t="n"/>
    </row>
    <row r="1814">
      <c r="B1814" s="2" t="n"/>
      <c r="C1814" s="40" t="n"/>
    </row>
    <row r="1815">
      <c r="B1815" s="2" t="n"/>
      <c r="C1815" s="40" t="n"/>
    </row>
    <row r="1816">
      <c r="B1816" s="2" t="n"/>
      <c r="C1816" s="40" t="n"/>
    </row>
    <row r="1817">
      <c r="B1817" s="2" t="n"/>
      <c r="C1817" s="40" t="n"/>
    </row>
    <row r="1818">
      <c r="B1818" s="2" t="n"/>
      <c r="C1818" s="40" t="n"/>
    </row>
    <row r="1819">
      <c r="B1819" s="2" t="n"/>
      <c r="C1819" s="40" t="n"/>
    </row>
    <row r="1820">
      <c r="B1820" s="2" t="n"/>
      <c r="C1820" s="40" t="n"/>
    </row>
    <row r="1821">
      <c r="B1821" s="2" t="n"/>
      <c r="C1821" s="40" t="n"/>
    </row>
    <row r="1822">
      <c r="B1822" s="2" t="n"/>
      <c r="C1822" s="40" t="n"/>
    </row>
    <row r="1823">
      <c r="B1823" s="2" t="n"/>
      <c r="C1823" s="40" t="n"/>
    </row>
    <row r="1824">
      <c r="B1824" s="2" t="n"/>
      <c r="C1824" s="40" t="n"/>
    </row>
    <row r="1825">
      <c r="B1825" s="2" t="n"/>
      <c r="C1825" s="40" t="n"/>
    </row>
    <row r="1826">
      <c r="B1826" s="2" t="n"/>
      <c r="C1826" s="40" t="n"/>
    </row>
    <row r="1827">
      <c r="B1827" s="2" t="n"/>
      <c r="C1827" s="40" t="n"/>
    </row>
    <row r="1828">
      <c r="B1828" s="2" t="n"/>
      <c r="C1828" s="40" t="n"/>
    </row>
    <row r="1829">
      <c r="B1829" s="2" t="n"/>
      <c r="C1829" s="40" t="n"/>
    </row>
    <row r="1830">
      <c r="B1830" s="2" t="n"/>
      <c r="C1830" s="40" t="n"/>
    </row>
    <row r="1831">
      <c r="B1831" s="2" t="n"/>
      <c r="C1831" s="40" t="n"/>
    </row>
    <row r="1832">
      <c r="B1832" s="2" t="n"/>
      <c r="C1832" s="40" t="n"/>
    </row>
    <row r="1833">
      <c r="B1833" s="2" t="n"/>
      <c r="C1833" s="40" t="n"/>
    </row>
    <row r="1834">
      <c r="B1834" s="2" t="n"/>
      <c r="C1834" s="40" t="n"/>
    </row>
    <row r="1835">
      <c r="B1835" s="2" t="n"/>
      <c r="C1835" s="40" t="n"/>
    </row>
    <row r="1836">
      <c r="B1836" s="2" t="n"/>
      <c r="C1836" s="40" t="n"/>
    </row>
    <row r="1837">
      <c r="B1837" s="2" t="n"/>
      <c r="C1837" s="40" t="n"/>
    </row>
    <row r="1838">
      <c r="B1838" s="2" t="n"/>
      <c r="C1838" s="40" t="n"/>
    </row>
    <row r="1839">
      <c r="B1839" s="2" t="n"/>
      <c r="C1839" s="40" t="n"/>
    </row>
    <row r="1840">
      <c r="B1840" s="2" t="n"/>
      <c r="C1840" s="40" t="n"/>
    </row>
    <row r="1841">
      <c r="B1841" s="2" t="n"/>
      <c r="C1841" s="40" t="n"/>
    </row>
    <row r="1842">
      <c r="B1842" s="2" t="n"/>
      <c r="C1842" s="40" t="n"/>
    </row>
    <row r="1843">
      <c r="B1843" s="2" t="n"/>
      <c r="C1843" s="40" t="n"/>
    </row>
    <row r="1844">
      <c r="B1844" s="2" t="n"/>
      <c r="C1844" s="40" t="n"/>
    </row>
    <row r="1845">
      <c r="B1845" s="2" t="n"/>
      <c r="C1845" s="40" t="n"/>
    </row>
    <row r="1846">
      <c r="B1846" s="2" t="n"/>
      <c r="C1846" s="40" t="n"/>
    </row>
    <row r="1847">
      <c r="B1847" s="2" t="n"/>
      <c r="C1847" s="40" t="n"/>
    </row>
    <row r="1848">
      <c r="B1848" s="2" t="n"/>
      <c r="C1848" s="40" t="n"/>
    </row>
    <row r="1849">
      <c r="B1849" s="2" t="n"/>
      <c r="C1849" s="40" t="n"/>
    </row>
    <row r="1850">
      <c r="B1850" s="2" t="n"/>
      <c r="C1850" s="40" t="n"/>
    </row>
    <row r="1851">
      <c r="B1851" s="2" t="n"/>
      <c r="C1851" s="40" t="n"/>
    </row>
    <row r="1852">
      <c r="B1852" s="2" t="n"/>
      <c r="C1852" s="40" t="n"/>
    </row>
    <row r="1853">
      <c r="B1853" s="2" t="n"/>
      <c r="C1853" s="40" t="n"/>
    </row>
    <row r="1854">
      <c r="B1854" s="2" t="n"/>
      <c r="C1854" s="40" t="n"/>
    </row>
    <row r="1855">
      <c r="B1855" s="2" t="n"/>
      <c r="C1855" s="40" t="n"/>
    </row>
    <row r="1856">
      <c r="B1856" s="2" t="n"/>
      <c r="C1856" s="40" t="n"/>
    </row>
    <row r="1857">
      <c r="B1857" s="2" t="n"/>
      <c r="C1857" s="40" t="n"/>
    </row>
    <row r="1858">
      <c r="B1858" s="2" t="n"/>
      <c r="C1858" s="40" t="n"/>
    </row>
    <row r="1859">
      <c r="B1859" s="2" t="n"/>
      <c r="C1859" s="40" t="n"/>
    </row>
    <row r="1860">
      <c r="B1860" s="2" t="n"/>
      <c r="C1860" s="40" t="n"/>
    </row>
    <row r="1861">
      <c r="B1861" s="2" t="n"/>
      <c r="C1861" s="40" t="n"/>
    </row>
    <row r="1862">
      <c r="B1862" s="2" t="n"/>
      <c r="C1862" s="40" t="n"/>
    </row>
    <row r="1863">
      <c r="B1863" s="2" t="n"/>
      <c r="C1863" s="40" t="n"/>
    </row>
    <row r="1864">
      <c r="B1864" s="2" t="n"/>
      <c r="C1864" s="40" t="n"/>
    </row>
    <row r="1865">
      <c r="B1865" s="2" t="n"/>
      <c r="C1865" s="40" t="n"/>
    </row>
    <row r="1866">
      <c r="B1866" s="2" t="n"/>
      <c r="C1866" s="40" t="n"/>
    </row>
    <row r="1867">
      <c r="B1867" s="2" t="n"/>
      <c r="C1867" s="40" t="n"/>
    </row>
    <row r="1868">
      <c r="B1868" s="2" t="n"/>
      <c r="C1868" s="40" t="n"/>
    </row>
    <row r="1869">
      <c r="B1869" s="2" t="n"/>
      <c r="C1869" s="40" t="n"/>
    </row>
    <row r="1870">
      <c r="B1870" s="2" t="n"/>
      <c r="C1870" s="40" t="n"/>
    </row>
    <row r="1871">
      <c r="B1871" s="2" t="n"/>
      <c r="C1871" s="40" t="n"/>
    </row>
    <row r="1872">
      <c r="B1872" s="2" t="n"/>
      <c r="C1872" s="40" t="n"/>
    </row>
    <row r="1873">
      <c r="B1873" s="2" t="n"/>
      <c r="C1873" s="40" t="n"/>
    </row>
    <row r="1874">
      <c r="B1874" s="2" t="n"/>
      <c r="C1874" s="40" t="n"/>
    </row>
    <row r="1875">
      <c r="B1875" s="2" t="n"/>
      <c r="C1875" s="40" t="n"/>
    </row>
    <row r="1876">
      <c r="B1876" s="2" t="n"/>
      <c r="C1876" s="40" t="n"/>
    </row>
    <row r="1877">
      <c r="B1877" s="2" t="n"/>
      <c r="C1877" s="40" t="n"/>
    </row>
    <row r="1878">
      <c r="B1878" s="2" t="n"/>
      <c r="C1878" s="40" t="n"/>
    </row>
    <row r="1879">
      <c r="B1879" s="2" t="n"/>
      <c r="C1879" s="40" t="n"/>
    </row>
    <row r="1880">
      <c r="B1880" s="2" t="n"/>
      <c r="C1880" s="40" t="n"/>
    </row>
    <row r="1881">
      <c r="B1881" s="2" t="n"/>
      <c r="C1881" s="40" t="n"/>
    </row>
    <row r="1882">
      <c r="B1882" s="2" t="n"/>
      <c r="C1882" s="40" t="n"/>
    </row>
    <row r="1883">
      <c r="B1883" s="2" t="n"/>
      <c r="C1883" s="40" t="n"/>
    </row>
    <row r="1884">
      <c r="B1884" s="2" t="n"/>
      <c r="C1884" s="40" t="n"/>
    </row>
    <row r="1885">
      <c r="B1885" s="2" t="n"/>
      <c r="C1885" s="40" t="n"/>
    </row>
    <row r="1886">
      <c r="B1886" s="2" t="n"/>
      <c r="C1886" s="40" t="n"/>
    </row>
    <row r="1887">
      <c r="B1887" s="2" t="n"/>
      <c r="C1887" s="40" t="n"/>
    </row>
    <row r="1888">
      <c r="B1888" s="2" t="n"/>
      <c r="C1888" s="40" t="n"/>
    </row>
    <row r="1889">
      <c r="B1889" s="2" t="n"/>
      <c r="C1889" s="40" t="n"/>
    </row>
    <row r="1890">
      <c r="B1890" s="2" t="n"/>
      <c r="C1890" s="40" t="n"/>
    </row>
    <row r="1891">
      <c r="B1891" s="2" t="n"/>
      <c r="C1891" s="40" t="n"/>
    </row>
    <row r="1892">
      <c r="B1892" s="2" t="n"/>
      <c r="C1892" s="40" t="n"/>
    </row>
    <row r="1893">
      <c r="B1893" s="2" t="n"/>
      <c r="C1893" s="40" t="n"/>
    </row>
    <row r="1894">
      <c r="B1894" s="2" t="n"/>
      <c r="C1894" s="40" t="n"/>
    </row>
    <row r="1895">
      <c r="B1895" s="2" t="n"/>
      <c r="C1895" s="40" t="n"/>
    </row>
    <row r="1896">
      <c r="B1896" s="2" t="n"/>
      <c r="C1896" s="40" t="n"/>
    </row>
    <row r="1897">
      <c r="B1897" s="2" t="n"/>
      <c r="C1897" s="40" t="n"/>
    </row>
    <row r="1898">
      <c r="B1898" s="2" t="n"/>
      <c r="C1898" s="40" t="n"/>
    </row>
    <row r="1899">
      <c r="B1899" s="2" t="n"/>
      <c r="C1899" s="40" t="n"/>
    </row>
    <row r="1900">
      <c r="B1900" s="2" t="n"/>
      <c r="C1900" s="40" t="n"/>
    </row>
    <row r="1901">
      <c r="B1901" s="2" t="n"/>
      <c r="C1901" s="40" t="n"/>
    </row>
    <row r="1902">
      <c r="B1902" s="2" t="n"/>
      <c r="C1902" s="40" t="n"/>
    </row>
    <row r="1903">
      <c r="B1903" s="2" t="n"/>
      <c r="C1903" s="40" t="n"/>
    </row>
    <row r="1904">
      <c r="B1904" s="2" t="n"/>
      <c r="C1904" s="40" t="n"/>
    </row>
    <row r="1905">
      <c r="B1905" s="2" t="n"/>
      <c r="C1905" s="40" t="n"/>
    </row>
    <row r="1906">
      <c r="B1906" s="2" t="n"/>
      <c r="C1906" s="40" t="n"/>
    </row>
    <row r="1907">
      <c r="B1907" s="2" t="n"/>
      <c r="C1907" s="40" t="n"/>
    </row>
    <row r="1908">
      <c r="B1908" s="2" t="n"/>
      <c r="C1908" s="40" t="n"/>
    </row>
    <row r="1909">
      <c r="B1909" s="2" t="n"/>
      <c r="C1909" s="40" t="n"/>
    </row>
    <row r="1910">
      <c r="B1910" s="2" t="n"/>
      <c r="C1910" s="40" t="n"/>
    </row>
    <row r="1911">
      <c r="B1911" s="2" t="n"/>
      <c r="C1911" s="40" t="n"/>
    </row>
    <row r="1912">
      <c r="B1912" s="2" t="n"/>
      <c r="C1912" s="40" t="n"/>
    </row>
    <row r="1913">
      <c r="B1913" s="2" t="n"/>
      <c r="C1913" s="40" t="n"/>
    </row>
    <row r="1914">
      <c r="B1914" s="2" t="n"/>
      <c r="C1914" s="40" t="n"/>
    </row>
    <row r="1915">
      <c r="B1915" s="2" t="n"/>
      <c r="C1915" s="40" t="n"/>
    </row>
    <row r="1916">
      <c r="B1916" s="2" t="n"/>
      <c r="C1916" s="40" t="n"/>
    </row>
    <row r="1917">
      <c r="B1917" s="2" t="n"/>
      <c r="C1917" s="40" t="n"/>
    </row>
    <row r="1918">
      <c r="B1918" s="2" t="n"/>
      <c r="C1918" s="40" t="n"/>
    </row>
    <row r="1919">
      <c r="B1919" s="2" t="n"/>
      <c r="C1919" s="40" t="n"/>
    </row>
    <row r="1920">
      <c r="B1920" s="2" t="n"/>
      <c r="C1920" s="40" t="n"/>
    </row>
    <row r="1921">
      <c r="B1921" s="2" t="n"/>
      <c r="C1921" s="40" t="n"/>
    </row>
    <row r="1922">
      <c r="B1922" s="2" t="n"/>
      <c r="C1922" s="40" t="n"/>
    </row>
    <row r="1923">
      <c r="B1923" s="2" t="n"/>
      <c r="C1923" s="40" t="n"/>
    </row>
    <row r="1924">
      <c r="B1924" s="2" t="n"/>
      <c r="C1924" s="40" t="n"/>
    </row>
    <row r="1925">
      <c r="B1925" s="2" t="n"/>
      <c r="C1925" s="40" t="n"/>
    </row>
    <row r="1926">
      <c r="B1926" s="2" t="n"/>
      <c r="C1926" s="40" t="n"/>
    </row>
    <row r="1927">
      <c r="B1927" s="2" t="n"/>
      <c r="C1927" s="40" t="n"/>
    </row>
    <row r="1928">
      <c r="B1928" s="2" t="n"/>
      <c r="C1928" s="40" t="n"/>
    </row>
    <row r="1929">
      <c r="B1929" s="2" t="n"/>
      <c r="C1929" s="40" t="n"/>
    </row>
    <row r="1930">
      <c r="B1930" s="2" t="n"/>
      <c r="C1930" s="40" t="n"/>
    </row>
    <row r="1931">
      <c r="B1931" s="2" t="n"/>
      <c r="C1931" s="40" t="n"/>
    </row>
    <row r="1932">
      <c r="B1932" s="2" t="n"/>
      <c r="C1932" s="40" t="n"/>
    </row>
    <row r="1933">
      <c r="B1933" s="2" t="n"/>
      <c r="C1933" s="40" t="n"/>
    </row>
    <row r="1934">
      <c r="B1934" s="2" t="n"/>
      <c r="C1934" s="40" t="n"/>
    </row>
    <row r="1935">
      <c r="B1935" s="2" t="n"/>
      <c r="C1935" s="40" t="n"/>
    </row>
    <row r="1936">
      <c r="B1936" s="2" t="n"/>
      <c r="C1936" s="40" t="n"/>
    </row>
    <row r="1937">
      <c r="B1937" s="2" t="n"/>
      <c r="C1937" s="40" t="n"/>
    </row>
    <row r="1938">
      <c r="B1938" s="2" t="n"/>
      <c r="C1938" s="40" t="n"/>
    </row>
    <row r="1939">
      <c r="B1939" s="2" t="n"/>
      <c r="C1939" s="40" t="n"/>
    </row>
    <row r="1940">
      <c r="B1940" s="2" t="n"/>
      <c r="C1940" s="40" t="n"/>
    </row>
    <row r="1941">
      <c r="B1941" s="2" t="n"/>
      <c r="C1941" s="40" t="n"/>
    </row>
    <row r="1942">
      <c r="B1942" s="2" t="n"/>
      <c r="C1942" s="40" t="n"/>
    </row>
    <row r="1943">
      <c r="B1943" s="2" t="n"/>
      <c r="C1943" s="40" t="n"/>
    </row>
    <row r="1944">
      <c r="B1944" s="2" t="n"/>
      <c r="C1944" s="40" t="n"/>
    </row>
    <row r="1945">
      <c r="B1945" s="2" t="n"/>
      <c r="C1945" s="40" t="n"/>
    </row>
    <row r="1946">
      <c r="B1946" s="2" t="n"/>
      <c r="C1946" s="40" t="n"/>
    </row>
    <row r="1947">
      <c r="B1947" s="2" t="n"/>
      <c r="C1947" s="40" t="n"/>
    </row>
    <row r="1948">
      <c r="B1948" s="2" t="n"/>
      <c r="C1948" s="40" t="n"/>
    </row>
    <row r="1949">
      <c r="B1949" s="2" t="n"/>
      <c r="C1949" s="40" t="n"/>
    </row>
    <row r="1950">
      <c r="B1950" s="2" t="n"/>
      <c r="C1950" s="40" t="n"/>
    </row>
    <row r="1951">
      <c r="B1951" s="2" t="n"/>
      <c r="C1951" s="40" t="n"/>
    </row>
    <row r="1952">
      <c r="B1952" s="2" t="n"/>
      <c r="C1952" s="40" t="n"/>
    </row>
    <row r="1953">
      <c r="B1953" s="2" t="n"/>
      <c r="C1953" s="40" t="n"/>
    </row>
    <row r="1954">
      <c r="B1954" s="2" t="n"/>
      <c r="C1954" s="40" t="n"/>
    </row>
    <row r="1955">
      <c r="B1955" s="2" t="n"/>
      <c r="C1955" s="40" t="n"/>
    </row>
    <row r="1956">
      <c r="B1956" s="2" t="n"/>
      <c r="C1956" s="40" t="n"/>
    </row>
    <row r="1957">
      <c r="B1957" s="2" t="n"/>
      <c r="C1957" s="40" t="n"/>
    </row>
    <row r="1958">
      <c r="B1958" s="2" t="n"/>
      <c r="C1958" s="40" t="n"/>
    </row>
    <row r="1959">
      <c r="B1959" s="2" t="n"/>
      <c r="C1959" s="40" t="n"/>
    </row>
    <row r="1960">
      <c r="B1960" s="2" t="n"/>
      <c r="C1960" s="40" t="n"/>
    </row>
    <row r="1961">
      <c r="B1961" s="2" t="n"/>
      <c r="C1961" s="40" t="n"/>
    </row>
    <row r="1962">
      <c r="B1962" s="2" t="n"/>
      <c r="C1962" s="40" t="n"/>
    </row>
    <row r="1963">
      <c r="B1963" s="2" t="n"/>
      <c r="C1963" s="40" t="n"/>
    </row>
    <row r="1964">
      <c r="B1964" s="2" t="n"/>
      <c r="C1964" s="40" t="n"/>
    </row>
    <row r="1965">
      <c r="B1965" s="2" t="n"/>
      <c r="C1965" s="40" t="n"/>
    </row>
    <row r="1966">
      <c r="B1966" s="2" t="n"/>
      <c r="C1966" s="40" t="n"/>
    </row>
    <row r="1967">
      <c r="B1967" s="2" t="n"/>
      <c r="C1967" s="40" t="n"/>
    </row>
    <row r="1968">
      <c r="B1968" s="2" t="n"/>
      <c r="C1968" s="40" t="n"/>
    </row>
    <row r="1969">
      <c r="B1969" s="2" t="n"/>
      <c r="C1969" s="40" t="n"/>
    </row>
    <row r="1970">
      <c r="B1970" s="2" t="n"/>
      <c r="C1970" s="40" t="n"/>
    </row>
    <row r="1971">
      <c r="B1971" s="2" t="n"/>
      <c r="C1971" s="40" t="n"/>
    </row>
    <row r="1972">
      <c r="B1972" s="2" t="n"/>
      <c r="C1972" s="40" t="n"/>
    </row>
    <row r="1973">
      <c r="B1973" s="2" t="n"/>
      <c r="C1973" s="40" t="n"/>
    </row>
    <row r="1974">
      <c r="B1974" s="2" t="n"/>
      <c r="C1974" s="40" t="n"/>
    </row>
    <row r="1975">
      <c r="B1975" s="2" t="n"/>
      <c r="C1975" s="40" t="n"/>
    </row>
    <row r="1976">
      <c r="B1976" s="2" t="n"/>
      <c r="C1976" s="40" t="n"/>
    </row>
    <row r="1977">
      <c r="B1977" s="2" t="n"/>
      <c r="C1977" s="40" t="n"/>
    </row>
    <row r="1978">
      <c r="B1978" s="2" t="n"/>
      <c r="C1978" s="40" t="n"/>
    </row>
    <row r="1979">
      <c r="B1979" s="2" t="n"/>
      <c r="C1979" s="40" t="n"/>
    </row>
    <row r="1980">
      <c r="B1980" s="2" t="n"/>
      <c r="C1980" s="40" t="n"/>
    </row>
    <row r="1981">
      <c r="B1981" s="2" t="n"/>
      <c r="C1981" s="40" t="n"/>
    </row>
    <row r="1982">
      <c r="B1982" s="2" t="n"/>
      <c r="C1982" s="40" t="n"/>
    </row>
    <row r="1983">
      <c r="B1983" s="2" t="n"/>
      <c r="C1983" s="40" t="n"/>
    </row>
    <row r="1984">
      <c r="B1984" s="2" t="n"/>
      <c r="C1984" s="40" t="n"/>
    </row>
    <row r="1985">
      <c r="B1985" s="2" t="n"/>
      <c r="C1985" s="40" t="n"/>
    </row>
    <row r="1986">
      <c r="B1986" s="2" t="n"/>
      <c r="C1986" s="40" t="n"/>
    </row>
    <row r="1987">
      <c r="B1987" s="2" t="n"/>
      <c r="C1987" s="40" t="n"/>
    </row>
    <row r="1988">
      <c r="B1988" s="2" t="n"/>
      <c r="C1988" s="40" t="n"/>
    </row>
    <row r="1989">
      <c r="B1989" s="2" t="n"/>
      <c r="C1989" s="40" t="n"/>
    </row>
    <row r="1990">
      <c r="B1990" s="2" t="n"/>
      <c r="C1990" s="40" t="n"/>
    </row>
    <row r="1991">
      <c r="B1991" s="2" t="n"/>
      <c r="C1991" s="40" t="n"/>
    </row>
    <row r="1992">
      <c r="B1992" s="2" t="n"/>
      <c r="C1992" s="40" t="n"/>
    </row>
    <row r="1993">
      <c r="B1993" s="2" t="n"/>
      <c r="C1993" s="40" t="n"/>
    </row>
    <row r="1994">
      <c r="B1994" s="2" t="n"/>
      <c r="C1994" s="40" t="n"/>
    </row>
    <row r="1995">
      <c r="B1995" s="2" t="n"/>
      <c r="C1995" s="40" t="n"/>
    </row>
    <row r="1996">
      <c r="B1996" s="2" t="n"/>
      <c r="C1996" s="40" t="n"/>
    </row>
    <row r="1997">
      <c r="B1997" s="2" t="n"/>
      <c r="C1997" s="40" t="n"/>
    </row>
    <row r="1998">
      <c r="B1998" s="2" t="n"/>
      <c r="C1998" s="40" t="n"/>
    </row>
    <row r="1999">
      <c r="B1999" s="2" t="n"/>
      <c r="C1999" s="40" t="n"/>
    </row>
    <row r="2000">
      <c r="B2000" s="2" t="n"/>
      <c r="C2000" s="40" t="n"/>
    </row>
    <row r="2001">
      <c r="B2001" s="2" t="n"/>
      <c r="C2001" s="40" t="n"/>
    </row>
    <row r="2002">
      <c r="B2002" s="2" t="n"/>
      <c r="C2002" s="40" t="n"/>
    </row>
    <row r="2003">
      <c r="B2003" s="2" t="n"/>
      <c r="C2003" s="40" t="n"/>
    </row>
    <row r="2004">
      <c r="B2004" s="2" t="n"/>
      <c r="C2004" s="40" t="n"/>
    </row>
    <row r="2005">
      <c r="B2005" s="2" t="n"/>
      <c r="C2005" s="40" t="n"/>
    </row>
    <row r="2006">
      <c r="B2006" s="2" t="n"/>
      <c r="C2006" s="40" t="n"/>
    </row>
    <row r="2007">
      <c r="B2007" s="2" t="n"/>
      <c r="C2007" s="40" t="n"/>
    </row>
    <row r="2008">
      <c r="B2008" s="2" t="n"/>
      <c r="C2008" s="40" t="n"/>
    </row>
    <row r="2009">
      <c r="B2009" s="2" t="n"/>
      <c r="C2009" s="40" t="n"/>
    </row>
    <row r="2010">
      <c r="B2010" s="2" t="n"/>
      <c r="C2010" s="40" t="n"/>
    </row>
    <row r="2011">
      <c r="B2011" s="2" t="n"/>
      <c r="C2011" s="40" t="n"/>
    </row>
    <row r="2012">
      <c r="B2012" s="2" t="n"/>
      <c r="C2012" s="40" t="n"/>
    </row>
    <row r="2013">
      <c r="B2013" s="2" t="n"/>
      <c r="C2013" s="40" t="n"/>
    </row>
    <row r="2014">
      <c r="B2014" s="2" t="n"/>
      <c r="C2014" s="40" t="n"/>
    </row>
    <row r="2015">
      <c r="B2015" s="2" t="n"/>
      <c r="C2015" s="40" t="n"/>
    </row>
    <row r="2016">
      <c r="B2016" s="2" t="n"/>
      <c r="C2016" s="40" t="n"/>
    </row>
    <row r="2017">
      <c r="B2017" s="2" t="n"/>
      <c r="C2017" s="40" t="n"/>
    </row>
    <row r="2018">
      <c r="B2018" s="2" t="n"/>
      <c r="C2018" s="40" t="n"/>
    </row>
    <row r="2019">
      <c r="B2019" s="2" t="n"/>
      <c r="C2019" s="40" t="n"/>
    </row>
    <row r="2020">
      <c r="B2020" s="2" t="n"/>
      <c r="C2020" s="40" t="n"/>
    </row>
    <row r="2021">
      <c r="B2021" s="2" t="n"/>
      <c r="C2021" s="40" t="n"/>
    </row>
    <row r="2022">
      <c r="B2022" s="2" t="n"/>
      <c r="C2022" s="40" t="n"/>
    </row>
    <row r="2023">
      <c r="B2023" s="2" t="n"/>
      <c r="C2023" s="40" t="n"/>
    </row>
    <row r="2024">
      <c r="B2024" s="2" t="n"/>
      <c r="C2024" s="40" t="n"/>
    </row>
    <row r="2025">
      <c r="B2025" s="2" t="n"/>
      <c r="C2025" s="40" t="n"/>
    </row>
    <row r="2026">
      <c r="B2026" s="2" t="n"/>
      <c r="C2026" s="40" t="n"/>
    </row>
    <row r="2027">
      <c r="B2027" s="2" t="n"/>
      <c r="C2027" s="40" t="n"/>
    </row>
    <row r="2028">
      <c r="B2028" s="2" t="n"/>
      <c r="C2028" s="40" t="n"/>
    </row>
    <row r="2029">
      <c r="B2029" s="2" t="n"/>
      <c r="C2029" s="40" t="n"/>
    </row>
    <row r="2030">
      <c r="B2030" s="2" t="n"/>
      <c r="C2030" s="40" t="n"/>
    </row>
    <row r="2031">
      <c r="B2031" s="2" t="n"/>
      <c r="C2031" s="40" t="n"/>
    </row>
    <row r="2032">
      <c r="B2032" s="2" t="n"/>
      <c r="C2032" s="40" t="n"/>
    </row>
    <row r="2033">
      <c r="B2033" s="2" t="n"/>
      <c r="C2033" s="40" t="n"/>
    </row>
    <row r="2034">
      <c r="B2034" s="2" t="n"/>
      <c r="C2034" s="40" t="n"/>
    </row>
    <row r="2035">
      <c r="B2035" s="2" t="n"/>
      <c r="C2035" s="40" t="n"/>
    </row>
    <row r="2036">
      <c r="B2036" s="2" t="n"/>
      <c r="C2036" s="40" t="n"/>
    </row>
    <row r="2037">
      <c r="B2037" s="2" t="n"/>
      <c r="C2037" s="40" t="n"/>
    </row>
    <row r="2038">
      <c r="B2038" s="2" t="n"/>
      <c r="C2038" s="40" t="n"/>
    </row>
    <row r="2039">
      <c r="B2039" s="2" t="n"/>
      <c r="C2039" s="40" t="n"/>
    </row>
    <row r="2040">
      <c r="B2040" s="2" t="n"/>
      <c r="C2040" s="40" t="n"/>
    </row>
    <row r="2041">
      <c r="B2041" s="2" t="n"/>
      <c r="C2041" s="40" t="n"/>
    </row>
    <row r="2042">
      <c r="B2042" s="2" t="n"/>
      <c r="C2042" s="40" t="n"/>
    </row>
    <row r="2043">
      <c r="B2043" s="2" t="n"/>
      <c r="C2043" s="40" t="n"/>
    </row>
    <row r="2044">
      <c r="B2044" s="2" t="n"/>
      <c r="C2044" s="40" t="n"/>
    </row>
    <row r="2045">
      <c r="B2045" s="2" t="n"/>
      <c r="C2045" s="40" t="n"/>
    </row>
    <row r="2046">
      <c r="B2046" s="2" t="n"/>
      <c r="C2046" s="40" t="n"/>
    </row>
    <row r="2047">
      <c r="B2047" s="2" t="n"/>
      <c r="C2047" s="40" t="n"/>
    </row>
    <row r="2048">
      <c r="B2048" s="2" t="n"/>
      <c r="C2048" s="40" t="n"/>
    </row>
    <row r="2049">
      <c r="B2049" s="2" t="n"/>
      <c r="C2049" s="40" t="n"/>
    </row>
    <row r="2050">
      <c r="B2050" s="2" t="n"/>
      <c r="C2050" s="40" t="n"/>
    </row>
    <row r="2051">
      <c r="B2051" s="2" t="n"/>
      <c r="C2051" s="40" t="n"/>
    </row>
    <row r="2052">
      <c r="B2052" s="2" t="n"/>
      <c r="C2052" s="40" t="n"/>
    </row>
    <row r="2053">
      <c r="B2053" s="2" t="n"/>
      <c r="C2053" s="40" t="n"/>
    </row>
    <row r="2054">
      <c r="B2054" s="2" t="n"/>
      <c r="C2054" s="40" t="n"/>
    </row>
    <row r="2055">
      <c r="B2055" s="2" t="n"/>
      <c r="C2055" s="40" t="n"/>
    </row>
    <row r="2056">
      <c r="B2056" s="2" t="n"/>
      <c r="C2056" s="40" t="n"/>
    </row>
    <row r="2057">
      <c r="B2057" s="2" t="n"/>
      <c r="C2057" s="40" t="n"/>
    </row>
    <row r="2058">
      <c r="B2058" s="2" t="n"/>
      <c r="C2058" s="40" t="n"/>
    </row>
    <row r="2059">
      <c r="B2059" s="2" t="n"/>
      <c r="C2059" s="40" t="n"/>
    </row>
    <row r="2060">
      <c r="B2060" s="2" t="n"/>
      <c r="C2060" s="40" t="n"/>
    </row>
    <row r="2061">
      <c r="B2061" s="2" t="n"/>
      <c r="C2061" s="40" t="n"/>
    </row>
    <row r="2062">
      <c r="B2062" s="2" t="n"/>
      <c r="C2062" s="40" t="n"/>
    </row>
    <row r="2063">
      <c r="B2063" s="2" t="n"/>
      <c r="C2063" s="40" t="n"/>
    </row>
    <row r="2064">
      <c r="B2064" s="2" t="n"/>
      <c r="C2064" s="40" t="n"/>
    </row>
    <row r="2065">
      <c r="B2065" s="2" t="n"/>
      <c r="C2065" s="40" t="n"/>
    </row>
    <row r="2066">
      <c r="B2066" s="2" t="n"/>
      <c r="C2066" s="40" t="n"/>
    </row>
    <row r="2067">
      <c r="B2067" s="2" t="n"/>
      <c r="C2067" s="40" t="n"/>
    </row>
    <row r="2068">
      <c r="B2068" s="2" t="n"/>
      <c r="C2068" s="40" t="n"/>
    </row>
    <row r="2069">
      <c r="B2069" s="2" t="n"/>
      <c r="C2069" s="40" t="n"/>
    </row>
    <row r="2070">
      <c r="B2070" s="2" t="n"/>
      <c r="C2070" s="40" t="n"/>
    </row>
    <row r="2071">
      <c r="B2071" s="2" t="n"/>
      <c r="C2071" s="40" t="n"/>
    </row>
    <row r="2072">
      <c r="B2072" s="2" t="n"/>
      <c r="C2072" s="40" t="n"/>
    </row>
    <row r="2073">
      <c r="B2073" s="2" t="n"/>
      <c r="C2073" s="40" t="n"/>
    </row>
    <row r="2074">
      <c r="B2074" s="2" t="n"/>
      <c r="C2074" s="40" t="n"/>
    </row>
    <row r="2075">
      <c r="B2075" s="2" t="n"/>
      <c r="C2075" s="40" t="n"/>
    </row>
    <row r="2076">
      <c r="B2076" s="2" t="n"/>
      <c r="C2076" s="40" t="n"/>
    </row>
    <row r="2077">
      <c r="B2077" s="2" t="n"/>
      <c r="C2077" s="40" t="n"/>
    </row>
    <row r="2078">
      <c r="B2078" s="2" t="n"/>
      <c r="C2078" s="40" t="n"/>
    </row>
    <row r="2079">
      <c r="B2079" s="2" t="n"/>
      <c r="C2079" s="40" t="n"/>
    </row>
    <row r="2080">
      <c r="B2080" s="2" t="n"/>
      <c r="C2080" s="40" t="n"/>
    </row>
    <row r="2081">
      <c r="B2081" s="2" t="n"/>
      <c r="C2081" s="40" t="n"/>
    </row>
    <row r="2082">
      <c r="B2082" s="2" t="n"/>
      <c r="C2082" s="40" t="n"/>
    </row>
    <row r="2083">
      <c r="B2083" s="2" t="n"/>
      <c r="C2083" s="40" t="n"/>
    </row>
    <row r="2084">
      <c r="B2084" s="2" t="n"/>
      <c r="C2084" s="40" t="n"/>
    </row>
    <row r="2085">
      <c r="B2085" s="2" t="n"/>
      <c r="C2085" s="40" t="n"/>
    </row>
    <row r="2086">
      <c r="B2086" s="2" t="n"/>
      <c r="C2086" s="40" t="n"/>
    </row>
    <row r="2087">
      <c r="B2087" s="2" t="n"/>
      <c r="C2087" s="40" t="n"/>
    </row>
    <row r="2088">
      <c r="B2088" s="2" t="n"/>
      <c r="C2088" s="40" t="n"/>
    </row>
    <row r="2089">
      <c r="B2089" s="2" t="n"/>
      <c r="C2089" s="40" t="n"/>
    </row>
    <row r="2090">
      <c r="B2090" s="2" t="n"/>
      <c r="C2090" s="40" t="n"/>
    </row>
    <row r="2091">
      <c r="B2091" s="2" t="n"/>
      <c r="C2091" s="40" t="n"/>
    </row>
    <row r="2092">
      <c r="B2092" s="2" t="n"/>
      <c r="C2092" s="40" t="n"/>
    </row>
    <row r="2093">
      <c r="B2093" s="2" t="n"/>
      <c r="C2093" s="40" t="n"/>
    </row>
    <row r="2094">
      <c r="B2094" s="2" t="n"/>
      <c r="C2094" s="40" t="n"/>
    </row>
    <row r="2095">
      <c r="B2095" s="2" t="n"/>
      <c r="C2095" s="40" t="n"/>
    </row>
    <row r="2096">
      <c r="B2096" s="2" t="n"/>
      <c r="C2096" s="40" t="n"/>
    </row>
    <row r="2097">
      <c r="B2097" s="2" t="n"/>
      <c r="C2097" s="40" t="n"/>
    </row>
    <row r="2098">
      <c r="B2098" s="2" t="n"/>
      <c r="C2098" s="40" t="n"/>
    </row>
    <row r="2099">
      <c r="B2099" s="2" t="n"/>
      <c r="C2099" s="40" t="n"/>
    </row>
    <row r="2100">
      <c r="B2100" s="2" t="n"/>
      <c r="C2100" s="40" t="n"/>
    </row>
    <row r="2101">
      <c r="B2101" s="2" t="n"/>
      <c r="C2101" s="40" t="n"/>
    </row>
    <row r="2102">
      <c r="B2102" s="2" t="n"/>
      <c r="C2102" s="40" t="n"/>
    </row>
    <row r="2103">
      <c r="B2103" s="2" t="n"/>
      <c r="C2103" s="40" t="n"/>
    </row>
    <row r="2104">
      <c r="B2104" s="2" t="n"/>
      <c r="C2104" s="40" t="n"/>
    </row>
    <row r="2105">
      <c r="B2105" s="2" t="n"/>
      <c r="C2105" s="40" t="n"/>
    </row>
    <row r="2106">
      <c r="B2106" s="2" t="n"/>
      <c r="C2106" s="40" t="n"/>
    </row>
    <row r="2107">
      <c r="B2107" s="2" t="n"/>
      <c r="C2107" s="40" t="n"/>
    </row>
    <row r="2108">
      <c r="B2108" s="2" t="n"/>
      <c r="C2108" s="40" t="n"/>
    </row>
    <row r="2109">
      <c r="B2109" s="2" t="n"/>
      <c r="C2109" s="40" t="n"/>
    </row>
    <row r="2110">
      <c r="B2110" s="2" t="n"/>
      <c r="C2110" s="40" t="n"/>
    </row>
    <row r="2111">
      <c r="B2111" s="2" t="n"/>
      <c r="C2111" s="40" t="n"/>
    </row>
    <row r="2112">
      <c r="B2112" s="2" t="n"/>
      <c r="C2112" s="40" t="n"/>
    </row>
    <row r="2113">
      <c r="B2113" s="2" t="n"/>
      <c r="C2113" s="40" t="n"/>
    </row>
    <row r="2114">
      <c r="B2114" s="2" t="n"/>
      <c r="C2114" s="40" t="n"/>
    </row>
    <row r="2115">
      <c r="B2115" s="2" t="n"/>
      <c r="C2115" s="40" t="n"/>
    </row>
    <row r="2116">
      <c r="B2116" s="2" t="n"/>
      <c r="C2116" s="40" t="n"/>
    </row>
    <row r="2117">
      <c r="B2117" s="2" t="n"/>
      <c r="C2117" s="40" t="n"/>
    </row>
    <row r="2118">
      <c r="B2118" s="2" t="n"/>
      <c r="C2118" s="40" t="n"/>
    </row>
    <row r="2119">
      <c r="B2119" s="2" t="n"/>
      <c r="C2119" s="40" t="n"/>
    </row>
    <row r="2120">
      <c r="B2120" s="2" t="n"/>
      <c r="C2120" s="40" t="n"/>
    </row>
    <row r="2121">
      <c r="B2121" s="2" t="n"/>
      <c r="C2121" s="40" t="n"/>
    </row>
    <row r="2122">
      <c r="B2122" s="2" t="n"/>
      <c r="C2122" s="40" t="n"/>
    </row>
    <row r="2123">
      <c r="B2123" s="2" t="n"/>
      <c r="C2123" s="40" t="n"/>
    </row>
    <row r="2124">
      <c r="B2124" s="2" t="n"/>
      <c r="C2124" s="40" t="n"/>
    </row>
    <row r="2125">
      <c r="B2125" s="2" t="n"/>
      <c r="C2125" s="40" t="n"/>
    </row>
    <row r="2126">
      <c r="B2126" s="2" t="n"/>
      <c r="C2126" s="40" t="n"/>
    </row>
    <row r="2127">
      <c r="B2127" s="2" t="n"/>
      <c r="C2127" s="40" t="n"/>
    </row>
    <row r="2128">
      <c r="B2128" s="2" t="n"/>
      <c r="C2128" s="40" t="n"/>
    </row>
    <row r="2129">
      <c r="B2129" s="2" t="n"/>
      <c r="C2129" s="40" t="n"/>
    </row>
    <row r="2130">
      <c r="B2130" s="2" t="n"/>
      <c r="C2130" s="40" t="n"/>
    </row>
    <row r="2131">
      <c r="B2131" s="2" t="n"/>
      <c r="C2131" s="40" t="n"/>
    </row>
    <row r="2132">
      <c r="B2132" s="2" t="n"/>
      <c r="C2132" s="40" t="n"/>
    </row>
    <row r="2133">
      <c r="B2133" s="2" t="n"/>
      <c r="C2133" s="40" t="n"/>
    </row>
    <row r="2134">
      <c r="B2134" s="2" t="n"/>
      <c r="C2134" s="40" t="n"/>
    </row>
    <row r="2135">
      <c r="B2135" s="2" t="n"/>
      <c r="C2135" s="40" t="n"/>
    </row>
    <row r="2136">
      <c r="B2136" s="2" t="n"/>
      <c r="C2136" s="40" t="n"/>
    </row>
    <row r="2137">
      <c r="B2137" s="2" t="n"/>
      <c r="C2137" s="40" t="n"/>
    </row>
    <row r="2138">
      <c r="B2138" s="2" t="n"/>
      <c r="C2138" s="40" t="n"/>
    </row>
    <row r="2139">
      <c r="B2139" s="2" t="n"/>
      <c r="C2139" s="40" t="n"/>
    </row>
    <row r="2140">
      <c r="B2140" s="2" t="n"/>
      <c r="C2140" s="40" t="n"/>
    </row>
    <row r="2141">
      <c r="B2141" s="2" t="n"/>
      <c r="C2141" s="40" t="n"/>
    </row>
    <row r="2142">
      <c r="B2142" s="2" t="n"/>
      <c r="C2142" s="40" t="n"/>
    </row>
    <row r="2143">
      <c r="B2143" s="2" t="n"/>
      <c r="C2143" s="40" t="n"/>
    </row>
    <row r="2144">
      <c r="B2144" s="2" t="n"/>
      <c r="C2144" s="40" t="n"/>
    </row>
    <row r="2145">
      <c r="B2145" s="2" t="n"/>
      <c r="C2145" s="40" t="n"/>
    </row>
    <row r="2146">
      <c r="B2146" s="2" t="n"/>
      <c r="C2146" s="40" t="n"/>
    </row>
    <row r="2147">
      <c r="B2147" s="2" t="n"/>
      <c r="C2147" s="40" t="n"/>
    </row>
    <row r="2148">
      <c r="B2148" s="2" t="n"/>
      <c r="C2148" s="40" t="n"/>
    </row>
    <row r="2149">
      <c r="B2149" s="2" t="n"/>
      <c r="C2149" s="40" t="n"/>
    </row>
    <row r="2150">
      <c r="B2150" s="2" t="n"/>
      <c r="C2150" s="40" t="n"/>
    </row>
    <row r="2151">
      <c r="B2151" s="2" t="n"/>
      <c r="C2151" s="40" t="n"/>
    </row>
    <row r="2152">
      <c r="B2152" s="2" t="n"/>
      <c r="C2152" s="40" t="n"/>
    </row>
    <row r="2153">
      <c r="B2153" s="2" t="n"/>
      <c r="C2153" s="40" t="n"/>
    </row>
    <row r="2154">
      <c r="B2154" s="2" t="n"/>
      <c r="C2154" s="40" t="n"/>
    </row>
    <row r="2155">
      <c r="B2155" s="2" t="n"/>
      <c r="C2155" s="40" t="n"/>
    </row>
    <row r="2156">
      <c r="B2156" s="2" t="n"/>
      <c r="C2156" s="40" t="n"/>
    </row>
    <row r="2157">
      <c r="B2157" s="2" t="n"/>
      <c r="C2157" s="40" t="n"/>
    </row>
    <row r="2158">
      <c r="B2158" s="2" t="n"/>
      <c r="C2158" s="40" t="n"/>
    </row>
    <row r="2159">
      <c r="B2159" s="2" t="n"/>
      <c r="C2159" s="40" t="n"/>
    </row>
    <row r="2160">
      <c r="B2160" s="2" t="n"/>
      <c r="C2160" s="40" t="n"/>
    </row>
    <row r="2161">
      <c r="B2161" s="2" t="n"/>
      <c r="C2161" s="40" t="n"/>
    </row>
    <row r="2162">
      <c r="B2162" s="2" t="n"/>
      <c r="C2162" s="40" t="n"/>
    </row>
    <row r="2163">
      <c r="B2163" s="2" t="n"/>
      <c r="C2163" s="40" t="n"/>
    </row>
    <row r="2164">
      <c r="B2164" s="2" t="n"/>
      <c r="C2164" s="40" t="n"/>
    </row>
    <row r="2165">
      <c r="B2165" s="2" t="n"/>
      <c r="C2165" s="40" t="n"/>
    </row>
    <row r="2166">
      <c r="B2166" s="2" t="n"/>
      <c r="C2166" s="40" t="n"/>
    </row>
    <row r="2167">
      <c r="B2167" s="2" t="n"/>
      <c r="C2167" s="40" t="n"/>
    </row>
    <row r="2168">
      <c r="B2168" s="2" t="n"/>
      <c r="C2168" s="40" t="n"/>
    </row>
    <row r="2169">
      <c r="B2169" s="2" t="n"/>
      <c r="C2169" s="40" t="n"/>
    </row>
    <row r="2170">
      <c r="B2170" s="2" t="n"/>
      <c r="C2170" s="40" t="n"/>
    </row>
    <row r="2171">
      <c r="B2171" s="2" t="n"/>
      <c r="C2171" s="40" t="n"/>
    </row>
    <row r="2172">
      <c r="B2172" s="2" t="n"/>
      <c r="C2172" s="40" t="n"/>
    </row>
    <row r="2173">
      <c r="B2173" s="2" t="n"/>
      <c r="C2173" s="40" t="n"/>
    </row>
    <row r="2174">
      <c r="B2174" s="2" t="n"/>
      <c r="C2174" s="40" t="n"/>
    </row>
    <row r="2175">
      <c r="B2175" s="2" t="n"/>
      <c r="C2175" s="40" t="n"/>
    </row>
    <row r="2176">
      <c r="B2176" s="2" t="n"/>
      <c r="C2176" s="40" t="n"/>
    </row>
    <row r="2177">
      <c r="B2177" s="2" t="n"/>
      <c r="C2177" s="40" t="n"/>
    </row>
    <row r="2178">
      <c r="B2178" s="2" t="n"/>
      <c r="C2178" s="40" t="n"/>
    </row>
    <row r="2179">
      <c r="B2179" s="2" t="n"/>
      <c r="C2179" s="40" t="n"/>
    </row>
    <row r="2180">
      <c r="B2180" s="2" t="n"/>
      <c r="C2180" s="40" t="n"/>
    </row>
    <row r="2181">
      <c r="B2181" s="2" t="n"/>
      <c r="C2181" s="40" t="n"/>
    </row>
    <row r="2182">
      <c r="B2182" s="2" t="n"/>
      <c r="C2182" s="40" t="n"/>
    </row>
    <row r="2183">
      <c r="B2183" s="2" t="n"/>
      <c r="C2183" s="40" t="n"/>
    </row>
    <row r="2184">
      <c r="B2184" s="2" t="n"/>
      <c r="C2184" s="40" t="n"/>
    </row>
    <row r="2185">
      <c r="B2185" s="2" t="n"/>
      <c r="C2185" s="40" t="n"/>
    </row>
    <row r="2186">
      <c r="B2186" s="2" t="n"/>
      <c r="C2186" s="40" t="n"/>
    </row>
    <row r="2187">
      <c r="B2187" s="2" t="n"/>
      <c r="C2187" s="40" t="n"/>
    </row>
    <row r="2188">
      <c r="B2188" s="2" t="n"/>
      <c r="C2188" s="40" t="n"/>
    </row>
    <row r="2189">
      <c r="B2189" s="2" t="n"/>
      <c r="C2189" s="40" t="n"/>
    </row>
    <row r="2190">
      <c r="B2190" s="2" t="n"/>
      <c r="C2190" s="40" t="n"/>
    </row>
    <row r="2191">
      <c r="B2191" s="2" t="n"/>
      <c r="C2191" s="40" t="n"/>
    </row>
    <row r="2192">
      <c r="B2192" s="2" t="n"/>
      <c r="C2192" s="40" t="n"/>
    </row>
    <row r="2193">
      <c r="B2193" s="2" t="n"/>
      <c r="C2193" s="40" t="n"/>
    </row>
    <row r="2194">
      <c r="B2194" s="2" t="n"/>
      <c r="C2194" s="40" t="n"/>
    </row>
    <row r="2195">
      <c r="B2195" s="2" t="n"/>
      <c r="C2195" s="40" t="n"/>
    </row>
    <row r="2196">
      <c r="B2196" s="2" t="n"/>
      <c r="C2196" s="40" t="n"/>
    </row>
    <row r="2197">
      <c r="B2197" s="2" t="n"/>
      <c r="C2197" s="40" t="n"/>
    </row>
    <row r="2198">
      <c r="B2198" s="2" t="n"/>
      <c r="C2198" s="40" t="n"/>
    </row>
    <row r="2199">
      <c r="B2199" s="2" t="n"/>
      <c r="C2199" s="40" t="n"/>
    </row>
    <row r="2200">
      <c r="B2200" s="2" t="n"/>
      <c r="C2200" s="40" t="n"/>
    </row>
    <row r="2201">
      <c r="B2201" s="2" t="n"/>
      <c r="C2201" s="40" t="n"/>
    </row>
    <row r="2202">
      <c r="B2202" s="2" t="n"/>
      <c r="C2202" s="40" t="n"/>
    </row>
    <row r="2203">
      <c r="B2203" s="2" t="n"/>
      <c r="C2203" s="40" t="n"/>
    </row>
    <row r="2204">
      <c r="B2204" s="2" t="n"/>
      <c r="C2204" s="40" t="n"/>
    </row>
    <row r="2205">
      <c r="B2205" s="2" t="n"/>
      <c r="C2205" s="40" t="n"/>
    </row>
    <row r="2206">
      <c r="B2206" s="2" t="n"/>
      <c r="C2206" s="40" t="n"/>
    </row>
    <row r="2207">
      <c r="B2207" s="2" t="n"/>
      <c r="C2207" s="40" t="n"/>
    </row>
    <row r="2208">
      <c r="B2208" s="2" t="n"/>
      <c r="C2208" s="40" t="n"/>
    </row>
    <row r="2209">
      <c r="B2209" s="2" t="n"/>
      <c r="C2209" s="40" t="n"/>
    </row>
    <row r="2210">
      <c r="B2210" s="2" t="n"/>
      <c r="C2210" s="40" t="n"/>
    </row>
    <row r="2211">
      <c r="B2211" s="2" t="n"/>
      <c r="C2211" s="40" t="n"/>
    </row>
    <row r="2212">
      <c r="B2212" s="2" t="n"/>
      <c r="C2212" s="40" t="n"/>
    </row>
    <row r="2213">
      <c r="B2213" s="2" t="n"/>
      <c r="C2213" s="40" t="n"/>
    </row>
    <row r="2214">
      <c r="B2214" s="2" t="n"/>
      <c r="C2214" s="40" t="n"/>
    </row>
    <row r="2215">
      <c r="B2215" s="2" t="n"/>
      <c r="C2215" s="40" t="n"/>
    </row>
    <row r="2216">
      <c r="B2216" s="2" t="n"/>
      <c r="C2216" s="40" t="n"/>
    </row>
    <row r="2217">
      <c r="B2217" s="2" t="n"/>
      <c r="C2217" s="40" t="n"/>
    </row>
    <row r="2218">
      <c r="B2218" s="2" t="n"/>
      <c r="C2218" s="40" t="n"/>
    </row>
    <row r="2219">
      <c r="B2219" s="2" t="n"/>
      <c r="C2219" s="40" t="n"/>
    </row>
    <row r="2220">
      <c r="B2220" s="2" t="n"/>
      <c r="C2220" s="40" t="n"/>
    </row>
    <row r="2221">
      <c r="B2221" s="2" t="n"/>
      <c r="C2221" s="40" t="n"/>
    </row>
    <row r="2222">
      <c r="B2222" s="2" t="n"/>
      <c r="C2222" s="40" t="n"/>
    </row>
    <row r="2223">
      <c r="B2223" s="2" t="n"/>
      <c r="C2223" s="40" t="n"/>
    </row>
    <row r="2224">
      <c r="B2224" s="2" t="n"/>
      <c r="C2224" s="40" t="n"/>
    </row>
    <row r="2225">
      <c r="B2225" s="2" t="n"/>
      <c r="C2225" s="40" t="n"/>
    </row>
    <row r="2226">
      <c r="B2226" s="2" t="n"/>
      <c r="C2226" s="40" t="n"/>
    </row>
    <row r="2227">
      <c r="B2227" s="2" t="n"/>
      <c r="C2227" s="40" t="n"/>
    </row>
    <row r="2228">
      <c r="B2228" s="2" t="n"/>
      <c r="C2228" s="40" t="n"/>
    </row>
    <row r="2229">
      <c r="B2229" s="2" t="n"/>
      <c r="C2229" s="40" t="n"/>
    </row>
    <row r="2230">
      <c r="B2230" s="2" t="n"/>
      <c r="C2230" s="40" t="n"/>
    </row>
    <row r="2231">
      <c r="B2231" s="2" t="n"/>
      <c r="C2231" s="40" t="n"/>
    </row>
    <row r="2232">
      <c r="B2232" s="2" t="n"/>
      <c r="C2232" s="40" t="n"/>
    </row>
    <row r="2233">
      <c r="B2233" s="2" t="n"/>
      <c r="C2233" s="40" t="n"/>
    </row>
    <row r="2234">
      <c r="B2234" s="2" t="n"/>
      <c r="C2234" s="40" t="n"/>
    </row>
    <row r="2235">
      <c r="B2235" s="2" t="n"/>
      <c r="C2235" s="40" t="n"/>
    </row>
    <row r="2236">
      <c r="B2236" s="2" t="n"/>
      <c r="C2236" s="40" t="n"/>
    </row>
    <row r="2237">
      <c r="B2237" s="2" t="n"/>
      <c r="C2237" s="40" t="n"/>
    </row>
    <row r="2238">
      <c r="B2238" s="2" t="n"/>
      <c r="C2238" s="40" t="n"/>
    </row>
    <row r="2239">
      <c r="B2239" s="2" t="n"/>
      <c r="C2239" s="40" t="n"/>
    </row>
    <row r="2240">
      <c r="B2240" s="2" t="n"/>
      <c r="C2240" s="40" t="n"/>
    </row>
    <row r="2241">
      <c r="B2241" s="2" t="n"/>
      <c r="C2241" s="40" t="n"/>
    </row>
    <row r="2242">
      <c r="B2242" s="2" t="n"/>
      <c r="C2242" s="40" t="n"/>
    </row>
    <row r="2243">
      <c r="B2243" s="2" t="n"/>
      <c r="C2243" s="40" t="n"/>
    </row>
    <row r="2244">
      <c r="B2244" s="2" t="n"/>
      <c r="C2244" s="40" t="n"/>
    </row>
    <row r="2245">
      <c r="B2245" s="2" t="n"/>
      <c r="C2245" s="40" t="n"/>
    </row>
    <row r="2246">
      <c r="B2246" s="2" t="n"/>
      <c r="C2246" s="40" t="n"/>
    </row>
    <row r="2247">
      <c r="B2247" s="2" t="n"/>
      <c r="C2247" s="40" t="n"/>
    </row>
    <row r="2248">
      <c r="B2248" s="2" t="n"/>
      <c r="C2248" s="40" t="n"/>
    </row>
    <row r="2249">
      <c r="B2249" s="2" t="n"/>
      <c r="C2249" s="40" t="n"/>
    </row>
    <row r="2250">
      <c r="B2250" s="2" t="n"/>
      <c r="C2250" s="40" t="n"/>
    </row>
    <row r="2251">
      <c r="B2251" s="2" t="n"/>
      <c r="C2251" s="40" t="n"/>
    </row>
    <row r="2252">
      <c r="B2252" s="2" t="n"/>
      <c r="C2252" s="40" t="n"/>
    </row>
    <row r="2253">
      <c r="B2253" s="2" t="n"/>
      <c r="C2253" s="40" t="n"/>
    </row>
    <row r="2254">
      <c r="B2254" s="2" t="n"/>
      <c r="C2254" s="40" t="n"/>
    </row>
    <row r="2255">
      <c r="B2255" s="2" t="n"/>
      <c r="C2255" s="40" t="n"/>
    </row>
    <row r="2256">
      <c r="B2256" s="2" t="n"/>
      <c r="C2256" s="40" t="n"/>
    </row>
    <row r="2257">
      <c r="B2257" s="2" t="n"/>
      <c r="C2257" s="40" t="n"/>
    </row>
    <row r="2258">
      <c r="B2258" s="2" t="n"/>
      <c r="C2258" s="40" t="n"/>
    </row>
    <row r="2259">
      <c r="B2259" s="2" t="n"/>
      <c r="C2259" s="40" t="n"/>
    </row>
    <row r="2260">
      <c r="B2260" s="2" t="n"/>
      <c r="C2260" s="40" t="n"/>
    </row>
    <row r="2261">
      <c r="B2261" s="2" t="n"/>
      <c r="C2261" s="40" t="n"/>
    </row>
    <row r="2262">
      <c r="B2262" s="2" t="n"/>
      <c r="C2262" s="40" t="n"/>
    </row>
    <row r="2263">
      <c r="B2263" s="2" t="n"/>
      <c r="C2263" s="40" t="n"/>
    </row>
    <row r="2264">
      <c r="B2264" s="2" t="n"/>
      <c r="C2264" s="40" t="n"/>
    </row>
    <row r="2265">
      <c r="B2265" s="2" t="n"/>
      <c r="C2265" s="40" t="n"/>
    </row>
    <row r="2266">
      <c r="B2266" s="2" t="n"/>
      <c r="C2266" s="40" t="n"/>
    </row>
    <row r="2267">
      <c r="B2267" s="2" t="n"/>
      <c r="C2267" s="40" t="n"/>
    </row>
    <row r="2268">
      <c r="B2268" s="2" t="n"/>
      <c r="C2268" s="40" t="n"/>
    </row>
    <row r="2269">
      <c r="B2269" s="2" t="n"/>
      <c r="C2269" s="40" t="n"/>
    </row>
    <row r="2270">
      <c r="B2270" s="2" t="n"/>
      <c r="C2270" s="40" t="n"/>
    </row>
    <row r="2271">
      <c r="B2271" s="2" t="n"/>
      <c r="C2271" s="40" t="n"/>
    </row>
    <row r="2272">
      <c r="B2272" s="2" t="n"/>
      <c r="C2272" s="40" t="n"/>
    </row>
    <row r="2273">
      <c r="B2273" s="2" t="n"/>
      <c r="C2273" s="40" t="n"/>
    </row>
    <row r="2274">
      <c r="B2274" s="2" t="n"/>
      <c r="C2274" s="40" t="n"/>
    </row>
    <row r="2275">
      <c r="B2275" s="2" t="n"/>
      <c r="C2275" s="40" t="n"/>
    </row>
    <row r="2276">
      <c r="B2276" s="2" t="n"/>
      <c r="C2276" s="40" t="n"/>
    </row>
    <row r="2277">
      <c r="B2277" s="2" t="n"/>
      <c r="C2277" s="40" t="n"/>
    </row>
    <row r="2278">
      <c r="B2278" s="2" t="n"/>
      <c r="C2278" s="40" t="n"/>
    </row>
    <row r="2279">
      <c r="B2279" s="2" t="n"/>
      <c r="C2279" s="40" t="n"/>
    </row>
    <row r="2280">
      <c r="B2280" s="2" t="n"/>
      <c r="C2280" s="40" t="n"/>
    </row>
    <row r="2281">
      <c r="B2281" s="2" t="n"/>
      <c r="C2281" s="40" t="n"/>
    </row>
    <row r="2282">
      <c r="B2282" s="2" t="n"/>
      <c r="C2282" s="40" t="n"/>
    </row>
    <row r="2283">
      <c r="B2283" s="2" t="n"/>
      <c r="C2283" s="40" t="n"/>
    </row>
    <row r="2284">
      <c r="B2284" s="2" t="n"/>
      <c r="C2284" s="40" t="n"/>
    </row>
    <row r="2285">
      <c r="B2285" s="2" t="n"/>
      <c r="C2285" s="40" t="n"/>
    </row>
    <row r="2286">
      <c r="B2286" s="2" t="n"/>
      <c r="C2286" s="40" t="n"/>
    </row>
    <row r="2287">
      <c r="B2287" s="2" t="n"/>
      <c r="C2287" s="40" t="n"/>
    </row>
    <row r="2288">
      <c r="B2288" s="2" t="n"/>
      <c r="C2288" s="40" t="n"/>
    </row>
    <row r="2289">
      <c r="B2289" s="2" t="n"/>
      <c r="C2289" s="40" t="n"/>
    </row>
    <row r="2290">
      <c r="B2290" s="2" t="n"/>
      <c r="C2290" s="40" t="n"/>
    </row>
    <row r="2291">
      <c r="B2291" s="2" t="n"/>
      <c r="C2291" s="40" t="n"/>
    </row>
    <row r="2292">
      <c r="B2292" s="2" t="n"/>
      <c r="C2292" s="40" t="n"/>
    </row>
    <row r="2293">
      <c r="B2293" s="2" t="n"/>
      <c r="C2293" s="40" t="n"/>
    </row>
    <row r="2294">
      <c r="B2294" s="2" t="n"/>
      <c r="C2294" s="40" t="n"/>
    </row>
    <row r="2295">
      <c r="B2295" s="2" t="n"/>
      <c r="C2295" s="40" t="n"/>
    </row>
    <row r="2296">
      <c r="B2296" s="2" t="n"/>
      <c r="C2296" s="40" t="n"/>
    </row>
    <row r="2297">
      <c r="B2297" s="2" t="n"/>
      <c r="C2297" s="40" t="n"/>
    </row>
    <row r="2298">
      <c r="B2298" s="2" t="n"/>
      <c r="C2298" s="40" t="n"/>
    </row>
    <row r="2299">
      <c r="B2299" s="2" t="n"/>
      <c r="C2299" s="40" t="n"/>
    </row>
    <row r="2300">
      <c r="B2300" s="2" t="n"/>
      <c r="C2300" s="40" t="n"/>
    </row>
    <row r="2301">
      <c r="B2301" s="2" t="n"/>
      <c r="C2301" s="40" t="n"/>
    </row>
    <row r="2302">
      <c r="B2302" s="2" t="n"/>
      <c r="C2302" s="40" t="n"/>
    </row>
    <row r="2303">
      <c r="B2303" s="2" t="n"/>
      <c r="C2303" s="40" t="n"/>
    </row>
    <row r="2304">
      <c r="B2304" s="2" t="n"/>
      <c r="C2304" s="40" t="n"/>
    </row>
    <row r="2305">
      <c r="B2305" s="2" t="n"/>
      <c r="C2305" s="40" t="n"/>
    </row>
    <row r="2306">
      <c r="B2306" s="2" t="n"/>
      <c r="C2306" s="40" t="n"/>
    </row>
    <row r="2307">
      <c r="B2307" s="2" t="n"/>
      <c r="C2307" s="40" t="n"/>
    </row>
    <row r="2308">
      <c r="B2308" s="2" t="n"/>
      <c r="C2308" s="40" t="n"/>
    </row>
    <row r="2309">
      <c r="B2309" s="2" t="n"/>
      <c r="C2309" s="40" t="n"/>
    </row>
    <row r="2310">
      <c r="B2310" s="2" t="n"/>
      <c r="C2310" s="40" t="n"/>
    </row>
    <row r="2311">
      <c r="B2311" s="2" t="n"/>
      <c r="C2311" s="40" t="n"/>
    </row>
    <row r="2312">
      <c r="B2312" s="2" t="n"/>
      <c r="C2312" s="40" t="n"/>
    </row>
    <row r="2313">
      <c r="B2313" s="2" t="n"/>
      <c r="C2313" s="40" t="n"/>
    </row>
    <row r="2314">
      <c r="B2314" s="2" t="n"/>
      <c r="C2314" s="40" t="n"/>
    </row>
    <row r="2315">
      <c r="B2315" s="2" t="n"/>
      <c r="C2315" s="40" t="n"/>
    </row>
    <row r="2316">
      <c r="B2316" s="2" t="n"/>
      <c r="C2316" s="40" t="n"/>
    </row>
    <row r="2317">
      <c r="B2317" s="2" t="n"/>
      <c r="C2317" s="40" t="n"/>
    </row>
    <row r="2318">
      <c r="B2318" s="2" t="n"/>
      <c r="C2318" s="40" t="n"/>
    </row>
    <row r="2319">
      <c r="B2319" s="2" t="n"/>
      <c r="C2319" s="40" t="n"/>
    </row>
    <row r="2320">
      <c r="B2320" s="2" t="n"/>
      <c r="C2320" s="40" t="n"/>
    </row>
    <row r="2321">
      <c r="B2321" s="2" t="n"/>
      <c r="C2321" s="40" t="n"/>
    </row>
    <row r="2322">
      <c r="B2322" s="2" t="n"/>
      <c r="C2322" s="40" t="n"/>
    </row>
    <row r="2323">
      <c r="B2323" s="2" t="n"/>
      <c r="C2323" s="40" t="n"/>
    </row>
    <row r="2324">
      <c r="B2324" s="2" t="n"/>
      <c r="C2324" s="40" t="n"/>
    </row>
    <row r="2325">
      <c r="B2325" s="2" t="n"/>
      <c r="C2325" s="40" t="n"/>
    </row>
    <row r="2326">
      <c r="B2326" s="2" t="n"/>
      <c r="C2326" s="40" t="n"/>
    </row>
    <row r="2327">
      <c r="B2327" s="2" t="n"/>
      <c r="C2327" s="40" t="n"/>
    </row>
    <row r="2328">
      <c r="B2328" s="2" t="n"/>
      <c r="C2328" s="40" t="n"/>
    </row>
    <row r="2329">
      <c r="B2329" s="2" t="n"/>
      <c r="C2329" s="40" t="n"/>
    </row>
    <row r="2330">
      <c r="B2330" s="2" t="n"/>
      <c r="C2330" s="40" t="n"/>
    </row>
    <row r="2331">
      <c r="B2331" s="2" t="n"/>
      <c r="C2331" s="40" t="n"/>
    </row>
    <row r="2332">
      <c r="B2332" s="2" t="n"/>
      <c r="C2332" s="40" t="n"/>
    </row>
    <row r="2333">
      <c r="B2333" s="2" t="n"/>
      <c r="C2333" s="40" t="n"/>
    </row>
    <row r="2334">
      <c r="B2334" s="2" t="n"/>
      <c r="C2334" s="40" t="n"/>
    </row>
    <row r="2335">
      <c r="B2335" s="2" t="n"/>
      <c r="C2335" s="40" t="n"/>
    </row>
    <row r="2336">
      <c r="B2336" s="2" t="n"/>
      <c r="C2336" s="40" t="n"/>
    </row>
    <row r="2337">
      <c r="B2337" s="2" t="n"/>
      <c r="C2337" s="40" t="n"/>
    </row>
    <row r="2338">
      <c r="B2338" s="2" t="n"/>
      <c r="C2338" s="40" t="n"/>
    </row>
    <row r="2339">
      <c r="B2339" s="2" t="n"/>
      <c r="C2339" s="40" t="n"/>
    </row>
    <row r="2340">
      <c r="B2340" s="2" t="n"/>
      <c r="C2340" s="40" t="n"/>
    </row>
    <row r="2341">
      <c r="B2341" s="2" t="n"/>
      <c r="C2341" s="40" t="n"/>
    </row>
    <row r="2342">
      <c r="B2342" s="2" t="n"/>
      <c r="C2342" s="40" t="n"/>
    </row>
    <row r="2343">
      <c r="B2343" s="2" t="n"/>
      <c r="C2343" s="40" t="n"/>
    </row>
    <row r="2344">
      <c r="B2344" s="2" t="n"/>
      <c r="C2344" s="40" t="n"/>
    </row>
    <row r="2345">
      <c r="B2345" s="2" t="n"/>
      <c r="C2345" s="40" t="n"/>
    </row>
    <row r="2346">
      <c r="B2346" s="2" t="n"/>
      <c r="C2346" s="40" t="n"/>
    </row>
    <row r="2347">
      <c r="B2347" s="2" t="n"/>
      <c r="C2347" s="40" t="n"/>
    </row>
    <row r="2348">
      <c r="B2348" s="2" t="n"/>
      <c r="C2348" s="40" t="n"/>
    </row>
    <row r="2349">
      <c r="B2349" s="2" t="n"/>
      <c r="C2349" s="40" t="n"/>
    </row>
    <row r="2350">
      <c r="B2350" s="2" t="n"/>
      <c r="C2350" s="40" t="n"/>
    </row>
    <row r="2351">
      <c r="B2351" s="2" t="n"/>
      <c r="C2351" s="40" t="n"/>
    </row>
    <row r="2352">
      <c r="B2352" s="2" t="n"/>
      <c r="C2352" s="40" t="n"/>
    </row>
    <row r="2353">
      <c r="B2353" s="2" t="n"/>
      <c r="C2353" s="40" t="n"/>
    </row>
    <row r="2354">
      <c r="B2354" s="2" t="n"/>
      <c r="C2354" s="40" t="n"/>
    </row>
    <row r="2355">
      <c r="B2355" s="2" t="n"/>
      <c r="C2355" s="40" t="n"/>
    </row>
    <row r="2356">
      <c r="B2356" s="2" t="n"/>
      <c r="C2356" s="40" t="n"/>
    </row>
    <row r="2357">
      <c r="B2357" s="2" t="n"/>
      <c r="C2357" s="40" t="n"/>
    </row>
    <row r="2358">
      <c r="B2358" s="2" t="n"/>
      <c r="C2358" s="40" t="n"/>
    </row>
    <row r="2359">
      <c r="B2359" s="2" t="n"/>
      <c r="C2359" s="40" t="n"/>
    </row>
    <row r="2360">
      <c r="B2360" s="2" t="n"/>
      <c r="C2360" s="40" t="n"/>
    </row>
    <row r="2361">
      <c r="B2361" s="2" t="n"/>
      <c r="C2361" s="40" t="n"/>
    </row>
    <row r="2362">
      <c r="B2362" s="2" t="n"/>
      <c r="C2362" s="40" t="n"/>
    </row>
    <row r="2363">
      <c r="B2363" s="2" t="n"/>
      <c r="C2363" s="40" t="n"/>
    </row>
    <row r="2364">
      <c r="B2364" s="2" t="n"/>
      <c r="C2364" s="40" t="n"/>
    </row>
    <row r="2365">
      <c r="B2365" s="2" t="n"/>
      <c r="C2365" s="40" t="n"/>
    </row>
    <row r="2366">
      <c r="B2366" s="2" t="n"/>
      <c r="C2366" s="40" t="n"/>
    </row>
    <row r="2367">
      <c r="B2367" s="2" t="n"/>
      <c r="C2367" s="40" t="n"/>
    </row>
    <row r="2368">
      <c r="B2368" s="2" t="n"/>
      <c r="C2368" s="40" t="n"/>
    </row>
    <row r="2369">
      <c r="B2369" s="2" t="n"/>
      <c r="C2369" s="40" t="n"/>
    </row>
    <row r="2370">
      <c r="B2370" s="2" t="n"/>
      <c r="C2370" s="40" t="n"/>
    </row>
    <row r="2371">
      <c r="B2371" s="2" t="n"/>
      <c r="C2371" s="40" t="n"/>
    </row>
    <row r="2372">
      <c r="B2372" s="2" t="n"/>
      <c r="C2372" s="40" t="n"/>
    </row>
    <row r="2373">
      <c r="B2373" s="2" t="n"/>
      <c r="C2373" s="40" t="n"/>
    </row>
    <row r="2374">
      <c r="B2374" s="2" t="n"/>
      <c r="C2374" s="40" t="n"/>
    </row>
    <row r="2375">
      <c r="B2375" s="2" t="n"/>
      <c r="C2375" s="40" t="n"/>
    </row>
    <row r="2376">
      <c r="B2376" s="2" t="n"/>
      <c r="C2376" s="40" t="n"/>
    </row>
    <row r="2377">
      <c r="B2377" s="2" t="n"/>
      <c r="C2377" s="40" t="n"/>
    </row>
    <row r="2378">
      <c r="B2378" s="2" t="n"/>
      <c r="C2378" s="40" t="n"/>
    </row>
    <row r="2379">
      <c r="B2379" s="2" t="n"/>
      <c r="C2379" s="40" t="n"/>
    </row>
    <row r="2380">
      <c r="B2380" s="2" t="n"/>
      <c r="C2380" s="40" t="n"/>
    </row>
    <row r="2381">
      <c r="B2381" s="2" t="n"/>
      <c r="C2381" s="40" t="n"/>
    </row>
    <row r="2382">
      <c r="B2382" s="2" t="n"/>
      <c r="C2382" s="40" t="n"/>
    </row>
    <row r="2383">
      <c r="B2383" s="2" t="n"/>
      <c r="C2383" s="40" t="n"/>
    </row>
    <row r="2384">
      <c r="B2384" s="2" t="n"/>
      <c r="C2384" s="40" t="n"/>
    </row>
    <row r="2385">
      <c r="B2385" s="2" t="n"/>
      <c r="C2385" s="40" t="n"/>
    </row>
    <row r="2386">
      <c r="B2386" s="2" t="n"/>
      <c r="C2386" s="40" t="n"/>
    </row>
    <row r="2387">
      <c r="B2387" s="2" t="n"/>
      <c r="C2387" s="40" t="n"/>
    </row>
    <row r="2388">
      <c r="B2388" s="2" t="n"/>
      <c r="C2388" s="40" t="n"/>
    </row>
    <row r="2389">
      <c r="B2389" s="2" t="n"/>
      <c r="C2389" s="40" t="n"/>
    </row>
    <row r="2390">
      <c r="B2390" s="2" t="n"/>
      <c r="C2390" s="40" t="n"/>
    </row>
    <row r="2391">
      <c r="B2391" s="2" t="n"/>
      <c r="C2391" s="40" t="n"/>
    </row>
    <row r="2392">
      <c r="B2392" s="2" t="n"/>
      <c r="C2392" s="40" t="n"/>
    </row>
    <row r="2393">
      <c r="B2393" s="2" t="n"/>
      <c r="C2393" s="40" t="n"/>
    </row>
    <row r="2394">
      <c r="B2394" s="2" t="n"/>
      <c r="C2394" s="40" t="n"/>
    </row>
    <row r="2395">
      <c r="B2395" s="2" t="n"/>
      <c r="C2395" s="40" t="n"/>
    </row>
    <row r="2396">
      <c r="B2396" s="2" t="n"/>
      <c r="C2396" s="40" t="n"/>
    </row>
    <row r="2397">
      <c r="B2397" s="2" t="n"/>
      <c r="C2397" s="40" t="n"/>
    </row>
    <row r="2398">
      <c r="B2398" s="2" t="n"/>
      <c r="C2398" s="40" t="n"/>
    </row>
    <row r="2399">
      <c r="B2399" s="2" t="n"/>
      <c r="C2399" s="40" t="n"/>
    </row>
    <row r="2400">
      <c r="B2400" s="2" t="n"/>
      <c r="C2400" s="40" t="n"/>
    </row>
    <row r="2401">
      <c r="B2401" s="2" t="n"/>
      <c r="C2401" s="40" t="n"/>
    </row>
    <row r="2402">
      <c r="B2402" s="2" t="n"/>
      <c r="C2402" s="40" t="n"/>
    </row>
    <row r="2403">
      <c r="B2403" s="2" t="n"/>
      <c r="C2403" s="40" t="n"/>
    </row>
    <row r="2404">
      <c r="B2404" s="2" t="n"/>
      <c r="C2404" s="40" t="n"/>
    </row>
    <row r="2405">
      <c r="B2405" s="2" t="n"/>
      <c r="C2405" s="40" t="n"/>
    </row>
    <row r="2406">
      <c r="B2406" s="2" t="n"/>
      <c r="C2406" s="40" t="n"/>
    </row>
    <row r="2407">
      <c r="B2407" s="2" t="n"/>
      <c r="C2407" s="40" t="n"/>
    </row>
    <row r="2408">
      <c r="B2408" s="2" t="n"/>
      <c r="C2408" s="40" t="n"/>
    </row>
    <row r="2409">
      <c r="B2409" s="2" t="n"/>
      <c r="C2409" s="40" t="n"/>
    </row>
    <row r="2410">
      <c r="B2410" s="2" t="n"/>
      <c r="C2410" s="40" t="n"/>
    </row>
    <row r="2411">
      <c r="B2411" s="2" t="n"/>
      <c r="C2411" s="40" t="n"/>
    </row>
    <row r="2412">
      <c r="B2412" s="2" t="n"/>
      <c r="C2412" s="40" t="n"/>
    </row>
    <row r="2413">
      <c r="B2413" s="2" t="n"/>
      <c r="C2413" s="40" t="n"/>
    </row>
    <row r="2414">
      <c r="B2414" s="2" t="n"/>
      <c r="C2414" s="40" t="n"/>
    </row>
    <row r="2415">
      <c r="B2415" s="2" t="n"/>
      <c r="C2415" s="40" t="n"/>
    </row>
    <row r="2416">
      <c r="B2416" s="2" t="n"/>
      <c r="C2416" s="40" t="n"/>
    </row>
    <row r="2417">
      <c r="B2417" s="2" t="n"/>
      <c r="C2417" s="40" t="n"/>
    </row>
    <row r="2418">
      <c r="B2418" s="2" t="n"/>
      <c r="C2418" s="40" t="n"/>
    </row>
    <row r="2419">
      <c r="B2419" s="2" t="n"/>
      <c r="C2419" s="40" t="n"/>
    </row>
    <row r="2420">
      <c r="B2420" s="2" t="n"/>
      <c r="C2420" s="40" t="n"/>
    </row>
    <row r="2421">
      <c r="B2421" s="2" t="n"/>
      <c r="C2421" s="40" t="n"/>
    </row>
    <row r="2422">
      <c r="B2422" s="2" t="n"/>
      <c r="C2422" s="40" t="n"/>
    </row>
    <row r="2423">
      <c r="B2423" s="2" t="n"/>
      <c r="C2423" s="40" t="n"/>
    </row>
    <row r="2424">
      <c r="B2424" s="2" t="n"/>
      <c r="C2424" s="40" t="n"/>
    </row>
    <row r="2425">
      <c r="B2425" s="2" t="n"/>
      <c r="C2425" s="40" t="n"/>
    </row>
    <row r="2426">
      <c r="B2426" s="2" t="n"/>
      <c r="C2426" s="40" t="n"/>
    </row>
    <row r="2427">
      <c r="B2427" s="2" t="n"/>
      <c r="C2427" s="40" t="n"/>
    </row>
    <row r="2428">
      <c r="B2428" s="2" t="n"/>
      <c r="C2428" s="40" t="n"/>
    </row>
    <row r="2429">
      <c r="B2429" s="2" t="n"/>
      <c r="C2429" s="40" t="n"/>
    </row>
    <row r="2430">
      <c r="B2430" s="2" t="n"/>
      <c r="C2430" s="40" t="n"/>
    </row>
    <row r="2431">
      <c r="B2431" s="2" t="n"/>
      <c r="C2431" s="40" t="n"/>
    </row>
    <row r="2432">
      <c r="B2432" s="2" t="n"/>
      <c r="C2432" s="40" t="n"/>
    </row>
    <row r="2433">
      <c r="B2433" s="2" t="n"/>
      <c r="C2433" s="40" t="n"/>
    </row>
    <row r="2434">
      <c r="B2434" s="2" t="n"/>
      <c r="C2434" s="40" t="n"/>
    </row>
    <row r="2435">
      <c r="B2435" s="2" t="n"/>
      <c r="C2435" s="40" t="n"/>
    </row>
    <row r="2436">
      <c r="B2436" s="2" t="n"/>
      <c r="C2436" s="40" t="n"/>
    </row>
    <row r="2437">
      <c r="B2437" s="2" t="n"/>
      <c r="C2437" s="40" t="n"/>
    </row>
    <row r="2438">
      <c r="B2438" s="2" t="n"/>
      <c r="C2438" s="40" t="n"/>
    </row>
    <row r="2439">
      <c r="B2439" s="2" t="n"/>
      <c r="C2439" s="40" t="n"/>
    </row>
    <row r="2440">
      <c r="B2440" s="2" t="n"/>
      <c r="C2440" s="40" t="n"/>
    </row>
    <row r="2441">
      <c r="B2441" s="2" t="n"/>
      <c r="C2441" s="40" t="n"/>
    </row>
    <row r="2442">
      <c r="B2442" s="2" t="n"/>
      <c r="C2442" s="40" t="n"/>
    </row>
    <row r="2443">
      <c r="B2443" s="2" t="n"/>
      <c r="C2443" s="40" t="n"/>
    </row>
    <row r="2444">
      <c r="B2444" s="2" t="n"/>
      <c r="C2444" s="40" t="n"/>
    </row>
    <row r="2445">
      <c r="B2445" s="2" t="n"/>
      <c r="C2445" s="40" t="n"/>
    </row>
    <row r="2446">
      <c r="B2446" s="2" t="n"/>
      <c r="C2446" s="40" t="n"/>
    </row>
    <row r="2447">
      <c r="B2447" s="2" t="n"/>
      <c r="C2447" s="40" t="n"/>
    </row>
    <row r="2448">
      <c r="B2448" s="2" t="n"/>
      <c r="C2448" s="40" t="n"/>
    </row>
    <row r="2449">
      <c r="B2449" s="2" t="n"/>
      <c r="C2449" s="40" t="n"/>
    </row>
    <row r="2450">
      <c r="B2450" s="2" t="n"/>
      <c r="C2450" s="40" t="n"/>
    </row>
    <row r="2451">
      <c r="B2451" s="2" t="n"/>
      <c r="C2451" s="40" t="n"/>
    </row>
    <row r="2452">
      <c r="B2452" s="2" t="n"/>
      <c r="C2452" s="40" t="n"/>
    </row>
    <row r="2453">
      <c r="B2453" s="2" t="n"/>
      <c r="C2453" s="40" t="n"/>
    </row>
    <row r="2454">
      <c r="B2454" s="2" t="n"/>
      <c r="C2454" s="40" t="n"/>
    </row>
    <row r="2455">
      <c r="B2455" s="2" t="n"/>
      <c r="C2455" s="40" t="n"/>
    </row>
    <row r="2456">
      <c r="B2456" s="2" t="n"/>
      <c r="C2456" s="40" t="n"/>
    </row>
    <row r="2457">
      <c r="B2457" s="2" t="n"/>
      <c r="C2457" s="40" t="n"/>
    </row>
    <row r="2458">
      <c r="B2458" s="2" t="n"/>
      <c r="C2458" s="40" t="n"/>
    </row>
    <row r="2459">
      <c r="B2459" s="2" t="n"/>
      <c r="C2459" s="40" t="n"/>
    </row>
    <row r="2460">
      <c r="B2460" s="2" t="n"/>
      <c r="C2460" s="40" t="n"/>
    </row>
    <row r="2461">
      <c r="B2461" s="2" t="n"/>
      <c r="C2461" s="40" t="n"/>
    </row>
    <row r="2462">
      <c r="B2462" s="2" t="n"/>
      <c r="C2462" s="40" t="n"/>
    </row>
    <row r="2463">
      <c r="B2463" s="2" t="n"/>
      <c r="C2463" s="40" t="n"/>
    </row>
    <row r="2464">
      <c r="B2464" s="2" t="n"/>
      <c r="C2464" s="40" t="n"/>
    </row>
    <row r="2465">
      <c r="B2465" s="2" t="n"/>
      <c r="C2465" s="40" t="n"/>
    </row>
    <row r="2466">
      <c r="B2466" s="2" t="n"/>
      <c r="C2466" s="40" t="n"/>
    </row>
    <row r="2467">
      <c r="B2467" s="2" t="n"/>
      <c r="C2467" s="40" t="n"/>
    </row>
    <row r="2468">
      <c r="B2468" s="2" t="n"/>
      <c r="C2468" s="40" t="n"/>
    </row>
    <row r="2469">
      <c r="B2469" s="2" t="n"/>
      <c r="C2469" s="40" t="n"/>
    </row>
    <row r="2470">
      <c r="B2470" s="2" t="n"/>
      <c r="C2470" s="40" t="n"/>
    </row>
    <row r="2471">
      <c r="B2471" s="2" t="n"/>
      <c r="C2471" s="40" t="n"/>
    </row>
    <row r="2472">
      <c r="B2472" s="2" t="n"/>
      <c r="C2472" s="40" t="n"/>
    </row>
    <row r="2473">
      <c r="B2473" s="2" t="n"/>
      <c r="C2473" s="40" t="n"/>
    </row>
    <row r="2474">
      <c r="B2474" s="2" t="n"/>
      <c r="C2474" s="40" t="n"/>
    </row>
    <row r="2475">
      <c r="B2475" s="2" t="n"/>
      <c r="C2475" s="40" t="n"/>
    </row>
    <row r="2476">
      <c r="B2476" s="2" t="n"/>
      <c r="C2476" s="40" t="n"/>
    </row>
    <row r="2477">
      <c r="B2477" s="2" t="n"/>
      <c r="C2477" s="40" t="n"/>
    </row>
    <row r="2478">
      <c r="B2478" s="2" t="n"/>
      <c r="C2478" s="40" t="n"/>
    </row>
    <row r="2479">
      <c r="B2479" s="2" t="n"/>
      <c r="C2479" s="40" t="n"/>
    </row>
    <row r="2480">
      <c r="B2480" s="2" t="n"/>
      <c r="C2480" s="40" t="n"/>
    </row>
    <row r="2481">
      <c r="B2481" s="2" t="n"/>
      <c r="C2481" s="40" t="n"/>
    </row>
    <row r="2482">
      <c r="B2482" s="2" t="n"/>
      <c r="C2482" s="40" t="n"/>
    </row>
    <row r="2483">
      <c r="B2483" s="2" t="n"/>
      <c r="C2483" s="40" t="n"/>
    </row>
    <row r="2484">
      <c r="B2484" s="2" t="n"/>
      <c r="C2484" s="40" t="n"/>
    </row>
    <row r="2485">
      <c r="B2485" s="2" t="n"/>
      <c r="C2485" s="40" t="n"/>
    </row>
    <row r="2486">
      <c r="B2486" s="2" t="n"/>
      <c r="C2486" s="40" t="n"/>
    </row>
    <row r="2487">
      <c r="B2487" s="2" t="n"/>
      <c r="C2487" s="40" t="n"/>
    </row>
    <row r="2488">
      <c r="B2488" s="2" t="n"/>
      <c r="C2488" s="40" t="n"/>
    </row>
    <row r="2489">
      <c r="B2489" s="2" t="n"/>
      <c r="C2489" s="40" t="n"/>
    </row>
    <row r="2490">
      <c r="B2490" s="2" t="n"/>
      <c r="C2490" s="40" t="n"/>
    </row>
    <row r="2491">
      <c r="B2491" s="2" t="n"/>
      <c r="C2491" s="40" t="n"/>
    </row>
    <row r="2492">
      <c r="B2492" s="2" t="n"/>
      <c r="C2492" s="40" t="n"/>
    </row>
    <row r="2493">
      <c r="B2493" s="2" t="n"/>
      <c r="C2493" s="40" t="n"/>
    </row>
    <row r="2494">
      <c r="B2494" s="2" t="n"/>
      <c r="C2494" s="40" t="n"/>
    </row>
    <row r="2495">
      <c r="B2495" s="2" t="n"/>
      <c r="C2495" s="40" t="n"/>
    </row>
    <row r="2496">
      <c r="B2496" s="2" t="n"/>
      <c r="C2496" s="40" t="n"/>
    </row>
    <row r="2497">
      <c r="B2497" s="2" t="n"/>
      <c r="C2497" s="40" t="n"/>
    </row>
    <row r="2498">
      <c r="B2498" s="2" t="n"/>
      <c r="C2498" s="40" t="n"/>
    </row>
    <row r="2499">
      <c r="B2499" s="2" t="n"/>
      <c r="C2499" s="40" t="n"/>
    </row>
    <row r="2500">
      <c r="B2500" s="2" t="n"/>
      <c r="C2500" s="40" t="n"/>
    </row>
    <row r="2501">
      <c r="B2501" s="2" t="n"/>
      <c r="C2501" s="40" t="n"/>
    </row>
    <row r="2502">
      <c r="B2502" s="2" t="n"/>
      <c r="C2502" s="40" t="n"/>
    </row>
    <row r="2503">
      <c r="B2503" s="2" t="n"/>
      <c r="C2503" s="40" t="n"/>
    </row>
    <row r="2504">
      <c r="B2504" s="2" t="n"/>
      <c r="C2504" s="40" t="n"/>
    </row>
    <row r="2505">
      <c r="B2505" s="2" t="n"/>
      <c r="C2505" s="40" t="n"/>
    </row>
    <row r="2506">
      <c r="B2506" s="2" t="n"/>
      <c r="C2506" s="40" t="n"/>
    </row>
    <row r="2507">
      <c r="B2507" s="2" t="n"/>
      <c r="C2507" s="40" t="n"/>
    </row>
    <row r="2508">
      <c r="B2508" s="2" t="n"/>
      <c r="C2508" s="40" t="n"/>
    </row>
    <row r="2509">
      <c r="B2509" s="2" t="n"/>
      <c r="C2509" s="40" t="n"/>
    </row>
    <row r="2510">
      <c r="B2510" s="2" t="n"/>
      <c r="C2510" s="40" t="n"/>
    </row>
    <row r="2511">
      <c r="B2511" s="2" t="n"/>
      <c r="C2511" s="40" t="n"/>
    </row>
    <row r="2512">
      <c r="B2512" s="2" t="n"/>
      <c r="C2512" s="40" t="n"/>
    </row>
    <row r="2513">
      <c r="B2513" s="2" t="n"/>
      <c r="C2513" s="40" t="n"/>
    </row>
    <row r="2514">
      <c r="B2514" s="2" t="n"/>
      <c r="C2514" s="40" t="n"/>
    </row>
    <row r="2515">
      <c r="B2515" s="2" t="n"/>
      <c r="C2515" s="40" t="n"/>
    </row>
    <row r="2516">
      <c r="B2516" s="2" t="n"/>
      <c r="C2516" s="40" t="n"/>
    </row>
    <row r="2517">
      <c r="B2517" s="2" t="n"/>
      <c r="C2517" s="40" t="n"/>
    </row>
    <row r="2518">
      <c r="B2518" s="2" t="n"/>
      <c r="C2518" s="40" t="n"/>
    </row>
    <row r="2519">
      <c r="B2519" s="2" t="n"/>
      <c r="C2519" s="40" t="n"/>
    </row>
    <row r="2520">
      <c r="B2520" s="2" t="n"/>
      <c r="C2520" s="40" t="n"/>
    </row>
    <row r="2521">
      <c r="B2521" s="2" t="n"/>
      <c r="C2521" s="40" t="n"/>
    </row>
    <row r="2522">
      <c r="B2522" s="2" t="n"/>
      <c r="C2522" s="40" t="n"/>
    </row>
    <row r="2523">
      <c r="B2523" s="2" t="n"/>
      <c r="C2523" s="40" t="n"/>
    </row>
    <row r="2524">
      <c r="B2524" s="2" t="n"/>
      <c r="C2524" s="40" t="n"/>
    </row>
    <row r="2525">
      <c r="B2525" s="2" t="n"/>
      <c r="C2525" s="40" t="n"/>
    </row>
    <row r="2526">
      <c r="B2526" s="2" t="n"/>
      <c r="C2526" s="40" t="n"/>
    </row>
    <row r="2527">
      <c r="B2527" s="2" t="n"/>
      <c r="C2527" s="40" t="n"/>
    </row>
    <row r="2528">
      <c r="B2528" s="2" t="n"/>
      <c r="C2528" s="40" t="n"/>
    </row>
    <row r="2529">
      <c r="B2529" s="2" t="n"/>
      <c r="C2529" s="40" t="n"/>
    </row>
    <row r="2530">
      <c r="B2530" s="2" t="n"/>
      <c r="C2530" s="40" t="n"/>
    </row>
    <row r="2531">
      <c r="B2531" s="2" t="n"/>
      <c r="C2531" s="40" t="n"/>
    </row>
    <row r="2532">
      <c r="B2532" s="2" t="n"/>
      <c r="C2532" s="40" t="n"/>
    </row>
    <row r="2533">
      <c r="B2533" s="2" t="n"/>
      <c r="C2533" s="40" t="n"/>
    </row>
    <row r="2534">
      <c r="B2534" s="2" t="n"/>
      <c r="C2534" s="40" t="n"/>
    </row>
    <row r="2535">
      <c r="B2535" s="2" t="n"/>
      <c r="C2535" s="40" t="n"/>
    </row>
    <row r="2536">
      <c r="B2536" s="2" t="n"/>
      <c r="C2536" s="40" t="n"/>
    </row>
    <row r="2537">
      <c r="B2537" s="2" t="n"/>
      <c r="C2537" s="40" t="n"/>
    </row>
    <row r="2538">
      <c r="B2538" s="2" t="n"/>
      <c r="C2538" s="40" t="n"/>
    </row>
    <row r="2539">
      <c r="B2539" s="2" t="n"/>
      <c r="C2539" s="40" t="n"/>
    </row>
    <row r="2540">
      <c r="B2540" s="2" t="n"/>
      <c r="C2540" s="40" t="n"/>
    </row>
    <row r="2541">
      <c r="B2541" s="2" t="n"/>
      <c r="C2541" s="40" t="n"/>
    </row>
    <row r="2542">
      <c r="B2542" s="2" t="n"/>
      <c r="C2542" s="40" t="n"/>
    </row>
    <row r="2543">
      <c r="B2543" s="2" t="n"/>
      <c r="C2543" s="40" t="n"/>
    </row>
    <row r="2544">
      <c r="B2544" s="2" t="n"/>
      <c r="C2544" s="40" t="n"/>
    </row>
    <row r="2545">
      <c r="B2545" s="2" t="n"/>
      <c r="C2545" s="40" t="n"/>
    </row>
    <row r="2546">
      <c r="B2546" s="2" t="n"/>
      <c r="C2546" s="40" t="n"/>
    </row>
    <row r="2547">
      <c r="B2547" s="2" t="n"/>
      <c r="C2547" s="40" t="n"/>
    </row>
    <row r="2548">
      <c r="B2548" s="2" t="n"/>
      <c r="C2548" s="40" t="n"/>
    </row>
    <row r="2549">
      <c r="B2549" s="2" t="n"/>
      <c r="C2549" s="40" t="n"/>
    </row>
    <row r="2550">
      <c r="B2550" s="2" t="n"/>
      <c r="C2550" s="40" t="n"/>
    </row>
    <row r="2551">
      <c r="B2551" s="2" t="n"/>
      <c r="C2551" s="40" t="n"/>
    </row>
    <row r="2552">
      <c r="B2552" s="2" t="n"/>
      <c r="C2552" s="40" t="n"/>
    </row>
    <row r="2553">
      <c r="B2553" s="2" t="n"/>
      <c r="C2553" s="40" t="n"/>
    </row>
    <row r="2554">
      <c r="B2554" s="2" t="n"/>
      <c r="C2554" s="40" t="n"/>
    </row>
    <row r="2555">
      <c r="B2555" s="2" t="n"/>
      <c r="C2555" s="40" t="n"/>
    </row>
    <row r="2556">
      <c r="B2556" s="2" t="n"/>
      <c r="C2556" s="40" t="n"/>
    </row>
    <row r="2557">
      <c r="B2557" s="2" t="n"/>
      <c r="C2557" s="40" t="n"/>
    </row>
    <row r="2558">
      <c r="B2558" s="2" t="n"/>
      <c r="C2558" s="40" t="n"/>
    </row>
    <row r="2559">
      <c r="B2559" s="2" t="n"/>
      <c r="C2559" s="40" t="n"/>
    </row>
    <row r="2560">
      <c r="B2560" s="2" t="n"/>
      <c r="C2560" s="40" t="n"/>
    </row>
    <row r="2561">
      <c r="B2561" s="2" t="n"/>
      <c r="C2561" s="40" t="n"/>
    </row>
    <row r="2562">
      <c r="B2562" s="2" t="n"/>
      <c r="C2562" s="40" t="n"/>
    </row>
    <row r="2563">
      <c r="B2563" s="2" t="n"/>
      <c r="C2563" s="40" t="n"/>
    </row>
    <row r="2564">
      <c r="B2564" s="2" t="n"/>
      <c r="C2564" s="40" t="n"/>
    </row>
    <row r="2565">
      <c r="B2565" s="2" t="n"/>
      <c r="C2565" s="40" t="n"/>
    </row>
    <row r="2566">
      <c r="B2566" s="2" t="n"/>
      <c r="C2566" s="40" t="n"/>
    </row>
    <row r="2567">
      <c r="B2567" s="2" t="n"/>
      <c r="C2567" s="40" t="n"/>
    </row>
    <row r="2568">
      <c r="B2568" s="2" t="n"/>
      <c r="C2568" s="40" t="n"/>
    </row>
    <row r="2569">
      <c r="B2569" s="2" t="n"/>
      <c r="C2569" s="40" t="n"/>
    </row>
    <row r="2570">
      <c r="B2570" s="2" t="n"/>
      <c r="C2570" s="40" t="n"/>
    </row>
    <row r="2571">
      <c r="B2571" s="2" t="n"/>
      <c r="C2571" s="40" t="n"/>
    </row>
    <row r="2572">
      <c r="B2572" s="2" t="n"/>
      <c r="C2572" s="40" t="n"/>
    </row>
    <row r="2573">
      <c r="B2573" s="2" t="n"/>
      <c r="C2573" s="40" t="n"/>
    </row>
    <row r="2574">
      <c r="B2574" s="2" t="n"/>
      <c r="C2574" s="40" t="n"/>
    </row>
    <row r="2575">
      <c r="B2575" s="2" t="n"/>
      <c r="C2575" s="40" t="n"/>
    </row>
    <row r="2576">
      <c r="B2576" s="2" t="n"/>
      <c r="C2576" s="40" t="n"/>
    </row>
    <row r="2577">
      <c r="B2577" s="2" t="n"/>
      <c r="C2577" s="40" t="n"/>
    </row>
    <row r="2578">
      <c r="B2578" s="2" t="n"/>
      <c r="C2578" s="40" t="n"/>
    </row>
    <row r="2579">
      <c r="B2579" s="2" t="n"/>
      <c r="C2579" s="40" t="n"/>
    </row>
    <row r="2580">
      <c r="B2580" s="2" t="n"/>
      <c r="C2580" s="40" t="n"/>
    </row>
    <row r="2581">
      <c r="B2581" s="2" t="n"/>
      <c r="C2581" s="40" t="n"/>
    </row>
    <row r="2582">
      <c r="B2582" s="2" t="n"/>
      <c r="C2582" s="40" t="n"/>
    </row>
    <row r="2583">
      <c r="B2583" s="2" t="n"/>
      <c r="C2583" s="40" t="n"/>
    </row>
    <row r="2584">
      <c r="B2584" s="2" t="n"/>
      <c r="C2584" s="40" t="n"/>
    </row>
    <row r="2585">
      <c r="B2585" s="2" t="n"/>
      <c r="C2585" s="40" t="n"/>
    </row>
    <row r="2586">
      <c r="B2586" s="2" t="n"/>
      <c r="C2586" s="40" t="n"/>
    </row>
    <row r="2587">
      <c r="B2587" s="2" t="n"/>
      <c r="C2587" s="40" t="n"/>
    </row>
    <row r="2588">
      <c r="B2588" s="2" t="n"/>
      <c r="C2588" s="40" t="n"/>
    </row>
    <row r="2589">
      <c r="B2589" s="2" t="n"/>
      <c r="C2589" s="40" t="n"/>
    </row>
    <row r="2590">
      <c r="B2590" s="2" t="n"/>
      <c r="C2590" s="40" t="n"/>
    </row>
    <row r="2591">
      <c r="B2591" s="2" t="n"/>
      <c r="C2591" s="40" t="n"/>
    </row>
    <row r="2592">
      <c r="B2592" s="2" t="n"/>
      <c r="C2592" s="40" t="n"/>
    </row>
    <row r="2593">
      <c r="B2593" s="2" t="n"/>
      <c r="C2593" s="40" t="n"/>
    </row>
    <row r="2594">
      <c r="B2594" s="2" t="n"/>
      <c r="C2594" s="40" t="n"/>
    </row>
    <row r="2595">
      <c r="B2595" s="2" t="n"/>
      <c r="C2595" s="40" t="n"/>
    </row>
    <row r="2596">
      <c r="B2596" s="2" t="n"/>
      <c r="C2596" s="40" t="n"/>
    </row>
    <row r="2597">
      <c r="B2597" s="2" t="n"/>
      <c r="C2597" s="40" t="n"/>
    </row>
    <row r="2598">
      <c r="B2598" s="2" t="n"/>
      <c r="C2598" s="40" t="n"/>
    </row>
    <row r="2599">
      <c r="B2599" s="2" t="n"/>
      <c r="C2599" s="40" t="n"/>
    </row>
    <row r="2600">
      <c r="B2600" s="2" t="n"/>
      <c r="C2600" s="40" t="n"/>
    </row>
    <row r="2601">
      <c r="B2601" s="2" t="n"/>
      <c r="C2601" s="40" t="n"/>
    </row>
    <row r="2602">
      <c r="B2602" s="2" t="n"/>
      <c r="C2602" s="40" t="n"/>
    </row>
    <row r="2603">
      <c r="B2603" s="2" t="n"/>
      <c r="C2603" s="40" t="n"/>
    </row>
    <row r="2604">
      <c r="B2604" s="2" t="n"/>
      <c r="C2604" s="40" t="n"/>
    </row>
    <row r="2605">
      <c r="B2605" s="2" t="n"/>
      <c r="C2605" s="40" t="n"/>
    </row>
    <row r="2606">
      <c r="B2606" s="2" t="n"/>
      <c r="C2606" s="40" t="n"/>
    </row>
    <row r="2607">
      <c r="B2607" s="2" t="n"/>
      <c r="C2607" s="40" t="n"/>
    </row>
    <row r="2608">
      <c r="B2608" s="2" t="n"/>
      <c r="C2608" s="40" t="n"/>
    </row>
    <row r="2609">
      <c r="B2609" s="2" t="n"/>
      <c r="C2609" s="40" t="n"/>
    </row>
    <row r="2610">
      <c r="B2610" s="2" t="n"/>
      <c r="C2610" s="40" t="n"/>
    </row>
    <row r="2611">
      <c r="B2611" s="2" t="n"/>
      <c r="C2611" s="40" t="n"/>
    </row>
    <row r="2612">
      <c r="B2612" s="2" t="n"/>
      <c r="C2612" s="40" t="n"/>
    </row>
    <row r="2613">
      <c r="B2613" s="2" t="n"/>
      <c r="C2613" s="40" t="n"/>
    </row>
    <row r="2614">
      <c r="B2614" s="2" t="n"/>
      <c r="C2614" s="40" t="n"/>
    </row>
    <row r="2615">
      <c r="B2615" s="2" t="n"/>
      <c r="C2615" s="40" t="n"/>
    </row>
    <row r="2616">
      <c r="B2616" s="2" t="n"/>
      <c r="C2616" s="40" t="n"/>
    </row>
    <row r="2617">
      <c r="B2617" s="2" t="n"/>
      <c r="C2617" s="40" t="n"/>
    </row>
    <row r="2618">
      <c r="B2618" s="2" t="n"/>
      <c r="C2618" s="40" t="n"/>
    </row>
    <row r="2619">
      <c r="B2619" s="2" t="n"/>
      <c r="C2619" s="40" t="n"/>
    </row>
    <row r="2620">
      <c r="B2620" s="2" t="n"/>
      <c r="C2620" s="40" t="n"/>
    </row>
    <row r="2621">
      <c r="B2621" s="2" t="n"/>
      <c r="C2621" s="40" t="n"/>
    </row>
    <row r="2622">
      <c r="B2622" s="2" t="n"/>
      <c r="C2622" s="40" t="n"/>
    </row>
    <row r="2623">
      <c r="B2623" s="2" t="n"/>
      <c r="C2623" s="40" t="n"/>
    </row>
    <row r="2624">
      <c r="B2624" s="2" t="n"/>
      <c r="C2624" s="40" t="n"/>
    </row>
    <row r="2625">
      <c r="B2625" s="2" t="n"/>
      <c r="C2625" s="40" t="n"/>
    </row>
    <row r="2626">
      <c r="B2626" s="2" t="n"/>
      <c r="C2626" s="40" t="n"/>
    </row>
    <row r="2627">
      <c r="B2627" s="2" t="n"/>
      <c r="C2627" s="40" t="n"/>
    </row>
    <row r="2628">
      <c r="B2628" s="2" t="n"/>
      <c r="C2628" s="40" t="n"/>
    </row>
    <row r="2629">
      <c r="B2629" s="2" t="n"/>
      <c r="C2629" s="40" t="n"/>
    </row>
    <row r="2630">
      <c r="B2630" s="2" t="n"/>
      <c r="C2630" s="40" t="n"/>
    </row>
    <row r="2631">
      <c r="B2631" s="2" t="n"/>
      <c r="C2631" s="40" t="n"/>
    </row>
    <row r="2632">
      <c r="B2632" s="2" t="n"/>
      <c r="C2632" s="40" t="n"/>
    </row>
    <row r="2633">
      <c r="B2633" s="2" t="n"/>
      <c r="C2633" s="40" t="n"/>
    </row>
    <row r="2634">
      <c r="B2634" s="2" t="n"/>
      <c r="C2634" s="40" t="n"/>
    </row>
    <row r="2635">
      <c r="B2635" s="2" t="n"/>
      <c r="C2635" s="40" t="n"/>
    </row>
    <row r="2636">
      <c r="B2636" s="2" t="n"/>
      <c r="C2636" s="40" t="n"/>
    </row>
    <row r="2637">
      <c r="B2637" s="2" t="n"/>
      <c r="C2637" s="40" t="n"/>
    </row>
    <row r="2638">
      <c r="B2638" s="2" t="n"/>
      <c r="C2638" s="40" t="n"/>
    </row>
    <row r="2639">
      <c r="B2639" s="2" t="n"/>
      <c r="C2639" s="40" t="n"/>
    </row>
    <row r="2640">
      <c r="B2640" s="2" t="n"/>
      <c r="C2640" s="40" t="n"/>
    </row>
    <row r="2641">
      <c r="B2641" s="2" t="n"/>
      <c r="C2641" s="40" t="n"/>
    </row>
    <row r="2642">
      <c r="B2642" s="2" t="n"/>
      <c r="C2642" s="40" t="n"/>
    </row>
    <row r="2643">
      <c r="B2643" s="2" t="n"/>
      <c r="C2643" s="40" t="n"/>
    </row>
    <row r="2644">
      <c r="B2644" s="2" t="n"/>
      <c r="C2644" s="40" t="n"/>
    </row>
    <row r="2645">
      <c r="B2645" s="2" t="n"/>
      <c r="C2645" s="40" t="n"/>
    </row>
    <row r="2646">
      <c r="B2646" s="2" t="n"/>
      <c r="C2646" s="40" t="n"/>
    </row>
    <row r="2647">
      <c r="B2647" s="2" t="n"/>
      <c r="C2647" s="40" t="n"/>
    </row>
    <row r="2648">
      <c r="B2648" s="2" t="n"/>
      <c r="C2648" s="40" t="n"/>
    </row>
    <row r="2649">
      <c r="B2649" s="2" t="n"/>
      <c r="C2649" s="40" t="n"/>
    </row>
    <row r="2650">
      <c r="B2650" s="2" t="n"/>
      <c r="C2650" s="40" t="n"/>
    </row>
    <row r="2651">
      <c r="B2651" s="2" t="n"/>
      <c r="C2651" s="40" t="n"/>
    </row>
    <row r="2652">
      <c r="B2652" s="2" t="n"/>
      <c r="C2652" s="40" t="n"/>
    </row>
    <row r="2653">
      <c r="B2653" s="2" t="n"/>
      <c r="C2653" s="40" t="n"/>
    </row>
    <row r="2654">
      <c r="B2654" s="2" t="n"/>
      <c r="C2654" s="40" t="n"/>
    </row>
    <row r="2655">
      <c r="B2655" s="2" t="n"/>
      <c r="C2655" s="40" t="n"/>
    </row>
    <row r="2656">
      <c r="B2656" s="2" t="n"/>
      <c r="C2656" s="40" t="n"/>
    </row>
    <row r="2657">
      <c r="B2657" s="2" t="n"/>
      <c r="C2657" s="40" t="n"/>
    </row>
    <row r="2658">
      <c r="B2658" s="2" t="n"/>
      <c r="C2658" s="40" t="n"/>
    </row>
    <row r="2659">
      <c r="B2659" s="2" t="n"/>
      <c r="C2659" s="40" t="n"/>
    </row>
    <row r="2660">
      <c r="B2660" s="2" t="n"/>
      <c r="C2660" s="40" t="n"/>
    </row>
    <row r="2661">
      <c r="B2661" s="2" t="n"/>
      <c r="C2661" s="40" t="n"/>
    </row>
    <row r="2662">
      <c r="B2662" s="2" t="n"/>
      <c r="C2662" s="40" t="n"/>
    </row>
    <row r="2663">
      <c r="B2663" s="2" t="n"/>
      <c r="C2663" s="40" t="n"/>
    </row>
    <row r="2664">
      <c r="B2664" s="2" t="n"/>
      <c r="C2664" s="40" t="n"/>
    </row>
    <row r="2665">
      <c r="B2665" s="2" t="n"/>
      <c r="C2665" s="40" t="n"/>
    </row>
    <row r="2666">
      <c r="B2666" s="2" t="n"/>
      <c r="C2666" s="40" t="n"/>
    </row>
    <row r="2667">
      <c r="B2667" s="2" t="n"/>
      <c r="C2667" s="40" t="n"/>
    </row>
    <row r="2668">
      <c r="B2668" s="2" t="n"/>
      <c r="C2668" s="40" t="n"/>
    </row>
    <row r="2669">
      <c r="B2669" s="2" t="n"/>
      <c r="C2669" s="40" t="n"/>
    </row>
    <row r="2670">
      <c r="B2670" s="2" t="n"/>
      <c r="C2670" s="40" t="n"/>
    </row>
    <row r="2671">
      <c r="B2671" s="2" t="n"/>
      <c r="C2671" s="40" t="n"/>
    </row>
    <row r="2672">
      <c r="B2672" s="2" t="n"/>
      <c r="C2672" s="40" t="n"/>
    </row>
    <row r="2673">
      <c r="B2673" s="2" t="n"/>
      <c r="C2673" s="40" t="n"/>
    </row>
    <row r="2674">
      <c r="B2674" s="2" t="n"/>
      <c r="C2674" s="40" t="n"/>
    </row>
    <row r="2675">
      <c r="B2675" s="2" t="n"/>
      <c r="C2675" s="40" t="n"/>
    </row>
    <row r="2676">
      <c r="B2676" s="2" t="n"/>
      <c r="C2676" s="40" t="n"/>
    </row>
    <row r="2677">
      <c r="B2677" s="2" t="n"/>
      <c r="C2677" s="40" t="n"/>
    </row>
    <row r="2678">
      <c r="B2678" s="2" t="n"/>
      <c r="C2678" s="40" t="n"/>
    </row>
    <row r="2679">
      <c r="B2679" s="2" t="n"/>
      <c r="C2679" s="40" t="n"/>
    </row>
    <row r="2680">
      <c r="B2680" s="2" t="n"/>
      <c r="C2680" s="40" t="n"/>
    </row>
    <row r="2681">
      <c r="B2681" s="2" t="n"/>
      <c r="C2681" s="40" t="n"/>
    </row>
    <row r="2682">
      <c r="B2682" s="2" t="n"/>
      <c r="C2682" s="40" t="n"/>
    </row>
    <row r="2683">
      <c r="B2683" s="2" t="n"/>
      <c r="C2683" s="40" t="n"/>
    </row>
    <row r="2684">
      <c r="B2684" s="2" t="n"/>
      <c r="C2684" s="40" t="n"/>
    </row>
    <row r="2685">
      <c r="B2685" s="2" t="n"/>
      <c r="C2685" s="40" t="n"/>
    </row>
    <row r="2686">
      <c r="B2686" s="2" t="n"/>
      <c r="C2686" s="40" t="n"/>
    </row>
    <row r="2687">
      <c r="B2687" s="2" t="n"/>
      <c r="C2687" s="40" t="n"/>
    </row>
    <row r="2688">
      <c r="B2688" s="2" t="n"/>
      <c r="C2688" s="40" t="n"/>
    </row>
    <row r="2689">
      <c r="B2689" s="2" t="n"/>
      <c r="C2689" s="40" t="n"/>
    </row>
    <row r="2690">
      <c r="B2690" s="2" t="n"/>
      <c r="C2690" s="40" t="n"/>
    </row>
    <row r="2691">
      <c r="B2691" s="2" t="n"/>
      <c r="C2691" s="40" t="n"/>
    </row>
    <row r="2692">
      <c r="B2692" s="2" t="n"/>
      <c r="C2692" s="40" t="n"/>
    </row>
    <row r="2693">
      <c r="B2693" s="2" t="n"/>
      <c r="C2693" s="40" t="n"/>
    </row>
    <row r="2694">
      <c r="B2694" s="2" t="n"/>
      <c r="C2694" s="40" t="n"/>
    </row>
    <row r="2695">
      <c r="B2695" s="2" t="n"/>
      <c r="C2695" s="40" t="n"/>
    </row>
    <row r="2696">
      <c r="B2696" s="2" t="n"/>
      <c r="C2696" s="40" t="n"/>
    </row>
    <row r="2697">
      <c r="B2697" s="2" t="n"/>
      <c r="C2697" s="40" t="n"/>
    </row>
    <row r="2698">
      <c r="B2698" s="2" t="n"/>
      <c r="C2698" s="40" t="n"/>
    </row>
    <row r="2699">
      <c r="B2699" s="2" t="n"/>
      <c r="C2699" s="40" t="n"/>
    </row>
    <row r="2700">
      <c r="B2700" s="2" t="n"/>
      <c r="C2700" s="40" t="n"/>
    </row>
    <row r="2701">
      <c r="B2701" s="2" t="n"/>
      <c r="C2701" s="40" t="n"/>
    </row>
    <row r="2702">
      <c r="B2702" s="2" t="n"/>
      <c r="C2702" s="40" t="n"/>
    </row>
    <row r="2703">
      <c r="B2703" s="2" t="n"/>
      <c r="C2703" s="40" t="n"/>
    </row>
    <row r="2704">
      <c r="B2704" s="2" t="n"/>
      <c r="C2704" s="40" t="n"/>
    </row>
    <row r="2705">
      <c r="B2705" s="2" t="n"/>
      <c r="C2705" s="40" t="n"/>
    </row>
    <row r="2706">
      <c r="B2706" s="2" t="n"/>
      <c r="C2706" s="40" t="n"/>
    </row>
    <row r="2707">
      <c r="B2707" s="2" t="n"/>
      <c r="C2707" s="40" t="n"/>
    </row>
    <row r="2708">
      <c r="B2708" s="2" t="n"/>
      <c r="C2708" s="40" t="n"/>
    </row>
    <row r="2709">
      <c r="B2709" s="2" t="n"/>
      <c r="C2709" s="40" t="n"/>
    </row>
    <row r="2710">
      <c r="B2710" s="2" t="n"/>
      <c r="C2710" s="40" t="n"/>
    </row>
    <row r="2711">
      <c r="B2711" s="2" t="n"/>
      <c r="C2711" s="40" t="n"/>
    </row>
    <row r="2712">
      <c r="B2712" s="2" t="n"/>
      <c r="C2712" s="40" t="n"/>
    </row>
    <row r="2713">
      <c r="B2713" s="2" t="n"/>
      <c r="C2713" s="40" t="n"/>
    </row>
    <row r="2714">
      <c r="B2714" s="2" t="n"/>
      <c r="C2714" s="40" t="n"/>
    </row>
    <row r="2715">
      <c r="B2715" s="2" t="n"/>
      <c r="C2715" s="40" t="n"/>
    </row>
    <row r="2716">
      <c r="B2716" s="2" t="n"/>
      <c r="C2716" s="40" t="n"/>
    </row>
    <row r="2717">
      <c r="B2717" s="2" t="n"/>
      <c r="C2717" s="40" t="n"/>
    </row>
    <row r="2718">
      <c r="B2718" s="2" t="n"/>
      <c r="C2718" s="40" t="n"/>
    </row>
    <row r="2719">
      <c r="B2719" s="2" t="n"/>
      <c r="C2719" s="40" t="n"/>
    </row>
    <row r="2720">
      <c r="B2720" s="2" t="n"/>
      <c r="C2720" s="40" t="n"/>
    </row>
    <row r="2721">
      <c r="B2721" s="2" t="n"/>
      <c r="C2721" s="40" t="n"/>
    </row>
    <row r="2722">
      <c r="B2722" s="2" t="n"/>
      <c r="C2722" s="40" t="n"/>
    </row>
    <row r="2723">
      <c r="B2723" s="2" t="n"/>
      <c r="C2723" s="40" t="n"/>
    </row>
    <row r="2724">
      <c r="B2724" s="2" t="n"/>
      <c r="C2724" s="40" t="n"/>
    </row>
    <row r="2725">
      <c r="B2725" s="2" t="n"/>
      <c r="C2725" s="40" t="n"/>
    </row>
    <row r="2726">
      <c r="B2726" s="2" t="n"/>
      <c r="C2726" s="40" t="n"/>
    </row>
    <row r="2727">
      <c r="B2727" s="2" t="n"/>
      <c r="C2727" s="40" t="n"/>
    </row>
    <row r="2728">
      <c r="B2728" s="2" t="n"/>
      <c r="C2728" s="40" t="n"/>
    </row>
    <row r="2729">
      <c r="B2729" s="2" t="n"/>
      <c r="C2729" s="40" t="n"/>
    </row>
    <row r="2730">
      <c r="B2730" s="2" t="n"/>
      <c r="C2730" s="40" t="n"/>
    </row>
    <row r="2731">
      <c r="B2731" s="2" t="n"/>
      <c r="C2731" s="40" t="n"/>
    </row>
    <row r="2732">
      <c r="B2732" s="2" t="n"/>
      <c r="C2732" s="40" t="n"/>
    </row>
    <row r="2733">
      <c r="B2733" s="2" t="n"/>
      <c r="C2733" s="40" t="n"/>
    </row>
    <row r="2734">
      <c r="B2734" s="2" t="n"/>
      <c r="C2734" s="40" t="n"/>
    </row>
    <row r="2735">
      <c r="B2735" s="2" t="n"/>
      <c r="C2735" s="40" t="n"/>
    </row>
    <row r="2736">
      <c r="B2736" s="2" t="n"/>
      <c r="C2736" s="40" t="n"/>
    </row>
    <row r="2737">
      <c r="B2737" s="2" t="n"/>
      <c r="C2737" s="40" t="n"/>
    </row>
    <row r="2738">
      <c r="B2738" s="2" t="n"/>
      <c r="C2738" s="40" t="n"/>
    </row>
    <row r="2739">
      <c r="B2739" s="2" t="n"/>
      <c r="C2739" s="40" t="n"/>
    </row>
    <row r="2740">
      <c r="B2740" s="2" t="n"/>
      <c r="C2740" s="40" t="n"/>
    </row>
    <row r="2741">
      <c r="B2741" s="2" t="n"/>
      <c r="C2741" s="40" t="n"/>
    </row>
    <row r="2742">
      <c r="B2742" s="2" t="n"/>
      <c r="C2742" s="40" t="n"/>
    </row>
    <row r="2743">
      <c r="B2743" s="2" t="n"/>
      <c r="C2743" s="40" t="n"/>
    </row>
    <row r="2744">
      <c r="B2744" s="2" t="n"/>
      <c r="C2744" s="40" t="n"/>
    </row>
    <row r="2745">
      <c r="B2745" s="2" t="n"/>
      <c r="C2745" s="40" t="n"/>
    </row>
    <row r="2746">
      <c r="B2746" s="2" t="n"/>
      <c r="C2746" s="40" t="n"/>
    </row>
    <row r="2747">
      <c r="B2747" s="2" t="n"/>
      <c r="C2747" s="40" t="n"/>
    </row>
    <row r="2748">
      <c r="B2748" s="2" t="n"/>
      <c r="C2748" s="40" t="n"/>
    </row>
    <row r="2749">
      <c r="B2749" s="2" t="n"/>
      <c r="C2749" s="40" t="n"/>
    </row>
    <row r="2750">
      <c r="B2750" s="2" t="n"/>
      <c r="C2750" s="40" t="n"/>
    </row>
    <row r="2751">
      <c r="B2751" s="2" t="n"/>
      <c r="C2751" s="40" t="n"/>
    </row>
    <row r="2752">
      <c r="B2752" s="2" t="n"/>
      <c r="C2752" s="40" t="n"/>
    </row>
    <row r="2753">
      <c r="B2753" s="2" t="n"/>
      <c r="C2753" s="40" t="n"/>
    </row>
    <row r="2754">
      <c r="B2754" s="2" t="n"/>
      <c r="C2754" s="40" t="n"/>
    </row>
    <row r="2755">
      <c r="B2755" s="2" t="n"/>
      <c r="C2755" s="40" t="n"/>
    </row>
    <row r="2756">
      <c r="B2756" s="2" t="n"/>
      <c r="C2756" s="40" t="n"/>
    </row>
    <row r="2757">
      <c r="B2757" s="2" t="n"/>
      <c r="C2757" s="40" t="n"/>
    </row>
    <row r="2758">
      <c r="B2758" s="2" t="n"/>
      <c r="C2758" s="40" t="n"/>
    </row>
    <row r="2759">
      <c r="B2759" s="2" t="n"/>
      <c r="C2759" s="40" t="n"/>
    </row>
    <row r="2760">
      <c r="B2760" s="2" t="n"/>
      <c r="C2760" s="40" t="n"/>
    </row>
    <row r="2761">
      <c r="B2761" s="2" t="n"/>
      <c r="C2761" s="40" t="n"/>
    </row>
    <row r="2762">
      <c r="B2762" s="2" t="n"/>
      <c r="C2762" s="40" t="n"/>
    </row>
    <row r="2763">
      <c r="B2763" s="2" t="n"/>
      <c r="C2763" s="40" t="n"/>
    </row>
    <row r="2764">
      <c r="B2764" s="2" t="n"/>
      <c r="C2764" s="40" t="n"/>
    </row>
    <row r="2765">
      <c r="B2765" s="2" t="n"/>
      <c r="C2765" s="40" t="n"/>
    </row>
    <row r="2766">
      <c r="B2766" s="2" t="n"/>
      <c r="C2766" s="40" t="n"/>
    </row>
    <row r="2767">
      <c r="B2767" s="2" t="n"/>
      <c r="C2767" s="40" t="n"/>
    </row>
    <row r="2768">
      <c r="B2768" s="2" t="n"/>
      <c r="C2768" s="40" t="n"/>
    </row>
    <row r="2769">
      <c r="B2769" s="2" t="n"/>
      <c r="C2769" s="40" t="n"/>
    </row>
    <row r="2770">
      <c r="B2770" s="2" t="n"/>
      <c r="C2770" s="40" t="n"/>
    </row>
    <row r="2771">
      <c r="B2771" s="2" t="n"/>
      <c r="C2771" s="40" t="n"/>
    </row>
    <row r="2772">
      <c r="B2772" s="2" t="n"/>
      <c r="C2772" s="40" t="n"/>
    </row>
    <row r="2773">
      <c r="B2773" s="2" t="n"/>
      <c r="C2773" s="40" t="n"/>
    </row>
    <row r="2774">
      <c r="B2774" s="2" t="n"/>
      <c r="C2774" s="40" t="n"/>
    </row>
    <row r="2775">
      <c r="B2775" s="2" t="n"/>
      <c r="C2775" s="40" t="n"/>
    </row>
    <row r="2776">
      <c r="B2776" s="2" t="n"/>
      <c r="C2776" s="40" t="n"/>
    </row>
    <row r="2777">
      <c r="B2777" s="2" t="n"/>
      <c r="C2777" s="40" t="n"/>
    </row>
    <row r="2778">
      <c r="B2778" s="2" t="n"/>
      <c r="C2778" s="40" t="n"/>
    </row>
    <row r="2779">
      <c r="B2779" s="2" t="n"/>
      <c r="C2779" s="40" t="n"/>
    </row>
    <row r="2780">
      <c r="B2780" s="2" t="n"/>
      <c r="C2780" s="40" t="n"/>
    </row>
    <row r="2781">
      <c r="B2781" s="2" t="n"/>
      <c r="C2781" s="40" t="n"/>
    </row>
    <row r="2782">
      <c r="B2782" s="2" t="n"/>
      <c r="C2782" s="40" t="n"/>
    </row>
    <row r="2783">
      <c r="B2783" s="2" t="n"/>
      <c r="C2783" s="40" t="n"/>
    </row>
    <row r="2784">
      <c r="B2784" s="2" t="n"/>
      <c r="C2784" s="40" t="n"/>
    </row>
    <row r="2785">
      <c r="B2785" s="2" t="n"/>
      <c r="C2785" s="40" t="n"/>
    </row>
    <row r="2786">
      <c r="B2786" s="2" t="n"/>
      <c r="C2786" s="40" t="n"/>
    </row>
    <row r="2787">
      <c r="B2787" s="2" t="n"/>
      <c r="C2787" s="40" t="n"/>
    </row>
    <row r="2788">
      <c r="B2788" s="2" t="n"/>
      <c r="C2788" s="40" t="n"/>
    </row>
    <row r="2789">
      <c r="B2789" s="2" t="n"/>
      <c r="C2789" s="40" t="n"/>
    </row>
    <row r="2790">
      <c r="B2790" s="2" t="n"/>
      <c r="C2790" s="40" t="n"/>
    </row>
    <row r="2791">
      <c r="B2791" s="2" t="n"/>
      <c r="C2791" s="40" t="n"/>
    </row>
    <row r="2792">
      <c r="B2792" s="2" t="n"/>
      <c r="C2792" s="40" t="n"/>
    </row>
    <row r="2793">
      <c r="B2793" s="2" t="n"/>
      <c r="C2793" s="40" t="n"/>
    </row>
    <row r="2794">
      <c r="B2794" s="2" t="n"/>
      <c r="C2794" s="40" t="n"/>
    </row>
    <row r="2795">
      <c r="B2795" s="2" t="n"/>
      <c r="C2795" s="40" t="n"/>
    </row>
    <row r="2796">
      <c r="B2796" s="2" t="n"/>
      <c r="C2796" s="40" t="n"/>
    </row>
    <row r="2797">
      <c r="B2797" s="2" t="n"/>
      <c r="C2797" s="40" t="n"/>
    </row>
    <row r="2798">
      <c r="B2798" s="2" t="n"/>
      <c r="C2798" s="40" t="n"/>
    </row>
    <row r="2799">
      <c r="B2799" s="2" t="n"/>
      <c r="C2799" s="40" t="n"/>
    </row>
    <row r="2800">
      <c r="B2800" s="2" t="n"/>
      <c r="C2800" s="40" t="n"/>
    </row>
    <row r="2801">
      <c r="B2801" s="2" t="n"/>
      <c r="C2801" s="40" t="n"/>
    </row>
    <row r="2802">
      <c r="B2802" s="2" t="n"/>
      <c r="C2802" s="40" t="n"/>
    </row>
    <row r="2803">
      <c r="B2803" s="2" t="n"/>
      <c r="C2803" s="40" t="n"/>
    </row>
    <row r="2804">
      <c r="B2804" s="2" t="n"/>
      <c r="C2804" s="40" t="n"/>
    </row>
    <row r="2805">
      <c r="B2805" s="2" t="n"/>
      <c r="C2805" s="40" t="n"/>
    </row>
    <row r="2806">
      <c r="B2806" s="2" t="n"/>
      <c r="C2806" s="40" t="n"/>
    </row>
    <row r="2807">
      <c r="B2807" s="2" t="n"/>
      <c r="C2807" s="40" t="n"/>
    </row>
    <row r="2808">
      <c r="B2808" s="2" t="n"/>
      <c r="C2808" s="40" t="n"/>
    </row>
    <row r="2809">
      <c r="B2809" s="2" t="n"/>
      <c r="C2809" s="40" t="n"/>
    </row>
    <row r="2810">
      <c r="B2810" s="2" t="n"/>
      <c r="C2810" s="40" t="n"/>
    </row>
    <row r="2811">
      <c r="B2811" s="2" t="n"/>
      <c r="C2811" s="40" t="n"/>
    </row>
    <row r="2812">
      <c r="B2812" s="2" t="n"/>
      <c r="C2812" s="40" t="n"/>
    </row>
    <row r="2813">
      <c r="B2813" s="2" t="n"/>
      <c r="C2813" s="40" t="n"/>
    </row>
    <row r="2814">
      <c r="B2814" s="2" t="n"/>
      <c r="C2814" s="40" t="n"/>
    </row>
    <row r="2815">
      <c r="B2815" s="2" t="n"/>
      <c r="C2815" s="40" t="n"/>
    </row>
    <row r="2816">
      <c r="B2816" s="2" t="n"/>
      <c r="C2816" s="40" t="n"/>
    </row>
    <row r="2817">
      <c r="B2817" s="2" t="n"/>
      <c r="C2817" s="40" t="n"/>
    </row>
    <row r="2818">
      <c r="B2818" s="2" t="n"/>
      <c r="C2818" s="40" t="n"/>
    </row>
    <row r="2819">
      <c r="B2819" s="2" t="n"/>
      <c r="C2819" s="40" t="n"/>
    </row>
    <row r="2820">
      <c r="B2820" s="2" t="n"/>
      <c r="C2820" s="40" t="n"/>
    </row>
    <row r="2821">
      <c r="B2821" s="2" t="n"/>
      <c r="C2821" s="40" t="n"/>
    </row>
    <row r="2822">
      <c r="B2822" s="2" t="n"/>
      <c r="C2822" s="40" t="n"/>
    </row>
    <row r="2823">
      <c r="B2823" s="2" t="n"/>
      <c r="C2823" s="40" t="n"/>
    </row>
    <row r="2824">
      <c r="B2824" s="2" t="n"/>
      <c r="C2824" s="40" t="n"/>
    </row>
    <row r="2825">
      <c r="B2825" s="2" t="n"/>
      <c r="C2825" s="40" t="n"/>
    </row>
    <row r="2826">
      <c r="B2826" s="2" t="n"/>
      <c r="C2826" s="40" t="n"/>
    </row>
    <row r="2827">
      <c r="B2827" s="2" t="n"/>
      <c r="C2827" s="40" t="n"/>
    </row>
    <row r="2828">
      <c r="B2828" s="2" t="n"/>
      <c r="C2828" s="40" t="n"/>
    </row>
    <row r="2829">
      <c r="B2829" s="2" t="n"/>
      <c r="C2829" s="40" t="n"/>
    </row>
    <row r="2830">
      <c r="B2830" s="2" t="n"/>
      <c r="C2830" s="40" t="n"/>
    </row>
    <row r="2831">
      <c r="B2831" s="2" t="n"/>
      <c r="C2831" s="40" t="n"/>
    </row>
    <row r="2832">
      <c r="B2832" s="2" t="n"/>
      <c r="C2832" s="40" t="n"/>
    </row>
    <row r="2833">
      <c r="B2833" s="2" t="n"/>
      <c r="C2833" s="40" t="n"/>
    </row>
    <row r="2834">
      <c r="B2834" s="2" t="n"/>
      <c r="C2834" s="40" t="n"/>
    </row>
    <row r="2835">
      <c r="B2835" s="2" t="n"/>
      <c r="C2835" s="40" t="n"/>
    </row>
    <row r="2836">
      <c r="B2836" s="2" t="n"/>
      <c r="C2836" s="40" t="n"/>
    </row>
    <row r="2837">
      <c r="B2837" s="2" t="n"/>
      <c r="C2837" s="40" t="n"/>
    </row>
    <row r="2838">
      <c r="B2838" s="2" t="n"/>
      <c r="C2838" s="40" t="n"/>
    </row>
    <row r="2839">
      <c r="B2839" s="2" t="n"/>
      <c r="C2839" s="40" t="n"/>
    </row>
    <row r="2840">
      <c r="B2840" s="2" t="n"/>
      <c r="C2840" s="40" t="n"/>
    </row>
    <row r="2841">
      <c r="B2841" s="2" t="n"/>
      <c r="C2841" s="40" t="n"/>
    </row>
    <row r="2842">
      <c r="B2842" s="2" t="n"/>
      <c r="C2842" s="40" t="n"/>
    </row>
    <row r="2843">
      <c r="B2843" s="2" t="n"/>
      <c r="C2843" s="40" t="n"/>
    </row>
    <row r="2844">
      <c r="B2844" s="2" t="n"/>
      <c r="C2844" s="40" t="n"/>
    </row>
    <row r="2845">
      <c r="B2845" s="2" t="n"/>
      <c r="C2845" s="40" t="n"/>
    </row>
    <row r="2846">
      <c r="B2846" s="2" t="n"/>
      <c r="C2846" s="40" t="n"/>
    </row>
    <row r="2847">
      <c r="B2847" s="2" t="n"/>
      <c r="C2847" s="40" t="n"/>
    </row>
    <row r="2848">
      <c r="B2848" s="2" t="n"/>
      <c r="C2848" s="40" t="n"/>
    </row>
    <row r="2849">
      <c r="B2849" s="2" t="n"/>
      <c r="C2849" s="40" t="n"/>
    </row>
    <row r="2850">
      <c r="B2850" s="2" t="n"/>
      <c r="C2850" s="40" t="n"/>
    </row>
    <row r="2851">
      <c r="B2851" s="2" t="n"/>
      <c r="C2851" s="40" t="n"/>
    </row>
    <row r="2852">
      <c r="B2852" s="2" t="n"/>
      <c r="C2852" s="40" t="n"/>
    </row>
    <row r="2853">
      <c r="B2853" s="2" t="n"/>
      <c r="C2853" s="40" t="n"/>
    </row>
    <row r="2854">
      <c r="B2854" s="2" t="n"/>
      <c r="C2854" s="40" t="n"/>
    </row>
    <row r="2855">
      <c r="B2855" s="2" t="n"/>
      <c r="C2855" s="40" t="n"/>
    </row>
    <row r="2856">
      <c r="B2856" s="2" t="n"/>
      <c r="C2856" s="40" t="n"/>
    </row>
    <row r="2857">
      <c r="B2857" s="2" t="n"/>
      <c r="C2857" s="40" t="n"/>
    </row>
    <row r="2858">
      <c r="B2858" s="2" t="n"/>
      <c r="C2858" s="40" t="n"/>
    </row>
    <row r="2859">
      <c r="B2859" s="2" t="n"/>
      <c r="C2859" s="40" t="n"/>
    </row>
    <row r="2860">
      <c r="B2860" s="2" t="n"/>
      <c r="C2860" s="40" t="n"/>
    </row>
    <row r="2861">
      <c r="B2861" s="2" t="n"/>
      <c r="C2861" s="40" t="n"/>
    </row>
    <row r="2862">
      <c r="B2862" s="2" t="n"/>
      <c r="C2862" s="40" t="n"/>
    </row>
    <row r="2863">
      <c r="B2863" s="2" t="n"/>
      <c r="C2863" s="40" t="n"/>
    </row>
    <row r="2864">
      <c r="B2864" s="2" t="n"/>
      <c r="C2864" s="40" t="n"/>
    </row>
    <row r="2865">
      <c r="B2865" s="2" t="n"/>
      <c r="C2865" s="40" t="n"/>
    </row>
    <row r="2866">
      <c r="B2866" s="2" t="n"/>
      <c r="C2866" s="40" t="n"/>
    </row>
    <row r="2867">
      <c r="B2867" s="2" t="n"/>
      <c r="C2867" s="40" t="n"/>
    </row>
    <row r="2868">
      <c r="B2868" s="2" t="n"/>
      <c r="C2868" s="40" t="n"/>
    </row>
    <row r="2869">
      <c r="B2869" s="2" t="n"/>
      <c r="C2869" s="40" t="n"/>
    </row>
    <row r="2870">
      <c r="B2870" s="2" t="n"/>
      <c r="C2870" s="40" t="n"/>
    </row>
    <row r="2871">
      <c r="B2871" s="2" t="n"/>
      <c r="C2871" s="40" t="n"/>
    </row>
    <row r="2872">
      <c r="B2872" s="2" t="n"/>
      <c r="C2872" s="40" t="n"/>
    </row>
    <row r="2873">
      <c r="B2873" s="2" t="n"/>
      <c r="C2873" s="40" t="n"/>
    </row>
    <row r="2874">
      <c r="B2874" s="2" t="n"/>
      <c r="C2874" s="40" t="n"/>
    </row>
    <row r="2875">
      <c r="B2875" s="2" t="n"/>
      <c r="C2875" s="40" t="n"/>
    </row>
    <row r="2876">
      <c r="B2876" s="2" t="n"/>
      <c r="C2876" s="40" t="n"/>
    </row>
    <row r="2877">
      <c r="B2877" s="2" t="n"/>
      <c r="C2877" s="40" t="n"/>
    </row>
    <row r="2878">
      <c r="B2878" s="2" t="n"/>
      <c r="C2878" s="40" t="n"/>
    </row>
    <row r="2879">
      <c r="B2879" s="2" t="n"/>
      <c r="C2879" s="40" t="n"/>
    </row>
    <row r="2880">
      <c r="B2880" s="2" t="n"/>
      <c r="C2880" s="40" t="n"/>
    </row>
    <row r="2881">
      <c r="B2881" s="2" t="n"/>
      <c r="C2881" s="40" t="n"/>
    </row>
    <row r="2882">
      <c r="B2882" s="2" t="n"/>
      <c r="C2882" s="40" t="n"/>
    </row>
    <row r="2883">
      <c r="B2883" s="2" t="n"/>
      <c r="C2883" s="40" t="n"/>
    </row>
    <row r="2884">
      <c r="B2884" s="2" t="n"/>
      <c r="C2884" s="40" t="n"/>
    </row>
    <row r="2885">
      <c r="B2885" s="2" t="n"/>
      <c r="C2885" s="40" t="n"/>
    </row>
    <row r="2886">
      <c r="B2886" s="2" t="n"/>
      <c r="C2886" s="40" t="n"/>
    </row>
    <row r="2887">
      <c r="B2887" s="2" t="n"/>
      <c r="C2887" s="40" t="n"/>
    </row>
    <row r="2888">
      <c r="B2888" s="2" t="n"/>
      <c r="C2888" s="40" t="n"/>
    </row>
    <row r="2889">
      <c r="B2889" s="2" t="n"/>
      <c r="C2889" s="40" t="n"/>
    </row>
    <row r="2890">
      <c r="B2890" s="2" t="n"/>
      <c r="C2890" s="40" t="n"/>
    </row>
    <row r="2891">
      <c r="B2891" s="2" t="n"/>
      <c r="C2891" s="40" t="n"/>
    </row>
    <row r="2892">
      <c r="B2892" s="2" t="n"/>
      <c r="C2892" s="40" t="n"/>
    </row>
    <row r="2893">
      <c r="B2893" s="2" t="n"/>
      <c r="C2893" s="40" t="n"/>
    </row>
    <row r="2894">
      <c r="B2894" s="2" t="n"/>
      <c r="C2894" s="40" t="n"/>
    </row>
    <row r="2895">
      <c r="B2895" s="2" t="n"/>
      <c r="C2895" s="40" t="n"/>
    </row>
    <row r="2896">
      <c r="B2896" s="2" t="n"/>
      <c r="C2896" s="40" t="n"/>
    </row>
    <row r="2897">
      <c r="B2897" s="2" t="n"/>
      <c r="C2897" s="40" t="n"/>
    </row>
    <row r="2898">
      <c r="B2898" s="2" t="n"/>
      <c r="C2898" s="40" t="n"/>
    </row>
    <row r="2899">
      <c r="B2899" s="2" t="n"/>
      <c r="C2899" s="40" t="n"/>
    </row>
    <row r="2900">
      <c r="B2900" s="2" t="n"/>
      <c r="C2900" s="40" t="n"/>
    </row>
    <row r="2901">
      <c r="B2901" s="2" t="n"/>
      <c r="C2901" s="40" t="n"/>
    </row>
    <row r="2902">
      <c r="B2902" s="2" t="n"/>
      <c r="C2902" s="40" t="n"/>
    </row>
    <row r="2903">
      <c r="B2903" s="2" t="n"/>
      <c r="C2903" s="40" t="n"/>
    </row>
    <row r="2904">
      <c r="B2904" s="2" t="n"/>
      <c r="C2904" s="40" t="n"/>
    </row>
    <row r="2905">
      <c r="B2905" s="2" t="n"/>
      <c r="C2905" s="40" t="n"/>
    </row>
    <row r="2906">
      <c r="B2906" s="2" t="n"/>
      <c r="C2906" s="40" t="n"/>
    </row>
    <row r="2907">
      <c r="B2907" s="2" t="n"/>
      <c r="C2907" s="40" t="n"/>
    </row>
    <row r="2908">
      <c r="B2908" s="2" t="n"/>
      <c r="C2908" s="40" t="n"/>
    </row>
    <row r="2909">
      <c r="B2909" s="2" t="n"/>
      <c r="C2909" s="40" t="n"/>
    </row>
    <row r="2910">
      <c r="B2910" s="2" t="n"/>
      <c r="C2910" s="40" t="n"/>
    </row>
    <row r="2911">
      <c r="B2911" s="2" t="n"/>
      <c r="C2911" s="40" t="n"/>
    </row>
    <row r="2912">
      <c r="B2912" s="2" t="n"/>
      <c r="C2912" s="40" t="n"/>
    </row>
    <row r="2913">
      <c r="B2913" s="2" t="n"/>
      <c r="C2913" s="40" t="n"/>
    </row>
    <row r="2914">
      <c r="B2914" s="2" t="n"/>
      <c r="C2914" s="40" t="n"/>
    </row>
    <row r="2915">
      <c r="B2915" s="2" t="n"/>
      <c r="C2915" s="40" t="n"/>
    </row>
    <row r="2916">
      <c r="B2916" s="2" t="n"/>
      <c r="C2916" s="40" t="n"/>
    </row>
    <row r="2917">
      <c r="B2917" s="2" t="n"/>
      <c r="C2917" s="40" t="n"/>
    </row>
    <row r="2918">
      <c r="B2918" s="2" t="n"/>
      <c r="C2918" s="40" t="n"/>
    </row>
    <row r="2919">
      <c r="B2919" s="2" t="n"/>
      <c r="C2919" s="40" t="n"/>
    </row>
    <row r="2920">
      <c r="B2920" s="2" t="n"/>
      <c r="C2920" s="40" t="n"/>
    </row>
    <row r="2921">
      <c r="B2921" s="2" t="n"/>
      <c r="C2921" s="40" t="n"/>
    </row>
    <row r="2922">
      <c r="B2922" s="2" t="n"/>
      <c r="C2922" s="40" t="n"/>
    </row>
    <row r="2923">
      <c r="B2923" s="2" t="n"/>
      <c r="C2923" s="40" t="n"/>
    </row>
    <row r="2924">
      <c r="B2924" s="2" t="n"/>
      <c r="C2924" s="40" t="n"/>
    </row>
    <row r="2925">
      <c r="B2925" s="2" t="n"/>
      <c r="C2925" s="40" t="n"/>
    </row>
    <row r="2926">
      <c r="B2926" s="2" t="n"/>
      <c r="C2926" s="40" t="n"/>
    </row>
    <row r="2927">
      <c r="B2927" s="2" t="n"/>
      <c r="C2927" s="40" t="n"/>
    </row>
    <row r="2928">
      <c r="B2928" s="2" t="n"/>
      <c r="C2928" s="40" t="n"/>
    </row>
    <row r="2929">
      <c r="B2929" s="2" t="n"/>
      <c r="C2929" s="40" t="n"/>
    </row>
    <row r="2930">
      <c r="B2930" s="2" t="n"/>
      <c r="C2930" s="40" t="n"/>
    </row>
    <row r="2931">
      <c r="B2931" s="2" t="n"/>
      <c r="C2931" s="40" t="n"/>
    </row>
    <row r="2932">
      <c r="B2932" s="2" t="n"/>
      <c r="C2932" s="40" t="n"/>
    </row>
    <row r="2933">
      <c r="B2933" s="2" t="n"/>
      <c r="C2933" s="40" t="n"/>
    </row>
    <row r="2934">
      <c r="B2934" s="2" t="n"/>
      <c r="C2934" s="40" t="n"/>
    </row>
    <row r="2935">
      <c r="B2935" s="2" t="n"/>
      <c r="C2935" s="40" t="n"/>
    </row>
    <row r="2936">
      <c r="B2936" s="2" t="n"/>
      <c r="C2936" s="40" t="n"/>
    </row>
    <row r="2937">
      <c r="B2937" s="2" t="n"/>
      <c r="C2937" s="40" t="n"/>
    </row>
    <row r="2938">
      <c r="B2938" s="2" t="n"/>
      <c r="C2938" s="40" t="n"/>
    </row>
    <row r="2939">
      <c r="B2939" s="2" t="n"/>
      <c r="C2939" s="40" t="n"/>
    </row>
    <row r="2940">
      <c r="B2940" s="2" t="n"/>
      <c r="C2940" s="40" t="n"/>
    </row>
    <row r="2941">
      <c r="B2941" s="2" t="n"/>
      <c r="C2941" s="40" t="n"/>
    </row>
    <row r="2942">
      <c r="B2942" s="2" t="n"/>
      <c r="C2942" s="40" t="n"/>
    </row>
    <row r="2943">
      <c r="B2943" s="2" t="n"/>
      <c r="C2943" s="40" t="n"/>
    </row>
    <row r="2944">
      <c r="B2944" s="2" t="n"/>
      <c r="C2944" s="40" t="n"/>
    </row>
    <row r="2945">
      <c r="B2945" s="2" t="n"/>
      <c r="C2945" s="40" t="n"/>
    </row>
    <row r="2946">
      <c r="B2946" s="2" t="n"/>
      <c r="C2946" s="40" t="n"/>
    </row>
    <row r="2947">
      <c r="B2947" s="2" t="n"/>
      <c r="C2947" s="40" t="n"/>
    </row>
    <row r="2948">
      <c r="B2948" s="2" t="n"/>
      <c r="C2948" s="40" t="n"/>
    </row>
    <row r="2949">
      <c r="B2949" s="2" t="n"/>
      <c r="C2949" s="40" t="n"/>
    </row>
    <row r="2950">
      <c r="B2950" s="2" t="n"/>
      <c r="C2950" s="40" t="n"/>
    </row>
    <row r="2951">
      <c r="B2951" s="2" t="n"/>
      <c r="C2951" s="40" t="n"/>
    </row>
    <row r="2952">
      <c r="B2952" s="2" t="n"/>
      <c r="C2952" s="40" t="n"/>
    </row>
    <row r="2953">
      <c r="B2953" s="2" t="n"/>
      <c r="C2953" s="40" t="n"/>
    </row>
    <row r="2954">
      <c r="B2954" s="2" t="n"/>
      <c r="C2954" s="40" t="n"/>
    </row>
    <row r="2955">
      <c r="B2955" s="2" t="n"/>
      <c r="C2955" s="40" t="n"/>
    </row>
    <row r="2956">
      <c r="B2956" s="2" t="n"/>
      <c r="C2956" s="40" t="n"/>
    </row>
    <row r="2957">
      <c r="B2957" s="2" t="n"/>
      <c r="C2957" s="40" t="n"/>
    </row>
    <row r="2958">
      <c r="B2958" s="2" t="n"/>
      <c r="C2958" s="40" t="n"/>
    </row>
    <row r="2959">
      <c r="B2959" s="2" t="n"/>
      <c r="C2959" s="40" t="n"/>
    </row>
    <row r="2960">
      <c r="B2960" s="2" t="n"/>
      <c r="C2960" s="40" t="n"/>
    </row>
    <row r="2961">
      <c r="B2961" s="2" t="n"/>
      <c r="C2961" s="40" t="n"/>
    </row>
    <row r="2962">
      <c r="B2962" s="2" t="n"/>
      <c r="C2962" s="40" t="n"/>
    </row>
    <row r="2963">
      <c r="B2963" s="2" t="n"/>
      <c r="C2963" s="40" t="n"/>
    </row>
    <row r="2964">
      <c r="B2964" s="2" t="n"/>
      <c r="C2964" s="40" t="n"/>
    </row>
    <row r="2965">
      <c r="B2965" s="2" t="n"/>
      <c r="C2965" s="40" t="n"/>
    </row>
    <row r="2966">
      <c r="B2966" s="2" t="n"/>
      <c r="C2966" s="40" t="n"/>
    </row>
    <row r="2967">
      <c r="B2967" s="2" t="n"/>
      <c r="C2967" s="40" t="n"/>
    </row>
    <row r="2968">
      <c r="B2968" s="2" t="n"/>
      <c r="C2968" s="40" t="n"/>
    </row>
    <row r="2969">
      <c r="B2969" s="2" t="n"/>
      <c r="C2969" s="40" t="n"/>
    </row>
    <row r="2970">
      <c r="B2970" s="2" t="n"/>
      <c r="C2970" s="40" t="n"/>
    </row>
    <row r="2971">
      <c r="B2971" s="2" t="n"/>
      <c r="C2971" s="40" t="n"/>
    </row>
    <row r="2972">
      <c r="B2972" s="2" t="n"/>
      <c r="C2972" s="40" t="n"/>
    </row>
    <row r="2973">
      <c r="B2973" s="2" t="n"/>
      <c r="C2973" s="40" t="n"/>
    </row>
    <row r="2974">
      <c r="B2974" s="2" t="n"/>
      <c r="C2974" s="40" t="n"/>
    </row>
    <row r="2975">
      <c r="B2975" s="2" t="n"/>
      <c r="C2975" s="40" t="n"/>
    </row>
    <row r="2976">
      <c r="B2976" s="2" t="n"/>
      <c r="C2976" s="40" t="n"/>
    </row>
    <row r="2977">
      <c r="B2977" s="2" t="n"/>
      <c r="C2977" s="40" t="n"/>
    </row>
    <row r="2978">
      <c r="B2978" s="2" t="n"/>
      <c r="C2978" s="40" t="n"/>
    </row>
    <row r="2979">
      <c r="B2979" s="2" t="n"/>
      <c r="C2979" s="40" t="n"/>
    </row>
    <row r="2980">
      <c r="B2980" s="2" t="n"/>
      <c r="C2980" s="40" t="n"/>
    </row>
    <row r="2981">
      <c r="B2981" s="2" t="n"/>
      <c r="C2981" s="40" t="n"/>
    </row>
    <row r="2982">
      <c r="B2982" s="2" t="n"/>
      <c r="C2982" s="40" t="n"/>
    </row>
    <row r="2983">
      <c r="B2983" s="2" t="n"/>
      <c r="C2983" s="40" t="n"/>
    </row>
    <row r="2984">
      <c r="B2984" s="2" t="n"/>
      <c r="C2984" s="40" t="n"/>
    </row>
    <row r="2985">
      <c r="B2985" s="2" t="n"/>
      <c r="C2985" s="40" t="n"/>
    </row>
    <row r="2986">
      <c r="B2986" s="2" t="n"/>
      <c r="C2986" s="40" t="n"/>
    </row>
    <row r="2987">
      <c r="B2987" s="2" t="n"/>
      <c r="C2987" s="40" t="n"/>
    </row>
    <row r="2988">
      <c r="B2988" s="2" t="n"/>
      <c r="C2988" s="40" t="n"/>
    </row>
    <row r="2989">
      <c r="B2989" s="2" t="n"/>
      <c r="C2989" s="40" t="n"/>
    </row>
    <row r="2990">
      <c r="B2990" s="2" t="n"/>
      <c r="C2990" s="40" t="n"/>
    </row>
    <row r="2991">
      <c r="B2991" s="2" t="n"/>
      <c r="C2991" s="40" t="n"/>
    </row>
    <row r="2992">
      <c r="B2992" s="2" t="n"/>
      <c r="C2992" s="40" t="n"/>
    </row>
    <row r="2993">
      <c r="B2993" s="2" t="n"/>
      <c r="C2993" s="40" t="n"/>
    </row>
    <row r="2994">
      <c r="B2994" s="2" t="n"/>
      <c r="C2994" s="40" t="n"/>
    </row>
    <row r="2995">
      <c r="B2995" s="2" t="n"/>
      <c r="C2995" s="40" t="n"/>
    </row>
    <row r="2996">
      <c r="B2996" s="2" t="n"/>
      <c r="C2996" s="40" t="n"/>
    </row>
    <row r="2997">
      <c r="B2997" s="2" t="n"/>
      <c r="C2997" s="40" t="n"/>
    </row>
    <row r="2998">
      <c r="B2998" s="2" t="n"/>
      <c r="C2998" s="40" t="n"/>
    </row>
    <row r="2999">
      <c r="B2999" s="2" t="n"/>
      <c r="C2999" s="40" t="n"/>
    </row>
    <row r="3000">
      <c r="B3000" s="2" t="n"/>
      <c r="C3000" s="40" t="n"/>
    </row>
    <row r="3001">
      <c r="B3001" s="2" t="n"/>
      <c r="C3001" s="40" t="n"/>
    </row>
    <row r="3002">
      <c r="B3002" s="2" t="n"/>
      <c r="C3002" s="40" t="n"/>
    </row>
    <row r="3003">
      <c r="B3003" s="2" t="n"/>
      <c r="C3003" s="40" t="n"/>
    </row>
    <row r="3004">
      <c r="B3004" s="2" t="n"/>
      <c r="C3004" s="40" t="n"/>
    </row>
    <row r="3005">
      <c r="B3005" s="2" t="n"/>
      <c r="C3005" s="40" t="n"/>
    </row>
    <row r="3006">
      <c r="B3006" s="2" t="n"/>
      <c r="C3006" s="40" t="n"/>
    </row>
    <row r="3007">
      <c r="B3007" s="2" t="n"/>
      <c r="C3007" s="40" t="n"/>
    </row>
    <row r="3008">
      <c r="B3008" s="2" t="n"/>
      <c r="C3008" s="40" t="n"/>
    </row>
    <row r="3009">
      <c r="B3009" s="2" t="n"/>
      <c r="C3009" s="40" t="n"/>
    </row>
    <row r="3010">
      <c r="B3010" s="2" t="n"/>
      <c r="C3010" s="40" t="n"/>
    </row>
    <row r="3011">
      <c r="B3011" s="2" t="n"/>
      <c r="C3011" s="40" t="n"/>
    </row>
    <row r="3012">
      <c r="B3012" s="2" t="n"/>
      <c r="C3012" s="40" t="n"/>
    </row>
    <row r="3013">
      <c r="B3013" s="2" t="n"/>
      <c r="C3013" s="40" t="n"/>
    </row>
    <row r="3014">
      <c r="B3014" s="2" t="n"/>
      <c r="C3014" s="40" t="n"/>
    </row>
    <row r="3015">
      <c r="B3015" s="2" t="n"/>
      <c r="C3015" s="40" t="n"/>
    </row>
    <row r="3016">
      <c r="B3016" s="2" t="n"/>
      <c r="C3016" s="40" t="n"/>
    </row>
    <row r="3017">
      <c r="B3017" s="2" t="n"/>
      <c r="C3017" s="40" t="n"/>
    </row>
    <row r="3018">
      <c r="B3018" s="2" t="n"/>
      <c r="C3018" s="40" t="n"/>
    </row>
    <row r="3019">
      <c r="B3019" s="2" t="n"/>
      <c r="C3019" s="40" t="n"/>
    </row>
    <row r="3020">
      <c r="B3020" s="2" t="n"/>
      <c r="C3020" s="40" t="n"/>
    </row>
    <row r="3021">
      <c r="B3021" s="2" t="n"/>
      <c r="C3021" s="40" t="n"/>
    </row>
    <row r="3022">
      <c r="B3022" s="2" t="n"/>
      <c r="C3022" s="40" t="n"/>
    </row>
    <row r="3023">
      <c r="B3023" s="2" t="n"/>
      <c r="C3023" s="40" t="n"/>
    </row>
    <row r="3024">
      <c r="B3024" s="2" t="n"/>
      <c r="C3024" s="40" t="n"/>
    </row>
    <row r="3025">
      <c r="B3025" s="2" t="n"/>
      <c r="C3025" s="40" t="n"/>
    </row>
    <row r="3026">
      <c r="B3026" s="2" t="n"/>
      <c r="C3026" s="40" t="n"/>
    </row>
    <row r="3027">
      <c r="B3027" s="2" t="n"/>
      <c r="C3027" s="40" t="n"/>
    </row>
    <row r="3028">
      <c r="B3028" s="2" t="n"/>
      <c r="C3028" s="40" t="n"/>
    </row>
    <row r="3029">
      <c r="B3029" s="2" t="n"/>
      <c r="C3029" s="40" t="n"/>
    </row>
    <row r="3030">
      <c r="B3030" s="2" t="n"/>
      <c r="C3030" s="40" t="n"/>
    </row>
    <row r="3031">
      <c r="B3031" s="2" t="n"/>
      <c r="C3031" s="40" t="n"/>
    </row>
    <row r="3032">
      <c r="B3032" s="2" t="n"/>
      <c r="C3032" s="40" t="n"/>
    </row>
    <row r="3033">
      <c r="B3033" s="2" t="n"/>
      <c r="C3033" s="40" t="n"/>
    </row>
    <row r="3034">
      <c r="B3034" s="2" t="n"/>
      <c r="C3034" s="40" t="n"/>
    </row>
    <row r="3035">
      <c r="B3035" s="2" t="n"/>
      <c r="C3035" s="40" t="n"/>
    </row>
    <row r="3036">
      <c r="B3036" s="2" t="n"/>
      <c r="C3036" s="40" t="n"/>
    </row>
    <row r="3037">
      <c r="B3037" s="2" t="n"/>
      <c r="C3037" s="40" t="n"/>
    </row>
    <row r="3038">
      <c r="B3038" s="2" t="n"/>
      <c r="C3038" s="40" t="n"/>
    </row>
    <row r="3039">
      <c r="B3039" s="2" t="n"/>
      <c r="C3039" s="40" t="n"/>
    </row>
    <row r="3040">
      <c r="B3040" s="2" t="n"/>
      <c r="C3040" s="40" t="n"/>
    </row>
    <row r="3041">
      <c r="B3041" s="2" t="n"/>
      <c r="C3041" s="40" t="n"/>
    </row>
    <row r="3042">
      <c r="B3042" s="2" t="n"/>
      <c r="C3042" s="40" t="n"/>
    </row>
    <row r="3043">
      <c r="B3043" s="2" t="n"/>
      <c r="C3043" s="40" t="n"/>
    </row>
    <row r="3044">
      <c r="B3044" s="2" t="n"/>
      <c r="C3044" s="40" t="n"/>
    </row>
    <row r="3045">
      <c r="B3045" s="2" t="n"/>
      <c r="C3045" s="40" t="n"/>
    </row>
    <row r="3046">
      <c r="B3046" s="2" t="n"/>
      <c r="C3046" s="40" t="n"/>
    </row>
    <row r="3047">
      <c r="B3047" s="2" t="n"/>
      <c r="C3047" s="40" t="n"/>
    </row>
    <row r="3048">
      <c r="B3048" s="2" t="n"/>
      <c r="C3048" s="40" t="n"/>
    </row>
    <row r="3049">
      <c r="B3049" s="2" t="n"/>
      <c r="C3049" s="40" t="n"/>
    </row>
    <row r="3050">
      <c r="B3050" s="2" t="n"/>
      <c r="C3050" s="40" t="n"/>
    </row>
    <row r="3051">
      <c r="B3051" s="2" t="n"/>
      <c r="C3051" s="40" t="n"/>
    </row>
    <row r="3052">
      <c r="B3052" s="2" t="n"/>
      <c r="C3052" s="40" t="n"/>
    </row>
    <row r="3053">
      <c r="B3053" s="2" t="n"/>
      <c r="C3053" s="40" t="n"/>
    </row>
    <row r="3054">
      <c r="B3054" s="2" t="n"/>
      <c r="C3054" s="40" t="n"/>
    </row>
    <row r="3055">
      <c r="B3055" s="2" t="n"/>
      <c r="C3055" s="40" t="n"/>
    </row>
    <row r="3056">
      <c r="B3056" s="2" t="n"/>
      <c r="C3056" s="40" t="n"/>
    </row>
    <row r="3057">
      <c r="B3057" s="2" t="n"/>
      <c r="C3057" s="40" t="n"/>
    </row>
    <row r="3058">
      <c r="B3058" s="2" t="n"/>
      <c r="C3058" s="40" t="n"/>
    </row>
    <row r="3059">
      <c r="B3059" s="2" t="n"/>
      <c r="C3059" s="40" t="n"/>
    </row>
    <row r="3060">
      <c r="B3060" s="2" t="n"/>
      <c r="C3060" s="40" t="n"/>
    </row>
    <row r="3061">
      <c r="B3061" s="2" t="n"/>
      <c r="C3061" s="40" t="n"/>
    </row>
    <row r="3062">
      <c r="B3062" s="2" t="n"/>
      <c r="C3062" s="40" t="n"/>
    </row>
    <row r="3063">
      <c r="B3063" s="2" t="n"/>
      <c r="C3063" s="40" t="n"/>
    </row>
    <row r="3064">
      <c r="B3064" s="2" t="n"/>
      <c r="C3064" s="40" t="n"/>
    </row>
    <row r="3065">
      <c r="B3065" s="2" t="n"/>
      <c r="C3065" s="40" t="n"/>
    </row>
    <row r="3066">
      <c r="B3066" s="2" t="n"/>
      <c r="C3066" s="40" t="n"/>
    </row>
    <row r="3067">
      <c r="B3067" s="2" t="n"/>
      <c r="C3067" s="40" t="n"/>
    </row>
    <row r="3068">
      <c r="B3068" s="2" t="n"/>
      <c r="C3068" s="40" t="n"/>
    </row>
    <row r="3069">
      <c r="B3069" s="2" t="n"/>
      <c r="C3069" s="40" t="n"/>
    </row>
    <row r="3070">
      <c r="B3070" s="2" t="n"/>
      <c r="C3070" s="40" t="n"/>
    </row>
    <row r="3071">
      <c r="B3071" s="2" t="n"/>
      <c r="C3071" s="40" t="n"/>
    </row>
    <row r="3072">
      <c r="B3072" s="2" t="n"/>
      <c r="C3072" s="40" t="n"/>
    </row>
    <row r="3073">
      <c r="B3073" s="2" t="n"/>
      <c r="C3073" s="40" t="n"/>
    </row>
    <row r="3074">
      <c r="B3074" s="2" t="n"/>
      <c r="C3074" s="40" t="n"/>
    </row>
    <row r="3075">
      <c r="B3075" s="2" t="n"/>
      <c r="C3075" s="40" t="n"/>
    </row>
    <row r="3076">
      <c r="B3076" s="2" t="n"/>
      <c r="C3076" s="40" t="n"/>
    </row>
    <row r="3077">
      <c r="B3077" s="2" t="n"/>
      <c r="C3077" s="40" t="n"/>
    </row>
    <row r="3078">
      <c r="B3078" s="2" t="n"/>
      <c r="C3078" s="40" t="n"/>
    </row>
    <row r="3079">
      <c r="B3079" s="2" t="n"/>
      <c r="C3079" s="40" t="n"/>
    </row>
    <row r="3080">
      <c r="B3080" s="2" t="n"/>
      <c r="C3080" s="40" t="n"/>
    </row>
    <row r="3081">
      <c r="B3081" s="2" t="n"/>
      <c r="C3081" s="40" t="n"/>
    </row>
    <row r="3082">
      <c r="B3082" s="2" t="n"/>
      <c r="C3082" s="40" t="n"/>
    </row>
    <row r="3083">
      <c r="B3083" s="2" t="n"/>
      <c r="C3083" s="40" t="n"/>
    </row>
    <row r="3084">
      <c r="B3084" s="2" t="n"/>
      <c r="C3084" s="40" t="n"/>
    </row>
    <row r="3085">
      <c r="B3085" s="2" t="n"/>
      <c r="C3085" s="40" t="n"/>
    </row>
    <row r="3086">
      <c r="B3086" s="2" t="n"/>
      <c r="C3086" s="40" t="n"/>
    </row>
    <row r="3087">
      <c r="B3087" s="2" t="n"/>
      <c r="C3087" s="40" t="n"/>
    </row>
    <row r="3088">
      <c r="B3088" s="2" t="n"/>
      <c r="C3088" s="40" t="n"/>
    </row>
    <row r="3089">
      <c r="B3089" s="2" t="n"/>
      <c r="C3089" s="40" t="n"/>
    </row>
    <row r="3090">
      <c r="B3090" s="2" t="n"/>
      <c r="C3090" s="40" t="n"/>
    </row>
    <row r="3091">
      <c r="B3091" s="2" t="n"/>
      <c r="C3091" s="40" t="n"/>
    </row>
    <row r="3092">
      <c r="B3092" s="2" t="n"/>
      <c r="C3092" s="40" t="n"/>
    </row>
    <row r="3093">
      <c r="B3093" s="2" t="n"/>
      <c r="C3093" s="40" t="n"/>
    </row>
    <row r="3094">
      <c r="B3094" s="2" t="n"/>
      <c r="C3094" s="40" t="n"/>
    </row>
    <row r="3095">
      <c r="B3095" s="2" t="n"/>
      <c r="C3095" s="40" t="n"/>
    </row>
    <row r="3096">
      <c r="B3096" s="2" t="n"/>
      <c r="C3096" s="40" t="n"/>
    </row>
    <row r="3097">
      <c r="B3097" s="2" t="n"/>
      <c r="C3097" s="40" t="n"/>
    </row>
    <row r="3098">
      <c r="B3098" s="2" t="n"/>
      <c r="C3098" s="40" t="n"/>
    </row>
    <row r="3099">
      <c r="B3099" s="2" t="n"/>
      <c r="C3099" s="40" t="n"/>
    </row>
    <row r="3100">
      <c r="B3100" s="2" t="n"/>
      <c r="C3100" s="40" t="n"/>
    </row>
    <row r="3101">
      <c r="B3101" s="2" t="n"/>
      <c r="C3101" s="40" t="n"/>
    </row>
    <row r="3102">
      <c r="B3102" s="2" t="n"/>
      <c r="C3102" s="40" t="n"/>
    </row>
    <row r="3103">
      <c r="B3103" s="2" t="n"/>
      <c r="C3103" s="40" t="n"/>
    </row>
    <row r="3104">
      <c r="B3104" s="2" t="n"/>
      <c r="C3104" s="40" t="n"/>
    </row>
    <row r="3105">
      <c r="B3105" s="2" t="n"/>
      <c r="C3105" s="40" t="n"/>
    </row>
    <row r="3106">
      <c r="B3106" s="2" t="n"/>
      <c r="C3106" s="40" t="n"/>
    </row>
    <row r="3107">
      <c r="B3107" s="2" t="n"/>
      <c r="C3107" s="40" t="n"/>
    </row>
    <row r="3108">
      <c r="B3108" s="2" t="n"/>
      <c r="C3108" s="40" t="n"/>
    </row>
    <row r="3109">
      <c r="B3109" s="2" t="n"/>
      <c r="C3109" s="40" t="n"/>
    </row>
    <row r="3110">
      <c r="B3110" s="2" t="n"/>
      <c r="C3110" s="40" t="n"/>
    </row>
    <row r="3111">
      <c r="B3111" s="2" t="n"/>
      <c r="C3111" s="40" t="n"/>
    </row>
    <row r="3112">
      <c r="B3112" s="2" t="n"/>
      <c r="C3112" s="40" t="n"/>
    </row>
    <row r="3113">
      <c r="B3113" s="2" t="n"/>
      <c r="C3113" s="40" t="n"/>
    </row>
    <row r="3114">
      <c r="B3114" s="2" t="n"/>
      <c r="C3114" s="40" t="n"/>
    </row>
    <row r="3115">
      <c r="B3115" s="2" t="n"/>
      <c r="C3115" s="40" t="n"/>
    </row>
    <row r="3116">
      <c r="B3116" s="2" t="n"/>
      <c r="C3116" s="40" t="n"/>
    </row>
    <row r="3117">
      <c r="B3117" s="2" t="n"/>
      <c r="C3117" s="40" t="n"/>
    </row>
    <row r="3118">
      <c r="B3118" s="2" t="n"/>
      <c r="C3118" s="40" t="n"/>
    </row>
    <row r="3119">
      <c r="B3119" s="2" t="n"/>
      <c r="C3119" s="40" t="n"/>
    </row>
    <row r="3120">
      <c r="B3120" s="2" t="n"/>
      <c r="C3120" s="40" t="n"/>
    </row>
    <row r="3121">
      <c r="B3121" s="2" t="n"/>
      <c r="C3121" s="40" t="n"/>
    </row>
    <row r="3122">
      <c r="B3122" s="2" t="n"/>
      <c r="C3122" s="40" t="n"/>
    </row>
    <row r="3123">
      <c r="B3123" s="2" t="n"/>
      <c r="C3123" s="40" t="n"/>
    </row>
    <row r="3124">
      <c r="B3124" s="2" t="n"/>
      <c r="C3124" s="40" t="n"/>
    </row>
    <row r="3125">
      <c r="B3125" s="2" t="n"/>
      <c r="C3125" s="40" t="n"/>
    </row>
    <row r="3126">
      <c r="B3126" s="2" t="n"/>
      <c r="C3126" s="40" t="n"/>
    </row>
    <row r="3127">
      <c r="B3127" s="2" t="n"/>
      <c r="C3127" s="40" t="n"/>
    </row>
    <row r="3128">
      <c r="B3128" s="2" t="n"/>
      <c r="C3128" s="40" t="n"/>
    </row>
    <row r="3129">
      <c r="B3129" s="2" t="n"/>
      <c r="C3129" s="40" t="n"/>
    </row>
    <row r="3130">
      <c r="B3130" s="2" t="n"/>
      <c r="C3130" s="40" t="n"/>
    </row>
    <row r="3131">
      <c r="B3131" s="2" t="n"/>
      <c r="C3131" s="40" t="n"/>
    </row>
    <row r="3132">
      <c r="B3132" s="2" t="n"/>
      <c r="C3132" s="40" t="n"/>
    </row>
    <row r="3133">
      <c r="B3133" s="2" t="n"/>
      <c r="C3133" s="40" t="n"/>
    </row>
    <row r="3134">
      <c r="B3134" s="2" t="n"/>
      <c r="C3134" s="40" t="n"/>
    </row>
    <row r="3135">
      <c r="B3135" s="2" t="n"/>
      <c r="C3135" s="40" t="n"/>
    </row>
    <row r="3136">
      <c r="B3136" s="2" t="n"/>
      <c r="C3136" s="40" t="n"/>
    </row>
    <row r="3137">
      <c r="B3137" s="2" t="n"/>
      <c r="C3137" s="40" t="n"/>
    </row>
    <row r="3138">
      <c r="B3138" s="2" t="n"/>
      <c r="C3138" s="40" t="n"/>
    </row>
    <row r="3139">
      <c r="B3139" s="2" t="n"/>
      <c r="C3139" s="40" t="n"/>
    </row>
    <row r="3140">
      <c r="B3140" s="2" t="n"/>
      <c r="C3140" s="40" t="n"/>
    </row>
    <row r="3141">
      <c r="B3141" s="2" t="n"/>
      <c r="C3141" s="40" t="n"/>
    </row>
    <row r="3142">
      <c r="B3142" s="2" t="n"/>
      <c r="C3142" s="40" t="n"/>
    </row>
    <row r="3143">
      <c r="B3143" s="2" t="n"/>
      <c r="C3143" s="40" t="n"/>
    </row>
    <row r="3144">
      <c r="B3144" s="2" t="n"/>
      <c r="C3144" s="40" t="n"/>
    </row>
    <row r="3145">
      <c r="B3145" s="2" t="n"/>
      <c r="C3145" s="40" t="n"/>
    </row>
    <row r="3146">
      <c r="B3146" s="2" t="n"/>
      <c r="C3146" s="40" t="n"/>
    </row>
    <row r="3147">
      <c r="B3147" s="2" t="n"/>
      <c r="C3147" s="40" t="n"/>
    </row>
    <row r="3148">
      <c r="B3148" s="2" t="n"/>
      <c r="C3148" s="40" t="n"/>
    </row>
    <row r="3149">
      <c r="B3149" s="2" t="n"/>
      <c r="C3149" s="40" t="n"/>
    </row>
    <row r="3150">
      <c r="B3150" s="2" t="n"/>
      <c r="C3150" s="40" t="n"/>
    </row>
    <row r="3151">
      <c r="B3151" s="2" t="n"/>
      <c r="C3151" s="40" t="n"/>
    </row>
    <row r="3152">
      <c r="B3152" s="2" t="n"/>
      <c r="C3152" s="40" t="n"/>
    </row>
    <row r="3153">
      <c r="B3153" s="2" t="n"/>
      <c r="C3153" s="40" t="n"/>
    </row>
    <row r="3154">
      <c r="B3154" s="2" t="n"/>
      <c r="C3154" s="40" t="n"/>
    </row>
    <row r="3155">
      <c r="B3155" s="2" t="n"/>
      <c r="C3155" s="40" t="n"/>
    </row>
    <row r="3156">
      <c r="B3156" s="2" t="n"/>
      <c r="C3156" s="40" t="n"/>
    </row>
    <row r="3157">
      <c r="B3157" s="2" t="n"/>
      <c r="C3157" s="40" t="n"/>
    </row>
    <row r="3158">
      <c r="B3158" s="2" t="n"/>
      <c r="C3158" s="40" t="n"/>
    </row>
    <row r="3159">
      <c r="B3159" s="2" t="n"/>
      <c r="C3159" s="40" t="n"/>
    </row>
    <row r="3160">
      <c r="B3160" s="2" t="n"/>
      <c r="C3160" s="40" t="n"/>
    </row>
    <row r="3161">
      <c r="B3161" s="2" t="n"/>
      <c r="C3161" s="40" t="n"/>
    </row>
    <row r="3162">
      <c r="B3162" s="2" t="n"/>
      <c r="C3162" s="40" t="n"/>
    </row>
    <row r="3163">
      <c r="B3163" s="2" t="n"/>
      <c r="C3163" s="40" t="n"/>
    </row>
    <row r="3164">
      <c r="B3164" s="2" t="n"/>
      <c r="C3164" s="40" t="n"/>
    </row>
    <row r="3165">
      <c r="B3165" s="2" t="n"/>
      <c r="C3165" s="40" t="n"/>
    </row>
    <row r="3166">
      <c r="B3166" s="2" t="n"/>
      <c r="C3166" s="40" t="n"/>
    </row>
    <row r="3167">
      <c r="B3167" s="2" t="n"/>
      <c r="C3167" s="40" t="n"/>
    </row>
    <row r="3168">
      <c r="B3168" s="2" t="n"/>
      <c r="C3168" s="40" t="n"/>
    </row>
    <row r="3169">
      <c r="B3169" s="2" t="n"/>
      <c r="C3169" s="40" t="n"/>
    </row>
    <row r="3170">
      <c r="B3170" s="2" t="n"/>
      <c r="C3170" s="40" t="n"/>
    </row>
    <row r="3171">
      <c r="B3171" s="2" t="n"/>
      <c r="C3171" s="40" t="n"/>
    </row>
    <row r="3172">
      <c r="B3172" s="2" t="n"/>
      <c r="C3172" s="40" t="n"/>
    </row>
    <row r="3173">
      <c r="B3173" s="2" t="n"/>
      <c r="C3173" s="40" t="n"/>
    </row>
    <row r="3174">
      <c r="B3174" s="2" t="n"/>
      <c r="C3174" s="40" t="n"/>
    </row>
    <row r="3175">
      <c r="B3175" s="2" t="n"/>
      <c r="C3175" s="40" t="n"/>
    </row>
    <row r="3176">
      <c r="B3176" s="2" t="n"/>
      <c r="C3176" s="40" t="n"/>
    </row>
    <row r="3177">
      <c r="B3177" s="2" t="n"/>
      <c r="C3177" s="40" t="n"/>
    </row>
    <row r="3178">
      <c r="B3178" s="2" t="n"/>
      <c r="C3178" s="40" t="n"/>
    </row>
    <row r="3179">
      <c r="B3179" s="2" t="n"/>
      <c r="C3179" s="40" t="n"/>
    </row>
    <row r="3180">
      <c r="B3180" s="2" t="n"/>
      <c r="C3180" s="40" t="n"/>
    </row>
    <row r="3181">
      <c r="B3181" s="2" t="n"/>
      <c r="C3181" s="40" t="n"/>
    </row>
    <row r="3182">
      <c r="B3182" s="2" t="n"/>
      <c r="C3182" s="40" t="n"/>
    </row>
    <row r="3183">
      <c r="B3183" s="2" t="n"/>
      <c r="C3183" s="40" t="n"/>
    </row>
    <row r="3184">
      <c r="B3184" s="2" t="n"/>
      <c r="C3184" s="40" t="n"/>
    </row>
    <row r="3185">
      <c r="B3185" s="2" t="n"/>
      <c r="C3185" s="40" t="n"/>
    </row>
    <row r="3186">
      <c r="B3186" s="2" t="n"/>
      <c r="C3186" s="40" t="n"/>
    </row>
    <row r="3187">
      <c r="B3187" s="2" t="n"/>
      <c r="C3187" s="40" t="n"/>
    </row>
    <row r="3188">
      <c r="B3188" s="2" t="n"/>
      <c r="C3188" s="40" t="n"/>
    </row>
    <row r="3189">
      <c r="B3189" s="2" t="n"/>
      <c r="C3189" s="40" t="n"/>
    </row>
    <row r="3190">
      <c r="B3190" s="2" t="n"/>
      <c r="C3190" s="40" t="n"/>
    </row>
    <row r="3191">
      <c r="B3191" s="2" t="n"/>
      <c r="C3191" s="40" t="n"/>
    </row>
    <row r="3192">
      <c r="B3192" s="2" t="n"/>
      <c r="C3192" s="40" t="n"/>
    </row>
    <row r="3193">
      <c r="B3193" s="2" t="n"/>
      <c r="C3193" s="40" t="n"/>
    </row>
    <row r="3194">
      <c r="B3194" s="2" t="n"/>
      <c r="C3194" s="40" t="n"/>
    </row>
    <row r="3195">
      <c r="B3195" s="2" t="n"/>
      <c r="C3195" s="40" t="n"/>
    </row>
    <row r="3196">
      <c r="B3196" s="2" t="n"/>
      <c r="C3196" s="40" t="n"/>
    </row>
    <row r="3197">
      <c r="B3197" s="2" t="n"/>
      <c r="C3197" s="40" t="n"/>
    </row>
    <row r="3198">
      <c r="B3198" s="2" t="n"/>
      <c r="C3198" s="40" t="n"/>
    </row>
    <row r="3199">
      <c r="B3199" s="2" t="n"/>
      <c r="C3199" s="40" t="n"/>
    </row>
    <row r="3200">
      <c r="B3200" s="2" t="n"/>
      <c r="C3200" s="40" t="n"/>
    </row>
    <row r="3201">
      <c r="B3201" s="2" t="n"/>
      <c r="C3201" s="40" t="n"/>
    </row>
    <row r="3202">
      <c r="B3202" s="2" t="n"/>
      <c r="C3202" s="40" t="n"/>
    </row>
    <row r="3203">
      <c r="B3203" s="2" t="n"/>
      <c r="C3203" s="40" t="n"/>
    </row>
    <row r="3204">
      <c r="B3204" s="2" t="n"/>
      <c r="C3204" s="40" t="n"/>
    </row>
    <row r="3205">
      <c r="B3205" s="2" t="n"/>
      <c r="C3205" s="40" t="n"/>
    </row>
    <row r="3206">
      <c r="B3206" s="2" t="n"/>
      <c r="C3206" s="40" t="n"/>
    </row>
    <row r="3207">
      <c r="B3207" s="2" t="n"/>
      <c r="C3207" s="40" t="n"/>
    </row>
    <row r="3208">
      <c r="B3208" s="2" t="n"/>
      <c r="C3208" s="40" t="n"/>
    </row>
    <row r="3209">
      <c r="B3209" s="2" t="n"/>
      <c r="C3209" s="40" t="n"/>
    </row>
    <row r="3210">
      <c r="B3210" s="2" t="n"/>
      <c r="C3210" s="40" t="n"/>
    </row>
    <row r="3211">
      <c r="B3211" s="2" t="n"/>
      <c r="C3211" s="40" t="n"/>
    </row>
    <row r="3212">
      <c r="B3212" s="2" t="n"/>
      <c r="C3212" s="40" t="n"/>
    </row>
    <row r="3213">
      <c r="B3213" s="2" t="n"/>
      <c r="C3213" s="40" t="n"/>
    </row>
    <row r="3214">
      <c r="B3214" s="2" t="n"/>
      <c r="C3214" s="40" t="n"/>
    </row>
    <row r="3215">
      <c r="B3215" s="2" t="n"/>
      <c r="C3215" s="40" t="n"/>
    </row>
    <row r="3216">
      <c r="B3216" s="2" t="n"/>
      <c r="C3216" s="40" t="n"/>
    </row>
    <row r="3217">
      <c r="B3217" s="2" t="n"/>
      <c r="C3217" s="40" t="n"/>
    </row>
    <row r="3218">
      <c r="B3218" s="2" t="n"/>
      <c r="C3218" s="40" t="n"/>
    </row>
    <row r="3219">
      <c r="B3219" s="2" t="n"/>
      <c r="C3219" s="40" t="n"/>
    </row>
    <row r="3220">
      <c r="B3220" s="2" t="n"/>
      <c r="C3220" s="40" t="n"/>
    </row>
    <row r="3221">
      <c r="B3221" s="2" t="n"/>
      <c r="C3221" s="40" t="n"/>
    </row>
    <row r="3222">
      <c r="B3222" s="2" t="n"/>
      <c r="C3222" s="40" t="n"/>
    </row>
    <row r="3223">
      <c r="B3223" s="2" t="n"/>
      <c r="C3223" s="40" t="n"/>
    </row>
    <row r="3224">
      <c r="B3224" s="2" t="n"/>
      <c r="C3224" s="40" t="n"/>
    </row>
    <row r="3225">
      <c r="B3225" s="2" t="n"/>
      <c r="C3225" s="40" t="n"/>
    </row>
    <row r="3226">
      <c r="B3226" s="2" t="n"/>
      <c r="C3226" s="40" t="n"/>
    </row>
    <row r="3227">
      <c r="B3227" s="2" t="n"/>
      <c r="C3227" s="40" t="n"/>
    </row>
    <row r="3228">
      <c r="B3228" s="2" t="n"/>
      <c r="C3228" s="40" t="n"/>
    </row>
    <row r="3229">
      <c r="B3229" s="2" t="n"/>
      <c r="C3229" s="40" t="n"/>
    </row>
    <row r="3230">
      <c r="B3230" s="2" t="n"/>
      <c r="C3230" s="40" t="n"/>
    </row>
    <row r="3231">
      <c r="B3231" s="2" t="n"/>
      <c r="C3231" s="40" t="n"/>
    </row>
    <row r="3232">
      <c r="B3232" s="2" t="n"/>
      <c r="C3232" s="40" t="n"/>
    </row>
    <row r="3233">
      <c r="B3233" s="2" t="n"/>
      <c r="C3233" s="40" t="n"/>
    </row>
    <row r="3234">
      <c r="B3234" s="2" t="n"/>
      <c r="C3234" s="40" t="n"/>
    </row>
    <row r="3235">
      <c r="B3235" s="2" t="n"/>
      <c r="C3235" s="40" t="n"/>
    </row>
    <row r="3236">
      <c r="B3236" s="2" t="n"/>
      <c r="C3236" s="40" t="n"/>
    </row>
    <row r="3237">
      <c r="B3237" s="2" t="n"/>
      <c r="C3237" s="40" t="n"/>
    </row>
    <row r="3238">
      <c r="B3238" s="2" t="n"/>
      <c r="C3238" s="40" t="n"/>
    </row>
    <row r="3239">
      <c r="B3239" s="2" t="n"/>
      <c r="C3239" s="40" t="n"/>
    </row>
    <row r="3240">
      <c r="B3240" s="2" t="n"/>
      <c r="C3240" s="40" t="n"/>
    </row>
    <row r="3241">
      <c r="B3241" s="2" t="n"/>
      <c r="C3241" s="40" t="n"/>
    </row>
    <row r="3242">
      <c r="B3242" s="2" t="n"/>
      <c r="C3242" s="40" t="n"/>
    </row>
    <row r="3243">
      <c r="B3243" s="2" t="n"/>
      <c r="C3243" s="40" t="n"/>
    </row>
    <row r="3244">
      <c r="B3244" s="2" t="n"/>
      <c r="C3244" s="40" t="n"/>
    </row>
    <row r="3245">
      <c r="B3245" s="2" t="n"/>
      <c r="C3245" s="40" t="n"/>
    </row>
    <row r="3246">
      <c r="B3246" s="2" t="n"/>
      <c r="C3246" s="40" t="n"/>
    </row>
    <row r="3247">
      <c r="B3247" s="2" t="n"/>
      <c r="C3247" s="40" t="n"/>
    </row>
    <row r="3248">
      <c r="B3248" s="2" t="n"/>
      <c r="C3248" s="40" t="n"/>
    </row>
    <row r="3249">
      <c r="B3249" s="2" t="n"/>
      <c r="C3249" s="40" t="n"/>
    </row>
    <row r="3250">
      <c r="B3250" s="2" t="n"/>
      <c r="C3250" s="40" t="n"/>
    </row>
    <row r="3251">
      <c r="B3251" s="2" t="n"/>
      <c r="C3251" s="40" t="n"/>
    </row>
    <row r="3252">
      <c r="B3252" s="2" t="n"/>
      <c r="C3252" s="40" t="n"/>
    </row>
    <row r="3253">
      <c r="B3253" s="2" t="n"/>
      <c r="C3253" s="40" t="n"/>
    </row>
    <row r="3254">
      <c r="B3254" s="2" t="n"/>
      <c r="C3254" s="40" t="n"/>
    </row>
    <row r="3255">
      <c r="B3255" s="2" t="n"/>
      <c r="C3255" s="40" t="n"/>
    </row>
    <row r="3256">
      <c r="B3256" s="2" t="n"/>
      <c r="C3256" s="40" t="n"/>
    </row>
    <row r="3257">
      <c r="B3257" s="2" t="n"/>
      <c r="C3257" s="40" t="n"/>
    </row>
    <row r="3258">
      <c r="B3258" s="2" t="n"/>
      <c r="C3258" s="40" t="n"/>
    </row>
    <row r="3259">
      <c r="B3259" s="2" t="n"/>
      <c r="C3259" s="40" t="n"/>
    </row>
    <row r="3260">
      <c r="B3260" s="2" t="n"/>
      <c r="C3260" s="40" t="n"/>
    </row>
    <row r="3261">
      <c r="B3261" s="2" t="n"/>
      <c r="C3261" s="40" t="n"/>
    </row>
    <row r="3262">
      <c r="B3262" s="2" t="n"/>
      <c r="C3262" s="40" t="n"/>
    </row>
    <row r="3263">
      <c r="B3263" s="2" t="n"/>
      <c r="C3263" s="40" t="n"/>
    </row>
    <row r="3264">
      <c r="B3264" s="2" t="n"/>
      <c r="C3264" s="40" t="n"/>
    </row>
    <row r="3265">
      <c r="B3265" s="2" t="n"/>
      <c r="C3265" s="40" t="n"/>
    </row>
    <row r="3266">
      <c r="B3266" s="2" t="n"/>
      <c r="C3266" s="40" t="n"/>
    </row>
    <row r="3267">
      <c r="B3267" s="2" t="n"/>
      <c r="C3267" s="40" t="n"/>
    </row>
    <row r="3268">
      <c r="B3268" s="2" t="n"/>
      <c r="C3268" s="40" t="n"/>
    </row>
    <row r="3269">
      <c r="B3269" s="2" t="n"/>
      <c r="C3269" s="40" t="n"/>
    </row>
    <row r="3270">
      <c r="B3270" s="2" t="n"/>
      <c r="C3270" s="40" t="n"/>
    </row>
    <row r="3271">
      <c r="B3271" s="2" t="n"/>
      <c r="C3271" s="40" t="n"/>
    </row>
    <row r="3272">
      <c r="B3272" s="2" t="n"/>
      <c r="C3272" s="40" t="n"/>
    </row>
    <row r="3273">
      <c r="B3273" s="2" t="n"/>
      <c r="C3273" s="40" t="n"/>
    </row>
    <row r="3274">
      <c r="B3274" s="2" t="n"/>
      <c r="C3274" s="40" t="n"/>
    </row>
    <row r="3275">
      <c r="B3275" s="2" t="n"/>
      <c r="C3275" s="40" t="n"/>
    </row>
    <row r="3276">
      <c r="B3276" s="2" t="n"/>
      <c r="C3276" s="40" t="n"/>
    </row>
    <row r="3277">
      <c r="B3277" s="2" t="n"/>
      <c r="C3277" s="40" t="n"/>
    </row>
    <row r="3278">
      <c r="B3278" s="2" t="n"/>
      <c r="C3278" s="40" t="n"/>
    </row>
    <row r="3279">
      <c r="B3279" s="2" t="n"/>
      <c r="C3279" s="40" t="n"/>
    </row>
    <row r="3280">
      <c r="B3280" s="2" t="n"/>
      <c r="C3280" s="40" t="n"/>
    </row>
    <row r="3281">
      <c r="B3281" s="2" t="n"/>
      <c r="C3281" s="40" t="n"/>
    </row>
    <row r="3282">
      <c r="B3282" s="2" t="n"/>
      <c r="C3282" s="40" t="n"/>
    </row>
    <row r="3283">
      <c r="B3283" s="2" t="n"/>
      <c r="C3283" s="40" t="n"/>
    </row>
    <row r="3284">
      <c r="B3284" s="2" t="n"/>
      <c r="C3284" s="40" t="n"/>
    </row>
    <row r="3285">
      <c r="B3285" s="2" t="n"/>
      <c r="C3285" s="40" t="n"/>
    </row>
    <row r="3286">
      <c r="B3286" s="2" t="n"/>
      <c r="C3286" s="40" t="n"/>
    </row>
    <row r="3287">
      <c r="B3287" s="2" t="n"/>
      <c r="C3287" s="40" t="n"/>
    </row>
    <row r="3288">
      <c r="B3288" s="2" t="n"/>
      <c r="C3288" s="40" t="n"/>
    </row>
    <row r="3289">
      <c r="B3289" s="2" t="n"/>
      <c r="C3289" s="40" t="n"/>
    </row>
    <row r="3290">
      <c r="B3290" s="2" t="n"/>
      <c r="C3290" s="40" t="n"/>
    </row>
    <row r="3291">
      <c r="B3291" s="2" t="n"/>
      <c r="C3291" s="40" t="n"/>
    </row>
    <row r="3292">
      <c r="B3292" s="2" t="n"/>
      <c r="C3292" s="40" t="n"/>
    </row>
    <row r="3293">
      <c r="B3293" s="2" t="n"/>
      <c r="C3293" s="40" t="n"/>
    </row>
    <row r="3294">
      <c r="B3294" s="2" t="n"/>
      <c r="C3294" s="40" t="n"/>
    </row>
    <row r="3295">
      <c r="B3295" s="2" t="n"/>
      <c r="C3295" s="40" t="n"/>
    </row>
    <row r="3296">
      <c r="B3296" s="2" t="n"/>
      <c r="C3296" s="40" t="n"/>
    </row>
    <row r="3297">
      <c r="B3297" s="2" t="n"/>
      <c r="C3297" s="40" t="n"/>
    </row>
    <row r="3298">
      <c r="B3298" s="2" t="n"/>
      <c r="C3298" s="40" t="n"/>
    </row>
    <row r="3299">
      <c r="B3299" s="2" t="n"/>
      <c r="C3299" s="40" t="n"/>
    </row>
    <row r="3300">
      <c r="B3300" s="2" t="n"/>
      <c r="C3300" s="40" t="n"/>
    </row>
    <row r="3301">
      <c r="B3301" s="2" t="n"/>
      <c r="C3301" s="40" t="n"/>
    </row>
    <row r="3302">
      <c r="B3302" s="2" t="n"/>
      <c r="C3302" s="40" t="n"/>
    </row>
    <row r="3303">
      <c r="B3303" s="2" t="n"/>
      <c r="C3303" s="40" t="n"/>
    </row>
    <row r="3304">
      <c r="B3304" s="2" t="n"/>
      <c r="C3304" s="40" t="n"/>
    </row>
    <row r="3305">
      <c r="B3305" s="2" t="n"/>
      <c r="C3305" s="40" t="n"/>
    </row>
    <row r="3306">
      <c r="B3306" s="2" t="n"/>
      <c r="C3306" s="40" t="n"/>
    </row>
    <row r="3307">
      <c r="B3307" s="2" t="n"/>
      <c r="C3307" s="40" t="n"/>
    </row>
    <row r="3308">
      <c r="B3308" s="2" t="n"/>
      <c r="C3308" s="40" t="n"/>
    </row>
    <row r="3309">
      <c r="B3309" s="2" t="n"/>
      <c r="C3309" s="40" t="n"/>
    </row>
    <row r="3310">
      <c r="B3310" s="2" t="n"/>
      <c r="C3310" s="40" t="n"/>
    </row>
    <row r="3311">
      <c r="B3311" s="2" t="n"/>
      <c r="C3311" s="40" t="n"/>
    </row>
    <row r="3312">
      <c r="B3312" s="2" t="n"/>
      <c r="C3312" s="40" t="n"/>
    </row>
    <row r="3313">
      <c r="B3313" s="2" t="n"/>
      <c r="C3313" s="40" t="n"/>
    </row>
    <row r="3314">
      <c r="B3314" s="2" t="n"/>
      <c r="C3314" s="40" t="n"/>
    </row>
    <row r="3315">
      <c r="B3315" s="2" t="n"/>
      <c r="C3315" s="40" t="n"/>
    </row>
    <row r="3316">
      <c r="B3316" s="2" t="n"/>
      <c r="C3316" s="40" t="n"/>
    </row>
    <row r="3317">
      <c r="B3317" s="2" t="n"/>
      <c r="C3317" s="40" t="n"/>
    </row>
    <row r="3318">
      <c r="B3318" s="2" t="n"/>
      <c r="C3318" s="40" t="n"/>
    </row>
    <row r="3319">
      <c r="B3319" s="2" t="n"/>
      <c r="C3319" s="40" t="n"/>
    </row>
    <row r="3320">
      <c r="B3320" s="2" t="n"/>
      <c r="C3320" s="40" t="n"/>
    </row>
    <row r="3321">
      <c r="B3321" s="2" t="n"/>
      <c r="C3321" s="40" t="n"/>
    </row>
    <row r="3322">
      <c r="B3322" s="2" t="n"/>
      <c r="C3322" s="40" t="n"/>
    </row>
    <row r="3323">
      <c r="B3323" s="2" t="n"/>
      <c r="C3323" s="40" t="n"/>
    </row>
    <row r="3324">
      <c r="B3324" s="2" t="n"/>
      <c r="C3324" s="40" t="n"/>
    </row>
    <row r="3325">
      <c r="B3325" s="2" t="n"/>
      <c r="C3325" s="40" t="n"/>
    </row>
    <row r="3326">
      <c r="B3326" s="2" t="n"/>
      <c r="C3326" s="40" t="n"/>
    </row>
    <row r="3327">
      <c r="B3327" s="2" t="n"/>
      <c r="C3327" s="40" t="n"/>
    </row>
    <row r="3328">
      <c r="B3328" s="2" t="n"/>
      <c r="C3328" s="40" t="n"/>
    </row>
    <row r="3329">
      <c r="B3329" s="2" t="n"/>
      <c r="C3329" s="40" t="n"/>
    </row>
    <row r="3330">
      <c r="B3330" s="2" t="n"/>
      <c r="C3330" s="40" t="n"/>
    </row>
    <row r="3331">
      <c r="B3331" s="2" t="n"/>
      <c r="C3331" s="40" t="n"/>
    </row>
    <row r="3332">
      <c r="B3332" s="2" t="n"/>
      <c r="C3332" s="40" t="n"/>
    </row>
    <row r="3333">
      <c r="B3333" s="2" t="n"/>
      <c r="C3333" s="40" t="n"/>
    </row>
    <row r="3334">
      <c r="B3334" s="2" t="n"/>
      <c r="C3334" s="40" t="n"/>
    </row>
    <row r="3335">
      <c r="B3335" s="2" t="n"/>
      <c r="C3335" s="40" t="n"/>
    </row>
    <row r="3336">
      <c r="B3336" s="2" t="n"/>
      <c r="C3336" s="40" t="n"/>
    </row>
    <row r="3337">
      <c r="B3337" s="2" t="n"/>
      <c r="C3337" s="40" t="n"/>
    </row>
    <row r="3338">
      <c r="B3338" s="2" t="n"/>
      <c r="C3338" s="40" t="n"/>
    </row>
    <row r="3339">
      <c r="B3339" s="2" t="n"/>
      <c r="C3339" s="40" t="n"/>
    </row>
    <row r="3340">
      <c r="B3340" s="2" t="n"/>
      <c r="C3340" s="40" t="n"/>
    </row>
    <row r="3341">
      <c r="B3341" s="2" t="n"/>
      <c r="C3341" s="40" t="n"/>
    </row>
    <row r="3342">
      <c r="B3342" s="2" t="n"/>
      <c r="C3342" s="40" t="n"/>
    </row>
    <row r="3343">
      <c r="B3343" s="2" t="n"/>
      <c r="C3343" s="40" t="n"/>
    </row>
    <row r="3344">
      <c r="B3344" s="2" t="n"/>
      <c r="C3344" s="40" t="n"/>
    </row>
    <row r="3345">
      <c r="B3345" s="2" t="n"/>
      <c r="C3345" s="40" t="n"/>
    </row>
    <row r="3346">
      <c r="B3346" s="2" t="n"/>
      <c r="C3346" s="40" t="n"/>
    </row>
    <row r="3347">
      <c r="B3347" s="2" t="n"/>
      <c r="C3347" s="40" t="n"/>
    </row>
    <row r="3348">
      <c r="B3348" s="2" t="n"/>
      <c r="C3348" s="40" t="n"/>
    </row>
    <row r="3349">
      <c r="B3349" s="2" t="n"/>
      <c r="C3349" s="40" t="n"/>
    </row>
    <row r="3350">
      <c r="B3350" s="2" t="n"/>
      <c r="C3350" s="40" t="n"/>
    </row>
    <row r="3351">
      <c r="B3351" s="2" t="n"/>
      <c r="C3351" s="40" t="n"/>
    </row>
    <row r="3352">
      <c r="B3352" s="2" t="n"/>
      <c r="C3352" s="40" t="n"/>
    </row>
    <row r="3353">
      <c r="B3353" s="2" t="n"/>
      <c r="C3353" s="40" t="n"/>
    </row>
    <row r="3354">
      <c r="B3354" s="2" t="n"/>
      <c r="C3354" s="40" t="n"/>
    </row>
    <row r="3355">
      <c r="B3355" s="2" t="n"/>
      <c r="C3355" s="40" t="n"/>
    </row>
    <row r="3356">
      <c r="B3356" s="2" t="n"/>
      <c r="C3356" s="40" t="n"/>
    </row>
    <row r="3357">
      <c r="B3357" s="2" t="n"/>
      <c r="C3357" s="40" t="n"/>
    </row>
    <row r="3358">
      <c r="B3358" s="2" t="n"/>
      <c r="C3358" s="40" t="n"/>
    </row>
    <row r="3359">
      <c r="B3359" s="2" t="n"/>
      <c r="C3359" s="40" t="n"/>
    </row>
    <row r="3360">
      <c r="B3360" s="2" t="n"/>
      <c r="C3360" s="40" t="n"/>
    </row>
    <row r="3361">
      <c r="B3361" s="2" t="n"/>
      <c r="C3361" s="40" t="n"/>
    </row>
    <row r="3362">
      <c r="B3362" s="2" t="n"/>
      <c r="C3362" s="40" t="n"/>
    </row>
    <row r="3363">
      <c r="B3363" s="2" t="n"/>
      <c r="C3363" s="40" t="n"/>
    </row>
    <row r="3364">
      <c r="B3364" s="2" t="n"/>
      <c r="C3364" s="40" t="n"/>
    </row>
    <row r="3365">
      <c r="B3365" s="2" t="n"/>
      <c r="C3365" s="40" t="n"/>
    </row>
    <row r="3366">
      <c r="B3366" s="2" t="n"/>
      <c r="C3366" s="40" t="n"/>
    </row>
    <row r="3367">
      <c r="B3367" s="2" t="n"/>
      <c r="C3367" s="40" t="n"/>
    </row>
    <row r="3368">
      <c r="B3368" s="2" t="n"/>
      <c r="C3368" s="40" t="n"/>
    </row>
    <row r="3369">
      <c r="B3369" s="2" t="n"/>
      <c r="C3369" s="40" t="n"/>
    </row>
    <row r="3370">
      <c r="B3370" s="2" t="n"/>
      <c r="C3370" s="40" t="n"/>
    </row>
    <row r="3371">
      <c r="B3371" s="2" t="n"/>
      <c r="C3371" s="40" t="n"/>
    </row>
    <row r="3372">
      <c r="B3372" s="2" t="n"/>
      <c r="C3372" s="40" t="n"/>
    </row>
    <row r="3373">
      <c r="B3373" s="2" t="n"/>
      <c r="C3373" s="40" t="n"/>
    </row>
    <row r="3374">
      <c r="B3374" s="2" t="n"/>
      <c r="C3374" s="40" t="n"/>
    </row>
    <row r="3375">
      <c r="B3375" s="2" t="n"/>
      <c r="C3375" s="40" t="n"/>
    </row>
    <row r="3376">
      <c r="B3376" s="2" t="n"/>
      <c r="C3376" s="40" t="n"/>
    </row>
    <row r="3377">
      <c r="B3377" s="2" t="n"/>
      <c r="C3377" s="40" t="n"/>
    </row>
    <row r="3378">
      <c r="B3378" s="2" t="n"/>
      <c r="C3378" s="40" t="n"/>
    </row>
    <row r="3379">
      <c r="B3379" s="2" t="n"/>
      <c r="C3379" s="40" t="n"/>
    </row>
    <row r="3380">
      <c r="B3380" s="2" t="n"/>
      <c r="C3380" s="40" t="n"/>
    </row>
    <row r="3381">
      <c r="B3381" s="2" t="n"/>
      <c r="C3381" s="40" t="n"/>
    </row>
    <row r="3382">
      <c r="B3382" s="2" t="n"/>
      <c r="C3382" s="40" t="n"/>
    </row>
    <row r="3383">
      <c r="B3383" s="2" t="n"/>
      <c r="C3383" s="40" t="n"/>
    </row>
    <row r="3384">
      <c r="B3384" s="2" t="n"/>
      <c r="C3384" s="40" t="n"/>
    </row>
    <row r="3385">
      <c r="B3385" s="2" t="n"/>
      <c r="C3385" s="40" t="n"/>
    </row>
    <row r="3386">
      <c r="B3386" s="2" t="n"/>
      <c r="C3386" s="40" t="n"/>
    </row>
    <row r="3387">
      <c r="B3387" s="2" t="n"/>
      <c r="C3387" s="40" t="n"/>
    </row>
    <row r="3388">
      <c r="B3388" s="2" t="n"/>
      <c r="C3388" s="40" t="n"/>
    </row>
    <row r="3389">
      <c r="B3389" s="2" t="n"/>
      <c r="C3389" s="40" t="n"/>
    </row>
    <row r="3390">
      <c r="B3390" s="2" t="n"/>
      <c r="C3390" s="40" t="n"/>
    </row>
    <row r="3391">
      <c r="B3391" s="2" t="n"/>
      <c r="C3391" s="40" t="n"/>
    </row>
    <row r="3392">
      <c r="B3392" s="2" t="n"/>
      <c r="C3392" s="40" t="n"/>
    </row>
    <row r="3393">
      <c r="B3393" s="2" t="n"/>
      <c r="C3393" s="40" t="n"/>
    </row>
    <row r="3394">
      <c r="B3394" s="2" t="n"/>
      <c r="C3394" s="40" t="n"/>
    </row>
    <row r="3395">
      <c r="B3395" s="2" t="n"/>
      <c r="C3395" s="40" t="n"/>
    </row>
    <row r="3396">
      <c r="B3396" s="2" t="n"/>
      <c r="C3396" s="40" t="n"/>
    </row>
    <row r="3397">
      <c r="B3397" s="2" t="n"/>
      <c r="C3397" s="40" t="n"/>
    </row>
    <row r="3398">
      <c r="B3398" s="2" t="n"/>
      <c r="C3398" s="40" t="n"/>
    </row>
    <row r="3399">
      <c r="B3399" s="2" t="n"/>
      <c r="C3399" s="40" t="n"/>
    </row>
    <row r="3400">
      <c r="B3400" s="2" t="n"/>
      <c r="C3400" s="40" t="n"/>
    </row>
    <row r="3401">
      <c r="B3401" s="2" t="n"/>
      <c r="C3401" s="40" t="n"/>
    </row>
    <row r="3402">
      <c r="B3402" s="2" t="n"/>
      <c r="C3402" s="40" t="n"/>
    </row>
    <row r="3403">
      <c r="B3403" s="2" t="n"/>
      <c r="C3403" s="40" t="n"/>
    </row>
    <row r="3404">
      <c r="B3404" s="2" t="n"/>
      <c r="C3404" s="40" t="n"/>
    </row>
    <row r="3405">
      <c r="B3405" s="2" t="n"/>
      <c r="C3405" s="40" t="n"/>
    </row>
    <row r="3406">
      <c r="B3406" s="2" t="n"/>
      <c r="C3406" s="40" t="n"/>
    </row>
    <row r="3407">
      <c r="B3407" s="2" t="n"/>
      <c r="C3407" s="40" t="n"/>
    </row>
    <row r="3408">
      <c r="B3408" s="2" t="n"/>
      <c r="C3408" s="40" t="n"/>
    </row>
    <row r="3409">
      <c r="B3409" s="2" t="n"/>
      <c r="C3409" s="40" t="n"/>
    </row>
    <row r="3410">
      <c r="B3410" s="2" t="n"/>
      <c r="C3410" s="40" t="n"/>
    </row>
    <row r="3411">
      <c r="B3411" s="2" t="n"/>
      <c r="C3411" s="40" t="n"/>
    </row>
    <row r="3412">
      <c r="B3412" s="2" t="n"/>
      <c r="C3412" s="40" t="n"/>
    </row>
    <row r="3413">
      <c r="B3413" s="2" t="n"/>
      <c r="C3413" s="40" t="n"/>
    </row>
    <row r="3414">
      <c r="B3414" s="2" t="n"/>
      <c r="C3414" s="40" t="n"/>
    </row>
    <row r="3415">
      <c r="B3415" s="2" t="n"/>
      <c r="C3415" s="40" t="n"/>
    </row>
    <row r="3416">
      <c r="B3416" s="2" t="n"/>
      <c r="C3416" s="40" t="n"/>
    </row>
    <row r="3417">
      <c r="B3417" s="2" t="n"/>
      <c r="C3417" s="40" t="n"/>
    </row>
    <row r="3418">
      <c r="B3418" s="2" t="n"/>
      <c r="C3418" s="40" t="n"/>
    </row>
    <row r="3419">
      <c r="B3419" s="2" t="n"/>
      <c r="C3419" s="40" t="n"/>
    </row>
    <row r="3420">
      <c r="B3420" s="2" t="n"/>
      <c r="C3420" s="40" t="n"/>
    </row>
    <row r="3421">
      <c r="B3421" s="2" t="n"/>
      <c r="C3421" s="40" t="n"/>
    </row>
    <row r="3422">
      <c r="B3422" s="2" t="n"/>
      <c r="C3422" s="40" t="n"/>
    </row>
    <row r="3423">
      <c r="B3423" s="2" t="n"/>
      <c r="C3423" s="40" t="n"/>
    </row>
    <row r="3424">
      <c r="B3424" s="2" t="n"/>
      <c r="C3424" s="40" t="n"/>
    </row>
    <row r="3425">
      <c r="B3425" s="2" t="n"/>
      <c r="C3425" s="40" t="n"/>
    </row>
    <row r="3426">
      <c r="B3426" s="2" t="n"/>
      <c r="C3426" s="40" t="n"/>
    </row>
    <row r="3427">
      <c r="B3427" s="2" t="n"/>
      <c r="C3427" s="40" t="n"/>
    </row>
    <row r="3428">
      <c r="B3428" s="2" t="n"/>
      <c r="C3428" s="40" t="n"/>
    </row>
    <row r="3429">
      <c r="B3429" s="2" t="n"/>
      <c r="C3429" s="40" t="n"/>
    </row>
    <row r="3430">
      <c r="B3430" s="2" t="n"/>
      <c r="C3430" s="40" t="n"/>
    </row>
    <row r="3431">
      <c r="B3431" s="2" t="n"/>
      <c r="C3431" s="40" t="n"/>
    </row>
    <row r="3432">
      <c r="B3432" s="2" t="n"/>
      <c r="C3432" s="40" t="n"/>
    </row>
    <row r="3433">
      <c r="B3433" s="2" t="n"/>
      <c r="C3433" s="40" t="n"/>
    </row>
    <row r="3434">
      <c r="B3434" s="2" t="n"/>
      <c r="C3434" s="40" t="n"/>
    </row>
    <row r="3435">
      <c r="B3435" s="2" t="n"/>
      <c r="C3435" s="40" t="n"/>
    </row>
    <row r="3436">
      <c r="B3436" s="2" t="n"/>
      <c r="C3436" s="40" t="n"/>
    </row>
    <row r="3437">
      <c r="B3437" s="2" t="n"/>
      <c r="C3437" s="40" t="n"/>
    </row>
    <row r="3438">
      <c r="B3438" s="2" t="n"/>
      <c r="C3438" s="40" t="n"/>
    </row>
    <row r="3439">
      <c r="B3439" s="2" t="n"/>
      <c r="C3439" s="40" t="n"/>
    </row>
    <row r="3440">
      <c r="B3440" s="2" t="n"/>
      <c r="C3440" s="40" t="n"/>
    </row>
    <row r="3441">
      <c r="B3441" s="2" t="n"/>
      <c r="C3441" s="40" t="n"/>
    </row>
    <row r="3442">
      <c r="B3442" s="2" t="n"/>
      <c r="C3442" s="40" t="n"/>
    </row>
    <row r="3443">
      <c r="B3443" s="2" t="n"/>
      <c r="C3443" s="40" t="n"/>
    </row>
    <row r="3444">
      <c r="B3444" s="2" t="n"/>
      <c r="C3444" s="40" t="n"/>
    </row>
    <row r="3445">
      <c r="B3445" s="2" t="n"/>
      <c r="C3445" s="40" t="n"/>
    </row>
    <row r="3446">
      <c r="B3446" s="2" t="n"/>
      <c r="C3446" s="40" t="n"/>
    </row>
    <row r="3447">
      <c r="B3447" s="2" t="n"/>
      <c r="C3447" s="40" t="n"/>
    </row>
    <row r="3448">
      <c r="B3448" s="2" t="n"/>
      <c r="C3448" s="40" t="n"/>
    </row>
    <row r="3449">
      <c r="B3449" s="2" t="n"/>
      <c r="C3449" s="40" t="n"/>
    </row>
    <row r="3450">
      <c r="B3450" s="2" t="n"/>
      <c r="C3450" s="40" t="n"/>
    </row>
    <row r="3451">
      <c r="B3451" s="2" t="n"/>
      <c r="C3451" s="40" t="n"/>
    </row>
    <row r="3452">
      <c r="B3452" s="2" t="n"/>
      <c r="C3452" s="40" t="n"/>
    </row>
    <row r="3453">
      <c r="B3453" s="2" t="n"/>
      <c r="C3453" s="40" t="n"/>
    </row>
    <row r="3454">
      <c r="B3454" s="2" t="n"/>
      <c r="C3454" s="40" t="n"/>
    </row>
    <row r="3455">
      <c r="B3455" s="2" t="n"/>
      <c r="C3455" s="40" t="n"/>
    </row>
    <row r="3456">
      <c r="B3456" s="2" t="n"/>
      <c r="C3456" s="40" t="n"/>
    </row>
    <row r="3457">
      <c r="B3457" s="2" t="n"/>
      <c r="C3457" s="40" t="n"/>
    </row>
    <row r="3458">
      <c r="B3458" s="2" t="n"/>
      <c r="C3458" s="40" t="n"/>
    </row>
    <row r="3459">
      <c r="B3459" s="2" t="n"/>
      <c r="C3459" s="40" t="n"/>
    </row>
    <row r="3460">
      <c r="B3460" s="2" t="n"/>
      <c r="C3460" s="40" t="n"/>
    </row>
    <row r="3461">
      <c r="B3461" s="2" t="n"/>
      <c r="C3461" s="40" t="n"/>
    </row>
    <row r="3462">
      <c r="B3462" s="2" t="n"/>
      <c r="C3462" s="40" t="n"/>
    </row>
    <row r="3463">
      <c r="B3463" s="2" t="n"/>
      <c r="C3463" s="40" t="n"/>
    </row>
    <row r="3464">
      <c r="B3464" s="2" t="n"/>
      <c r="C3464" s="40" t="n"/>
    </row>
    <row r="3465">
      <c r="B3465" s="2" t="n"/>
      <c r="C3465" s="40" t="n"/>
    </row>
    <row r="3466">
      <c r="B3466" s="2" t="n"/>
      <c r="C3466" s="40" t="n"/>
    </row>
    <row r="3467">
      <c r="B3467" s="2" t="n"/>
      <c r="C3467" s="40" t="n"/>
    </row>
    <row r="3468">
      <c r="B3468" s="2" t="n"/>
      <c r="C3468" s="40" t="n"/>
    </row>
    <row r="3469">
      <c r="B3469" s="2" t="n"/>
      <c r="C3469" s="40" t="n"/>
    </row>
    <row r="3470">
      <c r="B3470" s="2" t="n"/>
      <c r="C3470" s="40" t="n"/>
    </row>
    <row r="3471">
      <c r="B3471" s="2" t="n"/>
      <c r="C3471" s="40" t="n"/>
    </row>
    <row r="3472">
      <c r="B3472" s="2" t="n"/>
      <c r="C3472" s="40" t="n"/>
    </row>
    <row r="3473">
      <c r="B3473" s="2" t="n"/>
      <c r="C3473" s="40" t="n"/>
    </row>
    <row r="3474">
      <c r="B3474" s="2" t="n"/>
      <c r="C3474" s="40" t="n"/>
    </row>
    <row r="3475">
      <c r="B3475" s="2" t="n"/>
      <c r="C3475" s="40" t="n"/>
    </row>
    <row r="3476">
      <c r="B3476" s="2" t="n"/>
      <c r="C3476" s="40" t="n"/>
    </row>
    <row r="3477">
      <c r="B3477" s="2" t="n"/>
      <c r="C3477" s="40" t="n"/>
    </row>
    <row r="3478">
      <c r="B3478" s="2" t="n"/>
      <c r="C3478" s="40" t="n"/>
    </row>
    <row r="3479">
      <c r="B3479" s="2" t="n"/>
      <c r="C3479" s="40" t="n"/>
    </row>
    <row r="3480">
      <c r="B3480" s="2" t="n"/>
      <c r="C3480" s="40" t="n"/>
    </row>
    <row r="3481">
      <c r="B3481" s="2" t="n"/>
      <c r="C3481" s="40" t="n"/>
    </row>
    <row r="3482">
      <c r="B3482" s="2" t="n"/>
      <c r="C3482" s="40" t="n"/>
    </row>
    <row r="3483">
      <c r="B3483" s="2" t="n"/>
      <c r="C3483" s="40" t="n"/>
    </row>
    <row r="3484">
      <c r="B3484" s="2" t="n"/>
      <c r="C3484" s="40" t="n"/>
    </row>
    <row r="3485">
      <c r="B3485" s="2" t="n"/>
      <c r="C3485" s="40" t="n"/>
    </row>
    <row r="3486">
      <c r="B3486" s="2" t="n"/>
      <c r="C3486" s="40" t="n"/>
    </row>
    <row r="3487">
      <c r="B3487" s="2" t="n"/>
      <c r="C3487" s="40" t="n"/>
    </row>
    <row r="3488">
      <c r="B3488" s="2" t="n"/>
      <c r="C3488" s="40" t="n"/>
    </row>
    <row r="3489">
      <c r="B3489" s="2" t="n"/>
      <c r="C3489" s="40" t="n"/>
    </row>
    <row r="3490">
      <c r="B3490" s="2" t="n"/>
      <c r="C3490" s="40" t="n"/>
    </row>
    <row r="3491">
      <c r="B3491" s="2" t="n"/>
      <c r="C3491" s="40" t="n"/>
    </row>
    <row r="3492">
      <c r="B3492" s="2" t="n"/>
      <c r="C3492" s="40" t="n"/>
    </row>
    <row r="3493">
      <c r="B3493" s="2" t="n"/>
      <c r="C3493" s="40" t="n"/>
    </row>
    <row r="3494">
      <c r="B3494" s="2" t="n"/>
      <c r="C3494" s="40" t="n"/>
    </row>
    <row r="3495">
      <c r="B3495" s="2" t="n"/>
      <c r="C3495" s="40" t="n"/>
    </row>
    <row r="3496">
      <c r="B3496" s="2" t="n"/>
      <c r="C3496" s="40" t="n"/>
    </row>
    <row r="3497">
      <c r="B3497" s="2" t="n"/>
      <c r="C3497" s="40" t="n"/>
    </row>
    <row r="3498">
      <c r="B3498" s="2" t="n"/>
      <c r="C3498" s="40" t="n"/>
    </row>
    <row r="3499">
      <c r="B3499" s="2" t="n"/>
      <c r="C3499" s="40" t="n"/>
    </row>
    <row r="3500">
      <c r="B3500" s="2" t="n"/>
      <c r="C3500" s="40" t="n"/>
    </row>
    <row r="3501">
      <c r="B3501" s="2" t="n"/>
      <c r="C3501" s="40" t="n"/>
    </row>
    <row r="3502">
      <c r="B3502" s="2" t="n"/>
      <c r="C3502" s="40" t="n"/>
    </row>
    <row r="3503">
      <c r="B3503" s="2" t="n"/>
      <c r="C3503" s="40" t="n"/>
    </row>
    <row r="3504">
      <c r="B3504" s="2" t="n"/>
      <c r="C3504" s="40" t="n"/>
    </row>
    <row r="3505">
      <c r="B3505" s="2" t="n"/>
      <c r="C3505" s="40" t="n"/>
    </row>
    <row r="3506">
      <c r="B3506" s="2" t="n"/>
      <c r="C3506" s="40" t="n"/>
    </row>
    <row r="3507">
      <c r="B3507" s="2" t="n"/>
      <c r="C3507" s="40" t="n"/>
    </row>
    <row r="3508">
      <c r="B3508" s="2" t="n"/>
      <c r="C3508" s="40" t="n"/>
    </row>
    <row r="3509">
      <c r="B3509" s="2" t="n"/>
      <c r="C3509" s="40" t="n"/>
    </row>
    <row r="3510">
      <c r="B3510" s="2" t="n"/>
      <c r="C3510" s="40" t="n"/>
    </row>
    <row r="3511">
      <c r="B3511" s="2" t="n"/>
      <c r="C3511" s="40" t="n"/>
    </row>
    <row r="3512">
      <c r="B3512" s="2" t="n"/>
      <c r="C3512" s="40" t="n"/>
    </row>
    <row r="3513">
      <c r="B3513" s="2" t="n"/>
      <c r="C3513" s="40" t="n"/>
    </row>
    <row r="3514">
      <c r="B3514" s="2" t="n"/>
      <c r="C3514" s="40" t="n"/>
    </row>
    <row r="3515">
      <c r="B3515" s="2" t="n"/>
      <c r="C3515" s="40" t="n"/>
    </row>
    <row r="3516">
      <c r="B3516" s="2" t="n"/>
      <c r="C3516" s="40" t="n"/>
    </row>
    <row r="3517">
      <c r="B3517" s="2" t="n"/>
      <c r="C3517" s="40" t="n"/>
    </row>
    <row r="3518">
      <c r="B3518" s="2" t="n"/>
      <c r="C3518" s="40" t="n"/>
    </row>
    <row r="3519">
      <c r="B3519" s="2" t="n"/>
      <c r="C3519" s="40" t="n"/>
    </row>
    <row r="3520">
      <c r="B3520" s="2" t="n"/>
      <c r="C3520" s="40" t="n"/>
    </row>
    <row r="3521">
      <c r="B3521" s="2" t="n"/>
      <c r="C3521" s="40" t="n"/>
    </row>
    <row r="3522">
      <c r="B3522" s="2" t="n"/>
      <c r="C3522" s="40" t="n"/>
    </row>
    <row r="3523">
      <c r="B3523" s="2" t="n"/>
      <c r="C3523" s="40" t="n"/>
    </row>
    <row r="3524">
      <c r="B3524" s="2" t="n"/>
      <c r="C3524" s="40" t="n"/>
    </row>
    <row r="3525">
      <c r="B3525" s="2" t="n"/>
      <c r="C3525" s="40" t="n"/>
    </row>
    <row r="3526">
      <c r="B3526" s="2" t="n"/>
      <c r="C3526" s="40" t="n"/>
    </row>
    <row r="3527">
      <c r="B3527" s="2" t="n"/>
      <c r="C3527" s="40" t="n"/>
    </row>
    <row r="3528">
      <c r="B3528" s="2" t="n"/>
      <c r="C3528" s="40" t="n"/>
    </row>
    <row r="3529">
      <c r="B3529" s="2" t="n"/>
      <c r="C3529" s="40" t="n"/>
    </row>
    <row r="3530">
      <c r="B3530" s="2" t="n"/>
      <c r="C3530" s="40" t="n"/>
    </row>
    <row r="3531">
      <c r="B3531" s="2" t="n"/>
      <c r="C3531" s="40" t="n"/>
    </row>
    <row r="3532">
      <c r="B3532" s="2" t="n"/>
      <c r="C3532" s="40" t="n"/>
    </row>
    <row r="3533">
      <c r="B3533" s="2" t="n"/>
      <c r="C3533" s="40" t="n"/>
    </row>
    <row r="3534">
      <c r="B3534" s="2" t="n"/>
      <c r="C3534" s="40" t="n"/>
    </row>
    <row r="3535">
      <c r="B3535" s="2" t="n"/>
      <c r="C3535" s="40" t="n"/>
    </row>
    <row r="3536">
      <c r="B3536" s="2" t="n"/>
      <c r="C3536" s="40" t="n"/>
    </row>
    <row r="3537">
      <c r="B3537" s="2" t="n"/>
      <c r="C3537" s="40" t="n"/>
    </row>
    <row r="3538">
      <c r="B3538" s="2" t="n"/>
      <c r="C3538" s="40" t="n"/>
    </row>
    <row r="3539">
      <c r="B3539" s="2" t="n"/>
      <c r="C3539" s="40" t="n"/>
    </row>
    <row r="3540">
      <c r="B3540" s="2" t="n"/>
      <c r="C3540" s="40" t="n"/>
    </row>
    <row r="3541">
      <c r="B3541" s="2" t="n"/>
      <c r="C3541" s="40" t="n"/>
    </row>
    <row r="3542">
      <c r="B3542" s="2" t="n"/>
      <c r="C3542" s="40" t="n"/>
    </row>
    <row r="3543">
      <c r="B3543" s="2" t="n"/>
      <c r="C3543" s="40" t="n"/>
    </row>
    <row r="3544">
      <c r="B3544" s="2" t="n"/>
      <c r="C3544" s="40" t="n"/>
    </row>
    <row r="3545">
      <c r="B3545" s="2" t="n"/>
      <c r="C3545" s="40" t="n"/>
    </row>
    <row r="3546">
      <c r="B3546" s="2" t="n"/>
      <c r="C3546" s="40" t="n"/>
    </row>
    <row r="3547">
      <c r="B3547" s="2" t="n"/>
      <c r="C3547" s="40" t="n"/>
    </row>
    <row r="3548">
      <c r="B3548" s="2" t="n"/>
      <c r="C3548" s="40" t="n"/>
    </row>
    <row r="3549">
      <c r="B3549" s="2" t="n"/>
      <c r="C3549" s="40" t="n"/>
    </row>
    <row r="3550">
      <c r="B3550" s="2" t="n"/>
      <c r="C3550" s="40" t="n"/>
    </row>
    <row r="3551">
      <c r="B3551" s="2" t="n"/>
      <c r="C3551" s="40" t="n"/>
    </row>
    <row r="3552">
      <c r="B3552" s="2" t="n"/>
      <c r="C3552" s="40" t="n"/>
    </row>
    <row r="3553">
      <c r="B3553" s="2" t="n"/>
      <c r="C3553" s="40" t="n"/>
    </row>
    <row r="3554">
      <c r="B3554" s="2" t="n"/>
      <c r="C3554" s="40" t="n"/>
    </row>
    <row r="3555">
      <c r="B3555" s="2" t="n"/>
      <c r="C3555" s="40" t="n"/>
    </row>
    <row r="3556">
      <c r="B3556" s="2" t="n"/>
      <c r="C3556" s="40" t="n"/>
    </row>
    <row r="3557">
      <c r="B3557" s="2" t="n"/>
      <c r="C3557" s="40" t="n"/>
    </row>
    <row r="3558">
      <c r="B3558" s="2" t="n"/>
      <c r="C3558" s="40" t="n"/>
    </row>
    <row r="3559">
      <c r="B3559" s="2" t="n"/>
      <c r="C3559" s="40" t="n"/>
    </row>
    <row r="3560">
      <c r="B3560" s="2" t="n"/>
      <c r="C3560" s="40" t="n"/>
    </row>
    <row r="3561">
      <c r="B3561" s="2" t="n"/>
      <c r="C3561" s="40" t="n"/>
    </row>
    <row r="3562">
      <c r="B3562" s="2" t="n"/>
      <c r="C3562" s="40" t="n"/>
    </row>
    <row r="3563">
      <c r="B3563" s="2" t="n"/>
      <c r="C3563" s="40" t="n"/>
    </row>
    <row r="3564">
      <c r="B3564" s="2" t="n"/>
      <c r="C3564" s="40" t="n"/>
    </row>
    <row r="3565">
      <c r="B3565" s="2" t="n"/>
      <c r="C3565" s="40" t="n"/>
    </row>
    <row r="3566">
      <c r="B3566" s="2" t="n"/>
      <c r="C3566" s="40" t="n"/>
    </row>
    <row r="3567">
      <c r="B3567" s="2" t="n"/>
      <c r="C3567" s="40" t="n"/>
    </row>
    <row r="3568">
      <c r="B3568" s="2" t="n"/>
      <c r="C3568" s="40" t="n"/>
    </row>
    <row r="3569">
      <c r="B3569" s="2" t="n"/>
      <c r="C3569" s="40" t="n"/>
    </row>
    <row r="3570">
      <c r="B3570" s="2" t="n"/>
      <c r="C3570" s="40" t="n"/>
    </row>
    <row r="3571">
      <c r="B3571" s="2" t="n"/>
      <c r="C3571" s="40" t="n"/>
    </row>
    <row r="3572">
      <c r="B3572" s="2" t="n"/>
      <c r="C3572" s="40" t="n"/>
    </row>
    <row r="3573">
      <c r="B3573" s="2" t="n"/>
      <c r="C3573" s="40" t="n"/>
    </row>
    <row r="3574">
      <c r="B3574" s="2" t="n"/>
      <c r="C3574" s="40" t="n"/>
    </row>
    <row r="3575">
      <c r="B3575" s="2" t="n"/>
      <c r="C3575" s="40" t="n"/>
    </row>
    <row r="3576">
      <c r="B3576" s="2" t="n"/>
      <c r="C3576" s="40" t="n"/>
    </row>
    <row r="3577">
      <c r="B3577" s="2" t="n"/>
      <c r="C3577" s="40" t="n"/>
    </row>
    <row r="3578">
      <c r="B3578" s="2" t="n"/>
      <c r="C3578" s="40" t="n"/>
    </row>
    <row r="3579">
      <c r="B3579" s="2" t="n"/>
      <c r="C3579" s="40" t="n"/>
    </row>
    <row r="3580">
      <c r="B3580" s="2" t="n"/>
      <c r="C3580" s="40" t="n"/>
    </row>
    <row r="3581">
      <c r="B3581" s="2" t="n"/>
      <c r="C3581" s="40" t="n"/>
    </row>
    <row r="3582">
      <c r="B3582" s="2" t="n"/>
      <c r="C3582" s="40" t="n"/>
    </row>
    <row r="3583">
      <c r="B3583" s="2" t="n"/>
      <c r="C3583" s="40" t="n"/>
    </row>
    <row r="3584">
      <c r="B3584" s="2" t="n"/>
      <c r="C3584" s="40" t="n"/>
    </row>
    <row r="3585">
      <c r="B3585" s="2" t="n"/>
      <c r="C3585" s="40" t="n"/>
    </row>
    <row r="3586">
      <c r="B3586" s="2" t="n"/>
      <c r="C3586" s="40" t="n"/>
    </row>
    <row r="3587">
      <c r="B3587" s="2" t="n"/>
      <c r="C3587" s="40" t="n"/>
    </row>
    <row r="3588">
      <c r="B3588" s="2" t="n"/>
      <c r="C3588" s="40" t="n"/>
    </row>
    <row r="3589">
      <c r="B3589" s="2" t="n"/>
      <c r="C3589" s="40" t="n"/>
    </row>
    <row r="3590">
      <c r="B3590" s="2" t="n"/>
      <c r="C3590" s="40" t="n"/>
    </row>
    <row r="3591">
      <c r="B3591" s="2" t="n"/>
      <c r="C3591" s="40" t="n"/>
    </row>
    <row r="3592">
      <c r="B3592" s="2" t="n"/>
      <c r="C3592" s="40" t="n"/>
    </row>
    <row r="3593">
      <c r="B3593" s="2" t="n"/>
      <c r="C3593" s="40" t="n"/>
    </row>
    <row r="3594">
      <c r="B3594" s="2" t="n"/>
      <c r="C3594" s="40" t="n"/>
    </row>
    <row r="3595">
      <c r="B3595" s="2" t="n"/>
      <c r="C3595" s="40" t="n"/>
    </row>
    <row r="3596">
      <c r="B3596" s="2" t="n"/>
      <c r="C3596" s="40" t="n"/>
    </row>
    <row r="3597">
      <c r="B3597" s="2" t="n"/>
      <c r="C3597" s="40" t="n"/>
    </row>
    <row r="3598">
      <c r="B3598" s="2" t="n"/>
      <c r="C3598" s="40" t="n"/>
    </row>
    <row r="3599">
      <c r="B3599" s="2" t="n"/>
      <c r="C3599" s="40" t="n"/>
    </row>
    <row r="3600">
      <c r="B3600" s="2" t="n"/>
      <c r="C3600" s="40" t="n"/>
    </row>
    <row r="3601">
      <c r="B3601" s="2" t="n"/>
      <c r="C3601" s="40" t="n"/>
    </row>
    <row r="3602">
      <c r="B3602" s="2" t="n"/>
      <c r="C3602" s="40" t="n"/>
    </row>
    <row r="3603">
      <c r="B3603" s="2" t="n"/>
      <c r="C3603" s="40" t="n"/>
    </row>
    <row r="3604">
      <c r="B3604" s="2" t="n"/>
      <c r="C3604" s="40" t="n"/>
    </row>
    <row r="3605">
      <c r="B3605" s="2" t="n"/>
      <c r="C3605" s="40" t="n"/>
    </row>
    <row r="3606">
      <c r="B3606" s="2" t="n"/>
      <c r="C3606" s="40" t="n"/>
    </row>
    <row r="3607">
      <c r="B3607" s="2" t="n"/>
      <c r="C3607" s="40" t="n"/>
    </row>
    <row r="3608">
      <c r="B3608" s="2" t="n"/>
      <c r="C3608" s="40" t="n"/>
    </row>
    <row r="3609">
      <c r="B3609" s="2" t="n"/>
      <c r="C3609" s="40" t="n"/>
    </row>
    <row r="3610">
      <c r="B3610" s="2" t="n"/>
      <c r="C3610" s="40" t="n"/>
    </row>
    <row r="3611">
      <c r="B3611" s="2" t="n"/>
      <c r="C3611" s="40" t="n"/>
    </row>
    <row r="3612">
      <c r="B3612" s="2" t="n"/>
      <c r="C3612" s="40" t="n"/>
    </row>
    <row r="3613">
      <c r="B3613" s="2" t="n"/>
      <c r="C3613" s="40" t="n"/>
    </row>
    <row r="3614">
      <c r="B3614" s="2" t="n"/>
      <c r="C3614" s="40" t="n"/>
    </row>
    <row r="3615">
      <c r="B3615" s="2" t="n"/>
      <c r="C3615" s="40" t="n"/>
    </row>
    <row r="3616">
      <c r="B3616" s="2" t="n"/>
      <c r="C3616" s="40" t="n"/>
    </row>
    <row r="3617">
      <c r="B3617" s="2" t="n"/>
      <c r="C3617" s="40" t="n"/>
    </row>
    <row r="3618">
      <c r="B3618" s="2" t="n"/>
      <c r="C3618" s="40" t="n"/>
    </row>
    <row r="3619">
      <c r="B3619" s="2" t="n"/>
      <c r="C3619" s="40" t="n"/>
    </row>
    <row r="3620">
      <c r="B3620" s="2" t="n"/>
      <c r="C3620" s="40" t="n"/>
    </row>
    <row r="3621">
      <c r="B3621" s="2" t="n"/>
      <c r="C3621" s="40" t="n"/>
    </row>
    <row r="3622">
      <c r="B3622" s="2" t="n"/>
      <c r="C3622" s="40" t="n"/>
    </row>
    <row r="3623">
      <c r="B3623" s="2" t="n"/>
      <c r="C3623" s="40" t="n"/>
    </row>
    <row r="3624">
      <c r="B3624" s="2" t="n"/>
      <c r="C3624" s="40" t="n"/>
    </row>
    <row r="3625">
      <c r="B3625" s="2" t="n"/>
      <c r="C3625" s="40" t="n"/>
    </row>
    <row r="3626">
      <c r="B3626" s="2" t="n"/>
      <c r="C3626" s="40" t="n"/>
    </row>
    <row r="3627">
      <c r="B3627" s="2" t="n"/>
      <c r="C3627" s="40" t="n"/>
    </row>
    <row r="3628">
      <c r="B3628" s="2" t="n"/>
      <c r="C3628" s="40" t="n"/>
    </row>
    <row r="3629">
      <c r="B3629" s="2" t="n"/>
      <c r="C3629" s="40" t="n"/>
    </row>
    <row r="3630">
      <c r="B3630" s="2" t="n"/>
      <c r="C3630" s="40" t="n"/>
    </row>
    <row r="3631">
      <c r="B3631" s="2" t="n"/>
      <c r="C3631" s="40" t="n"/>
    </row>
    <row r="3632">
      <c r="B3632" s="2" t="n"/>
      <c r="C3632" s="40" t="n"/>
    </row>
    <row r="3633">
      <c r="B3633" s="2" t="n"/>
      <c r="C3633" s="40" t="n"/>
    </row>
    <row r="3634">
      <c r="B3634" s="2" t="n"/>
      <c r="C3634" s="40" t="n"/>
    </row>
    <row r="3635">
      <c r="B3635" s="2" t="n"/>
      <c r="C3635" s="40" t="n"/>
    </row>
    <row r="3636">
      <c r="B3636" s="2" t="n"/>
      <c r="C3636" s="40" t="n"/>
    </row>
    <row r="3637">
      <c r="B3637" s="2" t="n"/>
      <c r="C3637" s="40" t="n"/>
    </row>
    <row r="3638">
      <c r="B3638" s="2" t="n"/>
      <c r="C3638" s="40" t="n"/>
    </row>
    <row r="3639">
      <c r="B3639" s="2" t="n"/>
      <c r="C3639" s="40" t="n"/>
    </row>
    <row r="3640">
      <c r="B3640" s="2" t="n"/>
      <c r="C3640" s="40" t="n"/>
    </row>
    <row r="3641">
      <c r="B3641" s="2" t="n"/>
      <c r="C3641" s="40" t="n"/>
    </row>
    <row r="3642">
      <c r="B3642" s="2" t="n"/>
      <c r="C3642" s="40" t="n"/>
    </row>
    <row r="3643">
      <c r="B3643" s="2" t="n"/>
      <c r="C3643" s="40" t="n"/>
    </row>
    <row r="3644">
      <c r="B3644" s="2" t="n"/>
      <c r="C3644" s="40" t="n"/>
    </row>
    <row r="3645">
      <c r="B3645" s="2" t="n"/>
      <c r="C3645" s="40" t="n"/>
    </row>
    <row r="3646">
      <c r="B3646" s="2" t="n"/>
      <c r="C3646" s="40" t="n"/>
    </row>
    <row r="3647">
      <c r="B3647" s="2" t="n"/>
      <c r="C3647" s="40" t="n"/>
    </row>
    <row r="3648">
      <c r="B3648" s="2" t="n"/>
      <c r="C3648" s="40" t="n"/>
    </row>
    <row r="3649">
      <c r="B3649" s="2" t="n"/>
      <c r="C3649" s="40" t="n"/>
    </row>
    <row r="3650">
      <c r="B3650" s="2" t="n"/>
      <c r="C3650" s="40" t="n"/>
    </row>
    <row r="3651">
      <c r="B3651" s="2" t="n"/>
      <c r="C3651" s="40" t="n"/>
    </row>
    <row r="3652">
      <c r="B3652" s="2" t="n"/>
      <c r="C3652" s="40" t="n"/>
    </row>
    <row r="3653">
      <c r="B3653" s="2" t="n"/>
      <c r="C3653" s="40" t="n"/>
    </row>
    <row r="3654">
      <c r="B3654" s="2" t="n"/>
      <c r="C3654" s="40" t="n"/>
    </row>
    <row r="3655">
      <c r="B3655" s="2" t="n"/>
      <c r="C3655" s="40" t="n"/>
    </row>
    <row r="3656">
      <c r="B3656" s="2" t="n"/>
      <c r="C3656" s="40" t="n"/>
    </row>
    <row r="3657">
      <c r="B3657" s="2" t="n"/>
      <c r="C3657" s="40" t="n"/>
    </row>
    <row r="3658">
      <c r="B3658" s="2" t="n"/>
      <c r="C3658" s="40" t="n"/>
    </row>
    <row r="3659">
      <c r="B3659" s="2" t="n"/>
      <c r="C3659" s="40" t="n"/>
    </row>
    <row r="3660">
      <c r="B3660" s="2" t="n"/>
      <c r="C3660" s="40" t="n"/>
    </row>
    <row r="3661">
      <c r="B3661" s="2" t="n"/>
      <c r="C3661" s="40" t="n"/>
    </row>
    <row r="3662">
      <c r="B3662" s="2" t="n"/>
      <c r="C3662" s="40" t="n"/>
    </row>
    <row r="3663">
      <c r="B3663" s="2" t="n"/>
      <c r="C3663" s="40" t="n"/>
    </row>
    <row r="3664">
      <c r="B3664" s="2" t="n"/>
      <c r="C3664" s="40" t="n"/>
    </row>
    <row r="3665">
      <c r="B3665" s="2" t="n"/>
      <c r="C3665" s="40" t="n"/>
    </row>
    <row r="3666">
      <c r="B3666" s="2" t="n"/>
      <c r="C3666" s="40" t="n"/>
    </row>
    <row r="3667">
      <c r="B3667" s="2" t="n"/>
      <c r="C3667" s="40" t="n"/>
    </row>
    <row r="3668">
      <c r="B3668" s="2" t="n"/>
      <c r="C3668" s="40" t="n"/>
    </row>
    <row r="3669">
      <c r="B3669" s="2" t="n"/>
      <c r="C3669" s="40" t="n"/>
    </row>
    <row r="3670">
      <c r="B3670" s="2" t="n"/>
      <c r="C3670" s="40" t="n"/>
    </row>
    <row r="3671">
      <c r="B3671" s="2" t="n"/>
      <c r="C3671" s="40" t="n"/>
    </row>
    <row r="3672">
      <c r="B3672" s="2" t="n"/>
      <c r="C3672" s="40" t="n"/>
    </row>
    <row r="3673">
      <c r="B3673" s="2" t="n"/>
      <c r="C3673" s="40" t="n"/>
    </row>
    <row r="3674">
      <c r="B3674" s="2" t="n"/>
      <c r="C3674" s="40" t="n"/>
    </row>
    <row r="3675">
      <c r="B3675" s="2" t="n"/>
      <c r="C3675" s="40" t="n"/>
    </row>
    <row r="3676">
      <c r="B3676" s="2" t="n"/>
      <c r="C3676" s="40" t="n"/>
    </row>
    <row r="3677">
      <c r="B3677" s="2" t="n"/>
      <c r="C3677" s="40" t="n"/>
    </row>
    <row r="3678">
      <c r="B3678" s="2" t="n"/>
      <c r="C3678" s="40" t="n"/>
    </row>
    <row r="3679">
      <c r="B3679" s="2" t="n"/>
      <c r="C3679" s="40" t="n"/>
    </row>
    <row r="3680">
      <c r="B3680" s="2" t="n"/>
      <c r="C3680" s="40" t="n"/>
    </row>
    <row r="3681">
      <c r="B3681" s="2" t="n"/>
      <c r="C3681" s="40" t="n"/>
    </row>
    <row r="3682">
      <c r="B3682" s="2" t="n"/>
      <c r="C3682" s="40" t="n"/>
    </row>
    <row r="3683">
      <c r="B3683" s="2" t="n"/>
      <c r="C3683" s="40" t="n"/>
    </row>
    <row r="3684">
      <c r="B3684" s="2" t="n"/>
      <c r="C3684" s="40" t="n"/>
    </row>
    <row r="3685">
      <c r="B3685" s="2" t="n"/>
      <c r="C3685" s="40" t="n"/>
    </row>
    <row r="3686">
      <c r="B3686" s="2" t="n"/>
      <c r="C3686" s="40" t="n"/>
    </row>
    <row r="3687">
      <c r="B3687" s="2" t="n"/>
      <c r="C3687" s="40" t="n"/>
    </row>
    <row r="3688">
      <c r="B3688" s="2" t="n"/>
      <c r="C3688" s="40" t="n"/>
    </row>
    <row r="3689">
      <c r="B3689" s="2" t="n"/>
      <c r="C3689" s="40" t="n"/>
    </row>
    <row r="3690">
      <c r="B3690" s="2" t="n"/>
      <c r="C3690" s="40" t="n"/>
    </row>
    <row r="3691">
      <c r="B3691" s="2" t="n"/>
      <c r="C3691" s="40" t="n"/>
    </row>
    <row r="3692">
      <c r="B3692" s="2" t="n"/>
      <c r="C3692" s="40" t="n"/>
    </row>
    <row r="3693">
      <c r="B3693" s="2" t="n"/>
      <c r="C3693" s="40" t="n"/>
    </row>
    <row r="3694">
      <c r="B3694" s="2" t="n"/>
      <c r="C3694" s="40" t="n"/>
    </row>
    <row r="3695">
      <c r="B3695" s="2" t="n"/>
      <c r="C3695" s="40" t="n"/>
    </row>
    <row r="3696">
      <c r="B3696" s="2" t="n"/>
      <c r="C3696" s="40" t="n"/>
    </row>
    <row r="3697">
      <c r="B3697" s="2" t="n"/>
      <c r="C3697" s="40" t="n"/>
    </row>
    <row r="3698">
      <c r="B3698" s="2" t="n"/>
      <c r="C3698" s="40" t="n"/>
    </row>
    <row r="3699">
      <c r="B3699" s="2" t="n"/>
      <c r="C3699" s="40" t="n"/>
    </row>
    <row r="3700">
      <c r="B3700" s="2" t="n"/>
      <c r="C3700" s="40" t="n"/>
    </row>
    <row r="3701">
      <c r="B3701" s="2" t="n"/>
      <c r="C3701" s="40" t="n"/>
    </row>
    <row r="3702">
      <c r="B3702" s="2" t="n"/>
      <c r="C3702" s="40" t="n"/>
    </row>
    <row r="3703">
      <c r="B3703" s="2" t="n"/>
      <c r="C3703" s="40" t="n"/>
    </row>
    <row r="3704">
      <c r="B3704" s="2" t="n"/>
      <c r="C3704" s="40" t="n"/>
    </row>
    <row r="3705">
      <c r="B3705" s="2" t="n"/>
      <c r="C3705" s="40" t="n"/>
    </row>
    <row r="3706">
      <c r="B3706" s="2" t="n"/>
      <c r="C3706" s="40" t="n"/>
    </row>
    <row r="3707">
      <c r="B3707" s="2" t="n"/>
      <c r="C3707" s="40" t="n"/>
    </row>
    <row r="3708">
      <c r="B3708" s="2" t="n"/>
      <c r="C3708" s="40" t="n"/>
    </row>
    <row r="3709">
      <c r="B3709" s="2" t="n"/>
      <c r="C3709" s="40" t="n"/>
    </row>
    <row r="3710">
      <c r="B3710" s="2" t="n"/>
      <c r="C3710" s="40" t="n"/>
    </row>
    <row r="3711">
      <c r="B3711" s="2" t="n"/>
      <c r="C3711" s="40" t="n"/>
    </row>
    <row r="3712">
      <c r="B3712" s="2" t="n"/>
      <c r="C3712" s="40" t="n"/>
    </row>
    <row r="3713">
      <c r="B3713" s="2" t="n"/>
      <c r="C3713" s="40" t="n"/>
    </row>
    <row r="3714">
      <c r="B3714" s="2" t="n"/>
      <c r="C3714" s="40" t="n"/>
    </row>
    <row r="3715">
      <c r="B3715" s="2" t="n"/>
      <c r="C3715" s="40" t="n"/>
    </row>
    <row r="3716">
      <c r="B3716" s="2" t="n"/>
      <c r="C3716" s="40" t="n"/>
    </row>
    <row r="3717">
      <c r="B3717" s="2" t="n"/>
      <c r="C3717" s="40" t="n"/>
    </row>
    <row r="3718">
      <c r="B3718" s="2" t="n"/>
      <c r="C3718" s="40" t="n"/>
    </row>
    <row r="3719">
      <c r="B3719" s="2" t="n"/>
      <c r="C3719" s="40" t="n"/>
    </row>
    <row r="3720">
      <c r="B3720" s="2" t="n"/>
      <c r="C3720" s="40" t="n"/>
    </row>
    <row r="3721">
      <c r="B3721" s="2" t="n"/>
      <c r="C3721" s="40" t="n"/>
    </row>
    <row r="3722">
      <c r="B3722" s="2" t="n"/>
      <c r="C3722" s="40" t="n"/>
    </row>
    <row r="3723">
      <c r="B3723" s="2" t="n"/>
      <c r="C3723" s="40" t="n"/>
    </row>
    <row r="3724">
      <c r="B3724" s="2" t="n"/>
      <c r="C3724" s="40" t="n"/>
    </row>
    <row r="3725">
      <c r="B3725" s="2" t="n"/>
      <c r="C3725" s="40" t="n"/>
    </row>
    <row r="3726">
      <c r="B3726" s="2" t="n"/>
      <c r="C3726" s="40" t="n"/>
    </row>
    <row r="3727">
      <c r="B3727" s="2" t="n"/>
      <c r="C3727" s="40" t="n"/>
    </row>
    <row r="3728">
      <c r="B3728" s="2" t="n"/>
      <c r="C3728" s="40" t="n"/>
    </row>
    <row r="3729">
      <c r="B3729" s="2" t="n"/>
      <c r="C3729" s="40" t="n"/>
    </row>
    <row r="3730">
      <c r="B3730" s="2" t="n"/>
      <c r="C3730" s="40" t="n"/>
    </row>
    <row r="3731">
      <c r="B3731" s="2" t="n"/>
      <c r="C3731" s="40" t="n"/>
    </row>
    <row r="3732">
      <c r="B3732" s="2" t="n"/>
      <c r="C3732" s="40" t="n"/>
    </row>
    <row r="3733">
      <c r="B3733" s="2" t="n"/>
      <c r="C3733" s="40" t="n"/>
    </row>
    <row r="3734">
      <c r="B3734" s="2" t="n"/>
      <c r="C3734" s="40" t="n"/>
    </row>
    <row r="3735">
      <c r="B3735" s="2" t="n"/>
      <c r="C3735" s="40" t="n"/>
    </row>
    <row r="3736">
      <c r="B3736" s="2" t="n"/>
      <c r="C3736" s="40" t="n"/>
    </row>
    <row r="3737">
      <c r="B3737" s="2" t="n"/>
      <c r="C3737" s="40" t="n"/>
    </row>
    <row r="3738">
      <c r="B3738" s="2" t="n"/>
      <c r="C3738" s="40" t="n"/>
    </row>
    <row r="3739">
      <c r="B3739" s="2" t="n"/>
      <c r="C3739" s="40" t="n"/>
    </row>
    <row r="3740">
      <c r="B3740" s="2" t="n"/>
      <c r="C3740" s="40" t="n"/>
    </row>
    <row r="3741">
      <c r="B3741" s="2" t="n"/>
      <c r="C3741" s="40" t="n"/>
    </row>
    <row r="3742">
      <c r="B3742" s="2" t="n"/>
      <c r="C3742" s="40" t="n"/>
    </row>
    <row r="3743">
      <c r="B3743" s="2" t="n"/>
      <c r="C3743" s="40" t="n"/>
    </row>
    <row r="3744">
      <c r="B3744" s="2" t="n"/>
      <c r="C3744" s="40" t="n"/>
    </row>
    <row r="3745">
      <c r="B3745" s="2" t="n"/>
      <c r="C3745" s="40" t="n"/>
    </row>
    <row r="3746">
      <c r="B3746" s="2" t="n"/>
      <c r="C3746" s="40" t="n"/>
    </row>
    <row r="3747">
      <c r="B3747" s="2" t="n"/>
      <c r="C3747" s="40" t="n"/>
    </row>
    <row r="3748">
      <c r="B3748" s="2" t="n"/>
      <c r="C3748" s="40" t="n"/>
    </row>
    <row r="3749">
      <c r="B3749" s="2" t="n"/>
      <c r="C3749" s="40" t="n"/>
    </row>
    <row r="3750">
      <c r="B3750" s="2" t="n"/>
      <c r="C3750" s="40" t="n"/>
    </row>
    <row r="3751">
      <c r="B3751" s="2" t="n"/>
      <c r="C3751" s="40" t="n"/>
    </row>
    <row r="3752">
      <c r="B3752" s="2" t="n"/>
      <c r="C3752" s="40" t="n"/>
    </row>
    <row r="3753">
      <c r="B3753" s="2" t="n"/>
      <c r="C3753" s="40" t="n"/>
    </row>
    <row r="3754">
      <c r="B3754" s="2" t="n"/>
      <c r="C3754" s="40" t="n"/>
    </row>
    <row r="3755">
      <c r="B3755" s="2" t="n"/>
      <c r="C3755" s="40" t="n"/>
    </row>
    <row r="3756">
      <c r="B3756" s="2" t="n"/>
      <c r="C3756" s="40" t="n"/>
    </row>
    <row r="3757">
      <c r="B3757" s="2" t="n"/>
      <c r="C3757" s="40" t="n"/>
    </row>
    <row r="3758">
      <c r="B3758" s="2" t="n"/>
      <c r="C3758" s="40" t="n"/>
    </row>
    <row r="3759">
      <c r="B3759" s="2" t="n"/>
      <c r="C3759" s="40" t="n"/>
    </row>
    <row r="3760">
      <c r="B3760" s="2" t="n"/>
      <c r="C3760" s="40" t="n"/>
    </row>
    <row r="3761">
      <c r="B3761" s="2" t="n"/>
      <c r="C3761" s="40" t="n"/>
    </row>
    <row r="3762">
      <c r="B3762" s="2" t="n"/>
      <c r="C3762" s="40" t="n"/>
    </row>
    <row r="3763">
      <c r="B3763" s="2" t="n"/>
      <c r="C3763" s="40" t="n"/>
    </row>
    <row r="3764">
      <c r="B3764" s="2" t="n"/>
      <c r="C3764" s="40" t="n"/>
    </row>
    <row r="3765">
      <c r="B3765" s="2" t="n"/>
      <c r="C3765" s="40" t="n"/>
    </row>
    <row r="3766">
      <c r="B3766" s="2" t="n"/>
      <c r="C3766" s="40" t="n"/>
    </row>
    <row r="3767">
      <c r="B3767" s="2" t="n"/>
      <c r="C3767" s="40" t="n"/>
    </row>
    <row r="3768">
      <c r="B3768" s="2" t="n"/>
      <c r="C3768" s="40" t="n"/>
    </row>
    <row r="3769">
      <c r="B3769" s="2" t="n"/>
      <c r="C3769" s="40" t="n"/>
    </row>
    <row r="3770">
      <c r="B3770" s="2" t="n"/>
      <c r="C3770" s="40" t="n"/>
    </row>
    <row r="3771">
      <c r="B3771" s="2" t="n"/>
      <c r="C3771" s="40" t="n"/>
    </row>
    <row r="3772">
      <c r="B3772" s="2" t="n"/>
      <c r="C3772" s="40" t="n"/>
    </row>
    <row r="3773">
      <c r="B3773" s="2" t="n"/>
      <c r="C3773" s="40" t="n"/>
    </row>
    <row r="3774">
      <c r="B3774" s="2" t="n"/>
      <c r="C3774" s="40" t="n"/>
    </row>
    <row r="3775">
      <c r="B3775" s="2" t="n"/>
      <c r="C3775" s="40" t="n"/>
    </row>
    <row r="3776">
      <c r="B3776" s="2" t="n"/>
      <c r="C3776" s="40" t="n"/>
    </row>
    <row r="3777">
      <c r="B3777" s="2" t="n"/>
      <c r="C3777" s="40" t="n"/>
    </row>
    <row r="3778">
      <c r="B3778" s="2" t="n"/>
      <c r="C3778" s="40" t="n"/>
    </row>
    <row r="3779">
      <c r="B3779" s="2" t="n"/>
      <c r="C3779" s="40" t="n"/>
    </row>
    <row r="3780">
      <c r="B3780" s="2" t="n"/>
      <c r="C3780" s="40" t="n"/>
    </row>
    <row r="3781">
      <c r="B3781" s="2" t="n"/>
      <c r="C3781" s="40" t="n"/>
    </row>
    <row r="3782">
      <c r="B3782" s="2" t="n"/>
      <c r="C3782" s="40" t="n"/>
    </row>
    <row r="3783">
      <c r="B3783" s="2" t="n"/>
      <c r="C3783" s="40" t="n"/>
    </row>
    <row r="3784">
      <c r="B3784" s="2" t="n"/>
      <c r="C3784" s="40" t="n"/>
    </row>
    <row r="3785">
      <c r="B3785" s="2" t="n"/>
      <c r="C3785" s="40" t="n"/>
    </row>
    <row r="3786">
      <c r="B3786" s="2" t="n"/>
      <c r="C3786" s="40" t="n"/>
    </row>
    <row r="3787">
      <c r="B3787" s="2" t="n"/>
      <c r="C3787" s="40" t="n"/>
    </row>
    <row r="3788">
      <c r="B3788" s="2" t="n"/>
      <c r="C3788" s="40" t="n"/>
    </row>
    <row r="3789">
      <c r="B3789" s="2" t="n"/>
      <c r="C3789" s="40" t="n"/>
    </row>
    <row r="3790">
      <c r="B3790" s="2" t="n"/>
      <c r="C3790" s="40" t="n"/>
    </row>
    <row r="3791">
      <c r="B3791" s="2" t="n"/>
      <c r="C3791" s="40" t="n"/>
    </row>
    <row r="3792">
      <c r="B3792" s="2" t="n"/>
      <c r="C3792" s="40" t="n"/>
    </row>
    <row r="3793">
      <c r="B3793" s="2" t="n"/>
      <c r="C3793" s="40" t="n"/>
    </row>
    <row r="3794">
      <c r="B3794" s="2" t="n"/>
      <c r="C3794" s="40" t="n"/>
    </row>
    <row r="3795">
      <c r="B3795" s="2" t="n"/>
      <c r="C3795" s="40" t="n"/>
    </row>
    <row r="3796">
      <c r="B3796" s="2" t="n"/>
      <c r="C3796" s="40" t="n"/>
    </row>
    <row r="3797">
      <c r="B3797" s="2" t="n"/>
      <c r="C3797" s="40" t="n"/>
    </row>
    <row r="3798">
      <c r="B3798" s="2" t="n"/>
      <c r="C3798" s="40" t="n"/>
    </row>
    <row r="3799">
      <c r="B3799" s="2" t="n"/>
      <c r="C3799" s="40" t="n"/>
    </row>
    <row r="3800">
      <c r="B3800" s="2" t="n"/>
      <c r="C3800" s="40" t="n"/>
    </row>
    <row r="3801">
      <c r="B3801" s="2" t="n"/>
      <c r="C3801" s="40" t="n"/>
    </row>
    <row r="3802">
      <c r="B3802" s="2" t="n"/>
      <c r="C3802" s="40" t="n"/>
    </row>
    <row r="3803">
      <c r="B3803" s="2" t="n"/>
      <c r="C3803" s="40" t="n"/>
    </row>
    <row r="3804">
      <c r="B3804" s="2" t="n"/>
      <c r="C3804" s="40" t="n"/>
    </row>
    <row r="3805">
      <c r="B3805" s="2" t="n"/>
      <c r="C3805" s="40" t="n"/>
    </row>
    <row r="3806">
      <c r="B3806" s="2" t="n"/>
      <c r="C3806" s="40" t="n"/>
    </row>
    <row r="3807">
      <c r="B3807" s="2" t="n"/>
      <c r="C3807" s="40" t="n"/>
    </row>
    <row r="3808">
      <c r="B3808" s="2" t="n"/>
      <c r="C3808" s="40" t="n"/>
    </row>
    <row r="3809">
      <c r="B3809" s="2" t="n"/>
      <c r="C3809" s="40" t="n"/>
    </row>
    <row r="3810">
      <c r="B3810" s="2" t="n"/>
      <c r="C3810" s="40" t="n"/>
    </row>
    <row r="3811">
      <c r="B3811" s="2" t="n"/>
      <c r="C3811" s="40" t="n"/>
    </row>
    <row r="3812">
      <c r="B3812" s="2" t="n"/>
      <c r="C3812" s="40" t="n"/>
    </row>
    <row r="3813">
      <c r="B3813" s="2" t="n"/>
      <c r="C3813" s="40" t="n"/>
    </row>
    <row r="3814">
      <c r="B3814" s="2" t="n"/>
      <c r="C3814" s="40" t="n"/>
    </row>
    <row r="3815">
      <c r="B3815" s="2" t="n"/>
      <c r="C3815" s="40" t="n"/>
    </row>
    <row r="3816">
      <c r="B3816" s="2" t="n"/>
      <c r="C3816" s="40" t="n"/>
    </row>
    <row r="3817">
      <c r="B3817" s="2" t="n"/>
      <c r="C3817" s="40" t="n"/>
    </row>
    <row r="3818">
      <c r="B3818" s="2" t="n"/>
      <c r="C3818" s="40" t="n"/>
    </row>
    <row r="3819">
      <c r="B3819" s="2" t="n"/>
      <c r="C3819" s="40" t="n"/>
    </row>
    <row r="3820">
      <c r="B3820" s="2" t="n"/>
      <c r="C3820" s="40" t="n"/>
    </row>
    <row r="3821">
      <c r="B3821" s="2" t="n"/>
      <c r="C3821" s="40" t="n"/>
    </row>
    <row r="3822">
      <c r="B3822" s="2" t="n"/>
      <c r="C3822" s="40" t="n"/>
    </row>
    <row r="3823">
      <c r="B3823" s="2" t="n"/>
      <c r="C3823" s="40" t="n"/>
    </row>
    <row r="3824">
      <c r="B3824" s="2" t="n"/>
      <c r="C3824" s="40" t="n"/>
    </row>
    <row r="3825">
      <c r="B3825" s="2" t="n"/>
      <c r="C3825" s="40" t="n"/>
    </row>
    <row r="3826">
      <c r="B3826" s="2" t="n"/>
      <c r="C3826" s="40" t="n"/>
    </row>
    <row r="3827">
      <c r="B3827" s="2" t="n"/>
      <c r="C3827" s="40" t="n"/>
    </row>
    <row r="3828">
      <c r="B3828" s="2" t="n"/>
      <c r="C3828" s="40" t="n"/>
    </row>
    <row r="3829">
      <c r="B3829" s="2" t="n"/>
      <c r="C3829" s="40" t="n"/>
    </row>
    <row r="3830">
      <c r="B3830" s="2" t="n"/>
      <c r="C3830" s="40" t="n"/>
    </row>
    <row r="3831">
      <c r="B3831" s="2" t="n"/>
      <c r="C3831" s="40" t="n"/>
    </row>
    <row r="3832">
      <c r="B3832" s="2" t="n"/>
      <c r="C3832" s="40" t="n"/>
    </row>
    <row r="3833">
      <c r="B3833" s="2" t="n"/>
      <c r="C3833" s="40" t="n"/>
    </row>
    <row r="3834">
      <c r="B3834" s="2" t="n"/>
      <c r="C3834" s="40" t="n"/>
    </row>
    <row r="3835">
      <c r="B3835" s="2" t="n"/>
      <c r="C3835" s="40" t="n"/>
    </row>
    <row r="3836">
      <c r="B3836" s="2" t="n"/>
      <c r="C3836" s="40" t="n"/>
    </row>
    <row r="3837">
      <c r="B3837" s="2" t="n"/>
      <c r="C3837" s="40" t="n"/>
    </row>
    <row r="3838">
      <c r="B3838" s="2" t="n"/>
      <c r="C3838" s="40" t="n"/>
    </row>
    <row r="3839">
      <c r="B3839" s="2" t="n"/>
      <c r="C3839" s="40" t="n"/>
    </row>
    <row r="3840">
      <c r="B3840" s="2" t="n"/>
      <c r="C3840" s="40" t="n"/>
    </row>
    <row r="3841">
      <c r="B3841" s="2" t="n"/>
      <c r="C3841" s="40" t="n"/>
    </row>
    <row r="3842">
      <c r="B3842" s="2" t="n"/>
      <c r="C3842" s="40" t="n"/>
    </row>
    <row r="3843">
      <c r="B3843" s="2" t="n"/>
      <c r="C3843" s="40" t="n"/>
    </row>
    <row r="3844">
      <c r="B3844" s="2" t="n"/>
      <c r="C3844" s="40" t="n"/>
    </row>
    <row r="3845">
      <c r="B3845" s="2" t="n"/>
      <c r="C3845" s="40" t="n"/>
    </row>
    <row r="3846">
      <c r="B3846" s="2" t="n"/>
      <c r="C3846" s="40" t="n"/>
    </row>
    <row r="3847">
      <c r="B3847" s="2" t="n"/>
      <c r="C3847" s="40" t="n"/>
    </row>
    <row r="3848">
      <c r="B3848" s="2" t="n"/>
      <c r="C3848" s="40" t="n"/>
    </row>
    <row r="3849">
      <c r="B3849" s="2" t="n"/>
      <c r="C3849" s="40" t="n"/>
    </row>
    <row r="3850">
      <c r="B3850" s="2" t="n"/>
      <c r="C3850" s="40" t="n"/>
    </row>
    <row r="3851">
      <c r="B3851" s="2" t="n"/>
      <c r="C3851" s="40" t="n"/>
    </row>
    <row r="3852">
      <c r="B3852" s="2" t="n"/>
      <c r="C3852" s="40" t="n"/>
    </row>
    <row r="3853">
      <c r="B3853" s="2" t="n"/>
      <c r="C3853" s="40" t="n"/>
    </row>
    <row r="3854">
      <c r="B3854" s="2" t="n"/>
      <c r="C3854" s="40" t="n"/>
    </row>
    <row r="3855">
      <c r="B3855" s="2" t="n"/>
      <c r="C3855" s="40" t="n"/>
    </row>
    <row r="3856">
      <c r="B3856" s="2" t="n"/>
      <c r="C3856" s="40" t="n"/>
    </row>
    <row r="3857">
      <c r="B3857" s="2" t="n"/>
      <c r="C3857" s="40" t="n"/>
    </row>
    <row r="3858">
      <c r="B3858" s="2" t="n"/>
      <c r="C3858" s="40" t="n"/>
    </row>
    <row r="3859">
      <c r="B3859" s="2" t="n"/>
      <c r="C3859" s="40" t="n"/>
    </row>
    <row r="3860">
      <c r="B3860" s="2" t="n"/>
      <c r="C3860" s="40" t="n"/>
    </row>
    <row r="3861">
      <c r="B3861" s="2" t="n"/>
      <c r="C3861" s="40" t="n"/>
    </row>
    <row r="3862">
      <c r="B3862" s="2" t="n"/>
      <c r="C3862" s="40" t="n"/>
    </row>
    <row r="3863">
      <c r="B3863" s="2" t="n"/>
      <c r="C3863" s="40" t="n"/>
    </row>
    <row r="3864">
      <c r="B3864" s="2" t="n"/>
      <c r="C3864" s="40" t="n"/>
    </row>
    <row r="3865">
      <c r="B3865" s="2" t="n"/>
      <c r="C3865" s="40" t="n"/>
    </row>
    <row r="3866">
      <c r="B3866" s="2" t="n"/>
      <c r="C3866" s="40" t="n"/>
    </row>
    <row r="3867">
      <c r="B3867" s="2" t="n"/>
      <c r="C3867" s="40" t="n"/>
    </row>
    <row r="3868">
      <c r="B3868" s="2" t="n"/>
      <c r="C3868" s="40" t="n"/>
    </row>
    <row r="3869">
      <c r="B3869" s="2" t="n"/>
      <c r="C3869" s="40" t="n"/>
    </row>
    <row r="3870">
      <c r="B3870" s="2" t="n"/>
      <c r="C3870" s="40" t="n"/>
    </row>
    <row r="3871">
      <c r="B3871" s="2" t="n"/>
      <c r="C3871" s="40" t="n"/>
    </row>
    <row r="3872">
      <c r="B3872" s="2" t="n"/>
      <c r="C3872" s="40" t="n"/>
    </row>
    <row r="3873">
      <c r="B3873" s="2" t="n"/>
      <c r="C3873" s="40" t="n"/>
    </row>
    <row r="3874">
      <c r="B3874" s="2" t="n"/>
      <c r="C3874" s="40" t="n"/>
    </row>
    <row r="3875">
      <c r="B3875" s="2" t="n"/>
      <c r="C3875" s="40" t="n"/>
    </row>
    <row r="3876">
      <c r="B3876" s="2" t="n"/>
      <c r="C3876" s="40" t="n"/>
    </row>
    <row r="3877">
      <c r="B3877" s="2" t="n"/>
      <c r="C3877" s="40" t="n"/>
    </row>
    <row r="3878">
      <c r="B3878" s="2" t="n"/>
      <c r="C3878" s="40" t="n"/>
    </row>
    <row r="3879">
      <c r="B3879" s="2" t="n"/>
      <c r="C3879" s="40" t="n"/>
    </row>
    <row r="3880">
      <c r="B3880" s="2" t="n"/>
      <c r="C3880" s="40" t="n"/>
    </row>
    <row r="3881">
      <c r="B3881" s="2" t="n"/>
      <c r="C3881" s="40" t="n"/>
    </row>
    <row r="3882">
      <c r="B3882" s="2" t="n"/>
      <c r="C3882" s="40" t="n"/>
    </row>
    <row r="3883">
      <c r="B3883" s="2" t="n"/>
      <c r="C3883" s="40" t="n"/>
    </row>
    <row r="3884">
      <c r="B3884" s="2" t="n"/>
      <c r="C3884" s="40" t="n"/>
    </row>
    <row r="3885">
      <c r="B3885" s="2" t="n"/>
      <c r="C3885" s="40" t="n"/>
    </row>
    <row r="3886">
      <c r="B3886" s="2" t="n"/>
      <c r="C3886" s="40" t="n"/>
    </row>
    <row r="3887">
      <c r="B3887" s="2" t="n"/>
      <c r="C3887" s="40" t="n"/>
    </row>
    <row r="3888">
      <c r="B3888" s="2" t="n"/>
      <c r="C3888" s="40" t="n"/>
    </row>
    <row r="3889">
      <c r="B3889" s="2" t="n"/>
      <c r="C3889" s="40" t="n"/>
    </row>
    <row r="3890">
      <c r="B3890" s="2" t="n"/>
      <c r="C3890" s="40" t="n"/>
    </row>
    <row r="3891">
      <c r="B3891" s="2" t="n"/>
      <c r="C3891" s="40" t="n"/>
    </row>
    <row r="3892">
      <c r="B3892" s="2" t="n"/>
      <c r="C3892" s="40" t="n"/>
    </row>
    <row r="3893">
      <c r="B3893" s="2" t="n"/>
      <c r="C3893" s="40" t="n"/>
    </row>
    <row r="3894">
      <c r="B3894" s="2" t="n"/>
      <c r="C3894" s="40" t="n"/>
    </row>
    <row r="3895">
      <c r="B3895" s="2" t="n"/>
      <c r="C3895" s="40" t="n"/>
    </row>
    <row r="3896">
      <c r="B3896" s="2" t="n"/>
      <c r="C3896" s="40" t="n"/>
    </row>
    <row r="3897">
      <c r="B3897" s="2" t="n"/>
      <c r="C3897" s="40" t="n"/>
    </row>
    <row r="3898">
      <c r="B3898" s="2" t="n"/>
      <c r="C3898" s="40" t="n"/>
    </row>
    <row r="3899">
      <c r="B3899" s="2" t="n"/>
      <c r="C3899" s="40" t="n"/>
    </row>
    <row r="3900">
      <c r="B3900" s="2" t="n"/>
      <c r="C3900" s="40" t="n"/>
    </row>
    <row r="3901">
      <c r="B3901" s="2" t="n"/>
      <c r="C3901" s="40" t="n"/>
    </row>
    <row r="3902">
      <c r="B3902" s="2" t="n"/>
      <c r="C3902" s="40" t="n"/>
    </row>
    <row r="3903">
      <c r="B3903" s="2" t="n"/>
      <c r="C3903" s="40" t="n"/>
    </row>
    <row r="3904">
      <c r="B3904" s="2" t="n"/>
      <c r="C3904" s="40" t="n"/>
    </row>
    <row r="3905">
      <c r="B3905" s="2" t="n"/>
      <c r="C3905" s="40" t="n"/>
    </row>
    <row r="3906">
      <c r="B3906" s="2" t="n"/>
      <c r="C3906" s="40" t="n"/>
    </row>
    <row r="3907">
      <c r="B3907" s="2" t="n"/>
      <c r="C3907" s="40" t="n"/>
    </row>
    <row r="3908">
      <c r="B3908" s="2" t="n"/>
      <c r="C3908" s="40" t="n"/>
    </row>
    <row r="3909">
      <c r="B3909" s="2" t="n"/>
      <c r="C3909" s="40" t="n"/>
    </row>
    <row r="3910">
      <c r="B3910" s="2" t="n"/>
      <c r="C3910" s="40" t="n"/>
    </row>
    <row r="3911">
      <c r="B3911" s="2" t="n"/>
      <c r="C3911" s="40" t="n"/>
    </row>
    <row r="3912">
      <c r="B3912" s="2" t="n"/>
      <c r="C3912" s="40" t="n"/>
    </row>
    <row r="3913">
      <c r="B3913" s="2" t="n"/>
      <c r="C3913" s="40" t="n"/>
    </row>
    <row r="3914">
      <c r="B3914" s="2" t="n"/>
      <c r="C3914" s="40" t="n"/>
    </row>
    <row r="3915">
      <c r="B3915" s="2" t="n"/>
      <c r="C3915" s="40" t="n"/>
    </row>
    <row r="3916">
      <c r="B3916" s="2" t="n"/>
      <c r="C3916" s="40" t="n"/>
    </row>
    <row r="3917">
      <c r="B3917" s="2" t="n"/>
      <c r="C3917" s="40" t="n"/>
    </row>
    <row r="3918">
      <c r="B3918" s="2" t="n"/>
      <c r="C3918" s="40" t="n"/>
    </row>
    <row r="3919">
      <c r="B3919" s="2" t="n"/>
      <c r="C3919" s="40" t="n"/>
    </row>
    <row r="3920">
      <c r="B3920" s="2" t="n"/>
      <c r="C3920" s="40" t="n"/>
    </row>
    <row r="3921">
      <c r="B3921" s="2" t="n"/>
      <c r="C3921" s="40" t="n"/>
    </row>
    <row r="3922">
      <c r="B3922" s="2" t="n"/>
      <c r="C3922" s="40" t="n"/>
    </row>
    <row r="3923">
      <c r="B3923" s="2" t="n"/>
      <c r="C3923" s="40" t="n"/>
    </row>
    <row r="3924">
      <c r="B3924" s="2" t="n"/>
      <c r="C3924" s="40" t="n"/>
    </row>
    <row r="3925">
      <c r="B3925" s="2" t="n"/>
      <c r="C3925" s="40" t="n"/>
    </row>
    <row r="3926">
      <c r="B3926" s="2" t="n"/>
      <c r="C3926" s="40" t="n"/>
    </row>
    <row r="3927">
      <c r="B3927" s="2" t="n"/>
      <c r="C3927" s="40" t="n"/>
    </row>
    <row r="3928">
      <c r="B3928" s="2" t="n"/>
      <c r="C3928" s="40" t="n"/>
    </row>
    <row r="3929">
      <c r="B3929" s="2" t="n"/>
      <c r="C3929" s="40" t="n"/>
    </row>
    <row r="3930">
      <c r="B3930" s="2" t="n"/>
      <c r="C3930" s="40" t="n"/>
    </row>
    <row r="3931">
      <c r="B3931" s="2" t="n"/>
      <c r="C3931" s="40" t="n"/>
    </row>
    <row r="3932">
      <c r="B3932" s="2" t="n"/>
      <c r="C3932" s="40" t="n"/>
    </row>
    <row r="3933">
      <c r="B3933" s="2" t="n"/>
      <c r="C3933" s="40" t="n"/>
    </row>
    <row r="3934">
      <c r="B3934" s="2" t="n"/>
      <c r="C3934" s="40" t="n"/>
    </row>
    <row r="3935">
      <c r="B3935" s="2" t="n"/>
      <c r="C3935" s="40" t="n"/>
    </row>
    <row r="3936">
      <c r="B3936" s="2" t="n"/>
      <c r="C3936" s="40" t="n"/>
    </row>
    <row r="3937">
      <c r="B3937" s="2" t="n"/>
      <c r="C3937" s="40" t="n"/>
    </row>
    <row r="3938">
      <c r="B3938" s="2" t="n"/>
      <c r="C3938" s="40" t="n"/>
    </row>
    <row r="3939">
      <c r="B3939" s="2" t="n"/>
      <c r="C3939" s="40" t="n"/>
    </row>
    <row r="3940">
      <c r="B3940" s="2" t="n"/>
      <c r="C3940" s="40" t="n"/>
    </row>
    <row r="3941">
      <c r="B3941" s="2" t="n"/>
      <c r="C3941" s="40" t="n"/>
    </row>
    <row r="3942">
      <c r="B3942" s="2" t="n"/>
      <c r="C3942" s="40" t="n"/>
    </row>
    <row r="3943">
      <c r="B3943" s="2" t="n"/>
      <c r="C3943" s="40" t="n"/>
    </row>
    <row r="3944">
      <c r="B3944" s="2" t="n"/>
      <c r="C3944" s="40" t="n"/>
    </row>
    <row r="3945">
      <c r="B3945" s="2" t="n"/>
      <c r="C3945" s="40" t="n"/>
    </row>
    <row r="3946">
      <c r="B3946" s="2" t="n"/>
      <c r="C3946" s="40" t="n"/>
    </row>
    <row r="3947">
      <c r="B3947" s="2" t="n"/>
      <c r="C3947" s="40" t="n"/>
    </row>
    <row r="3948">
      <c r="B3948" s="2" t="n"/>
      <c r="C3948" s="40" t="n"/>
    </row>
    <row r="3949">
      <c r="B3949" s="2" t="n"/>
      <c r="C3949" s="40" t="n"/>
    </row>
    <row r="3950">
      <c r="B3950" s="2" t="n"/>
      <c r="C3950" s="40" t="n"/>
    </row>
    <row r="3951">
      <c r="B3951" s="2" t="n"/>
      <c r="C3951" s="40" t="n"/>
    </row>
    <row r="3952">
      <c r="B3952" s="2" t="n"/>
      <c r="C3952" s="40" t="n"/>
    </row>
    <row r="3953">
      <c r="B3953" s="2" t="n"/>
      <c r="C3953" s="40" t="n"/>
    </row>
    <row r="3954">
      <c r="B3954" s="2" t="n"/>
      <c r="C3954" s="40" t="n"/>
    </row>
    <row r="3955">
      <c r="B3955" s="2" t="n"/>
      <c r="C3955" s="40" t="n"/>
    </row>
    <row r="3956">
      <c r="B3956" s="2" t="n"/>
      <c r="C3956" s="40" t="n"/>
    </row>
    <row r="3957">
      <c r="B3957" s="2" t="n"/>
      <c r="C3957" s="40" t="n"/>
    </row>
    <row r="3958">
      <c r="B3958" s="2" t="n"/>
      <c r="C3958" s="40" t="n"/>
    </row>
    <row r="3959">
      <c r="B3959" s="2" t="n"/>
      <c r="C3959" s="40" t="n"/>
    </row>
    <row r="3960">
      <c r="B3960" s="2" t="n"/>
      <c r="C3960" s="40" t="n"/>
    </row>
    <row r="3961">
      <c r="B3961" s="2" t="n"/>
      <c r="C3961" s="40" t="n"/>
    </row>
    <row r="3962">
      <c r="B3962" s="2" t="n"/>
      <c r="C3962" s="40" t="n"/>
    </row>
    <row r="3963">
      <c r="B3963" s="2" t="n"/>
      <c r="C3963" s="40" t="n"/>
    </row>
    <row r="3964">
      <c r="B3964" s="2" t="n"/>
      <c r="C3964" s="40" t="n"/>
    </row>
    <row r="3965">
      <c r="B3965" s="2" t="n"/>
      <c r="C3965" s="40" t="n"/>
    </row>
    <row r="3966">
      <c r="B3966" s="2" t="n"/>
      <c r="C3966" s="40" t="n"/>
    </row>
    <row r="3967">
      <c r="B3967" s="2" t="n"/>
      <c r="C3967" s="40" t="n"/>
    </row>
    <row r="3968">
      <c r="B3968" s="2" t="n"/>
      <c r="C3968" s="40" t="n"/>
    </row>
    <row r="3969">
      <c r="B3969" s="2" t="n"/>
      <c r="C3969" s="40" t="n"/>
    </row>
    <row r="3970">
      <c r="B3970" s="2" t="n"/>
      <c r="C3970" s="40" t="n"/>
    </row>
    <row r="3971">
      <c r="B3971" s="2" t="n"/>
      <c r="C3971" s="40" t="n"/>
    </row>
    <row r="3972">
      <c r="B3972" s="2" t="n"/>
      <c r="C3972" s="40" t="n"/>
    </row>
    <row r="3973">
      <c r="B3973" s="2" t="n"/>
      <c r="C3973" s="40" t="n"/>
    </row>
    <row r="3974">
      <c r="B3974" s="2" t="n"/>
      <c r="C3974" s="40" t="n"/>
    </row>
    <row r="3975">
      <c r="B3975" s="2" t="n"/>
      <c r="C3975" s="40" t="n"/>
    </row>
    <row r="3976">
      <c r="B3976" s="2" t="n"/>
      <c r="C3976" s="40" t="n"/>
    </row>
    <row r="3977">
      <c r="B3977" s="2" t="n"/>
      <c r="C3977" s="40" t="n"/>
    </row>
    <row r="3978">
      <c r="B3978" s="2" t="n"/>
      <c r="C3978" s="40" t="n"/>
    </row>
    <row r="3979">
      <c r="B3979" s="2" t="n"/>
      <c r="C3979" s="40" t="n"/>
    </row>
    <row r="3980">
      <c r="B3980" s="2" t="n"/>
      <c r="C3980" s="40" t="n"/>
    </row>
    <row r="3981">
      <c r="B3981" s="2" t="n"/>
      <c r="C3981" s="40" t="n"/>
    </row>
    <row r="3982">
      <c r="B3982" s="2" t="n"/>
      <c r="C3982" s="40" t="n"/>
    </row>
    <row r="3983">
      <c r="B3983" s="2" t="n"/>
      <c r="C3983" s="40" t="n"/>
    </row>
    <row r="3984">
      <c r="B3984" s="2" t="n"/>
      <c r="C3984" s="40" t="n"/>
    </row>
    <row r="3985">
      <c r="B3985" s="2" t="n"/>
      <c r="C3985" s="40" t="n"/>
    </row>
    <row r="3986">
      <c r="B3986" s="2" t="n"/>
      <c r="C3986" s="40" t="n"/>
    </row>
    <row r="3987">
      <c r="B3987" s="2" t="n"/>
      <c r="C3987" s="40" t="n"/>
    </row>
    <row r="3988">
      <c r="B3988" s="2" t="n"/>
      <c r="C3988" s="40" t="n"/>
    </row>
    <row r="3989">
      <c r="B3989" s="2" t="n"/>
      <c r="C3989" s="40" t="n"/>
    </row>
    <row r="3990">
      <c r="B3990" s="2" t="n"/>
      <c r="C3990" s="40" t="n"/>
    </row>
    <row r="3991">
      <c r="B3991" s="2" t="n"/>
      <c r="C3991" s="40" t="n"/>
    </row>
    <row r="3992">
      <c r="B3992" s="2" t="n"/>
      <c r="C3992" s="40" t="n"/>
    </row>
    <row r="3993">
      <c r="B3993" s="2" t="n"/>
      <c r="C3993" s="40" t="n"/>
    </row>
    <row r="3994">
      <c r="B3994" s="2" t="n"/>
      <c r="C3994" s="40" t="n"/>
    </row>
    <row r="3995">
      <c r="B3995" s="2" t="n"/>
      <c r="C3995" s="40" t="n"/>
    </row>
    <row r="3996">
      <c r="B3996" s="2" t="n"/>
      <c r="C3996" s="40" t="n"/>
    </row>
    <row r="3997">
      <c r="B3997" s="2" t="n"/>
      <c r="C3997" s="40" t="n"/>
    </row>
    <row r="3998">
      <c r="B3998" s="2" t="n"/>
      <c r="C3998" s="40" t="n"/>
    </row>
    <row r="3999">
      <c r="B3999" s="2" t="n"/>
      <c r="C3999" s="40" t="n"/>
    </row>
    <row r="4000">
      <c r="B4000" s="2" t="n"/>
      <c r="C4000" s="40" t="n"/>
    </row>
    <row r="4001">
      <c r="B4001" s="2" t="n"/>
      <c r="C4001" s="40" t="n"/>
    </row>
    <row r="4002">
      <c r="B4002" s="2" t="n"/>
      <c r="C4002" s="40" t="n"/>
    </row>
    <row r="4003">
      <c r="B4003" s="2" t="n"/>
      <c r="C4003" s="40" t="n"/>
    </row>
    <row r="4004">
      <c r="B4004" s="2" t="n"/>
      <c r="C4004" s="40" t="n"/>
    </row>
    <row r="4005">
      <c r="B4005" s="2" t="n"/>
      <c r="C4005" s="40" t="n"/>
    </row>
    <row r="4006">
      <c r="B4006" s="2" t="n"/>
      <c r="C4006" s="40" t="n"/>
    </row>
    <row r="4007">
      <c r="B4007" s="2" t="n"/>
      <c r="C4007" s="40" t="n"/>
    </row>
    <row r="4008">
      <c r="B4008" s="2" t="n"/>
      <c r="C4008" s="40" t="n"/>
    </row>
    <row r="4009">
      <c r="B4009" s="2" t="n"/>
      <c r="C4009" s="40" t="n"/>
    </row>
    <row r="4010">
      <c r="B4010" s="2" t="n"/>
      <c r="C4010" s="40" t="n"/>
    </row>
    <row r="4011">
      <c r="B4011" s="2" t="n"/>
      <c r="C4011" s="40" t="n"/>
    </row>
    <row r="4012">
      <c r="B4012" s="2" t="n"/>
      <c r="C4012" s="40" t="n"/>
    </row>
    <row r="4013">
      <c r="B4013" s="2" t="n"/>
      <c r="C4013" s="40" t="n"/>
    </row>
    <row r="4014">
      <c r="B4014" s="2" t="n"/>
      <c r="C4014" s="40" t="n"/>
    </row>
    <row r="4015">
      <c r="B4015" s="2" t="n"/>
      <c r="C4015" s="40" t="n"/>
    </row>
    <row r="4016">
      <c r="B4016" s="2" t="n"/>
      <c r="C4016" s="40" t="n"/>
    </row>
    <row r="4017">
      <c r="B4017" s="2" t="n"/>
      <c r="C4017" s="40" t="n"/>
    </row>
    <row r="4018">
      <c r="B4018" s="2" t="n"/>
      <c r="C4018" s="40" t="n"/>
    </row>
    <row r="4019">
      <c r="B4019" s="2" t="n"/>
      <c r="C4019" s="40" t="n"/>
    </row>
    <row r="4020">
      <c r="B4020" s="2" t="n"/>
      <c r="C4020" s="40" t="n"/>
    </row>
    <row r="4021">
      <c r="B4021" s="2" t="n"/>
      <c r="C4021" s="40" t="n"/>
    </row>
    <row r="4022">
      <c r="B4022" s="2" t="n"/>
      <c r="C4022" s="40" t="n"/>
    </row>
    <row r="4023">
      <c r="B4023" s="2" t="n"/>
      <c r="C4023" s="40" t="n"/>
    </row>
    <row r="4024">
      <c r="B4024" s="2" t="n"/>
      <c r="C4024" s="40" t="n"/>
    </row>
    <row r="4025">
      <c r="B4025" s="2" t="n"/>
      <c r="C4025" s="40" t="n"/>
    </row>
    <row r="4026">
      <c r="B4026" s="2" t="n"/>
      <c r="C4026" s="40" t="n"/>
    </row>
    <row r="4027">
      <c r="B4027" s="2" t="n"/>
      <c r="C4027" s="40" t="n"/>
    </row>
    <row r="4028">
      <c r="B4028" s="2" t="n"/>
      <c r="C4028" s="40" t="n"/>
    </row>
    <row r="4029">
      <c r="B4029" s="2" t="n"/>
      <c r="C4029" s="40" t="n"/>
    </row>
    <row r="4030">
      <c r="B4030" s="2" t="n"/>
      <c r="C4030" s="40" t="n"/>
    </row>
    <row r="4031">
      <c r="B4031" s="2" t="n"/>
      <c r="C4031" s="40" t="n"/>
    </row>
    <row r="4032">
      <c r="B4032" s="2" t="n"/>
      <c r="C4032" s="40" t="n"/>
    </row>
    <row r="4033">
      <c r="B4033" s="2" t="n"/>
      <c r="C4033" s="40" t="n"/>
    </row>
    <row r="4034">
      <c r="B4034" s="2" t="n"/>
      <c r="C4034" s="40" t="n"/>
    </row>
    <row r="4035">
      <c r="B4035" s="2" t="n"/>
      <c r="C4035" s="40" t="n"/>
    </row>
    <row r="4036">
      <c r="B4036" s="2" t="n"/>
      <c r="C4036" s="40" t="n"/>
    </row>
    <row r="4037">
      <c r="B4037" s="2" t="n"/>
      <c r="C4037" s="40" t="n"/>
    </row>
    <row r="4038">
      <c r="B4038" s="2" t="n"/>
      <c r="C4038" s="40" t="n"/>
    </row>
    <row r="4039">
      <c r="B4039" s="2" t="n"/>
      <c r="C4039" s="40" t="n"/>
    </row>
    <row r="4040">
      <c r="B4040" s="2" t="n"/>
      <c r="C4040" s="40" t="n"/>
    </row>
    <row r="4041">
      <c r="B4041" s="2" t="n"/>
      <c r="C4041" s="40" t="n"/>
    </row>
    <row r="4042">
      <c r="B4042" s="2" t="n"/>
      <c r="C4042" s="40" t="n"/>
    </row>
    <row r="4043">
      <c r="B4043" s="2" t="n"/>
      <c r="C4043" s="40" t="n"/>
    </row>
    <row r="4044">
      <c r="B4044" s="2" t="n"/>
      <c r="C4044" s="40" t="n"/>
    </row>
    <row r="4045">
      <c r="B4045" s="2" t="n"/>
      <c r="C4045" s="40" t="n"/>
    </row>
    <row r="4046">
      <c r="B4046" s="2" t="n"/>
      <c r="C4046" s="40" t="n"/>
    </row>
    <row r="4047">
      <c r="B4047" s="2" t="n"/>
      <c r="C4047" s="40" t="n"/>
    </row>
    <row r="4048">
      <c r="B4048" s="2" t="n"/>
      <c r="C4048" s="40" t="n"/>
    </row>
    <row r="4049">
      <c r="B4049" s="2" t="n"/>
      <c r="C4049" s="40" t="n"/>
    </row>
    <row r="4050">
      <c r="B4050" s="2" t="n"/>
      <c r="C4050" s="40" t="n"/>
    </row>
    <row r="4051">
      <c r="B4051" s="2" t="n"/>
      <c r="C4051" s="40" t="n"/>
    </row>
    <row r="4052">
      <c r="B4052" s="2" t="n"/>
      <c r="C4052" s="40" t="n"/>
    </row>
    <row r="4053">
      <c r="B4053" s="2" t="n"/>
      <c r="C4053" s="40" t="n"/>
    </row>
    <row r="4054">
      <c r="B4054" s="2" t="n"/>
      <c r="C4054" s="40" t="n"/>
    </row>
    <row r="4055">
      <c r="B4055" s="2" t="n"/>
      <c r="C4055" s="40" t="n"/>
    </row>
    <row r="4056">
      <c r="B4056" s="2" t="n"/>
      <c r="C4056" s="40" t="n"/>
    </row>
    <row r="4057">
      <c r="B4057" s="2" t="n"/>
      <c r="C4057" s="40" t="n"/>
    </row>
    <row r="4058">
      <c r="B4058" s="2" t="n"/>
      <c r="C4058" s="40" t="n"/>
    </row>
    <row r="4059">
      <c r="B4059" s="2" t="n"/>
      <c r="C4059" s="40" t="n"/>
    </row>
    <row r="4060">
      <c r="B4060" s="2" t="n"/>
      <c r="C4060" s="40" t="n"/>
    </row>
    <row r="4061">
      <c r="B4061" s="2" t="n"/>
      <c r="C4061" s="40" t="n"/>
    </row>
    <row r="4062">
      <c r="B4062" s="2" t="n"/>
      <c r="C4062" s="40" t="n"/>
    </row>
    <row r="4063">
      <c r="B4063" s="2" t="n"/>
      <c r="C4063" s="40" t="n"/>
    </row>
    <row r="4064">
      <c r="B4064" s="2" t="n"/>
      <c r="C4064" s="40" t="n"/>
    </row>
    <row r="4065">
      <c r="B4065" s="2" t="n"/>
      <c r="C4065" s="40" t="n"/>
    </row>
    <row r="4066">
      <c r="B4066" s="2" t="n"/>
      <c r="C4066" s="40" t="n"/>
    </row>
    <row r="4067">
      <c r="B4067" s="2" t="n"/>
      <c r="C4067" s="40" t="n"/>
    </row>
    <row r="4068">
      <c r="B4068" s="2" t="n"/>
      <c r="C4068" s="40" t="n"/>
    </row>
    <row r="4069">
      <c r="B4069" s="2" t="n"/>
      <c r="C4069" s="40" t="n"/>
    </row>
    <row r="4070">
      <c r="B4070" s="2" t="n"/>
      <c r="C4070" s="40" t="n"/>
    </row>
    <row r="4071">
      <c r="B4071" s="2" t="n"/>
      <c r="C4071" s="40" t="n"/>
    </row>
    <row r="4072">
      <c r="B4072" s="2" t="n"/>
      <c r="C4072" s="40" t="n"/>
    </row>
    <row r="4073">
      <c r="B4073" s="2" t="n"/>
      <c r="C4073" s="40" t="n"/>
    </row>
    <row r="4074">
      <c r="B4074" s="2" t="n"/>
      <c r="C4074" s="40" t="n"/>
    </row>
    <row r="4075">
      <c r="B4075" s="2" t="n"/>
      <c r="C4075" s="40" t="n"/>
    </row>
    <row r="4076">
      <c r="B4076" s="2" t="n"/>
      <c r="C4076" s="40" t="n"/>
    </row>
    <row r="4077">
      <c r="B4077" s="2" t="n"/>
      <c r="C4077" s="40" t="n"/>
    </row>
    <row r="4078">
      <c r="B4078" s="2" t="n"/>
      <c r="C4078" s="40" t="n"/>
    </row>
    <row r="4079">
      <c r="B4079" s="2" t="n"/>
      <c r="C4079" s="40" t="n"/>
    </row>
    <row r="4080">
      <c r="B4080" s="2" t="n"/>
      <c r="C4080" s="40" t="n"/>
    </row>
    <row r="4081">
      <c r="B4081" s="2" t="n"/>
      <c r="C4081" s="40" t="n"/>
    </row>
    <row r="4082">
      <c r="B4082" s="2" t="n"/>
      <c r="C4082" s="40" t="n"/>
    </row>
    <row r="4083">
      <c r="B4083" s="2" t="n"/>
      <c r="C4083" s="40" t="n"/>
    </row>
    <row r="4084">
      <c r="B4084" s="2" t="n"/>
      <c r="C4084" s="40" t="n"/>
    </row>
    <row r="4085">
      <c r="B4085" s="2" t="n"/>
      <c r="C4085" s="40" t="n"/>
    </row>
    <row r="4086">
      <c r="B4086" s="2" t="n"/>
      <c r="C4086" s="40" t="n"/>
    </row>
    <row r="4087">
      <c r="B4087" s="2" t="n"/>
      <c r="C4087" s="40" t="n"/>
    </row>
    <row r="4088">
      <c r="B4088" s="2" t="n"/>
      <c r="C4088" s="40" t="n"/>
    </row>
    <row r="4089">
      <c r="B4089" s="2" t="n"/>
      <c r="C4089" s="40" t="n"/>
    </row>
    <row r="4090">
      <c r="B4090" s="2" t="n"/>
      <c r="C4090" s="40" t="n"/>
    </row>
    <row r="4091">
      <c r="B4091" s="2" t="n"/>
      <c r="C4091" s="40" t="n"/>
    </row>
    <row r="4092">
      <c r="B4092" s="2" t="n"/>
      <c r="C4092" s="40" t="n"/>
    </row>
    <row r="4093">
      <c r="B4093" s="2" t="n"/>
      <c r="C4093" s="40" t="n"/>
    </row>
    <row r="4094">
      <c r="B4094" s="2" t="n"/>
      <c r="C4094" s="40" t="n"/>
    </row>
    <row r="4095">
      <c r="B4095" s="2" t="n"/>
      <c r="C4095" s="40" t="n"/>
    </row>
    <row r="4096">
      <c r="B4096" s="2" t="n"/>
      <c r="C4096" s="40" t="n"/>
    </row>
    <row r="4097">
      <c r="B4097" s="2" t="n"/>
      <c r="C4097" s="40" t="n"/>
    </row>
    <row r="4098">
      <c r="B4098" s="2" t="n"/>
      <c r="C4098" s="40" t="n"/>
    </row>
    <row r="4099">
      <c r="B4099" s="2" t="n"/>
      <c r="C4099" s="40" t="n"/>
    </row>
    <row r="4100">
      <c r="B4100" s="2" t="n"/>
      <c r="C4100" s="40" t="n"/>
    </row>
    <row r="4101">
      <c r="B4101" s="2" t="n"/>
      <c r="C4101" s="40" t="n"/>
    </row>
    <row r="4102">
      <c r="B4102" s="2" t="n"/>
      <c r="C4102" s="40" t="n"/>
    </row>
    <row r="4103">
      <c r="B4103" s="2" t="n"/>
      <c r="C4103" s="40" t="n"/>
    </row>
    <row r="4104">
      <c r="B4104" s="2" t="n"/>
      <c r="C4104" s="40" t="n"/>
    </row>
    <row r="4105">
      <c r="B4105" s="2" t="n"/>
      <c r="C4105" s="40" t="n"/>
    </row>
    <row r="4106">
      <c r="B4106" s="2" t="n"/>
      <c r="C4106" s="40" t="n"/>
    </row>
    <row r="4107">
      <c r="B4107" s="2" t="n"/>
      <c r="C4107" s="40" t="n"/>
    </row>
    <row r="4108">
      <c r="B4108" s="2" t="n"/>
      <c r="C4108" s="40" t="n"/>
    </row>
    <row r="4109">
      <c r="B4109" s="2" t="n"/>
      <c r="C4109" s="40" t="n"/>
    </row>
    <row r="4110">
      <c r="B4110" s="2" t="n"/>
      <c r="C4110" s="40" t="n"/>
    </row>
    <row r="4111">
      <c r="B4111" s="2" t="n"/>
      <c r="C4111" s="40" t="n"/>
    </row>
    <row r="4112">
      <c r="B4112" s="2" t="n"/>
      <c r="C4112" s="40" t="n"/>
    </row>
    <row r="4113">
      <c r="B4113" s="2" t="n"/>
      <c r="C4113" s="40" t="n"/>
    </row>
    <row r="4114">
      <c r="B4114" s="2" t="n"/>
      <c r="C4114" s="40" t="n"/>
    </row>
    <row r="4115">
      <c r="B4115" s="2" t="n"/>
      <c r="C4115" s="40" t="n"/>
    </row>
    <row r="4116">
      <c r="B4116" s="2" t="n"/>
      <c r="C4116" s="40" t="n"/>
    </row>
    <row r="4117">
      <c r="B4117" s="2" t="n"/>
      <c r="C4117" s="40" t="n"/>
    </row>
    <row r="4118">
      <c r="B4118" s="2" t="n"/>
      <c r="C4118" s="40" t="n"/>
    </row>
    <row r="4119">
      <c r="B4119" s="2" t="n"/>
      <c r="C4119" s="40" t="n"/>
    </row>
    <row r="4120">
      <c r="B4120" s="2" t="n"/>
      <c r="C4120" s="40" t="n"/>
    </row>
    <row r="4121">
      <c r="B4121" s="2" t="n"/>
      <c r="C4121" s="40" t="n"/>
    </row>
    <row r="4122">
      <c r="B4122" s="2" t="n"/>
      <c r="C4122" s="40" t="n"/>
    </row>
    <row r="4123">
      <c r="B4123" s="2" t="n"/>
      <c r="C4123" s="40" t="n"/>
    </row>
    <row r="4124">
      <c r="B4124" s="2" t="n"/>
      <c r="C4124" s="40" t="n"/>
    </row>
    <row r="4125">
      <c r="B4125" s="2" t="n"/>
      <c r="C4125" s="40" t="n"/>
    </row>
    <row r="4126">
      <c r="B4126" s="2" t="n"/>
      <c r="C4126" s="40" t="n"/>
    </row>
    <row r="4127">
      <c r="B4127" s="2" t="n"/>
      <c r="C4127" s="40" t="n"/>
    </row>
    <row r="4128">
      <c r="B4128" s="2" t="n"/>
      <c r="C4128" s="40" t="n"/>
    </row>
    <row r="4129">
      <c r="B4129" s="2" t="n"/>
      <c r="C4129" s="40" t="n"/>
    </row>
    <row r="4130">
      <c r="B4130" s="2" t="n"/>
      <c r="C4130" s="40" t="n"/>
    </row>
    <row r="4131">
      <c r="B4131" s="2" t="n"/>
      <c r="C4131" s="40" t="n"/>
    </row>
    <row r="4132">
      <c r="B4132" s="2" t="n"/>
      <c r="C4132" s="40" t="n"/>
    </row>
    <row r="4133">
      <c r="B4133" s="2" t="n"/>
      <c r="C4133" s="40" t="n"/>
    </row>
    <row r="4134">
      <c r="B4134" s="2" t="n"/>
      <c r="C4134" s="40" t="n"/>
    </row>
    <row r="4135">
      <c r="B4135" s="2" t="n"/>
      <c r="C4135" s="40" t="n"/>
    </row>
    <row r="4136">
      <c r="B4136" s="2" t="n"/>
      <c r="C4136" s="40" t="n"/>
    </row>
    <row r="4137">
      <c r="B4137" s="2" t="n"/>
      <c r="C4137" s="40" t="n"/>
    </row>
    <row r="4138">
      <c r="B4138" s="2" t="n"/>
      <c r="C4138" s="40" t="n"/>
    </row>
    <row r="4139">
      <c r="B4139" s="2" t="n"/>
      <c r="C4139" s="40" t="n"/>
    </row>
    <row r="4140">
      <c r="B4140" s="2" t="n"/>
      <c r="C4140" s="40" t="n"/>
    </row>
    <row r="4141">
      <c r="B4141" s="2" t="n"/>
      <c r="C4141" s="40" t="n"/>
    </row>
    <row r="4142">
      <c r="B4142" s="2" t="n"/>
      <c r="C4142" s="40" t="n"/>
    </row>
    <row r="4143">
      <c r="B4143" s="2" t="n"/>
      <c r="C4143" s="40" t="n"/>
    </row>
    <row r="4144">
      <c r="B4144" s="2" t="n"/>
      <c r="C4144" s="40" t="n"/>
    </row>
    <row r="4145">
      <c r="B4145" s="2" t="n"/>
      <c r="C4145" s="40" t="n"/>
    </row>
    <row r="4146">
      <c r="B4146" s="2" t="n"/>
      <c r="C4146" s="40" t="n"/>
    </row>
    <row r="4147">
      <c r="B4147" s="2" t="n"/>
      <c r="C4147" s="40" t="n"/>
    </row>
    <row r="4148">
      <c r="B4148" s="2" t="n"/>
      <c r="C4148" s="40" t="n"/>
    </row>
    <row r="4149">
      <c r="B4149" s="2" t="n"/>
      <c r="C4149" s="40" t="n"/>
    </row>
    <row r="4150">
      <c r="B4150" s="2" t="n"/>
      <c r="C4150" s="40" t="n"/>
    </row>
    <row r="4151">
      <c r="B4151" s="2" t="n"/>
      <c r="C4151" s="40" t="n"/>
    </row>
    <row r="4152">
      <c r="B4152" s="2" t="n"/>
      <c r="C4152" s="40" t="n"/>
    </row>
    <row r="4153">
      <c r="B4153" s="2" t="n"/>
      <c r="C4153" s="40" t="n"/>
    </row>
    <row r="4154">
      <c r="B4154" s="2" t="n"/>
      <c r="C4154" s="40" t="n"/>
    </row>
    <row r="4155">
      <c r="B4155" s="2" t="n"/>
      <c r="C4155" s="40" t="n"/>
    </row>
    <row r="4156">
      <c r="B4156" s="2" t="n"/>
      <c r="C4156" s="40" t="n"/>
    </row>
    <row r="4157">
      <c r="B4157" s="2" t="n"/>
      <c r="C4157" s="40" t="n"/>
    </row>
    <row r="4158">
      <c r="B4158" s="2" t="n"/>
      <c r="C4158" s="40" t="n"/>
    </row>
    <row r="4159">
      <c r="B4159" s="2" t="n"/>
      <c r="C4159" s="40" t="n"/>
    </row>
    <row r="4160">
      <c r="B4160" s="2" t="n"/>
      <c r="C4160" s="40" t="n"/>
    </row>
    <row r="4161">
      <c r="B4161" s="2" t="n"/>
      <c r="C4161" s="40" t="n"/>
    </row>
    <row r="4162">
      <c r="B4162" s="2" t="n"/>
      <c r="C4162" s="40" t="n"/>
    </row>
    <row r="4163">
      <c r="B4163" s="2" t="n"/>
      <c r="C4163" s="40" t="n"/>
    </row>
    <row r="4164">
      <c r="B4164" s="2" t="n"/>
      <c r="C4164" s="40" t="n"/>
    </row>
    <row r="4165">
      <c r="B4165" s="2" t="n"/>
      <c r="C4165" s="40" t="n"/>
    </row>
    <row r="4166">
      <c r="B4166" s="2" t="n"/>
      <c r="C4166" s="40" t="n"/>
    </row>
    <row r="4167">
      <c r="B4167" s="2" t="n"/>
      <c r="C4167" s="40" t="n"/>
    </row>
    <row r="4168">
      <c r="B4168" s="2" t="n"/>
      <c r="C4168" s="40" t="n"/>
    </row>
    <row r="4169">
      <c r="B4169" s="2" t="n"/>
      <c r="C4169" s="40" t="n"/>
    </row>
    <row r="4170">
      <c r="B4170" s="2" t="n"/>
      <c r="C4170" s="40" t="n"/>
    </row>
    <row r="4171">
      <c r="B4171" s="2" t="n"/>
      <c r="C4171" s="40" t="n"/>
    </row>
    <row r="4172">
      <c r="B4172" s="2" t="n"/>
      <c r="C4172" s="40" t="n"/>
    </row>
    <row r="4173">
      <c r="B4173" s="2" t="n"/>
      <c r="C4173" s="40" t="n"/>
    </row>
    <row r="4174">
      <c r="B4174" s="2" t="n"/>
      <c r="C4174" s="40" t="n"/>
    </row>
    <row r="4175">
      <c r="B4175" s="2" t="n"/>
      <c r="C4175" s="40" t="n"/>
    </row>
    <row r="4176">
      <c r="B4176" s="2" t="n"/>
      <c r="C4176" s="40" t="n"/>
    </row>
    <row r="4177">
      <c r="B4177" s="2" t="n"/>
      <c r="C4177" s="40" t="n"/>
    </row>
    <row r="4178">
      <c r="B4178" s="2" t="n"/>
      <c r="C4178" s="40" t="n"/>
    </row>
    <row r="4179">
      <c r="B4179" s="2" t="n"/>
      <c r="C4179" s="40" t="n"/>
    </row>
    <row r="4180">
      <c r="B4180" s="2" t="n"/>
      <c r="C4180" s="40" t="n"/>
    </row>
    <row r="4181">
      <c r="B4181" s="2" t="n"/>
      <c r="C4181" s="40" t="n"/>
    </row>
    <row r="4182">
      <c r="B4182" s="2" t="n"/>
      <c r="C4182" s="40" t="n"/>
    </row>
    <row r="4183">
      <c r="B4183" s="2" t="n"/>
      <c r="C4183" s="40" t="n"/>
    </row>
    <row r="4184">
      <c r="B4184" s="2" t="n"/>
      <c r="C4184" s="40" t="n"/>
    </row>
    <row r="4185">
      <c r="B4185" s="2" t="n"/>
      <c r="C4185" s="40" t="n"/>
    </row>
    <row r="4186">
      <c r="B4186" s="2" t="n"/>
      <c r="C4186" s="40" t="n"/>
    </row>
    <row r="4187">
      <c r="B4187" s="2" t="n"/>
      <c r="C4187" s="40" t="n"/>
    </row>
    <row r="4188">
      <c r="B4188" s="2" t="n"/>
      <c r="C4188" s="40" t="n"/>
    </row>
    <row r="4189">
      <c r="B4189" s="2" t="n"/>
      <c r="C4189" s="40" t="n"/>
    </row>
    <row r="4190">
      <c r="B4190" s="2" t="n"/>
      <c r="C4190" s="40" t="n"/>
    </row>
    <row r="4191">
      <c r="B4191" s="2" t="n"/>
      <c r="C4191" s="40" t="n"/>
    </row>
    <row r="4192">
      <c r="B4192" s="2" t="n"/>
      <c r="C4192" s="40" t="n"/>
    </row>
    <row r="4193">
      <c r="B4193" s="2" t="n"/>
      <c r="C4193" s="40" t="n"/>
    </row>
    <row r="4194">
      <c r="B4194" s="2" t="n"/>
      <c r="C4194" s="40" t="n"/>
    </row>
    <row r="4195">
      <c r="B4195" s="2" t="n"/>
      <c r="C4195" s="40" t="n"/>
    </row>
    <row r="4196">
      <c r="B4196" s="2" t="n"/>
      <c r="C4196" s="40" t="n"/>
    </row>
    <row r="4197">
      <c r="B4197" s="2" t="n"/>
      <c r="C4197" s="40" t="n"/>
    </row>
    <row r="4198">
      <c r="B4198" s="2" t="n"/>
      <c r="C4198" s="40" t="n"/>
    </row>
    <row r="4199">
      <c r="B4199" s="2" t="n"/>
      <c r="C4199" s="40" t="n"/>
    </row>
    <row r="4200">
      <c r="B4200" s="2" t="n"/>
      <c r="C4200" s="40" t="n"/>
    </row>
    <row r="4201">
      <c r="B4201" s="2" t="n"/>
      <c r="C4201" s="40" t="n"/>
    </row>
    <row r="4202">
      <c r="B4202" s="2" t="n"/>
      <c r="C4202" s="40" t="n"/>
    </row>
    <row r="4203">
      <c r="B4203" s="2" t="n"/>
      <c r="C4203" s="40" t="n"/>
    </row>
    <row r="4204">
      <c r="B4204" s="2" t="n"/>
      <c r="C4204" s="40" t="n"/>
    </row>
    <row r="4205">
      <c r="B4205" s="2" t="n"/>
      <c r="C4205" s="40" t="n"/>
    </row>
    <row r="4206">
      <c r="B4206" s="2" t="n"/>
      <c r="C4206" s="40" t="n"/>
    </row>
    <row r="4207">
      <c r="B4207" s="2" t="n"/>
      <c r="C4207" s="40" t="n"/>
    </row>
    <row r="4208">
      <c r="B4208" s="2" t="n"/>
      <c r="C4208" s="40" t="n"/>
    </row>
    <row r="4209">
      <c r="B4209" s="2" t="n"/>
      <c r="C4209" s="40" t="n"/>
    </row>
    <row r="4210">
      <c r="B4210" s="2" t="n"/>
      <c r="C4210" s="40" t="n"/>
    </row>
    <row r="4211">
      <c r="B4211" s="2" t="n"/>
      <c r="C4211" s="40" t="n"/>
    </row>
    <row r="4212">
      <c r="B4212" s="2" t="n"/>
      <c r="C4212" s="40" t="n"/>
    </row>
    <row r="4213">
      <c r="B4213" s="2" t="n"/>
      <c r="C4213" s="40" t="n"/>
    </row>
    <row r="4214">
      <c r="B4214" s="2" t="n"/>
      <c r="C4214" s="40" t="n"/>
    </row>
    <row r="4215">
      <c r="B4215" s="2" t="n"/>
      <c r="C4215" s="40" t="n"/>
    </row>
    <row r="4216">
      <c r="B4216" s="2" t="n"/>
      <c r="C4216" s="40" t="n"/>
    </row>
    <row r="4217">
      <c r="B4217" s="2" t="n"/>
      <c r="C4217" s="40" t="n"/>
    </row>
    <row r="4218">
      <c r="B4218" s="2" t="n"/>
      <c r="C4218" s="40" t="n"/>
    </row>
    <row r="4219">
      <c r="B4219" s="2" t="n"/>
      <c r="C4219" s="40" t="n"/>
    </row>
    <row r="4220">
      <c r="B4220" s="2" t="n"/>
      <c r="C4220" s="40" t="n"/>
    </row>
    <row r="4221">
      <c r="B4221" s="2" t="n"/>
      <c r="C4221" s="40" t="n"/>
    </row>
    <row r="4222">
      <c r="B4222" s="2" t="n"/>
      <c r="C4222" s="40" t="n"/>
    </row>
    <row r="4223">
      <c r="B4223" s="2" t="n"/>
      <c r="C4223" s="40" t="n"/>
    </row>
    <row r="4224">
      <c r="B4224" s="2" t="n"/>
      <c r="C4224" s="40" t="n"/>
    </row>
    <row r="4225">
      <c r="B4225" s="2" t="n"/>
      <c r="C4225" s="40" t="n"/>
    </row>
    <row r="4226">
      <c r="B4226" s="2" t="n"/>
      <c r="C4226" s="40" t="n"/>
    </row>
    <row r="4227">
      <c r="B4227" s="2" t="n"/>
      <c r="C4227" s="40" t="n"/>
    </row>
    <row r="4228">
      <c r="B4228" s="2" t="n"/>
      <c r="C4228" s="40" t="n"/>
    </row>
    <row r="4229">
      <c r="B4229" s="2" t="n"/>
      <c r="C4229" s="40" t="n"/>
    </row>
    <row r="4230">
      <c r="B4230" s="2" t="n"/>
      <c r="C4230" s="40" t="n"/>
    </row>
    <row r="4231">
      <c r="B4231" s="2" t="n"/>
      <c r="C4231" s="40" t="n"/>
    </row>
    <row r="4232">
      <c r="B4232" s="2" t="n"/>
      <c r="C4232" s="40" t="n"/>
    </row>
    <row r="4233">
      <c r="B4233" s="2" t="n"/>
      <c r="C4233" s="40" t="n"/>
    </row>
    <row r="4234">
      <c r="B4234" s="2" t="n"/>
      <c r="C4234" s="40" t="n"/>
    </row>
    <row r="4235">
      <c r="B4235" s="2" t="n"/>
      <c r="C4235" s="40" t="n"/>
    </row>
    <row r="4236">
      <c r="B4236" s="2" t="n"/>
      <c r="C4236" s="40" t="n"/>
    </row>
    <row r="4237">
      <c r="B4237" s="2" t="n"/>
      <c r="C4237" s="40" t="n"/>
    </row>
    <row r="4238">
      <c r="B4238" s="2" t="n"/>
      <c r="C4238" s="40" t="n"/>
    </row>
    <row r="4239">
      <c r="B4239" s="2" t="n"/>
      <c r="C4239" s="40" t="n"/>
    </row>
    <row r="4240">
      <c r="B4240" s="2" t="n"/>
      <c r="C4240" s="40" t="n"/>
    </row>
    <row r="4241">
      <c r="B4241" s="2" t="n"/>
      <c r="C4241" s="40" t="n"/>
    </row>
    <row r="4242">
      <c r="B4242" s="2" t="n"/>
      <c r="C4242" s="40" t="n"/>
    </row>
    <row r="4243">
      <c r="B4243" s="2" t="n"/>
      <c r="C4243" s="40" t="n"/>
    </row>
    <row r="4244">
      <c r="B4244" s="2" t="n"/>
      <c r="C4244" s="40" t="n"/>
    </row>
    <row r="4245">
      <c r="B4245" s="2" t="n"/>
      <c r="C4245" s="40" t="n"/>
    </row>
    <row r="4246">
      <c r="B4246" s="2" t="n"/>
      <c r="C4246" s="40" t="n"/>
    </row>
    <row r="4247">
      <c r="B4247" s="2" t="n"/>
      <c r="C4247" s="40" t="n"/>
    </row>
    <row r="4248">
      <c r="B4248" s="2" t="n"/>
      <c r="C4248" s="40" t="n"/>
    </row>
    <row r="4249">
      <c r="B4249" s="2" t="n"/>
      <c r="C4249" s="40" t="n"/>
    </row>
    <row r="4250">
      <c r="B4250" s="2" t="n"/>
      <c r="C4250" s="40" t="n"/>
    </row>
    <row r="4251">
      <c r="B4251" s="2" t="n"/>
      <c r="C4251" s="40" t="n"/>
    </row>
    <row r="4252">
      <c r="B4252" s="2" t="n"/>
      <c r="C4252" s="40" t="n"/>
    </row>
    <row r="4253">
      <c r="B4253" s="2" t="n"/>
      <c r="C4253" s="40" t="n"/>
    </row>
    <row r="4254">
      <c r="B4254" s="2" t="n"/>
      <c r="C4254" s="40" t="n"/>
    </row>
    <row r="4255">
      <c r="B4255" s="2" t="n"/>
      <c r="C4255" s="40" t="n"/>
    </row>
    <row r="4256">
      <c r="B4256" s="2" t="n"/>
      <c r="C4256" s="40" t="n"/>
    </row>
    <row r="4257">
      <c r="B4257" s="2" t="n"/>
      <c r="C4257" s="40" t="n"/>
    </row>
    <row r="4258">
      <c r="B4258" s="2" t="n"/>
      <c r="C4258" s="40" t="n"/>
    </row>
    <row r="4259">
      <c r="B4259" s="2" t="n"/>
      <c r="C4259" s="40" t="n"/>
    </row>
    <row r="4260">
      <c r="B4260" s="2" t="n"/>
      <c r="C4260" s="40" t="n"/>
    </row>
    <row r="4261">
      <c r="B4261" s="2" t="n"/>
      <c r="C4261" s="40" t="n"/>
    </row>
    <row r="4262">
      <c r="B4262" s="2" t="n"/>
      <c r="C4262" s="40" t="n"/>
    </row>
    <row r="4263">
      <c r="B4263" s="2" t="n"/>
      <c r="C4263" s="40" t="n"/>
    </row>
    <row r="4264">
      <c r="B4264" s="2" t="n"/>
      <c r="C4264" s="40" t="n"/>
    </row>
    <row r="4265">
      <c r="B4265" s="2" t="n"/>
      <c r="C4265" s="40" t="n"/>
    </row>
    <row r="4266">
      <c r="B4266" s="2" t="n"/>
      <c r="C4266" s="40" t="n"/>
    </row>
    <row r="4267">
      <c r="B4267" s="2" t="n"/>
      <c r="C4267" s="40" t="n"/>
    </row>
    <row r="4268">
      <c r="B4268" s="2" t="n"/>
      <c r="C4268" s="40" t="n"/>
    </row>
    <row r="4269">
      <c r="B4269" s="2" t="n"/>
      <c r="C4269" s="40" t="n"/>
    </row>
    <row r="4270">
      <c r="B4270" s="2" t="n"/>
      <c r="C4270" s="40" t="n"/>
    </row>
    <row r="4271">
      <c r="B4271" s="2" t="n"/>
      <c r="C4271" s="40" t="n"/>
    </row>
    <row r="4272">
      <c r="B4272" s="2" t="n"/>
      <c r="C4272" s="40" t="n"/>
    </row>
    <row r="4273">
      <c r="B4273" s="2" t="n"/>
      <c r="C4273" s="40" t="n"/>
    </row>
    <row r="4274">
      <c r="B4274" s="2" t="n"/>
      <c r="C4274" s="40" t="n"/>
    </row>
    <row r="4275">
      <c r="B4275" s="2" t="n"/>
      <c r="C4275" s="40" t="n"/>
    </row>
    <row r="4276">
      <c r="B4276" s="2" t="n"/>
      <c r="C4276" s="40" t="n"/>
    </row>
    <row r="4277">
      <c r="B4277" s="2" t="n"/>
      <c r="C4277" s="40" t="n"/>
    </row>
    <row r="4278">
      <c r="B4278" s="2" t="n"/>
      <c r="C4278" s="40" t="n"/>
    </row>
    <row r="4279">
      <c r="B4279" s="2" t="n"/>
      <c r="C4279" s="40" t="n"/>
    </row>
    <row r="4280">
      <c r="B4280" s="2" t="n"/>
      <c r="C4280" s="40" t="n"/>
    </row>
    <row r="4281">
      <c r="B4281" s="2" t="n"/>
      <c r="C4281" s="40" t="n"/>
    </row>
    <row r="4282">
      <c r="B4282" s="2" t="n"/>
      <c r="C4282" s="40" t="n"/>
    </row>
    <row r="4283">
      <c r="B4283" s="2" t="n"/>
      <c r="C4283" s="40" t="n"/>
    </row>
    <row r="4284">
      <c r="B4284" s="2" t="n"/>
      <c r="C4284" s="40" t="n"/>
    </row>
    <row r="4285">
      <c r="B4285" s="2" t="n"/>
      <c r="C4285" s="40" t="n"/>
    </row>
    <row r="4286">
      <c r="B4286" s="2" t="n"/>
      <c r="C4286" s="40" t="n"/>
    </row>
    <row r="4287">
      <c r="B4287" s="2" t="n"/>
      <c r="C4287" s="40" t="n"/>
    </row>
    <row r="4288">
      <c r="B4288" s="2" t="n"/>
      <c r="C4288" s="40" t="n"/>
    </row>
    <row r="4289">
      <c r="B4289" s="2" t="n"/>
      <c r="C4289" s="40" t="n"/>
    </row>
    <row r="4290">
      <c r="B4290" s="2" t="n"/>
      <c r="C4290" s="40" t="n"/>
    </row>
    <row r="4291">
      <c r="B4291" s="2" t="n"/>
      <c r="C4291" s="40" t="n"/>
    </row>
    <row r="4292">
      <c r="B4292" s="2" t="n"/>
      <c r="C4292" s="40" t="n"/>
    </row>
    <row r="4293">
      <c r="B4293" s="2" t="n"/>
      <c r="C4293" s="40" t="n"/>
    </row>
    <row r="4294">
      <c r="B4294" s="2" t="n"/>
      <c r="C4294" s="40" t="n"/>
    </row>
    <row r="4295">
      <c r="B4295" s="2" t="n"/>
      <c r="C4295" s="40" t="n"/>
    </row>
    <row r="4296">
      <c r="B4296" s="2" t="n"/>
      <c r="C4296" s="40" t="n"/>
    </row>
    <row r="4297">
      <c r="B4297" s="2" t="n"/>
      <c r="C4297" s="40" t="n"/>
    </row>
    <row r="4298">
      <c r="B4298" s="2" t="n"/>
      <c r="C4298" s="40" t="n"/>
    </row>
    <row r="4299">
      <c r="B4299" s="2" t="n"/>
      <c r="C4299" s="40" t="n"/>
    </row>
    <row r="4300">
      <c r="B4300" s="2" t="n"/>
      <c r="C4300" s="40" t="n"/>
    </row>
    <row r="4301">
      <c r="B4301" s="2" t="n"/>
      <c r="C4301" s="40" t="n"/>
    </row>
    <row r="4302">
      <c r="B4302" s="2" t="n"/>
      <c r="C4302" s="40" t="n"/>
    </row>
    <row r="4303">
      <c r="B4303" s="2" t="n"/>
      <c r="C4303" s="40" t="n"/>
    </row>
    <row r="4304">
      <c r="B4304" s="2" t="n"/>
      <c r="C4304" s="40" t="n"/>
    </row>
    <row r="4305">
      <c r="B4305" s="2" t="n"/>
      <c r="C4305" s="40" t="n"/>
    </row>
    <row r="4306">
      <c r="B4306" s="2" t="n"/>
      <c r="C4306" s="40" t="n"/>
    </row>
    <row r="4307">
      <c r="B4307" s="2" t="n"/>
      <c r="C4307" s="40" t="n"/>
    </row>
    <row r="4308">
      <c r="B4308" s="2" t="n"/>
      <c r="C4308" s="40" t="n"/>
    </row>
    <row r="4309">
      <c r="B4309" s="2" t="n"/>
      <c r="C4309" s="40" t="n"/>
    </row>
    <row r="4310">
      <c r="B4310" s="2" t="n"/>
      <c r="C4310" s="40" t="n"/>
    </row>
    <row r="4311">
      <c r="B4311" s="2" t="n"/>
      <c r="C4311" s="40" t="n"/>
    </row>
    <row r="4312">
      <c r="B4312" s="2" t="n"/>
      <c r="C4312" s="40" t="n"/>
    </row>
    <row r="4313">
      <c r="B4313" s="2" t="n"/>
      <c r="C4313" s="40" t="n"/>
    </row>
    <row r="4314">
      <c r="B4314" s="2" t="n"/>
      <c r="C4314" s="40" t="n"/>
    </row>
    <row r="4315">
      <c r="B4315" s="2" t="n"/>
      <c r="C4315" s="40" t="n"/>
    </row>
    <row r="4316">
      <c r="B4316" s="2" t="n"/>
      <c r="C4316" s="40" t="n"/>
    </row>
    <row r="4317">
      <c r="B4317" s="2" t="n"/>
      <c r="C4317" s="40" t="n"/>
    </row>
    <row r="4318">
      <c r="B4318" s="2" t="n"/>
      <c r="C4318" s="40" t="n"/>
    </row>
    <row r="4319">
      <c r="B4319" s="2" t="n"/>
      <c r="C4319" s="40" t="n"/>
    </row>
    <row r="4320">
      <c r="B4320" s="2" t="n"/>
      <c r="C4320" s="40" t="n"/>
    </row>
    <row r="4321">
      <c r="B4321" s="2" t="n"/>
      <c r="C4321" s="40" t="n"/>
    </row>
    <row r="4322">
      <c r="B4322" s="2" t="n"/>
      <c r="C4322" s="40" t="n"/>
    </row>
    <row r="4323">
      <c r="B4323" s="2" t="n"/>
      <c r="C4323" s="40" t="n"/>
    </row>
    <row r="4324">
      <c r="B4324" s="2" t="n"/>
      <c r="C4324" s="40" t="n"/>
    </row>
    <row r="4325">
      <c r="B4325" s="2" t="n"/>
      <c r="C4325" s="40" t="n"/>
    </row>
    <row r="4326">
      <c r="B4326" s="2" t="n"/>
      <c r="C4326" s="40" t="n"/>
    </row>
    <row r="4327">
      <c r="B4327" s="2" t="n"/>
      <c r="C4327" s="40" t="n"/>
    </row>
    <row r="4328">
      <c r="B4328" s="2" t="n"/>
      <c r="C4328" s="40" t="n"/>
    </row>
    <row r="4329">
      <c r="B4329" s="2" t="n"/>
      <c r="C4329" s="40" t="n"/>
    </row>
    <row r="4330">
      <c r="B4330" s="2" t="n"/>
      <c r="C4330" s="40" t="n"/>
    </row>
    <row r="4331">
      <c r="B4331" s="2" t="n"/>
      <c r="C4331" s="40" t="n"/>
    </row>
    <row r="4332">
      <c r="B4332" s="2" t="n"/>
      <c r="C4332" s="40" t="n"/>
    </row>
    <row r="4333">
      <c r="B4333" s="2" t="n"/>
      <c r="C4333" s="40" t="n"/>
    </row>
    <row r="4334">
      <c r="B4334" s="2" t="n"/>
      <c r="C4334" s="40" t="n"/>
    </row>
    <row r="4335">
      <c r="B4335" s="2" t="n"/>
      <c r="C4335" s="40" t="n"/>
    </row>
    <row r="4336">
      <c r="B4336" s="2" t="n"/>
      <c r="C4336" s="40" t="n"/>
    </row>
    <row r="4337">
      <c r="B4337" s="2" t="n"/>
      <c r="C4337" s="40" t="n"/>
    </row>
    <row r="4338">
      <c r="B4338" s="2" t="n"/>
      <c r="C4338" s="40" t="n"/>
    </row>
    <row r="4339">
      <c r="B4339" s="2" t="n"/>
      <c r="C4339" s="40" t="n"/>
    </row>
    <row r="4340">
      <c r="B4340" s="2" t="n"/>
      <c r="C4340" s="40" t="n"/>
    </row>
    <row r="4341">
      <c r="B4341" s="2" t="n"/>
      <c r="C4341" s="40" t="n"/>
    </row>
    <row r="4342">
      <c r="B4342" s="2" t="n"/>
      <c r="C4342" s="40" t="n"/>
    </row>
    <row r="4343">
      <c r="B4343" s="2" t="n"/>
      <c r="C4343" s="40" t="n"/>
    </row>
    <row r="4344">
      <c r="B4344" s="2" t="n"/>
      <c r="C4344" s="40" t="n"/>
    </row>
    <row r="4345">
      <c r="B4345" s="2" t="n"/>
      <c r="C4345" s="40" t="n"/>
    </row>
    <row r="4346">
      <c r="B4346" s="2" t="n"/>
      <c r="C4346" s="40" t="n"/>
    </row>
    <row r="4347">
      <c r="B4347" s="2" t="n"/>
      <c r="C4347" s="40" t="n"/>
    </row>
    <row r="4348">
      <c r="B4348" s="2" t="n"/>
      <c r="C4348" s="40" t="n"/>
    </row>
    <row r="4349">
      <c r="B4349" s="2" t="n"/>
      <c r="C4349" s="40" t="n"/>
    </row>
    <row r="4350">
      <c r="B4350" s="2" t="n"/>
      <c r="C4350" s="40" t="n"/>
    </row>
    <row r="4351">
      <c r="B4351" s="2" t="n"/>
      <c r="C4351" s="40" t="n"/>
    </row>
    <row r="4352">
      <c r="B4352" s="2" t="n"/>
      <c r="C4352" s="40" t="n"/>
    </row>
    <row r="4353">
      <c r="B4353" s="2" t="n"/>
      <c r="C4353" s="40" t="n"/>
    </row>
    <row r="4354">
      <c r="B4354" s="2" t="n"/>
      <c r="C4354" s="40" t="n"/>
    </row>
    <row r="4355">
      <c r="B4355" s="2" t="n"/>
      <c r="C4355" s="40" t="n"/>
    </row>
    <row r="4356">
      <c r="B4356" s="2" t="n"/>
      <c r="C4356" s="40" t="n"/>
    </row>
    <row r="4357">
      <c r="B4357" s="2" t="n"/>
      <c r="C4357" s="40" t="n"/>
    </row>
    <row r="4358">
      <c r="B4358" s="2" t="n"/>
      <c r="C4358" s="40" t="n"/>
    </row>
    <row r="4359">
      <c r="B4359" s="2" t="n"/>
      <c r="C4359" s="40" t="n"/>
    </row>
    <row r="4360">
      <c r="B4360" s="2" t="n"/>
      <c r="C4360" s="40" t="n"/>
    </row>
    <row r="4361">
      <c r="B4361" s="2" t="n"/>
      <c r="C4361" s="40" t="n"/>
    </row>
    <row r="4362">
      <c r="B4362" s="2" t="n"/>
      <c r="C4362" s="40" t="n"/>
    </row>
    <row r="4363">
      <c r="B4363" s="2" t="n"/>
      <c r="C4363" s="40" t="n"/>
    </row>
    <row r="4364">
      <c r="B4364" s="2" t="n"/>
      <c r="C4364" s="40" t="n"/>
    </row>
    <row r="4365">
      <c r="B4365" s="2" t="n"/>
      <c r="C4365" s="40" t="n"/>
    </row>
    <row r="4366">
      <c r="B4366" s="2" t="n"/>
      <c r="C4366" s="40" t="n"/>
    </row>
    <row r="4367">
      <c r="B4367" s="2" t="n"/>
      <c r="C4367" s="40" t="n"/>
    </row>
    <row r="4368">
      <c r="B4368" s="2" t="n"/>
      <c r="C4368" s="40" t="n"/>
    </row>
    <row r="4369">
      <c r="B4369" s="2" t="n"/>
      <c r="C4369" s="40" t="n"/>
    </row>
    <row r="4370">
      <c r="B4370" s="2" t="n"/>
      <c r="C4370" s="40" t="n"/>
    </row>
    <row r="4371">
      <c r="B4371" s="2" t="n"/>
      <c r="C4371" s="40" t="n"/>
    </row>
    <row r="4372">
      <c r="B4372" s="2" t="n"/>
      <c r="C4372" s="40" t="n"/>
    </row>
    <row r="4373">
      <c r="B4373" s="2" t="n"/>
      <c r="C4373" s="40" t="n"/>
    </row>
    <row r="4374">
      <c r="B4374" s="2" t="n"/>
      <c r="C4374" s="40" t="n"/>
    </row>
    <row r="4375">
      <c r="B4375" s="2" t="n"/>
      <c r="C4375" s="40" t="n"/>
    </row>
    <row r="4376">
      <c r="B4376" s="2" t="n"/>
      <c r="C4376" s="40" t="n"/>
    </row>
    <row r="4377">
      <c r="B4377" s="2" t="n"/>
      <c r="C4377" s="40" t="n"/>
    </row>
    <row r="4378">
      <c r="B4378" s="2" t="n"/>
      <c r="C4378" s="40" t="n"/>
    </row>
    <row r="4379">
      <c r="B4379" s="2" t="n"/>
      <c r="C4379" s="40" t="n"/>
    </row>
    <row r="4380">
      <c r="B4380" s="2" t="n"/>
      <c r="C4380" s="40" t="n"/>
    </row>
    <row r="4381">
      <c r="B4381" s="2" t="n"/>
      <c r="C4381" s="40" t="n"/>
    </row>
    <row r="4382">
      <c r="B4382" s="2" t="n"/>
      <c r="C4382" s="40" t="n"/>
    </row>
    <row r="4383">
      <c r="B4383" s="2" t="n"/>
      <c r="C4383" s="40" t="n"/>
    </row>
    <row r="4384">
      <c r="B4384" s="2" t="n"/>
      <c r="C4384" s="40" t="n"/>
    </row>
    <row r="4385">
      <c r="B4385" s="2" t="n"/>
      <c r="C4385" s="40" t="n"/>
    </row>
    <row r="4386">
      <c r="B4386" s="2" t="n"/>
      <c r="C4386" s="40" t="n"/>
    </row>
    <row r="4387">
      <c r="B4387" s="2" t="n"/>
      <c r="C4387" s="40" t="n"/>
    </row>
    <row r="4388">
      <c r="B4388" s="2" t="n"/>
      <c r="C4388" s="40" t="n"/>
    </row>
    <row r="4389">
      <c r="B4389" s="2" t="n"/>
      <c r="C4389" s="40" t="n"/>
    </row>
    <row r="4390">
      <c r="B4390" s="2" t="n"/>
      <c r="C4390" s="40" t="n"/>
    </row>
    <row r="4391">
      <c r="B4391" s="2" t="n"/>
      <c r="C4391" s="40" t="n"/>
    </row>
    <row r="4392">
      <c r="B4392" s="2" t="n"/>
      <c r="C4392" s="40" t="n"/>
    </row>
    <row r="4393">
      <c r="B4393" s="2" t="n"/>
      <c r="C4393" s="40" t="n"/>
    </row>
    <row r="4394">
      <c r="B4394" s="2" t="n"/>
      <c r="C4394" s="40" t="n"/>
    </row>
    <row r="4395">
      <c r="B4395" s="2" t="n"/>
      <c r="C4395" s="40" t="n"/>
    </row>
    <row r="4396">
      <c r="B4396" s="2" t="n"/>
      <c r="C4396" s="40" t="n"/>
    </row>
    <row r="4397">
      <c r="B4397" s="2" t="n"/>
      <c r="C4397" s="40" t="n"/>
    </row>
    <row r="4398">
      <c r="B4398" s="2" t="n"/>
      <c r="C4398" s="40" t="n"/>
    </row>
    <row r="4399">
      <c r="B4399" s="2" t="n"/>
      <c r="C4399" s="40" t="n"/>
    </row>
    <row r="4400">
      <c r="B4400" s="2" t="n"/>
      <c r="C4400" s="40" t="n"/>
    </row>
    <row r="4401">
      <c r="B4401" s="2" t="n"/>
      <c r="C4401" s="40" t="n"/>
    </row>
    <row r="4402">
      <c r="B4402" s="2" t="n"/>
      <c r="C4402" s="40" t="n"/>
    </row>
    <row r="4403">
      <c r="B4403" s="2" t="n"/>
      <c r="C4403" s="40" t="n"/>
    </row>
    <row r="4404">
      <c r="B4404" s="2" t="n"/>
      <c r="C4404" s="40" t="n"/>
    </row>
    <row r="4405">
      <c r="B4405" s="2" t="n"/>
      <c r="C4405" s="40" t="n"/>
    </row>
    <row r="4406">
      <c r="B4406" s="2" t="n"/>
      <c r="C4406" s="40" t="n"/>
    </row>
    <row r="4407">
      <c r="B4407" s="2" t="n"/>
      <c r="C4407" s="40" t="n"/>
    </row>
    <row r="4408">
      <c r="B4408" s="2" t="n"/>
      <c r="C4408" s="40" t="n"/>
    </row>
    <row r="4409">
      <c r="B4409" s="2" t="n"/>
      <c r="C4409" s="40" t="n"/>
    </row>
    <row r="4410">
      <c r="B4410" s="2" t="n"/>
      <c r="C4410" s="40" t="n"/>
    </row>
    <row r="4411">
      <c r="B4411" s="2" t="n"/>
      <c r="C4411" s="40" t="n"/>
    </row>
    <row r="4412">
      <c r="B4412" s="2" t="n"/>
      <c r="C4412" s="40" t="n"/>
    </row>
    <row r="4413">
      <c r="B4413" s="2" t="n"/>
      <c r="C4413" s="40" t="n"/>
    </row>
    <row r="4414">
      <c r="B4414" s="2" t="n"/>
      <c r="C4414" s="40" t="n"/>
    </row>
    <row r="4415">
      <c r="B4415" s="2" t="n"/>
      <c r="C4415" s="40" t="n"/>
    </row>
    <row r="4416">
      <c r="B4416" s="2" t="n"/>
      <c r="C4416" s="40" t="n"/>
    </row>
    <row r="4417">
      <c r="B4417" s="2" t="n"/>
      <c r="C4417" s="40" t="n"/>
    </row>
    <row r="4418">
      <c r="B4418" s="2" t="n"/>
      <c r="C4418" s="40" t="n"/>
    </row>
    <row r="4419">
      <c r="B4419" s="2" t="n"/>
      <c r="C4419" s="40" t="n"/>
    </row>
    <row r="4420">
      <c r="B4420" s="2" t="n"/>
      <c r="C4420" s="40" t="n"/>
    </row>
    <row r="4421">
      <c r="B4421" s="2" t="n"/>
      <c r="C4421" s="40" t="n"/>
    </row>
    <row r="4422">
      <c r="B4422" s="2" t="n"/>
      <c r="C4422" s="40" t="n"/>
    </row>
    <row r="4423">
      <c r="B4423" s="2" t="n"/>
      <c r="C4423" s="40" t="n"/>
    </row>
    <row r="4424">
      <c r="B4424" s="2" t="n"/>
      <c r="C4424" s="40" t="n"/>
    </row>
    <row r="4425">
      <c r="B4425" s="2" t="n"/>
      <c r="C4425" s="40" t="n"/>
    </row>
    <row r="4426">
      <c r="B4426" s="2" t="n"/>
      <c r="C4426" s="40" t="n"/>
    </row>
    <row r="4427">
      <c r="B4427" s="2" t="n"/>
      <c r="C4427" s="40" t="n"/>
    </row>
    <row r="4428">
      <c r="B4428" s="2" t="n"/>
      <c r="C4428" s="40" t="n"/>
    </row>
    <row r="4429">
      <c r="B4429" s="2" t="n"/>
      <c r="C4429" s="40" t="n"/>
    </row>
    <row r="4430">
      <c r="B4430" s="2" t="n"/>
      <c r="C4430" s="40" t="n"/>
    </row>
    <row r="4431">
      <c r="B4431" s="2" t="n"/>
      <c r="C4431" s="40" t="n"/>
    </row>
    <row r="4432">
      <c r="B4432" s="2" t="n"/>
      <c r="C4432" s="40" t="n"/>
    </row>
    <row r="4433">
      <c r="B4433" s="2" t="n"/>
      <c r="C4433" s="40" t="n"/>
    </row>
    <row r="4434">
      <c r="B4434" s="2" t="n"/>
      <c r="C4434" s="40" t="n"/>
    </row>
    <row r="4435">
      <c r="B4435" s="2" t="n"/>
      <c r="C4435" s="40" t="n"/>
    </row>
    <row r="4436">
      <c r="B4436" s="2" t="n"/>
      <c r="C4436" s="40" t="n"/>
    </row>
    <row r="4437">
      <c r="B4437" s="2" t="n"/>
      <c r="C4437" s="40" t="n"/>
    </row>
    <row r="4438">
      <c r="B4438" s="2" t="n"/>
      <c r="C4438" s="40" t="n"/>
    </row>
    <row r="4439">
      <c r="B4439" s="2" t="n"/>
      <c r="C4439" s="40" t="n"/>
    </row>
    <row r="4440">
      <c r="B4440" s="2" t="n"/>
      <c r="C4440" s="40" t="n"/>
    </row>
    <row r="4441">
      <c r="B4441" s="2" t="n"/>
      <c r="C4441" s="40" t="n"/>
    </row>
    <row r="4442">
      <c r="B4442" s="2" t="n"/>
      <c r="C4442" s="40" t="n"/>
    </row>
    <row r="4443">
      <c r="B4443" s="2" t="n"/>
      <c r="C4443" s="40" t="n"/>
    </row>
    <row r="4444">
      <c r="B4444" s="2" t="n"/>
      <c r="C4444" s="40" t="n"/>
    </row>
    <row r="4445">
      <c r="B4445" s="2" t="n"/>
      <c r="C4445" s="40" t="n"/>
    </row>
    <row r="4446">
      <c r="B4446" s="2" t="n"/>
      <c r="C4446" s="40" t="n"/>
    </row>
    <row r="4447">
      <c r="B4447" s="2" t="n"/>
      <c r="C4447" s="40" t="n"/>
    </row>
    <row r="4448">
      <c r="B4448" s="2" t="n"/>
      <c r="C4448" s="40" t="n"/>
    </row>
    <row r="4449">
      <c r="B4449" s="2" t="n"/>
      <c r="C4449" s="40" t="n"/>
    </row>
    <row r="4450">
      <c r="B4450" s="2" t="n"/>
      <c r="C4450" s="40" t="n"/>
    </row>
    <row r="4451">
      <c r="B4451" s="2" t="n"/>
      <c r="C4451" s="40" t="n"/>
    </row>
    <row r="4452">
      <c r="B4452" s="2" t="n"/>
      <c r="C4452" s="40" t="n"/>
    </row>
    <row r="4453">
      <c r="B4453" s="2" t="n"/>
      <c r="C4453" s="40" t="n"/>
    </row>
    <row r="4454">
      <c r="B4454" s="2" t="n"/>
      <c r="C4454" s="40" t="n"/>
    </row>
    <row r="4455">
      <c r="B4455" s="2" t="n"/>
      <c r="C4455" s="40" t="n"/>
    </row>
    <row r="4456">
      <c r="B4456" s="2" t="n"/>
      <c r="C4456" s="40" t="n"/>
    </row>
    <row r="4457">
      <c r="B4457" s="2" t="n"/>
      <c r="C4457" s="40" t="n"/>
    </row>
    <row r="4458">
      <c r="B4458" s="2" t="n"/>
      <c r="C4458" s="40" t="n"/>
    </row>
    <row r="4459">
      <c r="B4459" s="2" t="n"/>
      <c r="C4459" s="40" t="n"/>
    </row>
    <row r="4460">
      <c r="B4460" s="2" t="n"/>
      <c r="C4460" s="40" t="n"/>
    </row>
    <row r="4461">
      <c r="B4461" s="2" t="n"/>
      <c r="C4461" s="40" t="n"/>
    </row>
    <row r="4462">
      <c r="B4462" s="2" t="n"/>
      <c r="C4462" s="40" t="n"/>
    </row>
    <row r="4463">
      <c r="B4463" s="2" t="n"/>
      <c r="C4463" s="40" t="n"/>
    </row>
    <row r="4464">
      <c r="B4464" s="2" t="n"/>
      <c r="C4464" s="40" t="n"/>
    </row>
    <row r="4465">
      <c r="B4465" s="2" t="n"/>
      <c r="C4465" s="40" t="n"/>
    </row>
    <row r="4466">
      <c r="B4466" s="2" t="n"/>
      <c r="C4466" s="40" t="n"/>
    </row>
    <row r="4467">
      <c r="B4467" s="2" t="n"/>
      <c r="C4467" s="40" t="n"/>
    </row>
    <row r="4468">
      <c r="B4468" s="2" t="n"/>
      <c r="C4468" s="40" t="n"/>
    </row>
    <row r="4469">
      <c r="B4469" s="2" t="n"/>
      <c r="C4469" s="40" t="n"/>
    </row>
    <row r="4470">
      <c r="B4470" s="2" t="n"/>
      <c r="C4470" s="40" t="n"/>
    </row>
    <row r="4471">
      <c r="B4471" s="2" t="n"/>
      <c r="C4471" s="40" t="n"/>
    </row>
    <row r="4472">
      <c r="B4472" s="2" t="n"/>
      <c r="C4472" s="40" t="n"/>
    </row>
    <row r="4473">
      <c r="B4473" s="2" t="n"/>
      <c r="C4473" s="40" t="n"/>
    </row>
    <row r="4474">
      <c r="B4474" s="2" t="n"/>
      <c r="C4474" s="40" t="n"/>
    </row>
    <row r="4475">
      <c r="B4475" s="2" t="n"/>
      <c r="C4475" s="40" t="n"/>
    </row>
    <row r="4476">
      <c r="B4476" s="2" t="n"/>
      <c r="C4476" s="40" t="n"/>
    </row>
    <row r="4477">
      <c r="B4477" s="2" t="n"/>
      <c r="C4477" s="40" t="n"/>
    </row>
    <row r="4478">
      <c r="B4478" s="2" t="n"/>
      <c r="C4478" s="40" t="n"/>
    </row>
    <row r="4479">
      <c r="B4479" s="2" t="n"/>
      <c r="C4479" s="40" t="n"/>
    </row>
    <row r="4480">
      <c r="B4480" s="2" t="n"/>
      <c r="C4480" s="40" t="n"/>
    </row>
    <row r="4481">
      <c r="B4481" s="2" t="n"/>
      <c r="C4481" s="40" t="n"/>
    </row>
    <row r="4482">
      <c r="B4482" s="2" t="n"/>
      <c r="C4482" s="40" t="n"/>
    </row>
    <row r="4483">
      <c r="B4483" s="2" t="n"/>
      <c r="C4483" s="40" t="n"/>
    </row>
    <row r="4484">
      <c r="B4484" s="2" t="n"/>
      <c r="C4484" s="40" t="n"/>
    </row>
    <row r="4485">
      <c r="B4485" s="2" t="n"/>
      <c r="C4485" s="40" t="n"/>
    </row>
    <row r="4486">
      <c r="B4486" s="2" t="n"/>
      <c r="C4486" s="40" t="n"/>
    </row>
    <row r="4487">
      <c r="B4487" s="2" t="n"/>
      <c r="C4487" s="40" t="n"/>
    </row>
    <row r="4488">
      <c r="B4488" s="2" t="n"/>
      <c r="C4488" s="40" t="n"/>
    </row>
    <row r="4489">
      <c r="B4489" s="2" t="n"/>
      <c r="C4489" s="40" t="n"/>
    </row>
    <row r="4490">
      <c r="B4490" s="2" t="n"/>
      <c r="C4490" s="40" t="n"/>
    </row>
    <row r="4491">
      <c r="B4491" s="2" t="n"/>
      <c r="C4491" s="40" t="n"/>
    </row>
    <row r="4492">
      <c r="B4492" s="2" t="n"/>
      <c r="C4492" s="40" t="n"/>
    </row>
    <row r="4493">
      <c r="B4493" s="2" t="n"/>
      <c r="C4493" s="40" t="n"/>
    </row>
    <row r="4494">
      <c r="B4494" s="2" t="n"/>
      <c r="C4494" s="40" t="n"/>
    </row>
    <row r="4495">
      <c r="B4495" s="2" t="n"/>
      <c r="C4495" s="40" t="n"/>
    </row>
    <row r="4496">
      <c r="B4496" s="2" t="n"/>
      <c r="C4496" s="40" t="n"/>
    </row>
    <row r="4497">
      <c r="B4497" s="2" t="n"/>
      <c r="C4497" s="40" t="n"/>
    </row>
    <row r="4498">
      <c r="B4498" s="2" t="n"/>
      <c r="C4498" s="40" t="n"/>
    </row>
    <row r="4499">
      <c r="B4499" s="2" t="n"/>
      <c r="C4499" s="40" t="n"/>
    </row>
    <row r="4500">
      <c r="B4500" s="2" t="n"/>
      <c r="C4500" s="40" t="n"/>
    </row>
    <row r="4501">
      <c r="B4501" s="2" t="n"/>
      <c r="C4501" s="40" t="n"/>
    </row>
    <row r="4502">
      <c r="B4502" s="2" t="n"/>
      <c r="C4502" s="40" t="n"/>
    </row>
    <row r="4503">
      <c r="B4503" s="2" t="n"/>
      <c r="C4503" s="40" t="n"/>
    </row>
    <row r="4504">
      <c r="B4504" s="2" t="n"/>
      <c r="C4504" s="40" t="n"/>
    </row>
    <row r="4505">
      <c r="B4505" s="2" t="n"/>
      <c r="C4505" s="40" t="n"/>
    </row>
    <row r="4506">
      <c r="B4506" s="2" t="n"/>
      <c r="C4506" s="40" t="n"/>
    </row>
    <row r="4507">
      <c r="B4507" s="2" t="n"/>
      <c r="C4507" s="40" t="n"/>
    </row>
    <row r="4508">
      <c r="B4508" s="2" t="n"/>
      <c r="C4508" s="40" t="n"/>
    </row>
    <row r="4509">
      <c r="B4509" s="2" t="n"/>
      <c r="C4509" s="40" t="n"/>
    </row>
    <row r="4510">
      <c r="B4510" s="2" t="n"/>
      <c r="C4510" s="40" t="n"/>
    </row>
    <row r="4511">
      <c r="B4511" s="2" t="n"/>
      <c r="C4511" s="40" t="n"/>
    </row>
    <row r="4512">
      <c r="B4512" s="2" t="n"/>
      <c r="C4512" s="40" t="n"/>
    </row>
    <row r="4513">
      <c r="B4513" s="2" t="n"/>
      <c r="C4513" s="40" t="n"/>
    </row>
    <row r="4514">
      <c r="B4514" s="2" t="n"/>
      <c r="C4514" s="40" t="n"/>
    </row>
    <row r="4515">
      <c r="B4515" s="2" t="n"/>
      <c r="C4515" s="40" t="n"/>
    </row>
    <row r="4516">
      <c r="B4516" s="2" t="n"/>
      <c r="C4516" s="40" t="n"/>
    </row>
    <row r="4517">
      <c r="B4517" s="2" t="n"/>
      <c r="C4517" s="40" t="n"/>
    </row>
    <row r="4518">
      <c r="B4518" s="2" t="n"/>
      <c r="C4518" s="40" t="n"/>
    </row>
    <row r="4519">
      <c r="B4519" s="2" t="n"/>
      <c r="C4519" s="40" t="n"/>
    </row>
    <row r="4520">
      <c r="B4520" s="2" t="n"/>
      <c r="C4520" s="40" t="n"/>
    </row>
    <row r="4521">
      <c r="B4521" s="2" t="n"/>
      <c r="C4521" s="40" t="n"/>
    </row>
    <row r="4522">
      <c r="B4522" s="2" t="n"/>
      <c r="C4522" s="40" t="n"/>
    </row>
    <row r="4523">
      <c r="B4523" s="2" t="n"/>
      <c r="C4523" s="40" t="n"/>
    </row>
    <row r="4524">
      <c r="B4524" s="2" t="n"/>
      <c r="C4524" s="40" t="n"/>
    </row>
    <row r="4525">
      <c r="B4525" s="2" t="n"/>
      <c r="C4525" s="40" t="n"/>
    </row>
    <row r="4526">
      <c r="B4526" s="2" t="n"/>
      <c r="C4526" s="40" t="n"/>
    </row>
    <row r="4527">
      <c r="B4527" s="2" t="n"/>
      <c r="C4527" s="40" t="n"/>
    </row>
    <row r="4528">
      <c r="B4528" s="2" t="n"/>
      <c r="C4528" s="40" t="n"/>
    </row>
    <row r="4529">
      <c r="B4529" s="2" t="n"/>
      <c r="C4529" s="40" t="n"/>
    </row>
    <row r="4530">
      <c r="B4530" s="2" t="n"/>
      <c r="C4530" s="40" t="n"/>
    </row>
    <row r="4531">
      <c r="B4531" s="2" t="n"/>
      <c r="C4531" s="40" t="n"/>
    </row>
    <row r="4532">
      <c r="B4532" s="2" t="n"/>
      <c r="C4532" s="40" t="n"/>
    </row>
    <row r="4533">
      <c r="B4533" s="2" t="n"/>
      <c r="C4533" s="40" t="n"/>
    </row>
    <row r="4534">
      <c r="B4534" s="2" t="n"/>
      <c r="C4534" s="40" t="n"/>
    </row>
    <row r="4535">
      <c r="B4535" s="2" t="n"/>
      <c r="C4535" s="40" t="n"/>
    </row>
    <row r="4536">
      <c r="B4536" s="2" t="n"/>
      <c r="C4536" s="40" t="n"/>
    </row>
    <row r="4537">
      <c r="B4537" s="2" t="n"/>
      <c r="C4537" s="40" t="n"/>
    </row>
    <row r="4538">
      <c r="B4538" s="2" t="n"/>
      <c r="C4538" s="40" t="n"/>
    </row>
    <row r="4539">
      <c r="B4539" s="2" t="n"/>
      <c r="C4539" s="40" t="n"/>
    </row>
    <row r="4540">
      <c r="B4540" s="2" t="n"/>
      <c r="C4540" s="40" t="n"/>
    </row>
    <row r="4541">
      <c r="B4541" s="2" t="n"/>
      <c r="C4541" s="40" t="n"/>
    </row>
    <row r="4542">
      <c r="B4542" s="2" t="n"/>
      <c r="C4542" s="40" t="n"/>
    </row>
    <row r="4543">
      <c r="B4543" s="2" t="n"/>
      <c r="C4543" s="40" t="n"/>
    </row>
    <row r="4544">
      <c r="B4544" s="2" t="n"/>
      <c r="C4544" s="40" t="n"/>
    </row>
    <row r="4545">
      <c r="B4545" s="2" t="n"/>
      <c r="C4545" s="40" t="n"/>
    </row>
    <row r="4546">
      <c r="B4546" s="2" t="n"/>
      <c r="C4546" s="40" t="n"/>
    </row>
    <row r="4547">
      <c r="B4547" s="2" t="n"/>
      <c r="C4547" s="40" t="n"/>
    </row>
    <row r="4548">
      <c r="B4548" s="2" t="n"/>
      <c r="C4548" s="40" t="n"/>
    </row>
    <row r="4549">
      <c r="B4549" s="2" t="n"/>
      <c r="C4549" s="40" t="n"/>
    </row>
    <row r="4550">
      <c r="B4550" s="2" t="n"/>
      <c r="C4550" s="40" t="n"/>
    </row>
    <row r="4551">
      <c r="B4551" s="2" t="n"/>
      <c r="C4551" s="40" t="n"/>
    </row>
    <row r="4552">
      <c r="B4552" s="2" t="n"/>
      <c r="C4552" s="40" t="n"/>
    </row>
    <row r="4553">
      <c r="B4553" s="2" t="n"/>
      <c r="C4553" s="40" t="n"/>
    </row>
    <row r="4554">
      <c r="B4554" s="2" t="n"/>
      <c r="C4554" s="40" t="n"/>
    </row>
    <row r="4555">
      <c r="B4555" s="2" t="n"/>
      <c r="C4555" s="40" t="n"/>
    </row>
    <row r="4556">
      <c r="B4556" s="2" t="n"/>
      <c r="C4556" s="40" t="n"/>
    </row>
    <row r="4557">
      <c r="B4557" s="2" t="n"/>
      <c r="C4557" s="40" t="n"/>
    </row>
    <row r="4558">
      <c r="B4558" s="2" t="n"/>
      <c r="C4558" s="40" t="n"/>
    </row>
    <row r="4559">
      <c r="B4559" s="2" t="n"/>
      <c r="C4559" s="40" t="n"/>
    </row>
    <row r="4560">
      <c r="B4560" s="2" t="n"/>
      <c r="C4560" s="40" t="n"/>
    </row>
    <row r="4561">
      <c r="B4561" s="2" t="n"/>
      <c r="C4561" s="40" t="n"/>
    </row>
    <row r="4562">
      <c r="B4562" s="2" t="n"/>
      <c r="C4562" s="40" t="n"/>
    </row>
    <row r="4563">
      <c r="B4563" s="2" t="n"/>
      <c r="C4563" s="40" t="n"/>
    </row>
    <row r="4564">
      <c r="B4564" s="2" t="n"/>
      <c r="C4564" s="40" t="n"/>
    </row>
    <row r="4565">
      <c r="B4565" s="2" t="n"/>
      <c r="C4565" s="40" t="n"/>
    </row>
    <row r="4566">
      <c r="B4566" s="2" t="n"/>
      <c r="C4566" s="40" t="n"/>
    </row>
    <row r="4567">
      <c r="B4567" s="2" t="n"/>
      <c r="C4567" s="40" t="n"/>
    </row>
    <row r="4568">
      <c r="B4568" s="2" t="n"/>
      <c r="C4568" s="40" t="n"/>
    </row>
    <row r="4569">
      <c r="B4569" s="2" t="n"/>
      <c r="C4569" s="40" t="n"/>
    </row>
    <row r="4570">
      <c r="B4570" s="2" t="n"/>
      <c r="C4570" s="40" t="n"/>
    </row>
    <row r="4571">
      <c r="B4571" s="2" t="n"/>
      <c r="C4571" s="40" t="n"/>
    </row>
    <row r="4572">
      <c r="B4572" s="2" t="n"/>
      <c r="C4572" s="40" t="n"/>
    </row>
    <row r="4573">
      <c r="B4573" s="2" t="n"/>
      <c r="C4573" s="40" t="n"/>
    </row>
    <row r="4574">
      <c r="B4574" s="2" t="n"/>
      <c r="C4574" s="40" t="n"/>
    </row>
    <row r="4575">
      <c r="B4575" s="2" t="n"/>
      <c r="C4575" s="40" t="n"/>
    </row>
    <row r="4576">
      <c r="B4576" s="2" t="n"/>
      <c r="C4576" s="40" t="n"/>
    </row>
    <row r="4577">
      <c r="B4577" s="2" t="n"/>
      <c r="C4577" s="40" t="n"/>
    </row>
    <row r="4578">
      <c r="B4578" s="2" t="n"/>
      <c r="C4578" s="40" t="n"/>
    </row>
    <row r="4579">
      <c r="B4579" s="2" t="n"/>
      <c r="C4579" s="40" t="n"/>
    </row>
    <row r="4580">
      <c r="B4580" s="2" t="n"/>
      <c r="C4580" s="40" t="n"/>
    </row>
    <row r="4581">
      <c r="B4581" s="2" t="n"/>
      <c r="C4581" s="40" t="n"/>
    </row>
    <row r="4582">
      <c r="B4582" s="2" t="n"/>
      <c r="C4582" s="40" t="n"/>
    </row>
    <row r="4583">
      <c r="B4583" s="2" t="n"/>
      <c r="C4583" s="40" t="n"/>
    </row>
    <row r="4584">
      <c r="B4584" s="2" t="n"/>
      <c r="C4584" s="40" t="n"/>
    </row>
    <row r="4585">
      <c r="B4585" s="2" t="n"/>
      <c r="C4585" s="40" t="n"/>
    </row>
    <row r="4586">
      <c r="B4586" s="2" t="n"/>
      <c r="C4586" s="40" t="n"/>
    </row>
    <row r="4587">
      <c r="B4587" s="2" t="n"/>
      <c r="C4587" s="40" t="n"/>
    </row>
    <row r="4588">
      <c r="B4588" s="2" t="n"/>
      <c r="C4588" s="40" t="n"/>
    </row>
    <row r="4589">
      <c r="B4589" s="2" t="n"/>
      <c r="C4589" s="40" t="n"/>
    </row>
    <row r="4590">
      <c r="B4590" s="2" t="n"/>
      <c r="C4590" s="40" t="n"/>
    </row>
    <row r="4591">
      <c r="B4591" s="2" t="n"/>
      <c r="C4591" s="40" t="n"/>
    </row>
    <row r="4592">
      <c r="B4592" s="2" t="n"/>
      <c r="C4592" s="40" t="n"/>
    </row>
    <row r="4593">
      <c r="B4593" s="2" t="n"/>
      <c r="C4593" s="40" t="n"/>
    </row>
    <row r="4594">
      <c r="B4594" s="2" t="n"/>
      <c r="C4594" s="40" t="n"/>
    </row>
    <row r="4595">
      <c r="B4595" s="2" t="n"/>
      <c r="C4595" s="40" t="n"/>
    </row>
    <row r="4596">
      <c r="B4596" s="2" t="n"/>
      <c r="C4596" s="40" t="n"/>
    </row>
    <row r="4597">
      <c r="B4597" s="2" t="n"/>
      <c r="C4597" s="40" t="n"/>
    </row>
    <row r="4598">
      <c r="B4598" s="2" t="n"/>
      <c r="C4598" s="40" t="n"/>
    </row>
    <row r="4599">
      <c r="B4599" s="2" t="n"/>
      <c r="C4599" s="40" t="n"/>
    </row>
    <row r="4600">
      <c r="B4600" s="2" t="n"/>
      <c r="C4600" s="40" t="n"/>
    </row>
    <row r="4601">
      <c r="B4601" s="2" t="n"/>
      <c r="C4601" s="40" t="n"/>
    </row>
    <row r="4602">
      <c r="B4602" s="2" t="n"/>
      <c r="C4602" s="40" t="n"/>
    </row>
    <row r="4603">
      <c r="B4603" s="2" t="n"/>
      <c r="C4603" s="40" t="n"/>
    </row>
    <row r="4604">
      <c r="B4604" s="2" t="n"/>
      <c r="C4604" s="40" t="n"/>
    </row>
    <row r="4605">
      <c r="B4605" s="2" t="n"/>
      <c r="C4605" s="40" t="n"/>
    </row>
    <row r="4606">
      <c r="B4606" s="2" t="n"/>
      <c r="C4606" s="40" t="n"/>
    </row>
    <row r="4607">
      <c r="B4607" s="2" t="n"/>
      <c r="C4607" s="40" t="n"/>
    </row>
    <row r="4608">
      <c r="B4608" s="2" t="n"/>
      <c r="C4608" s="40" t="n"/>
    </row>
    <row r="4609">
      <c r="B4609" s="2" t="n"/>
      <c r="C4609" s="40" t="n"/>
    </row>
    <row r="4610">
      <c r="B4610" s="2" t="n"/>
      <c r="C4610" s="40" t="n"/>
    </row>
    <row r="4611">
      <c r="B4611" s="2" t="n"/>
      <c r="C4611" s="40" t="n"/>
    </row>
    <row r="4612">
      <c r="B4612" s="2" t="n"/>
      <c r="C4612" s="40" t="n"/>
    </row>
    <row r="4613">
      <c r="B4613" s="2" t="n"/>
      <c r="C4613" s="40" t="n"/>
    </row>
    <row r="4614">
      <c r="B4614" s="2" t="n"/>
      <c r="C4614" s="40" t="n"/>
    </row>
    <row r="4615">
      <c r="B4615" s="2" t="n"/>
      <c r="C4615" s="40" t="n"/>
    </row>
    <row r="4616">
      <c r="B4616" s="2" t="n"/>
      <c r="C4616" s="40" t="n"/>
    </row>
    <row r="4617">
      <c r="B4617" s="2" t="n"/>
      <c r="C4617" s="40" t="n"/>
    </row>
    <row r="4618">
      <c r="B4618" s="2" t="n"/>
      <c r="C4618" s="40" t="n"/>
    </row>
    <row r="4619">
      <c r="B4619" s="2" t="n"/>
      <c r="C4619" s="40" t="n"/>
    </row>
    <row r="4620">
      <c r="B4620" s="2" t="n"/>
      <c r="C4620" s="40" t="n"/>
    </row>
    <row r="4621">
      <c r="B4621" s="2" t="n"/>
      <c r="C4621" s="40" t="n"/>
    </row>
    <row r="4622">
      <c r="B4622" s="2" t="n"/>
      <c r="C4622" s="40" t="n"/>
    </row>
    <row r="4623">
      <c r="B4623" s="2" t="n"/>
      <c r="C4623" s="40" t="n"/>
    </row>
    <row r="4624">
      <c r="B4624" s="2" t="n"/>
      <c r="C4624" s="40" t="n"/>
    </row>
    <row r="4625">
      <c r="B4625" s="2" t="n"/>
      <c r="C4625" s="40" t="n"/>
    </row>
    <row r="4626">
      <c r="B4626" s="2" t="n"/>
      <c r="C4626" s="40" t="n"/>
    </row>
    <row r="4627">
      <c r="B4627" s="2" t="n"/>
      <c r="C4627" s="40" t="n"/>
    </row>
    <row r="4628">
      <c r="B4628" s="2" t="n"/>
      <c r="C4628" s="40" t="n"/>
    </row>
    <row r="4629">
      <c r="B4629" s="2" t="n"/>
      <c r="C4629" s="40" t="n"/>
    </row>
    <row r="4630">
      <c r="B4630" s="2" t="n"/>
      <c r="C4630" s="40" t="n"/>
    </row>
    <row r="4631">
      <c r="B4631" s="2" t="n"/>
      <c r="C4631" s="40" t="n"/>
    </row>
    <row r="4632">
      <c r="B4632" s="2" t="n"/>
      <c r="C4632" s="40" t="n"/>
    </row>
    <row r="4633">
      <c r="B4633" s="2" t="n"/>
      <c r="C4633" s="40" t="n"/>
    </row>
    <row r="4634">
      <c r="B4634" s="2" t="n"/>
      <c r="C4634" s="40" t="n"/>
    </row>
    <row r="4635">
      <c r="B4635" s="2" t="n"/>
      <c r="C4635" s="40" t="n"/>
    </row>
    <row r="4636">
      <c r="B4636" s="2" t="n"/>
      <c r="C4636" s="40" t="n"/>
    </row>
    <row r="4637">
      <c r="B4637" s="2" t="n"/>
      <c r="C4637" s="40" t="n"/>
    </row>
    <row r="4638">
      <c r="B4638" s="2" t="n"/>
      <c r="C4638" s="40" t="n"/>
    </row>
    <row r="4639">
      <c r="B4639" s="2" t="n"/>
      <c r="C4639" s="40" t="n"/>
    </row>
    <row r="4640">
      <c r="B4640" s="2" t="n"/>
      <c r="C4640" s="40" t="n"/>
    </row>
    <row r="4641">
      <c r="B4641" s="2" t="n"/>
      <c r="C4641" s="40" t="n"/>
    </row>
    <row r="4642">
      <c r="B4642" s="2" t="n"/>
      <c r="C4642" s="40" t="n"/>
    </row>
    <row r="4643">
      <c r="B4643" s="2" t="n"/>
      <c r="C4643" s="40" t="n"/>
    </row>
    <row r="4644">
      <c r="B4644" s="2" t="n"/>
      <c r="C4644" s="40" t="n"/>
    </row>
    <row r="4645">
      <c r="B4645" s="2" t="n"/>
      <c r="C4645" s="40" t="n"/>
    </row>
    <row r="4646">
      <c r="B4646" s="2" t="n"/>
      <c r="C4646" s="40" t="n"/>
    </row>
    <row r="4647">
      <c r="B4647" s="2" t="n"/>
      <c r="C4647" s="40" t="n"/>
    </row>
    <row r="4648">
      <c r="B4648" s="2" t="n"/>
      <c r="C4648" s="40" t="n"/>
    </row>
    <row r="4649">
      <c r="B4649" s="2" t="n"/>
      <c r="C4649" s="40" t="n"/>
    </row>
    <row r="4650">
      <c r="B4650" s="2" t="n"/>
      <c r="C4650" s="40" t="n"/>
    </row>
    <row r="4651">
      <c r="B4651" s="2" t="n"/>
      <c r="C4651" s="40" t="n"/>
    </row>
    <row r="4652">
      <c r="B4652" s="2" t="n"/>
      <c r="C4652" s="40" t="n"/>
    </row>
    <row r="4653">
      <c r="B4653" s="2" t="n"/>
      <c r="C4653" s="40" t="n"/>
    </row>
    <row r="4654">
      <c r="B4654" s="2" t="n"/>
      <c r="C4654" s="40" t="n"/>
    </row>
    <row r="4655">
      <c r="B4655" s="2" t="n"/>
      <c r="C4655" s="40" t="n"/>
    </row>
    <row r="4656">
      <c r="B4656" s="2" t="n"/>
      <c r="C4656" s="40" t="n"/>
    </row>
    <row r="4657">
      <c r="B4657" s="2" t="n"/>
      <c r="C4657" s="40" t="n"/>
    </row>
    <row r="4658">
      <c r="B4658" s="2" t="n"/>
      <c r="C4658" s="40" t="n"/>
    </row>
    <row r="4659">
      <c r="B4659" s="2" t="n"/>
      <c r="C4659" s="40" t="n"/>
    </row>
    <row r="4660">
      <c r="B4660" s="2" t="n"/>
      <c r="C4660" s="40" t="n"/>
    </row>
    <row r="4661">
      <c r="B4661" s="2" t="n"/>
      <c r="C4661" s="40" t="n"/>
    </row>
    <row r="4662">
      <c r="B4662" s="2" t="n"/>
      <c r="C4662" s="40" t="n"/>
    </row>
    <row r="4663">
      <c r="B4663" s="2" t="n"/>
      <c r="C4663" s="40" t="n"/>
    </row>
    <row r="4664">
      <c r="B4664" s="2" t="n"/>
      <c r="C4664" s="40" t="n"/>
    </row>
    <row r="4665">
      <c r="B4665" s="2" t="n"/>
      <c r="C4665" s="40" t="n"/>
    </row>
    <row r="4666">
      <c r="B4666" s="2" t="n"/>
      <c r="C4666" s="40" t="n"/>
    </row>
    <row r="4667">
      <c r="B4667" s="2" t="n"/>
      <c r="C4667" s="40" t="n"/>
    </row>
    <row r="4668">
      <c r="B4668" s="2" t="n"/>
      <c r="C4668" s="40" t="n"/>
    </row>
    <row r="4669">
      <c r="B4669" s="2" t="n"/>
      <c r="C4669" s="40" t="n"/>
    </row>
    <row r="4670">
      <c r="B4670" s="2" t="n"/>
      <c r="C4670" s="40" t="n"/>
    </row>
    <row r="4671">
      <c r="B4671" s="2" t="n"/>
      <c r="C4671" s="40" t="n"/>
    </row>
    <row r="4672">
      <c r="B4672" s="2" t="n"/>
      <c r="C4672" s="40" t="n"/>
    </row>
    <row r="4673">
      <c r="B4673" s="2" t="n"/>
      <c r="C4673" s="40" t="n"/>
    </row>
    <row r="4674">
      <c r="B4674" s="2" t="n"/>
      <c r="C4674" s="40" t="n"/>
    </row>
    <row r="4675">
      <c r="B4675" s="2" t="n"/>
      <c r="C4675" s="40" t="n"/>
    </row>
    <row r="4676">
      <c r="B4676" s="2" t="n"/>
      <c r="C4676" s="40" t="n"/>
    </row>
    <row r="4677">
      <c r="B4677" s="2" t="n"/>
      <c r="C4677" s="40" t="n"/>
    </row>
    <row r="4678">
      <c r="B4678" s="2" t="n"/>
      <c r="C4678" s="40" t="n"/>
    </row>
    <row r="4679">
      <c r="B4679" s="2" t="n"/>
      <c r="C4679" s="40" t="n"/>
    </row>
    <row r="4680">
      <c r="B4680" s="2" t="n"/>
      <c r="C4680" s="40" t="n"/>
    </row>
    <row r="4681">
      <c r="B4681" s="2" t="n"/>
      <c r="C4681" s="40" t="n"/>
    </row>
    <row r="4682">
      <c r="B4682" s="2" t="n"/>
      <c r="C4682" s="40" t="n"/>
    </row>
    <row r="4683">
      <c r="B4683" s="2" t="n"/>
      <c r="C4683" s="40" t="n"/>
    </row>
    <row r="4684">
      <c r="B4684" s="2" t="n"/>
      <c r="C4684" s="40" t="n"/>
    </row>
    <row r="4685">
      <c r="B4685" s="2" t="n"/>
      <c r="C4685" s="40" t="n"/>
    </row>
    <row r="4686">
      <c r="B4686" s="2" t="n"/>
      <c r="C4686" s="40" t="n"/>
    </row>
    <row r="4687">
      <c r="B4687" s="2" t="n"/>
      <c r="C4687" s="40" t="n"/>
    </row>
    <row r="4688">
      <c r="B4688" s="2" t="n"/>
      <c r="C4688" s="40" t="n"/>
    </row>
    <row r="4689">
      <c r="B4689" s="2" t="n"/>
      <c r="C4689" s="40" t="n"/>
    </row>
    <row r="4690">
      <c r="B4690" s="2" t="n"/>
      <c r="C4690" s="40" t="n"/>
    </row>
    <row r="4691">
      <c r="B4691" s="2" t="n"/>
      <c r="C4691" s="40" t="n"/>
    </row>
    <row r="4692">
      <c r="B4692" s="2" t="n"/>
      <c r="C4692" s="40" t="n"/>
    </row>
    <row r="4693">
      <c r="B4693" s="2" t="n"/>
      <c r="C4693" s="40" t="n"/>
    </row>
    <row r="4694">
      <c r="B4694" s="2" t="n"/>
      <c r="C4694" s="40" t="n"/>
    </row>
    <row r="4695">
      <c r="B4695" s="2" t="n"/>
      <c r="C4695" s="40" t="n"/>
    </row>
    <row r="4696">
      <c r="B4696" s="2" t="n"/>
      <c r="C4696" s="40" t="n"/>
    </row>
    <row r="4697">
      <c r="B4697" s="2" t="n"/>
      <c r="C4697" s="40" t="n"/>
    </row>
    <row r="4698">
      <c r="B4698" s="2" t="n"/>
      <c r="C4698" s="40" t="n"/>
    </row>
    <row r="4699">
      <c r="B4699" s="2" t="n"/>
      <c r="C4699" s="40" t="n"/>
    </row>
    <row r="4700">
      <c r="B4700" s="2" t="n"/>
      <c r="C4700" s="40" t="n"/>
    </row>
    <row r="4701">
      <c r="B4701" s="2" t="n"/>
      <c r="C4701" s="40" t="n"/>
    </row>
    <row r="4702">
      <c r="B4702" s="2" t="n"/>
      <c r="C4702" s="40" t="n"/>
    </row>
    <row r="4703">
      <c r="B4703" s="2" t="n"/>
      <c r="C4703" s="40" t="n"/>
    </row>
    <row r="4704">
      <c r="B4704" s="2" t="n"/>
      <c r="C4704" s="40" t="n"/>
    </row>
    <row r="4705">
      <c r="B4705" s="2" t="n"/>
      <c r="C4705" s="40" t="n"/>
    </row>
    <row r="4706">
      <c r="B4706" s="2" t="n"/>
      <c r="C4706" s="40" t="n"/>
    </row>
    <row r="4707">
      <c r="B4707" s="2" t="n"/>
      <c r="C4707" s="40" t="n"/>
    </row>
    <row r="4708">
      <c r="B4708" s="2" t="n"/>
      <c r="C4708" s="40" t="n"/>
    </row>
    <row r="4709">
      <c r="B4709" s="2" t="n"/>
      <c r="C4709" s="40" t="n"/>
    </row>
    <row r="4710">
      <c r="B4710" s="2" t="n"/>
      <c r="C4710" s="40" t="n"/>
    </row>
    <row r="4711">
      <c r="B4711" s="2" t="n"/>
      <c r="C4711" s="40" t="n"/>
    </row>
    <row r="4712">
      <c r="B4712" s="2" t="n"/>
      <c r="C4712" s="40" t="n"/>
    </row>
    <row r="4713">
      <c r="B4713" s="2" t="n"/>
      <c r="C4713" s="40" t="n"/>
    </row>
    <row r="4714">
      <c r="B4714" s="2" t="n"/>
      <c r="C4714" s="40" t="n"/>
    </row>
    <row r="4715">
      <c r="B4715" s="2" t="n"/>
      <c r="C4715" s="40" t="n"/>
    </row>
    <row r="4716">
      <c r="B4716" s="2" t="n"/>
      <c r="C4716" s="40" t="n"/>
    </row>
    <row r="4717">
      <c r="B4717" s="2" t="n"/>
      <c r="C4717" s="40" t="n"/>
    </row>
    <row r="4718">
      <c r="B4718" s="2" t="n"/>
      <c r="C4718" s="40" t="n"/>
    </row>
    <row r="4719">
      <c r="B4719" s="2" t="n"/>
      <c r="C4719" s="40" t="n"/>
    </row>
    <row r="4720">
      <c r="B4720" s="2" t="n"/>
      <c r="C4720" s="40" t="n"/>
    </row>
    <row r="4721">
      <c r="B4721" s="2" t="n"/>
      <c r="C4721" s="40" t="n"/>
    </row>
    <row r="4722">
      <c r="B4722" s="2" t="n"/>
      <c r="C4722" s="40" t="n"/>
    </row>
    <row r="4723">
      <c r="B4723" s="2" t="n"/>
      <c r="C4723" s="40" t="n"/>
    </row>
    <row r="4724">
      <c r="B4724" s="2" t="n"/>
      <c r="C4724" s="40" t="n"/>
    </row>
    <row r="4725">
      <c r="B4725" s="2" t="n"/>
      <c r="C4725" s="40" t="n"/>
    </row>
    <row r="4726">
      <c r="B4726" s="2" t="n"/>
      <c r="C4726" s="40" t="n"/>
    </row>
    <row r="4727">
      <c r="B4727" s="2" t="n"/>
      <c r="C4727" s="40" t="n"/>
    </row>
    <row r="4728">
      <c r="B4728" s="2" t="n"/>
      <c r="C4728" s="40" t="n"/>
    </row>
    <row r="4729">
      <c r="B4729" s="2" t="n"/>
      <c r="C4729" s="40" t="n"/>
    </row>
    <row r="4730">
      <c r="B4730" s="2" t="n"/>
      <c r="C4730" s="40" t="n"/>
    </row>
    <row r="4731">
      <c r="B4731" s="2" t="n"/>
      <c r="C4731" s="40" t="n"/>
    </row>
    <row r="4732">
      <c r="B4732" s="2" t="n"/>
      <c r="C4732" s="40" t="n"/>
    </row>
    <row r="4733">
      <c r="B4733" s="2" t="n"/>
      <c r="C4733" s="40" t="n"/>
    </row>
    <row r="4734">
      <c r="B4734" s="2" t="n"/>
      <c r="C4734" s="40" t="n"/>
    </row>
    <row r="4735">
      <c r="B4735" s="2" t="n"/>
      <c r="C4735" s="40" t="n"/>
    </row>
    <row r="4736">
      <c r="B4736" s="2" t="n"/>
      <c r="C4736" s="40" t="n"/>
    </row>
    <row r="4737">
      <c r="B4737" s="2" t="n"/>
      <c r="C4737" s="40" t="n"/>
    </row>
    <row r="4738">
      <c r="B4738" s="2" t="n"/>
      <c r="C4738" s="40" t="n"/>
    </row>
    <row r="4739">
      <c r="B4739" s="2" t="n"/>
      <c r="C4739" s="40" t="n"/>
    </row>
    <row r="4740">
      <c r="B4740" s="2" t="n"/>
      <c r="C4740" s="40" t="n"/>
    </row>
    <row r="4741">
      <c r="B4741" s="2" t="n"/>
      <c r="C4741" s="40" t="n"/>
    </row>
    <row r="4742">
      <c r="B4742" s="2" t="n"/>
      <c r="C4742" s="40" t="n"/>
    </row>
    <row r="4743">
      <c r="B4743" s="2" t="n"/>
      <c r="C4743" s="40" t="n"/>
    </row>
    <row r="4744">
      <c r="B4744" s="2" t="n"/>
      <c r="C4744" s="40" t="n"/>
    </row>
    <row r="4745">
      <c r="B4745" s="2" t="n"/>
      <c r="C4745" s="40" t="n"/>
    </row>
    <row r="4746">
      <c r="B4746" s="2" t="n"/>
      <c r="C4746" s="40" t="n"/>
    </row>
    <row r="4747">
      <c r="B4747" s="2" t="n"/>
      <c r="C4747" s="40" t="n"/>
    </row>
    <row r="4748">
      <c r="B4748" s="2" t="n"/>
      <c r="C4748" s="40" t="n"/>
    </row>
    <row r="4749">
      <c r="B4749" s="2" t="n"/>
      <c r="C4749" s="40" t="n"/>
    </row>
    <row r="4750">
      <c r="B4750" s="2" t="n"/>
      <c r="C4750" s="40" t="n"/>
    </row>
    <row r="4751">
      <c r="B4751" s="2" t="n"/>
      <c r="C4751" s="40" t="n"/>
    </row>
    <row r="4752">
      <c r="B4752" s="2" t="n"/>
      <c r="C4752" s="40" t="n"/>
    </row>
    <row r="4753">
      <c r="B4753" s="2" t="n"/>
      <c r="C4753" s="40" t="n"/>
    </row>
    <row r="4754">
      <c r="B4754" s="2" t="n"/>
      <c r="C4754" s="40" t="n"/>
    </row>
    <row r="4755">
      <c r="B4755" s="2" t="n"/>
      <c r="C4755" s="40" t="n"/>
    </row>
    <row r="4756">
      <c r="B4756" s="2" t="n"/>
      <c r="C4756" s="40" t="n"/>
    </row>
    <row r="4757">
      <c r="B4757" s="2" t="n"/>
      <c r="C4757" s="40" t="n"/>
    </row>
    <row r="4758">
      <c r="B4758" s="2" t="n"/>
      <c r="C4758" s="40" t="n"/>
    </row>
    <row r="4759">
      <c r="B4759" s="2" t="n"/>
      <c r="C4759" s="40" t="n"/>
    </row>
    <row r="4760">
      <c r="B4760" s="2" t="n"/>
      <c r="C4760" s="40" t="n"/>
    </row>
    <row r="4761">
      <c r="B4761" s="2" t="n"/>
      <c r="C4761" s="40" t="n"/>
    </row>
    <row r="4762">
      <c r="B4762" s="2" t="n"/>
      <c r="C4762" s="40" t="n"/>
    </row>
    <row r="4763">
      <c r="B4763" s="2" t="n"/>
      <c r="C4763" s="40" t="n"/>
    </row>
    <row r="4764">
      <c r="B4764" s="2" t="n"/>
      <c r="C4764" s="40" t="n"/>
    </row>
    <row r="4765">
      <c r="B4765" s="2" t="n"/>
      <c r="C4765" s="40" t="n"/>
    </row>
    <row r="4766">
      <c r="B4766" s="2" t="n"/>
      <c r="C4766" s="40" t="n"/>
    </row>
    <row r="4767">
      <c r="B4767" s="2" t="n"/>
      <c r="C4767" s="40" t="n"/>
    </row>
    <row r="4768">
      <c r="B4768" s="2" t="n"/>
      <c r="C4768" s="40" t="n"/>
    </row>
    <row r="4769">
      <c r="B4769" s="2" t="n"/>
      <c r="C4769" s="40" t="n"/>
    </row>
    <row r="4770">
      <c r="B4770" s="2" t="n"/>
      <c r="C4770" s="40" t="n"/>
    </row>
    <row r="4771">
      <c r="B4771" s="2" t="n"/>
      <c r="C4771" s="40" t="n"/>
    </row>
    <row r="4772">
      <c r="B4772" s="2" t="n"/>
      <c r="C4772" s="40" t="n"/>
    </row>
    <row r="4773">
      <c r="B4773" s="2" t="n"/>
      <c r="C4773" s="40" t="n"/>
    </row>
    <row r="4774">
      <c r="B4774" s="2" t="n"/>
      <c r="C4774" s="40" t="n"/>
    </row>
    <row r="4775">
      <c r="B4775" s="2" t="n"/>
      <c r="C4775" s="40" t="n"/>
    </row>
    <row r="4776">
      <c r="B4776" s="2" t="n"/>
      <c r="C4776" s="40" t="n"/>
    </row>
    <row r="4777">
      <c r="B4777" s="2" t="n"/>
      <c r="C4777" s="40" t="n"/>
    </row>
    <row r="4778">
      <c r="B4778" s="2" t="n"/>
      <c r="C4778" s="40" t="n"/>
    </row>
    <row r="4779">
      <c r="B4779" s="2" t="n"/>
      <c r="C4779" s="40" t="n"/>
    </row>
    <row r="4780">
      <c r="B4780" s="2" t="n"/>
      <c r="C4780" s="40" t="n"/>
    </row>
    <row r="4781">
      <c r="B4781" s="2" t="n"/>
      <c r="C4781" s="40" t="n"/>
    </row>
    <row r="4782">
      <c r="B4782" s="2" t="n"/>
      <c r="C4782" s="40" t="n"/>
    </row>
    <row r="4783">
      <c r="B4783" s="2" t="n"/>
      <c r="C4783" s="40" t="n"/>
    </row>
    <row r="4784">
      <c r="B4784" s="2" t="n"/>
      <c r="C4784" s="40" t="n"/>
    </row>
    <row r="4785">
      <c r="B4785" s="2" t="n"/>
      <c r="C4785" s="40" t="n"/>
    </row>
    <row r="4786">
      <c r="B4786" s="2" t="n"/>
      <c r="C4786" s="40" t="n"/>
    </row>
    <row r="4787">
      <c r="B4787" s="2" t="n"/>
      <c r="C4787" s="40" t="n"/>
    </row>
    <row r="4788">
      <c r="B4788" s="2" t="n"/>
      <c r="C4788" s="40" t="n"/>
    </row>
    <row r="4789">
      <c r="B4789" s="2" t="n"/>
      <c r="C4789" s="40" t="n"/>
    </row>
    <row r="4790">
      <c r="B4790" s="2" t="n"/>
      <c r="C4790" s="40" t="n"/>
    </row>
    <row r="4791">
      <c r="B4791" s="2" t="n"/>
      <c r="C4791" s="40" t="n"/>
    </row>
    <row r="4792">
      <c r="B4792" s="2" t="n"/>
      <c r="C4792" s="40" t="n"/>
    </row>
    <row r="4793">
      <c r="B4793" s="2" t="n"/>
      <c r="C4793" s="40" t="n"/>
    </row>
    <row r="4794">
      <c r="B4794" s="2" t="n"/>
      <c r="C4794" s="40" t="n"/>
    </row>
    <row r="4795">
      <c r="B4795" s="2" t="n"/>
      <c r="C4795" s="40" t="n"/>
    </row>
    <row r="4796">
      <c r="B4796" s="2" t="n"/>
      <c r="C4796" s="40" t="n"/>
    </row>
    <row r="4797">
      <c r="B4797" s="2" t="n"/>
      <c r="C4797" s="40" t="n"/>
    </row>
    <row r="4798">
      <c r="B4798" s="2" t="n"/>
      <c r="C4798" s="40" t="n"/>
    </row>
    <row r="4799">
      <c r="B4799" s="2" t="n"/>
      <c r="C4799" s="40" t="n"/>
    </row>
    <row r="4800">
      <c r="B4800" s="2" t="n"/>
      <c r="C4800" s="40" t="n"/>
    </row>
    <row r="4801">
      <c r="B4801" s="2" t="n"/>
      <c r="C4801" s="40" t="n"/>
    </row>
    <row r="4802">
      <c r="B4802" s="2" t="n"/>
      <c r="C4802" s="40" t="n"/>
    </row>
    <row r="4803">
      <c r="B4803" s="2" t="n"/>
      <c r="C4803" s="40" t="n"/>
    </row>
    <row r="4804">
      <c r="B4804" s="2" t="n"/>
      <c r="C4804" s="40" t="n"/>
    </row>
    <row r="4805">
      <c r="B4805" s="2" t="n"/>
      <c r="C4805" s="40" t="n"/>
    </row>
    <row r="4806">
      <c r="B4806" s="2" t="n"/>
      <c r="C4806" s="40" t="n"/>
    </row>
    <row r="4807">
      <c r="B4807" s="2" t="n"/>
      <c r="C4807" s="40" t="n"/>
    </row>
    <row r="4808">
      <c r="B4808" s="2" t="n"/>
      <c r="C4808" s="40" t="n"/>
    </row>
    <row r="4809">
      <c r="B4809" s="2" t="n"/>
      <c r="C4809" s="40" t="n"/>
    </row>
    <row r="4810">
      <c r="B4810" s="2" t="n"/>
      <c r="C4810" s="40" t="n"/>
    </row>
    <row r="4811">
      <c r="B4811" s="2" t="n"/>
      <c r="C4811" s="40" t="n"/>
    </row>
    <row r="4812">
      <c r="B4812" s="2" t="n"/>
      <c r="C4812" s="40" t="n"/>
    </row>
    <row r="4813">
      <c r="B4813" s="2" t="n"/>
      <c r="C4813" s="40" t="n"/>
    </row>
    <row r="4814">
      <c r="B4814" s="2" t="n"/>
      <c r="C4814" s="40" t="n"/>
    </row>
    <row r="4815">
      <c r="B4815" s="2" t="n"/>
      <c r="C4815" s="40" t="n"/>
    </row>
    <row r="4816">
      <c r="B4816" s="2" t="n"/>
      <c r="C4816" s="40" t="n"/>
    </row>
    <row r="4817">
      <c r="B4817" s="2" t="n"/>
      <c r="C4817" s="40" t="n"/>
    </row>
    <row r="4818">
      <c r="B4818" s="2" t="n"/>
      <c r="C4818" s="40" t="n"/>
    </row>
    <row r="4819">
      <c r="B4819" s="2" t="n"/>
      <c r="C4819" s="40" t="n"/>
    </row>
    <row r="4820">
      <c r="B4820" s="2" t="n"/>
      <c r="C4820" s="40" t="n"/>
    </row>
    <row r="4821">
      <c r="B4821" s="2" t="n"/>
      <c r="C4821" s="40" t="n"/>
    </row>
    <row r="4822">
      <c r="B4822" s="2" t="n"/>
      <c r="C4822" s="40" t="n"/>
    </row>
    <row r="4823">
      <c r="B4823" s="2" t="n"/>
      <c r="C4823" s="40" t="n"/>
    </row>
    <row r="4824">
      <c r="B4824" s="2" t="n"/>
      <c r="C4824" s="40" t="n"/>
    </row>
    <row r="4825">
      <c r="B4825" s="2" t="n"/>
      <c r="C4825" s="40" t="n"/>
    </row>
    <row r="4826">
      <c r="B4826" s="2" t="n"/>
      <c r="C4826" s="40" t="n"/>
    </row>
    <row r="4827">
      <c r="B4827" s="2" t="n"/>
      <c r="C4827" s="40" t="n"/>
    </row>
    <row r="4828">
      <c r="B4828" s="2" t="n"/>
      <c r="C4828" s="40" t="n"/>
    </row>
    <row r="4829">
      <c r="B4829" s="2" t="n"/>
      <c r="C4829" s="40" t="n"/>
    </row>
    <row r="4830">
      <c r="B4830" s="2" t="n"/>
      <c r="C4830" s="40" t="n"/>
    </row>
    <row r="4831">
      <c r="B4831" s="2" t="n"/>
      <c r="C4831" s="40" t="n"/>
    </row>
    <row r="4832">
      <c r="B4832" s="2" t="n"/>
      <c r="C4832" s="40" t="n"/>
    </row>
    <row r="4833">
      <c r="B4833" s="2" t="n"/>
      <c r="C4833" s="40" t="n"/>
    </row>
    <row r="4834">
      <c r="B4834" s="2" t="n"/>
      <c r="C4834" s="40" t="n"/>
    </row>
    <row r="4835">
      <c r="B4835" s="2" t="n"/>
      <c r="C4835" s="40" t="n"/>
    </row>
    <row r="4836">
      <c r="B4836" s="2" t="n"/>
      <c r="C4836" s="40" t="n"/>
    </row>
    <row r="4837">
      <c r="B4837" s="2" t="n"/>
      <c r="C4837" s="40" t="n"/>
    </row>
    <row r="4838">
      <c r="B4838" s="2" t="n"/>
      <c r="C4838" s="40" t="n"/>
    </row>
    <row r="4839">
      <c r="B4839" s="2" t="n"/>
      <c r="C4839" s="40" t="n"/>
    </row>
    <row r="4840">
      <c r="B4840" s="2" t="n"/>
      <c r="C4840" s="40" t="n"/>
    </row>
    <row r="4841">
      <c r="B4841" s="2" t="n"/>
      <c r="C4841" s="40" t="n"/>
    </row>
    <row r="4842">
      <c r="B4842" s="2" t="n"/>
      <c r="C4842" s="40" t="n"/>
    </row>
    <row r="4843">
      <c r="B4843" s="2" t="n"/>
      <c r="C4843" s="40" t="n"/>
    </row>
    <row r="4844">
      <c r="B4844" s="2" t="n"/>
      <c r="C4844" s="40" t="n"/>
    </row>
    <row r="4845">
      <c r="B4845" s="2" t="n"/>
      <c r="C4845" s="40" t="n"/>
    </row>
    <row r="4846">
      <c r="B4846" s="2" t="n"/>
      <c r="C4846" s="40" t="n"/>
    </row>
    <row r="4847">
      <c r="B4847" s="2" t="n"/>
      <c r="C4847" s="40" t="n"/>
    </row>
    <row r="4848">
      <c r="B4848" s="2" t="n"/>
      <c r="C4848" s="40" t="n"/>
    </row>
    <row r="4849">
      <c r="B4849" s="2" t="n"/>
      <c r="C4849" s="40" t="n"/>
    </row>
    <row r="4850">
      <c r="B4850" s="2" t="n"/>
      <c r="C4850" s="40" t="n"/>
    </row>
    <row r="4851">
      <c r="B4851" s="2" t="n"/>
      <c r="C4851" s="40" t="n"/>
    </row>
    <row r="4852">
      <c r="B4852" s="2" t="n"/>
      <c r="C4852" s="40" t="n"/>
    </row>
    <row r="4853">
      <c r="B4853" s="2" t="n"/>
      <c r="C4853" s="40" t="n"/>
    </row>
    <row r="4854">
      <c r="B4854" s="2" t="n"/>
      <c r="C4854" s="40" t="n"/>
    </row>
    <row r="4855">
      <c r="B4855" s="2" t="n"/>
      <c r="C4855" s="40" t="n"/>
    </row>
    <row r="4856">
      <c r="B4856" s="2" t="n"/>
      <c r="C4856" s="40" t="n"/>
    </row>
    <row r="4857">
      <c r="B4857" s="2" t="n"/>
      <c r="C4857" s="40" t="n"/>
    </row>
    <row r="4858">
      <c r="B4858" s="2" t="n"/>
      <c r="C4858" s="40" t="n"/>
    </row>
    <row r="4859">
      <c r="B4859" s="2" t="n"/>
      <c r="C4859" s="40" t="n"/>
    </row>
    <row r="4860">
      <c r="B4860" s="2" t="n"/>
      <c r="C4860" s="40" t="n"/>
    </row>
    <row r="4861">
      <c r="B4861" s="2" t="n"/>
      <c r="C4861" s="40" t="n"/>
    </row>
    <row r="4862">
      <c r="B4862" s="2" t="n"/>
      <c r="C4862" s="40" t="n"/>
    </row>
    <row r="4863">
      <c r="B4863" s="2" t="n"/>
      <c r="C4863" s="40" t="n"/>
    </row>
    <row r="4864">
      <c r="B4864" s="2" t="n"/>
      <c r="C4864" s="40" t="n"/>
    </row>
    <row r="4865">
      <c r="B4865" s="2" t="n"/>
      <c r="C4865" s="40" t="n"/>
    </row>
    <row r="4866">
      <c r="B4866" s="2" t="n"/>
      <c r="C4866" s="40" t="n"/>
    </row>
    <row r="4867">
      <c r="B4867" s="2" t="n"/>
      <c r="C4867" s="40" t="n"/>
    </row>
    <row r="4868">
      <c r="B4868" s="2" t="n"/>
      <c r="C4868" s="40" t="n"/>
    </row>
    <row r="4869">
      <c r="B4869" s="2" t="n"/>
      <c r="C4869" s="40" t="n"/>
    </row>
    <row r="4870">
      <c r="B4870" s="2" t="n"/>
      <c r="C4870" s="40" t="n"/>
    </row>
    <row r="4871">
      <c r="B4871" s="2" t="n"/>
      <c r="C4871" s="40" t="n"/>
    </row>
    <row r="4872">
      <c r="B4872" s="2" t="n"/>
      <c r="C4872" s="40" t="n"/>
    </row>
    <row r="4873">
      <c r="B4873" s="2" t="n"/>
      <c r="C4873" s="40" t="n"/>
    </row>
    <row r="4874">
      <c r="B4874" s="2" t="n"/>
      <c r="C4874" s="40" t="n"/>
    </row>
    <row r="4875">
      <c r="B4875" s="2" t="n"/>
      <c r="C4875" s="40" t="n"/>
    </row>
    <row r="4876">
      <c r="B4876" s="2" t="n"/>
      <c r="C4876" s="40" t="n"/>
    </row>
    <row r="4877">
      <c r="B4877" s="2" t="n"/>
      <c r="C4877" s="40" t="n"/>
    </row>
    <row r="4878">
      <c r="B4878" s="2" t="n"/>
      <c r="C4878" s="40" t="n"/>
    </row>
    <row r="4879">
      <c r="B4879" s="2" t="n"/>
      <c r="C4879" s="40" t="n"/>
    </row>
    <row r="4880">
      <c r="B4880" s="2" t="n"/>
      <c r="C4880" s="40" t="n"/>
    </row>
    <row r="4881">
      <c r="B4881" s="2" t="n"/>
      <c r="C4881" s="40" t="n"/>
    </row>
    <row r="4882">
      <c r="B4882" s="2" t="n"/>
      <c r="C4882" s="40" t="n"/>
    </row>
    <row r="4883">
      <c r="B4883" s="2" t="n"/>
      <c r="C4883" s="40" t="n"/>
    </row>
    <row r="4884">
      <c r="B4884" s="2" t="n"/>
      <c r="C4884" s="40" t="n"/>
    </row>
    <row r="4885">
      <c r="B4885" s="2" t="n"/>
      <c r="C4885" s="40" t="n"/>
    </row>
    <row r="4886">
      <c r="B4886" s="2" t="n"/>
      <c r="C4886" s="40" t="n"/>
    </row>
    <row r="4887">
      <c r="B4887" s="2" t="n"/>
      <c r="C4887" s="40" t="n"/>
    </row>
    <row r="4888">
      <c r="B4888" s="2" t="n"/>
      <c r="C4888" s="40" t="n"/>
    </row>
    <row r="4889">
      <c r="B4889" s="2" t="n"/>
      <c r="C4889" s="40" t="n"/>
    </row>
    <row r="4890">
      <c r="B4890" s="2" t="n"/>
      <c r="C4890" s="40" t="n"/>
    </row>
    <row r="4891">
      <c r="B4891" s="2" t="n"/>
      <c r="C4891" s="40" t="n"/>
    </row>
    <row r="4892">
      <c r="B4892" s="2" t="n"/>
      <c r="C4892" s="40" t="n"/>
    </row>
    <row r="4893">
      <c r="B4893" s="2" t="n"/>
      <c r="C4893" s="40" t="n"/>
    </row>
    <row r="4894">
      <c r="B4894" s="2" t="n"/>
      <c r="C4894" s="40" t="n"/>
    </row>
    <row r="4895">
      <c r="B4895" s="2" t="n"/>
      <c r="C4895" s="40" t="n"/>
    </row>
    <row r="4896">
      <c r="B4896" s="2" t="n"/>
      <c r="C4896" s="40" t="n"/>
    </row>
    <row r="4897">
      <c r="B4897" s="2" t="n"/>
      <c r="C4897" s="40" t="n"/>
    </row>
    <row r="4898">
      <c r="B4898" s="2" t="n"/>
      <c r="C4898" s="40" t="n"/>
    </row>
    <row r="4899">
      <c r="B4899" s="2" t="n"/>
      <c r="C4899" s="40" t="n"/>
    </row>
    <row r="4900">
      <c r="B4900" s="2" t="n"/>
      <c r="C4900" s="40" t="n"/>
    </row>
    <row r="4901">
      <c r="B4901" s="2" t="n"/>
      <c r="C4901" s="40" t="n"/>
    </row>
    <row r="4902">
      <c r="B4902" s="2" t="n"/>
      <c r="C4902" s="40" t="n"/>
    </row>
    <row r="4903">
      <c r="B4903" s="2" t="n"/>
      <c r="C4903" s="40" t="n"/>
    </row>
    <row r="4904">
      <c r="B4904" s="2" t="n"/>
      <c r="C4904" s="40" t="n"/>
    </row>
    <row r="4905">
      <c r="B4905" s="2" t="n"/>
      <c r="C4905" s="40" t="n"/>
    </row>
    <row r="4906">
      <c r="B4906" s="2" t="n"/>
      <c r="C4906" s="40" t="n"/>
    </row>
    <row r="4907">
      <c r="B4907" s="2" t="n"/>
      <c r="C4907" s="40" t="n"/>
    </row>
    <row r="4908">
      <c r="B4908" s="2" t="n"/>
      <c r="C4908" s="40" t="n"/>
    </row>
    <row r="4909">
      <c r="B4909" s="2" t="n"/>
      <c r="C4909" s="40" t="n"/>
    </row>
    <row r="4910">
      <c r="B4910" s="2" t="n"/>
      <c r="C4910" s="40" t="n"/>
    </row>
    <row r="4911">
      <c r="B4911" s="2" t="n"/>
      <c r="C4911" s="40" t="n"/>
    </row>
    <row r="4912">
      <c r="B4912" s="2" t="n"/>
      <c r="C4912" s="40" t="n"/>
    </row>
    <row r="4913">
      <c r="B4913" s="2" t="n"/>
      <c r="C4913" s="40" t="n"/>
    </row>
    <row r="4914">
      <c r="B4914" s="2" t="n"/>
      <c r="C4914" s="40" t="n"/>
    </row>
    <row r="4915">
      <c r="B4915" s="2" t="n"/>
      <c r="C4915" s="40" t="n"/>
    </row>
    <row r="4916">
      <c r="B4916" s="2" t="n"/>
      <c r="C4916" s="40" t="n"/>
    </row>
    <row r="4917">
      <c r="B4917" s="2" t="n"/>
      <c r="C4917" s="40" t="n"/>
    </row>
    <row r="4918">
      <c r="B4918" s="2" t="n"/>
      <c r="C4918" s="40" t="n"/>
    </row>
    <row r="4919">
      <c r="B4919" s="2" t="n"/>
      <c r="C4919" s="40" t="n"/>
    </row>
    <row r="4920">
      <c r="B4920" s="2" t="n"/>
      <c r="C4920" s="40" t="n"/>
    </row>
    <row r="4921">
      <c r="B4921" s="2" t="n"/>
      <c r="C4921" s="40" t="n"/>
    </row>
    <row r="4922">
      <c r="B4922" s="2" t="n"/>
      <c r="C4922" s="40" t="n"/>
    </row>
    <row r="4923">
      <c r="B4923" s="2" t="n"/>
      <c r="C4923" s="40" t="n"/>
    </row>
    <row r="4924">
      <c r="B4924" s="2" t="n"/>
      <c r="C4924" s="40" t="n"/>
    </row>
    <row r="4925">
      <c r="B4925" s="2" t="n"/>
      <c r="C4925" s="40" t="n"/>
    </row>
    <row r="4926">
      <c r="B4926" s="2" t="n"/>
      <c r="C4926" s="40" t="n"/>
    </row>
    <row r="4927">
      <c r="B4927" s="2" t="n"/>
      <c r="C4927" s="40" t="n"/>
    </row>
    <row r="4928">
      <c r="B4928" s="2" t="n"/>
      <c r="C4928" s="40" t="n"/>
    </row>
    <row r="4929">
      <c r="B4929" s="2" t="n"/>
      <c r="C4929" s="40" t="n"/>
    </row>
    <row r="4930">
      <c r="B4930" s="2" t="n"/>
      <c r="C4930" s="40" t="n"/>
    </row>
    <row r="4931">
      <c r="B4931" s="2" t="n"/>
      <c r="C4931" s="40" t="n"/>
    </row>
    <row r="4932">
      <c r="B4932" s="2" t="n"/>
      <c r="C4932" s="40" t="n"/>
    </row>
    <row r="4933">
      <c r="B4933" s="2" t="n"/>
      <c r="C4933" s="40" t="n"/>
    </row>
    <row r="4934">
      <c r="B4934" s="2" t="n"/>
      <c r="C4934" s="40" t="n"/>
    </row>
    <row r="4935">
      <c r="B4935" s="2" t="n"/>
      <c r="C4935" s="40" t="n"/>
    </row>
    <row r="4936">
      <c r="B4936" s="2" t="n"/>
      <c r="C4936" s="40" t="n"/>
    </row>
    <row r="4937">
      <c r="B4937" s="2" t="n"/>
      <c r="C4937" s="40" t="n"/>
    </row>
    <row r="4938">
      <c r="B4938" s="2" t="n"/>
      <c r="C4938" s="40" t="n"/>
    </row>
    <row r="4939">
      <c r="B4939" s="2" t="n"/>
      <c r="C4939" s="40" t="n"/>
    </row>
    <row r="4940">
      <c r="B4940" s="2" t="n"/>
      <c r="C4940" s="40" t="n"/>
    </row>
    <row r="4941">
      <c r="B4941" s="2" t="n"/>
      <c r="C4941" s="40" t="n"/>
    </row>
    <row r="4942">
      <c r="B4942" s="2" t="n"/>
      <c r="C4942" s="40" t="n"/>
    </row>
    <row r="4943">
      <c r="B4943" s="2" t="n"/>
      <c r="C4943" s="40" t="n"/>
    </row>
    <row r="4944">
      <c r="B4944" s="2" t="n"/>
      <c r="C4944" s="40" t="n"/>
    </row>
    <row r="4945">
      <c r="B4945" s="2" t="n"/>
      <c r="C4945" s="40" t="n"/>
    </row>
    <row r="4946">
      <c r="B4946" s="2" t="n"/>
      <c r="C4946" s="40" t="n"/>
    </row>
    <row r="4947">
      <c r="B4947" s="2" t="n"/>
      <c r="C4947" s="40" t="n"/>
    </row>
    <row r="4948">
      <c r="B4948" s="2" t="n"/>
      <c r="C4948" s="40" t="n"/>
    </row>
    <row r="4949">
      <c r="B4949" s="2" t="n"/>
      <c r="C4949" s="40" t="n"/>
    </row>
    <row r="4950">
      <c r="B4950" s="2" t="n"/>
      <c r="C4950" s="40" t="n"/>
    </row>
    <row r="4951">
      <c r="B4951" s="2" t="n"/>
      <c r="C4951" s="40" t="n"/>
    </row>
    <row r="4952">
      <c r="B4952" s="2" t="n"/>
      <c r="C4952" s="40" t="n"/>
    </row>
    <row r="4953">
      <c r="B4953" s="2" t="n"/>
      <c r="C4953" s="40" t="n"/>
    </row>
    <row r="4954">
      <c r="B4954" s="2" t="n"/>
      <c r="C4954" s="40" t="n"/>
    </row>
    <row r="4955">
      <c r="B4955" s="2" t="n"/>
      <c r="C4955" s="40" t="n"/>
    </row>
    <row r="4956">
      <c r="B4956" s="2" t="n"/>
      <c r="C4956" s="40" t="n"/>
    </row>
    <row r="4957">
      <c r="B4957" s="2" t="n"/>
      <c r="C4957" s="40" t="n"/>
    </row>
    <row r="4958">
      <c r="B4958" s="2" t="n"/>
      <c r="C4958" s="40" t="n"/>
    </row>
    <row r="4959">
      <c r="B4959" s="2" t="n"/>
      <c r="C4959" s="40" t="n"/>
    </row>
    <row r="4960">
      <c r="B4960" s="2" t="n"/>
      <c r="C4960" s="40" t="n"/>
    </row>
    <row r="4961">
      <c r="B4961" s="2" t="n"/>
      <c r="C4961" s="40" t="n"/>
    </row>
    <row r="4962">
      <c r="B4962" s="2" t="n"/>
      <c r="C4962" s="40" t="n"/>
    </row>
    <row r="4963">
      <c r="B4963" s="2" t="n"/>
      <c r="C4963" s="40" t="n"/>
    </row>
    <row r="4964">
      <c r="B4964" s="2" t="n"/>
      <c r="C4964" s="40" t="n"/>
    </row>
    <row r="4965">
      <c r="B4965" s="2" t="n"/>
      <c r="C4965" s="40" t="n"/>
    </row>
    <row r="4966">
      <c r="B4966" s="2" t="n"/>
      <c r="C4966" s="40" t="n"/>
    </row>
    <row r="4967">
      <c r="B4967" s="2" t="n"/>
      <c r="C4967" s="40" t="n"/>
    </row>
    <row r="4968">
      <c r="B4968" s="2" t="n"/>
      <c r="C4968" s="40" t="n"/>
    </row>
    <row r="4969">
      <c r="B4969" s="2" t="n"/>
      <c r="C4969" s="40" t="n"/>
    </row>
    <row r="4970">
      <c r="B4970" s="2" t="n"/>
      <c r="C4970" s="40" t="n"/>
    </row>
    <row r="4971">
      <c r="B4971" s="2" t="n"/>
      <c r="C4971" s="40" t="n"/>
    </row>
    <row r="4972">
      <c r="B4972" s="2" t="n"/>
      <c r="C4972" s="40" t="n"/>
    </row>
    <row r="4973">
      <c r="B4973" s="2" t="n"/>
      <c r="C4973" s="40" t="n"/>
    </row>
    <row r="4974">
      <c r="B4974" s="2" t="n"/>
      <c r="C4974" s="40" t="n"/>
    </row>
    <row r="4975">
      <c r="B4975" s="2" t="n"/>
      <c r="C4975" s="40" t="n"/>
    </row>
    <row r="4976">
      <c r="B4976" s="2" t="n"/>
      <c r="C4976" s="40" t="n"/>
    </row>
    <row r="4977">
      <c r="B4977" s="2" t="n"/>
      <c r="C4977" s="40" t="n"/>
    </row>
    <row r="4978">
      <c r="B4978" s="2" t="n"/>
      <c r="C4978" s="40" t="n"/>
    </row>
    <row r="4979">
      <c r="B4979" s="2" t="n"/>
      <c r="C4979" s="40" t="n"/>
    </row>
    <row r="4980">
      <c r="B4980" s="2" t="n"/>
      <c r="C4980" s="40" t="n"/>
    </row>
    <row r="4981">
      <c r="B4981" s="2" t="n"/>
      <c r="C4981" s="40" t="n"/>
    </row>
    <row r="4982">
      <c r="B4982" s="2" t="n"/>
      <c r="C4982" s="40" t="n"/>
    </row>
    <row r="4983">
      <c r="B4983" s="2" t="n"/>
      <c r="C4983" s="40" t="n"/>
    </row>
    <row r="4984">
      <c r="B4984" s="2" t="n"/>
      <c r="C4984" s="40" t="n"/>
    </row>
    <row r="4985">
      <c r="B4985" s="2" t="n"/>
      <c r="C4985" s="40" t="n"/>
    </row>
    <row r="4986">
      <c r="B4986" s="2" t="n"/>
      <c r="C4986" s="40" t="n"/>
    </row>
    <row r="4987">
      <c r="B4987" s="2" t="n"/>
      <c r="C4987" s="40" t="n"/>
    </row>
    <row r="4988">
      <c r="B4988" s="2" t="n"/>
      <c r="C4988" s="40" t="n"/>
    </row>
    <row r="4989">
      <c r="B4989" s="2" t="n"/>
      <c r="C4989" s="40" t="n"/>
    </row>
    <row r="4990">
      <c r="B4990" s="2" t="n"/>
      <c r="C4990" s="40" t="n"/>
    </row>
    <row r="4991">
      <c r="B4991" s="2" t="n"/>
      <c r="C4991" s="40" t="n"/>
    </row>
    <row r="4992">
      <c r="B4992" s="2" t="n"/>
      <c r="C4992" s="40" t="n"/>
    </row>
    <row r="4993">
      <c r="B4993" s="2" t="n"/>
      <c r="C4993" s="40" t="n"/>
    </row>
    <row r="4994">
      <c r="B4994" s="2" t="n"/>
      <c r="C4994" s="40" t="n"/>
    </row>
    <row r="4995">
      <c r="B4995" s="2" t="n"/>
      <c r="C4995" s="40" t="n"/>
    </row>
    <row r="4996">
      <c r="B4996" s="2" t="n"/>
      <c r="C4996" s="40" t="n"/>
    </row>
    <row r="4997">
      <c r="B4997" s="2" t="n"/>
      <c r="C4997" s="40" t="n"/>
    </row>
    <row r="4998">
      <c r="B4998" s="2" t="n"/>
      <c r="C4998" s="40" t="n"/>
    </row>
    <row r="4999">
      <c r="B4999" s="2" t="n"/>
      <c r="C4999" s="40" t="n"/>
    </row>
    <row r="5000">
      <c r="B5000" s="2" t="n"/>
      <c r="C5000" s="40" t="n"/>
    </row>
    <row r="5001">
      <c r="B5001" s="2" t="n"/>
      <c r="C5001" s="40" t="n"/>
    </row>
    <row r="5002">
      <c r="B5002" s="2" t="n"/>
      <c r="C5002" s="40" t="n"/>
    </row>
    <row r="5003">
      <c r="B5003" s="2" t="n"/>
      <c r="C5003" s="40" t="n"/>
    </row>
    <row r="5004">
      <c r="B5004" s="2" t="n"/>
      <c r="C5004" s="40" t="n"/>
    </row>
    <row r="5005">
      <c r="B5005" s="2" t="n"/>
      <c r="C5005" s="40" t="n"/>
    </row>
    <row r="5006">
      <c r="B5006" s="2" t="n"/>
      <c r="C5006" s="40" t="n"/>
    </row>
    <row r="5007">
      <c r="B5007" s="2" t="n"/>
      <c r="C5007" s="40" t="n"/>
    </row>
    <row r="5008">
      <c r="B5008" s="2" t="n"/>
      <c r="C5008" s="40" t="n"/>
    </row>
    <row r="5009">
      <c r="B5009" s="2" t="n"/>
      <c r="C5009" s="40" t="n"/>
    </row>
    <row r="5010">
      <c r="B5010" s="2" t="n"/>
      <c r="C5010" s="40" t="n"/>
    </row>
    <row r="5011">
      <c r="B5011" s="2" t="n"/>
      <c r="C5011" s="40" t="n"/>
    </row>
    <row r="5012">
      <c r="B5012" s="2" t="n"/>
      <c r="C5012" s="40" t="n"/>
    </row>
    <row r="5013">
      <c r="B5013" s="2" t="n"/>
      <c r="C5013" s="40" t="n"/>
    </row>
    <row r="5014">
      <c r="B5014" s="2" t="n"/>
      <c r="C5014" s="40" t="n"/>
    </row>
    <row r="5015">
      <c r="B5015" s="2" t="n"/>
      <c r="C5015" s="40" t="n"/>
    </row>
    <row r="5016">
      <c r="B5016" s="2" t="n"/>
      <c r="C5016" s="40" t="n"/>
    </row>
    <row r="5017">
      <c r="B5017" s="2" t="n"/>
      <c r="C5017" s="40" t="n"/>
    </row>
    <row r="5018">
      <c r="B5018" s="2" t="n"/>
      <c r="C5018" s="40" t="n"/>
    </row>
    <row r="5019">
      <c r="B5019" s="2" t="n"/>
      <c r="C5019" s="40" t="n"/>
    </row>
    <row r="5020">
      <c r="B5020" s="2" t="n"/>
      <c r="C5020" s="40" t="n"/>
    </row>
    <row r="5021">
      <c r="B5021" s="2" t="n"/>
      <c r="C5021" s="40" t="n"/>
    </row>
    <row r="5022">
      <c r="B5022" s="2" t="n"/>
      <c r="C5022" s="40" t="n"/>
    </row>
    <row r="5023">
      <c r="B5023" s="2" t="n"/>
      <c r="C5023" s="40" t="n"/>
    </row>
    <row r="5024">
      <c r="B5024" s="2" t="n"/>
      <c r="C5024" s="40" t="n"/>
    </row>
    <row r="5025">
      <c r="B5025" s="2" t="n"/>
      <c r="C5025" s="40" t="n"/>
    </row>
    <row r="5026">
      <c r="B5026" s="2" t="n"/>
      <c r="C5026" s="40" t="n"/>
    </row>
    <row r="5027">
      <c r="B5027" s="2" t="n"/>
      <c r="C5027" s="40" t="n"/>
    </row>
    <row r="5028">
      <c r="B5028" s="2" t="n"/>
      <c r="C5028" s="40" t="n"/>
    </row>
    <row r="5029">
      <c r="B5029" s="2" t="n"/>
      <c r="C5029" s="40" t="n"/>
    </row>
    <row r="5030">
      <c r="B5030" s="2" t="n"/>
      <c r="C5030" s="40" t="n"/>
    </row>
    <row r="5031">
      <c r="B5031" s="2" t="n"/>
      <c r="C5031" s="40" t="n"/>
    </row>
    <row r="5032">
      <c r="B5032" s="2" t="n"/>
      <c r="C5032" s="40" t="n"/>
    </row>
    <row r="5033">
      <c r="B5033" s="2" t="n"/>
      <c r="C5033" s="40" t="n"/>
    </row>
    <row r="5034">
      <c r="B5034" s="2" t="n"/>
      <c r="C5034" s="40" t="n"/>
    </row>
    <row r="5035">
      <c r="B5035" s="2" t="n"/>
      <c r="C5035" s="40" t="n"/>
    </row>
    <row r="5036">
      <c r="B5036" s="2" t="n"/>
      <c r="C5036" s="40" t="n"/>
    </row>
    <row r="5037">
      <c r="B5037" s="2" t="n"/>
      <c r="C5037" s="40" t="n"/>
    </row>
    <row r="5038">
      <c r="B5038" s="2" t="n"/>
      <c r="C5038" s="40" t="n"/>
    </row>
    <row r="5039">
      <c r="B5039" s="2" t="n"/>
      <c r="C5039" s="40" t="n"/>
    </row>
    <row r="5040">
      <c r="B5040" s="2" t="n"/>
      <c r="C5040" s="40" t="n"/>
    </row>
    <row r="5041">
      <c r="B5041" s="2" t="n"/>
      <c r="C5041" s="40" t="n"/>
    </row>
    <row r="5042">
      <c r="B5042" s="2" t="n"/>
      <c r="C5042" s="40" t="n"/>
    </row>
    <row r="5043">
      <c r="B5043" s="2" t="n"/>
      <c r="C5043" s="40" t="n"/>
    </row>
    <row r="5044">
      <c r="B5044" s="2" t="n"/>
      <c r="C5044" s="40" t="n"/>
    </row>
    <row r="5045">
      <c r="B5045" s="2" t="n"/>
      <c r="C5045" s="40" t="n"/>
    </row>
    <row r="5046">
      <c r="B5046" s="2" t="n"/>
      <c r="C5046" s="40" t="n"/>
    </row>
    <row r="5047">
      <c r="B5047" s="2" t="n"/>
      <c r="C5047" s="40" t="n"/>
    </row>
    <row r="5048">
      <c r="B5048" s="2" t="n"/>
      <c r="C5048" s="40" t="n"/>
    </row>
    <row r="5049">
      <c r="B5049" s="2" t="n"/>
      <c r="C5049" s="40" t="n"/>
    </row>
    <row r="5050">
      <c r="B5050" s="2" t="n"/>
      <c r="C5050" s="40" t="n"/>
    </row>
    <row r="5051">
      <c r="B5051" s="2" t="n"/>
      <c r="C5051" s="40" t="n"/>
    </row>
    <row r="5052">
      <c r="B5052" s="2" t="n"/>
      <c r="C5052" s="40" t="n"/>
    </row>
    <row r="5053">
      <c r="B5053" s="2" t="n"/>
      <c r="C5053" s="40" t="n"/>
    </row>
    <row r="5054">
      <c r="B5054" s="2" t="n"/>
      <c r="C5054" s="40" t="n"/>
    </row>
    <row r="5055">
      <c r="B5055" s="2" t="n"/>
      <c r="C5055" s="40" t="n"/>
    </row>
    <row r="5056">
      <c r="B5056" s="2" t="n"/>
      <c r="C5056" s="40" t="n"/>
    </row>
    <row r="5057">
      <c r="B5057" s="2" t="n"/>
      <c r="C5057" s="40" t="n"/>
    </row>
    <row r="5058">
      <c r="B5058" s="2" t="n"/>
      <c r="C5058" s="40" t="n"/>
    </row>
    <row r="5059">
      <c r="B5059" s="2" t="n"/>
      <c r="C5059" s="40" t="n"/>
    </row>
    <row r="5060">
      <c r="B5060" s="2" t="n"/>
      <c r="C5060" s="40" t="n"/>
    </row>
    <row r="5061">
      <c r="B5061" s="2" t="n"/>
      <c r="C5061" s="40" t="n"/>
    </row>
    <row r="5062">
      <c r="B5062" s="2" t="n"/>
      <c r="C5062" s="40" t="n"/>
    </row>
    <row r="5063">
      <c r="B5063" s="2" t="n"/>
      <c r="C5063" s="40" t="n"/>
    </row>
    <row r="5064">
      <c r="B5064" s="2" t="n"/>
      <c r="C5064" s="40" t="n"/>
    </row>
    <row r="5065">
      <c r="B5065" s="2" t="n"/>
      <c r="C5065" s="40" t="n"/>
    </row>
    <row r="5066">
      <c r="B5066" s="2" t="n"/>
      <c r="C5066" s="40" t="n"/>
    </row>
    <row r="5067">
      <c r="B5067" s="2" t="n"/>
      <c r="C5067" s="40" t="n"/>
    </row>
    <row r="5068">
      <c r="B5068" s="2" t="n"/>
      <c r="C5068" s="40" t="n"/>
    </row>
    <row r="5069">
      <c r="B5069" s="2" t="n"/>
      <c r="C5069" s="40" t="n"/>
    </row>
    <row r="5070">
      <c r="B5070" s="2" t="n"/>
      <c r="C5070" s="40" t="n"/>
    </row>
    <row r="5071">
      <c r="B5071" s="2" t="n"/>
      <c r="C5071" s="40" t="n"/>
    </row>
    <row r="5072">
      <c r="B5072" s="2" t="n"/>
      <c r="C5072" s="40" t="n"/>
    </row>
    <row r="5073">
      <c r="B5073" s="2" t="n"/>
      <c r="C5073" s="40" t="n"/>
    </row>
    <row r="5074">
      <c r="B5074" s="2" t="n"/>
      <c r="C5074" s="40" t="n"/>
    </row>
    <row r="5075">
      <c r="B5075" s="2" t="n"/>
      <c r="C5075" s="40" t="n"/>
    </row>
    <row r="5076">
      <c r="B5076" s="2" t="n"/>
      <c r="C5076" s="40" t="n"/>
    </row>
    <row r="5077">
      <c r="B5077" s="2" t="n"/>
      <c r="C5077" s="40" t="n"/>
    </row>
    <row r="5078">
      <c r="B5078" s="2" t="n"/>
      <c r="C5078" s="40" t="n"/>
    </row>
    <row r="5079">
      <c r="B5079" s="2" t="n"/>
      <c r="C5079" s="40" t="n"/>
    </row>
    <row r="5080">
      <c r="B5080" s="2" t="n"/>
      <c r="C5080" s="40" t="n"/>
    </row>
    <row r="5081">
      <c r="B5081" s="2" t="n"/>
      <c r="C5081" s="40" t="n"/>
    </row>
    <row r="5082">
      <c r="B5082" s="2" t="n"/>
      <c r="C5082" s="40" t="n"/>
    </row>
    <row r="5083">
      <c r="B5083" s="2" t="n"/>
      <c r="C5083" s="40" t="n"/>
    </row>
    <row r="5084">
      <c r="B5084" s="2" t="n"/>
      <c r="C5084" s="40" t="n"/>
    </row>
    <row r="5085">
      <c r="B5085" s="2" t="n"/>
      <c r="C5085" s="40" t="n"/>
    </row>
    <row r="5086">
      <c r="B5086" s="2" t="n"/>
      <c r="C5086" s="40" t="n"/>
    </row>
    <row r="5087">
      <c r="B5087" s="2" t="n"/>
      <c r="C5087" s="40" t="n"/>
    </row>
    <row r="5088">
      <c r="B5088" s="2" t="n"/>
      <c r="C5088" s="40" t="n"/>
    </row>
    <row r="5089">
      <c r="B5089" s="2" t="n"/>
      <c r="C5089" s="40" t="n"/>
    </row>
    <row r="5090">
      <c r="B5090" s="2" t="n"/>
      <c r="C5090" s="40" t="n"/>
    </row>
    <row r="5091">
      <c r="B5091" s="2" t="n"/>
      <c r="C5091" s="40" t="n"/>
    </row>
    <row r="5092">
      <c r="B5092" s="2" t="n"/>
      <c r="C5092" s="40" t="n"/>
    </row>
    <row r="5093">
      <c r="B5093" s="2" t="n"/>
      <c r="C5093" s="40" t="n"/>
    </row>
    <row r="5094">
      <c r="B5094" s="2" t="n"/>
      <c r="C5094" s="40" t="n"/>
    </row>
    <row r="5095">
      <c r="B5095" s="2" t="n"/>
      <c r="C5095" s="40" t="n"/>
    </row>
    <row r="5096">
      <c r="B5096" s="2" t="n"/>
      <c r="C5096" s="40" t="n"/>
    </row>
    <row r="5097">
      <c r="B5097" s="2" t="n"/>
      <c r="C5097" s="40" t="n"/>
    </row>
    <row r="5098">
      <c r="B5098" s="2" t="n"/>
      <c r="C5098" s="40" t="n"/>
    </row>
    <row r="5099">
      <c r="B5099" s="2" t="n"/>
      <c r="C5099" s="40" t="n"/>
    </row>
    <row r="5100">
      <c r="B5100" s="2" t="n"/>
      <c r="C5100" s="40" t="n"/>
    </row>
    <row r="5101">
      <c r="B5101" s="2" t="n"/>
      <c r="C5101" s="40" t="n"/>
    </row>
    <row r="5102">
      <c r="B5102" s="2" t="n"/>
      <c r="C5102" s="40" t="n"/>
    </row>
    <row r="5103">
      <c r="B5103" s="2" t="n"/>
      <c r="C5103" s="40" t="n"/>
    </row>
    <row r="5104">
      <c r="B5104" s="2" t="n"/>
      <c r="C5104" s="40" t="n"/>
    </row>
    <row r="5105">
      <c r="B5105" s="2" t="n"/>
      <c r="C5105" s="40" t="n"/>
    </row>
    <row r="5106">
      <c r="B5106" s="2" t="n"/>
      <c r="C5106" s="40" t="n"/>
    </row>
    <row r="5107">
      <c r="B5107" s="2" t="n"/>
      <c r="C5107" s="40" t="n"/>
    </row>
    <row r="5108">
      <c r="B5108" s="2" t="n"/>
      <c r="C5108" s="40" t="n"/>
    </row>
    <row r="5109">
      <c r="B5109" s="2" t="n"/>
      <c r="C5109" s="40" t="n"/>
    </row>
    <row r="5110">
      <c r="B5110" s="2" t="n"/>
      <c r="C5110" s="40" t="n"/>
    </row>
    <row r="5111">
      <c r="B5111" s="2" t="n"/>
      <c r="C5111" s="40" t="n"/>
    </row>
    <row r="5112">
      <c r="B5112" s="2" t="n"/>
      <c r="C5112" s="40" t="n"/>
    </row>
    <row r="5113">
      <c r="B5113" s="2" t="n"/>
      <c r="C5113" s="40" t="n"/>
    </row>
    <row r="5114">
      <c r="B5114" s="2" t="n"/>
      <c r="C5114" s="40" t="n"/>
    </row>
    <row r="5115">
      <c r="B5115" s="2" t="n"/>
      <c r="C5115" s="40" t="n"/>
    </row>
    <row r="5116">
      <c r="B5116" s="2" t="n"/>
      <c r="C5116" s="40" t="n"/>
    </row>
    <row r="5117">
      <c r="B5117" s="2" t="n"/>
      <c r="C5117" s="40" t="n"/>
    </row>
    <row r="5118">
      <c r="B5118" s="2" t="n"/>
      <c r="C5118" s="40" t="n"/>
    </row>
    <row r="5119">
      <c r="B5119" s="2" t="n"/>
      <c r="C5119" s="40" t="n"/>
    </row>
    <row r="5120">
      <c r="B5120" s="2" t="n"/>
      <c r="C5120" s="40" t="n"/>
    </row>
    <row r="5121">
      <c r="B5121" s="2" t="n"/>
      <c r="C5121" s="40" t="n"/>
    </row>
    <row r="5122">
      <c r="B5122" s="2" t="n"/>
      <c r="C5122" s="40" t="n"/>
    </row>
    <row r="5123">
      <c r="B5123" s="2" t="n"/>
      <c r="C5123" s="40" t="n"/>
    </row>
    <row r="5124">
      <c r="B5124" s="2" t="n"/>
      <c r="C5124" s="40" t="n"/>
    </row>
    <row r="5125">
      <c r="B5125" s="2" t="n"/>
      <c r="C5125" s="40" t="n"/>
    </row>
    <row r="5126">
      <c r="B5126" s="2" t="n"/>
      <c r="C5126" s="40" t="n"/>
    </row>
    <row r="5127">
      <c r="B5127" s="2" t="n"/>
      <c r="C5127" s="40" t="n"/>
    </row>
    <row r="5128">
      <c r="B5128" s="2" t="n"/>
      <c r="C5128" s="40" t="n"/>
    </row>
    <row r="5129">
      <c r="B5129" s="2" t="n"/>
      <c r="C5129" s="40" t="n"/>
    </row>
    <row r="5130">
      <c r="B5130" s="2" t="n"/>
      <c r="C5130" s="40" t="n"/>
    </row>
    <row r="5131">
      <c r="B5131" s="2" t="n"/>
      <c r="C5131" s="40" t="n"/>
    </row>
    <row r="5132">
      <c r="B5132" s="2" t="n"/>
      <c r="C5132" s="40" t="n"/>
    </row>
    <row r="5133">
      <c r="B5133" s="2" t="n"/>
      <c r="C5133" s="40" t="n"/>
    </row>
    <row r="5134">
      <c r="B5134" s="2" t="n"/>
      <c r="C5134" s="40" t="n"/>
    </row>
    <row r="5135">
      <c r="B5135" s="2" t="n"/>
      <c r="C5135" s="40" t="n"/>
    </row>
    <row r="5136">
      <c r="B5136" s="2" t="n"/>
      <c r="C5136" s="40" t="n"/>
    </row>
    <row r="5137">
      <c r="B5137" s="2" t="n"/>
      <c r="C5137" s="40" t="n"/>
    </row>
    <row r="5138">
      <c r="B5138" s="2" t="n"/>
      <c r="C5138" s="40" t="n"/>
    </row>
    <row r="5139">
      <c r="B5139" s="2" t="n"/>
      <c r="C5139" s="40" t="n"/>
    </row>
    <row r="5140">
      <c r="B5140" s="2" t="n"/>
      <c r="C5140" s="40" t="n"/>
    </row>
    <row r="5141">
      <c r="B5141" s="2" t="n"/>
      <c r="C5141" s="40" t="n"/>
    </row>
    <row r="5142">
      <c r="B5142" s="2" t="n"/>
      <c r="C5142" s="40" t="n"/>
    </row>
    <row r="5143">
      <c r="B5143" s="2" t="n"/>
      <c r="C5143" s="40" t="n"/>
    </row>
    <row r="5144">
      <c r="B5144" s="2" t="n"/>
      <c r="C5144" s="40" t="n"/>
    </row>
    <row r="5145">
      <c r="B5145" s="2" t="n"/>
      <c r="C5145" s="40" t="n"/>
    </row>
    <row r="5146">
      <c r="B5146" s="2" t="n"/>
      <c r="C5146" s="40" t="n"/>
    </row>
    <row r="5147">
      <c r="B5147" s="2" t="n"/>
      <c r="C5147" s="40" t="n"/>
    </row>
    <row r="5148">
      <c r="B5148" s="2" t="n"/>
      <c r="C5148" s="40" t="n"/>
    </row>
    <row r="5149">
      <c r="B5149" s="2" t="n"/>
      <c r="C5149" s="40" t="n"/>
    </row>
    <row r="5150">
      <c r="B5150" s="2" t="n"/>
      <c r="C5150" s="40" t="n"/>
    </row>
    <row r="5151">
      <c r="B5151" s="2" t="n"/>
      <c r="C5151" s="40" t="n"/>
    </row>
    <row r="5152">
      <c r="B5152" s="2" t="n"/>
      <c r="C5152" s="40" t="n"/>
    </row>
    <row r="5153">
      <c r="B5153" s="2" t="n"/>
      <c r="C5153" s="40" t="n"/>
    </row>
    <row r="5154">
      <c r="B5154" s="2" t="n"/>
      <c r="C5154" s="40" t="n"/>
    </row>
    <row r="5155">
      <c r="B5155" s="2" t="n"/>
      <c r="C5155" s="40" t="n"/>
    </row>
    <row r="5156">
      <c r="B5156" s="2" t="n"/>
      <c r="C5156" s="40" t="n"/>
    </row>
    <row r="5157">
      <c r="B5157" s="2" t="n"/>
      <c r="C5157" s="40" t="n"/>
    </row>
    <row r="5158">
      <c r="B5158" s="2" t="n"/>
      <c r="C5158" s="40" t="n"/>
    </row>
    <row r="5159">
      <c r="B5159" s="2" t="n"/>
      <c r="C5159" s="40" t="n"/>
    </row>
    <row r="5160">
      <c r="B5160" s="2" t="n"/>
      <c r="C5160" s="40" t="n"/>
    </row>
    <row r="5161">
      <c r="B5161" s="2" t="n"/>
      <c r="C5161" s="40" t="n"/>
    </row>
    <row r="5162">
      <c r="B5162" s="2" t="n"/>
      <c r="C5162" s="40" t="n"/>
    </row>
    <row r="5163">
      <c r="B5163" s="2" t="n"/>
      <c r="C5163" s="40" t="n"/>
    </row>
    <row r="5164">
      <c r="B5164" s="2" t="n"/>
      <c r="C5164" s="40" t="n"/>
    </row>
    <row r="5165">
      <c r="B5165" s="2" t="n"/>
      <c r="C5165" s="40" t="n"/>
    </row>
    <row r="5166">
      <c r="B5166" s="2" t="n"/>
      <c r="C5166" s="40" t="n"/>
    </row>
    <row r="5167">
      <c r="B5167" s="2" t="n"/>
      <c r="C5167" s="40" t="n"/>
    </row>
    <row r="5168">
      <c r="B5168" s="2" t="n"/>
      <c r="C5168" s="40" t="n"/>
    </row>
    <row r="5169">
      <c r="B5169" s="2" t="n"/>
      <c r="C5169" s="40" t="n"/>
    </row>
    <row r="5170">
      <c r="B5170" s="2" t="n"/>
      <c r="C5170" s="40" t="n"/>
    </row>
    <row r="5171">
      <c r="B5171" s="2" t="n"/>
      <c r="C5171" s="40" t="n"/>
    </row>
    <row r="5172">
      <c r="B5172" s="2" t="n"/>
      <c r="C5172" s="40" t="n"/>
    </row>
    <row r="5173">
      <c r="B5173" s="2" t="n"/>
      <c r="C5173" s="40" t="n"/>
    </row>
    <row r="5174">
      <c r="B5174" s="2" t="n"/>
      <c r="C5174" s="40" t="n"/>
    </row>
    <row r="5175">
      <c r="B5175" s="2" t="n"/>
      <c r="C5175" s="40" t="n"/>
    </row>
    <row r="5176">
      <c r="B5176" s="2" t="n"/>
      <c r="C5176" s="40" t="n"/>
    </row>
    <row r="5177">
      <c r="B5177" s="2" t="n"/>
      <c r="C5177" s="40" t="n"/>
    </row>
    <row r="5178">
      <c r="B5178" s="2" t="n"/>
      <c r="C5178" s="40" t="n"/>
    </row>
    <row r="5179">
      <c r="B5179" s="2" t="n"/>
      <c r="C5179" s="40" t="n"/>
    </row>
    <row r="5180">
      <c r="B5180" s="2" t="n"/>
      <c r="C5180" s="40" t="n"/>
    </row>
    <row r="5181">
      <c r="B5181" s="2" t="n"/>
      <c r="C5181" s="40" t="n"/>
    </row>
    <row r="5182">
      <c r="B5182" s="2" t="n"/>
      <c r="C5182" s="40" t="n"/>
    </row>
    <row r="5183">
      <c r="B5183" s="2" t="n"/>
      <c r="C5183" s="40" t="n"/>
    </row>
    <row r="5184">
      <c r="B5184" s="2" t="n"/>
      <c r="C5184" s="40" t="n"/>
    </row>
    <row r="5185">
      <c r="B5185" s="2" t="n"/>
      <c r="C5185" s="40" t="n"/>
    </row>
    <row r="5186">
      <c r="B5186" s="2" t="n"/>
      <c r="C5186" s="40" t="n"/>
    </row>
    <row r="5187">
      <c r="B5187" s="2" t="n"/>
      <c r="C5187" s="40" t="n"/>
    </row>
    <row r="5188">
      <c r="B5188" s="2" t="n"/>
      <c r="C5188" s="40" t="n"/>
    </row>
    <row r="5189">
      <c r="B5189" s="2" t="n"/>
      <c r="C5189" s="40" t="n"/>
    </row>
    <row r="5190">
      <c r="B5190" s="2" t="n"/>
      <c r="C5190" s="40" t="n"/>
    </row>
    <row r="5191">
      <c r="B5191" s="2" t="n"/>
      <c r="C5191" s="40" t="n"/>
    </row>
    <row r="5192">
      <c r="B5192" s="2" t="n"/>
      <c r="C5192" s="40" t="n"/>
    </row>
    <row r="5193">
      <c r="B5193" s="2" t="n"/>
      <c r="C5193" s="40" t="n"/>
    </row>
    <row r="5194">
      <c r="B5194" s="2" t="n"/>
      <c r="C5194" s="40" t="n"/>
    </row>
    <row r="5195">
      <c r="B5195" s="2" t="n"/>
      <c r="C5195" s="40" t="n"/>
    </row>
    <row r="5196">
      <c r="B5196" s="2" t="n"/>
      <c r="C5196" s="40" t="n"/>
    </row>
    <row r="5197">
      <c r="B5197" s="2" t="n"/>
      <c r="C5197" s="40" t="n"/>
    </row>
    <row r="5198">
      <c r="B5198" s="2" t="n"/>
      <c r="C5198" s="40" t="n"/>
    </row>
    <row r="5199">
      <c r="B5199" s="2" t="n"/>
      <c r="C5199" s="40" t="n"/>
    </row>
    <row r="5200">
      <c r="B5200" s="2" t="n"/>
      <c r="C5200" s="40" t="n"/>
    </row>
    <row r="5201">
      <c r="B5201" s="2" t="n"/>
      <c r="C5201" s="40" t="n"/>
    </row>
    <row r="5202">
      <c r="B5202" s="2" t="n"/>
      <c r="C5202" s="40" t="n"/>
    </row>
    <row r="5203">
      <c r="B5203" s="2" t="n"/>
      <c r="C5203" s="40" t="n"/>
    </row>
    <row r="5204">
      <c r="B5204" s="2" t="n"/>
      <c r="C5204" s="40" t="n"/>
    </row>
    <row r="5205">
      <c r="B5205" s="2" t="n"/>
      <c r="C5205" s="40" t="n"/>
    </row>
    <row r="5206">
      <c r="B5206" s="2" t="n"/>
      <c r="C5206" s="40" t="n"/>
    </row>
    <row r="5207">
      <c r="B5207" s="2" t="n"/>
      <c r="C5207" s="40" t="n"/>
    </row>
    <row r="5208">
      <c r="B5208" s="2" t="n"/>
      <c r="C5208" s="40" t="n"/>
    </row>
    <row r="5209">
      <c r="B5209" s="2" t="n"/>
      <c r="C5209" s="40" t="n"/>
    </row>
    <row r="5210">
      <c r="B5210" s="2" t="n"/>
      <c r="C5210" s="40" t="n"/>
    </row>
    <row r="5211">
      <c r="B5211" s="2" t="n"/>
      <c r="C5211" s="40" t="n"/>
    </row>
    <row r="5212">
      <c r="B5212" s="2" t="n"/>
      <c r="C5212" s="40" t="n"/>
    </row>
    <row r="5213">
      <c r="B5213" s="2" t="n"/>
      <c r="C5213" s="40" t="n"/>
    </row>
    <row r="5214">
      <c r="B5214" s="2" t="n"/>
      <c r="C5214" s="40" t="n"/>
    </row>
    <row r="5215">
      <c r="B5215" s="2" t="n"/>
      <c r="C5215" s="40" t="n"/>
    </row>
    <row r="5216">
      <c r="B5216" s="2" t="n"/>
      <c r="C5216" s="40" t="n"/>
    </row>
    <row r="5217">
      <c r="B5217" s="2" t="n"/>
      <c r="C5217" s="40" t="n"/>
    </row>
    <row r="5218">
      <c r="B5218" s="2" t="n"/>
      <c r="C5218" s="40" t="n"/>
    </row>
    <row r="5219">
      <c r="B5219" s="2" t="n"/>
      <c r="C5219" s="40" t="n"/>
    </row>
    <row r="5220">
      <c r="B5220" s="2" t="n"/>
      <c r="C5220" s="40" t="n"/>
    </row>
    <row r="5221">
      <c r="B5221" s="2" t="n"/>
      <c r="C5221" s="40" t="n"/>
    </row>
    <row r="5222">
      <c r="B5222" s="2" t="n"/>
      <c r="C5222" s="40" t="n"/>
    </row>
    <row r="5223">
      <c r="B5223" s="2" t="n"/>
      <c r="C5223" s="40" t="n"/>
    </row>
    <row r="5224">
      <c r="B5224" s="2" t="n"/>
      <c r="C5224" s="40" t="n"/>
    </row>
    <row r="5225">
      <c r="B5225" s="2" t="n"/>
      <c r="C5225" s="40" t="n"/>
    </row>
    <row r="5226">
      <c r="B5226" s="2" t="n"/>
      <c r="C5226" s="40" t="n"/>
    </row>
    <row r="5227">
      <c r="B5227" s="2" t="n"/>
      <c r="C5227" s="40" t="n"/>
    </row>
    <row r="5228">
      <c r="B5228" s="2" t="n"/>
      <c r="C5228" s="40" t="n"/>
    </row>
    <row r="5229">
      <c r="B5229" s="2" t="n"/>
      <c r="C5229" s="40" t="n"/>
    </row>
    <row r="5230">
      <c r="B5230" s="2" t="n"/>
      <c r="C5230" s="40" t="n"/>
    </row>
    <row r="5231">
      <c r="B5231" s="2" t="n"/>
      <c r="C5231" s="40" t="n"/>
    </row>
    <row r="5232">
      <c r="B5232" s="2" t="n"/>
      <c r="C5232" s="40" t="n"/>
    </row>
    <row r="5233">
      <c r="B5233" s="2" t="n"/>
      <c r="C5233" s="40" t="n"/>
    </row>
    <row r="5234">
      <c r="B5234" s="2" t="n"/>
      <c r="C5234" s="40" t="n"/>
    </row>
    <row r="5235">
      <c r="B5235" s="2" t="n"/>
      <c r="C5235" s="40" t="n"/>
    </row>
    <row r="5236">
      <c r="B5236" s="2" t="n"/>
      <c r="C5236" s="40" t="n"/>
    </row>
    <row r="5237">
      <c r="B5237" s="2" t="n"/>
      <c r="C5237" s="40" t="n"/>
    </row>
    <row r="5238">
      <c r="B5238" s="2" t="n"/>
      <c r="C5238" s="40" t="n"/>
    </row>
    <row r="5239">
      <c r="B5239" s="2" t="n"/>
      <c r="C5239" s="40" t="n"/>
    </row>
    <row r="5240">
      <c r="B5240" s="2" t="n"/>
      <c r="C5240" s="40" t="n"/>
    </row>
    <row r="5241">
      <c r="B5241" s="2" t="n"/>
      <c r="C5241" s="40" t="n"/>
    </row>
    <row r="5242">
      <c r="B5242" s="2" t="n"/>
      <c r="C5242" s="40" t="n"/>
    </row>
    <row r="5243">
      <c r="B5243" s="2" t="n"/>
      <c r="C5243" s="40" t="n"/>
    </row>
    <row r="5244">
      <c r="B5244" s="2" t="n"/>
      <c r="C5244" s="40" t="n"/>
    </row>
    <row r="5245">
      <c r="B5245" s="2" t="n"/>
      <c r="C5245" s="40" t="n"/>
    </row>
    <row r="5246">
      <c r="B5246" s="2" t="n"/>
      <c r="C5246" s="40" t="n"/>
    </row>
    <row r="5247">
      <c r="B5247" s="2" t="n"/>
      <c r="C5247" s="40" t="n"/>
    </row>
    <row r="5248">
      <c r="B5248" s="2" t="n"/>
      <c r="C5248" s="40" t="n"/>
    </row>
    <row r="5249">
      <c r="B5249" s="2" t="n"/>
      <c r="C5249" s="40" t="n"/>
    </row>
    <row r="5250">
      <c r="B5250" s="2" t="n"/>
      <c r="C5250" s="40" t="n"/>
    </row>
    <row r="5251">
      <c r="B5251" s="2" t="n"/>
      <c r="C5251" s="40" t="n"/>
    </row>
    <row r="5252">
      <c r="B5252" s="2" t="n"/>
      <c r="C5252" s="40" t="n"/>
    </row>
    <row r="5253">
      <c r="B5253" s="2" t="n"/>
      <c r="C5253" s="40" t="n"/>
    </row>
    <row r="5254">
      <c r="B5254" s="2" t="n"/>
      <c r="C5254" s="40" t="n"/>
    </row>
    <row r="5255">
      <c r="B5255" s="2" t="n"/>
      <c r="C5255" s="40" t="n"/>
    </row>
    <row r="5256">
      <c r="B5256" s="2" t="n"/>
      <c r="C5256" s="40" t="n"/>
    </row>
    <row r="5257">
      <c r="B5257" s="2" t="n"/>
      <c r="C5257" s="40" t="n"/>
    </row>
    <row r="5258">
      <c r="B5258" s="2" t="n"/>
      <c r="C5258" s="40" t="n"/>
    </row>
    <row r="5259">
      <c r="B5259" s="2" t="n"/>
      <c r="C5259" s="40" t="n"/>
    </row>
    <row r="5260">
      <c r="B5260" s="2" t="n"/>
      <c r="C5260" s="40" t="n"/>
    </row>
    <row r="5261">
      <c r="B5261" s="2" t="n"/>
      <c r="C5261" s="40" t="n"/>
    </row>
    <row r="5262">
      <c r="B5262" s="2" t="n"/>
      <c r="C5262" s="40" t="n"/>
    </row>
    <row r="5263">
      <c r="B5263" s="2" t="n"/>
      <c r="C5263" s="40" t="n"/>
    </row>
    <row r="5264">
      <c r="B5264" s="2" t="n"/>
      <c r="C5264" s="40" t="n"/>
    </row>
    <row r="5265">
      <c r="B5265" s="2" t="n"/>
      <c r="C5265" s="40" t="n"/>
    </row>
    <row r="5266">
      <c r="B5266" s="2" t="n"/>
      <c r="C5266" s="40" t="n"/>
    </row>
    <row r="5267">
      <c r="B5267" s="2" t="n"/>
      <c r="C5267" s="40" t="n"/>
    </row>
    <row r="5268">
      <c r="B5268" s="2" t="n"/>
      <c r="C5268" s="40" t="n"/>
    </row>
    <row r="5269">
      <c r="B5269" s="2" t="n"/>
      <c r="C5269" s="40" t="n"/>
    </row>
    <row r="5270">
      <c r="B5270" s="2" t="n"/>
      <c r="C5270" s="40" t="n"/>
    </row>
    <row r="5271">
      <c r="B5271" s="2" t="n"/>
      <c r="C5271" s="40" t="n"/>
    </row>
    <row r="5272">
      <c r="B5272" s="2" t="n"/>
      <c r="C5272" s="40" t="n"/>
    </row>
    <row r="5273">
      <c r="B5273" s="2" t="n"/>
      <c r="C5273" s="40" t="n"/>
    </row>
    <row r="5274">
      <c r="B5274" s="2" t="n"/>
      <c r="C5274" s="40" t="n"/>
    </row>
    <row r="5275">
      <c r="B5275" s="2" t="n"/>
      <c r="C5275" s="40" t="n"/>
    </row>
    <row r="5276">
      <c r="B5276" s="2" t="n"/>
      <c r="C5276" s="40" t="n"/>
    </row>
    <row r="5277">
      <c r="B5277" s="2" t="n"/>
      <c r="C5277" s="40" t="n"/>
    </row>
    <row r="5278">
      <c r="B5278" s="2" t="n"/>
      <c r="C5278" s="40" t="n"/>
    </row>
    <row r="5279">
      <c r="B5279" s="2" t="n"/>
      <c r="C5279" s="40" t="n"/>
    </row>
    <row r="5280">
      <c r="B5280" s="2" t="n"/>
      <c r="C5280" s="40" t="n"/>
    </row>
    <row r="5281">
      <c r="B5281" s="2" t="n"/>
      <c r="C5281" s="40" t="n"/>
    </row>
    <row r="5282">
      <c r="B5282" s="2" t="n"/>
      <c r="C5282" s="40" t="n"/>
    </row>
    <row r="5283">
      <c r="B5283" s="2" t="n"/>
      <c r="C5283" s="40" t="n"/>
    </row>
    <row r="5284">
      <c r="B5284" s="2" t="n"/>
      <c r="C5284" s="40" t="n"/>
    </row>
    <row r="5285">
      <c r="B5285" s="2" t="n"/>
      <c r="C5285" s="40" t="n"/>
    </row>
    <row r="5286">
      <c r="B5286" s="2" t="n"/>
      <c r="C5286" s="40" t="n"/>
    </row>
    <row r="5287">
      <c r="B5287" s="2" t="n"/>
      <c r="C5287" s="40" t="n"/>
    </row>
    <row r="5288">
      <c r="B5288" s="2" t="n"/>
      <c r="C5288" s="40" t="n"/>
    </row>
    <row r="5289">
      <c r="B5289" s="2" t="n"/>
      <c r="C5289" s="40" t="n"/>
    </row>
    <row r="5290">
      <c r="B5290" s="2" t="n"/>
      <c r="C5290" s="40" t="n"/>
    </row>
    <row r="5291">
      <c r="B5291" s="2" t="n"/>
      <c r="C5291" s="40" t="n"/>
    </row>
    <row r="5292">
      <c r="B5292" s="2" t="n"/>
      <c r="C5292" s="40" t="n"/>
    </row>
    <row r="5293">
      <c r="B5293" s="2" t="n"/>
      <c r="C5293" s="40" t="n"/>
    </row>
    <row r="5294">
      <c r="B5294" s="2" t="n"/>
      <c r="C5294" s="40" t="n"/>
    </row>
    <row r="5295">
      <c r="B5295" s="2" t="n"/>
      <c r="C5295" s="40" t="n"/>
    </row>
    <row r="5296">
      <c r="B5296" s="2" t="n"/>
      <c r="C5296" s="40" t="n"/>
    </row>
    <row r="5297">
      <c r="B5297" s="2" t="n"/>
      <c r="C5297" s="40" t="n"/>
    </row>
    <row r="5298">
      <c r="B5298" s="2" t="n"/>
      <c r="C5298" s="40" t="n"/>
    </row>
    <row r="5299">
      <c r="B5299" s="2" t="n"/>
      <c r="C5299" s="40" t="n"/>
    </row>
    <row r="5300">
      <c r="B5300" s="2" t="n"/>
      <c r="C5300" s="40" t="n"/>
    </row>
    <row r="5301">
      <c r="B5301" s="2" t="n"/>
      <c r="C5301" s="40" t="n"/>
    </row>
    <row r="5302">
      <c r="B5302" s="2" t="n"/>
      <c r="C5302" s="40" t="n"/>
    </row>
    <row r="5303">
      <c r="B5303" s="2" t="n"/>
      <c r="C5303" s="40" t="n"/>
    </row>
    <row r="5304">
      <c r="B5304" s="2" t="n"/>
      <c r="C5304" s="40" t="n"/>
    </row>
    <row r="5305">
      <c r="B5305" s="2" t="n"/>
      <c r="C5305" s="40" t="n"/>
    </row>
    <row r="5306">
      <c r="B5306" s="2" t="n"/>
      <c r="C5306" s="40" t="n"/>
    </row>
    <row r="5307">
      <c r="B5307" s="2" t="n"/>
      <c r="C5307" s="40" t="n"/>
    </row>
    <row r="5308">
      <c r="B5308" s="2" t="n"/>
      <c r="C5308" s="40" t="n"/>
    </row>
    <row r="5309">
      <c r="B5309" s="2" t="n"/>
      <c r="C5309" s="40" t="n"/>
    </row>
    <row r="5310">
      <c r="B5310" s="2" t="n"/>
      <c r="C5310" s="40" t="n"/>
    </row>
    <row r="5311">
      <c r="B5311" s="2" t="n"/>
      <c r="C5311" s="40" t="n"/>
    </row>
    <row r="5312">
      <c r="B5312" s="2" t="n"/>
      <c r="C5312" s="40" t="n"/>
    </row>
    <row r="5313">
      <c r="B5313" s="2" t="n"/>
      <c r="C5313" s="40" t="n"/>
    </row>
    <row r="5314">
      <c r="B5314" s="2" t="n"/>
      <c r="C5314" s="40" t="n"/>
    </row>
    <row r="5315">
      <c r="B5315" s="2" t="n"/>
      <c r="C5315" s="40" t="n"/>
    </row>
    <row r="5316">
      <c r="B5316" s="2" t="n"/>
      <c r="C5316" s="40" t="n"/>
    </row>
    <row r="5317">
      <c r="B5317" s="2" t="n"/>
      <c r="C5317" s="40" t="n"/>
    </row>
    <row r="5318">
      <c r="B5318" s="2" t="n"/>
      <c r="C5318" s="40" t="n"/>
    </row>
    <row r="5319">
      <c r="B5319" s="2" t="n"/>
      <c r="C5319" s="40" t="n"/>
    </row>
    <row r="5320">
      <c r="B5320" s="2" t="n"/>
      <c r="C5320" s="40" t="n"/>
    </row>
    <row r="5321">
      <c r="B5321" s="2" t="n"/>
      <c r="C5321" s="40" t="n"/>
    </row>
    <row r="5322">
      <c r="B5322" s="2" t="n"/>
      <c r="C5322" s="40" t="n"/>
    </row>
    <row r="5323">
      <c r="B5323" s="2" t="n"/>
      <c r="C5323" s="40" t="n"/>
    </row>
    <row r="5324">
      <c r="B5324" s="2" t="n"/>
      <c r="C5324" s="40" t="n"/>
    </row>
    <row r="5325">
      <c r="B5325" s="2" t="n"/>
      <c r="C5325" s="40" t="n"/>
    </row>
    <row r="5326">
      <c r="B5326" s="2" t="n"/>
      <c r="C5326" s="40" t="n"/>
    </row>
    <row r="5327">
      <c r="B5327" s="2" t="n"/>
      <c r="C5327" s="40" t="n"/>
    </row>
    <row r="5328">
      <c r="B5328" s="2" t="n"/>
      <c r="C5328" s="40" t="n"/>
    </row>
    <row r="5329">
      <c r="B5329" s="2" t="n"/>
      <c r="C5329" s="40" t="n"/>
    </row>
    <row r="5330">
      <c r="B5330" s="2" t="n"/>
      <c r="C5330" s="40" t="n"/>
    </row>
    <row r="5331">
      <c r="B5331" s="2" t="n"/>
      <c r="C5331" s="40" t="n"/>
    </row>
    <row r="5332">
      <c r="B5332" s="2" t="n"/>
      <c r="C5332" s="40" t="n"/>
    </row>
    <row r="5333">
      <c r="B5333" s="2" t="n"/>
      <c r="C5333" s="40" t="n"/>
    </row>
    <row r="5334">
      <c r="B5334" s="2" t="n"/>
      <c r="C5334" s="40" t="n"/>
    </row>
    <row r="5335">
      <c r="B5335" s="2" t="n"/>
      <c r="C5335" s="40" t="n"/>
    </row>
    <row r="5336">
      <c r="B5336" s="2" t="n"/>
      <c r="C5336" s="40" t="n"/>
    </row>
    <row r="5337">
      <c r="B5337" s="2" t="n"/>
      <c r="C5337" s="40" t="n"/>
    </row>
    <row r="5338">
      <c r="B5338" s="2" t="n"/>
      <c r="C5338" s="40" t="n"/>
    </row>
    <row r="5339">
      <c r="B5339" s="2" t="n"/>
      <c r="C5339" s="40" t="n"/>
    </row>
    <row r="5340">
      <c r="B5340" s="2" t="n"/>
      <c r="C5340" s="40" t="n"/>
    </row>
    <row r="5341">
      <c r="B5341" s="2" t="n"/>
      <c r="C5341" s="40" t="n"/>
    </row>
    <row r="5342">
      <c r="B5342" s="2" t="n"/>
      <c r="C5342" s="40" t="n"/>
    </row>
    <row r="5343">
      <c r="B5343" s="2" t="n"/>
      <c r="C5343" s="40" t="n"/>
    </row>
    <row r="5344">
      <c r="B5344" s="2" t="n"/>
      <c r="C5344" s="40" t="n"/>
    </row>
    <row r="5345">
      <c r="B5345" s="2" t="n"/>
      <c r="C5345" s="40" t="n"/>
    </row>
    <row r="5346">
      <c r="B5346" s="2" t="n"/>
      <c r="C5346" s="40" t="n"/>
    </row>
    <row r="5347">
      <c r="B5347" s="2" t="n"/>
      <c r="C5347" s="40" t="n"/>
    </row>
    <row r="5348">
      <c r="B5348" s="2" t="n"/>
      <c r="C5348" s="40" t="n"/>
    </row>
    <row r="5349">
      <c r="B5349" s="2" t="n"/>
      <c r="C5349" s="40" t="n"/>
    </row>
    <row r="5350">
      <c r="B5350" s="2" t="n"/>
      <c r="C5350" s="40" t="n"/>
    </row>
    <row r="5351">
      <c r="B5351" s="2" t="n"/>
      <c r="C5351" s="40" t="n"/>
    </row>
    <row r="5352">
      <c r="B5352" s="2" t="n"/>
      <c r="C5352" s="40" t="n"/>
    </row>
    <row r="5353">
      <c r="B5353" s="2" t="n"/>
      <c r="C5353" s="40" t="n"/>
    </row>
    <row r="5354">
      <c r="B5354" s="2" t="n"/>
      <c r="C5354" s="40" t="n"/>
    </row>
    <row r="5355">
      <c r="B5355" s="2" t="n"/>
      <c r="C5355" s="40" t="n"/>
    </row>
    <row r="5356">
      <c r="B5356" s="2" t="n"/>
      <c r="C5356" s="40" t="n"/>
    </row>
    <row r="5357">
      <c r="B5357" s="2" t="n"/>
      <c r="C5357" s="40" t="n"/>
    </row>
    <row r="5358">
      <c r="B5358" s="2" t="n"/>
      <c r="C5358" s="40" t="n"/>
    </row>
    <row r="5359">
      <c r="B5359" s="2" t="n"/>
      <c r="C5359" s="40" t="n"/>
    </row>
    <row r="5360">
      <c r="B5360" s="2" t="n"/>
      <c r="C5360" s="40" t="n"/>
    </row>
    <row r="5361">
      <c r="B5361" s="2" t="n"/>
      <c r="C5361" s="40" t="n"/>
    </row>
    <row r="5362">
      <c r="B5362" s="2" t="n"/>
      <c r="C5362" s="40" t="n"/>
    </row>
    <row r="5363">
      <c r="B5363" s="2" t="n"/>
      <c r="C5363" s="40" t="n"/>
    </row>
    <row r="5364">
      <c r="B5364" s="2" t="n"/>
      <c r="C5364" s="40" t="n"/>
    </row>
    <row r="5365">
      <c r="B5365" s="2" t="n"/>
      <c r="C5365" s="40" t="n"/>
    </row>
    <row r="5366">
      <c r="B5366" s="2" t="n"/>
      <c r="C5366" s="40" t="n"/>
    </row>
    <row r="5367">
      <c r="B5367" s="2" t="n"/>
      <c r="C5367" s="40" t="n"/>
    </row>
    <row r="5368">
      <c r="B5368" s="2" t="n"/>
      <c r="C5368" s="40" t="n"/>
    </row>
    <row r="5369">
      <c r="B5369" s="2" t="n"/>
      <c r="C5369" s="40" t="n"/>
    </row>
    <row r="5370">
      <c r="B5370" s="2" t="n"/>
      <c r="C5370" s="40" t="n"/>
    </row>
    <row r="5371">
      <c r="B5371" s="2" t="n"/>
      <c r="C5371" s="40" t="n"/>
    </row>
    <row r="5372">
      <c r="B5372" s="2" t="n"/>
      <c r="C5372" s="40" t="n"/>
    </row>
    <row r="5373">
      <c r="B5373" s="2" t="n"/>
      <c r="C5373" s="40" t="n"/>
    </row>
    <row r="5374">
      <c r="B5374" s="2" t="n"/>
      <c r="C5374" s="40" t="n"/>
    </row>
    <row r="5375">
      <c r="B5375" s="2" t="n"/>
      <c r="C5375" s="40" t="n"/>
    </row>
    <row r="5376">
      <c r="B5376" s="2" t="n"/>
      <c r="C5376" s="40" t="n"/>
    </row>
    <row r="5377">
      <c r="B5377" s="2" t="n"/>
      <c r="C5377" s="40" t="n"/>
    </row>
    <row r="5378">
      <c r="B5378" s="2" t="n"/>
      <c r="C5378" s="40" t="n"/>
    </row>
    <row r="5379">
      <c r="B5379" s="2" t="n"/>
      <c r="C5379" s="40" t="n"/>
    </row>
    <row r="5380">
      <c r="B5380" s="2" t="n"/>
      <c r="C5380" s="40" t="n"/>
    </row>
    <row r="5381">
      <c r="B5381" s="2" t="n"/>
      <c r="C5381" s="40" t="n"/>
    </row>
    <row r="5382">
      <c r="B5382" s="2" t="n"/>
      <c r="C5382" s="40" t="n"/>
    </row>
    <row r="5383">
      <c r="B5383" s="2" t="n"/>
      <c r="C5383" s="40" t="n"/>
    </row>
    <row r="5384">
      <c r="B5384" s="2" t="n"/>
      <c r="C5384" s="40" t="n"/>
    </row>
    <row r="5385">
      <c r="B5385" s="2" t="n"/>
      <c r="C5385" s="40" t="n"/>
    </row>
    <row r="5386">
      <c r="B5386" s="2" t="n"/>
      <c r="C5386" s="40" t="n"/>
    </row>
    <row r="5387">
      <c r="B5387" s="2" t="n"/>
      <c r="C5387" s="40" t="n"/>
    </row>
    <row r="5388">
      <c r="B5388" s="2" t="n"/>
      <c r="C5388" s="40" t="n"/>
    </row>
    <row r="5389">
      <c r="B5389" s="2" t="n"/>
      <c r="C5389" s="40" t="n"/>
    </row>
    <row r="5390">
      <c r="B5390" s="2" t="n"/>
      <c r="C5390" s="40" t="n"/>
    </row>
    <row r="5391">
      <c r="B5391" s="2" t="n"/>
      <c r="C5391" s="40" t="n"/>
    </row>
    <row r="5392">
      <c r="B5392" s="2" t="n"/>
      <c r="C5392" s="40" t="n"/>
    </row>
    <row r="5393">
      <c r="B5393" s="2" t="n"/>
      <c r="C5393" s="40" t="n"/>
    </row>
    <row r="5394">
      <c r="B5394" s="2" t="n"/>
      <c r="C5394" s="40" t="n"/>
    </row>
    <row r="5395">
      <c r="B5395" s="2" t="n"/>
      <c r="C5395" s="40" t="n"/>
    </row>
    <row r="5396">
      <c r="B5396" s="2" t="n"/>
      <c r="C5396" s="40" t="n"/>
    </row>
    <row r="5397">
      <c r="B5397" s="2" t="n"/>
      <c r="C5397" s="40" t="n"/>
    </row>
    <row r="5398">
      <c r="B5398" s="2" t="n"/>
      <c r="C5398" s="40" t="n"/>
    </row>
    <row r="5399">
      <c r="B5399" s="2" t="n"/>
      <c r="C5399" s="40" t="n"/>
    </row>
    <row r="5400">
      <c r="B5400" s="2" t="n"/>
      <c r="C5400" s="40" t="n"/>
    </row>
    <row r="5401">
      <c r="B5401" s="2" t="n"/>
      <c r="C5401" s="40" t="n"/>
    </row>
    <row r="5402">
      <c r="B5402" s="2" t="n"/>
      <c r="C5402" s="40" t="n"/>
    </row>
    <row r="5403">
      <c r="B5403" s="2" t="n"/>
      <c r="C5403" s="40" t="n"/>
    </row>
    <row r="5404">
      <c r="B5404" s="2" t="n"/>
      <c r="C5404" s="40" t="n"/>
    </row>
    <row r="5405">
      <c r="B5405" s="2" t="n"/>
      <c r="C5405" s="40" t="n"/>
    </row>
    <row r="5406">
      <c r="B5406" s="2" t="n"/>
      <c r="C5406" s="40" t="n"/>
    </row>
    <row r="5407">
      <c r="B5407" s="2" t="n"/>
      <c r="C5407" s="40" t="n"/>
    </row>
    <row r="5408">
      <c r="B5408" s="2" t="n"/>
      <c r="C5408" s="40" t="n"/>
    </row>
    <row r="5409">
      <c r="B5409" s="2" t="n"/>
      <c r="C5409" s="40" t="n"/>
    </row>
    <row r="5410">
      <c r="B5410" s="2" t="n"/>
      <c r="C5410" s="40" t="n"/>
    </row>
    <row r="5411">
      <c r="B5411" s="2" t="n"/>
      <c r="C5411" s="40" t="n"/>
    </row>
    <row r="5412">
      <c r="B5412" s="2" t="n"/>
      <c r="C5412" s="40" t="n"/>
    </row>
    <row r="5413">
      <c r="B5413" s="2" t="n"/>
      <c r="C5413" s="40" t="n"/>
    </row>
    <row r="5414">
      <c r="B5414" s="2" t="n"/>
      <c r="C5414" s="40" t="n"/>
    </row>
    <row r="5415">
      <c r="B5415" s="2" t="n"/>
      <c r="C5415" s="40" t="n"/>
    </row>
    <row r="5416">
      <c r="B5416" s="2" t="n"/>
      <c r="C5416" s="40" t="n"/>
    </row>
    <row r="5417">
      <c r="B5417" s="2" t="n"/>
      <c r="C5417" s="40" t="n"/>
    </row>
    <row r="5418">
      <c r="B5418" s="2" t="n"/>
      <c r="C5418" s="40" t="n"/>
    </row>
    <row r="5419">
      <c r="B5419" s="2" t="n"/>
      <c r="C5419" s="40" t="n"/>
    </row>
    <row r="5420">
      <c r="B5420" s="2" t="n"/>
      <c r="C5420" s="40" t="n"/>
    </row>
    <row r="5421">
      <c r="B5421" s="2" t="n"/>
      <c r="C5421" s="40" t="n"/>
    </row>
    <row r="5422">
      <c r="B5422" s="2" t="n"/>
      <c r="C5422" s="40" t="n"/>
    </row>
    <row r="5423">
      <c r="B5423" s="2" t="n"/>
      <c r="C5423" s="40" t="n"/>
    </row>
    <row r="5424">
      <c r="B5424" s="2" t="n"/>
      <c r="C5424" s="40" t="n"/>
    </row>
    <row r="5425">
      <c r="B5425" s="2" t="n"/>
      <c r="C5425" s="40" t="n"/>
    </row>
    <row r="5426">
      <c r="B5426" s="2" t="n"/>
      <c r="C5426" s="40" t="n"/>
    </row>
    <row r="5427">
      <c r="B5427" s="2" t="n"/>
      <c r="C5427" s="40" t="n"/>
    </row>
    <row r="5428">
      <c r="B5428" s="2" t="n"/>
      <c r="C5428" s="40" t="n"/>
    </row>
    <row r="5429">
      <c r="B5429" s="2" t="n"/>
      <c r="C5429" s="40" t="n"/>
    </row>
    <row r="5430">
      <c r="B5430" s="2" t="n"/>
      <c r="C5430" s="40" t="n"/>
    </row>
    <row r="5431">
      <c r="B5431" s="2" t="n"/>
      <c r="C5431" s="40" t="n"/>
    </row>
    <row r="5432">
      <c r="B5432" s="2" t="n"/>
      <c r="C5432" s="40" t="n"/>
    </row>
    <row r="5433">
      <c r="B5433" s="2" t="n"/>
      <c r="C5433" s="40" t="n"/>
    </row>
    <row r="5434">
      <c r="B5434" s="2" t="n"/>
      <c r="C5434" s="40" t="n"/>
    </row>
    <row r="5435">
      <c r="B5435" s="2" t="n"/>
      <c r="C5435" s="40" t="n"/>
    </row>
    <row r="5436">
      <c r="B5436" s="2" t="n"/>
      <c r="C5436" s="40" t="n"/>
    </row>
    <row r="5437">
      <c r="B5437" s="2" t="n"/>
      <c r="C5437" s="40" t="n"/>
    </row>
    <row r="5438">
      <c r="B5438" s="2" t="n"/>
      <c r="C5438" s="40" t="n"/>
    </row>
    <row r="5439">
      <c r="B5439" s="2" t="n"/>
      <c r="C5439" s="40" t="n"/>
    </row>
    <row r="5440">
      <c r="B5440" s="2" t="n"/>
      <c r="C5440" s="40" t="n"/>
    </row>
    <row r="5441">
      <c r="B5441" s="2" t="n"/>
      <c r="C5441" s="40" t="n"/>
    </row>
    <row r="5442">
      <c r="B5442" s="2" t="n"/>
      <c r="C5442" s="40" t="n"/>
    </row>
    <row r="5443">
      <c r="B5443" s="2" t="n"/>
      <c r="C5443" s="40" t="n"/>
    </row>
    <row r="5444">
      <c r="B5444" s="2" t="n"/>
      <c r="C5444" s="40" t="n"/>
    </row>
    <row r="5445">
      <c r="B5445" s="2" t="n"/>
      <c r="C5445" s="40" t="n"/>
    </row>
    <row r="5446">
      <c r="B5446" s="2" t="n"/>
      <c r="C5446" s="40" t="n"/>
    </row>
    <row r="5447">
      <c r="B5447" s="2" t="n"/>
      <c r="C5447" s="40" t="n"/>
    </row>
    <row r="5448">
      <c r="B5448" s="2" t="n"/>
      <c r="C5448" s="40" t="n"/>
    </row>
    <row r="5449">
      <c r="B5449" s="2" t="n"/>
      <c r="C5449" s="40" t="n"/>
    </row>
    <row r="5450">
      <c r="B5450" s="2" t="n"/>
      <c r="C5450" s="40" t="n"/>
    </row>
    <row r="5451">
      <c r="B5451" s="2" t="n"/>
      <c r="C5451" s="40" t="n"/>
    </row>
    <row r="5452">
      <c r="B5452" s="2" t="n"/>
      <c r="C5452" s="40" t="n"/>
    </row>
    <row r="5453">
      <c r="B5453" s="2" t="n"/>
      <c r="C5453" s="40" t="n"/>
    </row>
    <row r="5454">
      <c r="B5454" s="2" t="n"/>
      <c r="C5454" s="40" t="n"/>
    </row>
    <row r="5455">
      <c r="B5455" s="2" t="n"/>
      <c r="C5455" s="40" t="n"/>
    </row>
    <row r="5456">
      <c r="B5456" s="2" t="n"/>
      <c r="C5456" s="40" t="n"/>
    </row>
    <row r="5457">
      <c r="B5457" s="2" t="n"/>
      <c r="C5457" s="40" t="n"/>
    </row>
    <row r="5458">
      <c r="B5458" s="2" t="n"/>
      <c r="C5458" s="40" t="n"/>
    </row>
    <row r="5459">
      <c r="B5459" s="2" t="n"/>
      <c r="C5459" s="40" t="n"/>
    </row>
    <row r="5460">
      <c r="B5460" s="2" t="n"/>
      <c r="C5460" s="40" t="n"/>
    </row>
    <row r="5461">
      <c r="B5461" s="2" t="n"/>
      <c r="C5461" s="40" t="n"/>
    </row>
    <row r="5462">
      <c r="B5462" s="2" t="n"/>
      <c r="C5462" s="40" t="n"/>
    </row>
    <row r="5463">
      <c r="B5463" s="2" t="n"/>
      <c r="C5463" s="40" t="n"/>
    </row>
    <row r="5464">
      <c r="B5464" s="2" t="n"/>
      <c r="C5464" s="40" t="n"/>
    </row>
    <row r="5465">
      <c r="B5465" s="2" t="n"/>
      <c r="C5465" s="40" t="n"/>
    </row>
    <row r="5466">
      <c r="B5466" s="2" t="n"/>
      <c r="C5466" s="40" t="n"/>
    </row>
    <row r="5467">
      <c r="B5467" s="2" t="n"/>
      <c r="C5467" s="40" t="n"/>
    </row>
    <row r="5468">
      <c r="B5468" s="2" t="n"/>
      <c r="C5468" s="40" t="n"/>
    </row>
    <row r="5469">
      <c r="B5469" s="2" t="n"/>
      <c r="C5469" s="40" t="n"/>
    </row>
    <row r="5470">
      <c r="B5470" s="2" t="n"/>
      <c r="C5470" s="40" t="n"/>
    </row>
    <row r="5471">
      <c r="B5471" s="2" t="n"/>
      <c r="C5471" s="40" t="n"/>
    </row>
    <row r="5472">
      <c r="B5472" s="2" t="n"/>
      <c r="C5472" s="40" t="n"/>
    </row>
    <row r="5473">
      <c r="B5473" s="2" t="n"/>
      <c r="C5473" s="40" t="n"/>
    </row>
    <row r="5474">
      <c r="B5474" s="2" t="n"/>
      <c r="C5474" s="40" t="n"/>
    </row>
    <row r="5475">
      <c r="B5475" s="2" t="n"/>
      <c r="C5475" s="40" t="n"/>
    </row>
    <row r="5476">
      <c r="B5476" s="2" t="n"/>
      <c r="C5476" s="40" t="n"/>
    </row>
    <row r="5477">
      <c r="B5477" s="2" t="n"/>
      <c r="C5477" s="40" t="n"/>
    </row>
    <row r="5478">
      <c r="B5478" s="2" t="n"/>
      <c r="C5478" s="40" t="n"/>
    </row>
    <row r="5479">
      <c r="B5479" s="2" t="n"/>
      <c r="C5479" s="40" t="n"/>
    </row>
    <row r="5480">
      <c r="B5480" s="2" t="n"/>
      <c r="C5480" s="40" t="n"/>
    </row>
    <row r="5481">
      <c r="B5481" s="2" t="n"/>
      <c r="C5481" s="40" t="n"/>
    </row>
    <row r="5482">
      <c r="B5482" s="2" t="n"/>
      <c r="C5482" s="40" t="n"/>
    </row>
    <row r="5483">
      <c r="B5483" s="2" t="n"/>
      <c r="C5483" s="40" t="n"/>
    </row>
    <row r="5484">
      <c r="B5484" s="2" t="n"/>
      <c r="C5484" s="40" t="n"/>
    </row>
    <row r="5485">
      <c r="B5485" s="2" t="n"/>
      <c r="C5485" s="40" t="n"/>
    </row>
    <row r="5486">
      <c r="B5486" s="2" t="n"/>
      <c r="C5486" s="40" t="n"/>
    </row>
    <row r="5487">
      <c r="B5487" s="2" t="n"/>
      <c r="C5487" s="40" t="n"/>
    </row>
    <row r="5488">
      <c r="B5488" s="2" t="n"/>
      <c r="C5488" s="40" t="n"/>
    </row>
    <row r="5489">
      <c r="B5489" s="2" t="n"/>
      <c r="C5489" s="40" t="n"/>
    </row>
    <row r="5490">
      <c r="B5490" s="2" t="n"/>
      <c r="C5490" s="40" t="n"/>
    </row>
    <row r="5491">
      <c r="B5491" s="2" t="n"/>
      <c r="C5491" s="40" t="n"/>
    </row>
    <row r="5492">
      <c r="B5492" s="2" t="n"/>
      <c r="C5492" s="40" t="n"/>
    </row>
    <row r="5493">
      <c r="B5493" s="2" t="n"/>
      <c r="C5493" s="40" t="n"/>
    </row>
    <row r="5494">
      <c r="B5494" s="2" t="n"/>
      <c r="C5494" s="40" t="n"/>
    </row>
    <row r="5495">
      <c r="B5495" s="2" t="n"/>
      <c r="C5495" s="40" t="n"/>
    </row>
    <row r="5496">
      <c r="B5496" s="2" t="n"/>
      <c r="C5496" s="40" t="n"/>
    </row>
    <row r="5497">
      <c r="B5497" s="2" t="n"/>
      <c r="C5497" s="40" t="n"/>
    </row>
    <row r="5498">
      <c r="B5498" s="2" t="n"/>
      <c r="C5498" s="40" t="n"/>
    </row>
    <row r="5499">
      <c r="B5499" s="2" t="n"/>
      <c r="C5499" s="40" t="n"/>
    </row>
    <row r="5500">
      <c r="B5500" s="2" t="n"/>
      <c r="C5500" s="40" t="n"/>
    </row>
    <row r="5501">
      <c r="B5501" s="2" t="n"/>
      <c r="C5501" s="40" t="n"/>
    </row>
    <row r="5502">
      <c r="B5502" s="2" t="n"/>
      <c r="C5502" s="40" t="n"/>
    </row>
    <row r="5503">
      <c r="B5503" s="2" t="n"/>
      <c r="C5503" s="40" t="n"/>
    </row>
    <row r="5504">
      <c r="B5504" s="2" t="n"/>
      <c r="C5504" s="40" t="n"/>
    </row>
    <row r="5505">
      <c r="B5505" s="2" t="n"/>
      <c r="C5505" s="40" t="n"/>
    </row>
    <row r="5506">
      <c r="B5506" s="2" t="n"/>
      <c r="C5506" s="40" t="n"/>
    </row>
    <row r="5507">
      <c r="B5507" s="2" t="n"/>
      <c r="C5507" s="40" t="n"/>
    </row>
    <row r="5508">
      <c r="B5508" s="2" t="n"/>
      <c r="C5508" s="40" t="n"/>
    </row>
    <row r="5509">
      <c r="B5509" s="2" t="n"/>
      <c r="C5509" s="40" t="n"/>
    </row>
    <row r="5510">
      <c r="B5510" s="2" t="n"/>
      <c r="C5510" s="40" t="n"/>
    </row>
    <row r="5511">
      <c r="B5511" s="2" t="n"/>
      <c r="C5511" s="40" t="n"/>
    </row>
    <row r="5512">
      <c r="B5512" s="2" t="n"/>
      <c r="C5512" s="40" t="n"/>
    </row>
    <row r="5513">
      <c r="B5513" s="2" t="n"/>
      <c r="C5513" s="40" t="n"/>
    </row>
    <row r="5514">
      <c r="B5514" s="2" t="n"/>
      <c r="C5514" s="40" t="n"/>
    </row>
    <row r="5515">
      <c r="B5515" s="2" t="n"/>
      <c r="C5515" s="40" t="n"/>
    </row>
    <row r="5516">
      <c r="B5516" s="2" t="n"/>
      <c r="C5516" s="40" t="n"/>
    </row>
    <row r="5517">
      <c r="B5517" s="2" t="n"/>
      <c r="C5517" s="40" t="n"/>
    </row>
    <row r="5518">
      <c r="B5518" s="2" t="n"/>
      <c r="C5518" s="40" t="n"/>
    </row>
    <row r="5519">
      <c r="B5519" s="2" t="n"/>
      <c r="C5519" s="40" t="n"/>
    </row>
    <row r="5520">
      <c r="B5520" s="2" t="n"/>
      <c r="C5520" s="40" t="n"/>
    </row>
    <row r="5521">
      <c r="B5521" s="2" t="n"/>
      <c r="C5521" s="40" t="n"/>
    </row>
    <row r="5522">
      <c r="B5522" s="2" t="n"/>
      <c r="C5522" s="40" t="n"/>
    </row>
    <row r="5523">
      <c r="B5523" s="2" t="n"/>
      <c r="C5523" s="40" t="n"/>
    </row>
    <row r="5524">
      <c r="B5524" s="2" t="n"/>
      <c r="C5524" s="40" t="n"/>
    </row>
    <row r="5525">
      <c r="B5525" s="2" t="n"/>
      <c r="C5525" s="40" t="n"/>
    </row>
    <row r="5526">
      <c r="B5526" s="2" t="n"/>
      <c r="C5526" s="40" t="n"/>
    </row>
    <row r="5527">
      <c r="B5527" s="2" t="n"/>
      <c r="C5527" s="40" t="n"/>
    </row>
    <row r="5528">
      <c r="B5528" s="2" t="n"/>
      <c r="C5528" s="40" t="n"/>
    </row>
    <row r="5529">
      <c r="B5529" s="2" t="n"/>
      <c r="C5529" s="40" t="n"/>
    </row>
    <row r="5530">
      <c r="B5530" s="2" t="n"/>
      <c r="C5530" s="40" t="n"/>
    </row>
    <row r="5531">
      <c r="B5531" s="2" t="n"/>
      <c r="C5531" s="40" t="n"/>
    </row>
    <row r="5532">
      <c r="B5532" s="2" t="n"/>
      <c r="C5532" s="40" t="n"/>
    </row>
    <row r="5533">
      <c r="B5533" s="2" t="n"/>
      <c r="C5533" s="40" t="n"/>
    </row>
    <row r="5534">
      <c r="B5534" s="2" t="n"/>
      <c r="C5534" s="40" t="n"/>
    </row>
    <row r="5535">
      <c r="B5535" s="2" t="n"/>
      <c r="C5535" s="40" t="n"/>
    </row>
    <row r="5536">
      <c r="B5536" s="2" t="n"/>
      <c r="C5536" s="40" t="n"/>
    </row>
    <row r="5537">
      <c r="B5537" s="2" t="n"/>
      <c r="C5537" s="40" t="n"/>
    </row>
    <row r="5538">
      <c r="B5538" s="2" t="n"/>
      <c r="C5538" s="40" t="n"/>
    </row>
    <row r="5539">
      <c r="B5539" s="2" t="n"/>
      <c r="C5539" s="40" t="n"/>
    </row>
    <row r="5540">
      <c r="B5540" s="2" t="n"/>
      <c r="C5540" s="40" t="n"/>
    </row>
    <row r="5541">
      <c r="B5541" s="2" t="n"/>
      <c r="C5541" s="40" t="n"/>
    </row>
    <row r="5542">
      <c r="B5542" s="2" t="n"/>
      <c r="C5542" s="40" t="n"/>
    </row>
    <row r="5543">
      <c r="B5543" s="2" t="n"/>
      <c r="C5543" s="40" t="n"/>
    </row>
    <row r="5544">
      <c r="B5544" s="2" t="n"/>
      <c r="C5544" s="40" t="n"/>
    </row>
    <row r="5545">
      <c r="B5545" s="2" t="n"/>
      <c r="C5545" s="40" t="n"/>
    </row>
    <row r="5546">
      <c r="B5546" s="2" t="n"/>
      <c r="C5546" s="40" t="n"/>
    </row>
    <row r="5547">
      <c r="B5547" s="2" t="n"/>
      <c r="C5547" s="40" t="n"/>
    </row>
    <row r="5548">
      <c r="B5548" s="2" t="n"/>
      <c r="C5548" s="40" t="n"/>
    </row>
    <row r="5549">
      <c r="B5549" s="2" t="n"/>
      <c r="C5549" s="40" t="n"/>
    </row>
    <row r="5550">
      <c r="B5550" s="2" t="n"/>
      <c r="C5550" s="40" t="n"/>
    </row>
    <row r="5551">
      <c r="B5551" s="2" t="n"/>
      <c r="C5551" s="40" t="n"/>
    </row>
    <row r="5552">
      <c r="B5552" s="2" t="n"/>
      <c r="C5552" s="40" t="n"/>
    </row>
    <row r="5553">
      <c r="B5553" s="2" t="n"/>
      <c r="C5553" s="40" t="n"/>
    </row>
    <row r="5554">
      <c r="B5554" s="2" t="n"/>
      <c r="C5554" s="40" t="n"/>
    </row>
    <row r="5555">
      <c r="B5555" s="2" t="n"/>
      <c r="C5555" s="40" t="n"/>
    </row>
    <row r="5556">
      <c r="B5556" s="2" t="n"/>
      <c r="C5556" s="40" t="n"/>
    </row>
    <row r="5557">
      <c r="B5557" s="2" t="n"/>
      <c r="C5557" s="40" t="n"/>
    </row>
    <row r="5558">
      <c r="B5558" s="2" t="n"/>
      <c r="C5558" s="40" t="n"/>
    </row>
    <row r="5559">
      <c r="B5559" s="2" t="n"/>
      <c r="C5559" s="40" t="n"/>
    </row>
    <row r="5560">
      <c r="B5560" s="2" t="n"/>
      <c r="C5560" s="40" t="n"/>
    </row>
    <row r="5561">
      <c r="B5561" s="2" t="n"/>
      <c r="C5561" s="40" t="n"/>
    </row>
    <row r="5562">
      <c r="B5562" s="2" t="n"/>
      <c r="C5562" s="40" t="n"/>
    </row>
    <row r="5563">
      <c r="B5563" s="2" t="n"/>
      <c r="C5563" s="40" t="n"/>
    </row>
    <row r="5564">
      <c r="B5564" s="2" t="n"/>
      <c r="C5564" s="40" t="n"/>
    </row>
    <row r="5565">
      <c r="B5565" s="2" t="n"/>
      <c r="C5565" s="40" t="n"/>
    </row>
    <row r="5566">
      <c r="B5566" s="2" t="n"/>
      <c r="C5566" s="40" t="n"/>
    </row>
    <row r="5567">
      <c r="B5567" s="2" t="n"/>
      <c r="C5567" s="40" t="n"/>
    </row>
    <row r="5568">
      <c r="B5568" s="2" t="n"/>
      <c r="C5568" s="40" t="n"/>
    </row>
    <row r="5569">
      <c r="B5569" s="2" t="n"/>
      <c r="C5569" s="40" t="n"/>
    </row>
    <row r="5570">
      <c r="B5570" s="2" t="n"/>
      <c r="C5570" s="40" t="n"/>
    </row>
    <row r="5571">
      <c r="B5571" s="2" t="n"/>
      <c r="C5571" s="40" t="n"/>
    </row>
    <row r="5572">
      <c r="B5572" s="2" t="n"/>
      <c r="C5572" s="40" t="n"/>
    </row>
    <row r="5573">
      <c r="B5573" s="2" t="n"/>
      <c r="C5573" s="40" t="n"/>
    </row>
    <row r="5574">
      <c r="B5574" s="2" t="n"/>
      <c r="C5574" s="40" t="n"/>
    </row>
    <row r="5575">
      <c r="B5575" s="2" t="n"/>
      <c r="C5575" s="40" t="n"/>
    </row>
    <row r="5576">
      <c r="B5576" s="2" t="n"/>
      <c r="C5576" s="40" t="n"/>
    </row>
    <row r="5577">
      <c r="B5577" s="2" t="n"/>
      <c r="C5577" s="40" t="n"/>
    </row>
    <row r="5578">
      <c r="B5578" s="2" t="n"/>
      <c r="C5578" s="40" t="n"/>
    </row>
    <row r="5579">
      <c r="B5579" s="2" t="n"/>
      <c r="C5579" s="40" t="n"/>
    </row>
    <row r="5580">
      <c r="B5580" s="2" t="n"/>
      <c r="C5580" s="40" t="n"/>
    </row>
    <row r="5581">
      <c r="B5581" s="2" t="n"/>
      <c r="C5581" s="40" t="n"/>
    </row>
    <row r="5582">
      <c r="B5582" s="2" t="n"/>
      <c r="C5582" s="40" t="n"/>
    </row>
    <row r="5583">
      <c r="B5583" s="2" t="n"/>
      <c r="C5583" s="40" t="n"/>
    </row>
    <row r="5584">
      <c r="B5584" s="2" t="n"/>
      <c r="C5584" s="40" t="n"/>
    </row>
    <row r="5585">
      <c r="B5585" s="2" t="n"/>
      <c r="C5585" s="40" t="n"/>
    </row>
    <row r="5586">
      <c r="B5586" s="2" t="n"/>
      <c r="C5586" s="40" t="n"/>
    </row>
    <row r="5587">
      <c r="B5587" s="2" t="n"/>
      <c r="C5587" s="40" t="n"/>
    </row>
    <row r="5588">
      <c r="B5588" s="2" t="n"/>
      <c r="C5588" s="40" t="n"/>
    </row>
    <row r="5589">
      <c r="B5589" s="2" t="n"/>
      <c r="C5589" s="40" t="n"/>
    </row>
    <row r="5590">
      <c r="B5590" s="2" t="n"/>
      <c r="C5590" s="40" t="n"/>
    </row>
    <row r="5591">
      <c r="B5591" s="2" t="n"/>
      <c r="C5591" s="40" t="n"/>
    </row>
    <row r="5592">
      <c r="B5592" s="2" t="n"/>
      <c r="C5592" s="40" t="n"/>
    </row>
    <row r="5593">
      <c r="B5593" s="2" t="n"/>
      <c r="C5593" s="40" t="n"/>
    </row>
    <row r="5594">
      <c r="B5594" s="2" t="n"/>
      <c r="C5594" s="40" t="n"/>
    </row>
    <row r="5595">
      <c r="B5595" s="2" t="n"/>
      <c r="C5595" s="40" t="n"/>
    </row>
    <row r="5596">
      <c r="B5596" s="2" t="n"/>
      <c r="C5596" s="40" t="n"/>
    </row>
    <row r="5597">
      <c r="B5597" s="2" t="n"/>
      <c r="C5597" s="40" t="n"/>
    </row>
    <row r="5598">
      <c r="B5598" s="2" t="n"/>
      <c r="C5598" s="40" t="n"/>
    </row>
    <row r="5599">
      <c r="B5599" s="2" t="n"/>
      <c r="C5599" s="40" t="n"/>
    </row>
    <row r="5600">
      <c r="B5600" s="2" t="n"/>
      <c r="C5600" s="40" t="n"/>
    </row>
    <row r="5601">
      <c r="B5601" s="2" t="n"/>
      <c r="C5601" s="40" t="n"/>
    </row>
    <row r="5602">
      <c r="B5602" s="2" t="n"/>
      <c r="C5602" s="40" t="n"/>
    </row>
    <row r="5603">
      <c r="B5603" s="2" t="n"/>
      <c r="C5603" s="40" t="n"/>
    </row>
    <row r="5604">
      <c r="B5604" s="2" t="n"/>
      <c r="C5604" s="40" t="n"/>
    </row>
    <row r="5605">
      <c r="B5605" s="2" t="n"/>
      <c r="C5605" s="40" t="n"/>
    </row>
    <row r="5606">
      <c r="B5606" s="2" t="n"/>
      <c r="C5606" s="40" t="n"/>
    </row>
    <row r="5607">
      <c r="B5607" s="2" t="n"/>
      <c r="C5607" s="40" t="n"/>
    </row>
    <row r="5608">
      <c r="B5608" s="2" t="n"/>
      <c r="C5608" s="40" t="n"/>
    </row>
    <row r="5609">
      <c r="B5609" s="2" t="n"/>
      <c r="C5609" s="40" t="n"/>
    </row>
    <row r="5610">
      <c r="B5610" s="2" t="n"/>
      <c r="C5610" s="40" t="n"/>
    </row>
    <row r="5611">
      <c r="B5611" s="2" t="n"/>
      <c r="C5611" s="40" t="n"/>
    </row>
    <row r="5612">
      <c r="B5612" s="2" t="n"/>
      <c r="C5612" s="40" t="n"/>
    </row>
    <row r="5613">
      <c r="B5613" s="2" t="n"/>
      <c r="C5613" s="40" t="n"/>
    </row>
    <row r="5614">
      <c r="B5614" s="2" t="n"/>
      <c r="C5614" s="40" t="n"/>
    </row>
    <row r="5615">
      <c r="B5615" s="2" t="n"/>
      <c r="C5615" s="40" t="n"/>
    </row>
    <row r="5616">
      <c r="B5616" s="2" t="n"/>
      <c r="C5616" s="40" t="n"/>
    </row>
    <row r="5617">
      <c r="B5617" s="2" t="n"/>
      <c r="C5617" s="40" t="n"/>
    </row>
    <row r="5618">
      <c r="B5618" s="2" t="n"/>
      <c r="C5618" s="40" t="n"/>
    </row>
    <row r="5619">
      <c r="B5619" s="2" t="n"/>
      <c r="C5619" s="40" t="n"/>
    </row>
    <row r="5620">
      <c r="B5620" s="2" t="n"/>
      <c r="C5620" s="40" t="n"/>
    </row>
    <row r="5621">
      <c r="B5621" s="2" t="n"/>
      <c r="C5621" s="40" t="n"/>
    </row>
    <row r="5622">
      <c r="B5622" s="2" t="n"/>
      <c r="C5622" s="40" t="n"/>
    </row>
    <row r="5623">
      <c r="B5623" s="2" t="n"/>
      <c r="C5623" s="40" t="n"/>
    </row>
    <row r="5624">
      <c r="B5624" s="2" t="n"/>
      <c r="C5624" s="40" t="n"/>
    </row>
    <row r="5625">
      <c r="B5625" s="2" t="n"/>
      <c r="C5625" s="40" t="n"/>
    </row>
    <row r="5626">
      <c r="B5626" s="2" t="n"/>
      <c r="C5626" s="40" t="n"/>
    </row>
    <row r="5627">
      <c r="B5627" s="2" t="n"/>
      <c r="C5627" s="40" t="n"/>
    </row>
    <row r="5628">
      <c r="B5628" s="2" t="n"/>
      <c r="C5628" s="40" t="n"/>
    </row>
    <row r="5629">
      <c r="B5629" s="2" t="n"/>
      <c r="C5629" s="40" t="n"/>
    </row>
    <row r="5630">
      <c r="B5630" s="2" t="n"/>
      <c r="C5630" s="40" t="n"/>
    </row>
    <row r="5631">
      <c r="B5631" s="2" t="n"/>
      <c r="C5631" s="40" t="n"/>
    </row>
    <row r="5632">
      <c r="B5632" s="2" t="n"/>
      <c r="C5632" s="40" t="n"/>
    </row>
    <row r="5633">
      <c r="B5633" s="2" t="n"/>
      <c r="C5633" s="40" t="n"/>
    </row>
    <row r="5634">
      <c r="B5634" s="2" t="n"/>
      <c r="C5634" s="40" t="n"/>
    </row>
    <row r="5635">
      <c r="B5635" s="2" t="n"/>
      <c r="C5635" s="40" t="n"/>
    </row>
    <row r="5636">
      <c r="B5636" s="2" t="n"/>
      <c r="C5636" s="40" t="n"/>
    </row>
    <row r="5637">
      <c r="B5637" s="2" t="n"/>
      <c r="C5637" s="40" t="n"/>
    </row>
    <row r="5638">
      <c r="B5638" s="2" t="n"/>
      <c r="C5638" s="40" t="n"/>
    </row>
    <row r="5639">
      <c r="B5639" s="2" t="n"/>
      <c r="C5639" s="40" t="n"/>
    </row>
    <row r="5640">
      <c r="B5640" s="2" t="n"/>
      <c r="C5640" s="40" t="n"/>
    </row>
    <row r="5641">
      <c r="B5641" s="2" t="n"/>
      <c r="C5641" s="40" t="n"/>
    </row>
    <row r="5642">
      <c r="B5642" s="2" t="n"/>
      <c r="C5642" s="40" t="n"/>
    </row>
    <row r="5643">
      <c r="B5643" s="2" t="n"/>
      <c r="C5643" s="40" t="n"/>
    </row>
    <row r="5644">
      <c r="B5644" s="2" t="n"/>
      <c r="C5644" s="40" t="n"/>
    </row>
    <row r="5645">
      <c r="B5645" s="2" t="n"/>
      <c r="C5645" s="40" t="n"/>
    </row>
    <row r="5646">
      <c r="B5646" s="2" t="n"/>
      <c r="C5646" s="40" t="n"/>
    </row>
    <row r="5647">
      <c r="B5647" s="2" t="n"/>
      <c r="C5647" s="40" t="n"/>
    </row>
    <row r="5648">
      <c r="B5648" s="2" t="n"/>
      <c r="C5648" s="40" t="n"/>
    </row>
    <row r="5649">
      <c r="B5649" s="2" t="n"/>
      <c r="C5649" s="40" t="n"/>
    </row>
    <row r="5650">
      <c r="B5650" s="2" t="n"/>
      <c r="C5650" s="40" t="n"/>
    </row>
    <row r="5651">
      <c r="B5651" s="2" t="n"/>
      <c r="C5651" s="40" t="n"/>
    </row>
    <row r="5652">
      <c r="B5652" s="2" t="n"/>
      <c r="C5652" s="40" t="n"/>
    </row>
    <row r="5653">
      <c r="B5653" s="2" t="n"/>
      <c r="C5653" s="40" t="n"/>
    </row>
    <row r="5654">
      <c r="B5654" s="2" t="n"/>
      <c r="C5654" s="40" t="n"/>
    </row>
    <row r="5655">
      <c r="B5655" s="2" t="n"/>
      <c r="C5655" s="40" t="n"/>
    </row>
    <row r="5656">
      <c r="B5656" s="2" t="n"/>
      <c r="C5656" s="40" t="n"/>
    </row>
    <row r="5657">
      <c r="B5657" s="2" t="n"/>
      <c r="C5657" s="40" t="n"/>
    </row>
    <row r="5658">
      <c r="B5658" s="2" t="n"/>
      <c r="C5658" s="40" t="n"/>
    </row>
    <row r="5659">
      <c r="B5659" s="2" t="n"/>
      <c r="C5659" s="40" t="n"/>
    </row>
    <row r="5660">
      <c r="B5660" s="2" t="n"/>
      <c r="C5660" s="40" t="n"/>
    </row>
    <row r="5661">
      <c r="B5661" s="2" t="n"/>
      <c r="C5661" s="40" t="n"/>
    </row>
    <row r="5662">
      <c r="B5662" s="2" t="n"/>
      <c r="C5662" s="40" t="n"/>
    </row>
    <row r="5663">
      <c r="B5663" s="2" t="n"/>
      <c r="C5663" s="40" t="n"/>
    </row>
    <row r="5664">
      <c r="B5664" s="2" t="n"/>
      <c r="C5664" s="40" t="n"/>
    </row>
    <row r="5665">
      <c r="B5665" s="2" t="n"/>
      <c r="C5665" s="40" t="n"/>
    </row>
    <row r="5666">
      <c r="B5666" s="2" t="n"/>
      <c r="C5666" s="40" t="n"/>
    </row>
    <row r="5667">
      <c r="B5667" s="2" t="n"/>
      <c r="C5667" s="40" t="n"/>
    </row>
    <row r="5668">
      <c r="B5668" s="2" t="n"/>
      <c r="C5668" s="40" t="n"/>
    </row>
    <row r="5669">
      <c r="B5669" s="2" t="n"/>
      <c r="C5669" s="40" t="n"/>
    </row>
    <row r="5670">
      <c r="B5670" s="2" t="n"/>
      <c r="C5670" s="40" t="n"/>
    </row>
    <row r="5671">
      <c r="B5671" s="2" t="n"/>
      <c r="C5671" s="40" t="n"/>
    </row>
    <row r="5672">
      <c r="B5672" s="2" t="n"/>
      <c r="C5672" s="40" t="n"/>
    </row>
    <row r="5673">
      <c r="B5673" s="2" t="n"/>
      <c r="C5673" s="40" t="n"/>
    </row>
    <row r="5674">
      <c r="B5674" s="2" t="n"/>
      <c r="C5674" s="40" t="n"/>
    </row>
    <row r="5675">
      <c r="B5675" s="2" t="n"/>
      <c r="C5675" s="40" t="n"/>
    </row>
    <row r="5676">
      <c r="B5676" s="2" t="n"/>
      <c r="C5676" s="40" t="n"/>
    </row>
    <row r="5677">
      <c r="B5677" s="2" t="n"/>
      <c r="C5677" s="40" t="n"/>
    </row>
    <row r="5678">
      <c r="B5678" s="2" t="n"/>
      <c r="C5678" s="40" t="n"/>
    </row>
    <row r="5679">
      <c r="B5679" s="2" t="n"/>
      <c r="C5679" s="40" t="n"/>
    </row>
    <row r="5680">
      <c r="B5680" s="2" t="n"/>
      <c r="C5680" s="40" t="n"/>
    </row>
    <row r="5681">
      <c r="B5681" s="2" t="n"/>
      <c r="C5681" s="40" t="n"/>
    </row>
    <row r="5682">
      <c r="B5682" s="2" t="n"/>
      <c r="C5682" s="40" t="n"/>
    </row>
    <row r="5683">
      <c r="B5683" s="2" t="n"/>
      <c r="C5683" s="40" t="n"/>
    </row>
    <row r="5684">
      <c r="B5684" s="2" t="n"/>
      <c r="C5684" s="40" t="n"/>
    </row>
    <row r="5685">
      <c r="B5685" s="2" t="n"/>
      <c r="C5685" s="40" t="n"/>
    </row>
    <row r="5686">
      <c r="B5686" s="2" t="n"/>
      <c r="C5686" s="40" t="n"/>
    </row>
    <row r="5687">
      <c r="B5687" s="2" t="n"/>
      <c r="C5687" s="40" t="n"/>
    </row>
    <row r="5688">
      <c r="B5688" s="2" t="n"/>
      <c r="C5688" s="40" t="n"/>
    </row>
    <row r="5689">
      <c r="B5689" s="2" t="n"/>
      <c r="C5689" s="40" t="n"/>
    </row>
    <row r="5690">
      <c r="B5690" s="2" t="n"/>
      <c r="C5690" s="40" t="n"/>
    </row>
    <row r="5691">
      <c r="B5691" s="2" t="n"/>
      <c r="C5691" s="40" t="n"/>
    </row>
    <row r="5692">
      <c r="B5692" s="2" t="n"/>
      <c r="C5692" s="40" t="n"/>
    </row>
    <row r="5693">
      <c r="B5693" s="2" t="n"/>
      <c r="C5693" s="40" t="n"/>
    </row>
    <row r="5694">
      <c r="B5694" s="2" t="n"/>
      <c r="C5694" s="40" t="n"/>
    </row>
    <row r="5695">
      <c r="B5695" s="2" t="n"/>
      <c r="C5695" s="40" t="n"/>
    </row>
    <row r="5696">
      <c r="B5696" s="2" t="n"/>
      <c r="C5696" s="40" t="n"/>
    </row>
    <row r="5697">
      <c r="B5697" s="2" t="n"/>
      <c r="C5697" s="40" t="n"/>
    </row>
    <row r="5698">
      <c r="B5698" s="2" t="n"/>
      <c r="C5698" s="40" t="n"/>
    </row>
    <row r="5699">
      <c r="B5699" s="2" t="n"/>
      <c r="C5699" s="40" t="n"/>
    </row>
    <row r="5700">
      <c r="B5700" s="2" t="n"/>
      <c r="C5700" s="40" t="n"/>
    </row>
    <row r="5701">
      <c r="B5701" s="2" t="n"/>
      <c r="C5701" s="40" t="n"/>
    </row>
    <row r="5702">
      <c r="B5702" s="2" t="n"/>
      <c r="C5702" s="40" t="n"/>
    </row>
    <row r="5703">
      <c r="B5703" s="2" t="n"/>
      <c r="C5703" s="40" t="n"/>
    </row>
    <row r="5704">
      <c r="B5704" s="2" t="n"/>
      <c r="C5704" s="40" t="n"/>
    </row>
    <row r="5705">
      <c r="B5705" s="2" t="n"/>
      <c r="C5705" s="40" t="n"/>
    </row>
    <row r="5706">
      <c r="B5706" s="2" t="n"/>
      <c r="C5706" s="40" t="n"/>
    </row>
    <row r="5707">
      <c r="B5707" s="2" t="n"/>
      <c r="C5707" s="40" t="n"/>
    </row>
    <row r="5708">
      <c r="B5708" s="2" t="n"/>
      <c r="C5708" s="40" t="n"/>
    </row>
    <row r="5709">
      <c r="B5709" s="2" t="n"/>
      <c r="C5709" s="40" t="n"/>
    </row>
    <row r="5710">
      <c r="B5710" s="2" t="n"/>
      <c r="C5710" s="40" t="n"/>
    </row>
    <row r="5711">
      <c r="B5711" s="2" t="n"/>
      <c r="C5711" s="40" t="n"/>
    </row>
    <row r="5712">
      <c r="B5712" s="2" t="n"/>
      <c r="C5712" s="40" t="n"/>
    </row>
    <row r="5713">
      <c r="B5713" s="2" t="n"/>
      <c r="C5713" s="40" t="n"/>
    </row>
    <row r="5714">
      <c r="B5714" s="2" t="n"/>
      <c r="C5714" s="40" t="n"/>
    </row>
    <row r="5715">
      <c r="B5715" s="2" t="n"/>
      <c r="C5715" s="40" t="n"/>
    </row>
    <row r="5716">
      <c r="B5716" s="2" t="n"/>
      <c r="C5716" s="40" t="n"/>
    </row>
    <row r="5717">
      <c r="B5717" s="2" t="n"/>
      <c r="C5717" s="40" t="n"/>
    </row>
    <row r="5718">
      <c r="B5718" s="2" t="n"/>
      <c r="C5718" s="40" t="n"/>
    </row>
    <row r="5719">
      <c r="B5719" s="2" t="n"/>
      <c r="C5719" s="40" t="n"/>
    </row>
    <row r="5720">
      <c r="B5720" s="2" t="n"/>
      <c r="C5720" s="40" t="n"/>
    </row>
    <row r="5721">
      <c r="B5721" s="2" t="n"/>
      <c r="C5721" s="40" t="n"/>
    </row>
    <row r="5722">
      <c r="B5722" s="2" t="n"/>
      <c r="C5722" s="40" t="n"/>
    </row>
    <row r="5723">
      <c r="B5723" s="2" t="n"/>
      <c r="C5723" s="40" t="n"/>
    </row>
    <row r="5724">
      <c r="B5724" s="2" t="n"/>
      <c r="C5724" s="40" t="n"/>
    </row>
    <row r="5725">
      <c r="B5725" s="2" t="n"/>
      <c r="C5725" s="40" t="n"/>
    </row>
    <row r="5726">
      <c r="B5726" s="2" t="n"/>
      <c r="C5726" s="40" t="n"/>
    </row>
    <row r="5727">
      <c r="B5727" s="2" t="n"/>
      <c r="C5727" s="40" t="n"/>
    </row>
    <row r="5728">
      <c r="B5728" s="2" t="n"/>
      <c r="C5728" s="40" t="n"/>
    </row>
    <row r="5729">
      <c r="B5729" s="2" t="n"/>
      <c r="C5729" s="40" t="n"/>
    </row>
    <row r="5730">
      <c r="B5730" s="2" t="n"/>
      <c r="C5730" s="40" t="n"/>
    </row>
    <row r="5731">
      <c r="B5731" s="2" t="n"/>
      <c r="C5731" s="40" t="n"/>
    </row>
    <row r="5732">
      <c r="B5732" s="2" t="n"/>
      <c r="C5732" s="40" t="n"/>
    </row>
    <row r="5733">
      <c r="B5733" s="2" t="n"/>
      <c r="C5733" s="40" t="n"/>
    </row>
    <row r="5734">
      <c r="B5734" s="2" t="n"/>
      <c r="C5734" s="40" t="n"/>
    </row>
    <row r="5735">
      <c r="B5735" s="2" t="n"/>
      <c r="C5735" s="40" t="n"/>
    </row>
    <row r="5736">
      <c r="B5736" s="2" t="n"/>
      <c r="C5736" s="40" t="n"/>
    </row>
    <row r="5737">
      <c r="B5737" s="2" t="n"/>
      <c r="C5737" s="40" t="n"/>
    </row>
    <row r="5738">
      <c r="B5738" s="2" t="n"/>
      <c r="C5738" s="40" t="n"/>
    </row>
    <row r="5739">
      <c r="B5739" s="2" t="n"/>
      <c r="C5739" s="40" t="n"/>
    </row>
    <row r="5740">
      <c r="B5740" s="2" t="n"/>
      <c r="C5740" s="40" t="n"/>
    </row>
    <row r="5741">
      <c r="B5741" s="2" t="n"/>
      <c r="C5741" s="40" t="n"/>
    </row>
    <row r="5742">
      <c r="B5742" s="2" t="n"/>
      <c r="C5742" s="40" t="n"/>
    </row>
    <row r="5743">
      <c r="B5743" s="2" t="n"/>
      <c r="C5743" s="40" t="n"/>
    </row>
    <row r="5744">
      <c r="B5744" s="2" t="n"/>
      <c r="C5744" s="40" t="n"/>
    </row>
    <row r="5745">
      <c r="B5745" s="2" t="n"/>
      <c r="C5745" s="40" t="n"/>
    </row>
    <row r="5746">
      <c r="B5746" s="2" t="n"/>
      <c r="C5746" s="40" t="n"/>
    </row>
    <row r="5747">
      <c r="B5747" s="2" t="n"/>
      <c r="C5747" s="40" t="n"/>
    </row>
    <row r="5748">
      <c r="B5748" s="2" t="n"/>
      <c r="C5748" s="40" t="n"/>
    </row>
    <row r="5749">
      <c r="B5749" s="2" t="n"/>
      <c r="C5749" s="40" t="n"/>
    </row>
    <row r="5750">
      <c r="B5750" s="2" t="n"/>
      <c r="C5750" s="40" t="n"/>
    </row>
    <row r="5751">
      <c r="B5751" s="2" t="n"/>
      <c r="C5751" s="40" t="n"/>
    </row>
    <row r="5752">
      <c r="B5752" s="2" t="n"/>
      <c r="C5752" s="40" t="n"/>
    </row>
    <row r="5753">
      <c r="B5753" s="2" t="n"/>
      <c r="C5753" s="40" t="n"/>
    </row>
    <row r="5754">
      <c r="B5754" s="2" t="n"/>
      <c r="C5754" s="40" t="n"/>
    </row>
    <row r="5755">
      <c r="B5755" s="2" t="n"/>
      <c r="C5755" s="40" t="n"/>
    </row>
    <row r="5756">
      <c r="B5756" s="2" t="n"/>
      <c r="C5756" s="40" t="n"/>
    </row>
    <row r="5757">
      <c r="B5757" s="2" t="n"/>
      <c r="C5757" s="40" t="n"/>
    </row>
    <row r="5758">
      <c r="B5758" s="2" t="n"/>
      <c r="C5758" s="40" t="n"/>
    </row>
    <row r="5759">
      <c r="B5759" s="2" t="n"/>
      <c r="C5759" s="40" t="n"/>
    </row>
    <row r="5760">
      <c r="B5760" s="2" t="n"/>
      <c r="C5760" s="40" t="n"/>
    </row>
    <row r="5761">
      <c r="B5761" s="2" t="n"/>
      <c r="C5761" s="40" t="n"/>
    </row>
    <row r="5762">
      <c r="B5762" s="2" t="n"/>
      <c r="C5762" s="40" t="n"/>
    </row>
    <row r="5763">
      <c r="B5763" s="2" t="n"/>
      <c r="C5763" s="40" t="n"/>
    </row>
    <row r="5764">
      <c r="B5764" s="2" t="n"/>
      <c r="C5764" s="40" t="n"/>
    </row>
    <row r="5765">
      <c r="B5765" s="2" t="n"/>
      <c r="C5765" s="40" t="n"/>
    </row>
    <row r="5766">
      <c r="B5766" s="2" t="n"/>
      <c r="C5766" s="40" t="n"/>
    </row>
    <row r="5767">
      <c r="B5767" s="2" t="n"/>
      <c r="C5767" s="40" t="n"/>
    </row>
    <row r="5768">
      <c r="B5768" s="2" t="n"/>
      <c r="C5768" s="40" t="n"/>
    </row>
    <row r="5769">
      <c r="B5769" s="2" t="n"/>
      <c r="C5769" s="40" t="n"/>
    </row>
    <row r="5770">
      <c r="B5770" s="2" t="n"/>
      <c r="C5770" s="40" t="n"/>
    </row>
    <row r="5771">
      <c r="B5771" s="2" t="n"/>
      <c r="C5771" s="40" t="n"/>
    </row>
    <row r="5772">
      <c r="B5772" s="2" t="n"/>
      <c r="C5772" s="40" t="n"/>
    </row>
    <row r="5773">
      <c r="B5773" s="2" t="n"/>
      <c r="C5773" s="40" t="n"/>
    </row>
    <row r="5774">
      <c r="B5774" s="2" t="n"/>
      <c r="C5774" s="40" t="n"/>
    </row>
    <row r="5775">
      <c r="B5775" s="2" t="n"/>
      <c r="C5775" s="40" t="n"/>
    </row>
    <row r="5776">
      <c r="B5776" s="2" t="n"/>
      <c r="C5776" s="40" t="n"/>
    </row>
    <row r="5777">
      <c r="B5777" s="2" t="n"/>
      <c r="C5777" s="40" t="n"/>
    </row>
    <row r="5778">
      <c r="B5778" s="2" t="n"/>
      <c r="C5778" s="40" t="n"/>
    </row>
    <row r="5779">
      <c r="B5779" s="2" t="n"/>
      <c r="C5779" s="40" t="n"/>
    </row>
    <row r="5780">
      <c r="B5780" s="2" t="n"/>
      <c r="C5780" s="40" t="n"/>
    </row>
    <row r="5781">
      <c r="B5781" s="2" t="n"/>
      <c r="C5781" s="40" t="n"/>
    </row>
    <row r="5782">
      <c r="B5782" s="2" t="n"/>
      <c r="C5782" s="40" t="n"/>
    </row>
    <row r="5783">
      <c r="B5783" s="2" t="n"/>
      <c r="C5783" s="40" t="n"/>
    </row>
    <row r="5784">
      <c r="B5784" s="2" t="n"/>
      <c r="C5784" s="40" t="n"/>
    </row>
    <row r="5785">
      <c r="B5785" s="2" t="n"/>
      <c r="C5785" s="40" t="n"/>
    </row>
    <row r="5786">
      <c r="B5786" s="2" t="n"/>
      <c r="C5786" s="40" t="n"/>
    </row>
    <row r="5787">
      <c r="B5787" s="2" t="n"/>
      <c r="C5787" s="40" t="n"/>
    </row>
    <row r="5788">
      <c r="B5788" s="2" t="n"/>
      <c r="C5788" s="40" t="n"/>
    </row>
    <row r="5789">
      <c r="B5789" s="2" t="n"/>
      <c r="C5789" s="40" t="n"/>
    </row>
    <row r="5790">
      <c r="B5790" s="2" t="n"/>
      <c r="C5790" s="40" t="n"/>
    </row>
    <row r="5791">
      <c r="B5791" s="2" t="n"/>
      <c r="C5791" s="40" t="n"/>
    </row>
    <row r="5792">
      <c r="B5792" s="2" t="n"/>
      <c r="C5792" s="40" t="n"/>
    </row>
    <row r="5793">
      <c r="B5793" s="2" t="n"/>
      <c r="C5793" s="40" t="n"/>
    </row>
    <row r="5794">
      <c r="B5794" s="2" t="n"/>
      <c r="C5794" s="40" t="n"/>
    </row>
    <row r="5795">
      <c r="B5795" s="2" t="n"/>
      <c r="C5795" s="40" t="n"/>
    </row>
    <row r="5796">
      <c r="B5796" s="2" t="n"/>
      <c r="C5796" s="40" t="n"/>
    </row>
    <row r="5797">
      <c r="B5797" s="2" t="n"/>
      <c r="C5797" s="40" t="n"/>
    </row>
    <row r="5798">
      <c r="B5798" s="2" t="n"/>
      <c r="C5798" s="40" t="n"/>
    </row>
    <row r="5799">
      <c r="B5799" s="2" t="n"/>
      <c r="C5799" s="40" t="n"/>
    </row>
    <row r="5800">
      <c r="B5800" s="2" t="n"/>
      <c r="C5800" s="40" t="n"/>
    </row>
    <row r="5801">
      <c r="B5801" s="2" t="n"/>
      <c r="C5801" s="40" t="n"/>
    </row>
    <row r="5802">
      <c r="B5802" s="2" t="n"/>
      <c r="C5802" s="40" t="n"/>
    </row>
    <row r="5803">
      <c r="B5803" s="2" t="n"/>
      <c r="C5803" s="40" t="n"/>
    </row>
    <row r="5804">
      <c r="B5804" s="2" t="n"/>
      <c r="C5804" s="40" t="n"/>
    </row>
    <row r="5805">
      <c r="B5805" s="2" t="n"/>
      <c r="C5805" s="40" t="n"/>
    </row>
    <row r="5806">
      <c r="B5806" s="2" t="n"/>
      <c r="C5806" s="40" t="n"/>
    </row>
    <row r="5807">
      <c r="B5807" s="2" t="n"/>
      <c r="C5807" s="40" t="n"/>
    </row>
    <row r="5808">
      <c r="B5808" s="2" t="n"/>
      <c r="C5808" s="40" t="n"/>
    </row>
    <row r="5809">
      <c r="B5809" s="2" t="n"/>
      <c r="C5809" s="40" t="n"/>
    </row>
    <row r="5810">
      <c r="B5810" s="2" t="n"/>
      <c r="C5810" s="40" t="n"/>
    </row>
    <row r="5811">
      <c r="B5811" s="2" t="n"/>
      <c r="C5811" s="40" t="n"/>
    </row>
    <row r="5812">
      <c r="B5812" s="2" t="n"/>
      <c r="C5812" s="40" t="n"/>
    </row>
    <row r="5813">
      <c r="B5813" s="2" t="n"/>
      <c r="C5813" s="40" t="n"/>
    </row>
    <row r="5814">
      <c r="B5814" s="2" t="n"/>
      <c r="C5814" s="40" t="n"/>
    </row>
    <row r="5815">
      <c r="B5815" s="2" t="n"/>
      <c r="C5815" s="40" t="n"/>
    </row>
    <row r="5816">
      <c r="B5816" s="2" t="n"/>
      <c r="C5816" s="40" t="n"/>
    </row>
    <row r="5817">
      <c r="B5817" s="2" t="n"/>
      <c r="C5817" s="40" t="n"/>
    </row>
    <row r="5818">
      <c r="B5818" s="2" t="n"/>
      <c r="C5818" s="40" t="n"/>
    </row>
    <row r="5819">
      <c r="B5819" s="2" t="n"/>
      <c r="C5819" s="40" t="n"/>
    </row>
    <row r="5820">
      <c r="B5820" s="2" t="n"/>
      <c r="C5820" s="40" t="n"/>
    </row>
    <row r="5821">
      <c r="B5821" s="2" t="n"/>
      <c r="C5821" s="40" t="n"/>
    </row>
    <row r="5822">
      <c r="B5822" s="2" t="n"/>
      <c r="C5822" s="40" t="n"/>
    </row>
    <row r="5823">
      <c r="B5823" s="2" t="n"/>
      <c r="C5823" s="40" t="n"/>
    </row>
    <row r="5824">
      <c r="B5824" s="2" t="n"/>
      <c r="C5824" s="40" t="n"/>
    </row>
    <row r="5825">
      <c r="B5825" s="2" t="n"/>
      <c r="C5825" s="40" t="n"/>
    </row>
    <row r="5826">
      <c r="B5826" s="2" t="n"/>
      <c r="C5826" s="40" t="n"/>
    </row>
    <row r="5827">
      <c r="B5827" s="2" t="n"/>
      <c r="C5827" s="40" t="n"/>
    </row>
    <row r="5828">
      <c r="B5828" s="2" t="n"/>
      <c r="C5828" s="40" t="n"/>
    </row>
    <row r="5829">
      <c r="B5829" s="2" t="n"/>
      <c r="C5829" s="40" t="n"/>
    </row>
    <row r="5830">
      <c r="B5830" s="2" t="n"/>
      <c r="C5830" s="40" t="n"/>
    </row>
    <row r="5831">
      <c r="B5831" s="2" t="n"/>
      <c r="C5831" s="40" t="n"/>
    </row>
    <row r="5832">
      <c r="B5832" s="2" t="n"/>
      <c r="C5832" s="40" t="n"/>
    </row>
    <row r="5833">
      <c r="B5833" s="2" t="n"/>
      <c r="C5833" s="40" t="n"/>
    </row>
    <row r="5834">
      <c r="B5834" s="2" t="n"/>
      <c r="C5834" s="40" t="n"/>
    </row>
    <row r="5835">
      <c r="B5835" s="2" t="n"/>
      <c r="C5835" s="40" t="n"/>
    </row>
    <row r="5836">
      <c r="B5836" s="2" t="n"/>
      <c r="C5836" s="40" t="n"/>
    </row>
    <row r="5837">
      <c r="B5837" s="2" t="n"/>
      <c r="C5837" s="40" t="n"/>
    </row>
    <row r="5838">
      <c r="B5838" s="2" t="n"/>
      <c r="C5838" s="40" t="n"/>
    </row>
    <row r="5839">
      <c r="B5839" s="2" t="n"/>
      <c r="C5839" s="40" t="n"/>
    </row>
    <row r="5840">
      <c r="B5840" s="2" t="n"/>
      <c r="C5840" s="40" t="n"/>
    </row>
    <row r="5841">
      <c r="B5841" s="2" t="n"/>
      <c r="C5841" s="40" t="n"/>
    </row>
    <row r="5842">
      <c r="B5842" s="2" t="n"/>
      <c r="C5842" s="40" t="n"/>
    </row>
    <row r="5843">
      <c r="B5843" s="2" t="n"/>
      <c r="C5843" s="40" t="n"/>
    </row>
    <row r="5844">
      <c r="B5844" s="2" t="n"/>
      <c r="C5844" s="40" t="n"/>
    </row>
    <row r="5845">
      <c r="B5845" s="2" t="n"/>
      <c r="C5845" s="40" t="n"/>
    </row>
    <row r="5846">
      <c r="B5846" s="2" t="n"/>
      <c r="C5846" s="40" t="n"/>
    </row>
    <row r="5847">
      <c r="B5847" s="2" t="n"/>
      <c r="C5847" s="40" t="n"/>
    </row>
    <row r="5848">
      <c r="B5848" s="2" t="n"/>
      <c r="C5848" s="40" t="n"/>
    </row>
    <row r="5849">
      <c r="B5849" s="2" t="n"/>
      <c r="C5849" s="40" t="n"/>
    </row>
    <row r="5850">
      <c r="B5850" s="2" t="n"/>
      <c r="C5850" s="40" t="n"/>
    </row>
    <row r="5851">
      <c r="B5851" s="2" t="n"/>
      <c r="C5851" s="40" t="n"/>
    </row>
    <row r="5852">
      <c r="B5852" s="2" t="n"/>
      <c r="C5852" s="40" t="n"/>
    </row>
    <row r="5853">
      <c r="B5853" s="2" t="n"/>
      <c r="C5853" s="40" t="n"/>
    </row>
    <row r="5854">
      <c r="B5854" s="2" t="n"/>
      <c r="C5854" s="40" t="n"/>
    </row>
    <row r="5855">
      <c r="B5855" s="2" t="n"/>
      <c r="C5855" s="40" t="n"/>
    </row>
    <row r="5856">
      <c r="B5856" s="2" t="n"/>
      <c r="C5856" s="40" t="n"/>
    </row>
    <row r="5857">
      <c r="B5857" s="2" t="n"/>
      <c r="C5857" s="40" t="n"/>
    </row>
    <row r="5858">
      <c r="B5858" s="2" t="n"/>
      <c r="C5858" s="40" t="n"/>
    </row>
    <row r="5859">
      <c r="B5859" s="2" t="n"/>
      <c r="C5859" s="40" t="n"/>
    </row>
    <row r="5860">
      <c r="B5860" s="2" t="n"/>
      <c r="C5860" s="40" t="n"/>
    </row>
    <row r="5861">
      <c r="B5861" s="2" t="n"/>
      <c r="C5861" s="40" t="n"/>
    </row>
    <row r="5862">
      <c r="B5862" s="2" t="n"/>
      <c r="C5862" s="40" t="n"/>
    </row>
    <row r="5863">
      <c r="B5863" s="2" t="n"/>
      <c r="C5863" s="40" t="n"/>
    </row>
    <row r="5864">
      <c r="B5864" s="2" t="n"/>
      <c r="C5864" s="40" t="n"/>
    </row>
    <row r="5865">
      <c r="B5865" s="2" t="n"/>
      <c r="C5865" s="40" t="n"/>
    </row>
    <row r="5866">
      <c r="B5866" s="2" t="n"/>
      <c r="C5866" s="40" t="n"/>
    </row>
    <row r="5867">
      <c r="B5867" s="2" t="n"/>
      <c r="C5867" s="40" t="n"/>
    </row>
    <row r="5868">
      <c r="B5868" s="2" t="n"/>
      <c r="C5868" s="40" t="n"/>
    </row>
    <row r="5869">
      <c r="B5869" s="2" t="n"/>
      <c r="C5869" s="40" t="n"/>
    </row>
    <row r="5870">
      <c r="B5870" s="2" t="n"/>
      <c r="C5870" s="40" t="n"/>
    </row>
    <row r="5871">
      <c r="B5871" s="2" t="n"/>
      <c r="C5871" s="40" t="n"/>
    </row>
    <row r="5872">
      <c r="B5872" s="2" t="n"/>
      <c r="C5872" s="40" t="n"/>
    </row>
    <row r="5873">
      <c r="B5873" s="2" t="n"/>
      <c r="C5873" s="40" t="n"/>
    </row>
    <row r="5874">
      <c r="B5874" s="2" t="n"/>
      <c r="C5874" s="40" t="n"/>
    </row>
    <row r="5875">
      <c r="B5875" s="2" t="n"/>
      <c r="C5875" s="40" t="n"/>
    </row>
    <row r="5876">
      <c r="B5876" s="2" t="n"/>
      <c r="C5876" s="40" t="n"/>
    </row>
    <row r="5877">
      <c r="B5877" s="2" t="n"/>
      <c r="C5877" s="40" t="n"/>
    </row>
    <row r="5878">
      <c r="B5878" s="2" t="n"/>
      <c r="C5878" s="40" t="n"/>
    </row>
    <row r="5879">
      <c r="B5879" s="2" t="n"/>
      <c r="C5879" s="40" t="n"/>
    </row>
    <row r="5880">
      <c r="B5880" s="2" t="n"/>
      <c r="C5880" s="40" t="n"/>
    </row>
    <row r="5881">
      <c r="B5881" s="2" t="n"/>
      <c r="C5881" s="40" t="n"/>
    </row>
    <row r="5882">
      <c r="B5882" s="2" t="n"/>
      <c r="C5882" s="40" t="n"/>
    </row>
    <row r="5883">
      <c r="B5883" s="2" t="n"/>
      <c r="C5883" s="40" t="n"/>
    </row>
    <row r="5884">
      <c r="B5884" s="2" t="n"/>
      <c r="C5884" s="40" t="n"/>
    </row>
    <row r="5885">
      <c r="B5885" s="2" t="n"/>
      <c r="C5885" s="40" t="n"/>
    </row>
    <row r="5886">
      <c r="B5886" s="2" t="n"/>
      <c r="C5886" s="40" t="n"/>
    </row>
    <row r="5887">
      <c r="B5887" s="2" t="n"/>
      <c r="C5887" s="40" t="n"/>
    </row>
    <row r="5888">
      <c r="B5888" s="2" t="n"/>
      <c r="C5888" s="40" t="n"/>
    </row>
    <row r="5889">
      <c r="B5889" s="2" t="n"/>
      <c r="C5889" s="40" t="n"/>
    </row>
    <row r="5890">
      <c r="B5890" s="2" t="n"/>
      <c r="C5890" s="40" t="n"/>
    </row>
    <row r="5891">
      <c r="B5891" s="2" t="n"/>
      <c r="C5891" s="40" t="n"/>
    </row>
    <row r="5892">
      <c r="B5892" s="2" t="n"/>
      <c r="C5892" s="40" t="n"/>
    </row>
    <row r="5893">
      <c r="B5893" s="2" t="n"/>
      <c r="C5893" s="40" t="n"/>
    </row>
    <row r="5894">
      <c r="B5894" s="2" t="n"/>
      <c r="C5894" s="40" t="n"/>
    </row>
    <row r="5895">
      <c r="B5895" s="2" t="n"/>
      <c r="C5895" s="40" t="n"/>
    </row>
    <row r="5896">
      <c r="B5896" s="2" t="n"/>
      <c r="C5896" s="40" t="n"/>
    </row>
    <row r="5897">
      <c r="B5897" s="2" t="n"/>
      <c r="C5897" s="40" t="n"/>
    </row>
    <row r="5898">
      <c r="B5898" s="2" t="n"/>
      <c r="C5898" s="40" t="n"/>
    </row>
    <row r="5899">
      <c r="B5899" s="2" t="n"/>
      <c r="C5899" s="40" t="n"/>
    </row>
    <row r="5900">
      <c r="B5900" s="2" t="n"/>
      <c r="C5900" s="40" t="n"/>
    </row>
    <row r="5901">
      <c r="B5901" s="2" t="n"/>
      <c r="C5901" s="40" t="n"/>
    </row>
    <row r="5902">
      <c r="B5902" s="2" t="n"/>
      <c r="C5902" s="40" t="n"/>
    </row>
    <row r="5903">
      <c r="B5903" s="2" t="n"/>
      <c r="C5903" s="40" t="n"/>
    </row>
    <row r="5904">
      <c r="B5904" s="2" t="n"/>
      <c r="C5904" s="40" t="n"/>
    </row>
    <row r="5905">
      <c r="B5905" s="2" t="n"/>
      <c r="C5905" s="40" t="n"/>
    </row>
    <row r="5906">
      <c r="B5906" s="2" t="n"/>
      <c r="C5906" s="40" t="n"/>
    </row>
    <row r="5907">
      <c r="B5907" s="2" t="n"/>
      <c r="C5907" s="40" t="n"/>
    </row>
    <row r="5908">
      <c r="B5908" s="2" t="n"/>
      <c r="C5908" s="40" t="n"/>
    </row>
    <row r="5909">
      <c r="B5909" s="2" t="n"/>
      <c r="C5909" s="40" t="n"/>
    </row>
    <row r="5910">
      <c r="B5910" s="2" t="n"/>
      <c r="C5910" s="40" t="n"/>
    </row>
    <row r="5911">
      <c r="B5911" s="2" t="n"/>
      <c r="C5911" s="40" t="n"/>
    </row>
    <row r="5912">
      <c r="B5912" s="2" t="n"/>
      <c r="C5912" s="40" t="n"/>
    </row>
    <row r="5913">
      <c r="B5913" s="2" t="n"/>
      <c r="C5913" s="40" t="n"/>
    </row>
    <row r="5914">
      <c r="B5914" s="2" t="n"/>
      <c r="C5914" s="40" t="n"/>
    </row>
    <row r="5915">
      <c r="B5915" s="2" t="n"/>
      <c r="C5915" s="40" t="n"/>
    </row>
    <row r="5916">
      <c r="B5916" s="2" t="n"/>
      <c r="C5916" s="40" t="n"/>
    </row>
    <row r="5917">
      <c r="B5917" s="2" t="n"/>
      <c r="C5917" s="40" t="n"/>
    </row>
    <row r="5918">
      <c r="B5918" s="2" t="n"/>
      <c r="C5918" s="40" t="n"/>
    </row>
    <row r="5919">
      <c r="B5919" s="2" t="n"/>
      <c r="C5919" s="40" t="n"/>
    </row>
    <row r="5920">
      <c r="B5920" s="2" t="n"/>
      <c r="C5920" s="40" t="n"/>
    </row>
    <row r="5921">
      <c r="B5921" s="2" t="n"/>
      <c r="C5921" s="40" t="n"/>
    </row>
    <row r="5922">
      <c r="B5922" s="2" t="n"/>
      <c r="C5922" s="40" t="n"/>
    </row>
    <row r="5923">
      <c r="B5923" s="2" t="n"/>
      <c r="C5923" s="40" t="n"/>
    </row>
    <row r="5924">
      <c r="B5924" s="2" t="n"/>
      <c r="C5924" s="40" t="n"/>
    </row>
    <row r="5925">
      <c r="B5925" s="2" t="n"/>
      <c r="C5925" s="40" t="n"/>
    </row>
    <row r="5926">
      <c r="B5926" s="2" t="n"/>
      <c r="C5926" s="40" t="n"/>
    </row>
    <row r="5927">
      <c r="B5927" s="2" t="n"/>
      <c r="C5927" s="40" t="n"/>
    </row>
    <row r="5928">
      <c r="B5928" s="2" t="n"/>
      <c r="C5928" s="40" t="n"/>
    </row>
    <row r="5929">
      <c r="B5929" s="2" t="n"/>
      <c r="C5929" s="40" t="n"/>
    </row>
    <row r="5930">
      <c r="B5930" s="2" t="n"/>
      <c r="C5930" s="40" t="n"/>
    </row>
    <row r="5931">
      <c r="B5931" s="2" t="n"/>
      <c r="C5931" s="40" t="n"/>
    </row>
    <row r="5932">
      <c r="B5932" s="2" t="n"/>
      <c r="C5932" s="40" t="n"/>
    </row>
    <row r="5933">
      <c r="B5933" s="2" t="n"/>
      <c r="C5933" s="40" t="n"/>
    </row>
    <row r="5934">
      <c r="B5934" s="2" t="n"/>
      <c r="C5934" s="40" t="n"/>
    </row>
    <row r="5935">
      <c r="B5935" s="2" t="n"/>
      <c r="C5935" s="40" t="n"/>
    </row>
    <row r="5936">
      <c r="B5936" s="2" t="n"/>
      <c r="C5936" s="40" t="n"/>
    </row>
    <row r="5937">
      <c r="B5937" s="2" t="n"/>
      <c r="C5937" s="40" t="n"/>
    </row>
    <row r="5938">
      <c r="B5938" s="2" t="n"/>
      <c r="C5938" s="40" t="n"/>
    </row>
    <row r="5939">
      <c r="B5939" s="2" t="n"/>
      <c r="C5939" s="40" t="n"/>
    </row>
    <row r="5940">
      <c r="B5940" s="2" t="n"/>
      <c r="C5940" s="40" t="n"/>
    </row>
    <row r="5941">
      <c r="B5941" s="2" t="n"/>
      <c r="C5941" s="40" t="n"/>
    </row>
    <row r="5942">
      <c r="B5942" s="2" t="n"/>
      <c r="C5942" s="40" t="n"/>
    </row>
    <row r="5943">
      <c r="B5943" s="2" t="n"/>
      <c r="C5943" s="40" t="n"/>
    </row>
    <row r="5944">
      <c r="B5944" s="2" t="n"/>
      <c r="C5944" s="40" t="n"/>
    </row>
    <row r="5945">
      <c r="B5945" s="2" t="n"/>
      <c r="C5945" s="40" t="n"/>
    </row>
    <row r="5946">
      <c r="B5946" s="2" t="n"/>
      <c r="C5946" s="40" t="n"/>
    </row>
    <row r="5947">
      <c r="B5947" s="2" t="n"/>
      <c r="C5947" s="40" t="n"/>
    </row>
    <row r="5948">
      <c r="B5948" s="2" t="n"/>
      <c r="C5948" s="40" t="n"/>
    </row>
    <row r="5949">
      <c r="B5949" s="2" t="n"/>
      <c r="C5949" s="40" t="n"/>
    </row>
    <row r="5950">
      <c r="B5950" s="2" t="n"/>
      <c r="C5950" s="40" t="n"/>
    </row>
    <row r="5951">
      <c r="B5951" s="2" t="n"/>
      <c r="C5951" s="40" t="n"/>
    </row>
    <row r="5952">
      <c r="B5952" s="2" t="n"/>
      <c r="C5952" s="40" t="n"/>
    </row>
    <row r="5953">
      <c r="B5953" s="2" t="n"/>
      <c r="C5953" s="40" t="n"/>
    </row>
    <row r="5954">
      <c r="B5954" s="2" t="n"/>
      <c r="C5954" s="40" t="n"/>
    </row>
    <row r="5955">
      <c r="B5955" s="2" t="n"/>
      <c r="C5955" s="40" t="n"/>
    </row>
    <row r="5956">
      <c r="B5956" s="2" t="n"/>
      <c r="C5956" s="40" t="n"/>
    </row>
    <row r="5957">
      <c r="B5957" s="2" t="n"/>
      <c r="C5957" s="40" t="n"/>
    </row>
    <row r="5958">
      <c r="B5958" s="2" t="n"/>
      <c r="C5958" s="40" t="n"/>
    </row>
    <row r="5959">
      <c r="B5959" s="2" t="n"/>
      <c r="C5959" s="40" t="n"/>
    </row>
    <row r="5960">
      <c r="B5960" s="2" t="n"/>
      <c r="C5960" s="40" t="n"/>
    </row>
    <row r="5961">
      <c r="B5961" s="2" t="n"/>
      <c r="C5961" s="40" t="n"/>
    </row>
    <row r="5962">
      <c r="B5962" s="2" t="n"/>
      <c r="C5962" s="40" t="n"/>
    </row>
    <row r="5963">
      <c r="B5963" s="2" t="n"/>
      <c r="C5963" s="40" t="n"/>
    </row>
    <row r="5964">
      <c r="B5964" s="2" t="n"/>
      <c r="C5964" s="40" t="n"/>
    </row>
    <row r="5965">
      <c r="B5965" s="2" t="n"/>
      <c r="C5965" s="40" t="n"/>
    </row>
    <row r="5966">
      <c r="B5966" s="2" t="n"/>
      <c r="C5966" s="40" t="n"/>
    </row>
    <row r="5967">
      <c r="B5967" s="2" t="n"/>
      <c r="C5967" s="40" t="n"/>
    </row>
    <row r="5968">
      <c r="B5968" s="2" t="n"/>
      <c r="C5968" s="40" t="n"/>
    </row>
    <row r="5969">
      <c r="B5969" s="2" t="n"/>
      <c r="C5969" s="40" t="n"/>
    </row>
    <row r="5970">
      <c r="B5970" s="2" t="n"/>
      <c r="C5970" s="40" t="n"/>
    </row>
    <row r="5971">
      <c r="B5971" s="2" t="n"/>
      <c r="C5971" s="40" t="n"/>
    </row>
    <row r="5972">
      <c r="B5972" s="2" t="n"/>
      <c r="C5972" s="40" t="n"/>
    </row>
    <row r="5973">
      <c r="B5973" s="2" t="n"/>
      <c r="C5973" s="40" t="n"/>
    </row>
    <row r="5974">
      <c r="B5974" s="2" t="n"/>
      <c r="C5974" s="40" t="n"/>
    </row>
    <row r="5975">
      <c r="B5975" s="2" t="n"/>
      <c r="C5975" s="40" t="n"/>
    </row>
    <row r="5976">
      <c r="B5976" s="2" t="n"/>
      <c r="C5976" s="40" t="n"/>
    </row>
    <row r="5977">
      <c r="B5977" s="2" t="n"/>
      <c r="C5977" s="40" t="n"/>
    </row>
    <row r="5978">
      <c r="B5978" s="2" t="n"/>
      <c r="C5978" s="40" t="n"/>
    </row>
    <row r="5979">
      <c r="B5979" s="2" t="n"/>
      <c r="C5979" s="40" t="n"/>
    </row>
    <row r="5980">
      <c r="B5980" s="2" t="n"/>
      <c r="C5980" s="40" t="n"/>
    </row>
    <row r="5981">
      <c r="B5981" s="2" t="n"/>
      <c r="C5981" s="40" t="n"/>
    </row>
    <row r="5982">
      <c r="B5982" s="2" t="n"/>
      <c r="C5982" s="40" t="n"/>
    </row>
    <row r="5983">
      <c r="B5983" s="2" t="n"/>
      <c r="C5983" s="40" t="n"/>
    </row>
    <row r="5984">
      <c r="B5984" s="2" t="n"/>
      <c r="C5984" s="40" t="n"/>
    </row>
    <row r="5985">
      <c r="B5985" s="2" t="n"/>
      <c r="C5985" s="40" t="n"/>
    </row>
    <row r="5986">
      <c r="B5986" s="2" t="n"/>
      <c r="C5986" s="40" t="n"/>
    </row>
    <row r="5987">
      <c r="B5987" s="2" t="n"/>
      <c r="C5987" s="40" t="n"/>
    </row>
    <row r="5988">
      <c r="B5988" s="2" t="n"/>
      <c r="C5988" s="40" t="n"/>
    </row>
    <row r="5989">
      <c r="B5989" s="2" t="n"/>
      <c r="C5989" s="40" t="n"/>
    </row>
    <row r="5990">
      <c r="B5990" s="2" t="n"/>
      <c r="C5990" s="40" t="n"/>
    </row>
    <row r="5991">
      <c r="B5991" s="2" t="n"/>
      <c r="C5991" s="40" t="n"/>
    </row>
    <row r="5992">
      <c r="B5992" s="2" t="n"/>
      <c r="C5992" s="40" t="n"/>
    </row>
    <row r="5993">
      <c r="B5993" s="2" t="n"/>
      <c r="C5993" s="40" t="n"/>
    </row>
    <row r="5994">
      <c r="B5994" s="2" t="n"/>
      <c r="C5994" s="40" t="n"/>
    </row>
    <row r="5995">
      <c r="B5995" s="2" t="n"/>
      <c r="C5995" s="40" t="n"/>
    </row>
    <row r="5996">
      <c r="B5996" s="2" t="n"/>
      <c r="C5996" s="40" t="n"/>
    </row>
    <row r="5997">
      <c r="B5997" s="2" t="n"/>
      <c r="C5997" s="40" t="n"/>
    </row>
    <row r="5998">
      <c r="B5998" s="2" t="n"/>
      <c r="C5998" s="40" t="n"/>
    </row>
    <row r="5999">
      <c r="B5999" s="2" t="n"/>
      <c r="C5999" s="40" t="n"/>
    </row>
    <row r="6000">
      <c r="B6000" s="2" t="n"/>
      <c r="C6000" s="40" t="n"/>
    </row>
    <row r="6001">
      <c r="B6001" s="2" t="n"/>
      <c r="C6001" s="40" t="n"/>
    </row>
    <row r="6002">
      <c r="B6002" s="2" t="n"/>
      <c r="C6002" s="40" t="n"/>
    </row>
    <row r="6003">
      <c r="B6003" s="2" t="n"/>
      <c r="C6003" s="40" t="n"/>
    </row>
    <row r="6004">
      <c r="B6004" s="2" t="n"/>
      <c r="C6004" s="40" t="n"/>
    </row>
    <row r="6005">
      <c r="B6005" s="2" t="n"/>
      <c r="C6005" s="40" t="n"/>
    </row>
    <row r="6006">
      <c r="B6006" s="2" t="n"/>
      <c r="C6006" s="40" t="n"/>
    </row>
    <row r="6007">
      <c r="B6007" s="2" t="n"/>
      <c r="C6007" s="40" t="n"/>
    </row>
    <row r="6008">
      <c r="B6008" s="2" t="n"/>
      <c r="C6008" s="40" t="n"/>
    </row>
    <row r="6009">
      <c r="B6009" s="2" t="n"/>
      <c r="C6009" s="40" t="n"/>
    </row>
    <row r="6010">
      <c r="B6010" s="2" t="n"/>
      <c r="C6010" s="40" t="n"/>
    </row>
    <row r="6011">
      <c r="B6011" s="2" t="n"/>
      <c r="C6011" s="40" t="n"/>
    </row>
    <row r="6012">
      <c r="B6012" s="2" t="n"/>
      <c r="C6012" s="40" t="n"/>
    </row>
    <row r="6013">
      <c r="B6013" s="2" t="n"/>
      <c r="C6013" s="40" t="n"/>
    </row>
    <row r="6014">
      <c r="B6014" s="2" t="n"/>
      <c r="C6014" s="40" t="n"/>
    </row>
    <row r="6015">
      <c r="B6015" s="2" t="n"/>
      <c r="C6015" s="40" t="n"/>
    </row>
    <row r="6016">
      <c r="B6016" s="2" t="n"/>
      <c r="C6016" s="40" t="n"/>
    </row>
    <row r="6017">
      <c r="B6017" s="2" t="n"/>
      <c r="C6017" s="40" t="n"/>
    </row>
    <row r="6018">
      <c r="B6018" s="2" t="n"/>
      <c r="C6018" s="40" t="n"/>
    </row>
    <row r="6019">
      <c r="B6019" s="2" t="n"/>
      <c r="C6019" s="40" t="n"/>
    </row>
    <row r="6020">
      <c r="B6020" s="2" t="n"/>
      <c r="C6020" s="40" t="n"/>
    </row>
    <row r="6021">
      <c r="B6021" s="2" t="n"/>
      <c r="C6021" s="40" t="n"/>
    </row>
    <row r="6022">
      <c r="B6022" s="2" t="n"/>
      <c r="C6022" s="40" t="n"/>
    </row>
    <row r="6023">
      <c r="B6023" s="2" t="n"/>
      <c r="C6023" s="40" t="n"/>
    </row>
    <row r="6024">
      <c r="B6024" s="2" t="n"/>
      <c r="C6024" s="40" t="n"/>
    </row>
    <row r="6025">
      <c r="B6025" s="2" t="n"/>
      <c r="C6025" s="40" t="n"/>
    </row>
    <row r="6026">
      <c r="B6026" s="2" t="n"/>
      <c r="C6026" s="40" t="n"/>
    </row>
    <row r="6027">
      <c r="B6027" s="2" t="n"/>
      <c r="C6027" s="40" t="n"/>
    </row>
    <row r="6028">
      <c r="B6028" s="2" t="n"/>
      <c r="C6028" s="40" t="n"/>
    </row>
    <row r="6029">
      <c r="B6029" s="2" t="n"/>
      <c r="C6029" s="40" t="n"/>
    </row>
    <row r="6030">
      <c r="B6030" s="2" t="n"/>
      <c r="C6030" s="40" t="n"/>
    </row>
    <row r="6031">
      <c r="B6031" s="2" t="n"/>
      <c r="C6031" s="40" t="n"/>
    </row>
    <row r="6032">
      <c r="B6032" s="2" t="n"/>
      <c r="C6032" s="40" t="n"/>
    </row>
    <row r="6033">
      <c r="B6033" s="2" t="n"/>
      <c r="C6033" s="40" t="n"/>
    </row>
    <row r="6034">
      <c r="B6034" s="2" t="n"/>
      <c r="C6034" s="40" t="n"/>
    </row>
    <row r="6035">
      <c r="B6035" s="2" t="n"/>
      <c r="C6035" s="40" t="n"/>
    </row>
    <row r="6036">
      <c r="B6036" s="2" t="n"/>
      <c r="C6036" s="40" t="n"/>
    </row>
    <row r="6037">
      <c r="B6037" s="2" t="n"/>
      <c r="C6037" s="40" t="n"/>
    </row>
    <row r="6038">
      <c r="B6038" s="2" t="n"/>
      <c r="C6038" s="40" t="n"/>
    </row>
    <row r="6039">
      <c r="B6039" s="2" t="n"/>
      <c r="C6039" s="40" t="n"/>
    </row>
    <row r="6040">
      <c r="B6040" s="2" t="n"/>
      <c r="C6040" s="40" t="n"/>
    </row>
    <row r="6041">
      <c r="B6041" s="2" t="n"/>
      <c r="C6041" s="40" t="n"/>
    </row>
    <row r="6042">
      <c r="B6042" s="2" t="n"/>
      <c r="C6042" s="40" t="n"/>
    </row>
    <row r="6043">
      <c r="B6043" s="2" t="n"/>
      <c r="C6043" s="40" t="n"/>
    </row>
    <row r="6044">
      <c r="B6044" s="2" t="n"/>
      <c r="C6044" s="40" t="n"/>
    </row>
    <row r="6045">
      <c r="B6045" s="2" t="n"/>
      <c r="C6045" s="40" t="n"/>
    </row>
    <row r="6046">
      <c r="B6046" s="2" t="n"/>
      <c r="C6046" s="40" t="n"/>
    </row>
    <row r="6047">
      <c r="B6047" s="2" t="n"/>
      <c r="C6047" s="40" t="n"/>
    </row>
    <row r="6048">
      <c r="B6048" s="2" t="n"/>
      <c r="C6048" s="40" t="n"/>
    </row>
    <row r="6049">
      <c r="B6049" s="2" t="n"/>
      <c r="C6049" s="40" t="n"/>
    </row>
    <row r="6050">
      <c r="B6050" s="2" t="n"/>
      <c r="C6050" s="40" t="n"/>
    </row>
    <row r="6051">
      <c r="B6051" s="2" t="n"/>
      <c r="C6051" s="40" t="n"/>
    </row>
    <row r="6052">
      <c r="B6052" s="2" t="n"/>
      <c r="C6052" s="40" t="n"/>
    </row>
    <row r="6053">
      <c r="B6053" s="2" t="n"/>
      <c r="C6053" s="40" t="n"/>
    </row>
    <row r="6054">
      <c r="B6054" s="2" t="n"/>
      <c r="C6054" s="40" t="n"/>
    </row>
    <row r="6055">
      <c r="B6055" s="2" t="n"/>
      <c r="C6055" s="40" t="n"/>
    </row>
    <row r="6056">
      <c r="B6056" s="2" t="n"/>
      <c r="C6056" s="40" t="n"/>
    </row>
    <row r="6057">
      <c r="B6057" s="2" t="n"/>
      <c r="C6057" s="40" t="n"/>
    </row>
    <row r="6058">
      <c r="B6058" s="2" t="n"/>
      <c r="C6058" s="40" t="n"/>
    </row>
    <row r="6059">
      <c r="B6059" s="2" t="n"/>
      <c r="C6059" s="40" t="n"/>
    </row>
    <row r="6060">
      <c r="B6060" s="2" t="n"/>
      <c r="C6060" s="40" t="n"/>
    </row>
    <row r="6061">
      <c r="B6061" s="2" t="n"/>
      <c r="C6061" s="40" t="n"/>
    </row>
    <row r="6062">
      <c r="B6062" s="2" t="n"/>
      <c r="C6062" s="40" t="n"/>
    </row>
    <row r="6063">
      <c r="B6063" s="2" t="n"/>
      <c r="C6063" s="40" t="n"/>
    </row>
    <row r="6064">
      <c r="B6064" s="2" t="n"/>
      <c r="C6064" s="40" t="n"/>
    </row>
    <row r="6065">
      <c r="B6065" s="2" t="n"/>
      <c r="C6065" s="40" t="n"/>
    </row>
    <row r="6066">
      <c r="B6066" s="2" t="n"/>
      <c r="C6066" s="40" t="n"/>
    </row>
    <row r="6067">
      <c r="B6067" s="2" t="n"/>
      <c r="C6067" s="40" t="n"/>
    </row>
    <row r="6068">
      <c r="B6068" s="2" t="n"/>
      <c r="C6068" s="40" t="n"/>
    </row>
    <row r="6069">
      <c r="B6069" s="2" t="n"/>
      <c r="C6069" s="40" t="n"/>
    </row>
    <row r="6070">
      <c r="B6070" s="2" t="n"/>
      <c r="C6070" s="40" t="n"/>
    </row>
    <row r="6071">
      <c r="B6071" s="2" t="n"/>
      <c r="C6071" s="40" t="n"/>
    </row>
    <row r="6072">
      <c r="B6072" s="2" t="n"/>
      <c r="C6072" s="40" t="n"/>
    </row>
    <row r="6073">
      <c r="B6073" s="2" t="n"/>
      <c r="C6073" s="40" t="n"/>
    </row>
    <row r="6074">
      <c r="B6074" s="2" t="n"/>
      <c r="C6074" s="40" t="n"/>
    </row>
    <row r="6075">
      <c r="B6075" s="2" t="n"/>
      <c r="C6075" s="40" t="n"/>
    </row>
    <row r="6076">
      <c r="B6076" s="2" t="n"/>
      <c r="C6076" s="40" t="n"/>
    </row>
    <row r="6077">
      <c r="B6077" s="2" t="n"/>
      <c r="C6077" s="40" t="n"/>
    </row>
    <row r="6078">
      <c r="B6078" s="2" t="n"/>
      <c r="C6078" s="40" t="n"/>
    </row>
    <row r="6079">
      <c r="B6079" s="2" t="n"/>
      <c r="C6079" s="40" t="n"/>
    </row>
    <row r="6080">
      <c r="B6080" s="2" t="n"/>
      <c r="C6080" s="40" t="n"/>
    </row>
    <row r="6081">
      <c r="B6081" s="2" t="n"/>
      <c r="C6081" s="40" t="n"/>
    </row>
    <row r="6082">
      <c r="B6082" s="2" t="n"/>
      <c r="C6082" s="40" t="n"/>
    </row>
    <row r="6083">
      <c r="B6083" s="2" t="n"/>
      <c r="C6083" s="40" t="n"/>
    </row>
    <row r="6084">
      <c r="B6084" s="2" t="n"/>
      <c r="C6084" s="40" t="n"/>
    </row>
    <row r="6085">
      <c r="B6085" s="2" t="n"/>
      <c r="C6085" s="40" t="n"/>
    </row>
    <row r="6086">
      <c r="B6086" s="2" t="n"/>
      <c r="C6086" s="40" t="n"/>
    </row>
    <row r="6087">
      <c r="B6087" s="2" t="n"/>
      <c r="C6087" s="40" t="n"/>
    </row>
    <row r="6088">
      <c r="B6088" s="2" t="n"/>
      <c r="C6088" s="40" t="n"/>
    </row>
    <row r="6089">
      <c r="B6089" s="2" t="n"/>
      <c r="C6089" s="40" t="n"/>
    </row>
    <row r="6090">
      <c r="B6090" s="2" t="n"/>
      <c r="C6090" s="40" t="n"/>
    </row>
    <row r="6091">
      <c r="B6091" s="2" t="n"/>
      <c r="C6091" s="40" t="n"/>
    </row>
    <row r="6092">
      <c r="B6092" s="2" t="n"/>
      <c r="C6092" s="40" t="n"/>
    </row>
    <row r="6093">
      <c r="B6093" s="2" t="n"/>
      <c r="C6093" s="40" t="n"/>
    </row>
    <row r="6094">
      <c r="B6094" s="2" t="n"/>
      <c r="C6094" s="40" t="n"/>
    </row>
    <row r="6095">
      <c r="B6095" s="2" t="n"/>
      <c r="C6095" s="40" t="n"/>
    </row>
    <row r="6096">
      <c r="B6096" s="2" t="n"/>
      <c r="C6096" s="40" t="n"/>
    </row>
    <row r="6097">
      <c r="B6097" s="2" t="n"/>
      <c r="C6097" s="40" t="n"/>
    </row>
    <row r="6098">
      <c r="B6098" s="2" t="n"/>
      <c r="C6098" s="40" t="n"/>
    </row>
    <row r="6099">
      <c r="B6099" s="2" t="n"/>
      <c r="C6099" s="40" t="n"/>
    </row>
    <row r="6100">
      <c r="B6100" s="2" t="n"/>
      <c r="C6100" s="40" t="n"/>
    </row>
    <row r="6101">
      <c r="B6101" s="2" t="n"/>
      <c r="C6101" s="40" t="n"/>
    </row>
    <row r="6102">
      <c r="B6102" s="2" t="n"/>
      <c r="C6102" s="40" t="n"/>
    </row>
    <row r="6103">
      <c r="B6103" s="2" t="n"/>
      <c r="C6103" s="40" t="n"/>
    </row>
    <row r="6104">
      <c r="B6104" s="2" t="n"/>
      <c r="C6104" s="40" t="n"/>
    </row>
    <row r="6105">
      <c r="B6105" s="2" t="n"/>
      <c r="C6105" s="40" t="n"/>
    </row>
    <row r="6106">
      <c r="B6106" s="2" t="n"/>
      <c r="C6106" s="40" t="n"/>
    </row>
    <row r="6107">
      <c r="B6107" s="2" t="n"/>
      <c r="C6107" s="40" t="n"/>
    </row>
    <row r="6108">
      <c r="B6108" s="2" t="n"/>
      <c r="C6108" s="40" t="n"/>
    </row>
    <row r="6109">
      <c r="B6109" s="2" t="n"/>
      <c r="C6109" s="40" t="n"/>
    </row>
    <row r="6110">
      <c r="B6110" s="2" t="n"/>
      <c r="C6110" s="40" t="n"/>
    </row>
    <row r="6111">
      <c r="B6111" s="2" t="n"/>
      <c r="C6111" s="40" t="n"/>
    </row>
    <row r="6112">
      <c r="B6112" s="2" t="n"/>
      <c r="C6112" s="40" t="n"/>
    </row>
    <row r="6113">
      <c r="B6113" s="2" t="n"/>
      <c r="C6113" s="40" t="n"/>
    </row>
    <row r="6114">
      <c r="B6114" s="2" t="n"/>
      <c r="C6114" s="40" t="n"/>
    </row>
    <row r="6115">
      <c r="B6115" s="2" t="n"/>
      <c r="C6115" s="40" t="n"/>
    </row>
    <row r="6116">
      <c r="B6116" s="2" t="n"/>
      <c r="C6116" s="40" t="n"/>
    </row>
    <row r="6117">
      <c r="B6117" s="2" t="n"/>
      <c r="C6117" s="40" t="n"/>
    </row>
    <row r="6118">
      <c r="B6118" s="2" t="n"/>
      <c r="C6118" s="40" t="n"/>
    </row>
    <row r="6119">
      <c r="B6119" s="2" t="n"/>
      <c r="C6119" s="40" t="n"/>
    </row>
    <row r="6120">
      <c r="B6120" s="2" t="n"/>
      <c r="C6120" s="40" t="n"/>
    </row>
    <row r="6121">
      <c r="B6121" s="2" t="n"/>
      <c r="C6121" s="40" t="n"/>
    </row>
    <row r="6122">
      <c r="B6122" s="2" t="n"/>
      <c r="C6122" s="40" t="n"/>
    </row>
    <row r="6123">
      <c r="B6123" s="2" t="n"/>
      <c r="C6123" s="40" t="n"/>
    </row>
    <row r="6124">
      <c r="B6124" s="2" t="n"/>
      <c r="C6124" s="40" t="n"/>
    </row>
    <row r="6125">
      <c r="B6125" s="2" t="n"/>
      <c r="C6125" s="40" t="n"/>
    </row>
    <row r="6126">
      <c r="B6126" s="2" t="n"/>
      <c r="C6126" s="40" t="n"/>
    </row>
    <row r="6127">
      <c r="B6127" s="2" t="n"/>
      <c r="C6127" s="40" t="n"/>
    </row>
    <row r="6128">
      <c r="B6128" s="2" t="n"/>
      <c r="C6128" s="40" t="n"/>
    </row>
    <row r="6129">
      <c r="B6129" s="2" t="n"/>
      <c r="C6129" s="40" t="n"/>
    </row>
    <row r="6130">
      <c r="B6130" s="2" t="n"/>
      <c r="C6130" s="40" t="n"/>
    </row>
    <row r="6131">
      <c r="B6131" s="2" t="n"/>
      <c r="C6131" s="40" t="n"/>
    </row>
    <row r="6132">
      <c r="B6132" s="2" t="n"/>
      <c r="C6132" s="40" t="n"/>
    </row>
    <row r="6133">
      <c r="B6133" s="2" t="n"/>
      <c r="C6133" s="40" t="n"/>
    </row>
    <row r="6134">
      <c r="B6134" s="2" t="n"/>
      <c r="C6134" s="40" t="n"/>
    </row>
    <row r="6135">
      <c r="B6135" s="2" t="n"/>
      <c r="C6135" s="40" t="n"/>
    </row>
    <row r="6136">
      <c r="B6136" s="2" t="n"/>
      <c r="C6136" s="40" t="n"/>
    </row>
    <row r="6137">
      <c r="B6137" s="2" t="n"/>
      <c r="C6137" s="40" t="n"/>
    </row>
    <row r="6138">
      <c r="B6138" s="2" t="n"/>
      <c r="C6138" s="40" t="n"/>
    </row>
    <row r="6139">
      <c r="B6139" s="2" t="n"/>
      <c r="C6139" s="40" t="n"/>
    </row>
    <row r="6140">
      <c r="B6140" s="2" t="n"/>
      <c r="C6140" s="40" t="n"/>
    </row>
    <row r="6141">
      <c r="B6141" s="2" t="n"/>
      <c r="C6141" s="40" t="n"/>
    </row>
    <row r="6142">
      <c r="B6142" s="2" t="n"/>
      <c r="C6142" s="40" t="n"/>
    </row>
    <row r="6143">
      <c r="B6143" s="2" t="n"/>
      <c r="C6143" s="40" t="n"/>
    </row>
    <row r="6144">
      <c r="B6144" s="2" t="n"/>
      <c r="C6144" s="40" t="n"/>
    </row>
    <row r="6145">
      <c r="B6145" s="2" t="n"/>
      <c r="C6145" s="40" t="n"/>
    </row>
    <row r="6146">
      <c r="B6146" s="2" t="n"/>
      <c r="C6146" s="40" t="n"/>
    </row>
    <row r="6147">
      <c r="B6147" s="2" t="n"/>
      <c r="C6147" s="40" t="n"/>
    </row>
    <row r="6148">
      <c r="B6148" s="2" t="n"/>
      <c r="C6148" s="40" t="n"/>
    </row>
    <row r="6149">
      <c r="B6149" s="2" t="n"/>
      <c r="C6149" s="40" t="n"/>
    </row>
    <row r="6150">
      <c r="B6150" s="2" t="n"/>
      <c r="C6150" s="40" t="n"/>
    </row>
    <row r="6151">
      <c r="B6151" s="2" t="n"/>
      <c r="C6151" s="40" t="n"/>
    </row>
    <row r="6152">
      <c r="B6152" s="2" t="n"/>
      <c r="C6152" s="40" t="n"/>
    </row>
    <row r="6153">
      <c r="B6153" s="2" t="n"/>
      <c r="C6153" s="40" t="n"/>
    </row>
    <row r="6154">
      <c r="B6154" s="2" t="n"/>
      <c r="C6154" s="40" t="n"/>
    </row>
    <row r="6155">
      <c r="B6155" s="2" t="n"/>
      <c r="C6155" s="40" t="n"/>
    </row>
    <row r="6156">
      <c r="B6156" s="2" t="n"/>
      <c r="C6156" s="40" t="n"/>
    </row>
    <row r="6157">
      <c r="B6157" s="2" t="n"/>
      <c r="C6157" s="40" t="n"/>
    </row>
    <row r="6158">
      <c r="B6158" s="2" t="n"/>
      <c r="C6158" s="40" t="n"/>
    </row>
    <row r="6159">
      <c r="B6159" s="2" t="n"/>
      <c r="C6159" s="40" t="n"/>
    </row>
    <row r="6160">
      <c r="B6160" s="2" t="n"/>
      <c r="C6160" s="40" t="n"/>
    </row>
    <row r="6161">
      <c r="B6161" s="2" t="n"/>
      <c r="C6161" s="40" t="n"/>
    </row>
    <row r="6162">
      <c r="B6162" s="2" t="n"/>
      <c r="C6162" s="40" t="n"/>
    </row>
    <row r="6163">
      <c r="B6163" s="2" t="n"/>
      <c r="C6163" s="40" t="n"/>
    </row>
    <row r="6164">
      <c r="B6164" s="2" t="n"/>
      <c r="C6164" s="40" t="n"/>
    </row>
    <row r="6165">
      <c r="B6165" s="2" t="n"/>
      <c r="C6165" s="40" t="n"/>
    </row>
    <row r="6166">
      <c r="B6166" s="2" t="n"/>
      <c r="C6166" s="40" t="n"/>
    </row>
    <row r="6167">
      <c r="B6167" s="2" t="n"/>
      <c r="C6167" s="40" t="n"/>
    </row>
    <row r="6168">
      <c r="B6168" s="2" t="n"/>
      <c r="C6168" s="40" t="n"/>
    </row>
    <row r="6169">
      <c r="B6169" s="2" t="n"/>
      <c r="C6169" s="40" t="n"/>
    </row>
    <row r="6170">
      <c r="B6170" s="2" t="n"/>
      <c r="C6170" s="40" t="n"/>
    </row>
    <row r="6171">
      <c r="B6171" s="2" t="n"/>
      <c r="C6171" s="40" t="n"/>
    </row>
    <row r="6172">
      <c r="B6172" s="2" t="n"/>
      <c r="C6172" s="40" t="n"/>
    </row>
    <row r="6173">
      <c r="B6173" s="2" t="n"/>
      <c r="C6173" s="40" t="n"/>
    </row>
    <row r="6174">
      <c r="B6174" s="2" t="n"/>
      <c r="C6174" s="40" t="n"/>
    </row>
    <row r="6175">
      <c r="B6175" s="2" t="n"/>
      <c r="C6175" s="40" t="n"/>
    </row>
    <row r="6176">
      <c r="B6176" s="2" t="n"/>
      <c r="C6176" s="40" t="n"/>
    </row>
    <row r="6177">
      <c r="B6177" s="2" t="n"/>
      <c r="C6177" s="40" t="n"/>
    </row>
    <row r="6178">
      <c r="B6178" s="2" t="n"/>
      <c r="C6178" s="40" t="n"/>
    </row>
    <row r="6179">
      <c r="B6179" s="2" t="n"/>
      <c r="C6179" s="40" t="n"/>
    </row>
    <row r="6180">
      <c r="B6180" s="2" t="n"/>
      <c r="C6180" s="40" t="n"/>
    </row>
    <row r="6181">
      <c r="B6181" s="2" t="n"/>
      <c r="C6181" s="40" t="n"/>
    </row>
    <row r="6182">
      <c r="B6182" s="2" t="n"/>
      <c r="C6182" s="40" t="n"/>
    </row>
    <row r="6183">
      <c r="B6183" s="2" t="n"/>
      <c r="C6183" s="40" t="n"/>
    </row>
    <row r="6184">
      <c r="B6184" s="2" t="n"/>
      <c r="C6184" s="40" t="n"/>
    </row>
    <row r="6185">
      <c r="B6185" s="2" t="n"/>
      <c r="C6185" s="40" t="n"/>
    </row>
    <row r="6186">
      <c r="B6186" s="2" t="n"/>
      <c r="C6186" s="40" t="n"/>
    </row>
    <row r="6187">
      <c r="B6187" s="2" t="n"/>
      <c r="C6187" s="40" t="n"/>
    </row>
    <row r="6188">
      <c r="B6188" s="2" t="n"/>
      <c r="C6188" s="40" t="n"/>
    </row>
    <row r="6189">
      <c r="B6189" s="2" t="n"/>
      <c r="C6189" s="40" t="n"/>
    </row>
    <row r="6190">
      <c r="B6190" s="2" t="n"/>
      <c r="C6190" s="40" t="n"/>
    </row>
    <row r="6191">
      <c r="B6191" s="2" t="n"/>
      <c r="C6191" s="40" t="n"/>
    </row>
    <row r="6192">
      <c r="B6192" s="2" t="n"/>
      <c r="C6192" s="40" t="n"/>
    </row>
    <row r="6193">
      <c r="B6193" s="2" t="n"/>
      <c r="C6193" s="40" t="n"/>
    </row>
    <row r="6194">
      <c r="B6194" s="2" t="n"/>
      <c r="C6194" s="40" t="n"/>
    </row>
    <row r="6195">
      <c r="B6195" s="2" t="n"/>
      <c r="C6195" s="40" t="n"/>
    </row>
    <row r="6196">
      <c r="B6196" s="2" t="n"/>
      <c r="C6196" s="40" t="n"/>
    </row>
    <row r="6197">
      <c r="B6197" s="2" t="n"/>
      <c r="C6197" s="40" t="n"/>
    </row>
    <row r="6198">
      <c r="B6198" s="2" t="n"/>
      <c r="C6198" s="40" t="n"/>
    </row>
    <row r="6199">
      <c r="B6199" s="2" t="n"/>
      <c r="C6199" s="40" t="n"/>
    </row>
    <row r="6200">
      <c r="B6200" s="2" t="n"/>
      <c r="C6200" s="40" t="n"/>
    </row>
    <row r="6201">
      <c r="B6201" s="2" t="n"/>
      <c r="C6201" s="40" t="n"/>
    </row>
    <row r="6202">
      <c r="B6202" s="2" t="n"/>
      <c r="C6202" s="40" t="n"/>
    </row>
    <row r="6203">
      <c r="B6203" s="2" t="n"/>
      <c r="C6203" s="40" t="n"/>
    </row>
    <row r="6204">
      <c r="B6204" s="2" t="n"/>
      <c r="C6204" s="40" t="n"/>
    </row>
    <row r="6205">
      <c r="B6205" s="2" t="n"/>
      <c r="C6205" s="40" t="n"/>
    </row>
    <row r="6206">
      <c r="B6206" s="2" t="n"/>
      <c r="C6206" s="40" t="n"/>
    </row>
    <row r="6207">
      <c r="B6207" s="2" t="n"/>
      <c r="C6207" s="40" t="n"/>
    </row>
    <row r="6208">
      <c r="B6208" s="2" t="n"/>
      <c r="C6208" s="40" t="n"/>
    </row>
    <row r="6209">
      <c r="B6209" s="2" t="n"/>
      <c r="C6209" s="40" t="n"/>
    </row>
    <row r="6210">
      <c r="B6210" s="2" t="n"/>
      <c r="C6210" s="40" t="n"/>
    </row>
    <row r="6211">
      <c r="B6211" s="2" t="n"/>
      <c r="C6211" s="40" t="n"/>
    </row>
    <row r="6212">
      <c r="B6212" s="2" t="n"/>
      <c r="C6212" s="40" t="n"/>
    </row>
    <row r="6213">
      <c r="B6213" s="2" t="n"/>
      <c r="C6213" s="40" t="n"/>
    </row>
    <row r="6214">
      <c r="B6214" s="2" t="n"/>
      <c r="C6214" s="40" t="n"/>
    </row>
    <row r="6215">
      <c r="B6215" s="2" t="n"/>
      <c r="C6215" s="40" t="n"/>
    </row>
    <row r="6216">
      <c r="B6216" s="2" t="n"/>
      <c r="C6216" s="40" t="n"/>
    </row>
    <row r="6217">
      <c r="B6217" s="2" t="n"/>
      <c r="C6217" s="40" t="n"/>
    </row>
    <row r="6218">
      <c r="B6218" s="2" t="n"/>
      <c r="C6218" s="40" t="n"/>
    </row>
    <row r="6219">
      <c r="B6219" s="2" t="n"/>
      <c r="C6219" s="40" t="n"/>
    </row>
    <row r="6220">
      <c r="B6220" s="2" t="n"/>
      <c r="C6220" s="40" t="n"/>
    </row>
    <row r="6221">
      <c r="B6221" s="2" t="n"/>
      <c r="C6221" s="40" t="n"/>
    </row>
    <row r="6222">
      <c r="B6222" s="2" t="n"/>
      <c r="C6222" s="40" t="n"/>
    </row>
    <row r="6223">
      <c r="B6223" s="2" t="n"/>
      <c r="C6223" s="40" t="n"/>
    </row>
    <row r="6224">
      <c r="B6224" s="2" t="n"/>
      <c r="C6224" s="40" t="n"/>
    </row>
    <row r="6225">
      <c r="B6225" s="2" t="n"/>
      <c r="C6225" s="40" t="n"/>
    </row>
    <row r="6226">
      <c r="B6226" s="2" t="n"/>
      <c r="C6226" s="40" t="n"/>
    </row>
    <row r="6227">
      <c r="B6227" s="2" t="n"/>
      <c r="C6227" s="40" t="n"/>
    </row>
    <row r="6228">
      <c r="B6228" s="2" t="n"/>
      <c r="C6228" s="40" t="n"/>
    </row>
    <row r="6229">
      <c r="B6229" s="2" t="n"/>
      <c r="C6229" s="40" t="n"/>
    </row>
    <row r="6230">
      <c r="B6230" s="2" t="n"/>
      <c r="C6230" s="40" t="n"/>
    </row>
    <row r="6231">
      <c r="B6231" s="2" t="n"/>
      <c r="C6231" s="40" t="n"/>
    </row>
    <row r="6232">
      <c r="B6232" s="2" t="n"/>
      <c r="C6232" s="40" t="n"/>
    </row>
    <row r="6233">
      <c r="B6233" s="2" t="n"/>
      <c r="C6233" s="40" t="n"/>
    </row>
    <row r="6234">
      <c r="B6234" s="2" t="n"/>
      <c r="C6234" s="40" t="n"/>
    </row>
    <row r="6235">
      <c r="B6235" s="2" t="n"/>
      <c r="C6235" s="40" t="n"/>
    </row>
    <row r="6236">
      <c r="B6236" s="2" t="n"/>
      <c r="C6236" s="40" t="n"/>
    </row>
    <row r="6237">
      <c r="B6237" s="2" t="n"/>
      <c r="C6237" s="40" t="n"/>
    </row>
    <row r="6238">
      <c r="B6238" s="2" t="n"/>
      <c r="C6238" s="40" t="n"/>
    </row>
    <row r="6239">
      <c r="B6239" s="2" t="n"/>
      <c r="C6239" s="40" t="n"/>
    </row>
    <row r="6240">
      <c r="B6240" s="2" t="n"/>
      <c r="C6240" s="40" t="n"/>
    </row>
    <row r="6241">
      <c r="B6241" s="2" t="n"/>
      <c r="C6241" s="40" t="n"/>
    </row>
    <row r="6242">
      <c r="B6242" s="2" t="n"/>
      <c r="C6242" s="40" t="n"/>
    </row>
    <row r="6243">
      <c r="B6243" s="2" t="n"/>
      <c r="C6243" s="40" t="n"/>
    </row>
    <row r="6244">
      <c r="B6244" s="2" t="n"/>
      <c r="C6244" s="40" t="n"/>
    </row>
    <row r="6245">
      <c r="B6245" s="2" t="n"/>
      <c r="C6245" s="40" t="n"/>
    </row>
    <row r="6246">
      <c r="B6246" s="2" t="n"/>
      <c r="C6246" s="40" t="n"/>
    </row>
    <row r="6247">
      <c r="B6247" s="2" t="n"/>
      <c r="C6247" s="40" t="n"/>
    </row>
    <row r="6248">
      <c r="B6248" s="2" t="n"/>
      <c r="C6248" s="40" t="n"/>
    </row>
    <row r="6249">
      <c r="B6249" s="2" t="n"/>
      <c r="C6249" s="40" t="n"/>
    </row>
    <row r="6250">
      <c r="B6250" s="2" t="n"/>
      <c r="C6250" s="40" t="n"/>
    </row>
    <row r="6251">
      <c r="B6251" s="2" t="n"/>
      <c r="C6251" s="40" t="n"/>
    </row>
    <row r="6252">
      <c r="B6252" s="2" t="n"/>
      <c r="C6252" s="40" t="n"/>
    </row>
    <row r="6253">
      <c r="B6253" s="2" t="n"/>
      <c r="C6253" s="40" t="n"/>
    </row>
    <row r="6254">
      <c r="B6254" s="2" t="n"/>
      <c r="C6254" s="40" t="n"/>
    </row>
    <row r="6255">
      <c r="B6255" s="2" t="n"/>
      <c r="C6255" s="40" t="n"/>
    </row>
    <row r="6256">
      <c r="B6256" s="2" t="n"/>
      <c r="C6256" s="40" t="n"/>
    </row>
    <row r="6257">
      <c r="B6257" s="2" t="n"/>
      <c r="C6257" s="40" t="n"/>
    </row>
    <row r="6258">
      <c r="B6258" s="2" t="n"/>
      <c r="C6258" s="40" t="n"/>
    </row>
    <row r="6259">
      <c r="B6259" s="2" t="n"/>
      <c r="C6259" s="40" t="n"/>
    </row>
    <row r="6260">
      <c r="B6260" s="2" t="n"/>
      <c r="C6260" s="40" t="n"/>
    </row>
    <row r="6261">
      <c r="B6261" s="2" t="n"/>
      <c r="C6261" s="40" t="n"/>
    </row>
    <row r="6262">
      <c r="B6262" s="2" t="n"/>
      <c r="C6262" s="40" t="n"/>
    </row>
    <row r="6263">
      <c r="B6263" s="2" t="n"/>
      <c r="C6263" s="40" t="n"/>
    </row>
    <row r="6264">
      <c r="B6264" s="2" t="n"/>
      <c r="C6264" s="40" t="n"/>
    </row>
    <row r="6265">
      <c r="B6265" s="2" t="n"/>
      <c r="C6265" s="40" t="n"/>
    </row>
    <row r="6266">
      <c r="B6266" s="2" t="n"/>
      <c r="C6266" s="40" t="n"/>
    </row>
    <row r="6267">
      <c r="B6267" s="2" t="n"/>
      <c r="C6267" s="40" t="n"/>
    </row>
    <row r="6268">
      <c r="B6268" s="2" t="n"/>
      <c r="C6268" s="40" t="n"/>
    </row>
    <row r="6269">
      <c r="B6269" s="2" t="n"/>
      <c r="C6269" s="40" t="n"/>
    </row>
    <row r="6270">
      <c r="B6270" s="2" t="n"/>
      <c r="C6270" s="40" t="n"/>
    </row>
    <row r="6271">
      <c r="B6271" s="2" t="n"/>
      <c r="C6271" s="40" t="n"/>
    </row>
    <row r="6272">
      <c r="B6272" s="2" t="n"/>
      <c r="C6272" s="40" t="n"/>
    </row>
    <row r="6273">
      <c r="B6273" s="2" t="n"/>
      <c r="C6273" s="40" t="n"/>
    </row>
    <row r="6274">
      <c r="B6274" s="2" t="n"/>
      <c r="C6274" s="40" t="n"/>
    </row>
    <row r="6275">
      <c r="B6275" s="2" t="n"/>
      <c r="C6275" s="40" t="n"/>
    </row>
    <row r="6276">
      <c r="B6276" s="2" t="n"/>
      <c r="C6276" s="40" t="n"/>
    </row>
    <row r="6277">
      <c r="B6277" s="2" t="n"/>
      <c r="C6277" s="40" t="n"/>
    </row>
    <row r="6278">
      <c r="B6278" s="2" t="n"/>
      <c r="C6278" s="40" t="n"/>
    </row>
    <row r="6279">
      <c r="B6279" s="2" t="n"/>
      <c r="C6279" s="40" t="n"/>
    </row>
    <row r="6280">
      <c r="B6280" s="2" t="n"/>
      <c r="C6280" s="40" t="n"/>
    </row>
    <row r="6281">
      <c r="B6281" s="2" t="n"/>
      <c r="C6281" s="40" t="n"/>
    </row>
    <row r="6282">
      <c r="B6282" s="2" t="n"/>
      <c r="C6282" s="40" t="n"/>
    </row>
    <row r="6283">
      <c r="B6283" s="2" t="n"/>
      <c r="C6283" s="40" t="n"/>
    </row>
    <row r="6284">
      <c r="B6284" s="2" t="n"/>
      <c r="C6284" s="40" t="n"/>
    </row>
    <row r="6285">
      <c r="B6285" s="2" t="n"/>
      <c r="C6285" s="40" t="n"/>
    </row>
    <row r="6286">
      <c r="B6286" s="2" t="n"/>
      <c r="C6286" s="40" t="n"/>
    </row>
    <row r="6287">
      <c r="B6287" s="2" t="n"/>
      <c r="C6287" s="40" t="n"/>
    </row>
    <row r="6288">
      <c r="B6288" s="2" t="n"/>
      <c r="C6288" s="40" t="n"/>
    </row>
    <row r="6289">
      <c r="B6289" s="2" t="n"/>
      <c r="C6289" s="40" t="n"/>
    </row>
    <row r="6290">
      <c r="B6290" s="2" t="n"/>
      <c r="C6290" s="40" t="n"/>
    </row>
    <row r="6291">
      <c r="B6291" s="2" t="n"/>
      <c r="C6291" s="40" t="n"/>
    </row>
    <row r="6292">
      <c r="B6292" s="2" t="n"/>
      <c r="C6292" s="40" t="n"/>
    </row>
    <row r="6293">
      <c r="B6293" s="2" t="n"/>
      <c r="C6293" s="40" t="n"/>
    </row>
    <row r="6294">
      <c r="B6294" s="2" t="n"/>
      <c r="C6294" s="40" t="n"/>
    </row>
    <row r="6295">
      <c r="B6295" s="2" t="n"/>
      <c r="C6295" s="40" t="n"/>
    </row>
    <row r="6296">
      <c r="B6296" s="2" t="n"/>
      <c r="C6296" s="40" t="n"/>
    </row>
    <row r="6297">
      <c r="B6297" s="2" t="n"/>
      <c r="C6297" s="40" t="n"/>
    </row>
    <row r="6298">
      <c r="B6298" s="2" t="n"/>
      <c r="C6298" s="40" t="n"/>
    </row>
    <row r="6299">
      <c r="B6299" s="2" t="n"/>
      <c r="C6299" s="40" t="n"/>
    </row>
    <row r="6300">
      <c r="B6300" s="2" t="n"/>
      <c r="C6300" s="40" t="n"/>
    </row>
    <row r="6301">
      <c r="B6301" s="2" t="n"/>
      <c r="C6301" s="40" t="n"/>
    </row>
    <row r="6302">
      <c r="B6302" s="2" t="n"/>
      <c r="C6302" s="40" t="n"/>
    </row>
    <row r="6303">
      <c r="B6303" s="2" t="n"/>
      <c r="C6303" s="40" t="n"/>
    </row>
    <row r="6304">
      <c r="B6304" s="2" t="n"/>
      <c r="C6304" s="40" t="n"/>
    </row>
    <row r="6305">
      <c r="B6305" s="2" t="n"/>
      <c r="C6305" s="40" t="n"/>
    </row>
    <row r="6306">
      <c r="B6306" s="2" t="n"/>
      <c r="C6306" s="40" t="n"/>
    </row>
    <row r="6307">
      <c r="B6307" s="2" t="n"/>
      <c r="C6307" s="40" t="n"/>
    </row>
    <row r="6308">
      <c r="B6308" s="2" t="n"/>
      <c r="C6308" s="40" t="n"/>
    </row>
    <row r="6309">
      <c r="B6309" s="2" t="n"/>
      <c r="C6309" s="40" t="n"/>
    </row>
    <row r="6310">
      <c r="B6310" s="2" t="n"/>
      <c r="C6310" s="40" t="n"/>
    </row>
    <row r="6311">
      <c r="B6311" s="2" t="n"/>
      <c r="C6311" s="40" t="n"/>
    </row>
    <row r="6312">
      <c r="B6312" s="2" t="n"/>
      <c r="C6312" s="40" t="n"/>
    </row>
    <row r="6313">
      <c r="B6313" s="2" t="n"/>
      <c r="C6313" s="40" t="n"/>
    </row>
    <row r="6314">
      <c r="B6314" s="2" t="n"/>
      <c r="C6314" s="40" t="n"/>
    </row>
    <row r="6315">
      <c r="B6315" s="2" t="n"/>
      <c r="C6315" s="40" t="n"/>
    </row>
    <row r="6316">
      <c r="B6316" s="2" t="n"/>
      <c r="C6316" s="40" t="n"/>
    </row>
    <row r="6317">
      <c r="B6317" s="2" t="n"/>
      <c r="C6317" s="40" t="n"/>
    </row>
    <row r="6318">
      <c r="B6318" s="2" t="n"/>
      <c r="C6318" s="40" t="n"/>
    </row>
    <row r="6319">
      <c r="B6319" s="2" t="n"/>
      <c r="C6319" s="40" t="n"/>
    </row>
    <row r="6320">
      <c r="B6320" s="2" t="n"/>
      <c r="C6320" s="40" t="n"/>
    </row>
    <row r="6321">
      <c r="B6321" s="2" t="n"/>
      <c r="C6321" s="40" t="n"/>
    </row>
    <row r="6322">
      <c r="B6322" s="2" t="n"/>
      <c r="C6322" s="40" t="n"/>
    </row>
    <row r="6323">
      <c r="B6323" s="2" t="n"/>
      <c r="C6323" s="40" t="n"/>
    </row>
    <row r="6324">
      <c r="B6324" s="2" t="n"/>
      <c r="C6324" s="40" t="n"/>
    </row>
    <row r="6325">
      <c r="B6325" s="2" t="n"/>
      <c r="C6325" s="40" t="n"/>
    </row>
    <row r="6326">
      <c r="B6326" s="2" t="n"/>
      <c r="C6326" s="40" t="n"/>
    </row>
    <row r="6327">
      <c r="B6327" s="2" t="n"/>
      <c r="C6327" s="40" t="n"/>
    </row>
    <row r="6328">
      <c r="B6328" s="2" t="n"/>
      <c r="C6328" s="40" t="n"/>
    </row>
    <row r="6329">
      <c r="B6329" s="2" t="n"/>
      <c r="C6329" s="40" t="n"/>
    </row>
    <row r="6330">
      <c r="B6330" s="2" t="n"/>
      <c r="C6330" s="40" t="n"/>
    </row>
    <row r="6331">
      <c r="B6331" s="2" t="n"/>
      <c r="C6331" s="40" t="n"/>
    </row>
    <row r="6332">
      <c r="B6332" s="2" t="n"/>
      <c r="C6332" s="40" t="n"/>
    </row>
    <row r="6333">
      <c r="B6333" s="2" t="n"/>
      <c r="C6333" s="40" t="n"/>
    </row>
    <row r="6334">
      <c r="B6334" s="2" t="n"/>
      <c r="C6334" s="40" t="n"/>
    </row>
    <row r="6335">
      <c r="B6335" s="2" t="n"/>
      <c r="C6335" s="40" t="n"/>
    </row>
    <row r="6336">
      <c r="B6336" s="2" t="n"/>
      <c r="C6336" s="40" t="n"/>
    </row>
    <row r="6337">
      <c r="B6337" s="2" t="n"/>
      <c r="C6337" s="40" t="n"/>
    </row>
    <row r="6338">
      <c r="B6338" s="2" t="n"/>
      <c r="C6338" s="40" t="n"/>
    </row>
    <row r="6339">
      <c r="B6339" s="2" t="n"/>
      <c r="C6339" s="40" t="n"/>
    </row>
    <row r="6340">
      <c r="B6340" s="2" t="n"/>
      <c r="C6340" s="40" t="n"/>
    </row>
    <row r="6341">
      <c r="B6341" s="2" t="n"/>
      <c r="C6341" s="40" t="n"/>
    </row>
    <row r="6342">
      <c r="B6342" s="2" t="n"/>
      <c r="C6342" s="40" t="n"/>
    </row>
    <row r="6343">
      <c r="B6343" s="2" t="n"/>
      <c r="C6343" s="40" t="n"/>
    </row>
    <row r="6344">
      <c r="B6344" s="2" t="n"/>
      <c r="C6344" s="40" t="n"/>
    </row>
    <row r="6345">
      <c r="B6345" s="2" t="n"/>
      <c r="C6345" s="40" t="n"/>
    </row>
    <row r="6346">
      <c r="B6346" s="2" t="n"/>
      <c r="C6346" s="40" t="n"/>
    </row>
    <row r="6347">
      <c r="B6347" s="2" t="n"/>
      <c r="C6347" s="40" t="n"/>
    </row>
    <row r="6348">
      <c r="B6348" s="2" t="n"/>
      <c r="C6348" s="40" t="n"/>
    </row>
    <row r="6349">
      <c r="B6349" s="2" t="n"/>
      <c r="C6349" s="40" t="n"/>
    </row>
    <row r="6350">
      <c r="B6350" s="2" t="n"/>
      <c r="C6350" s="40" t="n"/>
    </row>
    <row r="6351">
      <c r="B6351" s="2" t="n"/>
      <c r="C6351" s="40" t="n"/>
    </row>
    <row r="6352">
      <c r="B6352" s="2" t="n"/>
      <c r="C6352" s="40" t="n"/>
    </row>
    <row r="6353">
      <c r="B6353" s="2" t="n"/>
      <c r="C6353" s="40" t="n"/>
    </row>
    <row r="6354">
      <c r="B6354" s="2" t="n"/>
      <c r="C6354" s="40" t="n"/>
    </row>
    <row r="6355">
      <c r="B6355" s="2" t="n"/>
      <c r="C6355" s="40" t="n"/>
    </row>
    <row r="6356">
      <c r="B6356" s="2" t="n"/>
      <c r="C6356" s="40" t="n"/>
    </row>
    <row r="6357">
      <c r="B6357" s="2" t="n"/>
      <c r="C6357" s="40" t="n"/>
    </row>
    <row r="6358">
      <c r="B6358" s="2" t="n"/>
      <c r="C6358" s="40" t="n"/>
    </row>
    <row r="6359">
      <c r="B6359" s="2" t="n"/>
      <c r="C6359" s="40" t="n"/>
    </row>
    <row r="6360">
      <c r="B6360" s="2" t="n"/>
      <c r="C6360" s="40" t="n"/>
    </row>
    <row r="6361">
      <c r="B6361" s="2" t="n"/>
      <c r="C6361" s="40" t="n"/>
    </row>
    <row r="6362">
      <c r="B6362" s="2" t="n"/>
      <c r="C6362" s="40" t="n"/>
    </row>
    <row r="6363">
      <c r="B6363" s="2" t="n"/>
      <c r="C6363" s="40" t="n"/>
    </row>
    <row r="6364">
      <c r="B6364" s="2" t="n"/>
      <c r="C6364" s="40" t="n"/>
    </row>
    <row r="6365">
      <c r="B6365" s="2" t="n"/>
      <c r="C6365" s="40" t="n"/>
    </row>
    <row r="6366">
      <c r="B6366" s="2" t="n"/>
      <c r="C6366" s="40" t="n"/>
    </row>
    <row r="6367">
      <c r="B6367" s="2" t="n"/>
      <c r="C6367" s="40" t="n"/>
    </row>
    <row r="6368">
      <c r="B6368" s="2" t="n"/>
      <c r="C6368" s="40" t="n"/>
    </row>
    <row r="6369">
      <c r="B6369" s="2" t="n"/>
      <c r="C6369" s="40" t="n"/>
    </row>
    <row r="6370">
      <c r="B6370" s="2" t="n"/>
      <c r="C6370" s="40" t="n"/>
    </row>
    <row r="6371">
      <c r="B6371" s="2" t="n"/>
      <c r="C6371" s="40" t="n"/>
    </row>
    <row r="6372">
      <c r="B6372" s="2" t="n"/>
      <c r="C6372" s="40" t="n"/>
    </row>
    <row r="6373">
      <c r="B6373" s="2" t="n"/>
      <c r="C6373" s="40" t="n"/>
    </row>
    <row r="6374">
      <c r="B6374" s="2" t="n"/>
      <c r="C6374" s="40" t="n"/>
    </row>
    <row r="6375">
      <c r="B6375" s="2" t="n"/>
      <c r="C6375" s="40" t="n"/>
    </row>
    <row r="6376">
      <c r="B6376" s="2" t="n"/>
      <c r="C6376" s="40" t="n"/>
    </row>
    <row r="6377">
      <c r="B6377" s="2" t="n"/>
      <c r="C6377" s="40" t="n"/>
    </row>
    <row r="6378">
      <c r="B6378" s="2" t="n"/>
      <c r="C6378" s="40" t="n"/>
    </row>
    <row r="6379">
      <c r="B6379" s="2" t="n"/>
      <c r="C6379" s="40" t="n"/>
    </row>
    <row r="6380">
      <c r="B6380" s="2" t="n"/>
      <c r="C6380" s="40" t="n"/>
    </row>
    <row r="6381">
      <c r="B6381" s="2" t="n"/>
      <c r="C6381" s="40" t="n"/>
    </row>
    <row r="6382">
      <c r="B6382" s="2" t="n"/>
      <c r="C6382" s="40" t="n"/>
    </row>
    <row r="6383">
      <c r="B6383" s="2" t="n"/>
      <c r="C6383" s="40" t="n"/>
    </row>
    <row r="6384">
      <c r="B6384" s="2" t="n"/>
      <c r="C6384" s="40" t="n"/>
    </row>
    <row r="6385">
      <c r="B6385" s="2" t="n"/>
      <c r="C6385" s="40" t="n"/>
    </row>
    <row r="6386">
      <c r="B6386" s="2" t="n"/>
      <c r="C6386" s="40" t="n"/>
    </row>
    <row r="6387">
      <c r="B6387" s="2" t="n"/>
      <c r="C6387" s="40" t="n"/>
    </row>
    <row r="6388">
      <c r="B6388" s="2" t="n"/>
      <c r="C6388" s="40" t="n"/>
    </row>
    <row r="6389">
      <c r="B6389" s="2" t="n"/>
      <c r="C6389" s="40" t="n"/>
    </row>
    <row r="6390">
      <c r="B6390" s="2" t="n"/>
      <c r="C6390" s="40" t="n"/>
    </row>
    <row r="6391">
      <c r="B6391" s="2" t="n"/>
      <c r="C6391" s="40" t="n"/>
    </row>
    <row r="6392">
      <c r="B6392" s="2" t="n"/>
      <c r="C6392" s="40" t="n"/>
    </row>
    <row r="6393">
      <c r="B6393" s="2" t="n"/>
      <c r="C6393" s="40" t="n"/>
    </row>
    <row r="6394">
      <c r="B6394" s="2" t="n"/>
      <c r="C6394" s="40" t="n"/>
    </row>
    <row r="6395">
      <c r="B6395" s="2" t="n"/>
      <c r="C6395" s="40" t="n"/>
    </row>
    <row r="6396">
      <c r="B6396" s="2" t="n"/>
      <c r="C6396" s="40" t="n"/>
    </row>
    <row r="6397">
      <c r="B6397" s="2" t="n"/>
      <c r="C6397" s="40" t="n"/>
    </row>
    <row r="6398">
      <c r="B6398" s="2" t="n"/>
      <c r="C6398" s="40" t="n"/>
    </row>
    <row r="6399">
      <c r="B6399" s="2" t="n"/>
      <c r="C6399" s="40" t="n"/>
    </row>
    <row r="6400">
      <c r="B6400" s="2" t="n"/>
      <c r="C6400" s="40" t="n"/>
    </row>
    <row r="6401">
      <c r="B6401" s="2" t="n"/>
      <c r="C6401" s="40" t="n"/>
    </row>
    <row r="6402">
      <c r="B6402" s="2" t="n"/>
      <c r="C6402" s="40" t="n"/>
    </row>
    <row r="6403">
      <c r="B6403" s="2" t="n"/>
      <c r="C6403" s="40" t="n"/>
    </row>
    <row r="6404">
      <c r="B6404" s="2" t="n"/>
      <c r="C6404" s="40" t="n"/>
    </row>
    <row r="6405">
      <c r="B6405" s="2" t="n"/>
      <c r="C6405" s="40" t="n"/>
    </row>
    <row r="6406">
      <c r="B6406" s="2" t="n"/>
      <c r="C6406" s="40" t="n"/>
    </row>
    <row r="6407">
      <c r="B6407" s="2" t="n"/>
      <c r="C6407" s="40" t="n"/>
    </row>
    <row r="6408">
      <c r="B6408" s="2" t="n"/>
      <c r="C6408" s="40" t="n"/>
    </row>
    <row r="6409">
      <c r="B6409" s="2" t="n"/>
      <c r="C6409" s="40" t="n"/>
    </row>
    <row r="6410">
      <c r="B6410" s="2" t="n"/>
      <c r="C6410" s="40" t="n"/>
    </row>
    <row r="6411">
      <c r="B6411" s="2" t="n"/>
      <c r="C6411" s="40" t="n"/>
    </row>
    <row r="6412">
      <c r="B6412" s="2" t="n"/>
      <c r="C6412" s="40" t="n"/>
    </row>
    <row r="6413">
      <c r="B6413" s="2" t="n"/>
      <c r="C6413" s="40" t="n"/>
    </row>
    <row r="6414">
      <c r="B6414" s="2" t="n"/>
      <c r="C6414" s="40" t="n"/>
    </row>
    <row r="6415">
      <c r="B6415" s="2" t="n"/>
      <c r="C6415" s="40" t="n"/>
    </row>
    <row r="6416">
      <c r="B6416" s="2" t="n"/>
      <c r="C6416" s="40" t="n"/>
    </row>
    <row r="6417">
      <c r="B6417" s="2" t="n"/>
      <c r="C6417" s="40" t="n"/>
    </row>
    <row r="6418">
      <c r="B6418" s="2" t="n"/>
      <c r="C6418" s="40" t="n"/>
    </row>
    <row r="6419">
      <c r="B6419" s="2" t="n"/>
      <c r="C6419" s="40" t="n"/>
    </row>
    <row r="6420">
      <c r="B6420" s="2" t="n"/>
      <c r="C6420" s="40" t="n"/>
    </row>
    <row r="6421">
      <c r="B6421" s="2" t="n"/>
      <c r="C6421" s="40" t="n"/>
    </row>
    <row r="6422">
      <c r="B6422" s="2" t="n"/>
      <c r="C6422" s="40" t="n"/>
    </row>
    <row r="6423">
      <c r="B6423" s="2" t="n"/>
      <c r="C6423" s="40" t="n"/>
    </row>
    <row r="6424">
      <c r="B6424" s="2" t="n"/>
      <c r="C6424" s="40" t="n"/>
    </row>
    <row r="6425">
      <c r="B6425" s="2" t="n"/>
      <c r="C6425" s="40" t="n"/>
    </row>
    <row r="6426">
      <c r="B6426" s="2" t="n"/>
      <c r="C6426" s="40" t="n"/>
    </row>
    <row r="6427">
      <c r="B6427" s="2" t="n"/>
      <c r="C6427" s="40" t="n"/>
    </row>
    <row r="6428">
      <c r="B6428" s="2" t="n"/>
      <c r="C6428" s="40" t="n"/>
    </row>
    <row r="6429">
      <c r="B6429" s="2" t="n"/>
      <c r="C6429" s="40" t="n"/>
    </row>
    <row r="6430">
      <c r="B6430" s="2" t="n"/>
      <c r="C6430" s="40" t="n"/>
    </row>
    <row r="6431">
      <c r="B6431" s="2" t="n"/>
      <c r="C6431" s="40" t="n"/>
    </row>
    <row r="6432">
      <c r="B6432" s="2" t="n"/>
      <c r="C6432" s="40" t="n"/>
    </row>
    <row r="6433">
      <c r="B6433" s="2" t="n"/>
      <c r="C6433" s="40" t="n"/>
    </row>
    <row r="6434">
      <c r="B6434" s="2" t="n"/>
      <c r="C6434" s="40" t="n"/>
    </row>
    <row r="6435">
      <c r="B6435" s="2" t="n"/>
      <c r="C6435" s="40" t="n"/>
    </row>
    <row r="6436">
      <c r="B6436" s="2" t="n"/>
      <c r="C6436" s="40" t="n"/>
    </row>
    <row r="6437">
      <c r="B6437" s="2" t="n"/>
      <c r="C6437" s="40" t="n"/>
    </row>
    <row r="6438">
      <c r="B6438" s="2" t="n"/>
      <c r="C6438" s="40" t="n"/>
    </row>
    <row r="6439">
      <c r="B6439" s="2" t="n"/>
      <c r="C6439" s="40" t="n"/>
    </row>
    <row r="6440">
      <c r="B6440" s="2" t="n"/>
      <c r="C6440" s="40" t="n"/>
    </row>
    <row r="6441">
      <c r="B6441" s="2" t="n"/>
      <c r="C6441" s="40" t="n"/>
    </row>
    <row r="6442">
      <c r="B6442" s="2" t="n"/>
      <c r="C6442" s="40" t="n"/>
    </row>
    <row r="6443">
      <c r="B6443" s="2" t="n"/>
      <c r="C6443" s="40" t="n"/>
    </row>
    <row r="6444">
      <c r="B6444" s="2" t="n"/>
      <c r="C6444" s="40" t="n"/>
    </row>
    <row r="6445">
      <c r="B6445" s="2" t="n"/>
      <c r="C6445" s="40" t="n"/>
    </row>
    <row r="6446">
      <c r="B6446" s="2" t="n"/>
      <c r="C6446" s="40" t="n"/>
    </row>
    <row r="6447">
      <c r="B6447" s="2" t="n"/>
      <c r="C6447" s="40" t="n"/>
    </row>
    <row r="6448">
      <c r="B6448" s="2" t="n"/>
      <c r="C6448" s="40" t="n"/>
    </row>
    <row r="6449">
      <c r="B6449" s="2" t="n"/>
      <c r="C6449" s="40" t="n"/>
    </row>
    <row r="6450">
      <c r="B6450" s="2" t="n"/>
      <c r="C6450" s="40" t="n"/>
    </row>
    <row r="6451">
      <c r="B6451" s="2" t="n"/>
      <c r="C6451" s="40" t="n"/>
    </row>
    <row r="6452">
      <c r="B6452" s="2" t="n"/>
      <c r="C6452" s="40" t="n"/>
    </row>
    <row r="6453">
      <c r="B6453" s="2" t="n"/>
      <c r="C6453" s="40" t="n"/>
    </row>
    <row r="6454">
      <c r="B6454" s="2" t="n"/>
      <c r="C6454" s="40" t="n"/>
    </row>
    <row r="6455">
      <c r="B6455" s="2" t="n"/>
      <c r="C6455" s="40" t="n"/>
    </row>
    <row r="6456">
      <c r="B6456" s="2" t="n"/>
      <c r="C6456" s="40" t="n"/>
    </row>
    <row r="6457">
      <c r="B6457" s="2" t="n"/>
      <c r="C6457" s="40" t="n"/>
    </row>
    <row r="6458">
      <c r="B6458" s="2" t="n"/>
      <c r="C6458" s="40" t="n"/>
    </row>
    <row r="6459">
      <c r="B6459" s="2" t="n"/>
      <c r="C6459" s="40" t="n"/>
    </row>
    <row r="6460">
      <c r="B6460" s="2" t="n"/>
      <c r="C6460" s="40" t="n"/>
    </row>
    <row r="6461">
      <c r="B6461" s="2" t="n"/>
      <c r="C6461" s="40" t="n"/>
    </row>
    <row r="6462">
      <c r="B6462" s="2" t="n"/>
      <c r="C6462" s="40" t="n"/>
    </row>
    <row r="6463">
      <c r="B6463" s="2" t="n"/>
      <c r="C6463" s="40" t="n"/>
    </row>
    <row r="6464">
      <c r="B6464" s="2" t="n"/>
      <c r="C6464" s="40" t="n"/>
    </row>
    <row r="6465">
      <c r="B6465" s="2" t="n"/>
      <c r="C6465" s="40" t="n"/>
    </row>
    <row r="6466">
      <c r="B6466" s="2" t="n"/>
      <c r="C6466" s="40" t="n"/>
    </row>
    <row r="6467">
      <c r="B6467" s="2" t="n"/>
      <c r="C6467" s="40" t="n"/>
    </row>
    <row r="6468">
      <c r="B6468" s="2" t="n"/>
      <c r="C6468" s="40" t="n"/>
    </row>
    <row r="6469">
      <c r="B6469" s="2" t="n"/>
      <c r="C6469" s="40" t="n"/>
    </row>
    <row r="6470">
      <c r="B6470" s="2" t="n"/>
      <c r="C6470" s="40" t="n"/>
    </row>
    <row r="6471">
      <c r="B6471" s="2" t="n"/>
      <c r="C6471" s="40" t="n"/>
    </row>
    <row r="6472">
      <c r="B6472" s="2" t="n"/>
      <c r="C6472" s="40" t="n"/>
    </row>
    <row r="6473">
      <c r="B6473" s="2" t="n"/>
      <c r="C6473" s="40" t="n"/>
    </row>
    <row r="6474">
      <c r="B6474" s="2" t="n"/>
      <c r="C6474" s="40" t="n"/>
    </row>
    <row r="6475">
      <c r="B6475" s="2" t="n"/>
      <c r="C6475" s="40" t="n"/>
    </row>
    <row r="6476">
      <c r="B6476" s="2" t="n"/>
      <c r="C6476" s="40" t="n"/>
    </row>
    <row r="6477">
      <c r="B6477" s="2" t="n"/>
      <c r="C6477" s="40" t="n"/>
    </row>
    <row r="6478">
      <c r="B6478" s="2" t="n"/>
      <c r="C6478" s="40" t="n"/>
    </row>
    <row r="6479">
      <c r="B6479" s="2" t="n"/>
      <c r="C6479" s="40" t="n"/>
    </row>
    <row r="6480">
      <c r="B6480" s="2" t="n"/>
      <c r="C6480" s="40" t="n"/>
    </row>
    <row r="6481">
      <c r="B6481" s="2" t="n"/>
      <c r="C6481" s="40" t="n"/>
    </row>
    <row r="6482">
      <c r="B6482" s="2" t="n"/>
      <c r="C6482" s="40" t="n"/>
    </row>
    <row r="6483">
      <c r="B6483" s="2" t="n"/>
      <c r="C6483" s="40" t="n"/>
    </row>
    <row r="6484">
      <c r="B6484" s="2" t="n"/>
      <c r="C6484" s="40" t="n"/>
    </row>
    <row r="6485">
      <c r="B6485" s="2" t="n"/>
      <c r="C6485" s="40" t="n"/>
    </row>
    <row r="6486">
      <c r="B6486" s="2" t="n"/>
      <c r="C6486" s="40" t="n"/>
    </row>
    <row r="6487">
      <c r="B6487" s="2" t="n"/>
      <c r="C6487" s="40" t="n"/>
    </row>
    <row r="6488">
      <c r="B6488" s="2" t="n"/>
      <c r="C6488" s="40" t="n"/>
    </row>
    <row r="6489">
      <c r="B6489" s="2" t="n"/>
      <c r="C6489" s="40" t="n"/>
    </row>
    <row r="6490">
      <c r="B6490" s="2" t="n"/>
      <c r="C6490" s="40" t="n"/>
    </row>
    <row r="6491">
      <c r="B6491" s="2" t="n"/>
      <c r="C6491" s="40" t="n"/>
    </row>
    <row r="6492">
      <c r="B6492" s="2" t="n"/>
      <c r="C6492" s="40" t="n"/>
    </row>
    <row r="6493">
      <c r="B6493" s="2" t="n"/>
      <c r="C6493" s="40" t="n"/>
    </row>
    <row r="6494">
      <c r="B6494" s="2" t="n"/>
      <c r="C6494" s="40" t="n"/>
    </row>
    <row r="6495">
      <c r="B6495" s="2" t="n"/>
      <c r="C6495" s="40" t="n"/>
    </row>
    <row r="6496">
      <c r="B6496" s="2" t="n"/>
      <c r="C6496" s="40" t="n"/>
    </row>
    <row r="6497">
      <c r="B6497" s="2" t="n"/>
      <c r="C6497" s="40" t="n"/>
    </row>
    <row r="6498">
      <c r="B6498" s="2" t="n"/>
      <c r="C6498" s="40" t="n"/>
    </row>
    <row r="6499">
      <c r="B6499" s="2" t="n"/>
      <c r="C6499" s="40" t="n"/>
    </row>
    <row r="6500">
      <c r="B6500" s="2" t="n"/>
      <c r="C6500" s="40" t="n"/>
    </row>
    <row r="6501">
      <c r="B6501" s="2" t="n"/>
      <c r="C6501" s="40" t="n"/>
    </row>
    <row r="6502">
      <c r="B6502" s="2" t="n"/>
      <c r="C6502" s="40" t="n"/>
    </row>
    <row r="6503">
      <c r="B6503" s="2" t="n"/>
      <c r="C6503" s="40" t="n"/>
    </row>
    <row r="6504">
      <c r="B6504" s="2" t="n"/>
      <c r="C6504" s="40" t="n"/>
    </row>
    <row r="6505">
      <c r="B6505" s="2" t="n"/>
      <c r="C6505" s="40" t="n"/>
    </row>
    <row r="6506">
      <c r="B6506" s="2" t="n"/>
      <c r="C6506" s="40" t="n"/>
    </row>
    <row r="6507">
      <c r="B6507" s="2" t="n"/>
      <c r="C6507" s="40" t="n"/>
    </row>
    <row r="6508">
      <c r="B6508" s="2" t="n"/>
      <c r="C6508" s="40" t="n"/>
    </row>
    <row r="6509">
      <c r="B6509" s="2" t="n"/>
      <c r="C6509" s="40" t="n"/>
    </row>
    <row r="6510">
      <c r="B6510" s="2" t="n"/>
      <c r="C6510" s="40" t="n"/>
    </row>
    <row r="6511">
      <c r="B6511" s="2" t="n"/>
      <c r="C6511" s="40" t="n"/>
    </row>
    <row r="6512">
      <c r="B6512" s="2" t="n"/>
      <c r="C6512" s="40" t="n"/>
    </row>
    <row r="6513">
      <c r="B6513" s="2" t="n"/>
      <c r="C6513" s="40" t="n"/>
    </row>
    <row r="6514">
      <c r="B6514" s="2" t="n"/>
      <c r="C6514" s="40" t="n"/>
    </row>
    <row r="6515">
      <c r="B6515" s="2" t="n"/>
      <c r="C6515" s="40" t="n"/>
    </row>
    <row r="6516">
      <c r="B6516" s="2" t="n"/>
      <c r="C6516" s="40" t="n"/>
    </row>
    <row r="6517">
      <c r="B6517" s="2" t="n"/>
      <c r="C6517" s="40" t="n"/>
    </row>
    <row r="6518">
      <c r="B6518" s="2" t="n"/>
      <c r="C6518" s="40" t="n"/>
    </row>
    <row r="6519">
      <c r="B6519" s="2" t="n"/>
      <c r="C6519" s="40" t="n"/>
    </row>
    <row r="6520">
      <c r="B6520" s="2" t="n"/>
      <c r="C6520" s="40" t="n"/>
    </row>
    <row r="6521">
      <c r="B6521" s="2" t="n"/>
      <c r="C6521" s="40" t="n"/>
    </row>
    <row r="6522">
      <c r="B6522" s="2" t="n"/>
      <c r="C6522" s="40" t="n"/>
    </row>
    <row r="6523">
      <c r="B6523" s="2" t="n"/>
      <c r="C6523" s="40" t="n"/>
    </row>
    <row r="6524">
      <c r="B6524" s="2" t="n"/>
      <c r="C6524" s="40" t="n"/>
    </row>
    <row r="6525">
      <c r="B6525" s="2" t="n"/>
      <c r="C6525" s="40" t="n"/>
    </row>
    <row r="6526">
      <c r="B6526" s="2" t="n"/>
      <c r="C6526" s="40" t="n"/>
    </row>
    <row r="6527">
      <c r="B6527" s="2" t="n"/>
      <c r="C6527" s="40" t="n"/>
    </row>
    <row r="6528">
      <c r="B6528" s="2" t="n"/>
      <c r="C6528" s="40" t="n"/>
    </row>
    <row r="6529">
      <c r="B6529" s="2" t="n"/>
      <c r="C6529" s="40" t="n"/>
    </row>
    <row r="6530">
      <c r="B6530" s="2" t="n"/>
      <c r="C6530" s="40" t="n"/>
    </row>
    <row r="6531">
      <c r="B6531" s="2" t="n"/>
      <c r="C6531" s="40" t="n"/>
    </row>
    <row r="6532">
      <c r="B6532" s="2" t="n"/>
      <c r="C6532" s="40" t="n"/>
    </row>
    <row r="6533">
      <c r="B6533" s="2" t="n"/>
      <c r="C6533" s="40" t="n"/>
    </row>
    <row r="6534">
      <c r="B6534" s="2" t="n"/>
      <c r="C6534" s="40" t="n"/>
    </row>
    <row r="6535">
      <c r="B6535" s="2" t="n"/>
      <c r="C6535" s="40" t="n"/>
    </row>
    <row r="6536">
      <c r="B6536" s="2" t="n"/>
      <c r="C6536" s="40" t="n"/>
    </row>
    <row r="6537">
      <c r="B6537" s="2" t="n"/>
      <c r="C6537" s="40" t="n"/>
    </row>
    <row r="6538">
      <c r="B6538" s="2" t="n"/>
      <c r="C6538" s="40" t="n"/>
    </row>
    <row r="6539">
      <c r="B6539" s="2" t="n"/>
      <c r="C6539" s="40" t="n"/>
    </row>
    <row r="6540">
      <c r="B6540" s="2" t="n"/>
      <c r="C6540" s="40" t="n"/>
    </row>
    <row r="6541">
      <c r="B6541" s="2" t="n"/>
      <c r="C6541" s="40" t="n"/>
    </row>
    <row r="6542">
      <c r="B6542" s="2" t="n"/>
      <c r="C6542" s="40" t="n"/>
    </row>
    <row r="6543">
      <c r="B6543" s="2" t="n"/>
      <c r="C6543" s="40" t="n"/>
    </row>
    <row r="6544">
      <c r="B6544" s="2" t="n"/>
      <c r="C6544" s="40" t="n"/>
    </row>
    <row r="6545">
      <c r="B6545" s="2" t="n"/>
      <c r="C6545" s="40" t="n"/>
    </row>
    <row r="6546">
      <c r="B6546" s="2" t="n"/>
      <c r="C6546" s="40" t="n"/>
    </row>
    <row r="6547">
      <c r="B6547" s="2" t="n"/>
      <c r="C6547" s="40" t="n"/>
    </row>
    <row r="6548">
      <c r="B6548" s="2" t="n"/>
      <c r="C6548" s="40" t="n"/>
    </row>
    <row r="6549">
      <c r="B6549" s="2" t="n"/>
      <c r="C6549" s="40" t="n"/>
    </row>
    <row r="6550">
      <c r="B6550" s="2" t="n"/>
      <c r="C6550" s="40" t="n"/>
    </row>
    <row r="6551">
      <c r="B6551" s="2" t="n"/>
      <c r="C6551" s="40" t="n"/>
    </row>
    <row r="6552">
      <c r="B6552" s="2" t="n"/>
      <c r="C6552" s="40" t="n"/>
    </row>
    <row r="6553">
      <c r="B6553" s="2" t="n"/>
      <c r="C6553" s="40" t="n"/>
    </row>
    <row r="6554">
      <c r="B6554" s="2" t="n"/>
      <c r="C6554" s="40" t="n"/>
    </row>
    <row r="6555">
      <c r="B6555" s="2" t="n"/>
      <c r="C6555" s="40" t="n"/>
    </row>
    <row r="6556">
      <c r="B6556" s="2" t="n"/>
      <c r="C6556" s="40" t="n"/>
    </row>
    <row r="6557">
      <c r="B6557" s="2" t="n"/>
      <c r="C6557" s="40" t="n"/>
    </row>
    <row r="6558">
      <c r="B6558" s="2" t="n"/>
      <c r="C6558" s="40" t="n"/>
    </row>
    <row r="6559">
      <c r="B6559" s="2" t="n"/>
      <c r="C6559" s="40" t="n"/>
    </row>
    <row r="6560">
      <c r="B6560" s="2" t="n"/>
      <c r="C6560" s="40" t="n"/>
    </row>
    <row r="6561">
      <c r="B6561" s="2" t="n"/>
      <c r="C6561" s="40" t="n"/>
    </row>
    <row r="6562">
      <c r="B6562" s="2" t="n"/>
      <c r="C6562" s="40" t="n"/>
    </row>
    <row r="6563">
      <c r="B6563" s="2" t="n"/>
      <c r="C6563" s="40" t="n"/>
    </row>
    <row r="6564">
      <c r="B6564" s="2" t="n"/>
      <c r="C6564" s="40" t="n"/>
    </row>
    <row r="6565">
      <c r="B6565" s="2" t="n"/>
      <c r="C6565" s="40" t="n"/>
    </row>
    <row r="6566">
      <c r="B6566" s="2" t="n"/>
      <c r="C6566" s="40" t="n"/>
    </row>
    <row r="6567">
      <c r="B6567" s="2" t="n"/>
      <c r="C6567" s="40" t="n"/>
    </row>
    <row r="6568">
      <c r="B6568" s="2" t="n"/>
      <c r="C6568" s="40" t="n"/>
    </row>
    <row r="6569">
      <c r="B6569" s="2" t="n"/>
      <c r="C6569" s="40" t="n"/>
    </row>
    <row r="6570">
      <c r="B6570" s="2" t="n"/>
      <c r="C6570" s="40" t="n"/>
    </row>
    <row r="6571">
      <c r="B6571" s="2" t="n"/>
      <c r="C6571" s="40" t="n"/>
    </row>
    <row r="6572">
      <c r="B6572" s="2" t="n"/>
      <c r="C6572" s="40" t="n"/>
    </row>
    <row r="6573">
      <c r="B6573" s="2" t="n"/>
      <c r="C6573" s="40" t="n"/>
    </row>
    <row r="6574">
      <c r="B6574" s="2" t="n"/>
      <c r="C6574" s="40" t="n"/>
    </row>
    <row r="6575">
      <c r="B6575" s="2" t="n"/>
      <c r="C6575" s="40" t="n"/>
    </row>
    <row r="6576">
      <c r="B6576" s="2" t="n"/>
      <c r="C6576" s="40" t="n"/>
    </row>
    <row r="6577">
      <c r="B6577" s="2" t="n"/>
      <c r="C6577" s="40" t="n"/>
    </row>
    <row r="6578">
      <c r="B6578" s="2" t="n"/>
      <c r="C6578" s="40" t="n"/>
    </row>
    <row r="6579">
      <c r="B6579" s="2" t="n"/>
      <c r="C6579" s="40" t="n"/>
    </row>
    <row r="6580">
      <c r="B6580" s="2" t="n"/>
      <c r="C6580" s="40" t="n"/>
    </row>
    <row r="6581">
      <c r="B6581" s="2" t="n"/>
      <c r="C6581" s="40" t="n"/>
    </row>
    <row r="6582">
      <c r="B6582" s="2" t="n"/>
      <c r="C6582" s="40" t="n"/>
    </row>
    <row r="6583">
      <c r="B6583" s="2" t="n"/>
      <c r="C6583" s="40" t="n"/>
    </row>
    <row r="6584">
      <c r="B6584" s="2" t="n"/>
      <c r="C6584" s="40" t="n"/>
    </row>
    <row r="6585">
      <c r="B6585" s="2" t="n"/>
      <c r="C6585" s="40" t="n"/>
    </row>
    <row r="6586">
      <c r="B6586" s="2" t="n"/>
      <c r="C6586" s="40" t="n"/>
    </row>
    <row r="6587">
      <c r="B6587" s="2" t="n"/>
      <c r="C6587" s="40" t="n"/>
    </row>
    <row r="6588">
      <c r="B6588" s="2" t="n"/>
      <c r="C6588" s="40" t="n"/>
    </row>
    <row r="6589">
      <c r="B6589" s="2" t="n"/>
      <c r="C6589" s="40" t="n"/>
    </row>
    <row r="6590">
      <c r="B6590" s="2" t="n"/>
      <c r="C6590" s="40" t="n"/>
    </row>
    <row r="6591">
      <c r="B6591" s="2" t="n"/>
      <c r="C6591" s="40" t="n"/>
    </row>
    <row r="6592">
      <c r="B6592" s="2" t="n"/>
      <c r="C6592" s="40" t="n"/>
    </row>
    <row r="6593">
      <c r="B6593" s="2" t="n"/>
      <c r="C6593" s="40" t="n"/>
    </row>
    <row r="6594">
      <c r="B6594" s="2" t="n"/>
      <c r="C6594" s="40" t="n"/>
    </row>
    <row r="6595">
      <c r="B6595" s="2" t="n"/>
      <c r="C6595" s="40" t="n"/>
    </row>
    <row r="6596">
      <c r="B6596" s="2" t="n"/>
      <c r="C6596" s="40" t="n"/>
    </row>
    <row r="6597">
      <c r="B6597" s="2" t="n"/>
      <c r="C6597" s="40" t="n"/>
    </row>
    <row r="6598">
      <c r="B6598" s="2" t="n"/>
      <c r="C6598" s="40" t="n"/>
    </row>
    <row r="6599">
      <c r="B6599" s="2" t="n"/>
      <c r="C6599" s="40" t="n"/>
    </row>
    <row r="6600">
      <c r="B6600" s="2" t="n"/>
      <c r="C6600" s="40" t="n"/>
    </row>
    <row r="6601">
      <c r="B6601" s="2" t="n"/>
      <c r="C6601" s="40" t="n"/>
    </row>
    <row r="6602">
      <c r="B6602" s="2" t="n"/>
      <c r="C6602" s="40" t="n"/>
    </row>
    <row r="6603">
      <c r="B6603" s="2" t="n"/>
      <c r="C6603" s="40" t="n"/>
    </row>
    <row r="6604">
      <c r="B6604" s="2" t="n"/>
      <c r="C6604" s="40" t="n"/>
    </row>
    <row r="6605">
      <c r="B6605" s="2" t="n"/>
      <c r="C6605" s="40" t="n"/>
    </row>
    <row r="6606">
      <c r="B6606" s="2" t="n"/>
      <c r="C6606" s="40" t="n"/>
    </row>
    <row r="6607">
      <c r="B6607" s="2" t="n"/>
      <c r="C6607" s="40" t="n"/>
    </row>
    <row r="6608">
      <c r="B6608" s="2" t="n"/>
      <c r="C6608" s="40" t="n"/>
    </row>
    <row r="6609">
      <c r="B6609" s="2" t="n"/>
      <c r="C6609" s="40" t="n"/>
    </row>
    <row r="6610">
      <c r="B6610" s="2" t="n"/>
      <c r="C6610" s="40" t="n"/>
    </row>
    <row r="6611">
      <c r="B6611" s="2" t="n"/>
      <c r="C6611" s="40" t="n"/>
    </row>
    <row r="6612">
      <c r="B6612" s="2" t="n"/>
      <c r="C6612" s="40" t="n"/>
    </row>
    <row r="6613">
      <c r="B6613" s="2" t="n"/>
      <c r="C6613" s="40" t="n"/>
    </row>
    <row r="6614">
      <c r="B6614" s="2" t="n"/>
      <c r="C6614" s="40" t="n"/>
    </row>
    <row r="6615">
      <c r="B6615" s="2" t="n"/>
      <c r="C6615" s="40" t="n"/>
    </row>
    <row r="6616">
      <c r="B6616" s="2" t="n"/>
      <c r="C6616" s="40" t="n"/>
    </row>
    <row r="6617">
      <c r="B6617" s="2" t="n"/>
      <c r="C6617" s="40" t="n"/>
    </row>
    <row r="6618">
      <c r="B6618" s="2" t="n"/>
      <c r="C6618" s="40" t="n"/>
    </row>
    <row r="6619">
      <c r="B6619" s="2" t="n"/>
      <c r="C6619" s="40" t="n"/>
    </row>
    <row r="6620">
      <c r="B6620" s="2" t="n"/>
      <c r="C6620" s="40" t="n"/>
    </row>
    <row r="6621">
      <c r="B6621" s="2" t="n"/>
      <c r="C6621" s="40" t="n"/>
    </row>
    <row r="6622">
      <c r="B6622" s="2" t="n"/>
      <c r="C6622" s="40" t="n"/>
    </row>
    <row r="6623">
      <c r="B6623" s="2" t="n"/>
      <c r="C6623" s="40" t="n"/>
    </row>
    <row r="6624">
      <c r="B6624" s="2" t="n"/>
      <c r="C6624" s="40" t="n"/>
    </row>
    <row r="6625">
      <c r="B6625" s="2" t="n"/>
      <c r="C6625" s="40" t="n"/>
    </row>
    <row r="6626">
      <c r="B6626" s="2" t="n"/>
      <c r="C6626" s="40" t="n"/>
    </row>
    <row r="6627">
      <c r="B6627" s="2" t="n"/>
      <c r="C6627" s="40" t="n"/>
    </row>
    <row r="6628">
      <c r="B6628" s="2" t="n"/>
      <c r="C6628" s="40" t="n"/>
    </row>
    <row r="6629">
      <c r="B6629" s="2" t="n"/>
      <c r="C6629" s="40" t="n"/>
    </row>
    <row r="6630">
      <c r="B6630" s="2" t="n"/>
      <c r="C6630" s="40" t="n"/>
    </row>
    <row r="6631">
      <c r="B6631" s="2" t="n"/>
      <c r="C6631" s="40" t="n"/>
    </row>
    <row r="6632">
      <c r="B6632" s="2" t="n"/>
      <c r="C6632" s="40" t="n"/>
    </row>
    <row r="6633">
      <c r="B6633" s="2" t="n"/>
      <c r="C6633" s="40" t="n"/>
    </row>
    <row r="6634">
      <c r="B6634" s="2" t="n"/>
      <c r="C6634" s="40" t="n"/>
    </row>
    <row r="6635">
      <c r="B6635" s="2" t="n"/>
      <c r="C6635" s="40" t="n"/>
    </row>
    <row r="6636">
      <c r="B6636" s="2" t="n"/>
      <c r="C6636" s="40" t="n"/>
    </row>
    <row r="6637">
      <c r="B6637" s="2" t="n"/>
      <c r="C6637" s="40" t="n"/>
    </row>
    <row r="6638">
      <c r="B6638" s="2" t="n"/>
      <c r="C6638" s="40" t="n"/>
    </row>
    <row r="6639">
      <c r="B6639" s="2" t="n"/>
      <c r="C6639" s="40" t="n"/>
    </row>
    <row r="6640">
      <c r="B6640" s="2" t="n"/>
      <c r="C6640" s="40" t="n"/>
    </row>
    <row r="6641">
      <c r="B6641" s="2" t="n"/>
      <c r="C6641" s="40" t="n"/>
    </row>
    <row r="6642">
      <c r="B6642" s="2" t="n"/>
      <c r="C6642" s="40" t="n"/>
    </row>
    <row r="6643">
      <c r="B6643" s="2" t="n"/>
      <c r="C6643" s="40" t="n"/>
    </row>
    <row r="6644">
      <c r="B6644" s="2" t="n"/>
      <c r="C6644" s="40" t="n"/>
    </row>
    <row r="6645">
      <c r="B6645" s="2" t="n"/>
      <c r="C6645" s="40" t="n"/>
    </row>
    <row r="6646">
      <c r="B6646" s="2" t="n"/>
      <c r="C6646" s="40" t="n"/>
    </row>
    <row r="6647">
      <c r="B6647" s="2" t="n"/>
      <c r="C6647" s="40" t="n"/>
    </row>
    <row r="6648">
      <c r="B6648" s="2" t="n"/>
      <c r="C6648" s="40" t="n"/>
    </row>
    <row r="6649">
      <c r="B6649" s="2" t="n"/>
      <c r="C6649" s="40" t="n"/>
    </row>
    <row r="6650">
      <c r="B6650" s="2" t="n"/>
      <c r="C6650" s="40" t="n"/>
    </row>
    <row r="6651">
      <c r="B6651" s="2" t="n"/>
      <c r="C6651" s="40" t="n"/>
    </row>
    <row r="6652">
      <c r="B6652" s="2" t="n"/>
      <c r="C6652" s="40" t="n"/>
    </row>
    <row r="6653">
      <c r="B6653" s="2" t="n"/>
      <c r="C6653" s="40" t="n"/>
    </row>
    <row r="6654">
      <c r="B6654" s="2" t="n"/>
      <c r="C6654" s="40" t="n"/>
    </row>
    <row r="6655">
      <c r="B6655" s="2" t="n"/>
      <c r="C6655" s="40" t="n"/>
    </row>
    <row r="6656">
      <c r="B6656" s="2" t="n"/>
      <c r="C6656" s="40" t="n"/>
    </row>
    <row r="6657">
      <c r="B6657" s="2" t="n"/>
      <c r="C6657" s="40" t="n"/>
    </row>
    <row r="6658">
      <c r="B6658" s="2" t="n"/>
      <c r="C6658" s="40" t="n"/>
    </row>
    <row r="6659">
      <c r="B6659" s="2" t="n"/>
      <c r="C6659" s="40" t="n"/>
    </row>
    <row r="6660">
      <c r="B6660" s="2" t="n"/>
      <c r="C6660" s="40" t="n"/>
    </row>
    <row r="6661">
      <c r="B6661" s="2" t="n"/>
      <c r="C6661" s="40" t="n"/>
    </row>
    <row r="6662">
      <c r="B6662" s="2" t="n"/>
      <c r="C6662" s="40" t="n"/>
    </row>
    <row r="6663">
      <c r="B6663" s="2" t="n"/>
      <c r="C6663" s="40" t="n"/>
    </row>
    <row r="6664">
      <c r="B6664" s="2" t="n"/>
      <c r="C6664" s="40" t="n"/>
    </row>
    <row r="6665">
      <c r="B6665" s="2" t="n"/>
      <c r="C6665" s="40" t="n"/>
    </row>
    <row r="6666">
      <c r="B6666" s="2" t="n"/>
      <c r="C6666" s="40" t="n"/>
    </row>
    <row r="6667">
      <c r="B6667" s="2" t="n"/>
      <c r="C6667" s="40" t="n"/>
    </row>
    <row r="6668">
      <c r="B6668" s="2" t="n"/>
      <c r="C6668" s="40" t="n"/>
    </row>
    <row r="6669">
      <c r="B6669" s="2" t="n"/>
      <c r="C6669" s="40" t="n"/>
    </row>
    <row r="6670">
      <c r="B6670" s="2" t="n"/>
      <c r="C6670" s="40" t="n"/>
    </row>
    <row r="6671">
      <c r="B6671" s="2" t="n"/>
      <c r="C6671" s="40" t="n"/>
    </row>
    <row r="6672">
      <c r="B6672" s="2" t="n"/>
      <c r="C6672" s="40" t="n"/>
    </row>
    <row r="6673">
      <c r="B6673" s="2" t="n"/>
      <c r="C6673" s="40" t="n"/>
    </row>
    <row r="6674">
      <c r="B6674" s="2" t="n"/>
      <c r="C6674" s="40" t="n"/>
    </row>
    <row r="6675">
      <c r="B6675" s="2" t="n"/>
      <c r="C6675" s="40" t="n"/>
    </row>
    <row r="6676">
      <c r="B6676" s="2" t="n"/>
      <c r="C6676" s="40" t="n"/>
    </row>
    <row r="6677">
      <c r="B6677" s="2" t="n"/>
      <c r="C6677" s="40" t="n"/>
    </row>
    <row r="6678">
      <c r="B6678" s="2" t="n"/>
      <c r="C6678" s="40" t="n"/>
    </row>
    <row r="6679">
      <c r="B6679" s="2" t="n"/>
      <c r="C6679" s="40" t="n"/>
    </row>
    <row r="6680">
      <c r="B6680" s="2" t="n"/>
      <c r="C6680" s="40" t="n"/>
    </row>
    <row r="6681">
      <c r="B6681" s="2" t="n"/>
      <c r="C6681" s="40" t="n"/>
    </row>
    <row r="6682">
      <c r="B6682" s="2" t="n"/>
      <c r="C6682" s="40" t="n"/>
    </row>
    <row r="6683">
      <c r="B6683" s="2" t="n"/>
      <c r="C6683" s="40" t="n"/>
    </row>
    <row r="6684">
      <c r="B6684" s="2" t="n"/>
      <c r="C6684" s="40" t="n"/>
    </row>
    <row r="6685">
      <c r="B6685" s="2" t="n"/>
      <c r="C6685" s="40" t="n"/>
    </row>
    <row r="6686">
      <c r="B6686" s="2" t="n"/>
      <c r="C6686" s="40" t="n"/>
    </row>
    <row r="6687">
      <c r="B6687" s="2" t="n"/>
      <c r="C6687" s="40" t="n"/>
    </row>
    <row r="6688">
      <c r="B6688" s="2" t="n"/>
      <c r="C6688" s="40" t="n"/>
    </row>
    <row r="6689">
      <c r="B6689" s="2" t="n"/>
      <c r="C6689" s="40" t="n"/>
    </row>
    <row r="6690">
      <c r="B6690" s="2" t="n"/>
      <c r="C6690" s="40" t="n"/>
    </row>
    <row r="6691">
      <c r="B6691" s="2" t="n"/>
      <c r="C6691" s="40" t="n"/>
    </row>
    <row r="6692">
      <c r="B6692" s="2" t="n"/>
      <c r="C6692" s="40" t="n"/>
    </row>
    <row r="6693">
      <c r="B6693" s="2" t="n"/>
      <c r="C6693" s="40" t="n"/>
    </row>
    <row r="6694">
      <c r="B6694" s="2" t="n"/>
      <c r="C6694" s="40" t="n"/>
    </row>
    <row r="6695">
      <c r="B6695" s="2" t="n"/>
      <c r="C6695" s="40" t="n"/>
    </row>
    <row r="6696">
      <c r="B6696" s="2" t="n"/>
      <c r="C6696" s="40" t="n"/>
    </row>
    <row r="6697">
      <c r="B6697" s="2" t="n"/>
      <c r="C6697" s="40" t="n"/>
    </row>
    <row r="6698">
      <c r="B6698" s="2" t="n"/>
      <c r="C6698" s="40" t="n"/>
    </row>
    <row r="6699">
      <c r="B6699" s="2" t="n"/>
      <c r="C6699" s="40" t="n"/>
    </row>
    <row r="6700">
      <c r="B6700" s="2" t="n"/>
      <c r="C6700" s="40" t="n"/>
    </row>
    <row r="6701">
      <c r="B6701" s="2" t="n"/>
      <c r="C6701" s="40" t="n"/>
    </row>
    <row r="6702">
      <c r="B6702" s="2" t="n"/>
      <c r="C6702" s="40" t="n"/>
    </row>
    <row r="6703">
      <c r="B6703" s="2" t="n"/>
      <c r="C6703" s="40" t="n"/>
    </row>
    <row r="6704">
      <c r="B6704" s="2" t="n"/>
      <c r="C6704" s="40" t="n"/>
    </row>
    <row r="6705">
      <c r="B6705" s="2" t="n"/>
      <c r="C6705" s="40" t="n"/>
    </row>
    <row r="6706">
      <c r="B6706" s="2" t="n"/>
      <c r="C6706" s="40" t="n"/>
    </row>
    <row r="6707">
      <c r="B6707" s="2" t="n"/>
      <c r="C6707" s="40" t="n"/>
    </row>
    <row r="6708">
      <c r="B6708" s="2" t="n"/>
      <c r="C6708" s="40" t="n"/>
    </row>
    <row r="6709">
      <c r="B6709" s="2" t="n"/>
      <c r="C6709" s="40" t="n"/>
    </row>
    <row r="6710">
      <c r="B6710" s="2" t="n"/>
      <c r="C6710" s="40" t="n"/>
    </row>
    <row r="6711">
      <c r="B6711" s="2" t="n"/>
      <c r="C6711" s="40" t="n"/>
    </row>
    <row r="6712">
      <c r="B6712" s="2" t="n"/>
      <c r="C6712" s="40" t="n"/>
    </row>
    <row r="6713">
      <c r="B6713" s="2" t="n"/>
      <c r="C6713" s="40" t="n"/>
    </row>
    <row r="6714">
      <c r="B6714" s="2" t="n"/>
      <c r="C6714" s="40" t="n"/>
    </row>
    <row r="6715">
      <c r="B6715" s="2" t="n"/>
      <c r="C6715" s="40" t="n"/>
    </row>
    <row r="6716">
      <c r="B6716" s="2" t="n"/>
      <c r="C6716" s="40" t="n"/>
    </row>
    <row r="6717">
      <c r="B6717" s="2" t="n"/>
      <c r="C6717" s="40" t="n"/>
    </row>
    <row r="6718">
      <c r="B6718" s="2" t="n"/>
      <c r="C6718" s="40" t="n"/>
    </row>
    <row r="6719">
      <c r="B6719" s="2" t="n"/>
      <c r="C6719" s="40" t="n"/>
    </row>
    <row r="6720">
      <c r="B6720" s="2" t="n"/>
      <c r="C6720" s="40" t="n"/>
    </row>
    <row r="6721">
      <c r="B6721" s="2" t="n"/>
      <c r="C6721" s="40" t="n"/>
    </row>
    <row r="6722">
      <c r="B6722" s="2" t="n"/>
      <c r="C6722" s="40" t="n"/>
    </row>
    <row r="6723">
      <c r="B6723" s="2" t="n"/>
      <c r="C6723" s="40" t="n"/>
    </row>
    <row r="6724">
      <c r="B6724" s="2" t="n"/>
      <c r="C6724" s="40" t="n"/>
    </row>
    <row r="6725">
      <c r="B6725" s="2" t="n"/>
      <c r="C6725" s="40" t="n"/>
    </row>
    <row r="6726">
      <c r="B6726" s="2" t="n"/>
      <c r="C6726" s="40" t="n"/>
    </row>
    <row r="6727">
      <c r="B6727" s="2" t="n"/>
      <c r="C6727" s="40" t="n"/>
    </row>
    <row r="6728">
      <c r="B6728" s="2" t="n"/>
      <c r="C6728" s="40" t="n"/>
    </row>
    <row r="6729">
      <c r="B6729" s="2" t="n"/>
      <c r="C6729" s="40" t="n"/>
    </row>
    <row r="6730">
      <c r="B6730" s="2" t="n"/>
      <c r="C6730" s="40" t="n"/>
    </row>
    <row r="6731">
      <c r="B6731" s="2" t="n"/>
      <c r="C6731" s="40" t="n"/>
    </row>
    <row r="6732">
      <c r="B6732" s="2" t="n"/>
      <c r="C6732" s="40" t="n"/>
    </row>
    <row r="6733">
      <c r="B6733" s="2" t="n"/>
      <c r="C6733" s="40" t="n"/>
    </row>
    <row r="6734">
      <c r="B6734" s="2" t="n"/>
      <c r="C6734" s="40" t="n"/>
    </row>
    <row r="6735">
      <c r="B6735" s="2" t="n"/>
      <c r="C6735" s="40" t="n"/>
    </row>
    <row r="6736">
      <c r="B6736" s="2" t="n"/>
      <c r="C6736" s="40" t="n"/>
    </row>
    <row r="6737">
      <c r="B6737" s="2" t="n"/>
      <c r="C6737" s="40" t="n"/>
    </row>
    <row r="6738">
      <c r="B6738" s="2" t="n"/>
      <c r="C6738" s="40" t="n"/>
    </row>
    <row r="6739">
      <c r="B6739" s="2" t="n"/>
      <c r="C6739" s="40" t="n"/>
    </row>
    <row r="6740">
      <c r="B6740" s="2" t="n"/>
      <c r="C6740" s="40" t="n"/>
    </row>
    <row r="6741">
      <c r="B6741" s="2" t="n"/>
      <c r="C6741" s="40" t="n"/>
    </row>
    <row r="6742">
      <c r="B6742" s="2" t="n"/>
      <c r="C6742" s="40" t="n"/>
    </row>
    <row r="6743">
      <c r="B6743" s="2" t="n"/>
      <c r="C6743" s="40" t="n"/>
    </row>
    <row r="6744">
      <c r="B6744" s="2" t="n"/>
      <c r="C6744" s="40" t="n"/>
    </row>
    <row r="6745">
      <c r="B6745" s="2" t="n"/>
      <c r="C6745" s="40" t="n"/>
    </row>
    <row r="6746">
      <c r="B6746" s="2" t="n"/>
      <c r="C6746" s="40" t="n"/>
    </row>
    <row r="6747">
      <c r="B6747" s="2" t="n"/>
      <c r="C6747" s="40" t="n"/>
    </row>
    <row r="6748">
      <c r="B6748" s="2" t="n"/>
      <c r="C6748" s="40" t="n"/>
    </row>
    <row r="6749">
      <c r="B6749" s="2" t="n"/>
      <c r="C6749" s="40" t="n"/>
    </row>
    <row r="6750">
      <c r="B6750" s="2" t="n"/>
      <c r="C6750" s="40" t="n"/>
    </row>
    <row r="6751">
      <c r="B6751" s="2" t="n"/>
      <c r="C6751" s="40" t="n"/>
    </row>
    <row r="6752">
      <c r="B6752" s="2" t="n"/>
      <c r="C6752" s="40" t="n"/>
    </row>
    <row r="6753">
      <c r="B6753" s="2" t="n"/>
      <c r="C6753" s="40" t="n"/>
    </row>
    <row r="6754">
      <c r="B6754" s="2" t="n"/>
      <c r="C6754" s="40" t="n"/>
    </row>
    <row r="6755">
      <c r="B6755" s="2" t="n"/>
      <c r="C6755" s="40" t="n"/>
    </row>
    <row r="6756">
      <c r="B6756" s="2" t="n"/>
      <c r="C6756" s="40" t="n"/>
    </row>
    <row r="6757">
      <c r="B6757" s="2" t="n"/>
      <c r="C6757" s="40" t="n"/>
    </row>
    <row r="6758">
      <c r="B6758" s="2" t="n"/>
      <c r="C6758" s="40" t="n"/>
    </row>
    <row r="6759">
      <c r="B6759" s="2" t="n"/>
      <c r="C6759" s="40" t="n"/>
    </row>
    <row r="6760">
      <c r="B6760" s="2" t="n"/>
      <c r="C6760" s="40" t="n"/>
    </row>
    <row r="6761">
      <c r="B6761" s="2" t="n"/>
      <c r="C6761" s="40" t="n"/>
    </row>
    <row r="6762">
      <c r="B6762" s="2" t="n"/>
      <c r="C6762" s="40" t="n"/>
    </row>
    <row r="6763">
      <c r="B6763" s="2" t="n"/>
      <c r="C6763" s="40" t="n"/>
    </row>
    <row r="6764">
      <c r="B6764" s="2" t="n"/>
      <c r="C6764" s="40" t="n"/>
    </row>
    <row r="6765">
      <c r="B6765" s="2" t="n"/>
      <c r="C6765" s="40" t="n"/>
    </row>
    <row r="6766">
      <c r="B6766" s="2" t="n"/>
      <c r="C6766" s="40" t="n"/>
    </row>
    <row r="6767">
      <c r="B6767" s="2" t="n"/>
      <c r="C6767" s="40" t="n"/>
    </row>
    <row r="6768">
      <c r="B6768" s="2" t="n"/>
      <c r="C6768" s="40" t="n"/>
    </row>
    <row r="6769">
      <c r="B6769" s="2" t="n"/>
      <c r="C6769" s="40" t="n"/>
    </row>
    <row r="6770">
      <c r="B6770" s="2" t="n"/>
      <c r="C6770" s="40" t="n"/>
    </row>
    <row r="6771">
      <c r="B6771" s="2" t="n"/>
      <c r="C6771" s="40" t="n"/>
    </row>
    <row r="6772">
      <c r="B6772" s="2" t="n"/>
      <c r="C6772" s="40" t="n"/>
    </row>
    <row r="6773">
      <c r="B6773" s="2" t="n"/>
      <c r="C6773" s="40" t="n"/>
    </row>
    <row r="6774">
      <c r="B6774" s="2" t="n"/>
      <c r="C6774" s="40" t="n"/>
    </row>
    <row r="6775">
      <c r="B6775" s="2" t="n"/>
      <c r="C6775" s="40" t="n"/>
    </row>
    <row r="6776">
      <c r="B6776" s="2" t="n"/>
      <c r="C6776" s="40" t="n"/>
    </row>
    <row r="6777">
      <c r="B6777" s="2" t="n"/>
      <c r="C6777" s="40" t="n"/>
    </row>
    <row r="6778">
      <c r="B6778" s="2" t="n"/>
      <c r="C6778" s="40" t="n"/>
    </row>
    <row r="6779">
      <c r="B6779" s="2" t="n"/>
      <c r="C6779" s="40" t="n"/>
    </row>
    <row r="6780">
      <c r="B6780" s="2" t="n"/>
      <c r="C6780" s="40" t="n"/>
    </row>
    <row r="6781">
      <c r="B6781" s="2" t="n"/>
      <c r="C6781" s="40" t="n"/>
    </row>
    <row r="6782">
      <c r="B6782" s="2" t="n"/>
      <c r="C6782" s="40" t="n"/>
    </row>
    <row r="6783">
      <c r="B6783" s="2" t="n"/>
      <c r="C6783" s="40" t="n"/>
    </row>
    <row r="6784">
      <c r="B6784" s="2" t="n"/>
      <c r="C6784" s="40" t="n"/>
    </row>
    <row r="6785">
      <c r="B6785" s="2" t="n"/>
      <c r="C6785" s="40" t="n"/>
    </row>
    <row r="6786">
      <c r="B6786" s="2" t="n"/>
      <c r="C6786" s="40" t="n"/>
    </row>
    <row r="6787">
      <c r="B6787" s="2" t="n"/>
      <c r="C6787" s="40" t="n"/>
    </row>
    <row r="6788">
      <c r="B6788" s="2" t="n"/>
      <c r="C6788" s="40" t="n"/>
    </row>
    <row r="6789">
      <c r="B6789" s="2" t="n"/>
      <c r="C6789" s="40" t="n"/>
    </row>
    <row r="6790">
      <c r="B6790" s="2" t="n"/>
      <c r="C6790" s="40" t="n"/>
    </row>
    <row r="6791">
      <c r="B6791" s="2" t="n"/>
      <c r="C6791" s="40" t="n"/>
    </row>
    <row r="6792">
      <c r="B6792" s="2" t="n"/>
      <c r="C6792" s="40" t="n"/>
    </row>
    <row r="6793">
      <c r="B6793" s="2" t="n"/>
      <c r="C6793" s="40" t="n"/>
    </row>
    <row r="6794">
      <c r="B6794" s="2" t="n"/>
      <c r="C6794" s="40" t="n"/>
    </row>
    <row r="6795">
      <c r="B6795" s="2" t="n"/>
      <c r="C6795" s="40" t="n"/>
    </row>
    <row r="6796">
      <c r="B6796" s="2" t="n"/>
      <c r="C6796" s="40" t="n"/>
    </row>
    <row r="6797">
      <c r="B6797" s="2" t="n"/>
      <c r="C6797" s="40" t="n"/>
    </row>
    <row r="6798">
      <c r="B6798" s="2" t="n"/>
      <c r="C6798" s="40" t="n"/>
    </row>
    <row r="6799">
      <c r="B6799" s="2" t="n"/>
      <c r="C6799" s="40" t="n"/>
    </row>
    <row r="6800">
      <c r="B6800" s="2" t="n"/>
      <c r="C6800" s="40" t="n"/>
    </row>
    <row r="6801">
      <c r="B6801" s="2" t="n"/>
      <c r="C6801" s="40" t="n"/>
    </row>
    <row r="6802">
      <c r="B6802" s="2" t="n"/>
      <c r="C6802" s="40" t="n"/>
    </row>
    <row r="6803">
      <c r="B6803" s="2" t="n"/>
      <c r="C6803" s="40" t="n"/>
    </row>
    <row r="6804">
      <c r="B6804" s="2" t="n"/>
      <c r="C6804" s="40" t="n"/>
    </row>
    <row r="6805">
      <c r="B6805" s="2" t="n"/>
      <c r="C6805" s="40" t="n"/>
    </row>
    <row r="6806">
      <c r="B6806" s="2" t="n"/>
      <c r="C6806" s="40" t="n"/>
    </row>
    <row r="6807">
      <c r="B6807" s="2" t="n"/>
      <c r="C6807" s="40" t="n"/>
    </row>
    <row r="6808">
      <c r="B6808" s="2" t="n"/>
      <c r="C6808" s="40" t="n"/>
    </row>
    <row r="6809">
      <c r="B6809" s="2" t="n"/>
      <c r="C6809" s="40" t="n"/>
    </row>
    <row r="6810">
      <c r="B6810" s="2" t="n"/>
      <c r="C6810" s="40" t="n"/>
    </row>
    <row r="6811">
      <c r="B6811" s="2" t="n"/>
      <c r="C6811" s="40" t="n"/>
    </row>
    <row r="6812">
      <c r="B6812" s="2" t="n"/>
      <c r="C6812" s="40" t="n"/>
    </row>
    <row r="6813">
      <c r="B6813" s="2" t="n"/>
      <c r="C6813" s="40" t="n"/>
    </row>
    <row r="6814">
      <c r="B6814" s="2" t="n"/>
      <c r="C6814" s="40" t="n"/>
    </row>
    <row r="6815">
      <c r="B6815" s="2" t="n"/>
      <c r="C6815" s="40" t="n"/>
    </row>
    <row r="6816">
      <c r="B6816" s="2" t="n"/>
      <c r="C6816" s="40" t="n"/>
    </row>
    <row r="6817">
      <c r="B6817" s="2" t="n"/>
      <c r="C6817" s="40" t="n"/>
    </row>
    <row r="6818">
      <c r="B6818" s="2" t="n"/>
      <c r="C6818" s="40" t="n"/>
    </row>
    <row r="6819">
      <c r="B6819" s="2" t="n"/>
      <c r="C6819" s="40" t="n"/>
    </row>
    <row r="6820">
      <c r="B6820" s="2" t="n"/>
      <c r="C6820" s="40" t="n"/>
    </row>
    <row r="6821">
      <c r="B6821" s="2" t="n"/>
      <c r="C6821" s="40" t="n"/>
    </row>
    <row r="6822">
      <c r="B6822" s="2" t="n"/>
      <c r="C6822" s="40" t="n"/>
    </row>
    <row r="6823">
      <c r="B6823" s="2" t="n"/>
      <c r="C6823" s="40" t="n"/>
    </row>
    <row r="6824">
      <c r="B6824" s="2" t="n"/>
      <c r="C6824" s="40" t="n"/>
    </row>
    <row r="6825">
      <c r="B6825" s="2" t="n"/>
      <c r="C6825" s="40" t="n"/>
    </row>
    <row r="6826">
      <c r="B6826" s="2" t="n"/>
      <c r="C6826" s="40" t="n"/>
    </row>
    <row r="6827">
      <c r="B6827" s="2" t="n"/>
      <c r="C6827" s="40" t="n"/>
    </row>
    <row r="6828">
      <c r="B6828" s="2" t="n"/>
      <c r="C6828" s="40" t="n"/>
    </row>
    <row r="6829">
      <c r="B6829" s="2" t="n"/>
      <c r="C6829" s="40" t="n"/>
    </row>
    <row r="6830">
      <c r="B6830" s="2" t="n"/>
      <c r="C6830" s="40" t="n"/>
    </row>
    <row r="6831">
      <c r="B6831" s="2" t="n"/>
      <c r="C6831" s="40" t="n"/>
    </row>
    <row r="6832">
      <c r="B6832" s="2" t="n"/>
      <c r="C6832" s="40" t="n"/>
    </row>
    <row r="6833">
      <c r="B6833" s="2" t="n"/>
      <c r="C6833" s="40" t="n"/>
    </row>
    <row r="6834">
      <c r="B6834" s="2" t="n"/>
      <c r="C6834" s="40" t="n"/>
    </row>
    <row r="6835">
      <c r="B6835" s="2" t="n"/>
      <c r="C6835" s="40" t="n"/>
    </row>
    <row r="6836">
      <c r="B6836" s="2" t="n"/>
      <c r="C6836" s="40" t="n"/>
    </row>
    <row r="6837">
      <c r="B6837" s="2" t="n"/>
      <c r="C6837" s="40" t="n"/>
    </row>
    <row r="6838">
      <c r="B6838" s="2" t="n"/>
      <c r="C6838" s="40" t="n"/>
    </row>
    <row r="6839">
      <c r="B6839" s="2" t="n"/>
      <c r="C6839" s="40" t="n"/>
    </row>
    <row r="6840">
      <c r="B6840" s="2" t="n"/>
      <c r="C6840" s="40" t="n"/>
    </row>
    <row r="6841">
      <c r="B6841" s="2" t="n"/>
      <c r="C6841" s="40" t="n"/>
    </row>
    <row r="6842">
      <c r="B6842" s="2" t="n"/>
      <c r="C6842" s="40" t="n"/>
    </row>
    <row r="6843">
      <c r="B6843" s="2" t="n"/>
      <c r="C6843" s="40" t="n"/>
    </row>
    <row r="6844">
      <c r="B6844" s="2" t="n"/>
      <c r="C6844" s="40" t="n"/>
    </row>
    <row r="6845">
      <c r="B6845" s="2" t="n"/>
      <c r="C6845" s="40" t="n"/>
    </row>
    <row r="6846">
      <c r="B6846" s="2" t="n"/>
      <c r="C6846" s="40" t="n"/>
    </row>
    <row r="6847">
      <c r="B6847" s="2" t="n"/>
      <c r="C6847" s="40" t="n"/>
    </row>
    <row r="6848">
      <c r="B6848" s="2" t="n"/>
      <c r="C6848" s="40" t="n"/>
    </row>
    <row r="6849">
      <c r="B6849" s="2" t="n"/>
      <c r="C6849" s="40" t="n"/>
    </row>
    <row r="6850">
      <c r="B6850" s="2" t="n"/>
      <c r="C6850" s="40" t="n"/>
    </row>
    <row r="6851">
      <c r="B6851" s="2" t="n"/>
      <c r="C6851" s="40" t="n"/>
    </row>
    <row r="6852">
      <c r="B6852" s="2" t="n"/>
      <c r="C6852" s="40" t="n"/>
    </row>
    <row r="6853">
      <c r="B6853" s="2" t="n"/>
      <c r="C6853" s="40" t="n"/>
    </row>
    <row r="6854">
      <c r="B6854" s="2" t="n"/>
      <c r="C6854" s="40" t="n"/>
    </row>
    <row r="6855">
      <c r="B6855" s="2" t="n"/>
      <c r="C6855" s="40" t="n"/>
    </row>
    <row r="6856">
      <c r="B6856" s="2" t="n"/>
      <c r="C6856" s="40" t="n"/>
    </row>
    <row r="6857">
      <c r="B6857" s="2" t="n"/>
      <c r="C6857" s="40" t="n"/>
    </row>
    <row r="6858">
      <c r="B6858" s="2" t="n"/>
      <c r="C6858" s="40" t="n"/>
    </row>
    <row r="6859">
      <c r="B6859" s="2" t="n"/>
      <c r="C6859" s="40" t="n"/>
    </row>
    <row r="6860">
      <c r="B6860" s="2" t="n"/>
      <c r="C6860" s="40" t="n"/>
    </row>
    <row r="6861">
      <c r="B6861" s="2" t="n"/>
      <c r="C6861" s="40" t="n"/>
    </row>
    <row r="6862">
      <c r="B6862" s="2" t="n"/>
      <c r="C6862" s="40" t="n"/>
    </row>
    <row r="6863">
      <c r="B6863" s="2" t="n"/>
      <c r="C6863" s="40" t="n"/>
    </row>
    <row r="6864">
      <c r="B6864" s="2" t="n"/>
      <c r="C6864" s="40" t="n"/>
    </row>
    <row r="6865">
      <c r="B6865" s="2" t="n"/>
      <c r="C6865" s="40" t="n"/>
    </row>
    <row r="6866">
      <c r="B6866" s="2" t="n"/>
      <c r="C6866" s="40" t="n"/>
    </row>
    <row r="6867">
      <c r="B6867" s="2" t="n"/>
      <c r="C6867" s="40" t="n"/>
    </row>
    <row r="6868">
      <c r="B6868" s="2" t="n"/>
      <c r="C6868" s="40" t="n"/>
    </row>
    <row r="6869">
      <c r="B6869" s="2" t="n"/>
      <c r="C6869" s="40" t="n"/>
    </row>
    <row r="6870">
      <c r="B6870" s="2" t="n"/>
      <c r="C6870" s="40" t="n"/>
    </row>
    <row r="6871">
      <c r="B6871" s="2" t="n"/>
      <c r="C6871" s="40" t="n"/>
    </row>
    <row r="6872">
      <c r="B6872" s="2" t="n"/>
      <c r="C6872" s="40" t="n"/>
    </row>
    <row r="6873">
      <c r="B6873" s="2" t="n"/>
      <c r="C6873" s="40" t="n"/>
    </row>
    <row r="6874">
      <c r="B6874" s="2" t="n"/>
      <c r="C6874" s="40" t="n"/>
    </row>
    <row r="6875">
      <c r="B6875" s="2" t="n"/>
      <c r="C6875" s="40" t="n"/>
    </row>
    <row r="6876">
      <c r="B6876" s="2" t="n"/>
      <c r="C6876" s="40" t="n"/>
    </row>
    <row r="6877">
      <c r="B6877" s="2" t="n"/>
      <c r="C6877" s="40" t="n"/>
    </row>
    <row r="6878">
      <c r="B6878" s="2" t="n"/>
      <c r="C6878" s="40" t="n"/>
    </row>
    <row r="6879">
      <c r="B6879" s="2" t="n"/>
      <c r="C6879" s="40" t="n"/>
    </row>
    <row r="6880">
      <c r="B6880" s="2" t="n"/>
      <c r="C6880" s="40" t="n"/>
    </row>
    <row r="6881">
      <c r="B6881" s="2" t="n"/>
      <c r="C6881" s="40" t="n"/>
    </row>
    <row r="6882">
      <c r="B6882" s="2" t="n"/>
      <c r="C6882" s="40" t="n"/>
    </row>
    <row r="6883">
      <c r="B6883" s="2" t="n"/>
      <c r="C6883" s="40" t="n"/>
    </row>
    <row r="6884">
      <c r="B6884" s="2" t="n"/>
      <c r="C6884" s="40" t="n"/>
    </row>
    <row r="6885">
      <c r="B6885" s="2" t="n"/>
      <c r="C6885" s="40" t="n"/>
    </row>
    <row r="6886">
      <c r="B6886" s="2" t="n"/>
      <c r="C6886" s="40" t="n"/>
    </row>
    <row r="6887">
      <c r="B6887" s="2" t="n"/>
      <c r="C6887" s="40" t="n"/>
    </row>
    <row r="6888">
      <c r="B6888" s="2" t="n"/>
      <c r="C6888" s="40" t="n"/>
    </row>
    <row r="6889">
      <c r="B6889" s="2" t="n"/>
      <c r="C6889" s="40" t="n"/>
    </row>
    <row r="6890">
      <c r="B6890" s="2" t="n"/>
      <c r="C6890" s="40" t="n"/>
    </row>
    <row r="6891">
      <c r="B6891" s="2" t="n"/>
      <c r="C6891" s="40" t="n"/>
    </row>
    <row r="6892">
      <c r="B6892" s="2" t="n"/>
      <c r="C6892" s="40" t="n"/>
    </row>
    <row r="6893">
      <c r="B6893" s="2" t="n"/>
      <c r="C6893" s="40" t="n"/>
    </row>
    <row r="6894">
      <c r="B6894" s="2" t="n"/>
      <c r="C6894" s="40" t="n"/>
    </row>
    <row r="6895">
      <c r="B6895" s="2" t="n"/>
      <c r="C6895" s="40" t="n"/>
    </row>
    <row r="6896">
      <c r="B6896" s="2" t="n"/>
      <c r="C6896" s="40" t="n"/>
    </row>
    <row r="6897">
      <c r="B6897" s="2" t="n"/>
      <c r="C6897" s="40" t="n"/>
    </row>
    <row r="6898">
      <c r="B6898" s="2" t="n"/>
      <c r="C6898" s="40" t="n"/>
    </row>
    <row r="6899">
      <c r="B6899" s="2" t="n"/>
      <c r="C6899" s="40" t="n"/>
    </row>
    <row r="6900">
      <c r="B6900" s="2" t="n"/>
      <c r="C6900" s="40" t="n"/>
    </row>
    <row r="6901">
      <c r="B6901" s="2" t="n"/>
      <c r="C6901" s="40" t="n"/>
    </row>
    <row r="6902">
      <c r="B6902" s="2" t="n"/>
      <c r="C6902" s="40" t="n"/>
    </row>
    <row r="6903">
      <c r="B6903" s="2" t="n"/>
      <c r="C6903" s="40" t="n"/>
    </row>
    <row r="6904">
      <c r="B6904" s="2" t="n"/>
      <c r="C6904" s="40" t="n"/>
    </row>
    <row r="6905">
      <c r="B6905" s="2" t="n"/>
      <c r="C6905" s="40" t="n"/>
    </row>
    <row r="6906">
      <c r="B6906" s="2" t="n"/>
      <c r="C6906" s="40" t="n"/>
    </row>
    <row r="6907">
      <c r="B6907" s="2" t="n"/>
      <c r="C6907" s="40" t="n"/>
    </row>
    <row r="6908">
      <c r="B6908" s="2" t="n"/>
      <c r="C6908" s="40" t="n"/>
    </row>
    <row r="6909">
      <c r="B6909" s="2" t="n"/>
      <c r="C6909" s="40" t="n"/>
    </row>
    <row r="6910">
      <c r="B6910" s="2" t="n"/>
      <c r="C6910" s="40" t="n"/>
    </row>
    <row r="6911">
      <c r="B6911" s="2" t="n"/>
      <c r="C6911" s="40" t="n"/>
    </row>
    <row r="6912">
      <c r="B6912" s="2" t="n"/>
      <c r="C6912" s="40" t="n"/>
    </row>
    <row r="6913">
      <c r="B6913" s="2" t="n"/>
      <c r="C6913" s="40" t="n"/>
    </row>
    <row r="6914">
      <c r="B6914" s="2" t="n"/>
      <c r="C6914" s="40" t="n"/>
    </row>
    <row r="6915">
      <c r="B6915" s="2" t="n"/>
      <c r="C6915" s="40" t="n"/>
    </row>
    <row r="6916">
      <c r="B6916" s="2" t="n"/>
      <c r="C6916" s="40" t="n"/>
    </row>
    <row r="6917">
      <c r="B6917" s="2" t="n"/>
      <c r="C6917" s="40" t="n"/>
    </row>
    <row r="6918">
      <c r="B6918" s="2" t="n"/>
      <c r="C6918" s="40" t="n"/>
    </row>
    <row r="6919">
      <c r="B6919" s="2" t="n"/>
      <c r="C6919" s="40" t="n"/>
    </row>
    <row r="6920">
      <c r="B6920" s="2" t="n"/>
      <c r="C6920" s="40" t="n"/>
    </row>
    <row r="6921">
      <c r="B6921" s="2" t="n"/>
      <c r="C6921" s="40" t="n"/>
    </row>
    <row r="6922">
      <c r="B6922" s="2" t="n"/>
      <c r="C6922" s="40" t="n"/>
    </row>
    <row r="6923">
      <c r="B6923" s="2" t="n"/>
      <c r="C6923" s="40" t="n"/>
    </row>
    <row r="6924">
      <c r="B6924" s="2" t="n"/>
      <c r="C6924" s="40" t="n"/>
    </row>
    <row r="6925">
      <c r="B6925" s="2" t="n"/>
      <c r="C6925" s="40" t="n"/>
    </row>
    <row r="6926">
      <c r="B6926" s="2" t="n"/>
      <c r="C6926" s="40" t="n"/>
    </row>
    <row r="6927">
      <c r="B6927" s="2" t="n"/>
      <c r="C6927" s="40" t="n"/>
    </row>
    <row r="6928">
      <c r="B6928" s="2" t="n"/>
      <c r="C6928" s="40" t="n"/>
    </row>
    <row r="6929">
      <c r="B6929" s="2" t="n"/>
      <c r="C6929" s="40" t="n"/>
    </row>
    <row r="6930">
      <c r="B6930" s="2" t="n"/>
      <c r="C6930" s="40" t="n"/>
    </row>
    <row r="6931">
      <c r="B6931" s="2" t="n"/>
      <c r="C6931" s="40" t="n"/>
    </row>
    <row r="6932">
      <c r="B6932" s="2" t="n"/>
      <c r="C6932" s="40" t="n"/>
    </row>
    <row r="6933">
      <c r="B6933" s="2" t="n"/>
      <c r="C6933" s="40" t="n"/>
    </row>
    <row r="6934">
      <c r="B6934" s="2" t="n"/>
      <c r="C6934" s="40" t="n"/>
    </row>
    <row r="6935">
      <c r="B6935" s="2" t="n"/>
      <c r="C6935" s="40" t="n"/>
    </row>
    <row r="6936">
      <c r="B6936" s="2" t="n"/>
      <c r="C6936" s="40" t="n"/>
    </row>
    <row r="6937">
      <c r="B6937" s="2" t="n"/>
      <c r="C6937" s="40" t="n"/>
    </row>
    <row r="6938">
      <c r="B6938" s="2" t="n"/>
      <c r="C6938" s="40" t="n"/>
    </row>
    <row r="6939">
      <c r="B6939" s="2" t="n"/>
      <c r="C6939" s="40" t="n"/>
    </row>
    <row r="6940">
      <c r="B6940" s="2" t="n"/>
      <c r="C6940" s="40" t="n"/>
    </row>
    <row r="6941">
      <c r="B6941" s="2" t="n"/>
      <c r="C6941" s="40" t="n"/>
    </row>
    <row r="6942">
      <c r="B6942" s="2" t="n"/>
      <c r="C6942" s="40" t="n"/>
    </row>
    <row r="6943">
      <c r="B6943" s="2" t="n"/>
      <c r="C6943" s="40" t="n"/>
    </row>
    <row r="6944">
      <c r="B6944" s="2" t="n"/>
      <c r="C6944" s="40" t="n"/>
    </row>
    <row r="6945">
      <c r="B6945" s="2" t="n"/>
      <c r="C6945" s="40" t="n"/>
    </row>
    <row r="6946">
      <c r="B6946" s="2" t="n"/>
      <c r="C6946" s="40" t="n"/>
    </row>
    <row r="6947">
      <c r="B6947" s="2" t="n"/>
      <c r="C6947" s="40" t="n"/>
    </row>
    <row r="6948">
      <c r="B6948" s="2" t="n"/>
      <c r="C6948" s="40" t="n"/>
    </row>
    <row r="6949">
      <c r="B6949" s="2" t="n"/>
      <c r="C6949" s="40" t="n"/>
    </row>
    <row r="6950">
      <c r="B6950" s="2" t="n"/>
      <c r="C6950" s="40" t="n"/>
    </row>
    <row r="6951">
      <c r="B6951" s="2" t="n"/>
      <c r="C6951" s="40" t="n"/>
    </row>
    <row r="6952">
      <c r="B6952" s="2" t="n"/>
      <c r="C6952" s="40" t="n"/>
    </row>
    <row r="6953">
      <c r="B6953" s="2" t="n"/>
      <c r="C6953" s="40" t="n"/>
    </row>
    <row r="6954">
      <c r="B6954" s="2" t="n"/>
      <c r="C6954" s="40" t="n"/>
    </row>
    <row r="6955">
      <c r="B6955" s="2" t="n"/>
      <c r="C6955" s="40" t="n"/>
    </row>
    <row r="6956">
      <c r="B6956" s="2" t="n"/>
      <c r="C6956" s="40" t="n"/>
    </row>
    <row r="6957">
      <c r="B6957" s="2" t="n"/>
      <c r="C6957" s="40" t="n"/>
    </row>
    <row r="6958">
      <c r="B6958" s="2" t="n"/>
      <c r="C6958" s="40" t="n"/>
    </row>
    <row r="6959">
      <c r="B6959" s="2" t="n"/>
      <c r="C6959" s="40" t="n"/>
    </row>
    <row r="6960">
      <c r="B6960" s="2" t="n"/>
      <c r="C6960" s="40" t="n"/>
    </row>
    <row r="6961">
      <c r="B6961" s="2" t="n"/>
      <c r="C6961" s="40" t="n"/>
    </row>
    <row r="6962">
      <c r="B6962" s="2" t="n"/>
      <c r="C6962" s="40" t="n"/>
    </row>
    <row r="6963">
      <c r="B6963" s="2" t="n"/>
      <c r="C6963" s="40" t="n"/>
    </row>
    <row r="6964">
      <c r="B6964" s="2" t="n"/>
      <c r="C6964" s="40" t="n"/>
    </row>
    <row r="6965">
      <c r="B6965" s="2" t="n"/>
      <c r="C6965" s="40" t="n"/>
    </row>
    <row r="6966">
      <c r="B6966" s="2" t="n"/>
      <c r="C6966" s="40" t="n"/>
    </row>
    <row r="6967">
      <c r="B6967" s="2" t="n"/>
      <c r="C6967" s="40" t="n"/>
    </row>
    <row r="6968">
      <c r="B6968" s="2" t="n"/>
      <c r="C6968" s="40" t="n"/>
    </row>
    <row r="6969">
      <c r="B6969" s="2" t="n"/>
      <c r="C6969" s="40" t="n"/>
    </row>
    <row r="6970">
      <c r="B6970" s="2" t="n"/>
      <c r="C6970" s="40" t="n"/>
    </row>
    <row r="6971">
      <c r="B6971" s="2" t="n"/>
      <c r="C6971" s="40" t="n"/>
    </row>
    <row r="6972">
      <c r="B6972" s="2" t="n"/>
      <c r="C6972" s="40" t="n"/>
    </row>
    <row r="6973">
      <c r="B6973" s="2" t="n"/>
      <c r="C6973" s="40" t="n"/>
    </row>
    <row r="6974">
      <c r="B6974" s="2" t="n"/>
      <c r="C6974" s="40" t="n"/>
    </row>
    <row r="6975">
      <c r="B6975" s="2" t="n"/>
      <c r="C6975" s="40" t="n"/>
    </row>
    <row r="6976">
      <c r="B6976" s="2" t="n"/>
      <c r="C6976" s="40" t="n"/>
    </row>
    <row r="6977">
      <c r="B6977" s="2" t="n"/>
      <c r="C6977" s="40" t="n"/>
    </row>
    <row r="6978">
      <c r="B6978" s="2" t="n"/>
      <c r="C6978" s="40" t="n"/>
    </row>
    <row r="6979">
      <c r="B6979" s="2" t="n"/>
      <c r="C6979" s="40" t="n"/>
    </row>
    <row r="6980">
      <c r="B6980" s="2" t="n"/>
      <c r="C6980" s="40" t="n"/>
    </row>
    <row r="6981">
      <c r="B6981" s="2" t="n"/>
      <c r="C6981" s="40" t="n"/>
    </row>
    <row r="6982">
      <c r="B6982" s="2" t="n"/>
      <c r="C6982" s="40" t="n"/>
    </row>
    <row r="6983">
      <c r="B6983" s="2" t="n"/>
      <c r="C6983" s="40" t="n"/>
    </row>
    <row r="6984">
      <c r="B6984" s="2" t="n"/>
      <c r="C6984" s="40" t="n"/>
    </row>
    <row r="6985">
      <c r="B6985" s="2" t="n"/>
      <c r="C6985" s="40" t="n"/>
    </row>
    <row r="6986">
      <c r="B6986" s="2" t="n"/>
      <c r="C6986" s="40" t="n"/>
    </row>
    <row r="6987">
      <c r="B6987" s="2" t="n"/>
      <c r="C6987" s="40" t="n"/>
    </row>
    <row r="6988">
      <c r="B6988" s="2" t="n"/>
      <c r="C6988" s="40" t="n"/>
    </row>
    <row r="6989">
      <c r="B6989" s="2" t="n"/>
      <c r="C6989" s="40" t="n"/>
    </row>
    <row r="6990">
      <c r="B6990" s="2" t="n"/>
      <c r="C6990" s="40" t="n"/>
    </row>
    <row r="6991">
      <c r="B6991" s="2" t="n"/>
      <c r="C6991" s="40" t="n"/>
    </row>
    <row r="6992">
      <c r="B6992" s="2" t="n"/>
      <c r="C6992" s="40" t="n"/>
    </row>
    <row r="6993">
      <c r="B6993" s="2" t="n"/>
      <c r="C6993" s="40" t="n"/>
    </row>
    <row r="6994">
      <c r="B6994" s="2" t="n"/>
      <c r="C6994" s="40" t="n"/>
    </row>
    <row r="6995">
      <c r="B6995" s="2" t="n"/>
      <c r="C6995" s="40" t="n"/>
    </row>
    <row r="6996">
      <c r="B6996" s="2" t="n"/>
      <c r="C6996" s="40" t="n"/>
    </row>
    <row r="6997">
      <c r="B6997" s="2" t="n"/>
      <c r="C6997" s="40" t="n"/>
    </row>
    <row r="6998">
      <c r="B6998" s="2" t="n"/>
      <c r="C6998" s="40" t="n"/>
    </row>
    <row r="6999">
      <c r="B6999" s="2" t="n"/>
      <c r="C6999" s="40" t="n"/>
    </row>
    <row r="7000">
      <c r="B7000" s="2" t="n"/>
      <c r="C7000" s="40" t="n"/>
    </row>
    <row r="7001">
      <c r="B7001" s="2" t="n"/>
      <c r="C7001" s="40" t="n"/>
    </row>
    <row r="7002">
      <c r="B7002" s="2" t="n"/>
      <c r="C7002" s="40" t="n"/>
    </row>
    <row r="7003">
      <c r="B7003" s="2" t="n"/>
      <c r="C7003" s="40" t="n"/>
    </row>
    <row r="7004">
      <c r="B7004" s="2" t="n"/>
      <c r="C7004" s="40" t="n"/>
    </row>
    <row r="7005">
      <c r="B7005" s="2" t="n"/>
      <c r="C7005" s="40" t="n"/>
    </row>
    <row r="7006">
      <c r="B7006" s="2" t="n"/>
      <c r="C7006" s="40" t="n"/>
    </row>
    <row r="7007">
      <c r="B7007" s="2" t="n"/>
      <c r="C7007" s="40" t="n"/>
    </row>
    <row r="7008">
      <c r="B7008" s="2" t="n"/>
      <c r="C7008" s="40" t="n"/>
    </row>
    <row r="7009">
      <c r="B7009" s="2" t="n"/>
      <c r="C7009" s="40" t="n"/>
    </row>
    <row r="7010">
      <c r="B7010" s="2" t="n"/>
      <c r="C7010" s="40" t="n"/>
    </row>
    <row r="7011">
      <c r="B7011" s="2" t="n"/>
      <c r="C7011" s="40" t="n"/>
    </row>
    <row r="7012">
      <c r="B7012" s="2" t="n"/>
      <c r="C7012" s="40" t="n"/>
    </row>
    <row r="7013">
      <c r="B7013" s="2" t="n"/>
      <c r="C7013" s="40" t="n"/>
    </row>
    <row r="7014">
      <c r="B7014" s="2" t="n"/>
      <c r="C7014" s="40" t="n"/>
    </row>
    <row r="7015">
      <c r="B7015" s="2" t="n"/>
      <c r="C7015" s="40" t="n"/>
    </row>
    <row r="7016">
      <c r="B7016" s="2" t="n"/>
      <c r="C7016" s="40" t="n"/>
    </row>
    <row r="7017">
      <c r="B7017" s="2" t="n"/>
      <c r="C7017" s="40" t="n"/>
    </row>
    <row r="7018">
      <c r="B7018" s="2" t="n"/>
      <c r="C7018" s="40" t="n"/>
    </row>
    <row r="7019">
      <c r="B7019" s="2" t="n"/>
      <c r="C7019" s="40" t="n"/>
    </row>
    <row r="7020">
      <c r="B7020" s="2" t="n"/>
      <c r="C7020" s="40" t="n"/>
    </row>
    <row r="7021">
      <c r="B7021" s="2" t="n"/>
      <c r="C7021" s="40" t="n"/>
    </row>
    <row r="7022">
      <c r="B7022" s="2" t="n"/>
      <c r="C7022" s="40" t="n"/>
    </row>
    <row r="7023">
      <c r="B7023" s="2" t="n"/>
      <c r="C7023" s="40" t="n"/>
    </row>
    <row r="7024">
      <c r="B7024" s="2" t="n"/>
      <c r="C7024" s="40" t="n"/>
    </row>
    <row r="7025">
      <c r="B7025" s="2" t="n"/>
      <c r="C7025" s="40" t="n"/>
    </row>
    <row r="7026">
      <c r="B7026" s="2" t="n"/>
      <c r="C7026" s="40" t="n"/>
    </row>
    <row r="7027">
      <c r="B7027" s="2" t="n"/>
      <c r="C7027" s="40" t="n"/>
    </row>
    <row r="7028">
      <c r="B7028" s="2" t="n"/>
      <c r="C7028" s="40" t="n"/>
    </row>
    <row r="7029">
      <c r="B7029" s="2" t="n"/>
      <c r="C7029" s="40" t="n"/>
    </row>
    <row r="7030">
      <c r="B7030" s="2" t="n"/>
      <c r="C7030" s="40" t="n"/>
    </row>
    <row r="7031">
      <c r="B7031" s="2" t="n"/>
      <c r="C7031" s="40" t="n"/>
    </row>
    <row r="7032">
      <c r="B7032" s="2" t="n"/>
      <c r="C7032" s="40" t="n"/>
    </row>
    <row r="7033">
      <c r="B7033" s="2" t="n"/>
      <c r="C7033" s="40" t="n"/>
    </row>
    <row r="7034">
      <c r="B7034" s="2" t="n"/>
      <c r="C7034" s="40" t="n"/>
    </row>
    <row r="7035">
      <c r="B7035" s="2" t="n"/>
      <c r="C7035" s="40" t="n"/>
    </row>
    <row r="7036">
      <c r="B7036" s="2" t="n"/>
      <c r="C7036" s="40" t="n"/>
    </row>
    <row r="7037">
      <c r="B7037" s="2" t="n"/>
      <c r="C7037" s="40" t="n"/>
    </row>
    <row r="7038">
      <c r="B7038" s="2" t="n"/>
      <c r="C7038" s="40" t="n"/>
    </row>
    <row r="7039">
      <c r="B7039" s="2" t="n"/>
      <c r="C7039" s="40" t="n"/>
    </row>
    <row r="7040">
      <c r="B7040" s="2" t="n"/>
      <c r="C7040" s="40" t="n"/>
    </row>
    <row r="7041">
      <c r="B7041" s="2" t="n"/>
      <c r="C7041" s="40" t="n"/>
    </row>
    <row r="7042">
      <c r="B7042" s="2" t="n"/>
      <c r="C7042" s="40" t="n"/>
    </row>
    <row r="7043">
      <c r="B7043" s="2" t="n"/>
      <c r="C7043" s="40" t="n"/>
    </row>
    <row r="7044">
      <c r="B7044" s="2" t="n"/>
      <c r="C7044" s="40" t="n"/>
    </row>
    <row r="7045">
      <c r="B7045" s="2" t="n"/>
      <c r="C7045" s="40" t="n"/>
    </row>
    <row r="7046">
      <c r="B7046" s="2" t="n"/>
      <c r="C7046" s="40" t="n"/>
    </row>
    <row r="7047">
      <c r="B7047" s="2" t="n"/>
      <c r="C7047" s="40" t="n"/>
    </row>
    <row r="7048">
      <c r="B7048" s="2" t="n"/>
      <c r="C7048" s="40" t="n"/>
    </row>
    <row r="7049">
      <c r="B7049" s="2" t="n"/>
      <c r="C7049" s="40" t="n"/>
    </row>
    <row r="7050">
      <c r="B7050" s="2" t="n"/>
      <c r="C7050" s="40" t="n"/>
    </row>
    <row r="7051">
      <c r="B7051" s="2" t="n"/>
      <c r="C7051" s="40" t="n"/>
    </row>
    <row r="7052">
      <c r="B7052" s="2" t="n"/>
      <c r="C7052" s="40" t="n"/>
    </row>
    <row r="7053">
      <c r="B7053" s="2" t="n"/>
      <c r="C7053" s="40" t="n"/>
    </row>
    <row r="7054">
      <c r="B7054" s="2" t="n"/>
      <c r="C7054" s="40" t="n"/>
    </row>
    <row r="7055">
      <c r="B7055" s="2" t="n"/>
      <c r="C7055" s="40" t="n"/>
    </row>
    <row r="7056">
      <c r="B7056" s="2" t="n"/>
      <c r="C7056" s="40" t="n"/>
    </row>
    <row r="7057">
      <c r="B7057" s="2" t="n"/>
      <c r="C7057" s="40" t="n"/>
    </row>
    <row r="7058">
      <c r="B7058" s="2" t="n"/>
      <c r="C7058" s="40" t="n"/>
    </row>
    <row r="7059">
      <c r="B7059" s="2" t="n"/>
      <c r="C7059" s="40" t="n"/>
    </row>
    <row r="7060">
      <c r="B7060" s="2" t="n"/>
      <c r="C7060" s="40" t="n"/>
    </row>
    <row r="7061">
      <c r="B7061" s="2" t="n"/>
      <c r="C7061" s="40" t="n"/>
    </row>
    <row r="7062">
      <c r="B7062" s="2" t="n"/>
      <c r="C7062" s="40" t="n"/>
    </row>
    <row r="7063">
      <c r="B7063" s="2" t="n"/>
      <c r="C7063" s="40" t="n"/>
    </row>
    <row r="7064">
      <c r="B7064" s="2" t="n"/>
      <c r="C7064" s="40" t="n"/>
    </row>
    <row r="7065">
      <c r="B7065" s="2" t="n"/>
      <c r="C7065" s="40" t="n"/>
    </row>
    <row r="7066">
      <c r="B7066" s="2" t="n"/>
      <c r="C7066" s="40" t="n"/>
    </row>
    <row r="7067">
      <c r="B7067" s="2" t="n"/>
      <c r="C7067" s="40" t="n"/>
    </row>
    <row r="7068">
      <c r="B7068" s="2" t="n"/>
      <c r="C7068" s="40" t="n"/>
    </row>
    <row r="7069">
      <c r="B7069" s="2" t="n"/>
      <c r="C7069" s="40" t="n"/>
    </row>
    <row r="7070">
      <c r="B7070" s="2" t="n"/>
      <c r="C7070" s="40" t="n"/>
    </row>
    <row r="7071">
      <c r="B7071" s="2" t="n"/>
      <c r="C7071" s="40" t="n"/>
    </row>
    <row r="7072">
      <c r="B7072" s="2" t="n"/>
      <c r="C7072" s="40" t="n"/>
    </row>
    <row r="7073">
      <c r="B7073" s="2" t="n"/>
      <c r="C7073" s="40" t="n"/>
    </row>
    <row r="7074">
      <c r="B7074" s="2" t="n"/>
      <c r="C7074" s="40" t="n"/>
    </row>
    <row r="7075">
      <c r="B7075" s="2" t="n"/>
      <c r="C7075" s="40" t="n"/>
    </row>
    <row r="7076">
      <c r="B7076" s="2" t="n"/>
      <c r="C7076" s="40" t="n"/>
    </row>
    <row r="7077">
      <c r="B7077" s="2" t="n"/>
      <c r="C7077" s="40" t="n"/>
    </row>
    <row r="7078">
      <c r="B7078" s="2" t="n"/>
      <c r="C7078" s="40" t="n"/>
    </row>
    <row r="7079">
      <c r="B7079" s="2" t="n"/>
      <c r="C7079" s="40" t="n"/>
    </row>
    <row r="7080">
      <c r="B7080" s="2" t="n"/>
      <c r="C7080" s="40" t="n"/>
    </row>
    <row r="7081">
      <c r="B7081" s="2" t="n"/>
      <c r="C7081" s="40" t="n"/>
    </row>
    <row r="7082">
      <c r="B7082" s="2" t="n"/>
      <c r="C7082" s="40" t="n"/>
    </row>
    <row r="7083">
      <c r="B7083" s="2" t="n"/>
      <c r="C7083" s="40" t="n"/>
    </row>
    <row r="7084">
      <c r="B7084" s="2" t="n"/>
      <c r="C7084" s="40" t="n"/>
    </row>
    <row r="7085">
      <c r="B7085" s="2" t="n"/>
      <c r="C7085" s="40" t="n"/>
    </row>
    <row r="7086">
      <c r="B7086" s="2" t="n"/>
      <c r="C7086" s="40" t="n"/>
    </row>
    <row r="7087">
      <c r="B7087" s="2" t="n"/>
      <c r="C7087" s="40" t="n"/>
    </row>
    <row r="7088">
      <c r="B7088" s="2" t="n"/>
      <c r="C7088" s="40" t="n"/>
    </row>
    <row r="7089">
      <c r="B7089" s="2" t="n"/>
      <c r="C7089" s="40" t="n"/>
    </row>
    <row r="7090">
      <c r="B7090" s="2" t="n"/>
      <c r="C7090" s="40" t="n"/>
    </row>
    <row r="7091">
      <c r="B7091" s="2" t="n"/>
      <c r="C7091" s="40" t="n"/>
    </row>
    <row r="7092">
      <c r="B7092" s="2" t="n"/>
      <c r="C7092" s="40" t="n"/>
    </row>
    <row r="7093">
      <c r="B7093" s="2" t="n"/>
      <c r="C7093" s="40" t="n"/>
    </row>
    <row r="7094">
      <c r="B7094" s="2" t="n"/>
      <c r="C7094" s="40" t="n"/>
    </row>
    <row r="7095">
      <c r="B7095" s="2" t="n"/>
      <c r="C7095" s="40" t="n"/>
    </row>
    <row r="7096">
      <c r="B7096" s="2" t="n"/>
      <c r="C7096" s="40" t="n"/>
    </row>
    <row r="7097">
      <c r="B7097" s="2" t="n"/>
      <c r="C7097" s="40" t="n"/>
    </row>
    <row r="7098">
      <c r="B7098" s="2" t="n"/>
      <c r="C7098" s="40" t="n"/>
    </row>
    <row r="7099">
      <c r="B7099" s="2" t="n"/>
      <c r="C7099" s="40" t="n"/>
    </row>
    <row r="7100">
      <c r="B7100" s="2" t="n"/>
      <c r="C7100" s="40" t="n"/>
    </row>
    <row r="7101">
      <c r="B7101" s="2" t="n"/>
      <c r="C7101" s="40" t="n"/>
    </row>
    <row r="7102">
      <c r="B7102" s="2" t="n"/>
      <c r="C7102" s="40" t="n"/>
    </row>
    <row r="7103">
      <c r="B7103" s="2" t="n"/>
      <c r="C7103" s="40" t="n"/>
    </row>
    <row r="7104">
      <c r="B7104" s="2" t="n"/>
      <c r="C7104" s="40" t="n"/>
    </row>
    <row r="7105">
      <c r="B7105" s="2" t="n"/>
      <c r="C7105" s="40" t="n"/>
    </row>
    <row r="7106">
      <c r="B7106" s="2" t="n"/>
      <c r="C7106" s="40" t="n"/>
    </row>
    <row r="7107">
      <c r="B7107" s="2" t="n"/>
      <c r="C7107" s="40" t="n"/>
    </row>
    <row r="7108">
      <c r="B7108" s="2" t="n"/>
      <c r="C7108" s="40" t="n"/>
    </row>
    <row r="7109">
      <c r="B7109" s="2" t="n"/>
      <c r="C7109" s="40" t="n"/>
    </row>
    <row r="7110">
      <c r="B7110" s="2" t="n"/>
      <c r="C7110" s="40" t="n"/>
    </row>
    <row r="7111">
      <c r="B7111" s="2" t="n"/>
      <c r="C7111" s="40" t="n"/>
    </row>
    <row r="7112">
      <c r="B7112" s="2" t="n"/>
      <c r="C7112" s="40" t="n"/>
    </row>
    <row r="7113">
      <c r="B7113" s="2" t="n"/>
      <c r="C7113" s="40" t="n"/>
    </row>
    <row r="7114">
      <c r="B7114" s="2" t="n"/>
      <c r="C7114" s="40" t="n"/>
    </row>
    <row r="7115">
      <c r="B7115" s="2" t="n"/>
      <c r="C7115" s="40" t="n"/>
    </row>
    <row r="7116">
      <c r="B7116" s="2" t="n"/>
      <c r="C7116" s="40" t="n"/>
    </row>
    <row r="7117">
      <c r="B7117" s="2" t="n"/>
      <c r="C7117" s="40" t="n"/>
    </row>
    <row r="7118">
      <c r="B7118" s="2" t="n"/>
      <c r="C7118" s="40" t="n"/>
    </row>
    <row r="7119">
      <c r="B7119" s="2" t="n"/>
      <c r="C7119" s="40" t="n"/>
    </row>
    <row r="7120">
      <c r="B7120" s="2" t="n"/>
      <c r="C7120" s="40" t="n"/>
    </row>
    <row r="7121">
      <c r="B7121" s="2" t="n"/>
      <c r="C7121" s="40" t="n"/>
    </row>
    <row r="7122">
      <c r="B7122" s="2" t="n"/>
      <c r="C7122" s="40" t="n"/>
    </row>
    <row r="7123">
      <c r="B7123" s="2" t="n"/>
      <c r="C7123" s="40" t="n"/>
    </row>
    <row r="7124">
      <c r="B7124" s="2" t="n"/>
      <c r="C7124" s="40" t="n"/>
    </row>
    <row r="7125">
      <c r="B7125" s="2" t="n"/>
      <c r="C7125" s="40" t="n"/>
    </row>
    <row r="7126">
      <c r="B7126" s="2" t="n"/>
      <c r="C7126" s="40" t="n"/>
    </row>
    <row r="7127">
      <c r="B7127" s="2" t="n"/>
      <c r="C7127" s="40" t="n"/>
    </row>
    <row r="7128">
      <c r="B7128" s="2" t="n"/>
      <c r="C7128" s="40" t="n"/>
    </row>
    <row r="7129">
      <c r="B7129" s="2" t="n"/>
      <c r="C7129" s="40" t="n"/>
    </row>
    <row r="7130">
      <c r="B7130" s="2" t="n"/>
      <c r="C7130" s="40" t="n"/>
    </row>
    <row r="7131">
      <c r="B7131" s="2" t="n"/>
      <c r="C7131" s="40" t="n"/>
    </row>
    <row r="7132">
      <c r="B7132" s="2" t="n"/>
      <c r="C7132" s="40" t="n"/>
    </row>
    <row r="7133">
      <c r="B7133" s="2" t="n"/>
      <c r="C7133" s="40" t="n"/>
    </row>
    <row r="7134">
      <c r="B7134" s="2" t="n"/>
      <c r="C7134" s="40" t="n"/>
    </row>
    <row r="7135">
      <c r="B7135" s="2" t="n"/>
      <c r="C7135" s="40" t="n"/>
    </row>
    <row r="7136">
      <c r="B7136" s="2" t="n"/>
      <c r="C7136" s="40" t="n"/>
    </row>
    <row r="7137">
      <c r="B7137" s="2" t="n"/>
      <c r="C7137" s="40" t="n"/>
    </row>
    <row r="7138">
      <c r="B7138" s="2" t="n"/>
      <c r="C7138" s="40" t="n"/>
    </row>
    <row r="7139">
      <c r="B7139" s="2" t="n"/>
      <c r="C7139" s="40" t="n"/>
    </row>
    <row r="7140">
      <c r="B7140" s="2" t="n"/>
      <c r="C7140" s="40" t="n"/>
    </row>
    <row r="7141">
      <c r="B7141" s="2" t="n"/>
      <c r="C7141" s="40" t="n"/>
    </row>
    <row r="7142">
      <c r="B7142" s="2" t="n"/>
      <c r="C7142" s="40" t="n"/>
    </row>
    <row r="7143">
      <c r="B7143" s="2" t="n"/>
      <c r="C7143" s="40" t="n"/>
    </row>
    <row r="7144">
      <c r="B7144" s="2" t="n"/>
      <c r="C7144" s="40" t="n"/>
    </row>
    <row r="7145">
      <c r="B7145" s="2" t="n"/>
      <c r="C7145" s="40" t="n"/>
    </row>
    <row r="7146">
      <c r="B7146" s="2" t="n"/>
      <c r="C7146" s="40" t="n"/>
    </row>
    <row r="7147">
      <c r="B7147" s="2" t="n"/>
      <c r="C7147" s="40" t="n"/>
    </row>
    <row r="7148">
      <c r="B7148" s="2" t="n"/>
      <c r="C7148" s="40" t="n"/>
    </row>
    <row r="7149">
      <c r="B7149" s="2" t="n"/>
      <c r="C7149" s="40" t="n"/>
    </row>
    <row r="7150">
      <c r="B7150" s="2" t="n"/>
      <c r="C7150" s="40" t="n"/>
    </row>
    <row r="7151">
      <c r="B7151" s="2" t="n"/>
      <c r="C7151" s="40" t="n"/>
    </row>
    <row r="7152">
      <c r="B7152" s="2" t="n"/>
      <c r="C7152" s="40" t="n"/>
    </row>
    <row r="7153">
      <c r="B7153" s="2" t="n"/>
      <c r="C7153" s="40" t="n"/>
    </row>
    <row r="7154">
      <c r="B7154" s="2" t="n"/>
      <c r="C7154" s="40" t="n"/>
    </row>
    <row r="7155">
      <c r="B7155" s="2" t="n"/>
      <c r="C7155" s="40" t="n"/>
    </row>
    <row r="7156">
      <c r="B7156" s="2" t="n"/>
      <c r="C7156" s="40" t="n"/>
    </row>
    <row r="7157">
      <c r="B7157" s="2" t="n"/>
      <c r="C7157" s="40" t="n"/>
    </row>
    <row r="7158">
      <c r="B7158" s="2" t="n"/>
      <c r="C7158" s="40" t="n"/>
    </row>
    <row r="7159">
      <c r="B7159" s="2" t="n"/>
      <c r="C7159" s="40" t="n"/>
    </row>
    <row r="7160">
      <c r="B7160" s="2" t="n"/>
      <c r="C7160" s="40" t="n"/>
    </row>
    <row r="7161">
      <c r="B7161" s="2" t="n"/>
      <c r="C7161" s="40" t="n"/>
    </row>
    <row r="7162">
      <c r="B7162" s="2" t="n"/>
      <c r="C7162" s="40" t="n"/>
    </row>
    <row r="7163">
      <c r="B7163" s="2" t="n"/>
      <c r="C7163" s="40" t="n"/>
    </row>
    <row r="7164">
      <c r="B7164" s="2" t="n"/>
      <c r="C7164" s="40" t="n"/>
    </row>
    <row r="7165">
      <c r="B7165" s="2" t="n"/>
      <c r="C7165" s="40" t="n"/>
    </row>
    <row r="7166">
      <c r="B7166" s="2" t="n"/>
      <c r="C7166" s="40" t="n"/>
    </row>
    <row r="7167">
      <c r="B7167" s="2" t="n"/>
      <c r="C7167" s="40" t="n"/>
    </row>
    <row r="7168">
      <c r="B7168" s="2" t="n"/>
      <c r="C7168" s="40" t="n"/>
    </row>
    <row r="7169">
      <c r="B7169" s="2" t="n"/>
      <c r="C7169" s="40" t="n"/>
    </row>
    <row r="7170">
      <c r="B7170" s="2" t="n"/>
      <c r="C7170" s="40" t="n"/>
    </row>
    <row r="7171">
      <c r="B7171" s="2" t="n"/>
      <c r="C7171" s="40" t="n"/>
    </row>
    <row r="7172">
      <c r="B7172" s="2" t="n"/>
      <c r="C7172" s="40" t="n"/>
    </row>
    <row r="7173">
      <c r="B7173" s="2" t="n"/>
      <c r="C7173" s="40" t="n"/>
    </row>
    <row r="7174">
      <c r="B7174" s="2" t="n"/>
      <c r="C7174" s="40" t="n"/>
    </row>
    <row r="7175">
      <c r="B7175" s="2" t="n"/>
      <c r="C7175" s="40" t="n"/>
    </row>
    <row r="7176">
      <c r="B7176" s="2" t="n"/>
      <c r="C7176" s="40" t="n"/>
    </row>
    <row r="7177">
      <c r="B7177" s="2" t="n"/>
      <c r="C7177" s="40" t="n"/>
    </row>
    <row r="7178">
      <c r="B7178" s="2" t="n"/>
      <c r="C7178" s="40" t="n"/>
    </row>
    <row r="7179">
      <c r="B7179" s="2" t="n"/>
      <c r="C7179" s="40" t="n"/>
    </row>
    <row r="7180">
      <c r="B7180" s="2" t="n"/>
      <c r="C7180" s="40" t="n"/>
    </row>
    <row r="7181">
      <c r="B7181" s="2" t="n"/>
      <c r="C7181" s="40" t="n"/>
    </row>
    <row r="7182">
      <c r="B7182" s="2" t="n"/>
      <c r="C7182" s="40" t="n"/>
    </row>
    <row r="7183">
      <c r="B7183" s="2" t="n"/>
      <c r="C7183" s="40" t="n"/>
    </row>
    <row r="7184">
      <c r="B7184" s="2" t="n"/>
      <c r="C7184" s="40" t="n"/>
    </row>
    <row r="7185">
      <c r="B7185" s="2" t="n"/>
      <c r="C7185" s="40" t="n"/>
    </row>
    <row r="7186">
      <c r="B7186" s="2" t="n"/>
      <c r="C7186" s="40" t="n"/>
    </row>
    <row r="7187">
      <c r="B7187" s="2" t="n"/>
      <c r="C7187" s="40" t="n"/>
    </row>
    <row r="7188">
      <c r="B7188" s="2" t="n"/>
      <c r="C7188" s="40" t="n"/>
    </row>
    <row r="7189">
      <c r="B7189" s="2" t="n"/>
      <c r="C7189" s="40" t="n"/>
    </row>
    <row r="7190">
      <c r="B7190" s="2" t="n"/>
      <c r="C7190" s="40" t="n"/>
    </row>
    <row r="7191">
      <c r="B7191" s="2" t="n"/>
      <c r="C7191" s="40" t="n"/>
    </row>
    <row r="7192">
      <c r="B7192" s="2" t="n"/>
      <c r="C7192" s="40" t="n"/>
    </row>
    <row r="7193">
      <c r="B7193" s="2" t="n"/>
      <c r="C7193" s="40" t="n"/>
    </row>
    <row r="7194">
      <c r="B7194" s="2" t="n"/>
      <c r="C7194" s="40" t="n"/>
    </row>
    <row r="7195">
      <c r="B7195" s="2" t="n"/>
      <c r="C7195" s="40" t="n"/>
    </row>
    <row r="7196">
      <c r="B7196" s="2" t="n"/>
      <c r="C7196" s="40" t="n"/>
    </row>
    <row r="7197">
      <c r="B7197" s="2" t="n"/>
      <c r="C7197" s="40" t="n"/>
    </row>
    <row r="7198">
      <c r="B7198" s="2" t="n"/>
      <c r="C7198" s="40" t="n"/>
    </row>
    <row r="7199">
      <c r="B7199" s="2" t="n"/>
      <c r="C7199" s="40" t="n"/>
    </row>
    <row r="7200">
      <c r="B7200" s="2" t="n"/>
      <c r="C7200" s="40" t="n"/>
    </row>
    <row r="7201">
      <c r="B7201" s="2" t="n"/>
      <c r="C7201" s="40" t="n"/>
    </row>
    <row r="7202">
      <c r="B7202" s="2" t="n"/>
      <c r="C7202" s="40" t="n"/>
    </row>
    <row r="7203">
      <c r="B7203" s="2" t="n"/>
      <c r="C7203" s="40" t="n"/>
    </row>
    <row r="7204">
      <c r="B7204" s="2" t="n"/>
      <c r="C7204" s="40" t="n"/>
    </row>
    <row r="7205">
      <c r="B7205" s="2" t="n"/>
      <c r="C7205" s="40" t="n"/>
    </row>
    <row r="7206">
      <c r="B7206" s="2" t="n"/>
      <c r="C7206" s="40" t="n"/>
    </row>
    <row r="7207">
      <c r="B7207" s="2" t="n"/>
      <c r="C7207" s="40" t="n"/>
    </row>
    <row r="7208">
      <c r="B7208" s="2" t="n"/>
      <c r="C7208" s="40" t="n"/>
    </row>
    <row r="7209">
      <c r="B7209" s="2" t="n"/>
      <c r="C7209" s="40" t="n"/>
    </row>
    <row r="7210">
      <c r="B7210" s="2" t="n"/>
      <c r="C7210" s="40" t="n"/>
    </row>
    <row r="7211">
      <c r="B7211" s="2" t="n"/>
      <c r="C7211" s="40" t="n"/>
    </row>
    <row r="7212">
      <c r="B7212" s="2" t="n"/>
      <c r="C7212" s="40" t="n"/>
    </row>
    <row r="7213">
      <c r="B7213" s="2" t="n"/>
      <c r="C7213" s="40" t="n"/>
    </row>
    <row r="7214">
      <c r="B7214" s="2" t="n"/>
      <c r="C7214" s="40" t="n"/>
    </row>
    <row r="7215">
      <c r="B7215" s="2" t="n"/>
      <c r="C7215" s="40" t="n"/>
    </row>
    <row r="7216">
      <c r="B7216" s="2" t="n"/>
      <c r="C7216" s="40" t="n"/>
    </row>
    <row r="7217">
      <c r="B7217" s="2" t="n"/>
      <c r="C7217" s="40" t="n"/>
    </row>
    <row r="7218">
      <c r="B7218" s="2" t="n"/>
      <c r="C7218" s="40" t="n"/>
    </row>
    <row r="7219">
      <c r="B7219" s="2" t="n"/>
      <c r="C7219" s="40" t="n"/>
    </row>
    <row r="7220">
      <c r="B7220" s="2" t="n"/>
      <c r="C7220" s="40" t="n"/>
    </row>
    <row r="7221">
      <c r="B7221" s="2" t="n"/>
      <c r="C7221" s="40" t="n"/>
    </row>
    <row r="7222">
      <c r="B7222" s="2" t="n"/>
      <c r="C7222" s="40" t="n"/>
    </row>
    <row r="7223">
      <c r="B7223" s="2" t="n"/>
      <c r="C7223" s="40" t="n"/>
    </row>
    <row r="7224">
      <c r="B7224" s="2" t="n"/>
      <c r="C7224" s="40" t="n"/>
    </row>
    <row r="7225">
      <c r="B7225" s="2" t="n"/>
      <c r="C7225" s="40" t="n"/>
    </row>
    <row r="7226">
      <c r="B7226" s="2" t="n"/>
      <c r="C7226" s="40" t="n"/>
    </row>
    <row r="7227">
      <c r="B7227" s="2" t="n"/>
      <c r="C7227" s="40" t="n"/>
    </row>
    <row r="7228">
      <c r="B7228" s="2" t="n"/>
      <c r="C7228" s="40" t="n"/>
    </row>
    <row r="7229">
      <c r="B7229" s="2" t="n"/>
      <c r="C7229" s="40" t="n"/>
    </row>
    <row r="7230">
      <c r="B7230" s="2" t="n"/>
      <c r="C7230" s="40" t="n"/>
    </row>
    <row r="7231">
      <c r="B7231" s="2" t="n"/>
      <c r="C7231" s="40" t="n"/>
    </row>
    <row r="7232">
      <c r="B7232" s="2" t="n"/>
      <c r="C7232" s="40" t="n"/>
    </row>
    <row r="7233">
      <c r="B7233" s="2" t="n"/>
      <c r="C7233" s="40" t="n"/>
    </row>
    <row r="7234">
      <c r="B7234" s="2" t="n"/>
      <c r="C7234" s="40" t="n"/>
    </row>
    <row r="7235">
      <c r="B7235" s="2" t="n"/>
      <c r="C7235" s="40" t="n"/>
    </row>
    <row r="7236">
      <c r="B7236" s="2" t="n"/>
      <c r="C7236" s="40" t="n"/>
    </row>
    <row r="7237">
      <c r="B7237" s="2" t="n"/>
      <c r="C7237" s="40" t="n"/>
    </row>
    <row r="7238">
      <c r="B7238" s="2" t="n"/>
      <c r="C7238" s="40" t="n"/>
    </row>
    <row r="7239">
      <c r="B7239" s="2" t="n"/>
      <c r="C7239" s="40" t="n"/>
    </row>
    <row r="7240">
      <c r="B7240" s="2" t="n"/>
      <c r="C7240" s="40" t="n"/>
    </row>
    <row r="7241">
      <c r="B7241" s="2" t="n"/>
      <c r="C7241" s="40" t="n"/>
    </row>
    <row r="7242">
      <c r="B7242" s="2" t="n"/>
      <c r="C7242" s="40" t="n"/>
    </row>
    <row r="7243">
      <c r="B7243" s="2" t="n"/>
      <c r="C7243" s="40" t="n"/>
    </row>
    <row r="7244">
      <c r="B7244" s="2" t="n"/>
      <c r="C7244" s="40" t="n"/>
    </row>
    <row r="7245">
      <c r="B7245" s="2" t="n"/>
      <c r="C7245" s="40" t="n"/>
    </row>
    <row r="7246">
      <c r="B7246" s="2" t="n"/>
      <c r="C7246" s="40" t="n"/>
    </row>
    <row r="7247">
      <c r="B7247" s="2" t="n"/>
      <c r="C7247" s="40" t="n"/>
    </row>
    <row r="7248">
      <c r="B7248" s="2" t="n"/>
      <c r="C7248" s="40" t="n"/>
    </row>
    <row r="7249">
      <c r="B7249" s="2" t="n"/>
      <c r="C7249" s="40" t="n"/>
    </row>
    <row r="7250">
      <c r="B7250" s="2" t="n"/>
      <c r="C7250" s="40" t="n"/>
    </row>
    <row r="7251">
      <c r="B7251" s="2" t="n"/>
      <c r="C7251" s="40" t="n"/>
    </row>
    <row r="7252">
      <c r="B7252" s="2" t="n"/>
      <c r="C7252" s="40" t="n"/>
    </row>
    <row r="7253">
      <c r="B7253" s="2" t="n"/>
      <c r="C7253" s="40" t="n"/>
    </row>
    <row r="7254">
      <c r="B7254" s="2" t="n"/>
      <c r="C7254" s="40" t="n"/>
    </row>
    <row r="7255">
      <c r="B7255" s="2" t="n"/>
      <c r="C7255" s="40" t="n"/>
    </row>
    <row r="7256">
      <c r="B7256" s="2" t="n"/>
      <c r="C7256" s="40" t="n"/>
    </row>
    <row r="7257">
      <c r="B7257" s="2" t="n"/>
      <c r="C7257" s="40" t="n"/>
    </row>
    <row r="7258">
      <c r="B7258" s="2" t="n"/>
      <c r="C7258" s="40" t="n"/>
    </row>
    <row r="7259">
      <c r="B7259" s="2" t="n"/>
      <c r="C7259" s="40" t="n"/>
    </row>
    <row r="7260">
      <c r="B7260" s="2" t="n"/>
      <c r="C7260" s="40" t="n"/>
    </row>
    <row r="7261">
      <c r="B7261" s="2" t="n"/>
      <c r="C7261" s="40" t="n"/>
    </row>
    <row r="7262">
      <c r="B7262" s="2" t="n"/>
      <c r="C7262" s="40" t="n"/>
    </row>
    <row r="7263">
      <c r="B7263" s="2" t="n"/>
      <c r="C7263" s="40" t="n"/>
    </row>
    <row r="7264">
      <c r="B7264" s="2" t="n"/>
      <c r="C7264" s="40" t="n"/>
    </row>
    <row r="7265">
      <c r="B7265" s="2" t="n"/>
      <c r="C7265" s="40" t="n"/>
    </row>
    <row r="7266">
      <c r="B7266" s="2" t="n"/>
      <c r="C7266" s="40" t="n"/>
    </row>
    <row r="7267">
      <c r="B7267" s="2" t="n"/>
      <c r="C7267" s="40" t="n"/>
    </row>
    <row r="7268">
      <c r="B7268" s="2" t="n"/>
      <c r="C7268" s="40" t="n"/>
    </row>
    <row r="7269">
      <c r="B7269" s="2" t="n"/>
      <c r="C7269" s="40" t="n"/>
    </row>
    <row r="7270">
      <c r="B7270" s="2" t="n"/>
      <c r="C7270" s="40" t="n"/>
    </row>
    <row r="7271">
      <c r="B7271" s="2" t="n"/>
      <c r="C7271" s="40" t="n"/>
    </row>
    <row r="7272">
      <c r="B7272" s="2" t="n"/>
      <c r="C7272" s="40" t="n"/>
    </row>
    <row r="7273">
      <c r="B7273" s="2" t="n"/>
      <c r="C7273" s="40" t="n"/>
    </row>
    <row r="7274">
      <c r="B7274" s="2" t="n"/>
      <c r="C7274" s="40" t="n"/>
    </row>
    <row r="7275">
      <c r="B7275" s="2" t="n"/>
      <c r="C7275" s="40" t="n"/>
    </row>
    <row r="7276">
      <c r="B7276" s="2" t="n"/>
      <c r="C7276" s="40" t="n"/>
    </row>
    <row r="7277">
      <c r="B7277" s="2" t="n"/>
      <c r="C7277" s="40" t="n"/>
    </row>
    <row r="7278">
      <c r="B7278" s="2" t="n"/>
      <c r="C7278" s="40" t="n"/>
    </row>
    <row r="7279">
      <c r="B7279" s="2" t="n"/>
      <c r="C7279" s="40" t="n"/>
    </row>
    <row r="7280">
      <c r="B7280" s="2" t="n"/>
      <c r="C7280" s="40" t="n"/>
    </row>
    <row r="7281">
      <c r="B7281" s="2" t="n"/>
      <c r="C7281" s="40" t="n"/>
    </row>
    <row r="7282">
      <c r="B7282" s="2" t="n"/>
      <c r="C7282" s="40" t="n"/>
    </row>
    <row r="7283">
      <c r="B7283" s="2" t="n"/>
      <c r="C7283" s="40" t="n"/>
    </row>
    <row r="7284">
      <c r="B7284" s="2" t="n"/>
      <c r="C7284" s="40" t="n"/>
    </row>
    <row r="7285">
      <c r="B7285" s="2" t="n"/>
      <c r="C7285" s="40" t="n"/>
    </row>
    <row r="7286">
      <c r="B7286" s="2" t="n"/>
      <c r="C7286" s="40" t="n"/>
    </row>
    <row r="7287">
      <c r="B7287" s="2" t="n"/>
      <c r="C7287" s="40" t="n"/>
    </row>
    <row r="7288">
      <c r="B7288" s="2" t="n"/>
      <c r="C7288" s="40" t="n"/>
    </row>
    <row r="7289">
      <c r="B7289" s="2" t="n"/>
      <c r="C7289" s="40" t="n"/>
    </row>
    <row r="7290">
      <c r="B7290" s="2" t="n"/>
      <c r="C7290" s="40" t="n"/>
    </row>
    <row r="7291">
      <c r="B7291" s="2" t="n"/>
      <c r="C7291" s="40" t="n"/>
    </row>
    <row r="7292">
      <c r="B7292" s="2" t="n"/>
      <c r="C7292" s="40" t="n"/>
    </row>
    <row r="7293">
      <c r="B7293" s="2" t="n"/>
      <c r="C7293" s="40" t="n"/>
    </row>
    <row r="7294">
      <c r="B7294" s="2" t="n"/>
      <c r="C7294" s="40" t="n"/>
    </row>
    <row r="7295">
      <c r="B7295" s="2" t="n"/>
      <c r="C7295" s="40" t="n"/>
    </row>
    <row r="7296">
      <c r="B7296" s="2" t="n"/>
      <c r="C7296" s="40" t="n"/>
    </row>
    <row r="7297">
      <c r="B7297" s="2" t="n"/>
      <c r="C7297" s="40" t="n"/>
    </row>
    <row r="7298">
      <c r="B7298" s="2" t="n"/>
      <c r="C7298" s="40" t="n"/>
    </row>
    <row r="7299">
      <c r="B7299" s="2" t="n"/>
      <c r="C7299" s="40" t="n"/>
    </row>
    <row r="7300">
      <c r="B7300" s="2" t="n"/>
      <c r="C7300" s="40" t="n"/>
    </row>
    <row r="7301">
      <c r="B7301" s="2" t="n"/>
      <c r="C7301" s="40" t="n"/>
    </row>
    <row r="7302">
      <c r="B7302" s="2" t="n"/>
      <c r="C7302" s="40" t="n"/>
    </row>
    <row r="7303">
      <c r="B7303" s="2" t="n"/>
      <c r="C7303" s="40" t="n"/>
    </row>
    <row r="7304">
      <c r="B7304" s="2" t="n"/>
      <c r="C7304" s="40" t="n"/>
    </row>
    <row r="7305">
      <c r="B7305" s="2" t="n"/>
      <c r="C7305" s="40" t="n"/>
    </row>
    <row r="7306">
      <c r="B7306" s="2" t="n"/>
      <c r="C7306" s="40" t="n"/>
    </row>
    <row r="7307">
      <c r="B7307" s="2" t="n"/>
      <c r="C7307" s="40" t="n"/>
    </row>
    <row r="7308">
      <c r="B7308" s="2" t="n"/>
      <c r="C7308" s="40" t="n"/>
    </row>
    <row r="7309">
      <c r="B7309" s="2" t="n"/>
      <c r="C7309" s="40" t="n"/>
    </row>
    <row r="7310">
      <c r="B7310" s="2" t="n"/>
      <c r="C7310" s="40" t="n"/>
    </row>
    <row r="7311">
      <c r="B7311" s="2" t="n"/>
      <c r="C7311" s="40" t="n"/>
    </row>
    <row r="7312">
      <c r="B7312" s="2" t="n"/>
      <c r="C7312" s="40" t="n"/>
    </row>
    <row r="7313">
      <c r="B7313" s="2" t="n"/>
      <c r="C7313" s="40" t="n"/>
    </row>
    <row r="7314">
      <c r="B7314" s="2" t="n"/>
      <c r="C7314" s="40" t="n"/>
    </row>
    <row r="7315">
      <c r="B7315" s="2" t="n"/>
      <c r="C7315" s="40" t="n"/>
    </row>
    <row r="7316">
      <c r="B7316" s="2" t="n"/>
      <c r="C7316" s="40" t="n"/>
    </row>
    <row r="7317">
      <c r="B7317" s="2" t="n"/>
      <c r="C7317" s="40" t="n"/>
    </row>
    <row r="7318">
      <c r="B7318" s="2" t="n"/>
      <c r="C7318" s="40" t="n"/>
    </row>
    <row r="7319">
      <c r="B7319" s="2" t="n"/>
      <c r="C7319" s="40" t="n"/>
    </row>
    <row r="7320">
      <c r="B7320" s="2" t="n"/>
      <c r="C7320" s="40" t="n"/>
    </row>
    <row r="7321">
      <c r="B7321" s="2" t="n"/>
      <c r="C7321" s="40" t="n"/>
    </row>
    <row r="7322">
      <c r="B7322" s="2" t="n"/>
      <c r="C7322" s="40" t="n"/>
    </row>
    <row r="7323">
      <c r="B7323" s="2" t="n"/>
      <c r="C7323" s="40" t="n"/>
    </row>
    <row r="7324">
      <c r="B7324" s="2" t="n"/>
      <c r="C7324" s="40" t="n"/>
    </row>
    <row r="7325">
      <c r="B7325" s="2" t="n"/>
      <c r="C7325" s="40" t="n"/>
    </row>
    <row r="7326">
      <c r="B7326" s="2" t="n"/>
      <c r="C7326" s="40" t="n"/>
    </row>
    <row r="7327">
      <c r="B7327" s="2" t="n"/>
      <c r="C7327" s="40" t="n"/>
    </row>
    <row r="7328">
      <c r="B7328" s="2" t="n"/>
      <c r="C7328" s="40" t="n"/>
    </row>
    <row r="7329">
      <c r="B7329" s="2" t="n"/>
      <c r="C7329" s="40" t="n"/>
    </row>
    <row r="7330">
      <c r="B7330" s="2" t="n"/>
      <c r="C7330" s="40" t="n"/>
    </row>
    <row r="7331">
      <c r="B7331" s="2" t="n"/>
      <c r="C7331" s="40" t="n"/>
    </row>
    <row r="7332">
      <c r="B7332" s="2" t="n"/>
      <c r="C7332" s="40" t="n"/>
    </row>
    <row r="7333">
      <c r="B7333" s="2" t="n"/>
      <c r="C7333" s="40" t="n"/>
    </row>
    <row r="7334">
      <c r="B7334" s="2" t="n"/>
      <c r="C7334" s="40" t="n"/>
    </row>
    <row r="7335">
      <c r="B7335" s="2" t="n"/>
      <c r="C7335" s="40" t="n"/>
    </row>
    <row r="7336">
      <c r="B7336" s="2" t="n"/>
      <c r="C7336" s="40" t="n"/>
    </row>
    <row r="7337">
      <c r="B7337" s="2" t="n"/>
      <c r="C7337" s="40" t="n"/>
    </row>
    <row r="7338">
      <c r="B7338" s="2" t="n"/>
      <c r="C7338" s="40" t="n"/>
    </row>
    <row r="7339">
      <c r="B7339" s="2" t="n"/>
      <c r="C7339" s="40" t="n"/>
    </row>
    <row r="7340">
      <c r="B7340" s="2" t="n"/>
      <c r="C7340" s="40" t="n"/>
    </row>
    <row r="7341">
      <c r="B7341" s="2" t="n"/>
      <c r="C7341" s="40" t="n"/>
    </row>
    <row r="7342">
      <c r="B7342" s="2" t="n"/>
      <c r="C7342" s="40" t="n"/>
    </row>
    <row r="7343">
      <c r="B7343" s="2" t="n"/>
      <c r="C7343" s="40" t="n"/>
    </row>
    <row r="7344">
      <c r="B7344" s="2" t="n"/>
      <c r="C7344" s="40" t="n"/>
    </row>
    <row r="7345">
      <c r="B7345" s="2" t="n"/>
      <c r="C7345" s="40" t="n"/>
    </row>
    <row r="7346">
      <c r="B7346" s="2" t="n"/>
      <c r="C7346" s="40" t="n"/>
    </row>
    <row r="7347">
      <c r="B7347" s="2" t="n"/>
      <c r="C7347" s="40" t="n"/>
    </row>
    <row r="7348">
      <c r="B7348" s="2" t="n"/>
      <c r="C7348" s="40" t="n"/>
    </row>
    <row r="7349">
      <c r="B7349" s="2" t="n"/>
      <c r="C7349" s="40" t="n"/>
    </row>
    <row r="7350">
      <c r="B7350" s="2" t="n"/>
      <c r="C7350" s="40" t="n"/>
    </row>
    <row r="7351">
      <c r="B7351" s="2" t="n"/>
      <c r="C7351" s="40" t="n"/>
    </row>
    <row r="7352">
      <c r="B7352" s="2" t="n"/>
      <c r="C7352" s="40" t="n"/>
    </row>
    <row r="7353">
      <c r="B7353" s="2" t="n"/>
      <c r="C7353" s="40" t="n"/>
    </row>
    <row r="7354">
      <c r="B7354" s="2" t="n"/>
      <c r="C7354" s="40" t="n"/>
    </row>
    <row r="7355">
      <c r="B7355" s="2" t="n"/>
      <c r="C7355" s="40" t="n"/>
    </row>
    <row r="7356">
      <c r="B7356" s="2" t="n"/>
      <c r="C7356" s="40" t="n"/>
    </row>
    <row r="7357">
      <c r="B7357" s="2" t="n"/>
      <c r="C7357" s="40" t="n"/>
    </row>
    <row r="7358">
      <c r="B7358" s="2" t="n"/>
      <c r="C7358" s="40" t="n"/>
    </row>
    <row r="7359">
      <c r="B7359" s="2" t="n"/>
      <c r="C7359" s="40" t="n"/>
    </row>
    <row r="7360">
      <c r="B7360" s="2" t="n"/>
      <c r="C7360" s="40" t="n"/>
    </row>
    <row r="7361">
      <c r="B7361" s="2" t="n"/>
      <c r="C7361" s="40" t="n"/>
    </row>
    <row r="7362">
      <c r="B7362" s="2" t="n"/>
      <c r="C7362" s="40" t="n"/>
    </row>
    <row r="7363">
      <c r="B7363" s="2" t="n"/>
      <c r="C7363" s="40" t="n"/>
    </row>
    <row r="7364">
      <c r="B7364" s="2" t="n"/>
      <c r="C7364" s="40" t="n"/>
    </row>
    <row r="7365">
      <c r="B7365" s="2" t="n"/>
      <c r="C7365" s="40" t="n"/>
    </row>
    <row r="7366">
      <c r="B7366" s="2" t="n"/>
      <c r="C7366" s="40" t="n"/>
    </row>
    <row r="7367">
      <c r="B7367" s="2" t="n"/>
      <c r="C7367" s="40" t="n"/>
    </row>
    <row r="7368">
      <c r="B7368" s="2" t="n"/>
      <c r="C7368" s="40" t="n"/>
    </row>
    <row r="7369">
      <c r="B7369" s="2" t="n"/>
      <c r="C7369" s="40" t="n"/>
    </row>
    <row r="7370">
      <c r="B7370" s="2" t="n"/>
      <c r="C7370" s="40" t="n"/>
    </row>
    <row r="7371">
      <c r="B7371" s="2" t="n"/>
      <c r="C7371" s="40" t="n"/>
    </row>
    <row r="7372">
      <c r="B7372" s="2" t="n"/>
      <c r="C7372" s="40" t="n"/>
    </row>
    <row r="7373">
      <c r="B7373" s="2" t="n"/>
      <c r="C7373" s="40" t="n"/>
    </row>
    <row r="7374">
      <c r="B7374" s="2" t="n"/>
      <c r="C7374" s="40" t="n"/>
    </row>
    <row r="7375">
      <c r="B7375" s="2" t="n"/>
      <c r="C7375" s="40" t="n"/>
    </row>
    <row r="7376">
      <c r="B7376" s="2" t="n"/>
      <c r="C7376" s="40" t="n"/>
    </row>
    <row r="7377">
      <c r="B7377" s="2" t="n"/>
      <c r="C7377" s="40" t="n"/>
    </row>
    <row r="7378">
      <c r="B7378" s="2" t="n"/>
      <c r="C7378" s="40" t="n"/>
    </row>
    <row r="7379">
      <c r="B7379" s="2" t="n"/>
      <c r="C7379" s="40" t="n"/>
    </row>
    <row r="7380">
      <c r="B7380" s="2" t="n"/>
      <c r="C7380" s="40" t="n"/>
    </row>
    <row r="7381">
      <c r="B7381" s="2" t="n"/>
      <c r="C7381" s="40" t="n"/>
    </row>
    <row r="7382">
      <c r="B7382" s="2" t="n"/>
      <c r="C7382" s="40" t="n"/>
    </row>
    <row r="7383">
      <c r="B7383" s="2" t="n"/>
      <c r="C7383" s="40" t="n"/>
    </row>
    <row r="7384">
      <c r="B7384" s="2" t="n"/>
      <c r="C7384" s="40" t="n"/>
    </row>
    <row r="7385">
      <c r="B7385" s="2" t="n"/>
      <c r="C7385" s="40" t="n"/>
    </row>
    <row r="7386">
      <c r="B7386" s="2" t="n"/>
      <c r="C7386" s="40" t="n"/>
    </row>
    <row r="7387">
      <c r="B7387" s="2" t="n"/>
      <c r="C7387" s="40" t="n"/>
    </row>
    <row r="7388">
      <c r="B7388" s="2" t="n"/>
      <c r="C7388" s="40" t="n"/>
    </row>
    <row r="7389">
      <c r="B7389" s="2" t="n"/>
      <c r="C7389" s="40" t="n"/>
    </row>
    <row r="7390">
      <c r="B7390" s="2" t="n"/>
      <c r="C7390" s="40" t="n"/>
    </row>
    <row r="7391">
      <c r="B7391" s="2" t="n"/>
      <c r="C7391" s="40" t="n"/>
    </row>
    <row r="7392">
      <c r="B7392" s="2" t="n"/>
      <c r="C7392" s="40" t="n"/>
    </row>
    <row r="7393">
      <c r="B7393" s="2" t="n"/>
      <c r="C7393" s="40" t="n"/>
    </row>
    <row r="7394">
      <c r="B7394" s="2" t="n"/>
      <c r="C7394" s="40" t="n"/>
    </row>
    <row r="7395">
      <c r="B7395" s="2" t="n"/>
      <c r="C7395" s="40" t="n"/>
    </row>
    <row r="7396">
      <c r="B7396" s="2" t="n"/>
      <c r="C7396" s="40" t="n"/>
    </row>
    <row r="7397">
      <c r="B7397" s="2" t="n"/>
      <c r="C7397" s="40" t="n"/>
    </row>
    <row r="7398">
      <c r="B7398" s="2" t="n"/>
      <c r="C7398" s="40" t="n"/>
    </row>
    <row r="7399">
      <c r="B7399" s="2" t="n"/>
      <c r="C7399" s="40" t="n"/>
    </row>
    <row r="7400">
      <c r="B7400" s="2" t="n"/>
      <c r="C7400" s="40" t="n"/>
    </row>
    <row r="7401">
      <c r="B7401" s="2" t="n"/>
      <c r="C7401" s="40" t="n"/>
    </row>
    <row r="7402">
      <c r="B7402" s="2" t="n"/>
      <c r="C7402" s="40" t="n"/>
    </row>
    <row r="7403">
      <c r="B7403" s="2" t="n"/>
      <c r="C7403" s="40" t="n"/>
    </row>
    <row r="7404">
      <c r="B7404" s="2" t="n"/>
      <c r="C7404" s="40" t="n"/>
    </row>
    <row r="7405">
      <c r="B7405" s="2" t="n"/>
      <c r="C7405" s="40" t="n"/>
    </row>
    <row r="7406">
      <c r="B7406" s="2" t="n"/>
      <c r="C7406" s="40" t="n"/>
    </row>
    <row r="7407">
      <c r="B7407" s="2" t="n"/>
      <c r="C7407" s="40" t="n"/>
    </row>
    <row r="7408">
      <c r="B7408" s="2" t="n"/>
      <c r="C7408" s="40" t="n"/>
    </row>
    <row r="7409">
      <c r="B7409" s="2" t="n"/>
      <c r="C7409" s="40" t="n"/>
    </row>
    <row r="7410">
      <c r="B7410" s="2" t="n"/>
      <c r="C7410" s="40" t="n"/>
    </row>
    <row r="7411">
      <c r="B7411" s="2" t="n"/>
      <c r="C7411" s="40" t="n"/>
    </row>
    <row r="7412">
      <c r="B7412" s="2" t="n"/>
      <c r="C7412" s="40" t="n"/>
    </row>
    <row r="7413">
      <c r="B7413" s="2" t="n"/>
      <c r="C7413" s="40" t="n"/>
    </row>
    <row r="7414">
      <c r="B7414" s="2" t="n"/>
      <c r="C7414" s="40" t="n"/>
    </row>
    <row r="7415">
      <c r="B7415" s="2" t="n"/>
      <c r="C7415" s="40" t="n"/>
    </row>
    <row r="7416">
      <c r="B7416" s="2" t="n"/>
      <c r="C7416" s="40" t="n"/>
    </row>
    <row r="7417">
      <c r="B7417" s="2" t="n"/>
      <c r="C7417" s="40" t="n"/>
    </row>
    <row r="7418">
      <c r="B7418" s="2" t="n"/>
      <c r="C7418" s="40" t="n"/>
    </row>
    <row r="7419">
      <c r="B7419" s="2" t="n"/>
      <c r="C7419" s="40" t="n"/>
    </row>
    <row r="7420">
      <c r="B7420" s="2" t="n"/>
      <c r="C7420" s="40" t="n"/>
    </row>
    <row r="7421">
      <c r="B7421" s="2" t="n"/>
      <c r="C7421" s="40" t="n"/>
    </row>
    <row r="7422">
      <c r="B7422" s="2" t="n"/>
      <c r="C7422" s="40" t="n"/>
    </row>
    <row r="7423">
      <c r="B7423" s="2" t="n"/>
      <c r="C7423" s="40" t="n"/>
    </row>
    <row r="7424">
      <c r="B7424" s="2" t="n"/>
      <c r="C7424" s="40" t="n"/>
    </row>
    <row r="7425">
      <c r="B7425" s="2" t="n"/>
      <c r="C7425" s="40" t="n"/>
    </row>
    <row r="7426">
      <c r="B7426" s="2" t="n"/>
      <c r="C7426" s="40" t="n"/>
    </row>
    <row r="7427">
      <c r="B7427" s="2" t="n"/>
      <c r="C7427" s="40" t="n"/>
    </row>
    <row r="7428">
      <c r="B7428" s="2" t="n"/>
      <c r="C7428" s="40" t="n"/>
    </row>
    <row r="7429">
      <c r="B7429" s="2" t="n"/>
      <c r="C7429" s="40" t="n"/>
    </row>
    <row r="7430">
      <c r="B7430" s="2" t="n"/>
      <c r="C7430" s="40" t="n"/>
    </row>
    <row r="7431">
      <c r="B7431" s="2" t="n"/>
      <c r="C7431" s="40" t="n"/>
    </row>
    <row r="7432">
      <c r="B7432" s="2" t="n"/>
      <c r="C7432" s="40" t="n"/>
    </row>
    <row r="7433">
      <c r="B7433" s="2" t="n"/>
      <c r="C7433" s="40" t="n"/>
    </row>
    <row r="7434">
      <c r="B7434" s="2" t="n"/>
      <c r="C7434" s="40" t="n"/>
    </row>
    <row r="7435">
      <c r="B7435" s="2" t="n"/>
      <c r="C7435" s="40" t="n"/>
    </row>
    <row r="7436">
      <c r="B7436" s="2" t="n"/>
      <c r="C7436" s="40" t="n"/>
    </row>
    <row r="7437">
      <c r="B7437" s="2" t="n"/>
      <c r="C7437" s="40" t="n"/>
    </row>
    <row r="7438">
      <c r="B7438" s="2" t="n"/>
      <c r="C7438" s="40" t="n"/>
    </row>
    <row r="7439">
      <c r="B7439" s="2" t="n"/>
      <c r="C7439" s="40" t="n"/>
    </row>
    <row r="7440">
      <c r="B7440" s="2" t="n"/>
      <c r="C7440" s="40" t="n"/>
    </row>
    <row r="7441">
      <c r="B7441" s="2" t="n"/>
      <c r="C7441" s="40" t="n"/>
    </row>
    <row r="7442">
      <c r="B7442" s="2" t="n"/>
      <c r="C7442" s="40" t="n"/>
    </row>
    <row r="7443">
      <c r="B7443" s="2" t="n"/>
      <c r="C7443" s="40" t="n"/>
    </row>
    <row r="7444">
      <c r="B7444" s="2" t="n"/>
      <c r="C7444" s="40" t="n"/>
    </row>
    <row r="7445">
      <c r="B7445" s="2" t="n"/>
      <c r="C7445" s="40" t="n"/>
    </row>
    <row r="7446">
      <c r="B7446" s="2" t="n"/>
      <c r="C7446" s="40" t="n"/>
    </row>
    <row r="7447">
      <c r="B7447" s="2" t="n"/>
      <c r="C7447" s="40" t="n"/>
    </row>
    <row r="7448">
      <c r="B7448" s="2" t="n"/>
      <c r="C7448" s="40" t="n"/>
    </row>
    <row r="7449">
      <c r="B7449" s="2" t="n"/>
      <c r="C7449" s="40" t="n"/>
    </row>
    <row r="7450">
      <c r="B7450" s="2" t="n"/>
      <c r="C7450" s="40" t="n"/>
    </row>
    <row r="7451">
      <c r="B7451" s="2" t="n"/>
      <c r="C7451" s="40" t="n"/>
    </row>
    <row r="7452">
      <c r="B7452" s="2" t="n"/>
      <c r="C7452" s="40" t="n"/>
    </row>
    <row r="7453">
      <c r="B7453" s="2" t="n"/>
      <c r="C7453" s="40" t="n"/>
    </row>
    <row r="7454">
      <c r="B7454" s="2" t="n"/>
      <c r="C7454" s="40" t="n"/>
    </row>
    <row r="7455">
      <c r="B7455" s="2" t="n"/>
      <c r="C7455" s="40" t="n"/>
    </row>
    <row r="7456">
      <c r="B7456" s="2" t="n"/>
      <c r="C7456" s="40" t="n"/>
    </row>
    <row r="7457">
      <c r="B7457" s="2" t="n"/>
      <c r="C7457" s="40" t="n"/>
    </row>
    <row r="7458">
      <c r="B7458" s="2" t="n"/>
      <c r="C7458" s="40" t="n"/>
    </row>
    <row r="7459">
      <c r="B7459" s="2" t="n"/>
      <c r="C7459" s="40" t="n"/>
    </row>
    <row r="7460">
      <c r="B7460" s="2" t="n"/>
      <c r="C7460" s="40" t="n"/>
    </row>
    <row r="7461">
      <c r="B7461" s="2" t="n"/>
      <c r="C7461" s="40" t="n"/>
    </row>
    <row r="7462">
      <c r="B7462" s="2" t="n"/>
      <c r="C7462" s="40" t="n"/>
    </row>
    <row r="7463">
      <c r="B7463" s="2" t="n"/>
      <c r="C7463" s="40" t="n"/>
    </row>
    <row r="7464">
      <c r="B7464" s="2" t="n"/>
      <c r="C7464" s="40" t="n"/>
    </row>
    <row r="7465">
      <c r="B7465" s="2" t="n"/>
      <c r="C7465" s="40" t="n"/>
    </row>
    <row r="7466">
      <c r="B7466" s="2" t="n"/>
      <c r="C7466" s="40" t="n"/>
    </row>
    <row r="7467">
      <c r="B7467" s="2" t="n"/>
      <c r="C7467" s="40" t="n"/>
    </row>
    <row r="7468">
      <c r="B7468" s="2" t="n"/>
      <c r="C7468" s="40" t="n"/>
    </row>
    <row r="7469">
      <c r="B7469" s="2" t="n"/>
      <c r="C7469" s="40" t="n"/>
    </row>
    <row r="7470">
      <c r="B7470" s="2" t="n"/>
      <c r="C7470" s="40" t="n"/>
    </row>
    <row r="7471">
      <c r="B7471" s="2" t="n"/>
      <c r="C7471" s="40" t="n"/>
    </row>
    <row r="7472">
      <c r="B7472" s="2" t="n"/>
      <c r="C7472" s="40" t="n"/>
    </row>
    <row r="7473">
      <c r="B7473" s="2" t="n"/>
      <c r="C7473" s="40" t="n"/>
    </row>
    <row r="7474">
      <c r="B7474" s="2" t="n"/>
      <c r="C7474" s="40" t="n"/>
    </row>
    <row r="7475">
      <c r="B7475" s="2" t="n"/>
      <c r="C7475" s="40" t="n"/>
    </row>
    <row r="7476">
      <c r="B7476" s="2" t="n"/>
      <c r="C7476" s="40" t="n"/>
    </row>
    <row r="7477">
      <c r="B7477" s="2" t="n"/>
      <c r="C7477" s="40" t="n"/>
    </row>
    <row r="7478">
      <c r="B7478" s="2" t="n"/>
      <c r="C7478" s="40" t="n"/>
    </row>
    <row r="7479">
      <c r="B7479" s="2" t="n"/>
      <c r="C7479" s="40" t="n"/>
    </row>
    <row r="7480">
      <c r="B7480" s="2" t="n"/>
      <c r="C7480" s="40" t="n"/>
    </row>
    <row r="7481">
      <c r="B7481" s="2" t="n"/>
      <c r="C7481" s="40" t="n"/>
    </row>
    <row r="7482">
      <c r="B7482" s="2" t="n"/>
      <c r="C7482" s="40" t="n"/>
    </row>
    <row r="7483">
      <c r="B7483" s="2" t="n"/>
      <c r="C7483" s="40" t="n"/>
    </row>
    <row r="7484">
      <c r="B7484" s="2" t="n"/>
      <c r="C7484" s="40" t="n"/>
    </row>
    <row r="7485">
      <c r="B7485" s="2" t="n"/>
      <c r="C7485" s="40" t="n"/>
    </row>
    <row r="7486">
      <c r="B7486" s="2" t="n"/>
      <c r="C7486" s="40" t="n"/>
    </row>
    <row r="7487">
      <c r="B7487" s="2" t="n"/>
      <c r="C7487" s="40" t="n"/>
    </row>
    <row r="7488">
      <c r="B7488" s="2" t="n"/>
      <c r="C7488" s="40" t="n"/>
    </row>
    <row r="7489">
      <c r="B7489" s="2" t="n"/>
      <c r="C7489" s="40" t="n"/>
    </row>
    <row r="7490">
      <c r="B7490" s="2" t="n"/>
      <c r="C7490" s="40" t="n"/>
    </row>
    <row r="7491">
      <c r="B7491" s="2" t="n"/>
      <c r="C7491" s="40" t="n"/>
    </row>
    <row r="7492">
      <c r="B7492" s="2" t="n"/>
      <c r="C7492" s="40" t="n"/>
    </row>
    <row r="7493">
      <c r="B7493" s="2" t="n"/>
      <c r="C7493" s="40" t="n"/>
    </row>
    <row r="7494">
      <c r="B7494" s="2" t="n"/>
      <c r="C7494" s="40" t="n"/>
    </row>
    <row r="7495">
      <c r="B7495" s="2" t="n"/>
      <c r="C7495" s="40" t="n"/>
    </row>
    <row r="7496">
      <c r="B7496" s="2" t="n"/>
      <c r="C7496" s="40" t="n"/>
    </row>
    <row r="7497">
      <c r="B7497" s="2" t="n"/>
      <c r="C7497" s="40" t="n"/>
    </row>
    <row r="7498">
      <c r="B7498" s="2" t="n"/>
      <c r="C7498" s="40" t="n"/>
    </row>
    <row r="7499">
      <c r="B7499" s="2" t="n"/>
      <c r="C7499" s="40" t="n"/>
    </row>
    <row r="7500">
      <c r="B7500" s="2" t="n"/>
      <c r="C7500" s="40" t="n"/>
    </row>
    <row r="7501">
      <c r="B7501" s="2" t="n"/>
      <c r="C7501" s="40" t="n"/>
    </row>
    <row r="7502">
      <c r="B7502" s="2" t="n"/>
      <c r="C7502" s="40" t="n"/>
    </row>
    <row r="7503">
      <c r="B7503" s="2" t="n"/>
      <c r="C7503" s="40" t="n"/>
    </row>
    <row r="7504">
      <c r="B7504" s="2" t="n"/>
      <c r="C7504" s="40" t="n"/>
    </row>
    <row r="7505">
      <c r="B7505" s="2" t="n"/>
      <c r="C7505" s="40" t="n"/>
    </row>
    <row r="7506">
      <c r="B7506" s="2" t="n"/>
      <c r="C7506" s="40" t="n"/>
    </row>
    <row r="7507">
      <c r="B7507" s="2" t="n"/>
      <c r="C7507" s="40" t="n"/>
    </row>
    <row r="7508">
      <c r="B7508" s="2" t="n"/>
      <c r="C7508" s="40" t="n"/>
    </row>
    <row r="7509">
      <c r="B7509" s="2" t="n"/>
      <c r="C7509" s="40" t="n"/>
    </row>
    <row r="7510">
      <c r="B7510" s="2" t="n"/>
      <c r="C7510" s="40" t="n"/>
    </row>
    <row r="7511">
      <c r="B7511" s="2" t="n"/>
      <c r="C7511" s="40" t="n"/>
    </row>
    <row r="7512">
      <c r="B7512" s="2" t="n"/>
      <c r="C7512" s="40" t="n"/>
    </row>
    <row r="7513">
      <c r="B7513" s="2" t="n"/>
      <c r="C7513" s="40" t="n"/>
    </row>
    <row r="7514">
      <c r="B7514" s="2" t="n"/>
      <c r="C7514" s="40" t="n"/>
    </row>
    <row r="7515">
      <c r="B7515" s="2" t="n"/>
      <c r="C7515" s="40" t="n"/>
    </row>
    <row r="7516">
      <c r="B7516" s="2" t="n"/>
      <c r="C7516" s="40" t="n"/>
    </row>
    <row r="7517">
      <c r="B7517" s="2" t="n"/>
      <c r="C7517" s="40" t="n"/>
    </row>
    <row r="7518">
      <c r="B7518" s="2" t="n"/>
      <c r="C7518" s="40" t="n"/>
    </row>
    <row r="7519">
      <c r="B7519" s="2" t="n"/>
      <c r="C7519" s="40" t="n"/>
    </row>
    <row r="7520">
      <c r="B7520" s="2" t="n"/>
      <c r="C7520" s="40" t="n"/>
    </row>
    <row r="7521">
      <c r="B7521" s="2" t="n"/>
      <c r="C7521" s="40" t="n"/>
    </row>
    <row r="7522">
      <c r="B7522" s="2" t="n"/>
      <c r="C7522" s="40" t="n"/>
    </row>
    <row r="7523">
      <c r="B7523" s="2" t="n"/>
      <c r="C7523" s="40" t="n"/>
    </row>
    <row r="7524">
      <c r="B7524" s="2" t="n"/>
      <c r="C7524" s="40" t="n"/>
    </row>
    <row r="7525">
      <c r="B7525" s="2" t="n"/>
      <c r="C7525" s="40" t="n"/>
    </row>
    <row r="7526">
      <c r="B7526" s="2" t="n"/>
      <c r="C7526" s="40" t="n"/>
    </row>
    <row r="7527">
      <c r="B7527" s="2" t="n"/>
      <c r="C7527" s="40" t="n"/>
    </row>
    <row r="7528">
      <c r="B7528" s="2" t="n"/>
      <c r="C7528" s="40" t="n"/>
    </row>
    <row r="7529">
      <c r="B7529" s="2" t="n"/>
      <c r="C7529" s="40" t="n"/>
    </row>
    <row r="7530">
      <c r="B7530" s="2" t="n"/>
      <c r="C7530" s="40" t="n"/>
    </row>
    <row r="7531">
      <c r="B7531" s="2" t="n"/>
      <c r="C7531" s="40" t="n"/>
    </row>
    <row r="7532">
      <c r="B7532" s="2" t="n"/>
      <c r="C7532" s="40" t="n"/>
    </row>
    <row r="7533">
      <c r="B7533" s="2" t="n"/>
      <c r="C7533" s="40" t="n"/>
    </row>
    <row r="7534">
      <c r="B7534" s="2" t="n"/>
      <c r="C7534" s="40" t="n"/>
    </row>
    <row r="7535">
      <c r="B7535" s="2" t="n"/>
      <c r="C7535" s="40" t="n"/>
    </row>
    <row r="7536">
      <c r="B7536" s="2" t="n"/>
      <c r="C7536" s="40" t="n"/>
    </row>
    <row r="7537">
      <c r="B7537" s="2" t="n"/>
      <c r="C7537" s="40" t="n"/>
    </row>
    <row r="7538">
      <c r="B7538" s="2" t="n"/>
      <c r="C7538" s="40" t="n"/>
    </row>
    <row r="7539">
      <c r="B7539" s="2" t="n"/>
      <c r="C7539" s="40" t="n"/>
    </row>
    <row r="7540">
      <c r="B7540" s="2" t="n"/>
      <c r="C7540" s="40" t="n"/>
    </row>
    <row r="7541">
      <c r="B7541" s="2" t="n"/>
      <c r="C7541" s="40" t="n"/>
    </row>
    <row r="7542">
      <c r="B7542" s="2" t="n"/>
      <c r="C7542" s="40" t="n"/>
    </row>
    <row r="7543">
      <c r="B7543" s="2" t="n"/>
      <c r="C7543" s="40" t="n"/>
    </row>
    <row r="7544">
      <c r="B7544" s="2" t="n"/>
      <c r="C7544" s="40" t="n"/>
    </row>
    <row r="7545">
      <c r="B7545" s="2" t="n"/>
      <c r="C7545" s="40" t="n"/>
    </row>
    <row r="7546">
      <c r="B7546" s="2" t="n"/>
      <c r="C7546" s="40" t="n"/>
    </row>
    <row r="7547">
      <c r="B7547" s="2" t="n"/>
      <c r="C7547" s="40" t="n"/>
    </row>
    <row r="7548">
      <c r="B7548" s="2" t="n"/>
      <c r="C7548" s="40" t="n"/>
    </row>
    <row r="7549">
      <c r="B7549" s="2" t="n"/>
      <c r="C7549" s="40" t="n"/>
    </row>
    <row r="7550">
      <c r="B7550" s="2" t="n"/>
      <c r="C7550" s="40" t="n"/>
    </row>
    <row r="7551">
      <c r="B7551" s="2" t="n"/>
      <c r="C7551" s="40" t="n"/>
    </row>
    <row r="7552">
      <c r="B7552" s="2" t="n"/>
      <c r="C7552" s="40" t="n"/>
    </row>
    <row r="7553">
      <c r="B7553" s="2" t="n"/>
      <c r="C7553" s="40" t="n"/>
    </row>
    <row r="7554">
      <c r="B7554" s="2" t="n"/>
      <c r="C7554" s="40" t="n"/>
    </row>
    <row r="7555">
      <c r="B7555" s="2" t="n"/>
      <c r="C7555" s="40" t="n"/>
    </row>
    <row r="7556">
      <c r="B7556" s="2" t="n"/>
      <c r="C7556" s="40" t="n"/>
    </row>
    <row r="7557">
      <c r="B7557" s="2" t="n"/>
      <c r="C7557" s="40" t="n"/>
    </row>
    <row r="7558">
      <c r="B7558" s="2" t="n"/>
      <c r="C7558" s="40" t="n"/>
    </row>
    <row r="7559">
      <c r="B7559" s="2" t="n"/>
      <c r="C7559" s="40" t="n"/>
    </row>
    <row r="7560">
      <c r="B7560" s="2" t="n"/>
      <c r="C7560" s="40" t="n"/>
    </row>
    <row r="7561">
      <c r="B7561" s="2" t="n"/>
      <c r="C7561" s="40" t="n"/>
    </row>
    <row r="7562">
      <c r="B7562" s="2" t="n"/>
      <c r="C7562" s="40" t="n"/>
    </row>
    <row r="7563">
      <c r="B7563" s="2" t="n"/>
      <c r="C7563" s="40" t="n"/>
    </row>
    <row r="7564">
      <c r="B7564" s="2" t="n"/>
      <c r="C7564" s="40" t="n"/>
    </row>
    <row r="7565">
      <c r="B7565" s="2" t="n"/>
      <c r="C7565" s="40" t="n"/>
    </row>
    <row r="7566">
      <c r="B7566" s="2" t="n"/>
      <c r="C7566" s="40" t="n"/>
    </row>
    <row r="7567">
      <c r="B7567" s="2" t="n"/>
      <c r="C7567" s="40" t="n"/>
    </row>
    <row r="7568">
      <c r="B7568" s="2" t="n"/>
      <c r="C7568" s="40" t="n"/>
    </row>
    <row r="7569">
      <c r="B7569" s="2" t="n"/>
      <c r="C7569" s="40" t="n"/>
    </row>
    <row r="7570">
      <c r="B7570" s="2" t="n"/>
      <c r="C7570" s="40" t="n"/>
    </row>
    <row r="7571">
      <c r="B7571" s="2" t="n"/>
      <c r="C7571" s="40" t="n"/>
    </row>
    <row r="7572">
      <c r="B7572" s="2" t="n"/>
      <c r="C7572" s="40" t="n"/>
    </row>
    <row r="7573">
      <c r="B7573" s="2" t="n"/>
      <c r="C7573" s="40" t="n"/>
    </row>
    <row r="7574">
      <c r="B7574" s="2" t="n"/>
      <c r="C7574" s="40" t="n"/>
    </row>
    <row r="7575">
      <c r="B7575" s="2" t="n"/>
      <c r="C7575" s="40" t="n"/>
    </row>
    <row r="7576">
      <c r="B7576" s="2" t="n"/>
      <c r="C7576" s="40" t="n"/>
    </row>
    <row r="7577">
      <c r="B7577" s="2" t="n"/>
      <c r="C7577" s="40" t="n"/>
    </row>
    <row r="7578">
      <c r="B7578" s="2" t="n"/>
      <c r="C7578" s="40" t="n"/>
    </row>
    <row r="7579">
      <c r="B7579" s="2" t="n"/>
      <c r="C7579" s="40" t="n"/>
    </row>
    <row r="7580">
      <c r="B7580" s="2" t="n"/>
      <c r="C7580" s="40" t="n"/>
    </row>
    <row r="7581">
      <c r="B7581" s="2" t="n"/>
      <c r="C7581" s="40" t="n"/>
    </row>
    <row r="7582">
      <c r="B7582" s="2" t="n"/>
      <c r="C7582" s="40" t="n"/>
    </row>
    <row r="7583">
      <c r="B7583" s="2" t="n"/>
      <c r="C7583" s="40" t="n"/>
    </row>
    <row r="7584">
      <c r="B7584" s="2" t="n"/>
      <c r="C7584" s="40" t="n"/>
    </row>
    <row r="7585">
      <c r="B7585" s="2" t="n"/>
      <c r="C7585" s="40" t="n"/>
    </row>
    <row r="7586">
      <c r="B7586" s="2" t="n"/>
      <c r="C7586" s="40" t="n"/>
    </row>
    <row r="7587">
      <c r="B7587" s="2" t="n"/>
      <c r="C7587" s="40" t="n"/>
    </row>
    <row r="7588">
      <c r="B7588" s="2" t="n"/>
      <c r="C7588" s="40" t="n"/>
    </row>
    <row r="7589">
      <c r="B7589" s="2" t="n"/>
      <c r="C7589" s="40" t="n"/>
    </row>
    <row r="7590">
      <c r="B7590" s="2" t="n"/>
      <c r="C7590" s="40" t="n"/>
    </row>
    <row r="7591">
      <c r="B7591" s="2" t="n"/>
      <c r="C7591" s="40" t="n"/>
    </row>
    <row r="7592">
      <c r="B7592" s="2" t="n"/>
      <c r="C7592" s="40" t="n"/>
    </row>
    <row r="7593">
      <c r="B7593" s="2" t="n"/>
      <c r="C7593" s="40" t="n"/>
    </row>
    <row r="7594">
      <c r="B7594" s="2" t="n"/>
      <c r="C7594" s="40" t="n"/>
    </row>
    <row r="7595">
      <c r="B7595" s="2" t="n"/>
      <c r="C7595" s="40" t="n"/>
    </row>
    <row r="7596">
      <c r="B7596" s="2" t="n"/>
      <c r="C7596" s="40" t="n"/>
    </row>
    <row r="7597">
      <c r="B7597" s="2" t="n"/>
      <c r="C7597" s="40" t="n"/>
    </row>
    <row r="7598">
      <c r="B7598" s="2" t="n"/>
      <c r="C7598" s="40" t="n"/>
    </row>
    <row r="7599">
      <c r="B7599" s="2" t="n"/>
      <c r="C7599" s="40" t="n"/>
    </row>
    <row r="7600">
      <c r="B7600" s="2" t="n"/>
      <c r="C7600" s="40" t="n"/>
    </row>
    <row r="7601">
      <c r="B7601" s="2" t="n"/>
      <c r="C7601" s="40" t="n"/>
    </row>
    <row r="7602">
      <c r="B7602" s="2" t="n"/>
      <c r="C7602" s="40" t="n"/>
    </row>
    <row r="7603">
      <c r="B7603" s="2" t="n"/>
      <c r="C7603" s="40" t="n"/>
    </row>
    <row r="7604">
      <c r="B7604" s="2" t="n"/>
      <c r="C7604" s="40" t="n"/>
    </row>
    <row r="7605">
      <c r="B7605" s="2" t="n"/>
      <c r="C7605" s="40" t="n"/>
    </row>
    <row r="7606">
      <c r="B7606" s="2" t="n"/>
      <c r="C7606" s="40" t="n"/>
    </row>
    <row r="7607">
      <c r="B7607" s="2" t="n"/>
      <c r="C7607" s="40" t="n"/>
    </row>
    <row r="7608">
      <c r="B7608" s="2" t="n"/>
      <c r="C7608" s="40" t="n"/>
    </row>
    <row r="7609">
      <c r="B7609" s="2" t="n"/>
      <c r="C7609" s="40" t="n"/>
    </row>
    <row r="7610">
      <c r="B7610" s="2" t="n"/>
      <c r="C7610" s="40" t="n"/>
    </row>
    <row r="7611">
      <c r="B7611" s="2" t="n"/>
      <c r="C7611" s="40" t="n"/>
    </row>
    <row r="7612">
      <c r="B7612" s="2" t="n"/>
      <c r="C7612" s="40" t="n"/>
    </row>
    <row r="7613">
      <c r="B7613" s="2" t="n"/>
      <c r="C7613" s="40" t="n"/>
    </row>
    <row r="7614">
      <c r="B7614" s="2" t="n"/>
      <c r="C7614" s="40" t="n"/>
    </row>
    <row r="7615">
      <c r="B7615" s="2" t="n"/>
      <c r="C7615" s="40" t="n"/>
    </row>
    <row r="7616">
      <c r="B7616" s="2" t="n"/>
      <c r="C7616" s="40" t="n"/>
    </row>
    <row r="7617">
      <c r="B7617" s="2" t="n"/>
      <c r="C7617" s="40" t="n"/>
    </row>
    <row r="7618">
      <c r="B7618" s="2" t="n"/>
      <c r="C7618" s="40" t="n"/>
    </row>
    <row r="7619">
      <c r="B7619" s="2" t="n"/>
      <c r="C7619" s="40" t="n"/>
    </row>
    <row r="7620">
      <c r="B7620" s="2" t="n"/>
      <c r="C7620" s="40" t="n"/>
    </row>
    <row r="7621">
      <c r="B7621" s="2" t="n"/>
      <c r="C7621" s="40" t="n"/>
    </row>
    <row r="7622">
      <c r="B7622" s="2" t="n"/>
      <c r="C7622" s="40" t="n"/>
    </row>
    <row r="7623">
      <c r="B7623" s="2" t="n"/>
      <c r="C7623" s="40" t="n"/>
    </row>
    <row r="7624">
      <c r="B7624" s="2" t="n"/>
      <c r="C7624" s="40" t="n"/>
    </row>
    <row r="7625">
      <c r="B7625" s="2" t="n"/>
      <c r="C7625" s="40" t="n"/>
    </row>
  </sheetData>
  <mergeCells count="21">
    <mergeCell ref="L2:M2"/>
    <mergeCell ref="V2:W2"/>
    <mergeCell ref="X2:Y2"/>
    <mergeCell ref="AJ2:AK2"/>
    <mergeCell ref="AL2:AM2"/>
    <mergeCell ref="B2:B3"/>
    <mergeCell ref="D2:E2"/>
    <mergeCell ref="N2:O2"/>
    <mergeCell ref="P2:Q2"/>
    <mergeCell ref="C2:C3"/>
    <mergeCell ref="F2:G2"/>
    <mergeCell ref="H2:I2"/>
    <mergeCell ref="T2:U2"/>
    <mergeCell ref="Z2:AA2"/>
    <mergeCell ref="AB2:AC2"/>
    <mergeCell ref="AD2:AE2"/>
    <mergeCell ref="AF2:AG2"/>
    <mergeCell ref="AH2:AI2"/>
    <mergeCell ref="J2:K2"/>
    <mergeCell ref="R2:S2"/>
    <mergeCell ref="B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Q1928"/>
  <sheetViews>
    <sheetView topLeftCell="C1" workbookViewId="0">
      <selection activeCell="I4" sqref="I4"/>
    </sheetView>
  </sheetViews>
  <sheetFormatPr baseColWidth="8" defaultRowHeight="15"/>
  <cols>
    <col width="4.85546875" customWidth="1" style="130" min="1" max="1"/>
    <col width="12.140625" customWidth="1" style="130" min="2" max="2"/>
    <col width="26.28515625" bestFit="1" customWidth="1" style="130" min="3" max="3"/>
    <col width="10.5703125" bestFit="1" customWidth="1" style="130" min="4" max="4"/>
    <col width="8.5703125" customWidth="1" style="130" min="5" max="5"/>
    <col width="11.7109375" customWidth="1" style="130" min="6" max="6"/>
    <col width="10.85546875" bestFit="1" customWidth="1" style="130" min="7" max="7"/>
    <col width="24.140625" customWidth="1" style="130" min="8" max="8"/>
    <col width="13.5703125" customWidth="1" style="130" min="9" max="9"/>
    <col width="11.7109375" customWidth="1" style="130" min="10" max="10"/>
    <col width="13.28515625" customWidth="1" style="130" min="11" max="11"/>
    <col width="10.28515625" customWidth="1" style="130" min="12" max="12"/>
    <col width="13.28515625" customWidth="1" style="130" min="13" max="13"/>
    <col width="17.85546875" customWidth="1" style="130" min="14" max="14"/>
    <col width="12.28515625" customWidth="1" style="130" min="15" max="15"/>
  </cols>
  <sheetData>
    <row r="2">
      <c r="B2" s="185" t="inlineStr">
        <is>
          <t>Reg No.</t>
        </is>
      </c>
      <c r="C2" s="185" t="inlineStr">
        <is>
          <t>Full Name</t>
        </is>
      </c>
      <c r="D2" s="185" t="inlineStr">
        <is>
          <t>Class</t>
        </is>
      </c>
      <c r="E2" s="185" t="inlineStr">
        <is>
          <t>Gender</t>
        </is>
      </c>
      <c r="F2" s="185" t="inlineStr">
        <is>
          <t>Days Present</t>
        </is>
      </c>
      <c r="G2" s="185" t="inlineStr">
        <is>
          <t>Days Absent</t>
        </is>
      </c>
      <c r="H2" s="136" t="inlineStr">
        <is>
          <t>Domain (Affective/Psychomotor)</t>
        </is>
      </c>
      <c r="P2" s="70" t="n"/>
      <c r="Q2" s="70" t="n"/>
    </row>
    <row r="3">
      <c r="H3" s="71" t="inlineStr">
        <is>
          <t>Relationship with Peers</t>
        </is>
      </c>
      <c r="I3" s="71" t="inlineStr">
        <is>
          <t>Neatness</t>
        </is>
      </c>
      <c r="J3" s="71" t="inlineStr">
        <is>
          <t>Honesty</t>
        </is>
      </c>
      <c r="K3" s="71" t="inlineStr">
        <is>
          <t>Punctuality</t>
        </is>
      </c>
      <c r="L3" s="71" t="inlineStr">
        <is>
          <t>Respect</t>
        </is>
      </c>
      <c r="M3" s="71" t="inlineStr">
        <is>
          <t>Handwriting</t>
        </is>
      </c>
      <c r="N3" s="71" t="inlineStr">
        <is>
          <t>Games and Sport</t>
        </is>
      </c>
      <c r="O3" s="71" t="inlineStr">
        <is>
          <t>Clubs</t>
        </is>
      </c>
    </row>
    <row r="4">
      <c r="B4">
        <f>IF(STUDENTS!B3="","",STUDENTS!B3)</f>
        <v/>
      </c>
      <c r="C4" t="inlineStr">
        <is>
          <t>Student 01</t>
        </is>
      </c>
      <c r="D4">
        <f>IFERROR(IF(B4="","",_xlfn.XLOOKUP(B4,STUDENTS!B3:B100000,STUDENTS!D3:D100000)),"update STUDENT sheet")</f>
        <v/>
      </c>
      <c r="E4">
        <f>IFERROR(IF(C4="","",_xlfn.XLOOKUP(C4,STUDENTS!C3:C100000,STUDENTS!F3:F100000)),"update STUDENT sheet")</f>
        <v/>
      </c>
      <c r="F4">
        <f>IFERROR(IF(D4="","",_xlfn.XLOOKUP(D4,STUDENTS!D3:D100000,STUDENTS!G3:G100000)),"update STUDENT sheet")</f>
        <v/>
      </c>
      <c r="G4">
        <f>IFERROR(IF(E4="","",_xlfn.XLOOKUP(E4,STUDENTS!F3:F100000,STUDENTS!H3:H100000)),"update STUDENT sheet")</f>
        <v/>
      </c>
      <c r="H4" t="n">
        <v>5</v>
      </c>
      <c r="I4" t="n">
        <v>5</v>
      </c>
      <c r="J4" t="n">
        <v>5</v>
      </c>
      <c r="K4" t="n">
        <v>5</v>
      </c>
      <c r="L4" t="n">
        <v>5</v>
      </c>
      <c r="M4" t="n">
        <v>5</v>
      </c>
      <c r="N4" t="n">
        <v>5</v>
      </c>
      <c r="O4" t="n">
        <v>5</v>
      </c>
    </row>
    <row r="5">
      <c r="B5">
        <f>IF(STUDENTS!B4="","",STUDENTS!B4)</f>
        <v/>
      </c>
      <c r="C5" t="inlineStr">
        <is>
          <t>Student 02</t>
        </is>
      </c>
      <c r="D5">
        <f>IFERROR(IF(B5="","",_xlfn.XLOOKUP(B5,STUDENTS!B4:B100001,STUDENTS!D4:D100001)),"update STUDENT sheet")</f>
        <v/>
      </c>
      <c r="E5">
        <f>IFERROR(IF(C5="","",_xlfn.XLOOKUP(C5,STUDENTS!C4:C100001,STUDENTS!F4:F100001)),"update STUDENT sheet")</f>
        <v/>
      </c>
      <c r="F5">
        <f>IFERROR(IF(D5="","",_xlfn.XLOOKUP(D5,STUDENTS!D4:D100001,STUDENTS!G4:G100001)),"update STUDENT sheet")</f>
        <v/>
      </c>
      <c r="G5">
        <f>IFERROR(IF(E5="","",_xlfn.XLOOKUP(E5,STUDENTS!F4:F100001,STUDENTS!H4:H100001)),"update STUDENT sheet")</f>
        <v/>
      </c>
      <c r="H5" t="n">
        <v>5</v>
      </c>
      <c r="I5" t="n">
        <v>5</v>
      </c>
      <c r="J5" t="n">
        <v>5</v>
      </c>
      <c r="K5" t="n">
        <v>5</v>
      </c>
      <c r="L5" t="n">
        <v>5</v>
      </c>
      <c r="M5" t="n">
        <v>5</v>
      </c>
      <c r="N5" t="n">
        <v>5</v>
      </c>
      <c r="O5" t="n">
        <v>5</v>
      </c>
    </row>
    <row r="6">
      <c r="B6">
        <f>IF(STUDENTS!B5="","",STUDENTS!B5)</f>
        <v/>
      </c>
      <c r="C6" t="inlineStr">
        <is>
          <t>Student 03</t>
        </is>
      </c>
      <c r="D6">
        <f>IFERROR(IF(B6="","",_xlfn.XLOOKUP(B6,STUDENTS!B5:B100002,STUDENTS!D5:D100002)),"update STUDENT sheet")</f>
        <v/>
      </c>
      <c r="E6">
        <f>IFERROR(IF(C6="","",_xlfn.XLOOKUP(C6,STUDENTS!C5:C100002,STUDENTS!F5:F100002)),"update STUDENT sheet")</f>
        <v/>
      </c>
      <c r="F6">
        <f>IFERROR(IF(D6="","",_xlfn.XLOOKUP(D6,STUDENTS!D5:D100002,STUDENTS!G5:G100002)),"update STUDENT sheet")</f>
        <v/>
      </c>
      <c r="G6">
        <f>IFERROR(IF(E6="","",_xlfn.XLOOKUP(E6,STUDENTS!F5:F100002,STUDENTS!H5:H100002)),"update STUDENT sheet")</f>
        <v/>
      </c>
      <c r="H6" t="n">
        <v>5</v>
      </c>
      <c r="I6" t="n">
        <v>5</v>
      </c>
      <c r="J6" t="n">
        <v>5</v>
      </c>
      <c r="K6" t="n">
        <v>5</v>
      </c>
      <c r="L6" t="n">
        <v>5</v>
      </c>
      <c r="M6" t="n">
        <v>5</v>
      </c>
      <c r="N6" t="n">
        <v>5</v>
      </c>
      <c r="O6" t="n">
        <v>5</v>
      </c>
    </row>
    <row r="7">
      <c r="B7">
        <f>IF(STUDENTS!B6="","",STUDENTS!B6)</f>
        <v/>
      </c>
      <c r="C7" t="inlineStr">
        <is>
          <t>Student 04</t>
        </is>
      </c>
      <c r="D7">
        <f>IFERROR(IF(B7="","",_xlfn.XLOOKUP(B7,STUDENTS!B6:B100003,STUDENTS!D6:D100003)),"update STUDENT sheet")</f>
        <v/>
      </c>
      <c r="E7">
        <f>IFERROR(IF(C7="","",_xlfn.XLOOKUP(C7,STUDENTS!C6:C100003,STUDENTS!F6:F100003)),"update STUDENT sheet")</f>
        <v/>
      </c>
      <c r="F7">
        <f>IFERROR(IF(D7="","",_xlfn.XLOOKUP(D7,STUDENTS!D6:D100003,STUDENTS!G6:G100003)),"update STUDENT sheet")</f>
        <v/>
      </c>
      <c r="G7">
        <f>IFERROR(IF(E7="","",_xlfn.XLOOKUP(E7,STUDENTS!F6:F100003,STUDENTS!H6:H100003)),"update STUDENT sheet")</f>
        <v/>
      </c>
      <c r="H7" t="n">
        <v>5</v>
      </c>
      <c r="I7" t="n">
        <v>5</v>
      </c>
      <c r="J7" t="n">
        <v>5</v>
      </c>
      <c r="K7" t="n">
        <v>5</v>
      </c>
      <c r="L7" t="n">
        <v>5</v>
      </c>
      <c r="M7" t="n">
        <v>5</v>
      </c>
      <c r="N7" t="n">
        <v>5</v>
      </c>
      <c r="O7" t="n">
        <v>5</v>
      </c>
    </row>
    <row r="8">
      <c r="B8">
        <f>IF(STUDENTS!B7="","",STUDENTS!B7)</f>
        <v/>
      </c>
      <c r="C8" t="inlineStr">
        <is>
          <t>Student 05</t>
        </is>
      </c>
      <c r="D8">
        <f>IFERROR(IF(B8="","",_xlfn.XLOOKUP(B8,STUDENTS!B7:B100004,STUDENTS!D7:D100004)),"update STUDENT sheet")</f>
        <v/>
      </c>
      <c r="E8">
        <f>IFERROR(IF(C8="","",_xlfn.XLOOKUP(C8,STUDENTS!C7:C100004,STUDENTS!F7:F100004)),"update STUDENT sheet")</f>
        <v/>
      </c>
      <c r="F8">
        <f>IFERROR(IF(D8="","",_xlfn.XLOOKUP(D8,STUDENTS!D7:D100004,STUDENTS!G7:G100004)),"update STUDENT sheet")</f>
        <v/>
      </c>
      <c r="G8">
        <f>IFERROR(IF(E8="","",_xlfn.XLOOKUP(E8,STUDENTS!F7:F100004,STUDENTS!H7:H100004)),"update STUDENT sheet")</f>
        <v/>
      </c>
      <c r="H8" t="n">
        <v>5</v>
      </c>
      <c r="I8" t="n">
        <v>5</v>
      </c>
      <c r="J8" t="n">
        <v>5</v>
      </c>
      <c r="K8" t="n">
        <v>5</v>
      </c>
      <c r="L8" t="n">
        <v>5</v>
      </c>
      <c r="M8" t="n">
        <v>5</v>
      </c>
      <c r="N8" t="n">
        <v>5</v>
      </c>
      <c r="O8" t="n">
        <v>5</v>
      </c>
    </row>
    <row r="9">
      <c r="B9">
        <f>IF(STUDENTS!B8="","",STUDENTS!B8)</f>
        <v/>
      </c>
      <c r="C9" t="inlineStr">
        <is>
          <t>Student 06</t>
        </is>
      </c>
      <c r="D9">
        <f>IFERROR(IF(B9="","",_xlfn.XLOOKUP(B9,STUDENTS!B8:B100005,STUDENTS!D8:D100005)),"update STUDENT sheet")</f>
        <v/>
      </c>
      <c r="E9">
        <f>IFERROR(IF(C9="","",_xlfn.XLOOKUP(C9,STUDENTS!C8:C100005,STUDENTS!F8:F100005)),"update STUDENT sheet")</f>
        <v/>
      </c>
      <c r="F9">
        <f>IFERROR(IF(D9="","",_xlfn.XLOOKUP(D9,STUDENTS!D8:D100005,STUDENTS!G8:G100005)),"update STUDENT sheet")</f>
        <v/>
      </c>
      <c r="G9">
        <f>IFERROR(IF(E9="","",_xlfn.XLOOKUP(E9,STUDENTS!F8:F100005,STUDENTS!H8:H100005)),"update STUDENT sheet")</f>
        <v/>
      </c>
      <c r="H9" t="n">
        <v>5</v>
      </c>
      <c r="I9" t="n">
        <v>5</v>
      </c>
      <c r="J9" t="n">
        <v>5</v>
      </c>
      <c r="K9" t="n">
        <v>5</v>
      </c>
      <c r="L9" t="n">
        <v>5</v>
      </c>
      <c r="M9" t="n">
        <v>5</v>
      </c>
      <c r="N9" t="n">
        <v>5</v>
      </c>
      <c r="O9" t="n">
        <v>5</v>
      </c>
    </row>
    <row r="10">
      <c r="B10">
        <f>IF(STUDENTS!B9="","",STUDENTS!B9)</f>
        <v/>
      </c>
      <c r="C10" t="inlineStr">
        <is>
          <t>Student 07</t>
        </is>
      </c>
      <c r="D10">
        <f>IFERROR(IF(B10="","",_xlfn.XLOOKUP(B10,STUDENTS!B9:B100006,STUDENTS!D9:D100006)),"update STUDENT sheet")</f>
        <v/>
      </c>
      <c r="E10">
        <f>IFERROR(IF(C10="","",_xlfn.XLOOKUP(C10,STUDENTS!C9:C100006,STUDENTS!F9:F100006)),"update STUDENT sheet")</f>
        <v/>
      </c>
      <c r="F10">
        <f>IFERROR(IF(D10="","",_xlfn.XLOOKUP(D10,STUDENTS!D9:D100006,STUDENTS!G9:G100006)),"update STUDENT sheet")</f>
        <v/>
      </c>
      <c r="G10">
        <f>IFERROR(IF(E10="","",_xlfn.XLOOKUP(E10,STUDENTS!F9:F100006,STUDENTS!H9:H100006)),"update STUDENT sheet")</f>
        <v/>
      </c>
      <c r="H10" t="n">
        <v>5</v>
      </c>
      <c r="I10" t="n">
        <v>5</v>
      </c>
      <c r="J10" t="n">
        <v>5</v>
      </c>
      <c r="K10" t="n">
        <v>5</v>
      </c>
      <c r="L10" t="n">
        <v>5</v>
      </c>
      <c r="M10" t="n">
        <v>5</v>
      </c>
      <c r="N10" t="n">
        <v>5</v>
      </c>
      <c r="O10" t="n">
        <v>5</v>
      </c>
    </row>
    <row r="11">
      <c r="B11">
        <f>IF(STUDENTS!B10="","",STUDENTS!B10)</f>
        <v/>
      </c>
      <c r="C11" t="inlineStr">
        <is>
          <t>Student 08</t>
        </is>
      </c>
      <c r="D11">
        <f>IFERROR(IF(B11="","",_xlfn.XLOOKUP(B11,STUDENTS!B10:B100007,STUDENTS!D10:D100007)),"update STUDENT sheet")</f>
        <v/>
      </c>
      <c r="E11">
        <f>IFERROR(IF(C11="","",_xlfn.XLOOKUP(C11,STUDENTS!C10:C100007,STUDENTS!F10:F100007)),"update STUDENT sheet")</f>
        <v/>
      </c>
      <c r="F11">
        <f>IFERROR(IF(D11="","",_xlfn.XLOOKUP(D11,STUDENTS!D10:D100007,STUDENTS!G10:G100007)),"update STUDENT sheet")</f>
        <v/>
      </c>
      <c r="G11">
        <f>IFERROR(IF(E11="","",_xlfn.XLOOKUP(E11,STUDENTS!F10:F100007,STUDENTS!H10:H100007)),"update STUDENT sheet")</f>
        <v/>
      </c>
      <c r="H11" t="n">
        <v>5</v>
      </c>
      <c r="I11" t="n">
        <v>5</v>
      </c>
      <c r="J11" t="n">
        <v>5</v>
      </c>
      <c r="K11" t="n">
        <v>5</v>
      </c>
      <c r="L11" t="n">
        <v>5</v>
      </c>
      <c r="M11" t="n">
        <v>5</v>
      </c>
      <c r="N11" t="n">
        <v>5</v>
      </c>
      <c r="O11" t="n">
        <v>5</v>
      </c>
    </row>
    <row r="12">
      <c r="B12">
        <f>IF(STUDENTS!B11="","",STUDENTS!B11)</f>
        <v/>
      </c>
      <c r="C12" t="inlineStr">
        <is>
          <t>Student 09</t>
        </is>
      </c>
      <c r="D12">
        <f>IFERROR(IF(B12="","",_xlfn.XLOOKUP(B12,STUDENTS!B11:B100008,STUDENTS!D11:D100008)),"update STUDENT sheet")</f>
        <v/>
      </c>
      <c r="E12">
        <f>IFERROR(IF(C12="","",_xlfn.XLOOKUP(C12,STUDENTS!C11:C100008,STUDENTS!F11:F100008)),"update STUDENT sheet")</f>
        <v/>
      </c>
      <c r="F12">
        <f>IFERROR(IF(D12="","",_xlfn.XLOOKUP(D12,STUDENTS!D11:D100008,STUDENTS!G11:G100008)),"update STUDENT sheet")</f>
        <v/>
      </c>
      <c r="G12">
        <f>IFERROR(IF(E12="","",_xlfn.XLOOKUP(E12,STUDENTS!F11:F100008,STUDENTS!H11:H100008)),"update STUDENT sheet")</f>
        <v/>
      </c>
      <c r="H12" t="n">
        <v>5</v>
      </c>
      <c r="I12" t="n">
        <v>5</v>
      </c>
      <c r="J12" t="n">
        <v>5</v>
      </c>
      <c r="K12" t="n">
        <v>5</v>
      </c>
      <c r="L12" t="n">
        <v>5</v>
      </c>
      <c r="M12" t="n">
        <v>5</v>
      </c>
      <c r="N12" t="n">
        <v>5</v>
      </c>
      <c r="O12" t="n">
        <v>5</v>
      </c>
    </row>
    <row r="13">
      <c r="B13">
        <f>IF(STUDENTS!B12="","",STUDENTS!B12)</f>
        <v/>
      </c>
      <c r="C13" t="inlineStr">
        <is>
          <t>Student 10</t>
        </is>
      </c>
      <c r="D13">
        <f>IFERROR(IF(B13="","",_xlfn.XLOOKUP(B13,STUDENTS!B12:B100009,STUDENTS!D12:D100009)),"update STUDENT sheet")</f>
        <v/>
      </c>
      <c r="E13">
        <f>IFERROR(IF(C13="","",_xlfn.XLOOKUP(C13,STUDENTS!C12:C100009,STUDENTS!F12:F100009)),"update STUDENT sheet")</f>
        <v/>
      </c>
      <c r="F13">
        <f>IFERROR(IF(D13="","",_xlfn.XLOOKUP(D13,STUDENTS!D12:D100009,STUDENTS!G12:G100009)),"update STUDENT sheet")</f>
        <v/>
      </c>
      <c r="G13">
        <f>IFERROR(IF(E13="","",_xlfn.XLOOKUP(E13,STUDENTS!F12:F100009,STUDENTS!H12:H100009)),"update STUDENT sheet")</f>
        <v/>
      </c>
      <c r="H13" t="n">
        <v>5</v>
      </c>
      <c r="I13" t="n">
        <v>5</v>
      </c>
      <c r="J13" t="n">
        <v>5</v>
      </c>
      <c r="K13" t="n">
        <v>5</v>
      </c>
      <c r="L13" t="n">
        <v>5</v>
      </c>
      <c r="M13" t="n">
        <v>5</v>
      </c>
      <c r="N13" t="n">
        <v>5</v>
      </c>
      <c r="O13" t="n">
        <v>5</v>
      </c>
    </row>
    <row r="14">
      <c r="B14">
        <f>IF(STUDENTS!B13="","",STUDENTS!B13)</f>
        <v/>
      </c>
      <c r="C14" t="inlineStr">
        <is>
          <t>Student 11</t>
        </is>
      </c>
      <c r="D14">
        <f>IFERROR(IF(B14="","",_xlfn.XLOOKUP(B14,STUDENTS!B13:B100010,STUDENTS!D13:D100010)),"update STUDENT sheet")</f>
        <v/>
      </c>
      <c r="E14">
        <f>IFERROR(IF(C14="","",_xlfn.XLOOKUP(C14,STUDENTS!C13:C100010,STUDENTS!F13:F100010)),"update STUDENT sheet")</f>
        <v/>
      </c>
      <c r="F14">
        <f>IFERROR(IF(D14="","",_xlfn.XLOOKUP(D14,STUDENTS!D13:D100010,STUDENTS!G13:G100010)),"update STUDENT sheet")</f>
        <v/>
      </c>
      <c r="G14">
        <f>IFERROR(IF(E14="","",_xlfn.XLOOKUP(E14,STUDENTS!F13:F100010,STUDENTS!H13:H100010)),"update STUDENT sheet")</f>
        <v/>
      </c>
      <c r="H14" t="n">
        <v>5</v>
      </c>
      <c r="I14" t="n">
        <v>5</v>
      </c>
      <c r="J14" t="n">
        <v>5</v>
      </c>
      <c r="K14" t="n">
        <v>5</v>
      </c>
      <c r="L14" t="n">
        <v>5</v>
      </c>
      <c r="M14" t="n">
        <v>5</v>
      </c>
      <c r="N14" t="n">
        <v>5</v>
      </c>
      <c r="O14" t="n">
        <v>5</v>
      </c>
    </row>
    <row r="15">
      <c r="B15">
        <f>IF(STUDENTS!B14="","",STUDENTS!B14)</f>
        <v/>
      </c>
      <c r="C15" t="inlineStr">
        <is>
          <t>Student 12</t>
        </is>
      </c>
      <c r="D15">
        <f>IFERROR(IF(B15="","",_xlfn.XLOOKUP(B15,STUDENTS!B14:B100011,STUDENTS!D14:D100011)),"update STUDENT sheet")</f>
        <v/>
      </c>
      <c r="E15">
        <f>IFERROR(IF(C15="","",_xlfn.XLOOKUP(C15,STUDENTS!C14:C100011,STUDENTS!F14:F100011)),"update STUDENT sheet")</f>
        <v/>
      </c>
      <c r="F15">
        <f>IFERROR(IF(D15="","",_xlfn.XLOOKUP(D15,STUDENTS!D14:D100011,STUDENTS!G14:G100011)),"update STUDENT sheet")</f>
        <v/>
      </c>
      <c r="G15">
        <f>IFERROR(IF(E15="","",_xlfn.XLOOKUP(E15,STUDENTS!F14:F100011,STUDENTS!H14:H100011)),"update STUDENT sheet")</f>
        <v/>
      </c>
      <c r="H15" t="n">
        <v>5</v>
      </c>
      <c r="I15" t="n">
        <v>5</v>
      </c>
      <c r="J15" t="n">
        <v>5</v>
      </c>
      <c r="K15" t="n">
        <v>5</v>
      </c>
      <c r="L15" t="n">
        <v>5</v>
      </c>
      <c r="M15" t="n">
        <v>5</v>
      </c>
      <c r="N15" t="n">
        <v>5</v>
      </c>
      <c r="O15" t="n">
        <v>5</v>
      </c>
    </row>
    <row r="16">
      <c r="B16">
        <f>IF(STUDENTS!B15="","",STUDENTS!B15)</f>
        <v/>
      </c>
      <c r="C16" t="inlineStr">
        <is>
          <t>Student 13</t>
        </is>
      </c>
      <c r="D16">
        <f>IFERROR(IF(B16="","",_xlfn.XLOOKUP(B16,STUDENTS!B15:B100012,STUDENTS!D15:D100012)),"update STUDENT sheet")</f>
        <v/>
      </c>
      <c r="E16">
        <f>IFERROR(IF(C16="","",_xlfn.XLOOKUP(C16,STUDENTS!C15:C100012,STUDENTS!F15:F100012)),"update STUDENT sheet")</f>
        <v/>
      </c>
      <c r="F16">
        <f>IFERROR(IF(D16="","",_xlfn.XLOOKUP(D16,STUDENTS!D15:D100012,STUDENTS!G15:G100012)),"update STUDENT sheet")</f>
        <v/>
      </c>
      <c r="G16">
        <f>IFERROR(IF(E16="","",_xlfn.XLOOKUP(E16,STUDENTS!F15:F100012,STUDENTS!H15:H100012)),"update STUDENT sheet")</f>
        <v/>
      </c>
      <c r="H16" t="n">
        <v>5</v>
      </c>
      <c r="I16" t="n">
        <v>5</v>
      </c>
      <c r="J16" t="n">
        <v>5</v>
      </c>
      <c r="K16" t="n">
        <v>5</v>
      </c>
      <c r="L16" t="n">
        <v>5</v>
      </c>
      <c r="M16" t="n">
        <v>5</v>
      </c>
      <c r="N16" t="n">
        <v>5</v>
      </c>
      <c r="O16" t="n">
        <v>5</v>
      </c>
    </row>
    <row r="17">
      <c r="B17">
        <f>IF(STUDENTS!B16="","",STUDENTS!B16)</f>
        <v/>
      </c>
      <c r="C17" t="inlineStr">
        <is>
          <t>Student 14</t>
        </is>
      </c>
      <c r="D17">
        <f>IFERROR(IF(B17="","",_xlfn.XLOOKUP(B17,STUDENTS!B16:B100013,STUDENTS!D16:D100013)),"update STUDENT sheet")</f>
        <v/>
      </c>
      <c r="E17">
        <f>IFERROR(IF(C17="","",_xlfn.XLOOKUP(C17,STUDENTS!C16:C100013,STUDENTS!F16:F100013)),"update STUDENT sheet")</f>
        <v/>
      </c>
      <c r="F17">
        <f>IFERROR(IF(D17="","",_xlfn.XLOOKUP(D17,STUDENTS!D16:D100013,STUDENTS!G16:G100013)),"update STUDENT sheet")</f>
        <v/>
      </c>
      <c r="G17">
        <f>IFERROR(IF(E17="","",_xlfn.XLOOKUP(E17,STUDENTS!F16:F100013,STUDENTS!H16:H100013)),"update STUDENT sheet")</f>
        <v/>
      </c>
      <c r="I17" s="69" t="n"/>
      <c r="J17" s="69" t="n"/>
    </row>
    <row r="18">
      <c r="B18">
        <f>IF(STUDENTS!B17="","",STUDENTS!B17)</f>
        <v/>
      </c>
      <c r="C18" t="inlineStr">
        <is>
          <t>Student 15</t>
        </is>
      </c>
      <c r="D18">
        <f>IFERROR(IF(B18="","",_xlfn.XLOOKUP(B18,STUDENTS!B17:B100014,STUDENTS!D17:D100014)),"update STUDENT sheet")</f>
        <v/>
      </c>
      <c r="E18">
        <f>IFERROR(IF(C18="","",_xlfn.XLOOKUP(C18,STUDENTS!C17:C100014,STUDENTS!F17:F100014)),"update STUDENT sheet")</f>
        <v/>
      </c>
      <c r="F18">
        <f>IFERROR(IF(D18="","",_xlfn.XLOOKUP(D18,STUDENTS!D17:D100014,STUDENTS!G17:G100014)),"update STUDENT sheet")</f>
        <v/>
      </c>
      <c r="G18">
        <f>IFERROR(IF(E18="","",_xlfn.XLOOKUP(E18,STUDENTS!F17:F100014,STUDENTS!H17:H100014)),"update STUDENT sheet")</f>
        <v/>
      </c>
    </row>
    <row r="19">
      <c r="B19">
        <f>IF(STUDENTS!B18="","",STUDENTS!B18)</f>
        <v/>
      </c>
      <c r="C19" t="inlineStr">
        <is>
          <t>Student 16</t>
        </is>
      </c>
      <c r="D19">
        <f>IFERROR(IF(B19="","",_xlfn.XLOOKUP(B19,STUDENTS!B18:B100015,STUDENTS!D18:D100015)),"update STUDENT sheet")</f>
        <v/>
      </c>
      <c r="E19">
        <f>IFERROR(IF(C19="","",_xlfn.XLOOKUP(C19,STUDENTS!C18:C100015,STUDENTS!F18:F100015)),"update STUDENT sheet")</f>
        <v/>
      </c>
      <c r="F19">
        <f>IFERROR(IF(D19="","",_xlfn.XLOOKUP(D19,STUDENTS!D18:D100015,STUDENTS!G18:G100015)),"update STUDENT sheet")</f>
        <v/>
      </c>
      <c r="G19">
        <f>IFERROR(IF(E19="","",_xlfn.XLOOKUP(E19,STUDENTS!F18:F100015,STUDENTS!H18:H100015)),"update STUDENT sheet")</f>
        <v/>
      </c>
    </row>
    <row r="20">
      <c r="B20">
        <f>IF(STUDENTS!B19="","",STUDENTS!B19)</f>
        <v/>
      </c>
      <c r="C20" t="inlineStr">
        <is>
          <t>Student 17</t>
        </is>
      </c>
      <c r="D20">
        <f>IFERROR(IF(B20="","",_xlfn.XLOOKUP(B20,STUDENTS!B19:B100016,STUDENTS!D19:D100016)),"update STUDENT sheet")</f>
        <v/>
      </c>
      <c r="E20">
        <f>IFERROR(IF(C20="","",_xlfn.XLOOKUP(C20,STUDENTS!C19:C100016,STUDENTS!F19:F100016)),"update STUDENT sheet")</f>
        <v/>
      </c>
      <c r="F20">
        <f>IFERROR(IF(D20="","",_xlfn.XLOOKUP(D20,STUDENTS!D19:D100016,STUDENTS!G19:G100016)),"update STUDENT sheet")</f>
        <v/>
      </c>
      <c r="G20">
        <f>IFERROR(IF(E20="","",_xlfn.XLOOKUP(E20,STUDENTS!F19:F100016,STUDENTS!H19:H100016)),"update STUDENT sheet")</f>
        <v/>
      </c>
    </row>
    <row r="21">
      <c r="B21">
        <f>IF(STUDENTS!B20="","",STUDENTS!B20)</f>
        <v/>
      </c>
      <c r="C21" t="inlineStr">
        <is>
          <t>Student 18</t>
        </is>
      </c>
      <c r="D21">
        <f>IFERROR(IF(B21="","",_xlfn.XLOOKUP(B21,STUDENTS!B20:B100017,STUDENTS!D20:D100017)),"update STUDENT sheet")</f>
        <v/>
      </c>
      <c r="E21">
        <f>IFERROR(IF(C21="","",_xlfn.XLOOKUP(C21,STUDENTS!C20:C100017,STUDENTS!F20:F100017)),"update STUDENT sheet")</f>
        <v/>
      </c>
      <c r="F21">
        <f>IFERROR(IF(D21="","",_xlfn.XLOOKUP(D21,STUDENTS!D20:D100017,STUDENTS!G20:G100017)),"update STUDENT sheet")</f>
        <v/>
      </c>
      <c r="G21">
        <f>IFERROR(IF(E21="","",_xlfn.XLOOKUP(E21,STUDENTS!F20:F100017,STUDENTS!H20:H100017)),"update STUDENT sheet")</f>
        <v/>
      </c>
    </row>
    <row r="22">
      <c r="B22">
        <f>IF(STUDENTS!B21="","",STUDENTS!B21)</f>
        <v/>
      </c>
      <c r="C22" t="inlineStr">
        <is>
          <t>Student 19</t>
        </is>
      </c>
      <c r="D22">
        <f>IFERROR(IF(B22="","",_xlfn.XLOOKUP(B22,STUDENTS!B21:B100018,STUDENTS!D21:D100018)),"update STUDENT sheet")</f>
        <v/>
      </c>
      <c r="E22">
        <f>IFERROR(IF(C22="","",_xlfn.XLOOKUP(C22,STUDENTS!C21:C100018,STUDENTS!F21:F100018)),"update STUDENT sheet")</f>
        <v/>
      </c>
      <c r="F22">
        <f>IFERROR(IF(D22="","",_xlfn.XLOOKUP(D22,STUDENTS!D21:D100018,STUDENTS!G21:G100018)),"update STUDENT sheet")</f>
        <v/>
      </c>
      <c r="G22">
        <f>IFERROR(IF(E22="","",_xlfn.XLOOKUP(E22,STUDENTS!F21:F100018,STUDENTS!H21:H100018)),"update STUDENT sheet")</f>
        <v/>
      </c>
    </row>
    <row r="23">
      <c r="B23">
        <f>IF(STUDENTS!B22="","",STUDENTS!B22)</f>
        <v/>
      </c>
      <c r="C23" t="inlineStr">
        <is>
          <t>Student 20</t>
        </is>
      </c>
      <c r="D23">
        <f>IFERROR(IF(B23="","",_xlfn.XLOOKUP(B23,STUDENTS!B22:B100019,STUDENTS!D22:D100019)),"update STUDENT sheet")</f>
        <v/>
      </c>
      <c r="E23">
        <f>IFERROR(IF(C23="","",_xlfn.XLOOKUP(C23,STUDENTS!C22:C100019,STUDENTS!F22:F100019)),"update STUDENT sheet")</f>
        <v/>
      </c>
      <c r="F23">
        <f>IFERROR(IF(D23="","",_xlfn.XLOOKUP(D23,STUDENTS!D22:D100019,STUDENTS!G22:G100019)),"update STUDENT sheet")</f>
        <v/>
      </c>
      <c r="G23">
        <f>IFERROR(IF(E23="","",_xlfn.XLOOKUP(E23,STUDENTS!F22:F100019,STUDENTS!H22:H100019)),"update STUDENT sheet")</f>
        <v/>
      </c>
    </row>
    <row r="24">
      <c r="B24">
        <f>IF(STUDENTS!B23="","",STUDENTS!B23)</f>
        <v/>
      </c>
      <c r="C24" t="inlineStr">
        <is>
          <t>Student 21</t>
        </is>
      </c>
      <c r="D24">
        <f>IFERROR(IF(B24="","",_xlfn.XLOOKUP(B24,STUDENTS!B23:B100020,STUDENTS!D23:D100020)),"update STUDENT sheet")</f>
        <v/>
      </c>
      <c r="E24">
        <f>IFERROR(IF(C24="","",_xlfn.XLOOKUP(C24,STUDENTS!C23:C100020,STUDENTS!F23:F100020)),"update STUDENT sheet")</f>
        <v/>
      </c>
      <c r="F24">
        <f>IFERROR(IF(D24="","",_xlfn.XLOOKUP(D24,STUDENTS!D23:D100020,STUDENTS!G23:G100020)),"update STUDENT sheet")</f>
        <v/>
      </c>
      <c r="G24">
        <f>IFERROR(IF(E24="","",_xlfn.XLOOKUP(E24,STUDENTS!F23:F100020,STUDENTS!H23:H100020)),"update STUDENT sheet")</f>
        <v/>
      </c>
    </row>
    <row r="25">
      <c r="B25">
        <f>IF(STUDENTS!B24="","",STUDENTS!B24)</f>
        <v/>
      </c>
      <c r="C25" t="inlineStr">
        <is>
          <t>Student 22</t>
        </is>
      </c>
      <c r="D25">
        <f>IFERROR(IF(B25="","",_xlfn.XLOOKUP(B25,STUDENTS!B24:B100021,STUDENTS!D24:D100021)),"update STUDENT sheet")</f>
        <v/>
      </c>
      <c r="E25">
        <f>IFERROR(IF(C25="","",_xlfn.XLOOKUP(C25,STUDENTS!C24:C100021,STUDENTS!F24:F100021)),"update STUDENT sheet")</f>
        <v/>
      </c>
      <c r="F25">
        <f>IFERROR(IF(D25="","",_xlfn.XLOOKUP(D25,STUDENTS!D24:D100021,STUDENTS!G24:G100021)),"update STUDENT sheet")</f>
        <v/>
      </c>
      <c r="G25">
        <f>IFERROR(IF(E25="","",_xlfn.XLOOKUP(E25,STUDENTS!F24:F100021,STUDENTS!H24:H100021)),"update STUDENT sheet")</f>
        <v/>
      </c>
    </row>
    <row r="26">
      <c r="B26">
        <f>IF(STUDENTS!B25="","",STUDENTS!B25)</f>
        <v/>
      </c>
      <c r="C26" t="inlineStr">
        <is>
          <t>Student 23</t>
        </is>
      </c>
      <c r="D26">
        <f>IFERROR(IF(B26="","",_xlfn.XLOOKUP(B26,STUDENTS!B25:B100022,STUDENTS!D25:D100022)),"update STUDENT sheet")</f>
        <v/>
      </c>
      <c r="E26">
        <f>IFERROR(IF(C26="","",_xlfn.XLOOKUP(C26,STUDENTS!C25:C100022,STUDENTS!F25:F100022)),"update STUDENT sheet")</f>
        <v/>
      </c>
      <c r="F26">
        <f>IFERROR(IF(D26="","",_xlfn.XLOOKUP(D26,STUDENTS!D25:D100022,STUDENTS!G25:G100022)),"update STUDENT sheet")</f>
        <v/>
      </c>
      <c r="G26">
        <f>IFERROR(IF(E26="","",_xlfn.XLOOKUP(E26,STUDENTS!F25:F100022,STUDENTS!H25:H100022)),"update STUDENT sheet")</f>
        <v/>
      </c>
    </row>
    <row r="27">
      <c r="B27">
        <f>IF(STUDENTS!B26="","",STUDENTS!B26)</f>
        <v/>
      </c>
      <c r="C27" t="inlineStr">
        <is>
          <t>Student 24</t>
        </is>
      </c>
      <c r="D27">
        <f>IFERROR(IF(B27="","",_xlfn.XLOOKUP(B27,STUDENTS!B26:B100023,STUDENTS!D26:D100023)),"update STUDENT sheet")</f>
        <v/>
      </c>
      <c r="E27">
        <f>IFERROR(IF(C27="","",_xlfn.XLOOKUP(C27,STUDENTS!C26:C100023,STUDENTS!F26:F100023)),"update STUDENT sheet")</f>
        <v/>
      </c>
      <c r="F27">
        <f>IFERROR(IF(D27="","",_xlfn.XLOOKUP(D27,STUDENTS!D26:D100023,STUDENTS!G26:G100023)),"update STUDENT sheet")</f>
        <v/>
      </c>
      <c r="G27">
        <f>IFERROR(IF(E27="","",_xlfn.XLOOKUP(E27,STUDENTS!F26:F100023,STUDENTS!H26:H100023)),"update STUDENT sheet")</f>
        <v/>
      </c>
    </row>
    <row r="28">
      <c r="B28">
        <f>IF(STUDENTS!B27="","",STUDENTS!B27)</f>
        <v/>
      </c>
      <c r="C28" t="inlineStr">
        <is>
          <t>Student 25</t>
        </is>
      </c>
      <c r="D28">
        <f>IFERROR(IF(B28="","",_xlfn.XLOOKUP(B28,STUDENTS!B27:B100024,STUDENTS!D27:D100024)),"update STUDENT sheet")</f>
        <v/>
      </c>
      <c r="E28">
        <f>IFERROR(IF(C28="","",_xlfn.XLOOKUP(C28,STUDENTS!C27:C100024,STUDENTS!F27:F100024)),"update STUDENT sheet")</f>
        <v/>
      </c>
      <c r="F28">
        <f>IFERROR(IF(D28="","",_xlfn.XLOOKUP(D28,STUDENTS!D27:D100024,STUDENTS!G27:G100024)),"update STUDENT sheet")</f>
        <v/>
      </c>
      <c r="G28">
        <f>IFERROR(IF(E28="","",_xlfn.XLOOKUP(E28,STUDENTS!F27:F100024,STUDENTS!H27:H100024)),"update STUDENT sheet")</f>
        <v/>
      </c>
    </row>
    <row r="29">
      <c r="B29">
        <f>IF(STUDENTS!B28="","",STUDENTS!B28)</f>
        <v/>
      </c>
      <c r="C29" t="inlineStr">
        <is>
          <t>Student 26</t>
        </is>
      </c>
      <c r="D29">
        <f>IFERROR(IF(B29="","",_xlfn.XLOOKUP(B29,STUDENTS!B28:B100025,STUDENTS!D28:D100025)),"update STUDENT sheet")</f>
        <v/>
      </c>
      <c r="E29">
        <f>IFERROR(IF(C29="","",_xlfn.XLOOKUP(C29,STUDENTS!C28:C100025,STUDENTS!F28:F100025)),"update STUDENT sheet")</f>
        <v/>
      </c>
      <c r="F29">
        <f>IFERROR(IF(D29="","",_xlfn.XLOOKUP(D29,STUDENTS!D28:D100025,STUDENTS!G28:G100025)),"update STUDENT sheet")</f>
        <v/>
      </c>
      <c r="G29">
        <f>IFERROR(IF(E29="","",_xlfn.XLOOKUP(E29,STUDENTS!F28:F100025,STUDENTS!H28:H100025)),"update STUDENT sheet")</f>
        <v/>
      </c>
    </row>
    <row r="30">
      <c r="B30">
        <f>IF(STUDENTS!B29="","",STUDENTS!B29)</f>
        <v/>
      </c>
      <c r="C30" t="inlineStr">
        <is>
          <t>Student 27</t>
        </is>
      </c>
      <c r="D30">
        <f>IFERROR(IF(B30="","",_xlfn.XLOOKUP(B30,STUDENTS!B29:B100026,STUDENTS!D29:D100026)),"update STUDENT sheet")</f>
        <v/>
      </c>
      <c r="E30">
        <f>IFERROR(IF(C30="","",_xlfn.XLOOKUP(C30,STUDENTS!C29:C100026,STUDENTS!F29:F100026)),"update STUDENT sheet")</f>
        <v/>
      </c>
      <c r="F30">
        <f>IFERROR(IF(D30="","",_xlfn.XLOOKUP(D30,STUDENTS!D29:D100026,STUDENTS!G29:G100026)),"update STUDENT sheet")</f>
        <v/>
      </c>
      <c r="G30">
        <f>IFERROR(IF(E30="","",_xlfn.XLOOKUP(E30,STUDENTS!F29:F100026,STUDENTS!H29:H100026)),"update STUDENT sheet")</f>
        <v/>
      </c>
    </row>
    <row r="31">
      <c r="B31">
        <f>IF(STUDENTS!B30="","",STUDENTS!B30)</f>
        <v/>
      </c>
      <c r="C31" t="inlineStr">
        <is>
          <t>Student 28</t>
        </is>
      </c>
      <c r="D31">
        <f>IFERROR(IF(B31="","",_xlfn.XLOOKUP(B31,STUDENTS!B30:B100027,STUDENTS!D30:D100027)),"update STUDENT sheet")</f>
        <v/>
      </c>
      <c r="E31">
        <f>IFERROR(IF(C31="","",_xlfn.XLOOKUP(C31,STUDENTS!C30:C100027,STUDENTS!F30:F100027)),"update STUDENT sheet")</f>
        <v/>
      </c>
      <c r="F31">
        <f>IFERROR(IF(D31="","",_xlfn.XLOOKUP(D31,STUDENTS!D30:D100027,STUDENTS!G30:G100027)),"update STUDENT sheet")</f>
        <v/>
      </c>
      <c r="G31">
        <f>IFERROR(IF(E31="","",_xlfn.XLOOKUP(E31,STUDENTS!F30:F100027,STUDENTS!H30:H100027)),"update STUDENT sheet")</f>
        <v/>
      </c>
    </row>
    <row r="32">
      <c r="B32">
        <f>IF(STUDENTS!B31="","",STUDENTS!B31)</f>
        <v/>
      </c>
      <c r="C32" t="inlineStr">
        <is>
          <t>Student 29</t>
        </is>
      </c>
      <c r="D32">
        <f>IFERROR(IF(B32="","",_xlfn.XLOOKUP(B32,STUDENTS!B31:B100028,STUDENTS!D31:D100028)),"update STUDENT sheet")</f>
        <v/>
      </c>
      <c r="E32">
        <f>IFERROR(IF(C32="","",_xlfn.XLOOKUP(C32,STUDENTS!C31:C100028,STUDENTS!F31:F100028)),"update STUDENT sheet")</f>
        <v/>
      </c>
      <c r="F32">
        <f>IFERROR(IF(D32="","",_xlfn.XLOOKUP(D32,STUDENTS!D31:D100028,STUDENTS!G31:G100028)),"update STUDENT sheet")</f>
        <v/>
      </c>
      <c r="G32">
        <f>IFERROR(IF(E32="","",_xlfn.XLOOKUP(E32,STUDENTS!F31:F100028,STUDENTS!H31:H100028)),"update STUDENT sheet")</f>
        <v/>
      </c>
    </row>
    <row r="33">
      <c r="B33">
        <f>IF(STUDENTS!B32="","",STUDENTS!B32)</f>
        <v/>
      </c>
      <c r="C33" t="inlineStr">
        <is>
          <t>Student 30</t>
        </is>
      </c>
      <c r="D33">
        <f>IFERROR(IF(B33="","",_xlfn.XLOOKUP(B33,STUDENTS!B32:B100029,STUDENTS!D32:D100029)),"update STUDENT sheet")</f>
        <v/>
      </c>
      <c r="E33">
        <f>IFERROR(IF(C33="","",_xlfn.XLOOKUP(C33,STUDENTS!C32:C100029,STUDENTS!F32:F100029)),"update STUDENT sheet")</f>
        <v/>
      </c>
      <c r="F33">
        <f>IFERROR(IF(D33="","",_xlfn.XLOOKUP(D33,STUDENTS!D32:D100029,STUDENTS!G32:G100029)),"update STUDENT sheet")</f>
        <v/>
      </c>
      <c r="G33">
        <f>IFERROR(IF(E33="","",_xlfn.XLOOKUP(E33,STUDENTS!F32:F100029,STUDENTS!H32:H100029)),"update STUDENT sheet")</f>
        <v/>
      </c>
    </row>
    <row r="34">
      <c r="B34">
        <f>IF(STUDENTS!B33="","",STUDENTS!B33)</f>
        <v/>
      </c>
      <c r="C34" t="inlineStr">
        <is>
          <t>Student 31</t>
        </is>
      </c>
      <c r="D34">
        <f>IFERROR(IF(B34="","",_xlfn.XLOOKUP(B34,STUDENTS!B33:B100030,STUDENTS!D33:D100030)),"update STUDENT sheet")</f>
        <v/>
      </c>
      <c r="E34">
        <f>IFERROR(IF(C34="","",_xlfn.XLOOKUP(C34,STUDENTS!C33:C100030,STUDENTS!F33:F100030)),"update STUDENT sheet")</f>
        <v/>
      </c>
      <c r="F34">
        <f>IFERROR(IF(D34="","",_xlfn.XLOOKUP(D34,STUDENTS!D33:D100030,STUDENTS!G33:G100030)),"update STUDENT sheet")</f>
        <v/>
      </c>
      <c r="G34">
        <f>IFERROR(IF(E34="","",_xlfn.XLOOKUP(E34,STUDENTS!F33:F100030,STUDENTS!H33:H100030)),"update STUDENT sheet")</f>
        <v/>
      </c>
    </row>
    <row r="35">
      <c r="B35">
        <f>IF(STUDENTS!B34="","",STUDENTS!B34)</f>
        <v/>
      </c>
      <c r="C35" t="inlineStr">
        <is>
          <t>Student 32</t>
        </is>
      </c>
      <c r="D35">
        <f>IFERROR(IF(B35="","",_xlfn.XLOOKUP(B35,STUDENTS!B34:B100031,STUDENTS!D34:D100031)),"update STUDENT sheet")</f>
        <v/>
      </c>
      <c r="E35">
        <f>IFERROR(IF(C35="","",_xlfn.XLOOKUP(C35,STUDENTS!C34:C100031,STUDENTS!F34:F100031)),"update STUDENT sheet")</f>
        <v/>
      </c>
      <c r="F35">
        <f>IFERROR(IF(D35="","",_xlfn.XLOOKUP(D35,STUDENTS!D34:D100031,STUDENTS!G34:G100031)),"update STUDENT sheet")</f>
        <v/>
      </c>
      <c r="G35">
        <f>IFERROR(IF(E35="","",_xlfn.XLOOKUP(E35,STUDENTS!F34:F100031,STUDENTS!H34:H100031)),"update STUDENT sheet")</f>
        <v/>
      </c>
    </row>
    <row r="36">
      <c r="B36">
        <f>IF(STUDENTS!B35="","",STUDENTS!B35)</f>
        <v/>
      </c>
      <c r="C36" t="inlineStr">
        <is>
          <t>Student 33</t>
        </is>
      </c>
      <c r="D36">
        <f>IFERROR(IF(B36="","",_xlfn.XLOOKUP(B36,STUDENTS!B35:B100032,STUDENTS!D35:D100032)),"update STUDENT sheet")</f>
        <v/>
      </c>
      <c r="E36">
        <f>IFERROR(IF(C36="","",_xlfn.XLOOKUP(C36,STUDENTS!C35:C100032,STUDENTS!F35:F100032)),"update STUDENT sheet")</f>
        <v/>
      </c>
      <c r="F36">
        <f>IFERROR(IF(D36="","",_xlfn.XLOOKUP(D36,STUDENTS!D35:D100032,STUDENTS!G35:G100032)),"update STUDENT sheet")</f>
        <v/>
      </c>
      <c r="G36">
        <f>IFERROR(IF(E36="","",_xlfn.XLOOKUP(E36,STUDENTS!F35:F100032,STUDENTS!H35:H100032)),"update STUDENT sheet")</f>
        <v/>
      </c>
    </row>
    <row r="37">
      <c r="B37">
        <f>IF(STUDENTS!B36="","",STUDENTS!B36)</f>
        <v/>
      </c>
      <c r="C37" t="inlineStr">
        <is>
          <t>Student 34</t>
        </is>
      </c>
      <c r="D37">
        <f>IFERROR(IF(B37="","",_xlfn.XLOOKUP(B37,STUDENTS!B36:B100033,STUDENTS!D36:D100033)),"update STUDENT sheet")</f>
        <v/>
      </c>
      <c r="E37">
        <f>IFERROR(IF(C37="","",_xlfn.XLOOKUP(C37,STUDENTS!C36:C100033,STUDENTS!F36:F100033)),"update STUDENT sheet")</f>
        <v/>
      </c>
      <c r="F37">
        <f>IFERROR(IF(D37="","",_xlfn.XLOOKUP(D37,STUDENTS!D36:D100033,STUDENTS!G36:G100033)),"update STUDENT sheet")</f>
        <v/>
      </c>
      <c r="G37">
        <f>IFERROR(IF(E37="","",_xlfn.XLOOKUP(E37,STUDENTS!F36:F100033,STUDENTS!H36:H100033)),"update STUDENT sheet")</f>
        <v/>
      </c>
    </row>
    <row r="38">
      <c r="B38">
        <f>IF(STUDENTS!B37="","",STUDENTS!B37)</f>
        <v/>
      </c>
      <c r="C38" t="inlineStr">
        <is>
          <t>Student 35</t>
        </is>
      </c>
      <c r="D38">
        <f>IFERROR(IF(B38="","",_xlfn.XLOOKUP(B38,STUDENTS!B37:B100034,STUDENTS!D37:D100034)),"update STUDENT sheet")</f>
        <v/>
      </c>
      <c r="E38">
        <f>IFERROR(IF(C38="","",_xlfn.XLOOKUP(C38,STUDENTS!C37:C100034,STUDENTS!F37:F100034)),"update STUDENT sheet")</f>
        <v/>
      </c>
      <c r="F38">
        <f>IFERROR(IF(D38="","",_xlfn.XLOOKUP(D38,STUDENTS!D37:D100034,STUDENTS!G37:G100034)),"update STUDENT sheet")</f>
        <v/>
      </c>
      <c r="G38">
        <f>IFERROR(IF(E38="","",_xlfn.XLOOKUP(E38,STUDENTS!F37:F100034,STUDENTS!H37:H100034)),"update STUDENT sheet")</f>
        <v/>
      </c>
    </row>
    <row r="39">
      <c r="B39">
        <f>IF(STUDENTS!B38="","",STUDENTS!B38)</f>
        <v/>
      </c>
      <c r="C39" t="inlineStr">
        <is>
          <t>Student 36</t>
        </is>
      </c>
      <c r="D39">
        <f>IFERROR(IF(B39="","",_xlfn.XLOOKUP(B39,STUDENTS!B38:B100035,STUDENTS!D38:D100035)),"update STUDENT sheet")</f>
        <v/>
      </c>
      <c r="E39">
        <f>IFERROR(IF(C39="","",_xlfn.XLOOKUP(C39,STUDENTS!C38:C100035,STUDENTS!F38:F100035)),"update STUDENT sheet")</f>
        <v/>
      </c>
      <c r="F39">
        <f>IFERROR(IF(D39="","",_xlfn.XLOOKUP(D39,STUDENTS!D38:D100035,STUDENTS!G38:G100035)),"update STUDENT sheet")</f>
        <v/>
      </c>
      <c r="G39">
        <f>IFERROR(IF(E39="","",_xlfn.XLOOKUP(E39,STUDENTS!F38:F100035,STUDENTS!H38:H100035)),"update STUDENT sheet")</f>
        <v/>
      </c>
    </row>
    <row r="40">
      <c r="B40">
        <f>IF(STUDENTS!B39="","",STUDENTS!B39)</f>
        <v/>
      </c>
      <c r="C40" t="inlineStr">
        <is>
          <t>Student 37</t>
        </is>
      </c>
      <c r="D40">
        <f>IFERROR(IF(B40="","",_xlfn.XLOOKUP(B40,STUDENTS!B39:B100036,STUDENTS!D39:D100036)),"update STUDENT sheet")</f>
        <v/>
      </c>
      <c r="E40">
        <f>IFERROR(IF(C40="","",_xlfn.XLOOKUP(C40,STUDENTS!C39:C100036,STUDENTS!F39:F100036)),"update STUDENT sheet")</f>
        <v/>
      </c>
      <c r="F40">
        <f>IFERROR(IF(D40="","",_xlfn.XLOOKUP(D40,STUDENTS!D39:D100036,STUDENTS!G39:G100036)),"update STUDENT sheet")</f>
        <v/>
      </c>
      <c r="G40">
        <f>IFERROR(IF(E40="","",_xlfn.XLOOKUP(E40,STUDENTS!F39:F100036,STUDENTS!H39:H100036)),"update STUDENT sheet")</f>
        <v/>
      </c>
    </row>
    <row r="41">
      <c r="B41">
        <f>IF(STUDENTS!B40="","",STUDENTS!B40)</f>
        <v/>
      </c>
      <c r="C41" t="inlineStr">
        <is>
          <t>Student 38</t>
        </is>
      </c>
      <c r="D41">
        <f>IFERROR(IF(B41="","",_xlfn.XLOOKUP(B41,STUDENTS!B40:B100037,STUDENTS!D40:D100037)),"update STUDENT sheet")</f>
        <v/>
      </c>
      <c r="E41">
        <f>IFERROR(IF(C41="","",_xlfn.XLOOKUP(C41,STUDENTS!C40:C100037,STUDENTS!F40:F100037)),"update STUDENT sheet")</f>
        <v/>
      </c>
      <c r="F41">
        <f>IFERROR(IF(D41="","",_xlfn.XLOOKUP(D41,STUDENTS!D40:D100037,STUDENTS!G40:G100037)),"update STUDENT sheet")</f>
        <v/>
      </c>
      <c r="G41">
        <f>IFERROR(IF(E41="","",_xlfn.XLOOKUP(E41,STUDENTS!F40:F100037,STUDENTS!H40:H100037)),"update STUDENT sheet")</f>
        <v/>
      </c>
    </row>
    <row r="42">
      <c r="B42">
        <f>IF(STUDENTS!B41="","",STUDENTS!B41)</f>
        <v/>
      </c>
      <c r="C42" t="inlineStr">
        <is>
          <t>Student 39</t>
        </is>
      </c>
      <c r="D42">
        <f>IFERROR(IF(B42="","",_xlfn.XLOOKUP(B42,STUDENTS!B41:B100038,STUDENTS!D41:D100038)),"update STUDENT sheet")</f>
        <v/>
      </c>
      <c r="E42">
        <f>IFERROR(IF(C42="","",_xlfn.XLOOKUP(C42,STUDENTS!C41:C100038,STUDENTS!F41:F100038)),"update STUDENT sheet")</f>
        <v/>
      </c>
      <c r="F42">
        <f>IFERROR(IF(D42="","",_xlfn.XLOOKUP(D42,STUDENTS!D41:D100038,STUDENTS!G41:G100038)),"update STUDENT sheet")</f>
        <v/>
      </c>
      <c r="G42">
        <f>IFERROR(IF(E42="","",_xlfn.XLOOKUP(E42,STUDENTS!F41:F100038,STUDENTS!H41:H100038)),"update STUDENT sheet")</f>
        <v/>
      </c>
    </row>
    <row r="43">
      <c r="B43">
        <f>IF(STUDENTS!B42="","",STUDENTS!B42)</f>
        <v/>
      </c>
      <c r="C43" t="inlineStr">
        <is>
          <t>Student 40</t>
        </is>
      </c>
      <c r="D43">
        <f>IFERROR(IF(B43="","",_xlfn.XLOOKUP(B43,STUDENTS!B42:B100039,STUDENTS!D42:D100039)),"update STUDENT sheet")</f>
        <v/>
      </c>
      <c r="E43">
        <f>IFERROR(IF(C43="","",_xlfn.XLOOKUP(C43,STUDENTS!C42:C100039,STUDENTS!F42:F100039)),"update STUDENT sheet")</f>
        <v/>
      </c>
      <c r="F43">
        <f>IFERROR(IF(D43="","",_xlfn.XLOOKUP(D43,STUDENTS!D42:D100039,STUDENTS!G42:G100039)),"update STUDENT sheet")</f>
        <v/>
      </c>
      <c r="G43">
        <f>IFERROR(IF(E43="","",_xlfn.XLOOKUP(E43,STUDENTS!F42:F100039,STUDENTS!H42:H100039)),"update STUDENT sheet")</f>
        <v/>
      </c>
    </row>
    <row r="44">
      <c r="B44">
        <f>IF(STUDENTS!B43="","",STUDENTS!B43)</f>
        <v/>
      </c>
      <c r="C44" t="inlineStr">
        <is>
          <t>Student 41</t>
        </is>
      </c>
      <c r="D44">
        <f>IFERROR(IF(B44="","",_xlfn.XLOOKUP(B44,STUDENTS!B43:B100040,STUDENTS!D43:D100040)),"update STUDENT sheet")</f>
        <v/>
      </c>
      <c r="E44">
        <f>IFERROR(IF(C44="","",_xlfn.XLOOKUP(C44,STUDENTS!C43:C100040,STUDENTS!F43:F100040)),"update STUDENT sheet")</f>
        <v/>
      </c>
      <c r="F44">
        <f>IFERROR(IF(D44="","",_xlfn.XLOOKUP(D44,STUDENTS!D43:D100040,STUDENTS!G43:G100040)),"update STUDENT sheet")</f>
        <v/>
      </c>
      <c r="G44">
        <f>IFERROR(IF(E44="","",_xlfn.XLOOKUP(E44,STUDENTS!F43:F100040,STUDENTS!H43:H100040)),"update STUDENT sheet")</f>
        <v/>
      </c>
    </row>
    <row r="45">
      <c r="B45">
        <f>IF(STUDENTS!B44="","",STUDENTS!B44)</f>
        <v/>
      </c>
      <c r="C45" t="inlineStr">
        <is>
          <t>Student 42</t>
        </is>
      </c>
      <c r="D45">
        <f>IFERROR(IF(B45="","",_xlfn.XLOOKUP(B45,STUDENTS!B44:B100041,STUDENTS!D44:D100041)),"update STUDENT sheet")</f>
        <v/>
      </c>
      <c r="E45">
        <f>IFERROR(IF(C45="","",_xlfn.XLOOKUP(C45,STUDENTS!C44:C100041,STUDENTS!F44:F100041)),"update STUDENT sheet")</f>
        <v/>
      </c>
      <c r="F45">
        <f>IFERROR(IF(D45="","",_xlfn.XLOOKUP(D45,STUDENTS!D44:D100041,STUDENTS!G44:G100041)),"update STUDENT sheet")</f>
        <v/>
      </c>
      <c r="G45">
        <f>IFERROR(IF(E45="","",_xlfn.XLOOKUP(E45,STUDENTS!F44:F100041,STUDENTS!H44:H100041)),"update STUDENT sheet")</f>
        <v/>
      </c>
    </row>
    <row r="46">
      <c r="B46">
        <f>IF(STUDENTS!B45="","",STUDENTS!B45)</f>
        <v/>
      </c>
      <c r="C46" t="inlineStr">
        <is>
          <t>Student 43</t>
        </is>
      </c>
      <c r="D46">
        <f>IFERROR(IF(B46="","",_xlfn.XLOOKUP(B46,STUDENTS!B45:B100042,STUDENTS!D45:D100042)),"update STUDENT sheet")</f>
        <v/>
      </c>
      <c r="E46">
        <f>IFERROR(IF(C46="","",_xlfn.XLOOKUP(C46,STUDENTS!C45:C100042,STUDENTS!F45:F100042)),"update STUDENT sheet")</f>
        <v/>
      </c>
      <c r="F46">
        <f>IFERROR(IF(D46="","",_xlfn.XLOOKUP(D46,STUDENTS!D45:D100042,STUDENTS!G45:G100042)),"update STUDENT sheet")</f>
        <v/>
      </c>
      <c r="G46">
        <f>IFERROR(IF(E46="","",_xlfn.XLOOKUP(E46,STUDENTS!F45:F100042,STUDENTS!H45:H100042)),"update STUDENT sheet")</f>
        <v/>
      </c>
    </row>
    <row r="47">
      <c r="B47">
        <f>IF(STUDENTS!B46="","",STUDENTS!B46)</f>
        <v/>
      </c>
      <c r="C47" t="inlineStr">
        <is>
          <t>Student 44</t>
        </is>
      </c>
      <c r="D47">
        <f>IFERROR(IF(B47="","",_xlfn.XLOOKUP(B47,STUDENTS!B46:B100043,STUDENTS!D46:D100043)),"update STUDENT sheet")</f>
        <v/>
      </c>
      <c r="E47">
        <f>IFERROR(IF(C47="","",_xlfn.XLOOKUP(C47,STUDENTS!C46:C100043,STUDENTS!F46:F100043)),"update STUDENT sheet")</f>
        <v/>
      </c>
      <c r="F47">
        <f>IFERROR(IF(D47="","",_xlfn.XLOOKUP(D47,STUDENTS!D46:D100043,STUDENTS!G46:G100043)),"update STUDENT sheet")</f>
        <v/>
      </c>
      <c r="G47">
        <f>IFERROR(IF(E47="","",_xlfn.XLOOKUP(E47,STUDENTS!F46:F100043,STUDENTS!H46:H100043)),"update STUDENT sheet")</f>
        <v/>
      </c>
    </row>
    <row r="48">
      <c r="B48">
        <f>IF(STUDENTS!B47="","",STUDENTS!B47)</f>
        <v/>
      </c>
      <c r="C48" t="inlineStr">
        <is>
          <t>Student 45</t>
        </is>
      </c>
      <c r="D48">
        <f>IFERROR(IF(B48="","",_xlfn.XLOOKUP(B48,STUDENTS!B47:B100044,STUDENTS!D47:D100044)),"update STUDENT sheet")</f>
        <v/>
      </c>
      <c r="E48">
        <f>IFERROR(IF(C48="","",_xlfn.XLOOKUP(C48,STUDENTS!C47:C100044,STUDENTS!F47:F100044)),"update STUDENT sheet")</f>
        <v/>
      </c>
      <c r="F48">
        <f>IFERROR(IF(D48="","",_xlfn.XLOOKUP(D48,STUDENTS!D47:D100044,STUDENTS!G47:G100044)),"update STUDENT sheet")</f>
        <v/>
      </c>
      <c r="G48">
        <f>IFERROR(IF(E48="","",_xlfn.XLOOKUP(E48,STUDENTS!F47:F100044,STUDENTS!H47:H100044)),"update STUDENT sheet")</f>
        <v/>
      </c>
    </row>
    <row r="49">
      <c r="B49">
        <f>IF(STUDENTS!B48="","",STUDENTS!B48)</f>
        <v/>
      </c>
      <c r="C49" t="inlineStr">
        <is>
          <t>Student 46</t>
        </is>
      </c>
      <c r="D49">
        <f>IFERROR(IF(B49="","",_xlfn.XLOOKUP(B49,STUDENTS!B48:B100045,STUDENTS!D48:D100045)),"update STUDENT sheet")</f>
        <v/>
      </c>
      <c r="E49">
        <f>IFERROR(IF(C49="","",_xlfn.XLOOKUP(C49,STUDENTS!C48:C100045,STUDENTS!F48:F100045)),"update STUDENT sheet")</f>
        <v/>
      </c>
      <c r="F49">
        <f>IFERROR(IF(D49="","",_xlfn.XLOOKUP(D49,STUDENTS!D48:D100045,STUDENTS!G48:G100045)),"update STUDENT sheet")</f>
        <v/>
      </c>
      <c r="G49">
        <f>IFERROR(IF(E49="","",_xlfn.XLOOKUP(E49,STUDENTS!F48:F100045,STUDENTS!H48:H100045)),"update STUDENT sheet")</f>
        <v/>
      </c>
    </row>
    <row r="50">
      <c r="B50">
        <f>IF(STUDENTS!B49="","",STUDENTS!B49)</f>
        <v/>
      </c>
      <c r="C50" t="inlineStr">
        <is>
          <t>Student 47</t>
        </is>
      </c>
      <c r="D50">
        <f>IFERROR(IF(B50="","",_xlfn.XLOOKUP(B50,STUDENTS!B49:B100046,STUDENTS!D49:D100046)),"update STUDENT sheet")</f>
        <v/>
      </c>
      <c r="E50">
        <f>IFERROR(IF(C50="","",_xlfn.XLOOKUP(C50,STUDENTS!C49:C100046,STUDENTS!F49:F100046)),"update STUDENT sheet")</f>
        <v/>
      </c>
      <c r="F50">
        <f>IFERROR(IF(D50="","",_xlfn.XLOOKUP(D50,STUDENTS!D49:D100046,STUDENTS!G49:G100046)),"update STUDENT sheet")</f>
        <v/>
      </c>
      <c r="G50">
        <f>IFERROR(IF(E50="","",_xlfn.XLOOKUP(E50,STUDENTS!F49:F100046,STUDENTS!H49:H100046)),"update STUDENT sheet")</f>
        <v/>
      </c>
    </row>
    <row r="51">
      <c r="B51">
        <f>IF(STUDENTS!B50="","",STUDENTS!B50)</f>
        <v/>
      </c>
      <c r="C51" t="inlineStr">
        <is>
          <t>Student 48</t>
        </is>
      </c>
      <c r="D51">
        <f>IFERROR(IF(B51="","",_xlfn.XLOOKUP(B51,STUDENTS!B50:B100047,STUDENTS!D50:D100047)),"update STUDENT sheet")</f>
        <v/>
      </c>
      <c r="E51">
        <f>IFERROR(IF(C51="","",_xlfn.XLOOKUP(C51,STUDENTS!C50:C100047,STUDENTS!F50:F100047)),"update STUDENT sheet")</f>
        <v/>
      </c>
      <c r="F51">
        <f>IFERROR(IF(D51="","",_xlfn.XLOOKUP(D51,STUDENTS!D50:D100047,STUDENTS!G50:G100047)),"update STUDENT sheet")</f>
        <v/>
      </c>
      <c r="G51">
        <f>IFERROR(IF(E51="","",_xlfn.XLOOKUP(E51,STUDENTS!F50:F100047,STUDENTS!H50:H100047)),"update STUDENT sheet")</f>
        <v/>
      </c>
    </row>
    <row r="52">
      <c r="B52">
        <f>IF(STUDENTS!B51="","",STUDENTS!B51)</f>
        <v/>
      </c>
      <c r="C52" t="inlineStr">
        <is>
          <t>Student 49</t>
        </is>
      </c>
      <c r="D52">
        <f>IFERROR(IF(B52="","",_xlfn.XLOOKUP(B52,STUDENTS!B51:B100048,STUDENTS!D51:D100048)),"update STUDENT sheet")</f>
        <v/>
      </c>
      <c r="E52">
        <f>IFERROR(IF(C52="","",_xlfn.XLOOKUP(C52,STUDENTS!C51:C100048,STUDENTS!F51:F100048)),"update STUDENT sheet")</f>
        <v/>
      </c>
      <c r="F52">
        <f>IFERROR(IF(D52="","",_xlfn.XLOOKUP(D52,STUDENTS!D51:D100048,STUDENTS!G51:G100048)),"update STUDENT sheet")</f>
        <v/>
      </c>
      <c r="G52">
        <f>IFERROR(IF(E52="","",_xlfn.XLOOKUP(E52,STUDENTS!F51:F100048,STUDENTS!H51:H100048)),"update STUDENT sheet")</f>
        <v/>
      </c>
    </row>
    <row r="53">
      <c r="B53">
        <f>IF(STUDENTS!B52="","",STUDENTS!B52)</f>
        <v/>
      </c>
      <c r="C53" t="inlineStr">
        <is>
          <t>Student 50</t>
        </is>
      </c>
      <c r="D53">
        <f>IFERROR(IF(B53="","",_xlfn.XLOOKUP(B53,STUDENTS!B52:B100049,STUDENTS!D52:D100049)),"update STUDENT sheet")</f>
        <v/>
      </c>
      <c r="E53">
        <f>IFERROR(IF(C53="","",_xlfn.XLOOKUP(C53,STUDENTS!C52:C100049,STUDENTS!F52:F100049)),"update STUDENT sheet")</f>
        <v/>
      </c>
      <c r="F53">
        <f>IFERROR(IF(D53="","",_xlfn.XLOOKUP(D53,STUDENTS!D52:D100049,STUDENTS!G52:G100049)),"update STUDENT sheet")</f>
        <v/>
      </c>
      <c r="G53">
        <f>IFERROR(IF(E53="","",_xlfn.XLOOKUP(E53,STUDENTS!F52:F100049,STUDENTS!H52:H100049)),"update STUDENT sheet")</f>
        <v/>
      </c>
    </row>
    <row r="54">
      <c r="B54">
        <f>IF(STUDENTS!B53="","",STUDENTS!B53)</f>
        <v/>
      </c>
      <c r="C54" t="inlineStr">
        <is>
          <t>Student 51</t>
        </is>
      </c>
      <c r="D54">
        <f>IFERROR(IF(B54="","",_xlfn.XLOOKUP(B54,STUDENTS!B53:B100050,STUDENTS!D53:D100050)),"update STUDENT sheet")</f>
        <v/>
      </c>
      <c r="E54">
        <f>IFERROR(IF(C54="","",_xlfn.XLOOKUP(C54,STUDENTS!C53:C100050,STUDENTS!F53:F100050)),"update STUDENT sheet")</f>
        <v/>
      </c>
      <c r="F54">
        <f>IFERROR(IF(D54="","",_xlfn.XLOOKUP(D54,STUDENTS!D53:D100050,STUDENTS!G53:G100050)),"update STUDENT sheet")</f>
        <v/>
      </c>
      <c r="G54">
        <f>IFERROR(IF(E54="","",_xlfn.XLOOKUP(E54,STUDENTS!F53:F100050,STUDENTS!H53:H100050)),"update STUDENT sheet")</f>
        <v/>
      </c>
    </row>
    <row r="55">
      <c r="B55">
        <f>IF(STUDENTS!B54="","",STUDENTS!B54)</f>
        <v/>
      </c>
      <c r="C55" t="inlineStr">
        <is>
          <t>Student 52</t>
        </is>
      </c>
      <c r="D55">
        <f>IFERROR(IF(B55="","",_xlfn.XLOOKUP(B55,STUDENTS!B54:B100051,STUDENTS!D54:D100051)),"update STUDENT sheet")</f>
        <v/>
      </c>
      <c r="E55">
        <f>IFERROR(IF(C55="","",_xlfn.XLOOKUP(C55,STUDENTS!C54:C100051,STUDENTS!F54:F100051)),"update STUDENT sheet")</f>
        <v/>
      </c>
      <c r="F55">
        <f>IFERROR(IF(D55="","",_xlfn.XLOOKUP(D55,STUDENTS!D54:D100051,STUDENTS!G54:G100051)),"update STUDENT sheet")</f>
        <v/>
      </c>
      <c r="G55">
        <f>IFERROR(IF(E55="","",_xlfn.XLOOKUP(E55,STUDENTS!F54:F100051,STUDENTS!H54:H100051)),"update STUDENT sheet")</f>
        <v/>
      </c>
    </row>
    <row r="56">
      <c r="B56">
        <f>IF(STUDENTS!B55="","",STUDENTS!B55)</f>
        <v/>
      </c>
      <c r="C56" t="inlineStr">
        <is>
          <t>Student 53</t>
        </is>
      </c>
      <c r="D56">
        <f>IFERROR(IF(B56="","",_xlfn.XLOOKUP(B56,STUDENTS!B55:B100052,STUDENTS!D55:D100052)),"update STUDENT sheet")</f>
        <v/>
      </c>
      <c r="E56">
        <f>IFERROR(IF(C56="","",_xlfn.XLOOKUP(C56,STUDENTS!C55:C100052,STUDENTS!F55:F100052)),"update STUDENT sheet")</f>
        <v/>
      </c>
      <c r="F56">
        <f>IFERROR(IF(D56="","",_xlfn.XLOOKUP(D56,STUDENTS!D55:D100052,STUDENTS!G55:G100052)),"update STUDENT sheet")</f>
        <v/>
      </c>
      <c r="G56">
        <f>IFERROR(IF(E56="","",_xlfn.XLOOKUP(E56,STUDENTS!F55:F100052,STUDENTS!H55:H100052)),"update STUDENT sheet")</f>
        <v/>
      </c>
    </row>
    <row r="57">
      <c r="B57">
        <f>IF(STUDENTS!B56="","",STUDENTS!B56)</f>
        <v/>
      </c>
      <c r="C57" t="inlineStr">
        <is>
          <t>Student 54</t>
        </is>
      </c>
      <c r="D57">
        <f>IFERROR(IF(B57="","",_xlfn.XLOOKUP(B57,STUDENTS!B56:B100053,STUDENTS!D56:D100053)),"update STUDENT sheet")</f>
        <v/>
      </c>
      <c r="E57">
        <f>IFERROR(IF(C57="","",_xlfn.XLOOKUP(C57,STUDENTS!C56:C100053,STUDENTS!F56:F100053)),"update STUDENT sheet")</f>
        <v/>
      </c>
      <c r="F57">
        <f>IFERROR(IF(D57="","",_xlfn.XLOOKUP(D57,STUDENTS!D56:D100053,STUDENTS!G56:G100053)),"update STUDENT sheet")</f>
        <v/>
      </c>
      <c r="G57">
        <f>IFERROR(IF(E57="","",_xlfn.XLOOKUP(E57,STUDENTS!F56:F100053,STUDENTS!H56:H100053)),"update STUDENT sheet")</f>
        <v/>
      </c>
    </row>
    <row r="58">
      <c r="B58">
        <f>IF(STUDENTS!B57="","",STUDENTS!B57)</f>
        <v/>
      </c>
      <c r="C58" t="inlineStr">
        <is>
          <t>Student 55</t>
        </is>
      </c>
      <c r="D58">
        <f>IFERROR(IF(B58="","",_xlfn.XLOOKUP(B58,STUDENTS!B57:B100054,STUDENTS!D57:D100054)),"update STUDENT sheet")</f>
        <v/>
      </c>
      <c r="E58">
        <f>IFERROR(IF(C58="","",_xlfn.XLOOKUP(C58,STUDENTS!C57:C100054,STUDENTS!F57:F100054)),"update STUDENT sheet")</f>
        <v/>
      </c>
      <c r="F58">
        <f>IFERROR(IF(D58="","",_xlfn.XLOOKUP(D58,STUDENTS!D57:D100054,STUDENTS!G57:G100054)),"update STUDENT sheet")</f>
        <v/>
      </c>
      <c r="G58">
        <f>IFERROR(IF(E58="","",_xlfn.XLOOKUP(E58,STUDENTS!F57:F100054,STUDENTS!H57:H100054)),"update STUDENT sheet")</f>
        <v/>
      </c>
    </row>
    <row r="59">
      <c r="B59">
        <f>IF(STUDENTS!B58="","",STUDENTS!B58)</f>
        <v/>
      </c>
      <c r="C59" t="inlineStr">
        <is>
          <t>Student 56</t>
        </is>
      </c>
      <c r="D59">
        <f>IFERROR(IF(B59="","",_xlfn.XLOOKUP(B59,STUDENTS!B58:B100055,STUDENTS!D58:D100055)),"update STUDENT sheet")</f>
        <v/>
      </c>
      <c r="E59">
        <f>IFERROR(IF(C59="","",_xlfn.XLOOKUP(C59,STUDENTS!C58:C100055,STUDENTS!F58:F100055)),"update STUDENT sheet")</f>
        <v/>
      </c>
      <c r="F59">
        <f>IFERROR(IF(D59="","",_xlfn.XLOOKUP(D59,STUDENTS!D58:D100055,STUDENTS!G58:G100055)),"update STUDENT sheet")</f>
        <v/>
      </c>
      <c r="G59">
        <f>IFERROR(IF(E59="","",_xlfn.XLOOKUP(E59,STUDENTS!F58:F100055,STUDENTS!H58:H100055)),"update STUDENT sheet")</f>
        <v/>
      </c>
    </row>
    <row r="60">
      <c r="B60">
        <f>IF(STUDENTS!B59="","",STUDENTS!B59)</f>
        <v/>
      </c>
      <c r="C60" t="inlineStr">
        <is>
          <t>Student 57</t>
        </is>
      </c>
      <c r="D60">
        <f>IFERROR(IF(B60="","",_xlfn.XLOOKUP(B60,STUDENTS!B59:B100056,STUDENTS!D59:D100056)),"update STUDENT sheet")</f>
        <v/>
      </c>
      <c r="E60">
        <f>IFERROR(IF(C60="","",_xlfn.XLOOKUP(C60,STUDENTS!C59:C100056,STUDENTS!F59:F100056)),"update STUDENT sheet")</f>
        <v/>
      </c>
      <c r="F60">
        <f>IFERROR(IF(D60="","",_xlfn.XLOOKUP(D60,STUDENTS!D59:D100056,STUDENTS!G59:G100056)),"update STUDENT sheet")</f>
        <v/>
      </c>
      <c r="G60">
        <f>IFERROR(IF(E60="","",_xlfn.XLOOKUP(E60,STUDENTS!F59:F100056,STUDENTS!H59:H100056)),"update STUDENT sheet")</f>
        <v/>
      </c>
    </row>
    <row r="61">
      <c r="B61">
        <f>IF(STUDENTS!B60="","",STUDENTS!B60)</f>
        <v/>
      </c>
      <c r="C61" t="inlineStr">
        <is>
          <t>Student 58</t>
        </is>
      </c>
      <c r="D61">
        <f>IFERROR(IF(B61="","",_xlfn.XLOOKUP(B61,STUDENTS!B60:B100057,STUDENTS!D60:D100057)),"update STUDENT sheet")</f>
        <v/>
      </c>
      <c r="E61">
        <f>IFERROR(IF(C61="","",_xlfn.XLOOKUP(C61,STUDENTS!C60:C100057,STUDENTS!F60:F100057)),"update STUDENT sheet")</f>
        <v/>
      </c>
      <c r="F61">
        <f>IFERROR(IF(D61="","",_xlfn.XLOOKUP(D61,STUDENTS!D60:D100057,STUDENTS!G60:G100057)),"update STUDENT sheet")</f>
        <v/>
      </c>
      <c r="G61">
        <f>IFERROR(IF(E61="","",_xlfn.XLOOKUP(E61,STUDENTS!F60:F100057,STUDENTS!H60:H100057)),"update STUDENT sheet")</f>
        <v/>
      </c>
    </row>
    <row r="62">
      <c r="B62">
        <f>IF(STUDENTS!B61="","",STUDENTS!B61)</f>
        <v/>
      </c>
      <c r="C62" t="inlineStr">
        <is>
          <t>Student 59</t>
        </is>
      </c>
      <c r="D62">
        <f>IFERROR(IF(B62="","",_xlfn.XLOOKUP(B62,STUDENTS!B61:B100058,STUDENTS!D61:D100058)),"update STUDENT sheet")</f>
        <v/>
      </c>
      <c r="E62">
        <f>IFERROR(IF(C62="","",_xlfn.XLOOKUP(C62,STUDENTS!C61:C100058,STUDENTS!F61:F100058)),"update STUDENT sheet")</f>
        <v/>
      </c>
      <c r="F62">
        <f>IFERROR(IF(D62="","",_xlfn.XLOOKUP(D62,STUDENTS!D61:D100058,STUDENTS!G61:G100058)),"update STUDENT sheet")</f>
        <v/>
      </c>
      <c r="G62">
        <f>IFERROR(IF(E62="","",_xlfn.XLOOKUP(E62,STUDENTS!F61:F100058,STUDENTS!H61:H100058)),"update STUDENT sheet")</f>
        <v/>
      </c>
    </row>
    <row r="63">
      <c r="B63">
        <f>IF(STUDENTS!B62="","",STUDENTS!B62)</f>
        <v/>
      </c>
      <c r="C63" t="inlineStr">
        <is>
          <t>Student 60</t>
        </is>
      </c>
      <c r="D63">
        <f>IFERROR(IF(B63="","",_xlfn.XLOOKUP(B63,STUDENTS!B62:B100059,STUDENTS!D62:D100059)),"update STUDENT sheet")</f>
        <v/>
      </c>
      <c r="E63">
        <f>IFERROR(IF(C63="","",_xlfn.XLOOKUP(C63,STUDENTS!C62:C100059,STUDENTS!F62:F100059)),"update STUDENT sheet")</f>
        <v/>
      </c>
      <c r="F63">
        <f>IFERROR(IF(D63="","",_xlfn.XLOOKUP(D63,STUDENTS!D62:D100059,STUDENTS!G62:G100059)),"update STUDENT sheet")</f>
        <v/>
      </c>
      <c r="G63">
        <f>IFERROR(IF(E63="","",_xlfn.XLOOKUP(E63,STUDENTS!F62:F100059,STUDENTS!H62:H100059)),"update STUDENT sheet")</f>
        <v/>
      </c>
    </row>
    <row r="64">
      <c r="B64">
        <f>IF(STUDENTS!B63="","",STUDENTS!B63)</f>
        <v/>
      </c>
      <c r="C64" t="inlineStr">
        <is>
          <t>Student 61</t>
        </is>
      </c>
      <c r="D64">
        <f>IFERROR(IF(B64="","",_xlfn.XLOOKUP(B64,STUDENTS!B63:B100060,STUDENTS!D63:D100060)),"update STUDENT sheet")</f>
        <v/>
      </c>
      <c r="E64">
        <f>IFERROR(IF(C64="","",_xlfn.XLOOKUP(C64,STUDENTS!C63:C100060,STUDENTS!F63:F100060)),"update STUDENT sheet")</f>
        <v/>
      </c>
      <c r="F64">
        <f>IFERROR(IF(D64="","",_xlfn.XLOOKUP(D64,STUDENTS!D63:D100060,STUDENTS!G63:G100060)),"update STUDENT sheet")</f>
        <v/>
      </c>
      <c r="G64">
        <f>IFERROR(IF(E64="","",_xlfn.XLOOKUP(E64,STUDENTS!F63:F100060,STUDENTS!H63:H100060)),"update STUDENT sheet")</f>
        <v/>
      </c>
    </row>
    <row r="65">
      <c r="B65">
        <f>IF(STUDENTS!B64="","",STUDENTS!B64)</f>
        <v/>
      </c>
      <c r="C65" t="inlineStr">
        <is>
          <t>Student 62</t>
        </is>
      </c>
      <c r="D65">
        <f>IFERROR(IF(B65="","",_xlfn.XLOOKUP(B65,STUDENTS!B64:B100061,STUDENTS!D64:D100061)),"update STUDENT sheet")</f>
        <v/>
      </c>
      <c r="E65">
        <f>IFERROR(IF(C65="","",_xlfn.XLOOKUP(C65,STUDENTS!C64:C100061,STUDENTS!F64:F100061)),"update STUDENT sheet")</f>
        <v/>
      </c>
      <c r="F65">
        <f>IFERROR(IF(D65="","",_xlfn.XLOOKUP(D65,STUDENTS!D64:D100061,STUDENTS!G64:G100061)),"update STUDENT sheet")</f>
        <v/>
      </c>
      <c r="G65">
        <f>IFERROR(IF(E65="","",_xlfn.XLOOKUP(E65,STUDENTS!F64:F100061,STUDENTS!H64:H100061)),"update STUDENT sheet")</f>
        <v/>
      </c>
    </row>
    <row r="66">
      <c r="B66">
        <f>IF(STUDENTS!B65="","",STUDENTS!B65)</f>
        <v/>
      </c>
      <c r="C66" t="inlineStr">
        <is>
          <t>Student 63</t>
        </is>
      </c>
      <c r="D66">
        <f>IFERROR(IF(B66="","",_xlfn.XLOOKUP(B66,STUDENTS!B65:B100062,STUDENTS!D65:D100062)),"update STUDENT sheet")</f>
        <v/>
      </c>
      <c r="E66">
        <f>IFERROR(IF(C66="","",_xlfn.XLOOKUP(C66,STUDENTS!C65:C100062,STUDENTS!F65:F100062)),"update STUDENT sheet")</f>
        <v/>
      </c>
      <c r="F66">
        <f>IFERROR(IF(D66="","",_xlfn.XLOOKUP(D66,STUDENTS!D65:D100062,STUDENTS!G65:G100062)),"update STUDENT sheet")</f>
        <v/>
      </c>
      <c r="G66">
        <f>IFERROR(IF(E66="","",_xlfn.XLOOKUP(E66,STUDENTS!F65:F100062,STUDENTS!H65:H100062)),"update STUDENT sheet")</f>
        <v/>
      </c>
    </row>
    <row r="67">
      <c r="B67">
        <f>IF(STUDENTS!B66="","",STUDENTS!B66)</f>
        <v/>
      </c>
      <c r="C67" t="inlineStr">
        <is>
          <t>Student 64</t>
        </is>
      </c>
      <c r="D67">
        <f>IFERROR(IF(B67="","",_xlfn.XLOOKUP(B67,STUDENTS!B66:B100063,STUDENTS!D66:D100063)),"update STUDENT sheet")</f>
        <v/>
      </c>
      <c r="E67">
        <f>IFERROR(IF(C67="","",_xlfn.XLOOKUP(C67,STUDENTS!C66:C100063,STUDENTS!F66:F100063)),"update STUDENT sheet")</f>
        <v/>
      </c>
      <c r="F67">
        <f>IFERROR(IF(D67="","",_xlfn.XLOOKUP(D67,STUDENTS!D66:D100063,STUDENTS!G66:G100063)),"update STUDENT sheet")</f>
        <v/>
      </c>
      <c r="G67">
        <f>IFERROR(IF(E67="","",_xlfn.XLOOKUP(E67,STUDENTS!F66:F100063,STUDENTS!H66:H100063)),"update STUDENT sheet")</f>
        <v/>
      </c>
    </row>
    <row r="68">
      <c r="B68">
        <f>IF(STUDENTS!B67="","",STUDENTS!B67)</f>
        <v/>
      </c>
      <c r="C68" t="inlineStr">
        <is>
          <t>Student 65</t>
        </is>
      </c>
      <c r="D68">
        <f>IFERROR(IF(B68="","",_xlfn.XLOOKUP(B68,STUDENTS!B67:B100064,STUDENTS!D67:D100064)),"update STUDENT sheet")</f>
        <v/>
      </c>
      <c r="E68">
        <f>IFERROR(IF(C68="","",_xlfn.XLOOKUP(C68,STUDENTS!C67:C100064,STUDENTS!F67:F100064)),"update STUDENT sheet")</f>
        <v/>
      </c>
      <c r="F68">
        <f>IFERROR(IF(D68="","",_xlfn.XLOOKUP(D68,STUDENTS!D67:D100064,STUDENTS!G67:G100064)),"update STUDENT sheet")</f>
        <v/>
      </c>
      <c r="G68">
        <f>IFERROR(IF(E68="","",_xlfn.XLOOKUP(E68,STUDENTS!F67:F100064,STUDENTS!H67:H100064)),"update STUDENT sheet")</f>
        <v/>
      </c>
    </row>
    <row r="69">
      <c r="B69">
        <f>IF(STUDENTS!B68="","",STUDENTS!B68)</f>
        <v/>
      </c>
      <c r="C69" t="inlineStr">
        <is>
          <t>Student 66</t>
        </is>
      </c>
      <c r="D69">
        <f>IFERROR(IF(B69="","",_xlfn.XLOOKUP(B69,STUDENTS!B68:B100065,STUDENTS!D68:D100065)),"update STUDENT sheet")</f>
        <v/>
      </c>
      <c r="E69">
        <f>IFERROR(IF(C69="","",_xlfn.XLOOKUP(C69,STUDENTS!C68:C100065,STUDENTS!F68:F100065)),"update STUDENT sheet")</f>
        <v/>
      </c>
      <c r="F69">
        <f>IFERROR(IF(D69="","",_xlfn.XLOOKUP(D69,STUDENTS!D68:D100065,STUDENTS!G68:G100065)),"update STUDENT sheet")</f>
        <v/>
      </c>
      <c r="G69">
        <f>IFERROR(IF(E69="","",_xlfn.XLOOKUP(E69,STUDENTS!F68:F100065,STUDENTS!H68:H100065)),"update STUDENT sheet")</f>
        <v/>
      </c>
    </row>
    <row r="70">
      <c r="B70">
        <f>IF(STUDENTS!B69="","",STUDENTS!B69)</f>
        <v/>
      </c>
      <c r="C70" t="inlineStr">
        <is>
          <t>Student 67</t>
        </is>
      </c>
      <c r="D70">
        <f>IFERROR(IF(B70="","",_xlfn.XLOOKUP(B70,STUDENTS!B69:B100066,STUDENTS!D69:D100066)),"update STUDENT sheet")</f>
        <v/>
      </c>
      <c r="E70">
        <f>IFERROR(IF(C70="","",_xlfn.XLOOKUP(C70,STUDENTS!C69:C100066,STUDENTS!F69:F100066)),"update STUDENT sheet")</f>
        <v/>
      </c>
      <c r="F70">
        <f>IFERROR(IF(D70="","",_xlfn.XLOOKUP(D70,STUDENTS!D69:D100066,STUDENTS!G69:G100066)),"update STUDENT sheet")</f>
        <v/>
      </c>
      <c r="G70">
        <f>IFERROR(IF(E70="","",_xlfn.XLOOKUP(E70,STUDENTS!F69:F100066,STUDENTS!H69:H100066)),"update STUDENT sheet")</f>
        <v/>
      </c>
    </row>
    <row r="71">
      <c r="B71">
        <f>IF(STUDENTS!B70="","",STUDENTS!B70)</f>
        <v/>
      </c>
      <c r="C71" t="inlineStr">
        <is>
          <t>Student 68</t>
        </is>
      </c>
      <c r="D71">
        <f>IFERROR(IF(B71="","",_xlfn.XLOOKUP(B71,STUDENTS!B70:B100067,STUDENTS!D70:D100067)),"update STUDENT sheet")</f>
        <v/>
      </c>
      <c r="E71">
        <f>IFERROR(IF(C71="","",_xlfn.XLOOKUP(C71,STUDENTS!C70:C100067,STUDENTS!F70:F100067)),"update STUDENT sheet")</f>
        <v/>
      </c>
      <c r="F71">
        <f>IFERROR(IF(D71="","",_xlfn.XLOOKUP(D71,STUDENTS!D70:D100067,STUDENTS!G70:G100067)),"update STUDENT sheet")</f>
        <v/>
      </c>
      <c r="G71">
        <f>IFERROR(IF(E71="","",_xlfn.XLOOKUP(E71,STUDENTS!F70:F100067,STUDENTS!H70:H100067)),"update STUDENT sheet")</f>
        <v/>
      </c>
    </row>
    <row r="72">
      <c r="B72">
        <f>IF(STUDENTS!B71="","",STUDENTS!B71)</f>
        <v/>
      </c>
      <c r="C72" t="inlineStr">
        <is>
          <t>Student 69</t>
        </is>
      </c>
      <c r="D72">
        <f>IFERROR(IF(B72="","",_xlfn.XLOOKUP(B72,STUDENTS!B71:B100068,STUDENTS!D71:D100068)),"update STUDENT sheet")</f>
        <v/>
      </c>
      <c r="E72">
        <f>IFERROR(IF(C72="","",_xlfn.XLOOKUP(C72,STUDENTS!C71:C100068,STUDENTS!F71:F100068)),"update STUDENT sheet")</f>
        <v/>
      </c>
      <c r="F72">
        <f>IFERROR(IF(D72="","",_xlfn.XLOOKUP(D72,STUDENTS!D71:D100068,STUDENTS!G71:G100068)),"update STUDENT sheet")</f>
        <v/>
      </c>
      <c r="G72">
        <f>IFERROR(IF(E72="","",_xlfn.XLOOKUP(E72,STUDENTS!F71:F100068,STUDENTS!H71:H100068)),"update STUDENT sheet")</f>
        <v/>
      </c>
    </row>
    <row r="73">
      <c r="B73">
        <f>IF(STUDENTS!B72="","",STUDENTS!B72)</f>
        <v/>
      </c>
      <c r="C73" t="inlineStr">
        <is>
          <t>Student 70</t>
        </is>
      </c>
      <c r="D73">
        <f>IFERROR(IF(B73="","",_xlfn.XLOOKUP(B73,STUDENTS!B72:B100069,STUDENTS!D72:D100069)),"update STUDENT sheet")</f>
        <v/>
      </c>
      <c r="E73">
        <f>IFERROR(IF(C73="","",_xlfn.XLOOKUP(C73,STUDENTS!C72:C100069,STUDENTS!F72:F100069)),"update STUDENT sheet")</f>
        <v/>
      </c>
      <c r="F73">
        <f>IFERROR(IF(D73="","",_xlfn.XLOOKUP(D73,STUDENTS!D72:D100069,STUDENTS!G72:G100069)),"update STUDENT sheet")</f>
        <v/>
      </c>
      <c r="G73">
        <f>IFERROR(IF(E73="","",_xlfn.XLOOKUP(E73,STUDENTS!F72:F100069,STUDENTS!H72:H100069)),"update STUDENT sheet")</f>
        <v/>
      </c>
    </row>
    <row r="74">
      <c r="B74">
        <f>IF(STUDENTS!B73="","",STUDENTS!B73)</f>
        <v/>
      </c>
      <c r="C74" t="inlineStr">
        <is>
          <t>Student 71</t>
        </is>
      </c>
      <c r="D74">
        <f>IFERROR(IF(B74="","",_xlfn.XLOOKUP(B74,STUDENTS!B73:B100070,STUDENTS!D73:D100070)),"update STUDENT sheet")</f>
        <v/>
      </c>
      <c r="E74">
        <f>IFERROR(IF(C74="","",_xlfn.XLOOKUP(C74,STUDENTS!C73:C100070,STUDENTS!F73:F100070)),"update STUDENT sheet")</f>
        <v/>
      </c>
      <c r="F74">
        <f>IFERROR(IF(D74="","",_xlfn.XLOOKUP(D74,STUDENTS!D73:D100070,STUDENTS!G73:G100070)),"update STUDENT sheet")</f>
        <v/>
      </c>
      <c r="G74">
        <f>IFERROR(IF(E74="","",_xlfn.XLOOKUP(E74,STUDENTS!F73:F100070,STUDENTS!H73:H100070)),"update STUDENT sheet")</f>
        <v/>
      </c>
    </row>
    <row r="75">
      <c r="B75">
        <f>IF(STUDENTS!B74="","",STUDENTS!B74)</f>
        <v/>
      </c>
      <c r="C75" t="inlineStr">
        <is>
          <t>Student 72</t>
        </is>
      </c>
      <c r="D75">
        <f>IFERROR(IF(B75="","",_xlfn.XLOOKUP(B75,STUDENTS!B74:B100071,STUDENTS!D74:D100071)),"update STUDENT sheet")</f>
        <v/>
      </c>
      <c r="E75">
        <f>IFERROR(IF(C75="","",_xlfn.XLOOKUP(C75,STUDENTS!C74:C100071,STUDENTS!F74:F100071)),"update STUDENT sheet")</f>
        <v/>
      </c>
      <c r="F75">
        <f>IFERROR(IF(D75="","",_xlfn.XLOOKUP(D75,STUDENTS!D74:D100071,STUDENTS!G74:G100071)),"update STUDENT sheet")</f>
        <v/>
      </c>
      <c r="G75">
        <f>IFERROR(IF(E75="","",_xlfn.XLOOKUP(E75,STUDENTS!F74:F100071,STUDENTS!H74:H100071)),"update STUDENT sheet")</f>
        <v/>
      </c>
    </row>
    <row r="76">
      <c r="B76">
        <f>IF(STUDENTS!B75="","",STUDENTS!B75)</f>
        <v/>
      </c>
      <c r="C76" t="inlineStr">
        <is>
          <t>Student 73</t>
        </is>
      </c>
      <c r="D76">
        <f>IFERROR(IF(B76="","",_xlfn.XLOOKUP(B76,STUDENTS!B75:B100072,STUDENTS!D75:D100072)),"update STUDENT sheet")</f>
        <v/>
      </c>
      <c r="E76">
        <f>IFERROR(IF(C76="","",_xlfn.XLOOKUP(C76,STUDENTS!C75:C100072,STUDENTS!F75:F100072)),"update STUDENT sheet")</f>
        <v/>
      </c>
      <c r="F76">
        <f>IFERROR(IF(D76="","",_xlfn.XLOOKUP(D76,STUDENTS!D75:D100072,STUDENTS!G75:G100072)),"update STUDENT sheet")</f>
        <v/>
      </c>
      <c r="G76">
        <f>IFERROR(IF(E76="","",_xlfn.XLOOKUP(E76,STUDENTS!F75:F100072,STUDENTS!H75:H100072)),"update STUDENT sheet")</f>
        <v/>
      </c>
    </row>
    <row r="77">
      <c r="B77">
        <f>IF(STUDENTS!B76="","",STUDENTS!B76)</f>
        <v/>
      </c>
      <c r="C77" t="inlineStr">
        <is>
          <t>Student 74</t>
        </is>
      </c>
      <c r="D77">
        <f>IFERROR(IF(B77="","",_xlfn.XLOOKUP(B77,STUDENTS!B76:B100073,STUDENTS!D76:D100073)),"update STUDENT sheet")</f>
        <v/>
      </c>
      <c r="E77">
        <f>IFERROR(IF(C77="","",_xlfn.XLOOKUP(C77,STUDENTS!C76:C100073,STUDENTS!F76:F100073)),"update STUDENT sheet")</f>
        <v/>
      </c>
      <c r="F77">
        <f>IFERROR(IF(D77="","",_xlfn.XLOOKUP(D77,STUDENTS!D76:D100073,STUDENTS!G76:G100073)),"update STUDENT sheet")</f>
        <v/>
      </c>
      <c r="G77">
        <f>IFERROR(IF(E77="","",_xlfn.XLOOKUP(E77,STUDENTS!F76:F100073,STUDENTS!H76:H100073)),"update STUDENT sheet")</f>
        <v/>
      </c>
    </row>
    <row r="78">
      <c r="B78">
        <f>IF(STUDENTS!B77="","",STUDENTS!B77)</f>
        <v/>
      </c>
      <c r="C78" t="inlineStr">
        <is>
          <t>Student 75</t>
        </is>
      </c>
      <c r="D78">
        <f>IFERROR(IF(B78="","",_xlfn.XLOOKUP(B78,STUDENTS!B77:B100074,STUDENTS!D77:D100074)),"update STUDENT sheet")</f>
        <v/>
      </c>
      <c r="E78">
        <f>IFERROR(IF(C78="","",_xlfn.XLOOKUP(C78,STUDENTS!C77:C100074,STUDENTS!F77:F100074)),"update STUDENT sheet")</f>
        <v/>
      </c>
      <c r="F78">
        <f>IFERROR(IF(D78="","",_xlfn.XLOOKUP(D78,STUDENTS!D77:D100074,STUDENTS!G77:G100074)),"update STUDENT sheet")</f>
        <v/>
      </c>
      <c r="G78">
        <f>IFERROR(IF(E78="","",_xlfn.XLOOKUP(E78,STUDENTS!F77:F100074,STUDENTS!H77:H100074)),"update STUDENT sheet")</f>
        <v/>
      </c>
    </row>
    <row r="79">
      <c r="B79">
        <f>IF(STUDENTS!B78="","",STUDENTS!B78)</f>
        <v/>
      </c>
      <c r="C79" t="inlineStr">
        <is>
          <t>Student 76</t>
        </is>
      </c>
      <c r="D79">
        <f>IFERROR(IF(B79="","",_xlfn.XLOOKUP(B79,STUDENTS!B78:B100075,STUDENTS!D78:D100075)),"update STUDENT sheet")</f>
        <v/>
      </c>
      <c r="E79">
        <f>IFERROR(IF(C79="","",_xlfn.XLOOKUP(C79,STUDENTS!C78:C100075,STUDENTS!F78:F100075)),"update STUDENT sheet")</f>
        <v/>
      </c>
      <c r="F79">
        <f>IFERROR(IF(D79="","",_xlfn.XLOOKUP(D79,STUDENTS!D78:D100075,STUDENTS!G78:G100075)),"update STUDENT sheet")</f>
        <v/>
      </c>
      <c r="G79">
        <f>IFERROR(IF(E79="","",_xlfn.XLOOKUP(E79,STUDENTS!F78:F100075,STUDENTS!H78:H100075)),"update STUDENT sheet")</f>
        <v/>
      </c>
    </row>
    <row r="80">
      <c r="B80">
        <f>IF(STUDENTS!B79="","",STUDENTS!B79)</f>
        <v/>
      </c>
      <c r="C80" t="inlineStr">
        <is>
          <t>Student 77</t>
        </is>
      </c>
      <c r="D80">
        <f>IFERROR(IF(B80="","",_xlfn.XLOOKUP(B80,STUDENTS!B79:B100076,STUDENTS!D79:D100076)),"update STUDENT sheet")</f>
        <v/>
      </c>
      <c r="E80">
        <f>IFERROR(IF(C80="","",_xlfn.XLOOKUP(C80,STUDENTS!C79:C100076,STUDENTS!F79:F100076)),"update STUDENT sheet")</f>
        <v/>
      </c>
      <c r="F80">
        <f>IFERROR(IF(D80="","",_xlfn.XLOOKUP(D80,STUDENTS!D79:D100076,STUDENTS!G79:G100076)),"update STUDENT sheet")</f>
        <v/>
      </c>
      <c r="G80">
        <f>IFERROR(IF(E80="","",_xlfn.XLOOKUP(E80,STUDENTS!F79:F100076,STUDENTS!H79:H100076)),"update STUDENT sheet")</f>
        <v/>
      </c>
    </row>
    <row r="81">
      <c r="B81">
        <f>IF(STUDENTS!B80="","",STUDENTS!B80)</f>
        <v/>
      </c>
      <c r="C81" t="inlineStr">
        <is>
          <t>Student 78</t>
        </is>
      </c>
      <c r="D81">
        <f>IFERROR(IF(B81="","",_xlfn.XLOOKUP(B81,STUDENTS!B80:B100077,STUDENTS!D80:D100077)),"update STUDENT sheet")</f>
        <v/>
      </c>
      <c r="E81">
        <f>IFERROR(IF(C81="","",_xlfn.XLOOKUP(C81,STUDENTS!C80:C100077,STUDENTS!F80:F100077)),"update STUDENT sheet")</f>
        <v/>
      </c>
      <c r="F81">
        <f>IFERROR(IF(D81="","",_xlfn.XLOOKUP(D81,STUDENTS!D80:D100077,STUDENTS!G80:G100077)),"update STUDENT sheet")</f>
        <v/>
      </c>
      <c r="G81">
        <f>IFERROR(IF(E81="","",_xlfn.XLOOKUP(E81,STUDENTS!F80:F100077,STUDENTS!H80:H100077)),"update STUDENT sheet")</f>
        <v/>
      </c>
    </row>
    <row r="82">
      <c r="B82">
        <f>IF(STUDENTS!B81="","",STUDENTS!B81)</f>
        <v/>
      </c>
      <c r="C82" t="inlineStr">
        <is>
          <t>Student 79</t>
        </is>
      </c>
      <c r="D82">
        <f>IFERROR(IF(B82="","",_xlfn.XLOOKUP(B82,STUDENTS!B81:B100078,STUDENTS!D81:D100078)),"update STUDENT sheet")</f>
        <v/>
      </c>
      <c r="E82">
        <f>IFERROR(IF(C82="","",_xlfn.XLOOKUP(C82,STUDENTS!C81:C100078,STUDENTS!F81:F100078)),"update STUDENT sheet")</f>
        <v/>
      </c>
      <c r="F82">
        <f>IFERROR(IF(D82="","",_xlfn.XLOOKUP(D82,STUDENTS!D81:D100078,STUDENTS!G81:G100078)),"update STUDENT sheet")</f>
        <v/>
      </c>
      <c r="G82">
        <f>IFERROR(IF(E82="","",_xlfn.XLOOKUP(E82,STUDENTS!F81:F100078,STUDENTS!H81:H100078)),"update STUDENT sheet")</f>
        <v/>
      </c>
    </row>
    <row r="83">
      <c r="B83">
        <f>IF(STUDENTS!B82="","",STUDENTS!B82)</f>
        <v/>
      </c>
      <c r="C83" t="inlineStr">
        <is>
          <t>Student 80</t>
        </is>
      </c>
      <c r="D83">
        <f>IFERROR(IF(B83="","",_xlfn.XLOOKUP(B83,STUDENTS!B82:B100079,STUDENTS!D82:D100079)),"update STUDENT sheet")</f>
        <v/>
      </c>
      <c r="E83">
        <f>IFERROR(IF(C83="","",_xlfn.XLOOKUP(C83,STUDENTS!C82:C100079,STUDENTS!F82:F100079)),"update STUDENT sheet")</f>
        <v/>
      </c>
      <c r="F83">
        <f>IFERROR(IF(D83="","",_xlfn.XLOOKUP(D83,STUDENTS!D82:D100079,STUDENTS!G82:G100079)),"update STUDENT sheet")</f>
        <v/>
      </c>
      <c r="G83">
        <f>IFERROR(IF(E83="","",_xlfn.XLOOKUP(E83,STUDENTS!F82:F100079,STUDENTS!H82:H100079)),"update STUDENT sheet")</f>
        <v/>
      </c>
    </row>
    <row r="84">
      <c r="B84">
        <f>IF(STUDENTS!B83="","",STUDENTS!B83)</f>
        <v/>
      </c>
      <c r="C84" t="inlineStr">
        <is>
          <t>Student 81</t>
        </is>
      </c>
      <c r="D84">
        <f>IFERROR(IF(B84="","",_xlfn.XLOOKUP(B84,STUDENTS!B83:B100080,STUDENTS!D83:D100080)),"update STUDENT sheet")</f>
        <v/>
      </c>
      <c r="E84">
        <f>IFERROR(IF(C84="","",_xlfn.XLOOKUP(C84,STUDENTS!C83:C100080,STUDENTS!F83:F100080)),"update STUDENT sheet")</f>
        <v/>
      </c>
      <c r="F84">
        <f>IFERROR(IF(D84="","",_xlfn.XLOOKUP(D84,STUDENTS!D83:D100080,STUDENTS!G83:G100080)),"update STUDENT sheet")</f>
        <v/>
      </c>
      <c r="G84">
        <f>IFERROR(IF(E84="","",_xlfn.XLOOKUP(E84,STUDENTS!F83:F100080,STUDENTS!H83:H100080)),"update STUDENT sheet")</f>
        <v/>
      </c>
    </row>
    <row r="85">
      <c r="B85">
        <f>IF(STUDENTS!B84="","",STUDENTS!B84)</f>
        <v/>
      </c>
      <c r="C85" t="inlineStr">
        <is>
          <t>Student 82</t>
        </is>
      </c>
      <c r="D85">
        <f>IFERROR(IF(B85="","",_xlfn.XLOOKUP(B85,STUDENTS!B84:B100081,STUDENTS!D84:D100081)),"update STUDENT sheet")</f>
        <v/>
      </c>
      <c r="E85">
        <f>IFERROR(IF(C85="","",_xlfn.XLOOKUP(C85,STUDENTS!C84:C100081,STUDENTS!F84:F100081)),"update STUDENT sheet")</f>
        <v/>
      </c>
      <c r="F85">
        <f>IFERROR(IF(D85="","",_xlfn.XLOOKUP(D85,STUDENTS!D84:D100081,STUDENTS!G84:G100081)),"update STUDENT sheet")</f>
        <v/>
      </c>
      <c r="G85">
        <f>IFERROR(IF(E85="","",_xlfn.XLOOKUP(E85,STUDENTS!F84:F100081,STUDENTS!H84:H100081)),"update STUDENT sheet")</f>
        <v/>
      </c>
    </row>
    <row r="86">
      <c r="B86">
        <f>IF(STUDENTS!B85="","",STUDENTS!B85)</f>
        <v/>
      </c>
      <c r="C86" t="inlineStr">
        <is>
          <t>Student 83</t>
        </is>
      </c>
      <c r="D86">
        <f>IFERROR(IF(B86="","",_xlfn.XLOOKUP(B86,STUDENTS!B85:B100082,STUDENTS!D85:D100082)),"update STUDENT sheet")</f>
        <v/>
      </c>
      <c r="E86">
        <f>IFERROR(IF(C86="","",_xlfn.XLOOKUP(C86,STUDENTS!C85:C100082,STUDENTS!F85:F100082)),"update STUDENT sheet")</f>
        <v/>
      </c>
      <c r="F86">
        <f>IFERROR(IF(D86="","",_xlfn.XLOOKUP(D86,STUDENTS!D85:D100082,STUDENTS!G85:G100082)),"update STUDENT sheet")</f>
        <v/>
      </c>
      <c r="G86">
        <f>IFERROR(IF(E86="","",_xlfn.XLOOKUP(E86,STUDENTS!F85:F100082,STUDENTS!H85:H100082)),"update STUDENT sheet")</f>
        <v/>
      </c>
    </row>
    <row r="87">
      <c r="B87">
        <f>IF(STUDENTS!B86="","",STUDENTS!B86)</f>
        <v/>
      </c>
      <c r="C87" t="inlineStr">
        <is>
          <t>Student 84</t>
        </is>
      </c>
      <c r="D87">
        <f>IFERROR(IF(B87="","",_xlfn.XLOOKUP(B87,STUDENTS!B86:B100083,STUDENTS!D86:D100083)),"update STUDENT sheet")</f>
        <v/>
      </c>
      <c r="E87">
        <f>IFERROR(IF(C87="","",_xlfn.XLOOKUP(C87,STUDENTS!C86:C100083,STUDENTS!F86:F100083)),"update STUDENT sheet")</f>
        <v/>
      </c>
      <c r="F87">
        <f>IFERROR(IF(D87="","",_xlfn.XLOOKUP(D87,STUDENTS!D86:D100083,STUDENTS!G86:G100083)),"update STUDENT sheet")</f>
        <v/>
      </c>
      <c r="G87">
        <f>IFERROR(IF(E87="","",_xlfn.XLOOKUP(E87,STUDENTS!F86:F100083,STUDENTS!H86:H100083)),"update STUDENT sheet")</f>
        <v/>
      </c>
    </row>
    <row r="88">
      <c r="B88">
        <f>IF(STUDENTS!B87="","",STUDENTS!B87)</f>
        <v/>
      </c>
      <c r="C88" t="inlineStr">
        <is>
          <t>Student 85</t>
        </is>
      </c>
      <c r="D88">
        <f>IFERROR(IF(B88="","",_xlfn.XLOOKUP(B88,STUDENTS!B87:B100084,STUDENTS!D87:D100084)),"update STUDENT sheet")</f>
        <v/>
      </c>
      <c r="E88">
        <f>IFERROR(IF(C88="","",_xlfn.XLOOKUP(C88,STUDENTS!C87:C100084,STUDENTS!F87:F100084)),"update STUDENT sheet")</f>
        <v/>
      </c>
      <c r="F88">
        <f>IFERROR(IF(D88="","",_xlfn.XLOOKUP(D88,STUDENTS!D87:D100084,STUDENTS!G87:G100084)),"update STUDENT sheet")</f>
        <v/>
      </c>
      <c r="G88">
        <f>IFERROR(IF(E88="","",_xlfn.XLOOKUP(E88,STUDENTS!F87:F100084,STUDENTS!H87:H100084)),"update STUDENT sheet")</f>
        <v/>
      </c>
    </row>
    <row r="89">
      <c r="B89">
        <f>IF(STUDENTS!B88="","",STUDENTS!B88)</f>
        <v/>
      </c>
      <c r="C89" t="inlineStr">
        <is>
          <t>Student 86</t>
        </is>
      </c>
      <c r="D89">
        <f>IFERROR(IF(B89="","",_xlfn.XLOOKUP(B89,STUDENTS!B88:B100085,STUDENTS!D88:D100085)),"update STUDENT sheet")</f>
        <v/>
      </c>
      <c r="E89">
        <f>IFERROR(IF(C89="","",_xlfn.XLOOKUP(C89,STUDENTS!C88:C100085,STUDENTS!F88:F100085)),"update STUDENT sheet")</f>
        <v/>
      </c>
      <c r="F89">
        <f>IFERROR(IF(D89="","",_xlfn.XLOOKUP(D89,STUDENTS!D88:D100085,STUDENTS!G88:G100085)),"update STUDENT sheet")</f>
        <v/>
      </c>
      <c r="G89">
        <f>IFERROR(IF(E89="","",_xlfn.XLOOKUP(E89,STUDENTS!F88:F100085,STUDENTS!H88:H100085)),"update STUDENT sheet")</f>
        <v/>
      </c>
    </row>
    <row r="90">
      <c r="B90">
        <f>IF(STUDENTS!B89="","",STUDENTS!B89)</f>
        <v/>
      </c>
      <c r="C90" t="inlineStr">
        <is>
          <t>Student 87</t>
        </is>
      </c>
      <c r="D90">
        <f>IFERROR(IF(B90="","",_xlfn.XLOOKUP(B90,STUDENTS!B89:B100086,STUDENTS!D89:D100086)),"update STUDENT sheet")</f>
        <v/>
      </c>
      <c r="E90">
        <f>IFERROR(IF(C90="","",_xlfn.XLOOKUP(C90,STUDENTS!C89:C100086,STUDENTS!F89:F100086)),"update STUDENT sheet")</f>
        <v/>
      </c>
      <c r="F90">
        <f>IFERROR(IF(D90="","",_xlfn.XLOOKUP(D90,STUDENTS!D89:D100086,STUDENTS!G89:G100086)),"update STUDENT sheet")</f>
        <v/>
      </c>
      <c r="G90">
        <f>IFERROR(IF(E90="","",_xlfn.XLOOKUP(E90,STUDENTS!F89:F100086,STUDENTS!H89:H100086)),"update STUDENT sheet")</f>
        <v/>
      </c>
    </row>
    <row r="91">
      <c r="B91">
        <f>IF(STUDENTS!B90="","",STUDENTS!B90)</f>
        <v/>
      </c>
      <c r="C91" t="inlineStr">
        <is>
          <t>Student 88</t>
        </is>
      </c>
      <c r="D91">
        <f>IFERROR(IF(B91="","",_xlfn.XLOOKUP(B91,STUDENTS!B90:B100087,STUDENTS!D90:D100087)),"update STUDENT sheet")</f>
        <v/>
      </c>
      <c r="E91">
        <f>IFERROR(IF(C91="","",_xlfn.XLOOKUP(C91,STUDENTS!C90:C100087,STUDENTS!F90:F100087)),"update STUDENT sheet")</f>
        <v/>
      </c>
      <c r="F91">
        <f>IFERROR(IF(D91="","",_xlfn.XLOOKUP(D91,STUDENTS!D90:D100087,STUDENTS!G90:G100087)),"update STUDENT sheet")</f>
        <v/>
      </c>
      <c r="G91">
        <f>IFERROR(IF(E91="","",_xlfn.XLOOKUP(E91,STUDENTS!F90:F100087,STUDENTS!H90:H100087)),"update STUDENT sheet")</f>
        <v/>
      </c>
    </row>
    <row r="92">
      <c r="B92">
        <f>IF(STUDENTS!B91="","",STUDENTS!B91)</f>
        <v/>
      </c>
      <c r="C92" t="inlineStr">
        <is>
          <t>Student 89</t>
        </is>
      </c>
      <c r="D92">
        <f>IFERROR(IF(B92="","",_xlfn.XLOOKUP(B92,STUDENTS!B91:B100088,STUDENTS!D91:D100088)),"update STUDENT sheet")</f>
        <v/>
      </c>
      <c r="E92">
        <f>IFERROR(IF(C92="","",_xlfn.XLOOKUP(C92,STUDENTS!C91:C100088,STUDENTS!F91:F100088)),"update STUDENT sheet")</f>
        <v/>
      </c>
      <c r="F92">
        <f>IFERROR(IF(D92="","",_xlfn.XLOOKUP(D92,STUDENTS!D91:D100088,STUDENTS!G91:G100088)),"update STUDENT sheet")</f>
        <v/>
      </c>
      <c r="G92">
        <f>IFERROR(IF(E92="","",_xlfn.XLOOKUP(E92,STUDENTS!F91:F100088,STUDENTS!H91:H100088)),"update STUDENT sheet")</f>
        <v/>
      </c>
    </row>
    <row r="93">
      <c r="B93">
        <f>IF(STUDENTS!B92="","",STUDENTS!B92)</f>
        <v/>
      </c>
      <c r="C93" t="inlineStr">
        <is>
          <t>Student 90</t>
        </is>
      </c>
      <c r="D93">
        <f>IFERROR(IF(B93="","",_xlfn.XLOOKUP(B93,STUDENTS!B92:B100089,STUDENTS!D92:D100089)),"update STUDENT sheet")</f>
        <v/>
      </c>
      <c r="E93">
        <f>IFERROR(IF(C93="","",_xlfn.XLOOKUP(C93,STUDENTS!C92:C100089,STUDENTS!F92:F100089)),"update STUDENT sheet")</f>
        <v/>
      </c>
      <c r="F93">
        <f>IFERROR(IF(D93="","",_xlfn.XLOOKUP(D93,STUDENTS!D92:D100089,STUDENTS!G92:G100089)),"update STUDENT sheet")</f>
        <v/>
      </c>
      <c r="G93">
        <f>IFERROR(IF(E93="","",_xlfn.XLOOKUP(E93,STUDENTS!F92:F100089,STUDENTS!H92:H100089)),"update STUDENT sheet")</f>
        <v/>
      </c>
    </row>
    <row r="94">
      <c r="B94">
        <f>IF(STUDENTS!B93="","",STUDENTS!B93)</f>
        <v/>
      </c>
      <c r="C94" t="inlineStr">
        <is>
          <t>Student 91</t>
        </is>
      </c>
      <c r="D94">
        <f>IFERROR(IF(B94="","",_xlfn.XLOOKUP(B94,STUDENTS!B93:B100090,STUDENTS!D93:D100090)),"update STUDENT sheet")</f>
        <v/>
      </c>
      <c r="E94">
        <f>IFERROR(IF(C94="","",_xlfn.XLOOKUP(C94,STUDENTS!C93:C100090,STUDENTS!F93:F100090)),"update STUDENT sheet")</f>
        <v/>
      </c>
      <c r="F94">
        <f>IFERROR(IF(D94="","",_xlfn.XLOOKUP(D94,STUDENTS!D93:D100090,STUDENTS!G93:G100090)),"update STUDENT sheet")</f>
        <v/>
      </c>
      <c r="G94">
        <f>IFERROR(IF(E94="","",_xlfn.XLOOKUP(E94,STUDENTS!F93:F100090,STUDENTS!H93:H100090)),"update STUDENT sheet")</f>
        <v/>
      </c>
    </row>
    <row r="95">
      <c r="B95">
        <f>IF(STUDENTS!B94="","",STUDENTS!B94)</f>
        <v/>
      </c>
      <c r="C95" t="inlineStr">
        <is>
          <t>Student 92</t>
        </is>
      </c>
      <c r="D95">
        <f>IFERROR(IF(B95="","",_xlfn.XLOOKUP(B95,STUDENTS!B94:B100091,STUDENTS!D94:D100091)),"update STUDENT sheet")</f>
        <v/>
      </c>
      <c r="E95">
        <f>IFERROR(IF(C95="","",_xlfn.XLOOKUP(C95,STUDENTS!C94:C100091,STUDENTS!F94:F100091)),"update STUDENT sheet")</f>
        <v/>
      </c>
      <c r="F95">
        <f>IFERROR(IF(D95="","",_xlfn.XLOOKUP(D95,STUDENTS!D94:D100091,STUDENTS!G94:G100091)),"update STUDENT sheet")</f>
        <v/>
      </c>
      <c r="G95">
        <f>IFERROR(IF(E95="","",_xlfn.XLOOKUP(E95,STUDENTS!F94:F100091,STUDENTS!H94:H100091)),"update STUDENT sheet")</f>
        <v/>
      </c>
    </row>
    <row r="96">
      <c r="B96">
        <f>IF(STUDENTS!B95="","",STUDENTS!B95)</f>
        <v/>
      </c>
      <c r="C96" t="inlineStr">
        <is>
          <t>Student 93</t>
        </is>
      </c>
      <c r="D96">
        <f>IFERROR(IF(B96="","",_xlfn.XLOOKUP(B96,STUDENTS!B95:B100092,STUDENTS!D95:D100092)),"update STUDENT sheet")</f>
        <v/>
      </c>
      <c r="E96">
        <f>IFERROR(IF(C96="","",_xlfn.XLOOKUP(C96,STUDENTS!C95:C100092,STUDENTS!F95:F100092)),"update STUDENT sheet")</f>
        <v/>
      </c>
      <c r="F96">
        <f>IFERROR(IF(D96="","",_xlfn.XLOOKUP(D96,STUDENTS!D95:D100092,STUDENTS!G95:G100092)),"update STUDENT sheet")</f>
        <v/>
      </c>
      <c r="G96">
        <f>IFERROR(IF(E96="","",_xlfn.XLOOKUP(E96,STUDENTS!F95:F100092,STUDENTS!H95:H100092)),"update STUDENT sheet")</f>
        <v/>
      </c>
    </row>
    <row r="97">
      <c r="B97">
        <f>IF(STUDENTS!B96="","",STUDENTS!B96)</f>
        <v/>
      </c>
      <c r="C97" t="inlineStr">
        <is>
          <t>Student 94</t>
        </is>
      </c>
      <c r="D97">
        <f>IFERROR(IF(B97="","",_xlfn.XLOOKUP(B97,STUDENTS!B96:B100093,STUDENTS!D96:D100093)),"update STUDENT sheet")</f>
        <v/>
      </c>
      <c r="E97">
        <f>IFERROR(IF(C97="","",_xlfn.XLOOKUP(C97,STUDENTS!C96:C100093,STUDENTS!F96:F100093)),"update STUDENT sheet")</f>
        <v/>
      </c>
      <c r="F97">
        <f>IFERROR(IF(D97="","",_xlfn.XLOOKUP(D97,STUDENTS!D96:D100093,STUDENTS!G96:G100093)),"update STUDENT sheet")</f>
        <v/>
      </c>
      <c r="G97">
        <f>IFERROR(IF(E97="","",_xlfn.XLOOKUP(E97,STUDENTS!F96:F100093,STUDENTS!H96:H100093)),"update STUDENT sheet")</f>
        <v/>
      </c>
    </row>
    <row r="98">
      <c r="B98">
        <f>IF(STUDENTS!B97="","",STUDENTS!B97)</f>
        <v/>
      </c>
      <c r="C98" t="inlineStr">
        <is>
          <t>Student 95</t>
        </is>
      </c>
      <c r="D98">
        <f>IFERROR(IF(B98="","",_xlfn.XLOOKUP(B98,STUDENTS!B97:B100094,STUDENTS!D97:D100094)),"update STUDENT sheet")</f>
        <v/>
      </c>
      <c r="E98">
        <f>IFERROR(IF(C98="","",_xlfn.XLOOKUP(C98,STUDENTS!C97:C100094,STUDENTS!F97:F100094)),"update STUDENT sheet")</f>
        <v/>
      </c>
      <c r="F98">
        <f>IFERROR(IF(D98="","",_xlfn.XLOOKUP(D98,STUDENTS!D97:D100094,STUDENTS!G97:G100094)),"update STUDENT sheet")</f>
        <v/>
      </c>
      <c r="G98">
        <f>IFERROR(IF(E98="","",_xlfn.XLOOKUP(E98,STUDENTS!F97:F100094,STUDENTS!H97:H100094)),"update STUDENT sheet")</f>
        <v/>
      </c>
    </row>
    <row r="99">
      <c r="B99">
        <f>IF(STUDENTS!B98="","",STUDENTS!B98)</f>
        <v/>
      </c>
      <c r="C99">
        <f>IFERROR(IF(B99="","",_xlfn.XLOOKUP(B99,STUDENTS!$B$3:$B$1048576,STUDENTS!$C$3:$C$1048576)),"Enter a registered reg. no")</f>
        <v/>
      </c>
      <c r="D99">
        <f>IFERROR(IF(B99="","",_xlfn.XLOOKUP(B99,STUDENTS!B98:B100095,STUDENTS!D98:D100095)),"update STUDENT sheet")</f>
        <v/>
      </c>
      <c r="E99">
        <f>IFERROR(IF(C99="","",_xlfn.XLOOKUP(C99,STUDENTS!C98:C100095,STUDENTS!F98:F100095)),"update STUDENT sheet")</f>
        <v/>
      </c>
      <c r="F99">
        <f>IFERROR(IF(D99="","",_xlfn.XLOOKUP(D99,STUDENTS!D98:D100095,STUDENTS!G98:G100095)),"update STUDENT sheet")</f>
        <v/>
      </c>
      <c r="G99">
        <f>IFERROR(IF(E99="","",_xlfn.XLOOKUP(E99,STUDENTS!F98:F100095,STUDENTS!H98:H100095)),"update STUDENT sheet")</f>
        <v/>
      </c>
    </row>
    <row r="100">
      <c r="B100">
        <f>IF(STUDENTS!B99="","",STUDENTS!B99)</f>
        <v/>
      </c>
      <c r="C100">
        <f>IFERROR(IF(B100="","",_xlfn.XLOOKUP(B100,STUDENTS!$B$3:$B$1048576,STUDENTS!$C$3:$C$1048576)),"Enter a registered reg. no")</f>
        <v/>
      </c>
      <c r="D100">
        <f>IFERROR(IF(B100="","",_xlfn.XLOOKUP(B100,STUDENTS!B99:B100096,STUDENTS!D99:D100096)),"update STUDENT sheet")</f>
        <v/>
      </c>
      <c r="E100">
        <f>IFERROR(IF(C100="","",_xlfn.XLOOKUP(C100,STUDENTS!C99:C100096,STUDENTS!F99:F100096)),"update STUDENT sheet")</f>
        <v/>
      </c>
      <c r="F100">
        <f>IFERROR(IF(D100="","",_xlfn.XLOOKUP(D100,STUDENTS!D99:D100096,STUDENTS!G99:G100096)),"update STUDENT sheet")</f>
        <v/>
      </c>
      <c r="G100">
        <f>IFERROR(IF(E100="","",_xlfn.XLOOKUP(E100,STUDENTS!F99:F100096,STUDENTS!H99:H100096)),"update STUDENT sheet")</f>
        <v/>
      </c>
    </row>
    <row r="101">
      <c r="B101">
        <f>IF(STUDENTS!B100="","",STUDENTS!B100)</f>
        <v/>
      </c>
      <c r="C101">
        <f>IFERROR(IF(B101="","",_xlfn.XLOOKUP(B101,STUDENTS!$B$3:$B$1048576,STUDENTS!$C$3:$C$1048576)),"Enter a registered reg. no")</f>
        <v/>
      </c>
      <c r="D101">
        <f>IFERROR(IF(B101="","",_xlfn.XLOOKUP(B101,STUDENTS!B100:B100097,STUDENTS!D100:D100097)),"update STUDENT sheet")</f>
        <v/>
      </c>
      <c r="E101">
        <f>IFERROR(IF(C101="","",_xlfn.XLOOKUP(C101,STUDENTS!C100:C100097,STUDENTS!F100:F100097)),"update STUDENT sheet")</f>
        <v/>
      </c>
      <c r="F101">
        <f>IFERROR(IF(D101="","",_xlfn.XLOOKUP(D101,STUDENTS!D100:D100097,STUDENTS!G100:G100097)),"update STUDENT sheet")</f>
        <v/>
      </c>
      <c r="G101">
        <f>IFERROR(IF(E101="","",_xlfn.XLOOKUP(E101,STUDENTS!F100:F100097,STUDENTS!H100:H100097)),"update STUDENT sheet")</f>
        <v/>
      </c>
    </row>
    <row r="102">
      <c r="B102">
        <f>IF(STUDENTS!B101="","",STUDENTS!B101)</f>
        <v/>
      </c>
      <c r="C102">
        <f>IFERROR(IF(B102="","",_xlfn.XLOOKUP(B102,STUDENTS!$B$3:$B$1048576,STUDENTS!$C$3:$C$1048576)),"Enter a registered reg. no")</f>
        <v/>
      </c>
      <c r="D102">
        <f>IFERROR(IF(B102="","",_xlfn.XLOOKUP(B102,STUDENTS!B101:B100098,STUDENTS!D101:D100098)),"update STUDENT sheet")</f>
        <v/>
      </c>
      <c r="E102">
        <f>IFERROR(IF(C102="","",_xlfn.XLOOKUP(C102,STUDENTS!C101:C100098,STUDENTS!F101:F100098)),"update STUDENT sheet")</f>
        <v/>
      </c>
      <c r="F102">
        <f>IFERROR(IF(D102="","",_xlfn.XLOOKUP(D102,STUDENTS!D101:D100098,STUDENTS!G101:G100098)),"update STUDENT sheet")</f>
        <v/>
      </c>
      <c r="G102">
        <f>IFERROR(IF(E102="","",_xlfn.XLOOKUP(E102,STUDENTS!F101:F100098,STUDENTS!H101:H100098)),"update STUDENT sheet")</f>
        <v/>
      </c>
    </row>
    <row r="103">
      <c r="B103">
        <f>IF(STUDENTS!B102="","",STUDENTS!B102)</f>
        <v/>
      </c>
      <c r="C103">
        <f>IFERROR(IF(B103="","",_xlfn.XLOOKUP(B103,STUDENTS!$B$3:$B$1048576,STUDENTS!$C$3:$C$1048576)),"Enter a registered reg. no")</f>
        <v/>
      </c>
      <c r="D103">
        <f>IFERROR(IF(B103="","",_xlfn.XLOOKUP(B103,STUDENTS!B102:B100099,STUDENTS!D102:D100099)),"update STUDENT sheet")</f>
        <v/>
      </c>
      <c r="E103">
        <f>IFERROR(IF(C103="","",_xlfn.XLOOKUP(C103,STUDENTS!C102:C100099,STUDENTS!F102:F100099)),"update STUDENT sheet")</f>
        <v/>
      </c>
      <c r="F103">
        <f>IFERROR(IF(D103="","",_xlfn.XLOOKUP(D103,STUDENTS!D102:D100099,STUDENTS!G102:G100099)),"update STUDENT sheet")</f>
        <v/>
      </c>
      <c r="G103">
        <f>IFERROR(IF(E103="","",_xlfn.XLOOKUP(E103,STUDENTS!F102:F100099,STUDENTS!H102:H100099)),"update STUDENT sheet")</f>
        <v/>
      </c>
    </row>
    <row r="104">
      <c r="B104">
        <f>IF(STUDENTS!B103="","",STUDENTS!B103)</f>
        <v/>
      </c>
      <c r="C104">
        <f>IFERROR(IF(B104="","",_xlfn.XLOOKUP(B104,STUDENTS!$B$3:$B$1048576,STUDENTS!$C$3:$C$1048576)),"Enter a registered reg. no")</f>
        <v/>
      </c>
      <c r="D104">
        <f>IFERROR(IF(B104="","",_xlfn.XLOOKUP(B104,STUDENTS!B103:B100100,STUDENTS!D103:D100100)),"update STUDENT sheet")</f>
        <v/>
      </c>
      <c r="E104">
        <f>IFERROR(IF(C104="","",_xlfn.XLOOKUP(C104,STUDENTS!C103:C100100,STUDENTS!F103:F100100)),"update STUDENT sheet")</f>
        <v/>
      </c>
      <c r="F104">
        <f>IFERROR(IF(D104="","",_xlfn.XLOOKUP(D104,STUDENTS!D103:D100100,STUDENTS!G103:G100100)),"update STUDENT sheet")</f>
        <v/>
      </c>
      <c r="G104">
        <f>IFERROR(IF(E104="","",_xlfn.XLOOKUP(E104,STUDENTS!F103:F100100,STUDENTS!H103:H100100)),"update STUDENT sheet")</f>
        <v/>
      </c>
    </row>
    <row r="105">
      <c r="B105">
        <f>IF(STUDENTS!B104="","",STUDENTS!B104)</f>
        <v/>
      </c>
      <c r="C105">
        <f>IFERROR(IF(B105="","",_xlfn.XLOOKUP(B105,STUDENTS!$B$3:$B$1048576,STUDENTS!$C$3:$C$1048576)),"Enter a registered reg. no")</f>
        <v/>
      </c>
      <c r="D105">
        <f>IFERROR(IF(B105="","",_xlfn.XLOOKUP(B105,STUDENTS!B104:B100101,STUDENTS!D104:D100101)),"update STUDENT sheet")</f>
        <v/>
      </c>
      <c r="E105">
        <f>IFERROR(IF(C105="","",_xlfn.XLOOKUP(C105,STUDENTS!C104:C100101,STUDENTS!F104:F100101)),"update STUDENT sheet")</f>
        <v/>
      </c>
      <c r="F105">
        <f>IFERROR(IF(D105="","",_xlfn.XLOOKUP(D105,STUDENTS!D104:D100101,STUDENTS!G104:G100101)),"update STUDENT sheet")</f>
        <v/>
      </c>
      <c r="G105">
        <f>IFERROR(IF(E105="","",_xlfn.XLOOKUP(E105,STUDENTS!F104:F100101,STUDENTS!H104:H100101)),"update STUDENT sheet")</f>
        <v/>
      </c>
    </row>
    <row r="106">
      <c r="B106">
        <f>IF(STUDENTS!B105="","",STUDENTS!B105)</f>
        <v/>
      </c>
      <c r="C106">
        <f>IFERROR(IF(B106="","",_xlfn.XLOOKUP(B106,STUDENTS!$B$3:$B$1048576,STUDENTS!$C$3:$C$1048576)),"Enter a registered reg. no")</f>
        <v/>
      </c>
      <c r="D106">
        <f>IFERROR(IF(B106="","",_xlfn.XLOOKUP(B106,STUDENTS!B105:B100102,STUDENTS!D105:D100102)),"update STUDENT sheet")</f>
        <v/>
      </c>
      <c r="E106">
        <f>IFERROR(IF(C106="","",_xlfn.XLOOKUP(C106,STUDENTS!C105:C100102,STUDENTS!F105:F100102)),"update STUDENT sheet")</f>
        <v/>
      </c>
      <c r="F106">
        <f>IFERROR(IF(D106="","",_xlfn.XLOOKUP(D106,STUDENTS!D105:D100102,STUDENTS!G105:G100102)),"update STUDENT sheet")</f>
        <v/>
      </c>
      <c r="G106">
        <f>IFERROR(IF(E106="","",_xlfn.XLOOKUP(E106,STUDENTS!F105:F100102,STUDENTS!H105:H100102)),"update STUDENT sheet")</f>
        <v/>
      </c>
    </row>
    <row r="107">
      <c r="B107">
        <f>IF(STUDENTS!B106="","",STUDENTS!B106)</f>
        <v/>
      </c>
      <c r="C107">
        <f>IFERROR(IF(B107="","",_xlfn.XLOOKUP(B107,STUDENTS!$B$3:$B$1048576,STUDENTS!$C$3:$C$1048576)),"Enter a registered reg. no")</f>
        <v/>
      </c>
      <c r="D107">
        <f>IFERROR(IF(B107="","",_xlfn.XLOOKUP(B107,STUDENTS!B106:B100103,STUDENTS!D106:D100103)),"update STUDENT sheet")</f>
        <v/>
      </c>
      <c r="E107">
        <f>IFERROR(IF(C107="","",_xlfn.XLOOKUP(C107,STUDENTS!C106:C100103,STUDENTS!F106:F100103)),"update STUDENT sheet")</f>
        <v/>
      </c>
      <c r="F107">
        <f>IFERROR(IF(D107="","",_xlfn.XLOOKUP(D107,STUDENTS!D106:D100103,STUDENTS!G106:G100103)),"update STUDENT sheet")</f>
        <v/>
      </c>
      <c r="G107">
        <f>IFERROR(IF(E107="","",_xlfn.XLOOKUP(E107,STUDENTS!F106:F100103,STUDENTS!H106:H100103)),"update STUDENT sheet")</f>
        <v/>
      </c>
    </row>
    <row r="108">
      <c r="B108">
        <f>IF(STUDENTS!B107="","",STUDENTS!B107)</f>
        <v/>
      </c>
      <c r="C108">
        <f>IFERROR(IF(B108="","",_xlfn.XLOOKUP(B108,STUDENTS!$B$3:$B$1048576,STUDENTS!$C$3:$C$1048576)),"Enter a registered reg. no")</f>
        <v/>
      </c>
      <c r="D108">
        <f>IFERROR(IF(B108="","",_xlfn.XLOOKUP(B108,STUDENTS!B107:B100104,STUDENTS!D107:D100104)),"update STUDENT sheet")</f>
        <v/>
      </c>
      <c r="E108">
        <f>IFERROR(IF(C108="","",_xlfn.XLOOKUP(C108,STUDENTS!C107:C100104,STUDENTS!F107:F100104)),"update STUDENT sheet")</f>
        <v/>
      </c>
      <c r="F108">
        <f>IFERROR(IF(D108="","",_xlfn.XLOOKUP(D108,STUDENTS!D107:D100104,STUDENTS!G107:G100104)),"update STUDENT sheet")</f>
        <v/>
      </c>
      <c r="G108">
        <f>IFERROR(IF(E108="","",_xlfn.XLOOKUP(E108,STUDENTS!F107:F100104,STUDENTS!H107:H100104)),"update STUDENT sheet")</f>
        <v/>
      </c>
    </row>
    <row r="109">
      <c r="B109">
        <f>IF(STUDENTS!B108="","",STUDENTS!B108)</f>
        <v/>
      </c>
      <c r="C109">
        <f>IFERROR(IF(B109="","",_xlfn.XLOOKUP(B109,STUDENTS!$B$3:$B$1048576,STUDENTS!$C$3:$C$1048576)),"Enter a registered reg. no")</f>
        <v/>
      </c>
      <c r="D109">
        <f>IFERROR(IF(B109="","",_xlfn.XLOOKUP(B109,STUDENTS!B108:B100105,STUDENTS!D108:D100105)),"update STUDENT sheet")</f>
        <v/>
      </c>
      <c r="E109">
        <f>IFERROR(IF(C109="","",_xlfn.XLOOKUP(C109,STUDENTS!C108:C100105,STUDENTS!F108:F100105)),"update STUDENT sheet")</f>
        <v/>
      </c>
      <c r="F109">
        <f>IFERROR(IF(D109="","",_xlfn.XLOOKUP(D109,STUDENTS!D108:D100105,STUDENTS!G108:G100105)),"update STUDENT sheet")</f>
        <v/>
      </c>
      <c r="G109">
        <f>IFERROR(IF(E109="","",_xlfn.XLOOKUP(E109,STUDENTS!F108:F100105,STUDENTS!H108:H100105)),"update STUDENT sheet")</f>
        <v/>
      </c>
    </row>
    <row r="110">
      <c r="B110">
        <f>IF(STUDENTS!B109="","",STUDENTS!B109)</f>
        <v/>
      </c>
      <c r="C110">
        <f>IFERROR(IF(B110="","",_xlfn.XLOOKUP(B110,STUDENTS!$B$3:$B$1048576,STUDENTS!$C$3:$C$1048576)),"Enter a registered reg. no")</f>
        <v/>
      </c>
      <c r="D110">
        <f>IFERROR(IF(B110="","",_xlfn.XLOOKUP(B110,STUDENTS!B109:B100106,STUDENTS!D109:D100106)),"update STUDENT sheet")</f>
        <v/>
      </c>
      <c r="E110">
        <f>IFERROR(IF(C110="","",_xlfn.XLOOKUP(C110,STUDENTS!C109:C100106,STUDENTS!F109:F100106)),"update STUDENT sheet")</f>
        <v/>
      </c>
      <c r="F110">
        <f>IFERROR(IF(D110="","",_xlfn.XLOOKUP(D110,STUDENTS!D109:D100106,STUDENTS!G109:G100106)),"update STUDENT sheet")</f>
        <v/>
      </c>
      <c r="G110">
        <f>IFERROR(IF(E110="","",_xlfn.XLOOKUP(E110,STUDENTS!F109:F100106,STUDENTS!H109:H100106)),"update STUDENT sheet")</f>
        <v/>
      </c>
    </row>
    <row r="111">
      <c r="B111">
        <f>IF(STUDENTS!B110="","",STUDENTS!B110)</f>
        <v/>
      </c>
      <c r="C111">
        <f>IFERROR(IF(B111="","",_xlfn.XLOOKUP(B111,STUDENTS!$B$3:$B$1048576,STUDENTS!$C$3:$C$1048576)),"Enter a registered reg. no")</f>
        <v/>
      </c>
      <c r="D111">
        <f>IFERROR(IF(B111="","",_xlfn.XLOOKUP(B111,STUDENTS!B110:B100107,STUDENTS!D110:D100107)),"update STUDENT sheet")</f>
        <v/>
      </c>
      <c r="E111">
        <f>IFERROR(IF(C111="","",_xlfn.XLOOKUP(C111,STUDENTS!C110:C100107,STUDENTS!F110:F100107)),"update STUDENT sheet")</f>
        <v/>
      </c>
      <c r="F111">
        <f>IFERROR(IF(D111="","",_xlfn.XLOOKUP(D111,STUDENTS!D110:D100107,STUDENTS!G110:G100107)),"update STUDENT sheet")</f>
        <v/>
      </c>
      <c r="G111">
        <f>IFERROR(IF(E111="","",_xlfn.XLOOKUP(E111,STUDENTS!F110:F100107,STUDENTS!H110:H100107)),"update STUDENT sheet")</f>
        <v/>
      </c>
    </row>
    <row r="112">
      <c r="B112">
        <f>IF(STUDENTS!B111="","",STUDENTS!B111)</f>
        <v/>
      </c>
      <c r="C112">
        <f>IFERROR(IF(B112="","",_xlfn.XLOOKUP(B112,STUDENTS!$B$3:$B$1048576,STUDENTS!$C$3:$C$1048576)),"Enter a registered reg. no")</f>
        <v/>
      </c>
      <c r="D112">
        <f>IFERROR(IF(B112="","",_xlfn.XLOOKUP(B112,STUDENTS!B111:B100108,STUDENTS!D111:D100108)),"update STUDENT sheet")</f>
        <v/>
      </c>
      <c r="E112">
        <f>IFERROR(IF(C112="","",_xlfn.XLOOKUP(C112,STUDENTS!C111:C100108,STUDENTS!F111:F100108)),"update STUDENT sheet")</f>
        <v/>
      </c>
      <c r="F112">
        <f>IFERROR(IF(D112="","",_xlfn.XLOOKUP(D112,STUDENTS!D111:D100108,STUDENTS!G111:G100108)),"update STUDENT sheet")</f>
        <v/>
      </c>
      <c r="G112">
        <f>IFERROR(IF(E112="","",_xlfn.XLOOKUP(E112,STUDENTS!F111:F100108,STUDENTS!H111:H100108)),"update STUDENT sheet")</f>
        <v/>
      </c>
    </row>
    <row r="113">
      <c r="B113">
        <f>IF(STUDENTS!B112="","",STUDENTS!B112)</f>
        <v/>
      </c>
      <c r="C113">
        <f>IFERROR(IF(B113="","",_xlfn.XLOOKUP(B113,STUDENTS!$B$3:$B$1048576,STUDENTS!$C$3:$C$1048576)),"Enter a registered reg. no")</f>
        <v/>
      </c>
      <c r="D113">
        <f>IFERROR(IF(B113="","",_xlfn.XLOOKUP(B113,STUDENTS!B112:B100109,STUDENTS!D112:D100109)),"update STUDENT sheet")</f>
        <v/>
      </c>
      <c r="E113">
        <f>IFERROR(IF(C113="","",_xlfn.XLOOKUP(C113,STUDENTS!C112:C100109,STUDENTS!F112:F100109)),"update STUDENT sheet")</f>
        <v/>
      </c>
      <c r="F113">
        <f>IFERROR(IF(D113="","",_xlfn.XLOOKUP(D113,STUDENTS!D112:D100109,STUDENTS!G112:G100109)),"update STUDENT sheet")</f>
        <v/>
      </c>
      <c r="G113">
        <f>IFERROR(IF(E113="","",_xlfn.XLOOKUP(E113,STUDENTS!F112:F100109,STUDENTS!H112:H100109)),"update STUDENT sheet")</f>
        <v/>
      </c>
    </row>
    <row r="114">
      <c r="B114">
        <f>IF(STUDENTS!B113="","",STUDENTS!B113)</f>
        <v/>
      </c>
      <c r="C114">
        <f>IFERROR(IF(B114="","",_xlfn.XLOOKUP(B114,STUDENTS!$B$3:$B$1048576,STUDENTS!$C$3:$C$1048576)),"Enter a registered reg. no")</f>
        <v/>
      </c>
      <c r="D114">
        <f>IFERROR(IF(B114="","",_xlfn.XLOOKUP(B114,STUDENTS!B113:B100110,STUDENTS!D113:D100110)),"update STUDENT sheet")</f>
        <v/>
      </c>
      <c r="E114">
        <f>IFERROR(IF(C114="","",_xlfn.XLOOKUP(C114,STUDENTS!C113:C100110,STUDENTS!F113:F100110)),"update STUDENT sheet")</f>
        <v/>
      </c>
      <c r="F114">
        <f>IFERROR(IF(D114="","",_xlfn.XLOOKUP(D114,STUDENTS!D113:D100110,STUDENTS!G113:G100110)),"update STUDENT sheet")</f>
        <v/>
      </c>
      <c r="G114">
        <f>IFERROR(IF(E114="","",_xlfn.XLOOKUP(E114,STUDENTS!F113:F100110,STUDENTS!H113:H100110)),"update STUDENT sheet")</f>
        <v/>
      </c>
    </row>
    <row r="115">
      <c r="B115">
        <f>IF(STUDENTS!B114="","",STUDENTS!B114)</f>
        <v/>
      </c>
      <c r="C115">
        <f>IFERROR(IF(B115="","",_xlfn.XLOOKUP(B115,STUDENTS!$B$3:$B$1048576,STUDENTS!$C$3:$C$1048576)),"Enter a registered reg. no")</f>
        <v/>
      </c>
      <c r="D115">
        <f>IFERROR(IF(B115="","",_xlfn.XLOOKUP(B115,STUDENTS!B114:B100111,STUDENTS!D114:D100111)),"update STUDENT sheet")</f>
        <v/>
      </c>
      <c r="E115">
        <f>IFERROR(IF(C115="","",_xlfn.XLOOKUP(C115,STUDENTS!C114:C100111,STUDENTS!F114:F100111)),"update STUDENT sheet")</f>
        <v/>
      </c>
      <c r="F115">
        <f>IFERROR(IF(D115="","",_xlfn.XLOOKUP(D115,STUDENTS!D114:D100111,STUDENTS!G114:G100111)),"update STUDENT sheet")</f>
        <v/>
      </c>
      <c r="G115">
        <f>IFERROR(IF(E115="","",_xlfn.XLOOKUP(E115,STUDENTS!F114:F100111,STUDENTS!H114:H100111)),"update STUDENT sheet")</f>
        <v/>
      </c>
    </row>
    <row r="116">
      <c r="B116">
        <f>IF(STUDENTS!B115="","",STUDENTS!B115)</f>
        <v/>
      </c>
      <c r="C116">
        <f>IFERROR(IF(B116="","",_xlfn.XLOOKUP(B116,STUDENTS!$B$3:$B$1048576,STUDENTS!$C$3:$C$1048576)),"Enter a registered reg. no")</f>
        <v/>
      </c>
      <c r="D116">
        <f>IFERROR(IF(B116="","",_xlfn.XLOOKUP(B116,STUDENTS!B115:B100112,STUDENTS!D115:D100112)),"update STUDENT sheet")</f>
        <v/>
      </c>
      <c r="E116">
        <f>IFERROR(IF(C116="","",_xlfn.XLOOKUP(C116,STUDENTS!C115:C100112,STUDENTS!F115:F100112)),"update STUDENT sheet")</f>
        <v/>
      </c>
      <c r="F116">
        <f>IFERROR(IF(D116="","",_xlfn.XLOOKUP(D116,STUDENTS!D115:D100112,STUDENTS!G115:G100112)),"update STUDENT sheet")</f>
        <v/>
      </c>
      <c r="G116">
        <f>IFERROR(IF(E116="","",_xlfn.XLOOKUP(E116,STUDENTS!F115:F100112,STUDENTS!H115:H100112)),"update STUDENT sheet")</f>
        <v/>
      </c>
    </row>
    <row r="117">
      <c r="B117">
        <f>IF(STUDENTS!B116="","",STUDENTS!B116)</f>
        <v/>
      </c>
      <c r="C117">
        <f>IFERROR(IF(B117="","",_xlfn.XLOOKUP(B117,STUDENTS!$B$3:$B$1048576,STUDENTS!$C$3:$C$1048576)),"Enter a registered reg. no")</f>
        <v/>
      </c>
      <c r="D117">
        <f>IFERROR(IF(B117="","",_xlfn.XLOOKUP(B117,STUDENTS!B116:B100113,STUDENTS!D116:D100113)),"update STUDENT sheet")</f>
        <v/>
      </c>
      <c r="E117">
        <f>IFERROR(IF(C117="","",_xlfn.XLOOKUP(C117,STUDENTS!C116:C100113,STUDENTS!F116:F100113)),"update STUDENT sheet")</f>
        <v/>
      </c>
      <c r="F117">
        <f>IFERROR(IF(D117="","",_xlfn.XLOOKUP(D117,STUDENTS!D116:D100113,STUDENTS!G116:G100113)),"update STUDENT sheet")</f>
        <v/>
      </c>
      <c r="G117">
        <f>IFERROR(IF(E117="","",_xlfn.XLOOKUP(E117,STUDENTS!F116:F100113,STUDENTS!H116:H100113)),"update STUDENT sheet")</f>
        <v/>
      </c>
    </row>
    <row r="118">
      <c r="B118">
        <f>IF(STUDENTS!B117="","",STUDENTS!B117)</f>
        <v/>
      </c>
      <c r="C118">
        <f>IFERROR(IF(B118="","",_xlfn.XLOOKUP(B118,STUDENTS!$B$3:$B$1048576,STUDENTS!$C$3:$C$1048576)),"Enter a registered reg. no")</f>
        <v/>
      </c>
      <c r="D118">
        <f>IFERROR(IF(B118="","",_xlfn.XLOOKUP(B118,STUDENTS!B117:B100114,STUDENTS!D117:D100114)),"update STUDENT sheet")</f>
        <v/>
      </c>
      <c r="E118">
        <f>IFERROR(IF(C118="","",_xlfn.XLOOKUP(C118,STUDENTS!C117:C100114,STUDENTS!F117:F100114)),"update STUDENT sheet")</f>
        <v/>
      </c>
      <c r="F118">
        <f>IFERROR(IF(D118="","",_xlfn.XLOOKUP(D118,STUDENTS!D117:D100114,STUDENTS!G117:G100114)),"update STUDENT sheet")</f>
        <v/>
      </c>
      <c r="G118">
        <f>IFERROR(IF(E118="","",_xlfn.XLOOKUP(E118,STUDENTS!F117:F100114,STUDENTS!H117:H100114)),"update STUDENT sheet")</f>
        <v/>
      </c>
    </row>
    <row r="119">
      <c r="B119">
        <f>IF(STUDENTS!B118="","",STUDENTS!B118)</f>
        <v/>
      </c>
      <c r="C119">
        <f>IFERROR(IF(B119="","",_xlfn.XLOOKUP(B119,STUDENTS!$B$3:$B$1048576,STUDENTS!$C$3:$C$1048576)),"Enter a registered reg. no")</f>
        <v/>
      </c>
      <c r="D119">
        <f>IFERROR(IF(B119="","",_xlfn.XLOOKUP(B119,STUDENTS!B118:B100115,STUDENTS!D118:D100115)),"update STUDENT sheet")</f>
        <v/>
      </c>
      <c r="E119">
        <f>IFERROR(IF(C119="","",_xlfn.XLOOKUP(C119,STUDENTS!C118:C100115,STUDENTS!F118:F100115)),"update STUDENT sheet")</f>
        <v/>
      </c>
      <c r="F119">
        <f>IFERROR(IF(D119="","",_xlfn.XLOOKUP(D119,STUDENTS!D118:D100115,STUDENTS!G118:G100115)),"update STUDENT sheet")</f>
        <v/>
      </c>
      <c r="G119">
        <f>IFERROR(IF(E119="","",_xlfn.XLOOKUP(E119,STUDENTS!F118:F100115,STUDENTS!H118:H100115)),"update STUDENT sheet")</f>
        <v/>
      </c>
    </row>
    <row r="120">
      <c r="B120">
        <f>IF(STUDENTS!B119="","",STUDENTS!B119)</f>
        <v/>
      </c>
      <c r="C120">
        <f>IFERROR(IF(B120="","",_xlfn.XLOOKUP(B120,STUDENTS!$B$3:$B$1048576,STUDENTS!$C$3:$C$1048576)),"Enter a registered reg. no")</f>
        <v/>
      </c>
      <c r="D120">
        <f>IFERROR(IF(B120="","",_xlfn.XLOOKUP(B120,STUDENTS!B119:B100116,STUDENTS!D119:D100116)),"update STUDENT sheet")</f>
        <v/>
      </c>
      <c r="E120">
        <f>IFERROR(IF(C120="","",_xlfn.XLOOKUP(C120,STUDENTS!C119:C100116,STUDENTS!F119:F100116)),"update STUDENT sheet")</f>
        <v/>
      </c>
      <c r="F120">
        <f>IFERROR(IF(D120="","",_xlfn.XLOOKUP(D120,STUDENTS!D119:D100116,STUDENTS!G119:G100116)),"update STUDENT sheet")</f>
        <v/>
      </c>
      <c r="G120">
        <f>IFERROR(IF(E120="","",_xlfn.XLOOKUP(E120,STUDENTS!F119:F100116,STUDENTS!H119:H100116)),"update STUDENT sheet")</f>
        <v/>
      </c>
    </row>
    <row r="121">
      <c r="B121">
        <f>IF(STUDENTS!B120="","",STUDENTS!B120)</f>
        <v/>
      </c>
      <c r="C121">
        <f>IFERROR(IF(B121="","",_xlfn.XLOOKUP(B121,STUDENTS!$B$3:$B$1048576,STUDENTS!$C$3:$C$1048576)),"Enter a registered reg. no")</f>
        <v/>
      </c>
      <c r="D121">
        <f>IFERROR(IF(B121="","",_xlfn.XLOOKUP(B121,STUDENTS!B120:B100117,STUDENTS!D120:D100117)),"update STUDENT sheet")</f>
        <v/>
      </c>
      <c r="E121">
        <f>IFERROR(IF(C121="","",_xlfn.XLOOKUP(C121,STUDENTS!C120:C100117,STUDENTS!F120:F100117)),"update STUDENT sheet")</f>
        <v/>
      </c>
      <c r="F121">
        <f>IFERROR(IF(D121="","",_xlfn.XLOOKUP(D121,STUDENTS!D120:D100117,STUDENTS!G120:G100117)),"update STUDENT sheet")</f>
        <v/>
      </c>
      <c r="G121">
        <f>IFERROR(IF(E121="","",_xlfn.XLOOKUP(E121,STUDENTS!F120:F100117,STUDENTS!H120:H100117)),"update STUDENT sheet")</f>
        <v/>
      </c>
    </row>
    <row r="122">
      <c r="B122">
        <f>IF(STUDENTS!B121="","",STUDENTS!B121)</f>
        <v/>
      </c>
      <c r="C122">
        <f>IFERROR(IF(B122="","",_xlfn.XLOOKUP(B122,STUDENTS!$B$3:$B$1048576,STUDENTS!$C$3:$C$1048576)),"Enter a registered reg. no")</f>
        <v/>
      </c>
      <c r="D122">
        <f>IFERROR(IF(B122="","",_xlfn.XLOOKUP(B122,STUDENTS!B121:B100118,STUDENTS!D121:D100118)),"update STUDENT sheet")</f>
        <v/>
      </c>
      <c r="E122">
        <f>IFERROR(IF(C122="","",_xlfn.XLOOKUP(C122,STUDENTS!C121:C100118,STUDENTS!F121:F100118)),"update STUDENT sheet")</f>
        <v/>
      </c>
      <c r="F122">
        <f>IFERROR(IF(D122="","",_xlfn.XLOOKUP(D122,STUDENTS!D121:D100118,STUDENTS!G121:G100118)),"update STUDENT sheet")</f>
        <v/>
      </c>
      <c r="G122">
        <f>IFERROR(IF(E122="","",_xlfn.XLOOKUP(E122,STUDENTS!F121:F100118,STUDENTS!H121:H100118)),"update STUDENT sheet")</f>
        <v/>
      </c>
    </row>
    <row r="123">
      <c r="B123">
        <f>IF(STUDENTS!B122="","",STUDENTS!B122)</f>
        <v/>
      </c>
      <c r="C123">
        <f>IFERROR(IF(B123="","",_xlfn.XLOOKUP(B123,STUDENTS!$B$3:$B$1048576,STUDENTS!$C$3:$C$1048576)),"Enter a registered reg. no")</f>
        <v/>
      </c>
      <c r="D123">
        <f>IFERROR(IF(B123="","",_xlfn.XLOOKUP(B123,STUDENTS!B122:B100119,STUDENTS!D122:D100119)),"update STUDENT sheet")</f>
        <v/>
      </c>
      <c r="E123">
        <f>IFERROR(IF(C123="","",_xlfn.XLOOKUP(C123,STUDENTS!C122:C100119,STUDENTS!F122:F100119)),"update STUDENT sheet")</f>
        <v/>
      </c>
      <c r="F123">
        <f>IFERROR(IF(D123="","",_xlfn.XLOOKUP(D123,STUDENTS!D122:D100119,STUDENTS!G122:G100119)),"update STUDENT sheet")</f>
        <v/>
      </c>
      <c r="G123">
        <f>IFERROR(IF(E123="","",_xlfn.XLOOKUP(E123,STUDENTS!F122:F100119,STUDENTS!H122:H100119)),"update STUDENT sheet")</f>
        <v/>
      </c>
    </row>
    <row r="124">
      <c r="B124">
        <f>IF(STUDENTS!B123="","",STUDENTS!B123)</f>
        <v/>
      </c>
      <c r="C124">
        <f>IFERROR(IF(B124="","",_xlfn.XLOOKUP(B124,STUDENTS!$B$3:$B$1048576,STUDENTS!$C$3:$C$1048576)),"Enter a registered reg. no")</f>
        <v/>
      </c>
      <c r="D124">
        <f>IFERROR(IF(B124="","",_xlfn.XLOOKUP(B124,STUDENTS!B123:B100120,STUDENTS!D123:D100120)),"update STUDENT sheet")</f>
        <v/>
      </c>
      <c r="E124">
        <f>IFERROR(IF(C124="","",_xlfn.XLOOKUP(C124,STUDENTS!C123:C100120,STUDENTS!F123:F100120)),"update STUDENT sheet")</f>
        <v/>
      </c>
      <c r="F124">
        <f>IFERROR(IF(D124="","",_xlfn.XLOOKUP(D124,STUDENTS!D123:D100120,STUDENTS!G123:G100120)),"update STUDENT sheet")</f>
        <v/>
      </c>
      <c r="G124">
        <f>IFERROR(IF(E124="","",_xlfn.XLOOKUP(E124,STUDENTS!F123:F100120,STUDENTS!H123:H100120)),"update STUDENT sheet")</f>
        <v/>
      </c>
    </row>
    <row r="125">
      <c r="B125">
        <f>IF(STUDENTS!B124="","",STUDENTS!B124)</f>
        <v/>
      </c>
      <c r="C125">
        <f>IFERROR(IF(B125="","",_xlfn.XLOOKUP(B125,STUDENTS!$B$3:$B$1048576,STUDENTS!$C$3:$C$1048576)),"Enter a registered reg. no")</f>
        <v/>
      </c>
      <c r="D125">
        <f>IFERROR(IF(B125="","",_xlfn.XLOOKUP(B125,STUDENTS!B124:B100121,STUDENTS!D124:D100121)),"update STUDENT sheet")</f>
        <v/>
      </c>
      <c r="E125">
        <f>IFERROR(IF(C125="","",_xlfn.XLOOKUP(C125,STUDENTS!C124:C100121,STUDENTS!F124:F100121)),"update STUDENT sheet")</f>
        <v/>
      </c>
      <c r="F125">
        <f>IFERROR(IF(D125="","",_xlfn.XLOOKUP(D125,STUDENTS!D124:D100121,STUDENTS!G124:G100121)),"update STUDENT sheet")</f>
        <v/>
      </c>
      <c r="G125">
        <f>IFERROR(IF(E125="","",_xlfn.XLOOKUP(E125,STUDENTS!F124:F100121,STUDENTS!H124:H100121)),"update STUDENT sheet")</f>
        <v/>
      </c>
    </row>
    <row r="126">
      <c r="B126">
        <f>IF(STUDENTS!B125="","",STUDENTS!B125)</f>
        <v/>
      </c>
      <c r="C126">
        <f>IFERROR(IF(B126="","",_xlfn.XLOOKUP(B126,STUDENTS!$B$3:$B$1048576,STUDENTS!$C$3:$C$1048576)),"Enter a registered reg. no")</f>
        <v/>
      </c>
      <c r="D126">
        <f>IFERROR(IF(B126="","",_xlfn.XLOOKUP(B126,STUDENTS!B125:B100122,STUDENTS!D125:D100122)),"update STUDENT sheet")</f>
        <v/>
      </c>
      <c r="E126">
        <f>IFERROR(IF(C126="","",_xlfn.XLOOKUP(C126,STUDENTS!C125:C100122,STUDENTS!F125:F100122)),"update STUDENT sheet")</f>
        <v/>
      </c>
      <c r="F126">
        <f>IFERROR(IF(D126="","",_xlfn.XLOOKUP(D126,STUDENTS!D125:D100122,STUDENTS!G125:G100122)),"update STUDENT sheet")</f>
        <v/>
      </c>
      <c r="G126">
        <f>IFERROR(IF(E126="","",_xlfn.XLOOKUP(E126,STUDENTS!F125:F100122,STUDENTS!H125:H100122)),"update STUDENT sheet")</f>
        <v/>
      </c>
    </row>
    <row r="127">
      <c r="B127">
        <f>IF(STUDENTS!B126="","",STUDENTS!B126)</f>
        <v/>
      </c>
      <c r="C127">
        <f>IFERROR(IF(B127="","",_xlfn.XLOOKUP(B127,STUDENTS!$B$3:$B$1048576,STUDENTS!$C$3:$C$1048576)),"Enter a registered reg. no")</f>
        <v/>
      </c>
      <c r="D127">
        <f>IFERROR(IF(B127="","",_xlfn.XLOOKUP(B127,STUDENTS!B126:B100123,STUDENTS!D126:D100123)),"update STUDENT sheet")</f>
        <v/>
      </c>
      <c r="E127">
        <f>IFERROR(IF(C127="","",_xlfn.XLOOKUP(C127,STUDENTS!C126:C100123,STUDENTS!F126:F100123)),"update STUDENT sheet")</f>
        <v/>
      </c>
      <c r="F127">
        <f>IFERROR(IF(D127="","",_xlfn.XLOOKUP(D127,STUDENTS!D126:D100123,STUDENTS!G126:G100123)),"update STUDENT sheet")</f>
        <v/>
      </c>
      <c r="G127">
        <f>IFERROR(IF(E127="","",_xlfn.XLOOKUP(E127,STUDENTS!F126:F100123,STUDENTS!H126:H100123)),"update STUDENT sheet")</f>
        <v/>
      </c>
    </row>
    <row r="128">
      <c r="B128">
        <f>IF(STUDENTS!B127="","",STUDENTS!B127)</f>
        <v/>
      </c>
      <c r="C128">
        <f>IFERROR(IF(B128="","",_xlfn.XLOOKUP(B128,STUDENTS!$B$3:$B$1048576,STUDENTS!$C$3:$C$1048576)),"Enter a registered reg. no")</f>
        <v/>
      </c>
      <c r="D128">
        <f>IFERROR(IF(B128="","",_xlfn.XLOOKUP(B128,STUDENTS!B127:B100124,STUDENTS!D127:D100124)),"update STUDENT sheet")</f>
        <v/>
      </c>
      <c r="E128">
        <f>IFERROR(IF(C128="","",_xlfn.XLOOKUP(C128,STUDENTS!C127:C100124,STUDENTS!F127:F100124)),"update STUDENT sheet")</f>
        <v/>
      </c>
      <c r="F128">
        <f>IFERROR(IF(D128="","",_xlfn.XLOOKUP(D128,STUDENTS!D127:D100124,STUDENTS!G127:G100124)),"update STUDENT sheet")</f>
        <v/>
      </c>
      <c r="G128">
        <f>IFERROR(IF(E128="","",_xlfn.XLOOKUP(E128,STUDENTS!F127:F100124,STUDENTS!H127:H100124)),"update STUDENT sheet")</f>
        <v/>
      </c>
    </row>
    <row r="129">
      <c r="B129">
        <f>IF(STUDENTS!B128="","",STUDENTS!B128)</f>
        <v/>
      </c>
      <c r="C129">
        <f>IFERROR(IF(B129="","",_xlfn.XLOOKUP(B129,STUDENTS!$B$3:$B$1048576,STUDENTS!$C$3:$C$1048576)),"Enter a registered reg. no")</f>
        <v/>
      </c>
      <c r="D129">
        <f>IFERROR(IF(B129="","",_xlfn.XLOOKUP(B129,STUDENTS!B128:B100125,STUDENTS!D128:D100125)),"update STUDENT sheet")</f>
        <v/>
      </c>
      <c r="E129">
        <f>IFERROR(IF(C129="","",_xlfn.XLOOKUP(C129,STUDENTS!C128:C100125,STUDENTS!F128:F100125)),"update STUDENT sheet")</f>
        <v/>
      </c>
      <c r="F129">
        <f>IFERROR(IF(D129="","",_xlfn.XLOOKUP(D129,STUDENTS!D128:D100125,STUDENTS!G128:G100125)),"update STUDENT sheet")</f>
        <v/>
      </c>
      <c r="G129">
        <f>IFERROR(IF(E129="","",_xlfn.XLOOKUP(E129,STUDENTS!F128:F100125,STUDENTS!H128:H100125)),"update STUDENT sheet")</f>
        <v/>
      </c>
    </row>
    <row r="130">
      <c r="B130">
        <f>IF(STUDENTS!B129="","",STUDENTS!B129)</f>
        <v/>
      </c>
      <c r="C130">
        <f>IFERROR(IF(B130="","",_xlfn.XLOOKUP(B130,STUDENTS!$B$3:$B$1048576,STUDENTS!$C$3:$C$1048576)),"Enter a registered reg. no")</f>
        <v/>
      </c>
      <c r="D130">
        <f>IFERROR(IF(B130="","",_xlfn.XLOOKUP(B130,STUDENTS!B129:B100126,STUDENTS!D129:D100126)),"update STUDENT sheet")</f>
        <v/>
      </c>
      <c r="E130">
        <f>IFERROR(IF(C130="","",_xlfn.XLOOKUP(C130,STUDENTS!C129:C100126,STUDENTS!F129:F100126)),"update STUDENT sheet")</f>
        <v/>
      </c>
      <c r="F130">
        <f>IFERROR(IF(D130="","",_xlfn.XLOOKUP(D130,STUDENTS!D129:D100126,STUDENTS!G129:G100126)),"update STUDENT sheet")</f>
        <v/>
      </c>
      <c r="G130">
        <f>IFERROR(IF(E130="","",_xlfn.XLOOKUP(E130,STUDENTS!F129:F100126,STUDENTS!H129:H100126)),"update STUDENT sheet")</f>
        <v/>
      </c>
    </row>
    <row r="131">
      <c r="B131">
        <f>IF(STUDENTS!B130="","",STUDENTS!B130)</f>
        <v/>
      </c>
      <c r="C131">
        <f>IFERROR(IF(B131="","",_xlfn.XLOOKUP(B131,STUDENTS!$B$3:$B$1048576,STUDENTS!$C$3:$C$1048576)),"Enter a registered reg. no")</f>
        <v/>
      </c>
      <c r="D131">
        <f>IFERROR(IF(B131="","",_xlfn.XLOOKUP(B131,STUDENTS!B130:B100127,STUDENTS!D130:D100127)),"update STUDENT sheet")</f>
        <v/>
      </c>
      <c r="E131">
        <f>IFERROR(IF(C131="","",_xlfn.XLOOKUP(C131,STUDENTS!C130:C100127,STUDENTS!F130:F100127)),"update STUDENT sheet")</f>
        <v/>
      </c>
      <c r="F131">
        <f>IFERROR(IF(D131="","",_xlfn.XLOOKUP(D131,STUDENTS!D130:D100127,STUDENTS!G130:G100127)),"update STUDENT sheet")</f>
        <v/>
      </c>
      <c r="G131">
        <f>IFERROR(IF(E131="","",_xlfn.XLOOKUP(E131,STUDENTS!F130:F100127,STUDENTS!H130:H100127)),"update STUDENT sheet")</f>
        <v/>
      </c>
    </row>
    <row r="132">
      <c r="B132">
        <f>IF(STUDENTS!B131="","",STUDENTS!B131)</f>
        <v/>
      </c>
      <c r="C132">
        <f>IFERROR(IF(B132="","",_xlfn.XLOOKUP(B132,STUDENTS!$B$3:$B$1048576,STUDENTS!$C$3:$C$1048576)),"Enter a registered reg. no")</f>
        <v/>
      </c>
      <c r="D132">
        <f>IFERROR(IF(B132="","",_xlfn.XLOOKUP(B132,STUDENTS!B131:B100128,STUDENTS!D131:D100128)),"update STUDENT sheet")</f>
        <v/>
      </c>
      <c r="E132">
        <f>IFERROR(IF(C132="","",_xlfn.XLOOKUP(C132,STUDENTS!C131:C100128,STUDENTS!F131:F100128)),"update STUDENT sheet")</f>
        <v/>
      </c>
      <c r="F132">
        <f>IFERROR(IF(D132="","",_xlfn.XLOOKUP(D132,STUDENTS!D131:D100128,STUDENTS!G131:G100128)),"update STUDENT sheet")</f>
        <v/>
      </c>
      <c r="G132">
        <f>IFERROR(IF(E132="","",_xlfn.XLOOKUP(E132,STUDENTS!F131:F100128,STUDENTS!H131:H100128)),"update STUDENT sheet")</f>
        <v/>
      </c>
    </row>
    <row r="133">
      <c r="B133">
        <f>IF(STUDENTS!B132="","",STUDENTS!B132)</f>
        <v/>
      </c>
      <c r="C133">
        <f>IFERROR(IF(B133="","",_xlfn.XLOOKUP(B133,STUDENTS!$B$3:$B$1048576,STUDENTS!$C$3:$C$1048576)),"Enter a registered reg. no")</f>
        <v/>
      </c>
      <c r="D133">
        <f>IFERROR(IF(B133="","",_xlfn.XLOOKUP(B133,STUDENTS!B132:B100129,STUDENTS!D132:D100129)),"update STUDENT sheet")</f>
        <v/>
      </c>
      <c r="E133">
        <f>IFERROR(IF(C133="","",_xlfn.XLOOKUP(C133,STUDENTS!C132:C100129,STUDENTS!F132:F100129)),"update STUDENT sheet")</f>
        <v/>
      </c>
      <c r="F133">
        <f>IFERROR(IF(D133="","",_xlfn.XLOOKUP(D133,STUDENTS!D132:D100129,STUDENTS!G132:G100129)),"update STUDENT sheet")</f>
        <v/>
      </c>
      <c r="G133">
        <f>IFERROR(IF(E133="","",_xlfn.XLOOKUP(E133,STUDENTS!F132:F100129,STUDENTS!H132:H100129)),"update STUDENT sheet")</f>
        <v/>
      </c>
    </row>
    <row r="134">
      <c r="B134">
        <f>IF(STUDENTS!B133="","",STUDENTS!B133)</f>
        <v/>
      </c>
      <c r="C134">
        <f>IFERROR(IF(B134="","",_xlfn.XLOOKUP(B134,STUDENTS!$B$3:$B$1048576,STUDENTS!$C$3:$C$1048576)),"Enter a registered reg. no")</f>
        <v/>
      </c>
      <c r="D134">
        <f>IFERROR(IF(B134="","",_xlfn.XLOOKUP(B134,STUDENTS!B133:B100130,STUDENTS!D133:D100130)),"update STUDENT sheet")</f>
        <v/>
      </c>
      <c r="E134">
        <f>IFERROR(IF(C134="","",_xlfn.XLOOKUP(C134,STUDENTS!C133:C100130,STUDENTS!F133:F100130)),"update STUDENT sheet")</f>
        <v/>
      </c>
      <c r="F134">
        <f>IFERROR(IF(D134="","",_xlfn.XLOOKUP(D134,STUDENTS!D133:D100130,STUDENTS!G133:G100130)),"update STUDENT sheet")</f>
        <v/>
      </c>
      <c r="G134">
        <f>IFERROR(IF(E134="","",_xlfn.XLOOKUP(E134,STUDENTS!F133:F100130,STUDENTS!H133:H100130)),"update STUDENT sheet")</f>
        <v/>
      </c>
    </row>
    <row r="135">
      <c r="B135">
        <f>IF(STUDENTS!B134="","",STUDENTS!B134)</f>
        <v/>
      </c>
      <c r="C135">
        <f>IFERROR(IF(B135="","",_xlfn.XLOOKUP(B135,STUDENTS!$B$3:$B$1048576,STUDENTS!$C$3:$C$1048576)),"Enter a registered reg. no")</f>
        <v/>
      </c>
      <c r="D135">
        <f>IFERROR(IF(B135="","",_xlfn.XLOOKUP(B135,STUDENTS!B134:B100131,STUDENTS!D134:D100131)),"update STUDENT sheet")</f>
        <v/>
      </c>
      <c r="E135">
        <f>IFERROR(IF(C135="","",_xlfn.XLOOKUP(C135,STUDENTS!C134:C100131,STUDENTS!F134:F100131)),"update STUDENT sheet")</f>
        <v/>
      </c>
      <c r="F135">
        <f>IFERROR(IF(D135="","",_xlfn.XLOOKUP(D135,STUDENTS!D134:D100131,STUDENTS!G134:G100131)),"update STUDENT sheet")</f>
        <v/>
      </c>
      <c r="G135">
        <f>IFERROR(IF(E135="","",_xlfn.XLOOKUP(E135,STUDENTS!F134:F100131,STUDENTS!H134:H100131)),"update STUDENT sheet")</f>
        <v/>
      </c>
    </row>
    <row r="136">
      <c r="B136">
        <f>IF(STUDENTS!B135="","",STUDENTS!B135)</f>
        <v/>
      </c>
      <c r="C136">
        <f>IFERROR(IF(B136="","",_xlfn.XLOOKUP(B136,STUDENTS!$B$3:$B$1048576,STUDENTS!$C$3:$C$1048576)),"Enter a registered reg. no")</f>
        <v/>
      </c>
      <c r="D136">
        <f>IFERROR(IF(B136="","",_xlfn.XLOOKUP(B136,STUDENTS!B135:B100132,STUDENTS!D135:D100132)),"update STUDENT sheet")</f>
        <v/>
      </c>
      <c r="E136">
        <f>IFERROR(IF(C136="","",_xlfn.XLOOKUP(C136,STUDENTS!C135:C100132,STUDENTS!F135:F100132)),"update STUDENT sheet")</f>
        <v/>
      </c>
      <c r="F136">
        <f>IFERROR(IF(D136="","",_xlfn.XLOOKUP(D136,STUDENTS!D135:D100132,STUDENTS!G135:G100132)),"update STUDENT sheet")</f>
        <v/>
      </c>
      <c r="G136">
        <f>IFERROR(IF(E136="","",_xlfn.XLOOKUP(E136,STUDENTS!F135:F100132,STUDENTS!H135:H100132)),"update STUDENT sheet")</f>
        <v/>
      </c>
    </row>
    <row r="137">
      <c r="B137">
        <f>IF(STUDENTS!B136="","",STUDENTS!B136)</f>
        <v/>
      </c>
      <c r="C137">
        <f>IFERROR(IF(B137="","",_xlfn.XLOOKUP(B137,STUDENTS!$B$3:$B$1048576,STUDENTS!$C$3:$C$1048576)),"Enter a registered reg. no")</f>
        <v/>
      </c>
      <c r="D137">
        <f>IFERROR(IF(B137="","",_xlfn.XLOOKUP(B137,STUDENTS!B136:B100133,STUDENTS!D136:D100133)),"update STUDENT sheet")</f>
        <v/>
      </c>
      <c r="E137">
        <f>IFERROR(IF(C137="","",_xlfn.XLOOKUP(C137,STUDENTS!C136:C100133,STUDENTS!F136:F100133)),"update STUDENT sheet")</f>
        <v/>
      </c>
      <c r="F137">
        <f>IFERROR(IF(D137="","",_xlfn.XLOOKUP(D137,STUDENTS!D136:D100133,STUDENTS!G136:G100133)),"update STUDENT sheet")</f>
        <v/>
      </c>
      <c r="G137">
        <f>IFERROR(IF(E137="","",_xlfn.XLOOKUP(E137,STUDENTS!F136:F100133,STUDENTS!H136:H100133)),"update STUDENT sheet")</f>
        <v/>
      </c>
    </row>
    <row r="138">
      <c r="B138">
        <f>IF(STUDENTS!B137="","",STUDENTS!B137)</f>
        <v/>
      </c>
      <c r="C138">
        <f>IFERROR(IF(B138="","",_xlfn.XLOOKUP(B138,STUDENTS!$B$3:$B$1048576,STUDENTS!$C$3:$C$1048576)),"Enter a registered reg. no")</f>
        <v/>
      </c>
      <c r="D138">
        <f>IFERROR(IF(B138="","",_xlfn.XLOOKUP(B138,STUDENTS!B137:B100134,STUDENTS!D137:D100134)),"update STUDENT sheet")</f>
        <v/>
      </c>
      <c r="E138">
        <f>IFERROR(IF(C138="","",_xlfn.XLOOKUP(C138,STUDENTS!C137:C100134,STUDENTS!F137:F100134)),"update STUDENT sheet")</f>
        <v/>
      </c>
      <c r="F138">
        <f>IFERROR(IF(D138="","",_xlfn.XLOOKUP(D138,STUDENTS!D137:D100134,STUDENTS!G137:G100134)),"update STUDENT sheet")</f>
        <v/>
      </c>
      <c r="G138">
        <f>IFERROR(IF(E138="","",_xlfn.XLOOKUP(E138,STUDENTS!F137:F100134,STUDENTS!H137:H100134)),"update STUDENT sheet")</f>
        <v/>
      </c>
    </row>
    <row r="139">
      <c r="B139">
        <f>IF(STUDENTS!B138="","",STUDENTS!B138)</f>
        <v/>
      </c>
      <c r="C139">
        <f>IFERROR(IF(B139="","",_xlfn.XLOOKUP(B139,STUDENTS!$B$3:$B$1048576,STUDENTS!$C$3:$C$1048576)),"Enter a registered reg. no")</f>
        <v/>
      </c>
      <c r="D139">
        <f>IFERROR(IF(B139="","",_xlfn.XLOOKUP(B139,STUDENTS!B138:B100135,STUDENTS!D138:D100135)),"update STUDENT sheet")</f>
        <v/>
      </c>
      <c r="E139">
        <f>IFERROR(IF(C139="","",_xlfn.XLOOKUP(C139,STUDENTS!C138:C100135,STUDENTS!F138:F100135)),"update STUDENT sheet")</f>
        <v/>
      </c>
      <c r="F139">
        <f>IFERROR(IF(D139="","",_xlfn.XLOOKUP(D139,STUDENTS!D138:D100135,STUDENTS!G138:G100135)),"update STUDENT sheet")</f>
        <v/>
      </c>
      <c r="G139">
        <f>IFERROR(IF(E139="","",_xlfn.XLOOKUP(E139,STUDENTS!F138:F100135,STUDENTS!H138:H100135)),"update STUDENT sheet")</f>
        <v/>
      </c>
    </row>
    <row r="140">
      <c r="B140">
        <f>IF(STUDENTS!B139="","",STUDENTS!B139)</f>
        <v/>
      </c>
      <c r="C140">
        <f>IFERROR(IF(B140="","",_xlfn.XLOOKUP(B140,STUDENTS!$B$3:$B$1048576,STUDENTS!$C$3:$C$1048576)),"Enter a registered reg. no")</f>
        <v/>
      </c>
      <c r="D140">
        <f>IFERROR(IF(B140="","",_xlfn.XLOOKUP(B140,STUDENTS!B139:B100136,STUDENTS!D139:D100136)),"update STUDENT sheet")</f>
        <v/>
      </c>
      <c r="E140">
        <f>IFERROR(IF(C140="","",_xlfn.XLOOKUP(C140,STUDENTS!C139:C100136,STUDENTS!F139:F100136)),"update STUDENT sheet")</f>
        <v/>
      </c>
      <c r="F140">
        <f>IFERROR(IF(D140="","",_xlfn.XLOOKUP(D140,STUDENTS!D139:D100136,STUDENTS!G139:G100136)),"update STUDENT sheet")</f>
        <v/>
      </c>
      <c r="G140">
        <f>IFERROR(IF(E140="","",_xlfn.XLOOKUP(E140,STUDENTS!F139:F100136,STUDENTS!H139:H100136)),"update STUDENT sheet")</f>
        <v/>
      </c>
    </row>
    <row r="141">
      <c r="B141">
        <f>IF(STUDENTS!B140="","",STUDENTS!B140)</f>
        <v/>
      </c>
      <c r="C141">
        <f>IFERROR(IF(B141="","",_xlfn.XLOOKUP(B141,STUDENTS!$B$3:$B$1048576,STUDENTS!$C$3:$C$1048576)),"Enter a registered reg. no")</f>
        <v/>
      </c>
      <c r="D141">
        <f>IFERROR(IF(B141="","",_xlfn.XLOOKUP(B141,STUDENTS!B140:B100137,STUDENTS!D140:D100137)),"update STUDENT sheet")</f>
        <v/>
      </c>
      <c r="E141">
        <f>IFERROR(IF(C141="","",_xlfn.XLOOKUP(C141,STUDENTS!C140:C100137,STUDENTS!F140:F100137)),"update STUDENT sheet")</f>
        <v/>
      </c>
      <c r="F141">
        <f>IFERROR(IF(D141="","",_xlfn.XLOOKUP(D141,STUDENTS!D140:D100137,STUDENTS!G140:G100137)),"update STUDENT sheet")</f>
        <v/>
      </c>
      <c r="G141">
        <f>IFERROR(IF(E141="","",_xlfn.XLOOKUP(E141,STUDENTS!F140:F100137,STUDENTS!H140:H100137)),"update STUDENT sheet")</f>
        <v/>
      </c>
    </row>
    <row r="142">
      <c r="B142">
        <f>IF(STUDENTS!B141="","",STUDENTS!B141)</f>
        <v/>
      </c>
      <c r="C142">
        <f>IFERROR(IF(B142="","",_xlfn.XLOOKUP(B142,STUDENTS!$B$3:$B$1048576,STUDENTS!$C$3:$C$1048576)),"Enter a registered reg. no")</f>
        <v/>
      </c>
      <c r="D142">
        <f>IFERROR(IF(B142="","",_xlfn.XLOOKUP(B142,STUDENTS!B141:B100138,STUDENTS!D141:D100138)),"update STUDENT sheet")</f>
        <v/>
      </c>
      <c r="E142">
        <f>IFERROR(IF(C142="","",_xlfn.XLOOKUP(C142,STUDENTS!C141:C100138,STUDENTS!F141:F100138)),"update STUDENT sheet")</f>
        <v/>
      </c>
      <c r="F142">
        <f>IFERROR(IF(D142="","",_xlfn.XLOOKUP(D142,STUDENTS!D141:D100138,STUDENTS!G141:G100138)),"update STUDENT sheet")</f>
        <v/>
      </c>
      <c r="G142">
        <f>IFERROR(IF(E142="","",_xlfn.XLOOKUP(E142,STUDENTS!F141:F100138,STUDENTS!H141:H100138)),"update STUDENT sheet")</f>
        <v/>
      </c>
    </row>
    <row r="143">
      <c r="B143">
        <f>IF(STUDENTS!B142="","",STUDENTS!B142)</f>
        <v/>
      </c>
      <c r="C143">
        <f>IFERROR(IF(B143="","",_xlfn.XLOOKUP(B143,STUDENTS!$B$3:$B$1048576,STUDENTS!$C$3:$C$1048576)),"Enter a registered reg. no")</f>
        <v/>
      </c>
      <c r="D143">
        <f>IFERROR(IF(B143="","",_xlfn.XLOOKUP(B143,STUDENTS!B142:B100139,STUDENTS!D142:D100139)),"update STUDENT sheet")</f>
        <v/>
      </c>
      <c r="E143">
        <f>IFERROR(IF(C143="","",_xlfn.XLOOKUP(C143,STUDENTS!C142:C100139,STUDENTS!F142:F100139)),"update STUDENT sheet")</f>
        <v/>
      </c>
      <c r="F143">
        <f>IFERROR(IF(D143="","",_xlfn.XLOOKUP(D143,STUDENTS!D142:D100139,STUDENTS!G142:G100139)),"update STUDENT sheet")</f>
        <v/>
      </c>
      <c r="G143">
        <f>IFERROR(IF(E143="","",_xlfn.XLOOKUP(E143,STUDENTS!F142:F100139,STUDENTS!H142:H100139)),"update STUDENT sheet")</f>
        <v/>
      </c>
    </row>
    <row r="144">
      <c r="B144">
        <f>IF(STUDENTS!B143="","",STUDENTS!B143)</f>
        <v/>
      </c>
      <c r="C144">
        <f>IFERROR(IF(B144="","",_xlfn.XLOOKUP(B144,STUDENTS!$B$3:$B$1048576,STUDENTS!$C$3:$C$1048576)),"Enter a registered reg. no")</f>
        <v/>
      </c>
      <c r="D144">
        <f>IFERROR(IF(B144="","",_xlfn.XLOOKUP(B144,STUDENTS!B143:B100140,STUDENTS!D143:D100140)),"update STUDENT sheet")</f>
        <v/>
      </c>
      <c r="E144">
        <f>IFERROR(IF(C144="","",_xlfn.XLOOKUP(C144,STUDENTS!C143:C100140,STUDENTS!F143:F100140)),"update STUDENT sheet")</f>
        <v/>
      </c>
      <c r="F144">
        <f>IFERROR(IF(D144="","",_xlfn.XLOOKUP(D144,STUDENTS!D143:D100140,STUDENTS!G143:G100140)),"update STUDENT sheet")</f>
        <v/>
      </c>
      <c r="G144">
        <f>IFERROR(IF(E144="","",_xlfn.XLOOKUP(E144,STUDENTS!F143:F100140,STUDENTS!H143:H100140)),"update STUDENT sheet")</f>
        <v/>
      </c>
    </row>
    <row r="145">
      <c r="B145">
        <f>IF(STUDENTS!B144="","",STUDENTS!B144)</f>
        <v/>
      </c>
      <c r="C145">
        <f>IFERROR(IF(B145="","",_xlfn.XLOOKUP(B145,STUDENTS!$B$3:$B$1048576,STUDENTS!$C$3:$C$1048576)),"Enter a registered reg. no")</f>
        <v/>
      </c>
      <c r="D145">
        <f>IFERROR(IF(B145="","",_xlfn.XLOOKUP(B145,STUDENTS!B144:B100141,STUDENTS!D144:D100141)),"update STUDENT sheet")</f>
        <v/>
      </c>
      <c r="E145">
        <f>IFERROR(IF(C145="","",_xlfn.XLOOKUP(C145,STUDENTS!C144:C100141,STUDENTS!F144:F100141)),"update STUDENT sheet")</f>
        <v/>
      </c>
      <c r="F145">
        <f>IFERROR(IF(D145="","",_xlfn.XLOOKUP(D145,STUDENTS!D144:D100141,STUDENTS!G144:G100141)),"update STUDENT sheet")</f>
        <v/>
      </c>
      <c r="G145">
        <f>IFERROR(IF(E145="","",_xlfn.XLOOKUP(E145,STUDENTS!F144:F100141,STUDENTS!H144:H100141)),"update STUDENT sheet")</f>
        <v/>
      </c>
    </row>
    <row r="146">
      <c r="B146">
        <f>IF(STUDENTS!B145="","",STUDENTS!B145)</f>
        <v/>
      </c>
      <c r="C146">
        <f>IFERROR(IF(B146="","",_xlfn.XLOOKUP(B146,STUDENTS!$B$3:$B$1048576,STUDENTS!$C$3:$C$1048576)),"Enter a registered reg. no")</f>
        <v/>
      </c>
      <c r="D146">
        <f>IFERROR(IF(B146="","",_xlfn.XLOOKUP(B146,STUDENTS!B145:B100142,STUDENTS!D145:D100142)),"update STUDENT sheet")</f>
        <v/>
      </c>
      <c r="E146">
        <f>IFERROR(IF(C146="","",_xlfn.XLOOKUP(C146,STUDENTS!C145:C100142,STUDENTS!F145:F100142)),"update STUDENT sheet")</f>
        <v/>
      </c>
      <c r="F146">
        <f>IFERROR(IF(D146="","",_xlfn.XLOOKUP(D146,STUDENTS!D145:D100142,STUDENTS!G145:G100142)),"update STUDENT sheet")</f>
        <v/>
      </c>
      <c r="G146">
        <f>IFERROR(IF(E146="","",_xlfn.XLOOKUP(E146,STUDENTS!F145:F100142,STUDENTS!H145:H100142)),"update STUDENT sheet")</f>
        <v/>
      </c>
    </row>
    <row r="147">
      <c r="B147">
        <f>IF(STUDENTS!B146="","",STUDENTS!B146)</f>
        <v/>
      </c>
      <c r="C147">
        <f>IFERROR(IF(B147="","",_xlfn.XLOOKUP(B147,STUDENTS!$B$3:$B$1048576,STUDENTS!$C$3:$C$1048576)),"Enter a registered reg. no")</f>
        <v/>
      </c>
      <c r="D147">
        <f>IFERROR(IF(B147="","",_xlfn.XLOOKUP(B147,STUDENTS!B146:B100143,STUDENTS!D146:D100143)),"update STUDENT sheet")</f>
        <v/>
      </c>
      <c r="E147">
        <f>IFERROR(IF(C147="","",_xlfn.XLOOKUP(C147,STUDENTS!C146:C100143,STUDENTS!F146:F100143)),"update STUDENT sheet")</f>
        <v/>
      </c>
      <c r="F147">
        <f>IFERROR(IF(D147="","",_xlfn.XLOOKUP(D147,STUDENTS!D146:D100143,STUDENTS!G146:G100143)),"update STUDENT sheet")</f>
        <v/>
      </c>
      <c r="G147">
        <f>IFERROR(IF(E147="","",_xlfn.XLOOKUP(E147,STUDENTS!F146:F100143,STUDENTS!H146:H100143)),"update STUDENT sheet")</f>
        <v/>
      </c>
    </row>
    <row r="148">
      <c r="B148">
        <f>IF(STUDENTS!B147="","",STUDENTS!B147)</f>
        <v/>
      </c>
      <c r="C148">
        <f>IFERROR(IF(B148="","",_xlfn.XLOOKUP(B148,STUDENTS!$B$3:$B$1048576,STUDENTS!$C$3:$C$1048576)),"Enter a registered reg. no")</f>
        <v/>
      </c>
      <c r="D148">
        <f>IFERROR(IF(B148="","",_xlfn.XLOOKUP(B148,STUDENTS!B147:B100144,STUDENTS!D147:D100144)),"update STUDENT sheet")</f>
        <v/>
      </c>
      <c r="E148">
        <f>IFERROR(IF(C148="","",_xlfn.XLOOKUP(C148,STUDENTS!C147:C100144,STUDENTS!F147:F100144)),"update STUDENT sheet")</f>
        <v/>
      </c>
      <c r="F148">
        <f>IFERROR(IF(D148="","",_xlfn.XLOOKUP(D148,STUDENTS!D147:D100144,STUDENTS!G147:G100144)),"update STUDENT sheet")</f>
        <v/>
      </c>
      <c r="G148">
        <f>IFERROR(IF(E148="","",_xlfn.XLOOKUP(E148,STUDENTS!F147:F100144,STUDENTS!H147:H100144)),"update STUDENT sheet")</f>
        <v/>
      </c>
    </row>
    <row r="149">
      <c r="B149">
        <f>IF(STUDENTS!B148="","",STUDENTS!B148)</f>
        <v/>
      </c>
      <c r="C149">
        <f>IFERROR(IF(B149="","",_xlfn.XLOOKUP(B149,STUDENTS!$B$3:$B$1048576,STUDENTS!$C$3:$C$1048576)),"Enter a registered reg. no")</f>
        <v/>
      </c>
      <c r="D149">
        <f>IFERROR(IF(B149="","",_xlfn.XLOOKUP(B149,STUDENTS!B148:B100145,STUDENTS!D148:D100145)),"update STUDENT sheet")</f>
        <v/>
      </c>
      <c r="E149">
        <f>IFERROR(IF(C149="","",_xlfn.XLOOKUP(C149,STUDENTS!C148:C100145,STUDENTS!F148:F100145)),"update STUDENT sheet")</f>
        <v/>
      </c>
      <c r="F149">
        <f>IFERROR(IF(D149="","",_xlfn.XLOOKUP(D149,STUDENTS!D148:D100145,STUDENTS!G148:G100145)),"update STUDENT sheet")</f>
        <v/>
      </c>
      <c r="G149">
        <f>IFERROR(IF(E149="","",_xlfn.XLOOKUP(E149,STUDENTS!F148:F100145,STUDENTS!H148:H100145)),"update STUDENT sheet")</f>
        <v/>
      </c>
    </row>
    <row r="150">
      <c r="B150">
        <f>IF(STUDENTS!B149="","",STUDENTS!B149)</f>
        <v/>
      </c>
      <c r="C150">
        <f>IFERROR(IF(B150="","",_xlfn.XLOOKUP(B150,STUDENTS!$B$3:$B$1048576,STUDENTS!$C$3:$C$1048576)),"Enter a registered reg. no")</f>
        <v/>
      </c>
      <c r="D150">
        <f>IFERROR(IF(B150="","",_xlfn.XLOOKUP(B150,STUDENTS!B149:B100146,STUDENTS!D149:D100146)),"update STUDENT sheet")</f>
        <v/>
      </c>
      <c r="E150">
        <f>IFERROR(IF(C150="","",_xlfn.XLOOKUP(C150,STUDENTS!C149:C100146,STUDENTS!F149:F100146)),"update STUDENT sheet")</f>
        <v/>
      </c>
      <c r="F150">
        <f>IFERROR(IF(D150="","",_xlfn.XLOOKUP(D150,STUDENTS!D149:D100146,STUDENTS!G149:G100146)),"update STUDENT sheet")</f>
        <v/>
      </c>
      <c r="G150">
        <f>IFERROR(IF(E150="","",_xlfn.XLOOKUP(E150,STUDENTS!F149:F100146,STUDENTS!H149:H100146)),"update STUDENT sheet")</f>
        <v/>
      </c>
    </row>
    <row r="151">
      <c r="B151">
        <f>IF(STUDENTS!B150="","",STUDENTS!B150)</f>
        <v/>
      </c>
      <c r="C151">
        <f>IFERROR(IF(B151="","",_xlfn.XLOOKUP(B151,STUDENTS!$B$3:$B$1048576,STUDENTS!$C$3:$C$1048576)),"Enter a registered reg. no")</f>
        <v/>
      </c>
      <c r="D151">
        <f>IFERROR(IF(B151="","",_xlfn.XLOOKUP(B151,STUDENTS!B150:B100147,STUDENTS!D150:D100147)),"update STUDENT sheet")</f>
        <v/>
      </c>
      <c r="E151">
        <f>IFERROR(IF(C151="","",_xlfn.XLOOKUP(C151,STUDENTS!C150:C100147,STUDENTS!F150:F100147)),"update STUDENT sheet")</f>
        <v/>
      </c>
      <c r="F151">
        <f>IFERROR(IF(D151="","",_xlfn.XLOOKUP(D151,STUDENTS!D150:D100147,STUDENTS!G150:G100147)),"update STUDENT sheet")</f>
        <v/>
      </c>
      <c r="G151">
        <f>IFERROR(IF(E151="","",_xlfn.XLOOKUP(E151,STUDENTS!F150:F100147,STUDENTS!H150:H100147)),"update STUDENT sheet")</f>
        <v/>
      </c>
    </row>
    <row r="152">
      <c r="B152">
        <f>IF(STUDENTS!B151="","",STUDENTS!B151)</f>
        <v/>
      </c>
      <c r="C152">
        <f>IFERROR(IF(B152="","",_xlfn.XLOOKUP(B152,STUDENTS!$B$3:$B$1048576,STUDENTS!$C$3:$C$1048576)),"Enter a registered reg. no")</f>
        <v/>
      </c>
      <c r="D152">
        <f>IFERROR(IF(B152="","",_xlfn.XLOOKUP(B152,STUDENTS!B151:B100148,STUDENTS!D151:D100148)),"update STUDENT sheet")</f>
        <v/>
      </c>
      <c r="E152">
        <f>IFERROR(IF(C152="","",_xlfn.XLOOKUP(C152,STUDENTS!C151:C100148,STUDENTS!F151:F100148)),"update STUDENT sheet")</f>
        <v/>
      </c>
      <c r="F152">
        <f>IFERROR(IF(D152="","",_xlfn.XLOOKUP(D152,STUDENTS!D151:D100148,STUDENTS!G151:G100148)),"update STUDENT sheet")</f>
        <v/>
      </c>
      <c r="G152">
        <f>IFERROR(IF(E152="","",_xlfn.XLOOKUP(E152,STUDENTS!F151:F100148,STUDENTS!H151:H100148)),"update STUDENT sheet")</f>
        <v/>
      </c>
    </row>
    <row r="153">
      <c r="B153">
        <f>IF(STUDENTS!B152="","",STUDENTS!B152)</f>
        <v/>
      </c>
      <c r="C153">
        <f>IFERROR(IF(B153="","",_xlfn.XLOOKUP(B153,STUDENTS!$B$3:$B$1048576,STUDENTS!$C$3:$C$1048576)),"Enter a registered reg. no")</f>
        <v/>
      </c>
      <c r="D153">
        <f>IFERROR(IF(B153="","",_xlfn.XLOOKUP(B153,STUDENTS!B152:B100149,STUDENTS!D152:D100149)),"update STUDENT sheet")</f>
        <v/>
      </c>
      <c r="E153">
        <f>IFERROR(IF(C153="","",_xlfn.XLOOKUP(C153,STUDENTS!C152:C100149,STUDENTS!F152:F100149)),"update STUDENT sheet")</f>
        <v/>
      </c>
      <c r="F153">
        <f>IFERROR(IF(D153="","",_xlfn.XLOOKUP(D153,STUDENTS!D152:D100149,STUDENTS!G152:G100149)),"update STUDENT sheet")</f>
        <v/>
      </c>
      <c r="G153">
        <f>IFERROR(IF(E153="","",_xlfn.XLOOKUP(E153,STUDENTS!F152:F100149,STUDENTS!H152:H100149)),"update STUDENT sheet")</f>
        <v/>
      </c>
    </row>
    <row r="154">
      <c r="B154">
        <f>IF(STUDENTS!B153="","",STUDENTS!B153)</f>
        <v/>
      </c>
      <c r="C154">
        <f>IFERROR(IF(B154="","",_xlfn.XLOOKUP(B154,STUDENTS!$B$3:$B$1048576,STUDENTS!$C$3:$C$1048576)),"Enter a registered reg. no")</f>
        <v/>
      </c>
      <c r="D154">
        <f>IFERROR(IF(B154="","",_xlfn.XLOOKUP(B154,STUDENTS!B153:B100150,STUDENTS!D153:D100150)),"update STUDENT sheet")</f>
        <v/>
      </c>
      <c r="E154">
        <f>IFERROR(IF(C154="","",_xlfn.XLOOKUP(C154,STUDENTS!C153:C100150,STUDENTS!F153:F100150)),"update STUDENT sheet")</f>
        <v/>
      </c>
      <c r="F154">
        <f>IFERROR(IF(D154="","",_xlfn.XLOOKUP(D154,STUDENTS!D153:D100150,STUDENTS!G153:G100150)),"update STUDENT sheet")</f>
        <v/>
      </c>
      <c r="G154">
        <f>IFERROR(IF(E154="","",_xlfn.XLOOKUP(E154,STUDENTS!F153:F100150,STUDENTS!H153:H100150)),"update STUDENT sheet")</f>
        <v/>
      </c>
    </row>
    <row r="155">
      <c r="B155">
        <f>IF(STUDENTS!B154="","",STUDENTS!B154)</f>
        <v/>
      </c>
      <c r="C155">
        <f>IFERROR(IF(B155="","",_xlfn.XLOOKUP(B155,STUDENTS!$B$3:$B$1048576,STUDENTS!$C$3:$C$1048576)),"Enter a registered reg. no")</f>
        <v/>
      </c>
      <c r="D155">
        <f>IFERROR(IF(B155="","",_xlfn.XLOOKUP(B155,STUDENTS!B154:B100151,STUDENTS!D154:D100151)),"update STUDENT sheet")</f>
        <v/>
      </c>
      <c r="E155">
        <f>IFERROR(IF(C155="","",_xlfn.XLOOKUP(C155,STUDENTS!C154:C100151,STUDENTS!F154:F100151)),"update STUDENT sheet")</f>
        <v/>
      </c>
      <c r="F155">
        <f>IFERROR(IF(D155="","",_xlfn.XLOOKUP(D155,STUDENTS!D154:D100151,STUDENTS!G154:G100151)),"update STUDENT sheet")</f>
        <v/>
      </c>
      <c r="G155">
        <f>IFERROR(IF(E155="","",_xlfn.XLOOKUP(E155,STUDENTS!F154:F100151,STUDENTS!H154:H100151)),"update STUDENT sheet")</f>
        <v/>
      </c>
    </row>
    <row r="156">
      <c r="B156">
        <f>IF(STUDENTS!B155="","",STUDENTS!B155)</f>
        <v/>
      </c>
      <c r="C156">
        <f>IFERROR(IF(B156="","",_xlfn.XLOOKUP(B156,STUDENTS!$B$3:$B$1048576,STUDENTS!$C$3:$C$1048576)),"Enter a registered reg. no")</f>
        <v/>
      </c>
      <c r="D156">
        <f>IFERROR(IF(B156="","",_xlfn.XLOOKUP(B156,STUDENTS!B155:B100152,STUDENTS!D155:D100152)),"update STUDENT sheet")</f>
        <v/>
      </c>
      <c r="E156">
        <f>IFERROR(IF(C156="","",_xlfn.XLOOKUP(C156,STUDENTS!C155:C100152,STUDENTS!F155:F100152)),"update STUDENT sheet")</f>
        <v/>
      </c>
      <c r="F156">
        <f>IFERROR(IF(D156="","",_xlfn.XLOOKUP(D156,STUDENTS!D155:D100152,STUDENTS!G155:G100152)),"update STUDENT sheet")</f>
        <v/>
      </c>
      <c r="G156">
        <f>IFERROR(IF(E156="","",_xlfn.XLOOKUP(E156,STUDENTS!F155:F100152,STUDENTS!H155:H100152)),"update STUDENT sheet")</f>
        <v/>
      </c>
    </row>
    <row r="157">
      <c r="B157">
        <f>IF(STUDENTS!B156="","",STUDENTS!B156)</f>
        <v/>
      </c>
      <c r="C157">
        <f>IFERROR(IF(B157="","",_xlfn.XLOOKUP(B157,STUDENTS!$B$3:$B$1048576,STUDENTS!$C$3:$C$1048576)),"Enter a registered reg. no")</f>
        <v/>
      </c>
      <c r="D157">
        <f>IFERROR(IF(B157="","",_xlfn.XLOOKUP(B157,STUDENTS!B156:B100153,STUDENTS!D156:D100153)),"update STUDENT sheet")</f>
        <v/>
      </c>
      <c r="E157">
        <f>IFERROR(IF(C157="","",_xlfn.XLOOKUP(C157,STUDENTS!C156:C100153,STUDENTS!F156:F100153)),"update STUDENT sheet")</f>
        <v/>
      </c>
      <c r="F157">
        <f>IFERROR(IF(D157="","",_xlfn.XLOOKUP(D157,STUDENTS!D156:D100153,STUDENTS!G156:G100153)),"update STUDENT sheet")</f>
        <v/>
      </c>
      <c r="G157">
        <f>IFERROR(IF(E157="","",_xlfn.XLOOKUP(E157,STUDENTS!F156:F100153,STUDENTS!H156:H100153)),"update STUDENT sheet")</f>
        <v/>
      </c>
    </row>
    <row r="158">
      <c r="B158">
        <f>IF(STUDENTS!B157="","",STUDENTS!B157)</f>
        <v/>
      </c>
      <c r="C158">
        <f>IFERROR(IF(B158="","",_xlfn.XLOOKUP(B158,STUDENTS!$B$3:$B$1048576,STUDENTS!$C$3:$C$1048576)),"Enter a registered reg. no")</f>
        <v/>
      </c>
      <c r="D158">
        <f>IFERROR(IF(B158="","",_xlfn.XLOOKUP(B158,STUDENTS!B157:B100154,STUDENTS!D157:D100154)),"update STUDENT sheet")</f>
        <v/>
      </c>
      <c r="E158">
        <f>IFERROR(IF(C158="","",_xlfn.XLOOKUP(C158,STUDENTS!C157:C100154,STUDENTS!F157:F100154)),"update STUDENT sheet")</f>
        <v/>
      </c>
      <c r="F158">
        <f>IFERROR(IF(D158="","",_xlfn.XLOOKUP(D158,STUDENTS!D157:D100154,STUDENTS!G157:G100154)),"update STUDENT sheet")</f>
        <v/>
      </c>
      <c r="G158">
        <f>IFERROR(IF(E158="","",_xlfn.XLOOKUP(E158,STUDENTS!F157:F100154,STUDENTS!H157:H100154)),"update STUDENT sheet")</f>
        <v/>
      </c>
    </row>
    <row r="159">
      <c r="B159">
        <f>IF(STUDENTS!B158="","",STUDENTS!B158)</f>
        <v/>
      </c>
      <c r="C159">
        <f>IFERROR(IF(B159="","",_xlfn.XLOOKUP(B159,STUDENTS!$B$3:$B$1048576,STUDENTS!$C$3:$C$1048576)),"Enter a registered reg. no")</f>
        <v/>
      </c>
      <c r="D159">
        <f>IFERROR(IF(B159="","",_xlfn.XLOOKUP(B159,STUDENTS!B158:B100155,STUDENTS!D158:D100155)),"update STUDENT sheet")</f>
        <v/>
      </c>
      <c r="E159">
        <f>IFERROR(IF(C159="","",_xlfn.XLOOKUP(C159,STUDENTS!C158:C100155,STUDENTS!F158:F100155)),"update STUDENT sheet")</f>
        <v/>
      </c>
      <c r="F159">
        <f>IFERROR(IF(D159="","",_xlfn.XLOOKUP(D159,STUDENTS!D158:D100155,STUDENTS!G158:G100155)),"update STUDENT sheet")</f>
        <v/>
      </c>
      <c r="G159">
        <f>IFERROR(IF(E159="","",_xlfn.XLOOKUP(E159,STUDENTS!F158:F100155,STUDENTS!H158:H100155)),"update STUDENT sheet")</f>
        <v/>
      </c>
    </row>
    <row r="160">
      <c r="B160">
        <f>IF(STUDENTS!B159="","",STUDENTS!B159)</f>
        <v/>
      </c>
      <c r="C160">
        <f>IFERROR(IF(B160="","",_xlfn.XLOOKUP(B160,STUDENTS!$B$3:$B$1048576,STUDENTS!$C$3:$C$1048576)),"Enter a registered reg. no")</f>
        <v/>
      </c>
      <c r="D160">
        <f>IFERROR(IF(B160="","",_xlfn.XLOOKUP(B160,STUDENTS!B159:B100156,STUDENTS!D159:D100156)),"update STUDENT sheet")</f>
        <v/>
      </c>
      <c r="E160">
        <f>IFERROR(IF(C160="","",_xlfn.XLOOKUP(C160,STUDENTS!C159:C100156,STUDENTS!F159:F100156)),"update STUDENT sheet")</f>
        <v/>
      </c>
      <c r="F160">
        <f>IFERROR(IF(D160="","",_xlfn.XLOOKUP(D160,STUDENTS!D159:D100156,STUDENTS!G159:G100156)),"update STUDENT sheet")</f>
        <v/>
      </c>
      <c r="G160">
        <f>IFERROR(IF(E160="","",_xlfn.XLOOKUP(E160,STUDENTS!F159:F100156,STUDENTS!H159:H100156)),"update STUDENT sheet")</f>
        <v/>
      </c>
    </row>
    <row r="161">
      <c r="B161">
        <f>IF(STUDENTS!B160="","",STUDENTS!B160)</f>
        <v/>
      </c>
      <c r="C161">
        <f>IFERROR(IF(B161="","",_xlfn.XLOOKUP(B161,STUDENTS!$B$3:$B$1048576,STUDENTS!$C$3:$C$1048576)),"Enter a registered reg. no")</f>
        <v/>
      </c>
      <c r="D161">
        <f>IFERROR(IF(B161="","",_xlfn.XLOOKUP(B161,STUDENTS!B160:B100157,STUDENTS!D160:D100157)),"update STUDENT sheet")</f>
        <v/>
      </c>
      <c r="E161">
        <f>IFERROR(IF(C161="","",_xlfn.XLOOKUP(C161,STUDENTS!C160:C100157,STUDENTS!F160:F100157)),"update STUDENT sheet")</f>
        <v/>
      </c>
      <c r="F161">
        <f>IFERROR(IF(D161="","",_xlfn.XLOOKUP(D161,STUDENTS!D160:D100157,STUDENTS!G160:G100157)),"update STUDENT sheet")</f>
        <v/>
      </c>
      <c r="G161">
        <f>IFERROR(IF(E161="","",_xlfn.XLOOKUP(E161,STUDENTS!F160:F100157,STUDENTS!H160:H100157)),"update STUDENT sheet")</f>
        <v/>
      </c>
    </row>
    <row r="162">
      <c r="B162">
        <f>IF(STUDENTS!B161="","",STUDENTS!B161)</f>
        <v/>
      </c>
      <c r="C162">
        <f>IFERROR(IF(B162="","",_xlfn.XLOOKUP(B162,STUDENTS!$B$3:$B$1048576,STUDENTS!$C$3:$C$1048576)),"Enter a registered reg. no")</f>
        <v/>
      </c>
      <c r="D162">
        <f>IFERROR(IF(B162="","",_xlfn.XLOOKUP(B162,STUDENTS!B161:B100158,STUDENTS!D161:D100158)),"update STUDENT sheet")</f>
        <v/>
      </c>
      <c r="E162">
        <f>IFERROR(IF(C162="","",_xlfn.XLOOKUP(C162,STUDENTS!C161:C100158,STUDENTS!F161:F100158)),"update STUDENT sheet")</f>
        <v/>
      </c>
      <c r="F162">
        <f>IFERROR(IF(D162="","",_xlfn.XLOOKUP(D162,STUDENTS!D161:D100158,STUDENTS!G161:G100158)),"update STUDENT sheet")</f>
        <v/>
      </c>
      <c r="G162">
        <f>IFERROR(IF(E162="","",_xlfn.XLOOKUP(E162,STUDENTS!F161:F100158,STUDENTS!H161:H100158)),"update STUDENT sheet")</f>
        <v/>
      </c>
    </row>
    <row r="163">
      <c r="B163">
        <f>IF(STUDENTS!B162="","",STUDENTS!B162)</f>
        <v/>
      </c>
      <c r="C163">
        <f>IFERROR(IF(B163="","",_xlfn.XLOOKUP(B163,STUDENTS!$B$3:$B$1048576,STUDENTS!$C$3:$C$1048576)),"Enter a registered reg. no")</f>
        <v/>
      </c>
      <c r="D163">
        <f>IFERROR(IF(B163="","",_xlfn.XLOOKUP(B163,STUDENTS!B162:B100159,STUDENTS!D162:D100159)),"update STUDENT sheet")</f>
        <v/>
      </c>
      <c r="E163">
        <f>IFERROR(IF(C163="","",_xlfn.XLOOKUP(C163,STUDENTS!C162:C100159,STUDENTS!F162:F100159)),"update STUDENT sheet")</f>
        <v/>
      </c>
      <c r="F163">
        <f>IFERROR(IF(D163="","",_xlfn.XLOOKUP(D163,STUDENTS!D162:D100159,STUDENTS!G162:G100159)),"update STUDENT sheet")</f>
        <v/>
      </c>
      <c r="G163">
        <f>IFERROR(IF(E163="","",_xlfn.XLOOKUP(E163,STUDENTS!F162:F100159,STUDENTS!H162:H100159)),"update STUDENT sheet")</f>
        <v/>
      </c>
    </row>
    <row r="164">
      <c r="B164">
        <f>IF(STUDENTS!B163="","",STUDENTS!B163)</f>
        <v/>
      </c>
      <c r="C164">
        <f>IFERROR(IF(B164="","",_xlfn.XLOOKUP(B164,STUDENTS!$B$3:$B$1048576,STUDENTS!$C$3:$C$1048576)),"Enter a registered reg. no")</f>
        <v/>
      </c>
      <c r="D164">
        <f>IFERROR(IF(B164="","",_xlfn.XLOOKUP(B164,STUDENTS!B163:B100160,STUDENTS!D163:D100160)),"update STUDENT sheet")</f>
        <v/>
      </c>
      <c r="E164">
        <f>IFERROR(IF(C164="","",_xlfn.XLOOKUP(C164,STUDENTS!C163:C100160,STUDENTS!F163:F100160)),"update STUDENT sheet")</f>
        <v/>
      </c>
      <c r="F164">
        <f>IFERROR(IF(D164="","",_xlfn.XLOOKUP(D164,STUDENTS!D163:D100160,STUDENTS!G163:G100160)),"update STUDENT sheet")</f>
        <v/>
      </c>
      <c r="G164">
        <f>IFERROR(IF(E164="","",_xlfn.XLOOKUP(E164,STUDENTS!F163:F100160,STUDENTS!H163:H100160)),"update STUDENT sheet")</f>
        <v/>
      </c>
    </row>
    <row r="165">
      <c r="B165">
        <f>IF(STUDENTS!B164="","",STUDENTS!B164)</f>
        <v/>
      </c>
      <c r="C165">
        <f>IFERROR(IF(B165="","",_xlfn.XLOOKUP(B165,STUDENTS!$B$3:$B$1048576,STUDENTS!$C$3:$C$1048576)),"Enter a registered reg. no")</f>
        <v/>
      </c>
      <c r="D165">
        <f>IFERROR(IF(B165="","",_xlfn.XLOOKUP(B165,STUDENTS!B164:B100161,STUDENTS!D164:D100161)),"update STUDENT sheet")</f>
        <v/>
      </c>
      <c r="E165">
        <f>IFERROR(IF(C165="","",_xlfn.XLOOKUP(C165,STUDENTS!C164:C100161,STUDENTS!F164:F100161)),"update STUDENT sheet")</f>
        <v/>
      </c>
      <c r="F165">
        <f>IFERROR(IF(D165="","",_xlfn.XLOOKUP(D165,STUDENTS!D164:D100161,STUDENTS!G164:G100161)),"update STUDENT sheet")</f>
        <v/>
      </c>
      <c r="G165">
        <f>IFERROR(IF(E165="","",_xlfn.XLOOKUP(E165,STUDENTS!F164:F100161,STUDENTS!H164:H100161)),"update STUDENT sheet")</f>
        <v/>
      </c>
    </row>
    <row r="166">
      <c r="B166">
        <f>IF(STUDENTS!B165="","",STUDENTS!B165)</f>
        <v/>
      </c>
      <c r="C166">
        <f>IFERROR(IF(B166="","",_xlfn.XLOOKUP(B166,STUDENTS!$B$3:$B$1048576,STUDENTS!$C$3:$C$1048576)),"Enter a registered reg. no")</f>
        <v/>
      </c>
      <c r="D166">
        <f>IFERROR(IF(B166="","",_xlfn.XLOOKUP(B166,STUDENTS!B165:B100162,STUDENTS!D165:D100162)),"update STUDENT sheet")</f>
        <v/>
      </c>
      <c r="E166">
        <f>IFERROR(IF(C166="","",_xlfn.XLOOKUP(C166,STUDENTS!C165:C100162,STUDENTS!F165:F100162)),"update STUDENT sheet")</f>
        <v/>
      </c>
      <c r="F166">
        <f>IFERROR(IF(D166="","",_xlfn.XLOOKUP(D166,STUDENTS!D165:D100162,STUDENTS!G165:G100162)),"update STUDENT sheet")</f>
        <v/>
      </c>
      <c r="G166">
        <f>IFERROR(IF(E166="","",_xlfn.XLOOKUP(E166,STUDENTS!F165:F100162,STUDENTS!H165:H100162)),"update STUDENT sheet")</f>
        <v/>
      </c>
    </row>
    <row r="167">
      <c r="B167">
        <f>IF(STUDENTS!B166="","",STUDENTS!B166)</f>
        <v/>
      </c>
      <c r="C167">
        <f>IFERROR(IF(B167="","",_xlfn.XLOOKUP(B167,STUDENTS!$B$3:$B$1048576,STUDENTS!$C$3:$C$1048576)),"Enter a registered reg. no")</f>
        <v/>
      </c>
      <c r="D167">
        <f>IFERROR(IF(B167="","",_xlfn.XLOOKUP(B167,STUDENTS!B166:B100163,STUDENTS!D166:D100163)),"update STUDENT sheet")</f>
        <v/>
      </c>
      <c r="E167">
        <f>IFERROR(IF(C167="","",_xlfn.XLOOKUP(C167,STUDENTS!C166:C100163,STUDENTS!F166:F100163)),"update STUDENT sheet")</f>
        <v/>
      </c>
      <c r="F167">
        <f>IFERROR(IF(D167="","",_xlfn.XLOOKUP(D167,STUDENTS!D166:D100163,STUDENTS!G166:G100163)),"update STUDENT sheet")</f>
        <v/>
      </c>
      <c r="G167">
        <f>IFERROR(IF(E167="","",_xlfn.XLOOKUP(E167,STUDENTS!F166:F100163,STUDENTS!H166:H100163)),"update STUDENT sheet")</f>
        <v/>
      </c>
    </row>
    <row r="168">
      <c r="B168">
        <f>IF(STUDENTS!B167="","",STUDENTS!B167)</f>
        <v/>
      </c>
      <c r="C168">
        <f>IFERROR(IF(B168="","",_xlfn.XLOOKUP(B168,STUDENTS!$B$3:$B$1048576,STUDENTS!$C$3:$C$1048576)),"Enter a registered reg. no")</f>
        <v/>
      </c>
      <c r="D168">
        <f>IFERROR(IF(B168="","",_xlfn.XLOOKUP(B168,STUDENTS!B167:B100164,STUDENTS!D167:D100164)),"update STUDENT sheet")</f>
        <v/>
      </c>
      <c r="E168">
        <f>IFERROR(IF(C168="","",_xlfn.XLOOKUP(C168,STUDENTS!C167:C100164,STUDENTS!F167:F100164)),"update STUDENT sheet")</f>
        <v/>
      </c>
      <c r="F168">
        <f>IFERROR(IF(D168="","",_xlfn.XLOOKUP(D168,STUDENTS!D167:D100164,STUDENTS!G167:G100164)),"update STUDENT sheet")</f>
        <v/>
      </c>
      <c r="G168">
        <f>IFERROR(IF(E168="","",_xlfn.XLOOKUP(E168,STUDENTS!F167:F100164,STUDENTS!H167:H100164)),"update STUDENT sheet")</f>
        <v/>
      </c>
    </row>
    <row r="169">
      <c r="B169">
        <f>IF(STUDENTS!B168="","",STUDENTS!B168)</f>
        <v/>
      </c>
      <c r="C169">
        <f>IFERROR(IF(B169="","",_xlfn.XLOOKUP(B169,STUDENTS!$B$3:$B$1048576,STUDENTS!$C$3:$C$1048576)),"Enter a registered reg. no")</f>
        <v/>
      </c>
      <c r="D169">
        <f>IFERROR(IF(B169="","",_xlfn.XLOOKUP(B169,STUDENTS!B168:B100165,STUDENTS!D168:D100165)),"update STUDENT sheet")</f>
        <v/>
      </c>
      <c r="E169">
        <f>IFERROR(IF(C169="","",_xlfn.XLOOKUP(C169,STUDENTS!C168:C100165,STUDENTS!F168:F100165)),"update STUDENT sheet")</f>
        <v/>
      </c>
      <c r="F169">
        <f>IFERROR(IF(D169="","",_xlfn.XLOOKUP(D169,STUDENTS!D168:D100165,STUDENTS!G168:G100165)),"update STUDENT sheet")</f>
        <v/>
      </c>
      <c r="G169">
        <f>IFERROR(IF(E169="","",_xlfn.XLOOKUP(E169,STUDENTS!F168:F100165,STUDENTS!H168:H100165)),"update STUDENT sheet")</f>
        <v/>
      </c>
    </row>
    <row r="170">
      <c r="B170">
        <f>IF(STUDENTS!B169="","",STUDENTS!B169)</f>
        <v/>
      </c>
      <c r="C170">
        <f>IFERROR(IF(B170="","",_xlfn.XLOOKUP(B170,STUDENTS!$B$3:$B$1048576,STUDENTS!$C$3:$C$1048576)),"Enter a registered reg. no")</f>
        <v/>
      </c>
      <c r="D170">
        <f>IFERROR(IF(B170="","",_xlfn.XLOOKUP(B170,STUDENTS!B169:B100166,STUDENTS!D169:D100166)),"update STUDENT sheet")</f>
        <v/>
      </c>
      <c r="E170">
        <f>IFERROR(IF(C170="","",_xlfn.XLOOKUP(C170,STUDENTS!C169:C100166,STUDENTS!F169:F100166)),"update STUDENT sheet")</f>
        <v/>
      </c>
      <c r="F170">
        <f>IFERROR(IF(D170="","",_xlfn.XLOOKUP(D170,STUDENTS!D169:D100166,STUDENTS!G169:G100166)),"update STUDENT sheet")</f>
        <v/>
      </c>
      <c r="G170">
        <f>IFERROR(IF(E170="","",_xlfn.XLOOKUP(E170,STUDENTS!F169:F100166,STUDENTS!H169:H100166)),"update STUDENT sheet")</f>
        <v/>
      </c>
    </row>
    <row r="171">
      <c r="B171">
        <f>IF(STUDENTS!B170="","",STUDENTS!B170)</f>
        <v/>
      </c>
      <c r="C171">
        <f>IFERROR(IF(B171="","",_xlfn.XLOOKUP(B171,STUDENTS!$B$3:$B$1048576,STUDENTS!$C$3:$C$1048576)),"Enter a registered reg. no")</f>
        <v/>
      </c>
      <c r="D171">
        <f>IFERROR(IF(B171="","",_xlfn.XLOOKUP(B171,STUDENTS!B170:B100167,STUDENTS!D170:D100167)),"update STUDENT sheet")</f>
        <v/>
      </c>
      <c r="E171">
        <f>IFERROR(IF(C171="","",_xlfn.XLOOKUP(C171,STUDENTS!C170:C100167,STUDENTS!F170:F100167)),"update STUDENT sheet")</f>
        <v/>
      </c>
      <c r="F171">
        <f>IFERROR(IF(D171="","",_xlfn.XLOOKUP(D171,STUDENTS!D170:D100167,STUDENTS!G170:G100167)),"update STUDENT sheet")</f>
        <v/>
      </c>
      <c r="G171">
        <f>IFERROR(IF(E171="","",_xlfn.XLOOKUP(E171,STUDENTS!F170:F100167,STUDENTS!H170:H100167)),"update STUDENT sheet")</f>
        <v/>
      </c>
    </row>
    <row r="172">
      <c r="B172">
        <f>IF(STUDENTS!B171="","",STUDENTS!B171)</f>
        <v/>
      </c>
      <c r="C172">
        <f>IFERROR(IF(B172="","",_xlfn.XLOOKUP(B172,STUDENTS!$B$3:$B$1048576,STUDENTS!$C$3:$C$1048576)),"Enter a registered reg. no")</f>
        <v/>
      </c>
      <c r="D172">
        <f>IFERROR(IF(B172="","",_xlfn.XLOOKUP(B172,STUDENTS!B171:B100168,STUDENTS!D171:D100168)),"update STUDENT sheet")</f>
        <v/>
      </c>
      <c r="E172">
        <f>IFERROR(IF(C172="","",_xlfn.XLOOKUP(C172,STUDENTS!C171:C100168,STUDENTS!F171:F100168)),"update STUDENT sheet")</f>
        <v/>
      </c>
      <c r="F172">
        <f>IFERROR(IF(D172="","",_xlfn.XLOOKUP(D172,STUDENTS!D171:D100168,STUDENTS!G171:G100168)),"update STUDENT sheet")</f>
        <v/>
      </c>
      <c r="G172">
        <f>IFERROR(IF(E172="","",_xlfn.XLOOKUP(E172,STUDENTS!F171:F100168,STUDENTS!H171:H100168)),"update STUDENT sheet")</f>
        <v/>
      </c>
    </row>
    <row r="173">
      <c r="B173">
        <f>IF(STUDENTS!B172="","",STUDENTS!B172)</f>
        <v/>
      </c>
      <c r="C173">
        <f>IFERROR(IF(B173="","",_xlfn.XLOOKUP(B173,STUDENTS!$B$3:$B$1048576,STUDENTS!$C$3:$C$1048576)),"Enter a registered reg. no")</f>
        <v/>
      </c>
      <c r="D173">
        <f>IFERROR(IF(B173="","",_xlfn.XLOOKUP(B173,STUDENTS!B172:B100169,STUDENTS!D172:D100169)),"update STUDENT sheet")</f>
        <v/>
      </c>
      <c r="E173">
        <f>IFERROR(IF(C173="","",_xlfn.XLOOKUP(C173,STUDENTS!C172:C100169,STUDENTS!F172:F100169)),"update STUDENT sheet")</f>
        <v/>
      </c>
      <c r="F173">
        <f>IFERROR(IF(D173="","",_xlfn.XLOOKUP(D173,STUDENTS!D172:D100169,STUDENTS!G172:G100169)),"update STUDENT sheet")</f>
        <v/>
      </c>
      <c r="G173">
        <f>IFERROR(IF(E173="","",_xlfn.XLOOKUP(E173,STUDENTS!F172:F100169,STUDENTS!H172:H100169)),"update STUDENT sheet")</f>
        <v/>
      </c>
    </row>
    <row r="174">
      <c r="B174">
        <f>IF(STUDENTS!B173="","",STUDENTS!B173)</f>
        <v/>
      </c>
      <c r="C174">
        <f>IFERROR(IF(B174="","",_xlfn.XLOOKUP(B174,STUDENTS!$B$3:$B$1048576,STUDENTS!$C$3:$C$1048576)),"Enter a registered reg. no")</f>
        <v/>
      </c>
      <c r="D174">
        <f>IFERROR(IF(B174="","",_xlfn.XLOOKUP(B174,STUDENTS!B173:B100170,STUDENTS!D173:D100170)),"update STUDENT sheet")</f>
        <v/>
      </c>
      <c r="E174">
        <f>IFERROR(IF(C174="","",_xlfn.XLOOKUP(C174,STUDENTS!C173:C100170,STUDENTS!F173:F100170)),"update STUDENT sheet")</f>
        <v/>
      </c>
      <c r="F174">
        <f>IFERROR(IF(D174="","",_xlfn.XLOOKUP(D174,STUDENTS!D173:D100170,STUDENTS!G173:G100170)),"update STUDENT sheet")</f>
        <v/>
      </c>
      <c r="G174">
        <f>IFERROR(IF(E174="","",_xlfn.XLOOKUP(E174,STUDENTS!F173:F100170,STUDENTS!H173:H100170)),"update STUDENT sheet")</f>
        <v/>
      </c>
    </row>
    <row r="175">
      <c r="B175">
        <f>IF(STUDENTS!B174="","",STUDENTS!B174)</f>
        <v/>
      </c>
      <c r="C175">
        <f>IFERROR(IF(B175="","",_xlfn.XLOOKUP(B175,STUDENTS!$B$3:$B$1048576,STUDENTS!$C$3:$C$1048576)),"Enter a registered reg. no")</f>
        <v/>
      </c>
      <c r="D175">
        <f>IFERROR(IF(B175="","",_xlfn.XLOOKUP(B175,STUDENTS!B174:B100171,STUDENTS!D174:D100171)),"update STUDENT sheet")</f>
        <v/>
      </c>
      <c r="E175">
        <f>IFERROR(IF(C175="","",_xlfn.XLOOKUP(C175,STUDENTS!C174:C100171,STUDENTS!F174:F100171)),"update STUDENT sheet")</f>
        <v/>
      </c>
      <c r="F175">
        <f>IFERROR(IF(D175="","",_xlfn.XLOOKUP(D175,STUDENTS!D174:D100171,STUDENTS!G174:G100171)),"update STUDENT sheet")</f>
        <v/>
      </c>
      <c r="G175">
        <f>IFERROR(IF(E175="","",_xlfn.XLOOKUP(E175,STUDENTS!F174:F100171,STUDENTS!H174:H100171)),"update STUDENT sheet")</f>
        <v/>
      </c>
    </row>
    <row r="176">
      <c r="B176">
        <f>IF(STUDENTS!B175="","",STUDENTS!B175)</f>
        <v/>
      </c>
      <c r="C176">
        <f>IFERROR(IF(B176="","",_xlfn.XLOOKUP(B176,STUDENTS!$B$3:$B$1048576,STUDENTS!$C$3:$C$1048576)),"Enter a registered reg. no")</f>
        <v/>
      </c>
      <c r="D176">
        <f>IFERROR(IF(B176="","",_xlfn.XLOOKUP(B176,STUDENTS!B175:B100172,STUDENTS!D175:D100172)),"update STUDENT sheet")</f>
        <v/>
      </c>
      <c r="E176">
        <f>IFERROR(IF(C176="","",_xlfn.XLOOKUP(C176,STUDENTS!C175:C100172,STUDENTS!F175:F100172)),"update STUDENT sheet")</f>
        <v/>
      </c>
      <c r="F176">
        <f>IFERROR(IF(D176="","",_xlfn.XLOOKUP(D176,STUDENTS!D175:D100172,STUDENTS!G175:G100172)),"update STUDENT sheet")</f>
        <v/>
      </c>
      <c r="G176">
        <f>IFERROR(IF(E176="","",_xlfn.XLOOKUP(E176,STUDENTS!F175:F100172,STUDENTS!H175:H100172)),"update STUDENT sheet")</f>
        <v/>
      </c>
    </row>
    <row r="177">
      <c r="B177">
        <f>IF(STUDENTS!B176="","",STUDENTS!B176)</f>
        <v/>
      </c>
      <c r="C177">
        <f>IFERROR(IF(B177="","",_xlfn.XLOOKUP(B177,STUDENTS!$B$3:$B$1048576,STUDENTS!$C$3:$C$1048576)),"Enter a registered reg. no")</f>
        <v/>
      </c>
      <c r="D177">
        <f>IFERROR(IF(B177="","",_xlfn.XLOOKUP(B177,STUDENTS!B176:B100173,STUDENTS!D176:D100173)),"update STUDENT sheet")</f>
        <v/>
      </c>
      <c r="E177">
        <f>IFERROR(IF(C177="","",_xlfn.XLOOKUP(C177,STUDENTS!C176:C100173,STUDENTS!F176:F100173)),"update STUDENT sheet")</f>
        <v/>
      </c>
      <c r="F177">
        <f>IFERROR(IF(D177="","",_xlfn.XLOOKUP(D177,STUDENTS!D176:D100173,STUDENTS!G176:G100173)),"update STUDENT sheet")</f>
        <v/>
      </c>
      <c r="G177">
        <f>IFERROR(IF(E177="","",_xlfn.XLOOKUP(E177,STUDENTS!F176:F100173,STUDENTS!H176:H100173)),"update STUDENT sheet")</f>
        <v/>
      </c>
    </row>
    <row r="178">
      <c r="B178">
        <f>IF(STUDENTS!B177="","",STUDENTS!B177)</f>
        <v/>
      </c>
      <c r="C178">
        <f>IFERROR(IF(B178="","",_xlfn.XLOOKUP(B178,STUDENTS!$B$3:$B$1048576,STUDENTS!$C$3:$C$1048576)),"Enter a registered reg. no")</f>
        <v/>
      </c>
      <c r="D178">
        <f>IFERROR(IF(B178="","",_xlfn.XLOOKUP(B178,STUDENTS!B177:B100174,STUDENTS!D177:D100174)),"update STUDENT sheet")</f>
        <v/>
      </c>
      <c r="E178">
        <f>IFERROR(IF(C178="","",_xlfn.XLOOKUP(C178,STUDENTS!C177:C100174,STUDENTS!F177:F100174)),"update STUDENT sheet")</f>
        <v/>
      </c>
      <c r="F178">
        <f>IFERROR(IF(D178="","",_xlfn.XLOOKUP(D178,STUDENTS!D177:D100174,STUDENTS!G177:G100174)),"update STUDENT sheet")</f>
        <v/>
      </c>
      <c r="G178">
        <f>IFERROR(IF(E178="","",_xlfn.XLOOKUP(E178,STUDENTS!F177:F100174,STUDENTS!H177:H100174)),"update STUDENT sheet")</f>
        <v/>
      </c>
    </row>
    <row r="179">
      <c r="B179">
        <f>IF(STUDENTS!B178="","",STUDENTS!B178)</f>
        <v/>
      </c>
      <c r="C179">
        <f>IFERROR(IF(B179="","",_xlfn.XLOOKUP(B179,STUDENTS!$B$3:$B$1048576,STUDENTS!$C$3:$C$1048576)),"Enter a registered reg. no")</f>
        <v/>
      </c>
      <c r="D179">
        <f>IFERROR(IF(B179="","",_xlfn.XLOOKUP(B179,STUDENTS!B178:B100175,STUDENTS!D178:D100175)),"update STUDENT sheet")</f>
        <v/>
      </c>
      <c r="E179">
        <f>IFERROR(IF(C179="","",_xlfn.XLOOKUP(C179,STUDENTS!C178:C100175,STUDENTS!F178:F100175)),"update STUDENT sheet")</f>
        <v/>
      </c>
      <c r="F179">
        <f>IFERROR(IF(D179="","",_xlfn.XLOOKUP(D179,STUDENTS!D178:D100175,STUDENTS!G178:G100175)),"update STUDENT sheet")</f>
        <v/>
      </c>
      <c r="G179">
        <f>IFERROR(IF(E179="","",_xlfn.XLOOKUP(E179,STUDENTS!F178:F100175,STUDENTS!H178:H100175)),"update STUDENT sheet")</f>
        <v/>
      </c>
    </row>
    <row r="180">
      <c r="B180">
        <f>IF(STUDENTS!B179="","",STUDENTS!B179)</f>
        <v/>
      </c>
      <c r="C180">
        <f>IFERROR(IF(B180="","",_xlfn.XLOOKUP(B180,STUDENTS!$B$3:$B$1048576,STUDENTS!$C$3:$C$1048576)),"Enter a registered reg. no")</f>
        <v/>
      </c>
      <c r="D180">
        <f>IFERROR(IF(B180="","",_xlfn.XLOOKUP(B180,STUDENTS!B179:B100176,STUDENTS!D179:D100176)),"update STUDENT sheet")</f>
        <v/>
      </c>
      <c r="E180">
        <f>IFERROR(IF(C180="","",_xlfn.XLOOKUP(C180,STUDENTS!C179:C100176,STUDENTS!F179:F100176)),"update STUDENT sheet")</f>
        <v/>
      </c>
      <c r="F180">
        <f>IFERROR(IF(D180="","",_xlfn.XLOOKUP(D180,STUDENTS!D179:D100176,STUDENTS!G179:G100176)),"update STUDENT sheet")</f>
        <v/>
      </c>
      <c r="G180">
        <f>IFERROR(IF(E180="","",_xlfn.XLOOKUP(E180,STUDENTS!F179:F100176,STUDENTS!H179:H100176)),"update STUDENT sheet")</f>
        <v/>
      </c>
    </row>
    <row r="181">
      <c r="B181">
        <f>IF(STUDENTS!B180="","",STUDENTS!B180)</f>
        <v/>
      </c>
      <c r="C181">
        <f>IFERROR(IF(B181="","",_xlfn.XLOOKUP(B181,STUDENTS!$B$3:$B$1048576,STUDENTS!$C$3:$C$1048576)),"Enter a registered reg. no")</f>
        <v/>
      </c>
      <c r="D181">
        <f>IFERROR(IF(B181="","",_xlfn.XLOOKUP(B181,STUDENTS!B180:B100177,STUDENTS!D180:D100177)),"update STUDENT sheet")</f>
        <v/>
      </c>
      <c r="E181">
        <f>IFERROR(IF(C181="","",_xlfn.XLOOKUP(C181,STUDENTS!C180:C100177,STUDENTS!F180:F100177)),"update STUDENT sheet")</f>
        <v/>
      </c>
      <c r="F181">
        <f>IFERROR(IF(D181="","",_xlfn.XLOOKUP(D181,STUDENTS!D180:D100177,STUDENTS!G180:G100177)),"update STUDENT sheet")</f>
        <v/>
      </c>
      <c r="G181">
        <f>IFERROR(IF(E181="","",_xlfn.XLOOKUP(E181,STUDENTS!F180:F100177,STUDENTS!H180:H100177)),"update STUDENT sheet")</f>
        <v/>
      </c>
    </row>
    <row r="182">
      <c r="B182">
        <f>IF(STUDENTS!B181="","",STUDENTS!B181)</f>
        <v/>
      </c>
      <c r="C182">
        <f>IFERROR(IF(B182="","",_xlfn.XLOOKUP(B182,STUDENTS!$B$3:$B$1048576,STUDENTS!$C$3:$C$1048576)),"Enter a registered reg. no")</f>
        <v/>
      </c>
      <c r="D182">
        <f>IFERROR(IF(B182="","",_xlfn.XLOOKUP(B182,STUDENTS!B181:B100178,STUDENTS!D181:D100178)),"update STUDENT sheet")</f>
        <v/>
      </c>
      <c r="E182">
        <f>IFERROR(IF(C182="","",_xlfn.XLOOKUP(C182,STUDENTS!C181:C100178,STUDENTS!F181:F100178)),"update STUDENT sheet")</f>
        <v/>
      </c>
      <c r="F182">
        <f>IFERROR(IF(D182="","",_xlfn.XLOOKUP(D182,STUDENTS!D181:D100178,STUDENTS!G181:G100178)),"update STUDENT sheet")</f>
        <v/>
      </c>
      <c r="G182">
        <f>IFERROR(IF(E182="","",_xlfn.XLOOKUP(E182,STUDENTS!F181:F100178,STUDENTS!H181:H100178)),"update STUDENT sheet")</f>
        <v/>
      </c>
    </row>
    <row r="183">
      <c r="B183">
        <f>IF(STUDENTS!B182="","",STUDENTS!B182)</f>
        <v/>
      </c>
      <c r="C183">
        <f>IFERROR(IF(B183="","",_xlfn.XLOOKUP(B183,STUDENTS!$B$3:$B$1048576,STUDENTS!$C$3:$C$1048576)),"Enter a registered reg. no")</f>
        <v/>
      </c>
      <c r="D183">
        <f>IFERROR(IF(B183="","",_xlfn.XLOOKUP(B183,STUDENTS!B182:B100179,STUDENTS!D182:D100179)),"update STUDENT sheet")</f>
        <v/>
      </c>
      <c r="E183">
        <f>IFERROR(IF(C183="","",_xlfn.XLOOKUP(C183,STUDENTS!C182:C100179,STUDENTS!F182:F100179)),"update STUDENT sheet")</f>
        <v/>
      </c>
      <c r="F183">
        <f>IFERROR(IF(D183="","",_xlfn.XLOOKUP(D183,STUDENTS!D182:D100179,STUDENTS!G182:G100179)),"update STUDENT sheet")</f>
        <v/>
      </c>
      <c r="G183">
        <f>IFERROR(IF(E183="","",_xlfn.XLOOKUP(E183,STUDENTS!F182:F100179,STUDENTS!H182:H100179)),"update STUDENT sheet")</f>
        <v/>
      </c>
    </row>
    <row r="184">
      <c r="B184">
        <f>IF(STUDENTS!B183="","",STUDENTS!B183)</f>
        <v/>
      </c>
      <c r="C184">
        <f>IFERROR(IF(B184="","",_xlfn.XLOOKUP(B184,STUDENTS!$B$3:$B$1048576,STUDENTS!$C$3:$C$1048576)),"Enter a registered reg. no")</f>
        <v/>
      </c>
      <c r="D184">
        <f>IFERROR(IF(B184="","",_xlfn.XLOOKUP(B184,STUDENTS!B183:B100180,STUDENTS!D183:D100180)),"update STUDENT sheet")</f>
        <v/>
      </c>
      <c r="E184">
        <f>IFERROR(IF(C184="","",_xlfn.XLOOKUP(C184,STUDENTS!C183:C100180,STUDENTS!F183:F100180)),"update STUDENT sheet")</f>
        <v/>
      </c>
      <c r="F184">
        <f>IFERROR(IF(D184="","",_xlfn.XLOOKUP(D184,STUDENTS!D183:D100180,STUDENTS!G183:G100180)),"update STUDENT sheet")</f>
        <v/>
      </c>
      <c r="G184">
        <f>IFERROR(IF(E184="","",_xlfn.XLOOKUP(E184,STUDENTS!F183:F100180,STUDENTS!H183:H100180)),"update STUDENT sheet")</f>
        <v/>
      </c>
    </row>
    <row r="185">
      <c r="B185">
        <f>IF(STUDENTS!B184="","",STUDENTS!B184)</f>
        <v/>
      </c>
      <c r="C185">
        <f>IFERROR(IF(B185="","",_xlfn.XLOOKUP(B185,STUDENTS!$B$3:$B$1048576,STUDENTS!$C$3:$C$1048576)),"Enter a registered reg. no")</f>
        <v/>
      </c>
      <c r="D185">
        <f>IFERROR(IF(B185="","",_xlfn.XLOOKUP(B185,STUDENTS!B184:B100181,STUDENTS!D184:D100181)),"update STUDENT sheet")</f>
        <v/>
      </c>
      <c r="E185">
        <f>IFERROR(IF(C185="","",_xlfn.XLOOKUP(C185,STUDENTS!C184:C100181,STUDENTS!F184:F100181)),"update STUDENT sheet")</f>
        <v/>
      </c>
      <c r="F185">
        <f>IFERROR(IF(D185="","",_xlfn.XLOOKUP(D185,STUDENTS!D184:D100181,STUDENTS!G184:G100181)),"update STUDENT sheet")</f>
        <v/>
      </c>
      <c r="G185">
        <f>IFERROR(IF(E185="","",_xlfn.XLOOKUP(E185,STUDENTS!F184:F100181,STUDENTS!H184:H100181)),"update STUDENT sheet")</f>
        <v/>
      </c>
    </row>
    <row r="186">
      <c r="B186">
        <f>IF(STUDENTS!B185="","",STUDENTS!B185)</f>
        <v/>
      </c>
      <c r="C186">
        <f>IFERROR(IF(B186="","",_xlfn.XLOOKUP(B186,STUDENTS!$B$3:$B$1048576,STUDENTS!$C$3:$C$1048576)),"Enter a registered reg. no")</f>
        <v/>
      </c>
      <c r="D186">
        <f>IFERROR(IF(B186="","",_xlfn.XLOOKUP(B186,STUDENTS!B185:B100182,STUDENTS!D185:D100182)),"update STUDENT sheet")</f>
        <v/>
      </c>
      <c r="E186">
        <f>IFERROR(IF(C186="","",_xlfn.XLOOKUP(C186,STUDENTS!C185:C100182,STUDENTS!F185:F100182)),"update STUDENT sheet")</f>
        <v/>
      </c>
      <c r="F186">
        <f>IFERROR(IF(D186="","",_xlfn.XLOOKUP(D186,STUDENTS!D185:D100182,STUDENTS!G185:G100182)),"update STUDENT sheet")</f>
        <v/>
      </c>
      <c r="G186">
        <f>IFERROR(IF(E186="","",_xlfn.XLOOKUP(E186,STUDENTS!F185:F100182,STUDENTS!H185:H100182)),"update STUDENT sheet")</f>
        <v/>
      </c>
    </row>
    <row r="187">
      <c r="B187">
        <f>IF(STUDENTS!B186="","",STUDENTS!B186)</f>
        <v/>
      </c>
      <c r="C187">
        <f>IFERROR(IF(B187="","",_xlfn.XLOOKUP(B187,STUDENTS!$B$3:$B$1048576,STUDENTS!$C$3:$C$1048576)),"Enter a registered reg. no")</f>
        <v/>
      </c>
      <c r="D187">
        <f>IFERROR(IF(B187="","",_xlfn.XLOOKUP(B187,STUDENTS!B186:B100183,STUDENTS!D186:D100183)),"update STUDENT sheet")</f>
        <v/>
      </c>
      <c r="E187">
        <f>IFERROR(IF(C187="","",_xlfn.XLOOKUP(C187,STUDENTS!C186:C100183,STUDENTS!F186:F100183)),"update STUDENT sheet")</f>
        <v/>
      </c>
      <c r="F187">
        <f>IFERROR(IF(D187="","",_xlfn.XLOOKUP(D187,STUDENTS!D186:D100183,STUDENTS!G186:G100183)),"update STUDENT sheet")</f>
        <v/>
      </c>
      <c r="G187">
        <f>IFERROR(IF(E187="","",_xlfn.XLOOKUP(E187,STUDENTS!F186:F100183,STUDENTS!H186:H100183)),"update STUDENT sheet")</f>
        <v/>
      </c>
    </row>
    <row r="188">
      <c r="B188">
        <f>IF(STUDENTS!B187="","",STUDENTS!B187)</f>
        <v/>
      </c>
      <c r="C188">
        <f>IFERROR(IF(B188="","",_xlfn.XLOOKUP(B188,STUDENTS!$B$3:$B$1048576,STUDENTS!$C$3:$C$1048576)),"Enter a registered reg. no")</f>
        <v/>
      </c>
      <c r="D188">
        <f>IFERROR(IF(B188="","",_xlfn.XLOOKUP(B188,STUDENTS!B187:B100184,STUDENTS!D187:D100184)),"update STUDENT sheet")</f>
        <v/>
      </c>
      <c r="E188">
        <f>IFERROR(IF(C188="","",_xlfn.XLOOKUP(C188,STUDENTS!C187:C100184,STUDENTS!F187:F100184)),"update STUDENT sheet")</f>
        <v/>
      </c>
      <c r="F188">
        <f>IFERROR(IF(D188="","",_xlfn.XLOOKUP(D188,STUDENTS!D187:D100184,STUDENTS!G187:G100184)),"update STUDENT sheet")</f>
        <v/>
      </c>
      <c r="G188">
        <f>IFERROR(IF(E188="","",_xlfn.XLOOKUP(E188,STUDENTS!F187:F100184,STUDENTS!H187:H100184)),"update STUDENT sheet")</f>
        <v/>
      </c>
    </row>
    <row r="189">
      <c r="B189">
        <f>IF(STUDENTS!B188="","",STUDENTS!B188)</f>
        <v/>
      </c>
      <c r="C189">
        <f>IFERROR(IF(B189="","",_xlfn.XLOOKUP(B189,STUDENTS!$B$3:$B$1048576,STUDENTS!$C$3:$C$1048576)),"Enter a registered reg. no")</f>
        <v/>
      </c>
      <c r="D189">
        <f>IFERROR(IF(B189="","",_xlfn.XLOOKUP(B189,STUDENTS!B188:B100185,STUDENTS!D188:D100185)),"update STUDENT sheet")</f>
        <v/>
      </c>
      <c r="E189">
        <f>IFERROR(IF(C189="","",_xlfn.XLOOKUP(C189,STUDENTS!C188:C100185,STUDENTS!F188:F100185)),"update STUDENT sheet")</f>
        <v/>
      </c>
      <c r="F189">
        <f>IFERROR(IF(D189="","",_xlfn.XLOOKUP(D189,STUDENTS!D188:D100185,STUDENTS!G188:G100185)),"update STUDENT sheet")</f>
        <v/>
      </c>
      <c r="G189">
        <f>IFERROR(IF(E189="","",_xlfn.XLOOKUP(E189,STUDENTS!F188:F100185,STUDENTS!H188:H100185)),"update STUDENT sheet")</f>
        <v/>
      </c>
    </row>
    <row r="190">
      <c r="B190">
        <f>IF(STUDENTS!B189="","",STUDENTS!B189)</f>
        <v/>
      </c>
      <c r="C190">
        <f>IFERROR(IF(B190="","",_xlfn.XLOOKUP(B190,STUDENTS!$B$3:$B$1048576,STUDENTS!$C$3:$C$1048576)),"Enter a registered reg. no")</f>
        <v/>
      </c>
      <c r="D190">
        <f>IFERROR(IF(B190="","",_xlfn.XLOOKUP(B190,STUDENTS!B189:B100186,STUDENTS!D189:D100186)),"update STUDENT sheet")</f>
        <v/>
      </c>
      <c r="E190">
        <f>IFERROR(IF(C190="","",_xlfn.XLOOKUP(C190,STUDENTS!C189:C100186,STUDENTS!F189:F100186)),"update STUDENT sheet")</f>
        <v/>
      </c>
      <c r="F190">
        <f>IFERROR(IF(D190="","",_xlfn.XLOOKUP(D190,STUDENTS!D189:D100186,STUDENTS!G189:G100186)),"update STUDENT sheet")</f>
        <v/>
      </c>
      <c r="G190">
        <f>IFERROR(IF(E190="","",_xlfn.XLOOKUP(E190,STUDENTS!F189:F100186,STUDENTS!H189:H100186)),"update STUDENT sheet")</f>
        <v/>
      </c>
    </row>
    <row r="191">
      <c r="B191">
        <f>IF(STUDENTS!B190="","",STUDENTS!B190)</f>
        <v/>
      </c>
      <c r="C191">
        <f>IFERROR(IF(B191="","",_xlfn.XLOOKUP(B191,STUDENTS!$B$3:$B$1048576,STUDENTS!$C$3:$C$1048576)),"Enter a registered reg. no")</f>
        <v/>
      </c>
      <c r="D191">
        <f>IFERROR(IF(B191="","",_xlfn.XLOOKUP(B191,STUDENTS!B190:B100187,STUDENTS!D190:D100187)),"update STUDENT sheet")</f>
        <v/>
      </c>
      <c r="E191">
        <f>IFERROR(IF(C191="","",_xlfn.XLOOKUP(C191,STUDENTS!C190:C100187,STUDENTS!F190:F100187)),"update STUDENT sheet")</f>
        <v/>
      </c>
      <c r="F191">
        <f>IFERROR(IF(D191="","",_xlfn.XLOOKUP(D191,STUDENTS!D190:D100187,STUDENTS!G190:G100187)),"update STUDENT sheet")</f>
        <v/>
      </c>
      <c r="G191">
        <f>IFERROR(IF(E191="","",_xlfn.XLOOKUP(E191,STUDENTS!F190:F100187,STUDENTS!H190:H100187)),"update STUDENT sheet")</f>
        <v/>
      </c>
    </row>
    <row r="192">
      <c r="B192">
        <f>IF(STUDENTS!B191="","",STUDENTS!B191)</f>
        <v/>
      </c>
      <c r="C192">
        <f>IFERROR(IF(B192="","",_xlfn.XLOOKUP(B192,STUDENTS!$B$3:$B$1048576,STUDENTS!$C$3:$C$1048576)),"Enter a registered reg. no")</f>
        <v/>
      </c>
      <c r="D192">
        <f>IFERROR(IF(B192="","",_xlfn.XLOOKUP(B192,STUDENTS!B191:B100188,STUDENTS!D191:D100188)),"update STUDENT sheet")</f>
        <v/>
      </c>
      <c r="E192">
        <f>IFERROR(IF(C192="","",_xlfn.XLOOKUP(C192,STUDENTS!C191:C100188,STUDENTS!F191:F100188)),"update STUDENT sheet")</f>
        <v/>
      </c>
      <c r="F192">
        <f>IFERROR(IF(D192="","",_xlfn.XLOOKUP(D192,STUDENTS!D191:D100188,STUDENTS!G191:G100188)),"update STUDENT sheet")</f>
        <v/>
      </c>
      <c r="G192">
        <f>IFERROR(IF(E192="","",_xlfn.XLOOKUP(E192,STUDENTS!F191:F100188,STUDENTS!H191:H100188)),"update STUDENT sheet")</f>
        <v/>
      </c>
    </row>
    <row r="193">
      <c r="B193">
        <f>IF(STUDENTS!B192="","",STUDENTS!B192)</f>
        <v/>
      </c>
      <c r="C193">
        <f>IFERROR(IF(B193="","",_xlfn.XLOOKUP(B193,STUDENTS!$B$3:$B$1048576,STUDENTS!$C$3:$C$1048576)),"Enter a registered reg. no")</f>
        <v/>
      </c>
      <c r="D193">
        <f>IFERROR(IF(B193="","",_xlfn.XLOOKUP(B193,STUDENTS!B192:B100189,STUDENTS!D192:D100189)),"update STUDENT sheet")</f>
        <v/>
      </c>
      <c r="E193">
        <f>IFERROR(IF(C193="","",_xlfn.XLOOKUP(C193,STUDENTS!C192:C100189,STUDENTS!F192:F100189)),"update STUDENT sheet")</f>
        <v/>
      </c>
      <c r="F193">
        <f>IFERROR(IF(D193="","",_xlfn.XLOOKUP(D193,STUDENTS!D192:D100189,STUDENTS!G192:G100189)),"update STUDENT sheet")</f>
        <v/>
      </c>
      <c r="G193">
        <f>IFERROR(IF(E193="","",_xlfn.XLOOKUP(E193,STUDENTS!F192:F100189,STUDENTS!H192:H100189)),"update STUDENT sheet")</f>
        <v/>
      </c>
    </row>
    <row r="194">
      <c r="B194">
        <f>IF(STUDENTS!B193="","",STUDENTS!B193)</f>
        <v/>
      </c>
      <c r="C194">
        <f>IFERROR(IF(B194="","",_xlfn.XLOOKUP(B194,STUDENTS!$B$3:$B$1048576,STUDENTS!$C$3:$C$1048576)),"Enter a registered reg. no")</f>
        <v/>
      </c>
      <c r="D194">
        <f>IFERROR(IF(B194="","",_xlfn.XLOOKUP(B194,STUDENTS!B193:B100190,STUDENTS!D193:D100190)),"update STUDENT sheet")</f>
        <v/>
      </c>
      <c r="E194">
        <f>IFERROR(IF(C194="","",_xlfn.XLOOKUP(C194,STUDENTS!C193:C100190,STUDENTS!F193:F100190)),"update STUDENT sheet")</f>
        <v/>
      </c>
      <c r="F194">
        <f>IFERROR(IF(D194="","",_xlfn.XLOOKUP(D194,STUDENTS!D193:D100190,STUDENTS!G193:G100190)),"update STUDENT sheet")</f>
        <v/>
      </c>
      <c r="G194">
        <f>IFERROR(IF(E194="","",_xlfn.XLOOKUP(E194,STUDENTS!F193:F100190,STUDENTS!H193:H100190)),"update STUDENT sheet")</f>
        <v/>
      </c>
    </row>
    <row r="195">
      <c r="B195">
        <f>IF(STUDENTS!B194="","",STUDENTS!B194)</f>
        <v/>
      </c>
      <c r="C195">
        <f>IFERROR(IF(B195="","",_xlfn.XLOOKUP(B195,STUDENTS!$B$3:$B$1048576,STUDENTS!$C$3:$C$1048576)),"Enter a registered reg. no")</f>
        <v/>
      </c>
      <c r="D195">
        <f>IFERROR(IF(B195="","",_xlfn.XLOOKUP(B195,STUDENTS!B194:B100191,STUDENTS!D194:D100191)),"update STUDENT sheet")</f>
        <v/>
      </c>
      <c r="E195">
        <f>IFERROR(IF(C195="","",_xlfn.XLOOKUP(C195,STUDENTS!C194:C100191,STUDENTS!F194:F100191)),"update STUDENT sheet")</f>
        <v/>
      </c>
      <c r="F195">
        <f>IFERROR(IF(D195="","",_xlfn.XLOOKUP(D195,STUDENTS!D194:D100191,STUDENTS!G194:G100191)),"update STUDENT sheet")</f>
        <v/>
      </c>
      <c r="G195">
        <f>IFERROR(IF(E195="","",_xlfn.XLOOKUP(E195,STUDENTS!F194:F100191,STUDENTS!H194:H100191)),"update STUDENT sheet")</f>
        <v/>
      </c>
    </row>
    <row r="196">
      <c r="B196">
        <f>IF(STUDENTS!B195="","",STUDENTS!B195)</f>
        <v/>
      </c>
      <c r="C196">
        <f>IFERROR(IF(B196="","",_xlfn.XLOOKUP(B196,STUDENTS!$B$3:$B$1048576,STUDENTS!$C$3:$C$1048576)),"Enter a registered reg. no")</f>
        <v/>
      </c>
      <c r="D196">
        <f>IFERROR(IF(B196="","",_xlfn.XLOOKUP(B196,STUDENTS!B195:B100192,STUDENTS!D195:D100192)),"update STUDENT sheet")</f>
        <v/>
      </c>
      <c r="E196">
        <f>IFERROR(IF(C196="","",_xlfn.XLOOKUP(C196,STUDENTS!C195:C100192,STUDENTS!F195:F100192)),"update STUDENT sheet")</f>
        <v/>
      </c>
      <c r="F196">
        <f>IFERROR(IF(D196="","",_xlfn.XLOOKUP(D196,STUDENTS!D195:D100192,STUDENTS!G195:G100192)),"update STUDENT sheet")</f>
        <v/>
      </c>
      <c r="G196">
        <f>IFERROR(IF(E196="","",_xlfn.XLOOKUP(E196,STUDENTS!F195:F100192,STUDENTS!H195:H100192)),"update STUDENT sheet")</f>
        <v/>
      </c>
    </row>
    <row r="197">
      <c r="B197">
        <f>IF(STUDENTS!B196="","",STUDENTS!B196)</f>
        <v/>
      </c>
      <c r="C197">
        <f>IFERROR(IF(B197="","",_xlfn.XLOOKUP(B197,STUDENTS!$B$3:$B$1048576,STUDENTS!$C$3:$C$1048576)),"Enter a registered reg. no")</f>
        <v/>
      </c>
      <c r="D197">
        <f>IFERROR(IF(B197="","",_xlfn.XLOOKUP(B197,STUDENTS!B196:B100193,STUDENTS!D196:D100193)),"update STUDENT sheet")</f>
        <v/>
      </c>
      <c r="E197">
        <f>IFERROR(IF(C197="","",_xlfn.XLOOKUP(C197,STUDENTS!C196:C100193,STUDENTS!F196:F100193)),"update STUDENT sheet")</f>
        <v/>
      </c>
      <c r="F197">
        <f>IFERROR(IF(D197="","",_xlfn.XLOOKUP(D197,STUDENTS!D196:D100193,STUDENTS!G196:G100193)),"update STUDENT sheet")</f>
        <v/>
      </c>
      <c r="G197">
        <f>IFERROR(IF(E197="","",_xlfn.XLOOKUP(E197,STUDENTS!F196:F100193,STUDENTS!H196:H100193)),"update STUDENT sheet")</f>
        <v/>
      </c>
    </row>
    <row r="198">
      <c r="B198">
        <f>IF(STUDENTS!B197="","",STUDENTS!B197)</f>
        <v/>
      </c>
      <c r="C198">
        <f>IFERROR(IF(B198="","",_xlfn.XLOOKUP(B198,STUDENTS!$B$3:$B$1048576,STUDENTS!$C$3:$C$1048576)),"Enter a registered reg. no")</f>
        <v/>
      </c>
      <c r="D198">
        <f>IFERROR(IF(B198="","",_xlfn.XLOOKUP(B198,STUDENTS!B197:B100194,STUDENTS!D197:D100194)),"update STUDENT sheet")</f>
        <v/>
      </c>
      <c r="E198">
        <f>IFERROR(IF(C198="","",_xlfn.XLOOKUP(C198,STUDENTS!C197:C100194,STUDENTS!F197:F100194)),"update STUDENT sheet")</f>
        <v/>
      </c>
      <c r="F198">
        <f>IFERROR(IF(D198="","",_xlfn.XLOOKUP(D198,STUDENTS!D197:D100194,STUDENTS!G197:G100194)),"update STUDENT sheet")</f>
        <v/>
      </c>
      <c r="G198">
        <f>IFERROR(IF(E198="","",_xlfn.XLOOKUP(E198,STUDENTS!F197:F100194,STUDENTS!H197:H100194)),"update STUDENT sheet")</f>
        <v/>
      </c>
    </row>
    <row r="199">
      <c r="B199">
        <f>IF(STUDENTS!B198="","",STUDENTS!B198)</f>
        <v/>
      </c>
      <c r="C199">
        <f>IFERROR(IF(B199="","",_xlfn.XLOOKUP(B199,STUDENTS!$B$3:$B$1048576,STUDENTS!$C$3:$C$1048576)),"Enter a registered reg. no")</f>
        <v/>
      </c>
      <c r="D199">
        <f>IFERROR(IF(B199="","",_xlfn.XLOOKUP(B199,STUDENTS!B198:B100195,STUDENTS!D198:D100195)),"update STUDENT sheet")</f>
        <v/>
      </c>
      <c r="E199">
        <f>IFERROR(IF(C199="","",_xlfn.XLOOKUP(C199,STUDENTS!C198:C100195,STUDENTS!F198:F100195)),"update STUDENT sheet")</f>
        <v/>
      </c>
      <c r="F199">
        <f>IFERROR(IF(D199="","",_xlfn.XLOOKUP(D199,STUDENTS!D198:D100195,STUDENTS!G198:G100195)),"update STUDENT sheet")</f>
        <v/>
      </c>
      <c r="G199">
        <f>IFERROR(IF(E199="","",_xlfn.XLOOKUP(E199,STUDENTS!F198:F100195,STUDENTS!H198:H100195)),"update STUDENT sheet")</f>
        <v/>
      </c>
    </row>
    <row r="200">
      <c r="B200">
        <f>IF(STUDENTS!B199="","",STUDENTS!B199)</f>
        <v/>
      </c>
      <c r="C200">
        <f>IFERROR(IF(B200="","",_xlfn.XLOOKUP(B200,STUDENTS!$B$3:$B$1048576,STUDENTS!$C$3:$C$1048576)),"Enter a registered reg. no")</f>
        <v/>
      </c>
      <c r="D200">
        <f>IFERROR(IF(B200="","",_xlfn.XLOOKUP(B200,STUDENTS!B199:B100196,STUDENTS!D199:D100196)),"update STUDENT sheet")</f>
        <v/>
      </c>
      <c r="E200">
        <f>IFERROR(IF(C200="","",_xlfn.XLOOKUP(C200,STUDENTS!C199:C100196,STUDENTS!F199:F100196)),"update STUDENT sheet")</f>
        <v/>
      </c>
      <c r="F200">
        <f>IFERROR(IF(D200="","",_xlfn.XLOOKUP(D200,STUDENTS!D199:D100196,STUDENTS!G199:G100196)),"update STUDENT sheet")</f>
        <v/>
      </c>
      <c r="G200">
        <f>IFERROR(IF(E200="","",_xlfn.XLOOKUP(E200,STUDENTS!F199:F100196,STUDENTS!H199:H100196)),"update STUDENT sheet")</f>
        <v/>
      </c>
    </row>
    <row r="201">
      <c r="B201">
        <f>IF(STUDENTS!B200="","",STUDENTS!B200)</f>
        <v/>
      </c>
      <c r="C201">
        <f>IFERROR(IF(B201="","",_xlfn.XLOOKUP(B201,STUDENTS!$B$3:$B$1048576,STUDENTS!$C$3:$C$1048576)),"Enter a registered reg. no")</f>
        <v/>
      </c>
      <c r="D201">
        <f>IFERROR(IF(B201="","",_xlfn.XLOOKUP(B201,STUDENTS!B200:B100197,STUDENTS!D200:D100197)),"update STUDENT sheet")</f>
        <v/>
      </c>
      <c r="E201">
        <f>IFERROR(IF(C201="","",_xlfn.XLOOKUP(C201,STUDENTS!C200:C100197,STUDENTS!F200:F100197)),"update STUDENT sheet")</f>
        <v/>
      </c>
      <c r="F201">
        <f>IFERROR(IF(D201="","",_xlfn.XLOOKUP(D201,STUDENTS!D200:D100197,STUDENTS!G200:G100197)),"update STUDENT sheet")</f>
        <v/>
      </c>
      <c r="G201">
        <f>IFERROR(IF(E201="","",_xlfn.XLOOKUP(E201,STUDENTS!F200:F100197,STUDENTS!H200:H100197)),"update STUDENT sheet")</f>
        <v/>
      </c>
    </row>
    <row r="202">
      <c r="B202">
        <f>IF(STUDENTS!B201="","",STUDENTS!B201)</f>
        <v/>
      </c>
      <c r="C202">
        <f>IFERROR(IF(B202="","",_xlfn.XLOOKUP(B202,STUDENTS!$B$3:$B$1048576,STUDENTS!$C$3:$C$1048576)),"Enter a registered reg. no")</f>
        <v/>
      </c>
      <c r="D202">
        <f>IFERROR(IF(B202="","",_xlfn.XLOOKUP(B202,STUDENTS!B201:B100198,STUDENTS!D201:D100198)),"update STUDENT sheet")</f>
        <v/>
      </c>
      <c r="E202">
        <f>IFERROR(IF(C202="","",_xlfn.XLOOKUP(C202,STUDENTS!C201:C100198,STUDENTS!F201:F100198)),"update STUDENT sheet")</f>
        <v/>
      </c>
      <c r="F202">
        <f>IFERROR(IF(D202="","",_xlfn.XLOOKUP(D202,STUDENTS!D201:D100198,STUDENTS!G201:G100198)),"update STUDENT sheet")</f>
        <v/>
      </c>
      <c r="G202">
        <f>IFERROR(IF(E202="","",_xlfn.XLOOKUP(E202,STUDENTS!F201:F100198,STUDENTS!H201:H100198)),"update STUDENT sheet")</f>
        <v/>
      </c>
    </row>
    <row r="203">
      <c r="B203">
        <f>IF(STUDENTS!B202="","",STUDENTS!B202)</f>
        <v/>
      </c>
      <c r="C203">
        <f>IFERROR(IF(B203="","",_xlfn.XLOOKUP(B203,STUDENTS!$B$3:$B$1048576,STUDENTS!$C$3:$C$1048576)),"Enter a registered reg. no")</f>
        <v/>
      </c>
      <c r="D203">
        <f>IFERROR(IF(B203="","",_xlfn.XLOOKUP(B203,STUDENTS!B202:B100199,STUDENTS!D202:D100199)),"update STUDENT sheet")</f>
        <v/>
      </c>
      <c r="E203">
        <f>IFERROR(IF(C203="","",_xlfn.XLOOKUP(C203,STUDENTS!C202:C100199,STUDENTS!F202:F100199)),"update STUDENT sheet")</f>
        <v/>
      </c>
      <c r="F203">
        <f>IFERROR(IF(D203="","",_xlfn.XLOOKUP(D203,STUDENTS!D202:D100199,STUDENTS!G202:G100199)),"update STUDENT sheet")</f>
        <v/>
      </c>
      <c r="G203">
        <f>IFERROR(IF(E203="","",_xlfn.XLOOKUP(E203,STUDENTS!F202:F100199,STUDENTS!H202:H100199)),"update STUDENT sheet")</f>
        <v/>
      </c>
    </row>
    <row r="204">
      <c r="B204">
        <f>IF(STUDENTS!B203="","",STUDENTS!B203)</f>
        <v/>
      </c>
      <c r="C204">
        <f>IFERROR(IF(B204="","",_xlfn.XLOOKUP(B204,STUDENTS!$B$3:$B$1048576,STUDENTS!$C$3:$C$1048576)),"Enter a registered reg. no")</f>
        <v/>
      </c>
      <c r="D204">
        <f>IFERROR(IF(B204="","",_xlfn.XLOOKUP(B204,STUDENTS!B203:B100200,STUDENTS!D203:D100200)),"update STUDENT sheet")</f>
        <v/>
      </c>
      <c r="E204">
        <f>IFERROR(IF(C204="","",_xlfn.XLOOKUP(C204,STUDENTS!C203:C100200,STUDENTS!F203:F100200)),"update STUDENT sheet")</f>
        <v/>
      </c>
      <c r="F204">
        <f>IFERROR(IF(D204="","",_xlfn.XLOOKUP(D204,STUDENTS!D203:D100200,STUDENTS!G203:G100200)),"update STUDENT sheet")</f>
        <v/>
      </c>
      <c r="G204">
        <f>IFERROR(IF(E204="","",_xlfn.XLOOKUP(E204,STUDENTS!F203:F100200,STUDENTS!H203:H100200)),"update STUDENT sheet")</f>
        <v/>
      </c>
    </row>
    <row r="205">
      <c r="B205">
        <f>IF(STUDENTS!B204="","",STUDENTS!B204)</f>
        <v/>
      </c>
      <c r="C205">
        <f>IFERROR(IF(B205="","",_xlfn.XLOOKUP(B205,STUDENTS!$B$3:$B$1048576,STUDENTS!$C$3:$C$1048576)),"Enter a registered reg. no")</f>
        <v/>
      </c>
      <c r="D205">
        <f>IFERROR(IF(B205="","",_xlfn.XLOOKUP(B205,STUDENTS!B204:B100201,STUDENTS!D204:D100201)),"update STUDENT sheet")</f>
        <v/>
      </c>
      <c r="E205">
        <f>IFERROR(IF(C205="","",_xlfn.XLOOKUP(C205,STUDENTS!C204:C100201,STUDENTS!F204:F100201)),"update STUDENT sheet")</f>
        <v/>
      </c>
      <c r="F205">
        <f>IFERROR(IF(D205="","",_xlfn.XLOOKUP(D205,STUDENTS!D204:D100201,STUDENTS!G204:G100201)),"update STUDENT sheet")</f>
        <v/>
      </c>
      <c r="G205">
        <f>IFERROR(IF(E205="","",_xlfn.XLOOKUP(E205,STUDENTS!F204:F100201,STUDENTS!H204:H100201)),"update STUDENT sheet")</f>
        <v/>
      </c>
    </row>
    <row r="206">
      <c r="B206">
        <f>IF(STUDENTS!B205="","",STUDENTS!B205)</f>
        <v/>
      </c>
      <c r="C206">
        <f>IFERROR(IF(B206="","",_xlfn.XLOOKUP(B206,STUDENTS!$B$3:$B$1048576,STUDENTS!$C$3:$C$1048576)),"Enter a registered reg. no")</f>
        <v/>
      </c>
      <c r="D206">
        <f>IFERROR(IF(B206="","",_xlfn.XLOOKUP(B206,STUDENTS!B205:B100202,STUDENTS!D205:D100202)),"update STUDENT sheet")</f>
        <v/>
      </c>
      <c r="E206">
        <f>IFERROR(IF(C206="","",_xlfn.XLOOKUP(C206,STUDENTS!C205:C100202,STUDENTS!F205:F100202)),"update STUDENT sheet")</f>
        <v/>
      </c>
      <c r="F206">
        <f>IFERROR(IF(D206="","",_xlfn.XLOOKUP(D206,STUDENTS!D205:D100202,STUDENTS!G205:G100202)),"update STUDENT sheet")</f>
        <v/>
      </c>
      <c r="G206">
        <f>IFERROR(IF(E206="","",_xlfn.XLOOKUP(E206,STUDENTS!F205:F100202,STUDENTS!H205:H100202)),"update STUDENT sheet")</f>
        <v/>
      </c>
    </row>
    <row r="207">
      <c r="B207">
        <f>IF(STUDENTS!B206="","",STUDENTS!B206)</f>
        <v/>
      </c>
      <c r="C207">
        <f>IFERROR(IF(B207="","",_xlfn.XLOOKUP(B207,STUDENTS!$B$3:$B$1048576,STUDENTS!$C$3:$C$1048576)),"Enter a registered reg. no")</f>
        <v/>
      </c>
      <c r="D207">
        <f>IFERROR(IF(B207="","",_xlfn.XLOOKUP(B207,STUDENTS!B206:B100203,STUDENTS!D206:D100203)),"update STUDENT sheet")</f>
        <v/>
      </c>
      <c r="E207">
        <f>IFERROR(IF(C207="","",_xlfn.XLOOKUP(C207,STUDENTS!C206:C100203,STUDENTS!F206:F100203)),"update STUDENT sheet")</f>
        <v/>
      </c>
      <c r="F207">
        <f>IFERROR(IF(D207="","",_xlfn.XLOOKUP(D207,STUDENTS!D206:D100203,STUDENTS!G206:G100203)),"update STUDENT sheet")</f>
        <v/>
      </c>
      <c r="G207">
        <f>IFERROR(IF(E207="","",_xlfn.XLOOKUP(E207,STUDENTS!F206:F100203,STUDENTS!H206:H100203)),"update STUDENT sheet")</f>
        <v/>
      </c>
    </row>
    <row r="208">
      <c r="B208">
        <f>IF(STUDENTS!B207="","",STUDENTS!B207)</f>
        <v/>
      </c>
      <c r="C208">
        <f>IFERROR(IF(B208="","",_xlfn.XLOOKUP(B208,STUDENTS!$B$3:$B$1048576,STUDENTS!$C$3:$C$1048576)),"Enter a registered reg. no")</f>
        <v/>
      </c>
      <c r="D208">
        <f>IFERROR(IF(B208="","",_xlfn.XLOOKUP(B208,STUDENTS!B207:B100204,STUDENTS!D207:D100204)),"update STUDENT sheet")</f>
        <v/>
      </c>
      <c r="E208">
        <f>IFERROR(IF(C208="","",_xlfn.XLOOKUP(C208,STUDENTS!C207:C100204,STUDENTS!F207:F100204)),"update STUDENT sheet")</f>
        <v/>
      </c>
      <c r="F208">
        <f>IFERROR(IF(D208="","",_xlfn.XLOOKUP(D208,STUDENTS!D207:D100204,STUDENTS!G207:G100204)),"update STUDENT sheet")</f>
        <v/>
      </c>
      <c r="G208">
        <f>IFERROR(IF(E208="","",_xlfn.XLOOKUP(E208,STUDENTS!F207:F100204,STUDENTS!H207:H100204)),"update STUDENT sheet")</f>
        <v/>
      </c>
    </row>
    <row r="209">
      <c r="B209">
        <f>IF(STUDENTS!B208="","",STUDENTS!B208)</f>
        <v/>
      </c>
      <c r="C209">
        <f>IFERROR(IF(B209="","",_xlfn.XLOOKUP(B209,STUDENTS!$B$3:$B$1048576,STUDENTS!$C$3:$C$1048576)),"Enter a registered reg. no")</f>
        <v/>
      </c>
      <c r="D209">
        <f>IFERROR(IF(B209="","",_xlfn.XLOOKUP(B209,STUDENTS!B208:B100205,STUDENTS!D208:D100205)),"update STUDENT sheet")</f>
        <v/>
      </c>
      <c r="E209">
        <f>IFERROR(IF(C209="","",_xlfn.XLOOKUP(C209,STUDENTS!C208:C100205,STUDENTS!F208:F100205)),"update STUDENT sheet")</f>
        <v/>
      </c>
      <c r="F209">
        <f>IFERROR(IF(D209="","",_xlfn.XLOOKUP(D209,STUDENTS!D208:D100205,STUDENTS!G208:G100205)),"update STUDENT sheet")</f>
        <v/>
      </c>
      <c r="G209">
        <f>IFERROR(IF(E209="","",_xlfn.XLOOKUP(E209,STUDENTS!F208:F100205,STUDENTS!H208:H100205)),"update STUDENT sheet")</f>
        <v/>
      </c>
    </row>
    <row r="210">
      <c r="B210">
        <f>IF(STUDENTS!B209="","",STUDENTS!B209)</f>
        <v/>
      </c>
      <c r="C210">
        <f>IFERROR(IF(B210="","",_xlfn.XLOOKUP(B210,STUDENTS!$B$3:$B$1048576,STUDENTS!$C$3:$C$1048576)),"Enter a registered reg. no")</f>
        <v/>
      </c>
      <c r="D210">
        <f>IFERROR(IF(B210="","",_xlfn.XLOOKUP(B210,STUDENTS!B209:B100206,STUDENTS!D209:D100206)),"update STUDENT sheet")</f>
        <v/>
      </c>
      <c r="E210">
        <f>IFERROR(IF(C210="","",_xlfn.XLOOKUP(C210,STUDENTS!C209:C100206,STUDENTS!F209:F100206)),"update STUDENT sheet")</f>
        <v/>
      </c>
      <c r="F210">
        <f>IFERROR(IF(D210="","",_xlfn.XLOOKUP(D210,STUDENTS!D209:D100206,STUDENTS!G209:G100206)),"update STUDENT sheet")</f>
        <v/>
      </c>
      <c r="G210">
        <f>IFERROR(IF(E210="","",_xlfn.XLOOKUP(E210,STUDENTS!F209:F100206,STUDENTS!H209:H100206)),"update STUDENT sheet")</f>
        <v/>
      </c>
    </row>
    <row r="211">
      <c r="B211">
        <f>IF(STUDENTS!B210="","",STUDENTS!B210)</f>
        <v/>
      </c>
      <c r="C211">
        <f>IFERROR(IF(B211="","",_xlfn.XLOOKUP(B211,STUDENTS!$B$3:$B$1048576,STUDENTS!$C$3:$C$1048576)),"Enter a registered reg. no")</f>
        <v/>
      </c>
      <c r="D211">
        <f>IFERROR(IF(B211="","",_xlfn.XLOOKUP(B211,STUDENTS!B210:B100207,STUDENTS!D210:D100207)),"update STUDENT sheet")</f>
        <v/>
      </c>
      <c r="E211">
        <f>IFERROR(IF(C211="","",_xlfn.XLOOKUP(C211,STUDENTS!C210:C100207,STUDENTS!F210:F100207)),"update STUDENT sheet")</f>
        <v/>
      </c>
      <c r="F211">
        <f>IFERROR(IF(D211="","",_xlfn.XLOOKUP(D211,STUDENTS!D210:D100207,STUDENTS!G210:G100207)),"update STUDENT sheet")</f>
        <v/>
      </c>
      <c r="G211">
        <f>IFERROR(IF(E211="","",_xlfn.XLOOKUP(E211,STUDENTS!F210:F100207,STUDENTS!H210:H100207)),"update STUDENT sheet")</f>
        <v/>
      </c>
    </row>
    <row r="212">
      <c r="B212">
        <f>IF(STUDENTS!B211="","",STUDENTS!B211)</f>
        <v/>
      </c>
      <c r="C212">
        <f>IFERROR(IF(B212="","",_xlfn.XLOOKUP(B212,STUDENTS!$B$3:$B$1048576,STUDENTS!$C$3:$C$1048576)),"Enter a registered reg. no")</f>
        <v/>
      </c>
      <c r="D212">
        <f>IFERROR(IF(B212="","",_xlfn.XLOOKUP(B212,STUDENTS!B211:B100208,STUDENTS!D211:D100208)),"update STUDENT sheet")</f>
        <v/>
      </c>
      <c r="E212">
        <f>IFERROR(IF(C212="","",_xlfn.XLOOKUP(C212,STUDENTS!C211:C100208,STUDENTS!F211:F100208)),"update STUDENT sheet")</f>
        <v/>
      </c>
      <c r="F212">
        <f>IFERROR(IF(D212="","",_xlfn.XLOOKUP(D212,STUDENTS!D211:D100208,STUDENTS!G211:G100208)),"update STUDENT sheet")</f>
        <v/>
      </c>
      <c r="G212">
        <f>IFERROR(IF(E212="","",_xlfn.XLOOKUP(E212,STUDENTS!F211:F100208,STUDENTS!H211:H100208)),"update STUDENT sheet")</f>
        <v/>
      </c>
    </row>
    <row r="213">
      <c r="B213">
        <f>IF(STUDENTS!B212="","",STUDENTS!B212)</f>
        <v/>
      </c>
      <c r="C213">
        <f>IFERROR(IF(B213="","",_xlfn.XLOOKUP(B213,STUDENTS!$B$3:$B$1048576,STUDENTS!$C$3:$C$1048576)),"Enter a registered reg. no")</f>
        <v/>
      </c>
      <c r="D213">
        <f>IFERROR(IF(B213="","",_xlfn.XLOOKUP(B213,STUDENTS!B212:B100209,STUDENTS!D212:D100209)),"update STUDENT sheet")</f>
        <v/>
      </c>
      <c r="E213">
        <f>IFERROR(IF(C213="","",_xlfn.XLOOKUP(C213,STUDENTS!C212:C100209,STUDENTS!F212:F100209)),"update STUDENT sheet")</f>
        <v/>
      </c>
      <c r="F213">
        <f>IFERROR(IF(D213="","",_xlfn.XLOOKUP(D213,STUDENTS!D212:D100209,STUDENTS!G212:G100209)),"update STUDENT sheet")</f>
        <v/>
      </c>
      <c r="G213">
        <f>IFERROR(IF(E213="","",_xlfn.XLOOKUP(E213,STUDENTS!F212:F100209,STUDENTS!H212:H100209)),"update STUDENT sheet")</f>
        <v/>
      </c>
    </row>
    <row r="214">
      <c r="B214">
        <f>IF(STUDENTS!B213="","",STUDENTS!B213)</f>
        <v/>
      </c>
      <c r="C214">
        <f>IFERROR(IF(B214="","",_xlfn.XLOOKUP(B214,STUDENTS!$B$3:$B$1048576,STUDENTS!$C$3:$C$1048576)),"Enter a registered reg. no")</f>
        <v/>
      </c>
      <c r="D214">
        <f>IFERROR(IF(B214="","",_xlfn.XLOOKUP(B214,STUDENTS!B213:B100210,STUDENTS!D213:D100210)),"update STUDENT sheet")</f>
        <v/>
      </c>
      <c r="E214">
        <f>IFERROR(IF(C214="","",_xlfn.XLOOKUP(C214,STUDENTS!C213:C100210,STUDENTS!F213:F100210)),"update STUDENT sheet")</f>
        <v/>
      </c>
      <c r="F214">
        <f>IFERROR(IF(D214="","",_xlfn.XLOOKUP(D214,STUDENTS!D213:D100210,STUDENTS!G213:G100210)),"update STUDENT sheet")</f>
        <v/>
      </c>
      <c r="G214">
        <f>IFERROR(IF(E214="","",_xlfn.XLOOKUP(E214,STUDENTS!F213:F100210,STUDENTS!H213:H100210)),"update STUDENT sheet")</f>
        <v/>
      </c>
    </row>
    <row r="215">
      <c r="B215">
        <f>IF(STUDENTS!B214="","",STUDENTS!B214)</f>
        <v/>
      </c>
      <c r="C215">
        <f>IFERROR(IF(B215="","",_xlfn.XLOOKUP(B215,STUDENTS!$B$3:$B$1048576,STUDENTS!$C$3:$C$1048576)),"Enter a registered reg. no")</f>
        <v/>
      </c>
      <c r="D215">
        <f>IFERROR(IF(B215="","",_xlfn.XLOOKUP(B215,STUDENTS!B214:B100211,STUDENTS!D214:D100211)),"update STUDENT sheet")</f>
        <v/>
      </c>
      <c r="E215">
        <f>IFERROR(IF(C215="","",_xlfn.XLOOKUP(C215,STUDENTS!C214:C100211,STUDENTS!F214:F100211)),"update STUDENT sheet")</f>
        <v/>
      </c>
      <c r="F215">
        <f>IFERROR(IF(D215="","",_xlfn.XLOOKUP(D215,STUDENTS!D214:D100211,STUDENTS!G214:G100211)),"update STUDENT sheet")</f>
        <v/>
      </c>
      <c r="G215">
        <f>IFERROR(IF(E215="","",_xlfn.XLOOKUP(E215,STUDENTS!F214:F100211,STUDENTS!H214:H100211)),"update STUDENT sheet")</f>
        <v/>
      </c>
    </row>
    <row r="216">
      <c r="B216">
        <f>IF(STUDENTS!B215="","",STUDENTS!B215)</f>
        <v/>
      </c>
      <c r="C216">
        <f>IFERROR(IF(B216="","",_xlfn.XLOOKUP(B216,STUDENTS!$B$3:$B$1048576,STUDENTS!$C$3:$C$1048576)),"Enter a registered reg. no")</f>
        <v/>
      </c>
      <c r="D216">
        <f>IFERROR(IF(B216="","",_xlfn.XLOOKUP(B216,STUDENTS!B215:B100212,STUDENTS!D215:D100212)),"update STUDENT sheet")</f>
        <v/>
      </c>
      <c r="E216">
        <f>IFERROR(IF(C216="","",_xlfn.XLOOKUP(C216,STUDENTS!C215:C100212,STUDENTS!F215:F100212)),"update STUDENT sheet")</f>
        <v/>
      </c>
      <c r="F216">
        <f>IFERROR(IF(D216="","",_xlfn.XLOOKUP(D216,STUDENTS!D215:D100212,STUDENTS!G215:G100212)),"update STUDENT sheet")</f>
        <v/>
      </c>
      <c r="G216">
        <f>IFERROR(IF(E216="","",_xlfn.XLOOKUP(E216,STUDENTS!F215:F100212,STUDENTS!H215:H100212)),"update STUDENT sheet")</f>
        <v/>
      </c>
    </row>
    <row r="217">
      <c r="B217">
        <f>IF(STUDENTS!B216="","",STUDENTS!B216)</f>
        <v/>
      </c>
      <c r="C217">
        <f>IFERROR(IF(B217="","",_xlfn.XLOOKUP(B217,STUDENTS!$B$3:$B$1048576,STUDENTS!$C$3:$C$1048576)),"Enter a registered reg. no")</f>
        <v/>
      </c>
      <c r="D217">
        <f>IFERROR(IF(B217="","",_xlfn.XLOOKUP(B217,STUDENTS!B216:B100213,STUDENTS!D216:D100213)),"update STUDENT sheet")</f>
        <v/>
      </c>
      <c r="E217">
        <f>IFERROR(IF(C217="","",_xlfn.XLOOKUP(C217,STUDENTS!C216:C100213,STUDENTS!F216:F100213)),"update STUDENT sheet")</f>
        <v/>
      </c>
      <c r="F217">
        <f>IFERROR(IF(D217="","",_xlfn.XLOOKUP(D217,STUDENTS!D216:D100213,STUDENTS!G216:G100213)),"update STUDENT sheet")</f>
        <v/>
      </c>
      <c r="G217">
        <f>IFERROR(IF(E217="","",_xlfn.XLOOKUP(E217,STUDENTS!F216:F100213,STUDENTS!H216:H100213)),"update STUDENT sheet")</f>
        <v/>
      </c>
    </row>
    <row r="218">
      <c r="B218">
        <f>IF(STUDENTS!B217="","",STUDENTS!B217)</f>
        <v/>
      </c>
      <c r="C218">
        <f>IFERROR(IF(B218="","",_xlfn.XLOOKUP(B218,STUDENTS!$B$3:$B$1048576,STUDENTS!$C$3:$C$1048576)),"Enter a registered reg. no")</f>
        <v/>
      </c>
      <c r="D218">
        <f>IFERROR(IF(B218="","",_xlfn.XLOOKUP(B218,STUDENTS!B217:B100214,STUDENTS!D217:D100214)),"update STUDENT sheet")</f>
        <v/>
      </c>
      <c r="E218">
        <f>IFERROR(IF(C218="","",_xlfn.XLOOKUP(C218,STUDENTS!C217:C100214,STUDENTS!F217:F100214)),"update STUDENT sheet")</f>
        <v/>
      </c>
      <c r="F218">
        <f>IFERROR(IF(D218="","",_xlfn.XLOOKUP(D218,STUDENTS!D217:D100214,STUDENTS!G217:G100214)),"update STUDENT sheet")</f>
        <v/>
      </c>
      <c r="G218">
        <f>IFERROR(IF(E218="","",_xlfn.XLOOKUP(E218,STUDENTS!F217:F100214,STUDENTS!H217:H100214)),"update STUDENT sheet")</f>
        <v/>
      </c>
    </row>
    <row r="219">
      <c r="B219">
        <f>IF(STUDENTS!B218="","",STUDENTS!B218)</f>
        <v/>
      </c>
      <c r="C219">
        <f>IFERROR(IF(B219="","",_xlfn.XLOOKUP(B219,STUDENTS!$B$3:$B$1048576,STUDENTS!$C$3:$C$1048576)),"Enter a registered reg. no")</f>
        <v/>
      </c>
      <c r="D219">
        <f>IFERROR(IF(B219="","",_xlfn.XLOOKUP(B219,STUDENTS!B218:B100215,STUDENTS!D218:D100215)),"update STUDENT sheet")</f>
        <v/>
      </c>
      <c r="E219">
        <f>IFERROR(IF(C219="","",_xlfn.XLOOKUP(C219,STUDENTS!C218:C100215,STUDENTS!F218:F100215)),"update STUDENT sheet")</f>
        <v/>
      </c>
      <c r="F219">
        <f>IFERROR(IF(D219="","",_xlfn.XLOOKUP(D219,STUDENTS!D218:D100215,STUDENTS!G218:G100215)),"update STUDENT sheet")</f>
        <v/>
      </c>
      <c r="G219">
        <f>IFERROR(IF(E219="","",_xlfn.XLOOKUP(E219,STUDENTS!F218:F100215,STUDENTS!H218:H100215)),"update STUDENT sheet")</f>
        <v/>
      </c>
    </row>
    <row r="220">
      <c r="B220">
        <f>IF(STUDENTS!B219="","",STUDENTS!B219)</f>
        <v/>
      </c>
      <c r="C220">
        <f>IFERROR(IF(B220="","",_xlfn.XLOOKUP(B220,STUDENTS!$B$3:$B$1048576,STUDENTS!$C$3:$C$1048576)),"Enter a registered reg. no")</f>
        <v/>
      </c>
      <c r="D220">
        <f>IFERROR(IF(B220="","",_xlfn.XLOOKUP(B220,STUDENTS!B219:B100216,STUDENTS!D219:D100216)),"update STUDENT sheet")</f>
        <v/>
      </c>
      <c r="E220">
        <f>IFERROR(IF(C220="","",_xlfn.XLOOKUP(C220,STUDENTS!C219:C100216,STUDENTS!F219:F100216)),"update STUDENT sheet")</f>
        <v/>
      </c>
      <c r="F220">
        <f>IFERROR(IF(D220="","",_xlfn.XLOOKUP(D220,STUDENTS!D219:D100216,STUDENTS!G219:G100216)),"update STUDENT sheet")</f>
        <v/>
      </c>
      <c r="G220">
        <f>IFERROR(IF(E220="","",_xlfn.XLOOKUP(E220,STUDENTS!F219:F100216,STUDENTS!H219:H100216)),"update STUDENT sheet")</f>
        <v/>
      </c>
    </row>
    <row r="221">
      <c r="B221">
        <f>IF(STUDENTS!B220="","",STUDENTS!B220)</f>
        <v/>
      </c>
      <c r="C221">
        <f>IFERROR(IF(B221="","",_xlfn.XLOOKUP(B221,STUDENTS!$B$3:$B$1048576,STUDENTS!$C$3:$C$1048576)),"Enter a registered reg. no")</f>
        <v/>
      </c>
      <c r="D221">
        <f>IFERROR(IF(B221="","",_xlfn.XLOOKUP(B221,STUDENTS!B220:B100217,STUDENTS!D220:D100217)),"update STUDENT sheet")</f>
        <v/>
      </c>
      <c r="E221">
        <f>IFERROR(IF(C221="","",_xlfn.XLOOKUP(C221,STUDENTS!C220:C100217,STUDENTS!F220:F100217)),"update STUDENT sheet")</f>
        <v/>
      </c>
      <c r="F221">
        <f>IFERROR(IF(D221="","",_xlfn.XLOOKUP(D221,STUDENTS!D220:D100217,STUDENTS!G220:G100217)),"update STUDENT sheet")</f>
        <v/>
      </c>
      <c r="G221">
        <f>IFERROR(IF(E221="","",_xlfn.XLOOKUP(E221,STUDENTS!F220:F100217,STUDENTS!H220:H100217)),"update STUDENT sheet")</f>
        <v/>
      </c>
    </row>
    <row r="222">
      <c r="B222">
        <f>IF(STUDENTS!B221="","",STUDENTS!B221)</f>
        <v/>
      </c>
      <c r="C222">
        <f>IFERROR(IF(B222="","",_xlfn.XLOOKUP(B222,STUDENTS!$B$3:$B$1048576,STUDENTS!$C$3:$C$1048576)),"Enter a registered reg. no")</f>
        <v/>
      </c>
      <c r="D222">
        <f>IFERROR(IF(B222="","",_xlfn.XLOOKUP(B222,STUDENTS!B221:B100218,STUDENTS!D221:D100218)),"update STUDENT sheet")</f>
        <v/>
      </c>
      <c r="E222">
        <f>IFERROR(IF(C222="","",_xlfn.XLOOKUP(C222,STUDENTS!C221:C100218,STUDENTS!F221:F100218)),"update STUDENT sheet")</f>
        <v/>
      </c>
      <c r="F222">
        <f>IFERROR(IF(D222="","",_xlfn.XLOOKUP(D222,STUDENTS!D221:D100218,STUDENTS!G221:G100218)),"update STUDENT sheet")</f>
        <v/>
      </c>
      <c r="G222">
        <f>IFERROR(IF(E222="","",_xlfn.XLOOKUP(E222,STUDENTS!F221:F100218,STUDENTS!H221:H100218)),"update STUDENT sheet")</f>
        <v/>
      </c>
    </row>
    <row r="223">
      <c r="B223">
        <f>IF(STUDENTS!B222="","",STUDENTS!B222)</f>
        <v/>
      </c>
      <c r="C223">
        <f>IFERROR(IF(B223="","",_xlfn.XLOOKUP(B223,STUDENTS!$B$3:$B$1048576,STUDENTS!$C$3:$C$1048576)),"Enter a registered reg. no")</f>
        <v/>
      </c>
      <c r="D223">
        <f>IFERROR(IF(B223="","",_xlfn.XLOOKUP(B223,STUDENTS!B222:B100219,STUDENTS!D222:D100219)),"update STUDENT sheet")</f>
        <v/>
      </c>
      <c r="E223">
        <f>IFERROR(IF(C223="","",_xlfn.XLOOKUP(C223,STUDENTS!C222:C100219,STUDENTS!F222:F100219)),"update STUDENT sheet")</f>
        <v/>
      </c>
      <c r="F223">
        <f>IFERROR(IF(D223="","",_xlfn.XLOOKUP(D223,STUDENTS!D222:D100219,STUDENTS!G222:G100219)),"update STUDENT sheet")</f>
        <v/>
      </c>
      <c r="G223">
        <f>IFERROR(IF(E223="","",_xlfn.XLOOKUP(E223,STUDENTS!F222:F100219,STUDENTS!H222:H100219)),"update STUDENT sheet")</f>
        <v/>
      </c>
    </row>
    <row r="224">
      <c r="B224">
        <f>IF(STUDENTS!B223="","",STUDENTS!B223)</f>
        <v/>
      </c>
      <c r="C224">
        <f>IFERROR(IF(B224="","",_xlfn.XLOOKUP(B224,STUDENTS!$B$3:$B$1048576,STUDENTS!$C$3:$C$1048576)),"Enter a registered reg. no")</f>
        <v/>
      </c>
      <c r="D224">
        <f>IFERROR(IF(B224="","",_xlfn.XLOOKUP(B224,STUDENTS!B223:B100220,STUDENTS!D223:D100220)),"update STUDENT sheet")</f>
        <v/>
      </c>
      <c r="E224">
        <f>IFERROR(IF(C224="","",_xlfn.XLOOKUP(C224,STUDENTS!C223:C100220,STUDENTS!F223:F100220)),"update STUDENT sheet")</f>
        <v/>
      </c>
      <c r="F224">
        <f>IFERROR(IF(D224="","",_xlfn.XLOOKUP(D224,STUDENTS!D223:D100220,STUDENTS!G223:G100220)),"update STUDENT sheet")</f>
        <v/>
      </c>
      <c r="G224">
        <f>IFERROR(IF(E224="","",_xlfn.XLOOKUP(E224,STUDENTS!F223:F100220,STUDENTS!H223:H100220)),"update STUDENT sheet")</f>
        <v/>
      </c>
    </row>
    <row r="225">
      <c r="B225">
        <f>IF(STUDENTS!B224="","",STUDENTS!B224)</f>
        <v/>
      </c>
      <c r="C225">
        <f>IFERROR(IF(B225="","",_xlfn.XLOOKUP(B225,STUDENTS!$B$3:$B$1048576,STUDENTS!$C$3:$C$1048576)),"Enter a registered reg. no")</f>
        <v/>
      </c>
      <c r="D225">
        <f>IFERROR(IF(B225="","",_xlfn.XLOOKUP(B225,STUDENTS!B224:B100221,STUDENTS!D224:D100221)),"update STUDENT sheet")</f>
        <v/>
      </c>
      <c r="E225">
        <f>IFERROR(IF(C225="","",_xlfn.XLOOKUP(C225,STUDENTS!C224:C100221,STUDENTS!F224:F100221)),"update STUDENT sheet")</f>
        <v/>
      </c>
      <c r="F225">
        <f>IFERROR(IF(D225="","",_xlfn.XLOOKUP(D225,STUDENTS!D224:D100221,STUDENTS!G224:G100221)),"update STUDENT sheet")</f>
        <v/>
      </c>
      <c r="G225">
        <f>IFERROR(IF(E225="","",_xlfn.XLOOKUP(E225,STUDENTS!F224:F100221,STUDENTS!H224:H100221)),"update STUDENT sheet")</f>
        <v/>
      </c>
    </row>
    <row r="226">
      <c r="B226">
        <f>IF(STUDENTS!B225="","",STUDENTS!B225)</f>
        <v/>
      </c>
      <c r="C226">
        <f>IFERROR(IF(B226="","",_xlfn.XLOOKUP(B226,STUDENTS!$B$3:$B$1048576,STUDENTS!$C$3:$C$1048576)),"Enter a registered reg. no")</f>
        <v/>
      </c>
      <c r="D226">
        <f>IFERROR(IF(B226="","",_xlfn.XLOOKUP(B226,STUDENTS!B225:B100222,STUDENTS!D225:D100222)),"update STUDENT sheet")</f>
        <v/>
      </c>
      <c r="E226">
        <f>IFERROR(IF(C226="","",_xlfn.XLOOKUP(C226,STUDENTS!C225:C100222,STUDENTS!F225:F100222)),"update STUDENT sheet")</f>
        <v/>
      </c>
      <c r="F226">
        <f>IFERROR(IF(D226="","",_xlfn.XLOOKUP(D226,STUDENTS!D225:D100222,STUDENTS!G225:G100222)),"update STUDENT sheet")</f>
        <v/>
      </c>
      <c r="G226">
        <f>IFERROR(IF(E226="","",_xlfn.XLOOKUP(E226,STUDENTS!F225:F100222,STUDENTS!H225:H100222)),"update STUDENT sheet")</f>
        <v/>
      </c>
    </row>
    <row r="227">
      <c r="B227">
        <f>IF(STUDENTS!B226="","",STUDENTS!B226)</f>
        <v/>
      </c>
      <c r="C227">
        <f>IFERROR(IF(B227="","",_xlfn.XLOOKUP(B227,STUDENTS!$B$3:$B$1048576,STUDENTS!$C$3:$C$1048576)),"Enter a registered reg. no")</f>
        <v/>
      </c>
      <c r="D227">
        <f>IFERROR(IF(B227="","",_xlfn.XLOOKUP(B227,STUDENTS!B226:B100223,STUDENTS!D226:D100223)),"update STUDENT sheet")</f>
        <v/>
      </c>
      <c r="E227">
        <f>IFERROR(IF(C227="","",_xlfn.XLOOKUP(C227,STUDENTS!C226:C100223,STUDENTS!F226:F100223)),"update STUDENT sheet")</f>
        <v/>
      </c>
      <c r="F227">
        <f>IFERROR(IF(D227="","",_xlfn.XLOOKUP(D227,STUDENTS!D226:D100223,STUDENTS!G226:G100223)),"update STUDENT sheet")</f>
        <v/>
      </c>
      <c r="G227">
        <f>IFERROR(IF(E227="","",_xlfn.XLOOKUP(E227,STUDENTS!F226:F100223,STUDENTS!H226:H100223)),"update STUDENT sheet")</f>
        <v/>
      </c>
    </row>
    <row r="228">
      <c r="B228">
        <f>IF(STUDENTS!B227="","",STUDENTS!B227)</f>
        <v/>
      </c>
      <c r="C228">
        <f>IFERROR(IF(B228="","",_xlfn.XLOOKUP(B228,STUDENTS!$B$3:$B$1048576,STUDENTS!$C$3:$C$1048576)),"Enter a registered reg. no")</f>
        <v/>
      </c>
      <c r="D228">
        <f>IFERROR(IF(B228="","",_xlfn.XLOOKUP(B228,STUDENTS!B227:B100224,STUDENTS!D227:D100224)),"update STUDENT sheet")</f>
        <v/>
      </c>
      <c r="E228">
        <f>IFERROR(IF(C228="","",_xlfn.XLOOKUP(C228,STUDENTS!C227:C100224,STUDENTS!F227:F100224)),"update STUDENT sheet")</f>
        <v/>
      </c>
      <c r="F228">
        <f>IFERROR(IF(D228="","",_xlfn.XLOOKUP(D228,STUDENTS!D227:D100224,STUDENTS!G227:G100224)),"update STUDENT sheet")</f>
        <v/>
      </c>
      <c r="G228">
        <f>IFERROR(IF(E228="","",_xlfn.XLOOKUP(E228,STUDENTS!F227:F100224,STUDENTS!H227:H100224)),"update STUDENT sheet")</f>
        <v/>
      </c>
    </row>
    <row r="229">
      <c r="B229">
        <f>IF(STUDENTS!B228="","",STUDENTS!B228)</f>
        <v/>
      </c>
      <c r="C229">
        <f>IFERROR(IF(B229="","",_xlfn.XLOOKUP(B229,STUDENTS!$B$3:$B$1048576,STUDENTS!$C$3:$C$1048576)),"Enter a registered reg. no")</f>
        <v/>
      </c>
      <c r="D229">
        <f>IFERROR(IF(B229="","",_xlfn.XLOOKUP(B229,STUDENTS!B228:B100225,STUDENTS!D228:D100225)),"update STUDENT sheet")</f>
        <v/>
      </c>
      <c r="E229">
        <f>IFERROR(IF(C229="","",_xlfn.XLOOKUP(C229,STUDENTS!C228:C100225,STUDENTS!F228:F100225)),"update STUDENT sheet")</f>
        <v/>
      </c>
      <c r="F229">
        <f>IFERROR(IF(D229="","",_xlfn.XLOOKUP(D229,STUDENTS!D228:D100225,STUDENTS!G228:G100225)),"update STUDENT sheet")</f>
        <v/>
      </c>
      <c r="G229">
        <f>IFERROR(IF(E229="","",_xlfn.XLOOKUP(E229,STUDENTS!F228:F100225,STUDENTS!H228:H100225)),"update STUDENT sheet")</f>
        <v/>
      </c>
    </row>
    <row r="230">
      <c r="B230">
        <f>IF(STUDENTS!B229="","",STUDENTS!B229)</f>
        <v/>
      </c>
      <c r="C230">
        <f>IFERROR(IF(B230="","",_xlfn.XLOOKUP(B230,STUDENTS!$B$3:$B$1048576,STUDENTS!$C$3:$C$1048576)),"Enter a registered reg. no")</f>
        <v/>
      </c>
      <c r="D230">
        <f>IFERROR(IF(B230="","",_xlfn.XLOOKUP(B230,STUDENTS!B229:B100226,STUDENTS!D229:D100226)),"update STUDENT sheet")</f>
        <v/>
      </c>
      <c r="E230">
        <f>IFERROR(IF(C230="","",_xlfn.XLOOKUP(C230,STUDENTS!C229:C100226,STUDENTS!F229:F100226)),"update STUDENT sheet")</f>
        <v/>
      </c>
      <c r="F230">
        <f>IFERROR(IF(D230="","",_xlfn.XLOOKUP(D230,STUDENTS!D229:D100226,STUDENTS!G229:G100226)),"update STUDENT sheet")</f>
        <v/>
      </c>
      <c r="G230">
        <f>IFERROR(IF(E230="","",_xlfn.XLOOKUP(E230,STUDENTS!F229:F100226,STUDENTS!H229:H100226)),"update STUDENT sheet")</f>
        <v/>
      </c>
    </row>
    <row r="231">
      <c r="B231">
        <f>IF(STUDENTS!B230="","",STUDENTS!B230)</f>
        <v/>
      </c>
      <c r="C231">
        <f>IFERROR(IF(B231="","",_xlfn.XLOOKUP(B231,STUDENTS!$B$3:$B$1048576,STUDENTS!$C$3:$C$1048576)),"Enter a registered reg. no")</f>
        <v/>
      </c>
      <c r="D231">
        <f>IFERROR(IF(B231="","",_xlfn.XLOOKUP(B231,STUDENTS!B230:B100227,STUDENTS!D230:D100227)),"update STUDENT sheet")</f>
        <v/>
      </c>
      <c r="E231">
        <f>IFERROR(IF(C231="","",_xlfn.XLOOKUP(C231,STUDENTS!C230:C100227,STUDENTS!F230:F100227)),"update STUDENT sheet")</f>
        <v/>
      </c>
      <c r="F231">
        <f>IFERROR(IF(D231="","",_xlfn.XLOOKUP(D231,STUDENTS!D230:D100227,STUDENTS!G230:G100227)),"update STUDENT sheet")</f>
        <v/>
      </c>
      <c r="G231">
        <f>IFERROR(IF(E231="","",_xlfn.XLOOKUP(E231,STUDENTS!F230:F100227,STUDENTS!H230:H100227)),"update STUDENT sheet")</f>
        <v/>
      </c>
    </row>
    <row r="232">
      <c r="B232">
        <f>IF(STUDENTS!B231="","",STUDENTS!B231)</f>
        <v/>
      </c>
      <c r="C232">
        <f>IFERROR(IF(B232="","",_xlfn.XLOOKUP(B232,STUDENTS!$B$3:$B$1048576,STUDENTS!$C$3:$C$1048576)),"Enter a registered reg. no")</f>
        <v/>
      </c>
      <c r="D232">
        <f>IFERROR(IF(B232="","",_xlfn.XLOOKUP(B232,STUDENTS!B231:B100228,STUDENTS!D231:D100228)),"update STUDENT sheet")</f>
        <v/>
      </c>
      <c r="E232">
        <f>IFERROR(IF(C232="","",_xlfn.XLOOKUP(C232,STUDENTS!C231:C100228,STUDENTS!F231:F100228)),"update STUDENT sheet")</f>
        <v/>
      </c>
      <c r="F232">
        <f>IFERROR(IF(D232="","",_xlfn.XLOOKUP(D232,STUDENTS!D231:D100228,STUDENTS!G231:G100228)),"update STUDENT sheet")</f>
        <v/>
      </c>
      <c r="G232">
        <f>IFERROR(IF(E232="","",_xlfn.XLOOKUP(E232,STUDENTS!F231:F100228,STUDENTS!H231:H100228)),"update STUDENT sheet")</f>
        <v/>
      </c>
    </row>
    <row r="233">
      <c r="B233">
        <f>IF(STUDENTS!B232="","",STUDENTS!B232)</f>
        <v/>
      </c>
      <c r="C233">
        <f>IFERROR(IF(B233="","",_xlfn.XLOOKUP(B233,STUDENTS!$B$3:$B$1048576,STUDENTS!$C$3:$C$1048576)),"Enter a registered reg. no")</f>
        <v/>
      </c>
      <c r="D233">
        <f>IFERROR(IF(B233="","",_xlfn.XLOOKUP(B233,STUDENTS!B232:B100229,STUDENTS!D232:D100229)),"update STUDENT sheet")</f>
        <v/>
      </c>
      <c r="E233">
        <f>IFERROR(IF(C233="","",_xlfn.XLOOKUP(C233,STUDENTS!C232:C100229,STUDENTS!F232:F100229)),"update STUDENT sheet")</f>
        <v/>
      </c>
      <c r="F233">
        <f>IFERROR(IF(D233="","",_xlfn.XLOOKUP(D233,STUDENTS!D232:D100229,STUDENTS!G232:G100229)),"update STUDENT sheet")</f>
        <v/>
      </c>
      <c r="G233">
        <f>IFERROR(IF(E233="","",_xlfn.XLOOKUP(E233,STUDENTS!F232:F100229,STUDENTS!H232:H100229)),"update STUDENT sheet")</f>
        <v/>
      </c>
    </row>
    <row r="234">
      <c r="B234">
        <f>IF(STUDENTS!B233="","",STUDENTS!B233)</f>
        <v/>
      </c>
      <c r="C234">
        <f>IFERROR(IF(B234="","",_xlfn.XLOOKUP(B234,STUDENTS!$B$3:$B$1048576,STUDENTS!$C$3:$C$1048576)),"Enter a registered reg. no")</f>
        <v/>
      </c>
      <c r="D234">
        <f>IFERROR(IF(B234="","",_xlfn.XLOOKUP(B234,STUDENTS!B233:B100230,STUDENTS!D233:D100230)),"update STUDENT sheet")</f>
        <v/>
      </c>
      <c r="E234">
        <f>IFERROR(IF(C234="","",_xlfn.XLOOKUP(C234,STUDENTS!C233:C100230,STUDENTS!F233:F100230)),"update STUDENT sheet")</f>
        <v/>
      </c>
      <c r="F234">
        <f>IFERROR(IF(D234="","",_xlfn.XLOOKUP(D234,STUDENTS!D233:D100230,STUDENTS!G233:G100230)),"update STUDENT sheet")</f>
        <v/>
      </c>
      <c r="G234">
        <f>IFERROR(IF(E234="","",_xlfn.XLOOKUP(E234,STUDENTS!F233:F100230,STUDENTS!H233:H100230)),"update STUDENT sheet")</f>
        <v/>
      </c>
    </row>
    <row r="235">
      <c r="B235">
        <f>IF(STUDENTS!B234="","",STUDENTS!B234)</f>
        <v/>
      </c>
      <c r="C235">
        <f>IFERROR(IF(B235="","",_xlfn.XLOOKUP(B235,STUDENTS!$B$3:$B$1048576,STUDENTS!$C$3:$C$1048576)),"Enter a registered reg. no")</f>
        <v/>
      </c>
      <c r="D235">
        <f>IFERROR(IF(B235="","",_xlfn.XLOOKUP(B235,STUDENTS!B234:B100231,STUDENTS!D234:D100231)),"update STUDENT sheet")</f>
        <v/>
      </c>
      <c r="E235">
        <f>IFERROR(IF(C235="","",_xlfn.XLOOKUP(C235,STUDENTS!C234:C100231,STUDENTS!F234:F100231)),"update STUDENT sheet")</f>
        <v/>
      </c>
      <c r="F235">
        <f>IFERROR(IF(D235="","",_xlfn.XLOOKUP(D235,STUDENTS!D234:D100231,STUDENTS!G234:G100231)),"update STUDENT sheet")</f>
        <v/>
      </c>
      <c r="G235">
        <f>IFERROR(IF(E235="","",_xlfn.XLOOKUP(E235,STUDENTS!F234:F100231,STUDENTS!H234:H100231)),"update STUDENT sheet")</f>
        <v/>
      </c>
    </row>
    <row r="236">
      <c r="B236">
        <f>IF(STUDENTS!B235="","",STUDENTS!B235)</f>
        <v/>
      </c>
      <c r="C236">
        <f>IFERROR(IF(B236="","",_xlfn.XLOOKUP(B236,STUDENTS!$B$3:$B$1048576,STUDENTS!$C$3:$C$1048576)),"Enter a registered reg. no")</f>
        <v/>
      </c>
      <c r="D236">
        <f>IFERROR(IF(B236="","",_xlfn.XLOOKUP(B236,STUDENTS!B235:B100232,STUDENTS!D235:D100232)),"update STUDENT sheet")</f>
        <v/>
      </c>
      <c r="E236">
        <f>IFERROR(IF(C236="","",_xlfn.XLOOKUP(C236,STUDENTS!C235:C100232,STUDENTS!F235:F100232)),"update STUDENT sheet")</f>
        <v/>
      </c>
      <c r="F236">
        <f>IFERROR(IF(D236="","",_xlfn.XLOOKUP(D236,STUDENTS!D235:D100232,STUDENTS!G235:G100232)),"update STUDENT sheet")</f>
        <v/>
      </c>
      <c r="G236">
        <f>IFERROR(IF(E236="","",_xlfn.XLOOKUP(E236,STUDENTS!F235:F100232,STUDENTS!H235:H100232)),"update STUDENT sheet")</f>
        <v/>
      </c>
    </row>
    <row r="237">
      <c r="B237">
        <f>IF(STUDENTS!B236="","",STUDENTS!B236)</f>
        <v/>
      </c>
      <c r="C237">
        <f>IFERROR(IF(B237="","",_xlfn.XLOOKUP(B237,STUDENTS!$B$3:$B$1048576,STUDENTS!$C$3:$C$1048576)),"Enter a registered reg. no")</f>
        <v/>
      </c>
      <c r="D237">
        <f>IFERROR(IF(B237="","",_xlfn.XLOOKUP(B237,STUDENTS!B236:B100233,STUDENTS!D236:D100233)),"update STUDENT sheet")</f>
        <v/>
      </c>
      <c r="E237">
        <f>IFERROR(IF(C237="","",_xlfn.XLOOKUP(C237,STUDENTS!C236:C100233,STUDENTS!F236:F100233)),"update STUDENT sheet")</f>
        <v/>
      </c>
      <c r="F237">
        <f>IFERROR(IF(D237="","",_xlfn.XLOOKUP(D237,STUDENTS!D236:D100233,STUDENTS!G236:G100233)),"update STUDENT sheet")</f>
        <v/>
      </c>
      <c r="G237">
        <f>IFERROR(IF(E237="","",_xlfn.XLOOKUP(E237,STUDENTS!F236:F100233,STUDENTS!H236:H100233)),"update STUDENT sheet")</f>
        <v/>
      </c>
    </row>
    <row r="238">
      <c r="B238">
        <f>IF(STUDENTS!B237="","",STUDENTS!B237)</f>
        <v/>
      </c>
      <c r="C238">
        <f>IFERROR(IF(B238="","",_xlfn.XLOOKUP(B238,STUDENTS!$B$3:$B$1048576,STUDENTS!$C$3:$C$1048576)),"Enter a registered reg. no")</f>
        <v/>
      </c>
      <c r="D238">
        <f>IFERROR(IF(B238="","",_xlfn.XLOOKUP(B238,STUDENTS!B237:B100234,STUDENTS!D237:D100234)),"update STUDENT sheet")</f>
        <v/>
      </c>
      <c r="E238">
        <f>IFERROR(IF(C238="","",_xlfn.XLOOKUP(C238,STUDENTS!C237:C100234,STUDENTS!F237:F100234)),"update STUDENT sheet")</f>
        <v/>
      </c>
      <c r="F238">
        <f>IFERROR(IF(D238="","",_xlfn.XLOOKUP(D238,STUDENTS!D237:D100234,STUDENTS!G237:G100234)),"update STUDENT sheet")</f>
        <v/>
      </c>
      <c r="G238">
        <f>IFERROR(IF(E238="","",_xlfn.XLOOKUP(E238,STUDENTS!F237:F100234,STUDENTS!H237:H100234)),"update STUDENT sheet")</f>
        <v/>
      </c>
    </row>
    <row r="239">
      <c r="B239">
        <f>IF(STUDENTS!B238="","",STUDENTS!B238)</f>
        <v/>
      </c>
      <c r="C239">
        <f>IFERROR(IF(B239="","",_xlfn.XLOOKUP(B239,STUDENTS!$B$3:$B$1048576,STUDENTS!$C$3:$C$1048576)),"Enter a registered reg. no")</f>
        <v/>
      </c>
      <c r="D239">
        <f>IFERROR(IF(B239="","",_xlfn.XLOOKUP(B239,STUDENTS!B238:B100235,STUDENTS!D238:D100235)),"update STUDENT sheet")</f>
        <v/>
      </c>
      <c r="E239">
        <f>IFERROR(IF(C239="","",_xlfn.XLOOKUP(C239,STUDENTS!C238:C100235,STUDENTS!F238:F100235)),"update STUDENT sheet")</f>
        <v/>
      </c>
      <c r="F239">
        <f>IFERROR(IF(D239="","",_xlfn.XLOOKUP(D239,STUDENTS!D238:D100235,STUDENTS!G238:G100235)),"update STUDENT sheet")</f>
        <v/>
      </c>
      <c r="G239">
        <f>IFERROR(IF(E239="","",_xlfn.XLOOKUP(E239,STUDENTS!F238:F100235,STUDENTS!H238:H100235)),"update STUDENT sheet")</f>
        <v/>
      </c>
    </row>
    <row r="240">
      <c r="B240">
        <f>IF(STUDENTS!B239="","",STUDENTS!B239)</f>
        <v/>
      </c>
      <c r="C240">
        <f>IFERROR(IF(B240="","",_xlfn.XLOOKUP(B240,STUDENTS!$B$3:$B$1048576,STUDENTS!$C$3:$C$1048576)),"Enter a registered reg. no")</f>
        <v/>
      </c>
      <c r="D240">
        <f>IFERROR(IF(B240="","",_xlfn.XLOOKUP(B240,STUDENTS!B239:B100236,STUDENTS!D239:D100236)),"update STUDENT sheet")</f>
        <v/>
      </c>
      <c r="E240">
        <f>IFERROR(IF(C240="","",_xlfn.XLOOKUP(C240,STUDENTS!C239:C100236,STUDENTS!F239:F100236)),"update STUDENT sheet")</f>
        <v/>
      </c>
      <c r="F240">
        <f>IFERROR(IF(D240="","",_xlfn.XLOOKUP(D240,STUDENTS!D239:D100236,STUDENTS!G239:G100236)),"update STUDENT sheet")</f>
        <v/>
      </c>
      <c r="G240">
        <f>IFERROR(IF(E240="","",_xlfn.XLOOKUP(E240,STUDENTS!F239:F100236,STUDENTS!H239:H100236)),"update STUDENT sheet")</f>
        <v/>
      </c>
    </row>
    <row r="241">
      <c r="B241">
        <f>IF(STUDENTS!B240="","",STUDENTS!B240)</f>
        <v/>
      </c>
      <c r="C241">
        <f>IFERROR(IF(B241="","",_xlfn.XLOOKUP(B241,STUDENTS!$B$3:$B$1048576,STUDENTS!$C$3:$C$1048576)),"Enter a registered reg. no")</f>
        <v/>
      </c>
      <c r="D241">
        <f>IFERROR(IF(B241="","",_xlfn.XLOOKUP(B241,STUDENTS!B240:B100237,STUDENTS!D240:D100237)),"update STUDENT sheet")</f>
        <v/>
      </c>
      <c r="E241">
        <f>IFERROR(IF(C241="","",_xlfn.XLOOKUP(C241,STUDENTS!C240:C100237,STUDENTS!F240:F100237)),"update STUDENT sheet")</f>
        <v/>
      </c>
      <c r="F241">
        <f>IFERROR(IF(D241="","",_xlfn.XLOOKUP(D241,STUDENTS!D240:D100237,STUDENTS!G240:G100237)),"update STUDENT sheet")</f>
        <v/>
      </c>
      <c r="G241">
        <f>IFERROR(IF(E241="","",_xlfn.XLOOKUP(E241,STUDENTS!F240:F100237,STUDENTS!H240:H100237)),"update STUDENT sheet")</f>
        <v/>
      </c>
    </row>
    <row r="242">
      <c r="B242">
        <f>IF(STUDENTS!B241="","",STUDENTS!B241)</f>
        <v/>
      </c>
      <c r="C242">
        <f>IFERROR(IF(B242="","",_xlfn.XLOOKUP(B242,STUDENTS!$B$3:$B$1048576,STUDENTS!$C$3:$C$1048576)),"Enter a registered reg. no")</f>
        <v/>
      </c>
      <c r="D242">
        <f>IFERROR(IF(B242="","",_xlfn.XLOOKUP(B242,STUDENTS!B241:B100238,STUDENTS!D241:D100238)),"update STUDENT sheet")</f>
        <v/>
      </c>
      <c r="E242">
        <f>IFERROR(IF(C242="","",_xlfn.XLOOKUP(C242,STUDENTS!C241:C100238,STUDENTS!F241:F100238)),"update STUDENT sheet")</f>
        <v/>
      </c>
      <c r="F242">
        <f>IFERROR(IF(D242="","",_xlfn.XLOOKUP(D242,STUDENTS!D241:D100238,STUDENTS!G241:G100238)),"update STUDENT sheet")</f>
        <v/>
      </c>
      <c r="G242">
        <f>IFERROR(IF(E242="","",_xlfn.XLOOKUP(E242,STUDENTS!F241:F100238,STUDENTS!H241:H100238)),"update STUDENT sheet")</f>
        <v/>
      </c>
    </row>
    <row r="243">
      <c r="B243">
        <f>IF(STUDENTS!B242="","",STUDENTS!B242)</f>
        <v/>
      </c>
      <c r="C243">
        <f>IFERROR(IF(B243="","",_xlfn.XLOOKUP(B243,STUDENTS!$B$3:$B$1048576,STUDENTS!$C$3:$C$1048576)),"Enter a registered reg. no")</f>
        <v/>
      </c>
      <c r="D243">
        <f>IFERROR(IF(B243="","",_xlfn.XLOOKUP(B243,STUDENTS!B242:B100239,STUDENTS!D242:D100239)),"update STUDENT sheet")</f>
        <v/>
      </c>
      <c r="E243">
        <f>IFERROR(IF(C243="","",_xlfn.XLOOKUP(C243,STUDENTS!C242:C100239,STUDENTS!F242:F100239)),"update STUDENT sheet")</f>
        <v/>
      </c>
      <c r="F243">
        <f>IFERROR(IF(D243="","",_xlfn.XLOOKUP(D243,STUDENTS!D242:D100239,STUDENTS!G242:G100239)),"update STUDENT sheet")</f>
        <v/>
      </c>
      <c r="G243">
        <f>IFERROR(IF(E243="","",_xlfn.XLOOKUP(E243,STUDENTS!F242:F100239,STUDENTS!H242:H100239)),"update STUDENT sheet")</f>
        <v/>
      </c>
    </row>
    <row r="244">
      <c r="B244">
        <f>IF(STUDENTS!B243="","",STUDENTS!B243)</f>
        <v/>
      </c>
      <c r="C244">
        <f>IFERROR(IF(B244="","",_xlfn.XLOOKUP(B244,STUDENTS!$B$3:$B$1048576,STUDENTS!$C$3:$C$1048576)),"Enter a registered reg. no")</f>
        <v/>
      </c>
      <c r="D244">
        <f>IFERROR(IF(B244="","",_xlfn.XLOOKUP(B244,STUDENTS!B243:B100240,STUDENTS!D243:D100240)),"update STUDENT sheet")</f>
        <v/>
      </c>
      <c r="E244">
        <f>IFERROR(IF(C244="","",_xlfn.XLOOKUP(C244,STUDENTS!C243:C100240,STUDENTS!F243:F100240)),"update STUDENT sheet")</f>
        <v/>
      </c>
      <c r="F244">
        <f>IFERROR(IF(D244="","",_xlfn.XLOOKUP(D244,STUDENTS!D243:D100240,STUDENTS!G243:G100240)),"update STUDENT sheet")</f>
        <v/>
      </c>
      <c r="G244">
        <f>IFERROR(IF(E244="","",_xlfn.XLOOKUP(E244,STUDENTS!F243:F100240,STUDENTS!H243:H100240)),"update STUDENT sheet")</f>
        <v/>
      </c>
    </row>
    <row r="245">
      <c r="B245">
        <f>IF(STUDENTS!B244="","",STUDENTS!B244)</f>
        <v/>
      </c>
      <c r="C245">
        <f>IFERROR(IF(B245="","",_xlfn.XLOOKUP(B245,STUDENTS!$B$3:$B$1048576,STUDENTS!$C$3:$C$1048576)),"Enter a registered reg. no")</f>
        <v/>
      </c>
      <c r="D245">
        <f>IFERROR(IF(B245="","",_xlfn.XLOOKUP(B245,STUDENTS!B244:B100241,STUDENTS!D244:D100241)),"update STUDENT sheet")</f>
        <v/>
      </c>
      <c r="E245">
        <f>IFERROR(IF(C245="","",_xlfn.XLOOKUP(C245,STUDENTS!C244:C100241,STUDENTS!F244:F100241)),"update STUDENT sheet")</f>
        <v/>
      </c>
      <c r="F245">
        <f>IFERROR(IF(D245="","",_xlfn.XLOOKUP(D245,STUDENTS!D244:D100241,STUDENTS!G244:G100241)),"update STUDENT sheet")</f>
        <v/>
      </c>
      <c r="G245">
        <f>IFERROR(IF(E245="","",_xlfn.XLOOKUP(E245,STUDENTS!F244:F100241,STUDENTS!H244:H100241)),"update STUDENT sheet")</f>
        <v/>
      </c>
    </row>
    <row r="246">
      <c r="B246">
        <f>IF(STUDENTS!B245="","",STUDENTS!B245)</f>
        <v/>
      </c>
      <c r="C246">
        <f>IFERROR(IF(B246="","",_xlfn.XLOOKUP(B246,STUDENTS!$B$3:$B$1048576,STUDENTS!$C$3:$C$1048576)),"Enter a registered reg. no")</f>
        <v/>
      </c>
      <c r="D246">
        <f>IFERROR(IF(B246="","",_xlfn.XLOOKUP(B246,STUDENTS!B245:B100242,STUDENTS!D245:D100242)),"update STUDENT sheet")</f>
        <v/>
      </c>
      <c r="E246">
        <f>IFERROR(IF(C246="","",_xlfn.XLOOKUP(C246,STUDENTS!C245:C100242,STUDENTS!F245:F100242)),"update STUDENT sheet")</f>
        <v/>
      </c>
      <c r="F246">
        <f>IFERROR(IF(D246="","",_xlfn.XLOOKUP(D246,STUDENTS!D245:D100242,STUDENTS!G245:G100242)),"update STUDENT sheet")</f>
        <v/>
      </c>
      <c r="G246">
        <f>IFERROR(IF(E246="","",_xlfn.XLOOKUP(E246,STUDENTS!F245:F100242,STUDENTS!H245:H100242)),"update STUDENT sheet")</f>
        <v/>
      </c>
    </row>
    <row r="247">
      <c r="B247">
        <f>IF(STUDENTS!B246="","",STUDENTS!B246)</f>
        <v/>
      </c>
      <c r="C247">
        <f>IFERROR(IF(B247="","",_xlfn.XLOOKUP(B247,STUDENTS!$B$3:$B$1048576,STUDENTS!$C$3:$C$1048576)),"Enter a registered reg. no")</f>
        <v/>
      </c>
      <c r="D247">
        <f>IFERROR(IF(B247="","",_xlfn.XLOOKUP(B247,STUDENTS!B246:B100243,STUDENTS!D246:D100243)),"update STUDENT sheet")</f>
        <v/>
      </c>
      <c r="E247">
        <f>IFERROR(IF(C247="","",_xlfn.XLOOKUP(C247,STUDENTS!C246:C100243,STUDENTS!F246:F100243)),"update STUDENT sheet")</f>
        <v/>
      </c>
      <c r="F247">
        <f>IFERROR(IF(D247="","",_xlfn.XLOOKUP(D247,STUDENTS!D246:D100243,STUDENTS!G246:G100243)),"update STUDENT sheet")</f>
        <v/>
      </c>
      <c r="G247">
        <f>IFERROR(IF(E247="","",_xlfn.XLOOKUP(E247,STUDENTS!F246:F100243,STUDENTS!H246:H100243)),"update STUDENT sheet")</f>
        <v/>
      </c>
    </row>
    <row r="248">
      <c r="B248">
        <f>IF(STUDENTS!B247="","",STUDENTS!B247)</f>
        <v/>
      </c>
      <c r="C248">
        <f>IFERROR(IF(B248="","",_xlfn.XLOOKUP(B248,STUDENTS!$B$3:$B$1048576,STUDENTS!$C$3:$C$1048576)),"Enter a registered reg. no")</f>
        <v/>
      </c>
      <c r="D248">
        <f>IFERROR(IF(B248="","",_xlfn.XLOOKUP(B248,STUDENTS!B247:B100244,STUDENTS!D247:D100244)),"update STUDENT sheet")</f>
        <v/>
      </c>
      <c r="E248">
        <f>IFERROR(IF(C248="","",_xlfn.XLOOKUP(C248,STUDENTS!C247:C100244,STUDENTS!F247:F100244)),"update STUDENT sheet")</f>
        <v/>
      </c>
      <c r="F248">
        <f>IFERROR(IF(D248="","",_xlfn.XLOOKUP(D248,STUDENTS!D247:D100244,STUDENTS!G247:G100244)),"update STUDENT sheet")</f>
        <v/>
      </c>
      <c r="G248">
        <f>IFERROR(IF(E248="","",_xlfn.XLOOKUP(E248,STUDENTS!F247:F100244,STUDENTS!H247:H100244)),"update STUDENT sheet")</f>
        <v/>
      </c>
    </row>
    <row r="249">
      <c r="B249">
        <f>IF(STUDENTS!B248="","",STUDENTS!B248)</f>
        <v/>
      </c>
      <c r="C249">
        <f>IFERROR(IF(B249="","",_xlfn.XLOOKUP(B249,STUDENTS!$B$3:$B$1048576,STUDENTS!$C$3:$C$1048576)),"Enter a registered reg. no")</f>
        <v/>
      </c>
      <c r="D249">
        <f>IFERROR(IF(B249="","",_xlfn.XLOOKUP(B249,STUDENTS!B248:B100245,STUDENTS!D248:D100245)),"update STUDENT sheet")</f>
        <v/>
      </c>
      <c r="E249">
        <f>IFERROR(IF(C249="","",_xlfn.XLOOKUP(C249,STUDENTS!C248:C100245,STUDENTS!F248:F100245)),"update STUDENT sheet")</f>
        <v/>
      </c>
      <c r="F249">
        <f>IFERROR(IF(D249="","",_xlfn.XLOOKUP(D249,STUDENTS!D248:D100245,STUDENTS!G248:G100245)),"update STUDENT sheet")</f>
        <v/>
      </c>
      <c r="G249">
        <f>IFERROR(IF(E249="","",_xlfn.XLOOKUP(E249,STUDENTS!F248:F100245,STUDENTS!H248:H100245)),"update STUDENT sheet")</f>
        <v/>
      </c>
    </row>
    <row r="250">
      <c r="B250">
        <f>IF(STUDENTS!B249="","",STUDENTS!B249)</f>
        <v/>
      </c>
      <c r="C250">
        <f>IFERROR(IF(B250="","",_xlfn.XLOOKUP(B250,STUDENTS!$B$3:$B$1048576,STUDENTS!$C$3:$C$1048576)),"Enter a registered reg. no")</f>
        <v/>
      </c>
      <c r="D250">
        <f>IFERROR(IF(B250="","",_xlfn.XLOOKUP(B250,STUDENTS!B249:B100246,STUDENTS!D249:D100246)),"update STUDENT sheet")</f>
        <v/>
      </c>
      <c r="E250">
        <f>IFERROR(IF(C250="","",_xlfn.XLOOKUP(C250,STUDENTS!C249:C100246,STUDENTS!F249:F100246)),"update STUDENT sheet")</f>
        <v/>
      </c>
      <c r="F250">
        <f>IFERROR(IF(D250="","",_xlfn.XLOOKUP(D250,STUDENTS!D249:D100246,STUDENTS!G249:G100246)),"update STUDENT sheet")</f>
        <v/>
      </c>
      <c r="G250">
        <f>IFERROR(IF(E250="","",_xlfn.XLOOKUP(E250,STUDENTS!F249:F100246,STUDENTS!H249:H100246)),"update STUDENT sheet")</f>
        <v/>
      </c>
    </row>
    <row r="251">
      <c r="B251">
        <f>IF(STUDENTS!B250="","",STUDENTS!B250)</f>
        <v/>
      </c>
      <c r="C251">
        <f>IFERROR(IF(B251="","",_xlfn.XLOOKUP(B251,STUDENTS!$B$3:$B$1048576,STUDENTS!$C$3:$C$1048576)),"Enter a registered reg. no")</f>
        <v/>
      </c>
      <c r="D251">
        <f>IFERROR(IF(B251="","",_xlfn.XLOOKUP(B251,STUDENTS!B250:B100247,STUDENTS!D250:D100247)),"update STUDENT sheet")</f>
        <v/>
      </c>
      <c r="E251">
        <f>IFERROR(IF(C251="","",_xlfn.XLOOKUP(C251,STUDENTS!C250:C100247,STUDENTS!F250:F100247)),"update STUDENT sheet")</f>
        <v/>
      </c>
      <c r="F251">
        <f>IFERROR(IF(D251="","",_xlfn.XLOOKUP(D251,STUDENTS!D250:D100247,STUDENTS!G250:G100247)),"update STUDENT sheet")</f>
        <v/>
      </c>
      <c r="G251">
        <f>IFERROR(IF(E251="","",_xlfn.XLOOKUP(E251,STUDENTS!F250:F100247,STUDENTS!H250:H100247)),"update STUDENT sheet")</f>
        <v/>
      </c>
    </row>
    <row r="252">
      <c r="B252">
        <f>IF(STUDENTS!B251="","",STUDENTS!B251)</f>
        <v/>
      </c>
      <c r="C252">
        <f>IFERROR(IF(B252="","",_xlfn.XLOOKUP(B252,STUDENTS!$B$3:$B$1048576,STUDENTS!$C$3:$C$1048576)),"Enter a registered reg. no")</f>
        <v/>
      </c>
      <c r="D252">
        <f>IFERROR(IF(B252="","",_xlfn.XLOOKUP(B252,STUDENTS!B251:B100248,STUDENTS!D251:D100248)),"update STUDENT sheet")</f>
        <v/>
      </c>
      <c r="E252">
        <f>IFERROR(IF(C252="","",_xlfn.XLOOKUP(C252,STUDENTS!C251:C100248,STUDENTS!F251:F100248)),"update STUDENT sheet")</f>
        <v/>
      </c>
      <c r="F252">
        <f>IFERROR(IF(D252="","",_xlfn.XLOOKUP(D252,STUDENTS!D251:D100248,STUDENTS!G251:G100248)),"update STUDENT sheet")</f>
        <v/>
      </c>
      <c r="G252">
        <f>IFERROR(IF(E252="","",_xlfn.XLOOKUP(E252,STUDENTS!F251:F100248,STUDENTS!H251:H100248)),"update STUDENT sheet")</f>
        <v/>
      </c>
    </row>
    <row r="253">
      <c r="B253">
        <f>IF(STUDENTS!B252="","",STUDENTS!B252)</f>
        <v/>
      </c>
      <c r="C253">
        <f>IFERROR(IF(B253="","",_xlfn.XLOOKUP(B253,STUDENTS!$B$3:$B$1048576,STUDENTS!$C$3:$C$1048576)),"Enter a registered reg. no")</f>
        <v/>
      </c>
      <c r="D253">
        <f>IFERROR(IF(B253="","",_xlfn.XLOOKUP(B253,STUDENTS!B252:B100249,STUDENTS!D252:D100249)),"update STUDENT sheet")</f>
        <v/>
      </c>
      <c r="E253">
        <f>IFERROR(IF(C253="","",_xlfn.XLOOKUP(C253,STUDENTS!C252:C100249,STUDENTS!F252:F100249)),"update STUDENT sheet")</f>
        <v/>
      </c>
      <c r="F253">
        <f>IFERROR(IF(D253="","",_xlfn.XLOOKUP(D253,STUDENTS!D252:D100249,STUDENTS!G252:G100249)),"update STUDENT sheet")</f>
        <v/>
      </c>
      <c r="G253">
        <f>IFERROR(IF(E253="","",_xlfn.XLOOKUP(E253,STUDENTS!F252:F100249,STUDENTS!H252:H100249)),"update STUDENT sheet")</f>
        <v/>
      </c>
    </row>
    <row r="254">
      <c r="B254">
        <f>IF(STUDENTS!B253="","",STUDENTS!B253)</f>
        <v/>
      </c>
      <c r="C254">
        <f>IFERROR(IF(B254="","",_xlfn.XLOOKUP(B254,STUDENTS!$B$3:$B$1048576,STUDENTS!$C$3:$C$1048576)),"Enter a registered reg. no")</f>
        <v/>
      </c>
      <c r="D254">
        <f>IFERROR(IF(B254="","",_xlfn.XLOOKUP(B254,STUDENTS!B253:B100250,STUDENTS!D253:D100250)),"update STUDENT sheet")</f>
        <v/>
      </c>
      <c r="E254">
        <f>IFERROR(IF(C254="","",_xlfn.XLOOKUP(C254,STUDENTS!C253:C100250,STUDENTS!F253:F100250)),"update STUDENT sheet")</f>
        <v/>
      </c>
      <c r="F254">
        <f>IFERROR(IF(D254="","",_xlfn.XLOOKUP(D254,STUDENTS!D253:D100250,STUDENTS!G253:G100250)),"update STUDENT sheet")</f>
        <v/>
      </c>
      <c r="G254">
        <f>IFERROR(IF(E254="","",_xlfn.XLOOKUP(E254,STUDENTS!F253:F100250,STUDENTS!H253:H100250)),"update STUDENT sheet")</f>
        <v/>
      </c>
    </row>
    <row r="255">
      <c r="B255">
        <f>IF(STUDENTS!B254="","",STUDENTS!B254)</f>
        <v/>
      </c>
      <c r="C255">
        <f>IFERROR(IF(B255="","",_xlfn.XLOOKUP(B255,STUDENTS!$B$3:$B$1048576,STUDENTS!$C$3:$C$1048576)),"Enter a registered reg. no")</f>
        <v/>
      </c>
      <c r="D255">
        <f>IFERROR(IF(B255="","",_xlfn.XLOOKUP(B255,STUDENTS!B254:B100251,STUDENTS!D254:D100251)),"update STUDENT sheet")</f>
        <v/>
      </c>
      <c r="E255">
        <f>IFERROR(IF(C255="","",_xlfn.XLOOKUP(C255,STUDENTS!C254:C100251,STUDENTS!F254:F100251)),"update STUDENT sheet")</f>
        <v/>
      </c>
      <c r="F255">
        <f>IFERROR(IF(D255="","",_xlfn.XLOOKUP(D255,STUDENTS!D254:D100251,STUDENTS!G254:G100251)),"update STUDENT sheet")</f>
        <v/>
      </c>
      <c r="G255">
        <f>IFERROR(IF(E255="","",_xlfn.XLOOKUP(E255,STUDENTS!F254:F100251,STUDENTS!H254:H100251)),"update STUDENT sheet")</f>
        <v/>
      </c>
    </row>
    <row r="256">
      <c r="B256">
        <f>IF(STUDENTS!B255="","",STUDENTS!B255)</f>
        <v/>
      </c>
      <c r="C256">
        <f>IFERROR(IF(B256="","",_xlfn.XLOOKUP(B256,STUDENTS!$B$3:$B$1048576,STUDENTS!$C$3:$C$1048576)),"Enter a registered reg. no")</f>
        <v/>
      </c>
      <c r="D256">
        <f>IFERROR(IF(B256="","",_xlfn.XLOOKUP(B256,STUDENTS!B255:B100252,STUDENTS!D255:D100252)),"update STUDENT sheet")</f>
        <v/>
      </c>
      <c r="E256">
        <f>IFERROR(IF(C256="","",_xlfn.XLOOKUP(C256,STUDENTS!C255:C100252,STUDENTS!F255:F100252)),"update STUDENT sheet")</f>
        <v/>
      </c>
      <c r="F256">
        <f>IFERROR(IF(D256="","",_xlfn.XLOOKUP(D256,STUDENTS!D255:D100252,STUDENTS!G255:G100252)),"update STUDENT sheet")</f>
        <v/>
      </c>
      <c r="G256">
        <f>IFERROR(IF(E256="","",_xlfn.XLOOKUP(E256,STUDENTS!F255:F100252,STUDENTS!H255:H100252)),"update STUDENT sheet")</f>
        <v/>
      </c>
    </row>
    <row r="257">
      <c r="B257">
        <f>IF(STUDENTS!B256="","",STUDENTS!B256)</f>
        <v/>
      </c>
      <c r="C257">
        <f>IFERROR(IF(B257="","",_xlfn.XLOOKUP(B257,STUDENTS!$B$3:$B$1048576,STUDENTS!$C$3:$C$1048576)),"Enter a registered reg. no")</f>
        <v/>
      </c>
      <c r="D257">
        <f>IFERROR(IF(B257="","",_xlfn.XLOOKUP(B257,STUDENTS!B256:B100253,STUDENTS!D256:D100253)),"update STUDENT sheet")</f>
        <v/>
      </c>
      <c r="E257">
        <f>IFERROR(IF(C257="","",_xlfn.XLOOKUP(C257,STUDENTS!C256:C100253,STUDENTS!F256:F100253)),"update STUDENT sheet")</f>
        <v/>
      </c>
      <c r="F257">
        <f>IFERROR(IF(D257="","",_xlfn.XLOOKUP(D257,STUDENTS!D256:D100253,STUDENTS!G256:G100253)),"update STUDENT sheet")</f>
        <v/>
      </c>
      <c r="G257">
        <f>IFERROR(IF(E257="","",_xlfn.XLOOKUP(E257,STUDENTS!F256:F100253,STUDENTS!H256:H100253)),"update STUDENT sheet")</f>
        <v/>
      </c>
    </row>
    <row r="258">
      <c r="B258">
        <f>IF(STUDENTS!B257="","",STUDENTS!B257)</f>
        <v/>
      </c>
      <c r="C258">
        <f>IFERROR(IF(B258="","",_xlfn.XLOOKUP(B258,STUDENTS!$B$3:$B$1048576,STUDENTS!$C$3:$C$1048576)),"Enter a registered reg. no")</f>
        <v/>
      </c>
      <c r="D258">
        <f>IFERROR(IF(B258="","",_xlfn.XLOOKUP(B258,STUDENTS!B257:B100254,STUDENTS!D257:D100254)),"update STUDENT sheet")</f>
        <v/>
      </c>
      <c r="E258">
        <f>IFERROR(IF(C258="","",_xlfn.XLOOKUP(C258,STUDENTS!C257:C100254,STUDENTS!F257:F100254)),"update STUDENT sheet")</f>
        <v/>
      </c>
      <c r="F258">
        <f>IFERROR(IF(D258="","",_xlfn.XLOOKUP(D258,STUDENTS!D257:D100254,STUDENTS!G257:G100254)),"update STUDENT sheet")</f>
        <v/>
      </c>
      <c r="G258">
        <f>IFERROR(IF(E258="","",_xlfn.XLOOKUP(E258,STUDENTS!F257:F100254,STUDENTS!H257:H100254)),"update STUDENT sheet")</f>
        <v/>
      </c>
    </row>
    <row r="259">
      <c r="B259">
        <f>IF(STUDENTS!B258="","",STUDENTS!B258)</f>
        <v/>
      </c>
      <c r="C259">
        <f>IFERROR(IF(B259="","",_xlfn.XLOOKUP(B259,STUDENTS!$B$3:$B$1048576,STUDENTS!$C$3:$C$1048576)),"Enter a registered reg. no")</f>
        <v/>
      </c>
      <c r="D259">
        <f>IFERROR(IF(B259="","",_xlfn.XLOOKUP(B259,STUDENTS!B258:B100255,STUDENTS!D258:D100255)),"update STUDENT sheet")</f>
        <v/>
      </c>
      <c r="E259">
        <f>IFERROR(IF(C259="","",_xlfn.XLOOKUP(C259,STUDENTS!C258:C100255,STUDENTS!F258:F100255)),"update STUDENT sheet")</f>
        <v/>
      </c>
      <c r="F259">
        <f>IFERROR(IF(D259="","",_xlfn.XLOOKUP(D259,STUDENTS!D258:D100255,STUDENTS!G258:G100255)),"update STUDENT sheet")</f>
        <v/>
      </c>
      <c r="G259">
        <f>IFERROR(IF(E259="","",_xlfn.XLOOKUP(E259,STUDENTS!F258:F100255,STUDENTS!H258:H100255)),"update STUDENT sheet")</f>
        <v/>
      </c>
    </row>
    <row r="260">
      <c r="B260">
        <f>IF(STUDENTS!B259="","",STUDENTS!B259)</f>
        <v/>
      </c>
      <c r="C260">
        <f>IFERROR(IF(B260="","",_xlfn.XLOOKUP(B260,STUDENTS!$B$3:$B$1048576,STUDENTS!$C$3:$C$1048576)),"Enter a registered reg. no")</f>
        <v/>
      </c>
      <c r="D260">
        <f>IFERROR(IF(B260="","",_xlfn.XLOOKUP(B260,STUDENTS!B259:B100256,STUDENTS!D259:D100256)),"update STUDENT sheet")</f>
        <v/>
      </c>
      <c r="E260">
        <f>IFERROR(IF(C260="","",_xlfn.XLOOKUP(C260,STUDENTS!C259:C100256,STUDENTS!F259:F100256)),"update STUDENT sheet")</f>
        <v/>
      </c>
      <c r="F260">
        <f>IFERROR(IF(D260="","",_xlfn.XLOOKUP(D260,STUDENTS!D259:D100256,STUDENTS!G259:G100256)),"update STUDENT sheet")</f>
        <v/>
      </c>
      <c r="G260">
        <f>IFERROR(IF(E260="","",_xlfn.XLOOKUP(E260,STUDENTS!F259:F100256,STUDENTS!H259:H100256)),"update STUDENT sheet")</f>
        <v/>
      </c>
    </row>
    <row r="261">
      <c r="B261">
        <f>IF(STUDENTS!B260="","",STUDENTS!B260)</f>
        <v/>
      </c>
      <c r="C261">
        <f>IFERROR(IF(B261="","",_xlfn.XLOOKUP(B261,STUDENTS!$B$3:$B$1048576,STUDENTS!$C$3:$C$1048576)),"Enter a registered reg. no")</f>
        <v/>
      </c>
      <c r="D261">
        <f>IFERROR(IF(B261="","",_xlfn.XLOOKUP(B261,STUDENTS!B260:B100257,STUDENTS!D260:D100257)),"update STUDENT sheet")</f>
        <v/>
      </c>
      <c r="E261">
        <f>IFERROR(IF(C261="","",_xlfn.XLOOKUP(C261,STUDENTS!C260:C100257,STUDENTS!F260:F100257)),"update STUDENT sheet")</f>
        <v/>
      </c>
      <c r="F261">
        <f>IFERROR(IF(D261="","",_xlfn.XLOOKUP(D261,STUDENTS!D260:D100257,STUDENTS!G260:G100257)),"update STUDENT sheet")</f>
        <v/>
      </c>
      <c r="G261">
        <f>IFERROR(IF(E261="","",_xlfn.XLOOKUP(E261,STUDENTS!F260:F100257,STUDENTS!H260:H100257)),"update STUDENT sheet")</f>
        <v/>
      </c>
    </row>
    <row r="262">
      <c r="B262">
        <f>IF(STUDENTS!B261="","",STUDENTS!B261)</f>
        <v/>
      </c>
      <c r="C262">
        <f>IFERROR(IF(B262="","",_xlfn.XLOOKUP(B262,STUDENTS!$B$3:$B$1048576,STUDENTS!$C$3:$C$1048576)),"Enter a registered reg. no")</f>
        <v/>
      </c>
      <c r="D262">
        <f>IFERROR(IF(B262="","",_xlfn.XLOOKUP(B262,STUDENTS!B261:B100258,STUDENTS!D261:D100258)),"update STUDENT sheet")</f>
        <v/>
      </c>
      <c r="E262">
        <f>IFERROR(IF(C262="","",_xlfn.XLOOKUP(C262,STUDENTS!C261:C100258,STUDENTS!F261:F100258)),"update STUDENT sheet")</f>
        <v/>
      </c>
      <c r="F262">
        <f>IFERROR(IF(D262="","",_xlfn.XLOOKUP(D262,STUDENTS!D261:D100258,STUDENTS!G261:G100258)),"update STUDENT sheet")</f>
        <v/>
      </c>
      <c r="G262">
        <f>IFERROR(IF(E262="","",_xlfn.XLOOKUP(E262,STUDENTS!F261:F100258,STUDENTS!H261:H100258)),"update STUDENT sheet")</f>
        <v/>
      </c>
    </row>
    <row r="263">
      <c r="B263">
        <f>IF(STUDENTS!B262="","",STUDENTS!B262)</f>
        <v/>
      </c>
      <c r="C263">
        <f>IFERROR(IF(B263="","",_xlfn.XLOOKUP(B263,STUDENTS!$B$3:$B$1048576,STUDENTS!$C$3:$C$1048576)),"Enter a registered reg. no")</f>
        <v/>
      </c>
      <c r="D263">
        <f>IFERROR(IF(B263="","",_xlfn.XLOOKUP(B263,STUDENTS!B262:B100259,STUDENTS!D262:D100259)),"update STUDENT sheet")</f>
        <v/>
      </c>
      <c r="E263">
        <f>IFERROR(IF(C263="","",_xlfn.XLOOKUP(C263,STUDENTS!C262:C100259,STUDENTS!F262:F100259)),"update STUDENT sheet")</f>
        <v/>
      </c>
      <c r="F263">
        <f>IFERROR(IF(D263="","",_xlfn.XLOOKUP(D263,STUDENTS!D262:D100259,STUDENTS!G262:G100259)),"update STUDENT sheet")</f>
        <v/>
      </c>
      <c r="G263">
        <f>IFERROR(IF(E263="","",_xlfn.XLOOKUP(E263,STUDENTS!F262:F100259,STUDENTS!H262:H100259)),"update STUDENT sheet")</f>
        <v/>
      </c>
    </row>
    <row r="264">
      <c r="B264">
        <f>IF(STUDENTS!B263="","",STUDENTS!B263)</f>
        <v/>
      </c>
      <c r="C264">
        <f>IFERROR(IF(B264="","",_xlfn.XLOOKUP(B264,STUDENTS!$B$3:$B$1048576,STUDENTS!$C$3:$C$1048576)),"Enter a registered reg. no")</f>
        <v/>
      </c>
      <c r="D264">
        <f>IFERROR(IF(B264="","",_xlfn.XLOOKUP(B264,STUDENTS!B263:B100260,STUDENTS!D263:D100260)),"update STUDENT sheet")</f>
        <v/>
      </c>
      <c r="E264">
        <f>IFERROR(IF(C264="","",_xlfn.XLOOKUP(C264,STUDENTS!C263:C100260,STUDENTS!F263:F100260)),"update STUDENT sheet")</f>
        <v/>
      </c>
      <c r="F264">
        <f>IFERROR(IF(D264="","",_xlfn.XLOOKUP(D264,STUDENTS!D263:D100260,STUDENTS!G263:G100260)),"update STUDENT sheet")</f>
        <v/>
      </c>
      <c r="G264">
        <f>IFERROR(IF(E264="","",_xlfn.XLOOKUP(E264,STUDENTS!F263:F100260,STUDENTS!H263:H100260)),"update STUDENT sheet")</f>
        <v/>
      </c>
    </row>
    <row r="265">
      <c r="B265">
        <f>IF(STUDENTS!B264="","",STUDENTS!B264)</f>
        <v/>
      </c>
      <c r="C265">
        <f>IFERROR(IF(B265="","",_xlfn.XLOOKUP(B265,STUDENTS!$B$3:$B$1048576,STUDENTS!$C$3:$C$1048576)),"Enter a registered reg. no")</f>
        <v/>
      </c>
      <c r="D265">
        <f>IFERROR(IF(B265="","",_xlfn.XLOOKUP(B265,STUDENTS!B264:B100261,STUDENTS!D264:D100261)),"update STUDENT sheet")</f>
        <v/>
      </c>
      <c r="E265">
        <f>IFERROR(IF(C265="","",_xlfn.XLOOKUP(C265,STUDENTS!C264:C100261,STUDENTS!F264:F100261)),"update STUDENT sheet")</f>
        <v/>
      </c>
      <c r="F265">
        <f>IFERROR(IF(D265="","",_xlfn.XLOOKUP(D265,STUDENTS!D264:D100261,STUDENTS!G264:G100261)),"update STUDENT sheet")</f>
        <v/>
      </c>
      <c r="G265">
        <f>IFERROR(IF(E265="","",_xlfn.XLOOKUP(E265,STUDENTS!F264:F100261,STUDENTS!H264:H100261)),"update STUDENT sheet")</f>
        <v/>
      </c>
    </row>
    <row r="266">
      <c r="B266">
        <f>IF(STUDENTS!B265="","",STUDENTS!B265)</f>
        <v/>
      </c>
      <c r="C266">
        <f>IFERROR(IF(B266="","",_xlfn.XLOOKUP(B266,STUDENTS!$B$3:$B$1048576,STUDENTS!$C$3:$C$1048576)),"Enter a registered reg. no")</f>
        <v/>
      </c>
      <c r="D266">
        <f>IFERROR(IF(B266="","",_xlfn.XLOOKUP(B266,STUDENTS!B265:B100262,STUDENTS!D265:D100262)),"update STUDENT sheet")</f>
        <v/>
      </c>
      <c r="E266">
        <f>IFERROR(IF(C266="","",_xlfn.XLOOKUP(C266,STUDENTS!C265:C100262,STUDENTS!F265:F100262)),"update STUDENT sheet")</f>
        <v/>
      </c>
      <c r="F266">
        <f>IFERROR(IF(D266="","",_xlfn.XLOOKUP(D266,STUDENTS!D265:D100262,STUDENTS!G265:G100262)),"update STUDENT sheet")</f>
        <v/>
      </c>
      <c r="G266">
        <f>IFERROR(IF(E266="","",_xlfn.XLOOKUP(E266,STUDENTS!F265:F100262,STUDENTS!H265:H100262)),"update STUDENT sheet")</f>
        <v/>
      </c>
    </row>
    <row r="267">
      <c r="B267">
        <f>IF(STUDENTS!B266="","",STUDENTS!B266)</f>
        <v/>
      </c>
      <c r="C267">
        <f>IFERROR(IF(B267="","",_xlfn.XLOOKUP(B267,STUDENTS!$B$3:$B$1048576,STUDENTS!$C$3:$C$1048576)),"Enter a registered reg. no")</f>
        <v/>
      </c>
      <c r="D267">
        <f>IFERROR(IF(B267="","",_xlfn.XLOOKUP(B267,STUDENTS!B266:B100263,STUDENTS!D266:D100263)),"update STUDENT sheet")</f>
        <v/>
      </c>
      <c r="E267">
        <f>IFERROR(IF(C267="","",_xlfn.XLOOKUP(C267,STUDENTS!C266:C100263,STUDENTS!F266:F100263)),"update STUDENT sheet")</f>
        <v/>
      </c>
      <c r="F267">
        <f>IFERROR(IF(D267="","",_xlfn.XLOOKUP(D267,STUDENTS!D266:D100263,STUDENTS!G266:G100263)),"update STUDENT sheet")</f>
        <v/>
      </c>
      <c r="G267">
        <f>IFERROR(IF(E267="","",_xlfn.XLOOKUP(E267,STUDENTS!F266:F100263,STUDENTS!H266:H100263)),"update STUDENT sheet")</f>
        <v/>
      </c>
    </row>
    <row r="268">
      <c r="B268">
        <f>IF(STUDENTS!B267="","",STUDENTS!B267)</f>
        <v/>
      </c>
      <c r="C268">
        <f>IFERROR(IF(B268="","",_xlfn.XLOOKUP(B268,STUDENTS!$B$3:$B$1048576,STUDENTS!$C$3:$C$1048576)),"Enter a registered reg. no")</f>
        <v/>
      </c>
      <c r="D268">
        <f>IFERROR(IF(B268="","",_xlfn.XLOOKUP(B268,STUDENTS!B267:B100264,STUDENTS!D267:D100264)),"update STUDENT sheet")</f>
        <v/>
      </c>
      <c r="E268">
        <f>IFERROR(IF(C268="","",_xlfn.XLOOKUP(C268,STUDENTS!C267:C100264,STUDENTS!F267:F100264)),"update STUDENT sheet")</f>
        <v/>
      </c>
      <c r="F268">
        <f>IFERROR(IF(D268="","",_xlfn.XLOOKUP(D268,STUDENTS!D267:D100264,STUDENTS!G267:G100264)),"update STUDENT sheet")</f>
        <v/>
      </c>
      <c r="G268">
        <f>IFERROR(IF(E268="","",_xlfn.XLOOKUP(E268,STUDENTS!F267:F100264,STUDENTS!H267:H100264)),"update STUDENT sheet")</f>
        <v/>
      </c>
    </row>
    <row r="269">
      <c r="B269">
        <f>IF(STUDENTS!B268="","",STUDENTS!B268)</f>
        <v/>
      </c>
      <c r="C269">
        <f>IFERROR(IF(B269="","",_xlfn.XLOOKUP(B269,STUDENTS!$B$3:$B$1048576,STUDENTS!$C$3:$C$1048576)),"Enter a registered reg. no")</f>
        <v/>
      </c>
      <c r="D269">
        <f>IFERROR(IF(B269="","",_xlfn.XLOOKUP(B269,STUDENTS!B268:B100265,STUDENTS!D268:D100265)),"update STUDENT sheet")</f>
        <v/>
      </c>
      <c r="E269">
        <f>IFERROR(IF(C269="","",_xlfn.XLOOKUP(C269,STUDENTS!C268:C100265,STUDENTS!F268:F100265)),"update STUDENT sheet")</f>
        <v/>
      </c>
      <c r="F269">
        <f>IFERROR(IF(D269="","",_xlfn.XLOOKUP(D269,STUDENTS!D268:D100265,STUDENTS!G268:G100265)),"update STUDENT sheet")</f>
        <v/>
      </c>
      <c r="G269">
        <f>IFERROR(IF(E269="","",_xlfn.XLOOKUP(E269,STUDENTS!F268:F100265,STUDENTS!H268:H100265)),"update STUDENT sheet")</f>
        <v/>
      </c>
    </row>
    <row r="270">
      <c r="B270">
        <f>IF(STUDENTS!B269="","",STUDENTS!B269)</f>
        <v/>
      </c>
      <c r="C270">
        <f>IFERROR(IF(B270="","",_xlfn.XLOOKUP(B270,STUDENTS!$B$3:$B$1048576,STUDENTS!$C$3:$C$1048576)),"Enter a registered reg. no")</f>
        <v/>
      </c>
      <c r="D270">
        <f>IFERROR(IF(B270="","",_xlfn.XLOOKUP(B270,STUDENTS!B269:B100266,STUDENTS!D269:D100266)),"update STUDENT sheet")</f>
        <v/>
      </c>
      <c r="E270">
        <f>IFERROR(IF(C270="","",_xlfn.XLOOKUP(C270,STUDENTS!C269:C100266,STUDENTS!F269:F100266)),"update STUDENT sheet")</f>
        <v/>
      </c>
      <c r="F270">
        <f>IFERROR(IF(D270="","",_xlfn.XLOOKUP(D270,STUDENTS!D269:D100266,STUDENTS!G269:G100266)),"update STUDENT sheet")</f>
        <v/>
      </c>
      <c r="G270">
        <f>IFERROR(IF(E270="","",_xlfn.XLOOKUP(E270,STUDENTS!F269:F100266,STUDENTS!H269:H100266)),"update STUDENT sheet")</f>
        <v/>
      </c>
    </row>
    <row r="271">
      <c r="B271">
        <f>IF(STUDENTS!B270="","",STUDENTS!B270)</f>
        <v/>
      </c>
      <c r="C271">
        <f>IFERROR(IF(B271="","",_xlfn.XLOOKUP(B271,STUDENTS!$B$3:$B$1048576,STUDENTS!$C$3:$C$1048576)),"Enter a registered reg. no")</f>
        <v/>
      </c>
      <c r="D271">
        <f>IFERROR(IF(B271="","",_xlfn.XLOOKUP(B271,STUDENTS!B270:B100267,STUDENTS!D270:D100267)),"update STUDENT sheet")</f>
        <v/>
      </c>
      <c r="E271">
        <f>IFERROR(IF(C271="","",_xlfn.XLOOKUP(C271,STUDENTS!C270:C100267,STUDENTS!F270:F100267)),"update STUDENT sheet")</f>
        <v/>
      </c>
      <c r="F271">
        <f>IFERROR(IF(D271="","",_xlfn.XLOOKUP(D271,STUDENTS!D270:D100267,STUDENTS!G270:G100267)),"update STUDENT sheet")</f>
        <v/>
      </c>
      <c r="G271">
        <f>IFERROR(IF(E271="","",_xlfn.XLOOKUP(E271,STUDENTS!F270:F100267,STUDENTS!H270:H100267)),"update STUDENT sheet")</f>
        <v/>
      </c>
    </row>
    <row r="272">
      <c r="B272">
        <f>IF(STUDENTS!B271="","",STUDENTS!B271)</f>
        <v/>
      </c>
      <c r="C272">
        <f>IFERROR(IF(B272="","",_xlfn.XLOOKUP(B272,STUDENTS!$B$3:$B$1048576,STUDENTS!$C$3:$C$1048576)),"Enter a registered reg. no")</f>
        <v/>
      </c>
      <c r="D272">
        <f>IFERROR(IF(B272="","",_xlfn.XLOOKUP(B272,STUDENTS!B271:B100268,STUDENTS!D271:D100268)),"update STUDENT sheet")</f>
        <v/>
      </c>
      <c r="E272">
        <f>IFERROR(IF(C272="","",_xlfn.XLOOKUP(C272,STUDENTS!C271:C100268,STUDENTS!F271:F100268)),"update STUDENT sheet")</f>
        <v/>
      </c>
      <c r="F272">
        <f>IFERROR(IF(D272="","",_xlfn.XLOOKUP(D272,STUDENTS!D271:D100268,STUDENTS!G271:G100268)),"update STUDENT sheet")</f>
        <v/>
      </c>
      <c r="G272">
        <f>IFERROR(IF(E272="","",_xlfn.XLOOKUP(E272,STUDENTS!F271:F100268,STUDENTS!H271:H100268)),"update STUDENT sheet")</f>
        <v/>
      </c>
    </row>
    <row r="273">
      <c r="B273">
        <f>IF(STUDENTS!B272="","",STUDENTS!B272)</f>
        <v/>
      </c>
      <c r="C273">
        <f>IFERROR(IF(B273="","",_xlfn.XLOOKUP(B273,STUDENTS!$B$3:$B$1048576,STUDENTS!$C$3:$C$1048576)),"Enter a registered reg. no")</f>
        <v/>
      </c>
      <c r="D273">
        <f>IFERROR(IF(B273="","",_xlfn.XLOOKUP(B273,STUDENTS!B272:B100269,STUDENTS!D272:D100269)),"update STUDENT sheet")</f>
        <v/>
      </c>
      <c r="E273">
        <f>IFERROR(IF(C273="","",_xlfn.XLOOKUP(C273,STUDENTS!C272:C100269,STUDENTS!F272:F100269)),"update STUDENT sheet")</f>
        <v/>
      </c>
      <c r="F273">
        <f>IFERROR(IF(D273="","",_xlfn.XLOOKUP(D273,STUDENTS!D272:D100269,STUDENTS!G272:G100269)),"update STUDENT sheet")</f>
        <v/>
      </c>
      <c r="G273">
        <f>IFERROR(IF(E273="","",_xlfn.XLOOKUP(E273,STUDENTS!F272:F100269,STUDENTS!H272:H100269)),"update STUDENT sheet")</f>
        <v/>
      </c>
    </row>
    <row r="274">
      <c r="B274">
        <f>IF(STUDENTS!B273="","",STUDENTS!B273)</f>
        <v/>
      </c>
      <c r="C274">
        <f>IFERROR(IF(B274="","",_xlfn.XLOOKUP(B274,STUDENTS!$B$3:$B$1048576,STUDENTS!$C$3:$C$1048576)),"Enter a registered reg. no")</f>
        <v/>
      </c>
      <c r="D274">
        <f>IFERROR(IF(B274="","",_xlfn.XLOOKUP(B274,STUDENTS!B273:B100270,STUDENTS!D273:D100270)),"update STUDENT sheet")</f>
        <v/>
      </c>
      <c r="E274">
        <f>IFERROR(IF(C274="","",_xlfn.XLOOKUP(C274,STUDENTS!C273:C100270,STUDENTS!F273:F100270)),"update STUDENT sheet")</f>
        <v/>
      </c>
      <c r="F274">
        <f>IFERROR(IF(D274="","",_xlfn.XLOOKUP(D274,STUDENTS!D273:D100270,STUDENTS!G273:G100270)),"update STUDENT sheet")</f>
        <v/>
      </c>
      <c r="G274">
        <f>IFERROR(IF(E274="","",_xlfn.XLOOKUP(E274,STUDENTS!F273:F100270,STUDENTS!H273:H100270)),"update STUDENT sheet")</f>
        <v/>
      </c>
    </row>
    <row r="275">
      <c r="B275">
        <f>IF(STUDENTS!B274="","",STUDENTS!B274)</f>
        <v/>
      </c>
      <c r="C275">
        <f>IFERROR(IF(B275="","",_xlfn.XLOOKUP(B275,STUDENTS!$B$3:$B$1048576,STUDENTS!$C$3:$C$1048576)),"Enter a registered reg. no")</f>
        <v/>
      </c>
      <c r="D275">
        <f>IFERROR(IF(B275="","",_xlfn.XLOOKUP(B275,STUDENTS!B274:B100271,STUDENTS!D274:D100271)),"update STUDENT sheet")</f>
        <v/>
      </c>
      <c r="E275">
        <f>IFERROR(IF(C275="","",_xlfn.XLOOKUP(C275,STUDENTS!C274:C100271,STUDENTS!F274:F100271)),"update STUDENT sheet")</f>
        <v/>
      </c>
      <c r="F275">
        <f>IFERROR(IF(D275="","",_xlfn.XLOOKUP(D275,STUDENTS!D274:D100271,STUDENTS!G274:G100271)),"update STUDENT sheet")</f>
        <v/>
      </c>
      <c r="G275">
        <f>IFERROR(IF(E275="","",_xlfn.XLOOKUP(E275,STUDENTS!F274:F100271,STUDENTS!H274:H100271)),"update STUDENT sheet")</f>
        <v/>
      </c>
    </row>
    <row r="276">
      <c r="B276">
        <f>IF(STUDENTS!B275="","",STUDENTS!B275)</f>
        <v/>
      </c>
      <c r="C276">
        <f>IFERROR(IF(B276="","",_xlfn.XLOOKUP(B276,STUDENTS!$B$3:$B$1048576,STUDENTS!$C$3:$C$1048576)),"Enter a registered reg. no")</f>
        <v/>
      </c>
      <c r="D276">
        <f>IFERROR(IF(B276="","",_xlfn.XLOOKUP(B276,STUDENTS!B275:B100272,STUDENTS!D275:D100272)),"update STUDENT sheet")</f>
        <v/>
      </c>
      <c r="E276">
        <f>IFERROR(IF(C276="","",_xlfn.XLOOKUP(C276,STUDENTS!C275:C100272,STUDENTS!F275:F100272)),"update STUDENT sheet")</f>
        <v/>
      </c>
      <c r="F276">
        <f>IFERROR(IF(D276="","",_xlfn.XLOOKUP(D276,STUDENTS!D275:D100272,STUDENTS!G275:G100272)),"update STUDENT sheet")</f>
        <v/>
      </c>
      <c r="G276">
        <f>IFERROR(IF(E276="","",_xlfn.XLOOKUP(E276,STUDENTS!F275:F100272,STUDENTS!H275:H100272)),"update STUDENT sheet")</f>
        <v/>
      </c>
    </row>
    <row r="277">
      <c r="B277">
        <f>IF(STUDENTS!B276="","",STUDENTS!B276)</f>
        <v/>
      </c>
      <c r="C277">
        <f>IFERROR(IF(B277="","",_xlfn.XLOOKUP(B277,STUDENTS!$B$3:$B$1048576,STUDENTS!$C$3:$C$1048576)),"Enter a registered reg. no")</f>
        <v/>
      </c>
      <c r="D277">
        <f>IFERROR(IF(B277="","",_xlfn.XLOOKUP(B277,STUDENTS!B276:B100273,STUDENTS!D276:D100273)),"update STUDENT sheet")</f>
        <v/>
      </c>
      <c r="E277">
        <f>IFERROR(IF(C277="","",_xlfn.XLOOKUP(C277,STUDENTS!C276:C100273,STUDENTS!F276:F100273)),"update STUDENT sheet")</f>
        <v/>
      </c>
      <c r="F277">
        <f>IFERROR(IF(D277="","",_xlfn.XLOOKUP(D277,STUDENTS!D276:D100273,STUDENTS!G276:G100273)),"update STUDENT sheet")</f>
        <v/>
      </c>
      <c r="G277">
        <f>IFERROR(IF(E277="","",_xlfn.XLOOKUP(E277,STUDENTS!F276:F100273,STUDENTS!H276:H100273)),"update STUDENT sheet")</f>
        <v/>
      </c>
    </row>
    <row r="278">
      <c r="B278">
        <f>IF(STUDENTS!B277="","",STUDENTS!B277)</f>
        <v/>
      </c>
      <c r="C278">
        <f>IFERROR(IF(B278="","",_xlfn.XLOOKUP(B278,STUDENTS!$B$3:$B$1048576,STUDENTS!$C$3:$C$1048576)),"Enter a registered reg. no")</f>
        <v/>
      </c>
      <c r="D278">
        <f>IFERROR(IF(B278="","",_xlfn.XLOOKUP(B278,STUDENTS!B277:B100274,STUDENTS!D277:D100274)),"update STUDENT sheet")</f>
        <v/>
      </c>
      <c r="E278">
        <f>IFERROR(IF(C278="","",_xlfn.XLOOKUP(C278,STUDENTS!C277:C100274,STUDENTS!F277:F100274)),"update STUDENT sheet")</f>
        <v/>
      </c>
      <c r="F278">
        <f>IFERROR(IF(D278="","",_xlfn.XLOOKUP(D278,STUDENTS!D277:D100274,STUDENTS!G277:G100274)),"update STUDENT sheet")</f>
        <v/>
      </c>
      <c r="G278">
        <f>IFERROR(IF(E278="","",_xlfn.XLOOKUP(E278,STUDENTS!F277:F100274,STUDENTS!H277:H100274)),"update STUDENT sheet")</f>
        <v/>
      </c>
    </row>
    <row r="279">
      <c r="B279">
        <f>IF(STUDENTS!B278="","",STUDENTS!B278)</f>
        <v/>
      </c>
      <c r="C279">
        <f>IFERROR(IF(B279="","",_xlfn.XLOOKUP(B279,STUDENTS!$B$3:$B$1048576,STUDENTS!$C$3:$C$1048576)),"Enter a registered reg. no")</f>
        <v/>
      </c>
      <c r="D279">
        <f>IFERROR(IF(B279="","",_xlfn.XLOOKUP(B279,STUDENTS!B278:B100275,STUDENTS!D278:D100275)),"update STUDENT sheet")</f>
        <v/>
      </c>
      <c r="E279">
        <f>IFERROR(IF(C279="","",_xlfn.XLOOKUP(C279,STUDENTS!C278:C100275,STUDENTS!F278:F100275)),"update STUDENT sheet")</f>
        <v/>
      </c>
      <c r="F279">
        <f>IFERROR(IF(D279="","",_xlfn.XLOOKUP(D279,STUDENTS!D278:D100275,STUDENTS!G278:G100275)),"update STUDENT sheet")</f>
        <v/>
      </c>
      <c r="G279">
        <f>IFERROR(IF(E279="","",_xlfn.XLOOKUP(E279,STUDENTS!F278:F100275,STUDENTS!H278:H100275)),"update STUDENT sheet")</f>
        <v/>
      </c>
    </row>
    <row r="280">
      <c r="B280">
        <f>IF(STUDENTS!B279="","",STUDENTS!B279)</f>
        <v/>
      </c>
      <c r="C280">
        <f>IFERROR(IF(B280="","",_xlfn.XLOOKUP(B280,STUDENTS!$B$3:$B$1048576,STUDENTS!$C$3:$C$1048576)),"Enter a registered reg. no")</f>
        <v/>
      </c>
      <c r="D280">
        <f>IFERROR(IF(B280="","",_xlfn.XLOOKUP(B280,STUDENTS!B279:B100276,STUDENTS!D279:D100276)),"update STUDENT sheet")</f>
        <v/>
      </c>
      <c r="E280">
        <f>IFERROR(IF(C280="","",_xlfn.XLOOKUP(C280,STUDENTS!C279:C100276,STUDENTS!F279:F100276)),"update STUDENT sheet")</f>
        <v/>
      </c>
      <c r="F280">
        <f>IFERROR(IF(D280="","",_xlfn.XLOOKUP(D280,STUDENTS!D279:D100276,STUDENTS!G279:G100276)),"update STUDENT sheet")</f>
        <v/>
      </c>
      <c r="G280">
        <f>IFERROR(IF(E280="","",_xlfn.XLOOKUP(E280,STUDENTS!F279:F100276,STUDENTS!H279:H100276)),"update STUDENT sheet")</f>
        <v/>
      </c>
    </row>
    <row r="281">
      <c r="B281">
        <f>IF(STUDENTS!B280="","",STUDENTS!B280)</f>
        <v/>
      </c>
      <c r="C281">
        <f>IFERROR(IF(B281="","",_xlfn.XLOOKUP(B281,STUDENTS!$B$3:$B$1048576,STUDENTS!$C$3:$C$1048576)),"Enter a registered reg. no")</f>
        <v/>
      </c>
      <c r="D281">
        <f>IFERROR(IF(B281="","",_xlfn.XLOOKUP(B281,STUDENTS!B280:B100277,STUDENTS!D280:D100277)),"update STUDENT sheet")</f>
        <v/>
      </c>
      <c r="E281">
        <f>IFERROR(IF(C281="","",_xlfn.XLOOKUP(C281,STUDENTS!C280:C100277,STUDENTS!F280:F100277)),"update STUDENT sheet")</f>
        <v/>
      </c>
      <c r="F281">
        <f>IFERROR(IF(D281="","",_xlfn.XLOOKUP(D281,STUDENTS!D280:D100277,STUDENTS!G280:G100277)),"update STUDENT sheet")</f>
        <v/>
      </c>
      <c r="G281">
        <f>IFERROR(IF(E281="","",_xlfn.XLOOKUP(E281,STUDENTS!F280:F100277,STUDENTS!H280:H100277)),"update STUDENT sheet")</f>
        <v/>
      </c>
    </row>
    <row r="282">
      <c r="B282">
        <f>IF(STUDENTS!B281="","",STUDENTS!B281)</f>
        <v/>
      </c>
      <c r="C282">
        <f>IFERROR(IF(B282="","",_xlfn.XLOOKUP(B282,STUDENTS!$B$3:$B$1048576,STUDENTS!$C$3:$C$1048576)),"Enter a registered reg. no")</f>
        <v/>
      </c>
      <c r="D282">
        <f>IFERROR(IF(B282="","",_xlfn.XLOOKUP(B282,STUDENTS!B281:B100278,STUDENTS!D281:D100278)),"update STUDENT sheet")</f>
        <v/>
      </c>
      <c r="E282">
        <f>IFERROR(IF(C282="","",_xlfn.XLOOKUP(C282,STUDENTS!C281:C100278,STUDENTS!F281:F100278)),"update STUDENT sheet")</f>
        <v/>
      </c>
      <c r="F282">
        <f>IFERROR(IF(D282="","",_xlfn.XLOOKUP(D282,STUDENTS!D281:D100278,STUDENTS!G281:G100278)),"update STUDENT sheet")</f>
        <v/>
      </c>
      <c r="G282">
        <f>IFERROR(IF(E282="","",_xlfn.XLOOKUP(E282,STUDENTS!F281:F100278,STUDENTS!H281:H100278)),"update STUDENT sheet")</f>
        <v/>
      </c>
    </row>
    <row r="283">
      <c r="B283">
        <f>IF(STUDENTS!B282="","",STUDENTS!B282)</f>
        <v/>
      </c>
      <c r="C283">
        <f>IFERROR(IF(B283="","",_xlfn.XLOOKUP(B283,STUDENTS!$B$3:$B$1048576,STUDENTS!$C$3:$C$1048576)),"Enter a registered reg. no")</f>
        <v/>
      </c>
      <c r="D283">
        <f>IFERROR(IF(B283="","",_xlfn.XLOOKUP(B283,STUDENTS!B282:B100279,STUDENTS!D282:D100279)),"update STUDENT sheet")</f>
        <v/>
      </c>
      <c r="E283">
        <f>IFERROR(IF(C283="","",_xlfn.XLOOKUP(C283,STUDENTS!C282:C100279,STUDENTS!F282:F100279)),"update STUDENT sheet")</f>
        <v/>
      </c>
      <c r="F283">
        <f>IFERROR(IF(D283="","",_xlfn.XLOOKUP(D283,STUDENTS!D282:D100279,STUDENTS!G282:G100279)),"update STUDENT sheet")</f>
        <v/>
      </c>
      <c r="G283">
        <f>IFERROR(IF(E283="","",_xlfn.XLOOKUP(E283,STUDENTS!F282:F100279,STUDENTS!H282:H100279)),"update STUDENT sheet")</f>
        <v/>
      </c>
    </row>
    <row r="284">
      <c r="B284">
        <f>IF(STUDENTS!B283="","",STUDENTS!B283)</f>
        <v/>
      </c>
      <c r="C284">
        <f>IFERROR(IF(B284="","",_xlfn.XLOOKUP(B284,STUDENTS!$B$3:$B$1048576,STUDENTS!$C$3:$C$1048576)),"Enter a registered reg. no")</f>
        <v/>
      </c>
      <c r="D284">
        <f>IFERROR(IF(B284="","",_xlfn.XLOOKUP(B284,STUDENTS!B283:B100280,STUDENTS!D283:D100280)),"update STUDENT sheet")</f>
        <v/>
      </c>
      <c r="E284">
        <f>IFERROR(IF(C284="","",_xlfn.XLOOKUP(C284,STUDENTS!C283:C100280,STUDENTS!F283:F100280)),"update STUDENT sheet")</f>
        <v/>
      </c>
      <c r="F284">
        <f>IFERROR(IF(D284="","",_xlfn.XLOOKUP(D284,STUDENTS!D283:D100280,STUDENTS!G283:G100280)),"update STUDENT sheet")</f>
        <v/>
      </c>
      <c r="G284">
        <f>IFERROR(IF(E284="","",_xlfn.XLOOKUP(E284,STUDENTS!F283:F100280,STUDENTS!H283:H100280)),"update STUDENT sheet")</f>
        <v/>
      </c>
    </row>
    <row r="285">
      <c r="B285">
        <f>IF(STUDENTS!B284="","",STUDENTS!B284)</f>
        <v/>
      </c>
      <c r="C285">
        <f>IFERROR(IF(B285="","",_xlfn.XLOOKUP(B285,STUDENTS!$B$3:$B$1048576,STUDENTS!$C$3:$C$1048576)),"Enter a registered reg. no")</f>
        <v/>
      </c>
      <c r="D285">
        <f>IFERROR(IF(B285="","",_xlfn.XLOOKUP(B285,STUDENTS!B284:B100281,STUDENTS!D284:D100281)),"update STUDENT sheet")</f>
        <v/>
      </c>
      <c r="E285">
        <f>IFERROR(IF(C285="","",_xlfn.XLOOKUP(C285,STUDENTS!C284:C100281,STUDENTS!F284:F100281)),"update STUDENT sheet")</f>
        <v/>
      </c>
      <c r="F285">
        <f>IFERROR(IF(D285="","",_xlfn.XLOOKUP(D285,STUDENTS!D284:D100281,STUDENTS!G284:G100281)),"update STUDENT sheet")</f>
        <v/>
      </c>
      <c r="G285">
        <f>IFERROR(IF(E285="","",_xlfn.XLOOKUP(E285,STUDENTS!F284:F100281,STUDENTS!H284:H100281)),"update STUDENT sheet")</f>
        <v/>
      </c>
    </row>
    <row r="286">
      <c r="B286">
        <f>IF(STUDENTS!B285="","",STUDENTS!B285)</f>
        <v/>
      </c>
      <c r="C286">
        <f>IFERROR(IF(B286="","",_xlfn.XLOOKUP(B286,STUDENTS!$B$3:$B$1048576,STUDENTS!$C$3:$C$1048576)),"Enter a registered reg. no")</f>
        <v/>
      </c>
      <c r="D286">
        <f>IFERROR(IF(B286="","",_xlfn.XLOOKUP(B286,STUDENTS!B285:B100282,STUDENTS!D285:D100282)),"update STUDENT sheet")</f>
        <v/>
      </c>
      <c r="E286">
        <f>IFERROR(IF(C286="","",_xlfn.XLOOKUP(C286,STUDENTS!C285:C100282,STUDENTS!F285:F100282)),"update STUDENT sheet")</f>
        <v/>
      </c>
      <c r="F286">
        <f>IFERROR(IF(D286="","",_xlfn.XLOOKUP(D286,STUDENTS!D285:D100282,STUDENTS!G285:G100282)),"update STUDENT sheet")</f>
        <v/>
      </c>
      <c r="G286">
        <f>IFERROR(IF(E286="","",_xlfn.XLOOKUP(E286,STUDENTS!F285:F100282,STUDENTS!H285:H100282)),"update STUDENT sheet")</f>
        <v/>
      </c>
    </row>
    <row r="287">
      <c r="B287">
        <f>IF(STUDENTS!B286="","",STUDENTS!B286)</f>
        <v/>
      </c>
      <c r="C287">
        <f>IFERROR(IF(B287="","",_xlfn.XLOOKUP(B287,STUDENTS!$B$3:$B$1048576,STUDENTS!$C$3:$C$1048576)),"Enter a registered reg. no")</f>
        <v/>
      </c>
      <c r="D287">
        <f>IFERROR(IF(B287="","",_xlfn.XLOOKUP(B287,STUDENTS!B286:B100283,STUDENTS!D286:D100283)),"update STUDENT sheet")</f>
        <v/>
      </c>
      <c r="E287">
        <f>IFERROR(IF(C287="","",_xlfn.XLOOKUP(C287,STUDENTS!C286:C100283,STUDENTS!F286:F100283)),"update STUDENT sheet")</f>
        <v/>
      </c>
      <c r="F287">
        <f>IFERROR(IF(D287="","",_xlfn.XLOOKUP(D287,STUDENTS!D286:D100283,STUDENTS!G286:G100283)),"update STUDENT sheet")</f>
        <v/>
      </c>
      <c r="G287">
        <f>IFERROR(IF(E287="","",_xlfn.XLOOKUP(E287,STUDENTS!F286:F100283,STUDENTS!H286:H100283)),"update STUDENT sheet")</f>
        <v/>
      </c>
    </row>
    <row r="288">
      <c r="B288">
        <f>IF(STUDENTS!B287="","",STUDENTS!B287)</f>
        <v/>
      </c>
      <c r="C288">
        <f>IFERROR(IF(B288="","",_xlfn.XLOOKUP(B288,STUDENTS!$B$3:$B$1048576,STUDENTS!$C$3:$C$1048576)),"Enter a registered reg. no")</f>
        <v/>
      </c>
      <c r="D288">
        <f>IFERROR(IF(B288="","",_xlfn.XLOOKUP(B288,STUDENTS!B287:B100284,STUDENTS!D287:D100284)),"update STUDENT sheet")</f>
        <v/>
      </c>
      <c r="E288">
        <f>IFERROR(IF(C288="","",_xlfn.XLOOKUP(C288,STUDENTS!C287:C100284,STUDENTS!F287:F100284)),"update STUDENT sheet")</f>
        <v/>
      </c>
      <c r="F288">
        <f>IFERROR(IF(D288="","",_xlfn.XLOOKUP(D288,STUDENTS!D287:D100284,STUDENTS!G287:G100284)),"update STUDENT sheet")</f>
        <v/>
      </c>
      <c r="G288">
        <f>IFERROR(IF(E288="","",_xlfn.XLOOKUP(E288,STUDENTS!F287:F100284,STUDENTS!H287:H100284)),"update STUDENT sheet")</f>
        <v/>
      </c>
    </row>
    <row r="289">
      <c r="B289">
        <f>IF(STUDENTS!B288="","",STUDENTS!B288)</f>
        <v/>
      </c>
      <c r="C289">
        <f>IFERROR(IF(B289="","",_xlfn.XLOOKUP(B289,STUDENTS!$B$3:$B$1048576,STUDENTS!$C$3:$C$1048576)),"Enter a registered reg. no")</f>
        <v/>
      </c>
      <c r="D289">
        <f>IFERROR(IF(B289="","",_xlfn.XLOOKUP(B289,STUDENTS!B288:B100285,STUDENTS!D288:D100285)),"update STUDENT sheet")</f>
        <v/>
      </c>
      <c r="E289">
        <f>IFERROR(IF(C289="","",_xlfn.XLOOKUP(C289,STUDENTS!C288:C100285,STUDENTS!F288:F100285)),"update STUDENT sheet")</f>
        <v/>
      </c>
      <c r="F289">
        <f>IFERROR(IF(D289="","",_xlfn.XLOOKUP(D289,STUDENTS!D288:D100285,STUDENTS!G288:G100285)),"update STUDENT sheet")</f>
        <v/>
      </c>
      <c r="G289">
        <f>IFERROR(IF(E289="","",_xlfn.XLOOKUP(E289,STUDENTS!F288:F100285,STUDENTS!H288:H100285)),"update STUDENT sheet")</f>
        <v/>
      </c>
    </row>
    <row r="290">
      <c r="B290">
        <f>IF(STUDENTS!B289="","",STUDENTS!B289)</f>
        <v/>
      </c>
      <c r="C290">
        <f>IFERROR(IF(B290="","",_xlfn.XLOOKUP(B290,STUDENTS!$B$3:$B$1048576,STUDENTS!$C$3:$C$1048576)),"Enter a registered reg. no")</f>
        <v/>
      </c>
      <c r="D290">
        <f>IFERROR(IF(B290="","",_xlfn.XLOOKUP(B290,STUDENTS!B289:B100286,STUDENTS!D289:D100286)),"update STUDENT sheet")</f>
        <v/>
      </c>
      <c r="E290">
        <f>IFERROR(IF(C290="","",_xlfn.XLOOKUP(C290,STUDENTS!C289:C100286,STUDENTS!F289:F100286)),"update STUDENT sheet")</f>
        <v/>
      </c>
      <c r="F290">
        <f>IFERROR(IF(D290="","",_xlfn.XLOOKUP(D290,STUDENTS!D289:D100286,STUDENTS!G289:G100286)),"update STUDENT sheet")</f>
        <v/>
      </c>
      <c r="G290">
        <f>IFERROR(IF(E290="","",_xlfn.XLOOKUP(E290,STUDENTS!F289:F100286,STUDENTS!H289:H100286)),"update STUDENT sheet")</f>
        <v/>
      </c>
    </row>
    <row r="291">
      <c r="B291">
        <f>IF(STUDENTS!B290="","",STUDENTS!B290)</f>
        <v/>
      </c>
      <c r="C291">
        <f>IFERROR(IF(B291="","",_xlfn.XLOOKUP(B291,STUDENTS!$B$3:$B$1048576,STUDENTS!$C$3:$C$1048576)),"Enter a registered reg. no")</f>
        <v/>
      </c>
      <c r="D291">
        <f>IFERROR(IF(B291="","",_xlfn.XLOOKUP(B291,STUDENTS!B290:B100287,STUDENTS!D290:D100287)),"update STUDENT sheet")</f>
        <v/>
      </c>
      <c r="E291">
        <f>IFERROR(IF(C291="","",_xlfn.XLOOKUP(C291,STUDENTS!C290:C100287,STUDENTS!F290:F100287)),"update STUDENT sheet")</f>
        <v/>
      </c>
      <c r="F291">
        <f>IFERROR(IF(D291="","",_xlfn.XLOOKUP(D291,STUDENTS!D290:D100287,STUDENTS!G290:G100287)),"update STUDENT sheet")</f>
        <v/>
      </c>
      <c r="G291">
        <f>IFERROR(IF(E291="","",_xlfn.XLOOKUP(E291,STUDENTS!F290:F100287,STUDENTS!H290:H100287)),"update STUDENT sheet")</f>
        <v/>
      </c>
    </row>
    <row r="292">
      <c r="B292">
        <f>IF(STUDENTS!B291="","",STUDENTS!B291)</f>
        <v/>
      </c>
      <c r="C292">
        <f>IFERROR(IF(B292="","",_xlfn.XLOOKUP(B292,STUDENTS!$B$3:$B$1048576,STUDENTS!$C$3:$C$1048576)),"Enter a registered reg. no")</f>
        <v/>
      </c>
      <c r="D292">
        <f>IFERROR(IF(B292="","",_xlfn.XLOOKUP(B292,STUDENTS!B291:B100288,STUDENTS!D291:D100288)),"update STUDENT sheet")</f>
        <v/>
      </c>
      <c r="E292">
        <f>IFERROR(IF(C292="","",_xlfn.XLOOKUP(C292,STUDENTS!C291:C100288,STUDENTS!F291:F100288)),"update STUDENT sheet")</f>
        <v/>
      </c>
      <c r="F292">
        <f>IFERROR(IF(D292="","",_xlfn.XLOOKUP(D292,STUDENTS!D291:D100288,STUDENTS!G291:G100288)),"update STUDENT sheet")</f>
        <v/>
      </c>
      <c r="G292">
        <f>IFERROR(IF(E292="","",_xlfn.XLOOKUP(E292,STUDENTS!F291:F100288,STUDENTS!H291:H100288)),"update STUDENT sheet")</f>
        <v/>
      </c>
    </row>
    <row r="293">
      <c r="B293">
        <f>IF(STUDENTS!B292="","",STUDENTS!B292)</f>
        <v/>
      </c>
      <c r="C293">
        <f>IFERROR(IF(B293="","",_xlfn.XLOOKUP(B293,STUDENTS!$B$3:$B$1048576,STUDENTS!$C$3:$C$1048576)),"Enter a registered reg. no")</f>
        <v/>
      </c>
      <c r="D293">
        <f>IFERROR(IF(B293="","",_xlfn.XLOOKUP(B293,STUDENTS!B292:B100289,STUDENTS!D292:D100289)),"update STUDENT sheet")</f>
        <v/>
      </c>
      <c r="E293">
        <f>IFERROR(IF(C293="","",_xlfn.XLOOKUP(C293,STUDENTS!C292:C100289,STUDENTS!F292:F100289)),"update STUDENT sheet")</f>
        <v/>
      </c>
      <c r="F293">
        <f>IFERROR(IF(D293="","",_xlfn.XLOOKUP(D293,STUDENTS!D292:D100289,STUDENTS!G292:G100289)),"update STUDENT sheet")</f>
        <v/>
      </c>
      <c r="G293">
        <f>IFERROR(IF(E293="","",_xlfn.XLOOKUP(E293,STUDENTS!F292:F100289,STUDENTS!H292:H100289)),"update STUDENT sheet")</f>
        <v/>
      </c>
    </row>
    <row r="294">
      <c r="B294">
        <f>IF(STUDENTS!B293="","",STUDENTS!B293)</f>
        <v/>
      </c>
      <c r="C294">
        <f>IFERROR(IF(B294="","",_xlfn.XLOOKUP(B294,STUDENTS!$B$3:$B$1048576,STUDENTS!$C$3:$C$1048576)),"Enter a registered reg. no")</f>
        <v/>
      </c>
      <c r="D294">
        <f>IFERROR(IF(B294="","",_xlfn.XLOOKUP(B294,STUDENTS!B293:B100290,STUDENTS!D293:D100290)),"update STUDENT sheet")</f>
        <v/>
      </c>
      <c r="E294">
        <f>IFERROR(IF(C294="","",_xlfn.XLOOKUP(C294,STUDENTS!C293:C100290,STUDENTS!F293:F100290)),"update STUDENT sheet")</f>
        <v/>
      </c>
      <c r="F294">
        <f>IFERROR(IF(D294="","",_xlfn.XLOOKUP(D294,STUDENTS!D293:D100290,STUDENTS!G293:G100290)),"update STUDENT sheet")</f>
        <v/>
      </c>
      <c r="G294">
        <f>IFERROR(IF(E294="","",_xlfn.XLOOKUP(E294,STUDENTS!F293:F100290,STUDENTS!H293:H100290)),"update STUDENT sheet")</f>
        <v/>
      </c>
    </row>
    <row r="295">
      <c r="B295">
        <f>IF(STUDENTS!B294="","",STUDENTS!B294)</f>
        <v/>
      </c>
      <c r="C295">
        <f>IFERROR(IF(B295="","",_xlfn.XLOOKUP(B295,STUDENTS!$B$3:$B$1048576,STUDENTS!$C$3:$C$1048576)),"Enter a registered reg. no")</f>
        <v/>
      </c>
      <c r="D295">
        <f>IFERROR(IF(B295="","",_xlfn.XLOOKUP(B295,STUDENTS!B294:B100291,STUDENTS!D294:D100291)),"update STUDENT sheet")</f>
        <v/>
      </c>
      <c r="E295">
        <f>IFERROR(IF(C295="","",_xlfn.XLOOKUP(C295,STUDENTS!C294:C100291,STUDENTS!F294:F100291)),"update STUDENT sheet")</f>
        <v/>
      </c>
      <c r="F295">
        <f>IFERROR(IF(D295="","",_xlfn.XLOOKUP(D295,STUDENTS!D294:D100291,STUDENTS!G294:G100291)),"update STUDENT sheet")</f>
        <v/>
      </c>
      <c r="G295">
        <f>IFERROR(IF(E295="","",_xlfn.XLOOKUP(E295,STUDENTS!F294:F100291,STUDENTS!H294:H100291)),"update STUDENT sheet")</f>
        <v/>
      </c>
    </row>
    <row r="296">
      <c r="B296">
        <f>IF(STUDENTS!B295="","",STUDENTS!B295)</f>
        <v/>
      </c>
      <c r="C296">
        <f>IFERROR(IF(B296="","",_xlfn.XLOOKUP(B296,STUDENTS!$B$3:$B$1048576,STUDENTS!$C$3:$C$1048576)),"Enter a registered reg. no")</f>
        <v/>
      </c>
      <c r="D296">
        <f>IFERROR(IF(B296="","",_xlfn.XLOOKUP(B296,STUDENTS!B295:B100292,STUDENTS!D295:D100292)),"update STUDENT sheet")</f>
        <v/>
      </c>
      <c r="E296">
        <f>IFERROR(IF(C296="","",_xlfn.XLOOKUP(C296,STUDENTS!C295:C100292,STUDENTS!F295:F100292)),"update STUDENT sheet")</f>
        <v/>
      </c>
      <c r="F296">
        <f>IFERROR(IF(D296="","",_xlfn.XLOOKUP(D296,STUDENTS!D295:D100292,STUDENTS!G295:G100292)),"update STUDENT sheet")</f>
        <v/>
      </c>
      <c r="G296">
        <f>IFERROR(IF(E296="","",_xlfn.XLOOKUP(E296,STUDENTS!F295:F100292,STUDENTS!H295:H100292)),"update STUDENT sheet")</f>
        <v/>
      </c>
    </row>
    <row r="297">
      <c r="B297">
        <f>IF(STUDENTS!B296="","",STUDENTS!B296)</f>
        <v/>
      </c>
      <c r="C297">
        <f>IFERROR(IF(B297="","",_xlfn.XLOOKUP(B297,STUDENTS!$B$3:$B$1048576,STUDENTS!$C$3:$C$1048576)),"Enter a registered reg. no")</f>
        <v/>
      </c>
      <c r="D297">
        <f>IFERROR(IF(B297="","",_xlfn.XLOOKUP(B297,STUDENTS!B296:B100293,STUDENTS!D296:D100293)),"update STUDENT sheet")</f>
        <v/>
      </c>
      <c r="E297">
        <f>IFERROR(IF(C297="","",_xlfn.XLOOKUP(C297,STUDENTS!C296:C100293,STUDENTS!F296:F100293)),"update STUDENT sheet")</f>
        <v/>
      </c>
      <c r="F297">
        <f>IFERROR(IF(D297="","",_xlfn.XLOOKUP(D297,STUDENTS!D296:D100293,STUDENTS!G296:G100293)),"update STUDENT sheet")</f>
        <v/>
      </c>
      <c r="G297">
        <f>IFERROR(IF(E297="","",_xlfn.XLOOKUP(E297,STUDENTS!F296:F100293,STUDENTS!H296:H100293)),"update STUDENT sheet")</f>
        <v/>
      </c>
    </row>
    <row r="298">
      <c r="B298">
        <f>IF(STUDENTS!B297="","",STUDENTS!B297)</f>
        <v/>
      </c>
      <c r="C298">
        <f>IFERROR(IF(B298="","",_xlfn.XLOOKUP(B298,STUDENTS!$B$3:$B$1048576,STUDENTS!$C$3:$C$1048576)),"Enter a registered reg. no")</f>
        <v/>
      </c>
      <c r="D298">
        <f>IFERROR(IF(B298="","",_xlfn.XLOOKUP(B298,STUDENTS!B297:B100294,STUDENTS!D297:D100294)),"update STUDENT sheet")</f>
        <v/>
      </c>
      <c r="E298">
        <f>IFERROR(IF(C298="","",_xlfn.XLOOKUP(C298,STUDENTS!C297:C100294,STUDENTS!F297:F100294)),"update STUDENT sheet")</f>
        <v/>
      </c>
      <c r="F298">
        <f>IFERROR(IF(D298="","",_xlfn.XLOOKUP(D298,STUDENTS!D297:D100294,STUDENTS!G297:G100294)),"update STUDENT sheet")</f>
        <v/>
      </c>
      <c r="G298">
        <f>IFERROR(IF(E298="","",_xlfn.XLOOKUP(E298,STUDENTS!F297:F100294,STUDENTS!H297:H100294)),"update STUDENT sheet")</f>
        <v/>
      </c>
    </row>
    <row r="299">
      <c r="B299">
        <f>IF(STUDENTS!B298="","",STUDENTS!B298)</f>
        <v/>
      </c>
      <c r="C299">
        <f>IFERROR(IF(B299="","",_xlfn.XLOOKUP(B299,STUDENTS!$B$3:$B$1048576,STUDENTS!$C$3:$C$1048576)),"Enter a registered reg. no")</f>
        <v/>
      </c>
      <c r="D299">
        <f>IFERROR(IF(B299="","",_xlfn.XLOOKUP(B299,STUDENTS!B298:B100295,STUDENTS!D298:D100295)),"update STUDENT sheet")</f>
        <v/>
      </c>
      <c r="E299">
        <f>IFERROR(IF(C299="","",_xlfn.XLOOKUP(C299,STUDENTS!C298:C100295,STUDENTS!F298:F100295)),"update STUDENT sheet")</f>
        <v/>
      </c>
      <c r="F299">
        <f>IFERROR(IF(D299="","",_xlfn.XLOOKUP(D299,STUDENTS!D298:D100295,STUDENTS!G298:G100295)),"update STUDENT sheet")</f>
        <v/>
      </c>
      <c r="G299">
        <f>IFERROR(IF(E299="","",_xlfn.XLOOKUP(E299,STUDENTS!F298:F100295,STUDENTS!H298:H100295)),"update STUDENT sheet")</f>
        <v/>
      </c>
    </row>
    <row r="300">
      <c r="B300">
        <f>IF(STUDENTS!B299="","",STUDENTS!B299)</f>
        <v/>
      </c>
      <c r="C300">
        <f>IFERROR(IF(B300="","",_xlfn.XLOOKUP(B300,STUDENTS!$B$3:$B$1048576,STUDENTS!$C$3:$C$1048576)),"Enter a registered reg. no")</f>
        <v/>
      </c>
      <c r="D300">
        <f>IFERROR(IF(B300="","",_xlfn.XLOOKUP(B300,STUDENTS!B299:B100296,STUDENTS!D299:D100296)),"update STUDENT sheet")</f>
        <v/>
      </c>
      <c r="E300">
        <f>IFERROR(IF(C300="","",_xlfn.XLOOKUP(C300,STUDENTS!C299:C100296,STUDENTS!F299:F100296)),"update STUDENT sheet")</f>
        <v/>
      </c>
      <c r="F300">
        <f>IFERROR(IF(D300="","",_xlfn.XLOOKUP(D300,STUDENTS!D299:D100296,STUDENTS!G299:G100296)),"update STUDENT sheet")</f>
        <v/>
      </c>
      <c r="G300">
        <f>IFERROR(IF(E300="","",_xlfn.XLOOKUP(E300,STUDENTS!F299:F100296,STUDENTS!H299:H100296)),"update STUDENT sheet")</f>
        <v/>
      </c>
    </row>
    <row r="301">
      <c r="B301">
        <f>IF(STUDENTS!B300="","",STUDENTS!B300)</f>
        <v/>
      </c>
      <c r="C301">
        <f>IFERROR(IF(B301="","",_xlfn.XLOOKUP(B301,STUDENTS!$B$3:$B$1048576,STUDENTS!$C$3:$C$1048576)),"Enter a registered reg. no")</f>
        <v/>
      </c>
      <c r="D301">
        <f>IFERROR(IF(B301="","",_xlfn.XLOOKUP(B301,STUDENTS!B300:B100297,STUDENTS!D300:D100297)),"update STUDENT sheet")</f>
        <v/>
      </c>
      <c r="E301">
        <f>IFERROR(IF(C301="","",_xlfn.XLOOKUP(C301,STUDENTS!C300:C100297,STUDENTS!F300:F100297)),"update STUDENT sheet")</f>
        <v/>
      </c>
      <c r="F301">
        <f>IFERROR(IF(D301="","",_xlfn.XLOOKUP(D301,STUDENTS!D300:D100297,STUDENTS!G300:G100297)),"update STUDENT sheet")</f>
        <v/>
      </c>
      <c r="G301">
        <f>IFERROR(IF(E301="","",_xlfn.XLOOKUP(E301,STUDENTS!F300:F100297,STUDENTS!H300:H100297)),"update STUDENT sheet")</f>
        <v/>
      </c>
    </row>
    <row r="302">
      <c r="B302">
        <f>IF(STUDENTS!B301="","",STUDENTS!B301)</f>
        <v/>
      </c>
      <c r="C302">
        <f>IFERROR(IF(B302="","",_xlfn.XLOOKUP(B302,STUDENTS!$B$3:$B$1048576,STUDENTS!$C$3:$C$1048576)),"Enter a registered reg. no")</f>
        <v/>
      </c>
      <c r="D302">
        <f>IFERROR(IF(B302="","",_xlfn.XLOOKUP(B302,STUDENTS!B301:B100298,STUDENTS!D301:D100298)),"update STUDENT sheet")</f>
        <v/>
      </c>
      <c r="E302">
        <f>IFERROR(IF(C302="","",_xlfn.XLOOKUP(C302,STUDENTS!C301:C100298,STUDENTS!F301:F100298)),"update STUDENT sheet")</f>
        <v/>
      </c>
      <c r="F302">
        <f>IFERROR(IF(D302="","",_xlfn.XLOOKUP(D302,STUDENTS!D301:D100298,STUDENTS!G301:G100298)),"update STUDENT sheet")</f>
        <v/>
      </c>
      <c r="G302">
        <f>IFERROR(IF(E302="","",_xlfn.XLOOKUP(E302,STUDENTS!F301:F100298,STUDENTS!H301:H100298)),"update STUDENT sheet")</f>
        <v/>
      </c>
    </row>
    <row r="303">
      <c r="B303">
        <f>IF(STUDENTS!B302="","",STUDENTS!B302)</f>
        <v/>
      </c>
      <c r="C303">
        <f>IFERROR(IF(B303="","",_xlfn.XLOOKUP(B303,STUDENTS!$B$3:$B$1048576,STUDENTS!$C$3:$C$1048576)),"Enter a registered reg. no")</f>
        <v/>
      </c>
      <c r="D303">
        <f>IFERROR(IF(B303="","",_xlfn.XLOOKUP(B303,STUDENTS!B302:B100299,STUDENTS!D302:D100299)),"update STUDENT sheet")</f>
        <v/>
      </c>
      <c r="E303">
        <f>IFERROR(IF(C303="","",_xlfn.XLOOKUP(C303,STUDENTS!C302:C100299,STUDENTS!F302:F100299)),"update STUDENT sheet")</f>
        <v/>
      </c>
      <c r="F303">
        <f>IFERROR(IF(D303="","",_xlfn.XLOOKUP(D303,STUDENTS!D302:D100299,STUDENTS!G302:G100299)),"update STUDENT sheet")</f>
        <v/>
      </c>
      <c r="G303">
        <f>IFERROR(IF(E303="","",_xlfn.XLOOKUP(E303,STUDENTS!F302:F100299,STUDENTS!H302:H100299)),"update STUDENT sheet")</f>
        <v/>
      </c>
    </row>
    <row r="304">
      <c r="B304">
        <f>IF(STUDENTS!B303="","",STUDENTS!B303)</f>
        <v/>
      </c>
      <c r="C304">
        <f>IFERROR(IF(B304="","",_xlfn.XLOOKUP(B304,STUDENTS!$B$3:$B$1048576,STUDENTS!$C$3:$C$1048576)),"Enter a registered reg. no")</f>
        <v/>
      </c>
      <c r="D304">
        <f>IFERROR(IF(B304="","",_xlfn.XLOOKUP(B304,STUDENTS!B303:B100300,STUDENTS!D303:D100300)),"update STUDENT sheet")</f>
        <v/>
      </c>
      <c r="E304">
        <f>IFERROR(IF(C304="","",_xlfn.XLOOKUP(C304,STUDENTS!C303:C100300,STUDENTS!F303:F100300)),"update STUDENT sheet")</f>
        <v/>
      </c>
      <c r="F304">
        <f>IFERROR(IF(D304="","",_xlfn.XLOOKUP(D304,STUDENTS!D303:D100300,STUDENTS!G303:G100300)),"update STUDENT sheet")</f>
        <v/>
      </c>
      <c r="G304">
        <f>IFERROR(IF(E304="","",_xlfn.XLOOKUP(E304,STUDENTS!F303:F100300,STUDENTS!H303:H100300)),"update STUDENT sheet")</f>
        <v/>
      </c>
    </row>
    <row r="305">
      <c r="B305">
        <f>IF(STUDENTS!B304="","",STUDENTS!B304)</f>
        <v/>
      </c>
      <c r="C305">
        <f>IFERROR(IF(B305="","",_xlfn.XLOOKUP(B305,STUDENTS!$B$3:$B$1048576,STUDENTS!$C$3:$C$1048576)),"Enter a registered reg. no")</f>
        <v/>
      </c>
      <c r="D305">
        <f>IFERROR(IF(B305="","",_xlfn.XLOOKUP(B305,STUDENTS!B304:B100301,STUDENTS!D304:D100301)),"update STUDENT sheet")</f>
        <v/>
      </c>
      <c r="E305">
        <f>IFERROR(IF(C305="","",_xlfn.XLOOKUP(C305,STUDENTS!C304:C100301,STUDENTS!F304:F100301)),"update STUDENT sheet")</f>
        <v/>
      </c>
      <c r="F305">
        <f>IFERROR(IF(D305="","",_xlfn.XLOOKUP(D305,STUDENTS!D304:D100301,STUDENTS!G304:G100301)),"update STUDENT sheet")</f>
        <v/>
      </c>
      <c r="G305">
        <f>IFERROR(IF(E305="","",_xlfn.XLOOKUP(E305,STUDENTS!F304:F100301,STUDENTS!H304:H100301)),"update STUDENT sheet")</f>
        <v/>
      </c>
    </row>
    <row r="306">
      <c r="B306">
        <f>IF(STUDENTS!B305="","",STUDENTS!B305)</f>
        <v/>
      </c>
      <c r="C306">
        <f>IFERROR(IF(B306="","",_xlfn.XLOOKUP(B306,STUDENTS!$B$3:$B$1048576,STUDENTS!$C$3:$C$1048576)),"Enter a registered reg. no")</f>
        <v/>
      </c>
      <c r="D306">
        <f>IFERROR(IF(B306="","",_xlfn.XLOOKUP(B306,STUDENTS!B305:B100302,STUDENTS!D305:D100302)),"update STUDENT sheet")</f>
        <v/>
      </c>
      <c r="E306">
        <f>IFERROR(IF(C306="","",_xlfn.XLOOKUP(C306,STUDENTS!C305:C100302,STUDENTS!F305:F100302)),"update STUDENT sheet")</f>
        <v/>
      </c>
      <c r="F306">
        <f>IFERROR(IF(D306="","",_xlfn.XLOOKUP(D306,STUDENTS!D305:D100302,STUDENTS!G305:G100302)),"update STUDENT sheet")</f>
        <v/>
      </c>
      <c r="G306">
        <f>IFERROR(IF(E306="","",_xlfn.XLOOKUP(E306,STUDENTS!F305:F100302,STUDENTS!H305:H100302)),"update STUDENT sheet")</f>
        <v/>
      </c>
    </row>
    <row r="307">
      <c r="B307">
        <f>IF(STUDENTS!B306="","",STUDENTS!B306)</f>
        <v/>
      </c>
      <c r="C307">
        <f>IFERROR(IF(B307="","",_xlfn.XLOOKUP(B307,STUDENTS!$B$3:$B$1048576,STUDENTS!$C$3:$C$1048576)),"Enter a registered reg. no")</f>
        <v/>
      </c>
      <c r="D307">
        <f>IFERROR(IF(B307="","",_xlfn.XLOOKUP(B307,STUDENTS!B306:B100303,STUDENTS!D306:D100303)),"update STUDENT sheet")</f>
        <v/>
      </c>
      <c r="E307">
        <f>IFERROR(IF(C307="","",_xlfn.XLOOKUP(C307,STUDENTS!C306:C100303,STUDENTS!F306:F100303)),"update STUDENT sheet")</f>
        <v/>
      </c>
      <c r="F307">
        <f>IFERROR(IF(D307="","",_xlfn.XLOOKUP(D307,STUDENTS!D306:D100303,STUDENTS!G306:G100303)),"update STUDENT sheet")</f>
        <v/>
      </c>
      <c r="G307">
        <f>IFERROR(IF(E307="","",_xlfn.XLOOKUP(E307,STUDENTS!F306:F100303,STUDENTS!H306:H100303)),"update STUDENT sheet")</f>
        <v/>
      </c>
    </row>
    <row r="308">
      <c r="B308">
        <f>IF(STUDENTS!B307="","",STUDENTS!B307)</f>
        <v/>
      </c>
      <c r="C308">
        <f>IFERROR(IF(B308="","",_xlfn.XLOOKUP(B308,STUDENTS!$B$3:$B$1048576,STUDENTS!$C$3:$C$1048576)),"Enter a registered reg. no")</f>
        <v/>
      </c>
      <c r="D308">
        <f>IFERROR(IF(B308="","",_xlfn.XLOOKUP(B308,STUDENTS!B307:B100304,STUDENTS!D307:D100304)),"update STUDENT sheet")</f>
        <v/>
      </c>
      <c r="E308">
        <f>IFERROR(IF(C308="","",_xlfn.XLOOKUP(C308,STUDENTS!C307:C100304,STUDENTS!F307:F100304)),"update STUDENT sheet")</f>
        <v/>
      </c>
      <c r="F308">
        <f>IFERROR(IF(D308="","",_xlfn.XLOOKUP(D308,STUDENTS!D307:D100304,STUDENTS!G307:G100304)),"update STUDENT sheet")</f>
        <v/>
      </c>
      <c r="G308">
        <f>IFERROR(IF(E308="","",_xlfn.XLOOKUP(E308,STUDENTS!F307:F100304,STUDENTS!H307:H100304)),"update STUDENT sheet")</f>
        <v/>
      </c>
    </row>
    <row r="309">
      <c r="B309">
        <f>IF(STUDENTS!B308="","",STUDENTS!B308)</f>
        <v/>
      </c>
      <c r="C309">
        <f>IFERROR(IF(B309="","",_xlfn.XLOOKUP(B309,STUDENTS!$B$3:$B$1048576,STUDENTS!$C$3:$C$1048576)),"Enter a registered reg. no")</f>
        <v/>
      </c>
      <c r="D309">
        <f>IFERROR(IF(B309="","",_xlfn.XLOOKUP(B309,STUDENTS!B308:B100305,STUDENTS!D308:D100305)),"update STUDENT sheet")</f>
        <v/>
      </c>
      <c r="E309">
        <f>IFERROR(IF(C309="","",_xlfn.XLOOKUP(C309,STUDENTS!C308:C100305,STUDENTS!F308:F100305)),"update STUDENT sheet")</f>
        <v/>
      </c>
      <c r="F309">
        <f>IFERROR(IF(D309="","",_xlfn.XLOOKUP(D309,STUDENTS!D308:D100305,STUDENTS!G308:G100305)),"update STUDENT sheet")</f>
        <v/>
      </c>
      <c r="G309">
        <f>IFERROR(IF(E309="","",_xlfn.XLOOKUP(E309,STUDENTS!F308:F100305,STUDENTS!H308:H100305)),"update STUDENT sheet")</f>
        <v/>
      </c>
    </row>
    <row r="310">
      <c r="B310">
        <f>IF(STUDENTS!B309="","",STUDENTS!B309)</f>
        <v/>
      </c>
      <c r="C310">
        <f>IFERROR(IF(B310="","",_xlfn.XLOOKUP(B310,STUDENTS!$B$3:$B$1048576,STUDENTS!$C$3:$C$1048576)),"Enter a registered reg. no")</f>
        <v/>
      </c>
      <c r="D310">
        <f>IFERROR(IF(B310="","",_xlfn.XLOOKUP(B310,STUDENTS!B309:B100306,STUDENTS!D309:D100306)),"update STUDENT sheet")</f>
        <v/>
      </c>
      <c r="E310">
        <f>IFERROR(IF(C310="","",_xlfn.XLOOKUP(C310,STUDENTS!C309:C100306,STUDENTS!F309:F100306)),"update STUDENT sheet")</f>
        <v/>
      </c>
      <c r="F310">
        <f>IFERROR(IF(D310="","",_xlfn.XLOOKUP(D310,STUDENTS!D309:D100306,STUDENTS!G309:G100306)),"update STUDENT sheet")</f>
        <v/>
      </c>
      <c r="G310">
        <f>IFERROR(IF(E310="","",_xlfn.XLOOKUP(E310,STUDENTS!F309:F100306,STUDENTS!H309:H100306)),"update STUDENT sheet")</f>
        <v/>
      </c>
    </row>
    <row r="311">
      <c r="B311">
        <f>IF(STUDENTS!B310="","",STUDENTS!B310)</f>
        <v/>
      </c>
      <c r="C311">
        <f>IFERROR(IF(B311="","",_xlfn.XLOOKUP(B311,STUDENTS!$B$3:$B$1048576,STUDENTS!$C$3:$C$1048576)),"Enter a registered reg. no")</f>
        <v/>
      </c>
      <c r="D311">
        <f>IFERROR(IF(B311="","",_xlfn.XLOOKUP(B311,STUDENTS!B310:B100307,STUDENTS!D310:D100307)),"update STUDENT sheet")</f>
        <v/>
      </c>
      <c r="E311">
        <f>IFERROR(IF(C311="","",_xlfn.XLOOKUP(C311,STUDENTS!C310:C100307,STUDENTS!F310:F100307)),"update STUDENT sheet")</f>
        <v/>
      </c>
      <c r="F311">
        <f>IFERROR(IF(D311="","",_xlfn.XLOOKUP(D311,STUDENTS!D310:D100307,STUDENTS!G310:G100307)),"update STUDENT sheet")</f>
        <v/>
      </c>
      <c r="G311">
        <f>IFERROR(IF(E311="","",_xlfn.XLOOKUP(E311,STUDENTS!F310:F100307,STUDENTS!H310:H100307)),"update STUDENT sheet")</f>
        <v/>
      </c>
    </row>
    <row r="312">
      <c r="B312">
        <f>IF(STUDENTS!B311="","",STUDENTS!B311)</f>
        <v/>
      </c>
      <c r="C312">
        <f>IFERROR(IF(B312="","",_xlfn.XLOOKUP(B312,STUDENTS!$B$3:$B$1048576,STUDENTS!$C$3:$C$1048576)),"Enter a registered reg. no")</f>
        <v/>
      </c>
      <c r="D312">
        <f>IFERROR(IF(B312="","",_xlfn.XLOOKUP(B312,STUDENTS!B311:B100308,STUDENTS!D311:D100308)),"update STUDENT sheet")</f>
        <v/>
      </c>
      <c r="E312">
        <f>IFERROR(IF(C312="","",_xlfn.XLOOKUP(C312,STUDENTS!C311:C100308,STUDENTS!F311:F100308)),"update STUDENT sheet")</f>
        <v/>
      </c>
      <c r="F312">
        <f>IFERROR(IF(D312="","",_xlfn.XLOOKUP(D312,STUDENTS!D311:D100308,STUDENTS!G311:G100308)),"update STUDENT sheet")</f>
        <v/>
      </c>
      <c r="G312">
        <f>IFERROR(IF(E312="","",_xlfn.XLOOKUP(E312,STUDENTS!F311:F100308,STUDENTS!H311:H100308)),"update STUDENT sheet")</f>
        <v/>
      </c>
    </row>
    <row r="313">
      <c r="B313">
        <f>IF(STUDENTS!B312="","",STUDENTS!B312)</f>
        <v/>
      </c>
      <c r="C313">
        <f>IFERROR(IF(B313="","",_xlfn.XLOOKUP(B313,STUDENTS!$B$3:$B$1048576,STUDENTS!$C$3:$C$1048576)),"Enter a registered reg. no")</f>
        <v/>
      </c>
      <c r="D313">
        <f>IFERROR(IF(B313="","",_xlfn.XLOOKUP(B313,STUDENTS!B312:B100309,STUDENTS!D312:D100309)),"update STUDENT sheet")</f>
        <v/>
      </c>
      <c r="E313">
        <f>IFERROR(IF(C313="","",_xlfn.XLOOKUP(C313,STUDENTS!C312:C100309,STUDENTS!F312:F100309)),"update STUDENT sheet")</f>
        <v/>
      </c>
      <c r="F313">
        <f>IFERROR(IF(D313="","",_xlfn.XLOOKUP(D313,STUDENTS!D312:D100309,STUDENTS!G312:G100309)),"update STUDENT sheet")</f>
        <v/>
      </c>
      <c r="G313">
        <f>IFERROR(IF(E313="","",_xlfn.XLOOKUP(E313,STUDENTS!F312:F100309,STUDENTS!H312:H100309)),"update STUDENT sheet")</f>
        <v/>
      </c>
    </row>
    <row r="314">
      <c r="B314">
        <f>IF(STUDENTS!B313="","",STUDENTS!B313)</f>
        <v/>
      </c>
      <c r="C314">
        <f>IFERROR(IF(B314="","",_xlfn.XLOOKUP(B314,STUDENTS!$B$3:$B$1048576,STUDENTS!$C$3:$C$1048576)),"Enter a registered reg. no")</f>
        <v/>
      </c>
      <c r="D314">
        <f>IFERROR(IF(B314="","",_xlfn.XLOOKUP(B314,STUDENTS!B313:B100310,STUDENTS!D313:D100310)),"update STUDENT sheet")</f>
        <v/>
      </c>
      <c r="E314">
        <f>IFERROR(IF(C314="","",_xlfn.XLOOKUP(C314,STUDENTS!C313:C100310,STUDENTS!F313:F100310)),"update STUDENT sheet")</f>
        <v/>
      </c>
      <c r="F314">
        <f>IFERROR(IF(D314="","",_xlfn.XLOOKUP(D314,STUDENTS!D313:D100310,STUDENTS!G313:G100310)),"update STUDENT sheet")</f>
        <v/>
      </c>
      <c r="G314">
        <f>IFERROR(IF(E314="","",_xlfn.XLOOKUP(E314,STUDENTS!F313:F100310,STUDENTS!H313:H100310)),"update STUDENT sheet")</f>
        <v/>
      </c>
    </row>
    <row r="315">
      <c r="B315">
        <f>IF(STUDENTS!B314="","",STUDENTS!B314)</f>
        <v/>
      </c>
      <c r="C315">
        <f>IFERROR(IF(B315="","",_xlfn.XLOOKUP(B315,STUDENTS!$B$3:$B$1048576,STUDENTS!$C$3:$C$1048576)),"Enter a registered reg. no")</f>
        <v/>
      </c>
      <c r="D315">
        <f>IFERROR(IF(B315="","",_xlfn.XLOOKUP(B315,STUDENTS!B314:B100311,STUDENTS!D314:D100311)),"update STUDENT sheet")</f>
        <v/>
      </c>
      <c r="E315">
        <f>IFERROR(IF(C315="","",_xlfn.XLOOKUP(C315,STUDENTS!C314:C100311,STUDENTS!F314:F100311)),"update STUDENT sheet")</f>
        <v/>
      </c>
      <c r="F315">
        <f>IFERROR(IF(D315="","",_xlfn.XLOOKUP(D315,STUDENTS!D314:D100311,STUDENTS!G314:G100311)),"update STUDENT sheet")</f>
        <v/>
      </c>
      <c r="G315">
        <f>IFERROR(IF(E315="","",_xlfn.XLOOKUP(E315,STUDENTS!F314:F100311,STUDENTS!H314:H100311)),"update STUDENT sheet")</f>
        <v/>
      </c>
    </row>
    <row r="316">
      <c r="B316">
        <f>IF(STUDENTS!B315="","",STUDENTS!B315)</f>
        <v/>
      </c>
      <c r="C316">
        <f>IFERROR(IF(B316="","",_xlfn.XLOOKUP(B316,STUDENTS!$B$3:$B$1048576,STUDENTS!$C$3:$C$1048576)),"Enter a registered reg. no")</f>
        <v/>
      </c>
      <c r="D316">
        <f>IFERROR(IF(B316="","",_xlfn.XLOOKUP(B316,STUDENTS!B315:B100312,STUDENTS!D315:D100312)),"update STUDENT sheet")</f>
        <v/>
      </c>
      <c r="E316">
        <f>IFERROR(IF(C316="","",_xlfn.XLOOKUP(C316,STUDENTS!C315:C100312,STUDENTS!F315:F100312)),"update STUDENT sheet")</f>
        <v/>
      </c>
      <c r="F316">
        <f>IFERROR(IF(D316="","",_xlfn.XLOOKUP(D316,STUDENTS!D315:D100312,STUDENTS!G315:G100312)),"update STUDENT sheet")</f>
        <v/>
      </c>
      <c r="G316">
        <f>IFERROR(IF(E316="","",_xlfn.XLOOKUP(E316,STUDENTS!F315:F100312,STUDENTS!H315:H100312)),"update STUDENT sheet")</f>
        <v/>
      </c>
    </row>
    <row r="317">
      <c r="B317">
        <f>IF(STUDENTS!B316="","",STUDENTS!B316)</f>
        <v/>
      </c>
      <c r="C317">
        <f>IFERROR(IF(B317="","",_xlfn.XLOOKUP(B317,STUDENTS!$B$3:$B$1048576,STUDENTS!$C$3:$C$1048576)),"Enter a registered reg. no")</f>
        <v/>
      </c>
      <c r="D317">
        <f>IFERROR(IF(B317="","",_xlfn.XLOOKUP(B317,STUDENTS!B316:B100313,STUDENTS!D316:D100313)),"update STUDENT sheet")</f>
        <v/>
      </c>
      <c r="E317">
        <f>IFERROR(IF(C317="","",_xlfn.XLOOKUP(C317,STUDENTS!C316:C100313,STUDENTS!F316:F100313)),"update STUDENT sheet")</f>
        <v/>
      </c>
      <c r="F317">
        <f>IFERROR(IF(D317="","",_xlfn.XLOOKUP(D317,STUDENTS!D316:D100313,STUDENTS!G316:G100313)),"update STUDENT sheet")</f>
        <v/>
      </c>
      <c r="G317">
        <f>IFERROR(IF(E317="","",_xlfn.XLOOKUP(E317,STUDENTS!F316:F100313,STUDENTS!H316:H100313)),"update STUDENT sheet")</f>
        <v/>
      </c>
    </row>
    <row r="318">
      <c r="B318">
        <f>IF(STUDENTS!B317="","",STUDENTS!B317)</f>
        <v/>
      </c>
      <c r="C318">
        <f>IFERROR(IF(B318="","",_xlfn.XLOOKUP(B318,STUDENTS!$B$3:$B$1048576,STUDENTS!$C$3:$C$1048576)),"Enter a registered reg. no")</f>
        <v/>
      </c>
      <c r="D318">
        <f>IFERROR(IF(B318="","",_xlfn.XLOOKUP(B318,STUDENTS!B317:B100314,STUDENTS!D317:D100314)),"update STUDENT sheet")</f>
        <v/>
      </c>
      <c r="E318">
        <f>IFERROR(IF(C318="","",_xlfn.XLOOKUP(C318,STUDENTS!C317:C100314,STUDENTS!F317:F100314)),"update STUDENT sheet")</f>
        <v/>
      </c>
      <c r="F318">
        <f>IFERROR(IF(D318="","",_xlfn.XLOOKUP(D318,STUDENTS!D317:D100314,STUDENTS!G317:G100314)),"update STUDENT sheet")</f>
        <v/>
      </c>
      <c r="G318">
        <f>IFERROR(IF(E318="","",_xlfn.XLOOKUP(E318,STUDENTS!F317:F100314,STUDENTS!H317:H100314)),"update STUDENT sheet")</f>
        <v/>
      </c>
    </row>
    <row r="319">
      <c r="B319">
        <f>IF(STUDENTS!B318="","",STUDENTS!B318)</f>
        <v/>
      </c>
      <c r="C319">
        <f>IFERROR(IF(B319="","",_xlfn.XLOOKUP(B319,STUDENTS!$B$3:$B$1048576,STUDENTS!$C$3:$C$1048576)),"Enter a registered reg. no")</f>
        <v/>
      </c>
      <c r="D319">
        <f>IFERROR(IF(B319="","",_xlfn.XLOOKUP(B319,STUDENTS!B318:B100315,STUDENTS!D318:D100315)),"update STUDENT sheet")</f>
        <v/>
      </c>
      <c r="E319">
        <f>IFERROR(IF(C319="","",_xlfn.XLOOKUP(C319,STUDENTS!C318:C100315,STUDENTS!F318:F100315)),"update STUDENT sheet")</f>
        <v/>
      </c>
      <c r="F319">
        <f>IFERROR(IF(D319="","",_xlfn.XLOOKUP(D319,STUDENTS!D318:D100315,STUDENTS!G318:G100315)),"update STUDENT sheet")</f>
        <v/>
      </c>
      <c r="G319">
        <f>IFERROR(IF(E319="","",_xlfn.XLOOKUP(E319,STUDENTS!F318:F100315,STUDENTS!H318:H100315)),"update STUDENT sheet")</f>
        <v/>
      </c>
    </row>
    <row r="320">
      <c r="B320">
        <f>IF(STUDENTS!B319="","",STUDENTS!B319)</f>
        <v/>
      </c>
      <c r="C320">
        <f>IFERROR(IF(B320="","",_xlfn.XLOOKUP(B320,STUDENTS!$B$3:$B$1048576,STUDENTS!$C$3:$C$1048576)),"Enter a registered reg. no")</f>
        <v/>
      </c>
      <c r="D320">
        <f>IFERROR(IF(B320="","",_xlfn.XLOOKUP(B320,STUDENTS!B319:B100316,STUDENTS!D319:D100316)),"update STUDENT sheet")</f>
        <v/>
      </c>
      <c r="E320">
        <f>IFERROR(IF(C320="","",_xlfn.XLOOKUP(C320,STUDENTS!C319:C100316,STUDENTS!F319:F100316)),"update STUDENT sheet")</f>
        <v/>
      </c>
      <c r="F320">
        <f>IFERROR(IF(D320="","",_xlfn.XLOOKUP(D320,STUDENTS!D319:D100316,STUDENTS!G319:G100316)),"update STUDENT sheet")</f>
        <v/>
      </c>
      <c r="G320">
        <f>IFERROR(IF(E320="","",_xlfn.XLOOKUP(E320,STUDENTS!F319:F100316,STUDENTS!H319:H100316)),"update STUDENT sheet")</f>
        <v/>
      </c>
    </row>
    <row r="321">
      <c r="B321">
        <f>IF(STUDENTS!B320="","",STUDENTS!B320)</f>
        <v/>
      </c>
      <c r="C321">
        <f>IFERROR(IF(B321="","",_xlfn.XLOOKUP(B321,STUDENTS!$B$3:$B$1048576,STUDENTS!$C$3:$C$1048576)),"Enter a registered reg. no")</f>
        <v/>
      </c>
      <c r="D321">
        <f>IFERROR(IF(B321="","",_xlfn.XLOOKUP(B321,STUDENTS!B320:B100317,STUDENTS!D320:D100317)),"update STUDENT sheet")</f>
        <v/>
      </c>
      <c r="E321">
        <f>IFERROR(IF(C321="","",_xlfn.XLOOKUP(C321,STUDENTS!C320:C100317,STUDENTS!F320:F100317)),"update STUDENT sheet")</f>
        <v/>
      </c>
      <c r="F321">
        <f>IFERROR(IF(D321="","",_xlfn.XLOOKUP(D321,STUDENTS!D320:D100317,STUDENTS!G320:G100317)),"update STUDENT sheet")</f>
        <v/>
      </c>
      <c r="G321">
        <f>IFERROR(IF(E321="","",_xlfn.XLOOKUP(E321,STUDENTS!F320:F100317,STUDENTS!H320:H100317)),"update STUDENT sheet")</f>
        <v/>
      </c>
    </row>
    <row r="322">
      <c r="B322">
        <f>IF(STUDENTS!B321="","",STUDENTS!B321)</f>
        <v/>
      </c>
      <c r="C322">
        <f>IFERROR(IF(B322="","",_xlfn.XLOOKUP(B322,STUDENTS!$B$3:$B$1048576,STUDENTS!$C$3:$C$1048576)),"Enter a registered reg. no")</f>
        <v/>
      </c>
      <c r="D322">
        <f>IFERROR(IF(B322="","",_xlfn.XLOOKUP(B322,STUDENTS!B321:B100318,STUDENTS!D321:D100318)),"update STUDENT sheet")</f>
        <v/>
      </c>
      <c r="E322">
        <f>IFERROR(IF(C322="","",_xlfn.XLOOKUP(C322,STUDENTS!C321:C100318,STUDENTS!F321:F100318)),"update STUDENT sheet")</f>
        <v/>
      </c>
      <c r="F322">
        <f>IFERROR(IF(D322="","",_xlfn.XLOOKUP(D322,STUDENTS!D321:D100318,STUDENTS!G321:G100318)),"update STUDENT sheet")</f>
        <v/>
      </c>
      <c r="G322">
        <f>IFERROR(IF(E322="","",_xlfn.XLOOKUP(E322,STUDENTS!F321:F100318,STUDENTS!H321:H100318)),"update STUDENT sheet")</f>
        <v/>
      </c>
    </row>
    <row r="323">
      <c r="B323">
        <f>IF(STUDENTS!B322="","",STUDENTS!B322)</f>
        <v/>
      </c>
      <c r="C323">
        <f>IFERROR(IF(B323="","",_xlfn.XLOOKUP(B323,STUDENTS!$B$3:$B$1048576,STUDENTS!$C$3:$C$1048576)),"Enter a registered reg. no")</f>
        <v/>
      </c>
      <c r="D323">
        <f>IFERROR(IF(B323="","",_xlfn.XLOOKUP(B323,STUDENTS!B322:B100319,STUDENTS!D322:D100319)),"update STUDENT sheet")</f>
        <v/>
      </c>
      <c r="E323">
        <f>IFERROR(IF(C323="","",_xlfn.XLOOKUP(C323,STUDENTS!C322:C100319,STUDENTS!F322:F100319)),"update STUDENT sheet")</f>
        <v/>
      </c>
      <c r="F323">
        <f>IFERROR(IF(D323="","",_xlfn.XLOOKUP(D323,STUDENTS!D322:D100319,STUDENTS!G322:G100319)),"update STUDENT sheet")</f>
        <v/>
      </c>
      <c r="G323">
        <f>IFERROR(IF(E323="","",_xlfn.XLOOKUP(E323,STUDENTS!F322:F100319,STUDENTS!H322:H100319)),"update STUDENT sheet")</f>
        <v/>
      </c>
    </row>
    <row r="324">
      <c r="B324">
        <f>IF(STUDENTS!B323="","",STUDENTS!B323)</f>
        <v/>
      </c>
      <c r="C324">
        <f>IFERROR(IF(B324="","",_xlfn.XLOOKUP(B324,STUDENTS!$B$3:$B$1048576,STUDENTS!$C$3:$C$1048576)),"Enter a registered reg. no")</f>
        <v/>
      </c>
      <c r="D324">
        <f>IFERROR(IF(B324="","",_xlfn.XLOOKUP(B324,STUDENTS!B323:B100320,STUDENTS!D323:D100320)),"update STUDENT sheet")</f>
        <v/>
      </c>
      <c r="E324">
        <f>IFERROR(IF(C324="","",_xlfn.XLOOKUP(C324,STUDENTS!C323:C100320,STUDENTS!F323:F100320)),"update STUDENT sheet")</f>
        <v/>
      </c>
      <c r="F324">
        <f>IFERROR(IF(D324="","",_xlfn.XLOOKUP(D324,STUDENTS!D323:D100320,STUDENTS!G323:G100320)),"update STUDENT sheet")</f>
        <v/>
      </c>
      <c r="G324">
        <f>IFERROR(IF(E324="","",_xlfn.XLOOKUP(E324,STUDENTS!F323:F100320,STUDENTS!H323:H100320)),"update STUDENT sheet")</f>
        <v/>
      </c>
    </row>
    <row r="325">
      <c r="B325">
        <f>IF(STUDENTS!B324="","",STUDENTS!B324)</f>
        <v/>
      </c>
      <c r="C325">
        <f>IFERROR(IF(B325="","",_xlfn.XLOOKUP(B325,STUDENTS!$B$3:$B$1048576,STUDENTS!$C$3:$C$1048576)),"Enter a registered reg. no")</f>
        <v/>
      </c>
      <c r="D325">
        <f>IFERROR(IF(B325="","",_xlfn.XLOOKUP(B325,STUDENTS!B324:B100321,STUDENTS!D324:D100321)),"update STUDENT sheet")</f>
        <v/>
      </c>
      <c r="E325">
        <f>IFERROR(IF(C325="","",_xlfn.XLOOKUP(C325,STUDENTS!C324:C100321,STUDENTS!F324:F100321)),"update STUDENT sheet")</f>
        <v/>
      </c>
      <c r="F325">
        <f>IFERROR(IF(D325="","",_xlfn.XLOOKUP(D325,STUDENTS!D324:D100321,STUDENTS!G324:G100321)),"update STUDENT sheet")</f>
        <v/>
      </c>
      <c r="G325">
        <f>IFERROR(IF(E325="","",_xlfn.XLOOKUP(E325,STUDENTS!F324:F100321,STUDENTS!H324:H100321)),"update STUDENT sheet")</f>
        <v/>
      </c>
    </row>
    <row r="326">
      <c r="B326">
        <f>IF(STUDENTS!B325="","",STUDENTS!B325)</f>
        <v/>
      </c>
      <c r="C326">
        <f>IFERROR(IF(B326="","",_xlfn.XLOOKUP(B326,STUDENTS!$B$3:$B$1048576,STUDENTS!$C$3:$C$1048576)),"Enter a registered reg. no")</f>
        <v/>
      </c>
      <c r="D326">
        <f>IFERROR(IF(B326="","",_xlfn.XLOOKUP(B326,STUDENTS!B325:B100322,STUDENTS!D325:D100322)),"update STUDENT sheet")</f>
        <v/>
      </c>
      <c r="E326">
        <f>IFERROR(IF(C326="","",_xlfn.XLOOKUP(C326,STUDENTS!C325:C100322,STUDENTS!F325:F100322)),"update STUDENT sheet")</f>
        <v/>
      </c>
      <c r="F326">
        <f>IFERROR(IF(D326="","",_xlfn.XLOOKUP(D326,STUDENTS!D325:D100322,STUDENTS!G325:G100322)),"update STUDENT sheet")</f>
        <v/>
      </c>
      <c r="G326">
        <f>IFERROR(IF(E326="","",_xlfn.XLOOKUP(E326,STUDENTS!F325:F100322,STUDENTS!H325:H100322)),"update STUDENT sheet")</f>
        <v/>
      </c>
    </row>
    <row r="327">
      <c r="B327">
        <f>IF(STUDENTS!B326="","",STUDENTS!B326)</f>
        <v/>
      </c>
      <c r="C327">
        <f>IFERROR(IF(B327="","",_xlfn.XLOOKUP(B327,STUDENTS!$B$3:$B$1048576,STUDENTS!$C$3:$C$1048576)),"Enter a registered reg. no")</f>
        <v/>
      </c>
      <c r="D327">
        <f>IFERROR(IF(B327="","",_xlfn.XLOOKUP(B327,STUDENTS!B326:B100323,STUDENTS!D326:D100323)),"update STUDENT sheet")</f>
        <v/>
      </c>
      <c r="E327">
        <f>IFERROR(IF(C327="","",_xlfn.XLOOKUP(C327,STUDENTS!C326:C100323,STUDENTS!F326:F100323)),"update STUDENT sheet")</f>
        <v/>
      </c>
      <c r="F327">
        <f>IFERROR(IF(D327="","",_xlfn.XLOOKUP(D327,STUDENTS!D326:D100323,STUDENTS!G326:G100323)),"update STUDENT sheet")</f>
        <v/>
      </c>
      <c r="G327">
        <f>IFERROR(IF(E327="","",_xlfn.XLOOKUP(E327,STUDENTS!F326:F100323,STUDENTS!H326:H100323)),"update STUDENT sheet")</f>
        <v/>
      </c>
    </row>
    <row r="328">
      <c r="B328">
        <f>IF(STUDENTS!B327="","",STUDENTS!B327)</f>
        <v/>
      </c>
      <c r="C328">
        <f>IFERROR(IF(B328="","",_xlfn.XLOOKUP(B328,STUDENTS!$B$3:$B$1048576,STUDENTS!$C$3:$C$1048576)),"Enter a registered reg. no")</f>
        <v/>
      </c>
      <c r="D328">
        <f>IFERROR(IF(B328="","",_xlfn.XLOOKUP(B328,STUDENTS!B327:B100324,STUDENTS!D327:D100324)),"update STUDENT sheet")</f>
        <v/>
      </c>
      <c r="E328">
        <f>IFERROR(IF(C328="","",_xlfn.XLOOKUP(C328,STUDENTS!C327:C100324,STUDENTS!F327:F100324)),"update STUDENT sheet")</f>
        <v/>
      </c>
      <c r="F328">
        <f>IFERROR(IF(D328="","",_xlfn.XLOOKUP(D328,STUDENTS!D327:D100324,STUDENTS!G327:G100324)),"update STUDENT sheet")</f>
        <v/>
      </c>
      <c r="G328">
        <f>IFERROR(IF(E328="","",_xlfn.XLOOKUP(E328,STUDENTS!F327:F100324,STUDENTS!H327:H100324)),"update STUDENT sheet")</f>
        <v/>
      </c>
    </row>
    <row r="329">
      <c r="B329">
        <f>IF(STUDENTS!B328="","",STUDENTS!B328)</f>
        <v/>
      </c>
      <c r="C329">
        <f>IFERROR(IF(B329="","",_xlfn.XLOOKUP(B329,STUDENTS!$B$3:$B$1048576,STUDENTS!$C$3:$C$1048576)),"Enter a registered reg. no")</f>
        <v/>
      </c>
      <c r="D329">
        <f>IFERROR(IF(B329="","",_xlfn.XLOOKUP(B329,STUDENTS!B328:B100325,STUDENTS!D328:D100325)),"update STUDENT sheet")</f>
        <v/>
      </c>
      <c r="E329">
        <f>IFERROR(IF(C329="","",_xlfn.XLOOKUP(C329,STUDENTS!C328:C100325,STUDENTS!F328:F100325)),"update STUDENT sheet")</f>
        <v/>
      </c>
      <c r="F329">
        <f>IFERROR(IF(D329="","",_xlfn.XLOOKUP(D329,STUDENTS!D328:D100325,STUDENTS!G328:G100325)),"update STUDENT sheet")</f>
        <v/>
      </c>
      <c r="G329">
        <f>IFERROR(IF(E329="","",_xlfn.XLOOKUP(E329,STUDENTS!F328:F100325,STUDENTS!H328:H100325)),"update STUDENT sheet")</f>
        <v/>
      </c>
    </row>
    <row r="330">
      <c r="B330">
        <f>IF(STUDENTS!B329="","",STUDENTS!B329)</f>
        <v/>
      </c>
      <c r="C330">
        <f>IFERROR(IF(B330="","",_xlfn.XLOOKUP(B330,STUDENTS!$B$3:$B$1048576,STUDENTS!$C$3:$C$1048576)),"Enter a registered reg. no")</f>
        <v/>
      </c>
      <c r="D330">
        <f>IFERROR(IF(B330="","",_xlfn.XLOOKUP(B330,STUDENTS!B329:B100326,STUDENTS!D329:D100326)),"update STUDENT sheet")</f>
        <v/>
      </c>
      <c r="E330">
        <f>IFERROR(IF(C330="","",_xlfn.XLOOKUP(C330,STUDENTS!C329:C100326,STUDENTS!F329:F100326)),"update STUDENT sheet")</f>
        <v/>
      </c>
      <c r="F330">
        <f>IFERROR(IF(D330="","",_xlfn.XLOOKUP(D330,STUDENTS!D329:D100326,STUDENTS!G329:G100326)),"update STUDENT sheet")</f>
        <v/>
      </c>
      <c r="G330">
        <f>IFERROR(IF(E330="","",_xlfn.XLOOKUP(E330,STUDENTS!F329:F100326,STUDENTS!H329:H100326)),"update STUDENT sheet")</f>
        <v/>
      </c>
    </row>
    <row r="331">
      <c r="B331">
        <f>IF(STUDENTS!B330="","",STUDENTS!B330)</f>
        <v/>
      </c>
      <c r="C331">
        <f>IFERROR(IF(B331="","",_xlfn.XLOOKUP(B331,STUDENTS!$B$3:$B$1048576,STUDENTS!$C$3:$C$1048576)),"Enter a registered reg. no")</f>
        <v/>
      </c>
      <c r="D331">
        <f>IFERROR(IF(B331="","",_xlfn.XLOOKUP(B331,STUDENTS!B330:B100327,STUDENTS!D330:D100327)),"update STUDENT sheet")</f>
        <v/>
      </c>
      <c r="E331">
        <f>IFERROR(IF(C331="","",_xlfn.XLOOKUP(C331,STUDENTS!C330:C100327,STUDENTS!F330:F100327)),"update STUDENT sheet")</f>
        <v/>
      </c>
      <c r="F331">
        <f>IFERROR(IF(D331="","",_xlfn.XLOOKUP(D331,STUDENTS!D330:D100327,STUDENTS!G330:G100327)),"update STUDENT sheet")</f>
        <v/>
      </c>
      <c r="G331">
        <f>IFERROR(IF(E331="","",_xlfn.XLOOKUP(E331,STUDENTS!F330:F100327,STUDENTS!H330:H100327)),"update STUDENT sheet")</f>
        <v/>
      </c>
    </row>
    <row r="332">
      <c r="B332">
        <f>IF(STUDENTS!B331="","",STUDENTS!B331)</f>
        <v/>
      </c>
      <c r="C332">
        <f>IFERROR(IF(B332="","",_xlfn.XLOOKUP(B332,STUDENTS!$B$3:$B$1048576,STUDENTS!$C$3:$C$1048576)),"Enter a registered reg. no")</f>
        <v/>
      </c>
      <c r="D332">
        <f>IFERROR(IF(B332="","",_xlfn.XLOOKUP(B332,STUDENTS!B331:B100328,STUDENTS!D331:D100328)),"update STUDENT sheet")</f>
        <v/>
      </c>
      <c r="E332">
        <f>IFERROR(IF(C332="","",_xlfn.XLOOKUP(C332,STUDENTS!C331:C100328,STUDENTS!F331:F100328)),"update STUDENT sheet")</f>
        <v/>
      </c>
      <c r="F332">
        <f>IFERROR(IF(D332="","",_xlfn.XLOOKUP(D332,STUDENTS!D331:D100328,STUDENTS!G331:G100328)),"update STUDENT sheet")</f>
        <v/>
      </c>
      <c r="G332">
        <f>IFERROR(IF(E332="","",_xlfn.XLOOKUP(E332,STUDENTS!F331:F100328,STUDENTS!H331:H100328)),"update STUDENT sheet")</f>
        <v/>
      </c>
    </row>
    <row r="333">
      <c r="B333">
        <f>IF(STUDENTS!B332="","",STUDENTS!B332)</f>
        <v/>
      </c>
      <c r="C333">
        <f>IFERROR(IF(B333="","",_xlfn.XLOOKUP(B333,STUDENTS!$B$3:$B$1048576,STUDENTS!$C$3:$C$1048576)),"Enter a registered reg. no")</f>
        <v/>
      </c>
      <c r="D333">
        <f>IFERROR(IF(B333="","",_xlfn.XLOOKUP(B333,STUDENTS!B332:B100329,STUDENTS!D332:D100329)),"update STUDENT sheet")</f>
        <v/>
      </c>
      <c r="E333">
        <f>IFERROR(IF(C333="","",_xlfn.XLOOKUP(C333,STUDENTS!C332:C100329,STUDENTS!F332:F100329)),"update STUDENT sheet")</f>
        <v/>
      </c>
      <c r="F333">
        <f>IFERROR(IF(D333="","",_xlfn.XLOOKUP(D333,STUDENTS!D332:D100329,STUDENTS!G332:G100329)),"update STUDENT sheet")</f>
        <v/>
      </c>
      <c r="G333">
        <f>IFERROR(IF(E333="","",_xlfn.XLOOKUP(E333,STUDENTS!F332:F100329,STUDENTS!H332:H100329)),"update STUDENT sheet")</f>
        <v/>
      </c>
    </row>
    <row r="334">
      <c r="B334">
        <f>IF(STUDENTS!B333="","",STUDENTS!B333)</f>
        <v/>
      </c>
      <c r="C334">
        <f>IFERROR(IF(B334="","",_xlfn.XLOOKUP(B334,STUDENTS!$B$3:$B$1048576,STUDENTS!$C$3:$C$1048576)),"Enter a registered reg. no")</f>
        <v/>
      </c>
      <c r="D334">
        <f>IFERROR(IF(B334="","",_xlfn.XLOOKUP(B334,STUDENTS!B333:B100330,STUDENTS!D333:D100330)),"update STUDENT sheet")</f>
        <v/>
      </c>
      <c r="E334">
        <f>IFERROR(IF(C334="","",_xlfn.XLOOKUP(C334,STUDENTS!C333:C100330,STUDENTS!F333:F100330)),"update STUDENT sheet")</f>
        <v/>
      </c>
      <c r="F334">
        <f>IFERROR(IF(D334="","",_xlfn.XLOOKUP(D334,STUDENTS!D333:D100330,STUDENTS!G333:G100330)),"update STUDENT sheet")</f>
        <v/>
      </c>
      <c r="G334">
        <f>IFERROR(IF(E334="","",_xlfn.XLOOKUP(E334,STUDENTS!F333:F100330,STUDENTS!H333:H100330)),"update STUDENT sheet")</f>
        <v/>
      </c>
    </row>
    <row r="335">
      <c r="B335">
        <f>IF(STUDENTS!B334="","",STUDENTS!B334)</f>
        <v/>
      </c>
      <c r="C335">
        <f>IFERROR(IF(B335="","",_xlfn.XLOOKUP(B335,STUDENTS!$B$3:$B$1048576,STUDENTS!$C$3:$C$1048576)),"Enter a registered reg. no")</f>
        <v/>
      </c>
      <c r="D335">
        <f>IFERROR(IF(B335="","",_xlfn.XLOOKUP(B335,STUDENTS!B334:B100331,STUDENTS!D334:D100331)),"update STUDENT sheet")</f>
        <v/>
      </c>
      <c r="E335">
        <f>IFERROR(IF(C335="","",_xlfn.XLOOKUP(C335,STUDENTS!C334:C100331,STUDENTS!F334:F100331)),"update STUDENT sheet")</f>
        <v/>
      </c>
      <c r="F335">
        <f>IFERROR(IF(D335="","",_xlfn.XLOOKUP(D335,STUDENTS!D334:D100331,STUDENTS!G334:G100331)),"update STUDENT sheet")</f>
        <v/>
      </c>
      <c r="G335">
        <f>IFERROR(IF(E335="","",_xlfn.XLOOKUP(E335,STUDENTS!F334:F100331,STUDENTS!H334:H100331)),"update STUDENT sheet")</f>
        <v/>
      </c>
    </row>
    <row r="336">
      <c r="B336">
        <f>IF(STUDENTS!B335="","",STUDENTS!B335)</f>
        <v/>
      </c>
      <c r="C336">
        <f>IFERROR(IF(B336="","",_xlfn.XLOOKUP(B336,STUDENTS!$B$3:$B$1048576,STUDENTS!$C$3:$C$1048576)),"Enter a registered reg. no")</f>
        <v/>
      </c>
      <c r="D336">
        <f>IFERROR(IF(B336="","",_xlfn.XLOOKUP(B336,STUDENTS!B335:B100332,STUDENTS!D335:D100332)),"update STUDENT sheet")</f>
        <v/>
      </c>
      <c r="E336">
        <f>IFERROR(IF(C336="","",_xlfn.XLOOKUP(C336,STUDENTS!C335:C100332,STUDENTS!F335:F100332)),"update STUDENT sheet")</f>
        <v/>
      </c>
      <c r="F336">
        <f>IFERROR(IF(D336="","",_xlfn.XLOOKUP(D336,STUDENTS!D335:D100332,STUDENTS!G335:G100332)),"update STUDENT sheet")</f>
        <v/>
      </c>
      <c r="G336">
        <f>IFERROR(IF(E336="","",_xlfn.XLOOKUP(E336,STUDENTS!F335:F100332,STUDENTS!H335:H100332)),"update STUDENT sheet")</f>
        <v/>
      </c>
    </row>
    <row r="337">
      <c r="B337">
        <f>IF(STUDENTS!B336="","",STUDENTS!B336)</f>
        <v/>
      </c>
      <c r="C337">
        <f>IFERROR(IF(B337="","",_xlfn.XLOOKUP(B337,STUDENTS!$B$3:$B$1048576,STUDENTS!$C$3:$C$1048576)),"Enter a registered reg. no")</f>
        <v/>
      </c>
      <c r="D337">
        <f>IFERROR(IF(B337="","",_xlfn.XLOOKUP(B337,STUDENTS!B336:B100333,STUDENTS!D336:D100333)),"update STUDENT sheet")</f>
        <v/>
      </c>
      <c r="E337">
        <f>IFERROR(IF(C337="","",_xlfn.XLOOKUP(C337,STUDENTS!C336:C100333,STUDENTS!F336:F100333)),"update STUDENT sheet")</f>
        <v/>
      </c>
      <c r="F337">
        <f>IFERROR(IF(D337="","",_xlfn.XLOOKUP(D337,STUDENTS!D336:D100333,STUDENTS!G336:G100333)),"update STUDENT sheet")</f>
        <v/>
      </c>
      <c r="G337">
        <f>IFERROR(IF(E337="","",_xlfn.XLOOKUP(E337,STUDENTS!F336:F100333,STUDENTS!H336:H100333)),"update STUDENT sheet")</f>
        <v/>
      </c>
    </row>
    <row r="338">
      <c r="B338">
        <f>IF(STUDENTS!B337="","",STUDENTS!B337)</f>
        <v/>
      </c>
      <c r="C338">
        <f>IFERROR(IF(B338="","",_xlfn.XLOOKUP(B338,STUDENTS!$B$3:$B$1048576,STUDENTS!$C$3:$C$1048576)),"Enter a registered reg. no")</f>
        <v/>
      </c>
      <c r="D338">
        <f>IFERROR(IF(B338="","",_xlfn.XLOOKUP(B338,STUDENTS!B337:B100334,STUDENTS!D337:D100334)),"update STUDENT sheet")</f>
        <v/>
      </c>
      <c r="E338">
        <f>IFERROR(IF(C338="","",_xlfn.XLOOKUP(C338,STUDENTS!C337:C100334,STUDENTS!F337:F100334)),"update STUDENT sheet")</f>
        <v/>
      </c>
      <c r="F338">
        <f>IFERROR(IF(D338="","",_xlfn.XLOOKUP(D338,STUDENTS!D337:D100334,STUDENTS!G337:G100334)),"update STUDENT sheet")</f>
        <v/>
      </c>
      <c r="G338">
        <f>IFERROR(IF(E338="","",_xlfn.XLOOKUP(E338,STUDENTS!F337:F100334,STUDENTS!H337:H100334)),"update STUDENT sheet")</f>
        <v/>
      </c>
    </row>
    <row r="339">
      <c r="B339">
        <f>IF(STUDENTS!B338="","",STUDENTS!B338)</f>
        <v/>
      </c>
      <c r="C339">
        <f>IFERROR(IF(B339="","",_xlfn.XLOOKUP(B339,STUDENTS!$B$3:$B$1048576,STUDENTS!$C$3:$C$1048576)),"Enter a registered reg. no")</f>
        <v/>
      </c>
      <c r="D339">
        <f>IFERROR(IF(B339="","",_xlfn.XLOOKUP(B339,STUDENTS!B338:B100335,STUDENTS!D338:D100335)),"update STUDENT sheet")</f>
        <v/>
      </c>
      <c r="E339">
        <f>IFERROR(IF(C339="","",_xlfn.XLOOKUP(C339,STUDENTS!C338:C100335,STUDENTS!F338:F100335)),"update STUDENT sheet")</f>
        <v/>
      </c>
      <c r="F339">
        <f>IFERROR(IF(D339="","",_xlfn.XLOOKUP(D339,STUDENTS!D338:D100335,STUDENTS!G338:G100335)),"update STUDENT sheet")</f>
        <v/>
      </c>
      <c r="G339">
        <f>IFERROR(IF(E339="","",_xlfn.XLOOKUP(E339,STUDENTS!F338:F100335,STUDENTS!H338:H100335)),"update STUDENT sheet")</f>
        <v/>
      </c>
    </row>
    <row r="340">
      <c r="B340">
        <f>IF(STUDENTS!B339="","",STUDENTS!B339)</f>
        <v/>
      </c>
      <c r="C340">
        <f>IFERROR(IF(B340="","",_xlfn.XLOOKUP(B340,STUDENTS!$B$3:$B$1048576,STUDENTS!$C$3:$C$1048576)),"Enter a registered reg. no")</f>
        <v/>
      </c>
      <c r="D340">
        <f>IFERROR(IF(B340="","",_xlfn.XLOOKUP(B340,STUDENTS!B339:B100336,STUDENTS!D339:D100336)),"update STUDENT sheet")</f>
        <v/>
      </c>
      <c r="E340">
        <f>IFERROR(IF(C340="","",_xlfn.XLOOKUP(C340,STUDENTS!C339:C100336,STUDENTS!F339:F100336)),"update STUDENT sheet")</f>
        <v/>
      </c>
      <c r="F340">
        <f>IFERROR(IF(D340="","",_xlfn.XLOOKUP(D340,STUDENTS!D339:D100336,STUDENTS!G339:G100336)),"update STUDENT sheet")</f>
        <v/>
      </c>
      <c r="G340">
        <f>IFERROR(IF(E340="","",_xlfn.XLOOKUP(E340,STUDENTS!F339:F100336,STUDENTS!H339:H100336)),"update STUDENT sheet")</f>
        <v/>
      </c>
    </row>
    <row r="341">
      <c r="B341">
        <f>IF(STUDENTS!B340="","",STUDENTS!B340)</f>
        <v/>
      </c>
      <c r="C341">
        <f>IFERROR(IF(B341="","",_xlfn.XLOOKUP(B341,STUDENTS!$B$3:$B$1048576,STUDENTS!$C$3:$C$1048576)),"Enter a registered reg. no")</f>
        <v/>
      </c>
      <c r="D341">
        <f>IFERROR(IF(B341="","",_xlfn.XLOOKUP(B341,STUDENTS!B340:B100337,STUDENTS!D340:D100337)),"update STUDENT sheet")</f>
        <v/>
      </c>
      <c r="E341">
        <f>IFERROR(IF(C341="","",_xlfn.XLOOKUP(C341,STUDENTS!C340:C100337,STUDENTS!F340:F100337)),"update STUDENT sheet")</f>
        <v/>
      </c>
      <c r="F341">
        <f>IFERROR(IF(D341="","",_xlfn.XLOOKUP(D341,STUDENTS!D340:D100337,STUDENTS!G340:G100337)),"update STUDENT sheet")</f>
        <v/>
      </c>
      <c r="G341">
        <f>IFERROR(IF(E341="","",_xlfn.XLOOKUP(E341,STUDENTS!F340:F100337,STUDENTS!H340:H100337)),"update STUDENT sheet")</f>
        <v/>
      </c>
    </row>
    <row r="342">
      <c r="B342">
        <f>IF(STUDENTS!B341="","",STUDENTS!B341)</f>
        <v/>
      </c>
      <c r="C342">
        <f>IFERROR(IF(B342="","",_xlfn.XLOOKUP(B342,STUDENTS!$B$3:$B$1048576,STUDENTS!$C$3:$C$1048576)),"Enter a registered reg. no")</f>
        <v/>
      </c>
      <c r="D342">
        <f>IFERROR(IF(B342="","",_xlfn.XLOOKUP(B342,STUDENTS!B341:B100338,STUDENTS!D341:D100338)),"update STUDENT sheet")</f>
        <v/>
      </c>
      <c r="E342">
        <f>IFERROR(IF(C342="","",_xlfn.XLOOKUP(C342,STUDENTS!C341:C100338,STUDENTS!F341:F100338)),"update STUDENT sheet")</f>
        <v/>
      </c>
      <c r="F342">
        <f>IFERROR(IF(D342="","",_xlfn.XLOOKUP(D342,STUDENTS!D341:D100338,STUDENTS!G341:G100338)),"update STUDENT sheet")</f>
        <v/>
      </c>
      <c r="G342">
        <f>IFERROR(IF(E342="","",_xlfn.XLOOKUP(E342,STUDENTS!F341:F100338,STUDENTS!H341:H100338)),"update STUDENT sheet")</f>
        <v/>
      </c>
    </row>
    <row r="343">
      <c r="B343">
        <f>IF(STUDENTS!B342="","",STUDENTS!B342)</f>
        <v/>
      </c>
      <c r="C343">
        <f>IFERROR(IF(B343="","",_xlfn.XLOOKUP(B343,STUDENTS!$B$3:$B$1048576,STUDENTS!$C$3:$C$1048576)),"Enter a registered reg. no")</f>
        <v/>
      </c>
      <c r="D343">
        <f>IFERROR(IF(B343="","",_xlfn.XLOOKUP(B343,STUDENTS!B342:B100339,STUDENTS!D342:D100339)),"update STUDENT sheet")</f>
        <v/>
      </c>
      <c r="E343">
        <f>IFERROR(IF(C343="","",_xlfn.XLOOKUP(C343,STUDENTS!C342:C100339,STUDENTS!F342:F100339)),"update STUDENT sheet")</f>
        <v/>
      </c>
      <c r="F343">
        <f>IFERROR(IF(D343="","",_xlfn.XLOOKUP(D343,STUDENTS!D342:D100339,STUDENTS!G342:G100339)),"update STUDENT sheet")</f>
        <v/>
      </c>
      <c r="G343">
        <f>IFERROR(IF(E343="","",_xlfn.XLOOKUP(E343,STUDENTS!F342:F100339,STUDENTS!H342:H100339)),"update STUDENT sheet")</f>
        <v/>
      </c>
    </row>
    <row r="344">
      <c r="B344">
        <f>IF(STUDENTS!B343="","",STUDENTS!B343)</f>
        <v/>
      </c>
      <c r="C344">
        <f>IFERROR(IF(B344="","",_xlfn.XLOOKUP(B344,STUDENTS!$B$3:$B$1048576,STUDENTS!$C$3:$C$1048576)),"Enter a registered reg. no")</f>
        <v/>
      </c>
      <c r="D344">
        <f>IFERROR(IF(B344="","",_xlfn.XLOOKUP(B344,STUDENTS!B343:B100340,STUDENTS!D343:D100340)),"update STUDENT sheet")</f>
        <v/>
      </c>
      <c r="E344">
        <f>IFERROR(IF(C344="","",_xlfn.XLOOKUP(C344,STUDENTS!C343:C100340,STUDENTS!F343:F100340)),"update STUDENT sheet")</f>
        <v/>
      </c>
      <c r="F344">
        <f>IFERROR(IF(D344="","",_xlfn.XLOOKUP(D344,STUDENTS!D343:D100340,STUDENTS!G343:G100340)),"update STUDENT sheet")</f>
        <v/>
      </c>
      <c r="G344">
        <f>IFERROR(IF(E344="","",_xlfn.XLOOKUP(E344,STUDENTS!F343:F100340,STUDENTS!H343:H100340)),"update STUDENT sheet")</f>
        <v/>
      </c>
    </row>
    <row r="345">
      <c r="B345">
        <f>IF(STUDENTS!B344="","",STUDENTS!B344)</f>
        <v/>
      </c>
      <c r="C345">
        <f>IFERROR(IF(B345="","",_xlfn.XLOOKUP(B345,STUDENTS!$B$3:$B$1048576,STUDENTS!$C$3:$C$1048576)),"Enter a registered reg. no")</f>
        <v/>
      </c>
      <c r="D345">
        <f>IFERROR(IF(B345="","",_xlfn.XLOOKUP(B345,STUDENTS!B344:B100341,STUDENTS!D344:D100341)),"update STUDENT sheet")</f>
        <v/>
      </c>
      <c r="E345">
        <f>IFERROR(IF(C345="","",_xlfn.XLOOKUP(C345,STUDENTS!C344:C100341,STUDENTS!F344:F100341)),"update STUDENT sheet")</f>
        <v/>
      </c>
      <c r="F345">
        <f>IFERROR(IF(D345="","",_xlfn.XLOOKUP(D345,STUDENTS!D344:D100341,STUDENTS!G344:G100341)),"update STUDENT sheet")</f>
        <v/>
      </c>
      <c r="G345">
        <f>IFERROR(IF(E345="","",_xlfn.XLOOKUP(E345,STUDENTS!F344:F100341,STUDENTS!H344:H100341)),"update STUDENT sheet")</f>
        <v/>
      </c>
    </row>
    <row r="346">
      <c r="B346">
        <f>IF(STUDENTS!B345="","",STUDENTS!B345)</f>
        <v/>
      </c>
      <c r="C346">
        <f>IFERROR(IF(B346="","",_xlfn.XLOOKUP(B346,STUDENTS!$B$3:$B$1048576,STUDENTS!$C$3:$C$1048576)),"Enter a registered reg. no")</f>
        <v/>
      </c>
      <c r="D346">
        <f>IFERROR(IF(B346="","",_xlfn.XLOOKUP(B346,STUDENTS!B345:B100342,STUDENTS!D345:D100342)),"update STUDENT sheet")</f>
        <v/>
      </c>
      <c r="E346">
        <f>IFERROR(IF(C346="","",_xlfn.XLOOKUP(C346,STUDENTS!C345:C100342,STUDENTS!F345:F100342)),"update STUDENT sheet")</f>
        <v/>
      </c>
      <c r="F346">
        <f>IFERROR(IF(D346="","",_xlfn.XLOOKUP(D346,STUDENTS!D345:D100342,STUDENTS!G345:G100342)),"update STUDENT sheet")</f>
        <v/>
      </c>
      <c r="G346">
        <f>IFERROR(IF(E346="","",_xlfn.XLOOKUP(E346,STUDENTS!F345:F100342,STUDENTS!H345:H100342)),"update STUDENT sheet")</f>
        <v/>
      </c>
    </row>
    <row r="347">
      <c r="B347">
        <f>IF(STUDENTS!B346="","",STUDENTS!B346)</f>
        <v/>
      </c>
      <c r="C347">
        <f>IFERROR(IF(B347="","",_xlfn.XLOOKUP(B347,STUDENTS!$B$3:$B$1048576,STUDENTS!$C$3:$C$1048576)),"Enter a registered reg. no")</f>
        <v/>
      </c>
      <c r="D347">
        <f>IFERROR(IF(B347="","",_xlfn.XLOOKUP(B347,STUDENTS!B346:B100343,STUDENTS!D346:D100343)),"update STUDENT sheet")</f>
        <v/>
      </c>
      <c r="E347">
        <f>IFERROR(IF(C347="","",_xlfn.XLOOKUP(C347,STUDENTS!C346:C100343,STUDENTS!F346:F100343)),"update STUDENT sheet")</f>
        <v/>
      </c>
      <c r="F347">
        <f>IFERROR(IF(D347="","",_xlfn.XLOOKUP(D347,STUDENTS!D346:D100343,STUDENTS!G346:G100343)),"update STUDENT sheet")</f>
        <v/>
      </c>
      <c r="G347">
        <f>IFERROR(IF(E347="","",_xlfn.XLOOKUP(E347,STUDENTS!F346:F100343,STUDENTS!H346:H100343)),"update STUDENT sheet")</f>
        <v/>
      </c>
    </row>
    <row r="348">
      <c r="B348">
        <f>IF(STUDENTS!B347="","",STUDENTS!B347)</f>
        <v/>
      </c>
      <c r="C348">
        <f>IFERROR(IF(B348="","",_xlfn.XLOOKUP(B348,STUDENTS!$B$3:$B$1048576,STUDENTS!$C$3:$C$1048576)),"Enter a registered reg. no")</f>
        <v/>
      </c>
      <c r="D348">
        <f>IFERROR(IF(B348="","",_xlfn.XLOOKUP(B348,STUDENTS!B347:B100344,STUDENTS!D347:D100344)),"update STUDENT sheet")</f>
        <v/>
      </c>
      <c r="E348">
        <f>IFERROR(IF(C348="","",_xlfn.XLOOKUP(C348,STUDENTS!C347:C100344,STUDENTS!F347:F100344)),"update STUDENT sheet")</f>
        <v/>
      </c>
      <c r="F348">
        <f>IFERROR(IF(D348="","",_xlfn.XLOOKUP(D348,STUDENTS!D347:D100344,STUDENTS!G347:G100344)),"update STUDENT sheet")</f>
        <v/>
      </c>
      <c r="G348">
        <f>IFERROR(IF(E348="","",_xlfn.XLOOKUP(E348,STUDENTS!F347:F100344,STUDENTS!H347:H100344)),"update STUDENT sheet")</f>
        <v/>
      </c>
    </row>
    <row r="349">
      <c r="B349">
        <f>IF(STUDENTS!B348="","",STUDENTS!B348)</f>
        <v/>
      </c>
      <c r="C349">
        <f>IFERROR(IF(B349="","",_xlfn.XLOOKUP(B349,STUDENTS!$B$3:$B$1048576,STUDENTS!$C$3:$C$1048576)),"Enter a registered reg. no")</f>
        <v/>
      </c>
      <c r="D349">
        <f>IFERROR(IF(B349="","",_xlfn.XLOOKUP(B349,STUDENTS!B348:B100345,STUDENTS!D348:D100345)),"update STUDENT sheet")</f>
        <v/>
      </c>
      <c r="E349">
        <f>IFERROR(IF(C349="","",_xlfn.XLOOKUP(C349,STUDENTS!C348:C100345,STUDENTS!F348:F100345)),"update STUDENT sheet")</f>
        <v/>
      </c>
      <c r="F349">
        <f>IFERROR(IF(D349="","",_xlfn.XLOOKUP(D349,STUDENTS!D348:D100345,STUDENTS!G348:G100345)),"update STUDENT sheet")</f>
        <v/>
      </c>
      <c r="G349">
        <f>IFERROR(IF(E349="","",_xlfn.XLOOKUP(E349,STUDENTS!F348:F100345,STUDENTS!H348:H100345)),"update STUDENT sheet")</f>
        <v/>
      </c>
    </row>
    <row r="350">
      <c r="B350">
        <f>IF(STUDENTS!B349="","",STUDENTS!B349)</f>
        <v/>
      </c>
      <c r="C350">
        <f>IFERROR(IF(B350="","",_xlfn.XLOOKUP(B350,STUDENTS!$B$3:$B$1048576,STUDENTS!$C$3:$C$1048576)),"Enter a registered reg. no")</f>
        <v/>
      </c>
      <c r="D350">
        <f>IFERROR(IF(B350="","",_xlfn.XLOOKUP(B350,STUDENTS!B349:B100346,STUDENTS!D349:D100346)),"update STUDENT sheet")</f>
        <v/>
      </c>
      <c r="E350">
        <f>IFERROR(IF(C350="","",_xlfn.XLOOKUP(C350,STUDENTS!C349:C100346,STUDENTS!F349:F100346)),"update STUDENT sheet")</f>
        <v/>
      </c>
      <c r="F350">
        <f>IFERROR(IF(D350="","",_xlfn.XLOOKUP(D350,STUDENTS!D349:D100346,STUDENTS!G349:G100346)),"update STUDENT sheet")</f>
        <v/>
      </c>
      <c r="G350">
        <f>IFERROR(IF(E350="","",_xlfn.XLOOKUP(E350,STUDENTS!F349:F100346,STUDENTS!H349:H100346)),"update STUDENT sheet")</f>
        <v/>
      </c>
    </row>
    <row r="351">
      <c r="B351">
        <f>IF(STUDENTS!B350="","",STUDENTS!B350)</f>
        <v/>
      </c>
      <c r="C351">
        <f>IFERROR(IF(B351="","",_xlfn.XLOOKUP(B351,STUDENTS!$B$3:$B$1048576,STUDENTS!$C$3:$C$1048576)),"Enter a registered reg. no")</f>
        <v/>
      </c>
      <c r="D351">
        <f>IFERROR(IF(B351="","",_xlfn.XLOOKUP(B351,STUDENTS!B350:B100347,STUDENTS!D350:D100347)),"update STUDENT sheet")</f>
        <v/>
      </c>
      <c r="E351">
        <f>IFERROR(IF(C351="","",_xlfn.XLOOKUP(C351,STUDENTS!C350:C100347,STUDENTS!F350:F100347)),"update STUDENT sheet")</f>
        <v/>
      </c>
      <c r="F351">
        <f>IFERROR(IF(D351="","",_xlfn.XLOOKUP(D351,STUDENTS!D350:D100347,STUDENTS!G350:G100347)),"update STUDENT sheet")</f>
        <v/>
      </c>
      <c r="G351">
        <f>IFERROR(IF(E351="","",_xlfn.XLOOKUP(E351,STUDENTS!F350:F100347,STUDENTS!H350:H100347)),"update STUDENT sheet")</f>
        <v/>
      </c>
    </row>
    <row r="352">
      <c r="B352">
        <f>IF(STUDENTS!B351="","",STUDENTS!B351)</f>
        <v/>
      </c>
      <c r="C352">
        <f>IFERROR(IF(B352="","",_xlfn.XLOOKUP(B352,STUDENTS!$B$3:$B$1048576,STUDENTS!$C$3:$C$1048576)),"Enter a registered reg. no")</f>
        <v/>
      </c>
      <c r="D352">
        <f>IFERROR(IF(B352="","",_xlfn.XLOOKUP(B352,STUDENTS!B351:B100348,STUDENTS!D351:D100348)),"update STUDENT sheet")</f>
        <v/>
      </c>
      <c r="E352">
        <f>IFERROR(IF(C352="","",_xlfn.XLOOKUP(C352,STUDENTS!C351:C100348,STUDENTS!F351:F100348)),"update STUDENT sheet")</f>
        <v/>
      </c>
      <c r="F352">
        <f>IFERROR(IF(D352="","",_xlfn.XLOOKUP(D352,STUDENTS!D351:D100348,STUDENTS!G351:G100348)),"update STUDENT sheet")</f>
        <v/>
      </c>
      <c r="G352">
        <f>IFERROR(IF(E352="","",_xlfn.XLOOKUP(E352,STUDENTS!F351:F100348,STUDENTS!H351:H100348)),"update STUDENT sheet")</f>
        <v/>
      </c>
    </row>
    <row r="353">
      <c r="B353">
        <f>IF(STUDENTS!B352="","",STUDENTS!B352)</f>
        <v/>
      </c>
      <c r="C353">
        <f>IFERROR(IF(B353="","",_xlfn.XLOOKUP(B353,STUDENTS!$B$3:$B$1048576,STUDENTS!$C$3:$C$1048576)),"Enter a registered reg. no")</f>
        <v/>
      </c>
      <c r="D353">
        <f>IFERROR(IF(B353="","",_xlfn.XLOOKUP(B353,STUDENTS!B352:B100349,STUDENTS!D352:D100349)),"update STUDENT sheet")</f>
        <v/>
      </c>
      <c r="E353">
        <f>IFERROR(IF(C353="","",_xlfn.XLOOKUP(C353,STUDENTS!C352:C100349,STUDENTS!F352:F100349)),"update STUDENT sheet")</f>
        <v/>
      </c>
      <c r="F353">
        <f>IFERROR(IF(D353="","",_xlfn.XLOOKUP(D353,STUDENTS!D352:D100349,STUDENTS!G352:G100349)),"update STUDENT sheet")</f>
        <v/>
      </c>
      <c r="G353">
        <f>IFERROR(IF(E353="","",_xlfn.XLOOKUP(E353,STUDENTS!F352:F100349,STUDENTS!H352:H100349)),"update STUDENT sheet")</f>
        <v/>
      </c>
    </row>
    <row r="354">
      <c r="B354">
        <f>IF(STUDENTS!B353="","",STUDENTS!B353)</f>
        <v/>
      </c>
      <c r="C354">
        <f>IFERROR(IF(B354="","",_xlfn.XLOOKUP(B354,STUDENTS!$B$3:$B$1048576,STUDENTS!$C$3:$C$1048576)),"Enter a registered reg. no")</f>
        <v/>
      </c>
      <c r="D354">
        <f>IFERROR(IF(B354="","",_xlfn.XLOOKUP(B354,STUDENTS!B353:B100350,STUDENTS!D353:D100350)),"update STUDENT sheet")</f>
        <v/>
      </c>
      <c r="E354">
        <f>IFERROR(IF(C354="","",_xlfn.XLOOKUP(C354,STUDENTS!C353:C100350,STUDENTS!F353:F100350)),"update STUDENT sheet")</f>
        <v/>
      </c>
      <c r="F354">
        <f>IFERROR(IF(D354="","",_xlfn.XLOOKUP(D354,STUDENTS!D353:D100350,STUDENTS!G353:G100350)),"update STUDENT sheet")</f>
        <v/>
      </c>
      <c r="G354">
        <f>IFERROR(IF(E354="","",_xlfn.XLOOKUP(E354,STUDENTS!F353:F100350,STUDENTS!H353:H100350)),"update STUDENT sheet")</f>
        <v/>
      </c>
    </row>
    <row r="355">
      <c r="B355">
        <f>IF(STUDENTS!B354="","",STUDENTS!B354)</f>
        <v/>
      </c>
      <c r="C355">
        <f>IFERROR(IF(B355="","",_xlfn.XLOOKUP(B355,STUDENTS!$B$3:$B$1048576,STUDENTS!$C$3:$C$1048576)),"Enter a registered reg. no")</f>
        <v/>
      </c>
      <c r="D355">
        <f>IFERROR(IF(B355="","",_xlfn.XLOOKUP(B355,STUDENTS!B354:B100351,STUDENTS!D354:D100351)),"update STUDENT sheet")</f>
        <v/>
      </c>
      <c r="E355">
        <f>IFERROR(IF(C355="","",_xlfn.XLOOKUP(C355,STUDENTS!C354:C100351,STUDENTS!F354:F100351)),"update STUDENT sheet")</f>
        <v/>
      </c>
      <c r="F355">
        <f>IFERROR(IF(D355="","",_xlfn.XLOOKUP(D355,STUDENTS!D354:D100351,STUDENTS!G354:G100351)),"update STUDENT sheet")</f>
        <v/>
      </c>
      <c r="G355">
        <f>IFERROR(IF(E355="","",_xlfn.XLOOKUP(E355,STUDENTS!F354:F100351,STUDENTS!H354:H100351)),"update STUDENT sheet")</f>
        <v/>
      </c>
    </row>
    <row r="356">
      <c r="B356">
        <f>IF(STUDENTS!B355="","",STUDENTS!B355)</f>
        <v/>
      </c>
      <c r="C356">
        <f>IFERROR(IF(B356="","",_xlfn.XLOOKUP(B356,STUDENTS!$B$3:$B$1048576,STUDENTS!$C$3:$C$1048576)),"Enter a registered reg. no")</f>
        <v/>
      </c>
      <c r="D356">
        <f>IFERROR(IF(B356="","",_xlfn.XLOOKUP(B356,STUDENTS!B355:B100352,STUDENTS!D355:D100352)),"update STUDENT sheet")</f>
        <v/>
      </c>
      <c r="E356">
        <f>IFERROR(IF(C356="","",_xlfn.XLOOKUP(C356,STUDENTS!C355:C100352,STUDENTS!F355:F100352)),"update STUDENT sheet")</f>
        <v/>
      </c>
      <c r="F356">
        <f>IFERROR(IF(D356="","",_xlfn.XLOOKUP(D356,STUDENTS!D355:D100352,STUDENTS!G355:G100352)),"update STUDENT sheet")</f>
        <v/>
      </c>
      <c r="G356">
        <f>IFERROR(IF(E356="","",_xlfn.XLOOKUP(E356,STUDENTS!F355:F100352,STUDENTS!H355:H100352)),"update STUDENT sheet")</f>
        <v/>
      </c>
    </row>
    <row r="357">
      <c r="B357">
        <f>IF(STUDENTS!B356="","",STUDENTS!B356)</f>
        <v/>
      </c>
      <c r="C357">
        <f>IFERROR(IF(B357="","",_xlfn.XLOOKUP(B357,STUDENTS!$B$3:$B$1048576,STUDENTS!$C$3:$C$1048576)),"Enter a registered reg. no")</f>
        <v/>
      </c>
      <c r="D357">
        <f>IFERROR(IF(B357="","",_xlfn.XLOOKUP(B357,STUDENTS!B356:B100353,STUDENTS!D356:D100353)),"update STUDENT sheet")</f>
        <v/>
      </c>
      <c r="E357">
        <f>IFERROR(IF(C357="","",_xlfn.XLOOKUP(C357,STUDENTS!C356:C100353,STUDENTS!F356:F100353)),"update STUDENT sheet")</f>
        <v/>
      </c>
      <c r="F357">
        <f>IFERROR(IF(D357="","",_xlfn.XLOOKUP(D357,STUDENTS!D356:D100353,STUDENTS!G356:G100353)),"update STUDENT sheet")</f>
        <v/>
      </c>
      <c r="G357">
        <f>IFERROR(IF(E357="","",_xlfn.XLOOKUP(E357,STUDENTS!F356:F100353,STUDENTS!H356:H100353)),"update STUDENT sheet")</f>
        <v/>
      </c>
    </row>
    <row r="358">
      <c r="B358">
        <f>IF(STUDENTS!B357="","",STUDENTS!B357)</f>
        <v/>
      </c>
      <c r="C358">
        <f>IFERROR(IF(B358="","",_xlfn.XLOOKUP(B358,STUDENTS!$B$3:$B$1048576,STUDENTS!$C$3:$C$1048576)),"Enter a registered reg. no")</f>
        <v/>
      </c>
      <c r="D358">
        <f>IFERROR(IF(B358="","",_xlfn.XLOOKUP(B358,STUDENTS!B357:B100354,STUDENTS!D357:D100354)),"update STUDENT sheet")</f>
        <v/>
      </c>
      <c r="E358">
        <f>IFERROR(IF(C358="","",_xlfn.XLOOKUP(C358,STUDENTS!C357:C100354,STUDENTS!F357:F100354)),"update STUDENT sheet")</f>
        <v/>
      </c>
      <c r="F358">
        <f>IFERROR(IF(D358="","",_xlfn.XLOOKUP(D358,STUDENTS!D357:D100354,STUDENTS!G357:G100354)),"update STUDENT sheet")</f>
        <v/>
      </c>
      <c r="G358">
        <f>IFERROR(IF(E358="","",_xlfn.XLOOKUP(E358,STUDENTS!F357:F100354,STUDENTS!H357:H100354)),"update STUDENT sheet")</f>
        <v/>
      </c>
    </row>
    <row r="359">
      <c r="B359">
        <f>IF(STUDENTS!B358="","",STUDENTS!B358)</f>
        <v/>
      </c>
      <c r="C359">
        <f>IFERROR(IF(B359="","",_xlfn.XLOOKUP(B359,STUDENTS!$B$3:$B$1048576,STUDENTS!$C$3:$C$1048576)),"Enter a registered reg. no")</f>
        <v/>
      </c>
      <c r="D359">
        <f>IFERROR(IF(B359="","",_xlfn.XLOOKUP(B359,STUDENTS!B358:B100355,STUDENTS!D358:D100355)),"update STUDENT sheet")</f>
        <v/>
      </c>
      <c r="E359">
        <f>IFERROR(IF(C359="","",_xlfn.XLOOKUP(C359,STUDENTS!C358:C100355,STUDENTS!F358:F100355)),"update STUDENT sheet")</f>
        <v/>
      </c>
      <c r="F359">
        <f>IFERROR(IF(D359="","",_xlfn.XLOOKUP(D359,STUDENTS!D358:D100355,STUDENTS!G358:G100355)),"update STUDENT sheet")</f>
        <v/>
      </c>
      <c r="G359">
        <f>IFERROR(IF(E359="","",_xlfn.XLOOKUP(E359,STUDENTS!F358:F100355,STUDENTS!H358:H100355)),"update STUDENT sheet")</f>
        <v/>
      </c>
    </row>
    <row r="360">
      <c r="B360">
        <f>IF(STUDENTS!B359="","",STUDENTS!B359)</f>
        <v/>
      </c>
      <c r="C360">
        <f>IFERROR(IF(B360="","",_xlfn.XLOOKUP(B360,STUDENTS!$B$3:$B$1048576,STUDENTS!$C$3:$C$1048576)),"Enter a registered reg. no")</f>
        <v/>
      </c>
      <c r="D360">
        <f>IFERROR(IF(B360="","",_xlfn.XLOOKUP(B360,STUDENTS!B359:B100356,STUDENTS!D359:D100356)),"update STUDENT sheet")</f>
        <v/>
      </c>
      <c r="E360">
        <f>IFERROR(IF(C360="","",_xlfn.XLOOKUP(C360,STUDENTS!C359:C100356,STUDENTS!F359:F100356)),"update STUDENT sheet")</f>
        <v/>
      </c>
      <c r="F360">
        <f>IFERROR(IF(D360="","",_xlfn.XLOOKUP(D360,STUDENTS!D359:D100356,STUDENTS!G359:G100356)),"update STUDENT sheet")</f>
        <v/>
      </c>
      <c r="G360">
        <f>IFERROR(IF(E360="","",_xlfn.XLOOKUP(E360,STUDENTS!F359:F100356,STUDENTS!H359:H100356)),"update STUDENT sheet")</f>
        <v/>
      </c>
    </row>
    <row r="361">
      <c r="B361">
        <f>IF(STUDENTS!B360="","",STUDENTS!B360)</f>
        <v/>
      </c>
      <c r="C361">
        <f>IFERROR(IF(B361="","",_xlfn.XLOOKUP(B361,STUDENTS!$B$3:$B$1048576,STUDENTS!$C$3:$C$1048576)),"Enter a registered reg. no")</f>
        <v/>
      </c>
      <c r="D361">
        <f>IFERROR(IF(B361="","",_xlfn.XLOOKUP(B361,STUDENTS!B360:B100357,STUDENTS!D360:D100357)),"update STUDENT sheet")</f>
        <v/>
      </c>
      <c r="E361">
        <f>IFERROR(IF(C361="","",_xlfn.XLOOKUP(C361,STUDENTS!C360:C100357,STUDENTS!F360:F100357)),"update STUDENT sheet")</f>
        <v/>
      </c>
      <c r="F361">
        <f>IFERROR(IF(D361="","",_xlfn.XLOOKUP(D361,STUDENTS!D360:D100357,STUDENTS!G360:G100357)),"update STUDENT sheet")</f>
        <v/>
      </c>
      <c r="G361">
        <f>IFERROR(IF(E361="","",_xlfn.XLOOKUP(E361,STUDENTS!F360:F100357,STUDENTS!H360:H100357)),"update STUDENT sheet")</f>
        <v/>
      </c>
    </row>
    <row r="362">
      <c r="B362">
        <f>IF(STUDENTS!B361="","",STUDENTS!B361)</f>
        <v/>
      </c>
      <c r="C362">
        <f>IFERROR(IF(B362="","",_xlfn.XLOOKUP(B362,STUDENTS!$B$3:$B$1048576,STUDENTS!$C$3:$C$1048576)),"Enter a registered reg. no")</f>
        <v/>
      </c>
      <c r="D362">
        <f>IFERROR(IF(B362="","",_xlfn.XLOOKUP(B362,STUDENTS!B361:B100358,STUDENTS!D361:D100358)),"update STUDENT sheet")</f>
        <v/>
      </c>
      <c r="E362">
        <f>IFERROR(IF(C362="","",_xlfn.XLOOKUP(C362,STUDENTS!C361:C100358,STUDENTS!F361:F100358)),"update STUDENT sheet")</f>
        <v/>
      </c>
      <c r="F362">
        <f>IFERROR(IF(D362="","",_xlfn.XLOOKUP(D362,STUDENTS!D361:D100358,STUDENTS!G361:G100358)),"update STUDENT sheet")</f>
        <v/>
      </c>
      <c r="G362">
        <f>IFERROR(IF(E362="","",_xlfn.XLOOKUP(E362,STUDENTS!F361:F100358,STUDENTS!H361:H100358)),"update STUDENT sheet")</f>
        <v/>
      </c>
    </row>
    <row r="363">
      <c r="B363">
        <f>IF(STUDENTS!B362="","",STUDENTS!B362)</f>
        <v/>
      </c>
      <c r="C363">
        <f>IFERROR(IF(B363="","",_xlfn.XLOOKUP(B363,STUDENTS!$B$3:$B$1048576,STUDENTS!$C$3:$C$1048576)),"Enter a registered reg. no")</f>
        <v/>
      </c>
      <c r="D363">
        <f>IFERROR(IF(B363="","",_xlfn.XLOOKUP(B363,STUDENTS!B362:B100359,STUDENTS!D362:D100359)),"update STUDENT sheet")</f>
        <v/>
      </c>
      <c r="E363">
        <f>IFERROR(IF(C363="","",_xlfn.XLOOKUP(C363,STUDENTS!C362:C100359,STUDENTS!F362:F100359)),"update STUDENT sheet")</f>
        <v/>
      </c>
      <c r="F363">
        <f>IFERROR(IF(D363="","",_xlfn.XLOOKUP(D363,STUDENTS!D362:D100359,STUDENTS!G362:G100359)),"update STUDENT sheet")</f>
        <v/>
      </c>
      <c r="G363">
        <f>IFERROR(IF(E363="","",_xlfn.XLOOKUP(E363,STUDENTS!F362:F100359,STUDENTS!H362:H100359)),"update STUDENT sheet")</f>
        <v/>
      </c>
    </row>
    <row r="364">
      <c r="B364">
        <f>IF(STUDENTS!B363="","",STUDENTS!B363)</f>
        <v/>
      </c>
      <c r="C364">
        <f>IFERROR(IF(B364="","",_xlfn.XLOOKUP(B364,STUDENTS!$B$3:$B$1048576,STUDENTS!$C$3:$C$1048576)),"Enter a registered reg. no")</f>
        <v/>
      </c>
      <c r="D364">
        <f>IFERROR(IF(B364="","",_xlfn.XLOOKUP(B364,STUDENTS!B363:B100360,STUDENTS!D363:D100360)),"update STUDENT sheet")</f>
        <v/>
      </c>
      <c r="E364">
        <f>IFERROR(IF(C364="","",_xlfn.XLOOKUP(C364,STUDENTS!C363:C100360,STUDENTS!F363:F100360)),"update STUDENT sheet")</f>
        <v/>
      </c>
      <c r="F364">
        <f>IFERROR(IF(D364="","",_xlfn.XLOOKUP(D364,STUDENTS!D363:D100360,STUDENTS!G363:G100360)),"update STUDENT sheet")</f>
        <v/>
      </c>
      <c r="G364">
        <f>IFERROR(IF(E364="","",_xlfn.XLOOKUP(E364,STUDENTS!F363:F100360,STUDENTS!H363:H100360)),"update STUDENT sheet")</f>
        <v/>
      </c>
    </row>
    <row r="365">
      <c r="B365">
        <f>IF(STUDENTS!B364="","",STUDENTS!B364)</f>
        <v/>
      </c>
      <c r="C365">
        <f>IFERROR(IF(B365="","",_xlfn.XLOOKUP(B365,STUDENTS!$B$3:$B$1048576,STUDENTS!$C$3:$C$1048576)),"Enter a registered reg. no")</f>
        <v/>
      </c>
      <c r="D365">
        <f>IFERROR(IF(B365="","",_xlfn.XLOOKUP(B365,STUDENTS!B364:B100361,STUDENTS!D364:D100361)),"update STUDENT sheet")</f>
        <v/>
      </c>
      <c r="E365">
        <f>IFERROR(IF(C365="","",_xlfn.XLOOKUP(C365,STUDENTS!C364:C100361,STUDENTS!F364:F100361)),"update STUDENT sheet")</f>
        <v/>
      </c>
      <c r="F365">
        <f>IFERROR(IF(D365="","",_xlfn.XLOOKUP(D365,STUDENTS!D364:D100361,STUDENTS!G364:G100361)),"update STUDENT sheet")</f>
        <v/>
      </c>
      <c r="G365">
        <f>IFERROR(IF(E365="","",_xlfn.XLOOKUP(E365,STUDENTS!F364:F100361,STUDENTS!H364:H100361)),"update STUDENT sheet")</f>
        <v/>
      </c>
    </row>
    <row r="366">
      <c r="B366">
        <f>IF(STUDENTS!B365="","",STUDENTS!B365)</f>
        <v/>
      </c>
      <c r="C366">
        <f>IFERROR(IF(B366="","",_xlfn.XLOOKUP(B366,STUDENTS!$B$3:$B$1048576,STUDENTS!$C$3:$C$1048576)),"Enter a registered reg. no")</f>
        <v/>
      </c>
      <c r="D366">
        <f>IFERROR(IF(B366="","",_xlfn.XLOOKUP(B366,STUDENTS!B365:B100362,STUDENTS!D365:D100362)),"update STUDENT sheet")</f>
        <v/>
      </c>
      <c r="E366">
        <f>IFERROR(IF(C366="","",_xlfn.XLOOKUP(C366,STUDENTS!C365:C100362,STUDENTS!F365:F100362)),"update STUDENT sheet")</f>
        <v/>
      </c>
      <c r="F366">
        <f>IFERROR(IF(D366="","",_xlfn.XLOOKUP(D366,STUDENTS!D365:D100362,STUDENTS!G365:G100362)),"update STUDENT sheet")</f>
        <v/>
      </c>
      <c r="G366">
        <f>IFERROR(IF(E366="","",_xlfn.XLOOKUP(E366,STUDENTS!F365:F100362,STUDENTS!H365:H100362)),"update STUDENT sheet")</f>
        <v/>
      </c>
    </row>
    <row r="367">
      <c r="B367">
        <f>IF(STUDENTS!B366="","",STUDENTS!B366)</f>
        <v/>
      </c>
      <c r="C367">
        <f>IFERROR(IF(B367="","",_xlfn.XLOOKUP(B367,STUDENTS!$B$3:$B$1048576,STUDENTS!$C$3:$C$1048576)),"Enter a registered reg. no")</f>
        <v/>
      </c>
      <c r="D367">
        <f>IFERROR(IF(B367="","",_xlfn.XLOOKUP(B367,STUDENTS!B366:B100363,STUDENTS!D366:D100363)),"update STUDENT sheet")</f>
        <v/>
      </c>
      <c r="E367">
        <f>IFERROR(IF(C367="","",_xlfn.XLOOKUP(C367,STUDENTS!C366:C100363,STUDENTS!F366:F100363)),"update STUDENT sheet")</f>
        <v/>
      </c>
      <c r="F367">
        <f>IFERROR(IF(D367="","",_xlfn.XLOOKUP(D367,STUDENTS!D366:D100363,STUDENTS!G366:G100363)),"update STUDENT sheet")</f>
        <v/>
      </c>
      <c r="G367">
        <f>IFERROR(IF(E367="","",_xlfn.XLOOKUP(E367,STUDENTS!F366:F100363,STUDENTS!H366:H100363)),"update STUDENT sheet")</f>
        <v/>
      </c>
    </row>
    <row r="368">
      <c r="B368">
        <f>IF(STUDENTS!B367="","",STUDENTS!B367)</f>
        <v/>
      </c>
      <c r="C368">
        <f>IFERROR(IF(B368="","",_xlfn.XLOOKUP(B368,STUDENTS!$B$3:$B$1048576,STUDENTS!$C$3:$C$1048576)),"Enter a registered reg. no")</f>
        <v/>
      </c>
      <c r="D368">
        <f>IFERROR(IF(B368="","",_xlfn.XLOOKUP(B368,STUDENTS!B367:B100364,STUDENTS!D367:D100364)),"update STUDENT sheet")</f>
        <v/>
      </c>
      <c r="E368">
        <f>IFERROR(IF(C368="","",_xlfn.XLOOKUP(C368,STUDENTS!C367:C100364,STUDENTS!F367:F100364)),"update STUDENT sheet")</f>
        <v/>
      </c>
      <c r="F368">
        <f>IFERROR(IF(D368="","",_xlfn.XLOOKUP(D368,STUDENTS!D367:D100364,STUDENTS!G367:G100364)),"update STUDENT sheet")</f>
        <v/>
      </c>
      <c r="G368">
        <f>IFERROR(IF(E368="","",_xlfn.XLOOKUP(E368,STUDENTS!F367:F100364,STUDENTS!H367:H100364)),"update STUDENT sheet")</f>
        <v/>
      </c>
    </row>
    <row r="369">
      <c r="B369">
        <f>IF(STUDENTS!B368="","",STUDENTS!B368)</f>
        <v/>
      </c>
      <c r="C369">
        <f>IFERROR(IF(B369="","",_xlfn.XLOOKUP(B369,STUDENTS!$B$3:$B$1048576,STUDENTS!$C$3:$C$1048576)),"Enter a registered reg. no")</f>
        <v/>
      </c>
      <c r="D369">
        <f>IFERROR(IF(B369="","",_xlfn.XLOOKUP(B369,STUDENTS!B368:B100365,STUDENTS!D368:D100365)),"update STUDENT sheet")</f>
        <v/>
      </c>
      <c r="E369">
        <f>IFERROR(IF(C369="","",_xlfn.XLOOKUP(C369,STUDENTS!C368:C100365,STUDENTS!F368:F100365)),"update STUDENT sheet")</f>
        <v/>
      </c>
      <c r="F369">
        <f>IFERROR(IF(D369="","",_xlfn.XLOOKUP(D369,STUDENTS!D368:D100365,STUDENTS!G368:G100365)),"update STUDENT sheet")</f>
        <v/>
      </c>
      <c r="G369">
        <f>IFERROR(IF(E369="","",_xlfn.XLOOKUP(E369,STUDENTS!F368:F100365,STUDENTS!H368:H100365)),"update STUDENT sheet")</f>
        <v/>
      </c>
    </row>
    <row r="370">
      <c r="B370">
        <f>IF(STUDENTS!B369="","",STUDENTS!B369)</f>
        <v/>
      </c>
      <c r="C370">
        <f>IFERROR(IF(B370="","",_xlfn.XLOOKUP(B370,STUDENTS!$B$3:$B$1048576,STUDENTS!$C$3:$C$1048576)),"Enter a registered reg. no")</f>
        <v/>
      </c>
      <c r="D370">
        <f>IFERROR(IF(B370="","",_xlfn.XLOOKUP(B370,STUDENTS!B369:B100366,STUDENTS!D369:D100366)),"update STUDENT sheet")</f>
        <v/>
      </c>
      <c r="E370">
        <f>IFERROR(IF(C370="","",_xlfn.XLOOKUP(C370,STUDENTS!C369:C100366,STUDENTS!F369:F100366)),"update STUDENT sheet")</f>
        <v/>
      </c>
      <c r="F370">
        <f>IFERROR(IF(D370="","",_xlfn.XLOOKUP(D370,STUDENTS!D369:D100366,STUDENTS!G369:G100366)),"update STUDENT sheet")</f>
        <v/>
      </c>
      <c r="G370">
        <f>IFERROR(IF(E370="","",_xlfn.XLOOKUP(E370,STUDENTS!F369:F100366,STUDENTS!H369:H100366)),"update STUDENT sheet")</f>
        <v/>
      </c>
    </row>
    <row r="371">
      <c r="B371">
        <f>IF(STUDENTS!B370="","",STUDENTS!B370)</f>
        <v/>
      </c>
      <c r="C371">
        <f>IFERROR(IF(B371="","",_xlfn.XLOOKUP(B371,STUDENTS!$B$3:$B$1048576,STUDENTS!$C$3:$C$1048576)),"Enter a registered reg. no")</f>
        <v/>
      </c>
      <c r="D371">
        <f>IFERROR(IF(B371="","",_xlfn.XLOOKUP(B371,STUDENTS!B370:B100367,STUDENTS!D370:D100367)),"update STUDENT sheet")</f>
        <v/>
      </c>
      <c r="E371">
        <f>IFERROR(IF(C371="","",_xlfn.XLOOKUP(C371,STUDENTS!C370:C100367,STUDENTS!F370:F100367)),"update STUDENT sheet")</f>
        <v/>
      </c>
      <c r="F371">
        <f>IFERROR(IF(D371="","",_xlfn.XLOOKUP(D371,STUDENTS!D370:D100367,STUDENTS!G370:G100367)),"update STUDENT sheet")</f>
        <v/>
      </c>
      <c r="G371">
        <f>IFERROR(IF(E371="","",_xlfn.XLOOKUP(E371,STUDENTS!F370:F100367,STUDENTS!H370:H100367)),"update STUDENT sheet")</f>
        <v/>
      </c>
    </row>
    <row r="372">
      <c r="B372">
        <f>IF(STUDENTS!B371="","",STUDENTS!B371)</f>
        <v/>
      </c>
      <c r="C372">
        <f>IFERROR(IF(B372="","",_xlfn.XLOOKUP(B372,STUDENTS!$B$3:$B$1048576,STUDENTS!$C$3:$C$1048576)),"Enter a registered reg. no")</f>
        <v/>
      </c>
      <c r="D372">
        <f>IFERROR(IF(B372="","",_xlfn.XLOOKUP(B372,STUDENTS!B371:B100368,STUDENTS!D371:D100368)),"update STUDENT sheet")</f>
        <v/>
      </c>
      <c r="E372">
        <f>IFERROR(IF(C372="","",_xlfn.XLOOKUP(C372,STUDENTS!C371:C100368,STUDENTS!F371:F100368)),"update STUDENT sheet")</f>
        <v/>
      </c>
      <c r="F372">
        <f>IFERROR(IF(D372="","",_xlfn.XLOOKUP(D372,STUDENTS!D371:D100368,STUDENTS!G371:G100368)),"update STUDENT sheet")</f>
        <v/>
      </c>
      <c r="G372">
        <f>IFERROR(IF(E372="","",_xlfn.XLOOKUP(E372,STUDENTS!F371:F100368,STUDENTS!H371:H100368)),"update STUDENT sheet")</f>
        <v/>
      </c>
    </row>
    <row r="373">
      <c r="B373">
        <f>IF(STUDENTS!B372="","",STUDENTS!B372)</f>
        <v/>
      </c>
      <c r="C373">
        <f>IFERROR(IF(B373="","",_xlfn.XLOOKUP(B373,STUDENTS!$B$3:$B$1048576,STUDENTS!$C$3:$C$1048576)),"Enter a registered reg. no")</f>
        <v/>
      </c>
      <c r="D373">
        <f>IFERROR(IF(B373="","",_xlfn.XLOOKUP(B373,STUDENTS!B372:B100369,STUDENTS!D372:D100369)),"update STUDENT sheet")</f>
        <v/>
      </c>
      <c r="E373">
        <f>IFERROR(IF(C373="","",_xlfn.XLOOKUP(C373,STUDENTS!C372:C100369,STUDENTS!F372:F100369)),"update STUDENT sheet")</f>
        <v/>
      </c>
      <c r="F373">
        <f>IFERROR(IF(D373="","",_xlfn.XLOOKUP(D373,STUDENTS!D372:D100369,STUDENTS!G372:G100369)),"update STUDENT sheet")</f>
        <v/>
      </c>
      <c r="G373">
        <f>IFERROR(IF(E373="","",_xlfn.XLOOKUP(E373,STUDENTS!F372:F100369,STUDENTS!H372:H100369)),"update STUDENT sheet")</f>
        <v/>
      </c>
    </row>
    <row r="374">
      <c r="B374">
        <f>IF(STUDENTS!B373="","",STUDENTS!B373)</f>
        <v/>
      </c>
      <c r="C374">
        <f>IFERROR(IF(B374="","",_xlfn.XLOOKUP(B374,STUDENTS!$B$3:$B$1048576,STUDENTS!$C$3:$C$1048576)),"Enter a registered reg. no")</f>
        <v/>
      </c>
      <c r="D374">
        <f>IFERROR(IF(B374="","",_xlfn.XLOOKUP(B374,STUDENTS!B373:B100370,STUDENTS!D373:D100370)),"update STUDENT sheet")</f>
        <v/>
      </c>
      <c r="E374">
        <f>IFERROR(IF(C374="","",_xlfn.XLOOKUP(C374,STUDENTS!C373:C100370,STUDENTS!F373:F100370)),"update STUDENT sheet")</f>
        <v/>
      </c>
      <c r="F374">
        <f>IFERROR(IF(D374="","",_xlfn.XLOOKUP(D374,STUDENTS!D373:D100370,STUDENTS!G373:G100370)),"update STUDENT sheet")</f>
        <v/>
      </c>
      <c r="G374">
        <f>IFERROR(IF(E374="","",_xlfn.XLOOKUP(E374,STUDENTS!F373:F100370,STUDENTS!H373:H100370)),"update STUDENT sheet")</f>
        <v/>
      </c>
    </row>
    <row r="375">
      <c r="B375">
        <f>IF(STUDENTS!B374="","",STUDENTS!B374)</f>
        <v/>
      </c>
      <c r="C375">
        <f>IFERROR(IF(B375="","",_xlfn.XLOOKUP(B375,STUDENTS!$B$3:$B$1048576,STUDENTS!$C$3:$C$1048576)),"Enter a registered reg. no")</f>
        <v/>
      </c>
      <c r="D375">
        <f>IFERROR(IF(B375="","",_xlfn.XLOOKUP(B375,STUDENTS!B374:B100371,STUDENTS!D374:D100371)),"update STUDENT sheet")</f>
        <v/>
      </c>
      <c r="E375">
        <f>IFERROR(IF(C375="","",_xlfn.XLOOKUP(C375,STUDENTS!C374:C100371,STUDENTS!F374:F100371)),"update STUDENT sheet")</f>
        <v/>
      </c>
      <c r="F375">
        <f>IFERROR(IF(D375="","",_xlfn.XLOOKUP(D375,STUDENTS!D374:D100371,STUDENTS!G374:G100371)),"update STUDENT sheet")</f>
        <v/>
      </c>
      <c r="G375">
        <f>IFERROR(IF(E375="","",_xlfn.XLOOKUP(E375,STUDENTS!F374:F100371,STUDENTS!H374:H100371)),"update STUDENT sheet")</f>
        <v/>
      </c>
    </row>
    <row r="376">
      <c r="B376">
        <f>IF(STUDENTS!B375="","",STUDENTS!B375)</f>
        <v/>
      </c>
      <c r="C376">
        <f>IFERROR(IF(B376="","",_xlfn.XLOOKUP(B376,STUDENTS!$B$3:$B$1048576,STUDENTS!$C$3:$C$1048576)),"Enter a registered reg. no")</f>
        <v/>
      </c>
      <c r="D376">
        <f>IFERROR(IF(B376="","",_xlfn.XLOOKUP(B376,STUDENTS!B375:B100372,STUDENTS!D375:D100372)),"update STUDENT sheet")</f>
        <v/>
      </c>
      <c r="E376">
        <f>IFERROR(IF(C376="","",_xlfn.XLOOKUP(C376,STUDENTS!C375:C100372,STUDENTS!F375:F100372)),"update STUDENT sheet")</f>
        <v/>
      </c>
      <c r="F376">
        <f>IFERROR(IF(D376="","",_xlfn.XLOOKUP(D376,STUDENTS!D375:D100372,STUDENTS!G375:G100372)),"update STUDENT sheet")</f>
        <v/>
      </c>
      <c r="G376">
        <f>IFERROR(IF(E376="","",_xlfn.XLOOKUP(E376,STUDENTS!F375:F100372,STUDENTS!H375:H100372)),"update STUDENT sheet")</f>
        <v/>
      </c>
    </row>
    <row r="377">
      <c r="B377">
        <f>IF(STUDENTS!B376="","",STUDENTS!B376)</f>
        <v/>
      </c>
      <c r="C377">
        <f>IFERROR(IF(B377="","",_xlfn.XLOOKUP(B377,STUDENTS!$B$3:$B$1048576,STUDENTS!$C$3:$C$1048576)),"Enter a registered reg. no")</f>
        <v/>
      </c>
      <c r="D377">
        <f>IFERROR(IF(B377="","",_xlfn.XLOOKUP(B377,STUDENTS!B376:B100373,STUDENTS!D376:D100373)),"update STUDENT sheet")</f>
        <v/>
      </c>
      <c r="E377">
        <f>IFERROR(IF(C377="","",_xlfn.XLOOKUP(C377,STUDENTS!C376:C100373,STUDENTS!F376:F100373)),"update STUDENT sheet")</f>
        <v/>
      </c>
      <c r="F377">
        <f>IFERROR(IF(D377="","",_xlfn.XLOOKUP(D377,STUDENTS!D376:D100373,STUDENTS!G376:G100373)),"update STUDENT sheet")</f>
        <v/>
      </c>
      <c r="G377">
        <f>IFERROR(IF(E377="","",_xlfn.XLOOKUP(E377,STUDENTS!F376:F100373,STUDENTS!H376:H100373)),"update STUDENT sheet")</f>
        <v/>
      </c>
    </row>
    <row r="378">
      <c r="B378">
        <f>IF(STUDENTS!B377="","",STUDENTS!B377)</f>
        <v/>
      </c>
      <c r="C378">
        <f>IFERROR(IF(B378="","",_xlfn.XLOOKUP(B378,STUDENTS!$B$3:$B$1048576,STUDENTS!$C$3:$C$1048576)),"Enter a registered reg. no")</f>
        <v/>
      </c>
      <c r="D378">
        <f>IFERROR(IF(B378="","",_xlfn.XLOOKUP(B378,STUDENTS!B377:B100374,STUDENTS!D377:D100374)),"update STUDENT sheet")</f>
        <v/>
      </c>
      <c r="E378">
        <f>IFERROR(IF(C378="","",_xlfn.XLOOKUP(C378,STUDENTS!C377:C100374,STUDENTS!F377:F100374)),"update STUDENT sheet")</f>
        <v/>
      </c>
      <c r="F378">
        <f>IFERROR(IF(D378="","",_xlfn.XLOOKUP(D378,STUDENTS!D377:D100374,STUDENTS!G377:G100374)),"update STUDENT sheet")</f>
        <v/>
      </c>
      <c r="G378">
        <f>IFERROR(IF(E378="","",_xlfn.XLOOKUP(E378,STUDENTS!F377:F100374,STUDENTS!H377:H100374)),"update STUDENT sheet")</f>
        <v/>
      </c>
    </row>
    <row r="379">
      <c r="B379">
        <f>IF(STUDENTS!B378="","",STUDENTS!B378)</f>
        <v/>
      </c>
      <c r="C379">
        <f>IFERROR(IF(B379="","",_xlfn.XLOOKUP(B379,STUDENTS!$B$3:$B$1048576,STUDENTS!$C$3:$C$1048576)),"Enter a registered reg. no")</f>
        <v/>
      </c>
      <c r="D379">
        <f>IFERROR(IF(B379="","",_xlfn.XLOOKUP(B379,STUDENTS!B378:B100375,STUDENTS!D378:D100375)),"update STUDENT sheet")</f>
        <v/>
      </c>
      <c r="E379">
        <f>IFERROR(IF(C379="","",_xlfn.XLOOKUP(C379,STUDENTS!C378:C100375,STUDENTS!F378:F100375)),"update STUDENT sheet")</f>
        <v/>
      </c>
      <c r="F379">
        <f>IFERROR(IF(D379="","",_xlfn.XLOOKUP(D379,STUDENTS!D378:D100375,STUDENTS!G378:G100375)),"update STUDENT sheet")</f>
        <v/>
      </c>
      <c r="G379">
        <f>IFERROR(IF(E379="","",_xlfn.XLOOKUP(E379,STUDENTS!F378:F100375,STUDENTS!H378:H100375)),"update STUDENT sheet")</f>
        <v/>
      </c>
    </row>
    <row r="380">
      <c r="B380">
        <f>IF(STUDENTS!B379="","",STUDENTS!B379)</f>
        <v/>
      </c>
      <c r="C380">
        <f>IFERROR(IF(B380="","",_xlfn.XLOOKUP(B380,STUDENTS!$B$3:$B$1048576,STUDENTS!$C$3:$C$1048576)),"Enter a registered reg. no")</f>
        <v/>
      </c>
      <c r="D380">
        <f>IFERROR(IF(B380="","",_xlfn.XLOOKUP(B380,STUDENTS!B379:B100376,STUDENTS!D379:D100376)),"update STUDENT sheet")</f>
        <v/>
      </c>
      <c r="E380">
        <f>IFERROR(IF(C380="","",_xlfn.XLOOKUP(C380,STUDENTS!C379:C100376,STUDENTS!F379:F100376)),"update STUDENT sheet")</f>
        <v/>
      </c>
      <c r="F380">
        <f>IFERROR(IF(D380="","",_xlfn.XLOOKUP(D380,STUDENTS!D379:D100376,STUDENTS!G379:G100376)),"update STUDENT sheet")</f>
        <v/>
      </c>
      <c r="G380">
        <f>IFERROR(IF(E380="","",_xlfn.XLOOKUP(E380,STUDENTS!F379:F100376,STUDENTS!H379:H100376)),"update STUDENT sheet")</f>
        <v/>
      </c>
    </row>
    <row r="381">
      <c r="B381">
        <f>IF(STUDENTS!B380="","",STUDENTS!B380)</f>
        <v/>
      </c>
      <c r="C381">
        <f>IFERROR(IF(B381="","",_xlfn.XLOOKUP(B381,STUDENTS!$B$3:$B$1048576,STUDENTS!$C$3:$C$1048576)),"Enter a registered reg. no")</f>
        <v/>
      </c>
      <c r="D381">
        <f>IFERROR(IF(B381="","",_xlfn.XLOOKUP(B381,STUDENTS!B380:B100377,STUDENTS!D380:D100377)),"update STUDENT sheet")</f>
        <v/>
      </c>
      <c r="E381">
        <f>IFERROR(IF(C381="","",_xlfn.XLOOKUP(C381,STUDENTS!C380:C100377,STUDENTS!F380:F100377)),"update STUDENT sheet")</f>
        <v/>
      </c>
      <c r="F381">
        <f>IFERROR(IF(D381="","",_xlfn.XLOOKUP(D381,STUDENTS!D380:D100377,STUDENTS!G380:G100377)),"update STUDENT sheet")</f>
        <v/>
      </c>
      <c r="G381">
        <f>IFERROR(IF(E381="","",_xlfn.XLOOKUP(E381,STUDENTS!F380:F100377,STUDENTS!H380:H100377)),"update STUDENT sheet")</f>
        <v/>
      </c>
    </row>
    <row r="382">
      <c r="B382">
        <f>IF(STUDENTS!B381="","",STUDENTS!B381)</f>
        <v/>
      </c>
      <c r="C382">
        <f>IFERROR(IF(B382="","",_xlfn.XLOOKUP(B382,STUDENTS!$B$3:$B$1048576,STUDENTS!$C$3:$C$1048576)),"Enter a registered reg. no")</f>
        <v/>
      </c>
      <c r="D382">
        <f>IFERROR(IF(B382="","",_xlfn.XLOOKUP(B382,STUDENTS!B381:B100378,STUDENTS!D381:D100378)),"update STUDENT sheet")</f>
        <v/>
      </c>
      <c r="E382">
        <f>IFERROR(IF(C382="","",_xlfn.XLOOKUP(C382,STUDENTS!C381:C100378,STUDENTS!F381:F100378)),"update STUDENT sheet")</f>
        <v/>
      </c>
      <c r="F382">
        <f>IFERROR(IF(D382="","",_xlfn.XLOOKUP(D382,STUDENTS!D381:D100378,STUDENTS!G381:G100378)),"update STUDENT sheet")</f>
        <v/>
      </c>
      <c r="G382">
        <f>IFERROR(IF(E382="","",_xlfn.XLOOKUP(E382,STUDENTS!F381:F100378,STUDENTS!H381:H100378)),"update STUDENT sheet")</f>
        <v/>
      </c>
    </row>
    <row r="383">
      <c r="B383">
        <f>IF(STUDENTS!B382="","",STUDENTS!B382)</f>
        <v/>
      </c>
      <c r="C383">
        <f>IFERROR(IF(B383="","",_xlfn.XLOOKUP(B383,STUDENTS!$B$3:$B$1048576,STUDENTS!$C$3:$C$1048576)),"Enter a registered reg. no")</f>
        <v/>
      </c>
      <c r="D383">
        <f>IFERROR(IF(B383="","",_xlfn.XLOOKUP(B383,STUDENTS!B382:B100379,STUDENTS!D382:D100379)),"update STUDENT sheet")</f>
        <v/>
      </c>
      <c r="E383">
        <f>IFERROR(IF(C383="","",_xlfn.XLOOKUP(C383,STUDENTS!C382:C100379,STUDENTS!F382:F100379)),"update STUDENT sheet")</f>
        <v/>
      </c>
      <c r="F383">
        <f>IFERROR(IF(D383="","",_xlfn.XLOOKUP(D383,STUDENTS!D382:D100379,STUDENTS!G382:G100379)),"update STUDENT sheet")</f>
        <v/>
      </c>
      <c r="G383">
        <f>IFERROR(IF(E383="","",_xlfn.XLOOKUP(E383,STUDENTS!F382:F100379,STUDENTS!H382:H100379)),"update STUDENT sheet")</f>
        <v/>
      </c>
    </row>
    <row r="384">
      <c r="B384">
        <f>IF(STUDENTS!B383="","",STUDENTS!B383)</f>
        <v/>
      </c>
      <c r="C384">
        <f>IFERROR(IF(B384="","",_xlfn.XLOOKUP(B384,STUDENTS!$B$3:$B$1048576,STUDENTS!$C$3:$C$1048576)),"Enter a registered reg. no")</f>
        <v/>
      </c>
      <c r="D384">
        <f>IFERROR(IF(B384="","",_xlfn.XLOOKUP(B384,STUDENTS!B383:B100380,STUDENTS!D383:D100380)),"update STUDENT sheet")</f>
        <v/>
      </c>
      <c r="E384">
        <f>IFERROR(IF(C384="","",_xlfn.XLOOKUP(C384,STUDENTS!C383:C100380,STUDENTS!F383:F100380)),"update STUDENT sheet")</f>
        <v/>
      </c>
      <c r="F384">
        <f>IFERROR(IF(D384="","",_xlfn.XLOOKUP(D384,STUDENTS!D383:D100380,STUDENTS!G383:G100380)),"update STUDENT sheet")</f>
        <v/>
      </c>
      <c r="G384">
        <f>IFERROR(IF(E384="","",_xlfn.XLOOKUP(E384,STUDENTS!F383:F100380,STUDENTS!H383:H100380)),"update STUDENT sheet")</f>
        <v/>
      </c>
    </row>
    <row r="385">
      <c r="B385">
        <f>IF(STUDENTS!B384="","",STUDENTS!B384)</f>
        <v/>
      </c>
      <c r="C385">
        <f>IFERROR(IF(B385="","",_xlfn.XLOOKUP(B385,STUDENTS!$B$3:$B$1048576,STUDENTS!$C$3:$C$1048576)),"Enter a registered reg. no")</f>
        <v/>
      </c>
      <c r="D385">
        <f>IFERROR(IF(B385="","",_xlfn.XLOOKUP(B385,STUDENTS!B384:B100381,STUDENTS!D384:D100381)),"update STUDENT sheet")</f>
        <v/>
      </c>
      <c r="E385">
        <f>IFERROR(IF(C385="","",_xlfn.XLOOKUP(C385,STUDENTS!C384:C100381,STUDENTS!F384:F100381)),"update STUDENT sheet")</f>
        <v/>
      </c>
      <c r="F385">
        <f>IFERROR(IF(D385="","",_xlfn.XLOOKUP(D385,STUDENTS!D384:D100381,STUDENTS!G384:G100381)),"update STUDENT sheet")</f>
        <v/>
      </c>
      <c r="G385">
        <f>IFERROR(IF(E385="","",_xlfn.XLOOKUP(E385,STUDENTS!F384:F100381,STUDENTS!H384:H100381)),"update STUDENT sheet")</f>
        <v/>
      </c>
    </row>
    <row r="386">
      <c r="B386">
        <f>IF(STUDENTS!B385="","",STUDENTS!B385)</f>
        <v/>
      </c>
      <c r="C386">
        <f>IFERROR(IF(B386="","",_xlfn.XLOOKUP(B386,STUDENTS!$B$3:$B$1048576,STUDENTS!$C$3:$C$1048576)),"Enter a registered reg. no")</f>
        <v/>
      </c>
      <c r="D386">
        <f>IFERROR(IF(B386="","",_xlfn.XLOOKUP(B386,STUDENTS!B385:B100382,STUDENTS!D385:D100382)),"update STUDENT sheet")</f>
        <v/>
      </c>
      <c r="E386">
        <f>IFERROR(IF(C386="","",_xlfn.XLOOKUP(C386,STUDENTS!C385:C100382,STUDENTS!F385:F100382)),"update STUDENT sheet")</f>
        <v/>
      </c>
      <c r="F386">
        <f>IFERROR(IF(D386="","",_xlfn.XLOOKUP(D386,STUDENTS!D385:D100382,STUDENTS!G385:G100382)),"update STUDENT sheet")</f>
        <v/>
      </c>
      <c r="G386">
        <f>IFERROR(IF(E386="","",_xlfn.XLOOKUP(E386,STUDENTS!F385:F100382,STUDENTS!H385:H100382)),"update STUDENT sheet")</f>
        <v/>
      </c>
    </row>
    <row r="387">
      <c r="B387">
        <f>IF(STUDENTS!B386="","",STUDENTS!B386)</f>
        <v/>
      </c>
      <c r="C387">
        <f>IFERROR(IF(B387="","",_xlfn.XLOOKUP(B387,STUDENTS!$B$3:$B$1048576,STUDENTS!$C$3:$C$1048576)),"Enter a registered reg. no")</f>
        <v/>
      </c>
      <c r="D387">
        <f>IFERROR(IF(B387="","",_xlfn.XLOOKUP(B387,STUDENTS!B386:B100383,STUDENTS!D386:D100383)),"update STUDENT sheet")</f>
        <v/>
      </c>
      <c r="E387">
        <f>IFERROR(IF(C387="","",_xlfn.XLOOKUP(C387,STUDENTS!C386:C100383,STUDENTS!F386:F100383)),"update STUDENT sheet")</f>
        <v/>
      </c>
      <c r="F387">
        <f>IFERROR(IF(D387="","",_xlfn.XLOOKUP(D387,STUDENTS!D386:D100383,STUDENTS!G386:G100383)),"update STUDENT sheet")</f>
        <v/>
      </c>
      <c r="G387">
        <f>IFERROR(IF(E387="","",_xlfn.XLOOKUP(E387,STUDENTS!F386:F100383,STUDENTS!H386:H100383)),"update STUDENT sheet")</f>
        <v/>
      </c>
    </row>
    <row r="388">
      <c r="B388">
        <f>IF(STUDENTS!B387="","",STUDENTS!B387)</f>
        <v/>
      </c>
      <c r="C388">
        <f>IFERROR(IF(B388="","",_xlfn.XLOOKUP(B388,STUDENTS!$B$3:$B$1048576,STUDENTS!$C$3:$C$1048576)),"Enter a registered reg. no")</f>
        <v/>
      </c>
      <c r="D388">
        <f>IFERROR(IF(B388="","",_xlfn.XLOOKUP(B388,STUDENTS!B387:B100384,STUDENTS!D387:D100384)),"update STUDENT sheet")</f>
        <v/>
      </c>
      <c r="E388">
        <f>IFERROR(IF(C388="","",_xlfn.XLOOKUP(C388,STUDENTS!C387:C100384,STUDENTS!F387:F100384)),"update STUDENT sheet")</f>
        <v/>
      </c>
      <c r="F388">
        <f>IFERROR(IF(D388="","",_xlfn.XLOOKUP(D388,STUDENTS!D387:D100384,STUDENTS!G387:G100384)),"update STUDENT sheet")</f>
        <v/>
      </c>
      <c r="G388">
        <f>IFERROR(IF(E388="","",_xlfn.XLOOKUP(E388,STUDENTS!F387:F100384,STUDENTS!H387:H100384)),"update STUDENT sheet")</f>
        <v/>
      </c>
    </row>
    <row r="389">
      <c r="B389">
        <f>IF(STUDENTS!B388="","",STUDENTS!B388)</f>
        <v/>
      </c>
      <c r="C389">
        <f>IFERROR(IF(B389="","",_xlfn.XLOOKUP(B389,STUDENTS!$B$3:$B$1048576,STUDENTS!$C$3:$C$1048576)),"Enter a registered reg. no")</f>
        <v/>
      </c>
      <c r="D389">
        <f>IFERROR(IF(B389="","",_xlfn.XLOOKUP(B389,STUDENTS!B388:B100385,STUDENTS!D388:D100385)),"update STUDENT sheet")</f>
        <v/>
      </c>
      <c r="E389">
        <f>IFERROR(IF(C389="","",_xlfn.XLOOKUP(C389,STUDENTS!C388:C100385,STUDENTS!F388:F100385)),"update STUDENT sheet")</f>
        <v/>
      </c>
      <c r="F389">
        <f>IFERROR(IF(D389="","",_xlfn.XLOOKUP(D389,STUDENTS!D388:D100385,STUDENTS!G388:G100385)),"update STUDENT sheet")</f>
        <v/>
      </c>
      <c r="G389">
        <f>IFERROR(IF(E389="","",_xlfn.XLOOKUP(E389,STUDENTS!F388:F100385,STUDENTS!H388:H100385)),"update STUDENT sheet")</f>
        <v/>
      </c>
    </row>
    <row r="390">
      <c r="B390">
        <f>IF(STUDENTS!B389="","",STUDENTS!B389)</f>
        <v/>
      </c>
      <c r="C390">
        <f>IFERROR(IF(B390="","",_xlfn.XLOOKUP(B390,STUDENTS!$B$3:$B$1048576,STUDENTS!$C$3:$C$1048576)),"Enter a registered reg. no")</f>
        <v/>
      </c>
      <c r="D390">
        <f>IFERROR(IF(B390="","",_xlfn.XLOOKUP(B390,STUDENTS!B389:B100386,STUDENTS!D389:D100386)),"update STUDENT sheet")</f>
        <v/>
      </c>
      <c r="E390">
        <f>IFERROR(IF(C390="","",_xlfn.XLOOKUP(C390,STUDENTS!C389:C100386,STUDENTS!F389:F100386)),"update STUDENT sheet")</f>
        <v/>
      </c>
      <c r="F390">
        <f>IFERROR(IF(D390="","",_xlfn.XLOOKUP(D390,STUDENTS!D389:D100386,STUDENTS!G389:G100386)),"update STUDENT sheet")</f>
        <v/>
      </c>
      <c r="G390">
        <f>IFERROR(IF(E390="","",_xlfn.XLOOKUP(E390,STUDENTS!F389:F100386,STUDENTS!H389:H100386)),"update STUDENT sheet")</f>
        <v/>
      </c>
    </row>
    <row r="391">
      <c r="B391">
        <f>IF(STUDENTS!B390="","",STUDENTS!B390)</f>
        <v/>
      </c>
      <c r="C391">
        <f>IFERROR(IF(B391="","",_xlfn.XLOOKUP(B391,STUDENTS!$B$3:$B$1048576,STUDENTS!$C$3:$C$1048576)),"Enter a registered reg. no")</f>
        <v/>
      </c>
      <c r="D391">
        <f>IFERROR(IF(B391="","",_xlfn.XLOOKUP(B391,STUDENTS!B390:B100387,STUDENTS!D390:D100387)),"update STUDENT sheet")</f>
        <v/>
      </c>
      <c r="E391">
        <f>IFERROR(IF(C391="","",_xlfn.XLOOKUP(C391,STUDENTS!C390:C100387,STUDENTS!F390:F100387)),"update STUDENT sheet")</f>
        <v/>
      </c>
      <c r="F391">
        <f>IFERROR(IF(D391="","",_xlfn.XLOOKUP(D391,STUDENTS!D390:D100387,STUDENTS!G390:G100387)),"update STUDENT sheet")</f>
        <v/>
      </c>
      <c r="G391">
        <f>IFERROR(IF(E391="","",_xlfn.XLOOKUP(E391,STUDENTS!F390:F100387,STUDENTS!H390:H100387)),"update STUDENT sheet")</f>
        <v/>
      </c>
    </row>
    <row r="392">
      <c r="B392">
        <f>IF(STUDENTS!B391="","",STUDENTS!B391)</f>
        <v/>
      </c>
      <c r="C392">
        <f>IFERROR(IF(B392="","",_xlfn.XLOOKUP(B392,STUDENTS!$B$3:$B$1048576,STUDENTS!$C$3:$C$1048576)),"Enter a registered reg. no")</f>
        <v/>
      </c>
      <c r="D392">
        <f>IFERROR(IF(B392="","",_xlfn.XLOOKUP(B392,STUDENTS!B391:B100388,STUDENTS!D391:D100388)),"update STUDENT sheet")</f>
        <v/>
      </c>
      <c r="E392">
        <f>IFERROR(IF(C392="","",_xlfn.XLOOKUP(C392,STUDENTS!C391:C100388,STUDENTS!F391:F100388)),"update STUDENT sheet")</f>
        <v/>
      </c>
      <c r="F392">
        <f>IFERROR(IF(D392="","",_xlfn.XLOOKUP(D392,STUDENTS!D391:D100388,STUDENTS!G391:G100388)),"update STUDENT sheet")</f>
        <v/>
      </c>
      <c r="G392">
        <f>IFERROR(IF(E392="","",_xlfn.XLOOKUP(E392,STUDENTS!F391:F100388,STUDENTS!H391:H100388)),"update STUDENT sheet")</f>
        <v/>
      </c>
    </row>
    <row r="393">
      <c r="B393">
        <f>IF(STUDENTS!B392="","",STUDENTS!B392)</f>
        <v/>
      </c>
      <c r="C393">
        <f>IFERROR(IF(B393="","",_xlfn.XLOOKUP(B393,STUDENTS!$B$3:$B$1048576,STUDENTS!$C$3:$C$1048576)),"Enter a registered reg. no")</f>
        <v/>
      </c>
      <c r="D393">
        <f>IFERROR(IF(B393="","",_xlfn.XLOOKUP(B393,STUDENTS!B392:B100389,STUDENTS!D392:D100389)),"update STUDENT sheet")</f>
        <v/>
      </c>
      <c r="E393">
        <f>IFERROR(IF(C393="","",_xlfn.XLOOKUP(C393,STUDENTS!C392:C100389,STUDENTS!F392:F100389)),"update STUDENT sheet")</f>
        <v/>
      </c>
      <c r="F393">
        <f>IFERROR(IF(D393="","",_xlfn.XLOOKUP(D393,STUDENTS!D392:D100389,STUDENTS!G392:G100389)),"update STUDENT sheet")</f>
        <v/>
      </c>
      <c r="G393">
        <f>IFERROR(IF(E393="","",_xlfn.XLOOKUP(E393,STUDENTS!F392:F100389,STUDENTS!H392:H100389)),"update STUDENT sheet")</f>
        <v/>
      </c>
    </row>
    <row r="394">
      <c r="B394">
        <f>IF(STUDENTS!B393="","",STUDENTS!B393)</f>
        <v/>
      </c>
      <c r="C394">
        <f>IFERROR(IF(B394="","",_xlfn.XLOOKUP(B394,STUDENTS!$B$3:$B$1048576,STUDENTS!$C$3:$C$1048576)),"Enter a registered reg. no")</f>
        <v/>
      </c>
      <c r="D394">
        <f>IFERROR(IF(B394="","",_xlfn.XLOOKUP(B394,STUDENTS!B393:B100390,STUDENTS!D393:D100390)),"update STUDENT sheet")</f>
        <v/>
      </c>
      <c r="E394">
        <f>IFERROR(IF(C394="","",_xlfn.XLOOKUP(C394,STUDENTS!C393:C100390,STUDENTS!F393:F100390)),"update STUDENT sheet")</f>
        <v/>
      </c>
      <c r="F394">
        <f>IFERROR(IF(D394="","",_xlfn.XLOOKUP(D394,STUDENTS!D393:D100390,STUDENTS!G393:G100390)),"update STUDENT sheet")</f>
        <v/>
      </c>
      <c r="G394">
        <f>IFERROR(IF(E394="","",_xlfn.XLOOKUP(E394,STUDENTS!F393:F100390,STUDENTS!H393:H100390)),"update STUDENT sheet")</f>
        <v/>
      </c>
    </row>
    <row r="395">
      <c r="B395">
        <f>IF(STUDENTS!B394="","",STUDENTS!B394)</f>
        <v/>
      </c>
      <c r="C395">
        <f>IFERROR(IF(B395="","",_xlfn.XLOOKUP(B395,STUDENTS!$B$3:$B$1048576,STUDENTS!$C$3:$C$1048576)),"Enter a registered reg. no")</f>
        <v/>
      </c>
      <c r="D395">
        <f>IFERROR(IF(B395="","",_xlfn.XLOOKUP(B395,STUDENTS!B394:B100391,STUDENTS!D394:D100391)),"update STUDENT sheet")</f>
        <v/>
      </c>
      <c r="E395">
        <f>IFERROR(IF(C395="","",_xlfn.XLOOKUP(C395,STUDENTS!C394:C100391,STUDENTS!F394:F100391)),"update STUDENT sheet")</f>
        <v/>
      </c>
      <c r="F395">
        <f>IFERROR(IF(D395="","",_xlfn.XLOOKUP(D395,STUDENTS!D394:D100391,STUDENTS!G394:G100391)),"update STUDENT sheet")</f>
        <v/>
      </c>
      <c r="G395">
        <f>IFERROR(IF(E395="","",_xlfn.XLOOKUP(E395,STUDENTS!F394:F100391,STUDENTS!H394:H100391)),"update STUDENT sheet")</f>
        <v/>
      </c>
    </row>
    <row r="396">
      <c r="B396">
        <f>IF(STUDENTS!B395="","",STUDENTS!B395)</f>
        <v/>
      </c>
      <c r="C396">
        <f>IFERROR(IF(B396="","",_xlfn.XLOOKUP(B396,STUDENTS!$B$3:$B$1048576,STUDENTS!$C$3:$C$1048576)),"Enter a registered reg. no")</f>
        <v/>
      </c>
      <c r="D396">
        <f>IFERROR(IF(B396="","",_xlfn.XLOOKUP(B396,STUDENTS!B395:B100392,STUDENTS!D395:D100392)),"update STUDENT sheet")</f>
        <v/>
      </c>
      <c r="E396">
        <f>IFERROR(IF(C396="","",_xlfn.XLOOKUP(C396,STUDENTS!C395:C100392,STUDENTS!F395:F100392)),"update STUDENT sheet")</f>
        <v/>
      </c>
      <c r="F396">
        <f>IFERROR(IF(D396="","",_xlfn.XLOOKUP(D396,STUDENTS!D395:D100392,STUDENTS!G395:G100392)),"update STUDENT sheet")</f>
        <v/>
      </c>
      <c r="G396">
        <f>IFERROR(IF(E396="","",_xlfn.XLOOKUP(E396,STUDENTS!F395:F100392,STUDENTS!H395:H100392)),"update STUDENT sheet")</f>
        <v/>
      </c>
    </row>
    <row r="397">
      <c r="B397">
        <f>IF(STUDENTS!B396="","",STUDENTS!B396)</f>
        <v/>
      </c>
      <c r="C397">
        <f>IFERROR(IF(B397="","",_xlfn.XLOOKUP(B397,STUDENTS!$B$3:$B$1048576,STUDENTS!$C$3:$C$1048576)),"Enter a registered reg. no")</f>
        <v/>
      </c>
      <c r="D397">
        <f>IFERROR(IF(B397="","",_xlfn.XLOOKUP(B397,STUDENTS!B396:B100393,STUDENTS!D396:D100393)),"update STUDENT sheet")</f>
        <v/>
      </c>
      <c r="E397">
        <f>IFERROR(IF(C397="","",_xlfn.XLOOKUP(C397,STUDENTS!C396:C100393,STUDENTS!F396:F100393)),"update STUDENT sheet")</f>
        <v/>
      </c>
      <c r="F397">
        <f>IFERROR(IF(D397="","",_xlfn.XLOOKUP(D397,STUDENTS!D396:D100393,STUDENTS!G396:G100393)),"update STUDENT sheet")</f>
        <v/>
      </c>
      <c r="G397">
        <f>IFERROR(IF(E397="","",_xlfn.XLOOKUP(E397,STUDENTS!F396:F100393,STUDENTS!H396:H100393)),"update STUDENT sheet")</f>
        <v/>
      </c>
    </row>
    <row r="398">
      <c r="B398">
        <f>IF(STUDENTS!B397="","",STUDENTS!B397)</f>
        <v/>
      </c>
      <c r="C398">
        <f>IFERROR(IF(B398="","",_xlfn.XLOOKUP(B398,STUDENTS!$B$3:$B$1048576,STUDENTS!$C$3:$C$1048576)),"Enter a registered reg. no")</f>
        <v/>
      </c>
      <c r="D398">
        <f>IFERROR(IF(B398="","",_xlfn.XLOOKUP(B398,STUDENTS!B397:B100394,STUDENTS!D397:D100394)),"update STUDENT sheet")</f>
        <v/>
      </c>
      <c r="E398">
        <f>IFERROR(IF(C398="","",_xlfn.XLOOKUP(C398,STUDENTS!C397:C100394,STUDENTS!F397:F100394)),"update STUDENT sheet")</f>
        <v/>
      </c>
      <c r="F398">
        <f>IFERROR(IF(D398="","",_xlfn.XLOOKUP(D398,STUDENTS!D397:D100394,STUDENTS!G397:G100394)),"update STUDENT sheet")</f>
        <v/>
      </c>
      <c r="G398">
        <f>IFERROR(IF(E398="","",_xlfn.XLOOKUP(E398,STUDENTS!F397:F100394,STUDENTS!H397:H100394)),"update STUDENT sheet")</f>
        <v/>
      </c>
    </row>
    <row r="399">
      <c r="B399">
        <f>IF(STUDENTS!B398="","",STUDENTS!B398)</f>
        <v/>
      </c>
      <c r="C399">
        <f>IFERROR(IF(B399="","",_xlfn.XLOOKUP(B399,STUDENTS!$B$3:$B$1048576,STUDENTS!$C$3:$C$1048576)),"Enter a registered reg. no")</f>
        <v/>
      </c>
      <c r="D399">
        <f>IFERROR(IF(B399="","",_xlfn.XLOOKUP(B399,STUDENTS!B398:B100395,STUDENTS!D398:D100395)),"update STUDENT sheet")</f>
        <v/>
      </c>
      <c r="E399">
        <f>IFERROR(IF(C399="","",_xlfn.XLOOKUP(C399,STUDENTS!C398:C100395,STUDENTS!F398:F100395)),"update STUDENT sheet")</f>
        <v/>
      </c>
      <c r="F399">
        <f>IFERROR(IF(D399="","",_xlfn.XLOOKUP(D399,STUDENTS!D398:D100395,STUDENTS!G398:G100395)),"update STUDENT sheet")</f>
        <v/>
      </c>
      <c r="G399">
        <f>IFERROR(IF(E399="","",_xlfn.XLOOKUP(E399,STUDENTS!F398:F100395,STUDENTS!H398:H100395)),"update STUDENT sheet")</f>
        <v/>
      </c>
    </row>
    <row r="400">
      <c r="B400">
        <f>IF(STUDENTS!B399="","",STUDENTS!B399)</f>
        <v/>
      </c>
      <c r="C400">
        <f>IFERROR(IF(B400="","",_xlfn.XLOOKUP(B400,STUDENTS!$B$3:$B$1048576,STUDENTS!$C$3:$C$1048576)),"Enter a registered reg. no")</f>
        <v/>
      </c>
      <c r="D400">
        <f>IFERROR(IF(B400="","",_xlfn.XLOOKUP(B400,STUDENTS!B399:B100396,STUDENTS!D399:D100396)),"update STUDENT sheet")</f>
        <v/>
      </c>
      <c r="E400">
        <f>IFERROR(IF(C400="","",_xlfn.XLOOKUP(C400,STUDENTS!C399:C100396,STUDENTS!F399:F100396)),"update STUDENT sheet")</f>
        <v/>
      </c>
      <c r="F400">
        <f>IFERROR(IF(D400="","",_xlfn.XLOOKUP(D400,STUDENTS!D399:D100396,STUDENTS!G399:G100396)),"update STUDENT sheet")</f>
        <v/>
      </c>
      <c r="G400">
        <f>IFERROR(IF(E400="","",_xlfn.XLOOKUP(E400,STUDENTS!F399:F100396,STUDENTS!H399:H100396)),"update STUDENT sheet")</f>
        <v/>
      </c>
    </row>
    <row r="401">
      <c r="B401">
        <f>IF(STUDENTS!B400="","",STUDENTS!B400)</f>
        <v/>
      </c>
      <c r="C401">
        <f>IFERROR(IF(B401="","",_xlfn.XLOOKUP(B401,STUDENTS!$B$3:$B$1048576,STUDENTS!$C$3:$C$1048576)),"Enter a registered reg. no")</f>
        <v/>
      </c>
      <c r="D401">
        <f>IFERROR(IF(B401="","",_xlfn.XLOOKUP(B401,STUDENTS!B400:B100397,STUDENTS!D400:D100397)),"update STUDENT sheet")</f>
        <v/>
      </c>
      <c r="E401">
        <f>IFERROR(IF(C401="","",_xlfn.XLOOKUP(C401,STUDENTS!C400:C100397,STUDENTS!F400:F100397)),"update STUDENT sheet")</f>
        <v/>
      </c>
      <c r="F401">
        <f>IFERROR(IF(D401="","",_xlfn.XLOOKUP(D401,STUDENTS!D400:D100397,STUDENTS!G400:G100397)),"update STUDENT sheet")</f>
        <v/>
      </c>
      <c r="G401">
        <f>IFERROR(IF(E401="","",_xlfn.XLOOKUP(E401,STUDENTS!F400:F100397,STUDENTS!H400:H100397)),"update STUDENT sheet")</f>
        <v/>
      </c>
    </row>
    <row r="402">
      <c r="B402">
        <f>IF(STUDENTS!B401="","",STUDENTS!B401)</f>
        <v/>
      </c>
      <c r="C402">
        <f>IFERROR(IF(B402="","",_xlfn.XLOOKUP(B402,STUDENTS!$B$3:$B$1048576,STUDENTS!$C$3:$C$1048576)),"Enter a registered reg. no")</f>
        <v/>
      </c>
      <c r="D402">
        <f>IFERROR(IF(B402="","",_xlfn.XLOOKUP(B402,STUDENTS!B401:B100398,STUDENTS!D401:D100398)),"update STUDENT sheet")</f>
        <v/>
      </c>
      <c r="E402">
        <f>IFERROR(IF(C402="","",_xlfn.XLOOKUP(C402,STUDENTS!C401:C100398,STUDENTS!F401:F100398)),"update STUDENT sheet")</f>
        <v/>
      </c>
      <c r="F402">
        <f>IFERROR(IF(D402="","",_xlfn.XLOOKUP(D402,STUDENTS!D401:D100398,STUDENTS!G401:G100398)),"update STUDENT sheet")</f>
        <v/>
      </c>
      <c r="G402">
        <f>IFERROR(IF(E402="","",_xlfn.XLOOKUP(E402,STUDENTS!F401:F100398,STUDENTS!H401:H100398)),"update STUDENT sheet")</f>
        <v/>
      </c>
    </row>
    <row r="403">
      <c r="B403">
        <f>IF(STUDENTS!B402="","",STUDENTS!B402)</f>
        <v/>
      </c>
      <c r="C403">
        <f>IFERROR(IF(B403="","",_xlfn.XLOOKUP(B403,STUDENTS!$B$3:$B$1048576,STUDENTS!$C$3:$C$1048576)),"Enter a registered reg. no")</f>
        <v/>
      </c>
      <c r="D403">
        <f>IFERROR(IF(B403="","",_xlfn.XLOOKUP(B403,STUDENTS!B402:B100399,STUDENTS!D402:D100399)),"update STUDENT sheet")</f>
        <v/>
      </c>
      <c r="E403">
        <f>IFERROR(IF(C403="","",_xlfn.XLOOKUP(C403,STUDENTS!C402:C100399,STUDENTS!F402:F100399)),"update STUDENT sheet")</f>
        <v/>
      </c>
      <c r="F403">
        <f>IFERROR(IF(D403="","",_xlfn.XLOOKUP(D403,STUDENTS!D402:D100399,STUDENTS!G402:G100399)),"update STUDENT sheet")</f>
        <v/>
      </c>
      <c r="G403">
        <f>IFERROR(IF(E403="","",_xlfn.XLOOKUP(E403,STUDENTS!F402:F100399,STUDENTS!H402:H100399)),"update STUDENT sheet")</f>
        <v/>
      </c>
    </row>
    <row r="404">
      <c r="B404">
        <f>IF(STUDENTS!B403="","",STUDENTS!B403)</f>
        <v/>
      </c>
      <c r="C404">
        <f>IFERROR(IF(B404="","",_xlfn.XLOOKUP(B404,STUDENTS!$B$3:$B$1048576,STUDENTS!$C$3:$C$1048576)),"Enter a registered reg. no")</f>
        <v/>
      </c>
      <c r="D404">
        <f>IFERROR(IF(B404="","",_xlfn.XLOOKUP(B404,STUDENTS!B403:B100400,STUDENTS!D403:D100400)),"update STUDENT sheet")</f>
        <v/>
      </c>
      <c r="E404">
        <f>IFERROR(IF(C404="","",_xlfn.XLOOKUP(C404,STUDENTS!C403:C100400,STUDENTS!F403:F100400)),"update STUDENT sheet")</f>
        <v/>
      </c>
      <c r="F404">
        <f>IFERROR(IF(D404="","",_xlfn.XLOOKUP(D404,STUDENTS!D403:D100400,STUDENTS!G403:G100400)),"update STUDENT sheet")</f>
        <v/>
      </c>
      <c r="G404">
        <f>IFERROR(IF(E404="","",_xlfn.XLOOKUP(E404,STUDENTS!F403:F100400,STUDENTS!H403:H100400)),"update STUDENT sheet")</f>
        <v/>
      </c>
    </row>
    <row r="405">
      <c r="B405">
        <f>IF(STUDENTS!B404="","",STUDENTS!B404)</f>
        <v/>
      </c>
      <c r="C405">
        <f>IFERROR(IF(B405="","",_xlfn.XLOOKUP(B405,STUDENTS!$B$3:$B$1048576,STUDENTS!$C$3:$C$1048576)),"Enter a registered reg. no")</f>
        <v/>
      </c>
      <c r="D405">
        <f>IFERROR(IF(B405="","",_xlfn.XLOOKUP(B405,STUDENTS!B404:B100401,STUDENTS!D404:D100401)),"update STUDENT sheet")</f>
        <v/>
      </c>
      <c r="E405">
        <f>IFERROR(IF(C405="","",_xlfn.XLOOKUP(C405,STUDENTS!C404:C100401,STUDENTS!F404:F100401)),"update STUDENT sheet")</f>
        <v/>
      </c>
      <c r="F405">
        <f>IFERROR(IF(D405="","",_xlfn.XLOOKUP(D405,STUDENTS!D404:D100401,STUDENTS!G404:G100401)),"update STUDENT sheet")</f>
        <v/>
      </c>
      <c r="G405">
        <f>IFERROR(IF(E405="","",_xlfn.XLOOKUP(E405,STUDENTS!F404:F100401,STUDENTS!H404:H100401)),"update STUDENT sheet")</f>
        <v/>
      </c>
    </row>
    <row r="406">
      <c r="B406">
        <f>IF(STUDENTS!B405="","",STUDENTS!B405)</f>
        <v/>
      </c>
      <c r="C406">
        <f>IFERROR(IF(B406="","",_xlfn.XLOOKUP(B406,STUDENTS!$B$3:$B$1048576,STUDENTS!$C$3:$C$1048576)),"Enter a registered reg. no")</f>
        <v/>
      </c>
      <c r="D406">
        <f>IFERROR(IF(B406="","",_xlfn.XLOOKUP(B406,STUDENTS!B405:B100402,STUDENTS!D405:D100402)),"update STUDENT sheet")</f>
        <v/>
      </c>
      <c r="E406">
        <f>IFERROR(IF(C406="","",_xlfn.XLOOKUP(C406,STUDENTS!C405:C100402,STUDENTS!F405:F100402)),"update STUDENT sheet")</f>
        <v/>
      </c>
      <c r="F406">
        <f>IFERROR(IF(D406="","",_xlfn.XLOOKUP(D406,STUDENTS!D405:D100402,STUDENTS!G405:G100402)),"update STUDENT sheet")</f>
        <v/>
      </c>
      <c r="G406">
        <f>IFERROR(IF(E406="","",_xlfn.XLOOKUP(E406,STUDENTS!F405:F100402,STUDENTS!H405:H100402)),"update STUDENT sheet")</f>
        <v/>
      </c>
    </row>
    <row r="407">
      <c r="B407">
        <f>IF(STUDENTS!B406="","",STUDENTS!B406)</f>
        <v/>
      </c>
      <c r="C407">
        <f>IFERROR(IF(B407="","",_xlfn.XLOOKUP(B407,STUDENTS!$B$3:$B$1048576,STUDENTS!$C$3:$C$1048576)),"Enter a registered reg. no")</f>
        <v/>
      </c>
      <c r="D407">
        <f>IFERROR(IF(B407="","",_xlfn.XLOOKUP(B407,STUDENTS!B406:B100403,STUDENTS!D406:D100403)),"update STUDENT sheet")</f>
        <v/>
      </c>
      <c r="E407">
        <f>IFERROR(IF(C407="","",_xlfn.XLOOKUP(C407,STUDENTS!C406:C100403,STUDENTS!F406:F100403)),"update STUDENT sheet")</f>
        <v/>
      </c>
      <c r="F407">
        <f>IFERROR(IF(D407="","",_xlfn.XLOOKUP(D407,STUDENTS!D406:D100403,STUDENTS!G406:G100403)),"update STUDENT sheet")</f>
        <v/>
      </c>
      <c r="G407">
        <f>IFERROR(IF(E407="","",_xlfn.XLOOKUP(E407,STUDENTS!F406:F100403,STUDENTS!H406:H100403)),"update STUDENT sheet")</f>
        <v/>
      </c>
    </row>
    <row r="408">
      <c r="B408">
        <f>IF(STUDENTS!B407="","",STUDENTS!B407)</f>
        <v/>
      </c>
      <c r="C408">
        <f>IFERROR(IF(B408="","",_xlfn.XLOOKUP(B408,STUDENTS!$B$3:$B$1048576,STUDENTS!$C$3:$C$1048576)),"Enter a registered reg. no")</f>
        <v/>
      </c>
      <c r="D408">
        <f>IFERROR(IF(B408="","",_xlfn.XLOOKUP(B408,STUDENTS!B407:B100404,STUDENTS!D407:D100404)),"update STUDENT sheet")</f>
        <v/>
      </c>
      <c r="E408">
        <f>IFERROR(IF(C408="","",_xlfn.XLOOKUP(C408,STUDENTS!C407:C100404,STUDENTS!F407:F100404)),"update STUDENT sheet")</f>
        <v/>
      </c>
      <c r="F408">
        <f>IFERROR(IF(D408="","",_xlfn.XLOOKUP(D408,STUDENTS!D407:D100404,STUDENTS!G407:G100404)),"update STUDENT sheet")</f>
        <v/>
      </c>
      <c r="G408">
        <f>IFERROR(IF(E408="","",_xlfn.XLOOKUP(E408,STUDENTS!F407:F100404,STUDENTS!H407:H100404)),"update STUDENT sheet")</f>
        <v/>
      </c>
    </row>
    <row r="409">
      <c r="B409">
        <f>IF(STUDENTS!B408="","",STUDENTS!B408)</f>
        <v/>
      </c>
      <c r="C409">
        <f>IFERROR(IF(B409="","",_xlfn.XLOOKUP(B409,STUDENTS!$B$3:$B$1048576,STUDENTS!$C$3:$C$1048576)),"Enter a registered reg. no")</f>
        <v/>
      </c>
      <c r="D409">
        <f>IFERROR(IF(B409="","",_xlfn.XLOOKUP(B409,STUDENTS!B408:B100405,STUDENTS!D408:D100405)),"update STUDENT sheet")</f>
        <v/>
      </c>
      <c r="E409">
        <f>IFERROR(IF(C409="","",_xlfn.XLOOKUP(C409,STUDENTS!C408:C100405,STUDENTS!F408:F100405)),"update STUDENT sheet")</f>
        <v/>
      </c>
      <c r="F409">
        <f>IFERROR(IF(D409="","",_xlfn.XLOOKUP(D409,STUDENTS!D408:D100405,STUDENTS!G408:G100405)),"update STUDENT sheet")</f>
        <v/>
      </c>
      <c r="G409">
        <f>IFERROR(IF(E409="","",_xlfn.XLOOKUP(E409,STUDENTS!F408:F100405,STUDENTS!H408:H100405)),"update STUDENT sheet")</f>
        <v/>
      </c>
    </row>
    <row r="410">
      <c r="B410">
        <f>IF(STUDENTS!B409="","",STUDENTS!B409)</f>
        <v/>
      </c>
      <c r="C410">
        <f>IFERROR(IF(B410="","",_xlfn.XLOOKUP(B410,STUDENTS!$B$3:$B$1048576,STUDENTS!$C$3:$C$1048576)),"Enter a registered reg. no")</f>
        <v/>
      </c>
      <c r="D410">
        <f>IFERROR(IF(B410="","",_xlfn.XLOOKUP(B410,STUDENTS!B409:B100406,STUDENTS!D409:D100406)),"update STUDENT sheet")</f>
        <v/>
      </c>
      <c r="E410">
        <f>IFERROR(IF(C410="","",_xlfn.XLOOKUP(C410,STUDENTS!C409:C100406,STUDENTS!F409:F100406)),"update STUDENT sheet")</f>
        <v/>
      </c>
      <c r="F410">
        <f>IFERROR(IF(D410="","",_xlfn.XLOOKUP(D410,STUDENTS!D409:D100406,STUDENTS!G409:G100406)),"update STUDENT sheet")</f>
        <v/>
      </c>
      <c r="G410">
        <f>IFERROR(IF(E410="","",_xlfn.XLOOKUP(E410,STUDENTS!F409:F100406,STUDENTS!H409:H100406)),"update STUDENT sheet")</f>
        <v/>
      </c>
    </row>
    <row r="411">
      <c r="B411">
        <f>IF(STUDENTS!B410="","",STUDENTS!B410)</f>
        <v/>
      </c>
      <c r="C411">
        <f>IFERROR(IF(B411="","",_xlfn.XLOOKUP(B411,STUDENTS!$B$3:$B$1048576,STUDENTS!$C$3:$C$1048576)),"Enter a registered reg. no")</f>
        <v/>
      </c>
      <c r="D411">
        <f>IFERROR(IF(B411="","",_xlfn.XLOOKUP(B411,STUDENTS!B410:B100407,STUDENTS!D410:D100407)),"update STUDENT sheet")</f>
        <v/>
      </c>
      <c r="E411">
        <f>IFERROR(IF(C411="","",_xlfn.XLOOKUP(C411,STUDENTS!C410:C100407,STUDENTS!F410:F100407)),"update STUDENT sheet")</f>
        <v/>
      </c>
      <c r="F411">
        <f>IFERROR(IF(D411="","",_xlfn.XLOOKUP(D411,STUDENTS!D410:D100407,STUDENTS!G410:G100407)),"update STUDENT sheet")</f>
        <v/>
      </c>
      <c r="G411">
        <f>IFERROR(IF(E411="","",_xlfn.XLOOKUP(E411,STUDENTS!F410:F100407,STUDENTS!H410:H100407)),"update STUDENT sheet")</f>
        <v/>
      </c>
    </row>
    <row r="412">
      <c r="B412">
        <f>IF(STUDENTS!B411="","",STUDENTS!B411)</f>
        <v/>
      </c>
      <c r="C412">
        <f>IFERROR(IF(B412="","",_xlfn.XLOOKUP(B412,STUDENTS!$B$3:$B$1048576,STUDENTS!$C$3:$C$1048576)),"Enter a registered reg. no")</f>
        <v/>
      </c>
      <c r="D412">
        <f>IFERROR(IF(B412="","",_xlfn.XLOOKUP(B412,STUDENTS!B411:B100408,STUDENTS!D411:D100408)),"update STUDENT sheet")</f>
        <v/>
      </c>
      <c r="E412">
        <f>IFERROR(IF(C412="","",_xlfn.XLOOKUP(C412,STUDENTS!C411:C100408,STUDENTS!F411:F100408)),"update STUDENT sheet")</f>
        <v/>
      </c>
      <c r="F412">
        <f>IFERROR(IF(D412="","",_xlfn.XLOOKUP(D412,STUDENTS!D411:D100408,STUDENTS!G411:G100408)),"update STUDENT sheet")</f>
        <v/>
      </c>
      <c r="G412">
        <f>IFERROR(IF(E412="","",_xlfn.XLOOKUP(E412,STUDENTS!F411:F100408,STUDENTS!H411:H100408)),"update STUDENT sheet")</f>
        <v/>
      </c>
    </row>
    <row r="413">
      <c r="B413">
        <f>IF(STUDENTS!B412="","",STUDENTS!B412)</f>
        <v/>
      </c>
      <c r="C413">
        <f>IFERROR(IF(B413="","",_xlfn.XLOOKUP(B413,STUDENTS!$B$3:$B$1048576,STUDENTS!$C$3:$C$1048576)),"Enter a registered reg. no")</f>
        <v/>
      </c>
      <c r="D413">
        <f>IFERROR(IF(B413="","",_xlfn.XLOOKUP(B413,STUDENTS!B412:B100409,STUDENTS!D412:D100409)),"update STUDENT sheet")</f>
        <v/>
      </c>
      <c r="E413">
        <f>IFERROR(IF(C413="","",_xlfn.XLOOKUP(C413,STUDENTS!C412:C100409,STUDENTS!F412:F100409)),"update STUDENT sheet")</f>
        <v/>
      </c>
      <c r="F413">
        <f>IFERROR(IF(D413="","",_xlfn.XLOOKUP(D413,STUDENTS!D412:D100409,STUDENTS!G412:G100409)),"update STUDENT sheet")</f>
        <v/>
      </c>
      <c r="G413">
        <f>IFERROR(IF(E413="","",_xlfn.XLOOKUP(E413,STUDENTS!F412:F100409,STUDENTS!H412:H100409)),"update STUDENT sheet")</f>
        <v/>
      </c>
    </row>
    <row r="414">
      <c r="B414">
        <f>IF(STUDENTS!B413="","",STUDENTS!B413)</f>
        <v/>
      </c>
      <c r="C414">
        <f>IFERROR(IF(B414="","",_xlfn.XLOOKUP(B414,STUDENTS!$B$3:$B$1048576,STUDENTS!$C$3:$C$1048576)),"Enter a registered reg. no")</f>
        <v/>
      </c>
      <c r="D414">
        <f>IFERROR(IF(B414="","",_xlfn.XLOOKUP(B414,STUDENTS!B413:B100410,STUDENTS!D413:D100410)),"update STUDENT sheet")</f>
        <v/>
      </c>
      <c r="E414">
        <f>IFERROR(IF(C414="","",_xlfn.XLOOKUP(C414,STUDENTS!C413:C100410,STUDENTS!F413:F100410)),"update STUDENT sheet")</f>
        <v/>
      </c>
      <c r="F414">
        <f>IFERROR(IF(D414="","",_xlfn.XLOOKUP(D414,STUDENTS!D413:D100410,STUDENTS!G413:G100410)),"update STUDENT sheet")</f>
        <v/>
      </c>
      <c r="G414">
        <f>IFERROR(IF(E414="","",_xlfn.XLOOKUP(E414,STUDENTS!F413:F100410,STUDENTS!H413:H100410)),"update STUDENT sheet")</f>
        <v/>
      </c>
    </row>
    <row r="415">
      <c r="B415">
        <f>IF(STUDENTS!B414="","",STUDENTS!B414)</f>
        <v/>
      </c>
      <c r="C415">
        <f>IFERROR(IF(B415="","",_xlfn.XLOOKUP(B415,STUDENTS!$B$3:$B$1048576,STUDENTS!$C$3:$C$1048576)),"Enter a registered reg. no")</f>
        <v/>
      </c>
      <c r="D415">
        <f>IFERROR(IF(B415="","",_xlfn.XLOOKUP(B415,STUDENTS!B414:B100411,STUDENTS!D414:D100411)),"update STUDENT sheet")</f>
        <v/>
      </c>
      <c r="E415">
        <f>IFERROR(IF(C415="","",_xlfn.XLOOKUP(C415,STUDENTS!C414:C100411,STUDENTS!F414:F100411)),"update STUDENT sheet")</f>
        <v/>
      </c>
      <c r="F415">
        <f>IFERROR(IF(D415="","",_xlfn.XLOOKUP(D415,STUDENTS!D414:D100411,STUDENTS!G414:G100411)),"update STUDENT sheet")</f>
        <v/>
      </c>
      <c r="G415">
        <f>IFERROR(IF(E415="","",_xlfn.XLOOKUP(E415,STUDENTS!F414:F100411,STUDENTS!H414:H100411)),"update STUDENT sheet")</f>
        <v/>
      </c>
    </row>
    <row r="416">
      <c r="B416">
        <f>IF(STUDENTS!B415="","",STUDENTS!B415)</f>
        <v/>
      </c>
      <c r="C416">
        <f>IFERROR(IF(B416="","",_xlfn.XLOOKUP(B416,STUDENTS!$B$3:$B$1048576,STUDENTS!$C$3:$C$1048576)),"Enter a registered reg. no")</f>
        <v/>
      </c>
      <c r="D416">
        <f>IFERROR(IF(B416="","",_xlfn.XLOOKUP(B416,STUDENTS!B415:B100412,STUDENTS!D415:D100412)),"update STUDENT sheet")</f>
        <v/>
      </c>
      <c r="E416">
        <f>IFERROR(IF(C416="","",_xlfn.XLOOKUP(C416,STUDENTS!C415:C100412,STUDENTS!F415:F100412)),"update STUDENT sheet")</f>
        <v/>
      </c>
      <c r="F416">
        <f>IFERROR(IF(D416="","",_xlfn.XLOOKUP(D416,STUDENTS!D415:D100412,STUDENTS!G415:G100412)),"update STUDENT sheet")</f>
        <v/>
      </c>
      <c r="G416">
        <f>IFERROR(IF(E416="","",_xlfn.XLOOKUP(E416,STUDENTS!F415:F100412,STUDENTS!H415:H100412)),"update STUDENT sheet")</f>
        <v/>
      </c>
    </row>
    <row r="417">
      <c r="B417">
        <f>IF(STUDENTS!B416="","",STUDENTS!B416)</f>
        <v/>
      </c>
      <c r="C417">
        <f>IFERROR(IF(B417="","",_xlfn.XLOOKUP(B417,STUDENTS!$B$3:$B$1048576,STUDENTS!$C$3:$C$1048576)),"Enter a registered reg. no")</f>
        <v/>
      </c>
      <c r="D417">
        <f>IFERROR(IF(B417="","",_xlfn.XLOOKUP(B417,STUDENTS!B416:B100413,STUDENTS!D416:D100413)),"update STUDENT sheet")</f>
        <v/>
      </c>
      <c r="E417">
        <f>IFERROR(IF(C417="","",_xlfn.XLOOKUP(C417,STUDENTS!C416:C100413,STUDENTS!F416:F100413)),"update STUDENT sheet")</f>
        <v/>
      </c>
      <c r="F417">
        <f>IFERROR(IF(D417="","",_xlfn.XLOOKUP(D417,STUDENTS!D416:D100413,STUDENTS!G416:G100413)),"update STUDENT sheet")</f>
        <v/>
      </c>
      <c r="G417">
        <f>IFERROR(IF(E417="","",_xlfn.XLOOKUP(E417,STUDENTS!F416:F100413,STUDENTS!H416:H100413)),"update STUDENT sheet")</f>
        <v/>
      </c>
    </row>
    <row r="418">
      <c r="B418">
        <f>IF(STUDENTS!B417="","",STUDENTS!B417)</f>
        <v/>
      </c>
      <c r="C418">
        <f>IFERROR(IF(B418="","",_xlfn.XLOOKUP(B418,STUDENTS!$B$3:$B$1048576,STUDENTS!$C$3:$C$1048576)),"Enter a registered reg. no")</f>
        <v/>
      </c>
      <c r="D418">
        <f>IFERROR(IF(B418="","",_xlfn.XLOOKUP(B418,STUDENTS!B417:B100414,STUDENTS!D417:D100414)),"update STUDENT sheet")</f>
        <v/>
      </c>
      <c r="E418">
        <f>IFERROR(IF(C418="","",_xlfn.XLOOKUP(C418,STUDENTS!C417:C100414,STUDENTS!F417:F100414)),"update STUDENT sheet")</f>
        <v/>
      </c>
      <c r="F418">
        <f>IFERROR(IF(D418="","",_xlfn.XLOOKUP(D418,STUDENTS!D417:D100414,STUDENTS!G417:G100414)),"update STUDENT sheet")</f>
        <v/>
      </c>
      <c r="G418">
        <f>IFERROR(IF(E418="","",_xlfn.XLOOKUP(E418,STUDENTS!F417:F100414,STUDENTS!H417:H100414)),"update STUDENT sheet")</f>
        <v/>
      </c>
    </row>
    <row r="419">
      <c r="B419">
        <f>IF(STUDENTS!B418="","",STUDENTS!B418)</f>
        <v/>
      </c>
      <c r="C419">
        <f>IFERROR(IF(B419="","",_xlfn.XLOOKUP(B419,STUDENTS!$B$3:$B$1048576,STUDENTS!$C$3:$C$1048576)),"Enter a registered reg. no")</f>
        <v/>
      </c>
      <c r="D419">
        <f>IFERROR(IF(B419="","",_xlfn.XLOOKUP(B419,STUDENTS!B418:B100415,STUDENTS!D418:D100415)),"update STUDENT sheet")</f>
        <v/>
      </c>
      <c r="E419">
        <f>IFERROR(IF(C419="","",_xlfn.XLOOKUP(C419,STUDENTS!C418:C100415,STUDENTS!F418:F100415)),"update STUDENT sheet")</f>
        <v/>
      </c>
      <c r="F419">
        <f>IFERROR(IF(D419="","",_xlfn.XLOOKUP(D419,STUDENTS!D418:D100415,STUDENTS!G418:G100415)),"update STUDENT sheet")</f>
        <v/>
      </c>
      <c r="G419">
        <f>IFERROR(IF(E419="","",_xlfn.XLOOKUP(E419,STUDENTS!F418:F100415,STUDENTS!H418:H100415)),"update STUDENT sheet")</f>
        <v/>
      </c>
    </row>
    <row r="420">
      <c r="B420">
        <f>IF(STUDENTS!B419="","",STUDENTS!B419)</f>
        <v/>
      </c>
      <c r="C420">
        <f>IFERROR(IF(B420="","",_xlfn.XLOOKUP(B420,STUDENTS!$B$3:$B$1048576,STUDENTS!$C$3:$C$1048576)),"Enter a registered reg. no")</f>
        <v/>
      </c>
      <c r="D420">
        <f>IFERROR(IF(B420="","",_xlfn.XLOOKUP(B420,STUDENTS!B419:B100416,STUDENTS!D419:D100416)),"update STUDENT sheet")</f>
        <v/>
      </c>
      <c r="E420">
        <f>IFERROR(IF(C420="","",_xlfn.XLOOKUP(C420,STUDENTS!C419:C100416,STUDENTS!F419:F100416)),"update STUDENT sheet")</f>
        <v/>
      </c>
      <c r="F420">
        <f>IFERROR(IF(D420="","",_xlfn.XLOOKUP(D420,STUDENTS!D419:D100416,STUDENTS!G419:G100416)),"update STUDENT sheet")</f>
        <v/>
      </c>
      <c r="G420">
        <f>IFERROR(IF(E420="","",_xlfn.XLOOKUP(E420,STUDENTS!F419:F100416,STUDENTS!H419:H100416)),"update STUDENT sheet")</f>
        <v/>
      </c>
    </row>
    <row r="421">
      <c r="B421">
        <f>IF(STUDENTS!B420="","",STUDENTS!B420)</f>
        <v/>
      </c>
      <c r="C421">
        <f>IFERROR(IF(B421="","",_xlfn.XLOOKUP(B421,STUDENTS!$B$3:$B$1048576,STUDENTS!$C$3:$C$1048576)),"Enter a registered reg. no")</f>
        <v/>
      </c>
      <c r="D421">
        <f>IFERROR(IF(B421="","",_xlfn.XLOOKUP(B421,STUDENTS!B420:B100417,STUDENTS!D420:D100417)),"update STUDENT sheet")</f>
        <v/>
      </c>
      <c r="E421">
        <f>IFERROR(IF(C421="","",_xlfn.XLOOKUP(C421,STUDENTS!C420:C100417,STUDENTS!F420:F100417)),"update STUDENT sheet")</f>
        <v/>
      </c>
      <c r="F421">
        <f>IFERROR(IF(D421="","",_xlfn.XLOOKUP(D421,STUDENTS!D420:D100417,STUDENTS!G420:G100417)),"update STUDENT sheet")</f>
        <v/>
      </c>
      <c r="G421">
        <f>IFERROR(IF(E421="","",_xlfn.XLOOKUP(E421,STUDENTS!F420:F100417,STUDENTS!H420:H100417)),"update STUDENT sheet")</f>
        <v/>
      </c>
    </row>
    <row r="422">
      <c r="B422">
        <f>IF(STUDENTS!B421="","",STUDENTS!B421)</f>
        <v/>
      </c>
      <c r="C422">
        <f>IFERROR(IF(B422="","",_xlfn.XLOOKUP(B422,STUDENTS!$B$3:$B$1048576,STUDENTS!$C$3:$C$1048576)),"Enter a registered reg. no")</f>
        <v/>
      </c>
      <c r="D422">
        <f>IFERROR(IF(B422="","",_xlfn.XLOOKUP(B422,STUDENTS!B421:B100418,STUDENTS!D421:D100418)),"update STUDENT sheet")</f>
        <v/>
      </c>
      <c r="E422">
        <f>IFERROR(IF(C422="","",_xlfn.XLOOKUP(C422,STUDENTS!C421:C100418,STUDENTS!F421:F100418)),"update STUDENT sheet")</f>
        <v/>
      </c>
      <c r="F422">
        <f>IFERROR(IF(D422="","",_xlfn.XLOOKUP(D422,STUDENTS!D421:D100418,STUDENTS!G421:G100418)),"update STUDENT sheet")</f>
        <v/>
      </c>
      <c r="G422">
        <f>IFERROR(IF(E422="","",_xlfn.XLOOKUP(E422,STUDENTS!F421:F100418,STUDENTS!H421:H100418)),"update STUDENT sheet")</f>
        <v/>
      </c>
    </row>
    <row r="423">
      <c r="B423">
        <f>IF(STUDENTS!B422="","",STUDENTS!B422)</f>
        <v/>
      </c>
      <c r="C423">
        <f>IFERROR(IF(B423="","",_xlfn.XLOOKUP(B423,STUDENTS!$B$3:$B$1048576,STUDENTS!$C$3:$C$1048576)),"Enter a registered reg. no")</f>
        <v/>
      </c>
      <c r="D423">
        <f>IFERROR(IF(B423="","",_xlfn.XLOOKUP(B423,STUDENTS!B422:B100419,STUDENTS!D422:D100419)),"update STUDENT sheet")</f>
        <v/>
      </c>
      <c r="E423">
        <f>IFERROR(IF(C423="","",_xlfn.XLOOKUP(C423,STUDENTS!C422:C100419,STUDENTS!F422:F100419)),"update STUDENT sheet")</f>
        <v/>
      </c>
      <c r="F423">
        <f>IFERROR(IF(D423="","",_xlfn.XLOOKUP(D423,STUDENTS!D422:D100419,STUDENTS!G422:G100419)),"update STUDENT sheet")</f>
        <v/>
      </c>
      <c r="G423">
        <f>IFERROR(IF(E423="","",_xlfn.XLOOKUP(E423,STUDENTS!F422:F100419,STUDENTS!H422:H100419)),"update STUDENT sheet")</f>
        <v/>
      </c>
    </row>
    <row r="424">
      <c r="B424">
        <f>IF(STUDENTS!B423="","",STUDENTS!B423)</f>
        <v/>
      </c>
      <c r="C424">
        <f>IFERROR(IF(B424="","",_xlfn.XLOOKUP(B424,STUDENTS!$B$3:$B$1048576,STUDENTS!$C$3:$C$1048576)),"Enter a registered reg. no")</f>
        <v/>
      </c>
      <c r="D424">
        <f>IFERROR(IF(B424="","",_xlfn.XLOOKUP(B424,STUDENTS!B423:B100420,STUDENTS!D423:D100420)),"update STUDENT sheet")</f>
        <v/>
      </c>
      <c r="E424">
        <f>IFERROR(IF(C424="","",_xlfn.XLOOKUP(C424,STUDENTS!C423:C100420,STUDENTS!F423:F100420)),"update STUDENT sheet")</f>
        <v/>
      </c>
      <c r="F424">
        <f>IFERROR(IF(D424="","",_xlfn.XLOOKUP(D424,STUDENTS!D423:D100420,STUDENTS!G423:G100420)),"update STUDENT sheet")</f>
        <v/>
      </c>
      <c r="G424">
        <f>IFERROR(IF(E424="","",_xlfn.XLOOKUP(E424,STUDENTS!F423:F100420,STUDENTS!H423:H100420)),"update STUDENT sheet")</f>
        <v/>
      </c>
    </row>
    <row r="425">
      <c r="B425">
        <f>IF(STUDENTS!B424="","",STUDENTS!B424)</f>
        <v/>
      </c>
      <c r="C425">
        <f>IFERROR(IF(B425="","",_xlfn.XLOOKUP(B425,STUDENTS!$B$3:$B$1048576,STUDENTS!$C$3:$C$1048576)),"Enter a registered reg. no")</f>
        <v/>
      </c>
      <c r="D425">
        <f>IFERROR(IF(B425="","",_xlfn.XLOOKUP(B425,STUDENTS!B424:B100421,STUDENTS!D424:D100421)),"update STUDENT sheet")</f>
        <v/>
      </c>
      <c r="E425">
        <f>IFERROR(IF(C425="","",_xlfn.XLOOKUP(C425,STUDENTS!C424:C100421,STUDENTS!F424:F100421)),"update STUDENT sheet")</f>
        <v/>
      </c>
      <c r="F425">
        <f>IFERROR(IF(D425="","",_xlfn.XLOOKUP(D425,STUDENTS!D424:D100421,STUDENTS!G424:G100421)),"update STUDENT sheet")</f>
        <v/>
      </c>
      <c r="G425">
        <f>IFERROR(IF(E425="","",_xlfn.XLOOKUP(E425,STUDENTS!F424:F100421,STUDENTS!H424:H100421)),"update STUDENT sheet")</f>
        <v/>
      </c>
    </row>
    <row r="426">
      <c r="B426">
        <f>IF(STUDENTS!B425="","",STUDENTS!B425)</f>
        <v/>
      </c>
      <c r="C426">
        <f>IFERROR(IF(B426="","",_xlfn.XLOOKUP(B426,STUDENTS!$B$3:$B$1048576,STUDENTS!$C$3:$C$1048576)),"Enter a registered reg. no")</f>
        <v/>
      </c>
      <c r="D426">
        <f>IFERROR(IF(B426="","",_xlfn.XLOOKUP(B426,STUDENTS!B425:B100422,STUDENTS!D425:D100422)),"update STUDENT sheet")</f>
        <v/>
      </c>
      <c r="E426">
        <f>IFERROR(IF(C426="","",_xlfn.XLOOKUP(C426,STUDENTS!C425:C100422,STUDENTS!F425:F100422)),"update STUDENT sheet")</f>
        <v/>
      </c>
      <c r="F426">
        <f>IFERROR(IF(D426="","",_xlfn.XLOOKUP(D426,STUDENTS!D425:D100422,STUDENTS!G425:G100422)),"update STUDENT sheet")</f>
        <v/>
      </c>
      <c r="G426">
        <f>IFERROR(IF(E426="","",_xlfn.XLOOKUP(E426,STUDENTS!F425:F100422,STUDENTS!H425:H100422)),"update STUDENT sheet")</f>
        <v/>
      </c>
    </row>
    <row r="427">
      <c r="B427">
        <f>IF(STUDENTS!B426="","",STUDENTS!B426)</f>
        <v/>
      </c>
      <c r="C427">
        <f>IFERROR(IF(B427="","",_xlfn.XLOOKUP(B427,STUDENTS!$B$3:$B$1048576,STUDENTS!$C$3:$C$1048576)),"Enter a registered reg. no")</f>
        <v/>
      </c>
      <c r="D427">
        <f>IFERROR(IF(B427="","",_xlfn.XLOOKUP(B427,STUDENTS!B426:B100423,STUDENTS!D426:D100423)),"update STUDENT sheet")</f>
        <v/>
      </c>
      <c r="E427">
        <f>IFERROR(IF(C427="","",_xlfn.XLOOKUP(C427,STUDENTS!C426:C100423,STUDENTS!F426:F100423)),"update STUDENT sheet")</f>
        <v/>
      </c>
      <c r="F427">
        <f>IFERROR(IF(D427="","",_xlfn.XLOOKUP(D427,STUDENTS!D426:D100423,STUDENTS!G426:G100423)),"update STUDENT sheet")</f>
        <v/>
      </c>
      <c r="G427">
        <f>IFERROR(IF(E427="","",_xlfn.XLOOKUP(E427,STUDENTS!F426:F100423,STUDENTS!H426:H100423)),"update STUDENT sheet")</f>
        <v/>
      </c>
    </row>
    <row r="428">
      <c r="B428">
        <f>IF(STUDENTS!B427="","",STUDENTS!B427)</f>
        <v/>
      </c>
      <c r="C428">
        <f>IFERROR(IF(B428="","",_xlfn.XLOOKUP(B428,STUDENTS!$B$3:$B$1048576,STUDENTS!$C$3:$C$1048576)),"Enter a registered reg. no")</f>
        <v/>
      </c>
      <c r="D428">
        <f>IFERROR(IF(B428="","",_xlfn.XLOOKUP(B428,STUDENTS!B427:B100424,STUDENTS!D427:D100424)),"update STUDENT sheet")</f>
        <v/>
      </c>
      <c r="E428">
        <f>IFERROR(IF(C428="","",_xlfn.XLOOKUP(C428,STUDENTS!C427:C100424,STUDENTS!F427:F100424)),"update STUDENT sheet")</f>
        <v/>
      </c>
      <c r="F428">
        <f>IFERROR(IF(D428="","",_xlfn.XLOOKUP(D428,STUDENTS!D427:D100424,STUDENTS!G427:G100424)),"update STUDENT sheet")</f>
        <v/>
      </c>
      <c r="G428">
        <f>IFERROR(IF(E428="","",_xlfn.XLOOKUP(E428,STUDENTS!F427:F100424,STUDENTS!H427:H100424)),"update STUDENT sheet")</f>
        <v/>
      </c>
    </row>
    <row r="429">
      <c r="B429">
        <f>IF(STUDENTS!B428="","",STUDENTS!B428)</f>
        <v/>
      </c>
      <c r="C429">
        <f>IFERROR(IF(B429="","",_xlfn.XLOOKUP(B429,STUDENTS!$B$3:$B$1048576,STUDENTS!$C$3:$C$1048576)),"Enter a registered reg. no")</f>
        <v/>
      </c>
      <c r="D429">
        <f>IFERROR(IF(B429="","",_xlfn.XLOOKUP(B429,STUDENTS!B428:B100425,STUDENTS!D428:D100425)),"update STUDENT sheet")</f>
        <v/>
      </c>
      <c r="E429">
        <f>IFERROR(IF(C429="","",_xlfn.XLOOKUP(C429,STUDENTS!C428:C100425,STUDENTS!F428:F100425)),"update STUDENT sheet")</f>
        <v/>
      </c>
      <c r="F429">
        <f>IFERROR(IF(D429="","",_xlfn.XLOOKUP(D429,STUDENTS!D428:D100425,STUDENTS!G428:G100425)),"update STUDENT sheet")</f>
        <v/>
      </c>
      <c r="G429">
        <f>IFERROR(IF(E429="","",_xlfn.XLOOKUP(E429,STUDENTS!F428:F100425,STUDENTS!H428:H100425)),"update STUDENT sheet")</f>
        <v/>
      </c>
    </row>
    <row r="430">
      <c r="B430">
        <f>IF(STUDENTS!B429="","",STUDENTS!B429)</f>
        <v/>
      </c>
      <c r="C430">
        <f>IFERROR(IF(B430="","",_xlfn.XLOOKUP(B430,STUDENTS!$B$3:$B$1048576,STUDENTS!$C$3:$C$1048576)),"Enter a registered reg. no")</f>
        <v/>
      </c>
      <c r="D430">
        <f>IFERROR(IF(B430="","",_xlfn.XLOOKUP(B430,STUDENTS!B429:B100426,STUDENTS!D429:D100426)),"update STUDENT sheet")</f>
        <v/>
      </c>
      <c r="E430">
        <f>IFERROR(IF(C430="","",_xlfn.XLOOKUP(C430,STUDENTS!C429:C100426,STUDENTS!F429:F100426)),"update STUDENT sheet")</f>
        <v/>
      </c>
      <c r="F430">
        <f>IFERROR(IF(D430="","",_xlfn.XLOOKUP(D430,STUDENTS!D429:D100426,STUDENTS!G429:G100426)),"update STUDENT sheet")</f>
        <v/>
      </c>
      <c r="G430">
        <f>IFERROR(IF(E430="","",_xlfn.XLOOKUP(E430,STUDENTS!F429:F100426,STUDENTS!H429:H100426)),"update STUDENT sheet")</f>
        <v/>
      </c>
    </row>
    <row r="431">
      <c r="B431">
        <f>IF(STUDENTS!B430="","",STUDENTS!B430)</f>
        <v/>
      </c>
      <c r="C431">
        <f>IFERROR(IF(B431="","",_xlfn.XLOOKUP(B431,STUDENTS!$B$3:$B$1048576,STUDENTS!$C$3:$C$1048576)),"Enter a registered reg. no")</f>
        <v/>
      </c>
      <c r="D431">
        <f>IFERROR(IF(B431="","",_xlfn.XLOOKUP(B431,STUDENTS!B430:B100427,STUDENTS!D430:D100427)),"update STUDENT sheet")</f>
        <v/>
      </c>
      <c r="E431">
        <f>IFERROR(IF(C431="","",_xlfn.XLOOKUP(C431,STUDENTS!C430:C100427,STUDENTS!F430:F100427)),"update STUDENT sheet")</f>
        <v/>
      </c>
      <c r="F431">
        <f>IFERROR(IF(D431="","",_xlfn.XLOOKUP(D431,STUDENTS!D430:D100427,STUDENTS!G430:G100427)),"update STUDENT sheet")</f>
        <v/>
      </c>
      <c r="G431">
        <f>IFERROR(IF(E431="","",_xlfn.XLOOKUP(E431,STUDENTS!F430:F100427,STUDENTS!H430:H100427)),"update STUDENT sheet")</f>
        <v/>
      </c>
    </row>
    <row r="432">
      <c r="B432">
        <f>IF(STUDENTS!B431="","",STUDENTS!B431)</f>
        <v/>
      </c>
      <c r="C432">
        <f>IFERROR(IF(B432="","",_xlfn.XLOOKUP(B432,STUDENTS!$B$3:$B$1048576,STUDENTS!$C$3:$C$1048576)),"Enter a registered reg. no")</f>
        <v/>
      </c>
      <c r="D432">
        <f>IFERROR(IF(B432="","",_xlfn.XLOOKUP(B432,STUDENTS!B431:B100428,STUDENTS!D431:D100428)),"update STUDENT sheet")</f>
        <v/>
      </c>
      <c r="E432">
        <f>IFERROR(IF(C432="","",_xlfn.XLOOKUP(C432,STUDENTS!C431:C100428,STUDENTS!F431:F100428)),"update STUDENT sheet")</f>
        <v/>
      </c>
      <c r="F432">
        <f>IFERROR(IF(D432="","",_xlfn.XLOOKUP(D432,STUDENTS!D431:D100428,STUDENTS!G431:G100428)),"update STUDENT sheet")</f>
        <v/>
      </c>
      <c r="G432">
        <f>IFERROR(IF(E432="","",_xlfn.XLOOKUP(E432,STUDENTS!F431:F100428,STUDENTS!H431:H100428)),"update STUDENT sheet")</f>
        <v/>
      </c>
    </row>
    <row r="433">
      <c r="B433">
        <f>IF(STUDENTS!B432="","",STUDENTS!B432)</f>
        <v/>
      </c>
      <c r="C433">
        <f>IFERROR(IF(B433="","",_xlfn.XLOOKUP(B433,STUDENTS!$B$3:$B$1048576,STUDENTS!$C$3:$C$1048576)),"Enter a registered reg. no")</f>
        <v/>
      </c>
      <c r="D433">
        <f>IFERROR(IF(B433="","",_xlfn.XLOOKUP(B433,STUDENTS!B432:B100429,STUDENTS!D432:D100429)),"update STUDENT sheet")</f>
        <v/>
      </c>
      <c r="E433">
        <f>IFERROR(IF(C433="","",_xlfn.XLOOKUP(C433,STUDENTS!C432:C100429,STUDENTS!F432:F100429)),"update STUDENT sheet")</f>
        <v/>
      </c>
      <c r="F433">
        <f>IFERROR(IF(D433="","",_xlfn.XLOOKUP(D433,STUDENTS!D432:D100429,STUDENTS!G432:G100429)),"update STUDENT sheet")</f>
        <v/>
      </c>
      <c r="G433">
        <f>IFERROR(IF(E433="","",_xlfn.XLOOKUP(E433,STUDENTS!F432:F100429,STUDENTS!H432:H100429)),"update STUDENT sheet")</f>
        <v/>
      </c>
    </row>
    <row r="434">
      <c r="B434">
        <f>IF(STUDENTS!B433="","",STUDENTS!B433)</f>
        <v/>
      </c>
      <c r="C434">
        <f>IFERROR(IF(B434="","",_xlfn.XLOOKUP(B434,STUDENTS!$B$3:$B$1048576,STUDENTS!$C$3:$C$1048576)),"Enter a registered reg. no")</f>
        <v/>
      </c>
      <c r="D434">
        <f>IFERROR(IF(B434="","",_xlfn.XLOOKUP(B434,STUDENTS!B433:B100430,STUDENTS!D433:D100430)),"update STUDENT sheet")</f>
        <v/>
      </c>
      <c r="E434">
        <f>IFERROR(IF(C434="","",_xlfn.XLOOKUP(C434,STUDENTS!C433:C100430,STUDENTS!F433:F100430)),"update STUDENT sheet")</f>
        <v/>
      </c>
      <c r="F434">
        <f>IFERROR(IF(D434="","",_xlfn.XLOOKUP(D434,STUDENTS!D433:D100430,STUDENTS!G433:G100430)),"update STUDENT sheet")</f>
        <v/>
      </c>
      <c r="G434">
        <f>IFERROR(IF(E434="","",_xlfn.XLOOKUP(E434,STUDENTS!F433:F100430,STUDENTS!H433:H100430)),"update STUDENT sheet")</f>
        <v/>
      </c>
    </row>
    <row r="435">
      <c r="B435">
        <f>IF(STUDENTS!B434="","",STUDENTS!B434)</f>
        <v/>
      </c>
      <c r="C435">
        <f>IFERROR(IF(B435="","",_xlfn.XLOOKUP(B435,STUDENTS!$B$3:$B$1048576,STUDENTS!$C$3:$C$1048576)),"Enter a registered reg. no")</f>
        <v/>
      </c>
      <c r="D435">
        <f>IFERROR(IF(B435="","",_xlfn.XLOOKUP(B435,STUDENTS!B434:B100431,STUDENTS!D434:D100431)),"update STUDENT sheet")</f>
        <v/>
      </c>
      <c r="E435">
        <f>IFERROR(IF(C435="","",_xlfn.XLOOKUP(C435,STUDENTS!C434:C100431,STUDENTS!F434:F100431)),"update STUDENT sheet")</f>
        <v/>
      </c>
      <c r="F435">
        <f>IFERROR(IF(D435="","",_xlfn.XLOOKUP(D435,STUDENTS!D434:D100431,STUDENTS!G434:G100431)),"update STUDENT sheet")</f>
        <v/>
      </c>
      <c r="G435">
        <f>IFERROR(IF(E435="","",_xlfn.XLOOKUP(E435,STUDENTS!F434:F100431,STUDENTS!H434:H100431)),"update STUDENT sheet")</f>
        <v/>
      </c>
    </row>
    <row r="436">
      <c r="B436">
        <f>IF(STUDENTS!B435="","",STUDENTS!B435)</f>
        <v/>
      </c>
      <c r="C436">
        <f>IFERROR(IF(B436="","",_xlfn.XLOOKUP(B436,STUDENTS!$B$3:$B$1048576,STUDENTS!$C$3:$C$1048576)),"Enter a registered reg. no")</f>
        <v/>
      </c>
      <c r="D436">
        <f>IFERROR(IF(B436="","",_xlfn.XLOOKUP(B436,STUDENTS!B435:B100432,STUDENTS!D435:D100432)),"update STUDENT sheet")</f>
        <v/>
      </c>
      <c r="E436">
        <f>IFERROR(IF(C436="","",_xlfn.XLOOKUP(C436,STUDENTS!C435:C100432,STUDENTS!F435:F100432)),"update STUDENT sheet")</f>
        <v/>
      </c>
      <c r="F436">
        <f>IFERROR(IF(D436="","",_xlfn.XLOOKUP(D436,STUDENTS!D435:D100432,STUDENTS!G435:G100432)),"update STUDENT sheet")</f>
        <v/>
      </c>
      <c r="G436">
        <f>IFERROR(IF(E436="","",_xlfn.XLOOKUP(E436,STUDENTS!F435:F100432,STUDENTS!H435:H100432)),"update STUDENT sheet")</f>
        <v/>
      </c>
    </row>
    <row r="437">
      <c r="B437">
        <f>IF(STUDENTS!B436="","",STUDENTS!B436)</f>
        <v/>
      </c>
      <c r="C437">
        <f>IFERROR(IF(B437="","",_xlfn.XLOOKUP(B437,STUDENTS!$B$3:$B$1048576,STUDENTS!$C$3:$C$1048576)),"Enter a registered reg. no")</f>
        <v/>
      </c>
      <c r="D437">
        <f>IFERROR(IF(B437="","",_xlfn.XLOOKUP(B437,STUDENTS!B436:B100433,STUDENTS!D436:D100433)),"update STUDENT sheet")</f>
        <v/>
      </c>
      <c r="E437">
        <f>IFERROR(IF(C437="","",_xlfn.XLOOKUP(C437,STUDENTS!C436:C100433,STUDENTS!F436:F100433)),"update STUDENT sheet")</f>
        <v/>
      </c>
      <c r="F437">
        <f>IFERROR(IF(D437="","",_xlfn.XLOOKUP(D437,STUDENTS!D436:D100433,STUDENTS!G436:G100433)),"update STUDENT sheet")</f>
        <v/>
      </c>
      <c r="G437">
        <f>IFERROR(IF(E437="","",_xlfn.XLOOKUP(E437,STUDENTS!F436:F100433,STUDENTS!H436:H100433)),"update STUDENT sheet")</f>
        <v/>
      </c>
    </row>
    <row r="438">
      <c r="B438">
        <f>IF(STUDENTS!B437="","",STUDENTS!B437)</f>
        <v/>
      </c>
      <c r="C438">
        <f>IFERROR(IF(B438="","",_xlfn.XLOOKUP(B438,STUDENTS!$B$3:$B$1048576,STUDENTS!$C$3:$C$1048576)),"Enter a registered reg. no")</f>
        <v/>
      </c>
      <c r="D438">
        <f>IFERROR(IF(B438="","",_xlfn.XLOOKUP(B438,STUDENTS!B437:B100434,STUDENTS!D437:D100434)),"update STUDENT sheet")</f>
        <v/>
      </c>
      <c r="E438">
        <f>IFERROR(IF(C438="","",_xlfn.XLOOKUP(C438,STUDENTS!C437:C100434,STUDENTS!F437:F100434)),"update STUDENT sheet")</f>
        <v/>
      </c>
      <c r="F438">
        <f>IFERROR(IF(D438="","",_xlfn.XLOOKUP(D438,STUDENTS!D437:D100434,STUDENTS!G437:G100434)),"update STUDENT sheet")</f>
        <v/>
      </c>
      <c r="G438">
        <f>IFERROR(IF(E438="","",_xlfn.XLOOKUP(E438,STUDENTS!F437:F100434,STUDENTS!H437:H100434)),"update STUDENT sheet")</f>
        <v/>
      </c>
    </row>
    <row r="439">
      <c r="B439">
        <f>IF(STUDENTS!B438="","",STUDENTS!B438)</f>
        <v/>
      </c>
      <c r="C439">
        <f>IFERROR(IF(B439="","",_xlfn.XLOOKUP(B439,STUDENTS!$B$3:$B$1048576,STUDENTS!$C$3:$C$1048576)),"Enter a registered reg. no")</f>
        <v/>
      </c>
      <c r="D439">
        <f>IFERROR(IF(B439="","",_xlfn.XLOOKUP(B439,STUDENTS!B438:B100435,STUDENTS!D438:D100435)),"update STUDENT sheet")</f>
        <v/>
      </c>
      <c r="E439">
        <f>IFERROR(IF(C439="","",_xlfn.XLOOKUP(C439,STUDENTS!C438:C100435,STUDENTS!F438:F100435)),"update STUDENT sheet")</f>
        <v/>
      </c>
      <c r="F439">
        <f>IFERROR(IF(D439="","",_xlfn.XLOOKUP(D439,STUDENTS!D438:D100435,STUDENTS!G438:G100435)),"update STUDENT sheet")</f>
        <v/>
      </c>
      <c r="G439">
        <f>IFERROR(IF(E439="","",_xlfn.XLOOKUP(E439,STUDENTS!F438:F100435,STUDENTS!H438:H100435)),"update STUDENT sheet")</f>
        <v/>
      </c>
    </row>
    <row r="440">
      <c r="B440">
        <f>IF(STUDENTS!B439="","",STUDENTS!B439)</f>
        <v/>
      </c>
      <c r="C440">
        <f>IFERROR(IF(B440="","",_xlfn.XLOOKUP(B440,STUDENTS!$B$3:$B$1048576,STUDENTS!$C$3:$C$1048576)),"Enter a registered reg. no")</f>
        <v/>
      </c>
      <c r="D440">
        <f>IFERROR(IF(B440="","",_xlfn.XLOOKUP(B440,STUDENTS!B439:B100436,STUDENTS!D439:D100436)),"update STUDENT sheet")</f>
        <v/>
      </c>
      <c r="E440">
        <f>IFERROR(IF(C440="","",_xlfn.XLOOKUP(C440,STUDENTS!C439:C100436,STUDENTS!F439:F100436)),"update STUDENT sheet")</f>
        <v/>
      </c>
      <c r="F440">
        <f>IFERROR(IF(D440="","",_xlfn.XLOOKUP(D440,STUDENTS!D439:D100436,STUDENTS!G439:G100436)),"update STUDENT sheet")</f>
        <v/>
      </c>
      <c r="G440">
        <f>IFERROR(IF(E440="","",_xlfn.XLOOKUP(E440,STUDENTS!F439:F100436,STUDENTS!H439:H100436)),"update STUDENT sheet")</f>
        <v/>
      </c>
    </row>
    <row r="441">
      <c r="B441">
        <f>IF(STUDENTS!B440="","",STUDENTS!B440)</f>
        <v/>
      </c>
      <c r="C441">
        <f>IFERROR(IF(B441="","",_xlfn.XLOOKUP(B441,STUDENTS!$B$3:$B$1048576,STUDENTS!$C$3:$C$1048576)),"Enter a registered reg. no")</f>
        <v/>
      </c>
      <c r="D441">
        <f>IFERROR(IF(B441="","",_xlfn.XLOOKUP(B441,STUDENTS!B440:B100437,STUDENTS!D440:D100437)),"update STUDENT sheet")</f>
        <v/>
      </c>
      <c r="E441">
        <f>IFERROR(IF(C441="","",_xlfn.XLOOKUP(C441,STUDENTS!C440:C100437,STUDENTS!F440:F100437)),"update STUDENT sheet")</f>
        <v/>
      </c>
      <c r="F441">
        <f>IFERROR(IF(D441="","",_xlfn.XLOOKUP(D441,STUDENTS!D440:D100437,STUDENTS!G440:G100437)),"update STUDENT sheet")</f>
        <v/>
      </c>
      <c r="G441">
        <f>IFERROR(IF(E441="","",_xlfn.XLOOKUP(E441,STUDENTS!F440:F100437,STUDENTS!H440:H100437)),"update STUDENT sheet")</f>
        <v/>
      </c>
    </row>
    <row r="442">
      <c r="B442">
        <f>IF(STUDENTS!B441="","",STUDENTS!B441)</f>
        <v/>
      </c>
      <c r="C442">
        <f>IFERROR(IF(B442="","",_xlfn.XLOOKUP(B442,STUDENTS!$B$3:$B$1048576,STUDENTS!$C$3:$C$1048576)),"Enter a registered reg. no")</f>
        <v/>
      </c>
      <c r="D442">
        <f>IFERROR(IF(B442="","",_xlfn.XLOOKUP(B442,STUDENTS!B441:B100438,STUDENTS!D441:D100438)),"update STUDENT sheet")</f>
        <v/>
      </c>
      <c r="E442">
        <f>IFERROR(IF(C442="","",_xlfn.XLOOKUP(C442,STUDENTS!C441:C100438,STUDENTS!F441:F100438)),"update STUDENT sheet")</f>
        <v/>
      </c>
      <c r="F442">
        <f>IFERROR(IF(D442="","",_xlfn.XLOOKUP(D442,STUDENTS!D441:D100438,STUDENTS!G441:G100438)),"update STUDENT sheet")</f>
        <v/>
      </c>
      <c r="G442">
        <f>IFERROR(IF(E442="","",_xlfn.XLOOKUP(E442,STUDENTS!F441:F100438,STUDENTS!H441:H100438)),"update STUDENT sheet")</f>
        <v/>
      </c>
    </row>
    <row r="443">
      <c r="B443">
        <f>IF(STUDENTS!B442="","",STUDENTS!B442)</f>
        <v/>
      </c>
      <c r="C443">
        <f>IFERROR(IF(B443="","",_xlfn.XLOOKUP(B443,STUDENTS!$B$3:$B$1048576,STUDENTS!$C$3:$C$1048576)),"Enter a registered reg. no")</f>
        <v/>
      </c>
      <c r="D443">
        <f>IFERROR(IF(B443="","",_xlfn.XLOOKUP(B443,STUDENTS!B442:B100439,STUDENTS!D442:D100439)),"update STUDENT sheet")</f>
        <v/>
      </c>
      <c r="E443">
        <f>IFERROR(IF(C443="","",_xlfn.XLOOKUP(C443,STUDENTS!C442:C100439,STUDENTS!F442:F100439)),"update STUDENT sheet")</f>
        <v/>
      </c>
      <c r="F443">
        <f>IFERROR(IF(D443="","",_xlfn.XLOOKUP(D443,STUDENTS!D442:D100439,STUDENTS!G442:G100439)),"update STUDENT sheet")</f>
        <v/>
      </c>
      <c r="G443">
        <f>IFERROR(IF(E443="","",_xlfn.XLOOKUP(E443,STUDENTS!F442:F100439,STUDENTS!H442:H100439)),"update STUDENT sheet")</f>
        <v/>
      </c>
    </row>
    <row r="444">
      <c r="B444">
        <f>IF(STUDENTS!B443="","",STUDENTS!B443)</f>
        <v/>
      </c>
      <c r="C444">
        <f>IFERROR(IF(B444="","",_xlfn.XLOOKUP(B444,STUDENTS!$B$3:$B$1048576,STUDENTS!$C$3:$C$1048576)),"Enter a registered reg. no")</f>
        <v/>
      </c>
      <c r="D444">
        <f>IFERROR(IF(B444="","",_xlfn.XLOOKUP(B444,STUDENTS!B443:B100440,STUDENTS!D443:D100440)),"update STUDENT sheet")</f>
        <v/>
      </c>
      <c r="E444">
        <f>IFERROR(IF(C444="","",_xlfn.XLOOKUP(C444,STUDENTS!C443:C100440,STUDENTS!F443:F100440)),"update STUDENT sheet")</f>
        <v/>
      </c>
      <c r="F444">
        <f>IFERROR(IF(D444="","",_xlfn.XLOOKUP(D444,STUDENTS!D443:D100440,STUDENTS!G443:G100440)),"update STUDENT sheet")</f>
        <v/>
      </c>
      <c r="G444">
        <f>IFERROR(IF(E444="","",_xlfn.XLOOKUP(E444,STUDENTS!F443:F100440,STUDENTS!H443:H100440)),"update STUDENT sheet")</f>
        <v/>
      </c>
    </row>
    <row r="445">
      <c r="B445">
        <f>IF(STUDENTS!B444="","",STUDENTS!B444)</f>
        <v/>
      </c>
      <c r="C445">
        <f>IFERROR(IF(B445="","",_xlfn.XLOOKUP(B445,STUDENTS!$B$3:$B$1048576,STUDENTS!$C$3:$C$1048576)),"Enter a registered reg. no")</f>
        <v/>
      </c>
      <c r="D445">
        <f>IFERROR(IF(B445="","",_xlfn.XLOOKUP(B445,STUDENTS!B444:B100441,STUDENTS!D444:D100441)),"update STUDENT sheet")</f>
        <v/>
      </c>
      <c r="E445">
        <f>IFERROR(IF(C445="","",_xlfn.XLOOKUP(C445,STUDENTS!C444:C100441,STUDENTS!F444:F100441)),"update STUDENT sheet")</f>
        <v/>
      </c>
      <c r="F445">
        <f>IFERROR(IF(D445="","",_xlfn.XLOOKUP(D445,STUDENTS!D444:D100441,STUDENTS!G444:G100441)),"update STUDENT sheet")</f>
        <v/>
      </c>
      <c r="G445">
        <f>IFERROR(IF(E445="","",_xlfn.XLOOKUP(E445,STUDENTS!F444:F100441,STUDENTS!H444:H100441)),"update STUDENT sheet")</f>
        <v/>
      </c>
    </row>
    <row r="446">
      <c r="B446">
        <f>IF(STUDENTS!B445="","",STUDENTS!B445)</f>
        <v/>
      </c>
      <c r="C446">
        <f>IFERROR(IF(B446="","",_xlfn.XLOOKUP(B446,STUDENTS!$B$3:$B$1048576,STUDENTS!$C$3:$C$1048576)),"Enter a registered reg. no")</f>
        <v/>
      </c>
      <c r="D446">
        <f>IFERROR(IF(B446="","",_xlfn.XLOOKUP(B446,STUDENTS!B445:B100442,STUDENTS!D445:D100442)),"update STUDENT sheet")</f>
        <v/>
      </c>
      <c r="E446">
        <f>IFERROR(IF(C446="","",_xlfn.XLOOKUP(C446,STUDENTS!C445:C100442,STUDENTS!F445:F100442)),"update STUDENT sheet")</f>
        <v/>
      </c>
      <c r="F446">
        <f>IFERROR(IF(D446="","",_xlfn.XLOOKUP(D446,STUDENTS!D445:D100442,STUDENTS!G445:G100442)),"update STUDENT sheet")</f>
        <v/>
      </c>
      <c r="G446">
        <f>IFERROR(IF(E446="","",_xlfn.XLOOKUP(E446,STUDENTS!F445:F100442,STUDENTS!H445:H100442)),"update STUDENT sheet")</f>
        <v/>
      </c>
    </row>
    <row r="447">
      <c r="B447">
        <f>IF(STUDENTS!B446="","",STUDENTS!B446)</f>
        <v/>
      </c>
      <c r="C447">
        <f>IFERROR(IF(B447="","",_xlfn.XLOOKUP(B447,STUDENTS!$B$3:$B$1048576,STUDENTS!$C$3:$C$1048576)),"Enter a registered reg. no")</f>
        <v/>
      </c>
      <c r="D447">
        <f>IFERROR(IF(B447="","",_xlfn.XLOOKUP(B447,STUDENTS!B446:B100443,STUDENTS!D446:D100443)),"update STUDENT sheet")</f>
        <v/>
      </c>
      <c r="E447">
        <f>IFERROR(IF(C447="","",_xlfn.XLOOKUP(C447,STUDENTS!C446:C100443,STUDENTS!F446:F100443)),"update STUDENT sheet")</f>
        <v/>
      </c>
      <c r="F447">
        <f>IFERROR(IF(D447="","",_xlfn.XLOOKUP(D447,STUDENTS!D446:D100443,STUDENTS!G446:G100443)),"update STUDENT sheet")</f>
        <v/>
      </c>
      <c r="G447">
        <f>IFERROR(IF(E447="","",_xlfn.XLOOKUP(E447,STUDENTS!F446:F100443,STUDENTS!H446:H100443)),"update STUDENT sheet")</f>
        <v/>
      </c>
    </row>
    <row r="448">
      <c r="B448">
        <f>IF(STUDENTS!B447="","",STUDENTS!B447)</f>
        <v/>
      </c>
      <c r="C448">
        <f>IFERROR(IF(B448="","",_xlfn.XLOOKUP(B448,STUDENTS!$B$3:$B$1048576,STUDENTS!$C$3:$C$1048576)),"Enter a registered reg. no")</f>
        <v/>
      </c>
      <c r="D448">
        <f>IFERROR(IF(B448="","",_xlfn.XLOOKUP(B448,STUDENTS!B447:B100444,STUDENTS!D447:D100444)),"update STUDENT sheet")</f>
        <v/>
      </c>
      <c r="E448">
        <f>IFERROR(IF(C448="","",_xlfn.XLOOKUP(C448,STUDENTS!C447:C100444,STUDENTS!F447:F100444)),"update STUDENT sheet")</f>
        <v/>
      </c>
      <c r="F448">
        <f>IFERROR(IF(D448="","",_xlfn.XLOOKUP(D448,STUDENTS!D447:D100444,STUDENTS!G447:G100444)),"update STUDENT sheet")</f>
        <v/>
      </c>
      <c r="G448">
        <f>IFERROR(IF(E448="","",_xlfn.XLOOKUP(E448,STUDENTS!F447:F100444,STUDENTS!H447:H100444)),"update STUDENT sheet")</f>
        <v/>
      </c>
    </row>
    <row r="449">
      <c r="B449">
        <f>IF(STUDENTS!B448="","",STUDENTS!B448)</f>
        <v/>
      </c>
      <c r="C449">
        <f>IFERROR(IF(B449="","",_xlfn.XLOOKUP(B449,STUDENTS!$B$3:$B$1048576,STUDENTS!$C$3:$C$1048576)),"Enter a registered reg. no")</f>
        <v/>
      </c>
      <c r="D449">
        <f>IFERROR(IF(B449="","",_xlfn.XLOOKUP(B449,STUDENTS!B448:B100445,STUDENTS!D448:D100445)),"update STUDENT sheet")</f>
        <v/>
      </c>
      <c r="E449">
        <f>IFERROR(IF(C449="","",_xlfn.XLOOKUP(C449,STUDENTS!C448:C100445,STUDENTS!F448:F100445)),"update STUDENT sheet")</f>
        <v/>
      </c>
      <c r="F449">
        <f>IFERROR(IF(D449="","",_xlfn.XLOOKUP(D449,STUDENTS!D448:D100445,STUDENTS!G448:G100445)),"update STUDENT sheet")</f>
        <v/>
      </c>
      <c r="G449">
        <f>IFERROR(IF(E449="","",_xlfn.XLOOKUP(E449,STUDENTS!F448:F100445,STUDENTS!H448:H100445)),"update STUDENT sheet")</f>
        <v/>
      </c>
    </row>
    <row r="450">
      <c r="B450">
        <f>IF(STUDENTS!B449="","",STUDENTS!B449)</f>
        <v/>
      </c>
      <c r="C450">
        <f>IFERROR(IF(B450="","",_xlfn.XLOOKUP(B450,STUDENTS!$B$3:$B$1048576,STUDENTS!$C$3:$C$1048576)),"Enter a registered reg. no")</f>
        <v/>
      </c>
      <c r="D450">
        <f>IFERROR(IF(B450="","",_xlfn.XLOOKUP(B450,STUDENTS!B449:B100446,STUDENTS!D449:D100446)),"update STUDENT sheet")</f>
        <v/>
      </c>
      <c r="E450">
        <f>IFERROR(IF(C450="","",_xlfn.XLOOKUP(C450,STUDENTS!C449:C100446,STUDENTS!F449:F100446)),"update STUDENT sheet")</f>
        <v/>
      </c>
      <c r="F450">
        <f>IFERROR(IF(D450="","",_xlfn.XLOOKUP(D450,STUDENTS!D449:D100446,STUDENTS!G449:G100446)),"update STUDENT sheet")</f>
        <v/>
      </c>
      <c r="G450">
        <f>IFERROR(IF(E450="","",_xlfn.XLOOKUP(E450,STUDENTS!F449:F100446,STUDENTS!H449:H100446)),"update STUDENT sheet")</f>
        <v/>
      </c>
    </row>
    <row r="451">
      <c r="B451">
        <f>IF(STUDENTS!B450="","",STUDENTS!B450)</f>
        <v/>
      </c>
      <c r="C451">
        <f>IFERROR(IF(B451="","",_xlfn.XLOOKUP(B451,STUDENTS!$B$3:$B$1048576,STUDENTS!$C$3:$C$1048576)),"Enter a registered reg. no")</f>
        <v/>
      </c>
      <c r="D451">
        <f>IFERROR(IF(B451="","",_xlfn.XLOOKUP(B451,STUDENTS!B450:B100447,STUDENTS!D450:D100447)),"update STUDENT sheet")</f>
        <v/>
      </c>
      <c r="E451">
        <f>IFERROR(IF(C451="","",_xlfn.XLOOKUP(C451,STUDENTS!C450:C100447,STUDENTS!F450:F100447)),"update STUDENT sheet")</f>
        <v/>
      </c>
      <c r="F451">
        <f>IFERROR(IF(D451="","",_xlfn.XLOOKUP(D451,STUDENTS!D450:D100447,STUDENTS!G450:G100447)),"update STUDENT sheet")</f>
        <v/>
      </c>
      <c r="G451">
        <f>IFERROR(IF(E451="","",_xlfn.XLOOKUP(E451,STUDENTS!F450:F100447,STUDENTS!H450:H100447)),"update STUDENT sheet")</f>
        <v/>
      </c>
    </row>
    <row r="452">
      <c r="B452">
        <f>IF(STUDENTS!B451="","",STUDENTS!B451)</f>
        <v/>
      </c>
      <c r="C452">
        <f>IFERROR(IF(B452="","",_xlfn.XLOOKUP(B452,STUDENTS!$B$3:$B$1048576,STUDENTS!$C$3:$C$1048576)),"Enter a registered reg. no")</f>
        <v/>
      </c>
      <c r="D452">
        <f>IFERROR(IF(B452="","",_xlfn.XLOOKUP(B452,STUDENTS!B451:B100448,STUDENTS!D451:D100448)),"update STUDENT sheet")</f>
        <v/>
      </c>
      <c r="E452">
        <f>IFERROR(IF(C452="","",_xlfn.XLOOKUP(C452,STUDENTS!C451:C100448,STUDENTS!F451:F100448)),"update STUDENT sheet")</f>
        <v/>
      </c>
      <c r="F452">
        <f>IFERROR(IF(D452="","",_xlfn.XLOOKUP(D452,STUDENTS!D451:D100448,STUDENTS!G451:G100448)),"update STUDENT sheet")</f>
        <v/>
      </c>
      <c r="G452">
        <f>IFERROR(IF(E452="","",_xlfn.XLOOKUP(E452,STUDENTS!F451:F100448,STUDENTS!H451:H100448)),"update STUDENT sheet")</f>
        <v/>
      </c>
    </row>
    <row r="453">
      <c r="B453">
        <f>IF(STUDENTS!B452="","",STUDENTS!B452)</f>
        <v/>
      </c>
      <c r="C453">
        <f>IFERROR(IF(B453="","",_xlfn.XLOOKUP(B453,STUDENTS!$B$3:$B$1048576,STUDENTS!$C$3:$C$1048576)),"Enter a registered reg. no")</f>
        <v/>
      </c>
      <c r="D453">
        <f>IFERROR(IF(B453="","",_xlfn.XLOOKUP(B453,STUDENTS!B452:B100449,STUDENTS!D452:D100449)),"update STUDENT sheet")</f>
        <v/>
      </c>
      <c r="E453">
        <f>IFERROR(IF(C453="","",_xlfn.XLOOKUP(C453,STUDENTS!C452:C100449,STUDENTS!F452:F100449)),"update STUDENT sheet")</f>
        <v/>
      </c>
      <c r="F453">
        <f>IFERROR(IF(D453="","",_xlfn.XLOOKUP(D453,STUDENTS!D452:D100449,STUDENTS!G452:G100449)),"update STUDENT sheet")</f>
        <v/>
      </c>
      <c r="G453">
        <f>IFERROR(IF(E453="","",_xlfn.XLOOKUP(E453,STUDENTS!F452:F100449,STUDENTS!H452:H100449)),"update STUDENT sheet")</f>
        <v/>
      </c>
    </row>
    <row r="454">
      <c r="B454">
        <f>IF(STUDENTS!B453="","",STUDENTS!B453)</f>
        <v/>
      </c>
      <c r="C454">
        <f>IFERROR(IF(B454="","",_xlfn.XLOOKUP(B454,STUDENTS!$B$3:$B$1048576,STUDENTS!$C$3:$C$1048576)),"Enter a registered reg. no")</f>
        <v/>
      </c>
      <c r="D454">
        <f>IFERROR(IF(B454="","",_xlfn.XLOOKUP(B454,STUDENTS!B453:B100450,STUDENTS!D453:D100450)),"update STUDENT sheet")</f>
        <v/>
      </c>
      <c r="E454">
        <f>IFERROR(IF(C454="","",_xlfn.XLOOKUP(C454,STUDENTS!C453:C100450,STUDENTS!F453:F100450)),"update STUDENT sheet")</f>
        <v/>
      </c>
      <c r="F454">
        <f>IFERROR(IF(D454="","",_xlfn.XLOOKUP(D454,STUDENTS!D453:D100450,STUDENTS!G453:G100450)),"update STUDENT sheet")</f>
        <v/>
      </c>
      <c r="G454">
        <f>IFERROR(IF(E454="","",_xlfn.XLOOKUP(E454,STUDENTS!F453:F100450,STUDENTS!H453:H100450)),"update STUDENT sheet")</f>
        <v/>
      </c>
    </row>
    <row r="455">
      <c r="B455">
        <f>IF(STUDENTS!B454="","",STUDENTS!B454)</f>
        <v/>
      </c>
      <c r="C455">
        <f>IFERROR(IF(B455="","",_xlfn.XLOOKUP(B455,STUDENTS!$B$3:$B$1048576,STUDENTS!$C$3:$C$1048576)),"Enter a registered reg. no")</f>
        <v/>
      </c>
      <c r="D455">
        <f>IFERROR(IF(B455="","",_xlfn.XLOOKUP(B455,STUDENTS!B454:B100451,STUDENTS!D454:D100451)),"update STUDENT sheet")</f>
        <v/>
      </c>
      <c r="E455">
        <f>IFERROR(IF(C455="","",_xlfn.XLOOKUP(C455,STUDENTS!C454:C100451,STUDENTS!F454:F100451)),"update STUDENT sheet")</f>
        <v/>
      </c>
      <c r="F455">
        <f>IFERROR(IF(D455="","",_xlfn.XLOOKUP(D455,STUDENTS!D454:D100451,STUDENTS!G454:G100451)),"update STUDENT sheet")</f>
        <v/>
      </c>
      <c r="G455">
        <f>IFERROR(IF(E455="","",_xlfn.XLOOKUP(E455,STUDENTS!F454:F100451,STUDENTS!H454:H100451)),"update STUDENT sheet")</f>
        <v/>
      </c>
    </row>
    <row r="456">
      <c r="B456">
        <f>IF(STUDENTS!B455="","",STUDENTS!B455)</f>
        <v/>
      </c>
      <c r="C456">
        <f>IFERROR(IF(B456="","",_xlfn.XLOOKUP(B456,STUDENTS!$B$3:$B$1048576,STUDENTS!$C$3:$C$1048576)),"Enter a registered reg. no")</f>
        <v/>
      </c>
      <c r="D456">
        <f>IFERROR(IF(B456="","",_xlfn.XLOOKUP(B456,STUDENTS!B455:B100452,STUDENTS!D455:D100452)),"update STUDENT sheet")</f>
        <v/>
      </c>
      <c r="E456">
        <f>IFERROR(IF(C456="","",_xlfn.XLOOKUP(C456,STUDENTS!C455:C100452,STUDENTS!F455:F100452)),"update STUDENT sheet")</f>
        <v/>
      </c>
      <c r="F456">
        <f>IFERROR(IF(D456="","",_xlfn.XLOOKUP(D456,STUDENTS!D455:D100452,STUDENTS!G455:G100452)),"update STUDENT sheet")</f>
        <v/>
      </c>
      <c r="G456">
        <f>IFERROR(IF(E456="","",_xlfn.XLOOKUP(E456,STUDENTS!F455:F100452,STUDENTS!H455:H100452)),"update STUDENT sheet")</f>
        <v/>
      </c>
    </row>
    <row r="457">
      <c r="B457">
        <f>IF(STUDENTS!B456="","",STUDENTS!B456)</f>
        <v/>
      </c>
      <c r="C457">
        <f>IFERROR(IF(B457="","",_xlfn.XLOOKUP(B457,STUDENTS!$B$3:$B$1048576,STUDENTS!$C$3:$C$1048576)),"Enter a registered reg. no")</f>
        <v/>
      </c>
      <c r="D457">
        <f>IFERROR(IF(B457="","",_xlfn.XLOOKUP(B457,STUDENTS!B456:B100453,STUDENTS!D456:D100453)),"update STUDENT sheet")</f>
        <v/>
      </c>
      <c r="E457">
        <f>IFERROR(IF(C457="","",_xlfn.XLOOKUP(C457,STUDENTS!C456:C100453,STUDENTS!F456:F100453)),"update STUDENT sheet")</f>
        <v/>
      </c>
      <c r="F457">
        <f>IFERROR(IF(D457="","",_xlfn.XLOOKUP(D457,STUDENTS!D456:D100453,STUDENTS!G456:G100453)),"update STUDENT sheet")</f>
        <v/>
      </c>
      <c r="G457">
        <f>IFERROR(IF(E457="","",_xlfn.XLOOKUP(E457,STUDENTS!F456:F100453,STUDENTS!H456:H100453)),"update STUDENT sheet")</f>
        <v/>
      </c>
    </row>
    <row r="458">
      <c r="B458">
        <f>IF(STUDENTS!B457="","",STUDENTS!B457)</f>
        <v/>
      </c>
      <c r="C458">
        <f>IFERROR(IF(B458="","",_xlfn.XLOOKUP(B458,STUDENTS!$B$3:$B$1048576,STUDENTS!$C$3:$C$1048576)),"Enter a registered reg. no")</f>
        <v/>
      </c>
      <c r="D458">
        <f>IFERROR(IF(B458="","",_xlfn.XLOOKUP(B458,STUDENTS!B457:B100454,STUDENTS!D457:D100454)),"update STUDENT sheet")</f>
        <v/>
      </c>
      <c r="E458">
        <f>IFERROR(IF(C458="","",_xlfn.XLOOKUP(C458,STUDENTS!C457:C100454,STUDENTS!F457:F100454)),"update STUDENT sheet")</f>
        <v/>
      </c>
      <c r="F458">
        <f>IFERROR(IF(D458="","",_xlfn.XLOOKUP(D458,STUDENTS!D457:D100454,STUDENTS!G457:G100454)),"update STUDENT sheet")</f>
        <v/>
      </c>
      <c r="G458">
        <f>IFERROR(IF(E458="","",_xlfn.XLOOKUP(E458,STUDENTS!F457:F100454,STUDENTS!H457:H100454)),"update STUDENT sheet")</f>
        <v/>
      </c>
    </row>
    <row r="459">
      <c r="B459">
        <f>IF(STUDENTS!B458="","",STUDENTS!B458)</f>
        <v/>
      </c>
      <c r="C459">
        <f>IFERROR(IF(B459="","",_xlfn.XLOOKUP(B459,STUDENTS!$B$3:$B$1048576,STUDENTS!$C$3:$C$1048576)),"Enter a registered reg. no")</f>
        <v/>
      </c>
      <c r="D459">
        <f>IFERROR(IF(B459="","",_xlfn.XLOOKUP(B459,STUDENTS!B458:B100455,STUDENTS!D458:D100455)),"update STUDENT sheet")</f>
        <v/>
      </c>
      <c r="E459">
        <f>IFERROR(IF(C459="","",_xlfn.XLOOKUP(C459,STUDENTS!C458:C100455,STUDENTS!F458:F100455)),"update STUDENT sheet")</f>
        <v/>
      </c>
      <c r="F459">
        <f>IFERROR(IF(D459="","",_xlfn.XLOOKUP(D459,STUDENTS!D458:D100455,STUDENTS!G458:G100455)),"update STUDENT sheet")</f>
        <v/>
      </c>
      <c r="G459">
        <f>IFERROR(IF(E459="","",_xlfn.XLOOKUP(E459,STUDENTS!F458:F100455,STUDENTS!H458:H100455)),"update STUDENT sheet")</f>
        <v/>
      </c>
    </row>
    <row r="460">
      <c r="B460">
        <f>IF(STUDENTS!B459="","",STUDENTS!B459)</f>
        <v/>
      </c>
      <c r="C460">
        <f>IFERROR(IF(B460="","",_xlfn.XLOOKUP(B460,STUDENTS!$B$3:$B$1048576,STUDENTS!$C$3:$C$1048576)),"Enter a registered reg. no")</f>
        <v/>
      </c>
      <c r="D460">
        <f>IFERROR(IF(B460="","",_xlfn.XLOOKUP(B460,STUDENTS!B459:B100456,STUDENTS!D459:D100456)),"update STUDENT sheet")</f>
        <v/>
      </c>
      <c r="E460">
        <f>IFERROR(IF(C460="","",_xlfn.XLOOKUP(C460,STUDENTS!C459:C100456,STUDENTS!F459:F100456)),"update STUDENT sheet")</f>
        <v/>
      </c>
      <c r="F460">
        <f>IFERROR(IF(D460="","",_xlfn.XLOOKUP(D460,STUDENTS!D459:D100456,STUDENTS!G459:G100456)),"update STUDENT sheet")</f>
        <v/>
      </c>
      <c r="G460">
        <f>IFERROR(IF(E460="","",_xlfn.XLOOKUP(E460,STUDENTS!F459:F100456,STUDENTS!H459:H100456)),"update STUDENT sheet")</f>
        <v/>
      </c>
    </row>
    <row r="461">
      <c r="B461">
        <f>IF(STUDENTS!B460="","",STUDENTS!B460)</f>
        <v/>
      </c>
      <c r="C461">
        <f>IFERROR(IF(B461="","",_xlfn.XLOOKUP(B461,STUDENTS!$B$3:$B$1048576,STUDENTS!$C$3:$C$1048576)),"Enter a registered reg. no")</f>
        <v/>
      </c>
      <c r="D461">
        <f>IFERROR(IF(B461="","",_xlfn.XLOOKUP(B461,STUDENTS!B460:B100457,STUDENTS!D460:D100457)),"update STUDENT sheet")</f>
        <v/>
      </c>
      <c r="E461">
        <f>IFERROR(IF(C461="","",_xlfn.XLOOKUP(C461,STUDENTS!C460:C100457,STUDENTS!F460:F100457)),"update STUDENT sheet")</f>
        <v/>
      </c>
      <c r="F461">
        <f>IFERROR(IF(D461="","",_xlfn.XLOOKUP(D461,STUDENTS!D460:D100457,STUDENTS!G460:G100457)),"update STUDENT sheet")</f>
        <v/>
      </c>
      <c r="G461">
        <f>IFERROR(IF(E461="","",_xlfn.XLOOKUP(E461,STUDENTS!F460:F100457,STUDENTS!H460:H100457)),"update STUDENT sheet")</f>
        <v/>
      </c>
    </row>
    <row r="462">
      <c r="B462">
        <f>IF(STUDENTS!B461="","",STUDENTS!B461)</f>
        <v/>
      </c>
      <c r="C462">
        <f>IFERROR(IF(B462="","",_xlfn.XLOOKUP(B462,STUDENTS!$B$3:$B$1048576,STUDENTS!$C$3:$C$1048576)),"Enter a registered reg. no")</f>
        <v/>
      </c>
      <c r="D462">
        <f>IFERROR(IF(B462="","",_xlfn.XLOOKUP(B462,STUDENTS!B461:B100458,STUDENTS!D461:D100458)),"update STUDENT sheet")</f>
        <v/>
      </c>
      <c r="E462">
        <f>IFERROR(IF(C462="","",_xlfn.XLOOKUP(C462,STUDENTS!C461:C100458,STUDENTS!F461:F100458)),"update STUDENT sheet")</f>
        <v/>
      </c>
      <c r="F462">
        <f>IFERROR(IF(D462="","",_xlfn.XLOOKUP(D462,STUDENTS!D461:D100458,STUDENTS!G461:G100458)),"update STUDENT sheet")</f>
        <v/>
      </c>
      <c r="G462">
        <f>IFERROR(IF(E462="","",_xlfn.XLOOKUP(E462,STUDENTS!F461:F100458,STUDENTS!H461:H100458)),"update STUDENT sheet")</f>
        <v/>
      </c>
    </row>
    <row r="463">
      <c r="B463">
        <f>IF(STUDENTS!B462="","",STUDENTS!B462)</f>
        <v/>
      </c>
      <c r="C463">
        <f>IFERROR(IF(B463="","",_xlfn.XLOOKUP(B463,STUDENTS!$B$3:$B$1048576,STUDENTS!$C$3:$C$1048576)),"Enter a registered reg. no")</f>
        <v/>
      </c>
      <c r="D463">
        <f>IFERROR(IF(B463="","",_xlfn.XLOOKUP(B463,STUDENTS!B462:B100459,STUDENTS!D462:D100459)),"update STUDENT sheet")</f>
        <v/>
      </c>
      <c r="E463">
        <f>IFERROR(IF(C463="","",_xlfn.XLOOKUP(C463,STUDENTS!C462:C100459,STUDENTS!F462:F100459)),"update STUDENT sheet")</f>
        <v/>
      </c>
      <c r="F463">
        <f>IFERROR(IF(D463="","",_xlfn.XLOOKUP(D463,STUDENTS!D462:D100459,STUDENTS!G462:G100459)),"update STUDENT sheet")</f>
        <v/>
      </c>
      <c r="G463">
        <f>IFERROR(IF(E463="","",_xlfn.XLOOKUP(E463,STUDENTS!F462:F100459,STUDENTS!H462:H100459)),"update STUDENT sheet")</f>
        <v/>
      </c>
    </row>
    <row r="464">
      <c r="B464">
        <f>IF(STUDENTS!B463="","",STUDENTS!B463)</f>
        <v/>
      </c>
      <c r="C464">
        <f>IFERROR(IF(B464="","",_xlfn.XLOOKUP(B464,STUDENTS!$B$3:$B$1048576,STUDENTS!$C$3:$C$1048576)),"Enter a registered reg. no")</f>
        <v/>
      </c>
      <c r="D464">
        <f>IFERROR(IF(B464="","",_xlfn.XLOOKUP(B464,STUDENTS!B463:B100460,STUDENTS!D463:D100460)),"update STUDENT sheet")</f>
        <v/>
      </c>
      <c r="E464">
        <f>IFERROR(IF(C464="","",_xlfn.XLOOKUP(C464,STUDENTS!C463:C100460,STUDENTS!F463:F100460)),"update STUDENT sheet")</f>
        <v/>
      </c>
      <c r="F464">
        <f>IFERROR(IF(D464="","",_xlfn.XLOOKUP(D464,STUDENTS!D463:D100460,STUDENTS!G463:G100460)),"update STUDENT sheet")</f>
        <v/>
      </c>
      <c r="G464">
        <f>IFERROR(IF(E464="","",_xlfn.XLOOKUP(E464,STUDENTS!F463:F100460,STUDENTS!H463:H100460)),"update STUDENT sheet")</f>
        <v/>
      </c>
    </row>
    <row r="465">
      <c r="B465">
        <f>IF(STUDENTS!B464="","",STUDENTS!B464)</f>
        <v/>
      </c>
      <c r="C465">
        <f>IFERROR(IF(B465="","",_xlfn.XLOOKUP(B465,STUDENTS!$B$3:$B$1048576,STUDENTS!$C$3:$C$1048576)),"Enter a registered reg. no")</f>
        <v/>
      </c>
      <c r="D465">
        <f>IFERROR(IF(B465="","",_xlfn.XLOOKUP(B465,STUDENTS!B464:B100461,STUDENTS!D464:D100461)),"update STUDENT sheet")</f>
        <v/>
      </c>
      <c r="E465">
        <f>IFERROR(IF(C465="","",_xlfn.XLOOKUP(C465,STUDENTS!C464:C100461,STUDENTS!F464:F100461)),"update STUDENT sheet")</f>
        <v/>
      </c>
      <c r="F465">
        <f>IFERROR(IF(D465="","",_xlfn.XLOOKUP(D465,STUDENTS!D464:D100461,STUDENTS!G464:G100461)),"update STUDENT sheet")</f>
        <v/>
      </c>
      <c r="G465">
        <f>IFERROR(IF(E465="","",_xlfn.XLOOKUP(E465,STUDENTS!F464:F100461,STUDENTS!H464:H100461)),"update STUDENT sheet")</f>
        <v/>
      </c>
    </row>
    <row r="466">
      <c r="B466">
        <f>IF(STUDENTS!B465="","",STUDENTS!B465)</f>
        <v/>
      </c>
      <c r="C466">
        <f>IFERROR(IF(B466="","",_xlfn.XLOOKUP(B466,STUDENTS!$B$3:$B$1048576,STUDENTS!$C$3:$C$1048576)),"Enter a registered reg. no")</f>
        <v/>
      </c>
      <c r="D466">
        <f>IFERROR(IF(B466="","",_xlfn.XLOOKUP(B466,STUDENTS!B465:B100462,STUDENTS!D465:D100462)),"update STUDENT sheet")</f>
        <v/>
      </c>
      <c r="E466">
        <f>IFERROR(IF(C466="","",_xlfn.XLOOKUP(C466,STUDENTS!C465:C100462,STUDENTS!F465:F100462)),"update STUDENT sheet")</f>
        <v/>
      </c>
      <c r="F466">
        <f>IFERROR(IF(D466="","",_xlfn.XLOOKUP(D466,STUDENTS!D465:D100462,STUDENTS!G465:G100462)),"update STUDENT sheet")</f>
        <v/>
      </c>
      <c r="G466">
        <f>IFERROR(IF(E466="","",_xlfn.XLOOKUP(E466,STUDENTS!F465:F100462,STUDENTS!H465:H100462)),"update STUDENT sheet")</f>
        <v/>
      </c>
    </row>
    <row r="467">
      <c r="B467">
        <f>IF(STUDENTS!B466="","",STUDENTS!B466)</f>
        <v/>
      </c>
      <c r="C467">
        <f>IFERROR(IF(B467="","",_xlfn.XLOOKUP(B467,STUDENTS!$B$3:$B$1048576,STUDENTS!$C$3:$C$1048576)),"Enter a registered reg. no")</f>
        <v/>
      </c>
      <c r="D467">
        <f>IFERROR(IF(B467="","",_xlfn.XLOOKUP(B467,STUDENTS!B466:B100463,STUDENTS!D466:D100463)),"update STUDENT sheet")</f>
        <v/>
      </c>
      <c r="E467">
        <f>IFERROR(IF(C467="","",_xlfn.XLOOKUP(C467,STUDENTS!C466:C100463,STUDENTS!F466:F100463)),"update STUDENT sheet")</f>
        <v/>
      </c>
      <c r="F467">
        <f>IFERROR(IF(D467="","",_xlfn.XLOOKUP(D467,STUDENTS!D466:D100463,STUDENTS!G466:G100463)),"update STUDENT sheet")</f>
        <v/>
      </c>
      <c r="G467">
        <f>IFERROR(IF(E467="","",_xlfn.XLOOKUP(E467,STUDENTS!F466:F100463,STUDENTS!H466:H100463)),"update STUDENT sheet")</f>
        <v/>
      </c>
    </row>
    <row r="468">
      <c r="B468">
        <f>IF(STUDENTS!B467="","",STUDENTS!B467)</f>
        <v/>
      </c>
      <c r="C468">
        <f>IFERROR(IF(B468="","",_xlfn.XLOOKUP(B468,STUDENTS!$B$3:$B$1048576,STUDENTS!$C$3:$C$1048576)),"Enter a registered reg. no")</f>
        <v/>
      </c>
      <c r="D468">
        <f>IFERROR(IF(B468="","",_xlfn.XLOOKUP(B468,STUDENTS!B467:B100464,STUDENTS!D467:D100464)),"update STUDENT sheet")</f>
        <v/>
      </c>
      <c r="E468">
        <f>IFERROR(IF(C468="","",_xlfn.XLOOKUP(C468,STUDENTS!C467:C100464,STUDENTS!F467:F100464)),"update STUDENT sheet")</f>
        <v/>
      </c>
      <c r="F468">
        <f>IFERROR(IF(D468="","",_xlfn.XLOOKUP(D468,STUDENTS!D467:D100464,STUDENTS!G467:G100464)),"update STUDENT sheet")</f>
        <v/>
      </c>
      <c r="G468">
        <f>IFERROR(IF(E468="","",_xlfn.XLOOKUP(E468,STUDENTS!F467:F100464,STUDENTS!H467:H100464)),"update STUDENT sheet")</f>
        <v/>
      </c>
    </row>
    <row r="469">
      <c r="B469">
        <f>IF(STUDENTS!B468="","",STUDENTS!B468)</f>
        <v/>
      </c>
      <c r="C469">
        <f>IFERROR(IF(B469="","",_xlfn.XLOOKUP(B469,STUDENTS!$B$3:$B$1048576,STUDENTS!$C$3:$C$1048576)),"Enter a registered reg. no")</f>
        <v/>
      </c>
      <c r="D469">
        <f>IFERROR(IF(B469="","",_xlfn.XLOOKUP(B469,STUDENTS!B468:B100465,STUDENTS!D468:D100465)),"update STUDENT sheet")</f>
        <v/>
      </c>
      <c r="E469">
        <f>IFERROR(IF(C469="","",_xlfn.XLOOKUP(C469,STUDENTS!C468:C100465,STUDENTS!F468:F100465)),"update STUDENT sheet")</f>
        <v/>
      </c>
      <c r="F469">
        <f>IFERROR(IF(D469="","",_xlfn.XLOOKUP(D469,STUDENTS!D468:D100465,STUDENTS!G468:G100465)),"update STUDENT sheet")</f>
        <v/>
      </c>
      <c r="G469">
        <f>IFERROR(IF(E469="","",_xlfn.XLOOKUP(E469,STUDENTS!F468:F100465,STUDENTS!H468:H100465)),"update STUDENT sheet")</f>
        <v/>
      </c>
    </row>
    <row r="470">
      <c r="B470">
        <f>IF(STUDENTS!B469="","",STUDENTS!B469)</f>
        <v/>
      </c>
      <c r="C470">
        <f>IFERROR(IF(B470="","",_xlfn.XLOOKUP(B470,STUDENTS!$B$3:$B$1048576,STUDENTS!$C$3:$C$1048576)),"Enter a registered reg. no")</f>
        <v/>
      </c>
      <c r="D470">
        <f>IFERROR(IF(B470="","",_xlfn.XLOOKUP(B470,STUDENTS!B469:B100466,STUDENTS!D469:D100466)),"update STUDENT sheet")</f>
        <v/>
      </c>
      <c r="E470">
        <f>IFERROR(IF(C470="","",_xlfn.XLOOKUP(C470,STUDENTS!C469:C100466,STUDENTS!F469:F100466)),"update STUDENT sheet")</f>
        <v/>
      </c>
      <c r="F470">
        <f>IFERROR(IF(D470="","",_xlfn.XLOOKUP(D470,STUDENTS!D469:D100466,STUDENTS!G469:G100466)),"update STUDENT sheet")</f>
        <v/>
      </c>
      <c r="G470">
        <f>IFERROR(IF(E470="","",_xlfn.XLOOKUP(E470,STUDENTS!F469:F100466,STUDENTS!H469:H100466)),"update STUDENT sheet")</f>
        <v/>
      </c>
    </row>
    <row r="471">
      <c r="B471">
        <f>IF(STUDENTS!B470="","",STUDENTS!B470)</f>
        <v/>
      </c>
      <c r="C471">
        <f>IFERROR(IF(B471="","",_xlfn.XLOOKUP(B471,STUDENTS!$B$3:$B$1048576,STUDENTS!$C$3:$C$1048576)),"Enter a registered reg. no")</f>
        <v/>
      </c>
      <c r="D471">
        <f>IFERROR(IF(B471="","",_xlfn.XLOOKUP(B471,STUDENTS!B470:B100467,STUDENTS!D470:D100467)),"update STUDENT sheet")</f>
        <v/>
      </c>
      <c r="E471">
        <f>IFERROR(IF(C471="","",_xlfn.XLOOKUP(C471,STUDENTS!C470:C100467,STUDENTS!F470:F100467)),"update STUDENT sheet")</f>
        <v/>
      </c>
      <c r="F471">
        <f>IFERROR(IF(D471="","",_xlfn.XLOOKUP(D471,STUDENTS!D470:D100467,STUDENTS!G470:G100467)),"update STUDENT sheet")</f>
        <v/>
      </c>
      <c r="G471">
        <f>IFERROR(IF(E471="","",_xlfn.XLOOKUP(E471,STUDENTS!F470:F100467,STUDENTS!H470:H100467)),"update STUDENT sheet")</f>
        <v/>
      </c>
    </row>
    <row r="472">
      <c r="B472">
        <f>IF(STUDENTS!B471="","",STUDENTS!B471)</f>
        <v/>
      </c>
      <c r="C472">
        <f>IFERROR(IF(B472="","",_xlfn.XLOOKUP(B472,STUDENTS!$B$3:$B$1048576,STUDENTS!$C$3:$C$1048576)),"Enter a registered reg. no")</f>
        <v/>
      </c>
      <c r="D472">
        <f>IFERROR(IF(B472="","",_xlfn.XLOOKUP(B472,STUDENTS!B471:B100468,STUDENTS!D471:D100468)),"update STUDENT sheet")</f>
        <v/>
      </c>
      <c r="E472">
        <f>IFERROR(IF(C472="","",_xlfn.XLOOKUP(C472,STUDENTS!C471:C100468,STUDENTS!F471:F100468)),"update STUDENT sheet")</f>
        <v/>
      </c>
      <c r="F472">
        <f>IFERROR(IF(D472="","",_xlfn.XLOOKUP(D472,STUDENTS!D471:D100468,STUDENTS!G471:G100468)),"update STUDENT sheet")</f>
        <v/>
      </c>
      <c r="G472">
        <f>IFERROR(IF(E472="","",_xlfn.XLOOKUP(E472,STUDENTS!F471:F100468,STUDENTS!H471:H100468)),"update STUDENT sheet")</f>
        <v/>
      </c>
    </row>
    <row r="473">
      <c r="B473">
        <f>IF(STUDENTS!B472="","",STUDENTS!B472)</f>
        <v/>
      </c>
      <c r="C473">
        <f>IFERROR(IF(B473="","",_xlfn.XLOOKUP(B473,STUDENTS!$B$3:$B$1048576,STUDENTS!$C$3:$C$1048576)),"Enter a registered reg. no")</f>
        <v/>
      </c>
      <c r="D473">
        <f>IFERROR(IF(B473="","",_xlfn.XLOOKUP(B473,STUDENTS!B472:B100469,STUDENTS!D472:D100469)),"update STUDENT sheet")</f>
        <v/>
      </c>
      <c r="E473">
        <f>IFERROR(IF(C473="","",_xlfn.XLOOKUP(C473,STUDENTS!C472:C100469,STUDENTS!F472:F100469)),"update STUDENT sheet")</f>
        <v/>
      </c>
      <c r="F473">
        <f>IFERROR(IF(D473="","",_xlfn.XLOOKUP(D473,STUDENTS!D472:D100469,STUDENTS!G472:G100469)),"update STUDENT sheet")</f>
        <v/>
      </c>
      <c r="G473">
        <f>IFERROR(IF(E473="","",_xlfn.XLOOKUP(E473,STUDENTS!F472:F100469,STUDENTS!H472:H100469)),"update STUDENT sheet")</f>
        <v/>
      </c>
    </row>
    <row r="474">
      <c r="B474">
        <f>IF(STUDENTS!B473="","",STUDENTS!B473)</f>
        <v/>
      </c>
      <c r="C474">
        <f>IFERROR(IF(B474="","",_xlfn.XLOOKUP(B474,STUDENTS!$B$3:$B$1048576,STUDENTS!$C$3:$C$1048576)),"Enter a registered reg. no")</f>
        <v/>
      </c>
      <c r="D474">
        <f>IFERROR(IF(B474="","",_xlfn.XLOOKUP(B474,STUDENTS!B473:B100470,STUDENTS!D473:D100470)),"update STUDENT sheet")</f>
        <v/>
      </c>
      <c r="E474">
        <f>IFERROR(IF(C474="","",_xlfn.XLOOKUP(C474,STUDENTS!C473:C100470,STUDENTS!F473:F100470)),"update STUDENT sheet")</f>
        <v/>
      </c>
      <c r="F474">
        <f>IFERROR(IF(D474="","",_xlfn.XLOOKUP(D474,STUDENTS!D473:D100470,STUDENTS!G473:G100470)),"update STUDENT sheet")</f>
        <v/>
      </c>
      <c r="G474">
        <f>IFERROR(IF(E474="","",_xlfn.XLOOKUP(E474,STUDENTS!F473:F100470,STUDENTS!H473:H100470)),"update STUDENT sheet")</f>
        <v/>
      </c>
    </row>
    <row r="475">
      <c r="B475">
        <f>IF(STUDENTS!B474="","",STUDENTS!B474)</f>
        <v/>
      </c>
      <c r="C475">
        <f>IFERROR(IF(B475="","",_xlfn.XLOOKUP(B475,STUDENTS!$B$3:$B$1048576,STUDENTS!$C$3:$C$1048576)),"Enter a registered reg. no")</f>
        <v/>
      </c>
      <c r="D475">
        <f>IFERROR(IF(B475="","",_xlfn.XLOOKUP(B475,STUDENTS!B474:B100471,STUDENTS!D474:D100471)),"update STUDENT sheet")</f>
        <v/>
      </c>
      <c r="E475">
        <f>IFERROR(IF(C475="","",_xlfn.XLOOKUP(C475,STUDENTS!C474:C100471,STUDENTS!F474:F100471)),"update STUDENT sheet")</f>
        <v/>
      </c>
      <c r="F475">
        <f>IFERROR(IF(D475="","",_xlfn.XLOOKUP(D475,STUDENTS!D474:D100471,STUDENTS!G474:G100471)),"update STUDENT sheet")</f>
        <v/>
      </c>
      <c r="G475">
        <f>IFERROR(IF(E475="","",_xlfn.XLOOKUP(E475,STUDENTS!F474:F100471,STUDENTS!H474:H100471)),"update STUDENT sheet")</f>
        <v/>
      </c>
    </row>
    <row r="476">
      <c r="B476">
        <f>IF(STUDENTS!B475="","",STUDENTS!B475)</f>
        <v/>
      </c>
      <c r="C476">
        <f>IFERROR(IF(B476="","",_xlfn.XLOOKUP(B476,STUDENTS!$B$3:$B$1048576,STUDENTS!$C$3:$C$1048576)),"Enter a registered reg. no")</f>
        <v/>
      </c>
      <c r="D476">
        <f>IFERROR(IF(B476="","",_xlfn.XLOOKUP(B476,STUDENTS!B475:B100472,STUDENTS!D475:D100472)),"update STUDENT sheet")</f>
        <v/>
      </c>
      <c r="E476">
        <f>IFERROR(IF(C476="","",_xlfn.XLOOKUP(C476,STUDENTS!C475:C100472,STUDENTS!F475:F100472)),"update STUDENT sheet")</f>
        <v/>
      </c>
      <c r="F476">
        <f>IFERROR(IF(D476="","",_xlfn.XLOOKUP(D476,STUDENTS!D475:D100472,STUDENTS!G475:G100472)),"update STUDENT sheet")</f>
        <v/>
      </c>
      <c r="G476">
        <f>IFERROR(IF(E476="","",_xlfn.XLOOKUP(E476,STUDENTS!F475:F100472,STUDENTS!H475:H100472)),"update STUDENT sheet")</f>
        <v/>
      </c>
    </row>
    <row r="477">
      <c r="B477">
        <f>IF(STUDENTS!B476="","",STUDENTS!B476)</f>
        <v/>
      </c>
      <c r="C477">
        <f>IFERROR(IF(B477="","",_xlfn.XLOOKUP(B477,STUDENTS!$B$3:$B$1048576,STUDENTS!$C$3:$C$1048576)),"Enter a registered reg. no")</f>
        <v/>
      </c>
      <c r="D477">
        <f>IFERROR(IF(B477="","",_xlfn.XLOOKUP(B477,STUDENTS!B476:B100473,STUDENTS!D476:D100473)),"update STUDENT sheet")</f>
        <v/>
      </c>
      <c r="E477">
        <f>IFERROR(IF(C477="","",_xlfn.XLOOKUP(C477,STUDENTS!C476:C100473,STUDENTS!F476:F100473)),"update STUDENT sheet")</f>
        <v/>
      </c>
      <c r="F477">
        <f>IFERROR(IF(D477="","",_xlfn.XLOOKUP(D477,STUDENTS!D476:D100473,STUDENTS!G476:G100473)),"update STUDENT sheet")</f>
        <v/>
      </c>
      <c r="G477">
        <f>IFERROR(IF(E477="","",_xlfn.XLOOKUP(E477,STUDENTS!F476:F100473,STUDENTS!H476:H100473)),"update STUDENT sheet")</f>
        <v/>
      </c>
    </row>
    <row r="478">
      <c r="B478">
        <f>IF(STUDENTS!B477="","",STUDENTS!B477)</f>
        <v/>
      </c>
      <c r="C478">
        <f>IFERROR(IF(B478="","",_xlfn.XLOOKUP(B478,STUDENTS!$B$3:$B$1048576,STUDENTS!$C$3:$C$1048576)),"Enter a registered reg. no")</f>
        <v/>
      </c>
      <c r="D478">
        <f>IFERROR(IF(B478="","",_xlfn.XLOOKUP(B478,STUDENTS!B477:B100474,STUDENTS!D477:D100474)),"update STUDENT sheet")</f>
        <v/>
      </c>
      <c r="E478">
        <f>IFERROR(IF(C478="","",_xlfn.XLOOKUP(C478,STUDENTS!C477:C100474,STUDENTS!F477:F100474)),"update STUDENT sheet")</f>
        <v/>
      </c>
      <c r="F478">
        <f>IFERROR(IF(D478="","",_xlfn.XLOOKUP(D478,STUDENTS!D477:D100474,STUDENTS!G477:G100474)),"update STUDENT sheet")</f>
        <v/>
      </c>
      <c r="G478">
        <f>IFERROR(IF(E478="","",_xlfn.XLOOKUP(E478,STUDENTS!F477:F100474,STUDENTS!H477:H100474)),"update STUDENT sheet")</f>
        <v/>
      </c>
    </row>
    <row r="479">
      <c r="B479">
        <f>IF(STUDENTS!B478="","",STUDENTS!B478)</f>
        <v/>
      </c>
      <c r="C479">
        <f>IFERROR(IF(B479="","",_xlfn.XLOOKUP(B479,STUDENTS!$B$3:$B$1048576,STUDENTS!$C$3:$C$1048576)),"Enter a registered reg. no")</f>
        <v/>
      </c>
      <c r="D479">
        <f>IFERROR(IF(B479="","",_xlfn.XLOOKUP(B479,STUDENTS!B478:B100475,STUDENTS!D478:D100475)),"update STUDENT sheet")</f>
        <v/>
      </c>
      <c r="E479">
        <f>IFERROR(IF(C479="","",_xlfn.XLOOKUP(C479,STUDENTS!C478:C100475,STUDENTS!F478:F100475)),"update STUDENT sheet")</f>
        <v/>
      </c>
      <c r="F479">
        <f>IFERROR(IF(D479="","",_xlfn.XLOOKUP(D479,STUDENTS!D478:D100475,STUDENTS!G478:G100475)),"update STUDENT sheet")</f>
        <v/>
      </c>
      <c r="G479">
        <f>IFERROR(IF(E479="","",_xlfn.XLOOKUP(E479,STUDENTS!F478:F100475,STUDENTS!H478:H100475)),"update STUDENT sheet")</f>
        <v/>
      </c>
    </row>
    <row r="480">
      <c r="B480">
        <f>IF(STUDENTS!B479="","",STUDENTS!B479)</f>
        <v/>
      </c>
      <c r="C480">
        <f>IFERROR(IF(B480="","",_xlfn.XLOOKUP(B480,STUDENTS!$B$3:$B$1048576,STUDENTS!$C$3:$C$1048576)),"Enter a registered reg. no")</f>
        <v/>
      </c>
      <c r="D480">
        <f>IFERROR(IF(B480="","",_xlfn.XLOOKUP(B480,STUDENTS!B479:B100476,STUDENTS!D479:D100476)),"update STUDENT sheet")</f>
        <v/>
      </c>
      <c r="E480">
        <f>IFERROR(IF(C480="","",_xlfn.XLOOKUP(C480,STUDENTS!C479:C100476,STUDENTS!F479:F100476)),"update STUDENT sheet")</f>
        <v/>
      </c>
      <c r="F480">
        <f>IFERROR(IF(D480="","",_xlfn.XLOOKUP(D480,STUDENTS!D479:D100476,STUDENTS!G479:G100476)),"update STUDENT sheet")</f>
        <v/>
      </c>
      <c r="G480">
        <f>IFERROR(IF(E480="","",_xlfn.XLOOKUP(E480,STUDENTS!F479:F100476,STUDENTS!H479:H100476)),"update STUDENT sheet")</f>
        <v/>
      </c>
    </row>
    <row r="481">
      <c r="B481">
        <f>IF(STUDENTS!B480="","",STUDENTS!B480)</f>
        <v/>
      </c>
      <c r="C481">
        <f>IFERROR(IF(B481="","",_xlfn.XLOOKUP(B481,STUDENTS!$B$3:$B$1048576,STUDENTS!$C$3:$C$1048576)),"Enter a registered reg. no")</f>
        <v/>
      </c>
      <c r="D481">
        <f>IFERROR(IF(B481="","",_xlfn.XLOOKUP(B481,STUDENTS!B480:B100477,STUDENTS!D480:D100477)),"update STUDENT sheet")</f>
        <v/>
      </c>
      <c r="E481">
        <f>IFERROR(IF(C481="","",_xlfn.XLOOKUP(C481,STUDENTS!C480:C100477,STUDENTS!F480:F100477)),"update STUDENT sheet")</f>
        <v/>
      </c>
      <c r="F481">
        <f>IFERROR(IF(D481="","",_xlfn.XLOOKUP(D481,STUDENTS!D480:D100477,STUDENTS!G480:G100477)),"update STUDENT sheet")</f>
        <v/>
      </c>
      <c r="G481">
        <f>IFERROR(IF(E481="","",_xlfn.XLOOKUP(E481,STUDENTS!F480:F100477,STUDENTS!H480:H100477)),"update STUDENT sheet")</f>
        <v/>
      </c>
    </row>
    <row r="482">
      <c r="B482">
        <f>IF(STUDENTS!B481="","",STUDENTS!B481)</f>
        <v/>
      </c>
      <c r="C482">
        <f>IFERROR(IF(B482="","",_xlfn.XLOOKUP(B482,STUDENTS!$B$3:$B$1048576,STUDENTS!$C$3:$C$1048576)),"Enter a registered reg. no")</f>
        <v/>
      </c>
      <c r="D482">
        <f>IFERROR(IF(B482="","",_xlfn.XLOOKUP(B482,STUDENTS!B481:B100478,STUDENTS!D481:D100478)),"update STUDENT sheet")</f>
        <v/>
      </c>
      <c r="E482">
        <f>IFERROR(IF(C482="","",_xlfn.XLOOKUP(C482,STUDENTS!C481:C100478,STUDENTS!F481:F100478)),"update STUDENT sheet")</f>
        <v/>
      </c>
      <c r="F482">
        <f>IFERROR(IF(D482="","",_xlfn.XLOOKUP(D482,STUDENTS!D481:D100478,STUDENTS!G481:G100478)),"update STUDENT sheet")</f>
        <v/>
      </c>
      <c r="G482">
        <f>IFERROR(IF(E482="","",_xlfn.XLOOKUP(E482,STUDENTS!F481:F100478,STUDENTS!H481:H100478)),"update STUDENT sheet")</f>
        <v/>
      </c>
    </row>
    <row r="483">
      <c r="B483">
        <f>IF(STUDENTS!B482="","",STUDENTS!B482)</f>
        <v/>
      </c>
      <c r="C483">
        <f>IFERROR(IF(B483="","",_xlfn.XLOOKUP(B483,STUDENTS!$B$3:$B$1048576,STUDENTS!$C$3:$C$1048576)),"Enter a registered reg. no")</f>
        <v/>
      </c>
      <c r="D483">
        <f>IFERROR(IF(B483="","",_xlfn.XLOOKUP(B483,STUDENTS!B482:B100479,STUDENTS!D482:D100479)),"update STUDENT sheet")</f>
        <v/>
      </c>
      <c r="E483">
        <f>IFERROR(IF(C483="","",_xlfn.XLOOKUP(C483,STUDENTS!C482:C100479,STUDENTS!F482:F100479)),"update STUDENT sheet")</f>
        <v/>
      </c>
      <c r="F483">
        <f>IFERROR(IF(D483="","",_xlfn.XLOOKUP(D483,STUDENTS!D482:D100479,STUDENTS!G482:G100479)),"update STUDENT sheet")</f>
        <v/>
      </c>
      <c r="G483">
        <f>IFERROR(IF(E483="","",_xlfn.XLOOKUP(E483,STUDENTS!F482:F100479,STUDENTS!H482:H100479)),"update STUDENT sheet")</f>
        <v/>
      </c>
    </row>
    <row r="484">
      <c r="B484">
        <f>IF(STUDENTS!B483="","",STUDENTS!B483)</f>
        <v/>
      </c>
      <c r="C484">
        <f>IFERROR(IF(B484="","",_xlfn.XLOOKUP(B484,STUDENTS!$B$3:$B$1048576,STUDENTS!$C$3:$C$1048576)),"Enter a registered reg. no")</f>
        <v/>
      </c>
      <c r="D484">
        <f>IFERROR(IF(B484="","",_xlfn.XLOOKUP(B484,STUDENTS!B483:B100480,STUDENTS!D483:D100480)),"update STUDENT sheet")</f>
        <v/>
      </c>
      <c r="E484">
        <f>IFERROR(IF(C484="","",_xlfn.XLOOKUP(C484,STUDENTS!C483:C100480,STUDENTS!F483:F100480)),"update STUDENT sheet")</f>
        <v/>
      </c>
      <c r="F484">
        <f>IFERROR(IF(D484="","",_xlfn.XLOOKUP(D484,STUDENTS!D483:D100480,STUDENTS!G483:G100480)),"update STUDENT sheet")</f>
        <v/>
      </c>
      <c r="G484">
        <f>IFERROR(IF(E484="","",_xlfn.XLOOKUP(E484,STUDENTS!F483:F100480,STUDENTS!H483:H100480)),"update STUDENT sheet")</f>
        <v/>
      </c>
    </row>
    <row r="485">
      <c r="B485">
        <f>IF(STUDENTS!B484="","",STUDENTS!B484)</f>
        <v/>
      </c>
      <c r="C485">
        <f>IFERROR(IF(B485="","",_xlfn.XLOOKUP(B485,STUDENTS!$B$3:$B$1048576,STUDENTS!$C$3:$C$1048576)),"Enter a registered reg. no")</f>
        <v/>
      </c>
      <c r="D485">
        <f>IFERROR(IF(B485="","",_xlfn.XLOOKUP(B485,STUDENTS!B484:B100481,STUDENTS!D484:D100481)),"update STUDENT sheet")</f>
        <v/>
      </c>
      <c r="E485">
        <f>IFERROR(IF(C485="","",_xlfn.XLOOKUP(C485,STUDENTS!C484:C100481,STUDENTS!F484:F100481)),"update STUDENT sheet")</f>
        <v/>
      </c>
      <c r="F485">
        <f>IFERROR(IF(D485="","",_xlfn.XLOOKUP(D485,STUDENTS!D484:D100481,STUDENTS!G484:G100481)),"update STUDENT sheet")</f>
        <v/>
      </c>
      <c r="G485">
        <f>IFERROR(IF(E485="","",_xlfn.XLOOKUP(E485,STUDENTS!F484:F100481,STUDENTS!H484:H100481)),"update STUDENT sheet")</f>
        <v/>
      </c>
    </row>
    <row r="486">
      <c r="B486">
        <f>IF(STUDENTS!B485="","",STUDENTS!B485)</f>
        <v/>
      </c>
      <c r="C486">
        <f>IFERROR(IF(B486="","",_xlfn.XLOOKUP(B486,STUDENTS!$B$3:$B$1048576,STUDENTS!$C$3:$C$1048576)),"Enter a registered reg. no")</f>
        <v/>
      </c>
      <c r="D486">
        <f>IFERROR(IF(B486="","",_xlfn.XLOOKUP(B486,STUDENTS!B485:B100482,STUDENTS!D485:D100482)),"update STUDENT sheet")</f>
        <v/>
      </c>
      <c r="E486">
        <f>IFERROR(IF(C486="","",_xlfn.XLOOKUP(C486,STUDENTS!C485:C100482,STUDENTS!F485:F100482)),"update STUDENT sheet")</f>
        <v/>
      </c>
      <c r="F486">
        <f>IFERROR(IF(D486="","",_xlfn.XLOOKUP(D486,STUDENTS!D485:D100482,STUDENTS!G485:G100482)),"update STUDENT sheet")</f>
        <v/>
      </c>
      <c r="G486">
        <f>IFERROR(IF(E486="","",_xlfn.XLOOKUP(E486,STUDENTS!F485:F100482,STUDENTS!H485:H100482)),"update STUDENT sheet")</f>
        <v/>
      </c>
    </row>
    <row r="487">
      <c r="B487">
        <f>IF(STUDENTS!B486="","",STUDENTS!B486)</f>
        <v/>
      </c>
      <c r="C487">
        <f>IFERROR(IF(B487="","",_xlfn.XLOOKUP(B487,STUDENTS!$B$3:$B$1048576,STUDENTS!$C$3:$C$1048576)),"Enter a registered reg. no")</f>
        <v/>
      </c>
      <c r="D487">
        <f>IFERROR(IF(B487="","",_xlfn.XLOOKUP(B487,STUDENTS!B486:B100483,STUDENTS!D486:D100483)),"update STUDENT sheet")</f>
        <v/>
      </c>
      <c r="E487">
        <f>IFERROR(IF(C487="","",_xlfn.XLOOKUP(C487,STUDENTS!C486:C100483,STUDENTS!F486:F100483)),"update STUDENT sheet")</f>
        <v/>
      </c>
      <c r="F487">
        <f>IFERROR(IF(D487="","",_xlfn.XLOOKUP(D487,STUDENTS!D486:D100483,STUDENTS!G486:G100483)),"update STUDENT sheet")</f>
        <v/>
      </c>
      <c r="G487">
        <f>IFERROR(IF(E487="","",_xlfn.XLOOKUP(E487,STUDENTS!F486:F100483,STUDENTS!H486:H100483)),"update STUDENT sheet")</f>
        <v/>
      </c>
    </row>
    <row r="488">
      <c r="B488">
        <f>IF(STUDENTS!B487="","",STUDENTS!B487)</f>
        <v/>
      </c>
      <c r="C488">
        <f>IFERROR(IF(B488="","",_xlfn.XLOOKUP(B488,STUDENTS!$B$3:$B$1048576,STUDENTS!$C$3:$C$1048576)),"Enter a registered reg. no")</f>
        <v/>
      </c>
      <c r="D488">
        <f>IFERROR(IF(B488="","",_xlfn.XLOOKUP(B488,STUDENTS!B487:B100484,STUDENTS!D487:D100484)),"update STUDENT sheet")</f>
        <v/>
      </c>
      <c r="E488">
        <f>IFERROR(IF(C488="","",_xlfn.XLOOKUP(C488,STUDENTS!C487:C100484,STUDENTS!F487:F100484)),"update STUDENT sheet")</f>
        <v/>
      </c>
      <c r="F488">
        <f>IFERROR(IF(D488="","",_xlfn.XLOOKUP(D488,STUDENTS!D487:D100484,STUDENTS!G487:G100484)),"update STUDENT sheet")</f>
        <v/>
      </c>
      <c r="G488">
        <f>IFERROR(IF(E488="","",_xlfn.XLOOKUP(E488,STUDENTS!F487:F100484,STUDENTS!H487:H100484)),"update STUDENT sheet")</f>
        <v/>
      </c>
    </row>
    <row r="489">
      <c r="B489">
        <f>IF(STUDENTS!B488="","",STUDENTS!B488)</f>
        <v/>
      </c>
      <c r="C489">
        <f>IFERROR(IF(B489="","",_xlfn.XLOOKUP(B489,STUDENTS!$B$3:$B$1048576,STUDENTS!$C$3:$C$1048576)),"Enter a registered reg. no")</f>
        <v/>
      </c>
      <c r="D489">
        <f>IFERROR(IF(B489="","",_xlfn.XLOOKUP(B489,STUDENTS!B488:B100485,STUDENTS!D488:D100485)),"update STUDENT sheet")</f>
        <v/>
      </c>
      <c r="E489">
        <f>IFERROR(IF(C489="","",_xlfn.XLOOKUP(C489,STUDENTS!C488:C100485,STUDENTS!F488:F100485)),"update STUDENT sheet")</f>
        <v/>
      </c>
      <c r="F489">
        <f>IFERROR(IF(D489="","",_xlfn.XLOOKUP(D489,STUDENTS!D488:D100485,STUDENTS!G488:G100485)),"update STUDENT sheet")</f>
        <v/>
      </c>
      <c r="G489">
        <f>IFERROR(IF(E489="","",_xlfn.XLOOKUP(E489,STUDENTS!F488:F100485,STUDENTS!H488:H100485)),"update STUDENT sheet")</f>
        <v/>
      </c>
    </row>
    <row r="490">
      <c r="B490">
        <f>IF(STUDENTS!B489="","",STUDENTS!B489)</f>
        <v/>
      </c>
      <c r="C490">
        <f>IFERROR(IF(B490="","",_xlfn.XLOOKUP(B490,STUDENTS!$B$3:$B$1048576,STUDENTS!$C$3:$C$1048576)),"Enter a registered reg. no")</f>
        <v/>
      </c>
      <c r="D490">
        <f>IFERROR(IF(B490="","",_xlfn.XLOOKUP(B490,STUDENTS!B489:B100486,STUDENTS!D489:D100486)),"update STUDENT sheet")</f>
        <v/>
      </c>
      <c r="E490">
        <f>IFERROR(IF(C490="","",_xlfn.XLOOKUP(C490,STUDENTS!C489:C100486,STUDENTS!F489:F100486)),"update STUDENT sheet")</f>
        <v/>
      </c>
      <c r="F490">
        <f>IFERROR(IF(D490="","",_xlfn.XLOOKUP(D490,STUDENTS!D489:D100486,STUDENTS!G489:G100486)),"update STUDENT sheet")</f>
        <v/>
      </c>
      <c r="G490">
        <f>IFERROR(IF(E490="","",_xlfn.XLOOKUP(E490,STUDENTS!F489:F100486,STUDENTS!H489:H100486)),"update STUDENT sheet")</f>
        <v/>
      </c>
    </row>
    <row r="491">
      <c r="B491">
        <f>IF(STUDENTS!B490="","",STUDENTS!B490)</f>
        <v/>
      </c>
      <c r="C491">
        <f>IFERROR(IF(B491="","",_xlfn.XLOOKUP(B491,STUDENTS!$B$3:$B$1048576,STUDENTS!$C$3:$C$1048576)),"Enter a registered reg. no")</f>
        <v/>
      </c>
      <c r="D491">
        <f>IFERROR(IF(B491="","",_xlfn.XLOOKUP(B491,STUDENTS!B490:B100487,STUDENTS!D490:D100487)),"update STUDENT sheet")</f>
        <v/>
      </c>
      <c r="E491">
        <f>IFERROR(IF(C491="","",_xlfn.XLOOKUP(C491,STUDENTS!C490:C100487,STUDENTS!F490:F100487)),"update STUDENT sheet")</f>
        <v/>
      </c>
      <c r="F491">
        <f>IFERROR(IF(D491="","",_xlfn.XLOOKUP(D491,STUDENTS!D490:D100487,STUDENTS!G490:G100487)),"update STUDENT sheet")</f>
        <v/>
      </c>
      <c r="G491">
        <f>IFERROR(IF(E491="","",_xlfn.XLOOKUP(E491,STUDENTS!F490:F100487,STUDENTS!H490:H100487)),"update STUDENT sheet")</f>
        <v/>
      </c>
    </row>
    <row r="492">
      <c r="B492">
        <f>IF(STUDENTS!B491="","",STUDENTS!B491)</f>
        <v/>
      </c>
      <c r="C492">
        <f>IFERROR(IF(B492="","",_xlfn.XLOOKUP(B492,STUDENTS!$B$3:$B$1048576,STUDENTS!$C$3:$C$1048576)),"Enter a registered reg. no")</f>
        <v/>
      </c>
      <c r="D492">
        <f>IFERROR(IF(B492="","",_xlfn.XLOOKUP(B492,STUDENTS!B491:B100488,STUDENTS!D491:D100488)),"update STUDENT sheet")</f>
        <v/>
      </c>
      <c r="E492">
        <f>IFERROR(IF(C492="","",_xlfn.XLOOKUP(C492,STUDENTS!C491:C100488,STUDENTS!F491:F100488)),"update STUDENT sheet")</f>
        <v/>
      </c>
      <c r="F492">
        <f>IFERROR(IF(D492="","",_xlfn.XLOOKUP(D492,STUDENTS!D491:D100488,STUDENTS!G491:G100488)),"update STUDENT sheet")</f>
        <v/>
      </c>
      <c r="G492">
        <f>IFERROR(IF(E492="","",_xlfn.XLOOKUP(E492,STUDENTS!F491:F100488,STUDENTS!H491:H100488)),"update STUDENT sheet")</f>
        <v/>
      </c>
    </row>
    <row r="493">
      <c r="B493">
        <f>IF(STUDENTS!B492="","",STUDENTS!B492)</f>
        <v/>
      </c>
      <c r="C493">
        <f>IFERROR(IF(B493="","",_xlfn.XLOOKUP(B493,STUDENTS!$B$3:$B$1048576,STUDENTS!$C$3:$C$1048576)),"Enter a registered reg. no")</f>
        <v/>
      </c>
      <c r="D493">
        <f>IFERROR(IF(B493="","",_xlfn.XLOOKUP(B493,STUDENTS!B492:B100489,STUDENTS!D492:D100489)),"update STUDENT sheet")</f>
        <v/>
      </c>
      <c r="E493">
        <f>IFERROR(IF(C493="","",_xlfn.XLOOKUP(C493,STUDENTS!C492:C100489,STUDENTS!F492:F100489)),"update STUDENT sheet")</f>
        <v/>
      </c>
      <c r="F493">
        <f>IFERROR(IF(D493="","",_xlfn.XLOOKUP(D493,STUDENTS!D492:D100489,STUDENTS!G492:G100489)),"update STUDENT sheet")</f>
        <v/>
      </c>
      <c r="G493">
        <f>IFERROR(IF(E493="","",_xlfn.XLOOKUP(E493,STUDENTS!F492:F100489,STUDENTS!H492:H100489)),"update STUDENT sheet")</f>
        <v/>
      </c>
    </row>
    <row r="494">
      <c r="B494">
        <f>IF(STUDENTS!B493="","",STUDENTS!B493)</f>
        <v/>
      </c>
      <c r="C494">
        <f>IFERROR(IF(B494="","",_xlfn.XLOOKUP(B494,STUDENTS!$B$3:$B$1048576,STUDENTS!$C$3:$C$1048576)),"Enter a registered reg. no")</f>
        <v/>
      </c>
      <c r="D494">
        <f>IFERROR(IF(B494="","",_xlfn.XLOOKUP(B494,STUDENTS!B493:B100490,STUDENTS!D493:D100490)),"update STUDENT sheet")</f>
        <v/>
      </c>
      <c r="E494">
        <f>IFERROR(IF(C494="","",_xlfn.XLOOKUP(C494,STUDENTS!C493:C100490,STUDENTS!F493:F100490)),"update STUDENT sheet")</f>
        <v/>
      </c>
      <c r="F494">
        <f>IFERROR(IF(D494="","",_xlfn.XLOOKUP(D494,STUDENTS!D493:D100490,STUDENTS!G493:G100490)),"update STUDENT sheet")</f>
        <v/>
      </c>
      <c r="G494">
        <f>IFERROR(IF(E494="","",_xlfn.XLOOKUP(E494,STUDENTS!F493:F100490,STUDENTS!H493:H100490)),"update STUDENT sheet")</f>
        <v/>
      </c>
    </row>
    <row r="495">
      <c r="B495">
        <f>IF(STUDENTS!B494="","",STUDENTS!B494)</f>
        <v/>
      </c>
      <c r="C495">
        <f>IFERROR(IF(B495="","",_xlfn.XLOOKUP(B495,STUDENTS!$B$3:$B$1048576,STUDENTS!$C$3:$C$1048576)),"Enter a registered reg. no")</f>
        <v/>
      </c>
      <c r="D495">
        <f>IFERROR(IF(B495="","",_xlfn.XLOOKUP(B495,STUDENTS!B494:B100491,STUDENTS!D494:D100491)),"update STUDENT sheet")</f>
        <v/>
      </c>
      <c r="E495">
        <f>IFERROR(IF(C495="","",_xlfn.XLOOKUP(C495,STUDENTS!C494:C100491,STUDENTS!F494:F100491)),"update STUDENT sheet")</f>
        <v/>
      </c>
      <c r="F495">
        <f>IFERROR(IF(D495="","",_xlfn.XLOOKUP(D495,STUDENTS!D494:D100491,STUDENTS!G494:G100491)),"update STUDENT sheet")</f>
        <v/>
      </c>
      <c r="G495">
        <f>IFERROR(IF(E495="","",_xlfn.XLOOKUP(E495,STUDENTS!F494:F100491,STUDENTS!H494:H100491)),"update STUDENT sheet")</f>
        <v/>
      </c>
    </row>
    <row r="496">
      <c r="B496">
        <f>IF(STUDENTS!B495="","",STUDENTS!B495)</f>
        <v/>
      </c>
      <c r="C496">
        <f>IFERROR(IF(B496="","",_xlfn.XLOOKUP(B496,STUDENTS!$B$3:$B$1048576,STUDENTS!$C$3:$C$1048576)),"Enter a registered reg. no")</f>
        <v/>
      </c>
      <c r="D496">
        <f>IFERROR(IF(B496="","",_xlfn.XLOOKUP(B496,STUDENTS!B495:B100492,STUDENTS!D495:D100492)),"update STUDENT sheet")</f>
        <v/>
      </c>
      <c r="E496">
        <f>IFERROR(IF(C496="","",_xlfn.XLOOKUP(C496,STUDENTS!C495:C100492,STUDENTS!F495:F100492)),"update STUDENT sheet")</f>
        <v/>
      </c>
      <c r="F496">
        <f>IFERROR(IF(D496="","",_xlfn.XLOOKUP(D496,STUDENTS!D495:D100492,STUDENTS!G495:G100492)),"update STUDENT sheet")</f>
        <v/>
      </c>
      <c r="G496">
        <f>IFERROR(IF(E496="","",_xlfn.XLOOKUP(E496,STUDENTS!F495:F100492,STUDENTS!H495:H100492)),"update STUDENT sheet")</f>
        <v/>
      </c>
    </row>
    <row r="497">
      <c r="B497">
        <f>IF(STUDENTS!B496="","",STUDENTS!B496)</f>
        <v/>
      </c>
      <c r="C497">
        <f>IFERROR(IF(B497="","",_xlfn.XLOOKUP(B497,STUDENTS!$B$3:$B$1048576,STUDENTS!$C$3:$C$1048576)),"Enter a registered reg. no")</f>
        <v/>
      </c>
      <c r="D497">
        <f>IFERROR(IF(B497="","",_xlfn.XLOOKUP(B497,STUDENTS!B496:B100493,STUDENTS!D496:D100493)),"update STUDENT sheet")</f>
        <v/>
      </c>
      <c r="E497">
        <f>IFERROR(IF(C497="","",_xlfn.XLOOKUP(C497,STUDENTS!C496:C100493,STUDENTS!F496:F100493)),"update STUDENT sheet")</f>
        <v/>
      </c>
      <c r="F497">
        <f>IFERROR(IF(D497="","",_xlfn.XLOOKUP(D497,STUDENTS!D496:D100493,STUDENTS!G496:G100493)),"update STUDENT sheet")</f>
        <v/>
      </c>
      <c r="G497">
        <f>IFERROR(IF(E497="","",_xlfn.XLOOKUP(E497,STUDENTS!F496:F100493,STUDENTS!H496:H100493)),"update STUDENT sheet")</f>
        <v/>
      </c>
    </row>
    <row r="498">
      <c r="B498">
        <f>IF(STUDENTS!B497="","",STUDENTS!B497)</f>
        <v/>
      </c>
      <c r="C498">
        <f>IFERROR(IF(B498="","",_xlfn.XLOOKUP(B498,STUDENTS!$B$3:$B$1048576,STUDENTS!$C$3:$C$1048576)),"Enter a registered reg. no")</f>
        <v/>
      </c>
      <c r="D498">
        <f>IFERROR(IF(B498="","",_xlfn.XLOOKUP(B498,STUDENTS!B497:B100494,STUDENTS!D497:D100494)),"update STUDENT sheet")</f>
        <v/>
      </c>
      <c r="E498">
        <f>IFERROR(IF(C498="","",_xlfn.XLOOKUP(C498,STUDENTS!C497:C100494,STUDENTS!F497:F100494)),"update STUDENT sheet")</f>
        <v/>
      </c>
      <c r="F498">
        <f>IFERROR(IF(D498="","",_xlfn.XLOOKUP(D498,STUDENTS!D497:D100494,STUDENTS!G497:G100494)),"update STUDENT sheet")</f>
        <v/>
      </c>
      <c r="G498">
        <f>IFERROR(IF(E498="","",_xlfn.XLOOKUP(E498,STUDENTS!F497:F100494,STUDENTS!H497:H100494)),"update STUDENT sheet")</f>
        <v/>
      </c>
    </row>
    <row r="499">
      <c r="B499">
        <f>IF(STUDENTS!B498="","",STUDENTS!B498)</f>
        <v/>
      </c>
      <c r="C499">
        <f>IFERROR(IF(B499="","",_xlfn.XLOOKUP(B499,STUDENTS!$B$3:$B$1048576,STUDENTS!$C$3:$C$1048576)),"Enter a registered reg. no")</f>
        <v/>
      </c>
      <c r="D499">
        <f>IFERROR(IF(B499="","",_xlfn.XLOOKUP(B499,STUDENTS!B498:B100495,STUDENTS!D498:D100495)),"update STUDENT sheet")</f>
        <v/>
      </c>
      <c r="E499">
        <f>IFERROR(IF(C499="","",_xlfn.XLOOKUP(C499,STUDENTS!C498:C100495,STUDENTS!F498:F100495)),"update STUDENT sheet")</f>
        <v/>
      </c>
      <c r="F499">
        <f>IFERROR(IF(D499="","",_xlfn.XLOOKUP(D499,STUDENTS!D498:D100495,STUDENTS!G498:G100495)),"update STUDENT sheet")</f>
        <v/>
      </c>
      <c r="G499">
        <f>IFERROR(IF(E499="","",_xlfn.XLOOKUP(E499,STUDENTS!F498:F100495,STUDENTS!H498:H100495)),"update STUDENT sheet")</f>
        <v/>
      </c>
    </row>
    <row r="500">
      <c r="B500">
        <f>IF(STUDENTS!B499="","",STUDENTS!B499)</f>
        <v/>
      </c>
      <c r="C500">
        <f>IFERROR(IF(B500="","",_xlfn.XLOOKUP(B500,STUDENTS!$B$3:$B$1048576,STUDENTS!$C$3:$C$1048576)),"Enter a registered reg. no")</f>
        <v/>
      </c>
      <c r="D500">
        <f>IFERROR(IF(B500="","",_xlfn.XLOOKUP(B500,STUDENTS!B499:B100496,STUDENTS!D499:D100496)),"update STUDENT sheet")</f>
        <v/>
      </c>
      <c r="E500">
        <f>IFERROR(IF(C500="","",_xlfn.XLOOKUP(C500,STUDENTS!C499:C100496,STUDENTS!F499:F100496)),"update STUDENT sheet")</f>
        <v/>
      </c>
      <c r="F500">
        <f>IFERROR(IF(D500="","",_xlfn.XLOOKUP(D500,STUDENTS!D499:D100496,STUDENTS!G499:G100496)),"update STUDENT sheet")</f>
        <v/>
      </c>
      <c r="G500">
        <f>IFERROR(IF(E500="","",_xlfn.XLOOKUP(E500,STUDENTS!F499:F100496,STUDENTS!H499:H100496)),"update STUDENT sheet")</f>
        <v/>
      </c>
    </row>
    <row r="501">
      <c r="B501">
        <f>IF(STUDENTS!B500="","",STUDENTS!B500)</f>
        <v/>
      </c>
      <c r="C501">
        <f>IFERROR(IF(B501="","",_xlfn.XLOOKUP(B501,STUDENTS!$B$3:$B$1048576,STUDENTS!$C$3:$C$1048576)),"Enter a registered reg. no")</f>
        <v/>
      </c>
      <c r="D501">
        <f>IFERROR(IF(B501="","",_xlfn.XLOOKUP(B501,STUDENTS!B500:B100497,STUDENTS!D500:D100497)),"update STUDENT sheet")</f>
        <v/>
      </c>
      <c r="E501">
        <f>IFERROR(IF(C501="","",_xlfn.XLOOKUP(C501,STUDENTS!C500:C100497,STUDENTS!F500:F100497)),"update STUDENT sheet")</f>
        <v/>
      </c>
      <c r="F501">
        <f>IFERROR(IF(D501="","",_xlfn.XLOOKUP(D501,STUDENTS!D500:D100497,STUDENTS!G500:G100497)),"update STUDENT sheet")</f>
        <v/>
      </c>
      <c r="G501">
        <f>IFERROR(IF(E501="","",_xlfn.XLOOKUP(E501,STUDENTS!F500:F100497,STUDENTS!H500:H100497)),"update STUDENT sheet")</f>
        <v/>
      </c>
    </row>
    <row r="502">
      <c r="B502">
        <f>IF(STUDENTS!B501="","",STUDENTS!B501)</f>
        <v/>
      </c>
      <c r="C502">
        <f>IFERROR(IF(B502="","",_xlfn.XLOOKUP(B502,STUDENTS!$B$3:$B$1048576,STUDENTS!$C$3:$C$1048576)),"Enter a registered reg. no")</f>
        <v/>
      </c>
      <c r="D502">
        <f>IFERROR(IF(B502="","",_xlfn.XLOOKUP(B502,STUDENTS!B501:B100498,STUDENTS!D501:D100498)),"update STUDENT sheet")</f>
        <v/>
      </c>
      <c r="E502">
        <f>IFERROR(IF(C502="","",_xlfn.XLOOKUP(C502,STUDENTS!C501:C100498,STUDENTS!F501:F100498)),"update STUDENT sheet")</f>
        <v/>
      </c>
      <c r="F502">
        <f>IFERROR(IF(D502="","",_xlfn.XLOOKUP(D502,STUDENTS!D501:D100498,STUDENTS!G501:G100498)),"update STUDENT sheet")</f>
        <v/>
      </c>
      <c r="G502">
        <f>IFERROR(IF(E502="","",_xlfn.XLOOKUP(E502,STUDENTS!F501:F100498,STUDENTS!H501:H100498)),"update STUDENT sheet")</f>
        <v/>
      </c>
    </row>
    <row r="503">
      <c r="B503">
        <f>IF(STUDENTS!B502="","",STUDENTS!B502)</f>
        <v/>
      </c>
      <c r="C503">
        <f>IFERROR(IF(B503="","",_xlfn.XLOOKUP(B503,STUDENTS!$B$3:$B$1048576,STUDENTS!$C$3:$C$1048576)),"Enter a registered reg. no")</f>
        <v/>
      </c>
      <c r="D503">
        <f>IFERROR(IF(B503="","",_xlfn.XLOOKUP(B503,STUDENTS!B502:B100499,STUDENTS!D502:D100499)),"update STUDENT sheet")</f>
        <v/>
      </c>
      <c r="E503">
        <f>IFERROR(IF(C503="","",_xlfn.XLOOKUP(C503,STUDENTS!C502:C100499,STUDENTS!F502:F100499)),"update STUDENT sheet")</f>
        <v/>
      </c>
      <c r="F503">
        <f>IFERROR(IF(D503="","",_xlfn.XLOOKUP(D503,STUDENTS!D502:D100499,STUDENTS!G502:G100499)),"update STUDENT sheet")</f>
        <v/>
      </c>
      <c r="G503">
        <f>IFERROR(IF(E503="","",_xlfn.XLOOKUP(E503,STUDENTS!F502:F100499,STUDENTS!H502:H100499)),"update STUDENT sheet")</f>
        <v/>
      </c>
    </row>
    <row r="504">
      <c r="B504">
        <f>IF(STUDENTS!B503="","",STUDENTS!B503)</f>
        <v/>
      </c>
      <c r="C504">
        <f>IFERROR(IF(B504="","",_xlfn.XLOOKUP(B504,STUDENTS!$B$3:$B$1048576,STUDENTS!$C$3:$C$1048576)),"Enter a registered reg. no")</f>
        <v/>
      </c>
      <c r="D504">
        <f>IFERROR(IF(B504="","",_xlfn.XLOOKUP(B504,STUDENTS!B503:B100500,STUDENTS!D503:D100500)),"update STUDENT sheet")</f>
        <v/>
      </c>
      <c r="E504">
        <f>IFERROR(IF(C504="","",_xlfn.XLOOKUP(C504,STUDENTS!C503:C100500,STUDENTS!F503:F100500)),"update STUDENT sheet")</f>
        <v/>
      </c>
      <c r="F504">
        <f>IFERROR(IF(D504="","",_xlfn.XLOOKUP(D504,STUDENTS!D503:D100500,STUDENTS!G503:G100500)),"update STUDENT sheet")</f>
        <v/>
      </c>
      <c r="G504">
        <f>IFERROR(IF(E504="","",_xlfn.XLOOKUP(E504,STUDENTS!F503:F100500,STUDENTS!H503:H100500)),"update STUDENT sheet")</f>
        <v/>
      </c>
    </row>
    <row r="505">
      <c r="B505">
        <f>IF(STUDENTS!B504="","",STUDENTS!B504)</f>
        <v/>
      </c>
      <c r="C505">
        <f>IFERROR(IF(B505="","",_xlfn.XLOOKUP(B505,STUDENTS!$B$3:$B$1048576,STUDENTS!$C$3:$C$1048576)),"Enter a registered reg. no")</f>
        <v/>
      </c>
      <c r="D505">
        <f>IFERROR(IF(B505="","",_xlfn.XLOOKUP(B505,STUDENTS!B504:B100501,STUDENTS!D504:D100501)),"update STUDENT sheet")</f>
        <v/>
      </c>
      <c r="E505">
        <f>IFERROR(IF(C505="","",_xlfn.XLOOKUP(C505,STUDENTS!C504:C100501,STUDENTS!F504:F100501)),"update STUDENT sheet")</f>
        <v/>
      </c>
      <c r="F505">
        <f>IFERROR(IF(D505="","",_xlfn.XLOOKUP(D505,STUDENTS!D504:D100501,STUDENTS!G504:G100501)),"update STUDENT sheet")</f>
        <v/>
      </c>
      <c r="G505">
        <f>IFERROR(IF(E505="","",_xlfn.XLOOKUP(E505,STUDENTS!F504:F100501,STUDENTS!H504:H100501)),"update STUDENT sheet")</f>
        <v/>
      </c>
    </row>
    <row r="506">
      <c r="B506">
        <f>IF(STUDENTS!B505="","",STUDENTS!B505)</f>
        <v/>
      </c>
      <c r="C506">
        <f>IFERROR(IF(B506="","",_xlfn.XLOOKUP(B506,STUDENTS!$B$3:$B$1048576,STUDENTS!$C$3:$C$1048576)),"Enter a registered reg. no")</f>
        <v/>
      </c>
      <c r="D506">
        <f>IFERROR(IF(B506="","",_xlfn.XLOOKUP(B506,STUDENTS!B505:B100502,STUDENTS!D505:D100502)),"update STUDENT sheet")</f>
        <v/>
      </c>
      <c r="E506">
        <f>IFERROR(IF(C506="","",_xlfn.XLOOKUP(C506,STUDENTS!C505:C100502,STUDENTS!F505:F100502)),"update STUDENT sheet")</f>
        <v/>
      </c>
      <c r="F506">
        <f>IFERROR(IF(D506="","",_xlfn.XLOOKUP(D506,STUDENTS!D505:D100502,STUDENTS!G505:G100502)),"update STUDENT sheet")</f>
        <v/>
      </c>
      <c r="G506">
        <f>IFERROR(IF(E506="","",_xlfn.XLOOKUP(E506,STUDENTS!F505:F100502,STUDENTS!H505:H100502)),"update STUDENT sheet")</f>
        <v/>
      </c>
    </row>
    <row r="507">
      <c r="B507">
        <f>IF(STUDENTS!B506="","",STUDENTS!B506)</f>
        <v/>
      </c>
      <c r="C507">
        <f>IFERROR(IF(B507="","",_xlfn.XLOOKUP(B507,STUDENTS!$B$3:$B$1048576,STUDENTS!$C$3:$C$1048576)),"Enter a registered reg. no")</f>
        <v/>
      </c>
      <c r="D507">
        <f>IFERROR(IF(B507="","",_xlfn.XLOOKUP(B507,STUDENTS!B506:B100503,STUDENTS!D506:D100503)),"update STUDENT sheet")</f>
        <v/>
      </c>
      <c r="E507">
        <f>IFERROR(IF(C507="","",_xlfn.XLOOKUP(C507,STUDENTS!C506:C100503,STUDENTS!F506:F100503)),"update STUDENT sheet")</f>
        <v/>
      </c>
      <c r="F507">
        <f>IFERROR(IF(D507="","",_xlfn.XLOOKUP(D507,STUDENTS!D506:D100503,STUDENTS!G506:G100503)),"update STUDENT sheet")</f>
        <v/>
      </c>
      <c r="G507">
        <f>IFERROR(IF(E507="","",_xlfn.XLOOKUP(E507,STUDENTS!F506:F100503,STUDENTS!H506:H100503)),"update STUDENT sheet")</f>
        <v/>
      </c>
    </row>
    <row r="508">
      <c r="B508">
        <f>IF(STUDENTS!B507="","",STUDENTS!B507)</f>
        <v/>
      </c>
      <c r="C508">
        <f>IFERROR(IF(B508="","",_xlfn.XLOOKUP(B508,STUDENTS!$B$3:$B$1048576,STUDENTS!$C$3:$C$1048576)),"Enter a registered reg. no")</f>
        <v/>
      </c>
      <c r="D508">
        <f>IFERROR(IF(B508="","",_xlfn.XLOOKUP(B508,STUDENTS!B507:B100504,STUDENTS!D507:D100504)),"update STUDENT sheet")</f>
        <v/>
      </c>
      <c r="E508">
        <f>IFERROR(IF(C508="","",_xlfn.XLOOKUP(C508,STUDENTS!C507:C100504,STUDENTS!F507:F100504)),"update STUDENT sheet")</f>
        <v/>
      </c>
      <c r="F508">
        <f>IFERROR(IF(D508="","",_xlfn.XLOOKUP(D508,STUDENTS!D507:D100504,STUDENTS!G507:G100504)),"update STUDENT sheet")</f>
        <v/>
      </c>
      <c r="G508">
        <f>IFERROR(IF(E508="","",_xlfn.XLOOKUP(E508,STUDENTS!F507:F100504,STUDENTS!H507:H100504)),"update STUDENT sheet")</f>
        <v/>
      </c>
    </row>
    <row r="509">
      <c r="B509">
        <f>IF(STUDENTS!B508="","",STUDENTS!B508)</f>
        <v/>
      </c>
      <c r="C509">
        <f>IFERROR(IF(B509="","",_xlfn.XLOOKUP(B509,STUDENTS!$B$3:$B$1048576,STUDENTS!$C$3:$C$1048576)),"Enter a registered reg. no")</f>
        <v/>
      </c>
      <c r="D509">
        <f>IFERROR(IF(B509="","",_xlfn.XLOOKUP(B509,STUDENTS!B508:B100505,STUDENTS!D508:D100505)),"update STUDENT sheet")</f>
        <v/>
      </c>
      <c r="E509">
        <f>IFERROR(IF(C509="","",_xlfn.XLOOKUP(C509,STUDENTS!C508:C100505,STUDENTS!F508:F100505)),"update STUDENT sheet")</f>
        <v/>
      </c>
      <c r="F509">
        <f>IFERROR(IF(D509="","",_xlfn.XLOOKUP(D509,STUDENTS!D508:D100505,STUDENTS!G508:G100505)),"update STUDENT sheet")</f>
        <v/>
      </c>
      <c r="G509">
        <f>IFERROR(IF(E509="","",_xlfn.XLOOKUP(E509,STUDENTS!F508:F100505,STUDENTS!H508:H100505)),"update STUDENT sheet")</f>
        <v/>
      </c>
    </row>
    <row r="510">
      <c r="B510">
        <f>IF(STUDENTS!B509="","",STUDENTS!B509)</f>
        <v/>
      </c>
      <c r="C510">
        <f>IFERROR(IF(B510="","",_xlfn.XLOOKUP(B510,STUDENTS!$B$3:$B$1048576,STUDENTS!$C$3:$C$1048576)),"Enter a registered reg. no")</f>
        <v/>
      </c>
      <c r="D510">
        <f>IFERROR(IF(B510="","",_xlfn.XLOOKUP(B510,STUDENTS!B509:B100506,STUDENTS!D509:D100506)),"update STUDENT sheet")</f>
        <v/>
      </c>
      <c r="E510">
        <f>IFERROR(IF(C510="","",_xlfn.XLOOKUP(C510,STUDENTS!C509:C100506,STUDENTS!F509:F100506)),"update STUDENT sheet")</f>
        <v/>
      </c>
      <c r="F510">
        <f>IFERROR(IF(D510="","",_xlfn.XLOOKUP(D510,STUDENTS!D509:D100506,STUDENTS!G509:G100506)),"update STUDENT sheet")</f>
        <v/>
      </c>
      <c r="G510">
        <f>IFERROR(IF(E510="","",_xlfn.XLOOKUP(E510,STUDENTS!F509:F100506,STUDENTS!H509:H100506)),"update STUDENT sheet")</f>
        <v/>
      </c>
    </row>
    <row r="511">
      <c r="B511">
        <f>IF(STUDENTS!B510="","",STUDENTS!B510)</f>
        <v/>
      </c>
      <c r="C511">
        <f>IFERROR(IF(B511="","",_xlfn.XLOOKUP(B511,STUDENTS!$B$3:$B$1048576,STUDENTS!$C$3:$C$1048576)),"Enter a registered reg. no")</f>
        <v/>
      </c>
      <c r="D511">
        <f>IFERROR(IF(B511="","",_xlfn.XLOOKUP(B511,STUDENTS!B510:B100507,STUDENTS!D510:D100507)),"update STUDENT sheet")</f>
        <v/>
      </c>
      <c r="E511">
        <f>IFERROR(IF(C511="","",_xlfn.XLOOKUP(C511,STUDENTS!C510:C100507,STUDENTS!F510:F100507)),"update STUDENT sheet")</f>
        <v/>
      </c>
      <c r="F511">
        <f>IFERROR(IF(D511="","",_xlfn.XLOOKUP(D511,STUDENTS!D510:D100507,STUDENTS!G510:G100507)),"update STUDENT sheet")</f>
        <v/>
      </c>
      <c r="G511">
        <f>IFERROR(IF(E511="","",_xlfn.XLOOKUP(E511,STUDENTS!F510:F100507,STUDENTS!H510:H100507)),"update STUDENT sheet")</f>
        <v/>
      </c>
    </row>
    <row r="512">
      <c r="B512">
        <f>IF(STUDENTS!B511="","",STUDENTS!B511)</f>
        <v/>
      </c>
      <c r="C512">
        <f>IFERROR(IF(B512="","",_xlfn.XLOOKUP(B512,STUDENTS!$B$3:$B$1048576,STUDENTS!$C$3:$C$1048576)),"Enter a registered reg. no")</f>
        <v/>
      </c>
      <c r="D512">
        <f>IFERROR(IF(B512="","",_xlfn.XLOOKUP(B512,STUDENTS!B511:B100508,STUDENTS!D511:D100508)),"update STUDENT sheet")</f>
        <v/>
      </c>
      <c r="E512">
        <f>IFERROR(IF(C512="","",_xlfn.XLOOKUP(C512,STUDENTS!C511:C100508,STUDENTS!F511:F100508)),"update STUDENT sheet")</f>
        <v/>
      </c>
      <c r="F512">
        <f>IFERROR(IF(D512="","",_xlfn.XLOOKUP(D512,STUDENTS!D511:D100508,STUDENTS!G511:G100508)),"update STUDENT sheet")</f>
        <v/>
      </c>
      <c r="G512">
        <f>IFERROR(IF(E512="","",_xlfn.XLOOKUP(E512,STUDENTS!F511:F100508,STUDENTS!H511:H100508)),"update STUDENT sheet")</f>
        <v/>
      </c>
    </row>
    <row r="513">
      <c r="B513">
        <f>IF(STUDENTS!B512="","",STUDENTS!B512)</f>
        <v/>
      </c>
      <c r="C513">
        <f>IFERROR(IF(B513="","",_xlfn.XLOOKUP(B513,STUDENTS!$B$3:$B$1048576,STUDENTS!$C$3:$C$1048576)),"Enter a registered reg. no")</f>
        <v/>
      </c>
      <c r="D513">
        <f>IFERROR(IF(B513="","",_xlfn.XLOOKUP(B513,STUDENTS!B512:B100509,STUDENTS!D512:D100509)),"update STUDENT sheet")</f>
        <v/>
      </c>
      <c r="E513">
        <f>IFERROR(IF(C513="","",_xlfn.XLOOKUP(C513,STUDENTS!C512:C100509,STUDENTS!F512:F100509)),"update STUDENT sheet")</f>
        <v/>
      </c>
      <c r="F513">
        <f>IFERROR(IF(D513="","",_xlfn.XLOOKUP(D513,STUDENTS!D512:D100509,STUDENTS!G512:G100509)),"update STUDENT sheet")</f>
        <v/>
      </c>
      <c r="G513">
        <f>IFERROR(IF(E513="","",_xlfn.XLOOKUP(E513,STUDENTS!F512:F100509,STUDENTS!H512:H100509)),"update STUDENT sheet")</f>
        <v/>
      </c>
    </row>
    <row r="514">
      <c r="B514">
        <f>IF(STUDENTS!B513="","",STUDENTS!B513)</f>
        <v/>
      </c>
      <c r="C514">
        <f>IFERROR(IF(B514="","",_xlfn.XLOOKUP(B514,STUDENTS!$B$3:$B$1048576,STUDENTS!$C$3:$C$1048576)),"Enter a registered reg. no")</f>
        <v/>
      </c>
      <c r="D514">
        <f>IFERROR(IF(B514="","",_xlfn.XLOOKUP(B514,STUDENTS!B513:B100510,STUDENTS!D513:D100510)),"update STUDENT sheet")</f>
        <v/>
      </c>
      <c r="E514">
        <f>IFERROR(IF(C514="","",_xlfn.XLOOKUP(C514,STUDENTS!C513:C100510,STUDENTS!F513:F100510)),"update STUDENT sheet")</f>
        <v/>
      </c>
      <c r="F514">
        <f>IFERROR(IF(D514="","",_xlfn.XLOOKUP(D514,STUDENTS!D513:D100510,STUDENTS!G513:G100510)),"update STUDENT sheet")</f>
        <v/>
      </c>
      <c r="G514">
        <f>IFERROR(IF(E514="","",_xlfn.XLOOKUP(E514,STUDENTS!F513:F100510,STUDENTS!H513:H100510)),"update STUDENT sheet")</f>
        <v/>
      </c>
    </row>
    <row r="515">
      <c r="B515">
        <f>IF(STUDENTS!B514="","",STUDENTS!B514)</f>
        <v/>
      </c>
      <c r="C515">
        <f>IFERROR(IF(B515="","",_xlfn.XLOOKUP(B515,STUDENTS!$B$3:$B$1048576,STUDENTS!$C$3:$C$1048576)),"Enter a registered reg. no")</f>
        <v/>
      </c>
      <c r="D515">
        <f>IFERROR(IF(B515="","",_xlfn.XLOOKUP(B515,STUDENTS!B514:B100511,STUDENTS!D514:D100511)),"update STUDENT sheet")</f>
        <v/>
      </c>
      <c r="E515">
        <f>IFERROR(IF(C515="","",_xlfn.XLOOKUP(C515,STUDENTS!C514:C100511,STUDENTS!F514:F100511)),"update STUDENT sheet")</f>
        <v/>
      </c>
      <c r="F515">
        <f>IFERROR(IF(D515="","",_xlfn.XLOOKUP(D515,STUDENTS!D514:D100511,STUDENTS!G514:G100511)),"update STUDENT sheet")</f>
        <v/>
      </c>
      <c r="G515">
        <f>IFERROR(IF(E515="","",_xlfn.XLOOKUP(E515,STUDENTS!F514:F100511,STUDENTS!H514:H100511)),"update STUDENT sheet")</f>
        <v/>
      </c>
    </row>
    <row r="516">
      <c r="B516">
        <f>IF(STUDENTS!B515="","",STUDENTS!B515)</f>
        <v/>
      </c>
      <c r="C516">
        <f>IFERROR(IF(B516="","",_xlfn.XLOOKUP(B516,STUDENTS!$B$3:$B$1048576,STUDENTS!$C$3:$C$1048576)),"Enter a registered reg. no")</f>
        <v/>
      </c>
      <c r="D516">
        <f>IFERROR(IF(B516="","",_xlfn.XLOOKUP(B516,STUDENTS!B515:B100512,STUDENTS!D515:D100512)),"update STUDENT sheet")</f>
        <v/>
      </c>
      <c r="E516">
        <f>IFERROR(IF(C516="","",_xlfn.XLOOKUP(C516,STUDENTS!C515:C100512,STUDENTS!F515:F100512)),"update STUDENT sheet")</f>
        <v/>
      </c>
      <c r="F516">
        <f>IFERROR(IF(D516="","",_xlfn.XLOOKUP(D516,STUDENTS!D515:D100512,STUDENTS!G515:G100512)),"update STUDENT sheet")</f>
        <v/>
      </c>
      <c r="G516">
        <f>IFERROR(IF(E516="","",_xlfn.XLOOKUP(E516,STUDENTS!F515:F100512,STUDENTS!H515:H100512)),"update STUDENT sheet")</f>
        <v/>
      </c>
    </row>
    <row r="517">
      <c r="B517">
        <f>IF(STUDENTS!B516="","",STUDENTS!B516)</f>
        <v/>
      </c>
      <c r="C517">
        <f>IFERROR(IF(B517="","",_xlfn.XLOOKUP(B517,STUDENTS!$B$3:$B$1048576,STUDENTS!$C$3:$C$1048576)),"Enter a registered reg. no")</f>
        <v/>
      </c>
      <c r="D517">
        <f>IFERROR(IF(B517="","",_xlfn.XLOOKUP(B517,STUDENTS!B516:B100513,STUDENTS!D516:D100513)),"update STUDENT sheet")</f>
        <v/>
      </c>
      <c r="E517">
        <f>IFERROR(IF(C517="","",_xlfn.XLOOKUP(C517,STUDENTS!C516:C100513,STUDENTS!F516:F100513)),"update STUDENT sheet")</f>
        <v/>
      </c>
      <c r="F517">
        <f>IFERROR(IF(D517="","",_xlfn.XLOOKUP(D517,STUDENTS!D516:D100513,STUDENTS!G516:G100513)),"update STUDENT sheet")</f>
        <v/>
      </c>
      <c r="G517">
        <f>IFERROR(IF(E517="","",_xlfn.XLOOKUP(E517,STUDENTS!F516:F100513,STUDENTS!H516:H100513)),"update STUDENT sheet")</f>
        <v/>
      </c>
    </row>
    <row r="518">
      <c r="B518">
        <f>IF(STUDENTS!B517="","",STUDENTS!B517)</f>
        <v/>
      </c>
      <c r="C518">
        <f>IFERROR(IF(B518="","",_xlfn.XLOOKUP(B518,STUDENTS!$B$3:$B$1048576,STUDENTS!$C$3:$C$1048576)),"Enter a registered reg. no")</f>
        <v/>
      </c>
      <c r="D518">
        <f>IFERROR(IF(B518="","",_xlfn.XLOOKUP(B518,STUDENTS!B517:B100514,STUDENTS!D517:D100514)),"update STUDENT sheet")</f>
        <v/>
      </c>
      <c r="E518">
        <f>IFERROR(IF(C518="","",_xlfn.XLOOKUP(C518,STUDENTS!C517:C100514,STUDENTS!F517:F100514)),"update STUDENT sheet")</f>
        <v/>
      </c>
      <c r="F518">
        <f>IFERROR(IF(D518="","",_xlfn.XLOOKUP(D518,STUDENTS!D517:D100514,STUDENTS!G517:G100514)),"update STUDENT sheet")</f>
        <v/>
      </c>
      <c r="G518">
        <f>IFERROR(IF(E518="","",_xlfn.XLOOKUP(E518,STUDENTS!F517:F100514,STUDENTS!H517:H100514)),"update STUDENT sheet")</f>
        <v/>
      </c>
    </row>
    <row r="519">
      <c r="B519">
        <f>IF(STUDENTS!B518="","",STUDENTS!B518)</f>
        <v/>
      </c>
      <c r="C519">
        <f>IFERROR(IF(B519="","",_xlfn.XLOOKUP(B519,STUDENTS!$B$3:$B$1048576,STUDENTS!$C$3:$C$1048576)),"Enter a registered reg. no")</f>
        <v/>
      </c>
      <c r="D519">
        <f>IFERROR(IF(B519="","",_xlfn.XLOOKUP(B519,STUDENTS!B518:B100515,STUDENTS!D518:D100515)),"update STUDENT sheet")</f>
        <v/>
      </c>
      <c r="E519">
        <f>IFERROR(IF(C519="","",_xlfn.XLOOKUP(C519,STUDENTS!C518:C100515,STUDENTS!F518:F100515)),"update STUDENT sheet")</f>
        <v/>
      </c>
      <c r="F519">
        <f>IFERROR(IF(D519="","",_xlfn.XLOOKUP(D519,STUDENTS!D518:D100515,STUDENTS!G518:G100515)),"update STUDENT sheet")</f>
        <v/>
      </c>
      <c r="G519">
        <f>IFERROR(IF(E519="","",_xlfn.XLOOKUP(E519,STUDENTS!F518:F100515,STUDENTS!H518:H100515)),"update STUDENT sheet")</f>
        <v/>
      </c>
    </row>
    <row r="520">
      <c r="B520">
        <f>IF(STUDENTS!B519="","",STUDENTS!B519)</f>
        <v/>
      </c>
      <c r="C520">
        <f>IFERROR(IF(B520="","",_xlfn.XLOOKUP(B520,STUDENTS!$B$3:$B$1048576,STUDENTS!$C$3:$C$1048576)),"Enter a registered reg. no")</f>
        <v/>
      </c>
      <c r="D520">
        <f>IFERROR(IF(B520="","",_xlfn.XLOOKUP(B520,STUDENTS!B519:B100516,STUDENTS!D519:D100516)),"update STUDENT sheet")</f>
        <v/>
      </c>
      <c r="E520">
        <f>IFERROR(IF(C520="","",_xlfn.XLOOKUP(C520,STUDENTS!C519:C100516,STUDENTS!F519:F100516)),"update STUDENT sheet")</f>
        <v/>
      </c>
      <c r="F520">
        <f>IFERROR(IF(D520="","",_xlfn.XLOOKUP(D520,STUDENTS!D519:D100516,STUDENTS!G519:G100516)),"update STUDENT sheet")</f>
        <v/>
      </c>
      <c r="G520">
        <f>IFERROR(IF(E520="","",_xlfn.XLOOKUP(E520,STUDENTS!F519:F100516,STUDENTS!H519:H100516)),"update STUDENT sheet")</f>
        <v/>
      </c>
    </row>
    <row r="521">
      <c r="B521">
        <f>IF(STUDENTS!B520="","",STUDENTS!B520)</f>
        <v/>
      </c>
      <c r="C521">
        <f>IFERROR(IF(B521="","",_xlfn.XLOOKUP(B521,STUDENTS!$B$3:$B$1048576,STUDENTS!$C$3:$C$1048576)),"Enter a registered reg. no")</f>
        <v/>
      </c>
      <c r="D521">
        <f>IFERROR(IF(B521="","",_xlfn.XLOOKUP(B521,STUDENTS!B520:B100517,STUDENTS!D520:D100517)),"update STUDENT sheet")</f>
        <v/>
      </c>
      <c r="E521">
        <f>IFERROR(IF(C521="","",_xlfn.XLOOKUP(C521,STUDENTS!C520:C100517,STUDENTS!F520:F100517)),"update STUDENT sheet")</f>
        <v/>
      </c>
      <c r="F521">
        <f>IFERROR(IF(D521="","",_xlfn.XLOOKUP(D521,STUDENTS!D520:D100517,STUDENTS!G520:G100517)),"update STUDENT sheet")</f>
        <v/>
      </c>
      <c r="G521">
        <f>IFERROR(IF(E521="","",_xlfn.XLOOKUP(E521,STUDENTS!F520:F100517,STUDENTS!H520:H100517)),"update STUDENT sheet")</f>
        <v/>
      </c>
    </row>
    <row r="522">
      <c r="B522">
        <f>IF(STUDENTS!B521="","",STUDENTS!B521)</f>
        <v/>
      </c>
      <c r="C522">
        <f>IFERROR(IF(B522="","",_xlfn.XLOOKUP(B522,STUDENTS!$B$3:$B$1048576,STUDENTS!$C$3:$C$1048576)),"Enter a registered reg. no")</f>
        <v/>
      </c>
      <c r="D522">
        <f>IFERROR(IF(B522="","",_xlfn.XLOOKUP(B522,STUDENTS!B521:B100518,STUDENTS!D521:D100518)),"update STUDENT sheet")</f>
        <v/>
      </c>
      <c r="E522">
        <f>IFERROR(IF(C522="","",_xlfn.XLOOKUP(C522,STUDENTS!C521:C100518,STUDENTS!F521:F100518)),"update STUDENT sheet")</f>
        <v/>
      </c>
      <c r="F522">
        <f>IFERROR(IF(D522="","",_xlfn.XLOOKUP(D522,STUDENTS!D521:D100518,STUDENTS!G521:G100518)),"update STUDENT sheet")</f>
        <v/>
      </c>
      <c r="G522">
        <f>IFERROR(IF(E522="","",_xlfn.XLOOKUP(E522,STUDENTS!F521:F100518,STUDENTS!H521:H100518)),"update STUDENT sheet")</f>
        <v/>
      </c>
    </row>
    <row r="523">
      <c r="B523">
        <f>IF(STUDENTS!B522="","",STUDENTS!B522)</f>
        <v/>
      </c>
      <c r="C523">
        <f>IFERROR(IF(B523="","",_xlfn.XLOOKUP(B523,STUDENTS!$B$3:$B$1048576,STUDENTS!$C$3:$C$1048576)),"Enter a registered reg. no")</f>
        <v/>
      </c>
      <c r="D523">
        <f>IFERROR(IF(B523="","",_xlfn.XLOOKUP(B523,STUDENTS!B522:B100519,STUDENTS!D522:D100519)),"update STUDENT sheet")</f>
        <v/>
      </c>
      <c r="E523">
        <f>IFERROR(IF(C523="","",_xlfn.XLOOKUP(C523,STUDENTS!C522:C100519,STUDENTS!F522:F100519)),"update STUDENT sheet")</f>
        <v/>
      </c>
      <c r="F523">
        <f>IFERROR(IF(D523="","",_xlfn.XLOOKUP(D523,STUDENTS!D522:D100519,STUDENTS!G522:G100519)),"update STUDENT sheet")</f>
        <v/>
      </c>
      <c r="G523">
        <f>IFERROR(IF(E523="","",_xlfn.XLOOKUP(E523,STUDENTS!F522:F100519,STUDENTS!H522:H100519)),"update STUDENT sheet")</f>
        <v/>
      </c>
    </row>
    <row r="524">
      <c r="B524">
        <f>IF(STUDENTS!B523="","",STUDENTS!B523)</f>
        <v/>
      </c>
      <c r="C524">
        <f>IFERROR(IF(B524="","",_xlfn.XLOOKUP(B524,STUDENTS!$B$3:$B$1048576,STUDENTS!$C$3:$C$1048576)),"Enter a registered reg. no")</f>
        <v/>
      </c>
      <c r="D524">
        <f>IFERROR(IF(B524="","",_xlfn.XLOOKUP(B524,STUDENTS!B523:B100520,STUDENTS!D523:D100520)),"update STUDENT sheet")</f>
        <v/>
      </c>
      <c r="E524">
        <f>IFERROR(IF(C524="","",_xlfn.XLOOKUP(C524,STUDENTS!C523:C100520,STUDENTS!F523:F100520)),"update STUDENT sheet")</f>
        <v/>
      </c>
      <c r="F524">
        <f>IFERROR(IF(D524="","",_xlfn.XLOOKUP(D524,STUDENTS!D523:D100520,STUDENTS!G523:G100520)),"update STUDENT sheet")</f>
        <v/>
      </c>
      <c r="G524">
        <f>IFERROR(IF(E524="","",_xlfn.XLOOKUP(E524,STUDENTS!F523:F100520,STUDENTS!H523:H100520)),"update STUDENT sheet")</f>
        <v/>
      </c>
    </row>
    <row r="525">
      <c r="B525">
        <f>IF(STUDENTS!B524="","",STUDENTS!B524)</f>
        <v/>
      </c>
      <c r="C525">
        <f>IFERROR(IF(B525="","",_xlfn.XLOOKUP(B525,STUDENTS!$B$3:$B$1048576,STUDENTS!$C$3:$C$1048576)),"Enter a registered reg. no")</f>
        <v/>
      </c>
      <c r="D525">
        <f>IFERROR(IF(B525="","",_xlfn.XLOOKUP(B525,STUDENTS!B524:B100521,STUDENTS!D524:D100521)),"update STUDENT sheet")</f>
        <v/>
      </c>
      <c r="E525">
        <f>IFERROR(IF(C525="","",_xlfn.XLOOKUP(C525,STUDENTS!C524:C100521,STUDENTS!F524:F100521)),"update STUDENT sheet")</f>
        <v/>
      </c>
      <c r="F525">
        <f>IFERROR(IF(D525="","",_xlfn.XLOOKUP(D525,STUDENTS!D524:D100521,STUDENTS!G524:G100521)),"update STUDENT sheet")</f>
        <v/>
      </c>
      <c r="G525">
        <f>IFERROR(IF(E525="","",_xlfn.XLOOKUP(E525,STUDENTS!F524:F100521,STUDENTS!H524:H100521)),"update STUDENT sheet")</f>
        <v/>
      </c>
    </row>
    <row r="526">
      <c r="B526">
        <f>IF(STUDENTS!B525="","",STUDENTS!B525)</f>
        <v/>
      </c>
      <c r="C526">
        <f>IFERROR(IF(B526="","",_xlfn.XLOOKUP(B526,STUDENTS!$B$3:$B$1048576,STUDENTS!$C$3:$C$1048576)),"Enter a registered reg. no")</f>
        <v/>
      </c>
      <c r="D526">
        <f>IFERROR(IF(B526="","",_xlfn.XLOOKUP(B526,STUDENTS!B525:B100522,STUDENTS!D525:D100522)),"update STUDENT sheet")</f>
        <v/>
      </c>
      <c r="E526">
        <f>IFERROR(IF(C526="","",_xlfn.XLOOKUP(C526,STUDENTS!C525:C100522,STUDENTS!F525:F100522)),"update STUDENT sheet")</f>
        <v/>
      </c>
      <c r="F526">
        <f>IFERROR(IF(D526="","",_xlfn.XLOOKUP(D526,STUDENTS!D525:D100522,STUDENTS!G525:G100522)),"update STUDENT sheet")</f>
        <v/>
      </c>
      <c r="G526">
        <f>IFERROR(IF(E526="","",_xlfn.XLOOKUP(E526,STUDENTS!F525:F100522,STUDENTS!H525:H100522)),"update STUDENT sheet")</f>
        <v/>
      </c>
    </row>
    <row r="527">
      <c r="B527">
        <f>IF(STUDENTS!B526="","",STUDENTS!B526)</f>
        <v/>
      </c>
      <c r="C527">
        <f>IFERROR(IF(B527="","",_xlfn.XLOOKUP(B527,STUDENTS!$B$3:$B$1048576,STUDENTS!$C$3:$C$1048576)),"Enter a registered reg. no")</f>
        <v/>
      </c>
      <c r="D527">
        <f>IFERROR(IF(B527="","",_xlfn.XLOOKUP(B527,STUDENTS!B526:B100523,STUDENTS!D526:D100523)),"update STUDENT sheet")</f>
        <v/>
      </c>
      <c r="E527">
        <f>IFERROR(IF(C527="","",_xlfn.XLOOKUP(C527,STUDENTS!C526:C100523,STUDENTS!F526:F100523)),"update STUDENT sheet")</f>
        <v/>
      </c>
      <c r="F527">
        <f>IFERROR(IF(D527="","",_xlfn.XLOOKUP(D527,STUDENTS!D526:D100523,STUDENTS!G526:G100523)),"update STUDENT sheet")</f>
        <v/>
      </c>
      <c r="G527">
        <f>IFERROR(IF(E527="","",_xlfn.XLOOKUP(E527,STUDENTS!F526:F100523,STUDENTS!H526:H100523)),"update STUDENT sheet")</f>
        <v/>
      </c>
    </row>
    <row r="528">
      <c r="B528">
        <f>IF(STUDENTS!B527="","",STUDENTS!B527)</f>
        <v/>
      </c>
      <c r="C528">
        <f>IFERROR(IF(B528="","",_xlfn.XLOOKUP(B528,STUDENTS!$B$3:$B$1048576,STUDENTS!$C$3:$C$1048576)),"Enter a registered reg. no")</f>
        <v/>
      </c>
      <c r="D528">
        <f>IFERROR(IF(B528="","",_xlfn.XLOOKUP(B528,STUDENTS!B527:B100524,STUDENTS!D527:D100524)),"update STUDENT sheet")</f>
        <v/>
      </c>
      <c r="E528">
        <f>IFERROR(IF(C528="","",_xlfn.XLOOKUP(C528,STUDENTS!C527:C100524,STUDENTS!F527:F100524)),"update STUDENT sheet")</f>
        <v/>
      </c>
      <c r="F528">
        <f>IFERROR(IF(D528="","",_xlfn.XLOOKUP(D528,STUDENTS!D527:D100524,STUDENTS!G527:G100524)),"update STUDENT sheet")</f>
        <v/>
      </c>
      <c r="G528">
        <f>IFERROR(IF(E528="","",_xlfn.XLOOKUP(E528,STUDENTS!F527:F100524,STUDENTS!H527:H100524)),"update STUDENT sheet")</f>
        <v/>
      </c>
    </row>
    <row r="529">
      <c r="B529">
        <f>IF(STUDENTS!B528="","",STUDENTS!B528)</f>
        <v/>
      </c>
      <c r="C529">
        <f>IFERROR(IF(B529="","",_xlfn.XLOOKUP(B529,STUDENTS!$B$3:$B$1048576,STUDENTS!$C$3:$C$1048576)),"Enter a registered reg. no")</f>
        <v/>
      </c>
      <c r="D529">
        <f>IFERROR(IF(B529="","",_xlfn.XLOOKUP(B529,STUDENTS!B528:B100525,STUDENTS!D528:D100525)),"update STUDENT sheet")</f>
        <v/>
      </c>
      <c r="E529">
        <f>IFERROR(IF(C529="","",_xlfn.XLOOKUP(C529,STUDENTS!C528:C100525,STUDENTS!F528:F100525)),"update STUDENT sheet")</f>
        <v/>
      </c>
      <c r="F529">
        <f>IFERROR(IF(D529="","",_xlfn.XLOOKUP(D529,STUDENTS!D528:D100525,STUDENTS!G528:G100525)),"update STUDENT sheet")</f>
        <v/>
      </c>
      <c r="G529">
        <f>IFERROR(IF(E529="","",_xlfn.XLOOKUP(E529,STUDENTS!F528:F100525,STUDENTS!H528:H100525)),"update STUDENT sheet")</f>
        <v/>
      </c>
    </row>
    <row r="530">
      <c r="B530">
        <f>IF(STUDENTS!B529="","",STUDENTS!B529)</f>
        <v/>
      </c>
      <c r="C530">
        <f>IFERROR(IF(B530="","",_xlfn.XLOOKUP(B530,STUDENTS!$B$3:$B$1048576,STUDENTS!$C$3:$C$1048576)),"Enter a registered reg. no")</f>
        <v/>
      </c>
      <c r="D530">
        <f>IFERROR(IF(B530="","",_xlfn.XLOOKUP(B530,STUDENTS!B529:B100526,STUDENTS!D529:D100526)),"update STUDENT sheet")</f>
        <v/>
      </c>
      <c r="E530">
        <f>IFERROR(IF(C530="","",_xlfn.XLOOKUP(C530,STUDENTS!C529:C100526,STUDENTS!F529:F100526)),"update STUDENT sheet")</f>
        <v/>
      </c>
      <c r="F530">
        <f>IFERROR(IF(D530="","",_xlfn.XLOOKUP(D530,STUDENTS!D529:D100526,STUDENTS!G529:G100526)),"update STUDENT sheet")</f>
        <v/>
      </c>
      <c r="G530">
        <f>IFERROR(IF(E530="","",_xlfn.XLOOKUP(E530,STUDENTS!F529:F100526,STUDENTS!H529:H100526)),"update STUDENT sheet")</f>
        <v/>
      </c>
    </row>
    <row r="531">
      <c r="B531">
        <f>IF(STUDENTS!B530="","",STUDENTS!B530)</f>
        <v/>
      </c>
      <c r="C531">
        <f>IFERROR(IF(B531="","",_xlfn.XLOOKUP(B531,STUDENTS!$B$3:$B$1048576,STUDENTS!$C$3:$C$1048576)),"Enter a registered reg. no")</f>
        <v/>
      </c>
      <c r="D531">
        <f>IFERROR(IF(B531="","",_xlfn.XLOOKUP(B531,STUDENTS!B530:B100527,STUDENTS!D530:D100527)),"update STUDENT sheet")</f>
        <v/>
      </c>
      <c r="E531">
        <f>IFERROR(IF(C531="","",_xlfn.XLOOKUP(C531,STUDENTS!C530:C100527,STUDENTS!F530:F100527)),"update STUDENT sheet")</f>
        <v/>
      </c>
      <c r="F531">
        <f>IFERROR(IF(D531="","",_xlfn.XLOOKUP(D531,STUDENTS!D530:D100527,STUDENTS!G530:G100527)),"update STUDENT sheet")</f>
        <v/>
      </c>
      <c r="G531">
        <f>IFERROR(IF(E531="","",_xlfn.XLOOKUP(E531,STUDENTS!F530:F100527,STUDENTS!H530:H100527)),"update STUDENT sheet")</f>
        <v/>
      </c>
    </row>
    <row r="532">
      <c r="B532">
        <f>IF(STUDENTS!B531="","",STUDENTS!B531)</f>
        <v/>
      </c>
      <c r="C532">
        <f>IFERROR(IF(B532="","",_xlfn.XLOOKUP(B532,STUDENTS!$B$3:$B$1048576,STUDENTS!$C$3:$C$1048576)),"Enter a registered reg. no")</f>
        <v/>
      </c>
      <c r="D532">
        <f>IFERROR(IF(B532="","",_xlfn.XLOOKUP(B532,STUDENTS!B531:B100528,STUDENTS!D531:D100528)),"update STUDENT sheet")</f>
        <v/>
      </c>
      <c r="E532">
        <f>IFERROR(IF(C532="","",_xlfn.XLOOKUP(C532,STUDENTS!C531:C100528,STUDENTS!F531:F100528)),"update STUDENT sheet")</f>
        <v/>
      </c>
      <c r="F532">
        <f>IFERROR(IF(D532="","",_xlfn.XLOOKUP(D532,STUDENTS!D531:D100528,STUDENTS!G531:G100528)),"update STUDENT sheet")</f>
        <v/>
      </c>
      <c r="G532">
        <f>IFERROR(IF(E532="","",_xlfn.XLOOKUP(E532,STUDENTS!F531:F100528,STUDENTS!H531:H100528)),"update STUDENT sheet")</f>
        <v/>
      </c>
    </row>
    <row r="533">
      <c r="B533">
        <f>IF(STUDENTS!B532="","",STUDENTS!B532)</f>
        <v/>
      </c>
      <c r="C533">
        <f>IFERROR(IF(B533="","",_xlfn.XLOOKUP(B533,STUDENTS!$B$3:$B$1048576,STUDENTS!$C$3:$C$1048576)),"Enter a registered reg. no")</f>
        <v/>
      </c>
      <c r="D533">
        <f>IFERROR(IF(B533="","",_xlfn.XLOOKUP(B533,STUDENTS!B532:B100529,STUDENTS!D532:D100529)),"update STUDENT sheet")</f>
        <v/>
      </c>
      <c r="E533">
        <f>IFERROR(IF(C533="","",_xlfn.XLOOKUP(C533,STUDENTS!C532:C100529,STUDENTS!F532:F100529)),"update STUDENT sheet")</f>
        <v/>
      </c>
      <c r="F533">
        <f>IFERROR(IF(D533="","",_xlfn.XLOOKUP(D533,STUDENTS!D532:D100529,STUDENTS!G532:G100529)),"update STUDENT sheet")</f>
        <v/>
      </c>
      <c r="G533">
        <f>IFERROR(IF(E533="","",_xlfn.XLOOKUP(E533,STUDENTS!F532:F100529,STUDENTS!H532:H100529)),"update STUDENT sheet")</f>
        <v/>
      </c>
    </row>
    <row r="534">
      <c r="B534">
        <f>IF(STUDENTS!B533="","",STUDENTS!B533)</f>
        <v/>
      </c>
      <c r="C534">
        <f>IFERROR(IF(B534="","",_xlfn.XLOOKUP(B534,STUDENTS!$B$3:$B$1048576,STUDENTS!$C$3:$C$1048576)),"Enter a registered reg. no")</f>
        <v/>
      </c>
      <c r="D534">
        <f>IFERROR(IF(B534="","",_xlfn.XLOOKUP(B534,STUDENTS!B533:B100530,STUDENTS!D533:D100530)),"update STUDENT sheet")</f>
        <v/>
      </c>
      <c r="E534">
        <f>IFERROR(IF(C534="","",_xlfn.XLOOKUP(C534,STUDENTS!C533:C100530,STUDENTS!F533:F100530)),"update STUDENT sheet")</f>
        <v/>
      </c>
      <c r="F534">
        <f>IFERROR(IF(D534="","",_xlfn.XLOOKUP(D534,STUDENTS!D533:D100530,STUDENTS!G533:G100530)),"update STUDENT sheet")</f>
        <v/>
      </c>
      <c r="G534">
        <f>IFERROR(IF(E534="","",_xlfn.XLOOKUP(E534,STUDENTS!F533:F100530,STUDENTS!H533:H100530)),"update STUDENT sheet")</f>
        <v/>
      </c>
    </row>
    <row r="535">
      <c r="B535">
        <f>IF(STUDENTS!B534="","",STUDENTS!B534)</f>
        <v/>
      </c>
      <c r="C535">
        <f>IFERROR(IF(B535="","",_xlfn.XLOOKUP(B535,STUDENTS!$B$3:$B$1048576,STUDENTS!$C$3:$C$1048576)),"Enter a registered reg. no")</f>
        <v/>
      </c>
      <c r="D535">
        <f>IFERROR(IF(B535="","",_xlfn.XLOOKUP(B535,STUDENTS!B534:B100531,STUDENTS!D534:D100531)),"update STUDENT sheet")</f>
        <v/>
      </c>
      <c r="E535">
        <f>IFERROR(IF(C535="","",_xlfn.XLOOKUP(C535,STUDENTS!C534:C100531,STUDENTS!F534:F100531)),"update STUDENT sheet")</f>
        <v/>
      </c>
      <c r="F535">
        <f>IFERROR(IF(D535="","",_xlfn.XLOOKUP(D535,STUDENTS!D534:D100531,STUDENTS!G534:G100531)),"update STUDENT sheet")</f>
        <v/>
      </c>
      <c r="G535">
        <f>IFERROR(IF(E535="","",_xlfn.XLOOKUP(E535,STUDENTS!F534:F100531,STUDENTS!H534:H100531)),"update STUDENT sheet")</f>
        <v/>
      </c>
    </row>
    <row r="536">
      <c r="B536">
        <f>IF(STUDENTS!B535="","",STUDENTS!B535)</f>
        <v/>
      </c>
      <c r="C536">
        <f>IFERROR(IF(B536="","",_xlfn.XLOOKUP(B536,STUDENTS!$B$3:$B$1048576,STUDENTS!$C$3:$C$1048576)),"Enter a registered reg. no")</f>
        <v/>
      </c>
      <c r="D536">
        <f>IFERROR(IF(B536="","",_xlfn.XLOOKUP(B536,STUDENTS!B535:B100532,STUDENTS!D535:D100532)),"update STUDENT sheet")</f>
        <v/>
      </c>
      <c r="E536">
        <f>IFERROR(IF(C536="","",_xlfn.XLOOKUP(C536,STUDENTS!C535:C100532,STUDENTS!F535:F100532)),"update STUDENT sheet")</f>
        <v/>
      </c>
      <c r="F536">
        <f>IFERROR(IF(D536="","",_xlfn.XLOOKUP(D536,STUDENTS!D535:D100532,STUDENTS!G535:G100532)),"update STUDENT sheet")</f>
        <v/>
      </c>
      <c r="G536">
        <f>IFERROR(IF(E536="","",_xlfn.XLOOKUP(E536,STUDENTS!F535:F100532,STUDENTS!H535:H100532)),"update STUDENT sheet")</f>
        <v/>
      </c>
    </row>
    <row r="537">
      <c r="B537">
        <f>IF(STUDENTS!B536="","",STUDENTS!B536)</f>
        <v/>
      </c>
      <c r="C537">
        <f>IFERROR(IF(B537="","",_xlfn.XLOOKUP(B537,STUDENTS!$B$3:$B$1048576,STUDENTS!$C$3:$C$1048576)),"Enter a registered reg. no")</f>
        <v/>
      </c>
      <c r="D537">
        <f>IFERROR(IF(B537="","",_xlfn.XLOOKUP(B537,STUDENTS!B536:B100533,STUDENTS!D536:D100533)),"update STUDENT sheet")</f>
        <v/>
      </c>
      <c r="E537">
        <f>IFERROR(IF(C537="","",_xlfn.XLOOKUP(C537,STUDENTS!C536:C100533,STUDENTS!F536:F100533)),"update STUDENT sheet")</f>
        <v/>
      </c>
      <c r="F537">
        <f>IFERROR(IF(D537="","",_xlfn.XLOOKUP(D537,STUDENTS!D536:D100533,STUDENTS!G536:G100533)),"update STUDENT sheet")</f>
        <v/>
      </c>
      <c r="G537">
        <f>IFERROR(IF(E537="","",_xlfn.XLOOKUP(E537,STUDENTS!F536:F100533,STUDENTS!H536:H100533)),"update STUDENT sheet")</f>
        <v/>
      </c>
    </row>
    <row r="538">
      <c r="B538">
        <f>IF(STUDENTS!B537="","",STUDENTS!B537)</f>
        <v/>
      </c>
      <c r="C538">
        <f>IFERROR(IF(B538="","",_xlfn.XLOOKUP(B538,STUDENTS!$B$3:$B$1048576,STUDENTS!$C$3:$C$1048576)),"Enter a registered reg. no")</f>
        <v/>
      </c>
      <c r="D538">
        <f>IFERROR(IF(B538="","",_xlfn.XLOOKUP(B538,STUDENTS!B537:B100534,STUDENTS!D537:D100534)),"update STUDENT sheet")</f>
        <v/>
      </c>
      <c r="E538">
        <f>IFERROR(IF(C538="","",_xlfn.XLOOKUP(C538,STUDENTS!C537:C100534,STUDENTS!F537:F100534)),"update STUDENT sheet")</f>
        <v/>
      </c>
      <c r="F538">
        <f>IFERROR(IF(D538="","",_xlfn.XLOOKUP(D538,STUDENTS!D537:D100534,STUDENTS!G537:G100534)),"update STUDENT sheet")</f>
        <v/>
      </c>
      <c r="G538">
        <f>IFERROR(IF(E538="","",_xlfn.XLOOKUP(E538,STUDENTS!F537:F100534,STUDENTS!H537:H100534)),"update STUDENT sheet")</f>
        <v/>
      </c>
    </row>
    <row r="539">
      <c r="B539">
        <f>IF(STUDENTS!B538="","",STUDENTS!B538)</f>
        <v/>
      </c>
      <c r="C539">
        <f>IFERROR(IF(B539="","",_xlfn.XLOOKUP(B539,STUDENTS!$B$3:$B$1048576,STUDENTS!$C$3:$C$1048576)),"Enter a registered reg. no")</f>
        <v/>
      </c>
      <c r="D539">
        <f>IFERROR(IF(B539="","",_xlfn.XLOOKUP(B539,STUDENTS!B538:B100535,STUDENTS!D538:D100535)),"update STUDENT sheet")</f>
        <v/>
      </c>
      <c r="E539">
        <f>IFERROR(IF(C539="","",_xlfn.XLOOKUP(C539,STUDENTS!C538:C100535,STUDENTS!F538:F100535)),"update STUDENT sheet")</f>
        <v/>
      </c>
      <c r="F539">
        <f>IFERROR(IF(D539="","",_xlfn.XLOOKUP(D539,STUDENTS!D538:D100535,STUDENTS!G538:G100535)),"update STUDENT sheet")</f>
        <v/>
      </c>
      <c r="G539">
        <f>IFERROR(IF(E539="","",_xlfn.XLOOKUP(E539,STUDENTS!F538:F100535,STUDENTS!H538:H100535)),"update STUDENT sheet")</f>
        <v/>
      </c>
    </row>
    <row r="540">
      <c r="B540">
        <f>IF(STUDENTS!B539="","",STUDENTS!B539)</f>
        <v/>
      </c>
      <c r="C540">
        <f>IFERROR(IF(B540="","",_xlfn.XLOOKUP(B540,STUDENTS!$B$3:$B$1048576,STUDENTS!$C$3:$C$1048576)),"Enter a registered reg. no")</f>
        <v/>
      </c>
      <c r="D540">
        <f>IFERROR(IF(B540="","",_xlfn.XLOOKUP(B540,STUDENTS!B539:B100536,STUDENTS!D539:D100536)),"update STUDENT sheet")</f>
        <v/>
      </c>
      <c r="E540">
        <f>IFERROR(IF(C540="","",_xlfn.XLOOKUP(C540,STUDENTS!C539:C100536,STUDENTS!F539:F100536)),"update STUDENT sheet")</f>
        <v/>
      </c>
      <c r="F540">
        <f>IFERROR(IF(D540="","",_xlfn.XLOOKUP(D540,STUDENTS!D539:D100536,STUDENTS!G539:G100536)),"update STUDENT sheet")</f>
        <v/>
      </c>
      <c r="G540">
        <f>IFERROR(IF(E540="","",_xlfn.XLOOKUP(E540,STUDENTS!F539:F100536,STUDENTS!H539:H100536)),"update STUDENT sheet")</f>
        <v/>
      </c>
    </row>
    <row r="541">
      <c r="B541">
        <f>IF(STUDENTS!B540="","",STUDENTS!B540)</f>
        <v/>
      </c>
      <c r="C541">
        <f>IFERROR(IF(B541="","",_xlfn.XLOOKUP(B541,STUDENTS!$B$3:$B$1048576,STUDENTS!$C$3:$C$1048576)),"Enter a registered reg. no")</f>
        <v/>
      </c>
      <c r="D541">
        <f>IFERROR(IF(B541="","",_xlfn.XLOOKUP(B541,STUDENTS!B540:B100537,STUDENTS!D540:D100537)),"update STUDENT sheet")</f>
        <v/>
      </c>
      <c r="E541">
        <f>IFERROR(IF(C541="","",_xlfn.XLOOKUP(C541,STUDENTS!C540:C100537,STUDENTS!F540:F100537)),"update STUDENT sheet")</f>
        <v/>
      </c>
      <c r="F541">
        <f>IFERROR(IF(D541="","",_xlfn.XLOOKUP(D541,STUDENTS!D540:D100537,STUDENTS!G540:G100537)),"update STUDENT sheet")</f>
        <v/>
      </c>
      <c r="G541">
        <f>IFERROR(IF(E541="","",_xlfn.XLOOKUP(E541,STUDENTS!F540:F100537,STUDENTS!H540:H100537)),"update STUDENT sheet")</f>
        <v/>
      </c>
    </row>
    <row r="542">
      <c r="B542">
        <f>IF(STUDENTS!B541="","",STUDENTS!B541)</f>
        <v/>
      </c>
      <c r="C542">
        <f>IFERROR(IF(B542="","",_xlfn.XLOOKUP(B542,STUDENTS!$B$3:$B$1048576,STUDENTS!$C$3:$C$1048576)),"Enter a registered reg. no")</f>
        <v/>
      </c>
      <c r="D542">
        <f>IFERROR(IF(B542="","",_xlfn.XLOOKUP(B542,STUDENTS!B541:B100538,STUDENTS!D541:D100538)),"update STUDENT sheet")</f>
        <v/>
      </c>
      <c r="E542">
        <f>IFERROR(IF(C542="","",_xlfn.XLOOKUP(C542,STUDENTS!C541:C100538,STUDENTS!F541:F100538)),"update STUDENT sheet")</f>
        <v/>
      </c>
      <c r="F542">
        <f>IFERROR(IF(D542="","",_xlfn.XLOOKUP(D542,STUDENTS!D541:D100538,STUDENTS!G541:G100538)),"update STUDENT sheet")</f>
        <v/>
      </c>
      <c r="G542">
        <f>IFERROR(IF(E542="","",_xlfn.XLOOKUP(E542,STUDENTS!F541:F100538,STUDENTS!H541:H100538)),"update STUDENT sheet")</f>
        <v/>
      </c>
    </row>
    <row r="543">
      <c r="B543">
        <f>IF(STUDENTS!B542="","",STUDENTS!B542)</f>
        <v/>
      </c>
      <c r="C543">
        <f>IFERROR(IF(B543="","",_xlfn.XLOOKUP(B543,STUDENTS!$B$3:$B$1048576,STUDENTS!$C$3:$C$1048576)),"Enter a registered reg. no")</f>
        <v/>
      </c>
      <c r="D543">
        <f>IFERROR(IF(B543="","",_xlfn.XLOOKUP(B543,STUDENTS!B542:B100539,STUDENTS!D542:D100539)),"update STUDENT sheet")</f>
        <v/>
      </c>
      <c r="E543">
        <f>IFERROR(IF(C543="","",_xlfn.XLOOKUP(C543,STUDENTS!C542:C100539,STUDENTS!F542:F100539)),"update STUDENT sheet")</f>
        <v/>
      </c>
      <c r="F543">
        <f>IFERROR(IF(D543="","",_xlfn.XLOOKUP(D543,STUDENTS!D542:D100539,STUDENTS!G542:G100539)),"update STUDENT sheet")</f>
        <v/>
      </c>
      <c r="G543">
        <f>IFERROR(IF(E543="","",_xlfn.XLOOKUP(E543,STUDENTS!F542:F100539,STUDENTS!H542:H100539)),"update STUDENT sheet")</f>
        <v/>
      </c>
    </row>
    <row r="544">
      <c r="B544">
        <f>IF(STUDENTS!B543="","",STUDENTS!B543)</f>
        <v/>
      </c>
      <c r="C544">
        <f>IFERROR(IF(B544="","",_xlfn.XLOOKUP(B544,STUDENTS!$B$3:$B$1048576,STUDENTS!$C$3:$C$1048576)),"Enter a registered reg. no")</f>
        <v/>
      </c>
      <c r="D544">
        <f>IFERROR(IF(B544="","",_xlfn.XLOOKUP(B544,STUDENTS!B543:B100540,STUDENTS!D543:D100540)),"update STUDENT sheet")</f>
        <v/>
      </c>
      <c r="E544">
        <f>IFERROR(IF(C544="","",_xlfn.XLOOKUP(C544,STUDENTS!C543:C100540,STUDENTS!F543:F100540)),"update STUDENT sheet")</f>
        <v/>
      </c>
      <c r="F544">
        <f>IFERROR(IF(D544="","",_xlfn.XLOOKUP(D544,STUDENTS!D543:D100540,STUDENTS!G543:G100540)),"update STUDENT sheet")</f>
        <v/>
      </c>
      <c r="G544">
        <f>IFERROR(IF(E544="","",_xlfn.XLOOKUP(E544,STUDENTS!F543:F100540,STUDENTS!H543:H100540)),"update STUDENT sheet")</f>
        <v/>
      </c>
    </row>
    <row r="545">
      <c r="B545">
        <f>IF(STUDENTS!B544="","",STUDENTS!B544)</f>
        <v/>
      </c>
      <c r="C545">
        <f>IFERROR(IF(B545="","",_xlfn.XLOOKUP(B545,STUDENTS!$B$3:$B$1048576,STUDENTS!$C$3:$C$1048576)),"Enter a registered reg. no")</f>
        <v/>
      </c>
      <c r="D545">
        <f>IFERROR(IF(B545="","",_xlfn.XLOOKUP(B545,STUDENTS!B544:B100541,STUDENTS!D544:D100541)),"update STUDENT sheet")</f>
        <v/>
      </c>
      <c r="E545">
        <f>IFERROR(IF(C545="","",_xlfn.XLOOKUP(C545,STUDENTS!C544:C100541,STUDENTS!F544:F100541)),"update STUDENT sheet")</f>
        <v/>
      </c>
      <c r="F545">
        <f>IFERROR(IF(D545="","",_xlfn.XLOOKUP(D545,STUDENTS!D544:D100541,STUDENTS!G544:G100541)),"update STUDENT sheet")</f>
        <v/>
      </c>
      <c r="G545">
        <f>IFERROR(IF(E545="","",_xlfn.XLOOKUP(E545,STUDENTS!F544:F100541,STUDENTS!H544:H100541)),"update STUDENT sheet")</f>
        <v/>
      </c>
    </row>
    <row r="546">
      <c r="B546">
        <f>IF(STUDENTS!B545="","",STUDENTS!B545)</f>
        <v/>
      </c>
      <c r="C546">
        <f>IFERROR(IF(B546="","",_xlfn.XLOOKUP(B546,STUDENTS!$B$3:$B$1048576,STUDENTS!$C$3:$C$1048576)),"Enter a registered reg. no")</f>
        <v/>
      </c>
      <c r="D546">
        <f>IFERROR(IF(B546="","",_xlfn.XLOOKUP(B546,STUDENTS!B545:B100542,STUDENTS!D545:D100542)),"update STUDENT sheet")</f>
        <v/>
      </c>
      <c r="E546">
        <f>IFERROR(IF(C546="","",_xlfn.XLOOKUP(C546,STUDENTS!C545:C100542,STUDENTS!F545:F100542)),"update STUDENT sheet")</f>
        <v/>
      </c>
      <c r="F546">
        <f>IFERROR(IF(D546="","",_xlfn.XLOOKUP(D546,STUDENTS!D545:D100542,STUDENTS!G545:G100542)),"update STUDENT sheet")</f>
        <v/>
      </c>
      <c r="G546">
        <f>IFERROR(IF(E546="","",_xlfn.XLOOKUP(E546,STUDENTS!F545:F100542,STUDENTS!H545:H100542)),"update STUDENT sheet")</f>
        <v/>
      </c>
    </row>
    <row r="547">
      <c r="B547">
        <f>IF(STUDENTS!B546="","",STUDENTS!B546)</f>
        <v/>
      </c>
      <c r="C547">
        <f>IFERROR(IF(B547="","",_xlfn.XLOOKUP(B547,STUDENTS!$B$3:$B$1048576,STUDENTS!$C$3:$C$1048576)),"Enter a registered reg. no")</f>
        <v/>
      </c>
      <c r="D547">
        <f>IFERROR(IF(B547="","",_xlfn.XLOOKUP(B547,STUDENTS!B546:B100543,STUDENTS!D546:D100543)),"update STUDENT sheet")</f>
        <v/>
      </c>
      <c r="E547">
        <f>IFERROR(IF(C547="","",_xlfn.XLOOKUP(C547,STUDENTS!C546:C100543,STUDENTS!F546:F100543)),"update STUDENT sheet")</f>
        <v/>
      </c>
      <c r="F547">
        <f>IFERROR(IF(D547="","",_xlfn.XLOOKUP(D547,STUDENTS!D546:D100543,STUDENTS!G546:G100543)),"update STUDENT sheet")</f>
        <v/>
      </c>
      <c r="G547">
        <f>IFERROR(IF(E547="","",_xlfn.XLOOKUP(E547,STUDENTS!F546:F100543,STUDENTS!H546:H100543)),"update STUDENT sheet")</f>
        <v/>
      </c>
    </row>
    <row r="548">
      <c r="B548">
        <f>IF(STUDENTS!B547="","",STUDENTS!B547)</f>
        <v/>
      </c>
      <c r="C548">
        <f>IFERROR(IF(B548="","",_xlfn.XLOOKUP(B548,STUDENTS!$B$3:$B$1048576,STUDENTS!$C$3:$C$1048576)),"Enter a registered reg. no")</f>
        <v/>
      </c>
      <c r="D548">
        <f>IFERROR(IF(B548="","",_xlfn.XLOOKUP(B548,STUDENTS!B547:B100544,STUDENTS!D547:D100544)),"update STUDENT sheet")</f>
        <v/>
      </c>
      <c r="E548">
        <f>IFERROR(IF(C548="","",_xlfn.XLOOKUP(C548,STUDENTS!C547:C100544,STUDENTS!F547:F100544)),"update STUDENT sheet")</f>
        <v/>
      </c>
      <c r="F548">
        <f>IFERROR(IF(D548="","",_xlfn.XLOOKUP(D548,STUDENTS!D547:D100544,STUDENTS!G547:G100544)),"update STUDENT sheet")</f>
        <v/>
      </c>
      <c r="G548">
        <f>IFERROR(IF(E548="","",_xlfn.XLOOKUP(E548,STUDENTS!F547:F100544,STUDENTS!H547:H100544)),"update STUDENT sheet")</f>
        <v/>
      </c>
    </row>
    <row r="549">
      <c r="B549">
        <f>IF(STUDENTS!B548="","",STUDENTS!B548)</f>
        <v/>
      </c>
      <c r="C549">
        <f>IFERROR(IF(B549="","",_xlfn.XLOOKUP(B549,STUDENTS!$B$3:$B$1048576,STUDENTS!$C$3:$C$1048576)),"Enter a registered reg. no")</f>
        <v/>
      </c>
      <c r="D549">
        <f>IFERROR(IF(B549="","",_xlfn.XLOOKUP(B549,STUDENTS!B548:B100545,STUDENTS!D548:D100545)),"update STUDENT sheet")</f>
        <v/>
      </c>
      <c r="E549">
        <f>IFERROR(IF(C549="","",_xlfn.XLOOKUP(C549,STUDENTS!C548:C100545,STUDENTS!F548:F100545)),"update STUDENT sheet")</f>
        <v/>
      </c>
      <c r="F549">
        <f>IFERROR(IF(D549="","",_xlfn.XLOOKUP(D549,STUDENTS!D548:D100545,STUDENTS!G548:G100545)),"update STUDENT sheet")</f>
        <v/>
      </c>
      <c r="G549">
        <f>IFERROR(IF(E549="","",_xlfn.XLOOKUP(E549,STUDENTS!F548:F100545,STUDENTS!H548:H100545)),"update STUDENT sheet")</f>
        <v/>
      </c>
    </row>
    <row r="550">
      <c r="B550">
        <f>IF(STUDENTS!B549="","",STUDENTS!B549)</f>
        <v/>
      </c>
      <c r="C550">
        <f>IFERROR(IF(B550="","",_xlfn.XLOOKUP(B550,STUDENTS!$B$3:$B$1048576,STUDENTS!$C$3:$C$1048576)),"Enter a registered reg. no")</f>
        <v/>
      </c>
      <c r="D550">
        <f>IFERROR(IF(B550="","",_xlfn.XLOOKUP(B550,STUDENTS!B549:B100546,STUDENTS!D549:D100546)),"update STUDENT sheet")</f>
        <v/>
      </c>
      <c r="E550">
        <f>IFERROR(IF(C550="","",_xlfn.XLOOKUP(C550,STUDENTS!C549:C100546,STUDENTS!F549:F100546)),"update STUDENT sheet")</f>
        <v/>
      </c>
      <c r="F550">
        <f>IFERROR(IF(D550="","",_xlfn.XLOOKUP(D550,STUDENTS!D549:D100546,STUDENTS!G549:G100546)),"update STUDENT sheet")</f>
        <v/>
      </c>
      <c r="G550">
        <f>IFERROR(IF(E550="","",_xlfn.XLOOKUP(E550,STUDENTS!F549:F100546,STUDENTS!H549:H100546)),"update STUDENT sheet")</f>
        <v/>
      </c>
    </row>
    <row r="551">
      <c r="B551">
        <f>IF(STUDENTS!B550="","",STUDENTS!B550)</f>
        <v/>
      </c>
      <c r="C551">
        <f>IFERROR(IF(B551="","",_xlfn.XLOOKUP(B551,STUDENTS!$B$3:$B$1048576,STUDENTS!$C$3:$C$1048576)),"Enter a registered reg. no")</f>
        <v/>
      </c>
      <c r="D551">
        <f>IFERROR(IF(B551="","",_xlfn.XLOOKUP(B551,STUDENTS!B550:B100547,STUDENTS!D550:D100547)),"update STUDENT sheet")</f>
        <v/>
      </c>
      <c r="E551">
        <f>IFERROR(IF(C551="","",_xlfn.XLOOKUP(C551,STUDENTS!C550:C100547,STUDENTS!F550:F100547)),"update STUDENT sheet")</f>
        <v/>
      </c>
      <c r="F551">
        <f>IFERROR(IF(D551="","",_xlfn.XLOOKUP(D551,STUDENTS!D550:D100547,STUDENTS!G550:G100547)),"update STUDENT sheet")</f>
        <v/>
      </c>
      <c r="G551">
        <f>IFERROR(IF(E551="","",_xlfn.XLOOKUP(E551,STUDENTS!F550:F100547,STUDENTS!H550:H100547)),"update STUDENT sheet")</f>
        <v/>
      </c>
    </row>
    <row r="552">
      <c r="B552">
        <f>IF(STUDENTS!B551="","",STUDENTS!B551)</f>
        <v/>
      </c>
      <c r="C552">
        <f>IFERROR(IF(B552="","",_xlfn.XLOOKUP(B552,STUDENTS!$B$3:$B$1048576,STUDENTS!$C$3:$C$1048576)),"Enter a registered reg. no")</f>
        <v/>
      </c>
      <c r="D552">
        <f>IFERROR(IF(B552="","",_xlfn.XLOOKUP(B552,STUDENTS!B551:B100548,STUDENTS!D551:D100548)),"update STUDENT sheet")</f>
        <v/>
      </c>
      <c r="E552">
        <f>IFERROR(IF(C552="","",_xlfn.XLOOKUP(C552,STUDENTS!C551:C100548,STUDENTS!F551:F100548)),"update STUDENT sheet")</f>
        <v/>
      </c>
      <c r="F552">
        <f>IFERROR(IF(D552="","",_xlfn.XLOOKUP(D552,STUDENTS!D551:D100548,STUDENTS!G551:G100548)),"update STUDENT sheet")</f>
        <v/>
      </c>
      <c r="G552">
        <f>IFERROR(IF(E552="","",_xlfn.XLOOKUP(E552,STUDENTS!F551:F100548,STUDENTS!H551:H100548)),"update STUDENT sheet")</f>
        <v/>
      </c>
    </row>
    <row r="553">
      <c r="B553">
        <f>IF(STUDENTS!B552="","",STUDENTS!B552)</f>
        <v/>
      </c>
      <c r="C553">
        <f>IFERROR(IF(B553="","",_xlfn.XLOOKUP(B553,STUDENTS!$B$3:$B$1048576,STUDENTS!$C$3:$C$1048576)),"Enter a registered reg. no")</f>
        <v/>
      </c>
      <c r="D553">
        <f>IFERROR(IF(B553="","",_xlfn.XLOOKUP(B553,STUDENTS!B552:B100549,STUDENTS!D552:D100549)),"update STUDENT sheet")</f>
        <v/>
      </c>
      <c r="E553">
        <f>IFERROR(IF(C553="","",_xlfn.XLOOKUP(C553,STUDENTS!C552:C100549,STUDENTS!F552:F100549)),"update STUDENT sheet")</f>
        <v/>
      </c>
      <c r="F553">
        <f>IFERROR(IF(D553="","",_xlfn.XLOOKUP(D553,STUDENTS!D552:D100549,STUDENTS!G552:G100549)),"update STUDENT sheet")</f>
        <v/>
      </c>
      <c r="G553">
        <f>IFERROR(IF(E553="","",_xlfn.XLOOKUP(E553,STUDENTS!F552:F100549,STUDENTS!H552:H100549)),"update STUDENT sheet")</f>
        <v/>
      </c>
    </row>
    <row r="554">
      <c r="B554">
        <f>IF(STUDENTS!B553="","",STUDENTS!B553)</f>
        <v/>
      </c>
      <c r="C554">
        <f>IFERROR(IF(B554="","",_xlfn.XLOOKUP(B554,STUDENTS!$B$3:$B$1048576,STUDENTS!$C$3:$C$1048576)),"Enter a registered reg. no")</f>
        <v/>
      </c>
      <c r="D554">
        <f>IFERROR(IF(B554="","",_xlfn.XLOOKUP(B554,STUDENTS!B553:B100550,STUDENTS!D553:D100550)),"update STUDENT sheet")</f>
        <v/>
      </c>
      <c r="E554">
        <f>IFERROR(IF(C554="","",_xlfn.XLOOKUP(C554,STUDENTS!C553:C100550,STUDENTS!F553:F100550)),"update STUDENT sheet")</f>
        <v/>
      </c>
      <c r="F554">
        <f>IFERROR(IF(D554="","",_xlfn.XLOOKUP(D554,STUDENTS!D553:D100550,STUDENTS!G553:G100550)),"update STUDENT sheet")</f>
        <v/>
      </c>
      <c r="G554">
        <f>IFERROR(IF(E554="","",_xlfn.XLOOKUP(E554,STUDENTS!F553:F100550,STUDENTS!H553:H100550)),"update STUDENT sheet")</f>
        <v/>
      </c>
    </row>
    <row r="555">
      <c r="B555">
        <f>IF(STUDENTS!B554="","",STUDENTS!B554)</f>
        <v/>
      </c>
      <c r="C555">
        <f>IFERROR(IF(B555="","",_xlfn.XLOOKUP(B555,STUDENTS!$B$3:$B$1048576,STUDENTS!$C$3:$C$1048576)),"Enter a registered reg. no")</f>
        <v/>
      </c>
      <c r="D555">
        <f>IFERROR(IF(B555="","",_xlfn.XLOOKUP(B555,STUDENTS!B554:B100551,STUDENTS!D554:D100551)),"update STUDENT sheet")</f>
        <v/>
      </c>
      <c r="E555">
        <f>IFERROR(IF(C555="","",_xlfn.XLOOKUP(C555,STUDENTS!C554:C100551,STUDENTS!F554:F100551)),"update STUDENT sheet")</f>
        <v/>
      </c>
      <c r="F555">
        <f>IFERROR(IF(D555="","",_xlfn.XLOOKUP(D555,STUDENTS!D554:D100551,STUDENTS!G554:G100551)),"update STUDENT sheet")</f>
        <v/>
      </c>
      <c r="G555">
        <f>IFERROR(IF(E555="","",_xlfn.XLOOKUP(E555,STUDENTS!F554:F100551,STUDENTS!H554:H100551)),"update STUDENT sheet")</f>
        <v/>
      </c>
    </row>
    <row r="556">
      <c r="B556">
        <f>IF(STUDENTS!B555="","",STUDENTS!B555)</f>
        <v/>
      </c>
      <c r="C556">
        <f>IFERROR(IF(B556="","",_xlfn.XLOOKUP(B556,STUDENTS!$B$3:$B$1048576,STUDENTS!$C$3:$C$1048576)),"Enter a registered reg. no")</f>
        <v/>
      </c>
      <c r="D556">
        <f>IFERROR(IF(B556="","",_xlfn.XLOOKUP(B556,STUDENTS!B555:B100552,STUDENTS!D555:D100552)),"update STUDENT sheet")</f>
        <v/>
      </c>
      <c r="E556">
        <f>IFERROR(IF(C556="","",_xlfn.XLOOKUP(C556,STUDENTS!C555:C100552,STUDENTS!F555:F100552)),"update STUDENT sheet")</f>
        <v/>
      </c>
      <c r="F556">
        <f>IFERROR(IF(D556="","",_xlfn.XLOOKUP(D556,STUDENTS!D555:D100552,STUDENTS!G555:G100552)),"update STUDENT sheet")</f>
        <v/>
      </c>
      <c r="G556">
        <f>IFERROR(IF(E556="","",_xlfn.XLOOKUP(E556,STUDENTS!F555:F100552,STUDENTS!H555:H100552)),"update STUDENT sheet")</f>
        <v/>
      </c>
    </row>
    <row r="557">
      <c r="B557">
        <f>IF(STUDENTS!B556="","",STUDENTS!B556)</f>
        <v/>
      </c>
      <c r="C557">
        <f>IFERROR(IF(B557="","",_xlfn.XLOOKUP(B557,STUDENTS!$B$3:$B$1048576,STUDENTS!$C$3:$C$1048576)),"Enter a registered reg. no")</f>
        <v/>
      </c>
      <c r="D557">
        <f>IFERROR(IF(B557="","",_xlfn.XLOOKUP(B557,STUDENTS!B556:B100553,STUDENTS!D556:D100553)),"update STUDENT sheet")</f>
        <v/>
      </c>
      <c r="E557">
        <f>IFERROR(IF(C557="","",_xlfn.XLOOKUP(C557,STUDENTS!C556:C100553,STUDENTS!F556:F100553)),"update STUDENT sheet")</f>
        <v/>
      </c>
      <c r="F557">
        <f>IFERROR(IF(D557="","",_xlfn.XLOOKUP(D557,STUDENTS!D556:D100553,STUDENTS!G556:G100553)),"update STUDENT sheet")</f>
        <v/>
      </c>
      <c r="G557">
        <f>IFERROR(IF(E557="","",_xlfn.XLOOKUP(E557,STUDENTS!F556:F100553,STUDENTS!H556:H100553)),"update STUDENT sheet")</f>
        <v/>
      </c>
    </row>
    <row r="558">
      <c r="B558">
        <f>IF(STUDENTS!B557="","",STUDENTS!B557)</f>
        <v/>
      </c>
      <c r="C558">
        <f>IFERROR(IF(B558="","",_xlfn.XLOOKUP(B558,STUDENTS!$B$3:$B$1048576,STUDENTS!$C$3:$C$1048576)),"Enter a registered reg. no")</f>
        <v/>
      </c>
      <c r="D558">
        <f>IFERROR(IF(B558="","",_xlfn.XLOOKUP(B558,STUDENTS!B557:B100554,STUDENTS!D557:D100554)),"update STUDENT sheet")</f>
        <v/>
      </c>
      <c r="E558">
        <f>IFERROR(IF(C558="","",_xlfn.XLOOKUP(C558,STUDENTS!C557:C100554,STUDENTS!F557:F100554)),"update STUDENT sheet")</f>
        <v/>
      </c>
      <c r="F558">
        <f>IFERROR(IF(D558="","",_xlfn.XLOOKUP(D558,STUDENTS!D557:D100554,STUDENTS!G557:G100554)),"update STUDENT sheet")</f>
        <v/>
      </c>
      <c r="G558">
        <f>IFERROR(IF(E558="","",_xlfn.XLOOKUP(E558,STUDENTS!F557:F100554,STUDENTS!H557:H100554)),"update STUDENT sheet")</f>
        <v/>
      </c>
    </row>
    <row r="559">
      <c r="B559">
        <f>IF(STUDENTS!B558="","",STUDENTS!B558)</f>
        <v/>
      </c>
      <c r="C559">
        <f>IFERROR(IF(B559="","",_xlfn.XLOOKUP(B559,STUDENTS!$B$3:$B$1048576,STUDENTS!$C$3:$C$1048576)),"Enter a registered reg. no")</f>
        <v/>
      </c>
      <c r="D559">
        <f>IFERROR(IF(B559="","",_xlfn.XLOOKUP(B559,STUDENTS!B558:B100555,STUDENTS!D558:D100555)),"update STUDENT sheet")</f>
        <v/>
      </c>
      <c r="E559">
        <f>IFERROR(IF(C559="","",_xlfn.XLOOKUP(C559,STUDENTS!C558:C100555,STUDENTS!F558:F100555)),"update STUDENT sheet")</f>
        <v/>
      </c>
      <c r="F559">
        <f>IFERROR(IF(D559="","",_xlfn.XLOOKUP(D559,STUDENTS!D558:D100555,STUDENTS!G558:G100555)),"update STUDENT sheet")</f>
        <v/>
      </c>
      <c r="G559">
        <f>IFERROR(IF(E559="","",_xlfn.XLOOKUP(E559,STUDENTS!F558:F100555,STUDENTS!H558:H100555)),"update STUDENT sheet")</f>
        <v/>
      </c>
    </row>
    <row r="560">
      <c r="B560">
        <f>IF(STUDENTS!B559="","",STUDENTS!B559)</f>
        <v/>
      </c>
      <c r="C560">
        <f>IFERROR(IF(B560="","",_xlfn.XLOOKUP(B560,STUDENTS!$B$3:$B$1048576,STUDENTS!$C$3:$C$1048576)),"Enter a registered reg. no")</f>
        <v/>
      </c>
      <c r="D560">
        <f>IFERROR(IF(B560="","",_xlfn.XLOOKUP(B560,STUDENTS!B559:B100556,STUDENTS!D559:D100556)),"update STUDENT sheet")</f>
        <v/>
      </c>
      <c r="E560">
        <f>IFERROR(IF(C560="","",_xlfn.XLOOKUP(C560,STUDENTS!C559:C100556,STUDENTS!F559:F100556)),"update STUDENT sheet")</f>
        <v/>
      </c>
      <c r="F560">
        <f>IFERROR(IF(D560="","",_xlfn.XLOOKUP(D560,STUDENTS!D559:D100556,STUDENTS!G559:G100556)),"update STUDENT sheet")</f>
        <v/>
      </c>
      <c r="G560">
        <f>IFERROR(IF(E560="","",_xlfn.XLOOKUP(E560,STUDENTS!F559:F100556,STUDENTS!H559:H100556)),"update STUDENT sheet")</f>
        <v/>
      </c>
    </row>
    <row r="561">
      <c r="B561">
        <f>IF(STUDENTS!B560="","",STUDENTS!B560)</f>
        <v/>
      </c>
      <c r="C561">
        <f>IFERROR(IF(B561="","",_xlfn.XLOOKUP(B561,STUDENTS!$B$3:$B$1048576,STUDENTS!$C$3:$C$1048576)),"Enter a registered reg. no")</f>
        <v/>
      </c>
      <c r="D561">
        <f>IFERROR(IF(B561="","",_xlfn.XLOOKUP(B561,STUDENTS!B560:B100557,STUDENTS!D560:D100557)),"update STUDENT sheet")</f>
        <v/>
      </c>
      <c r="E561">
        <f>IFERROR(IF(C561="","",_xlfn.XLOOKUP(C561,STUDENTS!C560:C100557,STUDENTS!F560:F100557)),"update STUDENT sheet")</f>
        <v/>
      </c>
      <c r="F561">
        <f>IFERROR(IF(D561="","",_xlfn.XLOOKUP(D561,STUDENTS!D560:D100557,STUDENTS!G560:G100557)),"update STUDENT sheet")</f>
        <v/>
      </c>
      <c r="G561">
        <f>IFERROR(IF(E561="","",_xlfn.XLOOKUP(E561,STUDENTS!F560:F100557,STUDENTS!H560:H100557)),"update STUDENT sheet")</f>
        <v/>
      </c>
    </row>
    <row r="562">
      <c r="B562">
        <f>IF(STUDENTS!B561="","",STUDENTS!B561)</f>
        <v/>
      </c>
      <c r="C562">
        <f>IFERROR(IF(B562="","",_xlfn.XLOOKUP(B562,STUDENTS!$B$3:$B$1048576,STUDENTS!$C$3:$C$1048576)),"Enter a registered reg. no")</f>
        <v/>
      </c>
      <c r="D562">
        <f>IFERROR(IF(B562="","",_xlfn.XLOOKUP(B562,STUDENTS!B561:B100558,STUDENTS!D561:D100558)),"update STUDENT sheet")</f>
        <v/>
      </c>
      <c r="E562">
        <f>IFERROR(IF(C562="","",_xlfn.XLOOKUP(C562,STUDENTS!C561:C100558,STUDENTS!F561:F100558)),"update STUDENT sheet")</f>
        <v/>
      </c>
      <c r="F562">
        <f>IFERROR(IF(D562="","",_xlfn.XLOOKUP(D562,STUDENTS!D561:D100558,STUDENTS!G561:G100558)),"update STUDENT sheet")</f>
        <v/>
      </c>
      <c r="G562">
        <f>IFERROR(IF(E562="","",_xlfn.XLOOKUP(E562,STUDENTS!F561:F100558,STUDENTS!H561:H100558)),"update STUDENT sheet")</f>
        <v/>
      </c>
    </row>
    <row r="563">
      <c r="B563">
        <f>IF(STUDENTS!B562="","",STUDENTS!B562)</f>
        <v/>
      </c>
      <c r="C563">
        <f>IFERROR(IF(B563="","",_xlfn.XLOOKUP(B563,STUDENTS!$B$3:$B$1048576,STUDENTS!$C$3:$C$1048576)),"Enter a registered reg. no")</f>
        <v/>
      </c>
      <c r="D563">
        <f>IFERROR(IF(B563="","",_xlfn.XLOOKUP(B563,STUDENTS!B562:B100559,STUDENTS!D562:D100559)),"update STUDENT sheet")</f>
        <v/>
      </c>
      <c r="E563">
        <f>IFERROR(IF(C563="","",_xlfn.XLOOKUP(C563,STUDENTS!C562:C100559,STUDENTS!F562:F100559)),"update STUDENT sheet")</f>
        <v/>
      </c>
      <c r="F563">
        <f>IFERROR(IF(D563="","",_xlfn.XLOOKUP(D563,STUDENTS!D562:D100559,STUDENTS!G562:G100559)),"update STUDENT sheet")</f>
        <v/>
      </c>
      <c r="G563">
        <f>IFERROR(IF(E563="","",_xlfn.XLOOKUP(E563,STUDENTS!F562:F100559,STUDENTS!H562:H100559)),"update STUDENT sheet")</f>
        <v/>
      </c>
    </row>
    <row r="564">
      <c r="B564">
        <f>IF(STUDENTS!B563="","",STUDENTS!B563)</f>
        <v/>
      </c>
      <c r="C564">
        <f>IFERROR(IF(B564="","",_xlfn.XLOOKUP(B564,STUDENTS!$B$3:$B$1048576,STUDENTS!$C$3:$C$1048576)),"Enter a registered reg. no")</f>
        <v/>
      </c>
      <c r="D564">
        <f>IFERROR(IF(B564="","",_xlfn.XLOOKUP(B564,STUDENTS!B563:B100560,STUDENTS!D563:D100560)),"update STUDENT sheet")</f>
        <v/>
      </c>
      <c r="E564">
        <f>IFERROR(IF(C564="","",_xlfn.XLOOKUP(C564,STUDENTS!C563:C100560,STUDENTS!F563:F100560)),"update STUDENT sheet")</f>
        <v/>
      </c>
      <c r="F564">
        <f>IFERROR(IF(D564="","",_xlfn.XLOOKUP(D564,STUDENTS!D563:D100560,STUDENTS!G563:G100560)),"update STUDENT sheet")</f>
        <v/>
      </c>
      <c r="G564">
        <f>IFERROR(IF(E564="","",_xlfn.XLOOKUP(E564,STUDENTS!F563:F100560,STUDENTS!H563:H100560)),"update STUDENT sheet")</f>
        <v/>
      </c>
    </row>
    <row r="565">
      <c r="B565">
        <f>IF(STUDENTS!B564="","",STUDENTS!B564)</f>
        <v/>
      </c>
      <c r="C565">
        <f>IFERROR(IF(B565="","",_xlfn.XLOOKUP(B565,STUDENTS!$B$3:$B$1048576,STUDENTS!$C$3:$C$1048576)),"Enter a registered reg. no")</f>
        <v/>
      </c>
      <c r="D565">
        <f>IFERROR(IF(B565="","",_xlfn.XLOOKUP(B565,STUDENTS!B564:B100561,STUDENTS!D564:D100561)),"update STUDENT sheet")</f>
        <v/>
      </c>
      <c r="E565">
        <f>IFERROR(IF(C565="","",_xlfn.XLOOKUP(C565,STUDENTS!C564:C100561,STUDENTS!F564:F100561)),"update STUDENT sheet")</f>
        <v/>
      </c>
      <c r="F565">
        <f>IFERROR(IF(D565="","",_xlfn.XLOOKUP(D565,STUDENTS!D564:D100561,STUDENTS!G564:G100561)),"update STUDENT sheet")</f>
        <v/>
      </c>
      <c r="G565">
        <f>IFERROR(IF(E565="","",_xlfn.XLOOKUP(E565,STUDENTS!F564:F100561,STUDENTS!H564:H100561)),"update STUDENT sheet")</f>
        <v/>
      </c>
    </row>
    <row r="566">
      <c r="B566">
        <f>IF(STUDENTS!B565="","",STUDENTS!B565)</f>
        <v/>
      </c>
      <c r="C566">
        <f>IFERROR(IF(B566="","",_xlfn.XLOOKUP(B566,STUDENTS!$B$3:$B$1048576,STUDENTS!$C$3:$C$1048576)),"Enter a registered reg. no")</f>
        <v/>
      </c>
      <c r="D566">
        <f>IFERROR(IF(B566="","",_xlfn.XLOOKUP(B566,STUDENTS!B565:B100562,STUDENTS!D565:D100562)),"update STUDENT sheet")</f>
        <v/>
      </c>
      <c r="E566">
        <f>IFERROR(IF(C566="","",_xlfn.XLOOKUP(C566,STUDENTS!C565:C100562,STUDENTS!F565:F100562)),"update STUDENT sheet")</f>
        <v/>
      </c>
      <c r="F566">
        <f>IFERROR(IF(D566="","",_xlfn.XLOOKUP(D566,STUDENTS!D565:D100562,STUDENTS!G565:G100562)),"update STUDENT sheet")</f>
        <v/>
      </c>
      <c r="G566">
        <f>IFERROR(IF(E566="","",_xlfn.XLOOKUP(E566,STUDENTS!F565:F100562,STUDENTS!H565:H100562)),"update STUDENT sheet")</f>
        <v/>
      </c>
    </row>
    <row r="567">
      <c r="B567">
        <f>IF(STUDENTS!B566="","",STUDENTS!B566)</f>
        <v/>
      </c>
      <c r="C567">
        <f>IFERROR(IF(B567="","",_xlfn.XLOOKUP(B567,STUDENTS!$B$3:$B$1048576,STUDENTS!$C$3:$C$1048576)),"Enter a registered reg. no")</f>
        <v/>
      </c>
      <c r="D567">
        <f>IFERROR(IF(B567="","",_xlfn.XLOOKUP(B567,STUDENTS!B566:B100563,STUDENTS!D566:D100563)),"update STUDENT sheet")</f>
        <v/>
      </c>
      <c r="E567">
        <f>IFERROR(IF(C567="","",_xlfn.XLOOKUP(C567,STUDENTS!C566:C100563,STUDENTS!F566:F100563)),"update STUDENT sheet")</f>
        <v/>
      </c>
      <c r="F567">
        <f>IFERROR(IF(D567="","",_xlfn.XLOOKUP(D567,STUDENTS!D566:D100563,STUDENTS!G566:G100563)),"update STUDENT sheet")</f>
        <v/>
      </c>
      <c r="G567">
        <f>IFERROR(IF(E567="","",_xlfn.XLOOKUP(E567,STUDENTS!F566:F100563,STUDENTS!H566:H100563)),"update STUDENT sheet")</f>
        <v/>
      </c>
    </row>
    <row r="568">
      <c r="B568">
        <f>IF(STUDENTS!B567="","",STUDENTS!B567)</f>
        <v/>
      </c>
      <c r="C568">
        <f>IFERROR(IF(B568="","",_xlfn.XLOOKUP(B568,STUDENTS!$B$3:$B$1048576,STUDENTS!$C$3:$C$1048576)),"Enter a registered reg. no")</f>
        <v/>
      </c>
      <c r="D568">
        <f>IFERROR(IF(B568="","",_xlfn.XLOOKUP(B568,STUDENTS!B567:B100564,STUDENTS!D567:D100564)),"update STUDENT sheet")</f>
        <v/>
      </c>
      <c r="E568">
        <f>IFERROR(IF(C568="","",_xlfn.XLOOKUP(C568,STUDENTS!C567:C100564,STUDENTS!F567:F100564)),"update STUDENT sheet")</f>
        <v/>
      </c>
      <c r="F568">
        <f>IFERROR(IF(D568="","",_xlfn.XLOOKUP(D568,STUDENTS!D567:D100564,STUDENTS!G567:G100564)),"update STUDENT sheet")</f>
        <v/>
      </c>
      <c r="G568">
        <f>IFERROR(IF(E568="","",_xlfn.XLOOKUP(E568,STUDENTS!F567:F100564,STUDENTS!H567:H100564)),"update STUDENT sheet")</f>
        <v/>
      </c>
    </row>
    <row r="569">
      <c r="B569">
        <f>IF(STUDENTS!B568="","",STUDENTS!B568)</f>
        <v/>
      </c>
      <c r="C569">
        <f>IFERROR(IF(B569="","",_xlfn.XLOOKUP(B569,STUDENTS!$B$3:$B$1048576,STUDENTS!$C$3:$C$1048576)),"Enter a registered reg. no")</f>
        <v/>
      </c>
      <c r="D569">
        <f>IFERROR(IF(B569="","",_xlfn.XLOOKUP(B569,STUDENTS!B568:B100565,STUDENTS!D568:D100565)),"update STUDENT sheet")</f>
        <v/>
      </c>
      <c r="E569">
        <f>IFERROR(IF(C569="","",_xlfn.XLOOKUP(C569,STUDENTS!C568:C100565,STUDENTS!F568:F100565)),"update STUDENT sheet")</f>
        <v/>
      </c>
      <c r="F569">
        <f>IFERROR(IF(D569="","",_xlfn.XLOOKUP(D569,STUDENTS!D568:D100565,STUDENTS!G568:G100565)),"update STUDENT sheet")</f>
        <v/>
      </c>
      <c r="G569">
        <f>IFERROR(IF(E569="","",_xlfn.XLOOKUP(E569,STUDENTS!F568:F100565,STUDENTS!H568:H100565)),"update STUDENT sheet")</f>
        <v/>
      </c>
    </row>
    <row r="570">
      <c r="B570">
        <f>IF(STUDENTS!B569="","",STUDENTS!B569)</f>
        <v/>
      </c>
      <c r="C570">
        <f>IFERROR(IF(B570="","",_xlfn.XLOOKUP(B570,STUDENTS!$B$3:$B$1048576,STUDENTS!$C$3:$C$1048576)),"Enter a registered reg. no")</f>
        <v/>
      </c>
      <c r="D570">
        <f>IFERROR(IF(B570="","",_xlfn.XLOOKUP(B570,STUDENTS!B569:B100566,STUDENTS!D569:D100566)),"update STUDENT sheet")</f>
        <v/>
      </c>
      <c r="E570">
        <f>IFERROR(IF(C570="","",_xlfn.XLOOKUP(C570,STUDENTS!C569:C100566,STUDENTS!F569:F100566)),"update STUDENT sheet")</f>
        <v/>
      </c>
      <c r="F570">
        <f>IFERROR(IF(D570="","",_xlfn.XLOOKUP(D570,STUDENTS!D569:D100566,STUDENTS!G569:G100566)),"update STUDENT sheet")</f>
        <v/>
      </c>
      <c r="G570">
        <f>IFERROR(IF(E570="","",_xlfn.XLOOKUP(E570,STUDENTS!F569:F100566,STUDENTS!H569:H100566)),"update STUDENT sheet")</f>
        <v/>
      </c>
    </row>
    <row r="571">
      <c r="B571">
        <f>IF(STUDENTS!B570="","",STUDENTS!B570)</f>
        <v/>
      </c>
      <c r="C571">
        <f>IFERROR(IF(B571="","",_xlfn.XLOOKUP(B571,STUDENTS!$B$3:$B$1048576,STUDENTS!$C$3:$C$1048576)),"Enter a registered reg. no")</f>
        <v/>
      </c>
      <c r="D571">
        <f>IFERROR(IF(B571="","",_xlfn.XLOOKUP(B571,STUDENTS!B570:B100567,STUDENTS!D570:D100567)),"update STUDENT sheet")</f>
        <v/>
      </c>
      <c r="E571">
        <f>IFERROR(IF(C571="","",_xlfn.XLOOKUP(C571,STUDENTS!C570:C100567,STUDENTS!F570:F100567)),"update STUDENT sheet")</f>
        <v/>
      </c>
      <c r="F571">
        <f>IFERROR(IF(D571="","",_xlfn.XLOOKUP(D571,STUDENTS!D570:D100567,STUDENTS!G570:G100567)),"update STUDENT sheet")</f>
        <v/>
      </c>
      <c r="G571">
        <f>IFERROR(IF(E571="","",_xlfn.XLOOKUP(E571,STUDENTS!F570:F100567,STUDENTS!H570:H100567)),"update STUDENT sheet")</f>
        <v/>
      </c>
    </row>
    <row r="572">
      <c r="B572">
        <f>IF(STUDENTS!B571="","",STUDENTS!B571)</f>
        <v/>
      </c>
      <c r="C572">
        <f>IFERROR(IF(B572="","",_xlfn.XLOOKUP(B572,STUDENTS!$B$3:$B$1048576,STUDENTS!$C$3:$C$1048576)),"Enter a registered reg. no")</f>
        <v/>
      </c>
      <c r="D572">
        <f>IFERROR(IF(B572="","",_xlfn.XLOOKUP(B572,STUDENTS!B571:B100568,STUDENTS!D571:D100568)),"update STUDENT sheet")</f>
        <v/>
      </c>
      <c r="E572">
        <f>IFERROR(IF(C572="","",_xlfn.XLOOKUP(C572,STUDENTS!C571:C100568,STUDENTS!F571:F100568)),"update STUDENT sheet")</f>
        <v/>
      </c>
      <c r="F572">
        <f>IFERROR(IF(D572="","",_xlfn.XLOOKUP(D572,STUDENTS!D571:D100568,STUDENTS!G571:G100568)),"update STUDENT sheet")</f>
        <v/>
      </c>
      <c r="G572">
        <f>IFERROR(IF(E572="","",_xlfn.XLOOKUP(E572,STUDENTS!F571:F100568,STUDENTS!H571:H100568)),"update STUDENT sheet")</f>
        <v/>
      </c>
    </row>
    <row r="573">
      <c r="B573">
        <f>IF(STUDENTS!B572="","",STUDENTS!B572)</f>
        <v/>
      </c>
      <c r="C573">
        <f>IFERROR(IF(B573="","",_xlfn.XLOOKUP(B573,STUDENTS!$B$3:$B$1048576,STUDENTS!$C$3:$C$1048576)),"Enter a registered reg. no")</f>
        <v/>
      </c>
      <c r="D573">
        <f>IFERROR(IF(B573="","",_xlfn.XLOOKUP(B573,STUDENTS!B572:B100569,STUDENTS!D572:D100569)),"update STUDENT sheet")</f>
        <v/>
      </c>
      <c r="E573">
        <f>IFERROR(IF(C573="","",_xlfn.XLOOKUP(C573,STUDENTS!C572:C100569,STUDENTS!F572:F100569)),"update STUDENT sheet")</f>
        <v/>
      </c>
      <c r="F573">
        <f>IFERROR(IF(D573="","",_xlfn.XLOOKUP(D573,STUDENTS!D572:D100569,STUDENTS!G572:G100569)),"update STUDENT sheet")</f>
        <v/>
      </c>
      <c r="G573">
        <f>IFERROR(IF(E573="","",_xlfn.XLOOKUP(E573,STUDENTS!F572:F100569,STUDENTS!H572:H100569)),"update STUDENT sheet")</f>
        <v/>
      </c>
    </row>
    <row r="574">
      <c r="B574">
        <f>IF(STUDENTS!B573="","",STUDENTS!B573)</f>
        <v/>
      </c>
      <c r="C574">
        <f>IFERROR(IF(B574="","",_xlfn.XLOOKUP(B574,STUDENTS!$B$3:$B$1048576,STUDENTS!$C$3:$C$1048576)),"Enter a registered reg. no")</f>
        <v/>
      </c>
      <c r="D574">
        <f>IFERROR(IF(B574="","",_xlfn.XLOOKUP(B574,STUDENTS!B573:B100570,STUDENTS!D573:D100570)),"update STUDENT sheet")</f>
        <v/>
      </c>
      <c r="E574">
        <f>IFERROR(IF(C574="","",_xlfn.XLOOKUP(C574,STUDENTS!C573:C100570,STUDENTS!F573:F100570)),"update STUDENT sheet")</f>
        <v/>
      </c>
      <c r="F574">
        <f>IFERROR(IF(D574="","",_xlfn.XLOOKUP(D574,STUDENTS!D573:D100570,STUDENTS!G573:G100570)),"update STUDENT sheet")</f>
        <v/>
      </c>
      <c r="G574">
        <f>IFERROR(IF(E574="","",_xlfn.XLOOKUP(E574,STUDENTS!F573:F100570,STUDENTS!H573:H100570)),"update STUDENT sheet")</f>
        <v/>
      </c>
    </row>
    <row r="575">
      <c r="B575">
        <f>IF(STUDENTS!B574="","",STUDENTS!B574)</f>
        <v/>
      </c>
      <c r="C575">
        <f>IFERROR(IF(B575="","",_xlfn.XLOOKUP(B575,STUDENTS!$B$3:$B$1048576,STUDENTS!$C$3:$C$1048576)),"Enter a registered reg. no")</f>
        <v/>
      </c>
      <c r="D575">
        <f>IFERROR(IF(B575="","",_xlfn.XLOOKUP(B575,STUDENTS!B574:B100571,STUDENTS!D574:D100571)),"update STUDENT sheet")</f>
        <v/>
      </c>
      <c r="E575">
        <f>IFERROR(IF(C575="","",_xlfn.XLOOKUP(C575,STUDENTS!C574:C100571,STUDENTS!F574:F100571)),"update STUDENT sheet")</f>
        <v/>
      </c>
      <c r="F575">
        <f>IFERROR(IF(D575="","",_xlfn.XLOOKUP(D575,STUDENTS!D574:D100571,STUDENTS!G574:G100571)),"update STUDENT sheet")</f>
        <v/>
      </c>
      <c r="G575">
        <f>IFERROR(IF(E575="","",_xlfn.XLOOKUP(E575,STUDENTS!F574:F100571,STUDENTS!H574:H100571)),"update STUDENT sheet")</f>
        <v/>
      </c>
    </row>
    <row r="576">
      <c r="B576">
        <f>IF(STUDENTS!B575="","",STUDENTS!B575)</f>
        <v/>
      </c>
      <c r="C576">
        <f>IFERROR(IF(B576="","",_xlfn.XLOOKUP(B576,STUDENTS!$B$3:$B$1048576,STUDENTS!$C$3:$C$1048576)),"Enter a registered reg. no")</f>
        <v/>
      </c>
      <c r="D576">
        <f>IFERROR(IF(B576="","",_xlfn.XLOOKUP(B576,STUDENTS!B575:B100572,STUDENTS!D575:D100572)),"update STUDENT sheet")</f>
        <v/>
      </c>
      <c r="E576">
        <f>IFERROR(IF(C576="","",_xlfn.XLOOKUP(C576,STUDENTS!C575:C100572,STUDENTS!F575:F100572)),"update STUDENT sheet")</f>
        <v/>
      </c>
      <c r="F576">
        <f>IFERROR(IF(D576="","",_xlfn.XLOOKUP(D576,STUDENTS!D575:D100572,STUDENTS!G575:G100572)),"update STUDENT sheet")</f>
        <v/>
      </c>
      <c r="G576">
        <f>IFERROR(IF(E576="","",_xlfn.XLOOKUP(E576,STUDENTS!F575:F100572,STUDENTS!H575:H100572)),"update STUDENT sheet")</f>
        <v/>
      </c>
    </row>
    <row r="577">
      <c r="B577">
        <f>IF(STUDENTS!B576="","",STUDENTS!B576)</f>
        <v/>
      </c>
      <c r="C577">
        <f>IFERROR(IF(B577="","",_xlfn.XLOOKUP(B577,STUDENTS!$B$3:$B$1048576,STUDENTS!$C$3:$C$1048576)),"Enter a registered reg. no")</f>
        <v/>
      </c>
      <c r="D577">
        <f>IFERROR(IF(B577="","",_xlfn.XLOOKUP(B577,STUDENTS!B576:B100573,STUDENTS!D576:D100573)),"update STUDENT sheet")</f>
        <v/>
      </c>
      <c r="E577">
        <f>IFERROR(IF(C577="","",_xlfn.XLOOKUP(C577,STUDENTS!C576:C100573,STUDENTS!F576:F100573)),"update STUDENT sheet")</f>
        <v/>
      </c>
      <c r="F577">
        <f>IFERROR(IF(D577="","",_xlfn.XLOOKUP(D577,STUDENTS!D576:D100573,STUDENTS!G576:G100573)),"update STUDENT sheet")</f>
        <v/>
      </c>
      <c r="G577">
        <f>IFERROR(IF(E577="","",_xlfn.XLOOKUP(E577,STUDENTS!F576:F100573,STUDENTS!H576:H100573)),"update STUDENT sheet")</f>
        <v/>
      </c>
    </row>
    <row r="578">
      <c r="B578">
        <f>IF(STUDENTS!B577="","",STUDENTS!B577)</f>
        <v/>
      </c>
      <c r="C578">
        <f>IFERROR(IF(B578="","",_xlfn.XLOOKUP(B578,STUDENTS!$B$3:$B$1048576,STUDENTS!$C$3:$C$1048576)),"Enter a registered reg. no")</f>
        <v/>
      </c>
      <c r="D578">
        <f>IFERROR(IF(B578="","",_xlfn.XLOOKUP(B578,STUDENTS!B577:B100574,STUDENTS!D577:D100574)),"update STUDENT sheet")</f>
        <v/>
      </c>
      <c r="E578">
        <f>IFERROR(IF(C578="","",_xlfn.XLOOKUP(C578,STUDENTS!C577:C100574,STUDENTS!F577:F100574)),"update STUDENT sheet")</f>
        <v/>
      </c>
      <c r="F578">
        <f>IFERROR(IF(D578="","",_xlfn.XLOOKUP(D578,STUDENTS!D577:D100574,STUDENTS!G577:G100574)),"update STUDENT sheet")</f>
        <v/>
      </c>
      <c r="G578">
        <f>IFERROR(IF(E578="","",_xlfn.XLOOKUP(E578,STUDENTS!F577:F100574,STUDENTS!H577:H100574)),"update STUDENT sheet")</f>
        <v/>
      </c>
    </row>
    <row r="579">
      <c r="B579">
        <f>IF(STUDENTS!B578="","",STUDENTS!B578)</f>
        <v/>
      </c>
      <c r="C579">
        <f>IFERROR(IF(B579="","",_xlfn.XLOOKUP(B579,STUDENTS!$B$3:$B$1048576,STUDENTS!$C$3:$C$1048576)),"Enter a registered reg. no")</f>
        <v/>
      </c>
      <c r="D579">
        <f>IFERROR(IF(B579="","",_xlfn.XLOOKUP(B579,STUDENTS!B578:B100575,STUDENTS!D578:D100575)),"update STUDENT sheet")</f>
        <v/>
      </c>
      <c r="E579">
        <f>IFERROR(IF(C579="","",_xlfn.XLOOKUP(C579,STUDENTS!C578:C100575,STUDENTS!F578:F100575)),"update STUDENT sheet")</f>
        <v/>
      </c>
      <c r="F579">
        <f>IFERROR(IF(D579="","",_xlfn.XLOOKUP(D579,STUDENTS!D578:D100575,STUDENTS!G578:G100575)),"update STUDENT sheet")</f>
        <v/>
      </c>
      <c r="G579">
        <f>IFERROR(IF(E579="","",_xlfn.XLOOKUP(E579,STUDENTS!F578:F100575,STUDENTS!H578:H100575)),"update STUDENT sheet")</f>
        <v/>
      </c>
    </row>
    <row r="580">
      <c r="B580">
        <f>IF(STUDENTS!B579="","",STUDENTS!B579)</f>
        <v/>
      </c>
      <c r="C580">
        <f>IFERROR(IF(B580="","",_xlfn.XLOOKUP(B580,STUDENTS!$B$3:$B$1048576,STUDENTS!$C$3:$C$1048576)),"Enter a registered reg. no")</f>
        <v/>
      </c>
      <c r="D580">
        <f>IFERROR(IF(B580="","",_xlfn.XLOOKUP(B580,STUDENTS!B579:B100576,STUDENTS!D579:D100576)),"update STUDENT sheet")</f>
        <v/>
      </c>
      <c r="E580">
        <f>IFERROR(IF(C580="","",_xlfn.XLOOKUP(C580,STUDENTS!C579:C100576,STUDENTS!F579:F100576)),"update STUDENT sheet")</f>
        <v/>
      </c>
      <c r="F580">
        <f>IFERROR(IF(D580="","",_xlfn.XLOOKUP(D580,STUDENTS!D579:D100576,STUDENTS!G579:G100576)),"update STUDENT sheet")</f>
        <v/>
      </c>
      <c r="G580">
        <f>IFERROR(IF(E580="","",_xlfn.XLOOKUP(E580,STUDENTS!F579:F100576,STUDENTS!H579:H100576)),"update STUDENT sheet")</f>
        <v/>
      </c>
    </row>
    <row r="581">
      <c r="B581">
        <f>IF(STUDENTS!B580="","",STUDENTS!B580)</f>
        <v/>
      </c>
      <c r="C581">
        <f>IFERROR(IF(B581="","",_xlfn.XLOOKUP(B581,STUDENTS!$B$3:$B$1048576,STUDENTS!$C$3:$C$1048576)),"Enter a registered reg. no")</f>
        <v/>
      </c>
      <c r="D581">
        <f>IFERROR(IF(B581="","",_xlfn.XLOOKUP(B581,STUDENTS!B580:B100577,STUDENTS!D580:D100577)),"update STUDENT sheet")</f>
        <v/>
      </c>
      <c r="E581">
        <f>IFERROR(IF(C581="","",_xlfn.XLOOKUP(C581,STUDENTS!C580:C100577,STUDENTS!F580:F100577)),"update STUDENT sheet")</f>
        <v/>
      </c>
      <c r="F581">
        <f>IFERROR(IF(D581="","",_xlfn.XLOOKUP(D581,STUDENTS!D580:D100577,STUDENTS!G580:G100577)),"update STUDENT sheet")</f>
        <v/>
      </c>
      <c r="G581">
        <f>IFERROR(IF(E581="","",_xlfn.XLOOKUP(E581,STUDENTS!F580:F100577,STUDENTS!H580:H100577)),"update STUDENT sheet")</f>
        <v/>
      </c>
    </row>
    <row r="582">
      <c r="B582">
        <f>IF(STUDENTS!B581="","",STUDENTS!B581)</f>
        <v/>
      </c>
      <c r="C582">
        <f>IFERROR(IF(B582="","",_xlfn.XLOOKUP(B582,STUDENTS!$B$3:$B$1048576,STUDENTS!$C$3:$C$1048576)),"Enter a registered reg. no")</f>
        <v/>
      </c>
      <c r="D582">
        <f>IFERROR(IF(B582="","",_xlfn.XLOOKUP(B582,STUDENTS!B581:B100578,STUDENTS!D581:D100578)),"update STUDENT sheet")</f>
        <v/>
      </c>
      <c r="E582">
        <f>IFERROR(IF(C582="","",_xlfn.XLOOKUP(C582,STUDENTS!C581:C100578,STUDENTS!F581:F100578)),"update STUDENT sheet")</f>
        <v/>
      </c>
      <c r="F582">
        <f>IFERROR(IF(D582="","",_xlfn.XLOOKUP(D582,STUDENTS!D581:D100578,STUDENTS!G581:G100578)),"update STUDENT sheet")</f>
        <v/>
      </c>
      <c r="G582">
        <f>IFERROR(IF(E582="","",_xlfn.XLOOKUP(E582,STUDENTS!F581:F100578,STUDENTS!H581:H100578)),"update STUDENT sheet")</f>
        <v/>
      </c>
    </row>
    <row r="583">
      <c r="B583">
        <f>IF(STUDENTS!B582="","",STUDENTS!B582)</f>
        <v/>
      </c>
      <c r="C583">
        <f>IFERROR(IF(B583="","",_xlfn.XLOOKUP(B583,STUDENTS!$B$3:$B$1048576,STUDENTS!$C$3:$C$1048576)),"Enter a registered reg. no")</f>
        <v/>
      </c>
      <c r="D583">
        <f>IFERROR(IF(B583="","",_xlfn.XLOOKUP(B583,STUDENTS!B582:B100579,STUDENTS!D582:D100579)),"update STUDENT sheet")</f>
        <v/>
      </c>
      <c r="E583">
        <f>IFERROR(IF(C583="","",_xlfn.XLOOKUP(C583,STUDENTS!C582:C100579,STUDENTS!F582:F100579)),"update STUDENT sheet")</f>
        <v/>
      </c>
      <c r="F583">
        <f>IFERROR(IF(D583="","",_xlfn.XLOOKUP(D583,STUDENTS!D582:D100579,STUDENTS!G582:G100579)),"update STUDENT sheet")</f>
        <v/>
      </c>
      <c r="G583">
        <f>IFERROR(IF(E583="","",_xlfn.XLOOKUP(E583,STUDENTS!F582:F100579,STUDENTS!H582:H100579)),"update STUDENT sheet")</f>
        <v/>
      </c>
    </row>
    <row r="584">
      <c r="B584">
        <f>IF(STUDENTS!B583="","",STUDENTS!B583)</f>
        <v/>
      </c>
      <c r="C584">
        <f>IFERROR(IF(B584="","",_xlfn.XLOOKUP(B584,STUDENTS!$B$3:$B$1048576,STUDENTS!$C$3:$C$1048576)),"Enter a registered reg. no")</f>
        <v/>
      </c>
      <c r="D584">
        <f>IFERROR(IF(B584="","",_xlfn.XLOOKUP(B584,STUDENTS!B583:B100580,STUDENTS!D583:D100580)),"update STUDENT sheet")</f>
        <v/>
      </c>
      <c r="E584">
        <f>IFERROR(IF(C584="","",_xlfn.XLOOKUP(C584,STUDENTS!C583:C100580,STUDENTS!F583:F100580)),"update STUDENT sheet")</f>
        <v/>
      </c>
      <c r="F584">
        <f>IFERROR(IF(D584="","",_xlfn.XLOOKUP(D584,STUDENTS!D583:D100580,STUDENTS!G583:G100580)),"update STUDENT sheet")</f>
        <v/>
      </c>
      <c r="G584">
        <f>IFERROR(IF(E584="","",_xlfn.XLOOKUP(E584,STUDENTS!F583:F100580,STUDENTS!H583:H100580)),"update STUDENT sheet")</f>
        <v/>
      </c>
    </row>
    <row r="585">
      <c r="B585">
        <f>IF(STUDENTS!B584="","",STUDENTS!B584)</f>
        <v/>
      </c>
      <c r="C585">
        <f>IFERROR(IF(B585="","",_xlfn.XLOOKUP(B585,STUDENTS!$B$3:$B$1048576,STUDENTS!$C$3:$C$1048576)),"Enter a registered reg. no")</f>
        <v/>
      </c>
      <c r="D585">
        <f>IFERROR(IF(B585="","",_xlfn.XLOOKUP(B585,STUDENTS!B584:B100581,STUDENTS!D584:D100581)),"update STUDENT sheet")</f>
        <v/>
      </c>
      <c r="E585">
        <f>IFERROR(IF(C585="","",_xlfn.XLOOKUP(C585,STUDENTS!C584:C100581,STUDENTS!F584:F100581)),"update STUDENT sheet")</f>
        <v/>
      </c>
      <c r="F585">
        <f>IFERROR(IF(D585="","",_xlfn.XLOOKUP(D585,STUDENTS!D584:D100581,STUDENTS!G584:G100581)),"update STUDENT sheet")</f>
        <v/>
      </c>
      <c r="G585">
        <f>IFERROR(IF(E585="","",_xlfn.XLOOKUP(E585,STUDENTS!F584:F100581,STUDENTS!H584:H100581)),"update STUDENT sheet")</f>
        <v/>
      </c>
    </row>
    <row r="586">
      <c r="B586">
        <f>IF(STUDENTS!B585="","",STUDENTS!B585)</f>
        <v/>
      </c>
      <c r="C586">
        <f>IFERROR(IF(B586="","",_xlfn.XLOOKUP(B586,STUDENTS!$B$3:$B$1048576,STUDENTS!$C$3:$C$1048576)),"Enter a registered reg. no")</f>
        <v/>
      </c>
      <c r="D586">
        <f>IFERROR(IF(B586="","",_xlfn.XLOOKUP(B586,STUDENTS!B585:B100582,STUDENTS!D585:D100582)),"update STUDENT sheet")</f>
        <v/>
      </c>
      <c r="E586">
        <f>IFERROR(IF(C586="","",_xlfn.XLOOKUP(C586,STUDENTS!C585:C100582,STUDENTS!F585:F100582)),"update STUDENT sheet")</f>
        <v/>
      </c>
      <c r="F586">
        <f>IFERROR(IF(D586="","",_xlfn.XLOOKUP(D586,STUDENTS!D585:D100582,STUDENTS!G585:G100582)),"update STUDENT sheet")</f>
        <v/>
      </c>
      <c r="G586">
        <f>IFERROR(IF(E586="","",_xlfn.XLOOKUP(E586,STUDENTS!F585:F100582,STUDENTS!H585:H100582)),"update STUDENT sheet")</f>
        <v/>
      </c>
    </row>
    <row r="587">
      <c r="B587">
        <f>IF(STUDENTS!B586="","",STUDENTS!B586)</f>
        <v/>
      </c>
      <c r="C587">
        <f>IFERROR(IF(B587="","",_xlfn.XLOOKUP(B587,STUDENTS!$B$3:$B$1048576,STUDENTS!$C$3:$C$1048576)),"Enter a registered reg. no")</f>
        <v/>
      </c>
      <c r="D587">
        <f>IFERROR(IF(B587="","",_xlfn.XLOOKUP(B587,STUDENTS!B586:B100583,STUDENTS!D586:D100583)),"update STUDENT sheet")</f>
        <v/>
      </c>
      <c r="E587">
        <f>IFERROR(IF(C587="","",_xlfn.XLOOKUP(C587,STUDENTS!C586:C100583,STUDENTS!F586:F100583)),"update STUDENT sheet")</f>
        <v/>
      </c>
      <c r="F587">
        <f>IFERROR(IF(D587="","",_xlfn.XLOOKUP(D587,STUDENTS!D586:D100583,STUDENTS!G586:G100583)),"update STUDENT sheet")</f>
        <v/>
      </c>
      <c r="G587">
        <f>IFERROR(IF(E587="","",_xlfn.XLOOKUP(E587,STUDENTS!F586:F100583,STUDENTS!H586:H100583)),"update STUDENT sheet")</f>
        <v/>
      </c>
    </row>
    <row r="588">
      <c r="B588">
        <f>IF(STUDENTS!B587="","",STUDENTS!B587)</f>
        <v/>
      </c>
      <c r="C588">
        <f>IFERROR(IF(B588="","",_xlfn.XLOOKUP(B588,STUDENTS!$B$3:$B$1048576,STUDENTS!$C$3:$C$1048576)),"Enter a registered reg. no")</f>
        <v/>
      </c>
      <c r="D588">
        <f>IFERROR(IF(B588="","",_xlfn.XLOOKUP(B588,STUDENTS!B587:B100584,STUDENTS!D587:D100584)),"update STUDENT sheet")</f>
        <v/>
      </c>
      <c r="E588">
        <f>IFERROR(IF(C588="","",_xlfn.XLOOKUP(C588,STUDENTS!C587:C100584,STUDENTS!F587:F100584)),"update STUDENT sheet")</f>
        <v/>
      </c>
      <c r="F588">
        <f>IFERROR(IF(D588="","",_xlfn.XLOOKUP(D588,STUDENTS!D587:D100584,STUDENTS!G587:G100584)),"update STUDENT sheet")</f>
        <v/>
      </c>
      <c r="G588">
        <f>IFERROR(IF(E588="","",_xlfn.XLOOKUP(E588,STUDENTS!F587:F100584,STUDENTS!H587:H100584)),"update STUDENT sheet")</f>
        <v/>
      </c>
    </row>
    <row r="589">
      <c r="B589">
        <f>IF(STUDENTS!B588="","",STUDENTS!B588)</f>
        <v/>
      </c>
      <c r="C589">
        <f>IFERROR(IF(B589="","",_xlfn.XLOOKUP(B589,STUDENTS!$B$3:$B$1048576,STUDENTS!$C$3:$C$1048576)),"Enter a registered reg. no")</f>
        <v/>
      </c>
      <c r="D589">
        <f>IFERROR(IF(B589="","",_xlfn.XLOOKUP(B589,STUDENTS!B588:B100585,STUDENTS!D588:D100585)),"update STUDENT sheet")</f>
        <v/>
      </c>
      <c r="E589">
        <f>IFERROR(IF(C589="","",_xlfn.XLOOKUP(C589,STUDENTS!C588:C100585,STUDENTS!F588:F100585)),"update STUDENT sheet")</f>
        <v/>
      </c>
      <c r="F589">
        <f>IFERROR(IF(D589="","",_xlfn.XLOOKUP(D589,STUDENTS!D588:D100585,STUDENTS!G588:G100585)),"update STUDENT sheet")</f>
        <v/>
      </c>
      <c r="G589">
        <f>IFERROR(IF(E589="","",_xlfn.XLOOKUP(E589,STUDENTS!F588:F100585,STUDENTS!H588:H100585)),"update STUDENT sheet")</f>
        <v/>
      </c>
    </row>
    <row r="590">
      <c r="B590">
        <f>IF(STUDENTS!B589="","",STUDENTS!B589)</f>
        <v/>
      </c>
      <c r="C590">
        <f>IFERROR(IF(B590="","",_xlfn.XLOOKUP(B590,STUDENTS!$B$3:$B$1048576,STUDENTS!$C$3:$C$1048576)),"Enter a registered reg. no")</f>
        <v/>
      </c>
      <c r="D590">
        <f>IFERROR(IF(B590="","",_xlfn.XLOOKUP(B590,STUDENTS!B589:B100586,STUDENTS!D589:D100586)),"update STUDENT sheet")</f>
        <v/>
      </c>
      <c r="E590">
        <f>IFERROR(IF(C590="","",_xlfn.XLOOKUP(C590,STUDENTS!C589:C100586,STUDENTS!F589:F100586)),"update STUDENT sheet")</f>
        <v/>
      </c>
      <c r="F590">
        <f>IFERROR(IF(D590="","",_xlfn.XLOOKUP(D590,STUDENTS!D589:D100586,STUDENTS!G589:G100586)),"update STUDENT sheet")</f>
        <v/>
      </c>
      <c r="G590">
        <f>IFERROR(IF(E590="","",_xlfn.XLOOKUP(E590,STUDENTS!F589:F100586,STUDENTS!H589:H100586)),"update STUDENT sheet")</f>
        <v/>
      </c>
    </row>
    <row r="591">
      <c r="B591">
        <f>IF(STUDENTS!B590="","",STUDENTS!B590)</f>
        <v/>
      </c>
      <c r="C591">
        <f>IFERROR(IF(B591="","",_xlfn.XLOOKUP(B591,STUDENTS!$B$3:$B$1048576,STUDENTS!$C$3:$C$1048576)),"Enter a registered reg. no")</f>
        <v/>
      </c>
      <c r="D591">
        <f>IFERROR(IF(B591="","",_xlfn.XLOOKUP(B591,STUDENTS!B590:B100587,STUDENTS!D590:D100587)),"update STUDENT sheet")</f>
        <v/>
      </c>
      <c r="E591">
        <f>IFERROR(IF(C591="","",_xlfn.XLOOKUP(C591,STUDENTS!C590:C100587,STUDENTS!F590:F100587)),"update STUDENT sheet")</f>
        <v/>
      </c>
      <c r="F591">
        <f>IFERROR(IF(D591="","",_xlfn.XLOOKUP(D591,STUDENTS!D590:D100587,STUDENTS!G590:G100587)),"update STUDENT sheet")</f>
        <v/>
      </c>
      <c r="G591">
        <f>IFERROR(IF(E591="","",_xlfn.XLOOKUP(E591,STUDENTS!F590:F100587,STUDENTS!H590:H100587)),"update STUDENT sheet")</f>
        <v/>
      </c>
    </row>
    <row r="592">
      <c r="B592">
        <f>IF(STUDENTS!B591="","",STUDENTS!B591)</f>
        <v/>
      </c>
      <c r="C592">
        <f>IFERROR(IF(B592="","",_xlfn.XLOOKUP(B592,STUDENTS!$B$3:$B$1048576,STUDENTS!$C$3:$C$1048576)),"Enter a registered reg. no")</f>
        <v/>
      </c>
      <c r="D592">
        <f>IFERROR(IF(B592="","",_xlfn.XLOOKUP(B592,STUDENTS!B591:B100588,STUDENTS!D591:D100588)),"update STUDENT sheet")</f>
        <v/>
      </c>
      <c r="E592">
        <f>IFERROR(IF(C592="","",_xlfn.XLOOKUP(C592,STUDENTS!C591:C100588,STUDENTS!F591:F100588)),"update STUDENT sheet")</f>
        <v/>
      </c>
      <c r="F592">
        <f>IFERROR(IF(D592="","",_xlfn.XLOOKUP(D592,STUDENTS!D591:D100588,STUDENTS!G591:G100588)),"update STUDENT sheet")</f>
        <v/>
      </c>
      <c r="G592">
        <f>IFERROR(IF(E592="","",_xlfn.XLOOKUP(E592,STUDENTS!F591:F100588,STUDENTS!H591:H100588)),"update STUDENT sheet")</f>
        <v/>
      </c>
    </row>
    <row r="593">
      <c r="B593">
        <f>IF(STUDENTS!B592="","",STUDENTS!B592)</f>
        <v/>
      </c>
      <c r="C593">
        <f>IFERROR(IF(B593="","",_xlfn.XLOOKUP(B593,STUDENTS!$B$3:$B$1048576,STUDENTS!$C$3:$C$1048576)),"Enter a registered reg. no")</f>
        <v/>
      </c>
      <c r="D593">
        <f>IFERROR(IF(B593="","",_xlfn.XLOOKUP(B593,STUDENTS!B592:B100589,STUDENTS!D592:D100589)),"update STUDENT sheet")</f>
        <v/>
      </c>
      <c r="E593">
        <f>IFERROR(IF(C593="","",_xlfn.XLOOKUP(C593,STUDENTS!C592:C100589,STUDENTS!F592:F100589)),"update STUDENT sheet")</f>
        <v/>
      </c>
      <c r="F593">
        <f>IFERROR(IF(D593="","",_xlfn.XLOOKUP(D593,STUDENTS!D592:D100589,STUDENTS!G592:G100589)),"update STUDENT sheet")</f>
        <v/>
      </c>
      <c r="G593">
        <f>IFERROR(IF(E593="","",_xlfn.XLOOKUP(E593,STUDENTS!F592:F100589,STUDENTS!H592:H100589)),"update STUDENT sheet")</f>
        <v/>
      </c>
    </row>
    <row r="594">
      <c r="B594">
        <f>IF(STUDENTS!B593="","",STUDENTS!B593)</f>
        <v/>
      </c>
      <c r="C594">
        <f>IFERROR(IF(B594="","",_xlfn.XLOOKUP(B594,STUDENTS!$B$3:$B$1048576,STUDENTS!$C$3:$C$1048576)),"Enter a registered reg. no")</f>
        <v/>
      </c>
      <c r="D594">
        <f>IFERROR(IF(B594="","",_xlfn.XLOOKUP(B594,STUDENTS!B593:B100590,STUDENTS!D593:D100590)),"update STUDENT sheet")</f>
        <v/>
      </c>
      <c r="E594">
        <f>IFERROR(IF(C594="","",_xlfn.XLOOKUP(C594,STUDENTS!C593:C100590,STUDENTS!F593:F100590)),"update STUDENT sheet")</f>
        <v/>
      </c>
      <c r="F594">
        <f>IFERROR(IF(D594="","",_xlfn.XLOOKUP(D594,STUDENTS!D593:D100590,STUDENTS!G593:G100590)),"update STUDENT sheet")</f>
        <v/>
      </c>
      <c r="G594">
        <f>IFERROR(IF(E594="","",_xlfn.XLOOKUP(E594,STUDENTS!F593:F100590,STUDENTS!H593:H100590)),"update STUDENT sheet")</f>
        <v/>
      </c>
    </row>
    <row r="595">
      <c r="B595">
        <f>IF(STUDENTS!B594="","",STUDENTS!B594)</f>
        <v/>
      </c>
      <c r="C595">
        <f>IFERROR(IF(B595="","",_xlfn.XLOOKUP(B595,STUDENTS!$B$3:$B$1048576,STUDENTS!$C$3:$C$1048576)),"Enter a registered reg. no")</f>
        <v/>
      </c>
      <c r="D595">
        <f>IFERROR(IF(B595="","",_xlfn.XLOOKUP(B595,STUDENTS!B594:B100591,STUDENTS!D594:D100591)),"update STUDENT sheet")</f>
        <v/>
      </c>
      <c r="E595">
        <f>IFERROR(IF(C595="","",_xlfn.XLOOKUP(C595,STUDENTS!C594:C100591,STUDENTS!F594:F100591)),"update STUDENT sheet")</f>
        <v/>
      </c>
      <c r="F595">
        <f>IFERROR(IF(D595="","",_xlfn.XLOOKUP(D595,STUDENTS!D594:D100591,STUDENTS!G594:G100591)),"update STUDENT sheet")</f>
        <v/>
      </c>
      <c r="G595">
        <f>IFERROR(IF(E595="","",_xlfn.XLOOKUP(E595,STUDENTS!F594:F100591,STUDENTS!H594:H100591)),"update STUDENT sheet")</f>
        <v/>
      </c>
    </row>
    <row r="596">
      <c r="B596">
        <f>IF(STUDENTS!B595="","",STUDENTS!B595)</f>
        <v/>
      </c>
      <c r="C596">
        <f>IFERROR(IF(B596="","",_xlfn.XLOOKUP(B596,STUDENTS!$B$3:$B$1048576,STUDENTS!$C$3:$C$1048576)),"Enter a registered reg. no")</f>
        <v/>
      </c>
      <c r="D596">
        <f>IFERROR(IF(B596="","",_xlfn.XLOOKUP(B596,STUDENTS!B595:B100592,STUDENTS!D595:D100592)),"update STUDENT sheet")</f>
        <v/>
      </c>
      <c r="E596">
        <f>IFERROR(IF(C596="","",_xlfn.XLOOKUP(C596,STUDENTS!C595:C100592,STUDENTS!F595:F100592)),"update STUDENT sheet")</f>
        <v/>
      </c>
      <c r="F596">
        <f>IFERROR(IF(D596="","",_xlfn.XLOOKUP(D596,STUDENTS!D595:D100592,STUDENTS!G595:G100592)),"update STUDENT sheet")</f>
        <v/>
      </c>
      <c r="G596">
        <f>IFERROR(IF(E596="","",_xlfn.XLOOKUP(E596,STUDENTS!F595:F100592,STUDENTS!H595:H100592)),"update STUDENT sheet")</f>
        <v/>
      </c>
    </row>
    <row r="597">
      <c r="B597">
        <f>IF(STUDENTS!B596="","",STUDENTS!B596)</f>
        <v/>
      </c>
      <c r="C597">
        <f>IFERROR(IF(B597="","",_xlfn.XLOOKUP(B597,STUDENTS!$B$3:$B$1048576,STUDENTS!$C$3:$C$1048576)),"Enter a registered reg. no")</f>
        <v/>
      </c>
      <c r="D597">
        <f>IFERROR(IF(B597="","",_xlfn.XLOOKUP(B597,STUDENTS!B596:B100593,STUDENTS!D596:D100593)),"update STUDENT sheet")</f>
        <v/>
      </c>
      <c r="E597">
        <f>IFERROR(IF(C597="","",_xlfn.XLOOKUP(C597,STUDENTS!C596:C100593,STUDENTS!F596:F100593)),"update STUDENT sheet")</f>
        <v/>
      </c>
      <c r="F597">
        <f>IFERROR(IF(D597="","",_xlfn.XLOOKUP(D597,STUDENTS!D596:D100593,STUDENTS!G596:G100593)),"update STUDENT sheet")</f>
        <v/>
      </c>
      <c r="G597">
        <f>IFERROR(IF(E597="","",_xlfn.XLOOKUP(E597,STUDENTS!F596:F100593,STUDENTS!H596:H100593)),"update STUDENT sheet")</f>
        <v/>
      </c>
    </row>
    <row r="598">
      <c r="B598">
        <f>IF(STUDENTS!B597="","",STUDENTS!B597)</f>
        <v/>
      </c>
      <c r="C598">
        <f>IFERROR(IF(B598="","",_xlfn.XLOOKUP(B598,STUDENTS!$B$3:$B$1048576,STUDENTS!$C$3:$C$1048576)),"Enter a registered reg. no")</f>
        <v/>
      </c>
      <c r="D598">
        <f>IFERROR(IF(B598="","",_xlfn.XLOOKUP(B598,STUDENTS!B597:B100594,STUDENTS!D597:D100594)),"update STUDENT sheet")</f>
        <v/>
      </c>
      <c r="E598">
        <f>IFERROR(IF(C598="","",_xlfn.XLOOKUP(C598,STUDENTS!C597:C100594,STUDENTS!F597:F100594)),"update STUDENT sheet")</f>
        <v/>
      </c>
      <c r="F598">
        <f>IFERROR(IF(D598="","",_xlfn.XLOOKUP(D598,STUDENTS!D597:D100594,STUDENTS!G597:G100594)),"update STUDENT sheet")</f>
        <v/>
      </c>
      <c r="G598">
        <f>IFERROR(IF(E598="","",_xlfn.XLOOKUP(E598,STUDENTS!F597:F100594,STUDENTS!H597:H100594)),"update STUDENT sheet")</f>
        <v/>
      </c>
    </row>
    <row r="599">
      <c r="B599">
        <f>IF(STUDENTS!B598="","",STUDENTS!B598)</f>
        <v/>
      </c>
      <c r="C599">
        <f>IFERROR(IF(B599="","",_xlfn.XLOOKUP(B599,STUDENTS!$B$3:$B$1048576,STUDENTS!$C$3:$C$1048576)),"Enter a registered reg. no")</f>
        <v/>
      </c>
      <c r="D599">
        <f>IFERROR(IF(B599="","",_xlfn.XLOOKUP(B599,STUDENTS!B598:B100595,STUDENTS!D598:D100595)),"update STUDENT sheet")</f>
        <v/>
      </c>
      <c r="E599">
        <f>IFERROR(IF(C599="","",_xlfn.XLOOKUP(C599,STUDENTS!C598:C100595,STUDENTS!F598:F100595)),"update STUDENT sheet")</f>
        <v/>
      </c>
      <c r="F599">
        <f>IFERROR(IF(D599="","",_xlfn.XLOOKUP(D599,STUDENTS!D598:D100595,STUDENTS!G598:G100595)),"update STUDENT sheet")</f>
        <v/>
      </c>
      <c r="G599">
        <f>IFERROR(IF(E599="","",_xlfn.XLOOKUP(E599,STUDENTS!F598:F100595,STUDENTS!H598:H100595)),"update STUDENT sheet")</f>
        <v/>
      </c>
    </row>
    <row r="600">
      <c r="B600">
        <f>IF(STUDENTS!B599="","",STUDENTS!B599)</f>
        <v/>
      </c>
      <c r="C600">
        <f>IFERROR(IF(B600="","",_xlfn.XLOOKUP(B600,STUDENTS!$B$3:$B$1048576,STUDENTS!$C$3:$C$1048576)),"Enter a registered reg. no")</f>
        <v/>
      </c>
      <c r="D600">
        <f>IFERROR(IF(B600="","",_xlfn.XLOOKUP(B600,STUDENTS!B599:B100596,STUDENTS!D599:D100596)),"update STUDENT sheet")</f>
        <v/>
      </c>
      <c r="E600">
        <f>IFERROR(IF(C600="","",_xlfn.XLOOKUP(C600,STUDENTS!C599:C100596,STUDENTS!F599:F100596)),"update STUDENT sheet")</f>
        <v/>
      </c>
      <c r="F600">
        <f>IFERROR(IF(D600="","",_xlfn.XLOOKUP(D600,STUDENTS!D599:D100596,STUDENTS!G599:G100596)),"update STUDENT sheet")</f>
        <v/>
      </c>
      <c r="G600">
        <f>IFERROR(IF(E600="","",_xlfn.XLOOKUP(E600,STUDENTS!F599:F100596,STUDENTS!H599:H100596)),"update STUDENT sheet")</f>
        <v/>
      </c>
    </row>
    <row r="601">
      <c r="B601">
        <f>IF(STUDENTS!B600="","",STUDENTS!B600)</f>
        <v/>
      </c>
      <c r="C601">
        <f>IFERROR(IF(B601="","",_xlfn.XLOOKUP(B601,STUDENTS!$B$3:$B$1048576,STUDENTS!$C$3:$C$1048576)),"Enter a registered reg. no")</f>
        <v/>
      </c>
      <c r="D601">
        <f>IFERROR(IF(B601="","",_xlfn.XLOOKUP(B601,STUDENTS!B600:B100597,STUDENTS!D600:D100597)),"update STUDENT sheet")</f>
        <v/>
      </c>
      <c r="E601">
        <f>IFERROR(IF(C601="","",_xlfn.XLOOKUP(C601,STUDENTS!C600:C100597,STUDENTS!F600:F100597)),"update STUDENT sheet")</f>
        <v/>
      </c>
      <c r="F601">
        <f>IFERROR(IF(D601="","",_xlfn.XLOOKUP(D601,STUDENTS!D600:D100597,STUDENTS!G600:G100597)),"update STUDENT sheet")</f>
        <v/>
      </c>
      <c r="G601">
        <f>IFERROR(IF(E601="","",_xlfn.XLOOKUP(E601,STUDENTS!F600:F100597,STUDENTS!H600:H100597)),"update STUDENT sheet")</f>
        <v/>
      </c>
    </row>
    <row r="602">
      <c r="B602">
        <f>IF(STUDENTS!B601="","",STUDENTS!B601)</f>
        <v/>
      </c>
      <c r="C602">
        <f>IFERROR(IF(B602="","",_xlfn.XLOOKUP(B602,STUDENTS!$B$3:$B$1048576,STUDENTS!$C$3:$C$1048576)),"Enter a registered reg. no")</f>
        <v/>
      </c>
      <c r="D602">
        <f>IFERROR(IF(B602="","",_xlfn.XLOOKUP(B602,STUDENTS!B601:B100598,STUDENTS!D601:D100598)),"update STUDENT sheet")</f>
        <v/>
      </c>
      <c r="E602">
        <f>IFERROR(IF(C602="","",_xlfn.XLOOKUP(C602,STUDENTS!C601:C100598,STUDENTS!F601:F100598)),"update STUDENT sheet")</f>
        <v/>
      </c>
      <c r="F602">
        <f>IFERROR(IF(D602="","",_xlfn.XLOOKUP(D602,STUDENTS!D601:D100598,STUDENTS!G601:G100598)),"update STUDENT sheet")</f>
        <v/>
      </c>
      <c r="G602">
        <f>IFERROR(IF(E602="","",_xlfn.XLOOKUP(E602,STUDENTS!F601:F100598,STUDENTS!H601:H100598)),"update STUDENT sheet")</f>
        <v/>
      </c>
    </row>
    <row r="603">
      <c r="B603">
        <f>IF(STUDENTS!B602="","",STUDENTS!B602)</f>
        <v/>
      </c>
      <c r="C603">
        <f>IFERROR(IF(B603="","",_xlfn.XLOOKUP(B603,STUDENTS!$B$3:$B$1048576,STUDENTS!$C$3:$C$1048576)),"Enter a registered reg. no")</f>
        <v/>
      </c>
      <c r="D603">
        <f>IFERROR(IF(B603="","",_xlfn.XLOOKUP(B603,STUDENTS!B602:B100599,STUDENTS!D602:D100599)),"update STUDENT sheet")</f>
        <v/>
      </c>
      <c r="E603">
        <f>IFERROR(IF(C603="","",_xlfn.XLOOKUP(C603,STUDENTS!C602:C100599,STUDENTS!F602:F100599)),"update STUDENT sheet")</f>
        <v/>
      </c>
      <c r="F603">
        <f>IFERROR(IF(D603="","",_xlfn.XLOOKUP(D603,STUDENTS!D602:D100599,STUDENTS!G602:G100599)),"update STUDENT sheet")</f>
        <v/>
      </c>
      <c r="G603">
        <f>IFERROR(IF(E603="","",_xlfn.XLOOKUP(E603,STUDENTS!F602:F100599,STUDENTS!H602:H100599)),"update STUDENT sheet")</f>
        <v/>
      </c>
    </row>
    <row r="604">
      <c r="B604">
        <f>IF(STUDENTS!B603="","",STUDENTS!B603)</f>
        <v/>
      </c>
      <c r="C604">
        <f>IFERROR(IF(B604="","",_xlfn.XLOOKUP(B604,STUDENTS!$B$3:$B$1048576,STUDENTS!$C$3:$C$1048576)),"Enter a registered reg. no")</f>
        <v/>
      </c>
      <c r="D604">
        <f>IFERROR(IF(B604="","",_xlfn.XLOOKUP(B604,STUDENTS!B603:B100600,STUDENTS!D603:D100600)),"update STUDENT sheet")</f>
        <v/>
      </c>
      <c r="E604">
        <f>IFERROR(IF(C604="","",_xlfn.XLOOKUP(C604,STUDENTS!C603:C100600,STUDENTS!F603:F100600)),"update STUDENT sheet")</f>
        <v/>
      </c>
      <c r="F604">
        <f>IFERROR(IF(D604="","",_xlfn.XLOOKUP(D604,STUDENTS!D603:D100600,STUDENTS!G603:G100600)),"update STUDENT sheet")</f>
        <v/>
      </c>
      <c r="G604">
        <f>IFERROR(IF(E604="","",_xlfn.XLOOKUP(E604,STUDENTS!F603:F100600,STUDENTS!H603:H100600)),"update STUDENT sheet")</f>
        <v/>
      </c>
    </row>
    <row r="605">
      <c r="B605">
        <f>IF(STUDENTS!B604="","",STUDENTS!B604)</f>
        <v/>
      </c>
      <c r="C605">
        <f>IFERROR(IF(B605="","",_xlfn.XLOOKUP(B605,STUDENTS!$B$3:$B$1048576,STUDENTS!$C$3:$C$1048576)),"Enter a registered reg. no")</f>
        <v/>
      </c>
      <c r="D605">
        <f>IFERROR(IF(B605="","",_xlfn.XLOOKUP(B605,STUDENTS!B604:B100601,STUDENTS!D604:D100601)),"update STUDENT sheet")</f>
        <v/>
      </c>
      <c r="E605">
        <f>IFERROR(IF(C605="","",_xlfn.XLOOKUP(C605,STUDENTS!C604:C100601,STUDENTS!F604:F100601)),"update STUDENT sheet")</f>
        <v/>
      </c>
      <c r="F605">
        <f>IFERROR(IF(D605="","",_xlfn.XLOOKUP(D605,STUDENTS!D604:D100601,STUDENTS!G604:G100601)),"update STUDENT sheet")</f>
        <v/>
      </c>
      <c r="G605">
        <f>IFERROR(IF(E605="","",_xlfn.XLOOKUP(E605,STUDENTS!F604:F100601,STUDENTS!H604:H100601)),"update STUDENT sheet")</f>
        <v/>
      </c>
    </row>
    <row r="606">
      <c r="B606">
        <f>IF(STUDENTS!B605="","",STUDENTS!B605)</f>
        <v/>
      </c>
      <c r="C606">
        <f>IFERROR(IF(B606="","",_xlfn.XLOOKUP(B606,STUDENTS!$B$3:$B$1048576,STUDENTS!$C$3:$C$1048576)),"Enter a registered reg. no")</f>
        <v/>
      </c>
      <c r="D606">
        <f>IFERROR(IF(B606="","",_xlfn.XLOOKUP(B606,STUDENTS!B605:B100602,STUDENTS!D605:D100602)),"update STUDENT sheet")</f>
        <v/>
      </c>
      <c r="E606">
        <f>IFERROR(IF(C606="","",_xlfn.XLOOKUP(C606,STUDENTS!C605:C100602,STUDENTS!F605:F100602)),"update STUDENT sheet")</f>
        <v/>
      </c>
      <c r="F606">
        <f>IFERROR(IF(D606="","",_xlfn.XLOOKUP(D606,STUDENTS!D605:D100602,STUDENTS!G605:G100602)),"update STUDENT sheet")</f>
        <v/>
      </c>
      <c r="G606">
        <f>IFERROR(IF(E606="","",_xlfn.XLOOKUP(E606,STUDENTS!F605:F100602,STUDENTS!H605:H100602)),"update STUDENT sheet")</f>
        <v/>
      </c>
    </row>
    <row r="607">
      <c r="B607">
        <f>IF(STUDENTS!B606="","",STUDENTS!B606)</f>
        <v/>
      </c>
      <c r="C607">
        <f>IFERROR(IF(B607="","",_xlfn.XLOOKUP(B607,STUDENTS!$B$3:$B$1048576,STUDENTS!$C$3:$C$1048576)),"Enter a registered reg. no")</f>
        <v/>
      </c>
      <c r="D607">
        <f>IFERROR(IF(B607="","",_xlfn.XLOOKUP(B607,STUDENTS!B606:B100603,STUDENTS!D606:D100603)),"update STUDENT sheet")</f>
        <v/>
      </c>
      <c r="E607">
        <f>IFERROR(IF(C607="","",_xlfn.XLOOKUP(C607,STUDENTS!C606:C100603,STUDENTS!F606:F100603)),"update STUDENT sheet")</f>
        <v/>
      </c>
      <c r="F607">
        <f>IFERROR(IF(D607="","",_xlfn.XLOOKUP(D607,STUDENTS!D606:D100603,STUDENTS!G606:G100603)),"update STUDENT sheet")</f>
        <v/>
      </c>
      <c r="G607">
        <f>IFERROR(IF(E607="","",_xlfn.XLOOKUP(E607,STUDENTS!F606:F100603,STUDENTS!H606:H100603)),"update STUDENT sheet")</f>
        <v/>
      </c>
    </row>
    <row r="608">
      <c r="B608">
        <f>IF(STUDENTS!B607="","",STUDENTS!B607)</f>
        <v/>
      </c>
      <c r="C608">
        <f>IFERROR(IF(B608="","",_xlfn.XLOOKUP(B608,STUDENTS!$B$3:$B$1048576,STUDENTS!$C$3:$C$1048576)),"Enter a registered reg. no")</f>
        <v/>
      </c>
      <c r="D608">
        <f>IFERROR(IF(B608="","",_xlfn.XLOOKUP(B608,STUDENTS!B607:B100604,STUDENTS!D607:D100604)),"update STUDENT sheet")</f>
        <v/>
      </c>
      <c r="E608">
        <f>IFERROR(IF(C608="","",_xlfn.XLOOKUP(C608,STUDENTS!C607:C100604,STUDENTS!F607:F100604)),"update STUDENT sheet")</f>
        <v/>
      </c>
      <c r="F608">
        <f>IFERROR(IF(D608="","",_xlfn.XLOOKUP(D608,STUDENTS!D607:D100604,STUDENTS!G607:G100604)),"update STUDENT sheet")</f>
        <v/>
      </c>
      <c r="G608">
        <f>IFERROR(IF(E608="","",_xlfn.XLOOKUP(E608,STUDENTS!F607:F100604,STUDENTS!H607:H100604)),"update STUDENT sheet")</f>
        <v/>
      </c>
    </row>
    <row r="609">
      <c r="B609">
        <f>IF(STUDENTS!B608="","",STUDENTS!B608)</f>
        <v/>
      </c>
      <c r="C609">
        <f>IFERROR(IF(B609="","",_xlfn.XLOOKUP(B609,STUDENTS!$B$3:$B$1048576,STUDENTS!$C$3:$C$1048576)),"Enter a registered reg. no")</f>
        <v/>
      </c>
      <c r="D609">
        <f>IFERROR(IF(B609="","",_xlfn.XLOOKUP(B609,STUDENTS!B608:B100605,STUDENTS!D608:D100605)),"update STUDENT sheet")</f>
        <v/>
      </c>
      <c r="E609">
        <f>IFERROR(IF(C609="","",_xlfn.XLOOKUP(C609,STUDENTS!C608:C100605,STUDENTS!F608:F100605)),"update STUDENT sheet")</f>
        <v/>
      </c>
      <c r="F609">
        <f>IFERROR(IF(D609="","",_xlfn.XLOOKUP(D609,STUDENTS!D608:D100605,STUDENTS!G608:G100605)),"update STUDENT sheet")</f>
        <v/>
      </c>
      <c r="G609">
        <f>IFERROR(IF(E609="","",_xlfn.XLOOKUP(E609,STUDENTS!F608:F100605,STUDENTS!H608:H100605)),"update STUDENT sheet")</f>
        <v/>
      </c>
    </row>
    <row r="610">
      <c r="B610">
        <f>IF(STUDENTS!B609="","",STUDENTS!B609)</f>
        <v/>
      </c>
      <c r="C610">
        <f>IFERROR(IF(B610="","",_xlfn.XLOOKUP(B610,STUDENTS!$B$3:$B$1048576,STUDENTS!$C$3:$C$1048576)),"Enter a registered reg. no")</f>
        <v/>
      </c>
      <c r="D610">
        <f>IFERROR(IF(B610="","",_xlfn.XLOOKUP(B610,STUDENTS!B609:B100606,STUDENTS!D609:D100606)),"update STUDENT sheet")</f>
        <v/>
      </c>
      <c r="E610">
        <f>IFERROR(IF(C610="","",_xlfn.XLOOKUP(C610,STUDENTS!C609:C100606,STUDENTS!F609:F100606)),"update STUDENT sheet")</f>
        <v/>
      </c>
      <c r="F610">
        <f>IFERROR(IF(D610="","",_xlfn.XLOOKUP(D610,STUDENTS!D609:D100606,STUDENTS!G609:G100606)),"update STUDENT sheet")</f>
        <v/>
      </c>
      <c r="G610">
        <f>IFERROR(IF(E610="","",_xlfn.XLOOKUP(E610,STUDENTS!F609:F100606,STUDENTS!H609:H100606)),"update STUDENT sheet")</f>
        <v/>
      </c>
    </row>
    <row r="611">
      <c r="B611">
        <f>IF(STUDENTS!B610="","",STUDENTS!B610)</f>
        <v/>
      </c>
      <c r="C611">
        <f>IFERROR(IF(B611="","",_xlfn.XLOOKUP(B611,STUDENTS!$B$3:$B$1048576,STUDENTS!$C$3:$C$1048576)),"Enter a registered reg. no")</f>
        <v/>
      </c>
      <c r="D611">
        <f>IFERROR(IF(B611="","",_xlfn.XLOOKUP(B611,STUDENTS!B610:B100607,STUDENTS!D610:D100607)),"update STUDENT sheet")</f>
        <v/>
      </c>
      <c r="E611">
        <f>IFERROR(IF(C611="","",_xlfn.XLOOKUP(C611,STUDENTS!C610:C100607,STUDENTS!F610:F100607)),"update STUDENT sheet")</f>
        <v/>
      </c>
      <c r="F611">
        <f>IFERROR(IF(D611="","",_xlfn.XLOOKUP(D611,STUDENTS!D610:D100607,STUDENTS!G610:G100607)),"update STUDENT sheet")</f>
        <v/>
      </c>
      <c r="G611">
        <f>IFERROR(IF(E611="","",_xlfn.XLOOKUP(E611,STUDENTS!F610:F100607,STUDENTS!H610:H100607)),"update STUDENT sheet")</f>
        <v/>
      </c>
    </row>
    <row r="612">
      <c r="B612">
        <f>IF(STUDENTS!B611="","",STUDENTS!B611)</f>
        <v/>
      </c>
      <c r="C612">
        <f>IFERROR(IF(B612="","",_xlfn.XLOOKUP(B612,STUDENTS!$B$3:$B$1048576,STUDENTS!$C$3:$C$1048576)),"Enter a registered reg. no")</f>
        <v/>
      </c>
      <c r="D612">
        <f>IFERROR(IF(B612="","",_xlfn.XLOOKUP(B612,STUDENTS!B611:B100608,STUDENTS!D611:D100608)),"update STUDENT sheet")</f>
        <v/>
      </c>
      <c r="E612">
        <f>IFERROR(IF(C612="","",_xlfn.XLOOKUP(C612,STUDENTS!C611:C100608,STUDENTS!F611:F100608)),"update STUDENT sheet")</f>
        <v/>
      </c>
      <c r="F612">
        <f>IFERROR(IF(D612="","",_xlfn.XLOOKUP(D612,STUDENTS!D611:D100608,STUDENTS!G611:G100608)),"update STUDENT sheet")</f>
        <v/>
      </c>
      <c r="G612">
        <f>IFERROR(IF(E612="","",_xlfn.XLOOKUP(E612,STUDENTS!F611:F100608,STUDENTS!H611:H100608)),"update STUDENT sheet")</f>
        <v/>
      </c>
    </row>
    <row r="613">
      <c r="B613">
        <f>IF(STUDENTS!B612="","",STUDENTS!B612)</f>
        <v/>
      </c>
      <c r="C613">
        <f>IFERROR(IF(B613="","",_xlfn.XLOOKUP(B613,STUDENTS!$B$3:$B$1048576,STUDENTS!$C$3:$C$1048576)),"Enter a registered reg. no")</f>
        <v/>
      </c>
      <c r="D613">
        <f>IFERROR(IF(B613="","",_xlfn.XLOOKUP(B613,STUDENTS!B612:B100609,STUDENTS!D612:D100609)),"update STUDENT sheet")</f>
        <v/>
      </c>
      <c r="E613">
        <f>IFERROR(IF(C613="","",_xlfn.XLOOKUP(C613,STUDENTS!C612:C100609,STUDENTS!F612:F100609)),"update STUDENT sheet")</f>
        <v/>
      </c>
      <c r="F613">
        <f>IFERROR(IF(D613="","",_xlfn.XLOOKUP(D613,STUDENTS!D612:D100609,STUDENTS!G612:G100609)),"update STUDENT sheet")</f>
        <v/>
      </c>
      <c r="G613">
        <f>IFERROR(IF(E613="","",_xlfn.XLOOKUP(E613,STUDENTS!F612:F100609,STUDENTS!H612:H100609)),"update STUDENT sheet")</f>
        <v/>
      </c>
    </row>
    <row r="614">
      <c r="B614">
        <f>IF(STUDENTS!B613="","",STUDENTS!B613)</f>
        <v/>
      </c>
      <c r="C614">
        <f>IFERROR(IF(B614="","",_xlfn.XLOOKUP(B614,STUDENTS!$B$3:$B$1048576,STUDENTS!$C$3:$C$1048576)),"Enter a registered reg. no")</f>
        <v/>
      </c>
      <c r="D614">
        <f>IFERROR(IF(B614="","",_xlfn.XLOOKUP(B614,STUDENTS!B613:B100610,STUDENTS!D613:D100610)),"update STUDENT sheet")</f>
        <v/>
      </c>
      <c r="E614">
        <f>IFERROR(IF(C614="","",_xlfn.XLOOKUP(C614,STUDENTS!C613:C100610,STUDENTS!F613:F100610)),"update STUDENT sheet")</f>
        <v/>
      </c>
      <c r="F614">
        <f>IFERROR(IF(D614="","",_xlfn.XLOOKUP(D614,STUDENTS!D613:D100610,STUDENTS!G613:G100610)),"update STUDENT sheet")</f>
        <v/>
      </c>
      <c r="G614">
        <f>IFERROR(IF(E614="","",_xlfn.XLOOKUP(E614,STUDENTS!F613:F100610,STUDENTS!H613:H100610)),"update STUDENT sheet")</f>
        <v/>
      </c>
    </row>
    <row r="615">
      <c r="B615">
        <f>IF(STUDENTS!B614="","",STUDENTS!B614)</f>
        <v/>
      </c>
      <c r="C615">
        <f>IFERROR(IF(B615="","",_xlfn.XLOOKUP(B615,STUDENTS!$B$3:$B$1048576,STUDENTS!$C$3:$C$1048576)),"Enter a registered reg. no")</f>
        <v/>
      </c>
      <c r="D615">
        <f>IFERROR(IF(B615="","",_xlfn.XLOOKUP(B615,STUDENTS!B614:B100611,STUDENTS!D614:D100611)),"update STUDENT sheet")</f>
        <v/>
      </c>
      <c r="E615">
        <f>IFERROR(IF(C615="","",_xlfn.XLOOKUP(C615,STUDENTS!C614:C100611,STUDENTS!F614:F100611)),"update STUDENT sheet")</f>
        <v/>
      </c>
      <c r="F615">
        <f>IFERROR(IF(D615="","",_xlfn.XLOOKUP(D615,STUDENTS!D614:D100611,STUDENTS!G614:G100611)),"update STUDENT sheet")</f>
        <v/>
      </c>
      <c r="G615">
        <f>IFERROR(IF(E615="","",_xlfn.XLOOKUP(E615,STUDENTS!F614:F100611,STUDENTS!H614:H100611)),"update STUDENT sheet")</f>
        <v/>
      </c>
    </row>
    <row r="616">
      <c r="B616">
        <f>IF(STUDENTS!B615="","",STUDENTS!B615)</f>
        <v/>
      </c>
      <c r="C616">
        <f>IFERROR(IF(B616="","",_xlfn.XLOOKUP(B616,STUDENTS!$B$3:$B$1048576,STUDENTS!$C$3:$C$1048576)),"Enter a registered reg. no")</f>
        <v/>
      </c>
      <c r="D616">
        <f>IFERROR(IF(B616="","",_xlfn.XLOOKUP(B616,STUDENTS!B615:B100612,STUDENTS!D615:D100612)),"update STUDENT sheet")</f>
        <v/>
      </c>
      <c r="E616">
        <f>IFERROR(IF(C616="","",_xlfn.XLOOKUP(C616,STUDENTS!C615:C100612,STUDENTS!F615:F100612)),"update STUDENT sheet")</f>
        <v/>
      </c>
      <c r="F616">
        <f>IFERROR(IF(D616="","",_xlfn.XLOOKUP(D616,STUDENTS!D615:D100612,STUDENTS!G615:G100612)),"update STUDENT sheet")</f>
        <v/>
      </c>
      <c r="G616">
        <f>IFERROR(IF(E616="","",_xlfn.XLOOKUP(E616,STUDENTS!F615:F100612,STUDENTS!H615:H100612)),"update STUDENT sheet")</f>
        <v/>
      </c>
    </row>
    <row r="617">
      <c r="B617">
        <f>IF(STUDENTS!B616="","",STUDENTS!B616)</f>
        <v/>
      </c>
      <c r="C617">
        <f>IFERROR(IF(B617="","",_xlfn.XLOOKUP(B617,STUDENTS!$B$3:$B$1048576,STUDENTS!$C$3:$C$1048576)),"Enter a registered reg. no")</f>
        <v/>
      </c>
      <c r="D617">
        <f>IFERROR(IF(B617="","",_xlfn.XLOOKUP(B617,STUDENTS!B616:B100613,STUDENTS!D616:D100613)),"update STUDENT sheet")</f>
        <v/>
      </c>
      <c r="E617">
        <f>IFERROR(IF(C617="","",_xlfn.XLOOKUP(C617,STUDENTS!C616:C100613,STUDENTS!F616:F100613)),"update STUDENT sheet")</f>
        <v/>
      </c>
      <c r="F617">
        <f>IFERROR(IF(D617="","",_xlfn.XLOOKUP(D617,STUDENTS!D616:D100613,STUDENTS!G616:G100613)),"update STUDENT sheet")</f>
        <v/>
      </c>
      <c r="G617">
        <f>IFERROR(IF(E617="","",_xlfn.XLOOKUP(E617,STUDENTS!F616:F100613,STUDENTS!H616:H100613)),"update STUDENT sheet")</f>
        <v/>
      </c>
    </row>
    <row r="618">
      <c r="B618">
        <f>IF(STUDENTS!B617="","",STUDENTS!B617)</f>
        <v/>
      </c>
      <c r="C618">
        <f>IFERROR(IF(B618="","",_xlfn.XLOOKUP(B618,STUDENTS!$B$3:$B$1048576,STUDENTS!$C$3:$C$1048576)),"Enter a registered reg. no")</f>
        <v/>
      </c>
      <c r="D618">
        <f>IFERROR(IF(B618="","",_xlfn.XLOOKUP(B618,STUDENTS!B617:B100614,STUDENTS!D617:D100614)),"update STUDENT sheet")</f>
        <v/>
      </c>
      <c r="E618">
        <f>IFERROR(IF(C618="","",_xlfn.XLOOKUP(C618,STUDENTS!C617:C100614,STUDENTS!F617:F100614)),"update STUDENT sheet")</f>
        <v/>
      </c>
      <c r="F618">
        <f>IFERROR(IF(D618="","",_xlfn.XLOOKUP(D618,STUDENTS!D617:D100614,STUDENTS!G617:G100614)),"update STUDENT sheet")</f>
        <v/>
      </c>
      <c r="G618">
        <f>IFERROR(IF(E618="","",_xlfn.XLOOKUP(E618,STUDENTS!F617:F100614,STUDENTS!H617:H100614)),"update STUDENT sheet")</f>
        <v/>
      </c>
    </row>
    <row r="619">
      <c r="B619">
        <f>IF(STUDENTS!B618="","",STUDENTS!B618)</f>
        <v/>
      </c>
      <c r="C619">
        <f>IFERROR(IF(B619="","",_xlfn.XLOOKUP(B619,STUDENTS!$B$3:$B$1048576,STUDENTS!$C$3:$C$1048576)),"Enter a registered reg. no")</f>
        <v/>
      </c>
      <c r="D619">
        <f>IFERROR(IF(B619="","",_xlfn.XLOOKUP(B619,STUDENTS!B618:B100615,STUDENTS!D618:D100615)),"update STUDENT sheet")</f>
        <v/>
      </c>
      <c r="E619">
        <f>IFERROR(IF(C619="","",_xlfn.XLOOKUP(C619,STUDENTS!C618:C100615,STUDENTS!F618:F100615)),"update STUDENT sheet")</f>
        <v/>
      </c>
      <c r="F619">
        <f>IFERROR(IF(D619="","",_xlfn.XLOOKUP(D619,STUDENTS!D618:D100615,STUDENTS!G618:G100615)),"update STUDENT sheet")</f>
        <v/>
      </c>
      <c r="G619">
        <f>IFERROR(IF(E619="","",_xlfn.XLOOKUP(E619,STUDENTS!F618:F100615,STUDENTS!H618:H100615)),"update STUDENT sheet")</f>
        <v/>
      </c>
    </row>
    <row r="620">
      <c r="B620">
        <f>IF(STUDENTS!B619="","",STUDENTS!B619)</f>
        <v/>
      </c>
      <c r="C620">
        <f>IFERROR(IF(B620="","",_xlfn.XLOOKUP(B620,STUDENTS!$B$3:$B$1048576,STUDENTS!$C$3:$C$1048576)),"Enter a registered reg. no")</f>
        <v/>
      </c>
      <c r="D620">
        <f>IFERROR(IF(B620="","",_xlfn.XLOOKUP(B620,STUDENTS!B619:B100616,STUDENTS!D619:D100616)),"update STUDENT sheet")</f>
        <v/>
      </c>
      <c r="E620">
        <f>IFERROR(IF(C620="","",_xlfn.XLOOKUP(C620,STUDENTS!C619:C100616,STUDENTS!F619:F100616)),"update STUDENT sheet")</f>
        <v/>
      </c>
      <c r="F620">
        <f>IFERROR(IF(D620="","",_xlfn.XLOOKUP(D620,STUDENTS!D619:D100616,STUDENTS!G619:G100616)),"update STUDENT sheet")</f>
        <v/>
      </c>
      <c r="G620">
        <f>IFERROR(IF(E620="","",_xlfn.XLOOKUP(E620,STUDENTS!F619:F100616,STUDENTS!H619:H100616)),"update STUDENT sheet")</f>
        <v/>
      </c>
    </row>
    <row r="621">
      <c r="B621">
        <f>IF(STUDENTS!B620="","",STUDENTS!B620)</f>
        <v/>
      </c>
      <c r="C621">
        <f>IFERROR(IF(B621="","",_xlfn.XLOOKUP(B621,STUDENTS!$B$3:$B$1048576,STUDENTS!$C$3:$C$1048576)),"Enter a registered reg. no")</f>
        <v/>
      </c>
      <c r="D621">
        <f>IFERROR(IF(B621="","",_xlfn.XLOOKUP(B621,STUDENTS!B620:B100617,STUDENTS!D620:D100617)),"update STUDENT sheet")</f>
        <v/>
      </c>
      <c r="E621">
        <f>IFERROR(IF(C621="","",_xlfn.XLOOKUP(C621,STUDENTS!C620:C100617,STUDENTS!F620:F100617)),"update STUDENT sheet")</f>
        <v/>
      </c>
      <c r="F621">
        <f>IFERROR(IF(D621="","",_xlfn.XLOOKUP(D621,STUDENTS!D620:D100617,STUDENTS!G620:G100617)),"update STUDENT sheet")</f>
        <v/>
      </c>
      <c r="G621">
        <f>IFERROR(IF(E621="","",_xlfn.XLOOKUP(E621,STUDENTS!F620:F100617,STUDENTS!H620:H100617)),"update STUDENT sheet")</f>
        <v/>
      </c>
    </row>
    <row r="622">
      <c r="B622">
        <f>IF(STUDENTS!B621="","",STUDENTS!B621)</f>
        <v/>
      </c>
      <c r="C622">
        <f>IFERROR(IF(B622="","",_xlfn.XLOOKUP(B622,STUDENTS!$B$3:$B$1048576,STUDENTS!$C$3:$C$1048576)),"Enter a registered reg. no")</f>
        <v/>
      </c>
      <c r="D622">
        <f>IFERROR(IF(B622="","",_xlfn.XLOOKUP(B622,STUDENTS!B621:B100618,STUDENTS!D621:D100618)),"update STUDENT sheet")</f>
        <v/>
      </c>
      <c r="E622">
        <f>IFERROR(IF(C622="","",_xlfn.XLOOKUP(C622,STUDENTS!C621:C100618,STUDENTS!F621:F100618)),"update STUDENT sheet")</f>
        <v/>
      </c>
      <c r="F622">
        <f>IFERROR(IF(D622="","",_xlfn.XLOOKUP(D622,STUDENTS!D621:D100618,STUDENTS!G621:G100618)),"update STUDENT sheet")</f>
        <v/>
      </c>
      <c r="G622">
        <f>IFERROR(IF(E622="","",_xlfn.XLOOKUP(E622,STUDENTS!F621:F100618,STUDENTS!H621:H100618)),"update STUDENT sheet")</f>
        <v/>
      </c>
    </row>
    <row r="623">
      <c r="B623">
        <f>IF(STUDENTS!B622="","",STUDENTS!B622)</f>
        <v/>
      </c>
      <c r="C623">
        <f>IFERROR(IF(B623="","",_xlfn.XLOOKUP(B623,STUDENTS!$B$3:$B$1048576,STUDENTS!$C$3:$C$1048576)),"Enter a registered reg. no")</f>
        <v/>
      </c>
      <c r="D623">
        <f>IFERROR(IF(B623="","",_xlfn.XLOOKUP(B623,STUDENTS!B622:B100619,STUDENTS!D622:D100619)),"update STUDENT sheet")</f>
        <v/>
      </c>
      <c r="E623">
        <f>IFERROR(IF(C623="","",_xlfn.XLOOKUP(C623,STUDENTS!C622:C100619,STUDENTS!F622:F100619)),"update STUDENT sheet")</f>
        <v/>
      </c>
      <c r="F623">
        <f>IFERROR(IF(D623="","",_xlfn.XLOOKUP(D623,STUDENTS!D622:D100619,STUDENTS!G622:G100619)),"update STUDENT sheet")</f>
        <v/>
      </c>
      <c r="G623">
        <f>IFERROR(IF(E623="","",_xlfn.XLOOKUP(E623,STUDENTS!F622:F100619,STUDENTS!H622:H100619)),"update STUDENT sheet")</f>
        <v/>
      </c>
    </row>
    <row r="624">
      <c r="B624">
        <f>IF(STUDENTS!B623="","",STUDENTS!B623)</f>
        <v/>
      </c>
      <c r="C624">
        <f>IFERROR(IF(B624="","",_xlfn.XLOOKUP(B624,STUDENTS!$B$3:$B$1048576,STUDENTS!$C$3:$C$1048576)),"Enter a registered reg. no")</f>
        <v/>
      </c>
      <c r="D624">
        <f>IFERROR(IF(B624="","",_xlfn.XLOOKUP(B624,STUDENTS!B623:B100620,STUDENTS!D623:D100620)),"update STUDENT sheet")</f>
        <v/>
      </c>
      <c r="E624">
        <f>IFERROR(IF(C624="","",_xlfn.XLOOKUP(C624,STUDENTS!C623:C100620,STUDENTS!F623:F100620)),"update STUDENT sheet")</f>
        <v/>
      </c>
      <c r="F624">
        <f>IFERROR(IF(D624="","",_xlfn.XLOOKUP(D624,STUDENTS!D623:D100620,STUDENTS!G623:G100620)),"update STUDENT sheet")</f>
        <v/>
      </c>
      <c r="G624">
        <f>IFERROR(IF(E624="","",_xlfn.XLOOKUP(E624,STUDENTS!F623:F100620,STUDENTS!H623:H100620)),"update STUDENT sheet")</f>
        <v/>
      </c>
    </row>
    <row r="625">
      <c r="B625">
        <f>IF(STUDENTS!B624="","",STUDENTS!B624)</f>
        <v/>
      </c>
      <c r="C625">
        <f>IFERROR(IF(B625="","",_xlfn.XLOOKUP(B625,STUDENTS!$B$3:$B$1048576,STUDENTS!$C$3:$C$1048576)),"Enter a registered reg. no")</f>
        <v/>
      </c>
      <c r="D625">
        <f>IFERROR(IF(B625="","",_xlfn.XLOOKUP(B625,STUDENTS!B624:B100621,STUDENTS!D624:D100621)),"update STUDENT sheet")</f>
        <v/>
      </c>
      <c r="E625">
        <f>IFERROR(IF(C625="","",_xlfn.XLOOKUP(C625,STUDENTS!C624:C100621,STUDENTS!F624:F100621)),"update STUDENT sheet")</f>
        <v/>
      </c>
      <c r="F625">
        <f>IFERROR(IF(D625="","",_xlfn.XLOOKUP(D625,STUDENTS!D624:D100621,STUDENTS!G624:G100621)),"update STUDENT sheet")</f>
        <v/>
      </c>
      <c r="G625">
        <f>IFERROR(IF(E625="","",_xlfn.XLOOKUP(E625,STUDENTS!F624:F100621,STUDENTS!H624:H100621)),"update STUDENT sheet")</f>
        <v/>
      </c>
    </row>
    <row r="626">
      <c r="B626">
        <f>IF(STUDENTS!B625="","",STUDENTS!B625)</f>
        <v/>
      </c>
      <c r="C626">
        <f>IFERROR(IF(B626="","",_xlfn.XLOOKUP(B626,STUDENTS!$B$3:$B$1048576,STUDENTS!$C$3:$C$1048576)),"Enter a registered reg. no")</f>
        <v/>
      </c>
      <c r="D626">
        <f>IFERROR(IF(B626="","",_xlfn.XLOOKUP(B626,STUDENTS!B625:B100622,STUDENTS!D625:D100622)),"update STUDENT sheet")</f>
        <v/>
      </c>
      <c r="E626">
        <f>IFERROR(IF(C626="","",_xlfn.XLOOKUP(C626,STUDENTS!C625:C100622,STUDENTS!F625:F100622)),"update STUDENT sheet")</f>
        <v/>
      </c>
      <c r="F626">
        <f>IFERROR(IF(D626="","",_xlfn.XLOOKUP(D626,STUDENTS!D625:D100622,STUDENTS!G625:G100622)),"update STUDENT sheet")</f>
        <v/>
      </c>
      <c r="G626">
        <f>IFERROR(IF(E626="","",_xlfn.XLOOKUP(E626,STUDENTS!F625:F100622,STUDENTS!H625:H100622)),"update STUDENT sheet")</f>
        <v/>
      </c>
    </row>
    <row r="627">
      <c r="B627">
        <f>IF(STUDENTS!B626="","",STUDENTS!B626)</f>
        <v/>
      </c>
      <c r="C627">
        <f>IFERROR(IF(B627="","",_xlfn.XLOOKUP(B627,STUDENTS!$B$3:$B$1048576,STUDENTS!$C$3:$C$1048576)),"Enter a registered reg. no")</f>
        <v/>
      </c>
      <c r="D627">
        <f>IFERROR(IF(B627="","",_xlfn.XLOOKUP(B627,STUDENTS!B626:B100623,STUDENTS!D626:D100623)),"update STUDENT sheet")</f>
        <v/>
      </c>
      <c r="E627">
        <f>IFERROR(IF(C627="","",_xlfn.XLOOKUP(C627,STUDENTS!C626:C100623,STUDENTS!F626:F100623)),"update STUDENT sheet")</f>
        <v/>
      </c>
      <c r="F627">
        <f>IFERROR(IF(D627="","",_xlfn.XLOOKUP(D627,STUDENTS!D626:D100623,STUDENTS!G626:G100623)),"update STUDENT sheet")</f>
        <v/>
      </c>
      <c r="G627">
        <f>IFERROR(IF(E627="","",_xlfn.XLOOKUP(E627,STUDENTS!F626:F100623,STUDENTS!H626:H100623)),"update STUDENT sheet")</f>
        <v/>
      </c>
    </row>
    <row r="628">
      <c r="B628">
        <f>IF(STUDENTS!B627="","",STUDENTS!B627)</f>
        <v/>
      </c>
      <c r="C628">
        <f>IFERROR(IF(B628="","",_xlfn.XLOOKUP(B628,STUDENTS!$B$3:$B$1048576,STUDENTS!$C$3:$C$1048576)),"Enter a registered reg. no")</f>
        <v/>
      </c>
      <c r="D628">
        <f>IFERROR(IF(B628="","",_xlfn.XLOOKUP(B628,STUDENTS!B627:B100624,STUDENTS!D627:D100624)),"update STUDENT sheet")</f>
        <v/>
      </c>
      <c r="E628">
        <f>IFERROR(IF(C628="","",_xlfn.XLOOKUP(C628,STUDENTS!C627:C100624,STUDENTS!F627:F100624)),"update STUDENT sheet")</f>
        <v/>
      </c>
      <c r="F628">
        <f>IFERROR(IF(D628="","",_xlfn.XLOOKUP(D628,STUDENTS!D627:D100624,STUDENTS!G627:G100624)),"update STUDENT sheet")</f>
        <v/>
      </c>
      <c r="G628">
        <f>IFERROR(IF(E628="","",_xlfn.XLOOKUP(E628,STUDENTS!F627:F100624,STUDENTS!H627:H100624)),"update STUDENT sheet")</f>
        <v/>
      </c>
    </row>
    <row r="629">
      <c r="B629">
        <f>IF(STUDENTS!B628="","",STUDENTS!B628)</f>
        <v/>
      </c>
      <c r="C629">
        <f>IFERROR(IF(B629="","",_xlfn.XLOOKUP(B629,STUDENTS!$B$3:$B$1048576,STUDENTS!$C$3:$C$1048576)),"Enter a registered reg. no")</f>
        <v/>
      </c>
      <c r="D629">
        <f>IFERROR(IF(B629="","",_xlfn.XLOOKUP(B629,STUDENTS!B628:B100625,STUDENTS!D628:D100625)),"update STUDENT sheet")</f>
        <v/>
      </c>
      <c r="E629">
        <f>IFERROR(IF(C629="","",_xlfn.XLOOKUP(C629,STUDENTS!C628:C100625,STUDENTS!F628:F100625)),"update STUDENT sheet")</f>
        <v/>
      </c>
      <c r="F629">
        <f>IFERROR(IF(D629="","",_xlfn.XLOOKUP(D629,STUDENTS!D628:D100625,STUDENTS!G628:G100625)),"update STUDENT sheet")</f>
        <v/>
      </c>
      <c r="G629">
        <f>IFERROR(IF(E629="","",_xlfn.XLOOKUP(E629,STUDENTS!F628:F100625,STUDENTS!H628:H100625)),"update STUDENT sheet")</f>
        <v/>
      </c>
    </row>
    <row r="630">
      <c r="B630">
        <f>IF(STUDENTS!B629="","",STUDENTS!B629)</f>
        <v/>
      </c>
      <c r="C630">
        <f>IFERROR(IF(B630="","",_xlfn.XLOOKUP(B630,STUDENTS!$B$3:$B$1048576,STUDENTS!$C$3:$C$1048576)),"Enter a registered reg. no")</f>
        <v/>
      </c>
      <c r="D630">
        <f>IFERROR(IF(B630="","",_xlfn.XLOOKUP(B630,STUDENTS!B629:B100626,STUDENTS!D629:D100626)),"update STUDENT sheet")</f>
        <v/>
      </c>
      <c r="E630">
        <f>IFERROR(IF(C630="","",_xlfn.XLOOKUP(C630,STUDENTS!C629:C100626,STUDENTS!F629:F100626)),"update STUDENT sheet")</f>
        <v/>
      </c>
      <c r="F630">
        <f>IFERROR(IF(D630="","",_xlfn.XLOOKUP(D630,STUDENTS!D629:D100626,STUDENTS!G629:G100626)),"update STUDENT sheet")</f>
        <v/>
      </c>
      <c r="G630">
        <f>IFERROR(IF(E630="","",_xlfn.XLOOKUP(E630,STUDENTS!F629:F100626,STUDENTS!H629:H100626)),"update STUDENT sheet")</f>
        <v/>
      </c>
    </row>
    <row r="631">
      <c r="B631">
        <f>IF(STUDENTS!B630="","",STUDENTS!B630)</f>
        <v/>
      </c>
      <c r="C631">
        <f>IFERROR(IF(B631="","",_xlfn.XLOOKUP(B631,STUDENTS!$B$3:$B$1048576,STUDENTS!$C$3:$C$1048576)),"Enter a registered reg. no")</f>
        <v/>
      </c>
      <c r="D631">
        <f>IFERROR(IF(B631="","",_xlfn.XLOOKUP(B631,STUDENTS!B630:B100627,STUDENTS!D630:D100627)),"update STUDENT sheet")</f>
        <v/>
      </c>
      <c r="E631">
        <f>IFERROR(IF(C631="","",_xlfn.XLOOKUP(C631,STUDENTS!C630:C100627,STUDENTS!F630:F100627)),"update STUDENT sheet")</f>
        <v/>
      </c>
      <c r="F631">
        <f>IFERROR(IF(D631="","",_xlfn.XLOOKUP(D631,STUDENTS!D630:D100627,STUDENTS!G630:G100627)),"update STUDENT sheet")</f>
        <v/>
      </c>
      <c r="G631">
        <f>IFERROR(IF(E631="","",_xlfn.XLOOKUP(E631,STUDENTS!F630:F100627,STUDENTS!H630:H100627)),"update STUDENT sheet")</f>
        <v/>
      </c>
    </row>
    <row r="632">
      <c r="B632">
        <f>IF(STUDENTS!B631="","",STUDENTS!B631)</f>
        <v/>
      </c>
      <c r="C632">
        <f>IFERROR(IF(B632="","",_xlfn.XLOOKUP(B632,STUDENTS!$B$3:$B$1048576,STUDENTS!$C$3:$C$1048576)),"Enter a registered reg. no")</f>
        <v/>
      </c>
      <c r="D632">
        <f>IFERROR(IF(B632="","",_xlfn.XLOOKUP(B632,STUDENTS!B631:B100628,STUDENTS!D631:D100628)),"update STUDENT sheet")</f>
        <v/>
      </c>
      <c r="E632">
        <f>IFERROR(IF(C632="","",_xlfn.XLOOKUP(C632,STUDENTS!C631:C100628,STUDENTS!F631:F100628)),"update STUDENT sheet")</f>
        <v/>
      </c>
      <c r="F632">
        <f>IFERROR(IF(D632="","",_xlfn.XLOOKUP(D632,STUDENTS!D631:D100628,STUDENTS!G631:G100628)),"update STUDENT sheet")</f>
        <v/>
      </c>
      <c r="G632">
        <f>IFERROR(IF(E632="","",_xlfn.XLOOKUP(E632,STUDENTS!F631:F100628,STUDENTS!H631:H100628)),"update STUDENT sheet")</f>
        <v/>
      </c>
    </row>
    <row r="633">
      <c r="B633">
        <f>IF(STUDENTS!B632="","",STUDENTS!B632)</f>
        <v/>
      </c>
      <c r="C633">
        <f>IFERROR(IF(B633="","",_xlfn.XLOOKUP(B633,STUDENTS!$B$3:$B$1048576,STUDENTS!$C$3:$C$1048576)),"Enter a registered reg. no")</f>
        <v/>
      </c>
      <c r="D633">
        <f>IFERROR(IF(B633="","",_xlfn.XLOOKUP(B633,STUDENTS!B632:B100629,STUDENTS!D632:D100629)),"update STUDENT sheet")</f>
        <v/>
      </c>
      <c r="E633">
        <f>IFERROR(IF(C633="","",_xlfn.XLOOKUP(C633,STUDENTS!C632:C100629,STUDENTS!F632:F100629)),"update STUDENT sheet")</f>
        <v/>
      </c>
      <c r="F633">
        <f>IFERROR(IF(D633="","",_xlfn.XLOOKUP(D633,STUDENTS!D632:D100629,STUDENTS!G632:G100629)),"update STUDENT sheet")</f>
        <v/>
      </c>
      <c r="G633">
        <f>IFERROR(IF(E633="","",_xlfn.XLOOKUP(E633,STUDENTS!F632:F100629,STUDENTS!H632:H100629)),"update STUDENT sheet")</f>
        <v/>
      </c>
    </row>
    <row r="634">
      <c r="B634">
        <f>IF(STUDENTS!B633="","",STUDENTS!B633)</f>
        <v/>
      </c>
      <c r="C634">
        <f>IFERROR(IF(B634="","",_xlfn.XLOOKUP(B634,STUDENTS!$B$3:$B$1048576,STUDENTS!$C$3:$C$1048576)),"Enter a registered reg. no")</f>
        <v/>
      </c>
      <c r="D634">
        <f>IFERROR(IF(B634="","",_xlfn.XLOOKUP(B634,STUDENTS!B633:B100630,STUDENTS!D633:D100630)),"update STUDENT sheet")</f>
        <v/>
      </c>
      <c r="E634">
        <f>IFERROR(IF(C634="","",_xlfn.XLOOKUP(C634,STUDENTS!C633:C100630,STUDENTS!F633:F100630)),"update STUDENT sheet")</f>
        <v/>
      </c>
      <c r="F634">
        <f>IFERROR(IF(D634="","",_xlfn.XLOOKUP(D634,STUDENTS!D633:D100630,STUDENTS!G633:G100630)),"update STUDENT sheet")</f>
        <v/>
      </c>
      <c r="G634">
        <f>IFERROR(IF(E634="","",_xlfn.XLOOKUP(E634,STUDENTS!F633:F100630,STUDENTS!H633:H100630)),"update STUDENT sheet")</f>
        <v/>
      </c>
    </row>
    <row r="635">
      <c r="B635">
        <f>IF(STUDENTS!B634="","",STUDENTS!B634)</f>
        <v/>
      </c>
      <c r="C635">
        <f>IFERROR(IF(B635="","",_xlfn.XLOOKUP(B635,STUDENTS!$B$3:$B$1048576,STUDENTS!$C$3:$C$1048576)),"Enter a registered reg. no")</f>
        <v/>
      </c>
      <c r="D635">
        <f>IFERROR(IF(B635="","",_xlfn.XLOOKUP(B635,STUDENTS!B634:B100631,STUDENTS!D634:D100631)),"update STUDENT sheet")</f>
        <v/>
      </c>
      <c r="E635">
        <f>IFERROR(IF(C635="","",_xlfn.XLOOKUP(C635,STUDENTS!C634:C100631,STUDENTS!F634:F100631)),"update STUDENT sheet")</f>
        <v/>
      </c>
      <c r="F635">
        <f>IFERROR(IF(D635="","",_xlfn.XLOOKUP(D635,STUDENTS!D634:D100631,STUDENTS!G634:G100631)),"update STUDENT sheet")</f>
        <v/>
      </c>
      <c r="G635">
        <f>IFERROR(IF(E635="","",_xlfn.XLOOKUP(E635,STUDENTS!F634:F100631,STUDENTS!H634:H100631)),"update STUDENT sheet")</f>
        <v/>
      </c>
    </row>
    <row r="636">
      <c r="B636">
        <f>IF(STUDENTS!B635="","",STUDENTS!B635)</f>
        <v/>
      </c>
      <c r="C636">
        <f>IFERROR(IF(B636="","",_xlfn.XLOOKUP(B636,STUDENTS!$B$3:$B$1048576,STUDENTS!$C$3:$C$1048576)),"Enter a registered reg. no")</f>
        <v/>
      </c>
      <c r="D636">
        <f>IFERROR(IF(B636="","",_xlfn.XLOOKUP(B636,STUDENTS!B635:B100632,STUDENTS!D635:D100632)),"update STUDENT sheet")</f>
        <v/>
      </c>
      <c r="E636">
        <f>IFERROR(IF(C636="","",_xlfn.XLOOKUP(C636,STUDENTS!C635:C100632,STUDENTS!F635:F100632)),"update STUDENT sheet")</f>
        <v/>
      </c>
      <c r="F636">
        <f>IFERROR(IF(D636="","",_xlfn.XLOOKUP(D636,STUDENTS!D635:D100632,STUDENTS!G635:G100632)),"update STUDENT sheet")</f>
        <v/>
      </c>
      <c r="G636">
        <f>IFERROR(IF(E636="","",_xlfn.XLOOKUP(E636,STUDENTS!F635:F100632,STUDENTS!H635:H100632)),"update STUDENT sheet")</f>
        <v/>
      </c>
    </row>
    <row r="637">
      <c r="B637">
        <f>IF(STUDENTS!B636="","",STUDENTS!B636)</f>
        <v/>
      </c>
      <c r="C637">
        <f>IFERROR(IF(B637="","",_xlfn.XLOOKUP(B637,STUDENTS!$B$3:$B$1048576,STUDENTS!$C$3:$C$1048576)),"Enter a registered reg. no")</f>
        <v/>
      </c>
      <c r="D637">
        <f>IFERROR(IF(B637="","",_xlfn.XLOOKUP(B637,STUDENTS!B636:B100633,STUDENTS!D636:D100633)),"update STUDENT sheet")</f>
        <v/>
      </c>
      <c r="E637">
        <f>IFERROR(IF(C637="","",_xlfn.XLOOKUP(C637,STUDENTS!C636:C100633,STUDENTS!F636:F100633)),"update STUDENT sheet")</f>
        <v/>
      </c>
      <c r="F637">
        <f>IFERROR(IF(D637="","",_xlfn.XLOOKUP(D637,STUDENTS!D636:D100633,STUDENTS!G636:G100633)),"update STUDENT sheet")</f>
        <v/>
      </c>
      <c r="G637">
        <f>IFERROR(IF(E637="","",_xlfn.XLOOKUP(E637,STUDENTS!F636:F100633,STUDENTS!H636:H100633)),"update STUDENT sheet")</f>
        <v/>
      </c>
    </row>
    <row r="638">
      <c r="B638">
        <f>IF(STUDENTS!B637="","",STUDENTS!B637)</f>
        <v/>
      </c>
      <c r="C638">
        <f>IFERROR(IF(B638="","",_xlfn.XLOOKUP(B638,STUDENTS!$B$3:$B$1048576,STUDENTS!$C$3:$C$1048576)),"Enter a registered reg. no")</f>
        <v/>
      </c>
      <c r="D638">
        <f>IFERROR(IF(B638="","",_xlfn.XLOOKUP(B638,STUDENTS!B637:B100634,STUDENTS!D637:D100634)),"update STUDENT sheet")</f>
        <v/>
      </c>
      <c r="E638">
        <f>IFERROR(IF(C638="","",_xlfn.XLOOKUP(C638,STUDENTS!C637:C100634,STUDENTS!F637:F100634)),"update STUDENT sheet")</f>
        <v/>
      </c>
      <c r="F638">
        <f>IFERROR(IF(D638="","",_xlfn.XLOOKUP(D638,STUDENTS!D637:D100634,STUDENTS!G637:G100634)),"update STUDENT sheet")</f>
        <v/>
      </c>
      <c r="G638">
        <f>IFERROR(IF(E638="","",_xlfn.XLOOKUP(E638,STUDENTS!F637:F100634,STUDENTS!H637:H100634)),"update STUDENT sheet")</f>
        <v/>
      </c>
    </row>
    <row r="639">
      <c r="B639">
        <f>IF(STUDENTS!B638="","",STUDENTS!B638)</f>
        <v/>
      </c>
      <c r="C639">
        <f>IFERROR(IF(B639="","",_xlfn.XLOOKUP(B639,STUDENTS!$B$3:$B$1048576,STUDENTS!$C$3:$C$1048576)),"Enter a registered reg. no")</f>
        <v/>
      </c>
      <c r="D639">
        <f>IFERROR(IF(B639="","",_xlfn.XLOOKUP(B639,STUDENTS!B638:B100635,STUDENTS!D638:D100635)),"update STUDENT sheet")</f>
        <v/>
      </c>
      <c r="E639">
        <f>IFERROR(IF(C639="","",_xlfn.XLOOKUP(C639,STUDENTS!C638:C100635,STUDENTS!F638:F100635)),"update STUDENT sheet")</f>
        <v/>
      </c>
      <c r="F639">
        <f>IFERROR(IF(D639="","",_xlfn.XLOOKUP(D639,STUDENTS!D638:D100635,STUDENTS!G638:G100635)),"update STUDENT sheet")</f>
        <v/>
      </c>
      <c r="G639">
        <f>IFERROR(IF(E639="","",_xlfn.XLOOKUP(E639,STUDENTS!F638:F100635,STUDENTS!H638:H100635)),"update STUDENT sheet")</f>
        <v/>
      </c>
    </row>
    <row r="640">
      <c r="B640">
        <f>IF(STUDENTS!B639="","",STUDENTS!B639)</f>
        <v/>
      </c>
      <c r="C640">
        <f>IFERROR(IF(B640="","",_xlfn.XLOOKUP(B640,STUDENTS!$B$3:$B$1048576,STUDENTS!$C$3:$C$1048576)),"Enter a registered reg. no")</f>
        <v/>
      </c>
      <c r="D640">
        <f>IFERROR(IF(B640="","",_xlfn.XLOOKUP(B640,STUDENTS!B639:B100636,STUDENTS!D639:D100636)),"update STUDENT sheet")</f>
        <v/>
      </c>
      <c r="E640">
        <f>IFERROR(IF(C640="","",_xlfn.XLOOKUP(C640,STUDENTS!C639:C100636,STUDENTS!F639:F100636)),"update STUDENT sheet")</f>
        <v/>
      </c>
      <c r="F640">
        <f>IFERROR(IF(D640="","",_xlfn.XLOOKUP(D640,STUDENTS!D639:D100636,STUDENTS!G639:G100636)),"update STUDENT sheet")</f>
        <v/>
      </c>
      <c r="G640">
        <f>IFERROR(IF(E640="","",_xlfn.XLOOKUP(E640,STUDENTS!F639:F100636,STUDENTS!H639:H100636)),"update STUDENT sheet")</f>
        <v/>
      </c>
    </row>
    <row r="641">
      <c r="B641">
        <f>IF(STUDENTS!B640="","",STUDENTS!B640)</f>
        <v/>
      </c>
      <c r="C641">
        <f>IFERROR(IF(B641="","",_xlfn.XLOOKUP(B641,STUDENTS!$B$3:$B$1048576,STUDENTS!$C$3:$C$1048576)),"Enter a registered reg. no")</f>
        <v/>
      </c>
      <c r="D641">
        <f>IFERROR(IF(B641="","",_xlfn.XLOOKUP(B641,STUDENTS!B640:B100637,STUDENTS!D640:D100637)),"update STUDENT sheet")</f>
        <v/>
      </c>
      <c r="E641">
        <f>IFERROR(IF(C641="","",_xlfn.XLOOKUP(C641,STUDENTS!C640:C100637,STUDENTS!F640:F100637)),"update STUDENT sheet")</f>
        <v/>
      </c>
      <c r="F641">
        <f>IFERROR(IF(D641="","",_xlfn.XLOOKUP(D641,STUDENTS!D640:D100637,STUDENTS!G640:G100637)),"update STUDENT sheet")</f>
        <v/>
      </c>
      <c r="G641">
        <f>IFERROR(IF(E641="","",_xlfn.XLOOKUP(E641,STUDENTS!F640:F100637,STUDENTS!H640:H100637)),"update STUDENT sheet")</f>
        <v/>
      </c>
    </row>
    <row r="642">
      <c r="B642">
        <f>IF(STUDENTS!B641="","",STUDENTS!B641)</f>
        <v/>
      </c>
      <c r="C642">
        <f>IFERROR(IF(B642="","",_xlfn.XLOOKUP(B642,STUDENTS!$B$3:$B$1048576,STUDENTS!$C$3:$C$1048576)),"Enter a registered reg. no")</f>
        <v/>
      </c>
      <c r="D642">
        <f>IFERROR(IF(B642="","",_xlfn.XLOOKUP(B642,STUDENTS!B641:B100638,STUDENTS!D641:D100638)),"update STUDENT sheet")</f>
        <v/>
      </c>
      <c r="E642">
        <f>IFERROR(IF(C642="","",_xlfn.XLOOKUP(C642,STUDENTS!C641:C100638,STUDENTS!F641:F100638)),"update STUDENT sheet")</f>
        <v/>
      </c>
      <c r="F642">
        <f>IFERROR(IF(D642="","",_xlfn.XLOOKUP(D642,STUDENTS!D641:D100638,STUDENTS!G641:G100638)),"update STUDENT sheet")</f>
        <v/>
      </c>
      <c r="G642">
        <f>IFERROR(IF(E642="","",_xlfn.XLOOKUP(E642,STUDENTS!F641:F100638,STUDENTS!H641:H100638)),"update STUDENT sheet")</f>
        <v/>
      </c>
    </row>
    <row r="643">
      <c r="B643">
        <f>IF(STUDENTS!B642="","",STUDENTS!B642)</f>
        <v/>
      </c>
      <c r="C643">
        <f>IFERROR(IF(B643="","",_xlfn.XLOOKUP(B643,STUDENTS!$B$3:$B$1048576,STUDENTS!$C$3:$C$1048576)),"Enter a registered reg. no")</f>
        <v/>
      </c>
      <c r="D643">
        <f>IFERROR(IF(B643="","",_xlfn.XLOOKUP(B643,STUDENTS!B642:B100639,STUDENTS!D642:D100639)),"update STUDENT sheet")</f>
        <v/>
      </c>
      <c r="E643">
        <f>IFERROR(IF(C643="","",_xlfn.XLOOKUP(C643,STUDENTS!C642:C100639,STUDENTS!F642:F100639)),"update STUDENT sheet")</f>
        <v/>
      </c>
      <c r="F643">
        <f>IFERROR(IF(D643="","",_xlfn.XLOOKUP(D643,STUDENTS!D642:D100639,STUDENTS!G642:G100639)),"update STUDENT sheet")</f>
        <v/>
      </c>
      <c r="G643">
        <f>IFERROR(IF(E643="","",_xlfn.XLOOKUP(E643,STUDENTS!F642:F100639,STUDENTS!H642:H100639)),"update STUDENT sheet")</f>
        <v/>
      </c>
    </row>
    <row r="644">
      <c r="B644">
        <f>IF(STUDENTS!B643="","",STUDENTS!B643)</f>
        <v/>
      </c>
      <c r="C644">
        <f>IFERROR(IF(B644="","",_xlfn.XLOOKUP(B644,STUDENTS!$B$3:$B$1048576,STUDENTS!$C$3:$C$1048576)),"Enter a registered reg. no")</f>
        <v/>
      </c>
      <c r="D644">
        <f>IFERROR(IF(B644="","",_xlfn.XLOOKUP(B644,STUDENTS!B643:B100640,STUDENTS!D643:D100640)),"update STUDENT sheet")</f>
        <v/>
      </c>
      <c r="E644">
        <f>IFERROR(IF(C644="","",_xlfn.XLOOKUP(C644,STUDENTS!C643:C100640,STUDENTS!F643:F100640)),"update STUDENT sheet")</f>
        <v/>
      </c>
      <c r="F644">
        <f>IFERROR(IF(D644="","",_xlfn.XLOOKUP(D644,STUDENTS!D643:D100640,STUDENTS!G643:G100640)),"update STUDENT sheet")</f>
        <v/>
      </c>
      <c r="G644">
        <f>IFERROR(IF(E644="","",_xlfn.XLOOKUP(E644,STUDENTS!F643:F100640,STUDENTS!H643:H100640)),"update STUDENT sheet")</f>
        <v/>
      </c>
    </row>
    <row r="645">
      <c r="B645">
        <f>IF(STUDENTS!B644="","",STUDENTS!B644)</f>
        <v/>
      </c>
      <c r="C645">
        <f>IFERROR(IF(B645="","",_xlfn.XLOOKUP(B645,STUDENTS!$B$3:$B$1048576,STUDENTS!$C$3:$C$1048576)),"Enter a registered reg. no")</f>
        <v/>
      </c>
      <c r="D645">
        <f>IFERROR(IF(B645="","",_xlfn.XLOOKUP(B645,STUDENTS!B644:B100641,STUDENTS!D644:D100641)),"update STUDENT sheet")</f>
        <v/>
      </c>
      <c r="E645">
        <f>IFERROR(IF(C645="","",_xlfn.XLOOKUP(C645,STUDENTS!C644:C100641,STUDENTS!F644:F100641)),"update STUDENT sheet")</f>
        <v/>
      </c>
      <c r="F645">
        <f>IFERROR(IF(D645="","",_xlfn.XLOOKUP(D645,STUDENTS!D644:D100641,STUDENTS!G644:G100641)),"update STUDENT sheet")</f>
        <v/>
      </c>
      <c r="G645">
        <f>IFERROR(IF(E645="","",_xlfn.XLOOKUP(E645,STUDENTS!F644:F100641,STUDENTS!H644:H100641)),"update STUDENT sheet")</f>
        <v/>
      </c>
    </row>
    <row r="646">
      <c r="B646">
        <f>IF(STUDENTS!B645="","",STUDENTS!B645)</f>
        <v/>
      </c>
      <c r="C646">
        <f>IFERROR(IF(B646="","",_xlfn.XLOOKUP(B646,STUDENTS!$B$3:$B$1048576,STUDENTS!$C$3:$C$1048576)),"Enter a registered reg. no")</f>
        <v/>
      </c>
      <c r="D646">
        <f>IFERROR(IF(B646="","",_xlfn.XLOOKUP(B646,STUDENTS!B645:B100642,STUDENTS!D645:D100642)),"update STUDENT sheet")</f>
        <v/>
      </c>
      <c r="E646">
        <f>IFERROR(IF(C646="","",_xlfn.XLOOKUP(C646,STUDENTS!C645:C100642,STUDENTS!F645:F100642)),"update STUDENT sheet")</f>
        <v/>
      </c>
      <c r="F646">
        <f>IFERROR(IF(D646="","",_xlfn.XLOOKUP(D646,STUDENTS!D645:D100642,STUDENTS!G645:G100642)),"update STUDENT sheet")</f>
        <v/>
      </c>
      <c r="G646">
        <f>IFERROR(IF(E646="","",_xlfn.XLOOKUP(E646,STUDENTS!F645:F100642,STUDENTS!H645:H100642)),"update STUDENT sheet")</f>
        <v/>
      </c>
    </row>
    <row r="647">
      <c r="B647">
        <f>IF(STUDENTS!B646="","",STUDENTS!B646)</f>
        <v/>
      </c>
      <c r="C647">
        <f>IFERROR(IF(B647="","",_xlfn.XLOOKUP(B647,STUDENTS!$B$3:$B$1048576,STUDENTS!$C$3:$C$1048576)),"Enter a registered reg. no")</f>
        <v/>
      </c>
      <c r="D647">
        <f>IFERROR(IF(B647="","",_xlfn.XLOOKUP(B647,STUDENTS!B646:B100643,STUDENTS!D646:D100643)),"update STUDENT sheet")</f>
        <v/>
      </c>
      <c r="E647">
        <f>IFERROR(IF(C647="","",_xlfn.XLOOKUP(C647,STUDENTS!C646:C100643,STUDENTS!F646:F100643)),"update STUDENT sheet")</f>
        <v/>
      </c>
      <c r="F647">
        <f>IFERROR(IF(D647="","",_xlfn.XLOOKUP(D647,STUDENTS!D646:D100643,STUDENTS!G646:G100643)),"update STUDENT sheet")</f>
        <v/>
      </c>
      <c r="G647">
        <f>IFERROR(IF(E647="","",_xlfn.XLOOKUP(E647,STUDENTS!F646:F100643,STUDENTS!H646:H100643)),"update STUDENT sheet")</f>
        <v/>
      </c>
    </row>
    <row r="648">
      <c r="B648">
        <f>IF(STUDENTS!B647="","",STUDENTS!B647)</f>
        <v/>
      </c>
      <c r="C648">
        <f>IFERROR(IF(B648="","",_xlfn.XLOOKUP(B648,STUDENTS!$B$3:$B$1048576,STUDENTS!$C$3:$C$1048576)),"Enter a registered reg. no")</f>
        <v/>
      </c>
      <c r="D648">
        <f>IFERROR(IF(B648="","",_xlfn.XLOOKUP(B648,STUDENTS!B647:B100644,STUDENTS!D647:D100644)),"update STUDENT sheet")</f>
        <v/>
      </c>
      <c r="E648">
        <f>IFERROR(IF(C648="","",_xlfn.XLOOKUP(C648,STUDENTS!C647:C100644,STUDENTS!F647:F100644)),"update STUDENT sheet")</f>
        <v/>
      </c>
      <c r="F648">
        <f>IFERROR(IF(D648="","",_xlfn.XLOOKUP(D648,STUDENTS!D647:D100644,STUDENTS!G647:G100644)),"update STUDENT sheet")</f>
        <v/>
      </c>
      <c r="G648">
        <f>IFERROR(IF(E648="","",_xlfn.XLOOKUP(E648,STUDENTS!F647:F100644,STUDENTS!H647:H100644)),"update STUDENT sheet")</f>
        <v/>
      </c>
    </row>
    <row r="649">
      <c r="B649">
        <f>IF(STUDENTS!B648="","",STUDENTS!B648)</f>
        <v/>
      </c>
      <c r="C649">
        <f>IFERROR(IF(B649="","",_xlfn.XLOOKUP(B649,STUDENTS!$B$3:$B$1048576,STUDENTS!$C$3:$C$1048576)),"Enter a registered reg. no")</f>
        <v/>
      </c>
      <c r="D649">
        <f>IFERROR(IF(B649="","",_xlfn.XLOOKUP(B649,STUDENTS!B648:B100645,STUDENTS!D648:D100645)),"update STUDENT sheet")</f>
        <v/>
      </c>
      <c r="E649">
        <f>IFERROR(IF(C649="","",_xlfn.XLOOKUP(C649,STUDENTS!C648:C100645,STUDENTS!F648:F100645)),"update STUDENT sheet")</f>
        <v/>
      </c>
      <c r="F649">
        <f>IFERROR(IF(D649="","",_xlfn.XLOOKUP(D649,STUDENTS!D648:D100645,STUDENTS!G648:G100645)),"update STUDENT sheet")</f>
        <v/>
      </c>
      <c r="G649">
        <f>IFERROR(IF(E649="","",_xlfn.XLOOKUP(E649,STUDENTS!F648:F100645,STUDENTS!H648:H100645)),"update STUDENT sheet")</f>
        <v/>
      </c>
    </row>
    <row r="650">
      <c r="B650">
        <f>IF(STUDENTS!B649="","",STUDENTS!B649)</f>
        <v/>
      </c>
      <c r="C650">
        <f>IFERROR(IF(B650="","",_xlfn.XLOOKUP(B650,STUDENTS!$B$3:$B$1048576,STUDENTS!$C$3:$C$1048576)),"Enter a registered reg. no")</f>
        <v/>
      </c>
      <c r="D650">
        <f>IFERROR(IF(B650="","",_xlfn.XLOOKUP(B650,STUDENTS!B649:B100646,STUDENTS!D649:D100646)),"update STUDENT sheet")</f>
        <v/>
      </c>
      <c r="E650">
        <f>IFERROR(IF(C650="","",_xlfn.XLOOKUP(C650,STUDENTS!C649:C100646,STUDENTS!F649:F100646)),"update STUDENT sheet")</f>
        <v/>
      </c>
      <c r="F650">
        <f>IFERROR(IF(D650="","",_xlfn.XLOOKUP(D650,STUDENTS!D649:D100646,STUDENTS!G649:G100646)),"update STUDENT sheet")</f>
        <v/>
      </c>
      <c r="G650">
        <f>IFERROR(IF(E650="","",_xlfn.XLOOKUP(E650,STUDENTS!F649:F100646,STUDENTS!H649:H100646)),"update STUDENT sheet")</f>
        <v/>
      </c>
    </row>
    <row r="651">
      <c r="B651">
        <f>IF(STUDENTS!B650="","",STUDENTS!B650)</f>
        <v/>
      </c>
      <c r="C651">
        <f>IFERROR(IF(B651="","",_xlfn.XLOOKUP(B651,STUDENTS!$B$3:$B$1048576,STUDENTS!$C$3:$C$1048576)),"Enter a registered reg. no")</f>
        <v/>
      </c>
      <c r="D651">
        <f>IFERROR(IF(B651="","",_xlfn.XLOOKUP(B651,STUDENTS!B650:B100647,STUDENTS!D650:D100647)),"update STUDENT sheet")</f>
        <v/>
      </c>
      <c r="E651">
        <f>IFERROR(IF(C651="","",_xlfn.XLOOKUP(C651,STUDENTS!C650:C100647,STUDENTS!F650:F100647)),"update STUDENT sheet")</f>
        <v/>
      </c>
      <c r="F651">
        <f>IFERROR(IF(D651="","",_xlfn.XLOOKUP(D651,STUDENTS!D650:D100647,STUDENTS!G650:G100647)),"update STUDENT sheet")</f>
        <v/>
      </c>
      <c r="G651">
        <f>IFERROR(IF(E651="","",_xlfn.XLOOKUP(E651,STUDENTS!F650:F100647,STUDENTS!H650:H100647)),"update STUDENT sheet")</f>
        <v/>
      </c>
    </row>
    <row r="652">
      <c r="B652">
        <f>IF(STUDENTS!B651="","",STUDENTS!B651)</f>
        <v/>
      </c>
      <c r="C652">
        <f>IFERROR(IF(B652="","",_xlfn.XLOOKUP(B652,STUDENTS!$B$3:$B$1048576,STUDENTS!$C$3:$C$1048576)),"Enter a registered reg. no")</f>
        <v/>
      </c>
      <c r="D652">
        <f>IFERROR(IF(B652="","",_xlfn.XLOOKUP(B652,STUDENTS!B651:B100648,STUDENTS!D651:D100648)),"update STUDENT sheet")</f>
        <v/>
      </c>
      <c r="E652">
        <f>IFERROR(IF(C652="","",_xlfn.XLOOKUP(C652,STUDENTS!C651:C100648,STUDENTS!F651:F100648)),"update STUDENT sheet")</f>
        <v/>
      </c>
      <c r="F652">
        <f>IFERROR(IF(D652="","",_xlfn.XLOOKUP(D652,STUDENTS!D651:D100648,STUDENTS!G651:G100648)),"update STUDENT sheet")</f>
        <v/>
      </c>
      <c r="G652">
        <f>IFERROR(IF(E652="","",_xlfn.XLOOKUP(E652,STUDENTS!F651:F100648,STUDENTS!H651:H100648)),"update STUDENT sheet")</f>
        <v/>
      </c>
    </row>
    <row r="653">
      <c r="B653">
        <f>IF(STUDENTS!B652="","",STUDENTS!B652)</f>
        <v/>
      </c>
      <c r="C653">
        <f>IFERROR(IF(B653="","",_xlfn.XLOOKUP(B653,STUDENTS!$B$3:$B$1048576,STUDENTS!$C$3:$C$1048576)),"Enter a registered reg. no")</f>
        <v/>
      </c>
      <c r="D653">
        <f>IFERROR(IF(B653="","",_xlfn.XLOOKUP(B653,STUDENTS!B652:B100649,STUDENTS!D652:D100649)),"update STUDENT sheet")</f>
        <v/>
      </c>
      <c r="E653">
        <f>IFERROR(IF(C653="","",_xlfn.XLOOKUP(C653,STUDENTS!C652:C100649,STUDENTS!F652:F100649)),"update STUDENT sheet")</f>
        <v/>
      </c>
      <c r="F653">
        <f>IFERROR(IF(D653="","",_xlfn.XLOOKUP(D653,STUDENTS!D652:D100649,STUDENTS!G652:G100649)),"update STUDENT sheet")</f>
        <v/>
      </c>
      <c r="G653">
        <f>IFERROR(IF(E653="","",_xlfn.XLOOKUP(E653,STUDENTS!F652:F100649,STUDENTS!H652:H100649)),"update STUDENT sheet")</f>
        <v/>
      </c>
    </row>
    <row r="654">
      <c r="B654">
        <f>IF(STUDENTS!B653="","",STUDENTS!B653)</f>
        <v/>
      </c>
      <c r="C654">
        <f>IFERROR(IF(B654="","",_xlfn.XLOOKUP(B654,STUDENTS!$B$3:$B$1048576,STUDENTS!$C$3:$C$1048576)),"Enter a registered reg. no")</f>
        <v/>
      </c>
      <c r="D654">
        <f>IFERROR(IF(B654="","",_xlfn.XLOOKUP(B654,STUDENTS!B653:B100650,STUDENTS!D653:D100650)),"update STUDENT sheet")</f>
        <v/>
      </c>
      <c r="E654">
        <f>IFERROR(IF(C654="","",_xlfn.XLOOKUP(C654,STUDENTS!C653:C100650,STUDENTS!F653:F100650)),"update STUDENT sheet")</f>
        <v/>
      </c>
      <c r="F654">
        <f>IFERROR(IF(D654="","",_xlfn.XLOOKUP(D654,STUDENTS!D653:D100650,STUDENTS!G653:G100650)),"update STUDENT sheet")</f>
        <v/>
      </c>
      <c r="G654">
        <f>IFERROR(IF(E654="","",_xlfn.XLOOKUP(E654,STUDENTS!F653:F100650,STUDENTS!H653:H100650)),"update STUDENT sheet")</f>
        <v/>
      </c>
    </row>
    <row r="655">
      <c r="B655">
        <f>IF(STUDENTS!B654="","",STUDENTS!B654)</f>
        <v/>
      </c>
      <c r="C655">
        <f>IFERROR(IF(B655="","",_xlfn.XLOOKUP(B655,STUDENTS!$B$3:$B$1048576,STUDENTS!$C$3:$C$1048576)),"Enter a registered reg. no")</f>
        <v/>
      </c>
      <c r="D655">
        <f>IFERROR(IF(B655="","",_xlfn.XLOOKUP(B655,STUDENTS!B654:B100651,STUDENTS!D654:D100651)),"update STUDENT sheet")</f>
        <v/>
      </c>
      <c r="E655">
        <f>IFERROR(IF(C655="","",_xlfn.XLOOKUP(C655,STUDENTS!C654:C100651,STUDENTS!F654:F100651)),"update STUDENT sheet")</f>
        <v/>
      </c>
      <c r="F655">
        <f>IFERROR(IF(D655="","",_xlfn.XLOOKUP(D655,STUDENTS!D654:D100651,STUDENTS!G654:G100651)),"update STUDENT sheet")</f>
        <v/>
      </c>
      <c r="G655">
        <f>IFERROR(IF(E655="","",_xlfn.XLOOKUP(E655,STUDENTS!F654:F100651,STUDENTS!H654:H100651)),"update STUDENT sheet")</f>
        <v/>
      </c>
    </row>
    <row r="656">
      <c r="B656">
        <f>IF(STUDENTS!B655="","",STUDENTS!B655)</f>
        <v/>
      </c>
      <c r="C656">
        <f>IFERROR(IF(B656="","",_xlfn.XLOOKUP(B656,STUDENTS!$B$3:$B$1048576,STUDENTS!$C$3:$C$1048576)),"Enter a registered reg. no")</f>
        <v/>
      </c>
      <c r="D656">
        <f>IFERROR(IF(B656="","",_xlfn.XLOOKUP(B656,STUDENTS!B655:B100652,STUDENTS!D655:D100652)),"update STUDENT sheet")</f>
        <v/>
      </c>
      <c r="E656">
        <f>IFERROR(IF(C656="","",_xlfn.XLOOKUP(C656,STUDENTS!C655:C100652,STUDENTS!F655:F100652)),"update STUDENT sheet")</f>
        <v/>
      </c>
      <c r="F656">
        <f>IFERROR(IF(D656="","",_xlfn.XLOOKUP(D656,STUDENTS!D655:D100652,STUDENTS!G655:G100652)),"update STUDENT sheet")</f>
        <v/>
      </c>
      <c r="G656">
        <f>IFERROR(IF(E656="","",_xlfn.XLOOKUP(E656,STUDENTS!F655:F100652,STUDENTS!H655:H100652)),"update STUDENT sheet")</f>
        <v/>
      </c>
    </row>
    <row r="657">
      <c r="B657">
        <f>IF(STUDENTS!B656="","",STUDENTS!B656)</f>
        <v/>
      </c>
      <c r="C657">
        <f>IFERROR(IF(B657="","",_xlfn.XLOOKUP(B657,STUDENTS!$B$3:$B$1048576,STUDENTS!$C$3:$C$1048576)),"Enter a registered reg. no")</f>
        <v/>
      </c>
      <c r="D657">
        <f>IFERROR(IF(B657="","",_xlfn.XLOOKUP(B657,STUDENTS!B656:B100653,STUDENTS!D656:D100653)),"update STUDENT sheet")</f>
        <v/>
      </c>
      <c r="E657">
        <f>IFERROR(IF(C657="","",_xlfn.XLOOKUP(C657,STUDENTS!C656:C100653,STUDENTS!F656:F100653)),"update STUDENT sheet")</f>
        <v/>
      </c>
      <c r="F657">
        <f>IFERROR(IF(D657="","",_xlfn.XLOOKUP(D657,STUDENTS!D656:D100653,STUDENTS!G656:G100653)),"update STUDENT sheet")</f>
        <v/>
      </c>
      <c r="G657">
        <f>IFERROR(IF(E657="","",_xlfn.XLOOKUP(E657,STUDENTS!F656:F100653,STUDENTS!H656:H100653)),"update STUDENT sheet")</f>
        <v/>
      </c>
    </row>
    <row r="658">
      <c r="B658">
        <f>IF(STUDENTS!B657="","",STUDENTS!B657)</f>
        <v/>
      </c>
      <c r="C658">
        <f>IFERROR(IF(B658="","",_xlfn.XLOOKUP(B658,STUDENTS!$B$3:$B$1048576,STUDENTS!$C$3:$C$1048576)),"Enter a registered reg. no")</f>
        <v/>
      </c>
      <c r="D658">
        <f>IFERROR(IF(B658="","",_xlfn.XLOOKUP(B658,STUDENTS!B657:B100654,STUDENTS!D657:D100654)),"update STUDENT sheet")</f>
        <v/>
      </c>
      <c r="E658">
        <f>IFERROR(IF(C658="","",_xlfn.XLOOKUP(C658,STUDENTS!C657:C100654,STUDENTS!F657:F100654)),"update STUDENT sheet")</f>
        <v/>
      </c>
      <c r="F658">
        <f>IFERROR(IF(D658="","",_xlfn.XLOOKUP(D658,STUDENTS!D657:D100654,STUDENTS!G657:G100654)),"update STUDENT sheet")</f>
        <v/>
      </c>
      <c r="G658">
        <f>IFERROR(IF(E658="","",_xlfn.XLOOKUP(E658,STUDENTS!F657:F100654,STUDENTS!H657:H100654)),"update STUDENT sheet")</f>
        <v/>
      </c>
    </row>
    <row r="659">
      <c r="B659">
        <f>IF(STUDENTS!B658="","",STUDENTS!B658)</f>
        <v/>
      </c>
      <c r="C659">
        <f>IFERROR(IF(B659="","",_xlfn.XLOOKUP(B659,STUDENTS!$B$3:$B$1048576,STUDENTS!$C$3:$C$1048576)),"Enter a registered reg. no")</f>
        <v/>
      </c>
      <c r="D659">
        <f>IFERROR(IF(B659="","",_xlfn.XLOOKUP(B659,STUDENTS!B658:B100655,STUDENTS!D658:D100655)),"update STUDENT sheet")</f>
        <v/>
      </c>
      <c r="E659">
        <f>IFERROR(IF(C659="","",_xlfn.XLOOKUP(C659,STUDENTS!C658:C100655,STUDENTS!F658:F100655)),"update STUDENT sheet")</f>
        <v/>
      </c>
      <c r="F659">
        <f>IFERROR(IF(D659="","",_xlfn.XLOOKUP(D659,STUDENTS!D658:D100655,STUDENTS!G658:G100655)),"update STUDENT sheet")</f>
        <v/>
      </c>
      <c r="G659">
        <f>IFERROR(IF(E659="","",_xlfn.XLOOKUP(E659,STUDENTS!F658:F100655,STUDENTS!H658:H100655)),"update STUDENT sheet")</f>
        <v/>
      </c>
    </row>
    <row r="660">
      <c r="B660">
        <f>IF(STUDENTS!B659="","",STUDENTS!B659)</f>
        <v/>
      </c>
      <c r="C660">
        <f>IFERROR(IF(B660="","",_xlfn.XLOOKUP(B660,STUDENTS!$B$3:$B$1048576,STUDENTS!$C$3:$C$1048576)),"Enter a registered reg. no")</f>
        <v/>
      </c>
      <c r="D660">
        <f>IFERROR(IF(B660="","",_xlfn.XLOOKUP(B660,STUDENTS!B659:B100656,STUDENTS!D659:D100656)),"update STUDENT sheet")</f>
        <v/>
      </c>
      <c r="E660">
        <f>IFERROR(IF(C660="","",_xlfn.XLOOKUP(C660,STUDENTS!C659:C100656,STUDENTS!F659:F100656)),"update STUDENT sheet")</f>
        <v/>
      </c>
      <c r="F660">
        <f>IFERROR(IF(D660="","",_xlfn.XLOOKUP(D660,STUDENTS!D659:D100656,STUDENTS!G659:G100656)),"update STUDENT sheet")</f>
        <v/>
      </c>
      <c r="G660">
        <f>IFERROR(IF(E660="","",_xlfn.XLOOKUP(E660,STUDENTS!F659:F100656,STUDENTS!H659:H100656)),"update STUDENT sheet")</f>
        <v/>
      </c>
    </row>
    <row r="661">
      <c r="B661">
        <f>IF(STUDENTS!B660="","",STUDENTS!B660)</f>
        <v/>
      </c>
      <c r="C661">
        <f>IFERROR(IF(B661="","",_xlfn.XLOOKUP(B661,STUDENTS!$B$3:$B$1048576,STUDENTS!$C$3:$C$1048576)),"Enter a registered reg. no")</f>
        <v/>
      </c>
      <c r="D661">
        <f>IFERROR(IF(B661="","",_xlfn.XLOOKUP(B661,STUDENTS!B660:B100657,STUDENTS!D660:D100657)),"update STUDENT sheet")</f>
        <v/>
      </c>
      <c r="E661">
        <f>IFERROR(IF(C661="","",_xlfn.XLOOKUP(C661,STUDENTS!C660:C100657,STUDENTS!F660:F100657)),"update STUDENT sheet")</f>
        <v/>
      </c>
      <c r="F661">
        <f>IFERROR(IF(D661="","",_xlfn.XLOOKUP(D661,STUDENTS!D660:D100657,STUDENTS!G660:G100657)),"update STUDENT sheet")</f>
        <v/>
      </c>
      <c r="G661">
        <f>IFERROR(IF(E661="","",_xlfn.XLOOKUP(E661,STUDENTS!F660:F100657,STUDENTS!H660:H100657)),"update STUDENT sheet")</f>
        <v/>
      </c>
    </row>
    <row r="662">
      <c r="B662">
        <f>IF(STUDENTS!B661="","",STUDENTS!B661)</f>
        <v/>
      </c>
      <c r="C662">
        <f>IFERROR(IF(B662="","",_xlfn.XLOOKUP(B662,STUDENTS!$B$3:$B$1048576,STUDENTS!$C$3:$C$1048576)),"Enter a registered reg. no")</f>
        <v/>
      </c>
      <c r="D662">
        <f>IFERROR(IF(B662="","",_xlfn.XLOOKUP(B662,STUDENTS!B661:B100658,STUDENTS!D661:D100658)),"update STUDENT sheet")</f>
        <v/>
      </c>
      <c r="E662">
        <f>IFERROR(IF(C662="","",_xlfn.XLOOKUP(C662,STUDENTS!C661:C100658,STUDENTS!F661:F100658)),"update STUDENT sheet")</f>
        <v/>
      </c>
      <c r="F662">
        <f>IFERROR(IF(D662="","",_xlfn.XLOOKUP(D662,STUDENTS!D661:D100658,STUDENTS!G661:G100658)),"update STUDENT sheet")</f>
        <v/>
      </c>
      <c r="G662">
        <f>IFERROR(IF(E662="","",_xlfn.XLOOKUP(E662,STUDENTS!F661:F100658,STUDENTS!H661:H100658)),"update STUDENT sheet")</f>
        <v/>
      </c>
    </row>
    <row r="663">
      <c r="B663">
        <f>IF(STUDENTS!B662="","",STUDENTS!B662)</f>
        <v/>
      </c>
      <c r="C663">
        <f>IFERROR(IF(B663="","",_xlfn.XLOOKUP(B663,STUDENTS!$B$3:$B$1048576,STUDENTS!$C$3:$C$1048576)),"Enter a registered reg. no")</f>
        <v/>
      </c>
      <c r="D663">
        <f>IFERROR(IF(B663="","",_xlfn.XLOOKUP(B663,STUDENTS!B662:B100659,STUDENTS!D662:D100659)),"update STUDENT sheet")</f>
        <v/>
      </c>
      <c r="E663">
        <f>IFERROR(IF(C663="","",_xlfn.XLOOKUP(C663,STUDENTS!C662:C100659,STUDENTS!F662:F100659)),"update STUDENT sheet")</f>
        <v/>
      </c>
      <c r="F663">
        <f>IFERROR(IF(D663="","",_xlfn.XLOOKUP(D663,STUDENTS!D662:D100659,STUDENTS!G662:G100659)),"update STUDENT sheet")</f>
        <v/>
      </c>
      <c r="G663">
        <f>IFERROR(IF(E663="","",_xlfn.XLOOKUP(E663,STUDENTS!F662:F100659,STUDENTS!H662:H100659)),"update STUDENT sheet")</f>
        <v/>
      </c>
    </row>
    <row r="664">
      <c r="B664">
        <f>IF(STUDENTS!B663="","",STUDENTS!B663)</f>
        <v/>
      </c>
      <c r="C664">
        <f>IFERROR(IF(B664="","",_xlfn.XLOOKUP(B664,STUDENTS!$B$3:$B$1048576,STUDENTS!$C$3:$C$1048576)),"Enter a registered reg. no")</f>
        <v/>
      </c>
      <c r="D664">
        <f>IFERROR(IF(B664="","",_xlfn.XLOOKUP(B664,STUDENTS!B663:B100660,STUDENTS!D663:D100660)),"update STUDENT sheet")</f>
        <v/>
      </c>
      <c r="E664">
        <f>IFERROR(IF(C664="","",_xlfn.XLOOKUP(C664,STUDENTS!C663:C100660,STUDENTS!F663:F100660)),"update STUDENT sheet")</f>
        <v/>
      </c>
      <c r="F664">
        <f>IFERROR(IF(D664="","",_xlfn.XLOOKUP(D664,STUDENTS!D663:D100660,STUDENTS!G663:G100660)),"update STUDENT sheet")</f>
        <v/>
      </c>
      <c r="G664">
        <f>IFERROR(IF(E664="","",_xlfn.XLOOKUP(E664,STUDENTS!F663:F100660,STUDENTS!H663:H100660)),"update STUDENT sheet")</f>
        <v/>
      </c>
    </row>
    <row r="665">
      <c r="B665">
        <f>IF(STUDENTS!B664="","",STUDENTS!B664)</f>
        <v/>
      </c>
      <c r="C665">
        <f>IFERROR(IF(B665="","",_xlfn.XLOOKUP(B665,STUDENTS!$B$3:$B$1048576,STUDENTS!$C$3:$C$1048576)),"Enter a registered reg. no")</f>
        <v/>
      </c>
      <c r="D665">
        <f>IFERROR(IF(B665="","",_xlfn.XLOOKUP(B665,STUDENTS!B664:B100661,STUDENTS!D664:D100661)),"update STUDENT sheet")</f>
        <v/>
      </c>
      <c r="E665">
        <f>IFERROR(IF(C665="","",_xlfn.XLOOKUP(C665,STUDENTS!C664:C100661,STUDENTS!F664:F100661)),"update STUDENT sheet")</f>
        <v/>
      </c>
      <c r="F665">
        <f>IFERROR(IF(D665="","",_xlfn.XLOOKUP(D665,STUDENTS!D664:D100661,STUDENTS!G664:G100661)),"update STUDENT sheet")</f>
        <v/>
      </c>
      <c r="G665">
        <f>IFERROR(IF(E665="","",_xlfn.XLOOKUP(E665,STUDENTS!F664:F100661,STUDENTS!H664:H100661)),"update STUDENT sheet")</f>
        <v/>
      </c>
    </row>
    <row r="666">
      <c r="B666">
        <f>IF(STUDENTS!B665="","",STUDENTS!B665)</f>
        <v/>
      </c>
      <c r="C666">
        <f>IFERROR(IF(B666="","",_xlfn.XLOOKUP(B666,STUDENTS!$B$3:$B$1048576,STUDENTS!$C$3:$C$1048576)),"Enter a registered reg. no")</f>
        <v/>
      </c>
      <c r="D666">
        <f>IFERROR(IF(B666="","",_xlfn.XLOOKUP(B666,STUDENTS!B665:B100662,STUDENTS!D665:D100662)),"update STUDENT sheet")</f>
        <v/>
      </c>
      <c r="E666">
        <f>IFERROR(IF(C666="","",_xlfn.XLOOKUP(C666,STUDENTS!C665:C100662,STUDENTS!F665:F100662)),"update STUDENT sheet")</f>
        <v/>
      </c>
      <c r="F666">
        <f>IFERROR(IF(D666="","",_xlfn.XLOOKUP(D666,STUDENTS!D665:D100662,STUDENTS!G665:G100662)),"update STUDENT sheet")</f>
        <v/>
      </c>
      <c r="G666">
        <f>IFERROR(IF(E666="","",_xlfn.XLOOKUP(E666,STUDENTS!F665:F100662,STUDENTS!H665:H100662)),"update STUDENT sheet")</f>
        <v/>
      </c>
    </row>
    <row r="667">
      <c r="B667">
        <f>IF(STUDENTS!B666="","",STUDENTS!B666)</f>
        <v/>
      </c>
      <c r="C667">
        <f>IFERROR(IF(B667="","",_xlfn.XLOOKUP(B667,STUDENTS!$B$3:$B$1048576,STUDENTS!$C$3:$C$1048576)),"Enter a registered reg. no")</f>
        <v/>
      </c>
      <c r="D667">
        <f>IFERROR(IF(B667="","",_xlfn.XLOOKUP(B667,STUDENTS!B666:B100663,STUDENTS!D666:D100663)),"update STUDENT sheet")</f>
        <v/>
      </c>
      <c r="E667">
        <f>IFERROR(IF(C667="","",_xlfn.XLOOKUP(C667,STUDENTS!C666:C100663,STUDENTS!F666:F100663)),"update STUDENT sheet")</f>
        <v/>
      </c>
      <c r="F667">
        <f>IFERROR(IF(D667="","",_xlfn.XLOOKUP(D667,STUDENTS!D666:D100663,STUDENTS!G666:G100663)),"update STUDENT sheet")</f>
        <v/>
      </c>
      <c r="G667">
        <f>IFERROR(IF(E667="","",_xlfn.XLOOKUP(E667,STUDENTS!F666:F100663,STUDENTS!H666:H100663)),"update STUDENT sheet")</f>
        <v/>
      </c>
    </row>
    <row r="668">
      <c r="B668">
        <f>IF(STUDENTS!B667="","",STUDENTS!B667)</f>
        <v/>
      </c>
      <c r="C668">
        <f>IFERROR(IF(B668="","",_xlfn.XLOOKUP(B668,STUDENTS!$B$3:$B$1048576,STUDENTS!$C$3:$C$1048576)),"Enter a registered reg. no")</f>
        <v/>
      </c>
      <c r="D668">
        <f>IFERROR(IF(B668="","",_xlfn.XLOOKUP(B668,STUDENTS!B667:B100664,STUDENTS!D667:D100664)),"update STUDENT sheet")</f>
        <v/>
      </c>
      <c r="E668">
        <f>IFERROR(IF(C668="","",_xlfn.XLOOKUP(C668,STUDENTS!C667:C100664,STUDENTS!F667:F100664)),"update STUDENT sheet")</f>
        <v/>
      </c>
      <c r="F668">
        <f>IFERROR(IF(D668="","",_xlfn.XLOOKUP(D668,STUDENTS!D667:D100664,STUDENTS!G667:G100664)),"update STUDENT sheet")</f>
        <v/>
      </c>
      <c r="G668">
        <f>IFERROR(IF(E668="","",_xlfn.XLOOKUP(E668,STUDENTS!F667:F100664,STUDENTS!H667:H100664)),"update STUDENT sheet")</f>
        <v/>
      </c>
    </row>
    <row r="669">
      <c r="B669">
        <f>IF(STUDENTS!B668="","",STUDENTS!B668)</f>
        <v/>
      </c>
      <c r="C669">
        <f>IFERROR(IF(B669="","",_xlfn.XLOOKUP(B669,STUDENTS!$B$3:$B$1048576,STUDENTS!$C$3:$C$1048576)),"Enter a registered reg. no")</f>
        <v/>
      </c>
      <c r="D669">
        <f>IFERROR(IF(B669="","",_xlfn.XLOOKUP(B669,STUDENTS!B668:B100665,STUDENTS!D668:D100665)),"update STUDENT sheet")</f>
        <v/>
      </c>
      <c r="E669">
        <f>IFERROR(IF(C669="","",_xlfn.XLOOKUP(C669,STUDENTS!C668:C100665,STUDENTS!F668:F100665)),"update STUDENT sheet")</f>
        <v/>
      </c>
      <c r="F669">
        <f>IFERROR(IF(D669="","",_xlfn.XLOOKUP(D669,STUDENTS!D668:D100665,STUDENTS!G668:G100665)),"update STUDENT sheet")</f>
        <v/>
      </c>
      <c r="G669">
        <f>IFERROR(IF(E669="","",_xlfn.XLOOKUP(E669,STUDENTS!F668:F100665,STUDENTS!H668:H100665)),"update STUDENT sheet")</f>
        <v/>
      </c>
    </row>
    <row r="670">
      <c r="B670">
        <f>IF(STUDENTS!B669="","",STUDENTS!B669)</f>
        <v/>
      </c>
      <c r="C670">
        <f>IFERROR(IF(B670="","",_xlfn.XLOOKUP(B670,STUDENTS!$B$3:$B$1048576,STUDENTS!$C$3:$C$1048576)),"Enter a registered reg. no")</f>
        <v/>
      </c>
      <c r="D670">
        <f>IFERROR(IF(B670="","",_xlfn.XLOOKUP(B670,STUDENTS!B669:B100666,STUDENTS!D669:D100666)),"update STUDENT sheet")</f>
        <v/>
      </c>
      <c r="E670">
        <f>IFERROR(IF(C670="","",_xlfn.XLOOKUP(C670,STUDENTS!C669:C100666,STUDENTS!F669:F100666)),"update STUDENT sheet")</f>
        <v/>
      </c>
      <c r="F670">
        <f>IFERROR(IF(D670="","",_xlfn.XLOOKUP(D670,STUDENTS!D669:D100666,STUDENTS!G669:G100666)),"update STUDENT sheet")</f>
        <v/>
      </c>
      <c r="G670">
        <f>IFERROR(IF(E670="","",_xlfn.XLOOKUP(E670,STUDENTS!F669:F100666,STUDENTS!H669:H100666)),"update STUDENT sheet")</f>
        <v/>
      </c>
    </row>
    <row r="671">
      <c r="B671">
        <f>IF(STUDENTS!B670="","",STUDENTS!B670)</f>
        <v/>
      </c>
      <c r="C671">
        <f>IFERROR(IF(B671="","",_xlfn.XLOOKUP(B671,STUDENTS!$B$3:$B$1048576,STUDENTS!$C$3:$C$1048576)),"Enter a registered reg. no")</f>
        <v/>
      </c>
      <c r="D671">
        <f>IFERROR(IF(B671="","",_xlfn.XLOOKUP(B671,STUDENTS!B670:B100667,STUDENTS!D670:D100667)),"update STUDENT sheet")</f>
        <v/>
      </c>
      <c r="E671">
        <f>IFERROR(IF(C671="","",_xlfn.XLOOKUP(C671,STUDENTS!C670:C100667,STUDENTS!F670:F100667)),"update STUDENT sheet")</f>
        <v/>
      </c>
      <c r="F671">
        <f>IFERROR(IF(D671="","",_xlfn.XLOOKUP(D671,STUDENTS!D670:D100667,STUDENTS!G670:G100667)),"update STUDENT sheet")</f>
        <v/>
      </c>
      <c r="G671">
        <f>IFERROR(IF(E671="","",_xlfn.XLOOKUP(E671,STUDENTS!F670:F100667,STUDENTS!H670:H100667)),"update STUDENT sheet")</f>
        <v/>
      </c>
    </row>
    <row r="672">
      <c r="B672">
        <f>IF(STUDENTS!B671="","",STUDENTS!B671)</f>
        <v/>
      </c>
      <c r="C672">
        <f>IFERROR(IF(B672="","",_xlfn.XLOOKUP(B672,STUDENTS!$B$3:$B$1048576,STUDENTS!$C$3:$C$1048576)),"Enter a registered reg. no")</f>
        <v/>
      </c>
      <c r="D672">
        <f>IFERROR(IF(B672="","",_xlfn.XLOOKUP(B672,STUDENTS!B671:B100668,STUDENTS!D671:D100668)),"update STUDENT sheet")</f>
        <v/>
      </c>
      <c r="E672">
        <f>IFERROR(IF(C672="","",_xlfn.XLOOKUP(C672,STUDENTS!C671:C100668,STUDENTS!F671:F100668)),"update STUDENT sheet")</f>
        <v/>
      </c>
      <c r="F672">
        <f>IFERROR(IF(D672="","",_xlfn.XLOOKUP(D672,STUDENTS!D671:D100668,STUDENTS!G671:G100668)),"update STUDENT sheet")</f>
        <v/>
      </c>
      <c r="G672">
        <f>IFERROR(IF(E672="","",_xlfn.XLOOKUP(E672,STUDENTS!F671:F100668,STUDENTS!H671:H100668)),"update STUDENT sheet")</f>
        <v/>
      </c>
    </row>
    <row r="673">
      <c r="B673">
        <f>IF(STUDENTS!B672="","",STUDENTS!B672)</f>
        <v/>
      </c>
      <c r="C673">
        <f>IFERROR(IF(B673="","",_xlfn.XLOOKUP(B673,STUDENTS!$B$3:$B$1048576,STUDENTS!$C$3:$C$1048576)),"Enter a registered reg. no")</f>
        <v/>
      </c>
      <c r="D673">
        <f>IFERROR(IF(B673="","",_xlfn.XLOOKUP(B673,STUDENTS!B672:B100669,STUDENTS!D672:D100669)),"update STUDENT sheet")</f>
        <v/>
      </c>
      <c r="E673">
        <f>IFERROR(IF(C673="","",_xlfn.XLOOKUP(C673,STUDENTS!C672:C100669,STUDENTS!F672:F100669)),"update STUDENT sheet")</f>
        <v/>
      </c>
      <c r="F673">
        <f>IFERROR(IF(D673="","",_xlfn.XLOOKUP(D673,STUDENTS!D672:D100669,STUDENTS!G672:G100669)),"update STUDENT sheet")</f>
        <v/>
      </c>
      <c r="G673">
        <f>IFERROR(IF(E673="","",_xlfn.XLOOKUP(E673,STUDENTS!F672:F100669,STUDENTS!H672:H100669)),"update STUDENT sheet")</f>
        <v/>
      </c>
    </row>
    <row r="674">
      <c r="B674">
        <f>IF(STUDENTS!B673="","",STUDENTS!B673)</f>
        <v/>
      </c>
      <c r="C674">
        <f>IFERROR(IF(B674="","",_xlfn.XLOOKUP(B674,STUDENTS!$B$3:$B$1048576,STUDENTS!$C$3:$C$1048576)),"Enter a registered reg. no")</f>
        <v/>
      </c>
      <c r="D674">
        <f>IFERROR(IF(B674="","",_xlfn.XLOOKUP(B674,STUDENTS!B673:B100670,STUDENTS!D673:D100670)),"update STUDENT sheet")</f>
        <v/>
      </c>
      <c r="E674">
        <f>IFERROR(IF(C674="","",_xlfn.XLOOKUP(C674,STUDENTS!C673:C100670,STUDENTS!F673:F100670)),"update STUDENT sheet")</f>
        <v/>
      </c>
      <c r="F674">
        <f>IFERROR(IF(D674="","",_xlfn.XLOOKUP(D674,STUDENTS!D673:D100670,STUDENTS!G673:G100670)),"update STUDENT sheet")</f>
        <v/>
      </c>
      <c r="G674">
        <f>IFERROR(IF(E674="","",_xlfn.XLOOKUP(E674,STUDENTS!F673:F100670,STUDENTS!H673:H100670)),"update STUDENT sheet")</f>
        <v/>
      </c>
    </row>
    <row r="675">
      <c r="B675">
        <f>IF(STUDENTS!B674="","",STUDENTS!B674)</f>
        <v/>
      </c>
      <c r="C675">
        <f>IFERROR(IF(B675="","",_xlfn.XLOOKUP(B675,STUDENTS!$B$3:$B$1048576,STUDENTS!$C$3:$C$1048576)),"Enter a registered reg. no")</f>
        <v/>
      </c>
      <c r="D675">
        <f>IFERROR(IF(B675="","",_xlfn.XLOOKUP(B675,STUDENTS!B674:B100671,STUDENTS!D674:D100671)),"update STUDENT sheet")</f>
        <v/>
      </c>
      <c r="E675">
        <f>IFERROR(IF(C675="","",_xlfn.XLOOKUP(C675,STUDENTS!C674:C100671,STUDENTS!F674:F100671)),"update STUDENT sheet")</f>
        <v/>
      </c>
      <c r="F675">
        <f>IFERROR(IF(D675="","",_xlfn.XLOOKUP(D675,STUDENTS!D674:D100671,STUDENTS!G674:G100671)),"update STUDENT sheet")</f>
        <v/>
      </c>
      <c r="G675">
        <f>IFERROR(IF(E675="","",_xlfn.XLOOKUP(E675,STUDENTS!F674:F100671,STUDENTS!H674:H100671)),"update STUDENT sheet")</f>
        <v/>
      </c>
    </row>
    <row r="676">
      <c r="B676">
        <f>IF(STUDENTS!B675="","",STUDENTS!B675)</f>
        <v/>
      </c>
      <c r="C676">
        <f>IFERROR(IF(B676="","",_xlfn.XLOOKUP(B676,STUDENTS!$B$3:$B$1048576,STUDENTS!$C$3:$C$1048576)),"Enter a registered reg. no")</f>
        <v/>
      </c>
      <c r="D676">
        <f>IFERROR(IF(B676="","",_xlfn.XLOOKUP(B676,STUDENTS!B675:B100672,STUDENTS!D675:D100672)),"update STUDENT sheet")</f>
        <v/>
      </c>
      <c r="E676">
        <f>IFERROR(IF(C676="","",_xlfn.XLOOKUP(C676,STUDENTS!C675:C100672,STUDENTS!F675:F100672)),"update STUDENT sheet")</f>
        <v/>
      </c>
      <c r="F676">
        <f>IFERROR(IF(D676="","",_xlfn.XLOOKUP(D676,STUDENTS!D675:D100672,STUDENTS!G675:G100672)),"update STUDENT sheet")</f>
        <v/>
      </c>
      <c r="G676">
        <f>IFERROR(IF(E676="","",_xlfn.XLOOKUP(E676,STUDENTS!F675:F100672,STUDENTS!H675:H100672)),"update STUDENT sheet")</f>
        <v/>
      </c>
    </row>
    <row r="677">
      <c r="B677">
        <f>IF(STUDENTS!B676="","",STUDENTS!B676)</f>
        <v/>
      </c>
      <c r="C677">
        <f>IFERROR(IF(B677="","",_xlfn.XLOOKUP(B677,STUDENTS!$B$3:$B$1048576,STUDENTS!$C$3:$C$1048576)),"Enter a registered reg. no")</f>
        <v/>
      </c>
      <c r="D677">
        <f>IFERROR(IF(B677="","",_xlfn.XLOOKUP(B677,STUDENTS!B676:B100673,STUDENTS!D676:D100673)),"update STUDENT sheet")</f>
        <v/>
      </c>
      <c r="E677">
        <f>IFERROR(IF(C677="","",_xlfn.XLOOKUP(C677,STUDENTS!C676:C100673,STUDENTS!F676:F100673)),"update STUDENT sheet")</f>
        <v/>
      </c>
      <c r="F677">
        <f>IFERROR(IF(D677="","",_xlfn.XLOOKUP(D677,STUDENTS!D676:D100673,STUDENTS!G676:G100673)),"update STUDENT sheet")</f>
        <v/>
      </c>
      <c r="G677">
        <f>IFERROR(IF(E677="","",_xlfn.XLOOKUP(E677,STUDENTS!F676:F100673,STUDENTS!H676:H100673)),"update STUDENT sheet")</f>
        <v/>
      </c>
    </row>
    <row r="678">
      <c r="B678">
        <f>IF(STUDENTS!B677="","",STUDENTS!B677)</f>
        <v/>
      </c>
      <c r="C678">
        <f>IFERROR(IF(B678="","",_xlfn.XLOOKUP(B678,STUDENTS!$B$3:$B$1048576,STUDENTS!$C$3:$C$1048576)),"Enter a registered reg. no")</f>
        <v/>
      </c>
      <c r="D678">
        <f>IFERROR(IF(B678="","",_xlfn.XLOOKUP(B678,STUDENTS!B677:B100674,STUDENTS!D677:D100674)),"update STUDENT sheet")</f>
        <v/>
      </c>
      <c r="E678">
        <f>IFERROR(IF(C678="","",_xlfn.XLOOKUP(C678,STUDENTS!C677:C100674,STUDENTS!F677:F100674)),"update STUDENT sheet")</f>
        <v/>
      </c>
      <c r="F678">
        <f>IFERROR(IF(D678="","",_xlfn.XLOOKUP(D678,STUDENTS!D677:D100674,STUDENTS!G677:G100674)),"update STUDENT sheet")</f>
        <v/>
      </c>
      <c r="G678">
        <f>IFERROR(IF(E678="","",_xlfn.XLOOKUP(E678,STUDENTS!F677:F100674,STUDENTS!H677:H100674)),"update STUDENT sheet")</f>
        <v/>
      </c>
    </row>
    <row r="679">
      <c r="B679">
        <f>IF(STUDENTS!B678="","",STUDENTS!B678)</f>
        <v/>
      </c>
      <c r="C679">
        <f>IFERROR(IF(B679="","",_xlfn.XLOOKUP(B679,STUDENTS!$B$3:$B$1048576,STUDENTS!$C$3:$C$1048576)),"Enter a registered reg. no")</f>
        <v/>
      </c>
      <c r="D679">
        <f>IFERROR(IF(B679="","",_xlfn.XLOOKUP(B679,STUDENTS!B678:B100675,STUDENTS!D678:D100675)),"update STUDENT sheet")</f>
        <v/>
      </c>
      <c r="E679">
        <f>IFERROR(IF(C679="","",_xlfn.XLOOKUP(C679,STUDENTS!C678:C100675,STUDENTS!F678:F100675)),"update STUDENT sheet")</f>
        <v/>
      </c>
      <c r="F679">
        <f>IFERROR(IF(D679="","",_xlfn.XLOOKUP(D679,STUDENTS!D678:D100675,STUDENTS!G678:G100675)),"update STUDENT sheet")</f>
        <v/>
      </c>
      <c r="G679">
        <f>IFERROR(IF(E679="","",_xlfn.XLOOKUP(E679,STUDENTS!F678:F100675,STUDENTS!H678:H100675)),"update STUDENT sheet")</f>
        <v/>
      </c>
    </row>
    <row r="680">
      <c r="B680">
        <f>IF(STUDENTS!B679="","",STUDENTS!B679)</f>
        <v/>
      </c>
      <c r="C680">
        <f>IFERROR(IF(B680="","",_xlfn.XLOOKUP(B680,STUDENTS!$B$3:$B$1048576,STUDENTS!$C$3:$C$1048576)),"Enter a registered reg. no")</f>
        <v/>
      </c>
      <c r="D680">
        <f>IFERROR(IF(B680="","",_xlfn.XLOOKUP(B680,STUDENTS!B679:B100676,STUDENTS!D679:D100676)),"update STUDENT sheet")</f>
        <v/>
      </c>
      <c r="E680">
        <f>IFERROR(IF(C680="","",_xlfn.XLOOKUP(C680,STUDENTS!C679:C100676,STUDENTS!F679:F100676)),"update STUDENT sheet")</f>
        <v/>
      </c>
      <c r="F680">
        <f>IFERROR(IF(D680="","",_xlfn.XLOOKUP(D680,STUDENTS!D679:D100676,STUDENTS!G679:G100676)),"update STUDENT sheet")</f>
        <v/>
      </c>
      <c r="G680">
        <f>IFERROR(IF(E680="","",_xlfn.XLOOKUP(E680,STUDENTS!F679:F100676,STUDENTS!H679:H100676)),"update STUDENT sheet")</f>
        <v/>
      </c>
    </row>
    <row r="681">
      <c r="B681">
        <f>IF(STUDENTS!B680="","",STUDENTS!B680)</f>
        <v/>
      </c>
      <c r="C681">
        <f>IFERROR(IF(B681="","",_xlfn.XLOOKUP(B681,STUDENTS!$B$3:$B$1048576,STUDENTS!$C$3:$C$1048576)),"Enter a registered reg. no")</f>
        <v/>
      </c>
      <c r="D681">
        <f>IFERROR(IF(B681="","",_xlfn.XLOOKUP(B681,STUDENTS!B680:B100677,STUDENTS!D680:D100677)),"update STUDENT sheet")</f>
        <v/>
      </c>
      <c r="E681">
        <f>IFERROR(IF(C681="","",_xlfn.XLOOKUP(C681,STUDENTS!C680:C100677,STUDENTS!F680:F100677)),"update STUDENT sheet")</f>
        <v/>
      </c>
      <c r="F681">
        <f>IFERROR(IF(D681="","",_xlfn.XLOOKUP(D681,STUDENTS!D680:D100677,STUDENTS!G680:G100677)),"update STUDENT sheet")</f>
        <v/>
      </c>
      <c r="G681">
        <f>IFERROR(IF(E681="","",_xlfn.XLOOKUP(E681,STUDENTS!F680:F100677,STUDENTS!H680:H100677)),"update STUDENT sheet")</f>
        <v/>
      </c>
    </row>
    <row r="682">
      <c r="B682">
        <f>IF(STUDENTS!B681="","",STUDENTS!B681)</f>
        <v/>
      </c>
      <c r="C682">
        <f>IFERROR(IF(B682="","",_xlfn.XLOOKUP(B682,STUDENTS!$B$3:$B$1048576,STUDENTS!$C$3:$C$1048576)),"Enter a registered reg. no")</f>
        <v/>
      </c>
      <c r="D682">
        <f>IFERROR(IF(B682="","",_xlfn.XLOOKUP(B682,STUDENTS!B681:B100678,STUDENTS!D681:D100678)),"update STUDENT sheet")</f>
        <v/>
      </c>
      <c r="E682">
        <f>IFERROR(IF(C682="","",_xlfn.XLOOKUP(C682,STUDENTS!C681:C100678,STUDENTS!F681:F100678)),"update STUDENT sheet")</f>
        <v/>
      </c>
      <c r="F682">
        <f>IFERROR(IF(D682="","",_xlfn.XLOOKUP(D682,STUDENTS!D681:D100678,STUDENTS!G681:G100678)),"update STUDENT sheet")</f>
        <v/>
      </c>
      <c r="G682">
        <f>IFERROR(IF(E682="","",_xlfn.XLOOKUP(E682,STUDENTS!F681:F100678,STUDENTS!H681:H100678)),"update STUDENT sheet")</f>
        <v/>
      </c>
    </row>
    <row r="683">
      <c r="B683">
        <f>IF(STUDENTS!B682="","",STUDENTS!B682)</f>
        <v/>
      </c>
      <c r="C683">
        <f>IFERROR(IF(B683="","",_xlfn.XLOOKUP(B683,STUDENTS!$B$3:$B$1048576,STUDENTS!$C$3:$C$1048576)),"Enter a registered reg. no")</f>
        <v/>
      </c>
      <c r="D683">
        <f>IFERROR(IF(B683="","",_xlfn.XLOOKUP(B683,STUDENTS!B682:B100679,STUDENTS!D682:D100679)),"update STUDENT sheet")</f>
        <v/>
      </c>
      <c r="E683">
        <f>IFERROR(IF(C683="","",_xlfn.XLOOKUP(C683,STUDENTS!C682:C100679,STUDENTS!F682:F100679)),"update STUDENT sheet")</f>
        <v/>
      </c>
      <c r="F683">
        <f>IFERROR(IF(D683="","",_xlfn.XLOOKUP(D683,STUDENTS!D682:D100679,STUDENTS!G682:G100679)),"update STUDENT sheet")</f>
        <v/>
      </c>
      <c r="G683">
        <f>IFERROR(IF(E683="","",_xlfn.XLOOKUP(E683,STUDENTS!F682:F100679,STUDENTS!H682:H100679)),"update STUDENT sheet")</f>
        <v/>
      </c>
    </row>
    <row r="684">
      <c r="B684">
        <f>IF(STUDENTS!B683="","",STUDENTS!B683)</f>
        <v/>
      </c>
      <c r="C684">
        <f>IFERROR(IF(B684="","",_xlfn.XLOOKUP(B684,STUDENTS!$B$3:$B$1048576,STUDENTS!$C$3:$C$1048576)),"Enter a registered reg. no")</f>
        <v/>
      </c>
      <c r="D684">
        <f>IFERROR(IF(B684="","",_xlfn.XLOOKUP(B684,STUDENTS!B683:B100680,STUDENTS!D683:D100680)),"update STUDENT sheet")</f>
        <v/>
      </c>
      <c r="E684">
        <f>IFERROR(IF(C684="","",_xlfn.XLOOKUP(C684,STUDENTS!C683:C100680,STUDENTS!F683:F100680)),"update STUDENT sheet")</f>
        <v/>
      </c>
      <c r="F684">
        <f>IFERROR(IF(D684="","",_xlfn.XLOOKUP(D684,STUDENTS!D683:D100680,STUDENTS!G683:G100680)),"update STUDENT sheet")</f>
        <v/>
      </c>
      <c r="G684">
        <f>IFERROR(IF(E684="","",_xlfn.XLOOKUP(E684,STUDENTS!F683:F100680,STUDENTS!H683:H100680)),"update STUDENT sheet")</f>
        <v/>
      </c>
    </row>
    <row r="685">
      <c r="B685">
        <f>IF(STUDENTS!B684="","",STUDENTS!B684)</f>
        <v/>
      </c>
      <c r="C685">
        <f>IFERROR(IF(B685="","",_xlfn.XLOOKUP(B685,STUDENTS!$B$3:$B$1048576,STUDENTS!$C$3:$C$1048576)),"Enter a registered reg. no")</f>
        <v/>
      </c>
      <c r="D685">
        <f>IFERROR(IF(B685="","",_xlfn.XLOOKUP(B685,STUDENTS!B684:B100681,STUDENTS!D684:D100681)),"update STUDENT sheet")</f>
        <v/>
      </c>
      <c r="E685">
        <f>IFERROR(IF(C685="","",_xlfn.XLOOKUP(C685,STUDENTS!C684:C100681,STUDENTS!F684:F100681)),"update STUDENT sheet")</f>
        <v/>
      </c>
      <c r="F685">
        <f>IFERROR(IF(D685="","",_xlfn.XLOOKUP(D685,STUDENTS!D684:D100681,STUDENTS!G684:G100681)),"update STUDENT sheet")</f>
        <v/>
      </c>
      <c r="G685">
        <f>IFERROR(IF(E685="","",_xlfn.XLOOKUP(E685,STUDENTS!F684:F100681,STUDENTS!H684:H100681)),"update STUDENT sheet")</f>
        <v/>
      </c>
    </row>
    <row r="686">
      <c r="B686">
        <f>IF(STUDENTS!B685="","",STUDENTS!B685)</f>
        <v/>
      </c>
      <c r="C686">
        <f>IFERROR(IF(B686="","",_xlfn.XLOOKUP(B686,STUDENTS!$B$3:$B$1048576,STUDENTS!$C$3:$C$1048576)),"Enter a registered reg. no")</f>
        <v/>
      </c>
      <c r="D686">
        <f>IFERROR(IF(B686="","",_xlfn.XLOOKUP(B686,STUDENTS!B685:B100682,STUDENTS!D685:D100682)),"update STUDENT sheet")</f>
        <v/>
      </c>
      <c r="E686">
        <f>IFERROR(IF(C686="","",_xlfn.XLOOKUP(C686,STUDENTS!C685:C100682,STUDENTS!F685:F100682)),"update STUDENT sheet")</f>
        <v/>
      </c>
      <c r="F686">
        <f>IFERROR(IF(D686="","",_xlfn.XLOOKUP(D686,STUDENTS!D685:D100682,STUDENTS!G685:G100682)),"update STUDENT sheet")</f>
        <v/>
      </c>
      <c r="G686">
        <f>IFERROR(IF(E686="","",_xlfn.XLOOKUP(E686,STUDENTS!F685:F100682,STUDENTS!H685:H100682)),"update STUDENT sheet")</f>
        <v/>
      </c>
    </row>
    <row r="687">
      <c r="B687">
        <f>IF(STUDENTS!B686="","",STUDENTS!B686)</f>
        <v/>
      </c>
      <c r="C687">
        <f>IFERROR(IF(B687="","",_xlfn.XLOOKUP(B687,STUDENTS!$B$3:$B$1048576,STUDENTS!$C$3:$C$1048576)),"Enter a registered reg. no")</f>
        <v/>
      </c>
      <c r="D687">
        <f>IFERROR(IF(B687="","",_xlfn.XLOOKUP(B687,STUDENTS!B686:B100683,STUDENTS!D686:D100683)),"update STUDENT sheet")</f>
        <v/>
      </c>
      <c r="E687">
        <f>IFERROR(IF(C687="","",_xlfn.XLOOKUP(C687,STUDENTS!C686:C100683,STUDENTS!F686:F100683)),"update STUDENT sheet")</f>
        <v/>
      </c>
      <c r="F687">
        <f>IFERROR(IF(D687="","",_xlfn.XLOOKUP(D687,STUDENTS!D686:D100683,STUDENTS!G686:G100683)),"update STUDENT sheet")</f>
        <v/>
      </c>
      <c r="G687">
        <f>IFERROR(IF(E687="","",_xlfn.XLOOKUP(E687,STUDENTS!F686:F100683,STUDENTS!H686:H100683)),"update STUDENT sheet")</f>
        <v/>
      </c>
    </row>
    <row r="688">
      <c r="B688">
        <f>IF(STUDENTS!B687="","",STUDENTS!B687)</f>
        <v/>
      </c>
      <c r="C688">
        <f>IFERROR(IF(B688="","",_xlfn.XLOOKUP(B688,STUDENTS!$B$3:$B$1048576,STUDENTS!$C$3:$C$1048576)),"Enter a registered reg. no")</f>
        <v/>
      </c>
      <c r="D688">
        <f>IFERROR(IF(B688="","",_xlfn.XLOOKUP(B688,STUDENTS!B687:B100684,STUDENTS!D687:D100684)),"update STUDENT sheet")</f>
        <v/>
      </c>
      <c r="E688">
        <f>IFERROR(IF(C688="","",_xlfn.XLOOKUP(C688,STUDENTS!C687:C100684,STUDENTS!F687:F100684)),"update STUDENT sheet")</f>
        <v/>
      </c>
      <c r="F688">
        <f>IFERROR(IF(D688="","",_xlfn.XLOOKUP(D688,STUDENTS!D687:D100684,STUDENTS!G687:G100684)),"update STUDENT sheet")</f>
        <v/>
      </c>
      <c r="G688">
        <f>IFERROR(IF(E688="","",_xlfn.XLOOKUP(E688,STUDENTS!F687:F100684,STUDENTS!H687:H100684)),"update STUDENT sheet")</f>
        <v/>
      </c>
    </row>
    <row r="689">
      <c r="B689">
        <f>IF(STUDENTS!B688="","",STUDENTS!B688)</f>
        <v/>
      </c>
      <c r="C689">
        <f>IFERROR(IF(B689="","",_xlfn.XLOOKUP(B689,STUDENTS!$B$3:$B$1048576,STUDENTS!$C$3:$C$1048576)),"Enter a registered reg. no")</f>
        <v/>
      </c>
      <c r="D689">
        <f>IFERROR(IF(B689="","",_xlfn.XLOOKUP(B689,STUDENTS!B688:B100685,STUDENTS!D688:D100685)),"update STUDENT sheet")</f>
        <v/>
      </c>
      <c r="E689">
        <f>IFERROR(IF(C689="","",_xlfn.XLOOKUP(C689,STUDENTS!C688:C100685,STUDENTS!F688:F100685)),"update STUDENT sheet")</f>
        <v/>
      </c>
      <c r="F689">
        <f>IFERROR(IF(D689="","",_xlfn.XLOOKUP(D689,STUDENTS!D688:D100685,STUDENTS!G688:G100685)),"update STUDENT sheet")</f>
        <v/>
      </c>
      <c r="G689">
        <f>IFERROR(IF(E689="","",_xlfn.XLOOKUP(E689,STUDENTS!F688:F100685,STUDENTS!H688:H100685)),"update STUDENT sheet")</f>
        <v/>
      </c>
    </row>
    <row r="690">
      <c r="B690">
        <f>IF(STUDENTS!B689="","",STUDENTS!B689)</f>
        <v/>
      </c>
      <c r="C690">
        <f>IFERROR(IF(B690="","",_xlfn.XLOOKUP(B690,STUDENTS!$B$3:$B$1048576,STUDENTS!$C$3:$C$1048576)),"Enter a registered reg. no")</f>
        <v/>
      </c>
      <c r="D690">
        <f>IFERROR(IF(B690="","",_xlfn.XLOOKUP(B690,STUDENTS!B689:B100686,STUDENTS!D689:D100686)),"update STUDENT sheet")</f>
        <v/>
      </c>
      <c r="E690">
        <f>IFERROR(IF(C690="","",_xlfn.XLOOKUP(C690,STUDENTS!C689:C100686,STUDENTS!F689:F100686)),"update STUDENT sheet")</f>
        <v/>
      </c>
      <c r="F690">
        <f>IFERROR(IF(D690="","",_xlfn.XLOOKUP(D690,STUDENTS!D689:D100686,STUDENTS!G689:G100686)),"update STUDENT sheet")</f>
        <v/>
      </c>
      <c r="G690">
        <f>IFERROR(IF(E690="","",_xlfn.XLOOKUP(E690,STUDENTS!F689:F100686,STUDENTS!H689:H100686)),"update STUDENT sheet")</f>
        <v/>
      </c>
    </row>
    <row r="691">
      <c r="B691">
        <f>IF(STUDENTS!B690="","",STUDENTS!B690)</f>
        <v/>
      </c>
      <c r="C691">
        <f>IFERROR(IF(B691="","",_xlfn.XLOOKUP(B691,STUDENTS!$B$3:$B$1048576,STUDENTS!$C$3:$C$1048576)),"Enter a registered reg. no")</f>
        <v/>
      </c>
      <c r="D691">
        <f>IFERROR(IF(B691="","",_xlfn.XLOOKUP(B691,STUDENTS!B690:B100687,STUDENTS!D690:D100687)),"update STUDENT sheet")</f>
        <v/>
      </c>
      <c r="E691">
        <f>IFERROR(IF(C691="","",_xlfn.XLOOKUP(C691,STUDENTS!C690:C100687,STUDENTS!F690:F100687)),"update STUDENT sheet")</f>
        <v/>
      </c>
      <c r="F691">
        <f>IFERROR(IF(D691="","",_xlfn.XLOOKUP(D691,STUDENTS!D690:D100687,STUDENTS!G690:G100687)),"update STUDENT sheet")</f>
        <v/>
      </c>
      <c r="G691">
        <f>IFERROR(IF(E691="","",_xlfn.XLOOKUP(E691,STUDENTS!F690:F100687,STUDENTS!H690:H100687)),"update STUDENT sheet")</f>
        <v/>
      </c>
    </row>
    <row r="692">
      <c r="B692">
        <f>IF(STUDENTS!B691="","",STUDENTS!B691)</f>
        <v/>
      </c>
      <c r="C692">
        <f>IFERROR(IF(B692="","",_xlfn.XLOOKUP(B692,STUDENTS!$B$3:$B$1048576,STUDENTS!$C$3:$C$1048576)),"Enter a registered reg. no")</f>
        <v/>
      </c>
      <c r="D692">
        <f>IFERROR(IF(B692="","",_xlfn.XLOOKUP(B692,STUDENTS!B691:B100688,STUDENTS!D691:D100688)),"update STUDENT sheet")</f>
        <v/>
      </c>
      <c r="E692">
        <f>IFERROR(IF(C692="","",_xlfn.XLOOKUP(C692,STUDENTS!C691:C100688,STUDENTS!F691:F100688)),"update STUDENT sheet")</f>
        <v/>
      </c>
      <c r="F692">
        <f>IFERROR(IF(D692="","",_xlfn.XLOOKUP(D692,STUDENTS!D691:D100688,STUDENTS!G691:G100688)),"update STUDENT sheet")</f>
        <v/>
      </c>
      <c r="G692">
        <f>IFERROR(IF(E692="","",_xlfn.XLOOKUP(E692,STUDENTS!F691:F100688,STUDENTS!H691:H100688)),"update STUDENT sheet")</f>
        <v/>
      </c>
    </row>
    <row r="693">
      <c r="B693">
        <f>IF(STUDENTS!B692="","",STUDENTS!B692)</f>
        <v/>
      </c>
      <c r="C693">
        <f>IFERROR(IF(B693="","",_xlfn.XLOOKUP(B693,STUDENTS!$B$3:$B$1048576,STUDENTS!$C$3:$C$1048576)),"Enter a registered reg. no")</f>
        <v/>
      </c>
      <c r="D693">
        <f>IFERROR(IF(B693="","",_xlfn.XLOOKUP(B693,STUDENTS!B692:B100689,STUDENTS!D692:D100689)),"update STUDENT sheet")</f>
        <v/>
      </c>
      <c r="E693">
        <f>IFERROR(IF(C693="","",_xlfn.XLOOKUP(C693,STUDENTS!C692:C100689,STUDENTS!F692:F100689)),"update STUDENT sheet")</f>
        <v/>
      </c>
      <c r="F693">
        <f>IFERROR(IF(D693="","",_xlfn.XLOOKUP(D693,STUDENTS!D692:D100689,STUDENTS!G692:G100689)),"update STUDENT sheet")</f>
        <v/>
      </c>
      <c r="G693">
        <f>IFERROR(IF(E693="","",_xlfn.XLOOKUP(E693,STUDENTS!F692:F100689,STUDENTS!H692:H100689)),"update STUDENT sheet")</f>
        <v/>
      </c>
    </row>
    <row r="694">
      <c r="B694">
        <f>IF(STUDENTS!B693="","",STUDENTS!B693)</f>
        <v/>
      </c>
      <c r="C694">
        <f>IFERROR(IF(B694="","",_xlfn.XLOOKUP(B694,STUDENTS!$B$3:$B$1048576,STUDENTS!$C$3:$C$1048576)),"Enter a registered reg. no")</f>
        <v/>
      </c>
      <c r="D694">
        <f>IFERROR(IF(B694="","",_xlfn.XLOOKUP(B694,STUDENTS!B693:B100690,STUDENTS!D693:D100690)),"update STUDENT sheet")</f>
        <v/>
      </c>
      <c r="E694">
        <f>IFERROR(IF(C694="","",_xlfn.XLOOKUP(C694,STUDENTS!C693:C100690,STUDENTS!F693:F100690)),"update STUDENT sheet")</f>
        <v/>
      </c>
      <c r="F694">
        <f>IFERROR(IF(D694="","",_xlfn.XLOOKUP(D694,STUDENTS!D693:D100690,STUDENTS!G693:G100690)),"update STUDENT sheet")</f>
        <v/>
      </c>
      <c r="G694">
        <f>IFERROR(IF(E694="","",_xlfn.XLOOKUP(E694,STUDENTS!F693:F100690,STUDENTS!H693:H100690)),"update STUDENT sheet")</f>
        <v/>
      </c>
    </row>
    <row r="695">
      <c r="B695">
        <f>IF(STUDENTS!B694="","",STUDENTS!B694)</f>
        <v/>
      </c>
      <c r="C695">
        <f>IFERROR(IF(B695="","",_xlfn.XLOOKUP(B695,STUDENTS!$B$3:$B$1048576,STUDENTS!$C$3:$C$1048576)),"Enter a registered reg. no")</f>
        <v/>
      </c>
      <c r="D695">
        <f>IFERROR(IF(B695="","",_xlfn.XLOOKUP(B695,STUDENTS!B694:B100691,STUDENTS!D694:D100691)),"update STUDENT sheet")</f>
        <v/>
      </c>
      <c r="E695">
        <f>IFERROR(IF(C695="","",_xlfn.XLOOKUP(C695,STUDENTS!C694:C100691,STUDENTS!F694:F100691)),"update STUDENT sheet")</f>
        <v/>
      </c>
      <c r="F695">
        <f>IFERROR(IF(D695="","",_xlfn.XLOOKUP(D695,STUDENTS!D694:D100691,STUDENTS!G694:G100691)),"update STUDENT sheet")</f>
        <v/>
      </c>
      <c r="G695">
        <f>IFERROR(IF(E695="","",_xlfn.XLOOKUP(E695,STUDENTS!F694:F100691,STUDENTS!H694:H100691)),"update STUDENT sheet")</f>
        <v/>
      </c>
    </row>
    <row r="696">
      <c r="B696">
        <f>IF(STUDENTS!B695="","",STUDENTS!B695)</f>
        <v/>
      </c>
      <c r="C696">
        <f>IFERROR(IF(B696="","",_xlfn.XLOOKUP(B696,STUDENTS!$B$3:$B$1048576,STUDENTS!$C$3:$C$1048576)),"Enter a registered reg. no")</f>
        <v/>
      </c>
      <c r="D696">
        <f>IFERROR(IF(B696="","",_xlfn.XLOOKUP(B696,STUDENTS!B695:B100692,STUDENTS!D695:D100692)),"update STUDENT sheet")</f>
        <v/>
      </c>
      <c r="E696">
        <f>IFERROR(IF(C696="","",_xlfn.XLOOKUP(C696,STUDENTS!C695:C100692,STUDENTS!F695:F100692)),"update STUDENT sheet")</f>
        <v/>
      </c>
      <c r="F696">
        <f>IFERROR(IF(D696="","",_xlfn.XLOOKUP(D696,STUDENTS!D695:D100692,STUDENTS!G695:G100692)),"update STUDENT sheet")</f>
        <v/>
      </c>
      <c r="G696">
        <f>IFERROR(IF(E696="","",_xlfn.XLOOKUP(E696,STUDENTS!F695:F100692,STUDENTS!H695:H100692)),"update STUDENT sheet")</f>
        <v/>
      </c>
    </row>
    <row r="697">
      <c r="B697">
        <f>IF(STUDENTS!B696="","",STUDENTS!B696)</f>
        <v/>
      </c>
      <c r="C697">
        <f>IFERROR(IF(B697="","",_xlfn.XLOOKUP(B697,STUDENTS!$B$3:$B$1048576,STUDENTS!$C$3:$C$1048576)),"Enter a registered reg. no")</f>
        <v/>
      </c>
      <c r="D697">
        <f>IFERROR(IF(B697="","",_xlfn.XLOOKUP(B697,STUDENTS!B696:B100693,STUDENTS!D696:D100693)),"update STUDENT sheet")</f>
        <v/>
      </c>
      <c r="E697">
        <f>IFERROR(IF(C697="","",_xlfn.XLOOKUP(C697,STUDENTS!C696:C100693,STUDENTS!F696:F100693)),"update STUDENT sheet")</f>
        <v/>
      </c>
      <c r="F697">
        <f>IFERROR(IF(D697="","",_xlfn.XLOOKUP(D697,STUDENTS!D696:D100693,STUDENTS!G696:G100693)),"update STUDENT sheet")</f>
        <v/>
      </c>
      <c r="G697">
        <f>IFERROR(IF(E697="","",_xlfn.XLOOKUP(E697,STUDENTS!F696:F100693,STUDENTS!H696:H100693)),"update STUDENT sheet")</f>
        <v/>
      </c>
    </row>
    <row r="698">
      <c r="B698">
        <f>IF(STUDENTS!B697="","",STUDENTS!B697)</f>
        <v/>
      </c>
      <c r="C698">
        <f>IFERROR(IF(B698="","",_xlfn.XLOOKUP(B698,STUDENTS!$B$3:$B$1048576,STUDENTS!$C$3:$C$1048576)),"Enter a registered reg. no")</f>
        <v/>
      </c>
      <c r="D698">
        <f>IFERROR(IF(B698="","",_xlfn.XLOOKUP(B698,STUDENTS!B697:B100694,STUDENTS!D697:D100694)),"update STUDENT sheet")</f>
        <v/>
      </c>
      <c r="E698">
        <f>IFERROR(IF(C698="","",_xlfn.XLOOKUP(C698,STUDENTS!C697:C100694,STUDENTS!F697:F100694)),"update STUDENT sheet")</f>
        <v/>
      </c>
      <c r="F698">
        <f>IFERROR(IF(D698="","",_xlfn.XLOOKUP(D698,STUDENTS!D697:D100694,STUDENTS!G697:G100694)),"update STUDENT sheet")</f>
        <v/>
      </c>
      <c r="G698">
        <f>IFERROR(IF(E698="","",_xlfn.XLOOKUP(E698,STUDENTS!F697:F100694,STUDENTS!H697:H100694)),"update STUDENT sheet")</f>
        <v/>
      </c>
    </row>
    <row r="699">
      <c r="B699">
        <f>IF(STUDENTS!B698="","",STUDENTS!B698)</f>
        <v/>
      </c>
      <c r="C699">
        <f>IFERROR(IF(B699="","",_xlfn.XLOOKUP(B699,STUDENTS!$B$3:$B$1048576,STUDENTS!$C$3:$C$1048576)),"Enter a registered reg. no")</f>
        <v/>
      </c>
      <c r="D699">
        <f>IFERROR(IF(B699="","",_xlfn.XLOOKUP(B699,STUDENTS!B698:B100695,STUDENTS!D698:D100695)),"update STUDENT sheet")</f>
        <v/>
      </c>
      <c r="E699">
        <f>IFERROR(IF(C699="","",_xlfn.XLOOKUP(C699,STUDENTS!C698:C100695,STUDENTS!F698:F100695)),"update STUDENT sheet")</f>
        <v/>
      </c>
      <c r="F699">
        <f>IFERROR(IF(D699="","",_xlfn.XLOOKUP(D699,STUDENTS!D698:D100695,STUDENTS!G698:G100695)),"update STUDENT sheet")</f>
        <v/>
      </c>
      <c r="G699">
        <f>IFERROR(IF(E699="","",_xlfn.XLOOKUP(E699,STUDENTS!F698:F100695,STUDENTS!H698:H100695)),"update STUDENT sheet")</f>
        <v/>
      </c>
    </row>
    <row r="700">
      <c r="B700">
        <f>IF(STUDENTS!B699="","",STUDENTS!B699)</f>
        <v/>
      </c>
      <c r="C700">
        <f>IFERROR(IF(B700="","",_xlfn.XLOOKUP(B700,STUDENTS!$B$3:$B$1048576,STUDENTS!$C$3:$C$1048576)),"Enter a registered reg. no")</f>
        <v/>
      </c>
      <c r="D700">
        <f>IFERROR(IF(B700="","",_xlfn.XLOOKUP(B700,STUDENTS!B699:B100696,STUDENTS!D699:D100696)),"update STUDENT sheet")</f>
        <v/>
      </c>
      <c r="E700">
        <f>IFERROR(IF(C700="","",_xlfn.XLOOKUP(C700,STUDENTS!C699:C100696,STUDENTS!F699:F100696)),"update STUDENT sheet")</f>
        <v/>
      </c>
      <c r="F700">
        <f>IFERROR(IF(D700="","",_xlfn.XLOOKUP(D700,STUDENTS!D699:D100696,STUDENTS!G699:G100696)),"update STUDENT sheet")</f>
        <v/>
      </c>
      <c r="G700">
        <f>IFERROR(IF(E700="","",_xlfn.XLOOKUP(E700,STUDENTS!F699:F100696,STUDENTS!H699:H100696)),"update STUDENT sheet")</f>
        <v/>
      </c>
    </row>
    <row r="701">
      <c r="B701">
        <f>IF(STUDENTS!B700="","",STUDENTS!B700)</f>
        <v/>
      </c>
      <c r="C701">
        <f>IFERROR(IF(B701="","",_xlfn.XLOOKUP(B701,STUDENTS!$B$3:$B$1048576,STUDENTS!$C$3:$C$1048576)),"Enter a registered reg. no")</f>
        <v/>
      </c>
      <c r="D701">
        <f>IFERROR(IF(B701="","",_xlfn.XLOOKUP(B701,STUDENTS!B700:B100697,STUDENTS!D700:D100697)),"update STUDENT sheet")</f>
        <v/>
      </c>
      <c r="E701">
        <f>IFERROR(IF(C701="","",_xlfn.XLOOKUP(C701,STUDENTS!C700:C100697,STUDENTS!F700:F100697)),"update STUDENT sheet")</f>
        <v/>
      </c>
      <c r="F701">
        <f>IFERROR(IF(D701="","",_xlfn.XLOOKUP(D701,STUDENTS!D700:D100697,STUDENTS!G700:G100697)),"update STUDENT sheet")</f>
        <v/>
      </c>
      <c r="G701">
        <f>IFERROR(IF(E701="","",_xlfn.XLOOKUP(E701,STUDENTS!F700:F100697,STUDENTS!H700:H100697)),"update STUDENT sheet")</f>
        <v/>
      </c>
    </row>
    <row r="702">
      <c r="B702">
        <f>IF(STUDENTS!B701="","",STUDENTS!B701)</f>
        <v/>
      </c>
      <c r="C702">
        <f>IFERROR(IF(B702="","",_xlfn.XLOOKUP(B702,STUDENTS!$B$3:$B$1048576,STUDENTS!$C$3:$C$1048576)),"Enter a registered reg. no")</f>
        <v/>
      </c>
      <c r="D702">
        <f>IFERROR(IF(B702="","",_xlfn.XLOOKUP(B702,STUDENTS!B701:B100698,STUDENTS!D701:D100698)),"update STUDENT sheet")</f>
        <v/>
      </c>
      <c r="E702">
        <f>IFERROR(IF(C702="","",_xlfn.XLOOKUP(C702,STUDENTS!C701:C100698,STUDENTS!F701:F100698)),"update STUDENT sheet")</f>
        <v/>
      </c>
      <c r="F702">
        <f>IFERROR(IF(D702="","",_xlfn.XLOOKUP(D702,STUDENTS!D701:D100698,STUDENTS!G701:G100698)),"update STUDENT sheet")</f>
        <v/>
      </c>
      <c r="G702">
        <f>IFERROR(IF(E702="","",_xlfn.XLOOKUP(E702,STUDENTS!F701:F100698,STUDENTS!H701:H100698)),"update STUDENT sheet")</f>
        <v/>
      </c>
    </row>
    <row r="703">
      <c r="B703">
        <f>IF(STUDENTS!B702="","",STUDENTS!B702)</f>
        <v/>
      </c>
      <c r="C703">
        <f>IFERROR(IF(B703="","",_xlfn.XLOOKUP(B703,STUDENTS!$B$3:$B$1048576,STUDENTS!$C$3:$C$1048576)),"Enter a registered reg. no")</f>
        <v/>
      </c>
      <c r="D703">
        <f>IFERROR(IF(B703="","",_xlfn.XLOOKUP(B703,STUDENTS!B702:B100699,STUDENTS!D702:D100699)),"update STUDENT sheet")</f>
        <v/>
      </c>
      <c r="E703">
        <f>IFERROR(IF(C703="","",_xlfn.XLOOKUP(C703,STUDENTS!C702:C100699,STUDENTS!F702:F100699)),"update STUDENT sheet")</f>
        <v/>
      </c>
      <c r="F703">
        <f>IFERROR(IF(D703="","",_xlfn.XLOOKUP(D703,STUDENTS!D702:D100699,STUDENTS!G702:G100699)),"update STUDENT sheet")</f>
        <v/>
      </c>
      <c r="G703">
        <f>IFERROR(IF(E703="","",_xlfn.XLOOKUP(E703,STUDENTS!F702:F100699,STUDENTS!H702:H100699)),"update STUDENT sheet")</f>
        <v/>
      </c>
    </row>
    <row r="704">
      <c r="B704">
        <f>IF(STUDENTS!B703="","",STUDENTS!B703)</f>
        <v/>
      </c>
      <c r="C704">
        <f>IFERROR(IF(B704="","",_xlfn.XLOOKUP(B704,STUDENTS!$B$3:$B$1048576,STUDENTS!$C$3:$C$1048576)),"Enter a registered reg. no")</f>
        <v/>
      </c>
      <c r="D704">
        <f>IFERROR(IF(B704="","",_xlfn.XLOOKUP(B704,STUDENTS!B703:B100700,STUDENTS!D703:D100700)),"update STUDENT sheet")</f>
        <v/>
      </c>
      <c r="E704">
        <f>IFERROR(IF(C704="","",_xlfn.XLOOKUP(C704,STUDENTS!C703:C100700,STUDENTS!F703:F100700)),"update STUDENT sheet")</f>
        <v/>
      </c>
      <c r="F704">
        <f>IFERROR(IF(D704="","",_xlfn.XLOOKUP(D704,STUDENTS!D703:D100700,STUDENTS!G703:G100700)),"update STUDENT sheet")</f>
        <v/>
      </c>
      <c r="G704">
        <f>IFERROR(IF(E704="","",_xlfn.XLOOKUP(E704,STUDENTS!F703:F100700,STUDENTS!H703:H100700)),"update STUDENT sheet")</f>
        <v/>
      </c>
    </row>
    <row r="705">
      <c r="B705">
        <f>IF(STUDENTS!B704="","",STUDENTS!B704)</f>
        <v/>
      </c>
      <c r="C705">
        <f>IFERROR(IF(B705="","",_xlfn.XLOOKUP(B705,STUDENTS!$B$3:$B$1048576,STUDENTS!$C$3:$C$1048576)),"Enter a registered reg. no")</f>
        <v/>
      </c>
      <c r="D705">
        <f>IFERROR(IF(B705="","",_xlfn.XLOOKUP(B705,STUDENTS!B704:B100701,STUDENTS!D704:D100701)),"update STUDENT sheet")</f>
        <v/>
      </c>
      <c r="E705">
        <f>IFERROR(IF(C705="","",_xlfn.XLOOKUP(C705,STUDENTS!C704:C100701,STUDENTS!F704:F100701)),"update STUDENT sheet")</f>
        <v/>
      </c>
      <c r="F705">
        <f>IFERROR(IF(D705="","",_xlfn.XLOOKUP(D705,STUDENTS!D704:D100701,STUDENTS!G704:G100701)),"update STUDENT sheet")</f>
        <v/>
      </c>
      <c r="G705">
        <f>IFERROR(IF(E705="","",_xlfn.XLOOKUP(E705,STUDENTS!F704:F100701,STUDENTS!H704:H100701)),"update STUDENT sheet")</f>
        <v/>
      </c>
    </row>
    <row r="706">
      <c r="B706">
        <f>IF(STUDENTS!B705="","",STUDENTS!B705)</f>
        <v/>
      </c>
      <c r="C706">
        <f>IFERROR(IF(B706="","",_xlfn.XLOOKUP(B706,STUDENTS!$B$3:$B$1048576,STUDENTS!$C$3:$C$1048576)),"Enter a registered reg. no")</f>
        <v/>
      </c>
      <c r="D706">
        <f>IFERROR(IF(B706="","",_xlfn.XLOOKUP(B706,STUDENTS!B705:B100702,STUDENTS!D705:D100702)),"update STUDENT sheet")</f>
        <v/>
      </c>
      <c r="E706">
        <f>IFERROR(IF(C706="","",_xlfn.XLOOKUP(C706,STUDENTS!C705:C100702,STUDENTS!F705:F100702)),"update STUDENT sheet")</f>
        <v/>
      </c>
      <c r="F706">
        <f>IFERROR(IF(D706="","",_xlfn.XLOOKUP(D706,STUDENTS!D705:D100702,STUDENTS!G705:G100702)),"update STUDENT sheet")</f>
        <v/>
      </c>
      <c r="G706">
        <f>IFERROR(IF(E706="","",_xlfn.XLOOKUP(E706,STUDENTS!F705:F100702,STUDENTS!H705:H100702)),"update STUDENT sheet")</f>
        <v/>
      </c>
    </row>
    <row r="707">
      <c r="B707">
        <f>IF(STUDENTS!B706="","",STUDENTS!B706)</f>
        <v/>
      </c>
      <c r="C707">
        <f>IFERROR(IF(B707="","",_xlfn.XLOOKUP(B707,STUDENTS!$B$3:$B$1048576,STUDENTS!$C$3:$C$1048576)),"Enter a registered reg. no")</f>
        <v/>
      </c>
      <c r="D707">
        <f>IFERROR(IF(B707="","",_xlfn.XLOOKUP(B707,STUDENTS!B706:B100703,STUDENTS!D706:D100703)),"update STUDENT sheet")</f>
        <v/>
      </c>
      <c r="E707">
        <f>IFERROR(IF(C707="","",_xlfn.XLOOKUP(C707,STUDENTS!C706:C100703,STUDENTS!F706:F100703)),"update STUDENT sheet")</f>
        <v/>
      </c>
      <c r="F707">
        <f>IFERROR(IF(D707="","",_xlfn.XLOOKUP(D707,STUDENTS!D706:D100703,STUDENTS!G706:G100703)),"update STUDENT sheet")</f>
        <v/>
      </c>
      <c r="G707">
        <f>IFERROR(IF(E707="","",_xlfn.XLOOKUP(E707,STUDENTS!F706:F100703,STUDENTS!H706:H100703)),"update STUDENT sheet")</f>
        <v/>
      </c>
    </row>
    <row r="708">
      <c r="B708">
        <f>IF(STUDENTS!B707="","",STUDENTS!B707)</f>
        <v/>
      </c>
      <c r="C708">
        <f>IFERROR(IF(B708="","",_xlfn.XLOOKUP(B708,STUDENTS!$B$3:$B$1048576,STUDENTS!$C$3:$C$1048576)),"Enter a registered reg. no")</f>
        <v/>
      </c>
      <c r="D708">
        <f>IFERROR(IF(B708="","",_xlfn.XLOOKUP(B708,STUDENTS!B707:B100704,STUDENTS!D707:D100704)),"update STUDENT sheet")</f>
        <v/>
      </c>
      <c r="E708">
        <f>IFERROR(IF(C708="","",_xlfn.XLOOKUP(C708,STUDENTS!C707:C100704,STUDENTS!F707:F100704)),"update STUDENT sheet")</f>
        <v/>
      </c>
      <c r="F708">
        <f>IFERROR(IF(D708="","",_xlfn.XLOOKUP(D708,STUDENTS!D707:D100704,STUDENTS!G707:G100704)),"update STUDENT sheet")</f>
        <v/>
      </c>
      <c r="G708">
        <f>IFERROR(IF(E708="","",_xlfn.XLOOKUP(E708,STUDENTS!F707:F100704,STUDENTS!H707:H100704)),"update STUDENT sheet")</f>
        <v/>
      </c>
    </row>
    <row r="709">
      <c r="B709">
        <f>IF(STUDENTS!B708="","",STUDENTS!B708)</f>
        <v/>
      </c>
      <c r="C709">
        <f>IFERROR(IF(B709="","",_xlfn.XLOOKUP(B709,STUDENTS!$B$3:$B$1048576,STUDENTS!$C$3:$C$1048576)),"Enter a registered reg. no")</f>
        <v/>
      </c>
      <c r="D709">
        <f>IFERROR(IF(B709="","",_xlfn.XLOOKUP(B709,STUDENTS!B708:B100705,STUDENTS!D708:D100705)),"update STUDENT sheet")</f>
        <v/>
      </c>
      <c r="E709">
        <f>IFERROR(IF(C709="","",_xlfn.XLOOKUP(C709,STUDENTS!C708:C100705,STUDENTS!F708:F100705)),"update STUDENT sheet")</f>
        <v/>
      </c>
      <c r="F709">
        <f>IFERROR(IF(D709="","",_xlfn.XLOOKUP(D709,STUDENTS!D708:D100705,STUDENTS!G708:G100705)),"update STUDENT sheet")</f>
        <v/>
      </c>
      <c r="G709">
        <f>IFERROR(IF(E709="","",_xlfn.XLOOKUP(E709,STUDENTS!F708:F100705,STUDENTS!H708:H100705)),"update STUDENT sheet")</f>
        <v/>
      </c>
    </row>
    <row r="710">
      <c r="B710">
        <f>IF(STUDENTS!B709="","",STUDENTS!B709)</f>
        <v/>
      </c>
      <c r="C710">
        <f>IFERROR(IF(B710="","",_xlfn.XLOOKUP(B710,STUDENTS!$B$3:$B$1048576,STUDENTS!$C$3:$C$1048576)),"Enter a registered reg. no")</f>
        <v/>
      </c>
      <c r="D710">
        <f>IFERROR(IF(B710="","",_xlfn.XLOOKUP(B710,STUDENTS!B709:B100706,STUDENTS!D709:D100706)),"update STUDENT sheet")</f>
        <v/>
      </c>
      <c r="E710">
        <f>IFERROR(IF(C710="","",_xlfn.XLOOKUP(C710,STUDENTS!C709:C100706,STUDENTS!F709:F100706)),"update STUDENT sheet")</f>
        <v/>
      </c>
      <c r="F710">
        <f>IFERROR(IF(D710="","",_xlfn.XLOOKUP(D710,STUDENTS!D709:D100706,STUDENTS!G709:G100706)),"update STUDENT sheet")</f>
        <v/>
      </c>
      <c r="G710">
        <f>IFERROR(IF(E710="","",_xlfn.XLOOKUP(E710,STUDENTS!F709:F100706,STUDENTS!H709:H100706)),"update STUDENT sheet")</f>
        <v/>
      </c>
    </row>
    <row r="711">
      <c r="B711">
        <f>IF(STUDENTS!B710="","",STUDENTS!B710)</f>
        <v/>
      </c>
      <c r="C711">
        <f>IFERROR(IF(B711="","",_xlfn.XLOOKUP(B711,STUDENTS!$B$3:$B$1048576,STUDENTS!$C$3:$C$1048576)),"Enter a registered reg. no")</f>
        <v/>
      </c>
      <c r="D711">
        <f>IFERROR(IF(B711="","",_xlfn.XLOOKUP(B711,STUDENTS!B710:B100707,STUDENTS!D710:D100707)),"update STUDENT sheet")</f>
        <v/>
      </c>
      <c r="E711">
        <f>IFERROR(IF(C711="","",_xlfn.XLOOKUP(C711,STUDENTS!C710:C100707,STUDENTS!F710:F100707)),"update STUDENT sheet")</f>
        <v/>
      </c>
      <c r="F711">
        <f>IFERROR(IF(D711="","",_xlfn.XLOOKUP(D711,STUDENTS!D710:D100707,STUDENTS!G710:G100707)),"update STUDENT sheet")</f>
        <v/>
      </c>
      <c r="G711">
        <f>IFERROR(IF(E711="","",_xlfn.XLOOKUP(E711,STUDENTS!F710:F100707,STUDENTS!H710:H100707)),"update STUDENT sheet")</f>
        <v/>
      </c>
    </row>
    <row r="712">
      <c r="B712">
        <f>IF(STUDENTS!B711="","",STUDENTS!B711)</f>
        <v/>
      </c>
      <c r="C712">
        <f>IFERROR(IF(B712="","",_xlfn.XLOOKUP(B712,STUDENTS!$B$3:$B$1048576,STUDENTS!$C$3:$C$1048576)),"Enter a registered reg. no")</f>
        <v/>
      </c>
      <c r="D712">
        <f>IFERROR(IF(B712="","",_xlfn.XLOOKUP(B712,STUDENTS!B711:B100708,STUDENTS!D711:D100708)),"update STUDENT sheet")</f>
        <v/>
      </c>
      <c r="E712">
        <f>IFERROR(IF(C712="","",_xlfn.XLOOKUP(C712,STUDENTS!C711:C100708,STUDENTS!F711:F100708)),"update STUDENT sheet")</f>
        <v/>
      </c>
      <c r="F712">
        <f>IFERROR(IF(D712="","",_xlfn.XLOOKUP(D712,STUDENTS!D711:D100708,STUDENTS!G711:G100708)),"update STUDENT sheet")</f>
        <v/>
      </c>
      <c r="G712">
        <f>IFERROR(IF(E712="","",_xlfn.XLOOKUP(E712,STUDENTS!F711:F100708,STUDENTS!H711:H100708)),"update STUDENT sheet")</f>
        <v/>
      </c>
    </row>
    <row r="713">
      <c r="B713">
        <f>IF(STUDENTS!B712="","",STUDENTS!B712)</f>
        <v/>
      </c>
      <c r="C713">
        <f>IFERROR(IF(B713="","",_xlfn.XLOOKUP(B713,STUDENTS!$B$3:$B$1048576,STUDENTS!$C$3:$C$1048576)),"Enter a registered reg. no")</f>
        <v/>
      </c>
      <c r="D713">
        <f>IFERROR(IF(B713="","",_xlfn.XLOOKUP(B713,STUDENTS!B712:B100709,STUDENTS!D712:D100709)),"update STUDENT sheet")</f>
        <v/>
      </c>
      <c r="E713">
        <f>IFERROR(IF(C713="","",_xlfn.XLOOKUP(C713,STUDENTS!C712:C100709,STUDENTS!F712:F100709)),"update STUDENT sheet")</f>
        <v/>
      </c>
      <c r="F713">
        <f>IFERROR(IF(D713="","",_xlfn.XLOOKUP(D713,STUDENTS!D712:D100709,STUDENTS!G712:G100709)),"update STUDENT sheet")</f>
        <v/>
      </c>
      <c r="G713">
        <f>IFERROR(IF(E713="","",_xlfn.XLOOKUP(E713,STUDENTS!F712:F100709,STUDENTS!H712:H100709)),"update STUDENT sheet")</f>
        <v/>
      </c>
    </row>
    <row r="714">
      <c r="B714">
        <f>IF(STUDENTS!B713="","",STUDENTS!B713)</f>
        <v/>
      </c>
      <c r="C714">
        <f>IFERROR(IF(B714="","",_xlfn.XLOOKUP(B714,STUDENTS!$B$3:$B$1048576,STUDENTS!$C$3:$C$1048576)),"Enter a registered reg. no")</f>
        <v/>
      </c>
      <c r="D714">
        <f>IFERROR(IF(B714="","",_xlfn.XLOOKUP(B714,STUDENTS!B713:B100710,STUDENTS!D713:D100710)),"update STUDENT sheet")</f>
        <v/>
      </c>
      <c r="E714">
        <f>IFERROR(IF(C714="","",_xlfn.XLOOKUP(C714,STUDENTS!C713:C100710,STUDENTS!F713:F100710)),"update STUDENT sheet")</f>
        <v/>
      </c>
      <c r="F714">
        <f>IFERROR(IF(D714="","",_xlfn.XLOOKUP(D714,STUDENTS!D713:D100710,STUDENTS!G713:G100710)),"update STUDENT sheet")</f>
        <v/>
      </c>
      <c r="G714">
        <f>IFERROR(IF(E714="","",_xlfn.XLOOKUP(E714,STUDENTS!F713:F100710,STUDENTS!H713:H100710)),"update STUDENT sheet")</f>
        <v/>
      </c>
    </row>
    <row r="715">
      <c r="B715">
        <f>IF(STUDENTS!B714="","",STUDENTS!B714)</f>
        <v/>
      </c>
      <c r="C715">
        <f>IFERROR(IF(B715="","",_xlfn.XLOOKUP(B715,STUDENTS!$B$3:$B$1048576,STUDENTS!$C$3:$C$1048576)),"Enter a registered reg. no")</f>
        <v/>
      </c>
      <c r="D715">
        <f>IFERROR(IF(B715="","",_xlfn.XLOOKUP(B715,STUDENTS!B714:B100711,STUDENTS!D714:D100711)),"update STUDENT sheet")</f>
        <v/>
      </c>
      <c r="E715">
        <f>IFERROR(IF(C715="","",_xlfn.XLOOKUP(C715,STUDENTS!C714:C100711,STUDENTS!F714:F100711)),"update STUDENT sheet")</f>
        <v/>
      </c>
      <c r="F715">
        <f>IFERROR(IF(D715="","",_xlfn.XLOOKUP(D715,STUDENTS!D714:D100711,STUDENTS!G714:G100711)),"update STUDENT sheet")</f>
        <v/>
      </c>
      <c r="G715">
        <f>IFERROR(IF(E715="","",_xlfn.XLOOKUP(E715,STUDENTS!F714:F100711,STUDENTS!H714:H100711)),"update STUDENT sheet")</f>
        <v/>
      </c>
    </row>
    <row r="716">
      <c r="B716">
        <f>IF(STUDENTS!B715="","",STUDENTS!B715)</f>
        <v/>
      </c>
      <c r="C716">
        <f>IFERROR(IF(B716="","",_xlfn.XLOOKUP(B716,STUDENTS!$B$3:$B$1048576,STUDENTS!$C$3:$C$1048576)),"Enter a registered reg. no")</f>
        <v/>
      </c>
      <c r="D716">
        <f>IFERROR(IF(B716="","",_xlfn.XLOOKUP(B716,STUDENTS!B715:B100712,STUDENTS!D715:D100712)),"update STUDENT sheet")</f>
        <v/>
      </c>
      <c r="E716">
        <f>IFERROR(IF(C716="","",_xlfn.XLOOKUP(C716,STUDENTS!C715:C100712,STUDENTS!F715:F100712)),"update STUDENT sheet")</f>
        <v/>
      </c>
      <c r="F716">
        <f>IFERROR(IF(D716="","",_xlfn.XLOOKUP(D716,STUDENTS!D715:D100712,STUDENTS!G715:G100712)),"update STUDENT sheet")</f>
        <v/>
      </c>
      <c r="G716">
        <f>IFERROR(IF(E716="","",_xlfn.XLOOKUP(E716,STUDENTS!F715:F100712,STUDENTS!H715:H100712)),"update STUDENT sheet")</f>
        <v/>
      </c>
    </row>
    <row r="717">
      <c r="B717">
        <f>IF(STUDENTS!B716="","",STUDENTS!B716)</f>
        <v/>
      </c>
      <c r="C717">
        <f>IFERROR(IF(B717="","",_xlfn.XLOOKUP(B717,STUDENTS!$B$3:$B$1048576,STUDENTS!$C$3:$C$1048576)),"Enter a registered reg. no")</f>
        <v/>
      </c>
      <c r="D717">
        <f>IFERROR(IF(B717="","",_xlfn.XLOOKUP(B717,STUDENTS!B716:B100713,STUDENTS!D716:D100713)),"update STUDENT sheet")</f>
        <v/>
      </c>
      <c r="E717">
        <f>IFERROR(IF(C717="","",_xlfn.XLOOKUP(C717,STUDENTS!C716:C100713,STUDENTS!F716:F100713)),"update STUDENT sheet")</f>
        <v/>
      </c>
      <c r="F717">
        <f>IFERROR(IF(D717="","",_xlfn.XLOOKUP(D717,STUDENTS!D716:D100713,STUDENTS!G716:G100713)),"update STUDENT sheet")</f>
        <v/>
      </c>
      <c r="G717">
        <f>IFERROR(IF(E717="","",_xlfn.XLOOKUP(E717,STUDENTS!F716:F100713,STUDENTS!H716:H100713)),"update STUDENT sheet")</f>
        <v/>
      </c>
    </row>
    <row r="718">
      <c r="B718">
        <f>IF(STUDENTS!B717="","",STUDENTS!B717)</f>
        <v/>
      </c>
      <c r="C718">
        <f>IFERROR(IF(B718="","",_xlfn.XLOOKUP(B718,STUDENTS!$B$3:$B$1048576,STUDENTS!$C$3:$C$1048576)),"Enter a registered reg. no")</f>
        <v/>
      </c>
      <c r="D718">
        <f>IFERROR(IF(B718="","",_xlfn.XLOOKUP(B718,STUDENTS!B717:B100714,STUDENTS!D717:D100714)),"update STUDENT sheet")</f>
        <v/>
      </c>
      <c r="E718">
        <f>IFERROR(IF(C718="","",_xlfn.XLOOKUP(C718,STUDENTS!C717:C100714,STUDENTS!F717:F100714)),"update STUDENT sheet")</f>
        <v/>
      </c>
      <c r="F718">
        <f>IFERROR(IF(D718="","",_xlfn.XLOOKUP(D718,STUDENTS!D717:D100714,STUDENTS!G717:G100714)),"update STUDENT sheet")</f>
        <v/>
      </c>
      <c r="G718">
        <f>IFERROR(IF(E718="","",_xlfn.XLOOKUP(E718,STUDENTS!F717:F100714,STUDENTS!H717:H100714)),"update STUDENT sheet")</f>
        <v/>
      </c>
    </row>
    <row r="719">
      <c r="B719">
        <f>IF(STUDENTS!B718="","",STUDENTS!B718)</f>
        <v/>
      </c>
      <c r="C719">
        <f>IFERROR(IF(B719="","",_xlfn.XLOOKUP(B719,STUDENTS!$B$3:$B$1048576,STUDENTS!$C$3:$C$1048576)),"Enter a registered reg. no")</f>
        <v/>
      </c>
      <c r="D719">
        <f>IFERROR(IF(B719="","",_xlfn.XLOOKUP(B719,STUDENTS!B718:B100715,STUDENTS!D718:D100715)),"update STUDENT sheet")</f>
        <v/>
      </c>
      <c r="E719">
        <f>IFERROR(IF(C719="","",_xlfn.XLOOKUP(C719,STUDENTS!C718:C100715,STUDENTS!F718:F100715)),"update STUDENT sheet")</f>
        <v/>
      </c>
      <c r="F719">
        <f>IFERROR(IF(D719="","",_xlfn.XLOOKUP(D719,STUDENTS!D718:D100715,STUDENTS!G718:G100715)),"update STUDENT sheet")</f>
        <v/>
      </c>
      <c r="G719">
        <f>IFERROR(IF(E719="","",_xlfn.XLOOKUP(E719,STUDENTS!F718:F100715,STUDENTS!H718:H100715)),"update STUDENT sheet")</f>
        <v/>
      </c>
    </row>
    <row r="720">
      <c r="B720">
        <f>IF(STUDENTS!B719="","",STUDENTS!B719)</f>
        <v/>
      </c>
      <c r="C720">
        <f>IFERROR(IF(B720="","",_xlfn.XLOOKUP(B720,STUDENTS!$B$3:$B$1048576,STUDENTS!$C$3:$C$1048576)),"Enter a registered reg. no")</f>
        <v/>
      </c>
      <c r="D720">
        <f>IFERROR(IF(B720="","",_xlfn.XLOOKUP(B720,STUDENTS!B719:B100716,STUDENTS!D719:D100716)),"update STUDENT sheet")</f>
        <v/>
      </c>
      <c r="E720">
        <f>IFERROR(IF(C720="","",_xlfn.XLOOKUP(C720,STUDENTS!C719:C100716,STUDENTS!F719:F100716)),"update STUDENT sheet")</f>
        <v/>
      </c>
      <c r="F720">
        <f>IFERROR(IF(D720="","",_xlfn.XLOOKUP(D720,STUDENTS!D719:D100716,STUDENTS!G719:G100716)),"update STUDENT sheet")</f>
        <v/>
      </c>
      <c r="G720">
        <f>IFERROR(IF(E720="","",_xlfn.XLOOKUP(E720,STUDENTS!F719:F100716,STUDENTS!H719:H100716)),"update STUDENT sheet")</f>
        <v/>
      </c>
    </row>
    <row r="721">
      <c r="B721">
        <f>IF(STUDENTS!B720="","",STUDENTS!B720)</f>
        <v/>
      </c>
      <c r="C721">
        <f>IFERROR(IF(B721="","",_xlfn.XLOOKUP(B721,STUDENTS!$B$3:$B$1048576,STUDENTS!$C$3:$C$1048576)),"Enter a registered reg. no")</f>
        <v/>
      </c>
      <c r="D721">
        <f>IFERROR(IF(B721="","",_xlfn.XLOOKUP(B721,STUDENTS!B720:B100717,STUDENTS!D720:D100717)),"update STUDENT sheet")</f>
        <v/>
      </c>
      <c r="E721">
        <f>IFERROR(IF(C721="","",_xlfn.XLOOKUP(C721,STUDENTS!C720:C100717,STUDENTS!F720:F100717)),"update STUDENT sheet")</f>
        <v/>
      </c>
      <c r="F721">
        <f>IFERROR(IF(D721="","",_xlfn.XLOOKUP(D721,STUDENTS!D720:D100717,STUDENTS!G720:G100717)),"update STUDENT sheet")</f>
        <v/>
      </c>
      <c r="G721">
        <f>IFERROR(IF(E721="","",_xlfn.XLOOKUP(E721,STUDENTS!F720:F100717,STUDENTS!H720:H100717)),"update STUDENT sheet")</f>
        <v/>
      </c>
    </row>
    <row r="722">
      <c r="B722">
        <f>IF(STUDENTS!B721="","",STUDENTS!B721)</f>
        <v/>
      </c>
      <c r="C722">
        <f>IFERROR(IF(B722="","",_xlfn.XLOOKUP(B722,STUDENTS!$B$3:$B$1048576,STUDENTS!$C$3:$C$1048576)),"Enter a registered reg. no")</f>
        <v/>
      </c>
      <c r="D722">
        <f>IFERROR(IF(B722="","",_xlfn.XLOOKUP(B722,STUDENTS!B721:B100718,STUDENTS!D721:D100718)),"update STUDENT sheet")</f>
        <v/>
      </c>
      <c r="E722">
        <f>IFERROR(IF(C722="","",_xlfn.XLOOKUP(C722,STUDENTS!C721:C100718,STUDENTS!F721:F100718)),"update STUDENT sheet")</f>
        <v/>
      </c>
      <c r="F722">
        <f>IFERROR(IF(D722="","",_xlfn.XLOOKUP(D722,STUDENTS!D721:D100718,STUDENTS!G721:G100718)),"update STUDENT sheet")</f>
        <v/>
      </c>
      <c r="G722">
        <f>IFERROR(IF(E722="","",_xlfn.XLOOKUP(E722,STUDENTS!F721:F100718,STUDENTS!H721:H100718)),"update STUDENT sheet")</f>
        <v/>
      </c>
    </row>
    <row r="723">
      <c r="B723">
        <f>IF(STUDENTS!B722="","",STUDENTS!B722)</f>
        <v/>
      </c>
      <c r="C723">
        <f>IFERROR(IF(B723="","",_xlfn.XLOOKUP(B723,STUDENTS!$B$3:$B$1048576,STUDENTS!$C$3:$C$1048576)),"Enter a registered reg. no")</f>
        <v/>
      </c>
      <c r="D723">
        <f>IFERROR(IF(B723="","",_xlfn.XLOOKUP(B723,STUDENTS!B722:B100719,STUDENTS!D722:D100719)),"update STUDENT sheet")</f>
        <v/>
      </c>
      <c r="E723">
        <f>IFERROR(IF(C723="","",_xlfn.XLOOKUP(C723,STUDENTS!C722:C100719,STUDENTS!F722:F100719)),"update STUDENT sheet")</f>
        <v/>
      </c>
      <c r="F723">
        <f>IFERROR(IF(D723="","",_xlfn.XLOOKUP(D723,STUDENTS!D722:D100719,STUDENTS!G722:G100719)),"update STUDENT sheet")</f>
        <v/>
      </c>
      <c r="G723">
        <f>IFERROR(IF(E723="","",_xlfn.XLOOKUP(E723,STUDENTS!F722:F100719,STUDENTS!H722:H100719)),"update STUDENT sheet")</f>
        <v/>
      </c>
    </row>
    <row r="724">
      <c r="B724">
        <f>IF(STUDENTS!B723="","",STUDENTS!B723)</f>
        <v/>
      </c>
      <c r="C724">
        <f>IFERROR(IF(B724="","",_xlfn.XLOOKUP(B724,STUDENTS!$B$3:$B$1048576,STUDENTS!$C$3:$C$1048576)),"Enter a registered reg. no")</f>
        <v/>
      </c>
      <c r="D724">
        <f>IFERROR(IF(B724="","",_xlfn.XLOOKUP(B724,STUDENTS!B723:B100720,STUDENTS!D723:D100720)),"update STUDENT sheet")</f>
        <v/>
      </c>
      <c r="E724">
        <f>IFERROR(IF(C724="","",_xlfn.XLOOKUP(C724,STUDENTS!C723:C100720,STUDENTS!F723:F100720)),"update STUDENT sheet")</f>
        <v/>
      </c>
      <c r="F724">
        <f>IFERROR(IF(D724="","",_xlfn.XLOOKUP(D724,STUDENTS!D723:D100720,STUDENTS!G723:G100720)),"update STUDENT sheet")</f>
        <v/>
      </c>
      <c r="G724">
        <f>IFERROR(IF(E724="","",_xlfn.XLOOKUP(E724,STUDENTS!F723:F100720,STUDENTS!H723:H100720)),"update STUDENT sheet")</f>
        <v/>
      </c>
    </row>
    <row r="725">
      <c r="B725">
        <f>IF(STUDENTS!B724="","",STUDENTS!B724)</f>
        <v/>
      </c>
      <c r="C725">
        <f>IFERROR(IF(B725="","",_xlfn.XLOOKUP(B725,STUDENTS!$B$3:$B$1048576,STUDENTS!$C$3:$C$1048576)),"Enter a registered reg. no")</f>
        <v/>
      </c>
      <c r="D725">
        <f>IFERROR(IF(B725="","",_xlfn.XLOOKUP(B725,STUDENTS!B724:B100721,STUDENTS!D724:D100721)),"update STUDENT sheet")</f>
        <v/>
      </c>
      <c r="E725">
        <f>IFERROR(IF(C725="","",_xlfn.XLOOKUP(C725,STUDENTS!C724:C100721,STUDENTS!F724:F100721)),"update STUDENT sheet")</f>
        <v/>
      </c>
      <c r="F725">
        <f>IFERROR(IF(D725="","",_xlfn.XLOOKUP(D725,STUDENTS!D724:D100721,STUDENTS!G724:G100721)),"update STUDENT sheet")</f>
        <v/>
      </c>
      <c r="G725">
        <f>IFERROR(IF(E725="","",_xlfn.XLOOKUP(E725,STUDENTS!F724:F100721,STUDENTS!H724:H100721)),"update STUDENT sheet")</f>
        <v/>
      </c>
    </row>
    <row r="726">
      <c r="B726">
        <f>IF(STUDENTS!B725="","",STUDENTS!B725)</f>
        <v/>
      </c>
      <c r="C726">
        <f>IFERROR(IF(B726="","",_xlfn.XLOOKUP(B726,STUDENTS!$B$3:$B$1048576,STUDENTS!$C$3:$C$1048576)),"Enter a registered reg. no")</f>
        <v/>
      </c>
      <c r="D726">
        <f>IFERROR(IF(B726="","",_xlfn.XLOOKUP(B726,STUDENTS!B725:B100722,STUDENTS!D725:D100722)),"update STUDENT sheet")</f>
        <v/>
      </c>
      <c r="E726">
        <f>IFERROR(IF(C726="","",_xlfn.XLOOKUP(C726,STUDENTS!C725:C100722,STUDENTS!F725:F100722)),"update STUDENT sheet")</f>
        <v/>
      </c>
      <c r="F726">
        <f>IFERROR(IF(D726="","",_xlfn.XLOOKUP(D726,STUDENTS!D725:D100722,STUDENTS!G725:G100722)),"update STUDENT sheet")</f>
        <v/>
      </c>
      <c r="G726">
        <f>IFERROR(IF(E726="","",_xlfn.XLOOKUP(E726,STUDENTS!F725:F100722,STUDENTS!H725:H100722)),"update STUDENT sheet")</f>
        <v/>
      </c>
    </row>
    <row r="727">
      <c r="B727">
        <f>IF(STUDENTS!B726="","",STUDENTS!B726)</f>
        <v/>
      </c>
      <c r="C727">
        <f>IFERROR(IF(B727="","",_xlfn.XLOOKUP(B727,STUDENTS!$B$3:$B$1048576,STUDENTS!$C$3:$C$1048576)),"Enter a registered reg. no")</f>
        <v/>
      </c>
      <c r="D727">
        <f>IFERROR(IF(B727="","",_xlfn.XLOOKUP(B727,STUDENTS!B726:B100723,STUDENTS!D726:D100723)),"update STUDENT sheet")</f>
        <v/>
      </c>
      <c r="E727">
        <f>IFERROR(IF(C727="","",_xlfn.XLOOKUP(C727,STUDENTS!C726:C100723,STUDENTS!F726:F100723)),"update STUDENT sheet")</f>
        <v/>
      </c>
      <c r="F727">
        <f>IFERROR(IF(D727="","",_xlfn.XLOOKUP(D727,STUDENTS!D726:D100723,STUDENTS!G726:G100723)),"update STUDENT sheet")</f>
        <v/>
      </c>
      <c r="G727">
        <f>IFERROR(IF(E727="","",_xlfn.XLOOKUP(E727,STUDENTS!F726:F100723,STUDENTS!H726:H100723)),"update STUDENT sheet")</f>
        <v/>
      </c>
    </row>
    <row r="728">
      <c r="B728">
        <f>IF(STUDENTS!B727="","",STUDENTS!B727)</f>
        <v/>
      </c>
      <c r="C728">
        <f>IFERROR(IF(B728="","",_xlfn.XLOOKUP(B728,STUDENTS!$B$3:$B$1048576,STUDENTS!$C$3:$C$1048576)),"Enter a registered reg. no")</f>
        <v/>
      </c>
      <c r="D728">
        <f>IFERROR(IF(B728="","",_xlfn.XLOOKUP(B728,STUDENTS!B727:B100724,STUDENTS!D727:D100724)),"update STUDENT sheet")</f>
        <v/>
      </c>
      <c r="E728">
        <f>IFERROR(IF(C728="","",_xlfn.XLOOKUP(C728,STUDENTS!C727:C100724,STUDENTS!F727:F100724)),"update STUDENT sheet")</f>
        <v/>
      </c>
      <c r="F728">
        <f>IFERROR(IF(D728="","",_xlfn.XLOOKUP(D728,STUDENTS!D727:D100724,STUDENTS!G727:G100724)),"update STUDENT sheet")</f>
        <v/>
      </c>
      <c r="G728">
        <f>IFERROR(IF(E728="","",_xlfn.XLOOKUP(E728,STUDENTS!F727:F100724,STUDENTS!H727:H100724)),"update STUDENT sheet")</f>
        <v/>
      </c>
    </row>
    <row r="729">
      <c r="B729">
        <f>IF(STUDENTS!B728="","",STUDENTS!B728)</f>
        <v/>
      </c>
      <c r="C729">
        <f>IFERROR(IF(B729="","",_xlfn.XLOOKUP(B729,STUDENTS!$B$3:$B$1048576,STUDENTS!$C$3:$C$1048576)),"Enter a registered reg. no")</f>
        <v/>
      </c>
      <c r="D729">
        <f>IFERROR(IF(B729="","",_xlfn.XLOOKUP(B729,STUDENTS!B728:B100725,STUDENTS!D728:D100725)),"update STUDENT sheet")</f>
        <v/>
      </c>
      <c r="E729">
        <f>IFERROR(IF(C729="","",_xlfn.XLOOKUP(C729,STUDENTS!C728:C100725,STUDENTS!F728:F100725)),"update STUDENT sheet")</f>
        <v/>
      </c>
      <c r="F729">
        <f>IFERROR(IF(D729="","",_xlfn.XLOOKUP(D729,STUDENTS!D728:D100725,STUDENTS!G728:G100725)),"update STUDENT sheet")</f>
        <v/>
      </c>
      <c r="G729">
        <f>IFERROR(IF(E729="","",_xlfn.XLOOKUP(E729,STUDENTS!F728:F100725,STUDENTS!H728:H100725)),"update STUDENT sheet")</f>
        <v/>
      </c>
    </row>
    <row r="730">
      <c r="B730">
        <f>IF(STUDENTS!B729="","",STUDENTS!B729)</f>
        <v/>
      </c>
      <c r="C730">
        <f>IFERROR(IF(B730="","",_xlfn.XLOOKUP(B730,STUDENTS!$B$3:$B$1048576,STUDENTS!$C$3:$C$1048576)),"Enter a registered reg. no")</f>
        <v/>
      </c>
      <c r="D730">
        <f>IFERROR(IF(B730="","",_xlfn.XLOOKUP(B730,STUDENTS!B729:B100726,STUDENTS!D729:D100726)),"update STUDENT sheet")</f>
        <v/>
      </c>
      <c r="E730">
        <f>IFERROR(IF(C730="","",_xlfn.XLOOKUP(C730,STUDENTS!C729:C100726,STUDENTS!F729:F100726)),"update STUDENT sheet")</f>
        <v/>
      </c>
      <c r="F730">
        <f>IFERROR(IF(D730="","",_xlfn.XLOOKUP(D730,STUDENTS!D729:D100726,STUDENTS!G729:G100726)),"update STUDENT sheet")</f>
        <v/>
      </c>
      <c r="G730">
        <f>IFERROR(IF(E730="","",_xlfn.XLOOKUP(E730,STUDENTS!F729:F100726,STUDENTS!H729:H100726)),"update STUDENT sheet")</f>
        <v/>
      </c>
    </row>
    <row r="731">
      <c r="B731">
        <f>IF(STUDENTS!B730="","",STUDENTS!B730)</f>
        <v/>
      </c>
      <c r="C731">
        <f>IFERROR(IF(B731="","",_xlfn.XLOOKUP(B731,STUDENTS!$B$3:$B$1048576,STUDENTS!$C$3:$C$1048576)),"Enter a registered reg. no")</f>
        <v/>
      </c>
      <c r="D731">
        <f>IFERROR(IF(B731="","",_xlfn.XLOOKUP(B731,STUDENTS!B730:B100727,STUDENTS!D730:D100727)),"update STUDENT sheet")</f>
        <v/>
      </c>
      <c r="E731">
        <f>IFERROR(IF(C731="","",_xlfn.XLOOKUP(C731,STUDENTS!C730:C100727,STUDENTS!F730:F100727)),"update STUDENT sheet")</f>
        <v/>
      </c>
      <c r="F731">
        <f>IFERROR(IF(D731="","",_xlfn.XLOOKUP(D731,STUDENTS!D730:D100727,STUDENTS!G730:G100727)),"update STUDENT sheet")</f>
        <v/>
      </c>
      <c r="G731">
        <f>IFERROR(IF(E731="","",_xlfn.XLOOKUP(E731,STUDENTS!F730:F100727,STUDENTS!H730:H100727)),"update STUDENT sheet")</f>
        <v/>
      </c>
    </row>
    <row r="732">
      <c r="B732">
        <f>IF(STUDENTS!B731="","",STUDENTS!B731)</f>
        <v/>
      </c>
      <c r="C732">
        <f>IFERROR(IF(B732="","",_xlfn.XLOOKUP(B732,STUDENTS!$B$3:$B$1048576,STUDENTS!$C$3:$C$1048576)),"Enter a registered reg. no")</f>
        <v/>
      </c>
      <c r="D732">
        <f>IFERROR(IF(B732="","",_xlfn.XLOOKUP(B732,STUDENTS!B731:B100728,STUDENTS!D731:D100728)),"update STUDENT sheet")</f>
        <v/>
      </c>
      <c r="E732">
        <f>IFERROR(IF(C732="","",_xlfn.XLOOKUP(C732,STUDENTS!C731:C100728,STUDENTS!F731:F100728)),"update STUDENT sheet")</f>
        <v/>
      </c>
      <c r="F732">
        <f>IFERROR(IF(D732="","",_xlfn.XLOOKUP(D732,STUDENTS!D731:D100728,STUDENTS!G731:G100728)),"update STUDENT sheet")</f>
        <v/>
      </c>
      <c r="G732">
        <f>IFERROR(IF(E732="","",_xlfn.XLOOKUP(E732,STUDENTS!F731:F100728,STUDENTS!H731:H100728)),"update STUDENT sheet")</f>
        <v/>
      </c>
    </row>
    <row r="733">
      <c r="B733">
        <f>IF(STUDENTS!B732="","",STUDENTS!B732)</f>
        <v/>
      </c>
      <c r="C733">
        <f>IFERROR(IF(B733="","",_xlfn.XLOOKUP(B733,STUDENTS!$B$3:$B$1048576,STUDENTS!$C$3:$C$1048576)),"Enter a registered reg. no")</f>
        <v/>
      </c>
      <c r="D733">
        <f>IFERROR(IF(B733="","",_xlfn.XLOOKUP(B733,STUDENTS!B732:B100729,STUDENTS!D732:D100729)),"update STUDENT sheet")</f>
        <v/>
      </c>
      <c r="E733">
        <f>IFERROR(IF(C733="","",_xlfn.XLOOKUP(C733,STUDENTS!C732:C100729,STUDENTS!F732:F100729)),"update STUDENT sheet")</f>
        <v/>
      </c>
      <c r="F733">
        <f>IFERROR(IF(D733="","",_xlfn.XLOOKUP(D733,STUDENTS!D732:D100729,STUDENTS!G732:G100729)),"update STUDENT sheet")</f>
        <v/>
      </c>
      <c r="G733">
        <f>IFERROR(IF(E733="","",_xlfn.XLOOKUP(E733,STUDENTS!F732:F100729,STUDENTS!H732:H100729)),"update STUDENT sheet")</f>
        <v/>
      </c>
    </row>
    <row r="734">
      <c r="B734">
        <f>IF(STUDENTS!B733="","",STUDENTS!B733)</f>
        <v/>
      </c>
      <c r="C734">
        <f>IFERROR(IF(B734="","",_xlfn.XLOOKUP(B734,STUDENTS!$B$3:$B$1048576,STUDENTS!$C$3:$C$1048576)),"Enter a registered reg. no")</f>
        <v/>
      </c>
      <c r="D734">
        <f>IFERROR(IF(B734="","",_xlfn.XLOOKUP(B734,STUDENTS!B733:B100730,STUDENTS!D733:D100730)),"update STUDENT sheet")</f>
        <v/>
      </c>
      <c r="E734">
        <f>IFERROR(IF(C734="","",_xlfn.XLOOKUP(C734,STUDENTS!C733:C100730,STUDENTS!F733:F100730)),"update STUDENT sheet")</f>
        <v/>
      </c>
      <c r="F734">
        <f>IFERROR(IF(D734="","",_xlfn.XLOOKUP(D734,STUDENTS!D733:D100730,STUDENTS!G733:G100730)),"update STUDENT sheet")</f>
        <v/>
      </c>
      <c r="G734">
        <f>IFERROR(IF(E734="","",_xlfn.XLOOKUP(E734,STUDENTS!F733:F100730,STUDENTS!H733:H100730)),"update STUDENT sheet")</f>
        <v/>
      </c>
    </row>
    <row r="735">
      <c r="B735">
        <f>IF(STUDENTS!B734="","",STUDENTS!B734)</f>
        <v/>
      </c>
      <c r="C735">
        <f>IFERROR(IF(B735="","",_xlfn.XLOOKUP(B735,STUDENTS!$B$3:$B$1048576,STUDENTS!$C$3:$C$1048576)),"Enter a registered reg. no")</f>
        <v/>
      </c>
      <c r="D735">
        <f>IFERROR(IF(B735="","",_xlfn.XLOOKUP(B735,STUDENTS!B734:B100731,STUDENTS!D734:D100731)),"update STUDENT sheet")</f>
        <v/>
      </c>
      <c r="E735">
        <f>IFERROR(IF(C735="","",_xlfn.XLOOKUP(C735,STUDENTS!C734:C100731,STUDENTS!F734:F100731)),"update STUDENT sheet")</f>
        <v/>
      </c>
      <c r="F735">
        <f>IFERROR(IF(D735="","",_xlfn.XLOOKUP(D735,STUDENTS!D734:D100731,STUDENTS!G734:G100731)),"update STUDENT sheet")</f>
        <v/>
      </c>
      <c r="G735">
        <f>IFERROR(IF(E735="","",_xlfn.XLOOKUP(E735,STUDENTS!F734:F100731,STUDENTS!H734:H100731)),"update STUDENT sheet")</f>
        <v/>
      </c>
    </row>
    <row r="736">
      <c r="B736">
        <f>IF(STUDENTS!B735="","",STUDENTS!B735)</f>
        <v/>
      </c>
      <c r="C736">
        <f>IFERROR(IF(B736="","",_xlfn.XLOOKUP(B736,STUDENTS!$B$3:$B$1048576,STUDENTS!$C$3:$C$1048576)),"Enter a registered reg. no")</f>
        <v/>
      </c>
      <c r="D736">
        <f>IFERROR(IF(B736="","",_xlfn.XLOOKUP(B736,STUDENTS!B735:B100732,STUDENTS!D735:D100732)),"update STUDENT sheet")</f>
        <v/>
      </c>
      <c r="E736">
        <f>IFERROR(IF(C736="","",_xlfn.XLOOKUP(C736,STUDENTS!C735:C100732,STUDENTS!F735:F100732)),"update STUDENT sheet")</f>
        <v/>
      </c>
      <c r="F736">
        <f>IFERROR(IF(D736="","",_xlfn.XLOOKUP(D736,STUDENTS!D735:D100732,STUDENTS!G735:G100732)),"update STUDENT sheet")</f>
        <v/>
      </c>
      <c r="G736">
        <f>IFERROR(IF(E736="","",_xlfn.XLOOKUP(E736,STUDENTS!F735:F100732,STUDENTS!H735:H100732)),"update STUDENT sheet")</f>
        <v/>
      </c>
    </row>
    <row r="737">
      <c r="B737">
        <f>IF(STUDENTS!B736="","",STUDENTS!B736)</f>
        <v/>
      </c>
      <c r="C737">
        <f>IFERROR(IF(B737="","",_xlfn.XLOOKUP(B737,STUDENTS!$B$3:$B$1048576,STUDENTS!$C$3:$C$1048576)),"Enter a registered reg. no")</f>
        <v/>
      </c>
      <c r="D737">
        <f>IFERROR(IF(B737="","",_xlfn.XLOOKUP(B737,STUDENTS!B736:B100733,STUDENTS!D736:D100733)),"update STUDENT sheet")</f>
        <v/>
      </c>
      <c r="E737">
        <f>IFERROR(IF(C737="","",_xlfn.XLOOKUP(C737,STUDENTS!C736:C100733,STUDENTS!F736:F100733)),"update STUDENT sheet")</f>
        <v/>
      </c>
      <c r="F737">
        <f>IFERROR(IF(D737="","",_xlfn.XLOOKUP(D737,STUDENTS!D736:D100733,STUDENTS!G736:G100733)),"update STUDENT sheet")</f>
        <v/>
      </c>
      <c r="G737">
        <f>IFERROR(IF(E737="","",_xlfn.XLOOKUP(E737,STUDENTS!F736:F100733,STUDENTS!H736:H100733)),"update STUDENT sheet")</f>
        <v/>
      </c>
    </row>
    <row r="738">
      <c r="B738">
        <f>IF(STUDENTS!B737="","",STUDENTS!B737)</f>
        <v/>
      </c>
      <c r="C738">
        <f>IFERROR(IF(B738="","",_xlfn.XLOOKUP(B738,STUDENTS!$B$3:$B$1048576,STUDENTS!$C$3:$C$1048576)),"Enter a registered reg. no")</f>
        <v/>
      </c>
      <c r="D738">
        <f>IFERROR(IF(B738="","",_xlfn.XLOOKUP(B738,STUDENTS!B737:B100734,STUDENTS!D737:D100734)),"update STUDENT sheet")</f>
        <v/>
      </c>
      <c r="E738">
        <f>IFERROR(IF(C738="","",_xlfn.XLOOKUP(C738,STUDENTS!C737:C100734,STUDENTS!F737:F100734)),"update STUDENT sheet")</f>
        <v/>
      </c>
      <c r="F738">
        <f>IFERROR(IF(D738="","",_xlfn.XLOOKUP(D738,STUDENTS!D737:D100734,STUDENTS!G737:G100734)),"update STUDENT sheet")</f>
        <v/>
      </c>
      <c r="G738">
        <f>IFERROR(IF(E738="","",_xlfn.XLOOKUP(E738,STUDENTS!F737:F100734,STUDENTS!H737:H100734)),"update STUDENT sheet")</f>
        <v/>
      </c>
    </row>
    <row r="739">
      <c r="B739">
        <f>IF(STUDENTS!B738="","",STUDENTS!B738)</f>
        <v/>
      </c>
      <c r="C739">
        <f>IFERROR(IF(B739="","",_xlfn.XLOOKUP(B739,STUDENTS!$B$3:$B$1048576,STUDENTS!$C$3:$C$1048576)),"Enter a registered reg. no")</f>
        <v/>
      </c>
      <c r="D739">
        <f>IFERROR(IF(B739="","",_xlfn.XLOOKUP(B739,STUDENTS!B738:B100735,STUDENTS!D738:D100735)),"update STUDENT sheet")</f>
        <v/>
      </c>
      <c r="E739">
        <f>IFERROR(IF(C739="","",_xlfn.XLOOKUP(C739,STUDENTS!C738:C100735,STUDENTS!F738:F100735)),"update STUDENT sheet")</f>
        <v/>
      </c>
      <c r="F739">
        <f>IFERROR(IF(D739="","",_xlfn.XLOOKUP(D739,STUDENTS!D738:D100735,STUDENTS!G738:G100735)),"update STUDENT sheet")</f>
        <v/>
      </c>
      <c r="G739">
        <f>IFERROR(IF(E739="","",_xlfn.XLOOKUP(E739,STUDENTS!F738:F100735,STUDENTS!H738:H100735)),"update STUDENT sheet")</f>
        <v/>
      </c>
    </row>
    <row r="740">
      <c r="B740">
        <f>IF(STUDENTS!B739="","",STUDENTS!B739)</f>
        <v/>
      </c>
      <c r="C740">
        <f>IFERROR(IF(B740="","",_xlfn.XLOOKUP(B740,STUDENTS!$B$3:$B$1048576,STUDENTS!$C$3:$C$1048576)),"Enter a registered reg. no")</f>
        <v/>
      </c>
      <c r="D740">
        <f>IFERROR(IF(B740="","",_xlfn.XLOOKUP(B740,STUDENTS!B739:B100736,STUDENTS!D739:D100736)),"update STUDENT sheet")</f>
        <v/>
      </c>
      <c r="E740">
        <f>IFERROR(IF(C740="","",_xlfn.XLOOKUP(C740,STUDENTS!C739:C100736,STUDENTS!F739:F100736)),"update STUDENT sheet")</f>
        <v/>
      </c>
      <c r="F740">
        <f>IFERROR(IF(D740="","",_xlfn.XLOOKUP(D740,STUDENTS!D739:D100736,STUDENTS!G739:G100736)),"update STUDENT sheet")</f>
        <v/>
      </c>
      <c r="G740">
        <f>IFERROR(IF(E740="","",_xlfn.XLOOKUP(E740,STUDENTS!F739:F100736,STUDENTS!H739:H100736)),"update STUDENT sheet")</f>
        <v/>
      </c>
    </row>
    <row r="741">
      <c r="B741">
        <f>IF(STUDENTS!B740="","",STUDENTS!B740)</f>
        <v/>
      </c>
      <c r="C741">
        <f>IFERROR(IF(B741="","",_xlfn.XLOOKUP(B741,STUDENTS!$B$3:$B$1048576,STUDENTS!$C$3:$C$1048576)),"Enter a registered reg. no")</f>
        <v/>
      </c>
      <c r="D741">
        <f>IFERROR(IF(B741="","",_xlfn.XLOOKUP(B741,STUDENTS!B740:B100737,STUDENTS!D740:D100737)),"update STUDENT sheet")</f>
        <v/>
      </c>
      <c r="E741">
        <f>IFERROR(IF(C741="","",_xlfn.XLOOKUP(C741,STUDENTS!C740:C100737,STUDENTS!F740:F100737)),"update STUDENT sheet")</f>
        <v/>
      </c>
      <c r="F741">
        <f>IFERROR(IF(D741="","",_xlfn.XLOOKUP(D741,STUDENTS!D740:D100737,STUDENTS!G740:G100737)),"update STUDENT sheet")</f>
        <v/>
      </c>
      <c r="G741">
        <f>IFERROR(IF(E741="","",_xlfn.XLOOKUP(E741,STUDENTS!F740:F100737,STUDENTS!H740:H100737)),"update STUDENT sheet")</f>
        <v/>
      </c>
    </row>
    <row r="742">
      <c r="B742">
        <f>IF(STUDENTS!B741="","",STUDENTS!B741)</f>
        <v/>
      </c>
      <c r="C742">
        <f>IFERROR(IF(B742="","",_xlfn.XLOOKUP(B742,STUDENTS!$B$3:$B$1048576,STUDENTS!$C$3:$C$1048576)),"Enter a registered reg. no")</f>
        <v/>
      </c>
      <c r="D742">
        <f>IFERROR(IF(B742="","",_xlfn.XLOOKUP(B742,STUDENTS!B741:B100738,STUDENTS!D741:D100738)),"update STUDENT sheet")</f>
        <v/>
      </c>
      <c r="E742">
        <f>IFERROR(IF(C742="","",_xlfn.XLOOKUP(C742,STUDENTS!C741:C100738,STUDENTS!F741:F100738)),"update STUDENT sheet")</f>
        <v/>
      </c>
      <c r="F742">
        <f>IFERROR(IF(D742="","",_xlfn.XLOOKUP(D742,STUDENTS!D741:D100738,STUDENTS!G741:G100738)),"update STUDENT sheet")</f>
        <v/>
      </c>
      <c r="G742">
        <f>IFERROR(IF(E742="","",_xlfn.XLOOKUP(E742,STUDENTS!F741:F100738,STUDENTS!H741:H100738)),"update STUDENT sheet")</f>
        <v/>
      </c>
    </row>
    <row r="743">
      <c r="B743">
        <f>IF(STUDENTS!B742="","",STUDENTS!B742)</f>
        <v/>
      </c>
      <c r="C743">
        <f>IFERROR(IF(B743="","",_xlfn.XLOOKUP(B743,STUDENTS!$B$3:$B$1048576,STUDENTS!$C$3:$C$1048576)),"Enter a registered reg. no")</f>
        <v/>
      </c>
      <c r="D743">
        <f>IFERROR(IF(B743="","",_xlfn.XLOOKUP(B743,STUDENTS!B742:B100739,STUDENTS!D742:D100739)),"update STUDENT sheet")</f>
        <v/>
      </c>
      <c r="E743">
        <f>IFERROR(IF(C743="","",_xlfn.XLOOKUP(C743,STUDENTS!C742:C100739,STUDENTS!F742:F100739)),"update STUDENT sheet")</f>
        <v/>
      </c>
      <c r="F743">
        <f>IFERROR(IF(D743="","",_xlfn.XLOOKUP(D743,STUDENTS!D742:D100739,STUDENTS!G742:G100739)),"update STUDENT sheet")</f>
        <v/>
      </c>
      <c r="G743">
        <f>IFERROR(IF(E743="","",_xlfn.XLOOKUP(E743,STUDENTS!F742:F100739,STUDENTS!H742:H100739)),"update STUDENT sheet")</f>
        <v/>
      </c>
    </row>
    <row r="744">
      <c r="B744">
        <f>IF(STUDENTS!B743="","",STUDENTS!B743)</f>
        <v/>
      </c>
      <c r="C744">
        <f>IFERROR(IF(B744="","",_xlfn.XLOOKUP(B744,STUDENTS!$B$3:$B$1048576,STUDENTS!$C$3:$C$1048576)),"Enter a registered reg. no")</f>
        <v/>
      </c>
      <c r="D744">
        <f>IFERROR(IF(B744="","",_xlfn.XLOOKUP(B744,STUDENTS!B743:B100740,STUDENTS!D743:D100740)),"update STUDENT sheet")</f>
        <v/>
      </c>
      <c r="E744">
        <f>IFERROR(IF(C744="","",_xlfn.XLOOKUP(C744,STUDENTS!C743:C100740,STUDENTS!F743:F100740)),"update STUDENT sheet")</f>
        <v/>
      </c>
      <c r="F744">
        <f>IFERROR(IF(D744="","",_xlfn.XLOOKUP(D744,STUDENTS!D743:D100740,STUDENTS!G743:G100740)),"update STUDENT sheet")</f>
        <v/>
      </c>
      <c r="G744">
        <f>IFERROR(IF(E744="","",_xlfn.XLOOKUP(E744,STUDENTS!F743:F100740,STUDENTS!H743:H100740)),"update STUDENT sheet")</f>
        <v/>
      </c>
    </row>
    <row r="745">
      <c r="B745">
        <f>IF(STUDENTS!B744="","",STUDENTS!B744)</f>
        <v/>
      </c>
      <c r="C745">
        <f>IFERROR(IF(B745="","",_xlfn.XLOOKUP(B745,STUDENTS!$B$3:$B$1048576,STUDENTS!$C$3:$C$1048576)),"Enter a registered reg. no")</f>
        <v/>
      </c>
      <c r="D745">
        <f>IFERROR(IF(B745="","",_xlfn.XLOOKUP(B745,STUDENTS!B744:B100741,STUDENTS!D744:D100741)),"update STUDENT sheet")</f>
        <v/>
      </c>
      <c r="E745">
        <f>IFERROR(IF(C745="","",_xlfn.XLOOKUP(C745,STUDENTS!C744:C100741,STUDENTS!F744:F100741)),"update STUDENT sheet")</f>
        <v/>
      </c>
      <c r="F745">
        <f>IFERROR(IF(D745="","",_xlfn.XLOOKUP(D745,STUDENTS!D744:D100741,STUDENTS!G744:G100741)),"update STUDENT sheet")</f>
        <v/>
      </c>
      <c r="G745">
        <f>IFERROR(IF(E745="","",_xlfn.XLOOKUP(E745,STUDENTS!F744:F100741,STUDENTS!H744:H100741)),"update STUDENT sheet")</f>
        <v/>
      </c>
    </row>
    <row r="746">
      <c r="B746">
        <f>IF(STUDENTS!B745="","",STUDENTS!B745)</f>
        <v/>
      </c>
      <c r="C746">
        <f>IFERROR(IF(B746="","",_xlfn.XLOOKUP(B746,STUDENTS!$B$3:$B$1048576,STUDENTS!$C$3:$C$1048576)),"Enter a registered reg. no")</f>
        <v/>
      </c>
      <c r="D746">
        <f>IFERROR(IF(B746="","",_xlfn.XLOOKUP(B746,STUDENTS!B745:B100742,STUDENTS!D745:D100742)),"update STUDENT sheet")</f>
        <v/>
      </c>
      <c r="E746">
        <f>IFERROR(IF(C746="","",_xlfn.XLOOKUP(C746,STUDENTS!C745:C100742,STUDENTS!F745:F100742)),"update STUDENT sheet")</f>
        <v/>
      </c>
      <c r="F746">
        <f>IFERROR(IF(D746="","",_xlfn.XLOOKUP(D746,STUDENTS!D745:D100742,STUDENTS!G745:G100742)),"update STUDENT sheet")</f>
        <v/>
      </c>
      <c r="G746">
        <f>IFERROR(IF(E746="","",_xlfn.XLOOKUP(E746,STUDENTS!F745:F100742,STUDENTS!H745:H100742)),"update STUDENT sheet")</f>
        <v/>
      </c>
    </row>
    <row r="747">
      <c r="B747">
        <f>IF(STUDENTS!B746="","",STUDENTS!B746)</f>
        <v/>
      </c>
      <c r="C747">
        <f>IFERROR(IF(B747="","",_xlfn.XLOOKUP(B747,STUDENTS!$B$3:$B$1048576,STUDENTS!$C$3:$C$1048576)),"Enter a registered reg. no")</f>
        <v/>
      </c>
      <c r="D747">
        <f>IFERROR(IF(B747="","",_xlfn.XLOOKUP(B747,STUDENTS!B746:B100743,STUDENTS!D746:D100743)),"update STUDENT sheet")</f>
        <v/>
      </c>
      <c r="E747">
        <f>IFERROR(IF(C747="","",_xlfn.XLOOKUP(C747,STUDENTS!C746:C100743,STUDENTS!F746:F100743)),"update STUDENT sheet")</f>
        <v/>
      </c>
      <c r="F747">
        <f>IFERROR(IF(D747="","",_xlfn.XLOOKUP(D747,STUDENTS!D746:D100743,STUDENTS!G746:G100743)),"update STUDENT sheet")</f>
        <v/>
      </c>
      <c r="G747">
        <f>IFERROR(IF(E747="","",_xlfn.XLOOKUP(E747,STUDENTS!F746:F100743,STUDENTS!H746:H100743)),"update STUDENT sheet")</f>
        <v/>
      </c>
    </row>
    <row r="748">
      <c r="B748">
        <f>IF(STUDENTS!B747="","",STUDENTS!B747)</f>
        <v/>
      </c>
      <c r="C748">
        <f>IFERROR(IF(B748="","",_xlfn.XLOOKUP(B748,STUDENTS!$B$3:$B$1048576,STUDENTS!$C$3:$C$1048576)),"Enter a registered reg. no")</f>
        <v/>
      </c>
      <c r="D748">
        <f>IFERROR(IF(B748="","",_xlfn.XLOOKUP(B748,STUDENTS!B747:B100744,STUDENTS!D747:D100744)),"update STUDENT sheet")</f>
        <v/>
      </c>
      <c r="E748">
        <f>IFERROR(IF(C748="","",_xlfn.XLOOKUP(C748,STUDENTS!C747:C100744,STUDENTS!F747:F100744)),"update STUDENT sheet")</f>
        <v/>
      </c>
      <c r="F748">
        <f>IFERROR(IF(D748="","",_xlfn.XLOOKUP(D748,STUDENTS!D747:D100744,STUDENTS!G747:G100744)),"update STUDENT sheet")</f>
        <v/>
      </c>
      <c r="G748">
        <f>IFERROR(IF(E748="","",_xlfn.XLOOKUP(E748,STUDENTS!F747:F100744,STUDENTS!H747:H100744)),"update STUDENT sheet")</f>
        <v/>
      </c>
    </row>
    <row r="749">
      <c r="B749">
        <f>IF(STUDENTS!B748="","",STUDENTS!B748)</f>
        <v/>
      </c>
      <c r="C749">
        <f>IFERROR(IF(B749="","",_xlfn.XLOOKUP(B749,STUDENTS!$B$3:$B$1048576,STUDENTS!$C$3:$C$1048576)),"Enter a registered reg. no")</f>
        <v/>
      </c>
      <c r="D749">
        <f>IFERROR(IF(B749="","",_xlfn.XLOOKUP(B749,STUDENTS!B748:B100745,STUDENTS!D748:D100745)),"update STUDENT sheet")</f>
        <v/>
      </c>
      <c r="E749">
        <f>IFERROR(IF(C749="","",_xlfn.XLOOKUP(C749,STUDENTS!C748:C100745,STUDENTS!F748:F100745)),"update STUDENT sheet")</f>
        <v/>
      </c>
      <c r="F749">
        <f>IFERROR(IF(D749="","",_xlfn.XLOOKUP(D749,STUDENTS!D748:D100745,STUDENTS!G748:G100745)),"update STUDENT sheet")</f>
        <v/>
      </c>
      <c r="G749">
        <f>IFERROR(IF(E749="","",_xlfn.XLOOKUP(E749,STUDENTS!F748:F100745,STUDENTS!H748:H100745)),"update STUDENT sheet")</f>
        <v/>
      </c>
    </row>
    <row r="750">
      <c r="B750">
        <f>IF(STUDENTS!B749="","",STUDENTS!B749)</f>
        <v/>
      </c>
      <c r="C750">
        <f>IFERROR(IF(B750="","",_xlfn.XLOOKUP(B750,STUDENTS!$B$3:$B$1048576,STUDENTS!$C$3:$C$1048576)),"Enter a registered reg. no")</f>
        <v/>
      </c>
      <c r="D750">
        <f>IFERROR(IF(B750="","",_xlfn.XLOOKUP(B750,STUDENTS!B749:B100746,STUDENTS!D749:D100746)),"update STUDENT sheet")</f>
        <v/>
      </c>
      <c r="E750">
        <f>IFERROR(IF(C750="","",_xlfn.XLOOKUP(C750,STUDENTS!C749:C100746,STUDENTS!F749:F100746)),"update STUDENT sheet")</f>
        <v/>
      </c>
      <c r="F750">
        <f>IFERROR(IF(D750="","",_xlfn.XLOOKUP(D750,STUDENTS!D749:D100746,STUDENTS!G749:G100746)),"update STUDENT sheet")</f>
        <v/>
      </c>
      <c r="G750">
        <f>IFERROR(IF(E750="","",_xlfn.XLOOKUP(E750,STUDENTS!F749:F100746,STUDENTS!H749:H100746)),"update STUDENT sheet")</f>
        <v/>
      </c>
    </row>
    <row r="751">
      <c r="B751">
        <f>IF(STUDENTS!B750="","",STUDENTS!B750)</f>
        <v/>
      </c>
      <c r="C751">
        <f>IFERROR(IF(B751="","",_xlfn.XLOOKUP(B751,STUDENTS!$B$3:$B$1048576,STUDENTS!$C$3:$C$1048576)),"Enter a registered reg. no")</f>
        <v/>
      </c>
      <c r="D751">
        <f>IFERROR(IF(B751="","",_xlfn.XLOOKUP(B751,STUDENTS!B750:B100747,STUDENTS!D750:D100747)),"update STUDENT sheet")</f>
        <v/>
      </c>
      <c r="E751">
        <f>IFERROR(IF(C751="","",_xlfn.XLOOKUP(C751,STUDENTS!C750:C100747,STUDENTS!F750:F100747)),"update STUDENT sheet")</f>
        <v/>
      </c>
      <c r="F751">
        <f>IFERROR(IF(D751="","",_xlfn.XLOOKUP(D751,STUDENTS!D750:D100747,STUDENTS!G750:G100747)),"update STUDENT sheet")</f>
        <v/>
      </c>
      <c r="G751">
        <f>IFERROR(IF(E751="","",_xlfn.XLOOKUP(E751,STUDENTS!F750:F100747,STUDENTS!H750:H100747)),"update STUDENT sheet")</f>
        <v/>
      </c>
    </row>
    <row r="752">
      <c r="B752">
        <f>IF(STUDENTS!B751="","",STUDENTS!B751)</f>
        <v/>
      </c>
      <c r="C752">
        <f>IFERROR(IF(B752="","",_xlfn.XLOOKUP(B752,STUDENTS!$B$3:$B$1048576,STUDENTS!$C$3:$C$1048576)),"Enter a registered reg. no")</f>
        <v/>
      </c>
      <c r="D752">
        <f>IFERROR(IF(B752="","",_xlfn.XLOOKUP(B752,STUDENTS!B751:B100748,STUDENTS!D751:D100748)),"update STUDENT sheet")</f>
        <v/>
      </c>
      <c r="E752">
        <f>IFERROR(IF(C752="","",_xlfn.XLOOKUP(C752,STUDENTS!C751:C100748,STUDENTS!F751:F100748)),"update STUDENT sheet")</f>
        <v/>
      </c>
      <c r="F752">
        <f>IFERROR(IF(D752="","",_xlfn.XLOOKUP(D752,STUDENTS!D751:D100748,STUDENTS!G751:G100748)),"update STUDENT sheet")</f>
        <v/>
      </c>
      <c r="G752">
        <f>IFERROR(IF(E752="","",_xlfn.XLOOKUP(E752,STUDENTS!F751:F100748,STUDENTS!H751:H100748)),"update STUDENT sheet")</f>
        <v/>
      </c>
    </row>
    <row r="753">
      <c r="B753">
        <f>IF(STUDENTS!B752="","",STUDENTS!B752)</f>
        <v/>
      </c>
      <c r="C753">
        <f>IFERROR(IF(B753="","",_xlfn.XLOOKUP(B753,STUDENTS!$B$3:$B$1048576,STUDENTS!$C$3:$C$1048576)),"Enter a registered reg. no")</f>
        <v/>
      </c>
      <c r="D753">
        <f>IFERROR(IF(B753="","",_xlfn.XLOOKUP(B753,STUDENTS!B752:B100749,STUDENTS!D752:D100749)),"update STUDENT sheet")</f>
        <v/>
      </c>
      <c r="E753">
        <f>IFERROR(IF(C753="","",_xlfn.XLOOKUP(C753,STUDENTS!C752:C100749,STUDENTS!F752:F100749)),"update STUDENT sheet")</f>
        <v/>
      </c>
      <c r="F753">
        <f>IFERROR(IF(D753="","",_xlfn.XLOOKUP(D753,STUDENTS!D752:D100749,STUDENTS!G752:G100749)),"update STUDENT sheet")</f>
        <v/>
      </c>
      <c r="G753">
        <f>IFERROR(IF(E753="","",_xlfn.XLOOKUP(E753,STUDENTS!F752:F100749,STUDENTS!H752:H100749)),"update STUDENT sheet")</f>
        <v/>
      </c>
    </row>
    <row r="754">
      <c r="B754">
        <f>IF(STUDENTS!B753="","",STUDENTS!B753)</f>
        <v/>
      </c>
      <c r="C754">
        <f>IFERROR(IF(B754="","",_xlfn.XLOOKUP(B754,STUDENTS!$B$3:$B$1048576,STUDENTS!$C$3:$C$1048576)),"Enter a registered reg. no")</f>
        <v/>
      </c>
      <c r="D754">
        <f>IFERROR(IF(B754="","",_xlfn.XLOOKUP(B754,STUDENTS!B753:B100750,STUDENTS!D753:D100750)),"update STUDENT sheet")</f>
        <v/>
      </c>
      <c r="E754">
        <f>IFERROR(IF(C754="","",_xlfn.XLOOKUP(C754,STUDENTS!C753:C100750,STUDENTS!F753:F100750)),"update STUDENT sheet")</f>
        <v/>
      </c>
      <c r="F754">
        <f>IFERROR(IF(D754="","",_xlfn.XLOOKUP(D754,STUDENTS!D753:D100750,STUDENTS!G753:G100750)),"update STUDENT sheet")</f>
        <v/>
      </c>
      <c r="G754">
        <f>IFERROR(IF(E754="","",_xlfn.XLOOKUP(E754,STUDENTS!F753:F100750,STUDENTS!H753:H100750)),"update STUDENT sheet")</f>
        <v/>
      </c>
    </row>
    <row r="755">
      <c r="B755">
        <f>IF(STUDENTS!B754="","",STUDENTS!B754)</f>
        <v/>
      </c>
      <c r="C755">
        <f>IFERROR(IF(B755="","",_xlfn.XLOOKUP(B755,STUDENTS!$B$3:$B$1048576,STUDENTS!$C$3:$C$1048576)),"Enter a registered reg. no")</f>
        <v/>
      </c>
      <c r="D755">
        <f>IFERROR(IF(B755="","",_xlfn.XLOOKUP(B755,STUDENTS!B754:B100751,STUDENTS!D754:D100751)),"update STUDENT sheet")</f>
        <v/>
      </c>
      <c r="E755">
        <f>IFERROR(IF(C755="","",_xlfn.XLOOKUP(C755,STUDENTS!C754:C100751,STUDENTS!F754:F100751)),"update STUDENT sheet")</f>
        <v/>
      </c>
      <c r="F755">
        <f>IFERROR(IF(D755="","",_xlfn.XLOOKUP(D755,STUDENTS!D754:D100751,STUDENTS!G754:G100751)),"update STUDENT sheet")</f>
        <v/>
      </c>
      <c r="G755">
        <f>IFERROR(IF(E755="","",_xlfn.XLOOKUP(E755,STUDENTS!F754:F100751,STUDENTS!H754:H100751)),"update STUDENT sheet")</f>
        <v/>
      </c>
    </row>
    <row r="756">
      <c r="B756">
        <f>IF(STUDENTS!B755="","",STUDENTS!B755)</f>
        <v/>
      </c>
      <c r="C756">
        <f>IFERROR(IF(B756="","",_xlfn.XLOOKUP(B756,STUDENTS!$B$3:$B$1048576,STUDENTS!$C$3:$C$1048576)),"Enter a registered reg. no")</f>
        <v/>
      </c>
      <c r="D756">
        <f>IFERROR(IF(B756="","",_xlfn.XLOOKUP(B756,STUDENTS!B755:B100752,STUDENTS!D755:D100752)),"update STUDENT sheet")</f>
        <v/>
      </c>
      <c r="E756">
        <f>IFERROR(IF(C756="","",_xlfn.XLOOKUP(C756,STUDENTS!C755:C100752,STUDENTS!F755:F100752)),"update STUDENT sheet")</f>
        <v/>
      </c>
      <c r="F756">
        <f>IFERROR(IF(D756="","",_xlfn.XLOOKUP(D756,STUDENTS!D755:D100752,STUDENTS!G755:G100752)),"update STUDENT sheet")</f>
        <v/>
      </c>
      <c r="G756">
        <f>IFERROR(IF(E756="","",_xlfn.XLOOKUP(E756,STUDENTS!F755:F100752,STUDENTS!H755:H100752)),"update STUDENT sheet")</f>
        <v/>
      </c>
    </row>
    <row r="757">
      <c r="B757">
        <f>IF(STUDENTS!B756="","",STUDENTS!B756)</f>
        <v/>
      </c>
      <c r="C757">
        <f>IFERROR(IF(B757="","",_xlfn.XLOOKUP(B757,STUDENTS!$B$3:$B$1048576,STUDENTS!$C$3:$C$1048576)),"Enter a registered reg. no")</f>
        <v/>
      </c>
      <c r="D757">
        <f>IFERROR(IF(B757="","",_xlfn.XLOOKUP(B757,STUDENTS!B756:B100753,STUDENTS!D756:D100753)),"update STUDENT sheet")</f>
        <v/>
      </c>
      <c r="E757">
        <f>IFERROR(IF(C757="","",_xlfn.XLOOKUP(C757,STUDENTS!C756:C100753,STUDENTS!F756:F100753)),"update STUDENT sheet")</f>
        <v/>
      </c>
      <c r="F757">
        <f>IFERROR(IF(D757="","",_xlfn.XLOOKUP(D757,STUDENTS!D756:D100753,STUDENTS!G756:G100753)),"update STUDENT sheet")</f>
        <v/>
      </c>
      <c r="G757">
        <f>IFERROR(IF(E757="","",_xlfn.XLOOKUP(E757,STUDENTS!F756:F100753,STUDENTS!H756:H100753)),"update STUDENT sheet")</f>
        <v/>
      </c>
    </row>
    <row r="758">
      <c r="B758">
        <f>IF(STUDENTS!B757="","",STUDENTS!B757)</f>
        <v/>
      </c>
      <c r="C758">
        <f>IFERROR(IF(B758="","",_xlfn.XLOOKUP(B758,STUDENTS!$B$3:$B$1048576,STUDENTS!$C$3:$C$1048576)),"Enter a registered reg. no")</f>
        <v/>
      </c>
      <c r="D758">
        <f>IFERROR(IF(B758="","",_xlfn.XLOOKUP(B758,STUDENTS!B757:B100754,STUDENTS!D757:D100754)),"update STUDENT sheet")</f>
        <v/>
      </c>
      <c r="E758">
        <f>IFERROR(IF(C758="","",_xlfn.XLOOKUP(C758,STUDENTS!C757:C100754,STUDENTS!F757:F100754)),"update STUDENT sheet")</f>
        <v/>
      </c>
      <c r="F758">
        <f>IFERROR(IF(D758="","",_xlfn.XLOOKUP(D758,STUDENTS!D757:D100754,STUDENTS!G757:G100754)),"update STUDENT sheet")</f>
        <v/>
      </c>
      <c r="G758">
        <f>IFERROR(IF(E758="","",_xlfn.XLOOKUP(E758,STUDENTS!F757:F100754,STUDENTS!H757:H100754)),"update STUDENT sheet")</f>
        <v/>
      </c>
    </row>
    <row r="759">
      <c r="B759">
        <f>IF(STUDENTS!B758="","",STUDENTS!B758)</f>
        <v/>
      </c>
      <c r="C759">
        <f>IFERROR(IF(B759="","",_xlfn.XLOOKUP(B759,STUDENTS!$B$3:$B$1048576,STUDENTS!$C$3:$C$1048576)),"Enter a registered reg. no")</f>
        <v/>
      </c>
      <c r="D759">
        <f>IFERROR(IF(B759="","",_xlfn.XLOOKUP(B759,STUDENTS!B758:B100755,STUDENTS!D758:D100755)),"update STUDENT sheet")</f>
        <v/>
      </c>
      <c r="E759">
        <f>IFERROR(IF(C759="","",_xlfn.XLOOKUP(C759,STUDENTS!C758:C100755,STUDENTS!F758:F100755)),"update STUDENT sheet")</f>
        <v/>
      </c>
      <c r="F759">
        <f>IFERROR(IF(D759="","",_xlfn.XLOOKUP(D759,STUDENTS!D758:D100755,STUDENTS!G758:G100755)),"update STUDENT sheet")</f>
        <v/>
      </c>
      <c r="G759">
        <f>IFERROR(IF(E759="","",_xlfn.XLOOKUP(E759,STUDENTS!F758:F100755,STUDENTS!H758:H100755)),"update STUDENT sheet")</f>
        <v/>
      </c>
    </row>
    <row r="760">
      <c r="B760">
        <f>IF(STUDENTS!B759="","",STUDENTS!B759)</f>
        <v/>
      </c>
      <c r="C760">
        <f>IFERROR(IF(B760="","",_xlfn.XLOOKUP(B760,STUDENTS!$B$3:$B$1048576,STUDENTS!$C$3:$C$1048576)),"Enter a registered reg. no")</f>
        <v/>
      </c>
      <c r="D760">
        <f>IFERROR(IF(B760="","",_xlfn.XLOOKUP(B760,STUDENTS!B759:B100756,STUDENTS!D759:D100756)),"update STUDENT sheet")</f>
        <v/>
      </c>
      <c r="E760">
        <f>IFERROR(IF(C760="","",_xlfn.XLOOKUP(C760,STUDENTS!C759:C100756,STUDENTS!F759:F100756)),"update STUDENT sheet")</f>
        <v/>
      </c>
      <c r="F760">
        <f>IFERROR(IF(D760="","",_xlfn.XLOOKUP(D760,STUDENTS!D759:D100756,STUDENTS!G759:G100756)),"update STUDENT sheet")</f>
        <v/>
      </c>
      <c r="G760">
        <f>IFERROR(IF(E760="","",_xlfn.XLOOKUP(E760,STUDENTS!F759:F100756,STUDENTS!H759:H100756)),"update STUDENT sheet")</f>
        <v/>
      </c>
    </row>
    <row r="761">
      <c r="B761">
        <f>IF(STUDENTS!B760="","",STUDENTS!B760)</f>
        <v/>
      </c>
      <c r="C761">
        <f>IFERROR(IF(B761="","",_xlfn.XLOOKUP(B761,STUDENTS!$B$3:$B$1048576,STUDENTS!$C$3:$C$1048576)),"Enter a registered reg. no")</f>
        <v/>
      </c>
      <c r="D761">
        <f>IFERROR(IF(B761="","",_xlfn.XLOOKUP(B761,STUDENTS!B760:B100757,STUDENTS!D760:D100757)),"update STUDENT sheet")</f>
        <v/>
      </c>
      <c r="E761">
        <f>IFERROR(IF(C761="","",_xlfn.XLOOKUP(C761,STUDENTS!C760:C100757,STUDENTS!F760:F100757)),"update STUDENT sheet")</f>
        <v/>
      </c>
      <c r="F761">
        <f>IFERROR(IF(D761="","",_xlfn.XLOOKUP(D761,STUDENTS!D760:D100757,STUDENTS!G760:G100757)),"update STUDENT sheet")</f>
        <v/>
      </c>
      <c r="G761">
        <f>IFERROR(IF(E761="","",_xlfn.XLOOKUP(E761,STUDENTS!F760:F100757,STUDENTS!H760:H100757)),"update STUDENT sheet")</f>
        <v/>
      </c>
    </row>
    <row r="762">
      <c r="B762">
        <f>IF(STUDENTS!B761="","",STUDENTS!B761)</f>
        <v/>
      </c>
      <c r="C762">
        <f>IFERROR(IF(B762="","",_xlfn.XLOOKUP(B762,STUDENTS!$B$3:$B$1048576,STUDENTS!$C$3:$C$1048576)),"Enter a registered reg. no")</f>
        <v/>
      </c>
      <c r="D762">
        <f>IFERROR(IF(B762="","",_xlfn.XLOOKUP(B762,STUDENTS!B761:B100758,STUDENTS!D761:D100758)),"update STUDENT sheet")</f>
        <v/>
      </c>
      <c r="E762">
        <f>IFERROR(IF(C762="","",_xlfn.XLOOKUP(C762,STUDENTS!C761:C100758,STUDENTS!F761:F100758)),"update STUDENT sheet")</f>
        <v/>
      </c>
      <c r="F762">
        <f>IFERROR(IF(D762="","",_xlfn.XLOOKUP(D762,STUDENTS!D761:D100758,STUDENTS!G761:G100758)),"update STUDENT sheet")</f>
        <v/>
      </c>
      <c r="G762">
        <f>IFERROR(IF(E762="","",_xlfn.XLOOKUP(E762,STUDENTS!F761:F100758,STUDENTS!H761:H100758)),"update STUDENT sheet")</f>
        <v/>
      </c>
    </row>
    <row r="763">
      <c r="B763">
        <f>IF(STUDENTS!B762="","",STUDENTS!B762)</f>
        <v/>
      </c>
      <c r="C763">
        <f>IFERROR(IF(B763="","",_xlfn.XLOOKUP(B763,STUDENTS!$B$3:$B$1048576,STUDENTS!$C$3:$C$1048576)),"Enter a registered reg. no")</f>
        <v/>
      </c>
      <c r="D763">
        <f>IFERROR(IF(B763="","",_xlfn.XLOOKUP(B763,STUDENTS!B762:B100759,STUDENTS!D762:D100759)),"update STUDENT sheet")</f>
        <v/>
      </c>
      <c r="E763">
        <f>IFERROR(IF(C763="","",_xlfn.XLOOKUP(C763,STUDENTS!C762:C100759,STUDENTS!F762:F100759)),"update STUDENT sheet")</f>
        <v/>
      </c>
      <c r="F763">
        <f>IFERROR(IF(D763="","",_xlfn.XLOOKUP(D763,STUDENTS!D762:D100759,STUDENTS!G762:G100759)),"update STUDENT sheet")</f>
        <v/>
      </c>
      <c r="G763">
        <f>IFERROR(IF(E763="","",_xlfn.XLOOKUP(E763,STUDENTS!F762:F100759,STUDENTS!H762:H100759)),"update STUDENT sheet")</f>
        <v/>
      </c>
    </row>
    <row r="764">
      <c r="B764">
        <f>IF(STUDENTS!B763="","",STUDENTS!B763)</f>
        <v/>
      </c>
      <c r="C764">
        <f>IFERROR(IF(B764="","",_xlfn.XLOOKUP(B764,STUDENTS!$B$3:$B$1048576,STUDENTS!$C$3:$C$1048576)),"Enter a registered reg. no")</f>
        <v/>
      </c>
      <c r="D764">
        <f>IFERROR(IF(B764="","",_xlfn.XLOOKUP(B764,STUDENTS!B763:B100760,STUDENTS!D763:D100760)),"update STUDENT sheet")</f>
        <v/>
      </c>
      <c r="E764">
        <f>IFERROR(IF(C764="","",_xlfn.XLOOKUP(C764,STUDENTS!C763:C100760,STUDENTS!F763:F100760)),"update STUDENT sheet")</f>
        <v/>
      </c>
      <c r="F764">
        <f>IFERROR(IF(D764="","",_xlfn.XLOOKUP(D764,STUDENTS!D763:D100760,STUDENTS!G763:G100760)),"update STUDENT sheet")</f>
        <v/>
      </c>
      <c r="G764">
        <f>IFERROR(IF(E764="","",_xlfn.XLOOKUP(E764,STUDENTS!F763:F100760,STUDENTS!H763:H100760)),"update STUDENT sheet")</f>
        <v/>
      </c>
    </row>
    <row r="765">
      <c r="B765">
        <f>IF(STUDENTS!B764="","",STUDENTS!B764)</f>
        <v/>
      </c>
      <c r="C765">
        <f>IFERROR(IF(B765="","",_xlfn.XLOOKUP(B765,STUDENTS!$B$3:$B$1048576,STUDENTS!$C$3:$C$1048576)),"Enter a registered reg. no")</f>
        <v/>
      </c>
      <c r="D765">
        <f>IFERROR(IF(B765="","",_xlfn.XLOOKUP(B765,STUDENTS!B764:B100761,STUDENTS!D764:D100761)),"update STUDENT sheet")</f>
        <v/>
      </c>
      <c r="E765">
        <f>IFERROR(IF(C765="","",_xlfn.XLOOKUP(C765,STUDENTS!C764:C100761,STUDENTS!F764:F100761)),"update STUDENT sheet")</f>
        <v/>
      </c>
      <c r="F765">
        <f>IFERROR(IF(D765="","",_xlfn.XLOOKUP(D765,STUDENTS!D764:D100761,STUDENTS!G764:G100761)),"update STUDENT sheet")</f>
        <v/>
      </c>
      <c r="G765">
        <f>IFERROR(IF(E765="","",_xlfn.XLOOKUP(E765,STUDENTS!F764:F100761,STUDENTS!H764:H100761)),"update STUDENT sheet")</f>
        <v/>
      </c>
    </row>
    <row r="766">
      <c r="B766">
        <f>IF(STUDENTS!B765="","",STUDENTS!B765)</f>
        <v/>
      </c>
      <c r="C766">
        <f>IFERROR(IF(B766="","",_xlfn.XLOOKUP(B766,STUDENTS!$B$3:$B$1048576,STUDENTS!$C$3:$C$1048576)),"Enter a registered reg. no")</f>
        <v/>
      </c>
      <c r="D766">
        <f>IFERROR(IF(B766="","",_xlfn.XLOOKUP(B766,STUDENTS!B765:B100762,STUDENTS!D765:D100762)),"update STUDENT sheet")</f>
        <v/>
      </c>
      <c r="E766">
        <f>IFERROR(IF(C766="","",_xlfn.XLOOKUP(C766,STUDENTS!C765:C100762,STUDENTS!F765:F100762)),"update STUDENT sheet")</f>
        <v/>
      </c>
      <c r="F766">
        <f>IFERROR(IF(D766="","",_xlfn.XLOOKUP(D766,STUDENTS!D765:D100762,STUDENTS!G765:G100762)),"update STUDENT sheet")</f>
        <v/>
      </c>
      <c r="G766">
        <f>IFERROR(IF(E766="","",_xlfn.XLOOKUP(E766,STUDENTS!F765:F100762,STUDENTS!H765:H100762)),"update STUDENT sheet")</f>
        <v/>
      </c>
    </row>
    <row r="767">
      <c r="B767">
        <f>IF(STUDENTS!B766="","",STUDENTS!B766)</f>
        <v/>
      </c>
      <c r="C767">
        <f>IFERROR(IF(B767="","",_xlfn.XLOOKUP(B767,STUDENTS!$B$3:$B$1048576,STUDENTS!$C$3:$C$1048576)),"Enter a registered reg. no")</f>
        <v/>
      </c>
      <c r="D767">
        <f>IFERROR(IF(B767="","",_xlfn.XLOOKUP(B767,STUDENTS!B766:B100763,STUDENTS!D766:D100763)),"update STUDENT sheet")</f>
        <v/>
      </c>
      <c r="E767">
        <f>IFERROR(IF(C767="","",_xlfn.XLOOKUP(C767,STUDENTS!C766:C100763,STUDENTS!F766:F100763)),"update STUDENT sheet")</f>
        <v/>
      </c>
      <c r="F767">
        <f>IFERROR(IF(D767="","",_xlfn.XLOOKUP(D767,STUDENTS!D766:D100763,STUDENTS!G766:G100763)),"update STUDENT sheet")</f>
        <v/>
      </c>
      <c r="G767">
        <f>IFERROR(IF(E767="","",_xlfn.XLOOKUP(E767,STUDENTS!F766:F100763,STUDENTS!H766:H100763)),"update STUDENT sheet")</f>
        <v/>
      </c>
    </row>
    <row r="768">
      <c r="B768">
        <f>IF(STUDENTS!B767="","",STUDENTS!B767)</f>
        <v/>
      </c>
      <c r="C768">
        <f>IFERROR(IF(B768="","",_xlfn.XLOOKUP(B768,STUDENTS!$B$3:$B$1048576,STUDENTS!$C$3:$C$1048576)),"Enter a registered reg. no")</f>
        <v/>
      </c>
      <c r="D768">
        <f>IFERROR(IF(B768="","",_xlfn.XLOOKUP(B768,STUDENTS!B767:B100764,STUDENTS!D767:D100764)),"update STUDENT sheet")</f>
        <v/>
      </c>
      <c r="E768">
        <f>IFERROR(IF(C768="","",_xlfn.XLOOKUP(C768,STUDENTS!C767:C100764,STUDENTS!F767:F100764)),"update STUDENT sheet")</f>
        <v/>
      </c>
      <c r="F768">
        <f>IFERROR(IF(D768="","",_xlfn.XLOOKUP(D768,STUDENTS!D767:D100764,STUDENTS!G767:G100764)),"update STUDENT sheet")</f>
        <v/>
      </c>
      <c r="G768">
        <f>IFERROR(IF(E768="","",_xlfn.XLOOKUP(E768,STUDENTS!F767:F100764,STUDENTS!H767:H100764)),"update STUDENT sheet")</f>
        <v/>
      </c>
    </row>
    <row r="769">
      <c r="B769">
        <f>IF(STUDENTS!B768="","",STUDENTS!B768)</f>
        <v/>
      </c>
      <c r="C769">
        <f>IFERROR(IF(B769="","",_xlfn.XLOOKUP(B769,STUDENTS!$B$3:$B$1048576,STUDENTS!$C$3:$C$1048576)),"Enter a registered reg. no")</f>
        <v/>
      </c>
      <c r="D769">
        <f>IFERROR(IF(B769="","",_xlfn.XLOOKUP(B769,STUDENTS!B768:B100765,STUDENTS!D768:D100765)),"update STUDENT sheet")</f>
        <v/>
      </c>
      <c r="E769">
        <f>IFERROR(IF(C769="","",_xlfn.XLOOKUP(C769,STUDENTS!C768:C100765,STUDENTS!F768:F100765)),"update STUDENT sheet")</f>
        <v/>
      </c>
      <c r="F769">
        <f>IFERROR(IF(D769="","",_xlfn.XLOOKUP(D769,STUDENTS!D768:D100765,STUDENTS!G768:G100765)),"update STUDENT sheet")</f>
        <v/>
      </c>
      <c r="G769">
        <f>IFERROR(IF(E769="","",_xlfn.XLOOKUP(E769,STUDENTS!F768:F100765,STUDENTS!H768:H100765)),"update STUDENT sheet")</f>
        <v/>
      </c>
    </row>
    <row r="770">
      <c r="B770">
        <f>IF(STUDENTS!B769="","",STUDENTS!B769)</f>
        <v/>
      </c>
      <c r="C770">
        <f>IFERROR(IF(B770="","",_xlfn.XLOOKUP(B770,STUDENTS!$B$3:$B$1048576,STUDENTS!$C$3:$C$1048576)),"Enter a registered reg. no")</f>
        <v/>
      </c>
      <c r="D770">
        <f>IFERROR(IF(B770="","",_xlfn.XLOOKUP(B770,STUDENTS!B769:B100766,STUDENTS!D769:D100766)),"update STUDENT sheet")</f>
        <v/>
      </c>
      <c r="E770">
        <f>IFERROR(IF(C770="","",_xlfn.XLOOKUP(C770,STUDENTS!C769:C100766,STUDENTS!F769:F100766)),"update STUDENT sheet")</f>
        <v/>
      </c>
      <c r="F770">
        <f>IFERROR(IF(D770="","",_xlfn.XLOOKUP(D770,STUDENTS!D769:D100766,STUDENTS!G769:G100766)),"update STUDENT sheet")</f>
        <v/>
      </c>
      <c r="G770">
        <f>IFERROR(IF(E770="","",_xlfn.XLOOKUP(E770,STUDENTS!F769:F100766,STUDENTS!H769:H100766)),"update STUDENT sheet")</f>
        <v/>
      </c>
    </row>
    <row r="771">
      <c r="B771">
        <f>IF(STUDENTS!B770="","",STUDENTS!B770)</f>
        <v/>
      </c>
      <c r="C771">
        <f>IFERROR(IF(B771="","",_xlfn.XLOOKUP(B771,STUDENTS!$B$3:$B$1048576,STUDENTS!$C$3:$C$1048576)),"Enter a registered reg. no")</f>
        <v/>
      </c>
      <c r="D771">
        <f>IFERROR(IF(B771="","",_xlfn.XLOOKUP(B771,STUDENTS!B770:B100767,STUDENTS!D770:D100767)),"update STUDENT sheet")</f>
        <v/>
      </c>
      <c r="E771">
        <f>IFERROR(IF(C771="","",_xlfn.XLOOKUP(C771,STUDENTS!C770:C100767,STUDENTS!F770:F100767)),"update STUDENT sheet")</f>
        <v/>
      </c>
      <c r="F771">
        <f>IFERROR(IF(D771="","",_xlfn.XLOOKUP(D771,STUDENTS!D770:D100767,STUDENTS!G770:G100767)),"update STUDENT sheet")</f>
        <v/>
      </c>
      <c r="G771">
        <f>IFERROR(IF(E771="","",_xlfn.XLOOKUP(E771,STUDENTS!F770:F100767,STUDENTS!H770:H100767)),"update STUDENT sheet")</f>
        <v/>
      </c>
    </row>
    <row r="772">
      <c r="B772">
        <f>IF(STUDENTS!B771="","",STUDENTS!B771)</f>
        <v/>
      </c>
      <c r="C772">
        <f>IFERROR(IF(B772="","",_xlfn.XLOOKUP(B772,STUDENTS!$B$3:$B$1048576,STUDENTS!$C$3:$C$1048576)),"Enter a registered reg. no")</f>
        <v/>
      </c>
      <c r="D772">
        <f>IFERROR(IF(B772="","",_xlfn.XLOOKUP(B772,STUDENTS!B771:B100768,STUDENTS!D771:D100768)),"update STUDENT sheet")</f>
        <v/>
      </c>
      <c r="E772">
        <f>IFERROR(IF(C772="","",_xlfn.XLOOKUP(C772,STUDENTS!C771:C100768,STUDENTS!F771:F100768)),"update STUDENT sheet")</f>
        <v/>
      </c>
      <c r="F772">
        <f>IFERROR(IF(D772="","",_xlfn.XLOOKUP(D772,STUDENTS!D771:D100768,STUDENTS!G771:G100768)),"update STUDENT sheet")</f>
        <v/>
      </c>
      <c r="G772">
        <f>IFERROR(IF(E772="","",_xlfn.XLOOKUP(E772,STUDENTS!F771:F100768,STUDENTS!H771:H100768)),"update STUDENT sheet")</f>
        <v/>
      </c>
    </row>
    <row r="773">
      <c r="B773">
        <f>IF(STUDENTS!B772="","",STUDENTS!B772)</f>
        <v/>
      </c>
      <c r="C773">
        <f>IFERROR(IF(B773="","",_xlfn.XLOOKUP(B773,STUDENTS!$B$3:$B$1048576,STUDENTS!$C$3:$C$1048576)),"Enter a registered reg. no")</f>
        <v/>
      </c>
      <c r="D773">
        <f>IFERROR(IF(B773="","",_xlfn.XLOOKUP(B773,STUDENTS!B772:B100769,STUDENTS!D772:D100769)),"update STUDENT sheet")</f>
        <v/>
      </c>
      <c r="E773">
        <f>IFERROR(IF(C773="","",_xlfn.XLOOKUP(C773,STUDENTS!C772:C100769,STUDENTS!F772:F100769)),"update STUDENT sheet")</f>
        <v/>
      </c>
      <c r="F773">
        <f>IFERROR(IF(D773="","",_xlfn.XLOOKUP(D773,STUDENTS!D772:D100769,STUDENTS!G772:G100769)),"update STUDENT sheet")</f>
        <v/>
      </c>
      <c r="G773">
        <f>IFERROR(IF(E773="","",_xlfn.XLOOKUP(E773,STUDENTS!F772:F100769,STUDENTS!H772:H100769)),"update STUDENT sheet")</f>
        <v/>
      </c>
    </row>
    <row r="774">
      <c r="B774">
        <f>IF(STUDENTS!B773="","",STUDENTS!B773)</f>
        <v/>
      </c>
      <c r="C774">
        <f>IFERROR(IF(B774="","",_xlfn.XLOOKUP(B774,STUDENTS!$B$3:$B$1048576,STUDENTS!$C$3:$C$1048576)),"Enter a registered reg. no")</f>
        <v/>
      </c>
      <c r="D774">
        <f>IFERROR(IF(B774="","",_xlfn.XLOOKUP(B774,STUDENTS!B773:B100770,STUDENTS!D773:D100770)),"update STUDENT sheet")</f>
        <v/>
      </c>
      <c r="E774">
        <f>IFERROR(IF(C774="","",_xlfn.XLOOKUP(C774,STUDENTS!C773:C100770,STUDENTS!F773:F100770)),"update STUDENT sheet")</f>
        <v/>
      </c>
      <c r="F774">
        <f>IFERROR(IF(D774="","",_xlfn.XLOOKUP(D774,STUDENTS!D773:D100770,STUDENTS!G773:G100770)),"update STUDENT sheet")</f>
        <v/>
      </c>
      <c r="G774">
        <f>IFERROR(IF(E774="","",_xlfn.XLOOKUP(E774,STUDENTS!F773:F100770,STUDENTS!H773:H100770)),"update STUDENT sheet")</f>
        <v/>
      </c>
    </row>
    <row r="775">
      <c r="B775">
        <f>IF(STUDENTS!B774="","",STUDENTS!B774)</f>
        <v/>
      </c>
      <c r="C775">
        <f>IFERROR(IF(B775="","",_xlfn.XLOOKUP(B775,STUDENTS!$B$3:$B$1048576,STUDENTS!$C$3:$C$1048576)),"Enter a registered reg. no")</f>
        <v/>
      </c>
      <c r="D775">
        <f>IFERROR(IF(B775="","",_xlfn.XLOOKUP(B775,STUDENTS!B774:B100771,STUDENTS!D774:D100771)),"update STUDENT sheet")</f>
        <v/>
      </c>
      <c r="E775">
        <f>IFERROR(IF(C775="","",_xlfn.XLOOKUP(C775,STUDENTS!C774:C100771,STUDENTS!F774:F100771)),"update STUDENT sheet")</f>
        <v/>
      </c>
      <c r="F775">
        <f>IFERROR(IF(D775="","",_xlfn.XLOOKUP(D775,STUDENTS!D774:D100771,STUDENTS!G774:G100771)),"update STUDENT sheet")</f>
        <v/>
      </c>
      <c r="G775">
        <f>IFERROR(IF(E775="","",_xlfn.XLOOKUP(E775,STUDENTS!F774:F100771,STUDENTS!H774:H100771)),"update STUDENT sheet")</f>
        <v/>
      </c>
    </row>
    <row r="776">
      <c r="B776">
        <f>IF(STUDENTS!B775="","",STUDENTS!B775)</f>
        <v/>
      </c>
      <c r="C776">
        <f>IFERROR(IF(B776="","",_xlfn.XLOOKUP(B776,STUDENTS!$B$3:$B$1048576,STUDENTS!$C$3:$C$1048576)),"Enter a registered reg. no")</f>
        <v/>
      </c>
      <c r="D776">
        <f>IFERROR(IF(B776="","",_xlfn.XLOOKUP(B776,STUDENTS!B775:B100772,STUDENTS!D775:D100772)),"update STUDENT sheet")</f>
        <v/>
      </c>
      <c r="E776">
        <f>IFERROR(IF(C776="","",_xlfn.XLOOKUP(C776,STUDENTS!C775:C100772,STUDENTS!F775:F100772)),"update STUDENT sheet")</f>
        <v/>
      </c>
      <c r="F776">
        <f>IFERROR(IF(D776="","",_xlfn.XLOOKUP(D776,STUDENTS!D775:D100772,STUDENTS!G775:G100772)),"update STUDENT sheet")</f>
        <v/>
      </c>
      <c r="G776">
        <f>IFERROR(IF(E776="","",_xlfn.XLOOKUP(E776,STUDENTS!F775:F100772,STUDENTS!H775:H100772)),"update STUDENT sheet")</f>
        <v/>
      </c>
    </row>
    <row r="777">
      <c r="B777">
        <f>IF(STUDENTS!B776="","",STUDENTS!B776)</f>
        <v/>
      </c>
      <c r="C777">
        <f>IFERROR(IF(B777="","",_xlfn.XLOOKUP(B777,STUDENTS!$B$3:$B$1048576,STUDENTS!$C$3:$C$1048576)),"Enter a registered reg. no")</f>
        <v/>
      </c>
      <c r="D777">
        <f>IFERROR(IF(B777="","",_xlfn.XLOOKUP(B777,STUDENTS!B776:B100773,STUDENTS!D776:D100773)),"update STUDENT sheet")</f>
        <v/>
      </c>
      <c r="E777">
        <f>IFERROR(IF(C777="","",_xlfn.XLOOKUP(C777,STUDENTS!C776:C100773,STUDENTS!F776:F100773)),"update STUDENT sheet")</f>
        <v/>
      </c>
      <c r="F777">
        <f>IFERROR(IF(D777="","",_xlfn.XLOOKUP(D777,STUDENTS!D776:D100773,STUDENTS!G776:G100773)),"update STUDENT sheet")</f>
        <v/>
      </c>
      <c r="G777">
        <f>IFERROR(IF(E777="","",_xlfn.XLOOKUP(E777,STUDENTS!F776:F100773,STUDENTS!H776:H100773)),"update STUDENT sheet")</f>
        <v/>
      </c>
    </row>
    <row r="778">
      <c r="B778">
        <f>IF(STUDENTS!B777="","",STUDENTS!B777)</f>
        <v/>
      </c>
      <c r="C778">
        <f>IFERROR(IF(B778="","",_xlfn.XLOOKUP(B778,STUDENTS!$B$3:$B$1048576,STUDENTS!$C$3:$C$1048576)),"Enter a registered reg. no")</f>
        <v/>
      </c>
      <c r="D778">
        <f>IFERROR(IF(B778="","",_xlfn.XLOOKUP(B778,STUDENTS!B777:B100774,STUDENTS!D777:D100774)),"update STUDENT sheet")</f>
        <v/>
      </c>
      <c r="E778">
        <f>IFERROR(IF(C778="","",_xlfn.XLOOKUP(C778,STUDENTS!C777:C100774,STUDENTS!F777:F100774)),"update STUDENT sheet")</f>
        <v/>
      </c>
      <c r="F778">
        <f>IFERROR(IF(D778="","",_xlfn.XLOOKUP(D778,STUDENTS!D777:D100774,STUDENTS!G777:G100774)),"update STUDENT sheet")</f>
        <v/>
      </c>
      <c r="G778">
        <f>IFERROR(IF(E778="","",_xlfn.XLOOKUP(E778,STUDENTS!F777:F100774,STUDENTS!H777:H100774)),"update STUDENT sheet")</f>
        <v/>
      </c>
    </row>
    <row r="779">
      <c r="B779">
        <f>IF(STUDENTS!B778="","",STUDENTS!B778)</f>
        <v/>
      </c>
      <c r="C779">
        <f>IFERROR(IF(B779="","",_xlfn.XLOOKUP(B779,STUDENTS!$B$3:$B$1048576,STUDENTS!$C$3:$C$1048576)),"Enter a registered reg. no")</f>
        <v/>
      </c>
      <c r="D779">
        <f>IFERROR(IF(B779="","",_xlfn.XLOOKUP(B779,STUDENTS!B778:B100775,STUDENTS!D778:D100775)),"update STUDENT sheet")</f>
        <v/>
      </c>
      <c r="E779">
        <f>IFERROR(IF(C779="","",_xlfn.XLOOKUP(C779,STUDENTS!C778:C100775,STUDENTS!F778:F100775)),"update STUDENT sheet")</f>
        <v/>
      </c>
      <c r="F779">
        <f>IFERROR(IF(D779="","",_xlfn.XLOOKUP(D779,STUDENTS!D778:D100775,STUDENTS!G778:G100775)),"update STUDENT sheet")</f>
        <v/>
      </c>
      <c r="G779">
        <f>IFERROR(IF(E779="","",_xlfn.XLOOKUP(E779,STUDENTS!F778:F100775,STUDENTS!H778:H100775)),"update STUDENT sheet")</f>
        <v/>
      </c>
    </row>
    <row r="780">
      <c r="B780">
        <f>IF(STUDENTS!B779="","",STUDENTS!B779)</f>
        <v/>
      </c>
      <c r="C780">
        <f>IFERROR(IF(B780="","",_xlfn.XLOOKUP(B780,STUDENTS!$B$3:$B$1048576,STUDENTS!$C$3:$C$1048576)),"Enter a registered reg. no")</f>
        <v/>
      </c>
      <c r="D780">
        <f>IFERROR(IF(B780="","",_xlfn.XLOOKUP(B780,STUDENTS!B779:B100776,STUDENTS!D779:D100776)),"update STUDENT sheet")</f>
        <v/>
      </c>
      <c r="E780">
        <f>IFERROR(IF(C780="","",_xlfn.XLOOKUP(C780,STUDENTS!C779:C100776,STUDENTS!F779:F100776)),"update STUDENT sheet")</f>
        <v/>
      </c>
      <c r="F780">
        <f>IFERROR(IF(D780="","",_xlfn.XLOOKUP(D780,STUDENTS!D779:D100776,STUDENTS!G779:G100776)),"update STUDENT sheet")</f>
        <v/>
      </c>
      <c r="G780">
        <f>IFERROR(IF(E780="","",_xlfn.XLOOKUP(E780,STUDENTS!F779:F100776,STUDENTS!H779:H100776)),"update STUDENT sheet")</f>
        <v/>
      </c>
    </row>
    <row r="781">
      <c r="B781">
        <f>IF(STUDENTS!B780="","",STUDENTS!B780)</f>
        <v/>
      </c>
      <c r="C781">
        <f>IFERROR(IF(B781="","",_xlfn.XLOOKUP(B781,STUDENTS!$B$3:$B$1048576,STUDENTS!$C$3:$C$1048576)),"Enter a registered reg. no")</f>
        <v/>
      </c>
      <c r="D781">
        <f>IFERROR(IF(B781="","",_xlfn.XLOOKUP(B781,STUDENTS!B780:B100777,STUDENTS!D780:D100777)),"update STUDENT sheet")</f>
        <v/>
      </c>
      <c r="E781">
        <f>IFERROR(IF(C781="","",_xlfn.XLOOKUP(C781,STUDENTS!C780:C100777,STUDENTS!F780:F100777)),"update STUDENT sheet")</f>
        <v/>
      </c>
      <c r="F781">
        <f>IFERROR(IF(D781="","",_xlfn.XLOOKUP(D781,STUDENTS!D780:D100777,STUDENTS!G780:G100777)),"update STUDENT sheet")</f>
        <v/>
      </c>
      <c r="G781">
        <f>IFERROR(IF(E781="","",_xlfn.XLOOKUP(E781,STUDENTS!F780:F100777,STUDENTS!H780:H100777)),"update STUDENT sheet")</f>
        <v/>
      </c>
    </row>
    <row r="782">
      <c r="B782">
        <f>IF(STUDENTS!B781="","",STUDENTS!B781)</f>
        <v/>
      </c>
      <c r="C782">
        <f>IFERROR(IF(B782="","",_xlfn.XLOOKUP(B782,STUDENTS!$B$3:$B$1048576,STUDENTS!$C$3:$C$1048576)),"Enter a registered reg. no")</f>
        <v/>
      </c>
      <c r="D782">
        <f>IFERROR(IF(B782="","",_xlfn.XLOOKUP(B782,STUDENTS!B781:B100778,STUDENTS!D781:D100778)),"update STUDENT sheet")</f>
        <v/>
      </c>
      <c r="E782">
        <f>IFERROR(IF(C782="","",_xlfn.XLOOKUP(C782,STUDENTS!C781:C100778,STUDENTS!F781:F100778)),"update STUDENT sheet")</f>
        <v/>
      </c>
      <c r="F782">
        <f>IFERROR(IF(D782="","",_xlfn.XLOOKUP(D782,STUDENTS!D781:D100778,STUDENTS!G781:G100778)),"update STUDENT sheet")</f>
        <v/>
      </c>
      <c r="G782">
        <f>IFERROR(IF(E782="","",_xlfn.XLOOKUP(E782,STUDENTS!F781:F100778,STUDENTS!H781:H100778)),"update STUDENT sheet")</f>
        <v/>
      </c>
    </row>
    <row r="783">
      <c r="B783">
        <f>IF(STUDENTS!B782="","",STUDENTS!B782)</f>
        <v/>
      </c>
      <c r="C783">
        <f>IFERROR(IF(B783="","",_xlfn.XLOOKUP(B783,STUDENTS!$B$3:$B$1048576,STUDENTS!$C$3:$C$1048576)),"Enter a registered reg. no")</f>
        <v/>
      </c>
      <c r="D783">
        <f>IFERROR(IF(B783="","",_xlfn.XLOOKUP(B783,STUDENTS!B782:B100779,STUDENTS!D782:D100779)),"update STUDENT sheet")</f>
        <v/>
      </c>
      <c r="E783">
        <f>IFERROR(IF(C783="","",_xlfn.XLOOKUP(C783,STUDENTS!C782:C100779,STUDENTS!F782:F100779)),"update STUDENT sheet")</f>
        <v/>
      </c>
      <c r="F783">
        <f>IFERROR(IF(D783="","",_xlfn.XLOOKUP(D783,STUDENTS!D782:D100779,STUDENTS!G782:G100779)),"update STUDENT sheet")</f>
        <v/>
      </c>
      <c r="G783">
        <f>IFERROR(IF(E783="","",_xlfn.XLOOKUP(E783,STUDENTS!F782:F100779,STUDENTS!H782:H100779)),"update STUDENT sheet")</f>
        <v/>
      </c>
    </row>
    <row r="784">
      <c r="B784">
        <f>IF(STUDENTS!B783="","",STUDENTS!B783)</f>
        <v/>
      </c>
      <c r="C784">
        <f>IFERROR(IF(B784="","",_xlfn.XLOOKUP(B784,STUDENTS!$B$3:$B$1048576,STUDENTS!$C$3:$C$1048576)),"Enter a registered reg. no")</f>
        <v/>
      </c>
      <c r="D784">
        <f>IFERROR(IF(B784="","",_xlfn.XLOOKUP(B784,STUDENTS!B783:B100780,STUDENTS!D783:D100780)),"update STUDENT sheet")</f>
        <v/>
      </c>
      <c r="E784">
        <f>IFERROR(IF(C784="","",_xlfn.XLOOKUP(C784,STUDENTS!C783:C100780,STUDENTS!F783:F100780)),"update STUDENT sheet")</f>
        <v/>
      </c>
      <c r="F784">
        <f>IFERROR(IF(D784="","",_xlfn.XLOOKUP(D784,STUDENTS!D783:D100780,STUDENTS!G783:G100780)),"update STUDENT sheet")</f>
        <v/>
      </c>
      <c r="G784">
        <f>IFERROR(IF(E784="","",_xlfn.XLOOKUP(E784,STUDENTS!F783:F100780,STUDENTS!H783:H100780)),"update STUDENT sheet")</f>
        <v/>
      </c>
    </row>
    <row r="785">
      <c r="B785">
        <f>IF(STUDENTS!B784="","",STUDENTS!B784)</f>
        <v/>
      </c>
      <c r="C785">
        <f>IFERROR(IF(B785="","",_xlfn.XLOOKUP(B785,STUDENTS!$B$3:$B$1048576,STUDENTS!$C$3:$C$1048576)),"Enter a registered reg. no")</f>
        <v/>
      </c>
      <c r="D785">
        <f>IFERROR(IF(B785="","",_xlfn.XLOOKUP(B785,STUDENTS!B784:B100781,STUDENTS!D784:D100781)),"update STUDENT sheet")</f>
        <v/>
      </c>
      <c r="E785">
        <f>IFERROR(IF(C785="","",_xlfn.XLOOKUP(C785,STUDENTS!C784:C100781,STUDENTS!F784:F100781)),"update STUDENT sheet")</f>
        <v/>
      </c>
      <c r="F785">
        <f>IFERROR(IF(D785="","",_xlfn.XLOOKUP(D785,STUDENTS!D784:D100781,STUDENTS!G784:G100781)),"update STUDENT sheet")</f>
        <v/>
      </c>
      <c r="G785">
        <f>IFERROR(IF(E785="","",_xlfn.XLOOKUP(E785,STUDENTS!F784:F100781,STUDENTS!H784:H100781)),"update STUDENT sheet")</f>
        <v/>
      </c>
    </row>
    <row r="786">
      <c r="B786">
        <f>IF(STUDENTS!B785="","",STUDENTS!B785)</f>
        <v/>
      </c>
      <c r="C786">
        <f>IFERROR(IF(B786="","",_xlfn.XLOOKUP(B786,STUDENTS!$B$3:$B$1048576,STUDENTS!$C$3:$C$1048576)),"Enter a registered reg. no")</f>
        <v/>
      </c>
      <c r="D786">
        <f>IFERROR(IF(B786="","",_xlfn.XLOOKUP(B786,STUDENTS!B785:B100782,STUDENTS!D785:D100782)),"update STUDENT sheet")</f>
        <v/>
      </c>
      <c r="E786">
        <f>IFERROR(IF(C786="","",_xlfn.XLOOKUP(C786,STUDENTS!C785:C100782,STUDENTS!F785:F100782)),"update STUDENT sheet")</f>
        <v/>
      </c>
      <c r="F786">
        <f>IFERROR(IF(D786="","",_xlfn.XLOOKUP(D786,STUDENTS!D785:D100782,STUDENTS!G785:G100782)),"update STUDENT sheet")</f>
        <v/>
      </c>
      <c r="G786">
        <f>IFERROR(IF(E786="","",_xlfn.XLOOKUP(E786,STUDENTS!F785:F100782,STUDENTS!H785:H100782)),"update STUDENT sheet")</f>
        <v/>
      </c>
    </row>
    <row r="787">
      <c r="B787">
        <f>IF(STUDENTS!B786="","",STUDENTS!B786)</f>
        <v/>
      </c>
      <c r="C787">
        <f>IFERROR(IF(B787="","",_xlfn.XLOOKUP(B787,STUDENTS!$B$3:$B$1048576,STUDENTS!$C$3:$C$1048576)),"Enter a registered reg. no")</f>
        <v/>
      </c>
      <c r="D787">
        <f>IFERROR(IF(B787="","",_xlfn.XLOOKUP(B787,STUDENTS!B786:B100783,STUDENTS!D786:D100783)),"update STUDENT sheet")</f>
        <v/>
      </c>
      <c r="E787">
        <f>IFERROR(IF(C787="","",_xlfn.XLOOKUP(C787,STUDENTS!C786:C100783,STUDENTS!F786:F100783)),"update STUDENT sheet")</f>
        <v/>
      </c>
      <c r="F787">
        <f>IFERROR(IF(D787="","",_xlfn.XLOOKUP(D787,STUDENTS!D786:D100783,STUDENTS!G786:G100783)),"update STUDENT sheet")</f>
        <v/>
      </c>
      <c r="G787">
        <f>IFERROR(IF(E787="","",_xlfn.XLOOKUP(E787,STUDENTS!F786:F100783,STUDENTS!H786:H100783)),"update STUDENT sheet")</f>
        <v/>
      </c>
    </row>
    <row r="788">
      <c r="B788">
        <f>IF(STUDENTS!B787="","",STUDENTS!B787)</f>
        <v/>
      </c>
      <c r="C788">
        <f>IFERROR(IF(B788="","",_xlfn.XLOOKUP(B788,STUDENTS!$B$3:$B$1048576,STUDENTS!$C$3:$C$1048576)),"Enter a registered reg. no")</f>
        <v/>
      </c>
      <c r="D788">
        <f>IFERROR(IF(B788="","",_xlfn.XLOOKUP(B788,STUDENTS!B787:B100784,STUDENTS!D787:D100784)),"update STUDENT sheet")</f>
        <v/>
      </c>
      <c r="E788">
        <f>IFERROR(IF(C788="","",_xlfn.XLOOKUP(C788,STUDENTS!C787:C100784,STUDENTS!F787:F100784)),"update STUDENT sheet")</f>
        <v/>
      </c>
      <c r="F788">
        <f>IFERROR(IF(D788="","",_xlfn.XLOOKUP(D788,STUDENTS!D787:D100784,STUDENTS!G787:G100784)),"update STUDENT sheet")</f>
        <v/>
      </c>
      <c r="G788">
        <f>IFERROR(IF(E788="","",_xlfn.XLOOKUP(E788,STUDENTS!F787:F100784,STUDENTS!H787:H100784)),"update STUDENT sheet")</f>
        <v/>
      </c>
    </row>
    <row r="789">
      <c r="B789">
        <f>IF(STUDENTS!B788="","",STUDENTS!B788)</f>
        <v/>
      </c>
      <c r="C789">
        <f>IFERROR(IF(B789="","",_xlfn.XLOOKUP(B789,STUDENTS!$B$3:$B$1048576,STUDENTS!$C$3:$C$1048576)),"Enter a registered reg. no")</f>
        <v/>
      </c>
      <c r="D789">
        <f>IFERROR(IF(B789="","",_xlfn.XLOOKUP(B789,STUDENTS!B788:B100785,STUDENTS!D788:D100785)),"update STUDENT sheet")</f>
        <v/>
      </c>
      <c r="E789">
        <f>IFERROR(IF(C789="","",_xlfn.XLOOKUP(C789,STUDENTS!C788:C100785,STUDENTS!F788:F100785)),"update STUDENT sheet")</f>
        <v/>
      </c>
      <c r="F789">
        <f>IFERROR(IF(D789="","",_xlfn.XLOOKUP(D789,STUDENTS!D788:D100785,STUDENTS!G788:G100785)),"update STUDENT sheet")</f>
        <v/>
      </c>
      <c r="G789">
        <f>IFERROR(IF(E789="","",_xlfn.XLOOKUP(E789,STUDENTS!F788:F100785,STUDENTS!H788:H100785)),"update STUDENT sheet")</f>
        <v/>
      </c>
    </row>
    <row r="790">
      <c r="B790">
        <f>IF(STUDENTS!B789="","",STUDENTS!B789)</f>
        <v/>
      </c>
      <c r="C790">
        <f>IFERROR(IF(B790="","",_xlfn.XLOOKUP(B790,STUDENTS!$B$3:$B$1048576,STUDENTS!$C$3:$C$1048576)),"Enter a registered reg. no")</f>
        <v/>
      </c>
      <c r="D790">
        <f>IFERROR(IF(B790="","",_xlfn.XLOOKUP(B790,STUDENTS!B789:B100786,STUDENTS!D789:D100786)),"update STUDENT sheet")</f>
        <v/>
      </c>
      <c r="E790">
        <f>IFERROR(IF(C790="","",_xlfn.XLOOKUP(C790,STUDENTS!C789:C100786,STUDENTS!F789:F100786)),"update STUDENT sheet")</f>
        <v/>
      </c>
      <c r="F790">
        <f>IFERROR(IF(D790="","",_xlfn.XLOOKUP(D790,STUDENTS!D789:D100786,STUDENTS!G789:G100786)),"update STUDENT sheet")</f>
        <v/>
      </c>
      <c r="G790">
        <f>IFERROR(IF(E790="","",_xlfn.XLOOKUP(E790,STUDENTS!F789:F100786,STUDENTS!H789:H100786)),"update STUDENT sheet")</f>
        <v/>
      </c>
    </row>
    <row r="791">
      <c r="B791">
        <f>IF(STUDENTS!B790="","",STUDENTS!B790)</f>
        <v/>
      </c>
      <c r="C791">
        <f>IFERROR(IF(B791="","",_xlfn.XLOOKUP(B791,STUDENTS!$B$3:$B$1048576,STUDENTS!$C$3:$C$1048576)),"Enter a registered reg. no")</f>
        <v/>
      </c>
      <c r="D791">
        <f>IFERROR(IF(B791="","",_xlfn.XLOOKUP(B791,STUDENTS!B790:B100787,STUDENTS!D790:D100787)),"update STUDENT sheet")</f>
        <v/>
      </c>
      <c r="E791">
        <f>IFERROR(IF(C791="","",_xlfn.XLOOKUP(C791,STUDENTS!C790:C100787,STUDENTS!F790:F100787)),"update STUDENT sheet")</f>
        <v/>
      </c>
      <c r="F791">
        <f>IFERROR(IF(D791="","",_xlfn.XLOOKUP(D791,STUDENTS!D790:D100787,STUDENTS!G790:G100787)),"update STUDENT sheet")</f>
        <v/>
      </c>
      <c r="G791">
        <f>IFERROR(IF(E791="","",_xlfn.XLOOKUP(E791,STUDENTS!F790:F100787,STUDENTS!H790:H100787)),"update STUDENT sheet")</f>
        <v/>
      </c>
    </row>
    <row r="792">
      <c r="B792">
        <f>IF(STUDENTS!B791="","",STUDENTS!B791)</f>
        <v/>
      </c>
      <c r="C792">
        <f>IFERROR(IF(B792="","",_xlfn.XLOOKUP(B792,STUDENTS!$B$3:$B$1048576,STUDENTS!$C$3:$C$1048576)),"Enter a registered reg. no")</f>
        <v/>
      </c>
      <c r="D792">
        <f>IFERROR(IF(B792="","",_xlfn.XLOOKUP(B792,STUDENTS!B791:B100788,STUDENTS!D791:D100788)),"update STUDENT sheet")</f>
        <v/>
      </c>
      <c r="E792">
        <f>IFERROR(IF(C792="","",_xlfn.XLOOKUP(C792,STUDENTS!C791:C100788,STUDENTS!F791:F100788)),"update STUDENT sheet")</f>
        <v/>
      </c>
      <c r="F792">
        <f>IFERROR(IF(D792="","",_xlfn.XLOOKUP(D792,STUDENTS!D791:D100788,STUDENTS!G791:G100788)),"update STUDENT sheet")</f>
        <v/>
      </c>
      <c r="G792">
        <f>IFERROR(IF(E792="","",_xlfn.XLOOKUP(E792,STUDENTS!F791:F100788,STUDENTS!H791:H100788)),"update STUDENT sheet")</f>
        <v/>
      </c>
    </row>
    <row r="793">
      <c r="B793">
        <f>IF(STUDENTS!B792="","",STUDENTS!B792)</f>
        <v/>
      </c>
      <c r="C793">
        <f>IFERROR(IF(B793="","",_xlfn.XLOOKUP(B793,STUDENTS!$B$3:$B$1048576,STUDENTS!$C$3:$C$1048576)),"Enter a registered reg. no")</f>
        <v/>
      </c>
      <c r="D793">
        <f>IFERROR(IF(B793="","",_xlfn.XLOOKUP(B793,STUDENTS!B792:B100789,STUDENTS!D792:D100789)),"update STUDENT sheet")</f>
        <v/>
      </c>
      <c r="E793">
        <f>IFERROR(IF(C793="","",_xlfn.XLOOKUP(C793,STUDENTS!C792:C100789,STUDENTS!F792:F100789)),"update STUDENT sheet")</f>
        <v/>
      </c>
      <c r="F793">
        <f>IFERROR(IF(D793="","",_xlfn.XLOOKUP(D793,STUDENTS!D792:D100789,STUDENTS!G792:G100789)),"update STUDENT sheet")</f>
        <v/>
      </c>
      <c r="G793">
        <f>IFERROR(IF(E793="","",_xlfn.XLOOKUP(E793,STUDENTS!F792:F100789,STUDENTS!H792:H100789)),"update STUDENT sheet")</f>
        <v/>
      </c>
    </row>
    <row r="794">
      <c r="B794">
        <f>IF(STUDENTS!B793="","",STUDENTS!B793)</f>
        <v/>
      </c>
      <c r="C794">
        <f>IFERROR(IF(B794="","",_xlfn.XLOOKUP(B794,STUDENTS!$B$3:$B$1048576,STUDENTS!$C$3:$C$1048576)),"Enter a registered reg. no")</f>
        <v/>
      </c>
      <c r="D794">
        <f>IFERROR(IF(B794="","",_xlfn.XLOOKUP(B794,STUDENTS!B793:B100790,STUDENTS!D793:D100790)),"update STUDENT sheet")</f>
        <v/>
      </c>
      <c r="E794">
        <f>IFERROR(IF(C794="","",_xlfn.XLOOKUP(C794,STUDENTS!C793:C100790,STUDENTS!F793:F100790)),"update STUDENT sheet")</f>
        <v/>
      </c>
      <c r="F794">
        <f>IFERROR(IF(D794="","",_xlfn.XLOOKUP(D794,STUDENTS!D793:D100790,STUDENTS!G793:G100790)),"update STUDENT sheet")</f>
        <v/>
      </c>
      <c r="G794">
        <f>IFERROR(IF(E794="","",_xlfn.XLOOKUP(E794,STUDENTS!F793:F100790,STUDENTS!H793:H100790)),"update STUDENT sheet")</f>
        <v/>
      </c>
    </row>
    <row r="795">
      <c r="B795">
        <f>IF(STUDENTS!B794="","",STUDENTS!B794)</f>
        <v/>
      </c>
      <c r="C795">
        <f>IFERROR(IF(B795="","",_xlfn.XLOOKUP(B795,STUDENTS!$B$3:$B$1048576,STUDENTS!$C$3:$C$1048576)),"Enter a registered reg. no")</f>
        <v/>
      </c>
      <c r="D795">
        <f>IFERROR(IF(B795="","",_xlfn.XLOOKUP(B795,STUDENTS!B794:B100791,STUDENTS!D794:D100791)),"update STUDENT sheet")</f>
        <v/>
      </c>
      <c r="E795">
        <f>IFERROR(IF(C795="","",_xlfn.XLOOKUP(C795,STUDENTS!C794:C100791,STUDENTS!F794:F100791)),"update STUDENT sheet")</f>
        <v/>
      </c>
      <c r="F795">
        <f>IFERROR(IF(D795="","",_xlfn.XLOOKUP(D795,STUDENTS!D794:D100791,STUDENTS!G794:G100791)),"update STUDENT sheet")</f>
        <v/>
      </c>
      <c r="G795">
        <f>IFERROR(IF(E795="","",_xlfn.XLOOKUP(E795,STUDENTS!F794:F100791,STUDENTS!H794:H100791)),"update STUDENT sheet")</f>
        <v/>
      </c>
    </row>
    <row r="796">
      <c r="B796">
        <f>IF(STUDENTS!B795="","",STUDENTS!B795)</f>
        <v/>
      </c>
      <c r="C796">
        <f>IFERROR(IF(B796="","",_xlfn.XLOOKUP(B796,STUDENTS!$B$3:$B$1048576,STUDENTS!$C$3:$C$1048576)),"Enter a registered reg. no")</f>
        <v/>
      </c>
      <c r="D796">
        <f>IFERROR(IF(B796="","",_xlfn.XLOOKUP(B796,STUDENTS!B795:B100792,STUDENTS!D795:D100792)),"update STUDENT sheet")</f>
        <v/>
      </c>
      <c r="E796">
        <f>IFERROR(IF(C796="","",_xlfn.XLOOKUP(C796,STUDENTS!C795:C100792,STUDENTS!F795:F100792)),"update STUDENT sheet")</f>
        <v/>
      </c>
      <c r="F796">
        <f>IFERROR(IF(D796="","",_xlfn.XLOOKUP(D796,STUDENTS!D795:D100792,STUDENTS!G795:G100792)),"update STUDENT sheet")</f>
        <v/>
      </c>
      <c r="G796">
        <f>IFERROR(IF(E796="","",_xlfn.XLOOKUP(E796,STUDENTS!F795:F100792,STUDENTS!H795:H100792)),"update STUDENT sheet")</f>
        <v/>
      </c>
    </row>
    <row r="797">
      <c r="B797">
        <f>IF(STUDENTS!B796="","",STUDENTS!B796)</f>
        <v/>
      </c>
      <c r="C797">
        <f>IFERROR(IF(B797="","",_xlfn.XLOOKUP(B797,STUDENTS!$B$3:$B$1048576,STUDENTS!$C$3:$C$1048576)),"Enter a registered reg. no")</f>
        <v/>
      </c>
      <c r="D797">
        <f>IFERROR(IF(B797="","",_xlfn.XLOOKUP(B797,STUDENTS!B796:B100793,STUDENTS!D796:D100793)),"update STUDENT sheet")</f>
        <v/>
      </c>
      <c r="E797">
        <f>IFERROR(IF(C797="","",_xlfn.XLOOKUP(C797,STUDENTS!C796:C100793,STUDENTS!F796:F100793)),"update STUDENT sheet")</f>
        <v/>
      </c>
      <c r="F797">
        <f>IFERROR(IF(D797="","",_xlfn.XLOOKUP(D797,STUDENTS!D796:D100793,STUDENTS!G796:G100793)),"update STUDENT sheet")</f>
        <v/>
      </c>
      <c r="G797">
        <f>IFERROR(IF(E797="","",_xlfn.XLOOKUP(E797,STUDENTS!F796:F100793,STUDENTS!H796:H100793)),"update STUDENT sheet")</f>
        <v/>
      </c>
    </row>
    <row r="798">
      <c r="B798">
        <f>IF(STUDENTS!B797="","",STUDENTS!B797)</f>
        <v/>
      </c>
      <c r="C798">
        <f>IFERROR(IF(B798="","",_xlfn.XLOOKUP(B798,STUDENTS!$B$3:$B$1048576,STUDENTS!$C$3:$C$1048576)),"Enter a registered reg. no")</f>
        <v/>
      </c>
      <c r="D798">
        <f>IFERROR(IF(B798="","",_xlfn.XLOOKUP(B798,STUDENTS!B797:B100794,STUDENTS!D797:D100794)),"update STUDENT sheet")</f>
        <v/>
      </c>
      <c r="E798">
        <f>IFERROR(IF(C798="","",_xlfn.XLOOKUP(C798,STUDENTS!C797:C100794,STUDENTS!F797:F100794)),"update STUDENT sheet")</f>
        <v/>
      </c>
      <c r="F798">
        <f>IFERROR(IF(D798="","",_xlfn.XLOOKUP(D798,STUDENTS!D797:D100794,STUDENTS!G797:G100794)),"update STUDENT sheet")</f>
        <v/>
      </c>
      <c r="G798">
        <f>IFERROR(IF(E798="","",_xlfn.XLOOKUP(E798,STUDENTS!F797:F100794,STUDENTS!H797:H100794)),"update STUDENT sheet")</f>
        <v/>
      </c>
    </row>
    <row r="799">
      <c r="B799">
        <f>IF(STUDENTS!B798="","",STUDENTS!B798)</f>
        <v/>
      </c>
      <c r="C799">
        <f>IFERROR(IF(B799="","",_xlfn.XLOOKUP(B799,STUDENTS!$B$3:$B$1048576,STUDENTS!$C$3:$C$1048576)),"Enter a registered reg. no")</f>
        <v/>
      </c>
      <c r="D799">
        <f>IFERROR(IF(B799="","",_xlfn.XLOOKUP(B799,STUDENTS!B798:B100795,STUDENTS!D798:D100795)),"update STUDENT sheet")</f>
        <v/>
      </c>
      <c r="E799">
        <f>IFERROR(IF(C799="","",_xlfn.XLOOKUP(C799,STUDENTS!C798:C100795,STUDENTS!F798:F100795)),"update STUDENT sheet")</f>
        <v/>
      </c>
      <c r="F799">
        <f>IFERROR(IF(D799="","",_xlfn.XLOOKUP(D799,STUDENTS!D798:D100795,STUDENTS!G798:G100795)),"update STUDENT sheet")</f>
        <v/>
      </c>
      <c r="G799">
        <f>IFERROR(IF(E799="","",_xlfn.XLOOKUP(E799,STUDENTS!F798:F100795,STUDENTS!H798:H100795)),"update STUDENT sheet")</f>
        <v/>
      </c>
    </row>
    <row r="800">
      <c r="B800">
        <f>IF(STUDENTS!B799="","",STUDENTS!B799)</f>
        <v/>
      </c>
      <c r="C800">
        <f>IFERROR(IF(B800="","",_xlfn.XLOOKUP(B800,STUDENTS!$B$3:$B$1048576,STUDENTS!$C$3:$C$1048576)),"Enter a registered reg. no")</f>
        <v/>
      </c>
      <c r="D800">
        <f>IFERROR(IF(B800="","",_xlfn.XLOOKUP(B800,STUDENTS!B799:B100796,STUDENTS!D799:D100796)),"update STUDENT sheet")</f>
        <v/>
      </c>
      <c r="E800">
        <f>IFERROR(IF(C800="","",_xlfn.XLOOKUP(C800,STUDENTS!C799:C100796,STUDENTS!F799:F100796)),"update STUDENT sheet")</f>
        <v/>
      </c>
      <c r="F800">
        <f>IFERROR(IF(D800="","",_xlfn.XLOOKUP(D800,STUDENTS!D799:D100796,STUDENTS!G799:G100796)),"update STUDENT sheet")</f>
        <v/>
      </c>
      <c r="G800">
        <f>IFERROR(IF(E800="","",_xlfn.XLOOKUP(E800,STUDENTS!F799:F100796,STUDENTS!H799:H100796)),"update STUDENT sheet")</f>
        <v/>
      </c>
    </row>
    <row r="801">
      <c r="B801">
        <f>IF(STUDENTS!B800="","",STUDENTS!B800)</f>
        <v/>
      </c>
      <c r="C801">
        <f>IFERROR(IF(B801="","",_xlfn.XLOOKUP(B801,STUDENTS!$B$3:$B$1048576,STUDENTS!$C$3:$C$1048576)),"Enter a registered reg. no")</f>
        <v/>
      </c>
      <c r="D801">
        <f>IFERROR(IF(B801="","",_xlfn.XLOOKUP(B801,STUDENTS!B800:B100797,STUDENTS!D800:D100797)),"update STUDENT sheet")</f>
        <v/>
      </c>
      <c r="E801">
        <f>IFERROR(IF(C801="","",_xlfn.XLOOKUP(C801,STUDENTS!C800:C100797,STUDENTS!F800:F100797)),"update STUDENT sheet")</f>
        <v/>
      </c>
      <c r="F801">
        <f>IFERROR(IF(D801="","",_xlfn.XLOOKUP(D801,STUDENTS!D800:D100797,STUDENTS!G800:G100797)),"update STUDENT sheet")</f>
        <v/>
      </c>
      <c r="G801">
        <f>IFERROR(IF(E801="","",_xlfn.XLOOKUP(E801,STUDENTS!F800:F100797,STUDENTS!H800:H100797)),"update STUDENT sheet")</f>
        <v/>
      </c>
    </row>
    <row r="802">
      <c r="B802">
        <f>IF(STUDENTS!B801="","",STUDENTS!B801)</f>
        <v/>
      </c>
      <c r="C802">
        <f>IFERROR(IF(B802="","",_xlfn.XLOOKUP(B802,STUDENTS!$B$3:$B$1048576,STUDENTS!$C$3:$C$1048576)),"Enter a registered reg. no")</f>
        <v/>
      </c>
      <c r="D802">
        <f>IFERROR(IF(B802="","",_xlfn.XLOOKUP(B802,STUDENTS!B801:B100798,STUDENTS!D801:D100798)),"update STUDENT sheet")</f>
        <v/>
      </c>
      <c r="E802">
        <f>IFERROR(IF(C802="","",_xlfn.XLOOKUP(C802,STUDENTS!C801:C100798,STUDENTS!F801:F100798)),"update STUDENT sheet")</f>
        <v/>
      </c>
      <c r="F802">
        <f>IFERROR(IF(D802="","",_xlfn.XLOOKUP(D802,STUDENTS!D801:D100798,STUDENTS!G801:G100798)),"update STUDENT sheet")</f>
        <v/>
      </c>
      <c r="G802">
        <f>IFERROR(IF(E802="","",_xlfn.XLOOKUP(E802,STUDENTS!F801:F100798,STUDENTS!H801:H100798)),"update STUDENT sheet")</f>
        <v/>
      </c>
    </row>
    <row r="803">
      <c r="B803">
        <f>IF(STUDENTS!B802="","",STUDENTS!B802)</f>
        <v/>
      </c>
      <c r="C803">
        <f>IFERROR(IF(B803="","",_xlfn.XLOOKUP(B803,STUDENTS!$B$3:$B$1048576,STUDENTS!$C$3:$C$1048576)),"Enter a registered reg. no")</f>
        <v/>
      </c>
      <c r="D803">
        <f>IFERROR(IF(B803="","",_xlfn.XLOOKUP(B803,STUDENTS!B802:B100799,STUDENTS!D802:D100799)),"update STUDENT sheet")</f>
        <v/>
      </c>
      <c r="E803">
        <f>IFERROR(IF(C803="","",_xlfn.XLOOKUP(C803,STUDENTS!C802:C100799,STUDENTS!F802:F100799)),"update STUDENT sheet")</f>
        <v/>
      </c>
      <c r="F803">
        <f>IFERROR(IF(D803="","",_xlfn.XLOOKUP(D803,STUDENTS!D802:D100799,STUDENTS!G802:G100799)),"update STUDENT sheet")</f>
        <v/>
      </c>
      <c r="G803">
        <f>IFERROR(IF(E803="","",_xlfn.XLOOKUP(E803,STUDENTS!F802:F100799,STUDENTS!H802:H100799)),"update STUDENT sheet")</f>
        <v/>
      </c>
    </row>
    <row r="804">
      <c r="B804">
        <f>IF(STUDENTS!B803="","",STUDENTS!B803)</f>
        <v/>
      </c>
      <c r="C804">
        <f>IFERROR(IF(B804="","",_xlfn.XLOOKUP(B804,STUDENTS!$B$3:$B$1048576,STUDENTS!$C$3:$C$1048576)),"Enter a registered reg. no")</f>
        <v/>
      </c>
      <c r="D804">
        <f>IFERROR(IF(B804="","",_xlfn.XLOOKUP(B804,STUDENTS!B803:B100800,STUDENTS!D803:D100800)),"update STUDENT sheet")</f>
        <v/>
      </c>
      <c r="E804">
        <f>IFERROR(IF(C804="","",_xlfn.XLOOKUP(C804,STUDENTS!C803:C100800,STUDENTS!F803:F100800)),"update STUDENT sheet")</f>
        <v/>
      </c>
      <c r="F804">
        <f>IFERROR(IF(D804="","",_xlfn.XLOOKUP(D804,STUDENTS!D803:D100800,STUDENTS!G803:G100800)),"update STUDENT sheet")</f>
        <v/>
      </c>
      <c r="G804">
        <f>IFERROR(IF(E804="","",_xlfn.XLOOKUP(E804,STUDENTS!F803:F100800,STUDENTS!H803:H100800)),"update STUDENT sheet")</f>
        <v/>
      </c>
    </row>
    <row r="805">
      <c r="B805">
        <f>IF(STUDENTS!B804="","",STUDENTS!B804)</f>
        <v/>
      </c>
      <c r="C805">
        <f>IFERROR(IF(B805="","",_xlfn.XLOOKUP(B805,STUDENTS!$B$3:$B$1048576,STUDENTS!$C$3:$C$1048576)),"Enter a registered reg. no")</f>
        <v/>
      </c>
      <c r="D805">
        <f>IFERROR(IF(B805="","",_xlfn.XLOOKUP(B805,STUDENTS!B804:B100801,STUDENTS!D804:D100801)),"update STUDENT sheet")</f>
        <v/>
      </c>
      <c r="E805">
        <f>IFERROR(IF(C805="","",_xlfn.XLOOKUP(C805,STUDENTS!C804:C100801,STUDENTS!F804:F100801)),"update STUDENT sheet")</f>
        <v/>
      </c>
      <c r="F805">
        <f>IFERROR(IF(D805="","",_xlfn.XLOOKUP(D805,STUDENTS!D804:D100801,STUDENTS!G804:G100801)),"update STUDENT sheet")</f>
        <v/>
      </c>
      <c r="G805">
        <f>IFERROR(IF(E805="","",_xlfn.XLOOKUP(E805,STUDENTS!F804:F100801,STUDENTS!H804:H100801)),"update STUDENT sheet")</f>
        <v/>
      </c>
    </row>
    <row r="806">
      <c r="B806">
        <f>IF(STUDENTS!B805="","",STUDENTS!B805)</f>
        <v/>
      </c>
      <c r="C806">
        <f>IFERROR(IF(B806="","",_xlfn.XLOOKUP(B806,STUDENTS!$B$3:$B$1048576,STUDENTS!$C$3:$C$1048576)),"Enter a registered reg. no")</f>
        <v/>
      </c>
      <c r="D806">
        <f>IFERROR(IF(B806="","",_xlfn.XLOOKUP(B806,STUDENTS!B805:B100802,STUDENTS!D805:D100802)),"update STUDENT sheet")</f>
        <v/>
      </c>
      <c r="E806">
        <f>IFERROR(IF(C806="","",_xlfn.XLOOKUP(C806,STUDENTS!C805:C100802,STUDENTS!F805:F100802)),"update STUDENT sheet")</f>
        <v/>
      </c>
      <c r="F806">
        <f>IFERROR(IF(D806="","",_xlfn.XLOOKUP(D806,STUDENTS!D805:D100802,STUDENTS!G805:G100802)),"update STUDENT sheet")</f>
        <v/>
      </c>
      <c r="G806">
        <f>IFERROR(IF(E806="","",_xlfn.XLOOKUP(E806,STUDENTS!F805:F100802,STUDENTS!H805:H100802)),"update STUDENT sheet")</f>
        <v/>
      </c>
    </row>
    <row r="807">
      <c r="B807">
        <f>IF(STUDENTS!B806="","",STUDENTS!B806)</f>
        <v/>
      </c>
      <c r="C807">
        <f>IFERROR(IF(B807="","",_xlfn.XLOOKUP(B807,STUDENTS!$B$3:$B$1048576,STUDENTS!$C$3:$C$1048576)),"Enter a registered reg. no")</f>
        <v/>
      </c>
      <c r="D807">
        <f>IFERROR(IF(B807="","",_xlfn.XLOOKUP(B807,STUDENTS!B806:B100803,STUDENTS!D806:D100803)),"update STUDENT sheet")</f>
        <v/>
      </c>
      <c r="E807">
        <f>IFERROR(IF(C807="","",_xlfn.XLOOKUP(C807,STUDENTS!C806:C100803,STUDENTS!F806:F100803)),"update STUDENT sheet")</f>
        <v/>
      </c>
      <c r="F807">
        <f>IFERROR(IF(D807="","",_xlfn.XLOOKUP(D807,STUDENTS!D806:D100803,STUDENTS!G806:G100803)),"update STUDENT sheet")</f>
        <v/>
      </c>
      <c r="G807">
        <f>IFERROR(IF(E807="","",_xlfn.XLOOKUP(E807,STUDENTS!F806:F100803,STUDENTS!H806:H100803)),"update STUDENT sheet")</f>
        <v/>
      </c>
    </row>
    <row r="808">
      <c r="B808">
        <f>IF(STUDENTS!B807="","",STUDENTS!B807)</f>
        <v/>
      </c>
      <c r="C808">
        <f>IFERROR(IF(B808="","",_xlfn.XLOOKUP(B808,STUDENTS!$B$3:$B$1048576,STUDENTS!$C$3:$C$1048576)),"Enter a registered reg. no")</f>
        <v/>
      </c>
      <c r="D808">
        <f>IFERROR(IF(B808="","",_xlfn.XLOOKUP(B808,STUDENTS!B807:B100804,STUDENTS!D807:D100804)),"update STUDENT sheet")</f>
        <v/>
      </c>
      <c r="E808">
        <f>IFERROR(IF(C808="","",_xlfn.XLOOKUP(C808,STUDENTS!C807:C100804,STUDENTS!F807:F100804)),"update STUDENT sheet")</f>
        <v/>
      </c>
      <c r="F808">
        <f>IFERROR(IF(D808="","",_xlfn.XLOOKUP(D808,STUDENTS!D807:D100804,STUDENTS!G807:G100804)),"update STUDENT sheet")</f>
        <v/>
      </c>
      <c r="G808">
        <f>IFERROR(IF(E808="","",_xlfn.XLOOKUP(E808,STUDENTS!F807:F100804,STUDENTS!H807:H100804)),"update STUDENT sheet")</f>
        <v/>
      </c>
    </row>
    <row r="809">
      <c r="B809">
        <f>IF(STUDENTS!B808="","",STUDENTS!B808)</f>
        <v/>
      </c>
      <c r="C809">
        <f>IFERROR(IF(B809="","",_xlfn.XLOOKUP(B809,STUDENTS!$B$3:$B$1048576,STUDENTS!$C$3:$C$1048576)),"Enter a registered reg. no")</f>
        <v/>
      </c>
      <c r="D809">
        <f>IFERROR(IF(B809="","",_xlfn.XLOOKUP(B809,STUDENTS!B808:B100805,STUDENTS!D808:D100805)),"update STUDENT sheet")</f>
        <v/>
      </c>
      <c r="E809">
        <f>IFERROR(IF(C809="","",_xlfn.XLOOKUP(C809,STUDENTS!C808:C100805,STUDENTS!F808:F100805)),"update STUDENT sheet")</f>
        <v/>
      </c>
      <c r="F809">
        <f>IFERROR(IF(D809="","",_xlfn.XLOOKUP(D809,STUDENTS!D808:D100805,STUDENTS!G808:G100805)),"update STUDENT sheet")</f>
        <v/>
      </c>
      <c r="G809">
        <f>IFERROR(IF(E809="","",_xlfn.XLOOKUP(E809,STUDENTS!F808:F100805,STUDENTS!H808:H100805)),"update STUDENT sheet")</f>
        <v/>
      </c>
    </row>
    <row r="810">
      <c r="B810">
        <f>IF(STUDENTS!B809="","",STUDENTS!B809)</f>
        <v/>
      </c>
      <c r="C810">
        <f>IFERROR(IF(B810="","",_xlfn.XLOOKUP(B810,STUDENTS!$B$3:$B$1048576,STUDENTS!$C$3:$C$1048576)),"Enter a registered reg. no")</f>
        <v/>
      </c>
      <c r="D810">
        <f>IFERROR(IF(B810="","",_xlfn.XLOOKUP(B810,STUDENTS!B809:B100806,STUDENTS!D809:D100806)),"update STUDENT sheet")</f>
        <v/>
      </c>
      <c r="E810">
        <f>IFERROR(IF(C810="","",_xlfn.XLOOKUP(C810,STUDENTS!C809:C100806,STUDENTS!F809:F100806)),"update STUDENT sheet")</f>
        <v/>
      </c>
      <c r="F810">
        <f>IFERROR(IF(D810="","",_xlfn.XLOOKUP(D810,STUDENTS!D809:D100806,STUDENTS!G809:G100806)),"update STUDENT sheet")</f>
        <v/>
      </c>
      <c r="G810">
        <f>IFERROR(IF(E810="","",_xlfn.XLOOKUP(E810,STUDENTS!F809:F100806,STUDENTS!H809:H100806)),"update STUDENT sheet")</f>
        <v/>
      </c>
    </row>
    <row r="811">
      <c r="B811">
        <f>IF(STUDENTS!B810="","",STUDENTS!B810)</f>
        <v/>
      </c>
      <c r="C811">
        <f>IFERROR(IF(B811="","",_xlfn.XLOOKUP(B811,STUDENTS!$B$3:$B$1048576,STUDENTS!$C$3:$C$1048576)),"Enter a registered reg. no")</f>
        <v/>
      </c>
      <c r="D811">
        <f>IFERROR(IF(B811="","",_xlfn.XLOOKUP(B811,STUDENTS!B810:B100807,STUDENTS!D810:D100807)),"update STUDENT sheet")</f>
        <v/>
      </c>
      <c r="E811">
        <f>IFERROR(IF(C811="","",_xlfn.XLOOKUP(C811,STUDENTS!C810:C100807,STUDENTS!F810:F100807)),"update STUDENT sheet")</f>
        <v/>
      </c>
      <c r="F811">
        <f>IFERROR(IF(D811="","",_xlfn.XLOOKUP(D811,STUDENTS!D810:D100807,STUDENTS!G810:G100807)),"update STUDENT sheet")</f>
        <v/>
      </c>
      <c r="G811">
        <f>IFERROR(IF(E811="","",_xlfn.XLOOKUP(E811,STUDENTS!F810:F100807,STUDENTS!H810:H100807)),"update STUDENT sheet")</f>
        <v/>
      </c>
    </row>
    <row r="812">
      <c r="B812">
        <f>IF(STUDENTS!B811="","",STUDENTS!B811)</f>
        <v/>
      </c>
      <c r="C812">
        <f>IFERROR(IF(B812="","",_xlfn.XLOOKUP(B812,STUDENTS!$B$3:$B$1048576,STUDENTS!$C$3:$C$1048576)),"Enter a registered reg. no")</f>
        <v/>
      </c>
      <c r="D812">
        <f>IFERROR(IF(B812="","",_xlfn.XLOOKUP(B812,STUDENTS!B811:B100808,STUDENTS!D811:D100808)),"update STUDENT sheet")</f>
        <v/>
      </c>
      <c r="E812">
        <f>IFERROR(IF(C812="","",_xlfn.XLOOKUP(C812,STUDENTS!C811:C100808,STUDENTS!F811:F100808)),"update STUDENT sheet")</f>
        <v/>
      </c>
      <c r="F812">
        <f>IFERROR(IF(D812="","",_xlfn.XLOOKUP(D812,STUDENTS!D811:D100808,STUDENTS!G811:G100808)),"update STUDENT sheet")</f>
        <v/>
      </c>
      <c r="G812">
        <f>IFERROR(IF(E812="","",_xlfn.XLOOKUP(E812,STUDENTS!F811:F100808,STUDENTS!H811:H100808)),"update STUDENT sheet")</f>
        <v/>
      </c>
    </row>
    <row r="813">
      <c r="B813">
        <f>IF(STUDENTS!B812="","",STUDENTS!B812)</f>
        <v/>
      </c>
      <c r="C813">
        <f>IFERROR(IF(B813="","",_xlfn.XLOOKUP(B813,STUDENTS!$B$3:$B$1048576,STUDENTS!$C$3:$C$1048576)),"Enter a registered reg. no")</f>
        <v/>
      </c>
      <c r="D813">
        <f>IFERROR(IF(B813="","",_xlfn.XLOOKUP(B813,STUDENTS!B812:B100809,STUDENTS!D812:D100809)),"update STUDENT sheet")</f>
        <v/>
      </c>
      <c r="E813">
        <f>IFERROR(IF(C813="","",_xlfn.XLOOKUP(C813,STUDENTS!C812:C100809,STUDENTS!F812:F100809)),"update STUDENT sheet")</f>
        <v/>
      </c>
      <c r="F813">
        <f>IFERROR(IF(D813="","",_xlfn.XLOOKUP(D813,STUDENTS!D812:D100809,STUDENTS!G812:G100809)),"update STUDENT sheet")</f>
        <v/>
      </c>
      <c r="G813">
        <f>IFERROR(IF(E813="","",_xlfn.XLOOKUP(E813,STUDENTS!F812:F100809,STUDENTS!H812:H100809)),"update STUDENT sheet")</f>
        <v/>
      </c>
    </row>
    <row r="814">
      <c r="B814">
        <f>IF(STUDENTS!B813="","",STUDENTS!B813)</f>
        <v/>
      </c>
      <c r="C814">
        <f>IFERROR(IF(B814="","",_xlfn.XLOOKUP(B814,STUDENTS!$B$3:$B$1048576,STUDENTS!$C$3:$C$1048576)),"Enter a registered reg. no")</f>
        <v/>
      </c>
      <c r="D814">
        <f>IFERROR(IF(B814="","",_xlfn.XLOOKUP(B814,STUDENTS!B813:B100810,STUDENTS!D813:D100810)),"update STUDENT sheet")</f>
        <v/>
      </c>
      <c r="E814">
        <f>IFERROR(IF(C814="","",_xlfn.XLOOKUP(C814,STUDENTS!C813:C100810,STUDENTS!F813:F100810)),"update STUDENT sheet")</f>
        <v/>
      </c>
      <c r="F814">
        <f>IFERROR(IF(D814="","",_xlfn.XLOOKUP(D814,STUDENTS!D813:D100810,STUDENTS!G813:G100810)),"update STUDENT sheet")</f>
        <v/>
      </c>
      <c r="G814">
        <f>IFERROR(IF(E814="","",_xlfn.XLOOKUP(E814,STUDENTS!F813:F100810,STUDENTS!H813:H100810)),"update STUDENT sheet")</f>
        <v/>
      </c>
    </row>
    <row r="815">
      <c r="B815">
        <f>IF(STUDENTS!B814="","",STUDENTS!B814)</f>
        <v/>
      </c>
      <c r="C815">
        <f>IFERROR(IF(B815="","",_xlfn.XLOOKUP(B815,STUDENTS!$B$3:$B$1048576,STUDENTS!$C$3:$C$1048576)),"Enter a registered reg. no")</f>
        <v/>
      </c>
      <c r="D815">
        <f>IFERROR(IF(B815="","",_xlfn.XLOOKUP(B815,STUDENTS!B814:B100811,STUDENTS!D814:D100811)),"update STUDENT sheet")</f>
        <v/>
      </c>
      <c r="E815">
        <f>IFERROR(IF(C815="","",_xlfn.XLOOKUP(C815,STUDENTS!C814:C100811,STUDENTS!F814:F100811)),"update STUDENT sheet")</f>
        <v/>
      </c>
      <c r="F815">
        <f>IFERROR(IF(D815="","",_xlfn.XLOOKUP(D815,STUDENTS!D814:D100811,STUDENTS!G814:G100811)),"update STUDENT sheet")</f>
        <v/>
      </c>
      <c r="G815">
        <f>IFERROR(IF(E815="","",_xlfn.XLOOKUP(E815,STUDENTS!F814:F100811,STUDENTS!H814:H100811)),"update STUDENT sheet")</f>
        <v/>
      </c>
    </row>
    <row r="816">
      <c r="B816">
        <f>IF(STUDENTS!B815="","",STUDENTS!B815)</f>
        <v/>
      </c>
      <c r="C816">
        <f>IFERROR(IF(B816="","",_xlfn.XLOOKUP(B816,STUDENTS!$B$3:$B$1048576,STUDENTS!$C$3:$C$1048576)),"Enter a registered reg. no")</f>
        <v/>
      </c>
      <c r="D816">
        <f>IFERROR(IF(B816="","",_xlfn.XLOOKUP(B816,STUDENTS!B815:B100812,STUDENTS!D815:D100812)),"update STUDENT sheet")</f>
        <v/>
      </c>
      <c r="E816">
        <f>IFERROR(IF(C816="","",_xlfn.XLOOKUP(C816,STUDENTS!C815:C100812,STUDENTS!F815:F100812)),"update STUDENT sheet")</f>
        <v/>
      </c>
      <c r="F816">
        <f>IFERROR(IF(D816="","",_xlfn.XLOOKUP(D816,STUDENTS!D815:D100812,STUDENTS!G815:G100812)),"update STUDENT sheet")</f>
        <v/>
      </c>
      <c r="G816">
        <f>IFERROR(IF(E816="","",_xlfn.XLOOKUP(E816,STUDENTS!F815:F100812,STUDENTS!H815:H100812)),"update STUDENT sheet")</f>
        <v/>
      </c>
    </row>
    <row r="817">
      <c r="B817">
        <f>IF(STUDENTS!B816="","",STUDENTS!B816)</f>
        <v/>
      </c>
      <c r="C817">
        <f>IFERROR(IF(B817="","",_xlfn.XLOOKUP(B817,STUDENTS!$B$3:$B$1048576,STUDENTS!$C$3:$C$1048576)),"Enter a registered reg. no")</f>
        <v/>
      </c>
      <c r="D817">
        <f>IFERROR(IF(B817="","",_xlfn.XLOOKUP(B817,STUDENTS!B816:B100813,STUDENTS!D816:D100813)),"update STUDENT sheet")</f>
        <v/>
      </c>
      <c r="E817">
        <f>IFERROR(IF(C817="","",_xlfn.XLOOKUP(C817,STUDENTS!C816:C100813,STUDENTS!F816:F100813)),"update STUDENT sheet")</f>
        <v/>
      </c>
      <c r="F817">
        <f>IFERROR(IF(D817="","",_xlfn.XLOOKUP(D817,STUDENTS!D816:D100813,STUDENTS!G816:G100813)),"update STUDENT sheet")</f>
        <v/>
      </c>
      <c r="G817">
        <f>IFERROR(IF(E817="","",_xlfn.XLOOKUP(E817,STUDENTS!F816:F100813,STUDENTS!H816:H100813)),"update STUDENT sheet")</f>
        <v/>
      </c>
    </row>
    <row r="818">
      <c r="B818">
        <f>IF(STUDENTS!B817="","",STUDENTS!B817)</f>
        <v/>
      </c>
      <c r="C818">
        <f>IFERROR(IF(B818="","",_xlfn.XLOOKUP(B818,STUDENTS!$B$3:$B$1048576,STUDENTS!$C$3:$C$1048576)),"Enter a registered reg. no")</f>
        <v/>
      </c>
      <c r="D818">
        <f>IFERROR(IF(B818="","",_xlfn.XLOOKUP(B818,STUDENTS!B817:B100814,STUDENTS!D817:D100814)),"update STUDENT sheet")</f>
        <v/>
      </c>
      <c r="E818">
        <f>IFERROR(IF(C818="","",_xlfn.XLOOKUP(C818,STUDENTS!C817:C100814,STUDENTS!F817:F100814)),"update STUDENT sheet")</f>
        <v/>
      </c>
      <c r="F818">
        <f>IFERROR(IF(D818="","",_xlfn.XLOOKUP(D818,STUDENTS!D817:D100814,STUDENTS!G817:G100814)),"update STUDENT sheet")</f>
        <v/>
      </c>
      <c r="G818">
        <f>IFERROR(IF(E818="","",_xlfn.XLOOKUP(E818,STUDENTS!F817:F100814,STUDENTS!H817:H100814)),"update STUDENT sheet")</f>
        <v/>
      </c>
    </row>
    <row r="819">
      <c r="B819">
        <f>IF(STUDENTS!B818="","",STUDENTS!B818)</f>
        <v/>
      </c>
      <c r="C819">
        <f>IFERROR(IF(B819="","",_xlfn.XLOOKUP(B819,STUDENTS!$B$3:$B$1048576,STUDENTS!$C$3:$C$1048576)),"Enter a registered reg. no")</f>
        <v/>
      </c>
      <c r="D819">
        <f>IFERROR(IF(B819="","",_xlfn.XLOOKUP(B819,STUDENTS!B818:B100815,STUDENTS!D818:D100815)),"update STUDENT sheet")</f>
        <v/>
      </c>
      <c r="E819">
        <f>IFERROR(IF(C819="","",_xlfn.XLOOKUP(C819,STUDENTS!C818:C100815,STUDENTS!F818:F100815)),"update STUDENT sheet")</f>
        <v/>
      </c>
      <c r="F819">
        <f>IFERROR(IF(D819="","",_xlfn.XLOOKUP(D819,STUDENTS!D818:D100815,STUDENTS!G818:G100815)),"update STUDENT sheet")</f>
        <v/>
      </c>
      <c r="G819">
        <f>IFERROR(IF(E819="","",_xlfn.XLOOKUP(E819,STUDENTS!F818:F100815,STUDENTS!H818:H100815)),"update STUDENT sheet")</f>
        <v/>
      </c>
    </row>
    <row r="820">
      <c r="B820">
        <f>IF(STUDENTS!B819="","",STUDENTS!B819)</f>
        <v/>
      </c>
      <c r="C820">
        <f>IFERROR(IF(B820="","",_xlfn.XLOOKUP(B820,STUDENTS!$B$3:$B$1048576,STUDENTS!$C$3:$C$1048576)),"Enter a registered reg. no")</f>
        <v/>
      </c>
      <c r="D820">
        <f>IFERROR(IF(B820="","",_xlfn.XLOOKUP(B820,STUDENTS!B819:B100816,STUDENTS!D819:D100816)),"update STUDENT sheet")</f>
        <v/>
      </c>
      <c r="E820">
        <f>IFERROR(IF(C820="","",_xlfn.XLOOKUP(C820,STUDENTS!C819:C100816,STUDENTS!F819:F100816)),"update STUDENT sheet")</f>
        <v/>
      </c>
      <c r="F820">
        <f>IFERROR(IF(D820="","",_xlfn.XLOOKUP(D820,STUDENTS!D819:D100816,STUDENTS!G819:G100816)),"update STUDENT sheet")</f>
        <v/>
      </c>
      <c r="G820">
        <f>IFERROR(IF(E820="","",_xlfn.XLOOKUP(E820,STUDENTS!F819:F100816,STUDENTS!H819:H100816)),"update STUDENT sheet")</f>
        <v/>
      </c>
    </row>
    <row r="821">
      <c r="B821">
        <f>IF(STUDENTS!B820="","",STUDENTS!B820)</f>
        <v/>
      </c>
      <c r="C821">
        <f>IFERROR(IF(B821="","",_xlfn.XLOOKUP(B821,STUDENTS!$B$3:$B$1048576,STUDENTS!$C$3:$C$1048576)),"Enter a registered reg. no")</f>
        <v/>
      </c>
      <c r="D821">
        <f>IFERROR(IF(B821="","",_xlfn.XLOOKUP(B821,STUDENTS!B820:B100817,STUDENTS!D820:D100817)),"update STUDENT sheet")</f>
        <v/>
      </c>
      <c r="E821">
        <f>IFERROR(IF(C821="","",_xlfn.XLOOKUP(C821,STUDENTS!C820:C100817,STUDENTS!F820:F100817)),"update STUDENT sheet")</f>
        <v/>
      </c>
      <c r="F821">
        <f>IFERROR(IF(D821="","",_xlfn.XLOOKUP(D821,STUDENTS!D820:D100817,STUDENTS!G820:G100817)),"update STUDENT sheet")</f>
        <v/>
      </c>
      <c r="G821">
        <f>IFERROR(IF(E821="","",_xlfn.XLOOKUP(E821,STUDENTS!F820:F100817,STUDENTS!H820:H100817)),"update STUDENT sheet")</f>
        <v/>
      </c>
    </row>
    <row r="822">
      <c r="B822">
        <f>IF(STUDENTS!B821="","",STUDENTS!B821)</f>
        <v/>
      </c>
      <c r="C822">
        <f>IFERROR(IF(B822="","",_xlfn.XLOOKUP(B822,STUDENTS!$B$3:$B$1048576,STUDENTS!$C$3:$C$1048576)),"Enter a registered reg. no")</f>
        <v/>
      </c>
      <c r="D822">
        <f>IFERROR(IF(B822="","",_xlfn.XLOOKUP(B822,STUDENTS!B821:B100818,STUDENTS!D821:D100818)),"update STUDENT sheet")</f>
        <v/>
      </c>
      <c r="E822">
        <f>IFERROR(IF(C822="","",_xlfn.XLOOKUP(C822,STUDENTS!C821:C100818,STUDENTS!F821:F100818)),"update STUDENT sheet")</f>
        <v/>
      </c>
      <c r="F822">
        <f>IFERROR(IF(D822="","",_xlfn.XLOOKUP(D822,STUDENTS!D821:D100818,STUDENTS!G821:G100818)),"update STUDENT sheet")</f>
        <v/>
      </c>
      <c r="G822">
        <f>IFERROR(IF(E822="","",_xlfn.XLOOKUP(E822,STUDENTS!F821:F100818,STUDENTS!H821:H100818)),"update STUDENT sheet")</f>
        <v/>
      </c>
    </row>
    <row r="823">
      <c r="B823">
        <f>IF(STUDENTS!B822="","",STUDENTS!B822)</f>
        <v/>
      </c>
      <c r="C823">
        <f>IFERROR(IF(B823="","",_xlfn.XLOOKUP(B823,STUDENTS!$B$3:$B$1048576,STUDENTS!$C$3:$C$1048576)),"Enter a registered reg. no")</f>
        <v/>
      </c>
      <c r="D823">
        <f>IFERROR(IF(B823="","",_xlfn.XLOOKUP(B823,STUDENTS!B822:B100819,STUDENTS!D822:D100819)),"update STUDENT sheet")</f>
        <v/>
      </c>
      <c r="E823">
        <f>IFERROR(IF(C823="","",_xlfn.XLOOKUP(C823,STUDENTS!C822:C100819,STUDENTS!F822:F100819)),"update STUDENT sheet")</f>
        <v/>
      </c>
      <c r="F823">
        <f>IFERROR(IF(D823="","",_xlfn.XLOOKUP(D823,STUDENTS!D822:D100819,STUDENTS!G822:G100819)),"update STUDENT sheet")</f>
        <v/>
      </c>
      <c r="G823">
        <f>IFERROR(IF(E823="","",_xlfn.XLOOKUP(E823,STUDENTS!F822:F100819,STUDENTS!H822:H100819)),"update STUDENT sheet")</f>
        <v/>
      </c>
    </row>
    <row r="824">
      <c r="B824">
        <f>IF(STUDENTS!B823="","",STUDENTS!B823)</f>
        <v/>
      </c>
      <c r="C824">
        <f>IFERROR(IF(B824="","",_xlfn.XLOOKUP(B824,STUDENTS!$B$3:$B$1048576,STUDENTS!$C$3:$C$1048576)),"Enter a registered reg. no")</f>
        <v/>
      </c>
      <c r="D824">
        <f>IFERROR(IF(B824="","",_xlfn.XLOOKUP(B824,STUDENTS!B823:B100820,STUDENTS!D823:D100820)),"update STUDENT sheet")</f>
        <v/>
      </c>
      <c r="E824">
        <f>IFERROR(IF(C824="","",_xlfn.XLOOKUP(C824,STUDENTS!C823:C100820,STUDENTS!F823:F100820)),"update STUDENT sheet")</f>
        <v/>
      </c>
      <c r="F824">
        <f>IFERROR(IF(D824="","",_xlfn.XLOOKUP(D824,STUDENTS!D823:D100820,STUDENTS!G823:G100820)),"update STUDENT sheet")</f>
        <v/>
      </c>
      <c r="G824">
        <f>IFERROR(IF(E824="","",_xlfn.XLOOKUP(E824,STUDENTS!F823:F100820,STUDENTS!H823:H100820)),"update STUDENT sheet")</f>
        <v/>
      </c>
    </row>
    <row r="825">
      <c r="B825">
        <f>IF(STUDENTS!B824="","",STUDENTS!B824)</f>
        <v/>
      </c>
      <c r="C825">
        <f>IFERROR(IF(B825="","",_xlfn.XLOOKUP(B825,STUDENTS!$B$3:$B$1048576,STUDENTS!$C$3:$C$1048576)),"Enter a registered reg. no")</f>
        <v/>
      </c>
      <c r="D825">
        <f>IFERROR(IF(B825="","",_xlfn.XLOOKUP(B825,STUDENTS!B824:B100821,STUDENTS!D824:D100821)),"update STUDENT sheet")</f>
        <v/>
      </c>
      <c r="E825">
        <f>IFERROR(IF(C825="","",_xlfn.XLOOKUP(C825,STUDENTS!C824:C100821,STUDENTS!F824:F100821)),"update STUDENT sheet")</f>
        <v/>
      </c>
      <c r="F825">
        <f>IFERROR(IF(D825="","",_xlfn.XLOOKUP(D825,STUDENTS!D824:D100821,STUDENTS!G824:G100821)),"update STUDENT sheet")</f>
        <v/>
      </c>
      <c r="G825">
        <f>IFERROR(IF(E825="","",_xlfn.XLOOKUP(E825,STUDENTS!F824:F100821,STUDENTS!H824:H100821)),"update STUDENT sheet")</f>
        <v/>
      </c>
    </row>
    <row r="826">
      <c r="B826">
        <f>IF(STUDENTS!B825="","",STUDENTS!B825)</f>
        <v/>
      </c>
      <c r="C826">
        <f>IFERROR(IF(B826="","",_xlfn.XLOOKUP(B826,STUDENTS!$B$3:$B$1048576,STUDENTS!$C$3:$C$1048576)),"Enter a registered reg. no")</f>
        <v/>
      </c>
      <c r="D826">
        <f>IFERROR(IF(B826="","",_xlfn.XLOOKUP(B826,STUDENTS!B825:B100822,STUDENTS!D825:D100822)),"update STUDENT sheet")</f>
        <v/>
      </c>
      <c r="E826">
        <f>IFERROR(IF(C826="","",_xlfn.XLOOKUP(C826,STUDENTS!C825:C100822,STUDENTS!F825:F100822)),"update STUDENT sheet")</f>
        <v/>
      </c>
      <c r="F826">
        <f>IFERROR(IF(D826="","",_xlfn.XLOOKUP(D826,STUDENTS!D825:D100822,STUDENTS!G825:G100822)),"update STUDENT sheet")</f>
        <v/>
      </c>
      <c r="G826">
        <f>IFERROR(IF(E826="","",_xlfn.XLOOKUP(E826,STUDENTS!F825:F100822,STUDENTS!H825:H100822)),"update STUDENT sheet")</f>
        <v/>
      </c>
    </row>
    <row r="827">
      <c r="B827">
        <f>IF(STUDENTS!B826="","",STUDENTS!B826)</f>
        <v/>
      </c>
      <c r="C827">
        <f>IFERROR(IF(B827="","",_xlfn.XLOOKUP(B827,STUDENTS!$B$3:$B$1048576,STUDENTS!$C$3:$C$1048576)),"Enter a registered reg. no")</f>
        <v/>
      </c>
      <c r="D827">
        <f>IFERROR(IF(B827="","",_xlfn.XLOOKUP(B827,STUDENTS!B826:B100823,STUDENTS!D826:D100823)),"update STUDENT sheet")</f>
        <v/>
      </c>
      <c r="E827">
        <f>IFERROR(IF(C827="","",_xlfn.XLOOKUP(C827,STUDENTS!C826:C100823,STUDENTS!F826:F100823)),"update STUDENT sheet")</f>
        <v/>
      </c>
      <c r="F827">
        <f>IFERROR(IF(D827="","",_xlfn.XLOOKUP(D827,STUDENTS!D826:D100823,STUDENTS!G826:G100823)),"update STUDENT sheet")</f>
        <v/>
      </c>
      <c r="G827">
        <f>IFERROR(IF(E827="","",_xlfn.XLOOKUP(E827,STUDENTS!F826:F100823,STUDENTS!H826:H100823)),"update STUDENT sheet")</f>
        <v/>
      </c>
    </row>
    <row r="828">
      <c r="B828">
        <f>IF(STUDENTS!B827="","",STUDENTS!B827)</f>
        <v/>
      </c>
      <c r="C828">
        <f>IFERROR(IF(B828="","",_xlfn.XLOOKUP(B828,STUDENTS!$B$3:$B$1048576,STUDENTS!$C$3:$C$1048576)),"Enter a registered reg. no")</f>
        <v/>
      </c>
      <c r="D828">
        <f>IFERROR(IF(B828="","",_xlfn.XLOOKUP(B828,STUDENTS!B827:B100824,STUDENTS!D827:D100824)),"update STUDENT sheet")</f>
        <v/>
      </c>
      <c r="E828">
        <f>IFERROR(IF(C828="","",_xlfn.XLOOKUP(C828,STUDENTS!C827:C100824,STUDENTS!F827:F100824)),"update STUDENT sheet")</f>
        <v/>
      </c>
      <c r="F828">
        <f>IFERROR(IF(D828="","",_xlfn.XLOOKUP(D828,STUDENTS!D827:D100824,STUDENTS!G827:G100824)),"update STUDENT sheet")</f>
        <v/>
      </c>
      <c r="G828">
        <f>IFERROR(IF(E828="","",_xlfn.XLOOKUP(E828,STUDENTS!F827:F100824,STUDENTS!H827:H100824)),"update STUDENT sheet")</f>
        <v/>
      </c>
    </row>
    <row r="829">
      <c r="B829">
        <f>IF(STUDENTS!B828="","",STUDENTS!B828)</f>
        <v/>
      </c>
      <c r="C829">
        <f>IFERROR(IF(B829="","",_xlfn.XLOOKUP(B829,STUDENTS!$B$3:$B$1048576,STUDENTS!$C$3:$C$1048576)),"Enter a registered reg. no")</f>
        <v/>
      </c>
      <c r="D829">
        <f>IFERROR(IF(B829="","",_xlfn.XLOOKUP(B829,STUDENTS!B828:B100825,STUDENTS!D828:D100825)),"update STUDENT sheet")</f>
        <v/>
      </c>
      <c r="E829">
        <f>IFERROR(IF(C829="","",_xlfn.XLOOKUP(C829,STUDENTS!C828:C100825,STUDENTS!F828:F100825)),"update STUDENT sheet")</f>
        <v/>
      </c>
      <c r="F829">
        <f>IFERROR(IF(D829="","",_xlfn.XLOOKUP(D829,STUDENTS!D828:D100825,STUDENTS!G828:G100825)),"update STUDENT sheet")</f>
        <v/>
      </c>
      <c r="G829">
        <f>IFERROR(IF(E829="","",_xlfn.XLOOKUP(E829,STUDENTS!F828:F100825,STUDENTS!H828:H100825)),"update STUDENT sheet")</f>
        <v/>
      </c>
    </row>
    <row r="830">
      <c r="B830">
        <f>IF(STUDENTS!B829="","",STUDENTS!B829)</f>
        <v/>
      </c>
      <c r="C830">
        <f>IFERROR(IF(B830="","",_xlfn.XLOOKUP(B830,STUDENTS!$B$3:$B$1048576,STUDENTS!$C$3:$C$1048576)),"Enter a registered reg. no")</f>
        <v/>
      </c>
      <c r="D830">
        <f>IFERROR(IF(B830="","",_xlfn.XLOOKUP(B830,STUDENTS!B829:B100826,STUDENTS!D829:D100826)),"update STUDENT sheet")</f>
        <v/>
      </c>
      <c r="E830">
        <f>IFERROR(IF(C830="","",_xlfn.XLOOKUP(C830,STUDENTS!C829:C100826,STUDENTS!F829:F100826)),"update STUDENT sheet")</f>
        <v/>
      </c>
      <c r="F830">
        <f>IFERROR(IF(D830="","",_xlfn.XLOOKUP(D830,STUDENTS!D829:D100826,STUDENTS!G829:G100826)),"update STUDENT sheet")</f>
        <v/>
      </c>
      <c r="G830">
        <f>IFERROR(IF(E830="","",_xlfn.XLOOKUP(E830,STUDENTS!F829:F100826,STUDENTS!H829:H100826)),"update STUDENT sheet")</f>
        <v/>
      </c>
    </row>
    <row r="831">
      <c r="B831">
        <f>IF(STUDENTS!B830="","",STUDENTS!B830)</f>
        <v/>
      </c>
      <c r="C831">
        <f>IFERROR(IF(B831="","",_xlfn.XLOOKUP(B831,STUDENTS!$B$3:$B$1048576,STUDENTS!$C$3:$C$1048576)),"Enter a registered reg. no")</f>
        <v/>
      </c>
      <c r="D831">
        <f>IFERROR(IF(B831="","",_xlfn.XLOOKUP(B831,STUDENTS!B830:B100827,STUDENTS!D830:D100827)),"update STUDENT sheet")</f>
        <v/>
      </c>
      <c r="E831">
        <f>IFERROR(IF(C831="","",_xlfn.XLOOKUP(C831,STUDENTS!C830:C100827,STUDENTS!F830:F100827)),"update STUDENT sheet")</f>
        <v/>
      </c>
      <c r="F831">
        <f>IFERROR(IF(D831="","",_xlfn.XLOOKUP(D831,STUDENTS!D830:D100827,STUDENTS!G830:G100827)),"update STUDENT sheet")</f>
        <v/>
      </c>
      <c r="G831">
        <f>IFERROR(IF(E831="","",_xlfn.XLOOKUP(E831,STUDENTS!F830:F100827,STUDENTS!H830:H100827)),"update STUDENT sheet")</f>
        <v/>
      </c>
    </row>
    <row r="832">
      <c r="B832">
        <f>IF(STUDENTS!B831="","",STUDENTS!B831)</f>
        <v/>
      </c>
      <c r="C832">
        <f>IFERROR(IF(B832="","",_xlfn.XLOOKUP(B832,STUDENTS!$B$3:$B$1048576,STUDENTS!$C$3:$C$1048576)),"Enter a registered reg. no")</f>
        <v/>
      </c>
      <c r="D832">
        <f>IFERROR(IF(B832="","",_xlfn.XLOOKUP(B832,STUDENTS!B831:B100828,STUDENTS!D831:D100828)),"update STUDENT sheet")</f>
        <v/>
      </c>
      <c r="E832">
        <f>IFERROR(IF(C832="","",_xlfn.XLOOKUP(C832,STUDENTS!C831:C100828,STUDENTS!F831:F100828)),"update STUDENT sheet")</f>
        <v/>
      </c>
      <c r="F832">
        <f>IFERROR(IF(D832="","",_xlfn.XLOOKUP(D832,STUDENTS!D831:D100828,STUDENTS!G831:G100828)),"update STUDENT sheet")</f>
        <v/>
      </c>
      <c r="G832">
        <f>IFERROR(IF(E832="","",_xlfn.XLOOKUP(E832,STUDENTS!F831:F100828,STUDENTS!H831:H100828)),"update STUDENT sheet")</f>
        <v/>
      </c>
    </row>
    <row r="833">
      <c r="B833">
        <f>IF(STUDENTS!B832="","",STUDENTS!B832)</f>
        <v/>
      </c>
      <c r="C833">
        <f>IFERROR(IF(B833="","",_xlfn.XLOOKUP(B833,STUDENTS!$B$3:$B$1048576,STUDENTS!$C$3:$C$1048576)),"Enter a registered reg. no")</f>
        <v/>
      </c>
      <c r="D833">
        <f>IFERROR(IF(B833="","",_xlfn.XLOOKUP(B833,STUDENTS!B832:B100829,STUDENTS!D832:D100829)),"update STUDENT sheet")</f>
        <v/>
      </c>
      <c r="E833">
        <f>IFERROR(IF(C833="","",_xlfn.XLOOKUP(C833,STUDENTS!C832:C100829,STUDENTS!F832:F100829)),"update STUDENT sheet")</f>
        <v/>
      </c>
      <c r="F833">
        <f>IFERROR(IF(D833="","",_xlfn.XLOOKUP(D833,STUDENTS!D832:D100829,STUDENTS!G832:G100829)),"update STUDENT sheet")</f>
        <v/>
      </c>
      <c r="G833">
        <f>IFERROR(IF(E833="","",_xlfn.XLOOKUP(E833,STUDENTS!F832:F100829,STUDENTS!H832:H100829)),"update STUDENT sheet")</f>
        <v/>
      </c>
    </row>
    <row r="834">
      <c r="B834">
        <f>IF(STUDENTS!B833="","",STUDENTS!B833)</f>
        <v/>
      </c>
      <c r="C834">
        <f>IFERROR(IF(B834="","",_xlfn.XLOOKUP(B834,STUDENTS!$B$3:$B$1048576,STUDENTS!$C$3:$C$1048576)),"Enter a registered reg. no")</f>
        <v/>
      </c>
      <c r="D834">
        <f>IFERROR(IF(B834="","",_xlfn.XLOOKUP(B834,STUDENTS!B833:B100830,STUDENTS!D833:D100830)),"update STUDENT sheet")</f>
        <v/>
      </c>
      <c r="E834">
        <f>IFERROR(IF(C834="","",_xlfn.XLOOKUP(C834,STUDENTS!C833:C100830,STUDENTS!F833:F100830)),"update STUDENT sheet")</f>
        <v/>
      </c>
      <c r="F834">
        <f>IFERROR(IF(D834="","",_xlfn.XLOOKUP(D834,STUDENTS!D833:D100830,STUDENTS!G833:G100830)),"update STUDENT sheet")</f>
        <v/>
      </c>
      <c r="G834">
        <f>IFERROR(IF(E834="","",_xlfn.XLOOKUP(E834,STUDENTS!F833:F100830,STUDENTS!H833:H100830)),"update STUDENT sheet")</f>
        <v/>
      </c>
    </row>
    <row r="835">
      <c r="B835">
        <f>IF(STUDENTS!B834="","",STUDENTS!B834)</f>
        <v/>
      </c>
      <c r="C835">
        <f>IFERROR(IF(B835="","",_xlfn.XLOOKUP(B835,STUDENTS!$B$3:$B$1048576,STUDENTS!$C$3:$C$1048576)),"Enter a registered reg. no")</f>
        <v/>
      </c>
      <c r="D835">
        <f>IFERROR(IF(B835="","",_xlfn.XLOOKUP(B835,STUDENTS!B834:B100831,STUDENTS!D834:D100831)),"update STUDENT sheet")</f>
        <v/>
      </c>
      <c r="E835">
        <f>IFERROR(IF(C835="","",_xlfn.XLOOKUP(C835,STUDENTS!C834:C100831,STUDENTS!F834:F100831)),"update STUDENT sheet")</f>
        <v/>
      </c>
      <c r="F835">
        <f>IFERROR(IF(D835="","",_xlfn.XLOOKUP(D835,STUDENTS!D834:D100831,STUDENTS!G834:G100831)),"update STUDENT sheet")</f>
        <v/>
      </c>
      <c r="G835">
        <f>IFERROR(IF(E835="","",_xlfn.XLOOKUP(E835,STUDENTS!F834:F100831,STUDENTS!H834:H100831)),"update STUDENT sheet")</f>
        <v/>
      </c>
    </row>
    <row r="836">
      <c r="B836">
        <f>IF(STUDENTS!B835="","",STUDENTS!B835)</f>
        <v/>
      </c>
      <c r="C836">
        <f>IFERROR(IF(B836="","",_xlfn.XLOOKUP(B836,STUDENTS!$B$3:$B$1048576,STUDENTS!$C$3:$C$1048576)),"Enter a registered reg. no")</f>
        <v/>
      </c>
      <c r="D836">
        <f>IFERROR(IF(B836="","",_xlfn.XLOOKUP(B836,STUDENTS!B835:B100832,STUDENTS!D835:D100832)),"update STUDENT sheet")</f>
        <v/>
      </c>
      <c r="E836">
        <f>IFERROR(IF(C836="","",_xlfn.XLOOKUP(C836,STUDENTS!C835:C100832,STUDENTS!F835:F100832)),"update STUDENT sheet")</f>
        <v/>
      </c>
      <c r="F836">
        <f>IFERROR(IF(D836="","",_xlfn.XLOOKUP(D836,STUDENTS!D835:D100832,STUDENTS!G835:G100832)),"update STUDENT sheet")</f>
        <v/>
      </c>
      <c r="G836">
        <f>IFERROR(IF(E836="","",_xlfn.XLOOKUP(E836,STUDENTS!F835:F100832,STUDENTS!H835:H100832)),"update STUDENT sheet")</f>
        <v/>
      </c>
    </row>
    <row r="837">
      <c r="B837">
        <f>IF(STUDENTS!B836="","",STUDENTS!B836)</f>
        <v/>
      </c>
      <c r="C837">
        <f>IFERROR(IF(B837="","",_xlfn.XLOOKUP(B837,STUDENTS!$B$3:$B$1048576,STUDENTS!$C$3:$C$1048576)),"Enter a registered reg. no")</f>
        <v/>
      </c>
      <c r="D837">
        <f>IFERROR(IF(B837="","",_xlfn.XLOOKUP(B837,STUDENTS!B836:B100833,STUDENTS!D836:D100833)),"update STUDENT sheet")</f>
        <v/>
      </c>
      <c r="E837">
        <f>IFERROR(IF(C837="","",_xlfn.XLOOKUP(C837,STUDENTS!C836:C100833,STUDENTS!F836:F100833)),"update STUDENT sheet")</f>
        <v/>
      </c>
      <c r="F837">
        <f>IFERROR(IF(D837="","",_xlfn.XLOOKUP(D837,STUDENTS!D836:D100833,STUDENTS!G836:G100833)),"update STUDENT sheet")</f>
        <v/>
      </c>
      <c r="G837">
        <f>IFERROR(IF(E837="","",_xlfn.XLOOKUP(E837,STUDENTS!F836:F100833,STUDENTS!H836:H100833)),"update STUDENT sheet")</f>
        <v/>
      </c>
    </row>
    <row r="838">
      <c r="B838">
        <f>IF(STUDENTS!B837="","",STUDENTS!B837)</f>
        <v/>
      </c>
      <c r="C838">
        <f>IFERROR(IF(B838="","",_xlfn.XLOOKUP(B838,STUDENTS!$B$3:$B$1048576,STUDENTS!$C$3:$C$1048576)),"Enter a registered reg. no")</f>
        <v/>
      </c>
      <c r="D838">
        <f>IFERROR(IF(B838="","",_xlfn.XLOOKUP(B838,STUDENTS!B837:B100834,STUDENTS!D837:D100834)),"update STUDENT sheet")</f>
        <v/>
      </c>
      <c r="E838">
        <f>IFERROR(IF(C838="","",_xlfn.XLOOKUP(C838,STUDENTS!C837:C100834,STUDENTS!F837:F100834)),"update STUDENT sheet")</f>
        <v/>
      </c>
      <c r="F838">
        <f>IFERROR(IF(D838="","",_xlfn.XLOOKUP(D838,STUDENTS!D837:D100834,STUDENTS!G837:G100834)),"update STUDENT sheet")</f>
        <v/>
      </c>
      <c r="G838">
        <f>IFERROR(IF(E838="","",_xlfn.XLOOKUP(E838,STUDENTS!F837:F100834,STUDENTS!H837:H100834)),"update STUDENT sheet")</f>
        <v/>
      </c>
    </row>
    <row r="839">
      <c r="B839">
        <f>IF(STUDENTS!B838="","",STUDENTS!B838)</f>
        <v/>
      </c>
      <c r="C839">
        <f>IFERROR(IF(B839="","",_xlfn.XLOOKUP(B839,STUDENTS!$B$3:$B$1048576,STUDENTS!$C$3:$C$1048576)),"Enter a registered reg. no")</f>
        <v/>
      </c>
      <c r="D839">
        <f>IFERROR(IF(B839="","",_xlfn.XLOOKUP(B839,STUDENTS!B838:B100835,STUDENTS!D838:D100835)),"update STUDENT sheet")</f>
        <v/>
      </c>
      <c r="E839">
        <f>IFERROR(IF(C839="","",_xlfn.XLOOKUP(C839,STUDENTS!C838:C100835,STUDENTS!F838:F100835)),"update STUDENT sheet")</f>
        <v/>
      </c>
      <c r="F839">
        <f>IFERROR(IF(D839="","",_xlfn.XLOOKUP(D839,STUDENTS!D838:D100835,STUDENTS!G838:G100835)),"update STUDENT sheet")</f>
        <v/>
      </c>
      <c r="G839">
        <f>IFERROR(IF(E839="","",_xlfn.XLOOKUP(E839,STUDENTS!F838:F100835,STUDENTS!H838:H100835)),"update STUDENT sheet")</f>
        <v/>
      </c>
    </row>
    <row r="840">
      <c r="B840">
        <f>IF(STUDENTS!B839="","",STUDENTS!B839)</f>
        <v/>
      </c>
      <c r="C840">
        <f>IFERROR(IF(B840="","",_xlfn.XLOOKUP(B840,STUDENTS!$B$3:$B$1048576,STUDENTS!$C$3:$C$1048576)),"Enter a registered reg. no")</f>
        <v/>
      </c>
      <c r="D840">
        <f>IFERROR(IF(B840="","",_xlfn.XLOOKUP(B840,STUDENTS!B839:B100836,STUDENTS!D839:D100836)),"update STUDENT sheet")</f>
        <v/>
      </c>
      <c r="E840">
        <f>IFERROR(IF(C840="","",_xlfn.XLOOKUP(C840,STUDENTS!C839:C100836,STUDENTS!F839:F100836)),"update STUDENT sheet")</f>
        <v/>
      </c>
      <c r="F840">
        <f>IFERROR(IF(D840="","",_xlfn.XLOOKUP(D840,STUDENTS!D839:D100836,STUDENTS!G839:G100836)),"update STUDENT sheet")</f>
        <v/>
      </c>
      <c r="G840">
        <f>IFERROR(IF(E840="","",_xlfn.XLOOKUP(E840,STUDENTS!F839:F100836,STUDENTS!H839:H100836)),"update STUDENT sheet")</f>
        <v/>
      </c>
    </row>
    <row r="841">
      <c r="B841">
        <f>IF(STUDENTS!B840="","",STUDENTS!B840)</f>
        <v/>
      </c>
      <c r="C841">
        <f>IFERROR(IF(B841="","",_xlfn.XLOOKUP(B841,STUDENTS!$B$3:$B$1048576,STUDENTS!$C$3:$C$1048576)),"Enter a registered reg. no")</f>
        <v/>
      </c>
      <c r="D841">
        <f>IFERROR(IF(B841="","",_xlfn.XLOOKUP(B841,STUDENTS!B840:B100837,STUDENTS!D840:D100837)),"update STUDENT sheet")</f>
        <v/>
      </c>
      <c r="E841">
        <f>IFERROR(IF(C841="","",_xlfn.XLOOKUP(C841,STUDENTS!C840:C100837,STUDENTS!F840:F100837)),"update STUDENT sheet")</f>
        <v/>
      </c>
      <c r="F841">
        <f>IFERROR(IF(D841="","",_xlfn.XLOOKUP(D841,STUDENTS!D840:D100837,STUDENTS!G840:G100837)),"update STUDENT sheet")</f>
        <v/>
      </c>
      <c r="G841">
        <f>IFERROR(IF(E841="","",_xlfn.XLOOKUP(E841,STUDENTS!F840:F100837,STUDENTS!H840:H100837)),"update STUDENT sheet")</f>
        <v/>
      </c>
    </row>
    <row r="842">
      <c r="B842">
        <f>IF(STUDENTS!B841="","",STUDENTS!B841)</f>
        <v/>
      </c>
      <c r="C842">
        <f>IFERROR(IF(B842="","",_xlfn.XLOOKUP(B842,STUDENTS!$B$3:$B$1048576,STUDENTS!$C$3:$C$1048576)),"Enter a registered reg. no")</f>
        <v/>
      </c>
      <c r="D842">
        <f>IFERROR(IF(B842="","",_xlfn.XLOOKUP(B842,STUDENTS!B841:B100838,STUDENTS!D841:D100838)),"update STUDENT sheet")</f>
        <v/>
      </c>
      <c r="E842">
        <f>IFERROR(IF(C842="","",_xlfn.XLOOKUP(C842,STUDENTS!C841:C100838,STUDENTS!F841:F100838)),"update STUDENT sheet")</f>
        <v/>
      </c>
      <c r="F842">
        <f>IFERROR(IF(D842="","",_xlfn.XLOOKUP(D842,STUDENTS!D841:D100838,STUDENTS!G841:G100838)),"update STUDENT sheet")</f>
        <v/>
      </c>
      <c r="G842">
        <f>IFERROR(IF(E842="","",_xlfn.XLOOKUP(E842,STUDENTS!F841:F100838,STUDENTS!H841:H100838)),"update STUDENT sheet")</f>
        <v/>
      </c>
    </row>
    <row r="843">
      <c r="B843">
        <f>IF(STUDENTS!B842="","",STUDENTS!B842)</f>
        <v/>
      </c>
      <c r="C843">
        <f>IFERROR(IF(B843="","",_xlfn.XLOOKUP(B843,STUDENTS!$B$3:$B$1048576,STUDENTS!$C$3:$C$1048576)),"Enter a registered reg. no")</f>
        <v/>
      </c>
      <c r="D843">
        <f>IFERROR(IF(B843="","",_xlfn.XLOOKUP(B843,STUDENTS!B842:B100839,STUDENTS!D842:D100839)),"update STUDENT sheet")</f>
        <v/>
      </c>
      <c r="E843">
        <f>IFERROR(IF(C843="","",_xlfn.XLOOKUP(C843,STUDENTS!C842:C100839,STUDENTS!F842:F100839)),"update STUDENT sheet")</f>
        <v/>
      </c>
      <c r="F843">
        <f>IFERROR(IF(D843="","",_xlfn.XLOOKUP(D843,STUDENTS!D842:D100839,STUDENTS!G842:G100839)),"update STUDENT sheet")</f>
        <v/>
      </c>
      <c r="G843">
        <f>IFERROR(IF(E843="","",_xlfn.XLOOKUP(E843,STUDENTS!F842:F100839,STUDENTS!H842:H100839)),"update STUDENT sheet")</f>
        <v/>
      </c>
    </row>
    <row r="844">
      <c r="B844">
        <f>IF(STUDENTS!B843="","",STUDENTS!B843)</f>
        <v/>
      </c>
      <c r="C844">
        <f>IFERROR(IF(B844="","",_xlfn.XLOOKUP(B844,STUDENTS!$B$3:$B$1048576,STUDENTS!$C$3:$C$1048576)),"Enter a registered reg. no")</f>
        <v/>
      </c>
      <c r="D844">
        <f>IFERROR(IF(B844="","",_xlfn.XLOOKUP(B844,STUDENTS!B843:B100840,STUDENTS!D843:D100840)),"update STUDENT sheet")</f>
        <v/>
      </c>
      <c r="E844">
        <f>IFERROR(IF(C844="","",_xlfn.XLOOKUP(C844,STUDENTS!C843:C100840,STUDENTS!F843:F100840)),"update STUDENT sheet")</f>
        <v/>
      </c>
      <c r="F844">
        <f>IFERROR(IF(D844="","",_xlfn.XLOOKUP(D844,STUDENTS!D843:D100840,STUDENTS!G843:G100840)),"update STUDENT sheet")</f>
        <v/>
      </c>
      <c r="G844">
        <f>IFERROR(IF(E844="","",_xlfn.XLOOKUP(E844,STUDENTS!F843:F100840,STUDENTS!H843:H100840)),"update STUDENT sheet")</f>
        <v/>
      </c>
    </row>
    <row r="845">
      <c r="B845">
        <f>IF(STUDENTS!B844="","",STUDENTS!B844)</f>
        <v/>
      </c>
      <c r="C845">
        <f>IFERROR(IF(B845="","",_xlfn.XLOOKUP(B845,STUDENTS!$B$3:$B$1048576,STUDENTS!$C$3:$C$1048576)),"Enter a registered reg. no")</f>
        <v/>
      </c>
      <c r="D845">
        <f>IFERROR(IF(B845="","",_xlfn.XLOOKUP(B845,STUDENTS!B844:B100841,STUDENTS!D844:D100841)),"update STUDENT sheet")</f>
        <v/>
      </c>
      <c r="E845">
        <f>IFERROR(IF(C845="","",_xlfn.XLOOKUP(C845,STUDENTS!C844:C100841,STUDENTS!F844:F100841)),"update STUDENT sheet")</f>
        <v/>
      </c>
      <c r="F845">
        <f>IFERROR(IF(D845="","",_xlfn.XLOOKUP(D845,STUDENTS!D844:D100841,STUDENTS!G844:G100841)),"update STUDENT sheet")</f>
        <v/>
      </c>
      <c r="G845">
        <f>IFERROR(IF(E845="","",_xlfn.XLOOKUP(E845,STUDENTS!F844:F100841,STUDENTS!H844:H100841)),"update STUDENT sheet")</f>
        <v/>
      </c>
    </row>
    <row r="846">
      <c r="B846">
        <f>IF(STUDENTS!B845="","",STUDENTS!B845)</f>
        <v/>
      </c>
      <c r="C846">
        <f>IFERROR(IF(B846="","",_xlfn.XLOOKUP(B846,STUDENTS!$B$3:$B$1048576,STUDENTS!$C$3:$C$1048576)),"Enter a registered reg. no")</f>
        <v/>
      </c>
      <c r="D846">
        <f>IFERROR(IF(B846="","",_xlfn.XLOOKUP(B846,STUDENTS!B845:B100842,STUDENTS!D845:D100842)),"update STUDENT sheet")</f>
        <v/>
      </c>
      <c r="E846">
        <f>IFERROR(IF(C846="","",_xlfn.XLOOKUP(C846,STUDENTS!C845:C100842,STUDENTS!F845:F100842)),"update STUDENT sheet")</f>
        <v/>
      </c>
      <c r="F846">
        <f>IFERROR(IF(D846="","",_xlfn.XLOOKUP(D846,STUDENTS!D845:D100842,STUDENTS!G845:G100842)),"update STUDENT sheet")</f>
        <v/>
      </c>
      <c r="G846">
        <f>IFERROR(IF(E846="","",_xlfn.XLOOKUP(E846,STUDENTS!F845:F100842,STUDENTS!H845:H100842)),"update STUDENT sheet")</f>
        <v/>
      </c>
    </row>
    <row r="847">
      <c r="B847">
        <f>IF(STUDENTS!B846="","",STUDENTS!B846)</f>
        <v/>
      </c>
      <c r="C847">
        <f>IFERROR(IF(B847="","",_xlfn.XLOOKUP(B847,STUDENTS!$B$3:$B$1048576,STUDENTS!$C$3:$C$1048576)),"Enter a registered reg. no")</f>
        <v/>
      </c>
      <c r="D847">
        <f>IFERROR(IF(B847="","",_xlfn.XLOOKUP(B847,STUDENTS!B846:B100843,STUDENTS!D846:D100843)),"update STUDENT sheet")</f>
        <v/>
      </c>
      <c r="E847">
        <f>IFERROR(IF(C847="","",_xlfn.XLOOKUP(C847,STUDENTS!C846:C100843,STUDENTS!F846:F100843)),"update STUDENT sheet")</f>
        <v/>
      </c>
      <c r="F847">
        <f>IFERROR(IF(D847="","",_xlfn.XLOOKUP(D847,STUDENTS!D846:D100843,STUDENTS!G846:G100843)),"update STUDENT sheet")</f>
        <v/>
      </c>
      <c r="G847">
        <f>IFERROR(IF(E847="","",_xlfn.XLOOKUP(E847,STUDENTS!F846:F100843,STUDENTS!H846:H100843)),"update STUDENT sheet")</f>
        <v/>
      </c>
    </row>
    <row r="848">
      <c r="B848">
        <f>IF(STUDENTS!B847="","",STUDENTS!B847)</f>
        <v/>
      </c>
      <c r="C848">
        <f>IFERROR(IF(B848="","",_xlfn.XLOOKUP(B848,STUDENTS!$B$3:$B$1048576,STUDENTS!$C$3:$C$1048576)),"Enter a registered reg. no")</f>
        <v/>
      </c>
      <c r="D848">
        <f>IFERROR(IF(B848="","",_xlfn.XLOOKUP(B848,STUDENTS!B847:B100844,STUDENTS!D847:D100844)),"update STUDENT sheet")</f>
        <v/>
      </c>
      <c r="E848">
        <f>IFERROR(IF(C848="","",_xlfn.XLOOKUP(C848,STUDENTS!C847:C100844,STUDENTS!F847:F100844)),"update STUDENT sheet")</f>
        <v/>
      </c>
      <c r="F848">
        <f>IFERROR(IF(D848="","",_xlfn.XLOOKUP(D848,STUDENTS!D847:D100844,STUDENTS!G847:G100844)),"update STUDENT sheet")</f>
        <v/>
      </c>
      <c r="G848">
        <f>IFERROR(IF(E848="","",_xlfn.XLOOKUP(E848,STUDENTS!F847:F100844,STUDENTS!H847:H100844)),"update STUDENT sheet")</f>
        <v/>
      </c>
    </row>
    <row r="849">
      <c r="B849">
        <f>IF(STUDENTS!B848="","",STUDENTS!B848)</f>
        <v/>
      </c>
      <c r="C849">
        <f>IFERROR(IF(B849="","",_xlfn.XLOOKUP(B849,STUDENTS!$B$3:$B$1048576,STUDENTS!$C$3:$C$1048576)),"Enter a registered reg. no")</f>
        <v/>
      </c>
      <c r="D849">
        <f>IFERROR(IF(B849="","",_xlfn.XLOOKUP(B849,STUDENTS!B848:B100845,STUDENTS!D848:D100845)),"update STUDENT sheet")</f>
        <v/>
      </c>
      <c r="E849">
        <f>IFERROR(IF(C849="","",_xlfn.XLOOKUP(C849,STUDENTS!C848:C100845,STUDENTS!F848:F100845)),"update STUDENT sheet")</f>
        <v/>
      </c>
      <c r="F849">
        <f>IFERROR(IF(D849="","",_xlfn.XLOOKUP(D849,STUDENTS!D848:D100845,STUDENTS!G848:G100845)),"update STUDENT sheet")</f>
        <v/>
      </c>
      <c r="G849">
        <f>IFERROR(IF(E849="","",_xlfn.XLOOKUP(E849,STUDENTS!F848:F100845,STUDENTS!H848:H100845)),"update STUDENT sheet")</f>
        <v/>
      </c>
    </row>
    <row r="850">
      <c r="B850">
        <f>IF(STUDENTS!B849="","",STUDENTS!B849)</f>
        <v/>
      </c>
      <c r="C850">
        <f>IFERROR(IF(B850="","",_xlfn.XLOOKUP(B850,STUDENTS!$B$3:$B$1048576,STUDENTS!$C$3:$C$1048576)),"Enter a registered reg. no")</f>
        <v/>
      </c>
      <c r="D850">
        <f>IFERROR(IF(B850="","",_xlfn.XLOOKUP(B850,STUDENTS!B849:B100846,STUDENTS!D849:D100846)),"update STUDENT sheet")</f>
        <v/>
      </c>
      <c r="E850">
        <f>IFERROR(IF(C850="","",_xlfn.XLOOKUP(C850,STUDENTS!C849:C100846,STUDENTS!F849:F100846)),"update STUDENT sheet")</f>
        <v/>
      </c>
      <c r="F850">
        <f>IFERROR(IF(D850="","",_xlfn.XLOOKUP(D850,STUDENTS!D849:D100846,STUDENTS!G849:G100846)),"update STUDENT sheet")</f>
        <v/>
      </c>
      <c r="G850">
        <f>IFERROR(IF(E850="","",_xlfn.XLOOKUP(E850,STUDENTS!F849:F100846,STUDENTS!H849:H100846)),"update STUDENT sheet")</f>
        <v/>
      </c>
    </row>
    <row r="851">
      <c r="B851">
        <f>IF(STUDENTS!B850="","",STUDENTS!B850)</f>
        <v/>
      </c>
      <c r="C851">
        <f>IFERROR(IF(B851="","",_xlfn.XLOOKUP(B851,STUDENTS!$B$3:$B$1048576,STUDENTS!$C$3:$C$1048576)),"Enter a registered reg. no")</f>
        <v/>
      </c>
      <c r="D851">
        <f>IFERROR(IF(B851="","",_xlfn.XLOOKUP(B851,STUDENTS!B850:B100847,STUDENTS!D850:D100847)),"update STUDENT sheet")</f>
        <v/>
      </c>
      <c r="E851">
        <f>IFERROR(IF(C851="","",_xlfn.XLOOKUP(C851,STUDENTS!C850:C100847,STUDENTS!F850:F100847)),"update STUDENT sheet")</f>
        <v/>
      </c>
      <c r="F851">
        <f>IFERROR(IF(D851="","",_xlfn.XLOOKUP(D851,STUDENTS!D850:D100847,STUDENTS!G850:G100847)),"update STUDENT sheet")</f>
        <v/>
      </c>
      <c r="G851">
        <f>IFERROR(IF(E851="","",_xlfn.XLOOKUP(E851,STUDENTS!F850:F100847,STUDENTS!H850:H100847)),"update STUDENT sheet")</f>
        <v/>
      </c>
    </row>
    <row r="852">
      <c r="B852">
        <f>IF(STUDENTS!B851="","",STUDENTS!B851)</f>
        <v/>
      </c>
      <c r="C852">
        <f>IFERROR(IF(B852="","",_xlfn.XLOOKUP(B852,STUDENTS!$B$3:$B$1048576,STUDENTS!$C$3:$C$1048576)),"Enter a registered reg. no")</f>
        <v/>
      </c>
      <c r="D852">
        <f>IFERROR(IF(B852="","",_xlfn.XLOOKUP(B852,STUDENTS!B851:B100848,STUDENTS!D851:D100848)),"update STUDENT sheet")</f>
        <v/>
      </c>
      <c r="E852">
        <f>IFERROR(IF(C852="","",_xlfn.XLOOKUP(C852,STUDENTS!C851:C100848,STUDENTS!F851:F100848)),"update STUDENT sheet")</f>
        <v/>
      </c>
      <c r="F852">
        <f>IFERROR(IF(D852="","",_xlfn.XLOOKUP(D852,STUDENTS!D851:D100848,STUDENTS!G851:G100848)),"update STUDENT sheet")</f>
        <v/>
      </c>
      <c r="G852">
        <f>IFERROR(IF(E852="","",_xlfn.XLOOKUP(E852,STUDENTS!F851:F100848,STUDENTS!H851:H100848)),"update STUDENT sheet")</f>
        <v/>
      </c>
    </row>
    <row r="853">
      <c r="B853">
        <f>IF(STUDENTS!B852="","",STUDENTS!B852)</f>
        <v/>
      </c>
      <c r="C853">
        <f>IFERROR(IF(B853="","",_xlfn.XLOOKUP(B853,STUDENTS!$B$3:$B$1048576,STUDENTS!$C$3:$C$1048576)),"Enter a registered reg. no")</f>
        <v/>
      </c>
      <c r="D853">
        <f>IFERROR(IF(B853="","",_xlfn.XLOOKUP(B853,STUDENTS!B852:B100849,STUDENTS!D852:D100849)),"update STUDENT sheet")</f>
        <v/>
      </c>
      <c r="E853">
        <f>IFERROR(IF(C853="","",_xlfn.XLOOKUP(C853,STUDENTS!C852:C100849,STUDENTS!F852:F100849)),"update STUDENT sheet")</f>
        <v/>
      </c>
      <c r="F853">
        <f>IFERROR(IF(D853="","",_xlfn.XLOOKUP(D853,STUDENTS!D852:D100849,STUDENTS!G852:G100849)),"update STUDENT sheet")</f>
        <v/>
      </c>
      <c r="G853">
        <f>IFERROR(IF(E853="","",_xlfn.XLOOKUP(E853,STUDENTS!F852:F100849,STUDENTS!H852:H100849)),"update STUDENT sheet")</f>
        <v/>
      </c>
    </row>
    <row r="854">
      <c r="B854">
        <f>IF(STUDENTS!B853="","",STUDENTS!B853)</f>
        <v/>
      </c>
      <c r="C854">
        <f>IFERROR(IF(B854="","",_xlfn.XLOOKUP(B854,STUDENTS!$B$3:$B$1048576,STUDENTS!$C$3:$C$1048576)),"Enter a registered reg. no")</f>
        <v/>
      </c>
      <c r="D854">
        <f>IFERROR(IF(B854="","",_xlfn.XLOOKUP(B854,STUDENTS!B853:B100850,STUDENTS!D853:D100850)),"update STUDENT sheet")</f>
        <v/>
      </c>
      <c r="E854">
        <f>IFERROR(IF(C854="","",_xlfn.XLOOKUP(C854,STUDENTS!C853:C100850,STUDENTS!F853:F100850)),"update STUDENT sheet")</f>
        <v/>
      </c>
      <c r="F854">
        <f>IFERROR(IF(D854="","",_xlfn.XLOOKUP(D854,STUDENTS!D853:D100850,STUDENTS!G853:G100850)),"update STUDENT sheet")</f>
        <v/>
      </c>
      <c r="G854">
        <f>IFERROR(IF(E854="","",_xlfn.XLOOKUP(E854,STUDENTS!F853:F100850,STUDENTS!H853:H100850)),"update STUDENT sheet")</f>
        <v/>
      </c>
    </row>
    <row r="855">
      <c r="B855">
        <f>IF(STUDENTS!B854="","",STUDENTS!B854)</f>
        <v/>
      </c>
      <c r="C855">
        <f>IFERROR(IF(B855="","",_xlfn.XLOOKUP(B855,STUDENTS!$B$3:$B$1048576,STUDENTS!$C$3:$C$1048576)),"Enter a registered reg. no")</f>
        <v/>
      </c>
      <c r="D855">
        <f>IFERROR(IF(B855="","",_xlfn.XLOOKUP(B855,STUDENTS!B854:B100851,STUDENTS!D854:D100851)),"update STUDENT sheet")</f>
        <v/>
      </c>
      <c r="E855">
        <f>IFERROR(IF(C855="","",_xlfn.XLOOKUP(C855,STUDENTS!C854:C100851,STUDENTS!F854:F100851)),"update STUDENT sheet")</f>
        <v/>
      </c>
      <c r="F855">
        <f>IFERROR(IF(D855="","",_xlfn.XLOOKUP(D855,STUDENTS!D854:D100851,STUDENTS!G854:G100851)),"update STUDENT sheet")</f>
        <v/>
      </c>
      <c r="G855">
        <f>IFERROR(IF(E855="","",_xlfn.XLOOKUP(E855,STUDENTS!F854:F100851,STUDENTS!H854:H100851)),"update STUDENT sheet")</f>
        <v/>
      </c>
    </row>
    <row r="856">
      <c r="B856">
        <f>IF(STUDENTS!B855="","",STUDENTS!B855)</f>
        <v/>
      </c>
      <c r="C856">
        <f>IFERROR(IF(B856="","",_xlfn.XLOOKUP(B856,STUDENTS!$B$3:$B$1048576,STUDENTS!$C$3:$C$1048576)),"Enter a registered reg. no")</f>
        <v/>
      </c>
      <c r="D856">
        <f>IFERROR(IF(B856="","",_xlfn.XLOOKUP(B856,STUDENTS!B855:B100852,STUDENTS!D855:D100852)),"update STUDENT sheet")</f>
        <v/>
      </c>
      <c r="E856">
        <f>IFERROR(IF(C856="","",_xlfn.XLOOKUP(C856,STUDENTS!C855:C100852,STUDENTS!F855:F100852)),"update STUDENT sheet")</f>
        <v/>
      </c>
      <c r="F856">
        <f>IFERROR(IF(D856="","",_xlfn.XLOOKUP(D856,STUDENTS!D855:D100852,STUDENTS!G855:G100852)),"update STUDENT sheet")</f>
        <v/>
      </c>
      <c r="G856">
        <f>IFERROR(IF(E856="","",_xlfn.XLOOKUP(E856,STUDENTS!F855:F100852,STUDENTS!H855:H100852)),"update STUDENT sheet")</f>
        <v/>
      </c>
    </row>
    <row r="857">
      <c r="B857">
        <f>IF(STUDENTS!B856="","",STUDENTS!B856)</f>
        <v/>
      </c>
      <c r="C857">
        <f>IFERROR(IF(B857="","",_xlfn.XLOOKUP(B857,STUDENTS!$B$3:$B$1048576,STUDENTS!$C$3:$C$1048576)),"Enter a registered reg. no")</f>
        <v/>
      </c>
      <c r="D857">
        <f>IFERROR(IF(B857="","",_xlfn.XLOOKUP(B857,STUDENTS!B856:B100853,STUDENTS!D856:D100853)),"update STUDENT sheet")</f>
        <v/>
      </c>
      <c r="E857">
        <f>IFERROR(IF(C857="","",_xlfn.XLOOKUP(C857,STUDENTS!C856:C100853,STUDENTS!F856:F100853)),"update STUDENT sheet")</f>
        <v/>
      </c>
      <c r="F857">
        <f>IFERROR(IF(D857="","",_xlfn.XLOOKUP(D857,STUDENTS!D856:D100853,STUDENTS!G856:G100853)),"update STUDENT sheet")</f>
        <v/>
      </c>
      <c r="G857">
        <f>IFERROR(IF(E857="","",_xlfn.XLOOKUP(E857,STUDENTS!F856:F100853,STUDENTS!H856:H100853)),"update STUDENT sheet")</f>
        <v/>
      </c>
    </row>
    <row r="858">
      <c r="B858">
        <f>IF(STUDENTS!B857="","",STUDENTS!B857)</f>
        <v/>
      </c>
      <c r="C858">
        <f>IFERROR(IF(B858="","",_xlfn.XLOOKUP(B858,STUDENTS!$B$3:$B$1048576,STUDENTS!$C$3:$C$1048576)),"Enter a registered reg. no")</f>
        <v/>
      </c>
      <c r="D858">
        <f>IFERROR(IF(B858="","",_xlfn.XLOOKUP(B858,STUDENTS!B857:B100854,STUDENTS!D857:D100854)),"update STUDENT sheet")</f>
        <v/>
      </c>
      <c r="E858">
        <f>IFERROR(IF(C858="","",_xlfn.XLOOKUP(C858,STUDENTS!C857:C100854,STUDENTS!F857:F100854)),"update STUDENT sheet")</f>
        <v/>
      </c>
      <c r="F858">
        <f>IFERROR(IF(D858="","",_xlfn.XLOOKUP(D858,STUDENTS!D857:D100854,STUDENTS!G857:G100854)),"update STUDENT sheet")</f>
        <v/>
      </c>
      <c r="G858">
        <f>IFERROR(IF(E858="","",_xlfn.XLOOKUP(E858,STUDENTS!F857:F100854,STUDENTS!H857:H100854)),"update STUDENT sheet")</f>
        <v/>
      </c>
    </row>
    <row r="859">
      <c r="B859">
        <f>IF(STUDENTS!B858="","",STUDENTS!B858)</f>
        <v/>
      </c>
      <c r="C859">
        <f>IFERROR(IF(B859="","",_xlfn.XLOOKUP(B859,STUDENTS!$B$3:$B$1048576,STUDENTS!$C$3:$C$1048576)),"Enter a registered reg. no")</f>
        <v/>
      </c>
      <c r="D859">
        <f>IFERROR(IF(B859="","",_xlfn.XLOOKUP(B859,STUDENTS!B858:B100855,STUDENTS!D858:D100855)),"update STUDENT sheet")</f>
        <v/>
      </c>
      <c r="E859">
        <f>IFERROR(IF(C859="","",_xlfn.XLOOKUP(C859,STUDENTS!C858:C100855,STUDENTS!F858:F100855)),"update STUDENT sheet")</f>
        <v/>
      </c>
      <c r="F859">
        <f>IFERROR(IF(D859="","",_xlfn.XLOOKUP(D859,STUDENTS!D858:D100855,STUDENTS!G858:G100855)),"update STUDENT sheet")</f>
        <v/>
      </c>
      <c r="G859">
        <f>IFERROR(IF(E859="","",_xlfn.XLOOKUP(E859,STUDENTS!F858:F100855,STUDENTS!H858:H100855)),"update STUDENT sheet")</f>
        <v/>
      </c>
    </row>
    <row r="860">
      <c r="B860">
        <f>IF(STUDENTS!B859="","",STUDENTS!B859)</f>
        <v/>
      </c>
      <c r="C860">
        <f>IFERROR(IF(B860="","",_xlfn.XLOOKUP(B860,STUDENTS!$B$3:$B$1048576,STUDENTS!$C$3:$C$1048576)),"Enter a registered reg. no")</f>
        <v/>
      </c>
      <c r="D860">
        <f>IFERROR(IF(B860="","",_xlfn.XLOOKUP(B860,STUDENTS!B859:B100856,STUDENTS!D859:D100856)),"update STUDENT sheet")</f>
        <v/>
      </c>
      <c r="E860">
        <f>IFERROR(IF(C860="","",_xlfn.XLOOKUP(C860,STUDENTS!C859:C100856,STUDENTS!F859:F100856)),"update STUDENT sheet")</f>
        <v/>
      </c>
      <c r="F860">
        <f>IFERROR(IF(D860="","",_xlfn.XLOOKUP(D860,STUDENTS!D859:D100856,STUDENTS!G859:G100856)),"update STUDENT sheet")</f>
        <v/>
      </c>
      <c r="G860">
        <f>IFERROR(IF(E860="","",_xlfn.XLOOKUP(E860,STUDENTS!F859:F100856,STUDENTS!H859:H100856)),"update STUDENT sheet")</f>
        <v/>
      </c>
    </row>
    <row r="861">
      <c r="B861">
        <f>IF(STUDENTS!B860="","",STUDENTS!B860)</f>
        <v/>
      </c>
      <c r="C861">
        <f>IFERROR(IF(B861="","",_xlfn.XLOOKUP(B861,STUDENTS!$B$3:$B$1048576,STUDENTS!$C$3:$C$1048576)),"Enter a registered reg. no")</f>
        <v/>
      </c>
      <c r="D861">
        <f>IFERROR(IF(B861="","",_xlfn.XLOOKUP(B861,STUDENTS!B860:B100857,STUDENTS!D860:D100857)),"update STUDENT sheet")</f>
        <v/>
      </c>
      <c r="E861">
        <f>IFERROR(IF(C861="","",_xlfn.XLOOKUP(C861,STUDENTS!C860:C100857,STUDENTS!F860:F100857)),"update STUDENT sheet")</f>
        <v/>
      </c>
      <c r="F861">
        <f>IFERROR(IF(D861="","",_xlfn.XLOOKUP(D861,STUDENTS!D860:D100857,STUDENTS!G860:G100857)),"update STUDENT sheet")</f>
        <v/>
      </c>
      <c r="G861">
        <f>IFERROR(IF(E861="","",_xlfn.XLOOKUP(E861,STUDENTS!F860:F100857,STUDENTS!H860:H100857)),"update STUDENT sheet")</f>
        <v/>
      </c>
    </row>
    <row r="862">
      <c r="B862">
        <f>IF(STUDENTS!B861="","",STUDENTS!B861)</f>
        <v/>
      </c>
      <c r="C862">
        <f>IFERROR(IF(B862="","",_xlfn.XLOOKUP(B862,STUDENTS!$B$3:$B$1048576,STUDENTS!$C$3:$C$1048576)),"Enter a registered reg. no")</f>
        <v/>
      </c>
      <c r="D862">
        <f>IFERROR(IF(B862="","",_xlfn.XLOOKUP(B862,STUDENTS!B861:B100858,STUDENTS!D861:D100858)),"update STUDENT sheet")</f>
        <v/>
      </c>
      <c r="E862">
        <f>IFERROR(IF(C862="","",_xlfn.XLOOKUP(C862,STUDENTS!C861:C100858,STUDENTS!F861:F100858)),"update STUDENT sheet")</f>
        <v/>
      </c>
      <c r="F862">
        <f>IFERROR(IF(D862="","",_xlfn.XLOOKUP(D862,STUDENTS!D861:D100858,STUDENTS!G861:G100858)),"update STUDENT sheet")</f>
        <v/>
      </c>
      <c r="G862">
        <f>IFERROR(IF(E862="","",_xlfn.XLOOKUP(E862,STUDENTS!F861:F100858,STUDENTS!H861:H100858)),"update STUDENT sheet")</f>
        <v/>
      </c>
    </row>
    <row r="863">
      <c r="B863">
        <f>IF(STUDENTS!B862="","",STUDENTS!B862)</f>
        <v/>
      </c>
      <c r="C863">
        <f>IFERROR(IF(B863="","",_xlfn.XLOOKUP(B863,STUDENTS!$B$3:$B$1048576,STUDENTS!$C$3:$C$1048576)),"Enter a registered reg. no")</f>
        <v/>
      </c>
      <c r="D863">
        <f>IFERROR(IF(B863="","",_xlfn.XLOOKUP(B863,STUDENTS!B862:B100859,STUDENTS!D862:D100859)),"update STUDENT sheet")</f>
        <v/>
      </c>
      <c r="E863">
        <f>IFERROR(IF(C863="","",_xlfn.XLOOKUP(C863,STUDENTS!C862:C100859,STUDENTS!F862:F100859)),"update STUDENT sheet")</f>
        <v/>
      </c>
      <c r="F863">
        <f>IFERROR(IF(D863="","",_xlfn.XLOOKUP(D863,STUDENTS!D862:D100859,STUDENTS!G862:G100859)),"update STUDENT sheet")</f>
        <v/>
      </c>
      <c r="G863">
        <f>IFERROR(IF(E863="","",_xlfn.XLOOKUP(E863,STUDENTS!F862:F100859,STUDENTS!H862:H100859)),"update STUDENT sheet")</f>
        <v/>
      </c>
    </row>
    <row r="864">
      <c r="B864">
        <f>IF(STUDENTS!B863="","",STUDENTS!B863)</f>
        <v/>
      </c>
      <c r="C864">
        <f>IFERROR(IF(B864="","",_xlfn.XLOOKUP(B864,STUDENTS!$B$3:$B$1048576,STUDENTS!$C$3:$C$1048576)),"Enter a registered reg. no")</f>
        <v/>
      </c>
      <c r="D864">
        <f>IFERROR(IF(B864="","",_xlfn.XLOOKUP(B864,STUDENTS!B863:B100860,STUDENTS!D863:D100860)),"update STUDENT sheet")</f>
        <v/>
      </c>
      <c r="E864">
        <f>IFERROR(IF(C864="","",_xlfn.XLOOKUP(C864,STUDENTS!C863:C100860,STUDENTS!F863:F100860)),"update STUDENT sheet")</f>
        <v/>
      </c>
      <c r="F864">
        <f>IFERROR(IF(D864="","",_xlfn.XLOOKUP(D864,STUDENTS!D863:D100860,STUDENTS!G863:G100860)),"update STUDENT sheet")</f>
        <v/>
      </c>
      <c r="G864">
        <f>IFERROR(IF(E864="","",_xlfn.XLOOKUP(E864,STUDENTS!F863:F100860,STUDENTS!H863:H100860)),"update STUDENT sheet")</f>
        <v/>
      </c>
    </row>
    <row r="865">
      <c r="B865">
        <f>IF(STUDENTS!B864="","",STUDENTS!B864)</f>
        <v/>
      </c>
      <c r="C865">
        <f>IFERROR(IF(B865="","",_xlfn.XLOOKUP(B865,STUDENTS!$B$3:$B$1048576,STUDENTS!$C$3:$C$1048576)),"Enter a registered reg. no")</f>
        <v/>
      </c>
      <c r="D865">
        <f>IFERROR(IF(B865="","",_xlfn.XLOOKUP(B865,STUDENTS!B864:B100861,STUDENTS!D864:D100861)),"update STUDENT sheet")</f>
        <v/>
      </c>
      <c r="E865">
        <f>IFERROR(IF(C865="","",_xlfn.XLOOKUP(C865,STUDENTS!C864:C100861,STUDENTS!F864:F100861)),"update STUDENT sheet")</f>
        <v/>
      </c>
      <c r="F865">
        <f>IFERROR(IF(D865="","",_xlfn.XLOOKUP(D865,STUDENTS!D864:D100861,STUDENTS!G864:G100861)),"update STUDENT sheet")</f>
        <v/>
      </c>
      <c r="G865">
        <f>IFERROR(IF(E865="","",_xlfn.XLOOKUP(E865,STUDENTS!F864:F100861,STUDENTS!H864:H100861)),"update STUDENT sheet")</f>
        <v/>
      </c>
    </row>
    <row r="866">
      <c r="B866">
        <f>IF(STUDENTS!B865="","",STUDENTS!B865)</f>
        <v/>
      </c>
      <c r="C866">
        <f>IFERROR(IF(B866="","",_xlfn.XLOOKUP(B866,STUDENTS!$B$3:$B$1048576,STUDENTS!$C$3:$C$1048576)),"Enter a registered reg. no")</f>
        <v/>
      </c>
      <c r="D866">
        <f>IFERROR(IF(B866="","",_xlfn.XLOOKUP(B866,STUDENTS!B865:B100862,STUDENTS!D865:D100862)),"update STUDENT sheet")</f>
        <v/>
      </c>
      <c r="E866">
        <f>IFERROR(IF(C866="","",_xlfn.XLOOKUP(C866,STUDENTS!C865:C100862,STUDENTS!F865:F100862)),"update STUDENT sheet")</f>
        <v/>
      </c>
      <c r="F866">
        <f>IFERROR(IF(D866="","",_xlfn.XLOOKUP(D866,STUDENTS!D865:D100862,STUDENTS!G865:G100862)),"update STUDENT sheet")</f>
        <v/>
      </c>
      <c r="G866">
        <f>IFERROR(IF(E866="","",_xlfn.XLOOKUP(E866,STUDENTS!F865:F100862,STUDENTS!H865:H100862)),"update STUDENT sheet")</f>
        <v/>
      </c>
    </row>
    <row r="867">
      <c r="B867">
        <f>IF(STUDENTS!B866="","",STUDENTS!B866)</f>
        <v/>
      </c>
      <c r="C867">
        <f>IFERROR(IF(B867="","",_xlfn.XLOOKUP(B867,STUDENTS!$B$3:$B$1048576,STUDENTS!$C$3:$C$1048576)),"Enter a registered reg. no")</f>
        <v/>
      </c>
      <c r="D867">
        <f>IFERROR(IF(B867="","",_xlfn.XLOOKUP(B867,STUDENTS!B866:B100863,STUDENTS!D866:D100863)),"update STUDENT sheet")</f>
        <v/>
      </c>
      <c r="E867">
        <f>IFERROR(IF(C867="","",_xlfn.XLOOKUP(C867,STUDENTS!C866:C100863,STUDENTS!F866:F100863)),"update STUDENT sheet")</f>
        <v/>
      </c>
      <c r="F867">
        <f>IFERROR(IF(D867="","",_xlfn.XLOOKUP(D867,STUDENTS!D866:D100863,STUDENTS!G866:G100863)),"update STUDENT sheet")</f>
        <v/>
      </c>
      <c r="G867">
        <f>IFERROR(IF(E867="","",_xlfn.XLOOKUP(E867,STUDENTS!F866:F100863,STUDENTS!H866:H100863)),"update STUDENT sheet")</f>
        <v/>
      </c>
    </row>
    <row r="868">
      <c r="B868">
        <f>IF(STUDENTS!B867="","",STUDENTS!B867)</f>
        <v/>
      </c>
      <c r="C868">
        <f>IFERROR(IF(B868="","",_xlfn.XLOOKUP(B868,STUDENTS!$B$3:$B$1048576,STUDENTS!$C$3:$C$1048576)),"Enter a registered reg. no")</f>
        <v/>
      </c>
      <c r="D868">
        <f>IFERROR(IF(B868="","",_xlfn.XLOOKUP(B868,STUDENTS!B867:B100864,STUDENTS!D867:D100864)),"update STUDENT sheet")</f>
        <v/>
      </c>
      <c r="E868">
        <f>IFERROR(IF(C868="","",_xlfn.XLOOKUP(C868,STUDENTS!C867:C100864,STUDENTS!F867:F100864)),"update STUDENT sheet")</f>
        <v/>
      </c>
      <c r="F868">
        <f>IFERROR(IF(D868="","",_xlfn.XLOOKUP(D868,STUDENTS!D867:D100864,STUDENTS!G867:G100864)),"update STUDENT sheet")</f>
        <v/>
      </c>
      <c r="G868">
        <f>IFERROR(IF(E868="","",_xlfn.XLOOKUP(E868,STUDENTS!F867:F100864,STUDENTS!H867:H100864)),"update STUDENT sheet")</f>
        <v/>
      </c>
    </row>
    <row r="869">
      <c r="B869">
        <f>IF(STUDENTS!B868="","",STUDENTS!B868)</f>
        <v/>
      </c>
      <c r="C869">
        <f>IFERROR(IF(B869="","",_xlfn.XLOOKUP(B869,STUDENTS!$B$3:$B$1048576,STUDENTS!$C$3:$C$1048576)),"Enter a registered reg. no")</f>
        <v/>
      </c>
      <c r="D869">
        <f>IFERROR(IF(B869="","",_xlfn.XLOOKUP(B869,STUDENTS!B868:B100865,STUDENTS!D868:D100865)),"update STUDENT sheet")</f>
        <v/>
      </c>
      <c r="E869">
        <f>IFERROR(IF(C869="","",_xlfn.XLOOKUP(C869,STUDENTS!C868:C100865,STUDENTS!F868:F100865)),"update STUDENT sheet")</f>
        <v/>
      </c>
      <c r="F869">
        <f>IFERROR(IF(D869="","",_xlfn.XLOOKUP(D869,STUDENTS!D868:D100865,STUDENTS!G868:G100865)),"update STUDENT sheet")</f>
        <v/>
      </c>
      <c r="G869">
        <f>IFERROR(IF(E869="","",_xlfn.XLOOKUP(E869,STUDENTS!F868:F100865,STUDENTS!H868:H100865)),"update STUDENT sheet")</f>
        <v/>
      </c>
    </row>
    <row r="870">
      <c r="B870">
        <f>IF(STUDENTS!B869="","",STUDENTS!B869)</f>
        <v/>
      </c>
      <c r="C870">
        <f>IFERROR(IF(B870="","",_xlfn.XLOOKUP(B870,STUDENTS!$B$3:$B$1048576,STUDENTS!$C$3:$C$1048576)),"Enter a registered reg. no")</f>
        <v/>
      </c>
      <c r="D870">
        <f>IFERROR(IF(B870="","",_xlfn.XLOOKUP(B870,STUDENTS!B869:B100866,STUDENTS!D869:D100866)),"update STUDENT sheet")</f>
        <v/>
      </c>
      <c r="E870">
        <f>IFERROR(IF(C870="","",_xlfn.XLOOKUP(C870,STUDENTS!C869:C100866,STUDENTS!F869:F100866)),"update STUDENT sheet")</f>
        <v/>
      </c>
      <c r="F870">
        <f>IFERROR(IF(D870="","",_xlfn.XLOOKUP(D870,STUDENTS!D869:D100866,STUDENTS!G869:G100866)),"update STUDENT sheet")</f>
        <v/>
      </c>
      <c r="G870">
        <f>IFERROR(IF(E870="","",_xlfn.XLOOKUP(E870,STUDENTS!F869:F100866,STUDENTS!H869:H100866)),"update STUDENT sheet")</f>
        <v/>
      </c>
    </row>
    <row r="871">
      <c r="B871">
        <f>IF(STUDENTS!B870="","",STUDENTS!B870)</f>
        <v/>
      </c>
      <c r="C871">
        <f>IFERROR(IF(B871="","",_xlfn.XLOOKUP(B871,STUDENTS!$B$3:$B$1048576,STUDENTS!$C$3:$C$1048576)),"Enter a registered reg. no")</f>
        <v/>
      </c>
      <c r="D871">
        <f>IFERROR(IF(B871="","",_xlfn.XLOOKUP(B871,STUDENTS!B870:B100867,STUDENTS!D870:D100867)),"update STUDENT sheet")</f>
        <v/>
      </c>
      <c r="E871">
        <f>IFERROR(IF(C871="","",_xlfn.XLOOKUP(C871,STUDENTS!C870:C100867,STUDENTS!F870:F100867)),"update STUDENT sheet")</f>
        <v/>
      </c>
      <c r="F871">
        <f>IFERROR(IF(D871="","",_xlfn.XLOOKUP(D871,STUDENTS!D870:D100867,STUDENTS!G870:G100867)),"update STUDENT sheet")</f>
        <v/>
      </c>
      <c r="G871">
        <f>IFERROR(IF(E871="","",_xlfn.XLOOKUP(E871,STUDENTS!F870:F100867,STUDENTS!H870:H100867)),"update STUDENT sheet")</f>
        <v/>
      </c>
    </row>
    <row r="872">
      <c r="B872">
        <f>IF(STUDENTS!B871="","",STUDENTS!B871)</f>
        <v/>
      </c>
      <c r="C872">
        <f>IFERROR(IF(B872="","",_xlfn.XLOOKUP(B872,STUDENTS!$B$3:$B$1048576,STUDENTS!$C$3:$C$1048576)),"Enter a registered reg. no")</f>
        <v/>
      </c>
      <c r="D872">
        <f>IFERROR(IF(B872="","",_xlfn.XLOOKUP(B872,STUDENTS!B871:B100868,STUDENTS!D871:D100868)),"update STUDENT sheet")</f>
        <v/>
      </c>
      <c r="E872">
        <f>IFERROR(IF(C872="","",_xlfn.XLOOKUP(C872,STUDENTS!C871:C100868,STUDENTS!F871:F100868)),"update STUDENT sheet")</f>
        <v/>
      </c>
      <c r="F872">
        <f>IFERROR(IF(D872="","",_xlfn.XLOOKUP(D872,STUDENTS!D871:D100868,STUDENTS!G871:G100868)),"update STUDENT sheet")</f>
        <v/>
      </c>
      <c r="G872">
        <f>IFERROR(IF(E872="","",_xlfn.XLOOKUP(E872,STUDENTS!F871:F100868,STUDENTS!H871:H100868)),"update STUDENT sheet")</f>
        <v/>
      </c>
    </row>
    <row r="873">
      <c r="B873">
        <f>IF(STUDENTS!B872="","",STUDENTS!B872)</f>
        <v/>
      </c>
      <c r="C873">
        <f>IFERROR(IF(B873="","",_xlfn.XLOOKUP(B873,STUDENTS!$B$3:$B$1048576,STUDENTS!$C$3:$C$1048576)),"Enter a registered reg. no")</f>
        <v/>
      </c>
      <c r="D873">
        <f>IFERROR(IF(B873="","",_xlfn.XLOOKUP(B873,STUDENTS!B872:B100869,STUDENTS!D872:D100869)),"update STUDENT sheet")</f>
        <v/>
      </c>
      <c r="E873">
        <f>IFERROR(IF(C873="","",_xlfn.XLOOKUP(C873,STUDENTS!C872:C100869,STUDENTS!F872:F100869)),"update STUDENT sheet")</f>
        <v/>
      </c>
      <c r="F873">
        <f>IFERROR(IF(D873="","",_xlfn.XLOOKUP(D873,STUDENTS!D872:D100869,STUDENTS!G872:G100869)),"update STUDENT sheet")</f>
        <v/>
      </c>
      <c r="G873">
        <f>IFERROR(IF(E873="","",_xlfn.XLOOKUP(E873,STUDENTS!F872:F100869,STUDENTS!H872:H100869)),"update STUDENT sheet")</f>
        <v/>
      </c>
    </row>
    <row r="874">
      <c r="B874">
        <f>IF(STUDENTS!B873="","",STUDENTS!B873)</f>
        <v/>
      </c>
      <c r="C874">
        <f>IFERROR(IF(B874="","",_xlfn.XLOOKUP(B874,STUDENTS!$B$3:$B$1048576,STUDENTS!$C$3:$C$1048576)),"Enter a registered reg. no")</f>
        <v/>
      </c>
      <c r="D874">
        <f>IFERROR(IF(B874="","",_xlfn.XLOOKUP(B874,STUDENTS!B873:B100870,STUDENTS!D873:D100870)),"update STUDENT sheet")</f>
        <v/>
      </c>
      <c r="E874">
        <f>IFERROR(IF(C874="","",_xlfn.XLOOKUP(C874,STUDENTS!C873:C100870,STUDENTS!F873:F100870)),"update STUDENT sheet")</f>
        <v/>
      </c>
      <c r="F874">
        <f>IFERROR(IF(D874="","",_xlfn.XLOOKUP(D874,STUDENTS!D873:D100870,STUDENTS!G873:G100870)),"update STUDENT sheet")</f>
        <v/>
      </c>
      <c r="G874">
        <f>IFERROR(IF(E874="","",_xlfn.XLOOKUP(E874,STUDENTS!F873:F100870,STUDENTS!H873:H100870)),"update STUDENT sheet")</f>
        <v/>
      </c>
    </row>
    <row r="875">
      <c r="B875">
        <f>IF(STUDENTS!B874="","",STUDENTS!B874)</f>
        <v/>
      </c>
      <c r="C875">
        <f>IFERROR(IF(B875="","",_xlfn.XLOOKUP(B875,STUDENTS!$B$3:$B$1048576,STUDENTS!$C$3:$C$1048576)),"Enter a registered reg. no")</f>
        <v/>
      </c>
      <c r="D875">
        <f>IFERROR(IF(B875="","",_xlfn.XLOOKUP(B875,STUDENTS!B874:B100871,STUDENTS!D874:D100871)),"update STUDENT sheet")</f>
        <v/>
      </c>
      <c r="E875">
        <f>IFERROR(IF(C875="","",_xlfn.XLOOKUP(C875,STUDENTS!C874:C100871,STUDENTS!F874:F100871)),"update STUDENT sheet")</f>
        <v/>
      </c>
      <c r="F875">
        <f>IFERROR(IF(D875="","",_xlfn.XLOOKUP(D875,STUDENTS!D874:D100871,STUDENTS!G874:G100871)),"update STUDENT sheet")</f>
        <v/>
      </c>
      <c r="G875">
        <f>IFERROR(IF(E875="","",_xlfn.XLOOKUP(E875,STUDENTS!F874:F100871,STUDENTS!H874:H100871)),"update STUDENT sheet")</f>
        <v/>
      </c>
    </row>
    <row r="876">
      <c r="B876">
        <f>IF(STUDENTS!B875="","",STUDENTS!B875)</f>
        <v/>
      </c>
      <c r="C876">
        <f>IFERROR(IF(B876="","",_xlfn.XLOOKUP(B876,STUDENTS!$B$3:$B$1048576,STUDENTS!$C$3:$C$1048576)),"Enter a registered reg. no")</f>
        <v/>
      </c>
      <c r="D876">
        <f>IFERROR(IF(B876="","",_xlfn.XLOOKUP(B876,STUDENTS!B875:B100872,STUDENTS!D875:D100872)),"update STUDENT sheet")</f>
        <v/>
      </c>
      <c r="E876">
        <f>IFERROR(IF(C876="","",_xlfn.XLOOKUP(C876,STUDENTS!C875:C100872,STUDENTS!F875:F100872)),"update STUDENT sheet")</f>
        <v/>
      </c>
      <c r="F876">
        <f>IFERROR(IF(D876="","",_xlfn.XLOOKUP(D876,STUDENTS!D875:D100872,STUDENTS!G875:G100872)),"update STUDENT sheet")</f>
        <v/>
      </c>
      <c r="G876">
        <f>IFERROR(IF(E876="","",_xlfn.XLOOKUP(E876,STUDENTS!F875:F100872,STUDENTS!H875:H100872)),"update STUDENT sheet")</f>
        <v/>
      </c>
    </row>
    <row r="877">
      <c r="B877">
        <f>IF(STUDENTS!B876="","",STUDENTS!B876)</f>
        <v/>
      </c>
      <c r="C877">
        <f>IFERROR(IF(B877="","",_xlfn.XLOOKUP(B877,STUDENTS!$B$3:$B$1048576,STUDENTS!$C$3:$C$1048576)),"Enter a registered reg. no")</f>
        <v/>
      </c>
      <c r="D877">
        <f>IFERROR(IF(B877="","",_xlfn.XLOOKUP(B877,STUDENTS!B876:B100873,STUDENTS!D876:D100873)),"update STUDENT sheet")</f>
        <v/>
      </c>
      <c r="E877">
        <f>IFERROR(IF(C877="","",_xlfn.XLOOKUP(C877,STUDENTS!C876:C100873,STUDENTS!F876:F100873)),"update STUDENT sheet")</f>
        <v/>
      </c>
      <c r="F877">
        <f>IFERROR(IF(D877="","",_xlfn.XLOOKUP(D877,STUDENTS!D876:D100873,STUDENTS!G876:G100873)),"update STUDENT sheet")</f>
        <v/>
      </c>
      <c r="G877">
        <f>IFERROR(IF(E877="","",_xlfn.XLOOKUP(E877,STUDENTS!F876:F100873,STUDENTS!H876:H100873)),"update STUDENT sheet")</f>
        <v/>
      </c>
    </row>
    <row r="878">
      <c r="B878">
        <f>IF(STUDENTS!B877="","",STUDENTS!B877)</f>
        <v/>
      </c>
      <c r="C878">
        <f>IFERROR(IF(B878="","",_xlfn.XLOOKUP(B878,STUDENTS!$B$3:$B$1048576,STUDENTS!$C$3:$C$1048576)),"Enter a registered reg. no")</f>
        <v/>
      </c>
      <c r="D878">
        <f>IFERROR(IF(B878="","",_xlfn.XLOOKUP(B878,STUDENTS!B877:B100874,STUDENTS!D877:D100874)),"update STUDENT sheet")</f>
        <v/>
      </c>
      <c r="E878">
        <f>IFERROR(IF(C878="","",_xlfn.XLOOKUP(C878,STUDENTS!C877:C100874,STUDENTS!F877:F100874)),"update STUDENT sheet")</f>
        <v/>
      </c>
      <c r="F878">
        <f>IFERROR(IF(D878="","",_xlfn.XLOOKUP(D878,STUDENTS!D877:D100874,STUDENTS!G877:G100874)),"update STUDENT sheet")</f>
        <v/>
      </c>
      <c r="G878">
        <f>IFERROR(IF(E878="","",_xlfn.XLOOKUP(E878,STUDENTS!F877:F100874,STUDENTS!H877:H100874)),"update STUDENT sheet")</f>
        <v/>
      </c>
    </row>
    <row r="879">
      <c r="B879">
        <f>IF(STUDENTS!B878="","",STUDENTS!B878)</f>
        <v/>
      </c>
      <c r="C879">
        <f>IFERROR(IF(B879="","",_xlfn.XLOOKUP(B879,STUDENTS!$B$3:$B$1048576,STUDENTS!$C$3:$C$1048576)),"Enter a registered reg. no")</f>
        <v/>
      </c>
      <c r="D879">
        <f>IFERROR(IF(B879="","",_xlfn.XLOOKUP(B879,STUDENTS!B878:B100875,STUDENTS!D878:D100875)),"update STUDENT sheet")</f>
        <v/>
      </c>
      <c r="E879">
        <f>IFERROR(IF(C879="","",_xlfn.XLOOKUP(C879,STUDENTS!C878:C100875,STUDENTS!F878:F100875)),"update STUDENT sheet")</f>
        <v/>
      </c>
      <c r="F879">
        <f>IFERROR(IF(D879="","",_xlfn.XLOOKUP(D879,STUDENTS!D878:D100875,STUDENTS!G878:G100875)),"update STUDENT sheet")</f>
        <v/>
      </c>
      <c r="G879">
        <f>IFERROR(IF(E879="","",_xlfn.XLOOKUP(E879,STUDENTS!F878:F100875,STUDENTS!H878:H100875)),"update STUDENT sheet")</f>
        <v/>
      </c>
    </row>
    <row r="880">
      <c r="B880">
        <f>IF(STUDENTS!B879="","",STUDENTS!B879)</f>
        <v/>
      </c>
      <c r="C880">
        <f>IFERROR(IF(B880="","",_xlfn.XLOOKUP(B880,STUDENTS!$B$3:$B$1048576,STUDENTS!$C$3:$C$1048576)),"Enter a registered reg. no")</f>
        <v/>
      </c>
      <c r="D880">
        <f>IFERROR(IF(B880="","",_xlfn.XLOOKUP(B880,STUDENTS!B879:B100876,STUDENTS!D879:D100876)),"update STUDENT sheet")</f>
        <v/>
      </c>
      <c r="E880">
        <f>IFERROR(IF(C880="","",_xlfn.XLOOKUP(C880,STUDENTS!C879:C100876,STUDENTS!F879:F100876)),"update STUDENT sheet")</f>
        <v/>
      </c>
      <c r="F880">
        <f>IFERROR(IF(D880="","",_xlfn.XLOOKUP(D880,STUDENTS!D879:D100876,STUDENTS!G879:G100876)),"update STUDENT sheet")</f>
        <v/>
      </c>
      <c r="G880">
        <f>IFERROR(IF(E880="","",_xlfn.XLOOKUP(E880,STUDENTS!F879:F100876,STUDENTS!H879:H100876)),"update STUDENT sheet")</f>
        <v/>
      </c>
    </row>
    <row r="881">
      <c r="B881">
        <f>IF(STUDENTS!B880="","",STUDENTS!B880)</f>
        <v/>
      </c>
      <c r="C881">
        <f>IFERROR(IF(B881="","",_xlfn.XLOOKUP(B881,STUDENTS!$B$3:$B$1048576,STUDENTS!$C$3:$C$1048576)),"Enter a registered reg. no")</f>
        <v/>
      </c>
      <c r="D881">
        <f>IFERROR(IF(B881="","",_xlfn.XLOOKUP(B881,STUDENTS!B880:B100877,STUDENTS!D880:D100877)),"update STUDENT sheet")</f>
        <v/>
      </c>
      <c r="E881">
        <f>IFERROR(IF(C881="","",_xlfn.XLOOKUP(C881,STUDENTS!C880:C100877,STUDENTS!F880:F100877)),"update STUDENT sheet")</f>
        <v/>
      </c>
      <c r="F881">
        <f>IFERROR(IF(D881="","",_xlfn.XLOOKUP(D881,STUDENTS!D880:D100877,STUDENTS!G880:G100877)),"update STUDENT sheet")</f>
        <v/>
      </c>
      <c r="G881">
        <f>IFERROR(IF(E881="","",_xlfn.XLOOKUP(E881,STUDENTS!F880:F100877,STUDENTS!H880:H100877)),"update STUDENT sheet")</f>
        <v/>
      </c>
    </row>
    <row r="882">
      <c r="B882">
        <f>IF(STUDENTS!B881="","",STUDENTS!B881)</f>
        <v/>
      </c>
      <c r="C882">
        <f>IFERROR(IF(B882="","",_xlfn.XLOOKUP(B882,STUDENTS!$B$3:$B$1048576,STUDENTS!$C$3:$C$1048576)),"Enter a registered reg. no")</f>
        <v/>
      </c>
      <c r="D882">
        <f>IFERROR(IF(B882="","",_xlfn.XLOOKUP(B882,STUDENTS!B881:B100878,STUDENTS!D881:D100878)),"update STUDENT sheet")</f>
        <v/>
      </c>
      <c r="E882">
        <f>IFERROR(IF(C882="","",_xlfn.XLOOKUP(C882,STUDENTS!C881:C100878,STUDENTS!F881:F100878)),"update STUDENT sheet")</f>
        <v/>
      </c>
      <c r="F882">
        <f>IFERROR(IF(D882="","",_xlfn.XLOOKUP(D882,STUDENTS!D881:D100878,STUDENTS!G881:G100878)),"update STUDENT sheet")</f>
        <v/>
      </c>
      <c r="G882">
        <f>IFERROR(IF(E882="","",_xlfn.XLOOKUP(E882,STUDENTS!F881:F100878,STUDENTS!H881:H100878)),"update STUDENT sheet")</f>
        <v/>
      </c>
    </row>
    <row r="883">
      <c r="B883">
        <f>IF(STUDENTS!B882="","",STUDENTS!B882)</f>
        <v/>
      </c>
      <c r="C883">
        <f>IFERROR(IF(B883="","",_xlfn.XLOOKUP(B883,STUDENTS!$B$3:$B$1048576,STUDENTS!$C$3:$C$1048576)),"Enter a registered reg. no")</f>
        <v/>
      </c>
      <c r="D883">
        <f>IFERROR(IF(B883="","",_xlfn.XLOOKUP(B883,STUDENTS!B882:B100879,STUDENTS!D882:D100879)),"update STUDENT sheet")</f>
        <v/>
      </c>
      <c r="E883">
        <f>IFERROR(IF(C883="","",_xlfn.XLOOKUP(C883,STUDENTS!C882:C100879,STUDENTS!F882:F100879)),"update STUDENT sheet")</f>
        <v/>
      </c>
      <c r="F883">
        <f>IFERROR(IF(D883="","",_xlfn.XLOOKUP(D883,STUDENTS!D882:D100879,STUDENTS!G882:G100879)),"update STUDENT sheet")</f>
        <v/>
      </c>
      <c r="G883">
        <f>IFERROR(IF(E883="","",_xlfn.XLOOKUP(E883,STUDENTS!F882:F100879,STUDENTS!H882:H100879)),"update STUDENT sheet")</f>
        <v/>
      </c>
    </row>
    <row r="884">
      <c r="B884">
        <f>IF(STUDENTS!B883="","",STUDENTS!B883)</f>
        <v/>
      </c>
      <c r="C884">
        <f>IFERROR(IF(B884="","",_xlfn.XLOOKUP(B884,STUDENTS!$B$3:$B$1048576,STUDENTS!$C$3:$C$1048576)),"Enter a registered reg. no")</f>
        <v/>
      </c>
      <c r="D884">
        <f>IFERROR(IF(B884="","",_xlfn.XLOOKUP(B884,STUDENTS!B883:B100880,STUDENTS!D883:D100880)),"update STUDENT sheet")</f>
        <v/>
      </c>
      <c r="E884">
        <f>IFERROR(IF(C884="","",_xlfn.XLOOKUP(C884,STUDENTS!C883:C100880,STUDENTS!F883:F100880)),"update STUDENT sheet")</f>
        <v/>
      </c>
      <c r="F884">
        <f>IFERROR(IF(D884="","",_xlfn.XLOOKUP(D884,STUDENTS!D883:D100880,STUDENTS!G883:G100880)),"update STUDENT sheet")</f>
        <v/>
      </c>
      <c r="G884">
        <f>IFERROR(IF(E884="","",_xlfn.XLOOKUP(E884,STUDENTS!F883:F100880,STUDENTS!H883:H100880)),"update STUDENT sheet")</f>
        <v/>
      </c>
    </row>
    <row r="885">
      <c r="B885">
        <f>IF(STUDENTS!B884="","",STUDENTS!B884)</f>
        <v/>
      </c>
      <c r="C885">
        <f>IFERROR(IF(B885="","",_xlfn.XLOOKUP(B885,STUDENTS!$B$3:$B$1048576,STUDENTS!$C$3:$C$1048576)),"Enter a registered reg. no")</f>
        <v/>
      </c>
      <c r="D885">
        <f>IFERROR(IF(B885="","",_xlfn.XLOOKUP(B885,STUDENTS!B884:B100881,STUDENTS!D884:D100881)),"update STUDENT sheet")</f>
        <v/>
      </c>
      <c r="E885">
        <f>IFERROR(IF(C885="","",_xlfn.XLOOKUP(C885,STUDENTS!C884:C100881,STUDENTS!F884:F100881)),"update STUDENT sheet")</f>
        <v/>
      </c>
      <c r="F885">
        <f>IFERROR(IF(D885="","",_xlfn.XLOOKUP(D885,STUDENTS!D884:D100881,STUDENTS!G884:G100881)),"update STUDENT sheet")</f>
        <v/>
      </c>
      <c r="G885">
        <f>IFERROR(IF(E885="","",_xlfn.XLOOKUP(E885,STUDENTS!F884:F100881,STUDENTS!H884:H100881)),"update STUDENT sheet")</f>
        <v/>
      </c>
    </row>
    <row r="886">
      <c r="B886">
        <f>IF(STUDENTS!B885="","",STUDENTS!B885)</f>
        <v/>
      </c>
      <c r="C886">
        <f>IFERROR(IF(B886="","",_xlfn.XLOOKUP(B886,STUDENTS!$B$3:$B$1048576,STUDENTS!$C$3:$C$1048576)),"Enter a registered reg. no")</f>
        <v/>
      </c>
      <c r="D886">
        <f>IFERROR(IF(B886="","",_xlfn.XLOOKUP(B886,STUDENTS!B885:B100882,STUDENTS!D885:D100882)),"update STUDENT sheet")</f>
        <v/>
      </c>
      <c r="E886">
        <f>IFERROR(IF(C886="","",_xlfn.XLOOKUP(C886,STUDENTS!C885:C100882,STUDENTS!F885:F100882)),"update STUDENT sheet")</f>
        <v/>
      </c>
      <c r="F886">
        <f>IFERROR(IF(D886="","",_xlfn.XLOOKUP(D886,STUDENTS!D885:D100882,STUDENTS!G885:G100882)),"update STUDENT sheet")</f>
        <v/>
      </c>
      <c r="G886">
        <f>IFERROR(IF(E886="","",_xlfn.XLOOKUP(E886,STUDENTS!F885:F100882,STUDENTS!H885:H100882)),"update STUDENT sheet")</f>
        <v/>
      </c>
    </row>
    <row r="887">
      <c r="B887">
        <f>IF(STUDENTS!B886="","",STUDENTS!B886)</f>
        <v/>
      </c>
      <c r="C887">
        <f>IFERROR(IF(B887="","",_xlfn.XLOOKUP(B887,STUDENTS!$B$3:$B$1048576,STUDENTS!$C$3:$C$1048576)),"Enter a registered reg. no")</f>
        <v/>
      </c>
      <c r="D887">
        <f>IFERROR(IF(B887="","",_xlfn.XLOOKUP(B887,STUDENTS!B886:B100883,STUDENTS!D886:D100883)),"update STUDENT sheet")</f>
        <v/>
      </c>
      <c r="E887">
        <f>IFERROR(IF(C887="","",_xlfn.XLOOKUP(C887,STUDENTS!C886:C100883,STUDENTS!F886:F100883)),"update STUDENT sheet")</f>
        <v/>
      </c>
      <c r="F887">
        <f>IFERROR(IF(D887="","",_xlfn.XLOOKUP(D887,STUDENTS!D886:D100883,STUDENTS!G886:G100883)),"update STUDENT sheet")</f>
        <v/>
      </c>
      <c r="G887">
        <f>IFERROR(IF(E887="","",_xlfn.XLOOKUP(E887,STUDENTS!F886:F100883,STUDENTS!H886:H100883)),"update STUDENT sheet")</f>
        <v/>
      </c>
    </row>
    <row r="888">
      <c r="B888">
        <f>IF(STUDENTS!B887="","",STUDENTS!B887)</f>
        <v/>
      </c>
      <c r="C888">
        <f>IFERROR(IF(B888="","",_xlfn.XLOOKUP(B888,STUDENTS!$B$3:$B$1048576,STUDENTS!$C$3:$C$1048576)),"Enter a registered reg. no")</f>
        <v/>
      </c>
      <c r="D888">
        <f>IFERROR(IF(B888="","",_xlfn.XLOOKUP(B888,STUDENTS!B887:B100884,STUDENTS!D887:D100884)),"update STUDENT sheet")</f>
        <v/>
      </c>
      <c r="E888">
        <f>IFERROR(IF(C888="","",_xlfn.XLOOKUP(C888,STUDENTS!C887:C100884,STUDENTS!F887:F100884)),"update STUDENT sheet")</f>
        <v/>
      </c>
      <c r="F888">
        <f>IFERROR(IF(D888="","",_xlfn.XLOOKUP(D888,STUDENTS!D887:D100884,STUDENTS!G887:G100884)),"update STUDENT sheet")</f>
        <v/>
      </c>
      <c r="G888">
        <f>IFERROR(IF(E888="","",_xlfn.XLOOKUP(E888,STUDENTS!F887:F100884,STUDENTS!H887:H100884)),"update STUDENT sheet")</f>
        <v/>
      </c>
    </row>
    <row r="889">
      <c r="B889">
        <f>IF(STUDENTS!B888="","",STUDENTS!B888)</f>
        <v/>
      </c>
      <c r="C889">
        <f>IFERROR(IF(B889="","",_xlfn.XLOOKUP(B889,STUDENTS!$B$3:$B$1048576,STUDENTS!$C$3:$C$1048576)),"Enter a registered reg. no")</f>
        <v/>
      </c>
      <c r="D889">
        <f>IFERROR(IF(B889="","",_xlfn.XLOOKUP(B889,STUDENTS!B888:B100885,STUDENTS!D888:D100885)),"update STUDENT sheet")</f>
        <v/>
      </c>
      <c r="E889">
        <f>IFERROR(IF(C889="","",_xlfn.XLOOKUP(C889,STUDENTS!C888:C100885,STUDENTS!F888:F100885)),"update STUDENT sheet")</f>
        <v/>
      </c>
      <c r="F889">
        <f>IFERROR(IF(D889="","",_xlfn.XLOOKUP(D889,STUDENTS!D888:D100885,STUDENTS!G888:G100885)),"update STUDENT sheet")</f>
        <v/>
      </c>
      <c r="G889">
        <f>IFERROR(IF(E889="","",_xlfn.XLOOKUP(E889,STUDENTS!F888:F100885,STUDENTS!H888:H100885)),"update STUDENT sheet")</f>
        <v/>
      </c>
    </row>
    <row r="890">
      <c r="B890">
        <f>IF(STUDENTS!B889="","",STUDENTS!B889)</f>
        <v/>
      </c>
      <c r="C890">
        <f>IFERROR(IF(B890="","",_xlfn.XLOOKUP(B890,STUDENTS!$B$3:$B$1048576,STUDENTS!$C$3:$C$1048576)),"Enter a registered reg. no")</f>
        <v/>
      </c>
      <c r="D890">
        <f>IFERROR(IF(B890="","",_xlfn.XLOOKUP(B890,STUDENTS!B889:B100886,STUDENTS!D889:D100886)),"update STUDENT sheet")</f>
        <v/>
      </c>
      <c r="E890">
        <f>IFERROR(IF(C890="","",_xlfn.XLOOKUP(C890,STUDENTS!C889:C100886,STUDENTS!F889:F100886)),"update STUDENT sheet")</f>
        <v/>
      </c>
      <c r="F890">
        <f>IFERROR(IF(D890="","",_xlfn.XLOOKUP(D890,STUDENTS!D889:D100886,STUDENTS!G889:G100886)),"update STUDENT sheet")</f>
        <v/>
      </c>
      <c r="G890">
        <f>IFERROR(IF(E890="","",_xlfn.XLOOKUP(E890,STUDENTS!F889:F100886,STUDENTS!H889:H100886)),"update STUDENT sheet")</f>
        <v/>
      </c>
    </row>
    <row r="891">
      <c r="B891">
        <f>IF(STUDENTS!B890="","",STUDENTS!B890)</f>
        <v/>
      </c>
      <c r="C891">
        <f>IFERROR(IF(B891="","",_xlfn.XLOOKUP(B891,STUDENTS!$B$3:$B$1048576,STUDENTS!$C$3:$C$1048576)),"Enter a registered reg. no")</f>
        <v/>
      </c>
      <c r="D891">
        <f>IFERROR(IF(B891="","",_xlfn.XLOOKUP(B891,STUDENTS!B890:B100887,STUDENTS!D890:D100887)),"update STUDENT sheet")</f>
        <v/>
      </c>
      <c r="E891">
        <f>IFERROR(IF(C891="","",_xlfn.XLOOKUP(C891,STUDENTS!C890:C100887,STUDENTS!F890:F100887)),"update STUDENT sheet")</f>
        <v/>
      </c>
      <c r="F891">
        <f>IFERROR(IF(D891="","",_xlfn.XLOOKUP(D891,STUDENTS!D890:D100887,STUDENTS!G890:G100887)),"update STUDENT sheet")</f>
        <v/>
      </c>
      <c r="G891">
        <f>IFERROR(IF(E891="","",_xlfn.XLOOKUP(E891,STUDENTS!F890:F100887,STUDENTS!H890:H100887)),"update STUDENT sheet")</f>
        <v/>
      </c>
    </row>
    <row r="892">
      <c r="B892">
        <f>IF(STUDENTS!B891="","",STUDENTS!B891)</f>
        <v/>
      </c>
      <c r="C892">
        <f>IFERROR(IF(B892="","",_xlfn.XLOOKUP(B892,STUDENTS!$B$3:$B$1048576,STUDENTS!$C$3:$C$1048576)),"Enter a registered reg. no")</f>
        <v/>
      </c>
      <c r="D892">
        <f>IFERROR(IF(B892="","",_xlfn.XLOOKUP(B892,STUDENTS!B891:B100888,STUDENTS!D891:D100888)),"update STUDENT sheet")</f>
        <v/>
      </c>
      <c r="E892">
        <f>IFERROR(IF(C892="","",_xlfn.XLOOKUP(C892,STUDENTS!C891:C100888,STUDENTS!F891:F100888)),"update STUDENT sheet")</f>
        <v/>
      </c>
      <c r="F892">
        <f>IFERROR(IF(D892="","",_xlfn.XLOOKUP(D892,STUDENTS!D891:D100888,STUDENTS!G891:G100888)),"update STUDENT sheet")</f>
        <v/>
      </c>
      <c r="G892">
        <f>IFERROR(IF(E892="","",_xlfn.XLOOKUP(E892,STUDENTS!F891:F100888,STUDENTS!H891:H100888)),"update STUDENT sheet")</f>
        <v/>
      </c>
    </row>
    <row r="893">
      <c r="B893">
        <f>IF(STUDENTS!B892="","",STUDENTS!B892)</f>
        <v/>
      </c>
      <c r="C893">
        <f>IFERROR(IF(B893="","",_xlfn.XLOOKUP(B893,STUDENTS!$B$3:$B$1048576,STUDENTS!$C$3:$C$1048576)),"Enter a registered reg. no")</f>
        <v/>
      </c>
      <c r="D893">
        <f>IFERROR(IF(B893="","",_xlfn.XLOOKUP(B893,STUDENTS!B892:B100889,STUDENTS!D892:D100889)),"update STUDENT sheet")</f>
        <v/>
      </c>
      <c r="E893">
        <f>IFERROR(IF(C893="","",_xlfn.XLOOKUP(C893,STUDENTS!C892:C100889,STUDENTS!F892:F100889)),"update STUDENT sheet")</f>
        <v/>
      </c>
      <c r="F893">
        <f>IFERROR(IF(D893="","",_xlfn.XLOOKUP(D893,STUDENTS!D892:D100889,STUDENTS!G892:G100889)),"update STUDENT sheet")</f>
        <v/>
      </c>
      <c r="G893">
        <f>IFERROR(IF(E893="","",_xlfn.XLOOKUP(E893,STUDENTS!F892:F100889,STUDENTS!H892:H100889)),"update STUDENT sheet")</f>
        <v/>
      </c>
    </row>
    <row r="894">
      <c r="B894">
        <f>IF(STUDENTS!B893="","",STUDENTS!B893)</f>
        <v/>
      </c>
      <c r="C894">
        <f>IFERROR(IF(B894="","",_xlfn.XLOOKUP(B894,STUDENTS!$B$3:$B$1048576,STUDENTS!$C$3:$C$1048576)),"Enter a registered reg. no")</f>
        <v/>
      </c>
      <c r="D894">
        <f>IFERROR(IF(B894="","",_xlfn.XLOOKUP(B894,STUDENTS!B893:B100890,STUDENTS!D893:D100890)),"update STUDENT sheet")</f>
        <v/>
      </c>
      <c r="E894">
        <f>IFERROR(IF(C894="","",_xlfn.XLOOKUP(C894,STUDENTS!C893:C100890,STUDENTS!F893:F100890)),"update STUDENT sheet")</f>
        <v/>
      </c>
      <c r="F894">
        <f>IFERROR(IF(D894="","",_xlfn.XLOOKUP(D894,STUDENTS!D893:D100890,STUDENTS!G893:G100890)),"update STUDENT sheet")</f>
        <v/>
      </c>
      <c r="G894">
        <f>IFERROR(IF(E894="","",_xlfn.XLOOKUP(E894,STUDENTS!F893:F100890,STUDENTS!H893:H100890)),"update STUDENT sheet")</f>
        <v/>
      </c>
    </row>
    <row r="895">
      <c r="B895">
        <f>IF(STUDENTS!B894="","",STUDENTS!B894)</f>
        <v/>
      </c>
      <c r="C895">
        <f>IFERROR(IF(B895="","",_xlfn.XLOOKUP(B895,STUDENTS!$B$3:$B$1048576,STUDENTS!$C$3:$C$1048576)),"Enter a registered reg. no")</f>
        <v/>
      </c>
      <c r="D895">
        <f>IFERROR(IF(B895="","",_xlfn.XLOOKUP(B895,STUDENTS!B894:B100891,STUDENTS!D894:D100891)),"update STUDENT sheet")</f>
        <v/>
      </c>
      <c r="E895">
        <f>IFERROR(IF(C895="","",_xlfn.XLOOKUP(C895,STUDENTS!C894:C100891,STUDENTS!F894:F100891)),"update STUDENT sheet")</f>
        <v/>
      </c>
      <c r="F895">
        <f>IFERROR(IF(D895="","",_xlfn.XLOOKUP(D895,STUDENTS!D894:D100891,STUDENTS!G894:G100891)),"update STUDENT sheet")</f>
        <v/>
      </c>
      <c r="G895">
        <f>IFERROR(IF(E895="","",_xlfn.XLOOKUP(E895,STUDENTS!F894:F100891,STUDENTS!H894:H100891)),"update STUDENT sheet")</f>
        <v/>
      </c>
    </row>
    <row r="896">
      <c r="B896">
        <f>IF(STUDENTS!B895="","",STUDENTS!B895)</f>
        <v/>
      </c>
      <c r="C896">
        <f>IFERROR(IF(B896="","",_xlfn.XLOOKUP(B896,STUDENTS!$B$3:$B$1048576,STUDENTS!$C$3:$C$1048576)),"Enter a registered reg. no")</f>
        <v/>
      </c>
      <c r="D896">
        <f>IFERROR(IF(B896="","",_xlfn.XLOOKUP(B896,STUDENTS!B895:B100892,STUDENTS!D895:D100892)),"update STUDENT sheet")</f>
        <v/>
      </c>
      <c r="E896">
        <f>IFERROR(IF(C896="","",_xlfn.XLOOKUP(C896,STUDENTS!C895:C100892,STUDENTS!F895:F100892)),"update STUDENT sheet")</f>
        <v/>
      </c>
      <c r="F896">
        <f>IFERROR(IF(D896="","",_xlfn.XLOOKUP(D896,STUDENTS!D895:D100892,STUDENTS!G895:G100892)),"update STUDENT sheet")</f>
        <v/>
      </c>
      <c r="G896">
        <f>IFERROR(IF(E896="","",_xlfn.XLOOKUP(E896,STUDENTS!F895:F100892,STUDENTS!H895:H100892)),"update STUDENT sheet")</f>
        <v/>
      </c>
    </row>
    <row r="897">
      <c r="B897">
        <f>IF(STUDENTS!B896="","",STUDENTS!B896)</f>
        <v/>
      </c>
      <c r="C897">
        <f>IFERROR(IF(B897="","",_xlfn.XLOOKUP(B897,STUDENTS!$B$3:$B$1048576,STUDENTS!$C$3:$C$1048576)),"Enter a registered reg. no")</f>
        <v/>
      </c>
      <c r="D897">
        <f>IFERROR(IF(B897="","",_xlfn.XLOOKUP(B897,STUDENTS!B896:B100893,STUDENTS!D896:D100893)),"update STUDENT sheet")</f>
        <v/>
      </c>
      <c r="E897">
        <f>IFERROR(IF(C897="","",_xlfn.XLOOKUP(C897,STUDENTS!C896:C100893,STUDENTS!F896:F100893)),"update STUDENT sheet")</f>
        <v/>
      </c>
      <c r="F897">
        <f>IFERROR(IF(D897="","",_xlfn.XLOOKUP(D897,STUDENTS!D896:D100893,STUDENTS!G896:G100893)),"update STUDENT sheet")</f>
        <v/>
      </c>
      <c r="G897">
        <f>IFERROR(IF(E897="","",_xlfn.XLOOKUP(E897,STUDENTS!F896:F100893,STUDENTS!H896:H100893)),"update STUDENT sheet")</f>
        <v/>
      </c>
    </row>
    <row r="898">
      <c r="B898">
        <f>IF(STUDENTS!B897="","",STUDENTS!B897)</f>
        <v/>
      </c>
      <c r="C898">
        <f>IFERROR(IF(B898="","",_xlfn.XLOOKUP(B898,STUDENTS!$B$3:$B$1048576,STUDENTS!$C$3:$C$1048576)),"Enter a registered reg. no")</f>
        <v/>
      </c>
      <c r="D898">
        <f>IFERROR(IF(B898="","",_xlfn.XLOOKUP(B898,STUDENTS!B897:B100894,STUDENTS!D897:D100894)),"update STUDENT sheet")</f>
        <v/>
      </c>
      <c r="E898">
        <f>IFERROR(IF(C898="","",_xlfn.XLOOKUP(C898,STUDENTS!C897:C100894,STUDENTS!F897:F100894)),"update STUDENT sheet")</f>
        <v/>
      </c>
      <c r="F898">
        <f>IFERROR(IF(D898="","",_xlfn.XLOOKUP(D898,STUDENTS!D897:D100894,STUDENTS!G897:G100894)),"update STUDENT sheet")</f>
        <v/>
      </c>
      <c r="G898">
        <f>IFERROR(IF(E898="","",_xlfn.XLOOKUP(E898,STUDENTS!F897:F100894,STUDENTS!H897:H100894)),"update STUDENT sheet")</f>
        <v/>
      </c>
    </row>
    <row r="899">
      <c r="B899">
        <f>IF(STUDENTS!B898="","",STUDENTS!B898)</f>
        <v/>
      </c>
      <c r="C899">
        <f>IFERROR(IF(B899="","",_xlfn.XLOOKUP(B899,STUDENTS!$B$3:$B$1048576,STUDENTS!$C$3:$C$1048576)),"Enter a registered reg. no")</f>
        <v/>
      </c>
      <c r="D899">
        <f>IFERROR(IF(B899="","",_xlfn.XLOOKUP(B899,STUDENTS!B898:B100895,STUDENTS!D898:D100895)),"update STUDENT sheet")</f>
        <v/>
      </c>
      <c r="E899">
        <f>IFERROR(IF(C899="","",_xlfn.XLOOKUP(C899,STUDENTS!C898:C100895,STUDENTS!F898:F100895)),"update STUDENT sheet")</f>
        <v/>
      </c>
      <c r="F899">
        <f>IFERROR(IF(D899="","",_xlfn.XLOOKUP(D899,STUDENTS!D898:D100895,STUDENTS!G898:G100895)),"update STUDENT sheet")</f>
        <v/>
      </c>
      <c r="G899">
        <f>IFERROR(IF(E899="","",_xlfn.XLOOKUP(E899,STUDENTS!F898:F100895,STUDENTS!H898:H100895)),"update STUDENT sheet")</f>
        <v/>
      </c>
    </row>
    <row r="900">
      <c r="B900">
        <f>IF(STUDENTS!B899="","",STUDENTS!B899)</f>
        <v/>
      </c>
      <c r="C900">
        <f>IFERROR(IF(B900="","",_xlfn.XLOOKUP(B900,STUDENTS!$B$3:$B$1048576,STUDENTS!$C$3:$C$1048576)),"Enter a registered reg. no")</f>
        <v/>
      </c>
      <c r="D900">
        <f>IFERROR(IF(B900="","",_xlfn.XLOOKUP(B900,STUDENTS!B899:B100896,STUDENTS!D899:D100896)),"update STUDENT sheet")</f>
        <v/>
      </c>
      <c r="E900">
        <f>IFERROR(IF(C900="","",_xlfn.XLOOKUP(C900,STUDENTS!C899:C100896,STUDENTS!F899:F100896)),"update STUDENT sheet")</f>
        <v/>
      </c>
      <c r="F900">
        <f>IFERROR(IF(D900="","",_xlfn.XLOOKUP(D900,STUDENTS!D899:D100896,STUDENTS!G899:G100896)),"update STUDENT sheet")</f>
        <v/>
      </c>
      <c r="G900">
        <f>IFERROR(IF(E900="","",_xlfn.XLOOKUP(E900,STUDENTS!F899:F100896,STUDENTS!H899:H100896)),"update STUDENT sheet")</f>
        <v/>
      </c>
    </row>
    <row r="901">
      <c r="B901">
        <f>IF(STUDENTS!B900="","",STUDENTS!B900)</f>
        <v/>
      </c>
      <c r="C901">
        <f>IFERROR(IF(B901="","",_xlfn.XLOOKUP(B901,STUDENTS!$B$3:$B$1048576,STUDENTS!$C$3:$C$1048576)),"Enter a registered reg. no")</f>
        <v/>
      </c>
      <c r="D901">
        <f>IFERROR(IF(B901="","",_xlfn.XLOOKUP(B901,STUDENTS!B900:B100897,STUDENTS!D900:D100897)),"update STUDENT sheet")</f>
        <v/>
      </c>
      <c r="E901">
        <f>IFERROR(IF(C901="","",_xlfn.XLOOKUP(C901,STUDENTS!C900:C100897,STUDENTS!F900:F100897)),"update STUDENT sheet")</f>
        <v/>
      </c>
      <c r="F901">
        <f>IFERROR(IF(D901="","",_xlfn.XLOOKUP(D901,STUDENTS!D900:D100897,STUDENTS!G900:G100897)),"update STUDENT sheet")</f>
        <v/>
      </c>
      <c r="G901">
        <f>IFERROR(IF(E901="","",_xlfn.XLOOKUP(E901,STUDENTS!F900:F100897,STUDENTS!H900:H100897)),"update STUDENT sheet")</f>
        <v/>
      </c>
    </row>
    <row r="902">
      <c r="B902">
        <f>IF(STUDENTS!B901="","",STUDENTS!B901)</f>
        <v/>
      </c>
      <c r="C902">
        <f>IFERROR(IF(B902="","",_xlfn.XLOOKUP(B902,STUDENTS!$B$3:$B$1048576,STUDENTS!$C$3:$C$1048576)),"Enter a registered reg. no")</f>
        <v/>
      </c>
      <c r="D902">
        <f>IFERROR(IF(B902="","",_xlfn.XLOOKUP(B902,STUDENTS!B901:B100898,STUDENTS!D901:D100898)),"update STUDENT sheet")</f>
        <v/>
      </c>
      <c r="E902">
        <f>IFERROR(IF(C902="","",_xlfn.XLOOKUP(C902,STUDENTS!C901:C100898,STUDENTS!F901:F100898)),"update STUDENT sheet")</f>
        <v/>
      </c>
      <c r="F902">
        <f>IFERROR(IF(D902="","",_xlfn.XLOOKUP(D902,STUDENTS!D901:D100898,STUDENTS!G901:G100898)),"update STUDENT sheet")</f>
        <v/>
      </c>
      <c r="G902">
        <f>IFERROR(IF(E902="","",_xlfn.XLOOKUP(E902,STUDENTS!F901:F100898,STUDENTS!H901:H100898)),"update STUDENT sheet")</f>
        <v/>
      </c>
    </row>
    <row r="903">
      <c r="B903">
        <f>IF(STUDENTS!B902="","",STUDENTS!B902)</f>
        <v/>
      </c>
      <c r="C903">
        <f>IFERROR(IF(B903="","",_xlfn.XLOOKUP(B903,STUDENTS!$B$3:$B$1048576,STUDENTS!$C$3:$C$1048576)),"Enter a registered reg. no")</f>
        <v/>
      </c>
      <c r="D903">
        <f>IFERROR(IF(B903="","",_xlfn.XLOOKUP(B903,STUDENTS!B902:B100899,STUDENTS!D902:D100899)),"update STUDENT sheet")</f>
        <v/>
      </c>
      <c r="E903">
        <f>IFERROR(IF(C903="","",_xlfn.XLOOKUP(C903,STUDENTS!C902:C100899,STUDENTS!F902:F100899)),"update STUDENT sheet")</f>
        <v/>
      </c>
      <c r="F903">
        <f>IFERROR(IF(D903="","",_xlfn.XLOOKUP(D903,STUDENTS!D902:D100899,STUDENTS!G902:G100899)),"update STUDENT sheet")</f>
        <v/>
      </c>
      <c r="G903">
        <f>IFERROR(IF(E903="","",_xlfn.XLOOKUP(E903,STUDENTS!F902:F100899,STUDENTS!H902:H100899)),"update STUDENT sheet")</f>
        <v/>
      </c>
    </row>
    <row r="904">
      <c r="B904">
        <f>IF(STUDENTS!B903="","",STUDENTS!B903)</f>
        <v/>
      </c>
      <c r="C904">
        <f>IFERROR(IF(B904="","",_xlfn.XLOOKUP(B904,STUDENTS!$B$3:$B$1048576,STUDENTS!$C$3:$C$1048576)),"Enter a registered reg. no")</f>
        <v/>
      </c>
      <c r="D904">
        <f>IFERROR(IF(B904="","",_xlfn.XLOOKUP(B904,STUDENTS!B903:B100900,STUDENTS!D903:D100900)),"update STUDENT sheet")</f>
        <v/>
      </c>
      <c r="E904">
        <f>IFERROR(IF(C904="","",_xlfn.XLOOKUP(C904,STUDENTS!C903:C100900,STUDENTS!F903:F100900)),"update STUDENT sheet")</f>
        <v/>
      </c>
      <c r="F904">
        <f>IFERROR(IF(D904="","",_xlfn.XLOOKUP(D904,STUDENTS!D903:D100900,STUDENTS!G903:G100900)),"update STUDENT sheet")</f>
        <v/>
      </c>
      <c r="G904">
        <f>IFERROR(IF(E904="","",_xlfn.XLOOKUP(E904,STUDENTS!F903:F100900,STUDENTS!H903:H100900)),"update STUDENT sheet")</f>
        <v/>
      </c>
    </row>
    <row r="905">
      <c r="B905">
        <f>IF(STUDENTS!B904="","",STUDENTS!B904)</f>
        <v/>
      </c>
      <c r="C905">
        <f>IFERROR(IF(B905="","",_xlfn.XLOOKUP(B905,STUDENTS!$B$3:$B$1048576,STUDENTS!$C$3:$C$1048576)),"Enter a registered reg. no")</f>
        <v/>
      </c>
      <c r="D905">
        <f>IFERROR(IF(B905="","",_xlfn.XLOOKUP(B905,STUDENTS!B904:B100901,STUDENTS!D904:D100901)),"update STUDENT sheet")</f>
        <v/>
      </c>
      <c r="E905">
        <f>IFERROR(IF(C905="","",_xlfn.XLOOKUP(C905,STUDENTS!C904:C100901,STUDENTS!F904:F100901)),"update STUDENT sheet")</f>
        <v/>
      </c>
      <c r="F905">
        <f>IFERROR(IF(D905="","",_xlfn.XLOOKUP(D905,STUDENTS!D904:D100901,STUDENTS!G904:G100901)),"update STUDENT sheet")</f>
        <v/>
      </c>
      <c r="G905">
        <f>IFERROR(IF(E905="","",_xlfn.XLOOKUP(E905,STUDENTS!F904:F100901,STUDENTS!H904:H100901)),"update STUDENT sheet")</f>
        <v/>
      </c>
    </row>
    <row r="906">
      <c r="B906">
        <f>IF(STUDENTS!B905="","",STUDENTS!B905)</f>
        <v/>
      </c>
      <c r="C906">
        <f>IFERROR(IF(B906="","",_xlfn.XLOOKUP(B906,STUDENTS!$B$3:$B$1048576,STUDENTS!$C$3:$C$1048576)),"Enter a registered reg. no")</f>
        <v/>
      </c>
      <c r="D906">
        <f>IFERROR(IF(B906="","",_xlfn.XLOOKUP(B906,STUDENTS!B905:B100902,STUDENTS!D905:D100902)),"update STUDENT sheet")</f>
        <v/>
      </c>
      <c r="E906">
        <f>IFERROR(IF(C906="","",_xlfn.XLOOKUP(C906,STUDENTS!C905:C100902,STUDENTS!F905:F100902)),"update STUDENT sheet")</f>
        <v/>
      </c>
      <c r="F906">
        <f>IFERROR(IF(D906="","",_xlfn.XLOOKUP(D906,STUDENTS!D905:D100902,STUDENTS!G905:G100902)),"update STUDENT sheet")</f>
        <v/>
      </c>
      <c r="G906">
        <f>IFERROR(IF(E906="","",_xlfn.XLOOKUP(E906,STUDENTS!F905:F100902,STUDENTS!H905:H100902)),"update STUDENT sheet")</f>
        <v/>
      </c>
    </row>
    <row r="907">
      <c r="B907">
        <f>IF(STUDENTS!B906="","",STUDENTS!B906)</f>
        <v/>
      </c>
      <c r="C907">
        <f>IFERROR(IF(B907="","",_xlfn.XLOOKUP(B907,STUDENTS!$B$3:$B$1048576,STUDENTS!$C$3:$C$1048576)),"Enter a registered reg. no")</f>
        <v/>
      </c>
      <c r="D907">
        <f>IFERROR(IF(B907="","",_xlfn.XLOOKUP(B907,STUDENTS!B906:B100903,STUDENTS!D906:D100903)),"update STUDENT sheet")</f>
        <v/>
      </c>
      <c r="E907">
        <f>IFERROR(IF(C907="","",_xlfn.XLOOKUP(C907,STUDENTS!C906:C100903,STUDENTS!F906:F100903)),"update STUDENT sheet")</f>
        <v/>
      </c>
      <c r="F907">
        <f>IFERROR(IF(D907="","",_xlfn.XLOOKUP(D907,STUDENTS!D906:D100903,STUDENTS!G906:G100903)),"update STUDENT sheet")</f>
        <v/>
      </c>
      <c r="G907">
        <f>IFERROR(IF(E907="","",_xlfn.XLOOKUP(E907,STUDENTS!F906:F100903,STUDENTS!H906:H100903)),"update STUDENT sheet")</f>
        <v/>
      </c>
    </row>
    <row r="908">
      <c r="B908">
        <f>IF(STUDENTS!B907="","",STUDENTS!B907)</f>
        <v/>
      </c>
      <c r="C908">
        <f>IFERROR(IF(B908="","",_xlfn.XLOOKUP(B908,STUDENTS!$B$3:$B$1048576,STUDENTS!$C$3:$C$1048576)),"Enter a registered reg. no")</f>
        <v/>
      </c>
      <c r="D908">
        <f>IFERROR(IF(B908="","",_xlfn.XLOOKUP(B908,STUDENTS!B907:B100904,STUDENTS!D907:D100904)),"update STUDENT sheet")</f>
        <v/>
      </c>
      <c r="E908">
        <f>IFERROR(IF(C908="","",_xlfn.XLOOKUP(C908,STUDENTS!C907:C100904,STUDENTS!F907:F100904)),"update STUDENT sheet")</f>
        <v/>
      </c>
      <c r="F908">
        <f>IFERROR(IF(D908="","",_xlfn.XLOOKUP(D908,STUDENTS!D907:D100904,STUDENTS!G907:G100904)),"update STUDENT sheet")</f>
        <v/>
      </c>
      <c r="G908">
        <f>IFERROR(IF(E908="","",_xlfn.XLOOKUP(E908,STUDENTS!F907:F100904,STUDENTS!H907:H100904)),"update STUDENT sheet")</f>
        <v/>
      </c>
    </row>
    <row r="909">
      <c r="B909">
        <f>IF(STUDENTS!B908="","",STUDENTS!B908)</f>
        <v/>
      </c>
      <c r="C909">
        <f>IFERROR(IF(B909="","",_xlfn.XLOOKUP(B909,STUDENTS!$B$3:$B$1048576,STUDENTS!$C$3:$C$1048576)),"Enter a registered reg. no")</f>
        <v/>
      </c>
      <c r="D909">
        <f>IFERROR(IF(B909="","",_xlfn.XLOOKUP(B909,STUDENTS!B908:B100905,STUDENTS!D908:D100905)),"update STUDENT sheet")</f>
        <v/>
      </c>
      <c r="E909">
        <f>IFERROR(IF(C909="","",_xlfn.XLOOKUP(C909,STUDENTS!C908:C100905,STUDENTS!F908:F100905)),"update STUDENT sheet")</f>
        <v/>
      </c>
      <c r="F909">
        <f>IFERROR(IF(D909="","",_xlfn.XLOOKUP(D909,STUDENTS!D908:D100905,STUDENTS!G908:G100905)),"update STUDENT sheet")</f>
        <v/>
      </c>
      <c r="G909">
        <f>IFERROR(IF(E909="","",_xlfn.XLOOKUP(E909,STUDENTS!F908:F100905,STUDENTS!H908:H100905)),"update STUDENT sheet")</f>
        <v/>
      </c>
    </row>
    <row r="910">
      <c r="B910">
        <f>IF(STUDENTS!B909="","",STUDENTS!B909)</f>
        <v/>
      </c>
      <c r="C910">
        <f>IFERROR(IF(B910="","",_xlfn.XLOOKUP(B910,STUDENTS!$B$3:$B$1048576,STUDENTS!$C$3:$C$1048576)),"Enter a registered reg. no")</f>
        <v/>
      </c>
      <c r="D910">
        <f>IFERROR(IF(B910="","",_xlfn.XLOOKUP(B910,STUDENTS!B909:B100906,STUDENTS!D909:D100906)),"update STUDENT sheet")</f>
        <v/>
      </c>
      <c r="E910">
        <f>IFERROR(IF(C910="","",_xlfn.XLOOKUP(C910,STUDENTS!C909:C100906,STUDENTS!F909:F100906)),"update STUDENT sheet")</f>
        <v/>
      </c>
      <c r="F910">
        <f>IFERROR(IF(D910="","",_xlfn.XLOOKUP(D910,STUDENTS!D909:D100906,STUDENTS!G909:G100906)),"update STUDENT sheet")</f>
        <v/>
      </c>
      <c r="G910">
        <f>IFERROR(IF(E910="","",_xlfn.XLOOKUP(E910,STUDENTS!F909:F100906,STUDENTS!H909:H100906)),"update STUDENT sheet")</f>
        <v/>
      </c>
    </row>
    <row r="911">
      <c r="B911">
        <f>IF(STUDENTS!B910="","",STUDENTS!B910)</f>
        <v/>
      </c>
      <c r="C911">
        <f>IFERROR(IF(B911="","",_xlfn.XLOOKUP(B911,STUDENTS!$B$3:$B$1048576,STUDENTS!$C$3:$C$1048576)),"Enter a registered reg. no")</f>
        <v/>
      </c>
      <c r="D911">
        <f>IFERROR(IF(B911="","",_xlfn.XLOOKUP(B911,STUDENTS!B910:B100907,STUDENTS!D910:D100907)),"update STUDENT sheet")</f>
        <v/>
      </c>
      <c r="E911">
        <f>IFERROR(IF(C911="","",_xlfn.XLOOKUP(C911,STUDENTS!C910:C100907,STUDENTS!F910:F100907)),"update STUDENT sheet")</f>
        <v/>
      </c>
      <c r="F911">
        <f>IFERROR(IF(D911="","",_xlfn.XLOOKUP(D911,STUDENTS!D910:D100907,STUDENTS!G910:G100907)),"update STUDENT sheet")</f>
        <v/>
      </c>
      <c r="G911">
        <f>IFERROR(IF(E911="","",_xlfn.XLOOKUP(E911,STUDENTS!F910:F100907,STUDENTS!H910:H100907)),"update STUDENT sheet")</f>
        <v/>
      </c>
    </row>
    <row r="912">
      <c r="B912">
        <f>IF(STUDENTS!B911="","",STUDENTS!B911)</f>
        <v/>
      </c>
      <c r="C912">
        <f>IFERROR(IF(B912="","",_xlfn.XLOOKUP(B912,STUDENTS!$B$3:$B$1048576,STUDENTS!$C$3:$C$1048576)),"Enter a registered reg. no")</f>
        <v/>
      </c>
      <c r="D912">
        <f>IFERROR(IF(B912="","",_xlfn.XLOOKUP(B912,STUDENTS!B911:B100908,STUDENTS!D911:D100908)),"update STUDENT sheet")</f>
        <v/>
      </c>
      <c r="E912">
        <f>IFERROR(IF(C912="","",_xlfn.XLOOKUP(C912,STUDENTS!C911:C100908,STUDENTS!F911:F100908)),"update STUDENT sheet")</f>
        <v/>
      </c>
      <c r="F912">
        <f>IFERROR(IF(D912="","",_xlfn.XLOOKUP(D912,STUDENTS!D911:D100908,STUDENTS!G911:G100908)),"update STUDENT sheet")</f>
        <v/>
      </c>
      <c r="G912">
        <f>IFERROR(IF(E912="","",_xlfn.XLOOKUP(E912,STUDENTS!F911:F100908,STUDENTS!H911:H100908)),"update STUDENT sheet")</f>
        <v/>
      </c>
    </row>
    <row r="913">
      <c r="B913">
        <f>IF(STUDENTS!B912="","",STUDENTS!B912)</f>
        <v/>
      </c>
      <c r="C913">
        <f>IFERROR(IF(B913="","",_xlfn.XLOOKUP(B913,STUDENTS!$B$3:$B$1048576,STUDENTS!$C$3:$C$1048576)),"Enter a registered reg. no")</f>
        <v/>
      </c>
      <c r="D913">
        <f>IFERROR(IF(B913="","",_xlfn.XLOOKUP(B913,STUDENTS!B912:B100909,STUDENTS!D912:D100909)),"update STUDENT sheet")</f>
        <v/>
      </c>
      <c r="E913">
        <f>IFERROR(IF(C913="","",_xlfn.XLOOKUP(C913,STUDENTS!C912:C100909,STUDENTS!F912:F100909)),"update STUDENT sheet")</f>
        <v/>
      </c>
      <c r="F913">
        <f>IFERROR(IF(D913="","",_xlfn.XLOOKUP(D913,STUDENTS!D912:D100909,STUDENTS!G912:G100909)),"update STUDENT sheet")</f>
        <v/>
      </c>
      <c r="G913">
        <f>IFERROR(IF(E913="","",_xlfn.XLOOKUP(E913,STUDENTS!F912:F100909,STUDENTS!H912:H100909)),"update STUDENT sheet")</f>
        <v/>
      </c>
    </row>
    <row r="914">
      <c r="B914">
        <f>IF(STUDENTS!B913="","",STUDENTS!B913)</f>
        <v/>
      </c>
      <c r="C914">
        <f>IFERROR(IF(B914="","",_xlfn.XLOOKUP(B914,STUDENTS!$B$3:$B$1048576,STUDENTS!$C$3:$C$1048576)),"Enter a registered reg. no")</f>
        <v/>
      </c>
      <c r="D914">
        <f>IFERROR(IF(B914="","",_xlfn.XLOOKUP(B914,STUDENTS!B913:B100910,STUDENTS!D913:D100910)),"update STUDENT sheet")</f>
        <v/>
      </c>
      <c r="E914">
        <f>IFERROR(IF(C914="","",_xlfn.XLOOKUP(C914,STUDENTS!C913:C100910,STUDENTS!F913:F100910)),"update STUDENT sheet")</f>
        <v/>
      </c>
      <c r="F914">
        <f>IFERROR(IF(D914="","",_xlfn.XLOOKUP(D914,STUDENTS!D913:D100910,STUDENTS!G913:G100910)),"update STUDENT sheet")</f>
        <v/>
      </c>
      <c r="G914">
        <f>IFERROR(IF(E914="","",_xlfn.XLOOKUP(E914,STUDENTS!F913:F100910,STUDENTS!H913:H100910)),"update STUDENT sheet")</f>
        <v/>
      </c>
    </row>
    <row r="915">
      <c r="B915">
        <f>IF(STUDENTS!B914="","",STUDENTS!B914)</f>
        <v/>
      </c>
      <c r="C915">
        <f>IFERROR(IF(B915="","",_xlfn.XLOOKUP(B915,STUDENTS!$B$3:$B$1048576,STUDENTS!$C$3:$C$1048576)),"Enter a registered reg. no")</f>
        <v/>
      </c>
      <c r="D915">
        <f>IFERROR(IF(B915="","",_xlfn.XLOOKUP(B915,STUDENTS!B914:B100911,STUDENTS!D914:D100911)),"update STUDENT sheet")</f>
        <v/>
      </c>
      <c r="E915">
        <f>IFERROR(IF(C915="","",_xlfn.XLOOKUP(C915,STUDENTS!C914:C100911,STUDENTS!F914:F100911)),"update STUDENT sheet")</f>
        <v/>
      </c>
      <c r="F915">
        <f>IFERROR(IF(D915="","",_xlfn.XLOOKUP(D915,STUDENTS!D914:D100911,STUDENTS!G914:G100911)),"update STUDENT sheet")</f>
        <v/>
      </c>
      <c r="G915">
        <f>IFERROR(IF(E915="","",_xlfn.XLOOKUP(E915,STUDENTS!F914:F100911,STUDENTS!H914:H100911)),"update STUDENT sheet")</f>
        <v/>
      </c>
    </row>
    <row r="916">
      <c r="B916">
        <f>IF(STUDENTS!B915="","",STUDENTS!B915)</f>
        <v/>
      </c>
      <c r="C916">
        <f>IFERROR(IF(B916="","",_xlfn.XLOOKUP(B916,STUDENTS!$B$3:$B$1048576,STUDENTS!$C$3:$C$1048576)),"Enter a registered reg. no")</f>
        <v/>
      </c>
      <c r="D916">
        <f>IFERROR(IF(B916="","",_xlfn.XLOOKUP(B916,STUDENTS!B915:B100912,STUDENTS!D915:D100912)),"update STUDENT sheet")</f>
        <v/>
      </c>
      <c r="E916">
        <f>IFERROR(IF(C916="","",_xlfn.XLOOKUP(C916,STUDENTS!C915:C100912,STUDENTS!F915:F100912)),"update STUDENT sheet")</f>
        <v/>
      </c>
      <c r="F916">
        <f>IFERROR(IF(D916="","",_xlfn.XLOOKUP(D916,STUDENTS!D915:D100912,STUDENTS!G915:G100912)),"update STUDENT sheet")</f>
        <v/>
      </c>
      <c r="G916">
        <f>IFERROR(IF(E916="","",_xlfn.XLOOKUP(E916,STUDENTS!F915:F100912,STUDENTS!H915:H100912)),"update STUDENT sheet")</f>
        <v/>
      </c>
    </row>
    <row r="917">
      <c r="B917">
        <f>IF(STUDENTS!B916="","",STUDENTS!B916)</f>
        <v/>
      </c>
      <c r="C917">
        <f>IFERROR(IF(B917="","",_xlfn.XLOOKUP(B917,STUDENTS!$B$3:$B$1048576,STUDENTS!$C$3:$C$1048576)),"Enter a registered reg. no")</f>
        <v/>
      </c>
      <c r="D917">
        <f>IFERROR(IF(B917="","",_xlfn.XLOOKUP(B917,STUDENTS!B916:B100913,STUDENTS!D916:D100913)),"update STUDENT sheet")</f>
        <v/>
      </c>
      <c r="E917">
        <f>IFERROR(IF(C917="","",_xlfn.XLOOKUP(C917,STUDENTS!C916:C100913,STUDENTS!F916:F100913)),"update STUDENT sheet")</f>
        <v/>
      </c>
      <c r="F917">
        <f>IFERROR(IF(D917="","",_xlfn.XLOOKUP(D917,STUDENTS!D916:D100913,STUDENTS!G916:G100913)),"update STUDENT sheet")</f>
        <v/>
      </c>
      <c r="G917">
        <f>IFERROR(IF(E917="","",_xlfn.XLOOKUP(E917,STUDENTS!F916:F100913,STUDENTS!H916:H100913)),"update STUDENT sheet")</f>
        <v/>
      </c>
    </row>
    <row r="918">
      <c r="B918">
        <f>IF(STUDENTS!B917="","",STUDENTS!B917)</f>
        <v/>
      </c>
      <c r="C918">
        <f>IFERROR(IF(B918="","",_xlfn.XLOOKUP(B918,STUDENTS!$B$3:$B$1048576,STUDENTS!$C$3:$C$1048576)),"Enter a registered reg. no")</f>
        <v/>
      </c>
      <c r="D918">
        <f>IFERROR(IF(B918="","",_xlfn.XLOOKUP(B918,STUDENTS!B917:B100914,STUDENTS!D917:D100914)),"update STUDENT sheet")</f>
        <v/>
      </c>
      <c r="E918">
        <f>IFERROR(IF(C918="","",_xlfn.XLOOKUP(C918,STUDENTS!C917:C100914,STUDENTS!F917:F100914)),"update STUDENT sheet")</f>
        <v/>
      </c>
      <c r="F918">
        <f>IFERROR(IF(D918="","",_xlfn.XLOOKUP(D918,STUDENTS!D917:D100914,STUDENTS!G917:G100914)),"update STUDENT sheet")</f>
        <v/>
      </c>
      <c r="G918">
        <f>IFERROR(IF(E918="","",_xlfn.XLOOKUP(E918,STUDENTS!F917:F100914,STUDENTS!H917:H100914)),"update STUDENT sheet")</f>
        <v/>
      </c>
    </row>
    <row r="919">
      <c r="B919">
        <f>IF(STUDENTS!B918="","",STUDENTS!B918)</f>
        <v/>
      </c>
      <c r="C919">
        <f>IFERROR(IF(B919="","",_xlfn.XLOOKUP(B919,STUDENTS!$B$3:$B$1048576,STUDENTS!$C$3:$C$1048576)),"Enter a registered reg. no")</f>
        <v/>
      </c>
      <c r="D919">
        <f>IFERROR(IF(B919="","",_xlfn.XLOOKUP(B919,STUDENTS!B918:B100915,STUDENTS!D918:D100915)),"update STUDENT sheet")</f>
        <v/>
      </c>
      <c r="E919">
        <f>IFERROR(IF(C919="","",_xlfn.XLOOKUP(C919,STUDENTS!C918:C100915,STUDENTS!F918:F100915)),"update STUDENT sheet")</f>
        <v/>
      </c>
      <c r="F919">
        <f>IFERROR(IF(D919="","",_xlfn.XLOOKUP(D919,STUDENTS!D918:D100915,STUDENTS!G918:G100915)),"update STUDENT sheet")</f>
        <v/>
      </c>
      <c r="G919">
        <f>IFERROR(IF(E919="","",_xlfn.XLOOKUP(E919,STUDENTS!F918:F100915,STUDENTS!H918:H100915)),"update STUDENT sheet")</f>
        <v/>
      </c>
    </row>
    <row r="920">
      <c r="B920">
        <f>IF(STUDENTS!B919="","",STUDENTS!B919)</f>
        <v/>
      </c>
      <c r="C920">
        <f>IFERROR(IF(B920="","",_xlfn.XLOOKUP(B920,STUDENTS!$B$3:$B$1048576,STUDENTS!$C$3:$C$1048576)),"Enter a registered reg. no")</f>
        <v/>
      </c>
      <c r="D920">
        <f>IFERROR(IF(B920="","",_xlfn.XLOOKUP(B920,STUDENTS!B919:B100916,STUDENTS!D919:D100916)),"update STUDENT sheet")</f>
        <v/>
      </c>
      <c r="E920">
        <f>IFERROR(IF(C920="","",_xlfn.XLOOKUP(C920,STUDENTS!C919:C100916,STUDENTS!F919:F100916)),"update STUDENT sheet")</f>
        <v/>
      </c>
      <c r="F920">
        <f>IFERROR(IF(D920="","",_xlfn.XLOOKUP(D920,STUDENTS!D919:D100916,STUDENTS!G919:G100916)),"update STUDENT sheet")</f>
        <v/>
      </c>
      <c r="G920">
        <f>IFERROR(IF(E920="","",_xlfn.XLOOKUP(E920,STUDENTS!F919:F100916,STUDENTS!H919:H100916)),"update STUDENT sheet")</f>
        <v/>
      </c>
    </row>
    <row r="921">
      <c r="B921">
        <f>IF(STUDENTS!B920="","",STUDENTS!B920)</f>
        <v/>
      </c>
      <c r="C921">
        <f>IFERROR(IF(B921="","",_xlfn.XLOOKUP(B921,STUDENTS!$B$3:$B$1048576,STUDENTS!$C$3:$C$1048576)),"Enter a registered reg. no")</f>
        <v/>
      </c>
      <c r="D921">
        <f>IFERROR(IF(B921="","",_xlfn.XLOOKUP(B921,STUDENTS!B920:B100917,STUDENTS!D920:D100917)),"update STUDENT sheet")</f>
        <v/>
      </c>
      <c r="E921">
        <f>IFERROR(IF(C921="","",_xlfn.XLOOKUP(C921,STUDENTS!C920:C100917,STUDENTS!F920:F100917)),"update STUDENT sheet")</f>
        <v/>
      </c>
      <c r="F921">
        <f>IFERROR(IF(D921="","",_xlfn.XLOOKUP(D921,STUDENTS!D920:D100917,STUDENTS!G920:G100917)),"update STUDENT sheet")</f>
        <v/>
      </c>
      <c r="G921">
        <f>IFERROR(IF(E921="","",_xlfn.XLOOKUP(E921,STUDENTS!F920:F100917,STUDENTS!H920:H100917)),"update STUDENT sheet")</f>
        <v/>
      </c>
    </row>
    <row r="922">
      <c r="B922">
        <f>IF(STUDENTS!B921="","",STUDENTS!B921)</f>
        <v/>
      </c>
      <c r="C922">
        <f>IFERROR(IF(B922="","",_xlfn.XLOOKUP(B922,STUDENTS!$B$3:$B$1048576,STUDENTS!$C$3:$C$1048576)),"Enter a registered reg. no")</f>
        <v/>
      </c>
      <c r="D922">
        <f>IFERROR(IF(B922="","",_xlfn.XLOOKUP(B922,STUDENTS!B921:B100918,STUDENTS!D921:D100918)),"update STUDENT sheet")</f>
        <v/>
      </c>
      <c r="E922">
        <f>IFERROR(IF(C922="","",_xlfn.XLOOKUP(C922,STUDENTS!C921:C100918,STUDENTS!F921:F100918)),"update STUDENT sheet")</f>
        <v/>
      </c>
      <c r="F922">
        <f>IFERROR(IF(D922="","",_xlfn.XLOOKUP(D922,STUDENTS!D921:D100918,STUDENTS!G921:G100918)),"update STUDENT sheet")</f>
        <v/>
      </c>
      <c r="G922">
        <f>IFERROR(IF(E922="","",_xlfn.XLOOKUP(E922,STUDENTS!F921:F100918,STUDENTS!H921:H100918)),"update STUDENT sheet")</f>
        <v/>
      </c>
    </row>
    <row r="923">
      <c r="B923">
        <f>IF(STUDENTS!B922="","",STUDENTS!B922)</f>
        <v/>
      </c>
      <c r="C923">
        <f>IFERROR(IF(B923="","",_xlfn.XLOOKUP(B923,STUDENTS!$B$3:$B$1048576,STUDENTS!$C$3:$C$1048576)),"Enter a registered reg. no")</f>
        <v/>
      </c>
      <c r="D923">
        <f>IFERROR(IF(B923="","",_xlfn.XLOOKUP(B923,STUDENTS!B922:B100919,STUDENTS!D922:D100919)),"update STUDENT sheet")</f>
        <v/>
      </c>
      <c r="E923">
        <f>IFERROR(IF(C923="","",_xlfn.XLOOKUP(C923,STUDENTS!C922:C100919,STUDENTS!F922:F100919)),"update STUDENT sheet")</f>
        <v/>
      </c>
      <c r="F923">
        <f>IFERROR(IF(D923="","",_xlfn.XLOOKUP(D923,STUDENTS!D922:D100919,STUDENTS!G922:G100919)),"update STUDENT sheet")</f>
        <v/>
      </c>
      <c r="G923">
        <f>IFERROR(IF(E923="","",_xlfn.XLOOKUP(E923,STUDENTS!F922:F100919,STUDENTS!H922:H100919)),"update STUDENT sheet")</f>
        <v/>
      </c>
    </row>
    <row r="924">
      <c r="B924">
        <f>IF(STUDENTS!B923="","",STUDENTS!B923)</f>
        <v/>
      </c>
      <c r="C924">
        <f>IFERROR(IF(B924="","",_xlfn.XLOOKUP(B924,STUDENTS!$B$3:$B$1048576,STUDENTS!$C$3:$C$1048576)),"Enter a registered reg. no")</f>
        <v/>
      </c>
      <c r="D924">
        <f>IFERROR(IF(B924="","",_xlfn.XLOOKUP(B924,STUDENTS!B923:B100920,STUDENTS!D923:D100920)),"update STUDENT sheet")</f>
        <v/>
      </c>
      <c r="E924">
        <f>IFERROR(IF(C924="","",_xlfn.XLOOKUP(C924,STUDENTS!C923:C100920,STUDENTS!F923:F100920)),"update STUDENT sheet")</f>
        <v/>
      </c>
      <c r="F924">
        <f>IFERROR(IF(D924="","",_xlfn.XLOOKUP(D924,STUDENTS!D923:D100920,STUDENTS!G923:G100920)),"update STUDENT sheet")</f>
        <v/>
      </c>
      <c r="G924">
        <f>IFERROR(IF(E924="","",_xlfn.XLOOKUP(E924,STUDENTS!F923:F100920,STUDENTS!H923:H100920)),"update STUDENT sheet")</f>
        <v/>
      </c>
    </row>
    <row r="925">
      <c r="B925">
        <f>IF(STUDENTS!B924="","",STUDENTS!B924)</f>
        <v/>
      </c>
      <c r="C925">
        <f>IFERROR(IF(B925="","",_xlfn.XLOOKUP(B925,STUDENTS!$B$3:$B$1048576,STUDENTS!$C$3:$C$1048576)),"Enter a registered reg. no")</f>
        <v/>
      </c>
      <c r="D925">
        <f>IFERROR(IF(B925="","",_xlfn.XLOOKUP(B925,STUDENTS!B924:B100921,STUDENTS!D924:D100921)),"update STUDENT sheet")</f>
        <v/>
      </c>
      <c r="E925">
        <f>IFERROR(IF(C925="","",_xlfn.XLOOKUP(C925,STUDENTS!C924:C100921,STUDENTS!F924:F100921)),"update STUDENT sheet")</f>
        <v/>
      </c>
      <c r="F925">
        <f>IFERROR(IF(D925="","",_xlfn.XLOOKUP(D925,STUDENTS!D924:D100921,STUDENTS!G924:G100921)),"update STUDENT sheet")</f>
        <v/>
      </c>
      <c r="G925">
        <f>IFERROR(IF(E925="","",_xlfn.XLOOKUP(E925,STUDENTS!F924:F100921,STUDENTS!H924:H100921)),"update STUDENT sheet")</f>
        <v/>
      </c>
    </row>
    <row r="926">
      <c r="B926">
        <f>IF(STUDENTS!B925="","",STUDENTS!B925)</f>
        <v/>
      </c>
      <c r="C926">
        <f>IFERROR(IF(B926="","",_xlfn.XLOOKUP(B926,STUDENTS!$B$3:$B$1048576,STUDENTS!$C$3:$C$1048576)),"Enter a registered reg. no")</f>
        <v/>
      </c>
      <c r="D926">
        <f>IFERROR(IF(B926="","",_xlfn.XLOOKUP(B926,STUDENTS!B925:B100922,STUDENTS!D925:D100922)),"update STUDENT sheet")</f>
        <v/>
      </c>
      <c r="E926">
        <f>IFERROR(IF(C926="","",_xlfn.XLOOKUP(C926,STUDENTS!C925:C100922,STUDENTS!F925:F100922)),"update STUDENT sheet")</f>
        <v/>
      </c>
      <c r="F926">
        <f>IFERROR(IF(D926="","",_xlfn.XLOOKUP(D926,STUDENTS!D925:D100922,STUDENTS!G925:G100922)),"update STUDENT sheet")</f>
        <v/>
      </c>
      <c r="G926">
        <f>IFERROR(IF(E926="","",_xlfn.XLOOKUP(E926,STUDENTS!F925:F100922,STUDENTS!H925:H100922)),"update STUDENT sheet")</f>
        <v/>
      </c>
    </row>
    <row r="927">
      <c r="B927">
        <f>IF(STUDENTS!B926="","",STUDENTS!B926)</f>
        <v/>
      </c>
      <c r="C927">
        <f>IFERROR(IF(B927="","",_xlfn.XLOOKUP(B927,STUDENTS!$B$3:$B$1048576,STUDENTS!$C$3:$C$1048576)),"Enter a registered reg. no")</f>
        <v/>
      </c>
      <c r="D927">
        <f>IFERROR(IF(B927="","",_xlfn.XLOOKUP(B927,STUDENTS!B926:B100923,STUDENTS!D926:D100923)),"update STUDENT sheet")</f>
        <v/>
      </c>
      <c r="E927">
        <f>IFERROR(IF(C927="","",_xlfn.XLOOKUP(C927,STUDENTS!C926:C100923,STUDENTS!F926:F100923)),"update STUDENT sheet")</f>
        <v/>
      </c>
      <c r="F927">
        <f>IFERROR(IF(D927="","",_xlfn.XLOOKUP(D927,STUDENTS!D926:D100923,STUDENTS!G926:G100923)),"update STUDENT sheet")</f>
        <v/>
      </c>
      <c r="G927">
        <f>IFERROR(IF(E927="","",_xlfn.XLOOKUP(E927,STUDENTS!F926:F100923,STUDENTS!H926:H100923)),"update STUDENT sheet")</f>
        <v/>
      </c>
    </row>
    <row r="928">
      <c r="B928">
        <f>IF(STUDENTS!B927="","",STUDENTS!B927)</f>
        <v/>
      </c>
      <c r="C928">
        <f>IFERROR(IF(B928="","",_xlfn.XLOOKUP(B928,STUDENTS!$B$3:$B$1048576,STUDENTS!$C$3:$C$1048576)),"Enter a registered reg. no")</f>
        <v/>
      </c>
      <c r="D928">
        <f>IFERROR(IF(B928="","",_xlfn.XLOOKUP(B928,STUDENTS!B927:B100924,STUDENTS!D927:D100924)),"update STUDENT sheet")</f>
        <v/>
      </c>
      <c r="E928">
        <f>IFERROR(IF(C928="","",_xlfn.XLOOKUP(C928,STUDENTS!C927:C100924,STUDENTS!F927:F100924)),"update STUDENT sheet")</f>
        <v/>
      </c>
      <c r="F928">
        <f>IFERROR(IF(D928="","",_xlfn.XLOOKUP(D928,STUDENTS!D927:D100924,STUDENTS!G927:G100924)),"update STUDENT sheet")</f>
        <v/>
      </c>
      <c r="G928">
        <f>IFERROR(IF(E928="","",_xlfn.XLOOKUP(E928,STUDENTS!F927:F100924,STUDENTS!H927:H100924)),"update STUDENT sheet")</f>
        <v/>
      </c>
    </row>
    <row r="929">
      <c r="B929">
        <f>IF(STUDENTS!B928="","",STUDENTS!B928)</f>
        <v/>
      </c>
      <c r="C929">
        <f>IFERROR(IF(B929="","",_xlfn.XLOOKUP(B929,STUDENTS!$B$3:$B$1048576,STUDENTS!$C$3:$C$1048576)),"Enter a registered reg. no")</f>
        <v/>
      </c>
      <c r="D929">
        <f>IFERROR(IF(B929="","",_xlfn.XLOOKUP(B929,STUDENTS!B928:B100925,STUDENTS!D928:D100925)),"update STUDENT sheet")</f>
        <v/>
      </c>
      <c r="E929">
        <f>IFERROR(IF(C929="","",_xlfn.XLOOKUP(C929,STUDENTS!C928:C100925,STUDENTS!F928:F100925)),"update STUDENT sheet")</f>
        <v/>
      </c>
      <c r="F929">
        <f>IFERROR(IF(D929="","",_xlfn.XLOOKUP(D929,STUDENTS!D928:D100925,STUDENTS!G928:G100925)),"update STUDENT sheet")</f>
        <v/>
      </c>
      <c r="G929">
        <f>IFERROR(IF(E929="","",_xlfn.XLOOKUP(E929,STUDENTS!F928:F100925,STUDENTS!H928:H100925)),"update STUDENT sheet")</f>
        <v/>
      </c>
    </row>
    <row r="930">
      <c r="B930">
        <f>IF(STUDENTS!B929="","",STUDENTS!B929)</f>
        <v/>
      </c>
      <c r="C930">
        <f>IFERROR(IF(B930="","",_xlfn.XLOOKUP(B930,STUDENTS!$B$3:$B$1048576,STUDENTS!$C$3:$C$1048576)),"Enter a registered reg. no")</f>
        <v/>
      </c>
      <c r="D930">
        <f>IFERROR(IF(B930="","",_xlfn.XLOOKUP(B930,STUDENTS!B929:B100926,STUDENTS!D929:D100926)),"update STUDENT sheet")</f>
        <v/>
      </c>
      <c r="E930">
        <f>IFERROR(IF(C930="","",_xlfn.XLOOKUP(C930,STUDENTS!C929:C100926,STUDENTS!F929:F100926)),"update STUDENT sheet")</f>
        <v/>
      </c>
      <c r="F930">
        <f>IFERROR(IF(D930="","",_xlfn.XLOOKUP(D930,STUDENTS!D929:D100926,STUDENTS!G929:G100926)),"update STUDENT sheet")</f>
        <v/>
      </c>
      <c r="G930">
        <f>IFERROR(IF(E930="","",_xlfn.XLOOKUP(E930,STUDENTS!F929:F100926,STUDENTS!H929:H100926)),"update STUDENT sheet")</f>
        <v/>
      </c>
    </row>
    <row r="931">
      <c r="B931">
        <f>IF(STUDENTS!B930="","",STUDENTS!B930)</f>
        <v/>
      </c>
      <c r="C931">
        <f>IFERROR(IF(B931="","",_xlfn.XLOOKUP(B931,STUDENTS!$B$3:$B$1048576,STUDENTS!$C$3:$C$1048576)),"Enter a registered reg. no")</f>
        <v/>
      </c>
      <c r="D931">
        <f>IFERROR(IF(B931="","",_xlfn.XLOOKUP(B931,STUDENTS!B930:B100927,STUDENTS!D930:D100927)),"update STUDENT sheet")</f>
        <v/>
      </c>
      <c r="E931">
        <f>IFERROR(IF(C931="","",_xlfn.XLOOKUP(C931,STUDENTS!C930:C100927,STUDENTS!F930:F100927)),"update STUDENT sheet")</f>
        <v/>
      </c>
      <c r="F931">
        <f>IFERROR(IF(D931="","",_xlfn.XLOOKUP(D931,STUDENTS!D930:D100927,STUDENTS!G930:G100927)),"update STUDENT sheet")</f>
        <v/>
      </c>
      <c r="G931">
        <f>IFERROR(IF(E931="","",_xlfn.XLOOKUP(E931,STUDENTS!F930:F100927,STUDENTS!H930:H100927)),"update STUDENT sheet")</f>
        <v/>
      </c>
    </row>
    <row r="932">
      <c r="B932">
        <f>IF(STUDENTS!B931="","",STUDENTS!B931)</f>
        <v/>
      </c>
      <c r="C932">
        <f>IFERROR(IF(B932="","",_xlfn.XLOOKUP(B932,STUDENTS!$B$3:$B$1048576,STUDENTS!$C$3:$C$1048576)),"Enter a registered reg. no")</f>
        <v/>
      </c>
      <c r="D932">
        <f>IFERROR(IF(B932="","",_xlfn.XLOOKUP(B932,STUDENTS!B931:B100928,STUDENTS!D931:D100928)),"update STUDENT sheet")</f>
        <v/>
      </c>
      <c r="E932">
        <f>IFERROR(IF(C932="","",_xlfn.XLOOKUP(C932,STUDENTS!C931:C100928,STUDENTS!F931:F100928)),"update STUDENT sheet")</f>
        <v/>
      </c>
      <c r="F932">
        <f>IFERROR(IF(D932="","",_xlfn.XLOOKUP(D932,STUDENTS!D931:D100928,STUDENTS!G931:G100928)),"update STUDENT sheet")</f>
        <v/>
      </c>
      <c r="G932">
        <f>IFERROR(IF(E932="","",_xlfn.XLOOKUP(E932,STUDENTS!F931:F100928,STUDENTS!H931:H100928)),"update STUDENT sheet")</f>
        <v/>
      </c>
    </row>
    <row r="933">
      <c r="B933">
        <f>IF(STUDENTS!B932="","",STUDENTS!B932)</f>
        <v/>
      </c>
      <c r="C933">
        <f>IFERROR(IF(B933="","",_xlfn.XLOOKUP(B933,STUDENTS!$B$3:$B$1048576,STUDENTS!$C$3:$C$1048576)),"Enter a registered reg. no")</f>
        <v/>
      </c>
      <c r="D933">
        <f>IFERROR(IF(B933="","",_xlfn.XLOOKUP(B933,STUDENTS!B932:B100929,STUDENTS!D932:D100929)),"update STUDENT sheet")</f>
        <v/>
      </c>
      <c r="E933">
        <f>IFERROR(IF(C933="","",_xlfn.XLOOKUP(C933,STUDENTS!C932:C100929,STUDENTS!F932:F100929)),"update STUDENT sheet")</f>
        <v/>
      </c>
      <c r="F933">
        <f>IFERROR(IF(D933="","",_xlfn.XLOOKUP(D933,STUDENTS!D932:D100929,STUDENTS!G932:G100929)),"update STUDENT sheet")</f>
        <v/>
      </c>
      <c r="G933">
        <f>IFERROR(IF(E933="","",_xlfn.XLOOKUP(E933,STUDENTS!F932:F100929,STUDENTS!H932:H100929)),"update STUDENT sheet")</f>
        <v/>
      </c>
    </row>
    <row r="934">
      <c r="B934">
        <f>IF(STUDENTS!B933="","",STUDENTS!B933)</f>
        <v/>
      </c>
      <c r="C934">
        <f>IFERROR(IF(B934="","",_xlfn.XLOOKUP(B934,STUDENTS!$B$3:$B$1048576,STUDENTS!$C$3:$C$1048576)),"Enter a registered reg. no")</f>
        <v/>
      </c>
      <c r="D934">
        <f>IFERROR(IF(B934="","",_xlfn.XLOOKUP(B934,STUDENTS!B933:B100930,STUDENTS!D933:D100930)),"update STUDENT sheet")</f>
        <v/>
      </c>
      <c r="E934">
        <f>IFERROR(IF(C934="","",_xlfn.XLOOKUP(C934,STUDENTS!C933:C100930,STUDENTS!F933:F100930)),"update STUDENT sheet")</f>
        <v/>
      </c>
      <c r="F934">
        <f>IFERROR(IF(D934="","",_xlfn.XLOOKUP(D934,STUDENTS!D933:D100930,STUDENTS!G933:G100930)),"update STUDENT sheet")</f>
        <v/>
      </c>
      <c r="G934">
        <f>IFERROR(IF(E934="","",_xlfn.XLOOKUP(E934,STUDENTS!F933:F100930,STUDENTS!H933:H100930)),"update STUDENT sheet")</f>
        <v/>
      </c>
    </row>
    <row r="935">
      <c r="B935">
        <f>IF(STUDENTS!B934="","",STUDENTS!B934)</f>
        <v/>
      </c>
      <c r="C935">
        <f>IFERROR(IF(B935="","",_xlfn.XLOOKUP(B935,STUDENTS!$B$3:$B$1048576,STUDENTS!$C$3:$C$1048576)),"Enter a registered reg. no")</f>
        <v/>
      </c>
      <c r="D935">
        <f>IFERROR(IF(B935="","",_xlfn.XLOOKUP(B935,STUDENTS!B934:B100931,STUDENTS!D934:D100931)),"update STUDENT sheet")</f>
        <v/>
      </c>
      <c r="E935">
        <f>IFERROR(IF(C935="","",_xlfn.XLOOKUP(C935,STUDENTS!C934:C100931,STUDENTS!F934:F100931)),"update STUDENT sheet")</f>
        <v/>
      </c>
      <c r="F935">
        <f>IFERROR(IF(D935="","",_xlfn.XLOOKUP(D935,STUDENTS!D934:D100931,STUDENTS!G934:G100931)),"update STUDENT sheet")</f>
        <v/>
      </c>
      <c r="G935">
        <f>IFERROR(IF(E935="","",_xlfn.XLOOKUP(E935,STUDENTS!F934:F100931,STUDENTS!H934:H100931)),"update STUDENT sheet")</f>
        <v/>
      </c>
    </row>
    <row r="936">
      <c r="B936">
        <f>IF(STUDENTS!B935="","",STUDENTS!B935)</f>
        <v/>
      </c>
      <c r="C936">
        <f>IFERROR(IF(B936="","",_xlfn.XLOOKUP(B936,STUDENTS!$B$3:$B$1048576,STUDENTS!$C$3:$C$1048576)),"Enter a registered reg. no")</f>
        <v/>
      </c>
      <c r="D936">
        <f>IFERROR(IF(B936="","",_xlfn.XLOOKUP(B936,STUDENTS!B935:B100932,STUDENTS!D935:D100932)),"update STUDENT sheet")</f>
        <v/>
      </c>
      <c r="E936">
        <f>IFERROR(IF(C936="","",_xlfn.XLOOKUP(C936,STUDENTS!C935:C100932,STUDENTS!F935:F100932)),"update STUDENT sheet")</f>
        <v/>
      </c>
      <c r="F936">
        <f>IFERROR(IF(D936="","",_xlfn.XLOOKUP(D936,STUDENTS!D935:D100932,STUDENTS!G935:G100932)),"update STUDENT sheet")</f>
        <v/>
      </c>
      <c r="G936">
        <f>IFERROR(IF(E936="","",_xlfn.XLOOKUP(E936,STUDENTS!F935:F100932,STUDENTS!H935:H100932)),"update STUDENT sheet")</f>
        <v/>
      </c>
    </row>
    <row r="937">
      <c r="B937">
        <f>IF(STUDENTS!B936="","",STUDENTS!B936)</f>
        <v/>
      </c>
      <c r="C937">
        <f>IFERROR(IF(B937="","",_xlfn.XLOOKUP(B937,STUDENTS!$B$3:$B$1048576,STUDENTS!$C$3:$C$1048576)),"Enter a registered reg. no")</f>
        <v/>
      </c>
      <c r="D937">
        <f>IFERROR(IF(B937="","",_xlfn.XLOOKUP(B937,STUDENTS!B936:B100933,STUDENTS!D936:D100933)),"update STUDENT sheet")</f>
        <v/>
      </c>
      <c r="E937">
        <f>IFERROR(IF(C937="","",_xlfn.XLOOKUP(C937,STUDENTS!C936:C100933,STUDENTS!F936:F100933)),"update STUDENT sheet")</f>
        <v/>
      </c>
      <c r="F937">
        <f>IFERROR(IF(D937="","",_xlfn.XLOOKUP(D937,STUDENTS!D936:D100933,STUDENTS!G936:G100933)),"update STUDENT sheet")</f>
        <v/>
      </c>
      <c r="G937">
        <f>IFERROR(IF(E937="","",_xlfn.XLOOKUP(E937,STUDENTS!F936:F100933,STUDENTS!H936:H100933)),"update STUDENT sheet")</f>
        <v/>
      </c>
    </row>
    <row r="938">
      <c r="B938">
        <f>IF(STUDENTS!B937="","",STUDENTS!B937)</f>
        <v/>
      </c>
      <c r="C938">
        <f>IFERROR(IF(B938="","",_xlfn.XLOOKUP(B938,STUDENTS!$B$3:$B$1048576,STUDENTS!$C$3:$C$1048576)),"Enter a registered reg. no")</f>
        <v/>
      </c>
      <c r="D938">
        <f>IFERROR(IF(B938="","",_xlfn.XLOOKUP(B938,STUDENTS!B937:B100934,STUDENTS!D937:D100934)),"update STUDENT sheet")</f>
        <v/>
      </c>
      <c r="E938">
        <f>IFERROR(IF(C938="","",_xlfn.XLOOKUP(C938,STUDENTS!C937:C100934,STUDENTS!F937:F100934)),"update STUDENT sheet")</f>
        <v/>
      </c>
      <c r="F938">
        <f>IFERROR(IF(D938="","",_xlfn.XLOOKUP(D938,STUDENTS!D937:D100934,STUDENTS!G937:G100934)),"update STUDENT sheet")</f>
        <v/>
      </c>
      <c r="G938">
        <f>IFERROR(IF(E938="","",_xlfn.XLOOKUP(E938,STUDENTS!F937:F100934,STUDENTS!H937:H100934)),"update STUDENT sheet")</f>
        <v/>
      </c>
    </row>
    <row r="939">
      <c r="B939">
        <f>IF(STUDENTS!B938="","",STUDENTS!B938)</f>
        <v/>
      </c>
      <c r="C939">
        <f>IFERROR(IF(B939="","",_xlfn.XLOOKUP(B939,STUDENTS!$B$3:$B$1048576,STUDENTS!$C$3:$C$1048576)),"Enter a registered reg. no")</f>
        <v/>
      </c>
      <c r="D939">
        <f>IFERROR(IF(B939="","",_xlfn.XLOOKUP(B939,STUDENTS!B938:B100935,STUDENTS!D938:D100935)),"update STUDENT sheet")</f>
        <v/>
      </c>
      <c r="E939">
        <f>IFERROR(IF(C939="","",_xlfn.XLOOKUP(C939,STUDENTS!C938:C100935,STUDENTS!F938:F100935)),"update STUDENT sheet")</f>
        <v/>
      </c>
      <c r="F939">
        <f>IFERROR(IF(D939="","",_xlfn.XLOOKUP(D939,STUDENTS!D938:D100935,STUDENTS!G938:G100935)),"update STUDENT sheet")</f>
        <v/>
      </c>
      <c r="G939">
        <f>IFERROR(IF(E939="","",_xlfn.XLOOKUP(E939,STUDENTS!F938:F100935,STUDENTS!H938:H100935)),"update STUDENT sheet")</f>
        <v/>
      </c>
    </row>
    <row r="940">
      <c r="B940">
        <f>IF(STUDENTS!B939="","",STUDENTS!B939)</f>
        <v/>
      </c>
      <c r="C940">
        <f>IFERROR(IF(B940="","",_xlfn.XLOOKUP(B940,STUDENTS!$B$3:$B$1048576,STUDENTS!$C$3:$C$1048576)),"Enter a registered reg. no")</f>
        <v/>
      </c>
      <c r="D940">
        <f>IFERROR(IF(B940="","",_xlfn.XLOOKUP(B940,STUDENTS!B939:B100936,STUDENTS!D939:D100936)),"update STUDENT sheet")</f>
        <v/>
      </c>
      <c r="E940">
        <f>IFERROR(IF(C940="","",_xlfn.XLOOKUP(C940,STUDENTS!C939:C100936,STUDENTS!F939:F100936)),"update STUDENT sheet")</f>
        <v/>
      </c>
      <c r="F940">
        <f>IFERROR(IF(D940="","",_xlfn.XLOOKUP(D940,STUDENTS!D939:D100936,STUDENTS!G939:G100936)),"update STUDENT sheet")</f>
        <v/>
      </c>
      <c r="G940">
        <f>IFERROR(IF(E940="","",_xlfn.XLOOKUP(E940,STUDENTS!F939:F100936,STUDENTS!H939:H100936)),"update STUDENT sheet")</f>
        <v/>
      </c>
    </row>
    <row r="941">
      <c r="B941">
        <f>IF(STUDENTS!B940="","",STUDENTS!B940)</f>
        <v/>
      </c>
      <c r="C941">
        <f>IFERROR(IF(B941="","",_xlfn.XLOOKUP(B941,STUDENTS!$B$3:$B$1048576,STUDENTS!$C$3:$C$1048576)),"Enter a registered reg. no")</f>
        <v/>
      </c>
      <c r="D941">
        <f>IFERROR(IF(B941="","",_xlfn.XLOOKUP(B941,STUDENTS!B940:B100937,STUDENTS!D940:D100937)),"update STUDENT sheet")</f>
        <v/>
      </c>
      <c r="E941">
        <f>IFERROR(IF(C941="","",_xlfn.XLOOKUP(C941,STUDENTS!C940:C100937,STUDENTS!F940:F100937)),"update STUDENT sheet")</f>
        <v/>
      </c>
      <c r="F941">
        <f>IFERROR(IF(D941="","",_xlfn.XLOOKUP(D941,STUDENTS!D940:D100937,STUDENTS!G940:G100937)),"update STUDENT sheet")</f>
        <v/>
      </c>
      <c r="G941">
        <f>IFERROR(IF(E941="","",_xlfn.XLOOKUP(E941,STUDENTS!F940:F100937,STUDENTS!H940:H100937)),"update STUDENT sheet")</f>
        <v/>
      </c>
    </row>
    <row r="942">
      <c r="B942">
        <f>IF(STUDENTS!B941="","",STUDENTS!B941)</f>
        <v/>
      </c>
      <c r="C942">
        <f>IFERROR(IF(B942="","",_xlfn.XLOOKUP(B942,STUDENTS!$B$3:$B$1048576,STUDENTS!$C$3:$C$1048576)),"Enter a registered reg. no")</f>
        <v/>
      </c>
      <c r="D942">
        <f>IFERROR(IF(B942="","",_xlfn.XLOOKUP(B942,STUDENTS!B941:B100938,STUDENTS!D941:D100938)),"update STUDENT sheet")</f>
        <v/>
      </c>
      <c r="E942">
        <f>IFERROR(IF(C942="","",_xlfn.XLOOKUP(C942,STUDENTS!C941:C100938,STUDENTS!F941:F100938)),"update STUDENT sheet")</f>
        <v/>
      </c>
      <c r="F942">
        <f>IFERROR(IF(D942="","",_xlfn.XLOOKUP(D942,STUDENTS!D941:D100938,STUDENTS!G941:G100938)),"update STUDENT sheet")</f>
        <v/>
      </c>
      <c r="G942">
        <f>IFERROR(IF(E942="","",_xlfn.XLOOKUP(E942,STUDENTS!F941:F100938,STUDENTS!H941:H100938)),"update STUDENT sheet")</f>
        <v/>
      </c>
    </row>
    <row r="943">
      <c r="B943">
        <f>IF(STUDENTS!B942="","",STUDENTS!B942)</f>
        <v/>
      </c>
      <c r="C943">
        <f>IFERROR(IF(B943="","",_xlfn.XLOOKUP(B943,STUDENTS!$B$3:$B$1048576,STUDENTS!$C$3:$C$1048576)),"Enter a registered reg. no")</f>
        <v/>
      </c>
      <c r="D943">
        <f>IFERROR(IF(B943="","",_xlfn.XLOOKUP(B943,STUDENTS!B942:B100939,STUDENTS!D942:D100939)),"update STUDENT sheet")</f>
        <v/>
      </c>
      <c r="E943">
        <f>IFERROR(IF(C943="","",_xlfn.XLOOKUP(C943,STUDENTS!C942:C100939,STUDENTS!F942:F100939)),"update STUDENT sheet")</f>
        <v/>
      </c>
      <c r="F943">
        <f>IFERROR(IF(D943="","",_xlfn.XLOOKUP(D943,STUDENTS!D942:D100939,STUDENTS!G942:G100939)),"update STUDENT sheet")</f>
        <v/>
      </c>
      <c r="G943">
        <f>IFERROR(IF(E943="","",_xlfn.XLOOKUP(E943,STUDENTS!F942:F100939,STUDENTS!H942:H100939)),"update STUDENT sheet")</f>
        <v/>
      </c>
    </row>
    <row r="944">
      <c r="B944">
        <f>IF(STUDENTS!B943="","",STUDENTS!B943)</f>
        <v/>
      </c>
      <c r="C944">
        <f>IFERROR(IF(B944="","",_xlfn.XLOOKUP(B944,STUDENTS!$B$3:$B$1048576,STUDENTS!$C$3:$C$1048576)),"Enter a registered reg. no")</f>
        <v/>
      </c>
      <c r="D944">
        <f>IFERROR(IF(B944="","",_xlfn.XLOOKUP(B944,STUDENTS!B943:B100940,STUDENTS!D943:D100940)),"update STUDENT sheet")</f>
        <v/>
      </c>
      <c r="E944">
        <f>IFERROR(IF(C944="","",_xlfn.XLOOKUP(C944,STUDENTS!C943:C100940,STUDENTS!F943:F100940)),"update STUDENT sheet")</f>
        <v/>
      </c>
      <c r="F944">
        <f>IFERROR(IF(D944="","",_xlfn.XLOOKUP(D944,STUDENTS!D943:D100940,STUDENTS!G943:G100940)),"update STUDENT sheet")</f>
        <v/>
      </c>
      <c r="G944">
        <f>IFERROR(IF(E944="","",_xlfn.XLOOKUP(E944,STUDENTS!F943:F100940,STUDENTS!H943:H100940)),"update STUDENT sheet")</f>
        <v/>
      </c>
    </row>
    <row r="945">
      <c r="B945">
        <f>IF(STUDENTS!B944="","",STUDENTS!B944)</f>
        <v/>
      </c>
      <c r="C945">
        <f>IFERROR(IF(B945="","",_xlfn.XLOOKUP(B945,STUDENTS!$B$3:$B$1048576,STUDENTS!$C$3:$C$1048576)),"Enter a registered reg. no")</f>
        <v/>
      </c>
      <c r="D945">
        <f>IFERROR(IF(B945="","",_xlfn.XLOOKUP(B945,STUDENTS!B944:B100941,STUDENTS!D944:D100941)),"update STUDENT sheet")</f>
        <v/>
      </c>
      <c r="E945">
        <f>IFERROR(IF(C945="","",_xlfn.XLOOKUP(C945,STUDENTS!C944:C100941,STUDENTS!F944:F100941)),"update STUDENT sheet")</f>
        <v/>
      </c>
      <c r="F945">
        <f>IFERROR(IF(D945="","",_xlfn.XLOOKUP(D945,STUDENTS!D944:D100941,STUDENTS!G944:G100941)),"update STUDENT sheet")</f>
        <v/>
      </c>
      <c r="G945">
        <f>IFERROR(IF(E945="","",_xlfn.XLOOKUP(E945,STUDENTS!F944:F100941,STUDENTS!H944:H100941)),"update STUDENT sheet")</f>
        <v/>
      </c>
    </row>
    <row r="946">
      <c r="B946">
        <f>IF(STUDENTS!B945="","",STUDENTS!B945)</f>
        <v/>
      </c>
      <c r="C946">
        <f>IFERROR(IF(B946="","",_xlfn.XLOOKUP(B946,STUDENTS!$B$3:$B$1048576,STUDENTS!$C$3:$C$1048576)),"Enter a registered reg. no")</f>
        <v/>
      </c>
      <c r="D946">
        <f>IFERROR(IF(B946="","",_xlfn.XLOOKUP(B946,STUDENTS!B945:B100942,STUDENTS!D945:D100942)),"update STUDENT sheet")</f>
        <v/>
      </c>
      <c r="E946">
        <f>IFERROR(IF(C946="","",_xlfn.XLOOKUP(C946,STUDENTS!C945:C100942,STUDENTS!F945:F100942)),"update STUDENT sheet")</f>
        <v/>
      </c>
      <c r="F946">
        <f>IFERROR(IF(D946="","",_xlfn.XLOOKUP(D946,STUDENTS!D945:D100942,STUDENTS!G945:G100942)),"update STUDENT sheet")</f>
        <v/>
      </c>
      <c r="G946">
        <f>IFERROR(IF(E946="","",_xlfn.XLOOKUP(E946,STUDENTS!F945:F100942,STUDENTS!H945:H100942)),"update STUDENT sheet")</f>
        <v/>
      </c>
    </row>
    <row r="947">
      <c r="B947">
        <f>IF(STUDENTS!B946="","",STUDENTS!B946)</f>
        <v/>
      </c>
      <c r="C947">
        <f>IFERROR(IF(B947="","",_xlfn.XLOOKUP(B947,STUDENTS!$B$3:$B$1048576,STUDENTS!$C$3:$C$1048576)),"Enter a registered reg. no")</f>
        <v/>
      </c>
      <c r="D947">
        <f>IFERROR(IF(B947="","",_xlfn.XLOOKUP(B947,STUDENTS!B946:B100943,STUDENTS!D946:D100943)),"update STUDENT sheet")</f>
        <v/>
      </c>
      <c r="E947">
        <f>IFERROR(IF(C947="","",_xlfn.XLOOKUP(C947,STUDENTS!C946:C100943,STUDENTS!F946:F100943)),"update STUDENT sheet")</f>
        <v/>
      </c>
      <c r="F947">
        <f>IFERROR(IF(D947="","",_xlfn.XLOOKUP(D947,STUDENTS!D946:D100943,STUDENTS!G946:G100943)),"update STUDENT sheet")</f>
        <v/>
      </c>
      <c r="G947">
        <f>IFERROR(IF(E947="","",_xlfn.XLOOKUP(E947,STUDENTS!F946:F100943,STUDENTS!H946:H100943)),"update STUDENT sheet")</f>
        <v/>
      </c>
    </row>
    <row r="948">
      <c r="B948">
        <f>IF(STUDENTS!B947="","",STUDENTS!B947)</f>
        <v/>
      </c>
      <c r="C948">
        <f>IFERROR(IF(B948="","",_xlfn.XLOOKUP(B948,STUDENTS!$B$3:$B$1048576,STUDENTS!$C$3:$C$1048576)),"Enter a registered reg. no")</f>
        <v/>
      </c>
      <c r="D948">
        <f>IFERROR(IF(B948="","",_xlfn.XLOOKUP(B948,STUDENTS!B947:B100944,STUDENTS!D947:D100944)),"update STUDENT sheet")</f>
        <v/>
      </c>
      <c r="E948">
        <f>IFERROR(IF(C948="","",_xlfn.XLOOKUP(C948,STUDENTS!C947:C100944,STUDENTS!F947:F100944)),"update STUDENT sheet")</f>
        <v/>
      </c>
      <c r="F948">
        <f>IFERROR(IF(D948="","",_xlfn.XLOOKUP(D948,STUDENTS!D947:D100944,STUDENTS!G947:G100944)),"update STUDENT sheet")</f>
        <v/>
      </c>
      <c r="G948">
        <f>IFERROR(IF(E948="","",_xlfn.XLOOKUP(E948,STUDENTS!F947:F100944,STUDENTS!H947:H100944)),"update STUDENT sheet")</f>
        <v/>
      </c>
    </row>
    <row r="949">
      <c r="B949">
        <f>IF(STUDENTS!B948="","",STUDENTS!B948)</f>
        <v/>
      </c>
      <c r="C949">
        <f>IFERROR(IF(B949="","",_xlfn.XLOOKUP(B949,STUDENTS!$B$3:$B$1048576,STUDENTS!$C$3:$C$1048576)),"Enter a registered reg. no")</f>
        <v/>
      </c>
      <c r="D949">
        <f>IFERROR(IF(B949="","",_xlfn.XLOOKUP(B949,STUDENTS!B948:B100945,STUDENTS!D948:D100945)),"update STUDENT sheet")</f>
        <v/>
      </c>
      <c r="E949">
        <f>IFERROR(IF(C949="","",_xlfn.XLOOKUP(C949,STUDENTS!C948:C100945,STUDENTS!F948:F100945)),"update STUDENT sheet")</f>
        <v/>
      </c>
      <c r="F949">
        <f>IFERROR(IF(D949="","",_xlfn.XLOOKUP(D949,STUDENTS!D948:D100945,STUDENTS!G948:G100945)),"update STUDENT sheet")</f>
        <v/>
      </c>
      <c r="G949">
        <f>IFERROR(IF(E949="","",_xlfn.XLOOKUP(E949,STUDENTS!F948:F100945,STUDENTS!H948:H100945)),"update STUDENT sheet")</f>
        <v/>
      </c>
    </row>
    <row r="950">
      <c r="B950">
        <f>IF(STUDENTS!B949="","",STUDENTS!B949)</f>
        <v/>
      </c>
      <c r="C950">
        <f>IFERROR(IF(B950="","",_xlfn.XLOOKUP(B950,STUDENTS!$B$3:$B$1048576,STUDENTS!$C$3:$C$1048576)),"Enter a registered reg. no")</f>
        <v/>
      </c>
      <c r="D950">
        <f>IFERROR(IF(B950="","",_xlfn.XLOOKUP(B950,STUDENTS!B949:B100946,STUDENTS!D949:D100946)),"update STUDENT sheet")</f>
        <v/>
      </c>
      <c r="E950">
        <f>IFERROR(IF(C950="","",_xlfn.XLOOKUP(C950,STUDENTS!C949:C100946,STUDENTS!F949:F100946)),"update STUDENT sheet")</f>
        <v/>
      </c>
      <c r="F950">
        <f>IFERROR(IF(D950="","",_xlfn.XLOOKUP(D950,STUDENTS!D949:D100946,STUDENTS!G949:G100946)),"update STUDENT sheet")</f>
        <v/>
      </c>
      <c r="G950">
        <f>IFERROR(IF(E950="","",_xlfn.XLOOKUP(E950,STUDENTS!F949:F100946,STUDENTS!H949:H100946)),"update STUDENT sheet")</f>
        <v/>
      </c>
    </row>
    <row r="951">
      <c r="B951">
        <f>IF(STUDENTS!B950="","",STUDENTS!B950)</f>
        <v/>
      </c>
      <c r="C951">
        <f>IFERROR(IF(B951="","",_xlfn.XLOOKUP(B951,STUDENTS!$B$3:$B$1048576,STUDENTS!$C$3:$C$1048576)),"Enter a registered reg. no")</f>
        <v/>
      </c>
      <c r="D951">
        <f>IFERROR(IF(B951="","",_xlfn.XLOOKUP(B951,STUDENTS!B950:B100947,STUDENTS!D950:D100947)),"update STUDENT sheet")</f>
        <v/>
      </c>
      <c r="E951">
        <f>IFERROR(IF(C951="","",_xlfn.XLOOKUP(C951,STUDENTS!C950:C100947,STUDENTS!F950:F100947)),"update STUDENT sheet")</f>
        <v/>
      </c>
      <c r="F951">
        <f>IFERROR(IF(D951="","",_xlfn.XLOOKUP(D951,STUDENTS!D950:D100947,STUDENTS!G950:G100947)),"update STUDENT sheet")</f>
        <v/>
      </c>
      <c r="G951">
        <f>IFERROR(IF(E951="","",_xlfn.XLOOKUP(E951,STUDENTS!F950:F100947,STUDENTS!H950:H100947)),"update STUDENT sheet")</f>
        <v/>
      </c>
    </row>
    <row r="952">
      <c r="B952">
        <f>IF(STUDENTS!B951="","",STUDENTS!B951)</f>
        <v/>
      </c>
      <c r="C952">
        <f>IFERROR(IF(B952="","",_xlfn.XLOOKUP(B952,STUDENTS!$B$3:$B$1048576,STUDENTS!$C$3:$C$1048576)),"Enter a registered reg. no")</f>
        <v/>
      </c>
      <c r="D952">
        <f>IFERROR(IF(B952="","",_xlfn.XLOOKUP(B952,STUDENTS!B951:B100948,STUDENTS!D951:D100948)),"update STUDENT sheet")</f>
        <v/>
      </c>
      <c r="E952">
        <f>IFERROR(IF(C952="","",_xlfn.XLOOKUP(C952,STUDENTS!C951:C100948,STUDENTS!F951:F100948)),"update STUDENT sheet")</f>
        <v/>
      </c>
      <c r="F952">
        <f>IFERROR(IF(D952="","",_xlfn.XLOOKUP(D952,STUDENTS!D951:D100948,STUDENTS!G951:G100948)),"update STUDENT sheet")</f>
        <v/>
      </c>
      <c r="G952">
        <f>IFERROR(IF(E952="","",_xlfn.XLOOKUP(E952,STUDENTS!F951:F100948,STUDENTS!H951:H100948)),"update STUDENT sheet")</f>
        <v/>
      </c>
    </row>
    <row r="953">
      <c r="B953">
        <f>IF(STUDENTS!B952="","",STUDENTS!B952)</f>
        <v/>
      </c>
      <c r="C953">
        <f>IFERROR(IF(B953="","",_xlfn.XLOOKUP(B953,STUDENTS!$B$3:$B$1048576,STUDENTS!$C$3:$C$1048576)),"Enter a registered reg. no")</f>
        <v/>
      </c>
      <c r="D953">
        <f>IFERROR(IF(B953="","",_xlfn.XLOOKUP(B953,STUDENTS!B952:B100949,STUDENTS!D952:D100949)),"update STUDENT sheet")</f>
        <v/>
      </c>
      <c r="E953">
        <f>IFERROR(IF(C953="","",_xlfn.XLOOKUP(C953,STUDENTS!C952:C100949,STUDENTS!F952:F100949)),"update STUDENT sheet")</f>
        <v/>
      </c>
      <c r="F953">
        <f>IFERROR(IF(D953="","",_xlfn.XLOOKUP(D953,STUDENTS!D952:D100949,STUDENTS!G952:G100949)),"update STUDENT sheet")</f>
        <v/>
      </c>
      <c r="G953">
        <f>IFERROR(IF(E953="","",_xlfn.XLOOKUP(E953,STUDENTS!F952:F100949,STUDENTS!H952:H100949)),"update STUDENT sheet")</f>
        <v/>
      </c>
    </row>
    <row r="954">
      <c r="B954">
        <f>IF(STUDENTS!B953="","",STUDENTS!B953)</f>
        <v/>
      </c>
      <c r="C954">
        <f>IFERROR(IF(B954="","",_xlfn.XLOOKUP(B954,STUDENTS!$B$3:$B$1048576,STUDENTS!$C$3:$C$1048576)),"Enter a registered reg. no")</f>
        <v/>
      </c>
      <c r="D954">
        <f>IFERROR(IF(B954="","",_xlfn.XLOOKUP(B954,STUDENTS!B953:B100950,STUDENTS!D953:D100950)),"update STUDENT sheet")</f>
        <v/>
      </c>
      <c r="E954">
        <f>IFERROR(IF(C954="","",_xlfn.XLOOKUP(C954,STUDENTS!C953:C100950,STUDENTS!F953:F100950)),"update STUDENT sheet")</f>
        <v/>
      </c>
      <c r="F954">
        <f>IFERROR(IF(D954="","",_xlfn.XLOOKUP(D954,STUDENTS!D953:D100950,STUDENTS!G953:G100950)),"update STUDENT sheet")</f>
        <v/>
      </c>
      <c r="G954">
        <f>IFERROR(IF(E954="","",_xlfn.XLOOKUP(E954,STUDENTS!F953:F100950,STUDENTS!H953:H100950)),"update STUDENT sheet")</f>
        <v/>
      </c>
    </row>
    <row r="955">
      <c r="B955">
        <f>IF(STUDENTS!B954="","",STUDENTS!B954)</f>
        <v/>
      </c>
      <c r="C955">
        <f>IFERROR(IF(B955="","",_xlfn.XLOOKUP(B955,STUDENTS!$B$3:$B$1048576,STUDENTS!$C$3:$C$1048576)),"Enter a registered reg. no")</f>
        <v/>
      </c>
      <c r="D955">
        <f>IFERROR(IF(B955="","",_xlfn.XLOOKUP(B955,STUDENTS!B954:B100951,STUDENTS!D954:D100951)),"update STUDENT sheet")</f>
        <v/>
      </c>
      <c r="E955">
        <f>IFERROR(IF(C955="","",_xlfn.XLOOKUP(C955,STUDENTS!C954:C100951,STUDENTS!F954:F100951)),"update STUDENT sheet")</f>
        <v/>
      </c>
      <c r="F955">
        <f>IFERROR(IF(D955="","",_xlfn.XLOOKUP(D955,STUDENTS!D954:D100951,STUDENTS!G954:G100951)),"update STUDENT sheet")</f>
        <v/>
      </c>
      <c r="G955">
        <f>IFERROR(IF(E955="","",_xlfn.XLOOKUP(E955,STUDENTS!F954:F100951,STUDENTS!H954:H100951)),"update STUDENT sheet")</f>
        <v/>
      </c>
    </row>
    <row r="956">
      <c r="B956">
        <f>IF(STUDENTS!B955="","",STUDENTS!B955)</f>
        <v/>
      </c>
      <c r="C956">
        <f>IFERROR(IF(B956="","",_xlfn.XLOOKUP(B956,STUDENTS!$B$3:$B$1048576,STUDENTS!$C$3:$C$1048576)),"Enter a registered reg. no")</f>
        <v/>
      </c>
      <c r="D956">
        <f>IFERROR(IF(B956="","",_xlfn.XLOOKUP(B956,STUDENTS!B955:B100952,STUDENTS!D955:D100952)),"update STUDENT sheet")</f>
        <v/>
      </c>
      <c r="E956">
        <f>IFERROR(IF(C956="","",_xlfn.XLOOKUP(C956,STUDENTS!C955:C100952,STUDENTS!F955:F100952)),"update STUDENT sheet")</f>
        <v/>
      </c>
      <c r="F956">
        <f>IFERROR(IF(D956="","",_xlfn.XLOOKUP(D956,STUDENTS!D955:D100952,STUDENTS!G955:G100952)),"update STUDENT sheet")</f>
        <v/>
      </c>
      <c r="G956">
        <f>IFERROR(IF(E956="","",_xlfn.XLOOKUP(E956,STUDENTS!F955:F100952,STUDENTS!H955:H100952)),"update STUDENT sheet")</f>
        <v/>
      </c>
    </row>
    <row r="957">
      <c r="B957">
        <f>IF(STUDENTS!B956="","",STUDENTS!B956)</f>
        <v/>
      </c>
      <c r="C957">
        <f>IFERROR(IF(B957="","",_xlfn.XLOOKUP(B957,STUDENTS!$B$3:$B$1048576,STUDENTS!$C$3:$C$1048576)),"Enter a registered reg. no")</f>
        <v/>
      </c>
      <c r="D957">
        <f>IFERROR(IF(B957="","",_xlfn.XLOOKUP(B957,STUDENTS!B956:B100953,STUDENTS!D956:D100953)),"update STUDENT sheet")</f>
        <v/>
      </c>
      <c r="E957">
        <f>IFERROR(IF(C957="","",_xlfn.XLOOKUP(C957,STUDENTS!C956:C100953,STUDENTS!F956:F100953)),"update STUDENT sheet")</f>
        <v/>
      </c>
      <c r="F957">
        <f>IFERROR(IF(D957="","",_xlfn.XLOOKUP(D957,STUDENTS!D956:D100953,STUDENTS!G956:G100953)),"update STUDENT sheet")</f>
        <v/>
      </c>
      <c r="G957">
        <f>IFERROR(IF(E957="","",_xlfn.XLOOKUP(E957,STUDENTS!F956:F100953,STUDENTS!H956:H100953)),"update STUDENT sheet")</f>
        <v/>
      </c>
    </row>
    <row r="958">
      <c r="B958">
        <f>IF(STUDENTS!B957="","",STUDENTS!B957)</f>
        <v/>
      </c>
      <c r="C958">
        <f>IFERROR(IF(B958="","",_xlfn.XLOOKUP(B958,STUDENTS!$B$3:$B$1048576,STUDENTS!$C$3:$C$1048576)),"Enter a registered reg. no")</f>
        <v/>
      </c>
      <c r="D958">
        <f>IFERROR(IF(B958="","",_xlfn.XLOOKUP(B958,STUDENTS!B957:B100954,STUDENTS!D957:D100954)),"update STUDENT sheet")</f>
        <v/>
      </c>
      <c r="E958">
        <f>IFERROR(IF(C958="","",_xlfn.XLOOKUP(C958,STUDENTS!C957:C100954,STUDENTS!F957:F100954)),"update STUDENT sheet")</f>
        <v/>
      </c>
      <c r="F958">
        <f>IFERROR(IF(D958="","",_xlfn.XLOOKUP(D958,STUDENTS!D957:D100954,STUDENTS!G957:G100954)),"update STUDENT sheet")</f>
        <v/>
      </c>
      <c r="G958">
        <f>IFERROR(IF(E958="","",_xlfn.XLOOKUP(E958,STUDENTS!F957:F100954,STUDENTS!H957:H100954)),"update STUDENT sheet")</f>
        <v/>
      </c>
    </row>
    <row r="959">
      <c r="B959">
        <f>IF(STUDENTS!B958="","",STUDENTS!B958)</f>
        <v/>
      </c>
      <c r="C959">
        <f>IFERROR(IF(B959="","",_xlfn.XLOOKUP(B959,STUDENTS!$B$3:$B$1048576,STUDENTS!$C$3:$C$1048576)),"Enter a registered reg. no")</f>
        <v/>
      </c>
      <c r="D959">
        <f>IFERROR(IF(B959="","",_xlfn.XLOOKUP(B959,STUDENTS!B958:B100955,STUDENTS!D958:D100955)),"update STUDENT sheet")</f>
        <v/>
      </c>
      <c r="E959">
        <f>IFERROR(IF(C959="","",_xlfn.XLOOKUP(C959,STUDENTS!C958:C100955,STUDENTS!F958:F100955)),"update STUDENT sheet")</f>
        <v/>
      </c>
      <c r="F959">
        <f>IFERROR(IF(D959="","",_xlfn.XLOOKUP(D959,STUDENTS!D958:D100955,STUDENTS!G958:G100955)),"update STUDENT sheet")</f>
        <v/>
      </c>
      <c r="G959">
        <f>IFERROR(IF(E959="","",_xlfn.XLOOKUP(E959,STUDENTS!F958:F100955,STUDENTS!H958:H100955)),"update STUDENT sheet")</f>
        <v/>
      </c>
    </row>
    <row r="960">
      <c r="B960">
        <f>IF(STUDENTS!B959="","",STUDENTS!B959)</f>
        <v/>
      </c>
      <c r="C960">
        <f>IFERROR(IF(B960="","",_xlfn.XLOOKUP(B960,STUDENTS!$B$3:$B$1048576,STUDENTS!$C$3:$C$1048576)),"Enter a registered reg. no")</f>
        <v/>
      </c>
      <c r="D960">
        <f>IFERROR(IF(B960="","",_xlfn.XLOOKUP(B960,STUDENTS!B959:B100956,STUDENTS!D959:D100956)),"update STUDENT sheet")</f>
        <v/>
      </c>
      <c r="E960">
        <f>IFERROR(IF(C960="","",_xlfn.XLOOKUP(C960,STUDENTS!C959:C100956,STUDENTS!F959:F100956)),"update STUDENT sheet")</f>
        <v/>
      </c>
      <c r="F960">
        <f>IFERROR(IF(D960="","",_xlfn.XLOOKUP(D960,STUDENTS!D959:D100956,STUDENTS!G959:G100956)),"update STUDENT sheet")</f>
        <v/>
      </c>
      <c r="G960">
        <f>IFERROR(IF(E960="","",_xlfn.XLOOKUP(E960,STUDENTS!F959:F100956,STUDENTS!H959:H100956)),"update STUDENT sheet")</f>
        <v/>
      </c>
    </row>
    <row r="961">
      <c r="B961">
        <f>IF(STUDENTS!B960="","",STUDENTS!B960)</f>
        <v/>
      </c>
      <c r="C961">
        <f>IFERROR(IF(B961="","",_xlfn.XLOOKUP(B961,STUDENTS!$B$3:$B$1048576,STUDENTS!$C$3:$C$1048576)),"Enter a registered reg. no")</f>
        <v/>
      </c>
      <c r="D961">
        <f>IFERROR(IF(B961="","",_xlfn.XLOOKUP(B961,STUDENTS!B960:B100957,STUDENTS!D960:D100957)),"update STUDENT sheet")</f>
        <v/>
      </c>
      <c r="E961">
        <f>IFERROR(IF(C961="","",_xlfn.XLOOKUP(C961,STUDENTS!C960:C100957,STUDENTS!F960:F100957)),"update STUDENT sheet")</f>
        <v/>
      </c>
      <c r="F961">
        <f>IFERROR(IF(D961="","",_xlfn.XLOOKUP(D961,STUDENTS!D960:D100957,STUDENTS!G960:G100957)),"update STUDENT sheet")</f>
        <v/>
      </c>
      <c r="G961">
        <f>IFERROR(IF(E961="","",_xlfn.XLOOKUP(E961,STUDENTS!F960:F100957,STUDENTS!H960:H100957)),"update STUDENT sheet")</f>
        <v/>
      </c>
    </row>
    <row r="962">
      <c r="B962">
        <f>IF(STUDENTS!B961="","",STUDENTS!B961)</f>
        <v/>
      </c>
      <c r="C962">
        <f>IFERROR(IF(B962="","",_xlfn.XLOOKUP(B962,STUDENTS!$B$3:$B$1048576,STUDENTS!$C$3:$C$1048576)),"Enter a registered reg. no")</f>
        <v/>
      </c>
      <c r="D962">
        <f>IFERROR(IF(B962="","",_xlfn.XLOOKUP(B962,STUDENTS!B961:B100958,STUDENTS!D961:D100958)),"update STUDENT sheet")</f>
        <v/>
      </c>
      <c r="E962">
        <f>IFERROR(IF(C962="","",_xlfn.XLOOKUP(C962,STUDENTS!C961:C100958,STUDENTS!F961:F100958)),"update STUDENT sheet")</f>
        <v/>
      </c>
      <c r="F962">
        <f>IFERROR(IF(D962="","",_xlfn.XLOOKUP(D962,STUDENTS!D961:D100958,STUDENTS!G961:G100958)),"update STUDENT sheet")</f>
        <v/>
      </c>
      <c r="G962">
        <f>IFERROR(IF(E962="","",_xlfn.XLOOKUP(E962,STUDENTS!F961:F100958,STUDENTS!H961:H100958)),"update STUDENT sheet")</f>
        <v/>
      </c>
    </row>
    <row r="963">
      <c r="B963">
        <f>IF(STUDENTS!B962="","",STUDENTS!B962)</f>
        <v/>
      </c>
      <c r="C963">
        <f>IFERROR(IF(B963="","",_xlfn.XLOOKUP(B963,STUDENTS!$B$3:$B$1048576,STUDENTS!$C$3:$C$1048576)),"Enter a registered reg. no")</f>
        <v/>
      </c>
      <c r="D963">
        <f>IFERROR(IF(B963="","",_xlfn.XLOOKUP(B963,STUDENTS!B962:B100959,STUDENTS!D962:D100959)),"update STUDENT sheet")</f>
        <v/>
      </c>
      <c r="E963">
        <f>IFERROR(IF(C963="","",_xlfn.XLOOKUP(C963,STUDENTS!C962:C100959,STUDENTS!F962:F100959)),"update STUDENT sheet")</f>
        <v/>
      </c>
      <c r="F963">
        <f>IFERROR(IF(D963="","",_xlfn.XLOOKUP(D963,STUDENTS!D962:D100959,STUDENTS!G962:G100959)),"update STUDENT sheet")</f>
        <v/>
      </c>
      <c r="G963">
        <f>IFERROR(IF(E963="","",_xlfn.XLOOKUP(E963,STUDENTS!F962:F100959,STUDENTS!H962:H100959)),"update STUDENT sheet")</f>
        <v/>
      </c>
    </row>
    <row r="964">
      <c r="B964">
        <f>IF(STUDENTS!B963="","",STUDENTS!B963)</f>
        <v/>
      </c>
      <c r="C964">
        <f>IFERROR(IF(B964="","",_xlfn.XLOOKUP(B964,STUDENTS!$B$3:$B$1048576,STUDENTS!$C$3:$C$1048576)),"Enter a registered reg. no")</f>
        <v/>
      </c>
      <c r="D964">
        <f>IFERROR(IF(B964="","",_xlfn.XLOOKUP(B964,STUDENTS!B963:B100960,STUDENTS!D963:D100960)),"update STUDENT sheet")</f>
        <v/>
      </c>
      <c r="E964">
        <f>IFERROR(IF(C964="","",_xlfn.XLOOKUP(C964,STUDENTS!C963:C100960,STUDENTS!F963:F100960)),"update STUDENT sheet")</f>
        <v/>
      </c>
      <c r="F964">
        <f>IFERROR(IF(D964="","",_xlfn.XLOOKUP(D964,STUDENTS!D963:D100960,STUDENTS!G963:G100960)),"update STUDENT sheet")</f>
        <v/>
      </c>
      <c r="G964">
        <f>IFERROR(IF(E964="","",_xlfn.XLOOKUP(E964,STUDENTS!F963:F100960,STUDENTS!H963:H100960)),"update STUDENT sheet")</f>
        <v/>
      </c>
    </row>
    <row r="965">
      <c r="B965">
        <f>IF(STUDENTS!B964="","",STUDENTS!B964)</f>
        <v/>
      </c>
      <c r="C965">
        <f>IFERROR(IF(B965="","",_xlfn.XLOOKUP(B965,STUDENTS!$B$3:$B$1048576,STUDENTS!$C$3:$C$1048576)),"Enter a registered reg. no")</f>
        <v/>
      </c>
      <c r="D965">
        <f>IFERROR(IF(B965="","",_xlfn.XLOOKUP(B965,STUDENTS!B964:B100961,STUDENTS!D964:D100961)),"update STUDENT sheet")</f>
        <v/>
      </c>
      <c r="E965">
        <f>IFERROR(IF(C965="","",_xlfn.XLOOKUP(C965,STUDENTS!C964:C100961,STUDENTS!F964:F100961)),"update STUDENT sheet")</f>
        <v/>
      </c>
      <c r="F965">
        <f>IFERROR(IF(D965="","",_xlfn.XLOOKUP(D965,STUDENTS!D964:D100961,STUDENTS!G964:G100961)),"update STUDENT sheet")</f>
        <v/>
      </c>
      <c r="G965">
        <f>IFERROR(IF(E965="","",_xlfn.XLOOKUP(E965,STUDENTS!F964:F100961,STUDENTS!H964:H100961)),"update STUDENT sheet")</f>
        <v/>
      </c>
    </row>
    <row r="966">
      <c r="B966">
        <f>IF(STUDENTS!B965="","",STUDENTS!B965)</f>
        <v/>
      </c>
      <c r="C966">
        <f>IFERROR(IF(B966="","",_xlfn.XLOOKUP(B966,STUDENTS!$B$3:$B$1048576,STUDENTS!$C$3:$C$1048576)),"Enter a registered reg. no")</f>
        <v/>
      </c>
      <c r="D966">
        <f>IFERROR(IF(B966="","",_xlfn.XLOOKUP(B966,STUDENTS!B965:B100962,STUDENTS!D965:D100962)),"update STUDENT sheet")</f>
        <v/>
      </c>
      <c r="E966">
        <f>IFERROR(IF(C966="","",_xlfn.XLOOKUP(C966,STUDENTS!C965:C100962,STUDENTS!F965:F100962)),"update STUDENT sheet")</f>
        <v/>
      </c>
      <c r="F966">
        <f>IFERROR(IF(D966="","",_xlfn.XLOOKUP(D966,STUDENTS!D965:D100962,STUDENTS!G965:G100962)),"update STUDENT sheet")</f>
        <v/>
      </c>
      <c r="G966">
        <f>IFERROR(IF(E966="","",_xlfn.XLOOKUP(E966,STUDENTS!F965:F100962,STUDENTS!H965:H100962)),"update STUDENT sheet")</f>
        <v/>
      </c>
    </row>
    <row r="967">
      <c r="B967">
        <f>IF(STUDENTS!B966="","",STUDENTS!B966)</f>
        <v/>
      </c>
      <c r="C967">
        <f>IFERROR(IF(B967="","",_xlfn.XLOOKUP(B967,STUDENTS!$B$3:$B$1048576,STUDENTS!$C$3:$C$1048576)),"Enter a registered reg. no")</f>
        <v/>
      </c>
      <c r="D967">
        <f>IFERROR(IF(B967="","",_xlfn.XLOOKUP(B967,STUDENTS!B966:B100963,STUDENTS!D966:D100963)),"update STUDENT sheet")</f>
        <v/>
      </c>
      <c r="E967">
        <f>IFERROR(IF(C967="","",_xlfn.XLOOKUP(C967,STUDENTS!C966:C100963,STUDENTS!F966:F100963)),"update STUDENT sheet")</f>
        <v/>
      </c>
      <c r="F967">
        <f>IFERROR(IF(D967="","",_xlfn.XLOOKUP(D967,STUDENTS!D966:D100963,STUDENTS!G966:G100963)),"update STUDENT sheet")</f>
        <v/>
      </c>
      <c r="G967">
        <f>IFERROR(IF(E967="","",_xlfn.XLOOKUP(E967,STUDENTS!F966:F100963,STUDENTS!H966:H100963)),"update STUDENT sheet")</f>
        <v/>
      </c>
    </row>
    <row r="968">
      <c r="B968">
        <f>IF(STUDENTS!B967="","",STUDENTS!B967)</f>
        <v/>
      </c>
      <c r="C968">
        <f>IFERROR(IF(B968="","",_xlfn.XLOOKUP(B968,STUDENTS!$B$3:$B$1048576,STUDENTS!$C$3:$C$1048576)),"Enter a registered reg. no")</f>
        <v/>
      </c>
      <c r="D968">
        <f>IFERROR(IF(B968="","",_xlfn.XLOOKUP(B968,STUDENTS!B967:B100964,STUDENTS!D967:D100964)),"update STUDENT sheet")</f>
        <v/>
      </c>
      <c r="E968">
        <f>IFERROR(IF(C968="","",_xlfn.XLOOKUP(C968,STUDENTS!C967:C100964,STUDENTS!F967:F100964)),"update STUDENT sheet")</f>
        <v/>
      </c>
      <c r="F968">
        <f>IFERROR(IF(D968="","",_xlfn.XLOOKUP(D968,STUDENTS!D967:D100964,STUDENTS!G967:G100964)),"update STUDENT sheet")</f>
        <v/>
      </c>
      <c r="G968">
        <f>IFERROR(IF(E968="","",_xlfn.XLOOKUP(E968,STUDENTS!F967:F100964,STUDENTS!H967:H100964)),"update STUDENT sheet")</f>
        <v/>
      </c>
    </row>
    <row r="969">
      <c r="B969">
        <f>IF(STUDENTS!B968="","",STUDENTS!B968)</f>
        <v/>
      </c>
      <c r="C969">
        <f>IFERROR(IF(B969="","",_xlfn.XLOOKUP(B969,STUDENTS!$B$3:$B$1048576,STUDENTS!$C$3:$C$1048576)),"Enter a registered reg. no")</f>
        <v/>
      </c>
      <c r="D969">
        <f>IFERROR(IF(B969="","",_xlfn.XLOOKUP(B969,STUDENTS!B968:B100965,STUDENTS!D968:D100965)),"update STUDENT sheet")</f>
        <v/>
      </c>
      <c r="E969">
        <f>IFERROR(IF(C969="","",_xlfn.XLOOKUP(C969,STUDENTS!C968:C100965,STUDENTS!F968:F100965)),"update STUDENT sheet")</f>
        <v/>
      </c>
      <c r="F969">
        <f>IFERROR(IF(D969="","",_xlfn.XLOOKUP(D969,STUDENTS!D968:D100965,STUDENTS!G968:G100965)),"update STUDENT sheet")</f>
        <v/>
      </c>
      <c r="G969">
        <f>IFERROR(IF(E969="","",_xlfn.XLOOKUP(E969,STUDENTS!F968:F100965,STUDENTS!H968:H100965)),"update STUDENT sheet")</f>
        <v/>
      </c>
    </row>
    <row r="970">
      <c r="B970">
        <f>IF(STUDENTS!B969="","",STUDENTS!B969)</f>
        <v/>
      </c>
      <c r="C970">
        <f>IFERROR(IF(B970="","",_xlfn.XLOOKUP(B970,STUDENTS!$B$3:$B$1048576,STUDENTS!$C$3:$C$1048576)),"Enter a registered reg. no")</f>
        <v/>
      </c>
      <c r="D970">
        <f>IFERROR(IF(B970="","",_xlfn.XLOOKUP(B970,STUDENTS!B969:B100966,STUDENTS!D969:D100966)),"update STUDENT sheet")</f>
        <v/>
      </c>
      <c r="E970">
        <f>IFERROR(IF(C970="","",_xlfn.XLOOKUP(C970,STUDENTS!C969:C100966,STUDENTS!F969:F100966)),"update STUDENT sheet")</f>
        <v/>
      </c>
      <c r="F970">
        <f>IFERROR(IF(D970="","",_xlfn.XLOOKUP(D970,STUDENTS!D969:D100966,STUDENTS!G969:G100966)),"update STUDENT sheet")</f>
        <v/>
      </c>
      <c r="G970">
        <f>IFERROR(IF(E970="","",_xlfn.XLOOKUP(E970,STUDENTS!F969:F100966,STUDENTS!H969:H100966)),"update STUDENT sheet")</f>
        <v/>
      </c>
    </row>
    <row r="971">
      <c r="B971">
        <f>IF(STUDENTS!B970="","",STUDENTS!B970)</f>
        <v/>
      </c>
      <c r="C971">
        <f>IFERROR(IF(B971="","",_xlfn.XLOOKUP(B971,STUDENTS!$B$3:$B$1048576,STUDENTS!$C$3:$C$1048576)),"Enter a registered reg. no")</f>
        <v/>
      </c>
      <c r="D971">
        <f>IFERROR(IF(B971="","",_xlfn.XLOOKUP(B971,STUDENTS!B970:B100967,STUDENTS!D970:D100967)),"update STUDENT sheet")</f>
        <v/>
      </c>
      <c r="E971">
        <f>IFERROR(IF(C971="","",_xlfn.XLOOKUP(C971,STUDENTS!C970:C100967,STUDENTS!F970:F100967)),"update STUDENT sheet")</f>
        <v/>
      </c>
      <c r="F971">
        <f>IFERROR(IF(D971="","",_xlfn.XLOOKUP(D971,STUDENTS!D970:D100967,STUDENTS!G970:G100967)),"update STUDENT sheet")</f>
        <v/>
      </c>
      <c r="G971">
        <f>IFERROR(IF(E971="","",_xlfn.XLOOKUP(E971,STUDENTS!F970:F100967,STUDENTS!H970:H100967)),"update STUDENT sheet")</f>
        <v/>
      </c>
    </row>
    <row r="972">
      <c r="B972">
        <f>IF(STUDENTS!B971="","",STUDENTS!B971)</f>
        <v/>
      </c>
      <c r="C972">
        <f>IFERROR(IF(B972="","",_xlfn.XLOOKUP(B972,STUDENTS!$B$3:$B$1048576,STUDENTS!$C$3:$C$1048576)),"Enter a registered reg. no")</f>
        <v/>
      </c>
      <c r="D972">
        <f>IFERROR(IF(B972="","",_xlfn.XLOOKUP(B972,STUDENTS!B971:B100968,STUDENTS!D971:D100968)),"update STUDENT sheet")</f>
        <v/>
      </c>
      <c r="E972">
        <f>IFERROR(IF(C972="","",_xlfn.XLOOKUP(C972,STUDENTS!C971:C100968,STUDENTS!F971:F100968)),"update STUDENT sheet")</f>
        <v/>
      </c>
      <c r="F972">
        <f>IFERROR(IF(D972="","",_xlfn.XLOOKUP(D972,STUDENTS!D971:D100968,STUDENTS!G971:G100968)),"update STUDENT sheet")</f>
        <v/>
      </c>
      <c r="G972">
        <f>IFERROR(IF(E972="","",_xlfn.XLOOKUP(E972,STUDENTS!F971:F100968,STUDENTS!H971:H100968)),"update STUDENT sheet")</f>
        <v/>
      </c>
    </row>
    <row r="973">
      <c r="B973">
        <f>IF(STUDENTS!B972="","",STUDENTS!B972)</f>
        <v/>
      </c>
      <c r="C973">
        <f>IFERROR(IF(B973="","",_xlfn.XLOOKUP(B973,STUDENTS!$B$3:$B$1048576,STUDENTS!$C$3:$C$1048576)),"Enter a registered reg. no")</f>
        <v/>
      </c>
      <c r="D973">
        <f>IFERROR(IF(B973="","",_xlfn.XLOOKUP(B973,STUDENTS!B972:B100969,STUDENTS!D972:D100969)),"update STUDENT sheet")</f>
        <v/>
      </c>
      <c r="E973">
        <f>IFERROR(IF(C973="","",_xlfn.XLOOKUP(C973,STUDENTS!C972:C100969,STUDENTS!F972:F100969)),"update STUDENT sheet")</f>
        <v/>
      </c>
      <c r="F973">
        <f>IFERROR(IF(D973="","",_xlfn.XLOOKUP(D973,STUDENTS!D972:D100969,STUDENTS!G972:G100969)),"update STUDENT sheet")</f>
        <v/>
      </c>
      <c r="G973">
        <f>IFERROR(IF(E973="","",_xlfn.XLOOKUP(E973,STUDENTS!F972:F100969,STUDENTS!H972:H100969)),"update STUDENT sheet")</f>
        <v/>
      </c>
    </row>
    <row r="974">
      <c r="B974">
        <f>IF(STUDENTS!B973="","",STUDENTS!B973)</f>
        <v/>
      </c>
      <c r="C974">
        <f>IFERROR(IF(B974="","",_xlfn.XLOOKUP(B974,STUDENTS!$B$3:$B$1048576,STUDENTS!$C$3:$C$1048576)),"Enter a registered reg. no")</f>
        <v/>
      </c>
      <c r="D974">
        <f>IFERROR(IF(B974="","",_xlfn.XLOOKUP(B974,STUDENTS!B973:B100970,STUDENTS!D973:D100970)),"update STUDENT sheet")</f>
        <v/>
      </c>
      <c r="E974">
        <f>IFERROR(IF(C974="","",_xlfn.XLOOKUP(C974,STUDENTS!C973:C100970,STUDENTS!F973:F100970)),"update STUDENT sheet")</f>
        <v/>
      </c>
      <c r="F974">
        <f>IFERROR(IF(D974="","",_xlfn.XLOOKUP(D974,STUDENTS!D973:D100970,STUDENTS!G973:G100970)),"update STUDENT sheet")</f>
        <v/>
      </c>
      <c r="G974">
        <f>IFERROR(IF(E974="","",_xlfn.XLOOKUP(E974,STUDENTS!F973:F100970,STUDENTS!H973:H100970)),"update STUDENT sheet")</f>
        <v/>
      </c>
    </row>
    <row r="975">
      <c r="B975">
        <f>IF(STUDENTS!B974="","",STUDENTS!B974)</f>
        <v/>
      </c>
      <c r="C975">
        <f>IFERROR(IF(B975="","",_xlfn.XLOOKUP(B975,STUDENTS!$B$3:$B$1048576,STUDENTS!$C$3:$C$1048576)),"Enter a registered reg. no")</f>
        <v/>
      </c>
      <c r="D975">
        <f>IFERROR(IF(B975="","",_xlfn.XLOOKUP(B975,STUDENTS!B974:B100971,STUDENTS!D974:D100971)),"update STUDENT sheet")</f>
        <v/>
      </c>
      <c r="E975">
        <f>IFERROR(IF(C975="","",_xlfn.XLOOKUP(C975,STUDENTS!C974:C100971,STUDENTS!F974:F100971)),"update STUDENT sheet")</f>
        <v/>
      </c>
      <c r="F975">
        <f>IFERROR(IF(D975="","",_xlfn.XLOOKUP(D975,STUDENTS!D974:D100971,STUDENTS!G974:G100971)),"update STUDENT sheet")</f>
        <v/>
      </c>
      <c r="G975">
        <f>IFERROR(IF(E975="","",_xlfn.XLOOKUP(E975,STUDENTS!F974:F100971,STUDENTS!H974:H100971)),"update STUDENT sheet")</f>
        <v/>
      </c>
    </row>
    <row r="976">
      <c r="B976">
        <f>IF(STUDENTS!B975="","",STUDENTS!B975)</f>
        <v/>
      </c>
      <c r="C976">
        <f>IFERROR(IF(B976="","",_xlfn.XLOOKUP(B976,STUDENTS!$B$3:$B$1048576,STUDENTS!$C$3:$C$1048576)),"Enter a registered reg. no")</f>
        <v/>
      </c>
      <c r="D976">
        <f>IFERROR(IF(B976="","",_xlfn.XLOOKUP(B976,STUDENTS!B975:B100972,STUDENTS!D975:D100972)),"update STUDENT sheet")</f>
        <v/>
      </c>
      <c r="E976">
        <f>IFERROR(IF(C976="","",_xlfn.XLOOKUP(C976,STUDENTS!C975:C100972,STUDENTS!F975:F100972)),"update STUDENT sheet")</f>
        <v/>
      </c>
      <c r="F976">
        <f>IFERROR(IF(D976="","",_xlfn.XLOOKUP(D976,STUDENTS!D975:D100972,STUDENTS!G975:G100972)),"update STUDENT sheet")</f>
        <v/>
      </c>
      <c r="G976">
        <f>IFERROR(IF(E976="","",_xlfn.XLOOKUP(E976,STUDENTS!F975:F100972,STUDENTS!H975:H100972)),"update STUDENT sheet")</f>
        <v/>
      </c>
    </row>
    <row r="977">
      <c r="B977">
        <f>IF(STUDENTS!B976="","",STUDENTS!B976)</f>
        <v/>
      </c>
      <c r="C977">
        <f>IFERROR(IF(B977="","",_xlfn.XLOOKUP(B977,STUDENTS!$B$3:$B$1048576,STUDENTS!$C$3:$C$1048576)),"Enter a registered reg. no")</f>
        <v/>
      </c>
      <c r="D977">
        <f>IFERROR(IF(B977="","",_xlfn.XLOOKUP(B977,STUDENTS!B976:B100973,STUDENTS!D976:D100973)),"update STUDENT sheet")</f>
        <v/>
      </c>
      <c r="E977">
        <f>IFERROR(IF(C977="","",_xlfn.XLOOKUP(C977,STUDENTS!C976:C100973,STUDENTS!F976:F100973)),"update STUDENT sheet")</f>
        <v/>
      </c>
      <c r="F977">
        <f>IFERROR(IF(D977="","",_xlfn.XLOOKUP(D977,STUDENTS!D976:D100973,STUDENTS!G976:G100973)),"update STUDENT sheet")</f>
        <v/>
      </c>
      <c r="G977">
        <f>IFERROR(IF(E977="","",_xlfn.XLOOKUP(E977,STUDENTS!F976:F100973,STUDENTS!H976:H100973)),"update STUDENT sheet")</f>
        <v/>
      </c>
    </row>
    <row r="978">
      <c r="B978">
        <f>IF(STUDENTS!B977="","",STUDENTS!B977)</f>
        <v/>
      </c>
      <c r="C978">
        <f>IFERROR(IF(B978="","",_xlfn.XLOOKUP(B978,STUDENTS!$B$3:$B$1048576,STUDENTS!$C$3:$C$1048576)),"Enter a registered reg. no")</f>
        <v/>
      </c>
      <c r="D978">
        <f>IFERROR(IF(B978="","",_xlfn.XLOOKUP(B978,STUDENTS!B977:B100974,STUDENTS!D977:D100974)),"update STUDENT sheet")</f>
        <v/>
      </c>
      <c r="E978">
        <f>IFERROR(IF(C978="","",_xlfn.XLOOKUP(C978,STUDENTS!C977:C100974,STUDENTS!F977:F100974)),"update STUDENT sheet")</f>
        <v/>
      </c>
      <c r="F978">
        <f>IFERROR(IF(D978="","",_xlfn.XLOOKUP(D978,STUDENTS!D977:D100974,STUDENTS!G977:G100974)),"update STUDENT sheet")</f>
        <v/>
      </c>
      <c r="G978">
        <f>IFERROR(IF(E978="","",_xlfn.XLOOKUP(E978,STUDENTS!F977:F100974,STUDENTS!H977:H100974)),"update STUDENT sheet")</f>
        <v/>
      </c>
    </row>
    <row r="979">
      <c r="B979">
        <f>IF(STUDENTS!B978="","",STUDENTS!B978)</f>
        <v/>
      </c>
      <c r="C979">
        <f>IFERROR(IF(B979="","",_xlfn.XLOOKUP(B979,STUDENTS!$B$3:$B$1048576,STUDENTS!$C$3:$C$1048576)),"Enter a registered reg. no")</f>
        <v/>
      </c>
      <c r="D979">
        <f>IFERROR(IF(B979="","",_xlfn.XLOOKUP(B979,STUDENTS!B978:B100975,STUDENTS!D978:D100975)),"update STUDENT sheet")</f>
        <v/>
      </c>
      <c r="E979">
        <f>IFERROR(IF(C979="","",_xlfn.XLOOKUP(C979,STUDENTS!C978:C100975,STUDENTS!F978:F100975)),"update STUDENT sheet")</f>
        <v/>
      </c>
      <c r="F979">
        <f>IFERROR(IF(D979="","",_xlfn.XLOOKUP(D979,STUDENTS!D978:D100975,STUDENTS!G978:G100975)),"update STUDENT sheet")</f>
        <v/>
      </c>
      <c r="G979">
        <f>IFERROR(IF(E979="","",_xlfn.XLOOKUP(E979,STUDENTS!F978:F100975,STUDENTS!H978:H100975)),"update STUDENT sheet")</f>
        <v/>
      </c>
    </row>
    <row r="980">
      <c r="B980">
        <f>IF(STUDENTS!B979="","",STUDENTS!B979)</f>
        <v/>
      </c>
      <c r="C980">
        <f>IFERROR(IF(B980="","",_xlfn.XLOOKUP(B980,STUDENTS!$B$3:$B$1048576,STUDENTS!$C$3:$C$1048576)),"Enter a registered reg. no")</f>
        <v/>
      </c>
      <c r="D980">
        <f>IFERROR(IF(B980="","",_xlfn.XLOOKUP(B980,STUDENTS!B979:B100976,STUDENTS!D979:D100976)),"update STUDENT sheet")</f>
        <v/>
      </c>
      <c r="E980">
        <f>IFERROR(IF(C980="","",_xlfn.XLOOKUP(C980,STUDENTS!C979:C100976,STUDENTS!F979:F100976)),"update STUDENT sheet")</f>
        <v/>
      </c>
      <c r="F980">
        <f>IFERROR(IF(D980="","",_xlfn.XLOOKUP(D980,STUDENTS!D979:D100976,STUDENTS!G979:G100976)),"update STUDENT sheet")</f>
        <v/>
      </c>
      <c r="G980">
        <f>IFERROR(IF(E980="","",_xlfn.XLOOKUP(E980,STUDENTS!F979:F100976,STUDENTS!H979:H100976)),"update STUDENT sheet")</f>
        <v/>
      </c>
    </row>
    <row r="981">
      <c r="B981">
        <f>IF(STUDENTS!B980="","",STUDENTS!B980)</f>
        <v/>
      </c>
      <c r="C981">
        <f>IFERROR(IF(B981="","",_xlfn.XLOOKUP(B981,STUDENTS!$B$3:$B$1048576,STUDENTS!$C$3:$C$1048576)),"Enter a registered reg. no")</f>
        <v/>
      </c>
      <c r="D981">
        <f>IFERROR(IF(B981="","",_xlfn.XLOOKUP(B981,STUDENTS!B980:B100977,STUDENTS!D980:D100977)),"update STUDENT sheet")</f>
        <v/>
      </c>
      <c r="E981">
        <f>IFERROR(IF(C981="","",_xlfn.XLOOKUP(C981,STUDENTS!C980:C100977,STUDENTS!F980:F100977)),"update STUDENT sheet")</f>
        <v/>
      </c>
      <c r="F981">
        <f>IFERROR(IF(D981="","",_xlfn.XLOOKUP(D981,STUDENTS!D980:D100977,STUDENTS!G980:G100977)),"update STUDENT sheet")</f>
        <v/>
      </c>
      <c r="G981">
        <f>IFERROR(IF(E981="","",_xlfn.XLOOKUP(E981,STUDENTS!F980:F100977,STUDENTS!H980:H100977)),"update STUDENT sheet")</f>
        <v/>
      </c>
    </row>
    <row r="982">
      <c r="B982">
        <f>IF(STUDENTS!B981="","",STUDENTS!B981)</f>
        <v/>
      </c>
      <c r="C982">
        <f>IFERROR(IF(B982="","",_xlfn.XLOOKUP(B982,STUDENTS!$B$3:$B$1048576,STUDENTS!$C$3:$C$1048576)),"Enter a registered reg. no")</f>
        <v/>
      </c>
      <c r="D982">
        <f>IFERROR(IF(B982="","",_xlfn.XLOOKUP(B982,STUDENTS!B981:B100978,STUDENTS!D981:D100978)),"update STUDENT sheet")</f>
        <v/>
      </c>
      <c r="E982">
        <f>IFERROR(IF(C982="","",_xlfn.XLOOKUP(C982,STUDENTS!C981:C100978,STUDENTS!F981:F100978)),"update STUDENT sheet")</f>
        <v/>
      </c>
      <c r="F982">
        <f>IFERROR(IF(D982="","",_xlfn.XLOOKUP(D982,STUDENTS!D981:D100978,STUDENTS!G981:G100978)),"update STUDENT sheet")</f>
        <v/>
      </c>
      <c r="G982">
        <f>IFERROR(IF(E982="","",_xlfn.XLOOKUP(E982,STUDENTS!F981:F100978,STUDENTS!H981:H100978)),"update STUDENT sheet")</f>
        <v/>
      </c>
    </row>
    <row r="983">
      <c r="B983">
        <f>IF(STUDENTS!B982="","",STUDENTS!B982)</f>
        <v/>
      </c>
      <c r="C983">
        <f>IFERROR(IF(B983="","",_xlfn.XLOOKUP(B983,STUDENTS!$B$3:$B$1048576,STUDENTS!$C$3:$C$1048576)),"Enter a registered reg. no")</f>
        <v/>
      </c>
      <c r="D983">
        <f>IFERROR(IF(B983="","",_xlfn.XLOOKUP(B983,STUDENTS!B982:B100979,STUDENTS!D982:D100979)),"update STUDENT sheet")</f>
        <v/>
      </c>
      <c r="E983">
        <f>IFERROR(IF(C983="","",_xlfn.XLOOKUP(C983,STUDENTS!C982:C100979,STUDENTS!F982:F100979)),"update STUDENT sheet")</f>
        <v/>
      </c>
      <c r="F983">
        <f>IFERROR(IF(D983="","",_xlfn.XLOOKUP(D983,STUDENTS!D982:D100979,STUDENTS!G982:G100979)),"update STUDENT sheet")</f>
        <v/>
      </c>
      <c r="G983">
        <f>IFERROR(IF(E983="","",_xlfn.XLOOKUP(E983,STUDENTS!F982:F100979,STUDENTS!H982:H100979)),"update STUDENT sheet")</f>
        <v/>
      </c>
    </row>
    <row r="984">
      <c r="B984">
        <f>IF(STUDENTS!B983="","",STUDENTS!B983)</f>
        <v/>
      </c>
      <c r="C984">
        <f>IFERROR(IF(B984="","",_xlfn.XLOOKUP(B984,STUDENTS!$B$3:$B$1048576,STUDENTS!$C$3:$C$1048576)),"Enter a registered reg. no")</f>
        <v/>
      </c>
      <c r="D984">
        <f>IFERROR(IF(B984="","",_xlfn.XLOOKUP(B984,STUDENTS!B983:B100980,STUDENTS!D983:D100980)),"update STUDENT sheet")</f>
        <v/>
      </c>
      <c r="E984">
        <f>IFERROR(IF(C984="","",_xlfn.XLOOKUP(C984,STUDENTS!C983:C100980,STUDENTS!F983:F100980)),"update STUDENT sheet")</f>
        <v/>
      </c>
      <c r="F984">
        <f>IFERROR(IF(D984="","",_xlfn.XLOOKUP(D984,STUDENTS!D983:D100980,STUDENTS!G983:G100980)),"update STUDENT sheet")</f>
        <v/>
      </c>
      <c r="G984">
        <f>IFERROR(IF(E984="","",_xlfn.XLOOKUP(E984,STUDENTS!F983:F100980,STUDENTS!H983:H100980)),"update STUDENT sheet")</f>
        <v/>
      </c>
    </row>
    <row r="985">
      <c r="B985">
        <f>IF(STUDENTS!B984="","",STUDENTS!B984)</f>
        <v/>
      </c>
      <c r="C985">
        <f>IFERROR(IF(B985="","",_xlfn.XLOOKUP(B985,STUDENTS!$B$3:$B$1048576,STUDENTS!$C$3:$C$1048576)),"Enter a registered reg. no")</f>
        <v/>
      </c>
      <c r="D985">
        <f>IFERROR(IF(B985="","",_xlfn.XLOOKUP(B985,STUDENTS!B984:B100981,STUDENTS!D984:D100981)),"update STUDENT sheet")</f>
        <v/>
      </c>
      <c r="E985">
        <f>IFERROR(IF(C985="","",_xlfn.XLOOKUP(C985,STUDENTS!C984:C100981,STUDENTS!F984:F100981)),"update STUDENT sheet")</f>
        <v/>
      </c>
      <c r="F985">
        <f>IFERROR(IF(D985="","",_xlfn.XLOOKUP(D985,STUDENTS!D984:D100981,STUDENTS!G984:G100981)),"update STUDENT sheet")</f>
        <v/>
      </c>
      <c r="G985">
        <f>IFERROR(IF(E985="","",_xlfn.XLOOKUP(E985,STUDENTS!F984:F100981,STUDENTS!H984:H100981)),"update STUDENT sheet")</f>
        <v/>
      </c>
    </row>
    <row r="986">
      <c r="B986">
        <f>IF(STUDENTS!B985="","",STUDENTS!B985)</f>
        <v/>
      </c>
      <c r="C986">
        <f>IFERROR(IF(B986="","",_xlfn.XLOOKUP(B986,STUDENTS!$B$3:$B$1048576,STUDENTS!$C$3:$C$1048576)),"Enter a registered reg. no")</f>
        <v/>
      </c>
      <c r="D986">
        <f>IFERROR(IF(B986="","",_xlfn.XLOOKUP(B986,STUDENTS!B985:B100982,STUDENTS!D985:D100982)),"update STUDENT sheet")</f>
        <v/>
      </c>
      <c r="E986">
        <f>IFERROR(IF(C986="","",_xlfn.XLOOKUP(C986,STUDENTS!C985:C100982,STUDENTS!F985:F100982)),"update STUDENT sheet")</f>
        <v/>
      </c>
      <c r="F986">
        <f>IFERROR(IF(D986="","",_xlfn.XLOOKUP(D986,STUDENTS!D985:D100982,STUDENTS!G985:G100982)),"update STUDENT sheet")</f>
        <v/>
      </c>
      <c r="G986">
        <f>IFERROR(IF(E986="","",_xlfn.XLOOKUP(E986,STUDENTS!F985:F100982,STUDENTS!H985:H100982)),"update STUDENT sheet")</f>
        <v/>
      </c>
    </row>
    <row r="987">
      <c r="B987">
        <f>IF(STUDENTS!B986="","",STUDENTS!B986)</f>
        <v/>
      </c>
      <c r="C987">
        <f>IFERROR(IF(B987="","",_xlfn.XLOOKUP(B987,STUDENTS!$B$3:$B$1048576,STUDENTS!$C$3:$C$1048576)),"Enter a registered reg. no")</f>
        <v/>
      </c>
      <c r="D987">
        <f>IFERROR(IF(B987="","",_xlfn.XLOOKUP(B987,STUDENTS!B986:B100983,STUDENTS!D986:D100983)),"update STUDENT sheet")</f>
        <v/>
      </c>
      <c r="E987">
        <f>IFERROR(IF(C987="","",_xlfn.XLOOKUP(C987,STUDENTS!C986:C100983,STUDENTS!F986:F100983)),"update STUDENT sheet")</f>
        <v/>
      </c>
      <c r="F987">
        <f>IFERROR(IF(D987="","",_xlfn.XLOOKUP(D987,STUDENTS!D986:D100983,STUDENTS!G986:G100983)),"update STUDENT sheet")</f>
        <v/>
      </c>
      <c r="G987">
        <f>IFERROR(IF(E987="","",_xlfn.XLOOKUP(E987,STUDENTS!F986:F100983,STUDENTS!H986:H100983)),"update STUDENT sheet")</f>
        <v/>
      </c>
    </row>
    <row r="988">
      <c r="B988">
        <f>IF(STUDENTS!B987="","",STUDENTS!B987)</f>
        <v/>
      </c>
      <c r="C988">
        <f>IFERROR(IF(B988="","",_xlfn.XLOOKUP(B988,STUDENTS!$B$3:$B$1048576,STUDENTS!$C$3:$C$1048576)),"Enter a registered reg. no")</f>
        <v/>
      </c>
      <c r="D988">
        <f>IFERROR(IF(B988="","",_xlfn.XLOOKUP(B988,STUDENTS!B987:B100984,STUDENTS!D987:D100984)),"update STUDENT sheet")</f>
        <v/>
      </c>
      <c r="E988">
        <f>IFERROR(IF(C988="","",_xlfn.XLOOKUP(C988,STUDENTS!C987:C100984,STUDENTS!F987:F100984)),"update STUDENT sheet")</f>
        <v/>
      </c>
      <c r="F988">
        <f>IFERROR(IF(D988="","",_xlfn.XLOOKUP(D988,STUDENTS!D987:D100984,STUDENTS!G987:G100984)),"update STUDENT sheet")</f>
        <v/>
      </c>
      <c r="G988">
        <f>IFERROR(IF(E988="","",_xlfn.XLOOKUP(E988,STUDENTS!F987:F100984,STUDENTS!H987:H100984)),"update STUDENT sheet")</f>
        <v/>
      </c>
    </row>
    <row r="989">
      <c r="B989">
        <f>IF(STUDENTS!B988="","",STUDENTS!B988)</f>
        <v/>
      </c>
      <c r="C989">
        <f>IFERROR(IF(B989="","",_xlfn.XLOOKUP(B989,STUDENTS!$B$3:$B$1048576,STUDENTS!$C$3:$C$1048576)),"Enter a registered reg. no")</f>
        <v/>
      </c>
      <c r="D989">
        <f>IFERROR(IF(B989="","",_xlfn.XLOOKUP(B989,STUDENTS!B988:B100985,STUDENTS!D988:D100985)),"update STUDENT sheet")</f>
        <v/>
      </c>
      <c r="E989">
        <f>IFERROR(IF(C989="","",_xlfn.XLOOKUP(C989,STUDENTS!C988:C100985,STUDENTS!F988:F100985)),"update STUDENT sheet")</f>
        <v/>
      </c>
      <c r="F989">
        <f>IFERROR(IF(D989="","",_xlfn.XLOOKUP(D989,STUDENTS!D988:D100985,STUDENTS!G988:G100985)),"update STUDENT sheet")</f>
        <v/>
      </c>
      <c r="G989">
        <f>IFERROR(IF(E989="","",_xlfn.XLOOKUP(E989,STUDENTS!F988:F100985,STUDENTS!H988:H100985)),"update STUDENT sheet")</f>
        <v/>
      </c>
    </row>
    <row r="990">
      <c r="B990">
        <f>IF(STUDENTS!B989="","",STUDENTS!B989)</f>
        <v/>
      </c>
      <c r="C990">
        <f>IFERROR(IF(B990="","",_xlfn.XLOOKUP(B990,STUDENTS!$B$3:$B$1048576,STUDENTS!$C$3:$C$1048576)),"Enter a registered reg. no")</f>
        <v/>
      </c>
      <c r="D990">
        <f>IFERROR(IF(B990="","",_xlfn.XLOOKUP(B990,STUDENTS!B989:B100986,STUDENTS!D989:D100986)),"update STUDENT sheet")</f>
        <v/>
      </c>
      <c r="E990">
        <f>IFERROR(IF(C990="","",_xlfn.XLOOKUP(C990,STUDENTS!C989:C100986,STUDENTS!F989:F100986)),"update STUDENT sheet")</f>
        <v/>
      </c>
      <c r="F990">
        <f>IFERROR(IF(D990="","",_xlfn.XLOOKUP(D990,STUDENTS!D989:D100986,STUDENTS!G989:G100986)),"update STUDENT sheet")</f>
        <v/>
      </c>
      <c r="G990">
        <f>IFERROR(IF(E990="","",_xlfn.XLOOKUP(E990,STUDENTS!F989:F100986,STUDENTS!H989:H100986)),"update STUDENT sheet")</f>
        <v/>
      </c>
    </row>
    <row r="991">
      <c r="B991">
        <f>IF(STUDENTS!B990="","",STUDENTS!B990)</f>
        <v/>
      </c>
      <c r="C991">
        <f>IFERROR(IF(B991="","",_xlfn.XLOOKUP(B991,STUDENTS!$B$3:$B$1048576,STUDENTS!$C$3:$C$1048576)),"Enter a registered reg. no")</f>
        <v/>
      </c>
      <c r="D991">
        <f>IFERROR(IF(B991="","",_xlfn.XLOOKUP(B991,STUDENTS!B990:B100987,STUDENTS!D990:D100987)),"update STUDENT sheet")</f>
        <v/>
      </c>
      <c r="E991">
        <f>IFERROR(IF(C991="","",_xlfn.XLOOKUP(C991,STUDENTS!C990:C100987,STUDENTS!F990:F100987)),"update STUDENT sheet")</f>
        <v/>
      </c>
      <c r="F991">
        <f>IFERROR(IF(D991="","",_xlfn.XLOOKUP(D991,STUDENTS!D990:D100987,STUDENTS!G990:G100987)),"update STUDENT sheet")</f>
        <v/>
      </c>
      <c r="G991">
        <f>IFERROR(IF(E991="","",_xlfn.XLOOKUP(E991,STUDENTS!F990:F100987,STUDENTS!H990:H100987)),"update STUDENT sheet")</f>
        <v/>
      </c>
    </row>
    <row r="992">
      <c r="B992">
        <f>IF(STUDENTS!B991="","",STUDENTS!B991)</f>
        <v/>
      </c>
      <c r="C992">
        <f>IFERROR(IF(B992="","",_xlfn.XLOOKUP(B992,STUDENTS!$B$3:$B$1048576,STUDENTS!$C$3:$C$1048576)),"Enter a registered reg. no")</f>
        <v/>
      </c>
      <c r="D992">
        <f>IFERROR(IF(B992="","",_xlfn.XLOOKUP(B992,STUDENTS!B991:B100988,STUDENTS!D991:D100988)),"update STUDENT sheet")</f>
        <v/>
      </c>
      <c r="E992">
        <f>IFERROR(IF(C992="","",_xlfn.XLOOKUP(C992,STUDENTS!C991:C100988,STUDENTS!F991:F100988)),"update STUDENT sheet")</f>
        <v/>
      </c>
      <c r="F992">
        <f>IFERROR(IF(D992="","",_xlfn.XLOOKUP(D992,STUDENTS!D991:D100988,STUDENTS!G991:G100988)),"update STUDENT sheet")</f>
        <v/>
      </c>
      <c r="G992">
        <f>IFERROR(IF(E992="","",_xlfn.XLOOKUP(E992,STUDENTS!F991:F100988,STUDENTS!H991:H100988)),"update STUDENT sheet")</f>
        <v/>
      </c>
    </row>
    <row r="993">
      <c r="B993">
        <f>IF(STUDENTS!B992="","",STUDENTS!B992)</f>
        <v/>
      </c>
      <c r="C993">
        <f>IFERROR(IF(B993="","",_xlfn.XLOOKUP(B993,STUDENTS!$B$3:$B$1048576,STUDENTS!$C$3:$C$1048576)),"Enter a registered reg. no")</f>
        <v/>
      </c>
      <c r="D993">
        <f>IFERROR(IF(B993="","",_xlfn.XLOOKUP(B993,STUDENTS!B992:B100989,STUDENTS!D992:D100989)),"update STUDENT sheet")</f>
        <v/>
      </c>
      <c r="E993">
        <f>IFERROR(IF(C993="","",_xlfn.XLOOKUP(C993,STUDENTS!C992:C100989,STUDENTS!F992:F100989)),"update STUDENT sheet")</f>
        <v/>
      </c>
      <c r="F993">
        <f>IFERROR(IF(D993="","",_xlfn.XLOOKUP(D993,STUDENTS!D992:D100989,STUDENTS!G992:G100989)),"update STUDENT sheet")</f>
        <v/>
      </c>
      <c r="G993">
        <f>IFERROR(IF(E993="","",_xlfn.XLOOKUP(E993,STUDENTS!F992:F100989,STUDENTS!H992:H100989)),"update STUDENT sheet")</f>
        <v/>
      </c>
    </row>
    <row r="994">
      <c r="B994">
        <f>IF(STUDENTS!B993="","",STUDENTS!B993)</f>
        <v/>
      </c>
      <c r="C994">
        <f>IFERROR(IF(B994="","",_xlfn.XLOOKUP(B994,STUDENTS!$B$3:$B$1048576,STUDENTS!$C$3:$C$1048576)),"Enter a registered reg. no")</f>
        <v/>
      </c>
      <c r="D994">
        <f>IFERROR(IF(B994="","",_xlfn.XLOOKUP(B994,STUDENTS!B993:B100990,STUDENTS!D993:D100990)),"update STUDENT sheet")</f>
        <v/>
      </c>
      <c r="E994">
        <f>IFERROR(IF(C994="","",_xlfn.XLOOKUP(C994,STUDENTS!C993:C100990,STUDENTS!F993:F100990)),"update STUDENT sheet")</f>
        <v/>
      </c>
      <c r="F994">
        <f>IFERROR(IF(D994="","",_xlfn.XLOOKUP(D994,STUDENTS!D993:D100990,STUDENTS!G993:G100990)),"update STUDENT sheet")</f>
        <v/>
      </c>
      <c r="G994">
        <f>IFERROR(IF(E994="","",_xlfn.XLOOKUP(E994,STUDENTS!F993:F100990,STUDENTS!H993:H100990)),"update STUDENT sheet")</f>
        <v/>
      </c>
    </row>
    <row r="995">
      <c r="B995">
        <f>IF(STUDENTS!B994="","",STUDENTS!B994)</f>
        <v/>
      </c>
      <c r="C995">
        <f>IFERROR(IF(B995="","",_xlfn.XLOOKUP(B995,STUDENTS!$B$3:$B$1048576,STUDENTS!$C$3:$C$1048576)),"Enter a registered reg. no")</f>
        <v/>
      </c>
      <c r="D995">
        <f>IFERROR(IF(B995="","",_xlfn.XLOOKUP(B995,STUDENTS!B994:B100991,STUDENTS!D994:D100991)),"update STUDENT sheet")</f>
        <v/>
      </c>
      <c r="E995">
        <f>IFERROR(IF(C995="","",_xlfn.XLOOKUP(C995,STUDENTS!C994:C100991,STUDENTS!F994:F100991)),"update STUDENT sheet")</f>
        <v/>
      </c>
      <c r="F995">
        <f>IFERROR(IF(D995="","",_xlfn.XLOOKUP(D995,STUDENTS!D994:D100991,STUDENTS!G994:G100991)),"update STUDENT sheet")</f>
        <v/>
      </c>
      <c r="G995">
        <f>IFERROR(IF(E995="","",_xlfn.XLOOKUP(E995,STUDENTS!F994:F100991,STUDENTS!H994:H100991)),"update STUDENT sheet")</f>
        <v/>
      </c>
    </row>
    <row r="996">
      <c r="B996">
        <f>IF(STUDENTS!B995="","",STUDENTS!B995)</f>
        <v/>
      </c>
      <c r="C996">
        <f>IFERROR(IF(B996="","",_xlfn.XLOOKUP(B996,STUDENTS!$B$3:$B$1048576,STUDENTS!$C$3:$C$1048576)),"Enter a registered reg. no")</f>
        <v/>
      </c>
      <c r="D996">
        <f>IFERROR(IF(B996="","",_xlfn.XLOOKUP(B996,STUDENTS!B995:B100992,STUDENTS!D995:D100992)),"update STUDENT sheet")</f>
        <v/>
      </c>
      <c r="E996">
        <f>IFERROR(IF(C996="","",_xlfn.XLOOKUP(C996,STUDENTS!C995:C100992,STUDENTS!F995:F100992)),"update STUDENT sheet")</f>
        <v/>
      </c>
      <c r="F996">
        <f>IFERROR(IF(D996="","",_xlfn.XLOOKUP(D996,STUDENTS!D995:D100992,STUDENTS!G995:G100992)),"update STUDENT sheet")</f>
        <v/>
      </c>
      <c r="G996">
        <f>IFERROR(IF(E996="","",_xlfn.XLOOKUP(E996,STUDENTS!F995:F100992,STUDENTS!H995:H100992)),"update STUDENT sheet")</f>
        <v/>
      </c>
    </row>
    <row r="997">
      <c r="B997">
        <f>IF(STUDENTS!B996="","",STUDENTS!B996)</f>
        <v/>
      </c>
      <c r="C997">
        <f>IFERROR(IF(B997="","",_xlfn.XLOOKUP(B997,STUDENTS!$B$3:$B$1048576,STUDENTS!$C$3:$C$1048576)),"Enter a registered reg. no")</f>
        <v/>
      </c>
      <c r="D997">
        <f>IFERROR(IF(B997="","",_xlfn.XLOOKUP(B997,STUDENTS!B996:B100993,STUDENTS!D996:D100993)),"update STUDENT sheet")</f>
        <v/>
      </c>
      <c r="E997">
        <f>IFERROR(IF(C997="","",_xlfn.XLOOKUP(C997,STUDENTS!C996:C100993,STUDENTS!F996:F100993)),"update STUDENT sheet")</f>
        <v/>
      </c>
      <c r="F997">
        <f>IFERROR(IF(D997="","",_xlfn.XLOOKUP(D997,STUDENTS!D996:D100993,STUDENTS!G996:G100993)),"update STUDENT sheet")</f>
        <v/>
      </c>
      <c r="G997">
        <f>IFERROR(IF(E997="","",_xlfn.XLOOKUP(E997,STUDENTS!F996:F100993,STUDENTS!H996:H100993)),"update STUDENT sheet")</f>
        <v/>
      </c>
    </row>
    <row r="998">
      <c r="B998">
        <f>IF(STUDENTS!B997="","",STUDENTS!B997)</f>
        <v/>
      </c>
      <c r="C998">
        <f>IFERROR(IF(B998="","",_xlfn.XLOOKUP(B998,STUDENTS!$B$3:$B$1048576,STUDENTS!$C$3:$C$1048576)),"Enter a registered reg. no")</f>
        <v/>
      </c>
      <c r="D998">
        <f>IFERROR(IF(B998="","",_xlfn.XLOOKUP(B998,STUDENTS!B997:B100994,STUDENTS!D997:D100994)),"update STUDENT sheet")</f>
        <v/>
      </c>
      <c r="E998">
        <f>IFERROR(IF(C998="","",_xlfn.XLOOKUP(C998,STUDENTS!C997:C100994,STUDENTS!F997:F100994)),"update STUDENT sheet")</f>
        <v/>
      </c>
      <c r="F998">
        <f>IFERROR(IF(D998="","",_xlfn.XLOOKUP(D998,STUDENTS!D997:D100994,STUDENTS!G997:G100994)),"update STUDENT sheet")</f>
        <v/>
      </c>
      <c r="G998">
        <f>IFERROR(IF(E998="","",_xlfn.XLOOKUP(E998,STUDENTS!F997:F100994,STUDENTS!H997:H100994)),"update STUDENT sheet")</f>
        <v/>
      </c>
    </row>
    <row r="999">
      <c r="B999">
        <f>IF(STUDENTS!B998="","",STUDENTS!B998)</f>
        <v/>
      </c>
      <c r="C999">
        <f>IFERROR(IF(B999="","",_xlfn.XLOOKUP(B999,STUDENTS!$B$3:$B$1048576,STUDENTS!$C$3:$C$1048576)),"Enter a registered reg. no")</f>
        <v/>
      </c>
      <c r="D999">
        <f>IFERROR(IF(B999="","",_xlfn.XLOOKUP(B999,STUDENTS!B998:B100995,STUDENTS!D998:D100995)),"update STUDENT sheet")</f>
        <v/>
      </c>
      <c r="E999">
        <f>IFERROR(IF(C999="","",_xlfn.XLOOKUP(C999,STUDENTS!C998:C100995,STUDENTS!F998:F100995)),"update STUDENT sheet")</f>
        <v/>
      </c>
      <c r="F999">
        <f>IFERROR(IF(D999="","",_xlfn.XLOOKUP(D999,STUDENTS!D998:D100995,STUDENTS!G998:G100995)),"update STUDENT sheet")</f>
        <v/>
      </c>
      <c r="G999">
        <f>IFERROR(IF(E999="","",_xlfn.XLOOKUP(E999,STUDENTS!F998:F100995,STUDENTS!H998:H100995)),"update STUDENT sheet")</f>
        <v/>
      </c>
    </row>
    <row r="1000">
      <c r="B1000">
        <f>IF(STUDENTS!B999="","",STUDENTS!B999)</f>
        <v/>
      </c>
      <c r="C1000">
        <f>IFERROR(IF(B1000="","",_xlfn.XLOOKUP(B1000,STUDENTS!$B$3:$B$1048576,STUDENTS!$C$3:$C$1048576)),"Enter a registered reg. no")</f>
        <v/>
      </c>
      <c r="D1000">
        <f>IFERROR(IF(B1000="","",_xlfn.XLOOKUP(B1000,STUDENTS!B999:B100996,STUDENTS!D999:D100996)),"update STUDENT sheet")</f>
        <v/>
      </c>
      <c r="E1000">
        <f>IFERROR(IF(C1000="","",_xlfn.XLOOKUP(C1000,STUDENTS!C999:C100996,STUDENTS!F999:F100996)),"update STUDENT sheet")</f>
        <v/>
      </c>
      <c r="F1000">
        <f>IFERROR(IF(D1000="","",_xlfn.XLOOKUP(D1000,STUDENTS!D999:D100996,STUDENTS!G999:G100996)),"update STUDENT sheet")</f>
        <v/>
      </c>
      <c r="G1000">
        <f>IFERROR(IF(E1000="","",_xlfn.XLOOKUP(E1000,STUDENTS!F999:F100996,STUDENTS!H999:H100996)),"update STUDENT sheet")</f>
        <v/>
      </c>
    </row>
    <row r="1001">
      <c r="B1001">
        <f>IF(STUDENTS!B1000="","",STUDENTS!B1000)</f>
        <v/>
      </c>
      <c r="C1001">
        <f>IFERROR(IF(B1001="","",_xlfn.XLOOKUP(B1001,STUDENTS!$B$3:$B$1048576,STUDENTS!$C$3:$C$1048576)),"Enter a registered reg. no")</f>
        <v/>
      </c>
      <c r="D1001">
        <f>IFERROR(IF(B1001="","",_xlfn.XLOOKUP(B1001,STUDENTS!B1000:B100997,STUDENTS!D1000:D100997)),"update STUDENT sheet")</f>
        <v/>
      </c>
      <c r="E1001">
        <f>IFERROR(IF(C1001="","",_xlfn.XLOOKUP(C1001,STUDENTS!C1000:C100997,STUDENTS!F1000:F100997)),"update STUDENT sheet")</f>
        <v/>
      </c>
      <c r="F1001">
        <f>IFERROR(IF(D1001="","",_xlfn.XLOOKUP(D1001,STUDENTS!D1000:D100997,STUDENTS!G1000:G100997)),"update STUDENT sheet")</f>
        <v/>
      </c>
      <c r="G1001">
        <f>IFERROR(IF(E1001="","",_xlfn.XLOOKUP(E1001,STUDENTS!F1000:F100997,STUDENTS!H1000:H100997)),"update STUDENT sheet")</f>
        <v/>
      </c>
    </row>
    <row r="1002">
      <c r="B1002">
        <f>IF(STUDENTS!B1001="","",STUDENTS!B1001)</f>
        <v/>
      </c>
      <c r="C1002">
        <f>IFERROR(IF(B1002="","",_xlfn.XLOOKUP(B1002,STUDENTS!$B$3:$B$1048576,STUDENTS!$C$3:$C$1048576)),"Enter a registered reg. no")</f>
        <v/>
      </c>
      <c r="D1002">
        <f>IFERROR(IF(B1002="","",_xlfn.XLOOKUP(B1002,STUDENTS!B1001:B100998,STUDENTS!D1001:D100998)),"update STUDENT sheet")</f>
        <v/>
      </c>
      <c r="E1002">
        <f>IFERROR(IF(C1002="","",_xlfn.XLOOKUP(C1002,STUDENTS!C1001:C100998,STUDENTS!F1001:F100998)),"update STUDENT sheet")</f>
        <v/>
      </c>
      <c r="F1002">
        <f>IFERROR(IF(D1002="","",_xlfn.XLOOKUP(D1002,STUDENTS!D1001:D100998,STUDENTS!G1001:G100998)),"update STUDENT sheet")</f>
        <v/>
      </c>
      <c r="G1002">
        <f>IFERROR(IF(E1002="","",_xlfn.XLOOKUP(E1002,STUDENTS!F1001:F100998,STUDENTS!H1001:H100998)),"update STUDENT sheet")</f>
        <v/>
      </c>
    </row>
    <row r="1003">
      <c r="B1003">
        <f>IF(STUDENTS!B1002="","",STUDENTS!B1002)</f>
        <v/>
      </c>
      <c r="C1003">
        <f>IFERROR(IF(B1003="","",_xlfn.XLOOKUP(B1003,STUDENTS!$B$3:$B$1048576,STUDENTS!$C$3:$C$1048576)),"Enter a registered reg. no")</f>
        <v/>
      </c>
      <c r="D1003">
        <f>IFERROR(IF(B1003="","",_xlfn.XLOOKUP(B1003,STUDENTS!B1002:B100999,STUDENTS!D1002:D100999)),"update STUDENT sheet")</f>
        <v/>
      </c>
      <c r="E1003">
        <f>IFERROR(IF(C1003="","",_xlfn.XLOOKUP(C1003,STUDENTS!C1002:C100999,STUDENTS!F1002:F100999)),"update STUDENT sheet")</f>
        <v/>
      </c>
      <c r="F1003">
        <f>IFERROR(IF(D1003="","",_xlfn.XLOOKUP(D1003,STUDENTS!D1002:D100999,STUDENTS!G1002:G100999)),"update STUDENT sheet")</f>
        <v/>
      </c>
      <c r="G1003">
        <f>IFERROR(IF(E1003="","",_xlfn.XLOOKUP(E1003,STUDENTS!F1002:F100999,STUDENTS!H1002:H100999)),"update STUDENT sheet")</f>
        <v/>
      </c>
    </row>
    <row r="1004">
      <c r="B1004">
        <f>IF(STUDENTS!B1003="","",STUDENTS!B1003)</f>
        <v/>
      </c>
      <c r="C1004">
        <f>IFERROR(IF(B1004="","",_xlfn.XLOOKUP(B1004,STUDENTS!$B$3:$B$1048576,STUDENTS!$C$3:$C$1048576)),"Enter a registered reg. no")</f>
        <v/>
      </c>
      <c r="D1004">
        <f>IFERROR(IF(B1004="","",_xlfn.XLOOKUP(B1004,STUDENTS!B1003:B101000,STUDENTS!D1003:D101000)),"update STUDENT sheet")</f>
        <v/>
      </c>
      <c r="E1004">
        <f>IFERROR(IF(C1004="","",_xlfn.XLOOKUP(C1004,STUDENTS!C1003:C101000,STUDENTS!F1003:F101000)),"update STUDENT sheet")</f>
        <v/>
      </c>
      <c r="F1004">
        <f>IFERROR(IF(D1004="","",_xlfn.XLOOKUP(D1004,STUDENTS!D1003:D101000,STUDENTS!G1003:G101000)),"update STUDENT sheet")</f>
        <v/>
      </c>
      <c r="G1004">
        <f>IFERROR(IF(E1004="","",_xlfn.XLOOKUP(E1004,STUDENTS!F1003:F101000,STUDENTS!H1003:H101000)),"update STUDENT sheet")</f>
        <v/>
      </c>
    </row>
    <row r="1005">
      <c r="B1005">
        <f>IF(STUDENTS!B1004="","",STUDENTS!B1004)</f>
        <v/>
      </c>
      <c r="C1005">
        <f>IFERROR(IF(B1005="","",_xlfn.XLOOKUP(B1005,STUDENTS!$B$3:$B$1048576,STUDENTS!$C$3:$C$1048576)),"Enter a registered reg. no")</f>
        <v/>
      </c>
      <c r="D1005">
        <f>IFERROR(IF(B1005="","",_xlfn.XLOOKUP(B1005,STUDENTS!B1004:B101001,STUDENTS!D1004:D101001)),"update STUDENT sheet")</f>
        <v/>
      </c>
      <c r="E1005">
        <f>IFERROR(IF(C1005="","",_xlfn.XLOOKUP(C1005,STUDENTS!C1004:C101001,STUDENTS!F1004:F101001)),"update STUDENT sheet")</f>
        <v/>
      </c>
      <c r="F1005">
        <f>IFERROR(IF(D1005="","",_xlfn.XLOOKUP(D1005,STUDENTS!D1004:D101001,STUDENTS!G1004:G101001)),"update STUDENT sheet")</f>
        <v/>
      </c>
      <c r="G1005">
        <f>IFERROR(IF(E1005="","",_xlfn.XLOOKUP(E1005,STUDENTS!F1004:F101001,STUDENTS!H1004:H101001)),"update STUDENT sheet")</f>
        <v/>
      </c>
    </row>
    <row r="1006">
      <c r="B1006">
        <f>IF(STUDENTS!B1005="","",STUDENTS!B1005)</f>
        <v/>
      </c>
      <c r="C1006">
        <f>IFERROR(IF(B1006="","",_xlfn.XLOOKUP(B1006,STUDENTS!$B$3:$B$1048576,STUDENTS!$C$3:$C$1048576)),"Enter a registered reg. no")</f>
        <v/>
      </c>
      <c r="D1006">
        <f>IFERROR(IF(B1006="","",_xlfn.XLOOKUP(B1006,STUDENTS!B1005:B101002,STUDENTS!D1005:D101002)),"update STUDENT sheet")</f>
        <v/>
      </c>
      <c r="E1006">
        <f>IFERROR(IF(C1006="","",_xlfn.XLOOKUP(C1006,STUDENTS!C1005:C101002,STUDENTS!F1005:F101002)),"update STUDENT sheet")</f>
        <v/>
      </c>
      <c r="F1006">
        <f>IFERROR(IF(D1006="","",_xlfn.XLOOKUP(D1006,STUDENTS!D1005:D101002,STUDENTS!G1005:G101002)),"update STUDENT sheet")</f>
        <v/>
      </c>
      <c r="G1006">
        <f>IFERROR(IF(E1006="","",_xlfn.XLOOKUP(E1006,STUDENTS!F1005:F101002,STUDENTS!H1005:H101002)),"update STUDENT sheet")</f>
        <v/>
      </c>
    </row>
    <row r="1007">
      <c r="B1007">
        <f>IF(STUDENTS!B1006="","",STUDENTS!B1006)</f>
        <v/>
      </c>
      <c r="C1007">
        <f>IFERROR(IF(B1007="","",_xlfn.XLOOKUP(B1007,STUDENTS!$B$3:$B$1048576,STUDENTS!$C$3:$C$1048576)),"Enter a registered reg. no")</f>
        <v/>
      </c>
      <c r="D1007">
        <f>IFERROR(IF(B1007="","",_xlfn.XLOOKUP(B1007,STUDENTS!B1006:B101003,STUDENTS!D1006:D101003)),"update STUDENT sheet")</f>
        <v/>
      </c>
      <c r="E1007">
        <f>IFERROR(IF(C1007="","",_xlfn.XLOOKUP(C1007,STUDENTS!C1006:C101003,STUDENTS!F1006:F101003)),"update STUDENT sheet")</f>
        <v/>
      </c>
      <c r="F1007">
        <f>IFERROR(IF(D1007="","",_xlfn.XLOOKUP(D1007,STUDENTS!D1006:D101003,STUDENTS!G1006:G101003)),"update STUDENT sheet")</f>
        <v/>
      </c>
      <c r="G1007">
        <f>IFERROR(IF(E1007="","",_xlfn.XLOOKUP(E1007,STUDENTS!F1006:F101003,STUDENTS!H1006:H101003)),"update STUDENT sheet")</f>
        <v/>
      </c>
    </row>
    <row r="1008">
      <c r="B1008">
        <f>IF(STUDENTS!B1007="","",STUDENTS!B1007)</f>
        <v/>
      </c>
      <c r="C1008">
        <f>IFERROR(IF(B1008="","",_xlfn.XLOOKUP(B1008,STUDENTS!$B$3:$B$1048576,STUDENTS!$C$3:$C$1048576)),"Enter a registered reg. no")</f>
        <v/>
      </c>
      <c r="D1008">
        <f>IFERROR(IF(B1008="","",_xlfn.XLOOKUP(B1008,STUDENTS!B1007:B101004,STUDENTS!D1007:D101004)),"update STUDENT sheet")</f>
        <v/>
      </c>
      <c r="E1008">
        <f>IFERROR(IF(C1008="","",_xlfn.XLOOKUP(C1008,STUDENTS!C1007:C101004,STUDENTS!F1007:F101004)),"update STUDENT sheet")</f>
        <v/>
      </c>
      <c r="F1008">
        <f>IFERROR(IF(D1008="","",_xlfn.XLOOKUP(D1008,STUDENTS!D1007:D101004,STUDENTS!G1007:G101004)),"update STUDENT sheet")</f>
        <v/>
      </c>
      <c r="G1008">
        <f>IFERROR(IF(E1008="","",_xlfn.XLOOKUP(E1008,STUDENTS!F1007:F101004,STUDENTS!H1007:H101004)),"update STUDENT sheet")</f>
        <v/>
      </c>
    </row>
    <row r="1009">
      <c r="B1009">
        <f>IF(STUDENTS!B1008="","",STUDENTS!B1008)</f>
        <v/>
      </c>
      <c r="C1009">
        <f>IFERROR(IF(B1009="","",_xlfn.XLOOKUP(B1009,STUDENTS!$B$3:$B$1048576,STUDENTS!$C$3:$C$1048576)),"Enter a registered reg. no")</f>
        <v/>
      </c>
      <c r="D1009">
        <f>IFERROR(IF(B1009="","",_xlfn.XLOOKUP(B1009,STUDENTS!B1008:B101005,STUDENTS!D1008:D101005)),"update STUDENT sheet")</f>
        <v/>
      </c>
      <c r="E1009">
        <f>IFERROR(IF(C1009="","",_xlfn.XLOOKUP(C1009,STUDENTS!C1008:C101005,STUDENTS!F1008:F101005)),"update STUDENT sheet")</f>
        <v/>
      </c>
      <c r="F1009">
        <f>IFERROR(IF(D1009="","",_xlfn.XLOOKUP(D1009,STUDENTS!D1008:D101005,STUDENTS!G1008:G101005)),"update STUDENT sheet")</f>
        <v/>
      </c>
      <c r="G1009">
        <f>IFERROR(IF(E1009="","",_xlfn.XLOOKUP(E1009,STUDENTS!F1008:F101005,STUDENTS!H1008:H101005)),"update STUDENT sheet")</f>
        <v/>
      </c>
    </row>
    <row r="1010">
      <c r="B1010">
        <f>IF(STUDENTS!B1009="","",STUDENTS!B1009)</f>
        <v/>
      </c>
      <c r="C1010">
        <f>IFERROR(IF(B1010="","",_xlfn.XLOOKUP(B1010,STUDENTS!$B$3:$B$1048576,STUDENTS!$C$3:$C$1048576)),"Enter a registered reg. no")</f>
        <v/>
      </c>
      <c r="D1010">
        <f>IFERROR(IF(B1010="","",_xlfn.XLOOKUP(B1010,STUDENTS!B1009:B101006,STUDENTS!D1009:D101006)),"update STUDENT sheet")</f>
        <v/>
      </c>
      <c r="E1010">
        <f>IFERROR(IF(C1010="","",_xlfn.XLOOKUP(C1010,STUDENTS!C1009:C101006,STUDENTS!F1009:F101006)),"update STUDENT sheet")</f>
        <v/>
      </c>
      <c r="F1010">
        <f>IFERROR(IF(D1010="","",_xlfn.XLOOKUP(D1010,STUDENTS!D1009:D101006,STUDENTS!G1009:G101006)),"update STUDENT sheet")</f>
        <v/>
      </c>
      <c r="G1010">
        <f>IFERROR(IF(E1010="","",_xlfn.XLOOKUP(E1010,STUDENTS!F1009:F101006,STUDENTS!H1009:H101006)),"update STUDENT sheet")</f>
        <v/>
      </c>
    </row>
    <row r="1011">
      <c r="B1011">
        <f>IF(STUDENTS!B1010="","",STUDENTS!B1010)</f>
        <v/>
      </c>
      <c r="C1011">
        <f>IFERROR(IF(B1011="","",_xlfn.XLOOKUP(B1011,STUDENTS!$B$3:$B$1048576,STUDENTS!$C$3:$C$1048576)),"Enter a registered reg. no")</f>
        <v/>
      </c>
      <c r="D1011">
        <f>IFERROR(IF(B1011="","",_xlfn.XLOOKUP(B1011,STUDENTS!B1010:B101007,STUDENTS!D1010:D101007)),"update STUDENT sheet")</f>
        <v/>
      </c>
      <c r="E1011">
        <f>IFERROR(IF(C1011="","",_xlfn.XLOOKUP(C1011,STUDENTS!C1010:C101007,STUDENTS!F1010:F101007)),"update STUDENT sheet")</f>
        <v/>
      </c>
      <c r="F1011">
        <f>IFERROR(IF(D1011="","",_xlfn.XLOOKUP(D1011,STUDENTS!D1010:D101007,STUDENTS!G1010:G101007)),"update STUDENT sheet")</f>
        <v/>
      </c>
      <c r="G1011">
        <f>IFERROR(IF(E1011="","",_xlfn.XLOOKUP(E1011,STUDENTS!F1010:F101007,STUDENTS!H1010:H101007)),"update STUDENT sheet")</f>
        <v/>
      </c>
    </row>
    <row r="1012">
      <c r="B1012">
        <f>IF(STUDENTS!B1011="","",STUDENTS!B1011)</f>
        <v/>
      </c>
      <c r="C1012">
        <f>IFERROR(IF(B1012="","",_xlfn.XLOOKUP(B1012,STUDENTS!$B$3:$B$1048576,STUDENTS!$C$3:$C$1048576)),"Enter a registered reg. no")</f>
        <v/>
      </c>
      <c r="D1012">
        <f>IFERROR(IF(B1012="","",_xlfn.XLOOKUP(B1012,STUDENTS!B1011:B101008,STUDENTS!D1011:D101008)),"update STUDENT sheet")</f>
        <v/>
      </c>
      <c r="E1012">
        <f>IFERROR(IF(C1012="","",_xlfn.XLOOKUP(C1012,STUDENTS!C1011:C101008,STUDENTS!F1011:F101008)),"update STUDENT sheet")</f>
        <v/>
      </c>
      <c r="F1012">
        <f>IFERROR(IF(D1012="","",_xlfn.XLOOKUP(D1012,STUDENTS!D1011:D101008,STUDENTS!G1011:G101008)),"update STUDENT sheet")</f>
        <v/>
      </c>
      <c r="G1012">
        <f>IFERROR(IF(E1012="","",_xlfn.XLOOKUP(E1012,STUDENTS!F1011:F101008,STUDENTS!H1011:H101008)),"update STUDENT sheet")</f>
        <v/>
      </c>
    </row>
    <row r="1013">
      <c r="B1013">
        <f>IF(STUDENTS!B1012="","",STUDENTS!B1012)</f>
        <v/>
      </c>
      <c r="C1013">
        <f>IFERROR(IF(B1013="","",_xlfn.XLOOKUP(B1013,STUDENTS!$B$3:$B$1048576,STUDENTS!$C$3:$C$1048576)),"Enter a registered reg. no")</f>
        <v/>
      </c>
      <c r="D1013">
        <f>IFERROR(IF(B1013="","",_xlfn.XLOOKUP(B1013,STUDENTS!B1012:B101009,STUDENTS!D1012:D101009)),"update STUDENT sheet")</f>
        <v/>
      </c>
      <c r="E1013">
        <f>IFERROR(IF(C1013="","",_xlfn.XLOOKUP(C1013,STUDENTS!C1012:C101009,STUDENTS!F1012:F101009)),"update STUDENT sheet")</f>
        <v/>
      </c>
      <c r="F1013">
        <f>IFERROR(IF(D1013="","",_xlfn.XLOOKUP(D1013,STUDENTS!D1012:D101009,STUDENTS!G1012:G101009)),"update STUDENT sheet")</f>
        <v/>
      </c>
      <c r="G1013">
        <f>IFERROR(IF(E1013="","",_xlfn.XLOOKUP(E1013,STUDENTS!F1012:F101009,STUDENTS!H1012:H101009)),"update STUDENT sheet")</f>
        <v/>
      </c>
    </row>
    <row r="1014">
      <c r="B1014">
        <f>IF(STUDENTS!B1013="","",STUDENTS!B1013)</f>
        <v/>
      </c>
      <c r="C1014">
        <f>IFERROR(IF(B1014="","",_xlfn.XLOOKUP(B1014,STUDENTS!$B$3:$B$1048576,STUDENTS!$C$3:$C$1048576)),"Enter a registered reg. no")</f>
        <v/>
      </c>
      <c r="D1014">
        <f>IFERROR(IF(B1014="","",_xlfn.XLOOKUP(B1014,STUDENTS!B1013:B101010,STUDENTS!D1013:D101010)),"update STUDENT sheet")</f>
        <v/>
      </c>
      <c r="E1014">
        <f>IFERROR(IF(C1014="","",_xlfn.XLOOKUP(C1014,STUDENTS!C1013:C101010,STUDENTS!F1013:F101010)),"update STUDENT sheet")</f>
        <v/>
      </c>
      <c r="F1014">
        <f>IFERROR(IF(D1014="","",_xlfn.XLOOKUP(D1014,STUDENTS!D1013:D101010,STUDENTS!G1013:G101010)),"update STUDENT sheet")</f>
        <v/>
      </c>
      <c r="G1014">
        <f>IFERROR(IF(E1014="","",_xlfn.XLOOKUP(E1014,STUDENTS!F1013:F101010,STUDENTS!H1013:H101010)),"update STUDENT sheet")</f>
        <v/>
      </c>
    </row>
    <row r="1015">
      <c r="B1015">
        <f>IF(STUDENTS!B1014="","",STUDENTS!B1014)</f>
        <v/>
      </c>
      <c r="C1015">
        <f>IFERROR(IF(B1015="","",_xlfn.XLOOKUP(B1015,STUDENTS!$B$3:$B$1048576,STUDENTS!$C$3:$C$1048576)),"Enter a registered reg. no")</f>
        <v/>
      </c>
      <c r="D1015">
        <f>IFERROR(IF(B1015="","",_xlfn.XLOOKUP(B1015,STUDENTS!B1014:B101011,STUDENTS!D1014:D101011)),"update STUDENT sheet")</f>
        <v/>
      </c>
      <c r="E1015">
        <f>IFERROR(IF(C1015="","",_xlfn.XLOOKUP(C1015,STUDENTS!C1014:C101011,STUDENTS!F1014:F101011)),"update STUDENT sheet")</f>
        <v/>
      </c>
      <c r="F1015">
        <f>IFERROR(IF(D1015="","",_xlfn.XLOOKUP(D1015,STUDENTS!D1014:D101011,STUDENTS!G1014:G101011)),"update STUDENT sheet")</f>
        <v/>
      </c>
      <c r="G1015">
        <f>IFERROR(IF(E1015="","",_xlfn.XLOOKUP(E1015,STUDENTS!F1014:F101011,STUDENTS!H1014:H101011)),"update STUDENT sheet")</f>
        <v/>
      </c>
    </row>
    <row r="1016">
      <c r="B1016">
        <f>IF(STUDENTS!B1015="","",STUDENTS!B1015)</f>
        <v/>
      </c>
      <c r="C1016">
        <f>IFERROR(IF(B1016="","",_xlfn.XLOOKUP(B1016,STUDENTS!$B$3:$B$1048576,STUDENTS!$C$3:$C$1048576)),"Enter a registered reg. no")</f>
        <v/>
      </c>
      <c r="D1016">
        <f>IFERROR(IF(B1016="","",_xlfn.XLOOKUP(B1016,STUDENTS!B1015:B101012,STUDENTS!D1015:D101012)),"update STUDENT sheet")</f>
        <v/>
      </c>
      <c r="E1016">
        <f>IFERROR(IF(C1016="","",_xlfn.XLOOKUP(C1016,STUDENTS!C1015:C101012,STUDENTS!F1015:F101012)),"update STUDENT sheet")</f>
        <v/>
      </c>
      <c r="F1016">
        <f>IFERROR(IF(D1016="","",_xlfn.XLOOKUP(D1016,STUDENTS!D1015:D101012,STUDENTS!G1015:G101012)),"update STUDENT sheet")</f>
        <v/>
      </c>
      <c r="G1016">
        <f>IFERROR(IF(E1016="","",_xlfn.XLOOKUP(E1016,STUDENTS!F1015:F101012,STUDENTS!H1015:H101012)),"update STUDENT sheet")</f>
        <v/>
      </c>
    </row>
    <row r="1017">
      <c r="B1017">
        <f>IF(STUDENTS!B1016="","",STUDENTS!B1016)</f>
        <v/>
      </c>
      <c r="C1017">
        <f>IFERROR(IF(B1017="","",_xlfn.XLOOKUP(B1017,STUDENTS!$B$3:$B$1048576,STUDENTS!$C$3:$C$1048576)),"Enter a registered reg. no")</f>
        <v/>
      </c>
      <c r="D1017">
        <f>IFERROR(IF(B1017="","",_xlfn.XLOOKUP(B1017,STUDENTS!B1016:B101013,STUDENTS!D1016:D101013)),"update STUDENT sheet")</f>
        <v/>
      </c>
      <c r="E1017">
        <f>IFERROR(IF(C1017="","",_xlfn.XLOOKUP(C1017,STUDENTS!C1016:C101013,STUDENTS!F1016:F101013)),"update STUDENT sheet")</f>
        <v/>
      </c>
      <c r="F1017">
        <f>IFERROR(IF(D1017="","",_xlfn.XLOOKUP(D1017,STUDENTS!D1016:D101013,STUDENTS!G1016:G101013)),"update STUDENT sheet")</f>
        <v/>
      </c>
      <c r="G1017">
        <f>IFERROR(IF(E1017="","",_xlfn.XLOOKUP(E1017,STUDENTS!F1016:F101013,STUDENTS!H1016:H101013)),"update STUDENT sheet")</f>
        <v/>
      </c>
    </row>
    <row r="1018">
      <c r="B1018">
        <f>IF(STUDENTS!B1017="","",STUDENTS!B1017)</f>
        <v/>
      </c>
      <c r="C1018">
        <f>IFERROR(IF(B1018="","",_xlfn.XLOOKUP(B1018,STUDENTS!$B$3:$B$1048576,STUDENTS!$C$3:$C$1048576)),"Enter a registered reg. no")</f>
        <v/>
      </c>
      <c r="D1018">
        <f>IFERROR(IF(B1018="","",_xlfn.XLOOKUP(B1018,STUDENTS!B1017:B101014,STUDENTS!D1017:D101014)),"update STUDENT sheet")</f>
        <v/>
      </c>
      <c r="E1018">
        <f>IFERROR(IF(C1018="","",_xlfn.XLOOKUP(C1018,STUDENTS!C1017:C101014,STUDENTS!F1017:F101014)),"update STUDENT sheet")</f>
        <v/>
      </c>
      <c r="F1018">
        <f>IFERROR(IF(D1018="","",_xlfn.XLOOKUP(D1018,STUDENTS!D1017:D101014,STUDENTS!G1017:G101014)),"update STUDENT sheet")</f>
        <v/>
      </c>
      <c r="G1018">
        <f>IFERROR(IF(E1018="","",_xlfn.XLOOKUP(E1018,STUDENTS!F1017:F101014,STUDENTS!H1017:H101014)),"update STUDENT sheet")</f>
        <v/>
      </c>
    </row>
    <row r="1019">
      <c r="B1019">
        <f>IF(STUDENTS!B1018="","",STUDENTS!B1018)</f>
        <v/>
      </c>
      <c r="C1019">
        <f>IFERROR(IF(B1019="","",_xlfn.XLOOKUP(B1019,STUDENTS!$B$3:$B$1048576,STUDENTS!$C$3:$C$1048576)),"Enter a registered reg. no")</f>
        <v/>
      </c>
      <c r="D1019">
        <f>IFERROR(IF(B1019="","",_xlfn.XLOOKUP(B1019,STUDENTS!B1018:B101015,STUDENTS!D1018:D101015)),"update STUDENT sheet")</f>
        <v/>
      </c>
      <c r="E1019">
        <f>IFERROR(IF(C1019="","",_xlfn.XLOOKUP(C1019,STUDENTS!C1018:C101015,STUDENTS!F1018:F101015)),"update STUDENT sheet")</f>
        <v/>
      </c>
      <c r="F1019">
        <f>IFERROR(IF(D1019="","",_xlfn.XLOOKUP(D1019,STUDENTS!D1018:D101015,STUDENTS!G1018:G101015)),"update STUDENT sheet")</f>
        <v/>
      </c>
      <c r="G1019">
        <f>IFERROR(IF(E1019="","",_xlfn.XLOOKUP(E1019,STUDENTS!F1018:F101015,STUDENTS!H1018:H101015)),"update STUDENT sheet")</f>
        <v/>
      </c>
    </row>
    <row r="1020">
      <c r="B1020">
        <f>IF(STUDENTS!B1019="","",STUDENTS!B1019)</f>
        <v/>
      </c>
      <c r="C1020">
        <f>IFERROR(IF(B1020="","",_xlfn.XLOOKUP(B1020,STUDENTS!$B$3:$B$1048576,STUDENTS!$C$3:$C$1048576)),"Enter a registered reg. no")</f>
        <v/>
      </c>
      <c r="D1020">
        <f>IFERROR(IF(B1020="","",_xlfn.XLOOKUP(B1020,STUDENTS!B1019:B101016,STUDENTS!D1019:D101016)),"update STUDENT sheet")</f>
        <v/>
      </c>
      <c r="E1020">
        <f>IFERROR(IF(C1020="","",_xlfn.XLOOKUP(C1020,STUDENTS!C1019:C101016,STUDENTS!F1019:F101016)),"update STUDENT sheet")</f>
        <v/>
      </c>
      <c r="F1020">
        <f>IFERROR(IF(D1020="","",_xlfn.XLOOKUP(D1020,STUDENTS!D1019:D101016,STUDENTS!G1019:G101016)),"update STUDENT sheet")</f>
        <v/>
      </c>
      <c r="G1020">
        <f>IFERROR(IF(E1020="","",_xlfn.XLOOKUP(E1020,STUDENTS!F1019:F101016,STUDENTS!H1019:H101016)),"update STUDENT sheet")</f>
        <v/>
      </c>
    </row>
    <row r="1021">
      <c r="B1021">
        <f>IF(STUDENTS!B1020="","",STUDENTS!B1020)</f>
        <v/>
      </c>
      <c r="C1021">
        <f>IFERROR(IF(B1021="","",_xlfn.XLOOKUP(B1021,STUDENTS!$B$3:$B$1048576,STUDENTS!$C$3:$C$1048576)),"Enter a registered reg. no")</f>
        <v/>
      </c>
      <c r="D1021">
        <f>IFERROR(IF(B1021="","",_xlfn.XLOOKUP(B1021,STUDENTS!B1020:B101017,STUDENTS!D1020:D101017)),"update STUDENT sheet")</f>
        <v/>
      </c>
      <c r="E1021">
        <f>IFERROR(IF(C1021="","",_xlfn.XLOOKUP(C1021,STUDENTS!C1020:C101017,STUDENTS!F1020:F101017)),"update STUDENT sheet")</f>
        <v/>
      </c>
      <c r="F1021">
        <f>IFERROR(IF(D1021="","",_xlfn.XLOOKUP(D1021,STUDENTS!D1020:D101017,STUDENTS!G1020:G101017)),"update STUDENT sheet")</f>
        <v/>
      </c>
      <c r="G1021">
        <f>IFERROR(IF(E1021="","",_xlfn.XLOOKUP(E1021,STUDENTS!F1020:F101017,STUDENTS!H1020:H101017)),"update STUDENT sheet")</f>
        <v/>
      </c>
    </row>
    <row r="1022">
      <c r="B1022">
        <f>IF(STUDENTS!B1021="","",STUDENTS!B1021)</f>
        <v/>
      </c>
      <c r="C1022">
        <f>IFERROR(IF(B1022="","",_xlfn.XLOOKUP(B1022,STUDENTS!$B$3:$B$1048576,STUDENTS!$C$3:$C$1048576)),"Enter a registered reg. no")</f>
        <v/>
      </c>
      <c r="D1022">
        <f>IFERROR(IF(B1022="","",_xlfn.XLOOKUP(B1022,STUDENTS!B1021:B101018,STUDENTS!D1021:D101018)),"update STUDENT sheet")</f>
        <v/>
      </c>
      <c r="E1022">
        <f>IFERROR(IF(C1022="","",_xlfn.XLOOKUP(C1022,STUDENTS!C1021:C101018,STUDENTS!F1021:F101018)),"update STUDENT sheet")</f>
        <v/>
      </c>
      <c r="F1022">
        <f>IFERROR(IF(D1022="","",_xlfn.XLOOKUP(D1022,STUDENTS!D1021:D101018,STUDENTS!G1021:G101018)),"update STUDENT sheet")</f>
        <v/>
      </c>
      <c r="G1022">
        <f>IFERROR(IF(E1022="","",_xlfn.XLOOKUP(E1022,STUDENTS!F1021:F101018,STUDENTS!H1021:H101018)),"update STUDENT sheet")</f>
        <v/>
      </c>
    </row>
    <row r="1023">
      <c r="B1023">
        <f>IF(STUDENTS!B1022="","",STUDENTS!B1022)</f>
        <v/>
      </c>
      <c r="C1023">
        <f>IFERROR(IF(B1023="","",_xlfn.XLOOKUP(B1023,STUDENTS!$B$3:$B$1048576,STUDENTS!$C$3:$C$1048576)),"Enter a registered reg. no")</f>
        <v/>
      </c>
      <c r="D1023">
        <f>IFERROR(IF(B1023="","",_xlfn.XLOOKUP(B1023,STUDENTS!B1022:B101019,STUDENTS!D1022:D101019)),"update STUDENT sheet")</f>
        <v/>
      </c>
      <c r="E1023">
        <f>IFERROR(IF(C1023="","",_xlfn.XLOOKUP(C1023,STUDENTS!C1022:C101019,STUDENTS!F1022:F101019)),"update STUDENT sheet")</f>
        <v/>
      </c>
      <c r="F1023">
        <f>IFERROR(IF(D1023="","",_xlfn.XLOOKUP(D1023,STUDENTS!D1022:D101019,STUDENTS!G1022:G101019)),"update STUDENT sheet")</f>
        <v/>
      </c>
      <c r="G1023">
        <f>IFERROR(IF(E1023="","",_xlfn.XLOOKUP(E1023,STUDENTS!F1022:F101019,STUDENTS!H1022:H101019)),"update STUDENT sheet")</f>
        <v/>
      </c>
    </row>
    <row r="1024">
      <c r="B1024">
        <f>IF(STUDENTS!B1023="","",STUDENTS!B1023)</f>
        <v/>
      </c>
      <c r="C1024">
        <f>IFERROR(IF(B1024="","",_xlfn.XLOOKUP(B1024,STUDENTS!$B$3:$B$1048576,STUDENTS!$C$3:$C$1048576)),"Enter a registered reg. no")</f>
        <v/>
      </c>
      <c r="D1024">
        <f>IFERROR(IF(B1024="","",_xlfn.XLOOKUP(B1024,STUDENTS!B1023:B101020,STUDENTS!D1023:D101020)),"update STUDENT sheet")</f>
        <v/>
      </c>
      <c r="E1024">
        <f>IFERROR(IF(C1024="","",_xlfn.XLOOKUP(C1024,STUDENTS!C1023:C101020,STUDENTS!F1023:F101020)),"update STUDENT sheet")</f>
        <v/>
      </c>
      <c r="F1024">
        <f>IFERROR(IF(D1024="","",_xlfn.XLOOKUP(D1024,STUDENTS!D1023:D101020,STUDENTS!G1023:G101020)),"update STUDENT sheet")</f>
        <v/>
      </c>
      <c r="G1024">
        <f>IFERROR(IF(E1024="","",_xlfn.XLOOKUP(E1024,STUDENTS!F1023:F101020,STUDENTS!H1023:H101020)),"update STUDENT sheet")</f>
        <v/>
      </c>
    </row>
    <row r="1025">
      <c r="B1025">
        <f>IF(STUDENTS!B1024="","",STUDENTS!B1024)</f>
        <v/>
      </c>
      <c r="C1025">
        <f>IFERROR(IF(B1025="","",_xlfn.XLOOKUP(B1025,STUDENTS!$B$3:$B$1048576,STUDENTS!$C$3:$C$1048576)),"Enter a registered reg. no")</f>
        <v/>
      </c>
      <c r="D1025">
        <f>IFERROR(IF(B1025="","",_xlfn.XLOOKUP(B1025,STUDENTS!B1024:B101021,STUDENTS!D1024:D101021)),"update STUDENT sheet")</f>
        <v/>
      </c>
      <c r="E1025">
        <f>IFERROR(IF(C1025="","",_xlfn.XLOOKUP(C1025,STUDENTS!C1024:C101021,STUDENTS!F1024:F101021)),"update STUDENT sheet")</f>
        <v/>
      </c>
      <c r="F1025">
        <f>IFERROR(IF(D1025="","",_xlfn.XLOOKUP(D1025,STUDENTS!D1024:D101021,STUDENTS!G1024:G101021)),"update STUDENT sheet")</f>
        <v/>
      </c>
      <c r="G1025">
        <f>IFERROR(IF(E1025="","",_xlfn.XLOOKUP(E1025,STUDENTS!F1024:F101021,STUDENTS!H1024:H101021)),"update STUDENT sheet")</f>
        <v/>
      </c>
    </row>
    <row r="1026">
      <c r="B1026">
        <f>IF(STUDENTS!B1025="","",STUDENTS!B1025)</f>
        <v/>
      </c>
      <c r="C1026">
        <f>IFERROR(IF(B1026="","",_xlfn.XLOOKUP(B1026,STUDENTS!$B$3:$B$1048576,STUDENTS!$C$3:$C$1048576)),"Enter a registered reg. no")</f>
        <v/>
      </c>
      <c r="D1026">
        <f>IFERROR(IF(B1026="","",_xlfn.XLOOKUP(B1026,STUDENTS!B1025:B101022,STUDENTS!D1025:D101022)),"update STUDENT sheet")</f>
        <v/>
      </c>
      <c r="E1026">
        <f>IFERROR(IF(C1026="","",_xlfn.XLOOKUP(C1026,STUDENTS!C1025:C101022,STUDENTS!F1025:F101022)),"update STUDENT sheet")</f>
        <v/>
      </c>
      <c r="F1026">
        <f>IFERROR(IF(D1026="","",_xlfn.XLOOKUP(D1026,STUDENTS!D1025:D101022,STUDENTS!G1025:G101022)),"update STUDENT sheet")</f>
        <v/>
      </c>
      <c r="G1026">
        <f>IFERROR(IF(E1026="","",_xlfn.XLOOKUP(E1026,STUDENTS!F1025:F101022,STUDENTS!H1025:H101022)),"update STUDENT sheet")</f>
        <v/>
      </c>
    </row>
    <row r="1027">
      <c r="B1027">
        <f>IF(STUDENTS!B1026="","",STUDENTS!B1026)</f>
        <v/>
      </c>
      <c r="C1027">
        <f>IFERROR(IF(B1027="","",_xlfn.XLOOKUP(B1027,STUDENTS!$B$3:$B$1048576,STUDENTS!$C$3:$C$1048576)),"Enter a registered reg. no")</f>
        <v/>
      </c>
      <c r="D1027">
        <f>IFERROR(IF(B1027="","",_xlfn.XLOOKUP(B1027,STUDENTS!B1026:B101023,STUDENTS!D1026:D101023)),"update STUDENT sheet")</f>
        <v/>
      </c>
      <c r="E1027">
        <f>IFERROR(IF(C1027="","",_xlfn.XLOOKUP(C1027,STUDENTS!C1026:C101023,STUDENTS!F1026:F101023)),"update STUDENT sheet")</f>
        <v/>
      </c>
      <c r="F1027">
        <f>IFERROR(IF(D1027="","",_xlfn.XLOOKUP(D1027,STUDENTS!D1026:D101023,STUDENTS!G1026:G101023)),"update STUDENT sheet")</f>
        <v/>
      </c>
      <c r="G1027">
        <f>IFERROR(IF(E1027="","",_xlfn.XLOOKUP(E1027,STUDENTS!F1026:F101023,STUDENTS!H1026:H101023)),"update STUDENT sheet")</f>
        <v/>
      </c>
    </row>
    <row r="1028">
      <c r="B1028">
        <f>IF(STUDENTS!B1027="","",STUDENTS!B1027)</f>
        <v/>
      </c>
      <c r="C1028">
        <f>IFERROR(IF(B1028="","",_xlfn.XLOOKUP(B1028,STUDENTS!$B$3:$B$1048576,STUDENTS!$C$3:$C$1048576)),"Enter a registered reg. no")</f>
        <v/>
      </c>
      <c r="D1028">
        <f>IFERROR(IF(B1028="","",_xlfn.XLOOKUP(B1028,STUDENTS!B1027:B101024,STUDENTS!D1027:D101024)),"update STUDENT sheet")</f>
        <v/>
      </c>
      <c r="E1028">
        <f>IFERROR(IF(C1028="","",_xlfn.XLOOKUP(C1028,STUDENTS!C1027:C101024,STUDENTS!F1027:F101024)),"update STUDENT sheet")</f>
        <v/>
      </c>
      <c r="F1028">
        <f>IFERROR(IF(D1028="","",_xlfn.XLOOKUP(D1028,STUDENTS!D1027:D101024,STUDENTS!G1027:G101024)),"update STUDENT sheet")</f>
        <v/>
      </c>
      <c r="G1028">
        <f>IFERROR(IF(E1028="","",_xlfn.XLOOKUP(E1028,STUDENTS!F1027:F101024,STUDENTS!H1027:H101024)),"update STUDENT sheet")</f>
        <v/>
      </c>
    </row>
    <row r="1029">
      <c r="B1029">
        <f>IF(STUDENTS!B1028="","",STUDENTS!B1028)</f>
        <v/>
      </c>
      <c r="C1029">
        <f>IFERROR(IF(B1029="","",_xlfn.XLOOKUP(B1029,STUDENTS!$B$3:$B$1048576,STUDENTS!$C$3:$C$1048576)),"Enter a registered reg. no")</f>
        <v/>
      </c>
      <c r="D1029">
        <f>IFERROR(IF(B1029="","",_xlfn.XLOOKUP(B1029,STUDENTS!B1028:B101025,STUDENTS!D1028:D101025)),"update STUDENT sheet")</f>
        <v/>
      </c>
      <c r="E1029">
        <f>IFERROR(IF(C1029="","",_xlfn.XLOOKUP(C1029,STUDENTS!C1028:C101025,STUDENTS!F1028:F101025)),"update STUDENT sheet")</f>
        <v/>
      </c>
      <c r="F1029">
        <f>IFERROR(IF(D1029="","",_xlfn.XLOOKUP(D1029,STUDENTS!D1028:D101025,STUDENTS!G1028:G101025)),"update STUDENT sheet")</f>
        <v/>
      </c>
      <c r="G1029">
        <f>IFERROR(IF(E1029="","",_xlfn.XLOOKUP(E1029,STUDENTS!F1028:F101025,STUDENTS!H1028:H101025)),"update STUDENT sheet")</f>
        <v/>
      </c>
    </row>
    <row r="1030">
      <c r="B1030">
        <f>IF(STUDENTS!B1029="","",STUDENTS!B1029)</f>
        <v/>
      </c>
      <c r="C1030">
        <f>IFERROR(IF(B1030="","",_xlfn.XLOOKUP(B1030,STUDENTS!$B$3:$B$1048576,STUDENTS!$C$3:$C$1048576)),"Enter a registered reg. no")</f>
        <v/>
      </c>
      <c r="D1030">
        <f>IFERROR(IF(B1030="","",_xlfn.XLOOKUP(B1030,STUDENTS!B1029:B101026,STUDENTS!D1029:D101026)),"update STUDENT sheet")</f>
        <v/>
      </c>
      <c r="E1030">
        <f>IFERROR(IF(C1030="","",_xlfn.XLOOKUP(C1030,STUDENTS!C1029:C101026,STUDENTS!F1029:F101026)),"update STUDENT sheet")</f>
        <v/>
      </c>
      <c r="F1030">
        <f>IFERROR(IF(D1030="","",_xlfn.XLOOKUP(D1030,STUDENTS!D1029:D101026,STUDENTS!G1029:G101026)),"update STUDENT sheet")</f>
        <v/>
      </c>
      <c r="G1030">
        <f>IFERROR(IF(E1030="","",_xlfn.XLOOKUP(E1030,STUDENTS!F1029:F101026,STUDENTS!H1029:H101026)),"update STUDENT sheet")</f>
        <v/>
      </c>
    </row>
    <row r="1031">
      <c r="B1031">
        <f>IF(STUDENTS!B1030="","",STUDENTS!B1030)</f>
        <v/>
      </c>
      <c r="C1031">
        <f>IFERROR(IF(B1031="","",_xlfn.XLOOKUP(B1031,STUDENTS!$B$3:$B$1048576,STUDENTS!$C$3:$C$1048576)),"Enter a registered reg. no")</f>
        <v/>
      </c>
      <c r="D1031">
        <f>IFERROR(IF(B1031="","",_xlfn.XLOOKUP(B1031,STUDENTS!B1030:B101027,STUDENTS!D1030:D101027)),"update STUDENT sheet")</f>
        <v/>
      </c>
      <c r="E1031">
        <f>IFERROR(IF(C1031="","",_xlfn.XLOOKUP(C1031,STUDENTS!C1030:C101027,STUDENTS!F1030:F101027)),"update STUDENT sheet")</f>
        <v/>
      </c>
      <c r="F1031">
        <f>IFERROR(IF(D1031="","",_xlfn.XLOOKUP(D1031,STUDENTS!D1030:D101027,STUDENTS!G1030:G101027)),"update STUDENT sheet")</f>
        <v/>
      </c>
      <c r="G1031">
        <f>IFERROR(IF(E1031="","",_xlfn.XLOOKUP(E1031,STUDENTS!F1030:F101027,STUDENTS!H1030:H101027)),"update STUDENT sheet")</f>
        <v/>
      </c>
    </row>
    <row r="1032">
      <c r="B1032">
        <f>IF(STUDENTS!B1031="","",STUDENTS!B1031)</f>
        <v/>
      </c>
      <c r="C1032">
        <f>IFERROR(IF(B1032="","",_xlfn.XLOOKUP(B1032,STUDENTS!$B$3:$B$1048576,STUDENTS!$C$3:$C$1048576)),"Enter a registered reg. no")</f>
        <v/>
      </c>
      <c r="D1032">
        <f>IFERROR(IF(B1032="","",_xlfn.XLOOKUP(B1032,STUDENTS!B1031:B101028,STUDENTS!D1031:D101028)),"update STUDENT sheet")</f>
        <v/>
      </c>
      <c r="E1032">
        <f>IFERROR(IF(C1032="","",_xlfn.XLOOKUP(C1032,STUDENTS!C1031:C101028,STUDENTS!F1031:F101028)),"update STUDENT sheet")</f>
        <v/>
      </c>
      <c r="F1032">
        <f>IFERROR(IF(D1032="","",_xlfn.XLOOKUP(D1032,STUDENTS!D1031:D101028,STUDENTS!G1031:G101028)),"update STUDENT sheet")</f>
        <v/>
      </c>
      <c r="G1032">
        <f>IFERROR(IF(E1032="","",_xlfn.XLOOKUP(E1032,STUDENTS!F1031:F101028,STUDENTS!H1031:H101028)),"update STUDENT sheet")</f>
        <v/>
      </c>
    </row>
    <row r="1033">
      <c r="B1033">
        <f>IF(STUDENTS!B1032="","",STUDENTS!B1032)</f>
        <v/>
      </c>
      <c r="C1033">
        <f>IFERROR(IF(B1033="","",_xlfn.XLOOKUP(B1033,STUDENTS!$B$3:$B$1048576,STUDENTS!$C$3:$C$1048576)),"Enter a registered reg. no")</f>
        <v/>
      </c>
      <c r="D1033">
        <f>IFERROR(IF(B1033="","",_xlfn.XLOOKUP(B1033,STUDENTS!B1032:B101029,STUDENTS!D1032:D101029)),"update STUDENT sheet")</f>
        <v/>
      </c>
      <c r="E1033">
        <f>IFERROR(IF(C1033="","",_xlfn.XLOOKUP(C1033,STUDENTS!C1032:C101029,STUDENTS!F1032:F101029)),"update STUDENT sheet")</f>
        <v/>
      </c>
      <c r="F1033">
        <f>IFERROR(IF(D1033="","",_xlfn.XLOOKUP(D1033,STUDENTS!D1032:D101029,STUDENTS!G1032:G101029)),"update STUDENT sheet")</f>
        <v/>
      </c>
      <c r="G1033">
        <f>IFERROR(IF(E1033="","",_xlfn.XLOOKUP(E1033,STUDENTS!F1032:F101029,STUDENTS!H1032:H101029)),"update STUDENT sheet")</f>
        <v/>
      </c>
    </row>
    <row r="1034">
      <c r="B1034">
        <f>IF(STUDENTS!B1033="","",STUDENTS!B1033)</f>
        <v/>
      </c>
      <c r="C1034">
        <f>IFERROR(IF(B1034="","",_xlfn.XLOOKUP(B1034,STUDENTS!$B$3:$B$1048576,STUDENTS!$C$3:$C$1048576)),"Enter a registered reg. no")</f>
        <v/>
      </c>
      <c r="D1034">
        <f>IFERROR(IF(B1034="","",_xlfn.XLOOKUP(B1034,STUDENTS!B1033:B101030,STUDENTS!D1033:D101030)),"update STUDENT sheet")</f>
        <v/>
      </c>
      <c r="E1034">
        <f>IFERROR(IF(C1034="","",_xlfn.XLOOKUP(C1034,STUDENTS!C1033:C101030,STUDENTS!F1033:F101030)),"update STUDENT sheet")</f>
        <v/>
      </c>
      <c r="F1034">
        <f>IFERROR(IF(D1034="","",_xlfn.XLOOKUP(D1034,STUDENTS!D1033:D101030,STUDENTS!G1033:G101030)),"update STUDENT sheet")</f>
        <v/>
      </c>
      <c r="G1034">
        <f>IFERROR(IF(E1034="","",_xlfn.XLOOKUP(E1034,STUDENTS!F1033:F101030,STUDENTS!H1033:H101030)),"update STUDENT sheet")</f>
        <v/>
      </c>
    </row>
    <row r="1035">
      <c r="B1035">
        <f>IF(STUDENTS!B1034="","",STUDENTS!B1034)</f>
        <v/>
      </c>
      <c r="C1035">
        <f>IFERROR(IF(B1035="","",_xlfn.XLOOKUP(B1035,STUDENTS!$B$3:$B$1048576,STUDENTS!$C$3:$C$1048576)),"Enter a registered reg. no")</f>
        <v/>
      </c>
      <c r="D1035">
        <f>IFERROR(IF(B1035="","",_xlfn.XLOOKUP(B1035,STUDENTS!B1034:B101031,STUDENTS!D1034:D101031)),"update STUDENT sheet")</f>
        <v/>
      </c>
      <c r="E1035">
        <f>IFERROR(IF(C1035="","",_xlfn.XLOOKUP(C1035,STUDENTS!C1034:C101031,STUDENTS!F1034:F101031)),"update STUDENT sheet")</f>
        <v/>
      </c>
      <c r="F1035">
        <f>IFERROR(IF(D1035="","",_xlfn.XLOOKUP(D1035,STUDENTS!D1034:D101031,STUDENTS!G1034:G101031)),"update STUDENT sheet")</f>
        <v/>
      </c>
      <c r="G1035">
        <f>IFERROR(IF(E1035="","",_xlfn.XLOOKUP(E1035,STUDENTS!F1034:F101031,STUDENTS!H1034:H101031)),"update STUDENT sheet")</f>
        <v/>
      </c>
    </row>
    <row r="1036">
      <c r="B1036">
        <f>IF(STUDENTS!B1035="","",STUDENTS!B1035)</f>
        <v/>
      </c>
      <c r="C1036">
        <f>IFERROR(IF(B1036="","",_xlfn.XLOOKUP(B1036,STUDENTS!$B$3:$B$1048576,STUDENTS!$C$3:$C$1048576)),"Enter a registered reg. no")</f>
        <v/>
      </c>
      <c r="D1036">
        <f>IFERROR(IF(B1036="","",_xlfn.XLOOKUP(B1036,STUDENTS!B1035:B101032,STUDENTS!D1035:D101032)),"update STUDENT sheet")</f>
        <v/>
      </c>
      <c r="E1036">
        <f>IFERROR(IF(C1036="","",_xlfn.XLOOKUP(C1036,STUDENTS!C1035:C101032,STUDENTS!F1035:F101032)),"update STUDENT sheet")</f>
        <v/>
      </c>
      <c r="F1036">
        <f>IFERROR(IF(D1036="","",_xlfn.XLOOKUP(D1036,STUDENTS!D1035:D101032,STUDENTS!G1035:G101032)),"update STUDENT sheet")</f>
        <v/>
      </c>
      <c r="G1036">
        <f>IFERROR(IF(E1036="","",_xlfn.XLOOKUP(E1036,STUDENTS!F1035:F101032,STUDENTS!H1035:H101032)),"update STUDENT sheet")</f>
        <v/>
      </c>
    </row>
    <row r="1037">
      <c r="B1037">
        <f>IF(STUDENTS!B1036="","",STUDENTS!B1036)</f>
        <v/>
      </c>
      <c r="C1037">
        <f>IFERROR(IF(B1037="","",_xlfn.XLOOKUP(B1037,STUDENTS!$B$3:$B$1048576,STUDENTS!$C$3:$C$1048576)),"Enter a registered reg. no")</f>
        <v/>
      </c>
      <c r="D1037">
        <f>IFERROR(IF(B1037="","",_xlfn.XLOOKUP(B1037,STUDENTS!B1036:B101033,STUDENTS!D1036:D101033)),"update STUDENT sheet")</f>
        <v/>
      </c>
      <c r="E1037">
        <f>IFERROR(IF(C1037="","",_xlfn.XLOOKUP(C1037,STUDENTS!C1036:C101033,STUDENTS!F1036:F101033)),"update STUDENT sheet")</f>
        <v/>
      </c>
      <c r="F1037">
        <f>IFERROR(IF(D1037="","",_xlfn.XLOOKUP(D1037,STUDENTS!D1036:D101033,STUDENTS!G1036:G101033)),"update STUDENT sheet")</f>
        <v/>
      </c>
      <c r="G1037">
        <f>IFERROR(IF(E1037="","",_xlfn.XLOOKUP(E1037,STUDENTS!F1036:F101033,STUDENTS!H1036:H101033)),"update STUDENT sheet")</f>
        <v/>
      </c>
    </row>
    <row r="1038">
      <c r="B1038">
        <f>IF(STUDENTS!B1037="","",STUDENTS!B1037)</f>
        <v/>
      </c>
      <c r="C1038">
        <f>IFERROR(IF(B1038="","",_xlfn.XLOOKUP(B1038,STUDENTS!$B$3:$B$1048576,STUDENTS!$C$3:$C$1048576)),"Enter a registered reg. no")</f>
        <v/>
      </c>
      <c r="D1038">
        <f>IFERROR(IF(B1038="","",_xlfn.XLOOKUP(B1038,STUDENTS!B1037:B101034,STUDENTS!D1037:D101034)),"update STUDENT sheet")</f>
        <v/>
      </c>
      <c r="E1038">
        <f>IFERROR(IF(C1038="","",_xlfn.XLOOKUP(C1038,STUDENTS!C1037:C101034,STUDENTS!F1037:F101034)),"update STUDENT sheet")</f>
        <v/>
      </c>
      <c r="F1038">
        <f>IFERROR(IF(D1038="","",_xlfn.XLOOKUP(D1038,STUDENTS!D1037:D101034,STUDENTS!G1037:G101034)),"update STUDENT sheet")</f>
        <v/>
      </c>
      <c r="G1038">
        <f>IFERROR(IF(E1038="","",_xlfn.XLOOKUP(E1038,STUDENTS!F1037:F101034,STUDENTS!H1037:H101034)),"update STUDENT sheet")</f>
        <v/>
      </c>
    </row>
    <row r="1039">
      <c r="B1039">
        <f>IF(STUDENTS!B1038="","",STUDENTS!B1038)</f>
        <v/>
      </c>
      <c r="C1039">
        <f>IFERROR(IF(B1039="","",_xlfn.XLOOKUP(B1039,STUDENTS!$B$3:$B$1048576,STUDENTS!$C$3:$C$1048576)),"Enter a registered reg. no")</f>
        <v/>
      </c>
      <c r="D1039">
        <f>IFERROR(IF(B1039="","",_xlfn.XLOOKUP(B1039,STUDENTS!B1038:B101035,STUDENTS!D1038:D101035)),"update STUDENT sheet")</f>
        <v/>
      </c>
      <c r="E1039">
        <f>IFERROR(IF(C1039="","",_xlfn.XLOOKUP(C1039,STUDENTS!C1038:C101035,STUDENTS!F1038:F101035)),"update STUDENT sheet")</f>
        <v/>
      </c>
      <c r="F1039">
        <f>IFERROR(IF(D1039="","",_xlfn.XLOOKUP(D1039,STUDENTS!D1038:D101035,STUDENTS!G1038:G101035)),"update STUDENT sheet")</f>
        <v/>
      </c>
      <c r="G1039">
        <f>IFERROR(IF(E1039="","",_xlfn.XLOOKUP(E1039,STUDENTS!F1038:F101035,STUDENTS!H1038:H101035)),"update STUDENT sheet")</f>
        <v/>
      </c>
    </row>
    <row r="1040">
      <c r="B1040">
        <f>IF(STUDENTS!B1039="","",STUDENTS!B1039)</f>
        <v/>
      </c>
      <c r="C1040">
        <f>IFERROR(IF(B1040="","",_xlfn.XLOOKUP(B1040,STUDENTS!$B$3:$B$1048576,STUDENTS!$C$3:$C$1048576)),"Enter a registered reg. no")</f>
        <v/>
      </c>
      <c r="D1040">
        <f>IFERROR(IF(B1040="","",_xlfn.XLOOKUP(B1040,STUDENTS!B1039:B101036,STUDENTS!D1039:D101036)),"update STUDENT sheet")</f>
        <v/>
      </c>
      <c r="E1040">
        <f>IFERROR(IF(C1040="","",_xlfn.XLOOKUP(C1040,STUDENTS!C1039:C101036,STUDENTS!F1039:F101036)),"update STUDENT sheet")</f>
        <v/>
      </c>
      <c r="F1040">
        <f>IFERROR(IF(D1040="","",_xlfn.XLOOKUP(D1040,STUDENTS!D1039:D101036,STUDENTS!G1039:G101036)),"update STUDENT sheet")</f>
        <v/>
      </c>
      <c r="G1040">
        <f>IFERROR(IF(E1040="","",_xlfn.XLOOKUP(E1040,STUDENTS!F1039:F101036,STUDENTS!H1039:H101036)),"update STUDENT sheet")</f>
        <v/>
      </c>
    </row>
    <row r="1041">
      <c r="B1041">
        <f>IF(STUDENTS!B1040="","",STUDENTS!B1040)</f>
        <v/>
      </c>
      <c r="C1041">
        <f>IFERROR(IF(B1041="","",_xlfn.XLOOKUP(B1041,STUDENTS!$B$3:$B$1048576,STUDENTS!$C$3:$C$1048576)),"Enter a registered reg. no")</f>
        <v/>
      </c>
      <c r="D1041">
        <f>IFERROR(IF(B1041="","",_xlfn.XLOOKUP(B1041,STUDENTS!B1040:B101037,STUDENTS!D1040:D101037)),"update STUDENT sheet")</f>
        <v/>
      </c>
      <c r="E1041">
        <f>IFERROR(IF(C1041="","",_xlfn.XLOOKUP(C1041,STUDENTS!C1040:C101037,STUDENTS!F1040:F101037)),"update STUDENT sheet")</f>
        <v/>
      </c>
      <c r="F1041">
        <f>IFERROR(IF(D1041="","",_xlfn.XLOOKUP(D1041,STUDENTS!D1040:D101037,STUDENTS!G1040:G101037)),"update STUDENT sheet")</f>
        <v/>
      </c>
      <c r="G1041">
        <f>IFERROR(IF(E1041="","",_xlfn.XLOOKUP(E1041,STUDENTS!F1040:F101037,STUDENTS!H1040:H101037)),"update STUDENT sheet")</f>
        <v/>
      </c>
    </row>
    <row r="1042">
      <c r="B1042">
        <f>IF(STUDENTS!B1041="","",STUDENTS!B1041)</f>
        <v/>
      </c>
      <c r="C1042">
        <f>IFERROR(IF(B1042="","",_xlfn.XLOOKUP(B1042,STUDENTS!$B$3:$B$1048576,STUDENTS!$C$3:$C$1048576)),"Enter a registered reg. no")</f>
        <v/>
      </c>
      <c r="D1042">
        <f>IFERROR(IF(B1042="","",_xlfn.XLOOKUP(B1042,STUDENTS!B1041:B101038,STUDENTS!D1041:D101038)),"update STUDENT sheet")</f>
        <v/>
      </c>
      <c r="E1042">
        <f>IFERROR(IF(C1042="","",_xlfn.XLOOKUP(C1042,STUDENTS!C1041:C101038,STUDENTS!F1041:F101038)),"update STUDENT sheet")</f>
        <v/>
      </c>
      <c r="F1042">
        <f>IFERROR(IF(D1042="","",_xlfn.XLOOKUP(D1042,STUDENTS!D1041:D101038,STUDENTS!G1041:G101038)),"update STUDENT sheet")</f>
        <v/>
      </c>
      <c r="G1042">
        <f>IFERROR(IF(E1042="","",_xlfn.XLOOKUP(E1042,STUDENTS!F1041:F101038,STUDENTS!H1041:H101038)),"update STUDENT sheet")</f>
        <v/>
      </c>
    </row>
    <row r="1043">
      <c r="B1043">
        <f>IF(STUDENTS!B1042="","",STUDENTS!B1042)</f>
        <v/>
      </c>
      <c r="C1043">
        <f>IFERROR(IF(B1043="","",_xlfn.XLOOKUP(B1043,STUDENTS!$B$3:$B$1048576,STUDENTS!$C$3:$C$1048576)),"Enter a registered reg. no")</f>
        <v/>
      </c>
      <c r="D1043">
        <f>IFERROR(IF(B1043="","",_xlfn.XLOOKUP(B1043,STUDENTS!B1042:B101039,STUDENTS!D1042:D101039)),"update STUDENT sheet")</f>
        <v/>
      </c>
      <c r="E1043">
        <f>IFERROR(IF(C1043="","",_xlfn.XLOOKUP(C1043,STUDENTS!C1042:C101039,STUDENTS!F1042:F101039)),"update STUDENT sheet")</f>
        <v/>
      </c>
      <c r="F1043">
        <f>IFERROR(IF(D1043="","",_xlfn.XLOOKUP(D1043,STUDENTS!D1042:D101039,STUDENTS!G1042:G101039)),"update STUDENT sheet")</f>
        <v/>
      </c>
      <c r="G1043">
        <f>IFERROR(IF(E1043="","",_xlfn.XLOOKUP(E1043,STUDENTS!F1042:F101039,STUDENTS!H1042:H101039)),"update STUDENT sheet")</f>
        <v/>
      </c>
    </row>
    <row r="1044">
      <c r="B1044">
        <f>IF(STUDENTS!B1043="","",STUDENTS!B1043)</f>
        <v/>
      </c>
      <c r="C1044">
        <f>IFERROR(IF(B1044="","",_xlfn.XLOOKUP(B1044,STUDENTS!$B$3:$B$1048576,STUDENTS!$C$3:$C$1048576)),"Enter a registered reg. no")</f>
        <v/>
      </c>
      <c r="D1044">
        <f>IFERROR(IF(B1044="","",_xlfn.XLOOKUP(B1044,STUDENTS!B1043:B101040,STUDENTS!D1043:D101040)),"update STUDENT sheet")</f>
        <v/>
      </c>
      <c r="E1044">
        <f>IFERROR(IF(C1044="","",_xlfn.XLOOKUP(C1044,STUDENTS!C1043:C101040,STUDENTS!F1043:F101040)),"update STUDENT sheet")</f>
        <v/>
      </c>
      <c r="F1044">
        <f>IFERROR(IF(D1044="","",_xlfn.XLOOKUP(D1044,STUDENTS!D1043:D101040,STUDENTS!G1043:G101040)),"update STUDENT sheet")</f>
        <v/>
      </c>
      <c r="G1044">
        <f>IFERROR(IF(E1044="","",_xlfn.XLOOKUP(E1044,STUDENTS!F1043:F101040,STUDENTS!H1043:H101040)),"update STUDENT sheet")</f>
        <v/>
      </c>
    </row>
    <row r="1045">
      <c r="B1045">
        <f>IF(STUDENTS!B1044="","",STUDENTS!B1044)</f>
        <v/>
      </c>
      <c r="C1045">
        <f>IFERROR(IF(B1045="","",_xlfn.XLOOKUP(B1045,STUDENTS!$B$3:$B$1048576,STUDENTS!$C$3:$C$1048576)),"Enter a registered reg. no")</f>
        <v/>
      </c>
      <c r="D1045">
        <f>IFERROR(IF(B1045="","",_xlfn.XLOOKUP(B1045,STUDENTS!B1044:B101041,STUDENTS!D1044:D101041)),"update STUDENT sheet")</f>
        <v/>
      </c>
      <c r="E1045">
        <f>IFERROR(IF(C1045="","",_xlfn.XLOOKUP(C1045,STUDENTS!C1044:C101041,STUDENTS!F1044:F101041)),"update STUDENT sheet")</f>
        <v/>
      </c>
      <c r="F1045">
        <f>IFERROR(IF(D1045="","",_xlfn.XLOOKUP(D1045,STUDENTS!D1044:D101041,STUDENTS!G1044:G101041)),"update STUDENT sheet")</f>
        <v/>
      </c>
      <c r="G1045">
        <f>IFERROR(IF(E1045="","",_xlfn.XLOOKUP(E1045,STUDENTS!F1044:F101041,STUDENTS!H1044:H101041)),"update STUDENT sheet")</f>
        <v/>
      </c>
    </row>
    <row r="1046">
      <c r="B1046">
        <f>IF(STUDENTS!B1045="","",STUDENTS!B1045)</f>
        <v/>
      </c>
      <c r="C1046">
        <f>IFERROR(IF(B1046="","",_xlfn.XLOOKUP(B1046,STUDENTS!$B$3:$B$1048576,STUDENTS!$C$3:$C$1048576)),"Enter a registered reg. no")</f>
        <v/>
      </c>
      <c r="D1046">
        <f>IFERROR(IF(B1046="","",_xlfn.XLOOKUP(B1046,STUDENTS!B1045:B101042,STUDENTS!D1045:D101042)),"update STUDENT sheet")</f>
        <v/>
      </c>
      <c r="E1046">
        <f>IFERROR(IF(C1046="","",_xlfn.XLOOKUP(C1046,STUDENTS!C1045:C101042,STUDENTS!F1045:F101042)),"update STUDENT sheet")</f>
        <v/>
      </c>
      <c r="F1046">
        <f>IFERROR(IF(D1046="","",_xlfn.XLOOKUP(D1046,STUDENTS!D1045:D101042,STUDENTS!G1045:G101042)),"update STUDENT sheet")</f>
        <v/>
      </c>
      <c r="G1046">
        <f>IFERROR(IF(E1046="","",_xlfn.XLOOKUP(E1046,STUDENTS!F1045:F101042,STUDENTS!H1045:H101042)),"update STUDENT sheet")</f>
        <v/>
      </c>
    </row>
    <row r="1047">
      <c r="B1047">
        <f>IF(STUDENTS!B1046="","",STUDENTS!B1046)</f>
        <v/>
      </c>
      <c r="C1047">
        <f>IFERROR(IF(B1047="","",_xlfn.XLOOKUP(B1047,STUDENTS!$B$3:$B$1048576,STUDENTS!$C$3:$C$1048576)),"Enter a registered reg. no")</f>
        <v/>
      </c>
      <c r="D1047">
        <f>IFERROR(IF(B1047="","",_xlfn.XLOOKUP(B1047,STUDENTS!B1046:B101043,STUDENTS!D1046:D101043)),"update STUDENT sheet")</f>
        <v/>
      </c>
      <c r="E1047">
        <f>IFERROR(IF(C1047="","",_xlfn.XLOOKUP(C1047,STUDENTS!C1046:C101043,STUDENTS!F1046:F101043)),"update STUDENT sheet")</f>
        <v/>
      </c>
      <c r="F1047">
        <f>IFERROR(IF(D1047="","",_xlfn.XLOOKUP(D1047,STUDENTS!D1046:D101043,STUDENTS!G1046:G101043)),"update STUDENT sheet")</f>
        <v/>
      </c>
      <c r="G1047">
        <f>IFERROR(IF(E1047="","",_xlfn.XLOOKUP(E1047,STUDENTS!F1046:F101043,STUDENTS!H1046:H101043)),"update STUDENT sheet")</f>
        <v/>
      </c>
    </row>
    <row r="1048">
      <c r="B1048">
        <f>IF(STUDENTS!B1047="","",STUDENTS!B1047)</f>
        <v/>
      </c>
      <c r="C1048">
        <f>IFERROR(IF(B1048="","",_xlfn.XLOOKUP(B1048,STUDENTS!$B$3:$B$1048576,STUDENTS!$C$3:$C$1048576)),"Enter a registered reg. no")</f>
        <v/>
      </c>
      <c r="D1048">
        <f>IFERROR(IF(B1048="","",_xlfn.XLOOKUP(B1048,STUDENTS!B1047:B101044,STUDENTS!D1047:D101044)),"update STUDENT sheet")</f>
        <v/>
      </c>
      <c r="E1048">
        <f>IFERROR(IF(C1048="","",_xlfn.XLOOKUP(C1048,STUDENTS!C1047:C101044,STUDENTS!F1047:F101044)),"update STUDENT sheet")</f>
        <v/>
      </c>
      <c r="F1048">
        <f>IFERROR(IF(D1048="","",_xlfn.XLOOKUP(D1048,STUDENTS!D1047:D101044,STUDENTS!G1047:G101044)),"update STUDENT sheet")</f>
        <v/>
      </c>
      <c r="G1048">
        <f>IFERROR(IF(E1048="","",_xlfn.XLOOKUP(E1048,STUDENTS!F1047:F101044,STUDENTS!H1047:H101044)),"update STUDENT sheet")</f>
        <v/>
      </c>
    </row>
    <row r="1049">
      <c r="B1049">
        <f>IF(STUDENTS!B1048="","",STUDENTS!B1048)</f>
        <v/>
      </c>
      <c r="C1049">
        <f>IFERROR(IF(B1049="","",_xlfn.XLOOKUP(B1049,STUDENTS!$B$3:$B$1048576,STUDENTS!$C$3:$C$1048576)),"Enter a registered reg. no")</f>
        <v/>
      </c>
      <c r="D1049">
        <f>IFERROR(IF(B1049="","",_xlfn.XLOOKUP(B1049,STUDENTS!B1048:B101045,STUDENTS!D1048:D101045)),"update STUDENT sheet")</f>
        <v/>
      </c>
      <c r="E1049">
        <f>IFERROR(IF(C1049="","",_xlfn.XLOOKUP(C1049,STUDENTS!C1048:C101045,STUDENTS!F1048:F101045)),"update STUDENT sheet")</f>
        <v/>
      </c>
      <c r="F1049">
        <f>IFERROR(IF(D1049="","",_xlfn.XLOOKUP(D1049,STUDENTS!D1048:D101045,STUDENTS!G1048:G101045)),"update STUDENT sheet")</f>
        <v/>
      </c>
      <c r="G1049">
        <f>IFERROR(IF(E1049="","",_xlfn.XLOOKUP(E1049,STUDENTS!F1048:F101045,STUDENTS!H1048:H101045)),"update STUDENT sheet")</f>
        <v/>
      </c>
    </row>
    <row r="1050">
      <c r="B1050">
        <f>IF(STUDENTS!B1049="","",STUDENTS!B1049)</f>
        <v/>
      </c>
      <c r="C1050">
        <f>IFERROR(IF(B1050="","",_xlfn.XLOOKUP(B1050,STUDENTS!$B$3:$B$1048576,STUDENTS!$C$3:$C$1048576)),"Enter a registered reg. no")</f>
        <v/>
      </c>
      <c r="D1050">
        <f>IFERROR(IF(B1050="","",_xlfn.XLOOKUP(B1050,STUDENTS!B1049:B101046,STUDENTS!D1049:D101046)),"update STUDENT sheet")</f>
        <v/>
      </c>
      <c r="E1050">
        <f>IFERROR(IF(C1050="","",_xlfn.XLOOKUP(C1050,STUDENTS!C1049:C101046,STUDENTS!F1049:F101046)),"update STUDENT sheet")</f>
        <v/>
      </c>
      <c r="F1050">
        <f>IFERROR(IF(D1050="","",_xlfn.XLOOKUP(D1050,STUDENTS!D1049:D101046,STUDENTS!G1049:G101046)),"update STUDENT sheet")</f>
        <v/>
      </c>
      <c r="G1050">
        <f>IFERROR(IF(E1050="","",_xlfn.XLOOKUP(E1050,STUDENTS!F1049:F101046,STUDENTS!H1049:H101046)),"update STUDENT sheet")</f>
        <v/>
      </c>
    </row>
    <row r="1051">
      <c r="B1051">
        <f>IF(STUDENTS!B1050="","",STUDENTS!B1050)</f>
        <v/>
      </c>
      <c r="C1051">
        <f>IFERROR(IF(B1051="","",_xlfn.XLOOKUP(B1051,STUDENTS!$B$3:$B$1048576,STUDENTS!$C$3:$C$1048576)),"Enter a registered reg. no")</f>
        <v/>
      </c>
      <c r="D1051">
        <f>IFERROR(IF(B1051="","",_xlfn.XLOOKUP(B1051,STUDENTS!B1050:B101047,STUDENTS!D1050:D101047)),"update STUDENT sheet")</f>
        <v/>
      </c>
      <c r="E1051">
        <f>IFERROR(IF(C1051="","",_xlfn.XLOOKUP(C1051,STUDENTS!C1050:C101047,STUDENTS!F1050:F101047)),"update STUDENT sheet")</f>
        <v/>
      </c>
      <c r="F1051">
        <f>IFERROR(IF(D1051="","",_xlfn.XLOOKUP(D1051,STUDENTS!D1050:D101047,STUDENTS!G1050:G101047)),"update STUDENT sheet")</f>
        <v/>
      </c>
      <c r="G1051">
        <f>IFERROR(IF(E1051="","",_xlfn.XLOOKUP(E1051,STUDENTS!F1050:F101047,STUDENTS!H1050:H101047)),"update STUDENT sheet")</f>
        <v/>
      </c>
    </row>
    <row r="1052">
      <c r="B1052">
        <f>IF(STUDENTS!B1051="","",STUDENTS!B1051)</f>
        <v/>
      </c>
      <c r="C1052">
        <f>IFERROR(IF(B1052="","",_xlfn.XLOOKUP(B1052,STUDENTS!$B$3:$B$1048576,STUDENTS!$C$3:$C$1048576)),"Enter a registered reg. no")</f>
        <v/>
      </c>
      <c r="D1052">
        <f>IFERROR(IF(B1052="","",_xlfn.XLOOKUP(B1052,STUDENTS!B1051:B101048,STUDENTS!D1051:D101048)),"update STUDENT sheet")</f>
        <v/>
      </c>
      <c r="E1052">
        <f>IFERROR(IF(C1052="","",_xlfn.XLOOKUP(C1052,STUDENTS!C1051:C101048,STUDENTS!F1051:F101048)),"update STUDENT sheet")</f>
        <v/>
      </c>
      <c r="F1052">
        <f>IFERROR(IF(D1052="","",_xlfn.XLOOKUP(D1052,STUDENTS!D1051:D101048,STUDENTS!G1051:G101048)),"update STUDENT sheet")</f>
        <v/>
      </c>
      <c r="G1052">
        <f>IFERROR(IF(E1052="","",_xlfn.XLOOKUP(E1052,STUDENTS!F1051:F101048,STUDENTS!H1051:H101048)),"update STUDENT sheet")</f>
        <v/>
      </c>
    </row>
    <row r="1053">
      <c r="B1053">
        <f>IF(STUDENTS!B1052="","",STUDENTS!B1052)</f>
        <v/>
      </c>
      <c r="C1053">
        <f>IFERROR(IF(B1053="","",_xlfn.XLOOKUP(B1053,STUDENTS!$B$3:$B$1048576,STUDENTS!$C$3:$C$1048576)),"Enter a registered reg. no")</f>
        <v/>
      </c>
      <c r="D1053">
        <f>IFERROR(IF(B1053="","",_xlfn.XLOOKUP(B1053,STUDENTS!B1052:B101049,STUDENTS!D1052:D101049)),"update STUDENT sheet")</f>
        <v/>
      </c>
      <c r="E1053">
        <f>IFERROR(IF(C1053="","",_xlfn.XLOOKUP(C1053,STUDENTS!C1052:C101049,STUDENTS!F1052:F101049)),"update STUDENT sheet")</f>
        <v/>
      </c>
      <c r="F1053">
        <f>IFERROR(IF(D1053="","",_xlfn.XLOOKUP(D1053,STUDENTS!D1052:D101049,STUDENTS!G1052:G101049)),"update STUDENT sheet")</f>
        <v/>
      </c>
      <c r="G1053">
        <f>IFERROR(IF(E1053="","",_xlfn.XLOOKUP(E1053,STUDENTS!F1052:F101049,STUDENTS!H1052:H101049)),"update STUDENT sheet")</f>
        <v/>
      </c>
    </row>
    <row r="1054">
      <c r="B1054">
        <f>IF(STUDENTS!B1053="","",STUDENTS!B1053)</f>
        <v/>
      </c>
      <c r="C1054">
        <f>IFERROR(IF(B1054="","",_xlfn.XLOOKUP(B1054,STUDENTS!$B$3:$B$1048576,STUDENTS!$C$3:$C$1048576)),"Enter a registered reg. no")</f>
        <v/>
      </c>
      <c r="D1054">
        <f>IFERROR(IF(B1054="","",_xlfn.XLOOKUP(B1054,STUDENTS!B1053:B101050,STUDENTS!D1053:D101050)),"update STUDENT sheet")</f>
        <v/>
      </c>
      <c r="E1054">
        <f>IFERROR(IF(C1054="","",_xlfn.XLOOKUP(C1054,STUDENTS!C1053:C101050,STUDENTS!F1053:F101050)),"update STUDENT sheet")</f>
        <v/>
      </c>
      <c r="F1054">
        <f>IFERROR(IF(D1054="","",_xlfn.XLOOKUP(D1054,STUDENTS!D1053:D101050,STUDENTS!G1053:G101050)),"update STUDENT sheet")</f>
        <v/>
      </c>
      <c r="G1054">
        <f>IFERROR(IF(E1054="","",_xlfn.XLOOKUP(E1054,STUDENTS!F1053:F101050,STUDENTS!H1053:H101050)),"update STUDENT sheet")</f>
        <v/>
      </c>
    </row>
    <row r="1055">
      <c r="B1055">
        <f>IF(STUDENTS!B1054="","",STUDENTS!B1054)</f>
        <v/>
      </c>
      <c r="C1055">
        <f>IFERROR(IF(B1055="","",_xlfn.XLOOKUP(B1055,STUDENTS!$B$3:$B$1048576,STUDENTS!$C$3:$C$1048576)),"Enter a registered reg. no")</f>
        <v/>
      </c>
      <c r="D1055">
        <f>IFERROR(IF(B1055="","",_xlfn.XLOOKUP(B1055,STUDENTS!B1054:B101051,STUDENTS!D1054:D101051)),"update STUDENT sheet")</f>
        <v/>
      </c>
      <c r="E1055">
        <f>IFERROR(IF(C1055="","",_xlfn.XLOOKUP(C1055,STUDENTS!C1054:C101051,STUDENTS!F1054:F101051)),"update STUDENT sheet")</f>
        <v/>
      </c>
      <c r="F1055">
        <f>IFERROR(IF(D1055="","",_xlfn.XLOOKUP(D1055,STUDENTS!D1054:D101051,STUDENTS!G1054:G101051)),"update STUDENT sheet")</f>
        <v/>
      </c>
      <c r="G1055">
        <f>IFERROR(IF(E1055="","",_xlfn.XLOOKUP(E1055,STUDENTS!F1054:F101051,STUDENTS!H1054:H101051)),"update STUDENT sheet")</f>
        <v/>
      </c>
    </row>
    <row r="1056">
      <c r="B1056">
        <f>IF(STUDENTS!B1055="","",STUDENTS!B1055)</f>
        <v/>
      </c>
      <c r="C1056">
        <f>IFERROR(IF(B1056="","",_xlfn.XLOOKUP(B1056,STUDENTS!$B$3:$B$1048576,STUDENTS!$C$3:$C$1048576)),"Enter a registered reg. no")</f>
        <v/>
      </c>
      <c r="D1056">
        <f>IFERROR(IF(B1056="","",_xlfn.XLOOKUP(B1056,STUDENTS!B1055:B101052,STUDENTS!D1055:D101052)),"update STUDENT sheet")</f>
        <v/>
      </c>
      <c r="E1056">
        <f>IFERROR(IF(C1056="","",_xlfn.XLOOKUP(C1056,STUDENTS!C1055:C101052,STUDENTS!F1055:F101052)),"update STUDENT sheet")</f>
        <v/>
      </c>
      <c r="F1056">
        <f>IFERROR(IF(D1056="","",_xlfn.XLOOKUP(D1056,STUDENTS!D1055:D101052,STUDENTS!G1055:G101052)),"update STUDENT sheet")</f>
        <v/>
      </c>
      <c r="G1056">
        <f>IFERROR(IF(E1056="","",_xlfn.XLOOKUP(E1056,STUDENTS!F1055:F101052,STUDENTS!H1055:H101052)),"update STUDENT sheet")</f>
        <v/>
      </c>
    </row>
    <row r="1057">
      <c r="B1057">
        <f>IF(STUDENTS!B1056="","",STUDENTS!B1056)</f>
        <v/>
      </c>
      <c r="C1057">
        <f>IFERROR(IF(B1057="","",_xlfn.XLOOKUP(B1057,STUDENTS!$B$3:$B$1048576,STUDENTS!$C$3:$C$1048576)),"Enter a registered reg. no")</f>
        <v/>
      </c>
      <c r="D1057">
        <f>IFERROR(IF(B1057="","",_xlfn.XLOOKUP(B1057,STUDENTS!B1056:B101053,STUDENTS!D1056:D101053)),"update STUDENT sheet")</f>
        <v/>
      </c>
      <c r="E1057">
        <f>IFERROR(IF(C1057="","",_xlfn.XLOOKUP(C1057,STUDENTS!C1056:C101053,STUDENTS!F1056:F101053)),"update STUDENT sheet")</f>
        <v/>
      </c>
      <c r="F1057">
        <f>IFERROR(IF(D1057="","",_xlfn.XLOOKUP(D1057,STUDENTS!D1056:D101053,STUDENTS!G1056:G101053)),"update STUDENT sheet")</f>
        <v/>
      </c>
      <c r="G1057">
        <f>IFERROR(IF(E1057="","",_xlfn.XLOOKUP(E1057,STUDENTS!F1056:F101053,STUDENTS!H1056:H101053)),"update STUDENT sheet")</f>
        <v/>
      </c>
    </row>
    <row r="1058">
      <c r="B1058">
        <f>IF(STUDENTS!B1057="","",STUDENTS!B1057)</f>
        <v/>
      </c>
      <c r="C1058">
        <f>IFERROR(IF(B1058="","",_xlfn.XLOOKUP(B1058,STUDENTS!$B$3:$B$1048576,STUDENTS!$C$3:$C$1048576)),"Enter a registered reg. no")</f>
        <v/>
      </c>
      <c r="D1058">
        <f>IFERROR(IF(B1058="","",_xlfn.XLOOKUP(B1058,STUDENTS!B1057:B101054,STUDENTS!D1057:D101054)),"update STUDENT sheet")</f>
        <v/>
      </c>
      <c r="E1058">
        <f>IFERROR(IF(C1058="","",_xlfn.XLOOKUP(C1058,STUDENTS!C1057:C101054,STUDENTS!F1057:F101054)),"update STUDENT sheet")</f>
        <v/>
      </c>
      <c r="F1058">
        <f>IFERROR(IF(D1058="","",_xlfn.XLOOKUP(D1058,STUDENTS!D1057:D101054,STUDENTS!G1057:G101054)),"update STUDENT sheet")</f>
        <v/>
      </c>
      <c r="G1058">
        <f>IFERROR(IF(E1058="","",_xlfn.XLOOKUP(E1058,STUDENTS!F1057:F101054,STUDENTS!H1057:H101054)),"update STUDENT sheet")</f>
        <v/>
      </c>
    </row>
    <row r="1059">
      <c r="B1059">
        <f>IF(STUDENTS!B1058="","",STUDENTS!B1058)</f>
        <v/>
      </c>
      <c r="C1059">
        <f>IFERROR(IF(B1059="","",_xlfn.XLOOKUP(B1059,STUDENTS!$B$3:$B$1048576,STUDENTS!$C$3:$C$1048576)),"Enter a registered reg. no")</f>
        <v/>
      </c>
      <c r="D1059">
        <f>IFERROR(IF(B1059="","",_xlfn.XLOOKUP(B1059,STUDENTS!B1058:B101055,STUDENTS!D1058:D101055)),"update STUDENT sheet")</f>
        <v/>
      </c>
      <c r="E1059">
        <f>IFERROR(IF(C1059="","",_xlfn.XLOOKUP(C1059,STUDENTS!C1058:C101055,STUDENTS!F1058:F101055)),"update STUDENT sheet")</f>
        <v/>
      </c>
      <c r="F1059">
        <f>IFERROR(IF(D1059="","",_xlfn.XLOOKUP(D1059,STUDENTS!D1058:D101055,STUDENTS!G1058:G101055)),"update STUDENT sheet")</f>
        <v/>
      </c>
      <c r="G1059">
        <f>IFERROR(IF(E1059="","",_xlfn.XLOOKUP(E1059,STUDENTS!F1058:F101055,STUDENTS!H1058:H101055)),"update STUDENT sheet")</f>
        <v/>
      </c>
    </row>
    <row r="1060">
      <c r="B1060">
        <f>IF(STUDENTS!B1059="","",STUDENTS!B1059)</f>
        <v/>
      </c>
      <c r="C1060">
        <f>IFERROR(IF(B1060="","",_xlfn.XLOOKUP(B1060,STUDENTS!$B$3:$B$1048576,STUDENTS!$C$3:$C$1048576)),"Enter a registered reg. no")</f>
        <v/>
      </c>
      <c r="D1060">
        <f>IFERROR(IF(B1060="","",_xlfn.XLOOKUP(B1060,STUDENTS!B1059:B101056,STUDENTS!D1059:D101056)),"update STUDENT sheet")</f>
        <v/>
      </c>
      <c r="E1060">
        <f>IFERROR(IF(C1060="","",_xlfn.XLOOKUP(C1060,STUDENTS!C1059:C101056,STUDENTS!F1059:F101056)),"update STUDENT sheet")</f>
        <v/>
      </c>
      <c r="F1060">
        <f>IFERROR(IF(D1060="","",_xlfn.XLOOKUP(D1060,STUDENTS!D1059:D101056,STUDENTS!G1059:G101056)),"update STUDENT sheet")</f>
        <v/>
      </c>
      <c r="G1060">
        <f>IFERROR(IF(E1060="","",_xlfn.XLOOKUP(E1060,STUDENTS!F1059:F101056,STUDENTS!H1059:H101056)),"update STUDENT sheet")</f>
        <v/>
      </c>
    </row>
    <row r="1061">
      <c r="B1061">
        <f>IF(STUDENTS!B1060="","",STUDENTS!B1060)</f>
        <v/>
      </c>
      <c r="C1061">
        <f>IFERROR(IF(B1061="","",_xlfn.XLOOKUP(B1061,STUDENTS!$B$3:$B$1048576,STUDENTS!$C$3:$C$1048576)),"Enter a registered reg. no")</f>
        <v/>
      </c>
      <c r="D1061">
        <f>IFERROR(IF(B1061="","",_xlfn.XLOOKUP(B1061,STUDENTS!B1060:B101057,STUDENTS!D1060:D101057)),"update STUDENT sheet")</f>
        <v/>
      </c>
      <c r="E1061">
        <f>IFERROR(IF(C1061="","",_xlfn.XLOOKUP(C1061,STUDENTS!C1060:C101057,STUDENTS!F1060:F101057)),"update STUDENT sheet")</f>
        <v/>
      </c>
      <c r="F1061">
        <f>IFERROR(IF(D1061="","",_xlfn.XLOOKUP(D1061,STUDENTS!D1060:D101057,STUDENTS!G1060:G101057)),"update STUDENT sheet")</f>
        <v/>
      </c>
      <c r="G1061">
        <f>IFERROR(IF(E1061="","",_xlfn.XLOOKUP(E1061,STUDENTS!F1060:F101057,STUDENTS!H1060:H101057)),"update STUDENT sheet")</f>
        <v/>
      </c>
    </row>
    <row r="1062">
      <c r="B1062">
        <f>IF(STUDENTS!B1061="","",STUDENTS!B1061)</f>
        <v/>
      </c>
      <c r="C1062">
        <f>IFERROR(IF(B1062="","",_xlfn.XLOOKUP(B1062,STUDENTS!$B$3:$B$1048576,STUDENTS!$C$3:$C$1048576)),"Enter a registered reg. no")</f>
        <v/>
      </c>
      <c r="D1062">
        <f>IFERROR(IF(B1062="","",_xlfn.XLOOKUP(B1062,STUDENTS!B1061:B101058,STUDENTS!D1061:D101058)),"update STUDENT sheet")</f>
        <v/>
      </c>
      <c r="E1062">
        <f>IFERROR(IF(C1062="","",_xlfn.XLOOKUP(C1062,STUDENTS!C1061:C101058,STUDENTS!F1061:F101058)),"update STUDENT sheet")</f>
        <v/>
      </c>
      <c r="F1062">
        <f>IFERROR(IF(D1062="","",_xlfn.XLOOKUP(D1062,STUDENTS!D1061:D101058,STUDENTS!G1061:G101058)),"update STUDENT sheet")</f>
        <v/>
      </c>
      <c r="G1062">
        <f>IFERROR(IF(E1062="","",_xlfn.XLOOKUP(E1062,STUDENTS!F1061:F101058,STUDENTS!H1061:H101058)),"update STUDENT sheet")</f>
        <v/>
      </c>
    </row>
    <row r="1063">
      <c r="B1063">
        <f>IF(STUDENTS!B1062="","",STUDENTS!B1062)</f>
        <v/>
      </c>
      <c r="C1063">
        <f>IFERROR(IF(B1063="","",_xlfn.XLOOKUP(B1063,STUDENTS!$B$3:$B$1048576,STUDENTS!$C$3:$C$1048576)),"Enter a registered reg. no")</f>
        <v/>
      </c>
      <c r="D1063">
        <f>IFERROR(IF(B1063="","",_xlfn.XLOOKUP(B1063,STUDENTS!B1062:B101059,STUDENTS!D1062:D101059)),"update STUDENT sheet")</f>
        <v/>
      </c>
      <c r="E1063">
        <f>IFERROR(IF(C1063="","",_xlfn.XLOOKUP(C1063,STUDENTS!C1062:C101059,STUDENTS!F1062:F101059)),"update STUDENT sheet")</f>
        <v/>
      </c>
      <c r="F1063">
        <f>IFERROR(IF(D1063="","",_xlfn.XLOOKUP(D1063,STUDENTS!D1062:D101059,STUDENTS!G1062:G101059)),"update STUDENT sheet")</f>
        <v/>
      </c>
      <c r="G1063">
        <f>IFERROR(IF(E1063="","",_xlfn.XLOOKUP(E1063,STUDENTS!F1062:F101059,STUDENTS!H1062:H101059)),"update STUDENT sheet")</f>
        <v/>
      </c>
    </row>
    <row r="1064">
      <c r="B1064">
        <f>IF(STUDENTS!B1063="","",STUDENTS!B1063)</f>
        <v/>
      </c>
      <c r="C1064">
        <f>IFERROR(IF(B1064="","",_xlfn.XLOOKUP(B1064,STUDENTS!$B$3:$B$1048576,STUDENTS!$C$3:$C$1048576)),"Enter a registered reg. no")</f>
        <v/>
      </c>
      <c r="D1064">
        <f>IFERROR(IF(B1064="","",_xlfn.XLOOKUP(B1064,STUDENTS!B1063:B101060,STUDENTS!D1063:D101060)),"update STUDENT sheet")</f>
        <v/>
      </c>
      <c r="E1064">
        <f>IFERROR(IF(C1064="","",_xlfn.XLOOKUP(C1064,STUDENTS!C1063:C101060,STUDENTS!F1063:F101060)),"update STUDENT sheet")</f>
        <v/>
      </c>
      <c r="F1064">
        <f>IFERROR(IF(D1064="","",_xlfn.XLOOKUP(D1064,STUDENTS!D1063:D101060,STUDENTS!G1063:G101060)),"update STUDENT sheet")</f>
        <v/>
      </c>
      <c r="G1064">
        <f>IFERROR(IF(E1064="","",_xlfn.XLOOKUP(E1064,STUDENTS!F1063:F101060,STUDENTS!H1063:H101060)),"update STUDENT sheet")</f>
        <v/>
      </c>
    </row>
    <row r="1065">
      <c r="B1065">
        <f>IF(STUDENTS!B1064="","",STUDENTS!B1064)</f>
        <v/>
      </c>
      <c r="C1065">
        <f>IFERROR(IF(B1065="","",_xlfn.XLOOKUP(B1065,STUDENTS!$B$3:$B$1048576,STUDENTS!$C$3:$C$1048576)),"Enter a registered reg. no")</f>
        <v/>
      </c>
      <c r="D1065">
        <f>IFERROR(IF(B1065="","",_xlfn.XLOOKUP(B1065,STUDENTS!B1064:B101061,STUDENTS!D1064:D101061)),"update STUDENT sheet")</f>
        <v/>
      </c>
      <c r="E1065">
        <f>IFERROR(IF(C1065="","",_xlfn.XLOOKUP(C1065,STUDENTS!C1064:C101061,STUDENTS!F1064:F101061)),"update STUDENT sheet")</f>
        <v/>
      </c>
      <c r="F1065">
        <f>IFERROR(IF(D1065="","",_xlfn.XLOOKUP(D1065,STUDENTS!D1064:D101061,STUDENTS!G1064:G101061)),"update STUDENT sheet")</f>
        <v/>
      </c>
      <c r="G1065">
        <f>IFERROR(IF(E1065="","",_xlfn.XLOOKUP(E1065,STUDENTS!F1064:F101061,STUDENTS!H1064:H101061)),"update STUDENT sheet")</f>
        <v/>
      </c>
    </row>
    <row r="1066">
      <c r="B1066">
        <f>IF(STUDENTS!B1065="","",STUDENTS!B1065)</f>
        <v/>
      </c>
      <c r="C1066">
        <f>IFERROR(IF(B1066="","",_xlfn.XLOOKUP(B1066,STUDENTS!$B$3:$B$1048576,STUDENTS!$C$3:$C$1048576)),"Enter a registered reg. no")</f>
        <v/>
      </c>
      <c r="D1066">
        <f>IFERROR(IF(B1066="","",_xlfn.XLOOKUP(B1066,STUDENTS!B1065:B101062,STUDENTS!D1065:D101062)),"update STUDENT sheet")</f>
        <v/>
      </c>
      <c r="E1066">
        <f>IFERROR(IF(C1066="","",_xlfn.XLOOKUP(C1066,STUDENTS!C1065:C101062,STUDENTS!F1065:F101062)),"update STUDENT sheet")</f>
        <v/>
      </c>
      <c r="F1066">
        <f>IFERROR(IF(D1066="","",_xlfn.XLOOKUP(D1066,STUDENTS!D1065:D101062,STUDENTS!G1065:G101062)),"update STUDENT sheet")</f>
        <v/>
      </c>
      <c r="G1066">
        <f>IFERROR(IF(E1066="","",_xlfn.XLOOKUP(E1066,STUDENTS!F1065:F101062,STUDENTS!H1065:H101062)),"update STUDENT sheet")</f>
        <v/>
      </c>
    </row>
    <row r="1067">
      <c r="B1067">
        <f>IF(STUDENTS!B1066="","",STUDENTS!B1066)</f>
        <v/>
      </c>
      <c r="C1067">
        <f>IFERROR(IF(B1067="","",_xlfn.XLOOKUP(B1067,STUDENTS!$B$3:$B$1048576,STUDENTS!$C$3:$C$1048576)),"Enter a registered reg. no")</f>
        <v/>
      </c>
      <c r="D1067">
        <f>IFERROR(IF(B1067="","",_xlfn.XLOOKUP(B1067,STUDENTS!B1066:B101063,STUDENTS!D1066:D101063)),"update STUDENT sheet")</f>
        <v/>
      </c>
      <c r="E1067">
        <f>IFERROR(IF(C1067="","",_xlfn.XLOOKUP(C1067,STUDENTS!C1066:C101063,STUDENTS!F1066:F101063)),"update STUDENT sheet")</f>
        <v/>
      </c>
      <c r="F1067">
        <f>IFERROR(IF(D1067="","",_xlfn.XLOOKUP(D1067,STUDENTS!D1066:D101063,STUDENTS!G1066:G101063)),"update STUDENT sheet")</f>
        <v/>
      </c>
      <c r="G1067">
        <f>IFERROR(IF(E1067="","",_xlfn.XLOOKUP(E1067,STUDENTS!F1066:F101063,STUDENTS!H1066:H101063)),"update STUDENT sheet")</f>
        <v/>
      </c>
    </row>
    <row r="1068">
      <c r="B1068">
        <f>IF(STUDENTS!B1067="","",STUDENTS!B1067)</f>
        <v/>
      </c>
      <c r="C1068">
        <f>IFERROR(IF(B1068="","",_xlfn.XLOOKUP(B1068,STUDENTS!$B$3:$B$1048576,STUDENTS!$C$3:$C$1048576)),"Enter a registered reg. no")</f>
        <v/>
      </c>
      <c r="D1068">
        <f>IFERROR(IF(B1068="","",_xlfn.XLOOKUP(B1068,STUDENTS!B1067:B101064,STUDENTS!D1067:D101064)),"update STUDENT sheet")</f>
        <v/>
      </c>
      <c r="E1068">
        <f>IFERROR(IF(C1068="","",_xlfn.XLOOKUP(C1068,STUDENTS!C1067:C101064,STUDENTS!F1067:F101064)),"update STUDENT sheet")</f>
        <v/>
      </c>
      <c r="F1068">
        <f>IFERROR(IF(D1068="","",_xlfn.XLOOKUP(D1068,STUDENTS!D1067:D101064,STUDENTS!G1067:G101064)),"update STUDENT sheet")</f>
        <v/>
      </c>
      <c r="G1068">
        <f>IFERROR(IF(E1068="","",_xlfn.XLOOKUP(E1068,STUDENTS!F1067:F101064,STUDENTS!H1067:H101064)),"update STUDENT sheet")</f>
        <v/>
      </c>
    </row>
    <row r="1069">
      <c r="B1069">
        <f>IF(STUDENTS!B1068="","",STUDENTS!B1068)</f>
        <v/>
      </c>
      <c r="C1069">
        <f>IFERROR(IF(B1069="","",_xlfn.XLOOKUP(B1069,STUDENTS!$B$3:$B$1048576,STUDENTS!$C$3:$C$1048576)),"Enter a registered reg. no")</f>
        <v/>
      </c>
      <c r="D1069">
        <f>IFERROR(IF(B1069="","",_xlfn.XLOOKUP(B1069,STUDENTS!B1068:B101065,STUDENTS!D1068:D101065)),"update STUDENT sheet")</f>
        <v/>
      </c>
      <c r="E1069">
        <f>IFERROR(IF(C1069="","",_xlfn.XLOOKUP(C1069,STUDENTS!C1068:C101065,STUDENTS!F1068:F101065)),"update STUDENT sheet")</f>
        <v/>
      </c>
      <c r="F1069">
        <f>IFERROR(IF(D1069="","",_xlfn.XLOOKUP(D1069,STUDENTS!D1068:D101065,STUDENTS!G1068:G101065)),"update STUDENT sheet")</f>
        <v/>
      </c>
      <c r="G1069">
        <f>IFERROR(IF(E1069="","",_xlfn.XLOOKUP(E1069,STUDENTS!F1068:F101065,STUDENTS!H1068:H101065)),"update STUDENT sheet")</f>
        <v/>
      </c>
    </row>
    <row r="1070">
      <c r="B1070">
        <f>IF(STUDENTS!B1069="","",STUDENTS!B1069)</f>
        <v/>
      </c>
      <c r="C1070">
        <f>IFERROR(IF(B1070="","",_xlfn.XLOOKUP(B1070,STUDENTS!$B$3:$B$1048576,STUDENTS!$C$3:$C$1048576)),"Enter a registered reg. no")</f>
        <v/>
      </c>
      <c r="D1070">
        <f>IFERROR(IF(B1070="","",_xlfn.XLOOKUP(B1070,STUDENTS!B1069:B101066,STUDENTS!D1069:D101066)),"update STUDENT sheet")</f>
        <v/>
      </c>
      <c r="E1070">
        <f>IFERROR(IF(C1070="","",_xlfn.XLOOKUP(C1070,STUDENTS!C1069:C101066,STUDENTS!F1069:F101066)),"update STUDENT sheet")</f>
        <v/>
      </c>
      <c r="F1070">
        <f>IFERROR(IF(D1070="","",_xlfn.XLOOKUP(D1070,STUDENTS!D1069:D101066,STUDENTS!G1069:G101066)),"update STUDENT sheet")</f>
        <v/>
      </c>
      <c r="G1070">
        <f>IFERROR(IF(E1070="","",_xlfn.XLOOKUP(E1070,STUDENTS!F1069:F101066,STUDENTS!H1069:H101066)),"update STUDENT sheet")</f>
        <v/>
      </c>
    </row>
    <row r="1071">
      <c r="B1071">
        <f>IF(STUDENTS!B1070="","",STUDENTS!B1070)</f>
        <v/>
      </c>
      <c r="C1071">
        <f>IFERROR(IF(B1071="","",_xlfn.XLOOKUP(B1071,STUDENTS!$B$3:$B$1048576,STUDENTS!$C$3:$C$1048576)),"Enter a registered reg. no")</f>
        <v/>
      </c>
      <c r="D1071">
        <f>IFERROR(IF(B1071="","",_xlfn.XLOOKUP(B1071,STUDENTS!B1070:B101067,STUDENTS!D1070:D101067)),"update STUDENT sheet")</f>
        <v/>
      </c>
      <c r="E1071">
        <f>IFERROR(IF(C1071="","",_xlfn.XLOOKUP(C1071,STUDENTS!C1070:C101067,STUDENTS!F1070:F101067)),"update STUDENT sheet")</f>
        <v/>
      </c>
      <c r="F1071">
        <f>IFERROR(IF(D1071="","",_xlfn.XLOOKUP(D1071,STUDENTS!D1070:D101067,STUDENTS!G1070:G101067)),"update STUDENT sheet")</f>
        <v/>
      </c>
      <c r="G1071">
        <f>IFERROR(IF(E1071="","",_xlfn.XLOOKUP(E1071,STUDENTS!F1070:F101067,STUDENTS!H1070:H101067)),"update STUDENT sheet")</f>
        <v/>
      </c>
    </row>
    <row r="1072">
      <c r="B1072">
        <f>IF(STUDENTS!B1071="","",STUDENTS!B1071)</f>
        <v/>
      </c>
      <c r="C1072">
        <f>IFERROR(IF(B1072="","",_xlfn.XLOOKUP(B1072,STUDENTS!$B$3:$B$1048576,STUDENTS!$C$3:$C$1048576)),"Enter a registered reg. no")</f>
        <v/>
      </c>
      <c r="D1072">
        <f>IFERROR(IF(B1072="","",_xlfn.XLOOKUP(B1072,STUDENTS!B1071:B101068,STUDENTS!D1071:D101068)),"update STUDENT sheet")</f>
        <v/>
      </c>
      <c r="E1072">
        <f>IFERROR(IF(C1072="","",_xlfn.XLOOKUP(C1072,STUDENTS!C1071:C101068,STUDENTS!F1071:F101068)),"update STUDENT sheet")</f>
        <v/>
      </c>
      <c r="F1072">
        <f>IFERROR(IF(D1072="","",_xlfn.XLOOKUP(D1072,STUDENTS!D1071:D101068,STUDENTS!G1071:G101068)),"update STUDENT sheet")</f>
        <v/>
      </c>
      <c r="G1072">
        <f>IFERROR(IF(E1072="","",_xlfn.XLOOKUP(E1072,STUDENTS!F1071:F101068,STUDENTS!H1071:H101068)),"update STUDENT sheet")</f>
        <v/>
      </c>
    </row>
    <row r="1073">
      <c r="B1073">
        <f>IF(STUDENTS!B1072="","",STUDENTS!B1072)</f>
        <v/>
      </c>
      <c r="C1073">
        <f>IFERROR(IF(B1073="","",_xlfn.XLOOKUP(B1073,STUDENTS!$B$3:$B$1048576,STUDENTS!$C$3:$C$1048576)),"Enter a registered reg. no")</f>
        <v/>
      </c>
      <c r="D1073">
        <f>IFERROR(IF(B1073="","",_xlfn.XLOOKUP(B1073,STUDENTS!B1072:B101069,STUDENTS!D1072:D101069)),"update STUDENT sheet")</f>
        <v/>
      </c>
      <c r="E1073">
        <f>IFERROR(IF(C1073="","",_xlfn.XLOOKUP(C1073,STUDENTS!C1072:C101069,STUDENTS!F1072:F101069)),"update STUDENT sheet")</f>
        <v/>
      </c>
      <c r="F1073">
        <f>IFERROR(IF(D1073="","",_xlfn.XLOOKUP(D1073,STUDENTS!D1072:D101069,STUDENTS!G1072:G101069)),"update STUDENT sheet")</f>
        <v/>
      </c>
      <c r="G1073">
        <f>IFERROR(IF(E1073="","",_xlfn.XLOOKUP(E1073,STUDENTS!F1072:F101069,STUDENTS!H1072:H101069)),"update STUDENT sheet")</f>
        <v/>
      </c>
    </row>
    <row r="1074">
      <c r="B1074">
        <f>IF(STUDENTS!B1073="","",STUDENTS!B1073)</f>
        <v/>
      </c>
      <c r="C1074">
        <f>IFERROR(IF(B1074="","",_xlfn.XLOOKUP(B1074,STUDENTS!$B$3:$B$1048576,STUDENTS!$C$3:$C$1048576)),"Enter a registered reg. no")</f>
        <v/>
      </c>
      <c r="D1074">
        <f>IFERROR(IF(B1074="","",_xlfn.XLOOKUP(B1074,STUDENTS!B1073:B101070,STUDENTS!D1073:D101070)),"update STUDENT sheet")</f>
        <v/>
      </c>
      <c r="E1074">
        <f>IFERROR(IF(C1074="","",_xlfn.XLOOKUP(C1074,STUDENTS!C1073:C101070,STUDENTS!F1073:F101070)),"update STUDENT sheet")</f>
        <v/>
      </c>
      <c r="F1074">
        <f>IFERROR(IF(D1074="","",_xlfn.XLOOKUP(D1074,STUDENTS!D1073:D101070,STUDENTS!G1073:G101070)),"update STUDENT sheet")</f>
        <v/>
      </c>
      <c r="G1074">
        <f>IFERROR(IF(E1074="","",_xlfn.XLOOKUP(E1074,STUDENTS!F1073:F101070,STUDENTS!H1073:H101070)),"update STUDENT sheet")</f>
        <v/>
      </c>
    </row>
    <row r="1075">
      <c r="B1075">
        <f>IF(STUDENTS!B1074="","",STUDENTS!B1074)</f>
        <v/>
      </c>
      <c r="C1075">
        <f>IFERROR(IF(B1075="","",_xlfn.XLOOKUP(B1075,STUDENTS!$B$3:$B$1048576,STUDENTS!$C$3:$C$1048576)),"Enter a registered reg. no")</f>
        <v/>
      </c>
      <c r="D1075">
        <f>IFERROR(IF(B1075="","",_xlfn.XLOOKUP(B1075,STUDENTS!B1074:B101071,STUDENTS!D1074:D101071)),"update STUDENT sheet")</f>
        <v/>
      </c>
      <c r="E1075">
        <f>IFERROR(IF(C1075="","",_xlfn.XLOOKUP(C1075,STUDENTS!C1074:C101071,STUDENTS!F1074:F101071)),"update STUDENT sheet")</f>
        <v/>
      </c>
      <c r="F1075">
        <f>IFERROR(IF(D1075="","",_xlfn.XLOOKUP(D1075,STUDENTS!D1074:D101071,STUDENTS!G1074:G101071)),"update STUDENT sheet")</f>
        <v/>
      </c>
      <c r="G1075">
        <f>IFERROR(IF(E1075="","",_xlfn.XLOOKUP(E1075,STUDENTS!F1074:F101071,STUDENTS!H1074:H101071)),"update STUDENT sheet")</f>
        <v/>
      </c>
    </row>
    <row r="1076">
      <c r="B1076">
        <f>IF(STUDENTS!B1075="","",STUDENTS!B1075)</f>
        <v/>
      </c>
      <c r="C1076">
        <f>IFERROR(IF(B1076="","",_xlfn.XLOOKUP(B1076,STUDENTS!$B$3:$B$1048576,STUDENTS!$C$3:$C$1048576)),"Enter a registered reg. no")</f>
        <v/>
      </c>
      <c r="D1076">
        <f>IFERROR(IF(B1076="","",_xlfn.XLOOKUP(B1076,STUDENTS!B1075:B101072,STUDENTS!D1075:D101072)),"update STUDENT sheet")</f>
        <v/>
      </c>
      <c r="E1076">
        <f>IFERROR(IF(C1076="","",_xlfn.XLOOKUP(C1076,STUDENTS!C1075:C101072,STUDENTS!F1075:F101072)),"update STUDENT sheet")</f>
        <v/>
      </c>
      <c r="F1076">
        <f>IFERROR(IF(D1076="","",_xlfn.XLOOKUP(D1076,STUDENTS!D1075:D101072,STUDENTS!G1075:G101072)),"update STUDENT sheet")</f>
        <v/>
      </c>
      <c r="G1076">
        <f>IFERROR(IF(E1076="","",_xlfn.XLOOKUP(E1076,STUDENTS!F1075:F101072,STUDENTS!H1075:H101072)),"update STUDENT sheet")</f>
        <v/>
      </c>
    </row>
    <row r="1077">
      <c r="B1077">
        <f>IF(STUDENTS!B1076="","",STUDENTS!B1076)</f>
        <v/>
      </c>
      <c r="C1077">
        <f>IFERROR(IF(B1077="","",_xlfn.XLOOKUP(B1077,STUDENTS!$B$3:$B$1048576,STUDENTS!$C$3:$C$1048576)),"Enter a registered reg. no")</f>
        <v/>
      </c>
      <c r="D1077">
        <f>IFERROR(IF(B1077="","",_xlfn.XLOOKUP(B1077,STUDENTS!B1076:B101073,STUDENTS!D1076:D101073)),"update STUDENT sheet")</f>
        <v/>
      </c>
      <c r="E1077">
        <f>IFERROR(IF(C1077="","",_xlfn.XLOOKUP(C1077,STUDENTS!C1076:C101073,STUDENTS!F1076:F101073)),"update STUDENT sheet")</f>
        <v/>
      </c>
      <c r="F1077">
        <f>IFERROR(IF(D1077="","",_xlfn.XLOOKUP(D1077,STUDENTS!D1076:D101073,STUDENTS!G1076:G101073)),"update STUDENT sheet")</f>
        <v/>
      </c>
      <c r="G1077">
        <f>IFERROR(IF(E1077="","",_xlfn.XLOOKUP(E1077,STUDENTS!F1076:F101073,STUDENTS!H1076:H101073)),"update STUDENT sheet")</f>
        <v/>
      </c>
    </row>
    <row r="1078">
      <c r="B1078">
        <f>IF(STUDENTS!B1077="","",STUDENTS!B1077)</f>
        <v/>
      </c>
      <c r="C1078">
        <f>IFERROR(IF(B1078="","",_xlfn.XLOOKUP(B1078,STUDENTS!$B$3:$B$1048576,STUDENTS!$C$3:$C$1048576)),"Enter a registered reg. no")</f>
        <v/>
      </c>
      <c r="D1078">
        <f>IFERROR(IF(B1078="","",_xlfn.XLOOKUP(B1078,STUDENTS!B1077:B101074,STUDENTS!D1077:D101074)),"update STUDENT sheet")</f>
        <v/>
      </c>
      <c r="E1078">
        <f>IFERROR(IF(C1078="","",_xlfn.XLOOKUP(C1078,STUDENTS!C1077:C101074,STUDENTS!F1077:F101074)),"update STUDENT sheet")</f>
        <v/>
      </c>
      <c r="F1078">
        <f>IFERROR(IF(D1078="","",_xlfn.XLOOKUP(D1078,STUDENTS!D1077:D101074,STUDENTS!G1077:G101074)),"update STUDENT sheet")</f>
        <v/>
      </c>
      <c r="G1078">
        <f>IFERROR(IF(E1078="","",_xlfn.XLOOKUP(E1078,STUDENTS!F1077:F101074,STUDENTS!H1077:H101074)),"update STUDENT sheet")</f>
        <v/>
      </c>
    </row>
    <row r="1079">
      <c r="B1079">
        <f>IF(STUDENTS!B1078="","",STUDENTS!B1078)</f>
        <v/>
      </c>
      <c r="C1079">
        <f>IFERROR(IF(B1079="","",_xlfn.XLOOKUP(B1079,STUDENTS!$B$3:$B$1048576,STUDENTS!$C$3:$C$1048576)),"Enter a registered reg. no")</f>
        <v/>
      </c>
      <c r="D1079">
        <f>IFERROR(IF(B1079="","",_xlfn.XLOOKUP(B1079,STUDENTS!B1078:B101075,STUDENTS!D1078:D101075)),"update STUDENT sheet")</f>
        <v/>
      </c>
      <c r="E1079">
        <f>IFERROR(IF(C1079="","",_xlfn.XLOOKUP(C1079,STUDENTS!C1078:C101075,STUDENTS!F1078:F101075)),"update STUDENT sheet")</f>
        <v/>
      </c>
      <c r="F1079">
        <f>IFERROR(IF(D1079="","",_xlfn.XLOOKUP(D1079,STUDENTS!D1078:D101075,STUDENTS!G1078:G101075)),"update STUDENT sheet")</f>
        <v/>
      </c>
      <c r="G1079">
        <f>IFERROR(IF(E1079="","",_xlfn.XLOOKUP(E1079,STUDENTS!F1078:F101075,STUDENTS!H1078:H101075)),"update STUDENT sheet")</f>
        <v/>
      </c>
    </row>
    <row r="1080">
      <c r="B1080">
        <f>IF(STUDENTS!B1079="","",STUDENTS!B1079)</f>
        <v/>
      </c>
      <c r="C1080">
        <f>IFERROR(IF(B1080="","",_xlfn.XLOOKUP(B1080,STUDENTS!$B$3:$B$1048576,STUDENTS!$C$3:$C$1048576)),"Enter a registered reg. no")</f>
        <v/>
      </c>
      <c r="D1080">
        <f>IFERROR(IF(B1080="","",_xlfn.XLOOKUP(B1080,STUDENTS!B1079:B101076,STUDENTS!D1079:D101076)),"update STUDENT sheet")</f>
        <v/>
      </c>
      <c r="E1080">
        <f>IFERROR(IF(C1080="","",_xlfn.XLOOKUP(C1080,STUDENTS!C1079:C101076,STUDENTS!F1079:F101076)),"update STUDENT sheet")</f>
        <v/>
      </c>
      <c r="F1080">
        <f>IFERROR(IF(D1080="","",_xlfn.XLOOKUP(D1080,STUDENTS!D1079:D101076,STUDENTS!G1079:G101076)),"update STUDENT sheet")</f>
        <v/>
      </c>
      <c r="G1080">
        <f>IFERROR(IF(E1080="","",_xlfn.XLOOKUP(E1080,STUDENTS!F1079:F101076,STUDENTS!H1079:H101076)),"update STUDENT sheet")</f>
        <v/>
      </c>
    </row>
    <row r="1081">
      <c r="B1081">
        <f>IF(STUDENTS!B1080="","",STUDENTS!B1080)</f>
        <v/>
      </c>
      <c r="C1081">
        <f>IFERROR(IF(B1081="","",_xlfn.XLOOKUP(B1081,STUDENTS!$B$3:$B$1048576,STUDENTS!$C$3:$C$1048576)),"Enter a registered reg. no")</f>
        <v/>
      </c>
      <c r="D1081">
        <f>IFERROR(IF(B1081="","",_xlfn.XLOOKUP(B1081,STUDENTS!B1080:B101077,STUDENTS!D1080:D101077)),"update STUDENT sheet")</f>
        <v/>
      </c>
      <c r="E1081">
        <f>IFERROR(IF(C1081="","",_xlfn.XLOOKUP(C1081,STUDENTS!C1080:C101077,STUDENTS!F1080:F101077)),"update STUDENT sheet")</f>
        <v/>
      </c>
      <c r="F1081">
        <f>IFERROR(IF(D1081="","",_xlfn.XLOOKUP(D1081,STUDENTS!D1080:D101077,STUDENTS!G1080:G101077)),"update STUDENT sheet")</f>
        <v/>
      </c>
      <c r="G1081">
        <f>IFERROR(IF(E1081="","",_xlfn.XLOOKUP(E1081,STUDENTS!F1080:F101077,STUDENTS!H1080:H101077)),"update STUDENT sheet")</f>
        <v/>
      </c>
    </row>
    <row r="1082">
      <c r="B1082">
        <f>IF(STUDENTS!B1081="","",STUDENTS!B1081)</f>
        <v/>
      </c>
      <c r="C1082">
        <f>IFERROR(IF(B1082="","",_xlfn.XLOOKUP(B1082,STUDENTS!$B$3:$B$1048576,STUDENTS!$C$3:$C$1048576)),"Enter a registered reg. no")</f>
        <v/>
      </c>
      <c r="D1082">
        <f>IFERROR(IF(B1082="","",_xlfn.XLOOKUP(B1082,STUDENTS!B1081:B101078,STUDENTS!D1081:D101078)),"update STUDENT sheet")</f>
        <v/>
      </c>
      <c r="E1082">
        <f>IFERROR(IF(C1082="","",_xlfn.XLOOKUP(C1082,STUDENTS!C1081:C101078,STUDENTS!F1081:F101078)),"update STUDENT sheet")</f>
        <v/>
      </c>
      <c r="F1082">
        <f>IFERROR(IF(D1082="","",_xlfn.XLOOKUP(D1082,STUDENTS!D1081:D101078,STUDENTS!G1081:G101078)),"update STUDENT sheet")</f>
        <v/>
      </c>
      <c r="G1082">
        <f>IFERROR(IF(E1082="","",_xlfn.XLOOKUP(E1082,STUDENTS!F1081:F101078,STUDENTS!H1081:H101078)),"update STUDENT sheet")</f>
        <v/>
      </c>
    </row>
    <row r="1083">
      <c r="B1083">
        <f>IF(STUDENTS!B1082="","",STUDENTS!B1082)</f>
        <v/>
      </c>
      <c r="C1083">
        <f>IFERROR(IF(B1083="","",_xlfn.XLOOKUP(B1083,STUDENTS!$B$3:$B$1048576,STUDENTS!$C$3:$C$1048576)),"Enter a registered reg. no")</f>
        <v/>
      </c>
      <c r="D1083">
        <f>IFERROR(IF(B1083="","",_xlfn.XLOOKUP(B1083,STUDENTS!B1082:B101079,STUDENTS!D1082:D101079)),"update STUDENT sheet")</f>
        <v/>
      </c>
      <c r="E1083">
        <f>IFERROR(IF(C1083="","",_xlfn.XLOOKUP(C1083,STUDENTS!C1082:C101079,STUDENTS!F1082:F101079)),"update STUDENT sheet")</f>
        <v/>
      </c>
      <c r="F1083">
        <f>IFERROR(IF(D1083="","",_xlfn.XLOOKUP(D1083,STUDENTS!D1082:D101079,STUDENTS!G1082:G101079)),"update STUDENT sheet")</f>
        <v/>
      </c>
      <c r="G1083">
        <f>IFERROR(IF(E1083="","",_xlfn.XLOOKUP(E1083,STUDENTS!F1082:F101079,STUDENTS!H1082:H101079)),"update STUDENT sheet")</f>
        <v/>
      </c>
    </row>
    <row r="1084">
      <c r="B1084">
        <f>IF(STUDENTS!B1083="","",STUDENTS!B1083)</f>
        <v/>
      </c>
      <c r="C1084">
        <f>IFERROR(IF(B1084="","",_xlfn.XLOOKUP(B1084,STUDENTS!$B$3:$B$1048576,STUDENTS!$C$3:$C$1048576)),"Enter a registered reg. no")</f>
        <v/>
      </c>
      <c r="D1084">
        <f>IFERROR(IF(B1084="","",_xlfn.XLOOKUP(B1084,STUDENTS!B1083:B101080,STUDENTS!D1083:D101080)),"update STUDENT sheet")</f>
        <v/>
      </c>
      <c r="E1084">
        <f>IFERROR(IF(C1084="","",_xlfn.XLOOKUP(C1084,STUDENTS!C1083:C101080,STUDENTS!F1083:F101080)),"update STUDENT sheet")</f>
        <v/>
      </c>
      <c r="F1084">
        <f>IFERROR(IF(D1084="","",_xlfn.XLOOKUP(D1084,STUDENTS!D1083:D101080,STUDENTS!G1083:G101080)),"update STUDENT sheet")</f>
        <v/>
      </c>
      <c r="G1084">
        <f>IFERROR(IF(E1084="","",_xlfn.XLOOKUP(E1084,STUDENTS!F1083:F101080,STUDENTS!H1083:H101080)),"update STUDENT sheet")</f>
        <v/>
      </c>
    </row>
    <row r="1085">
      <c r="B1085">
        <f>IF(STUDENTS!B1084="","",STUDENTS!B1084)</f>
        <v/>
      </c>
      <c r="C1085">
        <f>IFERROR(IF(B1085="","",_xlfn.XLOOKUP(B1085,STUDENTS!$B$3:$B$1048576,STUDENTS!$C$3:$C$1048576)),"Enter a registered reg. no")</f>
        <v/>
      </c>
      <c r="D1085">
        <f>IFERROR(IF(B1085="","",_xlfn.XLOOKUP(B1085,STUDENTS!B1084:B101081,STUDENTS!D1084:D101081)),"update STUDENT sheet")</f>
        <v/>
      </c>
      <c r="E1085">
        <f>IFERROR(IF(C1085="","",_xlfn.XLOOKUP(C1085,STUDENTS!C1084:C101081,STUDENTS!F1084:F101081)),"update STUDENT sheet")</f>
        <v/>
      </c>
      <c r="F1085">
        <f>IFERROR(IF(D1085="","",_xlfn.XLOOKUP(D1085,STUDENTS!D1084:D101081,STUDENTS!G1084:G101081)),"update STUDENT sheet")</f>
        <v/>
      </c>
      <c r="G1085">
        <f>IFERROR(IF(E1085="","",_xlfn.XLOOKUP(E1085,STUDENTS!F1084:F101081,STUDENTS!H1084:H101081)),"update STUDENT sheet")</f>
        <v/>
      </c>
    </row>
    <row r="1086">
      <c r="B1086">
        <f>IF(STUDENTS!B1085="","",STUDENTS!B1085)</f>
        <v/>
      </c>
      <c r="C1086">
        <f>IFERROR(IF(B1086="","",_xlfn.XLOOKUP(B1086,STUDENTS!$B$3:$B$1048576,STUDENTS!$C$3:$C$1048576)),"Enter a registered reg. no")</f>
        <v/>
      </c>
      <c r="D1086">
        <f>IFERROR(IF(B1086="","",_xlfn.XLOOKUP(B1086,STUDENTS!B1085:B101082,STUDENTS!D1085:D101082)),"update STUDENT sheet")</f>
        <v/>
      </c>
      <c r="E1086">
        <f>IFERROR(IF(C1086="","",_xlfn.XLOOKUP(C1086,STUDENTS!C1085:C101082,STUDENTS!F1085:F101082)),"update STUDENT sheet")</f>
        <v/>
      </c>
      <c r="F1086">
        <f>IFERROR(IF(D1086="","",_xlfn.XLOOKUP(D1086,STUDENTS!D1085:D101082,STUDENTS!G1085:G101082)),"update STUDENT sheet")</f>
        <v/>
      </c>
      <c r="G1086">
        <f>IFERROR(IF(E1086="","",_xlfn.XLOOKUP(E1086,STUDENTS!F1085:F101082,STUDENTS!H1085:H101082)),"update STUDENT sheet")</f>
        <v/>
      </c>
    </row>
    <row r="1087">
      <c r="B1087">
        <f>IF(STUDENTS!B1086="","",STUDENTS!B1086)</f>
        <v/>
      </c>
      <c r="C1087">
        <f>IFERROR(IF(B1087="","",_xlfn.XLOOKUP(B1087,STUDENTS!$B$3:$B$1048576,STUDENTS!$C$3:$C$1048576)),"Enter a registered reg. no")</f>
        <v/>
      </c>
      <c r="D1087">
        <f>IFERROR(IF(B1087="","",_xlfn.XLOOKUP(B1087,STUDENTS!B1086:B101083,STUDENTS!D1086:D101083)),"update STUDENT sheet")</f>
        <v/>
      </c>
      <c r="E1087">
        <f>IFERROR(IF(C1087="","",_xlfn.XLOOKUP(C1087,STUDENTS!C1086:C101083,STUDENTS!F1086:F101083)),"update STUDENT sheet")</f>
        <v/>
      </c>
      <c r="F1087">
        <f>IFERROR(IF(D1087="","",_xlfn.XLOOKUP(D1087,STUDENTS!D1086:D101083,STUDENTS!G1086:G101083)),"update STUDENT sheet")</f>
        <v/>
      </c>
      <c r="G1087">
        <f>IFERROR(IF(E1087="","",_xlfn.XLOOKUP(E1087,STUDENTS!F1086:F101083,STUDENTS!H1086:H101083)),"update STUDENT sheet")</f>
        <v/>
      </c>
    </row>
    <row r="1088">
      <c r="B1088">
        <f>IF(STUDENTS!B1087="","",STUDENTS!B1087)</f>
        <v/>
      </c>
      <c r="C1088">
        <f>IFERROR(IF(B1088="","",_xlfn.XLOOKUP(B1088,STUDENTS!$B$3:$B$1048576,STUDENTS!$C$3:$C$1048576)),"Enter a registered reg. no")</f>
        <v/>
      </c>
      <c r="D1088">
        <f>IFERROR(IF(B1088="","",_xlfn.XLOOKUP(B1088,STUDENTS!B1087:B101084,STUDENTS!D1087:D101084)),"update STUDENT sheet")</f>
        <v/>
      </c>
      <c r="E1088">
        <f>IFERROR(IF(C1088="","",_xlfn.XLOOKUP(C1088,STUDENTS!C1087:C101084,STUDENTS!F1087:F101084)),"update STUDENT sheet")</f>
        <v/>
      </c>
      <c r="F1088">
        <f>IFERROR(IF(D1088="","",_xlfn.XLOOKUP(D1088,STUDENTS!D1087:D101084,STUDENTS!G1087:G101084)),"update STUDENT sheet")</f>
        <v/>
      </c>
      <c r="G1088">
        <f>IFERROR(IF(E1088="","",_xlfn.XLOOKUP(E1088,STUDENTS!F1087:F101084,STUDENTS!H1087:H101084)),"update STUDENT sheet")</f>
        <v/>
      </c>
    </row>
    <row r="1089">
      <c r="B1089">
        <f>IF(STUDENTS!B1088="","",STUDENTS!B1088)</f>
        <v/>
      </c>
      <c r="C1089">
        <f>IFERROR(IF(B1089="","",_xlfn.XLOOKUP(B1089,STUDENTS!$B$3:$B$1048576,STUDENTS!$C$3:$C$1048576)),"Enter a registered reg. no")</f>
        <v/>
      </c>
      <c r="D1089">
        <f>IFERROR(IF(B1089="","",_xlfn.XLOOKUP(B1089,STUDENTS!B1088:B101085,STUDENTS!D1088:D101085)),"update STUDENT sheet")</f>
        <v/>
      </c>
      <c r="E1089">
        <f>IFERROR(IF(C1089="","",_xlfn.XLOOKUP(C1089,STUDENTS!C1088:C101085,STUDENTS!F1088:F101085)),"update STUDENT sheet")</f>
        <v/>
      </c>
      <c r="F1089">
        <f>IFERROR(IF(D1089="","",_xlfn.XLOOKUP(D1089,STUDENTS!D1088:D101085,STUDENTS!G1088:G101085)),"update STUDENT sheet")</f>
        <v/>
      </c>
      <c r="G1089">
        <f>IFERROR(IF(E1089="","",_xlfn.XLOOKUP(E1089,STUDENTS!F1088:F101085,STUDENTS!H1088:H101085)),"update STUDENT sheet")</f>
        <v/>
      </c>
    </row>
    <row r="1090">
      <c r="B1090">
        <f>IF(STUDENTS!B1089="","",STUDENTS!B1089)</f>
        <v/>
      </c>
      <c r="C1090">
        <f>IFERROR(IF(B1090="","",_xlfn.XLOOKUP(B1090,STUDENTS!$B$3:$B$1048576,STUDENTS!$C$3:$C$1048576)),"Enter a registered reg. no")</f>
        <v/>
      </c>
      <c r="D1090">
        <f>IFERROR(IF(B1090="","",_xlfn.XLOOKUP(B1090,STUDENTS!B1089:B101086,STUDENTS!D1089:D101086)),"update STUDENT sheet")</f>
        <v/>
      </c>
      <c r="E1090">
        <f>IFERROR(IF(C1090="","",_xlfn.XLOOKUP(C1090,STUDENTS!C1089:C101086,STUDENTS!F1089:F101086)),"update STUDENT sheet")</f>
        <v/>
      </c>
      <c r="F1090">
        <f>IFERROR(IF(D1090="","",_xlfn.XLOOKUP(D1090,STUDENTS!D1089:D101086,STUDENTS!G1089:G101086)),"update STUDENT sheet")</f>
        <v/>
      </c>
      <c r="G1090">
        <f>IFERROR(IF(E1090="","",_xlfn.XLOOKUP(E1090,STUDENTS!F1089:F101086,STUDENTS!H1089:H101086)),"update STUDENT sheet")</f>
        <v/>
      </c>
    </row>
    <row r="1091">
      <c r="B1091">
        <f>IF(STUDENTS!B1090="","",STUDENTS!B1090)</f>
        <v/>
      </c>
      <c r="C1091">
        <f>IFERROR(IF(B1091="","",_xlfn.XLOOKUP(B1091,STUDENTS!$B$3:$B$1048576,STUDENTS!$C$3:$C$1048576)),"Enter a registered reg. no")</f>
        <v/>
      </c>
      <c r="D1091">
        <f>IFERROR(IF(B1091="","",_xlfn.XLOOKUP(B1091,STUDENTS!B1090:B101087,STUDENTS!D1090:D101087)),"update STUDENT sheet")</f>
        <v/>
      </c>
      <c r="E1091">
        <f>IFERROR(IF(C1091="","",_xlfn.XLOOKUP(C1091,STUDENTS!C1090:C101087,STUDENTS!F1090:F101087)),"update STUDENT sheet")</f>
        <v/>
      </c>
      <c r="F1091">
        <f>IFERROR(IF(D1091="","",_xlfn.XLOOKUP(D1091,STUDENTS!D1090:D101087,STUDENTS!G1090:G101087)),"update STUDENT sheet")</f>
        <v/>
      </c>
      <c r="G1091">
        <f>IFERROR(IF(E1091="","",_xlfn.XLOOKUP(E1091,STUDENTS!F1090:F101087,STUDENTS!H1090:H101087)),"update STUDENT sheet")</f>
        <v/>
      </c>
    </row>
    <row r="1092">
      <c r="B1092">
        <f>IF(STUDENTS!B1091="","",STUDENTS!B1091)</f>
        <v/>
      </c>
      <c r="C1092">
        <f>IFERROR(IF(B1092="","",_xlfn.XLOOKUP(B1092,STUDENTS!$B$3:$B$1048576,STUDENTS!$C$3:$C$1048576)),"Enter a registered reg. no")</f>
        <v/>
      </c>
      <c r="D1092">
        <f>IFERROR(IF(B1092="","",_xlfn.XLOOKUP(B1092,STUDENTS!B1091:B101088,STUDENTS!D1091:D101088)),"update STUDENT sheet")</f>
        <v/>
      </c>
      <c r="E1092">
        <f>IFERROR(IF(C1092="","",_xlfn.XLOOKUP(C1092,STUDENTS!C1091:C101088,STUDENTS!F1091:F101088)),"update STUDENT sheet")</f>
        <v/>
      </c>
      <c r="F1092">
        <f>IFERROR(IF(D1092="","",_xlfn.XLOOKUP(D1092,STUDENTS!D1091:D101088,STUDENTS!G1091:G101088)),"update STUDENT sheet")</f>
        <v/>
      </c>
      <c r="G1092">
        <f>IFERROR(IF(E1092="","",_xlfn.XLOOKUP(E1092,STUDENTS!F1091:F101088,STUDENTS!H1091:H101088)),"update STUDENT sheet")</f>
        <v/>
      </c>
    </row>
    <row r="1093">
      <c r="B1093">
        <f>IF(STUDENTS!B1092="","",STUDENTS!B1092)</f>
        <v/>
      </c>
      <c r="C1093">
        <f>IFERROR(IF(B1093="","",_xlfn.XLOOKUP(B1093,STUDENTS!$B$3:$B$1048576,STUDENTS!$C$3:$C$1048576)),"Enter a registered reg. no")</f>
        <v/>
      </c>
      <c r="D1093">
        <f>IFERROR(IF(B1093="","",_xlfn.XLOOKUP(B1093,STUDENTS!B1092:B101089,STUDENTS!D1092:D101089)),"update STUDENT sheet")</f>
        <v/>
      </c>
      <c r="E1093">
        <f>IFERROR(IF(C1093="","",_xlfn.XLOOKUP(C1093,STUDENTS!C1092:C101089,STUDENTS!F1092:F101089)),"update STUDENT sheet")</f>
        <v/>
      </c>
      <c r="F1093">
        <f>IFERROR(IF(D1093="","",_xlfn.XLOOKUP(D1093,STUDENTS!D1092:D101089,STUDENTS!G1092:G101089)),"update STUDENT sheet")</f>
        <v/>
      </c>
      <c r="G1093">
        <f>IFERROR(IF(E1093="","",_xlfn.XLOOKUP(E1093,STUDENTS!F1092:F101089,STUDENTS!H1092:H101089)),"update STUDENT sheet")</f>
        <v/>
      </c>
    </row>
    <row r="1094">
      <c r="B1094">
        <f>IF(STUDENTS!B1093="","",STUDENTS!B1093)</f>
        <v/>
      </c>
      <c r="C1094">
        <f>IFERROR(IF(B1094="","",_xlfn.XLOOKUP(B1094,STUDENTS!$B$3:$B$1048576,STUDENTS!$C$3:$C$1048576)),"Enter a registered reg. no")</f>
        <v/>
      </c>
      <c r="D1094">
        <f>IFERROR(IF(B1094="","",_xlfn.XLOOKUP(B1094,STUDENTS!B1093:B101090,STUDENTS!D1093:D101090)),"update STUDENT sheet")</f>
        <v/>
      </c>
      <c r="E1094">
        <f>IFERROR(IF(C1094="","",_xlfn.XLOOKUP(C1094,STUDENTS!C1093:C101090,STUDENTS!F1093:F101090)),"update STUDENT sheet")</f>
        <v/>
      </c>
      <c r="F1094">
        <f>IFERROR(IF(D1094="","",_xlfn.XLOOKUP(D1094,STUDENTS!D1093:D101090,STUDENTS!G1093:G101090)),"update STUDENT sheet")</f>
        <v/>
      </c>
      <c r="G1094">
        <f>IFERROR(IF(E1094="","",_xlfn.XLOOKUP(E1094,STUDENTS!F1093:F101090,STUDENTS!H1093:H101090)),"update STUDENT sheet")</f>
        <v/>
      </c>
    </row>
    <row r="1095">
      <c r="B1095">
        <f>IF(STUDENTS!B1094="","",STUDENTS!B1094)</f>
        <v/>
      </c>
      <c r="C1095">
        <f>IFERROR(IF(B1095="","",_xlfn.XLOOKUP(B1095,STUDENTS!$B$3:$B$1048576,STUDENTS!$C$3:$C$1048576)),"Enter a registered reg. no")</f>
        <v/>
      </c>
      <c r="D1095">
        <f>IFERROR(IF(B1095="","",_xlfn.XLOOKUP(B1095,STUDENTS!B1094:B101091,STUDENTS!D1094:D101091)),"update STUDENT sheet")</f>
        <v/>
      </c>
      <c r="E1095">
        <f>IFERROR(IF(C1095="","",_xlfn.XLOOKUP(C1095,STUDENTS!C1094:C101091,STUDENTS!F1094:F101091)),"update STUDENT sheet")</f>
        <v/>
      </c>
      <c r="F1095">
        <f>IFERROR(IF(D1095="","",_xlfn.XLOOKUP(D1095,STUDENTS!D1094:D101091,STUDENTS!G1094:G101091)),"update STUDENT sheet")</f>
        <v/>
      </c>
      <c r="G1095">
        <f>IFERROR(IF(E1095="","",_xlfn.XLOOKUP(E1095,STUDENTS!F1094:F101091,STUDENTS!H1094:H101091)),"update STUDENT sheet")</f>
        <v/>
      </c>
    </row>
    <row r="1096">
      <c r="B1096">
        <f>IF(STUDENTS!B1095="","",STUDENTS!B1095)</f>
        <v/>
      </c>
      <c r="C1096">
        <f>IFERROR(IF(B1096="","",_xlfn.XLOOKUP(B1096,STUDENTS!$B$3:$B$1048576,STUDENTS!$C$3:$C$1048576)),"Enter a registered reg. no")</f>
        <v/>
      </c>
      <c r="D1096">
        <f>IFERROR(IF(B1096="","",_xlfn.XLOOKUP(B1096,STUDENTS!B1095:B101092,STUDENTS!D1095:D101092)),"update STUDENT sheet")</f>
        <v/>
      </c>
      <c r="E1096">
        <f>IFERROR(IF(C1096="","",_xlfn.XLOOKUP(C1096,STUDENTS!C1095:C101092,STUDENTS!F1095:F101092)),"update STUDENT sheet")</f>
        <v/>
      </c>
      <c r="F1096">
        <f>IFERROR(IF(D1096="","",_xlfn.XLOOKUP(D1096,STUDENTS!D1095:D101092,STUDENTS!G1095:G101092)),"update STUDENT sheet")</f>
        <v/>
      </c>
      <c r="G1096">
        <f>IFERROR(IF(E1096="","",_xlfn.XLOOKUP(E1096,STUDENTS!F1095:F101092,STUDENTS!H1095:H101092)),"update STUDENT sheet")</f>
        <v/>
      </c>
    </row>
    <row r="1097">
      <c r="B1097">
        <f>IF(STUDENTS!B1096="","",STUDENTS!B1096)</f>
        <v/>
      </c>
      <c r="C1097">
        <f>IFERROR(IF(B1097="","",_xlfn.XLOOKUP(B1097,STUDENTS!$B$3:$B$1048576,STUDENTS!$C$3:$C$1048576)),"Enter a registered reg. no")</f>
        <v/>
      </c>
      <c r="D1097">
        <f>IFERROR(IF(B1097="","",_xlfn.XLOOKUP(B1097,STUDENTS!B1096:B101093,STUDENTS!D1096:D101093)),"update STUDENT sheet")</f>
        <v/>
      </c>
      <c r="E1097">
        <f>IFERROR(IF(C1097="","",_xlfn.XLOOKUP(C1097,STUDENTS!C1096:C101093,STUDENTS!F1096:F101093)),"update STUDENT sheet")</f>
        <v/>
      </c>
      <c r="F1097">
        <f>IFERROR(IF(D1097="","",_xlfn.XLOOKUP(D1097,STUDENTS!D1096:D101093,STUDENTS!G1096:G101093)),"update STUDENT sheet")</f>
        <v/>
      </c>
      <c r="G1097">
        <f>IFERROR(IF(E1097="","",_xlfn.XLOOKUP(E1097,STUDENTS!F1096:F101093,STUDENTS!H1096:H101093)),"update STUDENT sheet")</f>
        <v/>
      </c>
    </row>
    <row r="1098">
      <c r="B1098">
        <f>IF(STUDENTS!B1097="","",STUDENTS!B1097)</f>
        <v/>
      </c>
      <c r="C1098">
        <f>IFERROR(IF(B1098="","",_xlfn.XLOOKUP(B1098,STUDENTS!$B$3:$B$1048576,STUDENTS!$C$3:$C$1048576)),"Enter a registered reg. no")</f>
        <v/>
      </c>
      <c r="D1098">
        <f>IFERROR(IF(B1098="","",_xlfn.XLOOKUP(B1098,STUDENTS!B1097:B101094,STUDENTS!D1097:D101094)),"update STUDENT sheet")</f>
        <v/>
      </c>
      <c r="E1098">
        <f>IFERROR(IF(C1098="","",_xlfn.XLOOKUP(C1098,STUDENTS!C1097:C101094,STUDENTS!F1097:F101094)),"update STUDENT sheet")</f>
        <v/>
      </c>
      <c r="F1098">
        <f>IFERROR(IF(D1098="","",_xlfn.XLOOKUP(D1098,STUDENTS!D1097:D101094,STUDENTS!G1097:G101094)),"update STUDENT sheet")</f>
        <v/>
      </c>
      <c r="G1098">
        <f>IFERROR(IF(E1098="","",_xlfn.XLOOKUP(E1098,STUDENTS!F1097:F101094,STUDENTS!H1097:H101094)),"update STUDENT sheet")</f>
        <v/>
      </c>
    </row>
    <row r="1099">
      <c r="B1099">
        <f>IF(STUDENTS!B1098="","",STUDENTS!B1098)</f>
        <v/>
      </c>
      <c r="C1099">
        <f>IFERROR(IF(B1099="","",_xlfn.XLOOKUP(B1099,STUDENTS!$B$3:$B$1048576,STUDENTS!$C$3:$C$1048576)),"Enter a registered reg. no")</f>
        <v/>
      </c>
      <c r="D1099">
        <f>IFERROR(IF(B1099="","",_xlfn.XLOOKUP(B1099,STUDENTS!B1098:B101095,STUDENTS!D1098:D101095)),"update STUDENT sheet")</f>
        <v/>
      </c>
      <c r="E1099">
        <f>IFERROR(IF(C1099="","",_xlfn.XLOOKUP(C1099,STUDENTS!C1098:C101095,STUDENTS!F1098:F101095)),"update STUDENT sheet")</f>
        <v/>
      </c>
      <c r="F1099">
        <f>IFERROR(IF(D1099="","",_xlfn.XLOOKUP(D1099,STUDENTS!D1098:D101095,STUDENTS!G1098:G101095)),"update STUDENT sheet")</f>
        <v/>
      </c>
      <c r="G1099">
        <f>IFERROR(IF(E1099="","",_xlfn.XLOOKUP(E1099,STUDENTS!F1098:F101095,STUDENTS!H1098:H101095)),"update STUDENT sheet")</f>
        <v/>
      </c>
    </row>
    <row r="1100">
      <c r="B1100">
        <f>IF(STUDENTS!B1099="","",STUDENTS!B1099)</f>
        <v/>
      </c>
      <c r="C1100">
        <f>IFERROR(IF(B1100="","",_xlfn.XLOOKUP(B1100,STUDENTS!$B$3:$B$1048576,STUDENTS!$C$3:$C$1048576)),"Enter a registered reg. no")</f>
        <v/>
      </c>
      <c r="D1100">
        <f>IFERROR(IF(B1100="","",_xlfn.XLOOKUP(B1100,STUDENTS!B1099:B101096,STUDENTS!D1099:D101096)),"update STUDENT sheet")</f>
        <v/>
      </c>
      <c r="E1100">
        <f>IFERROR(IF(C1100="","",_xlfn.XLOOKUP(C1100,STUDENTS!C1099:C101096,STUDENTS!F1099:F101096)),"update STUDENT sheet")</f>
        <v/>
      </c>
      <c r="F1100">
        <f>IFERROR(IF(D1100="","",_xlfn.XLOOKUP(D1100,STUDENTS!D1099:D101096,STUDENTS!G1099:G101096)),"update STUDENT sheet")</f>
        <v/>
      </c>
      <c r="G1100">
        <f>IFERROR(IF(E1100="","",_xlfn.XLOOKUP(E1100,STUDENTS!F1099:F101096,STUDENTS!H1099:H101096)),"update STUDENT sheet")</f>
        <v/>
      </c>
    </row>
    <row r="1101">
      <c r="B1101">
        <f>IF(STUDENTS!B1100="","",STUDENTS!B1100)</f>
        <v/>
      </c>
      <c r="C1101">
        <f>IFERROR(IF(B1101="","",_xlfn.XLOOKUP(B1101,STUDENTS!$B$3:$B$1048576,STUDENTS!$C$3:$C$1048576)),"Enter a registered reg. no")</f>
        <v/>
      </c>
      <c r="D1101">
        <f>IFERROR(IF(B1101="","",_xlfn.XLOOKUP(B1101,STUDENTS!B1100:B101097,STUDENTS!D1100:D101097)),"update STUDENT sheet")</f>
        <v/>
      </c>
      <c r="E1101">
        <f>IFERROR(IF(C1101="","",_xlfn.XLOOKUP(C1101,STUDENTS!C1100:C101097,STUDENTS!F1100:F101097)),"update STUDENT sheet")</f>
        <v/>
      </c>
      <c r="F1101">
        <f>IFERROR(IF(D1101="","",_xlfn.XLOOKUP(D1101,STUDENTS!D1100:D101097,STUDENTS!G1100:G101097)),"update STUDENT sheet")</f>
        <v/>
      </c>
      <c r="G1101">
        <f>IFERROR(IF(E1101="","",_xlfn.XLOOKUP(E1101,STUDENTS!F1100:F101097,STUDENTS!H1100:H101097)),"update STUDENT sheet")</f>
        <v/>
      </c>
    </row>
    <row r="1102">
      <c r="B1102">
        <f>IF(STUDENTS!B1101="","",STUDENTS!B1101)</f>
        <v/>
      </c>
      <c r="C1102">
        <f>IFERROR(IF(B1102="","",_xlfn.XLOOKUP(B1102,STUDENTS!$B$3:$B$1048576,STUDENTS!$C$3:$C$1048576)),"Enter a registered reg. no")</f>
        <v/>
      </c>
      <c r="D1102">
        <f>IFERROR(IF(B1102="","",_xlfn.XLOOKUP(B1102,STUDENTS!B1101:B101098,STUDENTS!D1101:D101098)),"update STUDENT sheet")</f>
        <v/>
      </c>
      <c r="E1102">
        <f>IFERROR(IF(C1102="","",_xlfn.XLOOKUP(C1102,STUDENTS!C1101:C101098,STUDENTS!F1101:F101098)),"update STUDENT sheet")</f>
        <v/>
      </c>
      <c r="F1102">
        <f>IFERROR(IF(D1102="","",_xlfn.XLOOKUP(D1102,STUDENTS!D1101:D101098,STUDENTS!G1101:G101098)),"update STUDENT sheet")</f>
        <v/>
      </c>
      <c r="G1102">
        <f>IFERROR(IF(E1102="","",_xlfn.XLOOKUP(E1102,STUDENTS!F1101:F101098,STUDENTS!H1101:H101098)),"update STUDENT sheet")</f>
        <v/>
      </c>
    </row>
    <row r="1103">
      <c r="B1103">
        <f>IF(STUDENTS!B1102="","",STUDENTS!B1102)</f>
        <v/>
      </c>
      <c r="C1103">
        <f>IFERROR(IF(B1103="","",_xlfn.XLOOKUP(B1103,STUDENTS!$B$3:$B$1048576,STUDENTS!$C$3:$C$1048576)),"Enter a registered reg. no")</f>
        <v/>
      </c>
      <c r="D1103">
        <f>IFERROR(IF(B1103="","",_xlfn.XLOOKUP(B1103,STUDENTS!B1102:B101099,STUDENTS!D1102:D101099)),"update STUDENT sheet")</f>
        <v/>
      </c>
      <c r="E1103">
        <f>IFERROR(IF(C1103="","",_xlfn.XLOOKUP(C1103,STUDENTS!C1102:C101099,STUDENTS!F1102:F101099)),"update STUDENT sheet")</f>
        <v/>
      </c>
      <c r="F1103">
        <f>IFERROR(IF(D1103="","",_xlfn.XLOOKUP(D1103,STUDENTS!D1102:D101099,STUDENTS!G1102:G101099)),"update STUDENT sheet")</f>
        <v/>
      </c>
      <c r="G1103">
        <f>IFERROR(IF(E1103="","",_xlfn.XLOOKUP(E1103,STUDENTS!F1102:F101099,STUDENTS!H1102:H101099)),"update STUDENT sheet")</f>
        <v/>
      </c>
    </row>
    <row r="1104">
      <c r="B1104">
        <f>IF(STUDENTS!B1103="","",STUDENTS!B1103)</f>
        <v/>
      </c>
      <c r="C1104">
        <f>IFERROR(IF(B1104="","",_xlfn.XLOOKUP(B1104,STUDENTS!$B$3:$B$1048576,STUDENTS!$C$3:$C$1048576)),"Enter a registered reg. no")</f>
        <v/>
      </c>
      <c r="D1104">
        <f>IFERROR(IF(B1104="","",_xlfn.XLOOKUP(B1104,STUDENTS!B1103:B101100,STUDENTS!D1103:D101100)),"update STUDENT sheet")</f>
        <v/>
      </c>
      <c r="E1104">
        <f>IFERROR(IF(C1104="","",_xlfn.XLOOKUP(C1104,STUDENTS!C1103:C101100,STUDENTS!F1103:F101100)),"update STUDENT sheet")</f>
        <v/>
      </c>
      <c r="F1104">
        <f>IFERROR(IF(D1104="","",_xlfn.XLOOKUP(D1104,STUDENTS!D1103:D101100,STUDENTS!G1103:G101100)),"update STUDENT sheet")</f>
        <v/>
      </c>
      <c r="G1104">
        <f>IFERROR(IF(E1104="","",_xlfn.XLOOKUP(E1104,STUDENTS!F1103:F101100,STUDENTS!H1103:H101100)),"update STUDENT sheet")</f>
        <v/>
      </c>
    </row>
    <row r="1105">
      <c r="B1105">
        <f>IF(STUDENTS!B1104="","",STUDENTS!B1104)</f>
        <v/>
      </c>
      <c r="C1105">
        <f>IFERROR(IF(B1105="","",_xlfn.XLOOKUP(B1105,STUDENTS!$B$3:$B$1048576,STUDENTS!$C$3:$C$1048576)),"Enter a registered reg. no")</f>
        <v/>
      </c>
      <c r="D1105">
        <f>IFERROR(IF(B1105="","",_xlfn.XLOOKUP(B1105,STUDENTS!B1104:B101101,STUDENTS!D1104:D101101)),"update STUDENT sheet")</f>
        <v/>
      </c>
      <c r="E1105">
        <f>IFERROR(IF(C1105="","",_xlfn.XLOOKUP(C1105,STUDENTS!C1104:C101101,STUDENTS!F1104:F101101)),"update STUDENT sheet")</f>
        <v/>
      </c>
      <c r="F1105">
        <f>IFERROR(IF(D1105="","",_xlfn.XLOOKUP(D1105,STUDENTS!D1104:D101101,STUDENTS!G1104:G101101)),"update STUDENT sheet")</f>
        <v/>
      </c>
      <c r="G1105">
        <f>IFERROR(IF(E1105="","",_xlfn.XLOOKUP(E1105,STUDENTS!F1104:F101101,STUDENTS!H1104:H101101)),"update STUDENT sheet")</f>
        <v/>
      </c>
    </row>
    <row r="1106">
      <c r="B1106">
        <f>IF(STUDENTS!B1105="","",STUDENTS!B1105)</f>
        <v/>
      </c>
      <c r="C1106">
        <f>IFERROR(IF(B1106="","",_xlfn.XLOOKUP(B1106,STUDENTS!$B$3:$B$1048576,STUDENTS!$C$3:$C$1048576)),"Enter a registered reg. no")</f>
        <v/>
      </c>
      <c r="D1106">
        <f>IFERROR(IF(B1106="","",_xlfn.XLOOKUP(B1106,STUDENTS!B1105:B101102,STUDENTS!D1105:D101102)),"update STUDENT sheet")</f>
        <v/>
      </c>
      <c r="E1106">
        <f>IFERROR(IF(C1106="","",_xlfn.XLOOKUP(C1106,STUDENTS!C1105:C101102,STUDENTS!F1105:F101102)),"update STUDENT sheet")</f>
        <v/>
      </c>
      <c r="F1106">
        <f>IFERROR(IF(D1106="","",_xlfn.XLOOKUP(D1106,STUDENTS!D1105:D101102,STUDENTS!G1105:G101102)),"update STUDENT sheet")</f>
        <v/>
      </c>
      <c r="G1106">
        <f>IFERROR(IF(E1106="","",_xlfn.XLOOKUP(E1106,STUDENTS!F1105:F101102,STUDENTS!H1105:H101102)),"update STUDENT sheet")</f>
        <v/>
      </c>
    </row>
    <row r="1107">
      <c r="B1107">
        <f>IF(STUDENTS!B1106="","",STUDENTS!B1106)</f>
        <v/>
      </c>
      <c r="C1107">
        <f>IFERROR(IF(B1107="","",_xlfn.XLOOKUP(B1107,STUDENTS!$B$3:$B$1048576,STUDENTS!$C$3:$C$1048576)),"Enter a registered reg. no")</f>
        <v/>
      </c>
      <c r="D1107">
        <f>IFERROR(IF(B1107="","",_xlfn.XLOOKUP(B1107,STUDENTS!B1106:B101103,STUDENTS!D1106:D101103)),"update STUDENT sheet")</f>
        <v/>
      </c>
      <c r="E1107">
        <f>IFERROR(IF(C1107="","",_xlfn.XLOOKUP(C1107,STUDENTS!C1106:C101103,STUDENTS!F1106:F101103)),"update STUDENT sheet")</f>
        <v/>
      </c>
      <c r="F1107">
        <f>IFERROR(IF(D1107="","",_xlfn.XLOOKUP(D1107,STUDENTS!D1106:D101103,STUDENTS!G1106:G101103)),"update STUDENT sheet")</f>
        <v/>
      </c>
      <c r="G1107">
        <f>IFERROR(IF(E1107="","",_xlfn.XLOOKUP(E1107,STUDENTS!F1106:F101103,STUDENTS!H1106:H101103)),"update STUDENT sheet")</f>
        <v/>
      </c>
    </row>
    <row r="1108">
      <c r="B1108">
        <f>IF(STUDENTS!B1107="","",STUDENTS!B1107)</f>
        <v/>
      </c>
      <c r="C1108">
        <f>IFERROR(IF(B1108="","",_xlfn.XLOOKUP(B1108,STUDENTS!$B$3:$B$1048576,STUDENTS!$C$3:$C$1048576)),"Enter a registered reg. no")</f>
        <v/>
      </c>
      <c r="D1108">
        <f>IFERROR(IF(B1108="","",_xlfn.XLOOKUP(B1108,STUDENTS!B1107:B101104,STUDENTS!D1107:D101104)),"update STUDENT sheet")</f>
        <v/>
      </c>
      <c r="E1108">
        <f>IFERROR(IF(C1108="","",_xlfn.XLOOKUP(C1108,STUDENTS!C1107:C101104,STUDENTS!F1107:F101104)),"update STUDENT sheet")</f>
        <v/>
      </c>
      <c r="F1108">
        <f>IFERROR(IF(D1108="","",_xlfn.XLOOKUP(D1108,STUDENTS!D1107:D101104,STUDENTS!G1107:G101104)),"update STUDENT sheet")</f>
        <v/>
      </c>
      <c r="G1108">
        <f>IFERROR(IF(E1108="","",_xlfn.XLOOKUP(E1108,STUDENTS!F1107:F101104,STUDENTS!H1107:H101104)),"update STUDENT sheet")</f>
        <v/>
      </c>
    </row>
    <row r="1109">
      <c r="B1109">
        <f>IF(STUDENTS!B1108="","",STUDENTS!B1108)</f>
        <v/>
      </c>
      <c r="C1109">
        <f>IFERROR(IF(B1109="","",_xlfn.XLOOKUP(B1109,STUDENTS!$B$3:$B$1048576,STUDENTS!$C$3:$C$1048576)),"Enter a registered reg. no")</f>
        <v/>
      </c>
      <c r="D1109">
        <f>IFERROR(IF(B1109="","",_xlfn.XLOOKUP(B1109,STUDENTS!B1108:B101105,STUDENTS!D1108:D101105)),"update STUDENT sheet")</f>
        <v/>
      </c>
      <c r="E1109">
        <f>IFERROR(IF(C1109="","",_xlfn.XLOOKUP(C1109,STUDENTS!C1108:C101105,STUDENTS!F1108:F101105)),"update STUDENT sheet")</f>
        <v/>
      </c>
      <c r="F1109">
        <f>IFERROR(IF(D1109="","",_xlfn.XLOOKUP(D1109,STUDENTS!D1108:D101105,STUDENTS!G1108:G101105)),"update STUDENT sheet")</f>
        <v/>
      </c>
      <c r="G1109">
        <f>IFERROR(IF(E1109="","",_xlfn.XLOOKUP(E1109,STUDENTS!F1108:F101105,STUDENTS!H1108:H101105)),"update STUDENT sheet")</f>
        <v/>
      </c>
    </row>
    <row r="1110">
      <c r="B1110">
        <f>IF(STUDENTS!B1109="","",STUDENTS!B1109)</f>
        <v/>
      </c>
      <c r="C1110">
        <f>IFERROR(IF(B1110="","",_xlfn.XLOOKUP(B1110,STUDENTS!$B$3:$B$1048576,STUDENTS!$C$3:$C$1048576)),"Enter a registered reg. no")</f>
        <v/>
      </c>
      <c r="D1110">
        <f>IFERROR(IF(B1110="","",_xlfn.XLOOKUP(B1110,STUDENTS!B1109:B101106,STUDENTS!D1109:D101106)),"update STUDENT sheet")</f>
        <v/>
      </c>
      <c r="E1110">
        <f>IFERROR(IF(C1110="","",_xlfn.XLOOKUP(C1110,STUDENTS!C1109:C101106,STUDENTS!F1109:F101106)),"update STUDENT sheet")</f>
        <v/>
      </c>
      <c r="F1110">
        <f>IFERROR(IF(D1110="","",_xlfn.XLOOKUP(D1110,STUDENTS!D1109:D101106,STUDENTS!G1109:G101106)),"update STUDENT sheet")</f>
        <v/>
      </c>
      <c r="G1110">
        <f>IFERROR(IF(E1110="","",_xlfn.XLOOKUP(E1110,STUDENTS!F1109:F101106,STUDENTS!H1109:H101106)),"update STUDENT sheet")</f>
        <v/>
      </c>
    </row>
    <row r="1111">
      <c r="B1111">
        <f>IF(STUDENTS!B1110="","",STUDENTS!B1110)</f>
        <v/>
      </c>
      <c r="C1111">
        <f>IFERROR(IF(B1111="","",_xlfn.XLOOKUP(B1111,STUDENTS!$B$3:$B$1048576,STUDENTS!$C$3:$C$1048576)),"Enter a registered reg. no")</f>
        <v/>
      </c>
      <c r="D1111">
        <f>IFERROR(IF(B1111="","",_xlfn.XLOOKUP(B1111,STUDENTS!B1110:B101107,STUDENTS!D1110:D101107)),"update STUDENT sheet")</f>
        <v/>
      </c>
      <c r="E1111">
        <f>IFERROR(IF(C1111="","",_xlfn.XLOOKUP(C1111,STUDENTS!C1110:C101107,STUDENTS!F1110:F101107)),"update STUDENT sheet")</f>
        <v/>
      </c>
      <c r="F1111">
        <f>IFERROR(IF(D1111="","",_xlfn.XLOOKUP(D1111,STUDENTS!D1110:D101107,STUDENTS!G1110:G101107)),"update STUDENT sheet")</f>
        <v/>
      </c>
      <c r="G1111">
        <f>IFERROR(IF(E1111="","",_xlfn.XLOOKUP(E1111,STUDENTS!F1110:F101107,STUDENTS!H1110:H101107)),"update STUDENT sheet")</f>
        <v/>
      </c>
    </row>
    <row r="1112">
      <c r="B1112">
        <f>IF(STUDENTS!B1111="","",STUDENTS!B1111)</f>
        <v/>
      </c>
      <c r="C1112">
        <f>IFERROR(IF(B1112="","",_xlfn.XLOOKUP(B1112,STUDENTS!$B$3:$B$1048576,STUDENTS!$C$3:$C$1048576)),"Enter a registered reg. no")</f>
        <v/>
      </c>
      <c r="D1112">
        <f>IFERROR(IF(B1112="","",_xlfn.XLOOKUP(B1112,STUDENTS!B1111:B101108,STUDENTS!D1111:D101108)),"update STUDENT sheet")</f>
        <v/>
      </c>
      <c r="E1112">
        <f>IFERROR(IF(C1112="","",_xlfn.XLOOKUP(C1112,STUDENTS!C1111:C101108,STUDENTS!F1111:F101108)),"update STUDENT sheet")</f>
        <v/>
      </c>
      <c r="F1112">
        <f>IFERROR(IF(D1112="","",_xlfn.XLOOKUP(D1112,STUDENTS!D1111:D101108,STUDENTS!G1111:G101108)),"update STUDENT sheet")</f>
        <v/>
      </c>
      <c r="G1112">
        <f>IFERROR(IF(E1112="","",_xlfn.XLOOKUP(E1112,STUDENTS!F1111:F101108,STUDENTS!H1111:H101108)),"update STUDENT sheet")</f>
        <v/>
      </c>
    </row>
    <row r="1113">
      <c r="B1113">
        <f>IF(STUDENTS!B1112="","",STUDENTS!B1112)</f>
        <v/>
      </c>
      <c r="C1113">
        <f>IFERROR(IF(B1113="","",_xlfn.XLOOKUP(B1113,STUDENTS!$B$3:$B$1048576,STUDENTS!$C$3:$C$1048576)),"Enter a registered reg. no")</f>
        <v/>
      </c>
      <c r="D1113">
        <f>IFERROR(IF(B1113="","",_xlfn.XLOOKUP(B1113,STUDENTS!B1112:B101109,STUDENTS!D1112:D101109)),"update STUDENT sheet")</f>
        <v/>
      </c>
      <c r="E1113">
        <f>IFERROR(IF(C1113="","",_xlfn.XLOOKUP(C1113,STUDENTS!C1112:C101109,STUDENTS!F1112:F101109)),"update STUDENT sheet")</f>
        <v/>
      </c>
      <c r="F1113">
        <f>IFERROR(IF(D1113="","",_xlfn.XLOOKUP(D1113,STUDENTS!D1112:D101109,STUDENTS!G1112:G101109)),"update STUDENT sheet")</f>
        <v/>
      </c>
      <c r="G1113">
        <f>IFERROR(IF(E1113="","",_xlfn.XLOOKUP(E1113,STUDENTS!F1112:F101109,STUDENTS!H1112:H101109)),"update STUDENT sheet")</f>
        <v/>
      </c>
    </row>
    <row r="1114">
      <c r="B1114">
        <f>IF(STUDENTS!B1113="","",STUDENTS!B1113)</f>
        <v/>
      </c>
      <c r="C1114">
        <f>IFERROR(IF(B1114="","",_xlfn.XLOOKUP(B1114,STUDENTS!$B$3:$B$1048576,STUDENTS!$C$3:$C$1048576)),"Enter a registered reg. no")</f>
        <v/>
      </c>
      <c r="D1114">
        <f>IFERROR(IF(B1114="","",_xlfn.XLOOKUP(B1114,STUDENTS!B1113:B101110,STUDENTS!D1113:D101110)),"update STUDENT sheet")</f>
        <v/>
      </c>
      <c r="E1114">
        <f>IFERROR(IF(C1114="","",_xlfn.XLOOKUP(C1114,STUDENTS!C1113:C101110,STUDENTS!F1113:F101110)),"update STUDENT sheet")</f>
        <v/>
      </c>
      <c r="F1114">
        <f>IFERROR(IF(D1114="","",_xlfn.XLOOKUP(D1114,STUDENTS!D1113:D101110,STUDENTS!G1113:G101110)),"update STUDENT sheet")</f>
        <v/>
      </c>
      <c r="G1114">
        <f>IFERROR(IF(E1114="","",_xlfn.XLOOKUP(E1114,STUDENTS!F1113:F101110,STUDENTS!H1113:H101110)),"update STUDENT sheet")</f>
        <v/>
      </c>
    </row>
    <row r="1115">
      <c r="B1115">
        <f>IF(STUDENTS!B1114="","",STUDENTS!B1114)</f>
        <v/>
      </c>
      <c r="C1115">
        <f>IFERROR(IF(B1115="","",_xlfn.XLOOKUP(B1115,STUDENTS!$B$3:$B$1048576,STUDENTS!$C$3:$C$1048576)),"Enter a registered reg. no")</f>
        <v/>
      </c>
      <c r="D1115">
        <f>IFERROR(IF(B1115="","",_xlfn.XLOOKUP(B1115,STUDENTS!B1114:B101111,STUDENTS!D1114:D101111)),"update STUDENT sheet")</f>
        <v/>
      </c>
      <c r="E1115">
        <f>IFERROR(IF(C1115="","",_xlfn.XLOOKUP(C1115,STUDENTS!C1114:C101111,STUDENTS!F1114:F101111)),"update STUDENT sheet")</f>
        <v/>
      </c>
      <c r="F1115">
        <f>IFERROR(IF(D1115="","",_xlfn.XLOOKUP(D1115,STUDENTS!D1114:D101111,STUDENTS!G1114:G101111)),"update STUDENT sheet")</f>
        <v/>
      </c>
      <c r="G1115">
        <f>IFERROR(IF(E1115="","",_xlfn.XLOOKUP(E1115,STUDENTS!F1114:F101111,STUDENTS!H1114:H101111)),"update STUDENT sheet")</f>
        <v/>
      </c>
    </row>
    <row r="1116">
      <c r="B1116">
        <f>IF(STUDENTS!B1115="","",STUDENTS!B1115)</f>
        <v/>
      </c>
      <c r="C1116">
        <f>IFERROR(IF(B1116="","",_xlfn.XLOOKUP(B1116,STUDENTS!$B$3:$B$1048576,STUDENTS!$C$3:$C$1048576)),"Enter a registered reg. no")</f>
        <v/>
      </c>
      <c r="D1116">
        <f>IFERROR(IF(B1116="","",_xlfn.XLOOKUP(B1116,STUDENTS!B1115:B101112,STUDENTS!D1115:D101112)),"update STUDENT sheet")</f>
        <v/>
      </c>
      <c r="E1116">
        <f>IFERROR(IF(C1116="","",_xlfn.XLOOKUP(C1116,STUDENTS!C1115:C101112,STUDENTS!F1115:F101112)),"update STUDENT sheet")</f>
        <v/>
      </c>
      <c r="F1116">
        <f>IFERROR(IF(D1116="","",_xlfn.XLOOKUP(D1116,STUDENTS!D1115:D101112,STUDENTS!G1115:G101112)),"update STUDENT sheet")</f>
        <v/>
      </c>
      <c r="G1116">
        <f>IFERROR(IF(E1116="","",_xlfn.XLOOKUP(E1116,STUDENTS!F1115:F101112,STUDENTS!H1115:H101112)),"update STUDENT sheet")</f>
        <v/>
      </c>
    </row>
    <row r="1117">
      <c r="B1117">
        <f>IF(STUDENTS!B1116="","",STUDENTS!B1116)</f>
        <v/>
      </c>
      <c r="C1117">
        <f>IFERROR(IF(B1117="","",_xlfn.XLOOKUP(B1117,STUDENTS!$B$3:$B$1048576,STUDENTS!$C$3:$C$1048576)),"Enter a registered reg. no")</f>
        <v/>
      </c>
      <c r="D1117">
        <f>IFERROR(IF(B1117="","",_xlfn.XLOOKUP(B1117,STUDENTS!B1116:B101113,STUDENTS!D1116:D101113)),"update STUDENT sheet")</f>
        <v/>
      </c>
      <c r="E1117">
        <f>IFERROR(IF(C1117="","",_xlfn.XLOOKUP(C1117,STUDENTS!C1116:C101113,STUDENTS!F1116:F101113)),"update STUDENT sheet")</f>
        <v/>
      </c>
      <c r="F1117">
        <f>IFERROR(IF(D1117="","",_xlfn.XLOOKUP(D1117,STUDENTS!D1116:D101113,STUDENTS!G1116:G101113)),"update STUDENT sheet")</f>
        <v/>
      </c>
      <c r="G1117">
        <f>IFERROR(IF(E1117="","",_xlfn.XLOOKUP(E1117,STUDENTS!F1116:F101113,STUDENTS!H1116:H101113)),"update STUDENT sheet")</f>
        <v/>
      </c>
    </row>
    <row r="1118">
      <c r="B1118">
        <f>IF(STUDENTS!B1117="","",STUDENTS!B1117)</f>
        <v/>
      </c>
      <c r="C1118">
        <f>IFERROR(IF(B1118="","",_xlfn.XLOOKUP(B1118,STUDENTS!$B$3:$B$1048576,STUDENTS!$C$3:$C$1048576)),"Enter a registered reg. no")</f>
        <v/>
      </c>
      <c r="D1118">
        <f>IFERROR(IF(B1118="","",_xlfn.XLOOKUP(B1118,STUDENTS!B1117:B101114,STUDENTS!D1117:D101114)),"update STUDENT sheet")</f>
        <v/>
      </c>
      <c r="E1118">
        <f>IFERROR(IF(C1118="","",_xlfn.XLOOKUP(C1118,STUDENTS!C1117:C101114,STUDENTS!F1117:F101114)),"update STUDENT sheet")</f>
        <v/>
      </c>
      <c r="F1118">
        <f>IFERROR(IF(D1118="","",_xlfn.XLOOKUP(D1118,STUDENTS!D1117:D101114,STUDENTS!G1117:G101114)),"update STUDENT sheet")</f>
        <v/>
      </c>
      <c r="G1118">
        <f>IFERROR(IF(E1118="","",_xlfn.XLOOKUP(E1118,STUDENTS!F1117:F101114,STUDENTS!H1117:H101114)),"update STUDENT sheet")</f>
        <v/>
      </c>
    </row>
    <row r="1119">
      <c r="B1119">
        <f>IF(STUDENTS!B1118="","",STUDENTS!B1118)</f>
        <v/>
      </c>
      <c r="C1119">
        <f>IFERROR(IF(B1119="","",_xlfn.XLOOKUP(B1119,STUDENTS!$B$3:$B$1048576,STUDENTS!$C$3:$C$1048576)),"Enter a registered reg. no")</f>
        <v/>
      </c>
      <c r="D1119">
        <f>IFERROR(IF(B1119="","",_xlfn.XLOOKUP(B1119,STUDENTS!B1118:B101115,STUDENTS!D1118:D101115)),"update STUDENT sheet")</f>
        <v/>
      </c>
      <c r="E1119">
        <f>IFERROR(IF(C1119="","",_xlfn.XLOOKUP(C1119,STUDENTS!C1118:C101115,STUDENTS!F1118:F101115)),"update STUDENT sheet")</f>
        <v/>
      </c>
      <c r="F1119">
        <f>IFERROR(IF(D1119="","",_xlfn.XLOOKUP(D1119,STUDENTS!D1118:D101115,STUDENTS!G1118:G101115)),"update STUDENT sheet")</f>
        <v/>
      </c>
      <c r="G1119">
        <f>IFERROR(IF(E1119="","",_xlfn.XLOOKUP(E1119,STUDENTS!F1118:F101115,STUDENTS!H1118:H101115)),"update STUDENT sheet")</f>
        <v/>
      </c>
    </row>
    <row r="1120">
      <c r="B1120">
        <f>IF(STUDENTS!B1119="","",STUDENTS!B1119)</f>
        <v/>
      </c>
      <c r="C1120">
        <f>IFERROR(IF(B1120="","",_xlfn.XLOOKUP(B1120,STUDENTS!$B$3:$B$1048576,STUDENTS!$C$3:$C$1048576)),"Enter a registered reg. no")</f>
        <v/>
      </c>
      <c r="D1120">
        <f>IFERROR(IF(B1120="","",_xlfn.XLOOKUP(B1120,STUDENTS!B1119:B101116,STUDENTS!D1119:D101116)),"update STUDENT sheet")</f>
        <v/>
      </c>
      <c r="E1120">
        <f>IFERROR(IF(C1120="","",_xlfn.XLOOKUP(C1120,STUDENTS!C1119:C101116,STUDENTS!F1119:F101116)),"update STUDENT sheet")</f>
        <v/>
      </c>
      <c r="F1120">
        <f>IFERROR(IF(D1120="","",_xlfn.XLOOKUP(D1120,STUDENTS!D1119:D101116,STUDENTS!G1119:G101116)),"update STUDENT sheet")</f>
        <v/>
      </c>
      <c r="G1120">
        <f>IFERROR(IF(E1120="","",_xlfn.XLOOKUP(E1120,STUDENTS!F1119:F101116,STUDENTS!H1119:H101116)),"update STUDENT sheet")</f>
        <v/>
      </c>
    </row>
    <row r="1121">
      <c r="B1121">
        <f>IF(STUDENTS!B1120="","",STUDENTS!B1120)</f>
        <v/>
      </c>
      <c r="C1121">
        <f>IFERROR(IF(B1121="","",_xlfn.XLOOKUP(B1121,STUDENTS!$B$3:$B$1048576,STUDENTS!$C$3:$C$1048576)),"Enter a registered reg. no")</f>
        <v/>
      </c>
      <c r="D1121">
        <f>IFERROR(IF(B1121="","",_xlfn.XLOOKUP(B1121,STUDENTS!B1120:B101117,STUDENTS!D1120:D101117)),"update STUDENT sheet")</f>
        <v/>
      </c>
      <c r="E1121">
        <f>IFERROR(IF(C1121="","",_xlfn.XLOOKUP(C1121,STUDENTS!C1120:C101117,STUDENTS!F1120:F101117)),"update STUDENT sheet")</f>
        <v/>
      </c>
      <c r="F1121">
        <f>IFERROR(IF(D1121="","",_xlfn.XLOOKUP(D1121,STUDENTS!D1120:D101117,STUDENTS!G1120:G101117)),"update STUDENT sheet")</f>
        <v/>
      </c>
      <c r="G1121">
        <f>IFERROR(IF(E1121="","",_xlfn.XLOOKUP(E1121,STUDENTS!F1120:F101117,STUDENTS!H1120:H101117)),"update STUDENT sheet")</f>
        <v/>
      </c>
    </row>
    <row r="1122">
      <c r="B1122">
        <f>IF(STUDENTS!B1121="","",STUDENTS!B1121)</f>
        <v/>
      </c>
      <c r="C1122">
        <f>IFERROR(IF(B1122="","",_xlfn.XLOOKUP(B1122,STUDENTS!$B$3:$B$1048576,STUDENTS!$C$3:$C$1048576)),"Enter a registered reg. no")</f>
        <v/>
      </c>
      <c r="D1122">
        <f>IFERROR(IF(B1122="","",_xlfn.XLOOKUP(B1122,STUDENTS!B1121:B101118,STUDENTS!D1121:D101118)),"update STUDENT sheet")</f>
        <v/>
      </c>
      <c r="E1122">
        <f>IFERROR(IF(C1122="","",_xlfn.XLOOKUP(C1122,STUDENTS!C1121:C101118,STUDENTS!F1121:F101118)),"update STUDENT sheet")</f>
        <v/>
      </c>
      <c r="F1122">
        <f>IFERROR(IF(D1122="","",_xlfn.XLOOKUP(D1122,STUDENTS!D1121:D101118,STUDENTS!G1121:G101118)),"update STUDENT sheet")</f>
        <v/>
      </c>
      <c r="G1122">
        <f>IFERROR(IF(E1122="","",_xlfn.XLOOKUP(E1122,STUDENTS!F1121:F101118,STUDENTS!H1121:H101118)),"update STUDENT sheet")</f>
        <v/>
      </c>
    </row>
    <row r="1123">
      <c r="B1123">
        <f>IF(STUDENTS!B1122="","",STUDENTS!B1122)</f>
        <v/>
      </c>
      <c r="C1123">
        <f>IFERROR(IF(B1123="","",_xlfn.XLOOKUP(B1123,STUDENTS!$B$3:$B$1048576,STUDENTS!$C$3:$C$1048576)),"Enter a registered reg. no")</f>
        <v/>
      </c>
      <c r="D1123">
        <f>IFERROR(IF(B1123="","",_xlfn.XLOOKUP(B1123,STUDENTS!B1122:B101119,STUDENTS!D1122:D101119)),"update STUDENT sheet")</f>
        <v/>
      </c>
      <c r="E1123">
        <f>IFERROR(IF(C1123="","",_xlfn.XLOOKUP(C1123,STUDENTS!C1122:C101119,STUDENTS!F1122:F101119)),"update STUDENT sheet")</f>
        <v/>
      </c>
      <c r="F1123">
        <f>IFERROR(IF(D1123="","",_xlfn.XLOOKUP(D1123,STUDENTS!D1122:D101119,STUDENTS!G1122:G101119)),"update STUDENT sheet")</f>
        <v/>
      </c>
      <c r="G1123">
        <f>IFERROR(IF(E1123="","",_xlfn.XLOOKUP(E1123,STUDENTS!F1122:F101119,STUDENTS!H1122:H101119)),"update STUDENT sheet")</f>
        <v/>
      </c>
    </row>
    <row r="1124">
      <c r="B1124">
        <f>IF(STUDENTS!B1123="","",STUDENTS!B1123)</f>
        <v/>
      </c>
      <c r="C1124">
        <f>IFERROR(IF(B1124="","",_xlfn.XLOOKUP(B1124,STUDENTS!$B$3:$B$1048576,STUDENTS!$C$3:$C$1048576)),"Enter a registered reg. no")</f>
        <v/>
      </c>
      <c r="D1124">
        <f>IFERROR(IF(B1124="","",_xlfn.XLOOKUP(B1124,STUDENTS!B1123:B101120,STUDENTS!D1123:D101120)),"update STUDENT sheet")</f>
        <v/>
      </c>
      <c r="E1124">
        <f>IFERROR(IF(C1124="","",_xlfn.XLOOKUP(C1124,STUDENTS!C1123:C101120,STUDENTS!F1123:F101120)),"update STUDENT sheet")</f>
        <v/>
      </c>
      <c r="F1124">
        <f>IFERROR(IF(D1124="","",_xlfn.XLOOKUP(D1124,STUDENTS!D1123:D101120,STUDENTS!G1123:G101120)),"update STUDENT sheet")</f>
        <v/>
      </c>
      <c r="G1124">
        <f>IFERROR(IF(E1124="","",_xlfn.XLOOKUP(E1124,STUDENTS!F1123:F101120,STUDENTS!H1123:H101120)),"update STUDENT sheet")</f>
        <v/>
      </c>
    </row>
    <row r="1125">
      <c r="B1125">
        <f>IF(STUDENTS!B1124="","",STUDENTS!B1124)</f>
        <v/>
      </c>
      <c r="C1125">
        <f>IFERROR(IF(B1125="","",_xlfn.XLOOKUP(B1125,STUDENTS!$B$3:$B$1048576,STUDENTS!$C$3:$C$1048576)),"Enter a registered reg. no")</f>
        <v/>
      </c>
      <c r="D1125">
        <f>IFERROR(IF(B1125="","",_xlfn.XLOOKUP(B1125,STUDENTS!B1124:B101121,STUDENTS!D1124:D101121)),"update STUDENT sheet")</f>
        <v/>
      </c>
      <c r="E1125">
        <f>IFERROR(IF(C1125="","",_xlfn.XLOOKUP(C1125,STUDENTS!C1124:C101121,STUDENTS!F1124:F101121)),"update STUDENT sheet")</f>
        <v/>
      </c>
      <c r="F1125">
        <f>IFERROR(IF(D1125="","",_xlfn.XLOOKUP(D1125,STUDENTS!D1124:D101121,STUDENTS!G1124:G101121)),"update STUDENT sheet")</f>
        <v/>
      </c>
      <c r="G1125">
        <f>IFERROR(IF(E1125="","",_xlfn.XLOOKUP(E1125,STUDENTS!F1124:F101121,STUDENTS!H1124:H101121)),"update STUDENT sheet")</f>
        <v/>
      </c>
    </row>
    <row r="1126">
      <c r="B1126">
        <f>IF(STUDENTS!B1125="","",STUDENTS!B1125)</f>
        <v/>
      </c>
      <c r="C1126">
        <f>IFERROR(IF(B1126="","",_xlfn.XLOOKUP(B1126,STUDENTS!$B$3:$B$1048576,STUDENTS!$C$3:$C$1048576)),"Enter a registered reg. no")</f>
        <v/>
      </c>
      <c r="D1126">
        <f>IFERROR(IF(B1126="","",_xlfn.XLOOKUP(B1126,STUDENTS!B1125:B101122,STUDENTS!D1125:D101122)),"update STUDENT sheet")</f>
        <v/>
      </c>
      <c r="E1126">
        <f>IFERROR(IF(C1126="","",_xlfn.XLOOKUP(C1126,STUDENTS!C1125:C101122,STUDENTS!F1125:F101122)),"update STUDENT sheet")</f>
        <v/>
      </c>
      <c r="F1126">
        <f>IFERROR(IF(D1126="","",_xlfn.XLOOKUP(D1126,STUDENTS!D1125:D101122,STUDENTS!G1125:G101122)),"update STUDENT sheet")</f>
        <v/>
      </c>
      <c r="G1126">
        <f>IFERROR(IF(E1126="","",_xlfn.XLOOKUP(E1126,STUDENTS!F1125:F101122,STUDENTS!H1125:H101122)),"update STUDENT sheet")</f>
        <v/>
      </c>
    </row>
    <row r="1127">
      <c r="B1127">
        <f>IF(STUDENTS!B1126="","",STUDENTS!B1126)</f>
        <v/>
      </c>
      <c r="C1127">
        <f>IFERROR(IF(B1127="","",_xlfn.XLOOKUP(B1127,STUDENTS!$B$3:$B$1048576,STUDENTS!$C$3:$C$1048576)),"Enter a registered reg. no")</f>
        <v/>
      </c>
      <c r="D1127">
        <f>IFERROR(IF(B1127="","",_xlfn.XLOOKUP(B1127,STUDENTS!B1126:B101123,STUDENTS!D1126:D101123)),"update STUDENT sheet")</f>
        <v/>
      </c>
      <c r="E1127">
        <f>IFERROR(IF(C1127="","",_xlfn.XLOOKUP(C1127,STUDENTS!C1126:C101123,STUDENTS!F1126:F101123)),"update STUDENT sheet")</f>
        <v/>
      </c>
      <c r="F1127">
        <f>IFERROR(IF(D1127="","",_xlfn.XLOOKUP(D1127,STUDENTS!D1126:D101123,STUDENTS!G1126:G101123)),"update STUDENT sheet")</f>
        <v/>
      </c>
      <c r="G1127">
        <f>IFERROR(IF(E1127="","",_xlfn.XLOOKUP(E1127,STUDENTS!F1126:F101123,STUDENTS!H1126:H101123)),"update STUDENT sheet")</f>
        <v/>
      </c>
    </row>
    <row r="1128">
      <c r="B1128">
        <f>IF(STUDENTS!B1127="","",STUDENTS!B1127)</f>
        <v/>
      </c>
      <c r="C1128">
        <f>IFERROR(IF(B1128="","",_xlfn.XLOOKUP(B1128,STUDENTS!$B$3:$B$1048576,STUDENTS!$C$3:$C$1048576)),"Enter a registered reg. no")</f>
        <v/>
      </c>
      <c r="D1128">
        <f>IFERROR(IF(B1128="","",_xlfn.XLOOKUP(B1128,STUDENTS!B1127:B101124,STUDENTS!D1127:D101124)),"update STUDENT sheet")</f>
        <v/>
      </c>
      <c r="E1128">
        <f>IFERROR(IF(C1128="","",_xlfn.XLOOKUP(C1128,STUDENTS!C1127:C101124,STUDENTS!F1127:F101124)),"update STUDENT sheet")</f>
        <v/>
      </c>
      <c r="F1128">
        <f>IFERROR(IF(D1128="","",_xlfn.XLOOKUP(D1128,STUDENTS!D1127:D101124,STUDENTS!G1127:G101124)),"update STUDENT sheet")</f>
        <v/>
      </c>
      <c r="G1128">
        <f>IFERROR(IF(E1128="","",_xlfn.XLOOKUP(E1128,STUDENTS!F1127:F101124,STUDENTS!H1127:H101124)),"update STUDENT sheet")</f>
        <v/>
      </c>
    </row>
    <row r="1129">
      <c r="B1129">
        <f>IF(STUDENTS!B1128="","",STUDENTS!B1128)</f>
        <v/>
      </c>
      <c r="C1129">
        <f>IFERROR(IF(B1129="","",_xlfn.XLOOKUP(B1129,STUDENTS!$B$3:$B$1048576,STUDENTS!$C$3:$C$1048576)),"Enter a registered reg. no")</f>
        <v/>
      </c>
      <c r="D1129">
        <f>IFERROR(IF(B1129="","",_xlfn.XLOOKUP(B1129,STUDENTS!B1128:B101125,STUDENTS!D1128:D101125)),"update STUDENT sheet")</f>
        <v/>
      </c>
      <c r="E1129">
        <f>IFERROR(IF(C1129="","",_xlfn.XLOOKUP(C1129,STUDENTS!C1128:C101125,STUDENTS!F1128:F101125)),"update STUDENT sheet")</f>
        <v/>
      </c>
      <c r="F1129">
        <f>IFERROR(IF(D1129="","",_xlfn.XLOOKUP(D1129,STUDENTS!D1128:D101125,STUDENTS!G1128:G101125)),"update STUDENT sheet")</f>
        <v/>
      </c>
      <c r="G1129">
        <f>IFERROR(IF(E1129="","",_xlfn.XLOOKUP(E1129,STUDENTS!F1128:F101125,STUDENTS!H1128:H101125)),"update STUDENT sheet")</f>
        <v/>
      </c>
    </row>
    <row r="1130">
      <c r="B1130">
        <f>IF(STUDENTS!B1129="","",STUDENTS!B1129)</f>
        <v/>
      </c>
      <c r="C1130">
        <f>IFERROR(IF(B1130="","",_xlfn.XLOOKUP(B1130,STUDENTS!$B$3:$B$1048576,STUDENTS!$C$3:$C$1048576)),"Enter a registered reg. no")</f>
        <v/>
      </c>
      <c r="D1130">
        <f>IFERROR(IF(B1130="","",_xlfn.XLOOKUP(B1130,STUDENTS!B1129:B101126,STUDENTS!D1129:D101126)),"update STUDENT sheet")</f>
        <v/>
      </c>
      <c r="E1130">
        <f>IFERROR(IF(C1130="","",_xlfn.XLOOKUP(C1130,STUDENTS!C1129:C101126,STUDENTS!F1129:F101126)),"update STUDENT sheet")</f>
        <v/>
      </c>
      <c r="F1130">
        <f>IFERROR(IF(D1130="","",_xlfn.XLOOKUP(D1130,STUDENTS!D1129:D101126,STUDENTS!G1129:G101126)),"update STUDENT sheet")</f>
        <v/>
      </c>
      <c r="G1130">
        <f>IFERROR(IF(E1130="","",_xlfn.XLOOKUP(E1130,STUDENTS!F1129:F101126,STUDENTS!H1129:H101126)),"update STUDENT sheet")</f>
        <v/>
      </c>
    </row>
    <row r="1131">
      <c r="B1131">
        <f>IF(STUDENTS!B1130="","",STUDENTS!B1130)</f>
        <v/>
      </c>
      <c r="C1131">
        <f>IFERROR(IF(B1131="","",_xlfn.XLOOKUP(B1131,STUDENTS!$B$3:$B$1048576,STUDENTS!$C$3:$C$1048576)),"Enter a registered reg. no")</f>
        <v/>
      </c>
      <c r="D1131">
        <f>IFERROR(IF(B1131="","",_xlfn.XLOOKUP(B1131,STUDENTS!B1130:B101127,STUDENTS!D1130:D101127)),"update STUDENT sheet")</f>
        <v/>
      </c>
      <c r="E1131">
        <f>IFERROR(IF(C1131="","",_xlfn.XLOOKUP(C1131,STUDENTS!C1130:C101127,STUDENTS!F1130:F101127)),"update STUDENT sheet")</f>
        <v/>
      </c>
      <c r="F1131">
        <f>IFERROR(IF(D1131="","",_xlfn.XLOOKUP(D1131,STUDENTS!D1130:D101127,STUDENTS!G1130:G101127)),"update STUDENT sheet")</f>
        <v/>
      </c>
      <c r="G1131">
        <f>IFERROR(IF(E1131="","",_xlfn.XLOOKUP(E1131,STUDENTS!F1130:F101127,STUDENTS!H1130:H101127)),"update STUDENT sheet")</f>
        <v/>
      </c>
    </row>
    <row r="1132">
      <c r="B1132">
        <f>IF(STUDENTS!B1131="","",STUDENTS!B1131)</f>
        <v/>
      </c>
      <c r="C1132">
        <f>IFERROR(IF(B1132="","",_xlfn.XLOOKUP(B1132,STUDENTS!$B$3:$B$1048576,STUDENTS!$C$3:$C$1048576)),"Enter a registered reg. no")</f>
        <v/>
      </c>
      <c r="D1132">
        <f>IFERROR(IF(B1132="","",_xlfn.XLOOKUP(B1132,STUDENTS!B1131:B101128,STUDENTS!D1131:D101128)),"update STUDENT sheet")</f>
        <v/>
      </c>
      <c r="E1132">
        <f>IFERROR(IF(C1132="","",_xlfn.XLOOKUP(C1132,STUDENTS!C1131:C101128,STUDENTS!F1131:F101128)),"update STUDENT sheet")</f>
        <v/>
      </c>
      <c r="F1132">
        <f>IFERROR(IF(D1132="","",_xlfn.XLOOKUP(D1132,STUDENTS!D1131:D101128,STUDENTS!G1131:G101128)),"update STUDENT sheet")</f>
        <v/>
      </c>
      <c r="G1132">
        <f>IFERROR(IF(E1132="","",_xlfn.XLOOKUP(E1132,STUDENTS!F1131:F101128,STUDENTS!H1131:H101128)),"update STUDENT sheet")</f>
        <v/>
      </c>
    </row>
    <row r="1133">
      <c r="B1133">
        <f>IF(STUDENTS!B1132="","",STUDENTS!B1132)</f>
        <v/>
      </c>
      <c r="C1133">
        <f>IFERROR(IF(B1133="","",_xlfn.XLOOKUP(B1133,STUDENTS!$B$3:$B$1048576,STUDENTS!$C$3:$C$1048576)),"Enter a registered reg. no")</f>
        <v/>
      </c>
      <c r="D1133">
        <f>IFERROR(IF(B1133="","",_xlfn.XLOOKUP(B1133,STUDENTS!B1132:B101129,STUDENTS!D1132:D101129)),"update STUDENT sheet")</f>
        <v/>
      </c>
      <c r="E1133">
        <f>IFERROR(IF(C1133="","",_xlfn.XLOOKUP(C1133,STUDENTS!C1132:C101129,STUDENTS!F1132:F101129)),"update STUDENT sheet")</f>
        <v/>
      </c>
      <c r="F1133">
        <f>IFERROR(IF(D1133="","",_xlfn.XLOOKUP(D1133,STUDENTS!D1132:D101129,STUDENTS!G1132:G101129)),"update STUDENT sheet")</f>
        <v/>
      </c>
      <c r="G1133">
        <f>IFERROR(IF(E1133="","",_xlfn.XLOOKUP(E1133,STUDENTS!F1132:F101129,STUDENTS!H1132:H101129)),"update STUDENT sheet")</f>
        <v/>
      </c>
    </row>
    <row r="1134">
      <c r="B1134">
        <f>IF(STUDENTS!B1133="","",STUDENTS!B1133)</f>
        <v/>
      </c>
      <c r="C1134">
        <f>IFERROR(IF(B1134="","",_xlfn.XLOOKUP(B1134,STUDENTS!$B$3:$B$1048576,STUDENTS!$C$3:$C$1048576)),"Enter a registered reg. no")</f>
        <v/>
      </c>
      <c r="D1134">
        <f>IFERROR(IF(B1134="","",_xlfn.XLOOKUP(B1134,STUDENTS!B1133:B101130,STUDENTS!D1133:D101130)),"update STUDENT sheet")</f>
        <v/>
      </c>
      <c r="E1134">
        <f>IFERROR(IF(C1134="","",_xlfn.XLOOKUP(C1134,STUDENTS!C1133:C101130,STUDENTS!F1133:F101130)),"update STUDENT sheet")</f>
        <v/>
      </c>
      <c r="F1134">
        <f>IFERROR(IF(D1134="","",_xlfn.XLOOKUP(D1134,STUDENTS!D1133:D101130,STUDENTS!G1133:G101130)),"update STUDENT sheet")</f>
        <v/>
      </c>
      <c r="G1134">
        <f>IFERROR(IF(E1134="","",_xlfn.XLOOKUP(E1134,STUDENTS!F1133:F101130,STUDENTS!H1133:H101130)),"update STUDENT sheet")</f>
        <v/>
      </c>
    </row>
    <row r="1135">
      <c r="B1135">
        <f>IF(STUDENTS!B1134="","",STUDENTS!B1134)</f>
        <v/>
      </c>
      <c r="C1135">
        <f>IFERROR(IF(B1135="","",_xlfn.XLOOKUP(B1135,STUDENTS!$B$3:$B$1048576,STUDENTS!$C$3:$C$1048576)),"Enter a registered reg. no")</f>
        <v/>
      </c>
      <c r="D1135">
        <f>IFERROR(IF(B1135="","",_xlfn.XLOOKUP(B1135,STUDENTS!B1134:B101131,STUDENTS!D1134:D101131)),"update STUDENT sheet")</f>
        <v/>
      </c>
      <c r="E1135">
        <f>IFERROR(IF(C1135="","",_xlfn.XLOOKUP(C1135,STUDENTS!C1134:C101131,STUDENTS!F1134:F101131)),"update STUDENT sheet")</f>
        <v/>
      </c>
      <c r="F1135">
        <f>IFERROR(IF(D1135="","",_xlfn.XLOOKUP(D1135,STUDENTS!D1134:D101131,STUDENTS!G1134:G101131)),"update STUDENT sheet")</f>
        <v/>
      </c>
      <c r="G1135">
        <f>IFERROR(IF(E1135="","",_xlfn.XLOOKUP(E1135,STUDENTS!F1134:F101131,STUDENTS!H1134:H101131)),"update STUDENT sheet")</f>
        <v/>
      </c>
    </row>
    <row r="1136">
      <c r="B1136">
        <f>IF(STUDENTS!B1135="","",STUDENTS!B1135)</f>
        <v/>
      </c>
      <c r="C1136">
        <f>IFERROR(IF(B1136="","",_xlfn.XLOOKUP(B1136,STUDENTS!$B$3:$B$1048576,STUDENTS!$C$3:$C$1048576)),"Enter a registered reg. no")</f>
        <v/>
      </c>
      <c r="D1136">
        <f>IFERROR(IF(B1136="","",_xlfn.XLOOKUP(B1136,STUDENTS!B1135:B101132,STUDENTS!D1135:D101132)),"update STUDENT sheet")</f>
        <v/>
      </c>
      <c r="E1136">
        <f>IFERROR(IF(C1136="","",_xlfn.XLOOKUP(C1136,STUDENTS!C1135:C101132,STUDENTS!F1135:F101132)),"update STUDENT sheet")</f>
        <v/>
      </c>
      <c r="F1136">
        <f>IFERROR(IF(D1136="","",_xlfn.XLOOKUP(D1136,STUDENTS!D1135:D101132,STUDENTS!G1135:G101132)),"update STUDENT sheet")</f>
        <v/>
      </c>
      <c r="G1136">
        <f>IFERROR(IF(E1136="","",_xlfn.XLOOKUP(E1136,STUDENTS!F1135:F101132,STUDENTS!H1135:H101132)),"update STUDENT sheet")</f>
        <v/>
      </c>
    </row>
    <row r="1137">
      <c r="B1137">
        <f>IF(STUDENTS!B1136="","",STUDENTS!B1136)</f>
        <v/>
      </c>
      <c r="C1137">
        <f>IFERROR(IF(B1137="","",_xlfn.XLOOKUP(B1137,STUDENTS!$B$3:$B$1048576,STUDENTS!$C$3:$C$1048576)),"Enter a registered reg. no")</f>
        <v/>
      </c>
      <c r="D1137">
        <f>IFERROR(IF(B1137="","",_xlfn.XLOOKUP(B1137,STUDENTS!B1136:B101133,STUDENTS!D1136:D101133)),"update STUDENT sheet")</f>
        <v/>
      </c>
      <c r="E1137">
        <f>IFERROR(IF(C1137="","",_xlfn.XLOOKUP(C1137,STUDENTS!C1136:C101133,STUDENTS!F1136:F101133)),"update STUDENT sheet")</f>
        <v/>
      </c>
      <c r="F1137">
        <f>IFERROR(IF(D1137="","",_xlfn.XLOOKUP(D1137,STUDENTS!D1136:D101133,STUDENTS!G1136:G101133)),"update STUDENT sheet")</f>
        <v/>
      </c>
      <c r="G1137">
        <f>IFERROR(IF(E1137="","",_xlfn.XLOOKUP(E1137,STUDENTS!F1136:F101133,STUDENTS!H1136:H101133)),"update STUDENT sheet")</f>
        <v/>
      </c>
    </row>
    <row r="1138">
      <c r="B1138">
        <f>IF(STUDENTS!B1137="","",STUDENTS!B1137)</f>
        <v/>
      </c>
      <c r="C1138">
        <f>IFERROR(IF(B1138="","",_xlfn.XLOOKUP(B1138,STUDENTS!$B$3:$B$1048576,STUDENTS!$C$3:$C$1048576)),"Enter a registered reg. no")</f>
        <v/>
      </c>
      <c r="D1138">
        <f>IFERROR(IF(B1138="","",_xlfn.XLOOKUP(B1138,STUDENTS!B1137:B101134,STUDENTS!D1137:D101134)),"update STUDENT sheet")</f>
        <v/>
      </c>
      <c r="E1138">
        <f>IFERROR(IF(C1138="","",_xlfn.XLOOKUP(C1138,STUDENTS!C1137:C101134,STUDENTS!F1137:F101134)),"update STUDENT sheet")</f>
        <v/>
      </c>
      <c r="F1138">
        <f>IFERROR(IF(D1138="","",_xlfn.XLOOKUP(D1138,STUDENTS!D1137:D101134,STUDENTS!G1137:G101134)),"update STUDENT sheet")</f>
        <v/>
      </c>
      <c r="G1138">
        <f>IFERROR(IF(E1138="","",_xlfn.XLOOKUP(E1138,STUDENTS!F1137:F101134,STUDENTS!H1137:H101134)),"update STUDENT sheet")</f>
        <v/>
      </c>
    </row>
    <row r="1139">
      <c r="B1139">
        <f>IF(STUDENTS!B1138="","",STUDENTS!B1138)</f>
        <v/>
      </c>
      <c r="C1139">
        <f>IFERROR(IF(B1139="","",_xlfn.XLOOKUP(B1139,STUDENTS!$B$3:$B$1048576,STUDENTS!$C$3:$C$1048576)),"Enter a registered reg. no")</f>
        <v/>
      </c>
      <c r="D1139">
        <f>IFERROR(IF(B1139="","",_xlfn.XLOOKUP(B1139,STUDENTS!B1138:B101135,STUDENTS!D1138:D101135)),"update STUDENT sheet")</f>
        <v/>
      </c>
      <c r="E1139">
        <f>IFERROR(IF(C1139="","",_xlfn.XLOOKUP(C1139,STUDENTS!C1138:C101135,STUDENTS!F1138:F101135)),"update STUDENT sheet")</f>
        <v/>
      </c>
      <c r="F1139">
        <f>IFERROR(IF(D1139="","",_xlfn.XLOOKUP(D1139,STUDENTS!D1138:D101135,STUDENTS!G1138:G101135)),"update STUDENT sheet")</f>
        <v/>
      </c>
      <c r="G1139">
        <f>IFERROR(IF(E1139="","",_xlfn.XLOOKUP(E1139,STUDENTS!F1138:F101135,STUDENTS!H1138:H101135)),"update STUDENT sheet")</f>
        <v/>
      </c>
    </row>
    <row r="1140">
      <c r="B1140">
        <f>IF(STUDENTS!B1139="","",STUDENTS!B1139)</f>
        <v/>
      </c>
      <c r="C1140">
        <f>IFERROR(IF(B1140="","",_xlfn.XLOOKUP(B1140,STUDENTS!$B$3:$B$1048576,STUDENTS!$C$3:$C$1048576)),"Enter a registered reg. no")</f>
        <v/>
      </c>
      <c r="D1140">
        <f>IFERROR(IF(B1140="","",_xlfn.XLOOKUP(B1140,STUDENTS!B1139:B101136,STUDENTS!D1139:D101136)),"update STUDENT sheet")</f>
        <v/>
      </c>
      <c r="E1140">
        <f>IFERROR(IF(C1140="","",_xlfn.XLOOKUP(C1140,STUDENTS!C1139:C101136,STUDENTS!F1139:F101136)),"update STUDENT sheet")</f>
        <v/>
      </c>
      <c r="F1140">
        <f>IFERROR(IF(D1140="","",_xlfn.XLOOKUP(D1140,STUDENTS!D1139:D101136,STUDENTS!G1139:G101136)),"update STUDENT sheet")</f>
        <v/>
      </c>
      <c r="G1140">
        <f>IFERROR(IF(E1140="","",_xlfn.XLOOKUP(E1140,STUDENTS!F1139:F101136,STUDENTS!H1139:H101136)),"update STUDENT sheet")</f>
        <v/>
      </c>
    </row>
    <row r="1141">
      <c r="B1141">
        <f>IF(STUDENTS!B1140="","",STUDENTS!B1140)</f>
        <v/>
      </c>
      <c r="C1141">
        <f>IFERROR(IF(B1141="","",_xlfn.XLOOKUP(B1141,STUDENTS!$B$3:$B$1048576,STUDENTS!$C$3:$C$1048576)),"Enter a registered reg. no")</f>
        <v/>
      </c>
      <c r="D1141">
        <f>IFERROR(IF(B1141="","",_xlfn.XLOOKUP(B1141,STUDENTS!B1140:B101137,STUDENTS!D1140:D101137)),"update STUDENT sheet")</f>
        <v/>
      </c>
      <c r="E1141">
        <f>IFERROR(IF(C1141="","",_xlfn.XLOOKUP(C1141,STUDENTS!C1140:C101137,STUDENTS!F1140:F101137)),"update STUDENT sheet")</f>
        <v/>
      </c>
      <c r="F1141">
        <f>IFERROR(IF(D1141="","",_xlfn.XLOOKUP(D1141,STUDENTS!D1140:D101137,STUDENTS!G1140:G101137)),"update STUDENT sheet")</f>
        <v/>
      </c>
      <c r="G1141">
        <f>IFERROR(IF(E1141="","",_xlfn.XLOOKUP(E1141,STUDENTS!F1140:F101137,STUDENTS!H1140:H101137)),"update STUDENT sheet")</f>
        <v/>
      </c>
    </row>
    <row r="1142">
      <c r="B1142">
        <f>IF(STUDENTS!B1141="","",STUDENTS!B1141)</f>
        <v/>
      </c>
      <c r="C1142">
        <f>IFERROR(IF(B1142="","",_xlfn.XLOOKUP(B1142,STUDENTS!$B$3:$B$1048576,STUDENTS!$C$3:$C$1048576)),"Enter a registered reg. no")</f>
        <v/>
      </c>
      <c r="D1142">
        <f>IFERROR(IF(B1142="","",_xlfn.XLOOKUP(B1142,STUDENTS!B1141:B101138,STUDENTS!D1141:D101138)),"update STUDENT sheet")</f>
        <v/>
      </c>
      <c r="E1142">
        <f>IFERROR(IF(C1142="","",_xlfn.XLOOKUP(C1142,STUDENTS!C1141:C101138,STUDENTS!F1141:F101138)),"update STUDENT sheet")</f>
        <v/>
      </c>
      <c r="F1142">
        <f>IFERROR(IF(D1142="","",_xlfn.XLOOKUP(D1142,STUDENTS!D1141:D101138,STUDENTS!G1141:G101138)),"update STUDENT sheet")</f>
        <v/>
      </c>
      <c r="G1142">
        <f>IFERROR(IF(E1142="","",_xlfn.XLOOKUP(E1142,STUDENTS!F1141:F101138,STUDENTS!H1141:H101138)),"update STUDENT sheet")</f>
        <v/>
      </c>
    </row>
    <row r="1143">
      <c r="B1143">
        <f>IF(STUDENTS!B1142="","",STUDENTS!B1142)</f>
        <v/>
      </c>
      <c r="C1143">
        <f>IFERROR(IF(B1143="","",_xlfn.XLOOKUP(B1143,STUDENTS!$B$3:$B$1048576,STUDENTS!$C$3:$C$1048576)),"Enter a registered reg. no")</f>
        <v/>
      </c>
      <c r="D1143">
        <f>IFERROR(IF(B1143="","",_xlfn.XLOOKUP(B1143,STUDENTS!B1142:B101139,STUDENTS!D1142:D101139)),"update STUDENT sheet")</f>
        <v/>
      </c>
      <c r="E1143">
        <f>IFERROR(IF(C1143="","",_xlfn.XLOOKUP(C1143,STUDENTS!C1142:C101139,STUDENTS!F1142:F101139)),"update STUDENT sheet")</f>
        <v/>
      </c>
      <c r="F1143">
        <f>IFERROR(IF(D1143="","",_xlfn.XLOOKUP(D1143,STUDENTS!D1142:D101139,STUDENTS!G1142:G101139)),"update STUDENT sheet")</f>
        <v/>
      </c>
      <c r="G1143">
        <f>IFERROR(IF(E1143="","",_xlfn.XLOOKUP(E1143,STUDENTS!F1142:F101139,STUDENTS!H1142:H101139)),"update STUDENT sheet")</f>
        <v/>
      </c>
    </row>
    <row r="1144">
      <c r="B1144">
        <f>IF(STUDENTS!B1143="","",STUDENTS!B1143)</f>
        <v/>
      </c>
      <c r="C1144">
        <f>IFERROR(IF(B1144="","",_xlfn.XLOOKUP(B1144,STUDENTS!$B$3:$B$1048576,STUDENTS!$C$3:$C$1048576)),"Enter a registered reg. no")</f>
        <v/>
      </c>
      <c r="D1144">
        <f>IFERROR(IF(B1144="","",_xlfn.XLOOKUP(B1144,STUDENTS!B1143:B101140,STUDENTS!D1143:D101140)),"update STUDENT sheet")</f>
        <v/>
      </c>
      <c r="E1144">
        <f>IFERROR(IF(C1144="","",_xlfn.XLOOKUP(C1144,STUDENTS!C1143:C101140,STUDENTS!F1143:F101140)),"update STUDENT sheet")</f>
        <v/>
      </c>
      <c r="F1144">
        <f>IFERROR(IF(D1144="","",_xlfn.XLOOKUP(D1144,STUDENTS!D1143:D101140,STUDENTS!G1143:G101140)),"update STUDENT sheet")</f>
        <v/>
      </c>
      <c r="G1144">
        <f>IFERROR(IF(E1144="","",_xlfn.XLOOKUP(E1144,STUDENTS!F1143:F101140,STUDENTS!H1143:H101140)),"update STUDENT sheet")</f>
        <v/>
      </c>
    </row>
    <row r="1145">
      <c r="B1145">
        <f>IF(STUDENTS!B1144="","",STUDENTS!B1144)</f>
        <v/>
      </c>
      <c r="C1145">
        <f>IFERROR(IF(B1145="","",_xlfn.XLOOKUP(B1145,STUDENTS!$B$3:$B$1048576,STUDENTS!$C$3:$C$1048576)),"Enter a registered reg. no")</f>
        <v/>
      </c>
      <c r="D1145">
        <f>IFERROR(IF(B1145="","",_xlfn.XLOOKUP(B1145,STUDENTS!B1144:B101141,STUDENTS!D1144:D101141)),"update STUDENT sheet")</f>
        <v/>
      </c>
      <c r="E1145">
        <f>IFERROR(IF(C1145="","",_xlfn.XLOOKUP(C1145,STUDENTS!C1144:C101141,STUDENTS!F1144:F101141)),"update STUDENT sheet")</f>
        <v/>
      </c>
      <c r="F1145">
        <f>IFERROR(IF(D1145="","",_xlfn.XLOOKUP(D1145,STUDENTS!D1144:D101141,STUDENTS!G1144:G101141)),"update STUDENT sheet")</f>
        <v/>
      </c>
      <c r="G1145">
        <f>IFERROR(IF(E1145="","",_xlfn.XLOOKUP(E1145,STUDENTS!F1144:F101141,STUDENTS!H1144:H101141)),"update STUDENT sheet")</f>
        <v/>
      </c>
    </row>
    <row r="1146">
      <c r="B1146">
        <f>IF(STUDENTS!B1145="","",STUDENTS!B1145)</f>
        <v/>
      </c>
      <c r="C1146">
        <f>IFERROR(IF(B1146="","",_xlfn.XLOOKUP(B1146,STUDENTS!$B$3:$B$1048576,STUDENTS!$C$3:$C$1048576)),"Enter a registered reg. no")</f>
        <v/>
      </c>
      <c r="D1146">
        <f>IFERROR(IF(B1146="","",_xlfn.XLOOKUP(B1146,STUDENTS!B1145:B101142,STUDENTS!D1145:D101142)),"update STUDENT sheet")</f>
        <v/>
      </c>
      <c r="E1146">
        <f>IFERROR(IF(C1146="","",_xlfn.XLOOKUP(C1146,STUDENTS!C1145:C101142,STUDENTS!F1145:F101142)),"update STUDENT sheet")</f>
        <v/>
      </c>
      <c r="F1146">
        <f>IFERROR(IF(D1146="","",_xlfn.XLOOKUP(D1146,STUDENTS!D1145:D101142,STUDENTS!G1145:G101142)),"update STUDENT sheet")</f>
        <v/>
      </c>
      <c r="G1146">
        <f>IFERROR(IF(E1146="","",_xlfn.XLOOKUP(E1146,STUDENTS!F1145:F101142,STUDENTS!H1145:H101142)),"update STUDENT sheet")</f>
        <v/>
      </c>
    </row>
    <row r="1147">
      <c r="B1147">
        <f>IF(STUDENTS!B1146="","",STUDENTS!B1146)</f>
        <v/>
      </c>
      <c r="C1147">
        <f>IFERROR(IF(B1147="","",_xlfn.XLOOKUP(B1147,STUDENTS!$B$3:$B$1048576,STUDENTS!$C$3:$C$1048576)),"Enter a registered reg. no")</f>
        <v/>
      </c>
      <c r="D1147">
        <f>IFERROR(IF(B1147="","",_xlfn.XLOOKUP(B1147,STUDENTS!B1146:B101143,STUDENTS!D1146:D101143)),"update STUDENT sheet")</f>
        <v/>
      </c>
      <c r="E1147">
        <f>IFERROR(IF(C1147="","",_xlfn.XLOOKUP(C1147,STUDENTS!C1146:C101143,STUDENTS!F1146:F101143)),"update STUDENT sheet")</f>
        <v/>
      </c>
      <c r="F1147">
        <f>IFERROR(IF(D1147="","",_xlfn.XLOOKUP(D1147,STUDENTS!D1146:D101143,STUDENTS!G1146:G101143)),"update STUDENT sheet")</f>
        <v/>
      </c>
      <c r="G1147">
        <f>IFERROR(IF(E1147="","",_xlfn.XLOOKUP(E1147,STUDENTS!F1146:F101143,STUDENTS!H1146:H101143)),"update STUDENT sheet")</f>
        <v/>
      </c>
    </row>
    <row r="1148">
      <c r="B1148">
        <f>IF(STUDENTS!B1147="","",STUDENTS!B1147)</f>
        <v/>
      </c>
      <c r="C1148">
        <f>IFERROR(IF(B1148="","",_xlfn.XLOOKUP(B1148,STUDENTS!$B$3:$B$1048576,STUDENTS!$C$3:$C$1048576)),"Enter a registered reg. no")</f>
        <v/>
      </c>
      <c r="D1148">
        <f>IFERROR(IF(B1148="","",_xlfn.XLOOKUP(B1148,STUDENTS!B1147:B101144,STUDENTS!D1147:D101144)),"update STUDENT sheet")</f>
        <v/>
      </c>
      <c r="E1148">
        <f>IFERROR(IF(C1148="","",_xlfn.XLOOKUP(C1148,STUDENTS!C1147:C101144,STUDENTS!F1147:F101144)),"update STUDENT sheet")</f>
        <v/>
      </c>
      <c r="F1148">
        <f>IFERROR(IF(D1148="","",_xlfn.XLOOKUP(D1148,STUDENTS!D1147:D101144,STUDENTS!G1147:G101144)),"update STUDENT sheet")</f>
        <v/>
      </c>
      <c r="G1148">
        <f>IFERROR(IF(E1148="","",_xlfn.XLOOKUP(E1148,STUDENTS!F1147:F101144,STUDENTS!H1147:H101144)),"update STUDENT sheet")</f>
        <v/>
      </c>
    </row>
    <row r="1149">
      <c r="B1149">
        <f>IF(STUDENTS!B1148="","",STUDENTS!B1148)</f>
        <v/>
      </c>
      <c r="C1149">
        <f>IFERROR(IF(B1149="","",_xlfn.XLOOKUP(B1149,STUDENTS!$B$3:$B$1048576,STUDENTS!$C$3:$C$1048576)),"Enter a registered reg. no")</f>
        <v/>
      </c>
      <c r="D1149">
        <f>IFERROR(IF(B1149="","",_xlfn.XLOOKUP(B1149,STUDENTS!B1148:B101145,STUDENTS!D1148:D101145)),"update STUDENT sheet")</f>
        <v/>
      </c>
      <c r="E1149">
        <f>IFERROR(IF(C1149="","",_xlfn.XLOOKUP(C1149,STUDENTS!C1148:C101145,STUDENTS!F1148:F101145)),"update STUDENT sheet")</f>
        <v/>
      </c>
      <c r="F1149">
        <f>IFERROR(IF(D1149="","",_xlfn.XLOOKUP(D1149,STUDENTS!D1148:D101145,STUDENTS!G1148:G101145)),"update STUDENT sheet")</f>
        <v/>
      </c>
      <c r="G1149">
        <f>IFERROR(IF(E1149="","",_xlfn.XLOOKUP(E1149,STUDENTS!F1148:F101145,STUDENTS!H1148:H101145)),"update STUDENT sheet")</f>
        <v/>
      </c>
    </row>
    <row r="1150">
      <c r="B1150">
        <f>IF(STUDENTS!B1149="","",STUDENTS!B1149)</f>
        <v/>
      </c>
      <c r="C1150">
        <f>IFERROR(IF(B1150="","",_xlfn.XLOOKUP(B1150,STUDENTS!$B$3:$B$1048576,STUDENTS!$C$3:$C$1048576)),"Enter a registered reg. no")</f>
        <v/>
      </c>
      <c r="D1150">
        <f>IFERROR(IF(B1150="","",_xlfn.XLOOKUP(B1150,STUDENTS!B1149:B101146,STUDENTS!D1149:D101146)),"update STUDENT sheet")</f>
        <v/>
      </c>
      <c r="E1150">
        <f>IFERROR(IF(C1150="","",_xlfn.XLOOKUP(C1150,STUDENTS!C1149:C101146,STUDENTS!F1149:F101146)),"update STUDENT sheet")</f>
        <v/>
      </c>
      <c r="F1150">
        <f>IFERROR(IF(D1150="","",_xlfn.XLOOKUP(D1150,STUDENTS!D1149:D101146,STUDENTS!G1149:G101146)),"update STUDENT sheet")</f>
        <v/>
      </c>
      <c r="G1150">
        <f>IFERROR(IF(E1150="","",_xlfn.XLOOKUP(E1150,STUDENTS!F1149:F101146,STUDENTS!H1149:H101146)),"update STUDENT sheet")</f>
        <v/>
      </c>
    </row>
    <row r="1151">
      <c r="B1151">
        <f>IF(STUDENTS!B1150="","",STUDENTS!B1150)</f>
        <v/>
      </c>
      <c r="C1151">
        <f>IFERROR(IF(B1151="","",_xlfn.XLOOKUP(B1151,STUDENTS!$B$3:$B$1048576,STUDENTS!$C$3:$C$1048576)),"Enter a registered reg. no")</f>
        <v/>
      </c>
      <c r="D1151">
        <f>IFERROR(IF(B1151="","",_xlfn.XLOOKUP(B1151,STUDENTS!B1150:B101147,STUDENTS!D1150:D101147)),"update STUDENT sheet")</f>
        <v/>
      </c>
      <c r="E1151">
        <f>IFERROR(IF(C1151="","",_xlfn.XLOOKUP(C1151,STUDENTS!C1150:C101147,STUDENTS!F1150:F101147)),"update STUDENT sheet")</f>
        <v/>
      </c>
      <c r="F1151">
        <f>IFERROR(IF(D1151="","",_xlfn.XLOOKUP(D1151,STUDENTS!D1150:D101147,STUDENTS!G1150:G101147)),"update STUDENT sheet")</f>
        <v/>
      </c>
      <c r="G1151">
        <f>IFERROR(IF(E1151="","",_xlfn.XLOOKUP(E1151,STUDENTS!F1150:F101147,STUDENTS!H1150:H101147)),"update STUDENT sheet")</f>
        <v/>
      </c>
    </row>
    <row r="1152">
      <c r="B1152">
        <f>IF(STUDENTS!B1151="","",STUDENTS!B1151)</f>
        <v/>
      </c>
      <c r="C1152">
        <f>IFERROR(IF(B1152="","",_xlfn.XLOOKUP(B1152,STUDENTS!$B$3:$B$1048576,STUDENTS!$C$3:$C$1048576)),"Enter a registered reg. no")</f>
        <v/>
      </c>
      <c r="D1152">
        <f>IFERROR(IF(B1152="","",_xlfn.XLOOKUP(B1152,STUDENTS!B1151:B101148,STUDENTS!D1151:D101148)),"update STUDENT sheet")</f>
        <v/>
      </c>
      <c r="E1152">
        <f>IFERROR(IF(C1152="","",_xlfn.XLOOKUP(C1152,STUDENTS!C1151:C101148,STUDENTS!F1151:F101148)),"update STUDENT sheet")</f>
        <v/>
      </c>
      <c r="F1152">
        <f>IFERROR(IF(D1152="","",_xlfn.XLOOKUP(D1152,STUDENTS!D1151:D101148,STUDENTS!G1151:G101148)),"update STUDENT sheet")</f>
        <v/>
      </c>
      <c r="G1152">
        <f>IFERROR(IF(E1152="","",_xlfn.XLOOKUP(E1152,STUDENTS!F1151:F101148,STUDENTS!H1151:H101148)),"update STUDENT sheet")</f>
        <v/>
      </c>
    </row>
    <row r="1153">
      <c r="B1153">
        <f>IF(STUDENTS!B1152="","",STUDENTS!B1152)</f>
        <v/>
      </c>
      <c r="C1153">
        <f>IFERROR(IF(B1153="","",_xlfn.XLOOKUP(B1153,STUDENTS!$B$3:$B$1048576,STUDENTS!$C$3:$C$1048576)),"Enter a registered reg. no")</f>
        <v/>
      </c>
      <c r="D1153">
        <f>IFERROR(IF(B1153="","",_xlfn.XLOOKUP(B1153,STUDENTS!B1152:B101149,STUDENTS!D1152:D101149)),"update STUDENT sheet")</f>
        <v/>
      </c>
      <c r="E1153">
        <f>IFERROR(IF(C1153="","",_xlfn.XLOOKUP(C1153,STUDENTS!C1152:C101149,STUDENTS!F1152:F101149)),"update STUDENT sheet")</f>
        <v/>
      </c>
      <c r="F1153">
        <f>IFERROR(IF(D1153="","",_xlfn.XLOOKUP(D1153,STUDENTS!D1152:D101149,STUDENTS!G1152:G101149)),"update STUDENT sheet")</f>
        <v/>
      </c>
      <c r="G1153">
        <f>IFERROR(IF(E1153="","",_xlfn.XLOOKUP(E1153,STUDENTS!F1152:F101149,STUDENTS!H1152:H101149)),"update STUDENT sheet")</f>
        <v/>
      </c>
    </row>
    <row r="1154">
      <c r="B1154">
        <f>IF(STUDENTS!B1153="","",STUDENTS!B1153)</f>
        <v/>
      </c>
      <c r="C1154">
        <f>IFERROR(IF(B1154="","",_xlfn.XLOOKUP(B1154,STUDENTS!$B$3:$B$1048576,STUDENTS!$C$3:$C$1048576)),"Enter a registered reg. no")</f>
        <v/>
      </c>
      <c r="D1154">
        <f>IFERROR(IF(B1154="","",_xlfn.XLOOKUP(B1154,STUDENTS!B1153:B101150,STUDENTS!D1153:D101150)),"update STUDENT sheet")</f>
        <v/>
      </c>
      <c r="E1154">
        <f>IFERROR(IF(C1154="","",_xlfn.XLOOKUP(C1154,STUDENTS!C1153:C101150,STUDENTS!F1153:F101150)),"update STUDENT sheet")</f>
        <v/>
      </c>
      <c r="F1154">
        <f>IFERROR(IF(D1154="","",_xlfn.XLOOKUP(D1154,STUDENTS!D1153:D101150,STUDENTS!G1153:G101150)),"update STUDENT sheet")</f>
        <v/>
      </c>
      <c r="G1154">
        <f>IFERROR(IF(E1154="","",_xlfn.XLOOKUP(E1154,STUDENTS!F1153:F101150,STUDENTS!H1153:H101150)),"update STUDENT sheet")</f>
        <v/>
      </c>
    </row>
    <row r="1155">
      <c r="B1155">
        <f>IF(STUDENTS!B1154="","",STUDENTS!B1154)</f>
        <v/>
      </c>
      <c r="C1155">
        <f>IFERROR(IF(B1155="","",_xlfn.XLOOKUP(B1155,STUDENTS!$B$3:$B$1048576,STUDENTS!$C$3:$C$1048576)),"Enter a registered reg. no")</f>
        <v/>
      </c>
      <c r="D1155">
        <f>IFERROR(IF(B1155="","",_xlfn.XLOOKUP(B1155,STUDENTS!B1154:B101151,STUDENTS!D1154:D101151)),"update STUDENT sheet")</f>
        <v/>
      </c>
      <c r="E1155">
        <f>IFERROR(IF(C1155="","",_xlfn.XLOOKUP(C1155,STUDENTS!C1154:C101151,STUDENTS!F1154:F101151)),"update STUDENT sheet")</f>
        <v/>
      </c>
      <c r="F1155">
        <f>IFERROR(IF(D1155="","",_xlfn.XLOOKUP(D1155,STUDENTS!D1154:D101151,STUDENTS!G1154:G101151)),"update STUDENT sheet")</f>
        <v/>
      </c>
      <c r="G1155">
        <f>IFERROR(IF(E1155="","",_xlfn.XLOOKUP(E1155,STUDENTS!F1154:F101151,STUDENTS!H1154:H101151)),"update STUDENT sheet")</f>
        <v/>
      </c>
    </row>
    <row r="1156">
      <c r="B1156">
        <f>IF(STUDENTS!B1155="","",STUDENTS!B1155)</f>
        <v/>
      </c>
      <c r="C1156">
        <f>IFERROR(IF(B1156="","",_xlfn.XLOOKUP(B1156,STUDENTS!$B$3:$B$1048576,STUDENTS!$C$3:$C$1048576)),"Enter a registered reg. no")</f>
        <v/>
      </c>
      <c r="D1156">
        <f>IFERROR(IF(B1156="","",_xlfn.XLOOKUP(B1156,STUDENTS!B1155:B101152,STUDENTS!D1155:D101152)),"update STUDENT sheet")</f>
        <v/>
      </c>
      <c r="E1156">
        <f>IFERROR(IF(C1156="","",_xlfn.XLOOKUP(C1156,STUDENTS!C1155:C101152,STUDENTS!F1155:F101152)),"update STUDENT sheet")</f>
        <v/>
      </c>
      <c r="F1156">
        <f>IFERROR(IF(D1156="","",_xlfn.XLOOKUP(D1156,STUDENTS!D1155:D101152,STUDENTS!G1155:G101152)),"update STUDENT sheet")</f>
        <v/>
      </c>
      <c r="G1156">
        <f>IFERROR(IF(E1156="","",_xlfn.XLOOKUP(E1156,STUDENTS!F1155:F101152,STUDENTS!H1155:H101152)),"update STUDENT sheet")</f>
        <v/>
      </c>
    </row>
    <row r="1157">
      <c r="B1157">
        <f>IF(STUDENTS!B1156="","",STUDENTS!B1156)</f>
        <v/>
      </c>
      <c r="C1157">
        <f>IFERROR(IF(B1157="","",_xlfn.XLOOKUP(B1157,STUDENTS!$B$3:$B$1048576,STUDENTS!$C$3:$C$1048576)),"Enter a registered reg. no")</f>
        <v/>
      </c>
      <c r="D1157">
        <f>IFERROR(IF(B1157="","",_xlfn.XLOOKUP(B1157,STUDENTS!B1156:B101153,STUDENTS!D1156:D101153)),"update STUDENT sheet")</f>
        <v/>
      </c>
      <c r="E1157">
        <f>IFERROR(IF(C1157="","",_xlfn.XLOOKUP(C1157,STUDENTS!C1156:C101153,STUDENTS!F1156:F101153)),"update STUDENT sheet")</f>
        <v/>
      </c>
      <c r="F1157">
        <f>IFERROR(IF(D1157="","",_xlfn.XLOOKUP(D1157,STUDENTS!D1156:D101153,STUDENTS!G1156:G101153)),"update STUDENT sheet")</f>
        <v/>
      </c>
      <c r="G1157">
        <f>IFERROR(IF(E1157="","",_xlfn.XLOOKUP(E1157,STUDENTS!F1156:F101153,STUDENTS!H1156:H101153)),"update STUDENT sheet")</f>
        <v/>
      </c>
    </row>
    <row r="1158">
      <c r="B1158">
        <f>IF(STUDENTS!B1157="","",STUDENTS!B1157)</f>
        <v/>
      </c>
      <c r="C1158">
        <f>IFERROR(IF(B1158="","",_xlfn.XLOOKUP(B1158,STUDENTS!$B$3:$B$1048576,STUDENTS!$C$3:$C$1048576)),"Enter a registered reg. no")</f>
        <v/>
      </c>
      <c r="D1158">
        <f>IFERROR(IF(B1158="","",_xlfn.XLOOKUP(B1158,STUDENTS!B1157:B101154,STUDENTS!D1157:D101154)),"update STUDENT sheet")</f>
        <v/>
      </c>
      <c r="E1158">
        <f>IFERROR(IF(C1158="","",_xlfn.XLOOKUP(C1158,STUDENTS!C1157:C101154,STUDENTS!F1157:F101154)),"update STUDENT sheet")</f>
        <v/>
      </c>
      <c r="F1158">
        <f>IFERROR(IF(D1158="","",_xlfn.XLOOKUP(D1158,STUDENTS!D1157:D101154,STUDENTS!G1157:G101154)),"update STUDENT sheet")</f>
        <v/>
      </c>
      <c r="G1158">
        <f>IFERROR(IF(E1158="","",_xlfn.XLOOKUP(E1158,STUDENTS!F1157:F101154,STUDENTS!H1157:H101154)),"update STUDENT sheet")</f>
        <v/>
      </c>
    </row>
    <row r="1159">
      <c r="B1159">
        <f>IF(STUDENTS!B1158="","",STUDENTS!B1158)</f>
        <v/>
      </c>
      <c r="C1159">
        <f>IFERROR(IF(B1159="","",_xlfn.XLOOKUP(B1159,STUDENTS!$B$3:$B$1048576,STUDENTS!$C$3:$C$1048576)),"Enter a registered reg. no")</f>
        <v/>
      </c>
      <c r="D1159">
        <f>IFERROR(IF(B1159="","",_xlfn.XLOOKUP(B1159,STUDENTS!B1158:B101155,STUDENTS!D1158:D101155)),"update STUDENT sheet")</f>
        <v/>
      </c>
      <c r="E1159">
        <f>IFERROR(IF(C1159="","",_xlfn.XLOOKUP(C1159,STUDENTS!C1158:C101155,STUDENTS!F1158:F101155)),"update STUDENT sheet")</f>
        <v/>
      </c>
      <c r="F1159">
        <f>IFERROR(IF(D1159="","",_xlfn.XLOOKUP(D1159,STUDENTS!D1158:D101155,STUDENTS!G1158:G101155)),"update STUDENT sheet")</f>
        <v/>
      </c>
      <c r="G1159">
        <f>IFERROR(IF(E1159="","",_xlfn.XLOOKUP(E1159,STUDENTS!F1158:F101155,STUDENTS!H1158:H101155)),"update STUDENT sheet")</f>
        <v/>
      </c>
    </row>
    <row r="1160">
      <c r="B1160">
        <f>IF(STUDENTS!B1159="","",STUDENTS!B1159)</f>
        <v/>
      </c>
      <c r="C1160">
        <f>IFERROR(IF(B1160="","",_xlfn.XLOOKUP(B1160,STUDENTS!$B$3:$B$1048576,STUDENTS!$C$3:$C$1048576)),"Enter a registered reg. no")</f>
        <v/>
      </c>
      <c r="D1160">
        <f>IFERROR(IF(B1160="","",_xlfn.XLOOKUP(B1160,STUDENTS!B1159:B101156,STUDENTS!D1159:D101156)),"update STUDENT sheet")</f>
        <v/>
      </c>
      <c r="E1160">
        <f>IFERROR(IF(C1160="","",_xlfn.XLOOKUP(C1160,STUDENTS!C1159:C101156,STUDENTS!F1159:F101156)),"update STUDENT sheet")</f>
        <v/>
      </c>
      <c r="F1160">
        <f>IFERROR(IF(D1160="","",_xlfn.XLOOKUP(D1160,STUDENTS!D1159:D101156,STUDENTS!G1159:G101156)),"update STUDENT sheet")</f>
        <v/>
      </c>
      <c r="G1160">
        <f>IFERROR(IF(E1160="","",_xlfn.XLOOKUP(E1160,STUDENTS!F1159:F101156,STUDENTS!H1159:H101156)),"update STUDENT sheet")</f>
        <v/>
      </c>
    </row>
    <row r="1161">
      <c r="B1161">
        <f>IF(STUDENTS!B1160="","",STUDENTS!B1160)</f>
        <v/>
      </c>
      <c r="C1161">
        <f>IFERROR(IF(B1161="","",_xlfn.XLOOKUP(B1161,STUDENTS!$B$3:$B$1048576,STUDENTS!$C$3:$C$1048576)),"Enter a registered reg. no")</f>
        <v/>
      </c>
      <c r="D1161">
        <f>IFERROR(IF(B1161="","",_xlfn.XLOOKUP(B1161,STUDENTS!B1160:B101157,STUDENTS!D1160:D101157)),"update STUDENT sheet")</f>
        <v/>
      </c>
      <c r="E1161">
        <f>IFERROR(IF(C1161="","",_xlfn.XLOOKUP(C1161,STUDENTS!C1160:C101157,STUDENTS!F1160:F101157)),"update STUDENT sheet")</f>
        <v/>
      </c>
      <c r="F1161">
        <f>IFERROR(IF(D1161="","",_xlfn.XLOOKUP(D1161,STUDENTS!D1160:D101157,STUDENTS!G1160:G101157)),"update STUDENT sheet")</f>
        <v/>
      </c>
      <c r="G1161">
        <f>IFERROR(IF(E1161="","",_xlfn.XLOOKUP(E1161,STUDENTS!F1160:F101157,STUDENTS!H1160:H101157)),"update STUDENT sheet")</f>
        <v/>
      </c>
    </row>
    <row r="1162">
      <c r="B1162">
        <f>IF(STUDENTS!B1161="","",STUDENTS!B1161)</f>
        <v/>
      </c>
      <c r="C1162">
        <f>IFERROR(IF(B1162="","",_xlfn.XLOOKUP(B1162,STUDENTS!$B$3:$B$1048576,STUDENTS!$C$3:$C$1048576)),"Enter a registered reg. no")</f>
        <v/>
      </c>
      <c r="D1162">
        <f>IFERROR(IF(B1162="","",_xlfn.XLOOKUP(B1162,STUDENTS!B1161:B101158,STUDENTS!D1161:D101158)),"update STUDENT sheet")</f>
        <v/>
      </c>
      <c r="E1162">
        <f>IFERROR(IF(C1162="","",_xlfn.XLOOKUP(C1162,STUDENTS!C1161:C101158,STUDENTS!F1161:F101158)),"update STUDENT sheet")</f>
        <v/>
      </c>
      <c r="F1162">
        <f>IFERROR(IF(D1162="","",_xlfn.XLOOKUP(D1162,STUDENTS!D1161:D101158,STUDENTS!G1161:G101158)),"update STUDENT sheet")</f>
        <v/>
      </c>
      <c r="G1162">
        <f>IFERROR(IF(E1162="","",_xlfn.XLOOKUP(E1162,STUDENTS!F1161:F101158,STUDENTS!H1161:H101158)),"update STUDENT sheet")</f>
        <v/>
      </c>
    </row>
    <row r="1163">
      <c r="B1163">
        <f>IF(STUDENTS!B1162="","",STUDENTS!B1162)</f>
        <v/>
      </c>
      <c r="C1163">
        <f>IFERROR(IF(B1163="","",_xlfn.XLOOKUP(B1163,STUDENTS!$B$3:$B$1048576,STUDENTS!$C$3:$C$1048576)),"Enter a registered reg. no")</f>
        <v/>
      </c>
      <c r="D1163">
        <f>IFERROR(IF(B1163="","",_xlfn.XLOOKUP(B1163,STUDENTS!B1162:B101159,STUDENTS!D1162:D101159)),"update STUDENT sheet")</f>
        <v/>
      </c>
      <c r="E1163">
        <f>IFERROR(IF(C1163="","",_xlfn.XLOOKUP(C1163,STUDENTS!C1162:C101159,STUDENTS!F1162:F101159)),"update STUDENT sheet")</f>
        <v/>
      </c>
      <c r="F1163">
        <f>IFERROR(IF(D1163="","",_xlfn.XLOOKUP(D1163,STUDENTS!D1162:D101159,STUDENTS!G1162:G101159)),"update STUDENT sheet")</f>
        <v/>
      </c>
      <c r="G1163">
        <f>IFERROR(IF(E1163="","",_xlfn.XLOOKUP(E1163,STUDENTS!F1162:F101159,STUDENTS!H1162:H101159)),"update STUDENT sheet")</f>
        <v/>
      </c>
    </row>
    <row r="1164">
      <c r="B1164">
        <f>IF(STUDENTS!B1163="","",STUDENTS!B1163)</f>
        <v/>
      </c>
      <c r="C1164">
        <f>IFERROR(IF(B1164="","",_xlfn.XLOOKUP(B1164,STUDENTS!$B$3:$B$1048576,STUDENTS!$C$3:$C$1048576)),"Enter a registered reg. no")</f>
        <v/>
      </c>
      <c r="D1164">
        <f>IFERROR(IF(B1164="","",_xlfn.XLOOKUP(B1164,STUDENTS!B1163:B101160,STUDENTS!D1163:D101160)),"update STUDENT sheet")</f>
        <v/>
      </c>
      <c r="E1164">
        <f>IFERROR(IF(C1164="","",_xlfn.XLOOKUP(C1164,STUDENTS!C1163:C101160,STUDENTS!F1163:F101160)),"update STUDENT sheet")</f>
        <v/>
      </c>
      <c r="F1164">
        <f>IFERROR(IF(D1164="","",_xlfn.XLOOKUP(D1164,STUDENTS!D1163:D101160,STUDENTS!G1163:G101160)),"update STUDENT sheet")</f>
        <v/>
      </c>
      <c r="G1164">
        <f>IFERROR(IF(E1164="","",_xlfn.XLOOKUP(E1164,STUDENTS!F1163:F101160,STUDENTS!H1163:H101160)),"update STUDENT sheet")</f>
        <v/>
      </c>
    </row>
    <row r="1165">
      <c r="B1165">
        <f>IF(STUDENTS!B1164="","",STUDENTS!B1164)</f>
        <v/>
      </c>
      <c r="C1165">
        <f>IFERROR(IF(B1165="","",_xlfn.XLOOKUP(B1165,STUDENTS!$B$3:$B$1048576,STUDENTS!$C$3:$C$1048576)),"Enter a registered reg. no")</f>
        <v/>
      </c>
      <c r="D1165">
        <f>IFERROR(IF(B1165="","",_xlfn.XLOOKUP(B1165,STUDENTS!B1164:B101161,STUDENTS!D1164:D101161)),"update STUDENT sheet")</f>
        <v/>
      </c>
      <c r="E1165">
        <f>IFERROR(IF(C1165="","",_xlfn.XLOOKUP(C1165,STUDENTS!C1164:C101161,STUDENTS!F1164:F101161)),"update STUDENT sheet")</f>
        <v/>
      </c>
      <c r="F1165">
        <f>IFERROR(IF(D1165="","",_xlfn.XLOOKUP(D1165,STUDENTS!D1164:D101161,STUDENTS!G1164:G101161)),"update STUDENT sheet")</f>
        <v/>
      </c>
      <c r="G1165">
        <f>IFERROR(IF(E1165="","",_xlfn.XLOOKUP(E1165,STUDENTS!F1164:F101161,STUDENTS!H1164:H101161)),"update STUDENT sheet")</f>
        <v/>
      </c>
    </row>
    <row r="1166">
      <c r="B1166">
        <f>IF(STUDENTS!B1165="","",STUDENTS!B1165)</f>
        <v/>
      </c>
      <c r="C1166">
        <f>IFERROR(IF(B1166="","",_xlfn.XLOOKUP(B1166,STUDENTS!$B$3:$B$1048576,STUDENTS!$C$3:$C$1048576)),"Enter a registered reg. no")</f>
        <v/>
      </c>
      <c r="D1166">
        <f>IFERROR(IF(B1166="","",_xlfn.XLOOKUP(B1166,STUDENTS!B1165:B101162,STUDENTS!D1165:D101162)),"update STUDENT sheet")</f>
        <v/>
      </c>
      <c r="E1166">
        <f>IFERROR(IF(C1166="","",_xlfn.XLOOKUP(C1166,STUDENTS!C1165:C101162,STUDENTS!F1165:F101162)),"update STUDENT sheet")</f>
        <v/>
      </c>
      <c r="F1166">
        <f>IFERROR(IF(D1166="","",_xlfn.XLOOKUP(D1166,STUDENTS!D1165:D101162,STUDENTS!G1165:G101162)),"update STUDENT sheet")</f>
        <v/>
      </c>
      <c r="G1166">
        <f>IFERROR(IF(E1166="","",_xlfn.XLOOKUP(E1166,STUDENTS!F1165:F101162,STUDENTS!H1165:H101162)),"update STUDENT sheet")</f>
        <v/>
      </c>
    </row>
    <row r="1167">
      <c r="B1167">
        <f>IF(STUDENTS!B1166="","",STUDENTS!B1166)</f>
        <v/>
      </c>
      <c r="C1167">
        <f>IFERROR(IF(B1167="","",_xlfn.XLOOKUP(B1167,STUDENTS!$B$3:$B$1048576,STUDENTS!$C$3:$C$1048576)),"Enter a registered reg. no")</f>
        <v/>
      </c>
      <c r="D1167">
        <f>IFERROR(IF(B1167="","",_xlfn.XLOOKUP(B1167,STUDENTS!B1166:B101163,STUDENTS!D1166:D101163)),"update STUDENT sheet")</f>
        <v/>
      </c>
      <c r="E1167">
        <f>IFERROR(IF(C1167="","",_xlfn.XLOOKUP(C1167,STUDENTS!C1166:C101163,STUDENTS!F1166:F101163)),"update STUDENT sheet")</f>
        <v/>
      </c>
      <c r="F1167">
        <f>IFERROR(IF(D1167="","",_xlfn.XLOOKUP(D1167,STUDENTS!D1166:D101163,STUDENTS!G1166:G101163)),"update STUDENT sheet")</f>
        <v/>
      </c>
      <c r="G1167">
        <f>IFERROR(IF(E1167="","",_xlfn.XLOOKUP(E1167,STUDENTS!F1166:F101163,STUDENTS!H1166:H101163)),"update STUDENT sheet")</f>
        <v/>
      </c>
    </row>
    <row r="1168">
      <c r="B1168">
        <f>IF(STUDENTS!B1167="","",STUDENTS!B1167)</f>
        <v/>
      </c>
      <c r="C1168">
        <f>IFERROR(IF(B1168="","",_xlfn.XLOOKUP(B1168,STUDENTS!$B$3:$B$1048576,STUDENTS!$C$3:$C$1048576)),"Enter a registered reg. no")</f>
        <v/>
      </c>
      <c r="D1168">
        <f>IFERROR(IF(B1168="","",_xlfn.XLOOKUP(B1168,STUDENTS!B1167:B101164,STUDENTS!D1167:D101164)),"update STUDENT sheet")</f>
        <v/>
      </c>
      <c r="E1168">
        <f>IFERROR(IF(C1168="","",_xlfn.XLOOKUP(C1168,STUDENTS!C1167:C101164,STUDENTS!F1167:F101164)),"update STUDENT sheet")</f>
        <v/>
      </c>
      <c r="F1168">
        <f>IFERROR(IF(D1168="","",_xlfn.XLOOKUP(D1168,STUDENTS!D1167:D101164,STUDENTS!G1167:G101164)),"update STUDENT sheet")</f>
        <v/>
      </c>
      <c r="G1168">
        <f>IFERROR(IF(E1168="","",_xlfn.XLOOKUP(E1168,STUDENTS!F1167:F101164,STUDENTS!H1167:H101164)),"update STUDENT sheet")</f>
        <v/>
      </c>
    </row>
    <row r="1169">
      <c r="B1169">
        <f>IF(STUDENTS!B1168="","",STUDENTS!B1168)</f>
        <v/>
      </c>
      <c r="C1169">
        <f>IFERROR(IF(B1169="","",_xlfn.XLOOKUP(B1169,STUDENTS!$B$3:$B$1048576,STUDENTS!$C$3:$C$1048576)),"Enter a registered reg. no")</f>
        <v/>
      </c>
      <c r="D1169">
        <f>IFERROR(IF(B1169="","",_xlfn.XLOOKUP(B1169,STUDENTS!B1168:B101165,STUDENTS!D1168:D101165)),"update STUDENT sheet")</f>
        <v/>
      </c>
      <c r="E1169">
        <f>IFERROR(IF(C1169="","",_xlfn.XLOOKUP(C1169,STUDENTS!C1168:C101165,STUDENTS!F1168:F101165)),"update STUDENT sheet")</f>
        <v/>
      </c>
      <c r="F1169">
        <f>IFERROR(IF(D1169="","",_xlfn.XLOOKUP(D1169,STUDENTS!D1168:D101165,STUDENTS!G1168:G101165)),"update STUDENT sheet")</f>
        <v/>
      </c>
      <c r="G1169">
        <f>IFERROR(IF(E1169="","",_xlfn.XLOOKUP(E1169,STUDENTS!F1168:F101165,STUDENTS!H1168:H101165)),"update STUDENT sheet")</f>
        <v/>
      </c>
    </row>
    <row r="1170">
      <c r="B1170">
        <f>IF(STUDENTS!B1169="","",STUDENTS!B1169)</f>
        <v/>
      </c>
      <c r="C1170">
        <f>IFERROR(IF(B1170="","",_xlfn.XLOOKUP(B1170,STUDENTS!$B$3:$B$1048576,STUDENTS!$C$3:$C$1048576)),"Enter a registered reg. no")</f>
        <v/>
      </c>
      <c r="D1170">
        <f>IFERROR(IF(B1170="","",_xlfn.XLOOKUP(B1170,STUDENTS!B1169:B101166,STUDENTS!D1169:D101166)),"update STUDENT sheet")</f>
        <v/>
      </c>
      <c r="E1170">
        <f>IFERROR(IF(C1170="","",_xlfn.XLOOKUP(C1170,STUDENTS!C1169:C101166,STUDENTS!F1169:F101166)),"update STUDENT sheet")</f>
        <v/>
      </c>
      <c r="F1170">
        <f>IFERROR(IF(D1170="","",_xlfn.XLOOKUP(D1170,STUDENTS!D1169:D101166,STUDENTS!G1169:G101166)),"update STUDENT sheet")</f>
        <v/>
      </c>
      <c r="G1170">
        <f>IFERROR(IF(E1170="","",_xlfn.XLOOKUP(E1170,STUDENTS!F1169:F101166,STUDENTS!H1169:H101166)),"update STUDENT sheet")</f>
        <v/>
      </c>
    </row>
    <row r="1171">
      <c r="B1171">
        <f>IF(STUDENTS!B1170="","",STUDENTS!B1170)</f>
        <v/>
      </c>
      <c r="C1171">
        <f>IFERROR(IF(B1171="","",_xlfn.XLOOKUP(B1171,STUDENTS!$B$3:$B$1048576,STUDENTS!$C$3:$C$1048576)),"Enter a registered reg. no")</f>
        <v/>
      </c>
      <c r="D1171">
        <f>IFERROR(IF(B1171="","",_xlfn.XLOOKUP(B1171,STUDENTS!B1170:B101167,STUDENTS!D1170:D101167)),"update STUDENT sheet")</f>
        <v/>
      </c>
      <c r="E1171">
        <f>IFERROR(IF(C1171="","",_xlfn.XLOOKUP(C1171,STUDENTS!C1170:C101167,STUDENTS!F1170:F101167)),"update STUDENT sheet")</f>
        <v/>
      </c>
      <c r="F1171">
        <f>IFERROR(IF(D1171="","",_xlfn.XLOOKUP(D1171,STUDENTS!D1170:D101167,STUDENTS!G1170:G101167)),"update STUDENT sheet")</f>
        <v/>
      </c>
      <c r="G1171">
        <f>IFERROR(IF(E1171="","",_xlfn.XLOOKUP(E1171,STUDENTS!F1170:F101167,STUDENTS!H1170:H101167)),"update STUDENT sheet")</f>
        <v/>
      </c>
    </row>
    <row r="1172">
      <c r="B1172">
        <f>IF(STUDENTS!B1171="","",STUDENTS!B1171)</f>
        <v/>
      </c>
      <c r="C1172">
        <f>IFERROR(IF(B1172="","",_xlfn.XLOOKUP(B1172,STUDENTS!$B$3:$B$1048576,STUDENTS!$C$3:$C$1048576)),"Enter a registered reg. no")</f>
        <v/>
      </c>
      <c r="D1172">
        <f>IFERROR(IF(B1172="","",_xlfn.XLOOKUP(B1172,STUDENTS!B1171:B101168,STUDENTS!D1171:D101168)),"update STUDENT sheet")</f>
        <v/>
      </c>
      <c r="E1172">
        <f>IFERROR(IF(C1172="","",_xlfn.XLOOKUP(C1172,STUDENTS!C1171:C101168,STUDENTS!F1171:F101168)),"update STUDENT sheet")</f>
        <v/>
      </c>
      <c r="F1172">
        <f>IFERROR(IF(D1172="","",_xlfn.XLOOKUP(D1172,STUDENTS!D1171:D101168,STUDENTS!G1171:G101168)),"update STUDENT sheet")</f>
        <v/>
      </c>
      <c r="G1172">
        <f>IFERROR(IF(E1172="","",_xlfn.XLOOKUP(E1172,STUDENTS!F1171:F101168,STUDENTS!H1171:H101168)),"update STUDENT sheet")</f>
        <v/>
      </c>
    </row>
    <row r="1173">
      <c r="B1173">
        <f>IF(STUDENTS!B1172="","",STUDENTS!B1172)</f>
        <v/>
      </c>
      <c r="C1173">
        <f>IFERROR(IF(B1173="","",_xlfn.XLOOKUP(B1173,STUDENTS!$B$3:$B$1048576,STUDENTS!$C$3:$C$1048576)),"Enter a registered reg. no")</f>
        <v/>
      </c>
      <c r="D1173">
        <f>IFERROR(IF(B1173="","",_xlfn.XLOOKUP(B1173,STUDENTS!B1172:B101169,STUDENTS!D1172:D101169)),"update STUDENT sheet")</f>
        <v/>
      </c>
      <c r="E1173">
        <f>IFERROR(IF(C1173="","",_xlfn.XLOOKUP(C1173,STUDENTS!C1172:C101169,STUDENTS!F1172:F101169)),"update STUDENT sheet")</f>
        <v/>
      </c>
      <c r="F1173">
        <f>IFERROR(IF(D1173="","",_xlfn.XLOOKUP(D1173,STUDENTS!D1172:D101169,STUDENTS!G1172:G101169)),"update STUDENT sheet")</f>
        <v/>
      </c>
      <c r="G1173">
        <f>IFERROR(IF(E1173="","",_xlfn.XLOOKUP(E1173,STUDENTS!F1172:F101169,STUDENTS!H1172:H101169)),"update STUDENT sheet")</f>
        <v/>
      </c>
    </row>
    <row r="1174">
      <c r="B1174">
        <f>IF(STUDENTS!B1173="","",STUDENTS!B1173)</f>
        <v/>
      </c>
      <c r="C1174">
        <f>IFERROR(IF(B1174="","",_xlfn.XLOOKUP(B1174,STUDENTS!$B$3:$B$1048576,STUDENTS!$C$3:$C$1048576)),"Enter a registered reg. no")</f>
        <v/>
      </c>
      <c r="D1174">
        <f>IFERROR(IF(B1174="","",_xlfn.XLOOKUP(B1174,STUDENTS!B1173:B101170,STUDENTS!D1173:D101170)),"update STUDENT sheet")</f>
        <v/>
      </c>
      <c r="E1174">
        <f>IFERROR(IF(C1174="","",_xlfn.XLOOKUP(C1174,STUDENTS!C1173:C101170,STUDENTS!F1173:F101170)),"update STUDENT sheet")</f>
        <v/>
      </c>
      <c r="F1174">
        <f>IFERROR(IF(D1174="","",_xlfn.XLOOKUP(D1174,STUDENTS!D1173:D101170,STUDENTS!G1173:G101170)),"update STUDENT sheet")</f>
        <v/>
      </c>
      <c r="G1174">
        <f>IFERROR(IF(E1174="","",_xlfn.XLOOKUP(E1174,STUDENTS!F1173:F101170,STUDENTS!H1173:H101170)),"update STUDENT sheet")</f>
        <v/>
      </c>
    </row>
    <row r="1175">
      <c r="B1175">
        <f>IF(STUDENTS!B1174="","",STUDENTS!B1174)</f>
        <v/>
      </c>
      <c r="C1175">
        <f>IFERROR(IF(B1175="","",_xlfn.XLOOKUP(B1175,STUDENTS!$B$3:$B$1048576,STUDENTS!$C$3:$C$1048576)),"Enter a registered reg. no")</f>
        <v/>
      </c>
      <c r="D1175">
        <f>IFERROR(IF(B1175="","",_xlfn.XLOOKUP(B1175,STUDENTS!B1174:B101171,STUDENTS!D1174:D101171)),"update STUDENT sheet")</f>
        <v/>
      </c>
      <c r="E1175">
        <f>IFERROR(IF(C1175="","",_xlfn.XLOOKUP(C1175,STUDENTS!C1174:C101171,STUDENTS!F1174:F101171)),"update STUDENT sheet")</f>
        <v/>
      </c>
      <c r="F1175">
        <f>IFERROR(IF(D1175="","",_xlfn.XLOOKUP(D1175,STUDENTS!D1174:D101171,STUDENTS!G1174:G101171)),"update STUDENT sheet")</f>
        <v/>
      </c>
      <c r="G1175">
        <f>IFERROR(IF(E1175="","",_xlfn.XLOOKUP(E1175,STUDENTS!F1174:F101171,STUDENTS!H1174:H101171)),"update STUDENT sheet")</f>
        <v/>
      </c>
    </row>
    <row r="1176">
      <c r="B1176">
        <f>IF(STUDENTS!B1175="","",STUDENTS!B1175)</f>
        <v/>
      </c>
      <c r="C1176">
        <f>IFERROR(IF(B1176="","",_xlfn.XLOOKUP(B1176,STUDENTS!$B$3:$B$1048576,STUDENTS!$C$3:$C$1048576)),"Enter a registered reg. no")</f>
        <v/>
      </c>
      <c r="D1176">
        <f>IFERROR(IF(B1176="","",_xlfn.XLOOKUP(B1176,STUDENTS!B1175:B101172,STUDENTS!D1175:D101172)),"update STUDENT sheet")</f>
        <v/>
      </c>
      <c r="E1176">
        <f>IFERROR(IF(C1176="","",_xlfn.XLOOKUP(C1176,STUDENTS!C1175:C101172,STUDENTS!F1175:F101172)),"update STUDENT sheet")</f>
        <v/>
      </c>
      <c r="F1176">
        <f>IFERROR(IF(D1176="","",_xlfn.XLOOKUP(D1176,STUDENTS!D1175:D101172,STUDENTS!G1175:G101172)),"update STUDENT sheet")</f>
        <v/>
      </c>
      <c r="G1176">
        <f>IFERROR(IF(E1176="","",_xlfn.XLOOKUP(E1176,STUDENTS!F1175:F101172,STUDENTS!H1175:H101172)),"update STUDENT sheet")</f>
        <v/>
      </c>
    </row>
    <row r="1177">
      <c r="B1177">
        <f>IF(STUDENTS!B1176="","",STUDENTS!B1176)</f>
        <v/>
      </c>
      <c r="C1177">
        <f>IFERROR(IF(B1177="","",_xlfn.XLOOKUP(B1177,STUDENTS!$B$3:$B$1048576,STUDENTS!$C$3:$C$1048576)),"Enter a registered reg. no")</f>
        <v/>
      </c>
      <c r="D1177">
        <f>IFERROR(IF(B1177="","",_xlfn.XLOOKUP(B1177,STUDENTS!B1176:B101173,STUDENTS!D1176:D101173)),"update STUDENT sheet")</f>
        <v/>
      </c>
      <c r="E1177">
        <f>IFERROR(IF(C1177="","",_xlfn.XLOOKUP(C1177,STUDENTS!C1176:C101173,STUDENTS!F1176:F101173)),"update STUDENT sheet")</f>
        <v/>
      </c>
      <c r="F1177">
        <f>IFERROR(IF(D1177="","",_xlfn.XLOOKUP(D1177,STUDENTS!D1176:D101173,STUDENTS!G1176:G101173)),"update STUDENT sheet")</f>
        <v/>
      </c>
      <c r="G1177">
        <f>IFERROR(IF(E1177="","",_xlfn.XLOOKUP(E1177,STUDENTS!F1176:F101173,STUDENTS!H1176:H101173)),"update STUDENT sheet")</f>
        <v/>
      </c>
    </row>
    <row r="1178">
      <c r="B1178">
        <f>IF(STUDENTS!B1177="","",STUDENTS!B1177)</f>
        <v/>
      </c>
      <c r="C1178">
        <f>IFERROR(IF(B1178="","",_xlfn.XLOOKUP(B1178,STUDENTS!$B$3:$B$1048576,STUDENTS!$C$3:$C$1048576)),"Enter a registered reg. no")</f>
        <v/>
      </c>
      <c r="D1178">
        <f>IFERROR(IF(B1178="","",_xlfn.XLOOKUP(B1178,STUDENTS!B1177:B101174,STUDENTS!D1177:D101174)),"update STUDENT sheet")</f>
        <v/>
      </c>
      <c r="E1178">
        <f>IFERROR(IF(C1178="","",_xlfn.XLOOKUP(C1178,STUDENTS!C1177:C101174,STUDENTS!F1177:F101174)),"update STUDENT sheet")</f>
        <v/>
      </c>
      <c r="F1178">
        <f>IFERROR(IF(D1178="","",_xlfn.XLOOKUP(D1178,STUDENTS!D1177:D101174,STUDENTS!G1177:G101174)),"update STUDENT sheet")</f>
        <v/>
      </c>
      <c r="G1178">
        <f>IFERROR(IF(E1178="","",_xlfn.XLOOKUP(E1178,STUDENTS!F1177:F101174,STUDENTS!H1177:H101174)),"update STUDENT sheet")</f>
        <v/>
      </c>
    </row>
    <row r="1179">
      <c r="B1179">
        <f>IF(STUDENTS!B1178="","",STUDENTS!B1178)</f>
        <v/>
      </c>
      <c r="C1179">
        <f>IFERROR(IF(B1179="","",_xlfn.XLOOKUP(B1179,STUDENTS!$B$3:$B$1048576,STUDENTS!$C$3:$C$1048576)),"Enter a registered reg. no")</f>
        <v/>
      </c>
      <c r="D1179">
        <f>IFERROR(IF(B1179="","",_xlfn.XLOOKUP(B1179,STUDENTS!B1178:B101175,STUDENTS!D1178:D101175)),"update STUDENT sheet")</f>
        <v/>
      </c>
      <c r="E1179">
        <f>IFERROR(IF(C1179="","",_xlfn.XLOOKUP(C1179,STUDENTS!C1178:C101175,STUDENTS!F1178:F101175)),"update STUDENT sheet")</f>
        <v/>
      </c>
      <c r="F1179">
        <f>IFERROR(IF(D1179="","",_xlfn.XLOOKUP(D1179,STUDENTS!D1178:D101175,STUDENTS!G1178:G101175)),"update STUDENT sheet")</f>
        <v/>
      </c>
      <c r="G1179">
        <f>IFERROR(IF(E1179="","",_xlfn.XLOOKUP(E1179,STUDENTS!F1178:F101175,STUDENTS!H1178:H101175)),"update STUDENT sheet")</f>
        <v/>
      </c>
    </row>
    <row r="1180">
      <c r="B1180">
        <f>IF(STUDENTS!B1179="","",STUDENTS!B1179)</f>
        <v/>
      </c>
      <c r="C1180">
        <f>IFERROR(IF(B1180="","",_xlfn.XLOOKUP(B1180,STUDENTS!$B$3:$B$1048576,STUDENTS!$C$3:$C$1048576)),"Enter a registered reg. no")</f>
        <v/>
      </c>
      <c r="D1180">
        <f>IFERROR(IF(B1180="","",_xlfn.XLOOKUP(B1180,STUDENTS!B1179:B101176,STUDENTS!D1179:D101176)),"update STUDENT sheet")</f>
        <v/>
      </c>
      <c r="E1180">
        <f>IFERROR(IF(C1180="","",_xlfn.XLOOKUP(C1180,STUDENTS!C1179:C101176,STUDENTS!F1179:F101176)),"update STUDENT sheet")</f>
        <v/>
      </c>
      <c r="F1180">
        <f>IFERROR(IF(D1180="","",_xlfn.XLOOKUP(D1180,STUDENTS!D1179:D101176,STUDENTS!G1179:G101176)),"update STUDENT sheet")</f>
        <v/>
      </c>
      <c r="G1180">
        <f>IFERROR(IF(E1180="","",_xlfn.XLOOKUP(E1180,STUDENTS!F1179:F101176,STUDENTS!H1179:H101176)),"update STUDENT sheet")</f>
        <v/>
      </c>
    </row>
    <row r="1181">
      <c r="B1181">
        <f>IF(STUDENTS!B1180="","",STUDENTS!B1180)</f>
        <v/>
      </c>
      <c r="C1181">
        <f>IFERROR(IF(B1181="","",_xlfn.XLOOKUP(B1181,STUDENTS!$B$3:$B$1048576,STUDENTS!$C$3:$C$1048576)),"Enter a registered reg. no")</f>
        <v/>
      </c>
      <c r="D1181">
        <f>IFERROR(IF(B1181="","",_xlfn.XLOOKUP(B1181,STUDENTS!B1180:B101177,STUDENTS!D1180:D101177)),"update STUDENT sheet")</f>
        <v/>
      </c>
      <c r="E1181">
        <f>IFERROR(IF(C1181="","",_xlfn.XLOOKUP(C1181,STUDENTS!C1180:C101177,STUDENTS!F1180:F101177)),"update STUDENT sheet")</f>
        <v/>
      </c>
      <c r="F1181">
        <f>IFERROR(IF(D1181="","",_xlfn.XLOOKUP(D1181,STUDENTS!D1180:D101177,STUDENTS!G1180:G101177)),"update STUDENT sheet")</f>
        <v/>
      </c>
      <c r="G1181">
        <f>IFERROR(IF(E1181="","",_xlfn.XLOOKUP(E1181,STUDENTS!F1180:F101177,STUDENTS!H1180:H101177)),"update STUDENT sheet")</f>
        <v/>
      </c>
    </row>
    <row r="1182">
      <c r="B1182">
        <f>IF(STUDENTS!B1181="","",STUDENTS!B1181)</f>
        <v/>
      </c>
      <c r="C1182">
        <f>IFERROR(IF(B1182="","",_xlfn.XLOOKUP(B1182,STUDENTS!$B$3:$B$1048576,STUDENTS!$C$3:$C$1048576)),"Enter a registered reg. no")</f>
        <v/>
      </c>
      <c r="D1182">
        <f>IFERROR(IF(B1182="","",_xlfn.XLOOKUP(B1182,STUDENTS!B1181:B101178,STUDENTS!D1181:D101178)),"update STUDENT sheet")</f>
        <v/>
      </c>
      <c r="E1182">
        <f>IFERROR(IF(C1182="","",_xlfn.XLOOKUP(C1182,STUDENTS!C1181:C101178,STUDENTS!F1181:F101178)),"update STUDENT sheet")</f>
        <v/>
      </c>
      <c r="F1182">
        <f>IFERROR(IF(D1182="","",_xlfn.XLOOKUP(D1182,STUDENTS!D1181:D101178,STUDENTS!G1181:G101178)),"update STUDENT sheet")</f>
        <v/>
      </c>
      <c r="G1182">
        <f>IFERROR(IF(E1182="","",_xlfn.XLOOKUP(E1182,STUDENTS!F1181:F101178,STUDENTS!H1181:H101178)),"update STUDENT sheet")</f>
        <v/>
      </c>
    </row>
    <row r="1183">
      <c r="B1183">
        <f>IF(STUDENTS!B1182="","",STUDENTS!B1182)</f>
        <v/>
      </c>
      <c r="C1183">
        <f>IFERROR(IF(B1183="","",_xlfn.XLOOKUP(B1183,STUDENTS!$B$3:$B$1048576,STUDENTS!$C$3:$C$1048576)),"Enter a registered reg. no")</f>
        <v/>
      </c>
      <c r="D1183">
        <f>IFERROR(IF(B1183="","",_xlfn.XLOOKUP(B1183,STUDENTS!B1182:B101179,STUDENTS!D1182:D101179)),"update STUDENT sheet")</f>
        <v/>
      </c>
      <c r="E1183">
        <f>IFERROR(IF(C1183="","",_xlfn.XLOOKUP(C1183,STUDENTS!C1182:C101179,STUDENTS!F1182:F101179)),"update STUDENT sheet")</f>
        <v/>
      </c>
      <c r="F1183">
        <f>IFERROR(IF(D1183="","",_xlfn.XLOOKUP(D1183,STUDENTS!D1182:D101179,STUDENTS!G1182:G101179)),"update STUDENT sheet")</f>
        <v/>
      </c>
      <c r="G1183">
        <f>IFERROR(IF(E1183="","",_xlfn.XLOOKUP(E1183,STUDENTS!F1182:F101179,STUDENTS!H1182:H101179)),"update STUDENT sheet")</f>
        <v/>
      </c>
    </row>
    <row r="1184">
      <c r="B1184">
        <f>IF(STUDENTS!B1183="","",STUDENTS!B1183)</f>
        <v/>
      </c>
      <c r="C1184">
        <f>IFERROR(IF(B1184="","",_xlfn.XLOOKUP(B1184,STUDENTS!$B$3:$B$1048576,STUDENTS!$C$3:$C$1048576)),"Enter a registered reg. no")</f>
        <v/>
      </c>
      <c r="D1184">
        <f>IFERROR(IF(B1184="","",_xlfn.XLOOKUP(B1184,STUDENTS!B1183:B101180,STUDENTS!D1183:D101180)),"update STUDENT sheet")</f>
        <v/>
      </c>
      <c r="E1184">
        <f>IFERROR(IF(C1184="","",_xlfn.XLOOKUP(C1184,STUDENTS!C1183:C101180,STUDENTS!F1183:F101180)),"update STUDENT sheet")</f>
        <v/>
      </c>
      <c r="F1184">
        <f>IFERROR(IF(D1184="","",_xlfn.XLOOKUP(D1184,STUDENTS!D1183:D101180,STUDENTS!G1183:G101180)),"update STUDENT sheet")</f>
        <v/>
      </c>
      <c r="G1184">
        <f>IFERROR(IF(E1184="","",_xlfn.XLOOKUP(E1184,STUDENTS!F1183:F101180,STUDENTS!H1183:H101180)),"update STUDENT sheet")</f>
        <v/>
      </c>
    </row>
    <row r="1185">
      <c r="B1185">
        <f>IF(STUDENTS!B1184="","",STUDENTS!B1184)</f>
        <v/>
      </c>
      <c r="C1185">
        <f>IFERROR(IF(B1185="","",_xlfn.XLOOKUP(B1185,STUDENTS!$B$3:$B$1048576,STUDENTS!$C$3:$C$1048576)),"Enter a registered reg. no")</f>
        <v/>
      </c>
      <c r="D1185">
        <f>IFERROR(IF(B1185="","",_xlfn.XLOOKUP(B1185,STUDENTS!B1184:B101181,STUDENTS!D1184:D101181)),"update STUDENT sheet")</f>
        <v/>
      </c>
      <c r="E1185">
        <f>IFERROR(IF(C1185="","",_xlfn.XLOOKUP(C1185,STUDENTS!C1184:C101181,STUDENTS!F1184:F101181)),"update STUDENT sheet")</f>
        <v/>
      </c>
      <c r="F1185">
        <f>IFERROR(IF(D1185="","",_xlfn.XLOOKUP(D1185,STUDENTS!D1184:D101181,STUDENTS!G1184:G101181)),"update STUDENT sheet")</f>
        <v/>
      </c>
      <c r="G1185">
        <f>IFERROR(IF(E1185="","",_xlfn.XLOOKUP(E1185,STUDENTS!F1184:F101181,STUDENTS!H1184:H101181)),"update STUDENT sheet")</f>
        <v/>
      </c>
    </row>
    <row r="1186">
      <c r="B1186">
        <f>IF(STUDENTS!B1185="","",STUDENTS!B1185)</f>
        <v/>
      </c>
      <c r="C1186">
        <f>IFERROR(IF(B1186="","",_xlfn.XLOOKUP(B1186,STUDENTS!$B$3:$B$1048576,STUDENTS!$C$3:$C$1048576)),"Enter a registered reg. no")</f>
        <v/>
      </c>
      <c r="D1186">
        <f>IFERROR(IF(B1186="","",_xlfn.XLOOKUP(B1186,STUDENTS!B1185:B101182,STUDENTS!D1185:D101182)),"update STUDENT sheet")</f>
        <v/>
      </c>
      <c r="E1186">
        <f>IFERROR(IF(C1186="","",_xlfn.XLOOKUP(C1186,STUDENTS!C1185:C101182,STUDENTS!F1185:F101182)),"update STUDENT sheet")</f>
        <v/>
      </c>
      <c r="F1186">
        <f>IFERROR(IF(D1186="","",_xlfn.XLOOKUP(D1186,STUDENTS!D1185:D101182,STUDENTS!G1185:G101182)),"update STUDENT sheet")</f>
        <v/>
      </c>
      <c r="G1186">
        <f>IFERROR(IF(E1186="","",_xlfn.XLOOKUP(E1186,STUDENTS!F1185:F101182,STUDENTS!H1185:H101182)),"update STUDENT sheet")</f>
        <v/>
      </c>
    </row>
    <row r="1187">
      <c r="B1187">
        <f>IF(STUDENTS!B1186="","",STUDENTS!B1186)</f>
        <v/>
      </c>
      <c r="C1187">
        <f>IFERROR(IF(B1187="","",_xlfn.XLOOKUP(B1187,STUDENTS!$B$3:$B$1048576,STUDENTS!$C$3:$C$1048576)),"Enter a registered reg. no")</f>
        <v/>
      </c>
      <c r="D1187">
        <f>IFERROR(IF(B1187="","",_xlfn.XLOOKUP(B1187,STUDENTS!B1186:B101183,STUDENTS!D1186:D101183)),"update STUDENT sheet")</f>
        <v/>
      </c>
      <c r="E1187">
        <f>IFERROR(IF(C1187="","",_xlfn.XLOOKUP(C1187,STUDENTS!C1186:C101183,STUDENTS!F1186:F101183)),"update STUDENT sheet")</f>
        <v/>
      </c>
      <c r="F1187">
        <f>IFERROR(IF(D1187="","",_xlfn.XLOOKUP(D1187,STUDENTS!D1186:D101183,STUDENTS!G1186:G101183)),"update STUDENT sheet")</f>
        <v/>
      </c>
      <c r="G1187">
        <f>IFERROR(IF(E1187="","",_xlfn.XLOOKUP(E1187,STUDENTS!F1186:F101183,STUDENTS!H1186:H101183)),"update STUDENT sheet")</f>
        <v/>
      </c>
    </row>
    <row r="1188">
      <c r="B1188">
        <f>IF(STUDENTS!B1187="","",STUDENTS!B1187)</f>
        <v/>
      </c>
      <c r="C1188">
        <f>IFERROR(IF(B1188="","",_xlfn.XLOOKUP(B1188,STUDENTS!$B$3:$B$1048576,STUDENTS!$C$3:$C$1048576)),"Enter a registered reg. no")</f>
        <v/>
      </c>
      <c r="D1188">
        <f>IFERROR(IF(B1188="","",_xlfn.XLOOKUP(B1188,STUDENTS!B1187:B101184,STUDENTS!D1187:D101184)),"update STUDENT sheet")</f>
        <v/>
      </c>
      <c r="E1188">
        <f>IFERROR(IF(C1188="","",_xlfn.XLOOKUP(C1188,STUDENTS!C1187:C101184,STUDENTS!F1187:F101184)),"update STUDENT sheet")</f>
        <v/>
      </c>
      <c r="F1188">
        <f>IFERROR(IF(D1188="","",_xlfn.XLOOKUP(D1188,STUDENTS!D1187:D101184,STUDENTS!G1187:G101184)),"update STUDENT sheet")</f>
        <v/>
      </c>
      <c r="G1188">
        <f>IFERROR(IF(E1188="","",_xlfn.XLOOKUP(E1188,STUDENTS!F1187:F101184,STUDENTS!H1187:H101184)),"update STUDENT sheet")</f>
        <v/>
      </c>
    </row>
    <row r="1189">
      <c r="B1189">
        <f>IF(STUDENTS!B1188="","",STUDENTS!B1188)</f>
        <v/>
      </c>
      <c r="C1189">
        <f>IFERROR(IF(B1189="","",_xlfn.XLOOKUP(B1189,STUDENTS!$B$3:$B$1048576,STUDENTS!$C$3:$C$1048576)),"Enter a registered reg. no")</f>
        <v/>
      </c>
      <c r="D1189">
        <f>IFERROR(IF(B1189="","",_xlfn.XLOOKUP(B1189,STUDENTS!B1188:B101185,STUDENTS!D1188:D101185)),"update STUDENT sheet")</f>
        <v/>
      </c>
      <c r="E1189">
        <f>IFERROR(IF(C1189="","",_xlfn.XLOOKUP(C1189,STUDENTS!C1188:C101185,STUDENTS!F1188:F101185)),"update STUDENT sheet")</f>
        <v/>
      </c>
      <c r="F1189">
        <f>IFERROR(IF(D1189="","",_xlfn.XLOOKUP(D1189,STUDENTS!D1188:D101185,STUDENTS!G1188:G101185)),"update STUDENT sheet")</f>
        <v/>
      </c>
      <c r="G1189">
        <f>IFERROR(IF(E1189="","",_xlfn.XLOOKUP(E1189,STUDENTS!F1188:F101185,STUDENTS!H1188:H101185)),"update STUDENT sheet")</f>
        <v/>
      </c>
    </row>
    <row r="1190">
      <c r="B1190">
        <f>IF(STUDENTS!B1189="","",STUDENTS!B1189)</f>
        <v/>
      </c>
      <c r="C1190">
        <f>IFERROR(IF(B1190="","",_xlfn.XLOOKUP(B1190,STUDENTS!$B$3:$B$1048576,STUDENTS!$C$3:$C$1048576)),"Enter a registered reg. no")</f>
        <v/>
      </c>
      <c r="D1190">
        <f>IFERROR(IF(B1190="","",_xlfn.XLOOKUP(B1190,STUDENTS!B1189:B101186,STUDENTS!D1189:D101186)),"update STUDENT sheet")</f>
        <v/>
      </c>
      <c r="E1190">
        <f>IFERROR(IF(C1190="","",_xlfn.XLOOKUP(C1190,STUDENTS!C1189:C101186,STUDENTS!F1189:F101186)),"update STUDENT sheet")</f>
        <v/>
      </c>
      <c r="F1190">
        <f>IFERROR(IF(D1190="","",_xlfn.XLOOKUP(D1190,STUDENTS!D1189:D101186,STUDENTS!G1189:G101186)),"update STUDENT sheet")</f>
        <v/>
      </c>
      <c r="G1190">
        <f>IFERROR(IF(E1190="","",_xlfn.XLOOKUP(E1190,STUDENTS!F1189:F101186,STUDENTS!H1189:H101186)),"update STUDENT sheet")</f>
        <v/>
      </c>
    </row>
    <row r="1191">
      <c r="B1191">
        <f>IF(STUDENTS!B1190="","",STUDENTS!B1190)</f>
        <v/>
      </c>
      <c r="C1191">
        <f>IFERROR(IF(B1191="","",_xlfn.XLOOKUP(B1191,STUDENTS!$B$3:$B$1048576,STUDENTS!$C$3:$C$1048576)),"Enter a registered reg. no")</f>
        <v/>
      </c>
      <c r="D1191">
        <f>IFERROR(IF(B1191="","",_xlfn.XLOOKUP(B1191,STUDENTS!B1190:B101187,STUDENTS!D1190:D101187)),"update STUDENT sheet")</f>
        <v/>
      </c>
      <c r="E1191">
        <f>IFERROR(IF(C1191="","",_xlfn.XLOOKUP(C1191,STUDENTS!C1190:C101187,STUDENTS!F1190:F101187)),"update STUDENT sheet")</f>
        <v/>
      </c>
      <c r="F1191">
        <f>IFERROR(IF(D1191="","",_xlfn.XLOOKUP(D1191,STUDENTS!D1190:D101187,STUDENTS!G1190:G101187)),"update STUDENT sheet")</f>
        <v/>
      </c>
      <c r="G1191">
        <f>IFERROR(IF(E1191="","",_xlfn.XLOOKUP(E1191,STUDENTS!F1190:F101187,STUDENTS!H1190:H101187)),"update STUDENT sheet")</f>
        <v/>
      </c>
    </row>
    <row r="1192">
      <c r="B1192">
        <f>IF(STUDENTS!B1191="","",STUDENTS!B1191)</f>
        <v/>
      </c>
      <c r="C1192">
        <f>IFERROR(IF(B1192="","",_xlfn.XLOOKUP(B1192,STUDENTS!$B$3:$B$1048576,STUDENTS!$C$3:$C$1048576)),"Enter a registered reg. no")</f>
        <v/>
      </c>
      <c r="D1192">
        <f>IFERROR(IF(B1192="","",_xlfn.XLOOKUP(B1192,STUDENTS!B1191:B101188,STUDENTS!D1191:D101188)),"update STUDENT sheet")</f>
        <v/>
      </c>
      <c r="E1192">
        <f>IFERROR(IF(C1192="","",_xlfn.XLOOKUP(C1192,STUDENTS!C1191:C101188,STUDENTS!F1191:F101188)),"update STUDENT sheet")</f>
        <v/>
      </c>
      <c r="F1192">
        <f>IFERROR(IF(D1192="","",_xlfn.XLOOKUP(D1192,STUDENTS!D1191:D101188,STUDENTS!G1191:G101188)),"update STUDENT sheet")</f>
        <v/>
      </c>
      <c r="G1192">
        <f>IFERROR(IF(E1192="","",_xlfn.XLOOKUP(E1192,STUDENTS!F1191:F101188,STUDENTS!H1191:H101188)),"update STUDENT sheet")</f>
        <v/>
      </c>
    </row>
    <row r="1193">
      <c r="B1193">
        <f>IF(STUDENTS!B1192="","",STUDENTS!B1192)</f>
        <v/>
      </c>
      <c r="C1193">
        <f>IFERROR(IF(B1193="","",_xlfn.XLOOKUP(B1193,STUDENTS!$B$3:$B$1048576,STUDENTS!$C$3:$C$1048576)),"Enter a registered reg. no")</f>
        <v/>
      </c>
      <c r="D1193">
        <f>IFERROR(IF(B1193="","",_xlfn.XLOOKUP(B1193,STUDENTS!B1192:B101189,STUDENTS!D1192:D101189)),"update STUDENT sheet")</f>
        <v/>
      </c>
      <c r="E1193">
        <f>IFERROR(IF(C1193="","",_xlfn.XLOOKUP(C1193,STUDENTS!C1192:C101189,STUDENTS!F1192:F101189)),"update STUDENT sheet")</f>
        <v/>
      </c>
      <c r="F1193">
        <f>IFERROR(IF(D1193="","",_xlfn.XLOOKUP(D1193,STUDENTS!D1192:D101189,STUDENTS!G1192:G101189)),"update STUDENT sheet")</f>
        <v/>
      </c>
      <c r="G1193">
        <f>IFERROR(IF(E1193="","",_xlfn.XLOOKUP(E1193,STUDENTS!F1192:F101189,STUDENTS!H1192:H101189)),"update STUDENT sheet")</f>
        <v/>
      </c>
    </row>
    <row r="1194">
      <c r="B1194">
        <f>IF(STUDENTS!B1193="","",STUDENTS!B1193)</f>
        <v/>
      </c>
      <c r="C1194">
        <f>IFERROR(IF(B1194="","",_xlfn.XLOOKUP(B1194,STUDENTS!$B$3:$B$1048576,STUDENTS!$C$3:$C$1048576)),"Enter a registered reg. no")</f>
        <v/>
      </c>
      <c r="D1194">
        <f>IFERROR(IF(B1194="","",_xlfn.XLOOKUP(B1194,STUDENTS!B1193:B101190,STUDENTS!D1193:D101190)),"update STUDENT sheet")</f>
        <v/>
      </c>
      <c r="E1194">
        <f>IFERROR(IF(C1194="","",_xlfn.XLOOKUP(C1194,STUDENTS!C1193:C101190,STUDENTS!F1193:F101190)),"update STUDENT sheet")</f>
        <v/>
      </c>
      <c r="F1194">
        <f>IFERROR(IF(D1194="","",_xlfn.XLOOKUP(D1194,STUDENTS!D1193:D101190,STUDENTS!G1193:G101190)),"update STUDENT sheet")</f>
        <v/>
      </c>
      <c r="G1194">
        <f>IFERROR(IF(E1194="","",_xlfn.XLOOKUP(E1194,STUDENTS!F1193:F101190,STUDENTS!H1193:H101190)),"update STUDENT sheet")</f>
        <v/>
      </c>
    </row>
    <row r="1195">
      <c r="B1195">
        <f>IF(STUDENTS!B1194="","",STUDENTS!B1194)</f>
        <v/>
      </c>
      <c r="C1195">
        <f>IFERROR(IF(B1195="","",_xlfn.XLOOKUP(B1195,STUDENTS!$B$3:$B$1048576,STUDENTS!$C$3:$C$1048576)),"Enter a registered reg. no")</f>
        <v/>
      </c>
      <c r="D1195">
        <f>IFERROR(IF(B1195="","",_xlfn.XLOOKUP(B1195,STUDENTS!B1194:B101191,STUDENTS!D1194:D101191)),"update STUDENT sheet")</f>
        <v/>
      </c>
      <c r="E1195">
        <f>IFERROR(IF(C1195="","",_xlfn.XLOOKUP(C1195,STUDENTS!C1194:C101191,STUDENTS!F1194:F101191)),"update STUDENT sheet")</f>
        <v/>
      </c>
      <c r="F1195">
        <f>IFERROR(IF(D1195="","",_xlfn.XLOOKUP(D1195,STUDENTS!D1194:D101191,STUDENTS!G1194:G101191)),"update STUDENT sheet")</f>
        <v/>
      </c>
      <c r="G1195">
        <f>IFERROR(IF(E1195="","",_xlfn.XLOOKUP(E1195,STUDENTS!F1194:F101191,STUDENTS!H1194:H101191)),"update STUDENT sheet")</f>
        <v/>
      </c>
    </row>
    <row r="1196">
      <c r="B1196">
        <f>IF(STUDENTS!B1195="","",STUDENTS!B1195)</f>
        <v/>
      </c>
      <c r="C1196">
        <f>IFERROR(IF(B1196="","",_xlfn.XLOOKUP(B1196,STUDENTS!$B$3:$B$1048576,STUDENTS!$C$3:$C$1048576)),"Enter a registered reg. no")</f>
        <v/>
      </c>
      <c r="D1196">
        <f>IFERROR(IF(B1196="","",_xlfn.XLOOKUP(B1196,STUDENTS!B1195:B101192,STUDENTS!D1195:D101192)),"update STUDENT sheet")</f>
        <v/>
      </c>
      <c r="E1196">
        <f>IFERROR(IF(C1196="","",_xlfn.XLOOKUP(C1196,STUDENTS!C1195:C101192,STUDENTS!F1195:F101192)),"update STUDENT sheet")</f>
        <v/>
      </c>
      <c r="F1196">
        <f>IFERROR(IF(D1196="","",_xlfn.XLOOKUP(D1196,STUDENTS!D1195:D101192,STUDENTS!G1195:G101192)),"update STUDENT sheet")</f>
        <v/>
      </c>
      <c r="G1196">
        <f>IFERROR(IF(E1196="","",_xlfn.XLOOKUP(E1196,STUDENTS!F1195:F101192,STUDENTS!H1195:H101192)),"update STUDENT sheet")</f>
        <v/>
      </c>
    </row>
    <row r="1197">
      <c r="B1197">
        <f>IF(STUDENTS!B1196="","",STUDENTS!B1196)</f>
        <v/>
      </c>
      <c r="C1197">
        <f>IFERROR(IF(B1197="","",_xlfn.XLOOKUP(B1197,STUDENTS!$B$3:$B$1048576,STUDENTS!$C$3:$C$1048576)),"Enter a registered reg. no")</f>
        <v/>
      </c>
      <c r="D1197">
        <f>IFERROR(IF(B1197="","",_xlfn.XLOOKUP(B1197,STUDENTS!B1196:B101193,STUDENTS!D1196:D101193)),"update STUDENT sheet")</f>
        <v/>
      </c>
      <c r="E1197">
        <f>IFERROR(IF(C1197="","",_xlfn.XLOOKUP(C1197,STUDENTS!C1196:C101193,STUDENTS!F1196:F101193)),"update STUDENT sheet")</f>
        <v/>
      </c>
      <c r="F1197">
        <f>IFERROR(IF(D1197="","",_xlfn.XLOOKUP(D1197,STUDENTS!D1196:D101193,STUDENTS!G1196:G101193)),"update STUDENT sheet")</f>
        <v/>
      </c>
      <c r="G1197">
        <f>IFERROR(IF(E1197="","",_xlfn.XLOOKUP(E1197,STUDENTS!F1196:F101193,STUDENTS!H1196:H101193)),"update STUDENT sheet")</f>
        <v/>
      </c>
    </row>
    <row r="1198">
      <c r="B1198">
        <f>IF(STUDENTS!B1197="","",STUDENTS!B1197)</f>
        <v/>
      </c>
      <c r="C1198">
        <f>IFERROR(IF(B1198="","",_xlfn.XLOOKUP(B1198,STUDENTS!$B$3:$B$1048576,STUDENTS!$C$3:$C$1048576)),"Enter a registered reg. no")</f>
        <v/>
      </c>
      <c r="D1198">
        <f>IFERROR(IF(B1198="","",_xlfn.XLOOKUP(B1198,STUDENTS!B1197:B101194,STUDENTS!D1197:D101194)),"update STUDENT sheet")</f>
        <v/>
      </c>
      <c r="E1198">
        <f>IFERROR(IF(C1198="","",_xlfn.XLOOKUP(C1198,STUDENTS!C1197:C101194,STUDENTS!F1197:F101194)),"update STUDENT sheet")</f>
        <v/>
      </c>
      <c r="F1198">
        <f>IFERROR(IF(D1198="","",_xlfn.XLOOKUP(D1198,STUDENTS!D1197:D101194,STUDENTS!G1197:G101194)),"update STUDENT sheet")</f>
        <v/>
      </c>
      <c r="G1198">
        <f>IFERROR(IF(E1198="","",_xlfn.XLOOKUP(E1198,STUDENTS!F1197:F101194,STUDENTS!H1197:H101194)),"update STUDENT sheet")</f>
        <v/>
      </c>
    </row>
    <row r="1199">
      <c r="B1199">
        <f>IF(STUDENTS!B1198="","",STUDENTS!B1198)</f>
        <v/>
      </c>
      <c r="C1199">
        <f>IFERROR(IF(B1199="","",_xlfn.XLOOKUP(B1199,STUDENTS!$B$3:$B$1048576,STUDENTS!$C$3:$C$1048576)),"Enter a registered reg. no")</f>
        <v/>
      </c>
      <c r="D1199">
        <f>IFERROR(IF(B1199="","",_xlfn.XLOOKUP(B1199,STUDENTS!B1198:B101195,STUDENTS!D1198:D101195)),"update STUDENT sheet")</f>
        <v/>
      </c>
      <c r="E1199">
        <f>IFERROR(IF(C1199="","",_xlfn.XLOOKUP(C1199,STUDENTS!C1198:C101195,STUDENTS!F1198:F101195)),"update STUDENT sheet")</f>
        <v/>
      </c>
      <c r="F1199">
        <f>IFERROR(IF(D1199="","",_xlfn.XLOOKUP(D1199,STUDENTS!D1198:D101195,STUDENTS!G1198:G101195)),"update STUDENT sheet")</f>
        <v/>
      </c>
      <c r="G1199">
        <f>IFERROR(IF(E1199="","",_xlfn.XLOOKUP(E1199,STUDENTS!F1198:F101195,STUDENTS!H1198:H101195)),"update STUDENT sheet")</f>
        <v/>
      </c>
    </row>
    <row r="1200">
      <c r="B1200">
        <f>IF(STUDENTS!B1199="","",STUDENTS!B1199)</f>
        <v/>
      </c>
      <c r="C1200">
        <f>IFERROR(IF(B1200="","",_xlfn.XLOOKUP(B1200,STUDENTS!$B$3:$B$1048576,STUDENTS!$C$3:$C$1048576)),"Enter a registered reg. no")</f>
        <v/>
      </c>
      <c r="D1200">
        <f>IFERROR(IF(B1200="","",_xlfn.XLOOKUP(B1200,STUDENTS!B1199:B101196,STUDENTS!D1199:D101196)),"update STUDENT sheet")</f>
        <v/>
      </c>
      <c r="E1200">
        <f>IFERROR(IF(C1200="","",_xlfn.XLOOKUP(C1200,STUDENTS!C1199:C101196,STUDENTS!F1199:F101196)),"update STUDENT sheet")</f>
        <v/>
      </c>
      <c r="F1200">
        <f>IFERROR(IF(D1200="","",_xlfn.XLOOKUP(D1200,STUDENTS!D1199:D101196,STUDENTS!G1199:G101196)),"update STUDENT sheet")</f>
        <v/>
      </c>
      <c r="G1200">
        <f>IFERROR(IF(E1200="","",_xlfn.XLOOKUP(E1200,STUDENTS!F1199:F101196,STUDENTS!H1199:H101196)),"update STUDENT sheet")</f>
        <v/>
      </c>
    </row>
    <row r="1201">
      <c r="B1201">
        <f>IF(STUDENTS!B1200="","",STUDENTS!B1200)</f>
        <v/>
      </c>
      <c r="C1201">
        <f>IFERROR(IF(B1201="","",_xlfn.XLOOKUP(B1201,STUDENTS!$B$3:$B$1048576,STUDENTS!$C$3:$C$1048576)),"Enter a registered reg. no")</f>
        <v/>
      </c>
      <c r="D1201">
        <f>IFERROR(IF(B1201="","",_xlfn.XLOOKUP(B1201,STUDENTS!B1200:B101197,STUDENTS!D1200:D101197)),"update STUDENT sheet")</f>
        <v/>
      </c>
      <c r="E1201">
        <f>IFERROR(IF(C1201="","",_xlfn.XLOOKUP(C1201,STUDENTS!C1200:C101197,STUDENTS!F1200:F101197)),"update STUDENT sheet")</f>
        <v/>
      </c>
      <c r="F1201">
        <f>IFERROR(IF(D1201="","",_xlfn.XLOOKUP(D1201,STUDENTS!D1200:D101197,STUDENTS!G1200:G101197)),"update STUDENT sheet")</f>
        <v/>
      </c>
      <c r="G1201">
        <f>IFERROR(IF(E1201="","",_xlfn.XLOOKUP(E1201,STUDENTS!F1200:F101197,STUDENTS!H1200:H101197)),"update STUDENT sheet")</f>
        <v/>
      </c>
    </row>
    <row r="1202">
      <c r="B1202">
        <f>IF(STUDENTS!B1201="","",STUDENTS!B1201)</f>
        <v/>
      </c>
      <c r="C1202">
        <f>IFERROR(IF(B1202="","",_xlfn.XLOOKUP(B1202,STUDENTS!$B$3:$B$1048576,STUDENTS!$C$3:$C$1048576)),"Enter a registered reg. no")</f>
        <v/>
      </c>
      <c r="D1202">
        <f>IFERROR(IF(B1202="","",_xlfn.XLOOKUP(B1202,STUDENTS!B1201:B101198,STUDENTS!D1201:D101198)),"update STUDENT sheet")</f>
        <v/>
      </c>
      <c r="E1202">
        <f>IFERROR(IF(C1202="","",_xlfn.XLOOKUP(C1202,STUDENTS!C1201:C101198,STUDENTS!F1201:F101198)),"update STUDENT sheet")</f>
        <v/>
      </c>
      <c r="F1202">
        <f>IFERROR(IF(D1202="","",_xlfn.XLOOKUP(D1202,STUDENTS!D1201:D101198,STUDENTS!G1201:G101198)),"update STUDENT sheet")</f>
        <v/>
      </c>
      <c r="G1202">
        <f>IFERROR(IF(E1202="","",_xlfn.XLOOKUP(E1202,STUDENTS!F1201:F101198,STUDENTS!H1201:H101198)),"update STUDENT sheet")</f>
        <v/>
      </c>
    </row>
    <row r="1203">
      <c r="B1203">
        <f>IF(STUDENTS!B1202="","",STUDENTS!B1202)</f>
        <v/>
      </c>
      <c r="C1203">
        <f>IFERROR(IF(B1203="","",_xlfn.XLOOKUP(B1203,STUDENTS!$B$3:$B$1048576,STUDENTS!$C$3:$C$1048576)),"Enter a registered reg. no")</f>
        <v/>
      </c>
      <c r="D1203">
        <f>IFERROR(IF(B1203="","",_xlfn.XLOOKUP(B1203,STUDENTS!B1202:B101199,STUDENTS!D1202:D101199)),"update STUDENT sheet")</f>
        <v/>
      </c>
      <c r="E1203">
        <f>IFERROR(IF(C1203="","",_xlfn.XLOOKUP(C1203,STUDENTS!C1202:C101199,STUDENTS!F1202:F101199)),"update STUDENT sheet")</f>
        <v/>
      </c>
      <c r="F1203">
        <f>IFERROR(IF(D1203="","",_xlfn.XLOOKUP(D1203,STUDENTS!D1202:D101199,STUDENTS!G1202:G101199)),"update STUDENT sheet")</f>
        <v/>
      </c>
      <c r="G1203">
        <f>IFERROR(IF(E1203="","",_xlfn.XLOOKUP(E1203,STUDENTS!F1202:F101199,STUDENTS!H1202:H101199)),"update STUDENT sheet")</f>
        <v/>
      </c>
    </row>
    <row r="1204">
      <c r="B1204">
        <f>IF(STUDENTS!B1203="","",STUDENTS!B1203)</f>
        <v/>
      </c>
      <c r="C1204">
        <f>IFERROR(IF(B1204="","",_xlfn.XLOOKUP(B1204,STUDENTS!$B$3:$B$1048576,STUDENTS!$C$3:$C$1048576)),"Enter a registered reg. no")</f>
        <v/>
      </c>
      <c r="D1204">
        <f>IFERROR(IF(B1204="","",_xlfn.XLOOKUP(B1204,STUDENTS!B1203:B101200,STUDENTS!D1203:D101200)),"update STUDENT sheet")</f>
        <v/>
      </c>
      <c r="E1204">
        <f>IFERROR(IF(C1204="","",_xlfn.XLOOKUP(C1204,STUDENTS!C1203:C101200,STUDENTS!F1203:F101200)),"update STUDENT sheet")</f>
        <v/>
      </c>
      <c r="F1204">
        <f>IFERROR(IF(D1204="","",_xlfn.XLOOKUP(D1204,STUDENTS!D1203:D101200,STUDENTS!G1203:G101200)),"update STUDENT sheet")</f>
        <v/>
      </c>
      <c r="G1204">
        <f>IFERROR(IF(E1204="","",_xlfn.XLOOKUP(E1204,STUDENTS!F1203:F101200,STUDENTS!H1203:H101200)),"update STUDENT sheet")</f>
        <v/>
      </c>
    </row>
    <row r="1205">
      <c r="B1205">
        <f>IF(STUDENTS!B1204="","",STUDENTS!B1204)</f>
        <v/>
      </c>
      <c r="C1205">
        <f>IFERROR(IF(B1205="","",_xlfn.XLOOKUP(B1205,STUDENTS!$B$3:$B$1048576,STUDENTS!$C$3:$C$1048576)),"Enter a registered reg. no")</f>
        <v/>
      </c>
      <c r="D1205">
        <f>IFERROR(IF(B1205="","",_xlfn.XLOOKUP(B1205,STUDENTS!B1204:B101201,STUDENTS!D1204:D101201)),"update STUDENT sheet")</f>
        <v/>
      </c>
      <c r="E1205">
        <f>IFERROR(IF(C1205="","",_xlfn.XLOOKUP(C1205,STUDENTS!C1204:C101201,STUDENTS!F1204:F101201)),"update STUDENT sheet")</f>
        <v/>
      </c>
      <c r="F1205">
        <f>IFERROR(IF(D1205="","",_xlfn.XLOOKUP(D1205,STUDENTS!D1204:D101201,STUDENTS!G1204:G101201)),"update STUDENT sheet")</f>
        <v/>
      </c>
      <c r="G1205">
        <f>IFERROR(IF(E1205="","",_xlfn.XLOOKUP(E1205,STUDENTS!F1204:F101201,STUDENTS!H1204:H101201)),"update STUDENT sheet")</f>
        <v/>
      </c>
    </row>
    <row r="1206">
      <c r="B1206">
        <f>IF(STUDENTS!B1205="","",STUDENTS!B1205)</f>
        <v/>
      </c>
      <c r="C1206">
        <f>IFERROR(IF(B1206="","",_xlfn.XLOOKUP(B1206,STUDENTS!$B$3:$B$1048576,STUDENTS!$C$3:$C$1048576)),"Enter a registered reg. no")</f>
        <v/>
      </c>
      <c r="D1206">
        <f>IFERROR(IF(B1206="","",_xlfn.XLOOKUP(B1206,STUDENTS!B1205:B101202,STUDENTS!D1205:D101202)),"update STUDENT sheet")</f>
        <v/>
      </c>
      <c r="E1206">
        <f>IFERROR(IF(C1206="","",_xlfn.XLOOKUP(C1206,STUDENTS!C1205:C101202,STUDENTS!F1205:F101202)),"update STUDENT sheet")</f>
        <v/>
      </c>
      <c r="F1206">
        <f>IFERROR(IF(D1206="","",_xlfn.XLOOKUP(D1206,STUDENTS!D1205:D101202,STUDENTS!G1205:G101202)),"update STUDENT sheet")</f>
        <v/>
      </c>
      <c r="G1206">
        <f>IFERROR(IF(E1206="","",_xlfn.XLOOKUP(E1206,STUDENTS!F1205:F101202,STUDENTS!H1205:H101202)),"update STUDENT sheet")</f>
        <v/>
      </c>
    </row>
    <row r="1207">
      <c r="B1207">
        <f>IF(STUDENTS!B1206="","",STUDENTS!B1206)</f>
        <v/>
      </c>
      <c r="C1207">
        <f>IFERROR(IF(B1207="","",_xlfn.XLOOKUP(B1207,STUDENTS!$B$3:$B$1048576,STUDENTS!$C$3:$C$1048576)),"Enter a registered reg. no")</f>
        <v/>
      </c>
      <c r="D1207">
        <f>IFERROR(IF(B1207="","",_xlfn.XLOOKUP(B1207,STUDENTS!B1206:B101203,STUDENTS!D1206:D101203)),"update STUDENT sheet")</f>
        <v/>
      </c>
      <c r="E1207">
        <f>IFERROR(IF(C1207="","",_xlfn.XLOOKUP(C1207,STUDENTS!C1206:C101203,STUDENTS!F1206:F101203)),"update STUDENT sheet")</f>
        <v/>
      </c>
      <c r="F1207">
        <f>IFERROR(IF(D1207="","",_xlfn.XLOOKUP(D1207,STUDENTS!D1206:D101203,STUDENTS!G1206:G101203)),"update STUDENT sheet")</f>
        <v/>
      </c>
      <c r="G1207">
        <f>IFERROR(IF(E1207="","",_xlfn.XLOOKUP(E1207,STUDENTS!F1206:F101203,STUDENTS!H1206:H101203)),"update STUDENT sheet")</f>
        <v/>
      </c>
    </row>
    <row r="1208">
      <c r="B1208">
        <f>IF(STUDENTS!B1207="","",STUDENTS!B1207)</f>
        <v/>
      </c>
      <c r="C1208">
        <f>IFERROR(IF(B1208="","",_xlfn.XLOOKUP(B1208,STUDENTS!$B$3:$B$1048576,STUDENTS!$C$3:$C$1048576)),"Enter a registered reg. no")</f>
        <v/>
      </c>
      <c r="D1208">
        <f>IFERROR(IF(B1208="","",_xlfn.XLOOKUP(B1208,STUDENTS!B1207:B101204,STUDENTS!D1207:D101204)),"update STUDENT sheet")</f>
        <v/>
      </c>
      <c r="E1208">
        <f>IFERROR(IF(C1208="","",_xlfn.XLOOKUP(C1208,STUDENTS!C1207:C101204,STUDENTS!F1207:F101204)),"update STUDENT sheet")</f>
        <v/>
      </c>
      <c r="F1208">
        <f>IFERROR(IF(D1208="","",_xlfn.XLOOKUP(D1208,STUDENTS!D1207:D101204,STUDENTS!G1207:G101204)),"update STUDENT sheet")</f>
        <v/>
      </c>
      <c r="G1208">
        <f>IFERROR(IF(E1208="","",_xlfn.XLOOKUP(E1208,STUDENTS!F1207:F101204,STUDENTS!H1207:H101204)),"update STUDENT sheet")</f>
        <v/>
      </c>
    </row>
    <row r="1209">
      <c r="B1209">
        <f>IF(STUDENTS!B1208="","",STUDENTS!B1208)</f>
        <v/>
      </c>
      <c r="C1209">
        <f>IFERROR(IF(B1209="","",_xlfn.XLOOKUP(B1209,STUDENTS!$B$3:$B$1048576,STUDENTS!$C$3:$C$1048576)),"Enter a registered reg. no")</f>
        <v/>
      </c>
      <c r="D1209">
        <f>IFERROR(IF(B1209="","",_xlfn.XLOOKUP(B1209,STUDENTS!B1208:B101205,STUDENTS!D1208:D101205)),"update STUDENT sheet")</f>
        <v/>
      </c>
      <c r="E1209">
        <f>IFERROR(IF(C1209="","",_xlfn.XLOOKUP(C1209,STUDENTS!C1208:C101205,STUDENTS!F1208:F101205)),"update STUDENT sheet")</f>
        <v/>
      </c>
      <c r="F1209">
        <f>IFERROR(IF(D1209="","",_xlfn.XLOOKUP(D1209,STUDENTS!D1208:D101205,STUDENTS!G1208:G101205)),"update STUDENT sheet")</f>
        <v/>
      </c>
      <c r="G1209">
        <f>IFERROR(IF(E1209="","",_xlfn.XLOOKUP(E1209,STUDENTS!F1208:F101205,STUDENTS!H1208:H101205)),"update STUDENT sheet")</f>
        <v/>
      </c>
    </row>
    <row r="1210">
      <c r="B1210">
        <f>IF(STUDENTS!B1209="","",STUDENTS!B1209)</f>
        <v/>
      </c>
      <c r="C1210">
        <f>IFERROR(IF(B1210="","",_xlfn.XLOOKUP(B1210,STUDENTS!$B$3:$B$1048576,STUDENTS!$C$3:$C$1048576)),"Enter a registered reg. no")</f>
        <v/>
      </c>
      <c r="D1210">
        <f>IFERROR(IF(B1210="","",_xlfn.XLOOKUP(B1210,STUDENTS!B1209:B101206,STUDENTS!D1209:D101206)),"update STUDENT sheet")</f>
        <v/>
      </c>
      <c r="E1210">
        <f>IFERROR(IF(C1210="","",_xlfn.XLOOKUP(C1210,STUDENTS!C1209:C101206,STUDENTS!F1209:F101206)),"update STUDENT sheet")</f>
        <v/>
      </c>
      <c r="F1210">
        <f>IFERROR(IF(D1210="","",_xlfn.XLOOKUP(D1210,STUDENTS!D1209:D101206,STUDENTS!G1209:G101206)),"update STUDENT sheet")</f>
        <v/>
      </c>
      <c r="G1210">
        <f>IFERROR(IF(E1210="","",_xlfn.XLOOKUP(E1210,STUDENTS!F1209:F101206,STUDENTS!H1209:H101206)),"update STUDENT sheet")</f>
        <v/>
      </c>
    </row>
    <row r="1211">
      <c r="B1211">
        <f>IF(STUDENTS!B1210="","",STUDENTS!B1210)</f>
        <v/>
      </c>
      <c r="C1211">
        <f>IFERROR(IF(B1211="","",_xlfn.XLOOKUP(B1211,STUDENTS!$B$3:$B$1048576,STUDENTS!$C$3:$C$1048576)),"Enter a registered reg. no")</f>
        <v/>
      </c>
      <c r="D1211">
        <f>IFERROR(IF(B1211="","",_xlfn.XLOOKUP(B1211,STUDENTS!B1210:B101207,STUDENTS!D1210:D101207)),"update STUDENT sheet")</f>
        <v/>
      </c>
      <c r="E1211">
        <f>IFERROR(IF(C1211="","",_xlfn.XLOOKUP(C1211,STUDENTS!C1210:C101207,STUDENTS!F1210:F101207)),"update STUDENT sheet")</f>
        <v/>
      </c>
      <c r="F1211">
        <f>IFERROR(IF(D1211="","",_xlfn.XLOOKUP(D1211,STUDENTS!D1210:D101207,STUDENTS!G1210:G101207)),"update STUDENT sheet")</f>
        <v/>
      </c>
      <c r="G1211">
        <f>IFERROR(IF(E1211="","",_xlfn.XLOOKUP(E1211,STUDENTS!F1210:F101207,STUDENTS!H1210:H101207)),"update STUDENT sheet")</f>
        <v/>
      </c>
    </row>
    <row r="1212">
      <c r="B1212">
        <f>IF(STUDENTS!B1211="","",STUDENTS!B1211)</f>
        <v/>
      </c>
      <c r="C1212">
        <f>IFERROR(IF(B1212="","",_xlfn.XLOOKUP(B1212,STUDENTS!$B$3:$B$1048576,STUDENTS!$C$3:$C$1048576)),"Enter a registered reg. no")</f>
        <v/>
      </c>
      <c r="D1212">
        <f>IFERROR(IF(B1212="","",_xlfn.XLOOKUP(B1212,STUDENTS!B1211:B101208,STUDENTS!D1211:D101208)),"update STUDENT sheet")</f>
        <v/>
      </c>
      <c r="E1212">
        <f>IFERROR(IF(C1212="","",_xlfn.XLOOKUP(C1212,STUDENTS!C1211:C101208,STUDENTS!F1211:F101208)),"update STUDENT sheet")</f>
        <v/>
      </c>
      <c r="F1212">
        <f>IFERROR(IF(D1212="","",_xlfn.XLOOKUP(D1212,STUDENTS!D1211:D101208,STUDENTS!G1211:G101208)),"update STUDENT sheet")</f>
        <v/>
      </c>
      <c r="G1212">
        <f>IFERROR(IF(E1212="","",_xlfn.XLOOKUP(E1212,STUDENTS!F1211:F101208,STUDENTS!H1211:H101208)),"update STUDENT sheet")</f>
        <v/>
      </c>
    </row>
    <row r="1213">
      <c r="B1213">
        <f>IF(STUDENTS!B1212="","",STUDENTS!B1212)</f>
        <v/>
      </c>
      <c r="C1213">
        <f>IFERROR(IF(B1213="","",_xlfn.XLOOKUP(B1213,STUDENTS!$B$3:$B$1048576,STUDENTS!$C$3:$C$1048576)),"Enter a registered reg. no")</f>
        <v/>
      </c>
      <c r="D1213">
        <f>IFERROR(IF(B1213="","",_xlfn.XLOOKUP(B1213,STUDENTS!B1212:B101209,STUDENTS!D1212:D101209)),"update STUDENT sheet")</f>
        <v/>
      </c>
      <c r="E1213">
        <f>IFERROR(IF(C1213="","",_xlfn.XLOOKUP(C1213,STUDENTS!C1212:C101209,STUDENTS!F1212:F101209)),"update STUDENT sheet")</f>
        <v/>
      </c>
      <c r="F1213">
        <f>IFERROR(IF(D1213="","",_xlfn.XLOOKUP(D1213,STUDENTS!D1212:D101209,STUDENTS!G1212:G101209)),"update STUDENT sheet")</f>
        <v/>
      </c>
      <c r="G1213">
        <f>IFERROR(IF(E1213="","",_xlfn.XLOOKUP(E1213,STUDENTS!F1212:F101209,STUDENTS!H1212:H101209)),"update STUDENT sheet")</f>
        <v/>
      </c>
    </row>
    <row r="1214">
      <c r="B1214">
        <f>IF(STUDENTS!B1213="","",STUDENTS!B1213)</f>
        <v/>
      </c>
      <c r="C1214">
        <f>IFERROR(IF(B1214="","",_xlfn.XLOOKUP(B1214,STUDENTS!$B$3:$B$1048576,STUDENTS!$C$3:$C$1048576)),"Enter a registered reg. no")</f>
        <v/>
      </c>
      <c r="D1214">
        <f>IFERROR(IF(B1214="","",_xlfn.XLOOKUP(B1214,STUDENTS!B1213:B101210,STUDENTS!D1213:D101210)),"update STUDENT sheet")</f>
        <v/>
      </c>
      <c r="E1214">
        <f>IFERROR(IF(C1214="","",_xlfn.XLOOKUP(C1214,STUDENTS!C1213:C101210,STUDENTS!F1213:F101210)),"update STUDENT sheet")</f>
        <v/>
      </c>
      <c r="F1214">
        <f>IFERROR(IF(D1214="","",_xlfn.XLOOKUP(D1214,STUDENTS!D1213:D101210,STUDENTS!G1213:G101210)),"update STUDENT sheet")</f>
        <v/>
      </c>
      <c r="G1214">
        <f>IFERROR(IF(E1214="","",_xlfn.XLOOKUP(E1214,STUDENTS!F1213:F101210,STUDENTS!H1213:H101210)),"update STUDENT sheet")</f>
        <v/>
      </c>
    </row>
    <row r="1215">
      <c r="B1215">
        <f>IF(STUDENTS!B1214="","",STUDENTS!B1214)</f>
        <v/>
      </c>
      <c r="C1215">
        <f>IFERROR(IF(B1215="","",_xlfn.XLOOKUP(B1215,STUDENTS!$B$3:$B$1048576,STUDENTS!$C$3:$C$1048576)),"Enter a registered reg. no")</f>
        <v/>
      </c>
      <c r="D1215">
        <f>IFERROR(IF(B1215="","",_xlfn.XLOOKUP(B1215,STUDENTS!B1214:B101211,STUDENTS!D1214:D101211)),"update STUDENT sheet")</f>
        <v/>
      </c>
      <c r="E1215">
        <f>IFERROR(IF(C1215="","",_xlfn.XLOOKUP(C1215,STUDENTS!C1214:C101211,STUDENTS!F1214:F101211)),"update STUDENT sheet")</f>
        <v/>
      </c>
      <c r="F1215">
        <f>IFERROR(IF(D1215="","",_xlfn.XLOOKUP(D1215,STUDENTS!D1214:D101211,STUDENTS!G1214:G101211)),"update STUDENT sheet")</f>
        <v/>
      </c>
      <c r="G1215">
        <f>IFERROR(IF(E1215="","",_xlfn.XLOOKUP(E1215,STUDENTS!F1214:F101211,STUDENTS!H1214:H101211)),"update STUDENT sheet")</f>
        <v/>
      </c>
    </row>
    <row r="1216">
      <c r="B1216">
        <f>IF(STUDENTS!B1215="","",STUDENTS!B1215)</f>
        <v/>
      </c>
      <c r="C1216">
        <f>IFERROR(IF(B1216="","",_xlfn.XLOOKUP(B1216,STUDENTS!$B$3:$B$1048576,STUDENTS!$C$3:$C$1048576)),"Enter a registered reg. no")</f>
        <v/>
      </c>
      <c r="D1216">
        <f>IFERROR(IF(B1216="","",_xlfn.XLOOKUP(B1216,STUDENTS!B1215:B101212,STUDENTS!D1215:D101212)),"update STUDENT sheet")</f>
        <v/>
      </c>
      <c r="E1216">
        <f>IFERROR(IF(C1216="","",_xlfn.XLOOKUP(C1216,STUDENTS!C1215:C101212,STUDENTS!F1215:F101212)),"update STUDENT sheet")</f>
        <v/>
      </c>
      <c r="F1216">
        <f>IFERROR(IF(D1216="","",_xlfn.XLOOKUP(D1216,STUDENTS!D1215:D101212,STUDENTS!G1215:G101212)),"update STUDENT sheet")</f>
        <v/>
      </c>
      <c r="G1216">
        <f>IFERROR(IF(E1216="","",_xlfn.XLOOKUP(E1216,STUDENTS!F1215:F101212,STUDENTS!H1215:H101212)),"update STUDENT sheet")</f>
        <v/>
      </c>
    </row>
    <row r="1217">
      <c r="B1217">
        <f>IF(STUDENTS!B1216="","",STUDENTS!B1216)</f>
        <v/>
      </c>
      <c r="C1217">
        <f>IFERROR(IF(B1217="","",_xlfn.XLOOKUP(B1217,STUDENTS!$B$3:$B$1048576,STUDENTS!$C$3:$C$1048576)),"Enter a registered reg. no")</f>
        <v/>
      </c>
      <c r="D1217">
        <f>IFERROR(IF(B1217="","",_xlfn.XLOOKUP(B1217,STUDENTS!B1216:B101213,STUDENTS!D1216:D101213)),"update STUDENT sheet")</f>
        <v/>
      </c>
      <c r="E1217">
        <f>IFERROR(IF(C1217="","",_xlfn.XLOOKUP(C1217,STUDENTS!C1216:C101213,STUDENTS!F1216:F101213)),"update STUDENT sheet")</f>
        <v/>
      </c>
      <c r="F1217">
        <f>IFERROR(IF(D1217="","",_xlfn.XLOOKUP(D1217,STUDENTS!D1216:D101213,STUDENTS!G1216:G101213)),"update STUDENT sheet")</f>
        <v/>
      </c>
      <c r="G1217">
        <f>IFERROR(IF(E1217="","",_xlfn.XLOOKUP(E1217,STUDENTS!F1216:F101213,STUDENTS!H1216:H101213)),"update STUDENT sheet")</f>
        <v/>
      </c>
    </row>
    <row r="1218">
      <c r="B1218">
        <f>IF(STUDENTS!B1217="","",STUDENTS!B1217)</f>
        <v/>
      </c>
      <c r="C1218">
        <f>IFERROR(IF(B1218="","",_xlfn.XLOOKUP(B1218,STUDENTS!$B$3:$B$1048576,STUDENTS!$C$3:$C$1048576)),"Enter a registered reg. no")</f>
        <v/>
      </c>
      <c r="D1218">
        <f>IFERROR(IF(B1218="","",_xlfn.XLOOKUP(B1218,STUDENTS!B1217:B101214,STUDENTS!D1217:D101214)),"update STUDENT sheet")</f>
        <v/>
      </c>
      <c r="E1218">
        <f>IFERROR(IF(C1218="","",_xlfn.XLOOKUP(C1218,STUDENTS!C1217:C101214,STUDENTS!F1217:F101214)),"update STUDENT sheet")</f>
        <v/>
      </c>
      <c r="F1218">
        <f>IFERROR(IF(D1218="","",_xlfn.XLOOKUP(D1218,STUDENTS!D1217:D101214,STUDENTS!G1217:G101214)),"update STUDENT sheet")</f>
        <v/>
      </c>
      <c r="G1218">
        <f>IFERROR(IF(E1218="","",_xlfn.XLOOKUP(E1218,STUDENTS!F1217:F101214,STUDENTS!H1217:H101214)),"update STUDENT sheet")</f>
        <v/>
      </c>
    </row>
    <row r="1219">
      <c r="B1219">
        <f>IF(STUDENTS!B1218="","",STUDENTS!B1218)</f>
        <v/>
      </c>
      <c r="C1219">
        <f>IFERROR(IF(B1219="","",_xlfn.XLOOKUP(B1219,STUDENTS!$B$3:$B$1048576,STUDENTS!$C$3:$C$1048576)),"Enter a registered reg. no")</f>
        <v/>
      </c>
      <c r="D1219">
        <f>IFERROR(IF(B1219="","",_xlfn.XLOOKUP(B1219,STUDENTS!B1218:B101215,STUDENTS!D1218:D101215)),"update STUDENT sheet")</f>
        <v/>
      </c>
      <c r="E1219">
        <f>IFERROR(IF(C1219="","",_xlfn.XLOOKUP(C1219,STUDENTS!C1218:C101215,STUDENTS!F1218:F101215)),"update STUDENT sheet")</f>
        <v/>
      </c>
      <c r="F1219">
        <f>IFERROR(IF(D1219="","",_xlfn.XLOOKUP(D1219,STUDENTS!D1218:D101215,STUDENTS!G1218:G101215)),"update STUDENT sheet")</f>
        <v/>
      </c>
      <c r="G1219">
        <f>IFERROR(IF(E1219="","",_xlfn.XLOOKUP(E1219,STUDENTS!F1218:F101215,STUDENTS!H1218:H101215)),"update STUDENT sheet")</f>
        <v/>
      </c>
    </row>
    <row r="1220">
      <c r="B1220">
        <f>IF(STUDENTS!B1219="","",STUDENTS!B1219)</f>
        <v/>
      </c>
      <c r="C1220">
        <f>IFERROR(IF(B1220="","",_xlfn.XLOOKUP(B1220,STUDENTS!$B$3:$B$1048576,STUDENTS!$C$3:$C$1048576)),"Enter a registered reg. no")</f>
        <v/>
      </c>
      <c r="D1220">
        <f>IFERROR(IF(B1220="","",_xlfn.XLOOKUP(B1220,STUDENTS!B1219:B101216,STUDENTS!D1219:D101216)),"update STUDENT sheet")</f>
        <v/>
      </c>
      <c r="E1220">
        <f>IFERROR(IF(C1220="","",_xlfn.XLOOKUP(C1220,STUDENTS!C1219:C101216,STUDENTS!F1219:F101216)),"update STUDENT sheet")</f>
        <v/>
      </c>
      <c r="F1220">
        <f>IFERROR(IF(D1220="","",_xlfn.XLOOKUP(D1220,STUDENTS!D1219:D101216,STUDENTS!G1219:G101216)),"update STUDENT sheet")</f>
        <v/>
      </c>
      <c r="G1220">
        <f>IFERROR(IF(E1220="","",_xlfn.XLOOKUP(E1220,STUDENTS!F1219:F101216,STUDENTS!H1219:H101216)),"update STUDENT sheet")</f>
        <v/>
      </c>
    </row>
    <row r="1221">
      <c r="B1221">
        <f>IF(STUDENTS!B1220="","",STUDENTS!B1220)</f>
        <v/>
      </c>
      <c r="C1221">
        <f>IFERROR(IF(B1221="","",_xlfn.XLOOKUP(B1221,STUDENTS!$B$3:$B$1048576,STUDENTS!$C$3:$C$1048576)),"Enter a registered reg. no")</f>
        <v/>
      </c>
      <c r="D1221">
        <f>IFERROR(IF(B1221="","",_xlfn.XLOOKUP(B1221,STUDENTS!B1220:B101217,STUDENTS!D1220:D101217)),"update STUDENT sheet")</f>
        <v/>
      </c>
      <c r="E1221">
        <f>IFERROR(IF(C1221="","",_xlfn.XLOOKUP(C1221,STUDENTS!C1220:C101217,STUDENTS!F1220:F101217)),"update STUDENT sheet")</f>
        <v/>
      </c>
      <c r="F1221">
        <f>IFERROR(IF(D1221="","",_xlfn.XLOOKUP(D1221,STUDENTS!D1220:D101217,STUDENTS!G1220:G101217)),"update STUDENT sheet")</f>
        <v/>
      </c>
      <c r="G1221">
        <f>IFERROR(IF(E1221="","",_xlfn.XLOOKUP(E1221,STUDENTS!F1220:F101217,STUDENTS!H1220:H101217)),"update STUDENT sheet")</f>
        <v/>
      </c>
    </row>
    <row r="1222">
      <c r="B1222">
        <f>IF(STUDENTS!B1221="","",STUDENTS!B1221)</f>
        <v/>
      </c>
      <c r="C1222">
        <f>IFERROR(IF(B1222="","",_xlfn.XLOOKUP(B1222,STUDENTS!$B$3:$B$1048576,STUDENTS!$C$3:$C$1048576)),"Enter a registered reg. no")</f>
        <v/>
      </c>
      <c r="D1222">
        <f>IFERROR(IF(B1222="","",_xlfn.XLOOKUP(B1222,STUDENTS!B1221:B101218,STUDENTS!D1221:D101218)),"update STUDENT sheet")</f>
        <v/>
      </c>
      <c r="E1222">
        <f>IFERROR(IF(C1222="","",_xlfn.XLOOKUP(C1222,STUDENTS!C1221:C101218,STUDENTS!F1221:F101218)),"update STUDENT sheet")</f>
        <v/>
      </c>
      <c r="F1222">
        <f>IFERROR(IF(D1222="","",_xlfn.XLOOKUP(D1222,STUDENTS!D1221:D101218,STUDENTS!G1221:G101218)),"update STUDENT sheet")</f>
        <v/>
      </c>
      <c r="G1222">
        <f>IFERROR(IF(E1222="","",_xlfn.XLOOKUP(E1222,STUDENTS!F1221:F101218,STUDENTS!H1221:H101218)),"update STUDENT sheet")</f>
        <v/>
      </c>
    </row>
    <row r="1223">
      <c r="B1223">
        <f>IF(STUDENTS!B1222="","",STUDENTS!B1222)</f>
        <v/>
      </c>
      <c r="C1223">
        <f>IFERROR(IF(B1223="","",_xlfn.XLOOKUP(B1223,STUDENTS!$B$3:$B$1048576,STUDENTS!$C$3:$C$1048576)),"Enter a registered reg. no")</f>
        <v/>
      </c>
      <c r="D1223">
        <f>IFERROR(IF(B1223="","",_xlfn.XLOOKUP(B1223,STUDENTS!B1222:B101219,STUDENTS!D1222:D101219)),"update STUDENT sheet")</f>
        <v/>
      </c>
      <c r="E1223">
        <f>IFERROR(IF(C1223="","",_xlfn.XLOOKUP(C1223,STUDENTS!C1222:C101219,STUDENTS!F1222:F101219)),"update STUDENT sheet")</f>
        <v/>
      </c>
      <c r="F1223">
        <f>IFERROR(IF(D1223="","",_xlfn.XLOOKUP(D1223,STUDENTS!D1222:D101219,STUDENTS!G1222:G101219)),"update STUDENT sheet")</f>
        <v/>
      </c>
      <c r="G1223">
        <f>IFERROR(IF(E1223="","",_xlfn.XLOOKUP(E1223,STUDENTS!F1222:F101219,STUDENTS!H1222:H101219)),"update STUDENT sheet")</f>
        <v/>
      </c>
    </row>
    <row r="1224">
      <c r="B1224">
        <f>IF(STUDENTS!B1223="","",STUDENTS!B1223)</f>
        <v/>
      </c>
      <c r="C1224">
        <f>IFERROR(IF(B1224="","",_xlfn.XLOOKUP(B1224,STUDENTS!$B$3:$B$1048576,STUDENTS!$C$3:$C$1048576)),"Enter a registered reg. no")</f>
        <v/>
      </c>
      <c r="D1224">
        <f>IFERROR(IF(B1224="","",_xlfn.XLOOKUP(B1224,STUDENTS!B1223:B101220,STUDENTS!D1223:D101220)),"update STUDENT sheet")</f>
        <v/>
      </c>
      <c r="E1224">
        <f>IFERROR(IF(C1224="","",_xlfn.XLOOKUP(C1224,STUDENTS!C1223:C101220,STUDENTS!F1223:F101220)),"update STUDENT sheet")</f>
        <v/>
      </c>
      <c r="F1224">
        <f>IFERROR(IF(D1224="","",_xlfn.XLOOKUP(D1224,STUDENTS!D1223:D101220,STUDENTS!G1223:G101220)),"update STUDENT sheet")</f>
        <v/>
      </c>
      <c r="G1224">
        <f>IFERROR(IF(E1224="","",_xlfn.XLOOKUP(E1224,STUDENTS!F1223:F101220,STUDENTS!H1223:H101220)),"update STUDENT sheet")</f>
        <v/>
      </c>
    </row>
    <row r="1225">
      <c r="B1225">
        <f>IF(STUDENTS!B1224="","",STUDENTS!B1224)</f>
        <v/>
      </c>
      <c r="C1225">
        <f>IFERROR(IF(B1225="","",_xlfn.XLOOKUP(B1225,STUDENTS!$B$3:$B$1048576,STUDENTS!$C$3:$C$1048576)),"Enter a registered reg. no")</f>
        <v/>
      </c>
      <c r="D1225">
        <f>IFERROR(IF(B1225="","",_xlfn.XLOOKUP(B1225,STUDENTS!B1224:B101221,STUDENTS!D1224:D101221)),"update STUDENT sheet")</f>
        <v/>
      </c>
      <c r="E1225">
        <f>IFERROR(IF(C1225="","",_xlfn.XLOOKUP(C1225,STUDENTS!C1224:C101221,STUDENTS!F1224:F101221)),"update STUDENT sheet")</f>
        <v/>
      </c>
      <c r="F1225">
        <f>IFERROR(IF(D1225="","",_xlfn.XLOOKUP(D1225,STUDENTS!D1224:D101221,STUDENTS!G1224:G101221)),"update STUDENT sheet")</f>
        <v/>
      </c>
      <c r="G1225">
        <f>IFERROR(IF(E1225="","",_xlfn.XLOOKUP(E1225,STUDENTS!F1224:F101221,STUDENTS!H1224:H101221)),"update STUDENT sheet")</f>
        <v/>
      </c>
    </row>
    <row r="1226">
      <c r="B1226">
        <f>IF(STUDENTS!B1225="","",STUDENTS!B1225)</f>
        <v/>
      </c>
      <c r="C1226">
        <f>IFERROR(IF(B1226="","",_xlfn.XLOOKUP(B1226,STUDENTS!$B$3:$B$1048576,STUDENTS!$C$3:$C$1048576)),"Enter a registered reg. no")</f>
        <v/>
      </c>
      <c r="D1226">
        <f>IFERROR(IF(B1226="","",_xlfn.XLOOKUP(B1226,STUDENTS!B1225:B101222,STUDENTS!D1225:D101222)),"update STUDENT sheet")</f>
        <v/>
      </c>
      <c r="E1226">
        <f>IFERROR(IF(C1226="","",_xlfn.XLOOKUP(C1226,STUDENTS!C1225:C101222,STUDENTS!F1225:F101222)),"update STUDENT sheet")</f>
        <v/>
      </c>
      <c r="F1226">
        <f>IFERROR(IF(D1226="","",_xlfn.XLOOKUP(D1226,STUDENTS!D1225:D101222,STUDENTS!G1225:G101222)),"update STUDENT sheet")</f>
        <v/>
      </c>
      <c r="G1226">
        <f>IFERROR(IF(E1226="","",_xlfn.XLOOKUP(E1226,STUDENTS!F1225:F101222,STUDENTS!H1225:H101222)),"update STUDENT sheet")</f>
        <v/>
      </c>
    </row>
    <row r="1227">
      <c r="B1227">
        <f>IF(STUDENTS!B1226="","",STUDENTS!B1226)</f>
        <v/>
      </c>
      <c r="C1227">
        <f>IFERROR(IF(B1227="","",_xlfn.XLOOKUP(B1227,STUDENTS!$B$3:$B$1048576,STUDENTS!$C$3:$C$1048576)),"Enter a registered reg. no")</f>
        <v/>
      </c>
      <c r="D1227">
        <f>IFERROR(IF(B1227="","",_xlfn.XLOOKUP(B1227,STUDENTS!B1226:B101223,STUDENTS!D1226:D101223)),"update STUDENT sheet")</f>
        <v/>
      </c>
      <c r="E1227">
        <f>IFERROR(IF(C1227="","",_xlfn.XLOOKUP(C1227,STUDENTS!C1226:C101223,STUDENTS!F1226:F101223)),"update STUDENT sheet")</f>
        <v/>
      </c>
      <c r="F1227">
        <f>IFERROR(IF(D1227="","",_xlfn.XLOOKUP(D1227,STUDENTS!D1226:D101223,STUDENTS!G1226:G101223)),"update STUDENT sheet")</f>
        <v/>
      </c>
      <c r="G1227">
        <f>IFERROR(IF(E1227="","",_xlfn.XLOOKUP(E1227,STUDENTS!F1226:F101223,STUDENTS!H1226:H101223)),"update STUDENT sheet")</f>
        <v/>
      </c>
    </row>
    <row r="1228">
      <c r="B1228">
        <f>IF(STUDENTS!B1227="","",STUDENTS!B1227)</f>
        <v/>
      </c>
      <c r="C1228">
        <f>IFERROR(IF(B1228="","",_xlfn.XLOOKUP(B1228,STUDENTS!$B$3:$B$1048576,STUDENTS!$C$3:$C$1048576)),"Enter a registered reg. no")</f>
        <v/>
      </c>
      <c r="D1228">
        <f>IFERROR(IF(B1228="","",_xlfn.XLOOKUP(B1228,STUDENTS!B1227:B101224,STUDENTS!D1227:D101224)),"update STUDENT sheet")</f>
        <v/>
      </c>
      <c r="E1228">
        <f>IFERROR(IF(C1228="","",_xlfn.XLOOKUP(C1228,STUDENTS!C1227:C101224,STUDENTS!F1227:F101224)),"update STUDENT sheet")</f>
        <v/>
      </c>
      <c r="F1228">
        <f>IFERROR(IF(D1228="","",_xlfn.XLOOKUP(D1228,STUDENTS!D1227:D101224,STUDENTS!G1227:G101224)),"update STUDENT sheet")</f>
        <v/>
      </c>
      <c r="G1228">
        <f>IFERROR(IF(E1228="","",_xlfn.XLOOKUP(E1228,STUDENTS!F1227:F101224,STUDENTS!H1227:H101224)),"update STUDENT sheet")</f>
        <v/>
      </c>
    </row>
    <row r="1229">
      <c r="B1229">
        <f>IF(STUDENTS!B1228="","",STUDENTS!B1228)</f>
        <v/>
      </c>
      <c r="C1229">
        <f>IFERROR(IF(B1229="","",_xlfn.XLOOKUP(B1229,STUDENTS!$B$3:$B$1048576,STUDENTS!$C$3:$C$1048576)),"Enter a registered reg. no")</f>
        <v/>
      </c>
      <c r="D1229">
        <f>IFERROR(IF(B1229="","",_xlfn.XLOOKUP(B1229,STUDENTS!B1228:B101225,STUDENTS!D1228:D101225)),"update STUDENT sheet")</f>
        <v/>
      </c>
      <c r="E1229">
        <f>IFERROR(IF(C1229="","",_xlfn.XLOOKUP(C1229,STUDENTS!C1228:C101225,STUDENTS!F1228:F101225)),"update STUDENT sheet")</f>
        <v/>
      </c>
      <c r="F1229">
        <f>IFERROR(IF(D1229="","",_xlfn.XLOOKUP(D1229,STUDENTS!D1228:D101225,STUDENTS!G1228:G101225)),"update STUDENT sheet")</f>
        <v/>
      </c>
      <c r="G1229">
        <f>IFERROR(IF(E1229="","",_xlfn.XLOOKUP(E1229,STUDENTS!F1228:F101225,STUDENTS!H1228:H101225)),"update STUDENT sheet")</f>
        <v/>
      </c>
    </row>
    <row r="1230">
      <c r="B1230">
        <f>IF(STUDENTS!B1229="","",STUDENTS!B1229)</f>
        <v/>
      </c>
      <c r="C1230">
        <f>IFERROR(IF(B1230="","",_xlfn.XLOOKUP(B1230,STUDENTS!$B$3:$B$1048576,STUDENTS!$C$3:$C$1048576)),"Enter a registered reg. no")</f>
        <v/>
      </c>
      <c r="D1230">
        <f>IFERROR(IF(B1230="","",_xlfn.XLOOKUP(B1230,STUDENTS!B1229:B101226,STUDENTS!D1229:D101226)),"update STUDENT sheet")</f>
        <v/>
      </c>
      <c r="E1230">
        <f>IFERROR(IF(C1230="","",_xlfn.XLOOKUP(C1230,STUDENTS!C1229:C101226,STUDENTS!F1229:F101226)),"update STUDENT sheet")</f>
        <v/>
      </c>
      <c r="F1230">
        <f>IFERROR(IF(D1230="","",_xlfn.XLOOKUP(D1230,STUDENTS!D1229:D101226,STUDENTS!G1229:G101226)),"update STUDENT sheet")</f>
        <v/>
      </c>
      <c r="G1230">
        <f>IFERROR(IF(E1230="","",_xlfn.XLOOKUP(E1230,STUDENTS!F1229:F101226,STUDENTS!H1229:H101226)),"update STUDENT sheet")</f>
        <v/>
      </c>
    </row>
    <row r="1231">
      <c r="B1231">
        <f>IF(STUDENTS!B1230="","",STUDENTS!B1230)</f>
        <v/>
      </c>
      <c r="C1231">
        <f>IFERROR(IF(B1231="","",_xlfn.XLOOKUP(B1231,STUDENTS!$B$3:$B$1048576,STUDENTS!$C$3:$C$1048576)),"Enter a registered reg. no")</f>
        <v/>
      </c>
      <c r="D1231">
        <f>IFERROR(IF(B1231="","",_xlfn.XLOOKUP(B1231,STUDENTS!B1230:B101227,STUDENTS!D1230:D101227)),"update STUDENT sheet")</f>
        <v/>
      </c>
      <c r="E1231">
        <f>IFERROR(IF(C1231="","",_xlfn.XLOOKUP(C1231,STUDENTS!C1230:C101227,STUDENTS!F1230:F101227)),"update STUDENT sheet")</f>
        <v/>
      </c>
      <c r="F1231">
        <f>IFERROR(IF(D1231="","",_xlfn.XLOOKUP(D1231,STUDENTS!D1230:D101227,STUDENTS!G1230:G101227)),"update STUDENT sheet")</f>
        <v/>
      </c>
      <c r="G1231">
        <f>IFERROR(IF(E1231="","",_xlfn.XLOOKUP(E1231,STUDENTS!F1230:F101227,STUDENTS!H1230:H101227)),"update STUDENT sheet")</f>
        <v/>
      </c>
    </row>
    <row r="1232">
      <c r="B1232">
        <f>IF(STUDENTS!B1231="","",STUDENTS!B1231)</f>
        <v/>
      </c>
      <c r="C1232">
        <f>IFERROR(IF(B1232="","",_xlfn.XLOOKUP(B1232,STUDENTS!$B$3:$B$1048576,STUDENTS!$C$3:$C$1048576)),"Enter a registered reg. no")</f>
        <v/>
      </c>
      <c r="D1232">
        <f>IFERROR(IF(B1232="","",_xlfn.XLOOKUP(B1232,STUDENTS!B1231:B101228,STUDENTS!D1231:D101228)),"update STUDENT sheet")</f>
        <v/>
      </c>
      <c r="E1232">
        <f>IFERROR(IF(C1232="","",_xlfn.XLOOKUP(C1232,STUDENTS!C1231:C101228,STUDENTS!F1231:F101228)),"update STUDENT sheet")</f>
        <v/>
      </c>
      <c r="F1232">
        <f>IFERROR(IF(D1232="","",_xlfn.XLOOKUP(D1232,STUDENTS!D1231:D101228,STUDENTS!G1231:G101228)),"update STUDENT sheet")</f>
        <v/>
      </c>
      <c r="G1232">
        <f>IFERROR(IF(E1232="","",_xlfn.XLOOKUP(E1232,STUDENTS!F1231:F101228,STUDENTS!H1231:H101228)),"update STUDENT sheet")</f>
        <v/>
      </c>
    </row>
    <row r="1233">
      <c r="B1233">
        <f>IF(STUDENTS!B1232="","",STUDENTS!B1232)</f>
        <v/>
      </c>
      <c r="C1233">
        <f>IFERROR(IF(B1233="","",_xlfn.XLOOKUP(B1233,STUDENTS!$B$3:$B$1048576,STUDENTS!$C$3:$C$1048576)),"Enter a registered reg. no")</f>
        <v/>
      </c>
      <c r="D1233">
        <f>IFERROR(IF(B1233="","",_xlfn.XLOOKUP(B1233,STUDENTS!B1232:B101229,STUDENTS!D1232:D101229)),"update STUDENT sheet")</f>
        <v/>
      </c>
      <c r="E1233">
        <f>IFERROR(IF(C1233="","",_xlfn.XLOOKUP(C1233,STUDENTS!C1232:C101229,STUDENTS!F1232:F101229)),"update STUDENT sheet")</f>
        <v/>
      </c>
      <c r="F1233">
        <f>IFERROR(IF(D1233="","",_xlfn.XLOOKUP(D1233,STUDENTS!D1232:D101229,STUDENTS!G1232:G101229)),"update STUDENT sheet")</f>
        <v/>
      </c>
      <c r="G1233">
        <f>IFERROR(IF(E1233="","",_xlfn.XLOOKUP(E1233,STUDENTS!F1232:F101229,STUDENTS!H1232:H101229)),"update STUDENT sheet")</f>
        <v/>
      </c>
    </row>
    <row r="1234">
      <c r="B1234">
        <f>IF(STUDENTS!B1233="","",STUDENTS!B1233)</f>
        <v/>
      </c>
      <c r="C1234">
        <f>IFERROR(IF(B1234="","",_xlfn.XLOOKUP(B1234,STUDENTS!$B$3:$B$1048576,STUDENTS!$C$3:$C$1048576)),"Enter a registered reg. no")</f>
        <v/>
      </c>
      <c r="D1234">
        <f>IFERROR(IF(B1234="","",_xlfn.XLOOKUP(B1234,STUDENTS!B1233:B101230,STUDENTS!D1233:D101230)),"update STUDENT sheet")</f>
        <v/>
      </c>
      <c r="E1234">
        <f>IFERROR(IF(C1234="","",_xlfn.XLOOKUP(C1234,STUDENTS!C1233:C101230,STUDENTS!F1233:F101230)),"update STUDENT sheet")</f>
        <v/>
      </c>
      <c r="F1234">
        <f>IFERROR(IF(D1234="","",_xlfn.XLOOKUP(D1234,STUDENTS!D1233:D101230,STUDENTS!G1233:G101230)),"update STUDENT sheet")</f>
        <v/>
      </c>
      <c r="G1234">
        <f>IFERROR(IF(E1234="","",_xlfn.XLOOKUP(E1234,STUDENTS!F1233:F101230,STUDENTS!H1233:H101230)),"update STUDENT sheet")</f>
        <v/>
      </c>
    </row>
    <row r="1235">
      <c r="B1235">
        <f>IF(STUDENTS!B1234="","",STUDENTS!B1234)</f>
        <v/>
      </c>
      <c r="C1235">
        <f>IFERROR(IF(B1235="","",_xlfn.XLOOKUP(B1235,STUDENTS!$B$3:$B$1048576,STUDENTS!$C$3:$C$1048576)),"Enter a registered reg. no")</f>
        <v/>
      </c>
      <c r="D1235">
        <f>IFERROR(IF(B1235="","",_xlfn.XLOOKUP(B1235,STUDENTS!B1234:B101231,STUDENTS!D1234:D101231)),"update STUDENT sheet")</f>
        <v/>
      </c>
      <c r="E1235">
        <f>IFERROR(IF(C1235="","",_xlfn.XLOOKUP(C1235,STUDENTS!C1234:C101231,STUDENTS!F1234:F101231)),"update STUDENT sheet")</f>
        <v/>
      </c>
      <c r="F1235">
        <f>IFERROR(IF(D1235="","",_xlfn.XLOOKUP(D1235,STUDENTS!D1234:D101231,STUDENTS!G1234:G101231)),"update STUDENT sheet")</f>
        <v/>
      </c>
      <c r="G1235">
        <f>IFERROR(IF(E1235="","",_xlfn.XLOOKUP(E1235,STUDENTS!F1234:F101231,STUDENTS!H1234:H101231)),"update STUDENT sheet")</f>
        <v/>
      </c>
    </row>
    <row r="1236">
      <c r="B1236">
        <f>IF(STUDENTS!B1235="","",STUDENTS!B1235)</f>
        <v/>
      </c>
      <c r="C1236">
        <f>IFERROR(IF(B1236="","",_xlfn.XLOOKUP(B1236,STUDENTS!$B$3:$B$1048576,STUDENTS!$C$3:$C$1048576)),"Enter a registered reg. no")</f>
        <v/>
      </c>
      <c r="D1236">
        <f>IFERROR(IF(B1236="","",_xlfn.XLOOKUP(B1236,STUDENTS!B1235:B101232,STUDENTS!D1235:D101232)),"update STUDENT sheet")</f>
        <v/>
      </c>
      <c r="E1236">
        <f>IFERROR(IF(C1236="","",_xlfn.XLOOKUP(C1236,STUDENTS!C1235:C101232,STUDENTS!F1235:F101232)),"update STUDENT sheet")</f>
        <v/>
      </c>
      <c r="F1236">
        <f>IFERROR(IF(D1236="","",_xlfn.XLOOKUP(D1236,STUDENTS!D1235:D101232,STUDENTS!G1235:G101232)),"update STUDENT sheet")</f>
        <v/>
      </c>
      <c r="G1236">
        <f>IFERROR(IF(E1236="","",_xlfn.XLOOKUP(E1236,STUDENTS!F1235:F101232,STUDENTS!H1235:H101232)),"update STUDENT sheet")</f>
        <v/>
      </c>
    </row>
    <row r="1237">
      <c r="B1237">
        <f>IF(STUDENTS!B1236="","",STUDENTS!B1236)</f>
        <v/>
      </c>
      <c r="C1237">
        <f>IFERROR(IF(B1237="","",_xlfn.XLOOKUP(B1237,STUDENTS!$B$3:$B$1048576,STUDENTS!$C$3:$C$1048576)),"Enter a registered reg. no")</f>
        <v/>
      </c>
      <c r="D1237">
        <f>IFERROR(IF(B1237="","",_xlfn.XLOOKUP(B1237,STUDENTS!B1236:B101233,STUDENTS!D1236:D101233)),"update STUDENT sheet")</f>
        <v/>
      </c>
      <c r="E1237">
        <f>IFERROR(IF(C1237="","",_xlfn.XLOOKUP(C1237,STUDENTS!C1236:C101233,STUDENTS!F1236:F101233)),"update STUDENT sheet")</f>
        <v/>
      </c>
      <c r="F1237">
        <f>IFERROR(IF(D1237="","",_xlfn.XLOOKUP(D1237,STUDENTS!D1236:D101233,STUDENTS!G1236:G101233)),"update STUDENT sheet")</f>
        <v/>
      </c>
      <c r="G1237">
        <f>IFERROR(IF(E1237="","",_xlfn.XLOOKUP(E1237,STUDENTS!F1236:F101233,STUDENTS!H1236:H101233)),"update STUDENT sheet")</f>
        <v/>
      </c>
    </row>
    <row r="1238">
      <c r="B1238">
        <f>IF(STUDENTS!B1237="","",STUDENTS!B1237)</f>
        <v/>
      </c>
      <c r="C1238">
        <f>IFERROR(IF(B1238="","",_xlfn.XLOOKUP(B1238,STUDENTS!$B$3:$B$1048576,STUDENTS!$C$3:$C$1048576)),"Enter a registered reg. no")</f>
        <v/>
      </c>
      <c r="D1238">
        <f>IFERROR(IF(B1238="","",_xlfn.XLOOKUP(B1238,STUDENTS!B1237:B101234,STUDENTS!D1237:D101234)),"update STUDENT sheet")</f>
        <v/>
      </c>
      <c r="E1238">
        <f>IFERROR(IF(C1238="","",_xlfn.XLOOKUP(C1238,STUDENTS!C1237:C101234,STUDENTS!F1237:F101234)),"update STUDENT sheet")</f>
        <v/>
      </c>
      <c r="F1238">
        <f>IFERROR(IF(D1238="","",_xlfn.XLOOKUP(D1238,STUDENTS!D1237:D101234,STUDENTS!G1237:G101234)),"update STUDENT sheet")</f>
        <v/>
      </c>
      <c r="G1238">
        <f>IFERROR(IF(E1238="","",_xlfn.XLOOKUP(E1238,STUDENTS!F1237:F101234,STUDENTS!H1237:H101234)),"update STUDENT sheet")</f>
        <v/>
      </c>
    </row>
    <row r="1239">
      <c r="B1239">
        <f>IF(STUDENTS!B1238="","",STUDENTS!B1238)</f>
        <v/>
      </c>
      <c r="C1239">
        <f>IFERROR(IF(B1239="","",_xlfn.XLOOKUP(B1239,STUDENTS!$B$3:$B$1048576,STUDENTS!$C$3:$C$1048576)),"Enter a registered reg. no")</f>
        <v/>
      </c>
      <c r="D1239">
        <f>IFERROR(IF(B1239="","",_xlfn.XLOOKUP(B1239,STUDENTS!B1238:B101235,STUDENTS!D1238:D101235)),"update STUDENT sheet")</f>
        <v/>
      </c>
      <c r="E1239">
        <f>IFERROR(IF(C1239="","",_xlfn.XLOOKUP(C1239,STUDENTS!C1238:C101235,STUDENTS!F1238:F101235)),"update STUDENT sheet")</f>
        <v/>
      </c>
      <c r="F1239">
        <f>IFERROR(IF(D1239="","",_xlfn.XLOOKUP(D1239,STUDENTS!D1238:D101235,STUDENTS!G1238:G101235)),"update STUDENT sheet")</f>
        <v/>
      </c>
      <c r="G1239">
        <f>IFERROR(IF(E1239="","",_xlfn.XLOOKUP(E1239,STUDENTS!F1238:F101235,STUDENTS!H1238:H101235)),"update STUDENT sheet")</f>
        <v/>
      </c>
    </row>
    <row r="1240">
      <c r="B1240">
        <f>IF(STUDENTS!B1239="","",STUDENTS!B1239)</f>
        <v/>
      </c>
      <c r="C1240">
        <f>IFERROR(IF(B1240="","",_xlfn.XLOOKUP(B1240,STUDENTS!$B$3:$B$1048576,STUDENTS!$C$3:$C$1048576)),"Enter a registered reg. no")</f>
        <v/>
      </c>
      <c r="D1240">
        <f>IFERROR(IF(B1240="","",_xlfn.XLOOKUP(B1240,STUDENTS!B1239:B101236,STUDENTS!D1239:D101236)),"update STUDENT sheet")</f>
        <v/>
      </c>
      <c r="E1240">
        <f>IFERROR(IF(C1240="","",_xlfn.XLOOKUP(C1240,STUDENTS!C1239:C101236,STUDENTS!F1239:F101236)),"update STUDENT sheet")</f>
        <v/>
      </c>
      <c r="F1240">
        <f>IFERROR(IF(D1240="","",_xlfn.XLOOKUP(D1240,STUDENTS!D1239:D101236,STUDENTS!G1239:G101236)),"update STUDENT sheet")</f>
        <v/>
      </c>
      <c r="G1240">
        <f>IFERROR(IF(E1240="","",_xlfn.XLOOKUP(E1240,STUDENTS!F1239:F101236,STUDENTS!H1239:H101236)),"update STUDENT sheet")</f>
        <v/>
      </c>
    </row>
    <row r="1241">
      <c r="B1241">
        <f>IF(STUDENTS!B1240="","",STUDENTS!B1240)</f>
        <v/>
      </c>
      <c r="C1241">
        <f>IFERROR(IF(B1241="","",_xlfn.XLOOKUP(B1241,STUDENTS!$B$3:$B$1048576,STUDENTS!$C$3:$C$1048576)),"Enter a registered reg. no")</f>
        <v/>
      </c>
      <c r="D1241">
        <f>IFERROR(IF(B1241="","",_xlfn.XLOOKUP(B1241,STUDENTS!B1240:B101237,STUDENTS!D1240:D101237)),"update STUDENT sheet")</f>
        <v/>
      </c>
      <c r="E1241">
        <f>IFERROR(IF(C1241="","",_xlfn.XLOOKUP(C1241,STUDENTS!C1240:C101237,STUDENTS!F1240:F101237)),"update STUDENT sheet")</f>
        <v/>
      </c>
      <c r="F1241">
        <f>IFERROR(IF(D1241="","",_xlfn.XLOOKUP(D1241,STUDENTS!D1240:D101237,STUDENTS!G1240:G101237)),"update STUDENT sheet")</f>
        <v/>
      </c>
      <c r="G1241">
        <f>IFERROR(IF(E1241="","",_xlfn.XLOOKUP(E1241,STUDENTS!F1240:F101237,STUDENTS!H1240:H101237)),"update STUDENT sheet")</f>
        <v/>
      </c>
    </row>
    <row r="1242">
      <c r="B1242">
        <f>IF(STUDENTS!B1241="","",STUDENTS!B1241)</f>
        <v/>
      </c>
      <c r="C1242">
        <f>IFERROR(IF(B1242="","",_xlfn.XLOOKUP(B1242,STUDENTS!$B$3:$B$1048576,STUDENTS!$C$3:$C$1048576)),"Enter a registered reg. no")</f>
        <v/>
      </c>
      <c r="D1242">
        <f>IFERROR(IF(B1242="","",_xlfn.XLOOKUP(B1242,STUDENTS!B1241:B101238,STUDENTS!D1241:D101238)),"update STUDENT sheet")</f>
        <v/>
      </c>
      <c r="E1242">
        <f>IFERROR(IF(C1242="","",_xlfn.XLOOKUP(C1242,STUDENTS!C1241:C101238,STUDENTS!F1241:F101238)),"update STUDENT sheet")</f>
        <v/>
      </c>
      <c r="F1242">
        <f>IFERROR(IF(D1242="","",_xlfn.XLOOKUP(D1242,STUDENTS!D1241:D101238,STUDENTS!G1241:G101238)),"update STUDENT sheet")</f>
        <v/>
      </c>
      <c r="G1242">
        <f>IFERROR(IF(E1242="","",_xlfn.XLOOKUP(E1242,STUDENTS!F1241:F101238,STUDENTS!H1241:H101238)),"update STUDENT sheet")</f>
        <v/>
      </c>
    </row>
    <row r="1243">
      <c r="B1243">
        <f>IF(STUDENTS!B1242="","",STUDENTS!B1242)</f>
        <v/>
      </c>
      <c r="C1243">
        <f>IFERROR(IF(B1243="","",_xlfn.XLOOKUP(B1243,STUDENTS!$B$3:$B$1048576,STUDENTS!$C$3:$C$1048576)),"Enter a registered reg. no")</f>
        <v/>
      </c>
      <c r="D1243">
        <f>IFERROR(IF(B1243="","",_xlfn.XLOOKUP(B1243,STUDENTS!B1242:B101239,STUDENTS!D1242:D101239)),"update STUDENT sheet")</f>
        <v/>
      </c>
      <c r="E1243">
        <f>IFERROR(IF(C1243="","",_xlfn.XLOOKUP(C1243,STUDENTS!C1242:C101239,STUDENTS!F1242:F101239)),"update STUDENT sheet")</f>
        <v/>
      </c>
      <c r="F1243">
        <f>IFERROR(IF(D1243="","",_xlfn.XLOOKUP(D1243,STUDENTS!D1242:D101239,STUDENTS!G1242:G101239)),"update STUDENT sheet")</f>
        <v/>
      </c>
      <c r="G1243">
        <f>IFERROR(IF(E1243="","",_xlfn.XLOOKUP(E1243,STUDENTS!F1242:F101239,STUDENTS!H1242:H101239)),"update STUDENT sheet")</f>
        <v/>
      </c>
    </row>
    <row r="1244">
      <c r="B1244">
        <f>IF(STUDENTS!B1243="","",STUDENTS!B1243)</f>
        <v/>
      </c>
      <c r="C1244">
        <f>IFERROR(IF(B1244="","",_xlfn.XLOOKUP(B1244,STUDENTS!$B$3:$B$1048576,STUDENTS!$C$3:$C$1048576)),"Enter a registered reg. no")</f>
        <v/>
      </c>
      <c r="D1244">
        <f>IFERROR(IF(B1244="","",_xlfn.XLOOKUP(B1244,STUDENTS!B1243:B101240,STUDENTS!D1243:D101240)),"update STUDENT sheet")</f>
        <v/>
      </c>
      <c r="E1244">
        <f>IFERROR(IF(C1244="","",_xlfn.XLOOKUP(C1244,STUDENTS!C1243:C101240,STUDENTS!F1243:F101240)),"update STUDENT sheet")</f>
        <v/>
      </c>
      <c r="F1244">
        <f>IFERROR(IF(D1244="","",_xlfn.XLOOKUP(D1244,STUDENTS!D1243:D101240,STUDENTS!G1243:G101240)),"update STUDENT sheet")</f>
        <v/>
      </c>
      <c r="G1244">
        <f>IFERROR(IF(E1244="","",_xlfn.XLOOKUP(E1244,STUDENTS!F1243:F101240,STUDENTS!H1243:H101240)),"update STUDENT sheet")</f>
        <v/>
      </c>
    </row>
    <row r="1245">
      <c r="B1245">
        <f>IF(STUDENTS!B1244="","",STUDENTS!B1244)</f>
        <v/>
      </c>
      <c r="C1245">
        <f>IFERROR(IF(B1245="","",_xlfn.XLOOKUP(B1245,STUDENTS!$B$3:$B$1048576,STUDENTS!$C$3:$C$1048576)),"Enter a registered reg. no")</f>
        <v/>
      </c>
      <c r="D1245">
        <f>IFERROR(IF(B1245="","",_xlfn.XLOOKUP(B1245,STUDENTS!B1244:B101241,STUDENTS!D1244:D101241)),"update STUDENT sheet")</f>
        <v/>
      </c>
      <c r="E1245">
        <f>IFERROR(IF(C1245="","",_xlfn.XLOOKUP(C1245,STUDENTS!C1244:C101241,STUDENTS!F1244:F101241)),"update STUDENT sheet")</f>
        <v/>
      </c>
      <c r="F1245">
        <f>IFERROR(IF(D1245="","",_xlfn.XLOOKUP(D1245,STUDENTS!D1244:D101241,STUDENTS!G1244:G101241)),"update STUDENT sheet")</f>
        <v/>
      </c>
      <c r="G1245">
        <f>IFERROR(IF(E1245="","",_xlfn.XLOOKUP(E1245,STUDENTS!F1244:F101241,STUDENTS!H1244:H101241)),"update STUDENT sheet")</f>
        <v/>
      </c>
    </row>
    <row r="1246">
      <c r="B1246">
        <f>IF(STUDENTS!B1245="","",STUDENTS!B1245)</f>
        <v/>
      </c>
      <c r="C1246">
        <f>IFERROR(IF(B1246="","",_xlfn.XLOOKUP(B1246,STUDENTS!$B$3:$B$1048576,STUDENTS!$C$3:$C$1048576)),"Enter a registered reg. no")</f>
        <v/>
      </c>
      <c r="D1246">
        <f>IFERROR(IF(B1246="","",_xlfn.XLOOKUP(B1246,STUDENTS!B1245:B101242,STUDENTS!D1245:D101242)),"update STUDENT sheet")</f>
        <v/>
      </c>
      <c r="E1246">
        <f>IFERROR(IF(C1246="","",_xlfn.XLOOKUP(C1246,STUDENTS!C1245:C101242,STUDENTS!F1245:F101242)),"update STUDENT sheet")</f>
        <v/>
      </c>
      <c r="F1246">
        <f>IFERROR(IF(D1246="","",_xlfn.XLOOKUP(D1246,STUDENTS!D1245:D101242,STUDENTS!G1245:G101242)),"update STUDENT sheet")</f>
        <v/>
      </c>
      <c r="G1246">
        <f>IFERROR(IF(E1246="","",_xlfn.XLOOKUP(E1246,STUDENTS!F1245:F101242,STUDENTS!H1245:H101242)),"update STUDENT sheet")</f>
        <v/>
      </c>
    </row>
    <row r="1247">
      <c r="B1247">
        <f>IF(STUDENTS!B1246="","",STUDENTS!B1246)</f>
        <v/>
      </c>
      <c r="C1247">
        <f>IFERROR(IF(B1247="","",_xlfn.XLOOKUP(B1247,STUDENTS!$B$3:$B$1048576,STUDENTS!$C$3:$C$1048576)),"Enter a registered reg. no")</f>
        <v/>
      </c>
      <c r="D1247">
        <f>IFERROR(IF(B1247="","",_xlfn.XLOOKUP(B1247,STUDENTS!B1246:B101243,STUDENTS!D1246:D101243)),"update STUDENT sheet")</f>
        <v/>
      </c>
      <c r="E1247">
        <f>IFERROR(IF(C1247="","",_xlfn.XLOOKUP(C1247,STUDENTS!C1246:C101243,STUDENTS!F1246:F101243)),"update STUDENT sheet")</f>
        <v/>
      </c>
      <c r="F1247">
        <f>IFERROR(IF(D1247="","",_xlfn.XLOOKUP(D1247,STUDENTS!D1246:D101243,STUDENTS!G1246:G101243)),"update STUDENT sheet")</f>
        <v/>
      </c>
      <c r="G1247">
        <f>IFERROR(IF(E1247="","",_xlfn.XLOOKUP(E1247,STUDENTS!F1246:F101243,STUDENTS!H1246:H101243)),"update STUDENT sheet")</f>
        <v/>
      </c>
    </row>
    <row r="1248">
      <c r="B1248">
        <f>IF(STUDENTS!B1247="","",STUDENTS!B1247)</f>
        <v/>
      </c>
      <c r="C1248">
        <f>IFERROR(IF(B1248="","",_xlfn.XLOOKUP(B1248,STUDENTS!$B$3:$B$1048576,STUDENTS!$C$3:$C$1048576)),"Enter a registered reg. no")</f>
        <v/>
      </c>
      <c r="D1248">
        <f>IFERROR(IF(B1248="","",_xlfn.XLOOKUP(B1248,STUDENTS!B1247:B101244,STUDENTS!D1247:D101244)),"update STUDENT sheet")</f>
        <v/>
      </c>
      <c r="E1248">
        <f>IFERROR(IF(C1248="","",_xlfn.XLOOKUP(C1248,STUDENTS!C1247:C101244,STUDENTS!F1247:F101244)),"update STUDENT sheet")</f>
        <v/>
      </c>
      <c r="F1248">
        <f>IFERROR(IF(D1248="","",_xlfn.XLOOKUP(D1248,STUDENTS!D1247:D101244,STUDENTS!G1247:G101244)),"update STUDENT sheet")</f>
        <v/>
      </c>
      <c r="G1248">
        <f>IFERROR(IF(E1248="","",_xlfn.XLOOKUP(E1248,STUDENTS!F1247:F101244,STUDENTS!H1247:H101244)),"update STUDENT sheet")</f>
        <v/>
      </c>
    </row>
    <row r="1249">
      <c r="B1249">
        <f>IF(STUDENTS!B1248="","",STUDENTS!B1248)</f>
        <v/>
      </c>
      <c r="C1249">
        <f>IFERROR(IF(B1249="","",_xlfn.XLOOKUP(B1249,STUDENTS!$B$3:$B$1048576,STUDENTS!$C$3:$C$1048576)),"Enter a registered reg. no")</f>
        <v/>
      </c>
      <c r="D1249">
        <f>IFERROR(IF(B1249="","",_xlfn.XLOOKUP(B1249,STUDENTS!B1248:B101245,STUDENTS!D1248:D101245)),"update STUDENT sheet")</f>
        <v/>
      </c>
      <c r="E1249">
        <f>IFERROR(IF(C1249="","",_xlfn.XLOOKUP(C1249,STUDENTS!C1248:C101245,STUDENTS!F1248:F101245)),"update STUDENT sheet")</f>
        <v/>
      </c>
      <c r="F1249">
        <f>IFERROR(IF(D1249="","",_xlfn.XLOOKUP(D1249,STUDENTS!D1248:D101245,STUDENTS!G1248:G101245)),"update STUDENT sheet")</f>
        <v/>
      </c>
      <c r="G1249">
        <f>IFERROR(IF(E1249="","",_xlfn.XLOOKUP(E1249,STUDENTS!F1248:F101245,STUDENTS!H1248:H101245)),"update STUDENT sheet")</f>
        <v/>
      </c>
    </row>
    <row r="1250">
      <c r="B1250">
        <f>IF(STUDENTS!B1249="","",STUDENTS!B1249)</f>
        <v/>
      </c>
      <c r="C1250">
        <f>IFERROR(IF(B1250="","",_xlfn.XLOOKUP(B1250,STUDENTS!$B$3:$B$1048576,STUDENTS!$C$3:$C$1048576)),"Enter a registered reg. no")</f>
        <v/>
      </c>
      <c r="D1250">
        <f>IFERROR(IF(B1250="","",_xlfn.XLOOKUP(B1250,STUDENTS!B1249:B101246,STUDENTS!D1249:D101246)),"update STUDENT sheet")</f>
        <v/>
      </c>
      <c r="E1250">
        <f>IFERROR(IF(C1250="","",_xlfn.XLOOKUP(C1250,STUDENTS!C1249:C101246,STUDENTS!F1249:F101246)),"update STUDENT sheet")</f>
        <v/>
      </c>
      <c r="F1250">
        <f>IFERROR(IF(D1250="","",_xlfn.XLOOKUP(D1250,STUDENTS!D1249:D101246,STUDENTS!G1249:G101246)),"update STUDENT sheet")</f>
        <v/>
      </c>
      <c r="G1250">
        <f>IFERROR(IF(E1250="","",_xlfn.XLOOKUP(E1250,STUDENTS!F1249:F101246,STUDENTS!H1249:H101246)),"update STUDENT sheet")</f>
        <v/>
      </c>
    </row>
    <row r="1251">
      <c r="B1251">
        <f>IF(STUDENTS!B1250="","",STUDENTS!B1250)</f>
        <v/>
      </c>
      <c r="C1251">
        <f>IFERROR(IF(B1251="","",_xlfn.XLOOKUP(B1251,STUDENTS!$B$3:$B$1048576,STUDENTS!$C$3:$C$1048576)),"Enter a registered reg. no")</f>
        <v/>
      </c>
      <c r="D1251">
        <f>IFERROR(IF(B1251="","",_xlfn.XLOOKUP(B1251,STUDENTS!B1250:B101247,STUDENTS!D1250:D101247)),"update STUDENT sheet")</f>
        <v/>
      </c>
      <c r="E1251">
        <f>IFERROR(IF(C1251="","",_xlfn.XLOOKUP(C1251,STUDENTS!C1250:C101247,STUDENTS!F1250:F101247)),"update STUDENT sheet")</f>
        <v/>
      </c>
      <c r="F1251">
        <f>IFERROR(IF(D1251="","",_xlfn.XLOOKUP(D1251,STUDENTS!D1250:D101247,STUDENTS!G1250:G101247)),"update STUDENT sheet")</f>
        <v/>
      </c>
      <c r="G1251">
        <f>IFERROR(IF(E1251="","",_xlfn.XLOOKUP(E1251,STUDENTS!F1250:F101247,STUDENTS!H1250:H101247)),"update STUDENT sheet")</f>
        <v/>
      </c>
    </row>
    <row r="1252">
      <c r="B1252">
        <f>IF(STUDENTS!B1251="","",STUDENTS!B1251)</f>
        <v/>
      </c>
      <c r="C1252">
        <f>IFERROR(IF(B1252="","",_xlfn.XLOOKUP(B1252,STUDENTS!$B$3:$B$1048576,STUDENTS!$C$3:$C$1048576)),"Enter a registered reg. no")</f>
        <v/>
      </c>
      <c r="D1252">
        <f>IFERROR(IF(B1252="","",_xlfn.XLOOKUP(B1252,STUDENTS!B1251:B101248,STUDENTS!D1251:D101248)),"update STUDENT sheet")</f>
        <v/>
      </c>
      <c r="E1252">
        <f>IFERROR(IF(C1252="","",_xlfn.XLOOKUP(C1252,STUDENTS!C1251:C101248,STUDENTS!F1251:F101248)),"update STUDENT sheet")</f>
        <v/>
      </c>
      <c r="F1252">
        <f>IFERROR(IF(D1252="","",_xlfn.XLOOKUP(D1252,STUDENTS!D1251:D101248,STUDENTS!G1251:G101248)),"update STUDENT sheet")</f>
        <v/>
      </c>
      <c r="G1252">
        <f>IFERROR(IF(E1252="","",_xlfn.XLOOKUP(E1252,STUDENTS!F1251:F101248,STUDENTS!H1251:H101248)),"update STUDENT sheet")</f>
        <v/>
      </c>
    </row>
    <row r="1253">
      <c r="B1253">
        <f>IF(STUDENTS!B1252="","",STUDENTS!B1252)</f>
        <v/>
      </c>
      <c r="C1253">
        <f>IFERROR(IF(B1253="","",_xlfn.XLOOKUP(B1253,STUDENTS!$B$3:$B$1048576,STUDENTS!$C$3:$C$1048576)),"Enter a registered reg. no")</f>
        <v/>
      </c>
      <c r="D1253">
        <f>IFERROR(IF(B1253="","",_xlfn.XLOOKUP(B1253,STUDENTS!B1252:B101249,STUDENTS!D1252:D101249)),"update STUDENT sheet")</f>
        <v/>
      </c>
      <c r="E1253">
        <f>IFERROR(IF(C1253="","",_xlfn.XLOOKUP(C1253,STUDENTS!C1252:C101249,STUDENTS!F1252:F101249)),"update STUDENT sheet")</f>
        <v/>
      </c>
      <c r="F1253">
        <f>IFERROR(IF(D1253="","",_xlfn.XLOOKUP(D1253,STUDENTS!D1252:D101249,STUDENTS!G1252:G101249)),"update STUDENT sheet")</f>
        <v/>
      </c>
      <c r="G1253">
        <f>IFERROR(IF(E1253="","",_xlfn.XLOOKUP(E1253,STUDENTS!F1252:F101249,STUDENTS!H1252:H101249)),"update STUDENT sheet")</f>
        <v/>
      </c>
    </row>
    <row r="1254">
      <c r="B1254">
        <f>IF(STUDENTS!B1253="","",STUDENTS!B1253)</f>
        <v/>
      </c>
      <c r="C1254">
        <f>IFERROR(IF(B1254="","",_xlfn.XLOOKUP(B1254,STUDENTS!$B$3:$B$1048576,STUDENTS!$C$3:$C$1048576)),"Enter a registered reg. no")</f>
        <v/>
      </c>
      <c r="D1254">
        <f>IFERROR(IF(B1254="","",_xlfn.XLOOKUP(B1254,STUDENTS!B1253:B101250,STUDENTS!D1253:D101250)),"update STUDENT sheet")</f>
        <v/>
      </c>
      <c r="E1254">
        <f>IFERROR(IF(C1254="","",_xlfn.XLOOKUP(C1254,STUDENTS!C1253:C101250,STUDENTS!F1253:F101250)),"update STUDENT sheet")</f>
        <v/>
      </c>
      <c r="F1254">
        <f>IFERROR(IF(D1254="","",_xlfn.XLOOKUP(D1254,STUDENTS!D1253:D101250,STUDENTS!G1253:G101250)),"update STUDENT sheet")</f>
        <v/>
      </c>
      <c r="G1254">
        <f>IFERROR(IF(E1254="","",_xlfn.XLOOKUP(E1254,STUDENTS!F1253:F101250,STUDENTS!H1253:H101250)),"update STUDENT sheet")</f>
        <v/>
      </c>
    </row>
    <row r="1255">
      <c r="B1255">
        <f>IF(STUDENTS!B1254="","",STUDENTS!B1254)</f>
        <v/>
      </c>
      <c r="C1255">
        <f>IFERROR(IF(B1255="","",_xlfn.XLOOKUP(B1255,STUDENTS!$B$3:$B$1048576,STUDENTS!$C$3:$C$1048576)),"Enter a registered reg. no")</f>
        <v/>
      </c>
      <c r="D1255">
        <f>IFERROR(IF(B1255="","",_xlfn.XLOOKUP(B1255,STUDENTS!B1254:B101251,STUDENTS!D1254:D101251)),"update STUDENT sheet")</f>
        <v/>
      </c>
      <c r="E1255">
        <f>IFERROR(IF(C1255="","",_xlfn.XLOOKUP(C1255,STUDENTS!C1254:C101251,STUDENTS!F1254:F101251)),"update STUDENT sheet")</f>
        <v/>
      </c>
      <c r="F1255">
        <f>IFERROR(IF(D1255="","",_xlfn.XLOOKUP(D1255,STUDENTS!D1254:D101251,STUDENTS!G1254:G101251)),"update STUDENT sheet")</f>
        <v/>
      </c>
      <c r="G1255">
        <f>IFERROR(IF(E1255="","",_xlfn.XLOOKUP(E1255,STUDENTS!F1254:F101251,STUDENTS!H1254:H101251)),"update STUDENT sheet")</f>
        <v/>
      </c>
    </row>
    <row r="1256">
      <c r="B1256">
        <f>IF(STUDENTS!B1255="","",STUDENTS!B1255)</f>
        <v/>
      </c>
      <c r="C1256">
        <f>IFERROR(IF(B1256="","",_xlfn.XLOOKUP(B1256,STUDENTS!$B$3:$B$1048576,STUDENTS!$C$3:$C$1048576)),"Enter a registered reg. no")</f>
        <v/>
      </c>
      <c r="D1256">
        <f>IFERROR(IF(B1256="","",_xlfn.XLOOKUP(B1256,STUDENTS!B1255:B101252,STUDENTS!D1255:D101252)),"update STUDENT sheet")</f>
        <v/>
      </c>
      <c r="E1256">
        <f>IFERROR(IF(C1256="","",_xlfn.XLOOKUP(C1256,STUDENTS!C1255:C101252,STUDENTS!F1255:F101252)),"update STUDENT sheet")</f>
        <v/>
      </c>
      <c r="F1256">
        <f>IFERROR(IF(D1256="","",_xlfn.XLOOKUP(D1256,STUDENTS!D1255:D101252,STUDENTS!G1255:G101252)),"update STUDENT sheet")</f>
        <v/>
      </c>
      <c r="G1256">
        <f>IFERROR(IF(E1256="","",_xlfn.XLOOKUP(E1256,STUDENTS!F1255:F101252,STUDENTS!H1255:H101252)),"update STUDENT sheet")</f>
        <v/>
      </c>
    </row>
    <row r="1257">
      <c r="B1257">
        <f>IF(STUDENTS!B1256="","",STUDENTS!B1256)</f>
        <v/>
      </c>
      <c r="C1257">
        <f>IFERROR(IF(B1257="","",_xlfn.XLOOKUP(B1257,STUDENTS!$B$3:$B$1048576,STUDENTS!$C$3:$C$1048576)),"Enter a registered reg. no")</f>
        <v/>
      </c>
      <c r="D1257">
        <f>IFERROR(IF(B1257="","",_xlfn.XLOOKUP(B1257,STUDENTS!B1256:B101253,STUDENTS!D1256:D101253)),"update STUDENT sheet")</f>
        <v/>
      </c>
      <c r="E1257">
        <f>IFERROR(IF(C1257="","",_xlfn.XLOOKUP(C1257,STUDENTS!C1256:C101253,STUDENTS!F1256:F101253)),"update STUDENT sheet")</f>
        <v/>
      </c>
      <c r="F1257">
        <f>IFERROR(IF(D1257="","",_xlfn.XLOOKUP(D1257,STUDENTS!D1256:D101253,STUDENTS!G1256:G101253)),"update STUDENT sheet")</f>
        <v/>
      </c>
      <c r="G1257">
        <f>IFERROR(IF(E1257="","",_xlfn.XLOOKUP(E1257,STUDENTS!F1256:F101253,STUDENTS!H1256:H101253)),"update STUDENT sheet")</f>
        <v/>
      </c>
    </row>
    <row r="1258">
      <c r="B1258">
        <f>IF(STUDENTS!B1257="","",STUDENTS!B1257)</f>
        <v/>
      </c>
      <c r="C1258">
        <f>IFERROR(IF(B1258="","",_xlfn.XLOOKUP(B1258,STUDENTS!$B$3:$B$1048576,STUDENTS!$C$3:$C$1048576)),"Enter a registered reg. no")</f>
        <v/>
      </c>
      <c r="D1258">
        <f>IFERROR(IF(B1258="","",_xlfn.XLOOKUP(B1258,STUDENTS!B1257:B101254,STUDENTS!D1257:D101254)),"update STUDENT sheet")</f>
        <v/>
      </c>
      <c r="E1258">
        <f>IFERROR(IF(C1258="","",_xlfn.XLOOKUP(C1258,STUDENTS!C1257:C101254,STUDENTS!F1257:F101254)),"update STUDENT sheet")</f>
        <v/>
      </c>
      <c r="F1258">
        <f>IFERROR(IF(D1258="","",_xlfn.XLOOKUP(D1258,STUDENTS!D1257:D101254,STUDENTS!G1257:G101254)),"update STUDENT sheet")</f>
        <v/>
      </c>
      <c r="G1258">
        <f>IFERROR(IF(E1258="","",_xlfn.XLOOKUP(E1258,STUDENTS!F1257:F101254,STUDENTS!H1257:H101254)),"update STUDENT sheet")</f>
        <v/>
      </c>
    </row>
    <row r="1259">
      <c r="B1259">
        <f>IF(STUDENTS!B1258="","",STUDENTS!B1258)</f>
        <v/>
      </c>
      <c r="C1259">
        <f>IFERROR(IF(B1259="","",_xlfn.XLOOKUP(B1259,STUDENTS!$B$3:$B$1048576,STUDENTS!$C$3:$C$1048576)),"Enter a registered reg. no")</f>
        <v/>
      </c>
      <c r="D1259">
        <f>IFERROR(IF(B1259="","",_xlfn.XLOOKUP(B1259,STUDENTS!B1258:B101255,STUDENTS!D1258:D101255)),"update STUDENT sheet")</f>
        <v/>
      </c>
      <c r="E1259">
        <f>IFERROR(IF(C1259="","",_xlfn.XLOOKUP(C1259,STUDENTS!C1258:C101255,STUDENTS!F1258:F101255)),"update STUDENT sheet")</f>
        <v/>
      </c>
      <c r="F1259">
        <f>IFERROR(IF(D1259="","",_xlfn.XLOOKUP(D1259,STUDENTS!D1258:D101255,STUDENTS!G1258:G101255)),"update STUDENT sheet")</f>
        <v/>
      </c>
      <c r="G1259">
        <f>IFERROR(IF(E1259="","",_xlfn.XLOOKUP(E1259,STUDENTS!F1258:F101255,STUDENTS!H1258:H101255)),"update STUDENT sheet")</f>
        <v/>
      </c>
    </row>
    <row r="1260">
      <c r="B1260">
        <f>IF(STUDENTS!B1259="","",STUDENTS!B1259)</f>
        <v/>
      </c>
      <c r="C1260">
        <f>IFERROR(IF(B1260="","",_xlfn.XLOOKUP(B1260,STUDENTS!$B$3:$B$1048576,STUDENTS!$C$3:$C$1048576)),"Enter a registered reg. no")</f>
        <v/>
      </c>
      <c r="D1260">
        <f>IFERROR(IF(B1260="","",_xlfn.XLOOKUP(B1260,STUDENTS!B1259:B101256,STUDENTS!D1259:D101256)),"update STUDENT sheet")</f>
        <v/>
      </c>
      <c r="E1260">
        <f>IFERROR(IF(C1260="","",_xlfn.XLOOKUP(C1260,STUDENTS!C1259:C101256,STUDENTS!F1259:F101256)),"update STUDENT sheet")</f>
        <v/>
      </c>
      <c r="F1260">
        <f>IFERROR(IF(D1260="","",_xlfn.XLOOKUP(D1260,STUDENTS!D1259:D101256,STUDENTS!G1259:G101256)),"update STUDENT sheet")</f>
        <v/>
      </c>
      <c r="G1260">
        <f>IFERROR(IF(E1260="","",_xlfn.XLOOKUP(E1260,STUDENTS!F1259:F101256,STUDENTS!H1259:H101256)),"update STUDENT sheet")</f>
        <v/>
      </c>
    </row>
    <row r="1261">
      <c r="B1261">
        <f>IF(STUDENTS!B1260="","",STUDENTS!B1260)</f>
        <v/>
      </c>
      <c r="C1261">
        <f>IFERROR(IF(B1261="","",_xlfn.XLOOKUP(B1261,STUDENTS!$B$3:$B$1048576,STUDENTS!$C$3:$C$1048576)),"Enter a registered reg. no")</f>
        <v/>
      </c>
      <c r="D1261">
        <f>IFERROR(IF(B1261="","",_xlfn.XLOOKUP(B1261,STUDENTS!B1260:B101257,STUDENTS!D1260:D101257)),"update STUDENT sheet")</f>
        <v/>
      </c>
      <c r="E1261">
        <f>IFERROR(IF(C1261="","",_xlfn.XLOOKUP(C1261,STUDENTS!C1260:C101257,STUDENTS!F1260:F101257)),"update STUDENT sheet")</f>
        <v/>
      </c>
      <c r="F1261">
        <f>IFERROR(IF(D1261="","",_xlfn.XLOOKUP(D1261,STUDENTS!D1260:D101257,STUDENTS!G1260:G101257)),"update STUDENT sheet")</f>
        <v/>
      </c>
      <c r="G1261">
        <f>IFERROR(IF(E1261="","",_xlfn.XLOOKUP(E1261,STUDENTS!F1260:F101257,STUDENTS!H1260:H101257)),"update STUDENT sheet")</f>
        <v/>
      </c>
    </row>
    <row r="1262">
      <c r="B1262">
        <f>IF(STUDENTS!B1261="","",STUDENTS!B1261)</f>
        <v/>
      </c>
      <c r="C1262">
        <f>IFERROR(IF(B1262="","",_xlfn.XLOOKUP(B1262,STUDENTS!$B$3:$B$1048576,STUDENTS!$C$3:$C$1048576)),"Enter a registered reg. no")</f>
        <v/>
      </c>
      <c r="D1262">
        <f>IFERROR(IF(B1262="","",_xlfn.XLOOKUP(B1262,STUDENTS!B1261:B101258,STUDENTS!D1261:D101258)),"update STUDENT sheet")</f>
        <v/>
      </c>
      <c r="E1262">
        <f>IFERROR(IF(C1262="","",_xlfn.XLOOKUP(C1262,STUDENTS!C1261:C101258,STUDENTS!F1261:F101258)),"update STUDENT sheet")</f>
        <v/>
      </c>
      <c r="F1262">
        <f>IFERROR(IF(D1262="","",_xlfn.XLOOKUP(D1262,STUDENTS!D1261:D101258,STUDENTS!G1261:G101258)),"update STUDENT sheet")</f>
        <v/>
      </c>
      <c r="G1262">
        <f>IFERROR(IF(E1262="","",_xlfn.XLOOKUP(E1262,STUDENTS!F1261:F101258,STUDENTS!H1261:H101258)),"update STUDENT sheet")</f>
        <v/>
      </c>
    </row>
    <row r="1263">
      <c r="B1263">
        <f>IF(STUDENTS!B1262="","",STUDENTS!B1262)</f>
        <v/>
      </c>
      <c r="C1263">
        <f>IFERROR(IF(B1263="","",_xlfn.XLOOKUP(B1263,STUDENTS!$B$3:$B$1048576,STUDENTS!$C$3:$C$1048576)),"Enter a registered reg. no")</f>
        <v/>
      </c>
      <c r="D1263">
        <f>IFERROR(IF(B1263="","",_xlfn.XLOOKUP(B1263,STUDENTS!B1262:B101259,STUDENTS!D1262:D101259)),"update STUDENT sheet")</f>
        <v/>
      </c>
      <c r="E1263">
        <f>IFERROR(IF(C1263="","",_xlfn.XLOOKUP(C1263,STUDENTS!C1262:C101259,STUDENTS!F1262:F101259)),"update STUDENT sheet")</f>
        <v/>
      </c>
      <c r="F1263">
        <f>IFERROR(IF(D1263="","",_xlfn.XLOOKUP(D1263,STUDENTS!D1262:D101259,STUDENTS!G1262:G101259)),"update STUDENT sheet")</f>
        <v/>
      </c>
      <c r="G1263">
        <f>IFERROR(IF(E1263="","",_xlfn.XLOOKUP(E1263,STUDENTS!F1262:F101259,STUDENTS!H1262:H101259)),"update STUDENT sheet")</f>
        <v/>
      </c>
    </row>
    <row r="1264">
      <c r="B1264">
        <f>IF(STUDENTS!B1263="","",STUDENTS!B1263)</f>
        <v/>
      </c>
      <c r="C1264">
        <f>IFERROR(IF(B1264="","",_xlfn.XLOOKUP(B1264,STUDENTS!$B$3:$B$1048576,STUDENTS!$C$3:$C$1048576)),"Enter a registered reg. no")</f>
        <v/>
      </c>
      <c r="D1264">
        <f>IFERROR(IF(B1264="","",_xlfn.XLOOKUP(B1264,STUDENTS!B1263:B101260,STUDENTS!D1263:D101260)),"update STUDENT sheet")</f>
        <v/>
      </c>
      <c r="E1264">
        <f>IFERROR(IF(C1264="","",_xlfn.XLOOKUP(C1264,STUDENTS!C1263:C101260,STUDENTS!F1263:F101260)),"update STUDENT sheet")</f>
        <v/>
      </c>
      <c r="F1264">
        <f>IFERROR(IF(D1264="","",_xlfn.XLOOKUP(D1264,STUDENTS!D1263:D101260,STUDENTS!G1263:G101260)),"update STUDENT sheet")</f>
        <v/>
      </c>
      <c r="G1264">
        <f>IFERROR(IF(E1264="","",_xlfn.XLOOKUP(E1264,STUDENTS!F1263:F101260,STUDENTS!H1263:H101260)),"update STUDENT sheet")</f>
        <v/>
      </c>
    </row>
    <row r="1265">
      <c r="B1265">
        <f>IF(STUDENTS!B1264="","",STUDENTS!B1264)</f>
        <v/>
      </c>
      <c r="C1265">
        <f>IFERROR(IF(B1265="","",_xlfn.XLOOKUP(B1265,STUDENTS!$B$3:$B$1048576,STUDENTS!$C$3:$C$1048576)),"Enter a registered reg. no")</f>
        <v/>
      </c>
      <c r="D1265">
        <f>IFERROR(IF(B1265="","",_xlfn.XLOOKUP(B1265,STUDENTS!B1264:B101261,STUDENTS!D1264:D101261)),"update STUDENT sheet")</f>
        <v/>
      </c>
      <c r="E1265">
        <f>IFERROR(IF(C1265="","",_xlfn.XLOOKUP(C1265,STUDENTS!C1264:C101261,STUDENTS!F1264:F101261)),"update STUDENT sheet")</f>
        <v/>
      </c>
      <c r="F1265">
        <f>IFERROR(IF(D1265="","",_xlfn.XLOOKUP(D1265,STUDENTS!D1264:D101261,STUDENTS!G1264:G101261)),"update STUDENT sheet")</f>
        <v/>
      </c>
      <c r="G1265">
        <f>IFERROR(IF(E1265="","",_xlfn.XLOOKUP(E1265,STUDENTS!F1264:F101261,STUDENTS!H1264:H101261)),"update STUDENT sheet")</f>
        <v/>
      </c>
    </row>
    <row r="1266">
      <c r="B1266">
        <f>IF(STUDENTS!B1265="","",STUDENTS!B1265)</f>
        <v/>
      </c>
      <c r="C1266">
        <f>IFERROR(IF(B1266="","",_xlfn.XLOOKUP(B1266,STUDENTS!$B$3:$B$1048576,STUDENTS!$C$3:$C$1048576)),"Enter a registered reg. no")</f>
        <v/>
      </c>
      <c r="D1266">
        <f>IFERROR(IF(B1266="","",_xlfn.XLOOKUP(B1266,STUDENTS!B1265:B101262,STUDENTS!D1265:D101262)),"update STUDENT sheet")</f>
        <v/>
      </c>
      <c r="E1266">
        <f>IFERROR(IF(C1266="","",_xlfn.XLOOKUP(C1266,STUDENTS!C1265:C101262,STUDENTS!F1265:F101262)),"update STUDENT sheet")</f>
        <v/>
      </c>
      <c r="F1266">
        <f>IFERROR(IF(D1266="","",_xlfn.XLOOKUP(D1266,STUDENTS!D1265:D101262,STUDENTS!G1265:G101262)),"update STUDENT sheet")</f>
        <v/>
      </c>
      <c r="G1266">
        <f>IFERROR(IF(E1266="","",_xlfn.XLOOKUP(E1266,STUDENTS!F1265:F101262,STUDENTS!H1265:H101262)),"update STUDENT sheet")</f>
        <v/>
      </c>
    </row>
    <row r="1267">
      <c r="B1267">
        <f>IF(STUDENTS!B1266="","",STUDENTS!B1266)</f>
        <v/>
      </c>
      <c r="C1267">
        <f>IFERROR(IF(B1267="","",_xlfn.XLOOKUP(B1267,STUDENTS!$B$3:$B$1048576,STUDENTS!$C$3:$C$1048576)),"Enter a registered reg. no")</f>
        <v/>
      </c>
      <c r="D1267">
        <f>IFERROR(IF(B1267="","",_xlfn.XLOOKUP(B1267,STUDENTS!B1266:B101263,STUDENTS!D1266:D101263)),"update STUDENT sheet")</f>
        <v/>
      </c>
      <c r="E1267">
        <f>IFERROR(IF(C1267="","",_xlfn.XLOOKUP(C1267,STUDENTS!C1266:C101263,STUDENTS!F1266:F101263)),"update STUDENT sheet")</f>
        <v/>
      </c>
      <c r="F1267">
        <f>IFERROR(IF(D1267="","",_xlfn.XLOOKUP(D1267,STUDENTS!D1266:D101263,STUDENTS!G1266:G101263)),"update STUDENT sheet")</f>
        <v/>
      </c>
      <c r="G1267">
        <f>IFERROR(IF(E1267="","",_xlfn.XLOOKUP(E1267,STUDENTS!F1266:F101263,STUDENTS!H1266:H101263)),"update STUDENT sheet")</f>
        <v/>
      </c>
    </row>
    <row r="1268">
      <c r="B1268">
        <f>IF(STUDENTS!B1267="","",STUDENTS!B1267)</f>
        <v/>
      </c>
      <c r="C1268">
        <f>IFERROR(IF(B1268="","",_xlfn.XLOOKUP(B1268,STUDENTS!$B$3:$B$1048576,STUDENTS!$C$3:$C$1048576)),"Enter a registered reg. no")</f>
        <v/>
      </c>
      <c r="D1268">
        <f>IFERROR(IF(B1268="","",_xlfn.XLOOKUP(B1268,STUDENTS!B1267:B101264,STUDENTS!D1267:D101264)),"update STUDENT sheet")</f>
        <v/>
      </c>
      <c r="E1268">
        <f>IFERROR(IF(C1268="","",_xlfn.XLOOKUP(C1268,STUDENTS!C1267:C101264,STUDENTS!F1267:F101264)),"update STUDENT sheet")</f>
        <v/>
      </c>
      <c r="F1268">
        <f>IFERROR(IF(D1268="","",_xlfn.XLOOKUP(D1268,STUDENTS!D1267:D101264,STUDENTS!G1267:G101264)),"update STUDENT sheet")</f>
        <v/>
      </c>
      <c r="G1268">
        <f>IFERROR(IF(E1268="","",_xlfn.XLOOKUP(E1268,STUDENTS!F1267:F101264,STUDENTS!H1267:H101264)),"update STUDENT sheet")</f>
        <v/>
      </c>
    </row>
    <row r="1269">
      <c r="B1269">
        <f>IF(STUDENTS!B1268="","",STUDENTS!B1268)</f>
        <v/>
      </c>
      <c r="C1269">
        <f>IFERROR(IF(B1269="","",_xlfn.XLOOKUP(B1269,STUDENTS!$B$3:$B$1048576,STUDENTS!$C$3:$C$1048576)),"Enter a registered reg. no")</f>
        <v/>
      </c>
      <c r="D1269">
        <f>IFERROR(IF(B1269="","",_xlfn.XLOOKUP(B1269,STUDENTS!B1268:B101265,STUDENTS!D1268:D101265)),"update STUDENT sheet")</f>
        <v/>
      </c>
      <c r="E1269">
        <f>IFERROR(IF(C1269="","",_xlfn.XLOOKUP(C1269,STUDENTS!C1268:C101265,STUDENTS!F1268:F101265)),"update STUDENT sheet")</f>
        <v/>
      </c>
      <c r="F1269">
        <f>IFERROR(IF(D1269="","",_xlfn.XLOOKUP(D1269,STUDENTS!D1268:D101265,STUDENTS!G1268:G101265)),"update STUDENT sheet")</f>
        <v/>
      </c>
      <c r="G1269">
        <f>IFERROR(IF(E1269="","",_xlfn.XLOOKUP(E1269,STUDENTS!F1268:F101265,STUDENTS!H1268:H101265)),"update STUDENT sheet")</f>
        <v/>
      </c>
    </row>
    <row r="1270">
      <c r="B1270">
        <f>IF(STUDENTS!B1269="","",STUDENTS!B1269)</f>
        <v/>
      </c>
      <c r="C1270">
        <f>IFERROR(IF(B1270="","",_xlfn.XLOOKUP(B1270,STUDENTS!$B$3:$B$1048576,STUDENTS!$C$3:$C$1048576)),"Enter a registered reg. no")</f>
        <v/>
      </c>
      <c r="D1270">
        <f>IFERROR(IF(B1270="","",_xlfn.XLOOKUP(B1270,STUDENTS!B1269:B101266,STUDENTS!D1269:D101266)),"update STUDENT sheet")</f>
        <v/>
      </c>
      <c r="E1270">
        <f>IFERROR(IF(C1270="","",_xlfn.XLOOKUP(C1270,STUDENTS!C1269:C101266,STUDENTS!F1269:F101266)),"update STUDENT sheet")</f>
        <v/>
      </c>
      <c r="F1270">
        <f>IFERROR(IF(D1270="","",_xlfn.XLOOKUP(D1270,STUDENTS!D1269:D101266,STUDENTS!G1269:G101266)),"update STUDENT sheet")</f>
        <v/>
      </c>
      <c r="G1270">
        <f>IFERROR(IF(E1270="","",_xlfn.XLOOKUP(E1270,STUDENTS!F1269:F101266,STUDENTS!H1269:H101266)),"update STUDENT sheet")</f>
        <v/>
      </c>
    </row>
    <row r="1271">
      <c r="B1271">
        <f>IF(STUDENTS!B1270="","",STUDENTS!B1270)</f>
        <v/>
      </c>
      <c r="C1271">
        <f>IFERROR(IF(B1271="","",_xlfn.XLOOKUP(B1271,STUDENTS!$B$3:$B$1048576,STUDENTS!$C$3:$C$1048576)),"Enter a registered reg. no")</f>
        <v/>
      </c>
      <c r="D1271">
        <f>IFERROR(IF(B1271="","",_xlfn.XLOOKUP(B1271,STUDENTS!B1270:B101267,STUDENTS!D1270:D101267)),"update STUDENT sheet")</f>
        <v/>
      </c>
      <c r="E1271">
        <f>IFERROR(IF(C1271="","",_xlfn.XLOOKUP(C1271,STUDENTS!C1270:C101267,STUDENTS!F1270:F101267)),"update STUDENT sheet")</f>
        <v/>
      </c>
      <c r="F1271">
        <f>IFERROR(IF(D1271="","",_xlfn.XLOOKUP(D1271,STUDENTS!D1270:D101267,STUDENTS!G1270:G101267)),"update STUDENT sheet")</f>
        <v/>
      </c>
      <c r="G1271">
        <f>IFERROR(IF(E1271="","",_xlfn.XLOOKUP(E1271,STUDENTS!F1270:F101267,STUDENTS!H1270:H101267)),"update STUDENT sheet")</f>
        <v/>
      </c>
    </row>
    <row r="1272">
      <c r="B1272">
        <f>IF(STUDENTS!B1271="","",STUDENTS!B1271)</f>
        <v/>
      </c>
      <c r="C1272">
        <f>IFERROR(IF(B1272="","",_xlfn.XLOOKUP(B1272,STUDENTS!$B$3:$B$1048576,STUDENTS!$C$3:$C$1048576)),"Enter a registered reg. no")</f>
        <v/>
      </c>
      <c r="D1272">
        <f>IFERROR(IF(B1272="","",_xlfn.XLOOKUP(B1272,STUDENTS!B1271:B101268,STUDENTS!D1271:D101268)),"update STUDENT sheet")</f>
        <v/>
      </c>
      <c r="E1272">
        <f>IFERROR(IF(C1272="","",_xlfn.XLOOKUP(C1272,STUDENTS!C1271:C101268,STUDENTS!F1271:F101268)),"update STUDENT sheet")</f>
        <v/>
      </c>
      <c r="F1272">
        <f>IFERROR(IF(D1272="","",_xlfn.XLOOKUP(D1272,STUDENTS!D1271:D101268,STUDENTS!G1271:G101268)),"update STUDENT sheet")</f>
        <v/>
      </c>
      <c r="G1272">
        <f>IFERROR(IF(E1272="","",_xlfn.XLOOKUP(E1272,STUDENTS!F1271:F101268,STUDENTS!H1271:H101268)),"update STUDENT sheet")</f>
        <v/>
      </c>
    </row>
    <row r="1273">
      <c r="B1273">
        <f>IF(STUDENTS!B1272="","",STUDENTS!B1272)</f>
        <v/>
      </c>
      <c r="C1273">
        <f>IFERROR(IF(B1273="","",_xlfn.XLOOKUP(B1273,STUDENTS!$B$3:$B$1048576,STUDENTS!$C$3:$C$1048576)),"Enter a registered reg. no")</f>
        <v/>
      </c>
      <c r="D1273">
        <f>IFERROR(IF(B1273="","",_xlfn.XLOOKUP(B1273,STUDENTS!B1272:B101269,STUDENTS!D1272:D101269)),"update STUDENT sheet")</f>
        <v/>
      </c>
      <c r="E1273">
        <f>IFERROR(IF(C1273="","",_xlfn.XLOOKUP(C1273,STUDENTS!C1272:C101269,STUDENTS!F1272:F101269)),"update STUDENT sheet")</f>
        <v/>
      </c>
      <c r="F1273">
        <f>IFERROR(IF(D1273="","",_xlfn.XLOOKUP(D1273,STUDENTS!D1272:D101269,STUDENTS!G1272:G101269)),"update STUDENT sheet")</f>
        <v/>
      </c>
      <c r="G1273">
        <f>IFERROR(IF(E1273="","",_xlfn.XLOOKUP(E1273,STUDENTS!F1272:F101269,STUDENTS!H1272:H101269)),"update STUDENT sheet")</f>
        <v/>
      </c>
    </row>
    <row r="1274">
      <c r="B1274">
        <f>IF(STUDENTS!B1273="","",STUDENTS!B1273)</f>
        <v/>
      </c>
      <c r="C1274">
        <f>IFERROR(IF(B1274="","",_xlfn.XLOOKUP(B1274,STUDENTS!$B$3:$B$1048576,STUDENTS!$C$3:$C$1048576)),"Enter a registered reg. no")</f>
        <v/>
      </c>
      <c r="D1274">
        <f>IFERROR(IF(B1274="","",_xlfn.XLOOKUP(B1274,STUDENTS!B1273:B101270,STUDENTS!D1273:D101270)),"update STUDENT sheet")</f>
        <v/>
      </c>
      <c r="E1274">
        <f>IFERROR(IF(C1274="","",_xlfn.XLOOKUP(C1274,STUDENTS!C1273:C101270,STUDENTS!F1273:F101270)),"update STUDENT sheet")</f>
        <v/>
      </c>
      <c r="F1274">
        <f>IFERROR(IF(D1274="","",_xlfn.XLOOKUP(D1274,STUDENTS!D1273:D101270,STUDENTS!G1273:G101270)),"update STUDENT sheet")</f>
        <v/>
      </c>
      <c r="G1274">
        <f>IFERROR(IF(E1274="","",_xlfn.XLOOKUP(E1274,STUDENTS!F1273:F101270,STUDENTS!H1273:H101270)),"update STUDENT sheet")</f>
        <v/>
      </c>
    </row>
    <row r="1275">
      <c r="B1275">
        <f>IF(STUDENTS!B1274="","",STUDENTS!B1274)</f>
        <v/>
      </c>
      <c r="C1275">
        <f>IFERROR(IF(B1275="","",_xlfn.XLOOKUP(B1275,STUDENTS!$B$3:$B$1048576,STUDENTS!$C$3:$C$1048576)),"Enter a registered reg. no")</f>
        <v/>
      </c>
      <c r="D1275">
        <f>IFERROR(IF(B1275="","",_xlfn.XLOOKUP(B1275,STUDENTS!B1274:B101271,STUDENTS!D1274:D101271)),"update STUDENT sheet")</f>
        <v/>
      </c>
      <c r="E1275">
        <f>IFERROR(IF(C1275="","",_xlfn.XLOOKUP(C1275,STUDENTS!C1274:C101271,STUDENTS!F1274:F101271)),"update STUDENT sheet")</f>
        <v/>
      </c>
      <c r="F1275">
        <f>IFERROR(IF(D1275="","",_xlfn.XLOOKUP(D1275,STUDENTS!D1274:D101271,STUDENTS!G1274:G101271)),"update STUDENT sheet")</f>
        <v/>
      </c>
      <c r="G1275">
        <f>IFERROR(IF(E1275="","",_xlfn.XLOOKUP(E1275,STUDENTS!F1274:F101271,STUDENTS!H1274:H101271)),"update STUDENT sheet")</f>
        <v/>
      </c>
    </row>
    <row r="1276">
      <c r="B1276">
        <f>IF(STUDENTS!B1275="","",STUDENTS!B1275)</f>
        <v/>
      </c>
      <c r="C1276">
        <f>IFERROR(IF(B1276="","",_xlfn.XLOOKUP(B1276,STUDENTS!$B$3:$B$1048576,STUDENTS!$C$3:$C$1048576)),"Enter a registered reg. no")</f>
        <v/>
      </c>
      <c r="D1276">
        <f>IFERROR(IF(B1276="","",_xlfn.XLOOKUP(B1276,STUDENTS!B1275:B101272,STUDENTS!D1275:D101272)),"update STUDENT sheet")</f>
        <v/>
      </c>
      <c r="E1276">
        <f>IFERROR(IF(C1276="","",_xlfn.XLOOKUP(C1276,STUDENTS!C1275:C101272,STUDENTS!F1275:F101272)),"update STUDENT sheet")</f>
        <v/>
      </c>
      <c r="F1276">
        <f>IFERROR(IF(D1276="","",_xlfn.XLOOKUP(D1276,STUDENTS!D1275:D101272,STUDENTS!G1275:G101272)),"update STUDENT sheet")</f>
        <v/>
      </c>
      <c r="G1276">
        <f>IFERROR(IF(E1276="","",_xlfn.XLOOKUP(E1276,STUDENTS!F1275:F101272,STUDENTS!H1275:H101272)),"update STUDENT sheet")</f>
        <v/>
      </c>
    </row>
    <row r="1277">
      <c r="B1277">
        <f>IF(STUDENTS!B1276="","",STUDENTS!B1276)</f>
        <v/>
      </c>
      <c r="C1277">
        <f>IFERROR(IF(B1277="","",_xlfn.XLOOKUP(B1277,STUDENTS!$B$3:$B$1048576,STUDENTS!$C$3:$C$1048576)),"Enter a registered reg. no")</f>
        <v/>
      </c>
      <c r="D1277">
        <f>IFERROR(IF(B1277="","",_xlfn.XLOOKUP(B1277,STUDENTS!B1276:B101273,STUDENTS!D1276:D101273)),"update STUDENT sheet")</f>
        <v/>
      </c>
      <c r="E1277">
        <f>IFERROR(IF(C1277="","",_xlfn.XLOOKUP(C1277,STUDENTS!C1276:C101273,STUDENTS!F1276:F101273)),"update STUDENT sheet")</f>
        <v/>
      </c>
      <c r="F1277">
        <f>IFERROR(IF(D1277="","",_xlfn.XLOOKUP(D1277,STUDENTS!D1276:D101273,STUDENTS!G1276:G101273)),"update STUDENT sheet")</f>
        <v/>
      </c>
      <c r="G1277">
        <f>IFERROR(IF(E1277="","",_xlfn.XLOOKUP(E1277,STUDENTS!F1276:F101273,STUDENTS!H1276:H101273)),"update STUDENT sheet")</f>
        <v/>
      </c>
    </row>
    <row r="1278">
      <c r="B1278">
        <f>IF(STUDENTS!B1277="","",STUDENTS!B1277)</f>
        <v/>
      </c>
      <c r="C1278">
        <f>IFERROR(IF(B1278="","",_xlfn.XLOOKUP(B1278,STUDENTS!$B$3:$B$1048576,STUDENTS!$C$3:$C$1048576)),"Enter a registered reg. no")</f>
        <v/>
      </c>
      <c r="D1278">
        <f>IFERROR(IF(B1278="","",_xlfn.XLOOKUP(B1278,STUDENTS!B1277:B101274,STUDENTS!D1277:D101274)),"update STUDENT sheet")</f>
        <v/>
      </c>
      <c r="E1278">
        <f>IFERROR(IF(C1278="","",_xlfn.XLOOKUP(C1278,STUDENTS!C1277:C101274,STUDENTS!F1277:F101274)),"update STUDENT sheet")</f>
        <v/>
      </c>
      <c r="F1278">
        <f>IFERROR(IF(D1278="","",_xlfn.XLOOKUP(D1278,STUDENTS!D1277:D101274,STUDENTS!G1277:G101274)),"update STUDENT sheet")</f>
        <v/>
      </c>
      <c r="G1278">
        <f>IFERROR(IF(E1278="","",_xlfn.XLOOKUP(E1278,STUDENTS!F1277:F101274,STUDENTS!H1277:H101274)),"update STUDENT sheet")</f>
        <v/>
      </c>
    </row>
    <row r="1279">
      <c r="B1279">
        <f>IF(STUDENTS!B1278="","",STUDENTS!B1278)</f>
        <v/>
      </c>
      <c r="C1279">
        <f>IFERROR(IF(B1279="","",_xlfn.XLOOKUP(B1279,STUDENTS!$B$3:$B$1048576,STUDENTS!$C$3:$C$1048576)),"Enter a registered reg. no")</f>
        <v/>
      </c>
      <c r="D1279">
        <f>IFERROR(IF(B1279="","",_xlfn.XLOOKUP(B1279,STUDENTS!B1278:B101275,STUDENTS!D1278:D101275)),"update STUDENT sheet")</f>
        <v/>
      </c>
      <c r="E1279">
        <f>IFERROR(IF(C1279="","",_xlfn.XLOOKUP(C1279,STUDENTS!C1278:C101275,STUDENTS!F1278:F101275)),"update STUDENT sheet")</f>
        <v/>
      </c>
      <c r="F1279">
        <f>IFERROR(IF(D1279="","",_xlfn.XLOOKUP(D1279,STUDENTS!D1278:D101275,STUDENTS!G1278:G101275)),"update STUDENT sheet")</f>
        <v/>
      </c>
      <c r="G1279">
        <f>IFERROR(IF(E1279="","",_xlfn.XLOOKUP(E1279,STUDENTS!F1278:F101275,STUDENTS!H1278:H101275)),"update STUDENT sheet")</f>
        <v/>
      </c>
    </row>
    <row r="1280">
      <c r="B1280">
        <f>IF(STUDENTS!B1279="","",STUDENTS!B1279)</f>
        <v/>
      </c>
      <c r="C1280">
        <f>IFERROR(IF(B1280="","",_xlfn.XLOOKUP(B1280,STUDENTS!$B$3:$B$1048576,STUDENTS!$C$3:$C$1048576)),"Enter a registered reg. no")</f>
        <v/>
      </c>
      <c r="D1280">
        <f>IFERROR(IF(B1280="","",_xlfn.XLOOKUP(B1280,STUDENTS!B1279:B101276,STUDENTS!D1279:D101276)),"update STUDENT sheet")</f>
        <v/>
      </c>
      <c r="E1280">
        <f>IFERROR(IF(C1280="","",_xlfn.XLOOKUP(C1280,STUDENTS!C1279:C101276,STUDENTS!F1279:F101276)),"update STUDENT sheet")</f>
        <v/>
      </c>
      <c r="F1280">
        <f>IFERROR(IF(D1280="","",_xlfn.XLOOKUP(D1280,STUDENTS!D1279:D101276,STUDENTS!G1279:G101276)),"update STUDENT sheet")</f>
        <v/>
      </c>
      <c r="G1280">
        <f>IFERROR(IF(E1280="","",_xlfn.XLOOKUP(E1280,STUDENTS!F1279:F101276,STUDENTS!H1279:H101276)),"update STUDENT sheet")</f>
        <v/>
      </c>
    </row>
    <row r="1281">
      <c r="B1281">
        <f>IF(STUDENTS!B1280="","",STUDENTS!B1280)</f>
        <v/>
      </c>
      <c r="C1281">
        <f>IFERROR(IF(B1281="","",_xlfn.XLOOKUP(B1281,STUDENTS!$B$3:$B$1048576,STUDENTS!$C$3:$C$1048576)),"Enter a registered reg. no")</f>
        <v/>
      </c>
      <c r="D1281">
        <f>IFERROR(IF(B1281="","",_xlfn.XLOOKUP(B1281,STUDENTS!B1280:B101277,STUDENTS!D1280:D101277)),"update STUDENT sheet")</f>
        <v/>
      </c>
      <c r="E1281">
        <f>IFERROR(IF(C1281="","",_xlfn.XLOOKUP(C1281,STUDENTS!C1280:C101277,STUDENTS!F1280:F101277)),"update STUDENT sheet")</f>
        <v/>
      </c>
      <c r="F1281">
        <f>IFERROR(IF(D1281="","",_xlfn.XLOOKUP(D1281,STUDENTS!D1280:D101277,STUDENTS!G1280:G101277)),"update STUDENT sheet")</f>
        <v/>
      </c>
      <c r="G1281">
        <f>IFERROR(IF(E1281="","",_xlfn.XLOOKUP(E1281,STUDENTS!F1280:F101277,STUDENTS!H1280:H101277)),"update STUDENT sheet")</f>
        <v/>
      </c>
    </row>
    <row r="1282">
      <c r="B1282">
        <f>IF(STUDENTS!B1281="","",STUDENTS!B1281)</f>
        <v/>
      </c>
      <c r="C1282">
        <f>IFERROR(IF(B1282="","",_xlfn.XLOOKUP(B1282,STUDENTS!$B$3:$B$1048576,STUDENTS!$C$3:$C$1048576)),"Enter a registered reg. no")</f>
        <v/>
      </c>
      <c r="D1282">
        <f>IFERROR(IF(B1282="","",_xlfn.XLOOKUP(B1282,STUDENTS!B1281:B101278,STUDENTS!D1281:D101278)),"update STUDENT sheet")</f>
        <v/>
      </c>
      <c r="E1282">
        <f>IFERROR(IF(C1282="","",_xlfn.XLOOKUP(C1282,STUDENTS!C1281:C101278,STUDENTS!F1281:F101278)),"update STUDENT sheet")</f>
        <v/>
      </c>
      <c r="F1282">
        <f>IFERROR(IF(D1282="","",_xlfn.XLOOKUP(D1282,STUDENTS!D1281:D101278,STUDENTS!G1281:G101278)),"update STUDENT sheet")</f>
        <v/>
      </c>
      <c r="G1282">
        <f>IFERROR(IF(E1282="","",_xlfn.XLOOKUP(E1282,STUDENTS!F1281:F101278,STUDENTS!H1281:H101278)),"update STUDENT sheet")</f>
        <v/>
      </c>
    </row>
    <row r="1283">
      <c r="B1283">
        <f>IF(STUDENTS!B1282="","",STUDENTS!B1282)</f>
        <v/>
      </c>
      <c r="C1283">
        <f>IFERROR(IF(B1283="","",_xlfn.XLOOKUP(B1283,STUDENTS!$B$3:$B$1048576,STUDENTS!$C$3:$C$1048576)),"Enter a registered reg. no")</f>
        <v/>
      </c>
      <c r="D1283">
        <f>IFERROR(IF(B1283="","",_xlfn.XLOOKUP(B1283,STUDENTS!B1282:B101279,STUDENTS!D1282:D101279)),"update STUDENT sheet")</f>
        <v/>
      </c>
      <c r="E1283">
        <f>IFERROR(IF(C1283="","",_xlfn.XLOOKUP(C1283,STUDENTS!C1282:C101279,STUDENTS!F1282:F101279)),"update STUDENT sheet")</f>
        <v/>
      </c>
      <c r="F1283">
        <f>IFERROR(IF(D1283="","",_xlfn.XLOOKUP(D1283,STUDENTS!D1282:D101279,STUDENTS!G1282:G101279)),"update STUDENT sheet")</f>
        <v/>
      </c>
      <c r="G1283">
        <f>IFERROR(IF(E1283="","",_xlfn.XLOOKUP(E1283,STUDENTS!F1282:F101279,STUDENTS!H1282:H101279)),"update STUDENT sheet")</f>
        <v/>
      </c>
    </row>
    <row r="1284">
      <c r="B1284">
        <f>IF(STUDENTS!B1283="","",STUDENTS!B1283)</f>
        <v/>
      </c>
      <c r="C1284">
        <f>IFERROR(IF(B1284="","",_xlfn.XLOOKUP(B1284,STUDENTS!$B$3:$B$1048576,STUDENTS!$C$3:$C$1048576)),"Enter a registered reg. no")</f>
        <v/>
      </c>
      <c r="D1284">
        <f>IFERROR(IF(B1284="","",_xlfn.XLOOKUP(B1284,STUDENTS!B1283:B101280,STUDENTS!D1283:D101280)),"update STUDENT sheet")</f>
        <v/>
      </c>
      <c r="E1284">
        <f>IFERROR(IF(C1284="","",_xlfn.XLOOKUP(C1284,STUDENTS!C1283:C101280,STUDENTS!F1283:F101280)),"update STUDENT sheet")</f>
        <v/>
      </c>
      <c r="F1284">
        <f>IFERROR(IF(D1284="","",_xlfn.XLOOKUP(D1284,STUDENTS!D1283:D101280,STUDENTS!G1283:G101280)),"update STUDENT sheet")</f>
        <v/>
      </c>
      <c r="G1284">
        <f>IFERROR(IF(E1284="","",_xlfn.XLOOKUP(E1284,STUDENTS!F1283:F101280,STUDENTS!H1283:H101280)),"update STUDENT sheet")</f>
        <v/>
      </c>
    </row>
    <row r="1285">
      <c r="B1285">
        <f>IF(STUDENTS!B1284="","",STUDENTS!B1284)</f>
        <v/>
      </c>
      <c r="C1285">
        <f>IFERROR(IF(B1285="","",_xlfn.XLOOKUP(B1285,STUDENTS!$B$3:$B$1048576,STUDENTS!$C$3:$C$1048576)),"Enter a registered reg. no")</f>
        <v/>
      </c>
      <c r="D1285">
        <f>IFERROR(IF(B1285="","",_xlfn.XLOOKUP(B1285,STUDENTS!B1284:B101281,STUDENTS!D1284:D101281)),"update STUDENT sheet")</f>
        <v/>
      </c>
      <c r="E1285">
        <f>IFERROR(IF(C1285="","",_xlfn.XLOOKUP(C1285,STUDENTS!C1284:C101281,STUDENTS!F1284:F101281)),"update STUDENT sheet")</f>
        <v/>
      </c>
      <c r="F1285">
        <f>IFERROR(IF(D1285="","",_xlfn.XLOOKUP(D1285,STUDENTS!D1284:D101281,STUDENTS!G1284:G101281)),"update STUDENT sheet")</f>
        <v/>
      </c>
      <c r="G1285">
        <f>IFERROR(IF(E1285="","",_xlfn.XLOOKUP(E1285,STUDENTS!F1284:F101281,STUDENTS!H1284:H101281)),"update STUDENT sheet")</f>
        <v/>
      </c>
    </row>
    <row r="1286">
      <c r="B1286">
        <f>IF(STUDENTS!B1285="","",STUDENTS!B1285)</f>
        <v/>
      </c>
      <c r="C1286">
        <f>IFERROR(IF(B1286="","",_xlfn.XLOOKUP(B1286,STUDENTS!$B$3:$B$1048576,STUDENTS!$C$3:$C$1048576)),"Enter a registered reg. no")</f>
        <v/>
      </c>
      <c r="D1286">
        <f>IFERROR(IF(B1286="","",_xlfn.XLOOKUP(B1286,STUDENTS!B1285:B101282,STUDENTS!D1285:D101282)),"update STUDENT sheet")</f>
        <v/>
      </c>
      <c r="E1286">
        <f>IFERROR(IF(C1286="","",_xlfn.XLOOKUP(C1286,STUDENTS!C1285:C101282,STUDENTS!F1285:F101282)),"update STUDENT sheet")</f>
        <v/>
      </c>
      <c r="F1286">
        <f>IFERROR(IF(D1286="","",_xlfn.XLOOKUP(D1286,STUDENTS!D1285:D101282,STUDENTS!G1285:G101282)),"update STUDENT sheet")</f>
        <v/>
      </c>
      <c r="G1286">
        <f>IFERROR(IF(E1286="","",_xlfn.XLOOKUP(E1286,STUDENTS!F1285:F101282,STUDENTS!H1285:H101282)),"update STUDENT sheet")</f>
        <v/>
      </c>
    </row>
    <row r="1287">
      <c r="B1287">
        <f>IF(STUDENTS!B1286="","",STUDENTS!B1286)</f>
        <v/>
      </c>
      <c r="C1287">
        <f>IFERROR(IF(B1287="","",_xlfn.XLOOKUP(B1287,STUDENTS!$B$3:$B$1048576,STUDENTS!$C$3:$C$1048576)),"Enter a registered reg. no")</f>
        <v/>
      </c>
      <c r="D1287">
        <f>IFERROR(IF(B1287="","",_xlfn.XLOOKUP(B1287,STUDENTS!B1286:B101283,STUDENTS!D1286:D101283)),"update STUDENT sheet")</f>
        <v/>
      </c>
      <c r="E1287">
        <f>IFERROR(IF(C1287="","",_xlfn.XLOOKUP(C1287,STUDENTS!C1286:C101283,STUDENTS!F1286:F101283)),"update STUDENT sheet")</f>
        <v/>
      </c>
      <c r="F1287">
        <f>IFERROR(IF(D1287="","",_xlfn.XLOOKUP(D1287,STUDENTS!D1286:D101283,STUDENTS!G1286:G101283)),"update STUDENT sheet")</f>
        <v/>
      </c>
      <c r="G1287">
        <f>IFERROR(IF(E1287="","",_xlfn.XLOOKUP(E1287,STUDENTS!F1286:F101283,STUDENTS!H1286:H101283)),"update STUDENT sheet")</f>
        <v/>
      </c>
    </row>
    <row r="1288">
      <c r="B1288">
        <f>IF(STUDENTS!B1287="","",STUDENTS!B1287)</f>
        <v/>
      </c>
      <c r="C1288">
        <f>IFERROR(IF(B1288="","",_xlfn.XLOOKUP(B1288,STUDENTS!$B$3:$B$1048576,STUDENTS!$C$3:$C$1048576)),"Enter a registered reg. no")</f>
        <v/>
      </c>
      <c r="D1288">
        <f>IFERROR(IF(B1288="","",_xlfn.XLOOKUP(B1288,STUDENTS!B1287:B101284,STUDENTS!D1287:D101284)),"update STUDENT sheet")</f>
        <v/>
      </c>
      <c r="E1288">
        <f>IFERROR(IF(C1288="","",_xlfn.XLOOKUP(C1288,STUDENTS!C1287:C101284,STUDENTS!F1287:F101284)),"update STUDENT sheet")</f>
        <v/>
      </c>
      <c r="F1288">
        <f>IFERROR(IF(D1288="","",_xlfn.XLOOKUP(D1288,STUDENTS!D1287:D101284,STUDENTS!G1287:G101284)),"update STUDENT sheet")</f>
        <v/>
      </c>
      <c r="G1288">
        <f>IFERROR(IF(E1288="","",_xlfn.XLOOKUP(E1288,STUDENTS!F1287:F101284,STUDENTS!H1287:H101284)),"update STUDENT sheet")</f>
        <v/>
      </c>
    </row>
    <row r="1289">
      <c r="B1289">
        <f>IF(STUDENTS!B1288="","",STUDENTS!B1288)</f>
        <v/>
      </c>
      <c r="C1289">
        <f>IFERROR(IF(B1289="","",_xlfn.XLOOKUP(B1289,STUDENTS!$B$3:$B$1048576,STUDENTS!$C$3:$C$1048576)),"Enter a registered reg. no")</f>
        <v/>
      </c>
      <c r="D1289">
        <f>IFERROR(IF(B1289="","",_xlfn.XLOOKUP(B1289,STUDENTS!B1288:B101285,STUDENTS!D1288:D101285)),"update STUDENT sheet")</f>
        <v/>
      </c>
      <c r="E1289">
        <f>IFERROR(IF(C1289="","",_xlfn.XLOOKUP(C1289,STUDENTS!C1288:C101285,STUDENTS!F1288:F101285)),"update STUDENT sheet")</f>
        <v/>
      </c>
      <c r="F1289">
        <f>IFERROR(IF(D1289="","",_xlfn.XLOOKUP(D1289,STUDENTS!D1288:D101285,STUDENTS!G1288:G101285)),"update STUDENT sheet")</f>
        <v/>
      </c>
      <c r="G1289">
        <f>IFERROR(IF(E1289="","",_xlfn.XLOOKUP(E1289,STUDENTS!F1288:F101285,STUDENTS!H1288:H101285)),"update STUDENT sheet")</f>
        <v/>
      </c>
    </row>
    <row r="1290">
      <c r="B1290">
        <f>IF(STUDENTS!B1289="","",STUDENTS!B1289)</f>
        <v/>
      </c>
      <c r="C1290">
        <f>IFERROR(IF(B1290="","",_xlfn.XLOOKUP(B1290,STUDENTS!$B$3:$B$1048576,STUDENTS!$C$3:$C$1048576)),"Enter a registered reg. no")</f>
        <v/>
      </c>
      <c r="D1290">
        <f>IFERROR(IF(B1290="","",_xlfn.XLOOKUP(B1290,STUDENTS!B1289:B101286,STUDENTS!D1289:D101286)),"update STUDENT sheet")</f>
        <v/>
      </c>
      <c r="E1290">
        <f>IFERROR(IF(C1290="","",_xlfn.XLOOKUP(C1290,STUDENTS!C1289:C101286,STUDENTS!F1289:F101286)),"update STUDENT sheet")</f>
        <v/>
      </c>
      <c r="F1290">
        <f>IFERROR(IF(D1290="","",_xlfn.XLOOKUP(D1290,STUDENTS!D1289:D101286,STUDENTS!G1289:G101286)),"update STUDENT sheet")</f>
        <v/>
      </c>
      <c r="G1290">
        <f>IFERROR(IF(E1290="","",_xlfn.XLOOKUP(E1290,STUDENTS!F1289:F101286,STUDENTS!H1289:H101286)),"update STUDENT sheet")</f>
        <v/>
      </c>
    </row>
    <row r="1291">
      <c r="B1291">
        <f>IF(STUDENTS!B1290="","",STUDENTS!B1290)</f>
        <v/>
      </c>
      <c r="C1291">
        <f>IFERROR(IF(B1291="","",_xlfn.XLOOKUP(B1291,STUDENTS!$B$3:$B$1048576,STUDENTS!$C$3:$C$1048576)),"Enter a registered reg. no")</f>
        <v/>
      </c>
      <c r="D1291">
        <f>IFERROR(IF(B1291="","",_xlfn.XLOOKUP(B1291,STUDENTS!B1290:B101287,STUDENTS!D1290:D101287)),"update STUDENT sheet")</f>
        <v/>
      </c>
      <c r="E1291">
        <f>IFERROR(IF(C1291="","",_xlfn.XLOOKUP(C1291,STUDENTS!C1290:C101287,STUDENTS!F1290:F101287)),"update STUDENT sheet")</f>
        <v/>
      </c>
      <c r="F1291">
        <f>IFERROR(IF(D1291="","",_xlfn.XLOOKUP(D1291,STUDENTS!D1290:D101287,STUDENTS!G1290:G101287)),"update STUDENT sheet")</f>
        <v/>
      </c>
      <c r="G1291">
        <f>IFERROR(IF(E1291="","",_xlfn.XLOOKUP(E1291,STUDENTS!F1290:F101287,STUDENTS!H1290:H101287)),"update STUDENT sheet")</f>
        <v/>
      </c>
    </row>
    <row r="1292">
      <c r="B1292">
        <f>IF(STUDENTS!B1291="","",STUDENTS!B1291)</f>
        <v/>
      </c>
      <c r="C1292">
        <f>IFERROR(IF(B1292="","",_xlfn.XLOOKUP(B1292,STUDENTS!$B$3:$B$1048576,STUDENTS!$C$3:$C$1048576)),"Enter a registered reg. no")</f>
        <v/>
      </c>
      <c r="D1292">
        <f>IFERROR(IF(B1292="","",_xlfn.XLOOKUP(B1292,STUDENTS!B1291:B101288,STUDENTS!D1291:D101288)),"update STUDENT sheet")</f>
        <v/>
      </c>
      <c r="E1292">
        <f>IFERROR(IF(C1292="","",_xlfn.XLOOKUP(C1292,STUDENTS!C1291:C101288,STUDENTS!F1291:F101288)),"update STUDENT sheet")</f>
        <v/>
      </c>
      <c r="F1292">
        <f>IFERROR(IF(D1292="","",_xlfn.XLOOKUP(D1292,STUDENTS!D1291:D101288,STUDENTS!G1291:G101288)),"update STUDENT sheet")</f>
        <v/>
      </c>
      <c r="G1292">
        <f>IFERROR(IF(E1292="","",_xlfn.XLOOKUP(E1292,STUDENTS!F1291:F101288,STUDENTS!H1291:H101288)),"update STUDENT sheet")</f>
        <v/>
      </c>
    </row>
    <row r="1293">
      <c r="B1293">
        <f>IF(STUDENTS!B1292="","",STUDENTS!B1292)</f>
        <v/>
      </c>
      <c r="C1293">
        <f>IFERROR(IF(B1293="","",_xlfn.XLOOKUP(B1293,STUDENTS!$B$3:$B$1048576,STUDENTS!$C$3:$C$1048576)),"Enter a registered reg. no")</f>
        <v/>
      </c>
      <c r="D1293">
        <f>IFERROR(IF(B1293="","",_xlfn.XLOOKUP(B1293,STUDENTS!B1292:B101289,STUDENTS!D1292:D101289)),"update STUDENT sheet")</f>
        <v/>
      </c>
      <c r="E1293">
        <f>IFERROR(IF(C1293="","",_xlfn.XLOOKUP(C1293,STUDENTS!C1292:C101289,STUDENTS!F1292:F101289)),"update STUDENT sheet")</f>
        <v/>
      </c>
      <c r="F1293">
        <f>IFERROR(IF(D1293="","",_xlfn.XLOOKUP(D1293,STUDENTS!D1292:D101289,STUDENTS!G1292:G101289)),"update STUDENT sheet")</f>
        <v/>
      </c>
      <c r="G1293">
        <f>IFERROR(IF(E1293="","",_xlfn.XLOOKUP(E1293,STUDENTS!F1292:F101289,STUDENTS!H1292:H101289)),"update STUDENT sheet")</f>
        <v/>
      </c>
    </row>
    <row r="1294">
      <c r="B1294">
        <f>IF(STUDENTS!B1293="","",STUDENTS!B1293)</f>
        <v/>
      </c>
      <c r="C1294">
        <f>IFERROR(IF(B1294="","",_xlfn.XLOOKUP(B1294,STUDENTS!$B$3:$B$1048576,STUDENTS!$C$3:$C$1048576)),"Enter a registered reg. no")</f>
        <v/>
      </c>
      <c r="D1294">
        <f>IFERROR(IF(B1294="","",_xlfn.XLOOKUP(B1294,STUDENTS!B1293:B101290,STUDENTS!D1293:D101290)),"update STUDENT sheet")</f>
        <v/>
      </c>
      <c r="E1294">
        <f>IFERROR(IF(C1294="","",_xlfn.XLOOKUP(C1294,STUDENTS!C1293:C101290,STUDENTS!F1293:F101290)),"update STUDENT sheet")</f>
        <v/>
      </c>
      <c r="F1294">
        <f>IFERROR(IF(D1294="","",_xlfn.XLOOKUP(D1294,STUDENTS!D1293:D101290,STUDENTS!G1293:G101290)),"update STUDENT sheet")</f>
        <v/>
      </c>
      <c r="G1294">
        <f>IFERROR(IF(E1294="","",_xlfn.XLOOKUP(E1294,STUDENTS!F1293:F101290,STUDENTS!H1293:H101290)),"update STUDENT sheet")</f>
        <v/>
      </c>
    </row>
    <row r="1295">
      <c r="B1295">
        <f>IF(STUDENTS!B1294="","",STUDENTS!B1294)</f>
        <v/>
      </c>
      <c r="C1295">
        <f>IFERROR(IF(B1295="","",_xlfn.XLOOKUP(B1295,STUDENTS!$B$3:$B$1048576,STUDENTS!$C$3:$C$1048576)),"Enter a registered reg. no")</f>
        <v/>
      </c>
      <c r="D1295">
        <f>IFERROR(IF(B1295="","",_xlfn.XLOOKUP(B1295,STUDENTS!B1294:B101291,STUDENTS!D1294:D101291)),"update STUDENT sheet")</f>
        <v/>
      </c>
      <c r="E1295">
        <f>IFERROR(IF(C1295="","",_xlfn.XLOOKUP(C1295,STUDENTS!C1294:C101291,STUDENTS!F1294:F101291)),"update STUDENT sheet")</f>
        <v/>
      </c>
      <c r="F1295">
        <f>IFERROR(IF(D1295="","",_xlfn.XLOOKUP(D1295,STUDENTS!D1294:D101291,STUDENTS!G1294:G101291)),"update STUDENT sheet")</f>
        <v/>
      </c>
      <c r="G1295">
        <f>IFERROR(IF(E1295="","",_xlfn.XLOOKUP(E1295,STUDENTS!F1294:F101291,STUDENTS!H1294:H101291)),"update STUDENT sheet")</f>
        <v/>
      </c>
    </row>
    <row r="1296">
      <c r="B1296">
        <f>IF(STUDENTS!B1295="","",STUDENTS!B1295)</f>
        <v/>
      </c>
      <c r="C1296">
        <f>IFERROR(IF(B1296="","",_xlfn.XLOOKUP(B1296,STUDENTS!$B$3:$B$1048576,STUDENTS!$C$3:$C$1048576)),"Enter a registered reg. no")</f>
        <v/>
      </c>
      <c r="D1296">
        <f>IFERROR(IF(B1296="","",_xlfn.XLOOKUP(B1296,STUDENTS!B1295:B101292,STUDENTS!D1295:D101292)),"update STUDENT sheet")</f>
        <v/>
      </c>
      <c r="E1296">
        <f>IFERROR(IF(C1296="","",_xlfn.XLOOKUP(C1296,STUDENTS!C1295:C101292,STUDENTS!F1295:F101292)),"update STUDENT sheet")</f>
        <v/>
      </c>
      <c r="F1296">
        <f>IFERROR(IF(D1296="","",_xlfn.XLOOKUP(D1296,STUDENTS!D1295:D101292,STUDENTS!G1295:G101292)),"update STUDENT sheet")</f>
        <v/>
      </c>
      <c r="G1296">
        <f>IFERROR(IF(E1296="","",_xlfn.XLOOKUP(E1296,STUDENTS!F1295:F101292,STUDENTS!H1295:H101292)),"update STUDENT sheet")</f>
        <v/>
      </c>
    </row>
    <row r="1297">
      <c r="B1297">
        <f>IF(STUDENTS!B1296="","",STUDENTS!B1296)</f>
        <v/>
      </c>
      <c r="C1297">
        <f>IFERROR(IF(B1297="","",_xlfn.XLOOKUP(B1297,STUDENTS!$B$3:$B$1048576,STUDENTS!$C$3:$C$1048576)),"Enter a registered reg. no")</f>
        <v/>
      </c>
      <c r="D1297">
        <f>IFERROR(IF(B1297="","",_xlfn.XLOOKUP(B1297,STUDENTS!B1296:B101293,STUDENTS!D1296:D101293)),"update STUDENT sheet")</f>
        <v/>
      </c>
      <c r="E1297">
        <f>IFERROR(IF(C1297="","",_xlfn.XLOOKUP(C1297,STUDENTS!C1296:C101293,STUDENTS!F1296:F101293)),"update STUDENT sheet")</f>
        <v/>
      </c>
      <c r="F1297">
        <f>IFERROR(IF(D1297="","",_xlfn.XLOOKUP(D1297,STUDENTS!D1296:D101293,STUDENTS!G1296:G101293)),"update STUDENT sheet")</f>
        <v/>
      </c>
      <c r="G1297">
        <f>IFERROR(IF(E1297="","",_xlfn.XLOOKUP(E1297,STUDENTS!F1296:F101293,STUDENTS!H1296:H101293)),"update STUDENT sheet")</f>
        <v/>
      </c>
    </row>
    <row r="1298">
      <c r="B1298">
        <f>IF(STUDENTS!B1297="","",STUDENTS!B1297)</f>
        <v/>
      </c>
      <c r="C1298">
        <f>IFERROR(IF(B1298="","",_xlfn.XLOOKUP(B1298,STUDENTS!$B$3:$B$1048576,STUDENTS!$C$3:$C$1048576)),"Enter a registered reg. no")</f>
        <v/>
      </c>
      <c r="D1298">
        <f>IFERROR(IF(B1298="","",_xlfn.XLOOKUP(B1298,STUDENTS!B1297:B101294,STUDENTS!D1297:D101294)),"update STUDENT sheet")</f>
        <v/>
      </c>
      <c r="E1298">
        <f>IFERROR(IF(C1298="","",_xlfn.XLOOKUP(C1298,STUDENTS!C1297:C101294,STUDENTS!F1297:F101294)),"update STUDENT sheet")</f>
        <v/>
      </c>
      <c r="F1298">
        <f>IFERROR(IF(D1298="","",_xlfn.XLOOKUP(D1298,STUDENTS!D1297:D101294,STUDENTS!G1297:G101294)),"update STUDENT sheet")</f>
        <v/>
      </c>
      <c r="G1298">
        <f>IFERROR(IF(E1298="","",_xlfn.XLOOKUP(E1298,STUDENTS!F1297:F101294,STUDENTS!H1297:H101294)),"update STUDENT sheet")</f>
        <v/>
      </c>
    </row>
    <row r="1299">
      <c r="B1299">
        <f>IF(STUDENTS!B1298="","",STUDENTS!B1298)</f>
        <v/>
      </c>
      <c r="C1299">
        <f>IFERROR(IF(B1299="","",_xlfn.XLOOKUP(B1299,STUDENTS!$B$3:$B$1048576,STUDENTS!$C$3:$C$1048576)),"Enter a registered reg. no")</f>
        <v/>
      </c>
      <c r="D1299">
        <f>IFERROR(IF(B1299="","",_xlfn.XLOOKUP(B1299,STUDENTS!B1298:B101295,STUDENTS!D1298:D101295)),"update STUDENT sheet")</f>
        <v/>
      </c>
      <c r="E1299">
        <f>IFERROR(IF(C1299="","",_xlfn.XLOOKUP(C1299,STUDENTS!C1298:C101295,STUDENTS!F1298:F101295)),"update STUDENT sheet")</f>
        <v/>
      </c>
      <c r="F1299">
        <f>IFERROR(IF(D1299="","",_xlfn.XLOOKUP(D1299,STUDENTS!D1298:D101295,STUDENTS!G1298:G101295)),"update STUDENT sheet")</f>
        <v/>
      </c>
      <c r="G1299">
        <f>IFERROR(IF(E1299="","",_xlfn.XLOOKUP(E1299,STUDENTS!F1298:F101295,STUDENTS!H1298:H101295)),"update STUDENT sheet")</f>
        <v/>
      </c>
    </row>
    <row r="1300">
      <c r="B1300">
        <f>IF(STUDENTS!B1299="","",STUDENTS!B1299)</f>
        <v/>
      </c>
      <c r="C1300">
        <f>IFERROR(IF(B1300="","",_xlfn.XLOOKUP(B1300,STUDENTS!$B$3:$B$1048576,STUDENTS!$C$3:$C$1048576)),"Enter a registered reg. no")</f>
        <v/>
      </c>
      <c r="D1300">
        <f>IFERROR(IF(B1300="","",_xlfn.XLOOKUP(B1300,STUDENTS!B1299:B101296,STUDENTS!D1299:D101296)),"update STUDENT sheet")</f>
        <v/>
      </c>
      <c r="E1300">
        <f>IFERROR(IF(C1300="","",_xlfn.XLOOKUP(C1300,STUDENTS!C1299:C101296,STUDENTS!F1299:F101296)),"update STUDENT sheet")</f>
        <v/>
      </c>
      <c r="F1300">
        <f>IFERROR(IF(D1300="","",_xlfn.XLOOKUP(D1300,STUDENTS!D1299:D101296,STUDENTS!G1299:G101296)),"update STUDENT sheet")</f>
        <v/>
      </c>
      <c r="G1300">
        <f>IFERROR(IF(E1300="","",_xlfn.XLOOKUP(E1300,STUDENTS!F1299:F101296,STUDENTS!H1299:H101296)),"update STUDENT sheet")</f>
        <v/>
      </c>
    </row>
    <row r="1301">
      <c r="B1301">
        <f>IF(STUDENTS!B1300="","",STUDENTS!B1300)</f>
        <v/>
      </c>
      <c r="C1301">
        <f>IFERROR(IF(B1301="","",_xlfn.XLOOKUP(B1301,STUDENTS!$B$3:$B$1048576,STUDENTS!$C$3:$C$1048576)),"Enter a registered reg. no")</f>
        <v/>
      </c>
      <c r="D1301">
        <f>IFERROR(IF(B1301="","",_xlfn.XLOOKUP(B1301,STUDENTS!B1300:B101297,STUDENTS!D1300:D101297)),"update STUDENT sheet")</f>
        <v/>
      </c>
      <c r="E1301">
        <f>IFERROR(IF(C1301="","",_xlfn.XLOOKUP(C1301,STUDENTS!C1300:C101297,STUDENTS!F1300:F101297)),"update STUDENT sheet")</f>
        <v/>
      </c>
      <c r="F1301">
        <f>IFERROR(IF(D1301="","",_xlfn.XLOOKUP(D1301,STUDENTS!D1300:D101297,STUDENTS!G1300:G101297)),"update STUDENT sheet")</f>
        <v/>
      </c>
      <c r="G1301">
        <f>IFERROR(IF(E1301="","",_xlfn.XLOOKUP(E1301,STUDENTS!F1300:F101297,STUDENTS!H1300:H101297)),"update STUDENT sheet")</f>
        <v/>
      </c>
    </row>
    <row r="1302">
      <c r="B1302">
        <f>IF(STUDENTS!B1301="","",STUDENTS!B1301)</f>
        <v/>
      </c>
      <c r="C1302">
        <f>IFERROR(IF(B1302="","",_xlfn.XLOOKUP(B1302,STUDENTS!$B$3:$B$1048576,STUDENTS!$C$3:$C$1048576)),"Enter a registered reg. no")</f>
        <v/>
      </c>
      <c r="D1302">
        <f>IFERROR(IF(B1302="","",_xlfn.XLOOKUP(B1302,STUDENTS!B1301:B101298,STUDENTS!D1301:D101298)),"update STUDENT sheet")</f>
        <v/>
      </c>
      <c r="E1302">
        <f>IFERROR(IF(C1302="","",_xlfn.XLOOKUP(C1302,STUDENTS!C1301:C101298,STUDENTS!F1301:F101298)),"update STUDENT sheet")</f>
        <v/>
      </c>
      <c r="F1302">
        <f>IFERROR(IF(D1302="","",_xlfn.XLOOKUP(D1302,STUDENTS!D1301:D101298,STUDENTS!G1301:G101298)),"update STUDENT sheet")</f>
        <v/>
      </c>
      <c r="G1302">
        <f>IFERROR(IF(E1302="","",_xlfn.XLOOKUP(E1302,STUDENTS!F1301:F101298,STUDENTS!H1301:H101298)),"update STUDENT sheet")</f>
        <v/>
      </c>
    </row>
    <row r="1303">
      <c r="B1303">
        <f>IF(STUDENTS!B1302="","",STUDENTS!B1302)</f>
        <v/>
      </c>
      <c r="C1303">
        <f>IFERROR(IF(B1303="","",_xlfn.XLOOKUP(B1303,STUDENTS!$B$3:$B$1048576,STUDENTS!$C$3:$C$1048576)),"Enter a registered reg. no")</f>
        <v/>
      </c>
      <c r="D1303">
        <f>IFERROR(IF(B1303="","",_xlfn.XLOOKUP(B1303,STUDENTS!B1302:B101299,STUDENTS!D1302:D101299)),"update STUDENT sheet")</f>
        <v/>
      </c>
      <c r="E1303">
        <f>IFERROR(IF(C1303="","",_xlfn.XLOOKUP(C1303,STUDENTS!C1302:C101299,STUDENTS!F1302:F101299)),"update STUDENT sheet")</f>
        <v/>
      </c>
      <c r="F1303">
        <f>IFERROR(IF(D1303="","",_xlfn.XLOOKUP(D1303,STUDENTS!D1302:D101299,STUDENTS!G1302:G101299)),"update STUDENT sheet")</f>
        <v/>
      </c>
      <c r="G1303">
        <f>IFERROR(IF(E1303="","",_xlfn.XLOOKUP(E1303,STUDENTS!F1302:F101299,STUDENTS!H1302:H101299)),"update STUDENT sheet")</f>
        <v/>
      </c>
    </row>
    <row r="1304">
      <c r="B1304">
        <f>IF(STUDENTS!B1303="","",STUDENTS!B1303)</f>
        <v/>
      </c>
      <c r="C1304">
        <f>IFERROR(IF(B1304="","",_xlfn.XLOOKUP(B1304,STUDENTS!$B$3:$B$1048576,STUDENTS!$C$3:$C$1048576)),"Enter a registered reg. no")</f>
        <v/>
      </c>
      <c r="D1304">
        <f>IFERROR(IF(B1304="","",_xlfn.XLOOKUP(B1304,STUDENTS!B1303:B101300,STUDENTS!D1303:D101300)),"update STUDENT sheet")</f>
        <v/>
      </c>
      <c r="E1304">
        <f>IFERROR(IF(C1304="","",_xlfn.XLOOKUP(C1304,STUDENTS!C1303:C101300,STUDENTS!F1303:F101300)),"update STUDENT sheet")</f>
        <v/>
      </c>
      <c r="F1304">
        <f>IFERROR(IF(D1304="","",_xlfn.XLOOKUP(D1304,STUDENTS!D1303:D101300,STUDENTS!G1303:G101300)),"update STUDENT sheet")</f>
        <v/>
      </c>
      <c r="G1304">
        <f>IFERROR(IF(E1304="","",_xlfn.XLOOKUP(E1304,STUDENTS!F1303:F101300,STUDENTS!H1303:H101300)),"update STUDENT sheet")</f>
        <v/>
      </c>
    </row>
    <row r="1305">
      <c r="B1305">
        <f>IF(STUDENTS!B1304="","",STUDENTS!B1304)</f>
        <v/>
      </c>
      <c r="C1305">
        <f>IFERROR(IF(B1305="","",_xlfn.XLOOKUP(B1305,STUDENTS!$B$3:$B$1048576,STUDENTS!$C$3:$C$1048576)),"Enter a registered reg. no")</f>
        <v/>
      </c>
      <c r="D1305">
        <f>IFERROR(IF(B1305="","",_xlfn.XLOOKUP(B1305,STUDENTS!B1304:B101301,STUDENTS!D1304:D101301)),"update STUDENT sheet")</f>
        <v/>
      </c>
      <c r="E1305">
        <f>IFERROR(IF(C1305="","",_xlfn.XLOOKUP(C1305,STUDENTS!C1304:C101301,STUDENTS!F1304:F101301)),"update STUDENT sheet")</f>
        <v/>
      </c>
      <c r="F1305">
        <f>IFERROR(IF(D1305="","",_xlfn.XLOOKUP(D1305,STUDENTS!D1304:D101301,STUDENTS!G1304:G101301)),"update STUDENT sheet")</f>
        <v/>
      </c>
      <c r="G1305">
        <f>IFERROR(IF(E1305="","",_xlfn.XLOOKUP(E1305,STUDENTS!F1304:F101301,STUDENTS!H1304:H101301)),"update STUDENT sheet")</f>
        <v/>
      </c>
    </row>
    <row r="1306">
      <c r="B1306">
        <f>IF(STUDENTS!B1305="","",STUDENTS!B1305)</f>
        <v/>
      </c>
      <c r="C1306">
        <f>IFERROR(IF(B1306="","",_xlfn.XLOOKUP(B1306,STUDENTS!$B$3:$B$1048576,STUDENTS!$C$3:$C$1048576)),"Enter a registered reg. no")</f>
        <v/>
      </c>
      <c r="D1306">
        <f>IFERROR(IF(B1306="","",_xlfn.XLOOKUP(B1306,STUDENTS!B1305:B101302,STUDENTS!D1305:D101302)),"update STUDENT sheet")</f>
        <v/>
      </c>
      <c r="E1306">
        <f>IFERROR(IF(C1306="","",_xlfn.XLOOKUP(C1306,STUDENTS!C1305:C101302,STUDENTS!F1305:F101302)),"update STUDENT sheet")</f>
        <v/>
      </c>
      <c r="F1306">
        <f>IFERROR(IF(D1306="","",_xlfn.XLOOKUP(D1306,STUDENTS!D1305:D101302,STUDENTS!G1305:G101302)),"update STUDENT sheet")</f>
        <v/>
      </c>
      <c r="G1306">
        <f>IFERROR(IF(E1306="","",_xlfn.XLOOKUP(E1306,STUDENTS!F1305:F101302,STUDENTS!H1305:H101302)),"update STUDENT sheet")</f>
        <v/>
      </c>
    </row>
    <row r="1307">
      <c r="B1307">
        <f>IF(STUDENTS!B1306="","",STUDENTS!B1306)</f>
        <v/>
      </c>
      <c r="C1307">
        <f>IFERROR(IF(B1307="","",_xlfn.XLOOKUP(B1307,STUDENTS!$B$3:$B$1048576,STUDENTS!$C$3:$C$1048576)),"Enter a registered reg. no")</f>
        <v/>
      </c>
      <c r="D1307">
        <f>IFERROR(IF(B1307="","",_xlfn.XLOOKUP(B1307,STUDENTS!B1306:B101303,STUDENTS!D1306:D101303)),"update STUDENT sheet")</f>
        <v/>
      </c>
      <c r="E1307">
        <f>IFERROR(IF(C1307="","",_xlfn.XLOOKUP(C1307,STUDENTS!C1306:C101303,STUDENTS!F1306:F101303)),"update STUDENT sheet")</f>
        <v/>
      </c>
      <c r="F1307">
        <f>IFERROR(IF(D1307="","",_xlfn.XLOOKUP(D1307,STUDENTS!D1306:D101303,STUDENTS!G1306:G101303)),"update STUDENT sheet")</f>
        <v/>
      </c>
      <c r="G1307">
        <f>IFERROR(IF(E1307="","",_xlfn.XLOOKUP(E1307,STUDENTS!F1306:F101303,STUDENTS!H1306:H101303)),"update STUDENT sheet")</f>
        <v/>
      </c>
    </row>
    <row r="1308">
      <c r="B1308">
        <f>IF(STUDENTS!B1307="","",STUDENTS!B1307)</f>
        <v/>
      </c>
      <c r="C1308">
        <f>IFERROR(IF(B1308="","",_xlfn.XLOOKUP(B1308,STUDENTS!$B$3:$B$1048576,STUDENTS!$C$3:$C$1048576)),"Enter a registered reg. no")</f>
        <v/>
      </c>
      <c r="D1308">
        <f>IFERROR(IF(B1308="","",_xlfn.XLOOKUP(B1308,STUDENTS!B1307:B101304,STUDENTS!D1307:D101304)),"update STUDENT sheet")</f>
        <v/>
      </c>
      <c r="E1308">
        <f>IFERROR(IF(C1308="","",_xlfn.XLOOKUP(C1308,STUDENTS!C1307:C101304,STUDENTS!F1307:F101304)),"update STUDENT sheet")</f>
        <v/>
      </c>
      <c r="F1308">
        <f>IFERROR(IF(D1308="","",_xlfn.XLOOKUP(D1308,STUDENTS!D1307:D101304,STUDENTS!G1307:G101304)),"update STUDENT sheet")</f>
        <v/>
      </c>
      <c r="G1308">
        <f>IFERROR(IF(E1308="","",_xlfn.XLOOKUP(E1308,STUDENTS!F1307:F101304,STUDENTS!H1307:H101304)),"update STUDENT sheet")</f>
        <v/>
      </c>
    </row>
    <row r="1309">
      <c r="B1309">
        <f>IF(STUDENTS!B1308="","",STUDENTS!B1308)</f>
        <v/>
      </c>
      <c r="C1309">
        <f>IFERROR(IF(B1309="","",_xlfn.XLOOKUP(B1309,STUDENTS!$B$3:$B$1048576,STUDENTS!$C$3:$C$1048576)),"Enter a registered reg. no")</f>
        <v/>
      </c>
      <c r="D1309">
        <f>IFERROR(IF(B1309="","",_xlfn.XLOOKUP(B1309,STUDENTS!B1308:B101305,STUDENTS!D1308:D101305)),"update STUDENT sheet")</f>
        <v/>
      </c>
      <c r="E1309">
        <f>IFERROR(IF(C1309="","",_xlfn.XLOOKUP(C1309,STUDENTS!C1308:C101305,STUDENTS!F1308:F101305)),"update STUDENT sheet")</f>
        <v/>
      </c>
      <c r="F1309">
        <f>IFERROR(IF(D1309="","",_xlfn.XLOOKUP(D1309,STUDENTS!D1308:D101305,STUDENTS!G1308:G101305)),"update STUDENT sheet")</f>
        <v/>
      </c>
      <c r="G1309">
        <f>IFERROR(IF(E1309="","",_xlfn.XLOOKUP(E1309,STUDENTS!F1308:F101305,STUDENTS!H1308:H101305)),"update STUDENT sheet")</f>
        <v/>
      </c>
    </row>
    <row r="1310">
      <c r="B1310">
        <f>IF(STUDENTS!B1309="","",STUDENTS!B1309)</f>
        <v/>
      </c>
      <c r="C1310">
        <f>IFERROR(IF(B1310="","",_xlfn.XLOOKUP(B1310,STUDENTS!$B$3:$B$1048576,STUDENTS!$C$3:$C$1048576)),"Enter a registered reg. no")</f>
        <v/>
      </c>
      <c r="D1310">
        <f>IFERROR(IF(B1310="","",_xlfn.XLOOKUP(B1310,STUDENTS!B1309:B101306,STUDENTS!D1309:D101306)),"update STUDENT sheet")</f>
        <v/>
      </c>
      <c r="E1310">
        <f>IFERROR(IF(C1310="","",_xlfn.XLOOKUP(C1310,STUDENTS!C1309:C101306,STUDENTS!F1309:F101306)),"update STUDENT sheet")</f>
        <v/>
      </c>
      <c r="F1310">
        <f>IFERROR(IF(D1310="","",_xlfn.XLOOKUP(D1310,STUDENTS!D1309:D101306,STUDENTS!G1309:G101306)),"update STUDENT sheet")</f>
        <v/>
      </c>
      <c r="G1310">
        <f>IFERROR(IF(E1310="","",_xlfn.XLOOKUP(E1310,STUDENTS!F1309:F101306,STUDENTS!H1309:H101306)),"update STUDENT sheet")</f>
        <v/>
      </c>
    </row>
    <row r="1311">
      <c r="B1311">
        <f>IF(STUDENTS!B1310="","",STUDENTS!B1310)</f>
        <v/>
      </c>
      <c r="C1311">
        <f>IFERROR(IF(B1311="","",_xlfn.XLOOKUP(B1311,STUDENTS!$B$3:$B$1048576,STUDENTS!$C$3:$C$1048576)),"Enter a registered reg. no")</f>
        <v/>
      </c>
      <c r="D1311">
        <f>IFERROR(IF(B1311="","",_xlfn.XLOOKUP(B1311,STUDENTS!B1310:B101307,STUDENTS!D1310:D101307)),"update STUDENT sheet")</f>
        <v/>
      </c>
      <c r="E1311">
        <f>IFERROR(IF(C1311="","",_xlfn.XLOOKUP(C1311,STUDENTS!C1310:C101307,STUDENTS!F1310:F101307)),"update STUDENT sheet")</f>
        <v/>
      </c>
      <c r="F1311">
        <f>IFERROR(IF(D1311="","",_xlfn.XLOOKUP(D1311,STUDENTS!D1310:D101307,STUDENTS!G1310:G101307)),"update STUDENT sheet")</f>
        <v/>
      </c>
      <c r="G1311">
        <f>IFERROR(IF(E1311="","",_xlfn.XLOOKUP(E1311,STUDENTS!F1310:F101307,STUDENTS!H1310:H101307)),"update STUDENT sheet")</f>
        <v/>
      </c>
    </row>
    <row r="1312">
      <c r="B1312">
        <f>IF(STUDENTS!B1311="","",STUDENTS!B1311)</f>
        <v/>
      </c>
      <c r="C1312">
        <f>IFERROR(IF(B1312="","",_xlfn.XLOOKUP(B1312,STUDENTS!$B$3:$B$1048576,STUDENTS!$C$3:$C$1048576)),"Enter a registered reg. no")</f>
        <v/>
      </c>
      <c r="D1312">
        <f>IFERROR(IF(B1312="","",_xlfn.XLOOKUP(B1312,STUDENTS!B1311:B101308,STUDENTS!D1311:D101308)),"update STUDENT sheet")</f>
        <v/>
      </c>
      <c r="E1312">
        <f>IFERROR(IF(C1312="","",_xlfn.XLOOKUP(C1312,STUDENTS!C1311:C101308,STUDENTS!F1311:F101308)),"update STUDENT sheet")</f>
        <v/>
      </c>
      <c r="F1312">
        <f>IFERROR(IF(D1312="","",_xlfn.XLOOKUP(D1312,STUDENTS!D1311:D101308,STUDENTS!G1311:G101308)),"update STUDENT sheet")</f>
        <v/>
      </c>
      <c r="G1312">
        <f>IFERROR(IF(E1312="","",_xlfn.XLOOKUP(E1312,STUDENTS!F1311:F101308,STUDENTS!H1311:H101308)),"update STUDENT sheet")</f>
        <v/>
      </c>
    </row>
    <row r="1313">
      <c r="B1313">
        <f>IF(STUDENTS!B1312="","",STUDENTS!B1312)</f>
        <v/>
      </c>
      <c r="C1313">
        <f>IFERROR(IF(B1313="","",_xlfn.XLOOKUP(B1313,STUDENTS!$B$3:$B$1048576,STUDENTS!$C$3:$C$1048576)),"Enter a registered reg. no")</f>
        <v/>
      </c>
      <c r="E1313">
        <f>IFERROR(IF(C1313="","",_xlfn.XLOOKUP(C1313,STUDENTS!C1312:C101309,STUDENTS!F1312:F101309)),"update STUDENT sheet")</f>
        <v/>
      </c>
      <c r="F1313">
        <f>IFERROR(IF(D1313="","",_xlfn.XLOOKUP(D1313,STUDENTS!D1312:D101309,STUDENTS!G1312:G101309)),"update STUDENT sheet")</f>
        <v/>
      </c>
      <c r="G1313">
        <f>IFERROR(IF(E1313="","",_xlfn.XLOOKUP(E1313,STUDENTS!F1312:F101309,STUDENTS!H1312:H101309)),"update STUDENT sheet")</f>
        <v/>
      </c>
    </row>
    <row r="1314">
      <c r="B1314">
        <f>IF(STUDENTS!B1313="","",STUDENTS!B1313)</f>
        <v/>
      </c>
      <c r="C1314">
        <f>IFERROR(IF(B1314="","",_xlfn.XLOOKUP(B1314,STUDENTS!$B$3:$B$1048576,STUDENTS!$C$3:$C$1048576)),"Enter a registered reg. no")</f>
        <v/>
      </c>
      <c r="E1314">
        <f>IFERROR(IF(C1314="","",_xlfn.XLOOKUP(C1314,STUDENTS!C1313:C101310,STUDENTS!F1313:F101310)),"update STUDENT sheet")</f>
        <v/>
      </c>
      <c r="F1314">
        <f>IFERROR(IF(D1314="","",_xlfn.XLOOKUP(D1314,STUDENTS!D1313:D101310,STUDENTS!G1313:G101310)),"update STUDENT sheet")</f>
        <v/>
      </c>
      <c r="G1314">
        <f>IFERROR(IF(E1314="","",_xlfn.XLOOKUP(E1314,STUDENTS!F1313:F101310,STUDENTS!H1313:H101310)),"update STUDENT sheet")</f>
        <v/>
      </c>
    </row>
    <row r="1315">
      <c r="B1315">
        <f>IF(STUDENTS!B1314="","",STUDENTS!B1314)</f>
        <v/>
      </c>
      <c r="C1315">
        <f>IFERROR(IF(B1315="","",_xlfn.XLOOKUP(B1315,STUDENTS!$B$3:$B$1048576,STUDENTS!$C$3:$C$1048576)),"Enter a registered reg. no")</f>
        <v/>
      </c>
      <c r="E1315">
        <f>IFERROR(IF(C1315="","",_xlfn.XLOOKUP(C1315,STUDENTS!C1314:C101311,STUDENTS!F1314:F101311)),"update STUDENT sheet")</f>
        <v/>
      </c>
      <c r="F1315">
        <f>IFERROR(IF(D1315="","",_xlfn.XLOOKUP(D1315,STUDENTS!D1314:D101311,STUDENTS!G1314:G101311)),"update STUDENT sheet")</f>
        <v/>
      </c>
      <c r="G1315">
        <f>IFERROR(IF(E1315="","",_xlfn.XLOOKUP(E1315,STUDENTS!F1314:F101311,STUDENTS!H1314:H101311)),"update STUDENT sheet")</f>
        <v/>
      </c>
    </row>
    <row r="1316">
      <c r="B1316">
        <f>IF(STUDENTS!B1315="","",STUDENTS!B1315)</f>
        <v/>
      </c>
      <c r="C1316">
        <f>IFERROR(IF(B1316="","",_xlfn.XLOOKUP(B1316,STUDENTS!$B$3:$B$1048576,STUDENTS!$C$3:$C$1048576)),"Enter a registered reg. no")</f>
        <v/>
      </c>
      <c r="E1316">
        <f>IFERROR(IF(C1316="","",_xlfn.XLOOKUP(C1316,STUDENTS!C1315:C101312,STUDENTS!F1315:F101312)),"update STUDENT sheet")</f>
        <v/>
      </c>
      <c r="F1316">
        <f>IFERROR(IF(D1316="","",_xlfn.XLOOKUP(D1316,STUDENTS!D1315:D101312,STUDENTS!G1315:G101312)),"update STUDENT sheet")</f>
        <v/>
      </c>
      <c r="G1316">
        <f>IFERROR(IF(E1316="","",_xlfn.XLOOKUP(E1316,STUDENTS!F1315:F101312,STUDENTS!H1315:H101312)),"update STUDENT sheet")</f>
        <v/>
      </c>
    </row>
    <row r="1317">
      <c r="B1317">
        <f>IF(STUDENTS!B1316="","",STUDENTS!B1316)</f>
        <v/>
      </c>
      <c r="C1317">
        <f>IFERROR(IF(B1317="","",_xlfn.XLOOKUP(B1317,STUDENTS!$B$3:$B$1048576,STUDENTS!$C$3:$C$1048576)),"Enter a registered reg. no")</f>
        <v/>
      </c>
      <c r="E1317">
        <f>IFERROR(IF(C1317="","",_xlfn.XLOOKUP(C1317,STUDENTS!C1316:C101313,STUDENTS!F1316:F101313)),"update STUDENT sheet")</f>
        <v/>
      </c>
      <c r="F1317">
        <f>IFERROR(IF(D1317="","",_xlfn.XLOOKUP(D1317,STUDENTS!D1316:D101313,STUDENTS!G1316:G101313)),"update STUDENT sheet")</f>
        <v/>
      </c>
      <c r="G1317">
        <f>IFERROR(IF(E1317="","",_xlfn.XLOOKUP(E1317,STUDENTS!F1316:F101313,STUDENTS!H1316:H101313)),"update STUDENT sheet")</f>
        <v/>
      </c>
    </row>
    <row r="1318">
      <c r="B1318">
        <f>IF(STUDENTS!B1317="","",STUDENTS!B1317)</f>
        <v/>
      </c>
      <c r="C1318">
        <f>IFERROR(IF(B1318="","",_xlfn.XLOOKUP(B1318,STUDENTS!$B$3:$B$1048576,STUDENTS!$C$3:$C$1048576)),"Enter a registered reg. no")</f>
        <v/>
      </c>
      <c r="E1318">
        <f>IFERROR(IF(C1318="","",_xlfn.XLOOKUP(C1318,STUDENTS!C1317:C101314,STUDENTS!F1317:F101314)),"update STUDENT sheet")</f>
        <v/>
      </c>
      <c r="F1318">
        <f>IFERROR(IF(D1318="","",_xlfn.XLOOKUP(D1318,STUDENTS!D1317:D101314,STUDENTS!G1317:G101314)),"update STUDENT sheet")</f>
        <v/>
      </c>
      <c r="G1318">
        <f>IFERROR(IF(E1318="","",_xlfn.XLOOKUP(E1318,STUDENTS!F1317:F101314,STUDENTS!H1317:H101314)),"update STUDENT sheet")</f>
        <v/>
      </c>
    </row>
    <row r="1319">
      <c r="B1319">
        <f>IF(STUDENTS!B1318="","",STUDENTS!B1318)</f>
        <v/>
      </c>
      <c r="C1319">
        <f>IFERROR(IF(B1319="","",_xlfn.XLOOKUP(B1319,STUDENTS!$B$3:$B$1048576,STUDENTS!$C$3:$C$1048576)),"Enter a registered reg. no")</f>
        <v/>
      </c>
      <c r="E1319">
        <f>IFERROR(IF(C1319="","",_xlfn.XLOOKUP(C1319,STUDENTS!C1318:C101315,STUDENTS!F1318:F101315)),"update STUDENT sheet")</f>
        <v/>
      </c>
      <c r="F1319">
        <f>IFERROR(IF(D1319="","",_xlfn.XLOOKUP(D1319,STUDENTS!D1318:D101315,STUDENTS!G1318:G101315)),"update STUDENT sheet")</f>
        <v/>
      </c>
      <c r="G1319">
        <f>IFERROR(IF(E1319="","",_xlfn.XLOOKUP(E1319,STUDENTS!F1318:F101315,STUDENTS!H1318:H101315)),"update STUDENT sheet")</f>
        <v/>
      </c>
    </row>
    <row r="1320">
      <c r="B1320">
        <f>IF(STUDENTS!B1319="","",STUDENTS!B1319)</f>
        <v/>
      </c>
      <c r="C1320">
        <f>IFERROR(IF(B1320="","",_xlfn.XLOOKUP(B1320,STUDENTS!$B$3:$B$1048576,STUDENTS!$C$3:$C$1048576)),"Enter a registered reg. no")</f>
        <v/>
      </c>
      <c r="E1320">
        <f>IFERROR(IF(C1320="","",_xlfn.XLOOKUP(C1320,STUDENTS!C1319:C101316,STUDENTS!F1319:F101316)),"update STUDENT sheet")</f>
        <v/>
      </c>
      <c r="F1320">
        <f>IFERROR(IF(D1320="","",_xlfn.XLOOKUP(D1320,STUDENTS!D1319:D101316,STUDENTS!G1319:G101316)),"update STUDENT sheet")</f>
        <v/>
      </c>
      <c r="G1320">
        <f>IFERROR(IF(E1320="","",_xlfn.XLOOKUP(E1320,STUDENTS!F1319:F101316,STUDENTS!H1319:H101316)),"update STUDENT sheet")</f>
        <v/>
      </c>
    </row>
    <row r="1321">
      <c r="B1321">
        <f>IF(STUDENTS!B1320="","",STUDENTS!B1320)</f>
        <v/>
      </c>
      <c r="C1321">
        <f>IFERROR(IF(B1321="","",_xlfn.XLOOKUP(B1321,STUDENTS!$B$3:$B$1048576,STUDENTS!$C$3:$C$1048576)),"Enter a registered reg. no")</f>
        <v/>
      </c>
      <c r="E1321">
        <f>IFERROR(IF(C1321="","",_xlfn.XLOOKUP(C1321,STUDENTS!C1320:C101317,STUDENTS!F1320:F101317)),"update STUDENT sheet")</f>
        <v/>
      </c>
      <c r="F1321">
        <f>IFERROR(IF(D1321="","",_xlfn.XLOOKUP(D1321,STUDENTS!D1320:D101317,STUDENTS!G1320:G101317)),"update STUDENT sheet")</f>
        <v/>
      </c>
      <c r="G1321">
        <f>IFERROR(IF(E1321="","",_xlfn.XLOOKUP(E1321,STUDENTS!F1320:F101317,STUDENTS!H1320:H101317)),"update STUDENT sheet")</f>
        <v/>
      </c>
    </row>
    <row r="1322">
      <c r="B1322">
        <f>IF(STUDENTS!B1321="","",STUDENTS!B1321)</f>
        <v/>
      </c>
      <c r="C1322">
        <f>IFERROR(IF(B1322="","",_xlfn.XLOOKUP(B1322,STUDENTS!$B$3:$B$1048576,STUDENTS!$C$3:$C$1048576)),"Enter a registered reg. no")</f>
        <v/>
      </c>
      <c r="E1322">
        <f>IFERROR(IF(C1322="","",_xlfn.XLOOKUP(C1322,STUDENTS!C1321:C101318,STUDENTS!F1321:F101318)),"update STUDENT sheet")</f>
        <v/>
      </c>
      <c r="F1322">
        <f>IFERROR(IF(D1322="","",_xlfn.XLOOKUP(D1322,STUDENTS!D1321:D101318,STUDENTS!G1321:G101318)),"update STUDENT sheet")</f>
        <v/>
      </c>
      <c r="G1322">
        <f>IFERROR(IF(E1322="","",_xlfn.XLOOKUP(E1322,STUDENTS!F1321:F101318,STUDENTS!H1321:H101318)),"update STUDENT sheet")</f>
        <v/>
      </c>
    </row>
    <row r="1323">
      <c r="B1323">
        <f>IF(STUDENTS!B1322="","",STUDENTS!B1322)</f>
        <v/>
      </c>
      <c r="C1323">
        <f>IFERROR(IF(B1323="","",_xlfn.XLOOKUP(B1323,STUDENTS!$B$3:$B$1048576,STUDENTS!$C$3:$C$1048576)),"Enter a registered reg. no")</f>
        <v/>
      </c>
      <c r="E1323">
        <f>IFERROR(IF(C1323="","",_xlfn.XLOOKUP(C1323,STUDENTS!C1322:C101319,STUDENTS!F1322:F101319)),"update STUDENT sheet")</f>
        <v/>
      </c>
      <c r="F1323">
        <f>IFERROR(IF(D1323="","",_xlfn.XLOOKUP(D1323,STUDENTS!D1322:D101319,STUDENTS!G1322:G101319)),"update STUDENT sheet")</f>
        <v/>
      </c>
      <c r="G1323">
        <f>IFERROR(IF(E1323="","",_xlfn.XLOOKUP(E1323,STUDENTS!F1322:F101319,STUDENTS!H1322:H101319)),"update STUDENT sheet")</f>
        <v/>
      </c>
    </row>
    <row r="1324">
      <c r="B1324">
        <f>IF(STUDENTS!B1323="","",STUDENTS!B1323)</f>
        <v/>
      </c>
      <c r="C1324">
        <f>IFERROR(IF(B1324="","",_xlfn.XLOOKUP(B1324,STUDENTS!$B$3:$B$1048576,STUDENTS!$C$3:$C$1048576)),"Enter a registered reg. no")</f>
        <v/>
      </c>
      <c r="E1324">
        <f>IFERROR(IF(C1324="","",_xlfn.XLOOKUP(C1324,STUDENTS!C1323:C101320,STUDENTS!F1323:F101320)),"update STUDENT sheet")</f>
        <v/>
      </c>
      <c r="F1324">
        <f>IFERROR(IF(D1324="","",_xlfn.XLOOKUP(D1324,STUDENTS!D1323:D101320,STUDENTS!G1323:G101320)),"update STUDENT sheet")</f>
        <v/>
      </c>
      <c r="G1324">
        <f>IFERROR(IF(E1324="","",_xlfn.XLOOKUP(E1324,STUDENTS!F1323:F101320,STUDENTS!H1323:H101320)),"update STUDENT sheet")</f>
        <v/>
      </c>
    </row>
    <row r="1325">
      <c r="B1325">
        <f>IF(STUDENTS!B1324="","",STUDENTS!B1324)</f>
        <v/>
      </c>
      <c r="C1325">
        <f>IFERROR(IF(B1325="","",_xlfn.XLOOKUP(B1325,STUDENTS!$B$3:$B$1048576,STUDENTS!$C$3:$C$1048576)),"Enter a registered reg. no")</f>
        <v/>
      </c>
      <c r="E1325">
        <f>IFERROR(IF(C1325="","",_xlfn.XLOOKUP(C1325,STUDENTS!C1324:C101321,STUDENTS!F1324:F101321)),"update STUDENT sheet")</f>
        <v/>
      </c>
      <c r="F1325">
        <f>IFERROR(IF(D1325="","",_xlfn.XLOOKUP(D1325,STUDENTS!D1324:D101321,STUDENTS!G1324:G101321)),"update STUDENT sheet")</f>
        <v/>
      </c>
      <c r="G1325">
        <f>IFERROR(IF(E1325="","",_xlfn.XLOOKUP(E1325,STUDENTS!F1324:F101321,STUDENTS!H1324:H101321)),"update STUDENT sheet")</f>
        <v/>
      </c>
    </row>
    <row r="1326">
      <c r="B1326">
        <f>IF(STUDENTS!B1325="","",STUDENTS!B1325)</f>
        <v/>
      </c>
      <c r="C1326">
        <f>IFERROR(IF(B1326="","",_xlfn.XLOOKUP(B1326,STUDENTS!$B$3:$B$1048576,STUDENTS!$C$3:$C$1048576)),"Enter a registered reg. no")</f>
        <v/>
      </c>
      <c r="E1326">
        <f>IFERROR(IF(C1326="","",_xlfn.XLOOKUP(C1326,STUDENTS!C1325:C101322,STUDENTS!F1325:F101322)),"update STUDENT sheet")</f>
        <v/>
      </c>
      <c r="F1326">
        <f>IFERROR(IF(D1326="","",_xlfn.XLOOKUP(D1326,STUDENTS!D1325:D101322,STUDENTS!G1325:G101322)),"update STUDENT sheet")</f>
        <v/>
      </c>
      <c r="G1326">
        <f>IFERROR(IF(E1326="","",_xlfn.XLOOKUP(E1326,STUDENTS!F1325:F101322,STUDENTS!H1325:H101322)),"update STUDENT sheet")</f>
        <v/>
      </c>
    </row>
    <row r="1327">
      <c r="B1327">
        <f>IF(STUDENTS!B1326="","",STUDENTS!B1326)</f>
        <v/>
      </c>
      <c r="C1327">
        <f>IFERROR(IF(B1327="","",_xlfn.XLOOKUP(B1327,STUDENTS!$B$3:$B$1048576,STUDENTS!$C$3:$C$1048576)),"Enter a registered reg. no")</f>
        <v/>
      </c>
      <c r="E1327">
        <f>IFERROR(IF(C1327="","",_xlfn.XLOOKUP(C1327,STUDENTS!C1326:C101323,STUDENTS!F1326:F101323)),"update STUDENT sheet")</f>
        <v/>
      </c>
      <c r="F1327">
        <f>IFERROR(IF(D1327="","",_xlfn.XLOOKUP(D1327,STUDENTS!D1326:D101323,STUDENTS!G1326:G101323)),"update STUDENT sheet")</f>
        <v/>
      </c>
      <c r="G1327">
        <f>IFERROR(IF(E1327="","",_xlfn.XLOOKUP(E1327,STUDENTS!F1326:F101323,STUDENTS!H1326:H101323)),"update STUDENT sheet")</f>
        <v/>
      </c>
    </row>
    <row r="1328">
      <c r="B1328">
        <f>IF(STUDENTS!B1327="","",STUDENTS!B1327)</f>
        <v/>
      </c>
      <c r="C1328">
        <f>IFERROR(IF(B1328="","",_xlfn.XLOOKUP(B1328,STUDENTS!$B$3:$B$1048576,STUDENTS!$C$3:$C$1048576)),"Enter a registered reg. no")</f>
        <v/>
      </c>
      <c r="E1328">
        <f>IFERROR(IF(C1328="","",_xlfn.XLOOKUP(C1328,STUDENTS!C1327:C101324,STUDENTS!F1327:F101324)),"update STUDENT sheet")</f>
        <v/>
      </c>
      <c r="F1328">
        <f>IFERROR(IF(D1328="","",_xlfn.XLOOKUP(D1328,STUDENTS!D1327:D101324,STUDENTS!G1327:G101324)),"update STUDENT sheet")</f>
        <v/>
      </c>
      <c r="G1328">
        <f>IFERROR(IF(E1328="","",_xlfn.XLOOKUP(E1328,STUDENTS!F1327:F101324,STUDENTS!H1327:H101324)),"update STUDENT sheet")</f>
        <v/>
      </c>
    </row>
    <row r="1329">
      <c r="B1329">
        <f>IF(STUDENTS!B1328="","",STUDENTS!B1328)</f>
        <v/>
      </c>
      <c r="C1329">
        <f>IFERROR(IF(B1329="","",_xlfn.XLOOKUP(B1329,STUDENTS!$B$3:$B$1048576,STUDENTS!$C$3:$C$1048576)),"Enter a registered reg. no")</f>
        <v/>
      </c>
      <c r="E1329">
        <f>IFERROR(IF(C1329="","",_xlfn.XLOOKUP(C1329,STUDENTS!C1328:C101325,STUDENTS!F1328:F101325)),"update STUDENT sheet")</f>
        <v/>
      </c>
      <c r="F1329">
        <f>IFERROR(IF(D1329="","",_xlfn.XLOOKUP(D1329,STUDENTS!D1328:D101325,STUDENTS!G1328:G101325)),"update STUDENT sheet")</f>
        <v/>
      </c>
      <c r="G1329">
        <f>IFERROR(IF(E1329="","",_xlfn.XLOOKUP(E1329,STUDENTS!F1328:F101325,STUDENTS!H1328:H101325)),"update STUDENT sheet")</f>
        <v/>
      </c>
    </row>
    <row r="1330">
      <c r="B1330">
        <f>IF(STUDENTS!B1329="","",STUDENTS!B1329)</f>
        <v/>
      </c>
      <c r="C1330">
        <f>IFERROR(IF(B1330="","",_xlfn.XLOOKUP(B1330,STUDENTS!$B$3:$B$1048576,STUDENTS!$C$3:$C$1048576)),"Enter a registered reg. no")</f>
        <v/>
      </c>
      <c r="E1330">
        <f>IFERROR(IF(C1330="","",_xlfn.XLOOKUP(C1330,STUDENTS!C1329:C101326,STUDENTS!F1329:F101326)),"update STUDENT sheet")</f>
        <v/>
      </c>
      <c r="F1330">
        <f>IFERROR(IF(D1330="","",_xlfn.XLOOKUP(D1330,STUDENTS!D1329:D101326,STUDENTS!G1329:G101326)),"update STUDENT sheet")</f>
        <v/>
      </c>
      <c r="G1330">
        <f>IFERROR(IF(E1330="","",_xlfn.XLOOKUP(E1330,STUDENTS!F1329:F101326,STUDENTS!H1329:H101326)),"update STUDENT sheet")</f>
        <v/>
      </c>
    </row>
    <row r="1331">
      <c r="B1331">
        <f>IF(STUDENTS!B1330="","",STUDENTS!B1330)</f>
        <v/>
      </c>
      <c r="C1331">
        <f>IFERROR(IF(B1331="","",_xlfn.XLOOKUP(B1331,STUDENTS!$B$3:$B$1048576,STUDENTS!$C$3:$C$1048576)),"Enter a registered reg. no")</f>
        <v/>
      </c>
      <c r="E1331">
        <f>IFERROR(IF(C1331="","",_xlfn.XLOOKUP(C1331,STUDENTS!C1330:C101327,STUDENTS!F1330:F101327)),"update STUDENT sheet")</f>
        <v/>
      </c>
      <c r="F1331">
        <f>IFERROR(IF(D1331="","",_xlfn.XLOOKUP(D1331,STUDENTS!D1330:D101327,STUDENTS!G1330:G101327)),"update STUDENT sheet")</f>
        <v/>
      </c>
      <c r="G1331">
        <f>IFERROR(IF(E1331="","",_xlfn.XLOOKUP(E1331,STUDENTS!F1330:F101327,STUDENTS!H1330:H101327)),"update STUDENT sheet")</f>
        <v/>
      </c>
    </row>
    <row r="1332">
      <c r="B1332">
        <f>IF(STUDENTS!B1331="","",STUDENTS!B1331)</f>
        <v/>
      </c>
      <c r="C1332">
        <f>IFERROR(IF(B1332="","",_xlfn.XLOOKUP(B1332,STUDENTS!$B$3:$B$1048576,STUDENTS!$C$3:$C$1048576)),"Enter a registered reg. no")</f>
        <v/>
      </c>
      <c r="E1332">
        <f>IFERROR(IF(C1332="","",_xlfn.XLOOKUP(C1332,STUDENTS!C1331:C101328,STUDENTS!F1331:F101328)),"update STUDENT sheet")</f>
        <v/>
      </c>
      <c r="F1332">
        <f>IFERROR(IF(D1332="","",_xlfn.XLOOKUP(D1332,STUDENTS!D1331:D101328,STUDENTS!G1331:G101328)),"update STUDENT sheet")</f>
        <v/>
      </c>
      <c r="G1332">
        <f>IFERROR(IF(E1332="","",_xlfn.XLOOKUP(E1332,STUDENTS!F1331:F101328,STUDENTS!H1331:H101328)),"update STUDENT sheet")</f>
        <v/>
      </c>
    </row>
    <row r="1333">
      <c r="B1333">
        <f>IF(STUDENTS!B1332="","",STUDENTS!B1332)</f>
        <v/>
      </c>
      <c r="C1333">
        <f>IFERROR(IF(B1333="","",_xlfn.XLOOKUP(B1333,STUDENTS!$B$3:$B$1048576,STUDENTS!$C$3:$C$1048576)),"Enter a registered reg. no")</f>
        <v/>
      </c>
      <c r="E1333">
        <f>IFERROR(IF(C1333="","",_xlfn.XLOOKUP(C1333,STUDENTS!C1332:C101329,STUDENTS!F1332:F101329)),"update STUDENT sheet")</f>
        <v/>
      </c>
      <c r="F1333">
        <f>IFERROR(IF(D1333="","",_xlfn.XLOOKUP(D1333,STUDENTS!D1332:D101329,STUDENTS!G1332:G101329)),"update STUDENT sheet")</f>
        <v/>
      </c>
      <c r="G1333">
        <f>IFERROR(IF(E1333="","",_xlfn.XLOOKUP(E1333,STUDENTS!F1332:F101329,STUDENTS!H1332:H101329)),"update STUDENT sheet")</f>
        <v/>
      </c>
    </row>
    <row r="1334">
      <c r="B1334">
        <f>IF(STUDENTS!B1333="","",STUDENTS!B1333)</f>
        <v/>
      </c>
      <c r="C1334">
        <f>IFERROR(IF(B1334="","",_xlfn.XLOOKUP(B1334,STUDENTS!$B$3:$B$1048576,STUDENTS!$C$3:$C$1048576)),"Enter a registered reg. no")</f>
        <v/>
      </c>
      <c r="E1334">
        <f>IFERROR(IF(C1334="","",_xlfn.XLOOKUP(C1334,STUDENTS!C1333:C101330,STUDENTS!F1333:F101330)),"update STUDENT sheet")</f>
        <v/>
      </c>
      <c r="F1334">
        <f>IFERROR(IF(D1334="","",_xlfn.XLOOKUP(D1334,STUDENTS!D1333:D101330,STUDENTS!G1333:G101330)),"update STUDENT sheet")</f>
        <v/>
      </c>
      <c r="G1334">
        <f>IFERROR(IF(E1334="","",_xlfn.XLOOKUP(E1334,STUDENTS!F1333:F101330,STUDENTS!H1333:H101330)),"update STUDENT sheet")</f>
        <v/>
      </c>
    </row>
    <row r="1335">
      <c r="B1335">
        <f>IF(STUDENTS!B1334="","",STUDENTS!B1334)</f>
        <v/>
      </c>
      <c r="C1335">
        <f>IFERROR(IF(B1335="","",_xlfn.XLOOKUP(B1335,STUDENTS!$B$3:$B$1048576,STUDENTS!$C$3:$C$1048576)),"Enter a registered reg. no")</f>
        <v/>
      </c>
      <c r="E1335">
        <f>IFERROR(IF(C1335="","",_xlfn.XLOOKUP(C1335,STUDENTS!C1334:C101331,STUDENTS!F1334:F101331)),"update STUDENT sheet")</f>
        <v/>
      </c>
      <c r="F1335">
        <f>IFERROR(IF(D1335="","",_xlfn.XLOOKUP(D1335,STUDENTS!D1334:D101331,STUDENTS!G1334:G101331)),"update STUDENT sheet")</f>
        <v/>
      </c>
      <c r="G1335">
        <f>IFERROR(IF(E1335="","",_xlfn.XLOOKUP(E1335,STUDENTS!F1334:F101331,STUDENTS!H1334:H101331)),"update STUDENT sheet")</f>
        <v/>
      </c>
    </row>
    <row r="1336">
      <c r="B1336">
        <f>IF(STUDENTS!B1335="","",STUDENTS!B1335)</f>
        <v/>
      </c>
      <c r="C1336">
        <f>IFERROR(IF(B1336="","",_xlfn.XLOOKUP(B1336,STUDENTS!$B$3:$B$1048576,STUDENTS!$C$3:$C$1048576)),"Enter a registered reg. no")</f>
        <v/>
      </c>
      <c r="E1336">
        <f>IFERROR(IF(C1336="","",_xlfn.XLOOKUP(C1336,STUDENTS!C1335:C101332,STUDENTS!F1335:F101332)),"update STUDENT sheet")</f>
        <v/>
      </c>
      <c r="F1336">
        <f>IFERROR(IF(D1336="","",_xlfn.XLOOKUP(D1336,STUDENTS!D1335:D101332,STUDENTS!G1335:G101332)),"update STUDENT sheet")</f>
        <v/>
      </c>
      <c r="G1336">
        <f>IFERROR(IF(E1336="","",_xlfn.XLOOKUP(E1336,STUDENTS!F1335:F101332,STUDENTS!H1335:H101332)),"update STUDENT sheet")</f>
        <v/>
      </c>
    </row>
    <row r="1337">
      <c r="B1337">
        <f>IF(STUDENTS!B1336="","",STUDENTS!B1336)</f>
        <v/>
      </c>
      <c r="C1337">
        <f>IFERROR(IF(B1337="","",_xlfn.XLOOKUP(B1337,STUDENTS!$B$3:$B$1048576,STUDENTS!$C$3:$C$1048576)),"Enter a registered reg. no")</f>
        <v/>
      </c>
      <c r="E1337">
        <f>IFERROR(IF(C1337="","",_xlfn.XLOOKUP(C1337,STUDENTS!C1336:C101333,STUDENTS!F1336:F101333)),"update STUDENT sheet")</f>
        <v/>
      </c>
      <c r="F1337">
        <f>IFERROR(IF(D1337="","",_xlfn.XLOOKUP(D1337,STUDENTS!D1336:D101333,STUDENTS!G1336:G101333)),"update STUDENT sheet")</f>
        <v/>
      </c>
      <c r="G1337">
        <f>IFERROR(IF(E1337="","",_xlfn.XLOOKUP(E1337,STUDENTS!F1336:F101333,STUDENTS!H1336:H101333)),"update STUDENT sheet")</f>
        <v/>
      </c>
    </row>
    <row r="1338">
      <c r="B1338">
        <f>IF(STUDENTS!B1337="","",STUDENTS!B1337)</f>
        <v/>
      </c>
      <c r="C1338">
        <f>IFERROR(IF(B1338="","",_xlfn.XLOOKUP(B1338,STUDENTS!$B$3:$B$1048576,STUDENTS!$C$3:$C$1048576)),"Enter a registered reg. no")</f>
        <v/>
      </c>
      <c r="E1338">
        <f>IFERROR(IF(C1338="","",_xlfn.XLOOKUP(C1338,STUDENTS!C1337:C101334,STUDENTS!F1337:F101334)),"update STUDENT sheet")</f>
        <v/>
      </c>
      <c r="F1338">
        <f>IFERROR(IF(D1338="","",_xlfn.XLOOKUP(D1338,STUDENTS!D1337:D101334,STUDENTS!G1337:G101334)),"update STUDENT sheet")</f>
        <v/>
      </c>
      <c r="G1338">
        <f>IFERROR(IF(E1338="","",_xlfn.XLOOKUP(E1338,STUDENTS!F1337:F101334,STUDENTS!H1337:H101334)),"update STUDENT sheet")</f>
        <v/>
      </c>
    </row>
    <row r="1339">
      <c r="B1339">
        <f>IF(STUDENTS!B1338="","",STUDENTS!B1338)</f>
        <v/>
      </c>
      <c r="C1339">
        <f>IFERROR(IF(B1339="","",_xlfn.XLOOKUP(B1339,STUDENTS!$B$3:$B$1048576,STUDENTS!$C$3:$C$1048576)),"Enter a registered reg. no")</f>
        <v/>
      </c>
      <c r="E1339">
        <f>IFERROR(IF(C1339="","",_xlfn.XLOOKUP(C1339,STUDENTS!C1338:C101335,STUDENTS!F1338:F101335)),"update STUDENT sheet")</f>
        <v/>
      </c>
      <c r="F1339">
        <f>IFERROR(IF(D1339="","",_xlfn.XLOOKUP(D1339,STUDENTS!D1338:D101335,STUDENTS!G1338:G101335)),"update STUDENT sheet")</f>
        <v/>
      </c>
      <c r="G1339">
        <f>IFERROR(IF(E1339="","",_xlfn.XLOOKUP(E1339,STUDENTS!F1338:F101335,STUDENTS!H1338:H101335)),"update STUDENT sheet")</f>
        <v/>
      </c>
    </row>
    <row r="1340">
      <c r="B1340">
        <f>IF(STUDENTS!B1339="","",STUDENTS!B1339)</f>
        <v/>
      </c>
      <c r="C1340">
        <f>IFERROR(IF(B1340="","",_xlfn.XLOOKUP(B1340,STUDENTS!$B$3:$B$1048576,STUDENTS!$C$3:$C$1048576)),"Enter a registered reg. no")</f>
        <v/>
      </c>
      <c r="E1340">
        <f>IFERROR(IF(C1340="","",_xlfn.XLOOKUP(C1340,STUDENTS!C1339:C101336,STUDENTS!F1339:F101336)),"update STUDENT sheet")</f>
        <v/>
      </c>
      <c r="F1340">
        <f>IFERROR(IF(D1340="","",_xlfn.XLOOKUP(D1340,STUDENTS!D1339:D101336,STUDENTS!G1339:G101336)),"update STUDENT sheet")</f>
        <v/>
      </c>
      <c r="G1340">
        <f>IFERROR(IF(E1340="","",_xlfn.XLOOKUP(E1340,STUDENTS!F1339:F101336,STUDENTS!H1339:H101336)),"update STUDENT sheet")</f>
        <v/>
      </c>
    </row>
    <row r="1341">
      <c r="B1341">
        <f>IF(STUDENTS!B1340="","",STUDENTS!B1340)</f>
        <v/>
      </c>
      <c r="C1341">
        <f>IFERROR(IF(B1341="","",_xlfn.XLOOKUP(B1341,STUDENTS!$B$3:$B$1048576,STUDENTS!$C$3:$C$1048576)),"Enter a registered reg. no")</f>
        <v/>
      </c>
      <c r="E1341">
        <f>IFERROR(IF(C1341="","",_xlfn.XLOOKUP(C1341,STUDENTS!C1340:C101337,STUDENTS!F1340:F101337)),"update STUDENT sheet")</f>
        <v/>
      </c>
      <c r="F1341">
        <f>IFERROR(IF(D1341="","",_xlfn.XLOOKUP(D1341,STUDENTS!D1340:D101337,STUDENTS!G1340:G101337)),"update STUDENT sheet")</f>
        <v/>
      </c>
      <c r="G1341">
        <f>IFERROR(IF(E1341="","",_xlfn.XLOOKUP(E1341,STUDENTS!F1340:F101337,STUDENTS!H1340:H101337)),"update STUDENT sheet")</f>
        <v/>
      </c>
    </row>
    <row r="1342">
      <c r="B1342">
        <f>IF(STUDENTS!B1341="","",STUDENTS!B1341)</f>
        <v/>
      </c>
      <c r="C1342">
        <f>IFERROR(IF(B1342="","",_xlfn.XLOOKUP(B1342,STUDENTS!$B$3:$B$1048576,STUDENTS!$C$3:$C$1048576)),"Enter a registered reg. no")</f>
        <v/>
      </c>
      <c r="E1342">
        <f>IFERROR(IF(C1342="","",_xlfn.XLOOKUP(C1342,STUDENTS!C1341:C101338,STUDENTS!F1341:F101338)),"update STUDENT sheet")</f>
        <v/>
      </c>
      <c r="F1342">
        <f>IFERROR(IF(D1342="","",_xlfn.XLOOKUP(D1342,STUDENTS!D1341:D101338,STUDENTS!G1341:G101338)),"update STUDENT sheet")</f>
        <v/>
      </c>
      <c r="G1342">
        <f>IFERROR(IF(E1342="","",_xlfn.XLOOKUP(E1342,STUDENTS!F1341:F101338,STUDENTS!H1341:H101338)),"update STUDENT sheet")</f>
        <v/>
      </c>
    </row>
    <row r="1343">
      <c r="B1343">
        <f>IF(STUDENTS!B1342="","",STUDENTS!B1342)</f>
        <v/>
      </c>
      <c r="C1343">
        <f>IFERROR(IF(B1343="","",_xlfn.XLOOKUP(B1343,STUDENTS!$B$3:$B$1048576,STUDENTS!$C$3:$C$1048576)),"Enter a registered reg. no")</f>
        <v/>
      </c>
      <c r="E1343">
        <f>IFERROR(IF(C1343="","",_xlfn.XLOOKUP(C1343,STUDENTS!C1342:C101339,STUDENTS!F1342:F101339)),"update STUDENT sheet")</f>
        <v/>
      </c>
      <c r="F1343">
        <f>IFERROR(IF(D1343="","",_xlfn.XLOOKUP(D1343,STUDENTS!D1342:D101339,STUDENTS!G1342:G101339)),"update STUDENT sheet")</f>
        <v/>
      </c>
      <c r="G1343">
        <f>IFERROR(IF(E1343="","",_xlfn.XLOOKUP(E1343,STUDENTS!F1342:F101339,STUDENTS!H1342:H101339)),"update STUDENT sheet")</f>
        <v/>
      </c>
    </row>
    <row r="1344">
      <c r="B1344">
        <f>IF(STUDENTS!B1343="","",STUDENTS!B1343)</f>
        <v/>
      </c>
      <c r="C1344">
        <f>IFERROR(IF(B1344="","",_xlfn.XLOOKUP(B1344,STUDENTS!$B$3:$B$1048576,STUDENTS!$C$3:$C$1048576)),"Enter a registered reg. no")</f>
        <v/>
      </c>
      <c r="E1344">
        <f>IFERROR(IF(C1344="","",_xlfn.XLOOKUP(C1344,STUDENTS!C1343:C101340,STUDENTS!F1343:F101340)),"update STUDENT sheet")</f>
        <v/>
      </c>
      <c r="F1344">
        <f>IFERROR(IF(D1344="","",_xlfn.XLOOKUP(D1344,STUDENTS!D1343:D101340,STUDENTS!G1343:G101340)),"update STUDENT sheet")</f>
        <v/>
      </c>
      <c r="G1344">
        <f>IFERROR(IF(E1344="","",_xlfn.XLOOKUP(E1344,STUDENTS!F1343:F101340,STUDENTS!H1343:H101340)),"update STUDENT sheet")</f>
        <v/>
      </c>
    </row>
    <row r="1345">
      <c r="B1345">
        <f>IF(STUDENTS!B1344="","",STUDENTS!B1344)</f>
        <v/>
      </c>
      <c r="C1345">
        <f>IFERROR(IF(B1345="","",_xlfn.XLOOKUP(B1345,STUDENTS!$B$3:$B$1048576,STUDENTS!$C$3:$C$1048576)),"Enter a registered reg. no")</f>
        <v/>
      </c>
      <c r="E1345">
        <f>IFERROR(IF(C1345="","",_xlfn.XLOOKUP(C1345,STUDENTS!C1344:C101341,STUDENTS!F1344:F101341)),"update STUDENT sheet")</f>
        <v/>
      </c>
      <c r="F1345">
        <f>IFERROR(IF(D1345="","",_xlfn.XLOOKUP(D1345,STUDENTS!D1344:D101341,STUDENTS!G1344:G101341)),"update STUDENT sheet")</f>
        <v/>
      </c>
      <c r="G1345">
        <f>IFERROR(IF(E1345="","",_xlfn.XLOOKUP(E1345,STUDENTS!F1344:F101341,STUDENTS!H1344:H101341)),"update STUDENT sheet")</f>
        <v/>
      </c>
    </row>
    <row r="1346">
      <c r="B1346">
        <f>IF(STUDENTS!B1345="","",STUDENTS!B1345)</f>
        <v/>
      </c>
      <c r="C1346">
        <f>IFERROR(IF(B1346="","",_xlfn.XLOOKUP(B1346,STUDENTS!$B$3:$B$1048576,STUDENTS!$C$3:$C$1048576)),"Enter a registered reg. no")</f>
        <v/>
      </c>
      <c r="E1346">
        <f>IFERROR(IF(C1346="","",_xlfn.XLOOKUP(C1346,STUDENTS!C1345:C101342,STUDENTS!F1345:F101342)),"update STUDENT sheet")</f>
        <v/>
      </c>
      <c r="F1346">
        <f>IFERROR(IF(D1346="","",_xlfn.XLOOKUP(D1346,STUDENTS!D1345:D101342,STUDENTS!G1345:G101342)),"update STUDENT sheet")</f>
        <v/>
      </c>
      <c r="G1346">
        <f>IFERROR(IF(E1346="","",_xlfn.XLOOKUP(E1346,STUDENTS!F1345:F101342,STUDENTS!H1345:H101342)),"update STUDENT sheet")</f>
        <v/>
      </c>
    </row>
    <row r="1347">
      <c r="B1347">
        <f>IF(STUDENTS!B1346="","",STUDENTS!B1346)</f>
        <v/>
      </c>
      <c r="C1347">
        <f>IFERROR(IF(B1347="","",_xlfn.XLOOKUP(B1347,STUDENTS!$B$3:$B$1048576,STUDENTS!$C$3:$C$1048576)),"Enter a registered reg. no")</f>
        <v/>
      </c>
      <c r="E1347">
        <f>IFERROR(IF(C1347="","",_xlfn.XLOOKUP(C1347,STUDENTS!C1346:C101343,STUDENTS!F1346:F101343)),"update STUDENT sheet")</f>
        <v/>
      </c>
      <c r="F1347">
        <f>IFERROR(IF(D1347="","",_xlfn.XLOOKUP(D1347,STUDENTS!D1346:D101343,STUDENTS!G1346:G101343)),"update STUDENT sheet")</f>
        <v/>
      </c>
      <c r="G1347">
        <f>IFERROR(IF(E1347="","",_xlfn.XLOOKUP(E1347,STUDENTS!F1346:F101343,STUDENTS!H1346:H101343)),"update STUDENT sheet")</f>
        <v/>
      </c>
    </row>
    <row r="1348">
      <c r="B1348">
        <f>IF(STUDENTS!B1347="","",STUDENTS!B1347)</f>
        <v/>
      </c>
      <c r="C1348">
        <f>IFERROR(IF(B1348="","",_xlfn.XLOOKUP(B1348,STUDENTS!$B$3:$B$1048576,STUDENTS!$C$3:$C$1048576)),"Enter a registered reg. no")</f>
        <v/>
      </c>
      <c r="E1348">
        <f>IFERROR(IF(C1348="","",_xlfn.XLOOKUP(C1348,STUDENTS!C1347:C101344,STUDENTS!F1347:F101344)),"update STUDENT sheet")</f>
        <v/>
      </c>
      <c r="F1348">
        <f>IFERROR(IF(D1348="","",_xlfn.XLOOKUP(D1348,STUDENTS!D1347:D101344,STUDENTS!G1347:G101344)),"update STUDENT sheet")</f>
        <v/>
      </c>
      <c r="G1348">
        <f>IFERROR(IF(E1348="","",_xlfn.XLOOKUP(E1348,STUDENTS!F1347:F101344,STUDENTS!H1347:H101344)),"update STUDENT sheet")</f>
        <v/>
      </c>
    </row>
    <row r="1349">
      <c r="B1349">
        <f>IF(STUDENTS!B1348="","",STUDENTS!B1348)</f>
        <v/>
      </c>
      <c r="C1349">
        <f>IFERROR(IF(B1349="","",_xlfn.XLOOKUP(B1349,STUDENTS!$B$3:$B$1048576,STUDENTS!$C$3:$C$1048576)),"Enter a registered reg. no")</f>
        <v/>
      </c>
      <c r="E1349">
        <f>IFERROR(IF(C1349="","",_xlfn.XLOOKUP(C1349,STUDENTS!C1348:C101345,STUDENTS!F1348:F101345)),"update STUDENT sheet")</f>
        <v/>
      </c>
      <c r="F1349">
        <f>IFERROR(IF(D1349="","",_xlfn.XLOOKUP(D1349,STUDENTS!D1348:D101345,STUDENTS!G1348:G101345)),"update STUDENT sheet")</f>
        <v/>
      </c>
      <c r="G1349">
        <f>IFERROR(IF(E1349="","",_xlfn.XLOOKUP(E1349,STUDENTS!F1348:F101345,STUDENTS!H1348:H101345)),"update STUDENT sheet")</f>
        <v/>
      </c>
    </row>
    <row r="1350">
      <c r="B1350">
        <f>IF(STUDENTS!B1349="","",STUDENTS!B1349)</f>
        <v/>
      </c>
      <c r="C1350">
        <f>IFERROR(IF(B1350="","",_xlfn.XLOOKUP(B1350,STUDENTS!$B$3:$B$1048576,STUDENTS!$C$3:$C$1048576)),"Enter a registered reg. no")</f>
        <v/>
      </c>
      <c r="E1350">
        <f>IFERROR(IF(C1350="","",_xlfn.XLOOKUP(C1350,STUDENTS!C1349:C101346,STUDENTS!F1349:F101346)),"update STUDENT sheet")</f>
        <v/>
      </c>
      <c r="F1350">
        <f>IFERROR(IF(D1350="","",_xlfn.XLOOKUP(D1350,STUDENTS!D1349:D101346,STUDENTS!G1349:G101346)),"update STUDENT sheet")</f>
        <v/>
      </c>
      <c r="G1350">
        <f>IFERROR(IF(E1350="","",_xlfn.XLOOKUP(E1350,STUDENTS!F1349:F101346,STUDENTS!H1349:H101346)),"update STUDENT sheet")</f>
        <v/>
      </c>
    </row>
    <row r="1351">
      <c r="B1351">
        <f>IF(STUDENTS!B1350="","",STUDENTS!B1350)</f>
        <v/>
      </c>
      <c r="C1351">
        <f>IFERROR(IF(B1351="","",_xlfn.XLOOKUP(B1351,STUDENTS!$B$3:$B$1048576,STUDENTS!$C$3:$C$1048576)),"Enter a registered reg. no")</f>
        <v/>
      </c>
      <c r="E1351">
        <f>IFERROR(IF(C1351="","",_xlfn.XLOOKUP(C1351,STUDENTS!C1350:C101347,STUDENTS!F1350:F101347)),"update STUDENT sheet")</f>
        <v/>
      </c>
      <c r="F1351">
        <f>IFERROR(IF(D1351="","",_xlfn.XLOOKUP(D1351,STUDENTS!D1350:D101347,STUDENTS!G1350:G101347)),"update STUDENT sheet")</f>
        <v/>
      </c>
      <c r="G1351">
        <f>IFERROR(IF(E1351="","",_xlfn.XLOOKUP(E1351,STUDENTS!F1350:F101347,STUDENTS!H1350:H101347)),"update STUDENT sheet")</f>
        <v/>
      </c>
    </row>
    <row r="1352">
      <c r="B1352">
        <f>IF(STUDENTS!B1351="","",STUDENTS!B1351)</f>
        <v/>
      </c>
      <c r="C1352">
        <f>IFERROR(IF(B1352="","",_xlfn.XLOOKUP(B1352,STUDENTS!$B$3:$B$1048576,STUDENTS!$C$3:$C$1048576)),"Enter a registered reg. no")</f>
        <v/>
      </c>
      <c r="E1352">
        <f>IFERROR(IF(C1352="","",_xlfn.XLOOKUP(C1352,STUDENTS!C1351:C101348,STUDENTS!F1351:F101348)),"update STUDENT sheet")</f>
        <v/>
      </c>
      <c r="F1352">
        <f>IFERROR(IF(D1352="","",_xlfn.XLOOKUP(D1352,STUDENTS!D1351:D101348,STUDENTS!G1351:G101348)),"update STUDENT sheet")</f>
        <v/>
      </c>
      <c r="G1352">
        <f>IFERROR(IF(E1352="","",_xlfn.XLOOKUP(E1352,STUDENTS!F1351:F101348,STUDENTS!H1351:H101348)),"update STUDENT sheet")</f>
        <v/>
      </c>
    </row>
    <row r="1353">
      <c r="B1353">
        <f>IF(STUDENTS!B1352="","",STUDENTS!B1352)</f>
        <v/>
      </c>
      <c r="C1353">
        <f>IFERROR(IF(B1353="","",_xlfn.XLOOKUP(B1353,STUDENTS!$B$3:$B$1048576,STUDENTS!$C$3:$C$1048576)),"Enter a registered reg. no")</f>
        <v/>
      </c>
      <c r="E1353">
        <f>IFERROR(IF(C1353="","",_xlfn.XLOOKUP(C1353,STUDENTS!C1352:C101349,STUDENTS!F1352:F101349)),"update STUDENT sheet")</f>
        <v/>
      </c>
      <c r="F1353">
        <f>IFERROR(IF(D1353="","",_xlfn.XLOOKUP(D1353,STUDENTS!D1352:D101349,STUDENTS!G1352:G101349)),"update STUDENT sheet")</f>
        <v/>
      </c>
      <c r="G1353">
        <f>IFERROR(IF(E1353="","",_xlfn.XLOOKUP(E1353,STUDENTS!F1352:F101349,STUDENTS!H1352:H101349)),"update STUDENT sheet")</f>
        <v/>
      </c>
    </row>
    <row r="1354">
      <c r="B1354">
        <f>IF(STUDENTS!B1353="","",STUDENTS!B1353)</f>
        <v/>
      </c>
      <c r="C1354">
        <f>IFERROR(IF(B1354="","",_xlfn.XLOOKUP(B1354,STUDENTS!$B$3:$B$1048576,STUDENTS!$C$3:$C$1048576)),"Enter a registered reg. no")</f>
        <v/>
      </c>
      <c r="E1354">
        <f>IFERROR(IF(C1354="","",_xlfn.XLOOKUP(C1354,STUDENTS!C1353:C101350,STUDENTS!F1353:F101350)),"update STUDENT sheet")</f>
        <v/>
      </c>
      <c r="F1354">
        <f>IFERROR(IF(D1354="","",_xlfn.XLOOKUP(D1354,STUDENTS!D1353:D101350,STUDENTS!G1353:G101350)),"update STUDENT sheet")</f>
        <v/>
      </c>
      <c r="G1354">
        <f>IFERROR(IF(E1354="","",_xlfn.XLOOKUP(E1354,STUDENTS!F1353:F101350,STUDENTS!H1353:H101350)),"update STUDENT sheet")</f>
        <v/>
      </c>
    </row>
    <row r="1355">
      <c r="B1355">
        <f>IF(STUDENTS!B1354="","",STUDENTS!B1354)</f>
        <v/>
      </c>
      <c r="C1355">
        <f>IFERROR(IF(B1355="","",_xlfn.XLOOKUP(B1355,STUDENTS!$B$3:$B$1048576,STUDENTS!$C$3:$C$1048576)),"Enter a registered reg. no")</f>
        <v/>
      </c>
      <c r="E1355">
        <f>IFERROR(IF(C1355="","",_xlfn.XLOOKUP(C1355,STUDENTS!C1354:C101351,STUDENTS!F1354:F101351)),"update STUDENT sheet")</f>
        <v/>
      </c>
      <c r="F1355">
        <f>IFERROR(IF(D1355="","",_xlfn.XLOOKUP(D1355,STUDENTS!D1354:D101351,STUDENTS!G1354:G101351)),"update STUDENT sheet")</f>
        <v/>
      </c>
      <c r="G1355">
        <f>IFERROR(IF(E1355="","",_xlfn.XLOOKUP(E1355,STUDENTS!F1354:F101351,STUDENTS!H1354:H101351)),"update STUDENT sheet")</f>
        <v/>
      </c>
    </row>
    <row r="1356">
      <c r="B1356">
        <f>IF(STUDENTS!B1355="","",STUDENTS!B1355)</f>
        <v/>
      </c>
      <c r="C1356">
        <f>IFERROR(IF(B1356="","",_xlfn.XLOOKUP(B1356,STUDENTS!$B$3:$B$1048576,STUDENTS!$C$3:$C$1048576)),"Enter a registered reg. no")</f>
        <v/>
      </c>
      <c r="E1356">
        <f>IFERROR(IF(C1356="","",_xlfn.XLOOKUP(C1356,STUDENTS!C1355:C101352,STUDENTS!F1355:F101352)),"update STUDENT sheet")</f>
        <v/>
      </c>
      <c r="F1356">
        <f>IFERROR(IF(D1356="","",_xlfn.XLOOKUP(D1356,STUDENTS!D1355:D101352,STUDENTS!G1355:G101352)),"update STUDENT sheet")</f>
        <v/>
      </c>
      <c r="G1356">
        <f>IFERROR(IF(E1356="","",_xlfn.XLOOKUP(E1356,STUDENTS!F1355:F101352,STUDENTS!H1355:H101352)),"update STUDENT sheet")</f>
        <v/>
      </c>
    </row>
    <row r="1357">
      <c r="B1357">
        <f>IF(STUDENTS!B1356="","",STUDENTS!B1356)</f>
        <v/>
      </c>
      <c r="C1357">
        <f>IFERROR(IF(B1357="","",_xlfn.XLOOKUP(B1357,STUDENTS!$B$3:$B$1048576,STUDENTS!$C$3:$C$1048576)),"Enter a registered reg. no")</f>
        <v/>
      </c>
      <c r="E1357">
        <f>IFERROR(IF(C1357="","",_xlfn.XLOOKUP(C1357,STUDENTS!C1356:C101353,STUDENTS!F1356:F101353)),"update STUDENT sheet")</f>
        <v/>
      </c>
      <c r="F1357">
        <f>IFERROR(IF(D1357="","",_xlfn.XLOOKUP(D1357,STUDENTS!D1356:D101353,STUDENTS!G1356:G101353)),"update STUDENT sheet")</f>
        <v/>
      </c>
      <c r="G1357">
        <f>IFERROR(IF(E1357="","",_xlfn.XLOOKUP(E1357,STUDENTS!F1356:F101353,STUDENTS!H1356:H101353)),"update STUDENT sheet")</f>
        <v/>
      </c>
    </row>
    <row r="1358">
      <c r="B1358">
        <f>IF(STUDENTS!B1357="","",STUDENTS!B1357)</f>
        <v/>
      </c>
      <c r="C1358">
        <f>IFERROR(IF(B1358="","",_xlfn.XLOOKUP(B1358,STUDENTS!$B$3:$B$1048576,STUDENTS!$C$3:$C$1048576)),"Enter a registered reg. no")</f>
        <v/>
      </c>
      <c r="E1358">
        <f>IFERROR(IF(C1358="","",_xlfn.XLOOKUP(C1358,STUDENTS!C1357:C101354,STUDENTS!F1357:F101354)),"update STUDENT sheet")</f>
        <v/>
      </c>
      <c r="F1358">
        <f>IFERROR(IF(D1358="","",_xlfn.XLOOKUP(D1358,STUDENTS!D1357:D101354,STUDENTS!G1357:G101354)),"update STUDENT sheet")</f>
        <v/>
      </c>
      <c r="G1358">
        <f>IFERROR(IF(E1358="","",_xlfn.XLOOKUP(E1358,STUDENTS!F1357:F101354,STUDENTS!H1357:H101354)),"update STUDENT sheet")</f>
        <v/>
      </c>
    </row>
    <row r="1359">
      <c r="B1359">
        <f>IF(STUDENTS!B1358="","",STUDENTS!B1358)</f>
        <v/>
      </c>
      <c r="C1359">
        <f>IFERROR(IF(B1359="","",_xlfn.XLOOKUP(B1359,STUDENTS!$B$3:$B$1048576,STUDENTS!$C$3:$C$1048576)),"Enter a registered reg. no")</f>
        <v/>
      </c>
      <c r="E1359">
        <f>IFERROR(IF(C1359="","",_xlfn.XLOOKUP(C1359,STUDENTS!C1358:C101355,STUDENTS!F1358:F101355)),"update STUDENT sheet")</f>
        <v/>
      </c>
      <c r="F1359">
        <f>IFERROR(IF(D1359="","",_xlfn.XLOOKUP(D1359,STUDENTS!D1358:D101355,STUDENTS!G1358:G101355)),"update STUDENT sheet")</f>
        <v/>
      </c>
      <c r="G1359">
        <f>IFERROR(IF(E1359="","",_xlfn.XLOOKUP(E1359,STUDENTS!F1358:F101355,STUDENTS!H1358:H101355)),"update STUDENT sheet")</f>
        <v/>
      </c>
    </row>
    <row r="1360">
      <c r="B1360">
        <f>IF(STUDENTS!B1359="","",STUDENTS!B1359)</f>
        <v/>
      </c>
      <c r="C1360">
        <f>IFERROR(IF(B1360="","",_xlfn.XLOOKUP(B1360,STUDENTS!$B$3:$B$1048576,STUDENTS!$C$3:$C$1048576)),"Enter a registered reg. no")</f>
        <v/>
      </c>
      <c r="E1360">
        <f>IFERROR(IF(C1360="","",_xlfn.XLOOKUP(C1360,STUDENTS!C1359:C101356,STUDENTS!F1359:F101356)),"update STUDENT sheet")</f>
        <v/>
      </c>
      <c r="F1360">
        <f>IFERROR(IF(D1360="","",_xlfn.XLOOKUP(D1360,STUDENTS!D1359:D101356,STUDENTS!G1359:G101356)),"update STUDENT sheet")</f>
        <v/>
      </c>
      <c r="G1360">
        <f>IFERROR(IF(E1360="","",_xlfn.XLOOKUP(E1360,STUDENTS!F1359:F101356,STUDENTS!H1359:H101356)),"update STUDENT sheet")</f>
        <v/>
      </c>
    </row>
    <row r="1361">
      <c r="B1361">
        <f>IF(STUDENTS!B1360="","",STUDENTS!B1360)</f>
        <v/>
      </c>
      <c r="C1361">
        <f>IFERROR(IF(B1361="","",_xlfn.XLOOKUP(B1361,STUDENTS!$B$3:$B$1048576,STUDENTS!$C$3:$C$1048576)),"Enter a registered reg. no")</f>
        <v/>
      </c>
      <c r="E1361">
        <f>IFERROR(IF(C1361="","",_xlfn.XLOOKUP(C1361,STUDENTS!C1360:C101357,STUDENTS!F1360:F101357)),"update STUDENT sheet")</f>
        <v/>
      </c>
      <c r="F1361">
        <f>IFERROR(IF(D1361="","",_xlfn.XLOOKUP(D1361,STUDENTS!D1360:D101357,STUDENTS!G1360:G101357)),"update STUDENT sheet")</f>
        <v/>
      </c>
      <c r="G1361">
        <f>IFERROR(IF(E1361="","",_xlfn.XLOOKUP(E1361,STUDENTS!F1360:F101357,STUDENTS!H1360:H101357)),"update STUDENT sheet")</f>
        <v/>
      </c>
    </row>
    <row r="1362">
      <c r="B1362">
        <f>IF(STUDENTS!B1361="","",STUDENTS!B1361)</f>
        <v/>
      </c>
      <c r="C1362">
        <f>IFERROR(IF(B1362="","",_xlfn.XLOOKUP(B1362,STUDENTS!$B$3:$B$1048576,STUDENTS!$C$3:$C$1048576)),"Enter a registered reg. no")</f>
        <v/>
      </c>
      <c r="E1362">
        <f>IFERROR(IF(C1362="","",_xlfn.XLOOKUP(C1362,STUDENTS!C1361:C101358,STUDENTS!F1361:F101358)),"update STUDENT sheet")</f>
        <v/>
      </c>
      <c r="F1362">
        <f>IFERROR(IF(D1362="","",_xlfn.XLOOKUP(D1362,STUDENTS!D1361:D101358,STUDENTS!G1361:G101358)),"update STUDENT sheet")</f>
        <v/>
      </c>
      <c r="G1362">
        <f>IFERROR(IF(E1362="","",_xlfn.XLOOKUP(E1362,STUDENTS!F1361:F101358,STUDENTS!H1361:H101358)),"update STUDENT sheet")</f>
        <v/>
      </c>
    </row>
    <row r="1363">
      <c r="B1363">
        <f>IF(STUDENTS!B1362="","",STUDENTS!B1362)</f>
        <v/>
      </c>
      <c r="C1363">
        <f>IFERROR(IF(B1363="","",_xlfn.XLOOKUP(B1363,STUDENTS!$B$3:$B$1048576,STUDENTS!$C$3:$C$1048576)),"Enter a registered reg. no")</f>
        <v/>
      </c>
      <c r="E1363">
        <f>IFERROR(IF(C1363="","",_xlfn.XLOOKUP(C1363,STUDENTS!C1362:C101359,STUDENTS!F1362:F101359)),"update STUDENT sheet")</f>
        <v/>
      </c>
      <c r="F1363">
        <f>IFERROR(IF(D1363="","",_xlfn.XLOOKUP(D1363,STUDENTS!D1362:D101359,STUDENTS!G1362:G101359)),"update STUDENT sheet")</f>
        <v/>
      </c>
      <c r="G1363">
        <f>IFERROR(IF(E1363="","",_xlfn.XLOOKUP(E1363,STUDENTS!F1362:F101359,STUDENTS!H1362:H101359)),"update STUDENT sheet")</f>
        <v/>
      </c>
    </row>
    <row r="1364">
      <c r="B1364">
        <f>IF(STUDENTS!B1363="","",STUDENTS!B1363)</f>
        <v/>
      </c>
      <c r="C1364">
        <f>IFERROR(IF(B1364="","",_xlfn.XLOOKUP(B1364,STUDENTS!$B$3:$B$1048576,STUDENTS!$C$3:$C$1048576)),"Enter a registered reg. no")</f>
        <v/>
      </c>
      <c r="E1364">
        <f>IFERROR(IF(C1364="","",_xlfn.XLOOKUP(C1364,STUDENTS!C1363:C101360,STUDENTS!F1363:F101360)),"update STUDENT sheet")</f>
        <v/>
      </c>
      <c r="F1364">
        <f>IFERROR(IF(D1364="","",_xlfn.XLOOKUP(D1364,STUDENTS!D1363:D101360,STUDENTS!G1363:G101360)),"update STUDENT sheet")</f>
        <v/>
      </c>
      <c r="G1364">
        <f>IFERROR(IF(E1364="","",_xlfn.XLOOKUP(E1364,STUDENTS!F1363:F101360,STUDENTS!H1363:H101360)),"update STUDENT sheet")</f>
        <v/>
      </c>
    </row>
    <row r="1365">
      <c r="B1365">
        <f>IF(STUDENTS!B1364="","",STUDENTS!B1364)</f>
        <v/>
      </c>
      <c r="C1365">
        <f>IFERROR(IF(B1365="","",_xlfn.XLOOKUP(B1365,STUDENTS!$B$3:$B$1048576,STUDENTS!$C$3:$C$1048576)),"Enter a registered reg. no")</f>
        <v/>
      </c>
      <c r="E1365">
        <f>IFERROR(IF(C1365="","",_xlfn.XLOOKUP(C1365,STUDENTS!C1364:C101361,STUDENTS!F1364:F101361)),"update STUDENT sheet")</f>
        <v/>
      </c>
      <c r="F1365">
        <f>IFERROR(IF(D1365="","",_xlfn.XLOOKUP(D1365,STUDENTS!D1364:D101361,STUDENTS!G1364:G101361)),"update STUDENT sheet")</f>
        <v/>
      </c>
      <c r="G1365">
        <f>IFERROR(IF(E1365="","",_xlfn.XLOOKUP(E1365,STUDENTS!F1364:F101361,STUDENTS!H1364:H101361)),"update STUDENT sheet")</f>
        <v/>
      </c>
    </row>
    <row r="1366">
      <c r="B1366">
        <f>IF(STUDENTS!B1365="","",STUDENTS!B1365)</f>
        <v/>
      </c>
      <c r="C1366">
        <f>IFERROR(IF(B1366="","",_xlfn.XLOOKUP(B1366,STUDENTS!$B$3:$B$1048576,STUDENTS!$C$3:$C$1048576)),"Enter a registered reg. no")</f>
        <v/>
      </c>
      <c r="E1366">
        <f>IFERROR(IF(C1366="","",_xlfn.XLOOKUP(C1366,STUDENTS!C1365:C101362,STUDENTS!F1365:F101362)),"update STUDENT sheet")</f>
        <v/>
      </c>
      <c r="F1366">
        <f>IFERROR(IF(D1366="","",_xlfn.XLOOKUP(D1366,STUDENTS!D1365:D101362,STUDENTS!G1365:G101362)),"update STUDENT sheet")</f>
        <v/>
      </c>
      <c r="G1366">
        <f>IFERROR(IF(E1366="","",_xlfn.XLOOKUP(E1366,STUDENTS!F1365:F101362,STUDENTS!H1365:H101362)),"update STUDENT sheet")</f>
        <v/>
      </c>
    </row>
    <row r="1367">
      <c r="B1367">
        <f>IF(STUDENTS!B1366="","",STUDENTS!B1366)</f>
        <v/>
      </c>
      <c r="C1367">
        <f>IFERROR(IF(B1367="","",_xlfn.XLOOKUP(B1367,STUDENTS!$B$3:$B$1048576,STUDENTS!$C$3:$C$1048576)),"Enter a registered reg. no")</f>
        <v/>
      </c>
      <c r="E1367">
        <f>IFERROR(IF(C1367="","",_xlfn.XLOOKUP(C1367,STUDENTS!C1366:C101363,STUDENTS!F1366:F101363)),"update STUDENT sheet")</f>
        <v/>
      </c>
      <c r="F1367">
        <f>IFERROR(IF(D1367="","",_xlfn.XLOOKUP(D1367,STUDENTS!D1366:D101363,STUDENTS!G1366:G101363)),"update STUDENT sheet")</f>
        <v/>
      </c>
      <c r="G1367">
        <f>IFERROR(IF(E1367="","",_xlfn.XLOOKUP(E1367,STUDENTS!F1366:F101363,STUDENTS!H1366:H101363)),"update STUDENT sheet")</f>
        <v/>
      </c>
    </row>
    <row r="1368">
      <c r="B1368">
        <f>IF(STUDENTS!B1367="","",STUDENTS!B1367)</f>
        <v/>
      </c>
      <c r="C1368">
        <f>IFERROR(IF(B1368="","",_xlfn.XLOOKUP(B1368,STUDENTS!$B$3:$B$1048576,STUDENTS!$C$3:$C$1048576)),"Enter a registered reg. no")</f>
        <v/>
      </c>
      <c r="E1368">
        <f>IFERROR(IF(C1368="","",_xlfn.XLOOKUP(C1368,STUDENTS!C1367:C101364,STUDENTS!F1367:F101364)),"update STUDENT sheet")</f>
        <v/>
      </c>
      <c r="F1368">
        <f>IFERROR(IF(D1368="","",_xlfn.XLOOKUP(D1368,STUDENTS!D1367:D101364,STUDENTS!G1367:G101364)),"update STUDENT sheet")</f>
        <v/>
      </c>
      <c r="G1368">
        <f>IFERROR(IF(E1368="","",_xlfn.XLOOKUP(E1368,STUDENTS!F1367:F101364,STUDENTS!H1367:H101364)),"update STUDENT sheet")</f>
        <v/>
      </c>
    </row>
    <row r="1369">
      <c r="B1369">
        <f>IF(STUDENTS!B1368="","",STUDENTS!B1368)</f>
        <v/>
      </c>
      <c r="C1369">
        <f>IFERROR(IF(B1369="","",_xlfn.XLOOKUP(B1369,STUDENTS!$B$3:$B$1048576,STUDENTS!$C$3:$C$1048576)),"Enter a registered reg. no")</f>
        <v/>
      </c>
      <c r="E1369">
        <f>IFERROR(IF(C1369="","",_xlfn.XLOOKUP(C1369,STUDENTS!C1368:C101365,STUDENTS!F1368:F101365)),"update STUDENT sheet")</f>
        <v/>
      </c>
      <c r="F1369">
        <f>IFERROR(IF(D1369="","",_xlfn.XLOOKUP(D1369,STUDENTS!D1368:D101365,STUDENTS!G1368:G101365)),"update STUDENT sheet")</f>
        <v/>
      </c>
      <c r="G1369">
        <f>IFERROR(IF(E1369="","",_xlfn.XLOOKUP(E1369,STUDENTS!F1368:F101365,STUDENTS!H1368:H101365)),"update STUDENT sheet")</f>
        <v/>
      </c>
    </row>
    <row r="1370">
      <c r="B1370">
        <f>IF(STUDENTS!B1369="","",STUDENTS!B1369)</f>
        <v/>
      </c>
      <c r="C1370">
        <f>IFERROR(IF(B1370="","",_xlfn.XLOOKUP(B1370,STUDENTS!$B$3:$B$1048576,STUDENTS!$C$3:$C$1048576)),"Enter a registered reg. no")</f>
        <v/>
      </c>
      <c r="E1370">
        <f>IFERROR(IF(C1370="","",_xlfn.XLOOKUP(C1370,STUDENTS!C1369:C101366,STUDENTS!F1369:F101366)),"update STUDENT sheet")</f>
        <v/>
      </c>
      <c r="F1370">
        <f>IFERROR(IF(D1370="","",_xlfn.XLOOKUP(D1370,STUDENTS!D1369:D101366,STUDENTS!G1369:G101366)),"update STUDENT sheet")</f>
        <v/>
      </c>
      <c r="G1370">
        <f>IFERROR(IF(E1370="","",_xlfn.XLOOKUP(E1370,STUDENTS!F1369:F101366,STUDENTS!H1369:H101366)),"update STUDENT sheet")</f>
        <v/>
      </c>
    </row>
    <row r="1371">
      <c r="B1371">
        <f>IF(STUDENTS!B1370="","",STUDENTS!B1370)</f>
        <v/>
      </c>
      <c r="C1371">
        <f>IFERROR(IF(B1371="","",_xlfn.XLOOKUP(B1371,STUDENTS!$B$3:$B$1048576,STUDENTS!$C$3:$C$1048576)),"Enter a registered reg. no")</f>
        <v/>
      </c>
      <c r="E1371">
        <f>IFERROR(IF(C1371="","",_xlfn.XLOOKUP(C1371,STUDENTS!C1370:C101367,STUDENTS!F1370:F101367)),"update STUDENT sheet")</f>
        <v/>
      </c>
      <c r="F1371">
        <f>IFERROR(IF(D1371="","",_xlfn.XLOOKUP(D1371,STUDENTS!D1370:D101367,STUDENTS!G1370:G101367)),"update STUDENT sheet")</f>
        <v/>
      </c>
      <c r="G1371">
        <f>IFERROR(IF(E1371="","",_xlfn.XLOOKUP(E1371,STUDENTS!F1370:F101367,STUDENTS!H1370:H101367)),"update STUDENT sheet")</f>
        <v/>
      </c>
    </row>
    <row r="1372">
      <c r="B1372">
        <f>IF(STUDENTS!B1371="","",STUDENTS!B1371)</f>
        <v/>
      </c>
      <c r="C1372">
        <f>IFERROR(IF(B1372="","",_xlfn.XLOOKUP(B1372,STUDENTS!$B$3:$B$1048576,STUDENTS!$C$3:$C$1048576)),"Enter a registered reg. no")</f>
        <v/>
      </c>
      <c r="E1372">
        <f>IFERROR(IF(C1372="","",_xlfn.XLOOKUP(C1372,STUDENTS!C1371:C101368,STUDENTS!F1371:F101368)),"update STUDENT sheet")</f>
        <v/>
      </c>
      <c r="F1372">
        <f>IFERROR(IF(D1372="","",_xlfn.XLOOKUP(D1372,STUDENTS!D1371:D101368,STUDENTS!G1371:G101368)),"update STUDENT sheet")</f>
        <v/>
      </c>
      <c r="G1372">
        <f>IFERROR(IF(E1372="","",_xlfn.XLOOKUP(E1372,STUDENTS!F1371:F101368,STUDENTS!H1371:H101368)),"update STUDENT sheet")</f>
        <v/>
      </c>
    </row>
    <row r="1373">
      <c r="B1373">
        <f>IF(STUDENTS!B1372="","",STUDENTS!B1372)</f>
        <v/>
      </c>
      <c r="C1373">
        <f>IFERROR(IF(B1373="","",_xlfn.XLOOKUP(B1373,STUDENTS!$B$3:$B$1048576,STUDENTS!$C$3:$C$1048576)),"Enter a registered reg. no")</f>
        <v/>
      </c>
      <c r="E1373">
        <f>IFERROR(IF(C1373="","",_xlfn.XLOOKUP(C1373,STUDENTS!C1372:C101369,STUDENTS!F1372:F101369)),"update STUDENT sheet")</f>
        <v/>
      </c>
      <c r="F1373">
        <f>IFERROR(IF(D1373="","",_xlfn.XLOOKUP(D1373,STUDENTS!D1372:D101369,STUDENTS!G1372:G101369)),"update STUDENT sheet")</f>
        <v/>
      </c>
      <c r="G1373">
        <f>IFERROR(IF(E1373="","",_xlfn.XLOOKUP(E1373,STUDENTS!F1372:F101369,STUDENTS!H1372:H101369)),"update STUDENT sheet")</f>
        <v/>
      </c>
    </row>
    <row r="1374">
      <c r="B1374">
        <f>IF(STUDENTS!B1373="","",STUDENTS!B1373)</f>
        <v/>
      </c>
      <c r="C1374">
        <f>IFERROR(IF(B1374="","",_xlfn.XLOOKUP(B1374,STUDENTS!$B$3:$B$1048576,STUDENTS!$C$3:$C$1048576)),"Enter a registered reg. no")</f>
        <v/>
      </c>
      <c r="E1374">
        <f>IFERROR(IF(C1374="","",_xlfn.XLOOKUP(C1374,STUDENTS!C1373:C101370,STUDENTS!F1373:F101370)),"update STUDENT sheet")</f>
        <v/>
      </c>
      <c r="F1374">
        <f>IFERROR(IF(D1374="","",_xlfn.XLOOKUP(D1374,STUDENTS!D1373:D101370,STUDENTS!G1373:G101370)),"update STUDENT sheet")</f>
        <v/>
      </c>
      <c r="G1374">
        <f>IFERROR(IF(E1374="","",_xlfn.XLOOKUP(E1374,STUDENTS!F1373:F101370,STUDENTS!H1373:H101370)),"update STUDENT sheet")</f>
        <v/>
      </c>
    </row>
    <row r="1375">
      <c r="B1375">
        <f>IF(STUDENTS!B1374="","",STUDENTS!B1374)</f>
        <v/>
      </c>
      <c r="C1375">
        <f>IFERROR(IF(B1375="","",_xlfn.XLOOKUP(B1375,STUDENTS!$B$3:$B$1048576,STUDENTS!$C$3:$C$1048576)),"Enter a registered reg. no")</f>
        <v/>
      </c>
      <c r="E1375">
        <f>IFERROR(IF(C1375="","",_xlfn.XLOOKUP(C1375,STUDENTS!C1374:C101371,STUDENTS!F1374:F101371)),"update STUDENT sheet")</f>
        <v/>
      </c>
      <c r="F1375">
        <f>IFERROR(IF(D1375="","",_xlfn.XLOOKUP(D1375,STUDENTS!D1374:D101371,STUDENTS!G1374:G101371)),"update STUDENT sheet")</f>
        <v/>
      </c>
      <c r="G1375">
        <f>IFERROR(IF(E1375="","",_xlfn.XLOOKUP(E1375,STUDENTS!F1374:F101371,STUDENTS!H1374:H101371)),"update STUDENT sheet")</f>
        <v/>
      </c>
    </row>
    <row r="1376">
      <c r="B1376">
        <f>IF(STUDENTS!B1375="","",STUDENTS!B1375)</f>
        <v/>
      </c>
      <c r="C1376">
        <f>IFERROR(IF(B1376="","",_xlfn.XLOOKUP(B1376,STUDENTS!$B$3:$B$1048576,STUDENTS!$C$3:$C$1048576)),"Enter a registered reg. no")</f>
        <v/>
      </c>
      <c r="E1376">
        <f>IFERROR(IF(C1376="","",_xlfn.XLOOKUP(C1376,STUDENTS!C1375:C101372,STUDENTS!F1375:F101372)),"update STUDENT sheet")</f>
        <v/>
      </c>
      <c r="F1376">
        <f>IFERROR(IF(D1376="","",_xlfn.XLOOKUP(D1376,STUDENTS!D1375:D101372,STUDENTS!G1375:G101372)),"update STUDENT sheet")</f>
        <v/>
      </c>
      <c r="G1376">
        <f>IFERROR(IF(E1376="","",_xlfn.XLOOKUP(E1376,STUDENTS!F1375:F101372,STUDENTS!H1375:H101372)),"update STUDENT sheet")</f>
        <v/>
      </c>
    </row>
    <row r="1377">
      <c r="B1377">
        <f>IF(STUDENTS!B1376="","",STUDENTS!B1376)</f>
        <v/>
      </c>
      <c r="C1377">
        <f>IFERROR(IF(B1377="","",_xlfn.XLOOKUP(B1377,STUDENTS!$B$3:$B$1048576,STUDENTS!$C$3:$C$1048576)),"Enter a registered reg. no")</f>
        <v/>
      </c>
      <c r="E1377">
        <f>IFERROR(IF(C1377="","",_xlfn.XLOOKUP(C1377,STUDENTS!C1376:C101373,STUDENTS!F1376:F101373)),"update STUDENT sheet")</f>
        <v/>
      </c>
      <c r="F1377">
        <f>IFERROR(IF(D1377="","",_xlfn.XLOOKUP(D1377,STUDENTS!D1376:D101373,STUDENTS!G1376:G101373)),"update STUDENT sheet")</f>
        <v/>
      </c>
      <c r="G1377">
        <f>IFERROR(IF(E1377="","",_xlfn.XLOOKUP(E1377,STUDENTS!F1376:F101373,STUDENTS!H1376:H101373)),"update STUDENT sheet")</f>
        <v/>
      </c>
    </row>
    <row r="1378">
      <c r="B1378">
        <f>IF(STUDENTS!B1377="","",STUDENTS!B1377)</f>
        <v/>
      </c>
      <c r="C1378">
        <f>IFERROR(IF(B1378="","",_xlfn.XLOOKUP(B1378,STUDENTS!$B$3:$B$1048576,STUDENTS!$C$3:$C$1048576)),"Enter a registered reg. no")</f>
        <v/>
      </c>
      <c r="E1378">
        <f>IFERROR(IF(C1378="","",_xlfn.XLOOKUP(C1378,STUDENTS!C1377:C101374,STUDENTS!F1377:F101374)),"update STUDENT sheet")</f>
        <v/>
      </c>
      <c r="F1378">
        <f>IFERROR(IF(D1378="","",_xlfn.XLOOKUP(D1378,STUDENTS!D1377:D101374,STUDENTS!G1377:G101374)),"update STUDENT sheet")</f>
        <v/>
      </c>
      <c r="G1378">
        <f>IFERROR(IF(E1378="","",_xlfn.XLOOKUP(E1378,STUDENTS!F1377:F101374,STUDENTS!H1377:H101374)),"update STUDENT sheet")</f>
        <v/>
      </c>
    </row>
    <row r="1379">
      <c r="B1379">
        <f>IF(STUDENTS!B1378="","",STUDENTS!B1378)</f>
        <v/>
      </c>
      <c r="C1379">
        <f>IFERROR(IF(B1379="","",_xlfn.XLOOKUP(B1379,STUDENTS!$B$3:$B$1048576,STUDENTS!$C$3:$C$1048576)),"Enter a registered reg. no")</f>
        <v/>
      </c>
      <c r="E1379">
        <f>IFERROR(IF(C1379="","",_xlfn.XLOOKUP(C1379,STUDENTS!C1378:C101375,STUDENTS!F1378:F101375)),"update STUDENT sheet")</f>
        <v/>
      </c>
      <c r="F1379">
        <f>IFERROR(IF(D1379="","",_xlfn.XLOOKUP(D1379,STUDENTS!D1378:D101375,STUDENTS!G1378:G101375)),"update STUDENT sheet")</f>
        <v/>
      </c>
      <c r="G1379">
        <f>IFERROR(IF(E1379="","",_xlfn.XLOOKUP(E1379,STUDENTS!F1378:F101375,STUDENTS!H1378:H101375)),"update STUDENT sheet")</f>
        <v/>
      </c>
    </row>
    <row r="1380">
      <c r="B1380">
        <f>IF(STUDENTS!B1379="","",STUDENTS!B1379)</f>
        <v/>
      </c>
      <c r="C1380">
        <f>IFERROR(IF(B1380="","",_xlfn.XLOOKUP(B1380,STUDENTS!$B$3:$B$1048576,STUDENTS!$C$3:$C$1048576)),"Enter a registered reg. no")</f>
        <v/>
      </c>
      <c r="E1380">
        <f>IFERROR(IF(C1380="","",_xlfn.XLOOKUP(C1380,STUDENTS!C1379:C101376,STUDENTS!F1379:F101376)),"update STUDENT sheet")</f>
        <v/>
      </c>
      <c r="F1380">
        <f>IFERROR(IF(D1380="","",_xlfn.XLOOKUP(D1380,STUDENTS!D1379:D101376,STUDENTS!G1379:G101376)),"update STUDENT sheet")</f>
        <v/>
      </c>
      <c r="G1380">
        <f>IFERROR(IF(E1380="","",_xlfn.XLOOKUP(E1380,STUDENTS!F1379:F101376,STUDENTS!H1379:H101376)),"update STUDENT sheet")</f>
        <v/>
      </c>
    </row>
    <row r="1381">
      <c r="B1381">
        <f>IF(STUDENTS!B1380="","",STUDENTS!B1380)</f>
        <v/>
      </c>
      <c r="C1381">
        <f>IFERROR(IF(B1381="","",_xlfn.XLOOKUP(B1381,STUDENTS!$B$3:$B$1048576,STUDENTS!$C$3:$C$1048576)),"Enter a registered reg. no")</f>
        <v/>
      </c>
      <c r="E1381">
        <f>IFERROR(IF(C1381="","",_xlfn.XLOOKUP(C1381,STUDENTS!C1380:C101377,STUDENTS!F1380:F101377)),"update STUDENT sheet")</f>
        <v/>
      </c>
      <c r="F1381">
        <f>IFERROR(IF(D1381="","",_xlfn.XLOOKUP(D1381,STUDENTS!D1380:D101377,STUDENTS!G1380:G101377)),"update STUDENT sheet")</f>
        <v/>
      </c>
      <c r="G1381">
        <f>IFERROR(IF(E1381="","",_xlfn.XLOOKUP(E1381,STUDENTS!F1380:F101377,STUDENTS!H1380:H101377)),"update STUDENT sheet")</f>
        <v/>
      </c>
    </row>
    <row r="1382">
      <c r="B1382">
        <f>IF(STUDENTS!B1381="","",STUDENTS!B1381)</f>
        <v/>
      </c>
      <c r="C1382">
        <f>IFERROR(IF(B1382="","",_xlfn.XLOOKUP(B1382,STUDENTS!$B$3:$B$1048576,STUDENTS!$C$3:$C$1048576)),"Enter a registered reg. no")</f>
        <v/>
      </c>
      <c r="E1382">
        <f>IFERROR(IF(C1382="","",_xlfn.XLOOKUP(C1382,STUDENTS!C1381:C101378,STUDENTS!F1381:F101378)),"update STUDENT sheet")</f>
        <v/>
      </c>
      <c r="F1382">
        <f>IFERROR(IF(D1382="","",_xlfn.XLOOKUP(D1382,STUDENTS!D1381:D101378,STUDENTS!G1381:G101378)),"update STUDENT sheet")</f>
        <v/>
      </c>
      <c r="G1382">
        <f>IFERROR(IF(E1382="","",_xlfn.XLOOKUP(E1382,STUDENTS!F1381:F101378,STUDENTS!H1381:H101378)),"update STUDENT sheet")</f>
        <v/>
      </c>
    </row>
    <row r="1383">
      <c r="B1383">
        <f>IF(STUDENTS!B1382="","",STUDENTS!B1382)</f>
        <v/>
      </c>
      <c r="C1383">
        <f>IFERROR(IF(B1383="","",_xlfn.XLOOKUP(B1383,STUDENTS!$B$3:$B$1048576,STUDENTS!$C$3:$C$1048576)),"Enter a registered reg. no")</f>
        <v/>
      </c>
      <c r="E1383">
        <f>IFERROR(IF(C1383="","",_xlfn.XLOOKUP(C1383,STUDENTS!C1382:C101379,STUDENTS!F1382:F101379)),"update STUDENT sheet")</f>
        <v/>
      </c>
      <c r="F1383">
        <f>IFERROR(IF(D1383="","",_xlfn.XLOOKUP(D1383,STUDENTS!D1382:D101379,STUDENTS!G1382:G101379)),"update STUDENT sheet")</f>
        <v/>
      </c>
      <c r="G1383">
        <f>IFERROR(IF(E1383="","",_xlfn.XLOOKUP(E1383,STUDENTS!F1382:F101379,STUDENTS!H1382:H101379)),"update STUDENT sheet")</f>
        <v/>
      </c>
    </row>
    <row r="1384">
      <c r="B1384">
        <f>IF(STUDENTS!B1383="","",STUDENTS!B1383)</f>
        <v/>
      </c>
      <c r="C1384">
        <f>IFERROR(IF(B1384="","",_xlfn.XLOOKUP(B1384,STUDENTS!$B$3:$B$1048576,STUDENTS!$C$3:$C$1048576)),"Enter a registered reg. no")</f>
        <v/>
      </c>
      <c r="E1384">
        <f>IFERROR(IF(C1384="","",_xlfn.XLOOKUP(C1384,STUDENTS!C1383:C101380,STUDENTS!F1383:F101380)),"update STUDENT sheet")</f>
        <v/>
      </c>
      <c r="F1384">
        <f>IFERROR(IF(D1384="","",_xlfn.XLOOKUP(D1384,STUDENTS!D1383:D101380,STUDENTS!G1383:G101380)),"update STUDENT sheet")</f>
        <v/>
      </c>
      <c r="G1384">
        <f>IFERROR(IF(E1384="","",_xlfn.XLOOKUP(E1384,STUDENTS!F1383:F101380,STUDENTS!H1383:H101380)),"update STUDENT sheet")</f>
        <v/>
      </c>
    </row>
    <row r="1385">
      <c r="B1385">
        <f>IF(STUDENTS!B1384="","",STUDENTS!B1384)</f>
        <v/>
      </c>
      <c r="C1385">
        <f>IFERROR(IF(B1385="","",_xlfn.XLOOKUP(B1385,STUDENTS!$B$3:$B$1048576,STUDENTS!$C$3:$C$1048576)),"Enter a registered reg. no")</f>
        <v/>
      </c>
      <c r="E1385">
        <f>IFERROR(IF(C1385="","",_xlfn.XLOOKUP(C1385,STUDENTS!C1384:C101381,STUDENTS!F1384:F101381)),"update STUDENT sheet")</f>
        <v/>
      </c>
      <c r="F1385">
        <f>IFERROR(IF(D1385="","",_xlfn.XLOOKUP(D1385,STUDENTS!D1384:D101381,STUDENTS!G1384:G101381)),"update STUDENT sheet")</f>
        <v/>
      </c>
      <c r="G1385">
        <f>IFERROR(IF(E1385="","",_xlfn.XLOOKUP(E1385,STUDENTS!F1384:F101381,STUDENTS!H1384:H101381)),"update STUDENT sheet")</f>
        <v/>
      </c>
    </row>
    <row r="1386">
      <c r="B1386">
        <f>IF(STUDENTS!B1385="","",STUDENTS!B1385)</f>
        <v/>
      </c>
      <c r="C1386">
        <f>IFERROR(IF(B1386="","",_xlfn.XLOOKUP(B1386,STUDENTS!$B$3:$B$1048576,STUDENTS!$C$3:$C$1048576)),"Enter a registered reg. no")</f>
        <v/>
      </c>
      <c r="E1386">
        <f>IFERROR(IF(C1386="","",_xlfn.XLOOKUP(C1386,STUDENTS!C1385:C101382,STUDENTS!F1385:F101382)),"update STUDENT sheet")</f>
        <v/>
      </c>
      <c r="F1386">
        <f>IFERROR(IF(D1386="","",_xlfn.XLOOKUP(D1386,STUDENTS!D1385:D101382,STUDENTS!G1385:G101382)),"update STUDENT sheet")</f>
        <v/>
      </c>
      <c r="G1386">
        <f>IFERROR(IF(E1386="","",_xlfn.XLOOKUP(E1386,STUDENTS!F1385:F101382,STUDENTS!H1385:H101382)),"update STUDENT sheet")</f>
        <v/>
      </c>
    </row>
    <row r="1387">
      <c r="B1387">
        <f>IF(STUDENTS!B1386="","",STUDENTS!B1386)</f>
        <v/>
      </c>
      <c r="C1387">
        <f>IFERROR(IF(B1387="","",_xlfn.XLOOKUP(B1387,STUDENTS!$B$3:$B$1048576,STUDENTS!$C$3:$C$1048576)),"Enter a registered reg. no")</f>
        <v/>
      </c>
      <c r="E1387">
        <f>IFERROR(IF(C1387="","",_xlfn.XLOOKUP(C1387,STUDENTS!C1386:C101383,STUDENTS!F1386:F101383)),"update STUDENT sheet")</f>
        <v/>
      </c>
      <c r="F1387">
        <f>IFERROR(IF(D1387="","",_xlfn.XLOOKUP(D1387,STUDENTS!D1386:D101383,STUDENTS!G1386:G101383)),"update STUDENT sheet")</f>
        <v/>
      </c>
      <c r="G1387">
        <f>IFERROR(IF(E1387="","",_xlfn.XLOOKUP(E1387,STUDENTS!F1386:F101383,STUDENTS!H1386:H101383)),"update STUDENT sheet")</f>
        <v/>
      </c>
    </row>
    <row r="1388">
      <c r="B1388">
        <f>IF(STUDENTS!B1387="","",STUDENTS!B1387)</f>
        <v/>
      </c>
      <c r="C1388">
        <f>IFERROR(IF(B1388="","",_xlfn.XLOOKUP(B1388,STUDENTS!$B$3:$B$1048576,STUDENTS!$C$3:$C$1048576)),"Enter a registered reg. no")</f>
        <v/>
      </c>
      <c r="E1388">
        <f>IFERROR(IF(C1388="","",_xlfn.XLOOKUP(C1388,STUDENTS!C1387:C101384,STUDENTS!F1387:F101384)),"update STUDENT sheet")</f>
        <v/>
      </c>
      <c r="F1388">
        <f>IFERROR(IF(D1388="","",_xlfn.XLOOKUP(D1388,STUDENTS!D1387:D101384,STUDENTS!G1387:G101384)),"update STUDENT sheet")</f>
        <v/>
      </c>
      <c r="G1388">
        <f>IFERROR(IF(E1388="","",_xlfn.XLOOKUP(E1388,STUDENTS!F1387:F101384,STUDENTS!H1387:H101384)),"update STUDENT sheet")</f>
        <v/>
      </c>
    </row>
    <row r="1389">
      <c r="B1389">
        <f>IF(STUDENTS!B1388="","",STUDENTS!B1388)</f>
        <v/>
      </c>
      <c r="C1389">
        <f>IFERROR(IF(B1389="","",_xlfn.XLOOKUP(B1389,STUDENTS!$B$3:$B$1048576,STUDENTS!$C$3:$C$1048576)),"Enter a registered reg. no")</f>
        <v/>
      </c>
      <c r="E1389">
        <f>IFERROR(IF(C1389="","",_xlfn.XLOOKUP(C1389,STUDENTS!C1388:C101385,STUDENTS!F1388:F101385)),"update STUDENT sheet")</f>
        <v/>
      </c>
      <c r="F1389">
        <f>IFERROR(IF(D1389="","",_xlfn.XLOOKUP(D1389,STUDENTS!D1388:D101385,STUDENTS!G1388:G101385)),"update STUDENT sheet")</f>
        <v/>
      </c>
      <c r="G1389">
        <f>IFERROR(IF(E1389="","",_xlfn.XLOOKUP(E1389,STUDENTS!F1388:F101385,STUDENTS!H1388:H101385)),"update STUDENT sheet")</f>
        <v/>
      </c>
    </row>
    <row r="1390">
      <c r="B1390">
        <f>IF(STUDENTS!B1389="","",STUDENTS!B1389)</f>
        <v/>
      </c>
      <c r="C1390">
        <f>IFERROR(IF(B1390="","",_xlfn.XLOOKUP(B1390,STUDENTS!$B$3:$B$1048576,STUDENTS!$C$3:$C$1048576)),"Enter a registered reg. no")</f>
        <v/>
      </c>
      <c r="E1390">
        <f>IFERROR(IF(C1390="","",_xlfn.XLOOKUP(C1390,STUDENTS!C1389:C101386,STUDENTS!F1389:F101386)),"update STUDENT sheet")</f>
        <v/>
      </c>
      <c r="F1390">
        <f>IFERROR(IF(D1390="","",_xlfn.XLOOKUP(D1390,STUDENTS!D1389:D101386,STUDENTS!G1389:G101386)),"update STUDENT sheet")</f>
        <v/>
      </c>
      <c r="G1390">
        <f>IFERROR(IF(E1390="","",_xlfn.XLOOKUP(E1390,STUDENTS!F1389:F101386,STUDENTS!H1389:H101386)),"update STUDENT sheet")</f>
        <v/>
      </c>
    </row>
    <row r="1391">
      <c r="B1391">
        <f>IF(STUDENTS!B1390="","",STUDENTS!B1390)</f>
        <v/>
      </c>
      <c r="C1391">
        <f>IFERROR(IF(B1391="","",_xlfn.XLOOKUP(B1391,STUDENTS!$B$3:$B$1048576,STUDENTS!$C$3:$C$1048576)),"Enter a registered reg. no")</f>
        <v/>
      </c>
      <c r="E1391">
        <f>IFERROR(IF(C1391="","",_xlfn.XLOOKUP(C1391,STUDENTS!C1390:C101387,STUDENTS!F1390:F101387)),"update STUDENT sheet")</f>
        <v/>
      </c>
      <c r="F1391">
        <f>IFERROR(IF(D1391="","",_xlfn.XLOOKUP(D1391,STUDENTS!D1390:D101387,STUDENTS!G1390:G101387)),"update STUDENT sheet")</f>
        <v/>
      </c>
      <c r="G1391">
        <f>IFERROR(IF(E1391="","",_xlfn.XLOOKUP(E1391,STUDENTS!F1390:F101387,STUDENTS!H1390:H101387)),"update STUDENT sheet")</f>
        <v/>
      </c>
    </row>
    <row r="1392">
      <c r="B1392">
        <f>IF(STUDENTS!B1391="","",STUDENTS!B1391)</f>
        <v/>
      </c>
      <c r="C1392">
        <f>IFERROR(IF(B1392="","",_xlfn.XLOOKUP(B1392,STUDENTS!$B$3:$B$1048576,STUDENTS!$C$3:$C$1048576)),"Enter a registered reg. no")</f>
        <v/>
      </c>
      <c r="E1392">
        <f>IFERROR(IF(C1392="","",_xlfn.XLOOKUP(C1392,STUDENTS!C1391:C101388,STUDENTS!F1391:F101388)),"update STUDENT sheet")</f>
        <v/>
      </c>
      <c r="F1392">
        <f>IFERROR(IF(D1392="","",_xlfn.XLOOKUP(D1392,STUDENTS!D1391:D101388,STUDENTS!G1391:G101388)),"update STUDENT sheet")</f>
        <v/>
      </c>
      <c r="G1392">
        <f>IFERROR(IF(E1392="","",_xlfn.XLOOKUP(E1392,STUDENTS!F1391:F101388,STUDENTS!H1391:H101388)),"update STUDENT sheet")</f>
        <v/>
      </c>
    </row>
    <row r="1393">
      <c r="B1393">
        <f>IF(STUDENTS!B1392="","",STUDENTS!B1392)</f>
        <v/>
      </c>
      <c r="C1393">
        <f>IFERROR(IF(B1393="","",_xlfn.XLOOKUP(B1393,STUDENTS!$B$3:$B$1048576,STUDENTS!$C$3:$C$1048576)),"Enter a registered reg. no")</f>
        <v/>
      </c>
      <c r="E1393">
        <f>IFERROR(IF(C1393="","",_xlfn.XLOOKUP(C1393,STUDENTS!C1392:C101389,STUDENTS!F1392:F101389)),"update STUDENT sheet")</f>
        <v/>
      </c>
      <c r="F1393">
        <f>IFERROR(IF(D1393="","",_xlfn.XLOOKUP(D1393,STUDENTS!D1392:D101389,STUDENTS!G1392:G101389)),"update STUDENT sheet")</f>
        <v/>
      </c>
      <c r="G1393">
        <f>IFERROR(IF(E1393="","",_xlfn.XLOOKUP(E1393,STUDENTS!F1392:F101389,STUDENTS!H1392:H101389)),"update STUDENT sheet")</f>
        <v/>
      </c>
    </row>
    <row r="1394">
      <c r="B1394">
        <f>IF(STUDENTS!B1393="","",STUDENTS!B1393)</f>
        <v/>
      </c>
      <c r="C1394">
        <f>IFERROR(IF(B1394="","",_xlfn.XLOOKUP(B1394,STUDENTS!$B$3:$B$1048576,STUDENTS!$C$3:$C$1048576)),"Enter a registered reg. no")</f>
        <v/>
      </c>
      <c r="E1394">
        <f>IFERROR(IF(C1394="","",_xlfn.XLOOKUP(C1394,STUDENTS!C1393:C101390,STUDENTS!F1393:F101390)),"update STUDENT sheet")</f>
        <v/>
      </c>
      <c r="F1394">
        <f>IFERROR(IF(D1394="","",_xlfn.XLOOKUP(D1394,STUDENTS!D1393:D101390,STUDENTS!G1393:G101390)),"update STUDENT sheet")</f>
        <v/>
      </c>
      <c r="G1394">
        <f>IFERROR(IF(E1394="","",_xlfn.XLOOKUP(E1394,STUDENTS!F1393:F101390,STUDENTS!H1393:H101390)),"update STUDENT sheet")</f>
        <v/>
      </c>
    </row>
    <row r="1395">
      <c r="B1395">
        <f>IF(STUDENTS!B1394="","",STUDENTS!B1394)</f>
        <v/>
      </c>
      <c r="C1395">
        <f>IFERROR(IF(B1395="","",_xlfn.XLOOKUP(B1395,STUDENTS!$B$3:$B$1048576,STUDENTS!$C$3:$C$1048576)),"Enter a registered reg. no")</f>
        <v/>
      </c>
      <c r="E1395">
        <f>IFERROR(IF(C1395="","",_xlfn.XLOOKUP(C1395,STUDENTS!C1394:C101391,STUDENTS!F1394:F101391)),"update STUDENT sheet")</f>
        <v/>
      </c>
      <c r="F1395">
        <f>IFERROR(IF(D1395="","",_xlfn.XLOOKUP(D1395,STUDENTS!D1394:D101391,STUDENTS!G1394:G101391)),"update STUDENT sheet")</f>
        <v/>
      </c>
      <c r="G1395">
        <f>IFERROR(IF(E1395="","",_xlfn.XLOOKUP(E1395,STUDENTS!F1394:F101391,STUDENTS!H1394:H101391)),"update STUDENT sheet")</f>
        <v/>
      </c>
    </row>
    <row r="1396">
      <c r="B1396">
        <f>IF(STUDENTS!B1395="","",STUDENTS!B1395)</f>
        <v/>
      </c>
      <c r="C1396">
        <f>IFERROR(IF(B1396="","",_xlfn.XLOOKUP(B1396,STUDENTS!$B$3:$B$1048576,STUDENTS!$C$3:$C$1048576)),"Enter a registered reg. no")</f>
        <v/>
      </c>
      <c r="E1396">
        <f>IFERROR(IF(C1396="","",_xlfn.XLOOKUP(C1396,STUDENTS!C1395:C101392,STUDENTS!F1395:F101392)),"update STUDENT sheet")</f>
        <v/>
      </c>
      <c r="F1396">
        <f>IFERROR(IF(D1396="","",_xlfn.XLOOKUP(D1396,STUDENTS!D1395:D101392,STUDENTS!G1395:G101392)),"update STUDENT sheet")</f>
        <v/>
      </c>
      <c r="G1396">
        <f>IFERROR(IF(E1396="","",_xlfn.XLOOKUP(E1396,STUDENTS!F1395:F101392,STUDENTS!H1395:H101392)),"update STUDENT sheet")</f>
        <v/>
      </c>
    </row>
    <row r="1397">
      <c r="B1397">
        <f>IF(STUDENTS!B1396="","",STUDENTS!B1396)</f>
        <v/>
      </c>
      <c r="C1397">
        <f>IFERROR(IF(B1397="","",_xlfn.XLOOKUP(B1397,STUDENTS!$B$3:$B$1048576,STUDENTS!$C$3:$C$1048576)),"Enter a registered reg. no")</f>
        <v/>
      </c>
      <c r="E1397">
        <f>IFERROR(IF(C1397="","",_xlfn.XLOOKUP(C1397,STUDENTS!C1396:C101393,STUDENTS!F1396:F101393)),"update STUDENT sheet")</f>
        <v/>
      </c>
      <c r="F1397">
        <f>IFERROR(IF(D1397="","",_xlfn.XLOOKUP(D1397,STUDENTS!D1396:D101393,STUDENTS!G1396:G101393)),"update STUDENT sheet")</f>
        <v/>
      </c>
      <c r="G1397">
        <f>IFERROR(IF(E1397="","",_xlfn.XLOOKUP(E1397,STUDENTS!F1396:F101393,STUDENTS!H1396:H101393)),"update STUDENT sheet")</f>
        <v/>
      </c>
    </row>
    <row r="1398">
      <c r="B1398">
        <f>IF(STUDENTS!B1397="","",STUDENTS!B1397)</f>
        <v/>
      </c>
      <c r="C1398">
        <f>IFERROR(IF(B1398="","",_xlfn.XLOOKUP(B1398,STUDENTS!$B$3:$B$1048576,STUDENTS!$C$3:$C$1048576)),"Enter a registered reg. no")</f>
        <v/>
      </c>
      <c r="E1398">
        <f>IFERROR(IF(C1398="","",_xlfn.XLOOKUP(C1398,STUDENTS!C1397:C101394,STUDENTS!F1397:F101394)),"update STUDENT sheet")</f>
        <v/>
      </c>
      <c r="F1398">
        <f>IFERROR(IF(D1398="","",_xlfn.XLOOKUP(D1398,STUDENTS!D1397:D101394,STUDENTS!G1397:G101394)),"update STUDENT sheet")</f>
        <v/>
      </c>
      <c r="G1398">
        <f>IFERROR(IF(E1398="","",_xlfn.XLOOKUP(E1398,STUDENTS!F1397:F101394,STUDENTS!H1397:H101394)),"update STUDENT sheet")</f>
        <v/>
      </c>
    </row>
    <row r="1399">
      <c r="B1399">
        <f>IF(STUDENTS!B1398="","",STUDENTS!B1398)</f>
        <v/>
      </c>
      <c r="C1399">
        <f>IFERROR(IF(B1399="","",_xlfn.XLOOKUP(B1399,STUDENTS!$B$3:$B$1048576,STUDENTS!$C$3:$C$1048576)),"Enter a registered reg. no")</f>
        <v/>
      </c>
      <c r="E1399">
        <f>IFERROR(IF(C1399="","",_xlfn.XLOOKUP(C1399,STUDENTS!C1398:C101395,STUDENTS!F1398:F101395)),"update STUDENT sheet")</f>
        <v/>
      </c>
      <c r="F1399">
        <f>IFERROR(IF(D1399="","",_xlfn.XLOOKUP(D1399,STUDENTS!D1398:D101395,STUDENTS!G1398:G101395)),"update STUDENT sheet")</f>
        <v/>
      </c>
      <c r="G1399">
        <f>IFERROR(IF(E1399="","",_xlfn.XLOOKUP(E1399,STUDENTS!F1398:F101395,STUDENTS!H1398:H101395)),"update STUDENT sheet")</f>
        <v/>
      </c>
    </row>
    <row r="1400">
      <c r="B1400">
        <f>IF(STUDENTS!B1399="","",STUDENTS!B1399)</f>
        <v/>
      </c>
      <c r="C1400">
        <f>IFERROR(IF(B1400="","",_xlfn.XLOOKUP(B1400,STUDENTS!$B$3:$B$1048576,STUDENTS!$C$3:$C$1048576)),"Enter a registered reg. no")</f>
        <v/>
      </c>
      <c r="E1400">
        <f>IFERROR(IF(C1400="","",_xlfn.XLOOKUP(C1400,STUDENTS!C1399:C101396,STUDENTS!F1399:F101396)),"update STUDENT sheet")</f>
        <v/>
      </c>
      <c r="F1400">
        <f>IFERROR(IF(D1400="","",_xlfn.XLOOKUP(D1400,STUDENTS!D1399:D101396,STUDENTS!G1399:G101396)),"update STUDENT sheet")</f>
        <v/>
      </c>
      <c r="G1400">
        <f>IFERROR(IF(E1400="","",_xlfn.XLOOKUP(E1400,STUDENTS!F1399:F101396,STUDENTS!H1399:H101396)),"update STUDENT sheet")</f>
        <v/>
      </c>
    </row>
    <row r="1401">
      <c r="B1401">
        <f>IF(STUDENTS!B1400="","",STUDENTS!B1400)</f>
        <v/>
      </c>
      <c r="C1401">
        <f>IFERROR(IF(B1401="","",_xlfn.XLOOKUP(B1401,STUDENTS!$B$3:$B$1048576,STUDENTS!$C$3:$C$1048576)),"Enter a registered reg. no")</f>
        <v/>
      </c>
      <c r="E1401">
        <f>IFERROR(IF(C1401="","",_xlfn.XLOOKUP(C1401,STUDENTS!C1400:C101397,STUDENTS!F1400:F101397)),"update STUDENT sheet")</f>
        <v/>
      </c>
      <c r="F1401">
        <f>IFERROR(IF(D1401="","",_xlfn.XLOOKUP(D1401,STUDENTS!D1400:D101397,STUDENTS!G1400:G101397)),"update STUDENT sheet")</f>
        <v/>
      </c>
      <c r="G1401">
        <f>IFERROR(IF(E1401="","",_xlfn.XLOOKUP(E1401,STUDENTS!F1400:F101397,STUDENTS!H1400:H101397)),"update STUDENT sheet")</f>
        <v/>
      </c>
    </row>
    <row r="1402">
      <c r="B1402">
        <f>IF(STUDENTS!B1401="","",STUDENTS!B1401)</f>
        <v/>
      </c>
      <c r="C1402">
        <f>IFERROR(IF(B1402="","",_xlfn.XLOOKUP(B1402,STUDENTS!$B$3:$B$1048576,STUDENTS!$C$3:$C$1048576)),"Enter a registered reg. no")</f>
        <v/>
      </c>
      <c r="E1402">
        <f>IFERROR(IF(C1402="","",_xlfn.XLOOKUP(C1402,STUDENTS!C1401:C101398,STUDENTS!F1401:F101398)),"update STUDENT sheet")</f>
        <v/>
      </c>
      <c r="F1402">
        <f>IFERROR(IF(D1402="","",_xlfn.XLOOKUP(D1402,STUDENTS!D1401:D101398,STUDENTS!G1401:G101398)),"update STUDENT sheet")</f>
        <v/>
      </c>
      <c r="G1402">
        <f>IFERROR(IF(E1402="","",_xlfn.XLOOKUP(E1402,STUDENTS!F1401:F101398,STUDENTS!H1401:H101398)),"update STUDENT sheet")</f>
        <v/>
      </c>
    </row>
    <row r="1403">
      <c r="B1403">
        <f>IF(STUDENTS!B1402="","",STUDENTS!B1402)</f>
        <v/>
      </c>
      <c r="C1403">
        <f>IFERROR(IF(B1403="","",_xlfn.XLOOKUP(B1403,STUDENTS!$B$3:$B$1048576,STUDENTS!$C$3:$C$1048576)),"Enter a registered reg. no")</f>
        <v/>
      </c>
      <c r="E1403">
        <f>IFERROR(IF(C1403="","",_xlfn.XLOOKUP(C1403,STUDENTS!C1402:C101399,STUDENTS!F1402:F101399)),"update STUDENT sheet")</f>
        <v/>
      </c>
      <c r="F1403">
        <f>IFERROR(IF(D1403="","",_xlfn.XLOOKUP(D1403,STUDENTS!D1402:D101399,STUDENTS!G1402:G101399)),"update STUDENT sheet")</f>
        <v/>
      </c>
      <c r="G1403">
        <f>IFERROR(IF(E1403="","",_xlfn.XLOOKUP(E1403,STUDENTS!F1402:F101399,STUDENTS!H1402:H101399)),"update STUDENT sheet")</f>
        <v/>
      </c>
    </row>
    <row r="1404">
      <c r="B1404">
        <f>IF(STUDENTS!B1403="","",STUDENTS!B1403)</f>
        <v/>
      </c>
      <c r="C1404">
        <f>IFERROR(IF(B1404="","",_xlfn.XLOOKUP(B1404,STUDENTS!$B$3:$B$1048576,STUDENTS!$C$3:$C$1048576)),"Enter a registered reg. no")</f>
        <v/>
      </c>
      <c r="E1404">
        <f>IFERROR(IF(C1404="","",_xlfn.XLOOKUP(C1404,STUDENTS!C1403:C101400,STUDENTS!F1403:F101400)),"update STUDENT sheet")</f>
        <v/>
      </c>
      <c r="F1404">
        <f>IFERROR(IF(D1404="","",_xlfn.XLOOKUP(D1404,STUDENTS!D1403:D101400,STUDENTS!G1403:G101400)),"update STUDENT sheet")</f>
        <v/>
      </c>
      <c r="G1404">
        <f>IFERROR(IF(E1404="","",_xlfn.XLOOKUP(E1404,STUDENTS!F1403:F101400,STUDENTS!H1403:H101400)),"update STUDENT sheet")</f>
        <v/>
      </c>
    </row>
    <row r="1405">
      <c r="B1405">
        <f>IF(STUDENTS!B1404="","",STUDENTS!B1404)</f>
        <v/>
      </c>
      <c r="C1405">
        <f>IFERROR(IF(B1405="","",_xlfn.XLOOKUP(B1405,STUDENTS!$B$3:$B$1048576,STUDENTS!$C$3:$C$1048576)),"Enter a registered reg. no")</f>
        <v/>
      </c>
      <c r="E1405">
        <f>IFERROR(IF(C1405="","",_xlfn.XLOOKUP(C1405,STUDENTS!C1404:C101401,STUDENTS!F1404:F101401)),"update STUDENT sheet")</f>
        <v/>
      </c>
      <c r="F1405">
        <f>IFERROR(IF(D1405="","",_xlfn.XLOOKUP(D1405,STUDENTS!D1404:D101401,STUDENTS!G1404:G101401)),"update STUDENT sheet")</f>
        <v/>
      </c>
      <c r="G1405">
        <f>IFERROR(IF(E1405="","",_xlfn.XLOOKUP(E1405,STUDENTS!F1404:F101401,STUDENTS!H1404:H101401)),"update STUDENT sheet")</f>
        <v/>
      </c>
    </row>
    <row r="1406">
      <c r="B1406">
        <f>IF(STUDENTS!B1405="","",STUDENTS!B1405)</f>
        <v/>
      </c>
      <c r="C1406">
        <f>IFERROR(IF(B1406="","",_xlfn.XLOOKUP(B1406,STUDENTS!$B$3:$B$1048576,STUDENTS!$C$3:$C$1048576)),"Enter a registered reg. no")</f>
        <v/>
      </c>
      <c r="E1406">
        <f>IFERROR(IF(C1406="","",_xlfn.XLOOKUP(C1406,STUDENTS!C1405:C101402,STUDENTS!F1405:F101402)),"update STUDENT sheet")</f>
        <v/>
      </c>
      <c r="F1406">
        <f>IFERROR(IF(D1406="","",_xlfn.XLOOKUP(D1406,STUDENTS!D1405:D101402,STUDENTS!G1405:G101402)),"update STUDENT sheet")</f>
        <v/>
      </c>
      <c r="G1406">
        <f>IFERROR(IF(E1406="","",_xlfn.XLOOKUP(E1406,STUDENTS!F1405:F101402,STUDENTS!H1405:H101402)),"update STUDENT sheet")</f>
        <v/>
      </c>
    </row>
    <row r="1407">
      <c r="B1407">
        <f>IF(STUDENTS!B1406="","",STUDENTS!B1406)</f>
        <v/>
      </c>
      <c r="C1407">
        <f>IFERROR(IF(B1407="","",_xlfn.XLOOKUP(B1407,STUDENTS!$B$3:$B$1048576,STUDENTS!$C$3:$C$1048576)),"Enter a registered reg. no")</f>
        <v/>
      </c>
      <c r="E1407">
        <f>IFERROR(IF(C1407="","",_xlfn.XLOOKUP(C1407,STUDENTS!C1406:C101403,STUDENTS!F1406:F101403)),"update STUDENT sheet")</f>
        <v/>
      </c>
      <c r="F1407">
        <f>IFERROR(IF(D1407="","",_xlfn.XLOOKUP(D1407,STUDENTS!D1406:D101403,STUDENTS!G1406:G101403)),"update STUDENT sheet")</f>
        <v/>
      </c>
      <c r="G1407">
        <f>IFERROR(IF(E1407="","",_xlfn.XLOOKUP(E1407,STUDENTS!F1406:F101403,STUDENTS!H1406:H101403)),"update STUDENT sheet")</f>
        <v/>
      </c>
    </row>
    <row r="1408">
      <c r="B1408">
        <f>IF(STUDENTS!B1407="","",STUDENTS!B1407)</f>
        <v/>
      </c>
      <c r="C1408">
        <f>IFERROR(IF(B1408="","",_xlfn.XLOOKUP(B1408,STUDENTS!$B$3:$B$1048576,STUDENTS!$C$3:$C$1048576)),"Enter a registered reg. no")</f>
        <v/>
      </c>
      <c r="E1408">
        <f>IFERROR(IF(C1408="","",_xlfn.XLOOKUP(C1408,STUDENTS!C1407:C101404,STUDENTS!F1407:F101404)),"update STUDENT sheet")</f>
        <v/>
      </c>
      <c r="F1408">
        <f>IFERROR(IF(D1408="","",_xlfn.XLOOKUP(D1408,STUDENTS!D1407:D101404,STUDENTS!G1407:G101404)),"update STUDENT sheet")</f>
        <v/>
      </c>
      <c r="G1408">
        <f>IFERROR(IF(E1408="","",_xlfn.XLOOKUP(E1408,STUDENTS!F1407:F101404,STUDENTS!H1407:H101404)),"update STUDENT sheet")</f>
        <v/>
      </c>
    </row>
    <row r="1409">
      <c r="B1409">
        <f>IF(STUDENTS!B1408="","",STUDENTS!B1408)</f>
        <v/>
      </c>
      <c r="C1409">
        <f>IFERROR(IF(B1409="","",_xlfn.XLOOKUP(B1409,STUDENTS!$B$3:$B$1048576,STUDENTS!$C$3:$C$1048576)),"Enter a registered reg. no")</f>
        <v/>
      </c>
      <c r="E1409">
        <f>IFERROR(IF(C1409="","",_xlfn.XLOOKUP(C1409,STUDENTS!C1408:C101405,STUDENTS!F1408:F101405)),"update STUDENT sheet")</f>
        <v/>
      </c>
      <c r="F1409">
        <f>IFERROR(IF(D1409="","",_xlfn.XLOOKUP(D1409,STUDENTS!D1408:D101405,STUDENTS!G1408:G101405)),"update STUDENT sheet")</f>
        <v/>
      </c>
      <c r="G1409">
        <f>IFERROR(IF(E1409="","",_xlfn.XLOOKUP(E1409,STUDENTS!F1408:F101405,STUDENTS!H1408:H101405)),"update STUDENT sheet")</f>
        <v/>
      </c>
    </row>
    <row r="1410">
      <c r="B1410">
        <f>IF(STUDENTS!B1409="","",STUDENTS!B1409)</f>
        <v/>
      </c>
      <c r="C1410">
        <f>IFERROR(IF(B1410="","",_xlfn.XLOOKUP(B1410,STUDENTS!$B$3:$B$1048576,STUDENTS!$C$3:$C$1048576)),"Enter a registered reg. no")</f>
        <v/>
      </c>
      <c r="E1410">
        <f>IFERROR(IF(C1410="","",_xlfn.XLOOKUP(C1410,STUDENTS!C1409:C101406,STUDENTS!F1409:F101406)),"update STUDENT sheet")</f>
        <v/>
      </c>
      <c r="F1410">
        <f>IFERROR(IF(D1410="","",_xlfn.XLOOKUP(D1410,STUDENTS!D1409:D101406,STUDENTS!G1409:G101406)),"update STUDENT sheet")</f>
        <v/>
      </c>
      <c r="G1410">
        <f>IFERROR(IF(E1410="","",_xlfn.XLOOKUP(E1410,STUDENTS!F1409:F101406,STUDENTS!H1409:H101406)),"update STUDENT sheet")</f>
        <v/>
      </c>
    </row>
    <row r="1411">
      <c r="B1411">
        <f>IF(STUDENTS!B1410="","",STUDENTS!B1410)</f>
        <v/>
      </c>
      <c r="C1411">
        <f>IFERROR(IF(B1411="","",_xlfn.XLOOKUP(B1411,STUDENTS!$B$3:$B$1048576,STUDENTS!$C$3:$C$1048576)),"Enter a registered reg. no")</f>
        <v/>
      </c>
      <c r="E1411">
        <f>IFERROR(IF(C1411="","",_xlfn.XLOOKUP(C1411,STUDENTS!C1410:C101407,STUDENTS!F1410:F101407)),"update STUDENT sheet")</f>
        <v/>
      </c>
      <c r="F1411">
        <f>IFERROR(IF(D1411="","",_xlfn.XLOOKUP(D1411,STUDENTS!D1410:D101407,STUDENTS!G1410:G101407)),"update STUDENT sheet")</f>
        <v/>
      </c>
      <c r="G1411">
        <f>IFERROR(IF(E1411="","",_xlfn.XLOOKUP(E1411,STUDENTS!F1410:F101407,STUDENTS!H1410:H101407)),"update STUDENT sheet")</f>
        <v/>
      </c>
    </row>
    <row r="1412">
      <c r="B1412">
        <f>IF(STUDENTS!B1411="","",STUDENTS!B1411)</f>
        <v/>
      </c>
      <c r="C1412">
        <f>IFERROR(IF(B1412="","",_xlfn.XLOOKUP(B1412,STUDENTS!$B$3:$B$1048576,STUDENTS!$C$3:$C$1048576)),"Enter a registered reg. no")</f>
        <v/>
      </c>
      <c r="E1412">
        <f>IFERROR(IF(C1412="","",_xlfn.XLOOKUP(C1412,STUDENTS!C1411:C101408,STUDENTS!F1411:F101408)),"update STUDENT sheet")</f>
        <v/>
      </c>
      <c r="F1412">
        <f>IFERROR(IF(D1412="","",_xlfn.XLOOKUP(D1412,STUDENTS!D1411:D101408,STUDENTS!G1411:G101408)),"update STUDENT sheet")</f>
        <v/>
      </c>
      <c r="G1412">
        <f>IFERROR(IF(E1412="","",_xlfn.XLOOKUP(E1412,STUDENTS!F1411:F101408,STUDENTS!H1411:H101408)),"update STUDENT sheet")</f>
        <v/>
      </c>
    </row>
    <row r="1413">
      <c r="B1413">
        <f>IF(STUDENTS!B1412="","",STUDENTS!B1412)</f>
        <v/>
      </c>
      <c r="C1413">
        <f>IFERROR(IF(B1413="","",_xlfn.XLOOKUP(B1413,STUDENTS!$B$3:$B$1048576,STUDENTS!$C$3:$C$1048576)),"Enter a registered reg. no")</f>
        <v/>
      </c>
      <c r="E1413">
        <f>IFERROR(IF(C1413="","",_xlfn.XLOOKUP(C1413,STUDENTS!C1412:C101409,STUDENTS!F1412:F101409)),"update STUDENT sheet")</f>
        <v/>
      </c>
      <c r="F1413">
        <f>IFERROR(IF(D1413="","",_xlfn.XLOOKUP(D1413,STUDENTS!D1412:D101409,STUDENTS!G1412:G101409)),"update STUDENT sheet")</f>
        <v/>
      </c>
      <c r="G1413">
        <f>IFERROR(IF(E1413="","",_xlfn.XLOOKUP(E1413,STUDENTS!F1412:F101409,STUDENTS!H1412:H101409)),"update STUDENT sheet")</f>
        <v/>
      </c>
    </row>
    <row r="1414">
      <c r="B1414">
        <f>IF(STUDENTS!B1413="","",STUDENTS!B1413)</f>
        <v/>
      </c>
      <c r="C1414">
        <f>IFERROR(IF(B1414="","",_xlfn.XLOOKUP(B1414,STUDENTS!$B$3:$B$1048576,STUDENTS!$C$3:$C$1048576)),"Enter a registered reg. no")</f>
        <v/>
      </c>
      <c r="E1414">
        <f>IFERROR(IF(C1414="","",_xlfn.XLOOKUP(C1414,STUDENTS!C1413:C101410,STUDENTS!F1413:F101410)),"update STUDENT sheet")</f>
        <v/>
      </c>
      <c r="F1414">
        <f>IFERROR(IF(D1414="","",_xlfn.XLOOKUP(D1414,STUDENTS!D1413:D101410,STUDENTS!G1413:G101410)),"update STUDENT sheet")</f>
        <v/>
      </c>
      <c r="G1414">
        <f>IFERROR(IF(E1414="","",_xlfn.XLOOKUP(E1414,STUDENTS!F1413:F101410,STUDENTS!H1413:H101410)),"update STUDENT sheet")</f>
        <v/>
      </c>
    </row>
    <row r="1415">
      <c r="B1415">
        <f>IF(STUDENTS!B1414="","",STUDENTS!B1414)</f>
        <v/>
      </c>
      <c r="C1415">
        <f>IFERROR(IF(B1415="","",_xlfn.XLOOKUP(B1415,STUDENTS!$B$3:$B$1048576,STUDENTS!$C$3:$C$1048576)),"Enter a registered reg. no")</f>
        <v/>
      </c>
      <c r="E1415">
        <f>IFERROR(IF(C1415="","",_xlfn.XLOOKUP(C1415,STUDENTS!C1414:C101411,STUDENTS!F1414:F101411)),"update STUDENT sheet")</f>
        <v/>
      </c>
      <c r="F1415">
        <f>IFERROR(IF(D1415="","",_xlfn.XLOOKUP(D1415,STUDENTS!D1414:D101411,STUDENTS!G1414:G101411)),"update STUDENT sheet")</f>
        <v/>
      </c>
      <c r="G1415">
        <f>IFERROR(IF(E1415="","",_xlfn.XLOOKUP(E1415,STUDENTS!F1414:F101411,STUDENTS!H1414:H101411)),"update STUDENT sheet")</f>
        <v/>
      </c>
    </row>
    <row r="1416">
      <c r="B1416">
        <f>IF(STUDENTS!B1415="","",STUDENTS!B1415)</f>
        <v/>
      </c>
      <c r="C1416">
        <f>IFERROR(IF(B1416="","",_xlfn.XLOOKUP(B1416,STUDENTS!$B$3:$B$1048576,STUDENTS!$C$3:$C$1048576)),"Enter a registered reg. no")</f>
        <v/>
      </c>
      <c r="E1416">
        <f>IFERROR(IF(C1416="","",_xlfn.XLOOKUP(C1416,STUDENTS!C1415:C101412,STUDENTS!F1415:F101412)),"update STUDENT sheet")</f>
        <v/>
      </c>
      <c r="F1416">
        <f>IFERROR(IF(D1416="","",_xlfn.XLOOKUP(D1416,STUDENTS!D1415:D101412,STUDENTS!G1415:G101412)),"update STUDENT sheet")</f>
        <v/>
      </c>
      <c r="G1416">
        <f>IFERROR(IF(E1416="","",_xlfn.XLOOKUP(E1416,STUDENTS!F1415:F101412,STUDENTS!H1415:H101412)),"update STUDENT sheet")</f>
        <v/>
      </c>
    </row>
    <row r="1417">
      <c r="B1417">
        <f>IF(STUDENTS!B1416="","",STUDENTS!B1416)</f>
        <v/>
      </c>
      <c r="C1417">
        <f>IFERROR(IF(B1417="","",_xlfn.XLOOKUP(B1417,STUDENTS!$B$3:$B$1048576,STUDENTS!$C$3:$C$1048576)),"Enter a registered reg. no")</f>
        <v/>
      </c>
      <c r="E1417">
        <f>IFERROR(IF(C1417="","",_xlfn.XLOOKUP(C1417,STUDENTS!C1416:C101413,STUDENTS!F1416:F101413)),"update STUDENT sheet")</f>
        <v/>
      </c>
      <c r="F1417">
        <f>IFERROR(IF(D1417="","",_xlfn.XLOOKUP(D1417,STUDENTS!D1416:D101413,STUDENTS!G1416:G101413)),"update STUDENT sheet")</f>
        <v/>
      </c>
      <c r="G1417">
        <f>IFERROR(IF(E1417="","",_xlfn.XLOOKUP(E1417,STUDENTS!F1416:F101413,STUDENTS!H1416:H101413)),"update STUDENT sheet")</f>
        <v/>
      </c>
    </row>
    <row r="1418">
      <c r="B1418">
        <f>IF(STUDENTS!B1417="","",STUDENTS!B1417)</f>
        <v/>
      </c>
      <c r="C1418">
        <f>IFERROR(IF(B1418="","",_xlfn.XLOOKUP(B1418,STUDENTS!$B$3:$B$1048576,STUDENTS!$C$3:$C$1048576)),"Enter a registered reg. no")</f>
        <v/>
      </c>
      <c r="E1418">
        <f>IFERROR(IF(C1418="","",_xlfn.XLOOKUP(C1418,STUDENTS!C1417:C101414,STUDENTS!F1417:F101414)),"update STUDENT sheet")</f>
        <v/>
      </c>
      <c r="F1418">
        <f>IFERROR(IF(D1418="","",_xlfn.XLOOKUP(D1418,STUDENTS!D1417:D101414,STUDENTS!G1417:G101414)),"update STUDENT sheet")</f>
        <v/>
      </c>
      <c r="G1418">
        <f>IFERROR(IF(E1418="","",_xlfn.XLOOKUP(E1418,STUDENTS!F1417:F101414,STUDENTS!H1417:H101414)),"update STUDENT sheet")</f>
        <v/>
      </c>
    </row>
    <row r="1419">
      <c r="B1419">
        <f>IF(STUDENTS!B1418="","",STUDENTS!B1418)</f>
        <v/>
      </c>
      <c r="C1419">
        <f>IFERROR(IF(B1419="","",_xlfn.XLOOKUP(B1419,STUDENTS!$B$3:$B$1048576,STUDENTS!$C$3:$C$1048576)),"Enter a registered reg. no")</f>
        <v/>
      </c>
      <c r="E1419">
        <f>IFERROR(IF(C1419="","",_xlfn.XLOOKUP(C1419,STUDENTS!C1418:C101415,STUDENTS!F1418:F101415)),"update STUDENT sheet")</f>
        <v/>
      </c>
      <c r="F1419">
        <f>IFERROR(IF(D1419="","",_xlfn.XLOOKUP(D1419,STUDENTS!D1418:D101415,STUDENTS!G1418:G101415)),"update STUDENT sheet")</f>
        <v/>
      </c>
      <c r="G1419">
        <f>IFERROR(IF(E1419="","",_xlfn.XLOOKUP(E1419,STUDENTS!F1418:F101415,STUDENTS!H1418:H101415)),"update STUDENT sheet")</f>
        <v/>
      </c>
    </row>
    <row r="1420">
      <c r="B1420">
        <f>IF(STUDENTS!B1419="","",STUDENTS!B1419)</f>
        <v/>
      </c>
      <c r="C1420">
        <f>IFERROR(IF(B1420="","",_xlfn.XLOOKUP(B1420,STUDENTS!$B$3:$B$1048576,STUDENTS!$C$3:$C$1048576)),"Enter a registered reg. no")</f>
        <v/>
      </c>
      <c r="E1420">
        <f>IFERROR(IF(C1420="","",_xlfn.XLOOKUP(C1420,STUDENTS!C1419:C101416,STUDENTS!F1419:F101416)),"update STUDENT sheet")</f>
        <v/>
      </c>
      <c r="F1420">
        <f>IFERROR(IF(D1420="","",_xlfn.XLOOKUP(D1420,STUDENTS!D1419:D101416,STUDENTS!G1419:G101416)),"update STUDENT sheet")</f>
        <v/>
      </c>
      <c r="G1420">
        <f>IFERROR(IF(E1420="","",_xlfn.XLOOKUP(E1420,STUDENTS!F1419:F101416,STUDENTS!H1419:H101416)),"update STUDENT sheet")</f>
        <v/>
      </c>
    </row>
    <row r="1421">
      <c r="B1421">
        <f>IF(STUDENTS!B1420="","",STUDENTS!B1420)</f>
        <v/>
      </c>
      <c r="C1421">
        <f>IFERROR(IF(B1421="","",_xlfn.XLOOKUP(B1421,STUDENTS!$B$3:$B$1048576,STUDENTS!$C$3:$C$1048576)),"Enter a registered reg. no")</f>
        <v/>
      </c>
      <c r="E1421">
        <f>IFERROR(IF(C1421="","",_xlfn.XLOOKUP(C1421,STUDENTS!C1420:C101417,STUDENTS!F1420:F101417)),"update STUDENT sheet")</f>
        <v/>
      </c>
      <c r="F1421">
        <f>IFERROR(IF(D1421="","",_xlfn.XLOOKUP(D1421,STUDENTS!D1420:D101417,STUDENTS!G1420:G101417)),"update STUDENT sheet")</f>
        <v/>
      </c>
      <c r="G1421">
        <f>IFERROR(IF(E1421="","",_xlfn.XLOOKUP(E1421,STUDENTS!F1420:F101417,STUDENTS!H1420:H101417)),"update STUDENT sheet")</f>
        <v/>
      </c>
    </row>
    <row r="1422">
      <c r="B1422">
        <f>IF(STUDENTS!B1421="","",STUDENTS!B1421)</f>
        <v/>
      </c>
      <c r="C1422">
        <f>IFERROR(IF(B1422="","",_xlfn.XLOOKUP(B1422,STUDENTS!$B$3:$B$1048576,STUDENTS!$C$3:$C$1048576)),"Enter a registered reg. no")</f>
        <v/>
      </c>
      <c r="E1422">
        <f>IFERROR(IF(C1422="","",_xlfn.XLOOKUP(C1422,STUDENTS!C1421:C101418,STUDENTS!F1421:F101418)),"update STUDENT sheet")</f>
        <v/>
      </c>
      <c r="F1422">
        <f>IFERROR(IF(D1422="","",_xlfn.XLOOKUP(D1422,STUDENTS!D1421:D101418,STUDENTS!G1421:G101418)),"update STUDENT sheet")</f>
        <v/>
      </c>
      <c r="G1422">
        <f>IFERROR(IF(E1422="","",_xlfn.XLOOKUP(E1422,STUDENTS!F1421:F101418,STUDENTS!H1421:H101418)),"update STUDENT sheet")</f>
        <v/>
      </c>
    </row>
    <row r="1423">
      <c r="B1423">
        <f>IF(STUDENTS!B1422="","",STUDENTS!B1422)</f>
        <v/>
      </c>
      <c r="C1423">
        <f>IFERROR(IF(B1423="","",_xlfn.XLOOKUP(B1423,STUDENTS!$B$3:$B$1048576,STUDENTS!$C$3:$C$1048576)),"Enter a registered reg. no")</f>
        <v/>
      </c>
      <c r="E1423">
        <f>IFERROR(IF(C1423="","",_xlfn.XLOOKUP(C1423,STUDENTS!C1422:C101419,STUDENTS!F1422:F101419)),"update STUDENT sheet")</f>
        <v/>
      </c>
      <c r="F1423">
        <f>IFERROR(IF(D1423="","",_xlfn.XLOOKUP(D1423,STUDENTS!D1422:D101419,STUDENTS!G1422:G101419)),"update STUDENT sheet")</f>
        <v/>
      </c>
      <c r="G1423">
        <f>IFERROR(IF(E1423="","",_xlfn.XLOOKUP(E1423,STUDENTS!F1422:F101419,STUDENTS!H1422:H101419)),"update STUDENT sheet")</f>
        <v/>
      </c>
    </row>
    <row r="1424">
      <c r="B1424">
        <f>IF(STUDENTS!B1423="","",STUDENTS!B1423)</f>
        <v/>
      </c>
      <c r="C1424">
        <f>IFERROR(IF(B1424="","",_xlfn.XLOOKUP(B1424,STUDENTS!$B$3:$B$1048576,STUDENTS!$C$3:$C$1048576)),"Enter a registered reg. no")</f>
        <v/>
      </c>
      <c r="E1424">
        <f>IFERROR(IF(C1424="","",_xlfn.XLOOKUP(C1424,STUDENTS!C1423:C101420,STUDENTS!F1423:F101420)),"update STUDENT sheet")</f>
        <v/>
      </c>
      <c r="F1424">
        <f>IFERROR(IF(D1424="","",_xlfn.XLOOKUP(D1424,STUDENTS!D1423:D101420,STUDENTS!G1423:G101420)),"update STUDENT sheet")</f>
        <v/>
      </c>
      <c r="G1424">
        <f>IFERROR(IF(E1424="","",_xlfn.XLOOKUP(E1424,STUDENTS!F1423:F101420,STUDENTS!H1423:H101420)),"update STUDENT sheet")</f>
        <v/>
      </c>
    </row>
    <row r="1425">
      <c r="B1425">
        <f>IF(STUDENTS!B1424="","",STUDENTS!B1424)</f>
        <v/>
      </c>
      <c r="C1425">
        <f>IFERROR(IF(B1425="","",_xlfn.XLOOKUP(B1425,STUDENTS!$B$3:$B$1048576,STUDENTS!$C$3:$C$1048576)),"Enter a registered reg. no")</f>
        <v/>
      </c>
      <c r="E1425">
        <f>IFERROR(IF(C1425="","",_xlfn.XLOOKUP(C1425,STUDENTS!C1424:C101421,STUDENTS!F1424:F101421)),"update STUDENT sheet")</f>
        <v/>
      </c>
      <c r="F1425">
        <f>IFERROR(IF(D1425="","",_xlfn.XLOOKUP(D1425,STUDENTS!D1424:D101421,STUDENTS!G1424:G101421)),"update STUDENT sheet")</f>
        <v/>
      </c>
      <c r="G1425">
        <f>IFERROR(IF(E1425="","",_xlfn.XLOOKUP(E1425,STUDENTS!F1424:F101421,STUDENTS!H1424:H101421)),"update STUDENT sheet")</f>
        <v/>
      </c>
    </row>
    <row r="1426">
      <c r="B1426">
        <f>IF(STUDENTS!B1425="","",STUDENTS!B1425)</f>
        <v/>
      </c>
      <c r="C1426">
        <f>IFERROR(IF(B1426="","",_xlfn.XLOOKUP(B1426,STUDENTS!$B$3:$B$1048576,STUDENTS!$C$3:$C$1048576)),"Enter a registered reg. no")</f>
        <v/>
      </c>
      <c r="E1426">
        <f>IFERROR(IF(C1426="","",_xlfn.XLOOKUP(C1426,STUDENTS!C1425:C101422,STUDENTS!F1425:F101422)),"update STUDENT sheet")</f>
        <v/>
      </c>
      <c r="F1426">
        <f>IFERROR(IF(D1426="","",_xlfn.XLOOKUP(D1426,STUDENTS!D1425:D101422,STUDENTS!G1425:G101422)),"update STUDENT sheet")</f>
        <v/>
      </c>
      <c r="G1426">
        <f>IFERROR(IF(E1426="","",_xlfn.XLOOKUP(E1426,STUDENTS!F1425:F101422,STUDENTS!H1425:H101422)),"update STUDENT sheet")</f>
        <v/>
      </c>
    </row>
    <row r="1427">
      <c r="B1427">
        <f>IF(STUDENTS!B1426="","",STUDENTS!B1426)</f>
        <v/>
      </c>
      <c r="C1427">
        <f>IFERROR(IF(B1427="","",_xlfn.XLOOKUP(B1427,STUDENTS!$B$3:$B$1048576,STUDENTS!$C$3:$C$1048576)),"Enter a registered reg. no")</f>
        <v/>
      </c>
      <c r="E1427">
        <f>IFERROR(IF(C1427="","",_xlfn.XLOOKUP(C1427,STUDENTS!C1426:C101423,STUDENTS!F1426:F101423)),"update STUDENT sheet")</f>
        <v/>
      </c>
      <c r="F1427">
        <f>IFERROR(IF(D1427="","",_xlfn.XLOOKUP(D1427,STUDENTS!D1426:D101423,STUDENTS!G1426:G101423)),"update STUDENT sheet")</f>
        <v/>
      </c>
      <c r="G1427">
        <f>IFERROR(IF(E1427="","",_xlfn.XLOOKUP(E1427,STUDENTS!F1426:F101423,STUDENTS!H1426:H101423)),"update STUDENT sheet")</f>
        <v/>
      </c>
    </row>
    <row r="1428">
      <c r="B1428">
        <f>IF(STUDENTS!B1427="","",STUDENTS!B1427)</f>
        <v/>
      </c>
      <c r="C1428">
        <f>IFERROR(IF(B1428="","",_xlfn.XLOOKUP(B1428,STUDENTS!$B$3:$B$1048576,STUDENTS!$C$3:$C$1048576)),"Enter a registered reg. no")</f>
        <v/>
      </c>
      <c r="E1428">
        <f>IFERROR(IF(C1428="","",_xlfn.XLOOKUP(C1428,STUDENTS!C1427:C101424,STUDENTS!F1427:F101424)),"update STUDENT sheet")</f>
        <v/>
      </c>
      <c r="F1428">
        <f>IFERROR(IF(D1428="","",_xlfn.XLOOKUP(D1428,STUDENTS!D1427:D101424,STUDENTS!G1427:G101424)),"update STUDENT sheet")</f>
        <v/>
      </c>
      <c r="G1428">
        <f>IFERROR(IF(E1428="","",_xlfn.XLOOKUP(E1428,STUDENTS!F1427:F101424,STUDENTS!H1427:H101424)),"update STUDENT sheet")</f>
        <v/>
      </c>
    </row>
    <row r="1429">
      <c r="B1429">
        <f>IF(STUDENTS!B1428="","",STUDENTS!B1428)</f>
        <v/>
      </c>
      <c r="C1429">
        <f>IFERROR(IF(B1429="","",_xlfn.XLOOKUP(B1429,STUDENTS!$B$3:$B$1048576,STUDENTS!$C$3:$C$1048576)),"Enter a registered reg. no")</f>
        <v/>
      </c>
      <c r="E1429">
        <f>IFERROR(IF(C1429="","",_xlfn.XLOOKUP(C1429,STUDENTS!C1428:C101425,STUDENTS!F1428:F101425)),"update STUDENT sheet")</f>
        <v/>
      </c>
      <c r="F1429">
        <f>IFERROR(IF(D1429="","",_xlfn.XLOOKUP(D1429,STUDENTS!D1428:D101425,STUDENTS!G1428:G101425)),"update STUDENT sheet")</f>
        <v/>
      </c>
      <c r="G1429">
        <f>IFERROR(IF(E1429="","",_xlfn.XLOOKUP(E1429,STUDENTS!F1428:F101425,STUDENTS!H1428:H101425)),"update STUDENT sheet")</f>
        <v/>
      </c>
    </row>
    <row r="1430">
      <c r="B1430">
        <f>IF(STUDENTS!B1429="","",STUDENTS!B1429)</f>
        <v/>
      </c>
      <c r="C1430">
        <f>IFERROR(IF(B1430="","",_xlfn.XLOOKUP(B1430,STUDENTS!$B$3:$B$1048576,STUDENTS!$C$3:$C$1048576)),"Enter a registered reg. no")</f>
        <v/>
      </c>
      <c r="E1430">
        <f>IFERROR(IF(C1430="","",_xlfn.XLOOKUP(C1430,STUDENTS!C1429:C101426,STUDENTS!F1429:F101426)),"update STUDENT sheet")</f>
        <v/>
      </c>
      <c r="F1430">
        <f>IFERROR(IF(D1430="","",_xlfn.XLOOKUP(D1430,STUDENTS!D1429:D101426,STUDENTS!G1429:G101426)),"update STUDENT sheet")</f>
        <v/>
      </c>
      <c r="G1430">
        <f>IFERROR(IF(E1430="","",_xlfn.XLOOKUP(E1430,STUDENTS!F1429:F101426,STUDENTS!H1429:H101426)),"update STUDENT sheet")</f>
        <v/>
      </c>
    </row>
    <row r="1431">
      <c r="B1431">
        <f>IF(STUDENTS!B1430="","",STUDENTS!B1430)</f>
        <v/>
      </c>
      <c r="C1431">
        <f>IFERROR(IF(B1431="","",_xlfn.XLOOKUP(B1431,STUDENTS!$B$3:$B$1048576,STUDENTS!$C$3:$C$1048576)),"Enter a registered reg. no")</f>
        <v/>
      </c>
      <c r="E1431">
        <f>IFERROR(IF(C1431="","",_xlfn.XLOOKUP(C1431,STUDENTS!C1430:C101427,STUDENTS!F1430:F101427)),"update STUDENT sheet")</f>
        <v/>
      </c>
      <c r="F1431">
        <f>IFERROR(IF(D1431="","",_xlfn.XLOOKUP(D1431,STUDENTS!D1430:D101427,STUDENTS!G1430:G101427)),"update STUDENT sheet")</f>
        <v/>
      </c>
      <c r="G1431">
        <f>IFERROR(IF(E1431="","",_xlfn.XLOOKUP(E1431,STUDENTS!F1430:F101427,STUDENTS!H1430:H101427)),"update STUDENT sheet")</f>
        <v/>
      </c>
    </row>
    <row r="1432">
      <c r="B1432">
        <f>IF(STUDENTS!B1431="","",STUDENTS!B1431)</f>
        <v/>
      </c>
      <c r="C1432">
        <f>IFERROR(IF(B1432="","",_xlfn.XLOOKUP(B1432,STUDENTS!$B$3:$B$1048576,STUDENTS!$C$3:$C$1048576)),"Enter a registered reg. no")</f>
        <v/>
      </c>
      <c r="E1432">
        <f>IFERROR(IF(C1432="","",_xlfn.XLOOKUP(C1432,STUDENTS!C1431:C101428,STUDENTS!F1431:F101428)),"update STUDENT sheet")</f>
        <v/>
      </c>
      <c r="F1432">
        <f>IFERROR(IF(D1432="","",_xlfn.XLOOKUP(D1432,STUDENTS!D1431:D101428,STUDENTS!G1431:G101428)),"update STUDENT sheet")</f>
        <v/>
      </c>
      <c r="G1432">
        <f>IFERROR(IF(E1432="","",_xlfn.XLOOKUP(E1432,STUDENTS!F1431:F101428,STUDENTS!H1431:H101428)),"update STUDENT sheet")</f>
        <v/>
      </c>
    </row>
    <row r="1433">
      <c r="B1433">
        <f>IF(STUDENTS!B1432="","",STUDENTS!B1432)</f>
        <v/>
      </c>
      <c r="C1433">
        <f>IFERROR(IF(B1433="","",_xlfn.XLOOKUP(B1433,STUDENTS!$B$3:$B$1048576,STUDENTS!$C$3:$C$1048576)),"Enter a registered reg. no")</f>
        <v/>
      </c>
      <c r="E1433">
        <f>IFERROR(IF(C1433="","",_xlfn.XLOOKUP(C1433,STUDENTS!C1432:C101429,STUDENTS!F1432:F101429)),"update STUDENT sheet")</f>
        <v/>
      </c>
      <c r="F1433">
        <f>IFERROR(IF(D1433="","",_xlfn.XLOOKUP(D1433,STUDENTS!D1432:D101429,STUDENTS!G1432:G101429)),"update STUDENT sheet")</f>
        <v/>
      </c>
      <c r="G1433">
        <f>IFERROR(IF(E1433="","",_xlfn.XLOOKUP(E1433,STUDENTS!F1432:F101429,STUDENTS!H1432:H101429)),"update STUDENT sheet")</f>
        <v/>
      </c>
    </row>
    <row r="1434">
      <c r="B1434">
        <f>IF(STUDENTS!B1433="","",STUDENTS!B1433)</f>
        <v/>
      </c>
      <c r="C1434">
        <f>IFERROR(IF(B1434="","",_xlfn.XLOOKUP(B1434,STUDENTS!$B$3:$B$1048576,STUDENTS!$C$3:$C$1048576)),"Enter a registered reg. no")</f>
        <v/>
      </c>
      <c r="E1434">
        <f>IFERROR(IF(C1434="","",_xlfn.XLOOKUP(C1434,STUDENTS!C1433:C101430,STUDENTS!F1433:F101430)),"update STUDENT sheet")</f>
        <v/>
      </c>
      <c r="F1434">
        <f>IFERROR(IF(D1434="","",_xlfn.XLOOKUP(D1434,STUDENTS!D1433:D101430,STUDENTS!G1433:G101430)),"update STUDENT sheet")</f>
        <v/>
      </c>
      <c r="G1434">
        <f>IFERROR(IF(E1434="","",_xlfn.XLOOKUP(E1434,STUDENTS!F1433:F101430,STUDENTS!H1433:H101430)),"update STUDENT sheet")</f>
        <v/>
      </c>
    </row>
    <row r="1435">
      <c r="B1435">
        <f>IF(STUDENTS!B1434="","",STUDENTS!B1434)</f>
        <v/>
      </c>
      <c r="C1435">
        <f>IFERROR(IF(B1435="","",_xlfn.XLOOKUP(B1435,STUDENTS!$B$3:$B$1048576,STUDENTS!$C$3:$C$1048576)),"Enter a registered reg. no")</f>
        <v/>
      </c>
      <c r="E1435">
        <f>IFERROR(IF(C1435="","",_xlfn.XLOOKUP(C1435,STUDENTS!C1434:C101431,STUDENTS!F1434:F101431)),"update STUDENT sheet")</f>
        <v/>
      </c>
      <c r="F1435">
        <f>IFERROR(IF(D1435="","",_xlfn.XLOOKUP(D1435,STUDENTS!D1434:D101431,STUDENTS!G1434:G101431)),"update STUDENT sheet")</f>
        <v/>
      </c>
      <c r="G1435">
        <f>IFERROR(IF(E1435="","",_xlfn.XLOOKUP(E1435,STUDENTS!F1434:F101431,STUDENTS!H1434:H101431)),"update STUDENT sheet")</f>
        <v/>
      </c>
    </row>
    <row r="1436">
      <c r="B1436">
        <f>IF(STUDENTS!B1435="","",STUDENTS!B1435)</f>
        <v/>
      </c>
      <c r="C1436">
        <f>IFERROR(IF(B1436="","",_xlfn.XLOOKUP(B1436,STUDENTS!$B$3:$B$1048576,STUDENTS!$C$3:$C$1048576)),"Enter a registered reg. no")</f>
        <v/>
      </c>
      <c r="E1436">
        <f>IFERROR(IF(C1436="","",_xlfn.XLOOKUP(C1436,STUDENTS!C1435:C101432,STUDENTS!F1435:F101432)),"update STUDENT sheet")</f>
        <v/>
      </c>
      <c r="F1436">
        <f>IFERROR(IF(D1436="","",_xlfn.XLOOKUP(D1436,STUDENTS!D1435:D101432,STUDENTS!G1435:G101432)),"update STUDENT sheet")</f>
        <v/>
      </c>
      <c r="G1436">
        <f>IFERROR(IF(E1436="","",_xlfn.XLOOKUP(E1436,STUDENTS!F1435:F101432,STUDENTS!H1435:H101432)),"update STUDENT sheet")</f>
        <v/>
      </c>
    </row>
    <row r="1437">
      <c r="B1437">
        <f>IF(STUDENTS!B1436="","",STUDENTS!B1436)</f>
        <v/>
      </c>
      <c r="C1437">
        <f>IFERROR(IF(B1437="","",_xlfn.XLOOKUP(B1437,STUDENTS!$B$3:$B$1048576,STUDENTS!$C$3:$C$1048576)),"Enter a registered reg. no")</f>
        <v/>
      </c>
      <c r="E1437">
        <f>IFERROR(IF(C1437="","",_xlfn.XLOOKUP(C1437,STUDENTS!C1436:C101433,STUDENTS!F1436:F101433)),"update STUDENT sheet")</f>
        <v/>
      </c>
      <c r="F1437">
        <f>IFERROR(IF(D1437="","",_xlfn.XLOOKUP(D1437,STUDENTS!D1436:D101433,STUDENTS!G1436:G101433)),"update STUDENT sheet")</f>
        <v/>
      </c>
      <c r="G1437">
        <f>IFERROR(IF(E1437="","",_xlfn.XLOOKUP(E1437,STUDENTS!F1436:F101433,STUDENTS!H1436:H101433)),"update STUDENT sheet")</f>
        <v/>
      </c>
    </row>
    <row r="1438">
      <c r="B1438">
        <f>IF(STUDENTS!B1437="","",STUDENTS!B1437)</f>
        <v/>
      </c>
      <c r="C1438">
        <f>IFERROR(IF(B1438="","",_xlfn.XLOOKUP(B1438,STUDENTS!$B$3:$B$1048576,STUDENTS!$C$3:$C$1048576)),"Enter a registered reg. no")</f>
        <v/>
      </c>
      <c r="E1438">
        <f>IFERROR(IF(C1438="","",_xlfn.XLOOKUP(C1438,STUDENTS!C1437:C101434,STUDENTS!F1437:F101434)),"update STUDENT sheet")</f>
        <v/>
      </c>
      <c r="F1438">
        <f>IFERROR(IF(D1438="","",_xlfn.XLOOKUP(D1438,STUDENTS!D1437:D101434,STUDENTS!G1437:G101434)),"update STUDENT sheet")</f>
        <v/>
      </c>
      <c r="G1438">
        <f>IFERROR(IF(E1438="","",_xlfn.XLOOKUP(E1438,STUDENTS!F1437:F101434,STUDENTS!H1437:H101434)),"update STUDENT sheet")</f>
        <v/>
      </c>
    </row>
    <row r="1439">
      <c r="B1439">
        <f>IF(STUDENTS!B1438="","",STUDENTS!B1438)</f>
        <v/>
      </c>
      <c r="C1439">
        <f>IFERROR(IF(B1439="","",_xlfn.XLOOKUP(B1439,STUDENTS!$B$3:$B$1048576,STUDENTS!$C$3:$C$1048576)),"Enter a registered reg. no")</f>
        <v/>
      </c>
      <c r="E1439">
        <f>IFERROR(IF(C1439="","",_xlfn.XLOOKUP(C1439,STUDENTS!C1438:C101435,STUDENTS!F1438:F101435)),"update STUDENT sheet")</f>
        <v/>
      </c>
      <c r="F1439">
        <f>IFERROR(IF(D1439="","",_xlfn.XLOOKUP(D1439,STUDENTS!D1438:D101435,STUDENTS!G1438:G101435)),"update STUDENT sheet")</f>
        <v/>
      </c>
      <c r="G1439">
        <f>IFERROR(IF(E1439="","",_xlfn.XLOOKUP(E1439,STUDENTS!F1438:F101435,STUDENTS!H1438:H101435)),"update STUDENT sheet")</f>
        <v/>
      </c>
    </row>
    <row r="1440">
      <c r="B1440">
        <f>IF(STUDENTS!B1439="","",STUDENTS!B1439)</f>
        <v/>
      </c>
      <c r="C1440">
        <f>IFERROR(IF(B1440="","",_xlfn.XLOOKUP(B1440,STUDENTS!$B$3:$B$1048576,STUDENTS!$C$3:$C$1048576)),"Enter a registered reg. no")</f>
        <v/>
      </c>
      <c r="E1440">
        <f>IFERROR(IF(C1440="","",_xlfn.XLOOKUP(C1440,STUDENTS!C1439:C101436,STUDENTS!F1439:F101436)),"update STUDENT sheet")</f>
        <v/>
      </c>
      <c r="F1440">
        <f>IFERROR(IF(D1440="","",_xlfn.XLOOKUP(D1440,STUDENTS!D1439:D101436,STUDENTS!G1439:G101436)),"update STUDENT sheet")</f>
        <v/>
      </c>
      <c r="G1440">
        <f>IFERROR(IF(E1440="","",_xlfn.XLOOKUP(E1440,STUDENTS!F1439:F101436,STUDENTS!H1439:H101436)),"update STUDENT sheet")</f>
        <v/>
      </c>
    </row>
    <row r="1441">
      <c r="B1441">
        <f>IF(STUDENTS!B1440="","",STUDENTS!B1440)</f>
        <v/>
      </c>
      <c r="C1441">
        <f>IFERROR(IF(B1441="","",_xlfn.XLOOKUP(B1441,STUDENTS!$B$3:$B$1048576,STUDENTS!$C$3:$C$1048576)),"Enter a registered reg. no")</f>
        <v/>
      </c>
      <c r="E1441">
        <f>IFERROR(IF(C1441="","",_xlfn.XLOOKUP(C1441,STUDENTS!C1440:C101437,STUDENTS!F1440:F101437)),"update STUDENT sheet")</f>
        <v/>
      </c>
      <c r="F1441">
        <f>IFERROR(IF(D1441="","",_xlfn.XLOOKUP(D1441,STUDENTS!D1440:D101437,STUDENTS!G1440:G101437)),"update STUDENT sheet")</f>
        <v/>
      </c>
      <c r="G1441">
        <f>IFERROR(IF(E1441="","",_xlfn.XLOOKUP(E1441,STUDENTS!F1440:F101437,STUDENTS!H1440:H101437)),"update STUDENT sheet")</f>
        <v/>
      </c>
    </row>
    <row r="1442">
      <c r="B1442">
        <f>IF(STUDENTS!B1441="","",STUDENTS!B1441)</f>
        <v/>
      </c>
      <c r="C1442">
        <f>IFERROR(IF(B1442="","",_xlfn.XLOOKUP(B1442,STUDENTS!$B$3:$B$1048576,STUDENTS!$C$3:$C$1048576)),"Enter a registered reg. no")</f>
        <v/>
      </c>
      <c r="E1442">
        <f>IFERROR(IF(C1442="","",_xlfn.XLOOKUP(C1442,STUDENTS!C1441:C101438,STUDENTS!F1441:F101438)),"update STUDENT sheet")</f>
        <v/>
      </c>
      <c r="F1442">
        <f>IFERROR(IF(D1442="","",_xlfn.XLOOKUP(D1442,STUDENTS!D1441:D101438,STUDENTS!G1441:G101438)),"update STUDENT sheet")</f>
        <v/>
      </c>
      <c r="G1442">
        <f>IFERROR(IF(E1442="","",_xlfn.XLOOKUP(E1442,STUDENTS!F1441:F101438,STUDENTS!H1441:H101438)),"update STUDENT sheet")</f>
        <v/>
      </c>
    </row>
    <row r="1443">
      <c r="B1443">
        <f>IF(STUDENTS!B1442="","",STUDENTS!B1442)</f>
        <v/>
      </c>
      <c r="C1443">
        <f>IFERROR(IF(B1443="","",_xlfn.XLOOKUP(B1443,STUDENTS!$B$3:$B$1048576,STUDENTS!$C$3:$C$1048576)),"Enter a registered reg. no")</f>
        <v/>
      </c>
      <c r="E1443">
        <f>IFERROR(IF(C1443="","",_xlfn.XLOOKUP(C1443,STUDENTS!C1442:C101439,STUDENTS!F1442:F101439)),"update STUDENT sheet")</f>
        <v/>
      </c>
      <c r="F1443">
        <f>IFERROR(IF(D1443="","",_xlfn.XLOOKUP(D1443,STUDENTS!D1442:D101439,STUDENTS!G1442:G101439)),"update STUDENT sheet")</f>
        <v/>
      </c>
      <c r="G1443">
        <f>IFERROR(IF(E1443="","",_xlfn.XLOOKUP(E1443,STUDENTS!F1442:F101439,STUDENTS!H1442:H101439)),"update STUDENT sheet")</f>
        <v/>
      </c>
    </row>
    <row r="1444">
      <c r="B1444">
        <f>IF(STUDENTS!B1443="","",STUDENTS!B1443)</f>
        <v/>
      </c>
      <c r="C1444">
        <f>IFERROR(IF(B1444="","",_xlfn.XLOOKUP(B1444,STUDENTS!$B$3:$B$1048576,STUDENTS!$C$3:$C$1048576)),"Enter a registered reg. no")</f>
        <v/>
      </c>
      <c r="E1444">
        <f>IFERROR(IF(C1444="","",_xlfn.XLOOKUP(C1444,STUDENTS!C1443:C101440,STUDENTS!F1443:F101440)),"update STUDENT sheet")</f>
        <v/>
      </c>
      <c r="F1444">
        <f>IFERROR(IF(D1444="","",_xlfn.XLOOKUP(D1444,STUDENTS!D1443:D101440,STUDENTS!G1443:G101440)),"update STUDENT sheet")</f>
        <v/>
      </c>
      <c r="G1444">
        <f>IFERROR(IF(E1444="","",_xlfn.XLOOKUP(E1444,STUDENTS!F1443:F101440,STUDENTS!H1443:H101440)),"update STUDENT sheet")</f>
        <v/>
      </c>
    </row>
    <row r="1445">
      <c r="B1445">
        <f>IF(STUDENTS!B1444="","",STUDENTS!B1444)</f>
        <v/>
      </c>
      <c r="C1445">
        <f>IFERROR(IF(B1445="","",_xlfn.XLOOKUP(B1445,STUDENTS!$B$3:$B$1048576,STUDENTS!$C$3:$C$1048576)),"Enter a registered reg. no")</f>
        <v/>
      </c>
      <c r="E1445">
        <f>IFERROR(IF(C1445="","",_xlfn.XLOOKUP(C1445,STUDENTS!C1444:C101441,STUDENTS!F1444:F101441)),"update STUDENT sheet")</f>
        <v/>
      </c>
      <c r="F1445">
        <f>IFERROR(IF(D1445="","",_xlfn.XLOOKUP(D1445,STUDENTS!D1444:D101441,STUDENTS!G1444:G101441)),"update STUDENT sheet")</f>
        <v/>
      </c>
      <c r="G1445">
        <f>IFERROR(IF(E1445="","",_xlfn.XLOOKUP(E1445,STUDENTS!F1444:F101441,STUDENTS!H1444:H101441)),"update STUDENT sheet")</f>
        <v/>
      </c>
    </row>
    <row r="1446">
      <c r="B1446">
        <f>IF(STUDENTS!B1445="","",STUDENTS!B1445)</f>
        <v/>
      </c>
      <c r="C1446">
        <f>IFERROR(IF(B1446="","",_xlfn.XLOOKUP(B1446,STUDENTS!$B$3:$B$1048576,STUDENTS!$C$3:$C$1048576)),"Enter a registered reg. no")</f>
        <v/>
      </c>
      <c r="E1446">
        <f>IFERROR(IF(C1446="","",_xlfn.XLOOKUP(C1446,STUDENTS!C1445:C101442,STUDENTS!F1445:F101442)),"update STUDENT sheet")</f>
        <v/>
      </c>
      <c r="F1446">
        <f>IFERROR(IF(D1446="","",_xlfn.XLOOKUP(D1446,STUDENTS!D1445:D101442,STUDENTS!G1445:G101442)),"update STUDENT sheet")</f>
        <v/>
      </c>
      <c r="G1446">
        <f>IFERROR(IF(E1446="","",_xlfn.XLOOKUP(E1446,STUDENTS!F1445:F101442,STUDENTS!H1445:H101442)),"update STUDENT sheet")</f>
        <v/>
      </c>
    </row>
    <row r="1447">
      <c r="B1447">
        <f>IF(STUDENTS!B1446="","",STUDENTS!B1446)</f>
        <v/>
      </c>
      <c r="C1447">
        <f>IFERROR(IF(B1447="","",_xlfn.XLOOKUP(B1447,STUDENTS!$B$3:$B$1048576,STUDENTS!$C$3:$C$1048576)),"Enter a registered reg. no")</f>
        <v/>
      </c>
      <c r="E1447">
        <f>IFERROR(IF(C1447="","",_xlfn.XLOOKUP(C1447,STUDENTS!C1446:C101443,STUDENTS!F1446:F101443)),"update STUDENT sheet")</f>
        <v/>
      </c>
      <c r="F1447">
        <f>IFERROR(IF(D1447="","",_xlfn.XLOOKUP(D1447,STUDENTS!D1446:D101443,STUDENTS!G1446:G101443)),"update STUDENT sheet")</f>
        <v/>
      </c>
      <c r="G1447">
        <f>IFERROR(IF(E1447="","",_xlfn.XLOOKUP(E1447,STUDENTS!F1446:F101443,STUDENTS!H1446:H101443)),"update STUDENT sheet")</f>
        <v/>
      </c>
    </row>
    <row r="1448">
      <c r="B1448">
        <f>IF(STUDENTS!B1447="","",STUDENTS!B1447)</f>
        <v/>
      </c>
      <c r="C1448">
        <f>IFERROR(IF(B1448="","",_xlfn.XLOOKUP(B1448,STUDENTS!$B$3:$B$1048576,STUDENTS!$C$3:$C$1048576)),"Enter a registered reg. no")</f>
        <v/>
      </c>
      <c r="E1448">
        <f>IFERROR(IF(C1448="","",_xlfn.XLOOKUP(C1448,STUDENTS!C1447:C101444,STUDENTS!F1447:F101444)),"update STUDENT sheet")</f>
        <v/>
      </c>
      <c r="F1448">
        <f>IFERROR(IF(D1448="","",_xlfn.XLOOKUP(D1448,STUDENTS!D1447:D101444,STUDENTS!G1447:G101444)),"update STUDENT sheet")</f>
        <v/>
      </c>
      <c r="G1448">
        <f>IFERROR(IF(E1448="","",_xlfn.XLOOKUP(E1448,STUDENTS!F1447:F101444,STUDENTS!H1447:H101444)),"update STUDENT sheet")</f>
        <v/>
      </c>
    </row>
    <row r="1449">
      <c r="B1449">
        <f>IF(STUDENTS!B1448="","",STUDENTS!B1448)</f>
        <v/>
      </c>
      <c r="C1449">
        <f>IFERROR(IF(B1449="","",_xlfn.XLOOKUP(B1449,STUDENTS!$B$3:$B$1048576,STUDENTS!$C$3:$C$1048576)),"Enter a registered reg. no")</f>
        <v/>
      </c>
      <c r="E1449">
        <f>IFERROR(IF(C1449="","",_xlfn.XLOOKUP(C1449,STUDENTS!C1448:C101445,STUDENTS!F1448:F101445)),"update STUDENT sheet")</f>
        <v/>
      </c>
      <c r="F1449">
        <f>IFERROR(IF(D1449="","",_xlfn.XLOOKUP(D1449,STUDENTS!D1448:D101445,STUDENTS!G1448:G101445)),"update STUDENT sheet")</f>
        <v/>
      </c>
      <c r="G1449">
        <f>IFERROR(IF(E1449="","",_xlfn.XLOOKUP(E1449,STUDENTS!F1448:F101445,STUDENTS!H1448:H101445)),"update STUDENT sheet")</f>
        <v/>
      </c>
    </row>
    <row r="1450">
      <c r="B1450">
        <f>IF(STUDENTS!B1449="","",STUDENTS!B1449)</f>
        <v/>
      </c>
      <c r="C1450">
        <f>IFERROR(IF(B1450="","",_xlfn.XLOOKUP(B1450,STUDENTS!$B$3:$B$1048576,STUDENTS!$C$3:$C$1048576)),"Enter a registered reg. no")</f>
        <v/>
      </c>
      <c r="E1450">
        <f>IFERROR(IF(C1450="","",_xlfn.XLOOKUP(C1450,STUDENTS!C1449:C101446,STUDENTS!F1449:F101446)),"update STUDENT sheet")</f>
        <v/>
      </c>
      <c r="F1450">
        <f>IFERROR(IF(D1450="","",_xlfn.XLOOKUP(D1450,STUDENTS!D1449:D101446,STUDENTS!G1449:G101446)),"update STUDENT sheet")</f>
        <v/>
      </c>
      <c r="G1450">
        <f>IFERROR(IF(E1450="","",_xlfn.XLOOKUP(E1450,STUDENTS!F1449:F101446,STUDENTS!H1449:H101446)),"update STUDENT sheet")</f>
        <v/>
      </c>
    </row>
    <row r="1451">
      <c r="B1451">
        <f>IF(STUDENTS!B1450="","",STUDENTS!B1450)</f>
        <v/>
      </c>
      <c r="C1451">
        <f>IFERROR(IF(B1451="","",_xlfn.XLOOKUP(B1451,STUDENTS!$B$3:$B$1048576,STUDENTS!$C$3:$C$1048576)),"Enter a registered reg. no")</f>
        <v/>
      </c>
      <c r="E1451">
        <f>IFERROR(IF(C1451="","",_xlfn.XLOOKUP(C1451,STUDENTS!C1450:C101447,STUDENTS!F1450:F101447)),"update STUDENT sheet")</f>
        <v/>
      </c>
      <c r="F1451">
        <f>IFERROR(IF(D1451="","",_xlfn.XLOOKUP(D1451,STUDENTS!D1450:D101447,STUDENTS!G1450:G101447)),"update STUDENT sheet")</f>
        <v/>
      </c>
      <c r="G1451">
        <f>IFERROR(IF(E1451="","",_xlfn.XLOOKUP(E1451,STUDENTS!F1450:F101447,STUDENTS!H1450:H101447)),"update STUDENT sheet")</f>
        <v/>
      </c>
    </row>
    <row r="1452">
      <c r="B1452">
        <f>IF(STUDENTS!B1451="","",STUDENTS!B1451)</f>
        <v/>
      </c>
      <c r="C1452">
        <f>IFERROR(IF(B1452="","",_xlfn.XLOOKUP(B1452,STUDENTS!$B$3:$B$1048576,STUDENTS!$C$3:$C$1048576)),"Enter a registered reg. no")</f>
        <v/>
      </c>
      <c r="E1452">
        <f>IFERROR(IF(C1452="","",_xlfn.XLOOKUP(C1452,STUDENTS!C1451:C101448,STUDENTS!F1451:F101448)),"update STUDENT sheet")</f>
        <v/>
      </c>
      <c r="F1452">
        <f>IFERROR(IF(D1452="","",_xlfn.XLOOKUP(D1452,STUDENTS!D1451:D101448,STUDENTS!G1451:G101448)),"update STUDENT sheet")</f>
        <v/>
      </c>
      <c r="G1452">
        <f>IFERROR(IF(E1452="","",_xlfn.XLOOKUP(E1452,STUDENTS!F1451:F101448,STUDENTS!H1451:H101448)),"update STUDENT sheet")</f>
        <v/>
      </c>
    </row>
    <row r="1453">
      <c r="B1453">
        <f>IF(STUDENTS!B1452="","",STUDENTS!B1452)</f>
        <v/>
      </c>
      <c r="C1453">
        <f>IFERROR(IF(B1453="","",_xlfn.XLOOKUP(B1453,STUDENTS!$B$3:$B$1048576,STUDENTS!$C$3:$C$1048576)),"Enter a registered reg. no")</f>
        <v/>
      </c>
      <c r="E1453">
        <f>IFERROR(IF(C1453="","",_xlfn.XLOOKUP(C1453,STUDENTS!C1452:C101449,STUDENTS!F1452:F101449)),"update STUDENT sheet")</f>
        <v/>
      </c>
      <c r="F1453">
        <f>IFERROR(IF(D1453="","",_xlfn.XLOOKUP(D1453,STUDENTS!D1452:D101449,STUDENTS!G1452:G101449)),"update STUDENT sheet")</f>
        <v/>
      </c>
      <c r="G1453">
        <f>IFERROR(IF(E1453="","",_xlfn.XLOOKUP(E1453,STUDENTS!F1452:F101449,STUDENTS!H1452:H101449)),"update STUDENT sheet")</f>
        <v/>
      </c>
    </row>
    <row r="1454">
      <c r="B1454">
        <f>IF(STUDENTS!B1453="","",STUDENTS!B1453)</f>
        <v/>
      </c>
      <c r="C1454">
        <f>IFERROR(IF(B1454="","",_xlfn.XLOOKUP(B1454,STUDENTS!$B$3:$B$1048576,STUDENTS!$C$3:$C$1048576)),"Enter a registered reg. no")</f>
        <v/>
      </c>
      <c r="E1454">
        <f>IFERROR(IF(C1454="","",_xlfn.XLOOKUP(C1454,STUDENTS!C1453:C101450,STUDENTS!F1453:F101450)),"update STUDENT sheet")</f>
        <v/>
      </c>
      <c r="F1454">
        <f>IFERROR(IF(D1454="","",_xlfn.XLOOKUP(D1454,STUDENTS!D1453:D101450,STUDENTS!G1453:G101450)),"update STUDENT sheet")</f>
        <v/>
      </c>
      <c r="G1454">
        <f>IFERROR(IF(E1454="","",_xlfn.XLOOKUP(E1454,STUDENTS!F1453:F101450,STUDENTS!H1453:H101450)),"update STUDENT sheet")</f>
        <v/>
      </c>
    </row>
    <row r="1455">
      <c r="B1455">
        <f>IF(STUDENTS!B1454="","",STUDENTS!B1454)</f>
        <v/>
      </c>
      <c r="C1455">
        <f>IFERROR(IF(B1455="","",_xlfn.XLOOKUP(B1455,STUDENTS!$B$3:$B$1048576,STUDENTS!$C$3:$C$1048576)),"Enter a registered reg. no")</f>
        <v/>
      </c>
      <c r="E1455">
        <f>IFERROR(IF(C1455="","",_xlfn.XLOOKUP(C1455,STUDENTS!C1454:C101451,STUDENTS!F1454:F101451)),"update STUDENT sheet")</f>
        <v/>
      </c>
      <c r="F1455">
        <f>IFERROR(IF(D1455="","",_xlfn.XLOOKUP(D1455,STUDENTS!D1454:D101451,STUDENTS!G1454:G101451)),"update STUDENT sheet")</f>
        <v/>
      </c>
      <c r="G1455">
        <f>IFERROR(IF(E1455="","",_xlfn.XLOOKUP(E1455,STUDENTS!F1454:F101451,STUDENTS!H1454:H101451)),"update STUDENT sheet")</f>
        <v/>
      </c>
    </row>
    <row r="1456">
      <c r="B1456">
        <f>IF(STUDENTS!B1455="","",STUDENTS!B1455)</f>
        <v/>
      </c>
      <c r="C1456">
        <f>IFERROR(IF(B1456="","",_xlfn.XLOOKUP(B1456,STUDENTS!$B$3:$B$1048576,STUDENTS!$C$3:$C$1048576)),"Enter a registered reg. no")</f>
        <v/>
      </c>
      <c r="E1456">
        <f>IFERROR(IF(C1456="","",_xlfn.XLOOKUP(C1456,STUDENTS!C1455:C101452,STUDENTS!F1455:F101452)),"update STUDENT sheet")</f>
        <v/>
      </c>
      <c r="F1456">
        <f>IFERROR(IF(D1456="","",_xlfn.XLOOKUP(D1456,STUDENTS!D1455:D101452,STUDENTS!G1455:G101452)),"update STUDENT sheet")</f>
        <v/>
      </c>
      <c r="G1456">
        <f>IFERROR(IF(E1456="","",_xlfn.XLOOKUP(E1456,STUDENTS!F1455:F101452,STUDENTS!H1455:H101452)),"update STUDENT sheet")</f>
        <v/>
      </c>
    </row>
    <row r="1457">
      <c r="B1457">
        <f>IF(STUDENTS!B1456="","",STUDENTS!B1456)</f>
        <v/>
      </c>
      <c r="C1457">
        <f>IFERROR(IF(B1457="","",_xlfn.XLOOKUP(B1457,STUDENTS!$B$3:$B$1048576,STUDENTS!$C$3:$C$1048576)),"Enter a registered reg. no")</f>
        <v/>
      </c>
      <c r="E1457">
        <f>IFERROR(IF(C1457="","",_xlfn.XLOOKUP(C1457,STUDENTS!C1456:C101453,STUDENTS!F1456:F101453)),"update STUDENT sheet")</f>
        <v/>
      </c>
      <c r="F1457">
        <f>IFERROR(IF(D1457="","",_xlfn.XLOOKUP(D1457,STUDENTS!D1456:D101453,STUDENTS!G1456:G101453)),"update STUDENT sheet")</f>
        <v/>
      </c>
      <c r="G1457">
        <f>IFERROR(IF(E1457="","",_xlfn.XLOOKUP(E1457,STUDENTS!F1456:F101453,STUDENTS!H1456:H101453)),"update STUDENT sheet")</f>
        <v/>
      </c>
    </row>
    <row r="1458">
      <c r="B1458">
        <f>IF(STUDENTS!B1457="","",STUDENTS!B1457)</f>
        <v/>
      </c>
      <c r="C1458">
        <f>IFERROR(IF(B1458="","",_xlfn.XLOOKUP(B1458,STUDENTS!$B$3:$B$1048576,STUDENTS!$C$3:$C$1048576)),"Enter a registered reg. no")</f>
        <v/>
      </c>
      <c r="E1458">
        <f>IFERROR(IF(C1458="","",_xlfn.XLOOKUP(C1458,STUDENTS!C1457:C101454,STUDENTS!F1457:F101454)),"update STUDENT sheet")</f>
        <v/>
      </c>
      <c r="F1458">
        <f>IFERROR(IF(D1458="","",_xlfn.XLOOKUP(D1458,STUDENTS!D1457:D101454,STUDENTS!G1457:G101454)),"update STUDENT sheet")</f>
        <v/>
      </c>
      <c r="G1458">
        <f>IFERROR(IF(E1458="","",_xlfn.XLOOKUP(E1458,STUDENTS!F1457:F101454,STUDENTS!H1457:H101454)),"update STUDENT sheet")</f>
        <v/>
      </c>
    </row>
    <row r="1459">
      <c r="B1459">
        <f>IF(STUDENTS!B1458="","",STUDENTS!B1458)</f>
        <v/>
      </c>
      <c r="C1459">
        <f>IFERROR(IF(B1459="","",_xlfn.XLOOKUP(B1459,STUDENTS!$B$3:$B$1048576,STUDENTS!$C$3:$C$1048576)),"Enter a registered reg. no")</f>
        <v/>
      </c>
      <c r="E1459">
        <f>IFERROR(IF(C1459="","",_xlfn.XLOOKUP(C1459,STUDENTS!C1458:C101455,STUDENTS!F1458:F101455)),"update STUDENT sheet")</f>
        <v/>
      </c>
      <c r="F1459">
        <f>IFERROR(IF(D1459="","",_xlfn.XLOOKUP(D1459,STUDENTS!D1458:D101455,STUDENTS!G1458:G101455)),"update STUDENT sheet")</f>
        <v/>
      </c>
      <c r="G1459">
        <f>IFERROR(IF(E1459="","",_xlfn.XLOOKUP(E1459,STUDENTS!F1458:F101455,STUDENTS!H1458:H101455)),"update STUDENT sheet")</f>
        <v/>
      </c>
    </row>
    <row r="1460">
      <c r="B1460">
        <f>IF(STUDENTS!B1459="","",STUDENTS!B1459)</f>
        <v/>
      </c>
      <c r="C1460">
        <f>IFERROR(IF(B1460="","",_xlfn.XLOOKUP(B1460,STUDENTS!$B$3:$B$1048576,STUDENTS!$C$3:$C$1048576)),"Enter a registered reg. no")</f>
        <v/>
      </c>
      <c r="E1460">
        <f>IFERROR(IF(C1460="","",_xlfn.XLOOKUP(C1460,STUDENTS!C1459:C101456,STUDENTS!F1459:F101456)),"update STUDENT sheet")</f>
        <v/>
      </c>
      <c r="F1460">
        <f>IFERROR(IF(D1460="","",_xlfn.XLOOKUP(D1460,STUDENTS!D1459:D101456,STUDENTS!G1459:G101456)),"update STUDENT sheet")</f>
        <v/>
      </c>
      <c r="G1460">
        <f>IFERROR(IF(E1460="","",_xlfn.XLOOKUP(E1460,STUDENTS!F1459:F101456,STUDENTS!H1459:H101456)),"update STUDENT sheet")</f>
        <v/>
      </c>
    </row>
    <row r="1461">
      <c r="B1461">
        <f>IF(STUDENTS!B1460="","",STUDENTS!B1460)</f>
        <v/>
      </c>
      <c r="C1461">
        <f>IFERROR(IF(B1461="","",_xlfn.XLOOKUP(B1461,STUDENTS!$B$3:$B$1048576,STUDENTS!$C$3:$C$1048576)),"Enter a registered reg. no")</f>
        <v/>
      </c>
      <c r="E1461">
        <f>IFERROR(IF(C1461="","",_xlfn.XLOOKUP(C1461,STUDENTS!C1460:C101457,STUDENTS!F1460:F101457)),"update STUDENT sheet")</f>
        <v/>
      </c>
      <c r="F1461">
        <f>IFERROR(IF(D1461="","",_xlfn.XLOOKUP(D1461,STUDENTS!D1460:D101457,STUDENTS!G1460:G101457)),"update STUDENT sheet")</f>
        <v/>
      </c>
      <c r="G1461">
        <f>IFERROR(IF(E1461="","",_xlfn.XLOOKUP(E1461,STUDENTS!F1460:F101457,STUDENTS!H1460:H101457)),"update STUDENT sheet")</f>
        <v/>
      </c>
    </row>
    <row r="1462">
      <c r="B1462">
        <f>IF(STUDENTS!B1461="","",STUDENTS!B1461)</f>
        <v/>
      </c>
      <c r="C1462">
        <f>IFERROR(IF(B1462="","",_xlfn.XLOOKUP(B1462,STUDENTS!$B$3:$B$1048576,STUDENTS!$C$3:$C$1048576)),"Enter a registered reg. no")</f>
        <v/>
      </c>
      <c r="E1462">
        <f>IFERROR(IF(C1462="","",_xlfn.XLOOKUP(C1462,STUDENTS!C1461:C101458,STUDENTS!F1461:F101458)),"update STUDENT sheet")</f>
        <v/>
      </c>
      <c r="F1462">
        <f>IFERROR(IF(D1462="","",_xlfn.XLOOKUP(D1462,STUDENTS!D1461:D101458,STUDENTS!G1461:G101458)),"update STUDENT sheet")</f>
        <v/>
      </c>
      <c r="G1462">
        <f>IFERROR(IF(E1462="","",_xlfn.XLOOKUP(E1462,STUDENTS!F1461:F101458,STUDENTS!H1461:H101458)),"update STUDENT sheet")</f>
        <v/>
      </c>
    </row>
    <row r="1463">
      <c r="B1463">
        <f>IF(STUDENTS!B1462="","",STUDENTS!B1462)</f>
        <v/>
      </c>
      <c r="C1463">
        <f>IFERROR(IF(B1463="","",_xlfn.XLOOKUP(B1463,STUDENTS!$B$3:$B$1048576,STUDENTS!$C$3:$C$1048576)),"Enter a registered reg. no")</f>
        <v/>
      </c>
      <c r="E1463">
        <f>IFERROR(IF(C1463="","",_xlfn.XLOOKUP(C1463,STUDENTS!C1462:C101459,STUDENTS!F1462:F101459)),"update STUDENT sheet")</f>
        <v/>
      </c>
      <c r="F1463">
        <f>IFERROR(IF(D1463="","",_xlfn.XLOOKUP(D1463,STUDENTS!D1462:D101459,STUDENTS!G1462:G101459)),"update STUDENT sheet")</f>
        <v/>
      </c>
      <c r="G1463">
        <f>IFERROR(IF(E1463="","",_xlfn.XLOOKUP(E1463,STUDENTS!F1462:F101459,STUDENTS!H1462:H101459)),"update STUDENT sheet")</f>
        <v/>
      </c>
    </row>
    <row r="1464">
      <c r="B1464">
        <f>IF(STUDENTS!B1463="","",STUDENTS!B1463)</f>
        <v/>
      </c>
      <c r="C1464">
        <f>IFERROR(IF(B1464="","",_xlfn.XLOOKUP(B1464,STUDENTS!$B$3:$B$1048576,STUDENTS!$C$3:$C$1048576)),"Enter a registered reg. no")</f>
        <v/>
      </c>
      <c r="E1464">
        <f>IFERROR(IF(C1464="","",_xlfn.XLOOKUP(C1464,STUDENTS!C1463:C101460,STUDENTS!F1463:F101460)),"update STUDENT sheet")</f>
        <v/>
      </c>
      <c r="F1464">
        <f>IFERROR(IF(D1464="","",_xlfn.XLOOKUP(D1464,STUDENTS!D1463:D101460,STUDENTS!G1463:G101460)),"update STUDENT sheet")</f>
        <v/>
      </c>
      <c r="G1464">
        <f>IFERROR(IF(E1464="","",_xlfn.XLOOKUP(E1464,STUDENTS!F1463:F101460,STUDENTS!H1463:H101460)),"update STUDENT sheet")</f>
        <v/>
      </c>
    </row>
    <row r="1465">
      <c r="B1465">
        <f>IF(STUDENTS!B1464="","",STUDENTS!B1464)</f>
        <v/>
      </c>
      <c r="C1465">
        <f>IFERROR(IF(B1465="","",_xlfn.XLOOKUP(B1465,STUDENTS!$B$3:$B$1048576,STUDENTS!$C$3:$C$1048576)),"Enter a registered reg. no")</f>
        <v/>
      </c>
      <c r="E1465">
        <f>IFERROR(IF(C1465="","",_xlfn.XLOOKUP(C1465,STUDENTS!C1464:C101461,STUDENTS!F1464:F101461)),"update STUDENT sheet")</f>
        <v/>
      </c>
      <c r="F1465">
        <f>IFERROR(IF(D1465="","",_xlfn.XLOOKUP(D1465,STUDENTS!D1464:D101461,STUDENTS!G1464:G101461)),"update STUDENT sheet")</f>
        <v/>
      </c>
      <c r="G1465">
        <f>IFERROR(IF(E1465="","",_xlfn.XLOOKUP(E1465,STUDENTS!F1464:F101461,STUDENTS!H1464:H101461)),"update STUDENT sheet")</f>
        <v/>
      </c>
    </row>
    <row r="1466">
      <c r="B1466">
        <f>IF(STUDENTS!B1465="","",STUDENTS!B1465)</f>
        <v/>
      </c>
      <c r="C1466">
        <f>IFERROR(IF(B1466="","",_xlfn.XLOOKUP(B1466,STUDENTS!$B$3:$B$1048576,STUDENTS!$C$3:$C$1048576)),"Enter a registered reg. no")</f>
        <v/>
      </c>
      <c r="E1466">
        <f>IFERROR(IF(C1466="","",_xlfn.XLOOKUP(C1466,STUDENTS!C1465:C101462,STUDENTS!F1465:F101462)),"update STUDENT sheet")</f>
        <v/>
      </c>
      <c r="F1466">
        <f>IFERROR(IF(D1466="","",_xlfn.XLOOKUP(D1466,STUDENTS!D1465:D101462,STUDENTS!G1465:G101462)),"update STUDENT sheet")</f>
        <v/>
      </c>
      <c r="G1466">
        <f>IFERROR(IF(E1466="","",_xlfn.XLOOKUP(E1466,STUDENTS!F1465:F101462,STUDENTS!H1465:H101462)),"update STUDENT sheet")</f>
        <v/>
      </c>
    </row>
    <row r="1467">
      <c r="B1467">
        <f>IF(STUDENTS!B1466="","",STUDENTS!B1466)</f>
        <v/>
      </c>
      <c r="C1467">
        <f>IFERROR(IF(B1467="","",_xlfn.XLOOKUP(B1467,STUDENTS!$B$3:$B$1048576,STUDENTS!$C$3:$C$1048576)),"Enter a registered reg. no")</f>
        <v/>
      </c>
      <c r="E1467">
        <f>IFERROR(IF(C1467="","",_xlfn.XLOOKUP(C1467,STUDENTS!C1466:C101463,STUDENTS!F1466:F101463)),"update STUDENT sheet")</f>
        <v/>
      </c>
      <c r="F1467">
        <f>IFERROR(IF(D1467="","",_xlfn.XLOOKUP(D1467,STUDENTS!D1466:D101463,STUDENTS!G1466:G101463)),"update STUDENT sheet")</f>
        <v/>
      </c>
      <c r="G1467">
        <f>IFERROR(IF(E1467="","",_xlfn.XLOOKUP(E1467,STUDENTS!F1466:F101463,STUDENTS!H1466:H101463)),"update STUDENT sheet")</f>
        <v/>
      </c>
    </row>
    <row r="1468">
      <c r="B1468">
        <f>IF(STUDENTS!B1467="","",STUDENTS!B1467)</f>
        <v/>
      </c>
      <c r="C1468">
        <f>IFERROR(IF(B1468="","",_xlfn.XLOOKUP(B1468,STUDENTS!$B$3:$B$1048576,STUDENTS!$C$3:$C$1048576)),"Enter a registered reg. no")</f>
        <v/>
      </c>
      <c r="E1468">
        <f>IFERROR(IF(C1468="","",_xlfn.XLOOKUP(C1468,STUDENTS!C1467:C101464,STUDENTS!F1467:F101464)),"update STUDENT sheet")</f>
        <v/>
      </c>
      <c r="F1468">
        <f>IFERROR(IF(D1468="","",_xlfn.XLOOKUP(D1468,STUDENTS!D1467:D101464,STUDENTS!G1467:G101464)),"update STUDENT sheet")</f>
        <v/>
      </c>
      <c r="G1468">
        <f>IFERROR(IF(E1468="","",_xlfn.XLOOKUP(E1468,STUDENTS!F1467:F101464,STUDENTS!H1467:H101464)),"update STUDENT sheet")</f>
        <v/>
      </c>
    </row>
    <row r="1469">
      <c r="B1469">
        <f>IF(STUDENTS!B1468="","",STUDENTS!B1468)</f>
        <v/>
      </c>
      <c r="C1469">
        <f>IFERROR(IF(B1469="","",_xlfn.XLOOKUP(B1469,STUDENTS!$B$3:$B$1048576,STUDENTS!$C$3:$C$1048576)),"Enter a registered reg. no")</f>
        <v/>
      </c>
      <c r="E1469">
        <f>IFERROR(IF(C1469="","",_xlfn.XLOOKUP(C1469,STUDENTS!C1468:C101465,STUDENTS!F1468:F101465)),"update STUDENT sheet")</f>
        <v/>
      </c>
      <c r="F1469">
        <f>IFERROR(IF(D1469="","",_xlfn.XLOOKUP(D1469,STUDENTS!D1468:D101465,STUDENTS!G1468:G101465)),"update STUDENT sheet")</f>
        <v/>
      </c>
      <c r="G1469">
        <f>IFERROR(IF(E1469="","",_xlfn.XLOOKUP(E1469,STUDENTS!F1468:F101465,STUDENTS!H1468:H101465)),"update STUDENT sheet")</f>
        <v/>
      </c>
    </row>
    <row r="1470">
      <c r="B1470">
        <f>IF(STUDENTS!B1469="","",STUDENTS!B1469)</f>
        <v/>
      </c>
      <c r="C1470">
        <f>IFERROR(IF(B1470="","",_xlfn.XLOOKUP(B1470,STUDENTS!$B$3:$B$1048576,STUDENTS!$C$3:$C$1048576)),"Enter a registered reg. no")</f>
        <v/>
      </c>
      <c r="E1470">
        <f>IFERROR(IF(C1470="","",_xlfn.XLOOKUP(C1470,STUDENTS!C1469:C101466,STUDENTS!F1469:F101466)),"update STUDENT sheet")</f>
        <v/>
      </c>
      <c r="F1470">
        <f>IFERROR(IF(D1470="","",_xlfn.XLOOKUP(D1470,STUDENTS!D1469:D101466,STUDENTS!G1469:G101466)),"update STUDENT sheet")</f>
        <v/>
      </c>
      <c r="G1470">
        <f>IFERROR(IF(E1470="","",_xlfn.XLOOKUP(E1470,STUDENTS!F1469:F101466,STUDENTS!H1469:H101466)),"update STUDENT sheet")</f>
        <v/>
      </c>
    </row>
    <row r="1471">
      <c r="B1471">
        <f>IF(STUDENTS!B1470="","",STUDENTS!B1470)</f>
        <v/>
      </c>
      <c r="C1471">
        <f>IFERROR(IF(B1471="","",_xlfn.XLOOKUP(B1471,STUDENTS!$B$3:$B$1048576,STUDENTS!$C$3:$C$1048576)),"Enter a registered reg. no")</f>
        <v/>
      </c>
      <c r="E1471">
        <f>IFERROR(IF(C1471="","",_xlfn.XLOOKUP(C1471,STUDENTS!C1470:C101467,STUDENTS!F1470:F101467)),"update STUDENT sheet")</f>
        <v/>
      </c>
      <c r="F1471">
        <f>IFERROR(IF(D1471="","",_xlfn.XLOOKUP(D1471,STUDENTS!D1470:D101467,STUDENTS!G1470:G101467)),"update STUDENT sheet")</f>
        <v/>
      </c>
      <c r="G1471">
        <f>IFERROR(IF(E1471="","",_xlfn.XLOOKUP(E1471,STUDENTS!F1470:F101467,STUDENTS!H1470:H101467)),"update STUDENT sheet")</f>
        <v/>
      </c>
    </row>
    <row r="1472">
      <c r="B1472">
        <f>IF(STUDENTS!B1471="","",STUDENTS!B1471)</f>
        <v/>
      </c>
      <c r="C1472">
        <f>IFERROR(IF(B1472="","",_xlfn.XLOOKUP(B1472,STUDENTS!$B$3:$B$1048576,STUDENTS!$C$3:$C$1048576)),"Enter a registered reg. no")</f>
        <v/>
      </c>
      <c r="E1472">
        <f>IFERROR(IF(C1472="","",_xlfn.XLOOKUP(C1472,STUDENTS!C1471:C101468,STUDENTS!F1471:F101468)),"update STUDENT sheet")</f>
        <v/>
      </c>
      <c r="F1472">
        <f>IFERROR(IF(D1472="","",_xlfn.XLOOKUP(D1472,STUDENTS!D1471:D101468,STUDENTS!G1471:G101468)),"update STUDENT sheet")</f>
        <v/>
      </c>
      <c r="G1472">
        <f>IFERROR(IF(E1472="","",_xlfn.XLOOKUP(E1472,STUDENTS!F1471:F101468,STUDENTS!H1471:H101468)),"update STUDENT sheet")</f>
        <v/>
      </c>
    </row>
    <row r="1473">
      <c r="B1473">
        <f>IF(STUDENTS!B1472="","",STUDENTS!B1472)</f>
        <v/>
      </c>
      <c r="C1473">
        <f>IFERROR(IF(B1473="","",_xlfn.XLOOKUP(B1473,STUDENTS!$B$3:$B$1048576,STUDENTS!$C$3:$C$1048576)),"Enter a registered reg. no")</f>
        <v/>
      </c>
      <c r="E1473">
        <f>IFERROR(IF(C1473="","",_xlfn.XLOOKUP(C1473,STUDENTS!C1472:C101469,STUDENTS!F1472:F101469)),"update STUDENT sheet")</f>
        <v/>
      </c>
      <c r="F1473">
        <f>IFERROR(IF(D1473="","",_xlfn.XLOOKUP(D1473,STUDENTS!D1472:D101469,STUDENTS!G1472:G101469)),"update STUDENT sheet")</f>
        <v/>
      </c>
      <c r="G1473">
        <f>IFERROR(IF(E1473="","",_xlfn.XLOOKUP(E1473,STUDENTS!F1472:F101469,STUDENTS!H1472:H101469)),"update STUDENT sheet")</f>
        <v/>
      </c>
    </row>
    <row r="1474">
      <c r="B1474">
        <f>IF(STUDENTS!B1473="","",STUDENTS!B1473)</f>
        <v/>
      </c>
      <c r="C1474">
        <f>IFERROR(IF(B1474="","",_xlfn.XLOOKUP(B1474,STUDENTS!$B$3:$B$1048576,STUDENTS!$C$3:$C$1048576)),"Enter a registered reg. no")</f>
        <v/>
      </c>
      <c r="E1474">
        <f>IFERROR(IF(C1474="","",_xlfn.XLOOKUP(C1474,STUDENTS!C1473:C101470,STUDENTS!F1473:F101470)),"update STUDENT sheet")</f>
        <v/>
      </c>
      <c r="F1474">
        <f>IFERROR(IF(D1474="","",_xlfn.XLOOKUP(D1474,STUDENTS!D1473:D101470,STUDENTS!G1473:G101470)),"update STUDENT sheet")</f>
        <v/>
      </c>
      <c r="G1474">
        <f>IFERROR(IF(E1474="","",_xlfn.XLOOKUP(E1474,STUDENTS!F1473:F101470,STUDENTS!H1473:H101470)),"update STUDENT sheet")</f>
        <v/>
      </c>
    </row>
    <row r="1475">
      <c r="B1475">
        <f>IF(STUDENTS!B1474="","",STUDENTS!B1474)</f>
        <v/>
      </c>
      <c r="C1475">
        <f>IFERROR(IF(B1475="","",_xlfn.XLOOKUP(B1475,STUDENTS!$B$3:$B$1048576,STUDENTS!$C$3:$C$1048576)),"Enter a registered reg. no")</f>
        <v/>
      </c>
      <c r="E1475">
        <f>IFERROR(IF(C1475="","",_xlfn.XLOOKUP(C1475,STUDENTS!C1474:C101471,STUDENTS!F1474:F101471)),"update STUDENT sheet")</f>
        <v/>
      </c>
      <c r="F1475">
        <f>IFERROR(IF(D1475="","",_xlfn.XLOOKUP(D1475,STUDENTS!D1474:D101471,STUDENTS!G1474:G101471)),"update STUDENT sheet")</f>
        <v/>
      </c>
      <c r="G1475">
        <f>IFERROR(IF(E1475="","",_xlfn.XLOOKUP(E1475,STUDENTS!F1474:F101471,STUDENTS!H1474:H101471)),"update STUDENT sheet")</f>
        <v/>
      </c>
    </row>
    <row r="1476">
      <c r="B1476">
        <f>IF(STUDENTS!B1475="","",STUDENTS!B1475)</f>
        <v/>
      </c>
      <c r="C1476">
        <f>IFERROR(IF(B1476="","",_xlfn.XLOOKUP(B1476,STUDENTS!$B$3:$B$1048576,STUDENTS!$C$3:$C$1048576)),"Enter a registered reg. no")</f>
        <v/>
      </c>
      <c r="E1476">
        <f>IFERROR(IF(C1476="","",_xlfn.XLOOKUP(C1476,STUDENTS!C1475:C101472,STUDENTS!F1475:F101472)),"update STUDENT sheet")</f>
        <v/>
      </c>
      <c r="F1476">
        <f>IFERROR(IF(D1476="","",_xlfn.XLOOKUP(D1476,STUDENTS!D1475:D101472,STUDENTS!G1475:G101472)),"update STUDENT sheet")</f>
        <v/>
      </c>
      <c r="G1476">
        <f>IFERROR(IF(E1476="","",_xlfn.XLOOKUP(E1476,STUDENTS!F1475:F101472,STUDENTS!H1475:H101472)),"update STUDENT sheet")</f>
        <v/>
      </c>
    </row>
    <row r="1477">
      <c r="B1477">
        <f>IF(STUDENTS!B1476="","",STUDENTS!B1476)</f>
        <v/>
      </c>
      <c r="C1477">
        <f>IFERROR(IF(B1477="","",_xlfn.XLOOKUP(B1477,STUDENTS!$B$3:$B$1048576,STUDENTS!$C$3:$C$1048576)),"Enter a registered reg. no")</f>
        <v/>
      </c>
      <c r="E1477">
        <f>IFERROR(IF(C1477="","",_xlfn.XLOOKUP(C1477,STUDENTS!C1476:C101473,STUDENTS!F1476:F101473)),"update STUDENT sheet")</f>
        <v/>
      </c>
      <c r="F1477">
        <f>IFERROR(IF(D1477="","",_xlfn.XLOOKUP(D1477,STUDENTS!D1476:D101473,STUDENTS!G1476:G101473)),"update STUDENT sheet")</f>
        <v/>
      </c>
      <c r="G1477">
        <f>IFERROR(IF(E1477="","",_xlfn.XLOOKUP(E1477,STUDENTS!F1476:F101473,STUDENTS!H1476:H101473)),"update STUDENT sheet")</f>
        <v/>
      </c>
    </row>
    <row r="1478">
      <c r="B1478">
        <f>IF(STUDENTS!B1477="","",STUDENTS!B1477)</f>
        <v/>
      </c>
      <c r="C1478">
        <f>IFERROR(IF(B1478="","",_xlfn.XLOOKUP(B1478,STUDENTS!$B$3:$B$1048576,STUDENTS!$C$3:$C$1048576)),"Enter a registered reg. no")</f>
        <v/>
      </c>
      <c r="E1478">
        <f>IFERROR(IF(C1478="","",_xlfn.XLOOKUP(C1478,STUDENTS!C1477:C101474,STUDENTS!F1477:F101474)),"update STUDENT sheet")</f>
        <v/>
      </c>
      <c r="F1478">
        <f>IFERROR(IF(D1478="","",_xlfn.XLOOKUP(D1478,STUDENTS!D1477:D101474,STUDENTS!G1477:G101474)),"update STUDENT sheet")</f>
        <v/>
      </c>
      <c r="G1478">
        <f>IFERROR(IF(E1478="","",_xlfn.XLOOKUP(E1478,STUDENTS!F1477:F101474,STUDENTS!H1477:H101474)),"update STUDENT sheet")</f>
        <v/>
      </c>
    </row>
    <row r="1479">
      <c r="B1479">
        <f>IF(STUDENTS!B1478="","",STUDENTS!B1478)</f>
        <v/>
      </c>
      <c r="C1479">
        <f>IFERROR(IF(B1479="","",_xlfn.XLOOKUP(B1479,STUDENTS!$B$3:$B$1048576,STUDENTS!$C$3:$C$1048576)),"Enter a registered reg. no")</f>
        <v/>
      </c>
      <c r="E1479">
        <f>IFERROR(IF(C1479="","",_xlfn.XLOOKUP(C1479,STUDENTS!C1478:C101475,STUDENTS!F1478:F101475)),"update STUDENT sheet")</f>
        <v/>
      </c>
      <c r="F1479">
        <f>IFERROR(IF(D1479="","",_xlfn.XLOOKUP(D1479,STUDENTS!D1478:D101475,STUDENTS!G1478:G101475)),"update STUDENT sheet")</f>
        <v/>
      </c>
      <c r="G1479">
        <f>IFERROR(IF(E1479="","",_xlfn.XLOOKUP(E1479,STUDENTS!F1478:F101475,STUDENTS!H1478:H101475)),"update STUDENT sheet")</f>
        <v/>
      </c>
    </row>
    <row r="1480">
      <c r="B1480">
        <f>IF(STUDENTS!B1479="","",STUDENTS!B1479)</f>
        <v/>
      </c>
      <c r="C1480">
        <f>IFERROR(IF(B1480="","",_xlfn.XLOOKUP(B1480,STUDENTS!$B$3:$B$1048576,STUDENTS!$C$3:$C$1048576)),"Enter a registered reg. no")</f>
        <v/>
      </c>
      <c r="E1480">
        <f>IFERROR(IF(C1480="","",_xlfn.XLOOKUP(C1480,STUDENTS!C1479:C101476,STUDENTS!F1479:F101476)),"update STUDENT sheet")</f>
        <v/>
      </c>
      <c r="F1480">
        <f>IFERROR(IF(D1480="","",_xlfn.XLOOKUP(D1480,STUDENTS!D1479:D101476,STUDENTS!G1479:G101476)),"update STUDENT sheet")</f>
        <v/>
      </c>
      <c r="G1480">
        <f>IFERROR(IF(E1480="","",_xlfn.XLOOKUP(E1480,STUDENTS!F1479:F101476,STUDENTS!H1479:H101476)),"update STUDENT sheet")</f>
        <v/>
      </c>
    </row>
    <row r="1481">
      <c r="B1481">
        <f>IF(STUDENTS!B1480="","",STUDENTS!B1480)</f>
        <v/>
      </c>
      <c r="C1481">
        <f>IFERROR(IF(B1481="","",_xlfn.XLOOKUP(B1481,STUDENTS!$B$3:$B$1048576,STUDENTS!$C$3:$C$1048576)),"Enter a registered reg. no")</f>
        <v/>
      </c>
      <c r="E1481">
        <f>IFERROR(IF(C1481="","",_xlfn.XLOOKUP(C1481,STUDENTS!C1480:C101477,STUDENTS!F1480:F101477)),"update STUDENT sheet")</f>
        <v/>
      </c>
      <c r="F1481">
        <f>IFERROR(IF(D1481="","",_xlfn.XLOOKUP(D1481,STUDENTS!D1480:D101477,STUDENTS!G1480:G101477)),"update STUDENT sheet")</f>
        <v/>
      </c>
      <c r="G1481">
        <f>IFERROR(IF(E1481="","",_xlfn.XLOOKUP(E1481,STUDENTS!F1480:F101477,STUDENTS!H1480:H101477)),"update STUDENT sheet")</f>
        <v/>
      </c>
    </row>
    <row r="1482">
      <c r="B1482">
        <f>IF(STUDENTS!B1481="","",STUDENTS!B1481)</f>
        <v/>
      </c>
      <c r="C1482">
        <f>IFERROR(IF(B1482="","",_xlfn.XLOOKUP(B1482,STUDENTS!$B$3:$B$1048576,STUDENTS!$C$3:$C$1048576)),"Enter a registered reg. no")</f>
        <v/>
      </c>
      <c r="E1482">
        <f>IFERROR(IF(C1482="","",_xlfn.XLOOKUP(C1482,STUDENTS!C1481:C101478,STUDENTS!F1481:F101478)),"update STUDENT sheet")</f>
        <v/>
      </c>
      <c r="F1482">
        <f>IFERROR(IF(D1482="","",_xlfn.XLOOKUP(D1482,STUDENTS!D1481:D101478,STUDENTS!G1481:G101478)),"update STUDENT sheet")</f>
        <v/>
      </c>
      <c r="G1482">
        <f>IFERROR(IF(E1482="","",_xlfn.XLOOKUP(E1482,STUDENTS!F1481:F101478,STUDENTS!H1481:H101478)),"update STUDENT sheet")</f>
        <v/>
      </c>
    </row>
    <row r="1483">
      <c r="B1483">
        <f>IF(STUDENTS!B1482="","",STUDENTS!B1482)</f>
        <v/>
      </c>
      <c r="C1483">
        <f>IFERROR(IF(B1483="","",_xlfn.XLOOKUP(B1483,STUDENTS!$B$3:$B$1048576,STUDENTS!$C$3:$C$1048576)),"Enter a registered reg. no")</f>
        <v/>
      </c>
      <c r="E1483">
        <f>IFERROR(IF(C1483="","",_xlfn.XLOOKUP(C1483,STUDENTS!C1482:C101479,STUDENTS!F1482:F101479)),"update STUDENT sheet")</f>
        <v/>
      </c>
      <c r="F1483">
        <f>IFERROR(IF(D1483="","",_xlfn.XLOOKUP(D1483,STUDENTS!D1482:D101479,STUDENTS!G1482:G101479)),"update STUDENT sheet")</f>
        <v/>
      </c>
      <c r="G1483">
        <f>IFERROR(IF(E1483="","",_xlfn.XLOOKUP(E1483,STUDENTS!F1482:F101479,STUDENTS!H1482:H101479)),"update STUDENT sheet")</f>
        <v/>
      </c>
    </row>
    <row r="1484">
      <c r="B1484">
        <f>IF(STUDENTS!B1483="","",STUDENTS!B1483)</f>
        <v/>
      </c>
      <c r="C1484">
        <f>IFERROR(IF(B1484="","",_xlfn.XLOOKUP(B1484,STUDENTS!$B$3:$B$1048576,STUDENTS!$C$3:$C$1048576)),"Enter a registered reg. no")</f>
        <v/>
      </c>
      <c r="E1484">
        <f>IFERROR(IF(C1484="","",_xlfn.XLOOKUP(C1484,STUDENTS!C1483:C101480,STUDENTS!F1483:F101480)),"update STUDENT sheet")</f>
        <v/>
      </c>
      <c r="F1484">
        <f>IFERROR(IF(D1484="","",_xlfn.XLOOKUP(D1484,STUDENTS!D1483:D101480,STUDENTS!G1483:G101480)),"update STUDENT sheet")</f>
        <v/>
      </c>
      <c r="G1484">
        <f>IFERROR(IF(E1484="","",_xlfn.XLOOKUP(E1484,STUDENTS!F1483:F101480,STUDENTS!H1483:H101480)),"update STUDENT sheet")</f>
        <v/>
      </c>
    </row>
    <row r="1485">
      <c r="B1485">
        <f>IF(STUDENTS!B1484="","",STUDENTS!B1484)</f>
        <v/>
      </c>
      <c r="C1485">
        <f>IFERROR(IF(B1485="","",_xlfn.XLOOKUP(B1485,STUDENTS!$B$3:$B$1048576,STUDENTS!$C$3:$C$1048576)),"Enter a registered reg. no")</f>
        <v/>
      </c>
      <c r="E1485">
        <f>IFERROR(IF(C1485="","",_xlfn.XLOOKUP(C1485,STUDENTS!C1484:C101481,STUDENTS!F1484:F101481)),"update STUDENT sheet")</f>
        <v/>
      </c>
      <c r="F1485">
        <f>IFERROR(IF(D1485="","",_xlfn.XLOOKUP(D1485,STUDENTS!D1484:D101481,STUDENTS!G1484:G101481)),"update STUDENT sheet")</f>
        <v/>
      </c>
      <c r="G1485">
        <f>IFERROR(IF(E1485="","",_xlfn.XLOOKUP(E1485,STUDENTS!F1484:F101481,STUDENTS!H1484:H101481)),"update STUDENT sheet")</f>
        <v/>
      </c>
    </row>
    <row r="1486">
      <c r="B1486">
        <f>IF(STUDENTS!B1485="","",STUDENTS!B1485)</f>
        <v/>
      </c>
      <c r="C1486">
        <f>IFERROR(IF(B1486="","",_xlfn.XLOOKUP(B1486,STUDENTS!$B$3:$B$1048576,STUDENTS!$C$3:$C$1048576)),"Enter a registered reg. no")</f>
        <v/>
      </c>
      <c r="E1486">
        <f>IFERROR(IF(C1486="","",_xlfn.XLOOKUP(C1486,STUDENTS!C1485:C101482,STUDENTS!F1485:F101482)),"update STUDENT sheet")</f>
        <v/>
      </c>
      <c r="F1486">
        <f>IFERROR(IF(D1486="","",_xlfn.XLOOKUP(D1486,STUDENTS!D1485:D101482,STUDENTS!G1485:G101482)),"update STUDENT sheet")</f>
        <v/>
      </c>
      <c r="G1486">
        <f>IFERROR(IF(E1486="","",_xlfn.XLOOKUP(E1486,STUDENTS!F1485:F101482,STUDENTS!H1485:H101482)),"update STUDENT sheet")</f>
        <v/>
      </c>
    </row>
    <row r="1487">
      <c r="B1487">
        <f>IF(STUDENTS!B1486="","",STUDENTS!B1486)</f>
        <v/>
      </c>
      <c r="C1487">
        <f>IFERROR(IF(B1487="","",_xlfn.XLOOKUP(B1487,STUDENTS!$B$3:$B$1048576,STUDENTS!$C$3:$C$1048576)),"Enter a registered reg. no")</f>
        <v/>
      </c>
      <c r="E1487">
        <f>IFERROR(IF(C1487="","",_xlfn.XLOOKUP(C1487,STUDENTS!C1486:C101483,STUDENTS!F1486:F101483)),"update STUDENT sheet")</f>
        <v/>
      </c>
      <c r="F1487">
        <f>IFERROR(IF(D1487="","",_xlfn.XLOOKUP(D1487,STUDENTS!D1486:D101483,STUDENTS!G1486:G101483)),"update STUDENT sheet")</f>
        <v/>
      </c>
      <c r="G1487">
        <f>IFERROR(IF(E1487="","",_xlfn.XLOOKUP(E1487,STUDENTS!F1486:F101483,STUDENTS!H1486:H101483)),"update STUDENT sheet")</f>
        <v/>
      </c>
    </row>
    <row r="1488">
      <c r="B1488">
        <f>IF(STUDENTS!B1487="","",STUDENTS!B1487)</f>
        <v/>
      </c>
      <c r="C1488">
        <f>IFERROR(IF(B1488="","",_xlfn.XLOOKUP(B1488,STUDENTS!$B$3:$B$1048576,STUDENTS!$C$3:$C$1048576)),"Enter a registered reg. no")</f>
        <v/>
      </c>
      <c r="E1488">
        <f>IFERROR(IF(C1488="","",_xlfn.XLOOKUP(C1488,STUDENTS!C1487:C101484,STUDENTS!F1487:F101484)),"update STUDENT sheet")</f>
        <v/>
      </c>
      <c r="F1488">
        <f>IFERROR(IF(D1488="","",_xlfn.XLOOKUP(D1488,STUDENTS!D1487:D101484,STUDENTS!G1487:G101484)),"update STUDENT sheet")</f>
        <v/>
      </c>
      <c r="G1488">
        <f>IFERROR(IF(E1488="","",_xlfn.XLOOKUP(E1488,STUDENTS!F1487:F101484,STUDENTS!H1487:H101484)),"update STUDENT sheet")</f>
        <v/>
      </c>
    </row>
    <row r="1489">
      <c r="B1489">
        <f>IF(STUDENTS!B1488="","",STUDENTS!B1488)</f>
        <v/>
      </c>
      <c r="C1489">
        <f>IFERROR(IF(B1489="","",_xlfn.XLOOKUP(B1489,STUDENTS!$B$3:$B$1048576,STUDENTS!$C$3:$C$1048576)),"Enter a registered reg. no")</f>
        <v/>
      </c>
      <c r="E1489">
        <f>IFERROR(IF(C1489="","",_xlfn.XLOOKUP(C1489,STUDENTS!C1488:C101485,STUDENTS!F1488:F101485)),"update STUDENT sheet")</f>
        <v/>
      </c>
      <c r="F1489">
        <f>IFERROR(IF(D1489="","",_xlfn.XLOOKUP(D1489,STUDENTS!D1488:D101485,STUDENTS!G1488:G101485)),"update STUDENT sheet")</f>
        <v/>
      </c>
      <c r="G1489">
        <f>IFERROR(IF(E1489="","",_xlfn.XLOOKUP(E1489,STUDENTS!F1488:F101485,STUDENTS!H1488:H101485)),"update STUDENT sheet")</f>
        <v/>
      </c>
    </row>
    <row r="1490">
      <c r="B1490">
        <f>IF(STUDENTS!B1489="","",STUDENTS!B1489)</f>
        <v/>
      </c>
      <c r="C1490">
        <f>IFERROR(IF(B1490="","",_xlfn.XLOOKUP(B1490,STUDENTS!$B$3:$B$1048576,STUDENTS!$C$3:$C$1048576)),"Enter a registered reg. no")</f>
        <v/>
      </c>
      <c r="E1490">
        <f>IFERROR(IF(C1490="","",_xlfn.XLOOKUP(C1490,STUDENTS!C1489:C101486,STUDENTS!F1489:F101486)),"update STUDENT sheet")</f>
        <v/>
      </c>
      <c r="F1490">
        <f>IFERROR(IF(D1490="","",_xlfn.XLOOKUP(D1490,STUDENTS!D1489:D101486,STUDENTS!G1489:G101486)),"update STUDENT sheet")</f>
        <v/>
      </c>
      <c r="G1490">
        <f>IFERROR(IF(E1490="","",_xlfn.XLOOKUP(E1490,STUDENTS!F1489:F101486,STUDENTS!H1489:H101486)),"update STUDENT sheet")</f>
        <v/>
      </c>
    </row>
    <row r="1491">
      <c r="B1491">
        <f>IF(STUDENTS!B1490="","",STUDENTS!B1490)</f>
        <v/>
      </c>
      <c r="C1491">
        <f>IFERROR(IF(B1491="","",_xlfn.XLOOKUP(B1491,STUDENTS!$B$3:$B$1048576,STUDENTS!$C$3:$C$1048576)),"Enter a registered reg. no")</f>
        <v/>
      </c>
      <c r="E1491">
        <f>IFERROR(IF(C1491="","",_xlfn.XLOOKUP(C1491,STUDENTS!C1490:C101487,STUDENTS!F1490:F101487)),"update STUDENT sheet")</f>
        <v/>
      </c>
      <c r="F1491">
        <f>IFERROR(IF(D1491="","",_xlfn.XLOOKUP(D1491,STUDENTS!D1490:D101487,STUDENTS!G1490:G101487)),"update STUDENT sheet")</f>
        <v/>
      </c>
      <c r="G1491">
        <f>IFERROR(IF(E1491="","",_xlfn.XLOOKUP(E1491,STUDENTS!F1490:F101487,STUDENTS!H1490:H101487)),"update STUDENT sheet")</f>
        <v/>
      </c>
    </row>
    <row r="1492">
      <c r="B1492">
        <f>IF(STUDENTS!B1491="","",STUDENTS!B1491)</f>
        <v/>
      </c>
      <c r="C1492">
        <f>IFERROR(IF(B1492="","",_xlfn.XLOOKUP(B1492,STUDENTS!$B$3:$B$1048576,STUDENTS!$C$3:$C$1048576)),"Enter a registered reg. no")</f>
        <v/>
      </c>
      <c r="E1492">
        <f>IFERROR(IF(C1492="","",_xlfn.XLOOKUP(C1492,STUDENTS!C1491:C101488,STUDENTS!F1491:F101488)),"update STUDENT sheet")</f>
        <v/>
      </c>
      <c r="F1492">
        <f>IFERROR(IF(D1492="","",_xlfn.XLOOKUP(D1492,STUDENTS!D1491:D101488,STUDENTS!G1491:G101488)),"update STUDENT sheet")</f>
        <v/>
      </c>
      <c r="G1492">
        <f>IFERROR(IF(E1492="","",_xlfn.XLOOKUP(E1492,STUDENTS!F1491:F101488,STUDENTS!H1491:H101488)),"update STUDENT sheet")</f>
        <v/>
      </c>
    </row>
    <row r="1493">
      <c r="B1493">
        <f>IF(STUDENTS!B1492="","",STUDENTS!B1492)</f>
        <v/>
      </c>
      <c r="C1493">
        <f>IFERROR(IF(B1493="","",_xlfn.XLOOKUP(B1493,STUDENTS!$B$3:$B$1048576,STUDENTS!$C$3:$C$1048576)),"Enter a registered reg. no")</f>
        <v/>
      </c>
      <c r="E1493">
        <f>IFERROR(IF(C1493="","",_xlfn.XLOOKUP(C1493,STUDENTS!C1492:C101489,STUDENTS!F1492:F101489)),"update STUDENT sheet")</f>
        <v/>
      </c>
      <c r="F1493">
        <f>IFERROR(IF(D1493="","",_xlfn.XLOOKUP(D1493,STUDENTS!D1492:D101489,STUDENTS!G1492:G101489)),"update STUDENT sheet")</f>
        <v/>
      </c>
      <c r="G1493">
        <f>IFERROR(IF(E1493="","",_xlfn.XLOOKUP(E1493,STUDENTS!F1492:F101489,STUDENTS!H1492:H101489)),"update STUDENT sheet")</f>
        <v/>
      </c>
    </row>
    <row r="1494">
      <c r="B1494">
        <f>IF(STUDENTS!B1493="","",STUDENTS!B1493)</f>
        <v/>
      </c>
      <c r="C1494">
        <f>IFERROR(IF(B1494="","",_xlfn.XLOOKUP(B1494,STUDENTS!$B$3:$B$1048576,STUDENTS!$C$3:$C$1048576)),"Enter a registered reg. no")</f>
        <v/>
      </c>
      <c r="E1494">
        <f>IFERROR(IF(C1494="","",_xlfn.XLOOKUP(C1494,STUDENTS!C1493:C101490,STUDENTS!F1493:F101490)),"update STUDENT sheet")</f>
        <v/>
      </c>
      <c r="F1494">
        <f>IFERROR(IF(D1494="","",_xlfn.XLOOKUP(D1494,STUDENTS!D1493:D101490,STUDENTS!G1493:G101490)),"update STUDENT sheet")</f>
        <v/>
      </c>
      <c r="G1494">
        <f>IFERROR(IF(E1494="","",_xlfn.XLOOKUP(E1494,STUDENTS!F1493:F101490,STUDENTS!H1493:H101490)),"update STUDENT sheet")</f>
        <v/>
      </c>
    </row>
    <row r="1495">
      <c r="B1495">
        <f>IF(STUDENTS!B1494="","",STUDENTS!B1494)</f>
        <v/>
      </c>
      <c r="C1495">
        <f>IFERROR(IF(B1495="","",_xlfn.XLOOKUP(B1495,STUDENTS!$B$3:$B$1048576,STUDENTS!$C$3:$C$1048576)),"Enter a registered reg. no")</f>
        <v/>
      </c>
      <c r="E1495">
        <f>IFERROR(IF(C1495="","",_xlfn.XLOOKUP(C1495,STUDENTS!C1494:C101491,STUDENTS!F1494:F101491)),"update STUDENT sheet")</f>
        <v/>
      </c>
      <c r="F1495">
        <f>IFERROR(IF(D1495="","",_xlfn.XLOOKUP(D1495,STUDENTS!D1494:D101491,STUDENTS!G1494:G101491)),"update STUDENT sheet")</f>
        <v/>
      </c>
      <c r="G1495">
        <f>IFERROR(IF(E1495="","",_xlfn.XLOOKUP(E1495,STUDENTS!F1494:F101491,STUDENTS!H1494:H101491)),"update STUDENT sheet")</f>
        <v/>
      </c>
    </row>
    <row r="1496">
      <c r="B1496">
        <f>IF(STUDENTS!B1495="","",STUDENTS!B1495)</f>
        <v/>
      </c>
      <c r="C1496">
        <f>IFERROR(IF(B1496="","",_xlfn.XLOOKUP(B1496,STUDENTS!$B$3:$B$1048576,STUDENTS!$C$3:$C$1048576)),"Enter a registered reg. no")</f>
        <v/>
      </c>
      <c r="E1496">
        <f>IFERROR(IF(C1496="","",_xlfn.XLOOKUP(C1496,STUDENTS!C1495:C101492,STUDENTS!F1495:F101492)),"update STUDENT sheet")</f>
        <v/>
      </c>
      <c r="F1496">
        <f>IFERROR(IF(D1496="","",_xlfn.XLOOKUP(D1496,STUDENTS!D1495:D101492,STUDENTS!G1495:G101492)),"update STUDENT sheet")</f>
        <v/>
      </c>
      <c r="G1496">
        <f>IFERROR(IF(E1496="","",_xlfn.XLOOKUP(E1496,STUDENTS!F1495:F101492,STUDENTS!H1495:H101492)),"update STUDENT sheet")</f>
        <v/>
      </c>
    </row>
    <row r="1497">
      <c r="B1497">
        <f>IF(STUDENTS!B1496="","",STUDENTS!B1496)</f>
        <v/>
      </c>
      <c r="C1497">
        <f>IFERROR(IF(B1497="","",_xlfn.XLOOKUP(B1497,STUDENTS!$B$3:$B$1048576,STUDENTS!$C$3:$C$1048576)),"Enter a registered reg. no")</f>
        <v/>
      </c>
      <c r="E1497">
        <f>IFERROR(IF(C1497="","",_xlfn.XLOOKUP(C1497,STUDENTS!C1496:C101493,STUDENTS!F1496:F101493)),"update STUDENT sheet")</f>
        <v/>
      </c>
      <c r="F1497">
        <f>IFERROR(IF(D1497="","",_xlfn.XLOOKUP(D1497,STUDENTS!D1496:D101493,STUDENTS!G1496:G101493)),"update STUDENT sheet")</f>
        <v/>
      </c>
      <c r="G1497">
        <f>IFERROR(IF(E1497="","",_xlfn.XLOOKUP(E1497,STUDENTS!F1496:F101493,STUDENTS!H1496:H101493)),"update STUDENT sheet")</f>
        <v/>
      </c>
    </row>
    <row r="1498">
      <c r="B1498">
        <f>IF(STUDENTS!B1497="","",STUDENTS!B1497)</f>
        <v/>
      </c>
      <c r="C1498">
        <f>IFERROR(IF(B1498="","",_xlfn.XLOOKUP(B1498,STUDENTS!$B$3:$B$1048576,STUDENTS!$C$3:$C$1048576)),"Enter a registered reg. no")</f>
        <v/>
      </c>
      <c r="E1498">
        <f>IFERROR(IF(C1498="","",_xlfn.XLOOKUP(C1498,STUDENTS!C1497:C101494,STUDENTS!F1497:F101494)),"update STUDENT sheet")</f>
        <v/>
      </c>
      <c r="F1498">
        <f>IFERROR(IF(D1498="","",_xlfn.XLOOKUP(D1498,STUDENTS!D1497:D101494,STUDENTS!G1497:G101494)),"update STUDENT sheet")</f>
        <v/>
      </c>
      <c r="G1498">
        <f>IFERROR(IF(E1498="","",_xlfn.XLOOKUP(E1498,STUDENTS!F1497:F101494,STUDENTS!H1497:H101494)),"update STUDENT sheet")</f>
        <v/>
      </c>
    </row>
    <row r="1499">
      <c r="B1499">
        <f>IF(STUDENTS!B1498="","",STUDENTS!B1498)</f>
        <v/>
      </c>
      <c r="C1499">
        <f>IFERROR(IF(B1499="","",_xlfn.XLOOKUP(B1499,STUDENTS!$B$3:$B$1048576,STUDENTS!$C$3:$C$1048576)),"Enter a registered reg. no")</f>
        <v/>
      </c>
      <c r="E1499">
        <f>IFERROR(IF(C1499="","",_xlfn.XLOOKUP(C1499,STUDENTS!C1498:C101495,STUDENTS!F1498:F101495)),"update STUDENT sheet")</f>
        <v/>
      </c>
      <c r="F1499">
        <f>IFERROR(IF(D1499="","",_xlfn.XLOOKUP(D1499,STUDENTS!D1498:D101495,STUDENTS!G1498:G101495)),"update STUDENT sheet")</f>
        <v/>
      </c>
      <c r="G1499">
        <f>IFERROR(IF(E1499="","",_xlfn.XLOOKUP(E1499,STUDENTS!F1498:F101495,STUDENTS!H1498:H101495)),"update STUDENT sheet")</f>
        <v/>
      </c>
    </row>
    <row r="1500">
      <c r="B1500">
        <f>IF(STUDENTS!B1499="","",STUDENTS!B1499)</f>
        <v/>
      </c>
      <c r="C1500">
        <f>IFERROR(IF(B1500="","",_xlfn.XLOOKUP(B1500,STUDENTS!$B$3:$B$1048576,STUDENTS!$C$3:$C$1048576)),"Enter a registered reg. no")</f>
        <v/>
      </c>
      <c r="E1500">
        <f>IFERROR(IF(C1500="","",_xlfn.XLOOKUP(C1500,STUDENTS!C1499:C101496,STUDENTS!F1499:F101496)),"update STUDENT sheet")</f>
        <v/>
      </c>
      <c r="F1500">
        <f>IFERROR(IF(D1500="","",_xlfn.XLOOKUP(D1500,STUDENTS!D1499:D101496,STUDENTS!G1499:G101496)),"update STUDENT sheet")</f>
        <v/>
      </c>
      <c r="G1500">
        <f>IFERROR(IF(E1500="","",_xlfn.XLOOKUP(E1500,STUDENTS!F1499:F101496,STUDENTS!H1499:H101496)),"update STUDENT sheet")</f>
        <v/>
      </c>
    </row>
    <row r="1501">
      <c r="B1501">
        <f>IF(STUDENTS!B1500="","",STUDENTS!B1500)</f>
        <v/>
      </c>
      <c r="C1501">
        <f>IFERROR(IF(B1501="","",_xlfn.XLOOKUP(B1501,STUDENTS!$B$3:$B$1048576,STUDENTS!$C$3:$C$1048576)),"Enter a registered reg. no")</f>
        <v/>
      </c>
      <c r="E1501">
        <f>IFERROR(IF(C1501="","",_xlfn.XLOOKUP(C1501,STUDENTS!C1500:C101497,STUDENTS!F1500:F101497)),"update STUDENT sheet")</f>
        <v/>
      </c>
      <c r="F1501">
        <f>IFERROR(IF(D1501="","",_xlfn.XLOOKUP(D1501,STUDENTS!D1500:D101497,STUDENTS!G1500:G101497)),"update STUDENT sheet")</f>
        <v/>
      </c>
      <c r="G1501">
        <f>IFERROR(IF(E1501="","",_xlfn.XLOOKUP(E1501,STUDENTS!F1500:F101497,STUDENTS!H1500:H101497)),"update STUDENT sheet")</f>
        <v/>
      </c>
    </row>
    <row r="1502">
      <c r="B1502">
        <f>IF(STUDENTS!B1501="","",STUDENTS!B1501)</f>
        <v/>
      </c>
      <c r="C1502">
        <f>IFERROR(IF(B1502="","",_xlfn.XLOOKUP(B1502,STUDENTS!$B$3:$B$1048576,STUDENTS!$C$3:$C$1048576)),"Enter a registered reg. no")</f>
        <v/>
      </c>
      <c r="E1502">
        <f>IFERROR(IF(C1502="","",_xlfn.XLOOKUP(C1502,STUDENTS!C1501:C101498,STUDENTS!F1501:F101498)),"update STUDENT sheet")</f>
        <v/>
      </c>
      <c r="F1502">
        <f>IFERROR(IF(D1502="","",_xlfn.XLOOKUP(D1502,STUDENTS!D1501:D101498,STUDENTS!G1501:G101498)),"update STUDENT sheet")</f>
        <v/>
      </c>
      <c r="G1502">
        <f>IFERROR(IF(E1502="","",_xlfn.XLOOKUP(E1502,STUDENTS!F1501:F101498,STUDENTS!H1501:H101498)),"update STUDENT sheet")</f>
        <v/>
      </c>
    </row>
    <row r="1503">
      <c r="B1503">
        <f>IF(STUDENTS!B1502="","",STUDENTS!B1502)</f>
        <v/>
      </c>
      <c r="C1503">
        <f>IFERROR(IF(B1503="","",_xlfn.XLOOKUP(B1503,STUDENTS!$B$3:$B$1048576,STUDENTS!$C$3:$C$1048576)),"Enter a registered reg. no")</f>
        <v/>
      </c>
      <c r="E1503">
        <f>IFERROR(IF(C1503="","",_xlfn.XLOOKUP(C1503,STUDENTS!C1502:C101499,STUDENTS!F1502:F101499)),"update STUDENT sheet")</f>
        <v/>
      </c>
      <c r="F1503">
        <f>IFERROR(IF(D1503="","",_xlfn.XLOOKUP(D1503,STUDENTS!D1502:D101499,STUDENTS!G1502:G101499)),"update STUDENT sheet")</f>
        <v/>
      </c>
      <c r="G1503">
        <f>IFERROR(IF(E1503="","",_xlfn.XLOOKUP(E1503,STUDENTS!F1502:F101499,STUDENTS!H1502:H101499)),"update STUDENT sheet")</f>
        <v/>
      </c>
    </row>
    <row r="1504">
      <c r="B1504">
        <f>IF(STUDENTS!B1503="","",STUDENTS!B1503)</f>
        <v/>
      </c>
      <c r="C1504">
        <f>IFERROR(IF(B1504="","",_xlfn.XLOOKUP(B1504,STUDENTS!$B$3:$B$1048576,STUDENTS!$C$3:$C$1048576)),"Enter a registered reg. no")</f>
        <v/>
      </c>
      <c r="E1504">
        <f>IFERROR(IF(C1504="","",_xlfn.XLOOKUP(C1504,STUDENTS!C1503:C101500,STUDENTS!F1503:F101500)),"update STUDENT sheet")</f>
        <v/>
      </c>
      <c r="F1504">
        <f>IFERROR(IF(D1504="","",_xlfn.XLOOKUP(D1504,STUDENTS!D1503:D101500,STUDENTS!G1503:G101500)),"update STUDENT sheet")</f>
        <v/>
      </c>
      <c r="G1504">
        <f>IFERROR(IF(E1504="","",_xlfn.XLOOKUP(E1504,STUDENTS!F1503:F101500,STUDENTS!H1503:H101500)),"update STUDENT sheet")</f>
        <v/>
      </c>
    </row>
    <row r="1505">
      <c r="B1505">
        <f>IF(STUDENTS!B1504="","",STUDENTS!B1504)</f>
        <v/>
      </c>
      <c r="C1505">
        <f>IFERROR(IF(B1505="","",_xlfn.XLOOKUP(B1505,STUDENTS!$B$3:$B$1048576,STUDENTS!$C$3:$C$1048576)),"Enter a registered reg. no")</f>
        <v/>
      </c>
      <c r="E1505">
        <f>IFERROR(IF(C1505="","",_xlfn.XLOOKUP(C1505,STUDENTS!C1504:C101501,STUDENTS!F1504:F101501)),"update STUDENT sheet")</f>
        <v/>
      </c>
      <c r="F1505">
        <f>IFERROR(IF(D1505="","",_xlfn.XLOOKUP(D1505,STUDENTS!D1504:D101501,STUDENTS!G1504:G101501)),"update STUDENT sheet")</f>
        <v/>
      </c>
      <c r="G1505">
        <f>IFERROR(IF(E1505="","",_xlfn.XLOOKUP(E1505,STUDENTS!F1504:F101501,STUDENTS!H1504:H101501)),"update STUDENT sheet")</f>
        <v/>
      </c>
    </row>
    <row r="1506">
      <c r="B1506">
        <f>IF(STUDENTS!B1505="","",STUDENTS!B1505)</f>
        <v/>
      </c>
      <c r="C1506">
        <f>IFERROR(IF(B1506="","",_xlfn.XLOOKUP(B1506,STUDENTS!$B$3:$B$1048576,STUDENTS!$C$3:$C$1048576)),"Enter a registered reg. no")</f>
        <v/>
      </c>
      <c r="E1506">
        <f>IFERROR(IF(C1506="","",_xlfn.XLOOKUP(C1506,STUDENTS!C1505:C101502,STUDENTS!F1505:F101502)),"update STUDENT sheet")</f>
        <v/>
      </c>
      <c r="F1506">
        <f>IFERROR(IF(D1506="","",_xlfn.XLOOKUP(D1506,STUDENTS!D1505:D101502,STUDENTS!G1505:G101502)),"update STUDENT sheet")</f>
        <v/>
      </c>
      <c r="G1506">
        <f>IFERROR(IF(E1506="","",_xlfn.XLOOKUP(E1506,STUDENTS!F1505:F101502,STUDENTS!H1505:H101502)),"update STUDENT sheet")</f>
        <v/>
      </c>
    </row>
    <row r="1507">
      <c r="B1507">
        <f>IF(STUDENTS!B1506="","",STUDENTS!B1506)</f>
        <v/>
      </c>
      <c r="C1507">
        <f>IFERROR(IF(B1507="","",_xlfn.XLOOKUP(B1507,STUDENTS!$B$3:$B$1048576,STUDENTS!$C$3:$C$1048576)),"Enter a registered reg. no")</f>
        <v/>
      </c>
      <c r="E1507">
        <f>IFERROR(IF(C1507="","",_xlfn.XLOOKUP(C1507,STUDENTS!C1506:C101503,STUDENTS!F1506:F101503)),"update STUDENT sheet")</f>
        <v/>
      </c>
      <c r="F1507">
        <f>IFERROR(IF(D1507="","",_xlfn.XLOOKUP(D1507,STUDENTS!D1506:D101503,STUDENTS!G1506:G101503)),"update STUDENT sheet")</f>
        <v/>
      </c>
      <c r="G1507">
        <f>IFERROR(IF(E1507="","",_xlfn.XLOOKUP(E1507,STUDENTS!F1506:F101503,STUDENTS!H1506:H101503)),"update STUDENT sheet")</f>
        <v/>
      </c>
    </row>
    <row r="1508">
      <c r="B1508">
        <f>IF(STUDENTS!B1507="","",STUDENTS!B1507)</f>
        <v/>
      </c>
      <c r="C1508">
        <f>IFERROR(IF(B1508="","",_xlfn.XLOOKUP(B1508,STUDENTS!$B$3:$B$1048576,STUDENTS!$C$3:$C$1048576)),"Enter a registered reg. no")</f>
        <v/>
      </c>
      <c r="E1508">
        <f>IFERROR(IF(C1508="","",_xlfn.XLOOKUP(C1508,STUDENTS!C1507:C101504,STUDENTS!F1507:F101504)),"update STUDENT sheet")</f>
        <v/>
      </c>
      <c r="F1508">
        <f>IFERROR(IF(D1508="","",_xlfn.XLOOKUP(D1508,STUDENTS!D1507:D101504,STUDENTS!G1507:G101504)),"update STUDENT sheet")</f>
        <v/>
      </c>
      <c r="G1508">
        <f>IFERROR(IF(E1508="","",_xlfn.XLOOKUP(E1508,STUDENTS!F1507:F101504,STUDENTS!H1507:H101504)),"update STUDENT sheet")</f>
        <v/>
      </c>
    </row>
    <row r="1509">
      <c r="B1509">
        <f>IF(STUDENTS!B1508="","",STUDENTS!B1508)</f>
        <v/>
      </c>
      <c r="C1509">
        <f>IFERROR(IF(B1509="","",_xlfn.XLOOKUP(B1509,STUDENTS!$B$3:$B$1048576,STUDENTS!$C$3:$C$1048576)),"Enter a registered reg. no")</f>
        <v/>
      </c>
      <c r="E1509">
        <f>IFERROR(IF(C1509="","",_xlfn.XLOOKUP(C1509,STUDENTS!C1508:C101505,STUDENTS!F1508:F101505)),"update STUDENT sheet")</f>
        <v/>
      </c>
      <c r="F1509">
        <f>IFERROR(IF(D1509="","",_xlfn.XLOOKUP(D1509,STUDENTS!D1508:D101505,STUDENTS!G1508:G101505)),"update STUDENT sheet")</f>
        <v/>
      </c>
      <c r="G1509">
        <f>IFERROR(IF(E1509="","",_xlfn.XLOOKUP(E1509,STUDENTS!F1508:F101505,STUDENTS!H1508:H101505)),"update STUDENT sheet")</f>
        <v/>
      </c>
    </row>
    <row r="1510">
      <c r="B1510">
        <f>IF(STUDENTS!B1509="","",STUDENTS!B1509)</f>
        <v/>
      </c>
      <c r="C1510">
        <f>IFERROR(IF(B1510="","",_xlfn.XLOOKUP(B1510,STUDENTS!$B$3:$B$1048576,STUDENTS!$C$3:$C$1048576)),"Enter a registered reg. no")</f>
        <v/>
      </c>
      <c r="E1510">
        <f>IFERROR(IF(C1510="","",_xlfn.XLOOKUP(C1510,STUDENTS!C1509:C101506,STUDENTS!F1509:F101506)),"update STUDENT sheet")</f>
        <v/>
      </c>
      <c r="F1510">
        <f>IFERROR(IF(D1510="","",_xlfn.XLOOKUP(D1510,STUDENTS!D1509:D101506,STUDENTS!G1509:G101506)),"update STUDENT sheet")</f>
        <v/>
      </c>
      <c r="G1510">
        <f>IFERROR(IF(E1510="","",_xlfn.XLOOKUP(E1510,STUDENTS!F1509:F101506,STUDENTS!H1509:H101506)),"update STUDENT sheet")</f>
        <v/>
      </c>
    </row>
    <row r="1511">
      <c r="B1511">
        <f>IF(STUDENTS!B1510="","",STUDENTS!B1510)</f>
        <v/>
      </c>
      <c r="C1511">
        <f>IFERROR(IF(B1511="","",_xlfn.XLOOKUP(B1511,STUDENTS!$B$3:$B$1048576,STUDENTS!$C$3:$C$1048576)),"Enter a registered reg. no")</f>
        <v/>
      </c>
      <c r="E1511">
        <f>IFERROR(IF(C1511="","",_xlfn.XLOOKUP(C1511,STUDENTS!C1510:C101507,STUDENTS!F1510:F101507)),"update STUDENT sheet")</f>
        <v/>
      </c>
      <c r="F1511">
        <f>IFERROR(IF(D1511="","",_xlfn.XLOOKUP(D1511,STUDENTS!D1510:D101507,STUDENTS!G1510:G101507)),"update STUDENT sheet")</f>
        <v/>
      </c>
      <c r="G1511">
        <f>IFERROR(IF(E1511="","",_xlfn.XLOOKUP(E1511,STUDENTS!F1510:F101507,STUDENTS!H1510:H101507)),"update STUDENT sheet")</f>
        <v/>
      </c>
    </row>
    <row r="1512">
      <c r="B1512">
        <f>IF(STUDENTS!B1511="","",STUDENTS!B1511)</f>
        <v/>
      </c>
      <c r="C1512">
        <f>IFERROR(IF(B1512="","",_xlfn.XLOOKUP(B1512,STUDENTS!$B$3:$B$1048576,STUDENTS!$C$3:$C$1048576)),"Enter a registered reg. no")</f>
        <v/>
      </c>
      <c r="E1512">
        <f>IFERROR(IF(C1512="","",_xlfn.XLOOKUP(C1512,STUDENTS!C1511:C101508,STUDENTS!F1511:F101508)),"update STUDENT sheet")</f>
        <v/>
      </c>
      <c r="F1512">
        <f>IFERROR(IF(D1512="","",_xlfn.XLOOKUP(D1512,STUDENTS!D1511:D101508,STUDENTS!G1511:G101508)),"update STUDENT sheet")</f>
        <v/>
      </c>
      <c r="G1512">
        <f>IFERROR(IF(E1512="","",_xlfn.XLOOKUP(E1512,STUDENTS!F1511:F101508,STUDENTS!H1511:H101508)),"update STUDENT sheet")</f>
        <v/>
      </c>
    </row>
    <row r="1513">
      <c r="B1513">
        <f>IF(STUDENTS!B1512="","",STUDENTS!B1512)</f>
        <v/>
      </c>
      <c r="C1513">
        <f>IFERROR(IF(B1513="","",_xlfn.XLOOKUP(B1513,STUDENTS!$B$3:$B$1048576,STUDENTS!$C$3:$C$1048576)),"Enter a registered reg. no")</f>
        <v/>
      </c>
      <c r="E1513">
        <f>IFERROR(IF(C1513="","",_xlfn.XLOOKUP(C1513,STUDENTS!C1512:C101509,STUDENTS!F1512:F101509)),"update STUDENT sheet")</f>
        <v/>
      </c>
      <c r="F1513">
        <f>IFERROR(IF(D1513="","",_xlfn.XLOOKUP(D1513,STUDENTS!D1512:D101509,STUDENTS!G1512:G101509)),"update STUDENT sheet")</f>
        <v/>
      </c>
      <c r="G1513">
        <f>IFERROR(IF(E1513="","",_xlfn.XLOOKUP(E1513,STUDENTS!F1512:F101509,STUDENTS!H1512:H101509)),"update STUDENT sheet")</f>
        <v/>
      </c>
    </row>
    <row r="1514">
      <c r="B1514">
        <f>IF(STUDENTS!B1513="","",STUDENTS!B1513)</f>
        <v/>
      </c>
      <c r="C1514">
        <f>IFERROR(IF(B1514="","",_xlfn.XLOOKUP(B1514,STUDENTS!$B$3:$B$1048576,STUDENTS!$C$3:$C$1048576)),"Enter a registered reg. no")</f>
        <v/>
      </c>
      <c r="E1514">
        <f>IFERROR(IF(C1514="","",_xlfn.XLOOKUP(C1514,STUDENTS!C1513:C101510,STUDENTS!F1513:F101510)),"update STUDENT sheet")</f>
        <v/>
      </c>
      <c r="F1514">
        <f>IFERROR(IF(D1514="","",_xlfn.XLOOKUP(D1514,STUDENTS!D1513:D101510,STUDENTS!G1513:G101510)),"update STUDENT sheet")</f>
        <v/>
      </c>
      <c r="G1514">
        <f>IFERROR(IF(E1514="","",_xlfn.XLOOKUP(E1514,STUDENTS!F1513:F101510,STUDENTS!H1513:H101510)),"update STUDENT sheet")</f>
        <v/>
      </c>
    </row>
    <row r="1515">
      <c r="B1515">
        <f>IF(STUDENTS!B1514="","",STUDENTS!B1514)</f>
        <v/>
      </c>
      <c r="C1515">
        <f>IFERROR(IF(B1515="","",_xlfn.XLOOKUP(B1515,STUDENTS!$B$3:$B$1048576,STUDENTS!$C$3:$C$1048576)),"Enter a registered reg. no")</f>
        <v/>
      </c>
      <c r="E1515">
        <f>IFERROR(IF(C1515="","",_xlfn.XLOOKUP(C1515,STUDENTS!C1514:C101511,STUDENTS!F1514:F101511)),"update STUDENT sheet")</f>
        <v/>
      </c>
      <c r="F1515">
        <f>IFERROR(IF(D1515="","",_xlfn.XLOOKUP(D1515,STUDENTS!D1514:D101511,STUDENTS!G1514:G101511)),"update STUDENT sheet")</f>
        <v/>
      </c>
      <c r="G1515">
        <f>IFERROR(IF(E1515="","",_xlfn.XLOOKUP(E1515,STUDENTS!F1514:F101511,STUDENTS!H1514:H101511)),"update STUDENT sheet")</f>
        <v/>
      </c>
    </row>
    <row r="1516">
      <c r="B1516">
        <f>IF(STUDENTS!B1515="","",STUDENTS!B1515)</f>
        <v/>
      </c>
      <c r="C1516">
        <f>IFERROR(IF(B1516="","",_xlfn.XLOOKUP(B1516,STUDENTS!$B$3:$B$1048576,STUDENTS!$C$3:$C$1048576)),"Enter a registered reg. no")</f>
        <v/>
      </c>
      <c r="E1516">
        <f>IFERROR(IF(C1516="","",_xlfn.XLOOKUP(C1516,STUDENTS!C1515:C101512,STUDENTS!F1515:F101512)),"update STUDENT sheet")</f>
        <v/>
      </c>
      <c r="F1516">
        <f>IFERROR(IF(D1516="","",_xlfn.XLOOKUP(D1516,STUDENTS!D1515:D101512,STUDENTS!G1515:G101512)),"update STUDENT sheet")</f>
        <v/>
      </c>
      <c r="G1516">
        <f>IFERROR(IF(E1516="","",_xlfn.XLOOKUP(E1516,STUDENTS!F1515:F101512,STUDENTS!H1515:H101512)),"update STUDENT sheet")</f>
        <v/>
      </c>
    </row>
    <row r="1517">
      <c r="B1517">
        <f>IF(STUDENTS!B1516="","",STUDENTS!B1516)</f>
        <v/>
      </c>
      <c r="C1517">
        <f>IFERROR(IF(B1517="","",_xlfn.XLOOKUP(B1517,STUDENTS!$B$3:$B$1048576,STUDENTS!$C$3:$C$1048576)),"Enter a registered reg. no")</f>
        <v/>
      </c>
      <c r="E1517">
        <f>IFERROR(IF(C1517="","",_xlfn.XLOOKUP(C1517,STUDENTS!C1516:C101513,STUDENTS!F1516:F101513)),"update STUDENT sheet")</f>
        <v/>
      </c>
      <c r="F1517">
        <f>IFERROR(IF(D1517="","",_xlfn.XLOOKUP(D1517,STUDENTS!D1516:D101513,STUDENTS!G1516:G101513)),"update STUDENT sheet")</f>
        <v/>
      </c>
      <c r="G1517">
        <f>IFERROR(IF(E1517="","",_xlfn.XLOOKUP(E1517,STUDENTS!F1516:F101513,STUDENTS!H1516:H101513)),"update STUDENT sheet")</f>
        <v/>
      </c>
    </row>
    <row r="1518">
      <c r="B1518">
        <f>IF(STUDENTS!B1517="","",STUDENTS!B1517)</f>
        <v/>
      </c>
      <c r="C1518">
        <f>IFERROR(IF(B1518="","",_xlfn.XLOOKUP(B1518,STUDENTS!$B$3:$B$1048576,STUDENTS!$C$3:$C$1048576)),"Enter a registered reg. no")</f>
        <v/>
      </c>
      <c r="E1518">
        <f>IFERROR(IF(C1518="","",_xlfn.XLOOKUP(C1518,STUDENTS!C1517:C101514,STUDENTS!F1517:F101514)),"update STUDENT sheet")</f>
        <v/>
      </c>
      <c r="F1518">
        <f>IFERROR(IF(D1518="","",_xlfn.XLOOKUP(D1518,STUDENTS!D1517:D101514,STUDENTS!G1517:G101514)),"update STUDENT sheet")</f>
        <v/>
      </c>
      <c r="G1518">
        <f>IFERROR(IF(E1518="","",_xlfn.XLOOKUP(E1518,STUDENTS!F1517:F101514,STUDENTS!H1517:H101514)),"update STUDENT sheet")</f>
        <v/>
      </c>
    </row>
    <row r="1519">
      <c r="B1519">
        <f>IF(STUDENTS!B1518="","",STUDENTS!B1518)</f>
        <v/>
      </c>
      <c r="C1519">
        <f>IFERROR(IF(B1519="","",_xlfn.XLOOKUP(B1519,STUDENTS!$B$3:$B$1048576,STUDENTS!$C$3:$C$1048576)),"Enter a registered reg. no")</f>
        <v/>
      </c>
      <c r="E1519">
        <f>IFERROR(IF(C1519="","",_xlfn.XLOOKUP(C1519,STUDENTS!C1518:C101515,STUDENTS!F1518:F101515)),"update STUDENT sheet")</f>
        <v/>
      </c>
      <c r="F1519">
        <f>IFERROR(IF(D1519="","",_xlfn.XLOOKUP(D1519,STUDENTS!D1518:D101515,STUDENTS!G1518:G101515)),"update STUDENT sheet")</f>
        <v/>
      </c>
      <c r="G1519">
        <f>IFERROR(IF(E1519="","",_xlfn.XLOOKUP(E1519,STUDENTS!F1518:F101515,STUDENTS!H1518:H101515)),"update STUDENT sheet")</f>
        <v/>
      </c>
    </row>
    <row r="1520">
      <c r="B1520">
        <f>IF(STUDENTS!B1519="","",STUDENTS!B1519)</f>
        <v/>
      </c>
      <c r="C1520">
        <f>IFERROR(IF(B1520="","",_xlfn.XLOOKUP(B1520,STUDENTS!$B$3:$B$1048576,STUDENTS!$C$3:$C$1048576)),"Enter a registered reg. no")</f>
        <v/>
      </c>
      <c r="E1520">
        <f>IFERROR(IF(C1520="","",_xlfn.XLOOKUP(C1520,STUDENTS!C1519:C101516,STUDENTS!F1519:F101516)),"update STUDENT sheet")</f>
        <v/>
      </c>
      <c r="F1520">
        <f>IFERROR(IF(D1520="","",_xlfn.XLOOKUP(D1520,STUDENTS!D1519:D101516,STUDENTS!G1519:G101516)),"update STUDENT sheet")</f>
        <v/>
      </c>
      <c r="G1520">
        <f>IFERROR(IF(E1520="","",_xlfn.XLOOKUP(E1520,STUDENTS!F1519:F101516,STUDENTS!H1519:H101516)),"update STUDENT sheet")</f>
        <v/>
      </c>
    </row>
    <row r="1521">
      <c r="B1521">
        <f>IF(STUDENTS!B1520="","",STUDENTS!B1520)</f>
        <v/>
      </c>
      <c r="C1521">
        <f>IFERROR(IF(B1521="","",_xlfn.XLOOKUP(B1521,STUDENTS!$B$3:$B$1048576,STUDENTS!$C$3:$C$1048576)),"Enter a registered reg. no")</f>
        <v/>
      </c>
      <c r="E1521">
        <f>IFERROR(IF(C1521="","",_xlfn.XLOOKUP(C1521,STUDENTS!C1520:C101517,STUDENTS!F1520:F101517)),"update STUDENT sheet")</f>
        <v/>
      </c>
      <c r="F1521">
        <f>IFERROR(IF(D1521="","",_xlfn.XLOOKUP(D1521,STUDENTS!D1520:D101517,STUDENTS!G1520:G101517)),"update STUDENT sheet")</f>
        <v/>
      </c>
      <c r="G1521">
        <f>IFERROR(IF(E1521="","",_xlfn.XLOOKUP(E1521,STUDENTS!F1520:F101517,STUDENTS!H1520:H101517)),"update STUDENT sheet")</f>
        <v/>
      </c>
    </row>
    <row r="1522">
      <c r="B1522">
        <f>IF(STUDENTS!B1521="","",STUDENTS!B1521)</f>
        <v/>
      </c>
      <c r="C1522">
        <f>IFERROR(IF(B1522="","",_xlfn.XLOOKUP(B1522,STUDENTS!$B$3:$B$1048576,STUDENTS!$C$3:$C$1048576)),"Enter a registered reg. no")</f>
        <v/>
      </c>
      <c r="E1522">
        <f>IFERROR(IF(C1522="","",_xlfn.XLOOKUP(C1522,STUDENTS!C1521:C101518,STUDENTS!F1521:F101518)),"update STUDENT sheet")</f>
        <v/>
      </c>
      <c r="F1522">
        <f>IFERROR(IF(D1522="","",_xlfn.XLOOKUP(D1522,STUDENTS!D1521:D101518,STUDENTS!G1521:G101518)),"update STUDENT sheet")</f>
        <v/>
      </c>
      <c r="G1522">
        <f>IFERROR(IF(E1522="","",_xlfn.XLOOKUP(E1522,STUDENTS!F1521:F101518,STUDENTS!H1521:H101518)),"update STUDENT sheet")</f>
        <v/>
      </c>
    </row>
    <row r="1523">
      <c r="B1523">
        <f>IF(STUDENTS!B1522="","",STUDENTS!B1522)</f>
        <v/>
      </c>
      <c r="C1523">
        <f>IFERROR(IF(B1523="","",_xlfn.XLOOKUP(B1523,STUDENTS!$B$3:$B$1048576,STUDENTS!$C$3:$C$1048576)),"Enter a registered reg. no")</f>
        <v/>
      </c>
      <c r="E1523">
        <f>IFERROR(IF(C1523="","",_xlfn.XLOOKUP(C1523,STUDENTS!C1522:C101519,STUDENTS!F1522:F101519)),"update STUDENT sheet")</f>
        <v/>
      </c>
      <c r="F1523">
        <f>IFERROR(IF(D1523="","",_xlfn.XLOOKUP(D1523,STUDENTS!D1522:D101519,STUDENTS!G1522:G101519)),"update STUDENT sheet")</f>
        <v/>
      </c>
      <c r="G1523">
        <f>IFERROR(IF(E1523="","",_xlfn.XLOOKUP(E1523,STUDENTS!F1522:F101519,STUDENTS!H1522:H101519)),"update STUDENT sheet")</f>
        <v/>
      </c>
    </row>
    <row r="1524">
      <c r="B1524">
        <f>IF(STUDENTS!B1523="","",STUDENTS!B1523)</f>
        <v/>
      </c>
      <c r="C1524">
        <f>IFERROR(IF(B1524="","",_xlfn.XLOOKUP(B1524,STUDENTS!$B$3:$B$1048576,STUDENTS!$C$3:$C$1048576)),"Enter a registered reg. no")</f>
        <v/>
      </c>
      <c r="E1524">
        <f>IFERROR(IF(C1524="","",_xlfn.XLOOKUP(C1524,STUDENTS!C1523:C101520,STUDENTS!F1523:F101520)),"update STUDENT sheet")</f>
        <v/>
      </c>
      <c r="F1524">
        <f>IFERROR(IF(D1524="","",_xlfn.XLOOKUP(D1524,STUDENTS!D1523:D101520,STUDENTS!G1523:G101520)),"update STUDENT sheet")</f>
        <v/>
      </c>
      <c r="G1524">
        <f>IFERROR(IF(E1524="","",_xlfn.XLOOKUP(E1524,STUDENTS!F1523:F101520,STUDENTS!H1523:H101520)),"update STUDENT sheet")</f>
        <v/>
      </c>
    </row>
    <row r="1525">
      <c r="B1525">
        <f>IF(STUDENTS!B1524="","",STUDENTS!B1524)</f>
        <v/>
      </c>
      <c r="C1525">
        <f>IFERROR(IF(B1525="","",_xlfn.XLOOKUP(B1525,STUDENTS!$B$3:$B$1048576,STUDENTS!$C$3:$C$1048576)),"Enter a registered reg. no")</f>
        <v/>
      </c>
      <c r="E1525">
        <f>IFERROR(IF(C1525="","",_xlfn.XLOOKUP(C1525,STUDENTS!C1524:C101521,STUDENTS!F1524:F101521)),"update STUDENT sheet")</f>
        <v/>
      </c>
      <c r="F1525">
        <f>IFERROR(IF(D1525="","",_xlfn.XLOOKUP(D1525,STUDENTS!D1524:D101521,STUDENTS!G1524:G101521)),"update STUDENT sheet")</f>
        <v/>
      </c>
      <c r="G1525">
        <f>IFERROR(IF(E1525="","",_xlfn.XLOOKUP(E1525,STUDENTS!F1524:F101521,STUDENTS!H1524:H101521)),"update STUDENT sheet")</f>
        <v/>
      </c>
    </row>
    <row r="1526">
      <c r="B1526">
        <f>IF(STUDENTS!B1525="","",STUDENTS!B1525)</f>
        <v/>
      </c>
      <c r="C1526">
        <f>IFERROR(IF(B1526="","",_xlfn.XLOOKUP(B1526,STUDENTS!$B$3:$B$1048576,STUDENTS!$C$3:$C$1048576)),"Enter a registered reg. no")</f>
        <v/>
      </c>
      <c r="E1526">
        <f>IFERROR(IF(C1526="","",_xlfn.XLOOKUP(C1526,STUDENTS!C1525:C101522,STUDENTS!F1525:F101522)),"update STUDENT sheet")</f>
        <v/>
      </c>
      <c r="F1526">
        <f>IFERROR(IF(D1526="","",_xlfn.XLOOKUP(D1526,STUDENTS!D1525:D101522,STUDENTS!G1525:G101522)),"update STUDENT sheet")</f>
        <v/>
      </c>
      <c r="G1526">
        <f>IFERROR(IF(E1526="","",_xlfn.XLOOKUP(E1526,STUDENTS!F1525:F101522,STUDENTS!H1525:H101522)),"update STUDENT sheet")</f>
        <v/>
      </c>
    </row>
    <row r="1527">
      <c r="B1527">
        <f>IF(STUDENTS!B1526="","",STUDENTS!B1526)</f>
        <v/>
      </c>
      <c r="C1527">
        <f>IFERROR(IF(B1527="","",_xlfn.XLOOKUP(B1527,STUDENTS!$B$3:$B$1048576,STUDENTS!$C$3:$C$1048576)),"Enter a registered reg. no")</f>
        <v/>
      </c>
      <c r="E1527">
        <f>IFERROR(IF(C1527="","",_xlfn.XLOOKUP(C1527,STUDENTS!C1526:C101523,STUDENTS!F1526:F101523)),"update STUDENT sheet")</f>
        <v/>
      </c>
      <c r="F1527">
        <f>IFERROR(IF(D1527="","",_xlfn.XLOOKUP(D1527,STUDENTS!D1526:D101523,STUDENTS!G1526:G101523)),"update STUDENT sheet")</f>
        <v/>
      </c>
      <c r="G1527">
        <f>IFERROR(IF(E1527="","",_xlfn.XLOOKUP(E1527,STUDENTS!F1526:F101523,STUDENTS!H1526:H101523)),"update STUDENT sheet")</f>
        <v/>
      </c>
    </row>
    <row r="1528">
      <c r="B1528">
        <f>IF(STUDENTS!B1527="","",STUDENTS!B1527)</f>
        <v/>
      </c>
      <c r="C1528">
        <f>IFERROR(IF(B1528="","",_xlfn.XLOOKUP(B1528,STUDENTS!$B$3:$B$1048576,STUDENTS!$C$3:$C$1048576)),"Enter a registered reg. no")</f>
        <v/>
      </c>
      <c r="E1528">
        <f>IFERROR(IF(C1528="","",_xlfn.XLOOKUP(C1528,STUDENTS!C1527:C101524,STUDENTS!F1527:F101524)),"update STUDENT sheet")</f>
        <v/>
      </c>
      <c r="F1528">
        <f>IFERROR(IF(D1528="","",_xlfn.XLOOKUP(D1528,STUDENTS!D1527:D101524,STUDENTS!G1527:G101524)),"update STUDENT sheet")</f>
        <v/>
      </c>
      <c r="G1528">
        <f>IFERROR(IF(E1528="","",_xlfn.XLOOKUP(E1528,STUDENTS!F1527:F101524,STUDENTS!H1527:H101524)),"update STUDENT sheet")</f>
        <v/>
      </c>
    </row>
    <row r="1529">
      <c r="B1529">
        <f>IF(STUDENTS!B1528="","",STUDENTS!B1528)</f>
        <v/>
      </c>
      <c r="C1529">
        <f>IFERROR(IF(B1529="","",_xlfn.XLOOKUP(B1529,STUDENTS!$B$3:$B$1048576,STUDENTS!$C$3:$C$1048576)),"Enter a registered reg. no")</f>
        <v/>
      </c>
      <c r="E1529">
        <f>IFERROR(IF(C1529="","",_xlfn.XLOOKUP(C1529,STUDENTS!C1528:C101525,STUDENTS!F1528:F101525)),"update STUDENT sheet")</f>
        <v/>
      </c>
      <c r="F1529">
        <f>IFERROR(IF(D1529="","",_xlfn.XLOOKUP(D1529,STUDENTS!D1528:D101525,STUDENTS!G1528:G101525)),"update STUDENT sheet")</f>
        <v/>
      </c>
      <c r="G1529">
        <f>IFERROR(IF(E1529="","",_xlfn.XLOOKUP(E1529,STUDENTS!F1528:F101525,STUDENTS!H1528:H101525)),"update STUDENT sheet")</f>
        <v/>
      </c>
    </row>
    <row r="1530">
      <c r="B1530">
        <f>IF(STUDENTS!B1529="","",STUDENTS!B1529)</f>
        <v/>
      </c>
      <c r="C1530">
        <f>IFERROR(IF(B1530="","",_xlfn.XLOOKUP(B1530,STUDENTS!$B$3:$B$1048576,STUDENTS!$C$3:$C$1048576)),"Enter a registered reg. no")</f>
        <v/>
      </c>
      <c r="E1530">
        <f>IFERROR(IF(C1530="","",_xlfn.XLOOKUP(C1530,STUDENTS!C1529:C101526,STUDENTS!F1529:F101526)),"update STUDENT sheet")</f>
        <v/>
      </c>
      <c r="F1530">
        <f>IFERROR(IF(D1530="","",_xlfn.XLOOKUP(D1530,STUDENTS!D1529:D101526,STUDENTS!G1529:G101526)),"update STUDENT sheet")</f>
        <v/>
      </c>
      <c r="G1530">
        <f>IFERROR(IF(E1530="","",_xlfn.XLOOKUP(E1530,STUDENTS!F1529:F101526,STUDENTS!H1529:H101526)),"update STUDENT sheet")</f>
        <v/>
      </c>
    </row>
    <row r="1531">
      <c r="B1531">
        <f>IF(STUDENTS!B1530="","",STUDENTS!B1530)</f>
        <v/>
      </c>
      <c r="C1531">
        <f>IFERROR(IF(B1531="","",_xlfn.XLOOKUP(B1531,STUDENTS!$B$3:$B$1048576,STUDENTS!$C$3:$C$1048576)),"Enter a registered reg. no")</f>
        <v/>
      </c>
      <c r="E1531">
        <f>IFERROR(IF(C1531="","",_xlfn.XLOOKUP(C1531,STUDENTS!C1530:C101527,STUDENTS!F1530:F101527)),"update STUDENT sheet")</f>
        <v/>
      </c>
      <c r="F1531">
        <f>IFERROR(IF(D1531="","",_xlfn.XLOOKUP(D1531,STUDENTS!D1530:D101527,STUDENTS!G1530:G101527)),"update STUDENT sheet")</f>
        <v/>
      </c>
      <c r="G1531">
        <f>IFERROR(IF(E1531="","",_xlfn.XLOOKUP(E1531,STUDENTS!F1530:F101527,STUDENTS!H1530:H101527)),"update STUDENT sheet")</f>
        <v/>
      </c>
    </row>
    <row r="1532">
      <c r="B1532">
        <f>IF(STUDENTS!B1531="","",STUDENTS!B1531)</f>
        <v/>
      </c>
      <c r="C1532">
        <f>IFERROR(IF(B1532="","",_xlfn.XLOOKUP(B1532,STUDENTS!$B$3:$B$1048576,STUDENTS!$C$3:$C$1048576)),"Enter a registered reg. no")</f>
        <v/>
      </c>
      <c r="E1532">
        <f>IFERROR(IF(C1532="","",_xlfn.XLOOKUP(C1532,STUDENTS!C1531:C101528,STUDENTS!F1531:F101528)),"update STUDENT sheet")</f>
        <v/>
      </c>
      <c r="F1532">
        <f>IFERROR(IF(D1532="","",_xlfn.XLOOKUP(D1532,STUDENTS!D1531:D101528,STUDENTS!G1531:G101528)),"update STUDENT sheet")</f>
        <v/>
      </c>
      <c r="G1532">
        <f>IFERROR(IF(E1532="","",_xlfn.XLOOKUP(E1532,STUDENTS!F1531:F101528,STUDENTS!H1531:H101528)),"update STUDENT sheet")</f>
        <v/>
      </c>
    </row>
    <row r="1533">
      <c r="B1533">
        <f>IF(STUDENTS!B1532="","",STUDENTS!B1532)</f>
        <v/>
      </c>
      <c r="C1533">
        <f>IFERROR(IF(B1533="","",_xlfn.XLOOKUP(B1533,STUDENTS!$B$3:$B$1048576,STUDENTS!$C$3:$C$1048576)),"Enter a registered reg. no")</f>
        <v/>
      </c>
      <c r="E1533">
        <f>IFERROR(IF(C1533="","",_xlfn.XLOOKUP(C1533,STUDENTS!C1532:C101529,STUDENTS!F1532:F101529)),"update STUDENT sheet")</f>
        <v/>
      </c>
      <c r="F1533">
        <f>IFERROR(IF(D1533="","",_xlfn.XLOOKUP(D1533,STUDENTS!D1532:D101529,STUDENTS!G1532:G101529)),"update STUDENT sheet")</f>
        <v/>
      </c>
      <c r="G1533">
        <f>IFERROR(IF(E1533="","",_xlfn.XLOOKUP(E1533,STUDENTS!F1532:F101529,STUDENTS!H1532:H101529)),"update STUDENT sheet")</f>
        <v/>
      </c>
    </row>
    <row r="1534">
      <c r="B1534">
        <f>IF(STUDENTS!B1533="","",STUDENTS!B1533)</f>
        <v/>
      </c>
      <c r="C1534">
        <f>IFERROR(IF(B1534="","",_xlfn.XLOOKUP(B1534,STUDENTS!$B$3:$B$1048576,STUDENTS!$C$3:$C$1048576)),"Enter a registered reg. no")</f>
        <v/>
      </c>
      <c r="E1534">
        <f>IFERROR(IF(C1534="","",_xlfn.XLOOKUP(C1534,STUDENTS!C1533:C101530,STUDENTS!F1533:F101530)),"update STUDENT sheet")</f>
        <v/>
      </c>
      <c r="F1534">
        <f>IFERROR(IF(D1534="","",_xlfn.XLOOKUP(D1534,STUDENTS!D1533:D101530,STUDENTS!G1533:G101530)),"update STUDENT sheet")</f>
        <v/>
      </c>
      <c r="G1534">
        <f>IFERROR(IF(E1534="","",_xlfn.XLOOKUP(E1534,STUDENTS!F1533:F101530,STUDENTS!H1533:H101530)),"update STUDENT sheet")</f>
        <v/>
      </c>
    </row>
    <row r="1535">
      <c r="B1535">
        <f>IF(STUDENTS!B1534="","",STUDENTS!B1534)</f>
        <v/>
      </c>
      <c r="C1535">
        <f>IFERROR(IF(B1535="","",_xlfn.XLOOKUP(B1535,STUDENTS!$B$3:$B$1048576,STUDENTS!$C$3:$C$1048576)),"Enter a registered reg. no")</f>
        <v/>
      </c>
      <c r="E1535">
        <f>IFERROR(IF(C1535="","",_xlfn.XLOOKUP(C1535,STUDENTS!C1534:C101531,STUDENTS!F1534:F101531)),"update STUDENT sheet")</f>
        <v/>
      </c>
      <c r="F1535">
        <f>IFERROR(IF(D1535="","",_xlfn.XLOOKUP(D1535,STUDENTS!D1534:D101531,STUDENTS!G1534:G101531)),"update STUDENT sheet")</f>
        <v/>
      </c>
      <c r="G1535">
        <f>IFERROR(IF(E1535="","",_xlfn.XLOOKUP(E1535,STUDENTS!F1534:F101531,STUDENTS!H1534:H101531)),"update STUDENT sheet")</f>
        <v/>
      </c>
    </row>
    <row r="1536">
      <c r="B1536">
        <f>IF(STUDENTS!B1535="","",STUDENTS!B1535)</f>
        <v/>
      </c>
      <c r="C1536">
        <f>IFERROR(IF(B1536="","",_xlfn.XLOOKUP(B1536,STUDENTS!$B$3:$B$1048576,STUDENTS!$C$3:$C$1048576)),"Enter a registered reg. no")</f>
        <v/>
      </c>
      <c r="E1536">
        <f>IFERROR(IF(C1536="","",_xlfn.XLOOKUP(C1536,STUDENTS!C1535:C101532,STUDENTS!F1535:F101532)),"update STUDENT sheet")</f>
        <v/>
      </c>
      <c r="F1536">
        <f>IFERROR(IF(D1536="","",_xlfn.XLOOKUP(D1536,STUDENTS!D1535:D101532,STUDENTS!G1535:G101532)),"update STUDENT sheet")</f>
        <v/>
      </c>
      <c r="G1536">
        <f>IFERROR(IF(E1536="","",_xlfn.XLOOKUP(E1536,STUDENTS!F1535:F101532,STUDENTS!H1535:H101532)),"update STUDENT sheet")</f>
        <v/>
      </c>
    </row>
    <row r="1537">
      <c r="B1537">
        <f>IF(STUDENTS!B1536="","",STUDENTS!B1536)</f>
        <v/>
      </c>
      <c r="C1537">
        <f>IFERROR(IF(B1537="","",_xlfn.XLOOKUP(B1537,STUDENTS!$B$3:$B$1048576,STUDENTS!$C$3:$C$1048576)),"Enter a registered reg. no")</f>
        <v/>
      </c>
      <c r="E1537">
        <f>IFERROR(IF(C1537="","",_xlfn.XLOOKUP(C1537,STUDENTS!C1536:C101533,STUDENTS!F1536:F101533)),"update STUDENT sheet")</f>
        <v/>
      </c>
      <c r="F1537">
        <f>IFERROR(IF(D1537="","",_xlfn.XLOOKUP(D1537,STUDENTS!D1536:D101533,STUDENTS!G1536:G101533)),"update STUDENT sheet")</f>
        <v/>
      </c>
      <c r="G1537">
        <f>IFERROR(IF(E1537="","",_xlfn.XLOOKUP(E1537,STUDENTS!F1536:F101533,STUDENTS!H1536:H101533)),"update STUDENT sheet")</f>
        <v/>
      </c>
    </row>
    <row r="1538">
      <c r="B1538">
        <f>IF(STUDENTS!B1537="","",STUDENTS!B1537)</f>
        <v/>
      </c>
      <c r="C1538">
        <f>IFERROR(IF(B1538="","",_xlfn.XLOOKUP(B1538,STUDENTS!$B$3:$B$1048576,STUDENTS!$C$3:$C$1048576)),"Enter a registered reg. no")</f>
        <v/>
      </c>
      <c r="E1538">
        <f>IFERROR(IF(C1538="","",_xlfn.XLOOKUP(C1538,STUDENTS!C1537:C101534,STUDENTS!F1537:F101534)),"update STUDENT sheet")</f>
        <v/>
      </c>
      <c r="F1538">
        <f>IFERROR(IF(D1538="","",_xlfn.XLOOKUP(D1538,STUDENTS!D1537:D101534,STUDENTS!G1537:G101534)),"update STUDENT sheet")</f>
        <v/>
      </c>
      <c r="G1538">
        <f>IFERROR(IF(E1538="","",_xlfn.XLOOKUP(E1538,STUDENTS!F1537:F101534,STUDENTS!H1537:H101534)),"update STUDENT sheet")</f>
        <v/>
      </c>
    </row>
    <row r="1539">
      <c r="B1539">
        <f>IF(STUDENTS!B1538="","",STUDENTS!B1538)</f>
        <v/>
      </c>
      <c r="C1539">
        <f>IFERROR(IF(B1539="","",_xlfn.XLOOKUP(B1539,STUDENTS!$B$3:$B$1048576,STUDENTS!$C$3:$C$1048576)),"Enter a registered reg. no")</f>
        <v/>
      </c>
      <c r="E1539">
        <f>IFERROR(IF(C1539="","",_xlfn.XLOOKUP(C1539,STUDENTS!C1538:C101535,STUDENTS!F1538:F101535)),"update STUDENT sheet")</f>
        <v/>
      </c>
      <c r="F1539">
        <f>IFERROR(IF(D1539="","",_xlfn.XLOOKUP(D1539,STUDENTS!D1538:D101535,STUDENTS!G1538:G101535)),"update STUDENT sheet")</f>
        <v/>
      </c>
      <c r="G1539">
        <f>IFERROR(IF(E1539="","",_xlfn.XLOOKUP(E1539,STUDENTS!F1538:F101535,STUDENTS!H1538:H101535)),"update STUDENT sheet")</f>
        <v/>
      </c>
    </row>
    <row r="1540">
      <c r="B1540">
        <f>IF(STUDENTS!B1539="","",STUDENTS!B1539)</f>
        <v/>
      </c>
      <c r="C1540">
        <f>IFERROR(IF(B1540="","",_xlfn.XLOOKUP(B1540,STUDENTS!$B$3:$B$1048576,STUDENTS!$C$3:$C$1048576)),"Enter a registered reg. no")</f>
        <v/>
      </c>
      <c r="E1540">
        <f>IFERROR(IF(C1540="","",_xlfn.XLOOKUP(C1540,STUDENTS!C1539:C101536,STUDENTS!F1539:F101536)),"update STUDENT sheet")</f>
        <v/>
      </c>
      <c r="F1540">
        <f>IFERROR(IF(D1540="","",_xlfn.XLOOKUP(D1540,STUDENTS!D1539:D101536,STUDENTS!G1539:G101536)),"update STUDENT sheet")</f>
        <v/>
      </c>
      <c r="G1540">
        <f>IFERROR(IF(E1540="","",_xlfn.XLOOKUP(E1540,STUDENTS!F1539:F101536,STUDENTS!H1539:H101536)),"update STUDENT sheet")</f>
        <v/>
      </c>
    </row>
    <row r="1541">
      <c r="B1541">
        <f>IF(STUDENTS!B1540="","",STUDENTS!B1540)</f>
        <v/>
      </c>
      <c r="C1541">
        <f>IFERROR(IF(B1541="","",_xlfn.XLOOKUP(B1541,STUDENTS!$B$3:$B$1048576,STUDENTS!$C$3:$C$1048576)),"Enter a registered reg. no")</f>
        <v/>
      </c>
      <c r="E1541">
        <f>IFERROR(IF(C1541="","",_xlfn.XLOOKUP(C1541,STUDENTS!C1540:C101537,STUDENTS!F1540:F101537)),"update STUDENT sheet")</f>
        <v/>
      </c>
      <c r="F1541">
        <f>IFERROR(IF(D1541="","",_xlfn.XLOOKUP(D1541,STUDENTS!D1540:D101537,STUDENTS!G1540:G101537)),"update STUDENT sheet")</f>
        <v/>
      </c>
      <c r="G1541">
        <f>IFERROR(IF(E1541="","",_xlfn.XLOOKUP(E1541,STUDENTS!F1540:F101537,STUDENTS!H1540:H101537)),"update STUDENT sheet")</f>
        <v/>
      </c>
    </row>
    <row r="1542">
      <c r="B1542">
        <f>IF(STUDENTS!B1541="","",STUDENTS!B1541)</f>
        <v/>
      </c>
      <c r="C1542">
        <f>IFERROR(IF(B1542="","",_xlfn.XLOOKUP(B1542,STUDENTS!$B$3:$B$1048576,STUDENTS!$C$3:$C$1048576)),"Enter a registered reg. no")</f>
        <v/>
      </c>
      <c r="E1542">
        <f>IFERROR(IF(C1542="","",_xlfn.XLOOKUP(C1542,STUDENTS!C1541:C101538,STUDENTS!F1541:F101538)),"update STUDENT sheet")</f>
        <v/>
      </c>
      <c r="F1542">
        <f>IFERROR(IF(D1542="","",_xlfn.XLOOKUP(D1542,STUDENTS!D1541:D101538,STUDENTS!G1541:G101538)),"update STUDENT sheet")</f>
        <v/>
      </c>
      <c r="G1542">
        <f>IFERROR(IF(E1542="","",_xlfn.XLOOKUP(E1542,STUDENTS!F1541:F101538,STUDENTS!H1541:H101538)),"update STUDENT sheet")</f>
        <v/>
      </c>
    </row>
    <row r="1543">
      <c r="B1543">
        <f>IF(STUDENTS!B1542="","",STUDENTS!B1542)</f>
        <v/>
      </c>
      <c r="C1543">
        <f>IFERROR(IF(B1543="","",_xlfn.XLOOKUP(B1543,STUDENTS!$B$3:$B$1048576,STUDENTS!$C$3:$C$1048576)),"Enter a registered reg. no")</f>
        <v/>
      </c>
      <c r="E1543">
        <f>IFERROR(IF(C1543="","",_xlfn.XLOOKUP(C1543,STUDENTS!C1542:C101539,STUDENTS!F1542:F101539)),"update STUDENT sheet")</f>
        <v/>
      </c>
      <c r="F1543">
        <f>IFERROR(IF(D1543="","",_xlfn.XLOOKUP(D1543,STUDENTS!D1542:D101539,STUDENTS!G1542:G101539)),"update STUDENT sheet")</f>
        <v/>
      </c>
      <c r="G1543">
        <f>IFERROR(IF(E1543="","",_xlfn.XLOOKUP(E1543,STUDENTS!F1542:F101539,STUDENTS!H1542:H101539)),"update STUDENT sheet")</f>
        <v/>
      </c>
    </row>
    <row r="1544">
      <c r="B1544">
        <f>IF(STUDENTS!B1543="","",STUDENTS!B1543)</f>
        <v/>
      </c>
      <c r="C1544">
        <f>IFERROR(IF(B1544="","",_xlfn.XLOOKUP(B1544,STUDENTS!$B$3:$B$1048576,STUDENTS!$C$3:$C$1048576)),"Enter a registered reg. no")</f>
        <v/>
      </c>
      <c r="E1544">
        <f>IFERROR(IF(C1544="","",_xlfn.XLOOKUP(C1544,STUDENTS!C1543:C101540,STUDENTS!F1543:F101540)),"update STUDENT sheet")</f>
        <v/>
      </c>
      <c r="F1544">
        <f>IFERROR(IF(D1544="","",_xlfn.XLOOKUP(D1544,STUDENTS!D1543:D101540,STUDENTS!G1543:G101540)),"update STUDENT sheet")</f>
        <v/>
      </c>
      <c r="G1544">
        <f>IFERROR(IF(E1544="","",_xlfn.XLOOKUP(E1544,STUDENTS!F1543:F101540,STUDENTS!H1543:H101540)),"update STUDENT sheet")</f>
        <v/>
      </c>
    </row>
    <row r="1545">
      <c r="B1545">
        <f>IF(STUDENTS!B1544="","",STUDENTS!B1544)</f>
        <v/>
      </c>
      <c r="C1545">
        <f>IFERROR(IF(B1545="","",_xlfn.XLOOKUP(B1545,STUDENTS!$B$3:$B$1048576,STUDENTS!$C$3:$C$1048576)),"Enter a registered reg. no")</f>
        <v/>
      </c>
      <c r="E1545">
        <f>IFERROR(IF(C1545="","",_xlfn.XLOOKUP(C1545,STUDENTS!C1544:C101541,STUDENTS!F1544:F101541)),"update STUDENT sheet")</f>
        <v/>
      </c>
      <c r="F1545">
        <f>IFERROR(IF(D1545="","",_xlfn.XLOOKUP(D1545,STUDENTS!D1544:D101541,STUDENTS!G1544:G101541)),"update STUDENT sheet")</f>
        <v/>
      </c>
      <c r="G1545">
        <f>IFERROR(IF(E1545="","",_xlfn.XLOOKUP(E1545,STUDENTS!F1544:F101541,STUDENTS!H1544:H101541)),"update STUDENT sheet")</f>
        <v/>
      </c>
    </row>
    <row r="1546">
      <c r="B1546">
        <f>IF(STUDENTS!B1545="","",STUDENTS!B1545)</f>
        <v/>
      </c>
      <c r="C1546">
        <f>IFERROR(IF(B1546="","",_xlfn.XLOOKUP(B1546,STUDENTS!$B$3:$B$1048576,STUDENTS!$C$3:$C$1048576)),"Enter a registered reg. no")</f>
        <v/>
      </c>
      <c r="E1546">
        <f>IFERROR(IF(C1546="","",_xlfn.XLOOKUP(C1546,STUDENTS!C1545:C101542,STUDENTS!F1545:F101542)),"update STUDENT sheet")</f>
        <v/>
      </c>
      <c r="F1546">
        <f>IFERROR(IF(D1546="","",_xlfn.XLOOKUP(D1546,STUDENTS!D1545:D101542,STUDENTS!G1545:G101542)),"update STUDENT sheet")</f>
        <v/>
      </c>
      <c r="G1546">
        <f>IFERROR(IF(E1546="","",_xlfn.XLOOKUP(E1546,STUDENTS!F1545:F101542,STUDENTS!H1545:H101542)),"update STUDENT sheet")</f>
        <v/>
      </c>
    </row>
    <row r="1547">
      <c r="B1547">
        <f>IF(STUDENTS!B1546="","",STUDENTS!B1546)</f>
        <v/>
      </c>
      <c r="C1547">
        <f>IFERROR(IF(B1547="","",_xlfn.XLOOKUP(B1547,STUDENTS!$B$3:$B$1048576,STUDENTS!$C$3:$C$1048576)),"Enter a registered reg. no")</f>
        <v/>
      </c>
      <c r="E1547">
        <f>IFERROR(IF(C1547="","",_xlfn.XLOOKUP(C1547,STUDENTS!C1546:C101543,STUDENTS!F1546:F101543)),"update STUDENT sheet")</f>
        <v/>
      </c>
      <c r="F1547">
        <f>IFERROR(IF(D1547="","",_xlfn.XLOOKUP(D1547,STUDENTS!D1546:D101543,STUDENTS!G1546:G101543)),"update STUDENT sheet")</f>
        <v/>
      </c>
      <c r="G1547">
        <f>IFERROR(IF(E1547="","",_xlfn.XLOOKUP(E1547,STUDENTS!F1546:F101543,STUDENTS!H1546:H101543)),"update STUDENT sheet")</f>
        <v/>
      </c>
    </row>
    <row r="1548">
      <c r="B1548">
        <f>IF(STUDENTS!B1547="","",STUDENTS!B1547)</f>
        <v/>
      </c>
      <c r="C1548">
        <f>IFERROR(IF(B1548="","",_xlfn.XLOOKUP(B1548,STUDENTS!$B$3:$B$1048576,STUDENTS!$C$3:$C$1048576)),"Enter a registered reg. no")</f>
        <v/>
      </c>
      <c r="E1548">
        <f>IFERROR(IF(C1548="","",_xlfn.XLOOKUP(C1548,STUDENTS!C1547:C101544,STUDENTS!F1547:F101544)),"update STUDENT sheet")</f>
        <v/>
      </c>
      <c r="F1548">
        <f>IFERROR(IF(D1548="","",_xlfn.XLOOKUP(D1548,STUDENTS!D1547:D101544,STUDENTS!G1547:G101544)),"update STUDENT sheet")</f>
        <v/>
      </c>
      <c r="G1548">
        <f>IFERROR(IF(E1548="","",_xlfn.XLOOKUP(E1548,STUDENTS!F1547:F101544,STUDENTS!H1547:H101544)),"update STUDENT sheet")</f>
        <v/>
      </c>
    </row>
    <row r="1549">
      <c r="B1549">
        <f>IF(STUDENTS!B1548="","",STUDENTS!B1548)</f>
        <v/>
      </c>
      <c r="C1549">
        <f>IFERROR(IF(B1549="","",_xlfn.XLOOKUP(B1549,STUDENTS!$B$3:$B$1048576,STUDENTS!$C$3:$C$1048576)),"Enter a registered reg. no")</f>
        <v/>
      </c>
      <c r="E1549">
        <f>IFERROR(IF(C1549="","",_xlfn.XLOOKUP(C1549,STUDENTS!C1548:C101545,STUDENTS!F1548:F101545)),"update STUDENT sheet")</f>
        <v/>
      </c>
      <c r="F1549">
        <f>IFERROR(IF(D1549="","",_xlfn.XLOOKUP(D1549,STUDENTS!D1548:D101545,STUDENTS!G1548:G101545)),"update STUDENT sheet")</f>
        <v/>
      </c>
      <c r="G1549">
        <f>IFERROR(IF(E1549="","",_xlfn.XLOOKUP(E1549,STUDENTS!F1548:F101545,STUDENTS!H1548:H101545)),"update STUDENT sheet")</f>
        <v/>
      </c>
    </row>
    <row r="1550">
      <c r="B1550">
        <f>IF(STUDENTS!B1549="","",STUDENTS!B1549)</f>
        <v/>
      </c>
      <c r="C1550">
        <f>IFERROR(IF(B1550="","",_xlfn.XLOOKUP(B1550,STUDENTS!$B$3:$B$1048576,STUDENTS!$C$3:$C$1048576)),"Enter a registered reg. no")</f>
        <v/>
      </c>
      <c r="E1550">
        <f>IFERROR(IF(C1550="","",_xlfn.XLOOKUP(C1550,STUDENTS!C1549:C101546,STUDENTS!F1549:F101546)),"update STUDENT sheet")</f>
        <v/>
      </c>
      <c r="F1550">
        <f>IFERROR(IF(D1550="","",_xlfn.XLOOKUP(D1550,STUDENTS!D1549:D101546,STUDENTS!G1549:G101546)),"update STUDENT sheet")</f>
        <v/>
      </c>
      <c r="G1550">
        <f>IFERROR(IF(E1550="","",_xlfn.XLOOKUP(E1550,STUDENTS!F1549:F101546,STUDENTS!H1549:H101546)),"update STUDENT sheet")</f>
        <v/>
      </c>
    </row>
    <row r="1551">
      <c r="B1551">
        <f>IF(STUDENTS!B1550="","",STUDENTS!B1550)</f>
        <v/>
      </c>
      <c r="C1551">
        <f>IFERROR(IF(B1551="","",_xlfn.XLOOKUP(B1551,STUDENTS!$B$3:$B$1048576,STUDENTS!$C$3:$C$1048576)),"Enter a registered reg. no")</f>
        <v/>
      </c>
      <c r="E1551">
        <f>IFERROR(IF(C1551="","",_xlfn.XLOOKUP(C1551,STUDENTS!C1550:C101547,STUDENTS!F1550:F101547)),"update STUDENT sheet")</f>
        <v/>
      </c>
      <c r="F1551">
        <f>IFERROR(IF(D1551="","",_xlfn.XLOOKUP(D1551,STUDENTS!D1550:D101547,STUDENTS!G1550:G101547)),"update STUDENT sheet")</f>
        <v/>
      </c>
      <c r="G1551">
        <f>IFERROR(IF(E1551="","",_xlfn.XLOOKUP(E1551,STUDENTS!F1550:F101547,STUDENTS!H1550:H101547)),"update STUDENT sheet")</f>
        <v/>
      </c>
    </row>
    <row r="1552">
      <c r="B1552">
        <f>IF(STUDENTS!B1551="","",STUDENTS!B1551)</f>
        <v/>
      </c>
      <c r="C1552">
        <f>IFERROR(IF(B1552="","",_xlfn.XLOOKUP(B1552,STUDENTS!$B$3:$B$1048576,STUDENTS!$C$3:$C$1048576)),"Enter a registered reg. no")</f>
        <v/>
      </c>
      <c r="E1552">
        <f>IFERROR(IF(C1552="","",_xlfn.XLOOKUP(C1552,STUDENTS!C1551:C101548,STUDENTS!F1551:F101548)),"update STUDENT sheet")</f>
        <v/>
      </c>
      <c r="F1552">
        <f>IFERROR(IF(D1552="","",_xlfn.XLOOKUP(D1552,STUDENTS!D1551:D101548,STUDENTS!G1551:G101548)),"update STUDENT sheet")</f>
        <v/>
      </c>
      <c r="G1552">
        <f>IFERROR(IF(E1552="","",_xlfn.XLOOKUP(E1552,STUDENTS!F1551:F101548,STUDENTS!H1551:H101548)),"update STUDENT sheet")</f>
        <v/>
      </c>
    </row>
    <row r="1553">
      <c r="B1553">
        <f>IF(STUDENTS!B1552="","",STUDENTS!B1552)</f>
        <v/>
      </c>
      <c r="C1553">
        <f>IFERROR(IF(B1553="","",_xlfn.XLOOKUP(B1553,STUDENTS!$B$3:$B$1048576,STUDENTS!$C$3:$C$1048576)),"Enter a registered reg. no")</f>
        <v/>
      </c>
      <c r="E1553">
        <f>IFERROR(IF(C1553="","",_xlfn.XLOOKUP(C1553,STUDENTS!C1552:C101549,STUDENTS!F1552:F101549)),"update STUDENT sheet")</f>
        <v/>
      </c>
      <c r="F1553">
        <f>IFERROR(IF(D1553="","",_xlfn.XLOOKUP(D1553,STUDENTS!D1552:D101549,STUDENTS!G1552:G101549)),"update STUDENT sheet")</f>
        <v/>
      </c>
      <c r="G1553">
        <f>IFERROR(IF(E1553="","",_xlfn.XLOOKUP(E1553,STUDENTS!F1552:F101549,STUDENTS!H1552:H101549)),"update STUDENT sheet")</f>
        <v/>
      </c>
    </row>
    <row r="1554">
      <c r="B1554">
        <f>IF(STUDENTS!B1553="","",STUDENTS!B1553)</f>
        <v/>
      </c>
      <c r="C1554">
        <f>IFERROR(IF(B1554="","",_xlfn.XLOOKUP(B1554,STUDENTS!$B$3:$B$1048576,STUDENTS!$C$3:$C$1048576)),"Enter a registered reg. no")</f>
        <v/>
      </c>
      <c r="E1554">
        <f>IFERROR(IF(C1554="","",_xlfn.XLOOKUP(C1554,STUDENTS!C1553:C101550,STUDENTS!F1553:F101550)),"update STUDENT sheet")</f>
        <v/>
      </c>
      <c r="F1554">
        <f>IFERROR(IF(D1554="","",_xlfn.XLOOKUP(D1554,STUDENTS!D1553:D101550,STUDENTS!G1553:G101550)),"update STUDENT sheet")</f>
        <v/>
      </c>
      <c r="G1554">
        <f>IFERROR(IF(E1554="","",_xlfn.XLOOKUP(E1554,STUDENTS!F1553:F101550,STUDENTS!H1553:H101550)),"update STUDENT sheet")</f>
        <v/>
      </c>
    </row>
    <row r="1555">
      <c r="B1555">
        <f>IF(STUDENTS!B1554="","",STUDENTS!B1554)</f>
        <v/>
      </c>
      <c r="C1555">
        <f>IFERROR(IF(B1555="","",_xlfn.XLOOKUP(B1555,STUDENTS!$B$3:$B$1048576,STUDENTS!$C$3:$C$1048576)),"Enter a registered reg. no")</f>
        <v/>
      </c>
      <c r="E1555">
        <f>IFERROR(IF(C1555="","",_xlfn.XLOOKUP(C1555,STUDENTS!C1554:C101551,STUDENTS!F1554:F101551)),"update STUDENT sheet")</f>
        <v/>
      </c>
      <c r="F1555">
        <f>IFERROR(IF(D1555="","",_xlfn.XLOOKUP(D1555,STUDENTS!D1554:D101551,STUDENTS!G1554:G101551)),"update STUDENT sheet")</f>
        <v/>
      </c>
      <c r="G1555">
        <f>IFERROR(IF(E1555="","",_xlfn.XLOOKUP(E1555,STUDENTS!F1554:F101551,STUDENTS!H1554:H101551)),"update STUDENT sheet")</f>
        <v/>
      </c>
    </row>
    <row r="1556">
      <c r="B1556">
        <f>IF(STUDENTS!B1555="","",STUDENTS!B1555)</f>
        <v/>
      </c>
      <c r="C1556">
        <f>IFERROR(IF(B1556="","",_xlfn.XLOOKUP(B1556,STUDENTS!$B$3:$B$1048576,STUDENTS!$C$3:$C$1048576)),"Enter a registered reg. no")</f>
        <v/>
      </c>
      <c r="E1556">
        <f>IFERROR(IF(C1556="","",_xlfn.XLOOKUP(C1556,STUDENTS!C1555:C101552,STUDENTS!F1555:F101552)),"update STUDENT sheet")</f>
        <v/>
      </c>
      <c r="F1556">
        <f>IFERROR(IF(D1556="","",_xlfn.XLOOKUP(D1556,STUDENTS!D1555:D101552,STUDENTS!G1555:G101552)),"update STUDENT sheet")</f>
        <v/>
      </c>
      <c r="G1556">
        <f>IFERROR(IF(E1556="","",_xlfn.XLOOKUP(E1556,STUDENTS!F1555:F101552,STUDENTS!H1555:H101552)),"update STUDENT sheet")</f>
        <v/>
      </c>
    </row>
    <row r="1557">
      <c r="B1557">
        <f>IF(STUDENTS!B1556="","",STUDENTS!B1556)</f>
        <v/>
      </c>
      <c r="C1557">
        <f>IFERROR(IF(B1557="","",_xlfn.XLOOKUP(B1557,STUDENTS!$B$3:$B$1048576,STUDENTS!$C$3:$C$1048576)),"Enter a registered reg. no")</f>
        <v/>
      </c>
      <c r="E1557">
        <f>IFERROR(IF(C1557="","",_xlfn.XLOOKUP(C1557,STUDENTS!C1556:C101553,STUDENTS!F1556:F101553)),"update STUDENT sheet")</f>
        <v/>
      </c>
      <c r="F1557">
        <f>IFERROR(IF(D1557="","",_xlfn.XLOOKUP(D1557,STUDENTS!D1556:D101553,STUDENTS!G1556:G101553)),"update STUDENT sheet")</f>
        <v/>
      </c>
      <c r="G1557">
        <f>IFERROR(IF(E1557="","",_xlfn.XLOOKUP(E1557,STUDENTS!F1556:F101553,STUDENTS!H1556:H101553)),"update STUDENT sheet")</f>
        <v/>
      </c>
    </row>
    <row r="1558">
      <c r="B1558">
        <f>IF(STUDENTS!B1557="","",STUDENTS!B1557)</f>
        <v/>
      </c>
      <c r="C1558">
        <f>IFERROR(IF(B1558="","",_xlfn.XLOOKUP(B1558,STUDENTS!$B$3:$B$1048576,STUDENTS!$C$3:$C$1048576)),"Enter a registered reg. no")</f>
        <v/>
      </c>
      <c r="E1558">
        <f>IFERROR(IF(C1558="","",_xlfn.XLOOKUP(C1558,STUDENTS!C1557:C101554,STUDENTS!F1557:F101554)),"update STUDENT sheet")</f>
        <v/>
      </c>
      <c r="F1558">
        <f>IFERROR(IF(D1558="","",_xlfn.XLOOKUP(D1558,STUDENTS!D1557:D101554,STUDENTS!G1557:G101554)),"update STUDENT sheet")</f>
        <v/>
      </c>
      <c r="G1558">
        <f>IFERROR(IF(E1558="","",_xlfn.XLOOKUP(E1558,STUDENTS!F1557:F101554,STUDENTS!H1557:H101554)),"update STUDENT sheet")</f>
        <v/>
      </c>
    </row>
    <row r="1559">
      <c r="B1559">
        <f>IF(STUDENTS!B1558="","",STUDENTS!B1558)</f>
        <v/>
      </c>
      <c r="C1559">
        <f>IFERROR(IF(B1559="","",_xlfn.XLOOKUP(B1559,STUDENTS!$B$3:$B$1048576,STUDENTS!$C$3:$C$1048576)),"Enter a registered reg. no")</f>
        <v/>
      </c>
      <c r="E1559">
        <f>IFERROR(IF(C1559="","",_xlfn.XLOOKUP(C1559,STUDENTS!C1558:C101555,STUDENTS!F1558:F101555)),"update STUDENT sheet")</f>
        <v/>
      </c>
      <c r="F1559">
        <f>IFERROR(IF(D1559="","",_xlfn.XLOOKUP(D1559,STUDENTS!D1558:D101555,STUDENTS!G1558:G101555)),"update STUDENT sheet")</f>
        <v/>
      </c>
      <c r="G1559">
        <f>IFERROR(IF(E1559="","",_xlfn.XLOOKUP(E1559,STUDENTS!F1558:F101555,STUDENTS!H1558:H101555)),"update STUDENT sheet")</f>
        <v/>
      </c>
    </row>
    <row r="1560">
      <c r="B1560">
        <f>IF(STUDENTS!B1559="","",STUDENTS!B1559)</f>
        <v/>
      </c>
      <c r="C1560">
        <f>IFERROR(IF(B1560="","",_xlfn.XLOOKUP(B1560,STUDENTS!$B$3:$B$1048576,STUDENTS!$C$3:$C$1048576)),"Enter a registered reg. no")</f>
        <v/>
      </c>
      <c r="E1560">
        <f>IFERROR(IF(C1560="","",_xlfn.XLOOKUP(C1560,STUDENTS!C1559:C101556,STUDENTS!F1559:F101556)),"update STUDENT sheet")</f>
        <v/>
      </c>
      <c r="F1560">
        <f>IFERROR(IF(D1560="","",_xlfn.XLOOKUP(D1560,STUDENTS!D1559:D101556,STUDENTS!G1559:G101556)),"update STUDENT sheet")</f>
        <v/>
      </c>
      <c r="G1560">
        <f>IFERROR(IF(E1560="","",_xlfn.XLOOKUP(E1560,STUDENTS!F1559:F101556,STUDENTS!H1559:H101556)),"update STUDENT sheet")</f>
        <v/>
      </c>
    </row>
    <row r="1561">
      <c r="B1561">
        <f>IF(STUDENTS!B1560="","",STUDENTS!B1560)</f>
        <v/>
      </c>
      <c r="C1561">
        <f>IFERROR(IF(B1561="","",_xlfn.XLOOKUP(B1561,STUDENTS!$B$3:$B$1048576,STUDENTS!$C$3:$C$1048576)),"Enter a registered reg. no")</f>
        <v/>
      </c>
      <c r="E1561">
        <f>IFERROR(IF(C1561="","",_xlfn.XLOOKUP(C1561,STUDENTS!C1560:C101557,STUDENTS!F1560:F101557)),"update STUDENT sheet")</f>
        <v/>
      </c>
      <c r="F1561">
        <f>IFERROR(IF(D1561="","",_xlfn.XLOOKUP(D1561,STUDENTS!D1560:D101557,STUDENTS!G1560:G101557)),"update STUDENT sheet")</f>
        <v/>
      </c>
      <c r="G1561">
        <f>IFERROR(IF(E1561="","",_xlfn.XLOOKUP(E1561,STUDENTS!F1560:F101557,STUDENTS!H1560:H101557)),"update STUDENT sheet")</f>
        <v/>
      </c>
    </row>
    <row r="1562">
      <c r="B1562">
        <f>IF(STUDENTS!B1561="","",STUDENTS!B1561)</f>
        <v/>
      </c>
      <c r="C1562">
        <f>IFERROR(IF(B1562="","",_xlfn.XLOOKUP(B1562,STUDENTS!$B$3:$B$1048576,STUDENTS!$C$3:$C$1048576)),"Enter a registered reg. no")</f>
        <v/>
      </c>
      <c r="E1562">
        <f>IFERROR(IF(C1562="","",_xlfn.XLOOKUP(C1562,STUDENTS!C1561:C101558,STUDENTS!F1561:F101558)),"update STUDENT sheet")</f>
        <v/>
      </c>
      <c r="F1562">
        <f>IFERROR(IF(D1562="","",_xlfn.XLOOKUP(D1562,STUDENTS!D1561:D101558,STUDENTS!G1561:G101558)),"update STUDENT sheet")</f>
        <v/>
      </c>
      <c r="G1562">
        <f>IFERROR(IF(E1562="","",_xlfn.XLOOKUP(E1562,STUDENTS!F1561:F101558,STUDENTS!H1561:H101558)),"update STUDENT sheet")</f>
        <v/>
      </c>
    </row>
    <row r="1563">
      <c r="B1563">
        <f>IF(STUDENTS!B1562="","",STUDENTS!B1562)</f>
        <v/>
      </c>
      <c r="C1563">
        <f>IFERROR(IF(B1563="","",_xlfn.XLOOKUP(B1563,STUDENTS!$B$3:$B$1048576,STUDENTS!$C$3:$C$1048576)),"Enter a registered reg. no")</f>
        <v/>
      </c>
      <c r="E1563">
        <f>IFERROR(IF(C1563="","",_xlfn.XLOOKUP(C1563,STUDENTS!C1562:C101559,STUDENTS!F1562:F101559)),"update STUDENT sheet")</f>
        <v/>
      </c>
      <c r="F1563">
        <f>IFERROR(IF(D1563="","",_xlfn.XLOOKUP(D1563,STUDENTS!D1562:D101559,STUDENTS!G1562:G101559)),"update STUDENT sheet")</f>
        <v/>
      </c>
      <c r="G1563">
        <f>IFERROR(IF(E1563="","",_xlfn.XLOOKUP(E1563,STUDENTS!F1562:F101559,STUDENTS!H1562:H101559)),"update STUDENT sheet")</f>
        <v/>
      </c>
    </row>
    <row r="1564">
      <c r="B1564">
        <f>IF(STUDENTS!B1563="","",STUDENTS!B1563)</f>
        <v/>
      </c>
      <c r="C1564">
        <f>IFERROR(IF(B1564="","",_xlfn.XLOOKUP(B1564,STUDENTS!$B$3:$B$1048576,STUDENTS!$C$3:$C$1048576)),"Enter a registered reg. no")</f>
        <v/>
      </c>
      <c r="E1564">
        <f>IFERROR(IF(C1564="","",_xlfn.XLOOKUP(C1564,STUDENTS!C1563:C101560,STUDENTS!F1563:F101560)),"update STUDENT sheet")</f>
        <v/>
      </c>
      <c r="F1564">
        <f>IFERROR(IF(D1564="","",_xlfn.XLOOKUP(D1564,STUDENTS!D1563:D101560,STUDENTS!G1563:G101560)),"update STUDENT sheet")</f>
        <v/>
      </c>
      <c r="G1564">
        <f>IFERROR(IF(E1564="","",_xlfn.XLOOKUP(E1564,STUDENTS!F1563:F101560,STUDENTS!H1563:H101560)),"update STUDENT sheet")</f>
        <v/>
      </c>
    </row>
    <row r="1565">
      <c r="B1565">
        <f>IF(STUDENTS!B1564="","",STUDENTS!B1564)</f>
        <v/>
      </c>
      <c r="C1565">
        <f>IFERROR(IF(B1565="","",_xlfn.XLOOKUP(B1565,STUDENTS!$B$3:$B$1048576,STUDENTS!$C$3:$C$1048576)),"Enter a registered reg. no")</f>
        <v/>
      </c>
      <c r="E1565">
        <f>IFERROR(IF(C1565="","",_xlfn.XLOOKUP(C1565,STUDENTS!C1564:C101561,STUDENTS!F1564:F101561)),"update STUDENT sheet")</f>
        <v/>
      </c>
      <c r="F1565">
        <f>IFERROR(IF(D1565="","",_xlfn.XLOOKUP(D1565,STUDENTS!D1564:D101561,STUDENTS!G1564:G101561)),"update STUDENT sheet")</f>
        <v/>
      </c>
      <c r="G1565">
        <f>IFERROR(IF(E1565="","",_xlfn.XLOOKUP(E1565,STUDENTS!F1564:F101561,STUDENTS!H1564:H101561)),"update STUDENT sheet")</f>
        <v/>
      </c>
    </row>
    <row r="1566">
      <c r="B1566">
        <f>IF(STUDENTS!B1565="","",STUDENTS!B1565)</f>
        <v/>
      </c>
      <c r="C1566">
        <f>IFERROR(IF(B1566="","",_xlfn.XLOOKUP(B1566,STUDENTS!$B$3:$B$1048576,STUDENTS!$C$3:$C$1048576)),"Enter a registered reg. no")</f>
        <v/>
      </c>
      <c r="E1566">
        <f>IFERROR(IF(C1566="","",_xlfn.XLOOKUP(C1566,STUDENTS!C1565:C101562,STUDENTS!F1565:F101562)),"update STUDENT sheet")</f>
        <v/>
      </c>
      <c r="F1566">
        <f>IFERROR(IF(D1566="","",_xlfn.XLOOKUP(D1566,STUDENTS!D1565:D101562,STUDENTS!G1565:G101562)),"update STUDENT sheet")</f>
        <v/>
      </c>
      <c r="G1566">
        <f>IFERROR(IF(E1566="","",_xlfn.XLOOKUP(E1566,STUDENTS!F1565:F101562,STUDENTS!H1565:H101562)),"update STUDENT sheet")</f>
        <v/>
      </c>
    </row>
    <row r="1567">
      <c r="B1567">
        <f>IF(STUDENTS!B1566="","",STUDENTS!B1566)</f>
        <v/>
      </c>
      <c r="C1567">
        <f>IFERROR(IF(B1567="","",_xlfn.XLOOKUP(B1567,STUDENTS!$B$3:$B$1048576,STUDENTS!$C$3:$C$1048576)),"Enter a registered reg. no")</f>
        <v/>
      </c>
      <c r="E1567">
        <f>IFERROR(IF(C1567="","",_xlfn.XLOOKUP(C1567,STUDENTS!C1566:C101563,STUDENTS!F1566:F101563)),"update STUDENT sheet")</f>
        <v/>
      </c>
      <c r="F1567">
        <f>IFERROR(IF(D1567="","",_xlfn.XLOOKUP(D1567,STUDENTS!D1566:D101563,STUDENTS!G1566:G101563)),"update STUDENT sheet")</f>
        <v/>
      </c>
      <c r="G1567">
        <f>IFERROR(IF(E1567="","",_xlfn.XLOOKUP(E1567,STUDENTS!F1566:F101563,STUDENTS!H1566:H101563)),"update STUDENT sheet")</f>
        <v/>
      </c>
    </row>
    <row r="1568">
      <c r="B1568">
        <f>IF(STUDENTS!B1567="","",STUDENTS!B1567)</f>
        <v/>
      </c>
      <c r="C1568">
        <f>IFERROR(IF(B1568="","",_xlfn.XLOOKUP(B1568,STUDENTS!$B$3:$B$1048576,STUDENTS!$C$3:$C$1048576)),"Enter a registered reg. no")</f>
        <v/>
      </c>
      <c r="E1568">
        <f>IFERROR(IF(C1568="","",_xlfn.XLOOKUP(C1568,STUDENTS!C1567:C101564,STUDENTS!F1567:F101564)),"update STUDENT sheet")</f>
        <v/>
      </c>
      <c r="F1568">
        <f>IFERROR(IF(D1568="","",_xlfn.XLOOKUP(D1568,STUDENTS!D1567:D101564,STUDENTS!G1567:G101564)),"update STUDENT sheet")</f>
        <v/>
      </c>
      <c r="G1568">
        <f>IFERROR(IF(E1568="","",_xlfn.XLOOKUP(E1568,STUDENTS!F1567:F101564,STUDENTS!H1567:H101564)),"update STUDENT sheet")</f>
        <v/>
      </c>
    </row>
    <row r="1569">
      <c r="B1569">
        <f>IF(STUDENTS!B1568="","",STUDENTS!B1568)</f>
        <v/>
      </c>
      <c r="C1569">
        <f>IFERROR(IF(B1569="","",_xlfn.XLOOKUP(B1569,STUDENTS!$B$3:$B$1048576,STUDENTS!$C$3:$C$1048576)),"Enter a registered reg. no")</f>
        <v/>
      </c>
      <c r="E1569">
        <f>IFERROR(IF(C1569="","",_xlfn.XLOOKUP(C1569,STUDENTS!C1568:C101565,STUDENTS!F1568:F101565)),"update STUDENT sheet")</f>
        <v/>
      </c>
      <c r="F1569">
        <f>IFERROR(IF(D1569="","",_xlfn.XLOOKUP(D1569,STUDENTS!D1568:D101565,STUDENTS!G1568:G101565)),"update STUDENT sheet")</f>
        <v/>
      </c>
      <c r="G1569">
        <f>IFERROR(IF(E1569="","",_xlfn.XLOOKUP(E1569,STUDENTS!F1568:F101565,STUDENTS!H1568:H101565)),"update STUDENT sheet")</f>
        <v/>
      </c>
    </row>
    <row r="1570">
      <c r="B1570">
        <f>IF(STUDENTS!B1569="","",STUDENTS!B1569)</f>
        <v/>
      </c>
      <c r="C1570">
        <f>IFERROR(IF(B1570="","",_xlfn.XLOOKUP(B1570,STUDENTS!$B$3:$B$1048576,STUDENTS!$C$3:$C$1048576)),"Enter a registered reg. no")</f>
        <v/>
      </c>
      <c r="E1570">
        <f>IFERROR(IF(C1570="","",_xlfn.XLOOKUP(C1570,STUDENTS!C1569:C101566,STUDENTS!F1569:F101566)),"update STUDENT sheet")</f>
        <v/>
      </c>
      <c r="F1570">
        <f>IFERROR(IF(D1570="","",_xlfn.XLOOKUP(D1570,STUDENTS!D1569:D101566,STUDENTS!G1569:G101566)),"update STUDENT sheet")</f>
        <v/>
      </c>
      <c r="G1570">
        <f>IFERROR(IF(E1570="","",_xlfn.XLOOKUP(E1570,STUDENTS!F1569:F101566,STUDENTS!H1569:H101566)),"update STUDENT sheet")</f>
        <v/>
      </c>
    </row>
    <row r="1571">
      <c r="B1571">
        <f>IF(STUDENTS!B1570="","",STUDENTS!B1570)</f>
        <v/>
      </c>
      <c r="C1571">
        <f>IFERROR(IF(B1571="","",_xlfn.XLOOKUP(B1571,STUDENTS!$B$3:$B$1048576,STUDENTS!$C$3:$C$1048576)),"Enter a registered reg. no")</f>
        <v/>
      </c>
      <c r="E1571">
        <f>IFERROR(IF(C1571="","",_xlfn.XLOOKUP(C1571,STUDENTS!C1570:C101567,STUDENTS!F1570:F101567)),"update STUDENT sheet")</f>
        <v/>
      </c>
      <c r="F1571">
        <f>IFERROR(IF(D1571="","",_xlfn.XLOOKUP(D1571,STUDENTS!D1570:D101567,STUDENTS!G1570:G101567)),"update STUDENT sheet")</f>
        <v/>
      </c>
      <c r="G1571">
        <f>IFERROR(IF(E1571="","",_xlfn.XLOOKUP(E1571,STUDENTS!F1570:F101567,STUDENTS!H1570:H101567)),"update STUDENT sheet")</f>
        <v/>
      </c>
    </row>
    <row r="1572">
      <c r="B1572">
        <f>IF(STUDENTS!B1571="","",STUDENTS!B1571)</f>
        <v/>
      </c>
      <c r="C1572">
        <f>IFERROR(IF(B1572="","",_xlfn.XLOOKUP(B1572,STUDENTS!$B$3:$B$1048576,STUDENTS!$C$3:$C$1048576)),"Enter a registered reg. no")</f>
        <v/>
      </c>
      <c r="E1572">
        <f>IFERROR(IF(C1572="","",_xlfn.XLOOKUP(C1572,STUDENTS!C1571:C101568,STUDENTS!F1571:F101568)),"update STUDENT sheet")</f>
        <v/>
      </c>
      <c r="F1572">
        <f>IFERROR(IF(D1572="","",_xlfn.XLOOKUP(D1572,STUDENTS!D1571:D101568,STUDENTS!G1571:G101568)),"update STUDENT sheet")</f>
        <v/>
      </c>
      <c r="G1572">
        <f>IFERROR(IF(E1572="","",_xlfn.XLOOKUP(E1572,STUDENTS!F1571:F101568,STUDENTS!H1571:H101568)),"update STUDENT sheet")</f>
        <v/>
      </c>
    </row>
    <row r="1573">
      <c r="B1573">
        <f>IF(STUDENTS!B1572="","",STUDENTS!B1572)</f>
        <v/>
      </c>
      <c r="C1573">
        <f>IFERROR(IF(B1573="","",_xlfn.XLOOKUP(B1573,STUDENTS!$B$3:$B$1048576,STUDENTS!$C$3:$C$1048576)),"Enter a registered reg. no")</f>
        <v/>
      </c>
      <c r="E1573">
        <f>IFERROR(IF(C1573="","",_xlfn.XLOOKUP(C1573,STUDENTS!C1572:C101569,STUDENTS!F1572:F101569)),"update STUDENT sheet")</f>
        <v/>
      </c>
      <c r="F1573">
        <f>IFERROR(IF(D1573="","",_xlfn.XLOOKUP(D1573,STUDENTS!D1572:D101569,STUDENTS!G1572:G101569)),"update STUDENT sheet")</f>
        <v/>
      </c>
      <c r="G1573">
        <f>IFERROR(IF(E1573="","",_xlfn.XLOOKUP(E1573,STUDENTS!F1572:F101569,STUDENTS!H1572:H101569)),"update STUDENT sheet")</f>
        <v/>
      </c>
    </row>
    <row r="1574">
      <c r="B1574">
        <f>IF(STUDENTS!B1573="","",STUDENTS!B1573)</f>
        <v/>
      </c>
      <c r="C1574">
        <f>IFERROR(IF(B1574="","",_xlfn.XLOOKUP(B1574,STUDENTS!$B$3:$B$1048576,STUDENTS!$C$3:$C$1048576)),"Enter a registered reg. no")</f>
        <v/>
      </c>
      <c r="E1574">
        <f>IFERROR(IF(C1574="","",_xlfn.XLOOKUP(C1574,STUDENTS!C1573:C101570,STUDENTS!F1573:F101570)),"update STUDENT sheet")</f>
        <v/>
      </c>
      <c r="F1574">
        <f>IFERROR(IF(D1574="","",_xlfn.XLOOKUP(D1574,STUDENTS!D1573:D101570,STUDENTS!G1573:G101570)),"update STUDENT sheet")</f>
        <v/>
      </c>
      <c r="G1574">
        <f>IFERROR(IF(E1574="","",_xlfn.XLOOKUP(E1574,STUDENTS!F1573:F101570,STUDENTS!H1573:H101570)),"update STUDENT sheet")</f>
        <v/>
      </c>
    </row>
    <row r="1575">
      <c r="B1575">
        <f>IF(STUDENTS!B1574="","",STUDENTS!B1574)</f>
        <v/>
      </c>
      <c r="C1575">
        <f>IFERROR(IF(B1575="","",_xlfn.XLOOKUP(B1575,STUDENTS!$B$3:$B$1048576,STUDENTS!$C$3:$C$1048576)),"Enter a registered reg. no")</f>
        <v/>
      </c>
      <c r="E1575">
        <f>IFERROR(IF(C1575="","",_xlfn.XLOOKUP(C1575,STUDENTS!C1574:C101571,STUDENTS!F1574:F101571)),"update STUDENT sheet")</f>
        <v/>
      </c>
      <c r="F1575">
        <f>IFERROR(IF(D1575="","",_xlfn.XLOOKUP(D1575,STUDENTS!D1574:D101571,STUDENTS!G1574:G101571)),"update STUDENT sheet")</f>
        <v/>
      </c>
      <c r="G1575">
        <f>IFERROR(IF(E1575="","",_xlfn.XLOOKUP(E1575,STUDENTS!F1574:F101571,STUDENTS!H1574:H101571)),"update STUDENT sheet")</f>
        <v/>
      </c>
    </row>
    <row r="1576">
      <c r="B1576">
        <f>IF(STUDENTS!B1575="","",STUDENTS!B1575)</f>
        <v/>
      </c>
      <c r="C1576">
        <f>IFERROR(IF(B1576="","",_xlfn.XLOOKUP(B1576,STUDENTS!$B$3:$B$1048576,STUDENTS!$C$3:$C$1048576)),"Enter a registered reg. no")</f>
        <v/>
      </c>
      <c r="E1576">
        <f>IFERROR(IF(C1576="","",_xlfn.XLOOKUP(C1576,STUDENTS!C1575:C101572,STUDENTS!F1575:F101572)),"update STUDENT sheet")</f>
        <v/>
      </c>
      <c r="F1576">
        <f>IFERROR(IF(D1576="","",_xlfn.XLOOKUP(D1576,STUDENTS!D1575:D101572,STUDENTS!G1575:G101572)),"update STUDENT sheet")</f>
        <v/>
      </c>
      <c r="G1576">
        <f>IFERROR(IF(E1576="","",_xlfn.XLOOKUP(E1576,STUDENTS!F1575:F101572,STUDENTS!H1575:H101572)),"update STUDENT sheet")</f>
        <v/>
      </c>
    </row>
    <row r="1577">
      <c r="B1577">
        <f>IF(STUDENTS!B1576="","",STUDENTS!B1576)</f>
        <v/>
      </c>
      <c r="C1577">
        <f>IFERROR(IF(B1577="","",_xlfn.XLOOKUP(B1577,STUDENTS!$B$3:$B$1048576,STUDENTS!$C$3:$C$1048576)),"Enter a registered reg. no")</f>
        <v/>
      </c>
      <c r="E1577">
        <f>IFERROR(IF(C1577="","",_xlfn.XLOOKUP(C1577,STUDENTS!C1576:C101573,STUDENTS!F1576:F101573)),"update STUDENT sheet")</f>
        <v/>
      </c>
      <c r="F1577">
        <f>IFERROR(IF(D1577="","",_xlfn.XLOOKUP(D1577,STUDENTS!D1576:D101573,STUDENTS!G1576:G101573)),"update STUDENT sheet")</f>
        <v/>
      </c>
      <c r="G1577">
        <f>IFERROR(IF(E1577="","",_xlfn.XLOOKUP(E1577,STUDENTS!F1576:F101573,STUDENTS!H1576:H101573)),"update STUDENT sheet")</f>
        <v/>
      </c>
    </row>
    <row r="1578">
      <c r="B1578">
        <f>IF(STUDENTS!B1577="","",STUDENTS!B1577)</f>
        <v/>
      </c>
      <c r="C1578">
        <f>IFERROR(IF(B1578="","",_xlfn.XLOOKUP(B1578,STUDENTS!$B$3:$B$1048576,STUDENTS!$C$3:$C$1048576)),"Enter a registered reg. no")</f>
        <v/>
      </c>
      <c r="E1578">
        <f>IFERROR(IF(C1578="","",_xlfn.XLOOKUP(C1578,STUDENTS!C1577:C101574,STUDENTS!F1577:F101574)),"update STUDENT sheet")</f>
        <v/>
      </c>
      <c r="F1578">
        <f>IFERROR(IF(D1578="","",_xlfn.XLOOKUP(D1578,STUDENTS!D1577:D101574,STUDENTS!G1577:G101574)),"update STUDENT sheet")</f>
        <v/>
      </c>
      <c r="G1578">
        <f>IFERROR(IF(E1578="","",_xlfn.XLOOKUP(E1578,STUDENTS!F1577:F101574,STUDENTS!H1577:H101574)),"update STUDENT sheet")</f>
        <v/>
      </c>
    </row>
    <row r="1579">
      <c r="B1579">
        <f>IF(STUDENTS!B1578="","",STUDENTS!B1578)</f>
        <v/>
      </c>
      <c r="C1579">
        <f>IFERROR(IF(B1579="","",_xlfn.XLOOKUP(B1579,STUDENTS!$B$3:$B$1048576,STUDENTS!$C$3:$C$1048576)),"Enter a registered reg. no")</f>
        <v/>
      </c>
      <c r="E1579">
        <f>IFERROR(IF(C1579="","",_xlfn.XLOOKUP(C1579,STUDENTS!C1578:C101575,STUDENTS!F1578:F101575)),"update STUDENT sheet")</f>
        <v/>
      </c>
      <c r="F1579">
        <f>IFERROR(IF(D1579="","",_xlfn.XLOOKUP(D1579,STUDENTS!D1578:D101575,STUDENTS!G1578:G101575)),"update STUDENT sheet")</f>
        <v/>
      </c>
      <c r="G1579">
        <f>IFERROR(IF(E1579="","",_xlfn.XLOOKUP(E1579,STUDENTS!F1578:F101575,STUDENTS!H1578:H101575)),"update STUDENT sheet")</f>
        <v/>
      </c>
    </row>
    <row r="1580">
      <c r="B1580">
        <f>IF(STUDENTS!B1579="","",STUDENTS!B1579)</f>
        <v/>
      </c>
      <c r="C1580">
        <f>IFERROR(IF(B1580="","",_xlfn.XLOOKUP(B1580,STUDENTS!$B$3:$B$1048576,STUDENTS!$C$3:$C$1048576)),"Enter a registered reg. no")</f>
        <v/>
      </c>
      <c r="E1580">
        <f>IFERROR(IF(C1580="","",_xlfn.XLOOKUP(C1580,STUDENTS!C1579:C101576,STUDENTS!F1579:F101576)),"update STUDENT sheet")</f>
        <v/>
      </c>
      <c r="F1580">
        <f>IFERROR(IF(D1580="","",_xlfn.XLOOKUP(D1580,STUDENTS!D1579:D101576,STUDENTS!G1579:G101576)),"update STUDENT sheet")</f>
        <v/>
      </c>
      <c r="G1580">
        <f>IFERROR(IF(E1580="","",_xlfn.XLOOKUP(E1580,STUDENTS!F1579:F101576,STUDENTS!H1579:H101576)),"update STUDENT sheet")</f>
        <v/>
      </c>
    </row>
    <row r="1581">
      <c r="B1581">
        <f>IF(STUDENTS!B1580="","",STUDENTS!B1580)</f>
        <v/>
      </c>
      <c r="C1581">
        <f>IFERROR(IF(B1581="","",_xlfn.XLOOKUP(B1581,STUDENTS!$B$3:$B$1048576,STUDENTS!$C$3:$C$1048576)),"Enter a registered reg. no")</f>
        <v/>
      </c>
      <c r="E1581">
        <f>IFERROR(IF(C1581="","",_xlfn.XLOOKUP(C1581,STUDENTS!C1580:C101577,STUDENTS!F1580:F101577)),"update STUDENT sheet")</f>
        <v/>
      </c>
      <c r="F1581">
        <f>IFERROR(IF(D1581="","",_xlfn.XLOOKUP(D1581,STUDENTS!D1580:D101577,STUDENTS!G1580:G101577)),"update STUDENT sheet")</f>
        <v/>
      </c>
      <c r="G1581">
        <f>IFERROR(IF(E1581="","",_xlfn.XLOOKUP(E1581,STUDENTS!F1580:F101577,STUDENTS!H1580:H101577)),"update STUDENT sheet")</f>
        <v/>
      </c>
    </row>
    <row r="1582">
      <c r="B1582">
        <f>IF(STUDENTS!B1581="","",STUDENTS!B1581)</f>
        <v/>
      </c>
      <c r="C1582">
        <f>IFERROR(IF(B1582="","",_xlfn.XLOOKUP(B1582,STUDENTS!$B$3:$B$1048576,STUDENTS!$C$3:$C$1048576)),"Enter a registered reg. no")</f>
        <v/>
      </c>
      <c r="E1582">
        <f>IFERROR(IF(C1582="","",_xlfn.XLOOKUP(C1582,STUDENTS!C1581:C101578,STUDENTS!F1581:F101578)),"update STUDENT sheet")</f>
        <v/>
      </c>
      <c r="F1582">
        <f>IFERROR(IF(D1582="","",_xlfn.XLOOKUP(D1582,STUDENTS!D1581:D101578,STUDENTS!G1581:G101578)),"update STUDENT sheet")</f>
        <v/>
      </c>
      <c r="G1582">
        <f>IFERROR(IF(E1582="","",_xlfn.XLOOKUP(E1582,STUDENTS!F1581:F101578,STUDENTS!H1581:H101578)),"update STUDENT sheet")</f>
        <v/>
      </c>
    </row>
    <row r="1583">
      <c r="B1583">
        <f>IF(STUDENTS!B1582="","",STUDENTS!B1582)</f>
        <v/>
      </c>
      <c r="C1583">
        <f>IFERROR(IF(B1583="","",_xlfn.XLOOKUP(B1583,STUDENTS!$B$3:$B$1048576,STUDENTS!$C$3:$C$1048576)),"Enter a registered reg. no")</f>
        <v/>
      </c>
      <c r="E1583">
        <f>IFERROR(IF(C1583="","",_xlfn.XLOOKUP(C1583,STUDENTS!C1582:C101579,STUDENTS!F1582:F101579)),"update STUDENT sheet")</f>
        <v/>
      </c>
      <c r="F1583">
        <f>IFERROR(IF(D1583="","",_xlfn.XLOOKUP(D1583,STUDENTS!D1582:D101579,STUDENTS!G1582:G101579)),"update STUDENT sheet")</f>
        <v/>
      </c>
      <c r="G1583">
        <f>IFERROR(IF(E1583="","",_xlfn.XLOOKUP(E1583,STUDENTS!F1582:F101579,STUDENTS!H1582:H101579)),"update STUDENT sheet")</f>
        <v/>
      </c>
    </row>
    <row r="1584">
      <c r="B1584">
        <f>IF(STUDENTS!B1583="","",STUDENTS!B1583)</f>
        <v/>
      </c>
      <c r="C1584">
        <f>IFERROR(IF(B1584="","",_xlfn.XLOOKUP(B1584,STUDENTS!$B$3:$B$1048576,STUDENTS!$C$3:$C$1048576)),"Enter a registered reg. no")</f>
        <v/>
      </c>
      <c r="E1584">
        <f>IFERROR(IF(C1584="","",_xlfn.XLOOKUP(C1584,STUDENTS!C1583:C101580,STUDENTS!F1583:F101580)),"update STUDENT sheet")</f>
        <v/>
      </c>
      <c r="F1584">
        <f>IFERROR(IF(D1584="","",_xlfn.XLOOKUP(D1584,STUDENTS!D1583:D101580,STUDENTS!G1583:G101580)),"update STUDENT sheet")</f>
        <v/>
      </c>
      <c r="G1584">
        <f>IFERROR(IF(E1584="","",_xlfn.XLOOKUP(E1584,STUDENTS!F1583:F101580,STUDENTS!H1583:H101580)),"update STUDENT sheet")</f>
        <v/>
      </c>
    </row>
    <row r="1585">
      <c r="B1585">
        <f>IF(STUDENTS!B1584="","",STUDENTS!B1584)</f>
        <v/>
      </c>
      <c r="C1585">
        <f>IFERROR(IF(B1585="","",_xlfn.XLOOKUP(B1585,STUDENTS!$B$3:$B$1048576,STUDENTS!$C$3:$C$1048576)),"Enter a registered reg. no")</f>
        <v/>
      </c>
      <c r="E1585">
        <f>IFERROR(IF(C1585="","",_xlfn.XLOOKUP(C1585,STUDENTS!C1584:C101581,STUDENTS!F1584:F101581)),"update STUDENT sheet")</f>
        <v/>
      </c>
      <c r="F1585">
        <f>IFERROR(IF(D1585="","",_xlfn.XLOOKUP(D1585,STUDENTS!D1584:D101581,STUDENTS!G1584:G101581)),"update STUDENT sheet")</f>
        <v/>
      </c>
      <c r="G1585">
        <f>IFERROR(IF(E1585="","",_xlfn.XLOOKUP(E1585,STUDENTS!F1584:F101581,STUDENTS!H1584:H101581)),"update STUDENT sheet")</f>
        <v/>
      </c>
    </row>
    <row r="1586">
      <c r="B1586">
        <f>IF(STUDENTS!B1585="","",STUDENTS!B1585)</f>
        <v/>
      </c>
      <c r="C1586">
        <f>IFERROR(IF(B1586="","",_xlfn.XLOOKUP(B1586,STUDENTS!$B$3:$B$1048576,STUDENTS!$C$3:$C$1048576)),"Enter a registered reg. no")</f>
        <v/>
      </c>
      <c r="E1586">
        <f>IFERROR(IF(C1586="","",_xlfn.XLOOKUP(C1586,STUDENTS!C1585:C101582,STUDENTS!F1585:F101582)),"update STUDENT sheet")</f>
        <v/>
      </c>
      <c r="F1586">
        <f>IFERROR(IF(D1586="","",_xlfn.XLOOKUP(D1586,STUDENTS!D1585:D101582,STUDENTS!G1585:G101582)),"update STUDENT sheet")</f>
        <v/>
      </c>
      <c r="G1586">
        <f>IFERROR(IF(E1586="","",_xlfn.XLOOKUP(E1586,STUDENTS!F1585:F101582,STUDENTS!H1585:H101582)),"update STUDENT sheet")</f>
        <v/>
      </c>
    </row>
    <row r="1587">
      <c r="B1587">
        <f>IF(STUDENTS!B1586="","",STUDENTS!B1586)</f>
        <v/>
      </c>
      <c r="C1587">
        <f>IFERROR(IF(B1587="","",_xlfn.XLOOKUP(B1587,STUDENTS!$B$3:$B$1048576,STUDENTS!$C$3:$C$1048576)),"Enter a registered reg. no")</f>
        <v/>
      </c>
      <c r="E1587">
        <f>IFERROR(IF(C1587="","",_xlfn.XLOOKUP(C1587,STUDENTS!C1586:C101583,STUDENTS!F1586:F101583)),"update STUDENT sheet")</f>
        <v/>
      </c>
      <c r="F1587">
        <f>IFERROR(IF(D1587="","",_xlfn.XLOOKUP(D1587,STUDENTS!D1586:D101583,STUDENTS!G1586:G101583)),"update STUDENT sheet")</f>
        <v/>
      </c>
      <c r="G1587">
        <f>IFERROR(IF(E1587="","",_xlfn.XLOOKUP(E1587,STUDENTS!F1586:F101583,STUDENTS!H1586:H101583)),"update STUDENT sheet")</f>
        <v/>
      </c>
    </row>
    <row r="1588">
      <c r="B1588">
        <f>IF(STUDENTS!B1587="","",STUDENTS!B1587)</f>
        <v/>
      </c>
      <c r="C1588">
        <f>IFERROR(IF(B1588="","",_xlfn.XLOOKUP(B1588,STUDENTS!$B$3:$B$1048576,STUDENTS!$C$3:$C$1048576)),"Enter a registered reg. no")</f>
        <v/>
      </c>
      <c r="E1588">
        <f>IFERROR(IF(C1588="","",_xlfn.XLOOKUP(C1588,STUDENTS!C1587:C101584,STUDENTS!F1587:F101584)),"update STUDENT sheet")</f>
        <v/>
      </c>
      <c r="F1588">
        <f>IFERROR(IF(D1588="","",_xlfn.XLOOKUP(D1588,STUDENTS!D1587:D101584,STUDENTS!G1587:G101584)),"update STUDENT sheet")</f>
        <v/>
      </c>
      <c r="G1588">
        <f>IFERROR(IF(E1588="","",_xlfn.XLOOKUP(E1588,STUDENTS!F1587:F101584,STUDENTS!H1587:H101584)),"update STUDENT sheet")</f>
        <v/>
      </c>
    </row>
    <row r="1589">
      <c r="B1589">
        <f>IF(STUDENTS!B1588="","",STUDENTS!B1588)</f>
        <v/>
      </c>
      <c r="C1589">
        <f>IFERROR(IF(B1589="","",_xlfn.XLOOKUP(B1589,STUDENTS!$B$3:$B$1048576,STUDENTS!$C$3:$C$1048576)),"Enter a registered reg. no")</f>
        <v/>
      </c>
      <c r="E1589">
        <f>IFERROR(IF(C1589="","",_xlfn.XLOOKUP(C1589,STUDENTS!C1588:C101585,STUDENTS!F1588:F101585)),"update STUDENT sheet")</f>
        <v/>
      </c>
      <c r="F1589">
        <f>IFERROR(IF(D1589="","",_xlfn.XLOOKUP(D1589,STUDENTS!D1588:D101585,STUDENTS!G1588:G101585)),"update STUDENT sheet")</f>
        <v/>
      </c>
      <c r="G1589">
        <f>IFERROR(IF(E1589="","",_xlfn.XLOOKUP(E1589,STUDENTS!F1588:F101585,STUDENTS!H1588:H101585)),"update STUDENT sheet")</f>
        <v/>
      </c>
    </row>
    <row r="1590">
      <c r="B1590">
        <f>IF(STUDENTS!B1589="","",STUDENTS!B1589)</f>
        <v/>
      </c>
      <c r="C1590">
        <f>IFERROR(IF(B1590="","",_xlfn.XLOOKUP(B1590,STUDENTS!$B$3:$B$1048576,STUDENTS!$C$3:$C$1048576)),"Enter a registered reg. no")</f>
        <v/>
      </c>
      <c r="E1590">
        <f>IFERROR(IF(C1590="","",_xlfn.XLOOKUP(C1590,STUDENTS!C1589:C101586,STUDENTS!F1589:F101586)),"update STUDENT sheet")</f>
        <v/>
      </c>
      <c r="F1590">
        <f>IFERROR(IF(D1590="","",_xlfn.XLOOKUP(D1590,STUDENTS!D1589:D101586,STUDENTS!G1589:G101586)),"update STUDENT sheet")</f>
        <v/>
      </c>
      <c r="G1590">
        <f>IFERROR(IF(E1590="","",_xlfn.XLOOKUP(E1590,STUDENTS!F1589:F101586,STUDENTS!H1589:H101586)),"update STUDENT sheet")</f>
        <v/>
      </c>
    </row>
    <row r="1591">
      <c r="B1591">
        <f>IF(STUDENTS!B1590="","",STUDENTS!B1590)</f>
        <v/>
      </c>
      <c r="C1591">
        <f>IFERROR(IF(B1591="","",_xlfn.XLOOKUP(B1591,STUDENTS!$B$3:$B$1048576,STUDENTS!$C$3:$C$1048576)),"Enter a registered reg. no")</f>
        <v/>
      </c>
      <c r="E1591">
        <f>IFERROR(IF(C1591="","",_xlfn.XLOOKUP(C1591,STUDENTS!C1590:C101587,STUDENTS!F1590:F101587)),"update STUDENT sheet")</f>
        <v/>
      </c>
      <c r="F1591">
        <f>IFERROR(IF(D1591="","",_xlfn.XLOOKUP(D1591,STUDENTS!D1590:D101587,STUDENTS!G1590:G101587)),"update STUDENT sheet")</f>
        <v/>
      </c>
      <c r="G1591">
        <f>IFERROR(IF(E1591="","",_xlfn.XLOOKUP(E1591,STUDENTS!F1590:F101587,STUDENTS!H1590:H101587)),"update STUDENT sheet")</f>
        <v/>
      </c>
    </row>
    <row r="1592">
      <c r="B1592">
        <f>IF(STUDENTS!B1591="","",STUDENTS!B1591)</f>
        <v/>
      </c>
      <c r="C1592">
        <f>IFERROR(IF(B1592="","",_xlfn.XLOOKUP(B1592,STUDENTS!$B$3:$B$1048576,STUDENTS!$C$3:$C$1048576)),"Enter a registered reg. no")</f>
        <v/>
      </c>
      <c r="E1592">
        <f>IFERROR(IF(C1592="","",_xlfn.XLOOKUP(C1592,STUDENTS!C1591:C101588,STUDENTS!F1591:F101588)),"update STUDENT sheet")</f>
        <v/>
      </c>
      <c r="F1592">
        <f>IFERROR(IF(D1592="","",_xlfn.XLOOKUP(D1592,STUDENTS!D1591:D101588,STUDENTS!G1591:G101588)),"update STUDENT sheet")</f>
        <v/>
      </c>
      <c r="G1592">
        <f>IFERROR(IF(E1592="","",_xlfn.XLOOKUP(E1592,STUDENTS!F1591:F101588,STUDENTS!H1591:H101588)),"update STUDENT sheet")</f>
        <v/>
      </c>
    </row>
    <row r="1593">
      <c r="B1593">
        <f>IF(STUDENTS!B1592="","",STUDENTS!B1592)</f>
        <v/>
      </c>
      <c r="C1593">
        <f>IFERROR(IF(B1593="","",_xlfn.XLOOKUP(B1593,STUDENTS!$B$3:$B$1048576,STUDENTS!$C$3:$C$1048576)),"Enter a registered reg. no")</f>
        <v/>
      </c>
      <c r="E1593">
        <f>IFERROR(IF(C1593="","",_xlfn.XLOOKUP(C1593,STUDENTS!C1592:C101589,STUDENTS!F1592:F101589)),"update STUDENT sheet")</f>
        <v/>
      </c>
      <c r="F1593">
        <f>IFERROR(IF(D1593="","",_xlfn.XLOOKUP(D1593,STUDENTS!D1592:D101589,STUDENTS!G1592:G101589)),"update STUDENT sheet")</f>
        <v/>
      </c>
      <c r="G1593">
        <f>IFERROR(IF(E1593="","",_xlfn.XLOOKUP(E1593,STUDENTS!F1592:F101589,STUDENTS!H1592:H101589)),"update STUDENT sheet")</f>
        <v/>
      </c>
    </row>
    <row r="1594">
      <c r="B1594">
        <f>IF(STUDENTS!B1593="","",STUDENTS!B1593)</f>
        <v/>
      </c>
      <c r="C1594">
        <f>IFERROR(IF(B1594="","",_xlfn.XLOOKUP(B1594,STUDENTS!$B$3:$B$1048576,STUDENTS!$C$3:$C$1048576)),"Enter a registered reg. no")</f>
        <v/>
      </c>
      <c r="E1594">
        <f>IFERROR(IF(C1594="","",_xlfn.XLOOKUP(C1594,STUDENTS!C1593:C101590,STUDENTS!F1593:F101590)),"update STUDENT sheet")</f>
        <v/>
      </c>
      <c r="F1594">
        <f>IFERROR(IF(D1594="","",_xlfn.XLOOKUP(D1594,STUDENTS!D1593:D101590,STUDENTS!G1593:G101590)),"update STUDENT sheet")</f>
        <v/>
      </c>
      <c r="G1594">
        <f>IFERROR(IF(E1594="","",_xlfn.XLOOKUP(E1594,STUDENTS!F1593:F101590,STUDENTS!H1593:H101590)),"update STUDENT sheet")</f>
        <v/>
      </c>
    </row>
    <row r="1595">
      <c r="B1595">
        <f>IF(STUDENTS!B1594="","",STUDENTS!B1594)</f>
        <v/>
      </c>
      <c r="C1595">
        <f>IFERROR(IF(B1595="","",_xlfn.XLOOKUP(B1595,STUDENTS!$B$3:$B$1048576,STUDENTS!$C$3:$C$1048576)),"Enter a registered reg. no")</f>
        <v/>
      </c>
      <c r="E1595">
        <f>IFERROR(IF(C1595="","",_xlfn.XLOOKUP(C1595,STUDENTS!C1594:C101591,STUDENTS!F1594:F101591)),"update STUDENT sheet")</f>
        <v/>
      </c>
      <c r="F1595">
        <f>IFERROR(IF(D1595="","",_xlfn.XLOOKUP(D1595,STUDENTS!D1594:D101591,STUDENTS!G1594:G101591)),"update STUDENT sheet")</f>
        <v/>
      </c>
      <c r="G1595">
        <f>IFERROR(IF(E1595="","",_xlfn.XLOOKUP(E1595,STUDENTS!F1594:F101591,STUDENTS!H1594:H101591)),"update STUDENT sheet")</f>
        <v/>
      </c>
    </row>
    <row r="1596">
      <c r="B1596">
        <f>IF(STUDENTS!B1595="","",STUDENTS!B1595)</f>
        <v/>
      </c>
      <c r="C1596">
        <f>IFERROR(IF(B1596="","",_xlfn.XLOOKUP(B1596,STUDENTS!$B$3:$B$1048576,STUDENTS!$C$3:$C$1048576)),"Enter a registered reg. no")</f>
        <v/>
      </c>
      <c r="E1596">
        <f>IFERROR(IF(C1596="","",_xlfn.XLOOKUP(C1596,STUDENTS!C1595:C101592,STUDENTS!F1595:F101592)),"update STUDENT sheet")</f>
        <v/>
      </c>
      <c r="F1596">
        <f>IFERROR(IF(D1596="","",_xlfn.XLOOKUP(D1596,STUDENTS!D1595:D101592,STUDENTS!G1595:G101592)),"update STUDENT sheet")</f>
        <v/>
      </c>
      <c r="G1596">
        <f>IFERROR(IF(E1596="","",_xlfn.XLOOKUP(E1596,STUDENTS!F1595:F101592,STUDENTS!H1595:H101592)),"update STUDENT sheet")</f>
        <v/>
      </c>
    </row>
    <row r="1597">
      <c r="B1597">
        <f>IF(STUDENTS!B1596="","",STUDENTS!B1596)</f>
        <v/>
      </c>
      <c r="C1597">
        <f>IFERROR(IF(B1597="","",_xlfn.XLOOKUP(B1597,STUDENTS!$B$3:$B$1048576,STUDENTS!$C$3:$C$1048576)),"Enter a registered reg. no")</f>
        <v/>
      </c>
      <c r="E1597">
        <f>IFERROR(IF(C1597="","",_xlfn.XLOOKUP(C1597,STUDENTS!C1596:C101593,STUDENTS!F1596:F101593)),"update STUDENT sheet")</f>
        <v/>
      </c>
      <c r="F1597">
        <f>IFERROR(IF(D1597="","",_xlfn.XLOOKUP(D1597,STUDENTS!D1596:D101593,STUDENTS!G1596:G101593)),"update STUDENT sheet")</f>
        <v/>
      </c>
      <c r="G1597">
        <f>IFERROR(IF(E1597="","",_xlfn.XLOOKUP(E1597,STUDENTS!F1596:F101593,STUDENTS!H1596:H101593)),"update STUDENT sheet")</f>
        <v/>
      </c>
    </row>
    <row r="1598">
      <c r="B1598">
        <f>IF(STUDENTS!B1597="","",STUDENTS!B1597)</f>
        <v/>
      </c>
      <c r="C1598">
        <f>IFERROR(IF(B1598="","",_xlfn.XLOOKUP(B1598,STUDENTS!$B$3:$B$1048576,STUDENTS!$C$3:$C$1048576)),"Enter a registered reg. no")</f>
        <v/>
      </c>
      <c r="E1598">
        <f>IFERROR(IF(C1598="","",_xlfn.XLOOKUP(C1598,STUDENTS!C1597:C101594,STUDENTS!F1597:F101594)),"update STUDENT sheet")</f>
        <v/>
      </c>
      <c r="F1598">
        <f>IFERROR(IF(D1598="","",_xlfn.XLOOKUP(D1598,STUDENTS!D1597:D101594,STUDENTS!G1597:G101594)),"update STUDENT sheet")</f>
        <v/>
      </c>
      <c r="G1598">
        <f>IFERROR(IF(E1598="","",_xlfn.XLOOKUP(E1598,STUDENTS!F1597:F101594,STUDENTS!H1597:H101594)),"update STUDENT sheet")</f>
        <v/>
      </c>
    </row>
    <row r="1599">
      <c r="B1599">
        <f>IF(STUDENTS!B1598="","",STUDENTS!B1598)</f>
        <v/>
      </c>
      <c r="C1599">
        <f>IFERROR(IF(B1599="","",_xlfn.XLOOKUP(B1599,STUDENTS!$B$3:$B$1048576,STUDENTS!$C$3:$C$1048576)),"Enter a registered reg. no")</f>
        <v/>
      </c>
      <c r="E1599">
        <f>IFERROR(IF(C1599="","",_xlfn.XLOOKUP(C1599,STUDENTS!C1598:C101595,STUDENTS!F1598:F101595)),"update STUDENT sheet")</f>
        <v/>
      </c>
      <c r="F1599">
        <f>IFERROR(IF(D1599="","",_xlfn.XLOOKUP(D1599,STUDENTS!D1598:D101595,STUDENTS!G1598:G101595)),"update STUDENT sheet")</f>
        <v/>
      </c>
      <c r="G1599">
        <f>IFERROR(IF(E1599="","",_xlfn.XLOOKUP(E1599,STUDENTS!F1598:F101595,STUDENTS!H1598:H101595)),"update STUDENT sheet")</f>
        <v/>
      </c>
    </row>
    <row r="1600">
      <c r="B1600">
        <f>IF(STUDENTS!B1599="","",STUDENTS!B1599)</f>
        <v/>
      </c>
      <c r="C1600">
        <f>IFERROR(IF(B1600="","",_xlfn.XLOOKUP(B1600,STUDENTS!$B$3:$B$1048576,STUDENTS!$C$3:$C$1048576)),"Enter a registered reg. no")</f>
        <v/>
      </c>
      <c r="E1600">
        <f>IFERROR(IF(C1600="","",_xlfn.XLOOKUP(C1600,STUDENTS!C1599:C101596,STUDENTS!F1599:F101596)),"update STUDENT sheet")</f>
        <v/>
      </c>
      <c r="F1600">
        <f>IFERROR(IF(D1600="","",_xlfn.XLOOKUP(D1600,STUDENTS!D1599:D101596,STUDENTS!G1599:G101596)),"update STUDENT sheet")</f>
        <v/>
      </c>
      <c r="G1600">
        <f>IFERROR(IF(E1600="","",_xlfn.XLOOKUP(E1600,STUDENTS!F1599:F101596,STUDENTS!H1599:H101596)),"update STUDENT sheet")</f>
        <v/>
      </c>
    </row>
    <row r="1601">
      <c r="B1601">
        <f>IF(STUDENTS!B1600="","",STUDENTS!B1600)</f>
        <v/>
      </c>
      <c r="C1601">
        <f>IFERROR(IF(B1601="","",_xlfn.XLOOKUP(B1601,STUDENTS!$B$3:$B$1048576,STUDENTS!$C$3:$C$1048576)),"Enter a registered reg. no")</f>
        <v/>
      </c>
      <c r="E1601">
        <f>IFERROR(IF(C1601="","",_xlfn.XLOOKUP(C1601,STUDENTS!C1600:C101597,STUDENTS!F1600:F101597)),"update STUDENT sheet")</f>
        <v/>
      </c>
      <c r="F1601">
        <f>IFERROR(IF(D1601="","",_xlfn.XLOOKUP(D1601,STUDENTS!D1600:D101597,STUDENTS!G1600:G101597)),"update STUDENT sheet")</f>
        <v/>
      </c>
      <c r="G1601">
        <f>IFERROR(IF(E1601="","",_xlfn.XLOOKUP(E1601,STUDENTS!F1600:F101597,STUDENTS!H1600:H101597)),"update STUDENT sheet")</f>
        <v/>
      </c>
    </row>
    <row r="1602">
      <c r="B1602">
        <f>IF(STUDENTS!B1601="","",STUDENTS!B1601)</f>
        <v/>
      </c>
      <c r="C1602">
        <f>IFERROR(IF(B1602="","",_xlfn.XLOOKUP(B1602,STUDENTS!$B$3:$B$1048576,STUDENTS!$C$3:$C$1048576)),"Enter a registered reg. no")</f>
        <v/>
      </c>
      <c r="E1602">
        <f>IFERROR(IF(C1602="","",_xlfn.XLOOKUP(C1602,STUDENTS!C1601:C101598,STUDENTS!F1601:F101598)),"update STUDENT sheet")</f>
        <v/>
      </c>
      <c r="F1602">
        <f>IFERROR(IF(D1602="","",_xlfn.XLOOKUP(D1602,STUDENTS!D1601:D101598,STUDENTS!G1601:G101598)),"update STUDENT sheet")</f>
        <v/>
      </c>
      <c r="G1602">
        <f>IFERROR(IF(E1602="","",_xlfn.XLOOKUP(E1602,STUDENTS!F1601:F101598,STUDENTS!H1601:H101598)),"update STUDENT sheet")</f>
        <v/>
      </c>
    </row>
    <row r="1603">
      <c r="B1603">
        <f>IF(STUDENTS!B1602="","",STUDENTS!B1602)</f>
        <v/>
      </c>
      <c r="C1603">
        <f>IFERROR(IF(B1603="","",_xlfn.XLOOKUP(B1603,STUDENTS!$B$3:$B$1048576,STUDENTS!$C$3:$C$1048576)),"Enter a registered reg. no")</f>
        <v/>
      </c>
      <c r="E1603">
        <f>IFERROR(IF(C1603="","",_xlfn.XLOOKUP(C1603,STUDENTS!C1602:C101599,STUDENTS!F1602:F101599)),"update STUDENT sheet")</f>
        <v/>
      </c>
      <c r="F1603">
        <f>IFERROR(IF(D1603="","",_xlfn.XLOOKUP(D1603,STUDENTS!D1602:D101599,STUDENTS!G1602:G101599)),"update STUDENT sheet")</f>
        <v/>
      </c>
      <c r="G1603">
        <f>IFERROR(IF(E1603="","",_xlfn.XLOOKUP(E1603,STUDENTS!F1602:F101599,STUDENTS!H1602:H101599)),"update STUDENT sheet")</f>
        <v/>
      </c>
    </row>
    <row r="1604">
      <c r="B1604">
        <f>IF(STUDENTS!B1603="","",STUDENTS!B1603)</f>
        <v/>
      </c>
      <c r="C1604">
        <f>IFERROR(IF(B1604="","",_xlfn.XLOOKUP(B1604,STUDENTS!$B$3:$B$1048576,STUDENTS!$C$3:$C$1048576)),"Enter a registered reg. no")</f>
        <v/>
      </c>
      <c r="E1604">
        <f>IFERROR(IF(C1604="","",_xlfn.XLOOKUP(C1604,STUDENTS!C1603:C101600,STUDENTS!F1603:F101600)),"update STUDENT sheet")</f>
        <v/>
      </c>
      <c r="F1604">
        <f>IFERROR(IF(D1604="","",_xlfn.XLOOKUP(D1604,STUDENTS!D1603:D101600,STUDENTS!G1603:G101600)),"update STUDENT sheet")</f>
        <v/>
      </c>
      <c r="G1604">
        <f>IFERROR(IF(E1604="","",_xlfn.XLOOKUP(E1604,STUDENTS!F1603:F101600,STUDENTS!H1603:H101600)),"update STUDENT sheet")</f>
        <v/>
      </c>
    </row>
    <row r="1605">
      <c r="B1605">
        <f>IF(STUDENTS!B1604="","",STUDENTS!B1604)</f>
        <v/>
      </c>
      <c r="C1605">
        <f>IFERROR(IF(B1605="","",_xlfn.XLOOKUP(B1605,STUDENTS!$B$3:$B$1048576,STUDENTS!$C$3:$C$1048576)),"Enter a registered reg. no")</f>
        <v/>
      </c>
      <c r="E1605">
        <f>IFERROR(IF(C1605="","",_xlfn.XLOOKUP(C1605,STUDENTS!C1604:C101601,STUDENTS!F1604:F101601)),"update STUDENT sheet")</f>
        <v/>
      </c>
      <c r="F1605">
        <f>IFERROR(IF(D1605="","",_xlfn.XLOOKUP(D1605,STUDENTS!D1604:D101601,STUDENTS!G1604:G101601)),"update STUDENT sheet")</f>
        <v/>
      </c>
      <c r="G1605">
        <f>IFERROR(IF(E1605="","",_xlfn.XLOOKUP(E1605,STUDENTS!F1604:F101601,STUDENTS!H1604:H101601)),"update STUDENT sheet")</f>
        <v/>
      </c>
    </row>
    <row r="1606">
      <c r="B1606">
        <f>IF(STUDENTS!B1605="","",STUDENTS!B1605)</f>
        <v/>
      </c>
      <c r="C1606">
        <f>IFERROR(IF(B1606="","",_xlfn.XLOOKUP(B1606,STUDENTS!$B$3:$B$1048576,STUDENTS!$C$3:$C$1048576)),"Enter a registered reg. no")</f>
        <v/>
      </c>
      <c r="E1606">
        <f>IFERROR(IF(C1606="","",_xlfn.XLOOKUP(C1606,STUDENTS!C1605:C101602,STUDENTS!F1605:F101602)),"update STUDENT sheet")</f>
        <v/>
      </c>
      <c r="F1606">
        <f>IFERROR(IF(D1606="","",_xlfn.XLOOKUP(D1606,STUDENTS!D1605:D101602,STUDENTS!G1605:G101602)),"update STUDENT sheet")</f>
        <v/>
      </c>
      <c r="G1606">
        <f>IFERROR(IF(E1606="","",_xlfn.XLOOKUP(E1606,STUDENTS!F1605:F101602,STUDENTS!H1605:H101602)),"update STUDENT sheet")</f>
        <v/>
      </c>
    </row>
    <row r="1607">
      <c r="B1607">
        <f>IF(STUDENTS!B1606="","",STUDENTS!B1606)</f>
        <v/>
      </c>
      <c r="C1607">
        <f>IFERROR(IF(B1607="","",_xlfn.XLOOKUP(B1607,STUDENTS!$B$3:$B$1048576,STUDENTS!$C$3:$C$1048576)),"Enter a registered reg. no")</f>
        <v/>
      </c>
      <c r="E1607">
        <f>IFERROR(IF(C1607="","",_xlfn.XLOOKUP(C1607,STUDENTS!C1606:C101603,STUDENTS!F1606:F101603)),"update STUDENT sheet")</f>
        <v/>
      </c>
      <c r="F1607">
        <f>IFERROR(IF(D1607="","",_xlfn.XLOOKUP(D1607,STUDENTS!D1606:D101603,STUDENTS!G1606:G101603)),"update STUDENT sheet")</f>
        <v/>
      </c>
      <c r="G1607">
        <f>IFERROR(IF(E1607="","",_xlfn.XLOOKUP(E1607,STUDENTS!F1606:F101603,STUDENTS!H1606:H101603)),"update STUDENT sheet")</f>
        <v/>
      </c>
    </row>
    <row r="1608">
      <c r="B1608">
        <f>IF(STUDENTS!B1607="","",STUDENTS!B1607)</f>
        <v/>
      </c>
      <c r="C1608">
        <f>IFERROR(IF(B1608="","",_xlfn.XLOOKUP(B1608,STUDENTS!$B$3:$B$1048576,STUDENTS!$C$3:$C$1048576)),"Enter a registered reg. no")</f>
        <v/>
      </c>
      <c r="E1608">
        <f>IFERROR(IF(C1608="","",_xlfn.XLOOKUP(C1608,STUDENTS!C1607:C101604,STUDENTS!F1607:F101604)),"update STUDENT sheet")</f>
        <v/>
      </c>
      <c r="F1608">
        <f>IFERROR(IF(D1608="","",_xlfn.XLOOKUP(D1608,STUDENTS!D1607:D101604,STUDENTS!G1607:G101604)),"update STUDENT sheet")</f>
        <v/>
      </c>
      <c r="G1608">
        <f>IFERROR(IF(E1608="","",_xlfn.XLOOKUP(E1608,STUDENTS!F1607:F101604,STUDENTS!H1607:H101604)),"update STUDENT sheet")</f>
        <v/>
      </c>
    </row>
    <row r="1609">
      <c r="B1609">
        <f>IF(STUDENTS!B1608="","",STUDENTS!B1608)</f>
        <v/>
      </c>
      <c r="C1609">
        <f>IFERROR(IF(B1609="","",_xlfn.XLOOKUP(B1609,STUDENTS!$B$3:$B$1048576,STUDENTS!$C$3:$C$1048576)),"Enter a registered reg. no")</f>
        <v/>
      </c>
      <c r="E1609">
        <f>IFERROR(IF(C1609="","",_xlfn.XLOOKUP(C1609,STUDENTS!C1608:C101605,STUDENTS!F1608:F101605)),"update STUDENT sheet")</f>
        <v/>
      </c>
      <c r="F1609">
        <f>IFERROR(IF(D1609="","",_xlfn.XLOOKUP(D1609,STUDENTS!D1608:D101605,STUDENTS!G1608:G101605)),"update STUDENT sheet")</f>
        <v/>
      </c>
      <c r="G1609">
        <f>IFERROR(IF(E1609="","",_xlfn.XLOOKUP(E1609,STUDENTS!F1608:F101605,STUDENTS!H1608:H101605)),"update STUDENT sheet")</f>
        <v/>
      </c>
    </row>
    <row r="1610">
      <c r="B1610">
        <f>IF(STUDENTS!B1609="","",STUDENTS!B1609)</f>
        <v/>
      </c>
      <c r="C1610">
        <f>IFERROR(IF(B1610="","",_xlfn.XLOOKUP(B1610,STUDENTS!$B$3:$B$1048576,STUDENTS!$C$3:$C$1048576)),"Enter a registered reg. no")</f>
        <v/>
      </c>
      <c r="E1610">
        <f>IFERROR(IF(C1610="","",_xlfn.XLOOKUP(C1610,STUDENTS!C1609:C101606,STUDENTS!F1609:F101606)),"update STUDENT sheet")</f>
        <v/>
      </c>
      <c r="F1610">
        <f>IFERROR(IF(D1610="","",_xlfn.XLOOKUP(D1610,STUDENTS!D1609:D101606,STUDENTS!G1609:G101606)),"update STUDENT sheet")</f>
        <v/>
      </c>
      <c r="G1610">
        <f>IFERROR(IF(E1610="","",_xlfn.XLOOKUP(E1610,STUDENTS!F1609:F101606,STUDENTS!H1609:H101606)),"update STUDENT sheet")</f>
        <v/>
      </c>
    </row>
    <row r="1611">
      <c r="B1611">
        <f>IF(STUDENTS!B1610="","",STUDENTS!B1610)</f>
        <v/>
      </c>
      <c r="C1611">
        <f>IFERROR(IF(B1611="","",_xlfn.XLOOKUP(B1611,STUDENTS!$B$3:$B$1048576,STUDENTS!$C$3:$C$1048576)),"Enter a registered reg. no")</f>
        <v/>
      </c>
      <c r="E1611">
        <f>IFERROR(IF(C1611="","",_xlfn.XLOOKUP(C1611,STUDENTS!C1610:C101607,STUDENTS!F1610:F101607)),"update STUDENT sheet")</f>
        <v/>
      </c>
      <c r="F1611">
        <f>IFERROR(IF(D1611="","",_xlfn.XLOOKUP(D1611,STUDENTS!D1610:D101607,STUDENTS!G1610:G101607)),"update STUDENT sheet")</f>
        <v/>
      </c>
      <c r="G1611">
        <f>IFERROR(IF(E1611="","",_xlfn.XLOOKUP(E1611,STUDENTS!F1610:F101607,STUDENTS!H1610:H101607)),"update STUDENT sheet")</f>
        <v/>
      </c>
    </row>
    <row r="1612">
      <c r="B1612">
        <f>IF(STUDENTS!B1611="","",STUDENTS!B1611)</f>
        <v/>
      </c>
      <c r="C1612">
        <f>IFERROR(IF(B1612="","",_xlfn.XLOOKUP(B1612,STUDENTS!$B$3:$B$1048576,STUDENTS!$C$3:$C$1048576)),"Enter a registered reg. no")</f>
        <v/>
      </c>
      <c r="E1612">
        <f>IFERROR(IF(C1612="","",_xlfn.XLOOKUP(C1612,STUDENTS!C1611:C101608,STUDENTS!F1611:F101608)),"update STUDENT sheet")</f>
        <v/>
      </c>
      <c r="F1612">
        <f>IFERROR(IF(D1612="","",_xlfn.XLOOKUP(D1612,STUDENTS!D1611:D101608,STUDENTS!G1611:G101608)),"update STUDENT sheet")</f>
        <v/>
      </c>
      <c r="G1612">
        <f>IFERROR(IF(E1612="","",_xlfn.XLOOKUP(E1612,STUDENTS!F1611:F101608,STUDENTS!H1611:H101608)),"update STUDENT sheet")</f>
        <v/>
      </c>
    </row>
    <row r="1613">
      <c r="B1613">
        <f>IF(STUDENTS!B1612="","",STUDENTS!B1612)</f>
        <v/>
      </c>
      <c r="C1613">
        <f>IFERROR(IF(B1613="","",_xlfn.XLOOKUP(B1613,STUDENTS!$B$3:$B$1048576,STUDENTS!$C$3:$C$1048576)),"Enter a registered reg. no")</f>
        <v/>
      </c>
      <c r="E1613">
        <f>IFERROR(IF(C1613="","",_xlfn.XLOOKUP(C1613,STUDENTS!C1612:C101609,STUDENTS!F1612:F101609)),"update STUDENT sheet")</f>
        <v/>
      </c>
      <c r="F1613">
        <f>IFERROR(IF(D1613="","",_xlfn.XLOOKUP(D1613,STUDENTS!D1612:D101609,STUDENTS!G1612:G101609)),"update STUDENT sheet")</f>
        <v/>
      </c>
      <c r="G1613">
        <f>IFERROR(IF(E1613="","",_xlfn.XLOOKUP(E1613,STUDENTS!F1612:F101609,STUDENTS!H1612:H101609)),"update STUDENT sheet")</f>
        <v/>
      </c>
    </row>
    <row r="1614">
      <c r="B1614">
        <f>IF(STUDENTS!B1613="","",STUDENTS!B1613)</f>
        <v/>
      </c>
      <c r="C1614">
        <f>IFERROR(IF(B1614="","",_xlfn.XLOOKUP(B1614,STUDENTS!$B$3:$B$1048576,STUDENTS!$C$3:$C$1048576)),"Enter a registered reg. no")</f>
        <v/>
      </c>
      <c r="E1614">
        <f>IFERROR(IF(C1614="","",_xlfn.XLOOKUP(C1614,STUDENTS!C1613:C101610,STUDENTS!F1613:F101610)),"update STUDENT sheet")</f>
        <v/>
      </c>
      <c r="F1614">
        <f>IFERROR(IF(D1614="","",_xlfn.XLOOKUP(D1614,STUDENTS!D1613:D101610,STUDENTS!G1613:G101610)),"update STUDENT sheet")</f>
        <v/>
      </c>
      <c r="G1614">
        <f>IFERROR(IF(E1614="","",_xlfn.XLOOKUP(E1614,STUDENTS!F1613:F101610,STUDENTS!H1613:H101610)),"update STUDENT sheet")</f>
        <v/>
      </c>
    </row>
    <row r="1615">
      <c r="B1615">
        <f>IF(STUDENTS!B1614="","",STUDENTS!B1614)</f>
        <v/>
      </c>
      <c r="C1615">
        <f>IFERROR(IF(B1615="","",_xlfn.XLOOKUP(B1615,STUDENTS!$B$3:$B$1048576,STUDENTS!$C$3:$C$1048576)),"Enter a registered reg. no")</f>
        <v/>
      </c>
      <c r="E1615">
        <f>IFERROR(IF(C1615="","",_xlfn.XLOOKUP(C1615,STUDENTS!C1614:C101611,STUDENTS!F1614:F101611)),"update STUDENT sheet")</f>
        <v/>
      </c>
      <c r="F1615">
        <f>IFERROR(IF(D1615="","",_xlfn.XLOOKUP(D1615,STUDENTS!D1614:D101611,STUDENTS!G1614:G101611)),"update STUDENT sheet")</f>
        <v/>
      </c>
      <c r="G1615">
        <f>IFERROR(IF(E1615="","",_xlfn.XLOOKUP(E1615,STUDENTS!F1614:F101611,STUDENTS!H1614:H101611)),"update STUDENT sheet")</f>
        <v/>
      </c>
    </row>
    <row r="1616">
      <c r="B1616">
        <f>IF(STUDENTS!B1615="","",STUDENTS!B1615)</f>
        <v/>
      </c>
      <c r="C1616">
        <f>IFERROR(IF(B1616="","",_xlfn.XLOOKUP(B1616,STUDENTS!$B$3:$B$1048576,STUDENTS!$C$3:$C$1048576)),"Enter a registered reg. no")</f>
        <v/>
      </c>
      <c r="E1616">
        <f>IFERROR(IF(C1616="","",_xlfn.XLOOKUP(C1616,STUDENTS!C1615:C101612,STUDENTS!F1615:F101612)),"update STUDENT sheet")</f>
        <v/>
      </c>
      <c r="F1616">
        <f>IFERROR(IF(D1616="","",_xlfn.XLOOKUP(D1616,STUDENTS!D1615:D101612,STUDENTS!G1615:G101612)),"update STUDENT sheet")</f>
        <v/>
      </c>
      <c r="G1616">
        <f>IFERROR(IF(E1616="","",_xlfn.XLOOKUP(E1616,STUDENTS!F1615:F101612,STUDENTS!H1615:H101612)),"update STUDENT sheet")</f>
        <v/>
      </c>
    </row>
    <row r="1617">
      <c r="B1617">
        <f>IF(STUDENTS!B1616="","",STUDENTS!B1616)</f>
        <v/>
      </c>
      <c r="C1617">
        <f>IFERROR(IF(B1617="","",_xlfn.XLOOKUP(B1617,STUDENTS!$B$3:$B$1048576,STUDENTS!$C$3:$C$1048576)),"Enter a registered reg. no")</f>
        <v/>
      </c>
      <c r="E1617">
        <f>IFERROR(IF(C1617="","",_xlfn.XLOOKUP(C1617,STUDENTS!C1616:C101613,STUDENTS!F1616:F101613)),"update STUDENT sheet")</f>
        <v/>
      </c>
      <c r="F1617">
        <f>IFERROR(IF(D1617="","",_xlfn.XLOOKUP(D1617,STUDENTS!D1616:D101613,STUDENTS!G1616:G101613)),"update STUDENT sheet")</f>
        <v/>
      </c>
      <c r="G1617">
        <f>IFERROR(IF(E1617="","",_xlfn.XLOOKUP(E1617,STUDENTS!F1616:F101613,STUDENTS!H1616:H101613)),"update STUDENT sheet")</f>
        <v/>
      </c>
    </row>
    <row r="1618">
      <c r="B1618">
        <f>IF(STUDENTS!B1617="","",STUDENTS!B1617)</f>
        <v/>
      </c>
      <c r="C1618">
        <f>IFERROR(IF(B1618="","",_xlfn.XLOOKUP(B1618,STUDENTS!$B$3:$B$1048576,STUDENTS!$C$3:$C$1048576)),"Enter a registered reg. no")</f>
        <v/>
      </c>
      <c r="E1618">
        <f>IFERROR(IF(C1618="","",_xlfn.XLOOKUP(C1618,STUDENTS!C1617:C101614,STUDENTS!F1617:F101614)),"update STUDENT sheet")</f>
        <v/>
      </c>
      <c r="F1618">
        <f>IFERROR(IF(D1618="","",_xlfn.XLOOKUP(D1618,STUDENTS!D1617:D101614,STUDENTS!G1617:G101614)),"update STUDENT sheet")</f>
        <v/>
      </c>
      <c r="G1618">
        <f>IFERROR(IF(E1618="","",_xlfn.XLOOKUP(E1618,STUDENTS!F1617:F101614,STUDENTS!H1617:H101614)),"update STUDENT sheet")</f>
        <v/>
      </c>
    </row>
    <row r="1619">
      <c r="B1619">
        <f>IF(STUDENTS!B1618="","",STUDENTS!B1618)</f>
        <v/>
      </c>
      <c r="C1619">
        <f>IFERROR(IF(B1619="","",_xlfn.XLOOKUP(B1619,STUDENTS!$B$3:$B$1048576,STUDENTS!$C$3:$C$1048576)),"Enter a registered reg. no")</f>
        <v/>
      </c>
      <c r="E1619">
        <f>IFERROR(IF(C1619="","",_xlfn.XLOOKUP(C1619,STUDENTS!C1618:C101615,STUDENTS!F1618:F101615)),"update STUDENT sheet")</f>
        <v/>
      </c>
      <c r="F1619">
        <f>IFERROR(IF(D1619="","",_xlfn.XLOOKUP(D1619,STUDENTS!D1618:D101615,STUDENTS!G1618:G101615)),"update STUDENT sheet")</f>
        <v/>
      </c>
      <c r="G1619">
        <f>IFERROR(IF(E1619="","",_xlfn.XLOOKUP(E1619,STUDENTS!F1618:F101615,STUDENTS!H1618:H101615)),"update STUDENT sheet")</f>
        <v/>
      </c>
    </row>
    <row r="1620">
      <c r="B1620">
        <f>IF(STUDENTS!B1619="","",STUDENTS!B1619)</f>
        <v/>
      </c>
      <c r="C1620">
        <f>IFERROR(IF(B1620="","",_xlfn.XLOOKUP(B1620,STUDENTS!$B$3:$B$1048576,STUDENTS!$C$3:$C$1048576)),"Enter a registered reg. no")</f>
        <v/>
      </c>
      <c r="E1620">
        <f>IFERROR(IF(C1620="","",_xlfn.XLOOKUP(C1620,STUDENTS!C1619:C101616,STUDENTS!F1619:F101616)),"update STUDENT sheet")</f>
        <v/>
      </c>
      <c r="F1620">
        <f>IFERROR(IF(D1620="","",_xlfn.XLOOKUP(D1620,STUDENTS!D1619:D101616,STUDENTS!G1619:G101616)),"update STUDENT sheet")</f>
        <v/>
      </c>
      <c r="G1620">
        <f>IFERROR(IF(E1620="","",_xlfn.XLOOKUP(E1620,STUDENTS!F1619:F101616,STUDENTS!H1619:H101616)),"update STUDENT sheet")</f>
        <v/>
      </c>
    </row>
    <row r="1621">
      <c r="B1621">
        <f>IF(STUDENTS!B1620="","",STUDENTS!B1620)</f>
        <v/>
      </c>
      <c r="C1621">
        <f>IFERROR(IF(B1621="","",_xlfn.XLOOKUP(B1621,STUDENTS!$B$3:$B$1048576,STUDENTS!$C$3:$C$1048576)),"Enter a registered reg. no")</f>
        <v/>
      </c>
      <c r="E1621">
        <f>IFERROR(IF(C1621="","",_xlfn.XLOOKUP(C1621,STUDENTS!C1620:C101617,STUDENTS!F1620:F101617)),"update STUDENT sheet")</f>
        <v/>
      </c>
      <c r="F1621">
        <f>IFERROR(IF(D1621="","",_xlfn.XLOOKUP(D1621,STUDENTS!D1620:D101617,STUDENTS!G1620:G101617)),"update STUDENT sheet")</f>
        <v/>
      </c>
      <c r="G1621">
        <f>IFERROR(IF(E1621="","",_xlfn.XLOOKUP(E1621,STUDENTS!F1620:F101617,STUDENTS!H1620:H101617)),"update STUDENT sheet")</f>
        <v/>
      </c>
    </row>
    <row r="1622">
      <c r="B1622">
        <f>IF(STUDENTS!B1621="","",STUDENTS!B1621)</f>
        <v/>
      </c>
      <c r="C1622">
        <f>IFERROR(IF(B1622="","",_xlfn.XLOOKUP(B1622,STUDENTS!$B$3:$B$1048576,STUDENTS!$C$3:$C$1048576)),"Enter a registered reg. no")</f>
        <v/>
      </c>
      <c r="E1622">
        <f>IFERROR(IF(C1622="","",_xlfn.XLOOKUP(C1622,STUDENTS!C1621:C101618,STUDENTS!F1621:F101618)),"update STUDENT sheet")</f>
        <v/>
      </c>
      <c r="F1622">
        <f>IFERROR(IF(D1622="","",_xlfn.XLOOKUP(D1622,STUDENTS!D1621:D101618,STUDENTS!G1621:G101618)),"update STUDENT sheet")</f>
        <v/>
      </c>
      <c r="G1622">
        <f>IFERROR(IF(E1622="","",_xlfn.XLOOKUP(E1622,STUDENTS!F1621:F101618,STUDENTS!H1621:H101618)),"update STUDENT sheet")</f>
        <v/>
      </c>
    </row>
    <row r="1623">
      <c r="B1623">
        <f>IF(STUDENTS!B1622="","",STUDENTS!B1622)</f>
        <v/>
      </c>
      <c r="C1623">
        <f>IFERROR(IF(B1623="","",_xlfn.XLOOKUP(B1623,STUDENTS!$B$3:$B$1048576,STUDENTS!$C$3:$C$1048576)),"Enter a registered reg. no")</f>
        <v/>
      </c>
      <c r="E1623">
        <f>IFERROR(IF(C1623="","",_xlfn.XLOOKUP(C1623,STUDENTS!C1622:C101619,STUDENTS!F1622:F101619)),"update STUDENT sheet")</f>
        <v/>
      </c>
      <c r="F1623">
        <f>IFERROR(IF(D1623="","",_xlfn.XLOOKUP(D1623,STUDENTS!D1622:D101619,STUDENTS!G1622:G101619)),"update STUDENT sheet")</f>
        <v/>
      </c>
      <c r="G1623">
        <f>IFERROR(IF(E1623="","",_xlfn.XLOOKUP(E1623,STUDENTS!F1622:F101619,STUDENTS!H1622:H101619)),"update STUDENT sheet")</f>
        <v/>
      </c>
    </row>
    <row r="1624">
      <c r="B1624">
        <f>IF(STUDENTS!B1623="","",STUDENTS!B1623)</f>
        <v/>
      </c>
      <c r="C1624">
        <f>IFERROR(IF(B1624="","",_xlfn.XLOOKUP(B1624,STUDENTS!$B$3:$B$1048576,STUDENTS!$C$3:$C$1048576)),"Enter a registered reg. no")</f>
        <v/>
      </c>
      <c r="E1624">
        <f>IFERROR(IF(C1624="","",_xlfn.XLOOKUP(C1624,STUDENTS!C1623:C101620,STUDENTS!F1623:F101620)),"update STUDENT sheet")</f>
        <v/>
      </c>
      <c r="F1624">
        <f>IFERROR(IF(D1624="","",_xlfn.XLOOKUP(D1624,STUDENTS!D1623:D101620,STUDENTS!G1623:G101620)),"update STUDENT sheet")</f>
        <v/>
      </c>
      <c r="G1624">
        <f>IFERROR(IF(E1624="","",_xlfn.XLOOKUP(E1624,STUDENTS!F1623:F101620,STUDENTS!H1623:H101620)),"update STUDENT sheet")</f>
        <v/>
      </c>
    </row>
    <row r="1625">
      <c r="B1625">
        <f>IF(STUDENTS!B1624="","",STUDENTS!B1624)</f>
        <v/>
      </c>
      <c r="C1625">
        <f>IFERROR(IF(B1625="","",_xlfn.XLOOKUP(B1625,STUDENTS!$B$3:$B$1048576,STUDENTS!$C$3:$C$1048576)),"Enter a registered reg. no")</f>
        <v/>
      </c>
      <c r="E1625">
        <f>IFERROR(IF(C1625="","",_xlfn.XLOOKUP(C1625,STUDENTS!C1624:C101621,STUDENTS!F1624:F101621)),"update STUDENT sheet")</f>
        <v/>
      </c>
      <c r="F1625">
        <f>IFERROR(IF(D1625="","",_xlfn.XLOOKUP(D1625,STUDENTS!D1624:D101621,STUDENTS!G1624:G101621)),"update STUDENT sheet")</f>
        <v/>
      </c>
      <c r="G1625">
        <f>IFERROR(IF(E1625="","",_xlfn.XLOOKUP(E1625,STUDENTS!F1624:F101621,STUDENTS!H1624:H101621)),"update STUDENT sheet")</f>
        <v/>
      </c>
    </row>
    <row r="1626">
      <c r="B1626">
        <f>IF(STUDENTS!B1625="","",STUDENTS!B1625)</f>
        <v/>
      </c>
      <c r="C1626">
        <f>IFERROR(IF(B1626="","",_xlfn.XLOOKUP(B1626,STUDENTS!$B$3:$B$1048576,STUDENTS!$C$3:$C$1048576)),"Enter a registered reg. no")</f>
        <v/>
      </c>
      <c r="E1626">
        <f>IFERROR(IF(C1626="","",_xlfn.XLOOKUP(C1626,STUDENTS!C1625:C101622,STUDENTS!F1625:F101622)),"update STUDENT sheet")</f>
        <v/>
      </c>
      <c r="F1626">
        <f>IFERROR(IF(D1626="","",_xlfn.XLOOKUP(D1626,STUDENTS!D1625:D101622,STUDENTS!G1625:G101622)),"update STUDENT sheet")</f>
        <v/>
      </c>
      <c r="G1626">
        <f>IFERROR(IF(E1626="","",_xlfn.XLOOKUP(E1626,STUDENTS!F1625:F101622,STUDENTS!H1625:H101622)),"update STUDENT sheet")</f>
        <v/>
      </c>
    </row>
    <row r="1627">
      <c r="B1627">
        <f>IF(STUDENTS!B1626="","",STUDENTS!B1626)</f>
        <v/>
      </c>
      <c r="C1627">
        <f>IFERROR(IF(B1627="","",_xlfn.XLOOKUP(B1627,STUDENTS!$B$3:$B$1048576,STUDENTS!$C$3:$C$1048576)),"Enter a registered reg. no")</f>
        <v/>
      </c>
      <c r="E1627">
        <f>IFERROR(IF(C1627="","",_xlfn.XLOOKUP(C1627,STUDENTS!C1626:C101623,STUDENTS!F1626:F101623)),"update STUDENT sheet")</f>
        <v/>
      </c>
      <c r="F1627">
        <f>IFERROR(IF(D1627="","",_xlfn.XLOOKUP(D1627,STUDENTS!D1626:D101623,STUDENTS!G1626:G101623)),"update STUDENT sheet")</f>
        <v/>
      </c>
      <c r="G1627">
        <f>IFERROR(IF(E1627="","",_xlfn.XLOOKUP(E1627,STUDENTS!F1626:F101623,STUDENTS!H1626:H101623)),"update STUDENT sheet")</f>
        <v/>
      </c>
    </row>
    <row r="1628">
      <c r="B1628">
        <f>IF(STUDENTS!B1627="","",STUDENTS!B1627)</f>
        <v/>
      </c>
      <c r="C1628">
        <f>IFERROR(IF(B1628="","",_xlfn.XLOOKUP(B1628,STUDENTS!$B$3:$B$1048576,STUDENTS!$C$3:$C$1048576)),"Enter a registered reg. no")</f>
        <v/>
      </c>
      <c r="E1628">
        <f>IFERROR(IF(C1628="","",_xlfn.XLOOKUP(C1628,STUDENTS!C1627:C101624,STUDENTS!F1627:F101624)),"update STUDENT sheet")</f>
        <v/>
      </c>
      <c r="F1628">
        <f>IFERROR(IF(D1628="","",_xlfn.XLOOKUP(D1628,STUDENTS!D1627:D101624,STUDENTS!G1627:G101624)),"update STUDENT sheet")</f>
        <v/>
      </c>
      <c r="G1628">
        <f>IFERROR(IF(E1628="","",_xlfn.XLOOKUP(E1628,STUDENTS!F1627:F101624,STUDENTS!H1627:H101624)),"update STUDENT sheet")</f>
        <v/>
      </c>
    </row>
    <row r="1629">
      <c r="B1629">
        <f>IF(STUDENTS!B1628="","",STUDENTS!B1628)</f>
        <v/>
      </c>
      <c r="C1629">
        <f>IFERROR(IF(B1629="","",_xlfn.XLOOKUP(B1629,STUDENTS!$B$3:$B$1048576,STUDENTS!$C$3:$C$1048576)),"Enter a registered reg. no")</f>
        <v/>
      </c>
      <c r="E1629">
        <f>IFERROR(IF(C1629="","",_xlfn.XLOOKUP(C1629,STUDENTS!C1628:C101625,STUDENTS!F1628:F101625)),"update STUDENT sheet")</f>
        <v/>
      </c>
      <c r="F1629">
        <f>IFERROR(IF(D1629="","",_xlfn.XLOOKUP(D1629,STUDENTS!D1628:D101625,STUDENTS!G1628:G101625)),"update STUDENT sheet")</f>
        <v/>
      </c>
      <c r="G1629">
        <f>IFERROR(IF(E1629="","",_xlfn.XLOOKUP(E1629,STUDENTS!F1628:F101625,STUDENTS!H1628:H101625)),"update STUDENT sheet")</f>
        <v/>
      </c>
    </row>
    <row r="1630">
      <c r="B1630">
        <f>IF(STUDENTS!B1629="","",STUDENTS!B1629)</f>
        <v/>
      </c>
      <c r="C1630">
        <f>IFERROR(IF(B1630="","",_xlfn.XLOOKUP(B1630,STUDENTS!$B$3:$B$1048576,STUDENTS!$C$3:$C$1048576)),"Enter a registered reg. no")</f>
        <v/>
      </c>
      <c r="E1630">
        <f>IFERROR(IF(C1630="","",_xlfn.XLOOKUP(C1630,STUDENTS!C1629:C101626,STUDENTS!F1629:F101626)),"update STUDENT sheet")</f>
        <v/>
      </c>
      <c r="F1630">
        <f>IFERROR(IF(D1630="","",_xlfn.XLOOKUP(D1630,STUDENTS!D1629:D101626,STUDENTS!G1629:G101626)),"update STUDENT sheet")</f>
        <v/>
      </c>
      <c r="G1630">
        <f>IFERROR(IF(E1630="","",_xlfn.XLOOKUP(E1630,STUDENTS!F1629:F101626,STUDENTS!H1629:H101626)),"update STUDENT sheet")</f>
        <v/>
      </c>
    </row>
    <row r="1631">
      <c r="B1631">
        <f>IF(STUDENTS!B1630="","",STUDENTS!B1630)</f>
        <v/>
      </c>
      <c r="C1631">
        <f>IFERROR(IF(B1631="","",_xlfn.XLOOKUP(B1631,STUDENTS!$B$3:$B$1048576,STUDENTS!$C$3:$C$1048576)),"Enter a registered reg. no")</f>
        <v/>
      </c>
      <c r="E1631">
        <f>IFERROR(IF(C1631="","",_xlfn.XLOOKUP(C1631,STUDENTS!C1630:C101627,STUDENTS!F1630:F101627)),"update STUDENT sheet")</f>
        <v/>
      </c>
      <c r="F1631">
        <f>IFERROR(IF(D1631="","",_xlfn.XLOOKUP(D1631,STUDENTS!D1630:D101627,STUDENTS!G1630:G101627)),"update STUDENT sheet")</f>
        <v/>
      </c>
      <c r="G1631">
        <f>IFERROR(IF(E1631="","",_xlfn.XLOOKUP(E1631,STUDENTS!F1630:F101627,STUDENTS!H1630:H101627)),"update STUDENT sheet")</f>
        <v/>
      </c>
    </row>
    <row r="1632">
      <c r="B1632">
        <f>IF(STUDENTS!B1631="","",STUDENTS!B1631)</f>
        <v/>
      </c>
      <c r="C1632">
        <f>IFERROR(IF(B1632="","",_xlfn.XLOOKUP(B1632,STUDENTS!$B$3:$B$1048576,STUDENTS!$C$3:$C$1048576)),"Enter a registered reg. no")</f>
        <v/>
      </c>
      <c r="E1632">
        <f>IFERROR(IF(C1632="","",_xlfn.XLOOKUP(C1632,STUDENTS!C1631:C101628,STUDENTS!F1631:F101628)),"update STUDENT sheet")</f>
        <v/>
      </c>
      <c r="F1632">
        <f>IFERROR(IF(D1632="","",_xlfn.XLOOKUP(D1632,STUDENTS!D1631:D101628,STUDENTS!G1631:G101628)),"update STUDENT sheet")</f>
        <v/>
      </c>
      <c r="G1632">
        <f>IFERROR(IF(E1632="","",_xlfn.XLOOKUP(E1632,STUDENTS!F1631:F101628,STUDENTS!H1631:H101628)),"update STUDENT sheet")</f>
        <v/>
      </c>
    </row>
    <row r="1633">
      <c r="B1633">
        <f>IF(STUDENTS!B1632="","",STUDENTS!B1632)</f>
        <v/>
      </c>
      <c r="C1633">
        <f>IFERROR(IF(B1633="","",_xlfn.XLOOKUP(B1633,STUDENTS!$B$3:$B$1048576,STUDENTS!$C$3:$C$1048576)),"Enter a registered reg. no")</f>
        <v/>
      </c>
      <c r="E1633">
        <f>IFERROR(IF(C1633="","",_xlfn.XLOOKUP(C1633,STUDENTS!C1632:C101629,STUDENTS!F1632:F101629)),"update STUDENT sheet")</f>
        <v/>
      </c>
      <c r="F1633">
        <f>IFERROR(IF(D1633="","",_xlfn.XLOOKUP(D1633,STUDENTS!D1632:D101629,STUDENTS!G1632:G101629)),"update STUDENT sheet")</f>
        <v/>
      </c>
      <c r="G1633">
        <f>IFERROR(IF(E1633="","",_xlfn.XLOOKUP(E1633,STUDENTS!F1632:F101629,STUDENTS!H1632:H101629)),"update STUDENT sheet")</f>
        <v/>
      </c>
    </row>
    <row r="1634">
      <c r="B1634">
        <f>IF(STUDENTS!B1633="","",STUDENTS!B1633)</f>
        <v/>
      </c>
      <c r="C1634">
        <f>IFERROR(IF(B1634="","",_xlfn.XLOOKUP(B1634,STUDENTS!$B$3:$B$1048576,STUDENTS!$C$3:$C$1048576)),"Enter a registered reg. no")</f>
        <v/>
      </c>
      <c r="E1634">
        <f>IFERROR(IF(C1634="","",_xlfn.XLOOKUP(C1634,STUDENTS!C1633:C101630,STUDENTS!F1633:F101630)),"update STUDENT sheet")</f>
        <v/>
      </c>
      <c r="F1634">
        <f>IFERROR(IF(D1634="","",_xlfn.XLOOKUP(D1634,STUDENTS!D1633:D101630,STUDENTS!G1633:G101630)),"update STUDENT sheet")</f>
        <v/>
      </c>
      <c r="G1634">
        <f>IFERROR(IF(E1634="","",_xlfn.XLOOKUP(E1634,STUDENTS!F1633:F101630,STUDENTS!H1633:H101630)),"update STUDENT sheet")</f>
        <v/>
      </c>
    </row>
    <row r="1635">
      <c r="B1635">
        <f>IF(STUDENTS!B1634="","",STUDENTS!B1634)</f>
        <v/>
      </c>
      <c r="C1635">
        <f>IFERROR(IF(B1635="","",_xlfn.XLOOKUP(B1635,STUDENTS!$B$3:$B$1048576,STUDENTS!$C$3:$C$1048576)),"Enter a registered reg. no")</f>
        <v/>
      </c>
      <c r="E1635">
        <f>IFERROR(IF(C1635="","",_xlfn.XLOOKUP(C1635,STUDENTS!C1634:C101631,STUDENTS!F1634:F101631)),"update STUDENT sheet")</f>
        <v/>
      </c>
      <c r="F1635">
        <f>IFERROR(IF(D1635="","",_xlfn.XLOOKUP(D1635,STUDENTS!D1634:D101631,STUDENTS!G1634:G101631)),"update STUDENT sheet")</f>
        <v/>
      </c>
      <c r="G1635">
        <f>IFERROR(IF(E1635="","",_xlfn.XLOOKUP(E1635,STUDENTS!F1634:F101631,STUDENTS!H1634:H101631)),"update STUDENT sheet")</f>
        <v/>
      </c>
    </row>
    <row r="1636">
      <c r="B1636">
        <f>IF(STUDENTS!B1635="","",STUDENTS!B1635)</f>
        <v/>
      </c>
      <c r="C1636">
        <f>IFERROR(IF(B1636="","",_xlfn.XLOOKUP(B1636,STUDENTS!$B$3:$B$1048576,STUDENTS!$C$3:$C$1048576)),"Enter a registered reg. no")</f>
        <v/>
      </c>
      <c r="E1636">
        <f>IFERROR(IF(C1636="","",_xlfn.XLOOKUP(C1636,STUDENTS!C1635:C101632,STUDENTS!F1635:F101632)),"update STUDENT sheet")</f>
        <v/>
      </c>
      <c r="F1636">
        <f>IFERROR(IF(D1636="","",_xlfn.XLOOKUP(D1636,STUDENTS!D1635:D101632,STUDENTS!G1635:G101632)),"update STUDENT sheet")</f>
        <v/>
      </c>
      <c r="G1636">
        <f>IFERROR(IF(E1636="","",_xlfn.XLOOKUP(E1636,STUDENTS!F1635:F101632,STUDENTS!H1635:H101632)),"update STUDENT sheet")</f>
        <v/>
      </c>
    </row>
    <row r="1637">
      <c r="B1637">
        <f>IF(STUDENTS!B1636="","",STUDENTS!B1636)</f>
        <v/>
      </c>
      <c r="C1637">
        <f>IFERROR(IF(B1637="","",_xlfn.XLOOKUP(B1637,STUDENTS!$B$3:$B$1048576,STUDENTS!$C$3:$C$1048576)),"Enter a registered reg. no")</f>
        <v/>
      </c>
      <c r="E1637">
        <f>IFERROR(IF(C1637="","",_xlfn.XLOOKUP(C1637,STUDENTS!C1636:C101633,STUDENTS!F1636:F101633)),"update STUDENT sheet")</f>
        <v/>
      </c>
      <c r="F1637">
        <f>IFERROR(IF(D1637="","",_xlfn.XLOOKUP(D1637,STUDENTS!D1636:D101633,STUDENTS!G1636:G101633)),"update STUDENT sheet")</f>
        <v/>
      </c>
      <c r="G1637">
        <f>IFERROR(IF(E1637="","",_xlfn.XLOOKUP(E1637,STUDENTS!F1636:F101633,STUDENTS!H1636:H101633)),"update STUDENT sheet")</f>
        <v/>
      </c>
    </row>
    <row r="1638">
      <c r="B1638">
        <f>IF(STUDENTS!B1637="","",STUDENTS!B1637)</f>
        <v/>
      </c>
      <c r="C1638">
        <f>IFERROR(IF(B1638="","",_xlfn.XLOOKUP(B1638,STUDENTS!$B$3:$B$1048576,STUDENTS!$C$3:$C$1048576)),"Enter a registered reg. no")</f>
        <v/>
      </c>
      <c r="E1638">
        <f>IFERROR(IF(C1638="","",_xlfn.XLOOKUP(C1638,STUDENTS!C1637:C101634,STUDENTS!F1637:F101634)),"update STUDENT sheet")</f>
        <v/>
      </c>
      <c r="F1638">
        <f>IFERROR(IF(D1638="","",_xlfn.XLOOKUP(D1638,STUDENTS!D1637:D101634,STUDENTS!G1637:G101634)),"update STUDENT sheet")</f>
        <v/>
      </c>
      <c r="G1638">
        <f>IFERROR(IF(E1638="","",_xlfn.XLOOKUP(E1638,STUDENTS!F1637:F101634,STUDENTS!H1637:H101634)),"update STUDENT sheet")</f>
        <v/>
      </c>
    </row>
    <row r="1639">
      <c r="B1639">
        <f>IF(STUDENTS!B1638="","",STUDENTS!B1638)</f>
        <v/>
      </c>
      <c r="C1639">
        <f>IFERROR(IF(B1639="","",_xlfn.XLOOKUP(B1639,STUDENTS!$B$3:$B$1048576,STUDENTS!$C$3:$C$1048576)),"Enter a registered reg. no")</f>
        <v/>
      </c>
      <c r="E1639">
        <f>IFERROR(IF(C1639="","",_xlfn.XLOOKUP(C1639,STUDENTS!C1638:C101635,STUDENTS!F1638:F101635)),"update STUDENT sheet")</f>
        <v/>
      </c>
      <c r="F1639">
        <f>IFERROR(IF(D1639="","",_xlfn.XLOOKUP(D1639,STUDENTS!D1638:D101635,STUDENTS!G1638:G101635)),"update STUDENT sheet")</f>
        <v/>
      </c>
      <c r="G1639">
        <f>IFERROR(IF(E1639="","",_xlfn.XLOOKUP(E1639,STUDENTS!F1638:F101635,STUDENTS!H1638:H101635)),"update STUDENT sheet")</f>
        <v/>
      </c>
    </row>
    <row r="1640">
      <c r="B1640">
        <f>IF(STUDENTS!B1639="","",STUDENTS!B1639)</f>
        <v/>
      </c>
      <c r="C1640">
        <f>IFERROR(IF(B1640="","",_xlfn.XLOOKUP(B1640,STUDENTS!$B$3:$B$1048576,STUDENTS!$C$3:$C$1048576)),"Enter a registered reg. no")</f>
        <v/>
      </c>
      <c r="E1640">
        <f>IFERROR(IF(C1640="","",_xlfn.XLOOKUP(C1640,STUDENTS!C1639:C101636,STUDENTS!F1639:F101636)),"update STUDENT sheet")</f>
        <v/>
      </c>
      <c r="F1640">
        <f>IFERROR(IF(D1640="","",_xlfn.XLOOKUP(D1640,STUDENTS!D1639:D101636,STUDENTS!G1639:G101636)),"update STUDENT sheet")</f>
        <v/>
      </c>
      <c r="G1640">
        <f>IFERROR(IF(E1640="","",_xlfn.XLOOKUP(E1640,STUDENTS!F1639:F101636,STUDENTS!H1639:H101636)),"update STUDENT sheet")</f>
        <v/>
      </c>
    </row>
    <row r="1641">
      <c r="B1641">
        <f>IF(STUDENTS!B1640="","",STUDENTS!B1640)</f>
        <v/>
      </c>
      <c r="C1641">
        <f>IFERROR(IF(B1641="","",_xlfn.XLOOKUP(B1641,STUDENTS!$B$3:$B$1048576,STUDENTS!$C$3:$C$1048576)),"Enter a registered reg. no")</f>
        <v/>
      </c>
      <c r="E1641">
        <f>IFERROR(IF(C1641="","",_xlfn.XLOOKUP(C1641,STUDENTS!C1640:C101637,STUDENTS!F1640:F101637)),"update STUDENT sheet")</f>
        <v/>
      </c>
      <c r="F1641">
        <f>IFERROR(IF(D1641="","",_xlfn.XLOOKUP(D1641,STUDENTS!D1640:D101637,STUDENTS!G1640:G101637)),"update STUDENT sheet")</f>
        <v/>
      </c>
      <c r="G1641">
        <f>IFERROR(IF(E1641="","",_xlfn.XLOOKUP(E1641,STUDENTS!F1640:F101637,STUDENTS!H1640:H101637)),"update STUDENT sheet")</f>
        <v/>
      </c>
    </row>
    <row r="1642">
      <c r="B1642">
        <f>IF(STUDENTS!B1641="","",STUDENTS!B1641)</f>
        <v/>
      </c>
      <c r="C1642">
        <f>IFERROR(IF(B1642="","",_xlfn.XLOOKUP(B1642,STUDENTS!$B$3:$B$1048576,STUDENTS!$C$3:$C$1048576)),"Enter a registered reg. no")</f>
        <v/>
      </c>
      <c r="E1642">
        <f>IFERROR(IF(C1642="","",_xlfn.XLOOKUP(C1642,STUDENTS!C1641:C101638,STUDENTS!F1641:F101638)),"update STUDENT sheet")</f>
        <v/>
      </c>
      <c r="F1642">
        <f>IFERROR(IF(D1642="","",_xlfn.XLOOKUP(D1642,STUDENTS!D1641:D101638,STUDENTS!G1641:G101638)),"update STUDENT sheet")</f>
        <v/>
      </c>
      <c r="G1642">
        <f>IFERROR(IF(E1642="","",_xlfn.XLOOKUP(E1642,STUDENTS!F1641:F101638,STUDENTS!H1641:H101638)),"update STUDENT sheet")</f>
        <v/>
      </c>
    </row>
    <row r="1643">
      <c r="B1643">
        <f>IF(STUDENTS!B1642="","",STUDENTS!B1642)</f>
        <v/>
      </c>
      <c r="C1643">
        <f>IFERROR(IF(B1643="","",_xlfn.XLOOKUP(B1643,STUDENTS!$B$3:$B$1048576,STUDENTS!$C$3:$C$1048576)),"Enter a registered reg. no")</f>
        <v/>
      </c>
      <c r="E1643">
        <f>IFERROR(IF(C1643="","",_xlfn.XLOOKUP(C1643,STUDENTS!C1642:C101639,STUDENTS!F1642:F101639)),"update STUDENT sheet")</f>
        <v/>
      </c>
      <c r="F1643">
        <f>IFERROR(IF(D1643="","",_xlfn.XLOOKUP(D1643,STUDENTS!D1642:D101639,STUDENTS!G1642:G101639)),"update STUDENT sheet")</f>
        <v/>
      </c>
      <c r="G1643">
        <f>IFERROR(IF(E1643="","",_xlfn.XLOOKUP(E1643,STUDENTS!F1642:F101639,STUDENTS!H1642:H101639)),"update STUDENT sheet")</f>
        <v/>
      </c>
    </row>
    <row r="1644">
      <c r="B1644">
        <f>IF(STUDENTS!B1643="","",STUDENTS!B1643)</f>
        <v/>
      </c>
      <c r="C1644">
        <f>IFERROR(IF(B1644="","",_xlfn.XLOOKUP(B1644,STUDENTS!$B$3:$B$1048576,STUDENTS!$C$3:$C$1048576)),"Enter a registered reg. no")</f>
        <v/>
      </c>
      <c r="E1644">
        <f>IFERROR(IF(C1644="","",_xlfn.XLOOKUP(C1644,STUDENTS!C1643:C101640,STUDENTS!F1643:F101640)),"update STUDENT sheet")</f>
        <v/>
      </c>
      <c r="F1644">
        <f>IFERROR(IF(D1644="","",_xlfn.XLOOKUP(D1644,STUDENTS!D1643:D101640,STUDENTS!G1643:G101640)),"update STUDENT sheet")</f>
        <v/>
      </c>
      <c r="G1644">
        <f>IFERROR(IF(E1644="","",_xlfn.XLOOKUP(E1644,STUDENTS!F1643:F101640,STUDENTS!H1643:H101640)),"update STUDENT sheet")</f>
        <v/>
      </c>
    </row>
    <row r="1645">
      <c r="B1645">
        <f>IF(STUDENTS!B1644="","",STUDENTS!B1644)</f>
        <v/>
      </c>
      <c r="C1645">
        <f>IFERROR(IF(B1645="","",_xlfn.XLOOKUP(B1645,STUDENTS!$B$3:$B$1048576,STUDENTS!$C$3:$C$1048576)),"Enter a registered reg. no")</f>
        <v/>
      </c>
      <c r="E1645">
        <f>IFERROR(IF(C1645="","",_xlfn.XLOOKUP(C1645,STUDENTS!C1644:C101641,STUDENTS!F1644:F101641)),"update STUDENT sheet")</f>
        <v/>
      </c>
      <c r="F1645">
        <f>IFERROR(IF(D1645="","",_xlfn.XLOOKUP(D1645,STUDENTS!D1644:D101641,STUDENTS!G1644:G101641)),"update STUDENT sheet")</f>
        <v/>
      </c>
      <c r="G1645">
        <f>IFERROR(IF(E1645="","",_xlfn.XLOOKUP(E1645,STUDENTS!F1644:F101641,STUDENTS!H1644:H101641)),"update STUDENT sheet")</f>
        <v/>
      </c>
    </row>
    <row r="1646">
      <c r="B1646">
        <f>IF(STUDENTS!B1645="","",STUDENTS!B1645)</f>
        <v/>
      </c>
      <c r="C1646">
        <f>IFERROR(IF(B1646="","",_xlfn.XLOOKUP(B1646,STUDENTS!$B$3:$B$1048576,STUDENTS!$C$3:$C$1048576)),"Enter a registered reg. no")</f>
        <v/>
      </c>
      <c r="E1646">
        <f>IFERROR(IF(C1646="","",_xlfn.XLOOKUP(C1646,STUDENTS!C1645:C101642,STUDENTS!F1645:F101642)),"update STUDENT sheet")</f>
        <v/>
      </c>
      <c r="F1646">
        <f>IFERROR(IF(D1646="","",_xlfn.XLOOKUP(D1646,STUDENTS!D1645:D101642,STUDENTS!G1645:G101642)),"update STUDENT sheet")</f>
        <v/>
      </c>
      <c r="G1646">
        <f>IFERROR(IF(E1646="","",_xlfn.XLOOKUP(E1646,STUDENTS!F1645:F101642,STUDENTS!H1645:H101642)),"update STUDENT sheet")</f>
        <v/>
      </c>
    </row>
    <row r="1647">
      <c r="B1647">
        <f>IF(STUDENTS!B1646="","",STUDENTS!B1646)</f>
        <v/>
      </c>
      <c r="C1647">
        <f>IFERROR(IF(B1647="","",_xlfn.XLOOKUP(B1647,STUDENTS!$B$3:$B$1048576,STUDENTS!$C$3:$C$1048576)),"Enter a registered reg. no")</f>
        <v/>
      </c>
      <c r="E1647">
        <f>IFERROR(IF(C1647="","",_xlfn.XLOOKUP(C1647,STUDENTS!C1646:C101643,STUDENTS!F1646:F101643)),"update STUDENT sheet")</f>
        <v/>
      </c>
      <c r="F1647">
        <f>IFERROR(IF(D1647="","",_xlfn.XLOOKUP(D1647,STUDENTS!D1646:D101643,STUDENTS!G1646:G101643)),"update STUDENT sheet")</f>
        <v/>
      </c>
      <c r="G1647">
        <f>IFERROR(IF(E1647="","",_xlfn.XLOOKUP(E1647,STUDENTS!F1646:F101643,STUDENTS!H1646:H101643)),"update STUDENT sheet")</f>
        <v/>
      </c>
    </row>
    <row r="1648">
      <c r="B1648">
        <f>IF(STUDENTS!B1647="","",STUDENTS!B1647)</f>
        <v/>
      </c>
      <c r="C1648">
        <f>IFERROR(IF(B1648="","",_xlfn.XLOOKUP(B1648,STUDENTS!$B$3:$B$1048576,STUDENTS!$C$3:$C$1048576)),"Enter a registered reg. no")</f>
        <v/>
      </c>
      <c r="E1648">
        <f>IFERROR(IF(C1648="","",_xlfn.XLOOKUP(C1648,STUDENTS!C1647:C101644,STUDENTS!F1647:F101644)),"update STUDENT sheet")</f>
        <v/>
      </c>
      <c r="F1648">
        <f>IFERROR(IF(D1648="","",_xlfn.XLOOKUP(D1648,STUDENTS!D1647:D101644,STUDENTS!G1647:G101644)),"update STUDENT sheet")</f>
        <v/>
      </c>
      <c r="G1648">
        <f>IFERROR(IF(E1648="","",_xlfn.XLOOKUP(E1648,STUDENTS!F1647:F101644,STUDENTS!H1647:H101644)),"update STUDENT sheet")</f>
        <v/>
      </c>
    </row>
    <row r="1649">
      <c r="B1649">
        <f>IF(STUDENTS!B1648="","",STUDENTS!B1648)</f>
        <v/>
      </c>
      <c r="C1649">
        <f>IFERROR(IF(B1649="","",_xlfn.XLOOKUP(B1649,STUDENTS!$B$3:$B$1048576,STUDENTS!$C$3:$C$1048576)),"Enter a registered reg. no")</f>
        <v/>
      </c>
      <c r="E1649">
        <f>IFERROR(IF(C1649="","",_xlfn.XLOOKUP(C1649,STUDENTS!C1648:C101645,STUDENTS!F1648:F101645)),"update STUDENT sheet")</f>
        <v/>
      </c>
      <c r="F1649">
        <f>IFERROR(IF(D1649="","",_xlfn.XLOOKUP(D1649,STUDENTS!D1648:D101645,STUDENTS!G1648:G101645)),"update STUDENT sheet")</f>
        <v/>
      </c>
      <c r="G1649">
        <f>IFERROR(IF(E1649="","",_xlfn.XLOOKUP(E1649,STUDENTS!F1648:F101645,STUDENTS!H1648:H101645)),"update STUDENT sheet")</f>
        <v/>
      </c>
    </row>
    <row r="1650">
      <c r="B1650">
        <f>IF(STUDENTS!B1649="","",STUDENTS!B1649)</f>
        <v/>
      </c>
      <c r="C1650">
        <f>IFERROR(IF(B1650="","",_xlfn.XLOOKUP(B1650,STUDENTS!$B$3:$B$1048576,STUDENTS!$C$3:$C$1048576)),"Enter a registered reg. no")</f>
        <v/>
      </c>
      <c r="E1650">
        <f>IFERROR(IF(C1650="","",_xlfn.XLOOKUP(C1650,STUDENTS!C1649:C101646,STUDENTS!F1649:F101646)),"update STUDENT sheet")</f>
        <v/>
      </c>
      <c r="F1650">
        <f>IFERROR(IF(D1650="","",_xlfn.XLOOKUP(D1650,STUDENTS!D1649:D101646,STUDENTS!G1649:G101646)),"update STUDENT sheet")</f>
        <v/>
      </c>
      <c r="G1650">
        <f>IFERROR(IF(E1650="","",_xlfn.XLOOKUP(E1650,STUDENTS!F1649:F101646,STUDENTS!H1649:H101646)),"update STUDENT sheet")</f>
        <v/>
      </c>
    </row>
    <row r="1651">
      <c r="B1651">
        <f>IF(STUDENTS!B1650="","",STUDENTS!B1650)</f>
        <v/>
      </c>
      <c r="C1651">
        <f>IFERROR(IF(B1651="","",_xlfn.XLOOKUP(B1651,STUDENTS!$B$3:$B$1048576,STUDENTS!$C$3:$C$1048576)),"Enter a registered reg. no")</f>
        <v/>
      </c>
      <c r="E1651">
        <f>IFERROR(IF(C1651="","",_xlfn.XLOOKUP(C1651,STUDENTS!C1650:C101647,STUDENTS!F1650:F101647)),"update STUDENT sheet")</f>
        <v/>
      </c>
      <c r="F1651">
        <f>IFERROR(IF(D1651="","",_xlfn.XLOOKUP(D1651,STUDENTS!D1650:D101647,STUDENTS!G1650:G101647)),"update STUDENT sheet")</f>
        <v/>
      </c>
      <c r="G1651">
        <f>IFERROR(IF(E1651="","",_xlfn.XLOOKUP(E1651,STUDENTS!F1650:F101647,STUDENTS!H1650:H101647)),"update STUDENT sheet")</f>
        <v/>
      </c>
    </row>
    <row r="1652">
      <c r="B1652">
        <f>IF(STUDENTS!B1651="","",STUDENTS!B1651)</f>
        <v/>
      </c>
      <c r="C1652">
        <f>IFERROR(IF(B1652="","",_xlfn.XLOOKUP(B1652,STUDENTS!$B$3:$B$1048576,STUDENTS!$C$3:$C$1048576)),"Enter a registered reg. no")</f>
        <v/>
      </c>
      <c r="E1652">
        <f>IFERROR(IF(C1652="","",_xlfn.XLOOKUP(C1652,STUDENTS!C1651:C101648,STUDENTS!F1651:F101648)),"update STUDENT sheet")</f>
        <v/>
      </c>
      <c r="F1652">
        <f>IFERROR(IF(D1652="","",_xlfn.XLOOKUP(D1652,STUDENTS!D1651:D101648,STUDENTS!G1651:G101648)),"update STUDENT sheet")</f>
        <v/>
      </c>
      <c r="G1652">
        <f>IFERROR(IF(E1652="","",_xlfn.XLOOKUP(E1652,STUDENTS!F1651:F101648,STUDENTS!H1651:H101648)),"update STUDENT sheet")</f>
        <v/>
      </c>
    </row>
    <row r="1653">
      <c r="B1653">
        <f>IF(STUDENTS!B1652="","",STUDENTS!B1652)</f>
        <v/>
      </c>
      <c r="C1653">
        <f>IFERROR(IF(B1653="","",_xlfn.XLOOKUP(B1653,STUDENTS!$B$3:$B$1048576,STUDENTS!$C$3:$C$1048576)),"Enter a registered reg. no")</f>
        <v/>
      </c>
      <c r="E1653">
        <f>IFERROR(IF(C1653="","",_xlfn.XLOOKUP(C1653,STUDENTS!C1652:C101649,STUDENTS!F1652:F101649)),"update STUDENT sheet")</f>
        <v/>
      </c>
      <c r="F1653">
        <f>IFERROR(IF(D1653="","",_xlfn.XLOOKUP(D1653,STUDENTS!D1652:D101649,STUDENTS!G1652:G101649)),"update STUDENT sheet")</f>
        <v/>
      </c>
      <c r="G1653">
        <f>IFERROR(IF(E1653="","",_xlfn.XLOOKUP(E1653,STUDENTS!F1652:F101649,STUDENTS!H1652:H101649)),"update STUDENT sheet")</f>
        <v/>
      </c>
    </row>
    <row r="1654">
      <c r="B1654">
        <f>IF(STUDENTS!B1653="","",STUDENTS!B1653)</f>
        <v/>
      </c>
      <c r="C1654">
        <f>IFERROR(IF(B1654="","",_xlfn.XLOOKUP(B1654,STUDENTS!$B$3:$B$1048576,STUDENTS!$C$3:$C$1048576)),"Enter a registered reg. no")</f>
        <v/>
      </c>
      <c r="E1654">
        <f>IFERROR(IF(C1654="","",_xlfn.XLOOKUP(C1654,STUDENTS!C1653:C101650,STUDENTS!F1653:F101650)),"update STUDENT sheet")</f>
        <v/>
      </c>
      <c r="F1654">
        <f>IFERROR(IF(D1654="","",_xlfn.XLOOKUP(D1654,STUDENTS!D1653:D101650,STUDENTS!G1653:G101650)),"update STUDENT sheet")</f>
        <v/>
      </c>
      <c r="G1654">
        <f>IFERROR(IF(E1654="","",_xlfn.XLOOKUP(E1654,STUDENTS!F1653:F101650,STUDENTS!H1653:H101650)),"update STUDENT sheet")</f>
        <v/>
      </c>
    </row>
    <row r="1655">
      <c r="B1655">
        <f>IF(STUDENTS!B1654="","",STUDENTS!B1654)</f>
        <v/>
      </c>
      <c r="C1655">
        <f>IFERROR(IF(B1655="","",_xlfn.XLOOKUP(B1655,STUDENTS!$B$3:$B$1048576,STUDENTS!$C$3:$C$1048576)),"Enter a registered reg. no")</f>
        <v/>
      </c>
      <c r="E1655">
        <f>IFERROR(IF(C1655="","",_xlfn.XLOOKUP(C1655,STUDENTS!C1654:C101651,STUDENTS!F1654:F101651)),"update STUDENT sheet")</f>
        <v/>
      </c>
      <c r="F1655">
        <f>IFERROR(IF(D1655="","",_xlfn.XLOOKUP(D1655,STUDENTS!D1654:D101651,STUDENTS!G1654:G101651)),"update STUDENT sheet")</f>
        <v/>
      </c>
      <c r="G1655">
        <f>IFERROR(IF(E1655="","",_xlfn.XLOOKUP(E1655,STUDENTS!F1654:F101651,STUDENTS!H1654:H101651)),"update STUDENT sheet")</f>
        <v/>
      </c>
    </row>
    <row r="1656">
      <c r="B1656">
        <f>IF(STUDENTS!B1655="","",STUDENTS!B1655)</f>
        <v/>
      </c>
      <c r="C1656">
        <f>IFERROR(IF(B1656="","",_xlfn.XLOOKUP(B1656,STUDENTS!$B$3:$B$1048576,STUDENTS!$C$3:$C$1048576)),"Enter a registered reg. no")</f>
        <v/>
      </c>
      <c r="E1656">
        <f>IFERROR(IF(C1656="","",_xlfn.XLOOKUP(C1656,STUDENTS!C1655:C101652,STUDENTS!F1655:F101652)),"update STUDENT sheet")</f>
        <v/>
      </c>
      <c r="F1656">
        <f>IFERROR(IF(D1656="","",_xlfn.XLOOKUP(D1656,STUDENTS!D1655:D101652,STUDENTS!G1655:G101652)),"update STUDENT sheet")</f>
        <v/>
      </c>
      <c r="G1656">
        <f>IFERROR(IF(E1656="","",_xlfn.XLOOKUP(E1656,STUDENTS!F1655:F101652,STUDENTS!H1655:H101652)),"update STUDENT sheet")</f>
        <v/>
      </c>
    </row>
    <row r="1657">
      <c r="B1657">
        <f>IF(STUDENTS!B1656="","",STUDENTS!B1656)</f>
        <v/>
      </c>
      <c r="C1657">
        <f>IFERROR(IF(B1657="","",_xlfn.XLOOKUP(B1657,STUDENTS!$B$3:$B$1048576,STUDENTS!$C$3:$C$1048576)),"Enter a registered reg. no")</f>
        <v/>
      </c>
      <c r="E1657">
        <f>IFERROR(IF(C1657="","",_xlfn.XLOOKUP(C1657,STUDENTS!C1656:C101653,STUDENTS!F1656:F101653)),"update STUDENT sheet")</f>
        <v/>
      </c>
      <c r="F1657">
        <f>IFERROR(IF(D1657="","",_xlfn.XLOOKUP(D1657,STUDENTS!D1656:D101653,STUDENTS!G1656:G101653)),"update STUDENT sheet")</f>
        <v/>
      </c>
      <c r="G1657">
        <f>IFERROR(IF(E1657="","",_xlfn.XLOOKUP(E1657,STUDENTS!F1656:F101653,STUDENTS!H1656:H101653)),"update STUDENT sheet")</f>
        <v/>
      </c>
    </row>
    <row r="1658">
      <c r="B1658">
        <f>IF(STUDENTS!B1657="","",STUDENTS!B1657)</f>
        <v/>
      </c>
      <c r="C1658">
        <f>IFERROR(IF(B1658="","",_xlfn.XLOOKUP(B1658,STUDENTS!$B$3:$B$1048576,STUDENTS!$C$3:$C$1048576)),"Enter a registered reg. no")</f>
        <v/>
      </c>
      <c r="E1658">
        <f>IFERROR(IF(C1658="","",_xlfn.XLOOKUP(C1658,STUDENTS!C1657:C101654,STUDENTS!F1657:F101654)),"update STUDENT sheet")</f>
        <v/>
      </c>
      <c r="F1658">
        <f>IFERROR(IF(D1658="","",_xlfn.XLOOKUP(D1658,STUDENTS!D1657:D101654,STUDENTS!G1657:G101654)),"update STUDENT sheet")</f>
        <v/>
      </c>
      <c r="G1658">
        <f>IFERROR(IF(E1658="","",_xlfn.XLOOKUP(E1658,STUDENTS!F1657:F101654,STUDENTS!H1657:H101654)),"update STUDENT sheet")</f>
        <v/>
      </c>
    </row>
    <row r="1659">
      <c r="B1659">
        <f>IF(STUDENTS!B1658="","",STUDENTS!B1658)</f>
        <v/>
      </c>
      <c r="C1659">
        <f>IFERROR(IF(B1659="","",_xlfn.XLOOKUP(B1659,STUDENTS!$B$3:$B$1048576,STUDENTS!$C$3:$C$1048576)),"Enter a registered reg. no")</f>
        <v/>
      </c>
      <c r="E1659">
        <f>IFERROR(IF(C1659="","",_xlfn.XLOOKUP(C1659,STUDENTS!C1658:C101655,STUDENTS!F1658:F101655)),"update STUDENT sheet")</f>
        <v/>
      </c>
      <c r="F1659">
        <f>IFERROR(IF(D1659="","",_xlfn.XLOOKUP(D1659,STUDENTS!D1658:D101655,STUDENTS!G1658:G101655)),"update STUDENT sheet")</f>
        <v/>
      </c>
      <c r="G1659">
        <f>IFERROR(IF(E1659="","",_xlfn.XLOOKUP(E1659,STUDENTS!F1658:F101655,STUDENTS!H1658:H101655)),"update STUDENT sheet")</f>
        <v/>
      </c>
    </row>
    <row r="1660">
      <c r="B1660">
        <f>IF(STUDENTS!B1659="","",STUDENTS!B1659)</f>
        <v/>
      </c>
      <c r="C1660">
        <f>IFERROR(IF(B1660="","",_xlfn.XLOOKUP(B1660,STUDENTS!$B$3:$B$1048576,STUDENTS!$C$3:$C$1048576)),"Enter a registered reg. no")</f>
        <v/>
      </c>
      <c r="E1660">
        <f>IFERROR(IF(C1660="","",_xlfn.XLOOKUP(C1660,STUDENTS!C1659:C101656,STUDENTS!F1659:F101656)),"update STUDENT sheet")</f>
        <v/>
      </c>
      <c r="F1660">
        <f>IFERROR(IF(D1660="","",_xlfn.XLOOKUP(D1660,STUDENTS!D1659:D101656,STUDENTS!G1659:G101656)),"update STUDENT sheet")</f>
        <v/>
      </c>
      <c r="G1660">
        <f>IFERROR(IF(E1660="","",_xlfn.XLOOKUP(E1660,STUDENTS!F1659:F101656,STUDENTS!H1659:H101656)),"update STUDENT sheet")</f>
        <v/>
      </c>
    </row>
    <row r="1661">
      <c r="B1661">
        <f>IF(STUDENTS!B1660="","",STUDENTS!B1660)</f>
        <v/>
      </c>
      <c r="C1661">
        <f>IFERROR(IF(B1661="","",_xlfn.XLOOKUP(B1661,STUDENTS!$B$3:$B$1048576,STUDENTS!$C$3:$C$1048576)),"Enter a registered reg. no")</f>
        <v/>
      </c>
      <c r="E1661">
        <f>IFERROR(IF(C1661="","",_xlfn.XLOOKUP(C1661,STUDENTS!C1660:C101657,STUDENTS!F1660:F101657)),"update STUDENT sheet")</f>
        <v/>
      </c>
      <c r="F1661">
        <f>IFERROR(IF(D1661="","",_xlfn.XLOOKUP(D1661,STUDENTS!D1660:D101657,STUDENTS!G1660:G101657)),"update STUDENT sheet")</f>
        <v/>
      </c>
      <c r="G1661">
        <f>IFERROR(IF(E1661="","",_xlfn.XLOOKUP(E1661,STUDENTS!F1660:F101657,STUDENTS!H1660:H101657)),"update STUDENT sheet")</f>
        <v/>
      </c>
    </row>
    <row r="1662">
      <c r="B1662">
        <f>IF(STUDENTS!B1661="","",STUDENTS!B1661)</f>
        <v/>
      </c>
      <c r="C1662">
        <f>IFERROR(IF(B1662="","",_xlfn.XLOOKUP(B1662,STUDENTS!$B$3:$B$1048576,STUDENTS!$C$3:$C$1048576)),"Enter a registered reg. no")</f>
        <v/>
      </c>
      <c r="E1662">
        <f>IFERROR(IF(C1662="","",_xlfn.XLOOKUP(C1662,STUDENTS!C1661:C101658,STUDENTS!F1661:F101658)),"update STUDENT sheet")</f>
        <v/>
      </c>
      <c r="F1662">
        <f>IFERROR(IF(D1662="","",_xlfn.XLOOKUP(D1662,STUDENTS!D1661:D101658,STUDENTS!G1661:G101658)),"update STUDENT sheet")</f>
        <v/>
      </c>
      <c r="G1662">
        <f>IFERROR(IF(E1662="","",_xlfn.XLOOKUP(E1662,STUDENTS!F1661:F101658,STUDENTS!H1661:H101658)),"update STUDENT sheet")</f>
        <v/>
      </c>
    </row>
    <row r="1663">
      <c r="B1663">
        <f>IF(STUDENTS!B1662="","",STUDENTS!B1662)</f>
        <v/>
      </c>
      <c r="C1663">
        <f>IFERROR(IF(B1663="","",_xlfn.XLOOKUP(B1663,STUDENTS!$B$3:$B$1048576,STUDENTS!$C$3:$C$1048576)),"Enter a registered reg. no")</f>
        <v/>
      </c>
      <c r="E1663">
        <f>IFERROR(IF(C1663="","",_xlfn.XLOOKUP(C1663,STUDENTS!C1662:C101659,STUDENTS!F1662:F101659)),"update STUDENT sheet")</f>
        <v/>
      </c>
      <c r="F1663">
        <f>IFERROR(IF(D1663="","",_xlfn.XLOOKUP(D1663,STUDENTS!D1662:D101659,STUDENTS!G1662:G101659)),"update STUDENT sheet")</f>
        <v/>
      </c>
      <c r="G1663">
        <f>IFERROR(IF(E1663="","",_xlfn.XLOOKUP(E1663,STUDENTS!F1662:F101659,STUDENTS!H1662:H101659)),"update STUDENT sheet")</f>
        <v/>
      </c>
    </row>
    <row r="1664">
      <c r="B1664">
        <f>IF(STUDENTS!B1663="","",STUDENTS!B1663)</f>
        <v/>
      </c>
      <c r="C1664">
        <f>IFERROR(IF(B1664="","",_xlfn.XLOOKUP(B1664,STUDENTS!$B$3:$B$1048576,STUDENTS!$C$3:$C$1048576)),"Enter a registered reg. no")</f>
        <v/>
      </c>
      <c r="E1664">
        <f>IFERROR(IF(C1664="","",_xlfn.XLOOKUP(C1664,STUDENTS!C1663:C101660,STUDENTS!F1663:F101660)),"update STUDENT sheet")</f>
        <v/>
      </c>
      <c r="F1664">
        <f>IFERROR(IF(D1664="","",_xlfn.XLOOKUP(D1664,STUDENTS!D1663:D101660,STUDENTS!G1663:G101660)),"update STUDENT sheet")</f>
        <v/>
      </c>
      <c r="G1664">
        <f>IFERROR(IF(E1664="","",_xlfn.XLOOKUP(E1664,STUDENTS!F1663:F101660,STUDENTS!H1663:H101660)),"update STUDENT sheet")</f>
        <v/>
      </c>
    </row>
    <row r="1665">
      <c r="B1665">
        <f>IF(STUDENTS!B1664="","",STUDENTS!B1664)</f>
        <v/>
      </c>
      <c r="C1665">
        <f>IFERROR(IF(B1665="","",_xlfn.XLOOKUP(B1665,STUDENTS!$B$3:$B$1048576,STUDENTS!$C$3:$C$1048576)),"Enter a registered reg. no")</f>
        <v/>
      </c>
      <c r="E1665">
        <f>IFERROR(IF(C1665="","",_xlfn.XLOOKUP(C1665,STUDENTS!C1664:C101661,STUDENTS!F1664:F101661)),"update STUDENT sheet")</f>
        <v/>
      </c>
      <c r="F1665">
        <f>IFERROR(IF(D1665="","",_xlfn.XLOOKUP(D1665,STUDENTS!D1664:D101661,STUDENTS!G1664:G101661)),"update STUDENT sheet")</f>
        <v/>
      </c>
      <c r="G1665">
        <f>IFERROR(IF(E1665="","",_xlfn.XLOOKUP(E1665,STUDENTS!F1664:F101661,STUDENTS!H1664:H101661)),"update STUDENT sheet")</f>
        <v/>
      </c>
    </row>
    <row r="1666">
      <c r="B1666">
        <f>IF(STUDENTS!B1665="","",STUDENTS!B1665)</f>
        <v/>
      </c>
      <c r="C1666">
        <f>IFERROR(IF(B1666="","",_xlfn.XLOOKUP(B1666,STUDENTS!$B$3:$B$1048576,STUDENTS!$C$3:$C$1048576)),"Enter a registered reg. no")</f>
        <v/>
      </c>
      <c r="E1666">
        <f>IFERROR(IF(C1666="","",_xlfn.XLOOKUP(C1666,STUDENTS!C1665:C101662,STUDENTS!F1665:F101662)),"update STUDENT sheet")</f>
        <v/>
      </c>
      <c r="F1666">
        <f>IFERROR(IF(D1666="","",_xlfn.XLOOKUP(D1666,STUDENTS!D1665:D101662,STUDENTS!G1665:G101662)),"update STUDENT sheet")</f>
        <v/>
      </c>
      <c r="G1666">
        <f>IFERROR(IF(E1666="","",_xlfn.XLOOKUP(E1666,STUDENTS!F1665:F101662,STUDENTS!H1665:H101662)),"update STUDENT sheet")</f>
        <v/>
      </c>
    </row>
    <row r="1667">
      <c r="B1667">
        <f>IF(STUDENTS!B1666="","",STUDENTS!B1666)</f>
        <v/>
      </c>
      <c r="C1667">
        <f>IFERROR(IF(B1667="","",_xlfn.XLOOKUP(B1667,STUDENTS!$B$3:$B$1048576,STUDENTS!$C$3:$C$1048576)),"Enter a registered reg. no")</f>
        <v/>
      </c>
      <c r="E1667">
        <f>IFERROR(IF(C1667="","",_xlfn.XLOOKUP(C1667,STUDENTS!C1666:C101663,STUDENTS!F1666:F101663)),"update STUDENT sheet")</f>
        <v/>
      </c>
      <c r="F1667">
        <f>IFERROR(IF(D1667="","",_xlfn.XLOOKUP(D1667,STUDENTS!D1666:D101663,STUDENTS!G1666:G101663)),"update STUDENT sheet")</f>
        <v/>
      </c>
      <c r="G1667">
        <f>IFERROR(IF(E1667="","",_xlfn.XLOOKUP(E1667,STUDENTS!F1666:F101663,STUDENTS!H1666:H101663)),"update STUDENT sheet")</f>
        <v/>
      </c>
    </row>
    <row r="1668">
      <c r="B1668">
        <f>IF(STUDENTS!B1667="","",STUDENTS!B1667)</f>
        <v/>
      </c>
      <c r="C1668">
        <f>IFERROR(IF(B1668="","",_xlfn.XLOOKUP(B1668,STUDENTS!$B$3:$B$1048576,STUDENTS!$C$3:$C$1048576)),"Enter a registered reg. no")</f>
        <v/>
      </c>
      <c r="E1668">
        <f>IFERROR(IF(C1668="","",_xlfn.XLOOKUP(C1668,STUDENTS!C1667:C101664,STUDENTS!F1667:F101664)),"update STUDENT sheet")</f>
        <v/>
      </c>
      <c r="F1668">
        <f>IFERROR(IF(D1668="","",_xlfn.XLOOKUP(D1668,STUDENTS!D1667:D101664,STUDENTS!G1667:G101664)),"update STUDENT sheet")</f>
        <v/>
      </c>
      <c r="G1668">
        <f>IFERROR(IF(E1668="","",_xlfn.XLOOKUP(E1668,STUDENTS!F1667:F101664,STUDENTS!H1667:H101664)),"update STUDENT sheet")</f>
        <v/>
      </c>
    </row>
    <row r="1669">
      <c r="B1669">
        <f>IF(STUDENTS!B1668="","",STUDENTS!B1668)</f>
        <v/>
      </c>
      <c r="C1669">
        <f>IFERROR(IF(B1669="","",_xlfn.XLOOKUP(B1669,STUDENTS!$B$3:$B$1048576,STUDENTS!$C$3:$C$1048576)),"Enter a registered reg. no")</f>
        <v/>
      </c>
      <c r="E1669">
        <f>IFERROR(IF(C1669="","",_xlfn.XLOOKUP(C1669,STUDENTS!C1668:C101665,STUDENTS!F1668:F101665)),"update STUDENT sheet")</f>
        <v/>
      </c>
      <c r="F1669">
        <f>IFERROR(IF(D1669="","",_xlfn.XLOOKUP(D1669,STUDENTS!D1668:D101665,STUDENTS!G1668:G101665)),"update STUDENT sheet")</f>
        <v/>
      </c>
      <c r="G1669">
        <f>IFERROR(IF(E1669="","",_xlfn.XLOOKUP(E1669,STUDENTS!F1668:F101665,STUDENTS!H1668:H101665)),"update STUDENT sheet")</f>
        <v/>
      </c>
    </row>
    <row r="1670">
      <c r="B1670">
        <f>IF(STUDENTS!B1669="","",STUDENTS!B1669)</f>
        <v/>
      </c>
      <c r="C1670">
        <f>IFERROR(IF(B1670="","",_xlfn.XLOOKUP(B1670,STUDENTS!$B$3:$B$1048576,STUDENTS!$C$3:$C$1048576)),"Enter a registered reg. no")</f>
        <v/>
      </c>
      <c r="E1670">
        <f>IFERROR(IF(C1670="","",_xlfn.XLOOKUP(C1670,STUDENTS!C1669:C101666,STUDENTS!F1669:F101666)),"update STUDENT sheet")</f>
        <v/>
      </c>
      <c r="F1670">
        <f>IFERROR(IF(D1670="","",_xlfn.XLOOKUP(D1670,STUDENTS!D1669:D101666,STUDENTS!G1669:G101666)),"update STUDENT sheet")</f>
        <v/>
      </c>
      <c r="G1670">
        <f>IFERROR(IF(E1670="","",_xlfn.XLOOKUP(E1670,STUDENTS!F1669:F101666,STUDENTS!H1669:H101666)),"update STUDENT sheet")</f>
        <v/>
      </c>
    </row>
    <row r="1671">
      <c r="B1671">
        <f>IF(STUDENTS!B1670="","",STUDENTS!B1670)</f>
        <v/>
      </c>
      <c r="C1671">
        <f>IFERROR(IF(B1671="","",_xlfn.XLOOKUP(B1671,STUDENTS!$B$3:$B$1048576,STUDENTS!$C$3:$C$1048576)),"Enter a registered reg. no")</f>
        <v/>
      </c>
      <c r="E1671">
        <f>IFERROR(IF(C1671="","",_xlfn.XLOOKUP(C1671,STUDENTS!C1670:C101667,STUDENTS!F1670:F101667)),"update STUDENT sheet")</f>
        <v/>
      </c>
      <c r="F1671">
        <f>IFERROR(IF(D1671="","",_xlfn.XLOOKUP(D1671,STUDENTS!D1670:D101667,STUDENTS!G1670:G101667)),"update STUDENT sheet")</f>
        <v/>
      </c>
      <c r="G1671">
        <f>IFERROR(IF(E1671="","",_xlfn.XLOOKUP(E1671,STUDENTS!F1670:F101667,STUDENTS!H1670:H101667)),"update STUDENT sheet")</f>
        <v/>
      </c>
    </row>
    <row r="1672">
      <c r="B1672">
        <f>IF(STUDENTS!B1671="","",STUDENTS!B1671)</f>
        <v/>
      </c>
      <c r="C1672">
        <f>IFERROR(IF(B1672="","",_xlfn.XLOOKUP(B1672,STUDENTS!$B$3:$B$1048576,STUDENTS!$C$3:$C$1048576)),"Enter a registered reg. no")</f>
        <v/>
      </c>
      <c r="E1672">
        <f>IFERROR(IF(C1672="","",_xlfn.XLOOKUP(C1672,STUDENTS!C1671:C101668,STUDENTS!F1671:F101668)),"update STUDENT sheet")</f>
        <v/>
      </c>
      <c r="F1672">
        <f>IFERROR(IF(D1672="","",_xlfn.XLOOKUP(D1672,STUDENTS!D1671:D101668,STUDENTS!G1671:G101668)),"update STUDENT sheet")</f>
        <v/>
      </c>
      <c r="G1672">
        <f>IFERROR(IF(E1672="","",_xlfn.XLOOKUP(E1672,STUDENTS!F1671:F101668,STUDENTS!H1671:H101668)),"update STUDENT sheet")</f>
        <v/>
      </c>
    </row>
    <row r="1673">
      <c r="B1673">
        <f>IF(STUDENTS!B1672="","",STUDENTS!B1672)</f>
        <v/>
      </c>
      <c r="C1673">
        <f>IFERROR(IF(B1673="","",_xlfn.XLOOKUP(B1673,STUDENTS!$B$3:$B$1048576,STUDENTS!$C$3:$C$1048576)),"Enter a registered reg. no")</f>
        <v/>
      </c>
      <c r="E1673">
        <f>IFERROR(IF(C1673="","",_xlfn.XLOOKUP(C1673,STUDENTS!C1672:C101669,STUDENTS!F1672:F101669)),"update STUDENT sheet")</f>
        <v/>
      </c>
      <c r="F1673">
        <f>IFERROR(IF(D1673="","",_xlfn.XLOOKUP(D1673,STUDENTS!D1672:D101669,STUDENTS!G1672:G101669)),"update STUDENT sheet")</f>
        <v/>
      </c>
      <c r="G1673">
        <f>IFERROR(IF(E1673="","",_xlfn.XLOOKUP(E1673,STUDENTS!F1672:F101669,STUDENTS!H1672:H101669)),"update STUDENT sheet")</f>
        <v/>
      </c>
    </row>
    <row r="1674">
      <c r="B1674">
        <f>IF(STUDENTS!B1673="","",STUDENTS!B1673)</f>
        <v/>
      </c>
      <c r="C1674">
        <f>IFERROR(IF(B1674="","",_xlfn.XLOOKUP(B1674,STUDENTS!$B$3:$B$1048576,STUDENTS!$C$3:$C$1048576)),"Enter a registered reg. no")</f>
        <v/>
      </c>
      <c r="E1674">
        <f>IFERROR(IF(C1674="","",_xlfn.XLOOKUP(C1674,STUDENTS!C1673:C101670,STUDENTS!F1673:F101670)),"update STUDENT sheet")</f>
        <v/>
      </c>
      <c r="F1674">
        <f>IFERROR(IF(D1674="","",_xlfn.XLOOKUP(D1674,STUDENTS!D1673:D101670,STUDENTS!G1673:G101670)),"update STUDENT sheet")</f>
        <v/>
      </c>
      <c r="G1674">
        <f>IFERROR(IF(E1674="","",_xlfn.XLOOKUP(E1674,STUDENTS!F1673:F101670,STUDENTS!H1673:H101670)),"update STUDENT sheet")</f>
        <v/>
      </c>
    </row>
    <row r="1675">
      <c r="B1675">
        <f>IF(STUDENTS!B1674="","",STUDENTS!B1674)</f>
        <v/>
      </c>
      <c r="C1675">
        <f>IFERROR(IF(B1675="","",_xlfn.XLOOKUP(B1675,STUDENTS!$B$3:$B$1048576,STUDENTS!$C$3:$C$1048576)),"Enter a registered reg. no")</f>
        <v/>
      </c>
      <c r="E1675">
        <f>IFERROR(IF(C1675="","",_xlfn.XLOOKUP(C1675,STUDENTS!C1674:C101671,STUDENTS!F1674:F101671)),"update STUDENT sheet")</f>
        <v/>
      </c>
      <c r="F1675">
        <f>IFERROR(IF(D1675="","",_xlfn.XLOOKUP(D1675,STUDENTS!D1674:D101671,STUDENTS!G1674:G101671)),"update STUDENT sheet")</f>
        <v/>
      </c>
      <c r="G1675">
        <f>IFERROR(IF(E1675="","",_xlfn.XLOOKUP(E1675,STUDENTS!F1674:F101671,STUDENTS!H1674:H101671)),"update STUDENT sheet")</f>
        <v/>
      </c>
    </row>
    <row r="1676">
      <c r="B1676">
        <f>IF(STUDENTS!B1675="","",STUDENTS!B1675)</f>
        <v/>
      </c>
      <c r="C1676">
        <f>IFERROR(IF(B1676="","",_xlfn.XLOOKUP(B1676,STUDENTS!$B$3:$B$1048576,STUDENTS!$C$3:$C$1048576)),"Enter a registered reg. no")</f>
        <v/>
      </c>
      <c r="E1676">
        <f>IFERROR(IF(C1676="","",_xlfn.XLOOKUP(C1676,STUDENTS!C1675:C101672,STUDENTS!F1675:F101672)),"update STUDENT sheet")</f>
        <v/>
      </c>
      <c r="F1676">
        <f>IFERROR(IF(D1676="","",_xlfn.XLOOKUP(D1676,STUDENTS!D1675:D101672,STUDENTS!G1675:G101672)),"update STUDENT sheet")</f>
        <v/>
      </c>
      <c r="G1676">
        <f>IFERROR(IF(E1676="","",_xlfn.XLOOKUP(E1676,STUDENTS!F1675:F101672,STUDENTS!H1675:H101672)),"update STUDENT sheet")</f>
        <v/>
      </c>
    </row>
    <row r="1677">
      <c r="B1677">
        <f>IF(STUDENTS!B1676="","",STUDENTS!B1676)</f>
        <v/>
      </c>
      <c r="C1677">
        <f>IFERROR(IF(B1677="","",_xlfn.XLOOKUP(B1677,STUDENTS!$B$3:$B$1048576,STUDENTS!$C$3:$C$1048576)),"Enter a registered reg. no")</f>
        <v/>
      </c>
      <c r="E1677">
        <f>IFERROR(IF(C1677="","",_xlfn.XLOOKUP(C1677,STUDENTS!C1676:C101673,STUDENTS!F1676:F101673)),"update STUDENT sheet")</f>
        <v/>
      </c>
      <c r="F1677">
        <f>IFERROR(IF(D1677="","",_xlfn.XLOOKUP(D1677,STUDENTS!D1676:D101673,STUDENTS!G1676:G101673)),"update STUDENT sheet")</f>
        <v/>
      </c>
      <c r="G1677">
        <f>IFERROR(IF(E1677="","",_xlfn.XLOOKUP(E1677,STUDENTS!F1676:F101673,STUDENTS!H1676:H101673)),"update STUDENT sheet")</f>
        <v/>
      </c>
    </row>
    <row r="1678">
      <c r="B1678">
        <f>IF(STUDENTS!B1677="","",STUDENTS!B1677)</f>
        <v/>
      </c>
      <c r="C1678">
        <f>IFERROR(IF(B1678="","",_xlfn.XLOOKUP(B1678,STUDENTS!$B$3:$B$1048576,STUDENTS!$C$3:$C$1048576)),"Enter a registered reg. no")</f>
        <v/>
      </c>
      <c r="E1678">
        <f>IFERROR(IF(C1678="","",_xlfn.XLOOKUP(C1678,STUDENTS!C1677:C101674,STUDENTS!F1677:F101674)),"update STUDENT sheet")</f>
        <v/>
      </c>
      <c r="F1678">
        <f>IFERROR(IF(D1678="","",_xlfn.XLOOKUP(D1678,STUDENTS!D1677:D101674,STUDENTS!G1677:G101674)),"update STUDENT sheet")</f>
        <v/>
      </c>
      <c r="G1678">
        <f>IFERROR(IF(E1678="","",_xlfn.XLOOKUP(E1678,STUDENTS!F1677:F101674,STUDENTS!H1677:H101674)),"update STUDENT sheet")</f>
        <v/>
      </c>
    </row>
    <row r="1679">
      <c r="B1679">
        <f>IF(STUDENTS!B1678="","",STUDENTS!B1678)</f>
        <v/>
      </c>
      <c r="C1679">
        <f>IFERROR(IF(B1679="","",_xlfn.XLOOKUP(B1679,STUDENTS!$B$3:$B$1048576,STUDENTS!$C$3:$C$1048576)),"Enter a registered reg. no")</f>
        <v/>
      </c>
      <c r="E1679">
        <f>IFERROR(IF(C1679="","",_xlfn.XLOOKUP(C1679,STUDENTS!C1678:C101675,STUDENTS!F1678:F101675)),"update STUDENT sheet")</f>
        <v/>
      </c>
      <c r="F1679">
        <f>IFERROR(IF(D1679="","",_xlfn.XLOOKUP(D1679,STUDENTS!D1678:D101675,STUDENTS!G1678:G101675)),"update STUDENT sheet")</f>
        <v/>
      </c>
      <c r="G1679">
        <f>IFERROR(IF(E1679="","",_xlfn.XLOOKUP(E1679,STUDENTS!F1678:F101675,STUDENTS!H1678:H101675)),"update STUDENT sheet")</f>
        <v/>
      </c>
    </row>
    <row r="1680">
      <c r="B1680">
        <f>IF(STUDENTS!B1679="","",STUDENTS!B1679)</f>
        <v/>
      </c>
      <c r="C1680">
        <f>IFERROR(IF(B1680="","",_xlfn.XLOOKUP(B1680,STUDENTS!$B$3:$B$1048576,STUDENTS!$C$3:$C$1048576)),"Enter a registered reg. no")</f>
        <v/>
      </c>
      <c r="E1680">
        <f>IFERROR(IF(C1680="","",_xlfn.XLOOKUP(C1680,STUDENTS!C1679:C101676,STUDENTS!F1679:F101676)),"update STUDENT sheet")</f>
        <v/>
      </c>
      <c r="F1680">
        <f>IFERROR(IF(D1680="","",_xlfn.XLOOKUP(D1680,STUDENTS!D1679:D101676,STUDENTS!G1679:G101676)),"update STUDENT sheet")</f>
        <v/>
      </c>
      <c r="G1680">
        <f>IFERROR(IF(E1680="","",_xlfn.XLOOKUP(E1680,STUDENTS!F1679:F101676,STUDENTS!H1679:H101676)),"update STUDENT sheet")</f>
        <v/>
      </c>
    </row>
    <row r="1681">
      <c r="B1681">
        <f>IF(STUDENTS!B1680="","",STUDENTS!B1680)</f>
        <v/>
      </c>
      <c r="C1681">
        <f>IFERROR(IF(B1681="","",_xlfn.XLOOKUP(B1681,STUDENTS!$B$3:$B$1048576,STUDENTS!$C$3:$C$1048576)),"Enter a registered reg. no")</f>
        <v/>
      </c>
      <c r="E1681">
        <f>IFERROR(IF(C1681="","",_xlfn.XLOOKUP(C1681,STUDENTS!C1680:C101677,STUDENTS!F1680:F101677)),"update STUDENT sheet")</f>
        <v/>
      </c>
      <c r="F1681">
        <f>IFERROR(IF(D1681="","",_xlfn.XLOOKUP(D1681,STUDENTS!D1680:D101677,STUDENTS!G1680:G101677)),"update STUDENT sheet")</f>
        <v/>
      </c>
      <c r="G1681">
        <f>IFERROR(IF(E1681="","",_xlfn.XLOOKUP(E1681,STUDENTS!F1680:F101677,STUDENTS!H1680:H101677)),"update STUDENT sheet")</f>
        <v/>
      </c>
    </row>
    <row r="1682">
      <c r="B1682">
        <f>IF(STUDENTS!B1681="","",STUDENTS!B1681)</f>
        <v/>
      </c>
      <c r="C1682">
        <f>IFERROR(IF(B1682="","",_xlfn.XLOOKUP(B1682,STUDENTS!$B$3:$B$1048576,STUDENTS!$C$3:$C$1048576)),"Enter a registered reg. no")</f>
        <v/>
      </c>
      <c r="E1682">
        <f>IFERROR(IF(C1682="","",_xlfn.XLOOKUP(C1682,STUDENTS!C1681:C101678,STUDENTS!F1681:F101678)),"update STUDENT sheet")</f>
        <v/>
      </c>
      <c r="F1682">
        <f>IFERROR(IF(D1682="","",_xlfn.XLOOKUP(D1682,STUDENTS!D1681:D101678,STUDENTS!G1681:G101678)),"update STUDENT sheet")</f>
        <v/>
      </c>
      <c r="G1682">
        <f>IFERROR(IF(E1682="","",_xlfn.XLOOKUP(E1682,STUDENTS!F1681:F101678,STUDENTS!H1681:H101678)),"update STUDENT sheet")</f>
        <v/>
      </c>
    </row>
    <row r="1683">
      <c r="B1683">
        <f>IF(STUDENTS!B1682="","",STUDENTS!B1682)</f>
        <v/>
      </c>
      <c r="C1683">
        <f>IFERROR(IF(B1683="","",_xlfn.XLOOKUP(B1683,STUDENTS!$B$3:$B$1048576,STUDENTS!$C$3:$C$1048576)),"Enter a registered reg. no")</f>
        <v/>
      </c>
      <c r="E1683">
        <f>IFERROR(IF(C1683="","",_xlfn.XLOOKUP(C1683,STUDENTS!C1682:C101679,STUDENTS!F1682:F101679)),"update STUDENT sheet")</f>
        <v/>
      </c>
      <c r="F1683">
        <f>IFERROR(IF(D1683="","",_xlfn.XLOOKUP(D1683,STUDENTS!D1682:D101679,STUDENTS!G1682:G101679)),"update STUDENT sheet")</f>
        <v/>
      </c>
      <c r="G1683">
        <f>IFERROR(IF(E1683="","",_xlfn.XLOOKUP(E1683,STUDENTS!F1682:F101679,STUDENTS!H1682:H101679)),"update STUDENT sheet")</f>
        <v/>
      </c>
    </row>
    <row r="1684">
      <c r="B1684">
        <f>IF(STUDENTS!B1683="","",STUDENTS!B1683)</f>
        <v/>
      </c>
      <c r="C1684">
        <f>IFERROR(IF(B1684="","",_xlfn.XLOOKUP(B1684,STUDENTS!$B$3:$B$1048576,STUDENTS!$C$3:$C$1048576)),"Enter a registered reg. no")</f>
        <v/>
      </c>
      <c r="E1684">
        <f>IFERROR(IF(C1684="","",_xlfn.XLOOKUP(C1684,STUDENTS!C1683:C101680,STUDENTS!F1683:F101680)),"update STUDENT sheet")</f>
        <v/>
      </c>
      <c r="F1684">
        <f>IFERROR(IF(D1684="","",_xlfn.XLOOKUP(D1684,STUDENTS!D1683:D101680,STUDENTS!G1683:G101680)),"update STUDENT sheet")</f>
        <v/>
      </c>
      <c r="G1684">
        <f>IFERROR(IF(E1684="","",_xlfn.XLOOKUP(E1684,STUDENTS!F1683:F101680,STUDENTS!H1683:H101680)),"update STUDENT sheet")</f>
        <v/>
      </c>
    </row>
    <row r="1685">
      <c r="B1685">
        <f>IF(STUDENTS!B1684="","",STUDENTS!B1684)</f>
        <v/>
      </c>
      <c r="C1685">
        <f>IFERROR(IF(B1685="","",_xlfn.XLOOKUP(B1685,STUDENTS!$B$3:$B$1048576,STUDENTS!$C$3:$C$1048576)),"Enter a registered reg. no")</f>
        <v/>
      </c>
      <c r="E1685">
        <f>IFERROR(IF(C1685="","",_xlfn.XLOOKUP(C1685,STUDENTS!C1684:C101681,STUDENTS!F1684:F101681)),"update STUDENT sheet")</f>
        <v/>
      </c>
      <c r="F1685">
        <f>IFERROR(IF(D1685="","",_xlfn.XLOOKUP(D1685,STUDENTS!D1684:D101681,STUDENTS!G1684:G101681)),"update STUDENT sheet")</f>
        <v/>
      </c>
      <c r="G1685">
        <f>IFERROR(IF(E1685="","",_xlfn.XLOOKUP(E1685,STUDENTS!F1684:F101681,STUDENTS!H1684:H101681)),"update STUDENT sheet")</f>
        <v/>
      </c>
    </row>
    <row r="1686">
      <c r="B1686">
        <f>IF(STUDENTS!B1685="","",STUDENTS!B1685)</f>
        <v/>
      </c>
      <c r="C1686">
        <f>IFERROR(IF(B1686="","",_xlfn.XLOOKUP(B1686,STUDENTS!$B$3:$B$1048576,STUDENTS!$C$3:$C$1048576)),"Enter a registered reg. no")</f>
        <v/>
      </c>
      <c r="E1686">
        <f>IFERROR(IF(C1686="","",_xlfn.XLOOKUP(C1686,STUDENTS!C1685:C101682,STUDENTS!F1685:F101682)),"update STUDENT sheet")</f>
        <v/>
      </c>
      <c r="F1686">
        <f>IFERROR(IF(D1686="","",_xlfn.XLOOKUP(D1686,STUDENTS!D1685:D101682,STUDENTS!G1685:G101682)),"update STUDENT sheet")</f>
        <v/>
      </c>
      <c r="G1686">
        <f>IFERROR(IF(E1686="","",_xlfn.XLOOKUP(E1686,STUDENTS!F1685:F101682,STUDENTS!H1685:H101682)),"update STUDENT sheet")</f>
        <v/>
      </c>
    </row>
    <row r="1687">
      <c r="B1687">
        <f>IF(STUDENTS!B1686="","",STUDENTS!B1686)</f>
        <v/>
      </c>
      <c r="C1687">
        <f>IFERROR(IF(B1687="","",_xlfn.XLOOKUP(B1687,STUDENTS!$B$3:$B$1048576,STUDENTS!$C$3:$C$1048576)),"Enter a registered reg. no")</f>
        <v/>
      </c>
      <c r="E1687">
        <f>IFERROR(IF(C1687="","",_xlfn.XLOOKUP(C1687,STUDENTS!C1686:C101683,STUDENTS!F1686:F101683)),"update STUDENT sheet")</f>
        <v/>
      </c>
      <c r="F1687">
        <f>IFERROR(IF(D1687="","",_xlfn.XLOOKUP(D1687,STUDENTS!D1686:D101683,STUDENTS!G1686:G101683)),"update STUDENT sheet")</f>
        <v/>
      </c>
      <c r="G1687">
        <f>IFERROR(IF(E1687="","",_xlfn.XLOOKUP(E1687,STUDENTS!F1686:F101683,STUDENTS!H1686:H101683)),"update STUDENT sheet")</f>
        <v/>
      </c>
    </row>
    <row r="1688">
      <c r="B1688">
        <f>IF(STUDENTS!B1687="","",STUDENTS!B1687)</f>
        <v/>
      </c>
      <c r="C1688">
        <f>IFERROR(IF(B1688="","",_xlfn.XLOOKUP(B1688,STUDENTS!$B$3:$B$1048576,STUDENTS!$C$3:$C$1048576)),"Enter a registered reg. no")</f>
        <v/>
      </c>
      <c r="E1688">
        <f>IFERROR(IF(C1688="","",_xlfn.XLOOKUP(C1688,STUDENTS!C1687:C101684,STUDENTS!F1687:F101684)),"update STUDENT sheet")</f>
        <v/>
      </c>
      <c r="F1688">
        <f>IFERROR(IF(D1688="","",_xlfn.XLOOKUP(D1688,STUDENTS!D1687:D101684,STUDENTS!G1687:G101684)),"update STUDENT sheet")</f>
        <v/>
      </c>
      <c r="G1688">
        <f>IFERROR(IF(E1688="","",_xlfn.XLOOKUP(E1688,STUDENTS!F1687:F101684,STUDENTS!H1687:H101684)),"update STUDENT sheet")</f>
        <v/>
      </c>
    </row>
    <row r="1689">
      <c r="B1689">
        <f>IF(STUDENTS!B1688="","",STUDENTS!B1688)</f>
        <v/>
      </c>
      <c r="C1689">
        <f>IFERROR(IF(B1689="","",_xlfn.XLOOKUP(B1689,STUDENTS!$B$3:$B$1048576,STUDENTS!$C$3:$C$1048576)),"Enter a registered reg. no")</f>
        <v/>
      </c>
      <c r="E1689">
        <f>IFERROR(IF(C1689="","",_xlfn.XLOOKUP(C1689,STUDENTS!C1688:C101685,STUDENTS!F1688:F101685)),"update STUDENT sheet")</f>
        <v/>
      </c>
      <c r="F1689">
        <f>IFERROR(IF(D1689="","",_xlfn.XLOOKUP(D1689,STUDENTS!D1688:D101685,STUDENTS!G1688:G101685)),"update STUDENT sheet")</f>
        <v/>
      </c>
      <c r="G1689">
        <f>IFERROR(IF(E1689="","",_xlfn.XLOOKUP(E1689,STUDENTS!F1688:F101685,STUDENTS!H1688:H101685)),"update STUDENT sheet")</f>
        <v/>
      </c>
    </row>
    <row r="1690">
      <c r="B1690">
        <f>IF(STUDENTS!B1689="","",STUDENTS!B1689)</f>
        <v/>
      </c>
      <c r="C1690">
        <f>IFERROR(IF(B1690="","",_xlfn.XLOOKUP(B1690,STUDENTS!$B$3:$B$1048576,STUDENTS!$C$3:$C$1048576)),"Enter a registered reg. no")</f>
        <v/>
      </c>
      <c r="E1690">
        <f>IFERROR(IF(C1690="","",_xlfn.XLOOKUP(C1690,STUDENTS!C1689:C101686,STUDENTS!F1689:F101686)),"update STUDENT sheet")</f>
        <v/>
      </c>
      <c r="F1690">
        <f>IFERROR(IF(D1690="","",_xlfn.XLOOKUP(D1690,STUDENTS!D1689:D101686,STUDENTS!G1689:G101686)),"update STUDENT sheet")</f>
        <v/>
      </c>
      <c r="G1690">
        <f>IFERROR(IF(E1690="","",_xlfn.XLOOKUP(E1690,STUDENTS!F1689:F101686,STUDENTS!H1689:H101686)),"update STUDENT sheet")</f>
        <v/>
      </c>
    </row>
    <row r="1691">
      <c r="B1691">
        <f>IF(STUDENTS!B1690="","",STUDENTS!B1690)</f>
        <v/>
      </c>
      <c r="C1691">
        <f>IFERROR(IF(B1691="","",_xlfn.XLOOKUP(B1691,STUDENTS!$B$3:$B$1048576,STUDENTS!$C$3:$C$1048576)),"Enter a registered reg. no")</f>
        <v/>
      </c>
      <c r="E1691">
        <f>IFERROR(IF(C1691="","",_xlfn.XLOOKUP(C1691,STUDENTS!C1690:C101687,STUDENTS!F1690:F101687)),"update STUDENT sheet")</f>
        <v/>
      </c>
      <c r="F1691">
        <f>IFERROR(IF(D1691="","",_xlfn.XLOOKUP(D1691,STUDENTS!D1690:D101687,STUDENTS!G1690:G101687)),"update STUDENT sheet")</f>
        <v/>
      </c>
      <c r="G1691">
        <f>IFERROR(IF(E1691="","",_xlfn.XLOOKUP(E1691,STUDENTS!F1690:F101687,STUDENTS!H1690:H101687)),"update STUDENT sheet")</f>
        <v/>
      </c>
    </row>
    <row r="1692">
      <c r="B1692">
        <f>IF(STUDENTS!B1691="","",STUDENTS!B1691)</f>
        <v/>
      </c>
      <c r="C1692">
        <f>IFERROR(IF(B1692="","",_xlfn.XLOOKUP(B1692,STUDENTS!$B$3:$B$1048576,STUDENTS!$C$3:$C$1048576)),"Enter a registered reg. no")</f>
        <v/>
      </c>
      <c r="E1692">
        <f>IFERROR(IF(C1692="","",_xlfn.XLOOKUP(C1692,STUDENTS!C1691:C101688,STUDENTS!F1691:F101688)),"update STUDENT sheet")</f>
        <v/>
      </c>
      <c r="F1692">
        <f>IFERROR(IF(D1692="","",_xlfn.XLOOKUP(D1692,STUDENTS!D1691:D101688,STUDENTS!G1691:G101688)),"update STUDENT sheet")</f>
        <v/>
      </c>
      <c r="G1692">
        <f>IFERROR(IF(E1692="","",_xlfn.XLOOKUP(E1692,STUDENTS!F1691:F101688,STUDENTS!H1691:H101688)),"update STUDENT sheet")</f>
        <v/>
      </c>
    </row>
    <row r="1693">
      <c r="B1693">
        <f>IF(STUDENTS!B1692="","",STUDENTS!B1692)</f>
        <v/>
      </c>
      <c r="C1693">
        <f>IFERROR(IF(B1693="","",_xlfn.XLOOKUP(B1693,STUDENTS!$B$3:$B$1048576,STUDENTS!$C$3:$C$1048576)),"Enter a registered reg. no")</f>
        <v/>
      </c>
      <c r="E1693">
        <f>IFERROR(IF(C1693="","",_xlfn.XLOOKUP(C1693,STUDENTS!C1692:C101689,STUDENTS!F1692:F101689)),"update STUDENT sheet")</f>
        <v/>
      </c>
      <c r="F1693">
        <f>IFERROR(IF(D1693="","",_xlfn.XLOOKUP(D1693,STUDENTS!D1692:D101689,STUDENTS!G1692:G101689)),"update STUDENT sheet")</f>
        <v/>
      </c>
      <c r="G1693">
        <f>IFERROR(IF(E1693="","",_xlfn.XLOOKUP(E1693,STUDENTS!F1692:F101689,STUDENTS!H1692:H101689)),"update STUDENT sheet")</f>
        <v/>
      </c>
    </row>
    <row r="1694">
      <c r="B1694">
        <f>IF(STUDENTS!B1693="","",STUDENTS!B1693)</f>
        <v/>
      </c>
      <c r="C1694">
        <f>IFERROR(IF(B1694="","",_xlfn.XLOOKUP(B1694,STUDENTS!$B$3:$B$1048576,STUDENTS!$C$3:$C$1048576)),"Enter a registered reg. no")</f>
        <v/>
      </c>
      <c r="E1694">
        <f>IFERROR(IF(C1694="","",_xlfn.XLOOKUP(C1694,STUDENTS!C1693:C101690,STUDENTS!F1693:F101690)),"update STUDENT sheet")</f>
        <v/>
      </c>
      <c r="F1694">
        <f>IFERROR(IF(D1694="","",_xlfn.XLOOKUP(D1694,STUDENTS!D1693:D101690,STUDENTS!G1693:G101690)),"update STUDENT sheet")</f>
        <v/>
      </c>
      <c r="G1694">
        <f>IFERROR(IF(E1694="","",_xlfn.XLOOKUP(E1694,STUDENTS!F1693:F101690,STUDENTS!H1693:H101690)),"update STUDENT sheet")</f>
        <v/>
      </c>
    </row>
    <row r="1695">
      <c r="B1695">
        <f>IF(STUDENTS!B1694="","",STUDENTS!B1694)</f>
        <v/>
      </c>
      <c r="C1695">
        <f>IFERROR(IF(B1695="","",_xlfn.XLOOKUP(B1695,STUDENTS!$B$3:$B$1048576,STUDENTS!$C$3:$C$1048576)),"Enter a registered reg. no")</f>
        <v/>
      </c>
      <c r="E1695">
        <f>IFERROR(IF(C1695="","",_xlfn.XLOOKUP(C1695,STUDENTS!C1694:C101691,STUDENTS!F1694:F101691)),"update STUDENT sheet")</f>
        <v/>
      </c>
      <c r="F1695">
        <f>IFERROR(IF(D1695="","",_xlfn.XLOOKUP(D1695,STUDENTS!D1694:D101691,STUDENTS!G1694:G101691)),"update STUDENT sheet")</f>
        <v/>
      </c>
      <c r="G1695">
        <f>IFERROR(IF(E1695="","",_xlfn.XLOOKUP(E1695,STUDENTS!F1694:F101691,STUDENTS!H1694:H101691)),"update STUDENT sheet")</f>
        <v/>
      </c>
    </row>
    <row r="1696">
      <c r="B1696">
        <f>IF(STUDENTS!B1695="","",STUDENTS!B1695)</f>
        <v/>
      </c>
      <c r="C1696">
        <f>IFERROR(IF(B1696="","",_xlfn.XLOOKUP(B1696,STUDENTS!$B$3:$B$1048576,STUDENTS!$C$3:$C$1048576)),"Enter a registered reg. no")</f>
        <v/>
      </c>
      <c r="E1696">
        <f>IFERROR(IF(C1696="","",_xlfn.XLOOKUP(C1696,STUDENTS!C1695:C101692,STUDENTS!F1695:F101692)),"update STUDENT sheet")</f>
        <v/>
      </c>
      <c r="F1696">
        <f>IFERROR(IF(D1696="","",_xlfn.XLOOKUP(D1696,STUDENTS!D1695:D101692,STUDENTS!G1695:G101692)),"update STUDENT sheet")</f>
        <v/>
      </c>
      <c r="G1696">
        <f>IFERROR(IF(E1696="","",_xlfn.XLOOKUP(E1696,STUDENTS!F1695:F101692,STUDENTS!H1695:H101692)),"update STUDENT sheet")</f>
        <v/>
      </c>
    </row>
    <row r="1697">
      <c r="B1697">
        <f>IF(STUDENTS!B1696="","",STUDENTS!B1696)</f>
        <v/>
      </c>
      <c r="C1697">
        <f>IFERROR(IF(B1697="","",_xlfn.XLOOKUP(B1697,STUDENTS!$B$3:$B$1048576,STUDENTS!$C$3:$C$1048576)),"Enter a registered reg. no")</f>
        <v/>
      </c>
      <c r="E1697">
        <f>IFERROR(IF(C1697="","",_xlfn.XLOOKUP(C1697,STUDENTS!C1696:C101693,STUDENTS!F1696:F101693)),"update STUDENT sheet")</f>
        <v/>
      </c>
      <c r="F1697">
        <f>IFERROR(IF(D1697="","",_xlfn.XLOOKUP(D1697,STUDENTS!D1696:D101693,STUDENTS!G1696:G101693)),"update STUDENT sheet")</f>
        <v/>
      </c>
      <c r="G1697">
        <f>IFERROR(IF(E1697="","",_xlfn.XLOOKUP(E1697,STUDENTS!F1696:F101693,STUDENTS!H1696:H101693)),"update STUDENT sheet")</f>
        <v/>
      </c>
    </row>
    <row r="1698">
      <c r="B1698">
        <f>IF(STUDENTS!B1697="","",STUDENTS!B1697)</f>
        <v/>
      </c>
      <c r="C1698">
        <f>IFERROR(IF(B1698="","",_xlfn.XLOOKUP(B1698,STUDENTS!$B$3:$B$1048576,STUDENTS!$C$3:$C$1048576)),"Enter a registered reg. no")</f>
        <v/>
      </c>
      <c r="E1698">
        <f>IFERROR(IF(C1698="","",_xlfn.XLOOKUP(C1698,STUDENTS!C1697:C101694,STUDENTS!F1697:F101694)),"update STUDENT sheet")</f>
        <v/>
      </c>
      <c r="F1698">
        <f>IFERROR(IF(D1698="","",_xlfn.XLOOKUP(D1698,STUDENTS!D1697:D101694,STUDENTS!G1697:G101694)),"update STUDENT sheet")</f>
        <v/>
      </c>
      <c r="G1698">
        <f>IFERROR(IF(E1698="","",_xlfn.XLOOKUP(E1698,STUDENTS!F1697:F101694,STUDENTS!H1697:H101694)),"update STUDENT sheet")</f>
        <v/>
      </c>
    </row>
    <row r="1699">
      <c r="B1699">
        <f>IF(STUDENTS!B1698="","",STUDENTS!B1698)</f>
        <v/>
      </c>
      <c r="C1699">
        <f>IFERROR(IF(B1699="","",_xlfn.XLOOKUP(B1699,STUDENTS!$B$3:$B$1048576,STUDENTS!$C$3:$C$1048576)),"Enter a registered reg. no")</f>
        <v/>
      </c>
      <c r="E1699">
        <f>IFERROR(IF(C1699="","",_xlfn.XLOOKUP(C1699,STUDENTS!C1698:C101695,STUDENTS!F1698:F101695)),"update STUDENT sheet")</f>
        <v/>
      </c>
      <c r="F1699">
        <f>IFERROR(IF(D1699="","",_xlfn.XLOOKUP(D1699,STUDENTS!D1698:D101695,STUDENTS!G1698:G101695)),"update STUDENT sheet")</f>
        <v/>
      </c>
      <c r="G1699">
        <f>IFERROR(IF(E1699="","",_xlfn.XLOOKUP(E1699,STUDENTS!F1698:F101695,STUDENTS!H1698:H101695)),"update STUDENT sheet")</f>
        <v/>
      </c>
    </row>
    <row r="1700">
      <c r="B1700">
        <f>IF(STUDENTS!B1699="","",STUDENTS!B1699)</f>
        <v/>
      </c>
      <c r="C1700">
        <f>IFERROR(IF(B1700="","",_xlfn.XLOOKUP(B1700,STUDENTS!$B$3:$B$1048576,STUDENTS!$C$3:$C$1048576)),"Enter a registered reg. no")</f>
        <v/>
      </c>
      <c r="E1700">
        <f>IFERROR(IF(C1700="","",_xlfn.XLOOKUP(C1700,STUDENTS!C1699:C101696,STUDENTS!F1699:F101696)),"update STUDENT sheet")</f>
        <v/>
      </c>
      <c r="F1700">
        <f>IFERROR(IF(D1700="","",_xlfn.XLOOKUP(D1700,STUDENTS!D1699:D101696,STUDENTS!G1699:G101696)),"update STUDENT sheet")</f>
        <v/>
      </c>
      <c r="G1700">
        <f>IFERROR(IF(E1700="","",_xlfn.XLOOKUP(E1700,STUDENTS!F1699:F101696,STUDENTS!H1699:H101696)),"update STUDENT sheet")</f>
        <v/>
      </c>
    </row>
    <row r="1701">
      <c r="B1701">
        <f>IF(STUDENTS!B1700="","",STUDENTS!B1700)</f>
        <v/>
      </c>
      <c r="C1701">
        <f>IFERROR(IF(B1701="","",_xlfn.XLOOKUP(B1701,STUDENTS!$B$3:$B$1048576,STUDENTS!$C$3:$C$1048576)),"Enter a registered reg. no")</f>
        <v/>
      </c>
      <c r="E1701">
        <f>IFERROR(IF(C1701="","",_xlfn.XLOOKUP(C1701,STUDENTS!C1700:C101697,STUDENTS!F1700:F101697)),"update STUDENT sheet")</f>
        <v/>
      </c>
      <c r="F1701">
        <f>IFERROR(IF(D1701="","",_xlfn.XLOOKUP(D1701,STUDENTS!D1700:D101697,STUDENTS!G1700:G101697)),"update STUDENT sheet")</f>
        <v/>
      </c>
      <c r="G1701">
        <f>IFERROR(IF(E1701="","",_xlfn.XLOOKUP(E1701,STUDENTS!F1700:F101697,STUDENTS!H1700:H101697)),"update STUDENT sheet")</f>
        <v/>
      </c>
    </row>
    <row r="1702">
      <c r="B1702">
        <f>IF(STUDENTS!B1701="","",STUDENTS!B1701)</f>
        <v/>
      </c>
      <c r="C1702">
        <f>IFERROR(IF(B1702="","",_xlfn.XLOOKUP(B1702,STUDENTS!$B$3:$B$1048576,STUDENTS!$C$3:$C$1048576)),"Enter a registered reg. no")</f>
        <v/>
      </c>
      <c r="E1702">
        <f>IFERROR(IF(C1702="","",_xlfn.XLOOKUP(C1702,STUDENTS!C1701:C101698,STUDENTS!F1701:F101698)),"update STUDENT sheet")</f>
        <v/>
      </c>
      <c r="F1702">
        <f>IFERROR(IF(D1702="","",_xlfn.XLOOKUP(D1702,STUDENTS!D1701:D101698,STUDENTS!G1701:G101698)),"update STUDENT sheet")</f>
        <v/>
      </c>
      <c r="G1702">
        <f>IFERROR(IF(E1702="","",_xlfn.XLOOKUP(E1702,STUDENTS!F1701:F101698,STUDENTS!H1701:H101698)),"update STUDENT sheet")</f>
        <v/>
      </c>
    </row>
    <row r="1703">
      <c r="B1703">
        <f>IF(STUDENTS!B1702="","",STUDENTS!B1702)</f>
        <v/>
      </c>
      <c r="C1703">
        <f>IFERROR(IF(B1703="","",_xlfn.XLOOKUP(B1703,STUDENTS!$B$3:$B$1048576,STUDENTS!$C$3:$C$1048576)),"Enter a registered reg. no")</f>
        <v/>
      </c>
      <c r="E1703">
        <f>IFERROR(IF(C1703="","",_xlfn.XLOOKUP(C1703,STUDENTS!C1702:C101699,STUDENTS!F1702:F101699)),"update STUDENT sheet")</f>
        <v/>
      </c>
      <c r="F1703">
        <f>IFERROR(IF(D1703="","",_xlfn.XLOOKUP(D1703,STUDENTS!D1702:D101699,STUDENTS!G1702:G101699)),"update STUDENT sheet")</f>
        <v/>
      </c>
      <c r="G1703">
        <f>IFERROR(IF(E1703="","",_xlfn.XLOOKUP(E1703,STUDENTS!F1702:F101699,STUDENTS!H1702:H101699)),"update STUDENT sheet")</f>
        <v/>
      </c>
    </row>
    <row r="1704">
      <c r="B1704">
        <f>IF(STUDENTS!B1703="","",STUDENTS!B1703)</f>
        <v/>
      </c>
      <c r="C1704">
        <f>IFERROR(IF(B1704="","",_xlfn.XLOOKUP(B1704,STUDENTS!$B$3:$B$1048576,STUDENTS!$C$3:$C$1048576)),"Enter a registered reg. no")</f>
        <v/>
      </c>
      <c r="E1704">
        <f>IFERROR(IF(C1704="","",_xlfn.XLOOKUP(C1704,STUDENTS!C1703:C101700,STUDENTS!F1703:F101700)),"update STUDENT sheet")</f>
        <v/>
      </c>
      <c r="F1704">
        <f>IFERROR(IF(D1704="","",_xlfn.XLOOKUP(D1704,STUDENTS!D1703:D101700,STUDENTS!G1703:G101700)),"update STUDENT sheet")</f>
        <v/>
      </c>
      <c r="G1704">
        <f>IFERROR(IF(E1704="","",_xlfn.XLOOKUP(E1704,STUDENTS!F1703:F101700,STUDENTS!H1703:H101700)),"update STUDENT sheet")</f>
        <v/>
      </c>
    </row>
    <row r="1705">
      <c r="B1705">
        <f>IF(STUDENTS!B1704="","",STUDENTS!B1704)</f>
        <v/>
      </c>
      <c r="C1705">
        <f>IFERROR(IF(B1705="","",_xlfn.XLOOKUP(B1705,STUDENTS!$B$3:$B$1048576,STUDENTS!$C$3:$C$1048576)),"Enter a registered reg. no")</f>
        <v/>
      </c>
      <c r="E1705">
        <f>IFERROR(IF(C1705="","",_xlfn.XLOOKUP(C1705,STUDENTS!C1704:C101701,STUDENTS!F1704:F101701)),"update STUDENT sheet")</f>
        <v/>
      </c>
      <c r="F1705">
        <f>IFERROR(IF(D1705="","",_xlfn.XLOOKUP(D1705,STUDENTS!D1704:D101701,STUDENTS!G1704:G101701)),"update STUDENT sheet")</f>
        <v/>
      </c>
      <c r="G1705">
        <f>IFERROR(IF(E1705="","",_xlfn.XLOOKUP(E1705,STUDENTS!F1704:F101701,STUDENTS!H1704:H101701)),"update STUDENT sheet")</f>
        <v/>
      </c>
    </row>
    <row r="1706">
      <c r="B1706">
        <f>IF(STUDENTS!B1705="","",STUDENTS!B1705)</f>
        <v/>
      </c>
      <c r="C1706">
        <f>IFERROR(IF(B1706="","",_xlfn.XLOOKUP(B1706,STUDENTS!$B$3:$B$1048576,STUDENTS!$C$3:$C$1048576)),"Enter a registered reg. no")</f>
        <v/>
      </c>
      <c r="E1706">
        <f>IFERROR(IF(C1706="","",_xlfn.XLOOKUP(C1706,STUDENTS!C1705:C101702,STUDENTS!F1705:F101702)),"update STUDENT sheet")</f>
        <v/>
      </c>
      <c r="F1706">
        <f>IFERROR(IF(D1706="","",_xlfn.XLOOKUP(D1706,STUDENTS!D1705:D101702,STUDENTS!G1705:G101702)),"update STUDENT sheet")</f>
        <v/>
      </c>
      <c r="G1706">
        <f>IFERROR(IF(E1706="","",_xlfn.XLOOKUP(E1706,STUDENTS!F1705:F101702,STUDENTS!H1705:H101702)),"update STUDENT sheet")</f>
        <v/>
      </c>
    </row>
    <row r="1707">
      <c r="B1707">
        <f>IF(STUDENTS!B1706="","",STUDENTS!B1706)</f>
        <v/>
      </c>
      <c r="C1707">
        <f>IFERROR(IF(B1707="","",_xlfn.XLOOKUP(B1707,STUDENTS!$B$3:$B$1048576,STUDENTS!$C$3:$C$1048576)),"Enter a registered reg. no")</f>
        <v/>
      </c>
      <c r="E1707">
        <f>IFERROR(IF(C1707="","",_xlfn.XLOOKUP(C1707,STUDENTS!C1706:C101703,STUDENTS!F1706:F101703)),"update STUDENT sheet")</f>
        <v/>
      </c>
      <c r="F1707">
        <f>IFERROR(IF(D1707="","",_xlfn.XLOOKUP(D1707,STUDENTS!D1706:D101703,STUDENTS!G1706:G101703)),"update STUDENT sheet")</f>
        <v/>
      </c>
      <c r="G1707">
        <f>IFERROR(IF(E1707="","",_xlfn.XLOOKUP(E1707,STUDENTS!F1706:F101703,STUDENTS!H1706:H101703)),"update STUDENT sheet")</f>
        <v/>
      </c>
    </row>
    <row r="1708">
      <c r="B1708">
        <f>IF(STUDENTS!B1707="","",STUDENTS!B1707)</f>
        <v/>
      </c>
      <c r="C1708">
        <f>IFERROR(IF(B1708="","",_xlfn.XLOOKUP(B1708,STUDENTS!$B$3:$B$1048576,STUDENTS!$C$3:$C$1048576)),"Enter a registered reg. no")</f>
        <v/>
      </c>
      <c r="E1708">
        <f>IFERROR(IF(C1708="","",_xlfn.XLOOKUP(C1708,STUDENTS!C1707:C101704,STUDENTS!F1707:F101704)),"update STUDENT sheet")</f>
        <v/>
      </c>
      <c r="F1708">
        <f>IFERROR(IF(D1708="","",_xlfn.XLOOKUP(D1708,STUDENTS!D1707:D101704,STUDENTS!G1707:G101704)),"update STUDENT sheet")</f>
        <v/>
      </c>
      <c r="G1708">
        <f>IFERROR(IF(E1708="","",_xlfn.XLOOKUP(E1708,STUDENTS!F1707:F101704,STUDENTS!H1707:H101704)),"update STUDENT sheet")</f>
        <v/>
      </c>
    </row>
    <row r="1709">
      <c r="B1709">
        <f>IF(STUDENTS!B1708="","",STUDENTS!B1708)</f>
        <v/>
      </c>
      <c r="C1709">
        <f>IFERROR(IF(B1709="","",_xlfn.XLOOKUP(B1709,STUDENTS!$B$3:$B$1048576,STUDENTS!$C$3:$C$1048576)),"Enter a registered reg. no")</f>
        <v/>
      </c>
      <c r="E1709">
        <f>IFERROR(IF(C1709="","",_xlfn.XLOOKUP(C1709,STUDENTS!C1708:C101705,STUDENTS!F1708:F101705)),"update STUDENT sheet")</f>
        <v/>
      </c>
      <c r="F1709">
        <f>IFERROR(IF(D1709="","",_xlfn.XLOOKUP(D1709,STUDENTS!D1708:D101705,STUDENTS!G1708:G101705)),"update STUDENT sheet")</f>
        <v/>
      </c>
      <c r="G1709">
        <f>IFERROR(IF(E1709="","",_xlfn.XLOOKUP(E1709,STUDENTS!F1708:F101705,STUDENTS!H1708:H101705)),"update STUDENT sheet")</f>
        <v/>
      </c>
    </row>
    <row r="1710">
      <c r="B1710">
        <f>IF(STUDENTS!B1709="","",STUDENTS!B1709)</f>
        <v/>
      </c>
      <c r="C1710">
        <f>IFERROR(IF(B1710="","",_xlfn.XLOOKUP(B1710,STUDENTS!$B$3:$B$1048576,STUDENTS!$C$3:$C$1048576)),"Enter a registered reg. no")</f>
        <v/>
      </c>
      <c r="E1710">
        <f>IFERROR(IF(C1710="","",_xlfn.XLOOKUP(C1710,STUDENTS!C1709:C101706,STUDENTS!F1709:F101706)),"update STUDENT sheet")</f>
        <v/>
      </c>
      <c r="F1710">
        <f>IFERROR(IF(D1710="","",_xlfn.XLOOKUP(D1710,STUDENTS!D1709:D101706,STUDENTS!G1709:G101706)),"update STUDENT sheet")</f>
        <v/>
      </c>
      <c r="G1710">
        <f>IFERROR(IF(E1710="","",_xlfn.XLOOKUP(E1710,STUDENTS!F1709:F101706,STUDENTS!H1709:H101706)),"update STUDENT sheet")</f>
        <v/>
      </c>
    </row>
    <row r="1711">
      <c r="B1711">
        <f>IF(STUDENTS!B1710="","",STUDENTS!B1710)</f>
        <v/>
      </c>
      <c r="C1711">
        <f>IFERROR(IF(B1711="","",_xlfn.XLOOKUP(B1711,STUDENTS!$B$3:$B$1048576,STUDENTS!$C$3:$C$1048576)),"Enter a registered reg. no")</f>
        <v/>
      </c>
      <c r="E1711">
        <f>IFERROR(IF(C1711="","",_xlfn.XLOOKUP(C1711,STUDENTS!C1710:C101707,STUDENTS!F1710:F101707)),"update STUDENT sheet")</f>
        <v/>
      </c>
      <c r="F1711">
        <f>IFERROR(IF(D1711="","",_xlfn.XLOOKUP(D1711,STUDENTS!D1710:D101707,STUDENTS!G1710:G101707)),"update STUDENT sheet")</f>
        <v/>
      </c>
      <c r="G1711">
        <f>IFERROR(IF(E1711="","",_xlfn.XLOOKUP(E1711,STUDENTS!F1710:F101707,STUDENTS!H1710:H101707)),"update STUDENT sheet")</f>
        <v/>
      </c>
    </row>
    <row r="1712">
      <c r="B1712">
        <f>IF(STUDENTS!B1711="","",STUDENTS!B1711)</f>
        <v/>
      </c>
      <c r="C1712">
        <f>IFERROR(IF(B1712="","",_xlfn.XLOOKUP(B1712,STUDENTS!$B$3:$B$1048576,STUDENTS!$C$3:$C$1048576)),"Enter a registered reg. no")</f>
        <v/>
      </c>
      <c r="E1712">
        <f>IFERROR(IF(C1712="","",_xlfn.XLOOKUP(C1712,STUDENTS!C1711:C101708,STUDENTS!F1711:F101708)),"update STUDENT sheet")</f>
        <v/>
      </c>
      <c r="F1712">
        <f>IFERROR(IF(D1712="","",_xlfn.XLOOKUP(D1712,STUDENTS!D1711:D101708,STUDENTS!G1711:G101708)),"update STUDENT sheet")</f>
        <v/>
      </c>
      <c r="G1712">
        <f>IFERROR(IF(E1712="","",_xlfn.XLOOKUP(E1712,STUDENTS!F1711:F101708,STUDENTS!H1711:H101708)),"update STUDENT sheet")</f>
        <v/>
      </c>
    </row>
    <row r="1713">
      <c r="B1713">
        <f>IF(STUDENTS!B1712="","",STUDENTS!B1712)</f>
        <v/>
      </c>
      <c r="C1713">
        <f>IFERROR(IF(B1713="","",_xlfn.XLOOKUP(B1713,STUDENTS!$B$3:$B$1048576,STUDENTS!$C$3:$C$1048576)),"Enter a registered reg. no")</f>
        <v/>
      </c>
      <c r="E1713">
        <f>IFERROR(IF(C1713="","",_xlfn.XLOOKUP(C1713,STUDENTS!C1712:C101709,STUDENTS!F1712:F101709)),"update STUDENT sheet")</f>
        <v/>
      </c>
      <c r="F1713">
        <f>IFERROR(IF(D1713="","",_xlfn.XLOOKUP(D1713,STUDENTS!D1712:D101709,STUDENTS!G1712:G101709)),"update STUDENT sheet")</f>
        <v/>
      </c>
      <c r="G1713">
        <f>IFERROR(IF(E1713="","",_xlfn.XLOOKUP(E1713,STUDENTS!F1712:F101709,STUDENTS!H1712:H101709)),"update STUDENT sheet")</f>
        <v/>
      </c>
    </row>
    <row r="1714">
      <c r="B1714">
        <f>IF(STUDENTS!B1713="","",STUDENTS!B1713)</f>
        <v/>
      </c>
      <c r="C1714">
        <f>IFERROR(IF(B1714="","",_xlfn.XLOOKUP(B1714,STUDENTS!$B$3:$B$1048576,STUDENTS!$C$3:$C$1048576)),"Enter a registered reg. no")</f>
        <v/>
      </c>
      <c r="E1714">
        <f>IFERROR(IF(C1714="","",_xlfn.XLOOKUP(C1714,STUDENTS!C1713:C101710,STUDENTS!F1713:F101710)),"update STUDENT sheet")</f>
        <v/>
      </c>
      <c r="F1714">
        <f>IFERROR(IF(D1714="","",_xlfn.XLOOKUP(D1714,STUDENTS!D1713:D101710,STUDENTS!G1713:G101710)),"update STUDENT sheet")</f>
        <v/>
      </c>
      <c r="G1714">
        <f>IFERROR(IF(E1714="","",_xlfn.XLOOKUP(E1714,STUDENTS!F1713:F101710,STUDENTS!H1713:H101710)),"update STUDENT sheet")</f>
        <v/>
      </c>
    </row>
    <row r="1715">
      <c r="B1715">
        <f>IF(STUDENTS!B1714="","",STUDENTS!B1714)</f>
        <v/>
      </c>
      <c r="C1715">
        <f>IFERROR(IF(B1715="","",_xlfn.XLOOKUP(B1715,STUDENTS!$B$3:$B$1048576,STUDENTS!$C$3:$C$1048576)),"Enter a registered reg. no")</f>
        <v/>
      </c>
      <c r="E1715">
        <f>IFERROR(IF(C1715="","",_xlfn.XLOOKUP(C1715,STUDENTS!C1714:C101711,STUDENTS!F1714:F101711)),"update STUDENT sheet")</f>
        <v/>
      </c>
      <c r="F1715">
        <f>IFERROR(IF(D1715="","",_xlfn.XLOOKUP(D1715,STUDENTS!D1714:D101711,STUDENTS!G1714:G101711)),"update STUDENT sheet")</f>
        <v/>
      </c>
      <c r="G1715">
        <f>IFERROR(IF(E1715="","",_xlfn.XLOOKUP(E1715,STUDENTS!F1714:F101711,STUDENTS!H1714:H101711)),"update STUDENT sheet")</f>
        <v/>
      </c>
    </row>
    <row r="1716">
      <c r="B1716">
        <f>IF(STUDENTS!B1715="","",STUDENTS!B1715)</f>
        <v/>
      </c>
      <c r="C1716">
        <f>IFERROR(IF(B1716="","",_xlfn.XLOOKUP(B1716,STUDENTS!$B$3:$B$1048576,STUDENTS!$C$3:$C$1048576)),"Enter a registered reg. no")</f>
        <v/>
      </c>
      <c r="E1716">
        <f>IFERROR(IF(C1716="","",_xlfn.XLOOKUP(C1716,STUDENTS!C1715:C101712,STUDENTS!F1715:F101712)),"update STUDENT sheet")</f>
        <v/>
      </c>
      <c r="F1716">
        <f>IFERROR(IF(D1716="","",_xlfn.XLOOKUP(D1716,STUDENTS!D1715:D101712,STUDENTS!G1715:G101712)),"update STUDENT sheet")</f>
        <v/>
      </c>
      <c r="G1716">
        <f>IFERROR(IF(E1716="","",_xlfn.XLOOKUP(E1716,STUDENTS!F1715:F101712,STUDENTS!H1715:H101712)),"update STUDENT sheet")</f>
        <v/>
      </c>
    </row>
    <row r="1717">
      <c r="B1717">
        <f>IF(STUDENTS!B1716="","",STUDENTS!B1716)</f>
        <v/>
      </c>
      <c r="C1717">
        <f>IFERROR(IF(B1717="","",_xlfn.XLOOKUP(B1717,STUDENTS!$B$3:$B$1048576,STUDENTS!$C$3:$C$1048576)),"Enter a registered reg. no")</f>
        <v/>
      </c>
      <c r="E1717">
        <f>IFERROR(IF(C1717="","",_xlfn.XLOOKUP(C1717,STUDENTS!C1716:C101713,STUDENTS!F1716:F101713)),"update STUDENT sheet")</f>
        <v/>
      </c>
      <c r="F1717">
        <f>IFERROR(IF(D1717="","",_xlfn.XLOOKUP(D1717,STUDENTS!D1716:D101713,STUDENTS!G1716:G101713)),"update STUDENT sheet")</f>
        <v/>
      </c>
      <c r="G1717">
        <f>IFERROR(IF(E1717="","",_xlfn.XLOOKUP(E1717,STUDENTS!F1716:F101713,STUDENTS!H1716:H101713)),"update STUDENT sheet")</f>
        <v/>
      </c>
    </row>
    <row r="1718">
      <c r="B1718">
        <f>IF(STUDENTS!B1717="","",STUDENTS!B1717)</f>
        <v/>
      </c>
      <c r="C1718">
        <f>IFERROR(IF(B1718="","",_xlfn.XLOOKUP(B1718,STUDENTS!$B$3:$B$1048576,STUDENTS!$C$3:$C$1048576)),"Enter a registered reg. no")</f>
        <v/>
      </c>
      <c r="E1718">
        <f>IFERROR(IF(C1718="","",_xlfn.XLOOKUP(C1718,STUDENTS!C1717:C101714,STUDENTS!F1717:F101714)),"update STUDENT sheet")</f>
        <v/>
      </c>
      <c r="F1718">
        <f>IFERROR(IF(D1718="","",_xlfn.XLOOKUP(D1718,STUDENTS!D1717:D101714,STUDENTS!G1717:G101714)),"update STUDENT sheet")</f>
        <v/>
      </c>
      <c r="G1718">
        <f>IFERROR(IF(E1718="","",_xlfn.XLOOKUP(E1718,STUDENTS!F1717:F101714,STUDENTS!H1717:H101714)),"update STUDENT sheet")</f>
        <v/>
      </c>
    </row>
    <row r="1719">
      <c r="B1719">
        <f>IF(STUDENTS!B1718="","",STUDENTS!B1718)</f>
        <v/>
      </c>
      <c r="C1719">
        <f>IFERROR(IF(B1719="","",_xlfn.XLOOKUP(B1719,STUDENTS!$B$3:$B$1048576,STUDENTS!$C$3:$C$1048576)),"Enter a registered reg. no")</f>
        <v/>
      </c>
      <c r="E1719">
        <f>IFERROR(IF(C1719="","",_xlfn.XLOOKUP(C1719,STUDENTS!C1718:C101715,STUDENTS!F1718:F101715)),"update STUDENT sheet")</f>
        <v/>
      </c>
      <c r="F1719">
        <f>IFERROR(IF(D1719="","",_xlfn.XLOOKUP(D1719,STUDENTS!D1718:D101715,STUDENTS!G1718:G101715)),"update STUDENT sheet")</f>
        <v/>
      </c>
      <c r="G1719">
        <f>IFERROR(IF(E1719="","",_xlfn.XLOOKUP(E1719,STUDENTS!F1718:F101715,STUDENTS!H1718:H101715)),"update STUDENT sheet")</f>
        <v/>
      </c>
    </row>
    <row r="1720">
      <c r="B1720">
        <f>IF(STUDENTS!B1719="","",STUDENTS!B1719)</f>
        <v/>
      </c>
      <c r="C1720">
        <f>IFERROR(IF(B1720="","",_xlfn.XLOOKUP(B1720,STUDENTS!$B$3:$B$1048576,STUDENTS!$C$3:$C$1048576)),"Enter a registered reg. no")</f>
        <v/>
      </c>
      <c r="E1720">
        <f>IFERROR(IF(C1720="","",_xlfn.XLOOKUP(C1720,STUDENTS!C1719:C101716,STUDENTS!F1719:F101716)),"update STUDENT sheet")</f>
        <v/>
      </c>
      <c r="F1720">
        <f>IFERROR(IF(D1720="","",_xlfn.XLOOKUP(D1720,STUDENTS!D1719:D101716,STUDENTS!G1719:G101716)),"update STUDENT sheet")</f>
        <v/>
      </c>
      <c r="G1720">
        <f>IFERROR(IF(E1720="","",_xlfn.XLOOKUP(E1720,STUDENTS!F1719:F101716,STUDENTS!H1719:H101716)),"update STUDENT sheet")</f>
        <v/>
      </c>
    </row>
    <row r="1721">
      <c r="B1721">
        <f>IF(STUDENTS!B1720="","",STUDENTS!B1720)</f>
        <v/>
      </c>
      <c r="C1721">
        <f>IFERROR(IF(B1721="","",_xlfn.XLOOKUP(B1721,STUDENTS!$B$3:$B$1048576,STUDENTS!$C$3:$C$1048576)),"Enter a registered reg. no")</f>
        <v/>
      </c>
      <c r="E1721">
        <f>IFERROR(IF(C1721="","",_xlfn.XLOOKUP(C1721,STUDENTS!C1720:C101717,STUDENTS!F1720:F101717)),"update STUDENT sheet")</f>
        <v/>
      </c>
      <c r="F1721">
        <f>IFERROR(IF(D1721="","",_xlfn.XLOOKUP(D1721,STUDENTS!D1720:D101717,STUDENTS!G1720:G101717)),"update STUDENT sheet")</f>
        <v/>
      </c>
      <c r="G1721">
        <f>IFERROR(IF(E1721="","",_xlfn.XLOOKUP(E1721,STUDENTS!F1720:F101717,STUDENTS!H1720:H101717)),"update STUDENT sheet")</f>
        <v/>
      </c>
    </row>
    <row r="1722">
      <c r="B1722">
        <f>IF(STUDENTS!B1721="","",STUDENTS!B1721)</f>
        <v/>
      </c>
      <c r="C1722">
        <f>IFERROR(IF(B1722="","",_xlfn.XLOOKUP(B1722,STUDENTS!$B$3:$B$1048576,STUDENTS!$C$3:$C$1048576)),"Enter a registered reg. no")</f>
        <v/>
      </c>
      <c r="E1722">
        <f>IFERROR(IF(C1722="","",_xlfn.XLOOKUP(C1722,STUDENTS!C1721:C101718,STUDENTS!F1721:F101718)),"update STUDENT sheet")</f>
        <v/>
      </c>
      <c r="F1722">
        <f>IFERROR(IF(D1722="","",_xlfn.XLOOKUP(D1722,STUDENTS!D1721:D101718,STUDENTS!G1721:G101718)),"update STUDENT sheet")</f>
        <v/>
      </c>
      <c r="G1722">
        <f>IFERROR(IF(E1722="","",_xlfn.XLOOKUP(E1722,STUDENTS!F1721:F101718,STUDENTS!H1721:H101718)),"update STUDENT sheet")</f>
        <v/>
      </c>
    </row>
    <row r="1723">
      <c r="B1723">
        <f>IF(STUDENTS!B1722="","",STUDENTS!B1722)</f>
        <v/>
      </c>
      <c r="C1723">
        <f>IFERROR(IF(B1723="","",_xlfn.XLOOKUP(B1723,STUDENTS!$B$3:$B$1048576,STUDENTS!$C$3:$C$1048576)),"Enter a registered reg. no")</f>
        <v/>
      </c>
      <c r="E1723">
        <f>IFERROR(IF(C1723="","",_xlfn.XLOOKUP(C1723,STUDENTS!C1722:C101719,STUDENTS!F1722:F101719)),"update STUDENT sheet")</f>
        <v/>
      </c>
      <c r="F1723">
        <f>IFERROR(IF(D1723="","",_xlfn.XLOOKUP(D1723,STUDENTS!D1722:D101719,STUDENTS!G1722:G101719)),"update STUDENT sheet")</f>
        <v/>
      </c>
      <c r="G1723">
        <f>IFERROR(IF(E1723="","",_xlfn.XLOOKUP(E1723,STUDENTS!F1722:F101719,STUDENTS!H1722:H101719)),"update STUDENT sheet")</f>
        <v/>
      </c>
    </row>
    <row r="1724">
      <c r="B1724">
        <f>IF(STUDENTS!B1723="","",STUDENTS!B1723)</f>
        <v/>
      </c>
      <c r="C1724">
        <f>IFERROR(IF(B1724="","",_xlfn.XLOOKUP(B1724,STUDENTS!$B$3:$B$1048576,STUDENTS!$C$3:$C$1048576)),"Enter a registered reg. no")</f>
        <v/>
      </c>
      <c r="E1724">
        <f>IFERROR(IF(C1724="","",_xlfn.XLOOKUP(C1724,STUDENTS!C1723:C101720,STUDENTS!F1723:F101720)),"update STUDENT sheet")</f>
        <v/>
      </c>
      <c r="F1724">
        <f>IFERROR(IF(D1724="","",_xlfn.XLOOKUP(D1724,STUDENTS!D1723:D101720,STUDENTS!G1723:G101720)),"update STUDENT sheet")</f>
        <v/>
      </c>
      <c r="G1724">
        <f>IFERROR(IF(E1724="","",_xlfn.XLOOKUP(E1724,STUDENTS!F1723:F101720,STUDENTS!H1723:H101720)),"update STUDENT sheet")</f>
        <v/>
      </c>
    </row>
    <row r="1725">
      <c r="B1725">
        <f>IF(STUDENTS!B1724="","",STUDENTS!B1724)</f>
        <v/>
      </c>
      <c r="C1725">
        <f>IFERROR(IF(B1725="","",_xlfn.XLOOKUP(B1725,STUDENTS!$B$3:$B$1048576,STUDENTS!$C$3:$C$1048576)),"Enter a registered reg. no")</f>
        <v/>
      </c>
      <c r="E1725">
        <f>IFERROR(IF(C1725="","",_xlfn.XLOOKUP(C1725,STUDENTS!C1724:C101721,STUDENTS!F1724:F101721)),"update STUDENT sheet")</f>
        <v/>
      </c>
      <c r="F1725">
        <f>IFERROR(IF(D1725="","",_xlfn.XLOOKUP(D1725,STUDENTS!D1724:D101721,STUDENTS!G1724:G101721)),"update STUDENT sheet")</f>
        <v/>
      </c>
      <c r="G1725">
        <f>IFERROR(IF(E1725="","",_xlfn.XLOOKUP(E1725,STUDENTS!F1724:F101721,STUDENTS!H1724:H101721)),"update STUDENT sheet")</f>
        <v/>
      </c>
    </row>
    <row r="1726">
      <c r="B1726">
        <f>IF(STUDENTS!B1725="","",STUDENTS!B1725)</f>
        <v/>
      </c>
      <c r="C1726">
        <f>IFERROR(IF(B1726="","",_xlfn.XLOOKUP(B1726,STUDENTS!$B$3:$B$1048576,STUDENTS!$C$3:$C$1048576)),"Enter a registered reg. no")</f>
        <v/>
      </c>
      <c r="E1726">
        <f>IFERROR(IF(C1726="","",_xlfn.XLOOKUP(C1726,STUDENTS!C1725:C101722,STUDENTS!F1725:F101722)),"update STUDENT sheet")</f>
        <v/>
      </c>
      <c r="F1726">
        <f>IFERROR(IF(D1726="","",_xlfn.XLOOKUP(D1726,STUDENTS!D1725:D101722,STUDENTS!G1725:G101722)),"update STUDENT sheet")</f>
        <v/>
      </c>
      <c r="G1726">
        <f>IFERROR(IF(E1726="","",_xlfn.XLOOKUP(E1726,STUDENTS!F1725:F101722,STUDENTS!H1725:H101722)),"update STUDENT sheet")</f>
        <v/>
      </c>
    </row>
    <row r="1727">
      <c r="B1727">
        <f>IF(STUDENTS!B1726="","",STUDENTS!B1726)</f>
        <v/>
      </c>
      <c r="C1727">
        <f>IFERROR(IF(B1727="","",_xlfn.XLOOKUP(B1727,STUDENTS!$B$3:$B$1048576,STUDENTS!$C$3:$C$1048576)),"Enter a registered reg. no")</f>
        <v/>
      </c>
      <c r="E1727">
        <f>IFERROR(IF(C1727="","",_xlfn.XLOOKUP(C1727,STUDENTS!C1726:C101723,STUDENTS!F1726:F101723)),"update STUDENT sheet")</f>
        <v/>
      </c>
      <c r="F1727">
        <f>IFERROR(IF(D1727="","",_xlfn.XLOOKUP(D1727,STUDENTS!D1726:D101723,STUDENTS!G1726:G101723)),"update STUDENT sheet")</f>
        <v/>
      </c>
      <c r="G1727">
        <f>IFERROR(IF(E1727="","",_xlfn.XLOOKUP(E1727,STUDENTS!F1726:F101723,STUDENTS!H1726:H101723)),"update STUDENT sheet")</f>
        <v/>
      </c>
    </row>
    <row r="1728">
      <c r="B1728">
        <f>IF(STUDENTS!B1727="","",STUDENTS!B1727)</f>
        <v/>
      </c>
      <c r="C1728">
        <f>IFERROR(IF(B1728="","",_xlfn.XLOOKUP(B1728,STUDENTS!$B$3:$B$1048576,STUDENTS!$C$3:$C$1048576)),"Enter a registered reg. no")</f>
        <v/>
      </c>
      <c r="E1728">
        <f>IFERROR(IF(C1728="","",_xlfn.XLOOKUP(C1728,STUDENTS!C1727:C101724,STUDENTS!F1727:F101724)),"update STUDENT sheet")</f>
        <v/>
      </c>
      <c r="F1728">
        <f>IFERROR(IF(D1728="","",_xlfn.XLOOKUP(D1728,STUDENTS!D1727:D101724,STUDENTS!G1727:G101724)),"update STUDENT sheet")</f>
        <v/>
      </c>
      <c r="G1728">
        <f>IFERROR(IF(E1728="","",_xlfn.XLOOKUP(E1728,STUDENTS!F1727:F101724,STUDENTS!H1727:H101724)),"update STUDENT sheet")</f>
        <v/>
      </c>
    </row>
    <row r="1729">
      <c r="B1729">
        <f>IF(STUDENTS!B1728="","",STUDENTS!B1728)</f>
        <v/>
      </c>
      <c r="C1729">
        <f>IFERROR(IF(B1729="","",_xlfn.XLOOKUP(B1729,STUDENTS!$B$3:$B$1048576,STUDENTS!$C$3:$C$1048576)),"Enter a registered reg. no")</f>
        <v/>
      </c>
      <c r="E1729">
        <f>IFERROR(IF(C1729="","",_xlfn.XLOOKUP(C1729,STUDENTS!C1728:C101725,STUDENTS!F1728:F101725)),"update STUDENT sheet")</f>
        <v/>
      </c>
      <c r="F1729">
        <f>IFERROR(IF(D1729="","",_xlfn.XLOOKUP(D1729,STUDENTS!D1728:D101725,STUDENTS!G1728:G101725)),"update STUDENT sheet")</f>
        <v/>
      </c>
      <c r="G1729">
        <f>IFERROR(IF(E1729="","",_xlfn.XLOOKUP(E1729,STUDENTS!F1728:F101725,STUDENTS!H1728:H101725)),"update STUDENT sheet")</f>
        <v/>
      </c>
    </row>
    <row r="1730">
      <c r="B1730">
        <f>IF(STUDENTS!B1729="","",STUDENTS!B1729)</f>
        <v/>
      </c>
      <c r="C1730">
        <f>IFERROR(IF(B1730="","",_xlfn.XLOOKUP(B1730,STUDENTS!$B$3:$B$1048576,STUDENTS!$C$3:$C$1048576)),"Enter a registered reg. no")</f>
        <v/>
      </c>
      <c r="E1730">
        <f>IFERROR(IF(C1730="","",_xlfn.XLOOKUP(C1730,STUDENTS!C1729:C101726,STUDENTS!F1729:F101726)),"update STUDENT sheet")</f>
        <v/>
      </c>
      <c r="F1730">
        <f>IFERROR(IF(D1730="","",_xlfn.XLOOKUP(D1730,STUDENTS!D1729:D101726,STUDENTS!G1729:G101726)),"update STUDENT sheet")</f>
        <v/>
      </c>
      <c r="G1730">
        <f>IFERROR(IF(E1730="","",_xlfn.XLOOKUP(E1730,STUDENTS!F1729:F101726,STUDENTS!H1729:H101726)),"update STUDENT sheet")</f>
        <v/>
      </c>
    </row>
    <row r="1731">
      <c r="B1731">
        <f>IF(STUDENTS!B1730="","",STUDENTS!B1730)</f>
        <v/>
      </c>
      <c r="C1731">
        <f>IFERROR(IF(B1731="","",_xlfn.XLOOKUP(B1731,STUDENTS!$B$3:$B$1048576,STUDENTS!$C$3:$C$1048576)),"Enter a registered reg. no")</f>
        <v/>
      </c>
      <c r="E1731">
        <f>IFERROR(IF(C1731="","",_xlfn.XLOOKUP(C1731,STUDENTS!C1730:C101727,STUDENTS!F1730:F101727)),"update STUDENT sheet")</f>
        <v/>
      </c>
      <c r="F1731">
        <f>IFERROR(IF(D1731="","",_xlfn.XLOOKUP(D1731,STUDENTS!D1730:D101727,STUDENTS!G1730:G101727)),"update STUDENT sheet")</f>
        <v/>
      </c>
      <c r="G1731">
        <f>IFERROR(IF(E1731="","",_xlfn.XLOOKUP(E1731,STUDENTS!F1730:F101727,STUDENTS!H1730:H101727)),"update STUDENT sheet")</f>
        <v/>
      </c>
    </row>
    <row r="1732">
      <c r="B1732">
        <f>IF(STUDENTS!B1731="","",STUDENTS!B1731)</f>
        <v/>
      </c>
      <c r="C1732">
        <f>IFERROR(IF(B1732="","",_xlfn.XLOOKUP(B1732,STUDENTS!$B$3:$B$1048576,STUDENTS!$C$3:$C$1048576)),"Enter a registered reg. no")</f>
        <v/>
      </c>
      <c r="E1732">
        <f>IFERROR(IF(C1732="","",_xlfn.XLOOKUP(C1732,STUDENTS!C1731:C101728,STUDENTS!F1731:F101728)),"update STUDENT sheet")</f>
        <v/>
      </c>
      <c r="F1732">
        <f>IFERROR(IF(D1732="","",_xlfn.XLOOKUP(D1732,STUDENTS!D1731:D101728,STUDENTS!G1731:G101728)),"update STUDENT sheet")</f>
        <v/>
      </c>
      <c r="G1732">
        <f>IFERROR(IF(E1732="","",_xlfn.XLOOKUP(E1732,STUDENTS!F1731:F101728,STUDENTS!H1731:H101728)),"update STUDENT sheet")</f>
        <v/>
      </c>
    </row>
    <row r="1733">
      <c r="B1733">
        <f>IF(STUDENTS!B1732="","",STUDENTS!B1732)</f>
        <v/>
      </c>
      <c r="C1733">
        <f>IFERROR(IF(B1733="","",_xlfn.XLOOKUP(B1733,STUDENTS!$B$3:$B$1048576,STUDENTS!$C$3:$C$1048576)),"Enter a registered reg. no")</f>
        <v/>
      </c>
      <c r="E1733">
        <f>IFERROR(IF(C1733="","",_xlfn.XLOOKUP(C1733,STUDENTS!C1732:C101729,STUDENTS!F1732:F101729)),"update STUDENT sheet")</f>
        <v/>
      </c>
      <c r="F1733">
        <f>IFERROR(IF(D1733="","",_xlfn.XLOOKUP(D1733,STUDENTS!D1732:D101729,STUDENTS!G1732:G101729)),"update STUDENT sheet")</f>
        <v/>
      </c>
      <c r="G1733">
        <f>IFERROR(IF(E1733="","",_xlfn.XLOOKUP(E1733,STUDENTS!F1732:F101729,STUDENTS!H1732:H101729)),"update STUDENT sheet")</f>
        <v/>
      </c>
    </row>
    <row r="1734">
      <c r="B1734">
        <f>IF(STUDENTS!B1733="","",STUDENTS!B1733)</f>
        <v/>
      </c>
      <c r="C1734">
        <f>IFERROR(IF(B1734="","",_xlfn.XLOOKUP(B1734,STUDENTS!$B$3:$B$1048576,STUDENTS!$C$3:$C$1048576)),"Enter a registered reg. no")</f>
        <v/>
      </c>
      <c r="E1734">
        <f>IFERROR(IF(C1734="","",_xlfn.XLOOKUP(C1734,STUDENTS!C1733:C101730,STUDENTS!F1733:F101730)),"update STUDENT sheet")</f>
        <v/>
      </c>
      <c r="F1734">
        <f>IFERROR(IF(D1734="","",_xlfn.XLOOKUP(D1734,STUDENTS!D1733:D101730,STUDENTS!G1733:G101730)),"update STUDENT sheet")</f>
        <v/>
      </c>
      <c r="G1734">
        <f>IFERROR(IF(E1734="","",_xlfn.XLOOKUP(E1734,STUDENTS!F1733:F101730,STUDENTS!H1733:H101730)),"update STUDENT sheet")</f>
        <v/>
      </c>
    </row>
    <row r="1735">
      <c r="B1735">
        <f>IF(STUDENTS!B1734="","",STUDENTS!B1734)</f>
        <v/>
      </c>
      <c r="C1735">
        <f>IFERROR(IF(B1735="","",_xlfn.XLOOKUP(B1735,STUDENTS!$B$3:$B$1048576,STUDENTS!$C$3:$C$1048576)),"Enter a registered reg. no")</f>
        <v/>
      </c>
      <c r="E1735">
        <f>IFERROR(IF(C1735="","",_xlfn.XLOOKUP(C1735,STUDENTS!C1734:C101731,STUDENTS!F1734:F101731)),"update STUDENT sheet")</f>
        <v/>
      </c>
      <c r="F1735">
        <f>IFERROR(IF(D1735="","",_xlfn.XLOOKUP(D1735,STUDENTS!D1734:D101731,STUDENTS!G1734:G101731)),"update STUDENT sheet")</f>
        <v/>
      </c>
      <c r="G1735">
        <f>IFERROR(IF(E1735="","",_xlfn.XLOOKUP(E1735,STUDENTS!F1734:F101731,STUDENTS!H1734:H101731)),"update STUDENT sheet")</f>
        <v/>
      </c>
    </row>
    <row r="1736">
      <c r="B1736">
        <f>IF(STUDENTS!B1735="","",STUDENTS!B1735)</f>
        <v/>
      </c>
      <c r="C1736">
        <f>IFERROR(IF(B1736="","",_xlfn.XLOOKUP(B1736,STUDENTS!$B$3:$B$1048576,STUDENTS!$C$3:$C$1048576)),"Enter a registered reg. no")</f>
        <v/>
      </c>
      <c r="E1736">
        <f>IFERROR(IF(C1736="","",_xlfn.XLOOKUP(C1736,STUDENTS!C1735:C101732,STUDENTS!F1735:F101732)),"update STUDENT sheet")</f>
        <v/>
      </c>
      <c r="F1736">
        <f>IFERROR(IF(D1736="","",_xlfn.XLOOKUP(D1736,STUDENTS!D1735:D101732,STUDENTS!G1735:G101732)),"update STUDENT sheet")</f>
        <v/>
      </c>
      <c r="G1736">
        <f>IFERROR(IF(E1736="","",_xlfn.XLOOKUP(E1736,STUDENTS!F1735:F101732,STUDENTS!H1735:H101732)),"update STUDENT sheet")</f>
        <v/>
      </c>
    </row>
    <row r="1737">
      <c r="B1737">
        <f>IF(STUDENTS!B1736="","",STUDENTS!B1736)</f>
        <v/>
      </c>
      <c r="C1737">
        <f>IFERROR(IF(B1737="","",_xlfn.XLOOKUP(B1737,STUDENTS!$B$3:$B$1048576,STUDENTS!$C$3:$C$1048576)),"Enter a registered reg. no")</f>
        <v/>
      </c>
      <c r="E1737">
        <f>IFERROR(IF(C1737="","",_xlfn.XLOOKUP(C1737,STUDENTS!C1736:C101733,STUDENTS!F1736:F101733)),"update STUDENT sheet")</f>
        <v/>
      </c>
      <c r="F1737">
        <f>IFERROR(IF(D1737="","",_xlfn.XLOOKUP(D1737,STUDENTS!D1736:D101733,STUDENTS!G1736:G101733)),"update STUDENT sheet")</f>
        <v/>
      </c>
      <c r="G1737">
        <f>IFERROR(IF(E1737="","",_xlfn.XLOOKUP(E1737,STUDENTS!F1736:F101733,STUDENTS!H1736:H101733)),"update STUDENT sheet")</f>
        <v/>
      </c>
    </row>
    <row r="1738">
      <c r="B1738">
        <f>IF(STUDENTS!B1737="","",STUDENTS!B1737)</f>
        <v/>
      </c>
      <c r="C1738">
        <f>IFERROR(IF(B1738="","",_xlfn.XLOOKUP(B1738,STUDENTS!$B$3:$B$1048576,STUDENTS!$C$3:$C$1048576)),"Enter a registered reg. no")</f>
        <v/>
      </c>
      <c r="E1738">
        <f>IFERROR(IF(C1738="","",_xlfn.XLOOKUP(C1738,STUDENTS!C1737:C101734,STUDENTS!F1737:F101734)),"update STUDENT sheet")</f>
        <v/>
      </c>
      <c r="F1738">
        <f>IFERROR(IF(D1738="","",_xlfn.XLOOKUP(D1738,STUDENTS!D1737:D101734,STUDENTS!G1737:G101734)),"update STUDENT sheet")</f>
        <v/>
      </c>
      <c r="G1738">
        <f>IFERROR(IF(E1738="","",_xlfn.XLOOKUP(E1738,STUDENTS!F1737:F101734,STUDENTS!H1737:H101734)),"update STUDENT sheet")</f>
        <v/>
      </c>
    </row>
    <row r="1739">
      <c r="B1739">
        <f>IF(STUDENTS!B1738="","",STUDENTS!B1738)</f>
        <v/>
      </c>
      <c r="C1739">
        <f>IFERROR(IF(B1739="","",_xlfn.XLOOKUP(B1739,STUDENTS!$B$3:$B$1048576,STUDENTS!$C$3:$C$1048576)),"Enter a registered reg. no")</f>
        <v/>
      </c>
      <c r="E1739">
        <f>IFERROR(IF(C1739="","",_xlfn.XLOOKUP(C1739,STUDENTS!C1738:C101735,STUDENTS!F1738:F101735)),"update STUDENT sheet")</f>
        <v/>
      </c>
      <c r="F1739">
        <f>IFERROR(IF(D1739="","",_xlfn.XLOOKUP(D1739,STUDENTS!D1738:D101735,STUDENTS!G1738:G101735)),"update STUDENT sheet")</f>
        <v/>
      </c>
      <c r="G1739">
        <f>IFERROR(IF(E1739="","",_xlfn.XLOOKUP(E1739,STUDENTS!F1738:F101735,STUDENTS!H1738:H101735)),"update STUDENT sheet")</f>
        <v/>
      </c>
    </row>
    <row r="1740">
      <c r="B1740">
        <f>IF(STUDENTS!B1739="","",STUDENTS!B1739)</f>
        <v/>
      </c>
      <c r="C1740">
        <f>IFERROR(IF(B1740="","",_xlfn.XLOOKUP(B1740,STUDENTS!$B$3:$B$1048576,STUDENTS!$C$3:$C$1048576)),"Enter a registered reg. no")</f>
        <v/>
      </c>
      <c r="E1740">
        <f>IFERROR(IF(C1740="","",_xlfn.XLOOKUP(C1740,STUDENTS!C1739:C101736,STUDENTS!F1739:F101736)),"update STUDENT sheet")</f>
        <v/>
      </c>
      <c r="F1740">
        <f>IFERROR(IF(D1740="","",_xlfn.XLOOKUP(D1740,STUDENTS!D1739:D101736,STUDENTS!G1739:G101736)),"update STUDENT sheet")</f>
        <v/>
      </c>
      <c r="G1740">
        <f>IFERROR(IF(E1740="","",_xlfn.XLOOKUP(E1740,STUDENTS!F1739:F101736,STUDENTS!H1739:H101736)),"update STUDENT sheet")</f>
        <v/>
      </c>
    </row>
    <row r="1741">
      <c r="B1741">
        <f>IF(STUDENTS!B1740="","",STUDENTS!B1740)</f>
        <v/>
      </c>
      <c r="C1741">
        <f>IFERROR(IF(B1741="","",_xlfn.XLOOKUP(B1741,STUDENTS!$B$3:$B$1048576,STUDENTS!$C$3:$C$1048576)),"Enter a registered reg. no")</f>
        <v/>
      </c>
      <c r="E1741">
        <f>IFERROR(IF(C1741="","",_xlfn.XLOOKUP(C1741,STUDENTS!C1740:C101737,STUDENTS!F1740:F101737)),"update STUDENT sheet")</f>
        <v/>
      </c>
      <c r="F1741">
        <f>IFERROR(IF(D1741="","",_xlfn.XLOOKUP(D1741,STUDENTS!D1740:D101737,STUDENTS!G1740:G101737)),"update STUDENT sheet")</f>
        <v/>
      </c>
      <c r="G1741">
        <f>IFERROR(IF(E1741="","",_xlfn.XLOOKUP(E1741,STUDENTS!F1740:F101737,STUDENTS!H1740:H101737)),"update STUDENT sheet")</f>
        <v/>
      </c>
    </row>
    <row r="1742">
      <c r="B1742">
        <f>IF(STUDENTS!B1741="","",STUDENTS!B1741)</f>
        <v/>
      </c>
      <c r="C1742">
        <f>IFERROR(IF(B1742="","",_xlfn.XLOOKUP(B1742,STUDENTS!$B$3:$B$1048576,STUDENTS!$C$3:$C$1048576)),"Enter a registered reg. no")</f>
        <v/>
      </c>
      <c r="E1742">
        <f>IFERROR(IF(C1742="","",_xlfn.XLOOKUP(C1742,STUDENTS!C1741:C101738,STUDENTS!F1741:F101738)),"update STUDENT sheet")</f>
        <v/>
      </c>
      <c r="F1742">
        <f>IFERROR(IF(D1742="","",_xlfn.XLOOKUP(D1742,STUDENTS!D1741:D101738,STUDENTS!G1741:G101738)),"update STUDENT sheet")</f>
        <v/>
      </c>
      <c r="G1742">
        <f>IFERROR(IF(E1742="","",_xlfn.XLOOKUP(E1742,STUDENTS!F1741:F101738,STUDENTS!H1741:H101738)),"update STUDENT sheet")</f>
        <v/>
      </c>
    </row>
    <row r="1743">
      <c r="B1743">
        <f>IF(STUDENTS!B1742="","",STUDENTS!B1742)</f>
        <v/>
      </c>
      <c r="C1743">
        <f>IFERROR(IF(B1743="","",_xlfn.XLOOKUP(B1743,STUDENTS!$B$3:$B$1048576,STUDENTS!$C$3:$C$1048576)),"Enter a registered reg. no")</f>
        <v/>
      </c>
      <c r="E1743">
        <f>IFERROR(IF(C1743="","",_xlfn.XLOOKUP(C1743,STUDENTS!C1742:C101739,STUDENTS!F1742:F101739)),"update STUDENT sheet")</f>
        <v/>
      </c>
      <c r="F1743">
        <f>IFERROR(IF(D1743="","",_xlfn.XLOOKUP(D1743,STUDENTS!D1742:D101739,STUDENTS!G1742:G101739)),"update STUDENT sheet")</f>
        <v/>
      </c>
      <c r="G1743">
        <f>IFERROR(IF(E1743="","",_xlfn.XLOOKUP(E1743,STUDENTS!F1742:F101739,STUDENTS!H1742:H101739)),"update STUDENT sheet")</f>
        <v/>
      </c>
    </row>
    <row r="1744">
      <c r="B1744">
        <f>IF(STUDENTS!B1743="","",STUDENTS!B1743)</f>
        <v/>
      </c>
      <c r="C1744">
        <f>IFERROR(IF(B1744="","",_xlfn.XLOOKUP(B1744,STUDENTS!$B$3:$B$1048576,STUDENTS!$C$3:$C$1048576)),"Enter a registered reg. no")</f>
        <v/>
      </c>
      <c r="E1744">
        <f>IFERROR(IF(C1744="","",_xlfn.XLOOKUP(C1744,STUDENTS!C1743:C101740,STUDENTS!F1743:F101740)),"update STUDENT sheet")</f>
        <v/>
      </c>
      <c r="F1744">
        <f>IFERROR(IF(D1744="","",_xlfn.XLOOKUP(D1744,STUDENTS!D1743:D101740,STUDENTS!G1743:G101740)),"update STUDENT sheet")</f>
        <v/>
      </c>
      <c r="G1744">
        <f>IFERROR(IF(E1744="","",_xlfn.XLOOKUP(E1744,STUDENTS!F1743:F101740,STUDENTS!H1743:H101740)),"update STUDENT sheet")</f>
        <v/>
      </c>
    </row>
    <row r="1745">
      <c r="B1745">
        <f>IF(STUDENTS!B1744="","",STUDENTS!B1744)</f>
        <v/>
      </c>
      <c r="C1745">
        <f>IFERROR(IF(B1745="","",_xlfn.XLOOKUP(B1745,STUDENTS!$B$3:$B$1048576,STUDENTS!$C$3:$C$1048576)),"Enter a registered reg. no")</f>
        <v/>
      </c>
      <c r="E1745">
        <f>IFERROR(IF(C1745="","",_xlfn.XLOOKUP(C1745,STUDENTS!C1744:C101741,STUDENTS!F1744:F101741)),"update STUDENT sheet")</f>
        <v/>
      </c>
      <c r="F1745">
        <f>IFERROR(IF(D1745="","",_xlfn.XLOOKUP(D1745,STUDENTS!D1744:D101741,STUDENTS!G1744:G101741)),"update STUDENT sheet")</f>
        <v/>
      </c>
      <c r="G1745">
        <f>IFERROR(IF(E1745="","",_xlfn.XLOOKUP(E1745,STUDENTS!F1744:F101741,STUDENTS!H1744:H101741)),"update STUDENT sheet")</f>
        <v/>
      </c>
    </row>
    <row r="1746">
      <c r="B1746">
        <f>IF(STUDENTS!B1745="","",STUDENTS!B1745)</f>
        <v/>
      </c>
      <c r="C1746">
        <f>IFERROR(IF(B1746="","",_xlfn.XLOOKUP(B1746,STUDENTS!$B$3:$B$1048576,STUDENTS!$C$3:$C$1048576)),"Enter a registered reg. no")</f>
        <v/>
      </c>
      <c r="E1746">
        <f>IFERROR(IF(C1746="","",_xlfn.XLOOKUP(C1746,STUDENTS!C1745:C101742,STUDENTS!F1745:F101742)),"update STUDENT sheet")</f>
        <v/>
      </c>
      <c r="F1746">
        <f>IFERROR(IF(D1746="","",_xlfn.XLOOKUP(D1746,STUDENTS!D1745:D101742,STUDENTS!G1745:G101742)),"update STUDENT sheet")</f>
        <v/>
      </c>
      <c r="G1746">
        <f>IFERROR(IF(E1746="","",_xlfn.XLOOKUP(E1746,STUDENTS!F1745:F101742,STUDENTS!H1745:H101742)),"update STUDENT sheet")</f>
        <v/>
      </c>
    </row>
    <row r="1747">
      <c r="B1747">
        <f>IF(STUDENTS!B1746="","",STUDENTS!B1746)</f>
        <v/>
      </c>
      <c r="C1747">
        <f>IFERROR(IF(B1747="","",_xlfn.XLOOKUP(B1747,STUDENTS!$B$3:$B$1048576,STUDENTS!$C$3:$C$1048576)),"Enter a registered reg. no")</f>
        <v/>
      </c>
      <c r="E1747">
        <f>IFERROR(IF(C1747="","",_xlfn.XLOOKUP(C1747,STUDENTS!C1746:C101743,STUDENTS!F1746:F101743)),"update STUDENT sheet")</f>
        <v/>
      </c>
      <c r="F1747">
        <f>IFERROR(IF(D1747="","",_xlfn.XLOOKUP(D1747,STUDENTS!D1746:D101743,STUDENTS!G1746:G101743)),"update STUDENT sheet")</f>
        <v/>
      </c>
      <c r="G1747">
        <f>IFERROR(IF(E1747="","",_xlfn.XLOOKUP(E1747,STUDENTS!F1746:F101743,STUDENTS!H1746:H101743)),"update STUDENT sheet")</f>
        <v/>
      </c>
    </row>
    <row r="1748">
      <c r="B1748">
        <f>IF(STUDENTS!B1747="","",STUDENTS!B1747)</f>
        <v/>
      </c>
      <c r="C1748">
        <f>IFERROR(IF(B1748="","",_xlfn.XLOOKUP(B1748,STUDENTS!$B$3:$B$1048576,STUDENTS!$C$3:$C$1048576)),"Enter a registered reg. no")</f>
        <v/>
      </c>
      <c r="E1748">
        <f>IFERROR(IF(C1748="","",_xlfn.XLOOKUP(C1748,STUDENTS!C1747:C101744,STUDENTS!F1747:F101744)),"update STUDENT sheet")</f>
        <v/>
      </c>
      <c r="F1748">
        <f>IFERROR(IF(D1748="","",_xlfn.XLOOKUP(D1748,STUDENTS!D1747:D101744,STUDENTS!G1747:G101744)),"update STUDENT sheet")</f>
        <v/>
      </c>
      <c r="G1748">
        <f>IFERROR(IF(E1748="","",_xlfn.XLOOKUP(E1748,STUDENTS!F1747:F101744,STUDENTS!H1747:H101744)),"update STUDENT sheet")</f>
        <v/>
      </c>
    </row>
    <row r="1749">
      <c r="B1749">
        <f>IF(STUDENTS!B1748="","",STUDENTS!B1748)</f>
        <v/>
      </c>
      <c r="C1749">
        <f>IFERROR(IF(B1749="","",_xlfn.XLOOKUP(B1749,STUDENTS!$B$3:$B$1048576,STUDENTS!$C$3:$C$1048576)),"Enter a registered reg. no")</f>
        <v/>
      </c>
      <c r="E1749">
        <f>IFERROR(IF(C1749="","",_xlfn.XLOOKUP(C1749,STUDENTS!C1748:C101745,STUDENTS!F1748:F101745)),"update STUDENT sheet")</f>
        <v/>
      </c>
      <c r="F1749">
        <f>IFERROR(IF(D1749="","",_xlfn.XLOOKUP(D1749,STUDENTS!D1748:D101745,STUDENTS!G1748:G101745)),"update STUDENT sheet")</f>
        <v/>
      </c>
      <c r="G1749">
        <f>IFERROR(IF(E1749="","",_xlfn.XLOOKUP(E1749,STUDENTS!F1748:F101745,STUDENTS!H1748:H101745)),"update STUDENT sheet")</f>
        <v/>
      </c>
    </row>
    <row r="1750">
      <c r="B1750">
        <f>IF(STUDENTS!B1749="","",STUDENTS!B1749)</f>
        <v/>
      </c>
      <c r="C1750">
        <f>IFERROR(IF(B1750="","",_xlfn.XLOOKUP(B1750,STUDENTS!$B$3:$B$1048576,STUDENTS!$C$3:$C$1048576)),"Enter a registered reg. no")</f>
        <v/>
      </c>
      <c r="E1750">
        <f>IFERROR(IF(C1750="","",_xlfn.XLOOKUP(C1750,STUDENTS!C1749:C101746,STUDENTS!F1749:F101746)),"update STUDENT sheet")</f>
        <v/>
      </c>
      <c r="F1750">
        <f>IFERROR(IF(D1750="","",_xlfn.XLOOKUP(D1750,STUDENTS!D1749:D101746,STUDENTS!G1749:G101746)),"update STUDENT sheet")</f>
        <v/>
      </c>
      <c r="G1750">
        <f>IFERROR(IF(E1750="","",_xlfn.XLOOKUP(E1750,STUDENTS!F1749:F101746,STUDENTS!H1749:H101746)),"update STUDENT sheet")</f>
        <v/>
      </c>
    </row>
    <row r="1751">
      <c r="B1751">
        <f>IF(STUDENTS!B1750="","",STUDENTS!B1750)</f>
        <v/>
      </c>
      <c r="C1751">
        <f>IFERROR(IF(B1751="","",_xlfn.XLOOKUP(B1751,STUDENTS!$B$3:$B$1048576,STUDENTS!$C$3:$C$1048576)),"Enter a registered reg. no")</f>
        <v/>
      </c>
      <c r="E1751">
        <f>IFERROR(IF(C1751="","",_xlfn.XLOOKUP(C1751,STUDENTS!C1750:C101747,STUDENTS!F1750:F101747)),"update STUDENT sheet")</f>
        <v/>
      </c>
      <c r="F1751">
        <f>IFERROR(IF(D1751="","",_xlfn.XLOOKUP(D1751,STUDENTS!D1750:D101747,STUDENTS!G1750:G101747)),"update STUDENT sheet")</f>
        <v/>
      </c>
      <c r="G1751">
        <f>IFERROR(IF(E1751="","",_xlfn.XLOOKUP(E1751,STUDENTS!F1750:F101747,STUDENTS!H1750:H101747)),"update STUDENT sheet")</f>
        <v/>
      </c>
    </row>
    <row r="1752">
      <c r="B1752">
        <f>IF(STUDENTS!B1751="","",STUDENTS!B1751)</f>
        <v/>
      </c>
      <c r="C1752">
        <f>IFERROR(IF(B1752="","",_xlfn.XLOOKUP(B1752,STUDENTS!$B$3:$B$1048576,STUDENTS!$C$3:$C$1048576)),"Enter a registered reg. no")</f>
        <v/>
      </c>
      <c r="E1752">
        <f>IFERROR(IF(C1752="","",_xlfn.XLOOKUP(C1752,STUDENTS!C1751:C101748,STUDENTS!F1751:F101748)),"update STUDENT sheet")</f>
        <v/>
      </c>
      <c r="F1752">
        <f>IFERROR(IF(D1752="","",_xlfn.XLOOKUP(D1752,STUDENTS!D1751:D101748,STUDENTS!G1751:G101748)),"update STUDENT sheet")</f>
        <v/>
      </c>
      <c r="G1752">
        <f>IFERROR(IF(E1752="","",_xlfn.XLOOKUP(E1752,STUDENTS!F1751:F101748,STUDENTS!H1751:H101748)),"update STUDENT sheet")</f>
        <v/>
      </c>
    </row>
    <row r="1753">
      <c r="B1753">
        <f>IF(STUDENTS!B1752="","",STUDENTS!B1752)</f>
        <v/>
      </c>
      <c r="C1753">
        <f>IFERROR(IF(B1753="","",_xlfn.XLOOKUP(B1753,STUDENTS!$B$3:$B$1048576,STUDENTS!$C$3:$C$1048576)),"Enter a registered reg. no")</f>
        <v/>
      </c>
      <c r="E1753">
        <f>IFERROR(IF(C1753="","",_xlfn.XLOOKUP(C1753,STUDENTS!C1752:C101749,STUDENTS!F1752:F101749)),"update STUDENT sheet")</f>
        <v/>
      </c>
      <c r="F1753">
        <f>IFERROR(IF(D1753="","",_xlfn.XLOOKUP(D1753,STUDENTS!D1752:D101749,STUDENTS!G1752:G101749)),"update STUDENT sheet")</f>
        <v/>
      </c>
      <c r="G1753">
        <f>IFERROR(IF(E1753="","",_xlfn.XLOOKUP(E1753,STUDENTS!F1752:F101749,STUDENTS!H1752:H101749)),"update STUDENT sheet")</f>
        <v/>
      </c>
    </row>
    <row r="1754">
      <c r="B1754">
        <f>IF(STUDENTS!B1753="","",STUDENTS!B1753)</f>
        <v/>
      </c>
      <c r="C1754">
        <f>IFERROR(IF(B1754="","",_xlfn.XLOOKUP(B1754,STUDENTS!$B$3:$B$1048576,STUDENTS!$C$3:$C$1048576)),"Enter a registered reg. no")</f>
        <v/>
      </c>
      <c r="E1754">
        <f>IFERROR(IF(C1754="","",_xlfn.XLOOKUP(C1754,STUDENTS!C1753:C101750,STUDENTS!F1753:F101750)),"update STUDENT sheet")</f>
        <v/>
      </c>
      <c r="F1754">
        <f>IFERROR(IF(D1754="","",_xlfn.XLOOKUP(D1754,STUDENTS!D1753:D101750,STUDENTS!G1753:G101750)),"update STUDENT sheet")</f>
        <v/>
      </c>
      <c r="G1754">
        <f>IFERROR(IF(E1754="","",_xlfn.XLOOKUP(E1754,STUDENTS!F1753:F101750,STUDENTS!H1753:H101750)),"update STUDENT sheet")</f>
        <v/>
      </c>
    </row>
    <row r="1755">
      <c r="B1755">
        <f>IF(STUDENTS!B1754="","",STUDENTS!B1754)</f>
        <v/>
      </c>
      <c r="C1755">
        <f>IFERROR(IF(B1755="","",_xlfn.XLOOKUP(B1755,STUDENTS!$B$3:$B$1048576,STUDENTS!$C$3:$C$1048576)),"Enter a registered reg. no")</f>
        <v/>
      </c>
      <c r="E1755">
        <f>IFERROR(IF(C1755="","",_xlfn.XLOOKUP(C1755,STUDENTS!C1754:C101751,STUDENTS!F1754:F101751)),"update STUDENT sheet")</f>
        <v/>
      </c>
      <c r="F1755">
        <f>IFERROR(IF(D1755="","",_xlfn.XLOOKUP(D1755,STUDENTS!D1754:D101751,STUDENTS!G1754:G101751)),"update STUDENT sheet")</f>
        <v/>
      </c>
      <c r="G1755">
        <f>IFERROR(IF(E1755="","",_xlfn.XLOOKUP(E1755,STUDENTS!F1754:F101751,STUDENTS!H1754:H101751)),"update STUDENT sheet")</f>
        <v/>
      </c>
    </row>
    <row r="1756">
      <c r="B1756">
        <f>IF(STUDENTS!B1755="","",STUDENTS!B1755)</f>
        <v/>
      </c>
      <c r="C1756">
        <f>IFERROR(IF(B1756="","",_xlfn.XLOOKUP(B1756,STUDENTS!$B$3:$B$1048576,STUDENTS!$C$3:$C$1048576)),"Enter a registered reg. no")</f>
        <v/>
      </c>
      <c r="E1756">
        <f>IFERROR(IF(C1756="","",_xlfn.XLOOKUP(C1756,STUDENTS!C1755:C101752,STUDENTS!F1755:F101752)),"update STUDENT sheet")</f>
        <v/>
      </c>
      <c r="F1756">
        <f>IFERROR(IF(D1756="","",_xlfn.XLOOKUP(D1756,STUDENTS!D1755:D101752,STUDENTS!G1755:G101752)),"update STUDENT sheet")</f>
        <v/>
      </c>
      <c r="G1756">
        <f>IFERROR(IF(E1756="","",_xlfn.XLOOKUP(E1756,STUDENTS!F1755:F101752,STUDENTS!H1755:H101752)),"update STUDENT sheet")</f>
        <v/>
      </c>
    </row>
    <row r="1757">
      <c r="B1757">
        <f>IF(STUDENTS!B1756="","",STUDENTS!B1756)</f>
        <v/>
      </c>
      <c r="C1757">
        <f>IFERROR(IF(B1757="","",_xlfn.XLOOKUP(B1757,STUDENTS!$B$3:$B$1048576,STUDENTS!$C$3:$C$1048576)),"Enter a registered reg. no")</f>
        <v/>
      </c>
      <c r="E1757">
        <f>IFERROR(IF(C1757="","",_xlfn.XLOOKUP(C1757,STUDENTS!C1756:C101753,STUDENTS!F1756:F101753)),"update STUDENT sheet")</f>
        <v/>
      </c>
      <c r="F1757">
        <f>IFERROR(IF(D1757="","",_xlfn.XLOOKUP(D1757,STUDENTS!D1756:D101753,STUDENTS!G1756:G101753)),"update STUDENT sheet")</f>
        <v/>
      </c>
      <c r="G1757">
        <f>IFERROR(IF(E1757="","",_xlfn.XLOOKUP(E1757,STUDENTS!F1756:F101753,STUDENTS!H1756:H101753)),"update STUDENT sheet")</f>
        <v/>
      </c>
    </row>
    <row r="1758">
      <c r="B1758">
        <f>IF(STUDENTS!B1757="","",STUDENTS!B1757)</f>
        <v/>
      </c>
      <c r="C1758">
        <f>IFERROR(IF(B1758="","",_xlfn.XLOOKUP(B1758,STUDENTS!$B$3:$B$1048576,STUDENTS!$C$3:$C$1048576)),"Enter a registered reg. no")</f>
        <v/>
      </c>
      <c r="E1758">
        <f>IFERROR(IF(C1758="","",_xlfn.XLOOKUP(C1758,STUDENTS!C1757:C101754,STUDENTS!F1757:F101754)),"update STUDENT sheet")</f>
        <v/>
      </c>
      <c r="F1758">
        <f>IFERROR(IF(D1758="","",_xlfn.XLOOKUP(D1758,STUDENTS!D1757:D101754,STUDENTS!G1757:G101754)),"update STUDENT sheet")</f>
        <v/>
      </c>
      <c r="G1758">
        <f>IFERROR(IF(E1758="","",_xlfn.XLOOKUP(E1758,STUDENTS!F1757:F101754,STUDENTS!H1757:H101754)),"update STUDENT sheet")</f>
        <v/>
      </c>
    </row>
    <row r="1759">
      <c r="B1759">
        <f>IF(STUDENTS!B1758="","",STUDENTS!B1758)</f>
        <v/>
      </c>
      <c r="C1759">
        <f>IFERROR(IF(B1759="","",_xlfn.XLOOKUP(B1759,STUDENTS!$B$3:$B$1048576,STUDENTS!$C$3:$C$1048576)),"Enter a registered reg. no")</f>
        <v/>
      </c>
      <c r="E1759">
        <f>IFERROR(IF(C1759="","",_xlfn.XLOOKUP(C1759,STUDENTS!C1758:C101755,STUDENTS!F1758:F101755)),"update STUDENT sheet")</f>
        <v/>
      </c>
      <c r="F1759">
        <f>IFERROR(IF(D1759="","",_xlfn.XLOOKUP(D1759,STUDENTS!D1758:D101755,STUDENTS!G1758:G101755)),"update STUDENT sheet")</f>
        <v/>
      </c>
      <c r="G1759">
        <f>IFERROR(IF(E1759="","",_xlfn.XLOOKUP(E1759,STUDENTS!F1758:F101755,STUDENTS!H1758:H101755)),"update STUDENT sheet")</f>
        <v/>
      </c>
    </row>
    <row r="1760">
      <c r="B1760">
        <f>IF(STUDENTS!B1759="","",STUDENTS!B1759)</f>
        <v/>
      </c>
      <c r="C1760">
        <f>IFERROR(IF(B1760="","",_xlfn.XLOOKUP(B1760,STUDENTS!$B$3:$B$1048576,STUDENTS!$C$3:$C$1048576)),"Enter a registered reg. no")</f>
        <v/>
      </c>
      <c r="E1760">
        <f>IFERROR(IF(C1760="","",_xlfn.XLOOKUP(C1760,STUDENTS!C1759:C101756,STUDENTS!F1759:F101756)),"update STUDENT sheet")</f>
        <v/>
      </c>
      <c r="F1760">
        <f>IFERROR(IF(D1760="","",_xlfn.XLOOKUP(D1760,STUDENTS!D1759:D101756,STUDENTS!G1759:G101756)),"update STUDENT sheet")</f>
        <v/>
      </c>
      <c r="G1760">
        <f>IFERROR(IF(E1760="","",_xlfn.XLOOKUP(E1760,STUDENTS!F1759:F101756,STUDENTS!H1759:H101756)),"update STUDENT sheet")</f>
        <v/>
      </c>
    </row>
    <row r="1761">
      <c r="B1761">
        <f>IF(STUDENTS!B1760="","",STUDENTS!B1760)</f>
        <v/>
      </c>
      <c r="C1761">
        <f>IFERROR(IF(B1761="","",_xlfn.XLOOKUP(B1761,STUDENTS!$B$3:$B$1048576,STUDENTS!$C$3:$C$1048576)),"Enter a registered reg. no")</f>
        <v/>
      </c>
      <c r="E1761">
        <f>IFERROR(IF(C1761="","",_xlfn.XLOOKUP(C1761,STUDENTS!C1760:C101757,STUDENTS!F1760:F101757)),"update STUDENT sheet")</f>
        <v/>
      </c>
      <c r="F1761">
        <f>IFERROR(IF(D1761="","",_xlfn.XLOOKUP(D1761,STUDENTS!D1760:D101757,STUDENTS!G1760:G101757)),"update STUDENT sheet")</f>
        <v/>
      </c>
      <c r="G1761">
        <f>IFERROR(IF(E1761="","",_xlfn.XLOOKUP(E1761,STUDENTS!F1760:F101757,STUDENTS!H1760:H101757)),"update STUDENT sheet")</f>
        <v/>
      </c>
    </row>
    <row r="1762">
      <c r="B1762">
        <f>IF(STUDENTS!B1761="","",STUDENTS!B1761)</f>
        <v/>
      </c>
      <c r="C1762">
        <f>IFERROR(IF(B1762="","",_xlfn.XLOOKUP(B1762,STUDENTS!$B$3:$B$1048576,STUDENTS!$C$3:$C$1048576)),"Enter a registered reg. no")</f>
        <v/>
      </c>
      <c r="E1762">
        <f>IFERROR(IF(C1762="","",_xlfn.XLOOKUP(C1762,STUDENTS!C1761:C101758,STUDENTS!F1761:F101758)),"update STUDENT sheet")</f>
        <v/>
      </c>
      <c r="F1762">
        <f>IFERROR(IF(D1762="","",_xlfn.XLOOKUP(D1762,STUDENTS!D1761:D101758,STUDENTS!G1761:G101758)),"update STUDENT sheet")</f>
        <v/>
      </c>
      <c r="G1762">
        <f>IFERROR(IF(E1762="","",_xlfn.XLOOKUP(E1762,STUDENTS!F1761:F101758,STUDENTS!H1761:H101758)),"update STUDENT sheet")</f>
        <v/>
      </c>
    </row>
    <row r="1763">
      <c r="B1763">
        <f>IF(STUDENTS!B1762="","",STUDENTS!B1762)</f>
        <v/>
      </c>
      <c r="C1763">
        <f>IFERROR(IF(B1763="","",_xlfn.XLOOKUP(B1763,STUDENTS!$B$3:$B$1048576,STUDENTS!$C$3:$C$1048576)),"Enter a registered reg. no")</f>
        <v/>
      </c>
      <c r="E1763">
        <f>IFERROR(IF(C1763="","",_xlfn.XLOOKUP(C1763,STUDENTS!C1762:C101759,STUDENTS!F1762:F101759)),"update STUDENT sheet")</f>
        <v/>
      </c>
      <c r="F1763">
        <f>IFERROR(IF(D1763="","",_xlfn.XLOOKUP(D1763,STUDENTS!D1762:D101759,STUDENTS!G1762:G101759)),"update STUDENT sheet")</f>
        <v/>
      </c>
      <c r="G1763">
        <f>IFERROR(IF(E1763="","",_xlfn.XLOOKUP(E1763,STUDENTS!F1762:F101759,STUDENTS!H1762:H101759)),"update STUDENT sheet")</f>
        <v/>
      </c>
    </row>
    <row r="1764">
      <c r="B1764">
        <f>IF(STUDENTS!B1763="","",STUDENTS!B1763)</f>
        <v/>
      </c>
      <c r="C1764">
        <f>IFERROR(IF(B1764="","",_xlfn.XLOOKUP(B1764,STUDENTS!$B$3:$B$1048576,STUDENTS!$C$3:$C$1048576)),"Enter a registered reg. no")</f>
        <v/>
      </c>
      <c r="E1764">
        <f>IFERROR(IF(C1764="","",_xlfn.XLOOKUP(C1764,STUDENTS!C1763:C101760,STUDENTS!F1763:F101760)),"update STUDENT sheet")</f>
        <v/>
      </c>
      <c r="F1764">
        <f>IFERROR(IF(D1764="","",_xlfn.XLOOKUP(D1764,STUDENTS!D1763:D101760,STUDENTS!G1763:G101760)),"update STUDENT sheet")</f>
        <v/>
      </c>
      <c r="G1764">
        <f>IFERROR(IF(E1764="","",_xlfn.XLOOKUP(E1764,STUDENTS!F1763:F101760,STUDENTS!H1763:H101760)),"update STUDENT sheet")</f>
        <v/>
      </c>
    </row>
    <row r="1765">
      <c r="B1765">
        <f>IF(STUDENTS!B1764="","",STUDENTS!B1764)</f>
        <v/>
      </c>
      <c r="C1765">
        <f>IFERROR(IF(B1765="","",_xlfn.XLOOKUP(B1765,STUDENTS!$B$3:$B$1048576,STUDENTS!$C$3:$C$1048576)),"Enter a registered reg. no")</f>
        <v/>
      </c>
      <c r="E1765">
        <f>IFERROR(IF(C1765="","",_xlfn.XLOOKUP(C1765,STUDENTS!C1764:C101761,STUDENTS!F1764:F101761)),"update STUDENT sheet")</f>
        <v/>
      </c>
      <c r="F1765">
        <f>IFERROR(IF(D1765="","",_xlfn.XLOOKUP(D1765,STUDENTS!D1764:D101761,STUDENTS!G1764:G101761)),"update STUDENT sheet")</f>
        <v/>
      </c>
      <c r="G1765">
        <f>IFERROR(IF(E1765="","",_xlfn.XLOOKUP(E1765,STUDENTS!F1764:F101761,STUDENTS!H1764:H101761)),"update STUDENT sheet")</f>
        <v/>
      </c>
    </row>
    <row r="1766">
      <c r="B1766">
        <f>IF(STUDENTS!B1765="","",STUDENTS!B1765)</f>
        <v/>
      </c>
      <c r="C1766">
        <f>IFERROR(IF(B1766="","",_xlfn.XLOOKUP(B1766,STUDENTS!$B$3:$B$1048576,STUDENTS!$C$3:$C$1048576)),"Enter a registered reg. no")</f>
        <v/>
      </c>
      <c r="E1766">
        <f>IFERROR(IF(C1766="","",_xlfn.XLOOKUP(C1766,STUDENTS!C1765:C101762,STUDENTS!F1765:F101762)),"update STUDENT sheet")</f>
        <v/>
      </c>
      <c r="F1766">
        <f>IFERROR(IF(D1766="","",_xlfn.XLOOKUP(D1766,STUDENTS!D1765:D101762,STUDENTS!G1765:G101762)),"update STUDENT sheet")</f>
        <v/>
      </c>
      <c r="G1766">
        <f>IFERROR(IF(E1766="","",_xlfn.XLOOKUP(E1766,STUDENTS!F1765:F101762,STUDENTS!H1765:H101762)),"update STUDENT sheet")</f>
        <v/>
      </c>
    </row>
    <row r="1767">
      <c r="B1767">
        <f>IF(STUDENTS!B1766="","",STUDENTS!B1766)</f>
        <v/>
      </c>
      <c r="C1767">
        <f>IFERROR(IF(B1767="","",_xlfn.XLOOKUP(B1767,STUDENTS!$B$3:$B$1048576,STUDENTS!$C$3:$C$1048576)),"Enter a registered reg. no")</f>
        <v/>
      </c>
      <c r="E1767">
        <f>IFERROR(IF(C1767="","",_xlfn.XLOOKUP(C1767,STUDENTS!C1766:C101763,STUDENTS!F1766:F101763)),"update STUDENT sheet")</f>
        <v/>
      </c>
      <c r="F1767">
        <f>IFERROR(IF(D1767="","",_xlfn.XLOOKUP(D1767,STUDENTS!D1766:D101763,STUDENTS!G1766:G101763)),"update STUDENT sheet")</f>
        <v/>
      </c>
      <c r="G1767">
        <f>IFERROR(IF(E1767="","",_xlfn.XLOOKUP(E1767,STUDENTS!F1766:F101763,STUDENTS!H1766:H101763)),"update STUDENT sheet")</f>
        <v/>
      </c>
    </row>
    <row r="1768">
      <c r="B1768">
        <f>IF(STUDENTS!B1767="","",STUDENTS!B1767)</f>
        <v/>
      </c>
      <c r="C1768">
        <f>IFERROR(IF(B1768="","",_xlfn.XLOOKUP(B1768,STUDENTS!$B$3:$B$1048576,STUDENTS!$C$3:$C$1048576)),"Enter a registered reg. no")</f>
        <v/>
      </c>
      <c r="E1768">
        <f>IFERROR(IF(C1768="","",_xlfn.XLOOKUP(C1768,STUDENTS!C1767:C101764,STUDENTS!F1767:F101764)),"update STUDENT sheet")</f>
        <v/>
      </c>
      <c r="F1768">
        <f>IFERROR(IF(D1768="","",_xlfn.XLOOKUP(D1768,STUDENTS!D1767:D101764,STUDENTS!G1767:G101764)),"update STUDENT sheet")</f>
        <v/>
      </c>
      <c r="G1768">
        <f>IFERROR(IF(E1768="","",_xlfn.XLOOKUP(E1768,STUDENTS!F1767:F101764,STUDENTS!H1767:H101764)),"update STUDENT sheet")</f>
        <v/>
      </c>
    </row>
    <row r="1769">
      <c r="B1769">
        <f>IF(STUDENTS!B1768="","",STUDENTS!B1768)</f>
        <v/>
      </c>
      <c r="C1769">
        <f>IFERROR(IF(B1769="","",_xlfn.XLOOKUP(B1769,STUDENTS!$B$3:$B$1048576,STUDENTS!$C$3:$C$1048576)),"Enter a registered reg. no")</f>
        <v/>
      </c>
      <c r="E1769">
        <f>IFERROR(IF(C1769="","",_xlfn.XLOOKUP(C1769,STUDENTS!C1768:C101765,STUDENTS!F1768:F101765)),"update STUDENT sheet")</f>
        <v/>
      </c>
      <c r="F1769">
        <f>IFERROR(IF(D1769="","",_xlfn.XLOOKUP(D1769,STUDENTS!D1768:D101765,STUDENTS!G1768:G101765)),"update STUDENT sheet")</f>
        <v/>
      </c>
      <c r="G1769">
        <f>IFERROR(IF(E1769="","",_xlfn.XLOOKUP(E1769,STUDENTS!F1768:F101765,STUDENTS!H1768:H101765)),"update STUDENT sheet")</f>
        <v/>
      </c>
    </row>
    <row r="1770">
      <c r="B1770">
        <f>IF(STUDENTS!B1769="","",STUDENTS!B1769)</f>
        <v/>
      </c>
      <c r="C1770">
        <f>IFERROR(IF(B1770="","",_xlfn.XLOOKUP(B1770,STUDENTS!$B$3:$B$1048576,STUDENTS!$C$3:$C$1048576)),"Enter a registered reg. no")</f>
        <v/>
      </c>
      <c r="E1770">
        <f>IFERROR(IF(C1770="","",_xlfn.XLOOKUP(C1770,STUDENTS!C1769:C101766,STUDENTS!F1769:F101766)),"update STUDENT sheet")</f>
        <v/>
      </c>
      <c r="F1770">
        <f>IFERROR(IF(D1770="","",_xlfn.XLOOKUP(D1770,STUDENTS!D1769:D101766,STUDENTS!G1769:G101766)),"update STUDENT sheet")</f>
        <v/>
      </c>
      <c r="G1770">
        <f>IFERROR(IF(E1770="","",_xlfn.XLOOKUP(E1770,STUDENTS!F1769:F101766,STUDENTS!H1769:H101766)),"update STUDENT sheet")</f>
        <v/>
      </c>
    </row>
    <row r="1771">
      <c r="B1771">
        <f>IF(STUDENTS!B1770="","",STUDENTS!B1770)</f>
        <v/>
      </c>
      <c r="C1771">
        <f>IFERROR(IF(B1771="","",_xlfn.XLOOKUP(B1771,STUDENTS!$B$3:$B$1048576,STUDENTS!$C$3:$C$1048576)),"Enter a registered reg. no")</f>
        <v/>
      </c>
      <c r="E1771">
        <f>IFERROR(IF(C1771="","",_xlfn.XLOOKUP(C1771,STUDENTS!C1770:C101767,STUDENTS!F1770:F101767)),"update STUDENT sheet")</f>
        <v/>
      </c>
      <c r="F1771">
        <f>IFERROR(IF(D1771="","",_xlfn.XLOOKUP(D1771,STUDENTS!D1770:D101767,STUDENTS!G1770:G101767)),"update STUDENT sheet")</f>
        <v/>
      </c>
      <c r="G1771">
        <f>IFERROR(IF(E1771="","",_xlfn.XLOOKUP(E1771,STUDENTS!F1770:F101767,STUDENTS!H1770:H101767)),"update STUDENT sheet")</f>
        <v/>
      </c>
    </row>
    <row r="1772">
      <c r="B1772">
        <f>IF(STUDENTS!B1771="","",STUDENTS!B1771)</f>
        <v/>
      </c>
      <c r="C1772">
        <f>IFERROR(IF(B1772="","",_xlfn.XLOOKUP(B1772,STUDENTS!$B$3:$B$1048576,STUDENTS!$C$3:$C$1048576)),"Enter a registered reg. no")</f>
        <v/>
      </c>
      <c r="E1772">
        <f>IFERROR(IF(C1772="","",_xlfn.XLOOKUP(C1772,STUDENTS!C1771:C101768,STUDENTS!F1771:F101768)),"update STUDENT sheet")</f>
        <v/>
      </c>
      <c r="F1772">
        <f>IFERROR(IF(D1772="","",_xlfn.XLOOKUP(D1772,STUDENTS!D1771:D101768,STUDENTS!G1771:G101768)),"update STUDENT sheet")</f>
        <v/>
      </c>
      <c r="G1772">
        <f>IFERROR(IF(E1772="","",_xlfn.XLOOKUP(E1772,STUDENTS!F1771:F101768,STUDENTS!H1771:H101768)),"update STUDENT sheet")</f>
        <v/>
      </c>
    </row>
    <row r="1773">
      <c r="B1773">
        <f>IF(STUDENTS!B1772="","",STUDENTS!B1772)</f>
        <v/>
      </c>
      <c r="C1773">
        <f>IFERROR(IF(B1773="","",_xlfn.XLOOKUP(B1773,STUDENTS!$B$3:$B$1048576,STUDENTS!$C$3:$C$1048576)),"Enter a registered reg. no")</f>
        <v/>
      </c>
      <c r="E1773">
        <f>IFERROR(IF(C1773="","",_xlfn.XLOOKUP(C1773,STUDENTS!C1772:C101769,STUDENTS!F1772:F101769)),"update STUDENT sheet")</f>
        <v/>
      </c>
      <c r="F1773">
        <f>IFERROR(IF(D1773="","",_xlfn.XLOOKUP(D1773,STUDENTS!D1772:D101769,STUDENTS!G1772:G101769)),"update STUDENT sheet")</f>
        <v/>
      </c>
      <c r="G1773">
        <f>IFERROR(IF(E1773="","",_xlfn.XLOOKUP(E1773,STUDENTS!F1772:F101769,STUDENTS!H1772:H101769)),"update STUDENT sheet")</f>
        <v/>
      </c>
    </row>
    <row r="1774">
      <c r="B1774">
        <f>IF(STUDENTS!B1773="","",STUDENTS!B1773)</f>
        <v/>
      </c>
      <c r="C1774">
        <f>IFERROR(IF(B1774="","",_xlfn.XLOOKUP(B1774,STUDENTS!$B$3:$B$1048576,STUDENTS!$C$3:$C$1048576)),"Enter a registered reg. no")</f>
        <v/>
      </c>
      <c r="E1774">
        <f>IFERROR(IF(C1774="","",_xlfn.XLOOKUP(C1774,STUDENTS!C1773:C101770,STUDENTS!F1773:F101770)),"update STUDENT sheet")</f>
        <v/>
      </c>
      <c r="F1774">
        <f>IFERROR(IF(D1774="","",_xlfn.XLOOKUP(D1774,STUDENTS!D1773:D101770,STUDENTS!G1773:G101770)),"update STUDENT sheet")</f>
        <v/>
      </c>
      <c r="G1774">
        <f>IFERROR(IF(E1774="","",_xlfn.XLOOKUP(E1774,STUDENTS!F1773:F101770,STUDENTS!H1773:H101770)),"update STUDENT sheet")</f>
        <v/>
      </c>
    </row>
    <row r="1775">
      <c r="B1775">
        <f>IF(STUDENTS!B1774="","",STUDENTS!B1774)</f>
        <v/>
      </c>
      <c r="C1775">
        <f>IFERROR(IF(B1775="","",_xlfn.XLOOKUP(B1775,STUDENTS!$B$3:$B$1048576,STUDENTS!$C$3:$C$1048576)),"Enter a registered reg. no")</f>
        <v/>
      </c>
      <c r="E1775">
        <f>IFERROR(IF(C1775="","",_xlfn.XLOOKUP(C1775,STUDENTS!C1774:C101771,STUDENTS!F1774:F101771)),"update STUDENT sheet")</f>
        <v/>
      </c>
      <c r="F1775">
        <f>IFERROR(IF(D1775="","",_xlfn.XLOOKUP(D1775,STUDENTS!D1774:D101771,STUDENTS!G1774:G101771)),"update STUDENT sheet")</f>
        <v/>
      </c>
      <c r="G1775">
        <f>IFERROR(IF(E1775="","",_xlfn.XLOOKUP(E1775,STUDENTS!F1774:F101771,STUDENTS!H1774:H101771)),"update STUDENT sheet")</f>
        <v/>
      </c>
    </row>
    <row r="1776">
      <c r="B1776">
        <f>IF(STUDENTS!B1775="","",STUDENTS!B1775)</f>
        <v/>
      </c>
      <c r="C1776">
        <f>IFERROR(IF(B1776="","",_xlfn.XLOOKUP(B1776,STUDENTS!$B$3:$B$1048576,STUDENTS!$C$3:$C$1048576)),"Enter a registered reg. no")</f>
        <v/>
      </c>
      <c r="E1776">
        <f>IFERROR(IF(C1776="","",_xlfn.XLOOKUP(C1776,STUDENTS!C1775:C101772,STUDENTS!F1775:F101772)),"update STUDENT sheet")</f>
        <v/>
      </c>
      <c r="F1776">
        <f>IFERROR(IF(D1776="","",_xlfn.XLOOKUP(D1776,STUDENTS!D1775:D101772,STUDENTS!G1775:G101772)),"update STUDENT sheet")</f>
        <v/>
      </c>
      <c r="G1776">
        <f>IFERROR(IF(E1776="","",_xlfn.XLOOKUP(E1776,STUDENTS!F1775:F101772,STUDENTS!H1775:H101772)),"update STUDENT sheet")</f>
        <v/>
      </c>
    </row>
    <row r="1777">
      <c r="B1777">
        <f>IF(STUDENTS!B1776="","",STUDENTS!B1776)</f>
        <v/>
      </c>
      <c r="C1777">
        <f>IFERROR(IF(B1777="","",_xlfn.XLOOKUP(B1777,STUDENTS!$B$3:$B$1048576,STUDENTS!$C$3:$C$1048576)),"Enter a registered reg. no")</f>
        <v/>
      </c>
      <c r="E1777">
        <f>IFERROR(IF(C1777="","",_xlfn.XLOOKUP(C1777,STUDENTS!C1776:C101773,STUDENTS!F1776:F101773)),"update STUDENT sheet")</f>
        <v/>
      </c>
      <c r="F1777">
        <f>IFERROR(IF(D1777="","",_xlfn.XLOOKUP(D1777,STUDENTS!D1776:D101773,STUDENTS!G1776:G101773)),"update STUDENT sheet")</f>
        <v/>
      </c>
      <c r="G1777">
        <f>IFERROR(IF(E1777="","",_xlfn.XLOOKUP(E1777,STUDENTS!F1776:F101773,STUDENTS!H1776:H101773)),"update STUDENT sheet")</f>
        <v/>
      </c>
    </row>
    <row r="1778">
      <c r="B1778">
        <f>IF(STUDENTS!B1777="","",STUDENTS!B1777)</f>
        <v/>
      </c>
      <c r="C1778">
        <f>IFERROR(IF(B1778="","",_xlfn.XLOOKUP(B1778,STUDENTS!$B$3:$B$1048576,STUDENTS!$C$3:$C$1048576)),"Enter a registered reg. no")</f>
        <v/>
      </c>
      <c r="E1778">
        <f>IFERROR(IF(C1778="","",_xlfn.XLOOKUP(C1778,STUDENTS!C1777:C101774,STUDENTS!F1777:F101774)),"update STUDENT sheet")</f>
        <v/>
      </c>
      <c r="F1778">
        <f>IFERROR(IF(D1778="","",_xlfn.XLOOKUP(D1778,STUDENTS!D1777:D101774,STUDENTS!G1777:G101774)),"update STUDENT sheet")</f>
        <v/>
      </c>
      <c r="G1778">
        <f>IFERROR(IF(E1778="","",_xlfn.XLOOKUP(E1778,STUDENTS!F1777:F101774,STUDENTS!H1777:H101774)),"update STUDENT sheet")</f>
        <v/>
      </c>
    </row>
    <row r="1779">
      <c r="B1779">
        <f>IF(STUDENTS!B1778="","",STUDENTS!B1778)</f>
        <v/>
      </c>
      <c r="C1779">
        <f>IFERROR(IF(B1779="","",_xlfn.XLOOKUP(B1779,STUDENTS!$B$3:$B$1048576,STUDENTS!$C$3:$C$1048576)),"Enter a registered reg. no")</f>
        <v/>
      </c>
      <c r="E1779">
        <f>IFERROR(IF(C1779="","",_xlfn.XLOOKUP(C1779,STUDENTS!C1778:C101775,STUDENTS!F1778:F101775)),"update STUDENT sheet")</f>
        <v/>
      </c>
      <c r="F1779">
        <f>IFERROR(IF(D1779="","",_xlfn.XLOOKUP(D1779,STUDENTS!D1778:D101775,STUDENTS!G1778:G101775)),"update STUDENT sheet")</f>
        <v/>
      </c>
      <c r="G1779">
        <f>IFERROR(IF(E1779="","",_xlfn.XLOOKUP(E1779,STUDENTS!F1778:F101775,STUDENTS!H1778:H101775)),"update STUDENT sheet")</f>
        <v/>
      </c>
    </row>
    <row r="1780">
      <c r="B1780">
        <f>IF(STUDENTS!B1779="","",STUDENTS!B1779)</f>
        <v/>
      </c>
      <c r="C1780">
        <f>IFERROR(IF(B1780="","",_xlfn.XLOOKUP(B1780,STUDENTS!$B$3:$B$1048576,STUDENTS!$C$3:$C$1048576)),"Enter a registered reg. no")</f>
        <v/>
      </c>
      <c r="E1780">
        <f>IFERROR(IF(C1780="","",_xlfn.XLOOKUP(C1780,STUDENTS!C1779:C101776,STUDENTS!F1779:F101776)),"update STUDENT sheet")</f>
        <v/>
      </c>
      <c r="F1780">
        <f>IFERROR(IF(D1780="","",_xlfn.XLOOKUP(D1780,STUDENTS!D1779:D101776,STUDENTS!G1779:G101776)),"update STUDENT sheet")</f>
        <v/>
      </c>
      <c r="G1780">
        <f>IFERROR(IF(E1780="","",_xlfn.XLOOKUP(E1780,STUDENTS!F1779:F101776,STUDENTS!H1779:H101776)),"update STUDENT sheet")</f>
        <v/>
      </c>
    </row>
    <row r="1781">
      <c r="B1781">
        <f>IF(STUDENTS!B1780="","",STUDENTS!B1780)</f>
        <v/>
      </c>
      <c r="C1781">
        <f>IFERROR(IF(B1781="","",_xlfn.XLOOKUP(B1781,STUDENTS!$B$3:$B$1048576,STUDENTS!$C$3:$C$1048576)),"Enter a registered reg. no")</f>
        <v/>
      </c>
      <c r="E1781">
        <f>IFERROR(IF(C1781="","",_xlfn.XLOOKUP(C1781,STUDENTS!C1780:C101777,STUDENTS!F1780:F101777)),"update STUDENT sheet")</f>
        <v/>
      </c>
      <c r="F1781">
        <f>IFERROR(IF(D1781="","",_xlfn.XLOOKUP(D1781,STUDENTS!D1780:D101777,STUDENTS!G1780:G101777)),"update STUDENT sheet")</f>
        <v/>
      </c>
      <c r="G1781">
        <f>IFERROR(IF(E1781="","",_xlfn.XLOOKUP(E1781,STUDENTS!F1780:F101777,STUDENTS!H1780:H101777)),"update STUDENT sheet")</f>
        <v/>
      </c>
    </row>
    <row r="1782">
      <c r="B1782">
        <f>IF(STUDENTS!B1781="","",STUDENTS!B1781)</f>
        <v/>
      </c>
      <c r="C1782">
        <f>IFERROR(IF(B1782="","",_xlfn.XLOOKUP(B1782,STUDENTS!$B$3:$B$1048576,STUDENTS!$C$3:$C$1048576)),"Enter a registered reg. no")</f>
        <v/>
      </c>
      <c r="E1782">
        <f>IFERROR(IF(C1782="","",_xlfn.XLOOKUP(C1782,STUDENTS!C1781:C101778,STUDENTS!F1781:F101778)),"update STUDENT sheet")</f>
        <v/>
      </c>
      <c r="F1782">
        <f>IFERROR(IF(D1782="","",_xlfn.XLOOKUP(D1782,STUDENTS!D1781:D101778,STUDENTS!G1781:G101778)),"update STUDENT sheet")</f>
        <v/>
      </c>
      <c r="G1782">
        <f>IFERROR(IF(E1782="","",_xlfn.XLOOKUP(E1782,STUDENTS!F1781:F101778,STUDENTS!H1781:H101778)),"update STUDENT sheet")</f>
        <v/>
      </c>
    </row>
    <row r="1783">
      <c r="B1783">
        <f>IF(STUDENTS!B1782="","",STUDENTS!B1782)</f>
        <v/>
      </c>
      <c r="C1783">
        <f>IFERROR(IF(B1783="","",_xlfn.XLOOKUP(B1783,STUDENTS!$B$3:$B$1048576,STUDENTS!$C$3:$C$1048576)),"Enter a registered reg. no")</f>
        <v/>
      </c>
      <c r="E1783">
        <f>IFERROR(IF(C1783="","",_xlfn.XLOOKUP(C1783,STUDENTS!C1782:C101779,STUDENTS!F1782:F101779)),"update STUDENT sheet")</f>
        <v/>
      </c>
      <c r="F1783">
        <f>IFERROR(IF(D1783="","",_xlfn.XLOOKUP(D1783,STUDENTS!D1782:D101779,STUDENTS!G1782:G101779)),"update STUDENT sheet")</f>
        <v/>
      </c>
      <c r="G1783">
        <f>IFERROR(IF(E1783="","",_xlfn.XLOOKUP(E1783,STUDENTS!F1782:F101779,STUDENTS!H1782:H101779)),"update STUDENT sheet")</f>
        <v/>
      </c>
    </row>
    <row r="1784">
      <c r="B1784">
        <f>IF(STUDENTS!B1783="","",STUDENTS!B1783)</f>
        <v/>
      </c>
      <c r="C1784">
        <f>IFERROR(IF(B1784="","",_xlfn.XLOOKUP(B1784,STUDENTS!$B$3:$B$1048576,STUDENTS!$C$3:$C$1048576)),"Enter a registered reg. no")</f>
        <v/>
      </c>
      <c r="E1784">
        <f>IFERROR(IF(C1784="","",_xlfn.XLOOKUP(C1784,STUDENTS!C1783:C101780,STUDENTS!F1783:F101780)),"update STUDENT sheet")</f>
        <v/>
      </c>
      <c r="F1784">
        <f>IFERROR(IF(D1784="","",_xlfn.XLOOKUP(D1784,STUDENTS!D1783:D101780,STUDENTS!G1783:G101780)),"update STUDENT sheet")</f>
        <v/>
      </c>
      <c r="G1784">
        <f>IFERROR(IF(E1784="","",_xlfn.XLOOKUP(E1784,STUDENTS!F1783:F101780,STUDENTS!H1783:H101780)),"update STUDENT sheet")</f>
        <v/>
      </c>
    </row>
    <row r="1785">
      <c r="B1785">
        <f>IF(STUDENTS!B1784="","",STUDENTS!B1784)</f>
        <v/>
      </c>
      <c r="C1785">
        <f>IFERROR(IF(B1785="","",_xlfn.XLOOKUP(B1785,STUDENTS!$B$3:$B$1048576,STUDENTS!$C$3:$C$1048576)),"Enter a registered reg. no")</f>
        <v/>
      </c>
      <c r="E1785">
        <f>IFERROR(IF(C1785="","",_xlfn.XLOOKUP(C1785,STUDENTS!C1784:C101781,STUDENTS!F1784:F101781)),"update STUDENT sheet")</f>
        <v/>
      </c>
      <c r="F1785">
        <f>IFERROR(IF(D1785="","",_xlfn.XLOOKUP(D1785,STUDENTS!D1784:D101781,STUDENTS!G1784:G101781)),"update STUDENT sheet")</f>
        <v/>
      </c>
      <c r="G1785">
        <f>IFERROR(IF(E1785="","",_xlfn.XLOOKUP(E1785,STUDENTS!F1784:F101781,STUDENTS!H1784:H101781)),"update STUDENT sheet")</f>
        <v/>
      </c>
    </row>
    <row r="1786">
      <c r="B1786">
        <f>IF(STUDENTS!B1785="","",STUDENTS!B1785)</f>
        <v/>
      </c>
      <c r="C1786">
        <f>IFERROR(IF(B1786="","",_xlfn.XLOOKUP(B1786,STUDENTS!$B$3:$B$1048576,STUDENTS!$C$3:$C$1048576)),"Enter a registered reg. no")</f>
        <v/>
      </c>
      <c r="E1786">
        <f>IFERROR(IF(C1786="","",_xlfn.XLOOKUP(C1786,STUDENTS!C1785:C101782,STUDENTS!F1785:F101782)),"update STUDENT sheet")</f>
        <v/>
      </c>
      <c r="F1786">
        <f>IFERROR(IF(D1786="","",_xlfn.XLOOKUP(D1786,STUDENTS!D1785:D101782,STUDENTS!G1785:G101782)),"update STUDENT sheet")</f>
        <v/>
      </c>
      <c r="G1786">
        <f>IFERROR(IF(E1786="","",_xlfn.XLOOKUP(E1786,STUDENTS!F1785:F101782,STUDENTS!H1785:H101782)),"update STUDENT sheet")</f>
        <v/>
      </c>
    </row>
    <row r="1787">
      <c r="B1787">
        <f>IF(STUDENTS!B1786="","",STUDENTS!B1786)</f>
        <v/>
      </c>
      <c r="C1787">
        <f>IFERROR(IF(B1787="","",_xlfn.XLOOKUP(B1787,STUDENTS!$B$3:$B$1048576,STUDENTS!$C$3:$C$1048576)),"Enter a registered reg. no")</f>
        <v/>
      </c>
      <c r="E1787">
        <f>IFERROR(IF(C1787="","",_xlfn.XLOOKUP(C1787,STUDENTS!C1786:C101783,STUDENTS!F1786:F101783)),"update STUDENT sheet")</f>
        <v/>
      </c>
      <c r="F1787">
        <f>IFERROR(IF(D1787="","",_xlfn.XLOOKUP(D1787,STUDENTS!D1786:D101783,STUDENTS!G1786:G101783)),"update STUDENT sheet")</f>
        <v/>
      </c>
      <c r="G1787">
        <f>IFERROR(IF(E1787="","",_xlfn.XLOOKUP(E1787,STUDENTS!F1786:F101783,STUDENTS!H1786:H101783)),"update STUDENT sheet")</f>
        <v/>
      </c>
    </row>
    <row r="1788">
      <c r="B1788">
        <f>IF(STUDENTS!B1787="","",STUDENTS!B1787)</f>
        <v/>
      </c>
      <c r="C1788">
        <f>IFERROR(IF(B1788="","",_xlfn.XLOOKUP(B1788,STUDENTS!$B$3:$B$1048576,STUDENTS!$C$3:$C$1048576)),"Enter a registered reg. no")</f>
        <v/>
      </c>
      <c r="E1788">
        <f>IFERROR(IF(C1788="","",_xlfn.XLOOKUP(C1788,STUDENTS!C1787:C101784,STUDENTS!F1787:F101784)),"update STUDENT sheet")</f>
        <v/>
      </c>
      <c r="F1788">
        <f>IFERROR(IF(D1788="","",_xlfn.XLOOKUP(D1788,STUDENTS!D1787:D101784,STUDENTS!G1787:G101784)),"update STUDENT sheet")</f>
        <v/>
      </c>
      <c r="G1788">
        <f>IFERROR(IF(E1788="","",_xlfn.XLOOKUP(E1788,STUDENTS!F1787:F101784,STUDENTS!H1787:H101784)),"update STUDENT sheet")</f>
        <v/>
      </c>
    </row>
    <row r="1789">
      <c r="B1789">
        <f>IF(STUDENTS!B1788="","",STUDENTS!B1788)</f>
        <v/>
      </c>
      <c r="C1789">
        <f>IFERROR(IF(B1789="","",_xlfn.XLOOKUP(B1789,STUDENTS!$B$3:$B$1048576,STUDENTS!$C$3:$C$1048576)),"Enter a registered reg. no")</f>
        <v/>
      </c>
      <c r="E1789">
        <f>IFERROR(IF(C1789="","",_xlfn.XLOOKUP(C1789,STUDENTS!C1788:C101785,STUDENTS!F1788:F101785)),"update STUDENT sheet")</f>
        <v/>
      </c>
      <c r="F1789">
        <f>IFERROR(IF(D1789="","",_xlfn.XLOOKUP(D1789,STUDENTS!D1788:D101785,STUDENTS!G1788:G101785)),"update STUDENT sheet")</f>
        <v/>
      </c>
      <c r="G1789">
        <f>IFERROR(IF(E1789="","",_xlfn.XLOOKUP(E1789,STUDENTS!F1788:F101785,STUDENTS!H1788:H101785)),"update STUDENT sheet")</f>
        <v/>
      </c>
    </row>
    <row r="1790">
      <c r="B1790">
        <f>IF(STUDENTS!B1789="","",STUDENTS!B1789)</f>
        <v/>
      </c>
      <c r="C1790">
        <f>IFERROR(IF(B1790="","",_xlfn.XLOOKUP(B1790,STUDENTS!$B$3:$B$1048576,STUDENTS!$C$3:$C$1048576)),"Enter a registered reg. no")</f>
        <v/>
      </c>
      <c r="E1790">
        <f>IFERROR(IF(C1790="","",_xlfn.XLOOKUP(C1790,STUDENTS!C1789:C101786,STUDENTS!F1789:F101786)),"update STUDENT sheet")</f>
        <v/>
      </c>
      <c r="F1790">
        <f>IFERROR(IF(D1790="","",_xlfn.XLOOKUP(D1790,STUDENTS!D1789:D101786,STUDENTS!G1789:G101786)),"update STUDENT sheet")</f>
        <v/>
      </c>
      <c r="G1790">
        <f>IFERROR(IF(E1790="","",_xlfn.XLOOKUP(E1790,STUDENTS!F1789:F101786,STUDENTS!H1789:H101786)),"update STUDENT sheet")</f>
        <v/>
      </c>
    </row>
    <row r="1791">
      <c r="B1791">
        <f>IF(STUDENTS!B1790="","",STUDENTS!B1790)</f>
        <v/>
      </c>
      <c r="C1791">
        <f>IFERROR(IF(B1791="","",_xlfn.XLOOKUP(B1791,STUDENTS!$B$3:$B$1048576,STUDENTS!$C$3:$C$1048576)),"Enter a registered reg. no")</f>
        <v/>
      </c>
      <c r="E1791">
        <f>IFERROR(IF(C1791="","",_xlfn.XLOOKUP(C1791,STUDENTS!C1790:C101787,STUDENTS!F1790:F101787)),"update STUDENT sheet")</f>
        <v/>
      </c>
      <c r="F1791">
        <f>IFERROR(IF(D1791="","",_xlfn.XLOOKUP(D1791,STUDENTS!D1790:D101787,STUDENTS!G1790:G101787)),"update STUDENT sheet")</f>
        <v/>
      </c>
      <c r="G1791">
        <f>IFERROR(IF(E1791="","",_xlfn.XLOOKUP(E1791,STUDENTS!F1790:F101787,STUDENTS!H1790:H101787)),"update STUDENT sheet")</f>
        <v/>
      </c>
    </row>
    <row r="1792">
      <c r="B1792">
        <f>IF(STUDENTS!B1791="","",STUDENTS!B1791)</f>
        <v/>
      </c>
      <c r="C1792">
        <f>IFERROR(IF(B1792="","",_xlfn.XLOOKUP(B1792,STUDENTS!$B$3:$B$1048576,STUDENTS!$C$3:$C$1048576)),"Enter a registered reg. no")</f>
        <v/>
      </c>
      <c r="E1792">
        <f>IFERROR(IF(C1792="","",_xlfn.XLOOKUP(C1792,STUDENTS!C1791:C101788,STUDENTS!F1791:F101788)),"update STUDENT sheet")</f>
        <v/>
      </c>
      <c r="F1792">
        <f>IFERROR(IF(D1792="","",_xlfn.XLOOKUP(D1792,STUDENTS!D1791:D101788,STUDENTS!G1791:G101788)),"update STUDENT sheet")</f>
        <v/>
      </c>
      <c r="G1792">
        <f>IFERROR(IF(E1792="","",_xlfn.XLOOKUP(E1792,STUDENTS!F1791:F101788,STUDENTS!H1791:H101788)),"update STUDENT sheet")</f>
        <v/>
      </c>
    </row>
    <row r="1793">
      <c r="B1793">
        <f>IF(STUDENTS!B1792="","",STUDENTS!B1792)</f>
        <v/>
      </c>
      <c r="C1793">
        <f>IFERROR(IF(B1793="","",_xlfn.XLOOKUP(B1793,STUDENTS!$B$3:$B$1048576,STUDENTS!$C$3:$C$1048576)),"Enter a registered reg. no")</f>
        <v/>
      </c>
      <c r="E1793">
        <f>IFERROR(IF(C1793="","",_xlfn.XLOOKUP(C1793,STUDENTS!C1792:C101789,STUDENTS!F1792:F101789)),"update STUDENT sheet")</f>
        <v/>
      </c>
      <c r="F1793">
        <f>IFERROR(IF(D1793="","",_xlfn.XLOOKUP(D1793,STUDENTS!D1792:D101789,STUDENTS!G1792:G101789)),"update STUDENT sheet")</f>
        <v/>
      </c>
      <c r="G1793">
        <f>IFERROR(IF(E1793="","",_xlfn.XLOOKUP(E1793,STUDENTS!F1792:F101789,STUDENTS!H1792:H101789)),"update STUDENT sheet")</f>
        <v/>
      </c>
    </row>
    <row r="1794">
      <c r="B1794">
        <f>IF(STUDENTS!B1793="","",STUDENTS!B1793)</f>
        <v/>
      </c>
      <c r="C1794">
        <f>IFERROR(IF(B1794="","",_xlfn.XLOOKUP(B1794,STUDENTS!$B$3:$B$1048576,STUDENTS!$C$3:$C$1048576)),"Enter a registered reg. no")</f>
        <v/>
      </c>
      <c r="E1794">
        <f>IFERROR(IF(C1794="","",_xlfn.XLOOKUP(C1794,STUDENTS!C1793:C101790,STUDENTS!F1793:F101790)),"update STUDENT sheet")</f>
        <v/>
      </c>
      <c r="F1794">
        <f>IFERROR(IF(D1794="","",_xlfn.XLOOKUP(D1794,STUDENTS!D1793:D101790,STUDENTS!G1793:G101790)),"update STUDENT sheet")</f>
        <v/>
      </c>
      <c r="G1794">
        <f>IFERROR(IF(E1794="","",_xlfn.XLOOKUP(E1794,STUDENTS!F1793:F101790,STUDENTS!H1793:H101790)),"update STUDENT sheet")</f>
        <v/>
      </c>
    </row>
    <row r="1795">
      <c r="B1795">
        <f>IF(STUDENTS!B1794="","",STUDENTS!B1794)</f>
        <v/>
      </c>
      <c r="C1795">
        <f>IFERROR(IF(B1795="","",_xlfn.XLOOKUP(B1795,STUDENTS!$B$3:$B$1048576,STUDENTS!$C$3:$C$1048576)),"Enter a registered reg. no")</f>
        <v/>
      </c>
      <c r="E1795">
        <f>IFERROR(IF(C1795="","",_xlfn.XLOOKUP(C1795,STUDENTS!C1794:C101791,STUDENTS!F1794:F101791)),"update STUDENT sheet")</f>
        <v/>
      </c>
      <c r="F1795">
        <f>IFERROR(IF(D1795="","",_xlfn.XLOOKUP(D1795,STUDENTS!D1794:D101791,STUDENTS!G1794:G101791)),"update STUDENT sheet")</f>
        <v/>
      </c>
      <c r="G1795">
        <f>IFERROR(IF(E1795="","",_xlfn.XLOOKUP(E1795,STUDENTS!F1794:F101791,STUDENTS!H1794:H101791)),"update STUDENT sheet")</f>
        <v/>
      </c>
    </row>
    <row r="1796">
      <c r="B1796">
        <f>IF(STUDENTS!B1795="","",STUDENTS!B1795)</f>
        <v/>
      </c>
      <c r="C1796">
        <f>IFERROR(IF(B1796="","",_xlfn.XLOOKUP(B1796,STUDENTS!$B$3:$B$1048576,STUDENTS!$C$3:$C$1048576)),"Enter a registered reg. no")</f>
        <v/>
      </c>
      <c r="E1796">
        <f>IFERROR(IF(C1796="","",_xlfn.XLOOKUP(C1796,STUDENTS!C1795:C101792,STUDENTS!F1795:F101792)),"update STUDENT sheet")</f>
        <v/>
      </c>
      <c r="F1796">
        <f>IFERROR(IF(D1796="","",_xlfn.XLOOKUP(D1796,STUDENTS!D1795:D101792,STUDENTS!G1795:G101792)),"update STUDENT sheet")</f>
        <v/>
      </c>
      <c r="G1796">
        <f>IFERROR(IF(E1796="","",_xlfn.XLOOKUP(E1796,STUDENTS!F1795:F101792,STUDENTS!H1795:H101792)),"update STUDENT sheet")</f>
        <v/>
      </c>
    </row>
    <row r="1797">
      <c r="B1797">
        <f>IF(STUDENTS!B1796="","",STUDENTS!B1796)</f>
        <v/>
      </c>
      <c r="C1797">
        <f>IFERROR(IF(B1797="","",_xlfn.XLOOKUP(B1797,STUDENTS!$B$3:$B$1048576,STUDENTS!$C$3:$C$1048576)),"Enter a registered reg. no")</f>
        <v/>
      </c>
      <c r="E1797">
        <f>IFERROR(IF(C1797="","",_xlfn.XLOOKUP(C1797,STUDENTS!C1796:C101793,STUDENTS!F1796:F101793)),"update STUDENT sheet")</f>
        <v/>
      </c>
      <c r="F1797">
        <f>IFERROR(IF(D1797="","",_xlfn.XLOOKUP(D1797,STUDENTS!D1796:D101793,STUDENTS!G1796:G101793)),"update STUDENT sheet")</f>
        <v/>
      </c>
      <c r="G1797">
        <f>IFERROR(IF(E1797="","",_xlfn.XLOOKUP(E1797,STUDENTS!F1796:F101793,STUDENTS!H1796:H101793)),"update STUDENT sheet")</f>
        <v/>
      </c>
    </row>
    <row r="1798">
      <c r="B1798">
        <f>IF(STUDENTS!B1797="","",STUDENTS!B1797)</f>
        <v/>
      </c>
      <c r="C1798">
        <f>IFERROR(IF(B1798="","",_xlfn.XLOOKUP(B1798,STUDENTS!$B$3:$B$1048576,STUDENTS!$C$3:$C$1048576)),"Enter a registered reg. no")</f>
        <v/>
      </c>
      <c r="E1798">
        <f>IFERROR(IF(C1798="","",_xlfn.XLOOKUP(C1798,STUDENTS!C1797:C101794,STUDENTS!F1797:F101794)),"update STUDENT sheet")</f>
        <v/>
      </c>
      <c r="F1798">
        <f>IFERROR(IF(D1798="","",_xlfn.XLOOKUP(D1798,STUDENTS!D1797:D101794,STUDENTS!G1797:G101794)),"update STUDENT sheet")</f>
        <v/>
      </c>
      <c r="G1798">
        <f>IFERROR(IF(E1798="","",_xlfn.XLOOKUP(E1798,STUDENTS!F1797:F101794,STUDENTS!H1797:H101794)),"update STUDENT sheet")</f>
        <v/>
      </c>
    </row>
    <row r="1799">
      <c r="B1799">
        <f>IF(STUDENTS!B1798="","",STUDENTS!B1798)</f>
        <v/>
      </c>
      <c r="C1799">
        <f>IFERROR(IF(B1799="","",_xlfn.XLOOKUP(B1799,STUDENTS!$B$3:$B$1048576,STUDENTS!$C$3:$C$1048576)),"Enter a registered reg. no")</f>
        <v/>
      </c>
      <c r="E1799">
        <f>IFERROR(IF(C1799="","",_xlfn.XLOOKUP(C1799,STUDENTS!C1798:C101795,STUDENTS!F1798:F101795)),"update STUDENT sheet")</f>
        <v/>
      </c>
      <c r="F1799">
        <f>IFERROR(IF(D1799="","",_xlfn.XLOOKUP(D1799,STUDENTS!D1798:D101795,STUDENTS!G1798:G101795)),"update STUDENT sheet")</f>
        <v/>
      </c>
      <c r="G1799">
        <f>IFERROR(IF(E1799="","",_xlfn.XLOOKUP(E1799,STUDENTS!F1798:F101795,STUDENTS!H1798:H101795)),"update STUDENT sheet")</f>
        <v/>
      </c>
    </row>
    <row r="1800">
      <c r="B1800">
        <f>IF(STUDENTS!B1799="","",STUDENTS!B1799)</f>
        <v/>
      </c>
      <c r="C1800">
        <f>IFERROR(IF(B1800="","",_xlfn.XLOOKUP(B1800,STUDENTS!$B$3:$B$1048576,STUDENTS!$C$3:$C$1048576)),"Enter a registered reg. no")</f>
        <v/>
      </c>
      <c r="E1800">
        <f>IFERROR(IF(C1800="","",_xlfn.XLOOKUP(C1800,STUDENTS!C1799:C101796,STUDENTS!F1799:F101796)),"update STUDENT sheet")</f>
        <v/>
      </c>
      <c r="F1800">
        <f>IFERROR(IF(D1800="","",_xlfn.XLOOKUP(D1800,STUDENTS!D1799:D101796,STUDENTS!G1799:G101796)),"update STUDENT sheet")</f>
        <v/>
      </c>
      <c r="G1800">
        <f>IFERROR(IF(E1800="","",_xlfn.XLOOKUP(E1800,STUDENTS!F1799:F101796,STUDENTS!H1799:H101796)),"update STUDENT sheet")</f>
        <v/>
      </c>
    </row>
    <row r="1801">
      <c r="B1801">
        <f>IF(STUDENTS!B1800="","",STUDENTS!B1800)</f>
        <v/>
      </c>
      <c r="C1801">
        <f>IFERROR(IF(B1801="","",_xlfn.XLOOKUP(B1801,STUDENTS!$B$3:$B$1048576,STUDENTS!$C$3:$C$1048576)),"Enter a registered reg. no")</f>
        <v/>
      </c>
      <c r="E1801">
        <f>IFERROR(IF(C1801="","",_xlfn.XLOOKUP(C1801,STUDENTS!C1800:C101797,STUDENTS!F1800:F101797)),"update STUDENT sheet")</f>
        <v/>
      </c>
      <c r="F1801">
        <f>IFERROR(IF(D1801="","",_xlfn.XLOOKUP(D1801,STUDENTS!D1800:D101797,STUDENTS!G1800:G101797)),"update STUDENT sheet")</f>
        <v/>
      </c>
      <c r="G1801">
        <f>IFERROR(IF(E1801="","",_xlfn.XLOOKUP(E1801,STUDENTS!F1800:F101797,STUDENTS!H1800:H101797)),"update STUDENT sheet")</f>
        <v/>
      </c>
    </row>
    <row r="1802">
      <c r="B1802">
        <f>IF(STUDENTS!B1801="","",STUDENTS!B1801)</f>
        <v/>
      </c>
      <c r="C1802">
        <f>IFERROR(IF(B1802="","",_xlfn.XLOOKUP(B1802,STUDENTS!$B$3:$B$1048576,STUDENTS!$C$3:$C$1048576)),"Enter a registered reg. no")</f>
        <v/>
      </c>
      <c r="E1802">
        <f>IFERROR(IF(C1802="","",_xlfn.XLOOKUP(C1802,STUDENTS!C1801:C101798,STUDENTS!F1801:F101798)),"update STUDENT sheet")</f>
        <v/>
      </c>
      <c r="F1802">
        <f>IFERROR(IF(D1802="","",_xlfn.XLOOKUP(D1802,STUDENTS!D1801:D101798,STUDENTS!G1801:G101798)),"update STUDENT sheet")</f>
        <v/>
      </c>
      <c r="G1802">
        <f>IFERROR(IF(E1802="","",_xlfn.XLOOKUP(E1802,STUDENTS!F1801:F101798,STUDENTS!H1801:H101798)),"update STUDENT sheet")</f>
        <v/>
      </c>
    </row>
    <row r="1803">
      <c r="B1803">
        <f>IF(STUDENTS!B1802="","",STUDENTS!B1802)</f>
        <v/>
      </c>
      <c r="C1803">
        <f>IFERROR(IF(B1803="","",_xlfn.XLOOKUP(B1803,STUDENTS!$B$3:$B$1048576,STUDENTS!$C$3:$C$1048576)),"Enter a registered reg. no")</f>
        <v/>
      </c>
      <c r="E1803">
        <f>IFERROR(IF(C1803="","",_xlfn.XLOOKUP(C1803,STUDENTS!C1802:C101799,STUDENTS!F1802:F101799)),"update STUDENT sheet")</f>
        <v/>
      </c>
      <c r="F1803">
        <f>IFERROR(IF(D1803="","",_xlfn.XLOOKUP(D1803,STUDENTS!D1802:D101799,STUDENTS!G1802:G101799)),"update STUDENT sheet")</f>
        <v/>
      </c>
      <c r="G1803">
        <f>IFERROR(IF(E1803="","",_xlfn.XLOOKUP(E1803,STUDENTS!F1802:F101799,STUDENTS!H1802:H101799)),"update STUDENT sheet")</f>
        <v/>
      </c>
    </row>
    <row r="1804">
      <c r="B1804">
        <f>IF(STUDENTS!B1803="","",STUDENTS!B1803)</f>
        <v/>
      </c>
      <c r="C1804">
        <f>IFERROR(IF(B1804="","",_xlfn.XLOOKUP(B1804,STUDENTS!$B$3:$B$1048576,STUDENTS!$C$3:$C$1048576)),"Enter a registered reg. no")</f>
        <v/>
      </c>
      <c r="E1804">
        <f>IFERROR(IF(C1804="","",_xlfn.XLOOKUP(C1804,STUDENTS!C1803:C101800,STUDENTS!F1803:F101800)),"update STUDENT sheet")</f>
        <v/>
      </c>
      <c r="F1804">
        <f>IFERROR(IF(D1804="","",_xlfn.XLOOKUP(D1804,STUDENTS!D1803:D101800,STUDENTS!G1803:G101800)),"update STUDENT sheet")</f>
        <v/>
      </c>
      <c r="G1804">
        <f>IFERROR(IF(E1804="","",_xlfn.XLOOKUP(E1804,STUDENTS!F1803:F101800,STUDENTS!H1803:H101800)),"update STUDENT sheet")</f>
        <v/>
      </c>
    </row>
    <row r="1805">
      <c r="B1805">
        <f>IF(STUDENTS!B1804="","",STUDENTS!B1804)</f>
        <v/>
      </c>
      <c r="C1805">
        <f>IFERROR(IF(B1805="","",_xlfn.XLOOKUP(B1805,STUDENTS!$B$3:$B$1048576,STUDENTS!$C$3:$C$1048576)),"Enter a registered reg. no")</f>
        <v/>
      </c>
      <c r="E1805">
        <f>IFERROR(IF(C1805="","",_xlfn.XLOOKUP(C1805,STUDENTS!C1804:C101801,STUDENTS!F1804:F101801)),"update STUDENT sheet")</f>
        <v/>
      </c>
      <c r="F1805">
        <f>IFERROR(IF(D1805="","",_xlfn.XLOOKUP(D1805,STUDENTS!D1804:D101801,STUDENTS!G1804:G101801)),"update STUDENT sheet")</f>
        <v/>
      </c>
      <c r="G1805">
        <f>IFERROR(IF(E1805="","",_xlfn.XLOOKUP(E1805,STUDENTS!F1804:F101801,STUDENTS!H1804:H101801)),"update STUDENT sheet")</f>
        <v/>
      </c>
    </row>
    <row r="1806">
      <c r="B1806">
        <f>IF(STUDENTS!B1805="","",STUDENTS!B1805)</f>
        <v/>
      </c>
      <c r="C1806">
        <f>IFERROR(IF(B1806="","",_xlfn.XLOOKUP(B1806,STUDENTS!$B$3:$B$1048576,STUDENTS!$C$3:$C$1048576)),"Enter a registered reg. no")</f>
        <v/>
      </c>
      <c r="E1806">
        <f>IFERROR(IF(C1806="","",_xlfn.XLOOKUP(C1806,STUDENTS!C1805:C101802,STUDENTS!F1805:F101802)),"update STUDENT sheet")</f>
        <v/>
      </c>
      <c r="F1806">
        <f>IFERROR(IF(D1806="","",_xlfn.XLOOKUP(D1806,STUDENTS!D1805:D101802,STUDENTS!G1805:G101802)),"update STUDENT sheet")</f>
        <v/>
      </c>
      <c r="G1806">
        <f>IFERROR(IF(E1806="","",_xlfn.XLOOKUP(E1806,STUDENTS!F1805:F101802,STUDENTS!H1805:H101802)),"update STUDENT sheet")</f>
        <v/>
      </c>
    </row>
    <row r="1807">
      <c r="B1807">
        <f>IF(STUDENTS!B1806="","",STUDENTS!B1806)</f>
        <v/>
      </c>
      <c r="C1807">
        <f>IFERROR(IF(B1807="","",_xlfn.XLOOKUP(B1807,STUDENTS!$B$3:$B$1048576,STUDENTS!$C$3:$C$1048576)),"Enter a registered reg. no")</f>
        <v/>
      </c>
      <c r="E1807">
        <f>IFERROR(IF(C1807="","",_xlfn.XLOOKUP(C1807,STUDENTS!C1806:C101803,STUDENTS!F1806:F101803)),"update STUDENT sheet")</f>
        <v/>
      </c>
      <c r="F1807">
        <f>IFERROR(IF(D1807="","",_xlfn.XLOOKUP(D1807,STUDENTS!D1806:D101803,STUDENTS!G1806:G101803)),"update STUDENT sheet")</f>
        <v/>
      </c>
      <c r="G1807">
        <f>IFERROR(IF(E1807="","",_xlfn.XLOOKUP(E1807,STUDENTS!F1806:F101803,STUDENTS!H1806:H101803)),"update STUDENT sheet")</f>
        <v/>
      </c>
    </row>
    <row r="1808">
      <c r="B1808">
        <f>IF(STUDENTS!B1807="","",STUDENTS!B1807)</f>
        <v/>
      </c>
      <c r="C1808">
        <f>IFERROR(IF(B1808="","",_xlfn.XLOOKUP(B1808,STUDENTS!$B$3:$B$1048576,STUDENTS!$C$3:$C$1048576)),"Enter a registered reg. no")</f>
        <v/>
      </c>
      <c r="E1808">
        <f>IFERROR(IF(C1808="","",_xlfn.XLOOKUP(C1808,STUDENTS!C1807:C101804,STUDENTS!F1807:F101804)),"update STUDENT sheet")</f>
        <v/>
      </c>
      <c r="F1808">
        <f>IFERROR(IF(D1808="","",_xlfn.XLOOKUP(D1808,STUDENTS!D1807:D101804,STUDENTS!G1807:G101804)),"update STUDENT sheet")</f>
        <v/>
      </c>
      <c r="G1808">
        <f>IFERROR(IF(E1808="","",_xlfn.XLOOKUP(E1808,STUDENTS!F1807:F101804,STUDENTS!H1807:H101804)),"update STUDENT sheet")</f>
        <v/>
      </c>
    </row>
    <row r="1809">
      <c r="B1809">
        <f>IF(STUDENTS!B1808="","",STUDENTS!B1808)</f>
        <v/>
      </c>
      <c r="C1809">
        <f>IFERROR(IF(B1809="","",_xlfn.XLOOKUP(B1809,STUDENTS!$B$3:$B$1048576,STUDENTS!$C$3:$C$1048576)),"Enter a registered reg. no")</f>
        <v/>
      </c>
      <c r="E1809">
        <f>IFERROR(IF(C1809="","",_xlfn.XLOOKUP(C1809,STUDENTS!C1808:C101805,STUDENTS!F1808:F101805)),"update STUDENT sheet")</f>
        <v/>
      </c>
      <c r="F1809">
        <f>IFERROR(IF(D1809="","",_xlfn.XLOOKUP(D1809,STUDENTS!D1808:D101805,STUDENTS!G1808:G101805)),"update STUDENT sheet")</f>
        <v/>
      </c>
      <c r="G1809">
        <f>IFERROR(IF(E1809="","",_xlfn.XLOOKUP(E1809,STUDENTS!F1808:F101805,STUDENTS!H1808:H101805)),"update STUDENT sheet")</f>
        <v/>
      </c>
    </row>
    <row r="1810">
      <c r="B1810">
        <f>IF(STUDENTS!B1809="","",STUDENTS!B1809)</f>
        <v/>
      </c>
      <c r="C1810">
        <f>IFERROR(IF(B1810="","",_xlfn.XLOOKUP(B1810,STUDENTS!$B$3:$B$1048576,STUDENTS!$C$3:$C$1048576)),"Enter a registered reg. no")</f>
        <v/>
      </c>
      <c r="E1810">
        <f>IFERROR(IF(C1810="","",_xlfn.XLOOKUP(C1810,STUDENTS!C1809:C101806,STUDENTS!F1809:F101806)),"update STUDENT sheet")</f>
        <v/>
      </c>
      <c r="F1810">
        <f>IFERROR(IF(D1810="","",_xlfn.XLOOKUP(D1810,STUDENTS!D1809:D101806,STUDENTS!G1809:G101806)),"update STUDENT sheet")</f>
        <v/>
      </c>
      <c r="G1810">
        <f>IFERROR(IF(E1810="","",_xlfn.XLOOKUP(E1810,STUDENTS!F1809:F101806,STUDENTS!H1809:H101806)),"update STUDENT sheet")</f>
        <v/>
      </c>
    </row>
    <row r="1811">
      <c r="B1811">
        <f>IF(STUDENTS!B1810="","",STUDENTS!B1810)</f>
        <v/>
      </c>
      <c r="C1811">
        <f>IFERROR(IF(B1811="","",_xlfn.XLOOKUP(B1811,STUDENTS!$B$3:$B$1048576,STUDENTS!$C$3:$C$1048576)),"Enter a registered reg. no")</f>
        <v/>
      </c>
      <c r="E1811">
        <f>IFERROR(IF(C1811="","",_xlfn.XLOOKUP(C1811,STUDENTS!C1810:C101807,STUDENTS!F1810:F101807)),"update STUDENT sheet")</f>
        <v/>
      </c>
      <c r="F1811">
        <f>IFERROR(IF(D1811="","",_xlfn.XLOOKUP(D1811,STUDENTS!D1810:D101807,STUDENTS!G1810:G101807)),"update STUDENT sheet")</f>
        <v/>
      </c>
      <c r="G1811">
        <f>IFERROR(IF(E1811="","",_xlfn.XLOOKUP(E1811,STUDENTS!F1810:F101807,STUDENTS!H1810:H101807)),"update STUDENT sheet")</f>
        <v/>
      </c>
    </row>
    <row r="1812">
      <c r="B1812">
        <f>IF(STUDENTS!B1811="","",STUDENTS!B1811)</f>
        <v/>
      </c>
      <c r="C1812">
        <f>IFERROR(IF(B1812="","",_xlfn.XLOOKUP(B1812,STUDENTS!$B$3:$B$1048576,STUDENTS!$C$3:$C$1048576)),"Enter a registered reg. no")</f>
        <v/>
      </c>
      <c r="E1812">
        <f>IFERROR(IF(C1812="","",_xlfn.XLOOKUP(C1812,STUDENTS!C1811:C101808,STUDENTS!F1811:F101808)),"update STUDENT sheet")</f>
        <v/>
      </c>
      <c r="F1812">
        <f>IFERROR(IF(D1812="","",_xlfn.XLOOKUP(D1812,STUDENTS!D1811:D101808,STUDENTS!G1811:G101808)),"update STUDENT sheet")</f>
        <v/>
      </c>
      <c r="G1812">
        <f>IFERROR(IF(E1812="","",_xlfn.XLOOKUP(E1812,STUDENTS!F1811:F101808,STUDENTS!H1811:H101808)),"update STUDENT sheet")</f>
        <v/>
      </c>
    </row>
    <row r="1813">
      <c r="B1813">
        <f>IF(STUDENTS!B1812="","",STUDENTS!B1812)</f>
        <v/>
      </c>
      <c r="C1813">
        <f>IFERROR(IF(B1813="","",_xlfn.XLOOKUP(B1813,STUDENTS!$B$3:$B$1048576,STUDENTS!$C$3:$C$1048576)),"Enter a registered reg. no")</f>
        <v/>
      </c>
      <c r="E1813">
        <f>IFERROR(IF(C1813="","",_xlfn.XLOOKUP(C1813,STUDENTS!C1812:C101809,STUDENTS!F1812:F101809)),"update STUDENT sheet")</f>
        <v/>
      </c>
      <c r="F1813">
        <f>IFERROR(IF(D1813="","",_xlfn.XLOOKUP(D1813,STUDENTS!D1812:D101809,STUDENTS!G1812:G101809)),"update STUDENT sheet")</f>
        <v/>
      </c>
      <c r="G1813">
        <f>IFERROR(IF(E1813="","",_xlfn.XLOOKUP(E1813,STUDENTS!F1812:F101809,STUDENTS!H1812:H101809)),"update STUDENT sheet")</f>
        <v/>
      </c>
    </row>
    <row r="1814">
      <c r="B1814">
        <f>IF(STUDENTS!B1813="","",STUDENTS!B1813)</f>
        <v/>
      </c>
      <c r="C1814">
        <f>IFERROR(IF(B1814="","",_xlfn.XLOOKUP(B1814,STUDENTS!$B$3:$B$1048576,STUDENTS!$C$3:$C$1048576)),"Enter a registered reg. no")</f>
        <v/>
      </c>
      <c r="E1814">
        <f>IFERROR(IF(C1814="","",_xlfn.XLOOKUP(C1814,STUDENTS!C1813:C101810,STUDENTS!F1813:F101810)),"update STUDENT sheet")</f>
        <v/>
      </c>
      <c r="F1814">
        <f>IFERROR(IF(D1814="","",_xlfn.XLOOKUP(D1814,STUDENTS!D1813:D101810,STUDENTS!G1813:G101810)),"update STUDENT sheet")</f>
        <v/>
      </c>
      <c r="G1814">
        <f>IFERROR(IF(E1814="","",_xlfn.XLOOKUP(E1814,STUDENTS!F1813:F101810,STUDENTS!H1813:H101810)),"update STUDENT sheet")</f>
        <v/>
      </c>
    </row>
    <row r="1815">
      <c r="B1815">
        <f>IF(STUDENTS!B1814="","",STUDENTS!B1814)</f>
        <v/>
      </c>
      <c r="C1815">
        <f>IFERROR(IF(B1815="","",_xlfn.XLOOKUP(B1815,STUDENTS!$B$3:$B$1048576,STUDENTS!$C$3:$C$1048576)),"Enter a registered reg. no")</f>
        <v/>
      </c>
      <c r="E1815">
        <f>IFERROR(IF(C1815="","",_xlfn.XLOOKUP(C1815,STUDENTS!C1814:C101811,STUDENTS!F1814:F101811)),"update STUDENT sheet")</f>
        <v/>
      </c>
      <c r="F1815">
        <f>IFERROR(IF(D1815="","",_xlfn.XLOOKUP(D1815,STUDENTS!D1814:D101811,STUDENTS!G1814:G101811)),"update STUDENT sheet")</f>
        <v/>
      </c>
      <c r="G1815">
        <f>IFERROR(IF(E1815="","",_xlfn.XLOOKUP(E1815,STUDENTS!F1814:F101811,STUDENTS!H1814:H101811)),"update STUDENT sheet")</f>
        <v/>
      </c>
    </row>
    <row r="1816">
      <c r="B1816">
        <f>IF(STUDENTS!B1815="","",STUDENTS!B1815)</f>
        <v/>
      </c>
      <c r="C1816">
        <f>IFERROR(IF(B1816="","",_xlfn.XLOOKUP(B1816,STUDENTS!$B$3:$B$1048576,STUDENTS!$C$3:$C$1048576)),"Enter a registered reg. no")</f>
        <v/>
      </c>
      <c r="E1816">
        <f>IFERROR(IF(C1816="","",_xlfn.XLOOKUP(C1816,STUDENTS!C1815:C101812,STUDENTS!F1815:F101812)),"update STUDENT sheet")</f>
        <v/>
      </c>
      <c r="F1816">
        <f>IFERROR(IF(D1816="","",_xlfn.XLOOKUP(D1816,STUDENTS!D1815:D101812,STUDENTS!G1815:G101812)),"update STUDENT sheet")</f>
        <v/>
      </c>
      <c r="G1816">
        <f>IFERROR(IF(E1816="","",_xlfn.XLOOKUP(E1816,STUDENTS!F1815:F101812,STUDENTS!H1815:H101812)),"update STUDENT sheet")</f>
        <v/>
      </c>
    </row>
    <row r="1817">
      <c r="B1817">
        <f>IF(STUDENTS!B1816="","",STUDENTS!B1816)</f>
        <v/>
      </c>
      <c r="C1817">
        <f>IFERROR(IF(B1817="","",_xlfn.XLOOKUP(B1817,STUDENTS!$B$3:$B$1048576,STUDENTS!$C$3:$C$1048576)),"Enter a registered reg. no")</f>
        <v/>
      </c>
      <c r="E1817">
        <f>IFERROR(IF(C1817="","",_xlfn.XLOOKUP(C1817,STUDENTS!C1816:C101813,STUDENTS!F1816:F101813)),"update STUDENT sheet")</f>
        <v/>
      </c>
      <c r="F1817">
        <f>IFERROR(IF(D1817="","",_xlfn.XLOOKUP(D1817,STUDENTS!D1816:D101813,STUDENTS!G1816:G101813)),"update STUDENT sheet")</f>
        <v/>
      </c>
      <c r="G1817">
        <f>IFERROR(IF(E1817="","",_xlfn.XLOOKUP(E1817,STUDENTS!F1816:F101813,STUDENTS!H1816:H101813)),"update STUDENT sheet")</f>
        <v/>
      </c>
    </row>
    <row r="1818">
      <c r="B1818">
        <f>IF(STUDENTS!B1817="","",STUDENTS!B1817)</f>
        <v/>
      </c>
      <c r="C1818">
        <f>IFERROR(IF(B1818="","",_xlfn.XLOOKUP(B1818,STUDENTS!$B$3:$B$1048576,STUDENTS!$C$3:$C$1048576)),"Enter a registered reg. no")</f>
        <v/>
      </c>
      <c r="E1818">
        <f>IFERROR(IF(C1818="","",_xlfn.XLOOKUP(C1818,STUDENTS!C1817:C101814,STUDENTS!F1817:F101814)),"update STUDENT sheet")</f>
        <v/>
      </c>
      <c r="F1818">
        <f>IFERROR(IF(D1818="","",_xlfn.XLOOKUP(D1818,STUDENTS!D1817:D101814,STUDENTS!G1817:G101814)),"update STUDENT sheet")</f>
        <v/>
      </c>
      <c r="G1818">
        <f>IFERROR(IF(E1818="","",_xlfn.XLOOKUP(E1818,STUDENTS!F1817:F101814,STUDENTS!H1817:H101814)),"update STUDENT sheet")</f>
        <v/>
      </c>
    </row>
    <row r="1819">
      <c r="B1819">
        <f>IF(STUDENTS!B1818="","",STUDENTS!B1818)</f>
        <v/>
      </c>
      <c r="C1819">
        <f>IFERROR(IF(B1819="","",_xlfn.XLOOKUP(B1819,STUDENTS!$B$3:$B$1048576,STUDENTS!$C$3:$C$1048576)),"Enter a registered reg. no")</f>
        <v/>
      </c>
      <c r="E1819">
        <f>IFERROR(IF(C1819="","",_xlfn.XLOOKUP(C1819,STUDENTS!C1818:C101815,STUDENTS!F1818:F101815)),"update STUDENT sheet")</f>
        <v/>
      </c>
      <c r="F1819">
        <f>IFERROR(IF(D1819="","",_xlfn.XLOOKUP(D1819,STUDENTS!D1818:D101815,STUDENTS!G1818:G101815)),"update STUDENT sheet")</f>
        <v/>
      </c>
      <c r="G1819">
        <f>IFERROR(IF(E1819="","",_xlfn.XLOOKUP(E1819,STUDENTS!F1818:F101815,STUDENTS!H1818:H101815)),"update STUDENT sheet")</f>
        <v/>
      </c>
    </row>
    <row r="1820">
      <c r="B1820">
        <f>IF(STUDENTS!B1819="","",STUDENTS!B1819)</f>
        <v/>
      </c>
      <c r="C1820">
        <f>IFERROR(IF(B1820="","",_xlfn.XLOOKUP(B1820,STUDENTS!$B$3:$B$1048576,STUDENTS!$C$3:$C$1048576)),"Enter a registered reg. no")</f>
        <v/>
      </c>
      <c r="E1820">
        <f>IFERROR(IF(C1820="","",_xlfn.XLOOKUP(C1820,STUDENTS!C1819:C101816,STUDENTS!F1819:F101816)),"update STUDENT sheet")</f>
        <v/>
      </c>
      <c r="F1820">
        <f>IFERROR(IF(D1820="","",_xlfn.XLOOKUP(D1820,STUDENTS!D1819:D101816,STUDENTS!G1819:G101816)),"update STUDENT sheet")</f>
        <v/>
      </c>
      <c r="G1820">
        <f>IFERROR(IF(E1820="","",_xlfn.XLOOKUP(E1820,STUDENTS!F1819:F101816,STUDENTS!H1819:H101816)),"update STUDENT sheet")</f>
        <v/>
      </c>
    </row>
    <row r="1821">
      <c r="B1821">
        <f>IF(STUDENTS!B1820="","",STUDENTS!B1820)</f>
        <v/>
      </c>
      <c r="C1821">
        <f>IFERROR(IF(B1821="","",_xlfn.XLOOKUP(B1821,STUDENTS!$B$3:$B$1048576,STUDENTS!$C$3:$C$1048576)),"Enter a registered reg. no")</f>
        <v/>
      </c>
      <c r="E1821">
        <f>IFERROR(IF(C1821="","",_xlfn.XLOOKUP(C1821,STUDENTS!C1820:C101817,STUDENTS!F1820:F101817)),"update STUDENT sheet")</f>
        <v/>
      </c>
      <c r="F1821">
        <f>IFERROR(IF(D1821="","",_xlfn.XLOOKUP(D1821,STUDENTS!D1820:D101817,STUDENTS!G1820:G101817)),"update STUDENT sheet")</f>
        <v/>
      </c>
      <c r="G1821">
        <f>IFERROR(IF(E1821="","",_xlfn.XLOOKUP(E1821,STUDENTS!F1820:F101817,STUDENTS!H1820:H101817)),"update STUDENT sheet")</f>
        <v/>
      </c>
    </row>
    <row r="1822">
      <c r="B1822">
        <f>IF(STUDENTS!B1821="","",STUDENTS!B1821)</f>
        <v/>
      </c>
      <c r="C1822">
        <f>IFERROR(IF(B1822="","",_xlfn.XLOOKUP(B1822,STUDENTS!$B$3:$B$1048576,STUDENTS!$C$3:$C$1048576)),"Enter a registered reg. no")</f>
        <v/>
      </c>
      <c r="E1822">
        <f>IFERROR(IF(C1822="","",_xlfn.XLOOKUP(C1822,STUDENTS!C1821:C101818,STUDENTS!F1821:F101818)),"update STUDENT sheet")</f>
        <v/>
      </c>
      <c r="F1822">
        <f>IFERROR(IF(D1822="","",_xlfn.XLOOKUP(D1822,STUDENTS!D1821:D101818,STUDENTS!G1821:G101818)),"update STUDENT sheet")</f>
        <v/>
      </c>
      <c r="G1822">
        <f>IFERROR(IF(E1822="","",_xlfn.XLOOKUP(E1822,STUDENTS!F1821:F101818,STUDENTS!H1821:H101818)),"update STUDENT sheet")</f>
        <v/>
      </c>
    </row>
    <row r="1823">
      <c r="B1823">
        <f>IF(STUDENTS!B1822="","",STUDENTS!B1822)</f>
        <v/>
      </c>
      <c r="C1823">
        <f>IFERROR(IF(B1823="","",_xlfn.XLOOKUP(B1823,STUDENTS!$B$3:$B$1048576,STUDENTS!$C$3:$C$1048576)),"Enter a registered reg. no")</f>
        <v/>
      </c>
      <c r="E1823">
        <f>IFERROR(IF(C1823="","",_xlfn.XLOOKUP(C1823,STUDENTS!C1822:C101819,STUDENTS!F1822:F101819)),"update STUDENT sheet")</f>
        <v/>
      </c>
      <c r="F1823">
        <f>IFERROR(IF(D1823="","",_xlfn.XLOOKUP(D1823,STUDENTS!D1822:D101819,STUDENTS!G1822:G101819)),"update STUDENT sheet")</f>
        <v/>
      </c>
      <c r="G1823">
        <f>IFERROR(IF(E1823="","",_xlfn.XLOOKUP(E1823,STUDENTS!F1822:F101819,STUDENTS!H1822:H101819)),"update STUDENT sheet")</f>
        <v/>
      </c>
    </row>
    <row r="1824">
      <c r="B1824">
        <f>IF(STUDENTS!B1823="","",STUDENTS!B1823)</f>
        <v/>
      </c>
      <c r="C1824">
        <f>IFERROR(IF(B1824="","",_xlfn.XLOOKUP(B1824,STUDENTS!$B$3:$B$1048576,STUDENTS!$C$3:$C$1048576)),"Enter a registered reg. no")</f>
        <v/>
      </c>
      <c r="E1824">
        <f>IFERROR(IF(C1824="","",_xlfn.XLOOKUP(C1824,STUDENTS!C1823:C101820,STUDENTS!F1823:F101820)),"update STUDENT sheet")</f>
        <v/>
      </c>
      <c r="F1824">
        <f>IFERROR(IF(D1824="","",_xlfn.XLOOKUP(D1824,STUDENTS!D1823:D101820,STUDENTS!G1823:G101820)),"update STUDENT sheet")</f>
        <v/>
      </c>
      <c r="G1824">
        <f>IFERROR(IF(E1824="","",_xlfn.XLOOKUP(E1824,STUDENTS!F1823:F101820,STUDENTS!H1823:H101820)),"update STUDENT sheet")</f>
        <v/>
      </c>
    </row>
    <row r="1825">
      <c r="B1825">
        <f>IF(STUDENTS!B1824="","",STUDENTS!B1824)</f>
        <v/>
      </c>
      <c r="C1825">
        <f>IFERROR(IF(B1825="","",_xlfn.XLOOKUP(B1825,STUDENTS!$B$3:$B$1048576,STUDENTS!$C$3:$C$1048576)),"Enter a registered reg. no")</f>
        <v/>
      </c>
      <c r="E1825">
        <f>IFERROR(IF(C1825="","",_xlfn.XLOOKUP(C1825,STUDENTS!C1824:C101821,STUDENTS!F1824:F101821)),"update STUDENT sheet")</f>
        <v/>
      </c>
      <c r="F1825">
        <f>IFERROR(IF(D1825="","",_xlfn.XLOOKUP(D1825,STUDENTS!D1824:D101821,STUDENTS!G1824:G101821)),"update STUDENT sheet")</f>
        <v/>
      </c>
      <c r="G1825">
        <f>IFERROR(IF(E1825="","",_xlfn.XLOOKUP(E1825,STUDENTS!F1824:F101821,STUDENTS!H1824:H101821)),"update STUDENT sheet")</f>
        <v/>
      </c>
    </row>
    <row r="1826">
      <c r="B1826">
        <f>IF(STUDENTS!B1825="","",STUDENTS!B1825)</f>
        <v/>
      </c>
      <c r="C1826">
        <f>IFERROR(IF(B1826="","",_xlfn.XLOOKUP(B1826,STUDENTS!$B$3:$B$1048576,STUDENTS!$C$3:$C$1048576)),"Enter a registered reg. no")</f>
        <v/>
      </c>
      <c r="E1826">
        <f>IFERROR(IF(C1826="","",_xlfn.XLOOKUP(C1826,STUDENTS!C1825:C101822,STUDENTS!F1825:F101822)),"update STUDENT sheet")</f>
        <v/>
      </c>
      <c r="F1826">
        <f>IFERROR(IF(D1826="","",_xlfn.XLOOKUP(D1826,STUDENTS!D1825:D101822,STUDENTS!G1825:G101822)),"update STUDENT sheet")</f>
        <v/>
      </c>
      <c r="G1826">
        <f>IFERROR(IF(E1826="","",_xlfn.XLOOKUP(E1826,STUDENTS!F1825:F101822,STUDENTS!H1825:H101822)),"update STUDENT sheet")</f>
        <v/>
      </c>
    </row>
    <row r="1827">
      <c r="B1827">
        <f>IF(STUDENTS!B1826="","",STUDENTS!B1826)</f>
        <v/>
      </c>
      <c r="C1827">
        <f>IFERROR(IF(B1827="","",_xlfn.XLOOKUP(B1827,STUDENTS!$B$3:$B$1048576,STUDENTS!$C$3:$C$1048576)),"Enter a registered reg. no")</f>
        <v/>
      </c>
      <c r="E1827">
        <f>IFERROR(IF(C1827="","",_xlfn.XLOOKUP(C1827,STUDENTS!C1826:C101823,STUDENTS!F1826:F101823)),"update STUDENT sheet")</f>
        <v/>
      </c>
      <c r="F1827">
        <f>IFERROR(IF(D1827="","",_xlfn.XLOOKUP(D1827,STUDENTS!D1826:D101823,STUDENTS!G1826:G101823)),"update STUDENT sheet")</f>
        <v/>
      </c>
      <c r="G1827">
        <f>IFERROR(IF(E1827="","",_xlfn.XLOOKUP(E1827,STUDENTS!F1826:F101823,STUDENTS!H1826:H101823)),"update STUDENT sheet")</f>
        <v/>
      </c>
    </row>
    <row r="1828">
      <c r="B1828">
        <f>IF(STUDENTS!B1827="","",STUDENTS!B1827)</f>
        <v/>
      </c>
      <c r="C1828">
        <f>IFERROR(IF(B1828="","",_xlfn.XLOOKUP(B1828,STUDENTS!$B$3:$B$1048576,STUDENTS!$C$3:$C$1048576)),"Enter a registered reg. no")</f>
        <v/>
      </c>
      <c r="E1828">
        <f>IFERROR(IF(C1828="","",_xlfn.XLOOKUP(C1828,STUDENTS!C1827:C101824,STUDENTS!F1827:F101824)),"update STUDENT sheet")</f>
        <v/>
      </c>
      <c r="F1828">
        <f>IFERROR(IF(D1828="","",_xlfn.XLOOKUP(D1828,STUDENTS!D1827:D101824,STUDENTS!G1827:G101824)),"update STUDENT sheet")</f>
        <v/>
      </c>
      <c r="G1828">
        <f>IFERROR(IF(E1828="","",_xlfn.XLOOKUP(E1828,STUDENTS!F1827:F101824,STUDENTS!H1827:H101824)),"update STUDENT sheet")</f>
        <v/>
      </c>
    </row>
    <row r="1829">
      <c r="B1829">
        <f>IF(STUDENTS!B1828="","",STUDENTS!B1828)</f>
        <v/>
      </c>
      <c r="C1829">
        <f>IFERROR(IF(B1829="","",_xlfn.XLOOKUP(B1829,STUDENTS!$B$3:$B$1048576,STUDENTS!$C$3:$C$1048576)),"Enter a registered reg. no")</f>
        <v/>
      </c>
      <c r="E1829">
        <f>IFERROR(IF(C1829="","",_xlfn.XLOOKUP(C1829,STUDENTS!C1828:C101825,STUDENTS!F1828:F101825)),"update STUDENT sheet")</f>
        <v/>
      </c>
      <c r="F1829">
        <f>IFERROR(IF(D1829="","",_xlfn.XLOOKUP(D1829,STUDENTS!D1828:D101825,STUDENTS!G1828:G101825)),"update STUDENT sheet")</f>
        <v/>
      </c>
      <c r="G1829">
        <f>IFERROR(IF(E1829="","",_xlfn.XLOOKUP(E1829,STUDENTS!F1828:F101825,STUDENTS!H1828:H101825)),"update STUDENT sheet")</f>
        <v/>
      </c>
    </row>
    <row r="1830">
      <c r="B1830">
        <f>IF(STUDENTS!B1829="","",STUDENTS!B1829)</f>
        <v/>
      </c>
      <c r="C1830">
        <f>IFERROR(IF(B1830="","",_xlfn.XLOOKUP(B1830,STUDENTS!$B$3:$B$1048576,STUDENTS!$C$3:$C$1048576)),"Enter a registered reg. no")</f>
        <v/>
      </c>
      <c r="E1830">
        <f>IFERROR(IF(C1830="","",_xlfn.XLOOKUP(C1830,STUDENTS!C1829:C101826,STUDENTS!F1829:F101826)),"update STUDENT sheet")</f>
        <v/>
      </c>
      <c r="F1830">
        <f>IFERROR(IF(D1830="","",_xlfn.XLOOKUP(D1830,STUDENTS!D1829:D101826,STUDENTS!G1829:G101826)),"update STUDENT sheet")</f>
        <v/>
      </c>
      <c r="G1830">
        <f>IFERROR(IF(E1830="","",_xlfn.XLOOKUP(E1830,STUDENTS!F1829:F101826,STUDENTS!H1829:H101826)),"update STUDENT sheet")</f>
        <v/>
      </c>
    </row>
    <row r="1831">
      <c r="B1831">
        <f>IF(STUDENTS!B1830="","",STUDENTS!B1830)</f>
        <v/>
      </c>
      <c r="C1831">
        <f>IFERROR(IF(B1831="","",_xlfn.XLOOKUP(B1831,STUDENTS!$B$3:$B$1048576,STUDENTS!$C$3:$C$1048576)),"Enter a registered reg. no")</f>
        <v/>
      </c>
      <c r="E1831">
        <f>IFERROR(IF(C1831="","",_xlfn.XLOOKUP(C1831,STUDENTS!C1830:C101827,STUDENTS!F1830:F101827)),"update STUDENT sheet")</f>
        <v/>
      </c>
      <c r="F1831">
        <f>IFERROR(IF(D1831="","",_xlfn.XLOOKUP(D1831,STUDENTS!D1830:D101827,STUDENTS!G1830:G101827)),"update STUDENT sheet")</f>
        <v/>
      </c>
      <c r="G1831">
        <f>IFERROR(IF(E1831="","",_xlfn.XLOOKUP(E1831,STUDENTS!F1830:F101827,STUDENTS!H1830:H101827)),"update STUDENT sheet")</f>
        <v/>
      </c>
    </row>
    <row r="1832">
      <c r="B1832">
        <f>IF(STUDENTS!B1831="","",STUDENTS!B1831)</f>
        <v/>
      </c>
      <c r="C1832">
        <f>IFERROR(IF(B1832="","",_xlfn.XLOOKUP(B1832,STUDENTS!$B$3:$B$1048576,STUDENTS!$C$3:$C$1048576)),"Enter a registered reg. no")</f>
        <v/>
      </c>
      <c r="E1832">
        <f>IFERROR(IF(C1832="","",_xlfn.XLOOKUP(C1832,STUDENTS!C1831:C101828,STUDENTS!F1831:F101828)),"update STUDENT sheet")</f>
        <v/>
      </c>
      <c r="F1832">
        <f>IFERROR(IF(D1832="","",_xlfn.XLOOKUP(D1832,STUDENTS!D1831:D101828,STUDENTS!G1831:G101828)),"update STUDENT sheet")</f>
        <v/>
      </c>
      <c r="G1832">
        <f>IFERROR(IF(E1832="","",_xlfn.XLOOKUP(E1832,STUDENTS!F1831:F101828,STUDENTS!H1831:H101828)),"update STUDENT sheet")</f>
        <v/>
      </c>
    </row>
    <row r="1833">
      <c r="B1833">
        <f>IF(STUDENTS!B1832="","",STUDENTS!B1832)</f>
        <v/>
      </c>
      <c r="C1833">
        <f>IFERROR(IF(B1833="","",_xlfn.XLOOKUP(B1833,STUDENTS!$B$3:$B$1048576,STUDENTS!$C$3:$C$1048576)),"Enter a registered reg. no")</f>
        <v/>
      </c>
      <c r="E1833">
        <f>IFERROR(IF(C1833="","",_xlfn.XLOOKUP(C1833,STUDENTS!C1832:C101829,STUDENTS!F1832:F101829)),"update STUDENT sheet")</f>
        <v/>
      </c>
      <c r="F1833">
        <f>IFERROR(IF(D1833="","",_xlfn.XLOOKUP(D1833,STUDENTS!D1832:D101829,STUDENTS!G1832:G101829)),"update STUDENT sheet")</f>
        <v/>
      </c>
      <c r="G1833">
        <f>IFERROR(IF(E1833="","",_xlfn.XLOOKUP(E1833,STUDENTS!F1832:F101829,STUDENTS!H1832:H101829)),"update STUDENT sheet")</f>
        <v/>
      </c>
    </row>
    <row r="1834">
      <c r="B1834">
        <f>IF(STUDENTS!B1833="","",STUDENTS!B1833)</f>
        <v/>
      </c>
      <c r="C1834">
        <f>IFERROR(IF(B1834="","",_xlfn.XLOOKUP(B1834,STUDENTS!$B$3:$B$1048576,STUDENTS!$C$3:$C$1048576)),"Enter a registered reg. no")</f>
        <v/>
      </c>
      <c r="E1834">
        <f>IFERROR(IF(C1834="","",_xlfn.XLOOKUP(C1834,STUDENTS!C1833:C101830,STUDENTS!F1833:F101830)),"update STUDENT sheet")</f>
        <v/>
      </c>
      <c r="F1834">
        <f>IFERROR(IF(D1834="","",_xlfn.XLOOKUP(D1834,STUDENTS!D1833:D101830,STUDENTS!G1833:G101830)),"update STUDENT sheet")</f>
        <v/>
      </c>
      <c r="G1834">
        <f>IFERROR(IF(E1834="","",_xlfn.XLOOKUP(E1834,STUDENTS!F1833:F101830,STUDENTS!H1833:H101830)),"update STUDENT sheet")</f>
        <v/>
      </c>
    </row>
    <row r="1835">
      <c r="B1835">
        <f>IF(STUDENTS!B1834="","",STUDENTS!B1834)</f>
        <v/>
      </c>
      <c r="C1835">
        <f>IFERROR(IF(B1835="","",_xlfn.XLOOKUP(B1835,STUDENTS!$B$3:$B$1048576,STUDENTS!$C$3:$C$1048576)),"Enter a registered reg. no")</f>
        <v/>
      </c>
      <c r="E1835">
        <f>IFERROR(IF(C1835="","",_xlfn.XLOOKUP(C1835,STUDENTS!C1834:C101831,STUDENTS!F1834:F101831)),"update STUDENT sheet")</f>
        <v/>
      </c>
      <c r="F1835">
        <f>IFERROR(IF(D1835="","",_xlfn.XLOOKUP(D1835,STUDENTS!D1834:D101831,STUDENTS!G1834:G101831)),"update STUDENT sheet")</f>
        <v/>
      </c>
      <c r="G1835">
        <f>IFERROR(IF(E1835="","",_xlfn.XLOOKUP(E1835,STUDENTS!F1834:F101831,STUDENTS!H1834:H101831)),"update STUDENT sheet")</f>
        <v/>
      </c>
    </row>
    <row r="1836">
      <c r="B1836">
        <f>IF(STUDENTS!B1835="","",STUDENTS!B1835)</f>
        <v/>
      </c>
      <c r="C1836">
        <f>IFERROR(IF(B1836="","",_xlfn.XLOOKUP(B1836,STUDENTS!$B$3:$B$1048576,STUDENTS!$C$3:$C$1048576)),"Enter a registered reg. no")</f>
        <v/>
      </c>
      <c r="E1836">
        <f>IFERROR(IF(C1836="","",_xlfn.XLOOKUP(C1836,STUDENTS!C1835:C101832,STUDENTS!F1835:F101832)),"update STUDENT sheet")</f>
        <v/>
      </c>
      <c r="F1836">
        <f>IFERROR(IF(D1836="","",_xlfn.XLOOKUP(D1836,STUDENTS!D1835:D101832,STUDENTS!G1835:G101832)),"update STUDENT sheet")</f>
        <v/>
      </c>
      <c r="G1836">
        <f>IFERROR(IF(E1836="","",_xlfn.XLOOKUP(E1836,STUDENTS!F1835:F101832,STUDENTS!H1835:H101832)),"update STUDENT sheet")</f>
        <v/>
      </c>
    </row>
    <row r="1837">
      <c r="B1837">
        <f>IF(STUDENTS!B1836="","",STUDENTS!B1836)</f>
        <v/>
      </c>
      <c r="C1837">
        <f>IFERROR(IF(B1837="","",_xlfn.XLOOKUP(B1837,STUDENTS!$B$3:$B$1048576,STUDENTS!$C$3:$C$1048576)),"Enter a registered reg. no")</f>
        <v/>
      </c>
      <c r="E1837">
        <f>IFERROR(IF(C1837="","",_xlfn.XLOOKUP(C1837,STUDENTS!C1836:C101833,STUDENTS!F1836:F101833)),"update STUDENT sheet")</f>
        <v/>
      </c>
      <c r="F1837">
        <f>IFERROR(IF(D1837="","",_xlfn.XLOOKUP(D1837,STUDENTS!D1836:D101833,STUDENTS!G1836:G101833)),"update STUDENT sheet")</f>
        <v/>
      </c>
      <c r="G1837">
        <f>IFERROR(IF(E1837="","",_xlfn.XLOOKUP(E1837,STUDENTS!F1836:F101833,STUDENTS!H1836:H101833)),"update STUDENT sheet")</f>
        <v/>
      </c>
    </row>
    <row r="1838">
      <c r="B1838">
        <f>IF(STUDENTS!B1837="","",STUDENTS!B1837)</f>
        <v/>
      </c>
      <c r="C1838">
        <f>IFERROR(IF(B1838="","",_xlfn.XLOOKUP(B1838,STUDENTS!$B$3:$B$1048576,STUDENTS!$C$3:$C$1048576)),"Enter a registered reg. no")</f>
        <v/>
      </c>
      <c r="E1838">
        <f>IFERROR(IF(C1838="","",_xlfn.XLOOKUP(C1838,STUDENTS!C1837:C101834,STUDENTS!F1837:F101834)),"update STUDENT sheet")</f>
        <v/>
      </c>
      <c r="F1838">
        <f>IFERROR(IF(D1838="","",_xlfn.XLOOKUP(D1838,STUDENTS!D1837:D101834,STUDENTS!G1837:G101834)),"update STUDENT sheet")</f>
        <v/>
      </c>
      <c r="G1838">
        <f>IFERROR(IF(E1838="","",_xlfn.XLOOKUP(E1838,STUDENTS!F1837:F101834,STUDENTS!H1837:H101834)),"update STUDENT sheet")</f>
        <v/>
      </c>
    </row>
    <row r="1839">
      <c r="B1839">
        <f>IF(STUDENTS!B1838="","",STUDENTS!B1838)</f>
        <v/>
      </c>
      <c r="C1839">
        <f>IFERROR(IF(B1839="","",_xlfn.XLOOKUP(B1839,STUDENTS!$B$3:$B$1048576,STUDENTS!$C$3:$C$1048576)),"Enter a registered reg. no")</f>
        <v/>
      </c>
      <c r="E1839">
        <f>IFERROR(IF(C1839="","",_xlfn.XLOOKUP(C1839,STUDENTS!C1838:C101835,STUDENTS!F1838:F101835)),"update STUDENT sheet")</f>
        <v/>
      </c>
      <c r="F1839">
        <f>IFERROR(IF(D1839="","",_xlfn.XLOOKUP(D1839,STUDENTS!D1838:D101835,STUDENTS!G1838:G101835)),"update STUDENT sheet")</f>
        <v/>
      </c>
      <c r="G1839">
        <f>IFERROR(IF(E1839="","",_xlfn.XLOOKUP(E1839,STUDENTS!F1838:F101835,STUDENTS!H1838:H101835)),"update STUDENT sheet")</f>
        <v/>
      </c>
    </row>
    <row r="1840">
      <c r="B1840">
        <f>IF(STUDENTS!B1839="","",STUDENTS!B1839)</f>
        <v/>
      </c>
      <c r="C1840">
        <f>IFERROR(IF(B1840="","",_xlfn.XLOOKUP(B1840,STUDENTS!$B$3:$B$1048576,STUDENTS!$C$3:$C$1048576)),"Enter a registered reg. no")</f>
        <v/>
      </c>
      <c r="E1840">
        <f>IFERROR(IF(C1840="","",_xlfn.XLOOKUP(C1840,STUDENTS!C1839:C101836,STUDENTS!F1839:F101836)),"update STUDENT sheet")</f>
        <v/>
      </c>
      <c r="F1840">
        <f>IFERROR(IF(D1840="","",_xlfn.XLOOKUP(D1840,STUDENTS!D1839:D101836,STUDENTS!G1839:G101836)),"update STUDENT sheet")</f>
        <v/>
      </c>
      <c r="G1840">
        <f>IFERROR(IF(E1840="","",_xlfn.XLOOKUP(E1840,STUDENTS!F1839:F101836,STUDENTS!H1839:H101836)),"update STUDENT sheet")</f>
        <v/>
      </c>
    </row>
    <row r="1841">
      <c r="B1841">
        <f>IF(STUDENTS!B1840="","",STUDENTS!B1840)</f>
        <v/>
      </c>
      <c r="C1841">
        <f>IFERROR(IF(B1841="","",_xlfn.XLOOKUP(B1841,STUDENTS!$B$3:$B$1048576,STUDENTS!$C$3:$C$1048576)),"Enter a registered reg. no")</f>
        <v/>
      </c>
      <c r="E1841">
        <f>IFERROR(IF(C1841="","",_xlfn.XLOOKUP(C1841,STUDENTS!C1840:C101837,STUDENTS!F1840:F101837)),"update STUDENT sheet")</f>
        <v/>
      </c>
      <c r="F1841">
        <f>IFERROR(IF(D1841="","",_xlfn.XLOOKUP(D1841,STUDENTS!D1840:D101837,STUDENTS!G1840:G101837)),"update STUDENT sheet")</f>
        <v/>
      </c>
      <c r="G1841">
        <f>IFERROR(IF(E1841="","",_xlfn.XLOOKUP(E1841,STUDENTS!F1840:F101837,STUDENTS!H1840:H101837)),"update STUDENT sheet")</f>
        <v/>
      </c>
    </row>
    <row r="1842">
      <c r="B1842">
        <f>IF(STUDENTS!B1841="","",STUDENTS!B1841)</f>
        <v/>
      </c>
      <c r="C1842">
        <f>IFERROR(IF(B1842="","",_xlfn.XLOOKUP(B1842,STUDENTS!$B$3:$B$1048576,STUDENTS!$C$3:$C$1048576)),"Enter a registered reg. no")</f>
        <v/>
      </c>
      <c r="E1842">
        <f>IFERROR(IF(C1842="","",_xlfn.XLOOKUP(C1842,STUDENTS!C1841:C101838,STUDENTS!F1841:F101838)),"update STUDENT sheet")</f>
        <v/>
      </c>
      <c r="F1842">
        <f>IFERROR(IF(D1842="","",_xlfn.XLOOKUP(D1842,STUDENTS!D1841:D101838,STUDENTS!G1841:G101838)),"update STUDENT sheet")</f>
        <v/>
      </c>
      <c r="G1842">
        <f>IFERROR(IF(E1842="","",_xlfn.XLOOKUP(E1842,STUDENTS!F1841:F101838,STUDENTS!H1841:H101838)),"update STUDENT sheet")</f>
        <v/>
      </c>
    </row>
    <row r="1843">
      <c r="B1843">
        <f>IF(STUDENTS!B1842="","",STUDENTS!B1842)</f>
        <v/>
      </c>
      <c r="C1843">
        <f>IFERROR(IF(B1843="","",_xlfn.XLOOKUP(B1843,STUDENTS!$B$3:$B$1048576,STUDENTS!$C$3:$C$1048576)),"Enter a registered reg. no")</f>
        <v/>
      </c>
      <c r="E1843">
        <f>IFERROR(IF(C1843="","",_xlfn.XLOOKUP(C1843,STUDENTS!C1842:C101839,STUDENTS!F1842:F101839)),"update STUDENT sheet")</f>
        <v/>
      </c>
      <c r="F1843">
        <f>IFERROR(IF(D1843="","",_xlfn.XLOOKUP(D1843,STUDENTS!D1842:D101839,STUDENTS!G1842:G101839)),"update STUDENT sheet")</f>
        <v/>
      </c>
      <c r="G1843">
        <f>IFERROR(IF(E1843="","",_xlfn.XLOOKUP(E1843,STUDENTS!F1842:F101839,STUDENTS!H1842:H101839)),"update STUDENT sheet")</f>
        <v/>
      </c>
    </row>
    <row r="1844">
      <c r="B1844">
        <f>IF(STUDENTS!B1843="","",STUDENTS!B1843)</f>
        <v/>
      </c>
      <c r="C1844">
        <f>IFERROR(IF(B1844="","",_xlfn.XLOOKUP(B1844,STUDENTS!$B$3:$B$1048576,STUDENTS!$C$3:$C$1048576)),"Enter a registered reg. no")</f>
        <v/>
      </c>
      <c r="E1844">
        <f>IFERROR(IF(C1844="","",_xlfn.XLOOKUP(C1844,STUDENTS!C1843:C101840,STUDENTS!F1843:F101840)),"update STUDENT sheet")</f>
        <v/>
      </c>
      <c r="F1844">
        <f>IFERROR(IF(D1844="","",_xlfn.XLOOKUP(D1844,STUDENTS!D1843:D101840,STUDENTS!G1843:G101840)),"update STUDENT sheet")</f>
        <v/>
      </c>
      <c r="G1844">
        <f>IFERROR(IF(E1844="","",_xlfn.XLOOKUP(E1844,STUDENTS!F1843:F101840,STUDENTS!H1843:H101840)),"update STUDENT sheet")</f>
        <v/>
      </c>
    </row>
    <row r="1845">
      <c r="B1845">
        <f>IF(STUDENTS!B1844="","",STUDENTS!B1844)</f>
        <v/>
      </c>
      <c r="C1845">
        <f>IFERROR(IF(B1845="","",_xlfn.XLOOKUP(B1845,STUDENTS!$B$3:$B$1048576,STUDENTS!$C$3:$C$1048576)),"Enter a registered reg. no")</f>
        <v/>
      </c>
      <c r="E1845">
        <f>IFERROR(IF(C1845="","",_xlfn.XLOOKUP(C1845,STUDENTS!C1844:C101841,STUDENTS!F1844:F101841)),"update STUDENT sheet")</f>
        <v/>
      </c>
      <c r="F1845">
        <f>IFERROR(IF(D1845="","",_xlfn.XLOOKUP(D1845,STUDENTS!D1844:D101841,STUDENTS!G1844:G101841)),"update STUDENT sheet")</f>
        <v/>
      </c>
      <c r="G1845">
        <f>IFERROR(IF(E1845="","",_xlfn.XLOOKUP(E1845,STUDENTS!F1844:F101841,STUDENTS!H1844:H101841)),"update STUDENT sheet")</f>
        <v/>
      </c>
    </row>
    <row r="1846">
      <c r="B1846">
        <f>IF(STUDENTS!B1845="","",STUDENTS!B1845)</f>
        <v/>
      </c>
      <c r="C1846">
        <f>IFERROR(IF(B1846="","",_xlfn.XLOOKUP(B1846,STUDENTS!$B$3:$B$1048576,STUDENTS!$C$3:$C$1048576)),"Enter a registered reg. no")</f>
        <v/>
      </c>
      <c r="E1846">
        <f>IFERROR(IF(C1846="","",_xlfn.XLOOKUP(C1846,STUDENTS!C1845:C101842,STUDENTS!F1845:F101842)),"update STUDENT sheet")</f>
        <v/>
      </c>
      <c r="F1846">
        <f>IFERROR(IF(D1846="","",_xlfn.XLOOKUP(D1846,STUDENTS!D1845:D101842,STUDENTS!G1845:G101842)),"update STUDENT sheet")</f>
        <v/>
      </c>
      <c r="G1846">
        <f>IFERROR(IF(E1846="","",_xlfn.XLOOKUP(E1846,STUDENTS!F1845:F101842,STUDENTS!H1845:H101842)),"update STUDENT sheet")</f>
        <v/>
      </c>
    </row>
    <row r="1847">
      <c r="B1847">
        <f>IF(STUDENTS!B1846="","",STUDENTS!B1846)</f>
        <v/>
      </c>
      <c r="C1847">
        <f>IFERROR(IF(B1847="","",_xlfn.XLOOKUP(B1847,STUDENTS!$B$3:$B$1048576,STUDENTS!$C$3:$C$1048576)),"Enter a registered reg. no")</f>
        <v/>
      </c>
      <c r="E1847">
        <f>IFERROR(IF(C1847="","",_xlfn.XLOOKUP(C1847,STUDENTS!C1846:C101843,STUDENTS!F1846:F101843)),"update STUDENT sheet")</f>
        <v/>
      </c>
      <c r="F1847">
        <f>IFERROR(IF(D1847="","",_xlfn.XLOOKUP(D1847,STUDENTS!D1846:D101843,STUDENTS!G1846:G101843)),"update STUDENT sheet")</f>
        <v/>
      </c>
      <c r="G1847">
        <f>IFERROR(IF(E1847="","",_xlfn.XLOOKUP(E1847,STUDENTS!F1846:F101843,STUDENTS!H1846:H101843)),"update STUDENT sheet")</f>
        <v/>
      </c>
    </row>
    <row r="1848">
      <c r="B1848">
        <f>IF(STUDENTS!B1847="","",STUDENTS!B1847)</f>
        <v/>
      </c>
      <c r="C1848">
        <f>IFERROR(IF(B1848="","",_xlfn.XLOOKUP(B1848,STUDENTS!$B$3:$B$1048576,STUDENTS!$C$3:$C$1048576)),"Enter a registered reg. no")</f>
        <v/>
      </c>
      <c r="E1848">
        <f>IFERROR(IF(C1848="","",_xlfn.XLOOKUP(C1848,STUDENTS!C1847:C101844,STUDENTS!F1847:F101844)),"update STUDENT sheet")</f>
        <v/>
      </c>
      <c r="F1848">
        <f>IFERROR(IF(D1848="","",_xlfn.XLOOKUP(D1848,STUDENTS!D1847:D101844,STUDENTS!G1847:G101844)),"update STUDENT sheet")</f>
        <v/>
      </c>
      <c r="G1848">
        <f>IFERROR(IF(E1848="","",_xlfn.XLOOKUP(E1848,STUDENTS!F1847:F101844,STUDENTS!H1847:H101844)),"update STUDENT sheet")</f>
        <v/>
      </c>
    </row>
    <row r="1849">
      <c r="B1849">
        <f>IF(STUDENTS!B1848="","",STUDENTS!B1848)</f>
        <v/>
      </c>
      <c r="C1849">
        <f>IFERROR(IF(B1849="","",_xlfn.XLOOKUP(B1849,STUDENTS!$B$3:$B$1048576,STUDENTS!$C$3:$C$1048576)),"Enter a registered reg. no")</f>
        <v/>
      </c>
      <c r="E1849">
        <f>IFERROR(IF(C1849="","",_xlfn.XLOOKUP(C1849,STUDENTS!C1848:C101845,STUDENTS!F1848:F101845)),"update STUDENT sheet")</f>
        <v/>
      </c>
      <c r="F1849">
        <f>IFERROR(IF(D1849="","",_xlfn.XLOOKUP(D1849,STUDENTS!D1848:D101845,STUDENTS!G1848:G101845)),"update STUDENT sheet")</f>
        <v/>
      </c>
      <c r="G1849">
        <f>IFERROR(IF(E1849="","",_xlfn.XLOOKUP(E1849,STUDENTS!F1848:F101845,STUDENTS!H1848:H101845)),"update STUDENT sheet")</f>
        <v/>
      </c>
    </row>
    <row r="1850">
      <c r="B1850">
        <f>IF(STUDENTS!B1849="","",STUDENTS!B1849)</f>
        <v/>
      </c>
      <c r="C1850">
        <f>IFERROR(IF(B1850="","",_xlfn.XLOOKUP(B1850,STUDENTS!$B$3:$B$1048576,STUDENTS!$C$3:$C$1048576)),"Enter a registered reg. no")</f>
        <v/>
      </c>
      <c r="E1850">
        <f>IFERROR(IF(C1850="","",_xlfn.XLOOKUP(C1850,STUDENTS!C1849:C101846,STUDENTS!F1849:F101846)),"update STUDENT sheet")</f>
        <v/>
      </c>
      <c r="F1850">
        <f>IFERROR(IF(D1850="","",_xlfn.XLOOKUP(D1850,STUDENTS!D1849:D101846,STUDENTS!G1849:G101846)),"update STUDENT sheet")</f>
        <v/>
      </c>
      <c r="G1850">
        <f>IFERROR(IF(E1850="","",_xlfn.XLOOKUP(E1850,STUDENTS!F1849:F101846,STUDENTS!H1849:H101846)),"update STUDENT sheet")</f>
        <v/>
      </c>
    </row>
    <row r="1851">
      <c r="B1851">
        <f>IF(STUDENTS!B1850="","",STUDENTS!B1850)</f>
        <v/>
      </c>
      <c r="C1851">
        <f>IFERROR(IF(B1851="","",_xlfn.XLOOKUP(B1851,STUDENTS!$B$3:$B$1048576,STUDENTS!$C$3:$C$1048576)),"Enter a registered reg. no")</f>
        <v/>
      </c>
      <c r="E1851">
        <f>IFERROR(IF(C1851="","",_xlfn.XLOOKUP(C1851,STUDENTS!C1850:C101847,STUDENTS!F1850:F101847)),"update STUDENT sheet")</f>
        <v/>
      </c>
      <c r="F1851">
        <f>IFERROR(IF(D1851="","",_xlfn.XLOOKUP(D1851,STUDENTS!D1850:D101847,STUDENTS!G1850:G101847)),"update STUDENT sheet")</f>
        <v/>
      </c>
      <c r="G1851">
        <f>IFERROR(IF(E1851="","",_xlfn.XLOOKUP(E1851,STUDENTS!F1850:F101847,STUDENTS!H1850:H101847)),"update STUDENT sheet")</f>
        <v/>
      </c>
    </row>
    <row r="1852">
      <c r="B1852">
        <f>IF(STUDENTS!B1851="","",STUDENTS!B1851)</f>
        <v/>
      </c>
      <c r="C1852">
        <f>IFERROR(IF(B1852="","",_xlfn.XLOOKUP(B1852,STUDENTS!$B$3:$B$1048576,STUDENTS!$C$3:$C$1048576)),"Enter a registered reg. no")</f>
        <v/>
      </c>
      <c r="E1852">
        <f>IFERROR(IF(C1852="","",_xlfn.XLOOKUP(C1852,STUDENTS!C1851:C101848,STUDENTS!F1851:F101848)),"update STUDENT sheet")</f>
        <v/>
      </c>
      <c r="F1852">
        <f>IFERROR(IF(D1852="","",_xlfn.XLOOKUP(D1852,STUDENTS!D1851:D101848,STUDENTS!G1851:G101848)),"update STUDENT sheet")</f>
        <v/>
      </c>
      <c r="G1852">
        <f>IFERROR(IF(E1852="","",_xlfn.XLOOKUP(E1852,STUDENTS!F1851:F101848,STUDENTS!H1851:H101848)),"update STUDENT sheet")</f>
        <v/>
      </c>
    </row>
    <row r="1853">
      <c r="B1853">
        <f>IF(STUDENTS!B1852="","",STUDENTS!B1852)</f>
        <v/>
      </c>
      <c r="C1853">
        <f>IFERROR(IF(B1853="","",_xlfn.XLOOKUP(B1853,STUDENTS!$B$3:$B$1048576,STUDENTS!$C$3:$C$1048576)),"Enter a registered reg. no")</f>
        <v/>
      </c>
      <c r="E1853">
        <f>IFERROR(IF(C1853="","",_xlfn.XLOOKUP(C1853,STUDENTS!C1852:C101849,STUDENTS!F1852:F101849)),"update STUDENT sheet")</f>
        <v/>
      </c>
      <c r="F1853">
        <f>IFERROR(IF(D1853="","",_xlfn.XLOOKUP(D1853,STUDENTS!D1852:D101849,STUDENTS!G1852:G101849)),"update STUDENT sheet")</f>
        <v/>
      </c>
      <c r="G1853">
        <f>IFERROR(IF(E1853="","",_xlfn.XLOOKUP(E1853,STUDENTS!F1852:F101849,STUDENTS!H1852:H101849)),"update STUDENT sheet")</f>
        <v/>
      </c>
    </row>
    <row r="1854">
      <c r="B1854">
        <f>IF(STUDENTS!B1853="","",STUDENTS!B1853)</f>
        <v/>
      </c>
      <c r="C1854">
        <f>IFERROR(IF(B1854="","",_xlfn.XLOOKUP(B1854,STUDENTS!$B$3:$B$1048576,STUDENTS!$C$3:$C$1048576)),"Enter a registered reg. no")</f>
        <v/>
      </c>
      <c r="E1854">
        <f>IFERROR(IF(C1854="","",_xlfn.XLOOKUP(C1854,STUDENTS!C1853:C101850,STUDENTS!F1853:F101850)),"update STUDENT sheet")</f>
        <v/>
      </c>
      <c r="F1854">
        <f>IFERROR(IF(D1854="","",_xlfn.XLOOKUP(D1854,STUDENTS!D1853:D101850,STUDENTS!G1853:G101850)),"update STUDENT sheet")</f>
        <v/>
      </c>
      <c r="G1854">
        <f>IFERROR(IF(E1854="","",_xlfn.XLOOKUP(E1854,STUDENTS!F1853:F101850,STUDENTS!H1853:H101850)),"update STUDENT sheet")</f>
        <v/>
      </c>
    </row>
    <row r="1855">
      <c r="B1855">
        <f>IF(STUDENTS!B1854="","",STUDENTS!B1854)</f>
        <v/>
      </c>
      <c r="C1855">
        <f>IFERROR(IF(B1855="","",_xlfn.XLOOKUP(B1855,STUDENTS!$B$3:$B$1048576,STUDENTS!$C$3:$C$1048576)),"Enter a registered reg. no")</f>
        <v/>
      </c>
      <c r="E1855">
        <f>IFERROR(IF(C1855="","",_xlfn.XLOOKUP(C1855,STUDENTS!C1854:C101851,STUDENTS!F1854:F101851)),"update STUDENT sheet")</f>
        <v/>
      </c>
      <c r="F1855">
        <f>IFERROR(IF(D1855="","",_xlfn.XLOOKUP(D1855,STUDENTS!D1854:D101851,STUDENTS!G1854:G101851)),"update STUDENT sheet")</f>
        <v/>
      </c>
      <c r="G1855">
        <f>IFERROR(IF(E1855="","",_xlfn.XLOOKUP(E1855,STUDENTS!F1854:F101851,STUDENTS!H1854:H101851)),"update STUDENT sheet")</f>
        <v/>
      </c>
    </row>
    <row r="1856">
      <c r="B1856">
        <f>IF(STUDENTS!B1855="","",STUDENTS!B1855)</f>
        <v/>
      </c>
      <c r="C1856">
        <f>IFERROR(IF(B1856="","",_xlfn.XLOOKUP(B1856,STUDENTS!$B$3:$B$1048576,STUDENTS!$C$3:$C$1048576)),"Enter a registered reg. no")</f>
        <v/>
      </c>
      <c r="E1856">
        <f>IFERROR(IF(C1856="","",_xlfn.XLOOKUP(C1856,STUDENTS!C1855:C101852,STUDENTS!F1855:F101852)),"update STUDENT sheet")</f>
        <v/>
      </c>
      <c r="F1856">
        <f>IFERROR(IF(D1856="","",_xlfn.XLOOKUP(D1856,STUDENTS!D1855:D101852,STUDENTS!G1855:G101852)),"update STUDENT sheet")</f>
        <v/>
      </c>
      <c r="G1856">
        <f>IFERROR(IF(E1856="","",_xlfn.XLOOKUP(E1856,STUDENTS!F1855:F101852,STUDENTS!H1855:H101852)),"update STUDENT sheet")</f>
        <v/>
      </c>
    </row>
    <row r="1857">
      <c r="B1857">
        <f>IF(STUDENTS!B1856="","",STUDENTS!B1856)</f>
        <v/>
      </c>
      <c r="C1857">
        <f>IFERROR(IF(B1857="","",_xlfn.XLOOKUP(B1857,STUDENTS!$B$3:$B$1048576,STUDENTS!$C$3:$C$1048576)),"Enter a registered reg. no")</f>
        <v/>
      </c>
      <c r="E1857">
        <f>IFERROR(IF(C1857="","",_xlfn.XLOOKUP(C1857,STUDENTS!C1856:C101853,STUDENTS!F1856:F101853)),"update STUDENT sheet")</f>
        <v/>
      </c>
      <c r="F1857">
        <f>IFERROR(IF(D1857="","",_xlfn.XLOOKUP(D1857,STUDENTS!D1856:D101853,STUDENTS!G1856:G101853)),"update STUDENT sheet")</f>
        <v/>
      </c>
      <c r="G1857">
        <f>IFERROR(IF(E1857="","",_xlfn.XLOOKUP(E1857,STUDENTS!F1856:F101853,STUDENTS!H1856:H101853)),"update STUDENT sheet")</f>
        <v/>
      </c>
    </row>
    <row r="1858">
      <c r="B1858">
        <f>IF(STUDENTS!B1857="","",STUDENTS!B1857)</f>
        <v/>
      </c>
      <c r="C1858">
        <f>IFERROR(IF(B1858="","",_xlfn.XLOOKUP(B1858,STUDENTS!$B$3:$B$1048576,STUDENTS!$C$3:$C$1048576)),"Enter a registered reg. no")</f>
        <v/>
      </c>
      <c r="E1858">
        <f>IFERROR(IF(C1858="","",_xlfn.XLOOKUP(C1858,STUDENTS!C1857:C101854,STUDENTS!F1857:F101854)),"update STUDENT sheet")</f>
        <v/>
      </c>
      <c r="F1858">
        <f>IFERROR(IF(D1858="","",_xlfn.XLOOKUP(D1858,STUDENTS!D1857:D101854,STUDENTS!G1857:G101854)),"update STUDENT sheet")</f>
        <v/>
      </c>
      <c r="G1858">
        <f>IFERROR(IF(E1858="","",_xlfn.XLOOKUP(E1858,STUDENTS!F1857:F101854,STUDENTS!H1857:H101854)),"update STUDENT sheet")</f>
        <v/>
      </c>
    </row>
    <row r="1859">
      <c r="B1859">
        <f>IF(STUDENTS!B1858="","",STUDENTS!B1858)</f>
        <v/>
      </c>
      <c r="C1859">
        <f>IFERROR(IF(B1859="","",_xlfn.XLOOKUP(B1859,STUDENTS!$B$3:$B$1048576,STUDENTS!$C$3:$C$1048576)),"Enter a registered reg. no")</f>
        <v/>
      </c>
      <c r="E1859">
        <f>IFERROR(IF(C1859="","",_xlfn.XLOOKUP(C1859,STUDENTS!C1858:C101855,STUDENTS!F1858:F101855)),"update STUDENT sheet")</f>
        <v/>
      </c>
      <c r="F1859">
        <f>IFERROR(IF(D1859="","",_xlfn.XLOOKUP(D1859,STUDENTS!D1858:D101855,STUDENTS!G1858:G101855)),"update STUDENT sheet")</f>
        <v/>
      </c>
      <c r="G1859">
        <f>IFERROR(IF(E1859="","",_xlfn.XLOOKUP(E1859,STUDENTS!F1858:F101855,STUDENTS!H1858:H101855)),"update STUDENT sheet")</f>
        <v/>
      </c>
    </row>
    <row r="1860">
      <c r="B1860">
        <f>IF(STUDENTS!B1859="","",STUDENTS!B1859)</f>
        <v/>
      </c>
      <c r="C1860">
        <f>IFERROR(IF(B1860="","",_xlfn.XLOOKUP(B1860,STUDENTS!$B$3:$B$1048576,STUDENTS!$C$3:$C$1048576)),"Enter a registered reg. no")</f>
        <v/>
      </c>
      <c r="E1860">
        <f>IFERROR(IF(C1860="","",_xlfn.XLOOKUP(C1860,STUDENTS!C1859:C101856,STUDENTS!F1859:F101856)),"update STUDENT sheet")</f>
        <v/>
      </c>
      <c r="F1860">
        <f>IFERROR(IF(D1860="","",_xlfn.XLOOKUP(D1860,STUDENTS!D1859:D101856,STUDENTS!G1859:G101856)),"update STUDENT sheet")</f>
        <v/>
      </c>
      <c r="G1860">
        <f>IFERROR(IF(E1860="","",_xlfn.XLOOKUP(E1860,STUDENTS!F1859:F101856,STUDENTS!H1859:H101856)),"update STUDENT sheet")</f>
        <v/>
      </c>
    </row>
    <row r="1861">
      <c r="B1861">
        <f>IF(STUDENTS!B1860="","",STUDENTS!B1860)</f>
        <v/>
      </c>
      <c r="C1861">
        <f>IFERROR(IF(B1861="","",_xlfn.XLOOKUP(B1861,STUDENTS!$B$3:$B$1048576,STUDENTS!$C$3:$C$1048576)),"Enter a registered reg. no")</f>
        <v/>
      </c>
      <c r="E1861">
        <f>IFERROR(IF(C1861="","",_xlfn.XLOOKUP(C1861,STUDENTS!C1860:C101857,STUDENTS!F1860:F101857)),"update STUDENT sheet")</f>
        <v/>
      </c>
      <c r="F1861">
        <f>IFERROR(IF(D1861="","",_xlfn.XLOOKUP(D1861,STUDENTS!D1860:D101857,STUDENTS!G1860:G101857)),"update STUDENT sheet")</f>
        <v/>
      </c>
      <c r="G1861">
        <f>IFERROR(IF(E1861="","",_xlfn.XLOOKUP(E1861,STUDENTS!F1860:F101857,STUDENTS!H1860:H101857)),"update STUDENT sheet")</f>
        <v/>
      </c>
    </row>
    <row r="1862">
      <c r="B1862">
        <f>IF(STUDENTS!B1861="","",STUDENTS!B1861)</f>
        <v/>
      </c>
      <c r="C1862">
        <f>IFERROR(IF(B1862="","",_xlfn.XLOOKUP(B1862,STUDENTS!$B$3:$B$1048576,STUDENTS!$C$3:$C$1048576)),"Enter a registered reg. no")</f>
        <v/>
      </c>
      <c r="E1862">
        <f>IFERROR(IF(C1862="","",_xlfn.XLOOKUP(C1862,STUDENTS!C1861:C101858,STUDENTS!F1861:F101858)),"update STUDENT sheet")</f>
        <v/>
      </c>
      <c r="F1862">
        <f>IFERROR(IF(D1862="","",_xlfn.XLOOKUP(D1862,STUDENTS!D1861:D101858,STUDENTS!G1861:G101858)),"update STUDENT sheet")</f>
        <v/>
      </c>
      <c r="G1862">
        <f>IFERROR(IF(E1862="","",_xlfn.XLOOKUP(E1862,STUDENTS!F1861:F101858,STUDENTS!H1861:H101858)),"update STUDENT sheet")</f>
        <v/>
      </c>
    </row>
    <row r="1863">
      <c r="B1863">
        <f>IF(STUDENTS!B1862="","",STUDENTS!B1862)</f>
        <v/>
      </c>
      <c r="C1863">
        <f>IFERROR(IF(B1863="","",_xlfn.XLOOKUP(B1863,STUDENTS!$B$3:$B$1048576,STUDENTS!$C$3:$C$1048576)),"Enter a registered reg. no")</f>
        <v/>
      </c>
      <c r="E1863">
        <f>IFERROR(IF(C1863="","",_xlfn.XLOOKUP(C1863,STUDENTS!C1862:C101859,STUDENTS!F1862:F101859)),"update STUDENT sheet")</f>
        <v/>
      </c>
      <c r="F1863">
        <f>IFERROR(IF(D1863="","",_xlfn.XLOOKUP(D1863,STUDENTS!D1862:D101859,STUDENTS!G1862:G101859)),"update STUDENT sheet")</f>
        <v/>
      </c>
      <c r="G1863">
        <f>IFERROR(IF(E1863="","",_xlfn.XLOOKUP(E1863,STUDENTS!F1862:F101859,STUDENTS!H1862:H101859)),"update STUDENT sheet")</f>
        <v/>
      </c>
    </row>
    <row r="1864">
      <c r="B1864">
        <f>IF(STUDENTS!B1863="","",STUDENTS!B1863)</f>
        <v/>
      </c>
      <c r="C1864">
        <f>IFERROR(IF(B1864="","",_xlfn.XLOOKUP(B1864,STUDENTS!$B$3:$B$1048576,STUDENTS!$C$3:$C$1048576)),"Enter a registered reg. no")</f>
        <v/>
      </c>
      <c r="E1864">
        <f>IFERROR(IF(C1864="","",_xlfn.XLOOKUP(C1864,STUDENTS!C1863:C101860,STUDENTS!F1863:F101860)),"update STUDENT sheet")</f>
        <v/>
      </c>
      <c r="F1864">
        <f>IFERROR(IF(D1864="","",_xlfn.XLOOKUP(D1864,STUDENTS!D1863:D101860,STUDENTS!G1863:G101860)),"update STUDENT sheet")</f>
        <v/>
      </c>
      <c r="G1864">
        <f>IFERROR(IF(E1864="","",_xlfn.XLOOKUP(E1864,STUDENTS!F1863:F101860,STUDENTS!H1863:H101860)),"update STUDENT sheet")</f>
        <v/>
      </c>
    </row>
    <row r="1865">
      <c r="B1865">
        <f>IF(STUDENTS!B1864="","",STUDENTS!B1864)</f>
        <v/>
      </c>
      <c r="C1865">
        <f>IFERROR(IF(B1865="","",_xlfn.XLOOKUP(B1865,STUDENTS!$B$3:$B$1048576,STUDENTS!$C$3:$C$1048576)),"Enter a registered reg. no")</f>
        <v/>
      </c>
      <c r="E1865">
        <f>IFERROR(IF(C1865="","",_xlfn.XLOOKUP(C1865,STUDENTS!C1864:C101861,STUDENTS!F1864:F101861)),"update STUDENT sheet")</f>
        <v/>
      </c>
      <c r="F1865">
        <f>IFERROR(IF(D1865="","",_xlfn.XLOOKUP(D1865,STUDENTS!D1864:D101861,STUDENTS!G1864:G101861)),"update STUDENT sheet")</f>
        <v/>
      </c>
      <c r="G1865">
        <f>IFERROR(IF(E1865="","",_xlfn.XLOOKUP(E1865,STUDENTS!F1864:F101861,STUDENTS!H1864:H101861)),"update STUDENT sheet")</f>
        <v/>
      </c>
    </row>
    <row r="1866">
      <c r="B1866">
        <f>IF(STUDENTS!B1865="","",STUDENTS!B1865)</f>
        <v/>
      </c>
      <c r="C1866">
        <f>IFERROR(IF(B1866="","",_xlfn.XLOOKUP(B1866,STUDENTS!$B$3:$B$1048576,STUDENTS!$C$3:$C$1048576)),"Enter a registered reg. no")</f>
        <v/>
      </c>
      <c r="E1866">
        <f>IFERROR(IF(C1866="","",_xlfn.XLOOKUP(C1866,STUDENTS!C1865:C101862,STUDENTS!F1865:F101862)),"update STUDENT sheet")</f>
        <v/>
      </c>
      <c r="F1866">
        <f>IFERROR(IF(D1866="","",_xlfn.XLOOKUP(D1866,STUDENTS!D1865:D101862,STUDENTS!G1865:G101862)),"update STUDENT sheet")</f>
        <v/>
      </c>
      <c r="G1866">
        <f>IFERROR(IF(E1866="","",_xlfn.XLOOKUP(E1866,STUDENTS!F1865:F101862,STUDENTS!H1865:H101862)),"update STUDENT sheet")</f>
        <v/>
      </c>
    </row>
    <row r="1867">
      <c r="B1867">
        <f>IF(STUDENTS!B1866="","",STUDENTS!B1866)</f>
        <v/>
      </c>
      <c r="C1867">
        <f>IFERROR(IF(B1867="","",_xlfn.XLOOKUP(B1867,STUDENTS!$B$3:$B$1048576,STUDENTS!$C$3:$C$1048576)),"Enter a registered reg. no")</f>
        <v/>
      </c>
      <c r="E1867">
        <f>IFERROR(IF(C1867="","",_xlfn.XLOOKUP(C1867,STUDENTS!C1866:C101863,STUDENTS!F1866:F101863)),"update STUDENT sheet")</f>
        <v/>
      </c>
      <c r="F1867">
        <f>IFERROR(IF(D1867="","",_xlfn.XLOOKUP(D1867,STUDENTS!D1866:D101863,STUDENTS!G1866:G101863)),"update STUDENT sheet")</f>
        <v/>
      </c>
      <c r="G1867">
        <f>IFERROR(IF(E1867="","",_xlfn.XLOOKUP(E1867,STUDENTS!F1866:F101863,STUDENTS!H1866:H101863)),"update STUDENT sheet")</f>
        <v/>
      </c>
    </row>
    <row r="1868">
      <c r="B1868">
        <f>IF(STUDENTS!B1867="","",STUDENTS!B1867)</f>
        <v/>
      </c>
      <c r="C1868">
        <f>IFERROR(IF(B1868="","",_xlfn.XLOOKUP(B1868,STUDENTS!$B$3:$B$1048576,STUDENTS!$C$3:$C$1048576)),"Enter a registered reg. no")</f>
        <v/>
      </c>
      <c r="E1868">
        <f>IFERROR(IF(C1868="","",_xlfn.XLOOKUP(C1868,STUDENTS!C1867:C101864,STUDENTS!F1867:F101864)),"update STUDENT sheet")</f>
        <v/>
      </c>
      <c r="F1868">
        <f>IFERROR(IF(D1868="","",_xlfn.XLOOKUP(D1868,STUDENTS!D1867:D101864,STUDENTS!G1867:G101864)),"update STUDENT sheet")</f>
        <v/>
      </c>
      <c r="G1868">
        <f>IFERROR(IF(E1868="","",_xlfn.XLOOKUP(E1868,STUDENTS!F1867:F101864,STUDENTS!H1867:H101864)),"update STUDENT sheet")</f>
        <v/>
      </c>
    </row>
    <row r="1869">
      <c r="B1869">
        <f>IF(STUDENTS!B1868="","",STUDENTS!B1868)</f>
        <v/>
      </c>
      <c r="C1869">
        <f>IFERROR(IF(B1869="","",_xlfn.XLOOKUP(B1869,STUDENTS!$B$3:$B$1048576,STUDENTS!$C$3:$C$1048576)),"Enter a registered reg. no")</f>
        <v/>
      </c>
      <c r="E1869">
        <f>IFERROR(IF(C1869="","",_xlfn.XLOOKUP(C1869,STUDENTS!C1868:C101865,STUDENTS!F1868:F101865)),"update STUDENT sheet")</f>
        <v/>
      </c>
      <c r="F1869">
        <f>IFERROR(IF(D1869="","",_xlfn.XLOOKUP(D1869,STUDENTS!D1868:D101865,STUDENTS!G1868:G101865)),"update STUDENT sheet")</f>
        <v/>
      </c>
      <c r="G1869">
        <f>IFERROR(IF(E1869="","",_xlfn.XLOOKUP(E1869,STUDENTS!F1868:F101865,STUDENTS!H1868:H101865)),"update STUDENT sheet")</f>
        <v/>
      </c>
    </row>
    <row r="1870">
      <c r="B1870">
        <f>IF(STUDENTS!B1869="","",STUDENTS!B1869)</f>
        <v/>
      </c>
      <c r="C1870">
        <f>IFERROR(IF(B1870="","",_xlfn.XLOOKUP(B1870,STUDENTS!$B$3:$B$1048576,STUDENTS!$C$3:$C$1048576)),"Enter a registered reg. no")</f>
        <v/>
      </c>
      <c r="E1870">
        <f>IFERROR(IF(C1870="","",_xlfn.XLOOKUP(C1870,STUDENTS!C1869:C101866,STUDENTS!F1869:F101866)),"update STUDENT sheet")</f>
        <v/>
      </c>
      <c r="F1870">
        <f>IFERROR(IF(D1870="","",_xlfn.XLOOKUP(D1870,STUDENTS!D1869:D101866,STUDENTS!G1869:G101866)),"update STUDENT sheet")</f>
        <v/>
      </c>
      <c r="G1870">
        <f>IFERROR(IF(E1870="","",_xlfn.XLOOKUP(E1870,STUDENTS!F1869:F101866,STUDENTS!H1869:H101866)),"update STUDENT sheet")</f>
        <v/>
      </c>
    </row>
    <row r="1871">
      <c r="B1871">
        <f>IF(STUDENTS!B1870="","",STUDENTS!B1870)</f>
        <v/>
      </c>
      <c r="C1871">
        <f>IFERROR(IF(B1871="","",_xlfn.XLOOKUP(B1871,STUDENTS!$B$3:$B$1048576,STUDENTS!$C$3:$C$1048576)),"Enter a registered reg. no")</f>
        <v/>
      </c>
      <c r="E1871">
        <f>IFERROR(IF(C1871="","",_xlfn.XLOOKUP(C1871,STUDENTS!C1870:C101867,STUDENTS!F1870:F101867)),"update STUDENT sheet")</f>
        <v/>
      </c>
      <c r="F1871">
        <f>IFERROR(IF(D1871="","",_xlfn.XLOOKUP(D1871,STUDENTS!D1870:D101867,STUDENTS!G1870:G101867)),"update STUDENT sheet")</f>
        <v/>
      </c>
      <c r="G1871">
        <f>IFERROR(IF(E1871="","",_xlfn.XLOOKUP(E1871,STUDENTS!F1870:F101867,STUDENTS!H1870:H101867)),"update STUDENT sheet")</f>
        <v/>
      </c>
    </row>
    <row r="1872">
      <c r="B1872">
        <f>IF(STUDENTS!B1871="","",STUDENTS!B1871)</f>
        <v/>
      </c>
      <c r="C1872">
        <f>IFERROR(IF(B1872="","",_xlfn.XLOOKUP(B1872,STUDENTS!$B$3:$B$1048576,STUDENTS!$C$3:$C$1048576)),"Enter a registered reg. no")</f>
        <v/>
      </c>
      <c r="E1872">
        <f>IFERROR(IF(C1872="","",_xlfn.XLOOKUP(C1872,STUDENTS!C1871:C101868,STUDENTS!F1871:F101868)),"update STUDENT sheet")</f>
        <v/>
      </c>
      <c r="F1872">
        <f>IFERROR(IF(D1872="","",_xlfn.XLOOKUP(D1872,STUDENTS!D1871:D101868,STUDENTS!G1871:G101868)),"update STUDENT sheet")</f>
        <v/>
      </c>
      <c r="G1872">
        <f>IFERROR(IF(E1872="","",_xlfn.XLOOKUP(E1872,STUDENTS!F1871:F101868,STUDENTS!H1871:H101868)),"update STUDENT sheet")</f>
        <v/>
      </c>
    </row>
    <row r="1873">
      <c r="B1873">
        <f>IF(STUDENTS!B1872="","",STUDENTS!B1872)</f>
        <v/>
      </c>
      <c r="C1873">
        <f>IFERROR(IF(B1873="","",_xlfn.XLOOKUP(B1873,STUDENTS!$B$3:$B$1048576,STUDENTS!$C$3:$C$1048576)),"Enter a registered reg. no")</f>
        <v/>
      </c>
      <c r="E1873">
        <f>IFERROR(IF(C1873="","",_xlfn.XLOOKUP(C1873,STUDENTS!C1872:C101869,STUDENTS!F1872:F101869)),"update STUDENT sheet")</f>
        <v/>
      </c>
      <c r="F1873">
        <f>IFERROR(IF(D1873="","",_xlfn.XLOOKUP(D1873,STUDENTS!D1872:D101869,STUDENTS!G1872:G101869)),"update STUDENT sheet")</f>
        <v/>
      </c>
      <c r="G1873">
        <f>IFERROR(IF(E1873="","",_xlfn.XLOOKUP(E1873,STUDENTS!F1872:F101869,STUDENTS!H1872:H101869)),"update STUDENT sheet")</f>
        <v/>
      </c>
    </row>
    <row r="1874">
      <c r="B1874">
        <f>IF(STUDENTS!B1873="","",STUDENTS!B1873)</f>
        <v/>
      </c>
      <c r="C1874">
        <f>IFERROR(IF(B1874="","",_xlfn.XLOOKUP(B1874,STUDENTS!$B$3:$B$1048576,STUDENTS!$C$3:$C$1048576)),"Enter a registered reg. no")</f>
        <v/>
      </c>
      <c r="E1874">
        <f>IFERROR(IF(C1874="","",_xlfn.XLOOKUP(C1874,STUDENTS!C1873:C101870,STUDENTS!F1873:F101870)),"update STUDENT sheet")</f>
        <v/>
      </c>
      <c r="F1874">
        <f>IFERROR(IF(D1874="","",_xlfn.XLOOKUP(D1874,STUDENTS!D1873:D101870,STUDENTS!G1873:G101870)),"update STUDENT sheet")</f>
        <v/>
      </c>
      <c r="G1874">
        <f>IFERROR(IF(E1874="","",_xlfn.XLOOKUP(E1874,STUDENTS!F1873:F101870,STUDENTS!H1873:H101870)),"update STUDENT sheet")</f>
        <v/>
      </c>
    </row>
    <row r="1875">
      <c r="B1875">
        <f>IF(STUDENTS!B1874="","",STUDENTS!B1874)</f>
        <v/>
      </c>
      <c r="C1875">
        <f>IFERROR(IF(B1875="","",_xlfn.XLOOKUP(B1875,STUDENTS!$B$3:$B$1048576,STUDENTS!$C$3:$C$1048576)),"Enter a registered reg. no")</f>
        <v/>
      </c>
      <c r="E1875">
        <f>IFERROR(IF(C1875="","",_xlfn.XLOOKUP(C1875,STUDENTS!C1874:C101871,STUDENTS!F1874:F101871)),"update STUDENT sheet")</f>
        <v/>
      </c>
      <c r="F1875">
        <f>IFERROR(IF(D1875="","",_xlfn.XLOOKUP(D1875,STUDENTS!D1874:D101871,STUDENTS!G1874:G101871)),"update STUDENT sheet")</f>
        <v/>
      </c>
      <c r="G1875">
        <f>IFERROR(IF(E1875="","",_xlfn.XLOOKUP(E1875,STUDENTS!F1874:F101871,STUDENTS!H1874:H101871)),"update STUDENT sheet")</f>
        <v/>
      </c>
    </row>
    <row r="1876">
      <c r="B1876">
        <f>IF(STUDENTS!B1875="","",STUDENTS!B1875)</f>
        <v/>
      </c>
      <c r="C1876">
        <f>IFERROR(IF(B1876="","",_xlfn.XLOOKUP(B1876,STUDENTS!$B$3:$B$1048576,STUDENTS!$C$3:$C$1048576)),"Enter a registered reg. no")</f>
        <v/>
      </c>
      <c r="E1876">
        <f>IFERROR(IF(C1876="","",_xlfn.XLOOKUP(C1876,STUDENTS!C1875:C101872,STUDENTS!F1875:F101872)),"update STUDENT sheet")</f>
        <v/>
      </c>
      <c r="F1876">
        <f>IFERROR(IF(D1876="","",_xlfn.XLOOKUP(D1876,STUDENTS!D1875:D101872,STUDENTS!G1875:G101872)),"update STUDENT sheet")</f>
        <v/>
      </c>
      <c r="G1876">
        <f>IFERROR(IF(E1876="","",_xlfn.XLOOKUP(E1876,STUDENTS!F1875:F101872,STUDENTS!H1875:H101872)),"update STUDENT sheet")</f>
        <v/>
      </c>
    </row>
    <row r="1877">
      <c r="B1877">
        <f>IF(STUDENTS!B1876="","",STUDENTS!B1876)</f>
        <v/>
      </c>
      <c r="C1877">
        <f>IFERROR(IF(B1877="","",_xlfn.XLOOKUP(B1877,STUDENTS!$B$3:$B$1048576,STUDENTS!$C$3:$C$1048576)),"Enter a registered reg. no")</f>
        <v/>
      </c>
      <c r="E1877">
        <f>IFERROR(IF(C1877="","",_xlfn.XLOOKUP(C1877,STUDENTS!C1876:C101873,STUDENTS!F1876:F101873)),"update STUDENT sheet")</f>
        <v/>
      </c>
      <c r="F1877">
        <f>IFERROR(IF(D1877="","",_xlfn.XLOOKUP(D1877,STUDENTS!D1876:D101873,STUDENTS!G1876:G101873)),"update STUDENT sheet")</f>
        <v/>
      </c>
      <c r="G1877">
        <f>IFERROR(IF(E1877="","",_xlfn.XLOOKUP(E1877,STUDENTS!F1876:F101873,STUDENTS!H1876:H101873)),"update STUDENT sheet")</f>
        <v/>
      </c>
    </row>
    <row r="1878">
      <c r="B1878">
        <f>IF(STUDENTS!B1877="","",STUDENTS!B1877)</f>
        <v/>
      </c>
      <c r="C1878">
        <f>IFERROR(IF(B1878="","",_xlfn.XLOOKUP(B1878,STUDENTS!$B$3:$B$1048576,STUDENTS!$C$3:$C$1048576)),"Enter a registered reg. no")</f>
        <v/>
      </c>
      <c r="E1878">
        <f>IFERROR(IF(C1878="","",_xlfn.XLOOKUP(C1878,STUDENTS!C1877:C101874,STUDENTS!F1877:F101874)),"update STUDENT sheet")</f>
        <v/>
      </c>
      <c r="F1878">
        <f>IFERROR(IF(D1878="","",_xlfn.XLOOKUP(D1878,STUDENTS!D1877:D101874,STUDENTS!G1877:G101874)),"update STUDENT sheet")</f>
        <v/>
      </c>
      <c r="G1878">
        <f>IFERROR(IF(E1878="","",_xlfn.XLOOKUP(E1878,STUDENTS!F1877:F101874,STUDENTS!H1877:H101874)),"update STUDENT sheet")</f>
        <v/>
      </c>
    </row>
    <row r="1879">
      <c r="B1879">
        <f>IF(STUDENTS!B1878="","",STUDENTS!B1878)</f>
        <v/>
      </c>
      <c r="C1879">
        <f>IFERROR(IF(B1879="","",_xlfn.XLOOKUP(B1879,STUDENTS!$B$3:$B$1048576,STUDENTS!$C$3:$C$1048576)),"Enter a registered reg. no")</f>
        <v/>
      </c>
      <c r="E1879">
        <f>IFERROR(IF(C1879="","",_xlfn.XLOOKUP(C1879,STUDENTS!C1878:C101875,STUDENTS!F1878:F101875)),"update STUDENT sheet")</f>
        <v/>
      </c>
      <c r="F1879">
        <f>IFERROR(IF(D1879="","",_xlfn.XLOOKUP(D1879,STUDENTS!D1878:D101875,STUDENTS!G1878:G101875)),"update STUDENT sheet")</f>
        <v/>
      </c>
      <c r="G1879">
        <f>IFERROR(IF(E1879="","",_xlfn.XLOOKUP(E1879,STUDENTS!F1878:F101875,STUDENTS!H1878:H101875)),"update STUDENT sheet")</f>
        <v/>
      </c>
    </row>
    <row r="1880">
      <c r="B1880">
        <f>IF(STUDENTS!B1879="","",STUDENTS!B1879)</f>
        <v/>
      </c>
      <c r="C1880">
        <f>IFERROR(IF(B1880="","",_xlfn.XLOOKUP(B1880,STUDENTS!$B$3:$B$1048576,STUDENTS!$C$3:$C$1048576)),"Enter a registered reg. no")</f>
        <v/>
      </c>
      <c r="E1880">
        <f>IFERROR(IF(C1880="","",_xlfn.XLOOKUP(C1880,STUDENTS!C1879:C101876,STUDENTS!F1879:F101876)),"update STUDENT sheet")</f>
        <v/>
      </c>
      <c r="F1880">
        <f>IFERROR(IF(D1880="","",_xlfn.XLOOKUP(D1880,STUDENTS!D1879:D101876,STUDENTS!G1879:G101876)),"update STUDENT sheet")</f>
        <v/>
      </c>
      <c r="G1880">
        <f>IFERROR(IF(E1880="","",_xlfn.XLOOKUP(E1880,STUDENTS!F1879:F101876,STUDENTS!H1879:H101876)),"update STUDENT sheet")</f>
        <v/>
      </c>
    </row>
    <row r="1881">
      <c r="B1881">
        <f>IF(STUDENTS!B1880="","",STUDENTS!B1880)</f>
        <v/>
      </c>
      <c r="C1881">
        <f>IFERROR(IF(B1881="","",_xlfn.XLOOKUP(B1881,STUDENTS!$B$3:$B$1048576,STUDENTS!$C$3:$C$1048576)),"Enter a registered reg. no")</f>
        <v/>
      </c>
      <c r="E1881">
        <f>IFERROR(IF(C1881="","",_xlfn.XLOOKUP(C1881,STUDENTS!C1880:C101877,STUDENTS!F1880:F101877)),"update STUDENT sheet")</f>
        <v/>
      </c>
      <c r="F1881">
        <f>IFERROR(IF(D1881="","",_xlfn.XLOOKUP(D1881,STUDENTS!D1880:D101877,STUDENTS!G1880:G101877)),"update STUDENT sheet")</f>
        <v/>
      </c>
      <c r="G1881">
        <f>IFERROR(IF(E1881="","",_xlfn.XLOOKUP(E1881,STUDENTS!F1880:F101877,STUDENTS!H1880:H101877)),"update STUDENT sheet")</f>
        <v/>
      </c>
    </row>
    <row r="1882">
      <c r="B1882">
        <f>IF(STUDENTS!B1881="","",STUDENTS!B1881)</f>
        <v/>
      </c>
      <c r="C1882">
        <f>IFERROR(IF(B1882="","",_xlfn.XLOOKUP(B1882,STUDENTS!$B$3:$B$1048576,STUDENTS!$C$3:$C$1048576)),"Enter a registered reg. no")</f>
        <v/>
      </c>
      <c r="E1882">
        <f>IFERROR(IF(C1882="","",_xlfn.XLOOKUP(C1882,STUDENTS!C1881:C101878,STUDENTS!F1881:F101878)),"update STUDENT sheet")</f>
        <v/>
      </c>
      <c r="F1882">
        <f>IFERROR(IF(D1882="","",_xlfn.XLOOKUP(D1882,STUDENTS!D1881:D101878,STUDENTS!G1881:G101878)),"update STUDENT sheet")</f>
        <v/>
      </c>
      <c r="G1882">
        <f>IFERROR(IF(E1882="","",_xlfn.XLOOKUP(E1882,STUDENTS!F1881:F101878,STUDENTS!H1881:H101878)),"update STUDENT sheet")</f>
        <v/>
      </c>
    </row>
    <row r="1883">
      <c r="B1883">
        <f>IF(STUDENTS!B1882="","",STUDENTS!B1882)</f>
        <v/>
      </c>
      <c r="C1883">
        <f>IFERROR(IF(B1883="","",_xlfn.XLOOKUP(B1883,STUDENTS!$B$3:$B$1048576,STUDENTS!$C$3:$C$1048576)),"Enter a registered reg. no")</f>
        <v/>
      </c>
      <c r="E1883">
        <f>IFERROR(IF(C1883="","",_xlfn.XLOOKUP(C1883,STUDENTS!C1882:C101879,STUDENTS!F1882:F101879)),"update STUDENT sheet")</f>
        <v/>
      </c>
      <c r="F1883">
        <f>IFERROR(IF(D1883="","",_xlfn.XLOOKUP(D1883,STUDENTS!D1882:D101879,STUDENTS!G1882:G101879)),"update STUDENT sheet")</f>
        <v/>
      </c>
      <c r="G1883">
        <f>IFERROR(IF(E1883="","",_xlfn.XLOOKUP(E1883,STUDENTS!F1882:F101879,STUDENTS!H1882:H101879)),"update STUDENT sheet")</f>
        <v/>
      </c>
    </row>
    <row r="1884">
      <c r="B1884">
        <f>IF(STUDENTS!B1883="","",STUDENTS!B1883)</f>
        <v/>
      </c>
      <c r="C1884">
        <f>IFERROR(IF(B1884="","",_xlfn.XLOOKUP(B1884,STUDENTS!$B$3:$B$1048576,STUDENTS!$C$3:$C$1048576)),"Enter a registered reg. no")</f>
        <v/>
      </c>
      <c r="E1884">
        <f>IFERROR(IF(C1884="","",_xlfn.XLOOKUP(C1884,STUDENTS!C1883:C101880,STUDENTS!F1883:F101880)),"update STUDENT sheet")</f>
        <v/>
      </c>
      <c r="F1884">
        <f>IFERROR(IF(D1884="","",_xlfn.XLOOKUP(D1884,STUDENTS!D1883:D101880,STUDENTS!G1883:G101880)),"update STUDENT sheet")</f>
        <v/>
      </c>
      <c r="G1884">
        <f>IFERROR(IF(E1884="","",_xlfn.XLOOKUP(E1884,STUDENTS!F1883:F101880,STUDENTS!H1883:H101880)),"update STUDENT sheet")</f>
        <v/>
      </c>
    </row>
    <row r="1885">
      <c r="B1885">
        <f>IF(STUDENTS!B1884="","",STUDENTS!B1884)</f>
        <v/>
      </c>
      <c r="C1885">
        <f>IFERROR(IF(B1885="","",_xlfn.XLOOKUP(B1885,STUDENTS!$B$3:$B$1048576,STUDENTS!$C$3:$C$1048576)),"Enter a registered reg. no")</f>
        <v/>
      </c>
      <c r="E1885">
        <f>IFERROR(IF(C1885="","",_xlfn.XLOOKUP(C1885,STUDENTS!C1884:C101881,STUDENTS!F1884:F101881)),"update STUDENT sheet")</f>
        <v/>
      </c>
      <c r="F1885">
        <f>IFERROR(IF(D1885="","",_xlfn.XLOOKUP(D1885,STUDENTS!D1884:D101881,STUDENTS!G1884:G101881)),"update STUDENT sheet")</f>
        <v/>
      </c>
      <c r="G1885">
        <f>IFERROR(IF(E1885="","",_xlfn.XLOOKUP(E1885,STUDENTS!F1884:F101881,STUDENTS!H1884:H101881)),"update STUDENT sheet")</f>
        <v/>
      </c>
    </row>
    <row r="1886">
      <c r="B1886">
        <f>IF(STUDENTS!B1885="","",STUDENTS!B1885)</f>
        <v/>
      </c>
      <c r="C1886">
        <f>IFERROR(IF(B1886="","",_xlfn.XLOOKUP(B1886,STUDENTS!$B$3:$B$1048576,STUDENTS!$C$3:$C$1048576)),"Enter a registered reg. no")</f>
        <v/>
      </c>
      <c r="E1886">
        <f>IFERROR(IF(C1886="","",_xlfn.XLOOKUP(C1886,STUDENTS!C1885:C101882,STUDENTS!F1885:F101882)),"update STUDENT sheet")</f>
        <v/>
      </c>
      <c r="F1886">
        <f>IFERROR(IF(D1886="","",_xlfn.XLOOKUP(D1886,STUDENTS!D1885:D101882,STUDENTS!G1885:G101882)),"update STUDENT sheet")</f>
        <v/>
      </c>
      <c r="G1886">
        <f>IFERROR(IF(E1886="","",_xlfn.XLOOKUP(E1886,STUDENTS!F1885:F101882,STUDENTS!H1885:H101882)),"update STUDENT sheet")</f>
        <v/>
      </c>
    </row>
    <row r="1887">
      <c r="B1887">
        <f>IF(STUDENTS!B1886="","",STUDENTS!B1886)</f>
        <v/>
      </c>
      <c r="C1887">
        <f>IFERROR(IF(B1887="","",_xlfn.XLOOKUP(B1887,STUDENTS!$B$3:$B$1048576,STUDENTS!$C$3:$C$1048576)),"Enter a registered reg. no")</f>
        <v/>
      </c>
      <c r="E1887">
        <f>IFERROR(IF(C1887="","",_xlfn.XLOOKUP(C1887,STUDENTS!C1886:C101883,STUDENTS!F1886:F101883)),"update STUDENT sheet")</f>
        <v/>
      </c>
      <c r="F1887">
        <f>IFERROR(IF(D1887="","",_xlfn.XLOOKUP(D1887,STUDENTS!D1886:D101883,STUDENTS!G1886:G101883)),"update STUDENT sheet")</f>
        <v/>
      </c>
      <c r="G1887">
        <f>IFERROR(IF(E1887="","",_xlfn.XLOOKUP(E1887,STUDENTS!F1886:F101883,STUDENTS!H1886:H101883)),"update STUDENT sheet")</f>
        <v/>
      </c>
    </row>
    <row r="1888">
      <c r="B1888">
        <f>IF(STUDENTS!B1887="","",STUDENTS!B1887)</f>
        <v/>
      </c>
      <c r="C1888">
        <f>IFERROR(IF(B1888="","",_xlfn.XLOOKUP(B1888,STUDENTS!$B$3:$B$1048576,STUDENTS!$C$3:$C$1048576)),"Enter a registered reg. no")</f>
        <v/>
      </c>
      <c r="E1888">
        <f>IFERROR(IF(C1888="","",_xlfn.XLOOKUP(C1888,STUDENTS!C1887:C101884,STUDENTS!F1887:F101884)),"update STUDENT sheet")</f>
        <v/>
      </c>
      <c r="F1888">
        <f>IFERROR(IF(D1888="","",_xlfn.XLOOKUP(D1888,STUDENTS!D1887:D101884,STUDENTS!G1887:G101884)),"update STUDENT sheet")</f>
        <v/>
      </c>
      <c r="G1888">
        <f>IFERROR(IF(E1888="","",_xlfn.XLOOKUP(E1888,STUDENTS!F1887:F101884,STUDENTS!H1887:H101884)),"update STUDENT sheet")</f>
        <v/>
      </c>
    </row>
    <row r="1889">
      <c r="B1889">
        <f>IF(STUDENTS!B1888="","",STUDENTS!B1888)</f>
        <v/>
      </c>
      <c r="C1889">
        <f>IFERROR(IF(B1889="","",_xlfn.XLOOKUP(B1889,STUDENTS!$B$3:$B$1048576,STUDENTS!$C$3:$C$1048576)),"Enter a registered reg. no")</f>
        <v/>
      </c>
      <c r="E1889">
        <f>IFERROR(IF(C1889="","",_xlfn.XLOOKUP(C1889,STUDENTS!C1888:C101885,STUDENTS!F1888:F101885)),"update STUDENT sheet")</f>
        <v/>
      </c>
      <c r="F1889">
        <f>IFERROR(IF(D1889="","",_xlfn.XLOOKUP(D1889,STUDENTS!D1888:D101885,STUDENTS!G1888:G101885)),"update STUDENT sheet")</f>
        <v/>
      </c>
      <c r="G1889">
        <f>IFERROR(IF(E1889="","",_xlfn.XLOOKUP(E1889,STUDENTS!F1888:F101885,STUDENTS!H1888:H101885)),"update STUDENT sheet")</f>
        <v/>
      </c>
    </row>
    <row r="1890">
      <c r="B1890">
        <f>IF(STUDENTS!B1889="","",STUDENTS!B1889)</f>
        <v/>
      </c>
      <c r="C1890">
        <f>IFERROR(IF(B1890="","",_xlfn.XLOOKUP(B1890,STUDENTS!$B$3:$B$1048576,STUDENTS!$C$3:$C$1048576)),"Enter a registered reg. no")</f>
        <v/>
      </c>
      <c r="E1890">
        <f>IFERROR(IF(C1890="","",_xlfn.XLOOKUP(C1890,STUDENTS!C1889:C101886,STUDENTS!F1889:F101886)),"update STUDENT sheet")</f>
        <v/>
      </c>
      <c r="F1890">
        <f>IFERROR(IF(D1890="","",_xlfn.XLOOKUP(D1890,STUDENTS!D1889:D101886,STUDENTS!G1889:G101886)),"update STUDENT sheet")</f>
        <v/>
      </c>
      <c r="G1890">
        <f>IFERROR(IF(E1890="","",_xlfn.XLOOKUP(E1890,STUDENTS!F1889:F101886,STUDENTS!H1889:H101886)),"update STUDENT sheet")</f>
        <v/>
      </c>
    </row>
    <row r="1891">
      <c r="B1891">
        <f>IF(STUDENTS!B1890="","",STUDENTS!B1890)</f>
        <v/>
      </c>
      <c r="C1891">
        <f>IFERROR(IF(B1891="","",_xlfn.XLOOKUP(B1891,STUDENTS!$B$3:$B$1048576,STUDENTS!$C$3:$C$1048576)),"Enter a registered reg. no")</f>
        <v/>
      </c>
      <c r="E1891">
        <f>IFERROR(IF(C1891="","",_xlfn.XLOOKUP(C1891,STUDENTS!C1890:C101887,STUDENTS!F1890:F101887)),"update STUDENT sheet")</f>
        <v/>
      </c>
      <c r="F1891">
        <f>IFERROR(IF(D1891="","",_xlfn.XLOOKUP(D1891,STUDENTS!D1890:D101887,STUDENTS!G1890:G101887)),"update STUDENT sheet")</f>
        <v/>
      </c>
      <c r="G1891">
        <f>IFERROR(IF(E1891="","",_xlfn.XLOOKUP(E1891,STUDENTS!F1890:F101887,STUDENTS!H1890:H101887)),"update STUDENT sheet")</f>
        <v/>
      </c>
    </row>
    <row r="1892">
      <c r="B1892">
        <f>IF(STUDENTS!B1891="","",STUDENTS!B1891)</f>
        <v/>
      </c>
      <c r="C1892">
        <f>IFERROR(IF(B1892="","",_xlfn.XLOOKUP(B1892,STUDENTS!$B$3:$B$1048576,STUDENTS!$C$3:$C$1048576)),"Enter a registered reg. no")</f>
        <v/>
      </c>
      <c r="E1892">
        <f>IFERROR(IF(C1892="","",_xlfn.XLOOKUP(C1892,STUDENTS!C1891:C101888,STUDENTS!F1891:F101888)),"update STUDENT sheet")</f>
        <v/>
      </c>
      <c r="F1892">
        <f>IFERROR(IF(D1892="","",_xlfn.XLOOKUP(D1892,STUDENTS!D1891:D101888,STUDENTS!G1891:G101888)),"update STUDENT sheet")</f>
        <v/>
      </c>
      <c r="G1892">
        <f>IFERROR(IF(E1892="","",_xlfn.XLOOKUP(E1892,STUDENTS!F1891:F101888,STUDENTS!H1891:H101888)),"update STUDENT sheet")</f>
        <v/>
      </c>
    </row>
    <row r="1893">
      <c r="B1893">
        <f>IF(STUDENTS!B1892="","",STUDENTS!B1892)</f>
        <v/>
      </c>
      <c r="C1893">
        <f>IFERROR(IF(B1893="","",_xlfn.XLOOKUP(B1893,STUDENTS!$B$3:$B$1048576,STUDENTS!$C$3:$C$1048576)),"Enter a registered reg. no")</f>
        <v/>
      </c>
      <c r="E1893">
        <f>IFERROR(IF(C1893="","",_xlfn.XLOOKUP(C1893,STUDENTS!C1892:C101889,STUDENTS!F1892:F101889)),"update STUDENT sheet")</f>
        <v/>
      </c>
      <c r="F1893">
        <f>IFERROR(IF(D1893="","",_xlfn.XLOOKUP(D1893,STUDENTS!D1892:D101889,STUDENTS!G1892:G101889)),"update STUDENT sheet")</f>
        <v/>
      </c>
      <c r="G1893">
        <f>IFERROR(IF(E1893="","",_xlfn.XLOOKUP(E1893,STUDENTS!F1892:F101889,STUDENTS!H1892:H101889)),"update STUDENT sheet")</f>
        <v/>
      </c>
    </row>
    <row r="1894">
      <c r="B1894">
        <f>IF(STUDENTS!B1893="","",STUDENTS!B1893)</f>
        <v/>
      </c>
      <c r="C1894">
        <f>IFERROR(IF(B1894="","",_xlfn.XLOOKUP(B1894,STUDENTS!$B$3:$B$1048576,STUDENTS!$C$3:$C$1048576)),"Enter a registered reg. no")</f>
        <v/>
      </c>
      <c r="E1894">
        <f>IFERROR(IF(C1894="","",_xlfn.XLOOKUP(C1894,STUDENTS!C1893:C101890,STUDENTS!F1893:F101890)),"update STUDENT sheet")</f>
        <v/>
      </c>
      <c r="F1894">
        <f>IFERROR(IF(D1894="","",_xlfn.XLOOKUP(D1894,STUDENTS!D1893:D101890,STUDENTS!G1893:G101890)),"update STUDENT sheet")</f>
        <v/>
      </c>
      <c r="G1894">
        <f>IFERROR(IF(E1894="","",_xlfn.XLOOKUP(E1894,STUDENTS!F1893:F101890,STUDENTS!H1893:H101890)),"update STUDENT sheet")</f>
        <v/>
      </c>
    </row>
    <row r="1895">
      <c r="B1895">
        <f>IF(STUDENTS!B1894="","",STUDENTS!B1894)</f>
        <v/>
      </c>
      <c r="C1895">
        <f>IFERROR(IF(B1895="","",_xlfn.XLOOKUP(B1895,STUDENTS!$B$3:$B$1048576,STUDENTS!$C$3:$C$1048576)),"Enter a registered reg. no")</f>
        <v/>
      </c>
      <c r="E1895">
        <f>IFERROR(IF(C1895="","",_xlfn.XLOOKUP(C1895,STUDENTS!C1894:C101891,STUDENTS!F1894:F101891)),"update STUDENT sheet")</f>
        <v/>
      </c>
      <c r="F1895">
        <f>IFERROR(IF(D1895="","",_xlfn.XLOOKUP(D1895,STUDENTS!D1894:D101891,STUDENTS!G1894:G101891)),"update STUDENT sheet")</f>
        <v/>
      </c>
      <c r="G1895">
        <f>IFERROR(IF(E1895="","",_xlfn.XLOOKUP(E1895,STUDENTS!F1894:F101891,STUDENTS!H1894:H101891)),"update STUDENT sheet")</f>
        <v/>
      </c>
    </row>
    <row r="1896">
      <c r="B1896">
        <f>IF(STUDENTS!B1895="","",STUDENTS!B1895)</f>
        <v/>
      </c>
      <c r="C1896">
        <f>IFERROR(IF(B1896="","",_xlfn.XLOOKUP(B1896,STUDENTS!$B$3:$B$1048576,STUDENTS!$C$3:$C$1048576)),"Enter a registered reg. no")</f>
        <v/>
      </c>
      <c r="E1896">
        <f>IFERROR(IF(C1896="","",_xlfn.XLOOKUP(C1896,STUDENTS!C1895:C101892,STUDENTS!F1895:F101892)),"update STUDENT sheet")</f>
        <v/>
      </c>
      <c r="F1896">
        <f>IFERROR(IF(D1896="","",_xlfn.XLOOKUP(D1896,STUDENTS!D1895:D101892,STUDENTS!G1895:G101892)),"update STUDENT sheet")</f>
        <v/>
      </c>
      <c r="G1896">
        <f>IFERROR(IF(E1896="","",_xlfn.XLOOKUP(E1896,STUDENTS!F1895:F101892,STUDENTS!H1895:H101892)),"update STUDENT sheet")</f>
        <v/>
      </c>
    </row>
    <row r="1897">
      <c r="B1897">
        <f>IF(STUDENTS!B1896="","",STUDENTS!B1896)</f>
        <v/>
      </c>
      <c r="C1897">
        <f>IFERROR(IF(B1897="","",_xlfn.XLOOKUP(B1897,STUDENTS!$B$3:$B$1048576,STUDENTS!$C$3:$C$1048576)),"Enter a registered reg. no")</f>
        <v/>
      </c>
      <c r="E1897">
        <f>IFERROR(IF(C1897="","",_xlfn.XLOOKUP(C1897,STUDENTS!C1896:C101893,STUDENTS!F1896:F101893)),"update STUDENT sheet")</f>
        <v/>
      </c>
      <c r="F1897">
        <f>IFERROR(IF(D1897="","",_xlfn.XLOOKUP(D1897,STUDENTS!D1896:D101893,STUDENTS!G1896:G101893)),"update STUDENT sheet")</f>
        <v/>
      </c>
      <c r="G1897">
        <f>IFERROR(IF(E1897="","",_xlfn.XLOOKUP(E1897,STUDENTS!F1896:F101893,STUDENTS!H1896:H101893)),"update STUDENT sheet")</f>
        <v/>
      </c>
    </row>
    <row r="1898">
      <c r="B1898">
        <f>IF(STUDENTS!B1897="","",STUDENTS!B1897)</f>
        <v/>
      </c>
      <c r="C1898">
        <f>IFERROR(IF(B1898="","",_xlfn.XLOOKUP(B1898,STUDENTS!$B$3:$B$1048576,STUDENTS!$C$3:$C$1048576)),"Enter a registered reg. no")</f>
        <v/>
      </c>
      <c r="E1898">
        <f>IFERROR(IF(C1898="","",_xlfn.XLOOKUP(C1898,STUDENTS!C1897:C101894,STUDENTS!F1897:F101894)),"update STUDENT sheet")</f>
        <v/>
      </c>
      <c r="F1898">
        <f>IFERROR(IF(D1898="","",_xlfn.XLOOKUP(D1898,STUDENTS!D1897:D101894,STUDENTS!G1897:G101894)),"update STUDENT sheet")</f>
        <v/>
      </c>
      <c r="G1898">
        <f>IFERROR(IF(E1898="","",_xlfn.XLOOKUP(E1898,STUDENTS!F1897:F101894,STUDENTS!H1897:H101894)),"update STUDENT sheet")</f>
        <v/>
      </c>
    </row>
    <row r="1899">
      <c r="B1899">
        <f>IF(STUDENTS!B1898="","",STUDENTS!B1898)</f>
        <v/>
      </c>
      <c r="C1899">
        <f>IFERROR(IF(B1899="","",_xlfn.XLOOKUP(B1899,STUDENTS!$B$3:$B$1048576,STUDENTS!$C$3:$C$1048576)),"Enter a registered reg. no")</f>
        <v/>
      </c>
      <c r="E1899">
        <f>IFERROR(IF(C1899="","",_xlfn.XLOOKUP(C1899,STUDENTS!C1898:C101895,STUDENTS!F1898:F101895)),"update STUDENT sheet")</f>
        <v/>
      </c>
      <c r="F1899">
        <f>IFERROR(IF(D1899="","",_xlfn.XLOOKUP(D1899,STUDENTS!D1898:D101895,STUDENTS!G1898:G101895)),"update STUDENT sheet")</f>
        <v/>
      </c>
      <c r="G1899">
        <f>IFERROR(IF(E1899="","",_xlfn.XLOOKUP(E1899,STUDENTS!F1898:F101895,STUDENTS!H1898:H101895)),"update STUDENT sheet")</f>
        <v/>
      </c>
    </row>
    <row r="1900">
      <c r="B1900">
        <f>IF(STUDENTS!B1899="","",STUDENTS!B1899)</f>
        <v/>
      </c>
      <c r="C1900">
        <f>IFERROR(IF(B1900="","",_xlfn.XLOOKUP(B1900,STUDENTS!$B$3:$B$1048576,STUDENTS!$C$3:$C$1048576)),"Enter a registered reg. no")</f>
        <v/>
      </c>
      <c r="E1900">
        <f>IFERROR(IF(C1900="","",_xlfn.XLOOKUP(C1900,STUDENTS!C1899:C101896,STUDENTS!F1899:F101896)),"update STUDENT sheet")</f>
        <v/>
      </c>
      <c r="F1900">
        <f>IFERROR(IF(D1900="","",_xlfn.XLOOKUP(D1900,STUDENTS!D1899:D101896,STUDENTS!G1899:G101896)),"update STUDENT sheet")</f>
        <v/>
      </c>
      <c r="G1900">
        <f>IFERROR(IF(E1900="","",_xlfn.XLOOKUP(E1900,STUDENTS!F1899:F101896,STUDENTS!H1899:H101896)),"update STUDENT sheet")</f>
        <v/>
      </c>
    </row>
    <row r="1901">
      <c r="B1901">
        <f>IF(STUDENTS!B1900="","",STUDENTS!B1900)</f>
        <v/>
      </c>
      <c r="C1901">
        <f>IFERROR(IF(B1901="","",_xlfn.XLOOKUP(B1901,STUDENTS!$B$3:$B$1048576,STUDENTS!$C$3:$C$1048576)),"Enter a registered reg. no")</f>
        <v/>
      </c>
      <c r="E1901">
        <f>IFERROR(IF(C1901="","",_xlfn.XLOOKUP(C1901,STUDENTS!C1900:C101897,STUDENTS!F1900:F101897)),"update STUDENT sheet")</f>
        <v/>
      </c>
      <c r="F1901">
        <f>IFERROR(IF(D1901="","",_xlfn.XLOOKUP(D1901,STUDENTS!D1900:D101897,STUDENTS!G1900:G101897)),"update STUDENT sheet")</f>
        <v/>
      </c>
      <c r="G1901">
        <f>IFERROR(IF(E1901="","",_xlfn.XLOOKUP(E1901,STUDENTS!F1900:F101897,STUDENTS!H1900:H101897)),"update STUDENT sheet")</f>
        <v/>
      </c>
    </row>
    <row r="1902">
      <c r="B1902">
        <f>IF(STUDENTS!B1901="","",STUDENTS!B1901)</f>
        <v/>
      </c>
      <c r="C1902">
        <f>IFERROR(IF(B1902="","",_xlfn.XLOOKUP(B1902,STUDENTS!$B$3:$B$1048576,STUDENTS!$C$3:$C$1048576)),"Enter a registered reg. no")</f>
        <v/>
      </c>
      <c r="E1902">
        <f>IFERROR(IF(C1902="","",_xlfn.XLOOKUP(C1902,STUDENTS!C1901:C101898,STUDENTS!F1901:F101898)),"update STUDENT sheet")</f>
        <v/>
      </c>
      <c r="F1902">
        <f>IFERROR(IF(D1902="","",_xlfn.XLOOKUP(D1902,STUDENTS!D1901:D101898,STUDENTS!G1901:G101898)),"update STUDENT sheet")</f>
        <v/>
      </c>
      <c r="G1902">
        <f>IFERROR(IF(E1902="","",_xlfn.XLOOKUP(E1902,STUDENTS!F1901:F101898,STUDENTS!H1901:H101898)),"update STUDENT sheet")</f>
        <v/>
      </c>
    </row>
    <row r="1903">
      <c r="B1903">
        <f>IF(STUDENTS!B1902="","",STUDENTS!B1902)</f>
        <v/>
      </c>
      <c r="C1903">
        <f>IFERROR(IF(B1903="","",_xlfn.XLOOKUP(B1903,STUDENTS!$B$3:$B$1048576,STUDENTS!$C$3:$C$1048576)),"Enter a registered reg. no")</f>
        <v/>
      </c>
      <c r="E1903">
        <f>IFERROR(IF(C1903="","",_xlfn.XLOOKUP(C1903,STUDENTS!C1902:C101899,STUDENTS!F1902:F101899)),"update STUDENT sheet")</f>
        <v/>
      </c>
      <c r="F1903">
        <f>IFERROR(IF(D1903="","",_xlfn.XLOOKUP(D1903,STUDENTS!D1902:D101899,STUDENTS!G1902:G101899)),"update STUDENT sheet")</f>
        <v/>
      </c>
      <c r="G1903">
        <f>IFERROR(IF(E1903="","",_xlfn.XLOOKUP(E1903,STUDENTS!F1902:F101899,STUDENTS!H1902:H101899)),"update STUDENT sheet")</f>
        <v/>
      </c>
    </row>
    <row r="1904">
      <c r="B1904">
        <f>IF(STUDENTS!B1903="","",STUDENTS!B1903)</f>
        <v/>
      </c>
      <c r="C1904">
        <f>IFERROR(IF(B1904="","",_xlfn.XLOOKUP(B1904,STUDENTS!$B$3:$B$1048576,STUDENTS!$C$3:$C$1048576)),"Enter a registered reg. no")</f>
        <v/>
      </c>
      <c r="E1904">
        <f>IFERROR(IF(C1904="","",_xlfn.XLOOKUP(C1904,STUDENTS!C1903:C101900,STUDENTS!F1903:F101900)),"update STUDENT sheet")</f>
        <v/>
      </c>
      <c r="F1904">
        <f>IFERROR(IF(D1904="","",_xlfn.XLOOKUP(D1904,STUDENTS!D1903:D101900,STUDENTS!G1903:G101900)),"update STUDENT sheet")</f>
        <v/>
      </c>
      <c r="G1904">
        <f>IFERROR(IF(E1904="","",_xlfn.XLOOKUP(E1904,STUDENTS!F1903:F101900,STUDENTS!H1903:H101900)),"update STUDENT sheet")</f>
        <v/>
      </c>
    </row>
    <row r="1905">
      <c r="B1905">
        <f>IF(STUDENTS!B1904="","",STUDENTS!B1904)</f>
        <v/>
      </c>
      <c r="C1905">
        <f>IFERROR(IF(B1905="","",_xlfn.XLOOKUP(B1905,STUDENTS!$B$3:$B$1048576,STUDENTS!$C$3:$C$1048576)),"Enter a registered reg. no")</f>
        <v/>
      </c>
      <c r="E1905">
        <f>IFERROR(IF(C1905="","",_xlfn.XLOOKUP(C1905,STUDENTS!C1904:C101901,STUDENTS!F1904:F101901)),"update STUDENT sheet")</f>
        <v/>
      </c>
      <c r="F1905">
        <f>IFERROR(IF(D1905="","",_xlfn.XLOOKUP(D1905,STUDENTS!D1904:D101901,STUDENTS!G1904:G101901)),"update STUDENT sheet")</f>
        <v/>
      </c>
      <c r="G1905">
        <f>IFERROR(IF(E1905="","",_xlfn.XLOOKUP(E1905,STUDENTS!F1904:F101901,STUDENTS!H1904:H101901)),"update STUDENT sheet")</f>
        <v/>
      </c>
    </row>
    <row r="1906">
      <c r="B1906">
        <f>IF(STUDENTS!B1905="","",STUDENTS!B1905)</f>
        <v/>
      </c>
      <c r="C1906">
        <f>IFERROR(IF(B1906="","",_xlfn.XLOOKUP(B1906,STUDENTS!$B$3:$B$1048576,STUDENTS!$C$3:$C$1048576)),"Enter a registered reg. no")</f>
        <v/>
      </c>
      <c r="E1906">
        <f>IFERROR(IF(C1906="","",_xlfn.XLOOKUP(C1906,STUDENTS!C1905:C101902,STUDENTS!F1905:F101902)),"update STUDENT sheet")</f>
        <v/>
      </c>
      <c r="F1906">
        <f>IFERROR(IF(D1906="","",_xlfn.XLOOKUP(D1906,STUDENTS!D1905:D101902,STUDENTS!G1905:G101902)),"update STUDENT sheet")</f>
        <v/>
      </c>
      <c r="G1906">
        <f>IFERROR(IF(E1906="","",_xlfn.XLOOKUP(E1906,STUDENTS!F1905:F101902,STUDENTS!H1905:H101902)),"update STUDENT sheet")</f>
        <v/>
      </c>
    </row>
    <row r="1907">
      <c r="B1907">
        <f>IF(STUDENTS!B1906="","",STUDENTS!B1906)</f>
        <v/>
      </c>
      <c r="C1907">
        <f>IFERROR(IF(B1907="","",_xlfn.XLOOKUP(B1907,STUDENTS!$B$3:$B$1048576,STUDENTS!$C$3:$C$1048576)),"Enter a registered reg. no")</f>
        <v/>
      </c>
      <c r="E1907">
        <f>IFERROR(IF(C1907="","",_xlfn.XLOOKUP(C1907,STUDENTS!C1906:C101903,STUDENTS!F1906:F101903)),"update STUDENT sheet")</f>
        <v/>
      </c>
      <c r="F1907">
        <f>IFERROR(IF(D1907="","",_xlfn.XLOOKUP(D1907,STUDENTS!D1906:D101903,STUDENTS!G1906:G101903)),"update STUDENT sheet")</f>
        <v/>
      </c>
      <c r="G1907">
        <f>IFERROR(IF(E1907="","",_xlfn.XLOOKUP(E1907,STUDENTS!F1906:F101903,STUDENTS!H1906:H101903)),"update STUDENT sheet")</f>
        <v/>
      </c>
    </row>
    <row r="1908">
      <c r="B1908">
        <f>IF(STUDENTS!B1907="","",STUDENTS!B1907)</f>
        <v/>
      </c>
      <c r="C1908">
        <f>IFERROR(IF(B1908="","",_xlfn.XLOOKUP(B1908,STUDENTS!$B$3:$B$1048576,STUDENTS!$C$3:$C$1048576)),"Enter a registered reg. no")</f>
        <v/>
      </c>
      <c r="E1908">
        <f>IFERROR(IF(C1908="","",_xlfn.XLOOKUP(C1908,STUDENTS!C1907:C101904,STUDENTS!F1907:F101904)),"update STUDENT sheet")</f>
        <v/>
      </c>
      <c r="F1908">
        <f>IFERROR(IF(D1908="","",_xlfn.XLOOKUP(D1908,STUDENTS!D1907:D101904,STUDENTS!G1907:G101904)),"update STUDENT sheet")</f>
        <v/>
      </c>
      <c r="G1908">
        <f>IFERROR(IF(E1908="","",_xlfn.XLOOKUP(E1908,STUDENTS!F1907:F101904,STUDENTS!H1907:H101904)),"update STUDENT sheet")</f>
        <v/>
      </c>
    </row>
    <row r="1909">
      <c r="B1909">
        <f>IF(STUDENTS!B1908="","",STUDENTS!B1908)</f>
        <v/>
      </c>
      <c r="C1909">
        <f>IFERROR(IF(B1909="","",_xlfn.XLOOKUP(B1909,STUDENTS!$B$3:$B$1048576,STUDENTS!$C$3:$C$1048576)),"Enter a registered reg. no")</f>
        <v/>
      </c>
      <c r="E1909">
        <f>IFERROR(IF(C1909="","",_xlfn.XLOOKUP(C1909,STUDENTS!C1908:C101905,STUDENTS!F1908:F101905)),"update STUDENT sheet")</f>
        <v/>
      </c>
      <c r="F1909">
        <f>IFERROR(IF(D1909="","",_xlfn.XLOOKUP(D1909,STUDENTS!D1908:D101905,STUDENTS!G1908:G101905)),"update STUDENT sheet")</f>
        <v/>
      </c>
      <c r="G1909">
        <f>IFERROR(IF(E1909="","",_xlfn.XLOOKUP(E1909,STUDENTS!F1908:F101905,STUDENTS!H1908:H101905)),"update STUDENT sheet")</f>
        <v/>
      </c>
    </row>
    <row r="1910">
      <c r="B1910">
        <f>IF(STUDENTS!B1909="","",STUDENTS!B1909)</f>
        <v/>
      </c>
      <c r="C1910">
        <f>IFERROR(IF(B1910="","",_xlfn.XLOOKUP(B1910,STUDENTS!$B$3:$B$1048576,STUDENTS!$C$3:$C$1048576)),"Enter a registered reg. no")</f>
        <v/>
      </c>
      <c r="E1910">
        <f>IFERROR(IF(C1910="","",_xlfn.XLOOKUP(C1910,STUDENTS!C1909:C101906,STUDENTS!F1909:F101906)),"update STUDENT sheet")</f>
        <v/>
      </c>
      <c r="F1910">
        <f>IFERROR(IF(D1910="","",_xlfn.XLOOKUP(D1910,STUDENTS!D1909:D101906,STUDENTS!G1909:G101906)),"update STUDENT sheet")</f>
        <v/>
      </c>
      <c r="G1910">
        <f>IFERROR(IF(E1910="","",_xlfn.XLOOKUP(E1910,STUDENTS!F1909:F101906,STUDENTS!H1909:H101906)),"update STUDENT sheet")</f>
        <v/>
      </c>
    </row>
    <row r="1911">
      <c r="B1911">
        <f>IF(STUDENTS!B1910="","",STUDENTS!B1910)</f>
        <v/>
      </c>
      <c r="C1911">
        <f>IFERROR(IF(B1911="","",_xlfn.XLOOKUP(B1911,STUDENTS!$B$3:$B$1048576,STUDENTS!$C$3:$C$1048576)),"Enter a registered reg. no")</f>
        <v/>
      </c>
      <c r="E1911">
        <f>IFERROR(IF(C1911="","",_xlfn.XLOOKUP(C1911,STUDENTS!C1910:C101907,STUDENTS!F1910:F101907)),"update STUDENT sheet")</f>
        <v/>
      </c>
      <c r="F1911">
        <f>IFERROR(IF(D1911="","",_xlfn.XLOOKUP(D1911,STUDENTS!D1910:D101907,STUDENTS!G1910:G101907)),"update STUDENT sheet")</f>
        <v/>
      </c>
      <c r="G1911">
        <f>IFERROR(IF(E1911="","",_xlfn.XLOOKUP(E1911,STUDENTS!F1910:F101907,STUDENTS!H1910:H101907)),"update STUDENT sheet")</f>
        <v/>
      </c>
    </row>
    <row r="1912">
      <c r="B1912">
        <f>IF(STUDENTS!B1911="","",STUDENTS!B1911)</f>
        <v/>
      </c>
      <c r="C1912">
        <f>IFERROR(IF(B1912="","",_xlfn.XLOOKUP(B1912,STUDENTS!$B$3:$B$1048576,STUDENTS!$C$3:$C$1048576)),"Enter a registered reg. no")</f>
        <v/>
      </c>
      <c r="E1912">
        <f>IFERROR(IF(C1912="","",_xlfn.XLOOKUP(C1912,STUDENTS!C1911:C101908,STUDENTS!F1911:F101908)),"update STUDENT sheet")</f>
        <v/>
      </c>
      <c r="F1912">
        <f>IFERROR(IF(D1912="","",_xlfn.XLOOKUP(D1912,STUDENTS!D1911:D101908,STUDENTS!G1911:G101908)),"update STUDENT sheet")</f>
        <v/>
      </c>
      <c r="G1912">
        <f>IFERROR(IF(E1912="","",_xlfn.XLOOKUP(E1912,STUDENTS!F1911:F101908,STUDENTS!H1911:H101908)),"update STUDENT sheet")</f>
        <v/>
      </c>
    </row>
    <row r="1913">
      <c r="B1913">
        <f>IF(STUDENTS!B1912="","",STUDENTS!B1912)</f>
        <v/>
      </c>
      <c r="C1913">
        <f>IFERROR(IF(B1913="","",_xlfn.XLOOKUP(B1913,STUDENTS!$B$3:$B$1048576,STUDENTS!$C$3:$C$1048576)),"Enter a registered reg. no")</f>
        <v/>
      </c>
      <c r="E1913">
        <f>IFERROR(IF(C1913="","",_xlfn.XLOOKUP(C1913,STUDENTS!C1912:C101909,STUDENTS!F1912:F101909)),"update STUDENT sheet")</f>
        <v/>
      </c>
      <c r="F1913">
        <f>IFERROR(IF(D1913="","",_xlfn.XLOOKUP(D1913,STUDENTS!D1912:D101909,STUDENTS!G1912:G101909)),"update STUDENT sheet")</f>
        <v/>
      </c>
      <c r="G1913">
        <f>IFERROR(IF(E1913="","",_xlfn.XLOOKUP(E1913,STUDENTS!F1912:F101909,STUDENTS!H1912:H101909)),"update STUDENT sheet")</f>
        <v/>
      </c>
    </row>
    <row r="1914">
      <c r="B1914">
        <f>IF(STUDENTS!B1913="","",STUDENTS!B1913)</f>
        <v/>
      </c>
      <c r="C1914">
        <f>IFERROR(IF(B1914="","",_xlfn.XLOOKUP(B1914,STUDENTS!$B$3:$B$1048576,STUDENTS!$C$3:$C$1048576)),"Enter a registered reg. no")</f>
        <v/>
      </c>
      <c r="E1914">
        <f>IFERROR(IF(C1914="","",_xlfn.XLOOKUP(C1914,STUDENTS!C1913:C101910,STUDENTS!F1913:F101910)),"update STUDENT sheet")</f>
        <v/>
      </c>
      <c r="F1914">
        <f>IFERROR(IF(D1914="","",_xlfn.XLOOKUP(D1914,STUDENTS!D1913:D101910,STUDENTS!G1913:G101910)),"update STUDENT sheet")</f>
        <v/>
      </c>
      <c r="G1914">
        <f>IFERROR(IF(E1914="","",_xlfn.XLOOKUP(E1914,STUDENTS!F1913:F101910,STUDENTS!H1913:H101910)),"update STUDENT sheet")</f>
        <v/>
      </c>
    </row>
    <row r="1915">
      <c r="B1915">
        <f>IF(STUDENTS!B1914="","",STUDENTS!B1914)</f>
        <v/>
      </c>
      <c r="C1915">
        <f>IFERROR(IF(B1915="","",_xlfn.XLOOKUP(B1915,STUDENTS!$B$3:$B$1048576,STUDENTS!$C$3:$C$1048576)),"Enter a registered reg. no")</f>
        <v/>
      </c>
      <c r="E1915">
        <f>IFERROR(IF(C1915="","",_xlfn.XLOOKUP(C1915,STUDENTS!C1914:C101911,STUDENTS!F1914:F101911)),"update STUDENT sheet")</f>
        <v/>
      </c>
      <c r="F1915">
        <f>IFERROR(IF(D1915="","",_xlfn.XLOOKUP(D1915,STUDENTS!D1914:D101911,STUDENTS!G1914:G101911)),"update STUDENT sheet")</f>
        <v/>
      </c>
      <c r="G1915">
        <f>IFERROR(IF(E1915="","",_xlfn.XLOOKUP(E1915,STUDENTS!F1914:F101911,STUDENTS!H1914:H101911)),"update STUDENT sheet")</f>
        <v/>
      </c>
    </row>
    <row r="1916">
      <c r="B1916">
        <f>IF(STUDENTS!B1915="","",STUDENTS!B1915)</f>
        <v/>
      </c>
      <c r="C1916">
        <f>IFERROR(IF(B1916="","",_xlfn.XLOOKUP(B1916,STUDENTS!$B$3:$B$1048576,STUDENTS!$C$3:$C$1048576)),"Enter a registered reg. no")</f>
        <v/>
      </c>
      <c r="E1916">
        <f>IFERROR(IF(C1916="","",_xlfn.XLOOKUP(C1916,STUDENTS!C1915:C101912,STUDENTS!F1915:F101912)),"update STUDENT sheet")</f>
        <v/>
      </c>
      <c r="F1916">
        <f>IFERROR(IF(D1916="","",_xlfn.XLOOKUP(D1916,STUDENTS!D1915:D101912,STUDENTS!G1915:G101912)),"update STUDENT sheet")</f>
        <v/>
      </c>
      <c r="G1916">
        <f>IFERROR(IF(E1916="","",_xlfn.XLOOKUP(E1916,STUDENTS!F1915:F101912,STUDENTS!H1915:H101912)),"update STUDENT sheet")</f>
        <v/>
      </c>
    </row>
    <row r="1917">
      <c r="B1917">
        <f>IF(STUDENTS!B1916="","",STUDENTS!B1916)</f>
        <v/>
      </c>
      <c r="C1917">
        <f>IFERROR(IF(B1917="","",_xlfn.XLOOKUP(B1917,STUDENTS!$B$3:$B$1048576,STUDENTS!$C$3:$C$1048576)),"Enter a registered reg. no")</f>
        <v/>
      </c>
      <c r="E1917">
        <f>IFERROR(IF(C1917="","",_xlfn.XLOOKUP(C1917,STUDENTS!C1916:C101913,STUDENTS!F1916:F101913)),"update STUDENT sheet")</f>
        <v/>
      </c>
      <c r="F1917">
        <f>IFERROR(IF(D1917="","",_xlfn.XLOOKUP(D1917,STUDENTS!D1916:D101913,STUDENTS!G1916:G101913)),"update STUDENT sheet")</f>
        <v/>
      </c>
      <c r="G1917">
        <f>IFERROR(IF(E1917="","",_xlfn.XLOOKUP(E1917,STUDENTS!F1916:F101913,STUDENTS!H1916:H101913)),"update STUDENT sheet")</f>
        <v/>
      </c>
    </row>
    <row r="1918">
      <c r="B1918">
        <f>IF(STUDENTS!B1917="","",STUDENTS!B1917)</f>
        <v/>
      </c>
      <c r="C1918">
        <f>IFERROR(IF(B1918="","",_xlfn.XLOOKUP(B1918,STUDENTS!$B$3:$B$1048576,STUDENTS!$C$3:$C$1048576)),"Enter a registered reg. no")</f>
        <v/>
      </c>
      <c r="E1918">
        <f>IFERROR(IF(C1918="","",_xlfn.XLOOKUP(C1918,STUDENTS!C1917:C101914,STUDENTS!F1917:F101914)),"update STUDENT sheet")</f>
        <v/>
      </c>
      <c r="F1918">
        <f>IFERROR(IF(D1918="","",_xlfn.XLOOKUP(D1918,STUDENTS!D1917:D101914,STUDENTS!G1917:G101914)),"update STUDENT sheet")</f>
        <v/>
      </c>
      <c r="G1918">
        <f>IFERROR(IF(E1918="","",_xlfn.XLOOKUP(E1918,STUDENTS!F1917:F101914,STUDENTS!H1917:H101914)),"update STUDENT sheet")</f>
        <v/>
      </c>
    </row>
    <row r="1919">
      <c r="B1919">
        <f>IF(STUDENTS!B1918="","",STUDENTS!B1918)</f>
        <v/>
      </c>
      <c r="E1919">
        <f>IFERROR(IF(C1919="","",_xlfn.XLOOKUP(C1919,STUDENTS!C1918:C101915,STUDENTS!F1918:F101915)),"update STUDENT sheet")</f>
        <v/>
      </c>
      <c r="F1919">
        <f>IFERROR(IF(D1919="","",_xlfn.XLOOKUP(D1919,STUDENTS!D1918:D101915,STUDENTS!G1918:G101915)),"update STUDENT sheet")</f>
        <v/>
      </c>
      <c r="G1919">
        <f>IFERROR(IF(E1919="","",_xlfn.XLOOKUP(E1919,STUDENTS!F1918:F101915,STUDENTS!H1918:H101915)),"update STUDENT sheet")</f>
        <v/>
      </c>
    </row>
    <row r="1920">
      <c r="B1920">
        <f>IF(STUDENTS!B1919="","",STUDENTS!B1919)</f>
        <v/>
      </c>
      <c r="E1920">
        <f>IFERROR(IF(C1920="","",_xlfn.XLOOKUP(C1920,STUDENTS!C1919:C101916,STUDENTS!F1919:F101916)),"update STUDENT sheet")</f>
        <v/>
      </c>
      <c r="F1920">
        <f>IFERROR(IF(D1920="","",_xlfn.XLOOKUP(D1920,STUDENTS!D1919:D101916,STUDENTS!G1919:G101916)),"update STUDENT sheet")</f>
        <v/>
      </c>
      <c r="G1920">
        <f>IFERROR(IF(E1920="","",_xlfn.XLOOKUP(E1920,STUDENTS!F1919:F101916,STUDENTS!H1919:H101916)),"update STUDENT sheet")</f>
        <v/>
      </c>
    </row>
    <row r="1921">
      <c r="B1921">
        <f>IF(STUDENTS!B1920="","",STUDENTS!B1920)</f>
        <v/>
      </c>
      <c r="E1921">
        <f>IFERROR(IF(C1921="","",_xlfn.XLOOKUP(C1921,STUDENTS!C1920:C101917,STUDENTS!F1920:F101917)),"update STUDENT sheet")</f>
        <v/>
      </c>
      <c r="F1921">
        <f>IFERROR(IF(D1921="","",_xlfn.XLOOKUP(D1921,STUDENTS!D1920:D101917,STUDENTS!G1920:G101917)),"update STUDENT sheet")</f>
        <v/>
      </c>
      <c r="G1921">
        <f>IFERROR(IF(E1921="","",_xlfn.XLOOKUP(E1921,STUDENTS!F1920:F101917,STUDENTS!H1920:H101917)),"update STUDENT sheet")</f>
        <v/>
      </c>
    </row>
    <row r="1922">
      <c r="B1922">
        <f>IF(STUDENTS!B1921="","",STUDENTS!B1921)</f>
        <v/>
      </c>
      <c r="E1922">
        <f>IFERROR(IF(C1922="","",_xlfn.XLOOKUP(C1922,STUDENTS!C1921:C101918,STUDENTS!F1921:F101918)),"update STUDENT sheet")</f>
        <v/>
      </c>
      <c r="F1922">
        <f>IFERROR(IF(D1922="","",_xlfn.XLOOKUP(D1922,STUDENTS!D1921:D101918,STUDENTS!G1921:G101918)),"update STUDENT sheet")</f>
        <v/>
      </c>
      <c r="G1922">
        <f>IFERROR(IF(E1922="","",_xlfn.XLOOKUP(E1922,STUDENTS!F1921:F101918,STUDENTS!H1921:H101918)),"update STUDENT sheet")</f>
        <v/>
      </c>
    </row>
    <row r="1923">
      <c r="B1923">
        <f>IF(STUDENTS!B1922="","",STUDENTS!B1922)</f>
        <v/>
      </c>
      <c r="E1923">
        <f>IFERROR(IF(C1923="","",_xlfn.XLOOKUP(C1923,STUDENTS!C1922:C101919,STUDENTS!F1922:F101919)),"update STUDENT sheet")</f>
        <v/>
      </c>
      <c r="F1923">
        <f>IFERROR(IF(D1923="","",_xlfn.XLOOKUP(D1923,STUDENTS!D1922:D101919,STUDENTS!G1922:G101919)),"update STUDENT sheet")</f>
        <v/>
      </c>
      <c r="G1923">
        <f>IFERROR(IF(E1923="","",_xlfn.XLOOKUP(E1923,STUDENTS!F1922:F101919,STUDENTS!H1922:H101919)),"update STUDENT sheet")</f>
        <v/>
      </c>
    </row>
    <row r="1924">
      <c r="B1924">
        <f>IF(STUDENTS!B1923="","",STUDENTS!B1923)</f>
        <v/>
      </c>
      <c r="E1924">
        <f>IFERROR(IF(C1924="","",_xlfn.XLOOKUP(C1924,STUDENTS!C1923:C101920,STUDENTS!F1923:F101920)),"update STUDENT sheet")</f>
        <v/>
      </c>
      <c r="F1924">
        <f>IFERROR(IF(D1924="","",_xlfn.XLOOKUP(D1924,STUDENTS!D1923:D101920,STUDENTS!G1923:G101920)),"update STUDENT sheet")</f>
        <v/>
      </c>
      <c r="G1924">
        <f>IFERROR(IF(E1924="","",_xlfn.XLOOKUP(E1924,STUDENTS!F1923:F101920,STUDENTS!H1923:H101920)),"update STUDENT sheet")</f>
        <v/>
      </c>
    </row>
    <row r="1925">
      <c r="B1925">
        <f>IF(STUDENTS!B1924="","",STUDENTS!B1924)</f>
        <v/>
      </c>
      <c r="E1925">
        <f>IFERROR(IF(C1925="","",_xlfn.XLOOKUP(C1925,STUDENTS!C1924:C101921,STUDENTS!F1924:F101921)),"update STUDENT sheet")</f>
        <v/>
      </c>
      <c r="F1925">
        <f>IFERROR(IF(D1925="","",_xlfn.XLOOKUP(D1925,STUDENTS!D1924:D101921,STUDENTS!G1924:G101921)),"update STUDENT sheet")</f>
        <v/>
      </c>
      <c r="G1925">
        <f>IFERROR(IF(E1925="","",_xlfn.XLOOKUP(E1925,STUDENTS!F1924:F101921,STUDENTS!H1924:H101921)),"update STUDENT sheet")</f>
        <v/>
      </c>
    </row>
    <row r="1926">
      <c r="B1926">
        <f>IF(STUDENTS!B1925="","",STUDENTS!B1925)</f>
        <v/>
      </c>
      <c r="E1926">
        <f>IFERROR(IF(C1926="","",_xlfn.XLOOKUP(C1926,STUDENTS!C1925:C101922,STUDENTS!F1925:F101922)),"update STUDENT sheet")</f>
        <v/>
      </c>
      <c r="F1926">
        <f>IFERROR(IF(D1926="","",_xlfn.XLOOKUP(D1926,STUDENTS!D1925:D101922,STUDENTS!G1925:G101922)),"update STUDENT sheet")</f>
        <v/>
      </c>
      <c r="G1926">
        <f>IFERROR(IF(E1926="","",_xlfn.XLOOKUP(E1926,STUDENTS!F1925:F101922,STUDENTS!H1925:H101922)),"update STUDENT sheet")</f>
        <v/>
      </c>
    </row>
    <row r="1927">
      <c r="B1927">
        <f>IF(STUDENTS!B1926="","",STUDENTS!B1926)</f>
        <v/>
      </c>
      <c r="E1927">
        <f>IFERROR(IF(C1927="","",_xlfn.XLOOKUP(C1927,STUDENTS!C1926:C101923,STUDENTS!F1926:F101923)),"update STUDENT sheet")</f>
        <v/>
      </c>
      <c r="F1927">
        <f>IFERROR(IF(D1927="","",_xlfn.XLOOKUP(D1927,STUDENTS!D1926:D101923,STUDENTS!G1926:G101923)),"update STUDENT sheet")</f>
        <v/>
      </c>
      <c r="G1927">
        <f>IFERROR(IF(E1927="","",_xlfn.XLOOKUP(E1927,STUDENTS!F1926:F101923,STUDENTS!H1926:H101923)),"update STUDENT sheet")</f>
        <v/>
      </c>
    </row>
    <row r="1928">
      <c r="B1928">
        <f>IF(STUDENTS!B1927="","",STUDENTS!B1927)</f>
        <v/>
      </c>
      <c r="E1928">
        <f>IFERROR(IF(C1928="","",_xlfn.XLOOKUP(C1928,STUDENTS!C1927:C101924,STUDENTS!F1927:F101924)),"update STUDENT sheet")</f>
        <v/>
      </c>
      <c r="F1928">
        <f>IFERROR(IF(D1928="","",_xlfn.XLOOKUP(D1928,STUDENTS!D1927:D101924,STUDENTS!G1927:G101924)),"update STUDENT sheet")</f>
        <v/>
      </c>
      <c r="G1928">
        <f>IFERROR(IF(E1928="","",_xlfn.XLOOKUP(E1928,STUDENTS!F1927:F101924,STUDENTS!H1927:H101924)),"update STUDENT sheet")</f>
        <v/>
      </c>
    </row>
  </sheetData>
  <mergeCells count="7">
    <mergeCell ref="H2:O2"/>
    <mergeCell ref="C2:C3"/>
    <mergeCell ref="B2:B3"/>
    <mergeCell ref="D2:D3"/>
    <mergeCell ref="F2:F3"/>
    <mergeCell ref="E2:E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B1:X59"/>
  <sheetViews>
    <sheetView showGridLines="0" zoomScale="80" zoomScaleNormal="80" workbookViewId="0">
      <selection activeCell="B12" sqref="B12"/>
    </sheetView>
  </sheetViews>
  <sheetFormatPr baseColWidth="8" defaultRowHeight="15"/>
  <cols>
    <col width="2.85546875" customWidth="1" style="130" min="1" max="1"/>
    <col width="20.42578125" bestFit="1" customWidth="1" style="130" min="2" max="2"/>
    <col width="24.42578125" customWidth="1" style="130" min="3" max="3"/>
    <col width="14.5703125" customWidth="1" style="130" min="4" max="4"/>
    <col width="6.85546875" customWidth="1" style="130" min="5" max="5"/>
    <col width="9.5703125" customWidth="1" style="130" min="6" max="6"/>
    <col width="11.140625" customWidth="1" style="130" min="7" max="7"/>
    <col width="12.85546875" customWidth="1" style="130" min="8" max="8"/>
    <col width="14.28515625" customWidth="1" style="130" min="9" max="9"/>
    <col width="10.42578125" customWidth="1" style="130" min="10" max="10"/>
    <col width="9" customWidth="1" style="130" min="11" max="11"/>
    <col width="1.140625" customWidth="1" style="130" min="12" max="12"/>
  </cols>
  <sheetData>
    <row r="1" ht="3" customHeight="1" s="130">
      <c r="B1" s="38" t="n"/>
      <c r="C1" s="38" t="n"/>
      <c r="D1" s="38" t="n"/>
      <c r="E1" s="38" t="n"/>
      <c r="F1" s="38" t="n"/>
      <c r="G1" s="38" t="n"/>
      <c r="H1" s="38" t="n"/>
      <c r="I1" s="38" t="n"/>
      <c r="J1" s="38" t="n"/>
      <c r="K1" s="38" t="n"/>
      <c r="L1" s="38" t="n"/>
    </row>
    <row r="2" ht="6.75" customHeight="1" s="130"/>
    <row r="3" ht="9.75" customHeight="1" s="130">
      <c r="C3" s="77" t="inlineStr">
        <is>
          <t>GF/001</t>
        </is>
      </c>
    </row>
    <row r="4" ht="27.95" customHeight="1" s="130">
      <c r="B4" s="138">
        <f>SETTINGS!C5</f>
        <v/>
      </c>
    </row>
    <row r="5" ht="14.1" customHeight="1" s="130">
      <c r="B5" s="68" t="n"/>
      <c r="D5" s="148">
        <f>SETTINGS!C6</f>
        <v/>
      </c>
    </row>
    <row r="6" ht="14.1" customHeight="1" s="130">
      <c r="B6" s="147">
        <f>"Motto: "&amp; SETTINGS!C7</f>
        <v/>
      </c>
    </row>
    <row r="7" ht="14.1" customHeight="1" s="130">
      <c r="B7" s="147" t="n"/>
    </row>
    <row r="8" ht="18" customHeight="1" s="130">
      <c r="B8" s="139">
        <f>"STUDENT REPORT SHEET"</f>
        <v/>
      </c>
    </row>
    <row r="9" ht="2.25" customHeight="1" s="130">
      <c r="B9" s="33" t="n"/>
      <c r="C9" s="34" t="n"/>
      <c r="D9" s="34" t="n"/>
      <c r="E9" s="34" t="n"/>
      <c r="F9" s="34" t="n"/>
      <c r="G9" s="34" t="n"/>
      <c r="H9" s="34" t="n"/>
      <c r="I9" s="34" t="n"/>
      <c r="J9" s="34" t="n"/>
      <c r="K9" s="34" t="n"/>
    </row>
    <row r="10" ht="3" customHeight="1" s="130"/>
    <row r="11" ht="15" customHeight="1" s="130">
      <c r="B11" s="80" t="inlineStr">
        <is>
          <t>Student Name:</t>
        </is>
      </c>
      <c r="C11" s="199">
        <f>IF(I11="","",_xlfn.XLOOKUP(I11,STUDENTS!B3:B1500,STUDENTS!C3:C1500))</f>
        <v/>
      </c>
      <c r="D11" s="146" t="n"/>
      <c r="E11" s="103" t="n"/>
      <c r="F11" s="133" t="inlineStr">
        <is>
          <t>Admission Number:</t>
        </is>
      </c>
      <c r="I11" s="141">
        <f>$P$15</f>
        <v/>
      </c>
      <c r="J11" s="145" t="n"/>
      <c r="K11" s="200" t="n"/>
    </row>
    <row r="12" ht="15" customHeight="1" s="130">
      <c r="B12" s="80" t="inlineStr">
        <is>
          <t>Class:</t>
        </is>
      </c>
      <c r="C12" s="201">
        <f>_xlfn.XLOOKUP(I11,STUDENTS!B3:B1500,STUDENTS!D3:D1500) &amp; " " &amp; _xlfn.XLOOKUP(I11,STUDENTS!B3:B1500,STUDENTS!E3:E1500)</f>
        <v/>
      </c>
      <c r="D12" s="146" t="n"/>
      <c r="E12" s="103" t="n"/>
      <c r="F12" s="133" t="inlineStr">
        <is>
          <t>Gender:</t>
        </is>
      </c>
      <c r="I12" s="144">
        <f>_xlfn.XLOOKUP(I11,STUDENTS!B3:B10000,STUDENTS!F3:F10000)</f>
        <v/>
      </c>
      <c r="J12" s="145" t="n"/>
      <c r="K12" s="200" t="n"/>
    </row>
    <row r="13">
      <c r="B13" s="80" t="inlineStr">
        <is>
          <t>Academic Session:</t>
        </is>
      </c>
      <c r="C13" s="201">
        <f>SETTINGS!C10</f>
        <v/>
      </c>
      <c r="D13" s="146" t="n"/>
      <c r="E13" s="103" t="n"/>
      <c r="F13" s="133" t="inlineStr">
        <is>
          <t>Term:</t>
        </is>
      </c>
      <c r="I13" s="144">
        <f>SETTINGS!C11</f>
        <v/>
      </c>
      <c r="J13" s="145" t="n"/>
      <c r="K13" s="200" t="n"/>
    </row>
    <row r="14" ht="15.75" customHeight="1" s="130" thickBot="1">
      <c r="B14" s="80" t="inlineStr">
        <is>
          <t>Days Present:</t>
        </is>
      </c>
      <c r="C14" s="201">
        <f>_xlfn.XLOOKUP(I11,STUDENTS!B3:B1500,STUDENTS!G3:G1500)</f>
        <v/>
      </c>
      <c r="D14" s="146" t="n"/>
      <c r="E14" s="103" t="n"/>
      <c r="F14" s="133" t="inlineStr">
        <is>
          <t>Days Absent:</t>
        </is>
      </c>
      <c r="I14" s="144">
        <f>_xlfn.XLOOKUP(I11,STUDENTS!B3:B1500,STUDENTS!H3:H1500)</f>
        <v/>
      </c>
      <c r="J14" s="145" t="n"/>
      <c r="K14" s="200" t="n"/>
      <c r="N14" s="149" t="inlineStr">
        <is>
          <t>⚙  CONTROL PANEL — Select a student then click EXPORT…..</t>
        </is>
      </c>
    </row>
    <row r="15" ht="15.75" customHeight="1" s="130" thickBot="1">
      <c r="B15" s="80" t="inlineStr">
        <is>
          <t>Attendance %:</t>
        </is>
      </c>
      <c r="C15" s="201">
        <f>J35</f>
        <v/>
      </c>
      <c r="D15" s="146" t="n"/>
      <c r="E15" s="103" t="n"/>
      <c r="F15" s="133" t="inlineStr">
        <is>
          <t>Grade:</t>
        </is>
      </c>
      <c r="I15" s="150">
        <f>C35</f>
        <v/>
      </c>
      <c r="J15" s="145" t="n"/>
      <c r="K15" s="200" t="n"/>
      <c r="N15" s="155" t="inlineStr">
        <is>
          <t>Select Reg No.:</t>
        </is>
      </c>
      <c r="P15" s="156" t="inlineStr">
        <is>
          <t>BSC1/001</t>
        </is>
      </c>
      <c r="Q15" s="157" t="n"/>
      <c r="R15" s="154" t="inlineStr">
        <is>
          <t>OR → Reg No. for ALL students:</t>
        </is>
      </c>
      <c r="V15" s="153" t="inlineStr">
        <is>
          <t>ALL</t>
        </is>
      </c>
    </row>
    <row r="16" ht="6" customHeight="1" s="130"/>
    <row r="17" ht="15.95" customHeight="1" s="130">
      <c r="B17" s="136" t="inlineStr">
        <is>
          <t>ACADEMIC PERFORMANCE</t>
        </is>
      </c>
    </row>
    <row r="18" ht="23.25" customHeight="1" s="130">
      <c r="B18" s="12" t="inlineStr">
        <is>
          <t>S/N</t>
        </is>
      </c>
      <c r="C18" s="12" t="inlineStr">
        <is>
          <t>Subject</t>
        </is>
      </c>
      <c r="D18" s="35" t="inlineStr">
        <is>
          <t>CA Score (40)</t>
        </is>
      </c>
      <c r="E18" s="35" t="inlineStr">
        <is>
          <t>Exam Score (60)</t>
        </is>
      </c>
      <c r="F18" s="202" t="n"/>
      <c r="G18" s="35" t="inlineStr">
        <is>
          <t>Total (100)</t>
        </is>
      </c>
      <c r="H18" s="202" t="n"/>
      <c r="I18" s="12" t="inlineStr">
        <is>
          <t>Grade</t>
        </is>
      </c>
      <c r="J18" s="158" t="inlineStr">
        <is>
          <t>Remark</t>
        </is>
      </c>
      <c r="K18" s="203" t="n"/>
    </row>
    <row r="19" ht="26.25" customHeight="1" s="130">
      <c r="B19" s="92" t="n">
        <v>1</v>
      </c>
      <c r="C19" s="93">
        <f>SUBJECTS!C6</f>
        <v/>
      </c>
      <c r="D19" s="92">
        <f>IFERROR(VALUE(_xlfn.XLOOKUP($I$11,SCORE_SHEET!$B$4:$B$10000,SCORE_SHEET!D4:D10000)),"")</f>
        <v/>
      </c>
      <c r="E19" s="92">
        <f>VALUE(_xlfn.XLOOKUP($I$11,SCORE_SHEET!$B$4:$B$10000,SCORE_SHEET!E4:E10000))</f>
        <v/>
      </c>
      <c r="F19" s="202" t="n"/>
      <c r="G19" s="92">
        <f>SUM(D19:E19)</f>
        <v/>
      </c>
      <c r="H19" s="202" t="n"/>
      <c r="I19" s="99">
        <f t="array" ref="I19">_xlfn.IFS(G19&gt;=70,"A",G19&gt;=60,"B",G19&gt;=50,"C",G19&gt;=40,"D",G19&lt;40,"F")</f>
        <v/>
      </c>
      <c r="J19" s="92">
        <f t="array" ref="J19">_xlfn.IFS(I19=$E$32,$G$32,I19=$E$33,$G$33,I19=$E$34,$G$34,I19=$E$35,$G$35,I19=$E$36,$G$36)</f>
        <v/>
      </c>
      <c r="K19" s="202" t="n"/>
    </row>
    <row r="20" ht="26.25" customHeight="1" s="130">
      <c r="B20" s="94" t="n">
        <v>2</v>
      </c>
      <c r="C20" s="95">
        <f>SUBJECTS!C7</f>
        <v/>
      </c>
      <c r="D20" s="94">
        <f>IFERROR(VALUE(_xlfn.XLOOKUP($I$11,SCORE_SHEET!$B$4:$B$10000,SCORE_SHEET!F4:F10000)),"")</f>
        <v/>
      </c>
      <c r="E20" s="94">
        <f>_xlfn.XLOOKUP($I$11,SCORE_SHEET!$B$4:$B$10000,SCORE_SHEET!G4:G10000)</f>
        <v/>
      </c>
      <c r="F20" s="202" t="n"/>
      <c r="G20" s="94">
        <f>SUM(D20:E20)</f>
        <v/>
      </c>
      <c r="H20" s="202" t="n"/>
      <c r="I20" s="100">
        <f t="array" ref="I20">_xlfn.IFS(G20&gt;=70,"A",G20&gt;=60,"B",G20&gt;=50,"C",G20&gt;=40,"D",G20&lt;40,"F")</f>
        <v/>
      </c>
      <c r="J20" s="94">
        <f t="array" ref="J20">_xlfn.IFS(I20=$E$32,$G$32,I20=$E$33,$G$33,I20=$E$34,$G$34,I20=$E$35,$G$35,I20=$E$36,$G$36)</f>
        <v/>
      </c>
      <c r="K20" s="202" t="n"/>
    </row>
    <row r="21" ht="26.25" customHeight="1" s="130">
      <c r="B21" s="92" t="n">
        <v>3</v>
      </c>
      <c r="C21" s="93">
        <f>SUBJECTS!C8</f>
        <v/>
      </c>
      <c r="D21" s="92">
        <f>IFERROR(VALUE(_xlfn.XLOOKUP($I$11,SCORE_SHEET!$B$4:$B$10000,SCORE_SHEET!H4:H10000)),"")</f>
        <v/>
      </c>
      <c r="E21" s="92">
        <f>_xlfn.XLOOKUP($I$11,SCORE_SHEET!$B$4:$B$10000,SCORE_SHEET!I4:I10000)</f>
        <v/>
      </c>
      <c r="F21" s="202" t="n"/>
      <c r="G21" s="92">
        <f>SUM(D21:E21)</f>
        <v/>
      </c>
      <c r="H21" s="202" t="n"/>
      <c r="I21" s="99">
        <f t="array" ref="I21">_xlfn.IFS(G21&gt;=70,"A",G21&gt;=60,"B",G21&gt;=50,"C",G21&gt;=40,"D",G21&lt;40,"F")</f>
        <v/>
      </c>
      <c r="J21" s="92">
        <f t="array" ref="J21">_xlfn.IFS(I21=$E$32,$G$32,I21=$E$33,$G$33,I21=$E$34,$G$34,I21=$E$35,$G$35,I21=$E$36,$G$36)</f>
        <v/>
      </c>
      <c r="K21" s="202" t="n"/>
    </row>
    <row r="22" ht="26.25" customHeight="1" s="130">
      <c r="B22" s="94" t="n">
        <v>4</v>
      </c>
      <c r="C22" s="95">
        <f>SUBJECTS!C9</f>
        <v/>
      </c>
      <c r="D22" s="94">
        <f>IFERROR(VALUE(_xlfn.XLOOKUP($I$11,SCORE_SHEET!$B$4:$B$10000,SCORE_SHEET!J4:J10000)),"")</f>
        <v/>
      </c>
      <c r="E22" s="94">
        <f>_xlfn.XLOOKUP($I$11,SCORE_SHEET!$B$4:$B$10000,SCORE_SHEET!K4:K10000)</f>
        <v/>
      </c>
      <c r="F22" s="202" t="n"/>
      <c r="G22" s="94">
        <f>SUM(D22:E22)</f>
        <v/>
      </c>
      <c r="H22" s="202" t="n"/>
      <c r="I22" s="100">
        <f t="array" ref="I22">_xlfn.IFS(G22&gt;=70,"A",G22&gt;=60,"B",G22&gt;=50,"C",G22&gt;=40,"D",G22&lt;40,"F")</f>
        <v/>
      </c>
      <c r="J22" s="94">
        <f t="array" ref="J22">_xlfn.IFS(I22=$E$32,$G$32,I22=$E$33,$G$33,I22=$E$34,$G$34,I22=$E$35,$G$35,I22=$E$36,$G$36)</f>
        <v/>
      </c>
      <c r="K22" s="202" t="n"/>
    </row>
    <row r="23" ht="26.25" customHeight="1" s="130">
      <c r="B23" s="92" t="n">
        <v>5</v>
      </c>
      <c r="C23" s="93">
        <f>SUBJECTS!C10</f>
        <v/>
      </c>
      <c r="D23" s="92">
        <f>IFERROR(VALUE(_xlfn.XLOOKUP($I$11,SCORE_SHEET!$B$4:$B$10000,SCORE_SHEET!L4:L10000)),"")</f>
        <v/>
      </c>
      <c r="E23" s="92">
        <f>_xlfn.XLOOKUP($I$11,SCORE_SHEET!$B$4:$B$10000,SCORE_SHEET!M4:M10000)</f>
        <v/>
      </c>
      <c r="F23" s="202" t="n"/>
      <c r="G23" s="92">
        <f>SUM(D23:E23)</f>
        <v/>
      </c>
      <c r="H23" s="202" t="n"/>
      <c r="I23" s="99">
        <f t="array" ref="I23">_xlfn.IFS(G23&gt;=70,"A",G23&gt;=60,"B",G23&gt;=50,"C",G23&gt;=40,"D",G23&lt;40,"F")</f>
        <v/>
      </c>
      <c r="J23" s="92">
        <f t="array" ref="J23">_xlfn.IFS(I23=$E$32,$G$32,I23=$E$33,$G$33,I23=$E$34,$G$34,I23=$E$35,$G$35,I23=$E$36,$G$36)</f>
        <v/>
      </c>
      <c r="K23" s="202" t="n"/>
    </row>
    <row r="24" ht="26.25" customHeight="1" s="130">
      <c r="B24" s="94" t="n">
        <v>6</v>
      </c>
      <c r="C24" s="95">
        <f>SUBJECTS!C11</f>
        <v/>
      </c>
      <c r="D24" s="94">
        <f>IFERROR(VALUE(_xlfn.XLOOKUP($I$11,SCORE_SHEET!$B$4:$B$10000,SCORE_SHEET!N4:N10000)),"")</f>
        <v/>
      </c>
      <c r="E24" s="94">
        <f>_xlfn.XLOOKUP($I$11,SCORE_SHEET!$B$4:$B$10000,SCORE_SHEET!O4:O10000)</f>
        <v/>
      </c>
      <c r="F24" s="202" t="n"/>
      <c r="G24" s="94">
        <f>SUM(D24:E24)</f>
        <v/>
      </c>
      <c r="H24" s="202" t="n"/>
      <c r="I24" s="100">
        <f t="array" ref="I24">_xlfn.IFS(G24&gt;=70,"A",G24&gt;=60,"B",G24&gt;=50,"C",G24&gt;=40,"D",G24&lt;40,"F")</f>
        <v/>
      </c>
      <c r="J24" s="94">
        <f t="array" ref="J24">_xlfn.IFS(I24=$E$32,$G$32,I24=$E$33,$G$33,I24=$E$34,$G$34,I24=$E$35,$G$35,I24=$E$36,$G$36)</f>
        <v/>
      </c>
      <c r="K24" s="202" t="n"/>
    </row>
    <row r="25" ht="26.25" customHeight="1" s="130">
      <c r="B25" s="92" t="n">
        <v>7</v>
      </c>
      <c r="C25" s="93">
        <f>SUBJECTS!C12</f>
        <v/>
      </c>
      <c r="D25" s="92">
        <f>IFERROR(VALUE(_xlfn.XLOOKUP($I$11,SCORE_SHEET!$B$4:$B$10000,SCORE_SHEET!P4:P10000)),"")</f>
        <v/>
      </c>
      <c r="E25" s="92">
        <f>_xlfn.XLOOKUP($I$11,SCORE_SHEET!$B$4:$B$10000,SCORE_SHEET!Q4:Q10000)</f>
        <v/>
      </c>
      <c r="F25" s="202" t="n"/>
      <c r="G25" s="92">
        <f>SUM(D25:E25)</f>
        <v/>
      </c>
      <c r="H25" s="202" t="n"/>
      <c r="I25" s="99">
        <f t="array" ref="I25">_xlfn.IFS(G25&gt;=70,"A",G25&gt;=60,"B",G25&gt;=50,"C",G25&gt;=40,"D",G25&lt;40,"F")</f>
        <v/>
      </c>
      <c r="J25" s="92">
        <f t="array" ref="J25">_xlfn.IFS(I25=$E$32,$G$32,I25=$E$33,$G$33,I25=$E$34,$G$34,I25=$E$35,$G$35,I25=$E$36,$G$36)</f>
        <v/>
      </c>
      <c r="K25" s="202" t="n"/>
    </row>
    <row r="26" ht="26.25" customHeight="1" s="130">
      <c r="B26" s="94" t="n">
        <v>8</v>
      </c>
      <c r="C26" s="95">
        <f>SUBJECTS!C13</f>
        <v/>
      </c>
      <c r="D26" s="94">
        <f>IFERROR(VALUE(_xlfn.XLOOKUP($I$11,SCORE_SHEET!$B$4:$B$10000,SCORE_SHEET!R4:R10000)),"")</f>
        <v/>
      </c>
      <c r="E26" s="94">
        <f>_xlfn.XLOOKUP($I$11,SCORE_SHEET!$B$4:$B$10000,SCORE_SHEET!S4:S10000)</f>
        <v/>
      </c>
      <c r="F26" s="202" t="n"/>
      <c r="G26" s="94">
        <f>SUM(D26:E26)</f>
        <v/>
      </c>
      <c r="H26" s="202" t="n"/>
      <c r="I26" s="100">
        <f t="array" ref="I26">_xlfn.IFS(G26&gt;=70,"A",G26&gt;=60,"B",G26&gt;=50,"C",G26&gt;=40,"D",G26&lt;40,"F")</f>
        <v/>
      </c>
      <c r="J26" s="94">
        <f t="array" ref="J26">_xlfn.IFS(I26=$E$32,$G$32,I26=$E$33,$G$33,I26=$E$34,$G$34,I26=$E$35,$G$35,I26=$E$36,$G$36)</f>
        <v/>
      </c>
      <c r="K26" s="202" t="n"/>
    </row>
    <row r="27" ht="26.25" customHeight="1" s="130">
      <c r="B27" s="92" t="n">
        <v>9</v>
      </c>
      <c r="C27" s="93">
        <f>SUBJECTS!C14</f>
        <v/>
      </c>
      <c r="D27" s="92">
        <f>IFERROR(VALUE(_xlfn.XLOOKUP($I$11,SCORE_SHEET!$B$4:$B$10000,SCORE_SHEET!T4:T10000)),"")</f>
        <v/>
      </c>
      <c r="E27" s="92">
        <f>_xlfn.XLOOKUP($I$11,SCORE_SHEET!$B$4:$B$10000,SCORE_SHEET!U4:U10000)</f>
        <v/>
      </c>
      <c r="F27" s="202" t="n"/>
      <c r="G27" s="92">
        <f>SUM(D27:E27)</f>
        <v/>
      </c>
      <c r="H27" s="202" t="n"/>
      <c r="I27" s="99">
        <f t="array" ref="I27">_xlfn.IFS(G27&gt;=70,"A",G27&gt;=60,"B",G27&gt;=50,"C",G27&gt;=40,"D",G27&lt;40,"F")</f>
        <v/>
      </c>
      <c r="J27" s="92">
        <f t="array" ref="J27">_xlfn.IFS(I27=$E$32,$G$32,I27=$E$33,$G$33,I27=$E$34,$G$34,I27=$E$35,$G$35,I27=$E$36,$G$36)</f>
        <v/>
      </c>
      <c r="K27" s="202" t="n"/>
    </row>
    <row r="28" ht="26.25" customHeight="1" s="130">
      <c r="B28" s="94" t="n">
        <v>10</v>
      </c>
      <c r="C28" s="95">
        <f>SUBJECTS!C15</f>
        <v/>
      </c>
      <c r="D28" s="94">
        <f>IFERROR(VALUE(_xlfn.XLOOKUP($I$11,SCORE_SHEET!$B$4:$B$10000,SCORE_SHEET!V4:V10000)),"")</f>
        <v/>
      </c>
      <c r="E28" s="94">
        <f>_xlfn.XLOOKUP($I$11,SCORE_SHEET!$B$4:$B$10000,SCORE_SHEET!W4:W10000)</f>
        <v/>
      </c>
      <c r="F28" s="202" t="n"/>
      <c r="G28" s="94">
        <f>SUM(D28:E28)</f>
        <v/>
      </c>
      <c r="H28" s="202" t="n"/>
      <c r="I28" s="100">
        <f t="array" ref="I28">_xlfn.IFS(G28&gt;=70,"A",G28&gt;=60,"B",G28&gt;=50,"C",G28&gt;=40,"D",G28&lt;40,"F")</f>
        <v/>
      </c>
      <c r="J28" s="94">
        <f t="array" ref="J28">_xlfn.IFS(I28=$E$32,$G$32,I28=$E$33,$G$33,I28=$E$34,$G$34,I28=$E$35,$G$35,I28=$E$36,$G$36)</f>
        <v/>
      </c>
      <c r="K28" s="202" t="n"/>
    </row>
    <row r="29" ht="14.1" customHeight="1" s="130">
      <c r="B29" s="96" t="n"/>
      <c r="C29" s="97" t="inlineStr">
        <is>
          <t>Total</t>
        </is>
      </c>
      <c r="D29" s="98">
        <f>SUM(D19:D28)</f>
        <v/>
      </c>
      <c r="E29" s="126">
        <f>SUM(E19:E28)</f>
        <v/>
      </c>
      <c r="F29" s="196" t="n"/>
      <c r="G29" s="126">
        <f>SUM(G19:G28)</f>
        <v/>
      </c>
      <c r="H29" s="196" t="n"/>
      <c r="I29" s="101">
        <f>$C$35</f>
        <v/>
      </c>
      <c r="J29" s="126">
        <f t="array" ref="J29">_xlfn.IFS(I29=$E$32,$G$32,I29=$E$33,$G$33,I29=$E$34,$G$34,I29=$E$35,$G$35,I29=$E$36,$G$36)</f>
        <v/>
      </c>
      <c r="K29" s="196" t="n"/>
    </row>
    <row r="30" ht="16.5" customHeight="1" s="130">
      <c r="B30" s="19" t="n"/>
      <c r="C30" s="20" t="n"/>
      <c r="D30" s="21" t="n"/>
      <c r="E30" s="21" t="n"/>
      <c r="F30" s="19" t="n"/>
      <c r="G30" s="19" t="n"/>
      <c r="H30" s="19" t="n"/>
      <c r="I30" s="19" t="n"/>
      <c r="J30" s="19" t="n"/>
      <c r="K30" s="19" t="n"/>
    </row>
    <row r="31" ht="18" customFormat="1" customHeight="1" s="14">
      <c r="B31" s="166" t="inlineStr">
        <is>
          <t>Summary</t>
        </is>
      </c>
      <c r="D31" s="81" t="n"/>
      <c r="E31" s="117" t="inlineStr">
        <is>
          <t>Grade Equivalent</t>
        </is>
      </c>
      <c r="F31" s="204" t="n"/>
      <c r="G31" s="204" t="n"/>
      <c r="I31" s="165" t="inlineStr">
        <is>
          <t>ATTENDANCE</t>
        </is>
      </c>
    </row>
    <row r="32" ht="14.1" customHeight="1" s="130">
      <c r="B32" s="18" t="inlineStr">
        <is>
          <t>Total Obtainable</t>
        </is>
      </c>
      <c r="C32" s="27">
        <f>COUNTA(C19:C28)*100</f>
        <v/>
      </c>
      <c r="E32" s="36" t="inlineStr">
        <is>
          <t>A</t>
        </is>
      </c>
      <c r="F32" s="36" t="inlineStr">
        <is>
          <t>70-100</t>
        </is>
      </c>
      <c r="G32" s="15" t="inlineStr">
        <is>
          <t>Excellent</t>
        </is>
      </c>
      <c r="I32" s="29" t="inlineStr">
        <is>
          <t>Days Open</t>
        </is>
      </c>
      <c r="J32" s="128">
        <f>SETTINGS!C15</f>
        <v/>
      </c>
      <c r="K32" s="205" t="n"/>
    </row>
    <row r="33" ht="14.1" customHeight="1" s="130">
      <c r="B33" s="17" t="inlineStr">
        <is>
          <t>Marks Obtained</t>
        </is>
      </c>
      <c r="C33" s="28">
        <f>SUM(G19:G28)</f>
        <v/>
      </c>
      <c r="E33" s="37" t="inlineStr">
        <is>
          <t>B</t>
        </is>
      </c>
      <c r="F33" s="37" t="inlineStr">
        <is>
          <t>60-69</t>
        </is>
      </c>
      <c r="G33" s="16" t="inlineStr">
        <is>
          <t>Very Good</t>
        </is>
      </c>
      <c r="I33" s="30" t="inlineStr">
        <is>
          <t>Days Present</t>
        </is>
      </c>
      <c r="J33" s="134">
        <f>_xlfn.XLOOKUP($I$11,Other_Performances!B4:B10001,Other_Performances!F4:F10001)</f>
        <v/>
      </c>
      <c r="K33" s="205" t="n"/>
    </row>
    <row r="34" ht="14.1" customHeight="1" s="130">
      <c r="B34" s="18" t="inlineStr">
        <is>
          <t>Average</t>
        </is>
      </c>
      <c r="C34" s="87">
        <f>ROUND(AVERAGE(G19:H28),2)</f>
        <v/>
      </c>
      <c r="E34" s="36" t="inlineStr">
        <is>
          <t>C</t>
        </is>
      </c>
      <c r="F34" s="36" t="inlineStr">
        <is>
          <t>50-59</t>
        </is>
      </c>
      <c r="G34" s="15" t="inlineStr">
        <is>
          <t>Good</t>
        </is>
      </c>
      <c r="I34" s="29" t="inlineStr">
        <is>
          <t>Days Absent</t>
        </is>
      </c>
      <c r="J34" s="128">
        <f>_xlfn.XLOOKUP($I$11,Other_Performances!B4:B10001,Other_Performances!G4:G10001)</f>
        <v/>
      </c>
      <c r="K34" s="205" t="n"/>
    </row>
    <row r="35" ht="14.1" customHeight="1" s="130">
      <c r="B35" s="17" t="inlineStr">
        <is>
          <t>Grade</t>
        </is>
      </c>
      <c r="C35" s="86">
        <f t="array" ref="C35">IFERROR(_xlfn.IFS(C34&gt;=70,"A",C34&gt;=60,"B",C34&gt;=50,"C",C34&gt;=40,"D",C34&lt;40,"F"),"")</f>
        <v/>
      </c>
      <c r="E35" s="37" t="inlineStr">
        <is>
          <t>D</t>
        </is>
      </c>
      <c r="F35" s="37" t="inlineStr">
        <is>
          <t>40-49</t>
        </is>
      </c>
      <c r="G35" s="16" t="inlineStr">
        <is>
          <t>Pass</t>
        </is>
      </c>
      <c r="I35" s="31" t="inlineStr">
        <is>
          <t>Attendance %</t>
        </is>
      </c>
      <c r="J35" s="134">
        <f>MIN(100,ROUND(J33/J32*100,2))&amp;"%"</f>
        <v/>
      </c>
      <c r="K35" s="205" t="n"/>
    </row>
    <row r="36" ht="14.1" customHeight="1" s="130">
      <c r="B36" s="82" t="n"/>
      <c r="C36" s="83" t="n"/>
      <c r="E36" s="36" t="inlineStr">
        <is>
          <t>F</t>
        </is>
      </c>
      <c r="F36" s="36" t="inlineStr">
        <is>
          <t>0-39</t>
        </is>
      </c>
      <c r="G36" s="15" t="inlineStr">
        <is>
          <t>Fail</t>
        </is>
      </c>
      <c r="K36" s="19" t="n"/>
    </row>
    <row r="37">
      <c r="B37" s="84" t="n"/>
      <c r="C37" s="85" t="n"/>
      <c r="K37" s="19" t="n"/>
    </row>
    <row r="38">
      <c r="K38" s="19" t="n"/>
    </row>
    <row r="39" ht="15.95" customHeight="1" s="130">
      <c r="B39" s="136" t="inlineStr">
        <is>
          <t>Domain (Affective/Psychomotor)</t>
        </is>
      </c>
    </row>
    <row r="40" ht="14.1" customFormat="1" customHeight="1" s="22">
      <c r="B40" s="164" t="inlineStr">
        <is>
          <t>Relationship with Peers</t>
        </is>
      </c>
      <c r="D40" s="206">
        <f>_xlfn.XLOOKUP($I$11,Other_Performances!$B$4:$B$1600,Other_Performances!$H$4:$H$1600)</f>
        <v/>
      </c>
      <c r="E40" s="146" t="n"/>
      <c r="F40" s="127" t="inlineStr">
        <is>
          <t>Respect</t>
        </is>
      </c>
      <c r="I40" s="207">
        <f>_xlfn.XLOOKUP($I$11,Other_Performances!$B$4:$B$10001,Other_Performances!L4:L10001)</f>
        <v/>
      </c>
      <c r="J40" s="208" t="n"/>
      <c r="K40" s="209" t="n"/>
    </row>
    <row r="41" ht="14.1" customFormat="1" customHeight="1" s="22">
      <c r="B41" s="164" t="inlineStr">
        <is>
          <t>Neatness</t>
        </is>
      </c>
      <c r="D41" s="206">
        <f t="array" ref="D41">_xlfn.XLOOKUP($I$11,Other_Performances!$B$4:$B$1600,Other_Performances!I$4:$I$1600)</f>
        <v/>
      </c>
      <c r="E41" s="146" t="n"/>
      <c r="F41" s="127" t="inlineStr">
        <is>
          <t>Handwriting</t>
        </is>
      </c>
      <c r="I41" s="207">
        <f>_xlfn.XLOOKUP($I$11,Other_Performances!$B$4:$B$10001,Other_Performances!M4:M10001)</f>
        <v/>
      </c>
      <c r="J41" s="208" t="n"/>
      <c r="K41" s="209" t="n"/>
    </row>
    <row r="42" ht="14.1" customFormat="1" customHeight="1" s="22">
      <c r="B42" s="164" t="inlineStr">
        <is>
          <t>Honesty</t>
        </is>
      </c>
      <c r="D42" s="206">
        <f>_xlfn.XLOOKUP($I$11,Other_Performances!$B$4:$B$1600,Other_Performances!$J$4:$J$1600)</f>
        <v/>
      </c>
      <c r="E42" s="146" t="n"/>
      <c r="F42" s="127" t="inlineStr">
        <is>
          <t>Games and Sport</t>
        </is>
      </c>
      <c r="I42" s="207">
        <f>_xlfn.XLOOKUP($I$11,Other_Performances!$B$4:$B$10001,Other_Performances!N4:N10001)</f>
        <v/>
      </c>
      <c r="J42" s="208" t="n"/>
      <c r="K42" s="209" t="n"/>
    </row>
    <row r="43" ht="14.1" customFormat="1" customHeight="1" s="22">
      <c r="B43" s="135" t="inlineStr">
        <is>
          <t>Punctuality</t>
        </is>
      </c>
      <c r="D43" s="206">
        <f>_xlfn.XLOOKUP(I11,Other_Performances!$B$4:$B$1600,Other_Performances!$K$4:$K$1600)</f>
        <v/>
      </c>
      <c r="E43" s="146" t="n"/>
      <c r="F43" s="127" t="inlineStr">
        <is>
          <t>Clubs</t>
        </is>
      </c>
      <c r="I43" s="207">
        <f>_xlfn.XLOOKUP($I$11,Other_Performances!$B$4:$B$10001,Other_Performances!O4:O10001)</f>
        <v/>
      </c>
      <c r="J43" s="208" t="n"/>
      <c r="K43" s="209" t="n"/>
    </row>
    <row r="44" ht="14.1" customFormat="1" customHeight="1" s="22">
      <c r="F44" s="25" t="n"/>
      <c r="G44" s="25" t="n"/>
      <c r="H44" s="25" t="n"/>
      <c r="I44" s="25" t="n"/>
      <c r="J44" s="24" t="n"/>
      <c r="K44" s="24" t="n"/>
    </row>
    <row r="45" ht="15.75" customHeight="1" s="130" thickBot="1"/>
    <row r="46" ht="15.95" customHeight="1" s="130" thickBot="1">
      <c r="B46" s="210" t="inlineStr">
        <is>
          <t>REMARKS</t>
        </is>
      </c>
      <c r="C46" s="211" t="n"/>
      <c r="D46" s="211" t="n"/>
      <c r="E46" s="211" t="n"/>
      <c r="F46" s="211" t="n"/>
      <c r="G46" s="211" t="n"/>
      <c r="H46" s="211" t="n"/>
      <c r="I46" s="211" t="n"/>
      <c r="J46" s="211" t="n"/>
      <c r="K46" s="212" t="n"/>
    </row>
    <row r="47" ht="21" customHeight="1" s="130">
      <c r="C47" s="89" t="n"/>
      <c r="D47" s="160">
        <f>"Next Term Resumes: " &amp; TEXT(SETTINGS!C14, "DD mmm YYYY")</f>
        <v/>
      </c>
    </row>
    <row r="48" ht="15" customHeight="1" s="130">
      <c r="D48" s="116">
        <f>"Next Term School Fees is " &amp; SETTINGS!C19</f>
        <v/>
      </c>
      <c r="H48" s="26" t="n"/>
      <c r="I48" s="26" t="n"/>
      <c r="J48" s="26" t="n"/>
      <c r="K48" s="26" t="n"/>
    </row>
    <row r="49" ht="15.75" customHeight="1" s="130" thickBot="1">
      <c r="D49" s="26" t="n"/>
      <c r="E49" s="26" t="n"/>
      <c r="F49" s="26" t="n"/>
      <c r="G49" s="26" t="n"/>
      <c r="H49" s="26" t="n"/>
      <c r="I49" s="26" t="n"/>
      <c r="J49" s="26" t="n"/>
      <c r="K49" s="26" t="n"/>
    </row>
    <row r="50" ht="25.5" customHeight="1" s="130" thickBot="1">
      <c r="B50" s="111" t="inlineStr">
        <is>
          <t>Class Teacher's Remark:</t>
        </is>
      </c>
      <c r="C50" s="213" t="n"/>
      <c r="D50" s="115" t="n"/>
      <c r="E50" s="214" t="n"/>
      <c r="F50" s="214" t="n"/>
      <c r="G50" s="214" t="n"/>
      <c r="H50" s="214" t="n"/>
      <c r="I50" s="214" t="n"/>
      <c r="J50" s="214" t="n"/>
      <c r="K50" s="215" t="n"/>
    </row>
    <row r="51" ht="25.5" customHeight="1" s="130" thickBot="1">
      <c r="B51" s="111" t="inlineStr">
        <is>
          <t>Principal's Remark:</t>
        </is>
      </c>
      <c r="C51" s="213" t="n"/>
      <c r="D51" s="216">
        <f t="array" ref="D51">IFERROR(_xlfn.IFS(C35="A","An excellent result, though there is room for improvement, try more better next term",C35="B","A very good performnace, try harder next term!"),"")</f>
        <v/>
      </c>
      <c r="E51" s="214" t="n"/>
      <c r="F51" s="214" t="n"/>
      <c r="G51" s="214" t="n"/>
      <c r="H51" s="214" t="n"/>
      <c r="I51" s="214" t="n"/>
      <c r="J51" s="214" t="n"/>
      <c r="K51" s="215" t="n"/>
    </row>
    <row r="52" ht="51.75" customHeight="1" s="130">
      <c r="B52" s="23" t="n"/>
      <c r="C52" s="103" t="n"/>
      <c r="D52" s="26" t="n"/>
      <c r="E52" s="26" t="n"/>
      <c r="F52" s="137" t="n"/>
      <c r="I52" s="26" t="n"/>
      <c r="J52" s="26" t="n"/>
      <c r="K52" s="26" t="n"/>
    </row>
    <row r="53" ht="15.75" customHeight="1" s="130">
      <c r="B53" s="23" t="n"/>
      <c r="C53" s="102" t="inlineStr">
        <is>
          <t xml:space="preserve">                        Principal Signature</t>
        </is>
      </c>
      <c r="H53" s="26" t="n"/>
      <c r="I53" s="26" t="n"/>
      <c r="J53" s="26" t="n"/>
      <c r="K53" s="26" t="n"/>
    </row>
    <row r="54">
      <c r="B54" s="23" t="n"/>
      <c r="I54" s="26" t="n"/>
      <c r="J54" s="26" t="n"/>
      <c r="K54" s="26" t="n"/>
    </row>
    <row r="55" ht="33" customHeight="1" s="130">
      <c r="C55" s="103" t="inlineStr">
        <is>
          <t>______________________________________</t>
        </is>
      </c>
    </row>
    <row r="56" ht="54.75" customHeight="1" s="130">
      <c r="I56" s="22" t="n"/>
      <c r="J56" s="22" t="n"/>
      <c r="K56" s="22" t="n"/>
    </row>
    <row r="58" ht="3" customHeight="1" s="130">
      <c r="B58" s="11" t="n"/>
      <c r="C58" s="11" t="n"/>
      <c r="D58" s="11" t="n"/>
      <c r="E58" s="11" t="n"/>
      <c r="F58" s="11" t="n"/>
      <c r="G58" s="11" t="n"/>
      <c r="H58" s="11" t="n"/>
      <c r="I58" s="11" t="n"/>
      <c r="J58" s="11" t="n"/>
      <c r="K58" s="11" t="n"/>
    </row>
    <row r="59" ht="14.1" customHeight="1" s="130">
      <c r="B59" s="131">
        <f>SETTINGS!C11 &amp; " Student Report Sheet"</f>
        <v/>
      </c>
      <c r="E59" s="90" t="n"/>
      <c r="F59" s="129">
        <f>SETTINGS!C5 &amp; " | " &amp; SETTINGS!C8</f>
        <v/>
      </c>
    </row>
  </sheetData>
  <mergeCells count="97">
    <mergeCell ref="G21:H21"/>
    <mergeCell ref="C55:H55"/>
    <mergeCell ref="C15:D15"/>
    <mergeCell ref="E31:G31"/>
    <mergeCell ref="J19:K19"/>
    <mergeCell ref="E23:F23"/>
    <mergeCell ref="B6:K6"/>
    <mergeCell ref="B31:C31"/>
    <mergeCell ref="J28:K28"/>
    <mergeCell ref="G23:H23"/>
    <mergeCell ref="B4:K4"/>
    <mergeCell ref="G18:H18"/>
    <mergeCell ref="N14:X14"/>
    <mergeCell ref="F14:H14"/>
    <mergeCell ref="V15:W15"/>
    <mergeCell ref="E27:F27"/>
    <mergeCell ref="B40:C40"/>
    <mergeCell ref="J21:K21"/>
    <mergeCell ref="G20:H20"/>
    <mergeCell ref="D48:G48"/>
    <mergeCell ref="B8:K8"/>
    <mergeCell ref="N15:O15"/>
    <mergeCell ref="B17:K17"/>
    <mergeCell ref="P15:Q15"/>
    <mergeCell ref="B51:C51"/>
    <mergeCell ref="E22:F22"/>
    <mergeCell ref="F12:H12"/>
    <mergeCell ref="J23:K23"/>
    <mergeCell ref="G22:H22"/>
    <mergeCell ref="B41:C41"/>
    <mergeCell ref="F59:K59"/>
    <mergeCell ref="F41:H41"/>
    <mergeCell ref="C14:D14"/>
    <mergeCell ref="I12:K12"/>
    <mergeCell ref="J34:K34"/>
    <mergeCell ref="I14:K14"/>
    <mergeCell ref="J27:K27"/>
    <mergeCell ref="B46:K46"/>
    <mergeCell ref="J20:K20"/>
    <mergeCell ref="G24:H24"/>
    <mergeCell ref="B39:K39"/>
    <mergeCell ref="J22:K22"/>
    <mergeCell ref="E26:F26"/>
    <mergeCell ref="F11:H11"/>
    <mergeCell ref="G26:H26"/>
    <mergeCell ref="B59:D59"/>
    <mergeCell ref="E25:F25"/>
    <mergeCell ref="D47:G47"/>
    <mergeCell ref="G25:H25"/>
    <mergeCell ref="D51:K51"/>
    <mergeCell ref="F40:H40"/>
    <mergeCell ref="E18:F18"/>
    <mergeCell ref="F15:H15"/>
    <mergeCell ref="D50:K50"/>
    <mergeCell ref="J29:K29"/>
    <mergeCell ref="B43:C43"/>
    <mergeCell ref="E20:F20"/>
    <mergeCell ref="E29:F29"/>
    <mergeCell ref="F13:H13"/>
    <mergeCell ref="J24:K24"/>
    <mergeCell ref="B42:C42"/>
    <mergeCell ref="F43:H43"/>
    <mergeCell ref="F52:H52"/>
    <mergeCell ref="J26:K26"/>
    <mergeCell ref="J35:K35"/>
    <mergeCell ref="C12:D12"/>
    <mergeCell ref="I13:K13"/>
    <mergeCell ref="J25:K25"/>
    <mergeCell ref="I31:K31"/>
    <mergeCell ref="I40:K40"/>
    <mergeCell ref="I15:K15"/>
    <mergeCell ref="I41:K41"/>
    <mergeCell ref="F42:H42"/>
    <mergeCell ref="E24:F24"/>
    <mergeCell ref="G27:H27"/>
    <mergeCell ref="I43:K43"/>
    <mergeCell ref="D40:E40"/>
    <mergeCell ref="D5:G5"/>
    <mergeCell ref="I42:K42"/>
    <mergeCell ref="E19:F19"/>
    <mergeCell ref="G19:H19"/>
    <mergeCell ref="E28:F28"/>
    <mergeCell ref="G28:H28"/>
    <mergeCell ref="D41:E41"/>
    <mergeCell ref="D43:E43"/>
    <mergeCell ref="C11:D11"/>
    <mergeCell ref="J32:K32"/>
    <mergeCell ref="R15:U15"/>
    <mergeCell ref="G29:H29"/>
    <mergeCell ref="I11:K11"/>
    <mergeCell ref="D42:E42"/>
    <mergeCell ref="J18:K18"/>
    <mergeCell ref="J33:K33"/>
    <mergeCell ref="B50:C50"/>
    <mergeCell ref="C13:D13"/>
    <mergeCell ref="C53:G53"/>
    <mergeCell ref="E21:F21"/>
  </mergeCells>
  <printOptions horizontalCentered="1"/>
  <pageMargins left="0.4" right="0.4" top="0.5" bottom="0.5" header="0.2" footer="0.2"/>
  <pageSetup orientation="portrait" paperSize="9" scale="67"/>
  <drawing xmlns:r="http://schemas.openxmlformats.org/officeDocument/2006/relationships" r:id="rId1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E40"/>
  <sheetViews>
    <sheetView showGridLines="0" zoomScale="115" zoomScaleNormal="115" workbookViewId="0">
      <selection activeCell="D10" sqref="D10"/>
    </sheetView>
  </sheetViews>
  <sheetFormatPr baseColWidth="8" defaultRowHeight="15"/>
  <cols>
    <col width="3" customWidth="1" style="130" min="1" max="1"/>
    <col width="32" customWidth="1" style="130" min="2" max="2"/>
    <col width="42.5703125" bestFit="1" customWidth="1" style="130" min="3" max="3"/>
    <col width="20" customWidth="1" style="130" min="4" max="5"/>
  </cols>
  <sheetData>
    <row r="1" ht="14.1" customHeight="1" s="130">
      <c r="B1" s="187" t="inlineStr">
        <is>
          <t>⚙  SCHOOL REPORT BUILDER — SETTINGS</t>
        </is>
      </c>
    </row>
    <row r="2" ht="27.95" customHeight="1" s="130">
      <c r="B2" s="186" t="inlineStr">
        <is>
          <t>Configure school details, grading scale, subjects, and term information here.</t>
        </is>
      </c>
    </row>
    <row r="3" ht="14.1" customHeight="1" s="130"/>
    <row r="4" ht="18" customHeight="1" s="130">
      <c r="B4" s="168" t="inlineStr">
        <is>
          <t xml:space="preserve">  🏫  SCHOOL INFORMATION</t>
        </is>
      </c>
    </row>
    <row r="5" ht="15.95" customHeight="1" s="130">
      <c r="B5" s="6" t="inlineStr">
        <is>
          <t>School Name</t>
        </is>
      </c>
      <c r="C5" s="3" t="inlineStr">
        <is>
          <t>Dec International Schools</t>
        </is>
      </c>
    </row>
    <row r="6" ht="15.95" customHeight="1" s="130">
      <c r="B6" s="6" t="inlineStr">
        <is>
          <t>School Address</t>
        </is>
      </c>
      <c r="C6" s="3" t="inlineStr">
        <is>
          <t>12 Education Avenue, Kano State</t>
        </is>
      </c>
    </row>
    <row r="7" ht="15.95" customHeight="1" s="130">
      <c r="B7" s="6" t="inlineStr">
        <is>
          <t>School Motto</t>
        </is>
      </c>
      <c r="C7" s="3" t="inlineStr">
        <is>
          <t>Knowledge is the key to success</t>
        </is>
      </c>
    </row>
    <row r="8" ht="15.95" customHeight="1" s="130">
      <c r="B8" s="6" t="inlineStr">
        <is>
          <t>Phone / Email</t>
        </is>
      </c>
      <c r="C8" s="3" t="inlineStr">
        <is>
          <t>+234 800 000 0000</t>
        </is>
      </c>
    </row>
    <row r="9" ht="15.95" customHeight="1" s="130">
      <c r="B9" s="6" t="inlineStr">
        <is>
          <t>Principal's Name</t>
        </is>
      </c>
      <c r="C9" s="3" t="inlineStr">
        <is>
          <t>Mr. Ibrahim Musa</t>
        </is>
      </c>
    </row>
    <row r="10" ht="15.95" customHeight="1" s="130">
      <c r="B10" s="6" t="inlineStr">
        <is>
          <t>Academic Session</t>
        </is>
      </c>
      <c r="C10" s="3" t="inlineStr">
        <is>
          <t>2025/2026</t>
        </is>
      </c>
    </row>
    <row r="11" ht="15.95" customHeight="1" s="130">
      <c r="B11" s="6" t="inlineStr">
        <is>
          <t>Current Term</t>
        </is>
      </c>
      <c r="C11" s="3" t="inlineStr">
        <is>
          <t>Third Term</t>
        </is>
      </c>
    </row>
    <row r="12" ht="15.95" customHeight="1" s="130">
      <c r="B12" s="6" t="inlineStr">
        <is>
          <t>Term Start Date</t>
        </is>
      </c>
      <c r="C12" s="3" t="inlineStr">
        <is>
          <t>09/09/2024</t>
        </is>
      </c>
    </row>
    <row r="13" ht="15.95" customHeight="1" s="130">
      <c r="B13" s="6" t="inlineStr">
        <is>
          <t>Term End Date</t>
        </is>
      </c>
      <c r="C13" s="3" t="inlineStr">
        <is>
          <t>20/12/2024</t>
        </is>
      </c>
    </row>
    <row r="14" ht="15.95" customHeight="1" s="130">
      <c r="B14" s="6" t="inlineStr">
        <is>
          <t>Next Term Resumption</t>
        </is>
      </c>
      <c r="C14" s="88" t="n">
        <v>46217</v>
      </c>
    </row>
    <row r="15" ht="15.95" customHeight="1" s="130">
      <c r="B15" s="6" t="inlineStr">
        <is>
          <t>Total School Days</t>
        </is>
      </c>
      <c r="C15" s="3" t="n">
        <v>52</v>
      </c>
    </row>
    <row r="16" ht="15.95" customHeight="1" s="130">
      <c r="B16" s="76" t="inlineStr">
        <is>
          <t>Sender Gmail</t>
        </is>
      </c>
      <c r="C16" s="3" t="inlineStr">
        <is>
          <t>your-email@gmail.com</t>
        </is>
      </c>
    </row>
    <row r="17" ht="15.95" customHeight="1" s="130">
      <c r="B17" s="76" t="inlineStr">
        <is>
          <t>Gmail APP Pass</t>
        </is>
      </c>
      <c r="C17" s="3" t="inlineStr">
        <is>
          <t>your-16-char-app-password</t>
        </is>
      </c>
    </row>
    <row r="18" ht="15.95" customHeight="1" s="130">
      <c r="B18" s="75" t="inlineStr">
        <is>
          <t>Term Name</t>
        </is>
      </c>
      <c r="C18" s="3">
        <f>C11 &amp; ", " &amp; C10</f>
        <v/>
      </c>
    </row>
    <row r="19">
      <c r="B19" s="75" t="inlineStr">
        <is>
          <t>Next Term School Fees</t>
        </is>
      </c>
      <c r="C19" s="3" t="inlineStr">
        <is>
          <t>₦50,000.00</t>
        </is>
      </c>
    </row>
    <row r="20"/>
    <row r="21" ht="18" customHeight="1" s="130">
      <c r="B21" s="168" t="inlineStr">
        <is>
          <t xml:space="preserve">  📊  GRADING SCALE</t>
        </is>
      </c>
    </row>
    <row r="22" ht="15.95" customHeight="1" s="130">
      <c r="B22" s="7" t="inlineStr">
        <is>
          <t>Min Score</t>
        </is>
      </c>
      <c r="C22" s="7" t="inlineStr">
        <is>
          <t>Max Score</t>
        </is>
      </c>
      <c r="D22" s="7" t="inlineStr">
        <is>
          <t>Grade</t>
        </is>
      </c>
      <c r="E22" s="7" t="inlineStr">
        <is>
          <t>Remark</t>
        </is>
      </c>
    </row>
    <row r="23" ht="15" customHeight="1" s="130">
      <c r="B23" s="8" t="n">
        <v>70</v>
      </c>
      <c r="C23" s="8" t="n">
        <v>100</v>
      </c>
      <c r="D23" s="8" t="inlineStr">
        <is>
          <t>A</t>
        </is>
      </c>
      <c r="E23" s="8" t="inlineStr">
        <is>
          <t>Excellent</t>
        </is>
      </c>
    </row>
    <row r="24" ht="15" customHeight="1" s="130">
      <c r="B24" s="8" t="n">
        <v>60</v>
      </c>
      <c r="C24" s="8" t="n">
        <v>69</v>
      </c>
      <c r="D24" s="8" t="inlineStr">
        <is>
          <t>B</t>
        </is>
      </c>
      <c r="E24" s="8" t="inlineStr">
        <is>
          <t>Very Good</t>
        </is>
      </c>
    </row>
    <row r="25" ht="15" customHeight="1" s="130">
      <c r="B25" s="8" t="n">
        <v>50</v>
      </c>
      <c r="C25" s="8" t="n">
        <v>59</v>
      </c>
      <c r="D25" s="8" t="inlineStr">
        <is>
          <t>C</t>
        </is>
      </c>
      <c r="E25" s="8" t="inlineStr">
        <is>
          <t>Good</t>
        </is>
      </c>
    </row>
    <row r="26" ht="15" customHeight="1" s="130">
      <c r="B26" s="8" t="n">
        <v>40</v>
      </c>
      <c r="C26" s="8" t="n">
        <v>49</v>
      </c>
      <c r="D26" s="8" t="inlineStr">
        <is>
          <t>P</t>
        </is>
      </c>
      <c r="E26" s="8" t="inlineStr">
        <is>
          <t>Pass</t>
        </is>
      </c>
    </row>
    <row r="27" ht="15" customHeight="1" s="130">
      <c r="B27" s="4" t="n">
        <v>0</v>
      </c>
      <c r="C27" s="4" t="n">
        <v>39</v>
      </c>
      <c r="D27" s="4" t="inlineStr">
        <is>
          <t>F</t>
        </is>
      </c>
      <c r="E27" s="4" t="inlineStr">
        <is>
          <t>Fail</t>
        </is>
      </c>
    </row>
    <row r="28"/>
    <row r="29"/>
    <row r="30"/>
    <row r="31" ht="18" customHeight="1" s="130">
      <c r="B31" s="168" t="inlineStr">
        <is>
          <t xml:space="preserve">  🧠  AFFECTIVE / BEHAVIOURAL TRAITS</t>
        </is>
      </c>
    </row>
    <row r="32" ht="15.95" customHeight="1" s="130">
      <c r="B32" s="7" t="inlineStr">
        <is>
          <t>Trait</t>
        </is>
      </c>
      <c r="C32" s="7" t="inlineStr">
        <is>
          <t>Rating Scale (e.g. 5=Excellent)</t>
        </is>
      </c>
    </row>
    <row r="33" ht="15" customHeight="1" s="130">
      <c r="B33" s="3" t="inlineStr">
        <is>
          <t>Punctuality</t>
        </is>
      </c>
      <c r="C33" s="9" t="inlineStr">
        <is>
          <t>5 = Excellent | 4 = V.Good | 3 = Good | 2 = Fair | 1 = Poor</t>
        </is>
      </c>
    </row>
    <row r="34" ht="15" customHeight="1" s="130">
      <c r="B34" s="5" t="inlineStr">
        <is>
          <t>Neatness</t>
        </is>
      </c>
      <c r="C34" s="10" t="inlineStr">
        <is>
          <t>5 = Excellent | 4 = V.Good | 3 = Good | 2 = Fair | 1 = Poor</t>
        </is>
      </c>
    </row>
    <row r="35" ht="15" customHeight="1" s="130">
      <c r="B35" s="3" t="inlineStr">
        <is>
          <t>Honesty</t>
        </is>
      </c>
      <c r="C35" s="9" t="inlineStr">
        <is>
          <t>5 = Excellent | 4 = V.Good | 3 = Good | 2 = Fair | 1 = Poor</t>
        </is>
      </c>
    </row>
    <row r="36" ht="15" customHeight="1" s="130">
      <c r="B36" s="5" t="inlineStr">
        <is>
          <t>Cooperation</t>
        </is>
      </c>
      <c r="C36" s="10" t="inlineStr">
        <is>
          <t>5 = Excellent | 4 = V.Good | 3 = Good | 2 = Fair | 1 = Poor</t>
        </is>
      </c>
    </row>
    <row r="37" ht="15" customHeight="1" s="130">
      <c r="B37" s="3" t="inlineStr">
        <is>
          <t>Attentiveness</t>
        </is>
      </c>
      <c r="C37" s="9" t="inlineStr">
        <is>
          <t>5 = Excellent | 4 = V.Good | 3 = Good | 2 = Fair | 1 = Poor</t>
        </is>
      </c>
    </row>
    <row r="38" ht="15" customHeight="1" s="130">
      <c r="B38" s="5" t="inlineStr">
        <is>
          <t>Perseverance</t>
        </is>
      </c>
      <c r="C38" s="10" t="inlineStr">
        <is>
          <t>5 = Excellent | 4 = V.Good | 3 = Good | 2 = Fair | 1 = Poor</t>
        </is>
      </c>
    </row>
    <row r="39" ht="15" customHeight="1" s="130">
      <c r="B39" s="3" t="inlineStr">
        <is>
          <t>Leadership</t>
        </is>
      </c>
      <c r="C39" s="9" t="inlineStr">
        <is>
          <t>5 = Excellent | 4 = V.Good | 3 = Good | 2 = Fair | 1 = Poor</t>
        </is>
      </c>
    </row>
    <row r="40" ht="15" customHeight="1" s="130">
      <c r="B40" s="5" t="inlineStr">
        <is>
          <t>Respect for Others</t>
        </is>
      </c>
      <c r="C40" s="10" t="inlineStr">
        <is>
          <t>5 = Excellent | 4 = V.Good | 3 = Good | 2 = Fair | 1 = Poor</t>
        </is>
      </c>
    </row>
  </sheetData>
  <mergeCells count="5">
    <mergeCell ref="B31:E31"/>
    <mergeCell ref="B1:E1"/>
    <mergeCell ref="B4:E4"/>
    <mergeCell ref="B21:E21"/>
    <mergeCell ref="B2:E2"/>
  </mergeCells>
  <hyperlinks>
    <hyperlink xmlns:r="http://schemas.openxmlformats.org/officeDocument/2006/relationships" ref="C16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2026-06-14T21:57:40Z</dcterms:created>
  <dcterms:modified xmlns:dcterms="http://purl.org/dc/terms/" xmlns:xsi="http://www.w3.org/2001/XMLSchema-instance" xsi:type="dcterms:W3CDTF">2026-07-19T08:52:17Z</dcterms:modified>
  <cp:lastModifiedBy>Abdulganiyu Sodeeq Adebayo</cp:lastModifiedBy>
  <cp:lastPrinted>2026-07-15T06:16:55Z</cp:lastPrinted>
</cp:coreProperties>
</file>